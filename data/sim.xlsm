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6.xml" ContentType="application/vnd.openxmlformats-officedocument.spreadsheetml.comments+xml"/>
  <Override PartName="/xl/styles.xml" ContentType="application/vnd.openxmlformats-officedocument.spreadsheetml.styles+xml"/>
  <Override PartName="/xl/comments5.xml" ContentType="application/vnd.openxmlformats-officedocument.spreadsheetml.comments+xml"/>
  <Override PartName="/xl/comments15.xml" ContentType="application/vnd.openxmlformats-officedocument.spreadsheetml.comments+xml"/>
  <Override PartName="/xl/comments14.xml" ContentType="application/vnd.openxmlformats-officedocument.spreadsheetml.comments+xml"/>
  <Override PartName="/xl/media/image1.png" ContentType="image/png"/>
  <Override PartName="/xl/sharedStrings.xml" ContentType="application/vnd.openxmlformats-officedocument.spreadsheetml.sharedStrings+xml"/>
  <Override PartName="/xl/ctrlProps/ctrlProps2.xml" ContentType="application/vnd.ms-excel.controlproperties+xml"/>
  <Override PartName="/xl/ctrlProps/ctrlProps11.xml" ContentType="application/vnd.ms-excel.controlproperties+xml"/>
  <Override PartName="/xl/ctrlProps/ctrlProps5.xml" ContentType="application/vnd.ms-excel.controlproperties+xml"/>
  <Override PartName="/xl/ctrlProps/ctrlProps6.xml" ContentType="application/vnd.ms-excel.controlproperties+xml"/>
  <Override PartName="/xl/ctrlProps/ctrlProps7.xml" ContentType="application/vnd.ms-excel.controlproperties+xml"/>
  <Override PartName="/xl/ctrlProps/ctrlProps8.xml" ContentType="application/vnd.ms-excel.controlproperties+xml"/>
  <Override PartName="/xl/ctrlProps/ctrlProps9.xml" ContentType="application/vnd.ms-excel.controlproperties+xml"/>
  <Override PartName="/xl/ctrlProps/ctrlProps10.xml" ContentType="application/vnd.ms-excel.controlproperties+xml"/>
  <Override PartName="/xl/ctrlProps/ctrlProps12.xml" ContentType="application/vnd.ms-excel.controlproperties+xml"/>
  <Override PartName="/xl/comments10.xml" ContentType="application/vnd.openxmlformats-officedocument.spreadsheetml.comment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comments3.xml" ContentType="application/vnd.openxmlformats-officedocument.spreadsheetml.comments+xml"/>
  <Override PartName="/xl/comments11.xml" ContentType="application/vnd.openxmlformats-officedocument.spreadsheetml.comments+xml"/>
  <Override PartName="/xl/comments1.xml" ContentType="application/vnd.openxmlformats-officedocument.spreadsheetml.comments+xml"/>
  <Override PartName="/xl/drawings/drawing1.xml" ContentType="application/vnd.openxmlformats-officedocument.drawing+xml"/>
  <Override PartName="/xl/drawings/vmlDrawing3.vml" ContentType="application/vnd.openxmlformats-officedocument.vmlDrawing"/>
  <Override PartName="/xl/drawings/vmlDrawing1.vml" ContentType="application/vnd.openxmlformats-officedocument.vmlDrawing"/>
  <Override PartName="/xl/drawings/vmlDrawing2.vml" ContentType="application/vnd.openxmlformats-officedocument.vmlDrawing"/>
  <Override PartName="/xl/drawings/vmlDrawing4.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drawings/vmlDrawing5.vml" ContentType="application/vnd.openxmlformats-officedocument.vmlDrawing"/>
  <Override PartName="/xl/drawings/drawing4.xml" ContentType="application/vnd.openxmlformats-officedocument.drawing+xml"/>
  <Override PartName="/xl/drawings/vmlDrawing6.vml" ContentType="application/vnd.openxmlformats-officedocument.vmlDrawing"/>
  <Override PartName="/xl/drawings/vmlDrawing7.vml" ContentType="application/vnd.openxmlformats-officedocument.vmlDrawing"/>
  <Override PartName="/xl/drawings/vmlDrawing8.vml" ContentType="application/vnd.openxmlformats-officedocument.vmlDrawing"/>
  <Override PartName="/xl/tables/table17.xml" ContentType="application/vnd.openxmlformats-officedocument.spreadsheetml.table+xml"/>
  <Override PartName="/xl/tables/table9.xml" ContentType="application/vnd.openxmlformats-officedocument.spreadsheetml.table+xml"/>
  <Override PartName="/xl/tables/table11.xml" ContentType="application/vnd.openxmlformats-officedocument.spreadsheetml.table+xml"/>
  <Override PartName="/xl/tables/table15.xml" ContentType="application/vnd.openxmlformats-officedocument.spreadsheetml.table+xml"/>
  <Override PartName="/xl/tables/table8.xml" ContentType="application/vnd.openxmlformats-officedocument.spreadsheetml.table+xml"/>
  <Override PartName="/xl/tables/table10.xml" ContentType="application/vnd.openxmlformats-officedocument.spreadsheetml.table+xml"/>
  <Override PartName="/xl/tables/table14.xml" ContentType="application/vnd.openxmlformats-officedocument.spreadsheetml.table+xml"/>
  <Override PartName="/xl/tables/table16.xml" ContentType="application/vnd.openxmlformats-officedocument.spreadsheetml.table+xml"/>
  <Override PartName="/xl/tables/table6.xml" ContentType="application/vnd.openxmlformats-officedocument.spreadsheetml.table+xml"/>
  <Override PartName="/xl/tables/table13.xml" ContentType="application/vnd.openxmlformats-officedocument.spreadsheetml.table+xml"/>
  <Override PartName="/xl/tables/table19.xml" ContentType="application/vnd.openxmlformats-officedocument.spreadsheetml.table+xml"/>
  <Override PartName="/xl/tables/table12.xml" ContentType="application/vnd.openxmlformats-officedocument.spreadsheetml.table+xml"/>
  <Override PartName="/xl/tables/table5.xml" ContentType="application/vnd.openxmlformats-officedocument.spreadsheetml.table+xml"/>
  <Override PartName="/xl/tables/table1.xml" ContentType="application/vnd.openxmlformats-officedocument.spreadsheetml.table+xml"/>
  <Override PartName="/xl/tables/table20.xml" ContentType="application/vnd.openxmlformats-officedocument.spreadsheetml.table+xml"/>
  <Override PartName="/xl/tables/table18.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7.xml" ContentType="application/vnd.openxmlformats-officedocument.spreadsheetml.table+xml"/>
  <Override PartName="/xl/worksheets/_rels/sheet5.xml.rels" ContentType="application/vnd.openxmlformats-package.relationships+xml"/>
  <Override PartName="/xl/worksheets/_rels/sheet11.xml.rels" ContentType="application/vnd.openxmlformats-package.relationships+xml"/>
  <Override PartName="/xl/worksheets/_rels/sheet15.xml.rels" ContentType="application/vnd.openxmlformats-package.relationships+xml"/>
  <Override PartName="/xl/worksheets/_rels/sheet9.xml.rels" ContentType="application/vnd.openxmlformats-package.relationships+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10.xml.rels" ContentType="application/vnd.openxmlformats-package.relationships+xml"/>
  <Override PartName="/xl/worksheets/_rels/sheet12.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14.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5.xml" ContentType="application/vnd.openxmlformats-officedocument.spreadsheetml.worksheet+xml"/>
  <Override PartName="/xl/worksheets/sheet4.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6"/>
  </bookViews>
  <sheets>
    <sheet name="Overview" sheetId="1" state="visible" r:id="rId4"/>
    <sheet name="Population" sheetId="2" state="visible" r:id="rId5"/>
    <sheet name="Production" sheetId="3" state="visible" r:id="rId6"/>
    <sheet name="Construction" sheetId="4" state="visible" r:id="rId7"/>
    <sheet name="Explore" sheetId="5" state="visible" r:id="rId8"/>
    <sheet name="Rezone" sheetId="6" state="visible" r:id="rId9"/>
    <sheet name="Military" sheetId="7" state="visible" r:id="rId10"/>
    <sheet name="Magic" sheetId="8" state="visible" r:id="rId11"/>
    <sheet name="Techs" sheetId="9" state="visible" r:id="rId12"/>
    <sheet name="Imps" sheetId="10" state="visible" r:id="rId13"/>
    <sheet name="Log" sheetId="11" state="visible" r:id="rId14"/>
    <sheet name="Log_support" sheetId="12" state="hidden" r:id="rId15"/>
    <sheet name="Constants" sheetId="13" state="visible" r:id="rId16"/>
    <sheet name="Races" sheetId="14" state="visible" r:id="rId17"/>
    <sheet name="calc" sheetId="15" state="visible" r:id="rId18"/>
  </sheets>
  <definedNames>
    <definedName function="false" hidden="false" name="adept_dp_bonus" vbProcedure="false">Constants!$C$121</definedName>
    <definedName function="false" hidden="false" name="adept_dp_cap" vbProcedure="false">Constants!$F$121</definedName>
    <definedName function="false" hidden="false" name="adept_op_bonus" vbProcedure="false">Constants!$C$120</definedName>
    <definedName function="false" hidden="false" name="adept_op_cap" vbProcedure="false">Constants!$F$120</definedName>
    <definedName function="false" hidden="false" name="alchemist_flame_bonus" vbProcedure="false">Constants!$F$87</definedName>
    <definedName function="false" hidden="false" name="alch_frost_bonus" vbProcedure="false">Constants!$F$90</definedName>
    <definedName function="false" hidden="false" name="alch_plat" vbProcedure="false">Constants!$B$4</definedName>
    <definedName function="false" hidden="false" name="archmage_plat" vbProcedure="false">Overview!$D$29</definedName>
    <definedName function="false" hidden="false" name="archspy_plat" vbProcedure="false">Overview!$D$27</definedName>
    <definedName function="false" hidden="false" name="ares_call_bonus" vbProcedure="false">Constants!$F$77</definedName>
    <definedName function="false" hidden="false" name="barracks_size" vbProcedure="false">Constants!$B$64</definedName>
    <definedName function="false" hidden="false" name="blizzard_bonus" vbProcedure="false">Constants!$F$86</definedName>
    <definedName function="false" hidden="false" name="boat_size" vbProcedure="false">Constants!$B$93</definedName>
    <definedName function="false" hidden="false" name="bone_breaker_bonus" vbProcedure="false">Constants!$C$125</definedName>
    <definedName function="false" hidden="false" name="bone_breaker_cap" vbProcedure="false">Constants!$F$125</definedName>
    <definedName function="false" hidden="false" name="bonus_jobs_facts" vbProcedure="false">Constants!$B$165</definedName>
    <definedName function="false" hidden="false" name="building_employment" vbProcedure="false">Constants!$B$129</definedName>
    <definedName function="false" hidden="false" name="dark_elf" vbProcedure="false">Military!$CL$8</definedName>
    <definedName function="false" hidden="false" name="days_late" vbProcedure="false">Overview!$B$18</definedName>
    <definedName function="false" hidden="false" name="days_late_def_specs" vbProcedure="false">Constants!$E$52</definedName>
    <definedName function="false" hidden="false" name="days_late_draftees" vbProcedure="false">Constants!$E$53</definedName>
    <definedName function="false" hidden="false" name="days_late_food" vbProcedure="false">Constants!$E$48</definedName>
    <definedName function="false" hidden="false" name="days_late_lumber" vbProcedure="false">Constants!$E$49</definedName>
    <definedName function="false" hidden="false" name="days_late_mana" vbProcedure="false">Constants!$E$51</definedName>
    <definedName function="false" hidden="false" name="days_late_ore" vbProcedure="false">Constants!$E$50</definedName>
    <definedName function="false" hidden="false" name="days_late_peasants" vbProcedure="false">Constants!$E$46</definedName>
    <definedName function="false" hidden="false" name="days_late_plat" vbProcedure="false">Constants!$E$47</definedName>
    <definedName function="false" hidden="false" name="dm_gems" vbProcedure="false">Constants!$B$8</definedName>
    <definedName function="false" hidden="false" name="dock_boats_hr" vbProcedure="false">Constants!$B$10</definedName>
    <definedName function="false" hidden="false" name="dock_food" vbProcedure="false">Constants!$D$10</definedName>
    <definedName function="false" hidden="false" name="druid_dp_bonus" vbProcedure="false">Constants!$C$117</definedName>
    <definedName function="false" hidden="false" name="druid_dp_cap" vbProcedure="false">Constants!$F$117</definedName>
    <definedName function="false" hidden="false" name="druid_op_bonus" vbProcedure="false">Constants!$C$116</definedName>
    <definedName function="false" hidden="false" name="druid_op_cap" vbProcedure="false">Constants!$F$116</definedName>
    <definedName function="false" hidden="false" name="dryad_bonus" vbProcedure="false">Constants!$C$118</definedName>
    <definedName function="false" hidden="false" name="dryad_cap" vbProcedure="false">Constants!$F$118</definedName>
    <definedName function="false" hidden="false" name="elite1_base_dp" vbProcedure="false">Military!$CL$19</definedName>
    <definedName function="false" hidden="false" name="elite1_base_op" vbProcedure="false">Military!$CL$18</definedName>
    <definedName function="false" hidden="false" name="elite1_dp" vbProcedure="false">Overview!$C$24</definedName>
    <definedName function="false" hidden="false" name="elite1_name" vbProcedure="false">Overview!$A$24</definedName>
    <definedName function="false" hidden="false" name="elite1_op" vbProcedure="false">Overview!$B$24</definedName>
    <definedName function="false" hidden="false" name="elite1_ore" vbProcedure="false">Overview!$E$24</definedName>
    <definedName function="false" hidden="false" name="elite1_plat" vbProcedure="false">Overview!$D$24</definedName>
    <definedName function="false" hidden="false" name="elite2_base_dp" vbProcedure="false">Military!$CL$21</definedName>
    <definedName function="false" hidden="false" name="elite2_base_op" vbProcedure="false">Military!$CL$20</definedName>
    <definedName function="false" hidden="false" name="elite2_dp" vbProcedure="false">Overview!$C$25</definedName>
    <definedName function="false" hidden="false" name="elite2_name" vbProcedure="false">Overview!$A$25</definedName>
    <definedName function="false" hidden="false" name="elite2_op" vbProcedure="false">Overview!$B$25</definedName>
    <definedName function="false" hidden="false" name="elite2_ore" vbProcedure="false">Overview!$E$25</definedName>
    <definedName function="false" hidden="false" name="elite2_plat" vbProcedure="false">Overview!$D$25</definedName>
    <definedName function="false" hidden="false" name="explore_tech_divisor" vbProcedure="false">Constants!$M$144</definedName>
    <definedName function="false" hidden="false" name="facs_constr_factor" vbProcedure="false">Constants!$B$21</definedName>
    <definedName function="false" hidden="false" name="facs_constr_max" vbProcedure="false">Constants!$D$21</definedName>
    <definedName function="false" hidden="false" name="facs_rezone_factor" vbProcedure="false">Constants!$B$22</definedName>
    <definedName function="false" hidden="false" name="facs_rezone_max" vbProcedure="false">Constants!$D$22</definedName>
    <definedName function="false" hidden="false" name="farm_food" vbProcedure="false">Constants!$B$5</definedName>
    <definedName function="false" hidden="false" name="favorable_terrain_bonus" vbProcedure="false">Constants!$D$89</definedName>
    <definedName function="false" hidden="false" name="favorable_terrain_max" vbProcedure="false">Constants!$F$89</definedName>
    <definedName function="false" hidden="false" name="fh_lumber" vbProcedure="false">Constants!$B$11</definedName>
    <definedName function="false" hidden="false" name="fh_peas_dp" vbProcedure="false">Constants!$B$14</definedName>
    <definedName function="false" hidden="false" name="fh_spy_cost_cap" vbProcedure="false">Constants!$D$15</definedName>
    <definedName function="false" hidden="false" name="fh_spy_cost_red" vbProcedure="false">Constants!$B$15</definedName>
    <definedName function="false" hidden="false" name="food_decay" vbProcedure="false">Constants!$B$56</definedName>
    <definedName function="false" hidden="false" name="food_per_person" vbProcedure="false">Constants!$B$60</definedName>
    <definedName function="false" hidden="false" name="frenzy_bonus" vbProcedure="false">Constants!$F$82</definedName>
    <definedName function="false" hidden="false" name="frost_mage_bonus" vbProcedure="false">Constants!$C$122</definedName>
    <definedName function="false" hidden="false" name="frost_mage_cap" vbProcedure="false">Constants!$F$122</definedName>
    <definedName function="false" hidden="false" name="gaias_blessing_food" vbProcedure="false">Constants!$F$84</definedName>
    <definedName function="false" hidden="false" name="gaias_blessing_lumber" vbProcedure="false">Constants!$H$84</definedName>
    <definedName function="false" hidden="false" name="gaias_watch_bonus" vbProcedure="false">Constants!$F$75</definedName>
    <definedName function="false" hidden="false" name="gem_invest" vbProcedure="false">Constants!$B$159</definedName>
    <definedName function="false" hidden="false" name="global_constr_cap" vbProcedure="false">Constants!$B$162</definedName>
    <definedName function="false" hidden="false" name="gnome" vbProcedure="false">Military!$CL$7</definedName>
    <definedName function="false" hidden="false" name="gn_bonus" vbProcedure="false">Constants!$B$13</definedName>
    <definedName function="false" hidden="false" name="gn_bonus_cap" vbProcedure="false">Constants!$D$13</definedName>
    <definedName function="false" hidden="false" name="gt_bonus" vbProcedure="false">Constants!$B$12</definedName>
    <definedName function="false" hidden="false" name="gt_bonus_cap" vbProcedure="false">Constants!$D$12</definedName>
    <definedName function="false" hidden="false" name="harbor_towers_cap" vbProcedure="false">Constants!$D$106</definedName>
    <definedName function="false" hidden="false" name="harbor_towers_param" vbProcedure="false">Constants!$D$111</definedName>
    <definedName function="false" hidden="false" name="harmony_bonus" vbProcedure="false">Constants!$F$78</definedName>
    <definedName function="false" hidden="false" name="home_land" vbProcedure="false">Overview!$B$70</definedName>
    <definedName function="false" hidden="false" name="howling_dp_bonus" vbProcedure="false">Constants!$H$85</definedName>
    <definedName function="false" hidden="false" name="howling_op_bonus" vbProcedure="false">Constants!$F$85</definedName>
    <definedName function="false" hidden="false" name="icekin" vbProcedure="false">Military!$CL$10</definedName>
    <definedName function="false" hidden="false" name="ice_elem_bonus" vbProcedure="false">Constants!$C$123</definedName>
    <definedName function="false" hidden="false" name="ice_elem_cap" vbProcedure="false">Constants!$F$123</definedName>
    <definedName function="false" hidden="false" name="Imps" vbProcedure="false">Imps!$CD$35:$CD$40</definedName>
    <definedName function="false" hidden="false" name="keep_cap" vbProcedure="false">Constants!$D$103</definedName>
    <definedName function="false" hidden="false" name="keep_param" vbProcedure="false">Constants!$D$108</definedName>
    <definedName function="false" hidden="false" name="kobold" vbProcedure="false">Military!$CL$9</definedName>
    <definedName function="false" hidden="false" name="lumber_invest" vbProcedure="false">Constants!$B$157</definedName>
    <definedName function="false" hidden="false" name="lumber_rot" vbProcedure="false">Constants!$B$57</definedName>
    <definedName function="false" hidden="false" name="ly_lumber" vbProcedure="false">Constants!$B$6</definedName>
    <definedName function="false" hidden="false" name="mana_drain" vbProcedure="false">Constants!$B$58</definedName>
    <definedName function="false" hidden="false" name="mason_bonus" vbProcedure="false">Constants!$B$20</definedName>
    <definedName function="false" hidden="false" name="mech_genius_bonus" vbProcedure="false">Constants!$F$81</definedName>
    <definedName function="false" hidden="false" name="midas_bonus" vbProcedure="false">Constants!$F$79</definedName>
    <definedName function="false" hidden="false" name="miners_sight_bonus" vbProcedure="false">Constants!$F$80</definedName>
    <definedName function="false" hidden="false" name="mining_strength_bonus" vbProcedure="false">Constants!$F$76</definedName>
    <definedName function="false" hidden="false" name="min_tech_cost" vbProcedure="false">Constants!$M$64</definedName>
    <definedName function="false" hidden="false" name="mystic_bonus" vbProcedure="false">Constants!$C$115</definedName>
    <definedName function="false" hidden="false" name="mystic_cap" vbProcedure="false">Constants!$F$115</definedName>
    <definedName function="false" hidden="false" name="nightfall_bonus" vbProcedure="false">Constants!$F$88</definedName>
    <definedName function="false" hidden="false" name="nightshade_bonus" vbProcedure="false">Constants!$C$126</definedName>
    <definedName function="false" hidden="false" name="nox" vbProcedure="false">Military!$CL$12</definedName>
    <definedName function="false" hidden="false" name="nox_nightshade_cap" vbProcedure="false">Constants!$F$126</definedName>
    <definedName function="false" hidden="false" name="nox_nightshade_swamp_bonus" vbProcedure="false">Constants!$C$126</definedName>
    <definedName function="false" hidden="false" name="om_ore" vbProcedure="false">Constants!$B$7</definedName>
    <definedName function="false" hidden="false" name="orc" vbProcedure="false">Military!$CL$11</definedName>
    <definedName function="false" hidden="false" name="ore_invest" vbProcedure="false">Constants!$B$158</definedName>
    <definedName function="false" hidden="false" name="plat_invest" vbProcedure="false">Constants!$B$156</definedName>
    <definedName function="false" hidden="false" name="pop_in_building" vbProcedure="false">Constants!$B$68</definedName>
    <definedName function="false" hidden="false" name="pop_in_home" vbProcedure="false">Constants!$B$65</definedName>
    <definedName function="false" hidden="false" name="pop_on_barren" vbProcedure="false">Constants!$B$69</definedName>
    <definedName function="false" hidden="false" name="prestige_food_bonus" vbProcedure="false">Constants!$B$97</definedName>
    <definedName function="false" hidden="false" name="prestige_multiplier" vbProcedure="false">Constants!$B$98</definedName>
    <definedName function="false" hidden="false" name="prestige_offense_bonus" vbProcedure="false">Constants!$B$99</definedName>
    <definedName function="false" hidden="false" name="prestige_pop_multiplier" vbProcedure="false">Constants!$B$98</definedName>
    <definedName function="false" hidden="false" name="race" vbProcedure="false">Overview!$B$14</definedName>
    <definedName function="false" hidden="false" name="races" vbProcedure="false">Races!$A$94:$A$114</definedName>
    <definedName function="false" hidden="false" name="race_construction_cost" vbProcedure="false">Overview!$I$30</definedName>
    <definedName function="false" hidden="false" name="race_defense" vbProcedure="false">Overview!$I$24</definedName>
    <definedName function="false" hidden="false" name="race_food_bonus" vbProcedure="false">Overview!$I$18</definedName>
    <definedName function="false" hidden="false" name="race_food_consumption" vbProcedure="false">Overview!$I$23</definedName>
    <definedName function="false" hidden="false" name="race_gem_bonus" vbProcedure="false">Overview!$I$22</definedName>
    <definedName function="false" hidden="false" name="race_invest_bonus" vbProcedure="false">Overview!$I$28</definedName>
    <definedName function="false" hidden="false" name="race_lumber_bonus" vbProcedure="false">Overview!$I$19</definedName>
    <definedName function="false" hidden="false" name="race_mana_bonus" vbProcedure="false">Overview!$I$20</definedName>
    <definedName function="false" hidden="false" name="race_offense" vbProcedure="false">Overview!$I$25</definedName>
    <definedName function="false" hidden="false" name="race_ore_bonus" vbProcedure="false">Overview!$I$21</definedName>
    <definedName function="false" hidden="false" name="race_platinum_bonus" vbProcedure="false">Overview!$I$17</definedName>
    <definedName function="false" hidden="false" name="race_pop_bonus" vbProcedure="false">Overview!$I$15</definedName>
    <definedName function="false" hidden="false" name="race_pop_growth" vbProcedure="false">Overview!$I$16</definedName>
    <definedName function="false" hidden="false" name="race_rezone_cost" vbProcedure="false">Overview!$I$29</definedName>
    <definedName function="false" hidden="false" name="race_spy_strength" vbProcedure="false">Overview!$I$26</definedName>
    <definedName function="false" hidden="false" name="race_wizard_strength" vbProcedure="false">Overview!$I$27</definedName>
    <definedName function="false" hidden="false" name="raw_drafting" vbProcedure="false">Constants!$B$55</definedName>
    <definedName function="false" hidden="false" name="raw_pop_growth" vbProcedure="false">Constants!$B$54</definedName>
    <definedName function="false" hidden="false" name="research_bonus" vbProcedure="false">Overview!$I$31</definedName>
    <definedName function="false" hidden="false" name="resources" vbProcedure="false">Imps!$CD$30:$CD$33</definedName>
    <definedName function="false" hidden="false" name="rocka_bonus" vbProcedure="false">Constants!$C$119</definedName>
    <definedName function="false" hidden="false" name="rocka_cap" vbProcedure="false">Constants!$F$119</definedName>
    <definedName function="false" hidden="false" name="school_max" vbProcedure="false">Constants!$D$23</definedName>
    <definedName function="false" hidden="false" name="school_rp" vbProcedure="false">Constants!$B$23</definedName>
    <definedName function="false" hidden="false" name="science_cap" vbProcedure="false">Constants!$D$104</definedName>
    <definedName function="false" hidden="false" name="science_param" vbProcedure="false">Constants!$D$109</definedName>
    <definedName function="false" hidden="false" name="secondary_resource" vbProcedure="false">Military!$AQ$2</definedName>
    <definedName function="false" hidden="false" name="smithy_bonus" vbProcedure="false">Constants!$B$19</definedName>
    <definedName function="false" hidden="false" name="smithy_bonus_cap" vbProcedure="false">Constants!$D$19</definedName>
    <definedName function="false" hidden="false" name="spec_dp" vbProcedure="false">Overview!$C$23</definedName>
    <definedName function="false" hidden="false" name="spec_dp_name" vbProcedure="false">Overview!$A$23</definedName>
    <definedName function="false" hidden="false" name="spec_dp_ore" vbProcedure="false">Overview!$E$23</definedName>
    <definedName function="false" hidden="false" name="spec_dp_plat" vbProcedure="false">Overview!$D$23</definedName>
    <definedName function="false" hidden="false" name="spec_op" vbProcedure="false">Overview!$B$22</definedName>
    <definedName function="false" hidden="false" name="spec_op_name" vbProcedure="false">Overview!$A$22</definedName>
    <definedName function="false" hidden="false" name="spec_op_ore" vbProcedure="false">Overview!$E$22</definedName>
    <definedName function="false" hidden="false" name="spec_op_plat" vbProcedure="false">Overview!$D$22</definedName>
    <definedName function="false" hidden="false" name="spy_plat" vbProcedure="false">Overview!$D$26</definedName>
    <definedName function="false" hidden="false" name="start_alchs" vbProcedure="false">Constants!$B$26</definedName>
    <definedName function="false" hidden="false" name="start_ams" vbProcedure="false">Constants!$B$42</definedName>
    <definedName function="false" hidden="false" name="start_ass" vbProcedure="false">Constants!$B$40</definedName>
    <definedName function="false" hidden="false" name="start_boats" vbProcedure="false">Constants!$B$51</definedName>
    <definedName function="false" hidden="false" name="start_caverns" vbProcedure="false">Constants!$F$30</definedName>
    <definedName function="false" hidden="false" name="start_dm" vbProcedure="false">Constants!$Q$26</definedName>
    <definedName function="false" hidden="false" name="start_docks" vbProcedure="false">Constants!$S$26</definedName>
    <definedName function="false" hidden="false" name="start_dp_specs" vbProcedure="false">Constants!$B$36</definedName>
    <definedName function="false" hidden="false" name="start_draftees" vbProcedure="false">Constants!$B$34</definedName>
    <definedName function="false" hidden="false" name="start_elite1s" vbProcedure="false">Constants!$B$37</definedName>
    <definedName function="false" hidden="false" name="start_elite2s" vbProcedure="false">Constants!$B$38</definedName>
    <definedName function="false" hidden="false" name="start_facs" vbProcedure="false">Constants!$J$26</definedName>
    <definedName function="false" hidden="false" name="start_farms" vbProcedure="false">Constants!$C$26</definedName>
    <definedName function="false" hidden="false" name="start_food" vbProcedure="false">Constants!$B$46</definedName>
    <definedName function="false" hidden="false" name="start_forest" vbProcedure="false">Constants!$B$30</definedName>
    <definedName function="false" hidden="false" name="start_gems" vbProcedure="false">Constants!$B$50</definedName>
    <definedName function="false" hidden="false" name="start_gn" vbProcedure="false">Constants!$I$26</definedName>
    <definedName function="false" hidden="false" name="start_gt" vbProcedure="false">Constants!$K$26</definedName>
    <definedName function="false" hidden="false" name="start_havens" vbProcedure="false">Constants!$G$26</definedName>
    <definedName function="false" hidden="false" name="start_hills" vbProcedure="false">Constants!$D$30</definedName>
    <definedName function="false" hidden="false" name="start_homes" vbProcedure="false">Constants!$A$26</definedName>
    <definedName function="false" hidden="false" name="start_lumber" vbProcedure="false">Constants!$B$47</definedName>
    <definedName function="false" hidden="false" name="start_ly" vbProcedure="false">Constants!$F$26</definedName>
    <definedName function="false" hidden="false" name="start_mana" vbProcedure="false">Constants!$B$48</definedName>
    <definedName function="false" hidden="false" name="start_masons" vbProcedure="false">Constants!$E$26</definedName>
    <definedName function="false" hidden="false" name="start_mountains" vbProcedure="false">Constants!$C$30</definedName>
    <definedName function="false" hidden="false" name="start_om" vbProcedure="false">Constants!$H$26</definedName>
    <definedName function="false" hidden="false" name="start_op_specs" vbProcedure="false">Constants!$B$35</definedName>
    <definedName function="false" hidden="false" name="start_ore" vbProcedure="false">Constants!$B$49</definedName>
    <definedName function="false" hidden="false" name="start_peasants" vbProcedure="false">Constants!$B$33</definedName>
    <definedName function="false" hidden="false" name="start_plains" vbProcedure="false">Constants!$A$30</definedName>
    <definedName function="false" hidden="false" name="start_plat" vbProcedure="false">Constants!$B$45</definedName>
    <definedName function="false" hidden="false" name="start_prestige" vbProcedure="false">Constants!$B$96</definedName>
    <definedName function="false" hidden="false" name="start_rax" vbProcedure="false">Constants!$L$26</definedName>
    <definedName function="false" hidden="false" name="start_schools" vbProcedure="false">Constants!$R$26</definedName>
    <definedName function="false" hidden="false" name="start_shrines" vbProcedure="false">Constants!$M$26</definedName>
    <definedName function="false" hidden="false" name="start_smithies" vbProcedure="false">Constants!$D$26</definedName>
    <definedName function="false" hidden="false" name="start_spies" vbProcedure="false">Constants!$B$39</definedName>
    <definedName function="false" hidden="false" name="start_swamp" vbProcedure="false">Constants!$E$30</definedName>
    <definedName function="false" hidden="false" name="start_temples" vbProcedure="false">Constants!$O$26</definedName>
    <definedName function="false" hidden="false" name="start_towers" vbProcedure="false">Constants!$N$26</definedName>
    <definedName function="false" hidden="false" name="start_water" vbProcedure="false">Constants!$G$30</definedName>
    <definedName function="false" hidden="false" name="start_wg" vbProcedure="false">Constants!$P$26</definedName>
    <definedName function="false" hidden="false" name="start_wizards" vbProcedure="false">Constants!$B$41</definedName>
    <definedName function="false" hidden="false" name="sylvan" vbProcedure="false">Military!$CL$6</definedName>
    <definedName function="false" hidden="false" name="tax" vbProcedure="false">Constants!$B$61</definedName>
    <definedName function="false" hidden="false" name="tech_10_1" vbProcedure="false">Constants!$M$139</definedName>
    <definedName function="false" hidden="false" name="tech_10_2" vbProcedure="false">Constants!$M$140</definedName>
    <definedName function="false" hidden="false" name="tech_11_1" vbProcedure="false">Constants!$M$142</definedName>
    <definedName function="false" hidden="false" name="tech_1_1" vbProcedure="false">Constants!$M$67</definedName>
    <definedName function="false" hidden="false" name="tech_1_10" vbProcedure="false">Constants!$M$76</definedName>
    <definedName function="false" hidden="false" name="tech_1_11" vbProcedure="false">Constants!$M$77</definedName>
    <definedName function="false" hidden="false" name="tech_1_2" vbProcedure="false">Constants!$M$68</definedName>
    <definedName function="false" hidden="false" name="tech_1_3" vbProcedure="false">Constants!$M$69</definedName>
    <definedName function="false" hidden="false" name="tech_1_4" vbProcedure="false">Constants!$M$70</definedName>
    <definedName function="false" hidden="false" name="tech_1_5" vbProcedure="false">Constants!$M$71</definedName>
    <definedName function="false" hidden="false" name="tech_1_6" vbProcedure="false">Constants!$M$72</definedName>
    <definedName function="false" hidden="false" name="tech_1_7" vbProcedure="false">Constants!$M$73</definedName>
    <definedName function="false" hidden="false" name="tech_1_8" vbProcedure="false">Constants!$M$74</definedName>
    <definedName function="false" hidden="false" name="tech_1_9" vbProcedure="false">Constants!$M$75</definedName>
    <definedName function="false" hidden="false" name="tech_1_9_2" vbProcedure="false">Constants!$O$75</definedName>
    <definedName function="false" hidden="false" name="tech_2_1" vbProcedure="false">Constants!$M$79</definedName>
    <definedName function="false" hidden="false" name="tech_2_10" vbProcedure="false">Constants!$M$88</definedName>
    <definedName function="false" hidden="false" name="tech_2_2" vbProcedure="false">Constants!$M$80</definedName>
    <definedName function="false" hidden="false" name="tech_2_3" vbProcedure="false">Constants!$M$81</definedName>
    <definedName function="false" hidden="false" name="tech_2_4" vbProcedure="false">Constants!$M$82</definedName>
    <definedName function="false" hidden="false" name="tech_2_5" vbProcedure="false">Constants!$M$83</definedName>
    <definedName function="false" hidden="false" name="tech_2_6" vbProcedure="false">Constants!$M$84</definedName>
    <definedName function="false" hidden="false" name="tech_2_6_2" vbProcedure="false">Constants!$O$84</definedName>
    <definedName function="false" hidden="false" name="tech_2_7" vbProcedure="false">Constants!$M$85</definedName>
    <definedName function="false" hidden="false" name="tech_2_8" vbProcedure="false">Constants!$M$86</definedName>
    <definedName function="false" hidden="false" name="tech_2_9" vbProcedure="false">Constants!$M$87</definedName>
    <definedName function="false" hidden="false" name="tech_2_9_2" vbProcedure="false">Constants!$O$87</definedName>
    <definedName function="false" hidden="false" name="tech_3_1" vbProcedure="false">Constants!$M$90</definedName>
    <definedName function="false" hidden="false" name="tech_3_2" vbProcedure="false">Constants!$M$91</definedName>
    <definedName function="false" hidden="false" name="tech_3_3" vbProcedure="false">Constants!$M$92</definedName>
    <definedName function="false" hidden="false" name="tech_3_3_2" vbProcedure="false">Constants!$O$92</definedName>
    <definedName function="false" hidden="false" name="tech_3_4" vbProcedure="false">Constants!$M$93</definedName>
    <definedName function="false" hidden="false" name="tech_3_4_2" vbProcedure="false">Constants!$O$93</definedName>
    <definedName function="false" hidden="false" name="tech_3_5" vbProcedure="false">Constants!$M$94</definedName>
    <definedName function="false" hidden="false" name="tech_3_6" vbProcedure="false">Constants!$M$95</definedName>
    <definedName function="false" hidden="false" name="tech_3_7" vbProcedure="false">Constants!$M$96</definedName>
    <definedName function="false" hidden="false" name="tech_3_7_2" vbProcedure="false">Constants!$O$96</definedName>
    <definedName function="false" hidden="false" name="tech_3_8" vbProcedure="false">Constants!$M$97</definedName>
    <definedName function="false" hidden="false" name="tech_3_9" vbProcedure="false">Constants!$M$98</definedName>
    <definedName function="false" hidden="false" name="tech_4_1" vbProcedure="false">Constants!$M$100</definedName>
    <definedName function="false" hidden="false" name="tech_4_2" vbProcedure="false">Constants!$M$101</definedName>
    <definedName function="false" hidden="false" name="tech_4_3" vbProcedure="false">Constants!$M$102</definedName>
    <definedName function="false" hidden="false" name="tech_4_3_2" vbProcedure="false">Constants!$O$102</definedName>
    <definedName function="false" hidden="false" name="tech_4_4" vbProcedure="false">Constants!$M$103</definedName>
    <definedName function="false" hidden="false" name="tech_4_5" vbProcedure="false">Constants!$M$104</definedName>
    <definedName function="false" hidden="false" name="tech_4_6" vbProcedure="false">Constants!$M$105</definedName>
    <definedName function="false" hidden="false" name="tech_4_7" vbProcedure="false">Constants!$M$106</definedName>
    <definedName function="false" hidden="false" name="tech_4_8" vbProcedure="false">Constants!$M$107</definedName>
    <definedName function="false" hidden="false" name="tech_5_1" vbProcedure="false">Constants!$M$109</definedName>
    <definedName function="false" hidden="false" name="tech_5_2" vbProcedure="false">Constants!$M$110</definedName>
    <definedName function="false" hidden="false" name="tech_5_2_3" vbProcedure="false">Constants!$O$110</definedName>
    <definedName function="false" hidden="false" name="tech_5_3" vbProcedure="false">Constants!$M$111</definedName>
    <definedName function="false" hidden="false" name="tech_5_4" vbProcedure="false">Constants!$M$112</definedName>
    <definedName function="false" hidden="false" name="tech_5_4_2" vbProcedure="false">Constants!$O$112</definedName>
    <definedName function="false" hidden="false" name="tech_5_5" vbProcedure="false">Constants!$M$113</definedName>
    <definedName function="false" hidden="false" name="tech_5_6" vbProcedure="false">Constants!$M$114</definedName>
    <definedName function="false" hidden="false" name="tech_5_7" vbProcedure="false">Constants!$M$115</definedName>
    <definedName function="false" hidden="false" name="tech_6_1" vbProcedure="false">Constants!$M$117</definedName>
    <definedName function="false" hidden="false" name="tech_6_2" vbProcedure="false">Constants!$M$118</definedName>
    <definedName function="false" hidden="false" name="tech_6_2_2" vbProcedure="false">Constants!$O$118</definedName>
    <definedName function="false" hidden="false" name="tech_6_3" vbProcedure="false">Constants!$M$119</definedName>
    <definedName function="false" hidden="false" name="tech_6_3_2" vbProcedure="false">Constants!$O$119</definedName>
    <definedName function="false" hidden="false" name="tech_6_3_3" vbProcedure="false">Constants!$Q$119</definedName>
    <definedName function="false" hidden="false" name="tech_6_4" vbProcedure="false">Constants!$M$120</definedName>
    <definedName function="false" hidden="false" name="tech_6_5" vbProcedure="false">Constants!$M$121</definedName>
    <definedName function="false" hidden="false" name="tech_6_5_2" vbProcedure="false">Constants!$O$121</definedName>
    <definedName function="false" hidden="false" name="tech_6_6" vbProcedure="false">Constants!$M$122</definedName>
    <definedName function="false" hidden="false" name="tech_6_6_2" vbProcedure="false">Constants!$O$122</definedName>
    <definedName function="false" hidden="false" name="tech_7_1" vbProcedure="false">Constants!$M$124</definedName>
    <definedName function="false" hidden="false" name="tech_7_2" vbProcedure="false">Constants!$M$125</definedName>
    <definedName function="false" hidden="false" name="tech_7_3" vbProcedure="false">Constants!$M$126</definedName>
    <definedName function="false" hidden="false" name="tech_7_3_2" vbProcedure="false">Constants!$O$126</definedName>
    <definedName function="false" hidden="false" name="tech_7_4" vbProcedure="false">Constants!$M$127</definedName>
    <definedName function="false" hidden="false" name="tech_7_5" vbProcedure="false">Constants!$M$128</definedName>
    <definedName function="false" hidden="false" name="tech_7__2" vbProcedure="false">Constants!$O$128</definedName>
    <definedName function="false" hidden="false" name="tech_8_1" vbProcedure="false">Constants!$M$130</definedName>
    <definedName function="false" hidden="false" name="tech_8_2" vbProcedure="false">Constants!$M$131</definedName>
    <definedName function="false" hidden="false" name="tech_8_3" vbProcedure="false">Constants!$M$132</definedName>
    <definedName function="false" hidden="false" name="tech_8_4" vbProcedure="false">Constants!$M$133</definedName>
    <definedName function="false" hidden="false" name="tech_9_1" vbProcedure="false">Constants!$M$135</definedName>
    <definedName function="false" hidden="false" name="tech_9_1_2" vbProcedure="false">Constants!$O$135</definedName>
    <definedName function="false" hidden="false" name="tech_9_2" vbProcedure="false">Constants!$M$136</definedName>
    <definedName function="false" hidden="false" name="tech_9_3" vbProcedure="false">Constants!$M$137</definedName>
    <definedName function="false" hidden="false" name="tech_conquerors_crafts" vbProcedure="false">Constants!$M$55</definedName>
    <definedName function="false" hidden="false" name="tech_construction" vbProcedure="false">Constants!$M$39</definedName>
    <definedName function="false" hidden="false" name="tech_construction_pop" vbProcedure="false">Constants!$M$41</definedName>
    <definedName function="false" hidden="false" name="tech_construction_rezone" vbProcedure="false">Constants!$M$40</definedName>
    <definedName function="false" hidden="false" name="tech_cost_per_acre" vbProcedure="false">Constants!$M$62</definedName>
    <definedName function="false" hidden="false" name="tech_enchanted_lands_explore" vbProcedure="false">Constants!$M$56</definedName>
    <definedName function="false" hidden="false" name="tech_enchanted_lands_mana" vbProcedure="false">Constants!$O$56</definedName>
    <definedName function="false" hidden="false" name="tech_explore_cost" vbProcedure="false">Constants!$M$36</definedName>
    <definedName function="false" hidden="false" name="tech_explore_cost2" vbProcedure="false">Constants!$M$38</definedName>
    <definedName function="false" hidden="false" name="tech_explore_draft1" vbProcedure="false">Constants!$M$37</definedName>
    <definedName function="false" hidden="false" name="tech_explore_draft2" vbProcedure="false">Constants!$O$38</definedName>
    <definedName function="false" hidden="false" name="tech_fruits_of_labor1" vbProcedure="false">Constants!$M$52</definedName>
    <definedName function="false" hidden="false" name="tech_fruits_of_labor_gems" vbProcedure="false">Constants!$O$52</definedName>
    <definedName function="false" hidden="false" name="tech_magical_weaponry_op" vbProcedure="false">Constants!$M$58</definedName>
    <definedName function="false" hidden="false" name="tech_magical_weaponry_wiz" vbProcedure="false">Constants!$O$58</definedName>
    <definedName function="false" hidden="false" name="tech_master_of_frugality" vbProcedure="false">Constants!$M$51</definedName>
    <definedName function="false" hidden="false" name="tech_military_offense" vbProcedure="false">Constants!$M$44</definedName>
    <definedName function="false" hidden="false" name="tech_production_food" vbProcedure="false">Constants!$M$33</definedName>
    <definedName function="false" hidden="false" name="tech_production_gems" vbProcedure="false">Constants!$M$34</definedName>
    <definedName function="false" hidden="false" name="tech_production_plat" vbProcedure="false">Constants!$M$35</definedName>
    <definedName function="false" hidden="false" name="tech_spy_cost" vbProcedure="false">Constants!$M$46</definedName>
    <definedName function="false" hidden="false" name="tech_treasure_hunt_plat" vbProcedure="false">Constants!$M$54</definedName>
    <definedName function="false" hidden="false" name="tech_urban_mastery_pop" vbProcedure="false">Constants!$M$53</definedName>
    <definedName function="false" hidden="false" name="tech_wizard_cost" vbProcedure="false">Constants!$M$49</definedName>
    <definedName function="false" hidden="false" name="towers_param" vbProcedure="false">Constants!$D$112</definedName>
    <definedName function="false" hidden="false" name="tower_mana" vbProcedure="false">Constants!$B$9</definedName>
    <definedName function="false" hidden="false" name="voodoo_magi_bonus" vbProcedure="false">Constants!$C$124</definedName>
    <definedName function="false" hidden="false" name="voodoo_magi_cap" vbProcedure="false">Constants!$F$124</definedName>
    <definedName function="false" hidden="false" name="walls_forges_cap" vbProcedure="false">Constants!$D$105</definedName>
    <definedName function="false" hidden="false" name="walls_forges_param" vbProcedure="false">Constants!$D$110</definedName>
    <definedName function="false" hidden="false" name="warsong_bonus" vbProcedure="false">Constants!$F$83</definedName>
    <definedName function="false" hidden="false" name="waves" vbProcedure="false">Races!$D$95:$D$100</definedName>
    <definedName function="false" hidden="false" name="wg_mana_prod" vbProcedure="false">Constants!$B$18</definedName>
    <definedName function="false" hidden="false" name="wg_spell_cost_cap" vbProcedure="false">Constants!$D$16</definedName>
    <definedName function="false" hidden="false" name="wg_spell_cost_red" vbProcedure="false">Constants!$B$16</definedName>
    <definedName function="false" hidden="false" name="wg_wiz_cost_bonus" vbProcedure="false">Constants!$B$17</definedName>
    <definedName function="false" hidden="false" name="wg_wiz_cost_cap" vbProcedure="false">Constants!$D$17</definedName>
    <definedName function="false" hidden="false" name="wizard_plat" vbProcedure="false">Overview!$D$28</definedName>
    <definedName function="false" hidden="false" name="woodie" vbProcedure="false">Military!$CL$5</definedName>
    <definedName function="false" hidden="true" localSheetId="4" name="solver_adj" vbProcedure="false">Explore!$M$37:$M$50</definedName>
    <definedName function="false" hidden="true" localSheetId="4" name="solver_cvg" vbProcedure="false">0.0001</definedName>
    <definedName function="false" hidden="true" localSheetId="4" name="solver_drv" vbProcedure="false">1</definedName>
    <definedName function="false" hidden="true" localSheetId="4" name="solver_est" vbProcedure="false">1</definedName>
    <definedName function="false" hidden="true" localSheetId="4" name="solver_itr" vbProcedure="false">100</definedName>
    <definedName function="false" hidden="true" localSheetId="4" name="solver_lhs1" vbProcedure="false">Explore!$M$37:$M$50</definedName>
    <definedName function="false" hidden="true" localSheetId="4" name="solver_lin" vbProcedure="false">2</definedName>
    <definedName function="false" hidden="true" localSheetId="4" name="solver_neg" vbProcedure="false">2</definedName>
    <definedName function="false" hidden="true" localSheetId="4" name="solver_num" vbProcedure="false">1</definedName>
    <definedName function="false" hidden="true" localSheetId="4" name="solver_nwt" vbProcedure="false">1</definedName>
    <definedName function="false" hidden="true" localSheetId="4" name="solver_opt" vbProcedure="false">Explore!$M$32</definedName>
    <definedName function="false" hidden="true" localSheetId="4" name="solver_pre" vbProcedure="false">0.000001</definedName>
    <definedName function="false" hidden="true" localSheetId="4" name="solver_rel1" vbProcedure="false">3</definedName>
    <definedName function="false" hidden="true" localSheetId="4" name="solver_rhs1" vbProcedure="false">0</definedName>
    <definedName function="false" hidden="true" localSheetId="4" name="solver_scl" vbProcedure="false">2</definedName>
    <definedName function="false" hidden="true" localSheetId="4" name="solver_sho" vbProcedure="false">2</definedName>
    <definedName function="false" hidden="true" localSheetId="4" name="solver_tim" vbProcedure="false">100</definedName>
    <definedName function="false" hidden="true" localSheetId="4" name="solver_tol" vbProcedure="false">0.05</definedName>
    <definedName function="false" hidden="true" localSheetId="4" name="solver_typ" vbProcedure="false">1</definedName>
    <definedName function="false" hidden="true" localSheetId="4" name="solver_val" vbProcedure="false">0</definedName>
    <definedName function="false" hidden="true" localSheetId="6" name="solver_adj" vbProcedure="false">Military!$AJ$64</definedName>
    <definedName function="false" hidden="true" localSheetId="6" name="solver_cvg" vbProcedure="false">0.001</definedName>
    <definedName function="false" hidden="true" localSheetId="6" name="solver_drv" vbProcedure="false">1</definedName>
    <definedName function="false" hidden="true" localSheetId="6" name="solver_est" vbProcedure="false">1</definedName>
    <definedName function="false" hidden="true" localSheetId="6" name="solver_itr" vbProcedure="false">100</definedName>
    <definedName function="false" hidden="true" localSheetId="6" name="solver_lhs1" vbProcedure="false">Military!$AP$67</definedName>
    <definedName function="false" hidden="true" localSheetId="6" name="solver_lhs2" vbProcedure="false">Military!$AJ$64</definedName>
    <definedName function="false" hidden="true" localSheetId="6" name="solver_lin" vbProcedure="false">2</definedName>
    <definedName function="false" hidden="true" localSheetId="6" name="solver_neg" vbProcedure="false">2</definedName>
    <definedName function="false" hidden="true" localSheetId="6" name="solver_num" vbProcedure="false">2</definedName>
    <definedName function="false" hidden="true" localSheetId="6" name="solver_nwt" vbProcedure="false">1</definedName>
    <definedName function="false" hidden="true" localSheetId="6" name="solver_opt" vbProcedure="false">Military!$AJ$64</definedName>
    <definedName function="false" hidden="true" localSheetId="6" name="solver_pre" vbProcedure="false">0.000001</definedName>
    <definedName function="false" hidden="true" localSheetId="6" name="solver_rel1" vbProcedure="false">3</definedName>
    <definedName function="false" hidden="true" localSheetId="6" name="solver_rel2" vbProcedure="false">4</definedName>
    <definedName function="false" hidden="true" localSheetId="6" name="solver_rhs1" vbProcedure="false">0</definedName>
    <definedName function="false" hidden="true" localSheetId="6" name="solver_rhs2" vbProcedure="false">integer</definedName>
    <definedName function="false" hidden="true" localSheetId="6" name="solver_scl" vbProcedure="false">2</definedName>
    <definedName function="false" hidden="true" localSheetId="6" name="solver_sho" vbProcedure="false">2</definedName>
    <definedName function="false" hidden="true" localSheetId="6" name="solver_tim" vbProcedure="false">100</definedName>
    <definedName function="false" hidden="true" localSheetId="6" name="solver_tol" vbProcedure="false">0.05</definedName>
    <definedName function="false" hidden="true" localSheetId="6" name="solver_typ" vbProcedure="false">1</definedName>
    <definedName function="false" hidden="true" localSheetId="6" name="solver_val" vbProcedure="false">0</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Unknown Author</author>
  </authors>
  <commentList>
    <comment ref="B18" authorId="0">
      <text>
        <r>
          <rPr>
            <sz val="10"/>
            <rFont val="Arial"/>
            <family val="2"/>
          </rPr>
          <t xml:space="preserve">Only use this if you start after the round begins.</t>
        </r>
      </text>
    </comment>
    <comment ref="J8" authorId="0">
      <text>
        <r>
          <rPr>
            <sz val="10"/>
            <rFont val="Arial"/>
            <family val="2"/>
          </rPr>
          <t xml:space="preserve">First set of changes applied. Not tested for bugs yet.</t>
        </r>
      </text>
    </comment>
  </commentList>
</comments>
</file>

<file path=xl/comments3.xml><?xml version="1.0" encoding="utf-8"?>
<comments xmlns="http://schemas.openxmlformats.org/spreadsheetml/2006/main" xmlns:xdr="http://schemas.openxmlformats.org/drawingml/2006/spreadsheetDrawing">
  <authors>
    <author>Unknown Author</author>
  </authors>
  <commentList>
    <comment ref="C3" authorId="0">
      <text>
        <r>
          <rPr>
            <sz val="10"/>
            <rFont val="Arial"/>
            <family val="2"/>
          </rPr>
          <t xml:space="preserve">Taking these bonusses can only be done once per day before 11.59 PM SERVER TIME. But you can just cheat and take plat bonus every hour if you really want to</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L16" authorId="0">
      <text>
        <r>
          <rPr>
            <sz val="10"/>
            <rFont val="Arial"/>
            <family val="2"/>
          </rPr>
          <t xml:space="preserve">Use this area to save values, in order to determine if a change you make results in better values. (Tip: You can make custom formula's to compare different stats)</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L1" authorId="0">
      <text>
        <r>
          <rPr>
            <sz val="10"/>
            <rFont val="Arial"/>
            <family val="2"/>
          </rPr>
          <t xml:space="preserve">see below for an example</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M3" authorId="0">
      <text>
        <r>
          <rPr>
            <sz val="10"/>
            <rFont val="Arial"/>
            <family val="2"/>
          </rPr>
          <t xml:space="preserve">"1" means you have to login "0" means you can sleep
</t>
        </r>
      </text>
    </comment>
    <comment ref="O1" authorId="0">
      <text>
        <r>
          <rPr>
            <sz val="10"/>
            <rFont val="Arial"/>
            <family val="2"/>
          </rPr>
          <t xml:space="preserve">Note: In the Resource column, type the resource which you want to invest In the Part column, type which castle part you want to improve. Make sure your spelling is correct.</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I28" authorId="0">
      <text>
        <r>
          <rPr>
            <sz val="10"/>
            <rFont val="Arial"/>
            <family val="2"/>
          </rPr>
          <t xml:space="preserve">Leave blank or enter 72 for the OOP hour. Enter any other number between 0 and 132 to see that hour's Clearsight and Survey.</t>
        </r>
      </text>
    </comment>
    <comment ref="P16" authorId="0">
      <text>
        <r>
          <rPr>
            <sz val="10"/>
            <rFont val="Arial"/>
            <family val="2"/>
          </rPr>
          <t xml:space="preserve">Remember that all hours prior to Hour 1 display Hour 1 login information</t>
        </r>
      </text>
    </comment>
  </commentList>
</comments>
</file>

<file path=xl/comments14.xml><?xml version="1.0" encoding="utf-8"?>
<comments xmlns="http://schemas.openxmlformats.org/spreadsheetml/2006/main" xmlns:xdr="http://schemas.openxmlformats.org/drawingml/2006/spreadsheetDrawing">
  <authors>
    <author>Unknown Author</author>
  </authors>
  <commentList>
    <comment ref="I4" authorId="0">
      <text>
        <r>
          <rPr>
            <sz val="10"/>
            <rFont val="Arial"/>
            <family val="2"/>
          </rPr>
          <t xml:space="preserve">Don't think they are accurate anymore</t>
        </r>
      </text>
    </comment>
  </commentList>
</comments>
</file>

<file path=xl/comments15.xml><?xml version="1.0" encoding="utf-8"?>
<comments xmlns="http://schemas.openxmlformats.org/spreadsheetml/2006/main" xmlns:xdr="http://schemas.openxmlformats.org/drawingml/2006/spreadsheetDrawing">
  <authors>
    <author>Unknown Author</author>
  </authors>
  <commentList>
    <comment ref="B3" authorId="0">
      <text>
        <r>
          <rPr>
            <sz val="10"/>
            <rFont val="Arial"/>
            <family val="2"/>
          </rPr>
          <t xml:space="preserve">works less accurate as size increases</t>
        </r>
      </text>
    </comment>
  </commentList>
</comments>
</file>

<file path=xl/sharedStrings.xml><?xml version="1.0" encoding="utf-8"?>
<sst xmlns="http://schemas.openxmlformats.org/spreadsheetml/2006/main" count="3021" uniqueCount="1132">
  <si>
    <t xml:space="preserve">Welcome</t>
  </si>
  <si>
    <t xml:space="preserve">Acknowledgements</t>
  </si>
  <si>
    <r>
      <rPr>
        <sz val="10"/>
        <color rgb="FF000000"/>
        <rFont val="Arial"/>
        <family val="2"/>
        <charset val="1"/>
      </rPr>
      <t xml:space="preserve">Hello and welcome to the OpenDominion Excel Simulator. Start by selecting your desired race from the dropdown menu in cell B14. On all the sheets you'll see </t>
    </r>
    <r>
      <rPr>
        <sz val="10"/>
        <color theme="9" tint="-0.25"/>
        <rFont val="Arial"/>
        <family val="2"/>
        <charset val="1"/>
      </rPr>
      <t xml:space="preserve">orange</t>
    </r>
    <r>
      <rPr>
        <sz val="10"/>
        <color rgb="FF000000"/>
        <rFont val="Arial"/>
        <family val="2"/>
        <charset val="1"/>
      </rPr>
      <t xml:space="preserve"> boxes like the ones below. Try filling in some numbers and see how things change. Some sheets have off-colored highlighted rows between orange sections; this is just for highlighting purposes and can be interacted with all the same.</t>
    </r>
    <r>
      <rPr>
        <b val="true"/>
        <sz val="10"/>
        <color rgb="FF000000"/>
        <rFont val="Arial"/>
        <family val="2"/>
        <charset val="1"/>
      </rPr>
      <t xml:space="preserve"> In general, do NOT mess with non-orange cells</t>
    </r>
    <r>
      <rPr>
        <sz val="10"/>
        <color rgb="FF000000"/>
        <rFont val="Arial"/>
        <family val="2"/>
        <charset val="1"/>
      </rPr>
      <t xml:space="preserve">.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</si>
  <si>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val="true"/>
        <sz val="10"/>
        <rFont val="Arial"/>
        <family val="2"/>
        <charset val="1"/>
      </rPr>
      <t xml:space="preserve">Blackreign</t>
    </r>
    <r>
      <rPr>
        <sz val="10"/>
        <rFont val="Arial"/>
        <family val="2"/>
        <charset val="1"/>
      </rPr>
      <t xml:space="preserve"> - The original creator of this sheet we all know and love
</t>
    </r>
    <r>
      <rPr>
        <b val="true"/>
        <sz val="10"/>
        <rFont val="Arial"/>
        <family val="2"/>
        <charset val="1"/>
      </rPr>
      <t xml:space="preserve">Mickles</t>
    </r>
    <r>
      <rPr>
        <sz val="10"/>
        <rFont val="Arial"/>
        <family val="2"/>
        <charset val="1"/>
      </rPr>
      <t xml:space="preserve"> - For adding LOG gen and allowing us to export strats without copying the entire workbook
</t>
    </r>
    <r>
      <rPr>
        <b val="true"/>
        <sz val="10"/>
        <rFont val="Arial"/>
        <family val="2"/>
        <charset val="1"/>
      </rPr>
      <t xml:space="preserve">Thing Fish - </t>
    </r>
    <r>
      <rPr>
        <sz val="10"/>
        <rFont val="Arial"/>
        <family val="2"/>
        <charset val="1"/>
      </rPr>
      <t xml:space="preserve">For taking the time to bring the excel sim into the 21st century with a complete conversion to tables
</t>
    </r>
    <r>
      <rPr>
        <b val="true"/>
        <sz val="10"/>
        <rFont val="Arial"/>
        <family val="2"/>
        <charset val="1"/>
      </rPr>
      <t xml:space="preserve">AgFx &amp; Tidnab - </t>
    </r>
    <r>
      <rPr>
        <sz val="10"/>
        <rFont val="Arial"/>
        <family val="2"/>
        <charset val="1"/>
      </rPr>
      <t xml:space="preserve">For adding Mac compatibility</t>
    </r>
  </si>
  <si>
    <t xml:space="preserve">Getting started</t>
  </si>
  <si>
    <t xml:space="preserve">OD Round 39.5 - Undying Test Rd.</t>
  </si>
  <si>
    <t xml:space="preserve">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</si>
  <si>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 xml:space="preserve">Stats</t>
  </si>
  <si>
    <t xml:space="preserve">Race</t>
  </si>
  <si>
    <t xml:space="preserve">Firewalker</t>
  </si>
  <si>
    <t xml:space="preserve">Date&amp;Time</t>
  </si>
  <si>
    <t xml:space="preserve">.</t>
  </si>
  <si>
    <t xml:space="preserve">Race Bonuses</t>
  </si>
  <si>
    <t xml:space="preserve">Bonus</t>
  </si>
  <si>
    <t xml:space="preserve">Start of the round</t>
  </si>
  <si>
    <t xml:space="preserve">Hour 1:</t>
  </si>
  <si>
    <t xml:space="preserve">Max population</t>
  </si>
  <si>
    <t xml:space="preserve">Issues:</t>
  </si>
  <si>
    <t xml:space="preserve">TimeZone</t>
  </si>
  <si>
    <t xml:space="preserve">(0=UTC)</t>
  </si>
  <si>
    <t xml:space="preserve">Time:</t>
  </si>
  <si>
    <t xml:space="preserve">Pop growth</t>
  </si>
  <si>
    <t xml:space="preserve">Destroying factories and building the acres the same hour does not use the right cost. It assumes old factory percentage for construction, people may want to destroy and rebuild them a few at a time.</t>
  </si>
  <si>
    <t xml:space="preserve">Today</t>
  </si>
  <si>
    <t xml:space="preserve">Current Hour</t>
  </si>
  <si>
    <t xml:space="preserve">Platinum prod</t>
  </si>
  <si>
    <t xml:space="preserve">Starting days late</t>
  </si>
  <si>
    <t xml:space="preserve">Login?</t>
  </si>
  <si>
    <t xml:space="preserve">Food prod</t>
  </si>
  <si>
    <t xml:space="preserve">Lumber prod</t>
  </si>
  <si>
    <t xml:space="preserve">Mana prod</t>
  </si>
  <si>
    <t xml:space="preserve">Unit Names</t>
  </si>
  <si>
    <t xml:space="preserve">Offense</t>
  </si>
  <si>
    <t xml:space="preserve">Defense</t>
  </si>
  <si>
    <t xml:space="preserve">Platinum</t>
  </si>
  <si>
    <t xml:space="preserve">Ore</t>
  </si>
  <si>
    <t xml:space="preserve">Networth</t>
  </si>
  <si>
    <t xml:space="preserve">Ore prod</t>
  </si>
  <si>
    <t xml:space="preserve">Gem prod</t>
  </si>
  <si>
    <t xml:space="preserve">Food cons</t>
  </si>
  <si>
    <t xml:space="preserve">Spy</t>
  </si>
  <si>
    <t xml:space="preserve">Spy strength</t>
  </si>
  <si>
    <t xml:space="preserve">Archspy</t>
  </si>
  <si>
    <t xml:space="preserve">Wizard strength</t>
  </si>
  <si>
    <t xml:space="preserve">Wizard</t>
  </si>
  <si>
    <t xml:space="preserve">Invest bonus</t>
  </si>
  <si>
    <t xml:space="preserve">Archmage</t>
  </si>
  <si>
    <t xml:space="preserve">Rezone Cost</t>
  </si>
  <si>
    <t xml:space="preserve">Disclaimer: The Spellblade costs 10 gems/unit. This cost is not included in the sim.</t>
  </si>
  <si>
    <t xml:space="preserve">Construction Cost</t>
  </si>
  <si>
    <t xml:space="preserve">Research</t>
  </si>
  <si>
    <t xml:space="preserve">Explore Cost</t>
  </si>
  <si>
    <t xml:space="preserve">OOP Results</t>
  </si>
  <si>
    <t xml:space="preserve">Military</t>
  </si>
  <si>
    <t xml:space="preserve"> </t>
  </si>
  <si>
    <t xml:space="preserve">OP Mod</t>
  </si>
  <si>
    <t xml:space="preserve">DP Bonus</t>
  </si>
  <si>
    <t xml:space="preserve">DP Mod</t>
  </si>
  <si>
    <t xml:space="preserve">Name</t>
  </si>
  <si>
    <t xml:space="preserve">Amount</t>
  </si>
  <si>
    <t xml:space="preserve">Raw</t>
  </si>
  <si>
    <t xml:space="preserve">Modded</t>
  </si>
  <si>
    <t xml:space="preserve">Assumptions:</t>
  </si>
  <si>
    <t xml:space="preserve">The explore cost function assumes you first explore, then take daily land bonus, when applicable.</t>
  </si>
  <si>
    <t xml:space="preserve">The sim assumes your construction minus 20 land occurs before you take the landbonus.</t>
  </si>
  <si>
    <t xml:space="preserve">Draftees</t>
  </si>
  <si>
    <t xml:space="preserve">Draftee dp</t>
  </si>
  <si>
    <t xml:space="preserve">Also, the sim assumes you dont cheat. That is: take platbonus twice a day, expend more plat than you have, etc.</t>
  </si>
  <si>
    <t xml:space="preserve">Forest Havens</t>
  </si>
  <si>
    <t xml:space="preserve">Haven dp</t>
  </si>
  <si>
    <t xml:space="preserve">Acres</t>
  </si>
  <si>
    <t xml:space="preserve">   </t>
  </si>
  <si>
    <t xml:space="preserve">Ratios</t>
  </si>
  <si>
    <t xml:space="preserve">Land</t>
  </si>
  <si>
    <t xml:space="preserve">Type</t>
  </si>
  <si>
    <t xml:space="preserve">OPA</t>
  </si>
  <si>
    <t xml:space="preserve">DPA</t>
  </si>
  <si>
    <t xml:space="preserve">Boats will carry</t>
  </si>
  <si>
    <t xml:space="preserve">SPA</t>
  </si>
  <si>
    <t xml:space="preserve">Number of Logins</t>
  </si>
  <si>
    <t xml:space="preserve">WPA</t>
  </si>
  <si>
    <t xml:space="preserve">Peasants</t>
  </si>
  <si>
    <t xml:space="preserve">Hour</t>
  </si>
  <si>
    <t xml:space="preserve">Without Training</t>
  </si>
  <si>
    <t xml:space="preserve">DP</t>
  </si>
  <si>
    <t xml:space="preserve">OOP</t>
  </si>
  <si>
    <t xml:space="preserve">OP</t>
  </si>
  <si>
    <t xml:space="preserve">Plat/hr</t>
  </si>
  <si>
    <t xml:space="preserve">Plat Expense</t>
  </si>
  <si>
    <t xml:space="preserve">Category</t>
  </si>
  <si>
    <t xml:space="preserve">Relative</t>
  </si>
  <si>
    <t xml:space="preserve">Food</t>
  </si>
  <si>
    <t xml:space="preserve">Construction</t>
  </si>
  <si>
    <t xml:space="preserve">Lumber</t>
  </si>
  <si>
    <t xml:space="preserve">Exploration</t>
  </si>
  <si>
    <t xml:space="preserve">Mana</t>
  </si>
  <si>
    <t xml:space="preserve">Rezone</t>
  </si>
  <si>
    <t xml:space="preserve">Gems</t>
  </si>
  <si>
    <t xml:space="preserve">Improvements</t>
  </si>
  <si>
    <t xml:space="preserve">Boats</t>
  </si>
  <si>
    <t xml:space="preserve">Total</t>
  </si>
  <si>
    <t xml:space="preserve">incoming land</t>
  </si>
  <si>
    <t xml:space="preserve">incoming buildings</t>
  </si>
  <si>
    <t xml:space="preserve">barren</t>
  </si>
  <si>
    <t xml:space="preserve">Alignment:</t>
  </si>
  <si>
    <t xml:space="preserve">incoming</t>
  </si>
  <si>
    <t xml:space="preserve">Homeland:</t>
  </si>
  <si>
    <t xml:space="preserve">Special Bonuses</t>
  </si>
  <si>
    <t xml:space="preserve">Land related</t>
  </si>
  <si>
    <t xml:space="preserve">race</t>
  </si>
  <si>
    <t xml:space="preserve">unit</t>
  </si>
  <si>
    <t xml:space="preserve">offense</t>
  </si>
  <si>
    <t xml:space="preserve">defense</t>
  </si>
  <si>
    <t xml:space="preserve">Wood Elf</t>
  </si>
  <si>
    <t xml:space="preserve">Mystic</t>
  </si>
  <si>
    <t xml:space="preserve">Druid</t>
  </si>
  <si>
    <t xml:space="preserve">Sylvan</t>
  </si>
  <si>
    <t xml:space="preserve">Dryad</t>
  </si>
  <si>
    <t xml:space="preserve">Gnome</t>
  </si>
  <si>
    <t xml:space="preserve">Rockapult</t>
  </si>
  <si>
    <t xml:space="preserve">Dark Elf</t>
  </si>
  <si>
    <t xml:space="preserve">Adept</t>
  </si>
  <si>
    <t xml:space="preserve">Icekin</t>
  </si>
  <si>
    <t xml:space="preserve">Frost Mage</t>
  </si>
  <si>
    <t xml:space="preserve">Ice Elemental</t>
  </si>
  <si>
    <t xml:space="preserve">Orc</t>
  </si>
  <si>
    <t xml:space="preserve">Voodoo Magi</t>
  </si>
  <si>
    <t xml:space="preserve">Bone Breaker</t>
  </si>
  <si>
    <t xml:space="preserve">Nox</t>
  </si>
  <si>
    <t xml:space="preserve">Nightshade</t>
  </si>
  <si>
    <t xml:space="preserve">Unit related</t>
  </si>
  <si>
    <t xml:space="preserve">Kobold</t>
  </si>
  <si>
    <t xml:space="preserve">Beasts</t>
  </si>
  <si>
    <t xml:space="preserve">Overlords</t>
  </si>
  <si>
    <t xml:space="preserve">Halfling</t>
  </si>
  <si>
    <t xml:space="preserve">Master Thief</t>
  </si>
  <si>
    <t xml:space="preserve">Lizardfolk</t>
  </si>
  <si>
    <t xml:space="preserve">Chameleon</t>
  </si>
  <si>
    <t xml:space="preserve">Population</t>
  </si>
  <si>
    <t xml:space="preserve">Growth</t>
  </si>
  <si>
    <t xml:space="preserve">Population bonuses</t>
  </si>
  <si>
    <t xml:space="preserve">Spies</t>
  </si>
  <si>
    <t xml:space="preserve">Wizards</t>
  </si>
  <si>
    <t xml:space="preserve">Archmages</t>
  </si>
  <si>
    <t xml:space="preserve">Time</t>
  </si>
  <si>
    <t xml:space="preserve">Military%</t>
  </si>
  <si>
    <t xml:space="preserve">Employed</t>
  </si>
  <si>
    <t xml:space="preserve">Employment</t>
  </si>
  <si>
    <t xml:space="preserve">Jobs</t>
  </si>
  <si>
    <t xml:space="preserve"> Draftees</t>
  </si>
  <si>
    <t xml:space="preserve">Unit 1</t>
  </si>
  <si>
    <t xml:space="preserve">Unit 2</t>
  </si>
  <si>
    <t xml:space="preserve">Unit 3</t>
  </si>
  <si>
    <t xml:space="preserve">Unit 4</t>
  </si>
  <si>
    <t xml:space="preserve">..</t>
  </si>
  <si>
    <t xml:space="preserve">Net max</t>
  </si>
  <si>
    <t xml:space="preserve">Raw max</t>
  </si>
  <si>
    <t xml:space="preserve">Net Peasant</t>
  </si>
  <si>
    <t xml:space="preserve">Modded Birth</t>
  </si>
  <si>
    <t xml:space="preserve">Raw Birth</t>
  </si>
  <si>
    <t xml:space="preserve">Draft Growth</t>
  </si>
  <si>
    <t xml:space="preserve">....</t>
  </si>
  <si>
    <t xml:space="preserve">Max pop</t>
  </si>
  <si>
    <t xml:space="preserve">Take</t>
  </si>
  <si>
    <t xml:space="preserve">Status</t>
  </si>
  <si>
    <t xml:space="preserve">Net production</t>
  </si>
  <si>
    <t xml:space="preserve">Raw production</t>
  </si>
  <si>
    <t xml:space="preserve">Production Bonuses</t>
  </si>
  <si>
    <t xml:space="preserve">Factors</t>
  </si>
  <si>
    <t xml:space="preserve">Expenses</t>
  </si>
  <si>
    <t xml:space="preserve">National Bank</t>
  </si>
  <si>
    <t xml:space="preserve">Plat Bonus</t>
  </si>
  <si>
    <t xml:space="preserve">Prestige</t>
  </si>
  <si>
    <t xml:space="preserve">Techpoints</t>
  </si>
  <si>
    <t xml:space="preserve">Required</t>
  </si>
  <si>
    <t xml:space="preserve">Food/hr</t>
  </si>
  <si>
    <t xml:space="preserve">Lumber/hr</t>
  </si>
  <si>
    <t xml:space="preserve">Mana/hr</t>
  </si>
  <si>
    <t xml:space="preserve">Ore/hr</t>
  </si>
  <si>
    <t xml:space="preserve">Gems/hr</t>
  </si>
  <si>
    <t xml:space="preserve">Boats/hr</t>
  </si>
  <si>
    <t xml:space="preserve">…</t>
  </si>
  <si>
    <t xml:space="preserve">Raw Plat/hr</t>
  </si>
  <si>
    <t xml:space="preserve">Raw Food/hr</t>
  </si>
  <si>
    <t xml:space="preserve">Raw Lumber/hr</t>
  </si>
  <si>
    <t xml:space="preserve">Raw Mana/hr</t>
  </si>
  <si>
    <t xml:space="preserve">Raw Ore/hr</t>
  </si>
  <si>
    <t xml:space="preserve">Raw Gems/hr</t>
  </si>
  <si>
    <t xml:space="preserve">Bonus Plat/hr</t>
  </si>
  <si>
    <t xml:space="preserve">Bonus Food/hr</t>
  </si>
  <si>
    <t xml:space="preserve">Bonus Lumber/hr</t>
  </si>
  <si>
    <t xml:space="preserve">Bonus Mana/hr</t>
  </si>
  <si>
    <t xml:space="preserve">Bonux Ore/hr</t>
  </si>
  <si>
    <t xml:space="preserve">Bonus Gems/hr</t>
  </si>
  <si>
    <t xml:space="preserve">….</t>
  </si>
  <si>
    <t xml:space="preserve">Food decay</t>
  </si>
  <si>
    <t xml:space="preserve">Food eaten</t>
  </si>
  <si>
    <t xml:space="preserve">Lumber rot</t>
  </si>
  <si>
    <t xml:space="preserve">Mana drain</t>
  </si>
  <si>
    <t xml:space="preserve">…..</t>
  </si>
  <si>
    <t xml:space="preserve">Expenses Platinum</t>
  </si>
  <si>
    <t xml:space="preserve">Expenses Lumber</t>
  </si>
  <si>
    <t xml:space="preserve">Expenses Mana</t>
  </si>
  <si>
    <t xml:space="preserve">Expenses Ore</t>
  </si>
  <si>
    <t xml:space="preserve">Expenses Gems</t>
  </si>
  <si>
    <t xml:space="preserve">…...</t>
  </si>
  <si>
    <t xml:space="preserve">Guard</t>
  </si>
  <si>
    <t xml:space="preserve">Set Guard</t>
  </si>
  <si>
    <t xml:space="preserve">Hour (2)</t>
  </si>
  <si>
    <t xml:space="preserve">Bank Plat</t>
  </si>
  <si>
    <t xml:space="preserve">Bank Lumber</t>
  </si>
  <si>
    <t xml:space="preserve">Bank Ore</t>
  </si>
  <si>
    <t xml:space="preserve">Bank Gems</t>
  </si>
  <si>
    <t xml:space="preserve">Time (2)</t>
  </si>
  <si>
    <t xml:space="preserve">Ok?</t>
  </si>
  <si>
    <t xml:space="preserve">Stats Platinum</t>
  </si>
  <si>
    <t xml:space="preserve">Stats Food</t>
  </si>
  <si>
    <t xml:space="preserve">Stats Lumber</t>
  </si>
  <si>
    <t xml:space="preserve">Stats Mana</t>
  </si>
  <si>
    <t xml:space="preserve">Stats Ore</t>
  </si>
  <si>
    <t xml:space="preserve">Barren</t>
  </si>
  <si>
    <t xml:space="preserve">Construct</t>
  </si>
  <si>
    <t xml:space="preserve">-DB</t>
  </si>
  <si>
    <t xml:space="preserve">DB</t>
  </si>
  <si>
    <t xml:space="preserve">Resources</t>
  </si>
  <si>
    <t xml:space="preserve">Cost per acre -DB</t>
  </si>
  <si>
    <t xml:space="preserve">Cost per acre DB</t>
  </si>
  <si>
    <t xml:space="preserve">Total Cost</t>
  </si>
  <si>
    <t xml:space="preserve">Raw cost per acre</t>
  </si>
  <si>
    <t xml:space="preserve">Buildings</t>
  </si>
  <si>
    <t xml:space="preserve">Destroy</t>
  </si>
  <si>
    <t xml:space="preserve">Changes</t>
  </si>
  <si>
    <t xml:space="preserve">Total Land (ex homes)</t>
  </si>
  <si>
    <t xml:space="preserve">Home Land</t>
  </si>
  <si>
    <t xml:space="preserve">New Food Production</t>
  </si>
  <si>
    <t xml:space="preserve">Incoming</t>
  </si>
  <si>
    <t xml:space="preserve">Plain</t>
  </si>
  <si>
    <t xml:space="preserve">Forest</t>
  </si>
  <si>
    <t xml:space="preserve">Mountain</t>
  </si>
  <si>
    <t xml:space="preserve">Hill</t>
  </si>
  <si>
    <t xml:space="preserve">Swamp</t>
  </si>
  <si>
    <t xml:space="preserve">Cavern</t>
  </si>
  <si>
    <t xml:space="preserve">Water</t>
  </si>
  <si>
    <t xml:space="preserve">Hour  </t>
  </si>
  <si>
    <t xml:space="preserve">Hom</t>
  </si>
  <si>
    <t xml:space="preserve">Alc</t>
  </si>
  <si>
    <t xml:space="preserve">Far</t>
  </si>
  <si>
    <t xml:space="preserve">Smi</t>
  </si>
  <si>
    <t xml:space="preserve">Mas</t>
  </si>
  <si>
    <t xml:space="preserve">Ly</t>
  </si>
  <si>
    <t xml:space="preserve">Hav</t>
  </si>
  <si>
    <t xml:space="preserve">OM</t>
  </si>
  <si>
    <t xml:space="preserve">GN</t>
  </si>
  <si>
    <t xml:space="preserve">Fac</t>
  </si>
  <si>
    <t xml:space="preserve">GT</t>
  </si>
  <si>
    <t xml:space="preserve">Bar</t>
  </si>
  <si>
    <t xml:space="preserve">Shr</t>
  </si>
  <si>
    <t xml:space="preserve">Tow</t>
  </si>
  <si>
    <t xml:space="preserve">Tem</t>
  </si>
  <si>
    <t xml:space="preserve">WG</t>
  </si>
  <si>
    <t xml:space="preserve">DM</t>
  </si>
  <si>
    <t xml:space="preserve">Sch</t>
  </si>
  <si>
    <t xml:space="preserve">Doc</t>
  </si>
  <si>
    <t xml:space="preserve">time</t>
  </si>
  <si>
    <t xml:space="preserve">Facs -DB</t>
  </si>
  <si>
    <t xml:space="preserve">Facs DB</t>
  </si>
  <si>
    <t xml:space="preserve">CPA Platinum -DB</t>
  </si>
  <si>
    <t xml:space="preserve">CPA Lumber -DB</t>
  </si>
  <si>
    <t xml:space="preserve">CPA Platinum DB</t>
  </si>
  <si>
    <t xml:space="preserve">CPA Lumber DB</t>
  </si>
  <si>
    <t xml:space="preserve">Total Plat Cost</t>
  </si>
  <si>
    <t xml:space="preserve">Total Lum Cost</t>
  </si>
  <si>
    <t xml:space="preserve">build -db</t>
  </si>
  <si>
    <t xml:space="preserve">build db</t>
  </si>
  <si>
    <t xml:space="preserve">RCPA Platinum </t>
  </si>
  <si>
    <t xml:space="preserve">RCPA Lumber</t>
  </si>
  <si>
    <t xml:space="preserve">Tot Hom</t>
  </si>
  <si>
    <t xml:space="preserve">Tot Alc</t>
  </si>
  <si>
    <t xml:space="preserve">Tot Farm</t>
  </si>
  <si>
    <t xml:space="preserve">Tot Smi</t>
  </si>
  <si>
    <t xml:space="preserve">Tot Mas</t>
  </si>
  <si>
    <t xml:space="preserve">Tot Ly</t>
  </si>
  <si>
    <t xml:space="preserve">Tot Hav</t>
  </si>
  <si>
    <t xml:space="preserve">Tot OM</t>
  </si>
  <si>
    <t xml:space="preserve">Tot GN</t>
  </si>
  <si>
    <t xml:space="preserve">Tot Fac</t>
  </si>
  <si>
    <t xml:space="preserve">Tot GT</t>
  </si>
  <si>
    <t xml:space="preserve">Tot Bar</t>
  </si>
  <si>
    <t xml:space="preserve">Tot Shr</t>
  </si>
  <si>
    <t xml:space="preserve">Tot Tow</t>
  </si>
  <si>
    <t xml:space="preserve">Tot Tem</t>
  </si>
  <si>
    <t xml:space="preserve">Tot WG</t>
  </si>
  <si>
    <t xml:space="preserve">Tot DM</t>
  </si>
  <si>
    <t xml:space="preserve">Tot Sch</t>
  </si>
  <si>
    <t xml:space="preserve">Tot Doc</t>
  </si>
  <si>
    <t xml:space="preserve">Land (2)</t>
  </si>
  <si>
    <t xml:space="preserve">Dest Hom</t>
  </si>
  <si>
    <t xml:space="preserve">Dest Alc</t>
  </si>
  <si>
    <t xml:space="preserve">Dest Farm</t>
  </si>
  <si>
    <t xml:space="preserve">Dest Smi</t>
  </si>
  <si>
    <t xml:space="preserve">Dest Mas</t>
  </si>
  <si>
    <t xml:space="preserve">Dest Ly</t>
  </si>
  <si>
    <t xml:space="preserve">Dest Hav</t>
  </si>
  <si>
    <t xml:space="preserve">Dest OM</t>
  </si>
  <si>
    <t xml:space="preserve">Dest GN</t>
  </si>
  <si>
    <t xml:space="preserve">Dest Fac</t>
  </si>
  <si>
    <t xml:space="preserve">Dest GT</t>
  </si>
  <si>
    <t xml:space="preserve">Dest Bar</t>
  </si>
  <si>
    <t xml:space="preserve">Dest Shr</t>
  </si>
  <si>
    <t xml:space="preserve">Dest Tow</t>
  </si>
  <si>
    <t xml:space="preserve">Dest Tem</t>
  </si>
  <si>
    <t xml:space="preserve">Dest WG</t>
  </si>
  <si>
    <t xml:space="preserve">Dest DM</t>
  </si>
  <si>
    <t xml:space="preserve">Dest Sch</t>
  </si>
  <si>
    <t xml:space="preserve">Dest Doc</t>
  </si>
  <si>
    <t xml:space="preserve">…....</t>
  </si>
  <si>
    <t xml:space="preserve">Ch_Plain</t>
  </si>
  <si>
    <t xml:space="preserve">Ch_Forest</t>
  </si>
  <si>
    <t xml:space="preserve">Ch_Mountain</t>
  </si>
  <si>
    <t xml:space="preserve">Ch_Hill</t>
  </si>
  <si>
    <t xml:space="preserve">Ch_Swamp</t>
  </si>
  <si>
    <t xml:space="preserve">Ch_Cavern</t>
  </si>
  <si>
    <t xml:space="preserve">Ch_Water</t>
  </si>
  <si>
    <t xml:space="preserve">….....</t>
  </si>
  <si>
    <t xml:space="preserve">Total Plain</t>
  </si>
  <si>
    <t xml:space="preserve">Total Forest</t>
  </si>
  <si>
    <t xml:space="preserve">Total Mountain</t>
  </si>
  <si>
    <t xml:space="preserve">Total Hill</t>
  </si>
  <si>
    <t xml:space="preserve">Total Swamp</t>
  </si>
  <si>
    <t xml:space="preserve">Total Cavern</t>
  </si>
  <si>
    <t xml:space="preserve">Total Water</t>
  </si>
  <si>
    <t xml:space="preserve">Homeland</t>
  </si>
  <si>
    <t xml:space="preserve">Homes</t>
  </si>
  <si>
    <t xml:space="preserve">Farms</t>
  </si>
  <si>
    <t xml:space="preserve">Docks</t>
  </si>
  <si>
    <t xml:space="preserve">Some stats to keep track of</t>
  </si>
  <si>
    <t xml:space="preserve">Explore</t>
  </si>
  <si>
    <t xml:space="preserve">Cost</t>
  </si>
  <si>
    <t xml:space="preserve">Plains</t>
  </si>
  <si>
    <t xml:space="preserve">Mountn</t>
  </si>
  <si>
    <t xml:space="preserve">Hills</t>
  </si>
  <si>
    <t xml:space="preserve">Caverns</t>
  </si>
  <si>
    <t xml:space="preserve">Column2</t>
  </si>
  <si>
    <t xml:space="preserve">Column3</t>
  </si>
  <si>
    <t xml:space="preserve">Column4</t>
  </si>
  <si>
    <t xml:space="preserve">Smithies</t>
  </si>
  <si>
    <t xml:space="preserve">Employm.</t>
  </si>
  <si>
    <t xml:space="preserve">Popul.</t>
  </si>
  <si>
    <t xml:space="preserve">Land Bonus</t>
  </si>
  <si>
    <t xml:space="preserve">Plains Explore</t>
  </si>
  <si>
    <t xml:space="preserve">Forest Explore</t>
  </si>
  <si>
    <t xml:space="preserve">Mountain Explore</t>
  </si>
  <si>
    <t xml:space="preserve">Hill Explore</t>
  </si>
  <si>
    <t xml:space="preserve">Swamp Explore</t>
  </si>
  <si>
    <t xml:space="preserve">Cavern Explore</t>
  </si>
  <si>
    <t xml:space="preserve">Water Explore</t>
  </si>
  <si>
    <t xml:space="preserve">Land-DB</t>
  </si>
  <si>
    <t xml:space="preserve">Plat/acre</t>
  </si>
  <si>
    <t xml:space="preserve">Draftees/acre</t>
  </si>
  <si>
    <t xml:space="preserve">Platinum (2)</t>
  </si>
  <si>
    <t xml:space="preserve">Draftees (2)</t>
  </si>
  <si>
    <t xml:space="preserve">Max Explore</t>
  </si>
  <si>
    <t xml:space="preserve">old info</t>
  </si>
  <si>
    <t xml:space="preserve">Plat 63</t>
  </si>
  <si>
    <t xml:space="preserve">Income OOP</t>
  </si>
  <si>
    <t xml:space="preserve">Draftees 61</t>
  </si>
  <si>
    <t xml:space="preserve">acres OOP</t>
  </si>
  <si>
    <t xml:space="preserve">actual info</t>
  </si>
  <si>
    <t xml:space="preserve">Exp Draft Cost</t>
  </si>
  <si>
    <t xml:space="preserve">Max Acres</t>
  </si>
  <si>
    <t xml:space="preserve">Explore Draftee Cost</t>
  </si>
  <si>
    <t xml:space="preserve">Rezone*</t>
  </si>
  <si>
    <t xml:space="preserve">Recources</t>
  </si>
  <si>
    <t xml:space="preserve">RawCost</t>
  </si>
  <si>
    <t xml:space="preserve">Mountains</t>
  </si>
  <si>
    <t xml:space="preserve">Plains Rezone</t>
  </si>
  <si>
    <t xml:space="preserve">Forest Rezone</t>
  </si>
  <si>
    <t xml:space="preserve">Mountain Rezone</t>
  </si>
  <si>
    <t xml:space="preserve">Hill Rezone</t>
  </si>
  <si>
    <t xml:space="preserve">Swamp Rezone</t>
  </si>
  <si>
    <t xml:space="preserve">Cavern Rezone</t>
  </si>
  <si>
    <t xml:space="preserve">Water Rezone</t>
  </si>
  <si>
    <t xml:space="preserve">Total acres</t>
  </si>
  <si>
    <t xml:space="preserve">Platinum cost</t>
  </si>
  <si>
    <t xml:space="preserve">Plat/acre*</t>
  </si>
  <si>
    <t xml:space="preserve">Facs</t>
  </si>
  <si>
    <t xml:space="preserve">*e.g.:</t>
  </si>
  <si>
    <t xml:space="preserve">Rezones 10 acres of mountain into forest</t>
  </si>
  <si>
    <t xml:space="preserve">Raw Defense</t>
  </si>
  <si>
    <t xml:space="preserve">Mod Defense</t>
  </si>
  <si>
    <t xml:space="preserve">Train</t>
  </si>
  <si>
    <t xml:space="preserve">Release</t>
  </si>
  <si>
    <t xml:space="preserve">Troop Costs</t>
  </si>
  <si>
    <t xml:space="preserve">Special race bonuses</t>
  </si>
  <si>
    <t xml:space="preserve">Special bonus networth</t>
  </si>
  <si>
    <t xml:space="preserve">Archspies</t>
  </si>
  <si>
    <t xml:space="preserve">Mods_Off</t>
  </si>
  <si>
    <t xml:space="preserve">Non Draft</t>
  </si>
  <si>
    <t xml:space="preserve">Draft</t>
  </si>
  <si>
    <t xml:space="preserve">Mods_Def</t>
  </si>
  <si>
    <t xml:space="preserve">Non Draft (mod)</t>
  </si>
  <si>
    <t xml:space="preserve">Draft (mod)</t>
  </si>
  <si>
    <t xml:space="preserve">Set</t>
  </si>
  <si>
    <t xml:space="preserve">Draftrate</t>
  </si>
  <si>
    <t xml:space="preserve">Train Unit 1</t>
  </si>
  <si>
    <t xml:space="preserve">Train Unit 2</t>
  </si>
  <si>
    <t xml:space="preserve">Train Unit 3</t>
  </si>
  <si>
    <t xml:space="preserve">Train Unit 4</t>
  </si>
  <si>
    <t xml:space="preserve">Train Spies</t>
  </si>
  <si>
    <t xml:space="preserve">Train AS</t>
  </si>
  <si>
    <t xml:space="preserve">Train Wiz</t>
  </si>
  <si>
    <t xml:space="preserve">Train AM</t>
  </si>
  <si>
    <t xml:space="preserve">Secondary recource</t>
  </si>
  <si>
    <t xml:space="preserve">Plat Cost</t>
  </si>
  <si>
    <t xml:space="preserve">Sec. rec. Cost</t>
  </si>
  <si>
    <t xml:space="preserve">Hour </t>
  </si>
  <si>
    <t xml:space="preserve">Time </t>
  </si>
  <si>
    <t xml:space="preserve">Draftees22</t>
  </si>
  <si>
    <t xml:space="preserve">Release Draft</t>
  </si>
  <si>
    <t xml:space="preserve">Release Unit 1</t>
  </si>
  <si>
    <t xml:space="preserve">Release Unit 2</t>
  </si>
  <si>
    <t xml:space="preserve">Release Unit 3</t>
  </si>
  <si>
    <t xml:space="preserve">Release Unit 4</t>
  </si>
  <si>
    <t xml:space="preserve">Release Spies</t>
  </si>
  <si>
    <t xml:space="preserve">Release AS</t>
  </si>
  <si>
    <t xml:space="preserve">Release Wizards</t>
  </si>
  <si>
    <t xml:space="preserve">Release AM</t>
  </si>
  <si>
    <t xml:space="preserve">Column31</t>
  </si>
  <si>
    <t xml:space="preserve">WG's</t>
  </si>
  <si>
    <t xml:space="preserve">FH's</t>
  </si>
  <si>
    <t xml:space="preserve">OP Plat</t>
  </si>
  <si>
    <t xml:space="preserve">OP Ore</t>
  </si>
  <si>
    <t xml:space="preserve">DP Plat</t>
  </si>
  <si>
    <t xml:space="preserve">DP Ore</t>
  </si>
  <si>
    <t xml:space="preserve">E1 Plat</t>
  </si>
  <si>
    <t xml:space="preserve">E1 Ore</t>
  </si>
  <si>
    <t xml:space="preserve">E2 Plat</t>
  </si>
  <si>
    <t xml:space="preserve">E2 Ore</t>
  </si>
  <si>
    <t xml:space="preserve">Spie cost</t>
  </si>
  <si>
    <t xml:space="preserve">ASs Cost</t>
  </si>
  <si>
    <t xml:space="preserve">Wizzies cost</t>
  </si>
  <si>
    <t xml:space="preserve">AMs cost</t>
  </si>
  <si>
    <t xml:space="preserve">…2</t>
  </si>
  <si>
    <t xml:space="preserve">Druid (op)</t>
  </si>
  <si>
    <t xml:space="preserve">Druid (dp)</t>
  </si>
  <si>
    <t xml:space="preserve">Spellblade</t>
  </si>
  <si>
    <t xml:space="preserve">Adept-DP</t>
  </si>
  <si>
    <t xml:space="preserve">Column36</t>
  </si>
  <si>
    <t xml:space="preserve">Column37</t>
  </si>
  <si>
    <t xml:space="preserve">Column38</t>
  </si>
  <si>
    <t xml:space="preserve">Mystic bonus</t>
  </si>
  <si>
    <t xml:space="preserve">Druid bonus</t>
  </si>
  <si>
    <t xml:space="preserve">Wood Elf bonus</t>
  </si>
  <si>
    <t xml:space="preserve">Dryad bonus</t>
  </si>
  <si>
    <t xml:space="preserve">Sylvan bonus</t>
  </si>
  <si>
    <t xml:space="preserve">Rockapult bonus</t>
  </si>
  <si>
    <t xml:space="preserve">Gnome bonus</t>
  </si>
  <si>
    <t xml:space="preserve">Adept bonus</t>
  </si>
  <si>
    <t xml:space="preserve">Dark Elf bonus</t>
  </si>
  <si>
    <t xml:space="preserve">Frost Mage bonus</t>
  </si>
  <si>
    <t xml:space="preserve">Ice Elemental bonus</t>
  </si>
  <si>
    <t xml:space="preserve">Icekin bonus</t>
  </si>
  <si>
    <t xml:space="preserve">Column46</t>
  </si>
  <si>
    <t xml:space="preserve">Favorable Terrain Bonus</t>
  </si>
  <si>
    <t xml:space="preserve">Column48</t>
  </si>
  <si>
    <t xml:space="preserve">Networth (2)</t>
  </si>
  <si>
    <t xml:space="preserve">  </t>
  </si>
  <si>
    <t xml:space="preserve">Raw (2)</t>
  </si>
  <si>
    <t xml:space="preserve">Modded (2)</t>
  </si>
  <si>
    <t xml:space="preserve">base</t>
  </si>
  <si>
    <t xml:space="preserve">elite1 op</t>
  </si>
  <si>
    <t xml:space="preserve">elite1 dp</t>
  </si>
  <si>
    <t xml:space="preserve">elite2 op</t>
  </si>
  <si>
    <t xml:space="preserve">elite2 dp</t>
  </si>
  <si>
    <t xml:space="preserve">Goblin / Orc/Hum</t>
  </si>
  <si>
    <t xml:space="preserve">Active Spells</t>
  </si>
  <si>
    <t xml:space="preserve">Dwarf</t>
  </si>
  <si>
    <t xml:space="preserve">Sylvan / Goblin / Orc</t>
  </si>
  <si>
    <t xml:space="preserve">Cast</t>
  </si>
  <si>
    <t xml:space="preserve">Dwarf/Gnome</t>
  </si>
  <si>
    <t xml:space="preserve">Nomad</t>
  </si>
  <si>
    <t xml:space="preserve">Other</t>
  </si>
  <si>
    <t xml:space="preserve">Wiz str</t>
  </si>
  <si>
    <t xml:space="preserve">Pop</t>
  </si>
  <si>
    <t xml:space="preserve">Gaia's Watch</t>
  </si>
  <si>
    <t xml:space="preserve">Mining Strength</t>
  </si>
  <si>
    <t xml:space="preserve">Ares Call</t>
  </si>
  <si>
    <t xml:space="preserve">Midas Touch</t>
  </si>
  <si>
    <t xml:space="preserve">Harmony</t>
  </si>
  <si>
    <t xml:space="preserve">Miner's Sight</t>
  </si>
  <si>
    <t xml:space="preserve">Mechanical Genius</t>
  </si>
  <si>
    <t xml:space="preserve">Frenzy</t>
  </si>
  <si>
    <t xml:space="preserve">Killing Rage / Bloodrage / Crusade</t>
  </si>
  <si>
    <t xml:space="preserve">Gaia's Blessing</t>
  </si>
  <si>
    <t xml:space="preserve">Howling</t>
  </si>
  <si>
    <t xml:space="preserve">Alchemist Frost</t>
  </si>
  <si>
    <t xml:space="preserve">Alchemists Flame</t>
  </si>
  <si>
    <t xml:space="preserve">Nightfall</t>
  </si>
  <si>
    <t xml:space="preserve">Favorable Terrain</t>
  </si>
  <si>
    <t xml:space="preserve">Useless spell</t>
  </si>
  <si>
    <t xml:space="preserve">Mana cost</t>
  </si>
  <si>
    <t xml:space="preserve">Wiz str cost</t>
  </si>
  <si>
    <t xml:space="preserve">Active Gaia's Watch</t>
  </si>
  <si>
    <t xml:space="preserve">Active Mining Strength</t>
  </si>
  <si>
    <t xml:space="preserve">Active Ares Call</t>
  </si>
  <si>
    <t xml:space="preserve">Active Midas Touch</t>
  </si>
  <si>
    <t xml:space="preserve">Active Harmony</t>
  </si>
  <si>
    <t xml:space="preserve">Active Miner's Sight</t>
  </si>
  <si>
    <t xml:space="preserve">Active Mechanical Genius</t>
  </si>
  <si>
    <t xml:space="preserve">Active Frenzy</t>
  </si>
  <si>
    <t xml:space="preserve">Active Warsong / Killing Rage / Bloodrage</t>
  </si>
  <si>
    <t xml:space="preserve">Active Gaia's Blessing</t>
  </si>
  <si>
    <t xml:space="preserve">Active Howling</t>
  </si>
  <si>
    <t xml:space="preserve">Active Alch Frost</t>
  </si>
  <si>
    <t xml:space="preserve">Active Alchemists Flame</t>
  </si>
  <si>
    <t xml:space="preserve">Active Nightfall</t>
  </si>
  <si>
    <t xml:space="preserve">Active Favorable Terrain</t>
  </si>
  <si>
    <t xml:space="preserve">Hour first tech is activated</t>
  </si>
  <si>
    <t xml:space="preserve">Select the tech by typing in column F (Select tech). Type in the hour at which you want to manage that tech.</t>
  </si>
  <si>
    <t xml:space="preserve">Activate @ hour</t>
  </si>
  <si>
    <t xml:space="preserve">Number</t>
  </si>
  <si>
    <t xml:space="preserve">Tech name</t>
  </si>
  <si>
    <t xml:space="preserve">Gains</t>
  </si>
  <si>
    <t xml:space="preserve">Sum of tech</t>
  </si>
  <si>
    <t xml:space="preserve">1-1</t>
  </si>
  <si>
    <t xml:space="preserve">1-2</t>
  </si>
  <si>
    <t xml:space="preserve">1-3</t>
  </si>
  <si>
    <t xml:space="preserve">1-4</t>
  </si>
  <si>
    <t xml:space="preserve">1-5</t>
  </si>
  <si>
    <t xml:space="preserve">1-6</t>
  </si>
  <si>
    <t xml:space="preserve">1-7</t>
  </si>
  <si>
    <t xml:space="preserve">1-8</t>
  </si>
  <si>
    <t xml:space="preserve">1-9</t>
  </si>
  <si>
    <t xml:space="preserve">1-10</t>
  </si>
  <si>
    <t xml:space="preserve">1-11</t>
  </si>
  <si>
    <t xml:space="preserve">2-1</t>
  </si>
  <si>
    <t xml:space="preserve">2-2</t>
  </si>
  <si>
    <t xml:space="preserve">2-3</t>
  </si>
  <si>
    <t xml:space="preserve">2-4</t>
  </si>
  <si>
    <t xml:space="preserve">2-5</t>
  </si>
  <si>
    <t xml:space="preserve">2-6</t>
  </si>
  <si>
    <t xml:space="preserve">2-7</t>
  </si>
  <si>
    <t xml:space="preserve">2-8</t>
  </si>
  <si>
    <t xml:space="preserve">2-9</t>
  </si>
  <si>
    <t xml:space="preserve">2-10</t>
  </si>
  <si>
    <t xml:space="preserve">3-1</t>
  </si>
  <si>
    <t xml:space="preserve">3-2</t>
  </si>
  <si>
    <t xml:space="preserve">3-3</t>
  </si>
  <si>
    <t xml:space="preserve">3-4</t>
  </si>
  <si>
    <t xml:space="preserve">3-5</t>
  </si>
  <si>
    <t xml:space="preserve">3-6</t>
  </si>
  <si>
    <t xml:space="preserve">3-7</t>
  </si>
  <si>
    <t xml:space="preserve">3-8</t>
  </si>
  <si>
    <t xml:space="preserve">3-9</t>
  </si>
  <si>
    <t xml:space="preserve">4-1</t>
  </si>
  <si>
    <t xml:space="preserve">4-2</t>
  </si>
  <si>
    <t xml:space="preserve">4-3</t>
  </si>
  <si>
    <t xml:space="preserve">4-4</t>
  </si>
  <si>
    <t xml:space="preserve">4-5</t>
  </si>
  <si>
    <t xml:space="preserve">4-6</t>
  </si>
  <si>
    <t xml:space="preserve">4-7</t>
  </si>
  <si>
    <t xml:space="preserve">4-8</t>
  </si>
  <si>
    <t xml:space="preserve">5-1</t>
  </si>
  <si>
    <t xml:space="preserve">5-2</t>
  </si>
  <si>
    <t xml:space="preserve">5-3</t>
  </si>
  <si>
    <t xml:space="preserve">5-4</t>
  </si>
  <si>
    <t xml:space="preserve">5-5</t>
  </si>
  <si>
    <t xml:space="preserve">5-6</t>
  </si>
  <si>
    <t xml:space="preserve">5-7</t>
  </si>
  <si>
    <t xml:space="preserve">6-1</t>
  </si>
  <si>
    <t xml:space="preserve">6-2</t>
  </si>
  <si>
    <t xml:space="preserve">6-3</t>
  </si>
  <si>
    <t xml:space="preserve">6-4</t>
  </si>
  <si>
    <t xml:space="preserve">6-5</t>
  </si>
  <si>
    <t xml:space="preserve">6-6</t>
  </si>
  <si>
    <t xml:space="preserve">7-1</t>
  </si>
  <si>
    <t xml:space="preserve">7-2</t>
  </si>
  <si>
    <t xml:space="preserve">7-3</t>
  </si>
  <si>
    <t xml:space="preserve">7-4</t>
  </si>
  <si>
    <t xml:space="preserve">7-5</t>
  </si>
  <si>
    <t xml:space="preserve">8-1</t>
  </si>
  <si>
    <t xml:space="preserve">8-2</t>
  </si>
  <si>
    <t xml:space="preserve">8-3</t>
  </si>
  <si>
    <t xml:space="preserve">8-4</t>
  </si>
  <si>
    <t xml:space="preserve">9-1</t>
  </si>
  <si>
    <t xml:space="preserve">9-2</t>
  </si>
  <si>
    <t xml:space="preserve">9-3</t>
  </si>
  <si>
    <t xml:space="preserve">10-1</t>
  </si>
  <si>
    <t xml:space="preserve">10-2</t>
  </si>
  <si>
    <t xml:space="preserve">11-1</t>
  </si>
  <si>
    <t xml:space="preserve">Tech</t>
  </si>
  <si>
    <t xml:space="preserve">Granaries</t>
  </si>
  <si>
    <t xml:space="preserve">+2.5% food production</t>
  </si>
  <si>
    <t xml:space="preserve">Planar Emissaries</t>
  </si>
  <si>
    <t xml:space="preserve">+5% mana production</t>
  </si>
  <si>
    <t xml:space="preserve">Green Thumb</t>
  </si>
  <si>
    <t xml:space="preserve">+5% lumber production</t>
  </si>
  <si>
    <t xml:space="preserve">Aquaponics</t>
  </si>
  <si>
    <t xml:space="preserve">+7.5% food production, -7.5% fireball damage</t>
  </si>
  <si>
    <t xml:space="preserve">Midas's Bargain</t>
  </si>
  <si>
    <t xml:space="preserve">+2% platinum production</t>
  </si>
  <si>
    <t xml:space="preserve">Industrial Machinery</t>
  </si>
  <si>
    <t xml:space="preserve">+5% lumber production, +5% ore production</t>
  </si>
  <si>
    <t xml:space="preserve">Siege Weaponry</t>
  </si>
  <si>
    <t xml:space="preserve">+10% wonder damage from all sources</t>
  </si>
  <si>
    <t xml:space="preserve">Sneaky Spies</t>
  </si>
  <si>
    <t xml:space="preserve">+10% resource theft, -15% spy losses</t>
  </si>
  <si>
    <t xml:space="preserve">Arcane Bloodlines</t>
  </si>
  <si>
    <t xml:space="preserve">-5% spy cost, -15% wizard cost</t>
  </si>
  <si>
    <t xml:space="preserve">Frugal Foragers</t>
  </si>
  <si>
    <t xml:space="preserve">-2.5% food consumption</t>
  </si>
  <si>
    <t xml:space="preserve">Reforestation</t>
  </si>
  <si>
    <t xml:space="preserve">-10% construction lumber cost</t>
  </si>
  <si>
    <t xml:space="preserve">Surplus Management</t>
  </si>
  <si>
    <t xml:space="preserve">-10% food decay, lumber rot, mana drain</t>
  </si>
  <si>
    <t xml:space="preserve">Banker's Friend</t>
  </si>
  <si>
    <t xml:space="preserve"> +15% exchange rates</t>
  </si>
  <si>
    <t xml:space="preserve">Prefabrication</t>
  </si>
  <si>
    <t xml:space="preserve">-10% construction platinum cost</t>
  </si>
  <si>
    <t xml:space="preserve">Miser's Grasp</t>
  </si>
  <si>
    <t xml:space="preserve">-20% theft losses, +10% defensive spy power</t>
  </si>
  <si>
    <t xml:space="preserve">Sleeper Agents</t>
  </si>
  <si>
    <t xml:space="preserve">+1% max population, -7.5% spy losses</t>
  </si>
  <si>
    <t xml:space="preserve">Explorer's Instinct</t>
  </si>
  <si>
    <t xml:space="preserve">-5% construction platinum cost, -2.5% explore platinum cost</t>
  </si>
  <si>
    <t xml:space="preserve">Wizard Nexus</t>
  </si>
  <si>
    <t xml:space="preserve">+1.25 wizard refresh rate</t>
  </si>
  <si>
    <t xml:space="preserve">Preservationist</t>
  </si>
  <si>
    <t xml:space="preserve">-15% food decay, lumber rot, mana drain</t>
  </si>
  <si>
    <t xml:space="preserve">Explorer's Intuition</t>
  </si>
  <si>
    <t xml:space="preserve">-2.5% explore platinum cost, -1 explore draftee cost</t>
  </si>
  <si>
    <t xml:space="preserve">Architect's Touch</t>
  </si>
  <si>
    <t xml:space="preserve">-2.5% construction platinum cost</t>
  </si>
  <si>
    <t xml:space="preserve">Miner's Spirit</t>
  </si>
  <si>
    <t xml:space="preserve">+5% ore production</t>
  </si>
  <si>
    <t xml:space="preserve">Ancient Mines</t>
  </si>
  <si>
    <t xml:space="preserve">+2.5% gem production</t>
  </si>
  <si>
    <t xml:space="preserve">Urg Smash Technique</t>
  </si>
  <si>
    <t xml:space="preserve"> +7.5% lumber production, 25% discounted construction of destroyed acres</t>
  </si>
  <si>
    <t xml:space="preserve">Dark Pact</t>
  </si>
  <si>
    <t xml:space="preserve">+10% mana production. +5% wizard power</t>
  </si>
  <si>
    <t xml:space="preserve">Master of Efficiency</t>
  </si>
  <si>
    <t xml:space="preserve">-1.75% military training cost</t>
  </si>
  <si>
    <t xml:space="preserve">Pastoral Planner</t>
  </si>
  <si>
    <t xml:space="preserve">+1.5% max population</t>
  </si>
  <si>
    <t xml:space="preserve">Explorer's Guile</t>
  </si>
  <si>
    <t xml:space="preserve">-7.5% explore platinum cost, -2 explore draftee cost</t>
  </si>
  <si>
    <t xml:space="preserve">Fearless Adventurers</t>
  </si>
  <si>
    <t xml:space="preserve">-50% morale loss from exploring</t>
  </si>
  <si>
    <t xml:space="preserve">Mana Pools</t>
  </si>
  <si>
    <t xml:space="preserve">-10% spell cost</t>
  </si>
  <si>
    <t xml:space="preserve">Shipwright's Ingenuity</t>
  </si>
  <si>
    <t xml:space="preserve">+12.5% boat production</t>
  </si>
  <si>
    <t xml:space="preserve">Trick of the Light</t>
  </si>
  <si>
    <t xml:space="preserve">Fool's Gold affects lumber and ore</t>
  </si>
  <si>
    <t xml:space="preserve">Opulence</t>
  </si>
  <si>
    <t xml:space="preserve">+2.5% gem production, +7.5% ore production</t>
  </si>
  <si>
    <t xml:space="preserve">Midas's Fountain</t>
  </si>
  <si>
    <t xml:space="preserve">+4% platinum production</t>
  </si>
  <si>
    <t xml:space="preserve">Menace</t>
  </si>
  <si>
    <t xml:space="preserve">+2 raw mana production per tower for each war declaration</t>
  </si>
  <si>
    <t xml:space="preserve">Architect's Flourish</t>
  </si>
  <si>
    <t xml:space="preserve">Anti-Magic Sigils</t>
  </si>
  <si>
    <t xml:space="preserve">-1 hour duration on non-war blackop spells</t>
  </si>
  <si>
    <t xml:space="preserve">Night Watch</t>
  </si>
  <si>
    <t xml:space="preserve">-20% assassinate/disband damage</t>
  </si>
  <si>
    <t xml:space="preserve">Weather Manipulation</t>
  </si>
  <si>
    <t xml:space="preserve">+2.5% food production, -12.5% lightning bolt damage</t>
  </si>
  <si>
    <t xml:space="preserve">Lumberjack's Devotion</t>
  </si>
  <si>
    <t xml:space="preserve">-20% lumber rot, -10% construction lumber cost, +2 population from barren land</t>
  </si>
  <si>
    <t xml:space="preserve">Master of Resources</t>
  </si>
  <si>
    <t xml:space="preserve">Avatar of Ares</t>
  </si>
  <si>
    <t xml:space="preserve"> +2.5% offense, +7.5% wizard strength</t>
  </si>
  <si>
    <t xml:space="preserve">Master of Discipline</t>
  </si>
  <si>
    <t xml:space="preserve">Dark Artistry</t>
  </si>
  <si>
    <t xml:space="preserve">+1 spy/wizard strength regen</t>
  </si>
  <si>
    <t xml:space="preserve">Ross' Benevolence</t>
  </si>
  <si>
    <t xml:space="preserve"> -1% guard platinum penalty</t>
  </si>
  <si>
    <t xml:space="preserve">Urban Planner</t>
  </si>
  <si>
    <t xml:space="preserve">Jeweller's Delight</t>
  </si>
  <si>
    <t xml:space="preserve">+2.5% gem production, -5% self spell cost</t>
  </si>
  <si>
    <t xml:space="preserve">Wavehack's Expertise</t>
  </si>
  <si>
    <t xml:space="preserve">-5% construction platinum cost, -10% construction lumber cost, +3 boat capacity</t>
  </si>
  <si>
    <t xml:space="preserve">Surveyor's Sense</t>
  </si>
  <si>
    <t xml:space="preserve">-12.5% rezone cost</t>
  </si>
  <si>
    <t xml:space="preserve">Visionary Expansionist</t>
  </si>
  <si>
    <t xml:space="preserve">+1% max population</t>
  </si>
  <si>
    <t xml:space="preserve">Survivalist Mentality</t>
  </si>
  <si>
    <t xml:space="preserve">+7.5% prestige gain, -5% casualties</t>
  </si>
  <si>
    <t xml:space="preserve">Reinforced Bulwarks</t>
  </si>
  <si>
    <t xml:space="preserve">+30% investment bonus to harbor/towers</t>
  </si>
  <si>
    <t xml:space="preserve">Spy Network</t>
  </si>
  <si>
    <t xml:space="preserve">+1.25 spy refresh rate</t>
  </si>
  <si>
    <t xml:space="preserve">Field Surgery</t>
  </si>
  <si>
    <t xml:space="preserve">+0.75% max population, -7.5% casualties</t>
  </si>
  <si>
    <t xml:space="preserve">Ares' Favor</t>
  </si>
  <si>
    <t xml:space="preserve"> +2.5% offense</t>
  </si>
  <si>
    <t xml:space="preserve">Rations</t>
  </si>
  <si>
    <t xml:space="preserve">+2 population per barren acre, -2.5% food consumption</t>
  </si>
  <si>
    <t xml:space="preserve">Tributary System</t>
  </si>
  <si>
    <t xml:space="preserve">Prestige bonus on Food Production is 60% more effective</t>
  </si>
  <si>
    <t xml:space="preserve">Battle Commanders</t>
  </si>
  <si>
    <t xml:space="preserve">-7.5% casualties</t>
  </si>
  <si>
    <t xml:space="preserve">Bunk Beds</t>
  </si>
  <si>
    <t xml:space="preserve">+2 barracks housing</t>
  </si>
  <si>
    <t xml:space="preserve">Public Baths</t>
  </si>
  <si>
    <t xml:space="preserve"> +30% population growth</t>
  </si>
  <si>
    <t xml:space="preserve">Centralized Intelligence</t>
  </si>
  <si>
    <t xml:space="preserve">-15% spy cost, -5% wizard cost</t>
  </si>
  <si>
    <t xml:space="preserve">Carpenter's Knowhow</t>
  </si>
  <si>
    <t xml:space="preserve">-5% construction platinum cost</t>
  </si>
  <si>
    <t xml:space="preserve">Ancestral Knowledge</t>
  </si>
  <si>
    <t xml:space="preserve"> -25% racial spell cost</t>
  </si>
  <si>
    <t xml:space="preserve">Military Culture</t>
  </si>
  <si>
    <t xml:space="preserve">+5% prestige gains</t>
  </si>
  <si>
    <t xml:space="preserve">Surveyor's Insight</t>
  </si>
  <si>
    <t xml:space="preserve">-7.5% rezone cost</t>
  </si>
  <si>
    <t xml:space="preserve">Battle Tactics</t>
  </si>
  <si>
    <t xml:space="preserve">-5% casualties</t>
  </si>
  <si>
    <t xml:space="preserve">For relations in technologies see diagram below:</t>
  </si>
  <si>
    <t xml:space="preserve">Info</t>
  </si>
  <si>
    <t xml:space="preserve">Invest</t>
  </si>
  <si>
    <t xml:space="preserve">→</t>
  </si>
  <si>
    <t xml:space="preserve">Bonuses</t>
  </si>
  <si>
    <t xml:space="preserve">Invested points</t>
  </si>
  <si>
    <t xml:space="preserve">Investing</t>
  </si>
  <si>
    <t xml:space="preserve">Points to Science</t>
  </si>
  <si>
    <t xml:space="preserve">Points to Keep</t>
  </si>
  <si>
    <t xml:space="preserve">Points to Towers</t>
  </si>
  <si>
    <t xml:space="preserve">Points to Forges</t>
  </si>
  <si>
    <t xml:space="preserve">Points to Walls</t>
  </si>
  <si>
    <t xml:space="preserve">Points to Irrigation</t>
  </si>
  <si>
    <t xml:space="preserve">Logins</t>
  </si>
  <si>
    <t xml:space="preserve">Science</t>
  </si>
  <si>
    <t xml:space="preserve">Keep</t>
  </si>
  <si>
    <t xml:space="preserve">Towers</t>
  </si>
  <si>
    <t xml:space="preserve">Forges</t>
  </si>
  <si>
    <t xml:space="preserve">Walls</t>
  </si>
  <si>
    <t xml:space="preserve">Irrigation</t>
  </si>
  <si>
    <t xml:space="preserve">Drafees</t>
  </si>
  <si>
    <t xml:space="preserve">Login</t>
  </si>
  <si>
    <t xml:space="preserve">Land (3)</t>
  </si>
  <si>
    <t xml:space="preserve">Resource</t>
  </si>
  <si>
    <t xml:space="preserve">Part</t>
  </si>
  <si>
    <t xml:space="preserve">Resource 2</t>
  </si>
  <si>
    <t xml:space="preserve">Amount 2</t>
  </si>
  <si>
    <t xml:space="preserve">Part 2</t>
  </si>
  <si>
    <t xml:space="preserve">Resource 3</t>
  </si>
  <si>
    <t xml:space="preserve">Amount 3</t>
  </si>
  <si>
    <t xml:space="preserve">Part 3</t>
  </si>
  <si>
    <t xml:space="preserve">Σ Science</t>
  </si>
  <si>
    <t xml:space="preserve">Σ Keep</t>
  </si>
  <si>
    <t xml:space="preserve">Σ Towers</t>
  </si>
  <si>
    <t xml:space="preserve">Σ Forges</t>
  </si>
  <si>
    <t xml:space="preserve">Σ Walls</t>
  </si>
  <si>
    <t xml:space="preserve">Σ Irrigation</t>
  </si>
  <si>
    <t xml:space="preserve">P1</t>
  </si>
  <si>
    <t xml:space="preserve">L1</t>
  </si>
  <si>
    <t xml:space="preserve">O1</t>
  </si>
  <si>
    <t xml:space="preserve">G1</t>
  </si>
  <si>
    <t xml:space="preserve">……</t>
  </si>
  <si>
    <t xml:space="preserve">P2</t>
  </si>
  <si>
    <t xml:space="preserve">L2</t>
  </si>
  <si>
    <t xml:space="preserve">O2</t>
  </si>
  <si>
    <t xml:space="preserve">G2</t>
  </si>
  <si>
    <t xml:space="preserve">P3</t>
  </si>
  <si>
    <t xml:space="preserve">L3</t>
  </si>
  <si>
    <t xml:space="preserve">O3</t>
  </si>
  <si>
    <t xml:space="preserve">G3</t>
  </si>
  <si>
    <t xml:space="preserve">P4</t>
  </si>
  <si>
    <t xml:space="preserve">L4</t>
  </si>
  <si>
    <t xml:space="preserve">O4</t>
  </si>
  <si>
    <t xml:space="preserve">G4</t>
  </si>
  <si>
    <t xml:space="preserve">…......</t>
  </si>
  <si>
    <t xml:space="preserve">P5</t>
  </si>
  <si>
    <t xml:space="preserve">L5</t>
  </si>
  <si>
    <t xml:space="preserve">O5</t>
  </si>
  <si>
    <t xml:space="preserve">G5</t>
  </si>
  <si>
    <t xml:space="preserve">….......</t>
  </si>
  <si>
    <t xml:space="preserve">P6</t>
  </si>
  <si>
    <t xml:space="preserve">L6</t>
  </si>
  <si>
    <t xml:space="preserve">O6</t>
  </si>
  <si>
    <t xml:space="preserve">G6</t>
  </si>
  <si>
    <t xml:space="preserve">…........</t>
  </si>
  <si>
    <t xml:space="preserve">P7</t>
  </si>
  <si>
    <t xml:space="preserve">L7</t>
  </si>
  <si>
    <t xml:space="preserve">O7</t>
  </si>
  <si>
    <t xml:space="preserve">G7</t>
  </si>
  <si>
    <t xml:space="preserve">…........2</t>
  </si>
  <si>
    <t xml:space="preserve">algorithm</t>
  </si>
  <si>
    <t xml:space="preserve">Login (2)</t>
  </si>
  <si>
    <t xml:space="preserve">…..........</t>
  </si>
  <si>
    <t xml:space="preserve">Real time</t>
  </si>
  <si>
    <t xml:space="preserve">Servertime</t>
  </si>
  <si>
    <t xml:space="preserve">Log Hour:</t>
  </si>
  <si>
    <t xml:space="preserve">Abbr</t>
  </si>
  <si>
    <t xml:space="preserve">Percent</t>
  </si>
  <si>
    <t xml:space="preserve">Homes: </t>
  </si>
  <si>
    <t xml:space="preserve">Farms: </t>
  </si>
  <si>
    <t xml:space="preserve">Factories: </t>
  </si>
  <si>
    <t xml:space="preserve">Shrines: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</si>
  <si>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</si>
  <si>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</si>
  <si>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</si>
  <si>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</si>
  <si>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</si>
  <si>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</si>
  <si>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</si>
  <si>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</si>
  <si>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</si>
  <si>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</si>
  <si>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 xml:space="preserve">Barracks :</t>
  </si>
  <si>
    <t xml:space="preserve">Guard Towers: </t>
  </si>
  <si>
    <t xml:space="preserve">Wizard Guilds: </t>
  </si>
  <si>
    <t xml:space="preserve">Temples: </t>
  </si>
  <si>
    <t xml:space="preserve">Forest Havens: </t>
  </si>
  <si>
    <t xml:space="preserve">Barren Land: </t>
  </si>
  <si>
    <t xml:space="preserve">Incoming Buildings: </t>
  </si>
  <si>
    <t xml:space="preserve">    </t>
  </si>
  <si>
    <t xml:space="preserve">Production Constants</t>
  </si>
  <si>
    <t xml:space="preserve">Building</t>
  </si>
  <si>
    <t xml:space="preserve">Alchemy</t>
  </si>
  <si>
    <t xml:space="preserve">Farm</t>
  </si>
  <si>
    <t xml:space="preserve">Lumberyard</t>
  </si>
  <si>
    <t xml:space="preserve">Oremine</t>
  </si>
  <si>
    <t xml:space="preserve">Diamondmine</t>
  </si>
  <si>
    <t xml:space="preserve">Tower</t>
  </si>
  <si>
    <t xml:space="preserve">Dock</t>
  </si>
  <si>
    <t xml:space="preserve">ForestHaven</t>
  </si>
  <si>
    <t xml:space="preserve">% dp bonus</t>
  </si>
  <si>
    <t xml:space="preserve">max</t>
  </si>
  <si>
    <t xml:space="preserve">% op bonus</t>
  </si>
  <si>
    <t xml:space="preserve">FHs</t>
  </si>
  <si>
    <t xml:space="preserve">DP per peas</t>
  </si>
  <si>
    <t xml:space="preserve">% spy cost red</t>
  </si>
  <si>
    <t xml:space="preserve">WGs</t>
  </si>
  <si>
    <t xml:space="preserve">% spell cost red</t>
  </si>
  <si>
    <t xml:space="preserve">% wiz cost red</t>
  </si>
  <si>
    <t xml:space="preserve">% cost red</t>
  </si>
  <si>
    <t xml:space="preserve">Masonries</t>
  </si>
  <si>
    <t xml:space="preserve">% imp bonus</t>
  </si>
  <si>
    <t xml:space="preserve">Factories</t>
  </si>
  <si>
    <t xml:space="preserve">% building red</t>
  </si>
  <si>
    <t xml:space="preserve">% rezone red</t>
  </si>
  <si>
    <t xml:space="preserve">Schools</t>
  </si>
  <si>
    <t xml:space="preserve">RP/school%</t>
  </si>
  <si>
    <t xml:space="preserve">Starting Buildings</t>
  </si>
  <si>
    <t xml:space="preserve">Wg</t>
  </si>
  <si>
    <t xml:space="preserve">Starting Barren Land</t>
  </si>
  <si>
    <t xml:space="preserve">Starting Population</t>
  </si>
  <si>
    <t xml:space="preserve">Waves</t>
  </si>
  <si>
    <t xml:space="preserve">Techs</t>
  </si>
  <si>
    <t xml:space="preserve">New:</t>
  </si>
  <si>
    <t xml:space="preserve">Production</t>
  </si>
  <si>
    <t xml:space="preserve">food</t>
  </si>
  <si>
    <t xml:space="preserve">gems</t>
  </si>
  <si>
    <t xml:space="preserve">plat</t>
  </si>
  <si>
    <t xml:space="preserve">explore cost</t>
  </si>
  <si>
    <t xml:space="preserve">drafteecost</t>
  </si>
  <si>
    <t xml:space="preserve">Old:</t>
  </si>
  <si>
    <t xml:space="preserve">construction cost</t>
  </si>
  <si>
    <t xml:space="preserve">rezoning cost</t>
  </si>
  <si>
    <t xml:space="preserve">population</t>
  </si>
  <si>
    <t xml:space="preserve">offensive casualties</t>
  </si>
  <si>
    <t xml:space="preserve">defensive casualties</t>
  </si>
  <si>
    <t xml:space="preserve">Starting Resources</t>
  </si>
  <si>
    <t xml:space="preserve">Late dom creation: +resources per day</t>
  </si>
  <si>
    <t xml:space="preserve">spylosses</t>
  </si>
  <si>
    <t xml:space="preserve">spycost</t>
  </si>
  <si>
    <t xml:space="preserve">Lumber  </t>
  </si>
  <si>
    <t xml:space="preserve">spystr regen</t>
  </si>
  <si>
    <t xml:space="preserve">manacost</t>
  </si>
  <si>
    <t xml:space="preserve">wizard cost</t>
  </si>
  <si>
    <t xml:space="preserve">wizardstr regen</t>
  </si>
  <si>
    <t xml:space="preserve">Master of Frugality</t>
  </si>
  <si>
    <t xml:space="preserve">training costs</t>
  </si>
  <si>
    <t xml:space="preserve">def specs</t>
  </si>
  <si>
    <t xml:space="preserve">Fruits of Labor</t>
  </si>
  <si>
    <t xml:space="preserve">lumber/ore</t>
  </si>
  <si>
    <t xml:space="preserve">Growth Factors</t>
  </si>
  <si>
    <t xml:space="preserve">draftees</t>
  </si>
  <si>
    <t xml:space="preserve">Urban Mastery</t>
  </si>
  <si>
    <t xml:space="preserve">Treasure Hunt</t>
  </si>
  <si>
    <t xml:space="preserve">Conqueror's Crafts</t>
  </si>
  <si>
    <t xml:space="preserve">constr/rez cost</t>
  </si>
  <si>
    <t xml:space="preserve">Enchanted Lands</t>
  </si>
  <si>
    <t xml:space="preserve">mana</t>
  </si>
  <si>
    <t xml:space="preserve">Tactical Battle</t>
  </si>
  <si>
    <t xml:space="preserve">casulaties</t>
  </si>
  <si>
    <t xml:space="preserve">Magical Weaponry</t>
  </si>
  <si>
    <t xml:space="preserve">wizardstr</t>
  </si>
  <si>
    <t xml:space="preserve">regen</t>
  </si>
  <si>
    <t xml:space="preserve">Food Consumption</t>
  </si>
  <si>
    <t xml:space="preserve">Food/person</t>
  </si>
  <si>
    <t xml:space="preserve">Tax</t>
  </si>
  <si>
    <t xml:space="preserve">Plat/person</t>
  </si>
  <si>
    <t xml:space="preserve">per acre</t>
  </si>
  <si>
    <t xml:space="preserve">Housing</t>
  </si>
  <si>
    <t xml:space="preserve">Barracks</t>
  </si>
  <si>
    <t xml:space="preserve">troops</t>
  </si>
  <si>
    <t xml:space="preserve">(don’t count as raw pop but as modded pop)</t>
  </si>
  <si>
    <t xml:space="preserve">Minimum Cost</t>
  </si>
  <si>
    <t xml:space="preserve">Home</t>
  </si>
  <si>
    <t xml:space="preserve">peasants</t>
  </si>
  <si>
    <t xml:space="preserve">Wizard Guilds</t>
  </si>
  <si>
    <t xml:space="preserve">New Techs</t>
  </si>
  <si>
    <t xml:space="preserve">Forest Haven</t>
  </si>
  <si>
    <t xml:space="preserve"> food production</t>
  </si>
  <si>
    <t xml:space="preserve">Non-Home</t>
  </si>
  <si>
    <t xml:space="preserve"> mana production</t>
  </si>
  <si>
    <t xml:space="preserve">Barren*</t>
  </si>
  <si>
    <t xml:space="preserve"> lumber production</t>
  </si>
  <si>
    <t xml:space="preserve">*Note: Barren Land for Halflings, Dwarves, Goblins, Kobolds and Gnomes house 10 people, while the other race's Barren Land house only 5.</t>
  </si>
  <si>
    <t xml:space="preserve"> platinum production</t>
  </si>
  <si>
    <t xml:space="preserve"> lumber production, ore production</t>
  </si>
  <si>
    <t xml:space="preserve">wonder damage</t>
  </si>
  <si>
    <t xml:space="preserve">Spell</t>
  </si>
  <si>
    <t xml:space="preserve">Manacost</t>
  </si>
  <si>
    <t xml:space="preserve"> resource theft, spy losses</t>
  </si>
  <si>
    <t xml:space="preserve"> spy losses</t>
  </si>
  <si>
    <t xml:space="preserve">* Landsize</t>
  </si>
  <si>
    <t xml:space="preserve"> spy cost</t>
  </si>
  <si>
    <t xml:space="preserve"> wizard cost</t>
  </si>
  <si>
    <t xml:space="preserve"> food consumption</t>
  </si>
  <si>
    <t xml:space="preserve">Ares' Call</t>
  </si>
  <si>
    <t xml:space="preserve">construction lumber cost</t>
  </si>
  <si>
    <t xml:space="preserve">Popgrowth</t>
  </si>
  <si>
    <t xml:space="preserve">Midas' Touch</t>
  </si>
  <si>
    <t xml:space="preserve">Plat prod</t>
  </si>
  <si>
    <t xml:space="preserve"> food decay, lumber rot, mana drain</t>
  </si>
  <si>
    <t xml:space="preserve">Miner's Sight (Dwarf)</t>
  </si>
  <si>
    <t xml:space="preserve">(Replaces Mining Strength)</t>
  </si>
  <si>
    <t xml:space="preserve"> exchange rates</t>
  </si>
  <si>
    <t xml:space="preserve">Mechanical Genius (Gnome)</t>
  </si>
  <si>
    <t xml:space="preserve">Rezone cost reduction</t>
  </si>
  <si>
    <t xml:space="preserve"> construction platinum cost</t>
  </si>
  <si>
    <t xml:space="preserve">Frenzy (Halfling)</t>
  </si>
  <si>
    <t xml:space="preserve">(Replaces Ares' Call)</t>
  </si>
  <si>
    <t xml:space="preserve"> theft losses</t>
  </si>
  <si>
    <t xml:space="preserve">def spy power</t>
  </si>
  <si>
    <t xml:space="preserve">Warsong (Sylvan)</t>
  </si>
  <si>
    <t xml:space="preserve"> max population, -12.5</t>
  </si>
  <si>
    <t xml:space="preserve"> explore platinum cost</t>
  </si>
  <si>
    <t xml:space="preserve">constr plat cost</t>
  </si>
  <si>
    <t xml:space="preserve">wiz regen</t>
  </si>
  <si>
    <t xml:space="preserve">Blizzard</t>
  </si>
  <si>
    <t xml:space="preserve">(replaces Ares' Call)</t>
  </si>
  <si>
    <t xml:space="preserve">platinum per alchemy</t>
  </si>
  <si>
    <t xml:space="preserve">explore draftee cost</t>
  </si>
  <si>
    <t xml:space="preserve">Offense (max)</t>
  </si>
  <si>
    <t xml:space="preserve"> ore production</t>
  </si>
  <si>
    <t xml:space="preserve"> gem production</t>
  </si>
  <si>
    <t xml:space="preserve"> lumber production, 5</t>
  </si>
  <si>
    <t xml:space="preserve"> refund when destroying buildings</t>
  </si>
  <si>
    <t xml:space="preserve">Carry</t>
  </si>
  <si>
    <t xml:space="preserve">Troops</t>
  </si>
  <si>
    <t xml:space="preserve"> wizard power</t>
  </si>
  <si>
    <t xml:space="preserve"> military training cost</t>
  </si>
  <si>
    <t xml:space="preserve"> max population</t>
  </si>
  <si>
    <t xml:space="preserve">Start prestige</t>
  </si>
  <si>
    <t xml:space="preserve">food bonus</t>
  </si>
  <si>
    <t xml:space="preserve"> morale loss from exploring</t>
  </si>
  <si>
    <t xml:space="preserve">pop multiplier</t>
  </si>
  <si>
    <t xml:space="preserve"> spell cost</t>
  </si>
  <si>
    <t xml:space="preserve">offense bonus</t>
  </si>
  <si>
    <t xml:space="preserve"> boat production</t>
  </si>
  <si>
    <t xml:space="preserve">Imps</t>
  </si>
  <si>
    <t xml:space="preserve">Maxima</t>
  </si>
  <si>
    <t xml:space="preserve">raw mana prod, +1.5 per war dec (max 5)</t>
  </si>
  <si>
    <t xml:space="preserve">Walls/Forges</t>
  </si>
  <si>
    <t xml:space="preserve">Irrigation/Towers</t>
  </si>
  <si>
    <t xml:space="preserve">hour duration on non-war blackops</t>
  </si>
  <si>
    <t xml:space="preserve"> assassinate/disband damage</t>
  </si>
  <si>
    <t xml:space="preserve">Modifier</t>
  </si>
  <si>
    <t xml:space="preserve">parameter</t>
  </si>
  <si>
    <t xml:space="preserve"> food production, -12.5</t>
  </si>
  <si>
    <t xml:space="preserve"> lightning bolt damage</t>
  </si>
  <si>
    <t xml:space="preserve"> lumber rot</t>
  </si>
  <si>
    <t xml:space="preserve"> construction lumber cost</t>
  </si>
  <si>
    <t xml:space="preserve">Harbor</t>
  </si>
  <si>
    <t xml:space="preserve"> offense</t>
  </si>
  <si>
    <t xml:space="preserve"> wizard strength</t>
  </si>
  <si>
    <t xml:space="preserve">Variable Unit Powers</t>
  </si>
  <si>
    <t xml:space="preserve">Max</t>
  </si>
  <si>
    <t xml:space="preserve">wiz/spy regen</t>
  </si>
  <si>
    <t xml:space="preserve">forest</t>
  </si>
  <si>
    <t xml:space="preserve"> guard platinum penalty</t>
  </si>
  <si>
    <t xml:space="preserve"> self spell cost</t>
  </si>
  <si>
    <t xml:space="preserve">mountain</t>
  </si>
  <si>
    <t xml:space="preserve">extra boat capacity</t>
  </si>
  <si>
    <t xml:space="preserve"> rezone cost</t>
  </si>
  <si>
    <t xml:space="preserve">Frostmage</t>
  </si>
  <si>
    <t xml:space="preserve"> prestige gain</t>
  </si>
  <si>
    <t xml:space="preserve"> casualties</t>
  </si>
  <si>
    <t xml:space="preserve">* raw WPA</t>
  </si>
  <si>
    <t xml:space="preserve">1 /</t>
  </si>
  <si>
    <t xml:space="preserve">* prestige</t>
  </si>
  <si>
    <t xml:space="preserve"> investment bonus to harbor/towers</t>
  </si>
  <si>
    <t xml:space="preserve">spy regen</t>
  </si>
  <si>
    <t xml:space="preserve">swamp</t>
  </si>
  <si>
    <t xml:space="preserve">max pop</t>
  </si>
  <si>
    <t xml:space="preserve">barren pop</t>
  </si>
  <si>
    <t xml:space="preserve">Non-HomeRax</t>
  </si>
  <si>
    <t xml:space="preserve">additional</t>
  </si>
  <si>
    <t xml:space="preserve">bonus prestige on food prod</t>
  </si>
  <si>
    <t xml:space="preserve">Secondary Resource</t>
  </si>
  <si>
    <t xml:space="preserve">extra barracks housing</t>
  </si>
  <si>
    <t xml:space="preserve">Human</t>
  </si>
  <si>
    <t xml:space="preserve"> population growth</t>
  </si>
  <si>
    <t xml:space="preserve"> racial spell cost</t>
  </si>
  <si>
    <t xml:space="preserve">Merfolk</t>
  </si>
  <si>
    <t xml:space="preserve"> prestige gains</t>
  </si>
  <si>
    <t xml:space="preserve">Goblin</t>
  </si>
  <si>
    <t xml:space="preserve">Troll</t>
  </si>
  <si>
    <t xml:space="preserve">Undead - Vampire mode</t>
  </si>
  <si>
    <t xml:space="preserve">Spirit</t>
  </si>
  <si>
    <t xml:space="preserve">Lycanthrope</t>
  </si>
  <si>
    <t xml:space="preserve">Undead - Zombie mode</t>
  </si>
  <si>
    <t xml:space="preserve">Investments</t>
  </si>
  <si>
    <t xml:space="preserve">Global Caps</t>
  </si>
  <si>
    <t xml:space="preserve">Bonus Jobs</t>
  </si>
  <si>
    <t xml:space="preserve">Races</t>
  </si>
  <si>
    <t xml:space="preserve">Identification</t>
  </si>
  <si>
    <t xml:space="preserve">Military Units</t>
  </si>
  <si>
    <t xml:space="preserve">Alignment</t>
  </si>
  <si>
    <t xml:space="preserve">Homeland_Type</t>
  </si>
  <si>
    <t xml:space="preserve">Unitname</t>
  </si>
  <si>
    <t xml:space="preserve">OffensePwr</t>
  </si>
  <si>
    <t xml:space="preserve">DefensePwr</t>
  </si>
  <si>
    <t xml:space="preserve">Platcost</t>
  </si>
  <si>
    <t xml:space="preserve">Orecost</t>
  </si>
  <si>
    <t xml:space="preserve">Good</t>
  </si>
  <si>
    <t xml:space="preserve">Spearman</t>
  </si>
  <si>
    <t xml:space="preserve">Archer</t>
  </si>
  <si>
    <t xml:space="preserve">Knight</t>
  </si>
  <si>
    <t xml:space="preserve">Cavalry</t>
  </si>
  <si>
    <t xml:space="preserve">Evil</t>
  </si>
  <si>
    <t xml:space="preserve">Lancer</t>
  </si>
  <si>
    <t xml:space="preserve">Crossbowman</t>
  </si>
  <si>
    <t xml:space="preserve">Blademaster</t>
  </si>
  <si>
    <t xml:space="preserve">Horse Archer</t>
  </si>
  <si>
    <t xml:space="preserve">Soldier</t>
  </si>
  <si>
    <t xml:space="preserve">Miner</t>
  </si>
  <si>
    <t xml:space="preserve">Cleric</t>
  </si>
  <si>
    <t xml:space="preserve">Warrior</t>
  </si>
  <si>
    <t xml:space="preserve">Ranger</t>
  </si>
  <si>
    <t xml:space="preserve">Longbowman</t>
  </si>
  <si>
    <t xml:space="preserve">Slinger</t>
  </si>
  <si>
    <t xml:space="preserve">Defender</t>
  </si>
  <si>
    <t xml:space="preserve">Staff Master</t>
  </si>
  <si>
    <t xml:space="preserve">Suicide Squad</t>
  </si>
  <si>
    <t xml:space="preserve">Tinker</t>
  </si>
  <si>
    <t xml:space="preserve">Juggernaut</t>
  </si>
  <si>
    <t xml:space="preserve">Merman</t>
  </si>
  <si>
    <t xml:space="preserve">Sirens</t>
  </si>
  <si>
    <t xml:space="preserve">Leviathan</t>
  </si>
  <si>
    <t xml:space="preserve">Kraken</t>
  </si>
  <si>
    <t xml:space="preserve">Satyr</t>
  </si>
  <si>
    <t xml:space="preserve">Sprite</t>
  </si>
  <si>
    <t xml:space="preserve">Centaur</t>
  </si>
  <si>
    <t xml:space="preserve">Raider</t>
  </si>
  <si>
    <t xml:space="preserve">Shaman</t>
  </si>
  <si>
    <t xml:space="preserve">Hobgoblin</t>
  </si>
  <si>
    <t xml:space="preserve">Wolf Rider</t>
  </si>
  <si>
    <t xml:space="preserve">Brute</t>
  </si>
  <si>
    <t xml:space="preserve">Ogre</t>
  </si>
  <si>
    <t xml:space="preserve">Basher</t>
  </si>
  <si>
    <t xml:space="preserve">Smasher</t>
  </si>
  <si>
    <t xml:space="preserve">Swordsman</t>
  </si>
  <si>
    <t xml:space="preserve">Gargoyle</t>
  </si>
  <si>
    <t xml:space="preserve">Dire Bat</t>
  </si>
  <si>
    <t xml:space="preserve">Ghoul</t>
  </si>
  <si>
    <t xml:space="preserve">Progeny</t>
  </si>
  <si>
    <t xml:space="preserve">Vampire</t>
  </si>
  <si>
    <t xml:space="preserve">Banshee</t>
  </si>
  <si>
    <t xml:space="preserve">Geist</t>
  </si>
  <si>
    <t xml:space="preserve">Phantom Knight</t>
  </si>
  <si>
    <t xml:space="preserve">Spectral Warrior</t>
  </si>
  <si>
    <t xml:space="preserve">Scavenger</t>
  </si>
  <si>
    <t xml:space="preserve">Ratman</t>
  </si>
  <si>
    <t xml:space="preserve">Werewolf</t>
  </si>
  <si>
    <t xml:space="preserve">Garou</t>
  </si>
  <si>
    <t xml:space="preserve">Underling</t>
  </si>
  <si>
    <t xml:space="preserve">Tunneler</t>
  </si>
  <si>
    <t xml:space="preserve">Taskmaster</t>
  </si>
  <si>
    <t xml:space="preserve">Overlord</t>
  </si>
  <si>
    <t xml:space="preserve">Reptile</t>
  </si>
  <si>
    <t xml:space="preserve">Serpent</t>
  </si>
  <si>
    <t xml:space="preserve">Lizardman</t>
  </si>
  <si>
    <t xml:space="preserve">Ice Beast</t>
  </si>
  <si>
    <t xml:space="preserve">Snow Witch</t>
  </si>
  <si>
    <t xml:space="preserve">FrostMage</t>
  </si>
  <si>
    <t xml:space="preserve">Fire Spirit</t>
  </si>
  <si>
    <t xml:space="preserve">Flamewolf</t>
  </si>
  <si>
    <t xml:space="preserve">Phoenix</t>
  </si>
  <si>
    <t xml:space="preserve">Salamander</t>
  </si>
  <si>
    <t xml:space="preserve">Savage</t>
  </si>
  <si>
    <t xml:space="preserve">Voodoo Mage</t>
  </si>
  <si>
    <t xml:space="preserve">Imp</t>
  </si>
  <si>
    <t xml:space="preserve">Fiend</t>
  </si>
  <si>
    <t xml:space="preserve">Lich</t>
  </si>
  <si>
    <t xml:space="preserve">Zombie</t>
  </si>
  <si>
    <t xml:space="preserve">Necromancer</t>
  </si>
  <si>
    <t xml:space="preserve">Crypt Lord</t>
  </si>
  <si>
    <t xml:space="preserve">Abomination</t>
  </si>
  <si>
    <t xml:space="preserve">NA</t>
  </si>
  <si>
    <t xml:space="preserve"> + 1 spy</t>
  </si>
  <si>
    <t xml:space="preserve">+ 1 wizard</t>
  </si>
  <si>
    <t xml:space="preserve">waves:</t>
  </si>
  <si>
    <t xml:space="preserve">Grabs</t>
  </si>
  <si>
    <t xml:space="preserve">Attacker</t>
  </si>
  <si>
    <t xml:space="preserve">Target</t>
  </si>
  <si>
    <t xml:space="preserve">Land Gain</t>
  </si>
  <si>
    <t xml:space="preserve">Grab%</t>
  </si>
  <si>
    <t xml:space="preserve">Opponent</t>
  </si>
  <si>
    <t xml:space="preserve">Min. networth*</t>
  </si>
  <si>
    <t xml:space="preserve">Rough</t>
  </si>
  <si>
    <t xml:space="preserve">estimation of</t>
  </si>
  <si>
    <t xml:space="preserve">land grabs</t>
  </si>
  <si>
    <t xml:space="preserve">EG Range</t>
  </si>
  <si>
    <t xml:space="preserve">RG Range</t>
  </si>
  <si>
    <t xml:space="preserve">*Min. networth = all land built, no military.</t>
  </si>
  <si>
    <t xml:space="preserve">dp mods</t>
  </si>
  <si>
    <t xml:space="preserve">number</t>
  </si>
  <si>
    <t xml:space="preserve">nw</t>
  </si>
  <si>
    <t xml:space="preserve">dp</t>
  </si>
  <si>
    <t xml:space="preserve">Spirit Warrior</t>
  </si>
  <si>
    <t xml:space="preserve">land</t>
  </si>
  <si>
    <t xml:space="preserve">spies</t>
  </si>
  <si>
    <t xml:space="preserve">opmods</t>
  </si>
  <si>
    <t xml:space="preserve">op</t>
  </si>
  <si>
    <t xml:space="preserve">spy+wiz</t>
  </si>
</sst>
</file>

<file path=xl/styles.xml><?xml version="1.0" encoding="utf-8"?>
<styleSheet xmlns="http://schemas.openxmlformats.org/spreadsheetml/2006/main">
  <numFmts count="25">
    <numFmt numFmtId="164" formatCode="General"/>
    <numFmt numFmtId="165" formatCode="_-* #,##0.00_-;_-* #,##0.00\-;_-* \-??_-;_-@_-"/>
    <numFmt numFmtId="166" formatCode="0%"/>
    <numFmt numFmtId="167" formatCode="@"/>
    <numFmt numFmtId="168" formatCode="#,##0"/>
    <numFmt numFmtId="169" formatCode="yyyy/mm/dd"/>
    <numFmt numFmtId="170" formatCode="hh:mm"/>
    <numFmt numFmtId="171" formatCode="0"/>
    <numFmt numFmtId="172" formatCode="General"/>
    <numFmt numFmtId="173" formatCode="00000"/>
    <numFmt numFmtId="174" formatCode="0.00%"/>
    <numFmt numFmtId="175" formatCode="0.0%"/>
    <numFmt numFmtId="176" formatCode="0.00"/>
    <numFmt numFmtId="177" formatCode="#,##0.00"/>
    <numFmt numFmtId="178" formatCode="hh:mm\ AM/PM"/>
    <numFmt numFmtId="179" formatCode="_-* #,##0_-;_-* #,##0\-;_-* \-??_-;_-@_-"/>
    <numFmt numFmtId="180" formatCode="0.000"/>
    <numFmt numFmtId="181" formatCode="0;;;"/>
    <numFmt numFmtId="182" formatCode=";;;"/>
    <numFmt numFmtId="183" formatCode="&quot;→ &quot;0&quot; →&quot;;;;"/>
    <numFmt numFmtId="184" formatCode="h:mm;@"/>
    <numFmt numFmtId="185" formatCode="m/d;@"/>
    <numFmt numFmtId="186" formatCode="mm/dd/yy"/>
    <numFmt numFmtId="187" formatCode="dddd"/>
    <numFmt numFmtId="188" formatCode="0.0"/>
  </numFmts>
  <fonts count="36">
    <font>
      <sz val="10"/>
      <name val="Arial"/>
      <family val="0"/>
      <charset val="1"/>
    </font>
    <font>
      <sz val="10"/>
      <name val="Arial"/>
      <family val="0"/>
    </font>
    <font>
      <sz val="10"/>
      <name val="Arial"/>
      <family val="0"/>
    </font>
    <font>
      <sz val="10"/>
      <name val="Arial"/>
      <family val="0"/>
    </font>
    <font>
      <sz val="10"/>
      <name val="Arial"/>
      <family val="2"/>
      <charset val="1"/>
    </font>
    <font>
      <b val="true"/>
      <sz val="12"/>
      <name val="Arial"/>
      <family val="2"/>
      <charset val="1"/>
    </font>
    <font>
      <b val="true"/>
      <sz val="10"/>
      <name val="Arial"/>
      <family val="2"/>
      <charset val="1"/>
    </font>
    <font>
      <sz val="10"/>
      <color rgb="FF000000"/>
      <name val="Arial"/>
      <family val="2"/>
      <charset val="1"/>
    </font>
    <font>
      <sz val="10"/>
      <color theme="9" tint="-0.25"/>
      <name val="Arial"/>
      <family val="2"/>
      <charset val="1"/>
    </font>
    <font>
      <b val="true"/>
      <sz val="10"/>
      <color rgb="FF000000"/>
      <name val="Arial"/>
      <family val="2"/>
      <charset val="1"/>
    </font>
    <font>
      <b val="true"/>
      <sz val="12"/>
      <color rgb="FF000000"/>
      <name val="Arial"/>
      <family val="2"/>
      <charset val="1"/>
    </font>
    <font>
      <b val="true"/>
      <sz val="18"/>
      <color rgb="FF000000"/>
      <name val="Arial"/>
      <family val="2"/>
      <charset val="1"/>
    </font>
    <font>
      <b val="true"/>
      <u val="single"/>
      <sz val="10"/>
      <name val="Arial"/>
      <family val="2"/>
      <charset val="1"/>
    </font>
    <font>
      <sz val="10"/>
      <color rgb="FFFFFFFF"/>
      <name val="Arial"/>
      <family val="2"/>
      <charset val="1"/>
    </font>
    <font>
      <sz val="10"/>
      <color rgb="FFC0C0C0"/>
      <name val="Arial"/>
      <family val="2"/>
      <charset val="1"/>
    </font>
    <font>
      <b val="true"/>
      <sz val="10"/>
      <color theme="5" tint="-0.25"/>
      <name val="Arial"/>
      <family val="2"/>
      <charset val="1"/>
    </font>
    <font>
      <sz val="10"/>
      <color theme="1"/>
      <name val="Arial"/>
      <family val="2"/>
      <charset val="1"/>
    </font>
    <font>
      <b val="true"/>
      <sz val="10"/>
      <color theme="0"/>
      <name val="Arial"/>
      <family val="2"/>
      <charset val="1"/>
    </font>
    <font>
      <sz val="10"/>
      <color theme="0"/>
      <name val="Arial"/>
      <family val="2"/>
      <charset val="1"/>
    </font>
    <font>
      <b val="true"/>
      <sz val="10"/>
      <color rgb="FFC0C0C0"/>
      <name val="Arial"/>
      <family val="2"/>
      <charset val="1"/>
    </font>
    <font>
      <i val="true"/>
      <u val="single"/>
      <sz val="10"/>
      <color rgb="FFC0C0C0"/>
      <name val="Arial"/>
      <family val="2"/>
      <charset val="1"/>
    </font>
    <font>
      <u val="single"/>
      <sz val="10"/>
      <color rgb="FFC0C0C0"/>
      <name val="Arial"/>
      <family val="2"/>
      <charset val="1"/>
    </font>
    <font>
      <sz val="10"/>
      <color theme="0" tint="-0.35"/>
      <name val="Arial"/>
      <family val="2"/>
      <charset val="1"/>
    </font>
    <font>
      <sz val="10"/>
      <color theme="0" tint="-0.25"/>
      <name val="Arial"/>
      <family val="2"/>
      <charset val="1"/>
    </font>
    <font>
      <sz val="10"/>
      <name val="Arial"/>
      <family val="2"/>
    </font>
    <font>
      <sz val="10"/>
      <color rgb="FF000000"/>
      <name val="Arial"/>
      <family val="0"/>
      <charset val="1"/>
    </font>
    <font>
      <b val="true"/>
      <i val="true"/>
      <sz val="10"/>
      <name val="Arial"/>
      <family val="2"/>
      <charset val="1"/>
    </font>
    <font>
      <u val="single"/>
      <sz val="10"/>
      <name val="Arial"/>
      <family val="2"/>
      <charset val="1"/>
    </font>
    <font>
      <i val="true"/>
      <sz val="10"/>
      <name val="Arial"/>
      <family val="2"/>
      <charset val="1"/>
    </font>
    <font>
      <b val="true"/>
      <i val="true"/>
      <strike val="true"/>
      <sz val="10"/>
      <name val="Arial"/>
      <family val="2"/>
      <charset val="1"/>
    </font>
    <font>
      <b val="true"/>
      <strike val="true"/>
      <sz val="10"/>
      <name val="Arial"/>
      <family val="2"/>
      <charset val="1"/>
    </font>
    <font>
      <sz val="10"/>
      <color rgb="FFFF0000"/>
      <name val="Arial"/>
      <family val="2"/>
      <charset val="1"/>
    </font>
    <font>
      <sz val="14"/>
      <color rgb="FF000000"/>
      <name val="Arial"/>
      <family val="0"/>
      <charset val="1"/>
    </font>
    <font>
      <sz val="11"/>
      <name val="Calibri"/>
      <family val="2"/>
      <charset val="1"/>
    </font>
    <font>
      <b val="true"/>
      <sz val="11"/>
      <name val="Calibri"/>
      <family val="2"/>
      <charset val="1"/>
    </font>
    <font>
      <sz val="12"/>
      <name val="Calibri"/>
      <family val="2"/>
      <charset val="1"/>
    </font>
  </fonts>
  <fills count="30">
    <fill>
      <patternFill patternType="none"/>
    </fill>
    <fill>
      <patternFill patternType="gray125"/>
    </fill>
    <fill>
      <patternFill patternType="solid">
        <fgColor rgb="FFCCFFCC"/>
        <bgColor rgb="FFD7E4BD"/>
      </patternFill>
    </fill>
    <fill>
      <patternFill patternType="solid">
        <fgColor rgb="FFFFFFFF"/>
        <bgColor rgb="FFF2F2F2"/>
      </patternFill>
    </fill>
    <fill>
      <patternFill patternType="solid">
        <fgColor rgb="FFFFCC99"/>
        <bgColor rgb="FFFAC090"/>
      </patternFill>
    </fill>
    <fill>
      <patternFill patternType="solid">
        <fgColor theme="0" tint="-0.15"/>
        <bgColor rgb="FFDDD9C3"/>
      </patternFill>
    </fill>
    <fill>
      <patternFill patternType="solid">
        <fgColor theme="0" tint="-0.05"/>
        <bgColor rgb="FFFFFFFF"/>
      </patternFill>
    </fill>
    <fill>
      <patternFill patternType="solid">
        <fgColor theme="1" tint="0.2499"/>
        <bgColor rgb="FF262626"/>
      </patternFill>
    </fill>
    <fill>
      <patternFill patternType="solid">
        <fgColor theme="1" tint="0.0499"/>
        <bgColor rgb="FF000000"/>
      </patternFill>
    </fill>
    <fill>
      <patternFill patternType="solid">
        <fgColor theme="0" tint="-0.25"/>
        <bgColor rgb="FFC0C0C0"/>
      </patternFill>
    </fill>
    <fill>
      <patternFill patternType="solid">
        <fgColor theme="0" tint="-0.35"/>
        <bgColor rgb="FFB3A2C7"/>
      </patternFill>
    </fill>
    <fill>
      <patternFill patternType="solid">
        <fgColor theme="6" tint="0.5999"/>
        <bgColor rgb="FFDDD9C3"/>
      </patternFill>
    </fill>
    <fill>
      <patternFill patternType="solid">
        <fgColor rgb="FF00B050"/>
        <bgColor rgb="FF008080"/>
      </patternFill>
    </fill>
    <fill>
      <patternFill patternType="solid">
        <fgColor rgb="FFC0C0C0"/>
        <bgColor rgb="FFBFBFBF"/>
      </patternFill>
    </fill>
    <fill>
      <patternFill patternType="solid">
        <fgColor rgb="FFA83800"/>
        <bgColor rgb="FF993300"/>
      </patternFill>
    </fill>
    <fill>
      <patternFill patternType="solid">
        <fgColor rgb="FF008080"/>
        <bgColor rgb="FF0070C0"/>
      </patternFill>
    </fill>
    <fill>
      <patternFill patternType="solid">
        <fgColor theme="7" tint="0.3999"/>
        <bgColor rgb="FFA6A6A6"/>
      </patternFill>
    </fill>
    <fill>
      <patternFill patternType="solid">
        <fgColor rgb="FF00B0F0"/>
        <bgColor rgb="FF00CCFF"/>
      </patternFill>
    </fill>
    <fill>
      <patternFill patternType="solid">
        <fgColor rgb="FFFFFF99"/>
        <bgColor rgb="FFF2F2F2"/>
      </patternFill>
    </fill>
    <fill>
      <patternFill patternType="solid">
        <fgColor theme="6" tint="0.3999"/>
        <bgColor rgb="FFD7E4BD"/>
      </patternFill>
    </fill>
    <fill>
      <patternFill patternType="solid">
        <fgColor rgb="FFFFC000"/>
        <bgColor rgb="FFFAC090"/>
      </patternFill>
    </fill>
    <fill>
      <patternFill patternType="solid">
        <fgColor theme="2" tint="-0.5"/>
        <bgColor rgb="FF808080"/>
      </patternFill>
    </fill>
    <fill>
      <patternFill patternType="solid">
        <fgColor rgb="FF00FF00"/>
        <bgColor rgb="FF00B050"/>
      </patternFill>
    </fill>
    <fill>
      <patternFill patternType="solid">
        <fgColor theme="2" tint="-0.1"/>
        <bgColor rgb="FFD9D9D9"/>
      </patternFill>
    </fill>
    <fill>
      <patternFill patternType="solid">
        <fgColor rgb="FFFFFF00"/>
        <bgColor rgb="FFFFC000"/>
      </patternFill>
    </fill>
    <fill>
      <patternFill patternType="solid">
        <fgColor theme="1"/>
        <bgColor rgb="FF0D0D0D"/>
      </patternFill>
    </fill>
    <fill>
      <patternFill patternType="solid">
        <fgColor rgb="FF008000"/>
        <bgColor rgb="FF008080"/>
      </patternFill>
    </fill>
    <fill>
      <patternFill patternType="solid">
        <fgColor rgb="FF993300"/>
        <bgColor rgb="FFA83800"/>
      </patternFill>
    </fill>
    <fill>
      <patternFill patternType="solid">
        <fgColor rgb="FFFF99CC"/>
        <bgColor rgb="FFE6B9B8"/>
      </patternFill>
    </fill>
    <fill>
      <patternFill patternType="solid">
        <fgColor rgb="FF00CCFF"/>
        <bgColor rgb="FF00B0F0"/>
      </patternFill>
    </fill>
  </fills>
  <borders count="46">
    <border diagonalUp="false" diagonalDown="false">
      <left/>
      <right/>
      <top/>
      <bottom/>
      <diagonal/>
    </border>
    <border diagonalUp="false" diagonalDown="false">
      <left/>
      <right style="medium"/>
      <top/>
      <bottom/>
      <diagonal/>
    </border>
    <border diagonalUp="false" diagonalDown="false">
      <left style="medium"/>
      <right style="medium"/>
      <top style="thick"/>
      <bottom/>
      <diagonal/>
    </border>
    <border diagonalUp="false" diagonalDown="false">
      <left style="thick"/>
      <right style="medium"/>
      <top/>
      <bottom style="medium"/>
      <diagonal/>
    </border>
    <border diagonalUp="false" diagonalDown="false">
      <left style="medium"/>
      <right style="medium"/>
      <top/>
      <bottom style="medium"/>
      <diagonal/>
    </border>
    <border diagonalUp="false" diagonalDown="false">
      <left style="thick"/>
      <right style="medium"/>
      <top style="medium"/>
      <bottom/>
      <diagonal/>
    </border>
    <border diagonalUp="false" diagonalDown="false">
      <left style="medium"/>
      <right style="medium"/>
      <top style="medium"/>
      <bottom style="medium"/>
      <diagonal/>
    </border>
    <border diagonalUp="false" diagonalDown="false">
      <left style="thick"/>
      <right/>
      <top/>
      <bottom/>
      <diagonal/>
    </border>
    <border diagonalUp="false" diagonalDown="false">
      <left/>
      <right/>
      <top style="medium"/>
      <bottom style="thin"/>
      <diagonal/>
    </border>
    <border diagonalUp="false" diagonalDown="false">
      <left style="medium"/>
      <right style="medium"/>
      <top style="medium"/>
      <bottom/>
      <diagonal/>
    </border>
    <border diagonalUp="false" diagonalDown="false">
      <left/>
      <right/>
      <top/>
      <bottom style="thin"/>
      <diagonal/>
    </border>
    <border diagonalUp="false" diagonalDown="false">
      <left style="thin"/>
      <right/>
      <top/>
      <bottom/>
      <diagonal/>
    </border>
    <border diagonalUp="false" diagonalDown="false">
      <left/>
      <right style="thin"/>
      <top/>
      <bottom/>
      <diagonal/>
    </border>
    <border diagonalUp="false" diagonalDown="false">
      <left/>
      <right/>
      <top style="thin"/>
      <bottom/>
      <diagonal/>
    </border>
    <border diagonalUp="false" diagonalDown="false">
      <left style="medium"/>
      <right style="medium"/>
      <top/>
      <bottom/>
      <diagonal/>
    </border>
    <border diagonalUp="false" diagonalDown="false">
      <left style="thin"/>
      <right style="thin"/>
      <top style="medium"/>
      <bottom/>
      <diagonal/>
    </border>
    <border diagonalUp="false" diagonalDown="false">
      <left/>
      <right style="medium"/>
      <top/>
      <bottom style="thin"/>
      <diagonal/>
    </border>
    <border diagonalUp="false" diagonalDown="false">
      <left/>
      <right style="thin"/>
      <top/>
      <bottom style="thin"/>
      <diagonal/>
    </border>
    <border diagonalUp="false" diagonalDown="false">
      <left/>
      <right/>
      <top style="thin"/>
      <bottom style="thin"/>
      <diagonal/>
    </border>
    <border diagonalUp="false" diagonalDown="false">
      <left style="thin"/>
      <right/>
      <top/>
      <bottom style="thin"/>
      <diagonal/>
    </border>
    <border diagonalUp="false" diagonalDown="false">
      <left/>
      <right style="thin"/>
      <top style="thin"/>
      <bottom/>
      <diagonal/>
    </border>
    <border diagonalUp="false" diagonalDown="false">
      <left style="thin"/>
      <right/>
      <top style="thin"/>
      <bottom/>
      <diagonal/>
    </border>
    <border diagonalUp="false" diagonalDown="false">
      <left style="thin"/>
      <right/>
      <top style="thin"/>
      <bottom style="thin"/>
      <diagonal/>
    </border>
    <border diagonalUp="false" diagonalDown="false">
      <left style="thin"/>
      <right/>
      <top/>
      <bottom style="thick"/>
      <diagonal/>
    </border>
    <border diagonalUp="false" diagonalDown="false">
      <left/>
      <right style="thin"/>
      <top/>
      <bottom style="thick"/>
      <diagonal/>
    </border>
    <border diagonalUp="false" diagonalDown="false">
      <left/>
      <right/>
      <top/>
      <bottom style="thick"/>
      <diagonal/>
    </border>
    <border diagonalUp="false" diagonalDown="false">
      <left style="thin"/>
      <right style="thin">
        <color theme="0"/>
      </right>
      <top style="thin"/>
      <bottom/>
      <diagonal/>
    </border>
    <border diagonalUp="false" diagonalDown="false">
      <left style="thin">
        <color theme="0"/>
      </left>
      <right style="thin"/>
      <top style="thin"/>
      <bottom/>
      <diagonal/>
    </border>
    <border diagonalUp="false" diagonalDown="false">
      <left style="thin"/>
      <right style="thin">
        <color theme="0"/>
      </right>
      <top/>
      <bottom/>
      <diagonal/>
    </border>
    <border diagonalUp="false" diagonalDown="false">
      <left style="thin">
        <color theme="0"/>
      </left>
      <right style="thin"/>
      <top/>
      <bottom/>
      <diagonal/>
    </border>
    <border diagonalUp="false" diagonalDown="false">
      <left style="thin"/>
      <right style="thin">
        <color theme="0"/>
      </right>
      <top/>
      <bottom style="thin"/>
      <diagonal/>
    </border>
    <border diagonalUp="false" diagonalDown="false">
      <left style="thin">
        <color theme="0"/>
      </left>
      <right style="thin"/>
      <top/>
      <bottom style="thin"/>
      <diagonal/>
    </border>
    <border diagonalUp="false" diagonalDown="false">
      <left style="medium">
        <color theme="0"/>
      </left>
      <right style="thin">
        <color theme="0"/>
      </right>
      <top/>
      <bottom/>
      <diagonal/>
    </border>
    <border diagonalUp="false" diagonalDown="false">
      <left style="thin">
        <color theme="0"/>
      </left>
      <right style="thin">
        <color theme="0"/>
      </right>
      <top/>
      <bottom/>
      <diagonal/>
    </border>
    <border diagonalUp="false" diagonalDown="false">
      <left style="thin"/>
      <right style="thin"/>
      <top style="thin"/>
      <bottom style="thin"/>
      <diagonal/>
    </border>
    <border diagonalUp="false" diagonalDown="false">
      <left/>
      <right/>
      <top/>
      <bottom style="mediu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style="medium"/>
      <right/>
      <top style="medium"/>
      <bottom/>
      <diagonal/>
    </border>
    <border diagonalUp="false" diagonalDown="false">
      <left/>
      <right style="medium"/>
      <top style="medium"/>
      <bottom/>
      <diagonal/>
    </border>
    <border diagonalUp="false" diagonalDown="false">
      <left/>
      <right/>
      <top style="medium"/>
      <bottom/>
      <diagonal/>
    </border>
    <border diagonalUp="false" diagonalDown="false">
      <left style="thick"/>
      <right/>
      <top style="thin"/>
      <bottom/>
      <diagonal/>
    </border>
    <border diagonalUp="false" diagonalDown="false">
      <left style="thick"/>
      <right/>
      <top/>
      <bottom style="thin"/>
      <diagonal/>
    </border>
  </borders>
  <cellStyleXfs count="2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false" applyAlignment="true" applyProtection="false">
      <alignment horizontal="general" vertical="bottom" textRotation="0" wrapText="false" indent="0" shrinkToFit="false"/>
    </xf>
  </cellStyleXfs>
  <cellXfs count="45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1" xfId="0" applyFont="true" applyBorder="true" applyAlignment="true" applyProtection="false">
      <alignment horizontal="center" vertical="bottom" textRotation="0" wrapText="false" indent="0" shrinkToFit="false"/>
      <protection locked="true" hidden="false"/>
    </xf>
    <xf numFmtId="164" fontId="6" fillId="3" borderId="2" xfId="0" applyFont="true" applyBorder="tru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7" fillId="2" borderId="3" xfId="0" applyFont="true" applyBorder="true" applyAlignment="true" applyProtection="false">
      <alignment horizontal="general" vertical="center" textRotation="0" wrapText="true" indent="0" shrinkToFit="false"/>
      <protection locked="true" hidden="false"/>
    </xf>
    <xf numFmtId="164" fontId="6" fillId="3" borderId="4" xfId="0" applyFont="true" applyBorder="true" applyAlignment="true" applyProtection="false">
      <alignment horizontal="general" vertical="center" textRotation="0" wrapText="true" indent="0" shrinkToFit="false"/>
      <protection locked="true" hidden="false"/>
    </xf>
    <xf numFmtId="164" fontId="10" fillId="2" borderId="5" xfId="0" applyFont="true" applyBorder="true" applyAlignment="true" applyProtection="false">
      <alignment horizontal="center" vertical="top" textRotation="0" wrapText="false" indent="0" shrinkToFit="false"/>
      <protection locked="true" hidden="false"/>
    </xf>
    <xf numFmtId="164" fontId="11" fillId="0" borderId="6" xfId="0" applyFont="true" applyBorder="true" applyAlignment="true" applyProtection="false">
      <alignment horizontal="center" vertical="center" textRotation="0" wrapText="true" indent="0" shrinkToFit="false"/>
      <protection locked="true" hidden="false"/>
    </xf>
    <xf numFmtId="164" fontId="4" fillId="2" borderId="7" xfId="0" applyFont="true" applyBorder="true" applyAlignment="true" applyProtection="false">
      <alignment horizontal="left" vertical="bottom" textRotation="0" wrapText="true" indent="0" shrinkToFit="false"/>
      <protection locked="true" hidden="false"/>
    </xf>
    <xf numFmtId="164" fontId="12" fillId="3" borderId="8" xfId="0" applyFont="true" applyBorder="true" applyAlignment="false" applyProtection="false">
      <alignment horizontal="general" vertical="bottom" textRotation="0" wrapText="false" indent="0" shrinkToFit="false"/>
      <protection locked="true" hidden="false"/>
    </xf>
    <xf numFmtId="167" fontId="4" fillId="4" borderId="9" xfId="0" applyFont="true" applyBorder="true" applyAlignment="true" applyProtection="false">
      <alignment horizontal="center" vertical="bottom" textRotation="0" wrapText="false" indent="0" shrinkToFit="false"/>
      <protection locked="true" hidden="false"/>
    </xf>
    <xf numFmtId="168" fontId="4" fillId="3" borderId="0" xfId="0" applyFont="true" applyBorder="false" applyAlignment="false" applyProtection="false">
      <alignment horizontal="general" vertical="bottom" textRotation="0" wrapText="false" indent="0" shrinkToFit="false"/>
      <protection locked="true" hidden="false"/>
    </xf>
    <xf numFmtId="164" fontId="6" fillId="0" borderId="10" xfId="0" applyFont="true" applyBorder="true" applyAlignment="false" applyProtection="false">
      <alignment horizontal="general" vertical="bottom" textRotation="0" wrapText="false" indent="0" shrinkToFit="false"/>
      <protection locked="true" hidden="false"/>
    </xf>
    <xf numFmtId="164" fontId="13" fillId="0" borderId="10" xfId="19" applyFont="true" applyBorder="true" applyAlignment="true" applyProtection="true">
      <alignment horizontal="general" vertical="bottom" textRotation="0" wrapText="false" indent="0" shrinkToFit="false"/>
      <protection locked="true" hidden="true"/>
    </xf>
    <xf numFmtId="164" fontId="4" fillId="3" borderId="11" xfId="0" applyFont="true" applyBorder="true" applyAlignment="false" applyProtection="false">
      <alignment horizontal="general" vertical="bottom" textRotation="0" wrapText="false" indent="0" shrinkToFit="false"/>
      <protection locked="true" hidden="false"/>
    </xf>
    <xf numFmtId="164" fontId="6" fillId="3" borderId="0" xfId="0" applyFont="true" applyBorder="false" applyAlignment="false" applyProtection="false">
      <alignment horizontal="general" vertical="bottom" textRotation="0" wrapText="false" indent="0" shrinkToFit="false"/>
      <protection locked="true" hidden="false"/>
    </xf>
    <xf numFmtId="164" fontId="4" fillId="3" borderId="12" xfId="0" applyFont="true" applyBorder="true" applyAlignment="false" applyProtection="false">
      <alignment horizontal="general" vertical="bottom" textRotation="0" wrapText="false" indent="0" shrinkToFit="false"/>
      <protection locked="true" hidden="false"/>
    </xf>
    <xf numFmtId="164" fontId="4" fillId="3" borderId="13" xfId="0" applyFont="true" applyBorder="true" applyAlignment="false" applyProtection="false">
      <alignment horizontal="general" vertical="bottom" textRotation="0" wrapText="false" indent="0" shrinkToFit="false"/>
      <protection locked="true" hidden="false"/>
    </xf>
    <xf numFmtId="169" fontId="4" fillId="4" borderId="14" xfId="0" applyFont="true" applyBorder="true" applyAlignment="true" applyProtection="false">
      <alignment horizontal="center" vertical="bottom" textRotation="0" wrapText="false" indent="0" shrinkToFit="false"/>
      <protection locked="true" hidden="false"/>
    </xf>
    <xf numFmtId="170" fontId="4" fillId="0" borderId="0" xfId="0" applyFont="true" applyBorder="false" applyAlignment="true" applyProtection="false">
      <alignment horizontal="center"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true"/>
    </xf>
    <xf numFmtId="171" fontId="4" fillId="4" borderId="4" xfId="0" applyFont="true" applyBorder="true" applyAlignment="true" applyProtection="false">
      <alignment horizontal="center" vertical="bottom" textRotation="0" wrapText="false" indent="0" shrinkToFit="false"/>
      <protection locked="true" hidden="false"/>
    </xf>
    <xf numFmtId="164" fontId="4" fillId="3" borderId="0" xfId="0" applyFont="true" applyBorder="true" applyAlignment="true" applyProtection="false">
      <alignment horizontal="general" vertical="top" textRotation="0" wrapText="true" indent="0" shrinkToFit="false"/>
      <protection locked="true" hidden="false"/>
    </xf>
    <xf numFmtId="169" fontId="4" fillId="0" borderId="15" xfId="0" applyFont="true" applyBorder="true" applyAlignment="true" applyProtection="false">
      <alignment horizontal="center" vertical="bottom" textRotation="0" wrapText="false" indent="0" shrinkToFit="false"/>
      <protection locked="true" hidden="false"/>
    </xf>
    <xf numFmtId="169" fontId="4" fillId="3" borderId="0" xfId="0" applyFont="true" applyBorder="false" applyAlignment="false" applyProtection="false">
      <alignment horizontal="general" vertical="bottom" textRotation="0" wrapText="false" indent="0" shrinkToFit="false"/>
      <protection locked="true" hidden="false"/>
    </xf>
    <xf numFmtId="172" fontId="4" fillId="0" borderId="0" xfId="0" applyFont="true" applyBorder="false" applyAlignment="true" applyProtection="false">
      <alignment horizontal="center" vertical="bottom" textRotation="0" wrapText="false" indent="0" shrinkToFit="false"/>
      <protection locked="true" hidden="false"/>
    </xf>
    <xf numFmtId="164" fontId="4" fillId="3" borderId="0" xfId="0" applyFont="true" applyBorder="false" applyAlignment="true" applyProtection="false">
      <alignment horizontal="general" vertical="bottom" textRotation="0" wrapText="false" indent="0" shrinkToFit="true"/>
      <protection locked="true" hidden="false"/>
    </xf>
    <xf numFmtId="164" fontId="4" fillId="0" borderId="16" xfId="0" applyFont="true" applyBorder="true" applyAlignment="false" applyProtection="false">
      <alignment horizontal="general" vertical="bottom" textRotation="0" wrapText="false" indent="0" shrinkToFit="false"/>
      <protection locked="true" hidden="false"/>
    </xf>
    <xf numFmtId="171" fontId="4" fillId="4" borderId="6" xfId="0" applyFont="true" applyBorder="true" applyAlignment="true" applyProtection="false">
      <alignment horizontal="center" vertical="bottom" textRotation="0" wrapText="false" indent="0" shrinkToFit="false"/>
      <protection locked="true" hidden="false"/>
    </xf>
    <xf numFmtId="164" fontId="14" fillId="3" borderId="12"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left" vertical="bottom" textRotation="0" wrapText="false" indent="0" shrinkToFit="false"/>
      <protection locked="true" hidden="false"/>
    </xf>
    <xf numFmtId="168" fontId="4" fillId="0" borderId="0" xfId="0" applyFont="true" applyBorder="false" applyAlignment="true" applyProtection="false">
      <alignment horizontal="center" vertical="bottom" textRotation="0" wrapText="false" indent="0" shrinkToFit="false"/>
      <protection locked="true" hidden="false"/>
    </xf>
    <xf numFmtId="173" fontId="4" fillId="0" borderId="0" xfId="0" applyFont="true" applyBorder="false" applyAlignment="false" applyProtection="true">
      <alignment horizontal="general" vertical="bottom" textRotation="0" wrapText="false" indent="0" shrinkToFit="false"/>
      <protection locked="true" hidden="true"/>
    </xf>
    <xf numFmtId="164" fontId="4" fillId="3" borderId="0" xfId="0" applyFont="true" applyBorder="true" applyAlignment="true" applyProtection="false">
      <alignment horizontal="general" vertical="top" textRotation="0" wrapText="false" indent="0" shrinkToFit="false"/>
      <protection locked="true" hidden="false"/>
    </xf>
    <xf numFmtId="164" fontId="4" fillId="0" borderId="0" xfId="19"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false" applyProtection="true">
      <alignment horizontal="general" vertical="bottom" textRotation="0" wrapText="false" indent="0" shrinkToFit="false"/>
      <protection locked="true" hidden="true"/>
    </xf>
    <xf numFmtId="173" fontId="4" fillId="3" borderId="0" xfId="0" applyFont="true" applyBorder="false" applyAlignment="false" applyProtection="true">
      <alignment horizontal="general" vertical="bottom" textRotation="0" wrapText="false" indent="0" shrinkToFit="false"/>
      <protection locked="true" hidden="true"/>
    </xf>
    <xf numFmtId="168" fontId="4" fillId="3" borderId="0" xfId="0" applyFont="true" applyBorder="false" applyAlignment="true" applyProtection="false">
      <alignment horizontal="right" vertical="bottom" textRotation="0" wrapText="false" indent="0" shrinkToFit="false"/>
      <protection locked="true" hidden="false"/>
    </xf>
    <xf numFmtId="173" fontId="4" fillId="3" borderId="10" xfId="0" applyFont="true" applyBorder="true" applyAlignment="false" applyProtection="true">
      <alignment horizontal="general" vertical="bottom" textRotation="0" wrapText="false" indent="0" shrinkToFit="false"/>
      <protection locked="true" hidden="true"/>
    </xf>
    <xf numFmtId="164" fontId="4" fillId="3" borderId="10" xfId="0" applyFont="true" applyBorder="true" applyAlignment="false" applyProtection="false">
      <alignment horizontal="general" vertical="bottom" textRotation="0" wrapText="false" indent="0" shrinkToFit="false"/>
      <protection locked="true" hidden="false"/>
    </xf>
    <xf numFmtId="168" fontId="4" fillId="3" borderId="10" xfId="0" applyFont="true" applyBorder="true" applyAlignment="true" applyProtection="false">
      <alignment horizontal="right" vertical="bottom" textRotation="0" wrapText="false" indent="0" shrinkToFit="false"/>
      <protection locked="true" hidden="false"/>
    </xf>
    <xf numFmtId="164" fontId="4" fillId="0" borderId="10" xfId="0" applyFont="true" applyBorder="true" applyAlignment="false" applyProtection="false">
      <alignment horizontal="general" vertical="bottom" textRotation="0" wrapText="false" indent="0" shrinkToFit="false"/>
      <protection locked="true" hidden="false"/>
    </xf>
    <xf numFmtId="166" fontId="4" fillId="0" borderId="10" xfId="19" applyFont="true" applyBorder="true" applyAlignment="true" applyProtection="true">
      <alignment horizontal="general" vertical="bottom" textRotation="0" wrapText="false" indent="0" shrinkToFit="false"/>
      <protection locked="true" hidden="true"/>
    </xf>
    <xf numFmtId="164" fontId="14" fillId="3" borderId="17" xfId="0" applyFont="true" applyBorder="true" applyAlignment="false" applyProtection="false">
      <alignment horizontal="general" vertical="bottom" textRotation="0" wrapText="false" indent="0" shrinkToFit="false"/>
      <protection locked="true" hidden="false"/>
    </xf>
    <xf numFmtId="164" fontId="12" fillId="3" borderId="0" xfId="0" applyFont="true" applyBorder="true" applyAlignment="false" applyProtection="false">
      <alignment horizontal="general" vertical="bottom" textRotation="0" wrapText="false" indent="0" shrinkToFit="false"/>
      <protection locked="true" hidden="false"/>
    </xf>
    <xf numFmtId="164" fontId="4" fillId="0" borderId="18" xfId="0" applyFont="true" applyBorder="true" applyAlignment="false" applyProtection="false">
      <alignment horizontal="general" vertical="bottom" textRotation="0" wrapText="false" indent="0" shrinkToFit="false"/>
      <protection locked="true" hidden="false"/>
    </xf>
    <xf numFmtId="164" fontId="6" fillId="0" borderId="19" xfId="0" applyFont="true" applyBorder="true" applyAlignment="true" applyProtection="false">
      <alignment horizontal="center" vertical="bottom" textRotation="0" wrapText="false" indent="0" shrinkToFit="false"/>
      <protection locked="true" hidden="false"/>
    </xf>
    <xf numFmtId="164" fontId="4" fillId="0" borderId="10" xfId="0" applyFont="true" applyBorder="true" applyAlignment="true" applyProtection="false">
      <alignment horizontal="center" vertical="bottom" textRotation="0" wrapText="false" indent="0" shrinkToFit="false"/>
      <protection locked="true" hidden="false"/>
    </xf>
    <xf numFmtId="164" fontId="4" fillId="0" borderId="17" xfId="0" applyFont="true" applyBorder="true" applyAlignment="true" applyProtection="false">
      <alignment horizontal="center" vertical="bottom" textRotation="0" wrapText="false" indent="0" shrinkToFit="false"/>
      <protection locked="true" hidden="false"/>
    </xf>
    <xf numFmtId="164" fontId="15" fillId="0" borderId="19" xfId="0" applyFont="true" applyBorder="true" applyAlignment="true" applyProtection="false">
      <alignment horizontal="left" vertical="bottom" textRotation="0" wrapText="false" indent="0" shrinkToFit="false"/>
      <protection locked="true" hidden="false"/>
    </xf>
    <xf numFmtId="164" fontId="4" fillId="3" borderId="20" xfId="0" applyFont="true" applyBorder="true" applyAlignment="false" applyProtection="false">
      <alignment horizontal="general" vertical="bottom" textRotation="0" wrapText="false" indent="0" shrinkToFit="false"/>
      <protection locked="true" hidden="false"/>
    </xf>
    <xf numFmtId="164" fontId="4" fillId="0" borderId="13" xfId="0" applyFont="true" applyBorder="true" applyAlignment="false" applyProtection="false">
      <alignment horizontal="general" vertical="bottom" textRotation="0" wrapText="false" indent="0" shrinkToFit="false"/>
      <protection locked="true" hidden="false"/>
    </xf>
    <xf numFmtId="164" fontId="4" fillId="0" borderId="20" xfId="0" applyFont="true" applyBorder="true" applyAlignment="true" applyProtection="false">
      <alignment horizontal="left" vertical="bottom" textRotation="0" wrapText="false" indent="0" shrinkToFit="false"/>
      <protection locked="true" hidden="false"/>
    </xf>
    <xf numFmtId="164" fontId="4" fillId="0" borderId="21" xfId="0" applyFont="true" applyBorder="true" applyAlignment="true" applyProtection="false">
      <alignment horizontal="left" vertical="bottom" textRotation="0" wrapText="false" indent="0" shrinkToFit="false"/>
      <protection locked="true" hidden="false"/>
    </xf>
    <xf numFmtId="164" fontId="4" fillId="0" borderId="13" xfId="0" applyFont="true" applyBorder="true" applyAlignment="true" applyProtection="false">
      <alignment horizontal="left" vertical="bottom" textRotation="0" wrapText="false" indent="0" shrinkToFit="false"/>
      <protection locked="true" hidden="false"/>
    </xf>
    <xf numFmtId="164" fontId="4" fillId="0" borderId="22" xfId="0" applyFont="true" applyBorder="true" applyAlignment="true" applyProtection="false">
      <alignment horizontal="left" vertical="bottom" textRotation="0" wrapText="false" indent="0" shrinkToFit="false"/>
      <protection locked="true" hidden="false"/>
    </xf>
    <xf numFmtId="164" fontId="14" fillId="3" borderId="0" xfId="0" applyFont="true" applyBorder="false" applyAlignment="false" applyProtection="false">
      <alignment horizontal="general" vertical="bottom" textRotation="0" wrapText="false" indent="0" shrinkToFit="false"/>
      <protection locked="true" hidden="false"/>
    </xf>
    <xf numFmtId="168" fontId="4" fillId="0" borderId="20" xfId="0" applyFont="true" applyBorder="true" applyAlignment="false" applyProtection="false">
      <alignment horizontal="general" vertical="bottom" textRotation="0" wrapText="false" indent="0" shrinkToFit="false"/>
      <protection locked="true" hidden="false"/>
    </xf>
    <xf numFmtId="168" fontId="4" fillId="0" borderId="21" xfId="0" applyFont="true" applyBorder="true" applyAlignment="false" applyProtection="false">
      <alignment horizontal="general" vertical="bottom" textRotation="0" wrapText="false" indent="0" shrinkToFit="false"/>
      <protection locked="true" hidden="false"/>
    </xf>
    <xf numFmtId="174" fontId="4" fillId="0" borderId="13" xfId="19" applyFont="true" applyBorder="true" applyAlignment="true" applyProtection="true">
      <alignment horizontal="center" vertical="center" textRotation="0" wrapText="false" indent="0" shrinkToFit="false"/>
      <protection locked="true" hidden="false"/>
    </xf>
    <xf numFmtId="168" fontId="4" fillId="0" borderId="13" xfId="0" applyFont="true" applyBorder="true" applyAlignment="false" applyProtection="false">
      <alignment horizontal="general" vertical="bottom" textRotation="0" wrapText="false" indent="0" shrinkToFit="false"/>
      <protection locked="true" hidden="false"/>
    </xf>
    <xf numFmtId="172" fontId="4" fillId="0" borderId="11" xfId="0" applyFont="true" applyBorder="true" applyAlignment="true" applyProtection="false">
      <alignment horizontal="left" vertical="bottom" textRotation="0" wrapText="false" indent="0" shrinkToFit="false"/>
      <protection locked="true" hidden="false"/>
    </xf>
    <xf numFmtId="164" fontId="4" fillId="3" borderId="0" xfId="0" applyFont="true" applyBorder="true" applyAlignment="true" applyProtection="false">
      <alignment horizontal="general" vertical="bottom" textRotation="0" wrapText="true" indent="0" shrinkToFit="false"/>
      <protection locked="true" hidden="false"/>
    </xf>
    <xf numFmtId="173" fontId="4" fillId="0" borderId="0" xfId="0" applyFont="true" applyBorder="false" applyAlignment="false" applyProtection="false">
      <alignment horizontal="general" vertical="bottom" textRotation="0" wrapText="false" indent="0" shrinkToFit="false"/>
      <protection locked="true" hidden="false"/>
    </xf>
    <xf numFmtId="168" fontId="4" fillId="0" borderId="12" xfId="0" applyFont="true" applyBorder="true" applyAlignment="false" applyProtection="false">
      <alignment horizontal="general" vertical="bottom" textRotation="0" wrapText="false" indent="0" shrinkToFit="false"/>
      <protection locked="true" hidden="false"/>
    </xf>
    <xf numFmtId="168" fontId="4" fillId="0" borderId="1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center" vertical="center" textRotation="0" wrapText="false" indent="0" shrinkToFit="false"/>
      <protection locked="true" hidden="false"/>
    </xf>
    <xf numFmtId="168" fontId="4" fillId="0" borderId="0" xfId="0" applyFont="true" applyBorder="false" applyAlignment="false" applyProtection="false">
      <alignment horizontal="general" vertical="bottom" textRotation="0" wrapText="false" indent="0" shrinkToFit="false"/>
      <protection locked="true" hidden="false"/>
    </xf>
    <xf numFmtId="168" fontId="4" fillId="0" borderId="23" xfId="0" applyFont="true" applyBorder="true" applyAlignment="false" applyProtection="false">
      <alignment horizontal="general" vertical="bottom" textRotation="0" wrapText="false" indent="0" shrinkToFit="false"/>
      <protection locked="true" hidden="false"/>
    </xf>
    <xf numFmtId="168" fontId="4" fillId="0" borderId="24" xfId="0" applyFont="true" applyBorder="true" applyAlignment="false" applyProtection="false">
      <alignment horizontal="general" vertical="bottom" textRotation="0" wrapText="false" indent="0" shrinkToFit="false"/>
      <protection locked="true" hidden="false"/>
    </xf>
    <xf numFmtId="168" fontId="4" fillId="0" borderId="25" xfId="0" applyFont="true" applyBorder="true" applyAlignment="false" applyProtection="false">
      <alignment horizontal="general" vertical="bottom" textRotation="0" wrapText="false" indent="0" shrinkToFit="false"/>
      <protection locked="true" hidden="false"/>
    </xf>
    <xf numFmtId="173" fontId="4" fillId="0" borderId="13" xfId="0" applyFont="true" applyBorder="true" applyAlignment="false" applyProtection="false">
      <alignment horizontal="general" vertical="bottom" textRotation="0" wrapText="false" indent="0" shrinkToFit="false"/>
      <protection locked="true" hidden="false"/>
    </xf>
    <xf numFmtId="168" fontId="6" fillId="0" borderId="11" xfId="0" applyFont="true" applyBorder="true" applyAlignment="false" applyProtection="false">
      <alignment horizontal="general" vertical="bottom" textRotation="0" wrapText="false" indent="0" shrinkToFit="false"/>
      <protection locked="true" hidden="false"/>
    </xf>
    <xf numFmtId="168" fontId="6" fillId="0" borderId="12" xfId="0" applyFont="true" applyBorder="true" applyAlignment="false" applyProtection="false">
      <alignment horizontal="general" vertical="bottom" textRotation="0" wrapText="false" indent="0" shrinkToFit="false"/>
      <protection locked="true" hidden="false"/>
    </xf>
    <xf numFmtId="168" fontId="6" fillId="0" borderId="0" xfId="0" applyFont="true" applyBorder="false" applyAlignment="false" applyProtection="false">
      <alignment horizontal="general" vertical="bottom" textRotation="0" wrapText="false" indent="0" shrinkToFit="false"/>
      <protection locked="true" hidden="false"/>
    </xf>
    <xf numFmtId="164" fontId="4" fillId="0" borderId="11" xfId="0" applyFont="true" applyBorder="true" applyAlignment="false" applyProtection="false">
      <alignment horizontal="general" vertical="bottom" textRotation="0" wrapText="false" indent="0" shrinkToFit="false"/>
      <protection locked="true" hidden="false"/>
    </xf>
    <xf numFmtId="164" fontId="4" fillId="0" borderId="12" xfId="0" applyFont="true" applyBorder="true" applyAlignment="false" applyProtection="false">
      <alignment horizontal="general" vertical="bottom" textRotation="0" wrapText="false" indent="0" shrinkToFit="false"/>
      <protection locked="true" hidden="false"/>
    </xf>
    <xf numFmtId="172" fontId="4" fillId="0" borderId="23" xfId="0" applyFont="true" applyBorder="true" applyAlignment="false" applyProtection="false">
      <alignment horizontal="general" vertical="bottom" textRotation="0" wrapText="false" indent="0" shrinkToFit="false"/>
      <protection locked="true" hidden="false"/>
    </xf>
    <xf numFmtId="172" fontId="4" fillId="0" borderId="24" xfId="0" applyFont="true" applyBorder="true" applyAlignment="false" applyProtection="false">
      <alignment horizontal="general" vertical="bottom" textRotation="0" wrapText="false" indent="0" shrinkToFit="false"/>
      <protection locked="true" hidden="false"/>
    </xf>
    <xf numFmtId="164" fontId="4" fillId="3" borderId="0" xfId="0" applyFont="true" applyBorder="true" applyAlignment="false" applyProtection="false">
      <alignment horizontal="general" vertical="bottom" textRotation="0" wrapText="false" indent="0" shrinkToFit="false"/>
      <protection locked="true" hidden="false"/>
    </xf>
    <xf numFmtId="167" fontId="16" fillId="5" borderId="26" xfId="0" applyFont="true" applyBorder="true" applyAlignment="false" applyProtection="false">
      <alignment horizontal="general" vertical="bottom" textRotation="0" wrapText="false" indent="0" shrinkToFit="false"/>
      <protection locked="true" hidden="false"/>
    </xf>
    <xf numFmtId="168" fontId="16" fillId="5" borderId="27" xfId="0" applyFont="true" applyBorder="true" applyAlignment="false" applyProtection="false">
      <alignment horizontal="general" vertical="bottom" textRotation="0" wrapText="false" indent="0" shrinkToFit="false"/>
      <protection locked="true" hidden="false"/>
    </xf>
    <xf numFmtId="167" fontId="16" fillId="6" borderId="28" xfId="0" applyFont="true" applyBorder="true" applyAlignment="false" applyProtection="false">
      <alignment horizontal="general" vertical="bottom" textRotation="0" wrapText="false" indent="0" shrinkToFit="false"/>
      <protection locked="true" hidden="false"/>
    </xf>
    <xf numFmtId="168" fontId="16" fillId="6" borderId="29"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7" fontId="16" fillId="5" borderId="28" xfId="0" applyFont="true" applyBorder="true" applyAlignment="false" applyProtection="false">
      <alignment horizontal="general" vertical="bottom" textRotation="0" wrapText="false" indent="0" shrinkToFit="false"/>
      <protection locked="true" hidden="false"/>
    </xf>
    <xf numFmtId="168" fontId="16" fillId="5" borderId="29" xfId="0" applyFont="true" applyBorder="true" applyAlignment="false" applyProtection="false">
      <alignment horizontal="general" vertical="bottom" textRotation="0" wrapText="false" indent="0" shrinkToFit="false"/>
      <protection locked="true" hidden="false"/>
    </xf>
    <xf numFmtId="168" fontId="6" fillId="0" borderId="10" xfId="0" applyFont="true" applyBorder="true" applyAlignment="false" applyProtection="false">
      <alignment horizontal="general" vertical="bottom" textRotation="0" wrapText="false" indent="0" shrinkToFit="false"/>
      <protection locked="true" hidden="false"/>
    </xf>
    <xf numFmtId="166" fontId="6" fillId="0" borderId="10" xfId="19" applyFont="true" applyBorder="true" applyAlignment="true" applyProtection="true">
      <alignment horizontal="general" vertical="bottom" textRotation="0" wrapText="false" indent="0" shrinkToFit="false"/>
      <protection locked="true" hidden="false"/>
    </xf>
    <xf numFmtId="164" fontId="4" fillId="0" borderId="11" xfId="0" applyFont="true" applyBorder="true" applyAlignment="true" applyProtection="false">
      <alignment horizontal="center" vertical="bottom" textRotation="0" wrapText="false" indent="0" shrinkToFit="false"/>
      <protection locked="true" hidden="false"/>
    </xf>
    <xf numFmtId="167" fontId="16" fillId="6" borderId="30" xfId="0" applyFont="true" applyBorder="true" applyAlignment="false" applyProtection="false">
      <alignment horizontal="general" vertical="bottom" textRotation="0" wrapText="false" indent="0" shrinkToFit="false"/>
      <protection locked="true" hidden="false"/>
    </xf>
    <xf numFmtId="168" fontId="16" fillId="6" borderId="31" xfId="0" applyFont="true" applyBorder="true" applyAlignment="false" applyProtection="false">
      <alignment horizontal="general" vertical="bottom" textRotation="0" wrapText="false" indent="0" shrinkToFit="false"/>
      <protection locked="true" hidden="false"/>
    </xf>
    <xf numFmtId="167" fontId="4" fillId="0" borderId="0" xfId="0" applyFont="true" applyBorder="false" applyAlignment="false" applyProtection="false">
      <alignment horizontal="general" vertical="bottom" textRotation="0" wrapText="false" indent="0" shrinkToFit="false"/>
      <protection locked="true" hidden="false"/>
    </xf>
    <xf numFmtId="168" fontId="4" fillId="0" borderId="0" xfId="19" applyFont="true" applyBorder="true" applyAlignment="true" applyProtection="true">
      <alignment horizontal="general" vertical="bottom" textRotation="0" wrapText="false" indent="0" shrinkToFit="false"/>
      <protection locked="true" hidden="false"/>
    </xf>
    <xf numFmtId="175" fontId="4" fillId="0" borderId="0" xfId="19" applyFont="true" applyBorder="true" applyAlignment="true" applyProtection="true">
      <alignment horizontal="general" vertical="bottom" textRotation="0" wrapText="false" indent="0" shrinkToFit="false"/>
      <protection locked="true" hidden="false"/>
    </xf>
    <xf numFmtId="176" fontId="4" fillId="0" borderId="0" xfId="0" applyFont="true" applyBorder="false" applyAlignment="true" applyProtection="false">
      <alignment horizontal="center" vertical="bottom" textRotation="0" wrapText="false" indent="0" shrinkToFit="false"/>
      <protection locked="true" hidden="false"/>
    </xf>
    <xf numFmtId="164" fontId="17" fillId="7" borderId="0" xfId="0" applyFont="true" applyBorder="false" applyAlignment="false" applyProtection="false">
      <alignment horizontal="general" vertical="bottom" textRotation="0" wrapText="false" indent="0" shrinkToFit="false"/>
      <protection locked="true" hidden="false"/>
    </xf>
    <xf numFmtId="168" fontId="18" fillId="7" borderId="0" xfId="0" applyFont="true" applyBorder="false" applyAlignment="false" applyProtection="false">
      <alignment horizontal="general" vertical="bottom" textRotation="0" wrapText="false" indent="0" shrinkToFit="false"/>
      <protection locked="true" hidden="false"/>
    </xf>
    <xf numFmtId="167" fontId="16" fillId="6" borderId="32" xfId="0" applyFont="true" applyBorder="true" applyAlignment="false" applyProtection="false">
      <alignment horizontal="general" vertical="bottom" textRotation="0" wrapText="false" indent="0" shrinkToFit="false"/>
      <protection locked="true" hidden="false"/>
    </xf>
    <xf numFmtId="168" fontId="16" fillId="6" borderId="33" xfId="0" applyFont="true" applyBorder="true" applyAlignment="false" applyProtection="false">
      <alignment horizontal="general" vertical="bottom" textRotation="0" wrapText="false" indent="0" shrinkToFit="false"/>
      <protection locked="true" hidden="false"/>
    </xf>
    <xf numFmtId="167" fontId="16" fillId="5" borderId="32" xfId="0" applyFont="true" applyBorder="true" applyAlignment="false" applyProtection="false">
      <alignment horizontal="general" vertical="bottom" textRotation="0" wrapText="false" indent="0" shrinkToFit="false"/>
      <protection locked="true" hidden="false"/>
    </xf>
    <xf numFmtId="168" fontId="16" fillId="5" borderId="33"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left" vertical="bottom" textRotation="0" wrapText="false" indent="0" shrinkToFit="false"/>
      <protection locked="true" hidden="false"/>
    </xf>
    <xf numFmtId="164" fontId="4" fillId="3" borderId="0" xfId="0" applyFont="true" applyBorder="false" applyAlignment="true" applyProtection="false">
      <alignment horizontal="center" vertical="bottom" textRotation="0" wrapText="false" indent="0" shrinkToFit="false"/>
      <protection locked="true" hidden="false"/>
    </xf>
    <xf numFmtId="175" fontId="4" fillId="0" borderId="0" xfId="0" applyFont="true" applyBorder="false" applyAlignment="false" applyProtection="false">
      <alignment horizontal="general" vertical="bottom" textRotation="0" wrapText="false" indent="0" shrinkToFit="false"/>
      <protection locked="true" hidden="false"/>
    </xf>
    <xf numFmtId="167" fontId="4" fillId="0" borderId="10" xfId="0" applyFont="true" applyBorder="true" applyAlignment="false" applyProtection="false">
      <alignment horizontal="general" vertical="bottom" textRotation="0" wrapText="false" indent="0" shrinkToFit="false"/>
      <protection locked="true" hidden="false"/>
    </xf>
    <xf numFmtId="175" fontId="4" fillId="0" borderId="10" xfId="19" applyFont="true" applyBorder="true" applyAlignment="true" applyProtection="true">
      <alignment horizontal="general"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false"/>
    </xf>
    <xf numFmtId="168" fontId="4" fillId="0" borderId="10" xfId="19" applyFont="true" applyBorder="true" applyAlignment="true" applyProtection="true">
      <alignment horizontal="general" vertical="bottom" textRotation="0" wrapText="false" indent="0" shrinkToFit="false"/>
      <protection locked="true" hidden="false"/>
    </xf>
    <xf numFmtId="175" fontId="6" fillId="0" borderId="0" xfId="19" applyFont="true" applyBorder="true" applyAlignment="true" applyProtection="true">
      <alignment horizontal="general" vertical="bottom" textRotation="0" wrapText="false" indent="0" shrinkToFit="false"/>
      <protection locked="true" hidden="false"/>
    </xf>
    <xf numFmtId="164" fontId="18" fillId="8" borderId="19" xfId="0" applyFont="true" applyBorder="true" applyAlignment="false" applyProtection="false">
      <alignment horizontal="general" vertical="bottom" textRotation="0" wrapText="false" indent="0" shrinkToFit="false"/>
      <protection locked="true" hidden="false"/>
    </xf>
    <xf numFmtId="168" fontId="18" fillId="8" borderId="10" xfId="0" applyFont="true" applyBorder="true" applyAlignment="false" applyProtection="false">
      <alignment horizontal="general" vertical="bottom" textRotation="0" wrapText="false" indent="0" shrinkToFit="false"/>
      <protection locked="true" hidden="false"/>
    </xf>
    <xf numFmtId="164" fontId="4" fillId="3" borderId="17" xfId="0" applyFont="true" applyBorder="true" applyAlignment="false" applyProtection="false">
      <alignment horizontal="general" vertical="bottom" textRotation="0" wrapText="false" indent="0" shrinkToFit="false"/>
      <protection locked="true" hidden="false"/>
    </xf>
    <xf numFmtId="164" fontId="19" fillId="0" borderId="0" xfId="0" applyFont="true" applyBorder="true" applyAlignment="false" applyProtection="false">
      <alignment horizontal="general"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64" fontId="14" fillId="0" borderId="0" xfId="0" applyFont="true" applyBorder="false" applyAlignment="true" applyProtection="false">
      <alignment horizontal="center"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76" fontId="14" fillId="0" borderId="0" xfId="0" applyFont="true" applyBorder="false" applyAlignment="false" applyProtection="false">
      <alignment horizontal="general" vertical="bottom" textRotation="0" wrapText="false" indent="0" shrinkToFit="false"/>
      <protection locked="true" hidden="false"/>
    </xf>
    <xf numFmtId="172" fontId="14" fillId="0" borderId="0" xfId="0" applyFont="true" applyBorder="false" applyAlignment="false" applyProtection="false">
      <alignment horizontal="general" vertical="bottom" textRotation="0" wrapText="false" indent="0" shrinkToFit="false"/>
      <protection locked="true" hidden="false"/>
    </xf>
    <xf numFmtId="172" fontId="22" fillId="0" borderId="0" xfId="0" applyFont="true" applyBorder="false" applyAlignment="false" applyProtection="false">
      <alignment horizontal="general" vertical="bottom" textRotation="0" wrapText="false" indent="0" shrinkToFit="false"/>
      <protection locked="true" hidden="false"/>
    </xf>
    <xf numFmtId="164" fontId="23"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center" vertical="bottom" textRotation="0" wrapText="false" indent="0" shrinkToFit="false"/>
      <protection locked="true" hidden="false"/>
    </xf>
    <xf numFmtId="164" fontId="6" fillId="0" borderId="0" xfId="0" applyFont="true" applyBorder="true" applyAlignment="true" applyProtection="false">
      <alignment horizontal="center" vertical="bottom" textRotation="0" wrapText="false" indent="0" shrinkToFit="false"/>
      <protection locked="true" hidden="false"/>
    </xf>
    <xf numFmtId="167" fontId="4" fillId="0" borderId="0" xfId="0" applyFont="true" applyBorder="false" applyAlignment="true" applyProtection="false">
      <alignment horizontal="center" vertical="bottom" textRotation="0" wrapText="false" indent="0" shrinkToFit="false"/>
      <protection locked="true" hidden="false"/>
    </xf>
    <xf numFmtId="167" fontId="6" fillId="0" borderId="0" xfId="0" applyFont="true" applyBorder="false" applyAlignment="true" applyProtection="false">
      <alignment horizontal="center" vertical="top" textRotation="0" wrapText="true" indent="0" shrinkToFit="false"/>
      <protection locked="true" hidden="false"/>
    </xf>
    <xf numFmtId="172" fontId="4" fillId="9" borderId="0" xfId="0" applyFont="true" applyBorder="false" applyAlignment="true" applyProtection="false">
      <alignment horizontal="center" vertical="bottom" textRotation="0" wrapText="false" indent="0" shrinkToFit="false"/>
      <protection locked="true" hidden="false"/>
    </xf>
    <xf numFmtId="170" fontId="4" fillId="9" borderId="0" xfId="0" applyFont="true" applyBorder="false" applyAlignment="true" applyProtection="false">
      <alignment horizontal="center" vertical="bottom" textRotation="0" wrapText="false" indent="0" shrinkToFit="false"/>
      <protection locked="true" hidden="false"/>
    </xf>
    <xf numFmtId="174" fontId="4" fillId="0" borderId="0" xfId="19" applyFont="true" applyBorder="true" applyAlignment="true" applyProtection="true">
      <alignment horizontal="general" vertical="bottom" textRotation="0" wrapText="false" indent="0" shrinkToFit="false"/>
      <protection locked="true" hidden="false"/>
    </xf>
    <xf numFmtId="168" fontId="4" fillId="9" borderId="0" xfId="19" applyFont="true" applyBorder="true" applyAlignment="true" applyProtection="true">
      <alignment horizontal="general" vertical="bottom" textRotation="0" wrapText="false" indent="0" shrinkToFit="false"/>
      <protection locked="true" hidden="false"/>
    </xf>
    <xf numFmtId="164" fontId="4" fillId="9" borderId="0" xfId="0" applyFont="true" applyBorder="false" applyAlignment="false" applyProtection="false">
      <alignment horizontal="general" vertical="bottom" textRotation="0" wrapText="false" indent="0" shrinkToFit="false"/>
      <protection locked="true" hidden="false"/>
    </xf>
    <xf numFmtId="172" fontId="6" fillId="9" borderId="0" xfId="0" applyFont="true" applyBorder="false" applyAlignment="true" applyProtection="false">
      <alignment horizontal="center" vertical="bottom" textRotation="0" wrapText="false" indent="0" shrinkToFit="false"/>
      <protection locked="true" hidden="false"/>
    </xf>
    <xf numFmtId="170" fontId="6" fillId="9" borderId="0" xfId="0" applyFont="true" applyBorder="false" applyAlignment="true" applyProtection="false">
      <alignment horizontal="center" vertical="bottom" textRotation="0" wrapText="false" indent="0" shrinkToFit="false"/>
      <protection locked="true" hidden="false"/>
    </xf>
    <xf numFmtId="174" fontId="6" fillId="0" borderId="0" xfId="19" applyFont="true" applyBorder="true" applyAlignment="true" applyProtection="true">
      <alignment horizontal="general" vertical="bottom" textRotation="0" wrapText="false" indent="0" shrinkToFit="false"/>
      <protection locked="true" hidden="false"/>
    </xf>
    <xf numFmtId="168" fontId="6" fillId="0" borderId="0" xfId="19" applyFont="true" applyBorder="true" applyAlignment="true" applyProtection="true">
      <alignment horizontal="general" vertical="bottom" textRotation="0" wrapText="false" indent="0" shrinkToFit="false"/>
      <protection locked="true" hidden="false"/>
    </xf>
    <xf numFmtId="168" fontId="6" fillId="0" borderId="0" xfId="0" applyFont="true" applyBorder="false" applyAlignment="true" applyProtection="false">
      <alignment horizontal="center" vertical="bottom" textRotation="0" wrapText="false" indent="0" shrinkToFit="false"/>
      <protection locked="true" hidden="false"/>
    </xf>
    <xf numFmtId="164" fontId="6" fillId="9" borderId="0" xfId="0" applyFont="true" applyBorder="false" applyAlignment="false" applyProtection="false">
      <alignment horizontal="general" vertical="bottom" textRotation="0" wrapText="false" indent="0" shrinkToFit="false"/>
      <protection locked="true" hidden="false"/>
    </xf>
    <xf numFmtId="166" fontId="6" fillId="0" borderId="0" xfId="19" applyFont="true" applyBorder="true" applyAlignment="true" applyProtection="true">
      <alignment horizontal="general" vertical="bottom" textRotation="0" wrapText="false" indent="0" shrinkToFit="false"/>
      <protection locked="true" hidden="false"/>
    </xf>
    <xf numFmtId="164" fontId="6" fillId="0" borderId="0" xfId="0" applyFont="true" applyBorder="true" applyAlignment="true" applyProtection="false">
      <alignment horizontal="left" vertical="bottom" textRotation="0" wrapText="false" indent="0" shrinkToFit="false"/>
      <protection locked="true" hidden="false"/>
    </xf>
    <xf numFmtId="172" fontId="6" fillId="0" borderId="0" xfId="0" applyFont="true" applyBorder="false" applyAlignment="true" applyProtection="false">
      <alignment horizontal="center" vertical="bottom" textRotation="0" wrapText="false" indent="0" shrinkToFit="false"/>
      <protection locked="true" hidden="false"/>
    </xf>
    <xf numFmtId="164" fontId="6" fillId="0" borderId="0" xfId="0" applyFont="true" applyBorder="true" applyAlignment="false" applyProtection="false">
      <alignment horizontal="general" vertical="bottom" textRotation="0" wrapText="false" indent="0" shrinkToFit="false"/>
      <protection locked="true" hidden="false"/>
    </xf>
    <xf numFmtId="167" fontId="6" fillId="0" borderId="0" xfId="0" applyFont="true" applyBorder="false" applyAlignment="true" applyProtection="false">
      <alignment horizontal="center" vertical="top" textRotation="0" wrapText="false" indent="0" shrinkToFit="false"/>
      <protection locked="true" hidden="false"/>
    </xf>
    <xf numFmtId="170" fontId="4" fillId="9" borderId="0" xfId="0" applyFont="true" applyBorder="false" applyAlignment="false" applyProtection="false">
      <alignment horizontal="general" vertical="bottom" textRotation="0" wrapText="false" indent="0" shrinkToFit="false"/>
      <protection locked="true" hidden="false"/>
    </xf>
    <xf numFmtId="168" fontId="4" fillId="4" borderId="0" xfId="0" applyFont="true" applyBorder="false" applyAlignment="true" applyProtection="false">
      <alignment horizontal="center" vertical="bottom" textRotation="0" wrapText="false" indent="0" shrinkToFit="false"/>
      <protection locked="true" hidden="false"/>
    </xf>
    <xf numFmtId="168" fontId="4" fillId="9" borderId="0" xfId="0" applyFont="true" applyBorder="false" applyAlignment="false" applyProtection="false">
      <alignment horizontal="general" vertical="bottom" textRotation="0" wrapText="false" indent="0" shrinkToFit="false"/>
      <protection locked="true" hidden="false"/>
    </xf>
    <xf numFmtId="168" fontId="16" fillId="5" borderId="33" xfId="19" applyFont="true" applyBorder="true" applyAlignment="true" applyProtection="true">
      <alignment horizontal="general" vertical="bottom" textRotation="0" wrapText="false" indent="0" shrinkToFit="false"/>
      <protection locked="true" hidden="false"/>
    </xf>
    <xf numFmtId="177" fontId="4" fillId="0" borderId="0" xfId="0" applyFont="true" applyBorder="false" applyAlignment="false" applyProtection="false">
      <alignment horizontal="general" vertical="bottom" textRotation="0" wrapText="false" indent="0" shrinkToFit="false"/>
      <protection locked="true" hidden="false"/>
    </xf>
    <xf numFmtId="166" fontId="4" fillId="0" borderId="0" xfId="0" applyFont="true" applyBorder="false" applyAlignment="false" applyProtection="false">
      <alignment horizontal="general" vertical="bottom" textRotation="0" wrapText="false" indent="0" shrinkToFit="false"/>
      <protection locked="true" hidden="false"/>
    </xf>
    <xf numFmtId="174" fontId="4" fillId="0" borderId="0" xfId="0" applyFont="true" applyBorder="false" applyAlignment="false" applyProtection="false">
      <alignment horizontal="general" vertical="bottom" textRotation="0" wrapText="false" indent="0" shrinkToFit="false"/>
      <protection locked="true" hidden="false"/>
    </xf>
    <xf numFmtId="172" fontId="4" fillId="0" borderId="0" xfId="0" applyFont="true" applyBorder="false" applyAlignment="false" applyProtection="false">
      <alignment horizontal="general" vertical="bottom" textRotation="0" wrapText="false" indent="0" shrinkToFit="false"/>
      <protection locked="true" hidden="false"/>
    </xf>
    <xf numFmtId="168" fontId="4" fillId="4" borderId="0" xfId="0" applyFont="true" applyBorder="false" applyAlignment="false" applyProtection="false">
      <alignment horizontal="general" vertical="bottom" textRotation="0" wrapText="false" indent="0" shrinkToFit="false"/>
      <protection locked="true" hidden="false"/>
    </xf>
    <xf numFmtId="170" fontId="4" fillId="0" borderId="0" xfId="0" applyFont="true" applyBorder="false" applyAlignment="false" applyProtection="false">
      <alignment horizontal="general" vertical="bottom" textRotation="0" wrapText="false" indent="0" shrinkToFit="false"/>
      <protection locked="true" hidden="false"/>
    </xf>
    <xf numFmtId="164" fontId="6" fillId="9" borderId="0" xfId="0" applyFont="true" applyBorder="false" applyAlignment="true" applyProtection="false">
      <alignment horizontal="center" vertical="bottom" textRotation="0" wrapText="false" indent="0" shrinkToFit="false"/>
      <protection locked="true" hidden="false"/>
    </xf>
    <xf numFmtId="170" fontId="6" fillId="9" borderId="0" xfId="0" applyFont="true" applyBorder="false" applyAlignment="false" applyProtection="false">
      <alignment horizontal="general" vertical="bottom" textRotation="0" wrapText="false" indent="0" shrinkToFit="false"/>
      <protection locked="true" hidden="false"/>
    </xf>
    <xf numFmtId="168" fontId="6" fillId="4" borderId="0" xfId="0" applyFont="true" applyBorder="false" applyAlignment="true" applyProtection="false">
      <alignment horizontal="center" vertical="bottom" textRotation="0" wrapText="false" indent="0" shrinkToFit="false"/>
      <protection locked="true" hidden="false"/>
    </xf>
    <xf numFmtId="168" fontId="6" fillId="9" borderId="0" xfId="0" applyFont="true" applyBorder="false" applyAlignment="false" applyProtection="false">
      <alignment horizontal="general" vertical="bottom" textRotation="0" wrapText="false" indent="0" shrinkToFit="false"/>
      <protection locked="true" hidden="false"/>
    </xf>
    <xf numFmtId="177" fontId="6" fillId="0" borderId="0" xfId="0" applyFont="true" applyBorder="false" applyAlignment="false" applyProtection="false">
      <alignment horizontal="general" vertical="bottom" textRotation="0" wrapText="false" indent="0" shrinkToFit="false"/>
      <protection locked="true" hidden="false"/>
    </xf>
    <xf numFmtId="166" fontId="6" fillId="0" borderId="0" xfId="0" applyFont="true" applyBorder="false" applyAlignment="false" applyProtection="false">
      <alignment horizontal="general" vertical="bottom" textRotation="0" wrapText="false" indent="0" shrinkToFit="false"/>
      <protection locked="true" hidden="false"/>
    </xf>
    <xf numFmtId="174" fontId="6" fillId="0" borderId="0" xfId="0" applyFont="true" applyBorder="false" applyAlignment="false" applyProtection="false">
      <alignment horizontal="general" vertical="bottom" textRotation="0" wrapText="false" indent="0" shrinkToFit="false"/>
      <protection locked="true" hidden="false"/>
    </xf>
    <xf numFmtId="168" fontId="6" fillId="4" borderId="0" xfId="0" applyFont="true" applyBorder="false" applyAlignment="false" applyProtection="false">
      <alignment horizontal="general" vertical="bottom" textRotation="0" wrapText="false" indent="0" shrinkToFit="false"/>
      <protection locked="true" hidden="false"/>
    </xf>
    <xf numFmtId="170" fontId="6"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left" vertical="top" textRotation="0" wrapText="false" indent="0" shrinkToFit="false"/>
      <protection locked="true" hidden="false"/>
    </xf>
    <xf numFmtId="178" fontId="4"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right" vertical="bottom" textRotation="0" wrapText="false" indent="0" shrinkToFit="false"/>
      <protection locked="true" hidden="false"/>
    </xf>
    <xf numFmtId="164" fontId="6" fillId="0" borderId="0" xfId="0" applyFont="true" applyBorder="false" applyAlignment="true" applyProtection="false">
      <alignment horizontal="right" vertical="bottom" textRotation="0" wrapText="false" indent="0" shrinkToFit="false"/>
      <protection locked="true" hidden="false"/>
    </xf>
    <xf numFmtId="167" fontId="6" fillId="0" borderId="11" xfId="0" applyFont="true" applyBorder="true" applyAlignment="true" applyProtection="false">
      <alignment horizontal="center" vertical="top" textRotation="0" wrapText="true" indent="0" shrinkToFit="false"/>
      <protection locked="true" hidden="false"/>
    </xf>
    <xf numFmtId="167" fontId="6" fillId="0" borderId="0" xfId="0" applyFont="true" applyBorder="false" applyAlignment="true" applyProtection="false">
      <alignment horizontal="left" vertical="top" textRotation="0" wrapText="true" indent="0" shrinkToFit="false"/>
      <protection locked="true" hidden="false"/>
    </xf>
    <xf numFmtId="167" fontId="6" fillId="0" borderId="12" xfId="0" applyFont="true" applyBorder="true" applyAlignment="true" applyProtection="false">
      <alignment horizontal="center" vertical="top" textRotation="0" wrapText="true" indent="0" shrinkToFit="false"/>
      <protection locked="true" hidden="false"/>
    </xf>
    <xf numFmtId="172" fontId="4" fillId="5" borderId="0" xfId="0" applyFont="true" applyBorder="false" applyAlignment="true" applyProtection="false">
      <alignment horizontal="center" vertical="bottom" textRotation="0" wrapText="false" indent="0" shrinkToFit="false"/>
      <protection locked="true" hidden="false"/>
    </xf>
    <xf numFmtId="168" fontId="4" fillId="0" borderId="0" xfId="0" applyFont="true" applyBorder="false" applyAlignment="true" applyProtection="false">
      <alignment horizontal="right" vertical="bottom" textRotation="0" wrapText="false" indent="0" shrinkToFit="false"/>
      <protection locked="true" hidden="false"/>
    </xf>
    <xf numFmtId="172" fontId="4" fillId="0" borderId="0" xfId="0" applyFont="true" applyBorder="false" applyAlignment="true" applyProtection="false">
      <alignment horizontal="right" vertical="bottom" textRotation="0" wrapText="false" indent="0" shrinkToFit="false"/>
      <protection locked="true" hidden="false"/>
    </xf>
    <xf numFmtId="170" fontId="4" fillId="10" borderId="0" xfId="0" applyFont="true" applyBorder="false" applyAlignment="false" applyProtection="false">
      <alignment horizontal="general" vertical="bottom" textRotation="0" wrapText="false" indent="0" shrinkToFit="false"/>
      <protection locked="true" hidden="false"/>
    </xf>
    <xf numFmtId="168" fontId="16" fillId="11" borderId="33" xfId="0" applyFont="true" applyBorder="true" applyAlignment="true" applyProtection="false">
      <alignment horizontal="center" vertical="bottom" textRotation="0" wrapText="false" indent="0" shrinkToFit="false"/>
      <protection locked="true" hidden="false"/>
    </xf>
    <xf numFmtId="168" fontId="16" fillId="12" borderId="33" xfId="0" applyFont="true" applyBorder="true" applyAlignment="true" applyProtection="false">
      <alignment horizontal="center" vertical="bottom" textRotation="0" wrapText="false" indent="0" shrinkToFit="false"/>
      <protection locked="true" hidden="false"/>
    </xf>
    <xf numFmtId="168" fontId="16" fillId="13" borderId="33" xfId="0" applyFont="true" applyBorder="true" applyAlignment="true" applyProtection="false">
      <alignment horizontal="center" vertical="bottom" textRotation="0" wrapText="false" indent="0" shrinkToFit="false"/>
      <protection locked="true" hidden="false"/>
    </xf>
    <xf numFmtId="168" fontId="16" fillId="14" borderId="33" xfId="0" applyFont="true" applyBorder="true" applyAlignment="true" applyProtection="false">
      <alignment horizontal="center" vertical="bottom" textRotation="0" wrapText="false" indent="0" shrinkToFit="false"/>
      <protection locked="true" hidden="false"/>
    </xf>
    <xf numFmtId="168" fontId="16" fillId="15" borderId="33" xfId="0" applyFont="true" applyBorder="true" applyAlignment="true" applyProtection="false">
      <alignment horizontal="center" vertical="bottom" textRotation="0" wrapText="false" indent="0" shrinkToFit="false"/>
      <protection locked="true" hidden="false"/>
    </xf>
    <xf numFmtId="168" fontId="16" fillId="16" borderId="33" xfId="0" applyFont="true" applyBorder="true" applyAlignment="true" applyProtection="false">
      <alignment horizontal="center" vertical="bottom" textRotation="0" wrapText="false" indent="0" shrinkToFit="false"/>
      <protection locked="true" hidden="false"/>
    </xf>
    <xf numFmtId="168" fontId="16" fillId="17" borderId="33" xfId="0" applyFont="true" applyBorder="true" applyAlignment="true" applyProtection="false">
      <alignment horizontal="center" vertical="bottom" textRotation="0" wrapText="false" indent="0" shrinkToFit="false"/>
      <protection locked="true" hidden="false"/>
    </xf>
    <xf numFmtId="168" fontId="4" fillId="5" borderId="0" xfId="0" applyFont="true" applyBorder="false" applyAlignment="true" applyProtection="false">
      <alignment horizontal="center" vertical="bottom" textRotation="0" wrapText="false" indent="0" shrinkToFit="false"/>
      <protection locked="true" hidden="false"/>
    </xf>
    <xf numFmtId="164" fontId="4" fillId="4" borderId="0" xfId="0" applyFont="true" applyBorder="false" applyAlignment="false" applyProtection="false">
      <alignment horizontal="general" vertical="bottom" textRotation="0" wrapText="false" indent="0" shrinkToFit="false"/>
      <protection locked="true" hidden="false"/>
    </xf>
    <xf numFmtId="172" fontId="16" fillId="5" borderId="33" xfId="0" applyFont="true" applyBorder="true" applyAlignment="false" applyProtection="false">
      <alignment horizontal="general" vertical="bottom" textRotation="0" wrapText="false" indent="0" shrinkToFit="false"/>
      <protection locked="true" hidden="false"/>
    </xf>
    <xf numFmtId="172" fontId="16" fillId="18" borderId="33" xfId="0" applyFont="true" applyBorder="true" applyAlignment="true" applyProtection="false">
      <alignment horizontal="center" vertical="bottom" textRotation="0" wrapText="false" indent="0" shrinkToFit="false"/>
      <protection locked="true" hidden="false"/>
    </xf>
    <xf numFmtId="172" fontId="16" fillId="11" borderId="33" xfId="0" applyFont="true" applyBorder="true" applyAlignment="true" applyProtection="false">
      <alignment horizontal="center" vertical="bottom" textRotation="0" wrapText="false" indent="0" shrinkToFit="false"/>
      <protection locked="true" hidden="false"/>
    </xf>
    <xf numFmtId="172" fontId="16" fillId="12" borderId="33" xfId="0" applyFont="true" applyBorder="true" applyAlignment="true" applyProtection="false">
      <alignment horizontal="center" vertical="bottom" textRotation="0" wrapText="false" indent="0" shrinkToFit="false"/>
      <protection locked="true" hidden="false"/>
    </xf>
    <xf numFmtId="172" fontId="16" fillId="13" borderId="33" xfId="0" applyFont="true" applyBorder="true" applyAlignment="true" applyProtection="false">
      <alignment horizontal="center" vertical="bottom" textRotation="0" wrapText="false" indent="0" shrinkToFit="false"/>
      <protection locked="true" hidden="false"/>
    </xf>
    <xf numFmtId="172" fontId="16" fillId="14" borderId="33" xfId="0" applyFont="true" applyBorder="true" applyAlignment="true" applyProtection="false">
      <alignment horizontal="center" vertical="bottom" textRotation="0" wrapText="false" indent="0" shrinkToFit="false"/>
      <protection locked="true" hidden="false"/>
    </xf>
    <xf numFmtId="172" fontId="16" fillId="15" borderId="33" xfId="0" applyFont="true" applyBorder="true" applyAlignment="true" applyProtection="false">
      <alignment horizontal="center" vertical="bottom" textRotation="0" wrapText="false" indent="0" shrinkToFit="false"/>
      <protection locked="true" hidden="false"/>
    </xf>
    <xf numFmtId="172" fontId="16" fillId="16" borderId="33" xfId="0" applyFont="true" applyBorder="true" applyAlignment="true" applyProtection="false">
      <alignment horizontal="center" vertical="bottom" textRotation="0" wrapText="false" indent="0" shrinkToFit="false"/>
      <protection locked="true" hidden="false"/>
    </xf>
    <xf numFmtId="172" fontId="16" fillId="17" borderId="33" xfId="0" applyFont="true" applyBorder="true" applyAlignment="true" applyProtection="false">
      <alignment horizontal="center" vertical="bottom" textRotation="0" wrapText="false" indent="0" shrinkToFit="false"/>
      <protection locked="true" hidden="false"/>
    </xf>
    <xf numFmtId="168" fontId="4" fillId="19" borderId="0" xfId="0" applyFont="true" applyBorder="false" applyAlignment="true" applyProtection="false">
      <alignment horizontal="center" vertical="bottom" textRotation="0" wrapText="false" indent="0" shrinkToFit="false"/>
      <protection locked="true" hidden="false"/>
    </xf>
    <xf numFmtId="168" fontId="4" fillId="12" borderId="0" xfId="0" applyFont="true" applyBorder="false" applyAlignment="true" applyProtection="false">
      <alignment horizontal="center" vertical="bottom" textRotation="0" wrapText="false" indent="0" shrinkToFit="false"/>
      <protection locked="true" hidden="false"/>
    </xf>
    <xf numFmtId="172" fontId="4" fillId="13" borderId="0" xfId="0" applyFont="true" applyBorder="false" applyAlignment="true" applyProtection="false">
      <alignment horizontal="center" vertical="bottom" textRotation="0" wrapText="false" indent="0" shrinkToFit="false"/>
      <protection locked="true" hidden="false"/>
    </xf>
    <xf numFmtId="168" fontId="4" fillId="20" borderId="0" xfId="0" applyFont="true" applyBorder="false" applyAlignment="true" applyProtection="false">
      <alignment horizontal="center" vertical="bottom" textRotation="0" wrapText="false" indent="0" shrinkToFit="false"/>
      <protection locked="true" hidden="false"/>
    </xf>
    <xf numFmtId="168" fontId="4" fillId="21" borderId="0" xfId="0" applyFont="true" applyBorder="false" applyAlignment="true" applyProtection="false">
      <alignment horizontal="center" vertical="bottom" textRotation="0" wrapText="false" indent="0" shrinkToFit="false"/>
      <protection locked="true" hidden="false"/>
    </xf>
    <xf numFmtId="168" fontId="4" fillId="16" borderId="0" xfId="0" applyFont="true" applyBorder="false" applyAlignment="true" applyProtection="false">
      <alignment horizontal="center" vertical="bottom" textRotation="0" wrapText="false" indent="0" shrinkToFit="false"/>
      <protection locked="true" hidden="false"/>
    </xf>
    <xf numFmtId="168" fontId="4" fillId="17" borderId="0" xfId="0" applyFont="true" applyBorder="false" applyAlignment="true" applyProtection="false">
      <alignment horizontal="center" vertical="bottom" textRotation="0" wrapText="false" indent="0" shrinkToFit="false"/>
      <protection locked="true" hidden="false"/>
    </xf>
    <xf numFmtId="168" fontId="4" fillId="11" borderId="0" xfId="0" applyFont="true" applyBorder="false" applyAlignment="true" applyProtection="false">
      <alignment horizontal="center" vertical="bottom" textRotation="0" wrapText="false" indent="0" shrinkToFit="false"/>
      <protection locked="true" hidden="false"/>
    </xf>
    <xf numFmtId="168" fontId="4" fillId="13" borderId="0" xfId="0" applyFont="true" applyBorder="false" applyAlignment="true" applyProtection="false">
      <alignment horizontal="center" vertical="bottom" textRotation="0" wrapText="false" indent="0" shrinkToFit="false"/>
      <protection locked="true" hidden="false"/>
    </xf>
    <xf numFmtId="168" fontId="4" fillId="14" borderId="0" xfId="0" applyFont="true" applyBorder="false" applyAlignment="true" applyProtection="false">
      <alignment horizontal="center" vertical="bottom" textRotation="0" wrapText="false" indent="0" shrinkToFit="false"/>
      <protection locked="true" hidden="false"/>
    </xf>
    <xf numFmtId="168" fontId="4" fillId="15" borderId="0" xfId="0" applyFont="true" applyBorder="false" applyAlignment="true" applyProtection="false">
      <alignment horizontal="center" vertical="bottom" textRotation="0" wrapText="false" indent="0" shrinkToFit="false"/>
      <protection locked="true" hidden="false"/>
    </xf>
    <xf numFmtId="172" fontId="4" fillId="18" borderId="0" xfId="0" applyFont="true" applyBorder="false" applyAlignment="true" applyProtection="false">
      <alignment horizontal="center" vertical="bottom" textRotation="0" wrapText="false" indent="0" shrinkToFit="false"/>
      <protection locked="true" hidden="false"/>
    </xf>
    <xf numFmtId="172" fontId="4" fillId="11" borderId="0" xfId="0" applyFont="true" applyBorder="false" applyAlignment="true" applyProtection="false">
      <alignment horizontal="center" vertical="bottom" textRotation="0" wrapText="false" indent="0" shrinkToFit="false"/>
      <protection locked="true" hidden="false"/>
    </xf>
    <xf numFmtId="172" fontId="4" fillId="12" borderId="0" xfId="0" applyFont="true" applyBorder="false" applyAlignment="true" applyProtection="false">
      <alignment horizontal="center" vertical="bottom" textRotation="0" wrapText="false" indent="0" shrinkToFit="false"/>
      <protection locked="true" hidden="false"/>
    </xf>
    <xf numFmtId="172" fontId="4" fillId="14" borderId="0" xfId="0" applyFont="true" applyBorder="false" applyAlignment="true" applyProtection="false">
      <alignment horizontal="center" vertical="bottom" textRotation="0" wrapText="false" indent="0" shrinkToFit="false"/>
      <protection locked="true" hidden="false"/>
    </xf>
    <xf numFmtId="172" fontId="4" fillId="15" borderId="0" xfId="0" applyFont="true" applyBorder="false" applyAlignment="true" applyProtection="false">
      <alignment horizontal="center" vertical="bottom" textRotation="0" wrapText="false" indent="0" shrinkToFit="false"/>
      <protection locked="true" hidden="false"/>
    </xf>
    <xf numFmtId="172" fontId="4" fillId="16" borderId="0" xfId="0" applyFont="true" applyBorder="false" applyAlignment="true" applyProtection="false">
      <alignment horizontal="center" vertical="bottom" textRotation="0" wrapText="false" indent="0" shrinkToFit="false"/>
      <protection locked="true" hidden="false"/>
    </xf>
    <xf numFmtId="172" fontId="4" fillId="17" borderId="0" xfId="0" applyFont="true" applyBorder="false" applyAlignment="true" applyProtection="false">
      <alignment horizontal="center" vertical="bottom" textRotation="0" wrapText="false" indent="0" shrinkToFit="false"/>
      <protection locked="true" hidden="false"/>
    </xf>
    <xf numFmtId="172" fontId="6" fillId="5" borderId="0" xfId="0" applyFont="true" applyBorder="false" applyAlignment="true" applyProtection="false">
      <alignment horizontal="center" vertical="bottom" textRotation="0" wrapText="false" indent="0" shrinkToFit="false"/>
      <protection locked="true" hidden="false"/>
    </xf>
    <xf numFmtId="168" fontId="6" fillId="22" borderId="0" xfId="0" applyFont="true" applyBorder="false" applyAlignment="true" applyProtection="false">
      <alignment horizontal="right" vertical="bottom" textRotation="0" wrapText="false" indent="0" shrinkToFit="false"/>
      <protection locked="true" hidden="false"/>
    </xf>
    <xf numFmtId="172" fontId="6" fillId="22" borderId="0" xfId="0" applyFont="true" applyBorder="false" applyAlignment="true" applyProtection="false">
      <alignment horizontal="right" vertical="bottom" textRotation="0" wrapText="false" indent="0" shrinkToFit="false"/>
      <protection locked="true" hidden="false"/>
    </xf>
    <xf numFmtId="170" fontId="6" fillId="10" borderId="0" xfId="0" applyFont="true" applyBorder="false" applyAlignment="false" applyProtection="false">
      <alignment horizontal="general" vertical="bottom" textRotation="0" wrapText="false" indent="0" shrinkToFit="false"/>
      <protection locked="true" hidden="false"/>
    </xf>
    <xf numFmtId="168" fontId="6" fillId="22" borderId="0" xfId="0" applyFont="true" applyBorder="false" applyAlignment="true" applyProtection="false">
      <alignment horizontal="center" vertical="bottom" textRotation="0" wrapText="false" indent="0" shrinkToFit="false"/>
      <protection locked="true" hidden="false"/>
    </xf>
    <xf numFmtId="168" fontId="6" fillId="11" borderId="0" xfId="0" applyFont="true" applyBorder="false" applyAlignment="true" applyProtection="false">
      <alignment horizontal="center" vertical="bottom" textRotation="0" wrapText="false" indent="0" shrinkToFit="false"/>
      <protection locked="true" hidden="false"/>
    </xf>
    <xf numFmtId="168" fontId="6" fillId="12" borderId="0" xfId="0" applyFont="true" applyBorder="false" applyAlignment="true" applyProtection="false">
      <alignment horizontal="center" vertical="bottom" textRotation="0" wrapText="false" indent="0" shrinkToFit="false"/>
      <protection locked="true" hidden="false"/>
    </xf>
    <xf numFmtId="168" fontId="6" fillId="13" borderId="0" xfId="0" applyFont="true" applyBorder="false" applyAlignment="true" applyProtection="false">
      <alignment horizontal="center" vertical="bottom" textRotation="0" wrapText="false" indent="0" shrinkToFit="false"/>
      <protection locked="true" hidden="false"/>
    </xf>
    <xf numFmtId="168" fontId="6" fillId="14" borderId="0" xfId="0" applyFont="true" applyBorder="false" applyAlignment="true" applyProtection="false">
      <alignment horizontal="center" vertical="bottom" textRotation="0" wrapText="false" indent="0" shrinkToFit="false"/>
      <protection locked="true" hidden="false"/>
    </xf>
    <xf numFmtId="168" fontId="6" fillId="15" borderId="0" xfId="0" applyFont="true" applyBorder="false" applyAlignment="true" applyProtection="false">
      <alignment horizontal="center" vertical="bottom" textRotation="0" wrapText="false" indent="0" shrinkToFit="false"/>
      <protection locked="true" hidden="false"/>
    </xf>
    <xf numFmtId="168" fontId="6" fillId="16" borderId="0" xfId="0" applyFont="true" applyBorder="false" applyAlignment="true" applyProtection="false">
      <alignment horizontal="center" vertical="bottom" textRotation="0" wrapText="false" indent="0" shrinkToFit="false"/>
      <protection locked="true" hidden="false"/>
    </xf>
    <xf numFmtId="168" fontId="6" fillId="17" borderId="0" xfId="0" applyFont="true" applyBorder="false" applyAlignment="true" applyProtection="false">
      <alignment horizontal="center" vertical="bottom" textRotation="0" wrapText="false" indent="0" shrinkToFit="false"/>
      <protection locked="true" hidden="false"/>
    </xf>
    <xf numFmtId="168" fontId="6" fillId="5" borderId="0" xfId="0" applyFont="true" applyBorder="false" applyAlignment="true" applyProtection="false">
      <alignment horizontal="center" vertical="bottom" textRotation="0" wrapText="false" indent="0" shrinkToFit="false"/>
      <protection locked="true" hidden="false"/>
    </xf>
    <xf numFmtId="164" fontId="6" fillId="4" borderId="0" xfId="0" applyFont="true" applyBorder="false" applyAlignment="false" applyProtection="false">
      <alignment horizontal="general" vertical="bottom" textRotation="0" wrapText="false" indent="0" shrinkToFit="false"/>
      <protection locked="true" hidden="false"/>
    </xf>
    <xf numFmtId="170" fontId="4" fillId="22" borderId="0" xfId="0" applyFont="true" applyBorder="false" applyAlignment="true" applyProtection="false">
      <alignment horizontal="center" vertical="bottom" textRotation="0" wrapText="false" indent="0" shrinkToFit="false"/>
      <protection locked="true" hidden="false"/>
    </xf>
    <xf numFmtId="174" fontId="6" fillId="22" borderId="0" xfId="19" applyFont="true" applyBorder="true" applyAlignment="true" applyProtection="true">
      <alignment horizontal="general" vertical="bottom" textRotation="0" wrapText="false" indent="0" shrinkToFit="false"/>
      <protection locked="true" hidden="false"/>
    </xf>
    <xf numFmtId="168" fontId="6" fillId="22" borderId="0" xfId="0" applyFont="true" applyBorder="false" applyAlignment="false" applyProtection="false">
      <alignment horizontal="general" vertical="bottom" textRotation="0" wrapText="false" indent="0" shrinkToFit="false"/>
      <protection locked="true" hidden="false"/>
    </xf>
    <xf numFmtId="172" fontId="6" fillId="22" borderId="0" xfId="0" applyFont="true" applyBorder="false" applyAlignment="true" applyProtection="false">
      <alignment horizontal="center" vertical="bottom" textRotation="0" wrapText="false" indent="0" shrinkToFit="false"/>
      <protection locked="true" hidden="false"/>
    </xf>
    <xf numFmtId="172" fontId="6" fillId="11" borderId="0" xfId="0" applyFont="true" applyBorder="false" applyAlignment="true" applyProtection="false">
      <alignment horizontal="center" vertical="bottom" textRotation="0" wrapText="false" indent="0" shrinkToFit="false"/>
      <protection locked="true" hidden="false"/>
    </xf>
    <xf numFmtId="172" fontId="6" fillId="12" borderId="0" xfId="0" applyFont="true" applyBorder="false" applyAlignment="true" applyProtection="false">
      <alignment horizontal="center" vertical="bottom" textRotation="0" wrapText="false" indent="0" shrinkToFit="false"/>
      <protection locked="true" hidden="false"/>
    </xf>
    <xf numFmtId="172" fontId="6" fillId="13" borderId="0" xfId="0" applyFont="true" applyBorder="false" applyAlignment="true" applyProtection="false">
      <alignment horizontal="center" vertical="bottom" textRotation="0" wrapText="false" indent="0" shrinkToFit="false"/>
      <protection locked="true" hidden="false"/>
    </xf>
    <xf numFmtId="172" fontId="6" fillId="14" borderId="0" xfId="0" applyFont="true" applyBorder="false" applyAlignment="true" applyProtection="false">
      <alignment horizontal="center" vertical="bottom" textRotation="0" wrapText="false" indent="0" shrinkToFit="false"/>
      <protection locked="true" hidden="false"/>
    </xf>
    <xf numFmtId="172" fontId="6" fillId="15" borderId="0" xfId="0" applyFont="true" applyBorder="false" applyAlignment="true" applyProtection="false">
      <alignment horizontal="center" vertical="bottom" textRotation="0" wrapText="false" indent="0" shrinkToFit="false"/>
      <protection locked="true" hidden="false"/>
    </xf>
    <xf numFmtId="172" fontId="6" fillId="16" borderId="0" xfId="0" applyFont="true" applyBorder="false" applyAlignment="true" applyProtection="false">
      <alignment horizontal="center" vertical="bottom" textRotation="0" wrapText="false" indent="0" shrinkToFit="false"/>
      <protection locked="true" hidden="false"/>
    </xf>
    <xf numFmtId="172" fontId="6" fillId="17" borderId="0" xfId="0" applyFont="true" applyBorder="false" applyAlignment="true" applyProtection="false">
      <alignment horizontal="center" vertical="bottom" textRotation="0" wrapText="false" indent="0" shrinkToFit="false"/>
      <protection locked="true" hidden="false"/>
    </xf>
    <xf numFmtId="170" fontId="6" fillId="22" borderId="0" xfId="0" applyFont="true" applyBorder="false" applyAlignment="false" applyProtection="false">
      <alignment horizontal="general" vertical="bottom" textRotation="0" wrapText="false" indent="0" shrinkToFit="false"/>
      <protection locked="true" hidden="false"/>
    </xf>
    <xf numFmtId="168" fontId="6" fillId="19" borderId="0" xfId="0" applyFont="true" applyBorder="false" applyAlignment="true" applyProtection="false">
      <alignment horizontal="center" vertical="bottom" textRotation="0" wrapText="false" indent="0" shrinkToFit="false"/>
      <protection locked="true" hidden="false"/>
    </xf>
    <xf numFmtId="168" fontId="6" fillId="20" borderId="0" xfId="0" applyFont="true" applyBorder="false" applyAlignment="true" applyProtection="false">
      <alignment horizontal="center" vertical="bottom" textRotation="0" wrapText="false" indent="0" shrinkToFit="false"/>
      <protection locked="true" hidden="false"/>
    </xf>
    <xf numFmtId="168" fontId="6" fillId="21" borderId="0" xfId="0" applyFont="true" applyBorder="false" applyAlignment="true" applyProtection="false">
      <alignment horizontal="center" vertical="bottom" textRotation="0" wrapText="false" indent="0" shrinkToFit="false"/>
      <protection locked="true" hidden="false"/>
    </xf>
    <xf numFmtId="172" fontId="6" fillId="22" borderId="0" xfId="0" applyFont="true" applyBorder="false" applyAlignment="false" applyProtection="false">
      <alignment horizontal="general" vertical="bottom" textRotation="0" wrapText="false" indent="0" shrinkToFit="false"/>
      <protection locked="true" hidden="false"/>
    </xf>
    <xf numFmtId="164" fontId="26" fillId="0" borderId="0" xfId="0" applyFont="true" applyBorder="true" applyAlignment="true" applyProtection="false">
      <alignment horizontal="center" vertical="bottom" textRotation="0" wrapText="false" indent="0" shrinkToFit="false"/>
      <protection locked="true" hidden="false"/>
    </xf>
    <xf numFmtId="164" fontId="26" fillId="3" borderId="0" xfId="0" applyFont="true" applyBorder="false" applyAlignment="true" applyProtection="false">
      <alignment horizontal="center" vertical="bottom" textRotation="0" wrapText="false" indent="0" shrinkToFit="false"/>
      <protection locked="true" hidden="false"/>
    </xf>
    <xf numFmtId="167" fontId="6" fillId="3" borderId="0" xfId="0" applyFont="true" applyBorder="false" applyAlignment="true" applyProtection="false">
      <alignment horizontal="center" vertical="top" textRotation="0" wrapText="false" indent="0" shrinkToFit="false"/>
      <protection locked="true" hidden="false"/>
    </xf>
    <xf numFmtId="167" fontId="26" fillId="0" borderId="0" xfId="0" applyFont="true" applyBorder="false" applyAlignment="true" applyProtection="false">
      <alignment horizontal="center" vertical="top" textRotation="0" wrapText="true" indent="0" shrinkToFit="false"/>
      <protection locked="true" hidden="false"/>
    </xf>
    <xf numFmtId="167" fontId="6" fillId="0" borderId="0" xfId="0" applyFont="true" applyBorder="false" applyAlignment="true" applyProtection="false">
      <alignment horizontal="general" vertical="top" textRotation="0" wrapText="true" indent="0" shrinkToFit="false"/>
      <protection locked="true" hidden="false"/>
    </xf>
    <xf numFmtId="164" fontId="4" fillId="10" borderId="0" xfId="0" applyFont="true" applyBorder="false" applyAlignment="false" applyProtection="false">
      <alignment horizontal="general" vertical="bottom" textRotation="0" wrapText="false" indent="0" shrinkToFit="false"/>
      <protection locked="true" hidden="false"/>
    </xf>
    <xf numFmtId="168" fontId="4" fillId="23" borderId="0" xfId="0" applyFont="true" applyBorder="false" applyAlignment="true" applyProtection="false">
      <alignment horizontal="center" vertical="bottom" textRotation="0" wrapText="false" indent="0" shrinkToFit="false"/>
      <protection locked="true" hidden="false"/>
    </xf>
    <xf numFmtId="174" fontId="4" fillId="0" borderId="0" xfId="19" applyFont="true" applyBorder="true" applyAlignment="true" applyProtection="true">
      <alignment horizontal="center" vertical="bottom" textRotation="0" wrapText="false" indent="0" shrinkToFit="false"/>
      <protection locked="true" hidden="false"/>
    </xf>
    <xf numFmtId="164" fontId="4" fillId="4" borderId="0" xfId="0" applyFont="true" applyBorder="false" applyAlignment="true" applyProtection="false">
      <alignment horizontal="center" vertical="bottom" textRotation="0" wrapText="false" indent="0" shrinkToFit="false"/>
      <protection locked="true" hidden="false"/>
    </xf>
    <xf numFmtId="168" fontId="4" fillId="3" borderId="0" xfId="19" applyFont="true" applyBorder="true" applyAlignment="true" applyProtection="true">
      <alignment horizontal="general" vertical="bottom" textRotation="0" wrapText="false" indent="0" shrinkToFit="false"/>
      <protection locked="true" hidden="false"/>
    </xf>
    <xf numFmtId="164" fontId="4" fillId="10" borderId="34" xfId="0" applyFont="true" applyBorder="true" applyAlignment="false" applyProtection="false">
      <alignment horizontal="general" vertical="bottom" textRotation="0" wrapText="false" indent="0" shrinkToFit="false"/>
      <protection locked="true" hidden="false"/>
    </xf>
    <xf numFmtId="164" fontId="4" fillId="24" borderId="34" xfId="0" applyFont="true" applyBorder="true" applyAlignment="false" applyProtection="false">
      <alignment horizontal="general" vertical="bottom" textRotation="0" wrapText="false" indent="0" shrinkToFit="false"/>
      <protection locked="true" hidden="false"/>
    </xf>
    <xf numFmtId="168" fontId="4" fillId="24" borderId="34" xfId="0" applyFont="true" applyBorder="true" applyAlignment="false" applyProtection="false">
      <alignment horizontal="general" vertical="bottom" textRotation="0" wrapText="false" indent="0" shrinkToFit="false"/>
      <protection locked="true" hidden="false"/>
    </xf>
    <xf numFmtId="164" fontId="4" fillId="6" borderId="34" xfId="0" applyFont="true" applyBorder="true" applyAlignment="false" applyProtection="false">
      <alignment horizontal="general" vertical="bottom" textRotation="0" wrapText="false" indent="0" shrinkToFit="false"/>
      <protection locked="true" hidden="false"/>
    </xf>
    <xf numFmtId="168" fontId="4" fillId="6" borderId="34" xfId="0" applyFont="true" applyBorder="true" applyAlignment="false" applyProtection="false">
      <alignment horizontal="general" vertical="bottom" textRotation="0" wrapText="false" indent="0" shrinkToFit="false"/>
      <protection locked="true" hidden="false"/>
    </xf>
    <xf numFmtId="168" fontId="4" fillId="6" borderId="34" xfId="19" applyFont="true" applyBorder="true" applyAlignment="true" applyProtection="true">
      <alignment horizontal="general" vertical="bottom" textRotation="0" wrapText="false" indent="0" shrinkToFit="false"/>
      <protection locked="true" hidden="false"/>
    </xf>
    <xf numFmtId="171" fontId="4" fillId="3" borderId="0" xfId="0" applyFont="true" applyBorder="false" applyAlignment="false" applyProtection="false">
      <alignment horizontal="general" vertical="bottom" textRotation="0" wrapText="false" indent="0" shrinkToFit="false"/>
      <protection locked="true" hidden="false"/>
    </xf>
    <xf numFmtId="164" fontId="27" fillId="3" borderId="0" xfId="0" applyFont="true" applyBorder="false" applyAlignment="true" applyProtection="false">
      <alignment horizontal="right" vertical="bottom" textRotation="0" wrapText="false" indent="0" shrinkToFit="false"/>
      <protection locked="true" hidden="false"/>
    </xf>
    <xf numFmtId="164" fontId="27" fillId="3" borderId="0" xfId="0" applyFont="true" applyBorder="false" applyAlignment="true" applyProtection="false">
      <alignment horizontal="center" vertical="center" textRotation="0" wrapText="false" indent="0" shrinkToFit="false"/>
      <protection locked="true" hidden="false"/>
    </xf>
    <xf numFmtId="164" fontId="27" fillId="3" borderId="0" xfId="0" applyFont="true" applyBorder="false" applyAlignment="true" applyProtection="false">
      <alignment horizontal="center" vertical="bottom" textRotation="0" wrapText="false" indent="0" shrinkToFit="false"/>
      <protection locked="true" hidden="false"/>
    </xf>
    <xf numFmtId="164" fontId="27" fillId="3" borderId="21" xfId="0" applyFont="true" applyBorder="true" applyAlignment="true" applyProtection="false">
      <alignment horizontal="right" vertical="bottom" textRotation="0" wrapText="false" indent="0" shrinkToFit="false"/>
      <protection locked="true" hidden="false"/>
    </xf>
    <xf numFmtId="164" fontId="27" fillId="3" borderId="20" xfId="0" applyFont="true" applyBorder="true" applyAlignment="true" applyProtection="false">
      <alignment horizontal="center" vertical="center" textRotation="0" wrapText="false" indent="0" shrinkToFit="false"/>
      <protection locked="true" hidden="false"/>
    </xf>
    <xf numFmtId="164" fontId="4" fillId="3" borderId="19" xfId="0" applyFont="true" applyBorder="true" applyAlignment="false" applyProtection="false">
      <alignment horizontal="general" vertical="bottom" textRotation="0" wrapText="false" indent="0" shrinkToFit="false"/>
      <protection locked="true" hidden="false"/>
    </xf>
    <xf numFmtId="172" fontId="4" fillId="3" borderId="17" xfId="0" applyFont="true" applyBorder="true" applyAlignment="false" applyProtection="false">
      <alignment horizontal="general" vertical="bottom" textRotation="0" wrapText="false" indent="0" shrinkToFit="false"/>
      <protection locked="true" hidden="false"/>
    </xf>
    <xf numFmtId="164" fontId="6" fillId="10" borderId="0" xfId="0" applyFont="true" applyBorder="false" applyAlignment="false" applyProtection="false">
      <alignment horizontal="general" vertical="bottom" textRotation="0" wrapText="false" indent="0" shrinkToFit="false"/>
      <protection locked="true" hidden="false"/>
    </xf>
    <xf numFmtId="168" fontId="6" fillId="23" borderId="0" xfId="0" applyFont="true" applyBorder="false" applyAlignment="true" applyProtection="false">
      <alignment horizontal="center" vertical="bottom" textRotation="0" wrapText="false" indent="0" shrinkToFit="false"/>
      <protection locked="true" hidden="false"/>
    </xf>
    <xf numFmtId="174" fontId="6" fillId="22" borderId="0" xfId="19" applyFont="true" applyBorder="true" applyAlignment="true" applyProtection="true">
      <alignment horizontal="center" vertical="bottom" textRotation="0" wrapText="false" indent="0" shrinkToFit="false"/>
      <protection locked="true" hidden="false"/>
    </xf>
    <xf numFmtId="164" fontId="6" fillId="4" borderId="0" xfId="0" applyFont="true" applyBorder="false" applyAlignment="true" applyProtection="false">
      <alignment horizontal="center" vertical="bottom" textRotation="0" wrapText="false" indent="0" shrinkToFit="false"/>
      <protection locked="true" hidden="false"/>
    </xf>
    <xf numFmtId="164" fontId="6" fillId="22" borderId="0" xfId="0" applyFont="true" applyBorder="false" applyAlignment="false" applyProtection="false">
      <alignment horizontal="general" vertical="bottom" textRotation="0" wrapText="false" indent="0" shrinkToFit="false"/>
      <protection locked="true" hidden="false"/>
    </xf>
    <xf numFmtId="164" fontId="4" fillId="5" borderId="0" xfId="0" applyFont="true" applyBorder="false" applyAlignment="true" applyProtection="false">
      <alignment horizontal="center" vertical="bottom" textRotation="0" wrapText="false" indent="0" shrinkToFit="false"/>
      <protection locked="true" hidden="false"/>
    </xf>
    <xf numFmtId="170" fontId="4" fillId="5" borderId="0" xfId="0" applyFont="true" applyBorder="false" applyAlignment="false" applyProtection="false">
      <alignment horizontal="general" vertical="bottom" textRotation="0" wrapText="false" indent="0" shrinkToFit="false"/>
      <protection locked="true" hidden="false"/>
    </xf>
    <xf numFmtId="170" fontId="6" fillId="5" borderId="0" xfId="0" applyFont="true" applyBorder="false" applyAlignment="false" applyProtection="false">
      <alignment horizontal="general" vertical="bottom" textRotation="0" wrapText="false" indent="0" shrinkToFit="false"/>
      <protection locked="true" hidden="false"/>
    </xf>
    <xf numFmtId="174" fontId="6" fillId="22"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left" vertical="bottom" textRotation="0" wrapText="false" indent="0" shrinkToFit="false"/>
      <protection locked="true" hidden="false"/>
    </xf>
    <xf numFmtId="179" fontId="4" fillId="0" borderId="0" xfId="15" applyFont="true" applyBorder="true" applyAlignment="true" applyProtection="true">
      <alignment horizontal="general" vertical="bottom" textRotation="0" wrapText="false" indent="0" shrinkToFit="false"/>
      <protection locked="true" hidden="false"/>
    </xf>
    <xf numFmtId="167" fontId="6" fillId="0" borderId="0" xfId="0" applyFont="true" applyBorder="true" applyAlignment="true" applyProtection="false">
      <alignment horizontal="center" vertical="bottom" textRotation="0" wrapText="false" indent="0" shrinkToFit="false"/>
      <protection locked="true" hidden="false"/>
    </xf>
    <xf numFmtId="167" fontId="28" fillId="0" borderId="0" xfId="0" applyFont="true" applyBorder="false" applyAlignment="true" applyProtection="false">
      <alignment horizontal="center" vertical="bottom" textRotation="0" wrapText="false" indent="0" shrinkToFit="false"/>
      <protection locked="true" hidden="false"/>
    </xf>
    <xf numFmtId="167" fontId="6" fillId="0" borderId="0" xfId="0" applyFont="true" applyBorder="false" applyAlignment="true" applyProtection="false">
      <alignment horizontal="center" vertical="bottom" textRotation="0" wrapText="false" indent="0" shrinkToFit="false"/>
      <protection locked="true" hidden="false"/>
    </xf>
    <xf numFmtId="172" fontId="26" fillId="0" borderId="0" xfId="0" applyFont="true" applyBorder="false" applyAlignment="true" applyProtection="false">
      <alignment horizontal="center" vertical="bottom" textRotation="0" wrapText="false" indent="0" shrinkToFit="false"/>
      <protection locked="true" hidden="false"/>
    </xf>
    <xf numFmtId="164" fontId="6" fillId="0" borderId="0" xfId="0" applyFont="true" applyBorder="false" applyAlignment="true" applyProtection="false">
      <alignment horizontal="center" vertical="top" textRotation="0" wrapText="true" indent="0" shrinkToFit="false"/>
      <protection locked="true" hidden="false"/>
    </xf>
    <xf numFmtId="179" fontId="6" fillId="0" borderId="0" xfId="15" applyFont="true" applyBorder="true" applyAlignment="true" applyProtection="true">
      <alignment horizontal="center" vertical="top" textRotation="0" wrapText="true" indent="0" shrinkToFit="false"/>
      <protection locked="true" hidden="false"/>
    </xf>
    <xf numFmtId="167" fontId="6" fillId="25" borderId="0" xfId="0" applyFont="true" applyBorder="false" applyAlignment="true" applyProtection="false">
      <alignment horizontal="center" vertical="top" textRotation="0" wrapText="true" indent="0" shrinkToFit="false"/>
      <protection locked="true" hidden="false"/>
    </xf>
    <xf numFmtId="168" fontId="4" fillId="9" borderId="0" xfId="0" applyFont="true" applyBorder="false" applyAlignment="true" applyProtection="false">
      <alignment horizontal="center" vertical="bottom" textRotation="0" wrapText="false" indent="0" shrinkToFit="false"/>
      <protection locked="true" hidden="false"/>
    </xf>
    <xf numFmtId="172" fontId="16" fillId="5" borderId="0" xfId="0" applyFont="true" applyBorder="false" applyAlignment="false" applyProtection="false">
      <alignment horizontal="general" vertical="bottom" textRotation="0" wrapText="false" indent="0" shrinkToFit="false"/>
      <protection locked="true" hidden="false"/>
    </xf>
    <xf numFmtId="168" fontId="16" fillId="5" borderId="0" xfId="0" applyFont="true" applyBorder="false" applyAlignment="false" applyProtection="false">
      <alignment horizontal="general" vertical="bottom" textRotation="0" wrapText="false" indent="0" shrinkToFit="false"/>
      <protection locked="true" hidden="false"/>
    </xf>
    <xf numFmtId="171" fontId="4" fillId="0" borderId="0" xfId="0" applyFont="true" applyBorder="false" applyAlignment="false" applyProtection="false">
      <alignment horizontal="general" vertical="bottom" textRotation="0" wrapText="false" indent="0" shrinkToFit="false"/>
      <protection locked="true" hidden="false"/>
    </xf>
    <xf numFmtId="174" fontId="4" fillId="0" borderId="0" xfId="0" applyFont="true" applyBorder="false" applyAlignment="true" applyProtection="false">
      <alignment horizontal="right" vertical="bottom" textRotation="0" wrapText="false" indent="0" shrinkToFit="false"/>
      <protection locked="true" hidden="false"/>
    </xf>
    <xf numFmtId="166" fontId="4" fillId="4" borderId="0" xfId="0" applyFont="true" applyBorder="false" applyAlignment="false" applyProtection="false">
      <alignment horizontal="general" vertical="bottom" textRotation="0" wrapText="false" indent="0" shrinkToFit="false"/>
      <protection locked="true" hidden="false"/>
    </xf>
    <xf numFmtId="176" fontId="4" fillId="0" borderId="0" xfId="0" applyFont="true" applyBorder="false" applyAlignment="false" applyProtection="false">
      <alignment horizontal="general" vertical="bottom" textRotation="0" wrapText="false" indent="0" shrinkToFit="false"/>
      <protection locked="true" hidden="false"/>
    </xf>
    <xf numFmtId="164" fontId="4" fillId="6" borderId="0" xfId="0" applyFont="true" applyBorder="false" applyAlignment="false" applyProtection="false">
      <alignment horizontal="general" vertical="bottom" textRotation="0" wrapText="false" indent="0" shrinkToFit="false"/>
      <protection locked="true" hidden="false"/>
    </xf>
    <xf numFmtId="168" fontId="4" fillId="6" borderId="0" xfId="0" applyFont="true" applyBorder="false" applyAlignment="false" applyProtection="false">
      <alignment horizontal="general" vertical="bottom" textRotation="0" wrapText="false" indent="0" shrinkToFit="false"/>
      <protection locked="true" hidden="false"/>
    </xf>
    <xf numFmtId="180" fontId="4" fillId="0" borderId="0" xfId="0" applyFont="true" applyBorder="false" applyAlignment="false" applyProtection="false">
      <alignment horizontal="general" vertical="bottom" textRotation="0" wrapText="false" indent="0" shrinkToFit="false"/>
      <protection locked="true" hidden="false"/>
    </xf>
    <xf numFmtId="172" fontId="4" fillId="6" borderId="0" xfId="0" applyFont="true" applyBorder="false" applyAlignment="false" applyProtection="false">
      <alignment horizontal="general" vertical="bottom" textRotation="0" wrapText="false" indent="0" shrinkToFit="false"/>
      <protection locked="true" hidden="false"/>
    </xf>
    <xf numFmtId="168" fontId="6" fillId="9" borderId="0" xfId="0" applyFont="true" applyBorder="false" applyAlignment="true" applyProtection="false">
      <alignment horizontal="center" vertical="bottom" textRotation="0" wrapText="false" indent="0" shrinkToFit="false"/>
      <protection locked="true" hidden="false"/>
    </xf>
    <xf numFmtId="171" fontId="6" fillId="22" borderId="0" xfId="0" applyFont="true" applyBorder="false" applyAlignment="false" applyProtection="false">
      <alignment horizontal="general" vertical="bottom" textRotation="0" wrapText="false" indent="0" shrinkToFit="false"/>
      <protection locked="true" hidden="false"/>
    </xf>
    <xf numFmtId="174" fontId="6" fillId="22" borderId="0" xfId="0" applyFont="true" applyBorder="false" applyAlignment="true" applyProtection="false">
      <alignment horizontal="right" vertical="bottom" textRotation="0" wrapText="false" indent="0" shrinkToFit="false"/>
      <protection locked="true" hidden="false"/>
    </xf>
    <xf numFmtId="179" fontId="6" fillId="22" borderId="0" xfId="15" applyFont="true" applyBorder="true" applyAlignment="true" applyProtection="true">
      <alignment horizontal="general" vertical="bottom" textRotation="0" wrapText="false" indent="0" shrinkToFit="false"/>
      <protection locked="true" hidden="false"/>
    </xf>
    <xf numFmtId="166" fontId="6" fillId="4" borderId="0" xfId="0" applyFont="true" applyBorder="false" applyAlignment="false" applyProtection="false">
      <alignment horizontal="general" vertical="bottom" textRotation="0" wrapText="false" indent="0" shrinkToFit="false"/>
      <protection locked="true" hidden="false"/>
    </xf>
    <xf numFmtId="166" fontId="6" fillId="22" borderId="0" xfId="19" applyFont="true" applyBorder="true" applyAlignment="true" applyProtection="true">
      <alignment horizontal="general" vertical="bottom" textRotation="0" wrapText="false" indent="0" shrinkToFit="false"/>
      <protection locked="true" hidden="false"/>
    </xf>
    <xf numFmtId="176" fontId="6" fillId="22" borderId="0" xfId="0" applyFont="true" applyBorder="false" applyAlignment="false" applyProtection="false">
      <alignment horizontal="general" vertical="bottom" textRotation="0" wrapText="false" indent="0" shrinkToFit="false"/>
      <protection locked="true" hidden="false"/>
    </xf>
    <xf numFmtId="164" fontId="6" fillId="6" borderId="0" xfId="0" applyFont="true" applyBorder="false" applyAlignment="false" applyProtection="false">
      <alignment horizontal="general" vertical="bottom" textRotation="0" wrapText="false" indent="0" shrinkToFit="false"/>
      <protection locked="true" hidden="false"/>
    </xf>
    <xf numFmtId="177" fontId="6" fillId="22" borderId="0" xfId="0" applyFont="true" applyBorder="false" applyAlignment="false" applyProtection="false">
      <alignment horizontal="general" vertical="bottom" textRotation="0" wrapText="false" indent="0" shrinkToFit="false"/>
      <protection locked="true" hidden="false"/>
    </xf>
    <xf numFmtId="168" fontId="6" fillId="6" borderId="0" xfId="0" applyFont="true" applyBorder="false" applyAlignment="false" applyProtection="false">
      <alignment horizontal="general" vertical="bottom" textRotation="0" wrapText="false" indent="0" shrinkToFit="false"/>
      <protection locked="true" hidden="false"/>
    </xf>
    <xf numFmtId="180" fontId="6" fillId="22" borderId="0" xfId="0" applyFont="true" applyBorder="false" applyAlignment="false" applyProtection="false">
      <alignment horizontal="general" vertical="bottom" textRotation="0" wrapText="false" indent="0" shrinkToFit="false"/>
      <protection locked="true" hidden="false"/>
    </xf>
    <xf numFmtId="164" fontId="26" fillId="0" borderId="0" xfId="0" applyFont="true" applyBorder="true" applyAlignment="true" applyProtection="false">
      <alignment horizontal="center" vertical="bottom" textRotation="0" wrapText="true" indent="0" shrinkToFit="false"/>
      <protection locked="true" hidden="false"/>
    </xf>
    <xf numFmtId="164" fontId="26" fillId="0" borderId="0" xfId="0" applyFont="true" applyBorder="false" applyAlignment="true" applyProtection="false">
      <alignment horizontal="center" vertical="bottom" textRotation="0" wrapText="false" indent="0" shrinkToFit="false"/>
      <protection locked="true" hidden="false"/>
    </xf>
    <xf numFmtId="164" fontId="29" fillId="0" borderId="0" xfId="0" applyFont="true" applyBorder="false" applyAlignment="true" applyProtection="false">
      <alignment horizontal="center" vertical="bottom" textRotation="0" wrapText="false" indent="0" shrinkToFit="false"/>
      <protection locked="true" hidden="false"/>
    </xf>
    <xf numFmtId="167" fontId="6" fillId="0" borderId="1" xfId="0" applyFont="true" applyBorder="true" applyAlignment="true" applyProtection="false">
      <alignment horizontal="center" vertical="top" textRotation="0" wrapText="true" indent="0" shrinkToFit="false"/>
      <protection locked="true" hidden="false"/>
    </xf>
    <xf numFmtId="167" fontId="30" fillId="0" borderId="0" xfId="0" applyFont="true" applyBorder="false" applyAlignment="true" applyProtection="false">
      <alignment horizontal="center" vertical="top" textRotation="0" wrapText="true" indent="0" shrinkToFit="false"/>
      <protection locked="true" hidden="false"/>
    </xf>
    <xf numFmtId="167" fontId="6" fillId="0" borderId="35" xfId="0" applyFont="true" applyBorder="true" applyAlignment="true" applyProtection="false">
      <alignment horizontal="center" vertical="top" textRotation="0" wrapText="true" indent="0" shrinkToFit="false"/>
      <protection locked="true" hidden="false"/>
    </xf>
    <xf numFmtId="167" fontId="4" fillId="0" borderId="0" xfId="0" applyFont="true" applyBorder="false" applyAlignment="true" applyProtection="false">
      <alignment horizontal="center" vertical="top" textRotation="0" wrapText="false" indent="0" shrinkToFit="false"/>
      <protection locked="true" hidden="false"/>
    </xf>
    <xf numFmtId="166" fontId="16" fillId="5" borderId="33" xfId="0" applyFont="true" applyBorder="true" applyAlignment="false" applyProtection="false">
      <alignment horizontal="general" vertical="bottom" textRotation="0" wrapText="false" indent="0" shrinkToFit="false"/>
      <protection locked="true" hidden="false"/>
    </xf>
    <xf numFmtId="164" fontId="4" fillId="4" borderId="1" xfId="0" applyFont="true" applyBorder="true" applyAlignment="true" applyProtection="false">
      <alignment horizontal="center" vertical="bottom" textRotation="0" wrapText="false" indent="0" shrinkToFit="false"/>
      <protection locked="true" hidden="false"/>
    </xf>
    <xf numFmtId="172" fontId="16" fillId="5" borderId="33" xfId="0" applyFont="true" applyBorder="true" applyAlignment="true" applyProtection="false">
      <alignment horizontal="center" vertical="bottom" textRotation="0" wrapText="false" indent="0" shrinkToFit="false"/>
      <protection locked="true" hidden="false"/>
    </xf>
    <xf numFmtId="166" fontId="6" fillId="22" borderId="0" xfId="0" applyFont="true" applyBorder="false" applyAlignment="false" applyProtection="false">
      <alignment horizontal="general" vertical="bottom" textRotation="0" wrapText="false" indent="0" shrinkToFit="false"/>
      <protection locked="true" hidden="false"/>
    </xf>
    <xf numFmtId="164" fontId="6" fillId="4" borderId="1" xfId="0" applyFont="true" applyBorder="true" applyAlignment="true" applyProtection="false">
      <alignment horizontal="center" vertical="bottom" textRotation="0" wrapText="false" indent="0" shrinkToFit="false"/>
      <protection locked="true" hidden="false"/>
    </xf>
    <xf numFmtId="172" fontId="31" fillId="0" borderId="0" xfId="0" applyFont="true" applyBorder="false" applyAlignment="true" applyProtection="false">
      <alignment horizontal="center" vertical="bottom" textRotation="0" wrapText="false" indent="0" shrinkToFit="false"/>
      <protection locked="true" hidden="false"/>
    </xf>
    <xf numFmtId="172" fontId="5" fillId="0" borderId="0" xfId="0" applyFont="true" applyBorder="false" applyAlignment="true" applyProtection="false">
      <alignment horizontal="center" vertical="bottom" textRotation="0" wrapText="false" indent="0" shrinkToFit="false"/>
      <protection locked="true" hidden="false"/>
    </xf>
    <xf numFmtId="172" fontId="28" fillId="0" borderId="0" xfId="0" applyFont="true" applyBorder="false" applyAlignment="true" applyProtection="false">
      <alignment horizontal="center" vertical="bottom" textRotation="0" wrapText="false" indent="0" shrinkToFit="false"/>
      <protection locked="true" hidden="false"/>
    </xf>
    <xf numFmtId="164" fontId="6" fillId="0" borderId="0" xfId="0" applyFont="true" applyBorder="false" applyAlignment="true" applyProtection="false">
      <alignment horizontal="general" vertical="top" textRotation="0" wrapText="true" indent="0" shrinkToFit="false"/>
      <protection locked="true" hidden="false"/>
    </xf>
    <xf numFmtId="164" fontId="6" fillId="0" borderId="0" xfId="0" applyFont="true" applyBorder="false" applyAlignment="true" applyProtection="false">
      <alignment horizontal="general" vertical="top" textRotation="0" wrapText="false" indent="0" shrinkToFit="false"/>
      <protection locked="true" hidden="false"/>
    </xf>
    <xf numFmtId="172" fontId="4" fillId="9" borderId="0" xfId="0" applyFont="true" applyBorder="false" applyAlignment="true" applyProtection="false">
      <alignment horizontal="center" vertical="center" textRotation="0" wrapText="false" indent="0" shrinkToFit="false"/>
      <protection locked="true" hidden="false"/>
    </xf>
    <xf numFmtId="172" fontId="4" fillId="9" borderId="0" xfId="0" applyFont="true" applyBorder="false" applyAlignment="true" applyProtection="false">
      <alignment horizontal="general" vertical="center" textRotation="0" wrapText="false" indent="0" shrinkToFit="false"/>
      <protection locked="true" hidden="false"/>
    </xf>
    <xf numFmtId="168" fontId="4" fillId="0" borderId="0" xfId="0" applyFont="true" applyBorder="false" applyAlignment="true" applyProtection="false">
      <alignment horizontal="general" vertical="center" textRotation="0" wrapText="false" indent="0" shrinkToFit="false"/>
      <protection locked="true" hidden="false"/>
    </xf>
    <xf numFmtId="168" fontId="4" fillId="9" borderId="0" xfId="0" applyFont="true" applyBorder="false" applyAlignment="true" applyProtection="false">
      <alignment horizontal="general" vertical="center" textRotation="0" wrapText="false" indent="0" shrinkToFit="false"/>
      <protection locked="true" hidden="false"/>
    </xf>
    <xf numFmtId="164" fontId="4" fillId="4" borderId="0" xfId="0" applyFont="true" applyBorder="false" applyAlignment="true" applyProtection="true">
      <alignment horizontal="center" vertical="center" textRotation="0" wrapText="false" indent="0" shrinkToFit="false"/>
      <protection locked="false" hidden="false"/>
    </xf>
    <xf numFmtId="167" fontId="4" fillId="3" borderId="0" xfId="0" applyFont="true" applyBorder="false" applyAlignment="true" applyProtection="false">
      <alignment horizontal="general" vertical="center" textRotation="0" wrapText="false" indent="0" shrinkToFit="false"/>
      <protection locked="true" hidden="false"/>
    </xf>
    <xf numFmtId="164" fontId="4" fillId="3" borderId="0" xfId="0" applyFont="true" applyBorder="false" applyAlignment="true" applyProtection="false">
      <alignment horizontal="general" vertical="center" textRotation="0" wrapText="false" indent="0" shrinkToFit="false"/>
      <protection locked="true" hidden="false"/>
    </xf>
    <xf numFmtId="172" fontId="4" fillId="0" borderId="0" xfId="0" applyFont="true" applyBorder="false" applyAlignment="true" applyProtection="false">
      <alignment horizontal="general" vertical="center" textRotation="0" wrapText="false" indent="0" shrinkToFit="false"/>
      <protection locked="true" hidden="false"/>
    </xf>
    <xf numFmtId="181" fontId="4" fillId="0" borderId="0" xfId="0" applyFont="true" applyBorder="false" applyAlignment="true" applyProtection="false">
      <alignment horizontal="center" vertical="center" textRotation="0" wrapText="false" indent="0" shrinkToFit="false"/>
      <protection locked="true" hidden="false"/>
    </xf>
    <xf numFmtId="182" fontId="4" fillId="0" borderId="0" xfId="0" applyFont="true" applyBorder="false" applyAlignment="true" applyProtection="false">
      <alignment horizontal="center" vertical="center" textRotation="0" wrapText="false" indent="0" shrinkToFit="false"/>
      <protection locked="true" hidden="false"/>
    </xf>
    <xf numFmtId="164" fontId="4" fillId="9" borderId="0" xfId="0" applyFont="true" applyBorder="false" applyAlignment="true" applyProtection="true">
      <alignment horizontal="center" vertical="center" textRotation="0" wrapText="false" indent="0" shrinkToFit="false"/>
      <protection locked="false" hidden="false"/>
    </xf>
    <xf numFmtId="167" fontId="4" fillId="9" borderId="0" xfId="0" applyFont="true" applyBorder="false" applyAlignment="true" applyProtection="false">
      <alignment horizontal="general" vertical="center" textRotation="0" wrapText="false" indent="0" shrinkToFit="false"/>
      <protection locked="true" hidden="false"/>
    </xf>
    <xf numFmtId="168" fontId="4" fillId="3" borderId="0" xfId="0" applyFont="true" applyBorder="false" applyAlignment="true" applyProtection="false">
      <alignment horizontal="general" vertical="center" textRotation="0" wrapText="false" indent="0" shrinkToFit="false"/>
      <protection locked="true" hidden="false"/>
    </xf>
    <xf numFmtId="164" fontId="4" fillId="3" borderId="0" xfId="0" applyFont="true" applyBorder="false" applyAlignment="true" applyProtection="true">
      <alignment horizontal="center" vertical="center" textRotation="0" wrapText="false" indent="0" shrinkToFit="false"/>
      <protection locked="false" hidden="false"/>
    </xf>
    <xf numFmtId="164" fontId="28" fillId="0" borderId="0" xfId="0" applyFont="true" applyBorder="false" applyAlignment="true" applyProtection="false">
      <alignment horizontal="center" vertical="bottom" textRotation="0" wrapText="false" indent="0" shrinkToFit="false"/>
      <protection locked="true" hidden="false"/>
    </xf>
    <xf numFmtId="172" fontId="4" fillId="5" borderId="0" xfId="19" applyFont="true" applyBorder="true" applyAlignment="true" applyProtection="true">
      <alignment horizontal="center" vertical="bottom" textRotation="0" wrapText="false" indent="0" shrinkToFit="false"/>
      <protection locked="true" hidden="false"/>
    </xf>
    <xf numFmtId="170" fontId="4" fillId="5" borderId="0" xfId="19" applyFont="true" applyBorder="true" applyAlignment="true" applyProtection="true">
      <alignment horizontal="center" vertical="bottom" textRotation="0" wrapText="false" indent="0" shrinkToFit="false"/>
      <protection locked="true" hidden="false"/>
    </xf>
    <xf numFmtId="167" fontId="4" fillId="4" borderId="0" xfId="0" applyFont="true" applyBorder="false" applyAlignment="true" applyProtection="false">
      <alignment horizontal="center" vertical="bottom" textRotation="0" wrapText="false" indent="0" shrinkToFit="false"/>
      <protection locked="true" hidden="false"/>
    </xf>
    <xf numFmtId="183" fontId="4" fillId="4" borderId="0" xfId="0" applyFont="true" applyBorder="false" applyAlignment="true" applyProtection="false">
      <alignment horizontal="center" vertical="bottom" textRotation="0" wrapText="false" indent="0" shrinkToFit="false"/>
      <protection locked="true" hidden="false"/>
    </xf>
    <xf numFmtId="174" fontId="4" fillId="0" borderId="0" xfId="0" applyFont="true" applyBorder="false" applyAlignment="true" applyProtection="false">
      <alignment horizontal="center" vertical="bottom" textRotation="0" wrapText="false" indent="0" shrinkToFit="false"/>
      <protection locked="true" hidden="false"/>
    </xf>
    <xf numFmtId="168" fontId="26" fillId="0" borderId="0" xfId="0" applyFont="true" applyBorder="false" applyAlignment="true" applyProtection="false">
      <alignment horizontal="center" vertical="bottom" textRotation="0" wrapText="false" indent="0" shrinkToFit="false"/>
      <protection locked="true" hidden="false"/>
    </xf>
    <xf numFmtId="172" fontId="4" fillId="0" borderId="0" xfId="0" applyFont="true" applyBorder="false" applyAlignment="false" applyProtection="false">
      <alignment horizontal="general" vertical="bottom" textRotation="0" wrapText="false" indent="0" shrinkToFit="false"/>
      <protection locked="true" hidden="false"/>
    </xf>
    <xf numFmtId="170" fontId="26" fillId="0" borderId="0" xfId="0" applyFont="true" applyBorder="false" applyAlignment="true" applyProtection="false">
      <alignment horizontal="right" vertical="bottom" textRotation="0" wrapText="false" indent="0" shrinkToFit="false"/>
      <protection locked="true" hidden="false"/>
    </xf>
    <xf numFmtId="184" fontId="26" fillId="0" borderId="0" xfId="0" applyFont="true" applyBorder="false" applyAlignment="true" applyProtection="false">
      <alignment horizontal="right" vertical="bottom" textRotation="0" wrapText="false" indent="0" shrinkToFit="false"/>
      <protection locked="true" hidden="false"/>
    </xf>
    <xf numFmtId="185" fontId="4" fillId="0" borderId="0" xfId="0" applyFont="true" applyBorder="false" applyAlignment="true" applyProtection="false">
      <alignment horizontal="right" vertical="bottom" textRotation="0" wrapText="false" indent="0" shrinkToFit="false"/>
      <protection locked="true" hidden="false"/>
    </xf>
    <xf numFmtId="185" fontId="4" fillId="0" borderId="0" xfId="0" applyFont="true" applyBorder="false" applyAlignment="false" applyProtection="false">
      <alignment horizontal="general" vertical="bottom" textRotation="0" wrapText="false" indent="0" shrinkToFit="false"/>
      <protection locked="true" hidden="false"/>
    </xf>
    <xf numFmtId="170" fontId="4" fillId="0" borderId="0" xfId="0" applyFont="true" applyBorder="false" applyAlignment="true" applyProtection="false">
      <alignment horizontal="right" vertical="bottom" textRotation="0" wrapText="false" indent="0" shrinkToFit="false"/>
      <protection locked="true" hidden="false"/>
    </xf>
    <xf numFmtId="184" fontId="4" fillId="0" borderId="0" xfId="0" applyFont="true" applyBorder="false" applyAlignment="true" applyProtection="false">
      <alignment horizontal="right" vertical="bottom" textRotation="0" wrapText="false" indent="0" shrinkToFit="false"/>
      <protection locked="true" hidden="false"/>
    </xf>
    <xf numFmtId="169" fontId="4" fillId="0" borderId="0" xfId="0" applyFont="true" applyBorder="false" applyAlignment="false" applyProtection="false">
      <alignment horizontal="general" vertical="bottom" textRotation="0" wrapText="false" indent="0" shrinkToFit="false"/>
      <protection locked="true" hidden="false"/>
    </xf>
    <xf numFmtId="186" fontId="4" fillId="0" borderId="0" xfId="0" applyFont="true" applyBorder="false" applyAlignment="false" applyProtection="false">
      <alignment horizontal="general" vertical="bottom" textRotation="0" wrapText="false" indent="0" shrinkToFit="false"/>
      <protection locked="true" hidden="false"/>
    </xf>
    <xf numFmtId="187" fontId="4" fillId="0" borderId="0" xfId="0" applyFont="true" applyBorder="false" applyAlignment="true" applyProtection="false">
      <alignment horizontal="center" vertical="bottom" textRotation="0" wrapText="false" indent="0" shrinkToFit="false"/>
      <protection locked="true" hidden="false"/>
    </xf>
    <xf numFmtId="172" fontId="6" fillId="5" borderId="0" xfId="19" applyFont="true" applyBorder="true" applyAlignment="true" applyProtection="true">
      <alignment horizontal="center" vertical="bottom" textRotation="0" wrapText="false" indent="0" shrinkToFit="false"/>
      <protection locked="true" hidden="false"/>
    </xf>
    <xf numFmtId="170" fontId="6" fillId="5" borderId="0" xfId="19" applyFont="true" applyBorder="true" applyAlignment="true" applyProtection="true">
      <alignment horizontal="center" vertical="bottom" textRotation="0" wrapText="false" indent="0" shrinkToFit="false"/>
      <protection locked="true" hidden="false"/>
    </xf>
    <xf numFmtId="167" fontId="6" fillId="4" borderId="0" xfId="0" applyFont="true" applyBorder="false" applyAlignment="true" applyProtection="false">
      <alignment horizontal="center" vertical="bottom" textRotation="0" wrapText="false" indent="0" shrinkToFit="false"/>
      <protection locked="true" hidden="false"/>
    </xf>
    <xf numFmtId="183" fontId="6" fillId="4" borderId="0" xfId="0" applyFont="true" applyBorder="false" applyAlignment="true" applyProtection="false">
      <alignment horizontal="center" vertical="bottom" textRotation="0" wrapText="false" indent="0" shrinkToFit="false"/>
      <protection locked="true" hidden="false"/>
    </xf>
    <xf numFmtId="174" fontId="6" fillId="22" borderId="0" xfId="0" applyFont="true" applyBorder="false" applyAlignment="true" applyProtection="false">
      <alignment horizontal="center" vertical="bottom" textRotation="0" wrapText="false" indent="0" shrinkToFit="false"/>
      <protection locked="true" hidden="false"/>
    </xf>
    <xf numFmtId="172" fontId="6" fillId="22" borderId="0" xfId="0" applyFont="true" applyBorder="false" applyAlignment="false" applyProtection="false">
      <alignment horizontal="general" vertical="bottom" textRotation="0" wrapText="false" indent="0" shrinkToFit="false"/>
      <protection locked="true" hidden="false"/>
    </xf>
    <xf numFmtId="170" fontId="6" fillId="22" borderId="0" xfId="0" applyFont="true" applyBorder="false" applyAlignment="true" applyProtection="false">
      <alignment horizontal="right" vertical="bottom" textRotation="0" wrapText="false" indent="0" shrinkToFit="false"/>
      <protection locked="true" hidden="false"/>
    </xf>
    <xf numFmtId="184" fontId="6" fillId="22" borderId="0" xfId="0" applyFont="true" applyBorder="false" applyAlignment="true" applyProtection="false">
      <alignment horizontal="right" vertical="bottom" textRotation="0" wrapText="false" indent="0" shrinkToFit="false"/>
      <protection locked="true" hidden="false"/>
    </xf>
    <xf numFmtId="164" fontId="6" fillId="4" borderId="34" xfId="0" applyFont="true" applyBorder="true" applyAlignment="true" applyProtection="false">
      <alignment horizontal="center" vertical="bottom" textRotation="0" wrapText="fals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64" fontId="34" fillId="0" borderId="0" xfId="0" applyFont="true" applyBorder="false" applyAlignment="false" applyProtection="false">
      <alignment horizontal="general" vertical="bottom" textRotation="0" wrapText="false" indent="0" shrinkToFit="false"/>
      <protection locked="true" hidden="false"/>
    </xf>
    <xf numFmtId="167" fontId="35" fillId="0" borderId="0" xfId="0" applyFont="true" applyBorder="false" applyAlignment="true" applyProtection="false">
      <alignment horizontal="left" vertical="top" textRotation="0" wrapText="false" indent="0" shrinkToFit="false"/>
      <protection locked="true" hidden="false"/>
    </xf>
    <xf numFmtId="174" fontId="33" fillId="0" borderId="0" xfId="19" applyFont="true" applyBorder="true" applyAlignment="true" applyProtection="true">
      <alignment horizontal="general" vertical="bottom" textRotation="0" wrapText="false" indent="0" shrinkToFit="false"/>
      <protection locked="true" hidden="false"/>
    </xf>
    <xf numFmtId="164" fontId="4" fillId="0" borderId="7" xfId="0" applyFont="true" applyBorder="true" applyAlignment="false" applyProtection="false">
      <alignment horizontal="general" vertical="bottom" textRotation="0" wrapText="false" indent="0" shrinkToFit="false"/>
      <protection locked="true" hidden="false"/>
    </xf>
    <xf numFmtId="164" fontId="6" fillId="0" borderId="7" xfId="0" applyFont="true" applyBorder="true" applyAlignment="false" applyProtection="false">
      <alignment horizontal="general" vertical="bottom" textRotation="0" wrapText="false" indent="0" shrinkToFit="false"/>
      <protection locked="true" hidden="false"/>
    </xf>
    <xf numFmtId="171" fontId="4" fillId="0" borderId="0" xfId="19" applyFont="true" applyBorder="true" applyAlignment="true" applyProtection="true">
      <alignment horizontal="right" vertical="bottom" textRotation="0" wrapText="false" indent="0" shrinkToFit="false"/>
      <protection locked="true" hidden="false"/>
    </xf>
    <xf numFmtId="166" fontId="4" fillId="0" borderId="0" xfId="19" applyFont="true" applyBorder="true" applyAlignment="true" applyProtection="true">
      <alignment horizontal="right" vertical="bottom" textRotation="0" wrapText="false" indent="0" shrinkToFit="false"/>
      <protection locked="true" hidden="false"/>
    </xf>
    <xf numFmtId="171" fontId="4" fillId="0" borderId="0" xfId="19" applyFont="true" applyBorder="true" applyAlignment="true" applyProtection="true">
      <alignment horizontal="general" vertical="bottom" textRotation="0" wrapText="false" indent="0" shrinkToFit="false"/>
      <protection locked="true" hidden="false"/>
    </xf>
    <xf numFmtId="164" fontId="4" fillId="2" borderId="0" xfId="0" applyFont="true" applyBorder="false" applyAlignment="false" applyProtection="false">
      <alignment horizontal="general" vertical="bottom" textRotation="0" wrapText="false" indent="0" shrinkToFit="false"/>
      <protection locked="true" hidden="false"/>
    </xf>
    <xf numFmtId="164" fontId="4" fillId="26" borderId="0" xfId="0" applyFont="true" applyBorder="false" applyAlignment="false" applyProtection="false">
      <alignment horizontal="general" vertical="bottom" textRotation="0" wrapText="false" indent="0" shrinkToFit="false"/>
      <protection locked="true" hidden="false"/>
    </xf>
    <xf numFmtId="164" fontId="4" fillId="13" borderId="0" xfId="0" applyFont="true" applyBorder="false" applyAlignment="false" applyProtection="false">
      <alignment horizontal="general" vertical="bottom" textRotation="0" wrapText="false" indent="0" shrinkToFit="false"/>
      <protection locked="true" hidden="false"/>
    </xf>
    <xf numFmtId="167" fontId="4" fillId="27" borderId="0" xfId="0" applyFont="true" applyBorder="false" applyAlignment="true" applyProtection="false">
      <alignment horizontal="center" vertical="bottom" textRotation="0" wrapText="false" indent="0" shrinkToFit="false"/>
      <protection locked="true" hidden="false"/>
    </xf>
    <xf numFmtId="164" fontId="4" fillId="27" borderId="0" xfId="0" applyFont="true" applyBorder="false" applyAlignment="false" applyProtection="false">
      <alignment horizontal="general" vertical="bottom" textRotation="0" wrapText="false" indent="0" shrinkToFit="false"/>
      <protection locked="true" hidden="false"/>
    </xf>
    <xf numFmtId="164" fontId="4" fillId="15" borderId="0" xfId="0" applyFont="true" applyBorder="false" applyAlignment="false" applyProtection="false">
      <alignment horizontal="general" vertical="bottom" textRotation="0" wrapText="false" indent="0" shrinkToFit="false"/>
      <protection locked="true" hidden="false"/>
    </xf>
    <xf numFmtId="164" fontId="4" fillId="28" borderId="0" xfId="0" applyFont="true" applyBorder="false" applyAlignment="false" applyProtection="false">
      <alignment horizontal="general" vertical="bottom" textRotation="0" wrapText="false" indent="0" shrinkToFit="false"/>
      <protection locked="true" hidden="false"/>
    </xf>
    <xf numFmtId="164" fontId="4" fillId="29" borderId="0" xfId="0" applyFont="true" applyBorder="false" applyAlignment="false" applyProtection="false">
      <alignment horizontal="general" vertical="bottom" textRotation="0" wrapText="false" indent="0" shrinkToFit="false"/>
      <protection locked="true" hidden="false"/>
    </xf>
    <xf numFmtId="164" fontId="4" fillId="2" borderId="7" xfId="0" applyFont="true" applyBorder="true" applyAlignment="false" applyProtection="false">
      <alignment horizontal="general" vertical="bottom" textRotation="0" wrapText="false" indent="0" shrinkToFit="false"/>
      <protection locked="true" hidden="false"/>
    </xf>
    <xf numFmtId="174" fontId="0" fillId="0" borderId="0" xfId="0" applyFont="fals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7" fontId="4" fillId="0" borderId="7" xfId="0" applyFont="true" applyBorder="true" applyAlignment="false" applyProtection="false">
      <alignment horizontal="general" vertical="bottom" textRotation="0" wrapText="false" indent="0" shrinkToFit="false"/>
      <protection locked="true" hidden="false"/>
    </xf>
    <xf numFmtId="175" fontId="0" fillId="0" borderId="0" xfId="0" applyFont="false" applyBorder="false" applyAlignment="false" applyProtection="false">
      <alignment horizontal="general" vertical="bottom" textRotation="0" wrapText="false" indent="0" shrinkToFit="false"/>
      <protection locked="true" hidden="false"/>
    </xf>
    <xf numFmtId="175" fontId="4" fillId="0" borderId="0" xfId="0" applyFont="true" applyBorder="false" applyAlignment="true" applyProtection="false">
      <alignment horizontal="right" vertical="bottom" textRotation="0" wrapText="false" indent="0" shrinkToFit="false"/>
      <protection locked="true" hidden="false"/>
    </xf>
    <xf numFmtId="175" fontId="4" fillId="0" borderId="0" xfId="19" applyFont="true" applyBorder="true" applyAlignment="true" applyProtection="true">
      <alignment horizontal="right" vertical="bottom" textRotation="0" wrapText="false" indent="0" shrinkToFit="false"/>
      <protection locked="true" hidden="false"/>
    </xf>
    <xf numFmtId="164" fontId="4" fillId="0" borderId="7" xfId="0" applyFont="true" applyBorder="true" applyAlignment="true" applyProtection="false">
      <alignment horizontal="general" vertical="center" textRotation="0" wrapText="false" indent="0" shrinkToFit="false"/>
      <protection locked="true" hidden="false"/>
    </xf>
    <xf numFmtId="166" fontId="4" fillId="0" borderId="0" xfId="19"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4" fontId="6" fillId="0" borderId="0" xfId="0" applyFont="true" applyBorder="false" applyAlignment="true" applyProtection="false">
      <alignment horizontal="center" vertical="center" textRotation="0" wrapText="false" indent="0" shrinkToFit="false"/>
      <protection locked="true" hidden="false"/>
    </xf>
    <xf numFmtId="166" fontId="6" fillId="0" borderId="0" xfId="19"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false">
      <alignment horizontal="right" vertical="center" textRotation="0" wrapText="false" indent="0" shrinkToFit="false"/>
      <protection locked="true" hidden="false"/>
    </xf>
    <xf numFmtId="164" fontId="6" fillId="0" borderId="0" xfId="0" applyFont="true" applyBorder="false" applyAlignment="true" applyProtection="false">
      <alignment horizontal="center" vertical="center" textRotation="90" wrapText="false" indent="0" shrinkToFit="false"/>
      <protection locked="true" hidden="false"/>
    </xf>
    <xf numFmtId="164" fontId="6" fillId="0" borderId="0" xfId="19" applyFont="true" applyBorder="true" applyAlignment="true" applyProtection="true">
      <alignment horizontal="center" vertical="center" textRotation="90" wrapText="false" indent="0" shrinkToFit="false"/>
      <protection locked="true" hidden="false"/>
    </xf>
    <xf numFmtId="164" fontId="4" fillId="0" borderId="12" xfId="0" applyFont="true" applyBorder="true" applyAlignment="true" applyProtection="false">
      <alignment horizontal="general" vertical="center" textRotation="0" wrapText="false" indent="0" shrinkToFit="false"/>
      <protection locked="true" hidden="false"/>
    </xf>
    <xf numFmtId="164" fontId="4" fillId="0" borderId="11" xfId="0" applyFont="true" applyBorder="true" applyAlignment="true" applyProtection="false">
      <alignment horizontal="general" vertical="center" textRotation="0" wrapText="false" indent="0" shrinkToFit="false"/>
      <protection locked="true" hidden="false"/>
    </xf>
    <xf numFmtId="175" fontId="4" fillId="0" borderId="0" xfId="0" applyFont="true" applyBorder="false" applyAlignment="true" applyProtection="false">
      <alignment horizontal="center" vertical="center" textRotation="0" wrapText="false" indent="0" shrinkToFit="false"/>
      <protection locked="true" hidden="false"/>
    </xf>
    <xf numFmtId="166" fontId="4" fillId="0" borderId="0" xfId="0" applyFont="true" applyBorder="false" applyAlignment="true" applyProtection="false">
      <alignment horizontal="center" vertical="center" textRotation="0" wrapText="false" indent="0" shrinkToFit="false"/>
      <protection locked="true" hidden="false"/>
    </xf>
    <xf numFmtId="166" fontId="4" fillId="0" borderId="0" xfId="19" applyFont="true" applyBorder="true" applyAlignment="true" applyProtection="true">
      <alignment horizontal="center" vertical="center" textRotation="0" wrapText="false" indent="0" shrinkToFit="false"/>
      <protection locked="true" hidden="false"/>
    </xf>
    <xf numFmtId="164" fontId="4" fillId="0" borderId="12" xfId="0" applyFont="true" applyBorder="true" applyAlignment="true" applyProtection="false">
      <alignment horizontal="center" vertical="center" textRotation="0" wrapText="false" indent="0" shrinkToFit="false"/>
      <protection locked="true" hidden="false"/>
    </xf>
    <xf numFmtId="164" fontId="4" fillId="0" borderId="13" xfId="0" applyFont="true" applyBorder="true" applyAlignment="true" applyProtection="false">
      <alignment horizontal="general" vertical="center" textRotation="0" wrapText="false" indent="0" shrinkToFit="false"/>
      <protection locked="true" hidden="false"/>
    </xf>
    <xf numFmtId="164" fontId="4" fillId="0" borderId="19" xfId="0" applyFont="true" applyBorder="true" applyAlignment="true" applyProtection="false">
      <alignment horizontal="general" vertical="center" textRotation="0" wrapText="false" indent="0" shrinkToFit="false"/>
      <protection locked="true" hidden="false"/>
    </xf>
    <xf numFmtId="164" fontId="4" fillId="0" borderId="10" xfId="0" applyFont="true" applyBorder="true" applyAlignment="true" applyProtection="false">
      <alignment horizontal="center" vertical="center" textRotation="0" wrapText="false" indent="0" shrinkToFit="false"/>
      <protection locked="true" hidden="false"/>
    </xf>
    <xf numFmtId="164" fontId="4" fillId="0" borderId="10" xfId="0" applyFont="true" applyBorder="true" applyAlignment="true" applyProtection="false">
      <alignment horizontal="general" vertical="center" textRotation="0" wrapText="false" indent="0" shrinkToFit="false"/>
      <protection locked="true" hidden="false"/>
    </xf>
    <xf numFmtId="175" fontId="4" fillId="0" borderId="10" xfId="0" applyFont="true" applyBorder="true" applyAlignment="true" applyProtection="false">
      <alignment horizontal="center" vertical="center" textRotation="0" wrapText="false" indent="0" shrinkToFit="false"/>
      <protection locked="true" hidden="false"/>
    </xf>
    <xf numFmtId="166" fontId="4" fillId="0" borderId="10" xfId="0" applyFont="true" applyBorder="true" applyAlignment="true" applyProtection="false">
      <alignment horizontal="center" vertical="center" textRotation="0" wrapText="false" indent="0" shrinkToFit="false"/>
      <protection locked="true" hidden="false"/>
    </xf>
    <xf numFmtId="166" fontId="4" fillId="0" borderId="10" xfId="19" applyFont="true" applyBorder="true" applyAlignment="true" applyProtection="true">
      <alignment horizontal="center" vertical="center" textRotation="0" wrapText="false" indent="0" shrinkToFit="false"/>
      <protection locked="true" hidden="false"/>
    </xf>
    <xf numFmtId="164" fontId="4" fillId="0" borderId="17" xfId="0" applyFont="true" applyBorder="true" applyAlignment="true" applyProtection="false">
      <alignment horizontal="center" vertical="center" textRotation="0" wrapText="false" indent="0" shrinkToFit="false"/>
      <protection locked="true" hidden="false"/>
    </xf>
    <xf numFmtId="164" fontId="4" fillId="0" borderId="20" xfId="0" applyFont="true" applyBorder="true" applyAlignment="true" applyProtection="false">
      <alignment horizontal="general" vertical="center" textRotation="0" wrapText="false" indent="0" shrinkToFit="false"/>
      <protection locked="true" hidden="false"/>
    </xf>
    <xf numFmtId="164" fontId="4" fillId="0" borderId="21" xfId="0" applyFont="true" applyBorder="true" applyAlignment="true" applyProtection="false">
      <alignment horizontal="general" vertical="center" textRotation="0" wrapText="false" indent="0" shrinkToFit="false"/>
      <protection locked="true" hidden="false"/>
    </xf>
    <xf numFmtId="164" fontId="4" fillId="0" borderId="13" xfId="0" applyFont="true" applyBorder="true" applyAlignment="true" applyProtection="false">
      <alignment horizontal="center" vertical="center" textRotation="0" wrapText="false" indent="0" shrinkToFit="false"/>
      <protection locked="true" hidden="false"/>
    </xf>
    <xf numFmtId="175" fontId="4" fillId="0" borderId="13" xfId="0" applyFont="true" applyBorder="true" applyAlignment="true" applyProtection="false">
      <alignment horizontal="center" vertical="center" textRotation="0" wrapText="false" indent="0" shrinkToFit="false"/>
      <protection locked="true" hidden="false"/>
    </xf>
    <xf numFmtId="166" fontId="4" fillId="0" borderId="13" xfId="0" applyFont="true" applyBorder="true" applyAlignment="true" applyProtection="false">
      <alignment horizontal="center" vertical="center" textRotation="0" wrapText="false" indent="0" shrinkToFit="false"/>
      <protection locked="true" hidden="false"/>
    </xf>
    <xf numFmtId="164" fontId="4" fillId="0" borderId="17" xfId="0" applyFont="true" applyBorder="true" applyAlignment="true" applyProtection="false">
      <alignment horizontal="general" vertical="center" textRotation="0" wrapText="false" indent="0" shrinkToFit="false"/>
      <protection locked="true" hidden="false"/>
    </xf>
    <xf numFmtId="175" fontId="4" fillId="0" borderId="12" xfId="0" applyFont="true" applyBorder="true" applyAlignment="true" applyProtection="false">
      <alignment horizontal="center" vertical="center" textRotation="0" wrapText="false" indent="0" shrinkToFit="false"/>
      <protection locked="true" hidden="false"/>
    </xf>
    <xf numFmtId="175" fontId="4" fillId="0" borderId="0" xfId="19" applyFont="true" applyBorder="true" applyAlignment="true" applyProtection="true">
      <alignment horizontal="center" vertical="center" textRotation="0" wrapText="false" indent="0" shrinkToFit="false"/>
      <protection locked="true" hidden="false"/>
    </xf>
    <xf numFmtId="166" fontId="4" fillId="0" borderId="12" xfId="0" applyFont="true" applyBorder="true" applyAlignment="true" applyProtection="false">
      <alignment horizontal="center" vertical="center" textRotation="0" wrapText="false" indent="0" shrinkToFit="false"/>
      <protection locked="true" hidden="false"/>
    </xf>
    <xf numFmtId="164" fontId="4" fillId="0" borderId="36" xfId="0" applyFont="true" applyBorder="true" applyAlignment="true" applyProtection="false">
      <alignment horizontal="general" vertical="center" textRotation="0" wrapText="false" indent="0" shrinkToFit="false"/>
      <protection locked="true" hidden="false"/>
    </xf>
    <xf numFmtId="164" fontId="4" fillId="0" borderId="37" xfId="0" applyFont="true" applyBorder="true" applyAlignment="true" applyProtection="false">
      <alignment horizontal="general" vertical="center" textRotation="0" wrapText="false" indent="0" shrinkToFit="false"/>
      <protection locked="true" hidden="false"/>
    </xf>
    <xf numFmtId="164" fontId="4" fillId="0" borderId="38" xfId="0" applyFont="true" applyBorder="true" applyAlignment="true" applyProtection="false">
      <alignment horizontal="general" vertical="center" textRotation="0" wrapText="false" indent="0" shrinkToFit="false"/>
      <protection locked="true" hidden="false"/>
    </xf>
    <xf numFmtId="166" fontId="4" fillId="0" borderId="0" xfId="0" applyFont="true" applyBorder="false" applyAlignment="true" applyProtection="false">
      <alignment horizontal="general" vertical="center"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6" fillId="0" borderId="21" xfId="0" applyFont="true" applyBorder="true" applyAlignment="false" applyProtection="false">
      <alignment horizontal="general" vertical="bottom" textRotation="0" wrapText="false" indent="0" shrinkToFit="false"/>
      <protection locked="true" hidden="false"/>
    </xf>
    <xf numFmtId="164" fontId="0" fillId="0" borderId="13" xfId="0" applyFont="true" applyBorder="true" applyAlignment="false" applyProtection="false">
      <alignment horizontal="general" vertical="bottom" textRotation="0" wrapText="false" indent="0" shrinkToFit="false"/>
      <protection locked="true" hidden="false"/>
    </xf>
    <xf numFmtId="164" fontId="0" fillId="0" borderId="20" xfId="0" applyFont="false" applyBorder="true" applyAlignment="false" applyProtection="false">
      <alignment horizontal="general" vertical="bottom" textRotation="0" wrapText="false" indent="0" shrinkToFit="false"/>
      <protection locked="true" hidden="false"/>
    </xf>
    <xf numFmtId="164" fontId="0" fillId="0" borderId="11" xfId="0" applyFont="true" applyBorder="true" applyAlignment="false" applyProtection="false">
      <alignment horizontal="general" vertical="bottom" textRotation="0" wrapText="false" indent="0" shrinkToFit="false"/>
      <protection locked="true" hidden="false"/>
    </xf>
    <xf numFmtId="164" fontId="0" fillId="4" borderId="39" xfId="0" applyFont="false" applyBorder="true" applyAlignment="false" applyProtection="false">
      <alignment horizontal="general" vertical="bottom" textRotation="0" wrapText="false" indent="0" shrinkToFit="false"/>
      <protection locked="true" hidden="false"/>
    </xf>
    <xf numFmtId="164" fontId="0" fillId="4" borderId="40" xfId="0" applyFont="false" applyBorder="true" applyAlignment="false" applyProtection="false">
      <alignment horizontal="general" vertical="bottom" textRotation="0" wrapText="false" indent="0" shrinkToFit="false"/>
      <protection locked="true" hidden="false"/>
    </xf>
    <xf numFmtId="172" fontId="0" fillId="0" borderId="0" xfId="0" applyFont="false" applyBorder="false" applyAlignment="false" applyProtection="false">
      <alignment horizontal="general" vertical="bottom" textRotation="0" wrapText="false" indent="0" shrinkToFit="false"/>
      <protection locked="true" hidden="false"/>
    </xf>
    <xf numFmtId="175" fontId="0" fillId="0" borderId="0" xfId="19" applyFont="true" applyBorder="true" applyAlignment="true" applyProtection="true">
      <alignment horizontal="general" vertical="bottom" textRotation="0" wrapText="false" indent="0" shrinkToFit="false"/>
      <protection locked="true" hidden="false"/>
    </xf>
    <xf numFmtId="164" fontId="0" fillId="4" borderId="41" xfId="0" applyFont="false" applyBorder="true" applyAlignment="false" applyProtection="false">
      <alignment horizontal="general" vertical="bottom" textRotation="0" wrapText="false" indent="0" shrinkToFit="false"/>
      <protection locked="true" hidden="false"/>
    </xf>
    <xf numFmtId="172" fontId="0" fillId="4" borderId="42" xfId="0" applyFont="false" applyBorder="true" applyAlignment="false" applyProtection="false">
      <alignment horizontal="general" vertical="bottom" textRotation="0" wrapText="false" indent="0" shrinkToFit="false"/>
      <protection locked="true" hidden="false"/>
    </xf>
    <xf numFmtId="164" fontId="0" fillId="0" borderId="12" xfId="0" applyFont="false" applyBorder="true" applyAlignment="false" applyProtection="false">
      <alignment horizontal="general" vertical="bottom" textRotation="0" wrapText="false" indent="0" shrinkToFit="false"/>
      <protection locked="true" hidden="false"/>
    </xf>
    <xf numFmtId="172" fontId="0" fillId="0" borderId="0" xfId="0" applyFont="false" applyBorder="false" applyAlignment="true" applyProtection="false">
      <alignment horizontal="right" vertical="bottom" textRotation="0" wrapText="false" indent="0" shrinkToFit="false"/>
      <protection locked="true" hidden="false"/>
    </xf>
    <xf numFmtId="172" fontId="0" fillId="0" borderId="43" xfId="0" applyFont="false" applyBorder="true" applyAlignment="false" applyProtection="false">
      <alignment horizontal="general" vertical="bottom" textRotation="0" wrapText="false" indent="0" shrinkToFit="false"/>
      <protection locked="true" hidden="false"/>
    </xf>
    <xf numFmtId="164" fontId="0" fillId="0" borderId="11" xfId="0" applyFont="true" applyBorder="true" applyAlignment="true" applyProtection="false">
      <alignment horizontal="left" vertical="bottom" textRotation="0" wrapText="false" indent="0" shrinkToFit="false"/>
      <protection locked="true" hidden="false"/>
    </xf>
    <xf numFmtId="164" fontId="6" fillId="0" borderId="11" xfId="0" applyFont="true" applyBorder="true" applyAlignment="false" applyProtection="false">
      <alignment horizontal="general" vertical="bottom" textRotation="0" wrapText="false" indent="0" shrinkToFit="false"/>
      <protection locked="true" hidden="false"/>
    </xf>
    <xf numFmtId="171" fontId="0" fillId="0" borderId="11" xfId="0" applyFont="false" applyBorder="true" applyAlignment="false" applyProtection="false">
      <alignment horizontal="general" vertical="bottom" textRotation="0" wrapText="false" indent="0" shrinkToFit="false"/>
      <protection locked="true" hidden="false"/>
    </xf>
    <xf numFmtId="164" fontId="0" fillId="0" borderId="19" xfId="0" applyFont="false" applyBorder="true" applyAlignment="false" applyProtection="false">
      <alignment horizontal="general" vertical="bottom"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0" fillId="0" borderId="17" xfId="0" applyFont="true" applyBorder="true" applyAlignment="false" applyProtection="fals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74" fontId="0" fillId="4" borderId="6" xfId="0" applyFont="false" applyBorder="true" applyAlignment="false" applyProtection="false">
      <alignment horizontal="general" vertical="bottom" textRotation="0" wrapText="false" indent="0" shrinkToFit="false"/>
      <protection locked="true" hidden="false"/>
    </xf>
    <xf numFmtId="166" fontId="0" fillId="4" borderId="6" xfId="0" applyFont="false" applyBorder="true" applyAlignment="false" applyProtection="false">
      <alignment horizontal="general" vertical="bottom" textRotation="0" wrapText="false" indent="0" shrinkToFit="false"/>
      <protection locked="true" hidden="false"/>
    </xf>
    <xf numFmtId="164" fontId="0" fillId="0" borderId="44" xfId="0" applyFont="true" applyBorder="true" applyAlignment="false" applyProtection="false">
      <alignment horizontal="general" vertical="bottom" textRotation="0" wrapText="false" indent="0" shrinkToFit="false"/>
      <protection locked="true" hidden="false"/>
    </xf>
    <xf numFmtId="164" fontId="0" fillId="4" borderId="9" xfId="0" applyFont="false" applyBorder="true" applyAlignment="false" applyProtection="false">
      <alignment horizontal="general" vertical="bottom" textRotation="0" wrapText="false" indent="0" shrinkToFit="false"/>
      <protection locked="true" hidden="false"/>
    </xf>
    <xf numFmtId="164" fontId="0" fillId="0" borderId="7" xfId="0" applyFont="false" applyBorder="true" applyAlignment="false" applyProtection="false">
      <alignment horizontal="general" vertical="bottom" textRotation="0" wrapText="false" indent="0" shrinkToFit="false"/>
      <protection locked="true" hidden="false"/>
    </xf>
    <xf numFmtId="166" fontId="0" fillId="4" borderId="14" xfId="0" applyFont="false" applyBorder="true" applyAlignment="false" applyProtection="false">
      <alignment horizontal="general" vertical="bottom" textRotation="0" wrapText="false" indent="0" shrinkToFit="false"/>
      <protection locked="true" hidden="false"/>
    </xf>
    <xf numFmtId="164" fontId="0" fillId="0" borderId="45" xfId="0" applyFont="false" applyBorder="true" applyAlignment="false" applyProtection="false">
      <alignment horizontal="general" vertical="bottom" textRotation="0" wrapText="false" indent="0" shrinkToFit="false"/>
      <protection locked="true" hidden="false"/>
    </xf>
    <xf numFmtId="164" fontId="0" fillId="4" borderId="4" xfId="0" applyFont="false" applyBorder="true" applyAlignment="false" applyProtection="false">
      <alignment horizontal="general" vertical="bottom" textRotation="0" wrapText="false" indent="0" shrinkToFit="false"/>
      <protection locked="true" hidden="false"/>
    </xf>
    <xf numFmtId="168" fontId="0" fillId="4" borderId="14" xfId="0" applyFont="false" applyBorder="true" applyAlignment="false" applyProtection="false">
      <alignment horizontal="general" vertical="bottom" textRotation="0" wrapText="false" indent="0" shrinkToFit="false"/>
      <protection locked="true" hidden="false"/>
    </xf>
    <xf numFmtId="168" fontId="0" fillId="4" borderId="6" xfId="0" applyFont="false" applyBorder="true" applyAlignment="false" applyProtection="false">
      <alignment horizontal="general" vertical="bottom" textRotation="0" wrapText="false" indent="0" shrinkToFit="false"/>
      <protection locked="true" hidden="false"/>
    </xf>
    <xf numFmtId="164" fontId="0" fillId="0" borderId="21" xfId="0" applyFont="true" applyBorder="true" applyAlignment="false" applyProtection="false">
      <alignment horizontal="general" vertical="bottom" textRotation="0" wrapText="false" indent="0" shrinkToFit="false"/>
      <protection locked="true" hidden="false"/>
    </xf>
    <xf numFmtId="164" fontId="0" fillId="0" borderId="17" xfId="0" applyFont="false" applyBorder="true" applyAlignment="false" applyProtection="false">
      <alignment horizontal="general" vertical="bottom" textRotation="0" wrapText="false" indent="0" shrinkToFit="false"/>
      <protection locked="true" hidden="false"/>
    </xf>
    <xf numFmtId="166" fontId="0" fillId="4" borderId="4" xfId="0" applyFont="false" applyBorder="true" applyAlignment="false" applyProtection="false">
      <alignment horizontal="general" vertical="bottom" textRotation="0" wrapText="false" indent="0" shrinkToFit="false"/>
      <protection locked="true" hidden="false"/>
    </xf>
    <xf numFmtId="188" fontId="0" fillId="0" borderId="0" xfId="0" applyFont="false" applyBorder="false" applyAlignment="false" applyProtection="false">
      <alignment horizontal="general" vertical="bottom" textRotation="0" wrapText="false" indent="0" shrinkToFit="false"/>
      <protection locked="true" hidden="false"/>
    </xf>
  </cellXfs>
  <cellStyles count="10">
    <cellStyle name="Normal" xfId="0" builtinId="0"/>
    <cellStyle name="Comma" xfId="15" builtinId="3"/>
    <cellStyle name="Comma [0]" xfId="16" builtinId="6"/>
    <cellStyle name="Currency" xfId="17" builtinId="4"/>
    <cellStyle name="Currency [0]" xfId="18" builtinId="7"/>
    <cellStyle name="Percent" xfId="19" builtinId="5"/>
    <cellStyle name="Comma 2" xfId="20"/>
    <cellStyle name="Normal 2" xfId="21"/>
    <cellStyle name="Normal 3" xfId="22"/>
    <cellStyle name="Percent 2" xfId="23"/>
  </cellStyles>
  <dxfs count="116">
    <dxf>
      <fill>
        <patternFill patternType="solid">
          <bgColor rgb="FF000000"/>
        </patternFill>
      </fill>
    </dxf>
    <dxf>
      <fill>
        <patternFill patternType="solid">
          <fgColor rgb="FF953735"/>
          <bgColor rgb="FF000000"/>
        </patternFill>
      </fill>
    </dxf>
    <dxf>
      <fill>
        <patternFill patternType="solid">
          <fgColor rgb="FFD9D9D9"/>
          <bgColor rgb="FF000000"/>
        </patternFill>
      </fill>
    </dxf>
    <dxf>
      <fill>
        <patternFill patternType="solid">
          <fgColor rgb="FFF2F2F2"/>
          <bgColor rgb="FF000000"/>
        </patternFill>
      </fill>
    </dxf>
    <dxf>
      <fill>
        <patternFill patternType="solid">
          <fgColor rgb="FFFFFFFF"/>
          <bgColor rgb="FF000000"/>
        </patternFill>
      </fill>
    </dxf>
    <dxf>
      <font>
        <color rgb="FFFFFFFF"/>
      </font>
    </dxf>
    <dxf>
      <font>
        <color rgb="00FFFFFF"/>
      </font>
    </dxf>
    <dxf>
      <font>
        <b val="1"/>
        <i val="1"/>
        <strike val="0"/>
        <color rgb="FFFFFF00"/>
      </font>
      <fill>
        <patternFill>
          <bgColor rgb="FFFF0000"/>
        </patternFill>
      </fill>
    </dxf>
    <dxf>
      <font>
        <b val="1"/>
        <i val="0"/>
        <color rgb="FFFF0000"/>
      </font>
      <fill>
        <patternFill>
          <bgColor rgb="FFFFFF00"/>
        </patternFill>
      </fill>
    </dxf>
    <dxf>
      <font>
        <color rgb="FFF2F2F2"/>
      </font>
    </dxf>
    <dxf>
      <font>
        <color rgb="FFD9D9D9"/>
      </font>
    </dxf>
    <dxf>
      <fill>
        <patternFill patternType="solid">
          <fgColor rgb="FF00FF00"/>
          <bgColor rgb="FF000000"/>
        </patternFill>
      </fill>
    </dxf>
    <dxf>
      <fill>
        <patternFill patternType="solid">
          <fgColor rgb="FFA6A6A6"/>
          <bgColor rgb="FF000000"/>
        </patternFill>
      </fill>
    </dxf>
    <dxf>
      <fill>
        <patternFill patternType="solid">
          <fgColor rgb="FFBFBFBF"/>
          <bgColor rgb="FF000000"/>
        </patternFill>
      </fill>
    </dxf>
    <dxf>
      <fill>
        <patternFill patternType="solid">
          <fgColor rgb="FF000000"/>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ill>
        <patternFill>
          <bgColor rgb="FFFF8080"/>
        </patternFill>
      </fill>
    </dxf>
    <dxf>
      <fill>
        <patternFill>
          <bgColor rgb="FFFF8080"/>
        </patternFill>
      </fill>
    </dxf>
    <dxf>
      <fill>
        <patternFill patternType="solid">
          <fgColor rgb="FFC6D9F1"/>
          <bgColor rgb="FF000000"/>
        </patternFill>
      </fill>
    </dxf>
    <dxf>
      <fill>
        <patternFill patternType="solid">
          <fgColor rgb="FFFFCC99"/>
          <bgColor rgb="FF00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3" tint="0.7999"/>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FF8080"/>
        </patternFill>
      </fill>
    </dxf>
    <dxf>
      <font>
        <b val="1"/>
        <i val="0"/>
        <color rgb="FFFFFFFF"/>
      </font>
      <fill>
        <patternFill>
          <bgColor rgb="FFFF0000"/>
        </patternFill>
      </fill>
    </dxf>
    <dxf>
      <fill>
        <patternFill>
          <bgColor rgb="FFFF8080"/>
        </patternFill>
      </fill>
    </dxf>
    <dxf>
      <fill>
        <patternFill patternType="solid">
          <fgColor rgb="FFD7E4BD"/>
          <bgColor rgb="FF000000"/>
        </patternFill>
      </fill>
    </dxf>
    <dxf>
      <fill>
        <patternFill patternType="solid">
          <fgColor rgb="FF00B050"/>
          <bgColor rgb="FF000000"/>
        </patternFill>
      </fill>
    </dxf>
    <dxf>
      <fill>
        <patternFill patternType="solid">
          <fgColor rgb="FFC0C0C0"/>
          <bgColor rgb="FF000000"/>
        </patternFill>
      </fill>
    </dxf>
    <dxf>
      <fill>
        <patternFill patternType="solid">
          <fgColor rgb="FFA83800"/>
          <bgColor rgb="FF000000"/>
        </patternFill>
      </fill>
    </dxf>
    <dxf>
      <fill>
        <patternFill patternType="solid">
          <fgColor rgb="FF008080"/>
          <bgColor rgb="FF000000"/>
        </patternFill>
      </fill>
    </dxf>
    <dxf>
      <fill>
        <patternFill patternType="solid">
          <fgColor rgb="FFB3A2C7"/>
          <bgColor rgb="FF000000"/>
        </patternFill>
      </fill>
    </dxf>
    <dxf>
      <fill>
        <patternFill patternType="solid">
          <fgColor rgb="FF00B0F0"/>
          <bgColor rgb="FF000000"/>
        </patternFill>
      </fill>
    </dxf>
    <dxf>
      <fill>
        <patternFill patternType="solid">
          <fgColor rgb="FFFFFF99"/>
          <bgColor rgb="FF000000"/>
        </patternFill>
      </fill>
    </dxf>
    <dxf>
      <fill>
        <patternFill patternType="solid">
          <fgColor rgb="FFC3D69B"/>
          <bgColor rgb="FF000000"/>
        </patternFill>
      </fill>
    </dxf>
    <dxf>
      <fill>
        <patternFill patternType="solid">
          <fgColor rgb="FFFFC000"/>
          <bgColor rgb="FF000000"/>
        </patternFill>
      </fill>
    </dxf>
    <dxf>
      <fill>
        <patternFill patternType="solid">
          <fgColor rgb="FF948A54"/>
          <bgColor rgb="FF00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0" tint="-0.35"/>
        </patternFill>
      </fill>
      <border diagonalUp="false" diagonalDown="false">
        <left/>
        <right/>
        <top/>
        <bottom style="thin"/>
        <diagonal/>
      </border>
    </dxf>
    <dxf>
      <fill>
        <patternFill>
          <bgColor rgb="FFFF0000"/>
        </patternFill>
      </fill>
    </dxf>
    <dxf>
      <fill>
        <patternFill>
          <bgColor rgb="FFFF0000"/>
        </patternFill>
      </fill>
    </dxf>
    <dxf>
      <fill>
        <patternFill>
          <bgColor rgb="FFFF0000"/>
        </patternFill>
      </fill>
    </dxf>
    <dxf>
      <font>
        <b val="1"/>
        <i val="0"/>
        <color rgb="FFFFFFFF"/>
      </font>
      <fill>
        <patternFill>
          <bgColor rgb="FFFF0000"/>
        </patternFill>
      </fill>
    </dxf>
    <dxf>
      <fill>
        <patternFill>
          <bgColor rgb="FFFF8080"/>
        </patternFill>
      </fill>
    </dxf>
    <dxf>
      <fill>
        <patternFill>
          <bgColor rgb="FFFF0000"/>
        </patternFill>
      </fill>
    </dxf>
    <dxf>
      <fill>
        <patternFill>
          <bgColor rgb="FFFF0000"/>
        </patternFill>
      </fill>
    </dxf>
    <dxf>
      <fill>
        <patternFill>
          <bgColor rgb="FFFF8080"/>
        </patternFill>
      </fill>
    </dxf>
    <dxf>
      <fill>
        <patternFill patternType="solid">
          <fgColor rgb="FFDDD9C3"/>
          <bgColor rgb="FF000000"/>
        </patternFill>
      </fill>
    </dxf>
    <dxf>
      <fill>
        <patternFill patternType="solid">
          <fgColor rgb="FFFFFF00"/>
          <bgColor rgb="FF000000"/>
        </patternFill>
      </fill>
    </dxf>
    <dxf>
      <fill>
        <patternFill patternType="solid">
          <fgColor rgb="FF99CC00"/>
          <bgColor rgb="FF00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0" tint="-0.35"/>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ill>
        <patternFill>
          <bgColor rgb="FFFF8080"/>
        </patternFill>
      </fill>
    </dxf>
    <dxf>
      <font>
        <b val="0"/>
        <i val="0"/>
        <color rgb="FFFF0000"/>
      </font>
      <fill>
        <patternFill/>
      </fill>
    </dxf>
    <dxf>
      <font>
        <color rgb="FF99CC00"/>
      </font>
    </dxf>
    <dxf>
      <fill>
        <patternFill>
          <bgColor rgb="FFFF808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rgb="FFA6A6A6"/>
        </patternFill>
      </fill>
      <border diagonalUp="false" diagonalDown="false">
        <left/>
        <right/>
        <top/>
        <bottom style="thin"/>
        <diagonal/>
      </border>
    </dxf>
    <dxf>
      <font>
        <color rgb="FFFFFFFF"/>
      </font>
      <fill>
        <patternFill>
          <bgColor rgb="FFFF0000"/>
        </patternFill>
      </fill>
    </dxf>
    <dxf>
      <font>
        <color rgb="FF00FF00"/>
      </font>
    </dxf>
    <dxf>
      <font>
        <b val="1"/>
        <i val="0"/>
        <color rgb="FFFFFFFF"/>
      </font>
      <fill>
        <patternFill>
          <bgColor rgb="FFFF0000"/>
        </patternFill>
      </fill>
    </dxf>
    <dxf>
      <fill>
        <patternFill>
          <bgColor rgb="FFFF8080"/>
        </patternFill>
      </fill>
    </dxf>
    <dxf>
      <fill>
        <patternFill>
          <bgColor rgb="FFFF8080"/>
        </patternFill>
      </fill>
    </dxf>
    <dxf>
      <fill>
        <patternFill patternType="solid">
          <fgColor rgb="FFE6B9B8"/>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ont>
        <b val="1"/>
        <i val="0"/>
        <color rgb="FFFFFFFF"/>
      </font>
      <fill>
        <patternFill>
          <bgColor rgb="FFFF0000"/>
        </patternFill>
      </fill>
    </dxf>
    <dxf>
      <fill>
        <patternFill>
          <bgColor rgb="FFFF8080"/>
        </patternFill>
      </fill>
    </dxf>
    <dxf>
      <fill>
        <patternFill>
          <bgColor theme="5" tint="0.5999"/>
        </patternFill>
      </fill>
    </dxf>
    <dxf>
      <fill>
        <patternFill>
          <bgColor rgb="FFFF8080"/>
        </patternFill>
      </fill>
    </dxf>
    <dxf>
      <fill>
        <patternFill patternType="solid">
          <fgColor rgb="FFFAC090"/>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rgb="FFA6A6A6"/>
        </patternFill>
      </fill>
      <border diagonalUp="false" diagonalDown="false">
        <left/>
        <right/>
        <top/>
        <bottom style="thin"/>
        <diagonal/>
      </border>
    </dxf>
    <dxf>
      <fill>
        <patternFill>
          <bgColor theme="9" tint="0.3999"/>
        </patternFill>
      </fill>
    </dxf>
    <dxf>
      <fill>
        <patternFill>
          <bgColor rgb="FFFF8080"/>
        </patternFill>
      </fill>
    </dxf>
    <dxf>
      <font>
        <b val="1"/>
        <i val="0"/>
        <color rgb="FFFFFFFF"/>
      </font>
      <fill>
        <patternFill>
          <bgColor rgb="FFFF0000"/>
        </patternFill>
      </fill>
    </dxf>
    <dxf>
      <fill>
        <patternFill>
          <bgColor rgb="FFFF808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theme="0" tint="-0.25"/>
        </patternFill>
      </fill>
      <border diagonalUp="false" diagonalDown="false">
        <left/>
        <right/>
        <top/>
        <bottom style="thin"/>
        <diagonal/>
      </border>
    </dxf>
    <dxf>
      <fill>
        <patternFill>
          <bgColor rgb="FFFF8080"/>
        </patternFill>
      </fill>
    </dxf>
    <dxf>
      <font>
        <b val="1"/>
        <i val="0"/>
        <color rgb="FFFFFFFF"/>
      </font>
      <fill>
        <patternFill>
          <bgColor rgb="FFFF0000"/>
        </patternFill>
      </fill>
    </dxf>
    <dxf>
      <fill>
        <patternFill>
          <bgColor rgb="FFFF8080"/>
        </patternFill>
      </fill>
    </dxf>
    <dxf>
      <font>
        <b val="0"/>
        <i val="0"/>
        <color rgb="00FFFFFF"/>
      </font>
      <fill>
        <patternFill>
          <bgColor rgb="FFFF8080"/>
        </patternFill>
      </fill>
    </dxf>
    <dxf>
      <font>
        <b val="0"/>
        <i val="0"/>
        <color rgb="FFFF0000"/>
      </font>
      <fill>
        <patternFill>
          <bgColor rgb="FFFF0000"/>
        </patternFill>
      </fill>
    </dxf>
    <dxf>
      <font>
        <color rgb="FFFFFFFF"/>
      </font>
    </dxf>
    <dxf>
      <font>
        <color rgb="FF00FF00"/>
      </font>
    </dxf>
    <dxf>
      <fill>
        <patternFill>
          <bgColor rgb="FFFF8080"/>
        </patternFill>
      </fill>
    </dxf>
    <dxf>
      <fill>
        <patternFill>
          <bgColor rgb="FFFF0000"/>
        </patternFill>
      </fill>
    </dxf>
  </dxfs>
  <colors>
    <indexedColors>
      <rgbColor rgb="FF000000"/>
      <rgbColor rgb="FFFFFFFF"/>
      <rgbColor rgb="FFFF0000"/>
      <rgbColor rgb="FF00FF00"/>
      <rgbColor rgb="FF0000FF"/>
      <rgbColor rgb="FFFFFF00"/>
      <rgbColor rgb="FFFF00FF"/>
      <rgbColor rgb="FFDDD9C3"/>
      <rgbColor rgb="FFC00000"/>
      <rgbColor rgb="FF008000"/>
      <rgbColor rgb="FF000080"/>
      <rgbColor rgb="FF948A54"/>
      <rgbColor rgb="FF800080"/>
      <rgbColor rgb="FF008080"/>
      <rgbColor rgb="FFC0C0C0"/>
      <rgbColor rgb="FF808080"/>
      <rgbColor rgb="FFE6B9B8"/>
      <rgbColor rgb="FF953735"/>
      <rgbColor rgb="FFF2F2F2"/>
      <rgbColor rgb="FFD7E4BD"/>
      <rgbColor rgb="FF660066"/>
      <rgbColor rgb="FFFF8080"/>
      <rgbColor rgb="FF0070C0"/>
      <rgbColor rgb="FFC6D9F1"/>
      <rgbColor rgb="FF000080"/>
      <rgbColor rgb="FFFF00FF"/>
      <rgbColor rgb="FFC3D69B"/>
      <rgbColor rgb="FF00FFFF"/>
      <rgbColor rgb="FF800080"/>
      <rgbColor rgb="FF800000"/>
      <rgbColor rgb="FF00B050"/>
      <rgbColor rgb="FF0000FF"/>
      <rgbColor rgb="FF00CCFF"/>
      <rgbColor rgb="FFD9D9D9"/>
      <rgbColor rgb="FFCCFFCC"/>
      <rgbColor rgb="FFFFFF99"/>
      <rgbColor rgb="FFBFBFBF"/>
      <rgbColor rgb="FFFF99CC"/>
      <rgbColor rgb="FFB3A2C7"/>
      <rgbColor rgb="FFFFCC99"/>
      <rgbColor rgb="FF3366FF"/>
      <rgbColor rgb="FF00B0F0"/>
      <rgbColor rgb="FF99CC00"/>
      <rgbColor rgb="FFFFC000"/>
      <rgbColor rgb="FFFAC090"/>
      <rgbColor rgb="FFE46C0A"/>
      <rgbColor rgb="FF558ED5"/>
      <rgbColor rgb="FFA6A6A6"/>
      <rgbColor rgb="FF4F6228"/>
      <rgbColor rgb="FF31859C"/>
      <rgbColor rgb="FF0D0D0D"/>
      <rgbColor rgb="FF404040"/>
      <rgbColor rgb="FF993300"/>
      <rgbColor rgb="FFA83800"/>
      <rgbColor rgb="FF552583"/>
      <rgbColor rgb="FF262626"/>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7.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6" descr="Clear sim" hidden="0"/>
            <xdr:cNvSpPr/>
          </xdr:nvSpPr>
          <xdr:spPr>
            <a:xfrm>
              <a:off x="0" y="0"/>
              <a:ext cx="0" cy="0"/>
            </a:xfrm>
            <a:prstGeom prst="rect">
              <a:avLst/>
            </a:prstGeom>
          </xdr:spPr>
          <xdr:txBody>
            <a:bodyPr anchor="ctr">
              <a:noAutofit/>
            </a:bodyPr>
            <a:p>
              <a:r>
                <a:t>Clear sim</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19080</xdr:colOff>
      <xdr:row>82</xdr:row>
      <xdr:rowOff>88200</xdr:rowOff>
    </xdr:from>
    <xdr:to>
      <xdr:col>9</xdr:col>
      <xdr:colOff>55080</xdr:colOff>
      <xdr:row>125</xdr:row>
      <xdr:rowOff>33480</xdr:rowOff>
    </xdr:to>
    <xdr:pic>
      <xdr:nvPicPr>
        <xdr:cNvPr id="0" name="Picture 1" descr=""/>
        <xdr:cNvPicPr/>
      </xdr:nvPicPr>
      <xdr:blipFill>
        <a:blip r:embed="rId1"/>
        <a:stretch/>
      </xdr:blipFill>
      <xdr:spPr>
        <a:xfrm>
          <a:off x="3914640" y="13661280"/>
          <a:ext cx="7174800" cy="690804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156960</xdr:colOff>
      <xdr:row>0</xdr:row>
      <xdr:rowOff>100800</xdr:rowOff>
    </xdr:from>
    <xdr:to>
      <xdr:col>12</xdr:col>
      <xdr:colOff>686160</xdr:colOff>
      <xdr:row>22</xdr:row>
      <xdr:rowOff>34560</xdr:rowOff>
    </xdr:to>
    <xdr:sp>
      <xdr:nvSpPr>
        <xdr:cNvPr id="1" name="bork"/>
        <xdr:cNvSpPr/>
      </xdr:nvSpPr>
      <xdr:spPr>
        <a:xfrm>
          <a:off x="156960" y="100800"/>
          <a:ext cx="9711360" cy="3495960"/>
        </a:xfrm>
        <a:prstGeom prst="rect">
          <a:avLst/>
        </a:prstGeom>
        <a:solidFill>
          <a:srgbClr val="92d050"/>
        </a:solidFill>
        <a:ln w="0">
          <a:noFill/>
        </a:ln>
      </xdr:spPr>
      <xdr:style>
        <a:lnRef idx="0"/>
        <a:fillRef idx="0"/>
        <a:effectRef idx="0"/>
        <a:fontRef idx="minor"/>
      </xdr:style>
    </xdr:sp>
    <xdr:clientData/>
  </xdr:twoCellAnchor>
  <xdr:twoCellAnchor editAs="oneCell">
    <xdr:from>
      <xdr:col>0</xdr:col>
      <xdr:colOff>179280</xdr:colOff>
      <xdr:row>24</xdr:row>
      <xdr:rowOff>67320</xdr:rowOff>
    </xdr:from>
    <xdr:to>
      <xdr:col>6</xdr:col>
      <xdr:colOff>282960</xdr:colOff>
      <xdr:row>65</xdr:row>
      <xdr:rowOff>73440</xdr:rowOff>
    </xdr:to>
    <xdr:sp>
      <xdr:nvSpPr>
        <xdr:cNvPr id="2" name="bork2"/>
        <xdr:cNvSpPr/>
      </xdr:nvSpPr>
      <xdr:spPr>
        <a:xfrm>
          <a:off x="179280" y="3953520"/>
          <a:ext cx="4694760" cy="6644880"/>
        </a:xfrm>
        <a:prstGeom prst="rect">
          <a:avLst/>
        </a:prstGeom>
        <a:solidFill>
          <a:srgbClr val="92d050"/>
        </a:solidFill>
        <a:ln w="0">
          <a:noFill/>
        </a:ln>
      </xdr:spPr>
      <xdr:style>
        <a:lnRef idx="0"/>
        <a:fillRef idx="0"/>
        <a:effectRef idx="0"/>
        <a:fontRef idx="minor"/>
      </xdr:style>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Generate Log" hidden="0"/>
            <xdr:cNvSpPr/>
          </xdr:nvSpPr>
          <xdr:spPr>
            <a:xfrm>
              <a:off x="0" y="0"/>
              <a:ext cx="0" cy="0"/>
            </a:xfrm>
            <a:prstGeom prst="rect">
              <a:avLst/>
            </a:prstGeom>
          </xdr:spPr>
          <xdr:txBody>
            <a:bodyPr anchor="ctr">
              <a:noAutofit/>
            </a:bodyPr>
            <a:p>
              <a:r>
                <a:t>Generate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3" descr="Copy Log&#10;Copy Log" hidden="0"/>
            <xdr:cNvSpPr/>
          </xdr:nvSpPr>
          <xdr:spPr>
            <a:xfrm>
              <a:off x="0" y="0"/>
              <a:ext cx="0" cy="0"/>
            </a:xfrm>
            <a:prstGeom prst="rect">
              <a:avLst/>
            </a:prstGeom>
          </xdr:spPr>
          <xdr:txBody>
            <a:bodyPr anchor="ctr">
              <a:noAutofit/>
            </a:bodyPr>
            <a:p>
              <a:r>
                <a:t>Copy Log
Copy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4" descr="Clear Log" hidden="0"/>
            <xdr:cNvSpPr/>
          </xdr:nvSpPr>
          <xdr:spPr>
            <a:xfrm>
              <a:off x="0" y="0"/>
              <a:ext cx="0" cy="0"/>
            </a:xfrm>
            <a:prstGeom prst="rect">
              <a:avLst/>
            </a:prstGeom>
          </xdr:spPr>
          <xdr:txBody>
            <a:bodyPr anchor="ctr">
              <a:noAutofit/>
            </a:bodyPr>
            <a:p>
              <a:r>
                <a:t>Clear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5" descr="TODO Current HR" hidden="0"/>
            <xdr:cNvSpPr/>
          </xdr:nvSpPr>
          <xdr:spPr>
            <a:xfrm>
              <a:off x="0" y="0"/>
              <a:ext cx="0" cy="0"/>
            </a:xfrm>
            <a:prstGeom prst="rect">
              <a:avLst/>
            </a:prstGeom>
          </xdr:spPr>
          <xdr:txBody>
            <a:bodyPr anchor="ctr">
              <a:noAutofit/>
            </a:bodyPr>
            <a:p>
              <a:r>
                <a:t>TODO Current HR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25" descr="Generate Stats" hidden="0"/>
            <xdr:cNvSpPr/>
          </xdr:nvSpPr>
          <xdr:spPr>
            <a:xfrm>
              <a:off x="0" y="0"/>
              <a:ext cx="0" cy="0"/>
            </a:xfrm>
            <a:prstGeom prst="rect">
              <a:avLst/>
            </a:prstGeom>
          </xdr:spPr>
          <xdr:txBody>
            <a:bodyPr anchor="ctr">
              <a:noAutofit/>
            </a:bodyPr>
            <a:p>
              <a:r>
                <a:t>Generate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26" descr="Copy Stats" hidden="0"/>
            <xdr:cNvSpPr/>
          </xdr:nvSpPr>
          <xdr:spPr>
            <a:xfrm>
              <a:off x="0" y="0"/>
              <a:ext cx="0" cy="0"/>
            </a:xfrm>
            <a:prstGeom prst="rect">
              <a:avLst/>
            </a:prstGeom>
          </xdr:spPr>
          <xdr:txBody>
            <a:bodyPr anchor="ctr">
              <a:noAutofit/>
            </a:bodyPr>
            <a:p>
              <a:r>
                <a:t>Copy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27" descr="Clear Stats" hidden="0"/>
            <xdr:cNvSpPr/>
          </xdr:nvSpPr>
          <xdr:spPr>
            <a:xfrm>
              <a:off x="0" y="0"/>
              <a:ext cx="0" cy="0"/>
            </a:xfrm>
            <a:prstGeom prst="rect">
              <a:avLst/>
            </a:prstGeom>
          </xdr:spPr>
          <xdr:txBody>
            <a:bodyPr anchor="ctr">
              <a:noAutofit/>
            </a:bodyPr>
            <a:p>
              <a:r>
                <a:t>Clear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35" descr="Advance Tick" hidden="0"/>
            <xdr:cNvSpPr/>
          </xdr:nvSpPr>
          <xdr:spPr>
            <a:xfrm>
              <a:off x="0" y="0"/>
              <a:ext cx="0" cy="0"/>
            </a:xfrm>
            <a:prstGeom prst="rect">
              <a:avLst/>
            </a:prstGeom>
          </xdr:spPr>
          <xdr:txBody>
            <a:bodyPr anchor="ctr">
              <a:noAutofit/>
            </a:bodyPr>
            <a:p>
              <a:r>
                <a:t>Advance Tick</a:t>
              </a:r>
            </a:p>
          </xdr:txBody>
        </xdr:sp>
        <xdr:clientData/>
      </xdr:twoCellAnchor>
    </mc:Choice>
  </mc:AlternateContent>
</xdr:wsDr>
</file>

<file path=xl/tables/table1.xml><?xml version="1.0" encoding="utf-8"?>
<table xmlns="http://schemas.openxmlformats.org/spreadsheetml/2006/main" id="1" name="Table13" displayName="Table13" ref="A34:I43" headerRowCount="1" totalsRowCount="0" totalsRowShown="0">
  <autoFilter ref="A34:I4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Military"/>
    <tableColumn id="2" name=" "/>
    <tableColumn id="3" name="Offense"/>
    <tableColumn id="4" name="Bonus"/>
    <tableColumn id="5" name="OP Mod"/>
    <tableColumn id="6" name="Defense"/>
    <tableColumn id="7" name="DP Bonus"/>
    <tableColumn id="8" name="DP Mod"/>
    <tableColumn id="9" name="."/>
  </tableColumns>
</table>
</file>

<file path=xl/tables/table2.xml><?xml version="1.0" encoding="utf-8"?>
<table xmlns="http://schemas.openxmlformats.org/spreadsheetml/2006/main" id="2" name="Table16" displayName="Table16" ref="H47:J51" headerRowCount="1" totalsRowCount="0" totalsRowShown="0">
  <autoFilter ref="H47:J51">
    <filterColumn colId="0" hiddenButton="1"/>
    <filterColumn colId="1" hiddenButton="1"/>
    <filterColumn colId="2" hiddenButton="1"/>
  </autoFilter>
  <tableColumns count="3">
    <tableColumn id="1" name="Type"/>
    <tableColumn id="2" name="Raw"/>
    <tableColumn id="3" name="Modded"/>
  </tableColumns>
</table>
</file>

<file path=xl/tables/table3.xml><?xml version="1.0" encoding="utf-8"?>
<table xmlns="http://schemas.openxmlformats.org/spreadsheetml/2006/main" id="3" name="Table17" displayName="Table17" ref="H54:J57" headerRowCount="1" totalsRowCount="0" totalsRowShown="0">
  <autoFilter ref="H54:J57">
    <filterColumn colId="0" hiddenButton="1"/>
    <filterColumn colId="1" hiddenButton="1"/>
    <filterColumn colId="2" hiddenButton="1"/>
  </autoFilter>
  <tableColumns count="3">
    <tableColumn id="1" name="Hour"/>
    <tableColumn id="2" name="Amount"/>
    <tableColumn id="3" name="Without Training"/>
  </tableColumns>
</table>
</file>

<file path=xl/tables/table4.xml><?xml version="1.0" encoding="utf-8"?>
<table xmlns="http://schemas.openxmlformats.org/spreadsheetml/2006/main" id="4" name="Table18" displayName="Table18" ref="H60:J66" headerRowCount="1" totalsRowCount="1" totalsRowShown="1">
  <autoFilter ref="H60:J66">
    <filterColumn colId="0" hiddenButton="1"/>
    <filterColumn colId="1" hiddenButton="1"/>
    <filterColumn colId="2" hiddenButton="1"/>
  </autoFilter>
  <tableColumns count="3">
    <tableColumn id="1" name="Category"/>
    <tableColumn id="2" name="Amount" totalsRowFunction="sum"/>
    <tableColumn id="3" name="Relative" totalsRowFunction="custom"/>
  </tableColumns>
</table>
</file>

<file path=xl/tables/table5.xml><?xml version="1.0" encoding="utf-8"?>
<table xmlns="http://schemas.openxmlformats.org/spreadsheetml/2006/main" id="5" name="Table19" displayName="Table19" ref="D46:F69" headerRowCount="1" totalsRowCount="0" totalsRowShown="0">
  <autoFilter ref="D46:F69">
    <filterColumn colId="0" hiddenButton="1"/>
    <filterColumn colId="1" hiddenButton="1"/>
    <filterColumn colId="2" hiddenButton="1"/>
  </autoFilter>
  <tableColumns count="3">
    <tableColumn id="1" name="Acres"/>
    <tableColumn id="2" name=" "/>
    <tableColumn id="3" name="   "/>
  </tableColumns>
</table>
</file>

<file path=xl/tables/table6.xml><?xml version="1.0" encoding="utf-8"?>
<table xmlns="http://schemas.openxmlformats.org/spreadsheetml/2006/main" id="6" name="Table2" displayName="Table2" ref="D94:D100" headerRowCount="1" totalsRowCount="0" totalsRowShown="0">
  <autoFilter ref="D94:D100"/>
  <tableColumns count="1">
    <tableColumn id="1" name="waves:"/>
  </tableColumns>
</table>
</file>

<file path=xl/tables/table7.xml><?xml version="1.0" encoding="utf-8"?>
<table xmlns="http://schemas.openxmlformats.org/spreadsheetml/2006/main" id="7" name="Table21" displayName="Table21" ref="D14:E18" headerRowCount="1" totalsRowCount="0" totalsRowShown="0">
  <autoFilter ref="D14:E18">
    <filterColumn colId="0" hiddenButton="1"/>
    <filterColumn colId="1" hiddenButton="1"/>
  </autoFilter>
  <tableColumns count="2">
    <tableColumn id="1" name="Date&amp;Time"/>
    <tableColumn id="2" name="."/>
  </tableColumns>
</table>
</file>

<file path=xl/tables/table8.xml><?xml version="1.0" encoding="utf-8"?>
<table xmlns="http://schemas.openxmlformats.org/spreadsheetml/2006/main" id="8" name="Table4" displayName="Table4" ref="H14:I32" headerRowCount="1" totalsRowCount="0" totalsRowShown="0">
  <autoFilter ref="H14:I32">
    <filterColumn colId="0" hiddenButton="1"/>
    <filterColumn colId="1" hiddenButton="1"/>
  </autoFilter>
  <tableColumns count="2">
    <tableColumn id="1" name="Race Bonuses"/>
    <tableColumn id="2" name="Bonus"/>
  </tableColumns>
</table>
</file>

<file path=xl/tables/table9.xml><?xml version="1.0" encoding="utf-8"?>
<table xmlns="http://schemas.openxmlformats.org/spreadsheetml/2006/main" id="9" name="TblConstr" displayName="TblConstr" ref="A3:DJ136" headerRowCount="1" totalsRowCount="0" totalsRowShown="0">
  <autoFilter ref="A3:DJ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 name="Hour"/>
    <tableColumn id="2" name="Barren"/>
    <tableColumn id="3" name="Buildings"/>
    <tableColumn id="4" name="Incoming"/>
    <tableColumn id="5" name="."/>
    <tableColumn id="6" name="Land"/>
    <tableColumn id="7" name="Plain"/>
    <tableColumn id="8" name="Forest"/>
    <tableColumn id="9" name="Mountain"/>
    <tableColumn id="10" name="Hill"/>
    <tableColumn id="11" name="Swamp"/>
    <tableColumn id="12" name="Cavern"/>
    <tableColumn id="13" name="Water"/>
    <tableColumn id="14" name="Hour  "/>
    <tableColumn id="15" name="Hom"/>
    <tableColumn id="16" name="Alc"/>
    <tableColumn id="17" name="Far"/>
    <tableColumn id="18" name="Smi"/>
    <tableColumn id="19" name="Mas"/>
    <tableColumn id="20" name="Ly"/>
    <tableColumn id="21" name="Hav"/>
    <tableColumn id="22" name="OM"/>
    <tableColumn id="23" name="GN"/>
    <tableColumn id="24" name="Fac"/>
    <tableColumn id="25" name="GT"/>
    <tableColumn id="26" name="Bar"/>
    <tableColumn id="27" name="Shr"/>
    <tableColumn id="28" name="Tow"/>
    <tableColumn id="29" name="Tem"/>
    <tableColumn id="30" name="WG"/>
    <tableColumn id="31" name="DM"/>
    <tableColumn id="32" name="Sch"/>
    <tableColumn id="33" name="Doc"/>
    <tableColumn id="34" name="time"/>
    <tableColumn id="35" name="Facs -DB"/>
    <tableColumn id="36" name="Facs DB"/>
    <tableColumn id="37" name="Platinum"/>
    <tableColumn id="38" name="Lumber"/>
    <tableColumn id="39" name="CPA Platinum -DB"/>
    <tableColumn id="40" name="CPA Lumber -DB"/>
    <tableColumn id="41" name="CPA Platinum DB"/>
    <tableColumn id="42" name="CPA Lumber DB"/>
    <tableColumn id="43" name="Total Plat Cost"/>
    <tableColumn id="44" name="Total Lum Cost"/>
    <tableColumn id="45" name="build -db"/>
    <tableColumn id="46" name="build db"/>
    <tableColumn id="47" name=".."/>
    <tableColumn id="48" name="RCPA Platinum "/>
    <tableColumn id="49" name="RCPA Lumber"/>
    <tableColumn id="50" name="…"/>
    <tableColumn id="51" name="Tot Hom"/>
    <tableColumn id="52" name="Tot Alc"/>
    <tableColumn id="53" name="Tot Farm"/>
    <tableColumn id="54" name="Tot Smi"/>
    <tableColumn id="55" name="Tot Mas"/>
    <tableColumn id="56" name="Tot Ly"/>
    <tableColumn id="57" name="Tot Hav"/>
    <tableColumn id="58" name="Tot OM"/>
    <tableColumn id="59" name="Tot GN"/>
    <tableColumn id="60" name="Tot Fac"/>
    <tableColumn id="61" name="Tot GT"/>
    <tableColumn id="62" name="Tot Bar"/>
    <tableColumn id="63" name="Tot Shr"/>
    <tableColumn id="64" name="Tot Tow"/>
    <tableColumn id="65" name="Tot Tem"/>
    <tableColumn id="66" name="Tot WG"/>
    <tableColumn id="67" name="Tot DM"/>
    <tableColumn id="68" name="Tot Sch"/>
    <tableColumn id="69" name="Tot Doc"/>
    <tableColumn id="70" name="…."/>
    <tableColumn id="71" name="….."/>
    <tableColumn id="72" name="Land (2)"/>
    <tableColumn id="73" name="Time (2)"/>
    <tableColumn id="74" name="…..."/>
    <tableColumn id="75" name="Dest Hom"/>
    <tableColumn id="76" name="Dest Alc"/>
    <tableColumn id="77" name="Dest Farm"/>
    <tableColumn id="78" name="Dest Smi"/>
    <tableColumn id="79" name="Dest Mas"/>
    <tableColumn id="80" name="Dest Ly"/>
    <tableColumn id="81" name="Dest Hav"/>
    <tableColumn id="82" name="Dest OM"/>
    <tableColumn id="83" name="Dest GN"/>
    <tableColumn id="84" name="Dest Fac"/>
    <tableColumn id="85" name="Dest GT"/>
    <tableColumn id="86" name="Dest Bar"/>
    <tableColumn id="87" name="Dest Shr"/>
    <tableColumn id="88" name="Dest Tow"/>
    <tableColumn id="89" name="Dest Tem"/>
    <tableColumn id="90" name="Dest WG"/>
    <tableColumn id="91" name="Dest DM"/>
    <tableColumn id="92" name="Dest Sch"/>
    <tableColumn id="93" name="Dest Doc"/>
    <tableColumn id="94" name="…...."/>
    <tableColumn id="95" name="Ch_Plain"/>
    <tableColumn id="96" name="Ch_Forest"/>
    <tableColumn id="97" name="Ch_Mountain"/>
    <tableColumn id="98" name="Ch_Hill"/>
    <tableColumn id="99" name="Ch_Swamp"/>
    <tableColumn id="100" name="Ch_Cavern"/>
    <tableColumn id="101" name="Ch_Water"/>
    <tableColumn id="102" name="Home Land"/>
    <tableColumn id="103" name="…....."/>
    <tableColumn id="104" name="Total Plain"/>
    <tableColumn id="105" name="Total Forest"/>
    <tableColumn id="106" name="Total Mountain"/>
    <tableColumn id="107" name="Total Hill"/>
    <tableColumn id="108" name="Total Swamp"/>
    <tableColumn id="109" name="Total Cavern"/>
    <tableColumn id="110" name="Total Water"/>
    <tableColumn id="111" name="Homeland"/>
    <tableColumn id="112" name="Homes"/>
    <tableColumn id="113" name="Farms"/>
    <tableColumn id="114" name="Docks" totalsRowFunction="sum"/>
  </tableColumns>
</table>
</file>

<file path=xl/tables/table10.xml><?xml version="1.0" encoding="utf-8"?>
<table xmlns="http://schemas.openxmlformats.org/spreadsheetml/2006/main" id="10" name="TblExplore" displayName="TblExplore" ref="A3:AJ136" headerRowCount="1" totalsRowCount="0" totalsRowShown="0">
  <autoFilter ref="A3:AJ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Hour"/>
    <tableColumn id="2" name="Land"/>
    <tableColumn id="3" name="."/>
    <tableColumn id="4" name="Plains"/>
    <tableColumn id="5" name="Forest"/>
    <tableColumn id="6" name="Mountn"/>
    <tableColumn id="7" name="Hills"/>
    <tableColumn id="8" name="Swamp"/>
    <tableColumn id="9" name="Caverns"/>
    <tableColumn id="10" name="Water"/>
    <tableColumn id="11" name="Column2"/>
    <tableColumn id="12" name="Column3"/>
    <tableColumn id="13" name="Column4"/>
    <tableColumn id="14" name="Smithies"/>
    <tableColumn id="15" name="Employm."/>
    <tableColumn id="16" name="Popul."/>
    <tableColumn id="17" name="Land (2)"/>
    <tableColumn id="18" name="Hour (2)"/>
    <tableColumn id="19" name="Land Bonus"/>
    <tableColumn id="20" name="Plains Explore"/>
    <tableColumn id="21" name="Forest Explore"/>
    <tableColumn id="22" name="Mountain Explore"/>
    <tableColumn id="23" name="Hill Explore"/>
    <tableColumn id="24" name="Swamp Explore"/>
    <tableColumn id="25" name="Cavern Explore"/>
    <tableColumn id="26" name="Water Explore"/>
    <tableColumn id="27" name="Time"/>
    <tableColumn id="28" name="Draftees"/>
    <tableColumn id="29" name="Platinum"/>
    <tableColumn id="30" name=".."/>
    <tableColumn id="31" name="Land-DB"/>
    <tableColumn id="32" name="Plat/acre"/>
    <tableColumn id="33" name="Draftees/acre"/>
    <tableColumn id="34" name="Platinum (2)"/>
    <tableColumn id="35" name="Draftees (2)"/>
    <tableColumn id="36" name="Max Explore"/>
  </tableColumns>
</table>
</file>

<file path=xl/tables/table11.xml><?xml version="1.0" encoding="utf-8"?>
<table xmlns="http://schemas.openxmlformats.org/spreadsheetml/2006/main" id="11" name="TblImps" displayName="TblImps" ref="A3:BZ136" headerRowCount="1" totalsRowCount="0" totalsRowShown="0">
  <autoFilter ref="A3:BZ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name="Land"/>
    <tableColumn id="2" name="."/>
    <tableColumn id="3" name="Platinum"/>
    <tableColumn id="4" name="Lumber"/>
    <tableColumn id="5" name="Ore"/>
    <tableColumn id="6" name="Gems"/>
    <tableColumn id="7" name=".."/>
    <tableColumn id="8" name="Drafees"/>
    <tableColumn id="9" name="Employed"/>
    <tableColumn id="10" name="Population"/>
    <tableColumn id="11" name="Hour"/>
    <tableColumn id="12" name="Time"/>
    <tableColumn id="13" name="Login"/>
    <tableColumn id="14" name="Land (3)"/>
    <tableColumn id="15" name="Resource"/>
    <tableColumn id="16" name="Amount"/>
    <tableColumn id="17" name="Part"/>
    <tableColumn id="18" name="Resource 2"/>
    <tableColumn id="19" name="Amount 2"/>
    <tableColumn id="20" name="Part 2"/>
    <tableColumn id="21" name="Resource 3"/>
    <tableColumn id="22" name="Amount 3"/>
    <tableColumn id="23" name="Part 3"/>
    <tableColumn id="24" name="…"/>
    <tableColumn id="25" name="Science"/>
    <tableColumn id="26" name="Keep"/>
    <tableColumn id="27" name="Towers"/>
    <tableColumn id="28" name="Forges"/>
    <tableColumn id="29" name="Walls"/>
    <tableColumn id="30" name="Irrigation"/>
    <tableColumn id="31" name="…."/>
    <tableColumn id="32" name="Σ Science"/>
    <tableColumn id="33" name="Σ Keep"/>
    <tableColumn id="34" name="Σ Towers"/>
    <tableColumn id="35" name="Σ Forges"/>
    <tableColumn id="36" name="Σ Walls"/>
    <tableColumn id="37" name="Σ Irrigation"/>
    <tableColumn id="38" name="….."/>
    <tableColumn id="39" name="P1"/>
    <tableColumn id="40" name="L1"/>
    <tableColumn id="41" name="O1"/>
    <tableColumn id="42" name="G1"/>
    <tableColumn id="43" name="……"/>
    <tableColumn id="44" name="P2"/>
    <tableColumn id="45" name="L2"/>
    <tableColumn id="46" name="O2"/>
    <tableColumn id="47" name="G2"/>
    <tableColumn id="48" name="…...."/>
    <tableColumn id="49" name="P3"/>
    <tableColumn id="50" name="L3"/>
    <tableColumn id="51" name="O3"/>
    <tableColumn id="52" name="G3"/>
    <tableColumn id="53" name="…....."/>
    <tableColumn id="54" name="P4"/>
    <tableColumn id="55" name="L4"/>
    <tableColumn id="56" name="O4"/>
    <tableColumn id="57" name="G4"/>
    <tableColumn id="58" name="…......"/>
    <tableColumn id="59" name="P5"/>
    <tableColumn id="60" name="L5"/>
    <tableColumn id="61" name="O5"/>
    <tableColumn id="62" name="G5"/>
    <tableColumn id="63" name="…......."/>
    <tableColumn id="64" name="P6"/>
    <tableColumn id="65" name="L6"/>
    <tableColumn id="66" name="O6"/>
    <tableColumn id="67" name="G6"/>
    <tableColumn id="68" name="…........"/>
    <tableColumn id="69" name="P7"/>
    <tableColumn id="70" name="L7"/>
    <tableColumn id="71" name="O7"/>
    <tableColumn id="72" name="G7"/>
    <tableColumn id="73" name="…........2"/>
    <tableColumn id="74" name="algorithm"/>
    <tableColumn id="75" name="Login (2)"/>
    <tableColumn id="76" name="….........."/>
    <tableColumn id="77" name="Real time"/>
    <tableColumn id="78" name="Servertime"/>
  </tableColumns>
</table>
</file>

<file path=xl/tables/table12.xml><?xml version="1.0" encoding="utf-8"?>
<table xmlns="http://schemas.openxmlformats.org/spreadsheetml/2006/main" id="12" name="TblMagic" displayName="TblMagic" ref="A3:AO136" headerRowCount="1" totalsRowCount="0" totalsRowShown="0">
  <autoFilter ref="A3:AO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name="Hour"/>
    <tableColumn id="2" name="Land"/>
    <tableColumn id="3" name="Mana"/>
    <tableColumn id="4" name="Wiz str"/>
    <tableColumn id="5" name="Time"/>
    <tableColumn id="6" name="Pop"/>
    <tableColumn id="7" name="Gaia's Watch"/>
    <tableColumn id="8" name="Mining Strength"/>
    <tableColumn id="9" name="Ares Call"/>
    <tableColumn id="10" name="Midas Touch"/>
    <tableColumn id="11" name="Harmony"/>
    <tableColumn id="12" name="Miner's Sight"/>
    <tableColumn id="13" name="Mechanical Genius"/>
    <tableColumn id="14" name="Frenzy"/>
    <tableColumn id="15" name="Killing Rage / Bloodrage / Crusade"/>
    <tableColumn id="16" name="Gaia's Blessing"/>
    <tableColumn id="17" name="Howling"/>
    <tableColumn id="18" name="Alchemist Frost"/>
    <tableColumn id="19" name="Alchemists Flame"/>
    <tableColumn id="20" name="Nightfall"/>
    <tableColumn id="21" name="Favorable Terrain"/>
    <tableColumn id="22" name="Useless spell"/>
    <tableColumn id="23" name="."/>
    <tableColumn id="24" name="Mana cost"/>
    <tableColumn id="25" name="Wiz str cost"/>
    <tableColumn id="26" name=".."/>
    <tableColumn id="27" name="Active Gaia's Watch"/>
    <tableColumn id="28" name="Active Mining Strength"/>
    <tableColumn id="29" name="Active Ares Call"/>
    <tableColumn id="30" name="Active Midas Touch"/>
    <tableColumn id="31" name="Active Harmony"/>
    <tableColumn id="32" name="Active Miner's Sight"/>
    <tableColumn id="33" name="Active Mechanical Genius"/>
    <tableColumn id="34" name="Active Frenzy"/>
    <tableColumn id="35" name="Active Warsong / Killing Rage / Bloodrage"/>
    <tableColumn id="36" name="Active Gaia's Blessing"/>
    <tableColumn id="37" name="Active Howling"/>
    <tableColumn id="38" name="Active Alch Frost"/>
    <tableColumn id="39" name="Active Alchemists Flame"/>
    <tableColumn id="40" name="Active Nightfall"/>
    <tableColumn id="41" name="Active Favorable Terrain"/>
  </tableColumns>
</table>
</file>

<file path=xl/tables/table13.xml><?xml version="1.0" encoding="utf-8"?>
<table xmlns="http://schemas.openxmlformats.org/spreadsheetml/2006/main" id="13" name="TblMili" displayName="TblMili" ref="A3:DF136" headerRowCount="1" totalsRowCount="0" totalsRowShown="0">
  <autoFilter ref="A3:DF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name="Hour"/>
    <tableColumn id="2" name="Military"/>
    <tableColumn id="3" name="Military%"/>
    <tableColumn id="4" name="."/>
    <tableColumn id="5" name="Unit 1"/>
    <tableColumn id="6" name="Unit 2"/>
    <tableColumn id="7" name="Unit 3"/>
    <tableColumn id="8" name="Unit 4"/>
    <tableColumn id="9" name="Spies"/>
    <tableColumn id="10" name="Archspies"/>
    <tableColumn id="11" name="Wizards"/>
    <tableColumn id="12" name="Archmages"/>
    <tableColumn id="13" name=".."/>
    <tableColumn id="14" name="Networth"/>
    <tableColumn id="15" name="…"/>
    <tableColumn id="16" name="Raw"/>
    <tableColumn id="17" name="Mods_Off"/>
    <tableColumn id="18" name="Modded"/>
    <tableColumn id="19" name="Non Draft"/>
    <tableColumn id="20" name="Draft"/>
    <tableColumn id="21" name="Mods_Def"/>
    <tableColumn id="22" name="Non Draft (mod)"/>
    <tableColumn id="23" name="Draft (mod)"/>
    <tableColumn id="24" name="Land"/>
    <tableColumn id="25" name="Set"/>
    <tableColumn id="26" name="Draftrate"/>
    <tableColumn id="27" name="Draftees"/>
    <tableColumn id="28" name="…."/>
    <tableColumn id="29" name="Smithies"/>
    <tableColumn id="30" name="….."/>
    <tableColumn id="31" name="Hour (2)"/>
    <tableColumn id="32" name="Time"/>
    <tableColumn id="33" name="Train Unit 1"/>
    <tableColumn id="34" name="Train Unit 2"/>
    <tableColumn id="35" name="Train Unit 3"/>
    <tableColumn id="36" name="Train Unit 4"/>
    <tableColumn id="37" name="Train Spies"/>
    <tableColumn id="38" name="Train AS"/>
    <tableColumn id="39" name="Train Wiz"/>
    <tableColumn id="40" name="Train AM"/>
    <tableColumn id="41" name="…..."/>
    <tableColumn id="42" name="Platinum"/>
    <tableColumn id="43" name="Secondary recource"/>
    <tableColumn id="44" name="Plat Cost"/>
    <tableColumn id="45" name="Sec. rec. Cost"/>
    <tableColumn id="46" name="Hour "/>
    <tableColumn id="47" name="Time "/>
    <tableColumn id="48" name="Draftees22"/>
    <tableColumn id="49" name="Release Draft"/>
    <tableColumn id="50" name="Release Unit 1"/>
    <tableColumn id="51" name="Release Unit 2"/>
    <tableColumn id="52" name="Release Unit 3"/>
    <tableColumn id="53" name="Release Unit 4"/>
    <tableColumn id="54" name="Release Spies"/>
    <tableColumn id="55" name="Release AS"/>
    <tableColumn id="56" name="Release Wizards"/>
    <tableColumn id="57" name="Release AM"/>
    <tableColumn id="58" name="Column31"/>
    <tableColumn id="59" name="WG's"/>
    <tableColumn id="60" name="FH's"/>
    <tableColumn id="61" name="OP Plat"/>
    <tableColumn id="62" name="OP Ore"/>
    <tableColumn id="63" name="DP Plat"/>
    <tableColumn id="64" name="DP Ore"/>
    <tableColumn id="65" name="E1 Plat"/>
    <tableColumn id="66" name="E1 Ore"/>
    <tableColumn id="67" name="E2 Plat"/>
    <tableColumn id="68" name="E2 Ore"/>
    <tableColumn id="69" name="Spie cost"/>
    <tableColumn id="70" name="ASs Cost"/>
    <tableColumn id="71" name="Wizzies cost"/>
    <tableColumn id="72" name="AMs cost"/>
    <tableColumn id="73" name="…2"/>
    <tableColumn id="74" name="Hill"/>
    <tableColumn id="75" name="WG"/>
    <tableColumn id="76" name="Mystic"/>
    <tableColumn id="77" name="Druid (op)"/>
    <tableColumn id="78" name="Druid (dp)"/>
    <tableColumn id="79" name="Dryad"/>
    <tableColumn id="80" name="Rockapult"/>
    <tableColumn id="81" name="Spellblade"/>
    <tableColumn id="82" name="Adept-DP"/>
    <tableColumn id="83" name="Beasts"/>
    <tableColumn id="84" name="Overlords"/>
    <tableColumn id="85" name="Frost Mage"/>
    <tableColumn id="86" name="Ice Elemental"/>
    <tableColumn id="87" name="Orc"/>
    <tableColumn id="88" name="Nox"/>
    <tableColumn id="89" name="Column36"/>
    <tableColumn id="90" name="Column37"/>
    <tableColumn id="91" name="Column38"/>
    <tableColumn id="92" name="Mystic bonus"/>
    <tableColumn id="93" name="Druid bonus"/>
    <tableColumn id="94" name="Wood Elf bonus"/>
    <tableColumn id="95" name="Dryad bonus"/>
    <tableColumn id="96" name="Sylvan bonus"/>
    <tableColumn id="97" name="Rockapult bonus"/>
    <tableColumn id="98" name="Gnome bonus"/>
    <tableColumn id="99" name="Adept bonus"/>
    <tableColumn id="100" name="Dark Elf bonus"/>
    <tableColumn id="101" name="Frost Mage bonus"/>
    <tableColumn id="102" name="Ice Elemental bonus"/>
    <tableColumn id="103" name="Icekin bonus"/>
    <tableColumn id="104" name="Column46"/>
    <tableColumn id="105" name="Favorable Terrain Bonus"/>
    <tableColumn id="106" name="Column48"/>
    <tableColumn id="107" name="Networth (2)"/>
    <tableColumn id="108" name="  "/>
    <tableColumn id="109" name="Raw (2)"/>
    <tableColumn id="110" name="Modded (2)"/>
  </tableColumns>
</table>
</file>

<file path=xl/tables/table14.xml><?xml version="1.0" encoding="utf-8"?>
<table xmlns="http://schemas.openxmlformats.org/spreadsheetml/2006/main" id="14" name="TblPop" displayName="TblPop" ref="A3:AC136" headerRowCount="1" totalsRowCount="0" totalsRowShown="0">
  <autoFilter ref="A3:AC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name="Hour"/>
    <tableColumn id="2" name="Time"/>
    <tableColumn id="3" name="Peasants"/>
    <tableColumn id="4" name="Military"/>
    <tableColumn id="5" name="Draftees"/>
    <tableColumn id="6" name="Total"/>
    <tableColumn id="7" name="Military%"/>
    <tableColumn id="8" name="Employed"/>
    <tableColumn id="9" name="Employment"/>
    <tableColumn id="10" name="Jobs"/>
    <tableColumn id="11" name="."/>
    <tableColumn id="12" name=" Draftees"/>
    <tableColumn id="13" name="Unit 1"/>
    <tableColumn id="14" name="Unit 2"/>
    <tableColumn id="15" name="Unit 3"/>
    <tableColumn id="16" name="Unit 4"/>
    <tableColumn id="17" name="Spies"/>
    <tableColumn id="18" name="Wizards"/>
    <tableColumn id="19" name="Archmage"/>
    <tableColumn id="20" name=".."/>
    <tableColumn id="21" name="Net max"/>
    <tableColumn id="22" name="Raw max"/>
    <tableColumn id="23" name="Net Peasant"/>
    <tableColumn id="24" name="Modded Birth"/>
    <tableColumn id="25" name="Raw Birth"/>
    <tableColumn id="26" name="Draft Growth"/>
    <tableColumn id="27" name="...."/>
    <tableColumn id="28" name="Growth"/>
    <tableColumn id="29" name="Max pop" totalsRowFunction="sum"/>
  </tableColumns>
</table>
</file>

<file path=xl/tables/table15.xml><?xml version="1.0" encoding="utf-8"?>
<table xmlns="http://schemas.openxmlformats.org/spreadsheetml/2006/main" id="15" name="TblProd" displayName="TblProd" ref="A3:BM136" headerRowCount="1" totalsRowCount="0" totalsRowShown="0">
  <autoFilter ref="A3:BM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name="Hour"/>
    <tableColumn id="2" name="Time"/>
    <tableColumn id="3" name="Plat Bonus"/>
    <tableColumn id="4" name="."/>
    <tableColumn id="5" name="Land"/>
    <tableColumn id="6" name="Peasants"/>
    <tableColumn id="7" name="Networth"/>
    <tableColumn id="8" name="Platinum"/>
    <tableColumn id="9" name="Food"/>
    <tableColumn id="10" name="Lumber"/>
    <tableColumn id="11" name="Mana"/>
    <tableColumn id="12" name="Ore"/>
    <tableColumn id="13" name="Gems"/>
    <tableColumn id="14" name="Boats"/>
    <tableColumn id="15" name="Prestige"/>
    <tableColumn id="16" name="Techpoints"/>
    <tableColumn id="17" name="Required"/>
    <tableColumn id="18" name=".."/>
    <tableColumn id="19" name="Plat/hr"/>
    <tableColumn id="20" name="Food/hr"/>
    <tableColumn id="21" name="Lumber/hr"/>
    <tableColumn id="22" name="Mana/hr"/>
    <tableColumn id="23" name="Ore/hr"/>
    <tableColumn id="24" name="Gems/hr"/>
    <tableColumn id="25" name="Boats/hr"/>
    <tableColumn id="26" name="…"/>
    <tableColumn id="27" name="Raw Plat/hr"/>
    <tableColumn id="28" name="Raw Food/hr"/>
    <tableColumn id="29" name="Raw Lumber/hr"/>
    <tableColumn id="30" name="Raw Mana/hr"/>
    <tableColumn id="31" name="Raw Ore/hr"/>
    <tableColumn id="32" name="Raw Gems/hr"/>
    <tableColumn id="33" name="...."/>
    <tableColumn id="34" name="Bonus Plat/hr"/>
    <tableColumn id="35" name="Bonus Food/hr"/>
    <tableColumn id="36" name="Bonus Lumber/hr"/>
    <tableColumn id="37" name="Bonus Mana/hr"/>
    <tableColumn id="38" name="Bonux Ore/hr"/>
    <tableColumn id="39" name="Bonus Gems/hr"/>
    <tableColumn id="40" name="…."/>
    <tableColumn id="41" name="Food decay"/>
    <tableColumn id="42" name="Food eaten"/>
    <tableColumn id="43" name="Lumber rot"/>
    <tableColumn id="44" name="Mana drain"/>
    <tableColumn id="45" name="….."/>
    <tableColumn id="46" name="Expenses Platinum"/>
    <tableColumn id="47" name="Expenses Lumber"/>
    <tableColumn id="48" name="Expenses Mana"/>
    <tableColumn id="49" name="Expenses Ore"/>
    <tableColumn id="50" name="Expenses Gems"/>
    <tableColumn id="51" name="…..."/>
    <tableColumn id="52" name="Guard"/>
    <tableColumn id="53" name="Set Guard"/>
    <tableColumn id="54" name="Hour (2)"/>
    <tableColumn id="55" name="Bank Plat"/>
    <tableColumn id="56" name="Bank Lumber"/>
    <tableColumn id="57" name="Bank Ore"/>
    <tableColumn id="58" name="Bank Gems"/>
    <tableColumn id="59" name="Time (2)"/>
    <tableColumn id="60" name="Ok?"/>
    <tableColumn id="61" name="Stats Platinum"/>
    <tableColumn id="62" name="Stats Food"/>
    <tableColumn id="63" name="Stats Lumber"/>
    <tableColumn id="64" name="Stats Mana"/>
    <tableColumn id="65" name="Stats Ore"/>
  </tableColumns>
</table>
</file>

<file path=xl/tables/table16.xml><?xml version="1.0" encoding="utf-8"?>
<table xmlns="http://schemas.openxmlformats.org/spreadsheetml/2006/main" id="16" name="TblRaces" displayName="TblRaces" ref="A4:AA92" headerRowCount="1" totalsRowCount="0" totalsRowShown="0">
  <autoFilter ref="A4:AA9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Race"/>
    <tableColumn id="2" name="Alignment"/>
    <tableColumn id="3" name="Homeland_Type"/>
    <tableColumn id="4" name="Unitname"/>
    <tableColumn id="5" name="OffensePwr"/>
    <tableColumn id="6" name="DefensePwr"/>
    <tableColumn id="7" name="Platcost"/>
    <tableColumn id="8" name="Orecost"/>
    <tableColumn id="9" name="Networth"/>
    <tableColumn id="10" name="Max population"/>
    <tableColumn id="11" name="Pop growth"/>
    <tableColumn id="12" name="Platinum prod"/>
    <tableColumn id="13" name="Food prod"/>
    <tableColumn id="14" name="Lumber prod"/>
    <tableColumn id="15" name="Mana prod"/>
    <tableColumn id="16" name="Ore prod"/>
    <tableColumn id="17" name="Gem prod"/>
    <tableColumn id="18" name="Food cons"/>
    <tableColumn id="19" name="Defense"/>
    <tableColumn id="20" name="Offense"/>
    <tableColumn id="21" name="Spy strength"/>
    <tableColumn id="22" name="Wizard strength"/>
    <tableColumn id="23" name="Invest bonus"/>
    <tableColumn id="24" name="Rezone Cost"/>
    <tableColumn id="25" name="Construction Cost"/>
    <tableColumn id="26" name="Research"/>
    <tableColumn id="27" name="Explore Cost"/>
  </tableColumns>
</table>
</file>

<file path=xl/tables/table17.xml><?xml version="1.0" encoding="utf-8"?>
<table xmlns="http://schemas.openxmlformats.org/spreadsheetml/2006/main" id="17" name="TblRezone" displayName="TblRezone" ref="A3:AC136" headerRowCount="1" totalsRowCount="0" totalsRowShown="0">
  <autoFilter ref="A3:AC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name="Land"/>
    <tableColumn id="2" name="Plains"/>
    <tableColumn id="3" name="Forest"/>
    <tableColumn id="4" name="Mountains"/>
    <tableColumn id="5" name="Hills"/>
    <tableColumn id="6" name="Swamp"/>
    <tableColumn id="7" name="Caverns"/>
    <tableColumn id="8" name="Water"/>
    <tableColumn id="9" name="."/>
    <tableColumn id="10" name="Hour"/>
    <tableColumn id="11" name="Time"/>
    <tableColumn id="12" name="Plains Rezone"/>
    <tableColumn id="13" name="Forest Rezone"/>
    <tableColumn id="14" name="Mountain Rezone"/>
    <tableColumn id="15" name="Hill Rezone"/>
    <tableColumn id="16" name="Swamp Rezone"/>
    <tableColumn id="17" name="Cavern Rezone"/>
    <tableColumn id="18" name="Water Rezone"/>
    <tableColumn id="19" name="Total acres"/>
    <tableColumn id="20" name="Ok?"/>
    <tableColumn id="21" name=".."/>
    <tableColumn id="22" name="Platinum"/>
    <tableColumn id="23" name="…"/>
    <tableColumn id="24" name="Plat/acre"/>
    <tableColumn id="25" name="Platinum cost"/>
    <tableColumn id="26" name="…."/>
    <tableColumn id="27" name="Plat/acre*"/>
    <tableColumn id="28" name="….."/>
    <tableColumn id="29" name="Facs"/>
  </tableColumns>
</table>
</file>

<file path=xl/tables/table18.xml><?xml version="1.0" encoding="utf-8"?>
<table xmlns="http://schemas.openxmlformats.org/spreadsheetml/2006/main" id="18" name="TblStats" displayName="TblStats" ref="B2:E23" headerRowCount="1" totalsRowCount="0" totalsRowShown="0">
  <autoFilter ref="B2:E23"/>
  <tableColumns count="4">
    <tableColumn id="1" name="Stats"/>
    <tableColumn id="2" name="Abbr"/>
    <tableColumn id="3" name="Number"/>
    <tableColumn id="4" name="Percent"/>
  </tableColumns>
</table>
</file>

<file path=xl/tables/table19.xml><?xml version="1.0" encoding="utf-8"?>
<table xmlns="http://schemas.openxmlformats.org/spreadsheetml/2006/main" id="19" name="TblTech" displayName="TblTech" ref="A3:CA136" headerRowCount="1" totalsRowCount="0" totalsRowShown="0">
  <autoFilter ref="A3:CA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name="Hour"/>
    <tableColumn id="2" name="Land"/>
    <tableColumn id="3" name="Techpoints"/>
    <tableColumn id="4" name="Cost"/>
    <tableColumn id="5" name="."/>
    <tableColumn id="6" name="Activate @ hour"/>
    <tableColumn id="7" name="Number"/>
    <tableColumn id="8" name="Tech name"/>
    <tableColumn id="9" name="Gains"/>
    <tableColumn id="10" name=".."/>
    <tableColumn id="11" name="…"/>
    <tableColumn id="12" name="Sum of tech"/>
    <tableColumn id="13" name="1-1"/>
    <tableColumn id="14" name="1-2"/>
    <tableColumn id="15" name="1-3"/>
    <tableColumn id="16" name="1-4"/>
    <tableColumn id="17" name="1-5"/>
    <tableColumn id="18" name="1-6"/>
    <tableColumn id="19" name="1-7"/>
    <tableColumn id="20" name="1-8"/>
    <tableColumn id="21" name="1-9"/>
    <tableColumn id="22" name="1-10"/>
    <tableColumn id="23" name="1-11"/>
    <tableColumn id="24" name="2-1"/>
    <tableColumn id="25" name="2-2"/>
    <tableColumn id="26" name="2-3"/>
    <tableColumn id="27" name="2-4"/>
    <tableColumn id="28" name="2-5"/>
    <tableColumn id="29" name="2-6"/>
    <tableColumn id="30" name="2-7"/>
    <tableColumn id="31" name="2-8"/>
    <tableColumn id="32" name="2-9"/>
    <tableColumn id="33" name="2-10"/>
    <tableColumn id="34" name="3-1"/>
    <tableColumn id="35" name="3-2"/>
    <tableColumn id="36" name="3-3"/>
    <tableColumn id="37" name="3-4"/>
    <tableColumn id="38" name="3-5"/>
    <tableColumn id="39" name="3-6"/>
    <tableColumn id="40" name="3-7"/>
    <tableColumn id="41" name="3-8"/>
    <tableColumn id="42" name="3-9"/>
    <tableColumn id="43" name="4-1"/>
    <tableColumn id="44" name="4-2"/>
    <tableColumn id="45" name="4-3"/>
    <tableColumn id="46" name="4-4"/>
    <tableColumn id="47" name="4-5"/>
    <tableColumn id="48" name="4-6"/>
    <tableColumn id="49" name="4-7"/>
    <tableColumn id="50" name="4-8"/>
    <tableColumn id="51" name="5-1"/>
    <tableColumn id="52" name="5-2"/>
    <tableColumn id="53" name="5-3"/>
    <tableColumn id="54" name="5-4"/>
    <tableColumn id="55" name="5-5"/>
    <tableColumn id="56" name="5-6"/>
    <tableColumn id="57" name="5-7"/>
    <tableColumn id="58" name="6-1"/>
    <tableColumn id="59" name="6-2"/>
    <tableColumn id="60" name="6-3"/>
    <tableColumn id="61" name="6-4"/>
    <tableColumn id="62" name="6-5"/>
    <tableColumn id="63" name="6-6"/>
    <tableColumn id="64" name="7-1"/>
    <tableColumn id="65" name="7-2"/>
    <tableColumn id="66" name="7-3"/>
    <tableColumn id="67" name="7-4"/>
    <tableColumn id="68" name="7-5"/>
    <tableColumn id="69" name="8-1"/>
    <tableColumn id="70" name="8-2"/>
    <tableColumn id="71" name="8-3"/>
    <tableColumn id="72" name="8-4"/>
    <tableColumn id="73" name="9-1"/>
    <tableColumn id="74" name="9-2"/>
    <tableColumn id="75" name="9-3"/>
    <tableColumn id="76" name="10-1"/>
    <tableColumn id="77" name="10-2"/>
    <tableColumn id="78" name="11-1"/>
    <tableColumn id="79" name="Tech"/>
  </tableColumns>
</table>
</file>

<file path=xl/tables/table20.xml><?xml version="1.0" encoding="utf-8"?>
<table xmlns="http://schemas.openxmlformats.org/spreadsheetml/2006/main" id="20" name="TblUnits" displayName="TblUnits" ref="A21:F29" headerRowCount="1" totalsRowCount="0" totalsRowShown="0">
  <autoFilter ref="A21:F29">
    <filterColumn colId="0" hiddenButton="1"/>
    <filterColumn colId="1" hiddenButton="1"/>
    <filterColumn colId="2" hiddenButton="1"/>
    <filterColumn colId="3" hiddenButton="1"/>
    <filterColumn colId="4" hiddenButton="1"/>
    <filterColumn colId="5" hiddenButton="1"/>
  </autoFilter>
  <tableColumns count="6">
    <tableColumn id="1" name="Unit Names"/>
    <tableColumn id="2" name="Offense"/>
    <tableColumn id="3" name="Defense"/>
    <tableColumn id="4" name="Platinum"/>
    <tableColumn id="5" name="Ore"/>
    <tableColumn id="6" name="Networth"/>
  </tableColumns>
</table>
</file>

<file path=xl/theme/theme1.xml><?xml version="1.0" encoding="utf-8"?>
<a:theme xmlns:a="http://schemas.openxmlformats.org/drawingml/2006/main" xmlns:r="http://schemas.openxmlformats.org/officeDocument/2006/relationships" name="Kantoorthema">
  <a:themeElements>
    <a:clrScheme name="Kantoor">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s2.xml"/><Relationship Id="rId5" Type="http://schemas.openxmlformats.org/officeDocument/2006/relationships/table" Target="../tables/table1.xml"/><Relationship Id="rId6" Type="http://schemas.openxmlformats.org/officeDocument/2006/relationships/table" Target="../tables/table2.xml"/><Relationship Id="rId7" Type="http://schemas.openxmlformats.org/officeDocument/2006/relationships/table" Target="../tables/table3.xml"/><Relationship Id="rId8" Type="http://schemas.openxmlformats.org/officeDocument/2006/relationships/table" Target="../tables/table4.xml"/><Relationship Id="rId9" Type="http://schemas.openxmlformats.org/officeDocument/2006/relationships/table" Target="../tables/table5.xml"/><Relationship Id="rId10" Type="http://schemas.openxmlformats.org/officeDocument/2006/relationships/table" Target="../tables/table7.xml"/><Relationship Id="rId11" Type="http://schemas.openxmlformats.org/officeDocument/2006/relationships/table" Target="../tables/table8.xml"/><Relationship Id="rId12" Type="http://schemas.openxmlformats.org/officeDocument/2006/relationships/table" Target="../tables/table20.xml"/>
</Relationships>
</file>

<file path=xl/worksheets/_rels/sheet2.xml.rels><?xml version="1.0" encoding="UTF-8"?>
<Relationships xmlns="http://schemas.openxmlformats.org/package/2006/relationships"><Relationship Id="rId1" Type="http://schemas.openxmlformats.org/officeDocument/2006/relationships/table" Target="../tables/table14.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2.vml"/><Relationship Id="rId3" Type="http://schemas.openxmlformats.org/officeDocument/2006/relationships/table" Target="../tables/table15.xml"/>
</Relationships>
</file>

<file path=xl/worksheets/_rels/sheet4.xml.rels><?xml version="1.0" encoding="UTF-8"?>
<Relationships xmlns="http://schemas.openxmlformats.org/package/2006/relationships"><Relationship Id="rId1" Type="http://schemas.openxmlformats.org/officeDocument/2006/relationships/table" Target="../tables/table9.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Relationship Id="rId3" Type="http://schemas.openxmlformats.org/officeDocument/2006/relationships/table" Target="../tables/table10.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4.vml"/><Relationship Id="rId3" Type="http://schemas.openxmlformats.org/officeDocument/2006/relationships/table" Target="../tables/table17.xml"/>
</Relationships>
</file>

<file path=xl/worksheets/_rels/sheet7.xml.rels><?xml version="1.0" encoding="UTF-8"?>
<Relationships xmlns="http://schemas.openxmlformats.org/package/2006/relationships"><Relationship Id="rId1" Type="http://schemas.openxmlformats.org/officeDocument/2006/relationships/table" Target="../tables/table13.xml"/>
</Relationships>
</file>

<file path=xl/worksheets/_rels/sheet8.xml.rels><?xml version="1.0" encoding="UTF-8"?>
<Relationships xmlns="http://schemas.openxmlformats.org/package/2006/relationships"><Relationship Id="rId1" Type="http://schemas.openxmlformats.org/officeDocument/2006/relationships/table" Target="../tables/table12.xml"/>
</Relationships>
</file>

<file path=xl/worksheets/_rels/sheet9.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table" Target="../tables/table19.x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Relationship Id="rId3" Type="http://schemas.openxmlformats.org/officeDocument/2006/relationships/table" Target="../tables/table11.x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drawing" Target="../drawings/drawing4.xml"/><Relationship Id="rId3" Type="http://schemas.openxmlformats.org/officeDocument/2006/relationships/vmlDrawing" Target="../drawings/vmlDrawing6.vml"/><Relationship Id="rId4" Type="http://schemas.openxmlformats.org/officeDocument/2006/relationships/ctrlProp" Target="../ctrlProps/ctrlProps5.xml"/><Relationship Id="rId5" Type="http://schemas.openxmlformats.org/officeDocument/2006/relationships/ctrlProp" Target="../ctrlProps/ctrlProps6.xml"/><Relationship Id="rId6" Type="http://schemas.openxmlformats.org/officeDocument/2006/relationships/ctrlProp" Target="../ctrlProps/ctrlProps7.xml"/><Relationship Id="rId7" Type="http://schemas.openxmlformats.org/officeDocument/2006/relationships/ctrlProp" Target="../ctrlProps/ctrlProps8.xml"/><Relationship Id="rId8" Type="http://schemas.openxmlformats.org/officeDocument/2006/relationships/ctrlProp" Target="../ctrlProps/ctrlProps9.xml"/><Relationship Id="rId9" Type="http://schemas.openxmlformats.org/officeDocument/2006/relationships/ctrlProp" Target="../ctrlProps/ctrlProps10.xml"/><Relationship Id="rId10" Type="http://schemas.openxmlformats.org/officeDocument/2006/relationships/ctrlProp" Target="../ctrlProps/ctrlProps11.xml"/><Relationship Id="rId11" Type="http://schemas.openxmlformats.org/officeDocument/2006/relationships/ctrlProp" Target="../ctrlProps/ctrlProps12.xml"/>
</Relationships>
</file>

<file path=xl/worksheets/_rels/sheet12.xml.rels><?xml version="1.0" encoding="UTF-8"?>
<Relationships xmlns="http://schemas.openxmlformats.org/package/2006/relationships"><Relationship Id="rId1" Type="http://schemas.openxmlformats.org/officeDocument/2006/relationships/table" Target="../tables/table18.x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vmlDrawing" Target="../drawings/vmlDrawing7.vml"/><Relationship Id="rId3" Type="http://schemas.openxmlformats.org/officeDocument/2006/relationships/table" Target="../tables/table6.xml"/><Relationship Id="rId4" Type="http://schemas.openxmlformats.org/officeDocument/2006/relationships/table" Target="../tables/table16.x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vmlDrawing" Target="../drawings/vmlDrawing8.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B050"/>
    <pageSetUpPr fitToPage="false"/>
  </sheetPr>
  <dimension ref="A1:O93"/>
  <sheetViews>
    <sheetView showFormulas="false" showGridLines="true" showRowColHeaders="true" showZeros="true" rightToLeft="false" tabSelected="false" showOutlineSymbols="true" defaultGridColor="true" view="normal" topLeftCell="A6" colorId="64" zoomScale="85" zoomScaleNormal="85" zoomScalePageLayoutView="100" workbookViewId="0">
      <selection pane="topLeft" activeCell="B15" activeCellId="0" sqref="B15"/>
    </sheetView>
  </sheetViews>
  <sheetFormatPr defaultColWidth="9.1484375" defaultRowHeight="12.75" zeroHeight="false" outlineLevelRow="0" outlineLevelCol="0"/>
  <cols>
    <col collapsed="false" customWidth="true" hidden="false" outlineLevel="0" max="1" min="1" style="1" width="18"/>
    <col collapsed="false" customWidth="true" hidden="false" outlineLevel="0" max="2" min="2" style="1" width="13.86"/>
    <col collapsed="false" customWidth="true" hidden="false" outlineLevel="0" max="3" min="3" style="1" width="11.29"/>
    <col collapsed="false" customWidth="true" hidden="false" outlineLevel="0" max="4" min="4" style="1" width="14"/>
    <col collapsed="false" customWidth="true" hidden="false" outlineLevel="0" max="5" min="5" style="1" width="11.71"/>
    <col collapsed="false" customWidth="true" hidden="false" outlineLevel="0" max="6" min="6" style="1" width="12.71"/>
    <col collapsed="false" customWidth="true" hidden="false" outlineLevel="0" max="7" min="7" style="1" width="11.71"/>
    <col collapsed="false" customWidth="true" hidden="false" outlineLevel="0" max="10" min="8" style="1" width="16.29"/>
    <col collapsed="false" customWidth="true" hidden="false" outlineLevel="0" max="11" min="11" style="1" width="5.57"/>
    <col collapsed="false" customWidth="true" hidden="false" outlineLevel="0" max="12" min="12" style="1" width="12.29"/>
    <col collapsed="false" customWidth="true" hidden="false" outlineLevel="0" max="13" min="13" style="1" width="7.86"/>
    <col collapsed="false" customWidth="true" hidden="false" outlineLevel="0" max="14" min="14" style="1" width="12.42"/>
    <col collapsed="false" customWidth="true" hidden="false" outlineLevel="0" max="15" min="15" style="1" width="9.86"/>
    <col collapsed="false" customWidth="false" hidden="false" outlineLevel="0" max="16384" min="16" style="1" width="9.14"/>
  </cols>
  <sheetData>
    <row r="1" s="4" customFormat="true" ht="18.75" hidden="false" customHeight="true" outlineLevel="0" collapsed="false">
      <c r="A1" s="2" t="s">
        <v>0</v>
      </c>
      <c r="B1" s="2"/>
      <c r="C1" s="2"/>
      <c r="D1" s="2"/>
      <c r="E1" s="2"/>
      <c r="F1" s="2"/>
      <c r="G1" s="2"/>
      <c r="H1" s="2"/>
      <c r="I1" s="2"/>
      <c r="J1" s="2"/>
      <c r="K1" s="2"/>
      <c r="L1" s="2"/>
      <c r="M1" s="3" t="s">
        <v>1</v>
      </c>
      <c r="N1" s="3"/>
      <c r="O1" s="3"/>
    </row>
    <row r="2" s="4" customFormat="true" ht="12.75" hidden="false" customHeight="true" outlineLevel="0" collapsed="false">
      <c r="A2" s="5" t="s">
        <v>2</v>
      </c>
      <c r="B2" s="5"/>
      <c r="C2" s="5"/>
      <c r="D2" s="5"/>
      <c r="E2" s="5"/>
      <c r="F2" s="5"/>
      <c r="G2" s="5"/>
      <c r="H2" s="5"/>
      <c r="I2" s="5"/>
      <c r="J2" s="5"/>
      <c r="K2" s="5"/>
      <c r="L2" s="5"/>
      <c r="M2" s="6" t="s">
        <v>3</v>
      </c>
      <c r="N2" s="6"/>
      <c r="O2" s="6"/>
    </row>
    <row r="3" s="4" customFormat="true" ht="12.75" hidden="false" customHeight="false" outlineLevel="0" collapsed="false">
      <c r="A3" s="5"/>
      <c r="B3" s="5"/>
      <c r="C3" s="5"/>
      <c r="D3" s="5"/>
      <c r="E3" s="5"/>
      <c r="F3" s="5"/>
      <c r="G3" s="5"/>
      <c r="H3" s="5"/>
      <c r="I3" s="5"/>
      <c r="J3" s="5"/>
      <c r="K3" s="5"/>
      <c r="L3" s="5"/>
      <c r="M3" s="6"/>
      <c r="N3" s="6"/>
      <c r="O3" s="6"/>
    </row>
    <row r="4" s="4" customFormat="true" ht="12.75" hidden="false" customHeight="false" outlineLevel="0" collapsed="false">
      <c r="A4" s="5"/>
      <c r="B4" s="5"/>
      <c r="C4" s="5"/>
      <c r="D4" s="5"/>
      <c r="E4" s="5"/>
      <c r="F4" s="5"/>
      <c r="G4" s="5"/>
      <c r="H4" s="5"/>
      <c r="I4" s="5"/>
      <c r="J4" s="5"/>
      <c r="K4" s="5"/>
      <c r="L4" s="5"/>
      <c r="M4" s="6"/>
      <c r="N4" s="6"/>
      <c r="O4" s="6"/>
    </row>
    <row r="5" s="4" customFormat="true" ht="12.75" hidden="false" customHeight="false" outlineLevel="0" collapsed="false">
      <c r="A5" s="5"/>
      <c r="B5" s="5"/>
      <c r="C5" s="5"/>
      <c r="D5" s="5"/>
      <c r="E5" s="5"/>
      <c r="F5" s="5"/>
      <c r="G5" s="5"/>
      <c r="H5" s="5"/>
      <c r="I5" s="5"/>
      <c r="J5" s="5"/>
      <c r="K5" s="5"/>
      <c r="L5" s="5"/>
      <c r="M5" s="6"/>
      <c r="N5" s="6"/>
      <c r="O5" s="6"/>
    </row>
    <row r="6" s="4" customFormat="true" ht="12.75" hidden="false" customHeight="false" outlineLevel="0" collapsed="false">
      <c r="A6" s="5"/>
      <c r="B6" s="5"/>
      <c r="C6" s="5"/>
      <c r="D6" s="5"/>
      <c r="E6" s="5"/>
      <c r="F6" s="5"/>
      <c r="G6" s="5"/>
      <c r="H6" s="5"/>
      <c r="I6" s="5"/>
      <c r="J6" s="5"/>
      <c r="K6" s="5"/>
      <c r="L6" s="5"/>
      <c r="M6" s="6"/>
      <c r="N6" s="6"/>
      <c r="O6" s="6"/>
    </row>
    <row r="7" s="4" customFormat="true" ht="13.5" hidden="false" customHeight="false" outlineLevel="0" collapsed="false">
      <c r="A7" s="5"/>
      <c r="B7" s="5"/>
      <c r="C7" s="5"/>
      <c r="D7" s="5"/>
      <c r="E7" s="5"/>
      <c r="F7" s="5"/>
      <c r="G7" s="5"/>
      <c r="H7" s="5"/>
      <c r="I7" s="5"/>
      <c r="J7" s="5"/>
      <c r="K7" s="5"/>
      <c r="L7" s="5"/>
      <c r="M7" s="6"/>
      <c r="N7" s="6"/>
      <c r="O7" s="6"/>
    </row>
    <row r="8" s="4" customFormat="true" ht="15" hidden="false" customHeight="true" outlineLevel="0" collapsed="false">
      <c r="A8" s="7" t="s">
        <v>4</v>
      </c>
      <c r="B8" s="7"/>
      <c r="C8" s="7"/>
      <c r="D8" s="7"/>
      <c r="E8" s="7"/>
      <c r="F8" s="7"/>
      <c r="G8" s="7"/>
      <c r="H8" s="7"/>
      <c r="I8" s="7"/>
      <c r="J8" s="8" t="s">
        <v>5</v>
      </c>
      <c r="K8" s="8"/>
      <c r="L8" s="8"/>
      <c r="M8" s="6"/>
      <c r="N8" s="6"/>
      <c r="O8" s="6"/>
    </row>
    <row r="9" s="4" customFormat="true" ht="12.75" hidden="false" customHeight="true" outlineLevel="0" collapsed="false">
      <c r="A9" s="9" t="s">
        <v>6</v>
      </c>
      <c r="B9" s="9"/>
      <c r="C9" s="9"/>
      <c r="D9" s="9"/>
      <c r="E9" s="9"/>
      <c r="F9" s="9"/>
      <c r="G9" s="9"/>
      <c r="H9" s="9"/>
      <c r="I9" s="9"/>
      <c r="J9" s="8"/>
      <c r="K9" s="8"/>
      <c r="L9" s="8"/>
      <c r="M9" s="6"/>
      <c r="N9" s="6"/>
      <c r="O9" s="6"/>
    </row>
    <row r="10" s="4" customFormat="true" ht="12.75" hidden="false" customHeight="true" outlineLevel="0" collapsed="false">
      <c r="A10" s="9"/>
      <c r="B10" s="9"/>
      <c r="C10" s="9"/>
      <c r="D10" s="9"/>
      <c r="E10" s="9"/>
      <c r="F10" s="9"/>
      <c r="G10" s="9"/>
      <c r="H10" s="9"/>
      <c r="I10" s="9"/>
      <c r="J10" s="8"/>
      <c r="K10" s="8"/>
      <c r="L10" s="8"/>
      <c r="M10" s="6"/>
      <c r="N10" s="6"/>
      <c r="O10" s="6"/>
    </row>
    <row r="11" s="4" customFormat="true" ht="12.75" hidden="false" customHeight="true" outlineLevel="0" collapsed="false">
      <c r="A11" s="9"/>
      <c r="B11" s="9"/>
      <c r="C11" s="9"/>
      <c r="D11" s="9"/>
      <c r="E11" s="9"/>
      <c r="F11" s="9"/>
      <c r="G11" s="9"/>
      <c r="H11" s="9"/>
      <c r="I11" s="9"/>
      <c r="J11" s="8"/>
      <c r="K11" s="8"/>
      <c r="L11" s="8"/>
      <c r="M11" s="6"/>
      <c r="N11" s="6"/>
      <c r="O11" s="6"/>
    </row>
    <row r="12" s="4" customFormat="true" ht="28.5" hidden="false" customHeight="true" outlineLevel="0" collapsed="false">
      <c r="A12" s="9"/>
      <c r="B12" s="9"/>
      <c r="C12" s="9"/>
      <c r="D12" s="9"/>
      <c r="E12" s="9"/>
      <c r="F12" s="9"/>
      <c r="G12" s="9"/>
      <c r="H12" s="9"/>
      <c r="I12" s="9"/>
      <c r="J12" s="8"/>
      <c r="K12" s="8"/>
      <c r="L12" s="8"/>
      <c r="M12" s="6"/>
      <c r="N12" s="6"/>
      <c r="O12" s="6"/>
    </row>
    <row r="13" s="4" customFormat="true" ht="25.5" hidden="false" customHeight="true" outlineLevel="0" collapsed="false">
      <c r="A13" s="10" t="s">
        <v>7</v>
      </c>
      <c r="B13" s="10"/>
      <c r="C13" s="10"/>
      <c r="D13" s="10"/>
      <c r="E13" s="10"/>
      <c r="F13" s="10"/>
      <c r="G13" s="10"/>
      <c r="H13" s="10"/>
      <c r="I13" s="10"/>
      <c r="J13" s="10"/>
      <c r="K13" s="10"/>
      <c r="L13" s="10"/>
      <c r="M13" s="10"/>
      <c r="N13" s="10"/>
      <c r="O13" s="10"/>
    </row>
    <row r="14" s="18" customFormat="true" ht="12.75" hidden="false" customHeight="true" outlineLevel="0" collapsed="false">
      <c r="A14" s="1" t="s">
        <v>8</v>
      </c>
      <c r="B14" s="11" t="s">
        <v>9</v>
      </c>
      <c r="C14" s="12"/>
      <c r="D14" s="13" t="s">
        <v>10</v>
      </c>
      <c r="E14" s="13" t="s">
        <v>11</v>
      </c>
      <c r="F14" s="4"/>
      <c r="G14" s="4"/>
      <c r="H14" s="13" t="s">
        <v>12</v>
      </c>
      <c r="I14" s="14" t="s">
        <v>13</v>
      </c>
      <c r="J14" s="15"/>
      <c r="K14" s="16"/>
      <c r="L14" s="4"/>
      <c r="M14" s="4"/>
      <c r="N14" s="4"/>
      <c r="O14" s="17"/>
    </row>
    <row r="15" s="4" customFormat="true" ht="12.75" hidden="false" customHeight="true" outlineLevel="0" collapsed="false">
      <c r="A15" s="1" t="s">
        <v>14</v>
      </c>
      <c r="B15" s="19" t="n">
        <v>45430</v>
      </c>
      <c r="D15" s="1" t="s">
        <v>15</v>
      </c>
      <c r="E15" s="20" t="n">
        <f aca="false">B15+(1+B16-1)/24+B18-6/24</f>
        <v>45429.75</v>
      </c>
      <c r="H15" s="1" t="s">
        <v>16</v>
      </c>
      <c r="I15" s="21" t="n">
        <f aca="false">INDEX(TblRaces[[Max population]:[Explore Cost]],MATCH(race,TblRaces[Race],0),MATCH(Table4[[#This Row],[Race Bonuses]],TblRaces[[#Headers],[Max population]:[Explore Cost]],0))</f>
        <v>0.05</v>
      </c>
      <c r="K15" s="16" t="s">
        <v>17</v>
      </c>
      <c r="O15" s="17"/>
    </row>
    <row r="16" s="4" customFormat="true" ht="12.75" hidden="false" customHeight="true" outlineLevel="0" collapsed="false">
      <c r="A16" s="1" t="s">
        <v>18</v>
      </c>
      <c r="B16" s="22" t="n">
        <v>0</v>
      </c>
      <c r="C16" s="4" t="s">
        <v>19</v>
      </c>
      <c r="D16" s="1" t="s">
        <v>20</v>
      </c>
      <c r="E16" s="20" t="n">
        <f aca="true">NOW()</f>
        <v>45435.9534541304</v>
      </c>
      <c r="H16" s="1" t="s">
        <v>21</v>
      </c>
      <c r="I16" s="21" t="n">
        <f aca="false">INDEX(TblRaces[[Max population]:[Explore Cost]],MATCH(race,TblRaces[Race],0),MATCH(Table4[[#This Row],[Race Bonuses]],TblRaces[[#Headers],[Max population]:[Explore Cost]],0))</f>
        <v>0</v>
      </c>
      <c r="K16" s="23" t="s">
        <v>22</v>
      </c>
      <c r="L16" s="23"/>
      <c r="M16" s="23"/>
      <c r="N16" s="23"/>
      <c r="O16" s="17"/>
    </row>
    <row r="17" s="4" customFormat="true" ht="12.75" hidden="false" customHeight="true" outlineLevel="0" collapsed="false">
      <c r="A17" s="1" t="s">
        <v>23</v>
      </c>
      <c r="B17" s="24" t="n">
        <f aca="true">TODAY()</f>
        <v>45435</v>
      </c>
      <c r="C17" s="25"/>
      <c r="D17" s="1" t="s">
        <v>24</v>
      </c>
      <c r="E17" s="26" t="n">
        <f aca="false">0+Log!P16</f>
        <v>0</v>
      </c>
      <c r="F17" s="27"/>
      <c r="G17" s="27"/>
      <c r="H17" s="1" t="s">
        <v>25</v>
      </c>
      <c r="I17" s="21" t="n">
        <f aca="false">INDEX(TblRaces[[Max population]:[Explore Cost]],MATCH(race,TblRaces[Race],0),MATCH(Table4[[#This Row],[Race Bonuses]],TblRaces[[#Headers],[Max population]:[Explore Cost]],0))</f>
        <v>0</v>
      </c>
      <c r="J17" s="15"/>
      <c r="K17" s="23"/>
      <c r="L17" s="23"/>
      <c r="M17" s="23"/>
      <c r="N17" s="23"/>
      <c r="O17" s="17"/>
    </row>
    <row r="18" s="4" customFormat="true" ht="12.75" hidden="false" customHeight="true" outlineLevel="0" collapsed="false">
      <c r="A18" s="28" t="s">
        <v>26</v>
      </c>
      <c r="B18" s="29" t="n">
        <v>0</v>
      </c>
      <c r="C18" s="25"/>
      <c r="D18" s="1" t="s">
        <v>27</v>
      </c>
      <c r="E18" s="26" t="e">
        <f aca="true">IF(INDIRECT("Imps!L"&amp;TEXT(E17+3,0)),"Yes","Nope")</f>
        <v>#VALUE!</v>
      </c>
      <c r="H18" s="1" t="s">
        <v>28</v>
      </c>
      <c r="I18" s="21" t="n">
        <f aca="false">INDEX(TblRaces[[Max population]:[Explore Cost]],MATCH(race,TblRaces[Race],0),MATCH(Table4[[#This Row],[Race Bonuses]],TblRaces[[#Headers],[Max population]:[Explore Cost]],0))</f>
        <v>0</v>
      </c>
      <c r="J18" s="15"/>
      <c r="K18" s="23"/>
      <c r="L18" s="23"/>
      <c r="M18" s="23"/>
      <c r="N18" s="23"/>
      <c r="O18" s="17"/>
    </row>
    <row r="19" s="4" customFormat="true" ht="12.75" hidden="false" customHeight="false" outlineLevel="0" collapsed="false">
      <c r="H19" s="1" t="s">
        <v>29</v>
      </c>
      <c r="I19" s="21" t="n">
        <f aca="false">INDEX(TblRaces[[Max population]:[Explore Cost]],MATCH(race,TblRaces[Race],0),MATCH(Table4[[#This Row],[Race Bonuses]],TblRaces[[#Headers],[Max population]:[Explore Cost]],0))</f>
        <v>-0.1</v>
      </c>
      <c r="J19" s="15"/>
      <c r="K19" s="23"/>
      <c r="L19" s="23"/>
      <c r="M19" s="23"/>
      <c r="N19" s="23"/>
      <c r="O19" s="30"/>
    </row>
    <row r="20" s="4" customFormat="true" ht="12.75" hidden="false" customHeight="false" outlineLevel="0" collapsed="false">
      <c r="H20" s="1" t="s">
        <v>30</v>
      </c>
      <c r="I20" s="21" t="n">
        <f aca="false">INDEX(TblRaces[[Max population]:[Explore Cost]],MATCH(race,TblRaces[Race],0),MATCH(Table4[[#This Row],[Race Bonuses]],TblRaces[[#Headers],[Max population]:[Explore Cost]],0))</f>
        <v>0</v>
      </c>
      <c r="J20" s="15"/>
      <c r="K20" s="23"/>
      <c r="L20" s="23"/>
      <c r="M20" s="23"/>
      <c r="N20" s="23"/>
      <c r="O20" s="30"/>
    </row>
    <row r="21" s="4" customFormat="true" ht="12.75" hidden="false" customHeight="false" outlineLevel="0" collapsed="false">
      <c r="A21" s="31" t="s">
        <v>31</v>
      </c>
      <c r="B21" s="32" t="s">
        <v>32</v>
      </c>
      <c r="C21" s="32" t="s">
        <v>33</v>
      </c>
      <c r="D21" s="32" t="s">
        <v>34</v>
      </c>
      <c r="E21" s="32" t="s">
        <v>35</v>
      </c>
      <c r="F21" s="32" t="s">
        <v>36</v>
      </c>
      <c r="H21" s="1" t="s">
        <v>37</v>
      </c>
      <c r="I21" s="21" t="n">
        <f aca="false">INDEX(TblRaces[[Max population]:[Explore Cost]],MATCH(race,TblRaces[Race],0),MATCH(Table4[[#This Row],[Race Bonuses]],TblRaces[[#Headers],[Max population]:[Explore Cost]],0))</f>
        <v>0</v>
      </c>
      <c r="J21" s="15"/>
      <c r="K21" s="23"/>
      <c r="L21" s="23"/>
      <c r="M21" s="23"/>
      <c r="N21" s="23"/>
      <c r="O21" s="30"/>
    </row>
    <row r="22" s="4" customFormat="true" ht="12.75" hidden="false" customHeight="false" outlineLevel="0" collapsed="false">
      <c r="A22" s="1" t="str">
        <f aca="false">INDEX(TblRaces[],MATCH(race,TblRaces[Race],0),4)</f>
        <v>Fire Spirit</v>
      </c>
      <c r="B22" s="33" t="n">
        <f aca="false">_xlfn.IFNA(INDEX(TblRaces[],MATCH(TblUnits[[#This Row],[Unit Names]],TblRaces[Unitname],0),5),"")</f>
        <v>3</v>
      </c>
      <c r="C22" s="33" t="n">
        <f aca="false">_xlfn.IFNA(INDEX(TblRaces[],MATCH(TblUnits[[#This Row],[Unit Names]],TblRaces[Unitname],0),6),"")</f>
        <v>0</v>
      </c>
      <c r="D22" s="33" t="n">
        <f aca="false">_xlfn.IFNA(INDEX(TblRaces[],MATCH(TblUnits[[#This Row],[Unit Names]],TblRaces[Unitname],0),7),"")</f>
        <v>300</v>
      </c>
      <c r="E22" s="26" t="n">
        <f aca="false">_xlfn.IFNA(INDEX(TblRaces[],MATCH(TblUnits[[#This Row],[Unit Names]],TblRaces[Unitname],0),8),"")</f>
        <v>0</v>
      </c>
      <c r="F22" s="26" t="n">
        <f aca="false">_xlfn.IFNA(INDEX(TblRaces[],MATCH(TblUnits[[#This Row],[Unit Names]],TblRaces[Unitname],0),9),"")</f>
        <v>5</v>
      </c>
      <c r="H22" s="1" t="s">
        <v>38</v>
      </c>
      <c r="I22" s="21" t="n">
        <f aca="false">INDEX(TblRaces[[Max population]:[Explore Cost]],MATCH(race,TblRaces[Race],0),MATCH(Table4[[#This Row],[Race Bonuses]],TblRaces[[#Headers],[Max population]:[Explore Cost]],0))</f>
        <v>0.15</v>
      </c>
      <c r="J22" s="15"/>
      <c r="K22" s="16"/>
      <c r="O22" s="30"/>
    </row>
    <row r="23" s="4" customFormat="true" ht="12.75" hidden="false" customHeight="false" outlineLevel="0" collapsed="false">
      <c r="A23" s="34" t="str">
        <f aca="false">INDEX(TblRaces[],MATCH(race,TblRaces[Race],0)+1,4)</f>
        <v>Flamewolf</v>
      </c>
      <c r="B23" s="33" t="n">
        <f aca="false">_xlfn.IFNA(INDEX(TblRaces[],MATCH(TblUnits[[#This Row],[Unit Names]],TblRaces[Unitname],0),5),"")</f>
        <v>0</v>
      </c>
      <c r="C23" s="33" t="n">
        <f aca="false">_xlfn.IFNA(INDEX(TblRaces[],MATCH(TblUnits[[#This Row],[Unit Names]],TblRaces[Unitname],0),6),"")</f>
        <v>3</v>
      </c>
      <c r="D23" s="33" t="n">
        <f aca="false">_xlfn.IFNA(INDEX(TblRaces[],MATCH(TblUnits[[#This Row],[Unit Names]],TblRaces[Unitname],0),7),"")</f>
        <v>300</v>
      </c>
      <c r="E23" s="26" t="n">
        <f aca="false">_xlfn.IFNA(INDEX(TblRaces[],MATCH(TblUnits[[#This Row],[Unit Names]],TblRaces[Unitname],0),8),"")</f>
        <v>0</v>
      </c>
      <c r="F23" s="26" t="n">
        <f aca="false">_xlfn.IFNA(INDEX(TblRaces[],MATCH(TblUnits[[#This Row],[Unit Names]],TblRaces[Unitname],0),9),"")</f>
        <v>5</v>
      </c>
      <c r="H23" s="1" t="s">
        <v>39</v>
      </c>
      <c r="I23" s="21" t="n">
        <f aca="false">INDEX(TblRaces[[Max population]:[Explore Cost]],MATCH(race,TblRaces[Race],0),MATCH(Table4[[#This Row],[Race Bonuses]],TblRaces[[#Headers],[Max population]:[Explore Cost]],0))</f>
        <v>0</v>
      </c>
      <c r="J23" s="15"/>
      <c r="K23" s="35"/>
      <c r="L23" s="35"/>
      <c r="M23" s="35"/>
      <c r="N23" s="35"/>
      <c r="O23" s="30"/>
    </row>
    <row r="24" s="4" customFormat="true" ht="12.75" hidden="false" customHeight="false" outlineLevel="0" collapsed="false">
      <c r="A24" s="34" t="str">
        <f aca="false">INDEX(TblRaces[],MATCH(race,TblRaces[Race],0)+2,4)</f>
        <v>Phoenix</v>
      </c>
      <c r="B24" s="33" t="n">
        <f aca="false">_xlfn.IFNA(INDEX(TblRaces[],MATCH(TblUnits[[#This Row],[Unit Names]],TblRaces[Unitname],0),5),"")+E80*C80</f>
        <v>0</v>
      </c>
      <c r="C24" s="33" t="e">
        <f aca="false">_xlfn.IFNA(INDEX(TblRaces[],MATCH(TblUnits[[#This Row],[Unit Names]],TblRaces[Unitname],0),6),"")+E83*D83+E85*D85+E81*D81+E80*D80+E79*D79+E78*D78+E76*D76</f>
        <v>#VALUE!</v>
      </c>
      <c r="D24" s="33" t="n">
        <f aca="false">_xlfn.IFNA(INDEX(TblRaces[],MATCH(TblUnits[[#This Row],[Unit Names]],TblRaces[Unitname],0),7),"")</f>
        <v>925</v>
      </c>
      <c r="E24" s="26" t="n">
        <f aca="false">_xlfn.IFNA(INDEX(TblRaces[],MATCH(TblUnits[[#This Row],[Unit Names]],TblRaces[Unitname],0),8),"")</f>
        <v>0</v>
      </c>
      <c r="F24" s="26" t="n">
        <f aca="false">_xlfn.IFNA(INDEX(TblRaces[],MATCH(TblUnits[[#This Row],[Unit Names]],TblRaces[Unitname],0),9),"")</f>
        <v>8.1</v>
      </c>
      <c r="H24" s="1" t="s">
        <v>33</v>
      </c>
      <c r="I24" s="21" t="n">
        <f aca="false">INDEX(TblRaces[[Max population]:[Explore Cost]],MATCH(race,TblRaces[Race],0),MATCH(Table4[[#This Row],[Race Bonuses]],TblRaces[[#Headers],[Max population]:[Explore Cost]],0))</f>
        <v>0</v>
      </c>
      <c r="J24" s="15"/>
      <c r="K24" s="35"/>
      <c r="L24" s="35"/>
      <c r="M24" s="35"/>
      <c r="N24" s="35"/>
      <c r="O24" s="30"/>
    </row>
    <row r="25" s="4" customFormat="true" ht="12.75" hidden="false" customHeight="false" outlineLevel="0" collapsed="false">
      <c r="A25" s="34" t="str">
        <f aca="false">INDEX(TblRaces[],MATCH(race,TblRaces[Race],0)+3,4)</f>
        <v>Salamander</v>
      </c>
      <c r="B25" s="33" t="e">
        <f aca="false">_xlfn.IFNA(INDEX(TblRaces[],MATCH(TblUnits[[#This Row],[Unit Names]],TblRaces[Unitname],0),5),"")+E76*C77+E81*C82+E84*C84</f>
        <v>#VALUE!</v>
      </c>
      <c r="C25" s="33" t="e">
        <f aca="false">_xlfn.IFNA(INDEX(TblRaces[],MATCH(TblUnits[[#This Row],[Unit Names]],TblRaces[Unitname],0),6),"")+E76*D77</f>
        <v>#VALUE!</v>
      </c>
      <c r="D25" s="33" t="n">
        <f aca="false">_xlfn.IFNA(INDEX(TblRaces[],MATCH(TblUnits[[#This Row],[Unit Names]],TblRaces[Unitname],0),7),"")</f>
        <v>950</v>
      </c>
      <c r="E25" s="26" t="n">
        <f aca="false">_xlfn.IFNA(INDEX(TblRaces[],MATCH(TblUnits[[#This Row],[Unit Names]],TblRaces[Unitname],0),8),"")</f>
        <v>0</v>
      </c>
      <c r="F25" s="26" t="n">
        <f aca="false">_xlfn.IFNA(INDEX(TblRaces[],MATCH(TblUnits[[#This Row],[Unit Names]],TblRaces[Unitname],0),9),"")</f>
        <v>10.35</v>
      </c>
      <c r="H25" s="1" t="s">
        <v>32</v>
      </c>
      <c r="I25" s="21" t="n">
        <f aca="false">INDEX(TblRaces[[Max population]:[Explore Cost]],MATCH(race,TblRaces[Race],0),MATCH(Table4[[#This Row],[Race Bonuses]],TblRaces[[#Headers],[Max population]:[Explore Cost]],0))</f>
        <v>0</v>
      </c>
      <c r="J25" s="15"/>
      <c r="K25" s="35"/>
      <c r="L25" s="35"/>
      <c r="M25" s="35"/>
      <c r="N25" s="35"/>
      <c r="O25" s="30"/>
    </row>
    <row r="26" s="4" customFormat="true" ht="12.75" hidden="false" customHeight="false" outlineLevel="0" collapsed="false">
      <c r="A26" s="34" t="s">
        <v>40</v>
      </c>
      <c r="B26" s="33" t="n">
        <f aca="false">_xlfn.IFNA(INDEX(TblRaces[],MATCH(TblUnits[[#This Row],[Unit Names]],TblRaces[Unitname],0),5),"")</f>
        <v>0</v>
      </c>
      <c r="C26" s="33" t="n">
        <f aca="false">_xlfn.IFNA(INDEX(TblRaces[],MATCH(TblUnits[[#This Row],[Unit Names]],TblRaces[Unitname],0),6),"")</f>
        <v>0</v>
      </c>
      <c r="D26" s="33" t="n">
        <f aca="false">_xlfn.IFNA(INDEX(TblRaces[],MATCH(TblUnits[[#This Row],[Unit Names]],TblRaces[Unitname],0),7),"")</f>
        <v>500</v>
      </c>
      <c r="E26" s="26" t="n">
        <f aca="false">_xlfn.IFNA(INDEX(TblRaces[],MATCH(TblUnits[[#This Row],[Unit Names]],TblRaces[Unitname],0),8),"")</f>
        <v>0</v>
      </c>
      <c r="F26" s="26" t="n">
        <v>5</v>
      </c>
      <c r="H26" s="36" t="s">
        <v>41</v>
      </c>
      <c r="I26" s="21" t="n">
        <f aca="false">INDEX(TblRaces[[Max population]:[Explore Cost]],MATCH(race,TblRaces[Race],0),MATCH(Table4[[#This Row],[Race Bonuses]],TblRaces[[#Headers],[Max population]:[Explore Cost]],0))</f>
        <v>0</v>
      </c>
      <c r="K26" s="35"/>
      <c r="L26" s="35"/>
      <c r="M26" s="35"/>
      <c r="N26" s="35"/>
      <c r="O26" s="30"/>
    </row>
    <row r="27" s="4" customFormat="true" ht="12.75" hidden="false" customHeight="false" outlineLevel="0" collapsed="false">
      <c r="A27" s="37" t="s">
        <v>42</v>
      </c>
      <c r="B27" s="33" t="n">
        <f aca="false">_xlfn.IFNA(INDEX(TblRaces[],MATCH(TblUnits[[#This Row],[Unit Names]],TblRaces[Unitname],0),5),"")</f>
        <v>0</v>
      </c>
      <c r="C27" s="33" t="n">
        <f aca="false">_xlfn.IFNA(INDEX(TblRaces[],MATCH(TblUnits[[#This Row],[Unit Names]],TblRaces[Unitname],0),6),"")</f>
        <v>0</v>
      </c>
      <c r="D27" s="33" t="n">
        <f aca="false">_xlfn.IFNA(INDEX(TblRaces[],MATCH(TblUnits[[#This Row],[Unit Names]],TblRaces[Unitname],0),7),"")</f>
        <v>1000</v>
      </c>
      <c r="E27" s="26" t="str">
        <f aca="false">_xlfn.IFNA(INDEX(TblRaces[],MATCH(TblUnits[[#This Row],[Unit Names]],TblRaces[Unitname],0),8),"")</f>
        <v> + 1 spy</v>
      </c>
      <c r="F27" s="26" t="n">
        <v>5</v>
      </c>
      <c r="H27" s="1" t="s">
        <v>43</v>
      </c>
      <c r="I27" s="21" t="n">
        <f aca="false">INDEX(TblRaces[[Max population]:[Explore Cost]],MATCH(race,TblRaces[Race],0),MATCH(Table4[[#This Row],[Race Bonuses]],TblRaces[[#Headers],[Max population]:[Explore Cost]],0))</f>
        <v>0</v>
      </c>
      <c r="K27" s="35"/>
      <c r="L27" s="35"/>
      <c r="M27" s="35"/>
      <c r="N27" s="35"/>
      <c r="O27" s="30"/>
    </row>
    <row r="28" s="4" customFormat="true" ht="12.75" hidden="false" customHeight="false" outlineLevel="0" collapsed="false">
      <c r="A28" s="34" t="s">
        <v>44</v>
      </c>
      <c r="B28" s="33" t="n">
        <f aca="false">_xlfn.IFNA(INDEX(TblRaces[],MATCH(TblUnits[[#This Row],[Unit Names]],TblRaces[Unitname],0),5),"")</f>
        <v>0</v>
      </c>
      <c r="C28" s="33" t="n">
        <f aca="false">_xlfn.IFNA(INDEX(TblRaces[],MATCH(TblUnits[[#This Row],[Unit Names]],TblRaces[Unitname],0),6),"")</f>
        <v>0</v>
      </c>
      <c r="D28" s="33" t="n">
        <f aca="false">_xlfn.IFNA(INDEX(TblRaces[],MATCH(TblUnits[[#This Row],[Unit Names]],TblRaces[Unitname],0),7),"")</f>
        <v>500</v>
      </c>
      <c r="E28" s="26" t="n">
        <f aca="false">_xlfn.IFNA(INDEX(TblRaces[],MATCH(TblUnits[[#This Row],[Unit Names]],TblRaces[Unitname],0),8),"")</f>
        <v>0</v>
      </c>
      <c r="F28" s="26" t="n">
        <v>5</v>
      </c>
      <c r="H28" s="1" t="s">
        <v>45</v>
      </c>
      <c r="I28" s="21" t="n">
        <f aca="false">INDEX(TblRaces[[Max population]:[Explore Cost]],MATCH(race,TblRaces[Race],0),MATCH(Table4[[#This Row],[Race Bonuses]],TblRaces[[#Headers],[Max population]:[Explore Cost]],0))</f>
        <v>0</v>
      </c>
      <c r="O28" s="30"/>
    </row>
    <row r="29" s="4" customFormat="true" ht="12.75" hidden="false" customHeight="false" outlineLevel="0" collapsed="false">
      <c r="A29" s="34" t="s">
        <v>46</v>
      </c>
      <c r="B29" s="33" t="n">
        <f aca="false">_xlfn.IFNA(INDEX(TblRaces[],MATCH(TblUnits[[#This Row],[Unit Names]],TblRaces[Unitname],0),5),"")</f>
        <v>0</v>
      </c>
      <c r="C29" s="33" t="n">
        <f aca="false">_xlfn.IFNA(INDEX(TblRaces[],MATCH(TblUnits[[#This Row],[Unit Names]],TblRaces[Unitname],0),6),"")</f>
        <v>0</v>
      </c>
      <c r="D29" s="33" t="n">
        <f aca="false">_xlfn.IFNA(INDEX(TblRaces[],MATCH(TblUnits[[#This Row],[Unit Names]],TblRaces[Unitname],0),7),"")</f>
        <v>1000</v>
      </c>
      <c r="E29" s="26" t="str">
        <f aca="false">_xlfn.IFNA(INDEX(TblRaces[],MATCH(TblUnits[[#This Row],[Unit Names]],TblRaces[Unitname],0),8),"")</f>
        <v>+ 1 wizard</v>
      </c>
      <c r="F29" s="26" t="n">
        <v>5</v>
      </c>
      <c r="H29" s="1" t="s">
        <v>47</v>
      </c>
      <c r="I29" s="21" t="n">
        <f aca="false">INDEX(TblRaces[[Max population]:[Explore Cost]],MATCH(race,TblRaces[Race],0),MATCH(Table4[[#This Row],[Race Bonuses]],TblRaces[[#Headers],[Max population]:[Explore Cost]],0))</f>
        <v>0</v>
      </c>
      <c r="O29" s="30"/>
    </row>
    <row r="30" s="4" customFormat="true" ht="12.75" hidden="false" customHeight="false" outlineLevel="0" collapsed="false">
      <c r="A30" s="38" t="s">
        <v>48</v>
      </c>
      <c r="D30" s="39"/>
      <c r="G30" s="17"/>
      <c r="H30" s="1" t="s">
        <v>49</v>
      </c>
      <c r="I30" s="21" t="n">
        <f aca="false">INDEX(TblRaces[[Max population]:[Explore Cost]],MATCH(race,TblRaces[Race],0),MATCH(Table4[[#This Row],[Race Bonuses]],TblRaces[[#Headers],[Max population]:[Explore Cost]],0))</f>
        <v>-0.1</v>
      </c>
      <c r="O30" s="30"/>
    </row>
    <row r="31" s="4" customFormat="true" ht="12.75" hidden="false" customHeight="false" outlineLevel="0" collapsed="false">
      <c r="A31" s="38"/>
      <c r="D31" s="39"/>
      <c r="G31" s="17"/>
      <c r="H31" s="1" t="s">
        <v>50</v>
      </c>
      <c r="I31" s="21" t="n">
        <f aca="false">INDEX(TblRaces[[Max population]:[Explore Cost]],MATCH(race,TblRaces[Race],0),MATCH(Table4[[#This Row],[Race Bonuses]],TblRaces[[#Headers],[Max population]:[Explore Cost]],0))</f>
        <v>0</v>
      </c>
      <c r="O31" s="30"/>
    </row>
    <row r="32" s="4" customFormat="true" ht="12.75" hidden="false" customHeight="false" outlineLevel="0" collapsed="false">
      <c r="A32" s="40"/>
      <c r="B32" s="41"/>
      <c r="C32" s="41"/>
      <c r="D32" s="42"/>
      <c r="E32" s="41"/>
      <c r="F32" s="41"/>
      <c r="G32" s="41"/>
      <c r="H32" s="43" t="s">
        <v>51</v>
      </c>
      <c r="I32" s="44" t="n">
        <f aca="false">INDEX(TblRaces[[Max population]:[Explore Cost]],MATCH(race,TblRaces[Race],0),MATCH(Table4[[#This Row],[Race Bonuses]],TblRaces[[#Headers],[Max population]:[Explore Cost]],0))</f>
        <v>0</v>
      </c>
      <c r="J32" s="41"/>
      <c r="O32" s="45"/>
    </row>
    <row r="33" s="47" customFormat="true" ht="29.25" hidden="false" customHeight="true" outlineLevel="0" collapsed="false">
      <c r="A33" s="46" t="s">
        <v>52</v>
      </c>
      <c r="B33" s="46"/>
      <c r="C33" s="46"/>
      <c r="D33" s="46"/>
      <c r="E33" s="46"/>
      <c r="F33" s="46"/>
      <c r="G33" s="46"/>
      <c r="H33" s="46"/>
      <c r="I33" s="46"/>
      <c r="J33" s="46"/>
      <c r="K33" s="46"/>
      <c r="L33" s="46"/>
      <c r="M33" s="46"/>
      <c r="N33" s="46"/>
      <c r="O33" s="46"/>
    </row>
    <row r="34" customFormat="false" ht="12.75" hidden="false" customHeight="false" outlineLevel="0" collapsed="false">
      <c r="A34" s="31" t="s">
        <v>53</v>
      </c>
      <c r="B34" s="1" t="s">
        <v>54</v>
      </c>
      <c r="C34" s="48" t="s">
        <v>32</v>
      </c>
      <c r="D34" s="49" t="s">
        <v>13</v>
      </c>
      <c r="E34" s="50" t="s">
        <v>55</v>
      </c>
      <c r="F34" s="48" t="s">
        <v>33</v>
      </c>
      <c r="G34" s="49" t="s">
        <v>56</v>
      </c>
      <c r="H34" s="49" t="s">
        <v>57</v>
      </c>
      <c r="I34" s="51" t="s">
        <v>11</v>
      </c>
      <c r="J34" s="4"/>
      <c r="K34" s="4"/>
      <c r="L34" s="4"/>
      <c r="M34" s="4"/>
      <c r="N34" s="4"/>
      <c r="O34" s="52"/>
    </row>
    <row r="35" customFormat="false" ht="12.75" hidden="false" customHeight="false" outlineLevel="0" collapsed="false">
      <c r="A35" s="53" t="s">
        <v>58</v>
      </c>
      <c r="B35" s="54" t="s">
        <v>59</v>
      </c>
      <c r="C35" s="55" t="s">
        <v>60</v>
      </c>
      <c r="D35" s="56" t="s">
        <v>13</v>
      </c>
      <c r="E35" s="54" t="s">
        <v>61</v>
      </c>
      <c r="F35" s="56" t="s">
        <v>60</v>
      </c>
      <c r="G35" s="56" t="s">
        <v>13</v>
      </c>
      <c r="H35" s="56" t="s">
        <v>61</v>
      </c>
      <c r="I35" s="57" t="s">
        <v>58</v>
      </c>
      <c r="J35" s="4"/>
      <c r="K35" s="16" t="s">
        <v>62</v>
      </c>
      <c r="L35" s="4"/>
      <c r="M35" s="4"/>
      <c r="N35" s="58"/>
      <c r="O35" s="17"/>
    </row>
    <row r="36" customFormat="false" ht="12.75" hidden="false" customHeight="true" outlineLevel="0" collapsed="false">
      <c r="A36" s="53" t="str">
        <f aca="false">spec_op_name</f>
        <v>Fire Spirit</v>
      </c>
      <c r="B36" s="59" t="n">
        <f aca="false">Military!E$76</f>
        <v>0</v>
      </c>
      <c r="C36" s="60" t="n">
        <f aca="false">B36*B22</f>
        <v>0</v>
      </c>
      <c r="D36" s="61" t="n">
        <f aca="false">Military!Q76</f>
        <v>0.025</v>
      </c>
      <c r="E36" s="59" t="n">
        <f aca="false">C36*(1+$D$36)</f>
        <v>0</v>
      </c>
      <c r="F36" s="62" t="n">
        <f aca="false">B36*C22</f>
        <v>0</v>
      </c>
      <c r="G36" s="61" t="n">
        <f aca="false">Military!U76</f>
        <v>0.2375</v>
      </c>
      <c r="H36" s="62" t="n">
        <f aca="false">F36*(1+$G$36)</f>
        <v>0</v>
      </c>
      <c r="I36" s="63" t="str">
        <f aca="false">A36</f>
        <v>Fire Spirit</v>
      </c>
      <c r="J36" s="4"/>
      <c r="K36" s="64" t="s">
        <v>63</v>
      </c>
      <c r="L36" s="64"/>
      <c r="M36" s="64"/>
      <c r="N36" s="64"/>
      <c r="O36" s="17"/>
    </row>
    <row r="37" customFormat="false" ht="12.75" hidden="false" customHeight="false" outlineLevel="0" collapsed="false">
      <c r="A37" s="65" t="str">
        <f aca="false">spec_dp_name</f>
        <v>Flamewolf</v>
      </c>
      <c r="B37" s="66" t="n">
        <f aca="false">Military!F$76</f>
        <v>699</v>
      </c>
      <c r="C37" s="67" t="n">
        <f aca="false">B37*B23</f>
        <v>0</v>
      </c>
      <c r="D37" s="68"/>
      <c r="E37" s="66" t="n">
        <f aca="false">C37*(1+$D$36)</f>
        <v>0</v>
      </c>
      <c r="F37" s="69" t="n">
        <f aca="false">B37*C23</f>
        <v>2097</v>
      </c>
      <c r="G37" s="68"/>
      <c r="H37" s="69" t="n">
        <f aca="false">F37*(1+$G$36)</f>
        <v>2595.0375</v>
      </c>
      <c r="I37" s="63" t="str">
        <f aca="false">A37</f>
        <v>Flamewolf</v>
      </c>
      <c r="J37" s="4"/>
      <c r="K37" s="64"/>
      <c r="L37" s="64"/>
      <c r="M37" s="64"/>
      <c r="N37" s="64"/>
      <c r="O37" s="17"/>
    </row>
    <row r="38" customFormat="false" ht="12.75" hidden="false" customHeight="false" outlineLevel="0" collapsed="false">
      <c r="A38" s="65" t="str">
        <f aca="false">elite1_name</f>
        <v>Phoenix</v>
      </c>
      <c r="B38" s="66" t="n">
        <f aca="false">Military!G$76</f>
        <v>625</v>
      </c>
      <c r="C38" s="67" t="n">
        <f aca="false">B38*B24</f>
        <v>0</v>
      </c>
      <c r="D38" s="68"/>
      <c r="E38" s="66" t="n">
        <f aca="false">C38*(1+$D$36)</f>
        <v>0</v>
      </c>
      <c r="F38" s="69" t="e">
        <f aca="false">B38*C24+E88*D88</f>
        <v>#VALUE!</v>
      </c>
      <c r="G38" s="68"/>
      <c r="H38" s="69" t="e">
        <f aca="false">F38*(1+$G$36)</f>
        <v>#VALUE!</v>
      </c>
      <c r="I38" s="63" t="str">
        <f aca="false">A38</f>
        <v>Phoenix</v>
      </c>
      <c r="J38" s="4"/>
      <c r="K38" s="64"/>
      <c r="L38" s="64"/>
      <c r="M38" s="64"/>
      <c r="N38" s="64"/>
      <c r="O38" s="17"/>
    </row>
    <row r="39" customFormat="false" ht="12.75" hidden="false" customHeight="true" outlineLevel="0" collapsed="false">
      <c r="A39" s="65" t="str">
        <f aca="false">elite2_name</f>
        <v>Salamander</v>
      </c>
      <c r="B39" s="66" t="n">
        <f aca="false">Military!H$76</f>
        <v>638</v>
      </c>
      <c r="C39" s="70" t="e">
        <f aca="false">B39*B25+E88*C89</f>
        <v>#VALUE!</v>
      </c>
      <c r="D39" s="68"/>
      <c r="E39" s="71" t="e">
        <f aca="false">C39*(1+$D$36)</f>
        <v>#VALUE!</v>
      </c>
      <c r="F39" s="72" t="e">
        <f aca="false">B39*C25</f>
        <v>#VALUE!</v>
      </c>
      <c r="G39" s="68"/>
      <c r="H39" s="72" t="e">
        <f aca="false">F39*(1+$G$36)</f>
        <v>#VALUE!</v>
      </c>
      <c r="I39" s="63" t="str">
        <f aca="false">A39</f>
        <v>Salamander</v>
      </c>
      <c r="J39" s="4"/>
      <c r="K39" s="23" t="s">
        <v>64</v>
      </c>
      <c r="L39" s="23"/>
      <c r="M39" s="23"/>
      <c r="N39" s="23"/>
      <c r="O39" s="17"/>
    </row>
    <row r="40" customFormat="false" ht="12.75" hidden="false" customHeight="false" outlineLevel="0" collapsed="false">
      <c r="A40" s="73"/>
      <c r="B40" s="59"/>
      <c r="C40" s="74" t="e">
        <f aca="false">SUM(C36:C39)</f>
        <v>#VALUE!</v>
      </c>
      <c r="E40" s="75" t="e">
        <f aca="false">SUM(E36:E39)</f>
        <v>#VALUE!</v>
      </c>
      <c r="F40" s="76" t="e">
        <f aca="false">SUM(F36:F39)</f>
        <v>#VALUE!</v>
      </c>
      <c r="H40" s="76" t="e">
        <f aca="false">SUM(H36:H39)</f>
        <v>#VALUE!</v>
      </c>
      <c r="I40" s="55"/>
      <c r="J40" s="4"/>
      <c r="K40" s="23"/>
      <c r="L40" s="23"/>
      <c r="M40" s="23"/>
      <c r="N40" s="23"/>
      <c r="O40" s="17"/>
    </row>
    <row r="41" customFormat="false" ht="12.75" hidden="false" customHeight="true" outlineLevel="0" collapsed="false">
      <c r="A41" s="77" t="s">
        <v>65</v>
      </c>
      <c r="B41" s="69" t="n">
        <f aca="false">F41</f>
        <v>0</v>
      </c>
      <c r="C41" s="77"/>
      <c r="E41" s="78"/>
      <c r="F41" s="69" t="n">
        <f aca="false">Military!AA76</f>
        <v>0</v>
      </c>
      <c r="H41" s="69" t="n">
        <f aca="false">F41*(1+$G$36)</f>
        <v>0</v>
      </c>
      <c r="I41" s="63" t="s">
        <v>66</v>
      </c>
      <c r="J41" s="4"/>
      <c r="K41" s="64" t="s">
        <v>67</v>
      </c>
      <c r="L41" s="64"/>
      <c r="M41" s="64"/>
      <c r="N41" s="64"/>
      <c r="O41" s="17"/>
    </row>
    <row r="42" customFormat="false" ht="12.75" hidden="false" customHeight="false" outlineLevel="0" collapsed="false">
      <c r="A42" s="77" t="s">
        <v>68</v>
      </c>
      <c r="B42" s="1" t="n">
        <f aca="false">E54</f>
        <v>0</v>
      </c>
      <c r="C42" s="77"/>
      <c r="E42" s="78"/>
      <c r="F42" s="79" t="n">
        <f aca="false">MIN(Population!C76/2,Constants!B14*20*Construction!BE76)</f>
        <v>0</v>
      </c>
      <c r="H42" s="80" t="n">
        <f aca="false">F42*(1+$G$36)</f>
        <v>0</v>
      </c>
      <c r="I42" s="63" t="s">
        <v>69</v>
      </c>
      <c r="J42" s="4"/>
      <c r="K42" s="64"/>
      <c r="L42" s="64"/>
      <c r="M42" s="64"/>
      <c r="N42" s="64"/>
      <c r="O42" s="17"/>
    </row>
    <row r="43" customFormat="false" ht="12.75" hidden="false" customHeight="false" outlineLevel="0" collapsed="false">
      <c r="C43" s="77"/>
      <c r="E43" s="78"/>
      <c r="F43" s="76" t="e">
        <f aca="false">F41+F40+F42</f>
        <v>#VALUE!</v>
      </c>
      <c r="H43" s="75" t="e">
        <f aca="false">H41+H40+H42</f>
        <v>#VALUE!</v>
      </c>
      <c r="I43" s="63"/>
      <c r="J43" s="4"/>
      <c r="K43" s="64"/>
      <c r="L43" s="64"/>
      <c r="M43" s="64"/>
      <c r="N43" s="64"/>
      <c r="O43" s="17"/>
    </row>
    <row r="44" customFormat="false" ht="12.75" hidden="false" customHeight="false" outlineLevel="0" collapsed="false">
      <c r="A44" s="4"/>
      <c r="B44" s="4"/>
      <c r="C44" s="4"/>
      <c r="D44" s="81"/>
      <c r="E44" s="81"/>
      <c r="F44" s="81"/>
      <c r="G44" s="81"/>
      <c r="H44" s="81"/>
      <c r="I44" s="4"/>
      <c r="J44" s="4"/>
      <c r="K44" s="4"/>
      <c r="L44" s="4"/>
      <c r="M44" s="4"/>
      <c r="N44" s="4"/>
      <c r="O44" s="17"/>
    </row>
    <row r="45" customFormat="false" ht="12.75" hidden="false" customHeight="false" outlineLevel="0" collapsed="false">
      <c r="A45" s="82" t="str">
        <f aca="false">A26</f>
        <v>Spy</v>
      </c>
      <c r="B45" s="83" t="n">
        <f aca="false">Military!I76</f>
        <v>25</v>
      </c>
      <c r="D45" s="4"/>
      <c r="E45" s="4"/>
      <c r="F45" s="4"/>
      <c r="G45" s="4"/>
      <c r="I45" s="4"/>
      <c r="J45" s="4"/>
      <c r="K45" s="4"/>
      <c r="L45" s="4"/>
      <c r="M45" s="4"/>
      <c r="N45" s="4"/>
      <c r="O45" s="17"/>
    </row>
    <row r="46" customFormat="false" ht="12.75" hidden="false" customHeight="false" outlineLevel="0" collapsed="false">
      <c r="A46" s="84" t="s">
        <v>42</v>
      </c>
      <c r="B46" s="85" t="n">
        <f aca="false">Military!J76</f>
        <v>0</v>
      </c>
      <c r="C46" s="4"/>
      <c r="D46" s="31" t="s">
        <v>70</v>
      </c>
      <c r="E46" s="86" t="s">
        <v>54</v>
      </c>
      <c r="F46" s="1" t="s">
        <v>71</v>
      </c>
      <c r="G46" s="4"/>
      <c r="H46" s="16" t="s">
        <v>72</v>
      </c>
      <c r="I46" s="4"/>
      <c r="J46" s="4"/>
      <c r="K46" s="4"/>
      <c r="L46" s="4"/>
      <c r="M46" s="4"/>
      <c r="N46" s="4"/>
      <c r="O46" s="17"/>
    </row>
    <row r="47" customFormat="false" ht="12.75" hidden="false" customHeight="false" outlineLevel="0" collapsed="false">
      <c r="A47" s="87" t="str">
        <f aca="false">A28</f>
        <v>Wizard</v>
      </c>
      <c r="B47" s="88" t="n">
        <f aca="false">Military!K76</f>
        <v>25</v>
      </c>
      <c r="C47" s="4"/>
      <c r="D47" s="13" t="s">
        <v>73</v>
      </c>
      <c r="E47" s="89" t="n">
        <f aca="false">Construction!BT76</f>
        <v>700</v>
      </c>
      <c r="F47" s="90" t="n">
        <v>1</v>
      </c>
      <c r="G47" s="4"/>
      <c r="H47" s="1" t="s">
        <v>74</v>
      </c>
      <c r="I47" s="91" t="s">
        <v>60</v>
      </c>
      <c r="J47" s="86" t="s">
        <v>61</v>
      </c>
      <c r="K47" s="4"/>
      <c r="L47" s="4"/>
      <c r="M47" s="4"/>
      <c r="N47" s="4"/>
      <c r="O47" s="17"/>
    </row>
    <row r="48" customFormat="false" ht="12.75" hidden="false" customHeight="false" outlineLevel="0" collapsed="false">
      <c r="A48" s="92" t="str">
        <f aca="false">A29</f>
        <v>Archmage</v>
      </c>
      <c r="B48" s="93" t="n">
        <f aca="false">Military!L76</f>
        <v>0</v>
      </c>
      <c r="C48" s="4"/>
      <c r="D48" s="94" t="str">
        <f aca="false">Construction!AY3</f>
        <v>Tot Hom</v>
      </c>
      <c r="E48" s="95" t="n">
        <f aca="false">Construction!AY76</f>
        <v>40</v>
      </c>
      <c r="F48" s="96" t="n">
        <f aca="false">E48/$E$47</f>
        <v>0.0571428571428571</v>
      </c>
      <c r="G48" s="4"/>
      <c r="H48" s="1" t="s">
        <v>75</v>
      </c>
      <c r="I48" s="97" t="e">
        <f aca="false">C40/E47</f>
        <v>#VALUE!</v>
      </c>
      <c r="J48" s="97" t="e">
        <f aca="false">E40/E47</f>
        <v>#VALUE!</v>
      </c>
      <c r="K48" s="4"/>
      <c r="L48" s="4"/>
      <c r="M48" s="4"/>
      <c r="N48" s="4"/>
      <c r="O48" s="17"/>
    </row>
    <row r="49" customFormat="false" ht="12.75" hidden="false" customHeight="false" outlineLevel="0" collapsed="false">
      <c r="A49" s="4"/>
      <c r="B49" s="4"/>
      <c r="C49" s="4"/>
      <c r="D49" s="94" t="str">
        <f aca="false">Construction!AZ3</f>
        <v>Tot Alc</v>
      </c>
      <c r="E49" s="1" t="n">
        <f aca="false">Construction!AZ76</f>
        <v>275</v>
      </c>
      <c r="F49" s="96" t="n">
        <f aca="false">E49/$E$47</f>
        <v>0.392857142857143</v>
      </c>
      <c r="G49" s="4"/>
      <c r="H49" s="1" t="s">
        <v>76</v>
      </c>
      <c r="I49" s="97" t="e">
        <f aca="false">F40/E47</f>
        <v>#VALUE!</v>
      </c>
      <c r="J49" s="97" t="e">
        <f aca="false">H40/E47</f>
        <v>#VALUE!</v>
      </c>
      <c r="K49" s="4"/>
      <c r="L49" s="4"/>
      <c r="M49" s="4"/>
      <c r="N49" s="4"/>
      <c r="O49" s="17"/>
    </row>
    <row r="50" customFormat="false" ht="12.75" hidden="false" customHeight="false" outlineLevel="0" collapsed="false">
      <c r="A50" s="82" t="s">
        <v>77</v>
      </c>
      <c r="B50" s="83" t="n">
        <f aca="false">Production!N76*(boat_size + tech_6_3_3*Techs!BH76)</f>
        <v>847.5</v>
      </c>
      <c r="C50" s="4"/>
      <c r="D50" s="94" t="str">
        <f aca="false">Construction!BA3</f>
        <v>Tot Farm</v>
      </c>
      <c r="E50" s="1" t="n">
        <f aca="false">Construction!BA76</f>
        <v>29</v>
      </c>
      <c r="F50" s="96" t="n">
        <f aca="false">E50/$E$47</f>
        <v>0.0414285714285714</v>
      </c>
      <c r="G50" s="4"/>
      <c r="H50" s="1" t="s">
        <v>78</v>
      </c>
      <c r="I50" s="97" t="n">
        <f aca="false">(B45 + B46*2 + B38*D90*E90 + B38*D91*E91)/E47</f>
        <v>0.0357142857142857</v>
      </c>
      <c r="J50" s="97" t="n">
        <f aca="false">I50*(1+I26)</f>
        <v>0.0357142857142857</v>
      </c>
      <c r="K50" s="4"/>
      <c r="L50" s="4"/>
      <c r="M50" s="4"/>
      <c r="N50" s="4"/>
      <c r="O50" s="17"/>
    </row>
    <row r="51" customFormat="false" ht="12.75" hidden="false" customHeight="false" outlineLevel="0" collapsed="false">
      <c r="A51" s="92" t="s">
        <v>79</v>
      </c>
      <c r="B51" s="93" t="n">
        <f aca="false">SUM(Imps!M4:M76)</f>
        <v>64</v>
      </c>
      <c r="C51" s="4"/>
      <c r="D51" s="94" t="str">
        <f aca="false">Construction!BB3</f>
        <v>Tot Smi</v>
      </c>
      <c r="E51" s="1" t="n">
        <f aca="false">Construction!BB76</f>
        <v>126</v>
      </c>
      <c r="F51" s="96" t="n">
        <f aca="false">E51/$E$47</f>
        <v>0.18</v>
      </c>
      <c r="G51" s="4"/>
      <c r="H51" s="1" t="s">
        <v>80</v>
      </c>
      <c r="I51" s="97" t="n">
        <f aca="false">(B48*2+B47 + B38*D92*E92 + B38*D93*E93)/E47</f>
        <v>0.0357142857142857</v>
      </c>
      <c r="J51" s="97" t="n">
        <f aca="false">I51*(1+I27+Constants!O58*Techs!AL76)</f>
        <v>0.0357142857142857</v>
      </c>
      <c r="K51" s="4"/>
      <c r="L51" s="4"/>
      <c r="M51" s="4"/>
      <c r="N51" s="4"/>
      <c r="O51" s="17"/>
    </row>
    <row r="52" customFormat="false" ht="12.75" hidden="false" customHeight="false" outlineLevel="0" collapsed="false">
      <c r="C52" s="4"/>
      <c r="D52" s="94" t="str">
        <f aca="false">Construction!BC3</f>
        <v>Tot Mas</v>
      </c>
      <c r="E52" s="1" t="n">
        <f aca="false">Construction!BC76</f>
        <v>0</v>
      </c>
      <c r="F52" s="96" t="n">
        <f aca="false">E52/$E$47</f>
        <v>0</v>
      </c>
      <c r="G52" s="4"/>
      <c r="H52" s="4"/>
      <c r="I52" s="4"/>
      <c r="J52" s="4"/>
      <c r="K52" s="4"/>
      <c r="L52" s="4"/>
      <c r="M52" s="4"/>
      <c r="N52" s="4"/>
      <c r="O52" s="17"/>
    </row>
    <row r="53" customFormat="false" ht="12.75" hidden="false" customHeight="false" outlineLevel="0" collapsed="false">
      <c r="A53" s="98" t="s">
        <v>73</v>
      </c>
      <c r="B53" s="99" t="n">
        <f aca="false">E47</f>
        <v>700</v>
      </c>
      <c r="C53" s="4"/>
      <c r="D53" s="94" t="str">
        <f aca="false">Construction!BD3</f>
        <v>Tot Ly</v>
      </c>
      <c r="E53" s="1" t="n">
        <f aca="false">Construction!BD76</f>
        <v>25</v>
      </c>
      <c r="F53" s="96" t="n">
        <f aca="false">E53/$E$47</f>
        <v>0.0357142857142857</v>
      </c>
      <c r="G53" s="4"/>
      <c r="H53" s="16" t="s">
        <v>34</v>
      </c>
      <c r="I53" s="4"/>
      <c r="J53" s="4"/>
      <c r="K53" s="4"/>
      <c r="L53" s="4"/>
      <c r="M53" s="4"/>
      <c r="N53" s="4"/>
      <c r="O53" s="17"/>
    </row>
    <row r="54" customFormat="false" ht="12.75" hidden="false" customHeight="false" outlineLevel="0" collapsed="false">
      <c r="A54" s="100" t="s">
        <v>81</v>
      </c>
      <c r="B54" s="101" t="n">
        <f aca="false">Population!C76</f>
        <v>9771</v>
      </c>
      <c r="C54" s="4"/>
      <c r="D54" s="94" t="str">
        <f aca="false">Construction!BE3</f>
        <v>Tot Hav</v>
      </c>
      <c r="E54" s="1" t="n">
        <f aca="false">Construction!BE76</f>
        <v>0</v>
      </c>
      <c r="F54" s="96" t="n">
        <f aca="false">E54/$E$47</f>
        <v>0</v>
      </c>
      <c r="G54" s="4"/>
      <c r="H54" s="1" t="s">
        <v>82</v>
      </c>
      <c r="I54" s="77" t="s">
        <v>59</v>
      </c>
      <c r="J54" s="1" t="s">
        <v>83</v>
      </c>
      <c r="K54" s="4"/>
      <c r="L54" s="4"/>
      <c r="M54" s="4"/>
      <c r="N54" s="4"/>
      <c r="O54" s="17"/>
    </row>
    <row r="55" customFormat="false" ht="12.75" hidden="false" customHeight="false" outlineLevel="0" collapsed="false">
      <c r="A55" s="102" t="s">
        <v>65</v>
      </c>
      <c r="B55" s="103" t="n">
        <f aca="false">B41</f>
        <v>0</v>
      </c>
      <c r="C55" s="4"/>
      <c r="D55" s="94" t="str">
        <f aca="false">Construction!BF3</f>
        <v>Tot OM</v>
      </c>
      <c r="E55" s="1" t="n">
        <f aca="false">Construction!BF76</f>
        <v>0</v>
      </c>
      <c r="F55" s="96" t="n">
        <f aca="false">E55/$E$47</f>
        <v>0</v>
      </c>
      <c r="G55" s="4"/>
      <c r="H55" s="104" t="n">
        <v>61</v>
      </c>
      <c r="I55" s="33" t="n">
        <f aca="false">Production!H64</f>
        <v>12986</v>
      </c>
      <c r="J55" s="33" t="n">
        <f aca="false">Production!H64+SUM(Military!AR4:AR64)</f>
        <v>795890</v>
      </c>
      <c r="K55" s="4"/>
      <c r="L55" s="4"/>
      <c r="M55" s="4"/>
      <c r="N55" s="4"/>
      <c r="O55" s="17"/>
    </row>
    <row r="56" customFormat="false" ht="12.75" hidden="false" customHeight="false" outlineLevel="0" collapsed="false">
      <c r="A56" s="100" t="s">
        <v>36</v>
      </c>
      <c r="B56" s="101" t="e">
        <f aca="false">Production!G76</f>
        <v>#VALUE!</v>
      </c>
      <c r="C56" s="4"/>
      <c r="D56" s="94" t="str">
        <f aca="false">Construction!BG3</f>
        <v>Tot GN</v>
      </c>
      <c r="E56" s="1" t="n">
        <f aca="false">Construction!BG76</f>
        <v>0</v>
      </c>
      <c r="F56" s="96" t="n">
        <f aca="false">E56/$E$47</f>
        <v>0</v>
      </c>
      <c r="G56" s="4"/>
      <c r="H56" s="104" t="n">
        <v>64</v>
      </c>
      <c r="I56" s="33" t="n">
        <f aca="false">Production!H67</f>
        <v>7459</v>
      </c>
      <c r="J56" s="33" t="n">
        <f aca="false">Production!H67+SUM(Military!AR5:AR67)</f>
        <v>924571</v>
      </c>
      <c r="K56" s="105"/>
      <c r="L56" s="4"/>
      <c r="M56" s="4"/>
      <c r="N56" s="4"/>
      <c r="O56" s="17"/>
    </row>
    <row r="57" customFormat="false" ht="12.75" hidden="false" customHeight="false" outlineLevel="0" collapsed="false">
      <c r="A57" s="102" t="s">
        <v>84</v>
      </c>
      <c r="B57" s="103" t="e">
        <f aca="false">H40</f>
        <v>#VALUE!</v>
      </c>
      <c r="C57" s="4"/>
      <c r="D57" s="94" t="str">
        <f aca="false">Construction!BJ3</f>
        <v>Tot Bar</v>
      </c>
      <c r="E57" s="1" t="n">
        <f aca="false">Construction!BJ76</f>
        <v>38</v>
      </c>
      <c r="F57" s="96" t="n">
        <f aca="false">E57/$E$47</f>
        <v>0.0542857142857143</v>
      </c>
      <c r="G57" s="4"/>
      <c r="H57" s="104" t="s">
        <v>85</v>
      </c>
      <c r="I57" s="33" t="n">
        <f aca="false">Production!H76</f>
        <v>5612</v>
      </c>
      <c r="J57" s="33" t="n">
        <f aca="false">Production!H76+SUM(Military!AR4:AR76)</f>
        <v>1354420</v>
      </c>
      <c r="K57" s="105"/>
      <c r="L57" s="4"/>
      <c r="M57" s="4"/>
      <c r="N57" s="4"/>
      <c r="O57" s="17"/>
    </row>
    <row r="58" customFormat="false" ht="12.75" hidden="false" customHeight="false" outlineLevel="0" collapsed="false">
      <c r="A58" s="100" t="s">
        <v>86</v>
      </c>
      <c r="B58" s="101" t="e">
        <f aca="false">E40</f>
        <v>#VALUE!</v>
      </c>
      <c r="C58" s="4"/>
      <c r="D58" s="94" t="str">
        <f aca="false">Construction!BH3</f>
        <v>Tot Fac</v>
      </c>
      <c r="E58" s="1" t="n">
        <f aca="false">Construction!BH76</f>
        <v>0</v>
      </c>
      <c r="F58" s="96" t="n">
        <f aca="false">E58/$E$47</f>
        <v>0</v>
      </c>
      <c r="G58" s="4"/>
      <c r="H58" s="4"/>
      <c r="I58" s="4"/>
      <c r="J58" s="4"/>
      <c r="K58" s="105"/>
      <c r="L58" s="4"/>
      <c r="M58" s="4"/>
      <c r="N58" s="4"/>
      <c r="O58" s="17"/>
    </row>
    <row r="59" customFormat="false" ht="12.75" hidden="false" customHeight="false" outlineLevel="0" collapsed="false">
      <c r="A59" s="102" t="s">
        <v>87</v>
      </c>
      <c r="B59" s="103" t="n">
        <f aca="false">Production!S76</f>
        <v>46564</v>
      </c>
      <c r="C59" s="4"/>
      <c r="D59" s="94" t="str">
        <f aca="false">Construction!BI3</f>
        <v>Tot GT</v>
      </c>
      <c r="E59" s="1" t="n">
        <f aca="false">Construction!BI76</f>
        <v>55</v>
      </c>
      <c r="F59" s="96" t="n">
        <f aca="false">E59/$E$47</f>
        <v>0.0785714285714286</v>
      </c>
      <c r="G59" s="4"/>
      <c r="H59" s="16" t="s">
        <v>88</v>
      </c>
      <c r="I59" s="4"/>
      <c r="J59" s="4"/>
      <c r="K59" s="4"/>
      <c r="L59" s="4"/>
      <c r="M59" s="4"/>
      <c r="N59" s="4"/>
      <c r="O59" s="17"/>
    </row>
    <row r="60" customFormat="false" ht="12.75" hidden="false" customHeight="false" outlineLevel="0" collapsed="false">
      <c r="A60" s="100" t="s">
        <v>34</v>
      </c>
      <c r="B60" s="101" t="n">
        <f aca="false">Production!H$76</f>
        <v>5612</v>
      </c>
      <c r="C60" s="4"/>
      <c r="D60" s="94" t="str">
        <f aca="false">Construction!BK3</f>
        <v>Tot Shr</v>
      </c>
      <c r="E60" s="1" t="n">
        <f aca="false">Construction!BK76</f>
        <v>0</v>
      </c>
      <c r="F60" s="96" t="n">
        <f aca="false">E60/$E$47</f>
        <v>0</v>
      </c>
      <c r="G60" s="4"/>
      <c r="H60" s="1" t="s">
        <v>89</v>
      </c>
      <c r="I60" s="67" t="s">
        <v>59</v>
      </c>
      <c r="J60" s="106" t="s">
        <v>90</v>
      </c>
      <c r="K60" s="4"/>
      <c r="L60" s="4"/>
      <c r="M60" s="4"/>
      <c r="N60" s="4"/>
      <c r="O60" s="17"/>
    </row>
    <row r="61" customFormat="false" ht="12.75" hidden="false" customHeight="false" outlineLevel="0" collapsed="false">
      <c r="A61" s="102" t="s">
        <v>91</v>
      </c>
      <c r="B61" s="103" t="n">
        <f aca="false">Production!I$76</f>
        <v>2975</v>
      </c>
      <c r="C61" s="4"/>
      <c r="D61" s="94" t="str">
        <f aca="false">Construction!BL3</f>
        <v>Tot Tow</v>
      </c>
      <c r="E61" s="1" t="n">
        <f aca="false">Construction!BL76</f>
        <v>29</v>
      </c>
      <c r="F61" s="96" t="n">
        <f aca="false">E61/$E$47</f>
        <v>0.0414285714285714</v>
      </c>
      <c r="G61" s="4"/>
      <c r="H61" s="1" t="s">
        <v>92</v>
      </c>
      <c r="I61" s="69" t="n">
        <f aca="false">SUM(Construction!AQ4:AQ76)</f>
        <v>379765</v>
      </c>
      <c r="J61" s="106" t="n">
        <f aca="false">IFERROR(Table18[[#This Row],[Amount]]/Table18[[#Totals],[Amount]],0)</f>
        <v>0.171842710061779</v>
      </c>
      <c r="K61" s="4"/>
      <c r="L61" s="4"/>
      <c r="M61" s="4"/>
      <c r="N61" s="4"/>
      <c r="O61" s="17"/>
    </row>
    <row r="62" customFormat="false" ht="12.75" hidden="false" customHeight="false" outlineLevel="0" collapsed="false">
      <c r="A62" s="100" t="s">
        <v>93</v>
      </c>
      <c r="B62" s="101" t="n">
        <f aca="false">Production!J$76</f>
        <v>14045</v>
      </c>
      <c r="C62" s="4"/>
      <c r="D62" s="94" t="str">
        <f aca="false">Construction!BM3</f>
        <v>Tot Tem</v>
      </c>
      <c r="E62" s="1" t="n">
        <f aca="false">Construction!BM76</f>
        <v>47</v>
      </c>
      <c r="F62" s="96" t="n">
        <f aca="false">E62/$E$47</f>
        <v>0.0671428571428571</v>
      </c>
      <c r="G62" s="4"/>
      <c r="H62" s="1" t="s">
        <v>94</v>
      </c>
      <c r="I62" s="69" t="n">
        <f aca="false">SUM(Explore!AH4:AH76)</f>
        <v>461529</v>
      </c>
      <c r="J62" s="106" t="n">
        <f aca="false">IFERROR(Table18[[#This Row],[Amount]]/Table18[[#Totals],[Amount]],0)</f>
        <v>0.208840715000337</v>
      </c>
      <c r="K62" s="4"/>
      <c r="L62" s="4"/>
      <c r="M62" s="4"/>
      <c r="N62" s="4"/>
      <c r="O62" s="17"/>
    </row>
    <row r="63" customFormat="false" ht="12.75" hidden="false" customHeight="false" outlineLevel="0" collapsed="false">
      <c r="A63" s="102" t="s">
        <v>95</v>
      </c>
      <c r="B63" s="103" t="n">
        <f aca="false">Production!K$76</f>
        <v>2172.5</v>
      </c>
      <c r="C63" s="4"/>
      <c r="D63" s="94" t="str">
        <f aca="false">Construction!BN3</f>
        <v>Tot WG</v>
      </c>
      <c r="E63" s="1" t="n">
        <f aca="false">Construction!BN76</f>
        <v>0</v>
      </c>
      <c r="F63" s="96" t="n">
        <f aca="false">E63/$E$47</f>
        <v>0</v>
      </c>
      <c r="G63" s="4"/>
      <c r="H63" s="1" t="s">
        <v>53</v>
      </c>
      <c r="I63" s="69" t="n">
        <f aca="false">SUM(Military!AR4:AR76)</f>
        <v>1348808</v>
      </c>
      <c r="J63" s="106" t="n">
        <f aca="false">IFERROR(Table18[[#This Row],[Amount]]/Table18[[#Totals],[Amount]],0)</f>
        <v>0.610332237233575</v>
      </c>
      <c r="K63" s="4"/>
      <c r="L63" s="4"/>
      <c r="M63" s="4"/>
      <c r="N63" s="4"/>
      <c r="O63" s="17"/>
    </row>
    <row r="64" customFormat="false" ht="12.75" hidden="false" customHeight="false" outlineLevel="0" collapsed="false">
      <c r="A64" s="100" t="s">
        <v>35</v>
      </c>
      <c r="B64" s="101" t="n">
        <f aca="false">Production!L$76</f>
        <v>0</v>
      </c>
      <c r="C64" s="4"/>
      <c r="D64" s="94" t="str">
        <f aca="false">Construction!BO3</f>
        <v>Tot DM</v>
      </c>
      <c r="E64" s="1" t="n">
        <f aca="false">Construction!BO76</f>
        <v>0</v>
      </c>
      <c r="F64" s="96" t="n">
        <f aca="false">E64/$E$47</f>
        <v>0</v>
      </c>
      <c r="G64" s="4"/>
      <c r="H64" s="1" t="s">
        <v>96</v>
      </c>
      <c r="I64" s="69" t="n">
        <f aca="false">SUM(Rezone!Y4:Y76)</f>
        <v>19855</v>
      </c>
      <c r="J64" s="106" t="n">
        <f aca="false">IFERROR(Table18[[#This Row],[Amount]]/Table18[[#Totals],[Amount]],0)</f>
        <v>0.00898433770430827</v>
      </c>
      <c r="K64" s="4"/>
      <c r="L64" s="4"/>
      <c r="M64" s="4"/>
      <c r="N64" s="4"/>
      <c r="O64" s="17"/>
    </row>
    <row r="65" customFormat="false" ht="12.75" hidden="false" customHeight="false" outlineLevel="0" collapsed="false">
      <c r="A65" s="102" t="s">
        <v>97</v>
      </c>
      <c r="B65" s="103" t="n">
        <f aca="false">Production!M$76</f>
        <v>0</v>
      </c>
      <c r="C65" s="4"/>
      <c r="D65" s="94" t="str">
        <f aca="false">Construction!BP3</f>
        <v>Tot Sch</v>
      </c>
      <c r="E65" s="1" t="n">
        <f aca="false">Construction!BP76</f>
        <v>0</v>
      </c>
      <c r="F65" s="96" t="n">
        <f aca="false">E65/$E$47</f>
        <v>0</v>
      </c>
      <c r="G65" s="4"/>
      <c r="H65" s="1" t="s">
        <v>98</v>
      </c>
      <c r="I65" s="69" t="n">
        <f aca="false">SUM(Imps!AM4:AM76)</f>
        <v>0</v>
      </c>
      <c r="J65" s="106" t="n">
        <f aca="false">IFERROR(Table18[[#This Row],[Amount]]/Table18[[#Totals],[Amount]],0)</f>
        <v>0</v>
      </c>
      <c r="K65" s="4"/>
      <c r="L65" s="4"/>
      <c r="M65" s="4"/>
      <c r="N65" s="4"/>
      <c r="O65" s="17"/>
    </row>
    <row r="66" customFormat="false" ht="12.75" hidden="false" customHeight="false" outlineLevel="0" collapsed="false">
      <c r="A66" s="100" t="s">
        <v>99</v>
      </c>
      <c r="B66" s="101" t="n">
        <f aca="false">Production!N$76</f>
        <v>28.25</v>
      </c>
      <c r="C66" s="4"/>
      <c r="D66" s="107" t="str">
        <f aca="false">Construction!BQ3</f>
        <v>Tot Doc</v>
      </c>
      <c r="E66" s="43" t="n">
        <f aca="false">Construction!BQ76</f>
        <v>24</v>
      </c>
      <c r="F66" s="108" t="n">
        <f aca="false">E66/$E$47</f>
        <v>0.0342857142857143</v>
      </c>
      <c r="G66" s="4"/>
      <c r="H66" s="1" t="s">
        <v>100</v>
      </c>
      <c r="I66" s="69" t="n">
        <f aca="false">SUBTOTAL(109,Table18[Amount])</f>
        <v>2209957</v>
      </c>
      <c r="J66" s="109" t="n">
        <f aca="false">1</f>
        <v>1</v>
      </c>
      <c r="K66" s="4"/>
      <c r="L66" s="4"/>
      <c r="M66" s="4"/>
      <c r="N66" s="4"/>
      <c r="O66" s="17"/>
    </row>
    <row r="67" customFormat="false" ht="12.75" hidden="false" customHeight="false" outlineLevel="0" collapsed="false">
      <c r="A67" s="102" t="s">
        <v>101</v>
      </c>
      <c r="B67" s="103" t="n">
        <f aca="false">SUM(Explore!T65:Z76)+SUM(Explore!S77:S87)*15</f>
        <v>0</v>
      </c>
      <c r="C67" s="4"/>
      <c r="D67" s="43" t="str">
        <f aca="false">B70</f>
        <v>Cavern</v>
      </c>
      <c r="E67" s="110" t="e">
        <f aca="false">Construction!DG76</f>
        <v>#VALUE!</v>
      </c>
      <c r="F67" s="108" t="e">
        <f aca="false">E67/E47</f>
        <v>#VALUE!</v>
      </c>
      <c r="G67" s="4"/>
      <c r="I67" s="4"/>
      <c r="K67" s="4"/>
      <c r="L67" s="4"/>
      <c r="M67" s="4"/>
      <c r="N67" s="4"/>
      <c r="O67" s="17"/>
    </row>
    <row r="68" customFormat="false" ht="12.75" hidden="false" customHeight="false" outlineLevel="0" collapsed="false">
      <c r="A68" s="100" t="s">
        <v>102</v>
      </c>
      <c r="B68" s="101" t="n">
        <f aca="false">Construction!D76</f>
        <v>12</v>
      </c>
      <c r="C68" s="4"/>
      <c r="D68" s="31" t="s">
        <v>103</v>
      </c>
      <c r="E68" s="76" t="n">
        <f aca="false">E47-SUM(E48:E66)-B68</f>
        <v>0</v>
      </c>
      <c r="F68" s="111" t="n">
        <f aca="false">E68/E47</f>
        <v>0</v>
      </c>
      <c r="G68" s="4"/>
      <c r="H68" s="4"/>
      <c r="I68" s="4"/>
      <c r="J68" s="4"/>
      <c r="K68" s="4"/>
      <c r="L68" s="4"/>
      <c r="M68" s="4"/>
      <c r="N68" s="4"/>
      <c r="O68" s="17"/>
    </row>
    <row r="69" customFormat="false" ht="12.75" hidden="false" customHeight="false" outlineLevel="0" collapsed="false">
      <c r="A69" s="112" t="s">
        <v>104</v>
      </c>
      <c r="B69" s="113" t="str">
        <f aca="false">VLOOKUP($B$14,Races!$A$4:$B$116,2,FALSE())</f>
        <v>Good</v>
      </c>
      <c r="C69" s="4"/>
      <c r="D69" s="31" t="s">
        <v>105</v>
      </c>
      <c r="E69" s="76" t="n">
        <f aca="false">B68</f>
        <v>12</v>
      </c>
      <c r="F69" s="31" t="n">
        <f aca="false">E69/E47</f>
        <v>0.0171428571428571</v>
      </c>
      <c r="G69" s="4"/>
      <c r="H69" s="4"/>
      <c r="I69" s="4"/>
      <c r="J69" s="4"/>
      <c r="K69" s="4"/>
      <c r="L69" s="4"/>
      <c r="M69" s="4"/>
      <c r="N69" s="4"/>
      <c r="O69" s="17"/>
    </row>
    <row r="70" customFormat="false" ht="12.75" hidden="false" customHeight="false" outlineLevel="0" collapsed="false">
      <c r="A70" s="112" t="s">
        <v>106</v>
      </c>
      <c r="B70" s="113" t="str">
        <f aca="false">VLOOKUP($B$14,Races!$A$4:$C$116,3,FALSE())</f>
        <v>Cavern</v>
      </c>
      <c r="C70" s="4"/>
      <c r="D70" s="4"/>
      <c r="E70" s="4"/>
      <c r="F70" s="4"/>
      <c r="G70" s="4"/>
      <c r="H70" s="4"/>
      <c r="I70" s="4"/>
      <c r="J70" s="4"/>
      <c r="K70" s="4"/>
      <c r="L70" s="4"/>
      <c r="M70" s="4"/>
      <c r="N70" s="4"/>
      <c r="O70" s="17"/>
    </row>
    <row r="71" customFormat="false" ht="12.75" hidden="false" customHeight="false" outlineLevel="0" collapsed="false">
      <c r="A71" s="4"/>
      <c r="B71" s="4"/>
      <c r="C71" s="4"/>
      <c r="D71" s="4"/>
      <c r="E71" s="4"/>
      <c r="F71" s="4"/>
      <c r="G71" s="4"/>
      <c r="H71" s="4"/>
      <c r="I71" s="4"/>
      <c r="J71" s="4"/>
      <c r="K71" s="4"/>
      <c r="L71" s="4"/>
      <c r="M71" s="4"/>
      <c r="N71" s="4"/>
      <c r="O71" s="17"/>
    </row>
    <row r="72" customFormat="false" ht="12.75" hidden="false" customHeight="false" outlineLevel="0" collapsed="false">
      <c r="A72" s="4"/>
      <c r="B72" s="4"/>
      <c r="C72" s="41"/>
      <c r="D72" s="41"/>
      <c r="E72" s="41"/>
      <c r="F72" s="41"/>
      <c r="G72" s="41"/>
      <c r="H72" s="41"/>
      <c r="I72" s="41"/>
      <c r="J72" s="41"/>
      <c r="K72" s="41"/>
      <c r="L72" s="41"/>
      <c r="M72" s="41"/>
      <c r="N72" s="41"/>
      <c r="O72" s="114"/>
    </row>
    <row r="73" customFormat="false" ht="12.75" hidden="false" customHeight="false" outlineLevel="0" collapsed="false">
      <c r="A73" s="115" t="s">
        <v>107</v>
      </c>
      <c r="B73" s="115"/>
      <c r="C73" s="116"/>
      <c r="D73" s="116"/>
      <c r="E73" s="116"/>
    </row>
    <row r="74" customFormat="false" ht="12.75" hidden="false" customHeight="false" outlineLevel="0" collapsed="false">
      <c r="A74" s="117" t="s">
        <v>108</v>
      </c>
      <c r="B74" s="118"/>
      <c r="C74" s="116"/>
      <c r="D74" s="116"/>
      <c r="E74" s="118"/>
    </row>
    <row r="75" customFormat="false" ht="12.75" hidden="false" customHeight="false" outlineLevel="0" collapsed="false">
      <c r="A75" s="119" t="s">
        <v>109</v>
      </c>
      <c r="B75" s="119" t="s">
        <v>110</v>
      </c>
      <c r="C75" s="119" t="s">
        <v>111</v>
      </c>
      <c r="D75" s="119" t="s">
        <v>112</v>
      </c>
      <c r="E75" s="116"/>
    </row>
    <row r="76" customFormat="false" ht="12.75" hidden="false" customHeight="false" outlineLevel="0" collapsed="false">
      <c r="A76" s="116" t="s">
        <v>113</v>
      </c>
      <c r="B76" s="116" t="s">
        <v>114</v>
      </c>
      <c r="C76" s="120"/>
      <c r="D76" s="120" t="e">
        <f aca="false">IF(Constants!F115="none",$F$67/Constants!C115,MIN(Constants!F115,$F$67/Constants!C115))</f>
        <v>#VALUE!</v>
      </c>
      <c r="E76" s="121" t="b">
        <f aca="false">$B$14=A76</f>
        <v>0</v>
      </c>
    </row>
    <row r="77" customFormat="false" ht="12.75" hidden="false" customHeight="false" outlineLevel="0" collapsed="false">
      <c r="A77" s="116"/>
      <c r="B77" s="116" t="s">
        <v>115</v>
      </c>
      <c r="C77" s="120" t="e">
        <f aca="false">IF(Constants!F116="none",$F$67/Constants!C116,MIN(Constants!F116,$F$67/Constants!C116))</f>
        <v>#VALUE!</v>
      </c>
      <c r="D77" s="120" t="e">
        <f aca="false">IF(Constants!F117="none",$F$67/Constants!C117,MIN(Constants!F117,$F$67/Constants!C117))</f>
        <v>#VALUE!</v>
      </c>
      <c r="E77" s="116"/>
    </row>
    <row r="78" customFormat="false" ht="12.75" hidden="false" customHeight="false" outlineLevel="0" collapsed="false">
      <c r="A78" s="116" t="s">
        <v>116</v>
      </c>
      <c r="B78" s="116" t="s">
        <v>117</v>
      </c>
      <c r="C78" s="120"/>
      <c r="D78" s="120" t="e">
        <f aca="false">MIN(Constants!F118,$F$67/Constants!C118)</f>
        <v>#VALUE!</v>
      </c>
      <c r="E78" s="121" t="b">
        <f aca="false">$B$14=A78</f>
        <v>0</v>
      </c>
    </row>
    <row r="79" customFormat="false" ht="12.75" hidden="false" customHeight="false" outlineLevel="0" collapsed="false">
      <c r="A79" s="116" t="s">
        <v>118</v>
      </c>
      <c r="B79" s="116" t="s">
        <v>119</v>
      </c>
      <c r="C79" s="120"/>
      <c r="D79" s="120" t="e">
        <f aca="false">MIN(Constants!F119,$F$67/Constants!C119)</f>
        <v>#VALUE!</v>
      </c>
      <c r="E79" s="121" t="b">
        <f aca="false">$B$14=A79</f>
        <v>0</v>
      </c>
    </row>
    <row r="80" customFormat="false" ht="12.75" hidden="false" customHeight="false" outlineLevel="0" collapsed="false">
      <c r="A80" s="116" t="s">
        <v>120</v>
      </c>
      <c r="B80" s="116" t="s">
        <v>121</v>
      </c>
      <c r="C80" s="120" t="n">
        <f aca="false">MIN(Constants!F120,F63/Constants!C120)</f>
        <v>0</v>
      </c>
      <c r="D80" s="120" t="n">
        <f aca="false">MIN(Constants!F121,F63/Constants!C121)</f>
        <v>0</v>
      </c>
      <c r="E80" s="121" t="b">
        <f aca="false">$B$14=A80</f>
        <v>0</v>
      </c>
    </row>
    <row r="81" customFormat="false" ht="12.75" hidden="false" customHeight="false" outlineLevel="0" collapsed="false">
      <c r="A81" s="116" t="s">
        <v>122</v>
      </c>
      <c r="B81" s="116" t="s">
        <v>123</v>
      </c>
      <c r="C81" s="116"/>
      <c r="D81" s="120" t="e">
        <f aca="false">MIN(Constants!F122,F67/Constants!C122)</f>
        <v>#VALUE!</v>
      </c>
      <c r="E81" s="121" t="b">
        <f aca="false">$B$14=A81</f>
        <v>0</v>
      </c>
    </row>
    <row r="82" customFormat="false" ht="12.75" hidden="false" customHeight="false" outlineLevel="0" collapsed="false">
      <c r="A82" s="116"/>
      <c r="B82" s="116" t="s">
        <v>124</v>
      </c>
      <c r="C82" s="116" t="n">
        <f aca="false">MIN(Constants!F123,I51*Constants!C123)</f>
        <v>0.0357142857142857</v>
      </c>
      <c r="D82" s="116"/>
      <c r="E82" s="116"/>
    </row>
    <row r="83" customFormat="false" ht="12.75" hidden="false" customHeight="false" outlineLevel="0" collapsed="false">
      <c r="A83" s="116" t="s">
        <v>125</v>
      </c>
      <c r="B83" s="116" t="s">
        <v>126</v>
      </c>
      <c r="C83" s="116"/>
      <c r="D83" s="120" t="n">
        <f aca="false">MIN(Constants!F124,250/Constants!C124)</f>
        <v>0</v>
      </c>
      <c r="E83" s="121" t="b">
        <f aca="false">$B$14=A83</f>
        <v>0</v>
      </c>
    </row>
    <row r="84" customFormat="false" ht="12.75" hidden="false" customHeight="false" outlineLevel="0" collapsed="false">
      <c r="A84" s="116" t="s">
        <v>125</v>
      </c>
      <c r="B84" s="116" t="s">
        <v>127</v>
      </c>
      <c r="C84" s="122" t="n">
        <f aca="false">MIN(bone_breaker_cap,250/bone_breaker_bonus)</f>
        <v>0.833333333333333</v>
      </c>
      <c r="E84" s="121" t="b">
        <f aca="false">$B$14=A84</f>
        <v>0</v>
      </c>
    </row>
    <row r="85" customFormat="false" ht="12.75" hidden="false" customHeight="false" outlineLevel="0" collapsed="false">
      <c r="A85" s="116" t="s">
        <v>128</v>
      </c>
      <c r="B85" s="116" t="s">
        <v>129</v>
      </c>
      <c r="C85" s="116"/>
      <c r="D85" s="120" t="e">
        <f aca="false">MIN(nox_nightshade_cap,E67/E47/nox_nightshade_swamp_bonus)</f>
        <v>#VALUE!</v>
      </c>
      <c r="E85" s="121" t="b">
        <f aca="false">$B$14=A85</f>
        <v>0</v>
      </c>
    </row>
    <row r="86" customFormat="false" ht="12.75" hidden="false" customHeight="false" outlineLevel="0" collapsed="false">
      <c r="A86" s="116"/>
      <c r="B86" s="116"/>
      <c r="C86" s="116"/>
      <c r="D86" s="120"/>
      <c r="E86" s="116"/>
    </row>
    <row r="87" customFormat="false" ht="12.75" hidden="false" customHeight="false" outlineLevel="0" collapsed="false">
      <c r="A87" s="117" t="s">
        <v>130</v>
      </c>
      <c r="B87" s="116"/>
      <c r="C87" s="116"/>
      <c r="D87" s="116"/>
      <c r="E87" s="116"/>
    </row>
    <row r="88" customFormat="false" ht="12.75" hidden="false" customHeight="false" outlineLevel="0" collapsed="false">
      <c r="A88" s="116" t="s">
        <v>131</v>
      </c>
      <c r="B88" s="116" t="s">
        <v>132</v>
      </c>
      <c r="C88" s="116"/>
      <c r="D88" s="116" t="n">
        <f aca="false">MIN(B38,B37)*2</f>
        <v>1250</v>
      </c>
      <c r="E88" s="121" t="b">
        <f aca="false">$B$14=A88</f>
        <v>0</v>
      </c>
    </row>
    <row r="89" customFormat="false" ht="12.75" hidden="false" customHeight="false" outlineLevel="0" collapsed="false">
      <c r="A89" s="116"/>
      <c r="B89" s="116" t="s">
        <v>133</v>
      </c>
      <c r="C89" s="116" t="n">
        <f aca="false">MIN(B39,B36)*2</f>
        <v>0</v>
      </c>
      <c r="D89" s="116"/>
      <c r="E89" s="116"/>
    </row>
    <row r="90" customFormat="false" ht="12.75" hidden="false" customHeight="false" outlineLevel="0" collapsed="false">
      <c r="A90" s="116" t="s">
        <v>134</v>
      </c>
      <c r="B90" s="116" t="s">
        <v>135</v>
      </c>
      <c r="C90" s="123" t="n">
        <v>0.2</v>
      </c>
      <c r="D90" s="123" t="n">
        <f aca="false">1/3</f>
        <v>0.333333333333333</v>
      </c>
      <c r="E90" s="121" t="b">
        <f aca="false">$B$14=A90</f>
        <v>0</v>
      </c>
    </row>
    <row r="91" customFormat="false" ht="12.75" hidden="false" customHeight="false" outlineLevel="0" collapsed="false">
      <c r="A91" s="116" t="s">
        <v>136</v>
      </c>
      <c r="B91" s="116" t="s">
        <v>137</v>
      </c>
      <c r="C91" s="123" t="n">
        <v>0.2</v>
      </c>
      <c r="D91" s="123" t="n">
        <v>0.2</v>
      </c>
      <c r="E91" s="121" t="b">
        <f aca="false">$B$14=A91</f>
        <v>0</v>
      </c>
    </row>
    <row r="92" customFormat="false" ht="12.75" hidden="false" customHeight="false" outlineLevel="0" collapsed="false">
      <c r="A92" s="116" t="s">
        <v>116</v>
      </c>
      <c r="B92" s="116" t="s">
        <v>117</v>
      </c>
      <c r="C92" s="123" t="n">
        <v>0.2</v>
      </c>
      <c r="D92" s="123" t="n">
        <v>0.25</v>
      </c>
      <c r="E92" s="121" t="b">
        <f aca="false">$B$14=A92</f>
        <v>0</v>
      </c>
    </row>
    <row r="93" customFormat="false" ht="12.75" hidden="false" customHeight="false" outlineLevel="0" collapsed="false">
      <c r="A93" s="116" t="s">
        <v>120</v>
      </c>
      <c r="B93" s="116" t="s">
        <v>121</v>
      </c>
      <c r="C93" s="123" t="n">
        <v>0.25</v>
      </c>
      <c r="D93" s="123" t="n">
        <v>0.2</v>
      </c>
      <c r="E93" s="121" t="b">
        <f aca="false">$B$14=A93</f>
        <v>0</v>
      </c>
    </row>
  </sheetData>
  <mergeCells count="16">
    <mergeCell ref="A1:L1"/>
    <mergeCell ref="M1:O1"/>
    <mergeCell ref="A2:L7"/>
    <mergeCell ref="M2:O12"/>
    <mergeCell ref="A8:I8"/>
    <mergeCell ref="J8:L12"/>
    <mergeCell ref="A9:I12"/>
    <mergeCell ref="A13:O13"/>
    <mergeCell ref="K16:N21"/>
    <mergeCell ref="K23:N27"/>
    <mergeCell ref="A33:O33"/>
    <mergeCell ref="K36:N38"/>
    <mergeCell ref="K39:N40"/>
    <mergeCell ref="K41:N43"/>
    <mergeCell ref="D44:H44"/>
    <mergeCell ref="A73:B73"/>
  </mergeCells>
  <conditionalFormatting sqref="A30">
    <cfRule type="expression" priority="2" aboveAverage="0" equalAverage="0" bottom="0" percent="0" rank="0" text="" dxfId="5">
      <formula>$B$14&lt;&gt;"Dark Elf"</formula>
    </cfRule>
    <cfRule type="expression" priority="3" aboveAverage="0" equalAverage="0" bottom="0" percent="0" rank="0" text="" dxfId="6">
      <formula>$B$14="Dark Elf"</formula>
    </cfRule>
  </conditionalFormatting>
  <conditionalFormatting sqref="D44">
    <cfRule type="expression" priority="4" aboveAverage="0" equalAverage="0" bottom="0" percent="0" rank="0" text="" dxfId="7">
      <formula>$D$44&lt;&gt;""</formula>
    </cfRule>
  </conditionalFormatting>
  <conditionalFormatting sqref="E18">
    <cfRule type="cellIs" priority="5" operator="equal" aboveAverage="0" equalAverage="0" bottom="0" percent="0" rank="0" text="" dxfId="8">
      <formula>"""Yes"""</formula>
    </cfRule>
    <cfRule type="expression" priority="6" aboveAverage="0" equalAverage="0" bottom="0" percent="0" rank="0" text="" dxfId="9">
      <formula>ISERROR(E18)</formula>
    </cfRule>
  </conditionalFormatting>
  <conditionalFormatting sqref="E17">
    <cfRule type="cellIs" priority="7" operator="lessThan" aboveAverage="0" equalAverage="0" bottom="0" percent="0" rank="0" text="" dxfId="10">
      <formula>1</formula>
    </cfRule>
  </conditionalFormatting>
  <dataValidations count="1">
    <dataValidation allowBlank="true" errorStyle="stop" operator="between" showDropDown="false" showErrorMessage="true" showInputMessage="true" sqref="B14" type="list">
      <formula1>races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6">
              <controlPr defaultSize="0" print="false" autoFill="0" autoPict="0">
                <anchor moveWithCells="true" sizeWithCells="false">
                  <from>
                    <xdr:col>5</xdr:col>
                    <xdr:colOff>142920</xdr:colOff>
                    <xdr:row>14</xdr:row>
                    <xdr:rowOff>95040</xdr:rowOff>
                  </from>
                  <to>
                    <xdr:col>6</xdr:col>
                    <xdr:colOff>262080</xdr:colOff>
                    <xdr:row>16</xdr:row>
                    <xdr:rowOff>71280</xdr:rowOff>
                  </to>
                </anchor>
              </controlPr>
            </control>
          </mc:Choice>
        </mc:AlternateContent>
      </controls>
    </mc:Choice>
  </mc:AlternateContent>
  <tableParts>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6A6A6"/>
    <pageSetUpPr fitToPage="false"/>
  </sheetPr>
  <dimension ref="A1:AD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2" topLeftCell="A44" activePane="bottomLeft" state="frozen"/>
      <selection pane="topLeft" activeCell="A1" activeCellId="0" sqref="A1"/>
      <selection pane="bottomLeft" activeCell="A4" activeCellId="0" sqref="A4"/>
    </sheetView>
  </sheetViews>
  <sheetFormatPr defaultColWidth="9.1484375" defaultRowHeight="12.75" zeroHeight="false" outlineLevelRow="0" outlineLevelCol="0"/>
  <cols>
    <col collapsed="false" customWidth="true" hidden="false" outlineLevel="0" max="1" min="1" style="26" width="8.57"/>
    <col collapsed="false" customWidth="true" hidden="false" outlineLevel="0" max="2" min="2" style="1" width="8.57"/>
    <col collapsed="false" customWidth="true" hidden="false" outlineLevel="0" max="3" min="3" style="1" width="11.71"/>
    <col collapsed="false" customWidth="true" hidden="false" outlineLevel="0" max="4" min="4" style="1" width="9.86"/>
    <col collapsed="false" customWidth="true" hidden="false" outlineLevel="0" max="5" min="5" style="1" width="11.14"/>
    <col collapsed="false" customWidth="true" hidden="false" outlineLevel="0" max="6" min="6" style="1" width="7.71"/>
    <col collapsed="false" customWidth="true" hidden="false" outlineLevel="0" max="7" min="7" style="1" width="11.43"/>
    <col collapsed="false" customWidth="true" hidden="false" outlineLevel="0" max="8" min="8" style="1" width="12.29"/>
    <col collapsed="false" customWidth="true" hidden="false" outlineLevel="0" max="9" min="9" style="1" width="14.86"/>
    <col collapsed="false" customWidth="true" hidden="false" outlineLevel="0" max="10" min="10" style="1" width="9.71"/>
    <col collapsed="false" customWidth="true" hidden="false" outlineLevel="0" max="11" min="11" style="1" width="2.86"/>
    <col collapsed="false" customWidth="true" hidden="false" outlineLevel="0" max="19" min="12" style="1" width="11.29"/>
    <col collapsed="false" customWidth="true" hidden="false" outlineLevel="0" max="20" min="20" style="1" width="2.86"/>
    <col collapsed="false" customWidth="true" hidden="false" outlineLevel="0" max="21" min="21" style="1" width="10.57"/>
    <col collapsed="false" customWidth="true" hidden="false" outlineLevel="0" max="22" min="22" style="1" width="11.43"/>
    <col collapsed="false" customWidth="true" hidden="false" outlineLevel="0" max="26" min="23" style="1" width="15.29"/>
    <col collapsed="false" customWidth="true" hidden="false" outlineLevel="0" max="27" min="27" style="1" width="2.86"/>
    <col collapsed="false" customWidth="true" hidden="false" outlineLevel="0" max="28" min="28" style="1" width="10.14"/>
    <col collapsed="false" customWidth="true" hidden="false" outlineLevel="0" max="29" min="29" style="1" width="10.85"/>
    <col collapsed="false" customWidth="false" hidden="false" outlineLevel="0" max="16384" min="30" style="1" width="9.14"/>
  </cols>
  <sheetData>
    <row r="1" s="31" customFormat="true" ht="12.75" hidden="false" customHeight="false" outlineLevel="0" collapsed="false">
      <c r="A1" s="124"/>
      <c r="C1" s="125" t="s">
        <v>138</v>
      </c>
      <c r="D1" s="125"/>
      <c r="E1" s="125"/>
      <c r="F1" s="125"/>
      <c r="G1" s="125"/>
      <c r="H1" s="125"/>
      <c r="I1" s="125"/>
      <c r="J1" s="124"/>
      <c r="K1" s="124"/>
      <c r="L1" s="125" t="s">
        <v>53</v>
      </c>
      <c r="M1" s="125"/>
      <c r="N1" s="125"/>
      <c r="O1" s="125"/>
      <c r="P1" s="125"/>
      <c r="Q1" s="125"/>
      <c r="R1" s="125"/>
      <c r="S1" s="125"/>
      <c r="U1" s="125" t="s">
        <v>16</v>
      </c>
      <c r="V1" s="125"/>
      <c r="W1" s="125" t="s">
        <v>139</v>
      </c>
      <c r="X1" s="125"/>
      <c r="Y1" s="125"/>
      <c r="Z1" s="125"/>
      <c r="AA1" s="125" t="s">
        <v>140</v>
      </c>
      <c r="AB1" s="125"/>
      <c r="AC1" s="125"/>
      <c r="AD1" s="125"/>
    </row>
    <row r="2" s="126" customFormat="true" ht="12.75" hidden="false" customHeight="false" outlineLevel="0" collapsed="false">
      <c r="M2" s="126" t="str">
        <f aca="false">Overview!$A$22</f>
        <v>Fire Spirit</v>
      </c>
      <c r="N2" s="126" t="str">
        <f aca="false">Overview!$A$23</f>
        <v>Flamewolf</v>
      </c>
      <c r="O2" s="126" t="str">
        <f aca="false">Overview!$A$24</f>
        <v>Phoenix</v>
      </c>
      <c r="P2" s="126" t="str">
        <f aca="false">Overview!$A$25</f>
        <v>Salamander</v>
      </c>
      <c r="Q2" s="126" t="s">
        <v>141</v>
      </c>
      <c r="R2" s="126" t="s">
        <v>142</v>
      </c>
      <c r="S2" s="126" t="s">
        <v>143</v>
      </c>
    </row>
    <row r="3" s="126" customFormat="true" ht="15" hidden="false" customHeight="true" outlineLevel="0" collapsed="false">
      <c r="A3" s="127" t="s">
        <v>82</v>
      </c>
      <c r="B3" s="127" t="s">
        <v>144</v>
      </c>
      <c r="C3" s="127" t="s">
        <v>81</v>
      </c>
      <c r="D3" s="127" t="s">
        <v>53</v>
      </c>
      <c r="E3" s="127" t="s">
        <v>65</v>
      </c>
      <c r="F3" s="127" t="s">
        <v>100</v>
      </c>
      <c r="G3" s="127" t="s">
        <v>145</v>
      </c>
      <c r="H3" s="127" t="s">
        <v>146</v>
      </c>
      <c r="I3" s="127" t="s">
        <v>147</v>
      </c>
      <c r="J3" s="127" t="s">
        <v>148</v>
      </c>
      <c r="K3" s="127" t="s">
        <v>11</v>
      </c>
      <c r="L3" s="127" t="s">
        <v>149</v>
      </c>
      <c r="M3" s="127" t="s">
        <v>150</v>
      </c>
      <c r="N3" s="127" t="s">
        <v>151</v>
      </c>
      <c r="O3" s="127" t="s">
        <v>152</v>
      </c>
      <c r="P3" s="127" t="s">
        <v>153</v>
      </c>
      <c r="Q3" s="127" t="s">
        <v>141</v>
      </c>
      <c r="R3" s="127" t="s">
        <v>142</v>
      </c>
      <c r="S3" s="127" t="s">
        <v>46</v>
      </c>
      <c r="T3" s="127" t="s">
        <v>154</v>
      </c>
      <c r="U3" s="127" t="s">
        <v>155</v>
      </c>
      <c r="V3" s="127" t="s">
        <v>156</v>
      </c>
      <c r="W3" s="127" t="s">
        <v>157</v>
      </c>
      <c r="X3" s="127" t="s">
        <v>158</v>
      </c>
      <c r="Y3" s="127" t="s">
        <v>159</v>
      </c>
      <c r="Z3" s="127" t="s">
        <v>160</v>
      </c>
      <c r="AA3" s="127" t="s">
        <v>161</v>
      </c>
      <c r="AB3" s="127" t="s">
        <v>139</v>
      </c>
      <c r="AC3" s="127" t="s">
        <v>162</v>
      </c>
    </row>
    <row r="4" customFormat="false" ht="12.75" hidden="false" customHeight="false" outlineLevel="0" collapsed="false">
      <c r="A4" s="128" t="n">
        <f aca="false">TblRezone[[#This Row],[Hour]]</f>
        <v>1</v>
      </c>
      <c r="B4" s="129" t="n">
        <f aca="false">TblImps[[#This Row],[Time]]</f>
        <v>45429.75</v>
      </c>
      <c r="C4" s="103" t="n">
        <f aca="false">start_peasants+TblMili[[#This Row],[Release Draft]]+MIN(13,days_late)*days_late_peasants</f>
        <v>1300</v>
      </c>
      <c r="D4" s="69" t="n">
        <f aca="false">TblMili[[#This Row],[Military]]</f>
        <v>300</v>
      </c>
      <c r="E4" s="69" t="n">
        <f aca="false">TblMili[[#This Row],[Draftees]]</f>
        <v>300</v>
      </c>
      <c r="F4" s="69" t="n">
        <f aca="false">TblPop[[#This Row],[Peasants]]+TblPop[[#This Row],[Military]]</f>
        <v>1600</v>
      </c>
      <c r="G4" s="130" t="n">
        <f aca="false">TblPop[[#This Row],[Military]]/TblPop[[#This Row],[Total]]</f>
        <v>0.1875</v>
      </c>
      <c r="H4" s="95" t="n">
        <f aca="false">MIN(TblPop[[#This Row],[Peasants]],TblPop[[#This Row],[Jobs]])</f>
        <v>1300</v>
      </c>
      <c r="I4" s="130" t="n">
        <f aca="false">MIN(OFFSET(TblPop[[#This Row],[Jobs]],1,0)/TblPop[[#This Row],[Peasants]],1)</f>
        <v>1</v>
      </c>
      <c r="J4" s="95" t="n">
        <f aca="false">SUM(TblConstr[[#This Row],[Tot Alc]:[Tot GT]],TblConstr[[#This Row],[Tot Shr]:[Tot Doc]],TblConstr[[#This Row],[Dest Alc]:[Dest GT]],TblConstr[[#This Row],[Dest Shr]:[Dest Doc]])*building_employment + TblConstr[[#This Row],[Tot Fac]]*bonus_jobs_facts</f>
        <v>1600</v>
      </c>
      <c r="K4" s="131"/>
      <c r="L4" s="33" t="n">
        <f aca="false">TblPop[[#This Row],[Draftees]]</f>
        <v>300</v>
      </c>
      <c r="M4" s="33" t="n">
        <f aca="false">TblMili[[#This Row],[Unit 1]]</f>
        <v>0</v>
      </c>
      <c r="N4" s="33" t="n">
        <f aca="false">TblMili[[#This Row],[Unit 2]]</f>
        <v>0</v>
      </c>
      <c r="O4" s="33" t="n">
        <f aca="false">TblMili[[#This Row],[Unit 3]]</f>
        <v>0</v>
      </c>
      <c r="P4" s="33" t="n">
        <f aca="false">TblMili[[#This Row],[Unit 4]]</f>
        <v>0</v>
      </c>
      <c r="Q4" s="33" t="n">
        <f aca="false">TblMili[[#This Row],[Spies]]</f>
        <v>0</v>
      </c>
      <c r="R4" s="33" t="n">
        <f aca="false">TblMili[[#This Row],[Wizards]]</f>
        <v>0</v>
      </c>
      <c r="S4" s="33" t="n">
        <f aca="false">TblMili[[#This Row],[Archmages]]</f>
        <v>0</v>
      </c>
      <c r="T4" s="132"/>
      <c r="U4" s="69" t="n">
        <f aca="false">ROUND(TblPop[[#This Row],[Raw max]]*(1+TblPop[[#This Row],[Max pop]]),0)+MIN(TblPop[[#This Row],[Military]]-TblPop[[#This Row],[Draftees]]-SUM(TblMili[[#This Row],[Train Unit 1]:[Train AM]]),(barracks_size + tech_8_3*TblTech[[#This Row],[8-3]])*TblConstr[[#This Row],[Tot Bar]])</f>
        <v>2475</v>
      </c>
      <c r="V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69" t="n">
        <f aca="false">MAX(-5%*TblPop[[#This Row],[Peasants]]-TblPop[[#This Row],[Draft Growth]],MIN(OFFSET(TblPop[[#This Row],[Net max]],1,0)-TblPop[[#This Row],[Peasants]]-TblPop[[#This Row],[Military]]-TblPop[[#This Row],[Draft Growth]],TblPop[[#This Row],[Modded Birth]]-TblPop[[#This Row],[Draft Growth]]))</f>
        <v>26</v>
      </c>
      <c r="X4" s="69" t="n">
        <f aca="false">ROUND(TblPop[[#This Row],[Raw Birth]]*(1+TblPop[[#This Row],[Growth]]),0)</f>
        <v>39</v>
      </c>
      <c r="Y4" s="69" t="n">
        <f aca="false">(TblPop[[#This Row],[Peasants]]-TblPop[[#This Row],[Draft Growth]])*raw_pop_growth</f>
        <v>38.61</v>
      </c>
      <c r="Z4" s="69" t="n">
        <f aca="false">IF(TblPop[[#This Row],[Military%]]&lt;TblMili[[#This Row],[Draftrate]],ROUND(TblPop[[#This Row],[Peasants]]*Constants!$B$55,0), 0)</f>
        <v>13</v>
      </c>
      <c r="AA4" s="132"/>
      <c r="AB4" s="109" t="n">
        <f aca="false">Overview!$I$16 + IF(Magic!AE4&gt;0,Constants!$F$78) + ROUND(6*(Construction!BM5+Construction!CK4)/IF(Explore!S5&gt;0,Construction!F5-20,Construction!F5),4) + tech_6_5_2*Techs!BJ4 + tech_8_4*Techs!BT4</f>
        <v>0</v>
      </c>
      <c r="AC4" s="130" t="n">
        <f aca="false">(Overview!$I$15 + Imps!Z4+ tech_2_5*Techs!AB4 + tech_3_6*Techs!AM4 + tech_6_1*Techs!BJ4 + tech_6_5*Techs!BF4 + tech_7_3_2*Techs!BN4) * (1 + Production!O4/100*prestige_pop_multiplier) + Production!O4/100*prestige_pop_multiplier</f>
        <v>0.07625</v>
      </c>
    </row>
    <row r="5" customFormat="false" ht="12.75" hidden="false" customHeight="false" outlineLevel="0" collapsed="false">
      <c r="A5" s="128" t="n">
        <f aca="false">TblRezone[[#This Row],[Hour]]</f>
        <v>2</v>
      </c>
      <c r="B5" s="129" t="n">
        <f aca="false">TblImps[[#This Row],[Time]]</f>
        <v>45429.7916666667</v>
      </c>
      <c r="C5" s="69" t="n">
        <f aca="false">OFFSET(TblPop[[#This Row],[Peasants]],-1,0)+OFFSET(TblPop[[#This Row],[Net Peasant]],-1,0)+TblMili[[#This Row],[Release Draft]]</f>
        <v>1326</v>
      </c>
      <c r="D5" s="69" t="n">
        <f aca="false">TblMili[[#This Row],[Military]]</f>
        <v>313</v>
      </c>
      <c r="E5" s="69" t="n">
        <f aca="false">TblMili[[#This Row],[Draftees]]</f>
        <v>313</v>
      </c>
      <c r="F5" s="69" t="n">
        <f aca="false">TblPop[[#This Row],[Peasants]]+TblPop[[#This Row],[Military]]</f>
        <v>1639</v>
      </c>
      <c r="G5" s="130" t="n">
        <f aca="false">TblPop[[#This Row],[Military]]/TblPop[[#This Row],[Total]]</f>
        <v>0.190970103721782</v>
      </c>
      <c r="H5" s="95" t="n">
        <f aca="false">MIN(TblPop[[#This Row],[Peasants]],TblPop[[#This Row],[Jobs]])</f>
        <v>1326</v>
      </c>
      <c r="I5" s="130" t="n">
        <f aca="false">MIN(OFFSET(TblPop[[#This Row],[Jobs]],1,0)/TblPop[[#This Row],[Peasants]],1)</f>
        <v>1</v>
      </c>
      <c r="J5" s="95" t="n">
        <f aca="false">SUM(TblConstr[[#This Row],[Tot Alc]:[Tot GT]],TblConstr[[#This Row],[Tot Shr]:[Tot Doc]],TblConstr[[#This Row],[Dest Alc]:[Dest GT]],TblConstr[[#This Row],[Dest Shr]:[Dest Doc]])*building_employment + TblConstr[[#This Row],[Tot Fac]]*bonus_jobs_facts</f>
        <v>1600</v>
      </c>
      <c r="K5" s="131"/>
      <c r="L5" s="33" t="n">
        <f aca="false">TblPop[[#This Row],[Draftees]]</f>
        <v>313</v>
      </c>
      <c r="M5" s="33" t="n">
        <f aca="false">TblMili[[#This Row],[Unit 1]]</f>
        <v>0</v>
      </c>
      <c r="N5" s="33" t="n">
        <f aca="false">TblMili[[#This Row],[Unit 2]]</f>
        <v>0</v>
      </c>
      <c r="O5" s="33" t="n">
        <f aca="false">TblMili[[#This Row],[Unit 3]]</f>
        <v>0</v>
      </c>
      <c r="P5" s="33" t="n">
        <f aca="false">TblMili[[#This Row],[Unit 4]]</f>
        <v>0</v>
      </c>
      <c r="Q5" s="33" t="n">
        <f aca="false">TblMili[[#This Row],[Spies]]</f>
        <v>0</v>
      </c>
      <c r="R5" s="33" t="n">
        <f aca="false">TblMili[[#This Row],[Wizards]]</f>
        <v>0</v>
      </c>
      <c r="S5" s="33" t="n">
        <f aca="false">TblMili[[#This Row],[Archmages]]</f>
        <v>0</v>
      </c>
      <c r="T5" s="132"/>
      <c r="U5" s="69" t="n">
        <f aca="false">ROUND(TblPop[[#This Row],[Raw max]]*(1+TblPop[[#This Row],[Max pop]]),0)+MIN(TblPop[[#This Row],[Military]]-TblPop[[#This Row],[Draftees]]-SUM(TblMili[[#This Row],[Train Unit 1]:[Train AM]]),(barracks_size + tech_8_3*TblTech[[#This Row],[8-3]])*TblConstr[[#This Row],[Tot Bar]])</f>
        <v>3874</v>
      </c>
      <c r="V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5" s="69" t="n">
        <f aca="false">MAX(-5%*TblPop[[#This Row],[Peasants]]-TblPop[[#This Row],[Draft Growth]],MIN(OFFSET(TblPop[[#This Row],[Net max]],1,0)-TblPop[[#This Row],[Peasants]]-TblPop[[#This Row],[Military]]-TblPop[[#This Row],[Draft Growth]],TblPop[[#This Row],[Modded Birth]]-TblPop[[#This Row],[Draft Growth]]))</f>
        <v>26</v>
      </c>
      <c r="X5" s="69" t="n">
        <f aca="false">ROUND(TblPop[[#This Row],[Raw Birth]]*(1+TblPop[[#This Row],[Growth]]),0)</f>
        <v>39</v>
      </c>
      <c r="Y5" s="69" t="n">
        <f aca="false">(TblPop[[#This Row],[Peasants]]-TblPop[[#This Row],[Draft Growth]])*raw_pop_growth</f>
        <v>39.39</v>
      </c>
      <c r="Z5" s="69" t="n">
        <f aca="false">IF(TblPop[[#This Row],[Military%]]&lt;TblMili[[#This Row],[Draftrate]],ROUND(TblPop[[#This Row],[Peasants]]*Constants!$B$55,0), 0)</f>
        <v>13</v>
      </c>
      <c r="AA5" s="132"/>
      <c r="AB5" s="109" t="n">
        <f aca="false">Overview!$I$16 + IF(Magic!AE5&gt;0,Constants!$F$78) + ROUND(6*(Construction!BM6+Construction!CK5)/IF(Explore!S6&gt;0,Construction!F6-20,Construction!F6),4) + tech_6_5_2*Techs!BJ5 + tech_8_4*Techs!BT5</f>
        <v>0</v>
      </c>
      <c r="AC5" s="130" t="n">
        <f aca="false">(Overview!$I$15 + Imps!Z5+ tech_2_5*Techs!AB5 + tech_3_6*Techs!AM5 + tech_6_1*Techs!BJ5 + tech_6_5*Techs!BF5 + tech_7_3_2*Techs!BN5) * (1 + Production!O5/100*prestige_pop_multiplier) + Production!O5/100*prestige_pop_multiplier</f>
        <v>0.07625</v>
      </c>
    </row>
    <row r="6" customFormat="false" ht="12.75" hidden="false" customHeight="false" outlineLevel="0" collapsed="false">
      <c r="A6" s="128" t="n">
        <f aca="false">TblRezone[[#This Row],[Hour]]</f>
        <v>3</v>
      </c>
      <c r="B6" s="129" t="n">
        <f aca="false">TblImps[[#This Row],[Time]]</f>
        <v>45429.8333333333</v>
      </c>
      <c r="C6" s="69" t="n">
        <f aca="false">OFFSET(TblPop[[#This Row],[Peasants]],-1,0)+OFFSET(TblPop[[#This Row],[Net Peasant]],-1,0)+TblMili[[#This Row],[Release Draft]]</f>
        <v>1352</v>
      </c>
      <c r="D6" s="69" t="n">
        <f aca="false">TblMili[[#This Row],[Military]]</f>
        <v>326</v>
      </c>
      <c r="E6" s="69" t="n">
        <f aca="false">TblMili[[#This Row],[Draftees]]</f>
        <v>326</v>
      </c>
      <c r="F6" s="69" t="n">
        <f aca="false">TblPop[[#This Row],[Peasants]]+TblPop[[#This Row],[Military]]</f>
        <v>1678</v>
      </c>
      <c r="G6" s="130" t="n">
        <f aca="false">TblPop[[#This Row],[Military]]/TblPop[[#This Row],[Total]]</f>
        <v>0.194278903456496</v>
      </c>
      <c r="H6" s="95" t="n">
        <f aca="false">MIN(TblPop[[#This Row],[Peasants]],TblPop[[#This Row],[Jobs]])</f>
        <v>1352</v>
      </c>
      <c r="I6" s="130" t="n">
        <f aca="false">MIN(OFFSET(TblPop[[#This Row],[Jobs]],1,0)/TblPop[[#This Row],[Peasants]],1)</f>
        <v>1</v>
      </c>
      <c r="J6" s="95" t="n">
        <f aca="false">SUM(TblConstr[[#This Row],[Tot Alc]:[Tot GT]],TblConstr[[#This Row],[Tot Shr]:[Tot Doc]],TblConstr[[#This Row],[Dest Alc]:[Dest GT]],TblConstr[[#This Row],[Dest Shr]:[Dest Doc]])*building_employment + TblConstr[[#This Row],[Tot Fac]]*bonus_jobs_facts</f>
        <v>1600</v>
      </c>
      <c r="K6" s="131"/>
      <c r="L6" s="33" t="n">
        <f aca="false">TblPop[[#This Row],[Draftees]]</f>
        <v>326</v>
      </c>
      <c r="M6" s="33" t="n">
        <f aca="false">TblMili[[#This Row],[Unit 1]]</f>
        <v>0</v>
      </c>
      <c r="N6" s="33" t="n">
        <f aca="false">TblMili[[#This Row],[Unit 2]]</f>
        <v>0</v>
      </c>
      <c r="O6" s="33" t="n">
        <f aca="false">TblMili[[#This Row],[Unit 3]]</f>
        <v>0</v>
      </c>
      <c r="P6" s="33" t="n">
        <f aca="false">TblMili[[#This Row],[Unit 4]]</f>
        <v>0</v>
      </c>
      <c r="Q6" s="33" t="n">
        <f aca="false">TblMili[[#This Row],[Spies]]</f>
        <v>0</v>
      </c>
      <c r="R6" s="33" t="n">
        <f aca="false">TblMili[[#This Row],[Wizards]]</f>
        <v>0</v>
      </c>
      <c r="S6" s="33" t="n">
        <f aca="false">TblMili[[#This Row],[Archmages]]</f>
        <v>0</v>
      </c>
      <c r="T6" s="132"/>
      <c r="U6" s="69" t="n">
        <f aca="false">ROUND(TblPop[[#This Row],[Raw max]]*(1+TblPop[[#This Row],[Max pop]]),0)+MIN(TblPop[[#This Row],[Military]]-TblPop[[#This Row],[Draftees]]-SUM(TblMili[[#This Row],[Train Unit 1]:[Train AM]]),(barracks_size + tech_8_3*TblTech[[#This Row],[8-3]])*TblConstr[[#This Row],[Tot Bar]])</f>
        <v>3874</v>
      </c>
      <c r="V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6" s="69" t="n">
        <f aca="false">MAX(-5%*TblPop[[#This Row],[Peasants]]-TblPop[[#This Row],[Draft Growth]],MIN(OFFSET(TblPop[[#This Row],[Net max]],1,0)-TblPop[[#This Row],[Peasants]]-TblPop[[#This Row],[Military]]-TblPop[[#This Row],[Draft Growth]],TblPop[[#This Row],[Modded Birth]]-TblPop[[#This Row],[Draft Growth]]))</f>
        <v>26</v>
      </c>
      <c r="X6" s="69" t="n">
        <f aca="false">ROUND(TblPop[[#This Row],[Raw Birth]]*(1+TblPop[[#This Row],[Growth]]),0)</f>
        <v>40</v>
      </c>
      <c r="Y6" s="69" t="n">
        <f aca="false">(TblPop[[#This Row],[Peasants]]-TblPop[[#This Row],[Draft Growth]])*raw_pop_growth</f>
        <v>40.14</v>
      </c>
      <c r="Z6" s="69" t="n">
        <f aca="false">IF(TblPop[[#This Row],[Military%]]&lt;TblMili[[#This Row],[Draftrate]],ROUND(TblPop[[#This Row],[Peasants]]*Constants!$B$55,0), 0)</f>
        <v>14</v>
      </c>
      <c r="AA6" s="132"/>
      <c r="AB6" s="109" t="n">
        <f aca="false">Overview!$I$16 + IF(Magic!AE6&gt;0,Constants!$F$78) + ROUND(6*(Construction!BM7+Construction!CK6)/IF(Explore!S7&gt;0,Construction!F7-20,Construction!F7),4) + tech_6_5_2*Techs!BJ6 + tech_8_4*Techs!BT6</f>
        <v>0</v>
      </c>
      <c r="AC6" s="130" t="n">
        <f aca="false">(Overview!$I$15 + Imps!Z6+ tech_2_5*Techs!AB6 + tech_3_6*Techs!AM6 + tech_6_1*Techs!BJ6 + tech_6_5*Techs!BF6 + tech_7_3_2*Techs!BN6) * (1 + Production!O6/100*prestige_pop_multiplier) + Production!O6/100*prestige_pop_multiplier</f>
        <v>0.07625</v>
      </c>
    </row>
    <row r="7" customFormat="false" ht="12.75" hidden="false" customHeight="false" outlineLevel="0" collapsed="false">
      <c r="A7" s="128" t="n">
        <f aca="false">TblRezone[[#This Row],[Hour]]</f>
        <v>4</v>
      </c>
      <c r="B7" s="129" t="n">
        <f aca="false">TblImps[[#This Row],[Time]]</f>
        <v>45429.875</v>
      </c>
      <c r="C7" s="69" t="n">
        <f aca="false">OFFSET(TblPop[[#This Row],[Peasants]],-1,0)+OFFSET(TblPop[[#This Row],[Net Peasant]],-1,0)+TblMili[[#This Row],[Release Draft]]</f>
        <v>1378</v>
      </c>
      <c r="D7" s="69" t="n">
        <f aca="false">TblMili[[#This Row],[Military]]</f>
        <v>340</v>
      </c>
      <c r="E7" s="69" t="n">
        <f aca="false">TblMili[[#This Row],[Draftees]]</f>
        <v>340</v>
      </c>
      <c r="F7" s="69" t="n">
        <f aca="false">TblPop[[#This Row],[Peasants]]+TblPop[[#This Row],[Military]]</f>
        <v>1718</v>
      </c>
      <c r="G7" s="130" t="n">
        <f aca="false">TblPop[[#This Row],[Military]]/TblPop[[#This Row],[Total]]</f>
        <v>0.19790454016298</v>
      </c>
      <c r="H7" s="95" t="n">
        <f aca="false">MIN(TblPop[[#This Row],[Peasants]],TblPop[[#This Row],[Jobs]])</f>
        <v>1378</v>
      </c>
      <c r="I7" s="130" t="n">
        <f aca="false">MIN(OFFSET(TblPop[[#This Row],[Jobs]],1,0)/TblPop[[#This Row],[Peasants]],1)</f>
        <v>1</v>
      </c>
      <c r="J7" s="95" t="n">
        <f aca="false">SUM(TblConstr[[#This Row],[Tot Alc]:[Tot GT]],TblConstr[[#This Row],[Tot Shr]:[Tot Doc]],TblConstr[[#This Row],[Dest Alc]:[Dest GT]],TblConstr[[#This Row],[Dest Shr]:[Dest Doc]])*building_employment + TblConstr[[#This Row],[Tot Fac]]*bonus_jobs_facts</f>
        <v>1600</v>
      </c>
      <c r="K7" s="131"/>
      <c r="L7" s="33" t="n">
        <f aca="false">TblPop[[#This Row],[Draftees]]</f>
        <v>340</v>
      </c>
      <c r="M7" s="33" t="n">
        <f aca="false">TblMili[[#This Row],[Unit 1]]</f>
        <v>0</v>
      </c>
      <c r="N7" s="33" t="n">
        <f aca="false">TblMili[[#This Row],[Unit 2]]</f>
        <v>0</v>
      </c>
      <c r="O7" s="33" t="n">
        <f aca="false">TblMili[[#This Row],[Unit 3]]</f>
        <v>0</v>
      </c>
      <c r="P7" s="33" t="n">
        <f aca="false">TblMili[[#This Row],[Unit 4]]</f>
        <v>0</v>
      </c>
      <c r="Q7" s="33" t="n">
        <f aca="false">TblMili[[#This Row],[Spies]]</f>
        <v>0</v>
      </c>
      <c r="R7" s="33" t="n">
        <f aca="false">TblMili[[#This Row],[Wizards]]</f>
        <v>0</v>
      </c>
      <c r="S7" s="33" t="n">
        <f aca="false">TblMili[[#This Row],[Archmages]]</f>
        <v>0</v>
      </c>
      <c r="T7" s="132"/>
      <c r="U7" s="69" t="n">
        <f aca="false">ROUND(TblPop[[#This Row],[Raw max]]*(1+TblPop[[#This Row],[Max pop]]),0)+MIN(TblPop[[#This Row],[Military]]-TblPop[[#This Row],[Draftees]]-SUM(TblMili[[#This Row],[Train Unit 1]:[Train AM]]),(barracks_size + tech_8_3*TblTech[[#This Row],[8-3]])*TblConstr[[#This Row],[Tot Bar]])</f>
        <v>3874</v>
      </c>
      <c r="V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7" s="69" t="n">
        <f aca="false">MAX(-5%*TblPop[[#This Row],[Peasants]]-TblPop[[#This Row],[Draft Growth]],MIN(OFFSET(TblPop[[#This Row],[Net max]],1,0)-TblPop[[#This Row],[Peasants]]-TblPop[[#This Row],[Military]]-TblPop[[#This Row],[Draft Growth]],TblPop[[#This Row],[Modded Birth]]-TblPop[[#This Row],[Draft Growth]]))</f>
        <v>27</v>
      </c>
      <c r="X7" s="69" t="n">
        <f aca="false">ROUND(TblPop[[#This Row],[Raw Birth]]*(1+TblPop[[#This Row],[Growth]]),0)</f>
        <v>41</v>
      </c>
      <c r="Y7" s="69" t="n">
        <f aca="false">(TblPop[[#This Row],[Peasants]]-TblPop[[#This Row],[Draft Growth]])*raw_pop_growth</f>
        <v>40.92</v>
      </c>
      <c r="Z7" s="69" t="n">
        <f aca="false">IF(TblPop[[#This Row],[Military%]]&lt;TblMili[[#This Row],[Draftrate]],ROUND(TblPop[[#This Row],[Peasants]]*Constants!$B$55,0), 0)</f>
        <v>14</v>
      </c>
      <c r="AA7" s="132"/>
      <c r="AB7" s="109" t="n">
        <f aca="false">Overview!$I$16 + IF(Magic!AE7&gt;0,Constants!$F$78) + ROUND(6*(Construction!BM8+Construction!CK7)/IF(Explore!S8&gt;0,Construction!F8-20,Construction!F8),4) + tech_6_5_2*Techs!BJ7 + tech_8_4*Techs!BT7</f>
        <v>0</v>
      </c>
      <c r="AC7" s="130" t="n">
        <f aca="false">(Overview!$I$15 + Imps!Z7+ tech_2_5*Techs!AB7 + tech_3_6*Techs!AM7 + tech_6_1*Techs!BJ7 + tech_6_5*Techs!BF7 + tech_7_3_2*Techs!BN7) * (1 + Production!O7/100*prestige_pop_multiplier) + Production!O7/100*prestige_pop_multiplier</f>
        <v>0.07625</v>
      </c>
    </row>
    <row r="8" customFormat="false" ht="12.75" hidden="false" customHeight="false" outlineLevel="0" collapsed="false">
      <c r="A8" s="128" t="n">
        <f aca="false">TblRezone[[#This Row],[Hour]]</f>
        <v>5</v>
      </c>
      <c r="B8" s="129" t="n">
        <f aca="false">TblImps[[#This Row],[Time]]</f>
        <v>45429.9166666667</v>
      </c>
      <c r="C8" s="69" t="n">
        <f aca="false">OFFSET(TblPop[[#This Row],[Peasants]],-1,0)+OFFSET(TblPop[[#This Row],[Net Peasant]],-1,0)+TblMili[[#This Row],[Release Draft]]</f>
        <v>1405</v>
      </c>
      <c r="D8" s="69" t="n">
        <f aca="false">TblMili[[#This Row],[Military]]</f>
        <v>354</v>
      </c>
      <c r="E8" s="69" t="n">
        <f aca="false">TblMili[[#This Row],[Draftees]]</f>
        <v>354</v>
      </c>
      <c r="F8" s="69" t="n">
        <f aca="false">TblPop[[#This Row],[Peasants]]+TblPop[[#This Row],[Military]]</f>
        <v>1759</v>
      </c>
      <c r="G8" s="130" t="n">
        <f aca="false">TblPop[[#This Row],[Military]]/TblPop[[#This Row],[Total]]</f>
        <v>0.20125071063104</v>
      </c>
      <c r="H8" s="95" t="n">
        <f aca="false">MIN(TblPop[[#This Row],[Peasants]],TblPop[[#This Row],[Jobs]])</f>
        <v>1405</v>
      </c>
      <c r="I8" s="130" t="n">
        <f aca="false">MIN(OFFSET(TblPop[[#This Row],[Jobs]],1,0)/TblPop[[#This Row],[Peasants]],1)</f>
        <v>1</v>
      </c>
      <c r="J8" s="95" t="n">
        <f aca="false">SUM(TblConstr[[#This Row],[Tot Alc]:[Tot GT]],TblConstr[[#This Row],[Tot Shr]:[Tot Doc]],TblConstr[[#This Row],[Dest Alc]:[Dest GT]],TblConstr[[#This Row],[Dest Shr]:[Dest Doc]])*building_employment + TblConstr[[#This Row],[Tot Fac]]*bonus_jobs_facts</f>
        <v>1600</v>
      </c>
      <c r="K8" s="131"/>
      <c r="L8" s="33" t="n">
        <f aca="false">TblPop[[#This Row],[Draftees]]</f>
        <v>354</v>
      </c>
      <c r="M8" s="33" t="n">
        <f aca="false">TblMili[[#This Row],[Unit 1]]</f>
        <v>0</v>
      </c>
      <c r="N8" s="33" t="n">
        <f aca="false">TblMili[[#This Row],[Unit 2]]</f>
        <v>0</v>
      </c>
      <c r="O8" s="33" t="n">
        <f aca="false">TblMili[[#This Row],[Unit 3]]</f>
        <v>0</v>
      </c>
      <c r="P8" s="33" t="n">
        <f aca="false">TblMili[[#This Row],[Unit 4]]</f>
        <v>0</v>
      </c>
      <c r="Q8" s="33" t="n">
        <f aca="false">TblMili[[#This Row],[Spies]]</f>
        <v>0</v>
      </c>
      <c r="R8" s="33" t="n">
        <f aca="false">TblMili[[#This Row],[Wizards]]</f>
        <v>0</v>
      </c>
      <c r="S8" s="33" t="n">
        <f aca="false">TblMili[[#This Row],[Archmages]]</f>
        <v>0</v>
      </c>
      <c r="T8" s="132"/>
      <c r="U8" s="69" t="n">
        <f aca="false">ROUND(TblPop[[#This Row],[Raw max]]*(1+TblPop[[#This Row],[Max pop]]),0)+MIN(TblPop[[#This Row],[Military]]-TblPop[[#This Row],[Draftees]]-SUM(TblMili[[#This Row],[Train Unit 1]:[Train AM]]),(barracks_size + tech_8_3*TblTech[[#This Row],[8-3]])*TblConstr[[#This Row],[Tot Bar]])</f>
        <v>3874</v>
      </c>
      <c r="V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8" s="69" t="n">
        <f aca="false">MAX(-5%*TblPop[[#This Row],[Peasants]]-TblPop[[#This Row],[Draft Growth]],MIN(OFFSET(TblPop[[#This Row],[Net max]],1,0)-TblPop[[#This Row],[Peasants]]-TblPop[[#This Row],[Military]]-TblPop[[#This Row],[Draft Growth]],TblPop[[#This Row],[Modded Birth]]-TblPop[[#This Row],[Draft Growth]]))</f>
        <v>28</v>
      </c>
      <c r="X8" s="69" t="n">
        <f aca="false">ROUND(TblPop[[#This Row],[Raw Birth]]*(1+TblPop[[#This Row],[Growth]]),0)</f>
        <v>42</v>
      </c>
      <c r="Y8" s="69" t="n">
        <f aca="false">(TblPop[[#This Row],[Peasants]]-TblPop[[#This Row],[Draft Growth]])*raw_pop_growth</f>
        <v>41.73</v>
      </c>
      <c r="Z8" s="69" t="n">
        <f aca="false">IF(TblPop[[#This Row],[Military%]]&lt;TblMili[[#This Row],[Draftrate]],ROUND(TblPop[[#This Row],[Peasants]]*Constants!$B$55,0), 0)</f>
        <v>14</v>
      </c>
      <c r="AA8" s="132"/>
      <c r="AB8" s="109" t="n">
        <f aca="false">Overview!$I$16 + IF(Magic!AE8&gt;0,Constants!$F$78) + ROUND(6*(Construction!BM9+Construction!CK8)/IF(Explore!S9&gt;0,Construction!F9-20,Construction!F9),4) + tech_6_5_2*Techs!BJ8 + tech_8_4*Techs!BT8</f>
        <v>0</v>
      </c>
      <c r="AC8" s="130" t="n">
        <f aca="false">(Overview!$I$15 + Imps!Z8+ tech_2_5*Techs!AB8 + tech_3_6*Techs!AM8 + tech_6_1*Techs!BJ8 + tech_6_5*Techs!BF8 + tech_7_3_2*Techs!BN8) * (1 + Production!O8/100*prestige_pop_multiplier) + Production!O8/100*prestige_pop_multiplier</f>
        <v>0.07625</v>
      </c>
    </row>
    <row r="9" customFormat="false" ht="12.75" hidden="false" customHeight="false" outlineLevel="0" collapsed="false">
      <c r="A9" s="128" t="n">
        <f aca="false">TblRezone[[#This Row],[Hour]]</f>
        <v>6</v>
      </c>
      <c r="B9" s="129" t="n">
        <f aca="false">TblImps[[#This Row],[Time]]</f>
        <v>45429.9583333333</v>
      </c>
      <c r="C9" s="69" t="n">
        <f aca="false">OFFSET(TblPop[[#This Row],[Peasants]],-1,0)+OFFSET(TblPop[[#This Row],[Net Peasant]],-1,0)+TblMili[[#This Row],[Release Draft]]</f>
        <v>1433</v>
      </c>
      <c r="D9" s="69" t="n">
        <f aca="false">TblMili[[#This Row],[Military]]</f>
        <v>272</v>
      </c>
      <c r="E9" s="69" t="n">
        <f aca="false">TblMili[[#This Row],[Draftees]]</f>
        <v>272</v>
      </c>
      <c r="F9" s="69" t="n">
        <f aca="false">TblPop[[#This Row],[Peasants]]+TblPop[[#This Row],[Military]]</f>
        <v>1705</v>
      </c>
      <c r="G9" s="130" t="n">
        <f aca="false">TblPop[[#This Row],[Military]]/TblPop[[#This Row],[Total]]</f>
        <v>0.159530791788856</v>
      </c>
      <c r="H9" s="95" t="n">
        <f aca="false">MIN(TblPop[[#This Row],[Peasants]],TblPop[[#This Row],[Jobs]])</f>
        <v>1433</v>
      </c>
      <c r="I9" s="130" t="n">
        <f aca="false">MIN(OFFSET(TblPop[[#This Row],[Jobs]],1,0)/TblPop[[#This Row],[Peasants]],1)</f>
        <v>1</v>
      </c>
      <c r="J9" s="95" t="n">
        <f aca="false">SUM(TblConstr[[#This Row],[Tot Alc]:[Tot GT]],TblConstr[[#This Row],[Tot Shr]:[Tot Doc]],TblConstr[[#This Row],[Dest Alc]:[Dest GT]],TblConstr[[#This Row],[Dest Shr]:[Dest Doc]])*building_employment + TblConstr[[#This Row],[Tot Fac]]*bonus_jobs_facts</f>
        <v>1600</v>
      </c>
      <c r="K9" s="131"/>
      <c r="L9" s="33" t="n">
        <f aca="false">TblPop[[#This Row],[Draftees]]</f>
        <v>272</v>
      </c>
      <c r="M9" s="33" t="n">
        <f aca="false">TblMili[[#This Row],[Unit 1]]</f>
        <v>0</v>
      </c>
      <c r="N9" s="33" t="n">
        <f aca="false">TblMili[[#This Row],[Unit 2]]</f>
        <v>0</v>
      </c>
      <c r="O9" s="33" t="n">
        <f aca="false">TblMili[[#This Row],[Unit 3]]</f>
        <v>0</v>
      </c>
      <c r="P9" s="33" t="n">
        <f aca="false">TblMili[[#This Row],[Unit 4]]</f>
        <v>0</v>
      </c>
      <c r="Q9" s="33" t="n">
        <f aca="false">TblMili[[#This Row],[Spies]]</f>
        <v>0</v>
      </c>
      <c r="R9" s="33" t="n">
        <f aca="false">TblMili[[#This Row],[Wizards]]</f>
        <v>0</v>
      </c>
      <c r="S9" s="33" t="n">
        <f aca="false">TblMili[[#This Row],[Archmages]]</f>
        <v>0</v>
      </c>
      <c r="T9" s="132"/>
      <c r="U9" s="69" t="n">
        <f aca="false">ROUND(TblPop[[#This Row],[Raw max]]*(1+TblPop[[#This Row],[Max pop]]),0)+MIN(TblPop[[#This Row],[Military]]-TblPop[[#This Row],[Draftees]]-SUM(TblMili[[#This Row],[Train Unit 1]:[Train AM]]),(barracks_size + tech_8_3*TblTech[[#This Row],[8-3]])*TblConstr[[#This Row],[Tot Bar]])</f>
        <v>3874</v>
      </c>
      <c r="V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9" s="69" t="n">
        <f aca="false">MAX(-5%*TblPop[[#This Row],[Peasants]]-TblPop[[#This Row],[Draft Growth]],MIN(OFFSET(TblPop[[#This Row],[Net max]],1,0)-TblPop[[#This Row],[Peasants]]-TblPop[[#This Row],[Military]]-TblPop[[#This Row],[Draft Growth]],TblPop[[#This Row],[Modded Birth]]-TblPop[[#This Row],[Draft Growth]]))</f>
        <v>29</v>
      </c>
      <c r="X9" s="69" t="n">
        <f aca="false">ROUND(TblPop[[#This Row],[Raw Birth]]*(1+TblPop[[#This Row],[Growth]]),0)</f>
        <v>43</v>
      </c>
      <c r="Y9" s="69" t="n">
        <f aca="false">(TblPop[[#This Row],[Peasants]]-TblPop[[#This Row],[Draft Growth]])*raw_pop_growth</f>
        <v>42.57</v>
      </c>
      <c r="Z9" s="69" t="n">
        <f aca="false">IF(TblPop[[#This Row],[Military%]]&lt;TblMili[[#This Row],[Draftrate]],ROUND(TblPop[[#This Row],[Peasants]]*Constants!$B$55,0), 0)</f>
        <v>14</v>
      </c>
      <c r="AA9" s="132"/>
      <c r="AB9" s="109" t="n">
        <f aca="false">Overview!$I$16 + IF(Magic!AE9&gt;0,Constants!$F$78) + ROUND(6*(Construction!BM10+Construction!CK9)/IF(Explore!S10&gt;0,Construction!F10-20,Construction!F10),4) + tech_6_5_2*Techs!BJ9 + tech_8_4*Techs!BT9</f>
        <v>0</v>
      </c>
      <c r="AC9" s="130" t="n">
        <f aca="false">(Overview!$I$15 + Imps!Z9+ tech_2_5*Techs!AB9 + tech_3_6*Techs!AM9 + tech_6_1*Techs!BJ9 + tech_6_5*Techs!BF9 + tech_7_3_2*Techs!BN9) * (1 + Production!O9/100*prestige_pop_multiplier) + Production!O9/100*prestige_pop_multiplier</f>
        <v>0.07625</v>
      </c>
    </row>
    <row r="10" customFormat="false" ht="12.75" hidden="false" customHeight="false" outlineLevel="0" collapsed="false">
      <c r="A10" s="128" t="n">
        <f aca="false">TblRezone[[#This Row],[Hour]]</f>
        <v>7</v>
      </c>
      <c r="B10" s="129" t="n">
        <f aca="false">TblImps[[#This Row],[Time]]</f>
        <v>45430</v>
      </c>
      <c r="C10" s="69" t="n">
        <f aca="false">OFFSET(TblPop[[#This Row],[Peasants]],-1,0)+OFFSET(TblPop[[#This Row],[Net Peasant]],-1,0)+TblMili[[#This Row],[Release Draft]]</f>
        <v>1462</v>
      </c>
      <c r="D10" s="69" t="n">
        <f aca="false">TblMili[[#This Row],[Military]]</f>
        <v>282</v>
      </c>
      <c r="E10" s="69" t="n">
        <f aca="false">TblMili[[#This Row],[Draftees]]</f>
        <v>282</v>
      </c>
      <c r="F10" s="69" t="n">
        <f aca="false">TblPop[[#This Row],[Peasants]]+TblPop[[#This Row],[Military]]</f>
        <v>1744</v>
      </c>
      <c r="G10" s="130" t="n">
        <f aca="false">TblPop[[#This Row],[Military]]/TblPop[[#This Row],[Total]]</f>
        <v>0.161697247706422</v>
      </c>
      <c r="H10" s="95" t="n">
        <f aca="false">MIN(TblPop[[#This Row],[Peasants]],TblPop[[#This Row],[Jobs]])</f>
        <v>1462</v>
      </c>
      <c r="I10" s="130" t="n">
        <f aca="false">MIN(OFFSET(TblPop[[#This Row],[Jobs]],1,0)/TblPop[[#This Row],[Peasants]],1)</f>
        <v>1</v>
      </c>
      <c r="J10" s="95" t="n">
        <f aca="false">SUM(TblConstr[[#This Row],[Tot Alc]:[Tot GT]],TblConstr[[#This Row],[Tot Shr]:[Tot Doc]],TblConstr[[#This Row],[Dest Alc]:[Dest GT]],TblConstr[[#This Row],[Dest Shr]:[Dest Doc]])*building_employment + TblConstr[[#This Row],[Tot Fac]]*bonus_jobs_facts</f>
        <v>1600</v>
      </c>
      <c r="K10" s="131"/>
      <c r="L10" s="33" t="n">
        <f aca="false">TblPop[[#This Row],[Draftees]]</f>
        <v>282</v>
      </c>
      <c r="M10" s="33" t="n">
        <f aca="false">TblMili[[#This Row],[Unit 1]]</f>
        <v>0</v>
      </c>
      <c r="N10" s="33" t="n">
        <f aca="false">TblMili[[#This Row],[Unit 2]]</f>
        <v>0</v>
      </c>
      <c r="O10" s="33" t="n">
        <f aca="false">TblMili[[#This Row],[Unit 3]]</f>
        <v>0</v>
      </c>
      <c r="P10" s="33" t="n">
        <f aca="false">TblMili[[#This Row],[Unit 4]]</f>
        <v>0</v>
      </c>
      <c r="Q10" s="33" t="n">
        <f aca="false">TblMili[[#This Row],[Spies]]</f>
        <v>0</v>
      </c>
      <c r="R10" s="33" t="n">
        <f aca="false">TblMili[[#This Row],[Wizards]]</f>
        <v>0</v>
      </c>
      <c r="S10" s="33" t="n">
        <f aca="false">TblMili[[#This Row],[Archmages]]</f>
        <v>0</v>
      </c>
      <c r="T10" s="132"/>
      <c r="U10" s="69" t="n">
        <f aca="false">ROUND(TblPop[[#This Row],[Raw max]]*(1+TblPop[[#This Row],[Max pop]]),0)+MIN(TblPop[[#This Row],[Military]]-TblPop[[#This Row],[Draftees]]-SUM(TblMili[[#This Row],[Train Unit 1]:[Train AM]]),(barracks_size + tech_8_3*TblTech[[#This Row],[8-3]])*TblConstr[[#This Row],[Tot Bar]])</f>
        <v>3874</v>
      </c>
      <c r="V1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0" s="69" t="n">
        <f aca="false">MAX(-5%*TblPop[[#This Row],[Peasants]]-TblPop[[#This Row],[Draft Growth]],MIN(OFFSET(TblPop[[#This Row],[Net max]],1,0)-TblPop[[#This Row],[Peasants]]-TblPop[[#This Row],[Military]]-TblPop[[#This Row],[Draft Growth]],TblPop[[#This Row],[Modded Birth]]-TblPop[[#This Row],[Draft Growth]]))</f>
        <v>28</v>
      </c>
      <c r="X10" s="69" t="n">
        <f aca="false">ROUND(TblPop[[#This Row],[Raw Birth]]*(1+TblPop[[#This Row],[Growth]]),0)</f>
        <v>43</v>
      </c>
      <c r="Y10" s="69" t="n">
        <f aca="false">(TblPop[[#This Row],[Peasants]]-TblPop[[#This Row],[Draft Growth]])*raw_pop_growth</f>
        <v>43.41</v>
      </c>
      <c r="Z10" s="69" t="n">
        <f aca="false">IF(TblPop[[#This Row],[Military%]]&lt;TblMili[[#This Row],[Draftrate]],ROUND(TblPop[[#This Row],[Peasants]]*Constants!$B$55,0), 0)</f>
        <v>15</v>
      </c>
      <c r="AA10" s="132"/>
      <c r="AB10" s="109" t="n">
        <f aca="false">Overview!$I$16 + IF(Magic!AE10&gt;0,Constants!$F$78) + ROUND(6*(Construction!BM11+Construction!CK10)/IF(Explore!S11&gt;0,Construction!F11-20,Construction!F11),4) + tech_6_5_2*Techs!BJ10 + tech_8_4*Techs!BT10</f>
        <v>0</v>
      </c>
      <c r="AC10" s="130" t="n">
        <f aca="false">(Overview!$I$15 + Imps!Z10+ tech_2_5*Techs!AB10 + tech_3_6*Techs!AM10 + tech_6_1*Techs!BJ10 + tech_6_5*Techs!BF10 + tech_7_3_2*Techs!BN10) * (1 + Production!O10/100*prestige_pop_multiplier) + Production!O10/100*prestige_pop_multiplier</f>
        <v>0.07625</v>
      </c>
    </row>
    <row r="11" customFormat="false" ht="12.75" hidden="false" customHeight="false" outlineLevel="0" collapsed="false">
      <c r="A11" s="128" t="n">
        <f aca="false">TblRezone[[#This Row],[Hour]]</f>
        <v>8</v>
      </c>
      <c r="B11" s="129" t="n">
        <f aca="false">TblImps[[#This Row],[Time]]</f>
        <v>45430.0416666667</v>
      </c>
      <c r="C11" s="69" t="n">
        <f aca="false">OFFSET(TblPop[[#This Row],[Peasants]],-1,0)+OFFSET(TblPop[[#This Row],[Net Peasant]],-1,0)+TblMili[[#This Row],[Release Draft]]</f>
        <v>1490</v>
      </c>
      <c r="D11" s="69" t="n">
        <f aca="false">TblMili[[#This Row],[Military]]</f>
        <v>293</v>
      </c>
      <c r="E11" s="69" t="n">
        <f aca="false">TblMili[[#This Row],[Draftees]]</f>
        <v>293</v>
      </c>
      <c r="F11" s="69" t="n">
        <f aca="false">TblPop[[#This Row],[Peasants]]+TblPop[[#This Row],[Military]]</f>
        <v>1783</v>
      </c>
      <c r="G11" s="130" t="n">
        <f aca="false">TblPop[[#This Row],[Military]]/TblPop[[#This Row],[Total]]</f>
        <v>0.164329781267527</v>
      </c>
      <c r="H11" s="95" t="n">
        <f aca="false">MIN(TblPop[[#This Row],[Peasants]],TblPop[[#This Row],[Jobs]])</f>
        <v>1490</v>
      </c>
      <c r="I11" s="130" t="n">
        <f aca="false">MIN(OFFSET(TblPop[[#This Row],[Jobs]],1,0)/TblPop[[#This Row],[Peasants]],1)</f>
        <v>1</v>
      </c>
      <c r="J11" s="95" t="n">
        <f aca="false">SUM(TblConstr[[#This Row],[Tot Alc]:[Tot GT]],TblConstr[[#This Row],[Tot Shr]:[Tot Doc]],TblConstr[[#This Row],[Dest Alc]:[Dest GT]],TblConstr[[#This Row],[Dest Shr]:[Dest Doc]])*building_employment + TblConstr[[#This Row],[Tot Fac]]*bonus_jobs_facts</f>
        <v>1600</v>
      </c>
      <c r="K11" s="131"/>
      <c r="L11" s="33" t="n">
        <f aca="false">TblPop[[#This Row],[Draftees]]</f>
        <v>293</v>
      </c>
      <c r="M11" s="33" t="n">
        <f aca="false">TblMili[[#This Row],[Unit 1]]</f>
        <v>0</v>
      </c>
      <c r="N11" s="33" t="n">
        <f aca="false">TblMili[[#This Row],[Unit 2]]</f>
        <v>0</v>
      </c>
      <c r="O11" s="33" t="n">
        <f aca="false">TblMili[[#This Row],[Unit 3]]</f>
        <v>0</v>
      </c>
      <c r="P11" s="33" t="n">
        <f aca="false">TblMili[[#This Row],[Unit 4]]</f>
        <v>0</v>
      </c>
      <c r="Q11" s="33" t="n">
        <f aca="false">TblMili[[#This Row],[Spies]]</f>
        <v>0</v>
      </c>
      <c r="R11" s="33" t="n">
        <f aca="false">TblMili[[#This Row],[Wizards]]</f>
        <v>0</v>
      </c>
      <c r="S11" s="33" t="n">
        <f aca="false">TblMili[[#This Row],[Archmages]]</f>
        <v>0</v>
      </c>
      <c r="T11" s="132"/>
      <c r="U11" s="69" t="n">
        <f aca="false">ROUND(TblPop[[#This Row],[Raw max]]*(1+TblPop[[#This Row],[Max pop]]),0)+MIN(TblPop[[#This Row],[Military]]-TblPop[[#This Row],[Draftees]]-SUM(TblMili[[#This Row],[Train Unit 1]:[Train AM]]),(barracks_size + tech_8_3*TblTech[[#This Row],[8-3]])*TblConstr[[#This Row],[Tot Bar]])</f>
        <v>3874</v>
      </c>
      <c r="V1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1" s="69" t="n">
        <f aca="false">MAX(-5%*TblPop[[#This Row],[Peasants]]-TblPop[[#This Row],[Draft Growth]],MIN(OFFSET(TblPop[[#This Row],[Net max]],1,0)-TblPop[[#This Row],[Peasants]]-TblPop[[#This Row],[Military]]-TblPop[[#This Row],[Draft Growth]],TblPop[[#This Row],[Modded Birth]]-TblPop[[#This Row],[Draft Growth]]))</f>
        <v>29</v>
      </c>
      <c r="X11" s="69" t="n">
        <f aca="false">ROUND(TblPop[[#This Row],[Raw Birth]]*(1+TblPop[[#This Row],[Growth]]),0)</f>
        <v>44</v>
      </c>
      <c r="Y11" s="69" t="n">
        <f aca="false">(TblPop[[#This Row],[Peasants]]-TblPop[[#This Row],[Draft Growth]])*raw_pop_growth</f>
        <v>44.25</v>
      </c>
      <c r="Z11" s="69" t="n">
        <f aca="false">IF(TblPop[[#This Row],[Military%]]&lt;TblMili[[#This Row],[Draftrate]],ROUND(TblPop[[#This Row],[Peasants]]*Constants!$B$55,0), 0)</f>
        <v>15</v>
      </c>
      <c r="AA11" s="132"/>
      <c r="AB11" s="109" t="n">
        <f aca="false">Overview!$I$16 + IF(Magic!AE11&gt;0,Constants!$F$78) + ROUND(6*(Construction!BM12+Construction!CK11)/IF(Explore!S12&gt;0,Construction!F12-20,Construction!F12),4) + tech_6_5_2*Techs!BJ11 + tech_8_4*Techs!BT11</f>
        <v>0</v>
      </c>
      <c r="AC11" s="130" t="n">
        <f aca="false">(Overview!$I$15 + Imps!Z11+ tech_2_5*Techs!AB11 + tech_3_6*Techs!AM11 + tech_6_1*Techs!BJ11 + tech_6_5*Techs!BF11 + tech_7_3_2*Techs!BN11) * (1 + Production!O11/100*prestige_pop_multiplier) + Production!O11/100*prestige_pop_multiplier</f>
        <v>0.07625</v>
      </c>
    </row>
    <row r="12" customFormat="false" ht="12.75" hidden="false" customHeight="false" outlineLevel="0" collapsed="false">
      <c r="A12" s="128" t="n">
        <f aca="false">TblRezone[[#This Row],[Hour]]</f>
        <v>9</v>
      </c>
      <c r="B12" s="129" t="n">
        <f aca="false">TblImps[[#This Row],[Time]]</f>
        <v>45430.0833333333</v>
      </c>
      <c r="C12" s="69" t="n">
        <f aca="false">OFFSET(TblPop[[#This Row],[Peasants]],-1,0)+OFFSET(TblPop[[#This Row],[Net Peasant]],-1,0)+TblMili[[#This Row],[Release Draft]]</f>
        <v>1519</v>
      </c>
      <c r="D12" s="69" t="n">
        <f aca="false">TblMili[[#This Row],[Military]]</f>
        <v>304</v>
      </c>
      <c r="E12" s="69" t="n">
        <f aca="false">TblMili[[#This Row],[Draftees]]</f>
        <v>304</v>
      </c>
      <c r="F12" s="69" t="n">
        <f aca="false">TblPop[[#This Row],[Peasants]]+TblPop[[#This Row],[Military]]</f>
        <v>1823</v>
      </c>
      <c r="G12" s="130" t="n">
        <f aca="false">TblPop[[#This Row],[Military]]/TblPop[[#This Row],[Total]]</f>
        <v>0.166758091058694</v>
      </c>
      <c r="H12" s="95" t="n">
        <f aca="false">MIN(TblPop[[#This Row],[Peasants]],TblPop[[#This Row],[Jobs]])</f>
        <v>1519</v>
      </c>
      <c r="I12" s="130" t="n">
        <f aca="false">MIN(OFFSET(TblPop[[#This Row],[Jobs]],1,0)/TblPop[[#This Row],[Peasants]],1)</f>
        <v>1</v>
      </c>
      <c r="J12" s="95" t="n">
        <f aca="false">SUM(TblConstr[[#This Row],[Tot Alc]:[Tot GT]],TblConstr[[#This Row],[Tot Shr]:[Tot Doc]],TblConstr[[#This Row],[Dest Alc]:[Dest GT]],TblConstr[[#This Row],[Dest Shr]:[Dest Doc]])*building_employment + TblConstr[[#This Row],[Tot Fac]]*bonus_jobs_facts</f>
        <v>1600</v>
      </c>
      <c r="K12" s="131"/>
      <c r="L12" s="33" t="n">
        <f aca="false">TblPop[[#This Row],[Draftees]]</f>
        <v>304</v>
      </c>
      <c r="M12" s="33" t="n">
        <f aca="false">TblMili[[#This Row],[Unit 1]]</f>
        <v>0</v>
      </c>
      <c r="N12" s="33" t="n">
        <f aca="false">TblMili[[#This Row],[Unit 2]]</f>
        <v>0</v>
      </c>
      <c r="O12" s="33" t="n">
        <f aca="false">TblMili[[#This Row],[Unit 3]]</f>
        <v>0</v>
      </c>
      <c r="P12" s="33" t="n">
        <f aca="false">TblMili[[#This Row],[Unit 4]]</f>
        <v>0</v>
      </c>
      <c r="Q12" s="33" t="n">
        <f aca="false">TblMili[[#This Row],[Spies]]</f>
        <v>0</v>
      </c>
      <c r="R12" s="33" t="n">
        <f aca="false">TblMili[[#This Row],[Wizards]]</f>
        <v>0</v>
      </c>
      <c r="S12" s="33" t="n">
        <f aca="false">TblMili[[#This Row],[Archmages]]</f>
        <v>0</v>
      </c>
      <c r="T12" s="132"/>
      <c r="U12" s="69" t="n">
        <f aca="false">ROUND(TblPop[[#This Row],[Raw max]]*(1+TblPop[[#This Row],[Max pop]]),0)+MIN(TblPop[[#This Row],[Military]]-TblPop[[#This Row],[Draftees]]-SUM(TblMili[[#This Row],[Train Unit 1]:[Train AM]]),(barracks_size + tech_8_3*TblTech[[#This Row],[8-3]])*TblConstr[[#This Row],[Tot Bar]])</f>
        <v>3874</v>
      </c>
      <c r="V1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2" s="69" t="n">
        <f aca="false">MAX(-5%*TblPop[[#This Row],[Peasants]]-TblPop[[#This Row],[Draft Growth]],MIN(OFFSET(TblPop[[#This Row],[Net max]],1,0)-TblPop[[#This Row],[Peasants]]-TblPop[[#This Row],[Military]]-TblPop[[#This Row],[Draft Growth]],TblPop[[#This Row],[Modded Birth]]-TblPop[[#This Row],[Draft Growth]]))</f>
        <v>30</v>
      </c>
      <c r="X12" s="69" t="n">
        <f aca="false">ROUND(TblPop[[#This Row],[Raw Birth]]*(1+TblPop[[#This Row],[Growth]]),0)</f>
        <v>45</v>
      </c>
      <c r="Y12" s="69" t="n">
        <f aca="false">(TblPop[[#This Row],[Peasants]]-TblPop[[#This Row],[Draft Growth]])*raw_pop_growth</f>
        <v>45.12</v>
      </c>
      <c r="Z12" s="69" t="n">
        <f aca="false">IF(TblPop[[#This Row],[Military%]]&lt;TblMili[[#This Row],[Draftrate]],ROUND(TblPop[[#This Row],[Peasants]]*Constants!$B$55,0), 0)</f>
        <v>15</v>
      </c>
      <c r="AA12" s="132"/>
      <c r="AB12" s="109" t="n">
        <f aca="false">Overview!$I$16 + IF(Magic!AE12&gt;0,Constants!$F$78) + ROUND(6*(Construction!BM13+Construction!CK12)/IF(Explore!S13&gt;0,Construction!F13-20,Construction!F13),4) + tech_6_5_2*Techs!BJ12 + tech_8_4*Techs!BT12</f>
        <v>0</v>
      </c>
      <c r="AC12" s="130" t="n">
        <f aca="false">(Overview!$I$15 + Imps!Z12+ tech_2_5*Techs!AB12 + tech_3_6*Techs!AM12 + tech_6_1*Techs!BJ12 + tech_6_5*Techs!BF12 + tech_7_3_2*Techs!BN12) * (1 + Production!O12/100*prestige_pop_multiplier) + Production!O12/100*prestige_pop_multiplier</f>
        <v>0.07625</v>
      </c>
    </row>
    <row r="13" customFormat="false" ht="12.75" hidden="false" customHeight="false" outlineLevel="0" collapsed="false">
      <c r="A13" s="128" t="n">
        <f aca="false">TblRezone[[#This Row],[Hour]]</f>
        <v>10</v>
      </c>
      <c r="B13" s="129" t="n">
        <f aca="false">TblImps[[#This Row],[Time]]</f>
        <v>45430.125</v>
      </c>
      <c r="C13" s="69" t="n">
        <f aca="false">OFFSET(TblPop[[#This Row],[Peasants]],-1,0)+OFFSET(TblPop[[#This Row],[Net Peasant]],-1,0)+TblMili[[#This Row],[Release Draft]]</f>
        <v>1549</v>
      </c>
      <c r="D13" s="69" t="n">
        <f aca="false">TblMili[[#This Row],[Military]]</f>
        <v>315</v>
      </c>
      <c r="E13" s="69" t="n">
        <f aca="false">TblMili[[#This Row],[Draftees]]</f>
        <v>315</v>
      </c>
      <c r="F13" s="69" t="n">
        <f aca="false">TblPop[[#This Row],[Peasants]]+TblPop[[#This Row],[Military]]</f>
        <v>1864</v>
      </c>
      <c r="G13" s="130" t="n">
        <f aca="false">TblPop[[#This Row],[Military]]/TblPop[[#This Row],[Total]]</f>
        <v>0.168991416309013</v>
      </c>
      <c r="H13" s="95" t="n">
        <f aca="false">MIN(TblPop[[#This Row],[Peasants]],TblPop[[#This Row],[Jobs]])</f>
        <v>1549</v>
      </c>
      <c r="I13" s="130" t="n">
        <f aca="false">MIN(OFFSET(TblPop[[#This Row],[Jobs]],1,0)/TblPop[[#This Row],[Peasants]],1)</f>
        <v>1</v>
      </c>
      <c r="J13" s="95" t="n">
        <f aca="false">SUM(TblConstr[[#This Row],[Tot Alc]:[Tot GT]],TblConstr[[#This Row],[Tot Shr]:[Tot Doc]],TblConstr[[#This Row],[Dest Alc]:[Dest GT]],TblConstr[[#This Row],[Dest Shr]:[Dest Doc]])*building_employment + TblConstr[[#This Row],[Tot Fac]]*bonus_jobs_facts</f>
        <v>1600</v>
      </c>
      <c r="K13" s="131"/>
      <c r="L13" s="33" t="n">
        <f aca="false">TblPop[[#This Row],[Draftees]]</f>
        <v>315</v>
      </c>
      <c r="M13" s="33" t="n">
        <f aca="false">TblMili[[#This Row],[Unit 1]]</f>
        <v>0</v>
      </c>
      <c r="N13" s="33" t="n">
        <f aca="false">TblMili[[#This Row],[Unit 2]]</f>
        <v>0</v>
      </c>
      <c r="O13" s="33" t="n">
        <f aca="false">TblMili[[#This Row],[Unit 3]]</f>
        <v>0</v>
      </c>
      <c r="P13" s="33" t="n">
        <f aca="false">TblMili[[#This Row],[Unit 4]]</f>
        <v>0</v>
      </c>
      <c r="Q13" s="33" t="n">
        <f aca="false">TblMili[[#This Row],[Spies]]</f>
        <v>0</v>
      </c>
      <c r="R13" s="33" t="n">
        <f aca="false">TblMili[[#This Row],[Wizards]]</f>
        <v>0</v>
      </c>
      <c r="S13" s="33" t="n">
        <f aca="false">TblMili[[#This Row],[Archmages]]</f>
        <v>0</v>
      </c>
      <c r="T13" s="132"/>
      <c r="U13" s="69" t="n">
        <f aca="false">ROUND(TblPop[[#This Row],[Raw max]]*(1+TblPop[[#This Row],[Max pop]]),0)+MIN(TblPop[[#This Row],[Military]]-TblPop[[#This Row],[Draftees]]-SUM(TblMili[[#This Row],[Train Unit 1]:[Train AM]]),(barracks_size + tech_8_3*TblTech[[#This Row],[8-3]])*TblConstr[[#This Row],[Tot Bar]])</f>
        <v>3874</v>
      </c>
      <c r="V1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3" s="69" t="n">
        <f aca="false">MAX(-5%*TblPop[[#This Row],[Peasants]]-TblPop[[#This Row],[Draft Growth]],MIN(OFFSET(TblPop[[#This Row],[Net max]],1,0)-TblPop[[#This Row],[Peasants]]-TblPop[[#This Row],[Military]]-TblPop[[#This Row],[Draft Growth]],TblPop[[#This Row],[Modded Birth]]-TblPop[[#This Row],[Draft Growth]]))</f>
        <v>31</v>
      </c>
      <c r="X13" s="69" t="n">
        <f aca="false">ROUND(TblPop[[#This Row],[Raw Birth]]*(1+TblPop[[#This Row],[Growth]]),0)</f>
        <v>46</v>
      </c>
      <c r="Y13" s="69" t="n">
        <f aca="false">(TblPop[[#This Row],[Peasants]]-TblPop[[#This Row],[Draft Growth]])*raw_pop_growth</f>
        <v>46.02</v>
      </c>
      <c r="Z13" s="69" t="n">
        <f aca="false">IF(TblPop[[#This Row],[Military%]]&lt;TblMili[[#This Row],[Draftrate]],ROUND(TblPop[[#This Row],[Peasants]]*Constants!$B$55,0), 0)</f>
        <v>15</v>
      </c>
      <c r="AA13" s="132"/>
      <c r="AB13" s="109" t="n">
        <f aca="false">Overview!$I$16 + IF(Magic!AE13&gt;0,Constants!$F$78) + ROUND(6*(Construction!BM14+Construction!CK13)/IF(Explore!S14&gt;0,Construction!F14-20,Construction!F14),4) + tech_6_5_2*Techs!BJ13 + tech_8_4*Techs!BT13</f>
        <v>0</v>
      </c>
      <c r="AC13" s="130" t="n">
        <f aca="false">(Overview!$I$15 + Imps!Z13+ tech_2_5*Techs!AB13 + tech_3_6*Techs!AM13 + tech_6_1*Techs!BJ13 + tech_6_5*Techs!BF13 + tech_7_3_2*Techs!BN13) * (1 + Production!O13/100*prestige_pop_multiplier) + Production!O13/100*prestige_pop_multiplier</f>
        <v>0.07625</v>
      </c>
    </row>
    <row r="14" customFormat="false" ht="12.75" hidden="false" customHeight="false" outlineLevel="0" collapsed="false">
      <c r="A14" s="128" t="n">
        <f aca="false">TblRezone[[#This Row],[Hour]]</f>
        <v>11</v>
      </c>
      <c r="B14" s="129" t="n">
        <f aca="false">TblImps[[#This Row],[Time]]</f>
        <v>45430.1666666667</v>
      </c>
      <c r="C14" s="69" t="n">
        <f aca="false">OFFSET(TblPop[[#This Row],[Peasants]],-1,0)+OFFSET(TblPop[[#This Row],[Net Peasant]],-1,0)+TblMili[[#This Row],[Release Draft]]</f>
        <v>1580</v>
      </c>
      <c r="D14" s="69" t="n">
        <f aca="false">TblMili[[#This Row],[Military]]</f>
        <v>326</v>
      </c>
      <c r="E14" s="69" t="n">
        <f aca="false">TblMili[[#This Row],[Draftees]]</f>
        <v>326</v>
      </c>
      <c r="F14" s="69" t="n">
        <f aca="false">TblPop[[#This Row],[Peasants]]+TblPop[[#This Row],[Military]]</f>
        <v>1906</v>
      </c>
      <c r="G14" s="130" t="n">
        <f aca="false">TblPop[[#This Row],[Military]]/TblPop[[#This Row],[Total]]</f>
        <v>0.171038824763903</v>
      </c>
      <c r="H14" s="95" t="n">
        <f aca="false">MIN(TblPop[[#This Row],[Peasants]],TblPop[[#This Row],[Jobs]])</f>
        <v>1580</v>
      </c>
      <c r="I14" s="130" t="n">
        <f aca="false">MIN(OFFSET(TblPop[[#This Row],[Jobs]],1,0)/TblPop[[#This Row],[Peasants]],1)</f>
        <v>1</v>
      </c>
      <c r="J14" s="95" t="n">
        <f aca="false">SUM(TblConstr[[#This Row],[Tot Alc]:[Tot GT]],TblConstr[[#This Row],[Tot Shr]:[Tot Doc]],TblConstr[[#This Row],[Dest Alc]:[Dest GT]],TblConstr[[#This Row],[Dest Shr]:[Dest Doc]])*building_employment + TblConstr[[#This Row],[Tot Fac]]*bonus_jobs_facts</f>
        <v>1600</v>
      </c>
      <c r="K14" s="131"/>
      <c r="L14" s="33" t="n">
        <f aca="false">TblPop[[#This Row],[Draftees]]</f>
        <v>326</v>
      </c>
      <c r="M14" s="33" t="n">
        <f aca="false">TblMili[[#This Row],[Unit 1]]</f>
        <v>0</v>
      </c>
      <c r="N14" s="33" t="n">
        <f aca="false">TblMili[[#This Row],[Unit 2]]</f>
        <v>0</v>
      </c>
      <c r="O14" s="33" t="n">
        <f aca="false">TblMili[[#This Row],[Unit 3]]</f>
        <v>0</v>
      </c>
      <c r="P14" s="33" t="n">
        <f aca="false">TblMili[[#This Row],[Unit 4]]</f>
        <v>0</v>
      </c>
      <c r="Q14" s="33" t="n">
        <f aca="false">TblMili[[#This Row],[Spies]]</f>
        <v>0</v>
      </c>
      <c r="R14" s="33" t="n">
        <f aca="false">TblMili[[#This Row],[Wizards]]</f>
        <v>0</v>
      </c>
      <c r="S14" s="33" t="n">
        <f aca="false">TblMili[[#This Row],[Archmages]]</f>
        <v>0</v>
      </c>
      <c r="T14" s="132"/>
      <c r="U14" s="69" t="n">
        <f aca="false">ROUND(TblPop[[#This Row],[Raw max]]*(1+TblPop[[#This Row],[Max pop]]),0)+MIN(TblPop[[#This Row],[Military]]-TblPop[[#This Row],[Draftees]]-SUM(TblMili[[#This Row],[Train Unit 1]:[Train AM]]),(barracks_size + tech_8_3*TblTech[[#This Row],[8-3]])*TblConstr[[#This Row],[Tot Bar]])</f>
        <v>3874</v>
      </c>
      <c r="V1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4" s="69" t="n">
        <f aca="false">MAX(-5%*TblPop[[#This Row],[Peasants]]-TblPop[[#This Row],[Draft Growth]],MIN(OFFSET(TblPop[[#This Row],[Net max]],1,0)-TblPop[[#This Row],[Peasants]]-TblPop[[#This Row],[Military]]-TblPop[[#This Row],[Draft Growth]],TblPop[[#This Row],[Modded Birth]]-TblPop[[#This Row],[Draft Growth]]))</f>
        <v>31</v>
      </c>
      <c r="X14" s="69" t="n">
        <f aca="false">ROUND(TblPop[[#This Row],[Raw Birth]]*(1+TblPop[[#This Row],[Growth]]),0)</f>
        <v>47</v>
      </c>
      <c r="Y14" s="69" t="n">
        <f aca="false">(TblPop[[#This Row],[Peasants]]-TblPop[[#This Row],[Draft Growth]])*raw_pop_growth</f>
        <v>46.92</v>
      </c>
      <c r="Z14" s="69" t="n">
        <f aca="false">IF(TblPop[[#This Row],[Military%]]&lt;TblMili[[#This Row],[Draftrate]],ROUND(TblPop[[#This Row],[Peasants]]*Constants!$B$55,0), 0)</f>
        <v>16</v>
      </c>
      <c r="AA14" s="132"/>
      <c r="AB14" s="109" t="n">
        <f aca="false">Overview!$I$16 + IF(Magic!AE14&gt;0,Constants!$F$78) + ROUND(6*(Construction!BM15+Construction!CK14)/IF(Explore!S15&gt;0,Construction!F15-20,Construction!F15),4) + tech_6_5_2*Techs!BJ14 + tech_8_4*Techs!BT14</f>
        <v>0</v>
      </c>
      <c r="AC14" s="130" t="n">
        <f aca="false">(Overview!$I$15 + Imps!Z14+ tech_2_5*Techs!AB14 + tech_3_6*Techs!AM14 + tech_6_1*Techs!BJ14 + tech_6_5*Techs!BF14 + tech_7_3_2*Techs!BN14) * (1 + Production!O14/100*prestige_pop_multiplier) + Production!O14/100*prestige_pop_multiplier</f>
        <v>0.07625</v>
      </c>
    </row>
    <row r="15" customFormat="false" ht="12.75" hidden="false" customHeight="false" outlineLevel="0" collapsed="false">
      <c r="A15" s="128" t="n">
        <f aca="false">TblRezone[[#This Row],[Hour]]</f>
        <v>12</v>
      </c>
      <c r="B15" s="129" t="n">
        <f aca="false">TblImps[[#This Row],[Time]]</f>
        <v>45430.2083333333</v>
      </c>
      <c r="C15" s="69" t="n">
        <f aca="false">OFFSET(TblPop[[#This Row],[Peasants]],-1,0)+OFFSET(TblPop[[#This Row],[Net Peasant]],-1,0)+TblMili[[#This Row],[Release Draft]]</f>
        <v>1611</v>
      </c>
      <c r="D15" s="69" t="n">
        <f aca="false">TblMili[[#This Row],[Military]]</f>
        <v>342</v>
      </c>
      <c r="E15" s="69" t="n">
        <f aca="false">TblMili[[#This Row],[Draftees]]</f>
        <v>342</v>
      </c>
      <c r="F15" s="69" t="n">
        <f aca="false">TblPop[[#This Row],[Peasants]]+TblPop[[#This Row],[Military]]</f>
        <v>1953</v>
      </c>
      <c r="G15" s="130" t="n">
        <f aca="false">TblPop[[#This Row],[Military]]/TblPop[[#This Row],[Total]]</f>
        <v>0.175115207373272</v>
      </c>
      <c r="H15" s="95" t="n">
        <f aca="false">MIN(TblPop[[#This Row],[Peasants]],TblPop[[#This Row],[Jobs]])</f>
        <v>1600</v>
      </c>
      <c r="I15" s="130" t="n">
        <f aca="false">MIN(OFFSET(TblPop[[#This Row],[Jobs]],1,0)/TblPop[[#This Row],[Peasants]],1)</f>
        <v>1</v>
      </c>
      <c r="J15" s="95" t="n">
        <f aca="false">SUM(TblConstr[[#This Row],[Tot Alc]:[Tot GT]],TblConstr[[#This Row],[Tot Shr]:[Tot Doc]],TblConstr[[#This Row],[Dest Alc]:[Dest GT]],TblConstr[[#This Row],[Dest Shr]:[Dest Doc]])*building_employment + TblConstr[[#This Row],[Tot Fac]]*bonus_jobs_facts</f>
        <v>1600</v>
      </c>
      <c r="K15" s="131"/>
      <c r="L15" s="33" t="n">
        <f aca="false">TblPop[[#This Row],[Draftees]]</f>
        <v>342</v>
      </c>
      <c r="M15" s="33" t="n">
        <f aca="false">TblMili[[#This Row],[Unit 1]]</f>
        <v>0</v>
      </c>
      <c r="N15" s="33" t="n">
        <f aca="false">TblMili[[#This Row],[Unit 2]]</f>
        <v>0</v>
      </c>
      <c r="O15" s="33" t="n">
        <f aca="false">TblMili[[#This Row],[Unit 3]]</f>
        <v>0</v>
      </c>
      <c r="P15" s="33" t="n">
        <f aca="false">TblMili[[#This Row],[Unit 4]]</f>
        <v>0</v>
      </c>
      <c r="Q15" s="33" t="n">
        <f aca="false">TblMili[[#This Row],[Spies]]</f>
        <v>0</v>
      </c>
      <c r="R15" s="33" t="n">
        <f aca="false">TblMili[[#This Row],[Wizards]]</f>
        <v>0</v>
      </c>
      <c r="S15" s="33" t="n">
        <f aca="false">TblMili[[#This Row],[Archmages]]</f>
        <v>0</v>
      </c>
      <c r="T15" s="132"/>
      <c r="U15" s="69" t="n">
        <f aca="false">ROUND(TblPop[[#This Row],[Raw max]]*(1+TblPop[[#This Row],[Max pop]]),0)+MIN(TblPop[[#This Row],[Military]]-TblPop[[#This Row],[Draftees]]-SUM(TblMili[[#This Row],[Train Unit 1]:[Train AM]]),(barracks_size + tech_8_3*TblTech[[#This Row],[8-3]])*TblConstr[[#This Row],[Tot Bar]])</f>
        <v>3874</v>
      </c>
      <c r="V1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5" s="69" t="n">
        <f aca="false">MAX(-5%*TblPop[[#This Row],[Peasants]]-TblPop[[#This Row],[Draft Growth]],MIN(OFFSET(TblPop[[#This Row],[Net max]],1,0)-TblPop[[#This Row],[Peasants]]-TblPop[[#This Row],[Military]]-TblPop[[#This Row],[Draft Growth]],TblPop[[#This Row],[Modded Birth]]-TblPop[[#This Row],[Draft Growth]]))</f>
        <v>86</v>
      </c>
      <c r="X15" s="69" t="n">
        <f aca="false">ROUND(TblPop[[#This Row],[Raw Birth]]*(1+TblPop[[#This Row],[Growth]]),0)</f>
        <v>102</v>
      </c>
      <c r="Y15" s="69" t="n">
        <f aca="false">(TblPop[[#This Row],[Peasants]]-TblPop[[#This Row],[Draft Growth]])*raw_pop_growth</f>
        <v>47.85</v>
      </c>
      <c r="Z15" s="69" t="n">
        <f aca="false">IF(TblPop[[#This Row],[Military%]]&lt;TblMili[[#This Row],[Draftrate]],ROUND(TblPop[[#This Row],[Peasants]]*Constants!$B$55,0), 0)</f>
        <v>16</v>
      </c>
      <c r="AA15" s="132"/>
      <c r="AB15" s="109" t="n">
        <f aca="false">Overview!$I$16 + IF(Magic!AE15&gt;0,Constants!$F$78) + ROUND(6*(Construction!BM16+Construction!CK15)/IF(Explore!S16&gt;0,Construction!F16-20,Construction!F16),4) + tech_6_5_2*Techs!BJ15 + tech_8_4*Techs!BT15</f>
        <v>1.128</v>
      </c>
      <c r="AC15" s="130" t="n">
        <f aca="false">(Overview!$I$15 + Imps!Z15+ tech_2_5*Techs!AB15 + tech_3_6*Techs!AM15 + tech_6_1*Techs!BJ15 + tech_6_5*Techs!BF15 + tech_7_3_2*Techs!BN15) * (1 + Production!O15/100*prestige_pop_multiplier) + Production!O15/100*prestige_pop_multiplier</f>
        <v>0.07625</v>
      </c>
    </row>
    <row r="16" customFormat="false" ht="12.75" hidden="false" customHeight="false" outlineLevel="0" collapsed="false">
      <c r="A16" s="128" t="n">
        <f aca="false">TblRezone[[#This Row],[Hour]]</f>
        <v>13</v>
      </c>
      <c r="B16" s="129" t="n">
        <f aca="false">TblImps[[#This Row],[Time]]</f>
        <v>45430.25</v>
      </c>
      <c r="C16" s="69" t="n">
        <f aca="false">OFFSET(TblPop[[#This Row],[Peasants]],-1,0)+OFFSET(TblPop[[#This Row],[Net Peasant]],-1,0)+TblMili[[#This Row],[Release Draft]]</f>
        <v>1697</v>
      </c>
      <c r="D16" s="69" t="n">
        <f aca="false">TblMili[[#This Row],[Military]]</f>
        <v>358</v>
      </c>
      <c r="E16" s="69" t="n">
        <f aca="false">TblMili[[#This Row],[Draftees]]</f>
        <v>358</v>
      </c>
      <c r="F16" s="69" t="n">
        <f aca="false">TblPop[[#This Row],[Peasants]]+TblPop[[#This Row],[Military]]</f>
        <v>2055</v>
      </c>
      <c r="G16" s="130" t="n">
        <f aca="false">TblPop[[#This Row],[Military]]/TblPop[[#This Row],[Total]]</f>
        <v>0.174209245742092</v>
      </c>
      <c r="H16" s="95" t="n">
        <f aca="false">MIN(TblPop[[#This Row],[Peasants]],TblPop[[#This Row],[Jobs]])</f>
        <v>1697</v>
      </c>
      <c r="I16" s="130" t="n">
        <f aca="false">MIN(OFFSET(TblPop[[#This Row],[Jobs]],1,0)/TblPop[[#This Row],[Peasants]],1)</f>
        <v>1</v>
      </c>
      <c r="J16" s="95" t="n">
        <f aca="false">SUM(TblConstr[[#This Row],[Tot Alc]:[Tot GT]],TblConstr[[#This Row],[Tot Shr]:[Tot Doc]],TblConstr[[#This Row],[Dest Alc]:[Dest GT]],TblConstr[[#This Row],[Dest Shr]:[Dest Doc]])*building_employment + TblConstr[[#This Row],[Tot Fac]]*bonus_jobs_facts</f>
        <v>4340</v>
      </c>
      <c r="K16" s="131"/>
      <c r="L16" s="33" t="n">
        <f aca="false">TblPop[[#This Row],[Draftees]]</f>
        <v>358</v>
      </c>
      <c r="M16" s="33" t="n">
        <f aca="false">TblMili[[#This Row],[Unit 1]]</f>
        <v>0</v>
      </c>
      <c r="N16" s="33" t="n">
        <f aca="false">TblMili[[#This Row],[Unit 2]]</f>
        <v>0</v>
      </c>
      <c r="O16" s="33" t="n">
        <f aca="false">TblMili[[#This Row],[Unit 3]]</f>
        <v>0</v>
      </c>
      <c r="P16" s="33" t="n">
        <f aca="false">TblMili[[#This Row],[Unit 4]]</f>
        <v>0</v>
      </c>
      <c r="Q16" s="33" t="n">
        <f aca="false">TblMili[[#This Row],[Spies]]</f>
        <v>0</v>
      </c>
      <c r="R16" s="33" t="n">
        <f aca="false">TblMili[[#This Row],[Wizards]]</f>
        <v>0</v>
      </c>
      <c r="S16" s="33" t="n">
        <f aca="false">TblMili[[#This Row],[Archmages]]</f>
        <v>0</v>
      </c>
      <c r="T16" s="132"/>
      <c r="U16" s="69" t="n">
        <f aca="false">ROUND(TblPop[[#This Row],[Raw max]]*(1+TblPop[[#This Row],[Max pop]]),0)+MIN(TblPop[[#This Row],[Military]]-TblPop[[#This Row],[Draftees]]-SUM(TblMili[[#This Row],[Train Unit 1]:[Train AM]]),(barracks_size + tech_8_3*TblTech[[#This Row],[8-3]])*TblConstr[[#This Row],[Tot Bar]])</f>
        <v>3874</v>
      </c>
      <c r="V1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6" s="69" t="n">
        <f aca="false">MAX(-5%*TblPop[[#This Row],[Peasants]]-TblPop[[#This Row],[Draft Growth]],MIN(OFFSET(TblPop[[#This Row],[Net max]],1,0)-TblPop[[#This Row],[Peasants]]-TblPop[[#This Row],[Military]]-TblPop[[#This Row],[Draft Growth]],TblPop[[#This Row],[Modded Birth]]-TblPop[[#This Row],[Draft Growth]]))</f>
        <v>90</v>
      </c>
      <c r="X16" s="69" t="n">
        <f aca="false">ROUND(TblPop[[#This Row],[Raw Birth]]*(1+TblPop[[#This Row],[Growth]]),0)</f>
        <v>107</v>
      </c>
      <c r="Y16" s="69" t="n">
        <f aca="false">(TblPop[[#This Row],[Peasants]]-TblPop[[#This Row],[Draft Growth]])*raw_pop_growth</f>
        <v>50.4</v>
      </c>
      <c r="Z16" s="69" t="n">
        <f aca="false">IF(TblPop[[#This Row],[Military%]]&lt;TblMili[[#This Row],[Draftrate]],ROUND(TblPop[[#This Row],[Peasants]]*Constants!$B$55,0), 0)</f>
        <v>17</v>
      </c>
      <c r="AA16" s="132"/>
      <c r="AB16" s="109" t="n">
        <f aca="false">Overview!$I$16 + IF(Magic!AE16&gt;0,Constants!$F$78) + ROUND(6*(Construction!BM17+Construction!CK16)/IF(Explore!S17&gt;0,Construction!F17-20,Construction!F17),4) + tech_6_5_2*Techs!BJ16 + tech_8_4*Techs!BT16</f>
        <v>1.128</v>
      </c>
      <c r="AC16" s="130" t="n">
        <f aca="false">(Overview!$I$15 + Imps!Z16+ tech_2_5*Techs!AB16 + tech_3_6*Techs!AM16 + tech_6_1*Techs!BJ16 + tech_6_5*Techs!BF16 + tech_7_3_2*Techs!BN16) * (1 + Production!O16/100*prestige_pop_multiplier) + Production!O16/100*prestige_pop_multiplier</f>
        <v>0.07625</v>
      </c>
    </row>
    <row r="17" customFormat="false" ht="12.75" hidden="false" customHeight="false" outlineLevel="0" collapsed="false">
      <c r="A17" s="128" t="n">
        <f aca="false">TblRezone[[#This Row],[Hour]]</f>
        <v>14</v>
      </c>
      <c r="B17" s="129" t="n">
        <f aca="false">TblImps[[#This Row],[Time]]</f>
        <v>45430.2916666667</v>
      </c>
      <c r="C17" s="69" t="n">
        <f aca="false">OFFSET(TblPop[[#This Row],[Peasants]],-1,0)+OFFSET(TblPop[[#This Row],[Net Peasant]],-1,0)+TblMili[[#This Row],[Release Draft]]</f>
        <v>1787</v>
      </c>
      <c r="D17" s="69" t="n">
        <f aca="false">TblMili[[#This Row],[Military]]</f>
        <v>375</v>
      </c>
      <c r="E17" s="69" t="n">
        <f aca="false">TblMili[[#This Row],[Draftees]]</f>
        <v>375</v>
      </c>
      <c r="F17" s="69" t="n">
        <f aca="false">TblPop[[#This Row],[Peasants]]+TblPop[[#This Row],[Military]]</f>
        <v>2162</v>
      </c>
      <c r="G17" s="130" t="n">
        <f aca="false">TblPop[[#This Row],[Military]]/TblPop[[#This Row],[Total]]</f>
        <v>0.173450508788159</v>
      </c>
      <c r="H17" s="95" t="n">
        <f aca="false">MIN(TblPop[[#This Row],[Peasants]],TblPop[[#This Row],[Jobs]])</f>
        <v>1787</v>
      </c>
      <c r="I17" s="130" t="n">
        <f aca="false">MIN(OFFSET(TblPop[[#This Row],[Jobs]],1,0)/TblPop[[#This Row],[Peasants]],1)</f>
        <v>1</v>
      </c>
      <c r="J17" s="95" t="n">
        <f aca="false">SUM(TblConstr[[#This Row],[Tot Alc]:[Tot GT]],TblConstr[[#This Row],[Tot Shr]:[Tot Doc]],TblConstr[[#This Row],[Dest Alc]:[Dest GT]],TblConstr[[#This Row],[Dest Shr]:[Dest Doc]])*building_employment + TblConstr[[#This Row],[Tot Fac]]*bonus_jobs_facts</f>
        <v>3840</v>
      </c>
      <c r="K17" s="131"/>
      <c r="L17" s="33" t="n">
        <f aca="false">TblPop[[#This Row],[Draftees]]</f>
        <v>375</v>
      </c>
      <c r="M17" s="33" t="n">
        <f aca="false">TblMili[[#This Row],[Unit 1]]</f>
        <v>0</v>
      </c>
      <c r="N17" s="33" t="n">
        <f aca="false">TblMili[[#This Row],[Unit 2]]</f>
        <v>0</v>
      </c>
      <c r="O17" s="33" t="n">
        <f aca="false">TblMili[[#This Row],[Unit 3]]</f>
        <v>0</v>
      </c>
      <c r="P17" s="33" t="n">
        <f aca="false">TblMili[[#This Row],[Unit 4]]</f>
        <v>0</v>
      </c>
      <c r="Q17" s="33" t="n">
        <f aca="false">TblMili[[#This Row],[Spies]]</f>
        <v>0</v>
      </c>
      <c r="R17" s="33" t="n">
        <f aca="false">TblMili[[#This Row],[Wizards]]</f>
        <v>0</v>
      </c>
      <c r="S17" s="33" t="n">
        <f aca="false">TblMili[[#This Row],[Archmages]]</f>
        <v>0</v>
      </c>
      <c r="T17" s="132"/>
      <c r="U17" s="69" t="n">
        <f aca="false">ROUND(TblPop[[#This Row],[Raw max]]*(1+TblPop[[#This Row],[Max pop]]),0)+MIN(TblPop[[#This Row],[Military]]-TblPop[[#This Row],[Draftees]]-SUM(TblMili[[#This Row],[Train Unit 1]:[Train AM]]),(barracks_size + tech_8_3*TblTech[[#This Row],[8-3]])*TblConstr[[#This Row],[Tot Bar]])</f>
        <v>4036</v>
      </c>
      <c r="V1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7" s="69" t="n">
        <f aca="false">MAX(-5%*TblPop[[#This Row],[Peasants]]-TblPop[[#This Row],[Draft Growth]],MIN(OFFSET(TblPop[[#This Row],[Net max]],1,0)-TblPop[[#This Row],[Peasants]]-TblPop[[#This Row],[Military]]-TblPop[[#This Row],[Draft Growth]],TblPop[[#This Row],[Modded Birth]]-TblPop[[#This Row],[Draft Growth]]))</f>
        <v>121</v>
      </c>
      <c r="X17" s="69" t="n">
        <f aca="false">ROUND(TblPop[[#This Row],[Raw Birth]]*(1+TblPop[[#This Row],[Growth]]),0)</f>
        <v>139</v>
      </c>
      <c r="Y17" s="69" t="n">
        <f aca="false">(TblPop[[#This Row],[Peasants]]-TblPop[[#This Row],[Draft Growth]])*raw_pop_growth</f>
        <v>53.07</v>
      </c>
      <c r="Z17" s="69" t="n">
        <f aca="false">IF(TblPop[[#This Row],[Military%]]&lt;TblMili[[#This Row],[Draftrate]],ROUND(TblPop[[#This Row],[Peasants]]*Constants!$B$55,0), 0)</f>
        <v>18</v>
      </c>
      <c r="AA17" s="132"/>
      <c r="AB17" s="109" t="n">
        <f aca="false">Overview!$I$16 + IF(Magic!AE17&gt;0,Constants!$F$78) + ROUND(6*(Construction!BM18+Construction!CK17)/IF(Explore!S18&gt;0,Construction!F18-20,Construction!F18),4) + tech_6_5_2*Techs!BJ17 + tech_8_4*Techs!BT17</f>
        <v>1.628</v>
      </c>
      <c r="AC17" s="130" t="n">
        <f aca="false">(Overview!$I$15 + Imps!Z17+ tech_2_5*Techs!AB17 + tech_3_6*Techs!AM17 + tech_6_1*Techs!BJ17 + tech_6_5*Techs!BF17 + tech_7_3_2*Techs!BN17) * (1 + Production!O17/100*prestige_pop_multiplier) + Production!O17/100*prestige_pop_multiplier</f>
        <v>0.07625</v>
      </c>
    </row>
    <row r="18" customFormat="false" ht="12.75" hidden="false" customHeight="false" outlineLevel="0" collapsed="false">
      <c r="A18" s="128" t="n">
        <f aca="false">TblRezone[[#This Row],[Hour]]</f>
        <v>15</v>
      </c>
      <c r="B18" s="129" t="n">
        <f aca="false">TblImps[[#This Row],[Time]]</f>
        <v>45430.3333333333</v>
      </c>
      <c r="C18" s="69" t="n">
        <f aca="false">OFFSET(TblPop[[#This Row],[Peasants]],-1,0)+OFFSET(TblPop[[#This Row],[Net Peasant]],-1,0)+TblMili[[#This Row],[Release Draft]]</f>
        <v>1908</v>
      </c>
      <c r="D18" s="69" t="n">
        <f aca="false">TblMili[[#This Row],[Military]]</f>
        <v>393</v>
      </c>
      <c r="E18" s="69" t="n">
        <f aca="false">TblMili[[#This Row],[Draftees]]</f>
        <v>393</v>
      </c>
      <c r="F18" s="69" t="n">
        <f aca="false">TblPop[[#This Row],[Peasants]]+TblPop[[#This Row],[Military]]</f>
        <v>2301</v>
      </c>
      <c r="G18" s="130" t="n">
        <f aca="false">TblPop[[#This Row],[Military]]/TblPop[[#This Row],[Total]]</f>
        <v>0.170795306388527</v>
      </c>
      <c r="H18" s="95" t="n">
        <f aca="false">MIN(TblPop[[#This Row],[Peasants]],TblPop[[#This Row],[Jobs]])</f>
        <v>1908</v>
      </c>
      <c r="I18" s="130" t="n">
        <f aca="false">MIN(OFFSET(TblPop[[#This Row],[Jobs]],1,0)/TblPop[[#This Row],[Peasants]],1)</f>
        <v>1</v>
      </c>
      <c r="J18" s="95" t="n">
        <f aca="false">SUM(TblConstr[[#This Row],[Tot Alc]:[Tot GT]],TblConstr[[#This Row],[Tot Shr]:[Tot Doc]],TblConstr[[#This Row],[Dest Alc]:[Dest GT]],TblConstr[[#This Row],[Dest Shr]:[Dest Doc]])*building_employment + TblConstr[[#This Row],[Tot Fac]]*bonus_jobs_facts</f>
        <v>3840</v>
      </c>
      <c r="K18" s="131"/>
      <c r="L18" s="33" t="n">
        <f aca="false">TblPop[[#This Row],[Draftees]]</f>
        <v>393</v>
      </c>
      <c r="M18" s="33" t="n">
        <f aca="false">TblMili[[#This Row],[Unit 1]]</f>
        <v>0</v>
      </c>
      <c r="N18" s="33" t="n">
        <f aca="false">TblMili[[#This Row],[Unit 2]]</f>
        <v>0</v>
      </c>
      <c r="O18" s="33" t="n">
        <f aca="false">TblMili[[#This Row],[Unit 3]]</f>
        <v>0</v>
      </c>
      <c r="P18" s="33" t="n">
        <f aca="false">TblMili[[#This Row],[Unit 4]]</f>
        <v>0</v>
      </c>
      <c r="Q18" s="33" t="n">
        <f aca="false">TblMili[[#This Row],[Spies]]</f>
        <v>0</v>
      </c>
      <c r="R18" s="33" t="n">
        <f aca="false">TblMili[[#This Row],[Wizards]]</f>
        <v>0</v>
      </c>
      <c r="S18" s="33" t="n">
        <f aca="false">TblMili[[#This Row],[Archmages]]</f>
        <v>0</v>
      </c>
      <c r="T18" s="132"/>
      <c r="U18" s="69" t="n">
        <f aca="false">ROUND(TblPop[[#This Row],[Raw max]]*(1+TblPop[[#This Row],[Max pop]]),0)+MIN(TblPop[[#This Row],[Military]]-TblPop[[#This Row],[Draftees]]-SUM(TblMili[[#This Row],[Train Unit 1]:[Train AM]]),(barracks_size + tech_8_3*TblTech[[#This Row],[8-3]])*TblConstr[[#This Row],[Tot Bar]])</f>
        <v>4036</v>
      </c>
      <c r="V1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8" s="69" t="n">
        <f aca="false">MAX(-5%*TblPop[[#This Row],[Peasants]]-TblPop[[#This Row],[Draft Growth]],MIN(OFFSET(TblPop[[#This Row],[Net max]],1,0)-TblPop[[#This Row],[Peasants]]-TblPop[[#This Row],[Military]]-TblPop[[#This Row],[Draft Growth]],TblPop[[#This Row],[Modded Birth]]-TblPop[[#This Row],[Draft Growth]]))</f>
        <v>130</v>
      </c>
      <c r="X18" s="69" t="n">
        <f aca="false">ROUND(TblPop[[#This Row],[Raw Birth]]*(1+TblPop[[#This Row],[Growth]]),0)</f>
        <v>149</v>
      </c>
      <c r="Y18" s="69" t="n">
        <f aca="false">(TblPop[[#This Row],[Peasants]]-TblPop[[#This Row],[Draft Growth]])*raw_pop_growth</f>
        <v>56.67</v>
      </c>
      <c r="Z18" s="69" t="n">
        <f aca="false">IF(TblPop[[#This Row],[Military%]]&lt;TblMili[[#This Row],[Draftrate]],ROUND(TblPop[[#This Row],[Peasants]]*Constants!$B$55,0), 0)</f>
        <v>19</v>
      </c>
      <c r="AA18" s="132"/>
      <c r="AB18" s="109" t="n">
        <f aca="false">Overview!$I$16 + IF(Magic!AE18&gt;0,Constants!$F$78) + ROUND(6*(Construction!BM19+Construction!CK18)/IF(Explore!S19&gt;0,Construction!F19-20,Construction!F19),4) + tech_6_5_2*Techs!BJ18 + tech_8_4*Techs!BT18</f>
        <v>1.628</v>
      </c>
      <c r="AC18" s="130" t="n">
        <f aca="false">(Overview!$I$15 + Imps!Z18+ tech_2_5*Techs!AB18 + tech_3_6*Techs!AM18 + tech_6_1*Techs!BJ18 + tech_6_5*Techs!BF18 + tech_7_3_2*Techs!BN18) * (1 + Production!O18/100*prestige_pop_multiplier) + Production!O18/100*prestige_pop_multiplier</f>
        <v>0.07625</v>
      </c>
    </row>
    <row r="19" customFormat="false" ht="12.75" hidden="false" customHeight="false" outlineLevel="0" collapsed="false">
      <c r="A19" s="128" t="n">
        <f aca="false">TblRezone[[#This Row],[Hour]]</f>
        <v>16</v>
      </c>
      <c r="B19" s="129" t="n">
        <f aca="false">TblImps[[#This Row],[Time]]</f>
        <v>45430.375</v>
      </c>
      <c r="C19" s="69" t="n">
        <f aca="false">OFFSET(TblPop[[#This Row],[Peasants]],-1,0)+OFFSET(TblPop[[#This Row],[Net Peasant]],-1,0)+TblMili[[#This Row],[Release Draft]]</f>
        <v>2038</v>
      </c>
      <c r="D19" s="69" t="n">
        <f aca="false">TblMili[[#This Row],[Military]]</f>
        <v>412</v>
      </c>
      <c r="E19" s="69" t="n">
        <f aca="false">TblMili[[#This Row],[Draftees]]</f>
        <v>412</v>
      </c>
      <c r="F19" s="69" t="n">
        <f aca="false">TblPop[[#This Row],[Peasants]]+TblPop[[#This Row],[Military]]</f>
        <v>2450</v>
      </c>
      <c r="G19" s="130" t="n">
        <f aca="false">TblPop[[#This Row],[Military]]/TblPop[[#This Row],[Total]]</f>
        <v>0.168163265306122</v>
      </c>
      <c r="H19" s="95" t="n">
        <f aca="false">MIN(TblPop[[#This Row],[Peasants]],TblPop[[#This Row],[Jobs]])</f>
        <v>2038</v>
      </c>
      <c r="I19" s="130" t="n">
        <f aca="false">MIN(OFFSET(TblPop[[#This Row],[Jobs]],1,0)/TblPop[[#This Row],[Peasants]],1)</f>
        <v>1</v>
      </c>
      <c r="J19" s="95" t="n">
        <f aca="false">SUM(TblConstr[[#This Row],[Tot Alc]:[Tot GT]],TblConstr[[#This Row],[Tot Shr]:[Tot Doc]],TblConstr[[#This Row],[Dest Alc]:[Dest GT]],TblConstr[[#This Row],[Dest Shr]:[Dest Doc]])*building_employment + TblConstr[[#This Row],[Tot Fac]]*bonus_jobs_facts</f>
        <v>3840</v>
      </c>
      <c r="K19" s="131"/>
      <c r="L19" s="33" t="n">
        <f aca="false">TblPop[[#This Row],[Draftees]]</f>
        <v>412</v>
      </c>
      <c r="M19" s="33" t="n">
        <f aca="false">TblMili[[#This Row],[Unit 1]]</f>
        <v>0</v>
      </c>
      <c r="N19" s="33" t="n">
        <f aca="false">TblMili[[#This Row],[Unit 2]]</f>
        <v>0</v>
      </c>
      <c r="O19" s="33" t="n">
        <f aca="false">TblMili[[#This Row],[Unit 3]]</f>
        <v>0</v>
      </c>
      <c r="P19" s="33" t="n">
        <f aca="false">TblMili[[#This Row],[Unit 4]]</f>
        <v>0</v>
      </c>
      <c r="Q19" s="33" t="n">
        <f aca="false">TblMili[[#This Row],[Spies]]</f>
        <v>0</v>
      </c>
      <c r="R19" s="33" t="n">
        <f aca="false">TblMili[[#This Row],[Wizards]]</f>
        <v>0</v>
      </c>
      <c r="S19" s="33" t="n">
        <f aca="false">TblMili[[#This Row],[Archmages]]</f>
        <v>0</v>
      </c>
      <c r="T19" s="132"/>
      <c r="U19" s="69" t="n">
        <f aca="false">ROUND(TblPop[[#This Row],[Raw max]]*(1+TblPop[[#This Row],[Max pop]]),0)+MIN(TblPop[[#This Row],[Military]]-TblPop[[#This Row],[Draftees]]-SUM(TblMili[[#This Row],[Train Unit 1]:[Train AM]]),(barracks_size + tech_8_3*TblTech[[#This Row],[8-3]])*TblConstr[[#This Row],[Tot Bar]])</f>
        <v>4036</v>
      </c>
      <c r="V1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9" s="69" t="n">
        <f aca="false">MAX(-5%*TblPop[[#This Row],[Peasants]]-TblPop[[#This Row],[Draft Growth]],MIN(OFFSET(TblPop[[#This Row],[Net max]],1,0)-TblPop[[#This Row],[Peasants]]-TblPop[[#This Row],[Military]]-TblPop[[#This Row],[Draft Growth]],TblPop[[#This Row],[Modded Birth]]-TblPop[[#This Row],[Draft Growth]]))</f>
        <v>139</v>
      </c>
      <c r="X19" s="69" t="n">
        <f aca="false">ROUND(TblPop[[#This Row],[Raw Birth]]*(1+TblPop[[#This Row],[Growth]]),0)</f>
        <v>159</v>
      </c>
      <c r="Y19" s="69" t="n">
        <f aca="false">(TblPop[[#This Row],[Peasants]]-TblPop[[#This Row],[Draft Growth]])*raw_pop_growth</f>
        <v>60.54</v>
      </c>
      <c r="Z19" s="69" t="n">
        <f aca="false">IF(TblPop[[#This Row],[Military%]]&lt;TblMili[[#This Row],[Draftrate]],ROUND(TblPop[[#This Row],[Peasants]]*Constants!$B$55,0), 0)</f>
        <v>20</v>
      </c>
      <c r="AA19" s="132"/>
      <c r="AB19" s="109" t="n">
        <f aca="false">Overview!$I$16 + IF(Magic!AE19&gt;0,Constants!$F$78) + ROUND(6*(Construction!BM20+Construction!CK19)/IF(Explore!S20&gt;0,Construction!F20-20,Construction!F20),4) + tech_6_5_2*Techs!BJ19 + tech_8_4*Techs!BT19</f>
        <v>1.628</v>
      </c>
      <c r="AC19" s="130" t="n">
        <f aca="false">(Overview!$I$15 + Imps!Z19+ tech_2_5*Techs!AB19 + tech_3_6*Techs!AM19 + tech_6_1*Techs!BJ19 + tech_6_5*Techs!BF19 + tech_7_3_2*Techs!BN19) * (1 + Production!O19/100*prestige_pop_multiplier) + Production!O19/100*prestige_pop_multiplier</f>
        <v>0.07625</v>
      </c>
    </row>
    <row r="20" customFormat="false" ht="12.75" hidden="false" customHeight="false" outlineLevel="0" collapsed="false">
      <c r="A20" s="128" t="n">
        <f aca="false">TblRezone[[#This Row],[Hour]]</f>
        <v>17</v>
      </c>
      <c r="B20" s="129" t="n">
        <f aca="false">TblImps[[#This Row],[Time]]</f>
        <v>45430.4166666667</v>
      </c>
      <c r="C20" s="69" t="n">
        <f aca="false">OFFSET(TblPop[[#This Row],[Peasants]],-1,0)+OFFSET(TblPop[[#This Row],[Net Peasant]],-1,0)+TblMili[[#This Row],[Release Draft]]</f>
        <v>2177</v>
      </c>
      <c r="D20" s="69" t="n">
        <f aca="false">TblMili[[#This Row],[Military]]</f>
        <v>432</v>
      </c>
      <c r="E20" s="69" t="n">
        <f aca="false">TblMili[[#This Row],[Draftees]]</f>
        <v>432</v>
      </c>
      <c r="F20" s="69" t="n">
        <f aca="false">TblPop[[#This Row],[Peasants]]+TblPop[[#This Row],[Military]]</f>
        <v>2609</v>
      </c>
      <c r="G20" s="130" t="n">
        <f aca="false">TblPop[[#This Row],[Military]]/TblPop[[#This Row],[Total]]</f>
        <v>0.165580682253737</v>
      </c>
      <c r="H20" s="95" t="n">
        <f aca="false">MIN(TblPop[[#This Row],[Peasants]],TblPop[[#This Row],[Jobs]])</f>
        <v>2177</v>
      </c>
      <c r="I20" s="130" t="n">
        <f aca="false">MIN(OFFSET(TblPop[[#This Row],[Jobs]],1,0)/TblPop[[#This Row],[Peasants]],1)</f>
        <v>1</v>
      </c>
      <c r="J20" s="95" t="n">
        <f aca="false">SUM(TblConstr[[#This Row],[Tot Alc]:[Tot GT]],TblConstr[[#This Row],[Tot Shr]:[Tot Doc]],TblConstr[[#This Row],[Dest Alc]:[Dest GT]],TblConstr[[#This Row],[Dest Shr]:[Dest Doc]])*building_employment + TblConstr[[#This Row],[Tot Fac]]*bonus_jobs_facts</f>
        <v>3840</v>
      </c>
      <c r="K20" s="131"/>
      <c r="L20" s="33" t="n">
        <f aca="false">TblPop[[#This Row],[Draftees]]</f>
        <v>432</v>
      </c>
      <c r="M20" s="33" t="n">
        <f aca="false">TblMili[[#This Row],[Unit 1]]</f>
        <v>0</v>
      </c>
      <c r="N20" s="33" t="n">
        <f aca="false">TblMili[[#This Row],[Unit 2]]</f>
        <v>0</v>
      </c>
      <c r="O20" s="33" t="n">
        <f aca="false">TblMili[[#This Row],[Unit 3]]</f>
        <v>0</v>
      </c>
      <c r="P20" s="33" t="n">
        <f aca="false">TblMili[[#This Row],[Unit 4]]</f>
        <v>0</v>
      </c>
      <c r="Q20" s="33" t="n">
        <f aca="false">TblMili[[#This Row],[Spies]]</f>
        <v>0</v>
      </c>
      <c r="R20" s="33" t="n">
        <f aca="false">TblMili[[#This Row],[Wizards]]</f>
        <v>0</v>
      </c>
      <c r="S20" s="33" t="n">
        <f aca="false">TblMili[[#This Row],[Archmages]]</f>
        <v>0</v>
      </c>
      <c r="T20" s="132"/>
      <c r="U20" s="69" t="n">
        <f aca="false">ROUND(TblPop[[#This Row],[Raw max]]*(1+TblPop[[#This Row],[Max pop]]),0)+MIN(TblPop[[#This Row],[Military]]-TblPop[[#This Row],[Draftees]]-SUM(TblMili[[#This Row],[Train Unit 1]:[Train AM]]),(barracks_size + tech_8_3*TblTech[[#This Row],[8-3]])*TblConstr[[#This Row],[Tot Bar]])</f>
        <v>4036</v>
      </c>
      <c r="V2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20" s="69" t="n">
        <f aca="false">MAX(-5%*TblPop[[#This Row],[Peasants]]-TblPop[[#This Row],[Draft Growth]],MIN(OFFSET(TblPop[[#This Row],[Net max]],1,0)-TblPop[[#This Row],[Peasants]]-TblPop[[#This Row],[Military]]-TblPop[[#This Row],[Draft Growth]],TblPop[[#This Row],[Modded Birth]]-TblPop[[#This Row],[Draft Growth]]))</f>
        <v>142</v>
      </c>
      <c r="X20" s="69" t="n">
        <f aca="false">ROUND(TblPop[[#This Row],[Raw Birth]]*(1+TblPop[[#This Row],[Growth]]),0)</f>
        <v>164</v>
      </c>
      <c r="Y20" s="69" t="n">
        <f aca="false">(TblPop[[#This Row],[Peasants]]-TblPop[[#This Row],[Draft Growth]])*raw_pop_growth</f>
        <v>64.65</v>
      </c>
      <c r="Z20" s="69" t="n">
        <f aca="false">IF(TblPop[[#This Row],[Military%]]&lt;TblMili[[#This Row],[Draftrate]],ROUND(TblPop[[#This Row],[Peasants]]*Constants!$B$55,0), 0)</f>
        <v>22</v>
      </c>
      <c r="AA20" s="132"/>
      <c r="AB20" s="109" t="n">
        <f aca="false">Overview!$I$16 + IF(Magic!AE20&gt;0,Constants!$F$78) + ROUND(6*(Construction!BM21+Construction!CK20)/IF(Explore!S21&gt;0,Construction!F21-20,Construction!F21),4) + tech_6_5_2*Techs!BJ20 + tech_8_4*Techs!BT20</f>
        <v>1.5292</v>
      </c>
      <c r="AC20" s="130" t="n">
        <f aca="false">(Overview!$I$15 + Imps!Z20+ tech_2_5*Techs!AB20 + tech_3_6*Techs!AM20 + tech_6_1*Techs!BJ20 + tech_6_5*Techs!BF20 + tech_7_3_2*Techs!BN20) * (1 + Production!O20/100*prestige_pop_multiplier) + Production!O20/100*prestige_pop_multiplier</f>
        <v>0.07625</v>
      </c>
    </row>
    <row r="21" customFormat="false" ht="12.75" hidden="false" customHeight="false" outlineLevel="0" collapsed="false">
      <c r="A21" s="128" t="n">
        <f aca="false">TblRezone[[#This Row],[Hour]]</f>
        <v>18</v>
      </c>
      <c r="B21" s="129" t="n">
        <f aca="false">TblImps[[#This Row],[Time]]</f>
        <v>45430.4583333333</v>
      </c>
      <c r="C21" s="69" t="n">
        <f aca="false">OFFSET(TblPop[[#This Row],[Peasants]],-1,0)+OFFSET(TblPop[[#This Row],[Net Peasant]],-1,0)+TblMili[[#This Row],[Release Draft]]</f>
        <v>2319</v>
      </c>
      <c r="D21" s="69" t="n">
        <f aca="false">TblMili[[#This Row],[Military]]</f>
        <v>174</v>
      </c>
      <c r="E21" s="69" t="n">
        <f aca="false">TblMili[[#This Row],[Draftees]]</f>
        <v>174</v>
      </c>
      <c r="F21" s="69" t="n">
        <f aca="false">TblPop[[#This Row],[Peasants]]+TblPop[[#This Row],[Military]]</f>
        <v>2493</v>
      </c>
      <c r="G21" s="130" t="n">
        <f aca="false">TblPop[[#This Row],[Military]]/TblPop[[#This Row],[Total]]</f>
        <v>0.0697954271961492</v>
      </c>
      <c r="H21" s="95" t="n">
        <f aca="false">MIN(TblPop[[#This Row],[Peasants]],TblPop[[#This Row],[Jobs]])</f>
        <v>2319</v>
      </c>
      <c r="I21" s="130" t="n">
        <f aca="false">MIN(OFFSET(TblPop[[#This Row],[Jobs]],1,0)/TblPop[[#This Row],[Peasants]],1)</f>
        <v>1</v>
      </c>
      <c r="J21" s="95" t="n">
        <f aca="false">SUM(TblConstr[[#This Row],[Tot Alc]:[Tot GT]],TblConstr[[#This Row],[Tot Shr]:[Tot Doc]],TblConstr[[#This Row],[Dest Alc]:[Dest GT]],TblConstr[[#This Row],[Dest Shr]:[Dest Doc]])*building_employment + TblConstr[[#This Row],[Tot Fac]]*bonus_jobs_facts</f>
        <v>3840</v>
      </c>
      <c r="K21" s="131"/>
      <c r="L21" s="33" t="n">
        <f aca="false">TblPop[[#This Row],[Draftees]]</f>
        <v>174</v>
      </c>
      <c r="M21" s="33" t="n">
        <f aca="false">TblMili[[#This Row],[Unit 1]]</f>
        <v>0</v>
      </c>
      <c r="N21" s="33" t="n">
        <f aca="false">TblMili[[#This Row],[Unit 2]]</f>
        <v>0</v>
      </c>
      <c r="O21" s="33" t="n">
        <f aca="false">TblMili[[#This Row],[Unit 3]]</f>
        <v>0</v>
      </c>
      <c r="P21" s="33" t="n">
        <f aca="false">TblMili[[#This Row],[Unit 4]]</f>
        <v>0</v>
      </c>
      <c r="Q21" s="33" t="n">
        <f aca="false">TblMili[[#This Row],[Spies]]</f>
        <v>0</v>
      </c>
      <c r="R21" s="33" t="n">
        <f aca="false">TblMili[[#This Row],[Wizards]]</f>
        <v>0</v>
      </c>
      <c r="S21" s="33" t="n">
        <f aca="false">TblMili[[#This Row],[Archmages]]</f>
        <v>0</v>
      </c>
      <c r="T21" s="132"/>
      <c r="U21" s="69" t="n">
        <f aca="false">ROUND(TblPop[[#This Row],[Raw max]]*(1+TblPop[[#This Row],[Max pop]]),0)+MIN(TblPop[[#This Row],[Military]]-TblPop[[#This Row],[Draftees]]-SUM(TblMili[[#This Row],[Train Unit 1]:[Train AM]]),(barracks_size + tech_8_3*TblTech[[#This Row],[8-3]])*TblConstr[[#This Row],[Tot Bar]])</f>
        <v>4165</v>
      </c>
      <c r="V2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3870</v>
      </c>
      <c r="W21" s="69" t="n">
        <f aca="false">MAX(-5%*TblPop[[#This Row],[Peasants]]-TblPop[[#This Row],[Draft Growth]],MIN(OFFSET(TblPop[[#This Row],[Net max]],1,0)-TblPop[[#This Row],[Peasants]]-TblPop[[#This Row],[Military]]-TblPop[[#This Row],[Draft Growth]],TblPop[[#This Row],[Modded Birth]]-TblPop[[#This Row],[Draft Growth]]))</f>
        <v>151</v>
      </c>
      <c r="X21" s="69" t="n">
        <f aca="false">ROUND(TblPop[[#This Row],[Raw Birth]]*(1+TblPop[[#This Row],[Growth]]),0)</f>
        <v>174</v>
      </c>
      <c r="Y21" s="69" t="n">
        <f aca="false">(TblPop[[#This Row],[Peasants]]-TblPop[[#This Row],[Draft Growth]])*raw_pop_growth</f>
        <v>68.88</v>
      </c>
      <c r="Z21" s="69" t="n">
        <f aca="false">IF(TblPop[[#This Row],[Military%]]&lt;TblMili[[#This Row],[Draftrate]],ROUND(TblPop[[#This Row],[Peasants]]*Constants!$B$55,0), 0)</f>
        <v>23</v>
      </c>
      <c r="AA21" s="132"/>
      <c r="AB21" s="109" t="n">
        <f aca="false">Overview!$I$16 + IF(Magic!AE21&gt;0,Constants!$F$78) + ROUND(6*(Construction!BM22+Construction!CK21)/IF(Explore!S22&gt;0,Construction!F22-20,Construction!F22),4) + tech_6_5_2*Techs!BJ21 + tech_8_4*Techs!BT21</f>
        <v>1.5255</v>
      </c>
      <c r="AC21" s="130" t="n">
        <f aca="false">(Overview!$I$15 + Imps!Z21+ tech_2_5*Techs!AB21 + tech_3_6*Techs!AM21 + tech_6_1*Techs!BJ21 + tech_6_5*Techs!BF21 + tech_7_3_2*Techs!BN21) * (1 + Production!O21/100*prestige_pop_multiplier) + Production!O21/100*prestige_pop_multiplier</f>
        <v>0.07625</v>
      </c>
    </row>
    <row r="22" customFormat="false" ht="12.75" hidden="false" customHeight="false" outlineLevel="0" collapsed="false">
      <c r="A22" s="128" t="n">
        <f aca="false">TblRezone[[#This Row],[Hour]]</f>
        <v>19</v>
      </c>
      <c r="B22" s="129" t="n">
        <f aca="false">TblImps[[#This Row],[Time]]</f>
        <v>45430.5</v>
      </c>
      <c r="C22" s="69" t="n">
        <f aca="false">OFFSET(TblPop[[#This Row],[Peasants]],-1,0)+OFFSET(TblPop[[#This Row],[Net Peasant]],-1,0)+TblMili[[#This Row],[Release Draft]]</f>
        <v>2470</v>
      </c>
      <c r="D22" s="69" t="n">
        <f aca="false">TblMili[[#This Row],[Military]]</f>
        <v>153</v>
      </c>
      <c r="E22" s="69" t="n">
        <f aca="false">TblMili[[#This Row],[Draftees]]</f>
        <v>153</v>
      </c>
      <c r="F22" s="69" t="n">
        <f aca="false">TblPop[[#This Row],[Peasants]]+TblPop[[#This Row],[Military]]</f>
        <v>2623</v>
      </c>
      <c r="G22" s="130" t="n">
        <f aca="false">TblPop[[#This Row],[Military]]/TblPop[[#This Row],[Total]]</f>
        <v>0.0583301563095692</v>
      </c>
      <c r="H22" s="95" t="n">
        <f aca="false">MIN(TblPop[[#This Row],[Peasants]],TblPop[[#This Row],[Jobs]])</f>
        <v>2470</v>
      </c>
      <c r="I22" s="130" t="n">
        <f aca="false">MIN(OFFSET(TblPop[[#This Row],[Jobs]],1,0)/TblPop[[#This Row],[Peasants]],1)</f>
        <v>1</v>
      </c>
      <c r="J22" s="95" t="n">
        <f aca="false">SUM(TblConstr[[#This Row],[Tot Alc]:[Tot GT]],TblConstr[[#This Row],[Tot Shr]:[Tot Doc]],TblConstr[[#This Row],[Dest Alc]:[Dest GT]],TblConstr[[#This Row],[Dest Shr]:[Dest Doc]])*building_employment + TblConstr[[#This Row],[Tot Fac]]*bonus_jobs_facts</f>
        <v>3840</v>
      </c>
      <c r="K22" s="131"/>
      <c r="L22" s="33" t="n">
        <f aca="false">TblPop[[#This Row],[Draftees]]</f>
        <v>153</v>
      </c>
      <c r="M22" s="33" t="n">
        <f aca="false">TblMili[[#This Row],[Unit 1]]</f>
        <v>0</v>
      </c>
      <c r="N22" s="33" t="n">
        <f aca="false">TblMili[[#This Row],[Unit 2]]</f>
        <v>0</v>
      </c>
      <c r="O22" s="33" t="n">
        <f aca="false">TblMili[[#This Row],[Unit 3]]</f>
        <v>0</v>
      </c>
      <c r="P22" s="33" t="n">
        <f aca="false">TblMili[[#This Row],[Unit 4]]</f>
        <v>0</v>
      </c>
      <c r="Q22" s="33" t="n">
        <f aca="false">TblMili[[#This Row],[Spies]]</f>
        <v>0</v>
      </c>
      <c r="R22" s="33" t="n">
        <f aca="false">TblMili[[#This Row],[Wizards]]</f>
        <v>0</v>
      </c>
      <c r="S22" s="33" t="n">
        <f aca="false">TblMili[[#This Row],[Archmages]]</f>
        <v>0</v>
      </c>
      <c r="T22" s="132"/>
      <c r="U22" s="69" t="n">
        <f aca="false">ROUND(TblPop[[#This Row],[Raw max]]*(1+TblPop[[#This Row],[Max pop]]),0)+MIN(TblPop[[#This Row],[Military]]-TblPop[[#This Row],[Draftees]]-SUM(TblMili[[#This Row],[Train Unit 1]:[Train AM]]),(barracks_size + tech_8_3*TblTech[[#This Row],[8-3]])*TblConstr[[#This Row],[Tot Bar]])</f>
        <v>4429</v>
      </c>
      <c r="V2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4115</v>
      </c>
      <c r="W22" s="69" t="n">
        <f aca="false">MAX(-5%*TblPop[[#This Row],[Peasants]]-TblPop[[#This Row],[Draft Growth]],MIN(OFFSET(TblPop[[#This Row],[Net max]],1,0)-TblPop[[#This Row],[Peasants]]-TblPop[[#This Row],[Military]]-TblPop[[#This Row],[Draft Growth]],TblPop[[#This Row],[Modded Birth]]-TblPop[[#This Row],[Draft Growth]]))</f>
        <v>160</v>
      </c>
      <c r="X22" s="69" t="n">
        <f aca="false">ROUND(TblPop[[#This Row],[Raw Birth]]*(1+TblPop[[#This Row],[Growth]]),0)</f>
        <v>185</v>
      </c>
      <c r="Y22" s="69" t="n">
        <f aca="false">(TblPop[[#This Row],[Peasants]]-TblPop[[#This Row],[Draft Growth]])*raw_pop_growth</f>
        <v>73.35</v>
      </c>
      <c r="Z22" s="69" t="n">
        <f aca="false">IF(TblPop[[#This Row],[Military%]]&lt;TblMili[[#This Row],[Draftrate]],ROUND(TblPop[[#This Row],[Peasants]]*Constants!$B$55,0), 0)</f>
        <v>25</v>
      </c>
      <c r="AA22" s="132"/>
      <c r="AB22" s="109" t="n">
        <f aca="false">Overview!$I$16 + IF(Magic!AE22&gt;0,Constants!$F$78) + ROUND(6*(Construction!BM23+Construction!CK22)/IF(Explore!S23&gt;0,Construction!F23-20,Construction!F23),4) + tech_6_5_2*Techs!BJ22 + tech_8_4*Techs!BT22</f>
        <v>1.5217</v>
      </c>
      <c r="AC22" s="130" t="n">
        <f aca="false">(Overview!$I$15 + Imps!Z22+ tech_2_5*Techs!AB22 + tech_3_6*Techs!AM22 + tech_6_1*Techs!BJ22 + tech_6_5*Techs!BF22 + tech_7_3_2*Techs!BN22) * (1 + Production!O22/100*prestige_pop_multiplier) + Production!O22/100*prestige_pop_multiplier</f>
        <v>0.07625</v>
      </c>
    </row>
    <row r="23" customFormat="false" ht="12.75" hidden="false" customHeight="false" outlineLevel="0" collapsed="false">
      <c r="A23" s="128" t="n">
        <f aca="false">TblRezone[[#This Row],[Hour]]</f>
        <v>20</v>
      </c>
      <c r="B23" s="129" t="n">
        <f aca="false">TblImps[[#This Row],[Time]]</f>
        <v>45430.5416666667</v>
      </c>
      <c r="C23" s="69" t="n">
        <f aca="false">OFFSET(TblPop[[#This Row],[Peasants]],-1,0)+OFFSET(TblPop[[#This Row],[Net Peasant]],-1,0)+TblMili[[#This Row],[Release Draft]]</f>
        <v>2630</v>
      </c>
      <c r="D23" s="69" t="n">
        <f aca="false">TblMili[[#This Row],[Military]]</f>
        <v>130</v>
      </c>
      <c r="E23" s="69" t="n">
        <f aca="false">TblMili[[#This Row],[Draftees]]</f>
        <v>130</v>
      </c>
      <c r="F23" s="69" t="n">
        <f aca="false">TblPop[[#This Row],[Peasants]]+TblPop[[#This Row],[Military]]</f>
        <v>2760</v>
      </c>
      <c r="G23" s="130" t="n">
        <f aca="false">TblPop[[#This Row],[Military]]/TblPop[[#This Row],[Total]]</f>
        <v>0.0471014492753623</v>
      </c>
      <c r="H23" s="95" t="n">
        <f aca="false">MIN(TblPop[[#This Row],[Peasants]],TblPop[[#This Row],[Jobs]])</f>
        <v>2630</v>
      </c>
      <c r="I23" s="130" t="n">
        <f aca="false">MIN(OFFSET(TblPop[[#This Row],[Jobs]],1,0)/TblPop[[#This Row],[Peasants]],1)</f>
        <v>1</v>
      </c>
      <c r="J23" s="95" t="n">
        <f aca="false">SUM(TblConstr[[#This Row],[Tot Alc]:[Tot GT]],TblConstr[[#This Row],[Tot Shr]:[Tot Doc]],TblConstr[[#This Row],[Dest Alc]:[Dest GT]],TblConstr[[#This Row],[Dest Shr]:[Dest Doc]])*building_employment + TblConstr[[#This Row],[Tot Fac]]*bonus_jobs_facts</f>
        <v>3840</v>
      </c>
      <c r="K23" s="131"/>
      <c r="L23" s="33" t="n">
        <f aca="false">TblPop[[#This Row],[Draftees]]</f>
        <v>130</v>
      </c>
      <c r="M23" s="33" t="n">
        <f aca="false">TblMili[[#This Row],[Unit 1]]</f>
        <v>0</v>
      </c>
      <c r="N23" s="33" t="n">
        <f aca="false">TblMili[[#This Row],[Unit 2]]</f>
        <v>0</v>
      </c>
      <c r="O23" s="33" t="n">
        <f aca="false">TblMili[[#This Row],[Unit 3]]</f>
        <v>0</v>
      </c>
      <c r="P23" s="33" t="n">
        <f aca="false">TblMili[[#This Row],[Unit 4]]</f>
        <v>0</v>
      </c>
      <c r="Q23" s="33" t="n">
        <f aca="false">TblMili[[#This Row],[Spies]]</f>
        <v>0</v>
      </c>
      <c r="R23" s="33" t="n">
        <f aca="false">TblMili[[#This Row],[Wizards]]</f>
        <v>0</v>
      </c>
      <c r="S23" s="33" t="n">
        <f aca="false">TblMili[[#This Row],[Archmages]]</f>
        <v>0</v>
      </c>
      <c r="T23" s="132"/>
      <c r="U23" s="69" t="n">
        <f aca="false">ROUND(TblPop[[#This Row],[Raw max]]*(1+TblPop[[#This Row],[Max pop]]),0)+MIN(TblPop[[#This Row],[Military]]-TblPop[[#This Row],[Draftees]]-SUM(TblMili[[#This Row],[Train Unit 1]:[Train AM]]),(barracks_size + tech_8_3*TblTech[[#This Row],[8-3]])*TblConstr[[#This Row],[Tot Bar]])</f>
        <v>4445</v>
      </c>
      <c r="V2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4130</v>
      </c>
      <c r="W23" s="69" t="n">
        <f aca="false">MAX(-5%*TblPop[[#This Row],[Peasants]]-TblPop[[#This Row],[Draft Growth]],MIN(OFFSET(TblPop[[#This Row],[Net max]],1,0)-TblPop[[#This Row],[Peasants]]-TblPop[[#This Row],[Military]]-TblPop[[#This Row],[Draft Growth]],TblPop[[#This Row],[Modded Birth]]-TblPop[[#This Row],[Draft Growth]]))</f>
        <v>171</v>
      </c>
      <c r="X23" s="69" t="n">
        <f aca="false">ROUND(TblPop[[#This Row],[Raw Birth]]*(1+TblPop[[#This Row],[Growth]]),0)</f>
        <v>197</v>
      </c>
      <c r="Y23" s="69" t="n">
        <f aca="false">(TblPop[[#This Row],[Peasants]]-TblPop[[#This Row],[Draft Growth]])*raw_pop_growth</f>
        <v>78.12</v>
      </c>
      <c r="Z23" s="69" t="n">
        <f aca="false">IF(TblPop[[#This Row],[Military%]]&lt;TblMili[[#This Row],[Draftrate]],ROUND(TblPop[[#This Row],[Peasants]]*Constants!$B$55,0), 0)</f>
        <v>26</v>
      </c>
      <c r="AA23" s="132"/>
      <c r="AB23" s="109" t="n">
        <f aca="false">Overview!$I$16 + IF(Magic!AE23&gt;0,Constants!$F$78) + ROUND(6*(Construction!BM24+Construction!CK23)/IF(Explore!S24&gt;0,Construction!F24-20,Construction!F24),4) + tech_6_5_2*Techs!BJ23 + tech_8_4*Techs!BT23</f>
        <v>1.5181</v>
      </c>
      <c r="AC23" s="130" t="n">
        <f aca="false">(Overview!$I$15 + Imps!Z23+ tech_2_5*Techs!AB23 + tech_3_6*Techs!AM23 + tech_6_1*Techs!BJ23 + tech_6_5*Techs!BF23 + tech_7_3_2*Techs!BN23) * (1 + Production!O23/100*prestige_pop_multiplier) + Production!O23/100*prestige_pop_multiplier</f>
        <v>0.07625</v>
      </c>
    </row>
    <row r="24" customFormat="false" ht="12.75" hidden="false" customHeight="false" outlineLevel="0" collapsed="false">
      <c r="A24" s="128" t="n">
        <f aca="false">TblRezone[[#This Row],[Hour]]</f>
        <v>21</v>
      </c>
      <c r="B24" s="129" t="n">
        <f aca="false">TblImps[[#This Row],[Time]]</f>
        <v>45430.5833333333</v>
      </c>
      <c r="C24" s="69" t="n">
        <f aca="false">OFFSET(TblPop[[#This Row],[Peasants]],-1,0)+OFFSET(TblPop[[#This Row],[Net Peasant]],-1,0)+TblMili[[#This Row],[Release Draft]]</f>
        <v>2801</v>
      </c>
      <c r="D24" s="69" t="n">
        <f aca="false">TblMili[[#This Row],[Military]]</f>
        <v>108</v>
      </c>
      <c r="E24" s="69" t="n">
        <f aca="false">TblMili[[#This Row],[Draftees]]</f>
        <v>108</v>
      </c>
      <c r="F24" s="69" t="n">
        <f aca="false">TblPop[[#This Row],[Peasants]]+TblPop[[#This Row],[Military]]</f>
        <v>2909</v>
      </c>
      <c r="G24" s="130" t="n">
        <f aca="false">TblPop[[#This Row],[Military]]/TblPop[[#This Row],[Total]]</f>
        <v>0.037126160192506</v>
      </c>
      <c r="H24" s="95" t="n">
        <f aca="false">MIN(TblPop[[#This Row],[Peasants]],TblPop[[#This Row],[Jobs]])</f>
        <v>2801</v>
      </c>
      <c r="I24" s="130" t="n">
        <f aca="false">MIN(OFFSET(TblPop[[#This Row],[Jobs]],1,0)/TblPop[[#This Row],[Peasants]],1)</f>
        <v>1</v>
      </c>
      <c r="J24" s="95" t="n">
        <f aca="false">SUM(TblConstr[[#This Row],[Tot Alc]:[Tot GT]],TblConstr[[#This Row],[Tot Shr]:[Tot Doc]],TblConstr[[#This Row],[Dest Alc]:[Dest GT]],TblConstr[[#This Row],[Dest Shr]:[Dest Doc]])*building_employment + TblConstr[[#This Row],[Tot Fac]]*bonus_jobs_facts</f>
        <v>3840</v>
      </c>
      <c r="K24" s="131"/>
      <c r="L24" s="33" t="n">
        <f aca="false">TblPop[[#This Row],[Draftees]]</f>
        <v>108</v>
      </c>
      <c r="M24" s="33" t="n">
        <f aca="false">TblMili[[#This Row],[Unit 1]]</f>
        <v>0</v>
      </c>
      <c r="N24" s="33" t="n">
        <f aca="false">TblMili[[#This Row],[Unit 2]]</f>
        <v>0</v>
      </c>
      <c r="O24" s="33" t="n">
        <f aca="false">TblMili[[#This Row],[Unit 3]]</f>
        <v>0</v>
      </c>
      <c r="P24" s="33" t="n">
        <f aca="false">TblMili[[#This Row],[Unit 4]]</f>
        <v>0</v>
      </c>
      <c r="Q24" s="33" t="n">
        <f aca="false">TblMili[[#This Row],[Spies]]</f>
        <v>0</v>
      </c>
      <c r="R24" s="33" t="n">
        <f aca="false">TblMili[[#This Row],[Wizards]]</f>
        <v>0</v>
      </c>
      <c r="S24" s="33" t="n">
        <f aca="false">TblMili[[#This Row],[Archmages]]</f>
        <v>0</v>
      </c>
      <c r="T24" s="132"/>
      <c r="U24" s="69" t="n">
        <f aca="false">ROUND(TblPop[[#This Row],[Raw max]]*(1+TblPop[[#This Row],[Max pop]]),0)+MIN(TblPop[[#This Row],[Military]]-TblPop[[#This Row],[Draftees]]-SUM(TblMili[[#This Row],[Train Unit 1]:[Train AM]]),(barracks_size + tech_8_3*TblTech[[#This Row],[8-3]])*TblConstr[[#This Row],[Tot Bar]])</f>
        <v>4461</v>
      </c>
      <c r="V2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4145</v>
      </c>
      <c r="W24" s="69" t="n">
        <f aca="false">MAX(-5%*TblPop[[#This Row],[Peasants]]-TblPop[[#This Row],[Draft Growth]],MIN(OFFSET(TblPop[[#This Row],[Net max]],1,0)-TblPop[[#This Row],[Peasants]]-TblPop[[#This Row],[Military]]-TblPop[[#This Row],[Draft Growth]],TblPop[[#This Row],[Modded Birth]]-TblPop[[#This Row],[Draft Growth]]))</f>
        <v>181</v>
      </c>
      <c r="X24" s="69" t="n">
        <f aca="false">ROUND(TblPop[[#This Row],[Raw Birth]]*(1+TblPop[[#This Row],[Growth]]),0)</f>
        <v>209</v>
      </c>
      <c r="Y24" s="69" t="n">
        <f aca="false">(TblPop[[#This Row],[Peasants]]-TblPop[[#This Row],[Draft Growth]])*raw_pop_growth</f>
        <v>83.19</v>
      </c>
      <c r="Z24" s="69" t="n">
        <f aca="false">IF(TblPop[[#This Row],[Military%]]&lt;TblMili[[#This Row],[Draftrate]],ROUND(TblPop[[#This Row],[Peasants]]*Constants!$B$55,0), 0)</f>
        <v>28</v>
      </c>
      <c r="AA24" s="132"/>
      <c r="AB24" s="109" t="n">
        <f aca="false">Overview!$I$16 + IF(Magic!AE24&gt;0,Constants!$F$78) + ROUND(6*(Construction!BM25+Construction!CK24)/IF(Explore!S25&gt;0,Construction!F25-20,Construction!F25),4) + tech_6_5_2*Techs!BJ24 + tech_8_4*Techs!BT24</f>
        <v>1.5144</v>
      </c>
      <c r="AC24" s="130" t="n">
        <f aca="false">(Overview!$I$15 + Imps!Z24+ tech_2_5*Techs!AB24 + tech_3_6*Techs!AM24 + tech_6_1*Techs!BJ24 + tech_6_5*Techs!BF24 + tech_7_3_2*Techs!BN24) * (1 + Production!O24/100*prestige_pop_multiplier) + Production!O24/100*prestige_pop_multiplier</f>
        <v>0.07625</v>
      </c>
    </row>
    <row r="25" customFormat="false" ht="12.75" hidden="false" customHeight="false" outlineLevel="0" collapsed="false">
      <c r="A25" s="128" t="n">
        <f aca="false">TblRezone[[#This Row],[Hour]]</f>
        <v>22</v>
      </c>
      <c r="B25" s="129" t="n">
        <f aca="false">TblImps[[#This Row],[Time]]</f>
        <v>45430.625</v>
      </c>
      <c r="C25" s="69" t="n">
        <f aca="false">OFFSET(TblPop[[#This Row],[Peasants]],-1,0)+OFFSET(TblPop[[#This Row],[Net Peasant]],-1,0)+TblMili[[#This Row],[Release Draft]]</f>
        <v>2982</v>
      </c>
      <c r="D25" s="69" t="n">
        <f aca="false">TblMili[[#This Row],[Military]]</f>
        <v>124</v>
      </c>
      <c r="E25" s="69" t="n">
        <f aca="false">TblMili[[#This Row],[Draftees]]</f>
        <v>124</v>
      </c>
      <c r="F25" s="69" t="n">
        <f aca="false">TblPop[[#This Row],[Peasants]]+TblPop[[#This Row],[Military]]</f>
        <v>3106</v>
      </c>
      <c r="G25" s="130" t="n">
        <f aca="false">TblPop[[#This Row],[Military]]/TblPop[[#This Row],[Total]]</f>
        <v>0.0399227301996137</v>
      </c>
      <c r="H25" s="95" t="n">
        <f aca="false">MIN(TblPop[[#This Row],[Peasants]],TblPop[[#This Row],[Jobs]])</f>
        <v>2982</v>
      </c>
      <c r="I25" s="130" t="n">
        <f aca="false">MIN(OFFSET(TblPop[[#This Row],[Jobs]],1,0)/TblPop[[#This Row],[Peasants]],1)</f>
        <v>1</v>
      </c>
      <c r="J25" s="95" t="n">
        <f aca="false">SUM(TblConstr[[#This Row],[Tot Alc]:[Tot GT]],TblConstr[[#This Row],[Tot Shr]:[Tot Doc]],TblConstr[[#This Row],[Dest Alc]:[Dest GT]],TblConstr[[#This Row],[Dest Shr]:[Dest Doc]])*building_employment + TblConstr[[#This Row],[Tot Fac]]*bonus_jobs_facts</f>
        <v>3840</v>
      </c>
      <c r="K25" s="131"/>
      <c r="L25" s="33" t="n">
        <f aca="false">TblPop[[#This Row],[Draftees]]</f>
        <v>124</v>
      </c>
      <c r="M25" s="33" t="n">
        <f aca="false">TblMili[[#This Row],[Unit 1]]</f>
        <v>0</v>
      </c>
      <c r="N25" s="33" t="n">
        <f aca="false">TblMili[[#This Row],[Unit 2]]</f>
        <v>0</v>
      </c>
      <c r="O25" s="33" t="n">
        <f aca="false">TblMili[[#This Row],[Unit 3]]</f>
        <v>0</v>
      </c>
      <c r="P25" s="33" t="n">
        <f aca="false">TblMili[[#This Row],[Unit 4]]</f>
        <v>0</v>
      </c>
      <c r="Q25" s="33" t="n">
        <f aca="false">TblMili[[#This Row],[Spies]]</f>
        <v>0</v>
      </c>
      <c r="R25" s="33" t="n">
        <f aca="false">TblMili[[#This Row],[Wizards]]</f>
        <v>0</v>
      </c>
      <c r="S25" s="33" t="n">
        <f aca="false">TblMili[[#This Row],[Archmages]]</f>
        <v>0</v>
      </c>
      <c r="T25" s="132"/>
      <c r="U25" s="69" t="n">
        <f aca="false">ROUND(TblPop[[#This Row],[Raw max]]*(1+TblPop[[#This Row],[Max pop]]),0)+MIN(TblPop[[#This Row],[Military]]-TblPop[[#This Row],[Draftees]]-SUM(TblMili[[#This Row],[Train Unit 1]:[Train AM]]),(barracks_size + tech_8_3*TblTech[[#This Row],[8-3]])*TblConstr[[#This Row],[Tot Bar]])</f>
        <v>4477</v>
      </c>
      <c r="V2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4160</v>
      </c>
      <c r="W25" s="69" t="n">
        <f aca="false">MAX(-5%*TblPop[[#This Row],[Peasants]]-TblPop[[#This Row],[Draft Growth]],MIN(OFFSET(TblPop[[#This Row],[Net max]],1,0)-TblPop[[#This Row],[Peasants]]-TblPop[[#This Row],[Military]]-TblPop[[#This Row],[Draft Growth]],TblPop[[#This Row],[Modded Birth]]-TblPop[[#This Row],[Draft Growth]]))</f>
        <v>192</v>
      </c>
      <c r="X25" s="69" t="n">
        <f aca="false">ROUND(TblPop[[#This Row],[Raw Birth]]*(1+TblPop[[#This Row],[Growth]]),0)</f>
        <v>222</v>
      </c>
      <c r="Y25" s="69" t="n">
        <f aca="false">(TblPop[[#This Row],[Peasants]]-TblPop[[#This Row],[Draft Growth]])*raw_pop_growth</f>
        <v>88.56</v>
      </c>
      <c r="Z25" s="69" t="n">
        <f aca="false">IF(TblPop[[#This Row],[Military%]]&lt;TblMili[[#This Row],[Draftrate]],ROUND(TblPop[[#This Row],[Peasants]]*Constants!$B$55,0), 0)</f>
        <v>30</v>
      </c>
      <c r="AA25" s="132"/>
      <c r="AB25" s="109" t="n">
        <f aca="false">Overview!$I$16 + IF(Magic!AE25&gt;0,Constants!$F$78) + ROUND(6*(Construction!BM26+Construction!CK25)/IF(Explore!S26&gt;0,Construction!F26-20,Construction!F26),4) + tech_6_5_2*Techs!BJ25 + tech_8_4*Techs!BT25</f>
        <v>1.5108</v>
      </c>
      <c r="AC25" s="130" t="n">
        <f aca="false">(Overview!$I$15 + Imps!Z25+ tech_2_5*Techs!AB25 + tech_3_6*Techs!AM25 + tech_6_1*Techs!BJ25 + tech_6_5*Techs!BF25 + tech_7_3_2*Techs!BN25) * (1 + Production!O25/100*prestige_pop_multiplier) + Production!O25/100*prestige_pop_multiplier</f>
        <v>0.07625</v>
      </c>
    </row>
    <row r="26" customFormat="false" ht="12.75" hidden="false" customHeight="false" outlineLevel="0" collapsed="false">
      <c r="A26" s="128" t="n">
        <f aca="false">TblRezone[[#This Row],[Hour]]</f>
        <v>23</v>
      </c>
      <c r="B26" s="129" t="n">
        <f aca="false">TblImps[[#This Row],[Time]]</f>
        <v>45430.6666666667</v>
      </c>
      <c r="C26" s="69" t="n">
        <f aca="false">OFFSET(TblPop[[#This Row],[Peasants]],-1,0)+OFFSET(TblPop[[#This Row],[Net Peasant]],-1,0)+TblMili[[#This Row],[Release Draft]]</f>
        <v>3174</v>
      </c>
      <c r="D26" s="69" t="n">
        <f aca="false">TblMili[[#This Row],[Military]]</f>
        <v>146</v>
      </c>
      <c r="E26" s="69" t="n">
        <f aca="false">TblMili[[#This Row],[Draftees]]</f>
        <v>146</v>
      </c>
      <c r="F26" s="69" t="n">
        <f aca="false">TblPop[[#This Row],[Peasants]]+TblPop[[#This Row],[Military]]</f>
        <v>3320</v>
      </c>
      <c r="G26" s="130" t="n">
        <f aca="false">TblPop[[#This Row],[Military]]/TblPop[[#This Row],[Total]]</f>
        <v>0.0439759036144578</v>
      </c>
      <c r="H26" s="95" t="n">
        <f aca="false">MIN(TblPop[[#This Row],[Peasants]],TblPop[[#This Row],[Jobs]])</f>
        <v>3174</v>
      </c>
      <c r="I26" s="130" t="n">
        <f aca="false">MIN(OFFSET(TblPop[[#This Row],[Jobs]],1,0)/TblPop[[#This Row],[Peasants]],1)</f>
        <v>1</v>
      </c>
      <c r="J26" s="95" t="n">
        <f aca="false">SUM(TblConstr[[#This Row],[Tot Alc]:[Tot GT]],TblConstr[[#This Row],[Tot Shr]:[Tot Doc]],TblConstr[[#This Row],[Dest Alc]:[Dest GT]],TblConstr[[#This Row],[Dest Shr]:[Dest Doc]])*building_employment + TblConstr[[#This Row],[Tot Fac]]*bonus_jobs_facts</f>
        <v>3840</v>
      </c>
      <c r="K26" s="131"/>
      <c r="L26" s="33" t="n">
        <f aca="false">TblPop[[#This Row],[Draftees]]</f>
        <v>146</v>
      </c>
      <c r="M26" s="33" t="n">
        <f aca="false">TblMili[[#This Row],[Unit 1]]</f>
        <v>0</v>
      </c>
      <c r="N26" s="33" t="n">
        <f aca="false">TblMili[[#This Row],[Unit 2]]</f>
        <v>0</v>
      </c>
      <c r="O26" s="33" t="n">
        <f aca="false">TblMili[[#This Row],[Unit 3]]</f>
        <v>0</v>
      </c>
      <c r="P26" s="33" t="n">
        <f aca="false">TblMili[[#This Row],[Unit 4]]</f>
        <v>0</v>
      </c>
      <c r="Q26" s="33" t="n">
        <f aca="false">TblMili[[#This Row],[Spies]]</f>
        <v>0</v>
      </c>
      <c r="R26" s="33" t="n">
        <f aca="false">TblMili[[#This Row],[Wizards]]</f>
        <v>0</v>
      </c>
      <c r="S26" s="33" t="n">
        <f aca="false">TblMili[[#This Row],[Archmages]]</f>
        <v>0</v>
      </c>
      <c r="T26" s="132"/>
      <c r="U26" s="69" t="n">
        <f aca="false">ROUND(TblPop[[#This Row],[Raw max]]*(1+TblPop[[#This Row],[Max pop]]),0)+MIN(TblPop[[#This Row],[Military]]-TblPop[[#This Row],[Draftees]]-SUM(TblMili[[#This Row],[Train Unit 1]:[Train AM]]),(barracks_size + tech_8_3*TblTech[[#This Row],[8-3]])*TblConstr[[#This Row],[Tot Bar]])</f>
        <v>4493</v>
      </c>
      <c r="V2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4175</v>
      </c>
      <c r="W26" s="69" t="n">
        <f aca="false">MAX(-5%*TblPop[[#This Row],[Peasants]]-TblPop[[#This Row],[Draft Growth]],MIN(OFFSET(TblPop[[#This Row],[Net max]],1,0)-TblPop[[#This Row],[Peasants]]-TblPop[[#This Row],[Military]]-TblPop[[#This Row],[Draft Growth]],TblPop[[#This Row],[Modded Birth]]-TblPop[[#This Row],[Draft Growth]]))</f>
        <v>205</v>
      </c>
      <c r="X26" s="69" t="n">
        <f aca="false">ROUND(TblPop[[#This Row],[Raw Birth]]*(1+TblPop[[#This Row],[Growth]]),0)</f>
        <v>237</v>
      </c>
      <c r="Y26" s="69" t="n">
        <f aca="false">(TblPop[[#This Row],[Peasants]]-TblPop[[#This Row],[Draft Growth]])*raw_pop_growth</f>
        <v>94.26</v>
      </c>
      <c r="Z26" s="69" t="n">
        <f aca="false">IF(TblPop[[#This Row],[Military%]]&lt;TblMili[[#This Row],[Draftrate]],ROUND(TblPop[[#This Row],[Peasants]]*Constants!$B$55,0), 0)</f>
        <v>32</v>
      </c>
      <c r="AA26" s="132"/>
      <c r="AB26" s="109" t="n">
        <f aca="false">Overview!$I$16 + IF(Magic!AE26&gt;0,Constants!$F$78) + ROUND(6*(Construction!BM27+Construction!CK26)/IF(Explore!S27&gt;0,Construction!F27-20,Construction!F27),4) + tech_6_5_2*Techs!BJ26 + tech_8_4*Techs!BT26</f>
        <v>1.5108</v>
      </c>
      <c r="AC26" s="130" t="n">
        <f aca="false">(Overview!$I$15 + Imps!Z26+ tech_2_5*Techs!AB26 + tech_3_6*Techs!AM26 + tech_6_1*Techs!BJ26 + tech_6_5*Techs!BF26 + tech_7_3_2*Techs!BN26) * (1 + Production!O26/100*prestige_pop_multiplier) + Production!O26/100*prestige_pop_multiplier</f>
        <v>0.07625</v>
      </c>
    </row>
    <row r="27" customFormat="false" ht="12.75" hidden="false" customHeight="false" outlineLevel="0" collapsed="false">
      <c r="A27" s="128" t="n">
        <f aca="false">TblRezone[[#This Row],[Hour]]</f>
        <v>24</v>
      </c>
      <c r="B27" s="129" t="n">
        <f aca="false">TblImps[[#This Row],[Time]]</f>
        <v>45430.7083333333</v>
      </c>
      <c r="C27" s="69" t="n">
        <f aca="false">OFFSET(TblPop[[#This Row],[Peasants]],-1,0)+OFFSET(TblPop[[#This Row],[Net Peasant]],-1,0)+TblMili[[#This Row],[Release Draft]]</f>
        <v>3379</v>
      </c>
      <c r="D27" s="69" t="n">
        <f aca="false">TblMili[[#This Row],[Military]]</f>
        <v>138</v>
      </c>
      <c r="E27" s="69" t="n">
        <f aca="false">TblMili[[#This Row],[Draftees]]</f>
        <v>138</v>
      </c>
      <c r="F27" s="69" t="n">
        <f aca="false">TblPop[[#This Row],[Peasants]]+TblPop[[#This Row],[Military]]</f>
        <v>3517</v>
      </c>
      <c r="G27" s="130" t="n">
        <f aca="false">TblPop[[#This Row],[Military]]/TblPop[[#This Row],[Total]]</f>
        <v>0.039237986920671</v>
      </c>
      <c r="H27" s="95" t="n">
        <f aca="false">MIN(TblPop[[#This Row],[Peasants]],TblPop[[#This Row],[Jobs]])</f>
        <v>3379</v>
      </c>
      <c r="I27" s="130" t="n">
        <f aca="false">MIN(OFFSET(TblPop[[#This Row],[Jobs]],1,0)/TblPop[[#This Row],[Peasants]],1)</f>
        <v>1</v>
      </c>
      <c r="J27" s="95" t="n">
        <f aca="false">SUM(TblConstr[[#This Row],[Tot Alc]:[Tot GT]],TblConstr[[#This Row],[Tot Shr]:[Tot Doc]],TblConstr[[#This Row],[Dest Alc]:[Dest GT]],TblConstr[[#This Row],[Dest Shr]:[Dest Doc]])*building_employment + TblConstr[[#This Row],[Tot Fac]]*bonus_jobs_facts</f>
        <v>3840</v>
      </c>
      <c r="K27" s="131"/>
      <c r="L27" s="33" t="n">
        <f aca="false">TblPop[[#This Row],[Draftees]]</f>
        <v>138</v>
      </c>
      <c r="M27" s="33" t="n">
        <f aca="false">TblMili[[#This Row],[Unit 1]]</f>
        <v>0</v>
      </c>
      <c r="N27" s="33" t="n">
        <f aca="false">TblMili[[#This Row],[Unit 2]]</f>
        <v>0</v>
      </c>
      <c r="O27" s="33" t="n">
        <f aca="false">TblMili[[#This Row],[Unit 3]]</f>
        <v>0</v>
      </c>
      <c r="P27" s="33" t="n">
        <f aca="false">TblMili[[#This Row],[Unit 4]]</f>
        <v>0</v>
      </c>
      <c r="Q27" s="33" t="n">
        <f aca="false">TblMili[[#This Row],[Spies]]</f>
        <v>0</v>
      </c>
      <c r="R27" s="33" t="n">
        <f aca="false">TblMili[[#This Row],[Wizards]]</f>
        <v>0</v>
      </c>
      <c r="S27" s="33" t="n">
        <f aca="false">TblMili[[#This Row],[Archmages]]</f>
        <v>0</v>
      </c>
      <c r="T27" s="132"/>
      <c r="U27" s="69" t="n">
        <f aca="false">ROUND(TblPop[[#This Row],[Raw max]]*(1+TblPop[[#This Row],[Max pop]]),0)+MIN(TblPop[[#This Row],[Military]]-TblPop[[#This Row],[Draftees]]-SUM(TblMili[[#This Row],[Train Unit 1]:[Train AM]]),(barracks_size + tech_8_3*TblTech[[#This Row],[8-3]])*TblConstr[[#This Row],[Tot Bar]])</f>
        <v>4504</v>
      </c>
      <c r="V2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4185</v>
      </c>
      <c r="W27" s="69" t="n">
        <f aca="false">MAX(-5%*TblPop[[#This Row],[Peasants]]-TblPop[[#This Row],[Draft Growth]],MIN(OFFSET(TblPop[[#This Row],[Net max]],1,0)-TblPop[[#This Row],[Peasants]]-TblPop[[#This Row],[Military]]-TblPop[[#This Row],[Draft Growth]],TblPop[[#This Row],[Modded Birth]]-TblPop[[#This Row],[Draft Growth]]))</f>
        <v>211</v>
      </c>
      <c r="X27" s="69" t="n">
        <f aca="false">ROUND(TblPop[[#This Row],[Raw Birth]]*(1+TblPop[[#This Row],[Growth]]),0)</f>
        <v>245</v>
      </c>
      <c r="Y27" s="69" t="n">
        <f aca="false">(TblPop[[#This Row],[Peasants]]-TblPop[[#This Row],[Draft Growth]])*raw_pop_growth</f>
        <v>100.35</v>
      </c>
      <c r="Z27" s="69" t="n">
        <f aca="false">IF(TblPop[[#This Row],[Military%]]&lt;TblMili[[#This Row],[Draftrate]],ROUND(TblPop[[#This Row],[Peasants]]*Constants!$B$55,0), 0)</f>
        <v>34</v>
      </c>
      <c r="AA27" s="132"/>
      <c r="AB27" s="109" t="n">
        <f aca="false">Overview!$I$16 + IF(Magic!AE27&gt;0,Constants!$F$78) + ROUND(6*(Construction!BM28+Construction!CK27)/IF(Explore!S28&gt;0,Construction!F28-20,Construction!F28),4) + tech_6_5_2*Techs!BJ27 + tech_8_4*Techs!BT27</f>
        <v>1.4431</v>
      </c>
      <c r="AC27" s="130" t="n">
        <f aca="false">(Overview!$I$15 + Imps!Z27+ tech_2_5*Techs!AB27 + tech_3_6*Techs!AM27 + tech_6_1*Techs!BJ27 + tech_6_5*Techs!BF27 + tech_7_3_2*Techs!BN27) * (1 + Production!O27/100*prestige_pop_multiplier) + Production!O27/100*prestige_pop_multiplier</f>
        <v>0.07625</v>
      </c>
    </row>
    <row r="28" customFormat="false" ht="12.75" hidden="false" customHeight="false" outlineLevel="0" collapsed="false">
      <c r="A28" s="128" t="n">
        <f aca="false">TblRezone[[#This Row],[Hour]]</f>
        <v>25</v>
      </c>
      <c r="B28" s="129" t="n">
        <f aca="false">TblImps[[#This Row],[Time]]</f>
        <v>45430.75</v>
      </c>
      <c r="C28" s="69" t="n">
        <f aca="false">OFFSET(TblPop[[#This Row],[Peasants]],-1,0)+OFFSET(TblPop[[#This Row],[Net Peasant]],-1,0)+TblMili[[#This Row],[Release Draft]]</f>
        <v>3590</v>
      </c>
      <c r="D28" s="69" t="n">
        <f aca="false">TblMili[[#This Row],[Military]]</f>
        <v>172</v>
      </c>
      <c r="E28" s="69" t="n">
        <f aca="false">TblMili[[#This Row],[Draftees]]</f>
        <v>172</v>
      </c>
      <c r="F28" s="69" t="n">
        <f aca="false">TblPop[[#This Row],[Peasants]]+TblPop[[#This Row],[Military]]</f>
        <v>3762</v>
      </c>
      <c r="G28" s="130" t="n">
        <f aca="false">TblPop[[#This Row],[Military]]/TblPop[[#This Row],[Total]]</f>
        <v>0.0457203615098352</v>
      </c>
      <c r="H28" s="95" t="n">
        <f aca="false">MIN(TblPop[[#This Row],[Peasants]],TblPop[[#This Row],[Jobs]])</f>
        <v>3590</v>
      </c>
      <c r="I28" s="130" t="n">
        <f aca="false">MIN(OFFSET(TblPop[[#This Row],[Jobs]],1,0)/TblPop[[#This Row],[Peasants]],1)</f>
        <v>1</v>
      </c>
      <c r="J28" s="95" t="n">
        <f aca="false">SUM(TblConstr[[#This Row],[Tot Alc]:[Tot GT]],TblConstr[[#This Row],[Tot Shr]:[Tot Doc]],TblConstr[[#This Row],[Dest Alc]:[Dest GT]],TblConstr[[#This Row],[Dest Shr]:[Dest Doc]])*building_employment + TblConstr[[#This Row],[Tot Fac]]*bonus_jobs_facts</f>
        <v>5150</v>
      </c>
      <c r="K28" s="131"/>
      <c r="L28" s="33" t="n">
        <f aca="false">TblPop[[#This Row],[Draftees]]</f>
        <v>172</v>
      </c>
      <c r="M28" s="33" t="n">
        <f aca="false">TblMili[[#This Row],[Unit 1]]</f>
        <v>0</v>
      </c>
      <c r="N28" s="33" t="n">
        <f aca="false">TblMili[[#This Row],[Unit 2]]</f>
        <v>0</v>
      </c>
      <c r="O28" s="33" t="n">
        <f aca="false">TblMili[[#This Row],[Unit 3]]</f>
        <v>0</v>
      </c>
      <c r="P28" s="33" t="n">
        <f aca="false">TblMili[[#This Row],[Unit 4]]</f>
        <v>0</v>
      </c>
      <c r="Q28" s="33" t="n">
        <f aca="false">TblMili[[#This Row],[Spies]]</f>
        <v>0</v>
      </c>
      <c r="R28" s="33" t="n">
        <f aca="false">TblMili[[#This Row],[Wizards]]</f>
        <v>0</v>
      </c>
      <c r="S28" s="33" t="n">
        <f aca="false">TblMili[[#This Row],[Archmages]]</f>
        <v>0</v>
      </c>
      <c r="T28" s="132"/>
      <c r="U28" s="69" t="n">
        <f aca="false">ROUND(TblPop[[#This Row],[Raw max]]*(1+TblPop[[#This Row],[Max pop]]),0)+MIN(TblPop[[#This Row],[Military]]-TblPop[[#This Row],[Draftees]]-SUM(TblMili[[#This Row],[Train Unit 1]:[Train AM]]),(barracks_size + tech_8_3*TblTech[[#This Row],[8-3]])*TblConstr[[#This Row],[Tot Bar]])</f>
        <v>4827</v>
      </c>
      <c r="V2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8" s="69" t="n">
        <f aca="false">MAX(-5%*TblPop[[#This Row],[Peasants]]-TblPop[[#This Row],[Draft Growth]],MIN(OFFSET(TblPop[[#This Row],[Net max]],1,0)-TblPop[[#This Row],[Peasants]]-TblPop[[#This Row],[Military]]-TblPop[[#This Row],[Draft Growth]],TblPop[[#This Row],[Modded Birth]]-TblPop[[#This Row],[Draft Growth]]))</f>
        <v>224</v>
      </c>
      <c r="X28" s="69" t="n">
        <f aca="false">ROUND(TblPop[[#This Row],[Raw Birth]]*(1+TblPop[[#This Row],[Growth]]),0)</f>
        <v>260</v>
      </c>
      <c r="Y28" s="69" t="n">
        <f aca="false">(TblPop[[#This Row],[Peasants]]-TblPop[[#This Row],[Draft Growth]])*raw_pop_growth</f>
        <v>106.62</v>
      </c>
      <c r="Z28" s="69" t="n">
        <f aca="false">IF(TblPop[[#This Row],[Military%]]&lt;TblMili[[#This Row],[Draftrate]],ROUND(TblPop[[#This Row],[Peasants]]*Constants!$B$55,0), 0)</f>
        <v>36</v>
      </c>
      <c r="AA28" s="132"/>
      <c r="AB28" s="109" t="n">
        <f aca="false">Overview!$I$16 + IF(Magic!AE28&gt;0,Constants!$F$78) + ROUND(6*(Construction!BM29+Construction!CK28)/IF(Explore!S29&gt;0,Construction!F29-20,Construction!F29),4) + tech_6_5_2*Techs!BJ28 + tech_8_4*Techs!BT28</f>
        <v>1.4431</v>
      </c>
      <c r="AC28" s="130" t="n">
        <f aca="false">(Overview!$I$15 + Imps!Z28+ tech_2_5*Techs!AB28 + tech_3_6*Techs!AM28 + tech_6_1*Techs!BJ28 + tech_6_5*Techs!BF28 + tech_7_3_2*Techs!BN28) * (1 + Production!O28/100*prestige_pop_multiplier) + Production!O28/100*prestige_pop_multiplier</f>
        <v>0.07625</v>
      </c>
    </row>
    <row r="29" customFormat="false" ht="12.75" hidden="false" customHeight="false" outlineLevel="0" collapsed="false">
      <c r="A29" s="128" t="n">
        <f aca="false">TblRezone[[#This Row],[Hour]]</f>
        <v>26</v>
      </c>
      <c r="B29" s="129" t="n">
        <f aca="false">TblImps[[#This Row],[Time]]</f>
        <v>45430.7916666667</v>
      </c>
      <c r="C29" s="69" t="n">
        <f aca="false">OFFSET(TblPop[[#This Row],[Peasants]],-1,0)+OFFSET(TblPop[[#This Row],[Net Peasant]],-1,0)+TblMili[[#This Row],[Release Draft]]</f>
        <v>3814</v>
      </c>
      <c r="D29" s="69" t="n">
        <f aca="false">TblMili[[#This Row],[Military]]</f>
        <v>208</v>
      </c>
      <c r="E29" s="69" t="n">
        <f aca="false">TblMili[[#This Row],[Draftees]]</f>
        <v>208</v>
      </c>
      <c r="F29" s="69" t="n">
        <f aca="false">TblPop[[#This Row],[Peasants]]+TblPop[[#This Row],[Military]]</f>
        <v>4022</v>
      </c>
      <c r="G29" s="130" t="n">
        <f aca="false">TblPop[[#This Row],[Military]]/TblPop[[#This Row],[Total]]</f>
        <v>0.051715564395823</v>
      </c>
      <c r="H29" s="95" t="n">
        <f aca="false">MIN(TblPop[[#This Row],[Peasants]],TblPop[[#This Row],[Jobs]])</f>
        <v>3814</v>
      </c>
      <c r="I29" s="130" t="n">
        <f aca="false">MIN(OFFSET(TblPop[[#This Row],[Jobs]],1,0)/TblPop[[#This Row],[Peasants]],1)</f>
        <v>1</v>
      </c>
      <c r="J29" s="95" t="n">
        <f aca="false">SUM(TblConstr[[#This Row],[Tot Alc]:[Tot GT]],TblConstr[[#This Row],[Tot Shr]:[Tot Doc]],TblConstr[[#This Row],[Dest Alc]:[Dest GT]],TblConstr[[#This Row],[Dest Shr]:[Dest Doc]])*building_employment + TblConstr[[#This Row],[Tot Fac]]*bonus_jobs_facts</f>
        <v>5150</v>
      </c>
      <c r="K29" s="131"/>
      <c r="L29" s="33" t="n">
        <f aca="false">TblPop[[#This Row],[Draftees]]</f>
        <v>208</v>
      </c>
      <c r="M29" s="33" t="n">
        <f aca="false">TblMili[[#This Row],[Unit 1]]</f>
        <v>0</v>
      </c>
      <c r="N29" s="33" t="n">
        <f aca="false">TblMili[[#This Row],[Unit 2]]</f>
        <v>0</v>
      </c>
      <c r="O29" s="33" t="n">
        <f aca="false">TblMili[[#This Row],[Unit 3]]</f>
        <v>0</v>
      </c>
      <c r="P29" s="33" t="n">
        <f aca="false">TblMili[[#This Row],[Unit 4]]</f>
        <v>0</v>
      </c>
      <c r="Q29" s="33" t="n">
        <f aca="false">TblMili[[#This Row],[Spies]]</f>
        <v>0</v>
      </c>
      <c r="R29" s="33" t="n">
        <f aca="false">TblMili[[#This Row],[Wizards]]</f>
        <v>0</v>
      </c>
      <c r="S29" s="33" t="n">
        <f aca="false">TblMili[[#This Row],[Archmages]]</f>
        <v>0</v>
      </c>
      <c r="T29" s="132"/>
      <c r="U29" s="69" t="n">
        <f aca="false">ROUND(TblPop[[#This Row],[Raw max]]*(1+TblPop[[#This Row],[Max pop]]),0)+MIN(TblPop[[#This Row],[Military]]-TblPop[[#This Row],[Draftees]]-SUM(TblMili[[#This Row],[Train Unit 1]:[Train AM]]),(barracks_size + tech_8_3*TblTech[[#This Row],[8-3]])*TblConstr[[#This Row],[Tot Bar]])</f>
        <v>4827</v>
      </c>
      <c r="V2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9" s="69" t="n">
        <f aca="false">MAX(-5%*TblPop[[#This Row],[Peasants]]-TblPop[[#This Row],[Draft Growth]],MIN(OFFSET(TblPop[[#This Row],[Net max]],1,0)-TblPop[[#This Row],[Peasants]]-TblPop[[#This Row],[Military]]-TblPop[[#This Row],[Draft Growth]],TblPop[[#This Row],[Modded Birth]]-TblPop[[#This Row],[Draft Growth]]))</f>
        <v>239</v>
      </c>
      <c r="X29" s="69" t="n">
        <f aca="false">ROUND(TblPop[[#This Row],[Raw Birth]]*(1+TblPop[[#This Row],[Growth]]),0)</f>
        <v>277</v>
      </c>
      <c r="Y29" s="69" t="n">
        <f aca="false">(TblPop[[#This Row],[Peasants]]-TblPop[[#This Row],[Draft Growth]])*raw_pop_growth</f>
        <v>113.28</v>
      </c>
      <c r="Z29" s="69" t="n">
        <f aca="false">IF(TblPop[[#This Row],[Military%]]&lt;TblMili[[#This Row],[Draftrate]],ROUND(TblPop[[#This Row],[Peasants]]*Constants!$B$55,0), 0)</f>
        <v>38</v>
      </c>
      <c r="AA29" s="132"/>
      <c r="AB29" s="109" t="n">
        <f aca="false">Overview!$I$16 + IF(Magic!AE29&gt;0,Constants!$F$78) + ROUND(6*(Construction!BM30+Construction!CK29)/IF(Explore!S30&gt;0,Construction!F30-20,Construction!F30),4) + tech_6_5_2*Techs!BJ29 + tech_8_4*Techs!BT29</f>
        <v>1.4431</v>
      </c>
      <c r="AC29" s="130" t="n">
        <f aca="false">(Overview!$I$15 + Imps!Z29+ tech_2_5*Techs!AB29 + tech_3_6*Techs!AM29 + tech_6_1*Techs!BJ29 + tech_6_5*Techs!BF29 + tech_7_3_2*Techs!BN29) * (1 + Production!O29/100*prestige_pop_multiplier) + Production!O29/100*prestige_pop_multiplier</f>
        <v>0.07625</v>
      </c>
    </row>
    <row r="30" customFormat="false" ht="12.75" hidden="false" customHeight="false" outlineLevel="0" collapsed="false">
      <c r="A30" s="128" t="n">
        <f aca="false">TblRezone[[#This Row],[Hour]]</f>
        <v>27</v>
      </c>
      <c r="B30" s="129" t="n">
        <f aca="false">TblImps[[#This Row],[Time]]</f>
        <v>45430.8333333333</v>
      </c>
      <c r="C30" s="69" t="n">
        <f aca="false">OFFSET(TblPop[[#This Row],[Peasants]],-1,0)+OFFSET(TblPop[[#This Row],[Net Peasant]],-1,0)+TblMili[[#This Row],[Release Draft]]</f>
        <v>4053</v>
      </c>
      <c r="D30" s="69" t="n">
        <f aca="false">TblMili[[#This Row],[Military]]</f>
        <v>246</v>
      </c>
      <c r="E30" s="69" t="n">
        <f aca="false">TblMili[[#This Row],[Draftees]]</f>
        <v>246</v>
      </c>
      <c r="F30" s="69" t="n">
        <f aca="false">TblPop[[#This Row],[Peasants]]+TblPop[[#This Row],[Military]]</f>
        <v>4299</v>
      </c>
      <c r="G30" s="130" t="n">
        <f aca="false">TblPop[[#This Row],[Military]]/TblPop[[#This Row],[Total]]</f>
        <v>0.0572226099092812</v>
      </c>
      <c r="H30" s="95" t="n">
        <f aca="false">MIN(TblPop[[#This Row],[Peasants]],TblPop[[#This Row],[Jobs]])</f>
        <v>4053</v>
      </c>
      <c r="I30" s="130" t="n">
        <f aca="false">MIN(OFFSET(TblPop[[#This Row],[Jobs]],1,0)/TblPop[[#This Row],[Peasants]],1)</f>
        <v>1</v>
      </c>
      <c r="J30" s="95" t="n">
        <f aca="false">SUM(TblConstr[[#This Row],[Tot Alc]:[Tot GT]],TblConstr[[#This Row],[Tot Shr]:[Tot Doc]],TblConstr[[#This Row],[Dest Alc]:[Dest GT]],TblConstr[[#This Row],[Dest Shr]:[Dest Doc]])*building_employment + TblConstr[[#This Row],[Tot Fac]]*bonus_jobs_facts</f>
        <v>5150</v>
      </c>
      <c r="K30" s="131"/>
      <c r="L30" s="33" t="n">
        <f aca="false">TblPop[[#This Row],[Draftees]]</f>
        <v>246</v>
      </c>
      <c r="M30" s="33" t="n">
        <f aca="false">TblMili[[#This Row],[Unit 1]]</f>
        <v>0</v>
      </c>
      <c r="N30" s="33" t="n">
        <f aca="false">TblMili[[#This Row],[Unit 2]]</f>
        <v>0</v>
      </c>
      <c r="O30" s="33" t="n">
        <f aca="false">TblMili[[#This Row],[Unit 3]]</f>
        <v>0</v>
      </c>
      <c r="P30" s="33" t="n">
        <f aca="false">TblMili[[#This Row],[Unit 4]]</f>
        <v>0</v>
      </c>
      <c r="Q30" s="33" t="n">
        <f aca="false">TblMili[[#This Row],[Spies]]</f>
        <v>0</v>
      </c>
      <c r="R30" s="33" t="n">
        <f aca="false">TblMili[[#This Row],[Wizards]]</f>
        <v>0</v>
      </c>
      <c r="S30" s="33" t="n">
        <f aca="false">TblMili[[#This Row],[Archmages]]</f>
        <v>0</v>
      </c>
      <c r="T30" s="132"/>
      <c r="U30" s="69" t="n">
        <f aca="false">ROUND(TblPop[[#This Row],[Raw max]]*(1+TblPop[[#This Row],[Max pop]]),0)+MIN(TblPop[[#This Row],[Military]]-TblPop[[#This Row],[Draftees]]-SUM(TblMili[[#This Row],[Train Unit 1]:[Train AM]]),(barracks_size + tech_8_3*TblTech[[#This Row],[8-3]])*TblConstr[[#This Row],[Tot Bar]])</f>
        <v>4827</v>
      </c>
      <c r="V3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0" s="69" t="n">
        <f aca="false">MAX(-5%*TblPop[[#This Row],[Peasants]]-TblPop[[#This Row],[Draft Growth]],MIN(OFFSET(TblPop[[#This Row],[Net max]],1,0)-TblPop[[#This Row],[Peasants]]-TblPop[[#This Row],[Military]]-TblPop[[#This Row],[Draft Growth]],TblPop[[#This Row],[Modded Birth]]-TblPop[[#This Row],[Draft Growth]]))</f>
        <v>253</v>
      </c>
      <c r="X30" s="69" t="n">
        <f aca="false">ROUND(TblPop[[#This Row],[Raw Birth]]*(1+TblPop[[#This Row],[Growth]]),0)</f>
        <v>294</v>
      </c>
      <c r="Y30" s="69" t="n">
        <f aca="false">(TblPop[[#This Row],[Peasants]]-TblPop[[#This Row],[Draft Growth]])*raw_pop_growth</f>
        <v>120.36</v>
      </c>
      <c r="Z30" s="69" t="n">
        <f aca="false">IF(TblPop[[#This Row],[Military%]]&lt;TblMili[[#This Row],[Draftrate]],ROUND(TblPop[[#This Row],[Peasants]]*Constants!$B$55,0), 0)</f>
        <v>41</v>
      </c>
      <c r="AA30" s="132"/>
      <c r="AB30" s="109" t="n">
        <f aca="false">Overview!$I$16 + IF(Magic!AE30&gt;0,Constants!$F$78) + ROUND(6*(Construction!BM31+Construction!CK30)/IF(Explore!S31&gt;0,Construction!F31-20,Construction!F31),4) + tech_6_5_2*Techs!BJ30 + tech_8_4*Techs!BT30</f>
        <v>1.4431</v>
      </c>
      <c r="AC30" s="130" t="n">
        <f aca="false">(Overview!$I$15 + Imps!Z30+ tech_2_5*Techs!AB30 + tech_3_6*Techs!AM30 + tech_6_1*Techs!BJ30 + tech_6_5*Techs!BF30 + tech_7_3_2*Techs!BN30) * (1 + Production!O30/100*prestige_pop_multiplier) + Production!O30/100*prestige_pop_multiplier</f>
        <v>0.07625</v>
      </c>
    </row>
    <row r="31" customFormat="false" ht="12.75" hidden="false" customHeight="false" outlineLevel="0" collapsed="false">
      <c r="A31" s="128" t="n">
        <f aca="false">TblRezone[[#This Row],[Hour]]</f>
        <v>28</v>
      </c>
      <c r="B31" s="129" t="n">
        <f aca="false">TblImps[[#This Row],[Time]]</f>
        <v>45430.875</v>
      </c>
      <c r="C31" s="69" t="n">
        <f aca="false">OFFSET(TblPop[[#This Row],[Peasants]],-1,0)+OFFSET(TblPop[[#This Row],[Net Peasant]],-1,0)+TblMili[[#This Row],[Release Draft]]</f>
        <v>4306</v>
      </c>
      <c r="D31" s="69" t="n">
        <f aca="false">TblMili[[#This Row],[Military]]</f>
        <v>287</v>
      </c>
      <c r="E31" s="69" t="n">
        <f aca="false">TblMili[[#This Row],[Draftees]]</f>
        <v>287</v>
      </c>
      <c r="F31" s="69" t="n">
        <f aca="false">TblPop[[#This Row],[Peasants]]+TblPop[[#This Row],[Military]]</f>
        <v>4593</v>
      </c>
      <c r="G31" s="130" t="n">
        <f aca="false">TblPop[[#This Row],[Military]]/TblPop[[#This Row],[Total]]</f>
        <v>0.0624863923361637</v>
      </c>
      <c r="H31" s="95" t="n">
        <f aca="false">MIN(TblPop[[#This Row],[Peasants]],TblPop[[#This Row],[Jobs]])</f>
        <v>4306</v>
      </c>
      <c r="I31" s="130" t="n">
        <f aca="false">MIN(OFFSET(TblPop[[#This Row],[Jobs]],1,0)/TblPop[[#This Row],[Peasants]],1)</f>
        <v>1</v>
      </c>
      <c r="J31" s="95" t="n">
        <f aca="false">SUM(TblConstr[[#This Row],[Tot Alc]:[Tot GT]],TblConstr[[#This Row],[Tot Shr]:[Tot Doc]],TblConstr[[#This Row],[Dest Alc]:[Dest GT]],TblConstr[[#This Row],[Dest Shr]:[Dest Doc]])*building_employment + TblConstr[[#This Row],[Tot Fac]]*bonus_jobs_facts</f>
        <v>5150</v>
      </c>
      <c r="K31" s="131"/>
      <c r="L31" s="33" t="n">
        <f aca="false">TblPop[[#This Row],[Draftees]]</f>
        <v>287</v>
      </c>
      <c r="M31" s="33" t="n">
        <f aca="false">TblMili[[#This Row],[Unit 1]]</f>
        <v>0</v>
      </c>
      <c r="N31" s="33" t="n">
        <f aca="false">TblMili[[#This Row],[Unit 2]]</f>
        <v>0</v>
      </c>
      <c r="O31" s="33" t="n">
        <f aca="false">TblMili[[#This Row],[Unit 3]]</f>
        <v>0</v>
      </c>
      <c r="P31" s="33" t="n">
        <f aca="false">TblMili[[#This Row],[Unit 4]]</f>
        <v>0</v>
      </c>
      <c r="Q31" s="33" t="n">
        <f aca="false">TblMili[[#This Row],[Spies]]</f>
        <v>0</v>
      </c>
      <c r="R31" s="33" t="n">
        <f aca="false">TblMili[[#This Row],[Wizards]]</f>
        <v>0</v>
      </c>
      <c r="S31" s="33" t="n">
        <f aca="false">TblMili[[#This Row],[Archmages]]</f>
        <v>0</v>
      </c>
      <c r="T31" s="132"/>
      <c r="U31" s="69" t="n">
        <f aca="false">ROUND(TblPop[[#This Row],[Raw max]]*(1+TblPop[[#This Row],[Max pop]]),0)+MIN(TblPop[[#This Row],[Military]]-TblPop[[#This Row],[Draftees]]-SUM(TblMili[[#This Row],[Train Unit 1]:[Train AM]]),(barracks_size + tech_8_3*TblTech[[#This Row],[8-3]])*TblConstr[[#This Row],[Tot Bar]])</f>
        <v>4827</v>
      </c>
      <c r="V3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1" s="69" t="n">
        <f aca="false">MAX(-5%*TblPop[[#This Row],[Peasants]]-TblPop[[#This Row],[Draft Growth]],MIN(OFFSET(TblPop[[#This Row],[Net max]],1,0)-TblPop[[#This Row],[Peasants]]-TblPop[[#This Row],[Military]]-TblPop[[#This Row],[Draft Growth]],TblPop[[#This Row],[Modded Birth]]-TblPop[[#This Row],[Draft Growth]]))</f>
        <v>191</v>
      </c>
      <c r="X31" s="69" t="n">
        <f aca="false">ROUND(TblPop[[#This Row],[Raw Birth]]*(1+TblPop[[#This Row],[Growth]]),0)</f>
        <v>312</v>
      </c>
      <c r="Y31" s="69" t="n">
        <f aca="false">(TblPop[[#This Row],[Peasants]]-TblPop[[#This Row],[Draft Growth]])*raw_pop_growth</f>
        <v>127.89</v>
      </c>
      <c r="Z31" s="69" t="n">
        <f aca="false">IF(TblPop[[#This Row],[Military%]]&lt;TblMili[[#This Row],[Draftrate]],ROUND(TblPop[[#This Row],[Peasants]]*Constants!$B$55,0), 0)</f>
        <v>43</v>
      </c>
      <c r="AA31" s="132"/>
      <c r="AB31" s="109" t="n">
        <f aca="false">Overview!$I$16 + IF(Magic!AE31&gt;0,Constants!$F$78) + ROUND(6*(Construction!BM32+Construction!CK31)/IF(Explore!S32&gt;0,Construction!F32-20,Construction!F32),4) + tech_6_5_2*Techs!BJ31 + tech_8_4*Techs!BT31</f>
        <v>1.4431</v>
      </c>
      <c r="AC31" s="130" t="n">
        <f aca="false">(Overview!$I$15 + Imps!Z31+ tech_2_5*Techs!AB31 + tech_3_6*Techs!AM31 + tech_6_1*Techs!BJ31 + tech_6_5*Techs!BF31 + tech_7_3_2*Techs!BN31) * (1 + Production!O31/100*prestige_pop_multiplier) + Production!O31/100*prestige_pop_multiplier</f>
        <v>0.07625</v>
      </c>
    </row>
    <row r="32" customFormat="false" ht="12.75" hidden="false" customHeight="false" outlineLevel="0" collapsed="false">
      <c r="A32" s="128" t="n">
        <f aca="false">TblRezone[[#This Row],[Hour]]</f>
        <v>29</v>
      </c>
      <c r="B32" s="129" t="n">
        <f aca="false">TblImps[[#This Row],[Time]]</f>
        <v>45430.9166666667</v>
      </c>
      <c r="C32" s="69" t="n">
        <f aca="false">OFFSET(TblPop[[#This Row],[Peasants]],-1,0)+OFFSET(TblPop[[#This Row],[Net Peasant]],-1,0)+TblMili[[#This Row],[Release Draft]]</f>
        <v>4497</v>
      </c>
      <c r="D32" s="69" t="n">
        <f aca="false">TblMili[[#This Row],[Military]]</f>
        <v>2</v>
      </c>
      <c r="E32" s="69" t="n">
        <f aca="false">TblMili[[#This Row],[Draftees]]</f>
        <v>2</v>
      </c>
      <c r="F32" s="69" t="n">
        <f aca="false">TblPop[[#This Row],[Peasants]]+TblPop[[#This Row],[Military]]</f>
        <v>4499</v>
      </c>
      <c r="G32" s="130" t="n">
        <f aca="false">TblPop[[#This Row],[Military]]/TblPop[[#This Row],[Total]]</f>
        <v>0.000444543231829295</v>
      </c>
      <c r="H32" s="95" t="n">
        <f aca="false">MIN(TblPop[[#This Row],[Peasants]],TblPop[[#This Row],[Jobs]])</f>
        <v>4497</v>
      </c>
      <c r="I32" s="130" t="n">
        <f aca="false">MIN(OFFSET(TblPop[[#This Row],[Jobs]],1,0)/TblPop[[#This Row],[Peasants]],1)</f>
        <v>1</v>
      </c>
      <c r="J32" s="95" t="n">
        <f aca="false">SUM(TblConstr[[#This Row],[Tot Alc]:[Tot GT]],TblConstr[[#This Row],[Tot Shr]:[Tot Doc]],TblConstr[[#This Row],[Dest Alc]:[Dest GT]],TblConstr[[#This Row],[Dest Shr]:[Dest Doc]])*building_employment + TblConstr[[#This Row],[Tot Fac]]*bonus_jobs_facts</f>
        <v>5150</v>
      </c>
      <c r="K32" s="131"/>
      <c r="L32" s="33" t="n">
        <f aca="false">TblPop[[#This Row],[Draftees]]</f>
        <v>2</v>
      </c>
      <c r="M32" s="33" t="n">
        <f aca="false">TblMili[[#This Row],[Unit 1]]</f>
        <v>0</v>
      </c>
      <c r="N32" s="33" t="n">
        <f aca="false">TblMili[[#This Row],[Unit 2]]</f>
        <v>0</v>
      </c>
      <c r="O32" s="33" t="n">
        <f aca="false">TblMili[[#This Row],[Unit 3]]</f>
        <v>0</v>
      </c>
      <c r="P32" s="33" t="n">
        <f aca="false">TblMili[[#This Row],[Unit 4]]</f>
        <v>0</v>
      </c>
      <c r="Q32" s="33" t="n">
        <f aca="false">TblMili[[#This Row],[Spies]]</f>
        <v>0</v>
      </c>
      <c r="R32" s="33" t="n">
        <f aca="false">TblMili[[#This Row],[Wizards]]</f>
        <v>0</v>
      </c>
      <c r="S32" s="33" t="n">
        <f aca="false">TblMili[[#This Row],[Archmages]]</f>
        <v>0</v>
      </c>
      <c r="T32" s="132"/>
      <c r="U32" s="69" t="n">
        <f aca="false">ROUND(TblPop[[#This Row],[Raw max]]*(1+TblPop[[#This Row],[Max pop]]),0)+MIN(TblPop[[#This Row],[Military]]-TblPop[[#This Row],[Draftees]]-SUM(TblMili[[#This Row],[Train Unit 1]:[Train AM]]),(barracks_size + tech_8_3*TblTech[[#This Row],[8-3]])*TblConstr[[#This Row],[Tot Bar]])</f>
        <v>4827</v>
      </c>
      <c r="V3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2" s="69" t="n">
        <f aca="false">MAX(-5%*TblPop[[#This Row],[Peasants]]-TblPop[[#This Row],[Draft Growth]],MIN(OFFSET(TblPop[[#This Row],[Net max]],1,0)-TblPop[[#This Row],[Peasants]]-TblPop[[#This Row],[Military]]-TblPop[[#This Row],[Draft Growth]],TblPop[[#This Row],[Modded Birth]]-TblPop[[#This Row],[Draft Growth]]))</f>
        <v>257</v>
      </c>
      <c r="X32" s="69" t="n">
        <f aca="false">ROUND(TblPop[[#This Row],[Raw Birth]]*(1+TblPop[[#This Row],[Growth]]),0)</f>
        <v>302</v>
      </c>
      <c r="Y32" s="69" t="n">
        <f aca="false">(TblPop[[#This Row],[Peasants]]-TblPop[[#This Row],[Draft Growth]])*raw_pop_growth</f>
        <v>133.56</v>
      </c>
      <c r="Z32" s="69" t="n">
        <f aca="false">IF(TblPop[[#This Row],[Military%]]&lt;TblMili[[#This Row],[Draftrate]],ROUND(TblPop[[#This Row],[Peasants]]*Constants!$B$55,0), 0)</f>
        <v>45</v>
      </c>
      <c r="AA32" s="132"/>
      <c r="AB32" s="109" t="n">
        <f aca="false">Overview!$I$16 + IF(Magic!AE32&gt;0,Constants!$F$78) + ROUND(6*(Construction!BM33+Construction!CK32)/IF(Explore!S33&gt;0,Construction!F33-20,Construction!F33),4) + tech_6_5_2*Techs!BJ32 + tech_8_4*Techs!BT32</f>
        <v>1.2642</v>
      </c>
      <c r="AC32" s="130" t="n">
        <f aca="false">(Overview!$I$15 + Imps!Z32+ tech_2_5*Techs!AB32 + tech_3_6*Techs!AM32 + tech_6_1*Techs!BJ32 + tech_6_5*Techs!BF32 + tech_7_3_2*Techs!BN32) * (1 + Production!O32/100*prestige_pop_multiplier) + Production!O32/100*prestige_pop_multiplier</f>
        <v>0.07625</v>
      </c>
    </row>
    <row r="33" customFormat="false" ht="12.75" hidden="false" customHeight="false" outlineLevel="0" collapsed="false">
      <c r="A33" s="128" t="n">
        <f aca="false">TblRezone[[#This Row],[Hour]]</f>
        <v>30</v>
      </c>
      <c r="B33" s="129" t="n">
        <f aca="false">TblImps[[#This Row],[Time]]</f>
        <v>45430.9583333333</v>
      </c>
      <c r="C33" s="69" t="n">
        <f aca="false">OFFSET(TblPop[[#This Row],[Peasants]],-1,0)+OFFSET(TblPop[[#This Row],[Net Peasant]],-1,0)+TblMili[[#This Row],[Release Draft]]</f>
        <v>4754</v>
      </c>
      <c r="D33" s="69" t="n">
        <f aca="false">TblMili[[#This Row],[Military]]</f>
        <v>2</v>
      </c>
      <c r="E33" s="69" t="n">
        <f aca="false">TblMili[[#This Row],[Draftees]]</f>
        <v>2</v>
      </c>
      <c r="F33" s="69" t="n">
        <f aca="false">TblPop[[#This Row],[Peasants]]+TblPop[[#This Row],[Military]]</f>
        <v>4756</v>
      </c>
      <c r="G33" s="130" t="n">
        <f aca="false">TblPop[[#This Row],[Military]]/TblPop[[#This Row],[Total]]</f>
        <v>0.000420521446593776</v>
      </c>
      <c r="H33" s="95" t="n">
        <f aca="false">MIN(TblPop[[#This Row],[Peasants]],TblPop[[#This Row],[Jobs]])</f>
        <v>4754</v>
      </c>
      <c r="I33" s="130" t="n">
        <f aca="false">MIN(OFFSET(TblPop[[#This Row],[Jobs]],1,0)/TblPop[[#This Row],[Peasants]],1)</f>
        <v>1</v>
      </c>
      <c r="J33" s="95" t="n">
        <f aca="false">SUM(TblConstr[[#This Row],[Tot Alc]:[Tot GT]],TblConstr[[#This Row],[Tot Shr]:[Tot Doc]],TblConstr[[#This Row],[Dest Alc]:[Dest GT]],TblConstr[[#This Row],[Dest Shr]:[Dest Doc]])*building_employment + TblConstr[[#This Row],[Tot Fac]]*bonus_jobs_facts</f>
        <v>5670</v>
      </c>
      <c r="K33" s="131"/>
      <c r="L33" s="33" t="n">
        <f aca="false">TblPop[[#This Row],[Draftees]]</f>
        <v>2</v>
      </c>
      <c r="M33" s="33" t="n">
        <f aca="false">TblMili[[#This Row],[Unit 1]]</f>
        <v>0</v>
      </c>
      <c r="N33" s="33" t="n">
        <f aca="false">TblMili[[#This Row],[Unit 2]]</f>
        <v>0</v>
      </c>
      <c r="O33" s="33" t="n">
        <f aca="false">TblMili[[#This Row],[Unit 3]]</f>
        <v>0</v>
      </c>
      <c r="P33" s="33" t="n">
        <f aca="false">TblMili[[#This Row],[Unit 4]]</f>
        <v>0</v>
      </c>
      <c r="Q33" s="33" t="n">
        <f aca="false">TblMili[[#This Row],[Spies]]</f>
        <v>0</v>
      </c>
      <c r="R33" s="33" t="n">
        <f aca="false">TblMili[[#This Row],[Wizards]]</f>
        <v>0</v>
      </c>
      <c r="S33" s="33" t="n">
        <f aca="false">TblMili[[#This Row],[Archmages]]</f>
        <v>0</v>
      </c>
      <c r="T33" s="132"/>
      <c r="U33" s="69" t="n">
        <f aca="false">ROUND(TblPop[[#This Row],[Raw max]]*(1+TblPop[[#This Row],[Max pop]]),0)+MIN(TblPop[[#This Row],[Military]]-TblPop[[#This Row],[Draftees]]-SUM(TblMili[[#This Row],[Train Unit 1]:[Train AM]]),(barracks_size + tech_8_3*TblTech[[#This Row],[8-3]])*TblConstr[[#This Row],[Tot Bar]])</f>
        <v>5204</v>
      </c>
      <c r="V3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4835</v>
      </c>
      <c r="W33" s="69" t="n">
        <f aca="false">MAX(-5%*TblPop[[#This Row],[Peasants]]-TblPop[[#This Row],[Draft Growth]],MIN(OFFSET(TblPop[[#This Row],[Net max]],1,0)-TblPop[[#This Row],[Peasants]]-TblPop[[#This Row],[Military]]-TblPop[[#This Row],[Draft Growth]],TblPop[[#This Row],[Modded Birth]]-TblPop[[#This Row],[Draft Growth]]))</f>
        <v>269</v>
      </c>
      <c r="X33" s="69" t="n">
        <f aca="false">ROUND(TblPop[[#This Row],[Raw Birth]]*(1+TblPop[[#This Row],[Growth]]),0)</f>
        <v>317</v>
      </c>
      <c r="Y33" s="69" t="n">
        <f aca="false">(TblPop[[#This Row],[Peasants]]-TblPop[[#This Row],[Draft Growth]])*raw_pop_growth</f>
        <v>141.18</v>
      </c>
      <c r="Z33" s="69" t="n">
        <f aca="false">IF(TblPop[[#This Row],[Military%]]&lt;TblMili[[#This Row],[Draftrate]],ROUND(TblPop[[#This Row],[Peasants]]*Constants!$B$55,0), 0)</f>
        <v>48</v>
      </c>
      <c r="AA33" s="132"/>
      <c r="AB33" s="109" t="n">
        <f aca="false">Overview!$I$16 + IF(Magic!AE33&gt;0,Constants!$F$78) + ROUND(6*(Construction!BM34+Construction!CK33)/IF(Explore!S34&gt;0,Construction!F34-20,Construction!F34),4) + tech_6_5_2*Techs!BJ33 + tech_8_4*Techs!BT33</f>
        <v>1.2421</v>
      </c>
      <c r="AC33" s="130" t="n">
        <f aca="false">(Overview!$I$15 + Imps!Z33+ tech_2_5*Techs!AB33 + tech_3_6*Techs!AM33 + tech_6_1*Techs!BJ33 + tech_6_5*Techs!BF33 + tech_7_3_2*Techs!BN33) * (1 + Production!O33/100*prestige_pop_multiplier) + Production!O33/100*prestige_pop_multiplier</f>
        <v>0.07625</v>
      </c>
    </row>
    <row r="34" customFormat="false" ht="12.75" hidden="false" customHeight="false" outlineLevel="0" collapsed="false">
      <c r="A34" s="128" t="n">
        <f aca="false">TblRezone[[#This Row],[Hour]]</f>
        <v>31</v>
      </c>
      <c r="B34" s="129" t="n">
        <f aca="false">TblImps[[#This Row],[Time]]</f>
        <v>45431</v>
      </c>
      <c r="C34" s="69" t="n">
        <f aca="false">OFFSET(TblPop[[#This Row],[Peasants]],-1,0)+OFFSET(TblPop[[#This Row],[Net Peasant]],-1,0)+TblMili[[#This Row],[Release Draft]]</f>
        <v>5023</v>
      </c>
      <c r="D34" s="69" t="n">
        <f aca="false">TblMili[[#This Row],[Military]]</f>
        <v>0</v>
      </c>
      <c r="E34" s="69" t="n">
        <f aca="false">TblMili[[#This Row],[Draftees]]</f>
        <v>0</v>
      </c>
      <c r="F34" s="69" t="n">
        <f aca="false">TblPop[[#This Row],[Peasants]]+TblPop[[#This Row],[Military]]</f>
        <v>5023</v>
      </c>
      <c r="G34" s="130" t="n">
        <f aca="false">TblPop[[#This Row],[Military]]/TblPop[[#This Row],[Total]]</f>
        <v>0</v>
      </c>
      <c r="H34" s="95" t="n">
        <f aca="false">MIN(TblPop[[#This Row],[Peasants]],TblPop[[#This Row],[Jobs]])</f>
        <v>5023</v>
      </c>
      <c r="I34" s="130" t="n">
        <f aca="false">MIN(OFFSET(TblPop[[#This Row],[Jobs]],1,0)/TblPop[[#This Row],[Peasants]],1)</f>
        <v>1</v>
      </c>
      <c r="J34" s="95" t="n">
        <f aca="false">SUM(TblConstr[[#This Row],[Tot Alc]:[Tot GT]],TblConstr[[#This Row],[Tot Shr]:[Tot Doc]],TblConstr[[#This Row],[Dest Alc]:[Dest GT]],TblConstr[[#This Row],[Dest Shr]:[Dest Doc]])*building_employment + TblConstr[[#This Row],[Tot Fac]]*bonus_jobs_facts</f>
        <v>5695</v>
      </c>
      <c r="K34" s="131"/>
      <c r="L34" s="33" t="n">
        <f aca="false">TblPop[[#This Row],[Draftees]]</f>
        <v>0</v>
      </c>
      <c r="M34" s="33" t="n">
        <f aca="false">TblMili[[#This Row],[Unit 1]]</f>
        <v>0</v>
      </c>
      <c r="N34" s="33" t="n">
        <f aca="false">TblMili[[#This Row],[Unit 2]]</f>
        <v>0</v>
      </c>
      <c r="O34" s="33" t="n">
        <f aca="false">TblMili[[#This Row],[Unit 3]]</f>
        <v>0</v>
      </c>
      <c r="P34" s="33" t="n">
        <f aca="false">TblMili[[#This Row],[Unit 4]]</f>
        <v>0</v>
      </c>
      <c r="Q34" s="33" t="n">
        <f aca="false">TblMili[[#This Row],[Spies]]</f>
        <v>0</v>
      </c>
      <c r="R34" s="33" t="n">
        <f aca="false">TblMili[[#This Row],[Wizards]]</f>
        <v>0</v>
      </c>
      <c r="S34" s="33" t="n">
        <f aca="false">TblMili[[#This Row],[Archmages]]</f>
        <v>0</v>
      </c>
      <c r="T34" s="132"/>
      <c r="U34" s="69" t="n">
        <f aca="false">ROUND(TblPop[[#This Row],[Raw max]]*(1+TblPop[[#This Row],[Max pop]]),0)+MIN(TblPop[[#This Row],[Military]]-TblPop[[#This Row],[Draftees]]-SUM(TblMili[[#This Row],[Train Unit 1]:[Train AM]]),(barracks_size + tech_8_3*TblTech[[#This Row],[8-3]])*TblConstr[[#This Row],[Tot Bar]])</f>
        <v>6016</v>
      </c>
      <c r="V3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5590</v>
      </c>
      <c r="W34" s="69" t="n">
        <f aca="false">MAX(-5%*TblPop[[#This Row],[Peasants]]-TblPop[[#This Row],[Draft Growth]],MIN(OFFSET(TblPop[[#This Row],[Net max]],1,0)-TblPop[[#This Row],[Peasants]]-TblPop[[#This Row],[Military]]-TblPop[[#This Row],[Draft Growth]],TblPop[[#This Row],[Modded Birth]]-TblPop[[#This Row],[Draft Growth]]))</f>
        <v>281</v>
      </c>
      <c r="X34" s="69" t="n">
        <f aca="false">ROUND(TblPop[[#This Row],[Raw Birth]]*(1+TblPop[[#This Row],[Growth]]),0)</f>
        <v>331</v>
      </c>
      <c r="Y34" s="69" t="n">
        <f aca="false">(TblPop[[#This Row],[Peasants]]-TblPop[[#This Row],[Draft Growth]])*raw_pop_growth</f>
        <v>149.19</v>
      </c>
      <c r="Z34" s="69" t="n">
        <f aca="false">IF(TblPop[[#This Row],[Military%]]&lt;TblMili[[#This Row],[Draftrate]],ROUND(TblPop[[#This Row],[Peasants]]*Constants!$B$55,0), 0)</f>
        <v>50</v>
      </c>
      <c r="AA34" s="132"/>
      <c r="AB34" s="109" t="n">
        <f aca="false">Overview!$I$16 + IF(Magic!AE34&gt;0,Constants!$F$78) + ROUND(6*(Construction!BM35+Construction!CK34)/IF(Explore!S35&gt;0,Construction!F35-20,Construction!F35),4) + tech_6_5_2*Techs!BJ34 + tech_8_4*Techs!BT34</f>
        <v>1.2194</v>
      </c>
      <c r="AC34" s="130" t="n">
        <f aca="false">(Overview!$I$15 + Imps!Z34+ tech_2_5*Techs!AB34 + tech_3_6*Techs!AM34 + tech_6_1*Techs!BJ34 + tech_6_5*Techs!BF34 + tech_7_3_2*Techs!BN34) * (1 + Production!O34/100*prestige_pop_multiplier) + Production!O34/100*prestige_pop_multiplier</f>
        <v>0.07625</v>
      </c>
    </row>
    <row r="35" customFormat="false" ht="12.75" hidden="false" customHeight="false" outlineLevel="0" collapsed="false">
      <c r="A35" s="128" t="n">
        <f aca="false">TblRezone[[#This Row],[Hour]]</f>
        <v>32</v>
      </c>
      <c r="B35" s="129" t="n">
        <f aca="false">TblImps[[#This Row],[Time]]</f>
        <v>45431.0416666667</v>
      </c>
      <c r="C35" s="69" t="n">
        <f aca="false">OFFSET(TblPop[[#This Row],[Peasants]],-1,0)+OFFSET(TblPop[[#This Row],[Net Peasant]],-1,0)+TblMili[[#This Row],[Release Draft]]</f>
        <v>5304</v>
      </c>
      <c r="D35" s="69" t="n">
        <f aca="false">TblMili[[#This Row],[Military]]</f>
        <v>0</v>
      </c>
      <c r="E35" s="69" t="n">
        <f aca="false">TblMili[[#This Row],[Draftees]]</f>
        <v>0</v>
      </c>
      <c r="F35" s="69" t="n">
        <f aca="false">TblPop[[#This Row],[Peasants]]+TblPop[[#This Row],[Military]]</f>
        <v>5304</v>
      </c>
      <c r="G35" s="130" t="n">
        <f aca="false">TblPop[[#This Row],[Military]]/TblPop[[#This Row],[Total]]</f>
        <v>0</v>
      </c>
      <c r="H35" s="95" t="n">
        <f aca="false">MIN(TblPop[[#This Row],[Peasants]],TblPop[[#This Row],[Jobs]])</f>
        <v>5304</v>
      </c>
      <c r="I35" s="130" t="n">
        <f aca="false">MIN(OFFSET(TblPop[[#This Row],[Jobs]],1,0)/TblPop[[#This Row],[Peasants]],1)</f>
        <v>1</v>
      </c>
      <c r="J35" s="95" t="n">
        <f aca="false">SUM(TblConstr[[#This Row],[Tot Alc]:[Tot GT]],TblConstr[[#This Row],[Tot Shr]:[Tot Doc]],TblConstr[[#This Row],[Dest Alc]:[Dest GT]],TblConstr[[#This Row],[Dest Shr]:[Dest Doc]])*building_employment + TblConstr[[#This Row],[Tot Fac]]*bonus_jobs_facts</f>
        <v>5720</v>
      </c>
      <c r="K35" s="131"/>
      <c r="L35" s="33" t="n">
        <f aca="false">TblPop[[#This Row],[Draftees]]</f>
        <v>0</v>
      </c>
      <c r="M35" s="33" t="n">
        <f aca="false">TblMili[[#This Row],[Unit 1]]</f>
        <v>0</v>
      </c>
      <c r="N35" s="33" t="n">
        <f aca="false">TblMili[[#This Row],[Unit 2]]</f>
        <v>0</v>
      </c>
      <c r="O35" s="33" t="n">
        <f aca="false">TblMili[[#This Row],[Unit 3]]</f>
        <v>0</v>
      </c>
      <c r="P35" s="33" t="n">
        <f aca="false">TblMili[[#This Row],[Unit 4]]</f>
        <v>0</v>
      </c>
      <c r="Q35" s="33" t="n">
        <f aca="false">TblMili[[#This Row],[Spies]]</f>
        <v>0</v>
      </c>
      <c r="R35" s="33" t="n">
        <f aca="false">TblMili[[#This Row],[Wizards]]</f>
        <v>0</v>
      </c>
      <c r="S35" s="33" t="n">
        <f aca="false">TblMili[[#This Row],[Archmages]]</f>
        <v>0</v>
      </c>
      <c r="T35" s="132"/>
      <c r="U35" s="69" t="n">
        <f aca="false">ROUND(TblPop[[#This Row],[Raw max]]*(1+TblPop[[#This Row],[Max pop]]),0)+MIN(TblPop[[#This Row],[Military]]-TblPop[[#This Row],[Draftees]]-SUM(TblMili[[#This Row],[Train Unit 1]:[Train AM]]),(barracks_size + tech_8_3*TblTech[[#This Row],[8-3]])*TblConstr[[#This Row],[Tot Bar]])</f>
        <v>6199</v>
      </c>
      <c r="V3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5760</v>
      </c>
      <c r="W35" s="69" t="n">
        <f aca="false">MAX(-5%*TblPop[[#This Row],[Peasants]]-TblPop[[#This Row],[Draft Growth]],MIN(OFFSET(TblPop[[#This Row],[Net max]],1,0)-TblPop[[#This Row],[Peasants]]-TblPop[[#This Row],[Military]]-TblPop[[#This Row],[Draft Growth]],TblPop[[#This Row],[Modded Birth]]-TblPop[[#This Row],[Draft Growth]]))</f>
        <v>293</v>
      </c>
      <c r="X35" s="69" t="n">
        <f aca="false">ROUND(TblPop[[#This Row],[Raw Birth]]*(1+TblPop[[#This Row],[Growth]]),0)</f>
        <v>346</v>
      </c>
      <c r="Y35" s="69" t="n">
        <f aca="false">(TblPop[[#This Row],[Peasants]]-TblPop[[#This Row],[Draft Growth]])*raw_pop_growth</f>
        <v>157.53</v>
      </c>
      <c r="Z35" s="69" t="n">
        <f aca="false">IF(TblPop[[#This Row],[Military%]]&lt;TblMili[[#This Row],[Draftrate]],ROUND(TblPop[[#This Row],[Peasants]]*Constants!$B$55,0), 0)</f>
        <v>53</v>
      </c>
      <c r="AA35" s="132"/>
      <c r="AB35" s="109" t="n">
        <f aca="false">Overview!$I$16 + IF(Magic!AE35&gt;0,Constants!$F$78) + ROUND(6*(Construction!BM36+Construction!CK35)/IF(Explore!S36&gt;0,Construction!F36-20,Construction!F36),4) + tech_6_5_2*Techs!BJ35 + tech_8_4*Techs!BT35</f>
        <v>1.198</v>
      </c>
      <c r="AC35" s="130" t="n">
        <f aca="false">(Overview!$I$15 + Imps!Z35+ tech_2_5*Techs!AB35 + tech_3_6*Techs!AM35 + tech_6_1*Techs!BJ35 + tech_6_5*Techs!BF35 + tech_7_3_2*Techs!BN35) * (1 + Production!O35/100*prestige_pop_multiplier) + Production!O35/100*prestige_pop_multiplier</f>
        <v>0.07625</v>
      </c>
    </row>
    <row r="36" customFormat="false" ht="12.75" hidden="false" customHeight="false" outlineLevel="0" collapsed="false">
      <c r="A36" s="128" t="n">
        <f aca="false">TblRezone[[#This Row],[Hour]]</f>
        <v>33</v>
      </c>
      <c r="B36" s="129" t="n">
        <f aca="false">TblImps[[#This Row],[Time]]</f>
        <v>45431.0833333333</v>
      </c>
      <c r="C36" s="69" t="n">
        <f aca="false">OFFSET(TblPop[[#This Row],[Peasants]],-1,0)+OFFSET(TblPop[[#This Row],[Net Peasant]],-1,0)+TblMili[[#This Row],[Release Draft]]</f>
        <v>5597</v>
      </c>
      <c r="D36" s="69" t="n">
        <f aca="false">TblMili[[#This Row],[Military]]</f>
        <v>3</v>
      </c>
      <c r="E36" s="69" t="n">
        <f aca="false">TblMili[[#This Row],[Draftees]]</f>
        <v>3</v>
      </c>
      <c r="F36" s="69" t="n">
        <f aca="false">TblPop[[#This Row],[Peasants]]+TblPop[[#This Row],[Military]]</f>
        <v>5600</v>
      </c>
      <c r="G36" s="130" t="n">
        <f aca="false">TblPop[[#This Row],[Military]]/TblPop[[#This Row],[Total]]</f>
        <v>0.000535714285714286</v>
      </c>
      <c r="H36" s="95" t="n">
        <f aca="false">MIN(TblPop[[#This Row],[Peasants]],TblPop[[#This Row],[Jobs]])</f>
        <v>5597</v>
      </c>
      <c r="I36" s="130" t="n">
        <f aca="false">MIN(OFFSET(TblPop[[#This Row],[Jobs]],1,0)/TblPop[[#This Row],[Peasants]],1)</f>
        <v>1</v>
      </c>
      <c r="J36" s="95" t="n">
        <f aca="false">SUM(TblConstr[[#This Row],[Tot Alc]:[Tot GT]],TblConstr[[#This Row],[Tot Shr]:[Tot Doc]],TblConstr[[#This Row],[Dest Alc]:[Dest GT]],TblConstr[[#This Row],[Dest Shr]:[Dest Doc]])*building_employment + TblConstr[[#This Row],[Tot Fac]]*bonus_jobs_facts</f>
        <v>5745</v>
      </c>
      <c r="K36" s="131"/>
      <c r="L36" s="33" t="n">
        <f aca="false">TblPop[[#This Row],[Draftees]]</f>
        <v>3</v>
      </c>
      <c r="M36" s="33" t="n">
        <f aca="false">TblMili[[#This Row],[Unit 1]]</f>
        <v>0</v>
      </c>
      <c r="N36" s="33" t="n">
        <f aca="false">TblMili[[#This Row],[Unit 2]]</f>
        <v>0</v>
      </c>
      <c r="O36" s="33" t="n">
        <f aca="false">TblMili[[#This Row],[Unit 3]]</f>
        <v>0</v>
      </c>
      <c r="P36" s="33" t="n">
        <f aca="false">TblMili[[#This Row],[Unit 4]]</f>
        <v>0</v>
      </c>
      <c r="Q36" s="33" t="n">
        <f aca="false">TblMili[[#This Row],[Spies]]</f>
        <v>0</v>
      </c>
      <c r="R36" s="33" t="n">
        <f aca="false">TblMili[[#This Row],[Wizards]]</f>
        <v>0</v>
      </c>
      <c r="S36" s="33" t="n">
        <f aca="false">TblMili[[#This Row],[Archmages]]</f>
        <v>0</v>
      </c>
      <c r="T36" s="132"/>
      <c r="U36" s="69" t="n">
        <f aca="false">ROUND(TblPop[[#This Row],[Raw max]]*(1+TblPop[[#This Row],[Max pop]]),0)+MIN(TblPop[[#This Row],[Military]]-TblPop[[#This Row],[Draftees]]-SUM(TblMili[[#This Row],[Train Unit 1]:[Train AM]]),(barracks_size + tech_8_3*TblTech[[#This Row],[8-3]])*TblConstr[[#This Row],[Tot Bar]])</f>
        <v>6393</v>
      </c>
      <c r="V3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5940</v>
      </c>
      <c r="W36" s="69" t="n">
        <f aca="false">MAX(-5%*TblPop[[#This Row],[Peasants]]-TblPop[[#This Row],[Draft Growth]],MIN(OFFSET(TblPop[[#This Row],[Net max]],1,0)-TblPop[[#This Row],[Peasants]]-TblPop[[#This Row],[Military]]-TblPop[[#This Row],[Draft Growth]],TblPop[[#This Row],[Modded Birth]]-TblPop[[#This Row],[Draft Growth]]))</f>
        <v>309</v>
      </c>
      <c r="X36" s="69" t="n">
        <f aca="false">ROUND(TblPop[[#This Row],[Raw Birth]]*(1+TblPop[[#This Row],[Growth]]),0)</f>
        <v>365</v>
      </c>
      <c r="Y36" s="69" t="n">
        <f aca="false">(TblPop[[#This Row],[Peasants]]-TblPop[[#This Row],[Draft Growth]])*raw_pop_growth</f>
        <v>166.23</v>
      </c>
      <c r="Z36" s="69" t="n">
        <f aca="false">IF(TblPop[[#This Row],[Military%]]&lt;TblMili[[#This Row],[Draftrate]],ROUND(TblPop[[#This Row],[Peasants]]*Constants!$B$55,0), 0)</f>
        <v>56</v>
      </c>
      <c r="AA36" s="132"/>
      <c r="AB36" s="109" t="n">
        <f aca="false">Overview!$I$16 + IF(Magic!AE36&gt;0,Constants!$F$78) + ROUND(6*(Construction!BM37+Construction!CK36)/IF(Explore!S37&gt;0,Construction!F37-20,Construction!F37),4) + tech_6_5_2*Techs!BJ36 + tech_8_4*Techs!BT36</f>
        <v>1.1929</v>
      </c>
      <c r="AC36" s="130" t="n">
        <f aca="false">(Overview!$I$15 + Imps!Z36+ tech_2_5*Techs!AB36 + tech_3_6*Techs!AM36 + tech_6_1*Techs!BJ36 + tech_6_5*Techs!BF36 + tech_7_3_2*Techs!BN36) * (1 + Production!O36/100*prestige_pop_multiplier) + Production!O36/100*prestige_pop_multiplier</f>
        <v>0.07625</v>
      </c>
    </row>
    <row r="37" customFormat="false" ht="12.75" hidden="false" customHeight="false" outlineLevel="0" collapsed="false">
      <c r="A37" s="128" t="n">
        <f aca="false">TblRezone[[#This Row],[Hour]]</f>
        <v>34</v>
      </c>
      <c r="B37" s="129" t="n">
        <f aca="false">TblImps[[#This Row],[Time]]</f>
        <v>45431.125</v>
      </c>
      <c r="C37" s="69" t="n">
        <f aca="false">OFFSET(TblPop[[#This Row],[Peasants]],-1,0)+OFFSET(TblPop[[#This Row],[Net Peasant]],-1,0)+TblMili[[#This Row],[Release Draft]]</f>
        <v>5906</v>
      </c>
      <c r="D37" s="69" t="n">
        <f aca="false">TblMili[[#This Row],[Military]]</f>
        <v>4</v>
      </c>
      <c r="E37" s="69" t="n">
        <f aca="false">TblMili[[#This Row],[Draftees]]</f>
        <v>4</v>
      </c>
      <c r="F37" s="69" t="n">
        <f aca="false">TblPop[[#This Row],[Peasants]]+TblPop[[#This Row],[Military]]</f>
        <v>5910</v>
      </c>
      <c r="G37" s="130" t="n">
        <f aca="false">TblPop[[#This Row],[Military]]/TblPop[[#This Row],[Total]]</f>
        <v>0.000676818950930626</v>
      </c>
      <c r="H37" s="95" t="n">
        <f aca="false">MIN(TblPop[[#This Row],[Peasants]],TblPop[[#This Row],[Jobs]])</f>
        <v>5770</v>
      </c>
      <c r="I37" s="130" t="n">
        <f aca="false">MIN(OFFSET(TblPop[[#This Row],[Jobs]],1,0)/TblPop[[#This Row],[Peasants]],1)</f>
        <v>0.98120555367423</v>
      </c>
      <c r="J37" s="95" t="n">
        <f aca="false">SUM(TblConstr[[#This Row],[Tot Alc]:[Tot GT]],TblConstr[[#This Row],[Tot Shr]:[Tot Doc]],TblConstr[[#This Row],[Dest Alc]:[Dest GT]],TblConstr[[#This Row],[Dest Shr]:[Dest Doc]])*building_employment + TblConstr[[#This Row],[Tot Fac]]*bonus_jobs_facts</f>
        <v>5770</v>
      </c>
      <c r="K37" s="131"/>
      <c r="L37" s="33" t="n">
        <f aca="false">TblPop[[#This Row],[Draftees]]</f>
        <v>4</v>
      </c>
      <c r="M37" s="33" t="n">
        <f aca="false">TblMili[[#This Row],[Unit 1]]</f>
        <v>0</v>
      </c>
      <c r="N37" s="33" t="n">
        <f aca="false">TblMili[[#This Row],[Unit 2]]</f>
        <v>0</v>
      </c>
      <c r="O37" s="33" t="n">
        <f aca="false">TblMili[[#This Row],[Unit 3]]</f>
        <v>0</v>
      </c>
      <c r="P37" s="33" t="n">
        <f aca="false">TblMili[[#This Row],[Unit 4]]</f>
        <v>0</v>
      </c>
      <c r="Q37" s="33" t="n">
        <f aca="false">TblMili[[#This Row],[Spies]]</f>
        <v>0</v>
      </c>
      <c r="R37" s="33" t="n">
        <f aca="false">TblMili[[#This Row],[Wizards]]</f>
        <v>0</v>
      </c>
      <c r="S37" s="33" t="n">
        <f aca="false">TblMili[[#This Row],[Archmages]]</f>
        <v>0</v>
      </c>
      <c r="T37" s="132"/>
      <c r="U37" s="69" t="n">
        <f aca="false">ROUND(TblPop[[#This Row],[Raw max]]*(1+TblPop[[#This Row],[Max pop]]),0)+MIN(TblPop[[#This Row],[Military]]-TblPop[[#This Row],[Draftees]]-SUM(TblMili[[#This Row],[Train Unit 1]:[Train AM]]),(barracks_size + tech_8_3*TblTech[[#This Row],[8-3]])*TblConstr[[#This Row],[Tot Bar]])</f>
        <v>6538</v>
      </c>
      <c r="V3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6075</v>
      </c>
      <c r="W37" s="69" t="n">
        <f aca="false">MAX(-5%*TblPop[[#This Row],[Peasants]]-TblPop[[#This Row],[Draft Growth]],MIN(OFFSET(TblPop[[#This Row],[Net max]],1,0)-TblPop[[#This Row],[Peasants]]-TblPop[[#This Row],[Military]]-TblPop[[#This Row],[Draft Growth]],TblPop[[#This Row],[Modded Birth]]-TblPop[[#This Row],[Draft Growth]]))</f>
        <v>325</v>
      </c>
      <c r="X37" s="69" t="n">
        <f aca="false">ROUND(TblPop[[#This Row],[Raw Birth]]*(1+TblPop[[#This Row],[Growth]]),0)</f>
        <v>384</v>
      </c>
      <c r="Y37" s="69" t="n">
        <f aca="false">(TblPop[[#This Row],[Peasants]]-TblPop[[#This Row],[Draft Growth]])*raw_pop_growth</f>
        <v>175.41</v>
      </c>
      <c r="Z37" s="69" t="n">
        <f aca="false">IF(TblPop[[#This Row],[Military%]]&lt;TblMili[[#This Row],[Draftrate]],ROUND(TblPop[[#This Row],[Peasants]]*Constants!$B$55,0), 0)</f>
        <v>59</v>
      </c>
      <c r="AA37" s="132"/>
      <c r="AB37" s="109" t="n">
        <f aca="false">Overview!$I$16 + IF(Magic!AE37&gt;0,Constants!$F$78) + ROUND(6*(Construction!BM38+Construction!CK37)/IF(Explore!S38&gt;0,Construction!F38-20,Construction!F38),4) + tech_6_5_2*Techs!BJ37 + tech_8_4*Techs!BT37</f>
        <v>1.1895</v>
      </c>
      <c r="AC37" s="130" t="n">
        <f aca="false">(Overview!$I$15 + Imps!Z37+ tech_2_5*Techs!AB37 + tech_3_6*Techs!AM37 + tech_6_1*Techs!BJ37 + tech_6_5*Techs!BF37 + tech_7_3_2*Techs!BN37) * (1 + Production!O37/100*prestige_pop_multiplier) + Production!O37/100*prestige_pop_multiplier</f>
        <v>0.07625</v>
      </c>
    </row>
    <row r="38" customFormat="false" ht="12.75" hidden="false" customHeight="false" outlineLevel="0" collapsed="false">
      <c r="A38" s="128" t="n">
        <f aca="false">TblRezone[[#This Row],[Hour]]</f>
        <v>35</v>
      </c>
      <c r="B38" s="129" t="n">
        <f aca="false">TblImps[[#This Row],[Time]]</f>
        <v>45431.1666666667</v>
      </c>
      <c r="C38" s="69" t="n">
        <f aca="false">OFFSET(TblPop[[#This Row],[Peasants]],-1,0)+OFFSET(TblPop[[#This Row],[Net Peasant]],-1,0)+TblMili[[#This Row],[Release Draft]]</f>
        <v>6231</v>
      </c>
      <c r="D38" s="69" t="n">
        <f aca="false">TblMili[[#This Row],[Military]]</f>
        <v>3</v>
      </c>
      <c r="E38" s="69" t="n">
        <f aca="false">TblMili[[#This Row],[Draftees]]</f>
        <v>3</v>
      </c>
      <c r="F38" s="69" t="n">
        <f aca="false">TblPop[[#This Row],[Peasants]]+TblPop[[#This Row],[Military]]</f>
        <v>6234</v>
      </c>
      <c r="G38" s="130" t="n">
        <f aca="false">TblPop[[#This Row],[Military]]/TblPop[[#This Row],[Total]]</f>
        <v>0.000481231953801732</v>
      </c>
      <c r="H38" s="95" t="n">
        <f aca="false">MIN(TblPop[[#This Row],[Peasants]],TblPop[[#This Row],[Jobs]])</f>
        <v>5795</v>
      </c>
      <c r="I38" s="130" t="n">
        <f aca="false">MIN(OFFSET(TblPop[[#This Row],[Jobs]],1,0)/TblPop[[#This Row],[Peasants]],1)</f>
        <v>1</v>
      </c>
      <c r="J38" s="95" t="n">
        <f aca="false">SUM(TblConstr[[#This Row],[Tot Alc]:[Tot GT]],TblConstr[[#This Row],[Tot Shr]:[Tot Doc]],TblConstr[[#This Row],[Dest Alc]:[Dest GT]],TblConstr[[#This Row],[Dest Shr]:[Dest Doc]])*building_employment + TblConstr[[#This Row],[Tot Fac]]*bonus_jobs_facts</f>
        <v>5795</v>
      </c>
      <c r="K38" s="131"/>
      <c r="L38" s="33" t="n">
        <f aca="false">TblPop[[#This Row],[Draftees]]</f>
        <v>3</v>
      </c>
      <c r="M38" s="33" t="n">
        <f aca="false">TblMili[[#This Row],[Unit 1]]</f>
        <v>0</v>
      </c>
      <c r="N38" s="33" t="n">
        <f aca="false">TblMili[[#This Row],[Unit 2]]</f>
        <v>0</v>
      </c>
      <c r="O38" s="33" t="n">
        <f aca="false">TblMili[[#This Row],[Unit 3]]</f>
        <v>0</v>
      </c>
      <c r="P38" s="33" t="n">
        <f aca="false">TblMili[[#This Row],[Unit 4]]</f>
        <v>0</v>
      </c>
      <c r="Q38" s="33" t="n">
        <f aca="false">TblMili[[#This Row],[Spies]]</f>
        <v>0</v>
      </c>
      <c r="R38" s="33" t="n">
        <f aca="false">TblMili[[#This Row],[Wizards]]</f>
        <v>0</v>
      </c>
      <c r="S38" s="33" t="n">
        <f aca="false">TblMili[[#This Row],[Archmages]]</f>
        <v>0</v>
      </c>
      <c r="T38" s="132"/>
      <c r="U38" s="69" t="n">
        <f aca="false">ROUND(TblPop[[#This Row],[Raw max]]*(1+TblPop[[#This Row],[Max pop]]),0)+MIN(TblPop[[#This Row],[Military]]-TblPop[[#This Row],[Draftees]]-SUM(TblMili[[#This Row],[Train Unit 1]:[Train AM]]),(barracks_size + tech_8_3*TblTech[[#This Row],[8-3]])*TblConstr[[#This Row],[Tot Bar]])</f>
        <v>6581</v>
      </c>
      <c r="V3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6115</v>
      </c>
      <c r="W38" s="69" t="n">
        <f aca="false">MAX(-5%*TblPop[[#This Row],[Peasants]]-TblPop[[#This Row],[Draft Growth]],MIN(OFFSET(TblPop[[#This Row],[Net max]],1,0)-TblPop[[#This Row],[Peasants]]-TblPop[[#This Row],[Military]]-TblPop[[#This Row],[Draft Growth]],TblPop[[#This Row],[Modded Birth]]-TblPop[[#This Row],[Draft Growth]]))</f>
        <v>340</v>
      </c>
      <c r="X38" s="69" t="n">
        <f aca="false">ROUND(TblPop[[#This Row],[Raw Birth]]*(1+TblPop[[#This Row],[Growth]]),0)</f>
        <v>402</v>
      </c>
      <c r="Y38" s="69" t="n">
        <f aca="false">(TblPop[[#This Row],[Peasants]]-TblPop[[#This Row],[Draft Growth]])*raw_pop_growth</f>
        <v>185.07</v>
      </c>
      <c r="Z38" s="69" t="n">
        <f aca="false">IF(TblPop[[#This Row],[Military%]]&lt;TblMili[[#This Row],[Draftrate]],ROUND(TblPop[[#This Row],[Peasants]]*Constants!$B$55,0), 0)</f>
        <v>62</v>
      </c>
      <c r="AA38" s="132"/>
      <c r="AB38" s="109" t="n">
        <f aca="false">Overview!$I$16 + IF(Magic!AE38&gt;0,Constants!$F$78) + ROUND(6*(Construction!BM39+Construction!CK38)/IF(Explore!S39&gt;0,Construction!F39-20,Construction!F39),4) + tech_6_5_2*Techs!BJ38 + tech_8_4*Techs!BT38</f>
        <v>1.173</v>
      </c>
      <c r="AC38" s="130" t="n">
        <f aca="false">(Overview!$I$15 + Imps!Z38+ tech_2_5*Techs!AB38 + tech_3_6*Techs!AM38 + tech_6_1*Techs!BJ38 + tech_6_5*Techs!BF38 + tech_7_3_2*Techs!BN38) * (1 + Production!O38/100*prestige_pop_multiplier) + Production!O38/100*prestige_pop_multiplier</f>
        <v>0.07625</v>
      </c>
    </row>
    <row r="39" customFormat="false" ht="13.5" hidden="false" customHeight="true" outlineLevel="0" collapsed="false">
      <c r="A39" s="128" t="n">
        <f aca="false">TblRezone[[#This Row],[Hour]]</f>
        <v>36</v>
      </c>
      <c r="B39" s="129" t="n">
        <f aca="false">TblImps[[#This Row],[Time]]</f>
        <v>45431.2083333333</v>
      </c>
      <c r="C39" s="69" t="n">
        <f aca="false">OFFSET(TblPop[[#This Row],[Peasants]],-1,0)+OFFSET(TblPop[[#This Row],[Net Peasant]],-1,0)+TblMili[[#This Row],[Release Draft]]</f>
        <v>6571</v>
      </c>
      <c r="D39" s="69" t="n">
        <f aca="false">TblMili[[#This Row],[Military]]</f>
        <v>0</v>
      </c>
      <c r="E39" s="69" t="n">
        <f aca="false">TblMili[[#This Row],[Draftees]]</f>
        <v>0</v>
      </c>
      <c r="F39" s="69" t="n">
        <f aca="false">TblPop[[#This Row],[Peasants]]+TblPop[[#This Row],[Military]]</f>
        <v>6571</v>
      </c>
      <c r="G39" s="130" t="n">
        <f aca="false">TblPop[[#This Row],[Military]]/TblPop[[#This Row],[Total]]</f>
        <v>0</v>
      </c>
      <c r="H39" s="95" t="n">
        <f aca="false">MIN(TblPop[[#This Row],[Peasants]],TblPop[[#This Row],[Jobs]])</f>
        <v>6235</v>
      </c>
      <c r="I39" s="130" t="n">
        <f aca="false">MIN(OFFSET(TblPop[[#This Row],[Jobs]],1,0)/TblPop[[#This Row],[Peasants]],1)</f>
        <v>0.948866230406331</v>
      </c>
      <c r="J39" s="95" t="n">
        <f aca="false">SUM(TblConstr[[#This Row],[Tot Alc]:[Tot GT]],TblConstr[[#This Row],[Tot Shr]:[Tot Doc]],TblConstr[[#This Row],[Dest Alc]:[Dest GT]],TblConstr[[#This Row],[Dest Shr]:[Dest Doc]])*building_employment + TblConstr[[#This Row],[Tot Fac]]*bonus_jobs_facts</f>
        <v>6235</v>
      </c>
      <c r="K39" s="131"/>
      <c r="L39" s="33" t="n">
        <f aca="false">TblPop[[#This Row],[Draftees]]</f>
        <v>0</v>
      </c>
      <c r="M39" s="33" t="n">
        <f aca="false">TblMili[[#This Row],[Unit 1]]</f>
        <v>0</v>
      </c>
      <c r="N39" s="33" t="n">
        <f aca="false">TblMili[[#This Row],[Unit 2]]</f>
        <v>0</v>
      </c>
      <c r="O39" s="33" t="n">
        <f aca="false">TblMili[[#This Row],[Unit 3]]</f>
        <v>0</v>
      </c>
      <c r="P39" s="33" t="n">
        <f aca="false">TblMili[[#This Row],[Unit 4]]</f>
        <v>0</v>
      </c>
      <c r="Q39" s="33" t="n">
        <f aca="false">TblMili[[#This Row],[Spies]]</f>
        <v>0</v>
      </c>
      <c r="R39" s="33" t="n">
        <f aca="false">TblMili[[#This Row],[Wizards]]</f>
        <v>0</v>
      </c>
      <c r="S39" s="33" t="n">
        <f aca="false">TblMili[[#This Row],[Archmages]]</f>
        <v>0</v>
      </c>
      <c r="T39" s="132"/>
      <c r="U39" s="69" t="n">
        <f aca="false">ROUND(TblPop[[#This Row],[Raw max]]*(1+TblPop[[#This Row],[Max pop]]),0)+MIN(TblPop[[#This Row],[Military]]-TblPop[[#This Row],[Draftees]]-SUM(TblMili[[#This Row],[Train Unit 1]:[Train AM]]),(barracks_size + tech_8_3*TblTech[[#This Row],[8-3]])*TblConstr[[#This Row],[Tot Bar]])</f>
        <v>6657</v>
      </c>
      <c r="V3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6185</v>
      </c>
      <c r="W39" s="69" t="n">
        <f aca="false">MAX(-5%*TblPop[[#This Row],[Peasants]]-TblPop[[#This Row],[Draft Growth]],MIN(OFFSET(TblPop[[#This Row],[Net max]],1,0)-TblPop[[#This Row],[Peasants]]-TblPop[[#This Row],[Military]]-TblPop[[#This Row],[Draft Growth]],TblPop[[#This Row],[Modded Birth]]-TblPop[[#This Row],[Draft Growth]]))</f>
        <v>127</v>
      </c>
      <c r="X39" s="69" t="n">
        <f aca="false">ROUND(TblPop[[#This Row],[Raw Birth]]*(1+TblPop[[#This Row],[Growth]]),0)</f>
        <v>424</v>
      </c>
      <c r="Y39" s="69" t="n">
        <f aca="false">(TblPop[[#This Row],[Peasants]]-TblPop[[#This Row],[Draft Growth]])*raw_pop_growth</f>
        <v>195.15</v>
      </c>
      <c r="Z39" s="69" t="n">
        <f aca="false">IF(TblPop[[#This Row],[Military%]]&lt;TblMili[[#This Row],[Draftrate]],ROUND(TblPop[[#This Row],[Peasants]]*Constants!$B$55,0), 0)</f>
        <v>66</v>
      </c>
      <c r="AA39" s="132"/>
      <c r="AB39" s="109" t="n">
        <f aca="false">Overview!$I$16 + IF(Magic!AE39&gt;0,Constants!$F$78) + ROUND(6*(Construction!BM40+Construction!CK39)/IF(Explore!S40&gt;0,Construction!F40-20,Construction!F40),4) + tech_6_5_2*Techs!BJ39 + tech_8_4*Techs!BT39</f>
        <v>1.173</v>
      </c>
      <c r="AC39" s="130" t="n">
        <f aca="false">(Overview!$I$15 + Imps!Z39+ tech_2_5*Techs!AB39 + tech_3_6*Techs!AM39 + tech_6_1*Techs!BJ39 + tech_6_5*Techs!BF39 + tech_7_3_2*Techs!BN39) * (1 + Production!O39/100*prestige_pop_multiplier) + Production!O39/100*prestige_pop_multiplier</f>
        <v>0.07625</v>
      </c>
    </row>
    <row r="40" customFormat="false" ht="12.75" hidden="false" customHeight="false" outlineLevel="0" collapsed="false">
      <c r="A40" s="128" t="n">
        <f aca="false">TblRezone[[#This Row],[Hour]]</f>
        <v>37</v>
      </c>
      <c r="B40" s="129" t="n">
        <f aca="false">TblImps[[#This Row],[Time]]</f>
        <v>45431.25</v>
      </c>
      <c r="C40" s="69" t="n">
        <f aca="false">OFFSET(TblPop[[#This Row],[Peasants]],-1,0)+OFFSET(TblPop[[#This Row],[Net Peasant]],-1,0)+TblMili[[#This Row],[Release Draft]]</f>
        <v>6698</v>
      </c>
      <c r="D40" s="69" t="n">
        <f aca="false">TblMili[[#This Row],[Military]]</f>
        <v>1</v>
      </c>
      <c r="E40" s="69" t="n">
        <f aca="false">TblMili[[#This Row],[Draftees]]</f>
        <v>1</v>
      </c>
      <c r="F40" s="69" t="n">
        <f aca="false">TblPop[[#This Row],[Peasants]]+TblPop[[#This Row],[Military]]</f>
        <v>6699</v>
      </c>
      <c r="G40" s="130" t="n">
        <f aca="false">TblPop[[#This Row],[Military]]/TblPop[[#This Row],[Total]]</f>
        <v>0.000149276011344977</v>
      </c>
      <c r="H40" s="95" t="n">
        <f aca="false">MIN(TblPop[[#This Row],[Peasants]],TblPop[[#This Row],[Jobs]])</f>
        <v>6235</v>
      </c>
      <c r="I40" s="130" t="n">
        <f aca="false">MIN(OFFSET(TblPop[[#This Row],[Jobs]],1,0)/TblPop[[#This Row],[Peasants]],1)</f>
        <v>0.930874888026277</v>
      </c>
      <c r="J40" s="95" t="n">
        <f aca="false">SUM(TblConstr[[#This Row],[Tot Alc]:[Tot GT]],TblConstr[[#This Row],[Tot Shr]:[Tot Doc]],TblConstr[[#This Row],[Dest Alc]:[Dest GT]],TblConstr[[#This Row],[Dest Shr]:[Dest Doc]])*building_employment + TblConstr[[#This Row],[Tot Fac]]*bonus_jobs_facts</f>
        <v>6235</v>
      </c>
      <c r="K40" s="131"/>
      <c r="L40" s="33" t="n">
        <f aca="false">TblPop[[#This Row],[Draftees]]</f>
        <v>1</v>
      </c>
      <c r="M40" s="33" t="n">
        <f aca="false">TblMili[[#This Row],[Unit 1]]</f>
        <v>0</v>
      </c>
      <c r="N40" s="33" t="n">
        <f aca="false">TblMili[[#This Row],[Unit 2]]</f>
        <v>0</v>
      </c>
      <c r="O40" s="33" t="n">
        <f aca="false">TblMili[[#This Row],[Unit 3]]</f>
        <v>0</v>
      </c>
      <c r="P40" s="33" t="n">
        <f aca="false">TblMili[[#This Row],[Unit 4]]</f>
        <v>0</v>
      </c>
      <c r="Q40" s="33" t="n">
        <f aca="false">TblMili[[#This Row],[Spies]]</f>
        <v>0</v>
      </c>
      <c r="R40" s="33" t="n">
        <f aca="false">TblMili[[#This Row],[Wizards]]</f>
        <v>0</v>
      </c>
      <c r="S40" s="33" t="n">
        <f aca="false">TblMili[[#This Row],[Archmages]]</f>
        <v>0</v>
      </c>
      <c r="T40" s="132"/>
      <c r="U40" s="69" t="n">
        <f aca="false">ROUND(TblPop[[#This Row],[Raw max]]*(1+TblPop[[#This Row],[Max pop]]),0)+MIN(TblPop[[#This Row],[Military]]-TblPop[[#This Row],[Draftees]]-SUM(TblMili[[#This Row],[Train Unit 1]:[Train AM]]),(barracks_size + tech_8_3*TblTech[[#This Row],[8-3]])*TblConstr[[#This Row],[Tot Bar]])</f>
        <v>6764</v>
      </c>
      <c r="V4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0" s="69" t="n">
        <f aca="false">MAX(-5%*TblPop[[#This Row],[Peasants]]-TblPop[[#This Row],[Draft Growth]],MIN(OFFSET(TblPop[[#This Row],[Net max]],1,0)-TblPop[[#This Row],[Peasants]]-TblPop[[#This Row],[Military]]-TblPop[[#This Row],[Draft Growth]],TblPop[[#This Row],[Modded Birth]]-TblPop[[#This Row],[Draft Growth]]))</f>
        <v>-2</v>
      </c>
      <c r="X40" s="69" t="n">
        <f aca="false">ROUND(TblPop[[#This Row],[Raw Birth]]*(1+TblPop[[#This Row],[Growth]]),0)</f>
        <v>432</v>
      </c>
      <c r="Y40" s="69" t="n">
        <f aca="false">(TblPop[[#This Row],[Peasants]]-TblPop[[#This Row],[Draft Growth]])*raw_pop_growth</f>
        <v>198.93</v>
      </c>
      <c r="Z40" s="69" t="n">
        <f aca="false">IF(TblPop[[#This Row],[Military%]]&lt;TblMili[[#This Row],[Draftrate]],ROUND(TblPop[[#This Row],[Peasants]]*Constants!$B$55,0), 0)</f>
        <v>67</v>
      </c>
      <c r="AA40" s="132"/>
      <c r="AB40" s="109" t="n">
        <f aca="false">Overview!$I$16 + IF(Magic!AE40&gt;0,Constants!$F$78) + ROUND(6*(Construction!BM41+Construction!CK40)/IF(Explore!S41&gt;0,Construction!F41-20,Construction!F41),4) + tech_6_5_2*Techs!BJ40 + tech_8_4*Techs!BT40</f>
        <v>1.173</v>
      </c>
      <c r="AC40" s="130" t="n">
        <f aca="false">(Overview!$I$15 + Imps!Z40+ tech_2_5*Techs!AB40 + tech_3_6*Techs!AM40 + tech_6_1*Techs!BJ40 + tech_6_5*Techs!BF40 + tech_7_3_2*Techs!BN40) * (1 + Production!O40/100*prestige_pop_multiplier) + Production!O40/100*prestige_pop_multiplier</f>
        <v>0.07625</v>
      </c>
    </row>
    <row r="41" customFormat="false" ht="12.75" hidden="false" customHeight="false" outlineLevel="0" collapsed="false">
      <c r="A41" s="128" t="n">
        <f aca="false">TblRezone[[#This Row],[Hour]]</f>
        <v>38</v>
      </c>
      <c r="B41" s="129" t="n">
        <f aca="false">TblImps[[#This Row],[Time]]</f>
        <v>45431.2916666667</v>
      </c>
      <c r="C41" s="69" t="n">
        <f aca="false">OFFSET(TblPop[[#This Row],[Peasants]],-1,0)+OFFSET(TblPop[[#This Row],[Net Peasant]],-1,0)+TblMili[[#This Row],[Release Draft]]</f>
        <v>6696</v>
      </c>
      <c r="D41" s="69" t="n">
        <f aca="false">TblMili[[#This Row],[Military]]</f>
        <v>3</v>
      </c>
      <c r="E41" s="69" t="n">
        <f aca="false">TblMili[[#This Row],[Draftees]]</f>
        <v>3</v>
      </c>
      <c r="F41" s="69" t="n">
        <f aca="false">TblPop[[#This Row],[Peasants]]+TblPop[[#This Row],[Military]]</f>
        <v>6699</v>
      </c>
      <c r="G41" s="130" t="n">
        <f aca="false">TblPop[[#This Row],[Military]]/TblPop[[#This Row],[Total]]</f>
        <v>0.000447828034034931</v>
      </c>
      <c r="H41" s="95" t="n">
        <f aca="false">MIN(TblPop[[#This Row],[Peasants]],TblPop[[#This Row],[Jobs]])</f>
        <v>6235</v>
      </c>
      <c r="I41" s="130" t="n">
        <f aca="false">MIN(OFFSET(TblPop[[#This Row],[Jobs]],1,0)/TblPop[[#This Row],[Peasants]],1)</f>
        <v>0.931152927120669</v>
      </c>
      <c r="J41" s="95" t="n">
        <f aca="false">SUM(TblConstr[[#This Row],[Tot Alc]:[Tot GT]],TblConstr[[#This Row],[Tot Shr]:[Tot Doc]],TblConstr[[#This Row],[Dest Alc]:[Dest GT]],TblConstr[[#This Row],[Dest Shr]:[Dest Doc]])*building_employment + TblConstr[[#This Row],[Tot Fac]]*bonus_jobs_facts</f>
        <v>6235</v>
      </c>
      <c r="K41" s="131"/>
      <c r="L41" s="33" t="n">
        <f aca="false">TblPop[[#This Row],[Draftees]]</f>
        <v>3</v>
      </c>
      <c r="M41" s="33" t="n">
        <f aca="false">TblMili[[#This Row],[Unit 1]]</f>
        <v>0</v>
      </c>
      <c r="N41" s="33" t="n">
        <f aca="false">TblMili[[#This Row],[Unit 2]]</f>
        <v>0</v>
      </c>
      <c r="O41" s="33" t="n">
        <f aca="false">TblMili[[#This Row],[Unit 3]]</f>
        <v>0</v>
      </c>
      <c r="P41" s="33" t="n">
        <f aca="false">TblMili[[#This Row],[Unit 4]]</f>
        <v>0</v>
      </c>
      <c r="Q41" s="33" t="n">
        <f aca="false">TblMili[[#This Row],[Spies]]</f>
        <v>0</v>
      </c>
      <c r="R41" s="33" t="n">
        <f aca="false">TblMili[[#This Row],[Wizards]]</f>
        <v>0</v>
      </c>
      <c r="S41" s="33" t="n">
        <f aca="false">TblMili[[#This Row],[Archmages]]</f>
        <v>0</v>
      </c>
      <c r="T41" s="132"/>
      <c r="U41" s="69" t="n">
        <f aca="false">ROUND(TblPop[[#This Row],[Raw max]]*(1+TblPop[[#This Row],[Max pop]]),0)+MIN(TblPop[[#This Row],[Military]]-TblPop[[#This Row],[Draftees]]-SUM(TblMili[[#This Row],[Train Unit 1]:[Train AM]]),(barracks_size + tech_8_3*TblTech[[#This Row],[8-3]])*TblConstr[[#This Row],[Tot Bar]])</f>
        <v>6764</v>
      </c>
      <c r="V4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1" s="69" t="n">
        <f aca="false">MAX(-5%*TblPop[[#This Row],[Peasants]]-TblPop[[#This Row],[Draft Growth]],MIN(OFFSET(TblPop[[#This Row],[Net max]],1,0)-TblPop[[#This Row],[Peasants]]-TblPop[[#This Row],[Military]]-TblPop[[#This Row],[Draft Growth]],TblPop[[#This Row],[Modded Birth]]-TblPop[[#This Row],[Draft Growth]]))</f>
        <v>-2</v>
      </c>
      <c r="X41" s="69" t="n">
        <f aca="false">ROUND(TblPop[[#This Row],[Raw Birth]]*(1+TblPop[[#This Row],[Growth]]),0)</f>
        <v>432</v>
      </c>
      <c r="Y41" s="69" t="n">
        <f aca="false">(TblPop[[#This Row],[Peasants]]-TblPop[[#This Row],[Draft Growth]])*raw_pop_growth</f>
        <v>198.87</v>
      </c>
      <c r="Z41" s="69" t="n">
        <f aca="false">IF(TblPop[[#This Row],[Military%]]&lt;TblMili[[#This Row],[Draftrate]],ROUND(TblPop[[#This Row],[Peasants]]*Constants!$B$55,0), 0)</f>
        <v>67</v>
      </c>
      <c r="AA41" s="132"/>
      <c r="AB41" s="109" t="n">
        <f aca="false">Overview!$I$16 + IF(Magic!AE41&gt;0,Constants!$F$78) + ROUND(6*(Construction!BM42+Construction!CK41)/IF(Explore!S42&gt;0,Construction!F42-20,Construction!F42),4) + tech_6_5_2*Techs!BJ41 + tech_8_4*Techs!BT41</f>
        <v>1.173</v>
      </c>
      <c r="AC41" s="130" t="n">
        <f aca="false">(Overview!$I$15 + Imps!Z41+ tech_2_5*Techs!AB41 + tech_3_6*Techs!AM41 + tech_6_1*Techs!BJ41 + tech_6_5*Techs!BF41 + tech_7_3_2*Techs!BN41) * (1 + Production!O41/100*prestige_pop_multiplier) + Production!O41/100*prestige_pop_multiplier</f>
        <v>0.07625</v>
      </c>
    </row>
    <row r="42" customFormat="false" ht="12.75" hidden="false" customHeight="false" outlineLevel="0" collapsed="false">
      <c r="A42" s="128" t="n">
        <f aca="false">TblRezone[[#This Row],[Hour]]</f>
        <v>39</v>
      </c>
      <c r="B42" s="129" t="n">
        <f aca="false">TblImps[[#This Row],[Time]]</f>
        <v>45431.3333333333</v>
      </c>
      <c r="C42" s="69" t="n">
        <f aca="false">OFFSET(TblPop[[#This Row],[Peasants]],-1,0)+OFFSET(TblPop[[#This Row],[Net Peasant]],-1,0)+TblMili[[#This Row],[Release Draft]]</f>
        <v>6694</v>
      </c>
      <c r="D42" s="69" t="n">
        <f aca="false">TblMili[[#This Row],[Military]]</f>
        <v>0</v>
      </c>
      <c r="E42" s="69" t="n">
        <f aca="false">TblMili[[#This Row],[Draftees]]</f>
        <v>0</v>
      </c>
      <c r="F42" s="69" t="n">
        <f aca="false">TblPop[[#This Row],[Peasants]]+TblPop[[#This Row],[Military]]</f>
        <v>6694</v>
      </c>
      <c r="G42" s="130" t="n">
        <f aca="false">TblPop[[#This Row],[Military]]/TblPop[[#This Row],[Total]]</f>
        <v>0</v>
      </c>
      <c r="H42" s="95" t="n">
        <f aca="false">MIN(TblPop[[#This Row],[Peasants]],TblPop[[#This Row],[Jobs]])</f>
        <v>6235</v>
      </c>
      <c r="I42" s="130" t="n">
        <f aca="false">MIN(OFFSET(TblPop[[#This Row],[Jobs]],1,0)/TblPop[[#This Row],[Peasants]],1)</f>
        <v>0.931431132357335</v>
      </c>
      <c r="J42" s="95" t="n">
        <f aca="false">SUM(TblConstr[[#This Row],[Tot Alc]:[Tot GT]],TblConstr[[#This Row],[Tot Shr]:[Tot Doc]],TblConstr[[#This Row],[Dest Alc]:[Dest GT]],TblConstr[[#This Row],[Dest Shr]:[Dest Doc]])*building_employment + TblConstr[[#This Row],[Tot Fac]]*bonus_jobs_facts</f>
        <v>6235</v>
      </c>
      <c r="K42" s="131"/>
      <c r="L42" s="33" t="n">
        <f aca="false">TblPop[[#This Row],[Draftees]]</f>
        <v>0</v>
      </c>
      <c r="M42" s="33" t="n">
        <f aca="false">TblMili[[#This Row],[Unit 1]]</f>
        <v>0</v>
      </c>
      <c r="N42" s="33" t="n">
        <f aca="false">TblMili[[#This Row],[Unit 2]]</f>
        <v>0</v>
      </c>
      <c r="O42" s="33" t="n">
        <f aca="false">TblMili[[#This Row],[Unit 3]]</f>
        <v>0</v>
      </c>
      <c r="P42" s="33" t="n">
        <f aca="false">TblMili[[#This Row],[Unit 4]]</f>
        <v>0</v>
      </c>
      <c r="Q42" s="33" t="n">
        <f aca="false">TblMili[[#This Row],[Spies]]</f>
        <v>0</v>
      </c>
      <c r="R42" s="33" t="n">
        <f aca="false">TblMili[[#This Row],[Wizards]]</f>
        <v>0</v>
      </c>
      <c r="S42" s="33" t="n">
        <f aca="false">TblMili[[#This Row],[Archmages]]</f>
        <v>0</v>
      </c>
      <c r="T42" s="132"/>
      <c r="U42" s="69" t="n">
        <f aca="false">ROUND(TblPop[[#This Row],[Raw max]]*(1+TblPop[[#This Row],[Max pop]]),0)+MIN(TblPop[[#This Row],[Military]]-TblPop[[#This Row],[Draftees]]-SUM(TblMili[[#This Row],[Train Unit 1]:[Train AM]]),(barracks_size + tech_8_3*TblTech[[#This Row],[8-3]])*TblConstr[[#This Row],[Tot Bar]])</f>
        <v>6764</v>
      </c>
      <c r="V4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2" s="69" t="n">
        <f aca="false">MAX(-5%*TblPop[[#This Row],[Peasants]]-TblPop[[#This Row],[Draft Growth]],MIN(OFFSET(TblPop[[#This Row],[Net max]],1,0)-TblPop[[#This Row],[Peasants]]-TblPop[[#This Row],[Military]]-TblPop[[#This Row],[Draft Growth]],TblPop[[#This Row],[Modded Birth]]-TblPop[[#This Row],[Draft Growth]]))</f>
        <v>3</v>
      </c>
      <c r="X42" s="69" t="n">
        <f aca="false">ROUND(TblPop[[#This Row],[Raw Birth]]*(1+TblPop[[#This Row],[Growth]]),0)</f>
        <v>432</v>
      </c>
      <c r="Y42" s="69" t="n">
        <f aca="false">(TblPop[[#This Row],[Peasants]]-TblPop[[#This Row],[Draft Growth]])*raw_pop_growth</f>
        <v>198.81</v>
      </c>
      <c r="Z42" s="69" t="n">
        <f aca="false">IF(TblPop[[#This Row],[Military%]]&lt;TblMili[[#This Row],[Draftrate]],ROUND(TblPop[[#This Row],[Peasants]]*Constants!$B$55,0), 0)</f>
        <v>67</v>
      </c>
      <c r="AA42" s="132"/>
      <c r="AB42" s="109" t="n">
        <f aca="false">Overview!$I$16 + IF(Magic!AE42&gt;0,Constants!$F$78) + ROUND(6*(Construction!BM43+Construction!CK42)/IF(Explore!S43&gt;0,Construction!F43-20,Construction!F43),4) + tech_6_5_2*Techs!BJ42 + tech_8_4*Techs!BT42</f>
        <v>1.173</v>
      </c>
      <c r="AC42" s="130" t="n">
        <f aca="false">(Overview!$I$15 + Imps!Z42+ tech_2_5*Techs!AB42 + tech_3_6*Techs!AM42 + tech_6_1*Techs!BJ42 + tech_6_5*Techs!BF42 + tech_7_3_2*Techs!BN42) * (1 + Production!O42/100*prestige_pop_multiplier) + Production!O42/100*prestige_pop_multiplier</f>
        <v>0.07625</v>
      </c>
    </row>
    <row r="43" customFormat="false" ht="12.75" hidden="false" customHeight="false" outlineLevel="0" collapsed="false">
      <c r="A43" s="128" t="n">
        <f aca="false">TblRezone[[#This Row],[Hour]]</f>
        <v>40</v>
      </c>
      <c r="B43" s="129" t="n">
        <f aca="false">TblImps[[#This Row],[Time]]</f>
        <v>45431.375</v>
      </c>
      <c r="C43" s="69" t="n">
        <f aca="false">OFFSET(TblPop[[#This Row],[Peasants]],-1,0)+OFFSET(TblPop[[#This Row],[Net Peasant]],-1,0)+TblMili[[#This Row],[Release Draft]]</f>
        <v>6697</v>
      </c>
      <c r="D43" s="69" t="n">
        <f aca="false">TblMili[[#This Row],[Military]]</f>
        <v>2</v>
      </c>
      <c r="E43" s="69" t="n">
        <f aca="false">TblMili[[#This Row],[Draftees]]</f>
        <v>2</v>
      </c>
      <c r="F43" s="69" t="n">
        <f aca="false">TblPop[[#This Row],[Peasants]]+TblPop[[#This Row],[Military]]</f>
        <v>6699</v>
      </c>
      <c r="G43" s="130" t="n">
        <f aca="false">TblPop[[#This Row],[Military]]/TblPop[[#This Row],[Total]]</f>
        <v>0.000298552022689954</v>
      </c>
      <c r="H43" s="95" t="n">
        <f aca="false">MIN(TblPop[[#This Row],[Peasants]],TblPop[[#This Row],[Jobs]])</f>
        <v>6235</v>
      </c>
      <c r="I43" s="130" t="n">
        <f aca="false">MIN(OFFSET(TblPop[[#This Row],[Jobs]],1,0)/TblPop[[#This Row],[Peasants]],1)</f>
        <v>0.931013886814992</v>
      </c>
      <c r="J43" s="95" t="n">
        <f aca="false">SUM(TblConstr[[#This Row],[Tot Alc]:[Tot GT]],TblConstr[[#This Row],[Tot Shr]:[Tot Doc]],TblConstr[[#This Row],[Dest Alc]:[Dest GT]],TblConstr[[#This Row],[Dest Shr]:[Dest Doc]])*building_employment + TblConstr[[#This Row],[Tot Fac]]*bonus_jobs_facts</f>
        <v>6235</v>
      </c>
      <c r="K43" s="131"/>
      <c r="L43" s="33" t="n">
        <f aca="false">TblPop[[#This Row],[Draftees]]</f>
        <v>2</v>
      </c>
      <c r="M43" s="33" t="n">
        <f aca="false">TblMili[[#This Row],[Unit 1]]</f>
        <v>0</v>
      </c>
      <c r="N43" s="33" t="n">
        <f aca="false">TblMili[[#This Row],[Unit 2]]</f>
        <v>0</v>
      </c>
      <c r="O43" s="33" t="n">
        <f aca="false">TblMili[[#This Row],[Unit 3]]</f>
        <v>0</v>
      </c>
      <c r="P43" s="33" t="n">
        <f aca="false">TblMili[[#This Row],[Unit 4]]</f>
        <v>0</v>
      </c>
      <c r="Q43" s="33" t="n">
        <f aca="false">TblMili[[#This Row],[Spies]]</f>
        <v>0</v>
      </c>
      <c r="R43" s="33" t="n">
        <f aca="false">TblMili[[#This Row],[Wizards]]</f>
        <v>0</v>
      </c>
      <c r="S43" s="33" t="n">
        <f aca="false">TblMili[[#This Row],[Archmages]]</f>
        <v>0</v>
      </c>
      <c r="T43" s="132"/>
      <c r="U43" s="69" t="n">
        <f aca="false">ROUND(TblPop[[#This Row],[Raw max]]*(1+TblPop[[#This Row],[Max pop]]),0)+MIN(TblPop[[#This Row],[Military]]-TblPop[[#This Row],[Draftees]]-SUM(TblMili[[#This Row],[Train Unit 1]:[Train AM]]),(barracks_size + tech_8_3*TblTech[[#This Row],[8-3]])*TblConstr[[#This Row],[Tot Bar]])</f>
        <v>6764</v>
      </c>
      <c r="V4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3" s="69" t="n">
        <f aca="false">MAX(-5%*TblPop[[#This Row],[Peasants]]-TblPop[[#This Row],[Draft Growth]],MIN(OFFSET(TblPop[[#This Row],[Net max]],1,0)-TblPop[[#This Row],[Peasants]]-TblPop[[#This Row],[Military]]-TblPop[[#This Row],[Draft Growth]],TblPop[[#This Row],[Modded Birth]]-TblPop[[#This Row],[Draft Growth]]))</f>
        <v>343</v>
      </c>
      <c r="X43" s="69" t="n">
        <f aca="false">ROUND(TblPop[[#This Row],[Raw Birth]]*(1+TblPop[[#This Row],[Growth]]),0)</f>
        <v>410</v>
      </c>
      <c r="Y43" s="69" t="n">
        <f aca="false">(TblPop[[#This Row],[Peasants]]-TblPop[[#This Row],[Draft Growth]])*raw_pop_growth</f>
        <v>198.9</v>
      </c>
      <c r="Z43" s="69" t="n">
        <f aca="false">IF(TblPop[[#This Row],[Military%]]&lt;TblMili[[#This Row],[Draftrate]],ROUND(TblPop[[#This Row],[Peasants]]*Constants!$B$55,0), 0)</f>
        <v>67</v>
      </c>
      <c r="AA43" s="132"/>
      <c r="AB43" s="109" t="n">
        <f aca="false">Overview!$I$16 + IF(Magic!AE43&gt;0,Constants!$F$78) + ROUND(6*(Construction!BM44+Construction!CK43)/IF(Explore!S44&gt;0,Construction!F44-20,Construction!F44),4) + tech_6_5_2*Techs!BJ43 + tech_8_4*Techs!BT43</f>
        <v>1.0629</v>
      </c>
      <c r="AC43" s="130" t="n">
        <f aca="false">(Overview!$I$15 + Imps!Z43+ tech_2_5*Techs!AB43 + tech_3_6*Techs!AM43 + tech_6_1*Techs!BJ43 + tech_6_5*Techs!BF43 + tech_7_3_2*Techs!BN43) * (1 + Production!O43/100*prestige_pop_multiplier) + Production!O43/100*prestige_pop_multiplier</f>
        <v>0.07625</v>
      </c>
    </row>
    <row r="44" customFormat="false" ht="12.75" hidden="false" customHeight="false" outlineLevel="0" collapsed="false">
      <c r="A44" s="128" t="n">
        <f aca="false">TblRezone[[#This Row],[Hour]]</f>
        <v>41</v>
      </c>
      <c r="B44" s="129" t="n">
        <f aca="false">TblImps[[#This Row],[Time]]</f>
        <v>45431.4166666667</v>
      </c>
      <c r="C44" s="69" t="n">
        <f aca="false">OFFSET(TblPop[[#This Row],[Peasants]],-1,0)+OFFSET(TblPop[[#This Row],[Net Peasant]],-1,0)+TblMili[[#This Row],[Release Draft]]</f>
        <v>7040</v>
      </c>
      <c r="D44" s="69" t="n">
        <f aca="false">TblMili[[#This Row],[Military]]</f>
        <v>3</v>
      </c>
      <c r="E44" s="69" t="n">
        <f aca="false">TblMili[[#This Row],[Draftees]]</f>
        <v>3</v>
      </c>
      <c r="F44" s="69" t="n">
        <f aca="false">TblPop[[#This Row],[Peasants]]+TblPop[[#This Row],[Military]]</f>
        <v>7043</v>
      </c>
      <c r="G44" s="130" t="n">
        <f aca="false">TblPop[[#This Row],[Military]]/TblPop[[#This Row],[Total]]</f>
        <v>0.000425954848786029</v>
      </c>
      <c r="H44" s="95" t="n">
        <f aca="false">MIN(TblPop[[#This Row],[Peasants]],TblPop[[#This Row],[Jobs]])</f>
        <v>6235</v>
      </c>
      <c r="I44" s="130" t="n">
        <f aca="false">MIN(OFFSET(TblPop[[#This Row],[Jobs]],1,0)/TblPop[[#This Row],[Peasants]],1)</f>
        <v>1</v>
      </c>
      <c r="J44" s="95" t="n">
        <f aca="false">SUM(TblConstr[[#This Row],[Tot Alc]:[Tot GT]],TblConstr[[#This Row],[Tot Shr]:[Tot Doc]],TblConstr[[#This Row],[Dest Alc]:[Dest GT]],TblConstr[[#This Row],[Dest Shr]:[Dest Doc]])*building_employment + TblConstr[[#This Row],[Tot Fac]]*bonus_jobs_facts</f>
        <v>6235</v>
      </c>
      <c r="K44" s="131"/>
      <c r="L44" s="33" t="n">
        <f aca="false">TblPop[[#This Row],[Draftees]]</f>
        <v>3</v>
      </c>
      <c r="M44" s="33" t="n">
        <f aca="false">TblMili[[#This Row],[Unit 1]]</f>
        <v>0</v>
      </c>
      <c r="N44" s="33" t="n">
        <f aca="false">TblMili[[#This Row],[Unit 2]]</f>
        <v>0</v>
      </c>
      <c r="O44" s="33" t="n">
        <f aca="false">TblMili[[#This Row],[Unit 3]]</f>
        <v>0</v>
      </c>
      <c r="P44" s="33" t="n">
        <f aca="false">TblMili[[#This Row],[Unit 4]]</f>
        <v>0</v>
      </c>
      <c r="Q44" s="33" t="n">
        <f aca="false">TblMili[[#This Row],[Spies]]</f>
        <v>0</v>
      </c>
      <c r="R44" s="33" t="n">
        <f aca="false">TblMili[[#This Row],[Wizards]]</f>
        <v>0</v>
      </c>
      <c r="S44" s="33" t="n">
        <f aca="false">TblMili[[#This Row],[Archmages]]</f>
        <v>0</v>
      </c>
      <c r="T44" s="132"/>
      <c r="U44" s="69" t="n">
        <f aca="false">ROUND(TblPop[[#This Row],[Raw max]]*(1+TblPop[[#This Row],[Max pop]]),0)+MIN(TblPop[[#This Row],[Military]]-TblPop[[#This Row],[Draftees]]-SUM(TblMili[[#This Row],[Train Unit 1]:[Train AM]]),(barracks_size + tech_8_3*TblTech[[#This Row],[8-3]])*TblConstr[[#This Row],[Tot Bar]])</f>
        <v>7205</v>
      </c>
      <c r="V4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6695</v>
      </c>
      <c r="W44" s="69" t="n">
        <f aca="false">MAX(-5%*TblPop[[#This Row],[Peasants]]-TblPop[[#This Row],[Draft Growth]],MIN(OFFSET(TblPop[[#This Row],[Net max]],1,0)-TblPop[[#This Row],[Peasants]]-TblPop[[#This Row],[Military]]-TblPop[[#This Row],[Draft Growth]],TblPop[[#This Row],[Modded Birth]]-TblPop[[#This Row],[Draft Growth]]))</f>
        <v>359</v>
      </c>
      <c r="X44" s="69" t="n">
        <f aca="false">ROUND(TblPop[[#This Row],[Raw Birth]]*(1+TblPop[[#This Row],[Growth]]),0)</f>
        <v>429</v>
      </c>
      <c r="Y44" s="69" t="n">
        <f aca="false">(TblPop[[#This Row],[Peasants]]-TblPop[[#This Row],[Draft Growth]])*raw_pop_growth</f>
        <v>209.1</v>
      </c>
      <c r="Z44" s="69" t="n">
        <f aca="false">IF(TblPop[[#This Row],[Military%]]&lt;TblMili[[#This Row],[Draftrate]],ROUND(TblPop[[#This Row],[Peasants]]*Constants!$B$55,0), 0)</f>
        <v>70</v>
      </c>
      <c r="AA44" s="132"/>
      <c r="AB44" s="109" t="n">
        <f aca="false">Overview!$I$16 + IF(Magic!AE44&gt;0,Constants!$F$78) + ROUND(6*(Construction!BM45+Construction!CK44)/IF(Explore!S45&gt;0,Construction!F45-20,Construction!F45),4) + tech_6_5_2*Techs!BJ44 + tech_8_4*Techs!BT44</f>
        <v>1.0529</v>
      </c>
      <c r="AC44" s="130" t="n">
        <f aca="false">(Overview!$I$15 + Imps!Z44+ tech_2_5*Techs!AB44 + tech_3_6*Techs!AM44 + tech_6_1*Techs!BJ44 + tech_6_5*Techs!BF44 + tech_7_3_2*Techs!BN44) * (1 + Production!O44/100*prestige_pop_multiplier) + Production!O44/100*prestige_pop_multiplier</f>
        <v>0.07625</v>
      </c>
    </row>
    <row r="45" customFormat="false" ht="12.75" hidden="false" customHeight="false" outlineLevel="0" collapsed="false">
      <c r="A45" s="128" t="n">
        <f aca="false">TblRezone[[#This Row],[Hour]]</f>
        <v>42</v>
      </c>
      <c r="B45" s="129" t="n">
        <f aca="false">TblImps[[#This Row],[Time]]</f>
        <v>45431.4583333333</v>
      </c>
      <c r="C45" s="69" t="n">
        <f aca="false">OFFSET(TblPop[[#This Row],[Peasants]],-1,0)+OFFSET(TblPop[[#This Row],[Net Peasant]],-1,0)+TblMili[[#This Row],[Release Draft]]</f>
        <v>7399</v>
      </c>
      <c r="D45" s="69" t="n">
        <f aca="false">TblMili[[#This Row],[Military]]</f>
        <v>1</v>
      </c>
      <c r="E45" s="69" t="n">
        <f aca="false">TblMili[[#This Row],[Draftees]]</f>
        <v>1</v>
      </c>
      <c r="F45" s="69" t="n">
        <f aca="false">TblPop[[#This Row],[Peasants]]+TblPop[[#This Row],[Military]]</f>
        <v>7400</v>
      </c>
      <c r="G45" s="130" t="n">
        <f aca="false">TblPop[[#This Row],[Military]]/TblPop[[#This Row],[Total]]</f>
        <v>0.000135135135135135</v>
      </c>
      <c r="H45" s="95" t="n">
        <f aca="false">MIN(TblPop[[#This Row],[Peasants]],TblPop[[#This Row],[Jobs]])</f>
        <v>7399</v>
      </c>
      <c r="I45" s="130" t="n">
        <f aca="false">MIN(OFFSET(TblPop[[#This Row],[Jobs]],1,0)/TblPop[[#This Row],[Peasants]],1)</f>
        <v>1</v>
      </c>
      <c r="J45" s="95" t="n">
        <f aca="false">SUM(TblConstr[[#This Row],[Tot Alc]:[Tot GT]],TblConstr[[#This Row],[Tot Shr]:[Tot Doc]],TblConstr[[#This Row],[Dest Alc]:[Dest GT]],TblConstr[[#This Row],[Dest Shr]:[Dest Doc]])*building_employment + TblConstr[[#This Row],[Tot Fac]]*bonus_jobs_facts</f>
        <v>7640</v>
      </c>
      <c r="K45" s="131"/>
      <c r="L45" s="33" t="n">
        <f aca="false">TblPop[[#This Row],[Draftees]]</f>
        <v>1</v>
      </c>
      <c r="M45" s="33" t="n">
        <f aca="false">TblMili[[#This Row],[Unit 1]]</f>
        <v>0</v>
      </c>
      <c r="N45" s="33" t="n">
        <f aca="false">TblMili[[#This Row],[Unit 2]]</f>
        <v>0</v>
      </c>
      <c r="O45" s="33" t="n">
        <f aca="false">TblMili[[#This Row],[Unit 3]]</f>
        <v>0</v>
      </c>
      <c r="P45" s="33" t="n">
        <f aca="false">TblMili[[#This Row],[Unit 4]]</f>
        <v>0</v>
      </c>
      <c r="Q45" s="33" t="n">
        <f aca="false">TblMili[[#This Row],[Spies]]</f>
        <v>0</v>
      </c>
      <c r="R45" s="33" t="n">
        <f aca="false">TblMili[[#This Row],[Wizards]]</f>
        <v>0</v>
      </c>
      <c r="S45" s="33" t="n">
        <f aca="false">TblMili[[#This Row],[Archmages]]</f>
        <v>0</v>
      </c>
      <c r="T45" s="132"/>
      <c r="U45" s="69" t="n">
        <f aca="false">ROUND(TblPop[[#This Row],[Raw max]]*(1+TblPop[[#This Row],[Max pop]]),0)+MIN(TblPop[[#This Row],[Military]]-TblPop[[#This Row],[Draftees]]-SUM(TblMili[[#This Row],[Train Unit 1]:[Train AM]]),(barracks_size + tech_8_3*TblTech[[#This Row],[8-3]])*TblConstr[[#This Row],[Tot Bar]])</f>
        <v>8136</v>
      </c>
      <c r="V4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7560</v>
      </c>
      <c r="W45" s="69" t="n">
        <f aca="false">MAX(-5%*TblPop[[#This Row],[Peasants]]-TblPop[[#This Row],[Draft Growth]],MIN(OFFSET(TblPop[[#This Row],[Net max]],1,0)-TblPop[[#This Row],[Peasants]]-TblPop[[#This Row],[Military]]-TblPop[[#This Row],[Draft Growth]],TblPop[[#This Row],[Modded Birth]]-TblPop[[#This Row],[Draft Growth]]))</f>
        <v>375</v>
      </c>
      <c r="X45" s="69" t="n">
        <f aca="false">ROUND(TblPop[[#This Row],[Raw Birth]]*(1+TblPop[[#This Row],[Growth]]),0)</f>
        <v>449</v>
      </c>
      <c r="Y45" s="69" t="n">
        <f aca="false">(TblPop[[#This Row],[Peasants]]-TblPop[[#This Row],[Draft Growth]])*raw_pop_growth</f>
        <v>219.75</v>
      </c>
      <c r="Z45" s="69" t="n">
        <f aca="false">IF(TblPop[[#This Row],[Military%]]&lt;TblMili[[#This Row],[Draftrate]],ROUND(TblPop[[#This Row],[Peasants]]*Constants!$B$55,0), 0)</f>
        <v>74</v>
      </c>
      <c r="AA45" s="132"/>
      <c r="AB45" s="109" t="n">
        <f aca="false">Overview!$I$16 + IF(Magic!AE45&gt;0,Constants!$F$78) + ROUND(6*(Construction!BM46+Construction!CK45)/IF(Explore!S46&gt;0,Construction!F46-20,Construction!F46),4) + tech_6_5_2*Techs!BJ45 + tech_8_4*Techs!BT45</f>
        <v>1.0423</v>
      </c>
      <c r="AC45" s="130" t="n">
        <f aca="false">(Overview!$I$15 + Imps!Z45+ tech_2_5*Techs!AB45 + tech_3_6*Techs!AM45 + tech_6_1*Techs!BJ45 + tech_6_5*Techs!BF45 + tech_7_3_2*Techs!BN45) * (1 + Production!O45/100*prestige_pop_multiplier) + Production!O45/100*prestige_pop_multiplier</f>
        <v>0.07625</v>
      </c>
    </row>
    <row r="46" customFormat="false" ht="12.75" hidden="false" customHeight="false" outlineLevel="0" collapsed="false">
      <c r="A46" s="128" t="n">
        <f aca="false">TblRezone[[#This Row],[Hour]]</f>
        <v>43</v>
      </c>
      <c r="B46" s="129" t="n">
        <f aca="false">TblImps[[#This Row],[Time]]</f>
        <v>45431.5</v>
      </c>
      <c r="C46" s="69" t="n">
        <f aca="false">OFFSET(TblPop[[#This Row],[Peasants]],-1,0)+OFFSET(TblPop[[#This Row],[Net Peasant]],-1,0)+TblMili[[#This Row],[Release Draft]]</f>
        <v>7774</v>
      </c>
      <c r="D46" s="69" t="n">
        <f aca="false">TblMili[[#This Row],[Military]]</f>
        <v>27</v>
      </c>
      <c r="E46" s="69" t="n">
        <f aca="false">TblMili[[#This Row],[Draftees]]</f>
        <v>27</v>
      </c>
      <c r="F46" s="69" t="n">
        <f aca="false">TblPop[[#This Row],[Peasants]]+TblPop[[#This Row],[Military]]</f>
        <v>7801</v>
      </c>
      <c r="G46" s="130" t="n">
        <f aca="false">TblPop[[#This Row],[Military]]/TblPop[[#This Row],[Total]]</f>
        <v>0.00346109473144469</v>
      </c>
      <c r="H46" s="95" t="n">
        <f aca="false">MIN(TblPop[[#This Row],[Peasants]],TblPop[[#This Row],[Jobs]])</f>
        <v>7774</v>
      </c>
      <c r="I46" s="130" t="n">
        <f aca="false">MIN(OFFSET(TblPop[[#This Row],[Jobs]],1,0)/TblPop[[#This Row],[Peasants]],1)</f>
        <v>1</v>
      </c>
      <c r="J46" s="95" t="n">
        <f aca="false">SUM(TblConstr[[#This Row],[Tot Alc]:[Tot GT]],TblConstr[[#This Row],[Tot Shr]:[Tot Doc]],TblConstr[[#This Row],[Dest Alc]:[Dest GT]],TblConstr[[#This Row],[Dest Shr]:[Dest Doc]])*building_employment + TblConstr[[#This Row],[Tot Fac]]*bonus_jobs_facts</f>
        <v>7865</v>
      </c>
      <c r="K46" s="131"/>
      <c r="L46" s="33" t="n">
        <f aca="false">TblPop[[#This Row],[Draftees]]</f>
        <v>27</v>
      </c>
      <c r="M46" s="33" t="n">
        <f aca="false">TblMili[[#This Row],[Unit 1]]</f>
        <v>0</v>
      </c>
      <c r="N46" s="33" t="n">
        <f aca="false">TblMili[[#This Row],[Unit 2]]</f>
        <v>0</v>
      </c>
      <c r="O46" s="33" t="n">
        <f aca="false">TblMili[[#This Row],[Unit 3]]</f>
        <v>0</v>
      </c>
      <c r="P46" s="33" t="n">
        <f aca="false">TblMili[[#This Row],[Unit 4]]</f>
        <v>0</v>
      </c>
      <c r="Q46" s="33" t="n">
        <f aca="false">TblMili[[#This Row],[Spies]]</f>
        <v>0</v>
      </c>
      <c r="R46" s="33" t="n">
        <f aca="false">TblMili[[#This Row],[Wizards]]</f>
        <v>0</v>
      </c>
      <c r="S46" s="33" t="n">
        <f aca="false">TblMili[[#This Row],[Archmages]]</f>
        <v>0</v>
      </c>
      <c r="T46" s="132"/>
      <c r="U46" s="69" t="n">
        <f aca="false">ROUND(TblPop[[#This Row],[Raw max]]*(1+TblPop[[#This Row],[Max pop]]),0)+MIN(TblPop[[#This Row],[Military]]-TblPop[[#This Row],[Draftees]]-SUM(TblMili[[#This Row],[Train Unit 1]:[Train AM]]),(barracks_size + tech_8_3*TblTech[[#This Row],[8-3]])*TblConstr[[#This Row],[Tot Bar]])</f>
        <v>8287</v>
      </c>
      <c r="V4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7700</v>
      </c>
      <c r="W46" s="69" t="n">
        <f aca="false">MAX(-5%*TblPop[[#This Row],[Peasants]]-TblPop[[#This Row],[Draft Growth]],MIN(OFFSET(TblPop[[#This Row],[Net max]],1,0)-TblPop[[#This Row],[Peasants]]-TblPop[[#This Row],[Military]]-TblPop[[#This Row],[Draft Growth]],TblPop[[#This Row],[Modded Birth]]-TblPop[[#This Row],[Draft Growth]]))</f>
        <v>391</v>
      </c>
      <c r="X46" s="69" t="n">
        <f aca="false">ROUND(TblPop[[#This Row],[Raw Birth]]*(1+TblPop[[#This Row],[Growth]]),0)</f>
        <v>469</v>
      </c>
      <c r="Y46" s="69" t="n">
        <f aca="false">(TblPop[[#This Row],[Peasants]]-TblPop[[#This Row],[Draft Growth]])*raw_pop_growth</f>
        <v>230.88</v>
      </c>
      <c r="Z46" s="69" t="n">
        <f aca="false">IF(TblPop[[#This Row],[Military%]]&lt;TblMili[[#This Row],[Draftrate]],ROUND(TblPop[[#This Row],[Peasants]]*Constants!$B$55,0), 0)</f>
        <v>78</v>
      </c>
      <c r="AA46" s="132"/>
      <c r="AB46" s="109" t="n">
        <f aca="false">Overview!$I$16 + IF(Magic!AE46&gt;0,Constants!$F$78) + ROUND(6*(Construction!BM47+Construction!CK46)/IF(Explore!S47&gt;0,Construction!F47-20,Construction!F47),4) + tech_6_5_2*Techs!BJ46 + tech_8_4*Techs!BT46</f>
        <v>1.0321</v>
      </c>
      <c r="AC46" s="130" t="n">
        <f aca="false">(Overview!$I$15 + Imps!Z46+ tech_2_5*Techs!AB46 + tech_3_6*Techs!AM46 + tech_6_1*Techs!BJ46 + tech_6_5*Techs!BF46 + tech_7_3_2*Techs!BN46) * (1 + Production!O46/100*prestige_pop_multiplier) + Production!O46/100*prestige_pop_multiplier</f>
        <v>0.07625</v>
      </c>
    </row>
    <row r="47" customFormat="false" ht="12.75" hidden="false" customHeight="false" outlineLevel="0" collapsed="false">
      <c r="A47" s="128" t="n">
        <f aca="false">TblRezone[[#This Row],[Hour]]</f>
        <v>44</v>
      </c>
      <c r="B47" s="129" t="n">
        <f aca="false">TblImps[[#This Row],[Time]]</f>
        <v>45431.5416666667</v>
      </c>
      <c r="C47" s="69" t="n">
        <f aca="false">OFFSET(TblPop[[#This Row],[Peasants]],-1,0)+OFFSET(TblPop[[#This Row],[Net Peasant]],-1,0)+TblMili[[#This Row],[Release Draft]]</f>
        <v>8165</v>
      </c>
      <c r="D47" s="69" t="n">
        <f aca="false">TblMili[[#This Row],[Military]]</f>
        <v>105</v>
      </c>
      <c r="E47" s="69" t="n">
        <f aca="false">TblMili[[#This Row],[Draftees]]</f>
        <v>105</v>
      </c>
      <c r="F47" s="69" t="n">
        <f aca="false">TblPop[[#This Row],[Peasants]]+TblPop[[#This Row],[Military]]</f>
        <v>8270</v>
      </c>
      <c r="G47" s="130" t="n">
        <f aca="false">TblPop[[#This Row],[Military]]/TblPop[[#This Row],[Total]]</f>
        <v>0.0126964933494559</v>
      </c>
      <c r="H47" s="95" t="n">
        <f aca="false">MIN(TblPop[[#This Row],[Peasants]],TblPop[[#This Row],[Jobs]])</f>
        <v>8110</v>
      </c>
      <c r="I47" s="130" t="n">
        <f aca="false">MIN(OFFSET(TblPop[[#This Row],[Jobs]],1,0)/TblPop[[#This Row],[Peasants]],1)</f>
        <v>1</v>
      </c>
      <c r="J47" s="95" t="n">
        <f aca="false">SUM(TblConstr[[#This Row],[Tot Alc]:[Tot GT]],TblConstr[[#This Row],[Tot Shr]:[Tot Doc]],TblConstr[[#This Row],[Dest Alc]:[Dest GT]],TblConstr[[#This Row],[Dest Shr]:[Dest Doc]])*building_employment + TblConstr[[#This Row],[Tot Fac]]*bonus_jobs_facts</f>
        <v>8110</v>
      </c>
      <c r="K47" s="131"/>
      <c r="L47" s="33" t="n">
        <f aca="false">TblPop[[#This Row],[Draftees]]</f>
        <v>105</v>
      </c>
      <c r="M47" s="33" t="n">
        <f aca="false">TblMili[[#This Row],[Unit 1]]</f>
        <v>0</v>
      </c>
      <c r="N47" s="33" t="n">
        <f aca="false">TblMili[[#This Row],[Unit 2]]</f>
        <v>0</v>
      </c>
      <c r="O47" s="33" t="n">
        <f aca="false">TblMili[[#This Row],[Unit 3]]</f>
        <v>0</v>
      </c>
      <c r="P47" s="33" t="n">
        <f aca="false">TblMili[[#This Row],[Unit 4]]</f>
        <v>0</v>
      </c>
      <c r="Q47" s="33" t="n">
        <f aca="false">TblMili[[#This Row],[Spies]]</f>
        <v>0</v>
      </c>
      <c r="R47" s="33" t="n">
        <f aca="false">TblMili[[#This Row],[Wizards]]</f>
        <v>0</v>
      </c>
      <c r="S47" s="33" t="n">
        <f aca="false">TblMili[[#This Row],[Archmages]]</f>
        <v>0</v>
      </c>
      <c r="T47" s="132"/>
      <c r="U47" s="69" t="n">
        <f aca="false">ROUND(TblPop[[#This Row],[Raw max]]*(1+TblPop[[#This Row],[Max pop]]),0)+MIN(TblPop[[#This Row],[Military]]-TblPop[[#This Row],[Draftees]]-SUM(TblMili[[#This Row],[Train Unit 1]:[Train AM]]),(barracks_size + tech_8_3*TblTech[[#This Row],[8-3]])*TblConstr[[#This Row],[Tot Bar]])</f>
        <v>8449</v>
      </c>
      <c r="V4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7850</v>
      </c>
      <c r="W47" s="69" t="n">
        <f aca="false">MAX(-5%*TblPop[[#This Row],[Peasants]]-TblPop[[#This Row],[Draft Growth]],MIN(OFFSET(TblPop[[#This Row],[Net max]],1,0)-TblPop[[#This Row],[Peasants]]-TblPop[[#This Row],[Military]]-TblPop[[#This Row],[Draft Growth]],TblPop[[#This Row],[Modded Birth]]-TblPop[[#This Row],[Draft Growth]]))</f>
        <v>258</v>
      </c>
      <c r="X47" s="69" t="n">
        <f aca="false">ROUND(TblPop[[#This Row],[Raw Birth]]*(1+TblPop[[#This Row],[Growth]]),0)</f>
        <v>490</v>
      </c>
      <c r="Y47" s="69" t="n">
        <f aca="false">(TblPop[[#This Row],[Peasants]]-TblPop[[#This Row],[Draft Growth]])*raw_pop_growth</f>
        <v>242.49</v>
      </c>
      <c r="Z47" s="69" t="n">
        <f aca="false">IF(TblPop[[#This Row],[Military%]]&lt;TblMili[[#This Row],[Draftrate]],ROUND(TblPop[[#This Row],[Peasants]]*Constants!$B$55,0), 0)</f>
        <v>82</v>
      </c>
      <c r="AA47" s="132"/>
      <c r="AB47" s="109" t="n">
        <f aca="false">Overview!$I$16 + IF(Magic!AE47&gt;0,Constants!$F$78) + ROUND(6*(Construction!BM48+Construction!CK47)/IF(Explore!S48&gt;0,Construction!F48-20,Construction!F48),4) + tech_6_5_2*Techs!BJ47 + tech_8_4*Techs!BT47</f>
        <v>1.0222</v>
      </c>
      <c r="AC47" s="130" t="n">
        <f aca="false">(Overview!$I$15 + Imps!Z47+ tech_2_5*Techs!AB47 + tech_3_6*Techs!AM47 + tech_6_1*Techs!BJ47 + tech_6_5*Techs!BF47 + tech_7_3_2*Techs!BN47) * (1 + Production!O47/100*prestige_pop_multiplier) + Production!O47/100*prestige_pop_multiplier</f>
        <v>0.07625</v>
      </c>
    </row>
    <row r="48" customFormat="false" ht="12.75" hidden="false" customHeight="false" outlineLevel="0" collapsed="false">
      <c r="A48" s="128" t="n">
        <f aca="false">TblRezone[[#This Row],[Hour]]</f>
        <v>45</v>
      </c>
      <c r="B48" s="129" t="n">
        <f aca="false">TblImps[[#This Row],[Time]]</f>
        <v>45431.5833333333</v>
      </c>
      <c r="C48" s="69" t="n">
        <f aca="false">OFFSET(TblPop[[#This Row],[Peasants]],-1,0)+OFFSET(TblPop[[#This Row],[Net Peasant]],-1,0)+TblMili[[#This Row],[Release Draft]]</f>
        <v>8423</v>
      </c>
      <c r="D48" s="69" t="n">
        <f aca="false">TblMili[[#This Row],[Military]]</f>
        <v>187</v>
      </c>
      <c r="E48" s="69" t="n">
        <f aca="false">TblMili[[#This Row],[Draftees]]</f>
        <v>187</v>
      </c>
      <c r="F48" s="69" t="n">
        <f aca="false">TblPop[[#This Row],[Peasants]]+TblPop[[#This Row],[Military]]</f>
        <v>8610</v>
      </c>
      <c r="G48" s="130" t="n">
        <f aca="false">TblPop[[#This Row],[Military]]/TblPop[[#This Row],[Total]]</f>
        <v>0.021718931475029</v>
      </c>
      <c r="H48" s="95" t="n">
        <f aca="false">MIN(TblPop[[#This Row],[Peasants]],TblPop[[#This Row],[Jobs]])</f>
        <v>8355</v>
      </c>
      <c r="I48" s="130" t="n">
        <f aca="false">MIN(OFFSET(TblPop[[#This Row],[Jobs]],1,0)/TblPop[[#This Row],[Peasants]],1)</f>
        <v>0.999643832363766</v>
      </c>
      <c r="J48" s="95" t="n">
        <f aca="false">SUM(TblConstr[[#This Row],[Tot Alc]:[Tot GT]],TblConstr[[#This Row],[Tot Shr]:[Tot Doc]],TblConstr[[#This Row],[Dest Alc]:[Dest GT]],TblConstr[[#This Row],[Dest Shr]:[Dest Doc]])*building_employment + TblConstr[[#This Row],[Tot Fac]]*bonus_jobs_facts</f>
        <v>8355</v>
      </c>
      <c r="K48" s="131"/>
      <c r="L48" s="33" t="n">
        <f aca="false">TblPop[[#This Row],[Draftees]]</f>
        <v>187</v>
      </c>
      <c r="M48" s="33" t="n">
        <f aca="false">TblMili[[#This Row],[Unit 1]]</f>
        <v>0</v>
      </c>
      <c r="N48" s="33" t="n">
        <f aca="false">TblMili[[#This Row],[Unit 2]]</f>
        <v>0</v>
      </c>
      <c r="O48" s="33" t="n">
        <f aca="false">TblMili[[#This Row],[Unit 3]]</f>
        <v>0</v>
      </c>
      <c r="P48" s="33" t="n">
        <f aca="false">TblMili[[#This Row],[Unit 4]]</f>
        <v>0</v>
      </c>
      <c r="Q48" s="33" t="n">
        <f aca="false">TblMili[[#This Row],[Spies]]</f>
        <v>0</v>
      </c>
      <c r="R48" s="33" t="n">
        <f aca="false">TblMili[[#This Row],[Wizards]]</f>
        <v>0</v>
      </c>
      <c r="S48" s="33" t="n">
        <f aca="false">TblMili[[#This Row],[Archmages]]</f>
        <v>0</v>
      </c>
      <c r="T48" s="132"/>
      <c r="U48" s="69" t="n">
        <f aca="false">ROUND(TblPop[[#This Row],[Raw max]]*(1+TblPop[[#This Row],[Max pop]]),0)+MIN(TblPop[[#This Row],[Military]]-TblPop[[#This Row],[Draftees]]-SUM(TblMili[[#This Row],[Train Unit 1]:[Train AM]]),(barracks_size + tech_8_3*TblTech[[#This Row],[8-3]])*TblConstr[[#This Row],[Tot Bar]])</f>
        <v>8610</v>
      </c>
      <c r="V4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8000</v>
      </c>
      <c r="W48" s="69" t="n">
        <f aca="false">MAX(-5%*TblPop[[#This Row],[Peasants]]-TblPop[[#This Row],[Draft Growth]],MIN(OFFSET(TblPop[[#This Row],[Net max]],1,0)-TblPop[[#This Row],[Peasants]]-TblPop[[#This Row],[Military]]-TblPop[[#This Row],[Draft Growth]],TblPop[[#This Row],[Modded Birth]]-TblPop[[#This Row],[Draft Growth]]))</f>
        <v>83</v>
      </c>
      <c r="X48" s="69" t="n">
        <f aca="false">ROUND(TblPop[[#This Row],[Raw Birth]]*(1+TblPop[[#This Row],[Growth]]),0)</f>
        <v>503</v>
      </c>
      <c r="Y48" s="69" t="n">
        <f aca="false">(TblPop[[#This Row],[Peasants]]-TblPop[[#This Row],[Draft Growth]])*raw_pop_growth</f>
        <v>250.17</v>
      </c>
      <c r="Z48" s="69" t="n">
        <f aca="false">IF(TblPop[[#This Row],[Military%]]&lt;TblMili[[#This Row],[Draftrate]],ROUND(TblPop[[#This Row],[Peasants]]*Constants!$B$55,0), 0)</f>
        <v>84</v>
      </c>
      <c r="AA48" s="132"/>
      <c r="AB48" s="109" t="n">
        <f aca="false">Overview!$I$16 + IF(Magic!AE48&gt;0,Constants!$F$78) + ROUND(6*(Construction!BM49+Construction!CK48)/IF(Explore!S49&gt;0,Construction!F49-20,Construction!F49),4) + tech_6_5_2*Techs!BJ48 + tech_8_4*Techs!BT48</f>
        <v>1.0118</v>
      </c>
      <c r="AC48" s="130" t="n">
        <f aca="false">(Overview!$I$15 + Imps!Z48+ tech_2_5*Techs!AB48 + tech_3_6*Techs!AM48 + tech_6_1*Techs!BJ48 + tech_6_5*Techs!BF48 + tech_7_3_2*Techs!BN48) * (1 + Production!O48/100*prestige_pop_multiplier) + Production!O48/100*prestige_pop_multiplier</f>
        <v>0.07625</v>
      </c>
    </row>
    <row r="49" customFormat="false" ht="12.75" hidden="false" customHeight="false" outlineLevel="0" collapsed="false">
      <c r="A49" s="128" t="n">
        <f aca="false">TblRezone[[#This Row],[Hour]]</f>
        <v>46</v>
      </c>
      <c r="B49" s="129" t="n">
        <f aca="false">TblImps[[#This Row],[Time]]</f>
        <v>45431.625</v>
      </c>
      <c r="C49" s="69" t="n">
        <f aca="false">OFFSET(TblPop[[#This Row],[Peasants]],-1,0)+OFFSET(TblPop[[#This Row],[Net Peasant]],-1,0)+TblMili[[#This Row],[Release Draft]]</f>
        <v>8506</v>
      </c>
      <c r="D49" s="69" t="n">
        <f aca="false">TblMili[[#This Row],[Military]]</f>
        <v>271</v>
      </c>
      <c r="E49" s="69" t="n">
        <f aca="false">TblMili[[#This Row],[Draftees]]</f>
        <v>271</v>
      </c>
      <c r="F49" s="69" t="n">
        <f aca="false">TblPop[[#This Row],[Peasants]]+TblPop[[#This Row],[Military]]</f>
        <v>8777</v>
      </c>
      <c r="G49" s="130" t="n">
        <f aca="false">TblPop[[#This Row],[Military]]/TblPop[[#This Row],[Total]]</f>
        <v>0.0308761535832289</v>
      </c>
      <c r="H49" s="95" t="n">
        <f aca="false">MIN(TblPop[[#This Row],[Peasants]],TblPop[[#This Row],[Jobs]])</f>
        <v>8420</v>
      </c>
      <c r="I49" s="130" t="n">
        <f aca="false">MIN(OFFSET(TblPop[[#This Row],[Jobs]],1,0)/TblPop[[#This Row],[Peasants]],1)</f>
        <v>0.995179873030802</v>
      </c>
      <c r="J49" s="95" t="n">
        <f aca="false">SUM(TblConstr[[#This Row],[Tot Alc]:[Tot GT]],TblConstr[[#This Row],[Tot Shr]:[Tot Doc]],TblConstr[[#This Row],[Dest Alc]:[Dest GT]],TblConstr[[#This Row],[Dest Shr]:[Dest Doc]])*building_employment + TblConstr[[#This Row],[Tot Fac]]*bonus_jobs_facts</f>
        <v>8420</v>
      </c>
      <c r="K49" s="131"/>
      <c r="L49" s="33" t="n">
        <f aca="false">TblPop[[#This Row],[Draftees]]</f>
        <v>271</v>
      </c>
      <c r="M49" s="33" t="n">
        <f aca="false">TblMili[[#This Row],[Unit 1]]</f>
        <v>0</v>
      </c>
      <c r="N49" s="33" t="n">
        <f aca="false">TblMili[[#This Row],[Unit 2]]</f>
        <v>0</v>
      </c>
      <c r="O49" s="33" t="n">
        <f aca="false">TblMili[[#This Row],[Unit 3]]</f>
        <v>0</v>
      </c>
      <c r="P49" s="33" t="n">
        <f aca="false">TblMili[[#This Row],[Unit 4]]</f>
        <v>0</v>
      </c>
      <c r="Q49" s="33" t="n">
        <f aca="false">TblMili[[#This Row],[Spies]]</f>
        <v>0</v>
      </c>
      <c r="R49" s="33" t="n">
        <f aca="false">TblMili[[#This Row],[Wizards]]</f>
        <v>0</v>
      </c>
      <c r="S49" s="33" t="n">
        <f aca="false">TblMili[[#This Row],[Archmages]]</f>
        <v>0</v>
      </c>
      <c r="T49" s="132"/>
      <c r="U49" s="69" t="n">
        <f aca="false">ROUND(TblPop[[#This Row],[Raw max]]*(1+TblPop[[#This Row],[Max pop]]),0)+MIN(TblPop[[#This Row],[Military]]-TblPop[[#This Row],[Draftees]]-SUM(TblMili[[#This Row],[Train Unit 1]:[Train AM]]),(barracks_size + tech_8_3*TblTech[[#This Row],[8-3]])*TblConstr[[#This Row],[Tot Bar]])</f>
        <v>8777</v>
      </c>
      <c r="V4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8155</v>
      </c>
      <c r="W49" s="69" t="n">
        <f aca="false">MAX(-5%*TblPop[[#This Row],[Peasants]]-TblPop[[#This Row],[Draft Growth]],MIN(OFFSET(TblPop[[#This Row],[Net max]],1,0)-TblPop[[#This Row],[Peasants]]-TblPop[[#This Row],[Military]]-TblPop[[#This Row],[Draft Growth]],TblPop[[#This Row],[Modded Birth]]-TblPop[[#This Row],[Draft Growth]]))</f>
        <v>98</v>
      </c>
      <c r="X49" s="69" t="n">
        <f aca="false">ROUND(TblPop[[#This Row],[Raw Birth]]*(1+TblPop[[#This Row],[Growth]]),0)</f>
        <v>505</v>
      </c>
      <c r="Y49" s="69" t="n">
        <f aca="false">(TblPop[[#This Row],[Peasants]]-TblPop[[#This Row],[Draft Growth]])*raw_pop_growth</f>
        <v>252.63</v>
      </c>
      <c r="Z49" s="69" t="n">
        <f aca="false">IF(TblPop[[#This Row],[Military%]]&lt;TblMili[[#This Row],[Draftrate]],ROUND(TblPop[[#This Row],[Peasants]]*Constants!$B$55,0), 0)</f>
        <v>85</v>
      </c>
      <c r="AA49" s="132"/>
      <c r="AB49" s="109" t="n">
        <f aca="false">Overview!$I$16 + IF(Magic!AE49&gt;0,Constants!$F$78) + ROUND(6*(Construction!BM50+Construction!CK49)/IF(Explore!S50&gt;0,Construction!F50-20,Construction!F50),4) + tech_6_5_2*Techs!BJ49 + tech_8_4*Techs!BT49</f>
        <v>1.0009</v>
      </c>
      <c r="AC49" s="130" t="n">
        <f aca="false">(Overview!$I$15 + Imps!Z49+ tech_2_5*Techs!AB49 + tech_3_6*Techs!AM49 + tech_6_1*Techs!BJ49 + tech_6_5*Techs!BF49 + tech_7_3_2*Techs!BN49) * (1 + Production!O49/100*prestige_pop_multiplier) + Production!O49/100*prestige_pop_multiplier</f>
        <v>0.07625</v>
      </c>
    </row>
    <row r="50" customFormat="false" ht="12.75" hidden="false" customHeight="false" outlineLevel="0" collapsed="false">
      <c r="A50" s="128" t="n">
        <f aca="false">TblRezone[[#This Row],[Hour]]</f>
        <v>47</v>
      </c>
      <c r="B50" s="129" t="n">
        <f aca="false">TblImps[[#This Row],[Time]]</f>
        <v>45431.6666666667</v>
      </c>
      <c r="C50" s="69" t="n">
        <f aca="false">OFFSET(TblPop[[#This Row],[Peasants]],-1,0)+OFFSET(TblPop[[#This Row],[Net Peasant]],-1,0)+TblMili[[#This Row],[Release Draft]]</f>
        <v>8604</v>
      </c>
      <c r="D50" s="69" t="n">
        <f aca="false">TblMili[[#This Row],[Military]]</f>
        <v>356</v>
      </c>
      <c r="E50" s="69" t="n">
        <f aca="false">TblMili[[#This Row],[Draftees]]</f>
        <v>356</v>
      </c>
      <c r="F50" s="69" t="n">
        <f aca="false">TblPop[[#This Row],[Peasants]]+TblPop[[#This Row],[Military]]</f>
        <v>8960</v>
      </c>
      <c r="G50" s="130" t="n">
        <f aca="false">TblPop[[#This Row],[Military]]/TblPop[[#This Row],[Total]]</f>
        <v>0.0397321428571429</v>
      </c>
      <c r="H50" s="95" t="n">
        <f aca="false">MIN(TblPop[[#This Row],[Peasants]],TblPop[[#This Row],[Jobs]])</f>
        <v>8465</v>
      </c>
      <c r="I50" s="130" t="n">
        <f aca="false">MIN(OFFSET(TblPop[[#This Row],[Jobs]],1,0)/TblPop[[#This Row],[Peasants]],1)</f>
        <v>1</v>
      </c>
      <c r="J50" s="95" t="n">
        <f aca="false">SUM(TblConstr[[#This Row],[Tot Alc]:[Tot GT]],TblConstr[[#This Row],[Tot Shr]:[Tot Doc]],TblConstr[[#This Row],[Dest Alc]:[Dest GT]],TblConstr[[#This Row],[Dest Shr]:[Dest Doc]])*building_employment + TblConstr[[#This Row],[Tot Fac]]*bonus_jobs_facts</f>
        <v>8465</v>
      </c>
      <c r="K50" s="131"/>
      <c r="L50" s="33" t="n">
        <f aca="false">TblPop[[#This Row],[Draftees]]</f>
        <v>356</v>
      </c>
      <c r="M50" s="33" t="n">
        <f aca="false">TblMili[[#This Row],[Unit 1]]</f>
        <v>0</v>
      </c>
      <c r="N50" s="33" t="n">
        <f aca="false">TblMili[[#This Row],[Unit 2]]</f>
        <v>0</v>
      </c>
      <c r="O50" s="33" t="n">
        <f aca="false">TblMili[[#This Row],[Unit 3]]</f>
        <v>0</v>
      </c>
      <c r="P50" s="33" t="n">
        <f aca="false">TblMili[[#This Row],[Unit 4]]</f>
        <v>0</v>
      </c>
      <c r="Q50" s="33" t="n">
        <f aca="false">TblMili[[#This Row],[Spies]]</f>
        <v>0</v>
      </c>
      <c r="R50" s="33" t="n">
        <f aca="false">TblMili[[#This Row],[Wizards]]</f>
        <v>0</v>
      </c>
      <c r="S50" s="33" t="n">
        <f aca="false">TblMili[[#This Row],[Archmages]]</f>
        <v>0</v>
      </c>
      <c r="T50" s="132"/>
      <c r="U50" s="69" t="n">
        <f aca="false">ROUND(TblPop[[#This Row],[Raw max]]*(1+TblPop[[#This Row],[Max pop]]),0)+MIN(TblPop[[#This Row],[Military]]-TblPop[[#This Row],[Draftees]]-SUM(TblMili[[#This Row],[Train Unit 1]:[Train AM]]),(barracks_size + tech_8_3*TblTech[[#This Row],[8-3]])*TblConstr[[#This Row],[Tot Bar]])</f>
        <v>8960</v>
      </c>
      <c r="V5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8325</v>
      </c>
      <c r="W50" s="69" t="n">
        <f aca="false">MAX(-5%*TblPop[[#This Row],[Peasants]]-TblPop[[#This Row],[Draft Growth]],MIN(OFFSET(TblPop[[#This Row],[Net max]],1,0)-TblPop[[#This Row],[Peasants]]-TblPop[[#This Row],[Military]]-TblPop[[#This Row],[Draft Growth]],TblPop[[#This Row],[Modded Birth]]-TblPop[[#This Row],[Draft Growth]]))</f>
        <v>113</v>
      </c>
      <c r="X50" s="69" t="n">
        <f aca="false">ROUND(TblPop[[#This Row],[Raw Birth]]*(1+TblPop[[#This Row],[Growth]]),0)</f>
        <v>508</v>
      </c>
      <c r="Y50" s="69" t="n">
        <f aca="false">(TblPop[[#This Row],[Peasants]]-TblPop[[#This Row],[Draft Growth]])*raw_pop_growth</f>
        <v>255.54</v>
      </c>
      <c r="Z50" s="69" t="n">
        <f aca="false">IF(TblPop[[#This Row],[Military%]]&lt;TblMili[[#This Row],[Draftrate]],ROUND(TblPop[[#This Row],[Peasants]]*Constants!$B$55,0), 0)</f>
        <v>86</v>
      </c>
      <c r="AA50" s="132"/>
      <c r="AB50" s="109" t="n">
        <f aca="false">Overview!$I$16 + IF(Magic!AE50&gt;0,Constants!$F$78) + ROUND(6*(Construction!BM51+Construction!CK50)/IF(Explore!S51&gt;0,Construction!F51-20,Construction!F51),4) + tech_6_5_2*Techs!BJ50 + tech_8_4*Techs!BT50</f>
        <v>0.9896</v>
      </c>
      <c r="AC50" s="130" t="n">
        <f aca="false">(Overview!$I$15 + Imps!Z50+ tech_2_5*Techs!AB50 + tech_3_6*Techs!AM50 + tech_6_1*Techs!BJ50 + tech_6_5*Techs!BF50 + tech_7_3_2*Techs!BN50) * (1 + Production!O50/100*prestige_pop_multiplier) + Production!O50/100*prestige_pop_multiplier</f>
        <v>0.07625</v>
      </c>
    </row>
    <row r="51" customFormat="false" ht="12.75" hidden="false" customHeight="false" outlineLevel="0" collapsed="false">
      <c r="A51" s="128" t="n">
        <f aca="false">TblRezone[[#This Row],[Hour]]</f>
        <v>48</v>
      </c>
      <c r="B51" s="129" t="n">
        <f aca="false">TblImps[[#This Row],[Time]]</f>
        <v>45431.7083333333</v>
      </c>
      <c r="C51" s="69" t="n">
        <f aca="false">OFFSET(TblPop[[#This Row],[Peasants]],-1,0)+OFFSET(TblPop[[#This Row],[Net Peasant]],-1,0)+TblMili[[#This Row],[Release Draft]]</f>
        <v>8717</v>
      </c>
      <c r="D51" s="69" t="n">
        <f aca="false">TblMili[[#This Row],[Military]]</f>
        <v>442</v>
      </c>
      <c r="E51" s="69" t="n">
        <f aca="false">TblMili[[#This Row],[Draftees]]</f>
        <v>442</v>
      </c>
      <c r="F51" s="69" t="n">
        <f aca="false">TblPop[[#This Row],[Peasants]]+TblPop[[#This Row],[Military]]</f>
        <v>9159</v>
      </c>
      <c r="G51" s="130" t="n">
        <f aca="false">TblPop[[#This Row],[Military]]/TblPop[[#This Row],[Total]]</f>
        <v>0.0482585435091167</v>
      </c>
      <c r="H51" s="95" t="n">
        <f aca="false">MIN(TblPop[[#This Row],[Peasants]],TblPop[[#This Row],[Jobs]])</f>
        <v>8715</v>
      </c>
      <c r="I51" s="130" t="n">
        <f aca="false">MIN(OFFSET(TblPop[[#This Row],[Jobs]],1,0)/TblPop[[#This Row],[Peasants]],1)</f>
        <v>0.999770563267179</v>
      </c>
      <c r="J51" s="95" t="n">
        <f aca="false">SUM(TblConstr[[#This Row],[Tot Alc]:[Tot GT]],TblConstr[[#This Row],[Tot Shr]:[Tot Doc]],TblConstr[[#This Row],[Dest Alc]:[Dest GT]],TblConstr[[#This Row],[Dest Shr]:[Dest Doc]])*building_employment + TblConstr[[#This Row],[Tot Fac]]*bonus_jobs_facts</f>
        <v>8715</v>
      </c>
      <c r="K51" s="131"/>
      <c r="L51" s="33" t="n">
        <f aca="false">TblPop[[#This Row],[Draftees]]</f>
        <v>442</v>
      </c>
      <c r="M51" s="33" t="n">
        <f aca="false">TblMili[[#This Row],[Unit 1]]</f>
        <v>0</v>
      </c>
      <c r="N51" s="33" t="n">
        <f aca="false">TblMili[[#This Row],[Unit 2]]</f>
        <v>0</v>
      </c>
      <c r="O51" s="33" t="n">
        <f aca="false">TblMili[[#This Row],[Unit 3]]</f>
        <v>0</v>
      </c>
      <c r="P51" s="33" t="n">
        <f aca="false">TblMili[[#This Row],[Unit 4]]</f>
        <v>0</v>
      </c>
      <c r="Q51" s="33" t="n">
        <f aca="false">TblMili[[#This Row],[Spies]]</f>
        <v>0</v>
      </c>
      <c r="R51" s="33" t="n">
        <f aca="false">TblMili[[#This Row],[Wizards]]</f>
        <v>0</v>
      </c>
      <c r="S51" s="33" t="n">
        <f aca="false">TblMili[[#This Row],[Archmages]]</f>
        <v>0</v>
      </c>
      <c r="T51" s="132"/>
      <c r="U51" s="69" t="n">
        <f aca="false">ROUND(TblPop[[#This Row],[Raw max]]*(1+TblPop[[#This Row],[Max pop]]),0)+MIN(TblPop[[#This Row],[Military]]-TblPop[[#This Row],[Draftees]]-SUM(TblMili[[#This Row],[Train Unit 1]:[Train AM]]),(barracks_size + tech_8_3*TblTech[[#This Row],[8-3]])*TblConstr[[#This Row],[Tot Bar]])</f>
        <v>9159</v>
      </c>
      <c r="V5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8510</v>
      </c>
      <c r="W51" s="69" t="n">
        <f aca="false">MAX(-5%*TblPop[[#This Row],[Peasants]]-TblPop[[#This Row],[Draft Growth]],MIN(OFFSET(TblPop[[#This Row],[Net max]],1,0)-TblPop[[#This Row],[Peasants]]-TblPop[[#This Row],[Military]]-TblPop[[#This Row],[Draft Growth]],TblPop[[#This Row],[Modded Birth]]-TblPop[[#This Row],[Draft Growth]]))</f>
        <v>421</v>
      </c>
      <c r="X51" s="69" t="n">
        <f aca="false">ROUND(TblPop[[#This Row],[Raw Birth]]*(1+TblPop[[#This Row],[Growth]]),0)</f>
        <v>508</v>
      </c>
      <c r="Y51" s="69" t="n">
        <f aca="false">(TblPop[[#This Row],[Peasants]]-TblPop[[#This Row],[Draft Growth]])*raw_pop_growth</f>
        <v>258.9</v>
      </c>
      <c r="Z51" s="69" t="n">
        <f aca="false">IF(TblPop[[#This Row],[Military%]]&lt;TblMili[[#This Row],[Draftrate]],ROUND(TblPop[[#This Row],[Peasants]]*Constants!$B$55,0), 0)</f>
        <v>87</v>
      </c>
      <c r="AA51" s="132"/>
      <c r="AB51" s="109" t="n">
        <f aca="false">Overview!$I$16 + IF(Magic!AE51&gt;0,Constants!$F$78) + ROUND(6*(Construction!BM52+Construction!CK51)/IF(Explore!S52&gt;0,Construction!F52-20,Construction!F52),4) + tech_6_5_2*Techs!BJ51 + tech_8_4*Techs!BT51</f>
        <v>0.9631</v>
      </c>
      <c r="AC51" s="130" t="n">
        <f aca="false">(Overview!$I$15 + Imps!Z51+ tech_2_5*Techs!AB51 + tech_3_6*Techs!AM51 + tech_6_1*Techs!BJ51 + tech_6_5*Techs!BF51 + tech_7_3_2*Techs!BN51) * (1 + Production!O51/100*prestige_pop_multiplier) + Production!O51/100*prestige_pop_multiplier</f>
        <v>0.07625</v>
      </c>
    </row>
    <row r="52" customFormat="false" ht="12.75" hidden="false" customHeight="false" outlineLevel="0" collapsed="false">
      <c r="A52" s="128" t="n">
        <f aca="false">TblRezone[[#This Row],[Hour]]</f>
        <v>49</v>
      </c>
      <c r="B52" s="129" t="n">
        <f aca="false">TblImps[[#This Row],[Time]]</f>
        <v>45431.75</v>
      </c>
      <c r="C52" s="69" t="n">
        <f aca="false">OFFSET(TblPop[[#This Row],[Peasants]],-1,0)+OFFSET(TblPop[[#This Row],[Net Peasant]],-1,0)+TblMili[[#This Row],[Release Draft]]</f>
        <v>9138</v>
      </c>
      <c r="D52" s="69" t="n">
        <f aca="false">TblMili[[#This Row],[Military]]</f>
        <v>529</v>
      </c>
      <c r="E52" s="69" t="n">
        <f aca="false">TblMili[[#This Row],[Draftees]]</f>
        <v>529</v>
      </c>
      <c r="F52" s="69" t="n">
        <f aca="false">TblPop[[#This Row],[Peasants]]+TblPop[[#This Row],[Military]]</f>
        <v>9667</v>
      </c>
      <c r="G52" s="130" t="n">
        <f aca="false">TblPop[[#This Row],[Military]]/TblPop[[#This Row],[Total]]</f>
        <v>0.0547222509568636</v>
      </c>
      <c r="H52" s="95" t="n">
        <f aca="false">MIN(TblPop[[#This Row],[Peasants]],TblPop[[#This Row],[Jobs]])</f>
        <v>8715</v>
      </c>
      <c r="I52" s="130" t="n">
        <f aca="false">MIN(OFFSET(TblPop[[#This Row],[Jobs]],1,0)/TblPop[[#This Row],[Peasants]],1)</f>
        <v>0.95370978332239</v>
      </c>
      <c r="J52" s="95" t="n">
        <f aca="false">SUM(TblConstr[[#This Row],[Tot Alc]:[Tot GT]],TblConstr[[#This Row],[Tot Shr]:[Tot Doc]],TblConstr[[#This Row],[Dest Alc]:[Dest GT]],TblConstr[[#This Row],[Dest Shr]:[Dest Doc]])*building_employment + TblConstr[[#This Row],[Tot Fac]]*bonus_jobs_facts</f>
        <v>8715</v>
      </c>
      <c r="K52" s="131"/>
      <c r="L52" s="33" t="n">
        <f aca="false">TblPop[[#This Row],[Draftees]]</f>
        <v>529</v>
      </c>
      <c r="M52" s="33" t="n">
        <f aca="false">TblMili[[#This Row],[Unit 1]]</f>
        <v>0</v>
      </c>
      <c r="N52" s="33" t="n">
        <f aca="false">TblMili[[#This Row],[Unit 2]]</f>
        <v>0</v>
      </c>
      <c r="O52" s="33" t="n">
        <f aca="false">TblMili[[#This Row],[Unit 3]]</f>
        <v>0</v>
      </c>
      <c r="P52" s="33" t="n">
        <f aca="false">TblMili[[#This Row],[Unit 4]]</f>
        <v>0</v>
      </c>
      <c r="Q52" s="33" t="n">
        <f aca="false">TblMili[[#This Row],[Spies]]</f>
        <v>0</v>
      </c>
      <c r="R52" s="33" t="n">
        <f aca="false">TblMili[[#This Row],[Wizards]]</f>
        <v>0</v>
      </c>
      <c r="S52" s="33" t="n">
        <f aca="false">TblMili[[#This Row],[Archmages]]</f>
        <v>0</v>
      </c>
      <c r="T52" s="132"/>
      <c r="U52" s="69" t="n">
        <f aca="false">ROUND(TblPop[[#This Row],[Raw max]]*(1+TblPop[[#This Row],[Max pop]]),0)+MIN(TblPop[[#This Row],[Military]]-TblPop[[#This Row],[Draftees]]-SUM(TblMili[[#This Row],[Train Unit 1]:[Train AM]]),(barracks_size + tech_8_3*TblTech[[#This Row],[8-3]])*TblConstr[[#This Row],[Tot Bar]])</f>
        <v>9692</v>
      </c>
      <c r="V5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9005</v>
      </c>
      <c r="W52" s="69" t="n">
        <f aca="false">MAX(-5%*TblPop[[#This Row],[Peasants]]-TblPop[[#This Row],[Draft Growth]],MIN(OFFSET(TblPop[[#This Row],[Net max]],1,0)-TblPop[[#This Row],[Peasants]]-TblPop[[#This Row],[Military]]-TblPop[[#This Row],[Draft Growth]],TblPop[[#This Row],[Modded Birth]]-TblPop[[#This Row],[Draft Growth]]))</f>
        <v>435</v>
      </c>
      <c r="X52" s="69" t="n">
        <f aca="false">ROUND(TblPop[[#This Row],[Raw Birth]]*(1+TblPop[[#This Row],[Growth]]),0)</f>
        <v>526</v>
      </c>
      <c r="Y52" s="69" t="n">
        <f aca="false">(TblPop[[#This Row],[Peasants]]-TblPop[[#This Row],[Draft Growth]])*raw_pop_growth</f>
        <v>271.41</v>
      </c>
      <c r="Z52" s="69" t="n">
        <f aca="false">IF(TblPop[[#This Row],[Military%]]&lt;TblMili[[#This Row],[Draftrate]],ROUND(TblPop[[#This Row],[Peasants]]*Constants!$B$55,0), 0)</f>
        <v>91</v>
      </c>
      <c r="AA52" s="132"/>
      <c r="AB52" s="109" t="n">
        <f aca="false">Overview!$I$16 + IF(Magic!AE52&gt;0,Constants!$F$78) + ROUND(6*(Construction!BM53+Construction!CK52)/IF(Explore!S53&gt;0,Construction!F53-20,Construction!F53),4) + tech_6_5_2*Techs!BJ52 + tech_8_4*Techs!BT52</f>
        <v>0.9393</v>
      </c>
      <c r="AC52" s="130" t="n">
        <f aca="false">(Overview!$I$15 + Imps!Z52+ tech_2_5*Techs!AB52 + tech_3_6*Techs!AM52 + tech_6_1*Techs!BJ52 + tech_6_5*Techs!BF52 + tech_7_3_2*Techs!BN52) * (1 + Production!O52/100*prestige_pop_multiplier) + Production!O52/100*prestige_pop_multiplier</f>
        <v>0.07625</v>
      </c>
    </row>
    <row r="53" customFormat="false" ht="12.75" hidden="false" customHeight="false" outlineLevel="0" collapsed="false">
      <c r="A53" s="128" t="n">
        <f aca="false">TblRezone[[#This Row],[Hour]]</f>
        <v>50</v>
      </c>
      <c r="B53" s="129" t="n">
        <f aca="false">TblImps[[#This Row],[Time]]</f>
        <v>45431.7916666667</v>
      </c>
      <c r="C53" s="69" t="n">
        <f aca="false">OFFSET(TblPop[[#This Row],[Peasants]],-1,0)+OFFSET(TblPop[[#This Row],[Net Peasant]],-1,0)+TblMili[[#This Row],[Release Draft]]</f>
        <v>9573</v>
      </c>
      <c r="D53" s="69" t="n">
        <f aca="false">TblMili[[#This Row],[Military]]</f>
        <v>620</v>
      </c>
      <c r="E53" s="69" t="n">
        <f aca="false">TblMili[[#This Row],[Draftees]]</f>
        <v>620</v>
      </c>
      <c r="F53" s="69" t="n">
        <f aca="false">TblPop[[#This Row],[Peasants]]+TblPop[[#This Row],[Military]]</f>
        <v>10193</v>
      </c>
      <c r="G53" s="130" t="n">
        <f aca="false">TblPop[[#This Row],[Military]]/TblPop[[#This Row],[Total]]</f>
        <v>0.0608260570980084</v>
      </c>
      <c r="H53" s="95" t="n">
        <f aca="false">MIN(TblPop[[#This Row],[Peasants]],TblPop[[#This Row],[Jobs]])</f>
        <v>8715</v>
      </c>
      <c r="I53" s="130" t="n">
        <f aca="false">MIN(OFFSET(TblPop[[#This Row],[Jobs]],1,0)/TblPop[[#This Row],[Peasants]],1)</f>
        <v>0.910372923848323</v>
      </c>
      <c r="J53" s="95" t="n">
        <f aca="false">SUM(TblConstr[[#This Row],[Tot Alc]:[Tot GT]],TblConstr[[#This Row],[Tot Shr]:[Tot Doc]],TblConstr[[#This Row],[Dest Alc]:[Dest GT]],TblConstr[[#This Row],[Dest Shr]:[Dest Doc]])*building_employment + TblConstr[[#This Row],[Tot Fac]]*bonus_jobs_facts</f>
        <v>8715</v>
      </c>
      <c r="K53" s="131"/>
      <c r="L53" s="33" t="n">
        <f aca="false">TblPop[[#This Row],[Draftees]]</f>
        <v>620</v>
      </c>
      <c r="M53" s="33" t="n">
        <f aca="false">TblMili[[#This Row],[Unit 1]]</f>
        <v>0</v>
      </c>
      <c r="N53" s="33" t="n">
        <f aca="false">TblMili[[#This Row],[Unit 2]]</f>
        <v>0</v>
      </c>
      <c r="O53" s="33" t="n">
        <f aca="false">TblMili[[#This Row],[Unit 3]]</f>
        <v>0</v>
      </c>
      <c r="P53" s="33" t="n">
        <f aca="false">TblMili[[#This Row],[Unit 4]]</f>
        <v>0</v>
      </c>
      <c r="Q53" s="33" t="n">
        <f aca="false">TblMili[[#This Row],[Spies]]</f>
        <v>0</v>
      </c>
      <c r="R53" s="33" t="n">
        <f aca="false">TblMili[[#This Row],[Wizards]]</f>
        <v>0</v>
      </c>
      <c r="S53" s="33" t="n">
        <f aca="false">TblMili[[#This Row],[Archmages]]</f>
        <v>0</v>
      </c>
      <c r="T53" s="132"/>
      <c r="U53" s="69" t="n">
        <f aca="false">ROUND(TblPop[[#This Row],[Raw max]]*(1+TblPop[[#This Row],[Max pop]]),0)+MIN(TblPop[[#This Row],[Military]]-TblPop[[#This Row],[Draftees]]-SUM(TblMili[[#This Row],[Train Unit 1]:[Train AM]]),(barracks_size + tech_8_3*TblTech[[#This Row],[8-3]])*TblConstr[[#This Row],[Tot Bar]])</f>
        <v>10224</v>
      </c>
      <c r="V5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9500</v>
      </c>
      <c r="W53" s="69" t="n">
        <f aca="false">MAX(-5%*TblPop[[#This Row],[Peasants]]-TblPop[[#This Row],[Draft Growth]],MIN(OFFSET(TblPop[[#This Row],[Net max]],1,0)-TblPop[[#This Row],[Peasants]]-TblPop[[#This Row],[Military]]-TblPop[[#This Row],[Draft Growth]],TblPop[[#This Row],[Modded Birth]]-TblPop[[#This Row],[Draft Growth]]))</f>
        <v>151</v>
      </c>
      <c r="X53" s="69" t="n">
        <f aca="false">ROUND(TblPop[[#This Row],[Raw Birth]]*(1+TblPop[[#This Row],[Growth]]),0)</f>
        <v>407</v>
      </c>
      <c r="Y53" s="69" t="n">
        <f aca="false">(TblPop[[#This Row],[Peasants]]-TblPop[[#This Row],[Draft Growth]])*raw_pop_growth</f>
        <v>284.31</v>
      </c>
      <c r="Z53" s="69" t="n">
        <f aca="false">IF(TblPop[[#This Row],[Military%]]&lt;TblMili[[#This Row],[Draftrate]],ROUND(TblPop[[#This Row],[Peasants]]*Constants!$B$55,0), 0)</f>
        <v>96</v>
      </c>
      <c r="AA53" s="132"/>
      <c r="AB53" s="109" t="n">
        <f aca="false">Overview!$I$16 + IF(Magic!AE53&gt;0,Constants!$F$78) + ROUND(6*(Construction!BM54+Construction!CK53)/IF(Explore!S54&gt;0,Construction!F54-20,Construction!F54),4) + tech_6_5_2*Techs!BJ53 + tech_8_4*Techs!BT53</f>
        <v>0.4299</v>
      </c>
      <c r="AC53" s="130" t="n">
        <f aca="false">(Overview!$I$15 + Imps!Z53+ tech_2_5*Techs!AB53 + tech_3_6*Techs!AM53 + tech_6_1*Techs!BJ53 + tech_6_5*Techs!BF53 + tech_7_3_2*Techs!BN53) * (1 + Production!O53/100*prestige_pop_multiplier) + Production!O53/100*prestige_pop_multiplier</f>
        <v>0.07625</v>
      </c>
    </row>
    <row r="54" customFormat="false" ht="12.75" hidden="false" customHeight="false" outlineLevel="0" collapsed="false">
      <c r="A54" s="128" t="n">
        <f aca="false">TblRezone[[#This Row],[Hour]]</f>
        <v>51</v>
      </c>
      <c r="B54" s="129" t="n">
        <f aca="false">TblImps[[#This Row],[Time]]</f>
        <v>45431.8333333333</v>
      </c>
      <c r="C54" s="69" t="n">
        <f aca="false">OFFSET(TblPop[[#This Row],[Peasants]],-1,0)+OFFSET(TblPop[[#This Row],[Net Peasant]],-1,0)+TblMili[[#This Row],[Release Draft]]</f>
        <v>9724</v>
      </c>
      <c r="D54" s="69" t="n">
        <f aca="false">TblMili[[#This Row],[Military]]</f>
        <v>716</v>
      </c>
      <c r="E54" s="69" t="n">
        <f aca="false">TblMili[[#This Row],[Draftees]]</f>
        <v>716</v>
      </c>
      <c r="F54" s="69" t="n">
        <f aca="false">TblPop[[#This Row],[Peasants]]+TblPop[[#This Row],[Military]]</f>
        <v>10440</v>
      </c>
      <c r="G54" s="130" t="n">
        <f aca="false">TblPop[[#This Row],[Military]]/TblPop[[#This Row],[Total]]</f>
        <v>0.0685823754789272</v>
      </c>
      <c r="H54" s="95" t="n">
        <f aca="false">MIN(TblPop[[#This Row],[Peasants]],TblPop[[#This Row],[Jobs]])</f>
        <v>8715</v>
      </c>
      <c r="I54" s="130" t="n">
        <f aca="false">MIN(OFFSET(TblPop[[#This Row],[Jobs]],1,0)/TblPop[[#This Row],[Peasants]],1)</f>
        <v>0.896236116824352</v>
      </c>
      <c r="J54" s="95" t="n">
        <f aca="false">SUM(TblConstr[[#This Row],[Tot Alc]:[Tot GT]],TblConstr[[#This Row],[Tot Shr]:[Tot Doc]],TblConstr[[#This Row],[Dest Alc]:[Dest GT]],TblConstr[[#This Row],[Dest Shr]:[Dest Doc]])*building_employment + TblConstr[[#This Row],[Tot Fac]]*bonus_jobs_facts</f>
        <v>8715</v>
      </c>
      <c r="K54" s="131"/>
      <c r="L54" s="33" t="n">
        <f aca="false">TblPop[[#This Row],[Draftees]]</f>
        <v>716</v>
      </c>
      <c r="M54" s="33" t="n">
        <f aca="false">TblMili[[#This Row],[Unit 1]]</f>
        <v>0</v>
      </c>
      <c r="N54" s="33" t="n">
        <f aca="false">TblMili[[#This Row],[Unit 2]]</f>
        <v>0</v>
      </c>
      <c r="O54" s="33" t="n">
        <f aca="false">TblMili[[#This Row],[Unit 3]]</f>
        <v>0</v>
      </c>
      <c r="P54" s="33" t="n">
        <f aca="false">TblMili[[#This Row],[Unit 4]]</f>
        <v>0</v>
      </c>
      <c r="Q54" s="33" t="n">
        <f aca="false">TblMili[[#This Row],[Spies]]</f>
        <v>0</v>
      </c>
      <c r="R54" s="33" t="n">
        <f aca="false">TblMili[[#This Row],[Wizards]]</f>
        <v>0</v>
      </c>
      <c r="S54" s="33" t="n">
        <f aca="false">TblMili[[#This Row],[Archmages]]</f>
        <v>0</v>
      </c>
      <c r="T54" s="132"/>
      <c r="U54" s="69" t="n">
        <f aca="false">ROUND(TblPop[[#This Row],[Raw max]]*(1+TblPop[[#This Row],[Max pop]]),0)+MIN(TblPop[[#This Row],[Military]]-TblPop[[#This Row],[Draftees]]-SUM(TblMili[[#This Row],[Train Unit 1]:[Train AM]]),(barracks_size + tech_8_3*TblTech[[#This Row],[8-3]])*TblConstr[[#This Row],[Tot Bar]])</f>
        <v>10440</v>
      </c>
      <c r="V5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9700</v>
      </c>
      <c r="W54" s="69" t="n">
        <f aca="false">MAX(-5%*TblPop[[#This Row],[Peasants]]-TblPop[[#This Row],[Draft Growth]],MIN(OFFSET(TblPop[[#This Row],[Net max]],1,0)-TblPop[[#This Row],[Peasants]]-TblPop[[#This Row],[Military]]-TblPop[[#This Row],[Draft Growth]],TblPop[[#This Row],[Modded Birth]]-TblPop[[#This Row],[Draft Growth]]))</f>
        <v>123</v>
      </c>
      <c r="X54" s="69" t="n">
        <f aca="false">ROUND(TblPop[[#This Row],[Raw Birth]]*(1+TblPop[[#This Row],[Growth]]),0)</f>
        <v>411</v>
      </c>
      <c r="Y54" s="69" t="n">
        <f aca="false">(TblPop[[#This Row],[Peasants]]-TblPop[[#This Row],[Draft Growth]])*raw_pop_growth</f>
        <v>288.81</v>
      </c>
      <c r="Z54" s="69" t="n">
        <f aca="false">IF(TblPop[[#This Row],[Military%]]&lt;TblMili[[#This Row],[Draftrate]],ROUND(TblPop[[#This Row],[Peasants]]*Constants!$B$55,0), 0)</f>
        <v>97</v>
      </c>
      <c r="AA54" s="132"/>
      <c r="AB54" s="109" t="n">
        <f aca="false">Overview!$I$16 + IF(Magic!AE54&gt;0,Constants!$F$78) + ROUND(6*(Construction!BM55+Construction!CK54)/IF(Explore!S55&gt;0,Construction!F55-20,Construction!F55),4) + tech_6_5_2*Techs!BJ54 + tech_8_4*Techs!BT54</f>
        <v>0.4215</v>
      </c>
      <c r="AC54" s="130" t="n">
        <f aca="false">(Overview!$I$15 + Imps!Z54+ tech_2_5*Techs!AB54 + tech_3_6*Techs!AM54 + tech_6_1*Techs!BJ54 + tech_6_5*Techs!BF54 + tech_7_3_2*Techs!BN54) * (1 + Production!O54/100*prestige_pop_multiplier) + Production!O54/100*prestige_pop_multiplier</f>
        <v>0.07625</v>
      </c>
    </row>
    <row r="55" customFormat="false" ht="12.75" hidden="false" customHeight="false" outlineLevel="0" collapsed="false">
      <c r="A55" s="128" t="n">
        <f aca="false">TblRezone[[#This Row],[Hour]]</f>
        <v>52</v>
      </c>
      <c r="B55" s="129" t="n">
        <f aca="false">TblImps[[#This Row],[Time]]</f>
        <v>45431.875</v>
      </c>
      <c r="C55" s="69" t="n">
        <f aca="false">OFFSET(TblPop[[#This Row],[Peasants]],-1,0)+OFFSET(TblPop[[#This Row],[Net Peasant]],-1,0)+TblMili[[#This Row],[Release Draft]]</f>
        <v>9847</v>
      </c>
      <c r="D55" s="69" t="n">
        <f aca="false">TblMili[[#This Row],[Military]]</f>
        <v>813</v>
      </c>
      <c r="E55" s="69" t="n">
        <f aca="false">TblMili[[#This Row],[Draftees]]</f>
        <v>813</v>
      </c>
      <c r="F55" s="69" t="n">
        <f aca="false">TblPop[[#This Row],[Peasants]]+TblPop[[#This Row],[Military]]</f>
        <v>10660</v>
      </c>
      <c r="G55" s="130" t="n">
        <f aca="false">TblPop[[#This Row],[Military]]/TblPop[[#This Row],[Total]]</f>
        <v>0.0762664165103189</v>
      </c>
      <c r="H55" s="95" t="n">
        <f aca="false">MIN(TblPop[[#This Row],[Peasants]],TblPop[[#This Row],[Jobs]])</f>
        <v>8715</v>
      </c>
      <c r="I55" s="130" t="n">
        <f aca="false">MIN(OFFSET(TblPop[[#This Row],[Jobs]],1,0)/TblPop[[#This Row],[Peasants]],1)</f>
        <v>1</v>
      </c>
      <c r="J55" s="95" t="n">
        <f aca="false">SUM(TblConstr[[#This Row],[Tot Alc]:[Tot GT]],TblConstr[[#This Row],[Tot Shr]:[Tot Doc]],TblConstr[[#This Row],[Dest Alc]:[Dest GT]],TblConstr[[#This Row],[Dest Shr]:[Dest Doc]])*building_employment + TblConstr[[#This Row],[Tot Fac]]*bonus_jobs_facts</f>
        <v>8715</v>
      </c>
      <c r="K55" s="131"/>
      <c r="L55" s="33" t="n">
        <f aca="false">TblPop[[#This Row],[Draftees]]</f>
        <v>813</v>
      </c>
      <c r="M55" s="33" t="n">
        <f aca="false">TblMili[[#This Row],[Unit 1]]</f>
        <v>0</v>
      </c>
      <c r="N55" s="33" t="n">
        <f aca="false">TblMili[[#This Row],[Unit 2]]</f>
        <v>0</v>
      </c>
      <c r="O55" s="33" t="n">
        <f aca="false">TblMili[[#This Row],[Unit 3]]</f>
        <v>0</v>
      </c>
      <c r="P55" s="33" t="n">
        <f aca="false">TblMili[[#This Row],[Unit 4]]</f>
        <v>0</v>
      </c>
      <c r="Q55" s="33" t="n">
        <f aca="false">TblMili[[#This Row],[Spies]]</f>
        <v>0</v>
      </c>
      <c r="R55" s="33" t="n">
        <f aca="false">TblMili[[#This Row],[Wizards]]</f>
        <v>0</v>
      </c>
      <c r="S55" s="33" t="n">
        <f aca="false">TblMili[[#This Row],[Archmages]]</f>
        <v>0</v>
      </c>
      <c r="T55" s="132"/>
      <c r="U55" s="69" t="n">
        <f aca="false">ROUND(TblPop[[#This Row],[Raw max]]*(1+TblPop[[#This Row],[Max pop]]),0)+MIN(TblPop[[#This Row],[Military]]-TblPop[[#This Row],[Draftees]]-SUM(TblMili[[#This Row],[Train Unit 1]:[Train AM]]),(barracks_size + tech_8_3*TblTech[[#This Row],[8-3]])*TblConstr[[#This Row],[Tot Bar]])</f>
        <v>10660</v>
      </c>
      <c r="V5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9905</v>
      </c>
      <c r="W55" s="69" t="n">
        <f aca="false">MAX(-5%*TblPop[[#This Row],[Peasants]]-TblPop[[#This Row],[Draft Growth]],MIN(OFFSET(TblPop[[#This Row],[Net max]],1,0)-TblPop[[#This Row],[Peasants]]-TblPop[[#This Row],[Military]]-TblPop[[#This Row],[Draft Growth]],TblPop[[#This Row],[Modded Birth]]-TblPop[[#This Row],[Draft Growth]]))</f>
        <v>101</v>
      </c>
      <c r="X55" s="69" t="n">
        <f aca="false">ROUND(TblPop[[#This Row],[Raw Birth]]*(1+TblPop[[#This Row],[Growth]]),0)</f>
        <v>414</v>
      </c>
      <c r="Y55" s="69" t="n">
        <f aca="false">(TblPop[[#This Row],[Peasants]]-TblPop[[#This Row],[Draft Growth]])*raw_pop_growth</f>
        <v>292.47</v>
      </c>
      <c r="Z55" s="69" t="n">
        <f aca="false">IF(TblPop[[#This Row],[Military%]]&lt;TblMili[[#This Row],[Draftrate]],ROUND(TblPop[[#This Row],[Peasants]]*Constants!$B$55,0), 0)</f>
        <v>98</v>
      </c>
      <c r="AA55" s="132"/>
      <c r="AB55" s="109" t="n">
        <f aca="false">Overview!$I$16 + IF(Magic!AE55&gt;0,Constants!$F$78) + ROUND(6*(Construction!BM56+Construction!CK55)/IF(Explore!S56&gt;0,Construction!F56-20,Construction!F56),4) + tech_6_5_2*Techs!BJ55 + tech_8_4*Techs!BT55</f>
        <v>0.4147</v>
      </c>
      <c r="AC55" s="130" t="n">
        <f aca="false">(Overview!$I$15 + Imps!Z55+ tech_2_5*Techs!AB55 + tech_3_6*Techs!AM55 + tech_6_1*Techs!BJ55 + tech_6_5*Techs!BF55 + tech_7_3_2*Techs!BN55) * (1 + Production!O55/100*prestige_pop_multiplier) + Production!O55/100*prestige_pop_multiplier</f>
        <v>0.07625</v>
      </c>
    </row>
    <row r="56" customFormat="false" ht="12.75" hidden="false" customHeight="false" outlineLevel="0" collapsed="false">
      <c r="A56" s="128" t="n">
        <f aca="false">TblRezone[[#This Row],[Hour]]</f>
        <v>53</v>
      </c>
      <c r="B56" s="129" t="n">
        <f aca="false">TblImps[[#This Row],[Time]]</f>
        <v>45431.9166666667</v>
      </c>
      <c r="C56" s="69" t="n">
        <f aca="false">OFFSET(TblPop[[#This Row],[Peasants]],-1,0)+OFFSET(TblPop[[#This Row],[Net Peasant]],-1,0)+TblMili[[#This Row],[Release Draft]]</f>
        <v>9948</v>
      </c>
      <c r="D56" s="69" t="n">
        <f aca="false">TblMili[[#This Row],[Military]]</f>
        <v>911</v>
      </c>
      <c r="E56" s="69" t="n">
        <f aca="false">TblMili[[#This Row],[Draftees]]</f>
        <v>911</v>
      </c>
      <c r="F56" s="69" t="n">
        <f aca="false">TblPop[[#This Row],[Peasants]]+TblPop[[#This Row],[Military]]</f>
        <v>10859</v>
      </c>
      <c r="G56" s="130" t="n">
        <f aca="false">TblPop[[#This Row],[Military]]/TblPop[[#This Row],[Total]]</f>
        <v>0.0838935445252786</v>
      </c>
      <c r="H56" s="95" t="n">
        <f aca="false">MIN(TblPop[[#This Row],[Peasants]],TblPop[[#This Row],[Jobs]])</f>
        <v>9948</v>
      </c>
      <c r="I56" s="130" t="n">
        <f aca="false">MIN(OFFSET(TblPop[[#This Row],[Jobs]],1,0)/TblPop[[#This Row],[Peasants]],1)</f>
        <v>1</v>
      </c>
      <c r="J56" s="95" t="n">
        <f aca="false">SUM(TblConstr[[#This Row],[Tot Alc]:[Tot GT]],TblConstr[[#This Row],[Tot Shr]:[Tot Doc]],TblConstr[[#This Row],[Dest Alc]:[Dest GT]],TblConstr[[#This Row],[Dest Shr]:[Dest Doc]])*building_employment + TblConstr[[#This Row],[Tot Fac]]*bonus_jobs_facts</f>
        <v>10355</v>
      </c>
      <c r="K56" s="131"/>
      <c r="L56" s="33" t="n">
        <f aca="false">TblPop[[#This Row],[Draftees]]</f>
        <v>911</v>
      </c>
      <c r="M56" s="33" t="n">
        <f aca="false">TblMili[[#This Row],[Unit 1]]</f>
        <v>0</v>
      </c>
      <c r="N56" s="33" t="n">
        <f aca="false">TblMili[[#This Row],[Unit 2]]</f>
        <v>0</v>
      </c>
      <c r="O56" s="33" t="n">
        <f aca="false">TblMili[[#This Row],[Unit 3]]</f>
        <v>0</v>
      </c>
      <c r="P56" s="33" t="n">
        <f aca="false">TblMili[[#This Row],[Unit 4]]</f>
        <v>0</v>
      </c>
      <c r="Q56" s="33" t="n">
        <f aca="false">TblMili[[#This Row],[Spies]]</f>
        <v>0</v>
      </c>
      <c r="R56" s="33" t="n">
        <f aca="false">TblMili[[#This Row],[Wizards]]</f>
        <v>0</v>
      </c>
      <c r="S56" s="33" t="n">
        <f aca="false">TblMili[[#This Row],[Archmages]]</f>
        <v>0</v>
      </c>
      <c r="T56" s="132"/>
      <c r="U56" s="69" t="n">
        <f aca="false">ROUND(TblPop[[#This Row],[Raw max]]*(1+TblPop[[#This Row],[Max pop]]),0)+MIN(TblPop[[#This Row],[Military]]-TblPop[[#This Row],[Draftees]]-SUM(TblMili[[#This Row],[Train Unit 1]:[Train AM]]),(barracks_size + tech_8_3*TblTech[[#This Row],[8-3]])*TblConstr[[#This Row],[Tot Bar]])</f>
        <v>10859</v>
      </c>
      <c r="V5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10090</v>
      </c>
      <c r="W56" s="69" t="n">
        <f aca="false">MAX(-5%*TblPop[[#This Row],[Peasants]]-TblPop[[#This Row],[Draft Growth]],MIN(OFFSET(TblPop[[#This Row],[Net max]],1,0)-TblPop[[#This Row],[Peasants]]-TblPop[[#This Row],[Military]]-TblPop[[#This Row],[Draft Growth]],TblPop[[#This Row],[Modded Birth]]-TblPop[[#This Row],[Draft Growth]]))</f>
        <v>84</v>
      </c>
      <c r="X56" s="69" t="n">
        <f aca="false">ROUND(TblPop[[#This Row],[Raw Birth]]*(1+TblPop[[#This Row],[Growth]]),0)</f>
        <v>416</v>
      </c>
      <c r="Y56" s="69" t="n">
        <f aca="false">(TblPop[[#This Row],[Peasants]]-TblPop[[#This Row],[Draft Growth]])*raw_pop_growth</f>
        <v>295.47</v>
      </c>
      <c r="Z56" s="69" t="n">
        <f aca="false">IF(TblPop[[#This Row],[Military%]]&lt;TblMili[[#This Row],[Draftrate]],ROUND(TblPop[[#This Row],[Peasants]]*Constants!$B$55,0), 0)</f>
        <v>99</v>
      </c>
      <c r="AA56" s="132"/>
      <c r="AB56" s="109" t="n">
        <f aca="false">Overview!$I$16 + IF(Magic!AE56&gt;0,Constants!$F$78) + ROUND(6*(Construction!BM57+Construction!CK56)/IF(Explore!S57&gt;0,Construction!F57-20,Construction!F57),4) + tech_6_5_2*Techs!BJ56 + tech_8_4*Techs!BT56</f>
        <v>0.4075</v>
      </c>
      <c r="AC56" s="130" t="n">
        <f aca="false">(Overview!$I$15 + Imps!Z56+ tech_2_5*Techs!AB56 + tech_3_6*Techs!AM56 + tech_6_1*Techs!BJ56 + tech_6_5*Techs!BF56 + tech_7_3_2*Techs!BN56) * (1 + Production!O56/100*prestige_pop_multiplier) + Production!O56/100*prestige_pop_multiplier</f>
        <v>0.07625</v>
      </c>
    </row>
    <row r="57" customFormat="false" ht="12.75" hidden="false" customHeight="false" outlineLevel="0" collapsed="false">
      <c r="A57" s="128" t="n">
        <f aca="false">TblRezone[[#This Row],[Hour]]</f>
        <v>54</v>
      </c>
      <c r="B57" s="129" t="n">
        <f aca="false">TblImps[[#This Row],[Time]]</f>
        <v>45431.9583333333</v>
      </c>
      <c r="C57" s="69" t="n">
        <f aca="false">OFFSET(TblPop[[#This Row],[Peasants]],-1,0)+OFFSET(TblPop[[#This Row],[Net Peasant]],-1,0)+TblMili[[#This Row],[Release Draft]]</f>
        <v>10032</v>
      </c>
      <c r="D57" s="69" t="n">
        <f aca="false">TblMili[[#This Row],[Military]]</f>
        <v>1010</v>
      </c>
      <c r="E57" s="69" t="n">
        <f aca="false">TblMili[[#This Row],[Draftees]]</f>
        <v>1010</v>
      </c>
      <c r="F57" s="69" t="n">
        <f aca="false">TblPop[[#This Row],[Peasants]]+TblPop[[#This Row],[Military]]</f>
        <v>11042</v>
      </c>
      <c r="G57" s="130" t="n">
        <f aca="false">TblPop[[#This Row],[Military]]/TblPop[[#This Row],[Total]]</f>
        <v>0.091468936786814</v>
      </c>
      <c r="H57" s="95" t="n">
        <f aca="false">MIN(TblPop[[#This Row],[Peasants]],TblPop[[#This Row],[Jobs]])</f>
        <v>10032</v>
      </c>
      <c r="I57" s="130" t="n">
        <f aca="false">MIN(OFFSET(TblPop[[#This Row],[Jobs]],1,0)/TblPop[[#This Row],[Peasants]],1)</f>
        <v>1</v>
      </c>
      <c r="J57" s="95" t="n">
        <f aca="false">SUM(TblConstr[[#This Row],[Tot Alc]:[Tot GT]],TblConstr[[#This Row],[Tot Shr]:[Tot Doc]],TblConstr[[#This Row],[Dest Alc]:[Dest GT]],TblConstr[[#This Row],[Dest Shr]:[Dest Doc]])*building_employment + TblConstr[[#This Row],[Tot Fac]]*bonus_jobs_facts</f>
        <v>10535</v>
      </c>
      <c r="K57" s="131"/>
      <c r="L57" s="33" t="n">
        <f aca="false">TblPop[[#This Row],[Draftees]]</f>
        <v>1010</v>
      </c>
      <c r="M57" s="33" t="n">
        <f aca="false">TblMili[[#This Row],[Unit 1]]</f>
        <v>0</v>
      </c>
      <c r="N57" s="33" t="n">
        <f aca="false">TblMili[[#This Row],[Unit 2]]</f>
        <v>0</v>
      </c>
      <c r="O57" s="33" t="n">
        <f aca="false">TblMili[[#This Row],[Unit 3]]</f>
        <v>0</v>
      </c>
      <c r="P57" s="33" t="n">
        <f aca="false">TblMili[[#This Row],[Unit 4]]</f>
        <v>0</v>
      </c>
      <c r="Q57" s="33" t="n">
        <f aca="false">TblMili[[#This Row],[Spies]]</f>
        <v>0</v>
      </c>
      <c r="R57" s="33" t="n">
        <f aca="false">TblMili[[#This Row],[Wizards]]</f>
        <v>0</v>
      </c>
      <c r="S57" s="33" t="n">
        <f aca="false">TblMili[[#This Row],[Archmages]]</f>
        <v>0</v>
      </c>
      <c r="T57" s="132"/>
      <c r="U57" s="69" t="n">
        <f aca="false">ROUND(TblPop[[#This Row],[Raw max]]*(1+TblPop[[#This Row],[Max pop]]),0)+MIN(TblPop[[#This Row],[Military]]-TblPop[[#This Row],[Draftees]]-SUM(TblMili[[#This Row],[Train Unit 1]:[Train AM]]),(barracks_size + tech_8_3*TblTech[[#This Row],[8-3]])*TblConstr[[#This Row],[Tot Bar]])</f>
        <v>11042</v>
      </c>
      <c r="V5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57" s="69" t="n">
        <f aca="false">MAX(-5%*TblPop[[#This Row],[Peasants]]-TblPop[[#This Row],[Draft Growth]],MIN(OFFSET(TblPop[[#This Row],[Net max]],1,0)-TblPop[[#This Row],[Peasants]]-TblPop[[#This Row],[Military]]-TblPop[[#This Row],[Draft Growth]],TblPop[[#This Row],[Modded Birth]]-TblPop[[#This Row],[Draft Growth]]))</f>
        <v>73</v>
      </c>
      <c r="X57" s="69" t="n">
        <f aca="false">ROUND(TblPop[[#This Row],[Raw Birth]]*(1+TblPop[[#This Row],[Growth]]),0)</f>
        <v>418</v>
      </c>
      <c r="Y57" s="69" t="n">
        <f aca="false">(TblPop[[#This Row],[Peasants]]-TblPop[[#This Row],[Draft Growth]])*raw_pop_growth</f>
        <v>297.96</v>
      </c>
      <c r="Z57" s="69" t="n">
        <f aca="false">IF(TblPop[[#This Row],[Military%]]&lt;TblMili[[#This Row],[Draftrate]],ROUND(TblPop[[#This Row],[Peasants]]*Constants!$B$55,0), 0)</f>
        <v>100</v>
      </c>
      <c r="AA57" s="132"/>
      <c r="AB57" s="109" t="n">
        <f aca="false">Overview!$I$16 + IF(Magic!AE57&gt;0,Constants!$F$78) + ROUND(6*(Construction!BM58+Construction!CK57)/IF(Explore!S58&gt;0,Construction!F58-20,Construction!F58),4) + tech_6_5_2*Techs!BJ57 + tech_8_4*Techs!BT57</f>
        <v>0.4029</v>
      </c>
      <c r="AC57" s="130" t="n">
        <f aca="false">(Overview!$I$15 + Imps!Z57+ tech_2_5*Techs!AB57 + tech_3_6*Techs!AM57 + tech_6_1*Techs!BJ57 + tech_6_5*Techs!BF57 + tech_7_3_2*Techs!BN57) * (1 + Production!O57/100*prestige_pop_multiplier) + Production!O57/100*prestige_pop_multiplier</f>
        <v>0.07625</v>
      </c>
    </row>
    <row r="58" customFormat="false" ht="12.75" hidden="false" customHeight="false" outlineLevel="0" collapsed="false">
      <c r="A58" s="128" t="n">
        <f aca="false">TblRezone[[#This Row],[Hour]]</f>
        <v>55</v>
      </c>
      <c r="B58" s="129" t="n">
        <f aca="false">TblImps[[#This Row],[Time]]</f>
        <v>45432</v>
      </c>
      <c r="C58" s="69" t="n">
        <f aca="false">OFFSET(TblPop[[#This Row],[Peasants]],-1,0)+OFFSET(TblPop[[#This Row],[Net Peasant]],-1,0)+TblMili[[#This Row],[Release Draft]]</f>
        <v>10105</v>
      </c>
      <c r="D58" s="69" t="n">
        <f aca="false">TblMili[[#This Row],[Military]]</f>
        <v>1110</v>
      </c>
      <c r="E58" s="69" t="n">
        <f aca="false">TblMili[[#This Row],[Draftees]]</f>
        <v>1110</v>
      </c>
      <c r="F58" s="69" t="n">
        <f aca="false">TblPop[[#This Row],[Peasants]]+TblPop[[#This Row],[Military]]</f>
        <v>11215</v>
      </c>
      <c r="G58" s="130" t="n">
        <f aca="false">TblPop[[#This Row],[Military]]/TblPop[[#This Row],[Total]]</f>
        <v>0.098974587605885</v>
      </c>
      <c r="H58" s="95" t="n">
        <f aca="false">MIN(TblPop[[#This Row],[Peasants]],TblPop[[#This Row],[Jobs]])</f>
        <v>10105</v>
      </c>
      <c r="I58" s="130" t="n">
        <f aca="false">MIN(OFFSET(TblPop[[#This Row],[Jobs]],1,0)/TblPop[[#This Row],[Peasants]],1)</f>
        <v>1</v>
      </c>
      <c r="J58" s="95" t="n">
        <f aca="false">SUM(TblConstr[[#This Row],[Tot Alc]:[Tot GT]],TblConstr[[#This Row],[Tot Shr]:[Tot Doc]],TblConstr[[#This Row],[Dest Alc]:[Dest GT]],TblConstr[[#This Row],[Dest Shr]:[Dest Doc]])*building_employment + TblConstr[[#This Row],[Tot Fac]]*bonus_jobs_facts</f>
        <v>10735</v>
      </c>
      <c r="K58" s="131"/>
      <c r="L58" s="33" t="n">
        <f aca="false">TblPop[[#This Row],[Draftees]]</f>
        <v>1110</v>
      </c>
      <c r="M58" s="33" t="n">
        <f aca="false">TblMili[[#This Row],[Unit 1]]</f>
        <v>0</v>
      </c>
      <c r="N58" s="33" t="n">
        <f aca="false">TblMili[[#This Row],[Unit 2]]</f>
        <v>0</v>
      </c>
      <c r="O58" s="33" t="n">
        <f aca="false">TblMili[[#This Row],[Unit 3]]</f>
        <v>0</v>
      </c>
      <c r="P58" s="33" t="n">
        <f aca="false">TblMili[[#This Row],[Unit 4]]</f>
        <v>0</v>
      </c>
      <c r="Q58" s="33" t="n">
        <f aca="false">TblMili[[#This Row],[Spies]]</f>
        <v>0</v>
      </c>
      <c r="R58" s="33" t="n">
        <f aca="false">TblMili[[#This Row],[Wizards]]</f>
        <v>0</v>
      </c>
      <c r="S58" s="33" t="n">
        <f aca="false">TblMili[[#This Row],[Archmages]]</f>
        <v>0</v>
      </c>
      <c r="T58" s="132"/>
      <c r="U58" s="69" t="n">
        <f aca="false">ROUND(TblPop[[#This Row],[Raw max]]*(1+TblPop[[#This Row],[Max pop]]),0)+MIN(TblPop[[#This Row],[Military]]-TblPop[[#This Row],[Draftees]]-SUM(TblMili[[#This Row],[Train Unit 1]:[Train AM]]),(barracks_size + tech_8_3*TblTech[[#This Row],[8-3]])*TblConstr[[#This Row],[Tot Bar]])</f>
        <v>11215</v>
      </c>
      <c r="V5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10420</v>
      </c>
      <c r="W58" s="69" t="n">
        <f aca="false">MAX(-5%*TblPop[[#This Row],[Peasants]]-TblPop[[#This Row],[Draft Growth]],MIN(OFFSET(TblPop[[#This Row],[Net max]],1,0)-TblPop[[#This Row],[Peasants]]-TblPop[[#This Row],[Military]]-TblPop[[#This Row],[Draft Growth]],TblPop[[#This Row],[Modded Birth]]-TblPop[[#This Row],[Draft Growth]]))</f>
        <v>-15</v>
      </c>
      <c r="X58" s="69" t="n">
        <f aca="false">ROUND(TblPop[[#This Row],[Raw Birth]]*(1+TblPop[[#This Row],[Growth]]),0)</f>
        <v>421</v>
      </c>
      <c r="Y58" s="69" t="n">
        <f aca="false">(TblPop[[#This Row],[Peasants]]-TblPop[[#This Row],[Draft Growth]])*raw_pop_growth</f>
        <v>300.12</v>
      </c>
      <c r="Z58" s="69" t="n">
        <f aca="false">IF(TblPop[[#This Row],[Military%]]&lt;TblMili[[#This Row],[Draftrate]],ROUND(TblPop[[#This Row],[Peasants]]*Constants!$B$55,0), 0)</f>
        <v>101</v>
      </c>
      <c r="AA58" s="132"/>
      <c r="AB58" s="109" t="n">
        <f aca="false">Overview!$I$16 + IF(Magic!AE58&gt;0,Constants!$F$78) + ROUND(6*(Construction!BM59+Construction!CK58)/IF(Explore!S59&gt;0,Construction!F59-20,Construction!F59),4) + tech_6_5_2*Techs!BJ58 + tech_8_4*Techs!BT58</f>
        <v>0.4029</v>
      </c>
      <c r="AC58" s="130" t="n">
        <f aca="false">(Overview!$I$15 + Imps!Z58+ tech_2_5*Techs!AB58 + tech_3_6*Techs!AM58 + tech_6_1*Techs!BJ58 + tech_6_5*Techs!BF58 + tech_7_3_2*Techs!BN58) * (1 + Production!O58/100*prestige_pop_multiplier) + Production!O58/100*prestige_pop_multiplier</f>
        <v>0.07625</v>
      </c>
    </row>
    <row r="59" customFormat="false" ht="12.75" hidden="false" customHeight="false" outlineLevel="0" collapsed="false">
      <c r="A59" s="128" t="n">
        <f aca="false">TblRezone[[#This Row],[Hour]]</f>
        <v>56</v>
      </c>
      <c r="B59" s="129" t="n">
        <f aca="false">TblImps[[#This Row],[Time]]</f>
        <v>45432.0416666667</v>
      </c>
      <c r="C59" s="69" t="n">
        <f aca="false">OFFSET(TblPop[[#This Row],[Peasants]],-1,0)+OFFSET(TblPop[[#This Row],[Net Peasant]],-1,0)+TblMili[[#This Row],[Release Draft]]</f>
        <v>10090</v>
      </c>
      <c r="D59" s="69" t="n">
        <f aca="false">TblMili[[#This Row],[Military]]</f>
        <v>1211</v>
      </c>
      <c r="E59" s="69" t="n">
        <f aca="false">TblMili[[#This Row],[Draftees]]</f>
        <v>1211</v>
      </c>
      <c r="F59" s="69" t="n">
        <f aca="false">TblPop[[#This Row],[Peasants]]+TblPop[[#This Row],[Military]]</f>
        <v>11301</v>
      </c>
      <c r="G59" s="130" t="n">
        <f aca="false">TblPop[[#This Row],[Military]]/TblPop[[#This Row],[Total]]</f>
        <v>0.107158658525794</v>
      </c>
      <c r="H59" s="95" t="n">
        <f aca="false">MIN(TblPop[[#This Row],[Peasants]],TblPop[[#This Row],[Jobs]])</f>
        <v>10090</v>
      </c>
      <c r="I59" s="130" t="n">
        <f aca="false">MIN(OFFSET(TblPop[[#This Row],[Jobs]],1,0)/TblPop[[#This Row],[Peasants]],1)</f>
        <v>1</v>
      </c>
      <c r="J59" s="95" t="n">
        <f aca="false">SUM(TblConstr[[#This Row],[Tot Alc]:[Tot GT]],TblConstr[[#This Row],[Tot Shr]:[Tot Doc]],TblConstr[[#This Row],[Dest Alc]:[Dest GT]],TblConstr[[#This Row],[Dest Shr]:[Dest Doc]])*building_employment + TblConstr[[#This Row],[Tot Fac]]*bonus_jobs_facts</f>
        <v>10930</v>
      </c>
      <c r="K59" s="131"/>
      <c r="L59" s="33" t="n">
        <f aca="false">TblPop[[#This Row],[Draftees]]</f>
        <v>1211</v>
      </c>
      <c r="M59" s="33" t="n">
        <f aca="false">TblMili[[#This Row],[Unit 1]]</f>
        <v>0</v>
      </c>
      <c r="N59" s="33" t="n">
        <f aca="false">TblMili[[#This Row],[Unit 2]]</f>
        <v>0</v>
      </c>
      <c r="O59" s="33" t="n">
        <f aca="false">TblMili[[#This Row],[Unit 3]]</f>
        <v>0</v>
      </c>
      <c r="P59" s="33" t="n">
        <f aca="false">TblMili[[#This Row],[Unit 4]]</f>
        <v>0</v>
      </c>
      <c r="Q59" s="33" t="n">
        <f aca="false">TblMili[[#This Row],[Spies]]</f>
        <v>0</v>
      </c>
      <c r="R59" s="33" t="n">
        <f aca="false">TblMili[[#This Row],[Wizards]]</f>
        <v>0</v>
      </c>
      <c r="S59" s="33" t="n">
        <f aca="false">TblMili[[#This Row],[Archmages]]</f>
        <v>0</v>
      </c>
      <c r="T59" s="132"/>
      <c r="U59" s="69" t="n">
        <f aca="false">ROUND(TblPop[[#This Row],[Raw max]]*(1+TblPop[[#This Row],[Max pop]]),0)+MIN(TblPop[[#This Row],[Military]]-TblPop[[#This Row],[Draftees]]-SUM(TblMili[[#This Row],[Train Unit 1]:[Train AM]]),(barracks_size + tech_8_3*TblTech[[#This Row],[8-3]])*TblConstr[[#This Row],[Tot Bar]])</f>
        <v>11301</v>
      </c>
      <c r="V5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59" s="69" t="n">
        <f aca="false">MAX(-5%*TblPop[[#This Row],[Peasants]]-TblPop[[#This Row],[Draft Growth]],MIN(OFFSET(TblPop[[#This Row],[Net max]],1,0)-TblPop[[#This Row],[Peasants]]-TblPop[[#This Row],[Military]]-TblPop[[#This Row],[Draft Growth]],TblPop[[#This Row],[Modded Birth]]-TblPop[[#This Row],[Draft Growth]]))</f>
        <v>-101</v>
      </c>
      <c r="X59" s="69" t="n">
        <f aca="false">ROUND(TblPop[[#This Row],[Raw Birth]]*(1+TblPop[[#This Row],[Growth]]),0)</f>
        <v>420</v>
      </c>
      <c r="Y59" s="69" t="n">
        <f aca="false">(TblPop[[#This Row],[Peasants]]-TblPop[[#This Row],[Draft Growth]])*raw_pop_growth</f>
        <v>299.67</v>
      </c>
      <c r="Z59" s="69" t="n">
        <f aca="false">IF(TblPop[[#This Row],[Military%]]&lt;TblMili[[#This Row],[Draftrate]],ROUND(TblPop[[#This Row],[Peasants]]*Constants!$B$55,0), 0)</f>
        <v>101</v>
      </c>
      <c r="AA59" s="132"/>
      <c r="AB59" s="109" t="n">
        <f aca="false">Overview!$I$16 + IF(Magic!AE59&gt;0,Constants!$F$78) + ROUND(6*(Construction!BM60+Construction!CK59)/IF(Explore!S60&gt;0,Construction!F60-20,Construction!F60),4) + tech_6_5_2*Techs!BJ59 + tech_8_4*Techs!BT59</f>
        <v>0.4029</v>
      </c>
      <c r="AC59" s="130" t="n">
        <f aca="false">(Overview!$I$15 + Imps!Z59+ tech_2_5*Techs!AB59 + tech_3_6*Techs!AM59 + tech_6_1*Techs!BJ59 + tech_6_5*Techs!BF59 + tech_7_3_2*Techs!BN59) * (1 + Production!O59/100*prestige_pop_multiplier) + Production!O59/100*prestige_pop_multiplier</f>
        <v>0.07625</v>
      </c>
    </row>
    <row r="60" customFormat="false" ht="12.75" hidden="false" customHeight="false" outlineLevel="0" collapsed="false">
      <c r="A60" s="128" t="n">
        <f aca="false">TblRezone[[#This Row],[Hour]]</f>
        <v>57</v>
      </c>
      <c r="B60" s="129" t="n">
        <f aca="false">TblImps[[#This Row],[Time]]</f>
        <v>45432.0833333333</v>
      </c>
      <c r="C60" s="69" t="n">
        <f aca="false">OFFSET(TblPop[[#This Row],[Peasants]],-1,0)+OFFSET(TblPop[[#This Row],[Net Peasant]],-1,0)+TblMili[[#This Row],[Release Draft]]</f>
        <v>9989</v>
      </c>
      <c r="D60" s="69" t="n">
        <f aca="false">TblMili[[#This Row],[Military]]</f>
        <v>1312</v>
      </c>
      <c r="E60" s="69" t="n">
        <f aca="false">TblMili[[#This Row],[Draftees]]</f>
        <v>1312</v>
      </c>
      <c r="F60" s="69" t="n">
        <f aca="false">TblPop[[#This Row],[Peasants]]+TblPop[[#This Row],[Military]]</f>
        <v>11301</v>
      </c>
      <c r="G60" s="130" t="n">
        <f aca="false">TblPop[[#This Row],[Military]]/TblPop[[#This Row],[Total]]</f>
        <v>0.116095920714981</v>
      </c>
      <c r="H60" s="95" t="n">
        <f aca="false">MIN(TblPop[[#This Row],[Peasants]],TblPop[[#This Row],[Jobs]])</f>
        <v>9989</v>
      </c>
      <c r="I60" s="130" t="n">
        <f aca="false">MIN(OFFSET(TblPop[[#This Row],[Jobs]],1,0)/TblPop[[#This Row],[Peasants]],1)</f>
        <v>1</v>
      </c>
      <c r="J60" s="95" t="n">
        <f aca="false">SUM(TblConstr[[#This Row],[Tot Alc]:[Tot GT]],TblConstr[[#This Row],[Tot Shr]:[Tot Doc]],TblConstr[[#This Row],[Dest Alc]:[Dest GT]],TblConstr[[#This Row],[Dest Shr]:[Dest Doc]])*building_employment + TblConstr[[#This Row],[Tot Fac]]*bonus_jobs_facts</f>
        <v>11105</v>
      </c>
      <c r="K60" s="131"/>
      <c r="L60" s="33" t="n">
        <f aca="false">TblPop[[#This Row],[Draftees]]</f>
        <v>1312</v>
      </c>
      <c r="M60" s="33" t="n">
        <f aca="false">TblMili[[#This Row],[Unit 1]]</f>
        <v>0</v>
      </c>
      <c r="N60" s="33" t="n">
        <f aca="false">TblMili[[#This Row],[Unit 2]]</f>
        <v>0</v>
      </c>
      <c r="O60" s="33" t="n">
        <f aca="false">TblMili[[#This Row],[Unit 3]]</f>
        <v>0</v>
      </c>
      <c r="P60" s="33" t="n">
        <f aca="false">TblMili[[#This Row],[Unit 4]]</f>
        <v>0</v>
      </c>
      <c r="Q60" s="33" t="n">
        <f aca="false">TblMili[[#This Row],[Spies]]</f>
        <v>0</v>
      </c>
      <c r="R60" s="33" t="n">
        <f aca="false">TblMili[[#This Row],[Wizards]]</f>
        <v>0</v>
      </c>
      <c r="S60" s="33" t="n">
        <f aca="false">TblMili[[#This Row],[Archmages]]</f>
        <v>0</v>
      </c>
      <c r="T60" s="132"/>
      <c r="U60" s="69" t="n">
        <f aca="false">ROUND(TblPop[[#This Row],[Raw max]]*(1+TblPop[[#This Row],[Max pop]]),0)+MIN(TblPop[[#This Row],[Military]]-TblPop[[#This Row],[Draftees]]-SUM(TblMili[[#This Row],[Train Unit 1]:[Train AM]]),(barracks_size + tech_8_3*TblTech[[#This Row],[8-3]])*TblConstr[[#This Row],[Tot Bar]])</f>
        <v>11301</v>
      </c>
      <c r="V6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0" s="69" t="n">
        <f aca="false">MAX(-5%*TblPop[[#This Row],[Peasants]]-TblPop[[#This Row],[Draft Growth]],MIN(OFFSET(TblPop[[#This Row],[Net max]],1,0)-TblPop[[#This Row],[Peasants]]-TblPop[[#This Row],[Military]]-TblPop[[#This Row],[Draft Growth]],TblPop[[#This Row],[Modded Birth]]-TblPop[[#This Row],[Draft Growth]]))</f>
        <v>-100</v>
      </c>
      <c r="X60" s="69" t="n">
        <f aca="false">ROUND(TblPop[[#This Row],[Raw Birth]]*(1+TblPop[[#This Row],[Growth]]),0)</f>
        <v>416</v>
      </c>
      <c r="Y60" s="69" t="n">
        <f aca="false">(TblPop[[#This Row],[Peasants]]-TblPop[[#This Row],[Draft Growth]])*raw_pop_growth</f>
        <v>296.67</v>
      </c>
      <c r="Z60" s="69" t="n">
        <f aca="false">IF(TblPop[[#This Row],[Military%]]&lt;TblMili[[#This Row],[Draftrate]],ROUND(TblPop[[#This Row],[Peasants]]*Constants!$B$55,0), 0)</f>
        <v>100</v>
      </c>
      <c r="AA60" s="132"/>
      <c r="AB60" s="109" t="n">
        <f aca="false">Overview!$I$16 + IF(Magic!AE60&gt;0,Constants!$F$78) + ROUND(6*(Construction!BM61+Construction!CK60)/IF(Explore!S61&gt;0,Construction!F61-20,Construction!F61),4) + tech_6_5_2*Techs!BJ60 + tech_8_4*Techs!BT60</f>
        <v>0.4029</v>
      </c>
      <c r="AC60" s="130" t="n">
        <f aca="false">(Overview!$I$15 + Imps!Z60+ tech_2_5*Techs!AB60 + tech_3_6*Techs!AM60 + tech_6_1*Techs!BJ60 + tech_6_5*Techs!BF60 + tech_7_3_2*Techs!BN60) * (1 + Production!O60/100*prestige_pop_multiplier) + Production!O60/100*prestige_pop_multiplier</f>
        <v>0.07625</v>
      </c>
    </row>
    <row r="61" customFormat="false" ht="12.75" hidden="false" customHeight="false" outlineLevel="0" collapsed="false">
      <c r="A61" s="128" t="n">
        <f aca="false">TblRezone[[#This Row],[Hour]]</f>
        <v>58</v>
      </c>
      <c r="B61" s="129" t="n">
        <f aca="false">TblImps[[#This Row],[Time]]</f>
        <v>45432.125</v>
      </c>
      <c r="C61" s="69" t="n">
        <f aca="false">OFFSET(TblPop[[#This Row],[Peasants]],-1,0)+OFFSET(TblPop[[#This Row],[Net Peasant]],-1,0)+TblMili[[#This Row],[Release Draft]]</f>
        <v>9889</v>
      </c>
      <c r="D61" s="69" t="n">
        <f aca="false">TblMili[[#This Row],[Military]]</f>
        <v>1412</v>
      </c>
      <c r="E61" s="69" t="n">
        <f aca="false">TblMili[[#This Row],[Draftees]]</f>
        <v>1412</v>
      </c>
      <c r="F61" s="69" t="n">
        <f aca="false">TblPop[[#This Row],[Peasants]]+TblPop[[#This Row],[Military]]</f>
        <v>11301</v>
      </c>
      <c r="G61" s="130" t="n">
        <f aca="false">TblPop[[#This Row],[Military]]/TblPop[[#This Row],[Total]]</f>
        <v>0.12494469515972</v>
      </c>
      <c r="H61" s="95" t="n">
        <f aca="false">MIN(TblPop[[#This Row],[Peasants]],TblPop[[#This Row],[Jobs]])</f>
        <v>9889</v>
      </c>
      <c r="I61" s="130" t="n">
        <f aca="false">MIN(OFFSET(TblPop[[#This Row],[Jobs]],1,0)/TblPop[[#This Row],[Peasants]],1)</f>
        <v>1</v>
      </c>
      <c r="J61" s="95" t="n">
        <f aca="false">SUM(TblConstr[[#This Row],[Tot Alc]:[Tot GT]],TblConstr[[#This Row],[Tot Shr]:[Tot Doc]],TblConstr[[#This Row],[Dest Alc]:[Dest GT]],TblConstr[[#This Row],[Dest Shr]:[Dest Doc]])*building_employment + TblConstr[[#This Row],[Tot Fac]]*bonus_jobs_facts</f>
        <v>11300</v>
      </c>
      <c r="K61" s="131"/>
      <c r="L61" s="33" t="n">
        <f aca="false">TblPop[[#This Row],[Draftees]]</f>
        <v>1412</v>
      </c>
      <c r="M61" s="33" t="n">
        <f aca="false">TblMili[[#This Row],[Unit 1]]</f>
        <v>0</v>
      </c>
      <c r="N61" s="33" t="n">
        <f aca="false">TblMili[[#This Row],[Unit 2]]</f>
        <v>0</v>
      </c>
      <c r="O61" s="33" t="n">
        <f aca="false">TblMili[[#This Row],[Unit 3]]</f>
        <v>0</v>
      </c>
      <c r="P61" s="33" t="n">
        <f aca="false">TblMili[[#This Row],[Unit 4]]</f>
        <v>0</v>
      </c>
      <c r="Q61" s="33" t="n">
        <f aca="false">TblMili[[#This Row],[Spies]]</f>
        <v>0</v>
      </c>
      <c r="R61" s="33" t="n">
        <f aca="false">TblMili[[#This Row],[Wizards]]</f>
        <v>0</v>
      </c>
      <c r="S61" s="33" t="n">
        <f aca="false">TblMili[[#This Row],[Archmages]]</f>
        <v>0</v>
      </c>
      <c r="T61" s="132"/>
      <c r="U61" s="69" t="n">
        <f aca="false">ROUND(TblPop[[#This Row],[Raw max]]*(1+TblPop[[#This Row],[Max pop]]),0)+MIN(TblPop[[#This Row],[Military]]-TblPop[[#This Row],[Draftees]]-SUM(TblMili[[#This Row],[Train Unit 1]:[Train AM]]),(barracks_size + tech_8_3*TblTech[[#This Row],[8-3]])*TblConstr[[#This Row],[Tot Bar]])</f>
        <v>11301</v>
      </c>
      <c r="V6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1" s="69" t="n">
        <f aca="false">MAX(-5%*TblPop[[#This Row],[Peasants]]-TblPop[[#This Row],[Draft Growth]],MIN(OFFSET(TblPop[[#This Row],[Net max]],1,0)-TblPop[[#This Row],[Peasants]]-TblPop[[#This Row],[Military]]-TblPop[[#This Row],[Draft Growth]],TblPop[[#This Row],[Modded Birth]]-TblPop[[#This Row],[Draft Growth]]))</f>
        <v>-99</v>
      </c>
      <c r="X61" s="69" t="n">
        <f aca="false">ROUND(TblPop[[#This Row],[Raw Birth]]*(1+TblPop[[#This Row],[Growth]]),0)</f>
        <v>412</v>
      </c>
      <c r="Y61" s="69" t="n">
        <f aca="false">(TblPop[[#This Row],[Peasants]]-TblPop[[#This Row],[Draft Growth]])*raw_pop_growth</f>
        <v>293.7</v>
      </c>
      <c r="Z61" s="69" t="n">
        <f aca="false">IF(TblPop[[#This Row],[Military%]]&lt;TblMili[[#This Row],[Draftrate]],ROUND(TblPop[[#This Row],[Peasants]]*Constants!$B$55,0), 0)</f>
        <v>99</v>
      </c>
      <c r="AA61" s="132"/>
      <c r="AB61" s="109" t="n">
        <f aca="false">Overview!$I$16 + IF(Magic!AE61&gt;0,Constants!$F$78) + ROUND(6*(Construction!BM62+Construction!CK61)/IF(Explore!S62&gt;0,Construction!F62-20,Construction!F62),4) + tech_6_5_2*Techs!BJ61 + tech_8_4*Techs!BT61</f>
        <v>0.4029</v>
      </c>
      <c r="AC61" s="130" t="n">
        <f aca="false">(Overview!$I$15 + Imps!Z61+ tech_2_5*Techs!AB61 + tech_3_6*Techs!AM61 + tech_6_1*Techs!BJ61 + tech_6_5*Techs!BF61 + tech_7_3_2*Techs!BN61) * (1 + Production!O61/100*prestige_pop_multiplier) + Production!O61/100*prestige_pop_multiplier</f>
        <v>0.07625</v>
      </c>
    </row>
    <row r="62" customFormat="false" ht="12.75" hidden="false" customHeight="false" outlineLevel="0" collapsed="false">
      <c r="A62" s="128" t="n">
        <f aca="false">TblRezone[[#This Row],[Hour]]</f>
        <v>59</v>
      </c>
      <c r="B62" s="129" t="n">
        <f aca="false">TblImps[[#This Row],[Time]]</f>
        <v>45432.1666666667</v>
      </c>
      <c r="C62" s="69" t="n">
        <f aca="false">OFFSET(TblPop[[#This Row],[Peasants]],-1,0)+OFFSET(TblPop[[#This Row],[Net Peasant]],-1,0)+TblMili[[#This Row],[Release Draft]]</f>
        <v>9790</v>
      </c>
      <c r="D62" s="69" t="n">
        <f aca="false">TblMili[[#This Row],[Military]]</f>
        <v>1511</v>
      </c>
      <c r="E62" s="69" t="n">
        <f aca="false">TblMili[[#This Row],[Draftees]]</f>
        <v>1511</v>
      </c>
      <c r="F62" s="69" t="n">
        <f aca="false">TblPop[[#This Row],[Peasants]]+TblPop[[#This Row],[Military]]</f>
        <v>11301</v>
      </c>
      <c r="G62" s="130" t="n">
        <f aca="false">TblPop[[#This Row],[Military]]/TblPop[[#This Row],[Total]]</f>
        <v>0.133704981860012</v>
      </c>
      <c r="H62" s="95" t="n">
        <f aca="false">MIN(TblPop[[#This Row],[Peasants]],TblPop[[#This Row],[Jobs]])</f>
        <v>9790</v>
      </c>
      <c r="I62" s="130" t="n">
        <f aca="false">MIN(OFFSET(TblPop[[#This Row],[Jobs]],1,0)/TblPop[[#This Row],[Peasants]],1)</f>
        <v>1</v>
      </c>
      <c r="J62" s="95" t="n">
        <f aca="false">SUM(TblConstr[[#This Row],[Tot Alc]:[Tot GT]],TblConstr[[#This Row],[Tot Shr]:[Tot Doc]],TblConstr[[#This Row],[Dest Alc]:[Dest GT]],TblConstr[[#This Row],[Dest Shr]:[Dest Doc]])*building_employment + TblConstr[[#This Row],[Tot Fac]]*bonus_jobs_facts</f>
        <v>11515</v>
      </c>
      <c r="K62" s="131"/>
      <c r="L62" s="33" t="n">
        <f aca="false">TblPop[[#This Row],[Draftees]]</f>
        <v>1511</v>
      </c>
      <c r="M62" s="33" t="n">
        <f aca="false">TblMili[[#This Row],[Unit 1]]</f>
        <v>0</v>
      </c>
      <c r="N62" s="33" t="n">
        <f aca="false">TblMili[[#This Row],[Unit 2]]</f>
        <v>0</v>
      </c>
      <c r="O62" s="33" t="n">
        <f aca="false">TblMili[[#This Row],[Unit 3]]</f>
        <v>0</v>
      </c>
      <c r="P62" s="33" t="n">
        <f aca="false">TblMili[[#This Row],[Unit 4]]</f>
        <v>0</v>
      </c>
      <c r="Q62" s="33" t="n">
        <f aca="false">TblMili[[#This Row],[Spies]]</f>
        <v>0</v>
      </c>
      <c r="R62" s="33" t="n">
        <f aca="false">TblMili[[#This Row],[Wizards]]</f>
        <v>0</v>
      </c>
      <c r="S62" s="33" t="n">
        <f aca="false">TblMili[[#This Row],[Archmages]]</f>
        <v>0</v>
      </c>
      <c r="T62" s="132"/>
      <c r="U62" s="69" t="n">
        <f aca="false">ROUND(TblPop[[#This Row],[Raw max]]*(1+TblPop[[#This Row],[Max pop]]),0)+MIN(TblPop[[#This Row],[Military]]-TblPop[[#This Row],[Draftees]]-SUM(TblMili[[#This Row],[Train Unit 1]:[Train AM]]),(barracks_size + tech_8_3*TblTech[[#This Row],[8-3]])*TblConstr[[#This Row],[Tot Bar]])</f>
        <v>11301</v>
      </c>
      <c r="V6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2" s="69" t="n">
        <f aca="false">MAX(-5%*TblPop[[#This Row],[Peasants]]-TblPop[[#This Row],[Draft Growth]],MIN(OFFSET(TblPop[[#This Row],[Net max]],1,0)-TblPop[[#This Row],[Peasants]]-TblPop[[#This Row],[Military]]-TblPop[[#This Row],[Draft Growth]],TblPop[[#This Row],[Modded Birth]]-TblPop[[#This Row],[Draft Growth]]))</f>
        <v>225</v>
      </c>
      <c r="X62" s="69" t="n">
        <f aca="false">ROUND(TblPop[[#This Row],[Raw Birth]]*(1+TblPop[[#This Row],[Growth]]),0)</f>
        <v>408</v>
      </c>
      <c r="Y62" s="69" t="n">
        <f aca="false">(TblPop[[#This Row],[Peasants]]-TblPop[[#This Row],[Draft Growth]])*raw_pop_growth</f>
        <v>290.76</v>
      </c>
      <c r="Z62" s="69" t="n">
        <f aca="false">IF(TblPop[[#This Row],[Military%]]&lt;TblMili[[#This Row],[Draftrate]],ROUND(TblPop[[#This Row],[Peasants]]*Constants!$B$55,0), 0)</f>
        <v>98</v>
      </c>
      <c r="AA62" s="132"/>
      <c r="AB62" s="109" t="n">
        <f aca="false">Overview!$I$16 + IF(Magic!AE62&gt;0,Constants!$F$78) + ROUND(6*(Construction!BM63+Construction!CK62)/IF(Explore!S63&gt;0,Construction!F63-20,Construction!F63),4) + tech_6_5_2*Techs!BJ62 + tech_8_4*Techs!BT62</f>
        <v>0.4029</v>
      </c>
      <c r="AC62" s="130" t="n">
        <f aca="false">(Overview!$I$15 + Imps!Z62+ tech_2_5*Techs!AB62 + tech_3_6*Techs!AM62 + tech_6_1*Techs!BJ62 + tech_6_5*Techs!BF62 + tech_7_3_2*Techs!BN62) * (1 + Production!O62/100*prestige_pop_multiplier) + Production!O62/100*prestige_pop_multiplier</f>
        <v>0.07625</v>
      </c>
    </row>
    <row r="63" customFormat="false" ht="12.75" hidden="false" customHeight="false" outlineLevel="0" collapsed="false">
      <c r="A63" s="128" t="n">
        <f aca="false">TblRezone[[#This Row],[Hour]]</f>
        <v>60</v>
      </c>
      <c r="B63" s="129" t="n">
        <f aca="false">TblImps[[#This Row],[Time]]</f>
        <v>45432.2083333333</v>
      </c>
      <c r="C63" s="69" t="n">
        <f aca="false">OFFSET(TblPop[[#This Row],[Peasants]],-1,0)+OFFSET(TblPop[[#This Row],[Net Peasant]],-1,0)+TblMili[[#This Row],[Release Draft]]</f>
        <v>10015</v>
      </c>
      <c r="D63" s="69" t="n">
        <f aca="false">TblMili[[#This Row],[Military]]</f>
        <v>1609</v>
      </c>
      <c r="E63" s="69" t="n">
        <f aca="false">TblMili[[#This Row],[Draftees]]</f>
        <v>1609</v>
      </c>
      <c r="F63" s="69" t="n">
        <f aca="false">TblPop[[#This Row],[Peasants]]+TblPop[[#This Row],[Military]]</f>
        <v>11624</v>
      </c>
      <c r="G63" s="130" t="n">
        <f aca="false">TblPop[[#This Row],[Military]]/TblPop[[#This Row],[Total]]</f>
        <v>0.138420509291122</v>
      </c>
      <c r="H63" s="95" t="n">
        <f aca="false">MIN(TblPop[[#This Row],[Peasants]],TblPop[[#This Row],[Jobs]])</f>
        <v>10015</v>
      </c>
      <c r="I63" s="130" t="n">
        <f aca="false">MIN(OFFSET(TblPop[[#This Row],[Jobs]],1,0)/TblPop[[#This Row],[Peasants]],1)</f>
        <v>1</v>
      </c>
      <c r="J63" s="95" t="n">
        <f aca="false">SUM(TblConstr[[#This Row],[Tot Alc]:[Tot GT]],TblConstr[[#This Row],[Tot Shr]:[Tot Doc]],TblConstr[[#This Row],[Dest Alc]:[Dest GT]],TblConstr[[#This Row],[Dest Shr]:[Dest Doc]])*building_employment + TblConstr[[#This Row],[Tot Fac]]*bonus_jobs_facts</f>
        <v>11750</v>
      </c>
      <c r="K63" s="131"/>
      <c r="L63" s="33" t="n">
        <f aca="false">TblPop[[#This Row],[Draftees]]</f>
        <v>1609</v>
      </c>
      <c r="M63" s="33" t="n">
        <f aca="false">TblMili[[#This Row],[Unit 1]]</f>
        <v>0</v>
      </c>
      <c r="N63" s="33" t="n">
        <f aca="false">TblMili[[#This Row],[Unit 2]]</f>
        <v>0</v>
      </c>
      <c r="O63" s="33" t="n">
        <f aca="false">TblMili[[#This Row],[Unit 3]]</f>
        <v>0</v>
      </c>
      <c r="P63" s="33" t="n">
        <f aca="false">TblMili[[#This Row],[Unit 4]]</f>
        <v>0</v>
      </c>
      <c r="Q63" s="33" t="n">
        <f aca="false">TblMili[[#This Row],[Spies]]</f>
        <v>0</v>
      </c>
      <c r="R63" s="33" t="n">
        <f aca="false">TblMili[[#This Row],[Wizards]]</f>
        <v>0</v>
      </c>
      <c r="S63" s="33" t="n">
        <f aca="false">TblMili[[#This Row],[Archmages]]</f>
        <v>0</v>
      </c>
      <c r="T63" s="132"/>
      <c r="U63" s="69" t="n">
        <f aca="false">ROUND(TblPop[[#This Row],[Raw max]]*(1+TblPop[[#This Row],[Max pop]]),0)+MIN(TblPop[[#This Row],[Military]]-TblPop[[#This Row],[Draftees]]-SUM(TblMili[[#This Row],[Train Unit 1]:[Train AM]]),(barracks_size + tech_8_3*TblTech[[#This Row],[8-3]])*TblConstr[[#This Row],[Tot Bar]])</f>
        <v>11624</v>
      </c>
      <c r="V6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10800</v>
      </c>
      <c r="W63" s="69" t="n">
        <f aca="false">MAX(-5%*TblPop[[#This Row],[Peasants]]-TblPop[[#This Row],[Draft Growth]],MIN(OFFSET(TblPop[[#This Row],[Net max]],1,0)-TblPop[[#This Row],[Peasants]]-TblPop[[#This Row],[Military]]-TblPop[[#This Row],[Draft Growth]],TblPop[[#This Row],[Modded Birth]]-TblPop[[#This Row],[Draft Growth]]))</f>
        <v>222</v>
      </c>
      <c r="X63" s="69" t="n">
        <f aca="false">ROUND(TblPop[[#This Row],[Raw Birth]]*(1+TblPop[[#This Row],[Growth]]),0)</f>
        <v>417</v>
      </c>
      <c r="Y63" s="69" t="n">
        <f aca="false">(TblPop[[#This Row],[Peasants]]-TblPop[[#This Row],[Draft Growth]])*raw_pop_growth</f>
        <v>297.45</v>
      </c>
      <c r="Z63" s="69" t="n">
        <f aca="false">IF(TblPop[[#This Row],[Military%]]&lt;TblMili[[#This Row],[Draftrate]],ROUND(TblPop[[#This Row],[Peasants]]*Constants!$B$55,0), 0)</f>
        <v>100</v>
      </c>
      <c r="AA63" s="132"/>
      <c r="AB63" s="109" t="n">
        <f aca="false">Overview!$I$16 + IF(Magic!AE63&gt;0,Constants!$F$78) + ROUND(6*(Construction!BM64+Construction!CK63)/IF(Explore!S64&gt;0,Construction!F64-20,Construction!F64),4) + tech_6_5_2*Techs!BJ63 + tech_8_4*Techs!BT63</f>
        <v>0.4029</v>
      </c>
      <c r="AC63" s="130" t="n">
        <f aca="false">(Overview!$I$15 + Imps!Z63+ tech_2_5*Techs!AB63 + tech_3_6*Techs!AM63 + tech_6_1*Techs!BJ63 + tech_6_5*Techs!BF63 + tech_7_3_2*Techs!BN63) * (1 + Production!O63/100*prestige_pop_multiplier) + Production!O63/100*prestige_pop_multiplier</f>
        <v>0.07625</v>
      </c>
    </row>
    <row r="64" customFormat="false" ht="12.75" hidden="false" customHeight="false" outlineLevel="0" collapsed="false">
      <c r="A64" s="128" t="n">
        <f aca="false">TblRezone[[#This Row],[Hour]]</f>
        <v>61</v>
      </c>
      <c r="B64" s="129" t="n">
        <f aca="false">TblImps[[#This Row],[Time]]</f>
        <v>45432.25</v>
      </c>
      <c r="C64" s="69" t="n">
        <f aca="false">OFFSET(TblPop[[#This Row],[Peasants]],-1,0)+OFFSET(TblPop[[#This Row],[Net Peasant]],-1,0)+TblMili[[#This Row],[Release Draft]]</f>
        <v>10237</v>
      </c>
      <c r="D64" s="69" t="n">
        <f aca="false">TblMili[[#This Row],[Military]]</f>
        <v>1709</v>
      </c>
      <c r="E64" s="69" t="n">
        <f aca="false">TblMili[[#This Row],[Draftees]]</f>
        <v>396</v>
      </c>
      <c r="F64" s="69" t="n">
        <f aca="false">TblPop[[#This Row],[Peasants]]+TblPop[[#This Row],[Military]]</f>
        <v>11946</v>
      </c>
      <c r="G64" s="130" t="n">
        <f aca="false">TblPop[[#This Row],[Military]]/TblPop[[#This Row],[Total]]</f>
        <v>0.143060438640549</v>
      </c>
      <c r="H64" s="95" t="n">
        <f aca="false">MIN(TblPop[[#This Row],[Peasants]],TblPop[[#This Row],[Jobs]])</f>
        <v>10237</v>
      </c>
      <c r="I64" s="130" t="n">
        <f aca="false">MIN(OFFSET(TblPop[[#This Row],[Jobs]],1,0)/TblPop[[#This Row],[Peasants]],1)</f>
        <v>1</v>
      </c>
      <c r="J64" s="95" t="n">
        <f aca="false">SUM(TblConstr[[#This Row],[Tot Alc]:[Tot GT]],TblConstr[[#This Row],[Tot Shr]:[Tot Doc]],TblConstr[[#This Row],[Dest Alc]:[Dest GT]],TblConstr[[#This Row],[Dest Shr]:[Dest Doc]])*building_employment + TblConstr[[#This Row],[Tot Fac]]*bonus_jobs_facts</f>
        <v>11740</v>
      </c>
      <c r="K64" s="131"/>
      <c r="L64" s="33" t="n">
        <f aca="false">TblPop[[#This Row],[Draftees]]</f>
        <v>396</v>
      </c>
      <c r="M64" s="33" t="n">
        <f aca="false">TblMili[[#This Row],[Unit 1]]</f>
        <v>0</v>
      </c>
      <c r="N64" s="33" t="n">
        <f aca="false">TblMili[[#This Row],[Unit 2]]</f>
        <v>0</v>
      </c>
      <c r="O64" s="33" t="n">
        <f aca="false">TblMili[[#This Row],[Unit 3]]</f>
        <v>0</v>
      </c>
      <c r="P64" s="33" t="n">
        <f aca="false">TblMili[[#This Row],[Unit 4]]</f>
        <v>0</v>
      </c>
      <c r="Q64" s="33" t="n">
        <f aca="false">TblMili[[#This Row],[Spies]]</f>
        <v>0</v>
      </c>
      <c r="R64" s="33" t="n">
        <f aca="false">TblMili[[#This Row],[Wizards]]</f>
        <v>0</v>
      </c>
      <c r="S64" s="33" t="n">
        <f aca="false">TblMili[[#This Row],[Archmages]]</f>
        <v>0</v>
      </c>
      <c r="T64" s="132"/>
      <c r="U64" s="69" t="n">
        <f aca="false">ROUND(TblPop[[#This Row],[Raw max]]*(1+TblPop[[#This Row],[Max pop]]),0)+MIN(TblPop[[#This Row],[Military]]-TblPop[[#This Row],[Draftees]]-SUM(TblMili[[#This Row],[Train Unit 1]:[Train AM]]),(barracks_size + tech_8_3*TblTech[[#This Row],[8-3]])*TblConstr[[#This Row],[Tot Bar]])</f>
        <v>11946</v>
      </c>
      <c r="V6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4" s="69" t="n">
        <f aca="false">MAX(-5%*TblPop[[#This Row],[Peasants]]-TblPop[[#This Row],[Draft Growth]],MIN(OFFSET(TblPop[[#This Row],[Net max]],1,0)-TblPop[[#This Row],[Peasants]]-TblPop[[#This Row],[Military]]-TblPop[[#This Row],[Draft Growth]],TblPop[[#This Row],[Modded Birth]]-TblPop[[#This Row],[Draft Growth]]))</f>
        <v>-102</v>
      </c>
      <c r="X64" s="69" t="n">
        <f aca="false">ROUND(TblPop[[#This Row],[Raw Birth]]*(1+TblPop[[#This Row],[Growth]]),0)</f>
        <v>427</v>
      </c>
      <c r="Y64" s="69" t="n">
        <f aca="false">(TblPop[[#This Row],[Peasants]]-TblPop[[#This Row],[Draft Growth]])*raw_pop_growth</f>
        <v>304.05</v>
      </c>
      <c r="Z64" s="69" t="n">
        <f aca="false">IF(TblPop[[#This Row],[Military%]]&lt;TblMili[[#This Row],[Draftrate]],ROUND(TblPop[[#This Row],[Peasants]]*Constants!$B$55,0), 0)</f>
        <v>102</v>
      </c>
      <c r="AA64" s="132"/>
      <c r="AB64" s="109" t="n">
        <f aca="false">Overview!$I$16 + IF(Magic!AE64&gt;0,Constants!$F$78) + ROUND(6*(Construction!BM65+Construction!CK64)/IF(Explore!S65&gt;0,Construction!F65-20,Construction!F65),4) + tech_6_5_2*Techs!BJ64 + tech_8_4*Techs!BT64</f>
        <v>0.4029</v>
      </c>
      <c r="AC64" s="130" t="n">
        <f aca="false">(Overview!$I$15 + Imps!Z64+ tech_2_5*Techs!AB64 + tech_3_6*Techs!AM64 + tech_6_1*Techs!BJ64 + tech_6_5*Techs!BF64 + tech_7_3_2*Techs!BN64) * (1 + Production!O64/100*prestige_pop_multiplier) + Production!O64/100*prestige_pop_multiplier</f>
        <v>0.07625</v>
      </c>
    </row>
    <row r="65" customFormat="false" ht="12.75" hidden="false" customHeight="false" outlineLevel="0" collapsed="false">
      <c r="A65" s="128" t="n">
        <f aca="false">TblRezone[[#This Row],[Hour]]</f>
        <v>62</v>
      </c>
      <c r="B65" s="129" t="n">
        <f aca="false">TblImps[[#This Row],[Time]]</f>
        <v>45432.2916666667</v>
      </c>
      <c r="C65" s="69" t="n">
        <f aca="false">OFFSET(TblPop[[#This Row],[Peasants]],-1,0)+OFFSET(TblPop[[#This Row],[Net Peasant]],-1,0)+TblMili[[#This Row],[Release Draft]]</f>
        <v>10135</v>
      </c>
      <c r="D65" s="69" t="n">
        <f aca="false">TblMili[[#This Row],[Military]]</f>
        <v>1811</v>
      </c>
      <c r="E65" s="69" t="n">
        <f aca="false">TblMili[[#This Row],[Draftees]]</f>
        <v>498</v>
      </c>
      <c r="F65" s="69" t="n">
        <f aca="false">TblPop[[#This Row],[Peasants]]+TblPop[[#This Row],[Military]]</f>
        <v>11946</v>
      </c>
      <c r="G65" s="130" t="n">
        <f aca="false">TblPop[[#This Row],[Military]]/TblPop[[#This Row],[Total]]</f>
        <v>0.151598861543613</v>
      </c>
      <c r="H65" s="95" t="n">
        <f aca="false">MIN(TblPop[[#This Row],[Peasants]],TblPop[[#This Row],[Jobs]])</f>
        <v>10135</v>
      </c>
      <c r="I65" s="130" t="n">
        <f aca="false">MIN(OFFSET(TblPop[[#This Row],[Jobs]],1,0)/TblPop[[#This Row],[Peasants]],1)</f>
        <v>1</v>
      </c>
      <c r="J65" s="95" t="n">
        <f aca="false">SUM(TblConstr[[#This Row],[Tot Alc]:[Tot GT]],TblConstr[[#This Row],[Tot Shr]:[Tot Doc]],TblConstr[[#This Row],[Dest Alc]:[Dest GT]],TblConstr[[#This Row],[Dest Shr]:[Dest Doc]])*building_employment + TblConstr[[#This Row],[Tot Fac]]*bonus_jobs_facts</f>
        <v>10975</v>
      </c>
      <c r="K65" s="131"/>
      <c r="L65" s="33" t="n">
        <f aca="false">TblPop[[#This Row],[Draftees]]</f>
        <v>498</v>
      </c>
      <c r="M65" s="33" t="n">
        <f aca="false">TblMili[[#This Row],[Unit 1]]</f>
        <v>0</v>
      </c>
      <c r="N65" s="33" t="n">
        <f aca="false">TblMili[[#This Row],[Unit 2]]</f>
        <v>0</v>
      </c>
      <c r="O65" s="33" t="n">
        <f aca="false">TblMili[[#This Row],[Unit 3]]</f>
        <v>0</v>
      </c>
      <c r="P65" s="33" t="n">
        <f aca="false">TblMili[[#This Row],[Unit 4]]</f>
        <v>0</v>
      </c>
      <c r="Q65" s="33" t="n">
        <f aca="false">TblMili[[#This Row],[Spies]]</f>
        <v>0</v>
      </c>
      <c r="R65" s="33" t="n">
        <f aca="false">TblMili[[#This Row],[Wizards]]</f>
        <v>0</v>
      </c>
      <c r="S65" s="33" t="n">
        <f aca="false">TblMili[[#This Row],[Archmages]]</f>
        <v>0</v>
      </c>
      <c r="T65" s="132"/>
      <c r="U65" s="69" t="n">
        <f aca="false">ROUND(TblPop[[#This Row],[Raw max]]*(1+TblPop[[#This Row],[Max pop]]),0)+MIN(TblPop[[#This Row],[Military]]-TblPop[[#This Row],[Draftees]]-SUM(TblMili[[#This Row],[Train Unit 1]:[Train AM]]),(barracks_size + tech_8_3*TblTech[[#This Row],[8-3]])*TblConstr[[#This Row],[Tot Bar]])</f>
        <v>11946</v>
      </c>
      <c r="V6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5" s="69" t="n">
        <f aca="false">MAX(-5%*TblPop[[#This Row],[Peasants]]-TblPop[[#This Row],[Draft Growth]],MIN(OFFSET(TblPop[[#This Row],[Net max]],1,0)-TblPop[[#This Row],[Peasants]]-TblPop[[#This Row],[Military]]-TblPop[[#This Row],[Draft Growth]],TblPop[[#This Row],[Modded Birth]]-TblPop[[#This Row],[Draft Growth]]))</f>
        <v>-101</v>
      </c>
      <c r="X65" s="69" t="n">
        <f aca="false">ROUND(TblPop[[#This Row],[Raw Birth]]*(1+TblPop[[#This Row],[Growth]]),0)</f>
        <v>422</v>
      </c>
      <c r="Y65" s="69" t="n">
        <f aca="false">(TblPop[[#This Row],[Peasants]]-TblPop[[#This Row],[Draft Growth]])*raw_pop_growth</f>
        <v>301.02</v>
      </c>
      <c r="Z65" s="69" t="n">
        <f aca="false">IF(TblPop[[#This Row],[Military%]]&lt;TblMili[[#This Row],[Draftrate]],ROUND(TblPop[[#This Row],[Peasants]]*Constants!$B$55,0), 0)</f>
        <v>101</v>
      </c>
      <c r="AA65" s="132"/>
      <c r="AB65" s="109" t="n">
        <f aca="false">Overview!$I$16 + IF(Magic!AE65&gt;0,Constants!$F$78) + ROUND(6*(Construction!BM66+Construction!CK65)/IF(Explore!S66&gt;0,Construction!F66-20,Construction!F66),4) + tech_6_5_2*Techs!BJ65 + tech_8_4*Techs!BT65</f>
        <v>0.4029</v>
      </c>
      <c r="AC65" s="130" t="n">
        <f aca="false">(Overview!$I$15 + Imps!Z65+ tech_2_5*Techs!AB65 + tech_3_6*Techs!AM65 + tech_6_1*Techs!BJ65 + tech_6_5*Techs!BF65 + tech_7_3_2*Techs!BN65) * (1 + Production!O65/100*prestige_pop_multiplier) + Production!O65/100*prestige_pop_multiplier</f>
        <v>0.07625</v>
      </c>
    </row>
    <row r="66" customFormat="false" ht="12.75" hidden="false" customHeight="false" outlineLevel="0" collapsed="false">
      <c r="A66" s="128" t="n">
        <f aca="false">TblRezone[[#This Row],[Hour]]</f>
        <v>63</v>
      </c>
      <c r="B66" s="129" t="n">
        <f aca="false">TblImps[[#This Row],[Time]]</f>
        <v>45432.3333333333</v>
      </c>
      <c r="C66" s="69" t="n">
        <f aca="false">OFFSET(TblPop[[#This Row],[Peasants]],-1,0)+OFFSET(TblPop[[#This Row],[Net Peasant]],-1,0)+TblMili[[#This Row],[Release Draft]]</f>
        <v>10034</v>
      </c>
      <c r="D66" s="69" t="n">
        <f aca="false">TblMili[[#This Row],[Military]]</f>
        <v>1912</v>
      </c>
      <c r="E66" s="69" t="n">
        <f aca="false">TblMili[[#This Row],[Draftees]]</f>
        <v>599</v>
      </c>
      <c r="F66" s="69" t="n">
        <f aca="false">TblPop[[#This Row],[Peasants]]+TblPop[[#This Row],[Military]]</f>
        <v>11946</v>
      </c>
      <c r="G66" s="130" t="n">
        <f aca="false">TblPop[[#This Row],[Military]]/TblPop[[#This Row],[Total]]</f>
        <v>0.160053574418215</v>
      </c>
      <c r="H66" s="95" t="n">
        <f aca="false">MIN(TblPop[[#This Row],[Peasants]],TblPop[[#This Row],[Jobs]])</f>
        <v>10034</v>
      </c>
      <c r="I66" s="130" t="n">
        <f aca="false">MIN(OFFSET(TblPop[[#This Row],[Jobs]],1,0)/TblPop[[#This Row],[Peasants]],1)</f>
        <v>1</v>
      </c>
      <c r="J66" s="95" t="n">
        <f aca="false">SUM(TblConstr[[#This Row],[Tot Alc]:[Tot GT]],TblConstr[[#This Row],[Tot Shr]:[Tot Doc]],TblConstr[[#This Row],[Dest Alc]:[Dest GT]],TblConstr[[#This Row],[Dest Shr]:[Dest Doc]])*building_employment + TblConstr[[#This Row],[Tot Fac]]*bonus_jobs_facts</f>
        <v>11130</v>
      </c>
      <c r="K66" s="131"/>
      <c r="L66" s="33" t="n">
        <f aca="false">TblPop[[#This Row],[Draftees]]</f>
        <v>599</v>
      </c>
      <c r="M66" s="33" t="n">
        <f aca="false">TblMili[[#This Row],[Unit 1]]</f>
        <v>0</v>
      </c>
      <c r="N66" s="33" t="n">
        <f aca="false">TblMili[[#This Row],[Unit 2]]</f>
        <v>0</v>
      </c>
      <c r="O66" s="33" t="n">
        <f aca="false">TblMili[[#This Row],[Unit 3]]</f>
        <v>0</v>
      </c>
      <c r="P66" s="33" t="n">
        <f aca="false">TblMili[[#This Row],[Unit 4]]</f>
        <v>0</v>
      </c>
      <c r="Q66" s="33" t="n">
        <f aca="false">TblMili[[#This Row],[Spies]]</f>
        <v>0</v>
      </c>
      <c r="R66" s="33" t="n">
        <f aca="false">TblMili[[#This Row],[Wizards]]</f>
        <v>0</v>
      </c>
      <c r="S66" s="33" t="n">
        <f aca="false">TblMili[[#This Row],[Archmages]]</f>
        <v>0</v>
      </c>
      <c r="T66" s="132"/>
      <c r="U66" s="69" t="n">
        <f aca="false">ROUND(TblPop[[#This Row],[Raw max]]*(1+TblPop[[#This Row],[Max pop]]),0)+MIN(TblPop[[#This Row],[Military]]-TblPop[[#This Row],[Draftees]]-SUM(TblMili[[#This Row],[Train Unit 1]:[Train AM]]),(barracks_size + tech_8_3*TblTech[[#This Row],[8-3]])*TblConstr[[#This Row],[Tot Bar]])</f>
        <v>11946</v>
      </c>
      <c r="V6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6" s="69" t="n">
        <f aca="false">MAX(-5%*TblPop[[#This Row],[Peasants]]-TblPop[[#This Row],[Draft Growth]],MIN(OFFSET(TblPop[[#This Row],[Net max]],1,0)-TblPop[[#This Row],[Peasants]]-TblPop[[#This Row],[Military]]-TblPop[[#This Row],[Draft Growth]],TblPop[[#This Row],[Modded Birth]]-TblPop[[#This Row],[Draft Growth]]))</f>
        <v>119</v>
      </c>
      <c r="X66" s="69" t="n">
        <f aca="false">ROUND(TblPop[[#This Row],[Raw Birth]]*(1+TblPop[[#This Row],[Growth]]),0)</f>
        <v>418</v>
      </c>
      <c r="Y66" s="69" t="n">
        <f aca="false">(TblPop[[#This Row],[Peasants]]-TblPop[[#This Row],[Draft Growth]])*raw_pop_growth</f>
        <v>298.02</v>
      </c>
      <c r="Z66" s="69" t="n">
        <f aca="false">IF(TblPop[[#This Row],[Military%]]&lt;TblMili[[#This Row],[Draftrate]],ROUND(TblPop[[#This Row],[Peasants]]*Constants!$B$55,0), 0)</f>
        <v>100</v>
      </c>
      <c r="AA66" s="132"/>
      <c r="AB66" s="109" t="n">
        <f aca="false">Overview!$I$16 + IF(Magic!AE66&gt;0,Constants!$F$78) + ROUND(6*(Construction!BM67+Construction!CK66)/IF(Explore!S67&gt;0,Construction!F67-20,Construction!F67),4) + tech_6_5_2*Techs!BJ66 + tech_8_4*Techs!BT66</f>
        <v>0.4029</v>
      </c>
      <c r="AC66" s="130" t="n">
        <f aca="false">(Overview!$I$15 + Imps!Z66+ tech_2_5*Techs!AB66 + tech_3_6*Techs!AM66 + tech_6_1*Techs!BJ66 + tech_6_5*Techs!BF66 + tech_7_3_2*Techs!BN66) * (1 + Production!O66/100*prestige_pop_multiplier) + Production!O66/100*prestige_pop_multiplier</f>
        <v>0.07625</v>
      </c>
    </row>
    <row r="67" customFormat="false" ht="12.75" hidden="false" customHeight="false" outlineLevel="0" collapsed="false">
      <c r="A67" s="128" t="n">
        <f aca="false">TblRezone[[#This Row],[Hour]]</f>
        <v>64</v>
      </c>
      <c r="B67" s="129" t="n">
        <f aca="false">TblImps[[#This Row],[Time]]</f>
        <v>45432.375</v>
      </c>
      <c r="C67" s="69" t="n">
        <f aca="false">OFFSET(TblPop[[#This Row],[Peasants]],-1,0)+OFFSET(TblPop[[#This Row],[Net Peasant]],-1,0)+TblMili[[#This Row],[Release Draft]]</f>
        <v>10153</v>
      </c>
      <c r="D67" s="69" t="n">
        <f aca="false">TblMili[[#This Row],[Military]]</f>
        <v>2012</v>
      </c>
      <c r="E67" s="69" t="n">
        <f aca="false">TblMili[[#This Row],[Draftees]]</f>
        <v>0</v>
      </c>
      <c r="F67" s="69" t="n">
        <f aca="false">TblPop[[#This Row],[Peasants]]+TblPop[[#This Row],[Military]]</f>
        <v>12165</v>
      </c>
      <c r="G67" s="130" t="n">
        <f aca="false">TblPop[[#This Row],[Military]]/TblPop[[#This Row],[Total]]</f>
        <v>0.165392519523222</v>
      </c>
      <c r="H67" s="95" t="n">
        <f aca="false">MIN(TblPop[[#This Row],[Peasants]],TblPop[[#This Row],[Jobs]])</f>
        <v>10153</v>
      </c>
      <c r="I67" s="130" t="n">
        <f aca="false">MIN(OFFSET(TblPop[[#This Row],[Jobs]],1,0)/TblPop[[#This Row],[Peasants]],1)</f>
        <v>1</v>
      </c>
      <c r="J67" s="95" t="n">
        <f aca="false">SUM(TblConstr[[#This Row],[Tot Alc]:[Tot GT]],TblConstr[[#This Row],[Tot Shr]:[Tot Doc]],TblConstr[[#This Row],[Dest Alc]:[Dest GT]],TblConstr[[#This Row],[Dest Shr]:[Dest Doc]])*building_employment + TblConstr[[#This Row],[Tot Fac]]*bonus_jobs_facts</f>
        <v>11060</v>
      </c>
      <c r="K67" s="131"/>
      <c r="L67" s="33" t="n">
        <f aca="false">TblPop[[#This Row],[Draftees]]</f>
        <v>0</v>
      </c>
      <c r="M67" s="33" t="n">
        <f aca="false">TblMili[[#This Row],[Unit 1]]</f>
        <v>0</v>
      </c>
      <c r="N67" s="33" t="n">
        <f aca="false">TblMili[[#This Row],[Unit 2]]</f>
        <v>0</v>
      </c>
      <c r="O67" s="33" t="n">
        <f aca="false">TblMili[[#This Row],[Unit 3]]</f>
        <v>0</v>
      </c>
      <c r="P67" s="33" t="n">
        <f aca="false">TblMili[[#This Row],[Unit 4]]</f>
        <v>0</v>
      </c>
      <c r="Q67" s="33" t="n">
        <f aca="false">TblMili[[#This Row],[Spies]]</f>
        <v>0</v>
      </c>
      <c r="R67" s="33" t="n">
        <f aca="false">TblMili[[#This Row],[Wizards]]</f>
        <v>0</v>
      </c>
      <c r="S67" s="33" t="n">
        <f aca="false">TblMili[[#This Row],[Archmages]]</f>
        <v>0</v>
      </c>
      <c r="T67" s="132"/>
      <c r="U67" s="69" t="n">
        <f aca="false">ROUND(TblPop[[#This Row],[Raw max]]*(1+TblPop[[#This Row],[Max pop]]),0)+MIN(TblPop[[#This Row],[Military]]-TblPop[[#This Row],[Draftees]]-SUM(TblMili[[#This Row],[Train Unit 1]:[Train AM]]),(barracks_size + tech_8_3*TblTech[[#This Row],[8-3]])*TblConstr[[#This Row],[Tot Bar]])</f>
        <v>12165</v>
      </c>
      <c r="V6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10935</v>
      </c>
      <c r="W67" s="69" t="n">
        <f aca="false">MAX(-5%*TblPop[[#This Row],[Peasants]]-TblPop[[#This Row],[Draft Growth]],MIN(OFFSET(TblPop[[#This Row],[Net max]],1,0)-TblPop[[#This Row],[Peasants]]-TblPop[[#This Row],[Military]]-TblPop[[#This Row],[Draft Growth]],TblPop[[#This Row],[Modded Birth]]-TblPop[[#This Row],[Draft Growth]]))</f>
        <v>116</v>
      </c>
      <c r="X67" s="69" t="n">
        <f aca="false">ROUND(TblPop[[#This Row],[Raw Birth]]*(1+TblPop[[#This Row],[Growth]]),0)</f>
        <v>423</v>
      </c>
      <c r="Y67" s="69" t="n">
        <f aca="false">(TblPop[[#This Row],[Peasants]]-TblPop[[#This Row],[Draft Growth]])*raw_pop_growth</f>
        <v>301.53</v>
      </c>
      <c r="Z67" s="69" t="n">
        <f aca="false">IF(TblPop[[#This Row],[Military%]]&lt;TblMili[[#This Row],[Draftrate]],ROUND(TblPop[[#This Row],[Peasants]]*Constants!$B$55,0), 0)</f>
        <v>102</v>
      </c>
      <c r="AA67" s="132"/>
      <c r="AB67" s="109" t="n">
        <f aca="false">Overview!$I$16 + IF(Magic!AE67&gt;0,Constants!$F$78) + ROUND(6*(Construction!BM68+Construction!CK67)/IF(Explore!S68&gt;0,Construction!F68-20,Construction!F68),4) + tech_6_5_2*Techs!BJ67 + tech_8_4*Techs!BT67</f>
        <v>0.4029</v>
      </c>
      <c r="AC67" s="130" t="n">
        <f aca="false">(Overview!$I$15 + Imps!Z67+ tech_2_5*Techs!AB67 + tech_3_6*Techs!AM67 + tech_6_1*Techs!BJ67 + tech_6_5*Techs!BF67 + tech_7_3_2*Techs!BN67) * (1 + Production!O67/100*prestige_pop_multiplier) + Production!O67/100*prestige_pop_multiplier</f>
        <v>0.07625</v>
      </c>
    </row>
    <row r="68" customFormat="false" ht="12.75" hidden="false" customHeight="false" outlineLevel="0" collapsed="false">
      <c r="A68" s="128" t="n">
        <f aca="false">TblRezone[[#This Row],[Hour]]</f>
        <v>65</v>
      </c>
      <c r="B68" s="129" t="n">
        <f aca="false">TblImps[[#This Row],[Time]]</f>
        <v>45432.4166666667</v>
      </c>
      <c r="C68" s="69" t="n">
        <f aca="false">OFFSET(TblPop[[#This Row],[Peasants]],-1,0)+OFFSET(TblPop[[#This Row],[Net Peasant]],-1,0)+TblMili[[#This Row],[Release Draft]]</f>
        <v>10269</v>
      </c>
      <c r="D68" s="69" t="n">
        <f aca="false">TblMili[[#This Row],[Military]]</f>
        <v>2114</v>
      </c>
      <c r="E68" s="69" t="n">
        <f aca="false">TblMili[[#This Row],[Draftees]]</f>
        <v>3</v>
      </c>
      <c r="F68" s="69" t="n">
        <f aca="false">TblPop[[#This Row],[Peasants]]+TblPop[[#This Row],[Military]]</f>
        <v>12383</v>
      </c>
      <c r="G68" s="130" t="n">
        <f aca="false">TblPop[[#This Row],[Military]]/TblPop[[#This Row],[Total]]</f>
        <v>0.17071791972866</v>
      </c>
      <c r="H68" s="95" t="n">
        <f aca="false">MIN(TblPop[[#This Row],[Peasants]],TblPop[[#This Row],[Jobs]])</f>
        <v>10269</v>
      </c>
      <c r="I68" s="130" t="n">
        <f aca="false">MIN(OFFSET(TblPop[[#This Row],[Jobs]],1,0)/TblPop[[#This Row],[Peasants]],1)</f>
        <v>1</v>
      </c>
      <c r="J68" s="95" t="n">
        <f aca="false">SUM(TblConstr[[#This Row],[Tot Alc]:[Tot GT]],TblConstr[[#This Row],[Tot Shr]:[Tot Doc]],TblConstr[[#This Row],[Dest Alc]:[Dest GT]],TblConstr[[#This Row],[Dest Shr]:[Dest Doc]])*building_employment + TblConstr[[#This Row],[Tot Fac]]*bonus_jobs_facts</f>
        <v>11020</v>
      </c>
      <c r="K68" s="131"/>
      <c r="L68" s="33" t="n">
        <f aca="false">TblPop[[#This Row],[Draftees]]</f>
        <v>3</v>
      </c>
      <c r="M68" s="33" t="n">
        <f aca="false">TblMili[[#This Row],[Unit 1]]</f>
        <v>0</v>
      </c>
      <c r="N68" s="33" t="n">
        <f aca="false">TblMili[[#This Row],[Unit 2]]</f>
        <v>0</v>
      </c>
      <c r="O68" s="33" t="n">
        <f aca="false">TblMili[[#This Row],[Unit 3]]</f>
        <v>0</v>
      </c>
      <c r="P68" s="33" t="n">
        <f aca="false">TblMili[[#This Row],[Unit 4]]</f>
        <v>0</v>
      </c>
      <c r="Q68" s="33" t="n">
        <f aca="false">TblMili[[#This Row],[Spies]]</f>
        <v>0</v>
      </c>
      <c r="R68" s="33" t="n">
        <f aca="false">TblMili[[#This Row],[Wizards]]</f>
        <v>0</v>
      </c>
      <c r="S68" s="33" t="n">
        <f aca="false">TblMili[[#This Row],[Archmages]]</f>
        <v>0</v>
      </c>
      <c r="T68" s="132"/>
      <c r="U68" s="69" t="n">
        <f aca="false">ROUND(TblPop[[#This Row],[Raw max]]*(1+TblPop[[#This Row],[Max pop]]),0)+MIN(TblPop[[#This Row],[Military]]-TblPop[[#This Row],[Draftees]]-SUM(TblMili[[#This Row],[Train Unit 1]:[Train AM]]),(barracks_size + tech_8_3*TblTech[[#This Row],[8-3]])*TblConstr[[#This Row],[Tot Bar]])</f>
        <v>12383</v>
      </c>
      <c r="V6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10770</v>
      </c>
      <c r="W68" s="69" t="n">
        <f aca="false">MAX(-5%*TblPop[[#This Row],[Peasants]]-TblPop[[#This Row],[Draft Growth]],MIN(OFFSET(TblPop[[#This Row],[Net max]],1,0)-TblPop[[#This Row],[Peasants]]-TblPop[[#This Row],[Military]]-TblPop[[#This Row],[Draft Growth]],TblPop[[#This Row],[Modded Birth]]-TblPop[[#This Row],[Draft Growth]]))</f>
        <v>135</v>
      </c>
      <c r="X68" s="69" t="n">
        <f aca="false">ROUND(TblPop[[#This Row],[Raw Birth]]*(1+TblPop[[#This Row],[Growth]]),0)</f>
        <v>428</v>
      </c>
      <c r="Y68" s="69" t="n">
        <f aca="false">(TblPop[[#This Row],[Peasants]]-TblPop[[#This Row],[Draft Growth]])*raw_pop_growth</f>
        <v>304.98</v>
      </c>
      <c r="Z68" s="69" t="n">
        <f aca="false">IF(TblPop[[#This Row],[Military%]]&lt;TblMili[[#This Row],[Draftrate]],ROUND(TblPop[[#This Row],[Peasants]]*Constants!$B$55,0), 0)</f>
        <v>103</v>
      </c>
      <c r="AA68" s="132"/>
      <c r="AB68" s="109" t="n">
        <f aca="false">Overview!$I$16 + IF(Magic!AE68&gt;0,Constants!$F$78) + ROUND(6*(Construction!BM69+Construction!CK68)/IF(Explore!S69&gt;0,Construction!F69-20,Construction!F69),4) + tech_6_5_2*Techs!BJ68 + tech_8_4*Techs!BT68</f>
        <v>0.4029</v>
      </c>
      <c r="AC68" s="130" t="n">
        <f aca="false">(Overview!$I$15 + Imps!Z68+ tech_2_5*Techs!AB68 + tech_3_6*Techs!AM68 + tech_6_1*Techs!BJ68 + tech_6_5*Techs!BF68 + tech_7_3_2*Techs!BN68) * (1 + Production!O68/100*prestige_pop_multiplier) + Production!O68/100*prestige_pop_multiplier</f>
        <v>0.07625</v>
      </c>
    </row>
    <row r="69" customFormat="false" ht="12.75" hidden="false" customHeight="false" outlineLevel="0" collapsed="false">
      <c r="A69" s="128" t="n">
        <f aca="false">TblRezone[[#This Row],[Hour]]</f>
        <v>66</v>
      </c>
      <c r="B69" s="129" t="n">
        <f aca="false">TblImps[[#This Row],[Time]]</f>
        <v>45432.4583333333</v>
      </c>
      <c r="C69" s="69" t="n">
        <f aca="false">OFFSET(TblPop[[#This Row],[Peasants]],-1,0)+OFFSET(TblPop[[#This Row],[Net Peasant]],-1,0)+TblMili[[#This Row],[Release Draft]]</f>
        <v>10404</v>
      </c>
      <c r="D69" s="69" t="n">
        <f aca="false">TblMili[[#This Row],[Military]]</f>
        <v>2217</v>
      </c>
      <c r="E69" s="69" t="n">
        <f aca="false">TblMili[[#This Row],[Draftees]]</f>
        <v>6</v>
      </c>
      <c r="F69" s="69" t="n">
        <f aca="false">TblPop[[#This Row],[Peasants]]+TblPop[[#This Row],[Military]]</f>
        <v>12621</v>
      </c>
      <c r="G69" s="130" t="n">
        <f aca="false">TblPop[[#This Row],[Military]]/TblPop[[#This Row],[Total]]</f>
        <v>0.175659614927502</v>
      </c>
      <c r="H69" s="95" t="n">
        <f aca="false">MIN(TblPop[[#This Row],[Peasants]],TblPop[[#This Row],[Jobs]])</f>
        <v>10404</v>
      </c>
      <c r="I69" s="130" t="n">
        <f aca="false">MIN(OFFSET(TblPop[[#This Row],[Jobs]],1,0)/TblPop[[#This Row],[Peasants]],1)</f>
        <v>1</v>
      </c>
      <c r="J69" s="95" t="n">
        <f aca="false">SUM(TblConstr[[#This Row],[Tot Alc]:[Tot GT]],TblConstr[[#This Row],[Tot Shr]:[Tot Doc]],TblConstr[[#This Row],[Dest Alc]:[Dest GT]],TblConstr[[#This Row],[Dest Shr]:[Dest Doc]])*building_employment + TblConstr[[#This Row],[Tot Fac]]*bonus_jobs_facts</f>
        <v>11020</v>
      </c>
      <c r="K69" s="131"/>
      <c r="L69" s="33" t="n">
        <f aca="false">TblPop[[#This Row],[Draftees]]</f>
        <v>6</v>
      </c>
      <c r="M69" s="33" t="n">
        <f aca="false">TblMili[[#This Row],[Unit 1]]</f>
        <v>0</v>
      </c>
      <c r="N69" s="33" t="n">
        <f aca="false">TblMili[[#This Row],[Unit 2]]</f>
        <v>0</v>
      </c>
      <c r="O69" s="33" t="n">
        <f aca="false">TblMili[[#This Row],[Unit 3]]</f>
        <v>0</v>
      </c>
      <c r="P69" s="33" t="n">
        <f aca="false">TblMili[[#This Row],[Unit 4]]</f>
        <v>0</v>
      </c>
      <c r="Q69" s="33" t="n">
        <f aca="false">TblMili[[#This Row],[Spies]]</f>
        <v>0</v>
      </c>
      <c r="R69" s="33" t="n">
        <f aca="false">TblMili[[#This Row],[Wizards]]</f>
        <v>0</v>
      </c>
      <c r="S69" s="33" t="n">
        <f aca="false">TblMili[[#This Row],[Archmages]]</f>
        <v>0</v>
      </c>
      <c r="T69" s="132"/>
      <c r="U69" s="69" t="n">
        <f aca="false">ROUND(TblPop[[#This Row],[Raw max]]*(1+TblPop[[#This Row],[Max pop]]),0)+MIN(TblPop[[#This Row],[Military]]-TblPop[[#This Row],[Draftees]]-SUM(TblMili[[#This Row],[Train Unit 1]:[Train AM]]),(barracks_size + tech_8_3*TblTech[[#This Row],[8-3]])*TblConstr[[#This Row],[Tot Bar]])</f>
        <v>12621</v>
      </c>
      <c r="V6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10590</v>
      </c>
      <c r="W69" s="69" t="n">
        <f aca="false">MAX(-5%*TblPop[[#This Row],[Peasants]]-TblPop[[#This Row],[Draft Growth]],MIN(OFFSET(TblPop[[#This Row],[Net max]],1,0)-TblPop[[#This Row],[Peasants]]-TblPop[[#This Row],[Military]]-TblPop[[#This Row],[Draft Growth]],TblPop[[#This Row],[Modded Birth]]-TblPop[[#This Row],[Draft Growth]]))</f>
        <v>-24</v>
      </c>
      <c r="X69" s="69" t="n">
        <f aca="false">ROUND(TblPop[[#This Row],[Raw Birth]]*(1+TblPop[[#This Row],[Growth]]),0)</f>
        <v>433</v>
      </c>
      <c r="Y69" s="69" t="n">
        <f aca="false">(TblPop[[#This Row],[Peasants]]-TblPop[[#This Row],[Draft Growth]])*raw_pop_growth</f>
        <v>309</v>
      </c>
      <c r="Z69" s="69" t="n">
        <f aca="false">IF(TblPop[[#This Row],[Military%]]&lt;TblMili[[#This Row],[Draftrate]],ROUND(TblPop[[#This Row],[Peasants]]*Constants!$B$55,0), 0)</f>
        <v>104</v>
      </c>
      <c r="AA69" s="132"/>
      <c r="AB69" s="109" t="n">
        <f aca="false">Overview!$I$16 + IF(Magic!AE69&gt;0,Constants!$F$78) + ROUND(6*(Construction!BM70+Construction!CK69)/IF(Explore!S70&gt;0,Construction!F70-20,Construction!F70),4) + tech_6_5_2*Techs!BJ69 + tech_8_4*Techs!BT69</f>
        <v>0.4029</v>
      </c>
      <c r="AC69" s="130" t="n">
        <f aca="false">(Overview!$I$15 + Imps!Z69+ tech_2_5*Techs!AB69 + tech_3_6*Techs!AM69 + tech_6_1*Techs!BJ69 + tech_6_5*Techs!BF69 + tech_7_3_2*Techs!BN69) * (1 + Production!O69/100*prestige_pop_multiplier) + Production!O69/100*prestige_pop_multiplier</f>
        <v>0.07625</v>
      </c>
    </row>
    <row r="70" customFormat="false" ht="12.75" hidden="false" customHeight="false" outlineLevel="0" collapsed="false">
      <c r="A70" s="128" t="n">
        <f aca="false">TblRezone[[#This Row],[Hour]]</f>
        <v>67</v>
      </c>
      <c r="B70" s="129" t="n">
        <f aca="false">TblImps[[#This Row],[Time]]</f>
        <v>45432.5</v>
      </c>
      <c r="C70" s="69" t="n">
        <f aca="false">OFFSET(TblPop[[#This Row],[Peasants]],-1,0)+OFFSET(TblPop[[#This Row],[Net Peasant]],-1,0)+TblMili[[#This Row],[Release Draft]]</f>
        <v>10380</v>
      </c>
      <c r="D70" s="69" t="n">
        <f aca="false">TblMili[[#This Row],[Military]]</f>
        <v>2321</v>
      </c>
      <c r="E70" s="69" t="n">
        <f aca="false">TblMili[[#This Row],[Draftees]]</f>
        <v>0</v>
      </c>
      <c r="F70" s="69" t="n">
        <f aca="false">TblPop[[#This Row],[Peasants]]+TblPop[[#This Row],[Military]]</f>
        <v>12701</v>
      </c>
      <c r="G70" s="130" t="n">
        <f aca="false">TblPop[[#This Row],[Military]]/TblPop[[#This Row],[Total]]</f>
        <v>0.18274151641603</v>
      </c>
      <c r="H70" s="95" t="n">
        <f aca="false">MIN(TblPop[[#This Row],[Peasants]],TblPop[[#This Row],[Jobs]])</f>
        <v>10380</v>
      </c>
      <c r="I70" s="130" t="n">
        <f aca="false">MIN(OFFSET(TblPop[[#This Row],[Jobs]],1,0)/TblPop[[#This Row],[Peasants]],1)</f>
        <v>1</v>
      </c>
      <c r="J70" s="95" t="n">
        <f aca="false">SUM(TblConstr[[#This Row],[Tot Alc]:[Tot GT]],TblConstr[[#This Row],[Tot Shr]:[Tot Doc]],TblConstr[[#This Row],[Dest Alc]:[Dest GT]],TblConstr[[#This Row],[Dest Shr]:[Dest Doc]])*building_employment + TblConstr[[#This Row],[Tot Fac]]*bonus_jobs_facts</f>
        <v>11100</v>
      </c>
      <c r="K70" s="131"/>
      <c r="L70" s="33" t="n">
        <f aca="false">TblPop[[#This Row],[Draftees]]</f>
        <v>0</v>
      </c>
      <c r="M70" s="33" t="n">
        <f aca="false">TblMili[[#This Row],[Unit 1]]</f>
        <v>0</v>
      </c>
      <c r="N70" s="33" t="n">
        <f aca="false">TblMili[[#This Row],[Unit 2]]</f>
        <v>0</v>
      </c>
      <c r="O70" s="33" t="n">
        <f aca="false">TblMili[[#This Row],[Unit 3]]</f>
        <v>0</v>
      </c>
      <c r="P70" s="33" t="n">
        <f aca="false">TblMili[[#This Row],[Unit 4]]</f>
        <v>0</v>
      </c>
      <c r="Q70" s="33" t="n">
        <f aca="false">TblMili[[#This Row],[Spies]]</f>
        <v>0</v>
      </c>
      <c r="R70" s="33" t="n">
        <f aca="false">TblMili[[#This Row],[Wizards]]</f>
        <v>0</v>
      </c>
      <c r="S70" s="33" t="n">
        <f aca="false">TblMili[[#This Row],[Archmages]]</f>
        <v>0</v>
      </c>
      <c r="T70" s="132"/>
      <c r="U70" s="69" t="n">
        <f aca="false">ROUND(TblPop[[#This Row],[Raw max]]*(1+TblPop[[#This Row],[Max pop]]),0)+MIN(TblPop[[#This Row],[Military]]-TblPop[[#This Row],[Draftees]]-SUM(TblMili[[#This Row],[Train Unit 1]:[Train AM]]),(barracks_size + tech_8_3*TblTech[[#This Row],[8-3]])*TblConstr[[#This Row],[Tot Bar]])</f>
        <v>12701</v>
      </c>
      <c r="V7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0" s="69" t="n">
        <f aca="false">MAX(-5%*TblPop[[#This Row],[Peasants]]-TblPop[[#This Row],[Draft Growth]],MIN(OFFSET(TblPop[[#This Row],[Net max]],1,0)-TblPop[[#This Row],[Peasants]]-TblPop[[#This Row],[Military]]-TblPop[[#This Row],[Draft Growth]],TblPop[[#This Row],[Modded Birth]]-TblPop[[#This Row],[Draft Growth]]))</f>
        <v>-104</v>
      </c>
      <c r="X70" s="69" t="n">
        <f aca="false">ROUND(TblPop[[#This Row],[Raw Birth]]*(1+TblPop[[#This Row],[Growth]]),0)</f>
        <v>432</v>
      </c>
      <c r="Y70" s="69" t="n">
        <f aca="false">(TblPop[[#This Row],[Peasants]]-TblPop[[#This Row],[Draft Growth]])*raw_pop_growth</f>
        <v>308.28</v>
      </c>
      <c r="Z70" s="69" t="n">
        <f aca="false">IF(TblPop[[#This Row],[Military%]]&lt;TblMili[[#This Row],[Draftrate]],ROUND(TblPop[[#This Row],[Peasants]]*Constants!$B$55,0), 0)</f>
        <v>104</v>
      </c>
      <c r="AA70" s="132"/>
      <c r="AB70" s="109" t="n">
        <f aca="false">Overview!$I$16 + IF(Magic!AE70&gt;0,Constants!$F$78) + ROUND(6*(Construction!BM71+Construction!CK70)/IF(Explore!S71&gt;0,Construction!F71-20,Construction!F71),4) + tech_6_5_2*Techs!BJ70 + tech_8_4*Techs!BT70</f>
        <v>0.4029</v>
      </c>
      <c r="AC70" s="130" t="n">
        <f aca="false">(Overview!$I$15 + Imps!Z70+ tech_2_5*Techs!AB70 + tech_3_6*Techs!AM70 + tech_6_1*Techs!BJ70 + tech_6_5*Techs!BF70 + tech_7_3_2*Techs!BN70) * (1 + Production!O70/100*prestige_pop_multiplier) + Production!O70/100*prestige_pop_multiplier</f>
        <v>0.07625</v>
      </c>
    </row>
    <row r="71" customFormat="false" ht="12.75" hidden="false" customHeight="false" outlineLevel="0" collapsed="false">
      <c r="A71" s="128" t="n">
        <f aca="false">TblRezone[[#This Row],[Hour]]</f>
        <v>68</v>
      </c>
      <c r="B71" s="129" t="n">
        <f aca="false">TblImps[[#This Row],[Time]]</f>
        <v>45432.5416666667</v>
      </c>
      <c r="C71" s="69" t="n">
        <f aca="false">OFFSET(TblPop[[#This Row],[Peasants]],-1,0)+OFFSET(TblPop[[#This Row],[Net Peasant]],-1,0)+TblMili[[#This Row],[Release Draft]]</f>
        <v>10276</v>
      </c>
      <c r="D71" s="69" t="n">
        <f aca="false">TblMili[[#This Row],[Military]]</f>
        <v>2425</v>
      </c>
      <c r="E71" s="69" t="n">
        <f aca="false">TblMili[[#This Row],[Draftees]]</f>
        <v>0</v>
      </c>
      <c r="F71" s="69" t="n">
        <f aca="false">TblPop[[#This Row],[Peasants]]+TblPop[[#This Row],[Military]]</f>
        <v>12701</v>
      </c>
      <c r="G71" s="130" t="n">
        <f aca="false">TblPop[[#This Row],[Military]]/TblPop[[#This Row],[Total]]</f>
        <v>0.190929848043461</v>
      </c>
      <c r="H71" s="95" t="n">
        <f aca="false">MIN(TblPop[[#This Row],[Peasants]],TblPop[[#This Row],[Jobs]])</f>
        <v>10276</v>
      </c>
      <c r="I71" s="130" t="n">
        <f aca="false">MIN(OFFSET(TblPop[[#This Row],[Jobs]],1,0)/TblPop[[#This Row],[Peasants]],1)</f>
        <v>1</v>
      </c>
      <c r="J71" s="95" t="n">
        <f aca="false">SUM(TblConstr[[#This Row],[Tot Alc]:[Tot GT]],TblConstr[[#This Row],[Tot Shr]:[Tot Doc]],TblConstr[[#This Row],[Dest Alc]:[Dest GT]],TblConstr[[#This Row],[Dest Shr]:[Dest Doc]])*building_employment + TblConstr[[#This Row],[Tot Fac]]*bonus_jobs_facts</f>
        <v>11120</v>
      </c>
      <c r="K71" s="131"/>
      <c r="L71" s="33" t="n">
        <f aca="false">TblPop[[#This Row],[Draftees]]</f>
        <v>0</v>
      </c>
      <c r="M71" s="33" t="n">
        <f aca="false">TblMili[[#This Row],[Unit 1]]</f>
        <v>0</v>
      </c>
      <c r="N71" s="33" t="n">
        <f aca="false">TblMili[[#This Row],[Unit 2]]</f>
        <v>0</v>
      </c>
      <c r="O71" s="33" t="n">
        <f aca="false">TblMili[[#This Row],[Unit 3]]</f>
        <v>0</v>
      </c>
      <c r="P71" s="33" t="n">
        <f aca="false">TblMili[[#This Row],[Unit 4]]</f>
        <v>0</v>
      </c>
      <c r="Q71" s="33" t="n">
        <f aca="false">TblMili[[#This Row],[Spies]]</f>
        <v>0</v>
      </c>
      <c r="R71" s="33" t="n">
        <f aca="false">TblMili[[#This Row],[Wizards]]</f>
        <v>0</v>
      </c>
      <c r="S71" s="33" t="n">
        <f aca="false">TblMili[[#This Row],[Archmages]]</f>
        <v>0</v>
      </c>
      <c r="T71" s="132"/>
      <c r="U71" s="69" t="n">
        <f aca="false">ROUND(TblPop[[#This Row],[Raw max]]*(1+TblPop[[#This Row],[Max pop]]),0)+MIN(TblPop[[#This Row],[Military]]-TblPop[[#This Row],[Draftees]]-SUM(TblMili[[#This Row],[Train Unit 1]:[Train AM]]),(barracks_size + tech_8_3*TblTech[[#This Row],[8-3]])*TblConstr[[#This Row],[Tot Bar]])</f>
        <v>12701</v>
      </c>
      <c r="V7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1" s="69" t="n">
        <f aca="false">MAX(-5%*TblPop[[#This Row],[Peasants]]-TblPop[[#This Row],[Draft Growth]],MIN(OFFSET(TblPop[[#This Row],[Net max]],1,0)-TblPop[[#This Row],[Peasants]]-TblPop[[#This Row],[Military]]-TblPop[[#This Row],[Draft Growth]],TblPop[[#This Row],[Modded Birth]]-TblPop[[#This Row],[Draft Growth]]))</f>
        <v>-103</v>
      </c>
      <c r="X71" s="69" t="n">
        <f aca="false">ROUND(TblPop[[#This Row],[Raw Birth]]*(1+TblPop[[#This Row],[Growth]]),0)</f>
        <v>428</v>
      </c>
      <c r="Y71" s="69" t="n">
        <f aca="false">(TblPop[[#This Row],[Peasants]]-TblPop[[#This Row],[Draft Growth]])*raw_pop_growth</f>
        <v>305.19</v>
      </c>
      <c r="Z71" s="69" t="n">
        <f aca="false">IF(TblPop[[#This Row],[Military%]]&lt;TblMili[[#This Row],[Draftrate]],ROUND(TblPop[[#This Row],[Peasants]]*Constants!$B$55,0), 0)</f>
        <v>103</v>
      </c>
      <c r="AA71" s="132"/>
      <c r="AB71" s="109" t="n">
        <f aca="false">Overview!$I$16 + IF(Magic!AE71&gt;0,Constants!$F$78) + ROUND(6*(Construction!BM72+Construction!CK71)/IF(Explore!S72&gt;0,Construction!F72-20,Construction!F72),4) + tech_6_5_2*Techs!BJ71 + tech_8_4*Techs!BT71</f>
        <v>0.4029</v>
      </c>
      <c r="AC71" s="130" t="n">
        <f aca="false">(Overview!$I$15 + Imps!Z71+ tech_2_5*Techs!AB71 + tech_3_6*Techs!AM71 + tech_6_1*Techs!BJ71 + tech_6_5*Techs!BF71 + tech_7_3_2*Techs!BN71) * (1 + Production!O71/100*prestige_pop_multiplier) + Production!O71/100*prestige_pop_multiplier</f>
        <v>0.07625</v>
      </c>
    </row>
    <row r="72" customFormat="false" ht="12.75" hidden="false" customHeight="false" outlineLevel="0" collapsed="false">
      <c r="A72" s="128" t="n">
        <f aca="false">TblRezone[[#This Row],[Hour]]</f>
        <v>69</v>
      </c>
      <c r="B72" s="129" t="n">
        <f aca="false">TblImps[[#This Row],[Time]]</f>
        <v>45432.5833333333</v>
      </c>
      <c r="C72" s="69" t="n">
        <f aca="false">OFFSET(TblPop[[#This Row],[Peasants]],-1,0)+OFFSET(TblPop[[#This Row],[Net Peasant]],-1,0)+TblMili[[#This Row],[Release Draft]]</f>
        <v>10173</v>
      </c>
      <c r="D72" s="69" t="n">
        <f aca="false">TblMili[[#This Row],[Military]]</f>
        <v>2528</v>
      </c>
      <c r="E72" s="69" t="n">
        <f aca="false">TblMili[[#This Row],[Draftees]]</f>
        <v>0</v>
      </c>
      <c r="F72" s="69" t="n">
        <f aca="false">TblPop[[#This Row],[Peasants]]+TblPop[[#This Row],[Military]]</f>
        <v>12701</v>
      </c>
      <c r="G72" s="130" t="n">
        <f aca="false">TblPop[[#This Row],[Military]]/TblPop[[#This Row],[Total]]</f>
        <v>0.199039445712936</v>
      </c>
      <c r="H72" s="95" t="n">
        <f aca="false">MIN(TblPop[[#This Row],[Peasants]],TblPop[[#This Row],[Jobs]])</f>
        <v>10173</v>
      </c>
      <c r="I72" s="130" t="n">
        <f aca="false">MIN(OFFSET(TblPop[[#This Row],[Jobs]],1,0)/TblPop[[#This Row],[Peasants]],1)</f>
        <v>1</v>
      </c>
      <c r="J72" s="95" t="n">
        <f aca="false">SUM(TblConstr[[#This Row],[Tot Alc]:[Tot GT]],TblConstr[[#This Row],[Tot Shr]:[Tot Doc]],TblConstr[[#This Row],[Dest Alc]:[Dest GT]],TblConstr[[#This Row],[Dest Shr]:[Dest Doc]])*building_employment + TblConstr[[#This Row],[Tot Fac]]*bonus_jobs_facts</f>
        <v>11140</v>
      </c>
      <c r="K72" s="131"/>
      <c r="L72" s="33" t="n">
        <f aca="false">TblPop[[#This Row],[Draftees]]</f>
        <v>0</v>
      </c>
      <c r="M72" s="33" t="n">
        <f aca="false">TblMili[[#This Row],[Unit 1]]</f>
        <v>0</v>
      </c>
      <c r="N72" s="33" t="n">
        <f aca="false">TblMili[[#This Row],[Unit 2]]</f>
        <v>0</v>
      </c>
      <c r="O72" s="33" t="n">
        <f aca="false">TblMili[[#This Row],[Unit 3]]</f>
        <v>0</v>
      </c>
      <c r="P72" s="33" t="n">
        <f aca="false">TblMili[[#This Row],[Unit 4]]</f>
        <v>0</v>
      </c>
      <c r="Q72" s="33" t="n">
        <f aca="false">TblMili[[#This Row],[Spies]]</f>
        <v>0</v>
      </c>
      <c r="R72" s="33" t="n">
        <f aca="false">TblMili[[#This Row],[Wizards]]</f>
        <v>0</v>
      </c>
      <c r="S72" s="33" t="n">
        <f aca="false">TblMili[[#This Row],[Archmages]]</f>
        <v>0</v>
      </c>
      <c r="T72" s="132"/>
      <c r="U72" s="69" t="n">
        <f aca="false">ROUND(TblPop[[#This Row],[Raw max]]*(1+TblPop[[#This Row],[Max pop]]),0)+MIN(TblPop[[#This Row],[Military]]-TblPop[[#This Row],[Draftees]]-SUM(TblMili[[#This Row],[Train Unit 1]:[Train AM]]),(barracks_size + tech_8_3*TblTech[[#This Row],[8-3]])*TblConstr[[#This Row],[Tot Bar]])</f>
        <v>12701</v>
      </c>
      <c r="V7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2" s="69" t="n">
        <f aca="false">MAX(-5%*TblPop[[#This Row],[Peasants]]-TblPop[[#This Row],[Draft Growth]],MIN(OFFSET(TblPop[[#This Row],[Net max]],1,0)-TblPop[[#This Row],[Peasants]]-TblPop[[#This Row],[Military]]-TblPop[[#This Row],[Draft Growth]],TblPop[[#This Row],[Modded Birth]]-TblPop[[#This Row],[Draft Growth]]))</f>
        <v>-102</v>
      </c>
      <c r="X72" s="69" t="n">
        <f aca="false">ROUND(TblPop[[#This Row],[Raw Birth]]*(1+TblPop[[#This Row],[Growth]]),0)</f>
        <v>424</v>
      </c>
      <c r="Y72" s="69" t="n">
        <f aca="false">(TblPop[[#This Row],[Peasants]]-TblPop[[#This Row],[Draft Growth]])*raw_pop_growth</f>
        <v>302.13</v>
      </c>
      <c r="Z72" s="69" t="n">
        <f aca="false">IF(TblPop[[#This Row],[Military%]]&lt;TblMili[[#This Row],[Draftrate]],ROUND(TblPop[[#This Row],[Peasants]]*Constants!$B$55,0), 0)</f>
        <v>102</v>
      </c>
      <c r="AA72" s="132"/>
      <c r="AB72" s="109" t="n">
        <f aca="false">Overview!$I$16 + IF(Magic!AE72&gt;0,Constants!$F$78) + ROUND(6*(Construction!BM73+Construction!CK72)/IF(Explore!S73&gt;0,Construction!F73-20,Construction!F73),4) + tech_6_5_2*Techs!BJ72 + tech_8_4*Techs!BT72</f>
        <v>0.4029</v>
      </c>
      <c r="AC72" s="130" t="n">
        <f aca="false">(Overview!$I$15 + Imps!Z72+ tech_2_5*Techs!AB72 + tech_3_6*Techs!AM72 + tech_6_1*Techs!BJ72 + tech_6_5*Techs!BF72 + tech_7_3_2*Techs!BN72) * (1 + Production!O72/100*prestige_pop_multiplier) + Production!O72/100*prestige_pop_multiplier</f>
        <v>0.07625</v>
      </c>
    </row>
    <row r="73" customFormat="false" ht="12.75" hidden="false" customHeight="false" outlineLevel="0" collapsed="false">
      <c r="A73" s="128" t="n">
        <f aca="false">TblRezone[[#This Row],[Hour]]</f>
        <v>70</v>
      </c>
      <c r="B73" s="129" t="n">
        <f aca="false">TblImps[[#This Row],[Time]]</f>
        <v>45432.625</v>
      </c>
      <c r="C73" s="69" t="n">
        <f aca="false">OFFSET(TblPop[[#This Row],[Peasants]],-1,0)+OFFSET(TblPop[[#This Row],[Net Peasant]],-1,0)+TblMili[[#This Row],[Release Draft]]</f>
        <v>10071</v>
      </c>
      <c r="D73" s="69" t="n">
        <f aca="false">TblMili[[#This Row],[Military]]</f>
        <v>2630</v>
      </c>
      <c r="E73" s="69" t="n">
        <f aca="false">TblMili[[#This Row],[Draftees]]</f>
        <v>0</v>
      </c>
      <c r="F73" s="69" t="n">
        <f aca="false">TblPop[[#This Row],[Peasants]]+TblPop[[#This Row],[Military]]</f>
        <v>12701</v>
      </c>
      <c r="G73" s="130" t="n">
        <f aca="false">TblPop[[#This Row],[Military]]/TblPop[[#This Row],[Total]]</f>
        <v>0.207070309424455</v>
      </c>
      <c r="H73" s="95" t="n">
        <f aca="false">MIN(TblPop[[#This Row],[Peasants]],TblPop[[#This Row],[Jobs]])</f>
        <v>10071</v>
      </c>
      <c r="I73" s="130" t="n">
        <f aca="false">MIN(OFFSET(TblPop[[#This Row],[Jobs]],1,0)/TblPop[[#This Row],[Peasants]],1)</f>
        <v>1</v>
      </c>
      <c r="J73" s="95" t="n">
        <f aca="false">SUM(TblConstr[[#This Row],[Tot Alc]:[Tot GT]],TblConstr[[#This Row],[Tot Shr]:[Tot Doc]],TblConstr[[#This Row],[Dest Alc]:[Dest GT]],TblConstr[[#This Row],[Dest Shr]:[Dest Doc]])*building_employment + TblConstr[[#This Row],[Tot Fac]]*bonus_jobs_facts</f>
        <v>11160</v>
      </c>
      <c r="K73" s="131"/>
      <c r="L73" s="33" t="n">
        <f aca="false">TblPop[[#This Row],[Draftees]]</f>
        <v>0</v>
      </c>
      <c r="M73" s="33" t="n">
        <f aca="false">TblMili[[#This Row],[Unit 1]]</f>
        <v>0</v>
      </c>
      <c r="N73" s="33" t="n">
        <f aca="false">TblMili[[#This Row],[Unit 2]]</f>
        <v>0</v>
      </c>
      <c r="O73" s="33" t="n">
        <f aca="false">TblMili[[#This Row],[Unit 3]]</f>
        <v>0</v>
      </c>
      <c r="P73" s="33" t="n">
        <f aca="false">TblMili[[#This Row],[Unit 4]]</f>
        <v>0</v>
      </c>
      <c r="Q73" s="33" t="n">
        <f aca="false">TblMili[[#This Row],[Spies]]</f>
        <v>0</v>
      </c>
      <c r="R73" s="33" t="n">
        <f aca="false">TblMili[[#This Row],[Wizards]]</f>
        <v>0</v>
      </c>
      <c r="S73" s="33" t="n">
        <f aca="false">TblMili[[#This Row],[Archmages]]</f>
        <v>0</v>
      </c>
      <c r="T73" s="132"/>
      <c r="U73" s="69" t="n">
        <f aca="false">ROUND(TblPop[[#This Row],[Raw max]]*(1+TblPop[[#This Row],[Max pop]]),0)+MIN(TblPop[[#This Row],[Military]]-TblPop[[#This Row],[Draftees]]-SUM(TblMili[[#This Row],[Train Unit 1]:[Train AM]]),(barracks_size + tech_8_3*TblTech[[#This Row],[8-3]])*TblConstr[[#This Row],[Tot Bar]])</f>
        <v>12701</v>
      </c>
      <c r="V7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3" s="69" t="n">
        <f aca="false">MAX(-5%*TblPop[[#This Row],[Peasants]]-TblPop[[#This Row],[Draft Growth]],MIN(OFFSET(TblPop[[#This Row],[Net max]],1,0)-TblPop[[#This Row],[Peasants]]-TblPop[[#This Row],[Military]]-TblPop[[#This Row],[Draft Growth]],TblPop[[#This Row],[Modded Birth]]-TblPop[[#This Row],[Draft Growth]]))</f>
        <v>-101</v>
      </c>
      <c r="X73" s="69" t="n">
        <f aca="false">ROUND(TblPop[[#This Row],[Raw Birth]]*(1+TblPop[[#This Row],[Growth]]),0)</f>
        <v>420</v>
      </c>
      <c r="Y73" s="69" t="n">
        <f aca="false">(TblPop[[#This Row],[Peasants]]-TblPop[[#This Row],[Draft Growth]])*raw_pop_growth</f>
        <v>299.1</v>
      </c>
      <c r="Z73" s="69" t="n">
        <f aca="false">IF(TblPop[[#This Row],[Military%]]&lt;TblMili[[#This Row],[Draftrate]],ROUND(TblPop[[#This Row],[Peasants]]*Constants!$B$55,0), 0)</f>
        <v>101</v>
      </c>
      <c r="AA73" s="132"/>
      <c r="AB73" s="109" t="n">
        <f aca="false">Overview!$I$16 + IF(Magic!AE73&gt;0,Constants!$F$78) + ROUND(6*(Construction!BM74+Construction!CK73)/IF(Explore!S74&gt;0,Construction!F74-20,Construction!F74),4) + tech_6_5_2*Techs!BJ73 + tech_8_4*Techs!BT73</f>
        <v>0.4029</v>
      </c>
      <c r="AC73" s="130" t="n">
        <f aca="false">(Overview!$I$15 + Imps!Z73+ tech_2_5*Techs!AB73 + tech_3_6*Techs!AM73 + tech_6_1*Techs!BJ73 + tech_6_5*Techs!BF73 + tech_7_3_2*Techs!BN73) * (1 + Production!O73/100*prestige_pop_multiplier) + Production!O73/100*prestige_pop_multiplier</f>
        <v>0.07625</v>
      </c>
    </row>
    <row r="74" customFormat="false" ht="12.75" hidden="false" customHeight="false" outlineLevel="0" collapsed="false">
      <c r="A74" s="128" t="n">
        <f aca="false">TblRezone[[#This Row],[Hour]]</f>
        <v>71</v>
      </c>
      <c r="B74" s="129" t="n">
        <f aca="false">TblImps[[#This Row],[Time]]</f>
        <v>45432.6666666667</v>
      </c>
      <c r="C74" s="69" t="n">
        <f aca="false">OFFSET(TblPop[[#This Row],[Peasants]],-1,0)+OFFSET(TblPop[[#This Row],[Net Peasant]],-1,0)+TblMili[[#This Row],[Release Draft]]</f>
        <v>9970</v>
      </c>
      <c r="D74" s="69" t="n">
        <f aca="false">TblMili[[#This Row],[Military]]</f>
        <v>2731</v>
      </c>
      <c r="E74" s="69" t="n">
        <f aca="false">TblMili[[#This Row],[Draftees]]</f>
        <v>0</v>
      </c>
      <c r="F74" s="69" t="n">
        <f aca="false">TblPop[[#This Row],[Peasants]]+TblPop[[#This Row],[Military]]</f>
        <v>12701</v>
      </c>
      <c r="G74" s="130" t="n">
        <f aca="false">TblPop[[#This Row],[Military]]/TblPop[[#This Row],[Total]]</f>
        <v>0.215022439178017</v>
      </c>
      <c r="H74" s="95" t="n">
        <f aca="false">MIN(TblPop[[#This Row],[Peasants]],TblPop[[#This Row],[Jobs]])</f>
        <v>9970</v>
      </c>
      <c r="I74" s="130" t="n">
        <f aca="false">MIN(OFFSET(TblPop[[#This Row],[Jobs]],1,0)/TblPop[[#This Row],[Peasants]],1)</f>
        <v>1</v>
      </c>
      <c r="J74" s="95" t="n">
        <f aca="false">SUM(TblConstr[[#This Row],[Tot Alc]:[Tot GT]],TblConstr[[#This Row],[Tot Shr]:[Tot Doc]],TblConstr[[#This Row],[Dest Alc]:[Dest GT]],TblConstr[[#This Row],[Dest Shr]:[Dest Doc]])*building_employment + TblConstr[[#This Row],[Tot Fac]]*bonus_jobs_facts</f>
        <v>11180</v>
      </c>
      <c r="K74" s="131"/>
      <c r="L74" s="33" t="n">
        <f aca="false">TblPop[[#This Row],[Draftees]]</f>
        <v>0</v>
      </c>
      <c r="M74" s="33" t="n">
        <f aca="false">TblMili[[#This Row],[Unit 1]]</f>
        <v>0</v>
      </c>
      <c r="N74" s="33" t="n">
        <f aca="false">TblMili[[#This Row],[Unit 2]]</f>
        <v>0</v>
      </c>
      <c r="O74" s="33" t="n">
        <f aca="false">TblMili[[#This Row],[Unit 3]]</f>
        <v>0</v>
      </c>
      <c r="P74" s="33" t="n">
        <f aca="false">TblMili[[#This Row],[Unit 4]]</f>
        <v>0</v>
      </c>
      <c r="Q74" s="33" t="n">
        <f aca="false">TblMili[[#This Row],[Spies]]</f>
        <v>0</v>
      </c>
      <c r="R74" s="33" t="n">
        <f aca="false">TblMili[[#This Row],[Wizards]]</f>
        <v>0</v>
      </c>
      <c r="S74" s="33" t="n">
        <f aca="false">TblMili[[#This Row],[Archmages]]</f>
        <v>0</v>
      </c>
      <c r="T74" s="132"/>
      <c r="U74" s="69" t="n">
        <f aca="false">ROUND(TblPop[[#This Row],[Raw max]]*(1+TblPop[[#This Row],[Max pop]]),0)+MIN(TblPop[[#This Row],[Military]]-TblPop[[#This Row],[Draftees]]-SUM(TblMili[[#This Row],[Train Unit 1]:[Train AM]]),(barracks_size + tech_8_3*TblTech[[#This Row],[8-3]])*TblConstr[[#This Row],[Tot Bar]])</f>
        <v>12701</v>
      </c>
      <c r="V7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4" s="69" t="n">
        <f aca="false">MAX(-5%*TblPop[[#This Row],[Peasants]]-TblPop[[#This Row],[Draft Growth]],MIN(OFFSET(TblPop[[#This Row],[Net max]],1,0)-TblPop[[#This Row],[Peasants]]-TblPop[[#This Row],[Military]]-TblPop[[#This Row],[Draft Growth]],TblPop[[#This Row],[Modded Birth]]-TblPop[[#This Row],[Draft Growth]]))</f>
        <v>-100</v>
      </c>
      <c r="X74" s="69" t="n">
        <f aca="false">ROUND(TblPop[[#This Row],[Raw Birth]]*(1+TblPop[[#This Row],[Growth]]),0)</f>
        <v>415</v>
      </c>
      <c r="Y74" s="69" t="n">
        <f aca="false">(TblPop[[#This Row],[Peasants]]-TblPop[[#This Row],[Draft Growth]])*raw_pop_growth</f>
        <v>296.1</v>
      </c>
      <c r="Z74" s="69" t="n">
        <f aca="false">IF(TblPop[[#This Row],[Military%]]&lt;TblMili[[#This Row],[Draftrate]],ROUND(TblPop[[#This Row],[Peasants]]*Constants!$B$55,0), 0)</f>
        <v>100</v>
      </c>
      <c r="AA74" s="132"/>
      <c r="AB74" s="109" t="n">
        <f aca="false">Overview!$I$16 + IF(Magic!AE74&gt;0,Constants!$F$78) + ROUND(6*(Construction!BM75+Construction!CK74)/IF(Explore!S75&gt;0,Construction!F75-20,Construction!F75),4) + tech_6_5_2*Techs!BJ74 + tech_8_4*Techs!BT74</f>
        <v>0.4029</v>
      </c>
      <c r="AC74" s="130" t="n">
        <f aca="false">(Overview!$I$15 + Imps!Z74+ tech_2_5*Techs!AB74 + tech_3_6*Techs!AM74 + tech_6_1*Techs!BJ74 + tech_6_5*Techs!BF74 + tech_7_3_2*Techs!BN74) * (1 + Production!O74/100*prestige_pop_multiplier) + Production!O74/100*prestige_pop_multiplier</f>
        <v>0.07625</v>
      </c>
    </row>
    <row r="75" customFormat="false" ht="12.75" hidden="false" customHeight="false" outlineLevel="0" collapsed="false">
      <c r="A75" s="128" t="n">
        <f aca="false">TblRezone[[#This Row],[Hour]]</f>
        <v>72</v>
      </c>
      <c r="B75" s="129" t="n">
        <f aca="false">TblImps[[#This Row],[Time]]</f>
        <v>45432.7083333333</v>
      </c>
      <c r="C75" s="69" t="n">
        <f aca="false">OFFSET(TblPop[[#This Row],[Peasants]],-1,0)+OFFSET(TblPop[[#This Row],[Net Peasant]],-1,0)+TblMili[[#This Row],[Release Draft]]</f>
        <v>9870</v>
      </c>
      <c r="D75" s="69" t="n">
        <f aca="false">TblMili[[#This Row],[Military]]</f>
        <v>2831</v>
      </c>
      <c r="E75" s="69" t="n">
        <f aca="false">TblMili[[#This Row],[Draftees]]</f>
        <v>0</v>
      </c>
      <c r="F75" s="69" t="n">
        <f aca="false">TblPop[[#This Row],[Peasants]]+TblPop[[#This Row],[Military]]</f>
        <v>12701</v>
      </c>
      <c r="G75" s="130" t="n">
        <f aca="false">TblPop[[#This Row],[Military]]/TblPop[[#This Row],[Total]]</f>
        <v>0.222895834973624</v>
      </c>
      <c r="H75" s="95" t="n">
        <f aca="false">MIN(TblPop[[#This Row],[Peasants]],TblPop[[#This Row],[Jobs]])</f>
        <v>9870</v>
      </c>
      <c r="I75" s="130" t="n">
        <f aca="false">MIN(OFFSET(TblPop[[#This Row],[Jobs]],1,0)/TblPop[[#This Row],[Peasants]],1)</f>
        <v>1</v>
      </c>
      <c r="J75" s="95" t="n">
        <f aca="false">SUM(TblConstr[[#This Row],[Tot Alc]:[Tot GT]],TblConstr[[#This Row],[Tot Shr]:[Tot Doc]],TblConstr[[#This Row],[Dest Alc]:[Dest GT]],TblConstr[[#This Row],[Dest Shr]:[Dest Doc]])*building_employment + TblConstr[[#This Row],[Tot Fac]]*bonus_jobs_facts</f>
        <v>11200</v>
      </c>
      <c r="K75" s="131"/>
      <c r="L75" s="33" t="n">
        <f aca="false">TblPop[[#This Row],[Draftees]]</f>
        <v>0</v>
      </c>
      <c r="M75" s="33" t="n">
        <f aca="false">TblMili[[#This Row],[Unit 1]]</f>
        <v>0</v>
      </c>
      <c r="N75" s="33" t="n">
        <f aca="false">TblMili[[#This Row],[Unit 2]]</f>
        <v>0</v>
      </c>
      <c r="O75" s="33" t="n">
        <f aca="false">TblMili[[#This Row],[Unit 3]]</f>
        <v>0</v>
      </c>
      <c r="P75" s="33" t="n">
        <f aca="false">TblMili[[#This Row],[Unit 4]]</f>
        <v>0</v>
      </c>
      <c r="Q75" s="33" t="n">
        <f aca="false">TblMili[[#This Row],[Spies]]</f>
        <v>0</v>
      </c>
      <c r="R75" s="33" t="n">
        <f aca="false">TblMili[[#This Row],[Wizards]]</f>
        <v>0</v>
      </c>
      <c r="S75" s="33" t="n">
        <f aca="false">TblMili[[#This Row],[Archmages]]</f>
        <v>0</v>
      </c>
      <c r="T75" s="132"/>
      <c r="U75" s="69" t="n">
        <f aca="false">ROUND(TblPop[[#This Row],[Raw max]]*(1+TblPop[[#This Row],[Max pop]]),0)+MIN(TblPop[[#This Row],[Military]]-TblPop[[#This Row],[Draftees]]-SUM(TblMili[[#This Row],[Train Unit 1]:[Train AM]]),(barracks_size + tech_8_3*TblTech[[#This Row],[8-3]])*TblConstr[[#This Row],[Tot Bar]])</f>
        <v>12701</v>
      </c>
      <c r="V7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5" s="69" t="n">
        <f aca="false">MAX(-5%*TblPop[[#This Row],[Peasants]]-TblPop[[#This Row],[Draft Growth]],MIN(OFFSET(TblPop[[#This Row],[Net max]],1,0)-TblPop[[#This Row],[Peasants]]-TblPop[[#This Row],[Military]]-TblPop[[#This Row],[Draft Growth]],TblPop[[#This Row],[Modded Birth]]-TblPop[[#This Row],[Draft Growth]]))</f>
        <v>-99</v>
      </c>
      <c r="X75" s="69" t="n">
        <f aca="false">ROUND(TblPop[[#This Row],[Raw Birth]]*(1+TblPop[[#This Row],[Growth]]),0)</f>
        <v>411</v>
      </c>
      <c r="Y75" s="69" t="n">
        <f aca="false">(TblPop[[#This Row],[Peasants]]-TblPop[[#This Row],[Draft Growth]])*raw_pop_growth</f>
        <v>293.13</v>
      </c>
      <c r="Z75" s="69" t="n">
        <f aca="false">IF(TblPop[[#This Row],[Military%]]&lt;TblMili[[#This Row],[Draftrate]],ROUND(TblPop[[#This Row],[Peasants]]*Constants!$B$55,0), 0)</f>
        <v>99</v>
      </c>
      <c r="AA75" s="132"/>
      <c r="AB75" s="109" t="n">
        <f aca="false">Overview!$I$16 + IF(Magic!AE75&gt;0,Constants!$F$78) + ROUND(6*(Construction!BM76+Construction!CK75)/IF(Explore!S76&gt;0,Construction!F76-20,Construction!F76),4) + tech_6_5_2*Techs!BJ75 + tech_8_4*Techs!BT75</f>
        <v>0.4029</v>
      </c>
      <c r="AC75" s="130" t="n">
        <f aca="false">(Overview!$I$15 + Imps!Z75+ tech_2_5*Techs!AB75 + tech_3_6*Techs!AM75 + tech_6_1*Techs!BJ75 + tech_6_5*Techs!BF75 + tech_7_3_2*Techs!BN75) * (1 + Production!O75/100*prestige_pop_multiplier) + Production!O75/100*prestige_pop_multiplier</f>
        <v>0.07625</v>
      </c>
    </row>
    <row r="76" customFormat="false" ht="12.75" hidden="false" customHeight="false" outlineLevel="0" collapsed="false">
      <c r="A76" s="133" t="n">
        <f aca="false">TblRezone[[#This Row],[Hour]]</f>
        <v>73</v>
      </c>
      <c r="B76" s="134" t="n">
        <f aca="false">TblImps[[#This Row],[Time]]</f>
        <v>45432.75</v>
      </c>
      <c r="C76" s="76" t="n">
        <f aca="false">OFFSET(TblPop[[#This Row],[Peasants]],-1,0)+OFFSET(TblPop[[#This Row],[Net Peasant]],-1,0)+TblMili[[#This Row],[Release Draft]]</f>
        <v>9771</v>
      </c>
      <c r="D76" s="76" t="n">
        <f aca="false">TblMili[[#This Row],[Military]]</f>
        <v>2930</v>
      </c>
      <c r="E76" s="76" t="n">
        <f aca="false">TblMili[[#This Row],[Draftees]]</f>
        <v>0</v>
      </c>
      <c r="F76" s="76" t="n">
        <f aca="false">TblPop[[#This Row],[Peasants]]+TblPop[[#This Row],[Military]]</f>
        <v>12701</v>
      </c>
      <c r="G76" s="135" t="n">
        <f aca="false">TblPop[[#This Row],[Military]]/TblPop[[#This Row],[Total]]</f>
        <v>0.230690496811275</v>
      </c>
      <c r="H76" s="136" t="n">
        <f aca="false">MIN(TblPop[[#This Row],[Peasants]],TblPop[[#This Row],[Jobs]])</f>
        <v>9771</v>
      </c>
      <c r="I76" s="135" t="n">
        <f aca="false">MIN(OFFSET(TblPop[[#This Row],[Jobs]],1,0)/TblPop[[#This Row],[Peasants]],1)</f>
        <v>1</v>
      </c>
      <c r="J76" s="95" t="n">
        <f aca="false">SUM(TblConstr[[#This Row],[Tot Alc]:[Tot GT]],TblConstr[[#This Row],[Tot Shr]:[Tot Doc]],TblConstr[[#This Row],[Dest Alc]:[Dest GT]],TblConstr[[#This Row],[Dest Shr]:[Dest Doc]])*building_employment + TblConstr[[#This Row],[Tot Fac]]*bonus_jobs_facts</f>
        <v>12200</v>
      </c>
      <c r="K76" s="131"/>
      <c r="L76" s="137" t="n">
        <f aca="false">TblPop[[#This Row],[Draftees]]</f>
        <v>0</v>
      </c>
      <c r="M76" s="137" t="n">
        <f aca="false">TblMili[[#This Row],[Unit 1]]</f>
        <v>0</v>
      </c>
      <c r="N76" s="137" t="n">
        <f aca="false">TblMili[[#This Row],[Unit 2]]</f>
        <v>699</v>
      </c>
      <c r="O76" s="137" t="n">
        <f aca="false">TblMili[[#This Row],[Unit 3]]</f>
        <v>625</v>
      </c>
      <c r="P76" s="137" t="n">
        <f aca="false">TblMili[[#This Row],[Unit 4]]</f>
        <v>638</v>
      </c>
      <c r="Q76" s="137" t="n">
        <f aca="false">TblMili[[#This Row],[Spies]]</f>
        <v>25</v>
      </c>
      <c r="R76" s="137" t="n">
        <f aca="false">TblMili[[#This Row],[Wizards]]</f>
        <v>25</v>
      </c>
      <c r="S76" s="137" t="n">
        <f aca="false">TblMili[[#This Row],[Archmages]]</f>
        <v>0</v>
      </c>
      <c r="T76" s="138"/>
      <c r="U76" s="76" t="n">
        <f aca="false">ROUND(TblPop[[#This Row],[Raw max]]*(1+TblPop[[#This Row],[Max pop]]),0)+MIN(TblPop[[#This Row],[Military]]-TblPop[[#This Row],[Draftees]]-SUM(TblMili[[#This Row],[Train Unit 1]:[Train AM]]),(barracks_size + tech_8_3*TblTech[[#This Row],[8-3]])*TblConstr[[#This Row],[Tot Bar]])</f>
        <v>12701</v>
      </c>
      <c r="V76" s="76"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6" s="76" t="n">
        <f aca="false">MAX(-5%*TblPop[[#This Row],[Peasants]]-TblPop[[#This Row],[Draft Growth]],MIN(OFFSET(TblPop[[#This Row],[Net max]],1,0)-TblPop[[#This Row],[Peasants]]-TblPop[[#This Row],[Military]]-TblPop[[#This Row],[Draft Growth]],TblPop[[#This Row],[Modded Birth]]-TblPop[[#This Row],[Draft Growth]]))</f>
        <v>1</v>
      </c>
      <c r="X76" s="76" t="n">
        <f aca="false">ROUND(TblPop[[#This Row],[Raw Birth]]*(1+TblPop[[#This Row],[Growth]]),0)</f>
        <v>407</v>
      </c>
      <c r="Y76" s="76" t="n">
        <f aca="false">(TblPop[[#This Row],[Peasants]]-TblPop[[#This Row],[Draft Growth]])*raw_pop_growth</f>
        <v>290.19</v>
      </c>
      <c r="Z76" s="76" t="n">
        <f aca="false">IF(TblPop[[#This Row],[Military%]]&lt;TblMili[[#This Row],[Draftrate]],ROUND(TblPop[[#This Row],[Peasants]]*Constants!$B$55,0), 0)</f>
        <v>98</v>
      </c>
      <c r="AA76" s="138"/>
      <c r="AB76" s="139" t="n">
        <f aca="false">Overview!$I$16 + IF(Magic!AE76&gt;0,Constants!$F$78) + ROUND(6*(Construction!BM77+Construction!CK76)/IF(Explore!S77&gt;0,Construction!F77-20,Construction!F77),4) + tech_6_5_2*Techs!BJ76 + tech_8_4*Techs!BT76</f>
        <v>0.4029</v>
      </c>
      <c r="AC76" s="130" t="n">
        <f aca="false">(Overview!$I$15 + Imps!Z76+ tech_2_5*Techs!AB76 + tech_3_6*Techs!AM76 + tech_6_1*Techs!BJ76 + tech_6_5*Techs!BF76 + tech_7_3_2*Techs!BN76) * (1 + Production!O76/100*prestige_pop_multiplier) + Production!O76/100*prestige_pop_multiplier</f>
        <v>0.07625</v>
      </c>
    </row>
    <row r="77" customFormat="false" ht="12.75" hidden="false" customHeight="false" outlineLevel="0" collapsed="false">
      <c r="A77" s="128" t="n">
        <f aca="false">TblRezone[[#This Row],[Hour]]</f>
        <v>74</v>
      </c>
      <c r="B77" s="129" t="n">
        <f aca="false">TblImps[[#This Row],[Time]]</f>
        <v>45432.7916666667</v>
      </c>
      <c r="C77" s="69" t="n">
        <f aca="false">OFFSET(TblPop[[#This Row],[Peasants]],-1,0)+OFFSET(TblPop[[#This Row],[Net Peasant]],-1,0)+TblMili[[#This Row],[Release Draft]]</f>
        <v>9772</v>
      </c>
      <c r="D77" s="69" t="n">
        <f aca="false">TblMili[[#This Row],[Military]]</f>
        <v>3028</v>
      </c>
      <c r="E77" s="69" t="n">
        <f aca="false">TblMili[[#This Row],[Draftees]]</f>
        <v>0</v>
      </c>
      <c r="F77" s="69" t="n">
        <f aca="false">TblPop[[#This Row],[Peasants]]+TblPop[[#This Row],[Military]]</f>
        <v>12800</v>
      </c>
      <c r="G77" s="130" t="n">
        <f aca="false">TblPop[[#This Row],[Military]]/TblPop[[#This Row],[Total]]</f>
        <v>0.2365625</v>
      </c>
      <c r="H77" s="95" t="n">
        <f aca="false">MIN(TblPop[[#This Row],[Peasants]],TblPop[[#This Row],[Jobs]])</f>
        <v>9772</v>
      </c>
      <c r="I77" s="130" t="n">
        <f aca="false">MIN(OFFSET(TblPop[[#This Row],[Jobs]],1,0)/TblPop[[#This Row],[Peasants]],1)</f>
        <v>1</v>
      </c>
      <c r="J77" s="95" t="n">
        <f aca="false">SUM(TblConstr[[#This Row],[Tot Alc]:[Tot GT]],TblConstr[[#This Row],[Tot Shr]:[Tot Doc]],TblConstr[[#This Row],[Dest Alc]:[Dest GT]],TblConstr[[#This Row],[Dest Shr]:[Dest Doc]])*building_employment + TblConstr[[#This Row],[Tot Fac]]*bonus_jobs_facts</f>
        <v>12200</v>
      </c>
      <c r="K77" s="131"/>
      <c r="L77" s="33" t="n">
        <f aca="false">TblPop[[#This Row],[Draftees]]</f>
        <v>0</v>
      </c>
      <c r="M77" s="33" t="n">
        <f aca="false">TblMili[[#This Row],[Unit 1]]</f>
        <v>0</v>
      </c>
      <c r="N77" s="33" t="n">
        <f aca="false">TblMili[[#This Row],[Unit 2]]</f>
        <v>798</v>
      </c>
      <c r="O77" s="33" t="n">
        <f aca="false">TblMili[[#This Row],[Unit 3]]</f>
        <v>625</v>
      </c>
      <c r="P77" s="33" t="n">
        <f aca="false">TblMili[[#This Row],[Unit 4]]</f>
        <v>638</v>
      </c>
      <c r="Q77" s="33" t="n">
        <f aca="false">TblMili[[#This Row],[Spies]]</f>
        <v>25</v>
      </c>
      <c r="R77" s="33" t="n">
        <f aca="false">TblMili[[#This Row],[Wizards]]</f>
        <v>25</v>
      </c>
      <c r="S77" s="33" t="n">
        <f aca="false">TblMili[[#This Row],[Archmages]]</f>
        <v>0</v>
      </c>
      <c r="T77" s="132"/>
      <c r="U77" s="69" t="n">
        <f aca="false">ROUND(TblPop[[#This Row],[Raw max]]*(1+TblPop[[#This Row],[Max pop]]),0)+MIN(TblPop[[#This Row],[Military]]-TblPop[[#This Row],[Draftees]]-SUM(TblMili[[#This Row],[Train Unit 1]:[Train AM]]),(barracks_size + tech_8_3*TblTech[[#This Row],[8-3]])*TblConstr[[#This Row],[Tot Bar]])</f>
        <v>12800</v>
      </c>
      <c r="V7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10455</v>
      </c>
      <c r="W77" s="69" t="n">
        <f aca="false">MAX(-5%*TblPop[[#This Row],[Peasants]]-TblPop[[#This Row],[Draft Growth]],MIN(OFFSET(TblPop[[#This Row],[Net max]],1,0)-TblPop[[#This Row],[Peasants]]-TblPop[[#This Row],[Military]]-TblPop[[#This Row],[Draft Growth]],TblPop[[#This Row],[Modded Birth]]-TblPop[[#This Row],[Draft Growth]]))</f>
        <v>1</v>
      </c>
      <c r="X77" s="69" t="n">
        <f aca="false">ROUND(TblPop[[#This Row],[Raw Birth]]*(1+TblPop[[#This Row],[Growth]]),0)</f>
        <v>407</v>
      </c>
      <c r="Y77" s="69" t="n">
        <f aca="false">(TblPop[[#This Row],[Peasants]]-TblPop[[#This Row],[Draft Growth]])*raw_pop_growth</f>
        <v>290.22</v>
      </c>
      <c r="Z77" s="69" t="n">
        <f aca="false">IF(TblPop[[#This Row],[Military%]]&lt;TblMili[[#This Row],[Draftrate]],ROUND(TblPop[[#This Row],[Peasants]]*Constants!$B$55,0), 0)</f>
        <v>98</v>
      </c>
      <c r="AA77" s="132"/>
      <c r="AB77" s="109" t="n">
        <f aca="false">Overview!$I$16 + IF(Magic!AE77&gt;0,Constants!$F$78) + ROUND(6*(Construction!BM78+Construction!CK77)/IF(Explore!S78&gt;0,Construction!F78-20,Construction!F78),4) + tech_6_5_2*Techs!BJ77 + tech_8_4*Techs!BT77</f>
        <v>0.4029</v>
      </c>
      <c r="AC77" s="130" t="n">
        <f aca="false">(Overview!$I$15 + Imps!Z77+ tech_2_5*Techs!AB77 + tech_3_6*Techs!AM77 + tech_6_1*Techs!BJ77 + tech_6_5*Techs!BF77 + tech_7_3_2*Techs!BN77) * (1 + Production!O77/100*prestige_pop_multiplier) + Production!O77/100*prestige_pop_multiplier</f>
        <v>0.07625</v>
      </c>
    </row>
    <row r="78" customFormat="false" ht="12.75" hidden="false" customHeight="false" outlineLevel="0" collapsed="false">
      <c r="A78" s="128" t="n">
        <f aca="false">TblRezone[[#This Row],[Hour]]</f>
        <v>75</v>
      </c>
      <c r="B78" s="129" t="n">
        <f aca="false">TblImps[[#This Row],[Time]]</f>
        <v>45432.8333333333</v>
      </c>
      <c r="C78" s="69" t="n">
        <f aca="false">OFFSET(TblPop[[#This Row],[Peasants]],-1,0)+OFFSET(TblPop[[#This Row],[Net Peasant]],-1,0)+TblMili[[#This Row],[Release Draft]]</f>
        <v>9773</v>
      </c>
      <c r="D78" s="69" t="n">
        <f aca="false">TblMili[[#This Row],[Military]]</f>
        <v>3126</v>
      </c>
      <c r="E78" s="69" t="n">
        <f aca="false">TblMili[[#This Row],[Draftees]]</f>
        <v>0</v>
      </c>
      <c r="F78" s="69" t="n">
        <f aca="false">TblPop[[#This Row],[Peasants]]+TblPop[[#This Row],[Military]]</f>
        <v>12899</v>
      </c>
      <c r="G78" s="130" t="n">
        <f aca="false">TblPop[[#This Row],[Military]]/TblPop[[#This Row],[Total]]</f>
        <v>0.242344367780448</v>
      </c>
      <c r="H78" s="95" t="n">
        <f aca="false">MIN(TblPop[[#This Row],[Peasants]],TblPop[[#This Row],[Jobs]])</f>
        <v>9773</v>
      </c>
      <c r="I78" s="130" t="n">
        <f aca="false">MIN(OFFSET(TblPop[[#This Row],[Jobs]],1,0)/TblPop[[#This Row],[Peasants]],1)</f>
        <v>1</v>
      </c>
      <c r="J78" s="95" t="n">
        <f aca="false">SUM(TblConstr[[#This Row],[Tot Alc]:[Tot GT]],TblConstr[[#This Row],[Tot Shr]:[Tot Doc]],TblConstr[[#This Row],[Dest Alc]:[Dest GT]],TblConstr[[#This Row],[Dest Shr]:[Dest Doc]])*building_employment + TblConstr[[#This Row],[Tot Fac]]*bonus_jobs_facts</f>
        <v>12200</v>
      </c>
      <c r="K78" s="131"/>
      <c r="L78" s="33" t="n">
        <f aca="false">TblPop[[#This Row],[Draftees]]</f>
        <v>0</v>
      </c>
      <c r="M78" s="33" t="n">
        <f aca="false">TblMili[[#This Row],[Unit 1]]</f>
        <v>0</v>
      </c>
      <c r="N78" s="33" t="n">
        <f aca="false">TblMili[[#This Row],[Unit 2]]</f>
        <v>898</v>
      </c>
      <c r="O78" s="33" t="n">
        <f aca="false">TblMili[[#This Row],[Unit 3]]</f>
        <v>625</v>
      </c>
      <c r="P78" s="33" t="n">
        <f aca="false">TblMili[[#This Row],[Unit 4]]</f>
        <v>638</v>
      </c>
      <c r="Q78" s="33" t="n">
        <f aca="false">TblMili[[#This Row],[Spies]]</f>
        <v>25</v>
      </c>
      <c r="R78" s="33" t="n">
        <f aca="false">TblMili[[#This Row],[Wizards]]</f>
        <v>25</v>
      </c>
      <c r="S78" s="33" t="n">
        <f aca="false">TblMili[[#This Row],[Archmages]]</f>
        <v>0</v>
      </c>
      <c r="T78" s="132"/>
      <c r="U78" s="69" t="n">
        <f aca="false">ROUND(TblPop[[#This Row],[Raw max]]*(1+TblPop[[#This Row],[Max pop]]),0)+MIN(TblPop[[#This Row],[Military]]-TblPop[[#This Row],[Draftees]]-SUM(TblMili[[#This Row],[Train Unit 1]:[Train AM]]),(barracks_size + tech_8_3*TblTech[[#This Row],[8-3]])*TblConstr[[#This Row],[Tot Bar]])</f>
        <v>12899</v>
      </c>
      <c r="V7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10380</v>
      </c>
      <c r="W78" s="69" t="n">
        <f aca="false">MAX(-5%*TblPop[[#This Row],[Peasants]]-TblPop[[#This Row],[Draft Growth]],MIN(OFFSET(TblPop[[#This Row],[Net max]],1,0)-TblPop[[#This Row],[Peasants]]-TblPop[[#This Row],[Military]]-TblPop[[#This Row],[Draft Growth]],TblPop[[#This Row],[Modded Birth]]-TblPop[[#This Row],[Draft Growth]]))</f>
        <v>-58</v>
      </c>
      <c r="X78" s="69" t="n">
        <f aca="false">ROUND(TblPop[[#This Row],[Raw Birth]]*(1+TblPop[[#This Row],[Growth]]),0)</f>
        <v>407</v>
      </c>
      <c r="Y78" s="69" t="n">
        <f aca="false">(TblPop[[#This Row],[Peasants]]-TblPop[[#This Row],[Draft Growth]])*raw_pop_growth</f>
        <v>290.25</v>
      </c>
      <c r="Z78" s="69" t="n">
        <f aca="false">IF(TblPop[[#This Row],[Military%]]&lt;TblMili[[#This Row],[Draftrate]],ROUND(TblPop[[#This Row],[Peasants]]*Constants!$B$55,0), 0)</f>
        <v>98</v>
      </c>
      <c r="AA78" s="132"/>
      <c r="AB78" s="109" t="n">
        <f aca="false">Overview!$I$16 + IF(Magic!AE78&gt;0,Constants!$F$78) + ROUND(6*(Construction!BM79+Construction!CK78)/IF(Explore!S79&gt;0,Construction!F79-20,Construction!F79),4) + tech_6_5_2*Techs!BJ78 + tech_8_4*Techs!BT78</f>
        <v>0.4029</v>
      </c>
      <c r="AC78" s="130" t="n">
        <f aca="false">(Overview!$I$15 + Imps!Z78+ tech_2_5*Techs!AB78 + tech_3_6*Techs!AM78 + tech_6_1*Techs!BJ78 + tech_6_5*Techs!BF78 + tech_7_3_2*Techs!BN78) * (1 + Production!O78/100*prestige_pop_multiplier) + Production!O78/100*prestige_pop_multiplier</f>
        <v>0.07625</v>
      </c>
    </row>
    <row r="79" customFormat="false" ht="12.75" hidden="false" customHeight="false" outlineLevel="0" collapsed="false">
      <c r="A79" s="128" t="n">
        <f aca="false">TblRezone[[#This Row],[Hour]]</f>
        <v>76</v>
      </c>
      <c r="B79" s="129" t="n">
        <f aca="false">TblImps[[#This Row],[Time]]</f>
        <v>45432.875</v>
      </c>
      <c r="C79" s="69" t="n">
        <f aca="false">OFFSET(TblPop[[#This Row],[Peasants]],-1,0)+OFFSET(TblPop[[#This Row],[Net Peasant]],-1,0)+TblMili[[#This Row],[Release Draft]]</f>
        <v>9715</v>
      </c>
      <c r="D79" s="69" t="n">
        <f aca="false">TblMili[[#This Row],[Military]]</f>
        <v>3224</v>
      </c>
      <c r="E79" s="69" t="n">
        <f aca="false">TblMili[[#This Row],[Draftees]]</f>
        <v>0</v>
      </c>
      <c r="F79" s="69" t="n">
        <f aca="false">TblPop[[#This Row],[Peasants]]+TblPop[[#This Row],[Military]]</f>
        <v>12939</v>
      </c>
      <c r="G79" s="130" t="n">
        <f aca="false">TblPop[[#This Row],[Military]]/TblPop[[#This Row],[Total]]</f>
        <v>0.24916917845274</v>
      </c>
      <c r="H79" s="95" t="n">
        <f aca="false">MIN(TblPop[[#This Row],[Peasants]],TblPop[[#This Row],[Jobs]])</f>
        <v>9715</v>
      </c>
      <c r="I79" s="130" t="n">
        <f aca="false">MIN(OFFSET(TblPop[[#This Row],[Jobs]],1,0)/TblPop[[#This Row],[Peasants]],1)</f>
        <v>1</v>
      </c>
      <c r="J79" s="95" t="n">
        <f aca="false">SUM(TblConstr[[#This Row],[Tot Alc]:[Tot GT]],TblConstr[[#This Row],[Tot Shr]:[Tot Doc]],TblConstr[[#This Row],[Dest Alc]:[Dest GT]],TblConstr[[#This Row],[Dest Shr]:[Dest Doc]])*building_employment + TblConstr[[#This Row],[Tot Fac]]*bonus_jobs_facts</f>
        <v>12200</v>
      </c>
      <c r="K79" s="131"/>
      <c r="L79" s="33" t="n">
        <f aca="false">TblPop[[#This Row],[Draftees]]</f>
        <v>0</v>
      </c>
      <c r="M79" s="33" t="n">
        <f aca="false">TblMili[[#This Row],[Unit 1]]</f>
        <v>0</v>
      </c>
      <c r="N79" s="33" t="n">
        <f aca="false">TblMili[[#This Row],[Unit 2]]</f>
        <v>950</v>
      </c>
      <c r="O79" s="33" t="n">
        <f aca="false">TblMili[[#This Row],[Unit 3]]</f>
        <v>625</v>
      </c>
      <c r="P79" s="33" t="n">
        <f aca="false">TblMili[[#This Row],[Unit 4]]</f>
        <v>638</v>
      </c>
      <c r="Q79" s="33" t="n">
        <f aca="false">TblMili[[#This Row],[Spies]]</f>
        <v>25</v>
      </c>
      <c r="R79" s="33" t="n">
        <f aca="false">TblMili[[#This Row],[Wizards]]</f>
        <v>25</v>
      </c>
      <c r="S79" s="33" t="n">
        <f aca="false">TblMili[[#This Row],[Archmages]]</f>
        <v>0</v>
      </c>
      <c r="T79" s="132"/>
      <c r="U79" s="69" t="n">
        <f aca="false">ROUND(TblPop[[#This Row],[Raw max]]*(1+TblPop[[#This Row],[Max pop]]),0)+MIN(TblPop[[#This Row],[Military]]-TblPop[[#This Row],[Draftees]]-SUM(TblMili[[#This Row],[Train Unit 1]:[Train AM]]),(barracks_size + tech_8_3*TblTech[[#This Row],[8-3]])*TblConstr[[#This Row],[Tot Bar]])</f>
        <v>12939</v>
      </c>
      <c r="V7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79" s="69" t="n">
        <f aca="false">MAX(-5%*TblPop[[#This Row],[Peasants]]-TblPop[[#This Row],[Draft Growth]],MIN(OFFSET(TblPop[[#This Row],[Net max]],1,0)-TblPop[[#This Row],[Peasants]]-TblPop[[#This Row],[Military]]-TblPop[[#This Row],[Draft Growth]],TblPop[[#This Row],[Modded Birth]]-TblPop[[#This Row],[Draft Growth]]))</f>
        <v>-97</v>
      </c>
      <c r="X79" s="69" t="n">
        <f aca="false">ROUND(TblPop[[#This Row],[Raw Birth]]*(1+TblPop[[#This Row],[Growth]]),0)</f>
        <v>405</v>
      </c>
      <c r="Y79" s="69" t="n">
        <f aca="false">(TblPop[[#This Row],[Peasants]]-TblPop[[#This Row],[Draft Growth]])*raw_pop_growth</f>
        <v>288.54</v>
      </c>
      <c r="Z79" s="69" t="n">
        <f aca="false">IF(TblPop[[#This Row],[Military%]]&lt;TblMili[[#This Row],[Draftrate]],ROUND(TblPop[[#This Row],[Peasants]]*Constants!$B$55,0), 0)</f>
        <v>97</v>
      </c>
      <c r="AA79" s="132"/>
      <c r="AB79" s="109" t="n">
        <f aca="false">Overview!$I$16 + IF(Magic!AE79&gt;0,Constants!$F$78) + ROUND(6*(Construction!BM80+Construction!CK79)/IF(Explore!S80&gt;0,Construction!F80-20,Construction!F80),4) + tech_6_5_2*Techs!BJ79 + tech_8_4*Techs!BT79</f>
        <v>0.4029</v>
      </c>
      <c r="AC79" s="130" t="n">
        <f aca="false">(Overview!$I$15 + Imps!Z79+ tech_2_5*Techs!AB79 + tech_3_6*Techs!AM79 + tech_6_1*Techs!BJ79 + tech_6_5*Techs!BF79 + tech_7_3_2*Techs!BN79) * (1 + Production!O79/100*prestige_pop_multiplier) + Production!O79/100*prestige_pop_multiplier</f>
        <v>0.07625</v>
      </c>
    </row>
    <row r="80" customFormat="false" ht="12.75" hidden="false" customHeight="false" outlineLevel="0" collapsed="false">
      <c r="A80" s="128" t="n">
        <f aca="false">TblRezone[[#This Row],[Hour]]</f>
        <v>77</v>
      </c>
      <c r="B80" s="129" t="n">
        <f aca="false">TblImps[[#This Row],[Time]]</f>
        <v>45432.9166666667</v>
      </c>
      <c r="C80" s="69" t="n">
        <f aca="false">OFFSET(TblPop[[#This Row],[Peasants]],-1,0)+OFFSET(TblPop[[#This Row],[Net Peasant]],-1,0)+TblMili[[#This Row],[Release Draft]]</f>
        <v>9618</v>
      </c>
      <c r="D80" s="69" t="n">
        <f aca="false">TblMili[[#This Row],[Military]]</f>
        <v>3321</v>
      </c>
      <c r="E80" s="69" t="n">
        <f aca="false">TblMili[[#This Row],[Draftees]]</f>
        <v>97</v>
      </c>
      <c r="F80" s="69" t="n">
        <f aca="false">TblPop[[#This Row],[Peasants]]+TblPop[[#This Row],[Military]]</f>
        <v>12939</v>
      </c>
      <c r="G80" s="130" t="n">
        <f aca="false">TblPop[[#This Row],[Military]]/TblPop[[#This Row],[Total]]</f>
        <v>0.256665893809413</v>
      </c>
      <c r="H80" s="95" t="n">
        <f aca="false">MIN(TblPop[[#This Row],[Peasants]],TblPop[[#This Row],[Jobs]])</f>
        <v>9618</v>
      </c>
      <c r="I80" s="130" t="n">
        <f aca="false">MIN(OFFSET(TblPop[[#This Row],[Jobs]],1,0)/TblPop[[#This Row],[Peasants]],1)</f>
        <v>1</v>
      </c>
      <c r="J80" s="95" t="n">
        <f aca="false">SUM(TblConstr[[#This Row],[Tot Alc]:[Tot GT]],TblConstr[[#This Row],[Tot Shr]:[Tot Doc]],TblConstr[[#This Row],[Dest Alc]:[Dest GT]],TblConstr[[#This Row],[Dest Shr]:[Dest Doc]])*building_employment + TblConstr[[#This Row],[Tot Fac]]*bonus_jobs_facts</f>
        <v>12200</v>
      </c>
      <c r="K80" s="131"/>
      <c r="L80" s="33" t="n">
        <f aca="false">TblPop[[#This Row],[Draftees]]</f>
        <v>97</v>
      </c>
      <c r="M80" s="33" t="n">
        <f aca="false">TblMili[[#This Row],[Unit 1]]</f>
        <v>0</v>
      </c>
      <c r="N80" s="33" t="n">
        <f aca="false">TblMili[[#This Row],[Unit 2]]</f>
        <v>1002</v>
      </c>
      <c r="O80" s="33" t="n">
        <f aca="false">TblMili[[#This Row],[Unit 3]]</f>
        <v>625</v>
      </c>
      <c r="P80" s="33" t="n">
        <f aca="false">TblMili[[#This Row],[Unit 4]]</f>
        <v>638</v>
      </c>
      <c r="Q80" s="33" t="n">
        <f aca="false">TblMili[[#This Row],[Spies]]</f>
        <v>25</v>
      </c>
      <c r="R80" s="33" t="n">
        <f aca="false">TblMili[[#This Row],[Wizards]]</f>
        <v>25</v>
      </c>
      <c r="S80" s="33" t="n">
        <f aca="false">TblMili[[#This Row],[Archmages]]</f>
        <v>0</v>
      </c>
      <c r="T80" s="132"/>
      <c r="U80" s="69" t="n">
        <f aca="false">ROUND(TblPop[[#This Row],[Raw max]]*(1+TblPop[[#This Row],[Max pop]]),0)+MIN(TblPop[[#This Row],[Military]]-TblPop[[#This Row],[Draftees]]-SUM(TblMili[[#This Row],[Train Unit 1]:[Train AM]]),(barracks_size + tech_8_3*TblTech[[#This Row],[8-3]])*TblConstr[[#This Row],[Tot Bar]])</f>
        <v>12939</v>
      </c>
      <c r="V8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0" s="69" t="n">
        <f aca="false">MAX(-5%*TblPop[[#This Row],[Peasants]]-TblPop[[#This Row],[Draft Growth]],MIN(OFFSET(TblPop[[#This Row],[Net max]],1,0)-TblPop[[#This Row],[Peasants]]-TblPop[[#This Row],[Military]]-TblPop[[#This Row],[Draft Growth]],TblPop[[#This Row],[Modded Birth]]-TblPop[[#This Row],[Draft Growth]]))</f>
        <v>-96</v>
      </c>
      <c r="X80" s="69" t="n">
        <f aca="false">ROUND(TblPop[[#This Row],[Raw Birth]]*(1+TblPop[[#This Row],[Growth]]),0)</f>
        <v>401</v>
      </c>
      <c r="Y80" s="69" t="n">
        <f aca="false">(TblPop[[#This Row],[Peasants]]-TblPop[[#This Row],[Draft Growth]])*raw_pop_growth</f>
        <v>285.66</v>
      </c>
      <c r="Z80" s="69" t="n">
        <f aca="false">IF(TblPop[[#This Row],[Military%]]&lt;TblMili[[#This Row],[Draftrate]],ROUND(TblPop[[#This Row],[Peasants]]*Constants!$B$55,0), 0)</f>
        <v>96</v>
      </c>
      <c r="AA80" s="132"/>
      <c r="AB80" s="109" t="n">
        <f aca="false">Overview!$I$16 + IF(Magic!AE80&gt;0,Constants!$F$78) + ROUND(6*(Construction!BM81+Construction!CK80)/IF(Explore!S81&gt;0,Construction!F81-20,Construction!F81),4) + tech_6_5_2*Techs!BJ80 + tech_8_4*Techs!BT80</f>
        <v>0.4029</v>
      </c>
      <c r="AC80" s="130" t="n">
        <f aca="false">(Overview!$I$15 + Imps!Z80+ tech_2_5*Techs!AB80 + tech_3_6*Techs!AM80 + tech_6_1*Techs!BJ80 + tech_6_5*Techs!BF80 + tech_7_3_2*Techs!BN80) * (1 + Production!O80/100*prestige_pop_multiplier) + Production!O80/100*prestige_pop_multiplier</f>
        <v>0.07625</v>
      </c>
    </row>
    <row r="81" customFormat="false" ht="12.75" hidden="false" customHeight="false" outlineLevel="0" collapsed="false">
      <c r="A81" s="128" t="n">
        <f aca="false">TblRezone[[#This Row],[Hour]]</f>
        <v>78</v>
      </c>
      <c r="B81" s="129" t="n">
        <f aca="false">TblImps[[#This Row],[Time]]</f>
        <v>45432.9583333333</v>
      </c>
      <c r="C81" s="69" t="n">
        <f aca="false">OFFSET(TblPop[[#This Row],[Peasants]],-1,0)+OFFSET(TblPop[[#This Row],[Net Peasant]],-1,0)+TblMili[[#This Row],[Release Draft]]</f>
        <v>9522</v>
      </c>
      <c r="D81" s="69" t="n">
        <f aca="false">TblMili[[#This Row],[Military]]</f>
        <v>3417</v>
      </c>
      <c r="E81" s="69" t="n">
        <f aca="false">TblMili[[#This Row],[Draftees]]</f>
        <v>193</v>
      </c>
      <c r="F81" s="69" t="n">
        <f aca="false">TblPop[[#This Row],[Peasants]]+TblPop[[#This Row],[Military]]</f>
        <v>12939</v>
      </c>
      <c r="G81" s="130" t="n">
        <f aca="false">TblPop[[#This Row],[Military]]/TblPop[[#This Row],[Total]]</f>
        <v>0.26408532344076</v>
      </c>
      <c r="H81" s="95" t="n">
        <f aca="false">MIN(TblPop[[#This Row],[Peasants]],TblPop[[#This Row],[Jobs]])</f>
        <v>9522</v>
      </c>
      <c r="I81" s="130" t="n">
        <f aca="false">MIN(OFFSET(TblPop[[#This Row],[Jobs]],1,0)/TblPop[[#This Row],[Peasants]],1)</f>
        <v>1</v>
      </c>
      <c r="J81" s="95" t="n">
        <f aca="false">SUM(TblConstr[[#This Row],[Tot Alc]:[Tot GT]],TblConstr[[#This Row],[Tot Shr]:[Tot Doc]],TblConstr[[#This Row],[Dest Alc]:[Dest GT]],TblConstr[[#This Row],[Dest Shr]:[Dest Doc]])*building_employment + TblConstr[[#This Row],[Tot Fac]]*bonus_jobs_facts</f>
        <v>12200</v>
      </c>
      <c r="K81" s="131"/>
      <c r="L81" s="33" t="n">
        <f aca="false">TblPop[[#This Row],[Draftees]]</f>
        <v>193</v>
      </c>
      <c r="M81" s="33" t="n">
        <f aca="false">TblMili[[#This Row],[Unit 1]]</f>
        <v>0</v>
      </c>
      <c r="N81" s="33" t="n">
        <f aca="false">TblMili[[#This Row],[Unit 2]]</f>
        <v>1002</v>
      </c>
      <c r="O81" s="33" t="n">
        <f aca="false">TblMili[[#This Row],[Unit 3]]</f>
        <v>625</v>
      </c>
      <c r="P81" s="33" t="n">
        <f aca="false">TblMili[[#This Row],[Unit 4]]</f>
        <v>638</v>
      </c>
      <c r="Q81" s="33" t="n">
        <f aca="false">TblMili[[#This Row],[Spies]]</f>
        <v>25</v>
      </c>
      <c r="R81" s="33" t="n">
        <f aca="false">TblMili[[#This Row],[Wizards]]</f>
        <v>25</v>
      </c>
      <c r="S81" s="33" t="n">
        <f aca="false">TblMili[[#This Row],[Archmages]]</f>
        <v>0</v>
      </c>
      <c r="T81" s="132"/>
      <c r="U81" s="69" t="n">
        <f aca="false">ROUND(TblPop[[#This Row],[Raw max]]*(1+TblPop[[#This Row],[Max pop]]),0)+MIN(TblPop[[#This Row],[Military]]-TblPop[[#This Row],[Draftees]]-SUM(TblMili[[#This Row],[Train Unit 1]:[Train AM]]),(barracks_size + tech_8_3*TblTech[[#This Row],[8-3]])*TblConstr[[#This Row],[Tot Bar]])</f>
        <v>12939</v>
      </c>
      <c r="V8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1" s="69" t="n">
        <f aca="false">MAX(-5%*TblPop[[#This Row],[Peasants]]-TblPop[[#This Row],[Draft Growth]],MIN(OFFSET(TblPop[[#This Row],[Net max]],1,0)-TblPop[[#This Row],[Peasants]]-TblPop[[#This Row],[Military]]-TblPop[[#This Row],[Draft Growth]],TblPop[[#This Row],[Modded Birth]]-TblPop[[#This Row],[Draft Growth]]))</f>
        <v>-95</v>
      </c>
      <c r="X81" s="69" t="n">
        <f aca="false">ROUND(TblPop[[#This Row],[Raw Birth]]*(1+TblPop[[#This Row],[Growth]]),0)</f>
        <v>397</v>
      </c>
      <c r="Y81" s="69" t="n">
        <f aca="false">(TblPop[[#This Row],[Peasants]]-TblPop[[#This Row],[Draft Growth]])*raw_pop_growth</f>
        <v>282.81</v>
      </c>
      <c r="Z81" s="69" t="n">
        <f aca="false">IF(TblPop[[#This Row],[Military%]]&lt;TblMili[[#This Row],[Draftrate]],ROUND(TblPop[[#This Row],[Peasants]]*Constants!$B$55,0), 0)</f>
        <v>95</v>
      </c>
      <c r="AA81" s="132"/>
      <c r="AB81" s="109" t="n">
        <f aca="false">Overview!$I$16 + IF(Magic!AE81&gt;0,Constants!$F$78) + ROUND(6*(Construction!BM82+Construction!CK81)/IF(Explore!S82&gt;0,Construction!F82-20,Construction!F82),4) + tech_6_5_2*Techs!BJ81 + tech_8_4*Techs!BT81</f>
        <v>0.4029</v>
      </c>
      <c r="AC81" s="130" t="n">
        <f aca="false">(Overview!$I$15 + Imps!Z81+ tech_2_5*Techs!AB81 + tech_3_6*Techs!AM81 + tech_6_1*Techs!BJ81 + tech_6_5*Techs!BF81 + tech_7_3_2*Techs!BN81) * (1 + Production!O81/100*prestige_pop_multiplier) + Production!O81/100*prestige_pop_multiplier</f>
        <v>0.07625</v>
      </c>
    </row>
    <row r="82" customFormat="false" ht="12.75" hidden="false" customHeight="false" outlineLevel="0" collapsed="false">
      <c r="A82" s="128" t="n">
        <f aca="false">TblRezone[[#This Row],[Hour]]</f>
        <v>79</v>
      </c>
      <c r="B82" s="129" t="n">
        <f aca="false">TblImps[[#This Row],[Time]]</f>
        <v>45433</v>
      </c>
      <c r="C82" s="69" t="n">
        <f aca="false">OFFSET(TblPop[[#This Row],[Peasants]],-1,0)+OFFSET(TblPop[[#This Row],[Net Peasant]],-1,0)+TblMili[[#This Row],[Release Draft]]</f>
        <v>9427</v>
      </c>
      <c r="D82" s="69" t="n">
        <f aca="false">TblMili[[#This Row],[Military]]</f>
        <v>3512</v>
      </c>
      <c r="E82" s="69" t="n">
        <f aca="false">TblMili[[#This Row],[Draftees]]</f>
        <v>288</v>
      </c>
      <c r="F82" s="69" t="n">
        <f aca="false">TblPop[[#This Row],[Peasants]]+TblPop[[#This Row],[Military]]</f>
        <v>12939</v>
      </c>
      <c r="G82" s="130" t="n">
        <f aca="false">TblPop[[#This Row],[Military]]/TblPop[[#This Row],[Total]]</f>
        <v>0.271427467346781</v>
      </c>
      <c r="H82" s="95" t="n">
        <f aca="false">MIN(TblPop[[#This Row],[Peasants]],TblPop[[#This Row],[Jobs]])</f>
        <v>9427</v>
      </c>
      <c r="I82" s="130" t="n">
        <f aca="false">MIN(OFFSET(TblPop[[#This Row],[Jobs]],1,0)/TblPop[[#This Row],[Peasants]],1)</f>
        <v>1</v>
      </c>
      <c r="J82" s="95" t="n">
        <f aca="false">SUM(TblConstr[[#This Row],[Tot Alc]:[Tot GT]],TblConstr[[#This Row],[Tot Shr]:[Tot Doc]],TblConstr[[#This Row],[Dest Alc]:[Dest GT]],TblConstr[[#This Row],[Dest Shr]:[Dest Doc]])*building_employment + TblConstr[[#This Row],[Tot Fac]]*bonus_jobs_facts</f>
        <v>12200</v>
      </c>
      <c r="K82" s="131"/>
      <c r="L82" s="33" t="n">
        <f aca="false">TblPop[[#This Row],[Draftees]]</f>
        <v>288</v>
      </c>
      <c r="M82" s="33" t="n">
        <f aca="false">TblMili[[#This Row],[Unit 1]]</f>
        <v>0</v>
      </c>
      <c r="N82" s="33" t="n">
        <f aca="false">TblMili[[#This Row],[Unit 2]]</f>
        <v>1002</v>
      </c>
      <c r="O82" s="33" t="n">
        <f aca="false">TblMili[[#This Row],[Unit 3]]</f>
        <v>625</v>
      </c>
      <c r="P82" s="33" t="n">
        <f aca="false">TblMili[[#This Row],[Unit 4]]</f>
        <v>696</v>
      </c>
      <c r="Q82" s="33" t="n">
        <f aca="false">TblMili[[#This Row],[Spies]]</f>
        <v>25</v>
      </c>
      <c r="R82" s="33" t="n">
        <f aca="false">TblMili[[#This Row],[Wizards]]</f>
        <v>25</v>
      </c>
      <c r="S82" s="33" t="n">
        <f aca="false">TblMili[[#This Row],[Archmages]]</f>
        <v>0</v>
      </c>
      <c r="T82" s="132"/>
      <c r="U82" s="69" t="n">
        <f aca="false">ROUND(TblPop[[#This Row],[Raw max]]*(1+TblPop[[#This Row],[Max pop]]),0)+MIN(TblPop[[#This Row],[Military]]-TblPop[[#This Row],[Draftees]]-SUM(TblMili[[#This Row],[Train Unit 1]:[Train AM]]),(barracks_size + tech_8_3*TblTech[[#This Row],[8-3]])*TblConstr[[#This Row],[Tot Bar]])</f>
        <v>12939</v>
      </c>
      <c r="V8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2" s="69" t="n">
        <f aca="false">MAX(-5%*TblPop[[#This Row],[Peasants]]-TblPop[[#This Row],[Draft Growth]],MIN(OFFSET(TblPop[[#This Row],[Net max]],1,0)-TblPop[[#This Row],[Peasants]]-TblPop[[#This Row],[Military]]-TblPop[[#This Row],[Draft Growth]],TblPop[[#This Row],[Modded Birth]]-TblPop[[#This Row],[Draft Growth]]))</f>
        <v>-94</v>
      </c>
      <c r="X82" s="69" t="n">
        <f aca="false">ROUND(TblPop[[#This Row],[Raw Birth]]*(1+TblPop[[#This Row],[Growth]]),0)</f>
        <v>393</v>
      </c>
      <c r="Y82" s="69" t="n">
        <f aca="false">(TblPop[[#This Row],[Peasants]]-TblPop[[#This Row],[Draft Growth]])*raw_pop_growth</f>
        <v>279.99</v>
      </c>
      <c r="Z82" s="69" t="n">
        <f aca="false">IF(TblPop[[#This Row],[Military%]]&lt;TblMili[[#This Row],[Draftrate]],ROUND(TblPop[[#This Row],[Peasants]]*Constants!$B$55,0), 0)</f>
        <v>94</v>
      </c>
      <c r="AA82" s="132"/>
      <c r="AB82" s="109" t="n">
        <f aca="false">Overview!$I$16 + IF(Magic!AE82&gt;0,Constants!$F$78) + ROUND(6*(Construction!BM83+Construction!CK82)/IF(Explore!S83&gt;0,Construction!F83-20,Construction!F83),4) + tech_6_5_2*Techs!BJ82 + tech_8_4*Techs!BT82</f>
        <v>0.4029</v>
      </c>
      <c r="AC82" s="130" t="n">
        <f aca="false">(Overview!$I$15 + Imps!Z82+ tech_2_5*Techs!AB82 + tech_3_6*Techs!AM82 + tech_6_1*Techs!BJ82 + tech_6_5*Techs!BF82 + tech_7_3_2*Techs!BN82) * (1 + Production!O82/100*prestige_pop_multiplier) + Production!O82/100*prestige_pop_multiplier</f>
        <v>0.07625</v>
      </c>
    </row>
    <row r="83" customFormat="false" ht="12.75" hidden="false" customHeight="false" outlineLevel="0" collapsed="false">
      <c r="A83" s="128" t="n">
        <f aca="false">TblRezone[[#This Row],[Hour]]</f>
        <v>80</v>
      </c>
      <c r="B83" s="129" t="n">
        <f aca="false">TblImps[[#This Row],[Time]]</f>
        <v>45433.0416666667</v>
      </c>
      <c r="C83" s="69" t="n">
        <f aca="false">OFFSET(TblPop[[#This Row],[Peasants]],-1,0)+OFFSET(TblPop[[#This Row],[Net Peasant]],-1,0)+TblMili[[#This Row],[Release Draft]]</f>
        <v>9333</v>
      </c>
      <c r="D83" s="69" t="n">
        <f aca="false">TblMili[[#This Row],[Military]]</f>
        <v>3606</v>
      </c>
      <c r="E83" s="69" t="n">
        <f aca="false">TblMili[[#This Row],[Draftees]]</f>
        <v>382</v>
      </c>
      <c r="F83" s="69" t="n">
        <f aca="false">TblPop[[#This Row],[Peasants]]+TblPop[[#This Row],[Military]]</f>
        <v>12939</v>
      </c>
      <c r="G83" s="130" t="n">
        <f aca="false">TblPop[[#This Row],[Military]]/TblPop[[#This Row],[Total]]</f>
        <v>0.278692325527475</v>
      </c>
      <c r="H83" s="95" t="n">
        <f aca="false">MIN(TblPop[[#This Row],[Peasants]],TblPop[[#This Row],[Jobs]])</f>
        <v>9333</v>
      </c>
      <c r="I83" s="130" t="n">
        <f aca="false">MIN(OFFSET(TblPop[[#This Row],[Jobs]],1,0)/TblPop[[#This Row],[Peasants]],1)</f>
        <v>1</v>
      </c>
      <c r="J83" s="95" t="n">
        <f aca="false">SUM(TblConstr[[#This Row],[Tot Alc]:[Tot GT]],TblConstr[[#This Row],[Tot Shr]:[Tot Doc]],TblConstr[[#This Row],[Dest Alc]:[Dest GT]],TblConstr[[#This Row],[Dest Shr]:[Dest Doc]])*building_employment + TblConstr[[#This Row],[Tot Fac]]*bonus_jobs_facts</f>
        <v>12200</v>
      </c>
      <c r="K83" s="131"/>
      <c r="L83" s="33" t="n">
        <f aca="false">TblPop[[#This Row],[Draftees]]</f>
        <v>382</v>
      </c>
      <c r="M83" s="33" t="n">
        <f aca="false">TblMili[[#This Row],[Unit 1]]</f>
        <v>0</v>
      </c>
      <c r="N83" s="33" t="n">
        <f aca="false">TblMili[[#This Row],[Unit 2]]</f>
        <v>1002</v>
      </c>
      <c r="O83" s="33" t="n">
        <f aca="false">TblMili[[#This Row],[Unit 3]]</f>
        <v>625</v>
      </c>
      <c r="P83" s="33" t="n">
        <f aca="false">TblMili[[#This Row],[Unit 4]]</f>
        <v>748</v>
      </c>
      <c r="Q83" s="33" t="n">
        <f aca="false">TblMili[[#This Row],[Spies]]</f>
        <v>25</v>
      </c>
      <c r="R83" s="33" t="n">
        <f aca="false">TblMili[[#This Row],[Wizards]]</f>
        <v>25</v>
      </c>
      <c r="S83" s="33" t="n">
        <f aca="false">TblMili[[#This Row],[Archmages]]</f>
        <v>0</v>
      </c>
      <c r="T83" s="132"/>
      <c r="U83" s="69" t="n">
        <f aca="false">ROUND(TblPop[[#This Row],[Raw max]]*(1+TblPop[[#This Row],[Max pop]]),0)+MIN(TblPop[[#This Row],[Military]]-TblPop[[#This Row],[Draftees]]-SUM(TblMili[[#This Row],[Train Unit 1]:[Train AM]]),(barracks_size + tech_8_3*TblTech[[#This Row],[8-3]])*TblConstr[[#This Row],[Tot Bar]])</f>
        <v>12939</v>
      </c>
      <c r="V8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3" s="69" t="n">
        <f aca="false">MAX(-5%*TblPop[[#This Row],[Peasants]]-TblPop[[#This Row],[Draft Growth]],MIN(OFFSET(TblPop[[#This Row],[Net max]],1,0)-TblPop[[#This Row],[Peasants]]-TblPop[[#This Row],[Military]]-TblPop[[#This Row],[Draft Growth]],TblPop[[#This Row],[Modded Birth]]-TblPop[[#This Row],[Draft Growth]]))</f>
        <v>-93</v>
      </c>
      <c r="X83" s="69" t="n">
        <f aca="false">ROUND(TblPop[[#This Row],[Raw Birth]]*(1+TblPop[[#This Row],[Growth]]),0)</f>
        <v>389</v>
      </c>
      <c r="Y83" s="69" t="n">
        <f aca="false">(TblPop[[#This Row],[Peasants]]-TblPop[[#This Row],[Draft Growth]])*raw_pop_growth</f>
        <v>277.2</v>
      </c>
      <c r="Z83" s="69" t="n">
        <f aca="false">IF(TblPop[[#This Row],[Military%]]&lt;TblMili[[#This Row],[Draftrate]],ROUND(TblPop[[#This Row],[Peasants]]*Constants!$B$55,0), 0)</f>
        <v>93</v>
      </c>
      <c r="AA83" s="132"/>
      <c r="AB83" s="109" t="n">
        <f aca="false">Overview!$I$16 + IF(Magic!AE83&gt;0,Constants!$F$78) + ROUND(6*(Construction!BM84+Construction!CK83)/IF(Explore!S84&gt;0,Construction!F84-20,Construction!F84),4) + tech_6_5_2*Techs!BJ83 + tech_8_4*Techs!BT83</f>
        <v>0.4029</v>
      </c>
      <c r="AC83" s="130" t="n">
        <f aca="false">(Overview!$I$15 + Imps!Z83+ tech_2_5*Techs!AB83 + tech_3_6*Techs!AM83 + tech_6_1*Techs!BJ83 + tech_6_5*Techs!BF83 + tech_7_3_2*Techs!BN83) * (1 + Production!O83/100*prestige_pop_multiplier) + Production!O83/100*prestige_pop_multiplier</f>
        <v>0.07625</v>
      </c>
    </row>
    <row r="84" customFormat="false" ht="12.75" hidden="false" customHeight="false" outlineLevel="0" collapsed="false">
      <c r="A84" s="128" t="n">
        <f aca="false">TblRezone[[#This Row],[Hour]]</f>
        <v>81</v>
      </c>
      <c r="B84" s="129" t="n">
        <f aca="false">TblImps[[#This Row],[Time]]</f>
        <v>45433.0833333333</v>
      </c>
      <c r="C84" s="69" t="n">
        <f aca="false">OFFSET(TblPop[[#This Row],[Peasants]],-1,0)+OFFSET(TblPop[[#This Row],[Net Peasant]],-1,0)+TblMili[[#This Row],[Release Draft]]</f>
        <v>9240</v>
      </c>
      <c r="D84" s="69" t="n">
        <f aca="false">TblMili[[#This Row],[Military]]</f>
        <v>3699</v>
      </c>
      <c r="E84" s="69" t="n">
        <f aca="false">TblMili[[#This Row],[Draftees]]</f>
        <v>475</v>
      </c>
      <c r="F84" s="69" t="n">
        <f aca="false">TblPop[[#This Row],[Peasants]]+TblPop[[#This Row],[Military]]</f>
        <v>12939</v>
      </c>
      <c r="G84" s="130" t="n">
        <f aca="false">TblPop[[#This Row],[Military]]/TblPop[[#This Row],[Total]]</f>
        <v>0.285879897982843</v>
      </c>
      <c r="H84" s="95" t="n">
        <f aca="false">MIN(TblPop[[#This Row],[Peasants]],TblPop[[#This Row],[Jobs]])</f>
        <v>9240</v>
      </c>
      <c r="I84" s="130" t="n">
        <f aca="false">MIN(OFFSET(TblPop[[#This Row],[Jobs]],1,0)/TblPop[[#This Row],[Peasants]],1)</f>
        <v>1</v>
      </c>
      <c r="J84" s="95" t="n">
        <f aca="false">SUM(TblConstr[[#This Row],[Tot Alc]:[Tot GT]],TblConstr[[#This Row],[Tot Shr]:[Tot Doc]],TblConstr[[#This Row],[Dest Alc]:[Dest GT]],TblConstr[[#This Row],[Dest Shr]:[Dest Doc]])*building_employment + TblConstr[[#This Row],[Tot Fac]]*bonus_jobs_facts</f>
        <v>12200</v>
      </c>
      <c r="K84" s="131"/>
      <c r="L84" s="33" t="n">
        <f aca="false">TblPop[[#This Row],[Draftees]]</f>
        <v>475</v>
      </c>
      <c r="M84" s="33" t="n">
        <f aca="false">TblMili[[#This Row],[Unit 1]]</f>
        <v>0</v>
      </c>
      <c r="N84" s="33" t="n">
        <f aca="false">TblMili[[#This Row],[Unit 2]]</f>
        <v>1002</v>
      </c>
      <c r="O84" s="33" t="n">
        <f aca="false">TblMili[[#This Row],[Unit 3]]</f>
        <v>625</v>
      </c>
      <c r="P84" s="33" t="n">
        <f aca="false">TblMili[[#This Row],[Unit 4]]</f>
        <v>851</v>
      </c>
      <c r="Q84" s="33" t="n">
        <f aca="false">TblMili[[#This Row],[Spies]]</f>
        <v>25</v>
      </c>
      <c r="R84" s="33" t="n">
        <f aca="false">TblMili[[#This Row],[Wizards]]</f>
        <v>25</v>
      </c>
      <c r="S84" s="33" t="n">
        <f aca="false">TblMili[[#This Row],[Archmages]]</f>
        <v>0</v>
      </c>
      <c r="T84" s="132"/>
      <c r="U84" s="69" t="n">
        <f aca="false">ROUND(TblPop[[#This Row],[Raw max]]*(1+TblPop[[#This Row],[Max pop]]),0)+MIN(TblPop[[#This Row],[Military]]-TblPop[[#This Row],[Draftees]]-SUM(TblMili[[#This Row],[Train Unit 1]:[Train AM]]),(barracks_size + tech_8_3*TblTech[[#This Row],[8-3]])*TblConstr[[#This Row],[Tot Bar]])</f>
        <v>12939</v>
      </c>
      <c r="V8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4" s="69" t="n">
        <f aca="false">MAX(-5%*TblPop[[#This Row],[Peasants]]-TblPop[[#This Row],[Draft Growth]],MIN(OFFSET(TblPop[[#This Row],[Net max]],1,0)-TblPop[[#This Row],[Peasants]]-TblPop[[#This Row],[Military]]-TblPop[[#This Row],[Draft Growth]],TblPop[[#This Row],[Modded Birth]]-TblPop[[#This Row],[Draft Growth]]))</f>
        <v>-92</v>
      </c>
      <c r="X84" s="69" t="n">
        <f aca="false">ROUND(TblPop[[#This Row],[Raw Birth]]*(1+TblPop[[#This Row],[Growth]]),0)</f>
        <v>385</v>
      </c>
      <c r="Y84" s="69" t="n">
        <f aca="false">(TblPop[[#This Row],[Peasants]]-TblPop[[#This Row],[Draft Growth]])*raw_pop_growth</f>
        <v>274.44</v>
      </c>
      <c r="Z84" s="69" t="n">
        <f aca="false">IF(TblPop[[#This Row],[Military%]]&lt;TblMili[[#This Row],[Draftrate]],ROUND(TblPop[[#This Row],[Peasants]]*Constants!$B$55,0), 0)</f>
        <v>92</v>
      </c>
      <c r="AA84" s="132"/>
      <c r="AB84" s="109" t="n">
        <f aca="false">Overview!$I$16 + IF(Magic!AE84&gt;0,Constants!$F$78) + ROUND(6*(Construction!BM85+Construction!CK84)/IF(Explore!S85&gt;0,Construction!F85-20,Construction!F85),4) + tech_6_5_2*Techs!BJ84 + tech_8_4*Techs!BT84</f>
        <v>0.4029</v>
      </c>
      <c r="AC84" s="130" t="n">
        <f aca="false">(Overview!$I$15 + Imps!Z84+ tech_2_5*Techs!AB84 + tech_3_6*Techs!AM84 + tech_6_1*Techs!BJ84 + tech_6_5*Techs!BF84 + tech_7_3_2*Techs!BN84) * (1 + Production!O84/100*prestige_pop_multiplier) + Production!O84/100*prestige_pop_multiplier</f>
        <v>0.07625</v>
      </c>
    </row>
    <row r="85" customFormat="false" ht="12.75" hidden="false" customHeight="false" outlineLevel="0" collapsed="false">
      <c r="A85" s="128" t="n">
        <f aca="false">TblRezone[[#This Row],[Hour]]</f>
        <v>82</v>
      </c>
      <c r="B85" s="129" t="n">
        <f aca="false">TblImps[[#This Row],[Time]]</f>
        <v>45433.125</v>
      </c>
      <c r="C85" s="69" t="n">
        <f aca="false">OFFSET(TblPop[[#This Row],[Peasants]],-1,0)+OFFSET(TblPop[[#This Row],[Net Peasant]],-1,0)+TblMili[[#This Row],[Release Draft]]</f>
        <v>9148</v>
      </c>
      <c r="D85" s="69" t="n">
        <f aca="false">TblMili[[#This Row],[Military]]</f>
        <v>3791</v>
      </c>
      <c r="E85" s="69" t="n">
        <f aca="false">TblMili[[#This Row],[Draftees]]</f>
        <v>567</v>
      </c>
      <c r="F85" s="69" t="n">
        <f aca="false">TblPop[[#This Row],[Peasants]]+TblPop[[#This Row],[Military]]</f>
        <v>12939</v>
      </c>
      <c r="G85" s="130" t="n">
        <f aca="false">TblPop[[#This Row],[Military]]/TblPop[[#This Row],[Total]]</f>
        <v>0.292990184712884</v>
      </c>
      <c r="H85" s="95" t="n">
        <f aca="false">MIN(TblPop[[#This Row],[Peasants]],TblPop[[#This Row],[Jobs]])</f>
        <v>9148</v>
      </c>
      <c r="I85" s="130" t="n">
        <f aca="false">MIN(OFFSET(TblPop[[#This Row],[Jobs]],1,0)/TblPop[[#This Row],[Peasants]],1)</f>
        <v>1</v>
      </c>
      <c r="J85" s="95" t="n">
        <f aca="false">SUM(TblConstr[[#This Row],[Tot Alc]:[Tot GT]],TblConstr[[#This Row],[Tot Shr]:[Tot Doc]],TblConstr[[#This Row],[Dest Alc]:[Dest GT]],TblConstr[[#This Row],[Dest Shr]:[Dest Doc]])*building_employment + TblConstr[[#This Row],[Tot Fac]]*bonus_jobs_facts</f>
        <v>12200</v>
      </c>
      <c r="K85" s="131"/>
      <c r="L85" s="33" t="n">
        <f aca="false">TblPop[[#This Row],[Draftees]]</f>
        <v>567</v>
      </c>
      <c r="M85" s="33" t="n">
        <f aca="false">TblMili[[#This Row],[Unit 1]]</f>
        <v>0</v>
      </c>
      <c r="N85" s="33" t="n">
        <f aca="false">TblMili[[#This Row],[Unit 2]]</f>
        <v>1002</v>
      </c>
      <c r="O85" s="33" t="n">
        <f aca="false">TblMili[[#This Row],[Unit 3]]</f>
        <v>625</v>
      </c>
      <c r="P85" s="33" t="n">
        <f aca="false">TblMili[[#This Row],[Unit 4]]</f>
        <v>953</v>
      </c>
      <c r="Q85" s="33" t="n">
        <f aca="false">TblMili[[#This Row],[Spies]]</f>
        <v>25</v>
      </c>
      <c r="R85" s="33" t="n">
        <f aca="false">TblMili[[#This Row],[Wizards]]</f>
        <v>25</v>
      </c>
      <c r="S85" s="33" t="n">
        <f aca="false">TblMili[[#This Row],[Archmages]]</f>
        <v>0</v>
      </c>
      <c r="T85" s="132"/>
      <c r="U85" s="69" t="n">
        <f aca="false">ROUND(TblPop[[#This Row],[Raw max]]*(1+TblPop[[#This Row],[Max pop]]),0)+MIN(TblPop[[#This Row],[Military]]-TblPop[[#This Row],[Draftees]]-SUM(TblMili[[#This Row],[Train Unit 1]:[Train AM]]),(barracks_size + tech_8_3*TblTech[[#This Row],[8-3]])*TblConstr[[#This Row],[Tot Bar]])</f>
        <v>12939</v>
      </c>
      <c r="V8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5" s="69" t="n">
        <f aca="false">MAX(-5%*TblPop[[#This Row],[Peasants]]-TblPop[[#This Row],[Draft Growth]],MIN(OFFSET(TblPop[[#This Row],[Net max]],1,0)-TblPop[[#This Row],[Peasants]]-TblPop[[#This Row],[Military]]-TblPop[[#This Row],[Draft Growth]],TblPop[[#This Row],[Modded Birth]]-TblPop[[#This Row],[Draft Growth]]))</f>
        <v>-91</v>
      </c>
      <c r="X85" s="69" t="n">
        <f aca="false">ROUND(TblPop[[#This Row],[Raw Birth]]*(1+TblPop[[#This Row],[Growth]]),0)</f>
        <v>381</v>
      </c>
      <c r="Y85" s="69" t="n">
        <f aca="false">(TblPop[[#This Row],[Peasants]]-TblPop[[#This Row],[Draft Growth]])*raw_pop_growth</f>
        <v>271.71</v>
      </c>
      <c r="Z85" s="69" t="n">
        <f aca="false">IF(TblPop[[#This Row],[Military%]]&lt;TblMili[[#This Row],[Draftrate]],ROUND(TblPop[[#This Row],[Peasants]]*Constants!$B$55,0), 0)</f>
        <v>91</v>
      </c>
      <c r="AA85" s="132"/>
      <c r="AB85" s="109" t="n">
        <f aca="false">Overview!$I$16 + IF(Magic!AE85&gt;0,Constants!$F$78) + ROUND(6*(Construction!BM86+Construction!CK85)/IF(Explore!S86&gt;0,Construction!F86-20,Construction!F86),4) + tech_6_5_2*Techs!BJ85 + tech_8_4*Techs!BT85</f>
        <v>0.4029</v>
      </c>
      <c r="AC85" s="130" t="n">
        <f aca="false">(Overview!$I$15 + Imps!Z85+ tech_2_5*Techs!AB85 + tech_3_6*Techs!AM85 + tech_6_1*Techs!BJ85 + tech_6_5*Techs!BF85 + tech_7_3_2*Techs!BN85) * (1 + Production!O85/100*prestige_pop_multiplier) + Production!O85/100*prestige_pop_multiplier</f>
        <v>0.07625</v>
      </c>
    </row>
    <row r="86" customFormat="false" ht="12.75" hidden="false" customHeight="false" outlineLevel="0" collapsed="false">
      <c r="A86" s="128" t="n">
        <f aca="false">TblRezone[[#This Row],[Hour]]</f>
        <v>83</v>
      </c>
      <c r="B86" s="129" t="n">
        <f aca="false">TblImps[[#This Row],[Time]]</f>
        <v>45433.1666666667</v>
      </c>
      <c r="C86" s="69" t="n">
        <f aca="false">OFFSET(TblPop[[#This Row],[Peasants]],-1,0)+OFFSET(TblPop[[#This Row],[Net Peasant]],-1,0)+TblMili[[#This Row],[Release Draft]]</f>
        <v>9057</v>
      </c>
      <c r="D86" s="69" t="n">
        <f aca="false">TblMili[[#This Row],[Military]]</f>
        <v>3882</v>
      </c>
      <c r="E86" s="69" t="n">
        <f aca="false">TblMili[[#This Row],[Draftees]]</f>
        <v>658</v>
      </c>
      <c r="F86" s="69" t="n">
        <f aca="false">TblPop[[#This Row],[Peasants]]+TblPop[[#This Row],[Military]]</f>
        <v>12939</v>
      </c>
      <c r="G86" s="130" t="n">
        <f aca="false">TblPop[[#This Row],[Military]]/TblPop[[#This Row],[Total]]</f>
        <v>0.300023185717598</v>
      </c>
      <c r="H86" s="95" t="n">
        <f aca="false">MIN(TblPop[[#This Row],[Peasants]],TblPop[[#This Row],[Jobs]])</f>
        <v>9057</v>
      </c>
      <c r="I86" s="130" t="n">
        <f aca="false">MIN(OFFSET(TblPop[[#This Row],[Jobs]],1,0)/TblPop[[#This Row],[Peasants]],1)</f>
        <v>1</v>
      </c>
      <c r="J86" s="95" t="n">
        <f aca="false">SUM(TblConstr[[#This Row],[Tot Alc]:[Tot GT]],TblConstr[[#This Row],[Tot Shr]:[Tot Doc]],TblConstr[[#This Row],[Dest Alc]:[Dest GT]],TblConstr[[#This Row],[Dest Shr]:[Dest Doc]])*building_employment + TblConstr[[#This Row],[Tot Fac]]*bonus_jobs_facts</f>
        <v>12200</v>
      </c>
      <c r="K86" s="131"/>
      <c r="L86" s="33" t="n">
        <f aca="false">TblPop[[#This Row],[Draftees]]</f>
        <v>658</v>
      </c>
      <c r="M86" s="33" t="n">
        <f aca="false">TblMili[[#This Row],[Unit 1]]</f>
        <v>0</v>
      </c>
      <c r="N86" s="33" t="n">
        <f aca="false">TblMili[[#This Row],[Unit 2]]</f>
        <v>1050</v>
      </c>
      <c r="O86" s="33" t="n">
        <f aca="false">TblMili[[#This Row],[Unit 3]]</f>
        <v>625</v>
      </c>
      <c r="P86" s="33" t="n">
        <f aca="false">TblMili[[#This Row],[Unit 4]]</f>
        <v>1054</v>
      </c>
      <c r="Q86" s="33" t="n">
        <f aca="false">TblMili[[#This Row],[Spies]]</f>
        <v>25</v>
      </c>
      <c r="R86" s="33" t="n">
        <f aca="false">TblMili[[#This Row],[Wizards]]</f>
        <v>25</v>
      </c>
      <c r="S86" s="33" t="n">
        <f aca="false">TblMili[[#This Row],[Archmages]]</f>
        <v>0</v>
      </c>
      <c r="T86" s="132"/>
      <c r="U86" s="69" t="n">
        <f aca="false">ROUND(TblPop[[#This Row],[Raw max]]*(1+TblPop[[#This Row],[Max pop]]),0)+MIN(TblPop[[#This Row],[Military]]-TblPop[[#This Row],[Draftees]]-SUM(TblMili[[#This Row],[Train Unit 1]:[Train AM]]),(barracks_size + tech_8_3*TblTech[[#This Row],[8-3]])*TblConstr[[#This Row],[Tot Bar]])</f>
        <v>12939</v>
      </c>
      <c r="V8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6" s="69" t="n">
        <f aca="false">MAX(-5%*TblPop[[#This Row],[Peasants]]-TblPop[[#This Row],[Draft Growth]],MIN(OFFSET(TblPop[[#This Row],[Net max]],1,0)-TblPop[[#This Row],[Peasants]]-TblPop[[#This Row],[Military]]-TblPop[[#This Row],[Draft Growth]],TblPop[[#This Row],[Modded Birth]]-TblPop[[#This Row],[Draft Growth]]))</f>
        <v>-91</v>
      </c>
      <c r="X86" s="69" t="n">
        <f aca="false">ROUND(TblPop[[#This Row],[Raw Birth]]*(1+TblPop[[#This Row],[Growth]]),0)</f>
        <v>377</v>
      </c>
      <c r="Y86" s="69" t="n">
        <f aca="false">(TblPop[[#This Row],[Peasants]]-TblPop[[#This Row],[Draft Growth]])*raw_pop_growth</f>
        <v>268.98</v>
      </c>
      <c r="Z86" s="69" t="n">
        <f aca="false">IF(TblPop[[#This Row],[Military%]]&lt;TblMili[[#This Row],[Draftrate]],ROUND(TblPop[[#This Row],[Peasants]]*Constants!$B$55,0), 0)</f>
        <v>91</v>
      </c>
      <c r="AA86" s="132"/>
      <c r="AB86" s="109" t="n">
        <f aca="false">Overview!$I$16 + IF(Magic!AE86&gt;0,Constants!$F$78) + ROUND(6*(Construction!BM87+Construction!CK86)/IF(Explore!S87&gt;0,Construction!F87-20,Construction!F87),4) + tech_6_5_2*Techs!BJ86 + tech_8_4*Techs!BT86</f>
        <v>0.4029</v>
      </c>
      <c r="AC86" s="130" t="n">
        <f aca="false">(Overview!$I$15 + Imps!Z86+ tech_2_5*Techs!AB86 + tech_3_6*Techs!AM86 + tech_6_1*Techs!BJ86 + tech_6_5*Techs!BF86 + tech_7_3_2*Techs!BN86) * (1 + Production!O86/100*prestige_pop_multiplier) + Production!O86/100*prestige_pop_multiplier</f>
        <v>0.07625</v>
      </c>
    </row>
    <row r="87" customFormat="false" ht="12.75" hidden="false" customHeight="false" outlineLevel="0" collapsed="false">
      <c r="A87" s="128" t="n">
        <f aca="false">TblRezone[[#This Row],[Hour]]</f>
        <v>84</v>
      </c>
      <c r="B87" s="129" t="n">
        <f aca="false">TblImps[[#This Row],[Time]]</f>
        <v>45433.2083333333</v>
      </c>
      <c r="C87" s="69" t="n">
        <f aca="false">OFFSET(TblPop[[#This Row],[Peasants]],-1,0)+OFFSET(TblPop[[#This Row],[Net Peasant]],-1,0)+TblMili[[#This Row],[Release Draft]]</f>
        <v>8966</v>
      </c>
      <c r="D87" s="69" t="n">
        <f aca="false">TblMili[[#This Row],[Military]]</f>
        <v>3973</v>
      </c>
      <c r="E87" s="69" t="n">
        <f aca="false">TblMili[[#This Row],[Draftees]]</f>
        <v>749</v>
      </c>
      <c r="F87" s="69" t="n">
        <f aca="false">TblPop[[#This Row],[Peasants]]+TblPop[[#This Row],[Military]]</f>
        <v>12939</v>
      </c>
      <c r="G87" s="130" t="n">
        <f aca="false">TblPop[[#This Row],[Military]]/TblPop[[#This Row],[Total]]</f>
        <v>0.307056186722312</v>
      </c>
      <c r="H87" s="95" t="n">
        <f aca="false">MIN(TblPop[[#This Row],[Peasants]],TblPop[[#This Row],[Jobs]])</f>
        <v>8966</v>
      </c>
      <c r="I87" s="130" t="n">
        <f aca="false">MIN(OFFSET(TblPop[[#This Row],[Jobs]],1,0)/TblPop[[#This Row],[Peasants]],1)</f>
        <v>1</v>
      </c>
      <c r="J87" s="95" t="n">
        <f aca="false">SUM(TblConstr[[#This Row],[Tot Alc]:[Tot GT]],TblConstr[[#This Row],[Tot Shr]:[Tot Doc]],TblConstr[[#This Row],[Dest Alc]:[Dest GT]],TblConstr[[#This Row],[Dest Shr]:[Dest Doc]])*building_employment + TblConstr[[#This Row],[Tot Fac]]*bonus_jobs_facts</f>
        <v>12200</v>
      </c>
      <c r="K87" s="131"/>
      <c r="L87" s="33" t="n">
        <f aca="false">TblPop[[#This Row],[Draftees]]</f>
        <v>749</v>
      </c>
      <c r="M87" s="33" t="n">
        <f aca="false">TblMili[[#This Row],[Unit 1]]</f>
        <v>0</v>
      </c>
      <c r="N87" s="33" t="n">
        <f aca="false">TblMili[[#This Row],[Unit 2]]</f>
        <v>1148</v>
      </c>
      <c r="O87" s="33" t="n">
        <f aca="false">TblMili[[#This Row],[Unit 3]]</f>
        <v>625</v>
      </c>
      <c r="P87" s="33" t="n">
        <f aca="false">TblMili[[#This Row],[Unit 4]]</f>
        <v>1154</v>
      </c>
      <c r="Q87" s="33" t="n">
        <f aca="false">TblMili[[#This Row],[Spies]]</f>
        <v>25</v>
      </c>
      <c r="R87" s="33" t="n">
        <f aca="false">TblMili[[#This Row],[Wizards]]</f>
        <v>25</v>
      </c>
      <c r="S87" s="33" t="n">
        <f aca="false">TblMili[[#This Row],[Archmages]]</f>
        <v>0</v>
      </c>
      <c r="T87" s="132"/>
      <c r="U87" s="69" t="n">
        <f aca="false">ROUND(TblPop[[#This Row],[Raw max]]*(1+TblPop[[#This Row],[Max pop]]),0)+MIN(TblPop[[#This Row],[Military]]-TblPop[[#This Row],[Draftees]]-SUM(TblMili[[#This Row],[Train Unit 1]:[Train AM]]),(barracks_size + tech_8_3*TblTech[[#This Row],[8-3]])*TblConstr[[#This Row],[Tot Bar]])</f>
        <v>12939</v>
      </c>
      <c r="V8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7" s="69" t="n">
        <f aca="false">MAX(-5%*TblPop[[#This Row],[Peasants]]-TblPop[[#This Row],[Draft Growth]],MIN(OFFSET(TblPop[[#This Row],[Net max]],1,0)-TblPop[[#This Row],[Peasants]]-TblPop[[#This Row],[Military]]-TblPop[[#This Row],[Draft Growth]],TblPop[[#This Row],[Modded Birth]]-TblPop[[#This Row],[Draft Growth]]))</f>
        <v>-90</v>
      </c>
      <c r="X87" s="69" t="n">
        <f aca="false">ROUND(TblPop[[#This Row],[Raw Birth]]*(1+TblPop[[#This Row],[Growth]]),0)</f>
        <v>374</v>
      </c>
      <c r="Y87" s="69" t="n">
        <f aca="false">(TblPop[[#This Row],[Peasants]]-TblPop[[#This Row],[Draft Growth]])*raw_pop_growth</f>
        <v>266.28</v>
      </c>
      <c r="Z87" s="69" t="n">
        <f aca="false">IF(TblPop[[#This Row],[Military%]]&lt;TblMili[[#This Row],[Draftrate]],ROUND(TblPop[[#This Row],[Peasants]]*Constants!$B$55,0), 0)</f>
        <v>90</v>
      </c>
      <c r="AA87" s="132"/>
      <c r="AB87" s="109" t="n">
        <f aca="false">Overview!$I$16 + IF(Magic!AE87&gt;0,Constants!$F$78) + ROUND(6*(Construction!BM88+Construction!CK87)/IF(Explore!S88&gt;0,Construction!F88-20,Construction!F88),4) + tech_6_5_2*Techs!BJ87 + tech_8_4*Techs!BT87</f>
        <v>0.4029</v>
      </c>
      <c r="AC87" s="130" t="n">
        <f aca="false">(Overview!$I$15 + Imps!Z87+ tech_2_5*Techs!AB87 + tech_3_6*Techs!AM87 + tech_6_1*Techs!BJ87 + tech_6_5*Techs!BF87 + tech_7_3_2*Techs!BN87) * (1 + Production!O87/100*prestige_pop_multiplier) + Production!O87/100*prestige_pop_multiplier</f>
        <v>0.07625</v>
      </c>
    </row>
    <row r="88" customFormat="false" ht="12.75" hidden="false" customHeight="false" outlineLevel="0" collapsed="false">
      <c r="A88" s="128" t="n">
        <f aca="false">TblRezone[[#This Row],[Hour]]</f>
        <v>85</v>
      </c>
      <c r="B88" s="129" t="n">
        <f aca="false">TblImps[[#This Row],[Time]]</f>
        <v>45433.25</v>
      </c>
      <c r="C88" s="69" t="n">
        <f aca="false">OFFSET(TblPop[[#This Row],[Peasants]],-1,0)+OFFSET(TblPop[[#This Row],[Net Peasant]],-1,0)+TblMili[[#This Row],[Release Draft]]</f>
        <v>8876</v>
      </c>
      <c r="D88" s="69" t="n">
        <f aca="false">TblMili[[#This Row],[Military]]</f>
        <v>4063</v>
      </c>
      <c r="E88" s="69" t="n">
        <f aca="false">TblMili[[#This Row],[Draftees]]</f>
        <v>839</v>
      </c>
      <c r="F88" s="69" t="n">
        <f aca="false">TblPop[[#This Row],[Peasants]]+TblPop[[#This Row],[Military]]</f>
        <v>12939</v>
      </c>
      <c r="G88" s="130" t="n">
        <f aca="false">TblPop[[#This Row],[Military]]/TblPop[[#This Row],[Total]]</f>
        <v>0.3140119020017</v>
      </c>
      <c r="H88" s="95" t="n">
        <f aca="false">MIN(TblPop[[#This Row],[Peasants]],TblPop[[#This Row],[Jobs]])</f>
        <v>8876</v>
      </c>
      <c r="I88" s="130" t="n">
        <f aca="false">MIN(OFFSET(TblPop[[#This Row],[Jobs]],1,0)/TblPop[[#This Row],[Peasants]],1)</f>
        <v>1</v>
      </c>
      <c r="J88" s="95" t="n">
        <f aca="false">SUM(TblConstr[[#This Row],[Tot Alc]:[Tot GT]],TblConstr[[#This Row],[Tot Shr]:[Tot Doc]],TblConstr[[#This Row],[Dest Alc]:[Dest GT]],TblConstr[[#This Row],[Dest Shr]:[Dest Doc]])*building_employment + TblConstr[[#This Row],[Tot Fac]]*bonus_jobs_facts</f>
        <v>12200</v>
      </c>
      <c r="K88" s="131"/>
      <c r="L88" s="33" t="n">
        <f aca="false">TblPop[[#This Row],[Draftees]]</f>
        <v>839</v>
      </c>
      <c r="M88" s="33" t="n">
        <f aca="false">TblMili[[#This Row],[Unit 1]]</f>
        <v>0</v>
      </c>
      <c r="N88" s="33" t="n">
        <f aca="false">TblMili[[#This Row],[Unit 2]]</f>
        <v>1246</v>
      </c>
      <c r="O88" s="33" t="n">
        <f aca="false">TblMili[[#This Row],[Unit 3]]</f>
        <v>650</v>
      </c>
      <c r="P88" s="33" t="n">
        <f aca="false">TblMili[[#This Row],[Unit 4]]</f>
        <v>1228</v>
      </c>
      <c r="Q88" s="33" t="n">
        <f aca="false">TblMili[[#This Row],[Spies]]</f>
        <v>25</v>
      </c>
      <c r="R88" s="33" t="n">
        <f aca="false">TblMili[[#This Row],[Wizards]]</f>
        <v>25</v>
      </c>
      <c r="S88" s="33" t="n">
        <f aca="false">TblMili[[#This Row],[Archmages]]</f>
        <v>0</v>
      </c>
      <c r="T88" s="132"/>
      <c r="U88" s="69" t="n">
        <f aca="false">ROUND(TblPop[[#This Row],[Raw max]]*(1+TblPop[[#This Row],[Max pop]]),0)+MIN(TblPop[[#This Row],[Military]]-TblPop[[#This Row],[Draftees]]-SUM(TblMili[[#This Row],[Train Unit 1]:[Train AM]]),(barracks_size + tech_8_3*TblTech[[#This Row],[8-3]])*TblConstr[[#This Row],[Tot Bar]])</f>
        <v>12939</v>
      </c>
      <c r="V8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8" s="69" t="n">
        <f aca="false">MAX(-5%*TblPop[[#This Row],[Peasants]]-TblPop[[#This Row],[Draft Growth]],MIN(OFFSET(TblPop[[#This Row],[Net max]],1,0)-TblPop[[#This Row],[Peasants]]-TblPop[[#This Row],[Military]]-TblPop[[#This Row],[Draft Growth]],TblPop[[#This Row],[Modded Birth]]-TblPop[[#This Row],[Draft Growth]]))</f>
        <v>-89</v>
      </c>
      <c r="X88" s="69" t="n">
        <f aca="false">ROUND(TblPop[[#This Row],[Raw Birth]]*(1+TblPop[[#This Row],[Growth]]),0)</f>
        <v>370</v>
      </c>
      <c r="Y88" s="69" t="n">
        <f aca="false">(TblPop[[#This Row],[Peasants]]-TblPop[[#This Row],[Draft Growth]])*raw_pop_growth</f>
        <v>263.61</v>
      </c>
      <c r="Z88" s="69" t="n">
        <f aca="false">IF(TblPop[[#This Row],[Military%]]&lt;TblMili[[#This Row],[Draftrate]],ROUND(TblPop[[#This Row],[Peasants]]*Constants!$B$55,0), 0)</f>
        <v>89</v>
      </c>
      <c r="AA88" s="132"/>
      <c r="AB88" s="109" t="n">
        <f aca="false">Overview!$I$16 + IF(Magic!AE88&gt;0,Constants!$F$78) + ROUND(6*(Construction!BM89+Construction!CK88)/IF(Explore!S89&gt;0,Construction!F89-20,Construction!F89),4) + tech_6_5_2*Techs!BJ88 + tech_8_4*Techs!BT88</f>
        <v>0.4029</v>
      </c>
      <c r="AC88" s="130" t="n">
        <f aca="false">(Overview!$I$15 + Imps!Z88+ tech_2_5*Techs!AB88 + tech_3_6*Techs!AM88 + tech_6_1*Techs!BJ88 + tech_6_5*Techs!BF88 + tech_7_3_2*Techs!BN88) * (1 + Production!O88/100*prestige_pop_multiplier) + Production!O88/100*prestige_pop_multiplier</f>
        <v>0.07625</v>
      </c>
    </row>
    <row r="89" customFormat="false" ht="12.75" hidden="false" customHeight="false" outlineLevel="0" collapsed="false">
      <c r="A89" s="128" t="n">
        <f aca="false">TblRezone[[#This Row],[Hour]]</f>
        <v>86</v>
      </c>
      <c r="B89" s="129" t="n">
        <f aca="false">TblImps[[#This Row],[Time]]</f>
        <v>45433.2916666667</v>
      </c>
      <c r="C89" s="69" t="n">
        <f aca="false">OFFSET(TblPop[[#This Row],[Peasants]],-1,0)+OFFSET(TblPop[[#This Row],[Net Peasant]],-1,0)+TblMili[[#This Row],[Release Draft]]</f>
        <v>8787</v>
      </c>
      <c r="D89" s="69" t="n">
        <f aca="false">TblMili[[#This Row],[Military]]</f>
        <v>4152</v>
      </c>
      <c r="E89" s="69" t="n">
        <f aca="false">TblMili[[#This Row],[Draftees]]</f>
        <v>928</v>
      </c>
      <c r="F89" s="69" t="n">
        <f aca="false">TblPop[[#This Row],[Peasants]]+TblPop[[#This Row],[Military]]</f>
        <v>12939</v>
      </c>
      <c r="G89" s="130" t="n">
        <f aca="false">TblPop[[#This Row],[Military]]/TblPop[[#This Row],[Total]]</f>
        <v>0.320890331555762</v>
      </c>
      <c r="H89" s="95" t="n">
        <f aca="false">MIN(TblPop[[#This Row],[Peasants]],TblPop[[#This Row],[Jobs]])</f>
        <v>8787</v>
      </c>
      <c r="I89" s="130" t="n">
        <f aca="false">MIN(OFFSET(TblPop[[#This Row],[Jobs]],1,0)/TblPop[[#This Row],[Peasants]],1)</f>
        <v>1</v>
      </c>
      <c r="J89" s="95" t="n">
        <f aca="false">SUM(TblConstr[[#This Row],[Tot Alc]:[Tot GT]],TblConstr[[#This Row],[Tot Shr]:[Tot Doc]],TblConstr[[#This Row],[Dest Alc]:[Dest GT]],TblConstr[[#This Row],[Dest Shr]:[Dest Doc]])*building_employment + TblConstr[[#This Row],[Tot Fac]]*bonus_jobs_facts</f>
        <v>12200</v>
      </c>
      <c r="K89" s="131"/>
      <c r="L89" s="33" t="n">
        <f aca="false">TblPop[[#This Row],[Draftees]]</f>
        <v>928</v>
      </c>
      <c r="M89" s="33" t="n">
        <f aca="false">TblMili[[#This Row],[Unit 1]]</f>
        <v>0</v>
      </c>
      <c r="N89" s="33" t="n">
        <f aca="false">TblMili[[#This Row],[Unit 2]]</f>
        <v>1246</v>
      </c>
      <c r="O89" s="33" t="n">
        <f aca="false">TblMili[[#This Row],[Unit 3]]</f>
        <v>700</v>
      </c>
      <c r="P89" s="33" t="n">
        <f aca="false">TblMili[[#This Row],[Unit 4]]</f>
        <v>1228</v>
      </c>
      <c r="Q89" s="33" t="n">
        <f aca="false">TblMili[[#This Row],[Spies]]</f>
        <v>25</v>
      </c>
      <c r="R89" s="33" t="n">
        <f aca="false">TblMili[[#This Row],[Wizards]]</f>
        <v>25</v>
      </c>
      <c r="S89" s="33" t="n">
        <f aca="false">TblMili[[#This Row],[Archmages]]</f>
        <v>0</v>
      </c>
      <c r="T89" s="132"/>
      <c r="U89" s="69" t="n">
        <f aca="false">ROUND(TblPop[[#This Row],[Raw max]]*(1+TblPop[[#This Row],[Max pop]]),0)+MIN(TblPop[[#This Row],[Military]]-TblPop[[#This Row],[Draftees]]-SUM(TblMili[[#This Row],[Train Unit 1]:[Train AM]]),(barracks_size + tech_8_3*TblTech[[#This Row],[8-3]])*TblConstr[[#This Row],[Tot Bar]])</f>
        <v>12939</v>
      </c>
      <c r="V8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9" s="69" t="n">
        <f aca="false">MAX(-5%*TblPop[[#This Row],[Peasants]]-TblPop[[#This Row],[Draft Growth]],MIN(OFFSET(TblPop[[#This Row],[Net max]],1,0)-TblPop[[#This Row],[Peasants]]-TblPop[[#This Row],[Military]]-TblPop[[#This Row],[Draft Growth]],TblPop[[#This Row],[Modded Birth]]-TblPop[[#This Row],[Draft Growth]]))</f>
        <v>-88</v>
      </c>
      <c r="X89" s="69" t="n">
        <f aca="false">ROUND(TblPop[[#This Row],[Raw Birth]]*(1+TblPop[[#This Row],[Growth]]),0)</f>
        <v>366</v>
      </c>
      <c r="Y89" s="69" t="n">
        <f aca="false">(TblPop[[#This Row],[Peasants]]-TblPop[[#This Row],[Draft Growth]])*raw_pop_growth</f>
        <v>260.97</v>
      </c>
      <c r="Z89" s="69" t="n">
        <f aca="false">IF(TblPop[[#This Row],[Military%]]&lt;TblMili[[#This Row],[Draftrate]],ROUND(TblPop[[#This Row],[Peasants]]*Constants!$B$55,0), 0)</f>
        <v>88</v>
      </c>
      <c r="AA89" s="132"/>
      <c r="AB89" s="109" t="n">
        <f aca="false">Overview!$I$16 + IF(Magic!AE89&gt;0,Constants!$F$78) + ROUND(6*(Construction!BM90+Construction!CK89)/IF(Explore!S90&gt;0,Construction!F90-20,Construction!F90),4) + tech_6_5_2*Techs!BJ89 + tech_8_4*Techs!BT89</f>
        <v>0.4029</v>
      </c>
      <c r="AC89" s="130" t="n">
        <f aca="false">(Overview!$I$15 + Imps!Z89+ tech_2_5*Techs!AB89 + tech_3_6*Techs!AM89 + tech_6_1*Techs!BJ89 + tech_6_5*Techs!BF89 + tech_7_3_2*Techs!BN89) * (1 + Production!O89/100*prestige_pop_multiplier) + Production!O89/100*prestige_pop_multiplier</f>
        <v>0.07625</v>
      </c>
    </row>
    <row r="90" customFormat="false" ht="12.75" hidden="false" customHeight="false" outlineLevel="0" collapsed="false">
      <c r="A90" s="128" t="n">
        <f aca="false">TblRezone[[#This Row],[Hour]]</f>
        <v>87</v>
      </c>
      <c r="B90" s="129" t="n">
        <f aca="false">TblImps[[#This Row],[Time]]</f>
        <v>45433.3333333333</v>
      </c>
      <c r="C90" s="69" t="n">
        <f aca="false">OFFSET(TblPop[[#This Row],[Peasants]],-1,0)+OFFSET(TblPop[[#This Row],[Net Peasant]],-1,0)+TblMili[[#This Row],[Release Draft]]</f>
        <v>8699</v>
      </c>
      <c r="D90" s="69" t="n">
        <f aca="false">TblMili[[#This Row],[Military]]</f>
        <v>4240</v>
      </c>
      <c r="E90" s="69" t="n">
        <f aca="false">TblMili[[#This Row],[Draftees]]</f>
        <v>1016</v>
      </c>
      <c r="F90" s="69" t="n">
        <f aca="false">TblPop[[#This Row],[Peasants]]+TblPop[[#This Row],[Military]]</f>
        <v>12939</v>
      </c>
      <c r="G90" s="130" t="n">
        <f aca="false">TblPop[[#This Row],[Military]]/TblPop[[#This Row],[Total]]</f>
        <v>0.327691475384497</v>
      </c>
      <c r="H90" s="95" t="n">
        <f aca="false">MIN(TblPop[[#This Row],[Peasants]],TblPop[[#This Row],[Jobs]])</f>
        <v>8699</v>
      </c>
      <c r="I90" s="130" t="n">
        <f aca="false">MIN(OFFSET(TblPop[[#This Row],[Jobs]],1,0)/TblPop[[#This Row],[Peasants]],1)</f>
        <v>1</v>
      </c>
      <c r="J90" s="95" t="n">
        <f aca="false">SUM(TblConstr[[#This Row],[Tot Alc]:[Tot GT]],TblConstr[[#This Row],[Tot Shr]:[Tot Doc]],TblConstr[[#This Row],[Dest Alc]:[Dest GT]],TblConstr[[#This Row],[Dest Shr]:[Dest Doc]])*building_employment + TblConstr[[#This Row],[Tot Fac]]*bonus_jobs_facts</f>
        <v>12200</v>
      </c>
      <c r="K90" s="131"/>
      <c r="L90" s="33" t="n">
        <f aca="false">TblPop[[#This Row],[Draftees]]</f>
        <v>1016</v>
      </c>
      <c r="M90" s="33" t="n">
        <f aca="false">TblMili[[#This Row],[Unit 1]]</f>
        <v>0</v>
      </c>
      <c r="N90" s="33" t="n">
        <f aca="false">TblMili[[#This Row],[Unit 2]]</f>
        <v>1246</v>
      </c>
      <c r="O90" s="33" t="n">
        <f aca="false">TblMili[[#This Row],[Unit 3]]</f>
        <v>700</v>
      </c>
      <c r="P90" s="33" t="n">
        <f aca="false">TblMili[[#This Row],[Unit 4]]</f>
        <v>1228</v>
      </c>
      <c r="Q90" s="33" t="n">
        <f aca="false">TblMili[[#This Row],[Spies]]</f>
        <v>25</v>
      </c>
      <c r="R90" s="33" t="n">
        <f aca="false">TblMili[[#This Row],[Wizards]]</f>
        <v>25</v>
      </c>
      <c r="S90" s="33" t="n">
        <f aca="false">TblMili[[#This Row],[Archmages]]</f>
        <v>0</v>
      </c>
      <c r="T90" s="132"/>
      <c r="U90" s="69" t="n">
        <f aca="false">ROUND(TblPop[[#This Row],[Raw max]]*(1+TblPop[[#This Row],[Max pop]]),0)+MIN(TblPop[[#This Row],[Military]]-TblPop[[#This Row],[Draftees]]-SUM(TblMili[[#This Row],[Train Unit 1]:[Train AM]]),(barracks_size + tech_8_3*TblTech[[#This Row],[8-3]])*TblConstr[[#This Row],[Tot Bar]])</f>
        <v>12939</v>
      </c>
      <c r="V9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0" s="69" t="n">
        <f aca="false">MAX(-5%*TblPop[[#This Row],[Peasants]]-TblPop[[#This Row],[Draft Growth]],MIN(OFFSET(TblPop[[#This Row],[Net max]],1,0)-TblPop[[#This Row],[Peasants]]-TblPop[[#This Row],[Military]]-TblPop[[#This Row],[Draft Growth]],TblPop[[#This Row],[Modded Birth]]-TblPop[[#This Row],[Draft Growth]]))</f>
        <v>-87</v>
      </c>
      <c r="X90" s="69" t="n">
        <f aca="false">ROUND(TblPop[[#This Row],[Raw Birth]]*(1+TblPop[[#This Row],[Growth]]),0)</f>
        <v>362</v>
      </c>
      <c r="Y90" s="69" t="n">
        <f aca="false">(TblPop[[#This Row],[Peasants]]-TblPop[[#This Row],[Draft Growth]])*raw_pop_growth</f>
        <v>258.36</v>
      </c>
      <c r="Z90" s="69" t="n">
        <f aca="false">IF(TblPop[[#This Row],[Military%]]&lt;TblMili[[#This Row],[Draftrate]],ROUND(TblPop[[#This Row],[Peasants]]*Constants!$B$55,0), 0)</f>
        <v>87</v>
      </c>
      <c r="AA90" s="132"/>
      <c r="AB90" s="109" t="n">
        <f aca="false">Overview!$I$16 + IF(Magic!AE90&gt;0,Constants!$F$78) + ROUND(6*(Construction!BM91+Construction!CK90)/IF(Explore!S91&gt;0,Construction!F91-20,Construction!F91),4) + tech_6_5_2*Techs!BJ90 + tech_8_4*Techs!BT90</f>
        <v>0.4029</v>
      </c>
      <c r="AC90" s="130" t="n">
        <f aca="false">(Overview!$I$15 + Imps!Z90+ tech_2_5*Techs!AB90 + tech_3_6*Techs!AM90 + tech_6_1*Techs!BJ90 + tech_6_5*Techs!BF90 + tech_7_3_2*Techs!BN90) * (1 + Production!O90/100*prestige_pop_multiplier) + Production!O90/100*prestige_pop_multiplier</f>
        <v>0.07625</v>
      </c>
    </row>
    <row r="91" customFormat="false" ht="12.75" hidden="false" customHeight="false" outlineLevel="0" collapsed="false">
      <c r="A91" s="128" t="n">
        <f aca="false">TblRezone[[#This Row],[Hour]]</f>
        <v>88</v>
      </c>
      <c r="B91" s="129" t="n">
        <f aca="false">TblImps[[#This Row],[Time]]</f>
        <v>45433.375</v>
      </c>
      <c r="C91" s="69" t="n">
        <f aca="false">OFFSET(TblPop[[#This Row],[Peasants]],-1,0)+OFFSET(TblPop[[#This Row],[Net Peasant]],-1,0)+TblMili[[#This Row],[Release Draft]]</f>
        <v>8612</v>
      </c>
      <c r="D91" s="69" t="n">
        <f aca="false">TblMili[[#This Row],[Military]]</f>
        <v>4327</v>
      </c>
      <c r="E91" s="69" t="n">
        <f aca="false">TblMili[[#This Row],[Draftees]]</f>
        <v>1103</v>
      </c>
      <c r="F91" s="69" t="n">
        <f aca="false">TblPop[[#This Row],[Peasants]]+TblPop[[#This Row],[Military]]</f>
        <v>12939</v>
      </c>
      <c r="G91" s="130" t="n">
        <f aca="false">TblPop[[#This Row],[Military]]/TblPop[[#This Row],[Total]]</f>
        <v>0.334415333487905</v>
      </c>
      <c r="H91" s="95" t="n">
        <f aca="false">MIN(TblPop[[#This Row],[Peasants]],TblPop[[#This Row],[Jobs]])</f>
        <v>8612</v>
      </c>
      <c r="I91" s="130" t="n">
        <f aca="false">MIN(OFFSET(TblPop[[#This Row],[Jobs]],1,0)/TblPop[[#This Row],[Peasants]],1)</f>
        <v>1</v>
      </c>
      <c r="J91" s="95" t="n">
        <f aca="false">SUM(TblConstr[[#This Row],[Tot Alc]:[Tot GT]],TblConstr[[#This Row],[Tot Shr]:[Tot Doc]],TblConstr[[#This Row],[Dest Alc]:[Dest GT]],TblConstr[[#This Row],[Dest Shr]:[Dest Doc]])*building_employment + TblConstr[[#This Row],[Tot Fac]]*bonus_jobs_facts</f>
        <v>12200</v>
      </c>
      <c r="K91" s="131"/>
      <c r="L91" s="33" t="n">
        <f aca="false">TblPop[[#This Row],[Draftees]]</f>
        <v>1103</v>
      </c>
      <c r="M91" s="33" t="n">
        <f aca="false">TblMili[[#This Row],[Unit 1]]</f>
        <v>0</v>
      </c>
      <c r="N91" s="33" t="n">
        <f aca="false">TblMili[[#This Row],[Unit 2]]</f>
        <v>1246</v>
      </c>
      <c r="O91" s="33" t="n">
        <f aca="false">TblMili[[#This Row],[Unit 3]]</f>
        <v>700</v>
      </c>
      <c r="P91" s="33" t="n">
        <f aca="false">TblMili[[#This Row],[Unit 4]]</f>
        <v>1228</v>
      </c>
      <c r="Q91" s="33" t="n">
        <f aca="false">TblMili[[#This Row],[Spies]]</f>
        <v>25</v>
      </c>
      <c r="R91" s="33" t="n">
        <f aca="false">TblMili[[#This Row],[Wizards]]</f>
        <v>25</v>
      </c>
      <c r="S91" s="33" t="n">
        <f aca="false">TblMili[[#This Row],[Archmages]]</f>
        <v>0</v>
      </c>
      <c r="T91" s="132"/>
      <c r="U91" s="69" t="n">
        <f aca="false">ROUND(TblPop[[#This Row],[Raw max]]*(1+TblPop[[#This Row],[Max pop]]),0)+MIN(TblPop[[#This Row],[Military]]-TblPop[[#This Row],[Draftees]]-SUM(TblMili[[#This Row],[Train Unit 1]:[Train AM]]),(barracks_size + tech_8_3*TblTech[[#This Row],[8-3]])*TblConstr[[#This Row],[Tot Bar]])</f>
        <v>12939</v>
      </c>
      <c r="V9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1" s="69" t="n">
        <f aca="false">MAX(-5%*TblPop[[#This Row],[Peasants]]-TblPop[[#This Row],[Draft Growth]],MIN(OFFSET(TblPop[[#This Row],[Net max]],1,0)-TblPop[[#This Row],[Peasants]]-TblPop[[#This Row],[Military]]-TblPop[[#This Row],[Draft Growth]],TblPop[[#This Row],[Modded Birth]]-TblPop[[#This Row],[Draft Growth]]))</f>
        <v>-86</v>
      </c>
      <c r="X91" s="69" t="n">
        <f aca="false">ROUND(TblPop[[#This Row],[Raw Birth]]*(1+TblPop[[#This Row],[Growth]]),0)</f>
        <v>359</v>
      </c>
      <c r="Y91" s="69" t="n">
        <f aca="false">(TblPop[[#This Row],[Peasants]]-TblPop[[#This Row],[Draft Growth]])*raw_pop_growth</f>
        <v>255.78</v>
      </c>
      <c r="Z91" s="69" t="n">
        <f aca="false">IF(TblPop[[#This Row],[Military%]]&lt;TblMili[[#This Row],[Draftrate]],ROUND(TblPop[[#This Row],[Peasants]]*Constants!$B$55,0), 0)</f>
        <v>86</v>
      </c>
      <c r="AA91" s="132"/>
      <c r="AB91" s="109" t="n">
        <f aca="false">Overview!$I$16 + IF(Magic!AE91&gt;0,Constants!$F$78) + ROUND(6*(Construction!BM92+Construction!CK91)/IF(Explore!S92&gt;0,Construction!F92-20,Construction!F92),4) + tech_6_5_2*Techs!BJ91 + tech_8_4*Techs!BT91</f>
        <v>0.4029</v>
      </c>
      <c r="AC91" s="130" t="n">
        <f aca="false">(Overview!$I$15 + Imps!Z91+ tech_2_5*Techs!AB91 + tech_3_6*Techs!AM91 + tech_6_1*Techs!BJ91 + tech_6_5*Techs!BF91 + tech_7_3_2*Techs!BN91) * (1 + Production!O91/100*prestige_pop_multiplier) + Production!O91/100*prestige_pop_multiplier</f>
        <v>0.07625</v>
      </c>
    </row>
    <row r="92" customFormat="false" ht="12.75" hidden="false" customHeight="false" outlineLevel="0" collapsed="false">
      <c r="A92" s="128" t="n">
        <f aca="false">TblRezone[[#This Row],[Hour]]</f>
        <v>89</v>
      </c>
      <c r="B92" s="129" t="n">
        <f aca="false">TblImps[[#This Row],[Time]]</f>
        <v>45433.4166666667</v>
      </c>
      <c r="C92" s="69" t="n">
        <f aca="false">OFFSET(TblPop[[#This Row],[Peasants]],-1,0)+OFFSET(TblPop[[#This Row],[Net Peasant]],-1,0)+TblMili[[#This Row],[Release Draft]]</f>
        <v>8526</v>
      </c>
      <c r="D92" s="69" t="n">
        <f aca="false">TblMili[[#This Row],[Military]]</f>
        <v>4413</v>
      </c>
      <c r="E92" s="69" t="n">
        <f aca="false">TblMili[[#This Row],[Draftees]]</f>
        <v>1189</v>
      </c>
      <c r="F92" s="69" t="n">
        <f aca="false">TblPop[[#This Row],[Peasants]]+TblPop[[#This Row],[Military]]</f>
        <v>12939</v>
      </c>
      <c r="G92" s="130" t="n">
        <f aca="false">TblPop[[#This Row],[Military]]/TblPop[[#This Row],[Total]]</f>
        <v>0.341061905865987</v>
      </c>
      <c r="H92" s="95" t="n">
        <f aca="false">MIN(TblPop[[#This Row],[Peasants]],TblPop[[#This Row],[Jobs]])</f>
        <v>8526</v>
      </c>
      <c r="I92" s="130" t="n">
        <f aca="false">MIN(OFFSET(TblPop[[#This Row],[Jobs]],1,0)/TblPop[[#This Row],[Peasants]],1)</f>
        <v>1</v>
      </c>
      <c r="J92" s="95" t="n">
        <f aca="false">SUM(TblConstr[[#This Row],[Tot Alc]:[Tot GT]],TblConstr[[#This Row],[Tot Shr]:[Tot Doc]],TblConstr[[#This Row],[Dest Alc]:[Dest GT]],TblConstr[[#This Row],[Dest Shr]:[Dest Doc]])*building_employment + TblConstr[[#This Row],[Tot Fac]]*bonus_jobs_facts</f>
        <v>12200</v>
      </c>
      <c r="K92" s="131"/>
      <c r="L92" s="33" t="n">
        <f aca="false">TblPop[[#This Row],[Draftees]]</f>
        <v>1189</v>
      </c>
      <c r="M92" s="33" t="n">
        <f aca="false">TblMili[[#This Row],[Unit 1]]</f>
        <v>0</v>
      </c>
      <c r="N92" s="33" t="n">
        <f aca="false">TblMili[[#This Row],[Unit 2]]</f>
        <v>1246</v>
      </c>
      <c r="O92" s="33" t="n">
        <f aca="false">TblMili[[#This Row],[Unit 3]]</f>
        <v>700</v>
      </c>
      <c r="P92" s="33" t="n">
        <f aca="false">TblMili[[#This Row],[Unit 4]]</f>
        <v>1228</v>
      </c>
      <c r="Q92" s="33" t="n">
        <f aca="false">TblMili[[#This Row],[Spies]]</f>
        <v>25</v>
      </c>
      <c r="R92" s="33" t="n">
        <f aca="false">TblMili[[#This Row],[Wizards]]</f>
        <v>25</v>
      </c>
      <c r="S92" s="33" t="n">
        <f aca="false">TblMili[[#This Row],[Archmages]]</f>
        <v>0</v>
      </c>
      <c r="T92" s="132"/>
      <c r="U92" s="69" t="n">
        <f aca="false">ROUND(TblPop[[#This Row],[Raw max]]*(1+TblPop[[#This Row],[Max pop]]),0)+MIN(TblPop[[#This Row],[Military]]-TblPop[[#This Row],[Draftees]]-SUM(TblMili[[#This Row],[Train Unit 1]:[Train AM]]),(barracks_size + tech_8_3*TblTech[[#This Row],[8-3]])*TblConstr[[#This Row],[Tot Bar]])</f>
        <v>12939</v>
      </c>
      <c r="V9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2" s="69" t="n">
        <f aca="false">MAX(-5%*TblPop[[#This Row],[Peasants]]-TblPop[[#This Row],[Draft Growth]],MIN(OFFSET(TblPop[[#This Row],[Net max]],1,0)-TblPop[[#This Row],[Peasants]]-TblPop[[#This Row],[Military]]-TblPop[[#This Row],[Draft Growth]],TblPop[[#This Row],[Modded Birth]]-TblPop[[#This Row],[Draft Growth]]))</f>
        <v>-85</v>
      </c>
      <c r="X92" s="69" t="n">
        <f aca="false">ROUND(TblPop[[#This Row],[Raw Birth]]*(1+TblPop[[#This Row],[Growth]]),0)</f>
        <v>355</v>
      </c>
      <c r="Y92" s="69" t="n">
        <f aca="false">(TblPop[[#This Row],[Peasants]]-TblPop[[#This Row],[Draft Growth]])*raw_pop_growth</f>
        <v>253.23</v>
      </c>
      <c r="Z92" s="69" t="n">
        <f aca="false">IF(TblPop[[#This Row],[Military%]]&lt;TblMili[[#This Row],[Draftrate]],ROUND(TblPop[[#This Row],[Peasants]]*Constants!$B$55,0), 0)</f>
        <v>85</v>
      </c>
      <c r="AA92" s="132"/>
      <c r="AB92" s="109" t="n">
        <f aca="false">Overview!$I$16 + IF(Magic!AE92&gt;0,Constants!$F$78) + ROUND(6*(Construction!BM93+Construction!CK92)/IF(Explore!S93&gt;0,Construction!F93-20,Construction!F93),4) + tech_6_5_2*Techs!BJ92 + tech_8_4*Techs!BT92</f>
        <v>0.4029</v>
      </c>
      <c r="AC92" s="130" t="n">
        <f aca="false">(Overview!$I$15 + Imps!Z92+ tech_2_5*Techs!AB92 + tech_3_6*Techs!AM92 + tech_6_1*Techs!BJ92 + tech_6_5*Techs!BF92 + tech_7_3_2*Techs!BN92) * (1 + Production!O92/100*prestige_pop_multiplier) + Production!O92/100*prestige_pop_multiplier</f>
        <v>0.07625</v>
      </c>
    </row>
    <row r="93" customFormat="false" ht="12.75" hidden="false" customHeight="false" outlineLevel="0" collapsed="false">
      <c r="A93" s="128" t="n">
        <f aca="false">TblRezone[[#This Row],[Hour]]</f>
        <v>90</v>
      </c>
      <c r="B93" s="129" t="n">
        <f aca="false">TblImps[[#This Row],[Time]]</f>
        <v>45433.4583333333</v>
      </c>
      <c r="C93" s="69" t="n">
        <f aca="false">OFFSET(TblPop[[#This Row],[Peasants]],-1,0)+OFFSET(TblPop[[#This Row],[Net Peasant]],-1,0)+TblMili[[#This Row],[Release Draft]]</f>
        <v>8441</v>
      </c>
      <c r="D93" s="69" t="n">
        <f aca="false">TblMili[[#This Row],[Military]]</f>
        <v>4498</v>
      </c>
      <c r="E93" s="69" t="n">
        <f aca="false">TblMili[[#This Row],[Draftees]]</f>
        <v>1274</v>
      </c>
      <c r="F93" s="69" t="n">
        <f aca="false">TblPop[[#This Row],[Peasants]]+TblPop[[#This Row],[Military]]</f>
        <v>12939</v>
      </c>
      <c r="G93" s="130" t="n">
        <f aca="false">TblPop[[#This Row],[Military]]/TblPop[[#This Row],[Total]]</f>
        <v>0.347631192518742</v>
      </c>
      <c r="H93" s="95" t="n">
        <f aca="false">MIN(TblPop[[#This Row],[Peasants]],TblPop[[#This Row],[Jobs]])</f>
        <v>8441</v>
      </c>
      <c r="I93" s="130" t="n">
        <f aca="false">MIN(OFFSET(TblPop[[#This Row],[Jobs]],1,0)/TblPop[[#This Row],[Peasants]],1)</f>
        <v>1</v>
      </c>
      <c r="J93" s="95" t="n">
        <f aca="false">SUM(TblConstr[[#This Row],[Tot Alc]:[Tot GT]],TblConstr[[#This Row],[Tot Shr]:[Tot Doc]],TblConstr[[#This Row],[Dest Alc]:[Dest GT]],TblConstr[[#This Row],[Dest Shr]:[Dest Doc]])*building_employment + TblConstr[[#This Row],[Tot Fac]]*bonus_jobs_facts</f>
        <v>12200</v>
      </c>
      <c r="K93" s="131"/>
      <c r="L93" s="33" t="n">
        <f aca="false">TblPop[[#This Row],[Draftees]]</f>
        <v>1274</v>
      </c>
      <c r="M93" s="33" t="n">
        <f aca="false">TblMili[[#This Row],[Unit 1]]</f>
        <v>0</v>
      </c>
      <c r="N93" s="33" t="n">
        <f aca="false">TblMili[[#This Row],[Unit 2]]</f>
        <v>1246</v>
      </c>
      <c r="O93" s="33" t="n">
        <f aca="false">TblMili[[#This Row],[Unit 3]]</f>
        <v>700</v>
      </c>
      <c r="P93" s="33" t="n">
        <f aca="false">TblMili[[#This Row],[Unit 4]]</f>
        <v>1228</v>
      </c>
      <c r="Q93" s="33" t="n">
        <f aca="false">TblMili[[#This Row],[Spies]]</f>
        <v>25</v>
      </c>
      <c r="R93" s="33" t="n">
        <f aca="false">TblMili[[#This Row],[Wizards]]</f>
        <v>25</v>
      </c>
      <c r="S93" s="33" t="n">
        <f aca="false">TblMili[[#This Row],[Archmages]]</f>
        <v>0</v>
      </c>
      <c r="T93" s="132"/>
      <c r="U93" s="69" t="n">
        <f aca="false">ROUND(TblPop[[#This Row],[Raw max]]*(1+TblPop[[#This Row],[Max pop]]),0)+MIN(TblPop[[#This Row],[Military]]-TblPop[[#This Row],[Draftees]]-SUM(TblMili[[#This Row],[Train Unit 1]:[Train AM]]),(barracks_size + tech_8_3*TblTech[[#This Row],[8-3]])*TblConstr[[#This Row],[Tot Bar]])</f>
        <v>12939</v>
      </c>
      <c r="V9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3" s="69" t="n">
        <f aca="false">MAX(-5%*TblPop[[#This Row],[Peasants]]-TblPop[[#This Row],[Draft Growth]],MIN(OFFSET(TblPop[[#This Row],[Net max]],1,0)-TblPop[[#This Row],[Peasants]]-TblPop[[#This Row],[Military]]-TblPop[[#This Row],[Draft Growth]],TblPop[[#This Row],[Modded Birth]]-TblPop[[#This Row],[Draft Growth]]))</f>
        <v>-84</v>
      </c>
      <c r="X93" s="69" t="n">
        <f aca="false">ROUND(TblPop[[#This Row],[Raw Birth]]*(1+TblPop[[#This Row],[Growth]]),0)</f>
        <v>352</v>
      </c>
      <c r="Y93" s="69" t="n">
        <f aca="false">(TblPop[[#This Row],[Peasants]]-TblPop[[#This Row],[Draft Growth]])*raw_pop_growth</f>
        <v>250.71</v>
      </c>
      <c r="Z93" s="69" t="n">
        <f aca="false">IF(TblPop[[#This Row],[Military%]]&lt;TblMili[[#This Row],[Draftrate]],ROUND(TblPop[[#This Row],[Peasants]]*Constants!$B$55,0), 0)</f>
        <v>84</v>
      </c>
      <c r="AA93" s="132"/>
      <c r="AB93" s="109" t="n">
        <f aca="false">Overview!$I$16 + IF(Magic!AE93&gt;0,Constants!$F$78) + ROUND(6*(Construction!BM94+Construction!CK93)/IF(Explore!S94&gt;0,Construction!F94-20,Construction!F94),4) + tech_6_5_2*Techs!BJ93 + tech_8_4*Techs!BT93</f>
        <v>0.4029</v>
      </c>
      <c r="AC93" s="130" t="n">
        <f aca="false">(Overview!$I$15 + Imps!Z93+ tech_2_5*Techs!AB93 + tech_3_6*Techs!AM93 + tech_6_1*Techs!BJ93 + tech_6_5*Techs!BF93 + tech_7_3_2*Techs!BN93) * (1 + Production!O93/100*prestige_pop_multiplier) + Production!O93/100*prestige_pop_multiplier</f>
        <v>0.07625</v>
      </c>
    </row>
    <row r="94" customFormat="false" ht="12.75" hidden="false" customHeight="false" outlineLevel="0" collapsed="false">
      <c r="A94" s="128" t="n">
        <f aca="false">TblRezone[[#This Row],[Hour]]</f>
        <v>91</v>
      </c>
      <c r="B94" s="129" t="n">
        <f aca="false">TblImps[[#This Row],[Time]]</f>
        <v>45433.5</v>
      </c>
      <c r="C94" s="69" t="n">
        <f aca="false">OFFSET(TblPop[[#This Row],[Peasants]],-1,0)+OFFSET(TblPop[[#This Row],[Net Peasant]],-1,0)+TblMili[[#This Row],[Release Draft]]</f>
        <v>8357</v>
      </c>
      <c r="D94" s="69" t="n">
        <f aca="false">TblMili[[#This Row],[Military]]</f>
        <v>4582</v>
      </c>
      <c r="E94" s="69" t="n">
        <f aca="false">TblMili[[#This Row],[Draftees]]</f>
        <v>1358</v>
      </c>
      <c r="F94" s="69" t="n">
        <f aca="false">TblPop[[#This Row],[Peasants]]+TblPop[[#This Row],[Military]]</f>
        <v>12939</v>
      </c>
      <c r="G94" s="130" t="n">
        <f aca="false">TblPop[[#This Row],[Military]]/TblPop[[#This Row],[Total]]</f>
        <v>0.354123193446171</v>
      </c>
      <c r="H94" s="95" t="n">
        <f aca="false">MIN(TblPop[[#This Row],[Peasants]],TblPop[[#This Row],[Jobs]])</f>
        <v>8357</v>
      </c>
      <c r="I94" s="130" t="n">
        <f aca="false">MIN(OFFSET(TblPop[[#This Row],[Jobs]],1,0)/TblPop[[#This Row],[Peasants]],1)</f>
        <v>1</v>
      </c>
      <c r="J94" s="95" t="n">
        <f aca="false">SUM(TblConstr[[#This Row],[Tot Alc]:[Tot GT]],TblConstr[[#This Row],[Tot Shr]:[Tot Doc]],TblConstr[[#This Row],[Dest Alc]:[Dest GT]],TblConstr[[#This Row],[Dest Shr]:[Dest Doc]])*building_employment + TblConstr[[#This Row],[Tot Fac]]*bonus_jobs_facts</f>
        <v>12200</v>
      </c>
      <c r="K94" s="131"/>
      <c r="L94" s="33" t="n">
        <f aca="false">TblPop[[#This Row],[Draftees]]</f>
        <v>1358</v>
      </c>
      <c r="M94" s="33" t="n">
        <f aca="false">TblMili[[#This Row],[Unit 1]]</f>
        <v>0</v>
      </c>
      <c r="N94" s="33" t="n">
        <f aca="false">TblMili[[#This Row],[Unit 2]]</f>
        <v>1246</v>
      </c>
      <c r="O94" s="33" t="n">
        <f aca="false">TblMili[[#This Row],[Unit 3]]</f>
        <v>700</v>
      </c>
      <c r="P94" s="33" t="n">
        <f aca="false">TblMili[[#This Row],[Unit 4]]</f>
        <v>1228</v>
      </c>
      <c r="Q94" s="33" t="n">
        <f aca="false">TblMili[[#This Row],[Spies]]</f>
        <v>25</v>
      </c>
      <c r="R94" s="33" t="n">
        <f aca="false">TblMili[[#This Row],[Wizards]]</f>
        <v>25</v>
      </c>
      <c r="S94" s="33" t="n">
        <f aca="false">TblMili[[#This Row],[Archmages]]</f>
        <v>0</v>
      </c>
      <c r="T94" s="132"/>
      <c r="U94" s="69" t="n">
        <f aca="false">ROUND(TblPop[[#This Row],[Raw max]]*(1+TblPop[[#This Row],[Max pop]]),0)+MIN(TblPop[[#This Row],[Military]]-TblPop[[#This Row],[Draftees]]-SUM(TblMili[[#This Row],[Train Unit 1]:[Train AM]]),(barracks_size + tech_8_3*TblTech[[#This Row],[8-3]])*TblConstr[[#This Row],[Tot Bar]])</f>
        <v>12939</v>
      </c>
      <c r="V9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4" s="69" t="n">
        <f aca="false">MAX(-5%*TblPop[[#This Row],[Peasants]]-TblPop[[#This Row],[Draft Growth]],MIN(OFFSET(TblPop[[#This Row],[Net max]],1,0)-TblPop[[#This Row],[Peasants]]-TblPop[[#This Row],[Military]]-TblPop[[#This Row],[Draft Growth]],TblPop[[#This Row],[Modded Birth]]-TblPop[[#This Row],[Draft Growth]]))</f>
        <v>-84</v>
      </c>
      <c r="X94" s="69" t="n">
        <f aca="false">ROUND(TblPop[[#This Row],[Raw Birth]]*(1+TblPop[[#This Row],[Growth]]),0)</f>
        <v>348</v>
      </c>
      <c r="Y94" s="69" t="n">
        <f aca="false">(TblPop[[#This Row],[Peasants]]-TblPop[[#This Row],[Draft Growth]])*raw_pop_growth</f>
        <v>248.19</v>
      </c>
      <c r="Z94" s="69" t="n">
        <f aca="false">IF(TblPop[[#This Row],[Military%]]&lt;TblMili[[#This Row],[Draftrate]],ROUND(TblPop[[#This Row],[Peasants]]*Constants!$B$55,0), 0)</f>
        <v>84</v>
      </c>
      <c r="AA94" s="132"/>
      <c r="AB94" s="109" t="n">
        <f aca="false">Overview!$I$16 + IF(Magic!AE94&gt;0,Constants!$F$78) + ROUND(6*(Construction!BM95+Construction!CK94)/IF(Explore!S95&gt;0,Construction!F95-20,Construction!F95),4) + tech_6_5_2*Techs!BJ94 + tech_8_4*Techs!BT94</f>
        <v>0.4029</v>
      </c>
      <c r="AC94" s="130" t="n">
        <f aca="false">(Overview!$I$15 + Imps!Z94+ tech_2_5*Techs!AB94 + tech_3_6*Techs!AM94 + tech_6_1*Techs!BJ94 + tech_6_5*Techs!BF94 + tech_7_3_2*Techs!BN94) * (1 + Production!O94/100*prestige_pop_multiplier) + Production!O94/100*prestige_pop_multiplier</f>
        <v>0.07625</v>
      </c>
    </row>
    <row r="95" customFormat="false" ht="12.75" hidden="false" customHeight="false" outlineLevel="0" collapsed="false">
      <c r="A95" s="128" t="n">
        <f aca="false">TblRezone[[#This Row],[Hour]]</f>
        <v>92</v>
      </c>
      <c r="B95" s="129" t="n">
        <f aca="false">TblImps[[#This Row],[Time]]</f>
        <v>45433.5416666667</v>
      </c>
      <c r="C95" s="69" t="n">
        <f aca="false">OFFSET(TblPop[[#This Row],[Peasants]],-1,0)+OFFSET(TblPop[[#This Row],[Net Peasant]],-1,0)+TblMili[[#This Row],[Release Draft]]</f>
        <v>8273</v>
      </c>
      <c r="D95" s="69" t="n">
        <f aca="false">TblMili[[#This Row],[Military]]</f>
        <v>4666</v>
      </c>
      <c r="E95" s="69" t="n">
        <f aca="false">TblMili[[#This Row],[Draftees]]</f>
        <v>1442</v>
      </c>
      <c r="F95" s="69" t="n">
        <f aca="false">TblPop[[#This Row],[Peasants]]+TblPop[[#This Row],[Military]]</f>
        <v>12939</v>
      </c>
      <c r="G95" s="130" t="n">
        <f aca="false">TblPop[[#This Row],[Military]]/TblPop[[#This Row],[Total]]</f>
        <v>0.360615194373599</v>
      </c>
      <c r="H95" s="95" t="n">
        <f aca="false">MIN(TblPop[[#This Row],[Peasants]],TblPop[[#This Row],[Jobs]])</f>
        <v>8273</v>
      </c>
      <c r="I95" s="130" t="n">
        <f aca="false">MIN(OFFSET(TblPop[[#This Row],[Jobs]],1,0)/TblPop[[#This Row],[Peasants]],1)</f>
        <v>1</v>
      </c>
      <c r="J95" s="95" t="n">
        <f aca="false">SUM(TblConstr[[#This Row],[Tot Alc]:[Tot GT]],TblConstr[[#This Row],[Tot Shr]:[Tot Doc]],TblConstr[[#This Row],[Dest Alc]:[Dest GT]],TblConstr[[#This Row],[Dest Shr]:[Dest Doc]])*building_employment + TblConstr[[#This Row],[Tot Fac]]*bonus_jobs_facts</f>
        <v>12200</v>
      </c>
      <c r="K95" s="131"/>
      <c r="L95" s="33" t="n">
        <f aca="false">TblPop[[#This Row],[Draftees]]</f>
        <v>1442</v>
      </c>
      <c r="M95" s="33" t="n">
        <f aca="false">TblMili[[#This Row],[Unit 1]]</f>
        <v>0</v>
      </c>
      <c r="N95" s="33" t="n">
        <f aca="false">TblMili[[#This Row],[Unit 2]]</f>
        <v>1246</v>
      </c>
      <c r="O95" s="33" t="n">
        <f aca="false">TblMili[[#This Row],[Unit 3]]</f>
        <v>700</v>
      </c>
      <c r="P95" s="33" t="n">
        <f aca="false">TblMili[[#This Row],[Unit 4]]</f>
        <v>1228</v>
      </c>
      <c r="Q95" s="33" t="n">
        <f aca="false">TblMili[[#This Row],[Spies]]</f>
        <v>25</v>
      </c>
      <c r="R95" s="33" t="n">
        <f aca="false">TblMili[[#This Row],[Wizards]]</f>
        <v>25</v>
      </c>
      <c r="S95" s="33" t="n">
        <f aca="false">TblMili[[#This Row],[Archmages]]</f>
        <v>0</v>
      </c>
      <c r="T95" s="132"/>
      <c r="U95" s="69" t="n">
        <f aca="false">ROUND(TblPop[[#This Row],[Raw max]]*(1+TblPop[[#This Row],[Max pop]]),0)+MIN(TblPop[[#This Row],[Military]]-TblPop[[#This Row],[Draftees]]-SUM(TblMili[[#This Row],[Train Unit 1]:[Train AM]]),(barracks_size + tech_8_3*TblTech[[#This Row],[8-3]])*TblConstr[[#This Row],[Tot Bar]])</f>
        <v>12939</v>
      </c>
      <c r="V9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5" s="69" t="n">
        <f aca="false">MAX(-5%*TblPop[[#This Row],[Peasants]]-TblPop[[#This Row],[Draft Growth]],MIN(OFFSET(TblPop[[#This Row],[Net max]],1,0)-TblPop[[#This Row],[Peasants]]-TblPop[[#This Row],[Military]]-TblPop[[#This Row],[Draft Growth]],TblPop[[#This Row],[Modded Birth]]-TblPop[[#This Row],[Draft Growth]]))</f>
        <v>-83</v>
      </c>
      <c r="X95" s="69" t="n">
        <f aca="false">ROUND(TblPop[[#This Row],[Raw Birth]]*(1+TblPop[[#This Row],[Growth]]),0)</f>
        <v>345</v>
      </c>
      <c r="Y95" s="69" t="n">
        <f aca="false">(TblPop[[#This Row],[Peasants]]-TblPop[[#This Row],[Draft Growth]])*raw_pop_growth</f>
        <v>245.7</v>
      </c>
      <c r="Z95" s="69" t="n">
        <f aca="false">IF(TblPop[[#This Row],[Military%]]&lt;TblMili[[#This Row],[Draftrate]],ROUND(TblPop[[#This Row],[Peasants]]*Constants!$B$55,0), 0)</f>
        <v>83</v>
      </c>
      <c r="AA95" s="132"/>
      <c r="AB95" s="109" t="n">
        <f aca="false">Overview!$I$16 + IF(Magic!AE95&gt;0,Constants!$F$78) + ROUND(6*(Construction!BM96+Construction!CK95)/IF(Explore!S96&gt;0,Construction!F96-20,Construction!F96),4) + tech_6_5_2*Techs!BJ95 + tech_8_4*Techs!BT95</f>
        <v>0.4029</v>
      </c>
      <c r="AC95" s="130" t="n">
        <f aca="false">(Overview!$I$15 + Imps!Z95+ tech_2_5*Techs!AB95 + tech_3_6*Techs!AM95 + tech_6_1*Techs!BJ95 + tech_6_5*Techs!BF95 + tech_7_3_2*Techs!BN95) * (1 + Production!O95/100*prestige_pop_multiplier) + Production!O95/100*prestige_pop_multiplier</f>
        <v>0.07625</v>
      </c>
    </row>
    <row r="96" customFormat="false" ht="12.75" hidden="false" customHeight="false" outlineLevel="0" collapsed="false">
      <c r="A96" s="128" t="n">
        <f aca="false">TblRezone[[#This Row],[Hour]]</f>
        <v>93</v>
      </c>
      <c r="B96" s="129" t="n">
        <f aca="false">TblImps[[#This Row],[Time]]</f>
        <v>45433.5833333333</v>
      </c>
      <c r="C96" s="69" t="n">
        <f aca="false">OFFSET(TblPop[[#This Row],[Peasants]],-1,0)+OFFSET(TblPop[[#This Row],[Net Peasant]],-1,0)+TblMili[[#This Row],[Release Draft]]</f>
        <v>8190</v>
      </c>
      <c r="D96" s="69" t="n">
        <f aca="false">TblMili[[#This Row],[Military]]</f>
        <v>4749</v>
      </c>
      <c r="E96" s="69" t="n">
        <f aca="false">TblMili[[#This Row],[Draftees]]</f>
        <v>1525</v>
      </c>
      <c r="F96" s="69" t="n">
        <f aca="false">TblPop[[#This Row],[Peasants]]+TblPop[[#This Row],[Military]]</f>
        <v>12939</v>
      </c>
      <c r="G96" s="130" t="n">
        <f aca="false">TblPop[[#This Row],[Military]]/TblPop[[#This Row],[Total]]</f>
        <v>0.367029909575701</v>
      </c>
      <c r="H96" s="95" t="n">
        <f aca="false">MIN(TblPop[[#This Row],[Peasants]],TblPop[[#This Row],[Jobs]])</f>
        <v>8190</v>
      </c>
      <c r="I96" s="130" t="n">
        <f aca="false">MIN(OFFSET(TblPop[[#This Row],[Jobs]],1,0)/TblPop[[#This Row],[Peasants]],1)</f>
        <v>1</v>
      </c>
      <c r="J96" s="95" t="n">
        <f aca="false">SUM(TblConstr[[#This Row],[Tot Alc]:[Tot GT]],TblConstr[[#This Row],[Tot Shr]:[Tot Doc]],TblConstr[[#This Row],[Dest Alc]:[Dest GT]],TblConstr[[#This Row],[Dest Shr]:[Dest Doc]])*building_employment + TblConstr[[#This Row],[Tot Fac]]*bonus_jobs_facts</f>
        <v>12200</v>
      </c>
      <c r="K96" s="131"/>
      <c r="L96" s="33" t="n">
        <f aca="false">TblPop[[#This Row],[Draftees]]</f>
        <v>1525</v>
      </c>
      <c r="M96" s="33" t="n">
        <f aca="false">TblMili[[#This Row],[Unit 1]]</f>
        <v>0</v>
      </c>
      <c r="N96" s="33" t="n">
        <f aca="false">TblMili[[#This Row],[Unit 2]]</f>
        <v>1246</v>
      </c>
      <c r="O96" s="33" t="n">
        <f aca="false">TblMili[[#This Row],[Unit 3]]</f>
        <v>700</v>
      </c>
      <c r="P96" s="33" t="n">
        <f aca="false">TblMili[[#This Row],[Unit 4]]</f>
        <v>1228</v>
      </c>
      <c r="Q96" s="33" t="n">
        <f aca="false">TblMili[[#This Row],[Spies]]</f>
        <v>25</v>
      </c>
      <c r="R96" s="33" t="n">
        <f aca="false">TblMili[[#This Row],[Wizards]]</f>
        <v>25</v>
      </c>
      <c r="S96" s="33" t="n">
        <f aca="false">TblMili[[#This Row],[Archmages]]</f>
        <v>0</v>
      </c>
      <c r="T96" s="132"/>
      <c r="U96" s="69" t="n">
        <f aca="false">ROUND(TblPop[[#This Row],[Raw max]]*(1+TblPop[[#This Row],[Max pop]]),0)+MIN(TblPop[[#This Row],[Military]]-TblPop[[#This Row],[Draftees]]-SUM(TblMili[[#This Row],[Train Unit 1]:[Train AM]]),(barracks_size + tech_8_3*TblTech[[#This Row],[8-3]])*TblConstr[[#This Row],[Tot Bar]])</f>
        <v>12939</v>
      </c>
      <c r="V9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6" s="69" t="n">
        <f aca="false">MAX(-5%*TblPop[[#This Row],[Peasants]]-TblPop[[#This Row],[Draft Growth]],MIN(OFFSET(TblPop[[#This Row],[Net max]],1,0)-TblPop[[#This Row],[Peasants]]-TblPop[[#This Row],[Military]]-TblPop[[#This Row],[Draft Growth]],TblPop[[#This Row],[Modded Birth]]-TblPop[[#This Row],[Draft Growth]]))</f>
        <v>-82</v>
      </c>
      <c r="X96" s="69" t="n">
        <f aca="false">ROUND(TblPop[[#This Row],[Raw Birth]]*(1+TblPop[[#This Row],[Growth]]),0)</f>
        <v>341</v>
      </c>
      <c r="Y96" s="69" t="n">
        <f aca="false">(TblPop[[#This Row],[Peasants]]-TblPop[[#This Row],[Draft Growth]])*raw_pop_growth</f>
        <v>243.24</v>
      </c>
      <c r="Z96" s="69" t="n">
        <f aca="false">IF(TblPop[[#This Row],[Military%]]&lt;TblMili[[#This Row],[Draftrate]],ROUND(TblPop[[#This Row],[Peasants]]*Constants!$B$55,0), 0)</f>
        <v>82</v>
      </c>
      <c r="AA96" s="132"/>
      <c r="AB96" s="109" t="n">
        <f aca="false">Overview!$I$16 + IF(Magic!AE96&gt;0,Constants!$F$78) + ROUND(6*(Construction!BM97+Construction!CK96)/IF(Explore!S97&gt;0,Construction!F97-20,Construction!F97),4) + tech_6_5_2*Techs!BJ96 + tech_8_4*Techs!BT96</f>
        <v>0.4029</v>
      </c>
      <c r="AC96" s="130" t="n">
        <f aca="false">(Overview!$I$15 + Imps!Z96+ tech_2_5*Techs!AB96 + tech_3_6*Techs!AM96 + tech_6_1*Techs!BJ96 + tech_6_5*Techs!BF96 + tech_7_3_2*Techs!BN96) * (1 + Production!O96/100*prestige_pop_multiplier) + Production!O96/100*prestige_pop_multiplier</f>
        <v>0.07625</v>
      </c>
    </row>
    <row r="97" customFormat="false" ht="12.75" hidden="false" customHeight="false" outlineLevel="0" collapsed="false">
      <c r="A97" s="128" t="n">
        <f aca="false">TblRezone[[#This Row],[Hour]]</f>
        <v>94</v>
      </c>
      <c r="B97" s="129" t="n">
        <f aca="false">TblImps[[#This Row],[Time]]</f>
        <v>45433.625</v>
      </c>
      <c r="C97" s="69" t="n">
        <f aca="false">OFFSET(TblPop[[#This Row],[Peasants]],-1,0)+OFFSET(TblPop[[#This Row],[Net Peasant]],-1,0)+TblMili[[#This Row],[Release Draft]]</f>
        <v>8108</v>
      </c>
      <c r="D97" s="69" t="n">
        <f aca="false">TblMili[[#This Row],[Military]]</f>
        <v>4831</v>
      </c>
      <c r="E97" s="69" t="n">
        <f aca="false">TblMili[[#This Row],[Draftees]]</f>
        <v>1607</v>
      </c>
      <c r="F97" s="69" t="n">
        <f aca="false">TblPop[[#This Row],[Peasants]]+TblPop[[#This Row],[Military]]</f>
        <v>12939</v>
      </c>
      <c r="G97" s="130" t="n">
        <f aca="false">TblPop[[#This Row],[Military]]/TblPop[[#This Row],[Total]]</f>
        <v>0.373367339052477</v>
      </c>
      <c r="H97" s="95" t="n">
        <f aca="false">MIN(TblPop[[#This Row],[Peasants]],TblPop[[#This Row],[Jobs]])</f>
        <v>8108</v>
      </c>
      <c r="I97" s="130" t="n">
        <f aca="false">MIN(OFFSET(TblPop[[#This Row],[Jobs]],1,0)/TblPop[[#This Row],[Peasants]],1)</f>
        <v>1</v>
      </c>
      <c r="J97" s="95" t="n">
        <f aca="false">SUM(TblConstr[[#This Row],[Tot Alc]:[Tot GT]],TblConstr[[#This Row],[Tot Shr]:[Tot Doc]],TblConstr[[#This Row],[Dest Alc]:[Dest GT]],TblConstr[[#This Row],[Dest Shr]:[Dest Doc]])*building_employment + TblConstr[[#This Row],[Tot Fac]]*bonus_jobs_facts</f>
        <v>12200</v>
      </c>
      <c r="K97" s="131"/>
      <c r="L97" s="33" t="n">
        <f aca="false">TblPop[[#This Row],[Draftees]]</f>
        <v>1607</v>
      </c>
      <c r="M97" s="33" t="n">
        <f aca="false">TblMili[[#This Row],[Unit 1]]</f>
        <v>0</v>
      </c>
      <c r="N97" s="33" t="n">
        <f aca="false">TblMili[[#This Row],[Unit 2]]</f>
        <v>1246</v>
      </c>
      <c r="O97" s="33" t="n">
        <f aca="false">TblMili[[#This Row],[Unit 3]]</f>
        <v>700</v>
      </c>
      <c r="P97" s="33" t="n">
        <f aca="false">TblMili[[#This Row],[Unit 4]]</f>
        <v>1228</v>
      </c>
      <c r="Q97" s="33" t="n">
        <f aca="false">TblMili[[#This Row],[Spies]]</f>
        <v>25</v>
      </c>
      <c r="R97" s="33" t="n">
        <f aca="false">TblMili[[#This Row],[Wizards]]</f>
        <v>25</v>
      </c>
      <c r="S97" s="33" t="n">
        <f aca="false">TblMili[[#This Row],[Archmages]]</f>
        <v>0</v>
      </c>
      <c r="T97" s="132"/>
      <c r="U97" s="69" t="n">
        <f aca="false">ROUND(TblPop[[#This Row],[Raw max]]*(1+TblPop[[#This Row],[Max pop]]),0)+MIN(TblPop[[#This Row],[Military]]-TblPop[[#This Row],[Draftees]]-SUM(TblMili[[#This Row],[Train Unit 1]:[Train AM]]),(barracks_size + tech_8_3*TblTech[[#This Row],[8-3]])*TblConstr[[#This Row],[Tot Bar]])</f>
        <v>12939</v>
      </c>
      <c r="V9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7" s="69" t="n">
        <f aca="false">MAX(-5%*TblPop[[#This Row],[Peasants]]-TblPop[[#This Row],[Draft Growth]],MIN(OFFSET(TblPop[[#This Row],[Net max]],1,0)-TblPop[[#This Row],[Peasants]]-TblPop[[#This Row],[Military]]-TblPop[[#This Row],[Draft Growth]],TblPop[[#This Row],[Modded Birth]]-TblPop[[#This Row],[Draft Growth]]))</f>
        <v>-81</v>
      </c>
      <c r="X97" s="69" t="n">
        <f aca="false">ROUND(TblPop[[#This Row],[Raw Birth]]*(1+TblPop[[#This Row],[Growth]]),0)</f>
        <v>338</v>
      </c>
      <c r="Y97" s="69" t="n">
        <f aca="false">(TblPop[[#This Row],[Peasants]]-TblPop[[#This Row],[Draft Growth]])*raw_pop_growth</f>
        <v>240.81</v>
      </c>
      <c r="Z97" s="69" t="n">
        <f aca="false">IF(TblPop[[#This Row],[Military%]]&lt;TblMili[[#This Row],[Draftrate]],ROUND(TblPop[[#This Row],[Peasants]]*Constants!$B$55,0), 0)</f>
        <v>81</v>
      </c>
      <c r="AA97" s="132"/>
      <c r="AB97" s="109" t="n">
        <f aca="false">Overview!$I$16 + IF(Magic!AE97&gt;0,Constants!$F$78) + ROUND(6*(Construction!BM98+Construction!CK97)/IF(Explore!S98&gt;0,Construction!F98-20,Construction!F98),4) + tech_6_5_2*Techs!BJ97 + tech_8_4*Techs!BT97</f>
        <v>0.4029</v>
      </c>
      <c r="AC97" s="130" t="n">
        <f aca="false">(Overview!$I$15 + Imps!Z97+ tech_2_5*Techs!AB97 + tech_3_6*Techs!AM97 + tech_6_1*Techs!BJ97 + tech_6_5*Techs!BF97 + tech_7_3_2*Techs!BN97) * (1 + Production!O97/100*prestige_pop_multiplier) + Production!O97/100*prestige_pop_multiplier</f>
        <v>0.07625</v>
      </c>
    </row>
    <row r="98" customFormat="false" ht="12.75" hidden="false" customHeight="false" outlineLevel="0" collapsed="false">
      <c r="A98" s="128" t="n">
        <f aca="false">TblRezone[[#This Row],[Hour]]</f>
        <v>95</v>
      </c>
      <c r="B98" s="129" t="n">
        <f aca="false">TblImps[[#This Row],[Time]]</f>
        <v>45433.6666666667</v>
      </c>
      <c r="C98" s="69" t="n">
        <f aca="false">OFFSET(TblPop[[#This Row],[Peasants]],-1,0)+OFFSET(TblPop[[#This Row],[Net Peasant]],-1,0)+TblMili[[#This Row],[Release Draft]]</f>
        <v>8027</v>
      </c>
      <c r="D98" s="69" t="n">
        <f aca="false">TblMili[[#This Row],[Military]]</f>
        <v>4912</v>
      </c>
      <c r="E98" s="69" t="n">
        <f aca="false">TblMili[[#This Row],[Draftees]]</f>
        <v>1688</v>
      </c>
      <c r="F98" s="69" t="n">
        <f aca="false">TblPop[[#This Row],[Peasants]]+TblPop[[#This Row],[Military]]</f>
        <v>12939</v>
      </c>
      <c r="G98" s="130" t="n">
        <f aca="false">TblPop[[#This Row],[Military]]/TblPop[[#This Row],[Total]]</f>
        <v>0.379627482803926</v>
      </c>
      <c r="H98" s="95" t="n">
        <f aca="false">MIN(TblPop[[#This Row],[Peasants]],TblPop[[#This Row],[Jobs]])</f>
        <v>8027</v>
      </c>
      <c r="I98" s="130" t="n">
        <f aca="false">MIN(OFFSET(TblPop[[#This Row],[Jobs]],1,0)/TblPop[[#This Row],[Peasants]],1)</f>
        <v>1</v>
      </c>
      <c r="J98" s="95" t="n">
        <f aca="false">SUM(TblConstr[[#This Row],[Tot Alc]:[Tot GT]],TblConstr[[#This Row],[Tot Shr]:[Tot Doc]],TblConstr[[#This Row],[Dest Alc]:[Dest GT]],TblConstr[[#This Row],[Dest Shr]:[Dest Doc]])*building_employment + TblConstr[[#This Row],[Tot Fac]]*bonus_jobs_facts</f>
        <v>12200</v>
      </c>
      <c r="K98" s="131"/>
      <c r="L98" s="33" t="n">
        <f aca="false">TblPop[[#This Row],[Draftees]]</f>
        <v>1688</v>
      </c>
      <c r="M98" s="33" t="n">
        <f aca="false">TblMili[[#This Row],[Unit 1]]</f>
        <v>0</v>
      </c>
      <c r="N98" s="33" t="n">
        <f aca="false">TblMili[[#This Row],[Unit 2]]</f>
        <v>1246</v>
      </c>
      <c r="O98" s="33" t="n">
        <f aca="false">TblMili[[#This Row],[Unit 3]]</f>
        <v>700</v>
      </c>
      <c r="P98" s="33" t="n">
        <f aca="false">TblMili[[#This Row],[Unit 4]]</f>
        <v>1228</v>
      </c>
      <c r="Q98" s="33" t="n">
        <f aca="false">TblMili[[#This Row],[Spies]]</f>
        <v>25</v>
      </c>
      <c r="R98" s="33" t="n">
        <f aca="false">TblMili[[#This Row],[Wizards]]</f>
        <v>25</v>
      </c>
      <c r="S98" s="33" t="n">
        <f aca="false">TblMili[[#This Row],[Archmages]]</f>
        <v>0</v>
      </c>
      <c r="T98" s="132"/>
      <c r="U98" s="69" t="n">
        <f aca="false">ROUND(TblPop[[#This Row],[Raw max]]*(1+TblPop[[#This Row],[Max pop]]),0)+MIN(TblPop[[#This Row],[Military]]-TblPop[[#This Row],[Draftees]]-SUM(TblMili[[#This Row],[Train Unit 1]:[Train AM]]),(barracks_size + tech_8_3*TblTech[[#This Row],[8-3]])*TblConstr[[#This Row],[Tot Bar]])</f>
        <v>12939</v>
      </c>
      <c r="V9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8" s="69" t="n">
        <f aca="false">MAX(-5%*TblPop[[#This Row],[Peasants]]-TblPop[[#This Row],[Draft Growth]],MIN(OFFSET(TblPop[[#This Row],[Net max]],1,0)-TblPop[[#This Row],[Peasants]]-TblPop[[#This Row],[Military]]-TblPop[[#This Row],[Draft Growth]],TblPop[[#This Row],[Modded Birth]]-TblPop[[#This Row],[Draft Growth]]))</f>
        <v>-80</v>
      </c>
      <c r="X98" s="69" t="n">
        <f aca="false">ROUND(TblPop[[#This Row],[Raw Birth]]*(1+TblPop[[#This Row],[Growth]]),0)</f>
        <v>334</v>
      </c>
      <c r="Y98" s="69" t="n">
        <f aca="false">(TblPop[[#This Row],[Peasants]]-TblPop[[#This Row],[Draft Growth]])*raw_pop_growth</f>
        <v>238.41</v>
      </c>
      <c r="Z98" s="69" t="n">
        <f aca="false">IF(TblPop[[#This Row],[Military%]]&lt;TblMili[[#This Row],[Draftrate]],ROUND(TblPop[[#This Row],[Peasants]]*Constants!$B$55,0), 0)</f>
        <v>80</v>
      </c>
      <c r="AA98" s="132"/>
      <c r="AB98" s="109" t="n">
        <f aca="false">Overview!$I$16 + IF(Magic!AE98&gt;0,Constants!$F$78) + ROUND(6*(Construction!BM99+Construction!CK98)/IF(Explore!S99&gt;0,Construction!F99-20,Construction!F99),4) + tech_6_5_2*Techs!BJ98 + tech_8_4*Techs!BT98</f>
        <v>0.4029</v>
      </c>
      <c r="AC98" s="130" t="n">
        <f aca="false">(Overview!$I$15 + Imps!Z98+ tech_2_5*Techs!AB98 + tech_3_6*Techs!AM98 + tech_6_1*Techs!BJ98 + tech_6_5*Techs!BF98 + tech_7_3_2*Techs!BN98) * (1 + Production!O98/100*prestige_pop_multiplier) + Production!O98/100*prestige_pop_multiplier</f>
        <v>0.07625</v>
      </c>
    </row>
    <row r="99" customFormat="false" ht="12.75" hidden="false" customHeight="false" outlineLevel="0" collapsed="false">
      <c r="A99" s="128" t="n">
        <f aca="false">TblRezone[[#This Row],[Hour]]</f>
        <v>96</v>
      </c>
      <c r="B99" s="129" t="n">
        <f aca="false">TblImps[[#This Row],[Time]]</f>
        <v>45433.7083333333</v>
      </c>
      <c r="C99" s="69" t="n">
        <f aca="false">OFFSET(TblPop[[#This Row],[Peasants]],-1,0)+OFFSET(TblPop[[#This Row],[Net Peasant]],-1,0)+TblMili[[#This Row],[Release Draft]]</f>
        <v>7947</v>
      </c>
      <c r="D99" s="69" t="n">
        <f aca="false">TblMili[[#This Row],[Military]]</f>
        <v>4992</v>
      </c>
      <c r="E99" s="69" t="n">
        <f aca="false">TblMili[[#This Row],[Draftees]]</f>
        <v>1768</v>
      </c>
      <c r="F99" s="69" t="n">
        <f aca="false">TblPop[[#This Row],[Peasants]]+TblPop[[#This Row],[Military]]</f>
        <v>12939</v>
      </c>
      <c r="G99" s="130" t="n">
        <f aca="false">TblPop[[#This Row],[Military]]/TblPop[[#This Row],[Total]]</f>
        <v>0.385810340830049</v>
      </c>
      <c r="H99" s="95" t="n">
        <f aca="false">MIN(TblPop[[#This Row],[Peasants]],TblPop[[#This Row],[Jobs]])</f>
        <v>7947</v>
      </c>
      <c r="I99" s="130" t="n">
        <f aca="false">MIN(OFFSET(TblPop[[#This Row],[Jobs]],1,0)/TblPop[[#This Row],[Peasants]],1)</f>
        <v>1</v>
      </c>
      <c r="J99" s="95" t="n">
        <f aca="false">SUM(TblConstr[[#This Row],[Tot Alc]:[Tot GT]],TblConstr[[#This Row],[Tot Shr]:[Tot Doc]],TblConstr[[#This Row],[Dest Alc]:[Dest GT]],TblConstr[[#This Row],[Dest Shr]:[Dest Doc]])*building_employment + TblConstr[[#This Row],[Tot Fac]]*bonus_jobs_facts</f>
        <v>12200</v>
      </c>
      <c r="K99" s="131"/>
      <c r="L99" s="33" t="n">
        <f aca="false">TblPop[[#This Row],[Draftees]]</f>
        <v>1768</v>
      </c>
      <c r="M99" s="33" t="n">
        <f aca="false">TblMili[[#This Row],[Unit 1]]</f>
        <v>0</v>
      </c>
      <c r="N99" s="33" t="n">
        <f aca="false">TblMili[[#This Row],[Unit 2]]</f>
        <v>1246</v>
      </c>
      <c r="O99" s="33" t="n">
        <f aca="false">TblMili[[#This Row],[Unit 3]]</f>
        <v>700</v>
      </c>
      <c r="P99" s="33" t="n">
        <f aca="false">TblMili[[#This Row],[Unit 4]]</f>
        <v>1228</v>
      </c>
      <c r="Q99" s="33" t="n">
        <f aca="false">TblMili[[#This Row],[Spies]]</f>
        <v>25</v>
      </c>
      <c r="R99" s="33" t="n">
        <f aca="false">TblMili[[#This Row],[Wizards]]</f>
        <v>25</v>
      </c>
      <c r="S99" s="33" t="n">
        <f aca="false">TblMili[[#This Row],[Archmages]]</f>
        <v>0</v>
      </c>
      <c r="T99" s="132"/>
      <c r="U99" s="69" t="n">
        <f aca="false">ROUND(TblPop[[#This Row],[Raw max]]*(1+TblPop[[#This Row],[Max pop]]),0)+MIN(TblPop[[#This Row],[Military]]-TblPop[[#This Row],[Draftees]]-SUM(TblMili[[#This Row],[Train Unit 1]:[Train AM]]),(barracks_size + tech_8_3*TblTech[[#This Row],[8-3]])*TblConstr[[#This Row],[Tot Bar]])</f>
        <v>12939</v>
      </c>
      <c r="V9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9" s="69" t="n">
        <f aca="false">MAX(-5%*TblPop[[#This Row],[Peasants]]-TblPop[[#This Row],[Draft Growth]],MIN(OFFSET(TblPop[[#This Row],[Net max]],1,0)-TblPop[[#This Row],[Peasants]]-TblPop[[#This Row],[Military]]-TblPop[[#This Row],[Draft Growth]],TblPop[[#This Row],[Modded Birth]]-TblPop[[#This Row],[Draft Growth]]))</f>
        <v>-79</v>
      </c>
      <c r="X99" s="69" t="n">
        <f aca="false">ROUND(TblPop[[#This Row],[Raw Birth]]*(1+TblPop[[#This Row],[Growth]]),0)</f>
        <v>331</v>
      </c>
      <c r="Y99" s="69" t="n">
        <f aca="false">(TblPop[[#This Row],[Peasants]]-TblPop[[#This Row],[Draft Growth]])*raw_pop_growth</f>
        <v>236.04</v>
      </c>
      <c r="Z99" s="69" t="n">
        <f aca="false">IF(TblPop[[#This Row],[Military%]]&lt;TblMili[[#This Row],[Draftrate]],ROUND(TblPop[[#This Row],[Peasants]]*Constants!$B$55,0), 0)</f>
        <v>79</v>
      </c>
      <c r="AA99" s="132"/>
      <c r="AB99" s="109" t="n">
        <f aca="false">Overview!$I$16 + IF(Magic!AE99&gt;0,Constants!$F$78) + ROUND(6*(Construction!BM100+Construction!CK99)/IF(Explore!S100&gt;0,Construction!F100-20,Construction!F100),4) + tech_6_5_2*Techs!BJ99 + tech_8_4*Techs!BT99</f>
        <v>0.4029</v>
      </c>
      <c r="AC99" s="130" t="n">
        <f aca="false">(Overview!$I$15 + Imps!Z99+ tech_2_5*Techs!AB99 + tech_3_6*Techs!AM99 + tech_6_1*Techs!BJ99 + tech_6_5*Techs!BF99 + tech_7_3_2*Techs!BN99) * (1 + Production!O99/100*prestige_pop_multiplier) + Production!O99/100*prestige_pop_multiplier</f>
        <v>0.07625</v>
      </c>
    </row>
    <row r="100" customFormat="false" ht="12.75" hidden="false" customHeight="false" outlineLevel="0" collapsed="false">
      <c r="A100" s="128" t="n">
        <f aca="false">TblRezone[[#This Row],[Hour]]</f>
        <v>97</v>
      </c>
      <c r="B100" s="129" t="n">
        <f aca="false">TblImps[[#This Row],[Time]]</f>
        <v>45433.75</v>
      </c>
      <c r="C100" s="69" t="n">
        <f aca="false">OFFSET(TblPop[[#This Row],[Peasants]],-1,0)+OFFSET(TblPop[[#This Row],[Net Peasant]],-1,0)+TblMili[[#This Row],[Release Draft]]</f>
        <v>7868</v>
      </c>
      <c r="D100" s="69" t="n">
        <f aca="false">TblMili[[#This Row],[Military]]</f>
        <v>5071</v>
      </c>
      <c r="E100" s="69" t="n">
        <f aca="false">TblMili[[#This Row],[Draftees]]</f>
        <v>1847</v>
      </c>
      <c r="F100" s="69" t="n">
        <f aca="false">TblPop[[#This Row],[Peasants]]+TblPop[[#This Row],[Military]]</f>
        <v>12939</v>
      </c>
      <c r="G100" s="130" t="n">
        <f aca="false">TblPop[[#This Row],[Military]]/TblPop[[#This Row],[Total]]</f>
        <v>0.391915913130845</v>
      </c>
      <c r="H100" s="95" t="n">
        <f aca="false">MIN(TblPop[[#This Row],[Peasants]],TblPop[[#This Row],[Jobs]])</f>
        <v>7868</v>
      </c>
      <c r="I100" s="130" t="n">
        <f aca="false">MIN(OFFSET(TblPop[[#This Row],[Jobs]],1,0)/TblPop[[#This Row],[Peasants]],1)</f>
        <v>1</v>
      </c>
      <c r="J100" s="95" t="n">
        <f aca="false">SUM(TblConstr[[#This Row],[Tot Alc]:[Tot GT]],TblConstr[[#This Row],[Tot Shr]:[Tot Doc]],TblConstr[[#This Row],[Dest Alc]:[Dest GT]],TblConstr[[#This Row],[Dest Shr]:[Dest Doc]])*building_employment + TblConstr[[#This Row],[Tot Fac]]*bonus_jobs_facts</f>
        <v>12200</v>
      </c>
      <c r="K100" s="131"/>
      <c r="L100" s="33" t="n">
        <f aca="false">TblPop[[#This Row],[Draftees]]</f>
        <v>1847</v>
      </c>
      <c r="M100" s="33" t="n">
        <f aca="false">TblMili[[#This Row],[Unit 1]]</f>
        <v>0</v>
      </c>
      <c r="N100" s="33" t="n">
        <f aca="false">TblMili[[#This Row],[Unit 2]]</f>
        <v>1246</v>
      </c>
      <c r="O100" s="33" t="n">
        <f aca="false">TblMili[[#This Row],[Unit 3]]</f>
        <v>700</v>
      </c>
      <c r="P100" s="33" t="n">
        <f aca="false">TblMili[[#This Row],[Unit 4]]</f>
        <v>1228</v>
      </c>
      <c r="Q100" s="33" t="n">
        <f aca="false">TblMili[[#This Row],[Spies]]</f>
        <v>25</v>
      </c>
      <c r="R100" s="33" t="n">
        <f aca="false">TblMili[[#This Row],[Wizards]]</f>
        <v>25</v>
      </c>
      <c r="S100" s="33" t="n">
        <f aca="false">TblMili[[#This Row],[Archmages]]</f>
        <v>0</v>
      </c>
      <c r="T100" s="132"/>
      <c r="U100" s="69" t="n">
        <f aca="false">ROUND(TblPop[[#This Row],[Raw max]]*(1+TblPop[[#This Row],[Max pop]]),0)+MIN(TblPop[[#This Row],[Military]]-TblPop[[#This Row],[Draftees]]-SUM(TblMili[[#This Row],[Train Unit 1]:[Train AM]]),(barracks_size + tech_8_3*TblTech[[#This Row],[8-3]])*TblConstr[[#This Row],[Tot Bar]])</f>
        <v>12939</v>
      </c>
      <c r="V10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0" s="69" t="n">
        <f aca="false">MAX(-5%*TblPop[[#This Row],[Peasants]]-TblPop[[#This Row],[Draft Growth]],MIN(OFFSET(TblPop[[#This Row],[Net max]],1,0)-TblPop[[#This Row],[Peasants]]-TblPop[[#This Row],[Military]]-TblPop[[#This Row],[Draft Growth]],TblPop[[#This Row],[Modded Birth]]-TblPop[[#This Row],[Draft Growth]]))</f>
        <v>-79</v>
      </c>
      <c r="X100" s="69" t="n">
        <f aca="false">ROUND(TblPop[[#This Row],[Raw Birth]]*(1+TblPop[[#This Row],[Growth]]),0)</f>
        <v>328</v>
      </c>
      <c r="Y100" s="69" t="n">
        <f aca="false">(TblPop[[#This Row],[Peasants]]-TblPop[[#This Row],[Draft Growth]])*raw_pop_growth</f>
        <v>233.67</v>
      </c>
      <c r="Z100" s="69" t="n">
        <f aca="false">IF(TblPop[[#This Row],[Military%]]&lt;TblMili[[#This Row],[Draftrate]],ROUND(TblPop[[#This Row],[Peasants]]*Constants!$B$55,0), 0)</f>
        <v>79</v>
      </c>
      <c r="AA100" s="132"/>
      <c r="AB100" s="109" t="n">
        <f aca="false">Overview!$I$16 + IF(Magic!AE100&gt;0,Constants!$F$78) + ROUND(6*(Construction!BM101+Construction!CK100)/IF(Explore!S101&gt;0,Construction!F101-20,Construction!F101),4) + tech_6_5_2*Techs!BJ100 + tech_8_4*Techs!BT100</f>
        <v>0.4029</v>
      </c>
      <c r="AC100" s="130" t="n">
        <f aca="false">(Overview!$I$15 + Imps!Z100+ tech_2_5*Techs!AB100 + tech_3_6*Techs!AM100 + tech_6_1*Techs!BJ100 + tech_6_5*Techs!BF100 + tech_7_3_2*Techs!BN100) * (1 + Production!O100/100*prestige_pop_multiplier) + Production!O100/100*prestige_pop_multiplier</f>
        <v>0.07625</v>
      </c>
    </row>
    <row r="101" customFormat="false" ht="12.75" hidden="false" customHeight="false" outlineLevel="0" collapsed="false">
      <c r="A101" s="128" t="n">
        <f aca="false">TblRezone[[#This Row],[Hour]]</f>
        <v>98</v>
      </c>
      <c r="B101" s="129" t="n">
        <f aca="false">TblImps[[#This Row],[Time]]</f>
        <v>45433.7916666667</v>
      </c>
      <c r="C101" s="69" t="n">
        <f aca="false">OFFSET(TblPop[[#This Row],[Peasants]],-1,0)+OFFSET(TblPop[[#This Row],[Net Peasant]],-1,0)+TblMili[[#This Row],[Release Draft]]</f>
        <v>7789</v>
      </c>
      <c r="D101" s="69" t="n">
        <f aca="false">TblMili[[#This Row],[Military]]</f>
        <v>5150</v>
      </c>
      <c r="E101" s="69" t="n">
        <f aca="false">TblMili[[#This Row],[Draftees]]</f>
        <v>1926</v>
      </c>
      <c r="F101" s="69" t="n">
        <f aca="false">TblPop[[#This Row],[Peasants]]+TblPop[[#This Row],[Military]]</f>
        <v>12939</v>
      </c>
      <c r="G101" s="130" t="n">
        <f aca="false">TblPop[[#This Row],[Military]]/TblPop[[#This Row],[Total]]</f>
        <v>0.398021485431641</v>
      </c>
      <c r="H101" s="95" t="n">
        <f aca="false">MIN(TblPop[[#This Row],[Peasants]],TblPop[[#This Row],[Jobs]])</f>
        <v>7789</v>
      </c>
      <c r="I101" s="130" t="n">
        <f aca="false">MIN(OFFSET(TblPop[[#This Row],[Jobs]],1,0)/TblPop[[#This Row],[Peasants]],1)</f>
        <v>1</v>
      </c>
      <c r="J101" s="95" t="n">
        <f aca="false">SUM(TblConstr[[#This Row],[Tot Alc]:[Tot GT]],TblConstr[[#This Row],[Tot Shr]:[Tot Doc]],TblConstr[[#This Row],[Dest Alc]:[Dest GT]],TblConstr[[#This Row],[Dest Shr]:[Dest Doc]])*building_employment + TblConstr[[#This Row],[Tot Fac]]*bonus_jobs_facts</f>
        <v>12200</v>
      </c>
      <c r="K101" s="131"/>
      <c r="L101" s="33" t="n">
        <f aca="false">TblPop[[#This Row],[Draftees]]</f>
        <v>1926</v>
      </c>
      <c r="M101" s="33" t="n">
        <f aca="false">TblMili[[#This Row],[Unit 1]]</f>
        <v>0</v>
      </c>
      <c r="N101" s="33" t="n">
        <f aca="false">TblMili[[#This Row],[Unit 2]]</f>
        <v>1246</v>
      </c>
      <c r="O101" s="33" t="n">
        <f aca="false">TblMili[[#This Row],[Unit 3]]</f>
        <v>700</v>
      </c>
      <c r="P101" s="33" t="n">
        <f aca="false">TblMili[[#This Row],[Unit 4]]</f>
        <v>1228</v>
      </c>
      <c r="Q101" s="33" t="n">
        <f aca="false">TblMili[[#This Row],[Spies]]</f>
        <v>25</v>
      </c>
      <c r="R101" s="33" t="n">
        <f aca="false">TblMili[[#This Row],[Wizards]]</f>
        <v>25</v>
      </c>
      <c r="S101" s="33" t="n">
        <f aca="false">TblMili[[#This Row],[Archmages]]</f>
        <v>0</v>
      </c>
      <c r="T101" s="132"/>
      <c r="U101" s="69" t="n">
        <f aca="false">ROUND(TblPop[[#This Row],[Raw max]]*(1+TblPop[[#This Row],[Max pop]]),0)+MIN(TblPop[[#This Row],[Military]]-TblPop[[#This Row],[Draftees]]-SUM(TblMili[[#This Row],[Train Unit 1]:[Train AM]]),(barracks_size + tech_8_3*TblTech[[#This Row],[8-3]])*TblConstr[[#This Row],[Tot Bar]])</f>
        <v>12939</v>
      </c>
      <c r="V10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1" s="69" t="n">
        <f aca="false">MAX(-5%*TblPop[[#This Row],[Peasants]]-TblPop[[#This Row],[Draft Growth]],MIN(OFFSET(TblPop[[#This Row],[Net max]],1,0)-TblPop[[#This Row],[Peasants]]-TblPop[[#This Row],[Military]]-TblPop[[#This Row],[Draft Growth]],TblPop[[#This Row],[Modded Birth]]-TblPop[[#This Row],[Draft Growth]]))</f>
        <v>-78</v>
      </c>
      <c r="X101" s="69" t="n">
        <f aca="false">ROUND(TblPop[[#This Row],[Raw Birth]]*(1+TblPop[[#This Row],[Growth]]),0)</f>
        <v>325</v>
      </c>
      <c r="Y101" s="69" t="n">
        <f aca="false">(TblPop[[#This Row],[Peasants]]-TblPop[[#This Row],[Draft Growth]])*raw_pop_growth</f>
        <v>231.33</v>
      </c>
      <c r="Z101" s="69" t="n">
        <f aca="false">IF(TblPop[[#This Row],[Military%]]&lt;TblMili[[#This Row],[Draftrate]],ROUND(TblPop[[#This Row],[Peasants]]*Constants!$B$55,0), 0)</f>
        <v>78</v>
      </c>
      <c r="AA101" s="132"/>
      <c r="AB101" s="109" t="n">
        <f aca="false">Overview!$I$16 + IF(Magic!AE101&gt;0,Constants!$F$78) + ROUND(6*(Construction!BM102+Construction!CK101)/IF(Explore!S102&gt;0,Construction!F102-20,Construction!F102),4) + tech_6_5_2*Techs!BJ101 + tech_8_4*Techs!BT101</f>
        <v>0.4029</v>
      </c>
      <c r="AC101" s="130" t="n">
        <f aca="false">(Overview!$I$15 + Imps!Z101+ tech_2_5*Techs!AB101 + tech_3_6*Techs!AM101 + tech_6_1*Techs!BJ101 + tech_6_5*Techs!BF101 + tech_7_3_2*Techs!BN101) * (1 + Production!O101/100*prestige_pop_multiplier) + Production!O101/100*prestige_pop_multiplier</f>
        <v>0.07625</v>
      </c>
    </row>
    <row r="102" customFormat="false" ht="12.75" hidden="false" customHeight="false" outlineLevel="0" collapsed="false">
      <c r="A102" s="128" t="n">
        <f aca="false">TblRezone[[#This Row],[Hour]]</f>
        <v>99</v>
      </c>
      <c r="B102" s="129" t="n">
        <f aca="false">TblImps[[#This Row],[Time]]</f>
        <v>45433.8333333333</v>
      </c>
      <c r="C102" s="69" t="n">
        <f aca="false">OFFSET(TblPop[[#This Row],[Peasants]],-1,0)+OFFSET(TblPop[[#This Row],[Net Peasant]],-1,0)+TblMili[[#This Row],[Release Draft]]</f>
        <v>7711</v>
      </c>
      <c r="D102" s="69" t="n">
        <f aca="false">TblMili[[#This Row],[Military]]</f>
        <v>5228</v>
      </c>
      <c r="E102" s="69" t="n">
        <f aca="false">TblMili[[#This Row],[Draftees]]</f>
        <v>2004</v>
      </c>
      <c r="F102" s="69" t="n">
        <f aca="false">TblPop[[#This Row],[Peasants]]+TblPop[[#This Row],[Military]]</f>
        <v>12939</v>
      </c>
      <c r="G102" s="130" t="n">
        <f aca="false">TblPop[[#This Row],[Military]]/TblPop[[#This Row],[Total]]</f>
        <v>0.40404977200711</v>
      </c>
      <c r="H102" s="95" t="n">
        <f aca="false">MIN(TblPop[[#This Row],[Peasants]],TblPop[[#This Row],[Jobs]])</f>
        <v>7711</v>
      </c>
      <c r="I102" s="130" t="n">
        <f aca="false">MIN(OFFSET(TblPop[[#This Row],[Jobs]],1,0)/TblPop[[#This Row],[Peasants]],1)</f>
        <v>1</v>
      </c>
      <c r="J102" s="95" t="n">
        <f aca="false">SUM(TblConstr[[#This Row],[Tot Alc]:[Tot GT]],TblConstr[[#This Row],[Tot Shr]:[Tot Doc]],TblConstr[[#This Row],[Dest Alc]:[Dest GT]],TblConstr[[#This Row],[Dest Shr]:[Dest Doc]])*building_employment + TblConstr[[#This Row],[Tot Fac]]*bonus_jobs_facts</f>
        <v>12200</v>
      </c>
      <c r="K102" s="131"/>
      <c r="L102" s="33" t="n">
        <f aca="false">TblPop[[#This Row],[Draftees]]</f>
        <v>2004</v>
      </c>
      <c r="M102" s="33" t="n">
        <f aca="false">TblMili[[#This Row],[Unit 1]]</f>
        <v>0</v>
      </c>
      <c r="N102" s="33" t="n">
        <f aca="false">TblMili[[#This Row],[Unit 2]]</f>
        <v>1246</v>
      </c>
      <c r="O102" s="33" t="n">
        <f aca="false">TblMili[[#This Row],[Unit 3]]</f>
        <v>700</v>
      </c>
      <c r="P102" s="33" t="n">
        <f aca="false">TblMili[[#This Row],[Unit 4]]</f>
        <v>1228</v>
      </c>
      <c r="Q102" s="33" t="n">
        <f aca="false">TblMili[[#This Row],[Spies]]</f>
        <v>25</v>
      </c>
      <c r="R102" s="33" t="n">
        <f aca="false">TblMili[[#This Row],[Wizards]]</f>
        <v>25</v>
      </c>
      <c r="S102" s="33" t="n">
        <f aca="false">TblMili[[#This Row],[Archmages]]</f>
        <v>0</v>
      </c>
      <c r="T102" s="132"/>
      <c r="U102" s="69" t="n">
        <f aca="false">ROUND(TblPop[[#This Row],[Raw max]]*(1+TblPop[[#This Row],[Max pop]]),0)+MIN(TblPop[[#This Row],[Military]]-TblPop[[#This Row],[Draftees]]-SUM(TblMili[[#This Row],[Train Unit 1]:[Train AM]]),(barracks_size + tech_8_3*TblTech[[#This Row],[8-3]])*TblConstr[[#This Row],[Tot Bar]])</f>
        <v>12939</v>
      </c>
      <c r="V10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2" s="69" t="n">
        <f aca="false">MAX(-5%*TblPop[[#This Row],[Peasants]]-TblPop[[#This Row],[Draft Growth]],MIN(OFFSET(TblPop[[#This Row],[Net max]],1,0)-TblPop[[#This Row],[Peasants]]-TblPop[[#This Row],[Military]]-TblPop[[#This Row],[Draft Growth]],TblPop[[#This Row],[Modded Birth]]-TblPop[[#This Row],[Draft Growth]]))</f>
        <v>-77</v>
      </c>
      <c r="X102" s="69" t="n">
        <f aca="false">ROUND(TblPop[[#This Row],[Raw Birth]]*(1+TblPop[[#This Row],[Growth]]),0)</f>
        <v>321</v>
      </c>
      <c r="Y102" s="69" t="n">
        <f aca="false">(TblPop[[#This Row],[Peasants]]-TblPop[[#This Row],[Draft Growth]])*raw_pop_growth</f>
        <v>229.02</v>
      </c>
      <c r="Z102" s="69" t="n">
        <f aca="false">IF(TblPop[[#This Row],[Military%]]&lt;TblMili[[#This Row],[Draftrate]],ROUND(TblPop[[#This Row],[Peasants]]*Constants!$B$55,0), 0)</f>
        <v>77</v>
      </c>
      <c r="AA102" s="132"/>
      <c r="AB102" s="109" t="n">
        <f aca="false">Overview!$I$16 + IF(Magic!AE102&gt;0,Constants!$F$78) + ROUND(6*(Construction!BM103+Construction!CK102)/IF(Explore!S103&gt;0,Construction!F103-20,Construction!F103),4) + tech_6_5_2*Techs!BJ102 + tech_8_4*Techs!BT102</f>
        <v>0.4029</v>
      </c>
      <c r="AC102" s="130" t="n">
        <f aca="false">(Overview!$I$15 + Imps!Z102+ tech_2_5*Techs!AB102 + tech_3_6*Techs!AM102 + tech_6_1*Techs!BJ102 + tech_6_5*Techs!BF102 + tech_7_3_2*Techs!BN102) * (1 + Production!O102/100*prestige_pop_multiplier) + Production!O102/100*prestige_pop_multiplier</f>
        <v>0.07625</v>
      </c>
    </row>
    <row r="103" customFormat="false" ht="12.75" hidden="false" customHeight="false" outlineLevel="0" collapsed="false">
      <c r="A103" s="128" t="n">
        <f aca="false">TblRezone[[#This Row],[Hour]]</f>
        <v>100</v>
      </c>
      <c r="B103" s="129" t="n">
        <f aca="false">TblImps[[#This Row],[Time]]</f>
        <v>45433.875</v>
      </c>
      <c r="C103" s="69" t="n">
        <f aca="false">OFFSET(TblPop[[#This Row],[Peasants]],-1,0)+OFFSET(TblPop[[#This Row],[Net Peasant]],-1,0)+TblMili[[#This Row],[Release Draft]]</f>
        <v>7634</v>
      </c>
      <c r="D103" s="69" t="n">
        <f aca="false">TblMili[[#This Row],[Military]]</f>
        <v>5305</v>
      </c>
      <c r="E103" s="69" t="n">
        <f aca="false">TblMili[[#This Row],[Draftees]]</f>
        <v>2081</v>
      </c>
      <c r="F103" s="69" t="n">
        <f aca="false">TblPop[[#This Row],[Peasants]]+TblPop[[#This Row],[Military]]</f>
        <v>12939</v>
      </c>
      <c r="G103" s="130" t="n">
        <f aca="false">TblPop[[#This Row],[Military]]/TblPop[[#This Row],[Total]]</f>
        <v>0.410000772857253</v>
      </c>
      <c r="H103" s="95" t="n">
        <f aca="false">MIN(TblPop[[#This Row],[Peasants]],TblPop[[#This Row],[Jobs]])</f>
        <v>7634</v>
      </c>
      <c r="I103" s="130" t="n">
        <f aca="false">MIN(OFFSET(TblPop[[#This Row],[Jobs]],1,0)/TblPop[[#This Row],[Peasants]],1)</f>
        <v>1</v>
      </c>
      <c r="J103" s="95" t="n">
        <f aca="false">SUM(TblConstr[[#This Row],[Tot Alc]:[Tot GT]],TblConstr[[#This Row],[Tot Shr]:[Tot Doc]],TblConstr[[#This Row],[Dest Alc]:[Dest GT]],TblConstr[[#This Row],[Dest Shr]:[Dest Doc]])*building_employment + TblConstr[[#This Row],[Tot Fac]]*bonus_jobs_facts</f>
        <v>12200</v>
      </c>
      <c r="K103" s="131"/>
      <c r="L103" s="33" t="n">
        <f aca="false">TblPop[[#This Row],[Draftees]]</f>
        <v>2081</v>
      </c>
      <c r="M103" s="33" t="n">
        <f aca="false">TblMili[[#This Row],[Unit 1]]</f>
        <v>0</v>
      </c>
      <c r="N103" s="33" t="n">
        <f aca="false">TblMili[[#This Row],[Unit 2]]</f>
        <v>1246</v>
      </c>
      <c r="O103" s="33" t="n">
        <f aca="false">TblMili[[#This Row],[Unit 3]]</f>
        <v>700</v>
      </c>
      <c r="P103" s="33" t="n">
        <f aca="false">TblMili[[#This Row],[Unit 4]]</f>
        <v>1228</v>
      </c>
      <c r="Q103" s="33" t="n">
        <f aca="false">TblMili[[#This Row],[Spies]]</f>
        <v>25</v>
      </c>
      <c r="R103" s="33" t="n">
        <f aca="false">TblMili[[#This Row],[Wizards]]</f>
        <v>25</v>
      </c>
      <c r="S103" s="33" t="n">
        <f aca="false">TblMili[[#This Row],[Archmages]]</f>
        <v>0</v>
      </c>
      <c r="T103" s="132"/>
      <c r="U103" s="69" t="n">
        <f aca="false">ROUND(TblPop[[#This Row],[Raw max]]*(1+TblPop[[#This Row],[Max pop]]),0)+MIN(TblPop[[#This Row],[Military]]-TblPop[[#This Row],[Draftees]]-SUM(TblMili[[#This Row],[Train Unit 1]:[Train AM]]),(barracks_size + tech_8_3*TblTech[[#This Row],[8-3]])*TblConstr[[#This Row],[Tot Bar]])</f>
        <v>12939</v>
      </c>
      <c r="V10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3" s="69" t="n">
        <f aca="false">MAX(-5%*TblPop[[#This Row],[Peasants]]-TblPop[[#This Row],[Draft Growth]],MIN(OFFSET(TblPop[[#This Row],[Net max]],1,0)-TblPop[[#This Row],[Peasants]]-TblPop[[#This Row],[Military]]-TblPop[[#This Row],[Draft Growth]],TblPop[[#This Row],[Modded Birth]]-TblPop[[#This Row],[Draft Growth]]))</f>
        <v>-76</v>
      </c>
      <c r="X103" s="69" t="n">
        <f aca="false">ROUND(TblPop[[#This Row],[Raw Birth]]*(1+TblPop[[#This Row],[Growth]]),0)</f>
        <v>318</v>
      </c>
      <c r="Y103" s="69" t="n">
        <f aca="false">(TblPop[[#This Row],[Peasants]]-TblPop[[#This Row],[Draft Growth]])*raw_pop_growth</f>
        <v>226.74</v>
      </c>
      <c r="Z103" s="69" t="n">
        <f aca="false">IF(TblPop[[#This Row],[Military%]]&lt;TblMili[[#This Row],[Draftrate]],ROUND(TblPop[[#This Row],[Peasants]]*Constants!$B$55,0), 0)</f>
        <v>76</v>
      </c>
      <c r="AA103" s="132"/>
      <c r="AB103" s="109" t="n">
        <f aca="false">Overview!$I$16 + IF(Magic!AE103&gt;0,Constants!$F$78) + ROUND(6*(Construction!BM104+Construction!CK103)/IF(Explore!S104&gt;0,Construction!F104-20,Construction!F104),4) + tech_6_5_2*Techs!BJ103 + tech_8_4*Techs!BT103</f>
        <v>0.4029</v>
      </c>
      <c r="AC103" s="130" t="n">
        <f aca="false">(Overview!$I$15 + Imps!Z103+ tech_2_5*Techs!AB103 + tech_3_6*Techs!AM103 + tech_6_1*Techs!BJ103 + tech_6_5*Techs!BF103 + tech_7_3_2*Techs!BN103) * (1 + Production!O103/100*prestige_pop_multiplier) + Production!O103/100*prestige_pop_multiplier</f>
        <v>0.07625</v>
      </c>
    </row>
    <row r="104" customFormat="false" ht="12.75" hidden="false" customHeight="false" outlineLevel="0" collapsed="false">
      <c r="A104" s="128" t="n">
        <f aca="false">TblRezone[[#This Row],[Hour]]</f>
        <v>101</v>
      </c>
      <c r="B104" s="129" t="n">
        <f aca="false">TblImps[[#This Row],[Time]]</f>
        <v>45433.9166666667</v>
      </c>
      <c r="C104" s="69" t="n">
        <f aca="false">OFFSET(TblPop[[#This Row],[Peasants]],-1,0)+OFFSET(TblPop[[#This Row],[Net Peasant]],-1,0)+TblMili[[#This Row],[Release Draft]]</f>
        <v>7558</v>
      </c>
      <c r="D104" s="69" t="n">
        <f aca="false">TblMili[[#This Row],[Military]]</f>
        <v>5381</v>
      </c>
      <c r="E104" s="69" t="n">
        <f aca="false">TblMili[[#This Row],[Draftees]]</f>
        <v>2157</v>
      </c>
      <c r="F104" s="69" t="n">
        <f aca="false">TblPop[[#This Row],[Peasants]]+TblPop[[#This Row],[Military]]</f>
        <v>12939</v>
      </c>
      <c r="G104" s="130" t="n">
        <f aca="false">TblPop[[#This Row],[Military]]/TblPop[[#This Row],[Total]]</f>
        <v>0.41587448798207</v>
      </c>
      <c r="H104" s="95" t="n">
        <f aca="false">MIN(TblPop[[#This Row],[Peasants]],TblPop[[#This Row],[Jobs]])</f>
        <v>7558</v>
      </c>
      <c r="I104" s="130" t="n">
        <f aca="false">MIN(OFFSET(TblPop[[#This Row],[Jobs]],1,0)/TblPop[[#This Row],[Peasants]],1)</f>
        <v>1</v>
      </c>
      <c r="J104" s="95" t="n">
        <f aca="false">SUM(TblConstr[[#This Row],[Tot Alc]:[Tot GT]],TblConstr[[#This Row],[Tot Shr]:[Tot Doc]],TblConstr[[#This Row],[Dest Alc]:[Dest GT]],TblConstr[[#This Row],[Dest Shr]:[Dest Doc]])*building_employment + TblConstr[[#This Row],[Tot Fac]]*bonus_jobs_facts</f>
        <v>12200</v>
      </c>
      <c r="K104" s="131"/>
      <c r="L104" s="33" t="n">
        <f aca="false">TblPop[[#This Row],[Draftees]]</f>
        <v>2157</v>
      </c>
      <c r="M104" s="33" t="n">
        <f aca="false">TblMili[[#This Row],[Unit 1]]</f>
        <v>0</v>
      </c>
      <c r="N104" s="33" t="n">
        <f aca="false">TblMili[[#This Row],[Unit 2]]</f>
        <v>1246</v>
      </c>
      <c r="O104" s="33" t="n">
        <f aca="false">TblMili[[#This Row],[Unit 3]]</f>
        <v>700</v>
      </c>
      <c r="P104" s="33" t="n">
        <f aca="false">TblMili[[#This Row],[Unit 4]]</f>
        <v>1228</v>
      </c>
      <c r="Q104" s="33" t="n">
        <f aca="false">TblMili[[#This Row],[Spies]]</f>
        <v>25</v>
      </c>
      <c r="R104" s="33" t="n">
        <f aca="false">TblMili[[#This Row],[Wizards]]</f>
        <v>25</v>
      </c>
      <c r="S104" s="33" t="n">
        <f aca="false">TblMili[[#This Row],[Archmages]]</f>
        <v>0</v>
      </c>
      <c r="T104" s="132"/>
      <c r="U104" s="69" t="n">
        <f aca="false">ROUND(TblPop[[#This Row],[Raw max]]*(1+TblPop[[#This Row],[Max pop]]),0)+MIN(TblPop[[#This Row],[Military]]-TblPop[[#This Row],[Draftees]]-SUM(TblMili[[#This Row],[Train Unit 1]:[Train AM]]),(barracks_size + tech_8_3*TblTech[[#This Row],[8-3]])*TblConstr[[#This Row],[Tot Bar]])</f>
        <v>12939</v>
      </c>
      <c r="V10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4" s="69" t="n">
        <f aca="false">MAX(-5%*TblPop[[#This Row],[Peasants]]-TblPop[[#This Row],[Draft Growth]],MIN(OFFSET(TblPop[[#This Row],[Net max]],1,0)-TblPop[[#This Row],[Peasants]]-TblPop[[#This Row],[Military]]-TblPop[[#This Row],[Draft Growth]],TblPop[[#This Row],[Modded Birth]]-TblPop[[#This Row],[Draft Growth]]))</f>
        <v>-76</v>
      </c>
      <c r="X104" s="69" t="n">
        <f aca="false">ROUND(TblPop[[#This Row],[Raw Birth]]*(1+TblPop[[#This Row],[Growth]]),0)</f>
        <v>315</v>
      </c>
      <c r="Y104" s="69" t="n">
        <f aca="false">(TblPop[[#This Row],[Peasants]]-TblPop[[#This Row],[Draft Growth]])*raw_pop_growth</f>
        <v>224.46</v>
      </c>
      <c r="Z104" s="69" t="n">
        <f aca="false">IF(TblPop[[#This Row],[Military%]]&lt;TblMili[[#This Row],[Draftrate]],ROUND(TblPop[[#This Row],[Peasants]]*Constants!$B$55,0), 0)</f>
        <v>76</v>
      </c>
      <c r="AA104" s="132"/>
      <c r="AB104" s="109" t="n">
        <f aca="false">Overview!$I$16 + IF(Magic!AE104&gt;0,Constants!$F$78) + ROUND(6*(Construction!BM105+Construction!CK104)/IF(Explore!S105&gt;0,Construction!F105-20,Construction!F105),4) + tech_6_5_2*Techs!BJ104 + tech_8_4*Techs!BT104</f>
        <v>0.4029</v>
      </c>
      <c r="AC104" s="130" t="n">
        <f aca="false">(Overview!$I$15 + Imps!Z104+ tech_2_5*Techs!AB104 + tech_3_6*Techs!AM104 + tech_6_1*Techs!BJ104 + tech_6_5*Techs!BF104 + tech_7_3_2*Techs!BN104) * (1 + Production!O104/100*prestige_pop_multiplier) + Production!O104/100*prestige_pop_multiplier</f>
        <v>0.07625</v>
      </c>
    </row>
    <row r="105" customFormat="false" ht="12.75" hidden="false" customHeight="false" outlineLevel="0" collapsed="false">
      <c r="A105" s="128" t="n">
        <f aca="false">TblRezone[[#This Row],[Hour]]</f>
        <v>102</v>
      </c>
      <c r="B105" s="129" t="n">
        <f aca="false">TblImps[[#This Row],[Time]]</f>
        <v>45433.9583333333</v>
      </c>
      <c r="C105" s="69" t="n">
        <f aca="false">OFFSET(TblPop[[#This Row],[Peasants]],-1,0)+OFFSET(TblPop[[#This Row],[Net Peasant]],-1,0)+TblMili[[#This Row],[Release Draft]]</f>
        <v>7482</v>
      </c>
      <c r="D105" s="69" t="n">
        <f aca="false">TblMili[[#This Row],[Military]]</f>
        <v>5457</v>
      </c>
      <c r="E105" s="69" t="n">
        <f aca="false">TblMili[[#This Row],[Draftees]]</f>
        <v>2233</v>
      </c>
      <c r="F105" s="69" t="n">
        <f aca="false">TblPop[[#This Row],[Peasants]]+TblPop[[#This Row],[Military]]</f>
        <v>12939</v>
      </c>
      <c r="G105" s="130" t="n">
        <f aca="false">TblPop[[#This Row],[Military]]/TblPop[[#This Row],[Total]]</f>
        <v>0.421748203106886</v>
      </c>
      <c r="H105" s="95" t="n">
        <f aca="false">MIN(TblPop[[#This Row],[Peasants]],TblPop[[#This Row],[Jobs]])</f>
        <v>7482</v>
      </c>
      <c r="I105" s="130" t="n">
        <f aca="false">MIN(OFFSET(TblPop[[#This Row],[Jobs]],1,0)/TblPop[[#This Row],[Peasants]],1)</f>
        <v>1</v>
      </c>
      <c r="J105" s="95" t="n">
        <f aca="false">SUM(TblConstr[[#This Row],[Tot Alc]:[Tot GT]],TblConstr[[#This Row],[Tot Shr]:[Tot Doc]],TblConstr[[#This Row],[Dest Alc]:[Dest GT]],TblConstr[[#This Row],[Dest Shr]:[Dest Doc]])*building_employment + TblConstr[[#This Row],[Tot Fac]]*bonus_jobs_facts</f>
        <v>12200</v>
      </c>
      <c r="K105" s="131"/>
      <c r="L105" s="33" t="n">
        <f aca="false">TblPop[[#This Row],[Draftees]]</f>
        <v>2233</v>
      </c>
      <c r="M105" s="33" t="n">
        <f aca="false">TblMili[[#This Row],[Unit 1]]</f>
        <v>0</v>
      </c>
      <c r="N105" s="33" t="n">
        <f aca="false">TblMili[[#This Row],[Unit 2]]</f>
        <v>1246</v>
      </c>
      <c r="O105" s="33" t="n">
        <f aca="false">TblMili[[#This Row],[Unit 3]]</f>
        <v>700</v>
      </c>
      <c r="P105" s="33" t="n">
        <f aca="false">TblMili[[#This Row],[Unit 4]]</f>
        <v>1228</v>
      </c>
      <c r="Q105" s="33" t="n">
        <f aca="false">TblMili[[#This Row],[Spies]]</f>
        <v>25</v>
      </c>
      <c r="R105" s="33" t="n">
        <f aca="false">TblMili[[#This Row],[Wizards]]</f>
        <v>25</v>
      </c>
      <c r="S105" s="33" t="n">
        <f aca="false">TblMili[[#This Row],[Archmages]]</f>
        <v>0</v>
      </c>
      <c r="T105" s="132"/>
      <c r="U105" s="69" t="n">
        <f aca="false">ROUND(TblPop[[#This Row],[Raw max]]*(1+TblPop[[#This Row],[Max pop]]),0)+MIN(TblPop[[#This Row],[Military]]-TblPop[[#This Row],[Draftees]]-SUM(TblMili[[#This Row],[Train Unit 1]:[Train AM]]),(barracks_size + tech_8_3*TblTech[[#This Row],[8-3]])*TblConstr[[#This Row],[Tot Bar]])</f>
        <v>12939</v>
      </c>
      <c r="V10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5" s="69" t="n">
        <f aca="false">MAX(-5%*TblPop[[#This Row],[Peasants]]-TblPop[[#This Row],[Draft Growth]],MIN(OFFSET(TblPop[[#This Row],[Net max]],1,0)-TblPop[[#This Row],[Peasants]]-TblPop[[#This Row],[Military]]-TblPop[[#This Row],[Draft Growth]],TblPop[[#This Row],[Modded Birth]]-TblPop[[#This Row],[Draft Growth]]))</f>
        <v>-75</v>
      </c>
      <c r="X105" s="69" t="n">
        <f aca="false">ROUND(TblPop[[#This Row],[Raw Birth]]*(1+TblPop[[#This Row],[Growth]]),0)</f>
        <v>312</v>
      </c>
      <c r="Y105" s="69" t="n">
        <f aca="false">(TblPop[[#This Row],[Peasants]]-TblPop[[#This Row],[Draft Growth]])*raw_pop_growth</f>
        <v>222.21</v>
      </c>
      <c r="Z105" s="69" t="n">
        <f aca="false">IF(TblPop[[#This Row],[Military%]]&lt;TblMili[[#This Row],[Draftrate]],ROUND(TblPop[[#This Row],[Peasants]]*Constants!$B$55,0), 0)</f>
        <v>75</v>
      </c>
      <c r="AA105" s="132"/>
      <c r="AB105" s="109" t="n">
        <f aca="false">Overview!$I$16 + IF(Magic!AE105&gt;0,Constants!$F$78) + ROUND(6*(Construction!BM106+Construction!CK105)/IF(Explore!S106&gt;0,Construction!F106-20,Construction!F106),4) + tech_6_5_2*Techs!BJ105 + tech_8_4*Techs!BT105</f>
        <v>0.4029</v>
      </c>
      <c r="AC105" s="130" t="n">
        <f aca="false">(Overview!$I$15 + Imps!Z105+ tech_2_5*Techs!AB105 + tech_3_6*Techs!AM105 + tech_6_1*Techs!BJ105 + tech_6_5*Techs!BF105 + tech_7_3_2*Techs!BN105) * (1 + Production!O105/100*prestige_pop_multiplier) + Production!O105/100*prestige_pop_multiplier</f>
        <v>0.07625</v>
      </c>
    </row>
    <row r="106" customFormat="false" ht="12.75" hidden="false" customHeight="false" outlineLevel="0" collapsed="false">
      <c r="A106" s="128" t="n">
        <f aca="false">TblRezone[[#This Row],[Hour]]</f>
        <v>103</v>
      </c>
      <c r="B106" s="129" t="n">
        <f aca="false">TblImps[[#This Row],[Time]]</f>
        <v>45434</v>
      </c>
      <c r="C106" s="69" t="n">
        <f aca="false">OFFSET(TblPop[[#This Row],[Peasants]],-1,0)+OFFSET(TblPop[[#This Row],[Net Peasant]],-1,0)+TblMili[[#This Row],[Release Draft]]</f>
        <v>7407</v>
      </c>
      <c r="D106" s="69" t="n">
        <f aca="false">TblMili[[#This Row],[Military]]</f>
        <v>5532</v>
      </c>
      <c r="E106" s="69" t="n">
        <f aca="false">TblMili[[#This Row],[Draftees]]</f>
        <v>2308</v>
      </c>
      <c r="F106" s="69" t="n">
        <f aca="false">TblPop[[#This Row],[Peasants]]+TblPop[[#This Row],[Military]]</f>
        <v>12939</v>
      </c>
      <c r="G106" s="130" t="n">
        <f aca="false">TblPop[[#This Row],[Military]]/TblPop[[#This Row],[Total]]</f>
        <v>0.427544632506376</v>
      </c>
      <c r="H106" s="95" t="n">
        <f aca="false">MIN(TblPop[[#This Row],[Peasants]],TblPop[[#This Row],[Jobs]])</f>
        <v>7407</v>
      </c>
      <c r="I106" s="130" t="n">
        <f aca="false">MIN(OFFSET(TblPop[[#This Row],[Jobs]],1,0)/TblPop[[#This Row],[Peasants]],1)</f>
        <v>1</v>
      </c>
      <c r="J106" s="95" t="n">
        <f aca="false">SUM(TblConstr[[#This Row],[Tot Alc]:[Tot GT]],TblConstr[[#This Row],[Tot Shr]:[Tot Doc]],TblConstr[[#This Row],[Dest Alc]:[Dest GT]],TblConstr[[#This Row],[Dest Shr]:[Dest Doc]])*building_employment + TblConstr[[#This Row],[Tot Fac]]*bonus_jobs_facts</f>
        <v>12200</v>
      </c>
      <c r="K106" s="131"/>
      <c r="L106" s="33" t="n">
        <f aca="false">TblPop[[#This Row],[Draftees]]</f>
        <v>2308</v>
      </c>
      <c r="M106" s="33" t="n">
        <f aca="false">TblMili[[#This Row],[Unit 1]]</f>
        <v>0</v>
      </c>
      <c r="N106" s="33" t="n">
        <f aca="false">TblMili[[#This Row],[Unit 2]]</f>
        <v>1246</v>
      </c>
      <c r="O106" s="33" t="n">
        <f aca="false">TblMili[[#This Row],[Unit 3]]</f>
        <v>700</v>
      </c>
      <c r="P106" s="33" t="n">
        <f aca="false">TblMili[[#This Row],[Unit 4]]</f>
        <v>1228</v>
      </c>
      <c r="Q106" s="33" t="n">
        <f aca="false">TblMili[[#This Row],[Spies]]</f>
        <v>25</v>
      </c>
      <c r="R106" s="33" t="n">
        <f aca="false">TblMili[[#This Row],[Wizards]]</f>
        <v>25</v>
      </c>
      <c r="S106" s="33" t="n">
        <f aca="false">TblMili[[#This Row],[Archmages]]</f>
        <v>0</v>
      </c>
      <c r="T106" s="132"/>
      <c r="U106" s="69" t="n">
        <f aca="false">ROUND(TblPop[[#This Row],[Raw max]]*(1+TblPop[[#This Row],[Max pop]]),0)+MIN(TblPop[[#This Row],[Military]]-TblPop[[#This Row],[Draftees]]-SUM(TblMili[[#This Row],[Train Unit 1]:[Train AM]]),(barracks_size + tech_8_3*TblTech[[#This Row],[8-3]])*TblConstr[[#This Row],[Tot Bar]])</f>
        <v>12939</v>
      </c>
      <c r="V10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6" s="69" t="n">
        <f aca="false">MAX(-5%*TblPop[[#This Row],[Peasants]]-TblPop[[#This Row],[Draft Growth]],MIN(OFFSET(TblPop[[#This Row],[Net max]],1,0)-TblPop[[#This Row],[Peasants]]-TblPop[[#This Row],[Military]]-TblPop[[#This Row],[Draft Growth]],TblPop[[#This Row],[Modded Birth]]-TblPop[[#This Row],[Draft Growth]]))</f>
        <v>-74</v>
      </c>
      <c r="X106" s="69" t="n">
        <f aca="false">ROUND(TblPop[[#This Row],[Raw Birth]]*(1+TblPop[[#This Row],[Growth]]),0)</f>
        <v>309</v>
      </c>
      <c r="Y106" s="69" t="n">
        <f aca="false">(TblPop[[#This Row],[Peasants]]-TblPop[[#This Row],[Draft Growth]])*raw_pop_growth</f>
        <v>219.99</v>
      </c>
      <c r="Z106" s="69" t="n">
        <f aca="false">IF(TblPop[[#This Row],[Military%]]&lt;TblMili[[#This Row],[Draftrate]],ROUND(TblPop[[#This Row],[Peasants]]*Constants!$B$55,0), 0)</f>
        <v>74</v>
      </c>
      <c r="AA106" s="132"/>
      <c r="AB106" s="109" t="n">
        <f aca="false">Overview!$I$16 + IF(Magic!AE106&gt;0,Constants!$F$78) + ROUND(6*(Construction!BM107+Construction!CK106)/IF(Explore!S107&gt;0,Construction!F107-20,Construction!F107),4) + tech_6_5_2*Techs!BJ106 + tech_8_4*Techs!BT106</f>
        <v>0.4029</v>
      </c>
      <c r="AC106" s="130" t="n">
        <f aca="false">(Overview!$I$15 + Imps!Z106+ tech_2_5*Techs!AB106 + tech_3_6*Techs!AM106 + tech_6_1*Techs!BJ106 + tech_6_5*Techs!BF106 + tech_7_3_2*Techs!BN106) * (1 + Production!O106/100*prestige_pop_multiplier) + Production!O106/100*prestige_pop_multiplier</f>
        <v>0.07625</v>
      </c>
    </row>
    <row r="107" customFormat="false" ht="12.75" hidden="false" customHeight="false" outlineLevel="0" collapsed="false">
      <c r="A107" s="128" t="n">
        <f aca="false">TblRezone[[#This Row],[Hour]]</f>
        <v>104</v>
      </c>
      <c r="B107" s="129" t="n">
        <f aca="false">TblImps[[#This Row],[Time]]</f>
        <v>45434.0416666667</v>
      </c>
      <c r="C107" s="69" t="n">
        <f aca="false">OFFSET(TblPop[[#This Row],[Peasants]],-1,0)+OFFSET(TblPop[[#This Row],[Net Peasant]],-1,0)+TblMili[[#This Row],[Release Draft]]</f>
        <v>7333</v>
      </c>
      <c r="D107" s="69" t="n">
        <f aca="false">TblMili[[#This Row],[Military]]</f>
        <v>5606</v>
      </c>
      <c r="E107" s="69" t="n">
        <f aca="false">TblMili[[#This Row],[Draftees]]</f>
        <v>2382</v>
      </c>
      <c r="F107" s="69" t="n">
        <f aca="false">TblPop[[#This Row],[Peasants]]+TblPop[[#This Row],[Military]]</f>
        <v>12939</v>
      </c>
      <c r="G107" s="130" t="n">
        <f aca="false">TblPop[[#This Row],[Military]]/TblPop[[#This Row],[Total]]</f>
        <v>0.433263776180539</v>
      </c>
      <c r="H107" s="95" t="n">
        <f aca="false">MIN(TblPop[[#This Row],[Peasants]],TblPop[[#This Row],[Jobs]])</f>
        <v>7333</v>
      </c>
      <c r="I107" s="130" t="n">
        <f aca="false">MIN(OFFSET(TblPop[[#This Row],[Jobs]],1,0)/TblPop[[#This Row],[Peasants]],1)</f>
        <v>1</v>
      </c>
      <c r="J107" s="95" t="n">
        <f aca="false">SUM(TblConstr[[#This Row],[Tot Alc]:[Tot GT]],TblConstr[[#This Row],[Tot Shr]:[Tot Doc]],TblConstr[[#This Row],[Dest Alc]:[Dest GT]],TblConstr[[#This Row],[Dest Shr]:[Dest Doc]])*building_employment + TblConstr[[#This Row],[Tot Fac]]*bonus_jobs_facts</f>
        <v>12200</v>
      </c>
      <c r="K107" s="131"/>
      <c r="L107" s="33" t="n">
        <f aca="false">TblPop[[#This Row],[Draftees]]</f>
        <v>2382</v>
      </c>
      <c r="M107" s="33" t="n">
        <f aca="false">TblMili[[#This Row],[Unit 1]]</f>
        <v>0</v>
      </c>
      <c r="N107" s="33" t="n">
        <f aca="false">TblMili[[#This Row],[Unit 2]]</f>
        <v>1246</v>
      </c>
      <c r="O107" s="33" t="n">
        <f aca="false">TblMili[[#This Row],[Unit 3]]</f>
        <v>700</v>
      </c>
      <c r="P107" s="33" t="n">
        <f aca="false">TblMili[[#This Row],[Unit 4]]</f>
        <v>1228</v>
      </c>
      <c r="Q107" s="33" t="n">
        <f aca="false">TblMili[[#This Row],[Spies]]</f>
        <v>25</v>
      </c>
      <c r="R107" s="33" t="n">
        <f aca="false">TblMili[[#This Row],[Wizards]]</f>
        <v>25</v>
      </c>
      <c r="S107" s="33" t="n">
        <f aca="false">TblMili[[#This Row],[Archmages]]</f>
        <v>0</v>
      </c>
      <c r="T107" s="132"/>
      <c r="U107" s="69" t="n">
        <f aca="false">ROUND(TblPop[[#This Row],[Raw max]]*(1+TblPop[[#This Row],[Max pop]]),0)+MIN(TblPop[[#This Row],[Military]]-TblPop[[#This Row],[Draftees]]-SUM(TblMili[[#This Row],[Train Unit 1]:[Train AM]]),(barracks_size + tech_8_3*TblTech[[#This Row],[8-3]])*TblConstr[[#This Row],[Tot Bar]])</f>
        <v>12939</v>
      </c>
      <c r="V10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7" s="69" t="n">
        <f aca="false">MAX(-5%*TblPop[[#This Row],[Peasants]]-TblPop[[#This Row],[Draft Growth]],MIN(OFFSET(TblPop[[#This Row],[Net max]],1,0)-TblPop[[#This Row],[Peasants]]-TblPop[[#This Row],[Military]]-TblPop[[#This Row],[Draft Growth]],TblPop[[#This Row],[Modded Birth]]-TblPop[[#This Row],[Draft Growth]]))</f>
        <v>-73</v>
      </c>
      <c r="X107" s="69" t="n">
        <f aca="false">ROUND(TblPop[[#This Row],[Raw Birth]]*(1+TblPop[[#This Row],[Growth]]),0)</f>
        <v>306</v>
      </c>
      <c r="Y107" s="69" t="n">
        <f aca="false">(TblPop[[#This Row],[Peasants]]-TblPop[[#This Row],[Draft Growth]])*raw_pop_growth</f>
        <v>217.8</v>
      </c>
      <c r="Z107" s="69" t="n">
        <f aca="false">IF(TblPop[[#This Row],[Military%]]&lt;TblMili[[#This Row],[Draftrate]],ROUND(TblPop[[#This Row],[Peasants]]*Constants!$B$55,0), 0)</f>
        <v>73</v>
      </c>
      <c r="AA107" s="132"/>
      <c r="AB107" s="109" t="n">
        <f aca="false">Overview!$I$16 + IF(Magic!AE107&gt;0,Constants!$F$78) + ROUND(6*(Construction!BM108+Construction!CK107)/IF(Explore!S108&gt;0,Construction!F108-20,Construction!F108),4) + tech_6_5_2*Techs!BJ107 + tech_8_4*Techs!BT107</f>
        <v>0.4029</v>
      </c>
      <c r="AC107" s="130" t="n">
        <f aca="false">(Overview!$I$15 + Imps!Z107+ tech_2_5*Techs!AB107 + tech_3_6*Techs!AM107 + tech_6_1*Techs!BJ107 + tech_6_5*Techs!BF107 + tech_7_3_2*Techs!BN107) * (1 + Production!O107/100*prestige_pop_multiplier) + Production!O107/100*prestige_pop_multiplier</f>
        <v>0.07625</v>
      </c>
    </row>
    <row r="108" customFormat="false" ht="12.75" hidden="false" customHeight="false" outlineLevel="0" collapsed="false">
      <c r="A108" s="128" t="n">
        <f aca="false">TblRezone[[#This Row],[Hour]]</f>
        <v>105</v>
      </c>
      <c r="B108" s="129" t="n">
        <f aca="false">TblImps[[#This Row],[Time]]</f>
        <v>45434.0833333333</v>
      </c>
      <c r="C108" s="69" t="n">
        <f aca="false">OFFSET(TblPop[[#This Row],[Peasants]],-1,0)+OFFSET(TblPop[[#This Row],[Net Peasant]],-1,0)+TblMili[[#This Row],[Release Draft]]</f>
        <v>7260</v>
      </c>
      <c r="D108" s="69" t="n">
        <f aca="false">TblMili[[#This Row],[Military]]</f>
        <v>5679</v>
      </c>
      <c r="E108" s="69" t="n">
        <f aca="false">TblMili[[#This Row],[Draftees]]</f>
        <v>2455</v>
      </c>
      <c r="F108" s="69" t="n">
        <f aca="false">TblPop[[#This Row],[Peasants]]+TblPop[[#This Row],[Military]]</f>
        <v>12939</v>
      </c>
      <c r="G108" s="130" t="n">
        <f aca="false">TblPop[[#This Row],[Military]]/TblPop[[#This Row],[Total]]</f>
        <v>0.438905634129376</v>
      </c>
      <c r="H108" s="95" t="n">
        <f aca="false">MIN(TblPop[[#This Row],[Peasants]],TblPop[[#This Row],[Jobs]])</f>
        <v>7260</v>
      </c>
      <c r="I108" s="130" t="n">
        <f aca="false">MIN(OFFSET(TblPop[[#This Row],[Jobs]],1,0)/TblPop[[#This Row],[Peasants]],1)</f>
        <v>1</v>
      </c>
      <c r="J108" s="95" t="n">
        <f aca="false">SUM(TblConstr[[#This Row],[Tot Alc]:[Tot GT]],TblConstr[[#This Row],[Tot Shr]:[Tot Doc]],TblConstr[[#This Row],[Dest Alc]:[Dest GT]],TblConstr[[#This Row],[Dest Shr]:[Dest Doc]])*building_employment + TblConstr[[#This Row],[Tot Fac]]*bonus_jobs_facts</f>
        <v>12200</v>
      </c>
      <c r="K108" s="131"/>
      <c r="L108" s="33" t="n">
        <f aca="false">TblPop[[#This Row],[Draftees]]</f>
        <v>2455</v>
      </c>
      <c r="M108" s="33" t="n">
        <f aca="false">TblMili[[#This Row],[Unit 1]]</f>
        <v>0</v>
      </c>
      <c r="N108" s="33" t="n">
        <f aca="false">TblMili[[#This Row],[Unit 2]]</f>
        <v>1246</v>
      </c>
      <c r="O108" s="33" t="n">
        <f aca="false">TblMili[[#This Row],[Unit 3]]</f>
        <v>700</v>
      </c>
      <c r="P108" s="33" t="n">
        <f aca="false">TblMili[[#This Row],[Unit 4]]</f>
        <v>1228</v>
      </c>
      <c r="Q108" s="33" t="n">
        <f aca="false">TblMili[[#This Row],[Spies]]</f>
        <v>25</v>
      </c>
      <c r="R108" s="33" t="n">
        <f aca="false">TblMili[[#This Row],[Wizards]]</f>
        <v>25</v>
      </c>
      <c r="S108" s="33" t="n">
        <f aca="false">TblMili[[#This Row],[Archmages]]</f>
        <v>0</v>
      </c>
      <c r="T108" s="132"/>
      <c r="U108" s="69" t="n">
        <f aca="false">ROUND(TblPop[[#This Row],[Raw max]]*(1+TblPop[[#This Row],[Max pop]]),0)+MIN(TblPop[[#This Row],[Military]]-TblPop[[#This Row],[Draftees]]-SUM(TblMili[[#This Row],[Train Unit 1]:[Train AM]]),(barracks_size + tech_8_3*TblTech[[#This Row],[8-3]])*TblConstr[[#This Row],[Tot Bar]])</f>
        <v>12939</v>
      </c>
      <c r="V10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8" s="69" t="n">
        <f aca="false">MAX(-5%*TblPop[[#This Row],[Peasants]]-TblPop[[#This Row],[Draft Growth]],MIN(OFFSET(TblPop[[#This Row],[Net max]],1,0)-TblPop[[#This Row],[Peasants]]-TblPop[[#This Row],[Military]]-TblPop[[#This Row],[Draft Growth]],TblPop[[#This Row],[Modded Birth]]-TblPop[[#This Row],[Draft Growth]]))</f>
        <v>-73</v>
      </c>
      <c r="X108" s="69" t="n">
        <f aca="false">ROUND(TblPop[[#This Row],[Raw Birth]]*(1+TblPop[[#This Row],[Growth]]),0)</f>
        <v>302</v>
      </c>
      <c r="Y108" s="69" t="n">
        <f aca="false">(TblPop[[#This Row],[Peasants]]-TblPop[[#This Row],[Draft Growth]])*raw_pop_growth</f>
        <v>215.61</v>
      </c>
      <c r="Z108" s="69" t="n">
        <f aca="false">IF(TblPop[[#This Row],[Military%]]&lt;TblMili[[#This Row],[Draftrate]],ROUND(TblPop[[#This Row],[Peasants]]*Constants!$B$55,0), 0)</f>
        <v>73</v>
      </c>
      <c r="AA108" s="132"/>
      <c r="AB108" s="109" t="n">
        <f aca="false">Overview!$I$16 + IF(Magic!AE108&gt;0,Constants!$F$78) + ROUND(6*(Construction!BM109+Construction!CK108)/IF(Explore!S109&gt;0,Construction!F109-20,Construction!F109),4) + tech_6_5_2*Techs!BJ108 + tech_8_4*Techs!BT108</f>
        <v>0.4029</v>
      </c>
      <c r="AC108" s="130" t="n">
        <f aca="false">(Overview!$I$15 + Imps!Z108+ tech_2_5*Techs!AB108 + tech_3_6*Techs!AM108 + tech_6_1*Techs!BJ108 + tech_6_5*Techs!BF108 + tech_7_3_2*Techs!BN108) * (1 + Production!O108/100*prestige_pop_multiplier) + Production!O108/100*prestige_pop_multiplier</f>
        <v>0.07625</v>
      </c>
    </row>
    <row r="109" customFormat="false" ht="12.75" hidden="false" customHeight="false" outlineLevel="0" collapsed="false">
      <c r="A109" s="128" t="n">
        <f aca="false">TblRezone[[#This Row],[Hour]]</f>
        <v>106</v>
      </c>
      <c r="B109" s="129" t="n">
        <f aca="false">TblImps[[#This Row],[Time]]</f>
        <v>45434.125</v>
      </c>
      <c r="C109" s="69" t="n">
        <f aca="false">OFFSET(TblPop[[#This Row],[Peasants]],-1,0)+OFFSET(TblPop[[#This Row],[Net Peasant]],-1,0)+TblMili[[#This Row],[Release Draft]]</f>
        <v>7187</v>
      </c>
      <c r="D109" s="69" t="n">
        <f aca="false">TblMili[[#This Row],[Military]]</f>
        <v>5752</v>
      </c>
      <c r="E109" s="69" t="n">
        <f aca="false">TblMili[[#This Row],[Draftees]]</f>
        <v>2528</v>
      </c>
      <c r="F109" s="69" t="n">
        <f aca="false">TblPop[[#This Row],[Peasants]]+TblPop[[#This Row],[Military]]</f>
        <v>12939</v>
      </c>
      <c r="G109" s="130" t="n">
        <f aca="false">TblPop[[#This Row],[Military]]/TblPop[[#This Row],[Total]]</f>
        <v>0.444547492078213</v>
      </c>
      <c r="H109" s="95" t="n">
        <f aca="false">MIN(TblPop[[#This Row],[Peasants]],TblPop[[#This Row],[Jobs]])</f>
        <v>7187</v>
      </c>
      <c r="I109" s="130" t="n">
        <f aca="false">MIN(OFFSET(TblPop[[#This Row],[Jobs]],1,0)/TblPop[[#This Row],[Peasants]],1)</f>
        <v>1</v>
      </c>
      <c r="J109" s="95" t="n">
        <f aca="false">SUM(TblConstr[[#This Row],[Tot Alc]:[Tot GT]],TblConstr[[#This Row],[Tot Shr]:[Tot Doc]],TblConstr[[#This Row],[Dest Alc]:[Dest GT]],TblConstr[[#This Row],[Dest Shr]:[Dest Doc]])*building_employment + TblConstr[[#This Row],[Tot Fac]]*bonus_jobs_facts</f>
        <v>12200</v>
      </c>
      <c r="K109" s="131"/>
      <c r="L109" s="33" t="n">
        <f aca="false">TblPop[[#This Row],[Draftees]]</f>
        <v>2528</v>
      </c>
      <c r="M109" s="33" t="n">
        <f aca="false">TblMili[[#This Row],[Unit 1]]</f>
        <v>0</v>
      </c>
      <c r="N109" s="33" t="n">
        <f aca="false">TblMili[[#This Row],[Unit 2]]</f>
        <v>1246</v>
      </c>
      <c r="O109" s="33" t="n">
        <f aca="false">TblMili[[#This Row],[Unit 3]]</f>
        <v>700</v>
      </c>
      <c r="P109" s="33" t="n">
        <f aca="false">TblMili[[#This Row],[Unit 4]]</f>
        <v>1228</v>
      </c>
      <c r="Q109" s="33" t="n">
        <f aca="false">TblMili[[#This Row],[Spies]]</f>
        <v>25</v>
      </c>
      <c r="R109" s="33" t="n">
        <f aca="false">TblMili[[#This Row],[Wizards]]</f>
        <v>25</v>
      </c>
      <c r="S109" s="33" t="n">
        <f aca="false">TblMili[[#This Row],[Archmages]]</f>
        <v>0</v>
      </c>
      <c r="T109" s="132"/>
      <c r="U109" s="69" t="n">
        <f aca="false">ROUND(TblPop[[#This Row],[Raw max]]*(1+TblPop[[#This Row],[Max pop]]),0)+MIN(TblPop[[#This Row],[Military]]-TblPop[[#This Row],[Draftees]]-SUM(TblMili[[#This Row],[Train Unit 1]:[Train AM]]),(barracks_size + tech_8_3*TblTech[[#This Row],[8-3]])*TblConstr[[#This Row],[Tot Bar]])</f>
        <v>12939</v>
      </c>
      <c r="V10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9" s="69" t="n">
        <f aca="false">MAX(-5%*TblPop[[#This Row],[Peasants]]-TblPop[[#This Row],[Draft Growth]],MIN(OFFSET(TblPop[[#This Row],[Net max]],1,0)-TblPop[[#This Row],[Peasants]]-TblPop[[#This Row],[Military]]-TblPop[[#This Row],[Draft Growth]],TblPop[[#This Row],[Modded Birth]]-TblPop[[#This Row],[Draft Growth]]))</f>
        <v>-72</v>
      </c>
      <c r="X109" s="69" t="n">
        <f aca="false">ROUND(TblPop[[#This Row],[Raw Birth]]*(1+TblPop[[#This Row],[Growth]]),0)</f>
        <v>299</v>
      </c>
      <c r="Y109" s="69" t="n">
        <f aca="false">(TblPop[[#This Row],[Peasants]]-TblPop[[#This Row],[Draft Growth]])*raw_pop_growth</f>
        <v>213.45</v>
      </c>
      <c r="Z109" s="69" t="n">
        <f aca="false">IF(TblPop[[#This Row],[Military%]]&lt;TblMili[[#This Row],[Draftrate]],ROUND(TblPop[[#This Row],[Peasants]]*Constants!$B$55,0), 0)</f>
        <v>72</v>
      </c>
      <c r="AA109" s="132"/>
      <c r="AB109" s="109" t="n">
        <f aca="false">Overview!$I$16 + IF(Magic!AE109&gt;0,Constants!$F$78) + ROUND(6*(Construction!BM110+Construction!CK109)/IF(Explore!S110&gt;0,Construction!F110-20,Construction!F110),4) + tech_6_5_2*Techs!BJ109 + tech_8_4*Techs!BT109</f>
        <v>0.4029</v>
      </c>
      <c r="AC109" s="130" t="n">
        <f aca="false">(Overview!$I$15 + Imps!Z109+ tech_2_5*Techs!AB109 + tech_3_6*Techs!AM109 + tech_6_1*Techs!BJ109 + tech_6_5*Techs!BF109 + tech_7_3_2*Techs!BN109) * (1 + Production!O109/100*prestige_pop_multiplier) + Production!O109/100*prestige_pop_multiplier</f>
        <v>0.07625</v>
      </c>
    </row>
    <row r="110" customFormat="false" ht="12.75" hidden="false" customHeight="false" outlineLevel="0" collapsed="false">
      <c r="A110" s="128" t="n">
        <f aca="false">TblRezone[[#This Row],[Hour]]</f>
        <v>107</v>
      </c>
      <c r="B110" s="129" t="n">
        <f aca="false">TblImps[[#This Row],[Time]]</f>
        <v>45434.1666666667</v>
      </c>
      <c r="C110" s="69" t="n">
        <f aca="false">OFFSET(TblPop[[#This Row],[Peasants]],-1,0)+OFFSET(TblPop[[#This Row],[Net Peasant]],-1,0)+TblMili[[#This Row],[Release Draft]]</f>
        <v>7115</v>
      </c>
      <c r="D110" s="69" t="n">
        <f aca="false">TblMili[[#This Row],[Military]]</f>
        <v>5824</v>
      </c>
      <c r="E110" s="69" t="n">
        <f aca="false">TblMili[[#This Row],[Draftees]]</f>
        <v>2600</v>
      </c>
      <c r="F110" s="69" t="n">
        <f aca="false">TblPop[[#This Row],[Peasants]]+TblPop[[#This Row],[Military]]</f>
        <v>12939</v>
      </c>
      <c r="G110" s="130" t="n">
        <f aca="false">TblPop[[#This Row],[Military]]/TblPop[[#This Row],[Total]]</f>
        <v>0.450112064301723</v>
      </c>
      <c r="H110" s="95" t="n">
        <f aca="false">MIN(TblPop[[#This Row],[Peasants]],TblPop[[#This Row],[Jobs]])</f>
        <v>7115</v>
      </c>
      <c r="I110" s="130" t="n">
        <f aca="false">MIN(OFFSET(TblPop[[#This Row],[Jobs]],1,0)/TblPop[[#This Row],[Peasants]],1)</f>
        <v>1</v>
      </c>
      <c r="J110" s="95" t="n">
        <f aca="false">SUM(TblConstr[[#This Row],[Tot Alc]:[Tot GT]],TblConstr[[#This Row],[Tot Shr]:[Tot Doc]],TblConstr[[#This Row],[Dest Alc]:[Dest GT]],TblConstr[[#This Row],[Dest Shr]:[Dest Doc]])*building_employment + TblConstr[[#This Row],[Tot Fac]]*bonus_jobs_facts</f>
        <v>12200</v>
      </c>
      <c r="K110" s="131"/>
      <c r="L110" s="33" t="n">
        <f aca="false">TblPop[[#This Row],[Draftees]]</f>
        <v>2600</v>
      </c>
      <c r="M110" s="33" t="n">
        <f aca="false">TblMili[[#This Row],[Unit 1]]</f>
        <v>0</v>
      </c>
      <c r="N110" s="33" t="n">
        <f aca="false">TblMili[[#This Row],[Unit 2]]</f>
        <v>1246</v>
      </c>
      <c r="O110" s="33" t="n">
        <f aca="false">TblMili[[#This Row],[Unit 3]]</f>
        <v>700</v>
      </c>
      <c r="P110" s="33" t="n">
        <f aca="false">TblMili[[#This Row],[Unit 4]]</f>
        <v>1228</v>
      </c>
      <c r="Q110" s="33" t="n">
        <f aca="false">TblMili[[#This Row],[Spies]]</f>
        <v>25</v>
      </c>
      <c r="R110" s="33" t="n">
        <f aca="false">TblMili[[#This Row],[Wizards]]</f>
        <v>25</v>
      </c>
      <c r="S110" s="33" t="n">
        <f aca="false">TblMili[[#This Row],[Archmages]]</f>
        <v>0</v>
      </c>
      <c r="T110" s="132"/>
      <c r="U110" s="69" t="n">
        <f aca="false">ROUND(TblPop[[#This Row],[Raw max]]*(1+TblPop[[#This Row],[Max pop]]),0)+MIN(TblPop[[#This Row],[Military]]-TblPop[[#This Row],[Draftees]]-SUM(TblMili[[#This Row],[Train Unit 1]:[Train AM]]),(barracks_size + tech_8_3*TblTech[[#This Row],[8-3]])*TblConstr[[#This Row],[Tot Bar]])</f>
        <v>12939</v>
      </c>
      <c r="V11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0" s="69" t="n">
        <f aca="false">MAX(-5%*TblPop[[#This Row],[Peasants]]-TblPop[[#This Row],[Draft Growth]],MIN(OFFSET(TblPop[[#This Row],[Net max]],1,0)-TblPop[[#This Row],[Peasants]]-TblPop[[#This Row],[Military]]-TblPop[[#This Row],[Draft Growth]],TblPop[[#This Row],[Modded Birth]]-TblPop[[#This Row],[Draft Growth]]))</f>
        <v>-71</v>
      </c>
      <c r="X110" s="69" t="n">
        <f aca="false">ROUND(TblPop[[#This Row],[Raw Birth]]*(1+TblPop[[#This Row],[Growth]]),0)</f>
        <v>296</v>
      </c>
      <c r="Y110" s="69" t="n">
        <f aca="false">(TblPop[[#This Row],[Peasants]]-TblPop[[#This Row],[Draft Growth]])*raw_pop_growth</f>
        <v>211.32</v>
      </c>
      <c r="Z110" s="69" t="n">
        <f aca="false">IF(TblPop[[#This Row],[Military%]]&lt;TblMili[[#This Row],[Draftrate]],ROUND(TblPop[[#This Row],[Peasants]]*Constants!$B$55,0), 0)</f>
        <v>71</v>
      </c>
      <c r="AA110" s="132"/>
      <c r="AB110" s="109" t="n">
        <f aca="false">Overview!$I$16 + IF(Magic!AE110&gt;0,Constants!$F$78) + ROUND(6*(Construction!BM111+Construction!CK110)/IF(Explore!S111&gt;0,Construction!F111-20,Construction!F111),4) + tech_6_5_2*Techs!BJ110 + tech_8_4*Techs!BT110</f>
        <v>0.4029</v>
      </c>
      <c r="AC110" s="130" t="n">
        <f aca="false">(Overview!$I$15 + Imps!Z110+ tech_2_5*Techs!AB110 + tech_3_6*Techs!AM110 + tech_6_1*Techs!BJ110 + tech_6_5*Techs!BF110 + tech_7_3_2*Techs!BN110) * (1 + Production!O110/100*prestige_pop_multiplier) + Production!O110/100*prestige_pop_multiplier</f>
        <v>0.07625</v>
      </c>
    </row>
    <row r="111" customFormat="false" ht="13.5" hidden="false" customHeight="true" outlineLevel="0" collapsed="false">
      <c r="A111" s="128" t="n">
        <f aca="false">TblRezone[[#This Row],[Hour]]</f>
        <v>108</v>
      </c>
      <c r="B111" s="129" t="n">
        <f aca="false">TblImps[[#This Row],[Time]]</f>
        <v>45434.2083333333</v>
      </c>
      <c r="C111" s="69" t="n">
        <f aca="false">OFFSET(TblPop[[#This Row],[Peasants]],-1,0)+OFFSET(TblPop[[#This Row],[Net Peasant]],-1,0)+TblMili[[#This Row],[Release Draft]]</f>
        <v>7044</v>
      </c>
      <c r="D111" s="69" t="n">
        <f aca="false">TblMili[[#This Row],[Military]]</f>
        <v>5895</v>
      </c>
      <c r="E111" s="69" t="n">
        <f aca="false">TblMili[[#This Row],[Draftees]]</f>
        <v>2671</v>
      </c>
      <c r="F111" s="69" t="n">
        <f aca="false">TblPop[[#This Row],[Peasants]]+TblPop[[#This Row],[Military]]</f>
        <v>12939</v>
      </c>
      <c r="G111" s="130" t="n">
        <f aca="false">TblPop[[#This Row],[Military]]/TblPop[[#This Row],[Total]]</f>
        <v>0.455599350799907</v>
      </c>
      <c r="H111" s="95" t="n">
        <f aca="false">MIN(TblPop[[#This Row],[Peasants]],TblPop[[#This Row],[Jobs]])</f>
        <v>7044</v>
      </c>
      <c r="I111" s="130" t="n">
        <f aca="false">MIN(OFFSET(TblPop[[#This Row],[Jobs]],1,0)/TblPop[[#This Row],[Peasants]],1)</f>
        <v>1</v>
      </c>
      <c r="J111" s="95" t="n">
        <f aca="false">SUM(TblConstr[[#This Row],[Tot Alc]:[Tot GT]],TblConstr[[#This Row],[Tot Shr]:[Tot Doc]],TblConstr[[#This Row],[Dest Alc]:[Dest GT]],TblConstr[[#This Row],[Dest Shr]:[Dest Doc]])*building_employment + TblConstr[[#This Row],[Tot Fac]]*bonus_jobs_facts</f>
        <v>12200</v>
      </c>
      <c r="K111" s="131"/>
      <c r="L111" s="33" t="n">
        <f aca="false">TblPop[[#This Row],[Draftees]]</f>
        <v>2671</v>
      </c>
      <c r="M111" s="33" t="n">
        <f aca="false">TblMili[[#This Row],[Unit 1]]</f>
        <v>0</v>
      </c>
      <c r="N111" s="33" t="n">
        <f aca="false">TblMili[[#This Row],[Unit 2]]</f>
        <v>1246</v>
      </c>
      <c r="O111" s="33" t="n">
        <f aca="false">TblMili[[#This Row],[Unit 3]]</f>
        <v>700</v>
      </c>
      <c r="P111" s="33" t="n">
        <f aca="false">TblMili[[#This Row],[Unit 4]]</f>
        <v>1228</v>
      </c>
      <c r="Q111" s="33" t="n">
        <f aca="false">TblMili[[#This Row],[Spies]]</f>
        <v>25</v>
      </c>
      <c r="R111" s="33" t="n">
        <f aca="false">TblMili[[#This Row],[Wizards]]</f>
        <v>25</v>
      </c>
      <c r="S111" s="33" t="n">
        <f aca="false">TblMili[[#This Row],[Archmages]]</f>
        <v>0</v>
      </c>
      <c r="T111" s="132"/>
      <c r="U111" s="69" t="n">
        <f aca="false">ROUND(TblPop[[#This Row],[Raw max]]*(1+TblPop[[#This Row],[Max pop]]),0)+MIN(TblPop[[#This Row],[Military]]-TblPop[[#This Row],[Draftees]]-SUM(TblMili[[#This Row],[Train Unit 1]:[Train AM]]),(barracks_size + tech_8_3*TblTech[[#This Row],[8-3]])*TblConstr[[#This Row],[Tot Bar]])</f>
        <v>12939</v>
      </c>
      <c r="V11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1" s="69" t="n">
        <f aca="false">MAX(-5%*TblPop[[#This Row],[Peasants]]-TblPop[[#This Row],[Draft Growth]],MIN(OFFSET(TblPop[[#This Row],[Net max]],1,0)-TblPop[[#This Row],[Peasants]]-TblPop[[#This Row],[Military]]-TblPop[[#This Row],[Draft Growth]],TblPop[[#This Row],[Modded Birth]]-TblPop[[#This Row],[Draft Growth]]))</f>
        <v>-70</v>
      </c>
      <c r="X111" s="69" t="n">
        <f aca="false">ROUND(TblPop[[#This Row],[Raw Birth]]*(1+TblPop[[#This Row],[Growth]]),0)</f>
        <v>294</v>
      </c>
      <c r="Y111" s="69" t="n">
        <f aca="false">(TblPop[[#This Row],[Peasants]]-TblPop[[#This Row],[Draft Growth]])*raw_pop_growth</f>
        <v>209.22</v>
      </c>
      <c r="Z111" s="69" t="n">
        <f aca="false">IF(TblPop[[#This Row],[Military%]]&lt;TblMili[[#This Row],[Draftrate]],ROUND(TblPop[[#This Row],[Peasants]]*Constants!$B$55,0), 0)</f>
        <v>70</v>
      </c>
      <c r="AA111" s="132"/>
      <c r="AB111" s="109" t="n">
        <f aca="false">Overview!$I$16 + IF(Magic!AE111&gt;0,Constants!$F$78) + ROUND(6*(Construction!BM112+Construction!CK111)/IF(Explore!S112&gt;0,Construction!F112-20,Construction!F112),4) + tech_6_5_2*Techs!BJ111 + tech_8_4*Techs!BT111</f>
        <v>0.4029</v>
      </c>
      <c r="AC111" s="130" t="n">
        <f aca="false">(Overview!$I$15 + Imps!Z111+ tech_2_5*Techs!AB111 + tech_3_6*Techs!AM111 + tech_6_1*Techs!BJ111 + tech_6_5*Techs!BF111 + tech_7_3_2*Techs!BN111) * (1 + Production!O111/100*prestige_pop_multiplier) + Production!O111/100*prestige_pop_multiplier</f>
        <v>0.07625</v>
      </c>
    </row>
    <row r="112" customFormat="false" ht="12.75" hidden="false" customHeight="false" outlineLevel="0" collapsed="false">
      <c r="A112" s="128" t="n">
        <f aca="false">TblRezone[[#This Row],[Hour]]</f>
        <v>109</v>
      </c>
      <c r="B112" s="129" t="n">
        <f aca="false">TblImps[[#This Row],[Time]]</f>
        <v>45434.25</v>
      </c>
      <c r="C112" s="69" t="n">
        <f aca="false">OFFSET(TblPop[[#This Row],[Peasants]],-1,0)+OFFSET(TblPop[[#This Row],[Net Peasant]],-1,0)+TblMili[[#This Row],[Release Draft]]</f>
        <v>6974</v>
      </c>
      <c r="D112" s="69" t="n">
        <f aca="false">TblMili[[#This Row],[Military]]</f>
        <v>5965</v>
      </c>
      <c r="E112" s="69" t="n">
        <f aca="false">TblMili[[#This Row],[Draftees]]</f>
        <v>2741</v>
      </c>
      <c r="F112" s="69" t="n">
        <f aca="false">TblPop[[#This Row],[Peasants]]+TblPop[[#This Row],[Military]]</f>
        <v>12939</v>
      </c>
      <c r="G112" s="130" t="n">
        <f aca="false">TblPop[[#This Row],[Military]]/TblPop[[#This Row],[Total]]</f>
        <v>0.461009351572765</v>
      </c>
      <c r="H112" s="95" t="n">
        <f aca="false">MIN(TblPop[[#This Row],[Peasants]],TblPop[[#This Row],[Jobs]])</f>
        <v>6974</v>
      </c>
      <c r="I112" s="130" t="n">
        <f aca="false">MIN(OFFSET(TblPop[[#This Row],[Jobs]],1,0)/TblPop[[#This Row],[Peasants]],1)</f>
        <v>1</v>
      </c>
      <c r="J112" s="95" t="n">
        <f aca="false">SUM(TblConstr[[#This Row],[Tot Alc]:[Tot GT]],TblConstr[[#This Row],[Tot Shr]:[Tot Doc]],TblConstr[[#This Row],[Dest Alc]:[Dest GT]],TblConstr[[#This Row],[Dest Shr]:[Dest Doc]])*building_employment + TblConstr[[#This Row],[Tot Fac]]*bonus_jobs_facts</f>
        <v>12200</v>
      </c>
      <c r="K112" s="131"/>
      <c r="L112" s="33" t="n">
        <f aca="false">TblPop[[#This Row],[Draftees]]</f>
        <v>2741</v>
      </c>
      <c r="M112" s="33" t="n">
        <f aca="false">TblMili[[#This Row],[Unit 1]]</f>
        <v>0</v>
      </c>
      <c r="N112" s="33" t="n">
        <f aca="false">TblMili[[#This Row],[Unit 2]]</f>
        <v>1246</v>
      </c>
      <c r="O112" s="33" t="n">
        <f aca="false">TblMili[[#This Row],[Unit 3]]</f>
        <v>700</v>
      </c>
      <c r="P112" s="33" t="n">
        <f aca="false">TblMili[[#This Row],[Unit 4]]</f>
        <v>1228</v>
      </c>
      <c r="Q112" s="33" t="n">
        <f aca="false">TblMili[[#This Row],[Spies]]</f>
        <v>25</v>
      </c>
      <c r="R112" s="33" t="n">
        <f aca="false">TblMili[[#This Row],[Wizards]]</f>
        <v>25</v>
      </c>
      <c r="S112" s="33" t="n">
        <f aca="false">TblMili[[#This Row],[Archmages]]</f>
        <v>0</v>
      </c>
      <c r="T112" s="132"/>
      <c r="U112" s="69" t="n">
        <f aca="false">ROUND(TblPop[[#This Row],[Raw max]]*(1+TblPop[[#This Row],[Max pop]]),0)+MIN(TblPop[[#This Row],[Military]]-TblPop[[#This Row],[Draftees]]-SUM(TblMili[[#This Row],[Train Unit 1]:[Train AM]]),(barracks_size + tech_8_3*TblTech[[#This Row],[8-3]])*TblConstr[[#This Row],[Tot Bar]])</f>
        <v>12939</v>
      </c>
      <c r="V11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2" s="69" t="n">
        <f aca="false">MAX(-5%*TblPop[[#This Row],[Peasants]]-TblPop[[#This Row],[Draft Growth]],MIN(OFFSET(TblPop[[#This Row],[Net max]],1,0)-TblPop[[#This Row],[Peasants]]-TblPop[[#This Row],[Military]]-TblPop[[#This Row],[Draft Growth]],TblPop[[#This Row],[Modded Birth]]-TblPop[[#This Row],[Draft Growth]]))</f>
        <v>-70</v>
      </c>
      <c r="X112" s="69" t="n">
        <f aca="false">ROUND(TblPop[[#This Row],[Raw Birth]]*(1+TblPop[[#This Row],[Growth]]),0)</f>
        <v>291</v>
      </c>
      <c r="Y112" s="69" t="n">
        <f aca="false">(TblPop[[#This Row],[Peasants]]-TblPop[[#This Row],[Draft Growth]])*raw_pop_growth</f>
        <v>207.12</v>
      </c>
      <c r="Z112" s="69" t="n">
        <f aca="false">IF(TblPop[[#This Row],[Military%]]&lt;TblMili[[#This Row],[Draftrate]],ROUND(TblPop[[#This Row],[Peasants]]*Constants!$B$55,0), 0)</f>
        <v>70</v>
      </c>
      <c r="AA112" s="132"/>
      <c r="AB112" s="109" t="n">
        <f aca="false">Overview!$I$16 + IF(Magic!AE112&gt;0,Constants!$F$78) + ROUND(6*(Construction!BM113+Construction!CK112)/IF(Explore!S113&gt;0,Construction!F113-20,Construction!F113),4) + tech_6_5_2*Techs!BJ112 + tech_8_4*Techs!BT112</f>
        <v>0.4029</v>
      </c>
      <c r="AC112" s="130" t="n">
        <f aca="false">(Overview!$I$15 + Imps!Z112+ tech_2_5*Techs!AB112 + tech_3_6*Techs!AM112 + tech_6_1*Techs!BJ112 + tech_6_5*Techs!BF112 + tech_7_3_2*Techs!BN112) * (1 + Production!O112/100*prestige_pop_multiplier) + Production!O112/100*prestige_pop_multiplier</f>
        <v>0.07625</v>
      </c>
    </row>
    <row r="113" customFormat="false" ht="12.75" hidden="false" customHeight="false" outlineLevel="0" collapsed="false">
      <c r="A113" s="128" t="n">
        <f aca="false">TblRezone[[#This Row],[Hour]]</f>
        <v>110</v>
      </c>
      <c r="B113" s="129" t="n">
        <f aca="false">TblImps[[#This Row],[Time]]</f>
        <v>45434.2916666667</v>
      </c>
      <c r="C113" s="69" t="n">
        <f aca="false">OFFSET(TblPop[[#This Row],[Peasants]],-1,0)+OFFSET(TblPop[[#This Row],[Net Peasant]],-1,0)+TblMili[[#This Row],[Release Draft]]</f>
        <v>6904</v>
      </c>
      <c r="D113" s="69" t="n">
        <f aca="false">TblMili[[#This Row],[Military]]</f>
        <v>6035</v>
      </c>
      <c r="E113" s="69" t="n">
        <f aca="false">TblMili[[#This Row],[Draftees]]</f>
        <v>2811</v>
      </c>
      <c r="F113" s="69" t="n">
        <f aca="false">TblPop[[#This Row],[Peasants]]+TblPop[[#This Row],[Military]]</f>
        <v>12939</v>
      </c>
      <c r="G113" s="130" t="n">
        <f aca="false">TblPop[[#This Row],[Military]]/TblPop[[#This Row],[Total]]</f>
        <v>0.466419352345622</v>
      </c>
      <c r="H113" s="95" t="n">
        <f aca="false">MIN(TblPop[[#This Row],[Peasants]],TblPop[[#This Row],[Jobs]])</f>
        <v>6904</v>
      </c>
      <c r="I113" s="130" t="n">
        <f aca="false">MIN(OFFSET(TblPop[[#This Row],[Jobs]],1,0)/TblPop[[#This Row],[Peasants]],1)</f>
        <v>1</v>
      </c>
      <c r="J113" s="95" t="n">
        <f aca="false">SUM(TblConstr[[#This Row],[Tot Alc]:[Tot GT]],TblConstr[[#This Row],[Tot Shr]:[Tot Doc]],TblConstr[[#This Row],[Dest Alc]:[Dest GT]],TblConstr[[#This Row],[Dest Shr]:[Dest Doc]])*building_employment + TblConstr[[#This Row],[Tot Fac]]*bonus_jobs_facts</f>
        <v>12200</v>
      </c>
      <c r="K113" s="131"/>
      <c r="L113" s="33" t="n">
        <f aca="false">TblPop[[#This Row],[Draftees]]</f>
        <v>2811</v>
      </c>
      <c r="M113" s="33" t="n">
        <f aca="false">TblMili[[#This Row],[Unit 1]]</f>
        <v>0</v>
      </c>
      <c r="N113" s="33" t="n">
        <f aca="false">TblMili[[#This Row],[Unit 2]]</f>
        <v>1246</v>
      </c>
      <c r="O113" s="33" t="n">
        <f aca="false">TblMili[[#This Row],[Unit 3]]</f>
        <v>700</v>
      </c>
      <c r="P113" s="33" t="n">
        <f aca="false">TblMili[[#This Row],[Unit 4]]</f>
        <v>1228</v>
      </c>
      <c r="Q113" s="33" t="n">
        <f aca="false">TblMili[[#This Row],[Spies]]</f>
        <v>25</v>
      </c>
      <c r="R113" s="33" t="n">
        <f aca="false">TblMili[[#This Row],[Wizards]]</f>
        <v>25</v>
      </c>
      <c r="S113" s="33" t="n">
        <f aca="false">TblMili[[#This Row],[Archmages]]</f>
        <v>0</v>
      </c>
      <c r="T113" s="132"/>
      <c r="U113" s="69" t="n">
        <f aca="false">ROUND(TblPop[[#This Row],[Raw max]]*(1+TblPop[[#This Row],[Max pop]]),0)+MIN(TblPop[[#This Row],[Military]]-TblPop[[#This Row],[Draftees]]-SUM(TblMili[[#This Row],[Train Unit 1]:[Train AM]]),(barracks_size + tech_8_3*TblTech[[#This Row],[8-3]])*TblConstr[[#This Row],[Tot Bar]])</f>
        <v>12939</v>
      </c>
      <c r="V11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3" s="69" t="n">
        <f aca="false">MAX(-5%*TblPop[[#This Row],[Peasants]]-TblPop[[#This Row],[Draft Growth]],MIN(OFFSET(TblPop[[#This Row],[Net max]],1,0)-TblPop[[#This Row],[Peasants]]-TblPop[[#This Row],[Military]]-TblPop[[#This Row],[Draft Growth]],TblPop[[#This Row],[Modded Birth]]-TblPop[[#This Row],[Draft Growth]]))</f>
        <v>-69</v>
      </c>
      <c r="X113" s="69" t="n">
        <f aca="false">ROUND(TblPop[[#This Row],[Raw Birth]]*(1+TblPop[[#This Row],[Growth]]),0)</f>
        <v>288</v>
      </c>
      <c r="Y113" s="69" t="n">
        <f aca="false">(TblPop[[#This Row],[Peasants]]-TblPop[[#This Row],[Draft Growth]])*raw_pop_growth</f>
        <v>205.05</v>
      </c>
      <c r="Z113" s="69" t="n">
        <f aca="false">IF(TblPop[[#This Row],[Military%]]&lt;TblMili[[#This Row],[Draftrate]],ROUND(TblPop[[#This Row],[Peasants]]*Constants!$B$55,0), 0)</f>
        <v>69</v>
      </c>
      <c r="AA113" s="132"/>
      <c r="AB113" s="109" t="n">
        <f aca="false">Overview!$I$16 + IF(Magic!AE113&gt;0,Constants!$F$78) + ROUND(6*(Construction!BM114+Construction!CK113)/IF(Explore!S114&gt;0,Construction!F114-20,Construction!F114),4) + tech_6_5_2*Techs!BJ113 + tech_8_4*Techs!BT113</f>
        <v>0.4029</v>
      </c>
      <c r="AC113" s="130" t="n">
        <f aca="false">(Overview!$I$15 + Imps!Z113+ tech_2_5*Techs!AB113 + tech_3_6*Techs!AM113 + tech_6_1*Techs!BJ113 + tech_6_5*Techs!BF113 + tech_7_3_2*Techs!BN113) * (1 + Production!O113/100*prestige_pop_multiplier) + Production!O113/100*prestige_pop_multiplier</f>
        <v>0.07625</v>
      </c>
    </row>
    <row r="114" customFormat="false" ht="12.75" hidden="false" customHeight="false" outlineLevel="0" collapsed="false">
      <c r="A114" s="128" t="n">
        <f aca="false">TblRezone[[#This Row],[Hour]]</f>
        <v>111</v>
      </c>
      <c r="B114" s="129" t="n">
        <f aca="false">TblImps[[#This Row],[Time]]</f>
        <v>45434.3333333333</v>
      </c>
      <c r="C114" s="69" t="n">
        <f aca="false">OFFSET(TblPop[[#This Row],[Peasants]],-1,0)+OFFSET(TblPop[[#This Row],[Net Peasant]],-1,0)+TblMili[[#This Row],[Release Draft]]</f>
        <v>6835</v>
      </c>
      <c r="D114" s="69" t="n">
        <f aca="false">TblMili[[#This Row],[Military]]</f>
        <v>6104</v>
      </c>
      <c r="E114" s="69" t="n">
        <f aca="false">TblMili[[#This Row],[Draftees]]</f>
        <v>2880</v>
      </c>
      <c r="F114" s="69" t="n">
        <f aca="false">TblPop[[#This Row],[Peasants]]+TblPop[[#This Row],[Military]]</f>
        <v>12939</v>
      </c>
      <c r="G114" s="130" t="n">
        <f aca="false">TblPop[[#This Row],[Military]]/TblPop[[#This Row],[Total]]</f>
        <v>0.471752067393153</v>
      </c>
      <c r="H114" s="95" t="n">
        <f aca="false">MIN(TblPop[[#This Row],[Peasants]],TblPop[[#This Row],[Jobs]])</f>
        <v>6835</v>
      </c>
      <c r="I114" s="130" t="n">
        <f aca="false">MIN(OFFSET(TblPop[[#This Row],[Jobs]],1,0)/TblPop[[#This Row],[Peasants]],1)</f>
        <v>1</v>
      </c>
      <c r="J114" s="95" t="n">
        <f aca="false">SUM(TblConstr[[#This Row],[Tot Alc]:[Tot GT]],TblConstr[[#This Row],[Tot Shr]:[Tot Doc]],TblConstr[[#This Row],[Dest Alc]:[Dest GT]],TblConstr[[#This Row],[Dest Shr]:[Dest Doc]])*building_employment + TblConstr[[#This Row],[Tot Fac]]*bonus_jobs_facts</f>
        <v>12200</v>
      </c>
      <c r="K114" s="131"/>
      <c r="L114" s="33" t="n">
        <f aca="false">TblPop[[#This Row],[Draftees]]</f>
        <v>2880</v>
      </c>
      <c r="M114" s="33" t="n">
        <f aca="false">TblMili[[#This Row],[Unit 1]]</f>
        <v>0</v>
      </c>
      <c r="N114" s="33" t="n">
        <f aca="false">TblMili[[#This Row],[Unit 2]]</f>
        <v>1246</v>
      </c>
      <c r="O114" s="33" t="n">
        <f aca="false">TblMili[[#This Row],[Unit 3]]</f>
        <v>700</v>
      </c>
      <c r="P114" s="33" t="n">
        <f aca="false">TblMili[[#This Row],[Unit 4]]</f>
        <v>1228</v>
      </c>
      <c r="Q114" s="33" t="n">
        <f aca="false">TblMili[[#This Row],[Spies]]</f>
        <v>25</v>
      </c>
      <c r="R114" s="33" t="n">
        <f aca="false">TblMili[[#This Row],[Wizards]]</f>
        <v>25</v>
      </c>
      <c r="S114" s="33" t="n">
        <f aca="false">TblMili[[#This Row],[Archmages]]</f>
        <v>0</v>
      </c>
      <c r="T114" s="132"/>
      <c r="U114" s="69" t="n">
        <f aca="false">ROUND(TblPop[[#This Row],[Raw max]]*(1+TblPop[[#This Row],[Max pop]]),0)+MIN(TblPop[[#This Row],[Military]]-TblPop[[#This Row],[Draftees]]-SUM(TblMili[[#This Row],[Train Unit 1]:[Train AM]]),(barracks_size + tech_8_3*TblTech[[#This Row],[8-3]])*TblConstr[[#This Row],[Tot Bar]])</f>
        <v>12939</v>
      </c>
      <c r="V11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4" s="69" t="n">
        <f aca="false">MAX(-5%*TblPop[[#This Row],[Peasants]]-TblPop[[#This Row],[Draft Growth]],MIN(OFFSET(TblPop[[#This Row],[Net max]],1,0)-TblPop[[#This Row],[Peasants]]-TblPop[[#This Row],[Military]]-TblPop[[#This Row],[Draft Growth]],TblPop[[#This Row],[Modded Birth]]-TblPop[[#This Row],[Draft Growth]]))</f>
        <v>-68</v>
      </c>
      <c r="X114" s="69" t="n">
        <f aca="false">ROUND(TblPop[[#This Row],[Raw Birth]]*(1+TblPop[[#This Row],[Growth]]),0)</f>
        <v>285</v>
      </c>
      <c r="Y114" s="69" t="n">
        <f aca="false">(TblPop[[#This Row],[Peasants]]-TblPop[[#This Row],[Draft Growth]])*raw_pop_growth</f>
        <v>203.01</v>
      </c>
      <c r="Z114" s="69" t="n">
        <f aca="false">IF(TblPop[[#This Row],[Military%]]&lt;TblMili[[#This Row],[Draftrate]],ROUND(TblPop[[#This Row],[Peasants]]*Constants!$B$55,0), 0)</f>
        <v>68</v>
      </c>
      <c r="AA114" s="132"/>
      <c r="AB114" s="109" t="n">
        <f aca="false">Overview!$I$16 + IF(Magic!AE114&gt;0,Constants!$F$78) + ROUND(6*(Construction!BM115+Construction!CK114)/IF(Explore!S115&gt;0,Construction!F115-20,Construction!F115),4) + tech_6_5_2*Techs!BJ114 + tech_8_4*Techs!BT114</f>
        <v>0.4029</v>
      </c>
      <c r="AC114" s="130" t="n">
        <f aca="false">(Overview!$I$15 + Imps!Z114+ tech_2_5*Techs!AB114 + tech_3_6*Techs!AM114 + tech_6_1*Techs!BJ114 + tech_6_5*Techs!BF114 + tech_7_3_2*Techs!BN114) * (1 + Production!O114/100*prestige_pop_multiplier) + Production!O114/100*prestige_pop_multiplier</f>
        <v>0.07625</v>
      </c>
    </row>
    <row r="115" customFormat="false" ht="12.75" hidden="false" customHeight="false" outlineLevel="0" collapsed="false">
      <c r="A115" s="128" t="n">
        <f aca="false">TblRezone[[#This Row],[Hour]]</f>
        <v>112</v>
      </c>
      <c r="B115" s="129" t="n">
        <f aca="false">TblImps[[#This Row],[Time]]</f>
        <v>45434.375</v>
      </c>
      <c r="C115" s="69" t="n">
        <f aca="false">OFFSET(TblPop[[#This Row],[Peasants]],-1,0)+OFFSET(TblPop[[#This Row],[Net Peasant]],-1,0)+TblMili[[#This Row],[Release Draft]]</f>
        <v>6767</v>
      </c>
      <c r="D115" s="69" t="n">
        <f aca="false">TblMili[[#This Row],[Military]]</f>
        <v>6172</v>
      </c>
      <c r="E115" s="69" t="n">
        <f aca="false">TblMili[[#This Row],[Draftees]]</f>
        <v>2948</v>
      </c>
      <c r="F115" s="69" t="n">
        <f aca="false">TblPop[[#This Row],[Peasants]]+TblPop[[#This Row],[Military]]</f>
        <v>12939</v>
      </c>
      <c r="G115" s="130" t="n">
        <f aca="false">TblPop[[#This Row],[Military]]/TblPop[[#This Row],[Total]]</f>
        <v>0.477007496715357</v>
      </c>
      <c r="H115" s="95" t="n">
        <f aca="false">MIN(TblPop[[#This Row],[Peasants]],TblPop[[#This Row],[Jobs]])</f>
        <v>6767</v>
      </c>
      <c r="I115" s="130" t="n">
        <f aca="false">MIN(OFFSET(TblPop[[#This Row],[Jobs]],1,0)/TblPop[[#This Row],[Peasants]],1)</f>
        <v>1</v>
      </c>
      <c r="J115" s="95" t="n">
        <f aca="false">SUM(TblConstr[[#This Row],[Tot Alc]:[Tot GT]],TblConstr[[#This Row],[Tot Shr]:[Tot Doc]],TblConstr[[#This Row],[Dest Alc]:[Dest GT]],TblConstr[[#This Row],[Dest Shr]:[Dest Doc]])*building_employment + TblConstr[[#This Row],[Tot Fac]]*bonus_jobs_facts</f>
        <v>12200</v>
      </c>
      <c r="K115" s="131"/>
      <c r="L115" s="33" t="n">
        <f aca="false">TblPop[[#This Row],[Draftees]]</f>
        <v>2948</v>
      </c>
      <c r="M115" s="33" t="n">
        <f aca="false">TblMili[[#This Row],[Unit 1]]</f>
        <v>0</v>
      </c>
      <c r="N115" s="33" t="n">
        <f aca="false">TblMili[[#This Row],[Unit 2]]</f>
        <v>1246</v>
      </c>
      <c r="O115" s="33" t="n">
        <f aca="false">TblMili[[#This Row],[Unit 3]]</f>
        <v>700</v>
      </c>
      <c r="P115" s="33" t="n">
        <f aca="false">TblMili[[#This Row],[Unit 4]]</f>
        <v>1228</v>
      </c>
      <c r="Q115" s="33" t="n">
        <f aca="false">TblMili[[#This Row],[Spies]]</f>
        <v>25</v>
      </c>
      <c r="R115" s="33" t="n">
        <f aca="false">TblMili[[#This Row],[Wizards]]</f>
        <v>25</v>
      </c>
      <c r="S115" s="33" t="n">
        <f aca="false">TblMili[[#This Row],[Archmages]]</f>
        <v>0</v>
      </c>
      <c r="T115" s="132"/>
      <c r="U115" s="69" t="n">
        <f aca="false">ROUND(TblPop[[#This Row],[Raw max]]*(1+TblPop[[#This Row],[Max pop]]),0)+MIN(TblPop[[#This Row],[Military]]-TblPop[[#This Row],[Draftees]]-SUM(TblMili[[#This Row],[Train Unit 1]:[Train AM]]),(barracks_size + tech_8_3*TblTech[[#This Row],[8-3]])*TblConstr[[#This Row],[Tot Bar]])</f>
        <v>12939</v>
      </c>
      <c r="V11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5" s="69" t="n">
        <f aca="false">MAX(-5%*TblPop[[#This Row],[Peasants]]-TblPop[[#This Row],[Draft Growth]],MIN(OFFSET(TblPop[[#This Row],[Net max]],1,0)-TblPop[[#This Row],[Peasants]]-TblPop[[#This Row],[Military]]-TblPop[[#This Row],[Draft Growth]],TblPop[[#This Row],[Modded Birth]]-TblPop[[#This Row],[Draft Growth]]))</f>
        <v>-68</v>
      </c>
      <c r="X115" s="69" t="n">
        <f aca="false">ROUND(TblPop[[#This Row],[Raw Birth]]*(1+TblPop[[#This Row],[Growth]]),0)</f>
        <v>282</v>
      </c>
      <c r="Y115" s="69" t="n">
        <f aca="false">(TblPop[[#This Row],[Peasants]]-TblPop[[#This Row],[Draft Growth]])*raw_pop_growth</f>
        <v>200.97</v>
      </c>
      <c r="Z115" s="69" t="n">
        <f aca="false">IF(TblPop[[#This Row],[Military%]]&lt;TblMili[[#This Row],[Draftrate]],ROUND(TblPop[[#This Row],[Peasants]]*Constants!$B$55,0), 0)</f>
        <v>68</v>
      </c>
      <c r="AA115" s="132"/>
      <c r="AB115" s="109" t="n">
        <f aca="false">Overview!$I$16 + IF(Magic!AE115&gt;0,Constants!$F$78) + ROUND(6*(Construction!BM116+Construction!CK115)/IF(Explore!S116&gt;0,Construction!F116-20,Construction!F116),4) + tech_6_5_2*Techs!BJ115 + tech_8_4*Techs!BT115</f>
        <v>0.4029</v>
      </c>
      <c r="AC115" s="130" t="n">
        <f aca="false">(Overview!$I$15 + Imps!Z115+ tech_2_5*Techs!AB115 + tech_3_6*Techs!AM115 + tech_6_1*Techs!BJ115 + tech_6_5*Techs!BF115 + tech_7_3_2*Techs!BN115) * (1 + Production!O115/100*prestige_pop_multiplier) + Production!O115/100*prestige_pop_multiplier</f>
        <v>0.07625</v>
      </c>
    </row>
    <row r="116" customFormat="false" ht="12.75" hidden="false" customHeight="false" outlineLevel="0" collapsed="false">
      <c r="A116" s="128" t="n">
        <f aca="false">TblRezone[[#This Row],[Hour]]</f>
        <v>113</v>
      </c>
      <c r="B116" s="129" t="n">
        <f aca="false">TblImps[[#This Row],[Time]]</f>
        <v>45434.4166666667</v>
      </c>
      <c r="C116" s="69" t="n">
        <f aca="false">OFFSET(TblPop[[#This Row],[Peasants]],-1,0)+OFFSET(TblPop[[#This Row],[Net Peasant]],-1,0)+TblMili[[#This Row],[Release Draft]]</f>
        <v>6699</v>
      </c>
      <c r="D116" s="69" t="n">
        <f aca="false">TblMili[[#This Row],[Military]]</f>
        <v>6240</v>
      </c>
      <c r="E116" s="69" t="n">
        <f aca="false">TblMili[[#This Row],[Draftees]]</f>
        <v>3016</v>
      </c>
      <c r="F116" s="69" t="n">
        <f aca="false">TblPop[[#This Row],[Peasants]]+TblPop[[#This Row],[Military]]</f>
        <v>12939</v>
      </c>
      <c r="G116" s="130" t="n">
        <f aca="false">TblPop[[#This Row],[Military]]/TblPop[[#This Row],[Total]]</f>
        <v>0.482262926037561</v>
      </c>
      <c r="H116" s="95" t="n">
        <f aca="false">MIN(TblPop[[#This Row],[Peasants]],TblPop[[#This Row],[Jobs]])</f>
        <v>6699</v>
      </c>
      <c r="I116" s="130" t="n">
        <f aca="false">MIN(OFFSET(TblPop[[#This Row],[Jobs]],1,0)/TblPop[[#This Row],[Peasants]],1)</f>
        <v>1</v>
      </c>
      <c r="J116" s="95" t="n">
        <f aca="false">SUM(TblConstr[[#This Row],[Tot Alc]:[Tot GT]],TblConstr[[#This Row],[Tot Shr]:[Tot Doc]],TblConstr[[#This Row],[Dest Alc]:[Dest GT]],TblConstr[[#This Row],[Dest Shr]:[Dest Doc]])*building_employment + TblConstr[[#This Row],[Tot Fac]]*bonus_jobs_facts</f>
        <v>12200</v>
      </c>
      <c r="K116" s="131"/>
      <c r="L116" s="33" t="n">
        <f aca="false">TblPop[[#This Row],[Draftees]]</f>
        <v>3016</v>
      </c>
      <c r="M116" s="33" t="n">
        <f aca="false">TblMili[[#This Row],[Unit 1]]</f>
        <v>0</v>
      </c>
      <c r="N116" s="33" t="n">
        <f aca="false">TblMili[[#This Row],[Unit 2]]</f>
        <v>1246</v>
      </c>
      <c r="O116" s="33" t="n">
        <f aca="false">TblMili[[#This Row],[Unit 3]]</f>
        <v>700</v>
      </c>
      <c r="P116" s="33" t="n">
        <f aca="false">TblMili[[#This Row],[Unit 4]]</f>
        <v>1228</v>
      </c>
      <c r="Q116" s="33" t="n">
        <f aca="false">TblMili[[#This Row],[Spies]]</f>
        <v>25</v>
      </c>
      <c r="R116" s="33" t="n">
        <f aca="false">TblMili[[#This Row],[Wizards]]</f>
        <v>25</v>
      </c>
      <c r="S116" s="33" t="n">
        <f aca="false">TblMili[[#This Row],[Archmages]]</f>
        <v>0</v>
      </c>
      <c r="T116" s="132"/>
      <c r="U116" s="69" t="n">
        <f aca="false">ROUND(TblPop[[#This Row],[Raw max]]*(1+TblPop[[#This Row],[Max pop]]),0)+MIN(TblPop[[#This Row],[Military]]-TblPop[[#This Row],[Draftees]]-SUM(TblMili[[#This Row],[Train Unit 1]:[Train AM]]),(barracks_size + tech_8_3*TblTech[[#This Row],[8-3]])*TblConstr[[#This Row],[Tot Bar]])</f>
        <v>12939</v>
      </c>
      <c r="V11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6" s="69" t="n">
        <f aca="false">MAX(-5%*TblPop[[#This Row],[Peasants]]-TblPop[[#This Row],[Draft Growth]],MIN(OFFSET(TblPop[[#This Row],[Net max]],1,0)-TblPop[[#This Row],[Peasants]]-TblPop[[#This Row],[Military]]-TblPop[[#This Row],[Draft Growth]],TblPop[[#This Row],[Modded Birth]]-TblPop[[#This Row],[Draft Growth]]))</f>
        <v>-67</v>
      </c>
      <c r="X116" s="69" t="n">
        <f aca="false">ROUND(TblPop[[#This Row],[Raw Birth]]*(1+TblPop[[#This Row],[Growth]]),0)</f>
        <v>279</v>
      </c>
      <c r="Y116" s="69" t="n">
        <f aca="false">(TblPop[[#This Row],[Peasants]]-TblPop[[#This Row],[Draft Growth]])*raw_pop_growth</f>
        <v>198.96</v>
      </c>
      <c r="Z116" s="69" t="n">
        <f aca="false">IF(TblPop[[#This Row],[Military%]]&lt;TblMili[[#This Row],[Draftrate]],ROUND(TblPop[[#This Row],[Peasants]]*Constants!$B$55,0), 0)</f>
        <v>67</v>
      </c>
      <c r="AA116" s="132"/>
      <c r="AB116" s="109" t="n">
        <f aca="false">Overview!$I$16 + IF(Magic!AE116&gt;0,Constants!$F$78) + ROUND(6*(Construction!BM117+Construction!CK116)/IF(Explore!S117&gt;0,Construction!F117-20,Construction!F117),4) + tech_6_5_2*Techs!BJ116 + tech_8_4*Techs!BT116</f>
        <v>0.4029</v>
      </c>
      <c r="AC116" s="130" t="n">
        <f aca="false">(Overview!$I$15 + Imps!Z116+ tech_2_5*Techs!AB116 + tech_3_6*Techs!AM116 + tech_6_1*Techs!BJ116 + tech_6_5*Techs!BF116 + tech_7_3_2*Techs!BN116) * (1 + Production!O116/100*prestige_pop_multiplier) + Production!O116/100*prestige_pop_multiplier</f>
        <v>0.07625</v>
      </c>
    </row>
    <row r="117" customFormat="false" ht="12.75" hidden="false" customHeight="false" outlineLevel="0" collapsed="false">
      <c r="A117" s="128" t="n">
        <f aca="false">TblRezone[[#This Row],[Hour]]</f>
        <v>114</v>
      </c>
      <c r="B117" s="129" t="n">
        <f aca="false">TblImps[[#This Row],[Time]]</f>
        <v>45434.4583333333</v>
      </c>
      <c r="C117" s="69" t="n">
        <f aca="false">OFFSET(TblPop[[#This Row],[Peasants]],-1,0)+OFFSET(TblPop[[#This Row],[Net Peasant]],-1,0)+TblMili[[#This Row],[Release Draft]]</f>
        <v>6632</v>
      </c>
      <c r="D117" s="69" t="n">
        <f aca="false">TblMili[[#This Row],[Military]]</f>
        <v>6307</v>
      </c>
      <c r="E117" s="69" t="n">
        <f aca="false">TblMili[[#This Row],[Draftees]]</f>
        <v>3083</v>
      </c>
      <c r="F117" s="69" t="n">
        <f aca="false">TblPop[[#This Row],[Peasants]]+TblPop[[#This Row],[Military]]</f>
        <v>12939</v>
      </c>
      <c r="G117" s="130" t="n">
        <f aca="false">TblPop[[#This Row],[Military]]/TblPop[[#This Row],[Total]]</f>
        <v>0.487441069634439</v>
      </c>
      <c r="H117" s="95" t="n">
        <f aca="false">MIN(TblPop[[#This Row],[Peasants]],TblPop[[#This Row],[Jobs]])</f>
        <v>6632</v>
      </c>
      <c r="I117" s="130" t="n">
        <f aca="false">MIN(OFFSET(TblPop[[#This Row],[Jobs]],1,0)/TblPop[[#This Row],[Peasants]],1)</f>
        <v>1</v>
      </c>
      <c r="J117" s="95" t="n">
        <f aca="false">SUM(TblConstr[[#This Row],[Tot Alc]:[Tot GT]],TblConstr[[#This Row],[Tot Shr]:[Tot Doc]],TblConstr[[#This Row],[Dest Alc]:[Dest GT]],TblConstr[[#This Row],[Dest Shr]:[Dest Doc]])*building_employment + TblConstr[[#This Row],[Tot Fac]]*bonus_jobs_facts</f>
        <v>12200</v>
      </c>
      <c r="K117" s="131"/>
      <c r="L117" s="33" t="n">
        <f aca="false">TblPop[[#This Row],[Draftees]]</f>
        <v>3083</v>
      </c>
      <c r="M117" s="33" t="n">
        <f aca="false">TblMili[[#This Row],[Unit 1]]</f>
        <v>0</v>
      </c>
      <c r="N117" s="33" t="n">
        <f aca="false">TblMili[[#This Row],[Unit 2]]</f>
        <v>1246</v>
      </c>
      <c r="O117" s="33" t="n">
        <f aca="false">TblMili[[#This Row],[Unit 3]]</f>
        <v>700</v>
      </c>
      <c r="P117" s="33" t="n">
        <f aca="false">TblMili[[#This Row],[Unit 4]]</f>
        <v>1228</v>
      </c>
      <c r="Q117" s="33" t="n">
        <f aca="false">TblMili[[#This Row],[Spies]]</f>
        <v>25</v>
      </c>
      <c r="R117" s="33" t="n">
        <f aca="false">TblMili[[#This Row],[Wizards]]</f>
        <v>25</v>
      </c>
      <c r="S117" s="33" t="n">
        <f aca="false">TblMili[[#This Row],[Archmages]]</f>
        <v>0</v>
      </c>
      <c r="T117" s="132"/>
      <c r="U117" s="69" t="n">
        <f aca="false">ROUND(TblPop[[#This Row],[Raw max]]*(1+TblPop[[#This Row],[Max pop]]),0)+MIN(TblPop[[#This Row],[Military]]-TblPop[[#This Row],[Draftees]]-SUM(TblMili[[#This Row],[Train Unit 1]:[Train AM]]),(barracks_size + tech_8_3*TblTech[[#This Row],[8-3]])*TblConstr[[#This Row],[Tot Bar]])</f>
        <v>12939</v>
      </c>
      <c r="V11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7" s="69" t="n">
        <f aca="false">MAX(-5%*TblPop[[#This Row],[Peasants]]-TblPop[[#This Row],[Draft Growth]],MIN(OFFSET(TblPop[[#This Row],[Net max]],1,0)-TblPop[[#This Row],[Peasants]]-TblPop[[#This Row],[Military]]-TblPop[[#This Row],[Draft Growth]],TblPop[[#This Row],[Modded Birth]]-TblPop[[#This Row],[Draft Growth]]))</f>
        <v>-66</v>
      </c>
      <c r="X117" s="69" t="n">
        <f aca="false">ROUND(TblPop[[#This Row],[Raw Birth]]*(1+TblPop[[#This Row],[Growth]]),0)</f>
        <v>276</v>
      </c>
      <c r="Y117" s="69" t="n">
        <f aca="false">(TblPop[[#This Row],[Peasants]]-TblPop[[#This Row],[Draft Growth]])*raw_pop_growth</f>
        <v>196.98</v>
      </c>
      <c r="Z117" s="69" t="n">
        <f aca="false">IF(TblPop[[#This Row],[Military%]]&lt;TblMili[[#This Row],[Draftrate]],ROUND(TblPop[[#This Row],[Peasants]]*Constants!$B$55,0), 0)</f>
        <v>66</v>
      </c>
      <c r="AA117" s="132"/>
      <c r="AB117" s="109" t="n">
        <f aca="false">Overview!$I$16 + IF(Magic!AE117&gt;0,Constants!$F$78) + ROUND(6*(Construction!BM118+Construction!CK117)/IF(Explore!S118&gt;0,Construction!F118-20,Construction!F118),4) + tech_6_5_2*Techs!BJ117 + tech_8_4*Techs!BT117</f>
        <v>0.4029</v>
      </c>
      <c r="AC117" s="130" t="n">
        <f aca="false">(Overview!$I$15 + Imps!Z117+ tech_2_5*Techs!AB117 + tech_3_6*Techs!AM117 + tech_6_1*Techs!BJ117 + tech_6_5*Techs!BF117 + tech_7_3_2*Techs!BN117) * (1 + Production!O117/100*prestige_pop_multiplier) + Production!O117/100*prestige_pop_multiplier</f>
        <v>0.07625</v>
      </c>
    </row>
    <row r="118" customFormat="false" ht="12.75" hidden="false" customHeight="false" outlineLevel="0" collapsed="false">
      <c r="A118" s="128" t="n">
        <f aca="false">TblRezone[[#This Row],[Hour]]</f>
        <v>115</v>
      </c>
      <c r="B118" s="129" t="n">
        <f aca="false">TblImps[[#This Row],[Time]]</f>
        <v>45434.5</v>
      </c>
      <c r="C118" s="69" t="n">
        <f aca="false">OFFSET(TblPop[[#This Row],[Peasants]],-1,0)+OFFSET(TblPop[[#This Row],[Net Peasant]],-1,0)+TblMili[[#This Row],[Release Draft]]</f>
        <v>6566</v>
      </c>
      <c r="D118" s="69" t="n">
        <f aca="false">TblMili[[#This Row],[Military]]</f>
        <v>6373</v>
      </c>
      <c r="E118" s="69" t="n">
        <f aca="false">TblMili[[#This Row],[Draftees]]</f>
        <v>3149</v>
      </c>
      <c r="F118" s="69" t="n">
        <f aca="false">TblPop[[#This Row],[Peasants]]+TblPop[[#This Row],[Military]]</f>
        <v>12939</v>
      </c>
      <c r="G118" s="130" t="n">
        <f aca="false">TblPop[[#This Row],[Military]]/TblPop[[#This Row],[Total]]</f>
        <v>0.49254192750599</v>
      </c>
      <c r="H118" s="95" t="n">
        <f aca="false">MIN(TblPop[[#This Row],[Peasants]],TblPop[[#This Row],[Jobs]])</f>
        <v>6566</v>
      </c>
      <c r="I118" s="130" t="n">
        <f aca="false">MIN(OFFSET(TblPop[[#This Row],[Jobs]],1,0)/TblPop[[#This Row],[Peasants]],1)</f>
        <v>1</v>
      </c>
      <c r="J118" s="95" t="n">
        <f aca="false">SUM(TblConstr[[#This Row],[Tot Alc]:[Tot GT]],TblConstr[[#This Row],[Tot Shr]:[Tot Doc]],TblConstr[[#This Row],[Dest Alc]:[Dest GT]],TblConstr[[#This Row],[Dest Shr]:[Dest Doc]])*building_employment + TblConstr[[#This Row],[Tot Fac]]*bonus_jobs_facts</f>
        <v>12200</v>
      </c>
      <c r="K118" s="131"/>
      <c r="L118" s="33" t="n">
        <f aca="false">TblPop[[#This Row],[Draftees]]</f>
        <v>3149</v>
      </c>
      <c r="M118" s="33" t="n">
        <f aca="false">TblMili[[#This Row],[Unit 1]]</f>
        <v>0</v>
      </c>
      <c r="N118" s="33" t="n">
        <f aca="false">TblMili[[#This Row],[Unit 2]]</f>
        <v>1246</v>
      </c>
      <c r="O118" s="33" t="n">
        <f aca="false">TblMili[[#This Row],[Unit 3]]</f>
        <v>700</v>
      </c>
      <c r="P118" s="33" t="n">
        <f aca="false">TblMili[[#This Row],[Unit 4]]</f>
        <v>1228</v>
      </c>
      <c r="Q118" s="33" t="n">
        <f aca="false">TblMili[[#This Row],[Spies]]</f>
        <v>25</v>
      </c>
      <c r="R118" s="33" t="n">
        <f aca="false">TblMili[[#This Row],[Wizards]]</f>
        <v>25</v>
      </c>
      <c r="S118" s="33" t="n">
        <f aca="false">TblMili[[#This Row],[Archmages]]</f>
        <v>0</v>
      </c>
      <c r="T118" s="132"/>
      <c r="U118" s="69" t="n">
        <f aca="false">ROUND(TblPop[[#This Row],[Raw max]]*(1+TblPop[[#This Row],[Max pop]]),0)+MIN(TblPop[[#This Row],[Military]]-TblPop[[#This Row],[Draftees]]-SUM(TblMili[[#This Row],[Train Unit 1]:[Train AM]]),(barracks_size + tech_8_3*TblTech[[#This Row],[8-3]])*TblConstr[[#This Row],[Tot Bar]])</f>
        <v>12939</v>
      </c>
      <c r="V11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8" s="69" t="n">
        <f aca="false">MAX(-5%*TblPop[[#This Row],[Peasants]]-TblPop[[#This Row],[Draft Growth]],MIN(OFFSET(TblPop[[#This Row],[Net max]],1,0)-TblPop[[#This Row],[Peasants]]-TblPop[[#This Row],[Military]]-TblPop[[#This Row],[Draft Growth]],TblPop[[#This Row],[Modded Birth]]-TblPop[[#This Row],[Draft Growth]]))</f>
        <v>-66</v>
      </c>
      <c r="X118" s="69" t="n">
        <f aca="false">ROUND(TblPop[[#This Row],[Raw Birth]]*(1+TblPop[[#This Row],[Growth]]),0)</f>
        <v>274</v>
      </c>
      <c r="Y118" s="69" t="n">
        <f aca="false">(TblPop[[#This Row],[Peasants]]-TblPop[[#This Row],[Draft Growth]])*raw_pop_growth</f>
        <v>195</v>
      </c>
      <c r="Z118" s="69" t="n">
        <f aca="false">IF(TblPop[[#This Row],[Military%]]&lt;TblMili[[#This Row],[Draftrate]],ROUND(TblPop[[#This Row],[Peasants]]*Constants!$B$55,0), 0)</f>
        <v>66</v>
      </c>
      <c r="AA118" s="132"/>
      <c r="AB118" s="109" t="n">
        <f aca="false">Overview!$I$16 + IF(Magic!AE118&gt;0,Constants!$F$78) + ROUND(6*(Construction!BM119+Construction!CK118)/IF(Explore!S119&gt;0,Construction!F119-20,Construction!F119),4) + tech_6_5_2*Techs!BJ118 + tech_8_4*Techs!BT118</f>
        <v>0.4029</v>
      </c>
      <c r="AC118" s="130" t="n">
        <f aca="false">(Overview!$I$15 + Imps!Z118+ tech_2_5*Techs!AB118 + tech_3_6*Techs!AM118 + tech_6_1*Techs!BJ118 + tech_6_5*Techs!BF118 + tech_7_3_2*Techs!BN118) * (1 + Production!O118/100*prestige_pop_multiplier) + Production!O118/100*prestige_pop_multiplier</f>
        <v>0.07625</v>
      </c>
    </row>
    <row r="119" customFormat="false" ht="12.75" hidden="false" customHeight="false" outlineLevel="0" collapsed="false">
      <c r="A119" s="128" t="n">
        <f aca="false">TblRezone[[#This Row],[Hour]]</f>
        <v>116</v>
      </c>
      <c r="B119" s="129" t="n">
        <f aca="false">TblImps[[#This Row],[Time]]</f>
        <v>45434.5416666667</v>
      </c>
      <c r="C119" s="69" t="n">
        <f aca="false">OFFSET(TblPop[[#This Row],[Peasants]],-1,0)+OFFSET(TblPop[[#This Row],[Net Peasant]],-1,0)+TblMili[[#This Row],[Release Draft]]</f>
        <v>6500</v>
      </c>
      <c r="D119" s="69" t="n">
        <f aca="false">TblMili[[#This Row],[Military]]</f>
        <v>6439</v>
      </c>
      <c r="E119" s="69" t="n">
        <f aca="false">TblMili[[#This Row],[Draftees]]</f>
        <v>3215</v>
      </c>
      <c r="F119" s="69" t="n">
        <f aca="false">TblPop[[#This Row],[Peasants]]+TblPop[[#This Row],[Military]]</f>
        <v>12939</v>
      </c>
      <c r="G119" s="130" t="n">
        <f aca="false">TblPop[[#This Row],[Military]]/TblPop[[#This Row],[Total]]</f>
        <v>0.497642785377541</v>
      </c>
      <c r="H119" s="95" t="n">
        <f aca="false">MIN(TblPop[[#This Row],[Peasants]],TblPop[[#This Row],[Jobs]])</f>
        <v>6500</v>
      </c>
      <c r="I119" s="130" t="n">
        <f aca="false">MIN(OFFSET(TblPop[[#This Row],[Jobs]],1,0)/TblPop[[#This Row],[Peasants]],1)</f>
        <v>1</v>
      </c>
      <c r="J119" s="95" t="n">
        <f aca="false">SUM(TblConstr[[#This Row],[Tot Alc]:[Tot GT]],TblConstr[[#This Row],[Tot Shr]:[Tot Doc]],TblConstr[[#This Row],[Dest Alc]:[Dest GT]],TblConstr[[#This Row],[Dest Shr]:[Dest Doc]])*building_employment + TblConstr[[#This Row],[Tot Fac]]*bonus_jobs_facts</f>
        <v>12200</v>
      </c>
      <c r="K119" s="131"/>
      <c r="L119" s="33" t="n">
        <f aca="false">TblPop[[#This Row],[Draftees]]</f>
        <v>3215</v>
      </c>
      <c r="M119" s="33" t="n">
        <f aca="false">TblMili[[#This Row],[Unit 1]]</f>
        <v>0</v>
      </c>
      <c r="N119" s="33" t="n">
        <f aca="false">TblMili[[#This Row],[Unit 2]]</f>
        <v>1246</v>
      </c>
      <c r="O119" s="33" t="n">
        <f aca="false">TblMili[[#This Row],[Unit 3]]</f>
        <v>700</v>
      </c>
      <c r="P119" s="33" t="n">
        <f aca="false">TblMili[[#This Row],[Unit 4]]</f>
        <v>1228</v>
      </c>
      <c r="Q119" s="33" t="n">
        <f aca="false">TblMili[[#This Row],[Spies]]</f>
        <v>25</v>
      </c>
      <c r="R119" s="33" t="n">
        <f aca="false">TblMili[[#This Row],[Wizards]]</f>
        <v>25</v>
      </c>
      <c r="S119" s="33" t="n">
        <f aca="false">TblMili[[#This Row],[Archmages]]</f>
        <v>0</v>
      </c>
      <c r="T119" s="132"/>
      <c r="U119" s="69" t="n">
        <f aca="false">ROUND(TblPop[[#This Row],[Raw max]]*(1+TblPop[[#This Row],[Max pop]]),0)+MIN(TblPop[[#This Row],[Military]]-TblPop[[#This Row],[Draftees]]-SUM(TblMili[[#This Row],[Train Unit 1]:[Train AM]]),(barracks_size + tech_8_3*TblTech[[#This Row],[8-3]])*TblConstr[[#This Row],[Tot Bar]])</f>
        <v>12939</v>
      </c>
      <c r="V11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9" s="69" t="n">
        <f aca="false">MAX(-5%*TblPop[[#This Row],[Peasants]]-TblPop[[#This Row],[Draft Growth]],MIN(OFFSET(TblPop[[#This Row],[Net max]],1,0)-TblPop[[#This Row],[Peasants]]-TblPop[[#This Row],[Military]]-TblPop[[#This Row],[Draft Growth]],TblPop[[#This Row],[Modded Birth]]-TblPop[[#This Row],[Draft Growth]]))</f>
        <v>-65</v>
      </c>
      <c r="X119" s="69" t="n">
        <f aca="false">ROUND(TblPop[[#This Row],[Raw Birth]]*(1+TblPop[[#This Row],[Growth]]),0)</f>
        <v>271</v>
      </c>
      <c r="Y119" s="69" t="n">
        <f aca="false">(TblPop[[#This Row],[Peasants]]-TblPop[[#This Row],[Draft Growth]])*raw_pop_growth</f>
        <v>193.05</v>
      </c>
      <c r="Z119" s="69" t="n">
        <f aca="false">IF(TblPop[[#This Row],[Military%]]&lt;TblMili[[#This Row],[Draftrate]],ROUND(TblPop[[#This Row],[Peasants]]*Constants!$B$55,0), 0)</f>
        <v>65</v>
      </c>
      <c r="AA119" s="132"/>
      <c r="AB119" s="109" t="n">
        <f aca="false">Overview!$I$16 + IF(Magic!AE119&gt;0,Constants!$F$78) + ROUND(6*(Construction!BM120+Construction!CK119)/IF(Explore!S120&gt;0,Construction!F120-20,Construction!F120),4) + tech_6_5_2*Techs!BJ119 + tech_8_4*Techs!BT119</f>
        <v>0.4029</v>
      </c>
      <c r="AC119" s="130" t="n">
        <f aca="false">(Overview!$I$15 + Imps!Z119+ tech_2_5*Techs!AB119 + tech_3_6*Techs!AM119 + tech_6_1*Techs!BJ119 + tech_6_5*Techs!BF119 + tech_7_3_2*Techs!BN119) * (1 + Production!O119/100*prestige_pop_multiplier) + Production!O119/100*prestige_pop_multiplier</f>
        <v>0.07625</v>
      </c>
    </row>
    <row r="120" customFormat="false" ht="12.75" hidden="false" customHeight="false" outlineLevel="0" collapsed="false">
      <c r="A120" s="128" t="n">
        <f aca="false">TblRezone[[#This Row],[Hour]]</f>
        <v>117</v>
      </c>
      <c r="B120" s="129" t="n">
        <f aca="false">TblImps[[#This Row],[Time]]</f>
        <v>45434.5833333333</v>
      </c>
      <c r="C120" s="69" t="n">
        <f aca="false">OFFSET(TblPop[[#This Row],[Peasants]],-1,0)+OFFSET(TblPop[[#This Row],[Net Peasant]],-1,0)+TblMili[[#This Row],[Release Draft]]</f>
        <v>6435</v>
      </c>
      <c r="D120" s="69" t="n">
        <f aca="false">TblMili[[#This Row],[Military]]</f>
        <v>6504</v>
      </c>
      <c r="E120" s="69" t="n">
        <f aca="false">TblMili[[#This Row],[Draftees]]</f>
        <v>3280</v>
      </c>
      <c r="F120" s="69" t="n">
        <f aca="false">TblPop[[#This Row],[Peasants]]+TblPop[[#This Row],[Military]]</f>
        <v>12939</v>
      </c>
      <c r="G120" s="130" t="n">
        <f aca="false">TblPop[[#This Row],[Military]]/TblPop[[#This Row],[Total]]</f>
        <v>0.502666357523765</v>
      </c>
      <c r="H120" s="95" t="n">
        <f aca="false">MIN(TblPop[[#This Row],[Peasants]],TblPop[[#This Row],[Jobs]])</f>
        <v>6435</v>
      </c>
      <c r="I120" s="130" t="n">
        <f aca="false">MIN(OFFSET(TblPop[[#This Row],[Jobs]],1,0)/TblPop[[#This Row],[Peasants]],1)</f>
        <v>1</v>
      </c>
      <c r="J120" s="95" t="n">
        <f aca="false">SUM(TblConstr[[#This Row],[Tot Alc]:[Tot GT]],TblConstr[[#This Row],[Tot Shr]:[Tot Doc]],TblConstr[[#This Row],[Dest Alc]:[Dest GT]],TblConstr[[#This Row],[Dest Shr]:[Dest Doc]])*building_employment + TblConstr[[#This Row],[Tot Fac]]*bonus_jobs_facts</f>
        <v>12200</v>
      </c>
      <c r="K120" s="131"/>
      <c r="L120" s="33" t="n">
        <f aca="false">TblPop[[#This Row],[Draftees]]</f>
        <v>3280</v>
      </c>
      <c r="M120" s="33" t="n">
        <f aca="false">TblMili[[#This Row],[Unit 1]]</f>
        <v>0</v>
      </c>
      <c r="N120" s="33" t="n">
        <f aca="false">TblMili[[#This Row],[Unit 2]]</f>
        <v>1246</v>
      </c>
      <c r="O120" s="33" t="n">
        <f aca="false">TblMili[[#This Row],[Unit 3]]</f>
        <v>700</v>
      </c>
      <c r="P120" s="33" t="n">
        <f aca="false">TblMili[[#This Row],[Unit 4]]</f>
        <v>1228</v>
      </c>
      <c r="Q120" s="33" t="n">
        <f aca="false">TblMili[[#This Row],[Spies]]</f>
        <v>25</v>
      </c>
      <c r="R120" s="33" t="n">
        <f aca="false">TblMili[[#This Row],[Wizards]]</f>
        <v>25</v>
      </c>
      <c r="S120" s="33" t="n">
        <f aca="false">TblMili[[#This Row],[Archmages]]</f>
        <v>0</v>
      </c>
      <c r="T120" s="132"/>
      <c r="U120" s="69" t="n">
        <f aca="false">ROUND(TblPop[[#This Row],[Raw max]]*(1+TblPop[[#This Row],[Max pop]]),0)+MIN(TblPop[[#This Row],[Military]]-TblPop[[#This Row],[Draftees]]-SUM(TblMili[[#This Row],[Train Unit 1]:[Train AM]]),(barracks_size + tech_8_3*TblTech[[#This Row],[8-3]])*TblConstr[[#This Row],[Tot Bar]])</f>
        <v>12939</v>
      </c>
      <c r="V12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0" s="69" t="n">
        <f aca="false">MAX(-5%*TblPop[[#This Row],[Peasants]]-TblPop[[#This Row],[Draft Growth]],MIN(OFFSET(TblPop[[#This Row],[Net max]],1,0)-TblPop[[#This Row],[Peasants]]-TblPop[[#This Row],[Military]]-TblPop[[#This Row],[Draft Growth]],TblPop[[#This Row],[Modded Birth]]-TblPop[[#This Row],[Draft Growth]]))</f>
        <v>-64</v>
      </c>
      <c r="X120" s="69" t="n">
        <f aca="false">ROUND(TblPop[[#This Row],[Raw Birth]]*(1+TblPop[[#This Row],[Growth]]),0)</f>
        <v>268</v>
      </c>
      <c r="Y120" s="69" t="n">
        <f aca="false">(TblPop[[#This Row],[Peasants]]-TblPop[[#This Row],[Draft Growth]])*raw_pop_growth</f>
        <v>191.13</v>
      </c>
      <c r="Z120" s="69" t="n">
        <f aca="false">IF(TblPop[[#This Row],[Military%]]&lt;TblMili[[#This Row],[Draftrate]],ROUND(TblPop[[#This Row],[Peasants]]*Constants!$B$55,0), 0)</f>
        <v>64</v>
      </c>
      <c r="AA120" s="132"/>
      <c r="AB120" s="109" t="n">
        <f aca="false">Overview!$I$16 + IF(Magic!AE120&gt;0,Constants!$F$78) + ROUND(6*(Construction!BM121+Construction!CK120)/IF(Explore!S121&gt;0,Construction!F121-20,Construction!F121),4) + tech_6_5_2*Techs!BJ120 + tech_8_4*Techs!BT120</f>
        <v>0.4029</v>
      </c>
      <c r="AC120" s="130" t="n">
        <f aca="false">(Overview!$I$15 + Imps!Z120+ tech_2_5*Techs!AB120 + tech_3_6*Techs!AM120 + tech_6_1*Techs!BJ120 + tech_6_5*Techs!BF120 + tech_7_3_2*Techs!BN120) * (1 + Production!O120/100*prestige_pop_multiplier) + Production!O120/100*prestige_pop_multiplier</f>
        <v>0.07625</v>
      </c>
    </row>
    <row r="121" customFormat="false" ht="12.75" hidden="false" customHeight="false" outlineLevel="0" collapsed="false">
      <c r="A121" s="128" t="n">
        <f aca="false">TblRezone[[#This Row],[Hour]]</f>
        <v>118</v>
      </c>
      <c r="B121" s="129" t="n">
        <f aca="false">TblImps[[#This Row],[Time]]</f>
        <v>45434.625</v>
      </c>
      <c r="C121" s="69" t="n">
        <f aca="false">OFFSET(TblPop[[#This Row],[Peasants]],-1,0)+OFFSET(TblPop[[#This Row],[Net Peasant]],-1,0)+TblMili[[#This Row],[Release Draft]]</f>
        <v>6371</v>
      </c>
      <c r="D121" s="69" t="n">
        <f aca="false">TblMili[[#This Row],[Military]]</f>
        <v>6568</v>
      </c>
      <c r="E121" s="69" t="n">
        <f aca="false">TblMili[[#This Row],[Draftees]]</f>
        <v>3344</v>
      </c>
      <c r="F121" s="69" t="n">
        <f aca="false">TblPop[[#This Row],[Peasants]]+TblPop[[#This Row],[Military]]</f>
        <v>12939</v>
      </c>
      <c r="G121" s="130" t="n">
        <f aca="false">TblPop[[#This Row],[Military]]/TblPop[[#This Row],[Total]]</f>
        <v>0.507612643944663</v>
      </c>
      <c r="H121" s="95" t="n">
        <f aca="false">MIN(TblPop[[#This Row],[Peasants]],TblPop[[#This Row],[Jobs]])</f>
        <v>6371</v>
      </c>
      <c r="I121" s="130" t="n">
        <f aca="false">MIN(OFFSET(TblPop[[#This Row],[Jobs]],1,0)/TblPop[[#This Row],[Peasants]],1)</f>
        <v>1</v>
      </c>
      <c r="J121" s="95" t="n">
        <f aca="false">SUM(TblConstr[[#This Row],[Tot Alc]:[Tot GT]],TblConstr[[#This Row],[Tot Shr]:[Tot Doc]],TblConstr[[#This Row],[Dest Alc]:[Dest GT]],TblConstr[[#This Row],[Dest Shr]:[Dest Doc]])*building_employment + TblConstr[[#This Row],[Tot Fac]]*bonus_jobs_facts</f>
        <v>12200</v>
      </c>
      <c r="K121" s="131"/>
      <c r="L121" s="33" t="n">
        <f aca="false">TblPop[[#This Row],[Draftees]]</f>
        <v>3344</v>
      </c>
      <c r="M121" s="33" t="n">
        <f aca="false">TblMili[[#This Row],[Unit 1]]</f>
        <v>0</v>
      </c>
      <c r="N121" s="33" t="n">
        <f aca="false">TblMili[[#This Row],[Unit 2]]</f>
        <v>1246</v>
      </c>
      <c r="O121" s="33" t="n">
        <f aca="false">TblMili[[#This Row],[Unit 3]]</f>
        <v>700</v>
      </c>
      <c r="P121" s="33" t="n">
        <f aca="false">TblMili[[#This Row],[Unit 4]]</f>
        <v>1228</v>
      </c>
      <c r="Q121" s="33" t="n">
        <f aca="false">TblMili[[#This Row],[Spies]]</f>
        <v>25</v>
      </c>
      <c r="R121" s="33" t="n">
        <f aca="false">TblMili[[#This Row],[Wizards]]</f>
        <v>25</v>
      </c>
      <c r="S121" s="33" t="n">
        <f aca="false">TblMili[[#This Row],[Archmages]]</f>
        <v>0</v>
      </c>
      <c r="T121" s="132"/>
      <c r="U121" s="69" t="n">
        <f aca="false">ROUND(TblPop[[#This Row],[Raw max]]*(1+TblPop[[#This Row],[Max pop]]),0)+MIN(TblPop[[#This Row],[Military]]-TblPop[[#This Row],[Draftees]]-SUM(TblMili[[#This Row],[Train Unit 1]:[Train AM]]),(barracks_size + tech_8_3*TblTech[[#This Row],[8-3]])*TblConstr[[#This Row],[Tot Bar]])</f>
        <v>12939</v>
      </c>
      <c r="V12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1" s="69" t="n">
        <f aca="false">MAX(-5%*TblPop[[#This Row],[Peasants]]-TblPop[[#This Row],[Draft Growth]],MIN(OFFSET(TblPop[[#This Row],[Net max]],1,0)-TblPop[[#This Row],[Peasants]]-TblPop[[#This Row],[Military]]-TblPop[[#This Row],[Draft Growth]],TblPop[[#This Row],[Modded Birth]]-TblPop[[#This Row],[Draft Growth]]))</f>
        <v>-64</v>
      </c>
      <c r="X121" s="69" t="n">
        <f aca="false">ROUND(TblPop[[#This Row],[Raw Birth]]*(1+TblPop[[#This Row],[Growth]]),0)</f>
        <v>265</v>
      </c>
      <c r="Y121" s="69" t="n">
        <f aca="false">(TblPop[[#This Row],[Peasants]]-TblPop[[#This Row],[Draft Growth]])*raw_pop_growth</f>
        <v>189.21</v>
      </c>
      <c r="Z121" s="69" t="n">
        <f aca="false">IF(TblPop[[#This Row],[Military%]]&lt;TblMili[[#This Row],[Draftrate]],ROUND(TblPop[[#This Row],[Peasants]]*Constants!$B$55,0), 0)</f>
        <v>64</v>
      </c>
      <c r="AA121" s="132"/>
      <c r="AB121" s="109" t="n">
        <f aca="false">Overview!$I$16 + IF(Magic!AE121&gt;0,Constants!$F$78) + ROUND(6*(Construction!BM122+Construction!CK121)/IF(Explore!S122&gt;0,Construction!F122-20,Construction!F122),4) + tech_6_5_2*Techs!BJ121 + tech_8_4*Techs!BT121</f>
        <v>0.4029</v>
      </c>
      <c r="AC121" s="130" t="n">
        <f aca="false">(Overview!$I$15 + Imps!Z121+ tech_2_5*Techs!AB121 + tech_3_6*Techs!AM121 + tech_6_1*Techs!BJ121 + tech_6_5*Techs!BF121 + tech_7_3_2*Techs!BN121) * (1 + Production!O121/100*prestige_pop_multiplier) + Production!O121/100*prestige_pop_multiplier</f>
        <v>0.07625</v>
      </c>
    </row>
    <row r="122" customFormat="false" ht="12.75" hidden="false" customHeight="false" outlineLevel="0" collapsed="false">
      <c r="A122" s="128" t="n">
        <f aca="false">TblRezone[[#This Row],[Hour]]</f>
        <v>119</v>
      </c>
      <c r="B122" s="129" t="n">
        <f aca="false">TblImps[[#This Row],[Time]]</f>
        <v>45434.6666666667</v>
      </c>
      <c r="C122" s="69" t="n">
        <f aca="false">OFFSET(TblPop[[#This Row],[Peasants]],-1,0)+OFFSET(TblPop[[#This Row],[Net Peasant]],-1,0)+TblMili[[#This Row],[Release Draft]]</f>
        <v>6307</v>
      </c>
      <c r="D122" s="69" t="n">
        <f aca="false">TblMili[[#This Row],[Military]]</f>
        <v>6632</v>
      </c>
      <c r="E122" s="69" t="n">
        <f aca="false">TblMili[[#This Row],[Draftees]]</f>
        <v>3408</v>
      </c>
      <c r="F122" s="69" t="n">
        <f aca="false">TblPop[[#This Row],[Peasants]]+TblPop[[#This Row],[Military]]</f>
        <v>12939</v>
      </c>
      <c r="G122" s="130" t="n">
        <f aca="false">TblPop[[#This Row],[Military]]/TblPop[[#This Row],[Total]]</f>
        <v>0.512558930365561</v>
      </c>
      <c r="H122" s="95" t="n">
        <f aca="false">MIN(TblPop[[#This Row],[Peasants]],TblPop[[#This Row],[Jobs]])</f>
        <v>6307</v>
      </c>
      <c r="I122" s="130" t="n">
        <f aca="false">MIN(OFFSET(TblPop[[#This Row],[Jobs]],1,0)/TblPop[[#This Row],[Peasants]],1)</f>
        <v>1</v>
      </c>
      <c r="J122" s="95" t="n">
        <f aca="false">SUM(TblConstr[[#This Row],[Tot Alc]:[Tot GT]],TblConstr[[#This Row],[Tot Shr]:[Tot Doc]],TblConstr[[#This Row],[Dest Alc]:[Dest GT]],TblConstr[[#This Row],[Dest Shr]:[Dest Doc]])*building_employment + TblConstr[[#This Row],[Tot Fac]]*bonus_jobs_facts</f>
        <v>12200</v>
      </c>
      <c r="K122" s="131"/>
      <c r="L122" s="33" t="n">
        <f aca="false">TblPop[[#This Row],[Draftees]]</f>
        <v>3408</v>
      </c>
      <c r="M122" s="33" t="n">
        <f aca="false">TblMili[[#This Row],[Unit 1]]</f>
        <v>0</v>
      </c>
      <c r="N122" s="33" t="n">
        <f aca="false">TblMili[[#This Row],[Unit 2]]</f>
        <v>1246</v>
      </c>
      <c r="O122" s="33" t="n">
        <f aca="false">TblMili[[#This Row],[Unit 3]]</f>
        <v>700</v>
      </c>
      <c r="P122" s="33" t="n">
        <f aca="false">TblMili[[#This Row],[Unit 4]]</f>
        <v>1228</v>
      </c>
      <c r="Q122" s="33" t="n">
        <f aca="false">TblMili[[#This Row],[Spies]]</f>
        <v>25</v>
      </c>
      <c r="R122" s="33" t="n">
        <f aca="false">TblMili[[#This Row],[Wizards]]</f>
        <v>25</v>
      </c>
      <c r="S122" s="33" t="n">
        <f aca="false">TblMili[[#This Row],[Archmages]]</f>
        <v>0</v>
      </c>
      <c r="T122" s="132"/>
      <c r="U122" s="69" t="n">
        <f aca="false">ROUND(TblPop[[#This Row],[Raw max]]*(1+TblPop[[#This Row],[Max pop]]),0)+MIN(TblPop[[#This Row],[Military]]-TblPop[[#This Row],[Draftees]]-SUM(TblMili[[#This Row],[Train Unit 1]:[Train AM]]),(barracks_size + tech_8_3*TblTech[[#This Row],[8-3]])*TblConstr[[#This Row],[Tot Bar]])</f>
        <v>12939</v>
      </c>
      <c r="V12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2" s="69" t="n">
        <f aca="false">MAX(-5%*TblPop[[#This Row],[Peasants]]-TblPop[[#This Row],[Draft Growth]],MIN(OFFSET(TblPop[[#This Row],[Net max]],1,0)-TblPop[[#This Row],[Peasants]]-TblPop[[#This Row],[Military]]-TblPop[[#This Row],[Draft Growth]],TblPop[[#This Row],[Modded Birth]]-TblPop[[#This Row],[Draft Growth]]))</f>
        <v>-63</v>
      </c>
      <c r="X122" s="69" t="n">
        <f aca="false">ROUND(TblPop[[#This Row],[Raw Birth]]*(1+TblPop[[#This Row],[Growth]]),0)</f>
        <v>263</v>
      </c>
      <c r="Y122" s="69" t="n">
        <f aca="false">(TblPop[[#This Row],[Peasants]]-TblPop[[#This Row],[Draft Growth]])*raw_pop_growth</f>
        <v>187.32</v>
      </c>
      <c r="Z122" s="69" t="n">
        <f aca="false">IF(TblPop[[#This Row],[Military%]]&lt;TblMili[[#This Row],[Draftrate]],ROUND(TblPop[[#This Row],[Peasants]]*Constants!$B$55,0), 0)</f>
        <v>63</v>
      </c>
      <c r="AA122" s="132"/>
      <c r="AB122" s="109" t="n">
        <f aca="false">Overview!$I$16 + IF(Magic!AE122&gt;0,Constants!$F$78) + ROUND(6*(Construction!BM123+Construction!CK122)/IF(Explore!S123&gt;0,Construction!F123-20,Construction!F123),4) + tech_6_5_2*Techs!BJ122 + tech_8_4*Techs!BT122</f>
        <v>0.4029</v>
      </c>
      <c r="AC122" s="130" t="n">
        <f aca="false">(Overview!$I$15 + Imps!Z122+ tech_2_5*Techs!AB122 + tech_3_6*Techs!AM122 + tech_6_1*Techs!BJ122 + tech_6_5*Techs!BF122 + tech_7_3_2*Techs!BN122) * (1 + Production!O122/100*prestige_pop_multiplier) + Production!O122/100*prestige_pop_multiplier</f>
        <v>0.07625</v>
      </c>
    </row>
    <row r="123" customFormat="false" ht="12.75" hidden="false" customHeight="false" outlineLevel="0" collapsed="false">
      <c r="A123" s="128" t="n">
        <f aca="false">TblRezone[[#This Row],[Hour]]</f>
        <v>120</v>
      </c>
      <c r="B123" s="129" t="n">
        <f aca="false">TblImps[[#This Row],[Time]]</f>
        <v>45434.7083333333</v>
      </c>
      <c r="C123" s="69" t="n">
        <f aca="false">OFFSET(TblPop[[#This Row],[Peasants]],-1,0)+OFFSET(TblPop[[#This Row],[Net Peasant]],-1,0)+TblMili[[#This Row],[Release Draft]]</f>
        <v>6244</v>
      </c>
      <c r="D123" s="69" t="n">
        <f aca="false">TblMili[[#This Row],[Military]]</f>
        <v>6695</v>
      </c>
      <c r="E123" s="69" t="n">
        <f aca="false">TblMili[[#This Row],[Draftees]]</f>
        <v>3471</v>
      </c>
      <c r="F123" s="69" t="n">
        <f aca="false">TblPop[[#This Row],[Peasants]]+TblPop[[#This Row],[Military]]</f>
        <v>12939</v>
      </c>
      <c r="G123" s="130" t="n">
        <f aca="false">TblPop[[#This Row],[Military]]/TblPop[[#This Row],[Total]]</f>
        <v>0.517427931061133</v>
      </c>
      <c r="H123" s="95" t="n">
        <f aca="false">MIN(TblPop[[#This Row],[Peasants]],TblPop[[#This Row],[Jobs]])</f>
        <v>6244</v>
      </c>
      <c r="I123" s="130" t="n">
        <f aca="false">MIN(OFFSET(TblPop[[#This Row],[Jobs]],1,0)/TblPop[[#This Row],[Peasants]],1)</f>
        <v>1</v>
      </c>
      <c r="J123" s="95" t="n">
        <f aca="false">SUM(TblConstr[[#This Row],[Tot Alc]:[Tot GT]],TblConstr[[#This Row],[Tot Shr]:[Tot Doc]],TblConstr[[#This Row],[Dest Alc]:[Dest GT]],TblConstr[[#This Row],[Dest Shr]:[Dest Doc]])*building_employment + TblConstr[[#This Row],[Tot Fac]]*bonus_jobs_facts</f>
        <v>12200</v>
      </c>
      <c r="K123" s="131"/>
      <c r="L123" s="33" t="n">
        <f aca="false">TblPop[[#This Row],[Draftees]]</f>
        <v>3471</v>
      </c>
      <c r="M123" s="33" t="n">
        <f aca="false">TblMili[[#This Row],[Unit 1]]</f>
        <v>0</v>
      </c>
      <c r="N123" s="33" t="n">
        <f aca="false">TblMili[[#This Row],[Unit 2]]</f>
        <v>1246</v>
      </c>
      <c r="O123" s="33" t="n">
        <f aca="false">TblMili[[#This Row],[Unit 3]]</f>
        <v>700</v>
      </c>
      <c r="P123" s="33" t="n">
        <f aca="false">TblMili[[#This Row],[Unit 4]]</f>
        <v>1228</v>
      </c>
      <c r="Q123" s="33" t="n">
        <f aca="false">TblMili[[#This Row],[Spies]]</f>
        <v>25</v>
      </c>
      <c r="R123" s="33" t="n">
        <f aca="false">TblMili[[#This Row],[Wizards]]</f>
        <v>25</v>
      </c>
      <c r="S123" s="33" t="n">
        <f aca="false">TblMili[[#This Row],[Archmages]]</f>
        <v>0</v>
      </c>
      <c r="T123" s="132"/>
      <c r="U123" s="69" t="n">
        <f aca="false">ROUND(TblPop[[#This Row],[Raw max]]*(1+TblPop[[#This Row],[Max pop]]),0)+MIN(TblPop[[#This Row],[Military]]-TblPop[[#This Row],[Draftees]]-SUM(TblMili[[#This Row],[Train Unit 1]:[Train AM]]),(barracks_size + tech_8_3*TblTech[[#This Row],[8-3]])*TblConstr[[#This Row],[Tot Bar]])</f>
        <v>12939</v>
      </c>
      <c r="V12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3" s="69" t="n">
        <f aca="false">MAX(-5%*TblPop[[#This Row],[Peasants]]-TblPop[[#This Row],[Draft Growth]],MIN(OFFSET(TblPop[[#This Row],[Net max]],1,0)-TblPop[[#This Row],[Peasants]]-TblPop[[#This Row],[Military]]-TblPop[[#This Row],[Draft Growth]],TblPop[[#This Row],[Modded Birth]]-TblPop[[#This Row],[Draft Growth]]))</f>
        <v>-62</v>
      </c>
      <c r="X123" s="69" t="n">
        <f aca="false">ROUND(TblPop[[#This Row],[Raw Birth]]*(1+TblPop[[#This Row],[Growth]]),0)</f>
        <v>260</v>
      </c>
      <c r="Y123" s="69" t="n">
        <f aca="false">(TblPop[[#This Row],[Peasants]]-TblPop[[#This Row],[Draft Growth]])*raw_pop_growth</f>
        <v>185.46</v>
      </c>
      <c r="Z123" s="69" t="n">
        <f aca="false">IF(TblPop[[#This Row],[Military%]]&lt;TblMili[[#This Row],[Draftrate]],ROUND(TblPop[[#This Row],[Peasants]]*Constants!$B$55,0), 0)</f>
        <v>62</v>
      </c>
      <c r="AA123" s="132"/>
      <c r="AB123" s="109" t="n">
        <f aca="false">Overview!$I$16 + IF(Magic!AE123&gt;0,Constants!$F$78) + ROUND(6*(Construction!BM124+Construction!CK123)/IF(Explore!S124&gt;0,Construction!F124-20,Construction!F124),4) + tech_6_5_2*Techs!BJ123 + tech_8_4*Techs!BT123</f>
        <v>0.4029</v>
      </c>
      <c r="AC123" s="130" t="n">
        <f aca="false">(Overview!$I$15 + Imps!Z123+ tech_2_5*Techs!AB123 + tech_3_6*Techs!AM123 + tech_6_1*Techs!BJ123 + tech_6_5*Techs!BF123 + tech_7_3_2*Techs!BN123) * (1 + Production!O123/100*prestige_pop_multiplier) + Production!O123/100*prestige_pop_multiplier</f>
        <v>0.07625</v>
      </c>
    </row>
    <row r="124" customFormat="false" ht="12.75" hidden="false" customHeight="false" outlineLevel="0" collapsed="false">
      <c r="A124" s="128" t="n">
        <f aca="false">TblRezone[[#This Row],[Hour]]</f>
        <v>121</v>
      </c>
      <c r="B124" s="129" t="n">
        <f aca="false">TblImps[[#This Row],[Time]]</f>
        <v>45434.75</v>
      </c>
      <c r="C124" s="69" t="n">
        <f aca="false">OFFSET(TblPop[[#This Row],[Peasants]],-1,0)+OFFSET(TblPop[[#This Row],[Net Peasant]],-1,0)+TblMili[[#This Row],[Release Draft]]</f>
        <v>6182</v>
      </c>
      <c r="D124" s="69" t="n">
        <f aca="false">TblMili[[#This Row],[Military]]</f>
        <v>6757</v>
      </c>
      <c r="E124" s="69" t="n">
        <f aca="false">TblMili[[#This Row],[Draftees]]</f>
        <v>3533</v>
      </c>
      <c r="F124" s="69" t="n">
        <f aca="false">TblPop[[#This Row],[Peasants]]+TblPop[[#This Row],[Military]]</f>
        <v>12939</v>
      </c>
      <c r="G124" s="130" t="n">
        <f aca="false">TblPop[[#This Row],[Military]]/TblPop[[#This Row],[Total]]</f>
        <v>0.522219646031378</v>
      </c>
      <c r="H124" s="95" t="n">
        <f aca="false">MIN(TblPop[[#This Row],[Peasants]],TblPop[[#This Row],[Jobs]])</f>
        <v>6182</v>
      </c>
      <c r="I124" s="130" t="n">
        <f aca="false">MIN(OFFSET(TblPop[[#This Row],[Jobs]],1,0)/TblPop[[#This Row],[Peasants]],1)</f>
        <v>1</v>
      </c>
      <c r="J124" s="95" t="n">
        <f aca="false">SUM(TblConstr[[#This Row],[Tot Alc]:[Tot GT]],TblConstr[[#This Row],[Tot Shr]:[Tot Doc]],TblConstr[[#This Row],[Dest Alc]:[Dest GT]],TblConstr[[#This Row],[Dest Shr]:[Dest Doc]])*building_employment + TblConstr[[#This Row],[Tot Fac]]*bonus_jobs_facts</f>
        <v>12200</v>
      </c>
      <c r="K124" s="131"/>
      <c r="L124" s="33" t="n">
        <f aca="false">TblPop[[#This Row],[Draftees]]</f>
        <v>3533</v>
      </c>
      <c r="M124" s="33" t="n">
        <f aca="false">TblMili[[#This Row],[Unit 1]]</f>
        <v>0</v>
      </c>
      <c r="N124" s="33" t="n">
        <f aca="false">TblMili[[#This Row],[Unit 2]]</f>
        <v>1246</v>
      </c>
      <c r="O124" s="33" t="n">
        <f aca="false">TblMili[[#This Row],[Unit 3]]</f>
        <v>700</v>
      </c>
      <c r="P124" s="33" t="n">
        <f aca="false">TblMili[[#This Row],[Unit 4]]</f>
        <v>1228</v>
      </c>
      <c r="Q124" s="33" t="n">
        <f aca="false">TblMili[[#This Row],[Spies]]</f>
        <v>25</v>
      </c>
      <c r="R124" s="33" t="n">
        <f aca="false">TblMili[[#This Row],[Wizards]]</f>
        <v>25</v>
      </c>
      <c r="S124" s="33" t="n">
        <f aca="false">TblMili[[#This Row],[Archmages]]</f>
        <v>0</v>
      </c>
      <c r="T124" s="132"/>
      <c r="U124" s="69" t="n">
        <f aca="false">ROUND(TblPop[[#This Row],[Raw max]]*(1+TblPop[[#This Row],[Max pop]]),0)+MIN(TblPop[[#This Row],[Military]]-TblPop[[#This Row],[Draftees]]-SUM(TblMili[[#This Row],[Train Unit 1]:[Train AM]]),(barracks_size + tech_8_3*TblTech[[#This Row],[8-3]])*TblConstr[[#This Row],[Tot Bar]])</f>
        <v>12939</v>
      </c>
      <c r="V12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4" s="69" t="n">
        <f aca="false">MAX(-5%*TblPop[[#This Row],[Peasants]]-TblPop[[#This Row],[Draft Growth]],MIN(OFFSET(TblPop[[#This Row],[Net max]],1,0)-TblPop[[#This Row],[Peasants]]-TblPop[[#This Row],[Military]]-TblPop[[#This Row],[Draft Growth]],TblPop[[#This Row],[Modded Birth]]-TblPop[[#This Row],[Draft Growth]]))</f>
        <v>-62</v>
      </c>
      <c r="X124" s="69" t="n">
        <f aca="false">ROUND(TblPop[[#This Row],[Raw Birth]]*(1+TblPop[[#This Row],[Growth]]),0)</f>
        <v>258</v>
      </c>
      <c r="Y124" s="69" t="n">
        <f aca="false">(TblPop[[#This Row],[Peasants]]-TblPop[[#This Row],[Draft Growth]])*raw_pop_growth</f>
        <v>183.6</v>
      </c>
      <c r="Z124" s="69" t="n">
        <f aca="false">IF(TblPop[[#This Row],[Military%]]&lt;TblMili[[#This Row],[Draftrate]],ROUND(TblPop[[#This Row],[Peasants]]*Constants!$B$55,0), 0)</f>
        <v>62</v>
      </c>
      <c r="AA124" s="132"/>
      <c r="AB124" s="109" t="n">
        <f aca="false">Overview!$I$16 + IF(Magic!AE124&gt;0,Constants!$F$78) + ROUND(6*(Construction!BM125+Construction!CK124)/IF(Explore!S125&gt;0,Construction!F125-20,Construction!F125),4) + tech_6_5_2*Techs!BJ124 + tech_8_4*Techs!BT124</f>
        <v>0.4029</v>
      </c>
      <c r="AC124" s="130" t="n">
        <f aca="false">(Overview!$I$15 + Imps!Z124+ tech_2_5*Techs!AB124 + tech_3_6*Techs!AM124 + tech_6_1*Techs!BJ124 + tech_6_5*Techs!BF124 + tech_7_3_2*Techs!BN124) * (1 + Production!O124/100*prestige_pop_multiplier) + Production!O124/100*prestige_pop_multiplier</f>
        <v>0.07625</v>
      </c>
    </row>
    <row r="125" customFormat="false" ht="12.75" hidden="false" customHeight="false" outlineLevel="0" collapsed="false">
      <c r="A125" s="128" t="n">
        <f aca="false">TblRezone[[#This Row],[Hour]]</f>
        <v>122</v>
      </c>
      <c r="B125" s="129" t="n">
        <f aca="false">TblImps[[#This Row],[Time]]</f>
        <v>45434.7916666667</v>
      </c>
      <c r="C125" s="69" t="n">
        <f aca="false">OFFSET(TblPop[[#This Row],[Peasants]],-1,0)+OFFSET(TblPop[[#This Row],[Net Peasant]],-1,0)+TblMili[[#This Row],[Release Draft]]</f>
        <v>6120</v>
      </c>
      <c r="D125" s="69" t="n">
        <f aca="false">TblMili[[#This Row],[Military]]</f>
        <v>6819</v>
      </c>
      <c r="E125" s="69" t="n">
        <f aca="false">TblMili[[#This Row],[Draftees]]</f>
        <v>3595</v>
      </c>
      <c r="F125" s="69" t="n">
        <f aca="false">TblPop[[#This Row],[Peasants]]+TblPop[[#This Row],[Military]]</f>
        <v>12939</v>
      </c>
      <c r="G125" s="130" t="n">
        <f aca="false">TblPop[[#This Row],[Military]]/TblPop[[#This Row],[Total]]</f>
        <v>0.527011361001623</v>
      </c>
      <c r="H125" s="95" t="n">
        <f aca="false">MIN(TblPop[[#This Row],[Peasants]],TblPop[[#This Row],[Jobs]])</f>
        <v>6120</v>
      </c>
      <c r="I125" s="130" t="n">
        <f aca="false">MIN(OFFSET(TblPop[[#This Row],[Jobs]],1,0)/TblPop[[#This Row],[Peasants]],1)</f>
        <v>1</v>
      </c>
      <c r="J125" s="95" t="n">
        <f aca="false">SUM(TblConstr[[#This Row],[Tot Alc]:[Tot GT]],TblConstr[[#This Row],[Tot Shr]:[Tot Doc]],TblConstr[[#This Row],[Dest Alc]:[Dest GT]],TblConstr[[#This Row],[Dest Shr]:[Dest Doc]])*building_employment + TblConstr[[#This Row],[Tot Fac]]*bonus_jobs_facts</f>
        <v>12200</v>
      </c>
      <c r="K125" s="131"/>
      <c r="L125" s="33" t="n">
        <f aca="false">TblPop[[#This Row],[Draftees]]</f>
        <v>3595</v>
      </c>
      <c r="M125" s="33" t="n">
        <f aca="false">TblMili[[#This Row],[Unit 1]]</f>
        <v>0</v>
      </c>
      <c r="N125" s="33" t="n">
        <f aca="false">TblMili[[#This Row],[Unit 2]]</f>
        <v>1246</v>
      </c>
      <c r="O125" s="33" t="n">
        <f aca="false">TblMili[[#This Row],[Unit 3]]</f>
        <v>700</v>
      </c>
      <c r="P125" s="33" t="n">
        <f aca="false">TblMili[[#This Row],[Unit 4]]</f>
        <v>1228</v>
      </c>
      <c r="Q125" s="33" t="n">
        <f aca="false">TblMili[[#This Row],[Spies]]</f>
        <v>25</v>
      </c>
      <c r="R125" s="33" t="n">
        <f aca="false">TblMili[[#This Row],[Wizards]]</f>
        <v>25</v>
      </c>
      <c r="S125" s="33" t="n">
        <f aca="false">TblMili[[#This Row],[Archmages]]</f>
        <v>0</v>
      </c>
      <c r="T125" s="132"/>
      <c r="U125" s="69" t="n">
        <f aca="false">ROUND(TblPop[[#This Row],[Raw max]]*(1+TblPop[[#This Row],[Max pop]]),0)+MIN(TblPop[[#This Row],[Military]]-TblPop[[#This Row],[Draftees]]-SUM(TblMili[[#This Row],[Train Unit 1]:[Train AM]]),(barracks_size + tech_8_3*TblTech[[#This Row],[8-3]])*TblConstr[[#This Row],[Tot Bar]])</f>
        <v>12939</v>
      </c>
      <c r="V12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5" s="69" t="n">
        <f aca="false">MAX(-5%*TblPop[[#This Row],[Peasants]]-TblPop[[#This Row],[Draft Growth]],MIN(OFFSET(TblPop[[#This Row],[Net max]],1,0)-TblPop[[#This Row],[Peasants]]-TblPop[[#This Row],[Military]]-TblPop[[#This Row],[Draft Growth]],TblPop[[#This Row],[Modded Birth]]-TblPop[[#This Row],[Draft Growth]]))</f>
        <v>-61</v>
      </c>
      <c r="X125" s="69" t="n">
        <f aca="false">ROUND(TblPop[[#This Row],[Raw Birth]]*(1+TblPop[[#This Row],[Growth]]),0)</f>
        <v>255</v>
      </c>
      <c r="Y125" s="69" t="n">
        <f aca="false">(TblPop[[#This Row],[Peasants]]-TblPop[[#This Row],[Draft Growth]])*raw_pop_growth</f>
        <v>181.77</v>
      </c>
      <c r="Z125" s="69" t="n">
        <f aca="false">IF(TblPop[[#This Row],[Military%]]&lt;TblMili[[#This Row],[Draftrate]],ROUND(TblPop[[#This Row],[Peasants]]*Constants!$B$55,0), 0)</f>
        <v>61</v>
      </c>
      <c r="AA125" s="132"/>
      <c r="AB125" s="109" t="n">
        <f aca="false">Overview!$I$16 + IF(Magic!AE125&gt;0,Constants!$F$78) + ROUND(6*(Construction!BM126+Construction!CK125)/IF(Explore!S126&gt;0,Construction!F126-20,Construction!F126),4) + tech_6_5_2*Techs!BJ125 + tech_8_4*Techs!BT125</f>
        <v>0.4029</v>
      </c>
      <c r="AC125" s="130" t="n">
        <f aca="false">(Overview!$I$15 + Imps!Z125+ tech_2_5*Techs!AB125 + tech_3_6*Techs!AM125 + tech_6_1*Techs!BJ125 + tech_6_5*Techs!BF125 + tech_7_3_2*Techs!BN125) * (1 + Production!O125/100*prestige_pop_multiplier) + Production!O125/100*prestige_pop_multiplier</f>
        <v>0.07625</v>
      </c>
    </row>
    <row r="126" customFormat="false" ht="12.75" hidden="false" customHeight="false" outlineLevel="0" collapsed="false">
      <c r="A126" s="128" t="n">
        <f aca="false">TblRezone[[#This Row],[Hour]]</f>
        <v>123</v>
      </c>
      <c r="B126" s="129" t="n">
        <f aca="false">TblImps[[#This Row],[Time]]</f>
        <v>45434.8333333333</v>
      </c>
      <c r="C126" s="69" t="n">
        <f aca="false">OFFSET(TblPop[[#This Row],[Peasants]],-1,0)+OFFSET(TblPop[[#This Row],[Net Peasant]],-1,0)+TblMili[[#This Row],[Release Draft]]</f>
        <v>6059</v>
      </c>
      <c r="D126" s="69" t="n">
        <f aca="false">TblMili[[#This Row],[Military]]</f>
        <v>6880</v>
      </c>
      <c r="E126" s="69" t="n">
        <f aca="false">TblMili[[#This Row],[Draftees]]</f>
        <v>3656</v>
      </c>
      <c r="F126" s="69" t="n">
        <f aca="false">TblPop[[#This Row],[Peasants]]+TblPop[[#This Row],[Military]]</f>
        <v>12939</v>
      </c>
      <c r="G126" s="130" t="n">
        <f aca="false">TblPop[[#This Row],[Military]]/TblPop[[#This Row],[Total]]</f>
        <v>0.531725790246541</v>
      </c>
      <c r="H126" s="95" t="n">
        <f aca="false">MIN(TblPop[[#This Row],[Peasants]],TblPop[[#This Row],[Jobs]])</f>
        <v>6059</v>
      </c>
      <c r="I126" s="130" t="n">
        <f aca="false">MIN(OFFSET(TblPop[[#This Row],[Jobs]],1,0)/TblPop[[#This Row],[Peasants]],1)</f>
        <v>1</v>
      </c>
      <c r="J126" s="95" t="n">
        <f aca="false">SUM(TblConstr[[#This Row],[Tot Alc]:[Tot GT]],TblConstr[[#This Row],[Tot Shr]:[Tot Doc]],TblConstr[[#This Row],[Dest Alc]:[Dest GT]],TblConstr[[#This Row],[Dest Shr]:[Dest Doc]])*building_employment + TblConstr[[#This Row],[Tot Fac]]*bonus_jobs_facts</f>
        <v>12200</v>
      </c>
      <c r="K126" s="131"/>
      <c r="L126" s="33" t="n">
        <f aca="false">TblPop[[#This Row],[Draftees]]</f>
        <v>3656</v>
      </c>
      <c r="M126" s="33" t="n">
        <f aca="false">TblMili[[#This Row],[Unit 1]]</f>
        <v>0</v>
      </c>
      <c r="N126" s="33" t="n">
        <f aca="false">TblMili[[#This Row],[Unit 2]]</f>
        <v>1246</v>
      </c>
      <c r="O126" s="33" t="n">
        <f aca="false">TblMili[[#This Row],[Unit 3]]</f>
        <v>700</v>
      </c>
      <c r="P126" s="33" t="n">
        <f aca="false">TblMili[[#This Row],[Unit 4]]</f>
        <v>1228</v>
      </c>
      <c r="Q126" s="33" t="n">
        <f aca="false">TblMili[[#This Row],[Spies]]</f>
        <v>25</v>
      </c>
      <c r="R126" s="33" t="n">
        <f aca="false">TblMili[[#This Row],[Wizards]]</f>
        <v>25</v>
      </c>
      <c r="S126" s="33" t="n">
        <f aca="false">TblMili[[#This Row],[Archmages]]</f>
        <v>0</v>
      </c>
      <c r="T126" s="132"/>
      <c r="U126" s="69" t="n">
        <f aca="false">ROUND(TblPop[[#This Row],[Raw max]]*(1+TblPop[[#This Row],[Max pop]]),0)+MIN(TblPop[[#This Row],[Military]]-TblPop[[#This Row],[Draftees]]-SUM(TblMili[[#This Row],[Train Unit 1]:[Train AM]]),(barracks_size + tech_8_3*TblTech[[#This Row],[8-3]])*TblConstr[[#This Row],[Tot Bar]])</f>
        <v>12939</v>
      </c>
      <c r="V12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6" s="69" t="n">
        <f aca="false">MAX(-5%*TblPop[[#This Row],[Peasants]]-TblPop[[#This Row],[Draft Growth]],MIN(OFFSET(TblPop[[#This Row],[Net max]],1,0)-TblPop[[#This Row],[Peasants]]-TblPop[[#This Row],[Military]]-TblPop[[#This Row],[Draft Growth]],TblPop[[#This Row],[Modded Birth]]-TblPop[[#This Row],[Draft Growth]]))</f>
        <v>-61</v>
      </c>
      <c r="X126" s="69" t="n">
        <f aca="false">ROUND(TblPop[[#This Row],[Raw Birth]]*(1+TblPop[[#This Row],[Growth]]),0)</f>
        <v>252</v>
      </c>
      <c r="Y126" s="69" t="n">
        <f aca="false">(TblPop[[#This Row],[Peasants]]-TblPop[[#This Row],[Draft Growth]])*raw_pop_growth</f>
        <v>179.94</v>
      </c>
      <c r="Z126" s="69" t="n">
        <f aca="false">IF(TblPop[[#This Row],[Military%]]&lt;TblMili[[#This Row],[Draftrate]],ROUND(TblPop[[#This Row],[Peasants]]*Constants!$B$55,0), 0)</f>
        <v>61</v>
      </c>
      <c r="AA126" s="132"/>
      <c r="AB126" s="109" t="n">
        <f aca="false">Overview!$I$16 + IF(Magic!AE126&gt;0,Constants!$F$78) + ROUND(6*(Construction!BM127+Construction!CK126)/IF(Explore!S127&gt;0,Construction!F127-20,Construction!F127),4) + tech_6_5_2*Techs!BJ126 + tech_8_4*Techs!BT126</f>
        <v>0.4029</v>
      </c>
      <c r="AC126" s="130" t="n">
        <f aca="false">(Overview!$I$15 + Imps!Z126+ tech_2_5*Techs!AB126 + tech_3_6*Techs!AM126 + tech_6_1*Techs!BJ126 + tech_6_5*Techs!BF126 + tech_7_3_2*Techs!BN126) * (1 + Production!O126/100*prestige_pop_multiplier) + Production!O126/100*prestige_pop_multiplier</f>
        <v>0.07625</v>
      </c>
    </row>
    <row r="127" customFormat="false" ht="12.75" hidden="false" customHeight="false" outlineLevel="0" collapsed="false">
      <c r="A127" s="128" t="n">
        <f aca="false">TblRezone[[#This Row],[Hour]]</f>
        <v>124</v>
      </c>
      <c r="B127" s="129" t="n">
        <f aca="false">TblImps[[#This Row],[Time]]</f>
        <v>45434.875</v>
      </c>
      <c r="C127" s="69" t="n">
        <f aca="false">OFFSET(TblPop[[#This Row],[Peasants]],-1,0)+OFFSET(TblPop[[#This Row],[Net Peasant]],-1,0)+TblMili[[#This Row],[Release Draft]]</f>
        <v>5998</v>
      </c>
      <c r="D127" s="69" t="n">
        <f aca="false">TblMili[[#This Row],[Military]]</f>
        <v>6941</v>
      </c>
      <c r="E127" s="69" t="n">
        <f aca="false">TblMili[[#This Row],[Draftees]]</f>
        <v>3717</v>
      </c>
      <c r="F127" s="69" t="n">
        <f aca="false">TblPop[[#This Row],[Peasants]]+TblPop[[#This Row],[Military]]</f>
        <v>12939</v>
      </c>
      <c r="G127" s="130" t="n">
        <f aca="false">TblPop[[#This Row],[Military]]/TblPop[[#This Row],[Total]]</f>
        <v>0.53644021949146</v>
      </c>
      <c r="H127" s="95" t="n">
        <f aca="false">MIN(TblPop[[#This Row],[Peasants]],TblPop[[#This Row],[Jobs]])</f>
        <v>5998</v>
      </c>
      <c r="I127" s="130" t="n">
        <f aca="false">MIN(OFFSET(TblPop[[#This Row],[Jobs]],1,0)/TblPop[[#This Row],[Peasants]],1)</f>
        <v>1</v>
      </c>
      <c r="J127" s="95" t="n">
        <f aca="false">SUM(TblConstr[[#This Row],[Tot Alc]:[Tot GT]],TblConstr[[#This Row],[Tot Shr]:[Tot Doc]],TblConstr[[#This Row],[Dest Alc]:[Dest GT]],TblConstr[[#This Row],[Dest Shr]:[Dest Doc]])*building_employment + TblConstr[[#This Row],[Tot Fac]]*bonus_jobs_facts</f>
        <v>12200</v>
      </c>
      <c r="K127" s="131"/>
      <c r="L127" s="33" t="n">
        <f aca="false">TblPop[[#This Row],[Draftees]]</f>
        <v>3717</v>
      </c>
      <c r="M127" s="33" t="n">
        <f aca="false">TblMili[[#This Row],[Unit 1]]</f>
        <v>0</v>
      </c>
      <c r="N127" s="33" t="n">
        <f aca="false">TblMili[[#This Row],[Unit 2]]</f>
        <v>1246</v>
      </c>
      <c r="O127" s="33" t="n">
        <f aca="false">TblMili[[#This Row],[Unit 3]]</f>
        <v>700</v>
      </c>
      <c r="P127" s="33" t="n">
        <f aca="false">TblMili[[#This Row],[Unit 4]]</f>
        <v>1228</v>
      </c>
      <c r="Q127" s="33" t="n">
        <f aca="false">TblMili[[#This Row],[Spies]]</f>
        <v>25</v>
      </c>
      <c r="R127" s="33" t="n">
        <f aca="false">TblMili[[#This Row],[Wizards]]</f>
        <v>25</v>
      </c>
      <c r="S127" s="33" t="n">
        <f aca="false">TblMili[[#This Row],[Archmages]]</f>
        <v>0</v>
      </c>
      <c r="T127" s="132"/>
      <c r="U127" s="69" t="n">
        <f aca="false">ROUND(TblPop[[#This Row],[Raw max]]*(1+TblPop[[#This Row],[Max pop]]),0)+MIN(TblPop[[#This Row],[Military]]-TblPop[[#This Row],[Draftees]]-SUM(TblMili[[#This Row],[Train Unit 1]:[Train AM]]),(barracks_size + tech_8_3*TblTech[[#This Row],[8-3]])*TblConstr[[#This Row],[Tot Bar]])</f>
        <v>12939</v>
      </c>
      <c r="V12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7" s="69" t="n">
        <f aca="false">MAX(-5%*TblPop[[#This Row],[Peasants]]-TblPop[[#This Row],[Draft Growth]],MIN(OFFSET(TblPop[[#This Row],[Net max]],1,0)-TblPop[[#This Row],[Peasants]]-TblPop[[#This Row],[Military]]-TblPop[[#This Row],[Draft Growth]],TblPop[[#This Row],[Modded Birth]]-TblPop[[#This Row],[Draft Growth]]))</f>
        <v>-60</v>
      </c>
      <c r="X127" s="69" t="n">
        <f aca="false">ROUND(TblPop[[#This Row],[Raw Birth]]*(1+TblPop[[#This Row],[Growth]]),0)</f>
        <v>250</v>
      </c>
      <c r="Y127" s="69" t="n">
        <f aca="false">(TblPop[[#This Row],[Peasants]]-TblPop[[#This Row],[Draft Growth]])*raw_pop_growth</f>
        <v>178.14</v>
      </c>
      <c r="Z127" s="69" t="n">
        <f aca="false">IF(TblPop[[#This Row],[Military%]]&lt;TblMili[[#This Row],[Draftrate]],ROUND(TblPop[[#This Row],[Peasants]]*Constants!$B$55,0), 0)</f>
        <v>60</v>
      </c>
      <c r="AA127" s="132"/>
      <c r="AB127" s="109" t="n">
        <f aca="false">Overview!$I$16 + IF(Magic!AE127&gt;0,Constants!$F$78) + ROUND(6*(Construction!BM128+Construction!CK127)/IF(Explore!S128&gt;0,Construction!F128-20,Construction!F128),4) + tech_6_5_2*Techs!BJ127 + tech_8_4*Techs!BT127</f>
        <v>0.4029</v>
      </c>
      <c r="AC127" s="130" t="n">
        <f aca="false">(Overview!$I$15 + Imps!Z127+ tech_2_5*Techs!AB127 + tech_3_6*Techs!AM127 + tech_6_1*Techs!BJ127 + tech_6_5*Techs!BF127 + tech_7_3_2*Techs!BN127) * (1 + Production!O127/100*prestige_pop_multiplier) + Production!O127/100*prestige_pop_multiplier</f>
        <v>0.07625</v>
      </c>
    </row>
    <row r="128" customFormat="false" ht="12.75" hidden="false" customHeight="false" outlineLevel="0" collapsed="false">
      <c r="A128" s="128" t="n">
        <f aca="false">TblRezone[[#This Row],[Hour]]</f>
        <v>125</v>
      </c>
      <c r="B128" s="129" t="n">
        <f aca="false">TblImps[[#This Row],[Time]]</f>
        <v>45434.9166666667</v>
      </c>
      <c r="C128" s="69" t="n">
        <f aca="false">OFFSET(TblPop[[#This Row],[Peasants]],-1,0)+OFFSET(TblPop[[#This Row],[Net Peasant]],-1,0)+TblMili[[#This Row],[Release Draft]]</f>
        <v>5938</v>
      </c>
      <c r="D128" s="69" t="n">
        <f aca="false">TblMili[[#This Row],[Military]]</f>
        <v>7001</v>
      </c>
      <c r="E128" s="69" t="n">
        <f aca="false">TblMili[[#This Row],[Draftees]]</f>
        <v>3777</v>
      </c>
      <c r="F128" s="69" t="n">
        <f aca="false">TblPop[[#This Row],[Peasants]]+TblPop[[#This Row],[Military]]</f>
        <v>12939</v>
      </c>
      <c r="G128" s="130" t="n">
        <f aca="false">TblPop[[#This Row],[Military]]/TblPop[[#This Row],[Total]]</f>
        <v>0.541077363011052</v>
      </c>
      <c r="H128" s="95" t="n">
        <f aca="false">MIN(TblPop[[#This Row],[Peasants]],TblPop[[#This Row],[Jobs]])</f>
        <v>5938</v>
      </c>
      <c r="I128" s="130" t="n">
        <f aca="false">MIN(OFFSET(TblPop[[#This Row],[Jobs]],1,0)/TblPop[[#This Row],[Peasants]],1)</f>
        <v>1</v>
      </c>
      <c r="J128" s="95" t="n">
        <f aca="false">SUM(TblConstr[[#This Row],[Tot Alc]:[Tot GT]],TblConstr[[#This Row],[Tot Shr]:[Tot Doc]],TblConstr[[#This Row],[Dest Alc]:[Dest GT]],TblConstr[[#This Row],[Dest Shr]:[Dest Doc]])*building_employment + TblConstr[[#This Row],[Tot Fac]]*bonus_jobs_facts</f>
        <v>12200</v>
      </c>
      <c r="K128" s="131"/>
      <c r="L128" s="33" t="n">
        <f aca="false">TblPop[[#This Row],[Draftees]]</f>
        <v>3777</v>
      </c>
      <c r="M128" s="33" t="n">
        <f aca="false">TblMili[[#This Row],[Unit 1]]</f>
        <v>0</v>
      </c>
      <c r="N128" s="33" t="n">
        <f aca="false">TblMili[[#This Row],[Unit 2]]</f>
        <v>1246</v>
      </c>
      <c r="O128" s="33" t="n">
        <f aca="false">TblMili[[#This Row],[Unit 3]]</f>
        <v>700</v>
      </c>
      <c r="P128" s="33" t="n">
        <f aca="false">TblMili[[#This Row],[Unit 4]]</f>
        <v>1228</v>
      </c>
      <c r="Q128" s="33" t="n">
        <f aca="false">TblMili[[#This Row],[Spies]]</f>
        <v>25</v>
      </c>
      <c r="R128" s="33" t="n">
        <f aca="false">TblMili[[#This Row],[Wizards]]</f>
        <v>25</v>
      </c>
      <c r="S128" s="33" t="n">
        <f aca="false">TblMili[[#This Row],[Archmages]]</f>
        <v>0</v>
      </c>
      <c r="T128" s="132"/>
      <c r="U128" s="69" t="n">
        <f aca="false">ROUND(TblPop[[#This Row],[Raw max]]*(1+TblPop[[#This Row],[Max pop]]),0)+MIN(TblPop[[#This Row],[Military]]-TblPop[[#This Row],[Draftees]]-SUM(TblMili[[#This Row],[Train Unit 1]:[Train AM]]),(barracks_size + tech_8_3*TblTech[[#This Row],[8-3]])*TblConstr[[#This Row],[Tot Bar]])</f>
        <v>12939</v>
      </c>
      <c r="V12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8" s="69" t="n">
        <f aca="false">MAX(-5%*TblPop[[#This Row],[Peasants]]-TblPop[[#This Row],[Draft Growth]],MIN(OFFSET(TblPop[[#This Row],[Net max]],1,0)-TblPop[[#This Row],[Peasants]]-TblPop[[#This Row],[Military]]-TblPop[[#This Row],[Draft Growth]],TblPop[[#This Row],[Modded Birth]]-TblPop[[#This Row],[Draft Growth]]))</f>
        <v>-59</v>
      </c>
      <c r="X128" s="69" t="n">
        <f aca="false">ROUND(TblPop[[#This Row],[Raw Birth]]*(1+TblPop[[#This Row],[Growth]]),0)</f>
        <v>247</v>
      </c>
      <c r="Y128" s="69" t="n">
        <f aca="false">(TblPop[[#This Row],[Peasants]]-TblPop[[#This Row],[Draft Growth]])*raw_pop_growth</f>
        <v>176.37</v>
      </c>
      <c r="Z128" s="69" t="n">
        <f aca="false">IF(TblPop[[#This Row],[Military%]]&lt;TblMili[[#This Row],[Draftrate]],ROUND(TblPop[[#This Row],[Peasants]]*Constants!$B$55,0), 0)</f>
        <v>59</v>
      </c>
      <c r="AA128" s="132"/>
      <c r="AB128" s="109" t="n">
        <f aca="false">Overview!$I$16 + IF(Magic!AE128&gt;0,Constants!$F$78) + ROUND(6*(Construction!BM129+Construction!CK128)/IF(Explore!S129&gt;0,Construction!F129-20,Construction!F129),4) + tech_6_5_2*Techs!BJ128 + tech_8_4*Techs!BT128</f>
        <v>0.4029</v>
      </c>
      <c r="AC128" s="130" t="n">
        <f aca="false">(Overview!$I$15 + Imps!Z128+ tech_2_5*Techs!AB128 + tech_3_6*Techs!AM128 + tech_6_1*Techs!BJ128 + tech_6_5*Techs!BF128 + tech_7_3_2*Techs!BN128) * (1 + Production!O128/100*prestige_pop_multiplier) + Production!O128/100*prestige_pop_multiplier</f>
        <v>0.07625</v>
      </c>
    </row>
    <row r="129" customFormat="false" ht="12.75" hidden="false" customHeight="false" outlineLevel="0" collapsed="false">
      <c r="A129" s="128" t="n">
        <f aca="false">TblRezone[[#This Row],[Hour]]</f>
        <v>126</v>
      </c>
      <c r="B129" s="129" t="n">
        <f aca="false">TblImps[[#This Row],[Time]]</f>
        <v>45434.9583333333</v>
      </c>
      <c r="C129" s="69" t="n">
        <f aca="false">OFFSET(TblPop[[#This Row],[Peasants]],-1,0)+OFFSET(TblPop[[#This Row],[Net Peasant]],-1,0)+TblMili[[#This Row],[Release Draft]]</f>
        <v>5879</v>
      </c>
      <c r="D129" s="69" t="n">
        <f aca="false">TblMili[[#This Row],[Military]]</f>
        <v>7060</v>
      </c>
      <c r="E129" s="69" t="n">
        <f aca="false">TblMili[[#This Row],[Draftees]]</f>
        <v>3836</v>
      </c>
      <c r="F129" s="69" t="n">
        <f aca="false">TblPop[[#This Row],[Peasants]]+TblPop[[#This Row],[Military]]</f>
        <v>12939</v>
      </c>
      <c r="G129" s="130" t="n">
        <f aca="false">TblPop[[#This Row],[Military]]/TblPop[[#This Row],[Total]]</f>
        <v>0.545637220805317</v>
      </c>
      <c r="H129" s="95" t="n">
        <f aca="false">MIN(TblPop[[#This Row],[Peasants]],TblPop[[#This Row],[Jobs]])</f>
        <v>5879</v>
      </c>
      <c r="I129" s="130" t="n">
        <f aca="false">MIN(OFFSET(TblPop[[#This Row],[Jobs]],1,0)/TblPop[[#This Row],[Peasants]],1)</f>
        <v>1</v>
      </c>
      <c r="J129" s="95" t="n">
        <f aca="false">SUM(TblConstr[[#This Row],[Tot Alc]:[Tot GT]],TblConstr[[#This Row],[Tot Shr]:[Tot Doc]],TblConstr[[#This Row],[Dest Alc]:[Dest GT]],TblConstr[[#This Row],[Dest Shr]:[Dest Doc]])*building_employment + TblConstr[[#This Row],[Tot Fac]]*bonus_jobs_facts</f>
        <v>12200</v>
      </c>
      <c r="K129" s="131"/>
      <c r="L129" s="33" t="n">
        <f aca="false">TblPop[[#This Row],[Draftees]]</f>
        <v>3836</v>
      </c>
      <c r="M129" s="33" t="n">
        <f aca="false">TblMili[[#This Row],[Unit 1]]</f>
        <v>0</v>
      </c>
      <c r="N129" s="33" t="n">
        <f aca="false">TblMili[[#This Row],[Unit 2]]</f>
        <v>1246</v>
      </c>
      <c r="O129" s="33" t="n">
        <f aca="false">TblMili[[#This Row],[Unit 3]]</f>
        <v>700</v>
      </c>
      <c r="P129" s="33" t="n">
        <f aca="false">TblMili[[#This Row],[Unit 4]]</f>
        <v>1228</v>
      </c>
      <c r="Q129" s="33" t="n">
        <f aca="false">TblMili[[#This Row],[Spies]]</f>
        <v>25</v>
      </c>
      <c r="R129" s="33" t="n">
        <f aca="false">TblMili[[#This Row],[Wizards]]</f>
        <v>25</v>
      </c>
      <c r="S129" s="33" t="n">
        <f aca="false">TblMili[[#This Row],[Archmages]]</f>
        <v>0</v>
      </c>
      <c r="T129" s="132"/>
      <c r="U129" s="69" t="n">
        <f aca="false">ROUND(TblPop[[#This Row],[Raw max]]*(1+TblPop[[#This Row],[Max pop]]),0)+MIN(TblPop[[#This Row],[Military]]-TblPop[[#This Row],[Draftees]]-SUM(TblMili[[#This Row],[Train Unit 1]:[Train AM]]),(barracks_size + tech_8_3*TblTech[[#This Row],[8-3]])*TblConstr[[#This Row],[Tot Bar]])</f>
        <v>12939</v>
      </c>
      <c r="V12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9" s="69" t="n">
        <f aca="false">MAX(-5%*TblPop[[#This Row],[Peasants]]-TblPop[[#This Row],[Draft Growth]],MIN(OFFSET(TblPop[[#This Row],[Net max]],1,0)-TblPop[[#This Row],[Peasants]]-TblPop[[#This Row],[Military]]-TblPop[[#This Row],[Draft Growth]],TblPop[[#This Row],[Modded Birth]]-TblPop[[#This Row],[Draft Growth]]))</f>
        <v>-59</v>
      </c>
      <c r="X129" s="69" t="n">
        <f aca="false">ROUND(TblPop[[#This Row],[Raw Birth]]*(1+TblPop[[#This Row],[Growth]]),0)</f>
        <v>245</v>
      </c>
      <c r="Y129" s="69" t="n">
        <f aca="false">(TblPop[[#This Row],[Peasants]]-TblPop[[#This Row],[Draft Growth]])*raw_pop_growth</f>
        <v>174.6</v>
      </c>
      <c r="Z129" s="69" t="n">
        <f aca="false">IF(TblPop[[#This Row],[Military%]]&lt;TblMili[[#This Row],[Draftrate]],ROUND(TblPop[[#This Row],[Peasants]]*Constants!$B$55,0), 0)</f>
        <v>59</v>
      </c>
      <c r="AA129" s="132"/>
      <c r="AB129" s="109" t="n">
        <f aca="false">Overview!$I$16 + IF(Magic!AE129&gt;0,Constants!$F$78) + ROUND(6*(Construction!BM130+Construction!CK129)/IF(Explore!S130&gt;0,Construction!F130-20,Construction!F130),4) + tech_6_5_2*Techs!BJ129 + tech_8_4*Techs!BT129</f>
        <v>0.4029</v>
      </c>
      <c r="AC129" s="130" t="n">
        <f aca="false">(Overview!$I$15 + Imps!Z129+ tech_2_5*Techs!AB129 + tech_3_6*Techs!AM129 + tech_6_1*Techs!BJ129 + tech_6_5*Techs!BF129 + tech_7_3_2*Techs!BN129) * (1 + Production!O129/100*prestige_pop_multiplier) + Production!O129/100*prestige_pop_multiplier</f>
        <v>0.07625</v>
      </c>
    </row>
    <row r="130" customFormat="false" ht="12.75" hidden="false" customHeight="false" outlineLevel="0" collapsed="false">
      <c r="A130" s="128" t="n">
        <f aca="false">TblRezone[[#This Row],[Hour]]</f>
        <v>127</v>
      </c>
      <c r="B130" s="129" t="n">
        <f aca="false">TblImps[[#This Row],[Time]]</f>
        <v>45435</v>
      </c>
      <c r="C130" s="69" t="n">
        <f aca="false">OFFSET(TblPop[[#This Row],[Peasants]],-1,0)+OFFSET(TblPop[[#This Row],[Net Peasant]],-1,0)+TblMili[[#This Row],[Release Draft]]</f>
        <v>5820</v>
      </c>
      <c r="D130" s="69" t="n">
        <f aca="false">TblMili[[#This Row],[Military]]</f>
        <v>7119</v>
      </c>
      <c r="E130" s="69" t="n">
        <f aca="false">TblMili[[#This Row],[Draftees]]</f>
        <v>3895</v>
      </c>
      <c r="F130" s="69" t="n">
        <f aca="false">TblPop[[#This Row],[Peasants]]+TblPop[[#This Row],[Military]]</f>
        <v>12939</v>
      </c>
      <c r="G130" s="130" t="n">
        <f aca="false">TblPop[[#This Row],[Military]]/TblPop[[#This Row],[Total]]</f>
        <v>0.550197078599583</v>
      </c>
      <c r="H130" s="95" t="n">
        <f aca="false">MIN(TblPop[[#This Row],[Peasants]],TblPop[[#This Row],[Jobs]])</f>
        <v>5820</v>
      </c>
      <c r="I130" s="130" t="n">
        <f aca="false">MIN(OFFSET(TblPop[[#This Row],[Jobs]],1,0)/TblPop[[#This Row],[Peasants]],1)</f>
        <v>1</v>
      </c>
      <c r="J130" s="95" t="n">
        <f aca="false">SUM(TblConstr[[#This Row],[Tot Alc]:[Tot GT]],TblConstr[[#This Row],[Tot Shr]:[Tot Doc]],TblConstr[[#This Row],[Dest Alc]:[Dest GT]],TblConstr[[#This Row],[Dest Shr]:[Dest Doc]])*building_employment + TblConstr[[#This Row],[Tot Fac]]*bonus_jobs_facts</f>
        <v>12200</v>
      </c>
      <c r="K130" s="131"/>
      <c r="L130" s="33" t="n">
        <f aca="false">TblPop[[#This Row],[Draftees]]</f>
        <v>3895</v>
      </c>
      <c r="M130" s="33" t="n">
        <f aca="false">TblMili[[#This Row],[Unit 1]]</f>
        <v>0</v>
      </c>
      <c r="N130" s="33" t="n">
        <f aca="false">TblMili[[#This Row],[Unit 2]]</f>
        <v>1246</v>
      </c>
      <c r="O130" s="33" t="n">
        <f aca="false">TblMili[[#This Row],[Unit 3]]</f>
        <v>700</v>
      </c>
      <c r="P130" s="33" t="n">
        <f aca="false">TblMili[[#This Row],[Unit 4]]</f>
        <v>1228</v>
      </c>
      <c r="Q130" s="33" t="n">
        <f aca="false">TblMili[[#This Row],[Spies]]</f>
        <v>25</v>
      </c>
      <c r="R130" s="33" t="n">
        <f aca="false">TblMili[[#This Row],[Wizards]]</f>
        <v>25</v>
      </c>
      <c r="S130" s="33" t="n">
        <f aca="false">TblMili[[#This Row],[Archmages]]</f>
        <v>0</v>
      </c>
      <c r="T130" s="132"/>
      <c r="U130" s="69" t="n">
        <f aca="false">ROUND(TblPop[[#This Row],[Raw max]]*(1+TblPop[[#This Row],[Max pop]]),0)+MIN(TblPop[[#This Row],[Military]]-TblPop[[#This Row],[Draftees]]-SUM(TblMili[[#This Row],[Train Unit 1]:[Train AM]]),(barracks_size + tech_8_3*TblTech[[#This Row],[8-3]])*TblConstr[[#This Row],[Tot Bar]])</f>
        <v>12939</v>
      </c>
      <c r="V13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0" s="69" t="n">
        <f aca="false">MAX(-5%*TblPop[[#This Row],[Peasants]]-TblPop[[#This Row],[Draft Growth]],MIN(OFFSET(TblPop[[#This Row],[Net max]],1,0)-TblPop[[#This Row],[Peasants]]-TblPop[[#This Row],[Military]]-TblPop[[#This Row],[Draft Growth]],TblPop[[#This Row],[Modded Birth]]-TblPop[[#This Row],[Draft Growth]]))</f>
        <v>-58</v>
      </c>
      <c r="X130" s="69" t="n">
        <f aca="false">ROUND(TblPop[[#This Row],[Raw Birth]]*(1+TblPop[[#This Row],[Growth]]),0)</f>
        <v>243</v>
      </c>
      <c r="Y130" s="69" t="n">
        <f aca="false">(TblPop[[#This Row],[Peasants]]-TblPop[[#This Row],[Draft Growth]])*raw_pop_growth</f>
        <v>172.86</v>
      </c>
      <c r="Z130" s="69" t="n">
        <f aca="false">IF(TblPop[[#This Row],[Military%]]&lt;TblMili[[#This Row],[Draftrate]],ROUND(TblPop[[#This Row],[Peasants]]*Constants!$B$55,0), 0)</f>
        <v>58</v>
      </c>
      <c r="AA130" s="132"/>
      <c r="AB130" s="109" t="n">
        <f aca="false">Overview!$I$16 + IF(Magic!AE130&gt;0,Constants!$F$78) + ROUND(6*(Construction!BM131+Construction!CK130)/IF(Explore!S131&gt;0,Construction!F131-20,Construction!F131),4) + tech_6_5_2*Techs!BJ130 + tech_8_4*Techs!BT130</f>
        <v>0.4029</v>
      </c>
      <c r="AC130" s="130" t="n">
        <f aca="false">(Overview!$I$15 + Imps!Z130+ tech_2_5*Techs!AB130 + tech_3_6*Techs!AM130 + tech_6_1*Techs!BJ130 + tech_6_5*Techs!BF130 + tech_7_3_2*Techs!BN130) * (1 + Production!O130/100*prestige_pop_multiplier) + Production!O130/100*prestige_pop_multiplier</f>
        <v>0.07625</v>
      </c>
    </row>
    <row r="131" customFormat="false" ht="12.75" hidden="false" customHeight="false" outlineLevel="0" collapsed="false">
      <c r="A131" s="128" t="n">
        <f aca="false">TblRezone[[#This Row],[Hour]]</f>
        <v>128</v>
      </c>
      <c r="B131" s="129" t="n">
        <f aca="false">TblImps[[#This Row],[Time]]</f>
        <v>45435.0416666667</v>
      </c>
      <c r="C131" s="69" t="n">
        <f aca="false">OFFSET(TblPop[[#This Row],[Peasants]],-1,0)+OFFSET(TblPop[[#This Row],[Net Peasant]],-1,0)+TblMili[[#This Row],[Release Draft]]</f>
        <v>5762</v>
      </c>
      <c r="D131" s="69" t="n">
        <f aca="false">TblMili[[#This Row],[Military]]</f>
        <v>7177</v>
      </c>
      <c r="E131" s="69" t="n">
        <f aca="false">TblMili[[#This Row],[Draftees]]</f>
        <v>3953</v>
      </c>
      <c r="F131" s="69" t="n">
        <f aca="false">TblPop[[#This Row],[Peasants]]+TblPop[[#This Row],[Military]]</f>
        <v>12939</v>
      </c>
      <c r="G131" s="130" t="n">
        <f aca="false">TblPop[[#This Row],[Military]]/TblPop[[#This Row],[Total]]</f>
        <v>0.554679650668522</v>
      </c>
      <c r="H131" s="95" t="n">
        <f aca="false">MIN(TblPop[[#This Row],[Peasants]],TblPop[[#This Row],[Jobs]])</f>
        <v>5762</v>
      </c>
      <c r="I131" s="130" t="n">
        <f aca="false">MIN(OFFSET(TblPop[[#This Row],[Jobs]],1,0)/TblPop[[#This Row],[Peasants]],1)</f>
        <v>1</v>
      </c>
      <c r="J131" s="95" t="n">
        <f aca="false">SUM(TblConstr[[#This Row],[Tot Alc]:[Tot GT]],TblConstr[[#This Row],[Tot Shr]:[Tot Doc]],TblConstr[[#This Row],[Dest Alc]:[Dest GT]],TblConstr[[#This Row],[Dest Shr]:[Dest Doc]])*building_employment + TblConstr[[#This Row],[Tot Fac]]*bonus_jobs_facts</f>
        <v>12200</v>
      </c>
      <c r="K131" s="131"/>
      <c r="L131" s="33" t="n">
        <f aca="false">TblPop[[#This Row],[Draftees]]</f>
        <v>3953</v>
      </c>
      <c r="M131" s="33" t="n">
        <f aca="false">TblMili[[#This Row],[Unit 1]]</f>
        <v>0</v>
      </c>
      <c r="N131" s="33" t="n">
        <f aca="false">TblMili[[#This Row],[Unit 2]]</f>
        <v>1246</v>
      </c>
      <c r="O131" s="33" t="n">
        <f aca="false">TblMili[[#This Row],[Unit 3]]</f>
        <v>700</v>
      </c>
      <c r="P131" s="33" t="n">
        <f aca="false">TblMili[[#This Row],[Unit 4]]</f>
        <v>1228</v>
      </c>
      <c r="Q131" s="33" t="n">
        <f aca="false">TblMili[[#This Row],[Spies]]</f>
        <v>25</v>
      </c>
      <c r="R131" s="33" t="n">
        <f aca="false">TblMili[[#This Row],[Wizards]]</f>
        <v>25</v>
      </c>
      <c r="S131" s="33" t="n">
        <f aca="false">TblMili[[#This Row],[Archmages]]</f>
        <v>0</v>
      </c>
      <c r="T131" s="132"/>
      <c r="U131" s="69" t="n">
        <f aca="false">ROUND(TblPop[[#This Row],[Raw max]]*(1+TblPop[[#This Row],[Max pop]]),0)+MIN(TblPop[[#This Row],[Military]]-TblPop[[#This Row],[Draftees]]-SUM(TblMili[[#This Row],[Train Unit 1]:[Train AM]]),(barracks_size + tech_8_3*TblTech[[#This Row],[8-3]])*TblConstr[[#This Row],[Tot Bar]])</f>
        <v>12939</v>
      </c>
      <c r="V13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1" s="69" t="n">
        <f aca="false">MAX(-5%*TblPop[[#This Row],[Peasants]]-TblPop[[#This Row],[Draft Growth]],MIN(OFFSET(TblPop[[#This Row],[Net max]],1,0)-TblPop[[#This Row],[Peasants]]-TblPop[[#This Row],[Military]]-TblPop[[#This Row],[Draft Growth]],TblPop[[#This Row],[Modded Birth]]-TblPop[[#This Row],[Draft Growth]]))</f>
        <v>-58</v>
      </c>
      <c r="X131" s="69" t="n">
        <f aca="false">ROUND(TblPop[[#This Row],[Raw Birth]]*(1+TblPop[[#This Row],[Growth]]),0)</f>
        <v>240</v>
      </c>
      <c r="Y131" s="69" t="n">
        <f aca="false">(TblPop[[#This Row],[Peasants]]-TblPop[[#This Row],[Draft Growth]])*raw_pop_growth</f>
        <v>171.12</v>
      </c>
      <c r="Z131" s="69" t="n">
        <f aca="false">IF(TblPop[[#This Row],[Military%]]&lt;TblMili[[#This Row],[Draftrate]],ROUND(TblPop[[#This Row],[Peasants]]*Constants!$B$55,0), 0)</f>
        <v>58</v>
      </c>
      <c r="AA131" s="132"/>
      <c r="AB131" s="109" t="n">
        <f aca="false">Overview!$I$16 + IF(Magic!AE131&gt;0,Constants!$F$78) + ROUND(6*(Construction!BM132+Construction!CK131)/IF(Explore!S132&gt;0,Construction!F132-20,Construction!F132),4) + tech_6_5_2*Techs!BJ131 + tech_8_4*Techs!BT131</f>
        <v>0.4029</v>
      </c>
      <c r="AC131" s="130" t="n">
        <f aca="false">(Overview!$I$15 + Imps!Z131+ tech_2_5*Techs!AB131 + tech_3_6*Techs!AM131 + tech_6_1*Techs!BJ131 + tech_6_5*Techs!BF131 + tech_7_3_2*Techs!BN131) * (1 + Production!O131/100*prestige_pop_multiplier) + Production!O131/100*prestige_pop_multiplier</f>
        <v>0.07625</v>
      </c>
    </row>
    <row r="132" customFormat="false" ht="12.75" hidden="false" customHeight="false" outlineLevel="0" collapsed="false">
      <c r="A132" s="128" t="n">
        <f aca="false">TblRezone[[#This Row],[Hour]]</f>
        <v>129</v>
      </c>
      <c r="B132" s="129" t="n">
        <f aca="false">TblImps[[#This Row],[Time]]</f>
        <v>45435.0833333333</v>
      </c>
      <c r="C132" s="69" t="n">
        <f aca="false">OFFSET(TblPop[[#This Row],[Peasants]],-1,0)+OFFSET(TblPop[[#This Row],[Net Peasant]],-1,0)+TblMili[[#This Row],[Release Draft]]</f>
        <v>5704</v>
      </c>
      <c r="D132" s="69" t="n">
        <f aca="false">TblMili[[#This Row],[Military]]</f>
        <v>7235</v>
      </c>
      <c r="E132" s="69" t="n">
        <f aca="false">TblMili[[#This Row],[Draftees]]</f>
        <v>4011</v>
      </c>
      <c r="F132" s="69" t="n">
        <f aca="false">TblPop[[#This Row],[Peasants]]+TblPop[[#This Row],[Military]]</f>
        <v>12939</v>
      </c>
      <c r="G132" s="130" t="n">
        <f aca="false">TblPop[[#This Row],[Military]]/TblPop[[#This Row],[Total]]</f>
        <v>0.55916222273746</v>
      </c>
      <c r="H132" s="95" t="n">
        <f aca="false">MIN(TblPop[[#This Row],[Peasants]],TblPop[[#This Row],[Jobs]])</f>
        <v>5704</v>
      </c>
      <c r="I132" s="130" t="n">
        <f aca="false">MIN(OFFSET(TblPop[[#This Row],[Jobs]],1,0)/TblPop[[#This Row],[Peasants]],1)</f>
        <v>1</v>
      </c>
      <c r="J132" s="95" t="n">
        <f aca="false">SUM(TblConstr[[#This Row],[Tot Alc]:[Tot GT]],TblConstr[[#This Row],[Tot Shr]:[Tot Doc]],TblConstr[[#This Row],[Dest Alc]:[Dest GT]],TblConstr[[#This Row],[Dest Shr]:[Dest Doc]])*building_employment + TblConstr[[#This Row],[Tot Fac]]*bonus_jobs_facts</f>
        <v>12200</v>
      </c>
      <c r="K132" s="131"/>
      <c r="L132" s="33" t="n">
        <f aca="false">TblPop[[#This Row],[Draftees]]</f>
        <v>4011</v>
      </c>
      <c r="M132" s="33" t="n">
        <f aca="false">TblMili[[#This Row],[Unit 1]]</f>
        <v>0</v>
      </c>
      <c r="N132" s="33" t="n">
        <f aca="false">TblMili[[#This Row],[Unit 2]]</f>
        <v>1246</v>
      </c>
      <c r="O132" s="33" t="n">
        <f aca="false">TblMili[[#This Row],[Unit 3]]</f>
        <v>700</v>
      </c>
      <c r="P132" s="33" t="n">
        <f aca="false">TblMili[[#This Row],[Unit 4]]</f>
        <v>1228</v>
      </c>
      <c r="Q132" s="33" t="n">
        <f aca="false">TblMili[[#This Row],[Spies]]</f>
        <v>25</v>
      </c>
      <c r="R132" s="33" t="n">
        <f aca="false">TblMili[[#This Row],[Wizards]]</f>
        <v>25</v>
      </c>
      <c r="S132" s="33" t="n">
        <f aca="false">TblMili[[#This Row],[Archmages]]</f>
        <v>0</v>
      </c>
      <c r="T132" s="132"/>
      <c r="U132" s="69" t="n">
        <f aca="false">ROUND(TblPop[[#This Row],[Raw max]]*(1+TblPop[[#This Row],[Max pop]]),0)+MIN(TblPop[[#This Row],[Military]]-TblPop[[#This Row],[Draftees]]-SUM(TblMili[[#This Row],[Train Unit 1]:[Train AM]]),(barracks_size + tech_8_3*TblTech[[#This Row],[8-3]])*TblConstr[[#This Row],[Tot Bar]])</f>
        <v>12939</v>
      </c>
      <c r="V13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2" s="69" t="n">
        <f aca="false">MAX(-5%*TblPop[[#This Row],[Peasants]]-TblPop[[#This Row],[Draft Growth]],MIN(OFFSET(TblPop[[#This Row],[Net max]],1,0)-TblPop[[#This Row],[Peasants]]-TblPop[[#This Row],[Military]]-TblPop[[#This Row],[Draft Growth]],TblPop[[#This Row],[Modded Birth]]-TblPop[[#This Row],[Draft Growth]]))</f>
        <v>-57</v>
      </c>
      <c r="X132" s="69" t="n">
        <f aca="false">ROUND(TblPop[[#This Row],[Raw Birth]]*(1+TblPop[[#This Row],[Growth]]),0)</f>
        <v>238</v>
      </c>
      <c r="Y132" s="69" t="n">
        <f aca="false">(TblPop[[#This Row],[Peasants]]-TblPop[[#This Row],[Draft Growth]])*raw_pop_growth</f>
        <v>169.41</v>
      </c>
      <c r="Z132" s="69" t="n">
        <f aca="false">IF(TblPop[[#This Row],[Military%]]&lt;TblMili[[#This Row],[Draftrate]],ROUND(TblPop[[#This Row],[Peasants]]*Constants!$B$55,0), 0)</f>
        <v>57</v>
      </c>
      <c r="AA132" s="132"/>
      <c r="AB132" s="109" t="n">
        <f aca="false">Overview!$I$16 + IF(Magic!AE132&gt;0,Constants!$F$78) + ROUND(6*(Construction!BM133+Construction!CK132)/IF(Explore!S133&gt;0,Construction!F133-20,Construction!F133),4) + tech_6_5_2*Techs!BJ132 + tech_8_4*Techs!BT132</f>
        <v>0.4029</v>
      </c>
      <c r="AC132" s="130" t="n">
        <f aca="false">(Overview!$I$15 + Imps!Z132+ tech_2_5*Techs!AB132 + tech_3_6*Techs!AM132 + tech_6_1*Techs!BJ132 + tech_6_5*Techs!BF132 + tech_7_3_2*Techs!BN132) * (1 + Production!O132/100*prestige_pop_multiplier) + Production!O132/100*prestige_pop_multiplier</f>
        <v>0.07625</v>
      </c>
    </row>
    <row r="133" customFormat="false" ht="12.75" hidden="false" customHeight="false" outlineLevel="0" collapsed="false">
      <c r="A133" s="128" t="n">
        <f aca="false">TblRezone[[#This Row],[Hour]]</f>
        <v>130</v>
      </c>
      <c r="B133" s="129" t="n">
        <f aca="false">TblImps[[#This Row],[Time]]</f>
        <v>45435.125</v>
      </c>
      <c r="C133" s="69" t="n">
        <f aca="false">OFFSET(TblPop[[#This Row],[Peasants]],-1,0)+OFFSET(TblPop[[#This Row],[Net Peasant]],-1,0)+TblMili[[#This Row],[Release Draft]]</f>
        <v>5647</v>
      </c>
      <c r="D133" s="69" t="n">
        <f aca="false">TblMili[[#This Row],[Military]]</f>
        <v>7292</v>
      </c>
      <c r="E133" s="69" t="n">
        <f aca="false">TblMili[[#This Row],[Draftees]]</f>
        <v>4068</v>
      </c>
      <c r="F133" s="69" t="n">
        <f aca="false">TblPop[[#This Row],[Peasants]]+TblPop[[#This Row],[Military]]</f>
        <v>12939</v>
      </c>
      <c r="G133" s="130" t="n">
        <f aca="false">TblPop[[#This Row],[Military]]/TblPop[[#This Row],[Total]]</f>
        <v>0.563567509081073</v>
      </c>
      <c r="H133" s="95" t="n">
        <f aca="false">MIN(TblPop[[#This Row],[Peasants]],TblPop[[#This Row],[Jobs]])</f>
        <v>5647</v>
      </c>
      <c r="I133" s="130" t="n">
        <f aca="false">MIN(OFFSET(TblPop[[#This Row],[Jobs]],1,0)/TblPop[[#This Row],[Peasants]],1)</f>
        <v>1</v>
      </c>
      <c r="J133" s="95" t="n">
        <f aca="false">SUM(TblConstr[[#This Row],[Tot Alc]:[Tot GT]],TblConstr[[#This Row],[Tot Shr]:[Tot Doc]],TblConstr[[#This Row],[Dest Alc]:[Dest GT]],TblConstr[[#This Row],[Dest Shr]:[Dest Doc]])*building_employment + TblConstr[[#This Row],[Tot Fac]]*bonus_jobs_facts</f>
        <v>12200</v>
      </c>
      <c r="K133" s="131"/>
      <c r="L133" s="33" t="n">
        <f aca="false">TblPop[[#This Row],[Draftees]]</f>
        <v>4068</v>
      </c>
      <c r="M133" s="33" t="n">
        <f aca="false">TblMili[[#This Row],[Unit 1]]</f>
        <v>0</v>
      </c>
      <c r="N133" s="33" t="n">
        <f aca="false">TblMili[[#This Row],[Unit 2]]</f>
        <v>1246</v>
      </c>
      <c r="O133" s="33" t="n">
        <f aca="false">TblMili[[#This Row],[Unit 3]]</f>
        <v>700</v>
      </c>
      <c r="P133" s="33" t="n">
        <f aca="false">TblMili[[#This Row],[Unit 4]]</f>
        <v>1228</v>
      </c>
      <c r="Q133" s="33" t="n">
        <f aca="false">TblMili[[#This Row],[Spies]]</f>
        <v>25</v>
      </c>
      <c r="R133" s="33" t="n">
        <f aca="false">TblMili[[#This Row],[Wizards]]</f>
        <v>25</v>
      </c>
      <c r="S133" s="33" t="n">
        <f aca="false">TblMili[[#This Row],[Archmages]]</f>
        <v>0</v>
      </c>
      <c r="T133" s="132"/>
      <c r="U133" s="69" t="n">
        <f aca="false">ROUND(TblPop[[#This Row],[Raw max]]*(1+TblPop[[#This Row],[Max pop]]),0)+MIN(TblPop[[#This Row],[Military]]-TblPop[[#This Row],[Draftees]]-SUM(TblMili[[#This Row],[Train Unit 1]:[Train AM]]),(barracks_size + tech_8_3*TblTech[[#This Row],[8-3]])*TblConstr[[#This Row],[Tot Bar]])</f>
        <v>12939</v>
      </c>
      <c r="V13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3" s="69" t="n">
        <f aca="false">MAX(-5%*TblPop[[#This Row],[Peasants]]-TblPop[[#This Row],[Draft Growth]],MIN(OFFSET(TblPop[[#This Row],[Net max]],1,0)-TblPop[[#This Row],[Peasants]]-TblPop[[#This Row],[Military]]-TblPop[[#This Row],[Draft Growth]],TblPop[[#This Row],[Modded Birth]]-TblPop[[#This Row],[Draft Growth]]))</f>
        <v>-56</v>
      </c>
      <c r="X133" s="69" t="n">
        <f aca="false">ROUND(TblPop[[#This Row],[Raw Birth]]*(1+TblPop[[#This Row],[Growth]]),0)</f>
        <v>235</v>
      </c>
      <c r="Y133" s="69" t="n">
        <f aca="false">(TblPop[[#This Row],[Peasants]]-TblPop[[#This Row],[Draft Growth]])*raw_pop_growth</f>
        <v>167.73</v>
      </c>
      <c r="Z133" s="69" t="n">
        <f aca="false">IF(TblPop[[#This Row],[Military%]]&lt;TblMili[[#This Row],[Draftrate]],ROUND(TblPop[[#This Row],[Peasants]]*Constants!$B$55,0), 0)</f>
        <v>56</v>
      </c>
      <c r="AA133" s="132"/>
      <c r="AB133" s="109" t="n">
        <f aca="false">Overview!$I$16 + IF(Magic!AE133&gt;0,Constants!$F$78) + ROUND(6*(Construction!BM134+Construction!CK133)/IF(Explore!S134&gt;0,Construction!F134-20,Construction!F134),4) + tech_6_5_2*Techs!BJ133 + tech_8_4*Techs!BT133</f>
        <v>0.4029</v>
      </c>
      <c r="AC133" s="130" t="n">
        <f aca="false">(Overview!$I$15 + Imps!Z133+ tech_2_5*Techs!AB133 + tech_3_6*Techs!AM133 + tech_6_1*Techs!BJ133 + tech_6_5*Techs!BF133 + tech_7_3_2*Techs!BN133) * (1 + Production!O133/100*prestige_pop_multiplier) + Production!O133/100*prestige_pop_multiplier</f>
        <v>0.07625</v>
      </c>
    </row>
    <row r="134" customFormat="false" ht="12.75" hidden="false" customHeight="false" outlineLevel="0" collapsed="false">
      <c r="A134" s="128" t="n">
        <f aca="false">TblRezone[[#This Row],[Hour]]</f>
        <v>131</v>
      </c>
      <c r="B134" s="129" t="n">
        <f aca="false">TblImps[[#This Row],[Time]]</f>
        <v>45435.1666666667</v>
      </c>
      <c r="C134" s="69" t="n">
        <f aca="false">OFFSET(TblPop[[#This Row],[Peasants]],-1,0)+OFFSET(TblPop[[#This Row],[Net Peasant]],-1,0)+TblMili[[#This Row],[Release Draft]]</f>
        <v>5591</v>
      </c>
      <c r="D134" s="69" t="n">
        <f aca="false">TblMili[[#This Row],[Military]]</f>
        <v>7348</v>
      </c>
      <c r="E134" s="69" t="n">
        <f aca="false">TblMili[[#This Row],[Draftees]]</f>
        <v>4124</v>
      </c>
      <c r="F134" s="69" t="n">
        <f aca="false">TblPop[[#This Row],[Peasants]]+TblPop[[#This Row],[Military]]</f>
        <v>12939</v>
      </c>
      <c r="G134" s="130" t="n">
        <f aca="false">TblPop[[#This Row],[Military]]/TblPop[[#This Row],[Total]]</f>
        <v>0.567895509699359</v>
      </c>
      <c r="H134" s="95" t="n">
        <f aca="false">MIN(TblPop[[#This Row],[Peasants]],TblPop[[#This Row],[Jobs]])</f>
        <v>5591</v>
      </c>
      <c r="I134" s="130" t="n">
        <f aca="false">MIN(OFFSET(TblPop[[#This Row],[Jobs]],1,0)/TblPop[[#This Row],[Peasants]],1)</f>
        <v>1</v>
      </c>
      <c r="J134" s="95" t="n">
        <f aca="false">SUM(TblConstr[[#This Row],[Tot Alc]:[Tot GT]],TblConstr[[#This Row],[Tot Shr]:[Tot Doc]],TblConstr[[#This Row],[Dest Alc]:[Dest GT]],TblConstr[[#This Row],[Dest Shr]:[Dest Doc]])*building_employment + TblConstr[[#This Row],[Tot Fac]]*bonus_jobs_facts</f>
        <v>12200</v>
      </c>
      <c r="K134" s="131"/>
      <c r="L134" s="33" t="n">
        <f aca="false">TblPop[[#This Row],[Draftees]]</f>
        <v>4124</v>
      </c>
      <c r="M134" s="33" t="n">
        <f aca="false">TblMili[[#This Row],[Unit 1]]</f>
        <v>0</v>
      </c>
      <c r="N134" s="33" t="n">
        <f aca="false">TblMili[[#This Row],[Unit 2]]</f>
        <v>1246</v>
      </c>
      <c r="O134" s="33" t="n">
        <f aca="false">TblMili[[#This Row],[Unit 3]]</f>
        <v>700</v>
      </c>
      <c r="P134" s="33" t="n">
        <f aca="false">TblMili[[#This Row],[Unit 4]]</f>
        <v>1228</v>
      </c>
      <c r="Q134" s="33" t="n">
        <f aca="false">TblMili[[#This Row],[Spies]]</f>
        <v>25</v>
      </c>
      <c r="R134" s="33" t="n">
        <f aca="false">TblMili[[#This Row],[Wizards]]</f>
        <v>25</v>
      </c>
      <c r="S134" s="33" t="n">
        <f aca="false">TblMili[[#This Row],[Archmages]]</f>
        <v>0</v>
      </c>
      <c r="T134" s="132"/>
      <c r="U134" s="69" t="n">
        <f aca="false">ROUND(TblPop[[#This Row],[Raw max]]*(1+TblPop[[#This Row],[Max pop]]),0)+MIN(TblPop[[#This Row],[Military]]-TblPop[[#This Row],[Draftees]]-SUM(TblMili[[#This Row],[Train Unit 1]:[Train AM]]),(barracks_size + tech_8_3*TblTech[[#This Row],[8-3]])*TblConstr[[#This Row],[Tot Bar]])</f>
        <v>12939</v>
      </c>
      <c r="V13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4" s="69" t="n">
        <f aca="false">MAX(-5%*TblPop[[#This Row],[Peasants]]-TblPop[[#This Row],[Draft Growth]],MIN(OFFSET(TblPop[[#This Row],[Net max]],1,0)-TblPop[[#This Row],[Peasants]]-TblPop[[#This Row],[Military]]-TblPop[[#This Row],[Draft Growth]],TblPop[[#This Row],[Modded Birth]]-TblPop[[#This Row],[Draft Growth]]))</f>
        <v>-56</v>
      </c>
      <c r="X134" s="69" t="n">
        <f aca="false">ROUND(TblPop[[#This Row],[Raw Birth]]*(1+TblPop[[#This Row],[Growth]]),0)</f>
        <v>233</v>
      </c>
      <c r="Y134" s="69" t="n">
        <f aca="false">(TblPop[[#This Row],[Peasants]]-TblPop[[#This Row],[Draft Growth]])*raw_pop_growth</f>
        <v>166.05</v>
      </c>
      <c r="Z134" s="69" t="n">
        <f aca="false">IF(TblPop[[#This Row],[Military%]]&lt;TblMili[[#This Row],[Draftrate]],ROUND(TblPop[[#This Row],[Peasants]]*Constants!$B$55,0), 0)</f>
        <v>56</v>
      </c>
      <c r="AA134" s="132"/>
      <c r="AB134" s="109" t="n">
        <f aca="false">Overview!$I$16 + IF(Magic!AE134&gt;0,Constants!$F$78) + ROUND(6*(Construction!BM135+Construction!CK134)/IF(Explore!S135&gt;0,Construction!F135-20,Construction!F135),4) + tech_6_5_2*Techs!BJ134 + tech_8_4*Techs!BT134</f>
        <v>0.4029</v>
      </c>
      <c r="AC134" s="130" t="n">
        <f aca="false">(Overview!$I$15 + Imps!Z134+ tech_2_5*Techs!AB134 + tech_3_6*Techs!AM134 + tech_6_1*Techs!BJ134 + tech_6_5*Techs!BF134 + tech_7_3_2*Techs!BN134) * (1 + Production!O134/100*prestige_pop_multiplier) + Production!O134/100*prestige_pop_multiplier</f>
        <v>0.07625</v>
      </c>
    </row>
    <row r="135" customFormat="false" ht="12.75" hidden="false" customHeight="false" outlineLevel="0" collapsed="false">
      <c r="A135" s="128" t="n">
        <f aca="false">TblRezone[[#This Row],[Hour]]</f>
        <v>132</v>
      </c>
      <c r="B135" s="129" t="n">
        <f aca="false">TblImps[[#This Row],[Time]]</f>
        <v>45435.2083333333</v>
      </c>
      <c r="C135" s="69" t="n">
        <f aca="false">OFFSET(TblPop[[#This Row],[Peasants]],-1,0)+OFFSET(TblPop[[#This Row],[Net Peasant]],-1,0)+TblMili[[#This Row],[Release Draft]]</f>
        <v>5535</v>
      </c>
      <c r="D135" s="69" t="n">
        <f aca="false">TblMili[[#This Row],[Military]]</f>
        <v>7404</v>
      </c>
      <c r="E135" s="69" t="n">
        <f aca="false">TblMili[[#This Row],[Draftees]]</f>
        <v>4180</v>
      </c>
      <c r="F135" s="69" t="n">
        <f aca="false">TblPop[[#This Row],[Peasants]]+TblPop[[#This Row],[Military]]</f>
        <v>12939</v>
      </c>
      <c r="G135" s="130" t="n">
        <f aca="false">TblPop[[#This Row],[Military]]/TblPop[[#This Row],[Total]]</f>
        <v>0.572223510317644</v>
      </c>
      <c r="H135" s="95" t="n">
        <f aca="false">MIN(TblPop[[#This Row],[Peasants]],TblPop[[#This Row],[Jobs]])</f>
        <v>5535</v>
      </c>
      <c r="I135" s="130" t="n">
        <f aca="false">MIN(OFFSET(TblPop[[#This Row],[Jobs]],1,0)/TblPop[[#This Row],[Peasants]],1)</f>
        <v>1</v>
      </c>
      <c r="J135" s="95" t="n">
        <f aca="false">SUM(TblConstr[[#This Row],[Tot Alc]:[Tot GT]],TblConstr[[#This Row],[Tot Shr]:[Tot Doc]],TblConstr[[#This Row],[Dest Alc]:[Dest GT]],TblConstr[[#This Row],[Dest Shr]:[Dest Doc]])*building_employment + TblConstr[[#This Row],[Tot Fac]]*bonus_jobs_facts</f>
        <v>12200</v>
      </c>
      <c r="K135" s="131"/>
      <c r="L135" s="33" t="n">
        <f aca="false">TblPop[[#This Row],[Draftees]]</f>
        <v>4180</v>
      </c>
      <c r="M135" s="33" t="n">
        <f aca="false">TblMili[[#This Row],[Unit 1]]</f>
        <v>0</v>
      </c>
      <c r="N135" s="33" t="n">
        <f aca="false">TblMili[[#This Row],[Unit 2]]</f>
        <v>1246</v>
      </c>
      <c r="O135" s="33" t="n">
        <f aca="false">TblMili[[#This Row],[Unit 3]]</f>
        <v>700</v>
      </c>
      <c r="P135" s="33" t="n">
        <f aca="false">TblMili[[#This Row],[Unit 4]]</f>
        <v>1228</v>
      </c>
      <c r="Q135" s="33" t="n">
        <f aca="false">TblMili[[#This Row],[Spies]]</f>
        <v>25</v>
      </c>
      <c r="R135" s="33" t="n">
        <f aca="false">TblMili[[#This Row],[Wizards]]</f>
        <v>25</v>
      </c>
      <c r="S135" s="33" t="n">
        <f aca="false">TblMili[[#This Row],[Archmages]]</f>
        <v>0</v>
      </c>
      <c r="T135" s="132"/>
      <c r="U135" s="69" t="n">
        <f aca="false">ROUND(TblPop[[#This Row],[Raw max]]*(1+TblPop[[#This Row],[Max pop]]),0)+MIN(TblPop[[#This Row],[Military]]-TblPop[[#This Row],[Draftees]]-SUM(TblMili[[#This Row],[Train Unit 1]:[Train AM]]),(barracks_size + tech_8_3*TblTech[[#This Row],[8-3]])*TblConstr[[#This Row],[Tot Bar]])</f>
        <v>12939</v>
      </c>
      <c r="V13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5" s="69" t="n">
        <f aca="false">MAX(-5%*TblPop[[#This Row],[Peasants]]-TblPop[[#This Row],[Draft Growth]],MIN(OFFSET(TblPop[[#This Row],[Net max]],1,0)-TblPop[[#This Row],[Peasants]]-TblPop[[#This Row],[Military]]-TblPop[[#This Row],[Draft Growth]],TblPop[[#This Row],[Modded Birth]]-TblPop[[#This Row],[Draft Growth]]))</f>
        <v>-55</v>
      </c>
      <c r="X135" s="69" t="n">
        <f aca="false">ROUND(TblPop[[#This Row],[Raw Birth]]*(1+TblPop[[#This Row],[Growth]]),0)</f>
        <v>231</v>
      </c>
      <c r="Y135" s="69" t="n">
        <f aca="false">(TblPop[[#This Row],[Peasants]]-TblPop[[#This Row],[Draft Growth]])*raw_pop_growth</f>
        <v>164.4</v>
      </c>
      <c r="Z135" s="69" t="n">
        <f aca="false">IF(TblPop[[#This Row],[Military%]]&lt;TblMili[[#This Row],[Draftrate]],ROUND(TblPop[[#This Row],[Peasants]]*Constants!$B$55,0), 0)</f>
        <v>55</v>
      </c>
      <c r="AA135" s="132"/>
      <c r="AB135" s="109" t="n">
        <f aca="false">Overview!$I$16 + IF(Magic!AE135&gt;0,Constants!$F$78) + ROUND(6*(Construction!BM136+Construction!CK135)/IF(Explore!S136&gt;0,Construction!F136-20,Construction!F136),4) + tech_6_5_2*Techs!BJ135 + tech_8_4*Techs!BT135</f>
        <v>0.4029</v>
      </c>
      <c r="AC135" s="130" t="n">
        <f aca="false">(Overview!$I$15 + Imps!Z135+ tech_2_5*Techs!AB135 + tech_3_6*Techs!AM135 + tech_6_1*Techs!BJ135 + tech_6_5*Techs!BF135 + tech_7_3_2*Techs!BN135) * (1 + Production!O135/100*prestige_pop_multiplier) + Production!O135/100*prestige_pop_multiplier</f>
        <v>0.07625</v>
      </c>
    </row>
    <row r="136" customFormat="false" ht="12.75" hidden="false" customHeight="false" outlineLevel="0" collapsed="false">
      <c r="A136" s="128" t="n">
        <f aca="false">TblRezone[[#This Row],[Hour]]</f>
        <v>133</v>
      </c>
      <c r="B136" s="129" t="n">
        <f aca="false">TblImps[[#This Row],[Time]]</f>
        <v>45435.25</v>
      </c>
      <c r="C136" s="69" t="n">
        <f aca="false">OFFSET(TblPop[[#This Row],[Peasants]],-1,0)+OFFSET(TblPop[[#This Row],[Net Peasant]],-1,0)+TblMili[[#This Row],[Release Draft]]</f>
        <v>5480</v>
      </c>
      <c r="D136" s="69" t="n">
        <f aca="false">TblMili[[#This Row],[Military]]</f>
        <v>7459</v>
      </c>
      <c r="E136" s="69" t="n">
        <f aca="false">TblMili[[#This Row],[Draftees]]</f>
        <v>4235</v>
      </c>
      <c r="F136" s="69" t="n">
        <f aca="false">TblPop[[#This Row],[Peasants]]+TblPop[[#This Row],[Military]]</f>
        <v>12939</v>
      </c>
      <c r="G136" s="130" t="n">
        <f aca="false">TblPop[[#This Row],[Military]]/TblPop[[#This Row],[Total]]</f>
        <v>0.576474225210604</v>
      </c>
      <c r="H136" s="95" t="n">
        <f aca="false">MIN(TblPop[[#This Row],[Peasants]],TblPop[[#This Row],[Jobs]])</f>
        <v>5480</v>
      </c>
      <c r="I136" s="130" t="n">
        <f aca="false">MIN(OFFSET(TblPop[[#This Row],[Jobs]],1,0)/TblPop[[#This Row],[Peasants]],1)</f>
        <v>0</v>
      </c>
      <c r="J136" s="95" t="n">
        <f aca="false">SUM(TblConstr[[#This Row],[Tot Alc]:[Tot GT]],TblConstr[[#This Row],[Tot Shr]:[Tot Doc]],TblConstr[[#This Row],[Dest Alc]:[Dest GT]],TblConstr[[#This Row],[Dest Shr]:[Dest Doc]])*building_employment + TblConstr[[#This Row],[Tot Fac]]*bonus_jobs_facts</f>
        <v>12200</v>
      </c>
      <c r="K136" s="131"/>
      <c r="L136" s="33" t="n">
        <f aca="false">TblPop[[#This Row],[Draftees]]</f>
        <v>4235</v>
      </c>
      <c r="M136" s="33" t="n">
        <f aca="false">TblMili[[#This Row],[Unit 1]]</f>
        <v>0</v>
      </c>
      <c r="N136" s="33" t="n">
        <f aca="false">TblMili[[#This Row],[Unit 2]]</f>
        <v>1246</v>
      </c>
      <c r="O136" s="33" t="n">
        <f aca="false">TblMili[[#This Row],[Unit 3]]</f>
        <v>700</v>
      </c>
      <c r="P136" s="33" t="n">
        <f aca="false">TblMili[[#This Row],[Unit 4]]</f>
        <v>1228</v>
      </c>
      <c r="Q136" s="33" t="n">
        <f aca="false">TblMili[[#This Row],[Spies]]</f>
        <v>25</v>
      </c>
      <c r="R136" s="33" t="n">
        <f aca="false">TblMili[[#This Row],[Wizards]]</f>
        <v>25</v>
      </c>
      <c r="S136" s="33" t="n">
        <f aca="false">TblMili[[#This Row],[Archmages]]</f>
        <v>0</v>
      </c>
      <c r="T136" s="132"/>
      <c r="U136" s="69" t="n">
        <f aca="false">ROUND(TblPop[[#This Row],[Raw max]]*(1+TblPop[[#This Row],[Max pop]]),0)+MIN(TblPop[[#This Row],[Military]]-TblPop[[#This Row],[Draftees]]-SUM(TblMili[[#This Row],[Train Unit 1]:[Train AM]]),(barracks_size + tech_8_3*TblTech[[#This Row],[8-3]])*TblConstr[[#This Row],[Tot Bar]])</f>
        <v>12939</v>
      </c>
      <c r="V13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6" s="69" t="e">
        <f aca="false">MAX(-5%*TblPop[[#This Row],[Peasants]]-TblPop[[#This Row],[Draft Growth]],MIN(OFFSET(TblPop[[#This Row],[Net max]],1,0)-TblPop[[#This Row],[Peasants]]-TblPop[[#This Row],[Military]]-TblPop[[#This Row],[Draft Growth]],TblPop[[#This Row],[Modded Birth]]-TblPop[[#This Row],[Draft Growth]]))</f>
        <v>#DIV/0!</v>
      </c>
      <c r="X136" s="69" t="e">
        <f aca="false">ROUND(TblPop[[#This Row],[Raw Birth]]*(1+TblPop[[#This Row],[Growth]]),0)</f>
        <v>#DIV/0!</v>
      </c>
      <c r="Y136" s="69" t="n">
        <f aca="false">(TblPop[[#This Row],[Peasants]]-TblPop[[#This Row],[Draft Growth]])*raw_pop_growth</f>
        <v>162.75</v>
      </c>
      <c r="Z136" s="69" t="n">
        <f aca="false">IF(TblPop[[#This Row],[Military%]]&lt;TblMili[[#This Row],[Draftrate]],ROUND(TblPop[[#This Row],[Peasants]]*Constants!$B$55,0), 0)</f>
        <v>55</v>
      </c>
      <c r="AA136" s="132"/>
      <c r="AB136" s="109" t="e">
        <f aca="false">Overview!$I$16 + IF(Magic!AE136&gt;0,Constants!$F$78) + ROUND(6*(Construction!BM137+Construction!CK136)/IF(Explore!S137&gt;0,Construction!E137-20,Construction!E137),4) + tech_6_5_2*Techs!BJ136 + tech_8_4*Techs!BT136</f>
        <v>#DIV/0!</v>
      </c>
      <c r="AC136" s="130" t="n">
        <f aca="false">(Overview!$I$15 + Imps!Z136+ tech_2_5*Techs!AB136 + tech_3_6*Techs!AM136 + tech_6_1*Techs!BJ136 + tech_6_5*Techs!BF136 + tech_7_3_2*Techs!BN136) * (1 + Production!O136/100*prestige_pop_multiplier) + Production!O136/100*prestige_pop_multiplier</f>
        <v>0.07625</v>
      </c>
    </row>
    <row r="1269" customFormat="false" ht="12.75" hidden="false" customHeight="false" outlineLevel="0" collapsed="false">
      <c r="C1269" s="140" t="s">
        <v>24</v>
      </c>
      <c r="D1269" s="140"/>
      <c r="W1269" s="69"/>
      <c r="X1269" s="69"/>
      <c r="Y1269" s="69"/>
      <c r="Z1269" s="69"/>
    </row>
    <row r="1270" customFormat="false" ht="12.75" hidden="false" customHeight="false" outlineLevel="0" collapsed="false">
      <c r="C1270" s="141" t="n">
        <f aca="false">Overview!E17</f>
        <v>0</v>
      </c>
      <c r="D1270" s="141"/>
      <c r="W1270" s="69"/>
      <c r="X1270" s="69"/>
      <c r="Y1270" s="69"/>
      <c r="Z1270" s="69"/>
    </row>
  </sheetData>
  <mergeCells count="6">
    <mergeCell ref="C1:I1"/>
    <mergeCell ref="L1:S1"/>
    <mergeCell ref="U1:V1"/>
    <mergeCell ref="W1:Z1"/>
    <mergeCell ref="AA1:AD1"/>
    <mergeCell ref="C1269:D1269"/>
  </mergeCells>
  <conditionalFormatting sqref="C4:S136">
    <cfRule type="expression" priority="2" aboveAverage="0" equalAverage="0" bottom="0" percent="0" rank="0" text="" dxfId="15">
      <formula>OR(C4&lt;0,ROW()-3=$C$1270)</formula>
    </cfRule>
  </conditionalFormatting>
  <conditionalFormatting sqref="A4:AC136">
    <cfRule type="expression" priority="3" aboveAverage="0" equalAverage="0" bottom="0" percent="0" rank="0" text="" dxfId="16">
      <formula>ROW()-3=$C$1270</formula>
    </cfRule>
    <cfRule type="expression" priority="4" aboveAverage="0" equalAverage="0" bottom="0" percent="0" rank="0" text="" dxfId="17">
      <formula>$A4=73</formula>
    </cfRule>
    <cfRule type="expression" priority="5" aboveAverage="0" equalAverage="0" bottom="0" percent="0" rank="0" text="" dxfId="18">
      <formula>ROUND(($A4-1)/12,0)=INT($A4-1)/12</formula>
    </cfRule>
  </conditionalFormatting>
  <conditionalFormatting sqref="A1269:XFD1270">
    <cfRule type="expression" priority="6" aboveAverage="0" equalAverage="0" bottom="0" percent="0" rank="0" text="" dxfId="19">
      <formula>$C$1270&gt;144</formula>
    </cfRule>
  </conditionalFormatting>
  <conditionalFormatting sqref="A1:XFD3">
    <cfRule type="expression" priority="7" aboveAverage="0" equalAverage="0" bottom="0" percent="0" rank="0" text="" dxfId="20">
      <formula>$C$1270&lt;0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M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55" activePane="bottomLeft" state="frozen"/>
      <selection pane="topLeft" activeCell="A1" activeCellId="0" sqref="A1"/>
      <selection pane="bottomLeft" activeCell="C81" activeCellId="0" sqref="C81"/>
    </sheetView>
  </sheetViews>
  <sheetFormatPr defaultColWidth="9.1484375" defaultRowHeight="12.75" zeroHeight="false" outlineLevelRow="0" outlineLevelCol="0"/>
  <cols>
    <col collapsed="false" customWidth="true" hidden="false" outlineLevel="0" max="1" min="1" style="26" width="8.57"/>
    <col collapsed="false" customWidth="true" hidden="false" outlineLevel="0" max="2" min="2" style="1" width="8.57"/>
    <col collapsed="false" customWidth="true" hidden="false" outlineLevel="0" max="3" min="3" style="1" width="7.15"/>
    <col collapsed="false" customWidth="true" hidden="false" outlineLevel="0" max="4" min="4" style="1" width="3.86"/>
    <col collapsed="false" customWidth="true" hidden="false" outlineLevel="0" max="17" min="5" style="1" width="13"/>
    <col collapsed="false" customWidth="true" hidden="false" outlineLevel="0" max="18" min="18" style="1" width="3.71"/>
    <col collapsed="false" customWidth="false" hidden="false" outlineLevel="0" max="19" min="19" style="1" width="9.14"/>
    <col collapsed="false" customWidth="true" hidden="false" outlineLevel="0" max="20" min="20" style="1" width="10.29"/>
    <col collapsed="false" customWidth="true" hidden="false" outlineLevel="0" max="21" min="21" style="1" width="13.15"/>
    <col collapsed="false" customWidth="true" hidden="false" outlineLevel="0" max="22" min="22" style="1" width="10.57"/>
    <col collapsed="false" customWidth="false" hidden="false" outlineLevel="0" max="23" min="23" style="1" width="9.14"/>
    <col collapsed="false" customWidth="true" hidden="false" outlineLevel="0" max="24" min="24" style="1" width="11.29"/>
    <col collapsed="false" customWidth="true" hidden="false" outlineLevel="0" max="25" min="25" style="1" width="10.85"/>
    <col collapsed="false" customWidth="true" hidden="false" outlineLevel="0" max="26" min="26" style="1" width="3.42"/>
    <col collapsed="false" customWidth="true" hidden="false" outlineLevel="0" max="27" min="27" style="1" width="10.14"/>
    <col collapsed="false" customWidth="true" hidden="false" outlineLevel="0" max="28" min="28" style="1" width="11.29"/>
    <col collapsed="false" customWidth="true" hidden="false" outlineLevel="0" max="29" min="29" style="1" width="14.14"/>
    <col collapsed="false" customWidth="true" hidden="false" outlineLevel="0" max="30" min="30" style="1" width="11.57"/>
    <col collapsed="false" customWidth="true" hidden="false" outlineLevel="0" max="31" min="31" style="1" width="10.14"/>
    <col collapsed="false" customWidth="true" hidden="false" outlineLevel="0" max="32" min="32" style="1" width="12.29"/>
    <col collapsed="false" customWidth="true" hidden="false" outlineLevel="0" max="33" min="33" style="1" width="3.29"/>
    <col collapsed="false" customWidth="true" hidden="false" outlineLevel="0" max="34" min="34" style="1" width="11.14"/>
    <col collapsed="false" customWidth="true" hidden="false" outlineLevel="0" max="35" min="35" style="1" width="12.29"/>
    <col collapsed="false" customWidth="true" hidden="false" outlineLevel="0" max="36" min="36" style="1" width="15.14"/>
    <col collapsed="false" customWidth="true" hidden="false" outlineLevel="0" max="37" min="37" style="1" width="12.57"/>
    <col collapsed="false" customWidth="true" hidden="false" outlineLevel="0" max="38" min="38" style="1" width="11.14"/>
    <col collapsed="false" customWidth="true" hidden="false" outlineLevel="0" max="39" min="39" style="1" width="13.29"/>
    <col collapsed="false" customWidth="true" hidden="false" outlineLevel="0" max="40" min="40" style="1" width="3.57"/>
    <col collapsed="false" customWidth="true" hidden="false" outlineLevel="0" max="41" min="41" style="1" width="13.57"/>
    <col collapsed="false" customWidth="true" hidden="false" outlineLevel="0" max="42" min="42" style="1" width="13.42"/>
    <col collapsed="false" customWidth="true" hidden="false" outlineLevel="0" max="43" min="43" style="1" width="13.71"/>
    <col collapsed="false" customWidth="true" hidden="false" outlineLevel="0" max="44" min="44" style="1" width="13.29"/>
    <col collapsed="false" customWidth="true" hidden="false" outlineLevel="0" max="45" min="45" style="1" width="3.86"/>
    <col collapsed="false" customWidth="true" hidden="false" outlineLevel="0" max="50" min="46" style="1" width="12.71"/>
    <col collapsed="false" customWidth="true" hidden="false" outlineLevel="0" max="51" min="51" style="1" width="4.14"/>
    <col collapsed="false" customWidth="true" hidden="false" outlineLevel="0" max="52" min="52" style="1" width="9.42"/>
    <col collapsed="false" customWidth="true" hidden="false" outlineLevel="0" max="53" min="53" style="1" width="8.71"/>
    <col collapsed="false" customWidth="true" hidden="false" outlineLevel="0" max="54" min="54" style="1" width="9.57"/>
    <col collapsed="false" customWidth="true" hidden="false" outlineLevel="0" max="58" min="55" style="1" width="12.71"/>
    <col collapsed="false" customWidth="true" hidden="false" outlineLevel="0" max="59" min="59" style="1" width="9.86"/>
    <col collapsed="false" customWidth="true" hidden="false" outlineLevel="0" max="60" min="60" style="1" width="6.85"/>
    <col collapsed="false" customWidth="true" hidden="false" outlineLevel="0" max="65" min="61" style="1" width="14.42"/>
    <col collapsed="false" customWidth="false" hidden="false" outlineLevel="0" max="16384" min="66" style="1" width="9.14"/>
  </cols>
  <sheetData>
    <row r="1" s="31" customFormat="true" ht="12.75" hidden="false" customHeight="false" outlineLevel="0" collapsed="false">
      <c r="A1" s="124"/>
      <c r="C1" s="31" t="s">
        <v>163</v>
      </c>
      <c r="E1" s="31" t="s">
        <v>164</v>
      </c>
      <c r="S1" s="142" t="s">
        <v>165</v>
      </c>
      <c r="T1" s="142"/>
      <c r="U1" s="142"/>
      <c r="AA1" s="142" t="s">
        <v>166</v>
      </c>
      <c r="AB1" s="142"/>
      <c r="AH1" s="142" t="s">
        <v>167</v>
      </c>
      <c r="AI1" s="142"/>
      <c r="AJ1" s="142"/>
      <c r="AK1" s="142"/>
      <c r="AL1" s="142"/>
      <c r="AM1" s="142"/>
      <c r="AO1" s="31" t="s">
        <v>168</v>
      </c>
      <c r="AT1" s="142" t="s">
        <v>169</v>
      </c>
      <c r="AU1" s="142"/>
      <c r="BC1" s="31" t="s">
        <v>170</v>
      </c>
      <c r="BI1" s="31" t="s">
        <v>164</v>
      </c>
    </row>
    <row r="2" s="31" customFormat="true" ht="12.75" hidden="false" customHeight="false" outlineLevel="0" collapsed="false">
      <c r="A2" s="124"/>
    </row>
    <row r="3" s="143" customFormat="true" ht="24.05" hidden="false" customHeight="false" outlineLevel="0" collapsed="false">
      <c r="A3" s="127" t="s">
        <v>82</v>
      </c>
      <c r="B3" s="127" t="s">
        <v>144</v>
      </c>
      <c r="C3" s="127" t="s">
        <v>171</v>
      </c>
      <c r="D3" s="127" t="s">
        <v>11</v>
      </c>
      <c r="E3" s="127" t="s">
        <v>73</v>
      </c>
      <c r="F3" s="127" t="s">
        <v>81</v>
      </c>
      <c r="G3" s="127" t="s">
        <v>36</v>
      </c>
      <c r="H3" s="127" t="s">
        <v>34</v>
      </c>
      <c r="I3" s="127" t="s">
        <v>91</v>
      </c>
      <c r="J3" s="127" t="s">
        <v>93</v>
      </c>
      <c r="K3" s="127" t="s">
        <v>95</v>
      </c>
      <c r="L3" s="127" t="s">
        <v>35</v>
      </c>
      <c r="M3" s="127" t="s">
        <v>97</v>
      </c>
      <c r="N3" s="127" t="s">
        <v>99</v>
      </c>
      <c r="O3" s="127" t="s">
        <v>172</v>
      </c>
      <c r="P3" s="127" t="s">
        <v>173</v>
      </c>
      <c r="Q3" s="127" t="s">
        <v>174</v>
      </c>
      <c r="R3" s="127" t="s">
        <v>154</v>
      </c>
      <c r="S3" s="127" t="s">
        <v>87</v>
      </c>
      <c r="T3" s="127" t="s">
        <v>175</v>
      </c>
      <c r="U3" s="127" t="s">
        <v>176</v>
      </c>
      <c r="V3" s="127" t="s">
        <v>177</v>
      </c>
      <c r="W3" s="127" t="s">
        <v>178</v>
      </c>
      <c r="X3" s="127" t="s">
        <v>179</v>
      </c>
      <c r="Y3" s="127" t="s">
        <v>180</v>
      </c>
      <c r="Z3" s="127" t="s">
        <v>181</v>
      </c>
      <c r="AA3" s="127" t="s">
        <v>182</v>
      </c>
      <c r="AB3" s="127" t="s">
        <v>183</v>
      </c>
      <c r="AC3" s="127" t="s">
        <v>184</v>
      </c>
      <c r="AD3" s="127" t="s">
        <v>185</v>
      </c>
      <c r="AE3" s="127" t="s">
        <v>186</v>
      </c>
      <c r="AF3" s="127" t="s">
        <v>187</v>
      </c>
      <c r="AG3" s="127" t="s">
        <v>161</v>
      </c>
      <c r="AH3" s="127" t="s">
        <v>188</v>
      </c>
      <c r="AI3" s="127" t="s">
        <v>189</v>
      </c>
      <c r="AJ3" s="127" t="s">
        <v>190</v>
      </c>
      <c r="AK3" s="127" t="s">
        <v>191</v>
      </c>
      <c r="AL3" s="127" t="s">
        <v>192</v>
      </c>
      <c r="AM3" s="127" t="s">
        <v>193</v>
      </c>
      <c r="AN3" s="127" t="s">
        <v>194</v>
      </c>
      <c r="AO3" s="127" t="s">
        <v>195</v>
      </c>
      <c r="AP3" s="127" t="s">
        <v>196</v>
      </c>
      <c r="AQ3" s="127" t="s">
        <v>197</v>
      </c>
      <c r="AR3" s="127" t="s">
        <v>198</v>
      </c>
      <c r="AS3" s="127" t="s">
        <v>199</v>
      </c>
      <c r="AT3" s="127" t="s">
        <v>200</v>
      </c>
      <c r="AU3" s="127" t="s">
        <v>201</v>
      </c>
      <c r="AV3" s="127" t="s">
        <v>202</v>
      </c>
      <c r="AW3" s="127" t="s">
        <v>203</v>
      </c>
      <c r="AX3" s="127" t="s">
        <v>204</v>
      </c>
      <c r="AY3" s="127" t="s">
        <v>205</v>
      </c>
      <c r="AZ3" s="127" t="s">
        <v>206</v>
      </c>
      <c r="BA3" s="127" t="s">
        <v>207</v>
      </c>
      <c r="BB3" s="127" t="s">
        <v>208</v>
      </c>
      <c r="BC3" s="127" t="s">
        <v>209</v>
      </c>
      <c r="BD3" s="127" t="s">
        <v>210</v>
      </c>
      <c r="BE3" s="127" t="s">
        <v>211</v>
      </c>
      <c r="BF3" s="127" t="s">
        <v>212</v>
      </c>
      <c r="BG3" s="127" t="s">
        <v>213</v>
      </c>
      <c r="BH3" s="127" t="s">
        <v>214</v>
      </c>
      <c r="BI3" s="127" t="s">
        <v>215</v>
      </c>
      <c r="BJ3" s="127" t="s">
        <v>216</v>
      </c>
      <c r="BK3" s="127" t="s">
        <v>217</v>
      </c>
      <c r="BL3" s="127" t="s">
        <v>218</v>
      </c>
      <c r="BM3" s="127" t="s">
        <v>219</v>
      </c>
    </row>
    <row r="4" customFormat="false" ht="12.75" hidden="false" customHeight="false" outlineLevel="0" collapsed="false">
      <c r="A4" s="128" t="n">
        <f aca="false">TblRezone[[#This Row],[Hour]]</f>
        <v>1</v>
      </c>
      <c r="B4" s="144" t="n">
        <f aca="false">TblImps[[#This Row],[Time]]</f>
        <v>45429.75</v>
      </c>
      <c r="C4" s="145"/>
      <c r="D4" s="146"/>
      <c r="E4" s="69" t="n">
        <f aca="false">TblConstr[[#This Row],[Land]]</f>
        <v>250</v>
      </c>
      <c r="F4" s="69" t="n">
        <f aca="false">TblPop[[#This Row],[Peasants]]</f>
        <v>1300</v>
      </c>
      <c r="G4" s="69" t="e">
        <f aca="false">TblMili[[#This Row],[Networth (2)]]</f>
        <v>#VALUE!</v>
      </c>
      <c r="H4" s="103" t="n">
        <f aca="false">start_plat - TblProd[[#This Row],[Expenses Platinum]] + IF(TblProd[[#This Row],[Plat Bonus]],TblPop[[#This Row],[Peasants]]*4)+days_late*days_late_plat + SUM(TblConstr[[#This Row],[Dest Hom]:[Dest Doc]])*Construction!AM4*tech_3_3_2*TblTech[[#This Row],[3-3]]</f>
        <v>9830</v>
      </c>
      <c r="I4" s="103" t="n">
        <f aca="false">start_food+days_late*days_late_food</f>
        <v>15000</v>
      </c>
      <c r="J4" s="103" t="n">
        <f aca="false">start_lumber - TblProd[[#This Row],[Expenses Lumber]]+days_late*days_late_lumber + SUM(TblConstr[[#This Row],[Dest Hom]:[Dest Doc]])*TblConstr[[#This Row],[CPA Lumber -DB]]*tech_3_3_2*TblTech[[#This Row],[3-3]]</f>
        <v>0</v>
      </c>
      <c r="K4" s="103" t="n">
        <f aca="false">start_mana - TblProd[[#This Row],[Expenses Mana]]+days_late*days_late_mana</f>
        <v>0</v>
      </c>
      <c r="L4" s="103" t="n">
        <f aca="false">start_ore - TblProd[[#This Row],[Expenses Ore]]+days_late*days_late_ore</f>
        <v>0</v>
      </c>
      <c r="M4" s="103" t="n">
        <f aca="false">start_gems - TblProd[[#This Row],[Expenses Gems]]</f>
        <v>0</v>
      </c>
      <c r="N4" s="103" t="n">
        <f aca="false">start_boats</f>
        <v>0</v>
      </c>
      <c r="O4" s="103" t="n">
        <f aca="false">start_prestige</f>
        <v>250</v>
      </c>
      <c r="P4" s="147" t="n">
        <f aca="false">ROUNDDOWN(-TblProd[[#This Row],[Required]]*TblTech[[#This Row],[…]],0) + IF(TblProd[[#This Row],[Plat Bonus]]&lt;&gt;"",350,0)</f>
        <v>0</v>
      </c>
      <c r="Q4" s="95" t="n">
        <f aca="false">MAX(_xlfn.CEILING.MATH(TblProd[[#This Row],[Land]]*2.5+IFERROR(OFFSET(TblTech[[#This Row],[Sum of tech]],-1,0)*150,0)),3750)</f>
        <v>3750</v>
      </c>
      <c r="R4" s="132"/>
      <c r="S4" s="69" t="n">
        <f aca="false">ROUNDDOWN(TblProd[[#This Row],[Raw Plat/hr]]*(1+TblProd[[#This Row],[Bonus Plat/hr]]),0)</f>
        <v>4860</v>
      </c>
      <c r="T4" s="69" t="n">
        <f aca="false">ROUND(TblProd[[#This Row],[Raw Food/hr]]*(1+TblProd[[#This Row],[Bonus Food/hr]])-TblProd[[#This Row],[Food decay]]-TblProd[[#This Row],[Food eaten]],0)</f>
        <v>1910</v>
      </c>
      <c r="U4" s="69" t="n">
        <f aca="false">ROUND(TblProd[[#This Row],[Raw Lumber/hr]]*(1+TblProd[[#This Row],[Bonus Lumber/hr]])-TblProd[[#This Row],[Lumber rot]],0)</f>
        <v>900</v>
      </c>
      <c r="V4" s="69" t="n">
        <f aca="false">ROUND(TblProd[[#This Row],[Raw Mana/hr]]*(1+TblProd[[#This Row],[Bonus Mana/hr]])-TblProd[[#This Row],[Mana drain]],0)</f>
        <v>0</v>
      </c>
      <c r="W4" s="69" t="n">
        <f aca="false">ROUNDDOWN(TblProd[[#This Row],[Raw Ore/hr]]*(1+TblProd[[#This Row],[Bonux Ore/hr]]),0)</f>
        <v>0</v>
      </c>
      <c r="X4" s="69" t="n">
        <f aca="false">ROUNDDOWN(TblProd[[#This Row],[Raw Gems/hr]]*(1+TblProd[[#This Row],[Bonus Gems/hr]]),0)</f>
        <v>0</v>
      </c>
      <c r="Y4" s="148" t="n">
        <f aca="false">OFFSET(TblConstr[[#This Row],[Tot Doc]],1,0)*dock_boats_hr * (1 + tech_4_1*TblTech[[#This Row],[4-1]])</f>
        <v>0</v>
      </c>
      <c r="Z4" s="146"/>
      <c r="AA4" s="69" t="n">
        <f aca="false">TblPop[[#This Row],[Peasants]]*tax*TblPop[[#This Row],[Employment]] + (Construction!AZ5+Construction!BX5)*(alch_plat+(Magic!AM4&gt;0)*alchemist_flame_bonus)</f>
        <v>4860</v>
      </c>
      <c r="AB4" s="69" t="n">
        <f aca="false">TblConstr[[#This Row],[Tot Farm]]*farm_food + TblConstr[[#This Row],[Tot Doc]]*dock_food</f>
        <v>2400</v>
      </c>
      <c r="AC4" s="69" t="n">
        <f aca="false">TblConstr[[#This Row],[Tot Ly]]*ly_lumber + TblConstr[[#This Row],[Tot Hav]]*fh_lumber</f>
        <v>1000</v>
      </c>
      <c r="AD4" s="69" t="n">
        <f aca="false">OFFSET(TblConstr[[#This Row],[Tot Tow]],1,0)*(tower_mana + tech_4_5*TblTech[[#This Row],[4-5]]) + OFFSET(TblConstr[[#This Row],[Tot WG]],1,0)*wg_mana_prod</f>
        <v>0</v>
      </c>
      <c r="AE4" s="69" t="n">
        <f aca="false">OFFSET(TblConstr[[#This Row],[Tot OM]],1,0)*om_ore+IF(race="Dwarf",ROUNDDOWN(TblMili[[#This Row],[Unit 2]]*0.4,0),)</f>
        <v>0</v>
      </c>
      <c r="AF4" s="69" t="n">
        <f aca="false">OFFSET(TblConstr[[#This Row],[Tot DM]],1,0)*dm_gems</f>
        <v>0</v>
      </c>
      <c r="AG4" s="132"/>
      <c r="AH4" s="149" t="n">
        <f aca="false">MIN(race_platinum_bonus + IF(TblMagic[[#This Row],[Active Alch Frost]]&gt;0,alch_frost_bonus,IF(Magic!AD4&gt;0,midas_bonus)) + TblImps[[#This Row],[Science]] - TblProd[[#This Row],[Guard]]*(0.02 + tech_5_7*TblTech[[#This Row],[5-7]]) + tech_1_5*TblTech[[#This Row],[1-5]] + tech_4_4*TblTech[[#This Row],[4-4]], 0.5)</f>
        <v>0</v>
      </c>
      <c r="AI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 s="149" t="n">
        <f aca="false">race_lumber_bonus+ IF(TblMagic[[#This Row],[Active Gaia''s Blessing]]&gt;0,gaias_blessing_lumber)+ tech_1_3*TblTech[[#This Row],[1-3]] + tech_1_6*TblTech[[#This Row],[1-6]] + tech_3_3*TblTech[[#This Row],[3-3]]</f>
        <v>-0.1</v>
      </c>
      <c r="AK4" s="149" t="n">
        <f aca="false">race_mana_bonus+ 0 + TblImps[[#This Row],[Towers]] + tech_1_2*TblTech[[#This Row],[1-2]] + tech_3_4*TblTech[[#This Row],[3-4]]</f>
        <v>0</v>
      </c>
      <c r="AL4" s="149" t="n">
        <f aca="false">race_ore_bonus + IF(TblMagic[[#This Row],[Active Miner''s Sight]]&gt;0,miners_sight_bonus,IF(TblMagic[[#This Row],[Active Mining Strength]]&gt;0,mining_strength_bonus)) +  tech_1_6*TblTech[[#This Row],[1-6]]</f>
        <v>0</v>
      </c>
      <c r="AM4" s="149" t="n">
        <f aca="false">race_gem_bonus+ tech_3_2*TblTech[[#This Row],[3-2]] + tech_4_3*TblTech[[#This Row],[4-3]] + tech_6_2*TblTech[[#This Row],[6-2]]</f>
        <v>0.15</v>
      </c>
      <c r="AN4" s="132"/>
      <c r="AO4" s="69" t="n">
        <f aca="false">TblProd[[#This Row],[Food]]*food_decay * (1 + tech_2_1*TblTech[[#This Row],[2-1]] + tech_2_8*TblTech[[#This Row],[2-8]])</f>
        <v>150</v>
      </c>
      <c r="AP4" s="69" t="n">
        <f aca="false">(1+race_food_consumption)*TblPop[[#This Row],[Total]]*food_per_person*(1+tech_1_10*TblTech[[#This Row],[1-10]]+tech_7_5*TblTech[[#This Row],[7-5]])</f>
        <v>400</v>
      </c>
      <c r="AQ4" s="69" t="n">
        <f aca="false">TblProd[[#This Row],[Lumber]]*lumber_rot * (1 + tech_2_1*TblTech[[#This Row],[2-1]] + tech_2_8*TblTech[[#This Row],[2-8]] + tech_5_2*TblTech[[#This Row],[5-2]])</f>
        <v>0</v>
      </c>
      <c r="AR4" s="69" t="n">
        <f aca="false">TblProd[[#This Row],[Mana]]*mana_drain * (1 + tech_2_1*TblTech[[#This Row],[2-1]] + tech_2_8*TblTech[[#This Row],[2-8]])</f>
        <v>0</v>
      </c>
      <c r="AS4" s="146"/>
      <c r="AT4" s="69" t="n">
        <f aca="false">TblExplore[[#This Row],[Platinum (2)]]+TblConstr[[#This Row],[Total Plat Cost]]+TblMili[[#This Row],[Plat Cost]]+TblRezone[[#This Row],[Platinum cost]]+TblImps[[#This Row],[P1]]-TblProd[[#This Row],[Bank Plat]]</f>
        <v>90170</v>
      </c>
      <c r="AU4" s="69" t="n">
        <f aca="false">TblConstr[[#This Row],[Total Lum Cost]]+TblImps[[#This Row],[L1]]-TblProd[[#This Row],[Bank Lumber]] + Military!$CL$25*TblMili[[#This Row],[Sec. rec. Cost]]</f>
        <v>15000</v>
      </c>
      <c r="AV4" s="69" t="n">
        <f aca="false">TblMagic[[#This Row],[Mana cost]] + Military!$CL$26*TblMili[[#This Row],[Sec. rec. Cost]]</f>
        <v>0</v>
      </c>
      <c r="AW4" s="69" t="n">
        <f aca="false">Military!$CL$24*TblMili[[#This Row],[Sec. rec. Cost]]+TblImps[[#This Row],[O1]]-TblProd[[#This Row],[Bank Ore]]</f>
        <v>0</v>
      </c>
      <c r="AX4" s="69" t="n">
        <f aca="false">TblImps[[#This Row],[G1]]-TblProd[[#This Row],[Bank Gems]]</f>
        <v>10000</v>
      </c>
      <c r="AY4" s="132"/>
      <c r="AZ4" s="33" t="n">
        <f aca="false">IF(TblProd[[#This Row],[Set Guard]]&lt;&gt;"",TblProd[[#This Row],[Set Guard]],FALSE())</f>
        <v>0</v>
      </c>
      <c r="BA4" s="145"/>
      <c r="BB4" s="151" t="n">
        <f aca="false">TblProd[[#This Row],[Hour]]</f>
        <v>1</v>
      </c>
      <c r="BC4" s="152" t="n">
        <f aca="false">-TblProd[[#This Row],[Bank Lumber]] / 2 + -TblProd[[#This Row],[Bank Gems]] * 2 + -TblProd[[#This Row],[Bank Ore]] / 2</f>
        <v>21780</v>
      </c>
      <c r="BD4" s="152" t="n">
        <v>-3560</v>
      </c>
      <c r="BE4" s="152"/>
      <c r="BF4" s="152" t="n">
        <v>-10000</v>
      </c>
      <c r="BG4" s="153" t="n">
        <f aca="false">TblProd[[#This Row],[Time]]</f>
        <v>45429.75</v>
      </c>
      <c r="BH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69" t="n">
        <f aca="false">TblProd[[#This Row],[Platinum]]</f>
        <v>9830</v>
      </c>
      <c r="BJ4" s="69" t="n">
        <f aca="false">TblProd[[#This Row],[Food]]</f>
        <v>15000</v>
      </c>
      <c r="BK4" s="69" t="n">
        <f aca="false">TblProd[[#This Row],[Lumber]]</f>
        <v>0</v>
      </c>
      <c r="BL4" s="69" t="n">
        <f aca="false">TblProd[[#This Row],[Mana]]</f>
        <v>0</v>
      </c>
      <c r="BM4" s="69" t="n">
        <f aca="false">TblProd[[#This Row],[Ore]]</f>
        <v>0</v>
      </c>
    </row>
    <row r="5" customFormat="false" ht="12.75" hidden="false" customHeight="false" outlineLevel="0" collapsed="false">
      <c r="A5" s="128" t="n">
        <v>2</v>
      </c>
      <c r="B5" s="144" t="n">
        <f aca="false">TblImps[[#This Row],[Time]]</f>
        <v>45429.7916666667</v>
      </c>
      <c r="C5" s="145"/>
      <c r="D5" s="146"/>
      <c r="E5" s="69" t="n">
        <f aca="false">TblConstr[[#This Row],[Land]]</f>
        <v>250</v>
      </c>
      <c r="F5" s="69" t="n">
        <f aca="false">TblPop[[#This Row],[Peasants]]</f>
        <v>1326</v>
      </c>
      <c r="G5" s="69" t="e">
        <f aca="false">TblMili[[#This Row],[Networth (2)]]</f>
        <v>#VALUE!</v>
      </c>
      <c r="H5" s="69" t="n">
        <f aca="false">OFFSET(TblProd[[#This Row],[Platinum]],-1,0)+OFFSET(TblProd[[#This Row],[Plat/hr]],-1,0) - TblProd[[#This Row],[Expenses Platinum]] + IF(TblProd[[#This Row],[Plat Bonus]],TblPop[[#This Row],[Peasants]]*4) + SUM(TblConstr[[#This Row],[Dest Hom]:[Dest Doc]])*TblConstr[[#This Row],[CPA Platinum -DB]]*tech_3_3_2*TblTech[[#This Row],[3-3]]</f>
        <v>15140</v>
      </c>
      <c r="I5" s="69" t="n">
        <f aca="false">OFFSET(TblProd[[#This Row],[Food]],-1,0)+OFFSET(TblProd[[#This Row],[Food/hr]],-1,0)+ROUNDUP((TblConstr[[#This Row],[Farms]]*80+TblConstr[[#This Row],[Docks]]*35)*(1+OFFSET(TblProd[[#This Row],[Bonus Food/hr]],-1,0)),0)</f>
        <v>16910</v>
      </c>
      <c r="J5" s="69" t="n">
        <f aca="false">OFFSET(TblProd[[#This Row],[Lumber]],-1,0)+OFFSET(TblProd[[#This Row],[Lumber/hr]],-1,0) - TblProd[[#This Row],[Expenses Lumber]] + SUM(TblConstr[[#This Row],[Dest Hom]:[Dest Doc]])*TblConstr[[#This Row],[CPA Lumber -DB]]*tech_3_3_2*TblTech[[#This Row],[3-3]]</f>
        <v>0</v>
      </c>
      <c r="K5" s="69" t="n">
        <f aca="false">OFFSET(TblProd[[#This Row],[Mana]],-1,0)+OFFSET(TblProd[[#This Row],[Mana/hr]],-1,0)- TblProd[[#This Row],[Expenses Mana]]</f>
        <v>0</v>
      </c>
      <c r="L5" s="69" t="n">
        <f aca="false">OFFSET(TblProd[[#This Row],[Ore]],-1,0)+OFFSET(TblProd[[#This Row],[Ore/hr]],-1,0) -TblProd[[#This Row],[Expenses Ore]]</f>
        <v>0</v>
      </c>
      <c r="M5" s="69" t="n">
        <f aca="false">OFFSET(TblProd[[#This Row],[Gems]],-1,0)+OFFSET(TblProd[[#This Row],[Gems/hr]],-1,0) - TblProd[[#This Row],[Expenses Gems]]</f>
        <v>0</v>
      </c>
      <c r="N5" s="69" t="n">
        <f aca="false">OFFSET(TblProd[[#This Row],[Boats]],-1,0)+OFFSET(TblProd[[#This Row],[Boats/hr]],-1,0)</f>
        <v>0</v>
      </c>
      <c r="O5" s="69" t="n">
        <f aca="false">OFFSET(TblProd[[#This Row],[Prestige]],-1,0)</f>
        <v>250</v>
      </c>
      <c r="P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69" t="n">
        <f aca="false">MAX(3750,_xlfn.CEILING.MATH(TblProd[[#This Row],[Land]]*2.5+OFFSET(TblTech[[#This Row],[Sum of tech]],-1,0)*150))</f>
        <v>3750</v>
      </c>
      <c r="R5" s="132"/>
      <c r="S5" s="69" t="n">
        <f aca="false">ROUNDDOWN(TblProd[[#This Row],[Raw Plat/hr]]*(1+TblProd[[#This Row],[Bonus Plat/hr]]),0)</f>
        <v>4930</v>
      </c>
      <c r="T5" s="69" t="n">
        <f aca="false">ROUND(TblProd[[#This Row],[Raw Food/hr]]*(1+TblProd[[#This Row],[Bonus Food/hr]])-TblProd[[#This Row],[Food decay]]-TblProd[[#This Row],[Food eaten]],0)</f>
        <v>1881</v>
      </c>
      <c r="U5" s="69" t="n">
        <f aca="false">ROUND(TblProd[[#This Row],[Raw Lumber/hr]]*(1+TblProd[[#This Row],[Bonus Lumber/hr]])-TblProd[[#This Row],[Lumber rot]],0)</f>
        <v>900</v>
      </c>
      <c r="V5" s="69" t="n">
        <f aca="false">ROUND(TblProd[[#This Row],[Raw Mana/hr]]*(1+TblProd[[#This Row],[Bonus Mana/hr]])-TblProd[[#This Row],[Mana drain]],0)</f>
        <v>0</v>
      </c>
      <c r="W5" s="69" t="n">
        <f aca="false">ROUNDDOWN(TblProd[[#This Row],[Raw Ore/hr]]*(1+TblProd[[#This Row],[Bonux Ore/hr]]),0)</f>
        <v>0</v>
      </c>
      <c r="X5" s="69" t="n">
        <f aca="false">ROUNDDOWN(TblProd[[#This Row],[Raw Gems/hr]]*(1+TblProd[[#This Row],[Bonus Gems/hr]]),0)</f>
        <v>0</v>
      </c>
      <c r="Y5" s="148" t="n">
        <f aca="false">OFFSET(TblConstr[[#This Row],[Tot Doc]],1,0)*dock_boats_hr * (1 + tech_4_1*TblTech[[#This Row],[4-1]])</f>
        <v>0</v>
      </c>
      <c r="Z5" s="146"/>
      <c r="AA5" s="69" t="n">
        <f aca="false">TblPop[[#This Row],[Peasants]]*tax*TblPop[[#This Row],[Employment]] + (Construction!AZ6+Construction!BX6)*(alch_plat+(Magic!AM5&gt;0)*alchemist_flame_bonus)</f>
        <v>4930.2</v>
      </c>
      <c r="AB5" s="69" t="n">
        <f aca="false">TblConstr[[#This Row],[Tot Farm]]*farm_food + TblConstr[[#This Row],[Tot Doc]]*dock_food</f>
        <v>2400</v>
      </c>
      <c r="AC5" s="69" t="n">
        <f aca="false">TblConstr[[#This Row],[Tot Ly]]*ly_lumber + TblConstr[[#This Row],[Tot Hav]]*fh_lumber</f>
        <v>1000</v>
      </c>
      <c r="AD5" s="69" t="n">
        <f aca="false">OFFSET(TblConstr[[#This Row],[Tot Tow]],1,0)*(tower_mana + tech_4_5*TblTech[[#This Row],[4-5]]) + OFFSET(TblConstr[[#This Row],[Tot WG]],1,0)*wg_mana_prod</f>
        <v>0</v>
      </c>
      <c r="AE5" s="69" t="n">
        <f aca="false">OFFSET(TblConstr[[#This Row],[Tot OM]],1,0)*om_ore+IF(race="Dwarf",ROUNDDOWN(TblMili[[#This Row],[Unit 2]]*0.4,0),)</f>
        <v>0</v>
      </c>
      <c r="AF5" s="69" t="n">
        <f aca="false">OFFSET(TblConstr[[#This Row],[Tot DM]],1,0)*dm_gems</f>
        <v>0</v>
      </c>
      <c r="AG5" s="132"/>
      <c r="AH5" s="149" t="n">
        <f aca="false">MIN(race_platinum_bonus + IF(TblMagic[[#This Row],[Active Alch Frost]]&gt;0,alch_frost_bonus,IF(Magic!AD5&gt;0,midas_bonus)) + TblImps[[#This Row],[Science]] - TblProd[[#This Row],[Guard]]*(0.02 + tech_5_7*TblTech[[#This Row],[5-7]]) + tech_1_5*TblTech[[#This Row],[1-5]] + tech_4_4*TblTech[[#This Row],[4-4]], 0.5)</f>
        <v>0</v>
      </c>
      <c r="AI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 s="149" t="n">
        <f aca="false">race_lumber_bonus+ IF(TblMagic[[#This Row],[Active Gaia''s Blessing]]&gt;0,gaias_blessing_lumber)+ tech_1_3*TblTech[[#This Row],[1-3]] + tech_1_6*TblTech[[#This Row],[1-6]] + tech_3_3*TblTech[[#This Row],[3-3]]</f>
        <v>-0.1</v>
      </c>
      <c r="AK5" s="149" t="n">
        <f aca="false">race_mana_bonus+ 0 + TblImps[[#This Row],[Towers]] + tech_1_2*TblTech[[#This Row],[1-2]] + tech_3_4*TblTech[[#This Row],[3-4]]</f>
        <v>0</v>
      </c>
      <c r="AL5" s="149" t="n">
        <f aca="false">race_ore_bonus + IF(TblMagic[[#This Row],[Active Miner''s Sight]]&gt;0,miners_sight_bonus,IF(TblMagic[[#This Row],[Active Mining Strength]]&gt;0,mining_strength_bonus)) +  tech_1_6*TblTech[[#This Row],[1-6]]</f>
        <v>0</v>
      </c>
      <c r="AM5" s="149" t="n">
        <f aca="false">race_gem_bonus+ tech_3_2*TblTech[[#This Row],[3-2]] + tech_4_3*TblTech[[#This Row],[4-3]] + tech_6_2*TblTech[[#This Row],[6-2]]</f>
        <v>0.15</v>
      </c>
      <c r="AN5" s="132"/>
      <c r="AO5" s="69" t="n">
        <f aca="false">TblProd[[#This Row],[Food]]*food_decay * (1 + tech_2_1*TblTech[[#This Row],[2-1]] + tech_2_8*TblTech[[#This Row],[2-8]])</f>
        <v>169.1</v>
      </c>
      <c r="AP5" s="69" t="n">
        <f aca="false">(1+race_food_consumption)*TblPop[[#This Row],[Total]]*food_per_person*(1+tech_1_10*TblTech[[#This Row],[1-10]]+tech_7_5*TblTech[[#This Row],[7-5]])</f>
        <v>409.75</v>
      </c>
      <c r="AQ5" s="69" t="n">
        <f aca="false">TblProd[[#This Row],[Lumber]]*lumber_rot * (1 + tech_2_1*TblTech[[#This Row],[2-1]] + tech_2_8*TblTech[[#This Row],[2-8]] + tech_5_2*TblTech[[#This Row],[5-2]])</f>
        <v>0</v>
      </c>
      <c r="AR5" s="69" t="n">
        <f aca="false">TblProd[[#This Row],[Mana]]*mana_drain * (1 + tech_2_1*TblTech[[#This Row],[2-1]] + tech_2_8*TblTech[[#This Row],[2-8]])</f>
        <v>0</v>
      </c>
      <c r="AS5" s="146"/>
      <c r="AT5" s="69" t="n">
        <f aca="false">TblExplore[[#This Row],[Platinum (2)]]+TblConstr[[#This Row],[Total Plat Cost]]+TblMili[[#This Row],[Plat Cost]]+TblRezone[[#This Row],[Platinum cost]]+TblImps[[#This Row],[P1]]-TblProd[[#This Row],[Bank Plat]]</f>
        <v>-450</v>
      </c>
      <c r="AU5" s="69" t="n">
        <f aca="false">TblConstr[[#This Row],[Total Lum Cost]]+TblImps[[#This Row],[L1]]-TblProd[[#This Row],[Bank Lumber]] + Military!$CL$25*TblMili[[#This Row],[Sec. rec. Cost]]</f>
        <v>900</v>
      </c>
      <c r="AV5" s="69" t="n">
        <f aca="false">TblMagic[[#This Row],[Mana cost]] + Military!$CL$26*TblMili[[#This Row],[Sec. rec. Cost]]</f>
        <v>0</v>
      </c>
      <c r="AW5" s="69" t="n">
        <f aca="false">Military!$CL$24*TblMili[[#This Row],[Sec. rec. Cost]]+TblImps[[#This Row],[O1]]-TblProd[[#This Row],[Bank Ore]]</f>
        <v>0</v>
      </c>
      <c r="AX5" s="69" t="n">
        <f aca="false">TblImps[[#This Row],[G1]]-TblProd[[#This Row],[Bank Gems]]</f>
        <v>0</v>
      </c>
      <c r="AY5" s="132"/>
      <c r="AZ5" s="33" t="n">
        <f aca="false">IF(TblProd[[#This Row],[Set Guard]]&lt;&gt;"",TblProd[[#This Row],[Set Guard]],OFFSET(TblProd[[#This Row],[Guard]],-1,0))</f>
        <v>0</v>
      </c>
      <c r="BA5" s="145"/>
      <c r="BB5" s="151" t="n">
        <f aca="false">TblProd[[#This Row],[Hour]]</f>
        <v>2</v>
      </c>
      <c r="BC5" s="152" t="n">
        <f aca="false">-TblProd[[#This Row],[Bank Lumber]] / 2 + -TblProd[[#This Row],[Bank Gems]] * 2 + -TblProd[[#This Row],[Bank Ore]] / 2</f>
        <v>450</v>
      </c>
      <c r="BD5" s="152" t="n">
        <v>-900</v>
      </c>
      <c r="BE5" s="152"/>
      <c r="BF5" s="152"/>
      <c r="BG5" s="153" t="n">
        <f aca="false">TblProd[[#This Row],[Time]]</f>
        <v>45429.7916666667</v>
      </c>
      <c r="BH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Ok</v>
      </c>
      <c r="BI5" s="69" t="n">
        <f aca="false">TblProd[[#This Row],[Platinum]]</f>
        <v>15140</v>
      </c>
      <c r="BJ5" s="69" t="n">
        <f aca="false">TblProd[[#This Row],[Food]]</f>
        <v>16910</v>
      </c>
      <c r="BK5" s="69" t="n">
        <f aca="false">TblProd[[#This Row],[Lumber]]</f>
        <v>0</v>
      </c>
      <c r="BL5" s="69" t="n">
        <f aca="false">TblProd[[#This Row],[Mana]]</f>
        <v>0</v>
      </c>
      <c r="BM5" s="69" t="n">
        <f aca="false">TblProd[[#This Row],[Ore]]</f>
        <v>0</v>
      </c>
    </row>
    <row r="6" customFormat="false" ht="12.75" hidden="false" customHeight="false" outlineLevel="0" collapsed="false">
      <c r="A6" s="128" t="n">
        <v>3</v>
      </c>
      <c r="B6" s="144" t="n">
        <f aca="false">TblImps[[#This Row],[Time]]</f>
        <v>45429.8333333333</v>
      </c>
      <c r="C6" s="145"/>
      <c r="D6" s="146"/>
      <c r="E6" s="69" t="n">
        <f aca="false">TblConstr[[#This Row],[Land]]</f>
        <v>250</v>
      </c>
      <c r="F6" s="69" t="n">
        <f aca="false">TblPop[[#This Row],[Peasants]]</f>
        <v>1352</v>
      </c>
      <c r="G6" s="69" t="e">
        <f aca="false">TblMili[[#This Row],[Networth (2)]]</f>
        <v>#VALUE!</v>
      </c>
      <c r="H6" s="69" t="n">
        <f aca="false">OFFSET(TblProd[[#This Row],[Platinum]],-1,0)+OFFSET(TblProd[[#This Row],[Plat/hr]],-1,0) - TblProd[[#This Row],[Expenses Platinum]] + IF(TblProd[[#This Row],[Plat Bonus]],TblPop[[#This Row],[Peasants]]*4) + SUM(TblConstr[[#This Row],[Dest Hom]:[Dest Doc]])*TblConstr[[#This Row],[CPA Platinum -DB]]*tech_3_3_2*TblTech[[#This Row],[3-3]]</f>
        <v>20520</v>
      </c>
      <c r="I6" s="69" t="n">
        <f aca="false">OFFSET(TblProd[[#This Row],[Food]],-1,0)+OFFSET(TblProd[[#This Row],[Food/hr]],-1,0)+ROUNDUP((TblConstr[[#This Row],[Farms]]*80+TblConstr[[#This Row],[Docks]]*35)*(1+OFFSET(TblProd[[#This Row],[Bonus Food/hr]],-1,0)),0)</f>
        <v>18791</v>
      </c>
      <c r="J6" s="69" t="n">
        <f aca="false">OFFSET(TblProd[[#This Row],[Lumber]],-1,0)+OFFSET(TblProd[[#This Row],[Lumber/hr]],-1,0) - TblProd[[#This Row],[Expenses Lumber]] + SUM(TblConstr[[#This Row],[Dest Hom]:[Dest Doc]])*TblConstr[[#This Row],[CPA Lumber -DB]]*tech_3_3_2*TblTech[[#This Row],[3-3]]</f>
        <v>0</v>
      </c>
      <c r="K6" s="69" t="n">
        <f aca="false">OFFSET(TblProd[[#This Row],[Mana]],-1,0)+OFFSET(TblProd[[#This Row],[Mana/hr]],-1,0)- TblProd[[#This Row],[Expenses Mana]]</f>
        <v>0</v>
      </c>
      <c r="L6" s="69" t="n">
        <f aca="false">OFFSET(TblProd[[#This Row],[Ore]],-1,0)+OFFSET(TblProd[[#This Row],[Ore/hr]],-1,0) -TblProd[[#This Row],[Expenses Ore]]</f>
        <v>0</v>
      </c>
      <c r="M6" s="69" t="n">
        <f aca="false">OFFSET(TblProd[[#This Row],[Gems]],-1,0)+OFFSET(TblProd[[#This Row],[Gems/hr]],-1,0) - TblProd[[#This Row],[Expenses Gems]]</f>
        <v>0</v>
      </c>
      <c r="N6" s="69" t="n">
        <f aca="false">OFFSET(TblProd[[#This Row],[Boats]],-1,0)+OFFSET(TblProd[[#This Row],[Boats/hr]],-1,0)</f>
        <v>0</v>
      </c>
      <c r="O6" s="69" t="n">
        <f aca="false">OFFSET(TblProd[[#This Row],[Prestige]],-1,0)</f>
        <v>250</v>
      </c>
      <c r="P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69" t="n">
        <f aca="false">MAX(3750,_xlfn.CEILING.MATH(TblProd[[#This Row],[Land]]*2.5+OFFSET(TblTech[[#This Row],[Sum of tech]],-1,0)*150))</f>
        <v>3750</v>
      </c>
      <c r="R6" s="132"/>
      <c r="S6" s="69" t="n">
        <f aca="false">ROUNDDOWN(TblProd[[#This Row],[Raw Plat/hr]]*(1+TblProd[[#This Row],[Bonus Plat/hr]]),0)</f>
        <v>5000</v>
      </c>
      <c r="T6" s="69" t="n">
        <f aca="false">ROUND(TblProd[[#This Row],[Raw Food/hr]]*(1+TblProd[[#This Row],[Bonus Food/hr]])-TblProd[[#This Row],[Food decay]]-TblProd[[#This Row],[Food eaten]],0)</f>
        <v>1853</v>
      </c>
      <c r="U6" s="69" t="n">
        <f aca="false">ROUND(TblProd[[#This Row],[Raw Lumber/hr]]*(1+TblProd[[#This Row],[Bonus Lumber/hr]])-TblProd[[#This Row],[Lumber rot]],0)</f>
        <v>900</v>
      </c>
      <c r="V6" s="69" t="n">
        <f aca="false">ROUND(TblProd[[#This Row],[Raw Mana/hr]]*(1+TblProd[[#This Row],[Bonus Mana/hr]])-TblProd[[#This Row],[Mana drain]],0)</f>
        <v>0</v>
      </c>
      <c r="W6" s="69" t="n">
        <f aca="false">ROUNDDOWN(TblProd[[#This Row],[Raw Ore/hr]]*(1+TblProd[[#This Row],[Bonux Ore/hr]]),0)</f>
        <v>0</v>
      </c>
      <c r="X6" s="69" t="n">
        <f aca="false">ROUNDDOWN(TblProd[[#This Row],[Raw Gems/hr]]*(1+TblProd[[#This Row],[Bonus Gems/hr]]),0)</f>
        <v>0</v>
      </c>
      <c r="Y6" s="148" t="n">
        <f aca="false">OFFSET(TblConstr[[#This Row],[Tot Doc]],1,0)*dock_boats_hr * (1 + tech_4_1*TblTech[[#This Row],[4-1]])</f>
        <v>0</v>
      </c>
      <c r="Z6" s="146"/>
      <c r="AA6" s="69" t="n">
        <f aca="false">TblPop[[#This Row],[Peasants]]*tax*TblPop[[#This Row],[Employment]] + (Construction!AZ7+Construction!BX7)*(alch_plat+(Magic!AM6&gt;0)*alchemist_flame_bonus)</f>
        <v>5000.4</v>
      </c>
      <c r="AB6" s="69" t="n">
        <f aca="false">TblConstr[[#This Row],[Tot Farm]]*farm_food + TblConstr[[#This Row],[Tot Doc]]*dock_food</f>
        <v>2400</v>
      </c>
      <c r="AC6" s="69" t="n">
        <f aca="false">TblConstr[[#This Row],[Tot Ly]]*ly_lumber + TblConstr[[#This Row],[Tot Hav]]*fh_lumber</f>
        <v>1000</v>
      </c>
      <c r="AD6" s="69" t="n">
        <f aca="false">OFFSET(TblConstr[[#This Row],[Tot Tow]],1,0)*(tower_mana + tech_4_5*TblTech[[#This Row],[4-5]]) + OFFSET(TblConstr[[#This Row],[Tot WG]],1,0)*wg_mana_prod</f>
        <v>0</v>
      </c>
      <c r="AE6" s="69" t="n">
        <f aca="false">OFFSET(TblConstr[[#This Row],[Tot OM]],1,0)*om_ore+IF(race="Dwarf",ROUNDDOWN(TblMili[[#This Row],[Unit 2]]*0.4,0),)</f>
        <v>0</v>
      </c>
      <c r="AF6" s="69" t="n">
        <f aca="false">OFFSET(TblConstr[[#This Row],[Tot DM]],1,0)*dm_gems</f>
        <v>0</v>
      </c>
      <c r="AG6" s="132"/>
      <c r="AH6" s="149" t="n">
        <f aca="false">MIN(race_platinum_bonus + IF(TblMagic[[#This Row],[Active Alch Frost]]&gt;0,alch_frost_bonus,IF(Magic!AD6&gt;0,midas_bonus)) + TblImps[[#This Row],[Science]] - TblProd[[#This Row],[Guard]]*(0.02 + tech_5_7*TblTech[[#This Row],[5-7]]) + tech_1_5*TblTech[[#This Row],[1-5]] + tech_4_4*TblTech[[#This Row],[4-4]], 0.5)</f>
        <v>0</v>
      </c>
      <c r="AI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 s="149" t="n">
        <f aca="false">race_lumber_bonus+ IF(TblMagic[[#This Row],[Active Gaia''s Blessing]]&gt;0,gaias_blessing_lumber)+ tech_1_3*TblTech[[#This Row],[1-3]] + tech_1_6*TblTech[[#This Row],[1-6]] + tech_3_3*TblTech[[#This Row],[3-3]]</f>
        <v>-0.1</v>
      </c>
      <c r="AK6" s="149" t="n">
        <f aca="false">race_mana_bonus+ 0 + TblImps[[#This Row],[Towers]] + tech_1_2*TblTech[[#This Row],[1-2]] + tech_3_4*TblTech[[#This Row],[3-4]]</f>
        <v>0</v>
      </c>
      <c r="AL6" s="149" t="n">
        <f aca="false">race_ore_bonus + IF(TblMagic[[#This Row],[Active Miner''s Sight]]&gt;0,miners_sight_bonus,IF(TblMagic[[#This Row],[Active Mining Strength]]&gt;0,mining_strength_bonus)) +  tech_1_6*TblTech[[#This Row],[1-6]]</f>
        <v>0</v>
      </c>
      <c r="AM6" s="149" t="n">
        <f aca="false">race_gem_bonus+ tech_3_2*TblTech[[#This Row],[3-2]] + tech_4_3*TblTech[[#This Row],[4-3]] + tech_6_2*TblTech[[#This Row],[6-2]]</f>
        <v>0.15</v>
      </c>
      <c r="AN6" s="132"/>
      <c r="AO6" s="69" t="n">
        <f aca="false">TblProd[[#This Row],[Food]]*food_decay * (1 + tech_2_1*TblTech[[#This Row],[2-1]] + tech_2_8*TblTech[[#This Row],[2-8]])</f>
        <v>187.91</v>
      </c>
      <c r="AP6" s="69" t="n">
        <f aca="false">(1+race_food_consumption)*TblPop[[#This Row],[Total]]*food_per_person*(1+tech_1_10*TblTech[[#This Row],[1-10]]+tech_7_5*TblTech[[#This Row],[7-5]])</f>
        <v>419.5</v>
      </c>
      <c r="AQ6" s="69" t="n">
        <f aca="false">TblProd[[#This Row],[Lumber]]*lumber_rot * (1 + tech_2_1*TblTech[[#This Row],[2-1]] + tech_2_8*TblTech[[#This Row],[2-8]] + tech_5_2*TblTech[[#This Row],[5-2]])</f>
        <v>0</v>
      </c>
      <c r="AR6" s="69" t="n">
        <f aca="false">TblProd[[#This Row],[Mana]]*mana_drain * (1 + tech_2_1*TblTech[[#This Row],[2-1]] + tech_2_8*TblTech[[#This Row],[2-8]])</f>
        <v>0</v>
      </c>
      <c r="AS6" s="146"/>
      <c r="AT6" s="69" t="n">
        <f aca="false">TblExplore[[#This Row],[Platinum (2)]]+TblConstr[[#This Row],[Total Plat Cost]]+TblMili[[#This Row],[Plat Cost]]+TblRezone[[#This Row],[Platinum cost]]+TblImps[[#This Row],[P1]]-TblProd[[#This Row],[Bank Plat]]</f>
        <v>-450</v>
      </c>
      <c r="AU6" s="69" t="n">
        <f aca="false">TblConstr[[#This Row],[Total Lum Cost]]+TblImps[[#This Row],[L1]]-TblProd[[#This Row],[Bank Lumber]] + Military!$CL$25*TblMili[[#This Row],[Sec. rec. Cost]]</f>
        <v>900</v>
      </c>
      <c r="AV6" s="69" t="n">
        <f aca="false">TblMagic[[#This Row],[Mana cost]] + Military!$CL$26*TblMili[[#This Row],[Sec. rec. Cost]]</f>
        <v>0</v>
      </c>
      <c r="AW6" s="69" t="n">
        <f aca="false">Military!$CL$24*TblMili[[#This Row],[Sec. rec. Cost]]+TblImps[[#This Row],[O1]]-TblProd[[#This Row],[Bank Ore]]</f>
        <v>0</v>
      </c>
      <c r="AX6" s="69" t="n">
        <f aca="false">TblImps[[#This Row],[G1]]-TblProd[[#This Row],[Bank Gems]]</f>
        <v>0</v>
      </c>
      <c r="AY6" s="132"/>
      <c r="AZ6" s="33" t="n">
        <f aca="false">IF(TblProd[[#This Row],[Set Guard]]&lt;&gt;"",TblProd[[#This Row],[Set Guard]],OFFSET(TblProd[[#This Row],[Guard]],-1,0))</f>
        <v>0</v>
      </c>
      <c r="BA6" s="145"/>
      <c r="BB6" s="151" t="n">
        <f aca="false">TblProd[[#This Row],[Hour]]</f>
        <v>3</v>
      </c>
      <c r="BC6" s="152" t="n">
        <f aca="false">-TblProd[[#This Row],[Bank Lumber]] / 2 + -TblProd[[#This Row],[Bank Gems]] * 2 + -TblProd[[#This Row],[Bank Ore]] / 2</f>
        <v>450</v>
      </c>
      <c r="BD6" s="152" t="n">
        <v>-900</v>
      </c>
      <c r="BE6" s="152"/>
      <c r="BF6" s="152"/>
      <c r="BG6" s="153" t="n">
        <f aca="false">TblProd[[#This Row],[Time]]</f>
        <v>45429.8333333333</v>
      </c>
      <c r="BH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Ok</v>
      </c>
      <c r="BI6" s="69" t="n">
        <f aca="false">TblProd[[#This Row],[Platinum]]</f>
        <v>20520</v>
      </c>
      <c r="BJ6" s="69" t="n">
        <f aca="false">TblProd[[#This Row],[Food]]</f>
        <v>18791</v>
      </c>
      <c r="BK6" s="69" t="n">
        <f aca="false">TblProd[[#This Row],[Lumber]]</f>
        <v>0</v>
      </c>
      <c r="BL6" s="69" t="n">
        <f aca="false">TblProd[[#This Row],[Mana]]</f>
        <v>0</v>
      </c>
      <c r="BM6" s="69" t="n">
        <f aca="false">TblProd[[#This Row],[Ore]]</f>
        <v>0</v>
      </c>
    </row>
    <row r="7" customFormat="false" ht="12.75" hidden="false" customHeight="false" outlineLevel="0" collapsed="false">
      <c r="A7" s="128" t="n">
        <v>4</v>
      </c>
      <c r="B7" s="144" t="n">
        <f aca="false">TblImps[[#This Row],[Time]]</f>
        <v>45429.875</v>
      </c>
      <c r="C7" s="145"/>
      <c r="D7" s="146"/>
      <c r="E7" s="69" t="n">
        <f aca="false">TblConstr[[#This Row],[Land]]</f>
        <v>250</v>
      </c>
      <c r="F7" s="69" t="n">
        <f aca="false">TblPop[[#This Row],[Peasants]]</f>
        <v>1378</v>
      </c>
      <c r="G7" s="69" t="e">
        <f aca="false">TblMili[[#This Row],[Networth (2)]]</f>
        <v>#VALUE!</v>
      </c>
      <c r="H7" s="69" t="n">
        <f aca="false">OFFSET(TblProd[[#This Row],[Platinum]],-1,0)+OFFSET(TblProd[[#This Row],[Plat/hr]],-1,0) - TblProd[[#This Row],[Expenses Platinum]] + IF(TblProd[[#This Row],[Plat Bonus]],TblPop[[#This Row],[Peasants]]*4) + SUM(TblConstr[[#This Row],[Dest Hom]:[Dest Doc]])*TblConstr[[#This Row],[CPA Platinum -DB]]*tech_3_3_2*TblTech[[#This Row],[3-3]]</f>
        <v>25970</v>
      </c>
      <c r="I7" s="69" t="n">
        <f aca="false">OFFSET(TblProd[[#This Row],[Food]],-1,0)+OFFSET(TblProd[[#This Row],[Food/hr]],-1,0)+ROUNDUP((TblConstr[[#This Row],[Farms]]*80+TblConstr[[#This Row],[Docks]]*35)*(1+OFFSET(TblProd[[#This Row],[Bonus Food/hr]],-1,0)),0)</f>
        <v>20644</v>
      </c>
      <c r="J7" s="69" t="n">
        <f aca="false">OFFSET(TblProd[[#This Row],[Lumber]],-1,0)+OFFSET(TblProd[[#This Row],[Lumber/hr]],-1,0) - TblProd[[#This Row],[Expenses Lumber]] + SUM(TblConstr[[#This Row],[Dest Hom]:[Dest Doc]])*TblConstr[[#This Row],[CPA Lumber -DB]]*tech_3_3_2*TblTech[[#This Row],[3-3]]</f>
        <v>0</v>
      </c>
      <c r="K7" s="69" t="n">
        <f aca="false">OFFSET(TblProd[[#This Row],[Mana]],-1,0)+OFFSET(TblProd[[#This Row],[Mana/hr]],-1,0)- TblProd[[#This Row],[Expenses Mana]]</f>
        <v>0</v>
      </c>
      <c r="L7" s="69" t="n">
        <f aca="false">OFFSET(TblProd[[#This Row],[Ore]],-1,0)+OFFSET(TblProd[[#This Row],[Ore/hr]],-1,0) -TblProd[[#This Row],[Expenses Ore]]</f>
        <v>0</v>
      </c>
      <c r="M7" s="69" t="n">
        <f aca="false">OFFSET(TblProd[[#This Row],[Gems]],-1,0)+OFFSET(TblProd[[#This Row],[Gems/hr]],-1,0) - TblProd[[#This Row],[Expenses Gems]]</f>
        <v>0</v>
      </c>
      <c r="N7" s="69" t="n">
        <f aca="false">OFFSET(TblProd[[#This Row],[Boats]],-1,0)+OFFSET(TblProd[[#This Row],[Boats/hr]],-1,0)</f>
        <v>0</v>
      </c>
      <c r="O7" s="69" t="n">
        <f aca="false">OFFSET(TblProd[[#This Row],[Prestige]],-1,0)</f>
        <v>250</v>
      </c>
      <c r="P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69" t="n">
        <f aca="false">MAX(3750,_xlfn.CEILING.MATH(TblProd[[#This Row],[Land]]*2.5+OFFSET(TblTech[[#This Row],[Sum of tech]],-1,0)*150))</f>
        <v>3750</v>
      </c>
      <c r="R7" s="132"/>
      <c r="S7" s="69" t="n">
        <f aca="false">ROUNDDOWN(TblProd[[#This Row],[Raw Plat/hr]]*(1+TblProd[[#This Row],[Bonus Plat/hr]]),0)</f>
        <v>5070</v>
      </c>
      <c r="T7" s="69" t="n">
        <f aca="false">ROUND(TblProd[[#This Row],[Raw Food/hr]]*(1+TblProd[[#This Row],[Bonus Food/hr]])-TblProd[[#This Row],[Food decay]]-TblProd[[#This Row],[Food eaten]],0)</f>
        <v>1824</v>
      </c>
      <c r="U7" s="69" t="n">
        <f aca="false">ROUND(TblProd[[#This Row],[Raw Lumber/hr]]*(1+TblProd[[#This Row],[Bonus Lumber/hr]])-TblProd[[#This Row],[Lumber rot]],0)</f>
        <v>900</v>
      </c>
      <c r="V7" s="69" t="n">
        <f aca="false">ROUND(TblProd[[#This Row],[Raw Mana/hr]]*(1+TblProd[[#This Row],[Bonus Mana/hr]])-TblProd[[#This Row],[Mana drain]],0)</f>
        <v>0</v>
      </c>
      <c r="W7" s="69" t="n">
        <f aca="false">ROUNDDOWN(TblProd[[#This Row],[Raw Ore/hr]]*(1+TblProd[[#This Row],[Bonux Ore/hr]]),0)</f>
        <v>0</v>
      </c>
      <c r="X7" s="69" t="n">
        <f aca="false">ROUNDDOWN(TblProd[[#This Row],[Raw Gems/hr]]*(1+TblProd[[#This Row],[Bonus Gems/hr]]),0)</f>
        <v>0</v>
      </c>
      <c r="Y7" s="148" t="n">
        <f aca="false">OFFSET(TblConstr[[#This Row],[Tot Doc]],1,0)*dock_boats_hr * (1 + tech_4_1*TblTech[[#This Row],[4-1]])</f>
        <v>0</v>
      </c>
      <c r="Z7" s="146"/>
      <c r="AA7" s="69" t="n">
        <f aca="false">TblPop[[#This Row],[Peasants]]*tax*TblPop[[#This Row],[Employment]] + (Construction!AZ8+Construction!BX8)*(alch_plat+(Magic!AM7&gt;0)*alchemist_flame_bonus)</f>
        <v>5070.6</v>
      </c>
      <c r="AB7" s="69" t="n">
        <f aca="false">TblConstr[[#This Row],[Tot Farm]]*farm_food + TblConstr[[#This Row],[Tot Doc]]*dock_food</f>
        <v>2400</v>
      </c>
      <c r="AC7" s="69" t="n">
        <f aca="false">TblConstr[[#This Row],[Tot Ly]]*ly_lumber + TblConstr[[#This Row],[Tot Hav]]*fh_lumber</f>
        <v>1000</v>
      </c>
      <c r="AD7" s="69" t="n">
        <f aca="false">OFFSET(TblConstr[[#This Row],[Tot Tow]],1,0)*(tower_mana + tech_4_5*TblTech[[#This Row],[4-5]]) + OFFSET(TblConstr[[#This Row],[Tot WG]],1,0)*wg_mana_prod</f>
        <v>0</v>
      </c>
      <c r="AE7" s="69" t="n">
        <f aca="false">OFFSET(TblConstr[[#This Row],[Tot OM]],1,0)*om_ore+IF(race="Dwarf",ROUNDDOWN(TblMili[[#This Row],[Unit 2]]*0.4,0),)</f>
        <v>0</v>
      </c>
      <c r="AF7" s="69" t="n">
        <f aca="false">OFFSET(TblConstr[[#This Row],[Tot DM]],1,0)*dm_gems</f>
        <v>0</v>
      </c>
      <c r="AG7" s="132"/>
      <c r="AH7" s="149" t="n">
        <f aca="false">MIN(race_platinum_bonus + IF(TblMagic[[#This Row],[Active Alch Frost]]&gt;0,alch_frost_bonus,IF(Magic!AD7&gt;0,midas_bonus)) + TblImps[[#This Row],[Science]] - TblProd[[#This Row],[Guard]]*(0.02 + tech_5_7*TblTech[[#This Row],[5-7]]) + tech_1_5*TblTech[[#This Row],[1-5]] + tech_4_4*TblTech[[#This Row],[4-4]], 0.5)</f>
        <v>0</v>
      </c>
      <c r="AI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 s="149" t="n">
        <f aca="false">race_lumber_bonus+ IF(TblMagic[[#This Row],[Active Gaia''s Blessing]]&gt;0,gaias_blessing_lumber)+ tech_1_3*TblTech[[#This Row],[1-3]] + tech_1_6*TblTech[[#This Row],[1-6]] + tech_3_3*TblTech[[#This Row],[3-3]]</f>
        <v>-0.1</v>
      </c>
      <c r="AK7" s="149" t="n">
        <f aca="false">race_mana_bonus+ 0 + TblImps[[#This Row],[Towers]] + tech_1_2*TblTech[[#This Row],[1-2]] + tech_3_4*TblTech[[#This Row],[3-4]]</f>
        <v>0</v>
      </c>
      <c r="AL7" s="149" t="n">
        <f aca="false">race_ore_bonus + IF(TblMagic[[#This Row],[Active Miner''s Sight]]&gt;0,miners_sight_bonus,IF(TblMagic[[#This Row],[Active Mining Strength]]&gt;0,mining_strength_bonus)) +  tech_1_6*TblTech[[#This Row],[1-6]]</f>
        <v>0</v>
      </c>
      <c r="AM7" s="149" t="n">
        <f aca="false">race_gem_bonus+ tech_3_2*TblTech[[#This Row],[3-2]] + tech_4_3*TblTech[[#This Row],[4-3]] + tech_6_2*TblTech[[#This Row],[6-2]]</f>
        <v>0.15</v>
      </c>
      <c r="AN7" s="132"/>
      <c r="AO7" s="69" t="n">
        <f aca="false">TblProd[[#This Row],[Food]]*food_decay * (1 + tech_2_1*TblTech[[#This Row],[2-1]] + tech_2_8*TblTech[[#This Row],[2-8]])</f>
        <v>206.44</v>
      </c>
      <c r="AP7" s="69" t="n">
        <f aca="false">(1+race_food_consumption)*TblPop[[#This Row],[Total]]*food_per_person*(1+tech_1_10*TblTech[[#This Row],[1-10]]+tech_7_5*TblTech[[#This Row],[7-5]])</f>
        <v>429.5</v>
      </c>
      <c r="AQ7" s="69" t="n">
        <f aca="false">TblProd[[#This Row],[Lumber]]*lumber_rot * (1 + tech_2_1*TblTech[[#This Row],[2-1]] + tech_2_8*TblTech[[#This Row],[2-8]] + tech_5_2*TblTech[[#This Row],[5-2]])</f>
        <v>0</v>
      </c>
      <c r="AR7" s="69" t="n">
        <f aca="false">TblProd[[#This Row],[Mana]]*mana_drain * (1 + tech_2_1*TblTech[[#This Row],[2-1]] + tech_2_8*TblTech[[#This Row],[2-8]])</f>
        <v>0</v>
      </c>
      <c r="AS7" s="146"/>
      <c r="AT7" s="69" t="n">
        <f aca="false">TblExplore[[#This Row],[Platinum (2)]]+TblConstr[[#This Row],[Total Plat Cost]]+TblMili[[#This Row],[Plat Cost]]+TblRezone[[#This Row],[Platinum cost]]+TblImps[[#This Row],[P1]]-TblProd[[#This Row],[Bank Plat]]</f>
        <v>-450</v>
      </c>
      <c r="AU7" s="69" t="n">
        <f aca="false">TblConstr[[#This Row],[Total Lum Cost]]+TblImps[[#This Row],[L1]]-TblProd[[#This Row],[Bank Lumber]] + Military!$CL$25*TblMili[[#This Row],[Sec. rec. Cost]]</f>
        <v>900</v>
      </c>
      <c r="AV7" s="69" t="n">
        <f aca="false">TblMagic[[#This Row],[Mana cost]] + Military!$CL$26*TblMili[[#This Row],[Sec. rec. Cost]]</f>
        <v>0</v>
      </c>
      <c r="AW7" s="69" t="n">
        <f aca="false">Military!$CL$24*TblMili[[#This Row],[Sec. rec. Cost]]+TblImps[[#This Row],[O1]]-TblProd[[#This Row],[Bank Ore]]</f>
        <v>0</v>
      </c>
      <c r="AX7" s="69" t="n">
        <f aca="false">TblImps[[#This Row],[G1]]-TblProd[[#This Row],[Bank Gems]]</f>
        <v>0</v>
      </c>
      <c r="AY7" s="132"/>
      <c r="AZ7" s="33" t="n">
        <f aca="false">IF(TblProd[[#This Row],[Set Guard]]&lt;&gt;"",TblProd[[#This Row],[Set Guard]],OFFSET(TblProd[[#This Row],[Guard]],-1,0))</f>
        <v>0</v>
      </c>
      <c r="BA7" s="145"/>
      <c r="BB7" s="151" t="n">
        <f aca="false">TblProd[[#This Row],[Hour]]</f>
        <v>4</v>
      </c>
      <c r="BC7" s="152" t="n">
        <f aca="false">-TblProd[[#This Row],[Bank Lumber]] / 2 + -TblProd[[#This Row],[Bank Gems]] * 2 + -TblProd[[#This Row],[Bank Ore]] / 2</f>
        <v>450</v>
      </c>
      <c r="BD7" s="152" t="n">
        <v>-900</v>
      </c>
      <c r="BE7" s="152"/>
      <c r="BF7" s="152"/>
      <c r="BG7" s="153" t="n">
        <f aca="false">TblProd[[#This Row],[Time]]</f>
        <v>45429.875</v>
      </c>
      <c r="BH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Ok</v>
      </c>
      <c r="BI7" s="69" t="n">
        <f aca="false">TblProd[[#This Row],[Platinum]]</f>
        <v>25970</v>
      </c>
      <c r="BJ7" s="69" t="n">
        <f aca="false">TblProd[[#This Row],[Food]]</f>
        <v>20644</v>
      </c>
      <c r="BK7" s="69" t="n">
        <f aca="false">TblProd[[#This Row],[Lumber]]</f>
        <v>0</v>
      </c>
      <c r="BL7" s="69" t="n">
        <f aca="false">TblProd[[#This Row],[Mana]]</f>
        <v>0</v>
      </c>
      <c r="BM7" s="69" t="n">
        <f aca="false">TblProd[[#This Row],[Ore]]</f>
        <v>0</v>
      </c>
    </row>
    <row r="8" customFormat="false" ht="12.75" hidden="false" customHeight="false" outlineLevel="0" collapsed="false">
      <c r="A8" s="128" t="n">
        <v>5</v>
      </c>
      <c r="B8" s="144" t="n">
        <f aca="false">TblImps[[#This Row],[Time]]</f>
        <v>45429.9166666667</v>
      </c>
      <c r="C8" s="145"/>
      <c r="D8" s="146"/>
      <c r="E8" s="69" t="n">
        <f aca="false">TblConstr[[#This Row],[Land]]</f>
        <v>250</v>
      </c>
      <c r="F8" s="69" t="n">
        <f aca="false">TblPop[[#This Row],[Peasants]]</f>
        <v>1405</v>
      </c>
      <c r="G8" s="69" t="e">
        <f aca="false">TblMili[[#This Row],[Networth (2)]]</f>
        <v>#VALUE!</v>
      </c>
      <c r="H8" s="69" t="n">
        <f aca="false">OFFSET(TblProd[[#This Row],[Platinum]],-1,0)+OFFSET(TblProd[[#This Row],[Plat/hr]],-1,0) - TblProd[[#This Row],[Expenses Platinum]] + IF(TblProd[[#This Row],[Plat Bonus]],TblPop[[#This Row],[Peasants]]*4) + SUM(TblConstr[[#This Row],[Dest Hom]:[Dest Doc]])*TblConstr[[#This Row],[CPA Platinum -DB]]*tech_3_3_2*TblTech[[#This Row],[3-3]]</f>
        <v>31490</v>
      </c>
      <c r="I8" s="69" t="n">
        <f aca="false">OFFSET(TblProd[[#This Row],[Food]],-1,0)+OFFSET(TblProd[[#This Row],[Food/hr]],-1,0)+ROUNDUP((TblConstr[[#This Row],[Farms]]*80+TblConstr[[#This Row],[Docks]]*35)*(1+OFFSET(TblProd[[#This Row],[Bonus Food/hr]],-1,0)),0)</f>
        <v>22468</v>
      </c>
      <c r="J8" s="69" t="n">
        <f aca="false">OFFSET(TblProd[[#This Row],[Lumber]],-1,0)+OFFSET(TblProd[[#This Row],[Lumber/hr]],-1,0) - TblProd[[#This Row],[Expenses Lumber]] + SUM(TblConstr[[#This Row],[Dest Hom]:[Dest Doc]])*TblConstr[[#This Row],[CPA Lumber -DB]]*tech_3_3_2*TblTech[[#This Row],[3-3]]</f>
        <v>0</v>
      </c>
      <c r="K8" s="69" t="n">
        <f aca="false">OFFSET(TblProd[[#This Row],[Mana]],-1,0)+OFFSET(TblProd[[#This Row],[Mana/hr]],-1,0)- TblProd[[#This Row],[Expenses Mana]]</f>
        <v>0</v>
      </c>
      <c r="L8" s="69" t="n">
        <f aca="false">OFFSET(TblProd[[#This Row],[Ore]],-1,0)+OFFSET(TblProd[[#This Row],[Ore/hr]],-1,0) -TblProd[[#This Row],[Expenses Ore]]</f>
        <v>0</v>
      </c>
      <c r="M8" s="69" t="n">
        <f aca="false">OFFSET(TblProd[[#This Row],[Gems]],-1,0)+OFFSET(TblProd[[#This Row],[Gems/hr]],-1,0) - TblProd[[#This Row],[Expenses Gems]]</f>
        <v>0</v>
      </c>
      <c r="N8" s="69" t="n">
        <f aca="false">OFFSET(TblProd[[#This Row],[Boats]],-1,0)+OFFSET(TblProd[[#This Row],[Boats/hr]],-1,0)</f>
        <v>0</v>
      </c>
      <c r="O8" s="69" t="n">
        <f aca="false">OFFSET(TblProd[[#This Row],[Prestige]],-1,0)</f>
        <v>250</v>
      </c>
      <c r="P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69" t="n">
        <f aca="false">MAX(3750,_xlfn.CEILING.MATH(TblProd[[#This Row],[Land]]*2.5+OFFSET(TblTech[[#This Row],[Sum of tech]],-1,0)*150))</f>
        <v>3750</v>
      </c>
      <c r="R8" s="132"/>
      <c r="S8" s="69" t="n">
        <f aca="false">ROUNDDOWN(TblProd[[#This Row],[Raw Plat/hr]]*(1+TblProd[[#This Row],[Bonus Plat/hr]]),0)</f>
        <v>5143</v>
      </c>
      <c r="T8" s="69" t="n">
        <f aca="false">ROUND(TblProd[[#This Row],[Raw Food/hr]]*(1+TblProd[[#This Row],[Bonus Food/hr]])-TblProd[[#This Row],[Food decay]]-TblProd[[#This Row],[Food eaten]],0)</f>
        <v>1796</v>
      </c>
      <c r="U8" s="69" t="n">
        <f aca="false">ROUND(TblProd[[#This Row],[Raw Lumber/hr]]*(1+TblProd[[#This Row],[Bonus Lumber/hr]])-TblProd[[#This Row],[Lumber rot]],0)</f>
        <v>900</v>
      </c>
      <c r="V8" s="69" t="n">
        <f aca="false">ROUND(TblProd[[#This Row],[Raw Mana/hr]]*(1+TblProd[[#This Row],[Bonus Mana/hr]])-TblProd[[#This Row],[Mana drain]],0)</f>
        <v>0</v>
      </c>
      <c r="W8" s="69" t="n">
        <f aca="false">ROUNDDOWN(TblProd[[#This Row],[Raw Ore/hr]]*(1+TblProd[[#This Row],[Bonux Ore/hr]]),0)</f>
        <v>0</v>
      </c>
      <c r="X8" s="69" t="n">
        <f aca="false">ROUNDDOWN(TblProd[[#This Row],[Raw Gems/hr]]*(1+TblProd[[#This Row],[Bonus Gems/hr]]),0)</f>
        <v>0</v>
      </c>
      <c r="Y8" s="148" t="n">
        <f aca="false">OFFSET(TblConstr[[#This Row],[Tot Doc]],1,0)*dock_boats_hr * (1 + tech_4_1*TblTech[[#This Row],[4-1]])</f>
        <v>0</v>
      </c>
      <c r="Z8" s="146"/>
      <c r="AA8" s="69" t="n">
        <f aca="false">TblPop[[#This Row],[Peasants]]*tax*TblPop[[#This Row],[Employment]] + (Construction!AZ9+Construction!BX9)*(alch_plat+(Magic!AM8&gt;0)*alchemist_flame_bonus)</f>
        <v>5143.5</v>
      </c>
      <c r="AB8" s="69" t="n">
        <f aca="false">TblConstr[[#This Row],[Tot Farm]]*farm_food + TblConstr[[#This Row],[Tot Doc]]*dock_food</f>
        <v>2400</v>
      </c>
      <c r="AC8" s="69" t="n">
        <f aca="false">TblConstr[[#This Row],[Tot Ly]]*ly_lumber + TblConstr[[#This Row],[Tot Hav]]*fh_lumber</f>
        <v>1000</v>
      </c>
      <c r="AD8" s="69" t="n">
        <f aca="false">OFFSET(TblConstr[[#This Row],[Tot Tow]],1,0)*(tower_mana + tech_4_5*TblTech[[#This Row],[4-5]]) + OFFSET(TblConstr[[#This Row],[Tot WG]],1,0)*wg_mana_prod</f>
        <v>0</v>
      </c>
      <c r="AE8" s="69" t="n">
        <f aca="false">OFFSET(TblConstr[[#This Row],[Tot OM]],1,0)*om_ore+IF(race="Dwarf",ROUNDDOWN(TblMili[[#This Row],[Unit 2]]*0.4,0),)</f>
        <v>0</v>
      </c>
      <c r="AF8" s="69" t="n">
        <f aca="false">OFFSET(TblConstr[[#This Row],[Tot DM]],1,0)*dm_gems</f>
        <v>0</v>
      </c>
      <c r="AG8" s="132"/>
      <c r="AH8" s="149" t="n">
        <f aca="false">MIN(race_platinum_bonus + IF(TblMagic[[#This Row],[Active Alch Frost]]&gt;0,alch_frost_bonus,IF(Magic!AD8&gt;0,midas_bonus)) + TblImps[[#This Row],[Science]] - TblProd[[#This Row],[Guard]]*(0.02 + tech_5_7*TblTech[[#This Row],[5-7]]) + tech_1_5*TblTech[[#This Row],[1-5]] + tech_4_4*TblTech[[#This Row],[4-4]], 0.5)</f>
        <v>0</v>
      </c>
      <c r="AI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 s="149" t="n">
        <f aca="false">race_lumber_bonus+ IF(TblMagic[[#This Row],[Active Gaia''s Blessing]]&gt;0,gaias_blessing_lumber)+ tech_1_3*TblTech[[#This Row],[1-3]] + tech_1_6*TblTech[[#This Row],[1-6]] + tech_3_3*TblTech[[#This Row],[3-3]]</f>
        <v>-0.1</v>
      </c>
      <c r="AK8" s="149" t="n">
        <f aca="false">race_mana_bonus+ 0 + TblImps[[#This Row],[Towers]] + tech_1_2*TblTech[[#This Row],[1-2]] + tech_3_4*TblTech[[#This Row],[3-4]]</f>
        <v>0</v>
      </c>
      <c r="AL8" s="149" t="n">
        <f aca="false">race_ore_bonus + IF(TblMagic[[#This Row],[Active Miner''s Sight]]&gt;0,miners_sight_bonus,IF(TblMagic[[#This Row],[Active Mining Strength]]&gt;0,mining_strength_bonus)) +  tech_1_6*TblTech[[#This Row],[1-6]]</f>
        <v>0</v>
      </c>
      <c r="AM8" s="149" t="n">
        <f aca="false">race_gem_bonus+ tech_3_2*TblTech[[#This Row],[3-2]] + tech_4_3*TblTech[[#This Row],[4-3]] + tech_6_2*TblTech[[#This Row],[6-2]]</f>
        <v>0.15</v>
      </c>
      <c r="AN8" s="132"/>
      <c r="AO8" s="69" t="n">
        <f aca="false">TblProd[[#This Row],[Food]]*food_decay * (1 + tech_2_1*TblTech[[#This Row],[2-1]] + tech_2_8*TblTech[[#This Row],[2-8]])</f>
        <v>224.68</v>
      </c>
      <c r="AP8" s="69" t="n">
        <f aca="false">(1+race_food_consumption)*TblPop[[#This Row],[Total]]*food_per_person*(1+tech_1_10*TblTech[[#This Row],[1-10]]+tech_7_5*TblTech[[#This Row],[7-5]])</f>
        <v>439.75</v>
      </c>
      <c r="AQ8" s="69" t="n">
        <f aca="false">TblProd[[#This Row],[Lumber]]*lumber_rot * (1 + tech_2_1*TblTech[[#This Row],[2-1]] + tech_2_8*TblTech[[#This Row],[2-8]] + tech_5_2*TblTech[[#This Row],[5-2]])</f>
        <v>0</v>
      </c>
      <c r="AR8" s="69" t="n">
        <f aca="false">TblProd[[#This Row],[Mana]]*mana_drain * (1 + tech_2_1*TblTech[[#This Row],[2-1]] + tech_2_8*TblTech[[#This Row],[2-8]])</f>
        <v>0</v>
      </c>
      <c r="AS8" s="146"/>
      <c r="AT8" s="69" t="n">
        <f aca="false">TblExplore[[#This Row],[Platinum (2)]]+TblConstr[[#This Row],[Total Plat Cost]]+TblMili[[#This Row],[Plat Cost]]+TblRezone[[#This Row],[Platinum cost]]+TblImps[[#This Row],[P1]]-TblProd[[#This Row],[Bank Plat]]</f>
        <v>-450</v>
      </c>
      <c r="AU8" s="69" t="n">
        <f aca="false">TblConstr[[#This Row],[Total Lum Cost]]+TblImps[[#This Row],[L1]]-TblProd[[#This Row],[Bank Lumber]] + Military!$CL$25*TblMili[[#This Row],[Sec. rec. Cost]]</f>
        <v>900</v>
      </c>
      <c r="AV8" s="69" t="n">
        <f aca="false">TblMagic[[#This Row],[Mana cost]] + Military!$CL$26*TblMili[[#This Row],[Sec. rec. Cost]]</f>
        <v>0</v>
      </c>
      <c r="AW8" s="69" t="n">
        <f aca="false">Military!$CL$24*TblMili[[#This Row],[Sec. rec. Cost]]+TblImps[[#This Row],[O1]]-TblProd[[#This Row],[Bank Ore]]</f>
        <v>0</v>
      </c>
      <c r="AX8" s="69" t="n">
        <f aca="false">TblImps[[#This Row],[G1]]-TblProd[[#This Row],[Bank Gems]]</f>
        <v>0</v>
      </c>
      <c r="AY8" s="132"/>
      <c r="AZ8" s="33" t="n">
        <f aca="false">IF(TblProd[[#This Row],[Set Guard]]&lt;&gt;"",TblProd[[#This Row],[Set Guard]],OFFSET(TblProd[[#This Row],[Guard]],-1,0))</f>
        <v>0</v>
      </c>
      <c r="BA8" s="145"/>
      <c r="BB8" s="151" t="n">
        <f aca="false">TblProd[[#This Row],[Hour]]</f>
        <v>5</v>
      </c>
      <c r="BC8" s="152" t="n">
        <f aca="false">-TblProd[[#This Row],[Bank Lumber]] / 2 + -TblProd[[#This Row],[Bank Gems]] * 2 + -TblProd[[#This Row],[Bank Ore]] / 2</f>
        <v>450</v>
      </c>
      <c r="BD8" s="152" t="n">
        <v>-900</v>
      </c>
      <c r="BE8" s="152"/>
      <c r="BF8" s="152"/>
      <c r="BG8" s="153" t="n">
        <f aca="false">TblProd[[#This Row],[Time]]</f>
        <v>45429.9166666667</v>
      </c>
      <c r="BH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Ok</v>
      </c>
      <c r="BI8" s="69" t="n">
        <f aca="false">TblProd[[#This Row],[Platinum]]</f>
        <v>31490</v>
      </c>
      <c r="BJ8" s="69" t="n">
        <f aca="false">TblProd[[#This Row],[Food]]</f>
        <v>22468</v>
      </c>
      <c r="BK8" s="69" t="n">
        <f aca="false">TblProd[[#This Row],[Lumber]]</f>
        <v>0</v>
      </c>
      <c r="BL8" s="69" t="n">
        <f aca="false">TblProd[[#This Row],[Mana]]</f>
        <v>0</v>
      </c>
      <c r="BM8" s="69" t="n">
        <f aca="false">TblProd[[#This Row],[Ore]]</f>
        <v>0</v>
      </c>
    </row>
    <row r="9" customFormat="false" ht="12.75" hidden="false" customHeight="false" outlineLevel="0" collapsed="false">
      <c r="A9" s="128" t="n">
        <v>6</v>
      </c>
      <c r="B9" s="144" t="n">
        <f aca="false">TblImps[[#This Row],[Time]]</f>
        <v>45429.9583333333</v>
      </c>
      <c r="C9" s="145"/>
      <c r="D9" s="146"/>
      <c r="E9" s="69" t="n">
        <f aca="false">TblConstr[[#This Row],[Land]]</f>
        <v>250</v>
      </c>
      <c r="F9" s="69" t="n">
        <f aca="false">TblPop[[#This Row],[Peasants]]</f>
        <v>1433</v>
      </c>
      <c r="G9" s="69" t="e">
        <f aca="false">TblMili[[#This Row],[Networth (2)]]</f>
        <v>#VALUE!</v>
      </c>
      <c r="H9" s="69" t="n">
        <f aca="false">OFFSET(TblProd[[#This Row],[Platinum]],-1,0)+OFFSET(TblProd[[#This Row],[Plat/hr]],-1,0) - TblProd[[#This Row],[Expenses Platinum]] + IF(TblProd[[#This Row],[Plat Bonus]],TblPop[[#This Row],[Peasants]]*4) + SUM(TblConstr[[#This Row],[Dest Hom]:[Dest Doc]])*TblConstr[[#This Row],[CPA Platinum -DB]]*tech_3_3_2*TblTech[[#This Row],[3-3]]</f>
        <v>16683</v>
      </c>
      <c r="I9" s="69" t="n">
        <f aca="false">OFFSET(TblProd[[#This Row],[Food]],-1,0)+OFFSET(TblProd[[#This Row],[Food/hr]],-1,0)+ROUNDUP((TblConstr[[#This Row],[Farms]]*80+TblConstr[[#This Row],[Docks]]*35)*(1+OFFSET(TblProd[[#This Row],[Bonus Food/hr]],-1,0)),0)</f>
        <v>24264</v>
      </c>
      <c r="J9" s="69" t="n">
        <f aca="false">OFFSET(TblProd[[#This Row],[Lumber]],-1,0)+OFFSET(TblProd[[#This Row],[Lumber/hr]],-1,0) - TblProd[[#This Row],[Expenses Lumber]] + SUM(TblConstr[[#This Row],[Dest Hom]:[Dest Doc]])*TblConstr[[#This Row],[CPA Lumber -DB]]*tech_3_3_2*TblTech[[#This Row],[3-3]]</f>
        <v>0</v>
      </c>
      <c r="K9" s="69" t="n">
        <f aca="false">OFFSET(TblProd[[#This Row],[Mana]],-1,0)+OFFSET(TblProd[[#This Row],[Mana/hr]],-1,0)- TblProd[[#This Row],[Expenses Mana]]</f>
        <v>0</v>
      </c>
      <c r="L9" s="69" t="n">
        <f aca="false">OFFSET(TblProd[[#This Row],[Ore]],-1,0)+OFFSET(TblProd[[#This Row],[Ore/hr]],-1,0) -TblProd[[#This Row],[Expenses Ore]]</f>
        <v>0</v>
      </c>
      <c r="M9" s="69" t="n">
        <f aca="false">OFFSET(TblProd[[#This Row],[Gems]],-1,0)+OFFSET(TblProd[[#This Row],[Gems/hr]],-1,0) - TblProd[[#This Row],[Expenses Gems]]</f>
        <v>0</v>
      </c>
      <c r="N9" s="69" t="n">
        <f aca="false">OFFSET(TblProd[[#This Row],[Boats]],-1,0)+OFFSET(TblProd[[#This Row],[Boats/hr]],-1,0)</f>
        <v>0</v>
      </c>
      <c r="O9" s="69" t="n">
        <f aca="false">OFFSET(TblProd[[#This Row],[Prestige]],-1,0)</f>
        <v>250</v>
      </c>
      <c r="P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69" t="n">
        <f aca="false">MAX(3750,_xlfn.CEILING.MATH(TblProd[[#This Row],[Land]]*2.5+OFFSET(TblTech[[#This Row],[Sum of tech]],-1,0)*150))</f>
        <v>3750</v>
      </c>
      <c r="R9" s="132"/>
      <c r="S9" s="69" t="n">
        <f aca="false">ROUNDDOWN(TblProd[[#This Row],[Raw Plat/hr]]*(1+TblProd[[#This Row],[Bonus Plat/hr]]),0)</f>
        <v>5219</v>
      </c>
      <c r="T9" s="69" t="n">
        <f aca="false">ROUND(TblProd[[#This Row],[Raw Food/hr]]*(1+TblProd[[#This Row],[Bonus Food/hr]])-TblProd[[#This Row],[Food decay]]-TblProd[[#This Row],[Food eaten]],0)</f>
        <v>1791</v>
      </c>
      <c r="U9" s="69" t="n">
        <f aca="false">ROUND(TblProd[[#This Row],[Raw Lumber/hr]]*(1+TblProd[[#This Row],[Bonus Lumber/hr]])-TblProd[[#This Row],[Lumber rot]],0)</f>
        <v>900</v>
      </c>
      <c r="V9" s="69" t="n">
        <f aca="false">ROUND(TblProd[[#This Row],[Raw Mana/hr]]*(1+TblProd[[#This Row],[Bonus Mana/hr]])-TblProd[[#This Row],[Mana drain]],0)</f>
        <v>0</v>
      </c>
      <c r="W9" s="69" t="n">
        <f aca="false">ROUNDDOWN(TblProd[[#This Row],[Raw Ore/hr]]*(1+TblProd[[#This Row],[Bonux Ore/hr]]),0)</f>
        <v>0</v>
      </c>
      <c r="X9" s="69" t="n">
        <f aca="false">ROUNDDOWN(TblProd[[#This Row],[Raw Gems/hr]]*(1+TblProd[[#This Row],[Bonus Gems/hr]]),0)</f>
        <v>0</v>
      </c>
      <c r="Y9" s="148" t="n">
        <f aca="false">OFFSET(TblConstr[[#This Row],[Tot Doc]],1,0)*dock_boats_hr * (1 + tech_4_1*TblTech[[#This Row],[4-1]])</f>
        <v>0</v>
      </c>
      <c r="Z9" s="146"/>
      <c r="AA9" s="69" t="n">
        <f aca="false">TblPop[[#This Row],[Peasants]]*tax*TblPop[[#This Row],[Employment]] + (Construction!AZ10+Construction!BX10)*(alch_plat+(Magic!AM9&gt;0)*alchemist_flame_bonus)</f>
        <v>5219.1</v>
      </c>
      <c r="AB9" s="69" t="n">
        <f aca="false">TblConstr[[#This Row],[Tot Farm]]*farm_food + TblConstr[[#This Row],[Tot Doc]]*dock_food</f>
        <v>2400</v>
      </c>
      <c r="AC9" s="69" t="n">
        <f aca="false">TblConstr[[#This Row],[Tot Ly]]*ly_lumber + TblConstr[[#This Row],[Tot Hav]]*fh_lumber</f>
        <v>1000</v>
      </c>
      <c r="AD9" s="69" t="n">
        <f aca="false">OFFSET(TblConstr[[#This Row],[Tot Tow]],1,0)*(tower_mana + tech_4_5*TblTech[[#This Row],[4-5]]) + OFFSET(TblConstr[[#This Row],[Tot WG]],1,0)*wg_mana_prod</f>
        <v>0</v>
      </c>
      <c r="AE9" s="69" t="n">
        <f aca="false">OFFSET(TblConstr[[#This Row],[Tot OM]],1,0)*om_ore+IF(race="Dwarf",ROUNDDOWN(TblMili[[#This Row],[Unit 2]]*0.4,0),)</f>
        <v>0</v>
      </c>
      <c r="AF9" s="69" t="n">
        <f aca="false">OFFSET(TblConstr[[#This Row],[Tot DM]],1,0)*dm_gems</f>
        <v>0</v>
      </c>
      <c r="AG9" s="132"/>
      <c r="AH9" s="149" t="n">
        <f aca="false">MIN(race_platinum_bonus + IF(TblMagic[[#This Row],[Active Alch Frost]]&gt;0,alch_frost_bonus,IF(Magic!AD9&gt;0,midas_bonus)) + TblImps[[#This Row],[Science]] - TblProd[[#This Row],[Guard]]*(0.02 + tech_5_7*TblTech[[#This Row],[5-7]]) + tech_1_5*TblTech[[#This Row],[1-5]] + tech_4_4*TblTech[[#This Row],[4-4]], 0.5)</f>
        <v>0</v>
      </c>
      <c r="AI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 s="149" t="n">
        <f aca="false">race_lumber_bonus+ IF(TblMagic[[#This Row],[Active Gaia''s Blessing]]&gt;0,gaias_blessing_lumber)+ tech_1_3*TblTech[[#This Row],[1-3]] + tech_1_6*TblTech[[#This Row],[1-6]] + tech_3_3*TblTech[[#This Row],[3-3]]</f>
        <v>-0.1</v>
      </c>
      <c r="AK9" s="149" t="n">
        <f aca="false">race_mana_bonus+ 0 + TblImps[[#This Row],[Towers]] + tech_1_2*TblTech[[#This Row],[1-2]] + tech_3_4*TblTech[[#This Row],[3-4]]</f>
        <v>0</v>
      </c>
      <c r="AL9" s="149" t="n">
        <f aca="false">race_ore_bonus + IF(TblMagic[[#This Row],[Active Miner''s Sight]]&gt;0,miners_sight_bonus,IF(TblMagic[[#This Row],[Active Mining Strength]]&gt;0,mining_strength_bonus)) +  tech_1_6*TblTech[[#This Row],[1-6]]</f>
        <v>0</v>
      </c>
      <c r="AM9" s="149" t="n">
        <f aca="false">race_gem_bonus+ tech_3_2*TblTech[[#This Row],[3-2]] + tech_4_3*TblTech[[#This Row],[4-3]] + tech_6_2*TblTech[[#This Row],[6-2]]</f>
        <v>0.15</v>
      </c>
      <c r="AN9" s="132"/>
      <c r="AO9" s="69" t="n">
        <f aca="false">TblProd[[#This Row],[Food]]*food_decay * (1 + tech_2_1*TblTech[[#This Row],[2-1]] + tech_2_8*TblTech[[#This Row],[2-8]])</f>
        <v>242.64</v>
      </c>
      <c r="AP9" s="69" t="n">
        <f aca="false">(1+race_food_consumption)*TblPop[[#This Row],[Total]]*food_per_person*(1+tech_1_10*TblTech[[#This Row],[1-10]]+tech_7_5*TblTech[[#This Row],[7-5]])</f>
        <v>426.25</v>
      </c>
      <c r="AQ9" s="69" t="n">
        <f aca="false">TblProd[[#This Row],[Lumber]]*lumber_rot * (1 + tech_2_1*TblTech[[#This Row],[2-1]] + tech_2_8*TblTech[[#This Row],[2-8]] + tech_5_2*TblTech[[#This Row],[5-2]])</f>
        <v>0</v>
      </c>
      <c r="AR9" s="69" t="n">
        <f aca="false">TblProd[[#This Row],[Mana]]*mana_drain * (1 + tech_2_1*TblTech[[#This Row],[2-1]] + tech_2_8*TblTech[[#This Row],[2-8]])</f>
        <v>0</v>
      </c>
      <c r="AS9" s="146"/>
      <c r="AT9" s="69" t="n">
        <f aca="false">TblExplore[[#This Row],[Platinum (2)]]+TblConstr[[#This Row],[Total Plat Cost]]+TblMili[[#This Row],[Plat Cost]]+TblRezone[[#This Row],[Platinum cost]]+TblImps[[#This Row],[P1]]-TblProd[[#This Row],[Bank Plat]]</f>
        <v>19950</v>
      </c>
      <c r="AU9" s="69" t="n">
        <f aca="false">TblConstr[[#This Row],[Total Lum Cost]]+TblImps[[#This Row],[L1]]-TblProd[[#This Row],[Bank Lumber]] + Military!$CL$25*TblMili[[#This Row],[Sec. rec. Cost]]</f>
        <v>900</v>
      </c>
      <c r="AV9" s="69" t="n">
        <f aca="false">TblMagic[[#This Row],[Mana cost]] + Military!$CL$26*TblMili[[#This Row],[Sec. rec. Cost]]</f>
        <v>0</v>
      </c>
      <c r="AW9" s="69" t="n">
        <f aca="false">Military!$CL$24*TblMili[[#This Row],[Sec. rec. Cost]]+TblImps[[#This Row],[O1]]-TblProd[[#This Row],[Bank Ore]]</f>
        <v>0</v>
      </c>
      <c r="AX9" s="69" t="n">
        <f aca="false">TblImps[[#This Row],[G1]]-TblProd[[#This Row],[Bank Gems]]</f>
        <v>0</v>
      </c>
      <c r="AY9" s="132"/>
      <c r="AZ9" s="33" t="n">
        <f aca="false">IF(TblProd[[#This Row],[Set Guard]]&lt;&gt;"",TblProd[[#This Row],[Set Guard]],OFFSET(TblProd[[#This Row],[Guard]],-1,0))</f>
        <v>0</v>
      </c>
      <c r="BA9" s="145"/>
      <c r="BB9" s="151" t="n">
        <f aca="false">TblProd[[#This Row],[Hour]]</f>
        <v>6</v>
      </c>
      <c r="BC9" s="152" t="n">
        <f aca="false">-TblProd[[#This Row],[Bank Lumber]] / 2 + -TblProd[[#This Row],[Bank Gems]] * 2 + -TblProd[[#This Row],[Bank Ore]] / 2</f>
        <v>450</v>
      </c>
      <c r="BD9" s="152" t="n">
        <v>-900</v>
      </c>
      <c r="BE9" s="152"/>
      <c r="BF9" s="152"/>
      <c r="BG9" s="153" t="n">
        <f aca="false">TblProd[[#This Row],[Time]]</f>
        <v>45429.9583333333</v>
      </c>
      <c r="BH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Ok</v>
      </c>
      <c r="BI9" s="69" t="n">
        <f aca="false">TblProd[[#This Row],[Platinum]]</f>
        <v>16683</v>
      </c>
      <c r="BJ9" s="69" t="n">
        <f aca="false">TblProd[[#This Row],[Food]]</f>
        <v>24264</v>
      </c>
      <c r="BK9" s="69" t="n">
        <f aca="false">TblProd[[#This Row],[Lumber]]</f>
        <v>0</v>
      </c>
      <c r="BL9" s="69" t="n">
        <f aca="false">TblProd[[#This Row],[Mana]]</f>
        <v>0</v>
      </c>
      <c r="BM9" s="69" t="n">
        <f aca="false">TblProd[[#This Row],[Ore]]</f>
        <v>0</v>
      </c>
    </row>
    <row r="10" customFormat="false" ht="12.75" hidden="false" customHeight="false" outlineLevel="0" collapsed="false">
      <c r="A10" s="128" t="n">
        <v>7</v>
      </c>
      <c r="B10" s="144" t="n">
        <f aca="false">TblImps[[#This Row],[Time]]</f>
        <v>45430</v>
      </c>
      <c r="C10" s="145"/>
      <c r="D10" s="146"/>
      <c r="E10" s="69" t="n">
        <f aca="false">TblConstr[[#This Row],[Land]]</f>
        <v>250</v>
      </c>
      <c r="F10" s="69" t="n">
        <f aca="false">TblPop[[#This Row],[Peasants]]</f>
        <v>1462</v>
      </c>
      <c r="G10" s="69" t="e">
        <f aca="false">TblMili[[#This Row],[Networth (2)]]</f>
        <v>#VALUE!</v>
      </c>
      <c r="H10" s="69" t="n">
        <f aca="false">OFFSET(TblProd[[#This Row],[Platinum]],-1,0)+OFFSET(TblProd[[#This Row],[Plat/hr]],-1,0) - TblProd[[#This Row],[Expenses Platinum]] + IF(TblProd[[#This Row],[Plat Bonus]],TblPop[[#This Row],[Peasants]]*4) + SUM(TblConstr[[#This Row],[Dest Hom]:[Dest Doc]])*TblConstr[[#This Row],[CPA Platinum -DB]]*tech_3_3_2*TblTech[[#This Row],[3-3]]</f>
        <v>21502</v>
      </c>
      <c r="I10" s="69" t="n">
        <f aca="false">OFFSET(TblProd[[#This Row],[Food]],-1,0)+OFFSET(TblProd[[#This Row],[Food/hr]],-1,0)+ROUNDUP((TblConstr[[#This Row],[Farms]]*80+TblConstr[[#This Row],[Docks]]*35)*(1+OFFSET(TblProd[[#This Row],[Bonus Food/hr]],-1,0)),0)</f>
        <v>26055</v>
      </c>
      <c r="J10" s="69" t="n">
        <f aca="false">OFFSET(TblProd[[#This Row],[Lumber]],-1,0)+OFFSET(TblProd[[#This Row],[Lumber/hr]],-1,0) - TblProd[[#This Row],[Expenses Lumber]] + SUM(TblConstr[[#This Row],[Dest Hom]:[Dest Doc]])*TblConstr[[#This Row],[CPA Lumber -DB]]*tech_3_3_2*TblTech[[#This Row],[3-3]]</f>
        <v>0</v>
      </c>
      <c r="K10" s="69" t="n">
        <f aca="false">OFFSET(TblProd[[#This Row],[Mana]],-1,0)+OFFSET(TblProd[[#This Row],[Mana/hr]],-1,0)- TblProd[[#This Row],[Expenses Mana]]</f>
        <v>0</v>
      </c>
      <c r="L10" s="69" t="n">
        <f aca="false">OFFSET(TblProd[[#This Row],[Ore]],-1,0)+OFFSET(TblProd[[#This Row],[Ore/hr]],-1,0) -TblProd[[#This Row],[Expenses Ore]]</f>
        <v>0</v>
      </c>
      <c r="M10" s="69" t="n">
        <f aca="false">OFFSET(TblProd[[#This Row],[Gems]],-1,0)+OFFSET(TblProd[[#This Row],[Gems/hr]],-1,0) - TblProd[[#This Row],[Expenses Gems]]</f>
        <v>0</v>
      </c>
      <c r="N10" s="69" t="n">
        <f aca="false">OFFSET(TblProd[[#This Row],[Boats]],-1,0)+OFFSET(TblProd[[#This Row],[Boats/hr]],-1,0)</f>
        <v>0</v>
      </c>
      <c r="O10" s="69" t="n">
        <f aca="false">OFFSET(TblProd[[#This Row],[Prestige]],-1,0)</f>
        <v>250</v>
      </c>
      <c r="P1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69" t="n">
        <f aca="false">MAX(3750,_xlfn.CEILING.MATH(TblProd[[#This Row],[Land]]*2.5+OFFSET(TblTech[[#This Row],[Sum of tech]],-1,0)*150))</f>
        <v>3750</v>
      </c>
      <c r="R10" s="132"/>
      <c r="S10" s="69" t="n">
        <f aca="false">ROUNDDOWN(TblProd[[#This Row],[Raw Plat/hr]]*(1+TblProd[[#This Row],[Bonus Plat/hr]]),0)</f>
        <v>5297</v>
      </c>
      <c r="T10" s="69" t="n">
        <f aca="false">ROUND(TblProd[[#This Row],[Raw Food/hr]]*(1+TblProd[[#This Row],[Bonus Food/hr]])-TblProd[[#This Row],[Food decay]]-TblProd[[#This Row],[Food eaten]],0)</f>
        <v>1763</v>
      </c>
      <c r="U10" s="69" t="n">
        <f aca="false">ROUND(TblProd[[#This Row],[Raw Lumber/hr]]*(1+TblProd[[#This Row],[Bonus Lumber/hr]])-TblProd[[#This Row],[Lumber rot]],0)</f>
        <v>900</v>
      </c>
      <c r="V10" s="69" t="n">
        <f aca="false">ROUND(TblProd[[#This Row],[Raw Mana/hr]]*(1+TblProd[[#This Row],[Bonus Mana/hr]])-TblProd[[#This Row],[Mana drain]],0)</f>
        <v>0</v>
      </c>
      <c r="W10" s="69" t="n">
        <f aca="false">ROUNDDOWN(TblProd[[#This Row],[Raw Ore/hr]]*(1+TblProd[[#This Row],[Bonux Ore/hr]]),0)</f>
        <v>0</v>
      </c>
      <c r="X10" s="69" t="n">
        <f aca="false">ROUNDDOWN(TblProd[[#This Row],[Raw Gems/hr]]*(1+TblProd[[#This Row],[Bonus Gems/hr]]),0)</f>
        <v>0</v>
      </c>
      <c r="Y10" s="148" t="n">
        <f aca="false">OFFSET(TblConstr[[#This Row],[Tot Doc]],1,0)*dock_boats_hr * (1 + tech_4_1*TblTech[[#This Row],[4-1]])</f>
        <v>0</v>
      </c>
      <c r="Z10" s="146"/>
      <c r="AA10" s="69" t="n">
        <f aca="false">TblPop[[#This Row],[Peasants]]*tax*TblPop[[#This Row],[Employment]] + (Construction!AZ11+Construction!BX11)*(alch_plat+(Magic!AM10&gt;0)*alchemist_flame_bonus)</f>
        <v>5297.4</v>
      </c>
      <c r="AB10" s="69" t="n">
        <f aca="false">TblConstr[[#This Row],[Tot Farm]]*farm_food + TblConstr[[#This Row],[Tot Doc]]*dock_food</f>
        <v>2400</v>
      </c>
      <c r="AC10" s="69" t="n">
        <f aca="false">TblConstr[[#This Row],[Tot Ly]]*ly_lumber + TblConstr[[#This Row],[Tot Hav]]*fh_lumber</f>
        <v>1000</v>
      </c>
      <c r="AD10" s="69" t="n">
        <f aca="false">OFFSET(TblConstr[[#This Row],[Tot Tow]],1,0)*(tower_mana + tech_4_5*TblTech[[#This Row],[4-5]]) + OFFSET(TblConstr[[#This Row],[Tot WG]],1,0)*wg_mana_prod</f>
        <v>0</v>
      </c>
      <c r="AE10" s="69" t="n">
        <f aca="false">OFFSET(TblConstr[[#This Row],[Tot OM]],1,0)*om_ore+IF(race="Dwarf",ROUNDDOWN(TblMili[[#This Row],[Unit 2]]*0.4,0),)</f>
        <v>0</v>
      </c>
      <c r="AF10" s="69" t="n">
        <f aca="false">OFFSET(TblConstr[[#This Row],[Tot DM]],1,0)*dm_gems</f>
        <v>0</v>
      </c>
      <c r="AG10" s="132"/>
      <c r="AH10" s="149" t="n">
        <f aca="false">MIN(race_platinum_bonus + IF(TblMagic[[#This Row],[Active Alch Frost]]&gt;0,alch_frost_bonus,IF(Magic!AD10&gt;0,midas_bonus)) + TblImps[[#This Row],[Science]] - TblProd[[#This Row],[Guard]]*(0.02 + tech_5_7*TblTech[[#This Row],[5-7]]) + tech_1_5*TblTech[[#This Row],[1-5]] + tech_4_4*TblTech[[#This Row],[4-4]], 0.5)</f>
        <v>0</v>
      </c>
      <c r="AI1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 s="149" t="n">
        <f aca="false">race_lumber_bonus+ IF(TblMagic[[#This Row],[Active Gaia''s Blessing]]&gt;0,gaias_blessing_lumber)+ tech_1_3*TblTech[[#This Row],[1-3]] + tech_1_6*TblTech[[#This Row],[1-6]] + tech_3_3*TblTech[[#This Row],[3-3]]</f>
        <v>-0.1</v>
      </c>
      <c r="AK10" s="149" t="n">
        <f aca="false">race_mana_bonus+ 0 + TblImps[[#This Row],[Towers]] + tech_1_2*TblTech[[#This Row],[1-2]] + tech_3_4*TblTech[[#This Row],[3-4]]</f>
        <v>0</v>
      </c>
      <c r="AL10" s="149" t="n">
        <f aca="false">race_ore_bonus + IF(TblMagic[[#This Row],[Active Miner''s Sight]]&gt;0,miners_sight_bonus,IF(TblMagic[[#This Row],[Active Mining Strength]]&gt;0,mining_strength_bonus)) +  tech_1_6*TblTech[[#This Row],[1-6]]</f>
        <v>0</v>
      </c>
      <c r="AM10" s="149" t="n">
        <f aca="false">race_gem_bonus+ tech_3_2*TblTech[[#This Row],[3-2]] + tech_4_3*TblTech[[#This Row],[4-3]] + tech_6_2*TblTech[[#This Row],[6-2]]</f>
        <v>0.15</v>
      </c>
      <c r="AN10" s="132"/>
      <c r="AO10" s="69" t="n">
        <f aca="false">TblProd[[#This Row],[Food]]*food_decay * (1 + tech_2_1*TblTech[[#This Row],[2-1]] + tech_2_8*TblTech[[#This Row],[2-8]])</f>
        <v>260.55</v>
      </c>
      <c r="AP10" s="69" t="n">
        <f aca="false">(1+race_food_consumption)*TblPop[[#This Row],[Total]]*food_per_person*(1+tech_1_10*TblTech[[#This Row],[1-10]]+tech_7_5*TblTech[[#This Row],[7-5]])</f>
        <v>436</v>
      </c>
      <c r="AQ10" s="69" t="n">
        <f aca="false">TblProd[[#This Row],[Lumber]]*lumber_rot * (1 + tech_2_1*TblTech[[#This Row],[2-1]] + tech_2_8*TblTech[[#This Row],[2-8]] + tech_5_2*TblTech[[#This Row],[5-2]])</f>
        <v>0</v>
      </c>
      <c r="AR10" s="69" t="n">
        <f aca="false">TblProd[[#This Row],[Mana]]*mana_drain * (1 + tech_2_1*TblTech[[#This Row],[2-1]] + tech_2_8*TblTech[[#This Row],[2-8]])</f>
        <v>0</v>
      </c>
      <c r="AS10" s="146"/>
      <c r="AT10" s="69" t="n">
        <f aca="false">TblExplore[[#This Row],[Platinum (2)]]+TblConstr[[#This Row],[Total Plat Cost]]+TblMili[[#This Row],[Plat Cost]]+TblRezone[[#This Row],[Platinum cost]]+TblImps[[#This Row],[P1]]-TblProd[[#This Row],[Bank Plat]]</f>
        <v>400</v>
      </c>
      <c r="AU10" s="69" t="n">
        <f aca="false">TblConstr[[#This Row],[Total Lum Cost]]+TblImps[[#This Row],[L1]]-TblProd[[#This Row],[Bank Lumber]] + Military!$CL$25*TblMili[[#This Row],[Sec. rec. Cost]]</f>
        <v>900</v>
      </c>
      <c r="AV10" s="69" t="n">
        <f aca="false">TblMagic[[#This Row],[Mana cost]] + Military!$CL$26*TblMili[[#This Row],[Sec. rec. Cost]]</f>
        <v>0</v>
      </c>
      <c r="AW10" s="69" t="n">
        <f aca="false">Military!$CL$24*TblMili[[#This Row],[Sec. rec. Cost]]+TblImps[[#This Row],[O1]]-TblProd[[#This Row],[Bank Ore]]</f>
        <v>0</v>
      </c>
      <c r="AX10" s="69" t="n">
        <f aca="false">TblImps[[#This Row],[G1]]-TblProd[[#This Row],[Bank Gems]]</f>
        <v>0</v>
      </c>
      <c r="AY10" s="132"/>
      <c r="AZ10" s="33" t="n">
        <f aca="false">IF(TblProd[[#This Row],[Set Guard]]&lt;&gt;"",TblProd[[#This Row],[Set Guard]],OFFSET(TblProd[[#This Row],[Guard]],-1,0))</f>
        <v>0</v>
      </c>
      <c r="BA10" s="145"/>
      <c r="BB10" s="151" t="n">
        <f aca="false">TblProd[[#This Row],[Hour]]</f>
        <v>7</v>
      </c>
      <c r="BC10" s="152" t="n">
        <f aca="false">-TblProd[[#This Row],[Bank Lumber]] / 2 + -TblProd[[#This Row],[Bank Gems]] * 2 + -TblProd[[#This Row],[Bank Ore]] / 2</f>
        <v>450</v>
      </c>
      <c r="BD10" s="152" t="n">
        <v>-900</v>
      </c>
      <c r="BE10" s="152"/>
      <c r="BF10" s="152"/>
      <c r="BG10" s="153" t="n">
        <f aca="false">TblProd[[#This Row],[Time]]</f>
        <v>45430</v>
      </c>
      <c r="BH1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Ok</v>
      </c>
      <c r="BI10" s="69" t="n">
        <f aca="false">TblProd[[#This Row],[Platinum]]</f>
        <v>21502</v>
      </c>
      <c r="BJ10" s="69" t="n">
        <f aca="false">TblProd[[#This Row],[Food]]</f>
        <v>26055</v>
      </c>
      <c r="BK10" s="69" t="n">
        <f aca="false">TblProd[[#This Row],[Lumber]]</f>
        <v>0</v>
      </c>
      <c r="BL10" s="69" t="n">
        <f aca="false">TblProd[[#This Row],[Mana]]</f>
        <v>0</v>
      </c>
      <c r="BM10" s="69" t="n">
        <f aca="false">TblProd[[#This Row],[Ore]]</f>
        <v>0</v>
      </c>
    </row>
    <row r="11" customFormat="false" ht="12.75" hidden="false" customHeight="false" outlineLevel="0" collapsed="false">
      <c r="A11" s="128" t="n">
        <v>8</v>
      </c>
      <c r="B11" s="144" t="n">
        <f aca="false">TblImps[[#This Row],[Time]]</f>
        <v>45430.0416666667</v>
      </c>
      <c r="C11" s="145"/>
      <c r="D11" s="146"/>
      <c r="E11" s="69" t="n">
        <f aca="false">TblConstr[[#This Row],[Land]]</f>
        <v>250</v>
      </c>
      <c r="F11" s="69" t="n">
        <f aca="false">TblPop[[#This Row],[Peasants]]</f>
        <v>1490</v>
      </c>
      <c r="G11" s="69" t="e">
        <f aca="false">TblMili[[#This Row],[Networth (2)]]</f>
        <v>#VALUE!</v>
      </c>
      <c r="H11" s="69" t="n">
        <f aca="false">OFFSET(TblProd[[#This Row],[Platinum]],-1,0)+OFFSET(TblProd[[#This Row],[Plat/hr]],-1,0) - TblProd[[#This Row],[Expenses Platinum]] + IF(TblProd[[#This Row],[Plat Bonus]],TblPop[[#This Row],[Peasants]]*4) + SUM(TblConstr[[#This Row],[Dest Hom]:[Dest Doc]])*TblConstr[[#This Row],[CPA Platinum -DB]]*tech_3_3_2*TblTech[[#This Row],[3-3]]</f>
        <v>26399</v>
      </c>
      <c r="I11" s="69" t="n">
        <f aca="false">OFFSET(TblProd[[#This Row],[Food]],-1,0)+OFFSET(TblProd[[#This Row],[Food/hr]],-1,0)+ROUNDUP((TblConstr[[#This Row],[Farms]]*80+TblConstr[[#This Row],[Docks]]*35)*(1+OFFSET(TblProd[[#This Row],[Bonus Food/hr]],-1,0)),0)</f>
        <v>27818</v>
      </c>
      <c r="J11" s="69" t="n">
        <f aca="false">OFFSET(TblProd[[#This Row],[Lumber]],-1,0)+OFFSET(TblProd[[#This Row],[Lumber/hr]],-1,0) - TblProd[[#This Row],[Expenses Lumber]] + SUM(TblConstr[[#This Row],[Dest Hom]:[Dest Doc]])*TblConstr[[#This Row],[CPA Lumber -DB]]*tech_3_3_2*TblTech[[#This Row],[3-3]]</f>
        <v>0</v>
      </c>
      <c r="K11" s="69" t="n">
        <f aca="false">OFFSET(TblProd[[#This Row],[Mana]],-1,0)+OFFSET(TblProd[[#This Row],[Mana/hr]],-1,0)- TblProd[[#This Row],[Expenses Mana]]</f>
        <v>0</v>
      </c>
      <c r="L11" s="69" t="n">
        <f aca="false">OFFSET(TblProd[[#This Row],[Ore]],-1,0)+OFFSET(TblProd[[#This Row],[Ore/hr]],-1,0) -TblProd[[#This Row],[Expenses Ore]]</f>
        <v>0</v>
      </c>
      <c r="M11" s="69" t="n">
        <f aca="false">OFFSET(TblProd[[#This Row],[Gems]],-1,0)+OFFSET(TblProd[[#This Row],[Gems/hr]],-1,0) - TblProd[[#This Row],[Expenses Gems]]</f>
        <v>0</v>
      </c>
      <c r="N11" s="69" t="n">
        <f aca="false">OFFSET(TblProd[[#This Row],[Boats]],-1,0)+OFFSET(TblProd[[#This Row],[Boats/hr]],-1,0)</f>
        <v>0</v>
      </c>
      <c r="O11" s="69" t="n">
        <f aca="false">OFFSET(TblProd[[#This Row],[Prestige]],-1,0)</f>
        <v>250</v>
      </c>
      <c r="P1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69" t="n">
        <f aca="false">MAX(3750,_xlfn.CEILING.MATH(TblProd[[#This Row],[Land]]*2.5+OFFSET(TblTech[[#This Row],[Sum of tech]],-1,0)*150))</f>
        <v>3750</v>
      </c>
      <c r="R11" s="132"/>
      <c r="S11" s="69" t="n">
        <f aca="false">ROUNDDOWN(TblProd[[#This Row],[Raw Plat/hr]]*(1+TblProd[[#This Row],[Bonus Plat/hr]]),0)</f>
        <v>5373</v>
      </c>
      <c r="T11" s="69" t="n">
        <f aca="false">ROUND(TblProd[[#This Row],[Raw Food/hr]]*(1+TblProd[[#This Row],[Bonus Food/hr]])-TblProd[[#This Row],[Food decay]]-TblProd[[#This Row],[Food eaten]],0)</f>
        <v>1736</v>
      </c>
      <c r="U11" s="69" t="n">
        <f aca="false">ROUND(TblProd[[#This Row],[Raw Lumber/hr]]*(1+TblProd[[#This Row],[Bonus Lumber/hr]])-TblProd[[#This Row],[Lumber rot]],0)</f>
        <v>900</v>
      </c>
      <c r="V11" s="69" t="n">
        <f aca="false">ROUND(TblProd[[#This Row],[Raw Mana/hr]]*(1+TblProd[[#This Row],[Bonus Mana/hr]])-TblProd[[#This Row],[Mana drain]],0)</f>
        <v>0</v>
      </c>
      <c r="W11" s="69" t="n">
        <f aca="false">ROUNDDOWN(TblProd[[#This Row],[Raw Ore/hr]]*(1+TblProd[[#This Row],[Bonux Ore/hr]]),0)</f>
        <v>0</v>
      </c>
      <c r="X11" s="69" t="n">
        <f aca="false">ROUNDDOWN(TblProd[[#This Row],[Raw Gems/hr]]*(1+TblProd[[#This Row],[Bonus Gems/hr]]),0)</f>
        <v>0</v>
      </c>
      <c r="Y11" s="148" t="n">
        <f aca="false">OFFSET(TblConstr[[#This Row],[Tot Doc]],1,0)*dock_boats_hr * (1 + tech_4_1*TblTech[[#This Row],[4-1]])</f>
        <v>0</v>
      </c>
      <c r="Z11" s="146"/>
      <c r="AA11" s="69" t="n">
        <f aca="false">TblPop[[#This Row],[Peasants]]*tax*TblPop[[#This Row],[Employment]] + (Construction!AZ12+Construction!BX12)*(alch_plat+(Magic!AM11&gt;0)*alchemist_flame_bonus)</f>
        <v>5373</v>
      </c>
      <c r="AB11" s="69" t="n">
        <f aca="false">TblConstr[[#This Row],[Tot Farm]]*farm_food + TblConstr[[#This Row],[Tot Doc]]*dock_food</f>
        <v>2400</v>
      </c>
      <c r="AC11" s="69" t="n">
        <f aca="false">TblConstr[[#This Row],[Tot Ly]]*ly_lumber + TblConstr[[#This Row],[Tot Hav]]*fh_lumber</f>
        <v>1000</v>
      </c>
      <c r="AD11" s="69" t="n">
        <f aca="false">OFFSET(TblConstr[[#This Row],[Tot Tow]],1,0)*(tower_mana + tech_4_5*TblTech[[#This Row],[4-5]]) + OFFSET(TblConstr[[#This Row],[Tot WG]],1,0)*wg_mana_prod</f>
        <v>0</v>
      </c>
      <c r="AE11" s="69" t="n">
        <f aca="false">OFFSET(TblConstr[[#This Row],[Tot OM]],1,0)*om_ore+IF(race="Dwarf",ROUNDDOWN(TblMili[[#This Row],[Unit 2]]*0.4,0),)</f>
        <v>0</v>
      </c>
      <c r="AF11" s="69" t="n">
        <f aca="false">OFFSET(TblConstr[[#This Row],[Tot DM]],1,0)*dm_gems</f>
        <v>0</v>
      </c>
      <c r="AG11" s="132"/>
      <c r="AH11" s="149" t="n">
        <f aca="false">MIN(race_platinum_bonus + IF(TblMagic[[#This Row],[Active Alch Frost]]&gt;0,alch_frost_bonus,IF(Magic!AD11&gt;0,midas_bonus)) + TblImps[[#This Row],[Science]] - TblProd[[#This Row],[Guard]]*(0.02 + tech_5_7*TblTech[[#This Row],[5-7]]) + tech_1_5*TblTech[[#This Row],[1-5]] + tech_4_4*TblTech[[#This Row],[4-4]], 0.5)</f>
        <v>0</v>
      </c>
      <c r="AI1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 s="149" t="n">
        <f aca="false">race_lumber_bonus+ IF(TblMagic[[#This Row],[Active Gaia''s Blessing]]&gt;0,gaias_blessing_lumber)+ tech_1_3*TblTech[[#This Row],[1-3]] + tech_1_6*TblTech[[#This Row],[1-6]] + tech_3_3*TblTech[[#This Row],[3-3]]</f>
        <v>-0.1</v>
      </c>
      <c r="AK11" s="149" t="n">
        <f aca="false">race_mana_bonus+ 0 + TblImps[[#This Row],[Towers]] + tech_1_2*TblTech[[#This Row],[1-2]] + tech_3_4*TblTech[[#This Row],[3-4]]</f>
        <v>0</v>
      </c>
      <c r="AL11" s="149" t="n">
        <f aca="false">race_ore_bonus + IF(TblMagic[[#This Row],[Active Miner''s Sight]]&gt;0,miners_sight_bonus,IF(TblMagic[[#This Row],[Active Mining Strength]]&gt;0,mining_strength_bonus)) +  tech_1_6*TblTech[[#This Row],[1-6]]</f>
        <v>0</v>
      </c>
      <c r="AM11" s="149" t="n">
        <f aca="false">race_gem_bonus+ tech_3_2*TblTech[[#This Row],[3-2]] + tech_4_3*TblTech[[#This Row],[4-3]] + tech_6_2*TblTech[[#This Row],[6-2]]</f>
        <v>0.15</v>
      </c>
      <c r="AN11" s="132"/>
      <c r="AO11" s="69" t="n">
        <f aca="false">TblProd[[#This Row],[Food]]*food_decay * (1 + tech_2_1*TblTech[[#This Row],[2-1]] + tech_2_8*TblTech[[#This Row],[2-8]])</f>
        <v>278.18</v>
      </c>
      <c r="AP11" s="69" t="n">
        <f aca="false">(1+race_food_consumption)*TblPop[[#This Row],[Total]]*food_per_person*(1+tech_1_10*TblTech[[#This Row],[1-10]]+tech_7_5*TblTech[[#This Row],[7-5]])</f>
        <v>445.75</v>
      </c>
      <c r="AQ11" s="69" t="n">
        <f aca="false">TblProd[[#This Row],[Lumber]]*lumber_rot * (1 + tech_2_1*TblTech[[#This Row],[2-1]] + tech_2_8*TblTech[[#This Row],[2-8]] + tech_5_2*TblTech[[#This Row],[5-2]])</f>
        <v>0</v>
      </c>
      <c r="AR11" s="69" t="n">
        <f aca="false">TblProd[[#This Row],[Mana]]*mana_drain * (1 + tech_2_1*TblTech[[#This Row],[2-1]] + tech_2_8*TblTech[[#This Row],[2-8]])</f>
        <v>0</v>
      </c>
      <c r="AS11" s="146"/>
      <c r="AT11" s="69" t="n">
        <f aca="false">TblExplore[[#This Row],[Platinum (2)]]+TblConstr[[#This Row],[Total Plat Cost]]+TblMili[[#This Row],[Plat Cost]]+TblRezone[[#This Row],[Platinum cost]]+TblImps[[#This Row],[P1]]-TblProd[[#This Row],[Bank Plat]]</f>
        <v>400</v>
      </c>
      <c r="AU11" s="69" t="n">
        <f aca="false">TblConstr[[#This Row],[Total Lum Cost]]+TblImps[[#This Row],[L1]]-TblProd[[#This Row],[Bank Lumber]] + Military!$CL$25*TblMili[[#This Row],[Sec. rec. Cost]]</f>
        <v>900</v>
      </c>
      <c r="AV11" s="69" t="n">
        <f aca="false">TblMagic[[#This Row],[Mana cost]] + Military!$CL$26*TblMili[[#This Row],[Sec. rec. Cost]]</f>
        <v>0</v>
      </c>
      <c r="AW11" s="69" t="n">
        <f aca="false">Military!$CL$24*TblMili[[#This Row],[Sec. rec. Cost]]+TblImps[[#This Row],[O1]]-TblProd[[#This Row],[Bank Ore]]</f>
        <v>0</v>
      </c>
      <c r="AX11" s="69" t="n">
        <f aca="false">TblImps[[#This Row],[G1]]-TblProd[[#This Row],[Bank Gems]]</f>
        <v>0</v>
      </c>
      <c r="AY11" s="132"/>
      <c r="AZ11" s="33" t="n">
        <f aca="false">IF(TblProd[[#This Row],[Set Guard]]&lt;&gt;"",TblProd[[#This Row],[Set Guard]],OFFSET(TblProd[[#This Row],[Guard]],-1,0))</f>
        <v>0</v>
      </c>
      <c r="BA11" s="145"/>
      <c r="BB11" s="151" t="n">
        <f aca="false">TblProd[[#This Row],[Hour]]</f>
        <v>8</v>
      </c>
      <c r="BC11" s="152" t="n">
        <f aca="false">-TblProd[[#This Row],[Bank Lumber]] / 2 + -TblProd[[#This Row],[Bank Gems]] * 2 + -TblProd[[#This Row],[Bank Ore]] / 2</f>
        <v>450</v>
      </c>
      <c r="BD11" s="152" t="n">
        <v>-900</v>
      </c>
      <c r="BE11" s="152"/>
      <c r="BF11" s="152"/>
      <c r="BG11" s="153" t="n">
        <f aca="false">TblProd[[#This Row],[Time]]</f>
        <v>45430.0416666667</v>
      </c>
      <c r="BH1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Ok</v>
      </c>
      <c r="BI11" s="69" t="n">
        <f aca="false">TblProd[[#This Row],[Platinum]]</f>
        <v>26399</v>
      </c>
      <c r="BJ11" s="69" t="n">
        <f aca="false">TblProd[[#This Row],[Food]]</f>
        <v>27818</v>
      </c>
      <c r="BK11" s="69" t="n">
        <f aca="false">TblProd[[#This Row],[Lumber]]</f>
        <v>0</v>
      </c>
      <c r="BL11" s="69" t="n">
        <f aca="false">TblProd[[#This Row],[Mana]]</f>
        <v>0</v>
      </c>
      <c r="BM11" s="69" t="n">
        <f aca="false">TblProd[[#This Row],[Ore]]</f>
        <v>0</v>
      </c>
    </row>
    <row r="12" customFormat="false" ht="12.75" hidden="false" customHeight="false" outlineLevel="0" collapsed="false">
      <c r="A12" s="128" t="n">
        <v>9</v>
      </c>
      <c r="B12" s="144" t="n">
        <f aca="false">TblImps[[#This Row],[Time]]</f>
        <v>45430.0833333333</v>
      </c>
      <c r="C12" s="145"/>
      <c r="D12" s="146"/>
      <c r="E12" s="69" t="n">
        <f aca="false">TblConstr[[#This Row],[Land]]</f>
        <v>250</v>
      </c>
      <c r="F12" s="69" t="n">
        <f aca="false">TblPop[[#This Row],[Peasants]]</f>
        <v>1519</v>
      </c>
      <c r="G12" s="69" t="e">
        <f aca="false">TblMili[[#This Row],[Networth (2)]]</f>
        <v>#VALUE!</v>
      </c>
      <c r="H12" s="69" t="n">
        <f aca="false">OFFSET(TblProd[[#This Row],[Platinum]],-1,0)+OFFSET(TblProd[[#This Row],[Plat/hr]],-1,0) - TblProd[[#This Row],[Expenses Platinum]] + IF(TblProd[[#This Row],[Plat Bonus]],TblPop[[#This Row],[Peasants]]*4) + SUM(TblConstr[[#This Row],[Dest Hom]:[Dest Doc]])*TblConstr[[#This Row],[CPA Platinum -DB]]*tech_3_3_2*TblTech[[#This Row],[3-3]]</f>
        <v>31372</v>
      </c>
      <c r="I12" s="69" t="n">
        <f aca="false">OFFSET(TblProd[[#This Row],[Food]],-1,0)+OFFSET(TblProd[[#This Row],[Food/hr]],-1,0)+ROUNDUP((TblConstr[[#This Row],[Farms]]*80+TblConstr[[#This Row],[Docks]]*35)*(1+OFFSET(TblProd[[#This Row],[Bonus Food/hr]],-1,0)),0)</f>
        <v>29554</v>
      </c>
      <c r="J12" s="69" t="n">
        <f aca="false">OFFSET(TblProd[[#This Row],[Lumber]],-1,0)+OFFSET(TblProd[[#This Row],[Lumber/hr]],-1,0) - TblProd[[#This Row],[Expenses Lumber]] + SUM(TblConstr[[#This Row],[Dest Hom]:[Dest Doc]])*TblConstr[[#This Row],[CPA Lumber -DB]]*tech_3_3_2*TblTech[[#This Row],[3-3]]</f>
        <v>0</v>
      </c>
      <c r="K12" s="69" t="n">
        <f aca="false">OFFSET(TblProd[[#This Row],[Mana]],-1,0)+OFFSET(TblProd[[#This Row],[Mana/hr]],-1,0)- TblProd[[#This Row],[Expenses Mana]]</f>
        <v>0</v>
      </c>
      <c r="L12" s="69" t="n">
        <f aca="false">OFFSET(TblProd[[#This Row],[Ore]],-1,0)+OFFSET(TblProd[[#This Row],[Ore/hr]],-1,0) -TblProd[[#This Row],[Expenses Ore]]</f>
        <v>0</v>
      </c>
      <c r="M12" s="69" t="n">
        <f aca="false">OFFSET(TblProd[[#This Row],[Gems]],-1,0)+OFFSET(TblProd[[#This Row],[Gems/hr]],-1,0) - TblProd[[#This Row],[Expenses Gems]]</f>
        <v>0</v>
      </c>
      <c r="N12" s="69" t="n">
        <f aca="false">OFFSET(TblProd[[#This Row],[Boats]],-1,0)+OFFSET(TblProd[[#This Row],[Boats/hr]],-1,0)</f>
        <v>0</v>
      </c>
      <c r="O12" s="69" t="n">
        <f aca="false">OFFSET(TblProd[[#This Row],[Prestige]],-1,0)</f>
        <v>250</v>
      </c>
      <c r="P1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69" t="n">
        <f aca="false">MAX(3750,_xlfn.CEILING.MATH(TblProd[[#This Row],[Land]]*2.5+OFFSET(TblTech[[#This Row],[Sum of tech]],-1,0)*150))</f>
        <v>3750</v>
      </c>
      <c r="R12" s="132"/>
      <c r="S12" s="69" t="n">
        <f aca="false">ROUNDDOWN(TblProd[[#This Row],[Raw Plat/hr]]*(1+TblProd[[#This Row],[Bonus Plat/hr]]),0)</f>
        <v>5451</v>
      </c>
      <c r="T12" s="69" t="n">
        <f aca="false">ROUND(TblProd[[#This Row],[Raw Food/hr]]*(1+TblProd[[#This Row],[Bonus Food/hr]])-TblProd[[#This Row],[Food decay]]-TblProd[[#This Row],[Food eaten]],0)</f>
        <v>1709</v>
      </c>
      <c r="U12" s="69" t="n">
        <f aca="false">ROUND(TblProd[[#This Row],[Raw Lumber/hr]]*(1+TblProd[[#This Row],[Bonus Lumber/hr]])-TblProd[[#This Row],[Lumber rot]],0)</f>
        <v>900</v>
      </c>
      <c r="V12" s="69" t="n">
        <f aca="false">ROUND(TblProd[[#This Row],[Raw Mana/hr]]*(1+TblProd[[#This Row],[Bonus Mana/hr]])-TblProd[[#This Row],[Mana drain]],0)</f>
        <v>0</v>
      </c>
      <c r="W12" s="69" t="n">
        <f aca="false">ROUNDDOWN(TblProd[[#This Row],[Raw Ore/hr]]*(1+TblProd[[#This Row],[Bonux Ore/hr]]),0)</f>
        <v>0</v>
      </c>
      <c r="X12" s="69" t="n">
        <f aca="false">ROUNDDOWN(TblProd[[#This Row],[Raw Gems/hr]]*(1+TblProd[[#This Row],[Bonus Gems/hr]]),0)</f>
        <v>0</v>
      </c>
      <c r="Y12" s="148" t="n">
        <f aca="false">OFFSET(TblConstr[[#This Row],[Tot Doc]],1,0)*dock_boats_hr * (1 + tech_4_1*TblTech[[#This Row],[4-1]])</f>
        <v>0</v>
      </c>
      <c r="Z12" s="146"/>
      <c r="AA12" s="69" t="n">
        <f aca="false">TblPop[[#This Row],[Peasants]]*tax*TblPop[[#This Row],[Employment]] + (Construction!AZ13+Construction!BX13)*(alch_plat+(Magic!AM12&gt;0)*alchemist_flame_bonus)</f>
        <v>5451.3</v>
      </c>
      <c r="AB12" s="69" t="n">
        <f aca="false">TblConstr[[#This Row],[Tot Farm]]*farm_food + TblConstr[[#This Row],[Tot Doc]]*dock_food</f>
        <v>2400</v>
      </c>
      <c r="AC12" s="69" t="n">
        <f aca="false">TblConstr[[#This Row],[Tot Ly]]*ly_lumber + TblConstr[[#This Row],[Tot Hav]]*fh_lumber</f>
        <v>1000</v>
      </c>
      <c r="AD12" s="69" t="n">
        <f aca="false">OFFSET(TblConstr[[#This Row],[Tot Tow]],1,0)*(tower_mana + tech_4_5*TblTech[[#This Row],[4-5]]) + OFFSET(TblConstr[[#This Row],[Tot WG]],1,0)*wg_mana_prod</f>
        <v>0</v>
      </c>
      <c r="AE12" s="69" t="n">
        <f aca="false">OFFSET(TblConstr[[#This Row],[Tot OM]],1,0)*om_ore+IF(race="Dwarf",ROUNDDOWN(TblMili[[#This Row],[Unit 2]]*0.4,0),)</f>
        <v>0</v>
      </c>
      <c r="AF12" s="69" t="n">
        <f aca="false">OFFSET(TblConstr[[#This Row],[Tot DM]],1,0)*dm_gems</f>
        <v>0</v>
      </c>
      <c r="AG12" s="132"/>
      <c r="AH12" s="149" t="n">
        <f aca="false">MIN(race_platinum_bonus + IF(TblMagic[[#This Row],[Active Alch Frost]]&gt;0,alch_frost_bonus,IF(Magic!AD12&gt;0,midas_bonus)) + TblImps[[#This Row],[Science]] - TblProd[[#This Row],[Guard]]*(0.02 + tech_5_7*TblTech[[#This Row],[5-7]]) + tech_1_5*TblTech[[#This Row],[1-5]] + tech_4_4*TblTech[[#This Row],[4-4]], 0.5)</f>
        <v>0</v>
      </c>
      <c r="AI1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 s="149" t="n">
        <f aca="false">race_lumber_bonus+ IF(TblMagic[[#This Row],[Active Gaia''s Blessing]]&gt;0,gaias_blessing_lumber)+ tech_1_3*TblTech[[#This Row],[1-3]] + tech_1_6*TblTech[[#This Row],[1-6]] + tech_3_3*TblTech[[#This Row],[3-3]]</f>
        <v>-0.1</v>
      </c>
      <c r="AK12" s="149" t="n">
        <f aca="false">race_mana_bonus+ 0 + TblImps[[#This Row],[Towers]] + tech_1_2*TblTech[[#This Row],[1-2]] + tech_3_4*TblTech[[#This Row],[3-4]]</f>
        <v>0</v>
      </c>
      <c r="AL12" s="149" t="n">
        <f aca="false">race_ore_bonus + IF(TblMagic[[#This Row],[Active Miner''s Sight]]&gt;0,miners_sight_bonus,IF(TblMagic[[#This Row],[Active Mining Strength]]&gt;0,mining_strength_bonus)) +  tech_1_6*TblTech[[#This Row],[1-6]]</f>
        <v>0</v>
      </c>
      <c r="AM12" s="149" t="n">
        <f aca="false">race_gem_bonus+ tech_3_2*TblTech[[#This Row],[3-2]] + tech_4_3*TblTech[[#This Row],[4-3]] + tech_6_2*TblTech[[#This Row],[6-2]]</f>
        <v>0.15</v>
      </c>
      <c r="AN12" s="132"/>
      <c r="AO12" s="69" t="n">
        <f aca="false">TblProd[[#This Row],[Food]]*food_decay * (1 + tech_2_1*TblTech[[#This Row],[2-1]] + tech_2_8*TblTech[[#This Row],[2-8]])</f>
        <v>295.54</v>
      </c>
      <c r="AP12" s="69" t="n">
        <f aca="false">(1+race_food_consumption)*TblPop[[#This Row],[Total]]*food_per_person*(1+tech_1_10*TblTech[[#This Row],[1-10]]+tech_7_5*TblTech[[#This Row],[7-5]])</f>
        <v>455.75</v>
      </c>
      <c r="AQ12" s="69" t="n">
        <f aca="false">TblProd[[#This Row],[Lumber]]*lumber_rot * (1 + tech_2_1*TblTech[[#This Row],[2-1]] + tech_2_8*TblTech[[#This Row],[2-8]] + tech_5_2*TblTech[[#This Row],[5-2]])</f>
        <v>0</v>
      </c>
      <c r="AR12" s="69" t="n">
        <f aca="false">TblProd[[#This Row],[Mana]]*mana_drain * (1 + tech_2_1*TblTech[[#This Row],[2-1]] + tech_2_8*TblTech[[#This Row],[2-8]])</f>
        <v>0</v>
      </c>
      <c r="AS12" s="146"/>
      <c r="AT12" s="69" t="n">
        <f aca="false">TblExplore[[#This Row],[Platinum (2)]]+TblConstr[[#This Row],[Total Plat Cost]]+TblMili[[#This Row],[Plat Cost]]+TblRezone[[#This Row],[Platinum cost]]+TblImps[[#This Row],[P1]]-TblProd[[#This Row],[Bank Plat]]</f>
        <v>400</v>
      </c>
      <c r="AU12" s="69" t="n">
        <f aca="false">TblConstr[[#This Row],[Total Lum Cost]]+TblImps[[#This Row],[L1]]-TblProd[[#This Row],[Bank Lumber]] + Military!$CL$25*TblMili[[#This Row],[Sec. rec. Cost]]</f>
        <v>900</v>
      </c>
      <c r="AV12" s="69" t="n">
        <f aca="false">TblMagic[[#This Row],[Mana cost]] + Military!$CL$26*TblMili[[#This Row],[Sec. rec. Cost]]</f>
        <v>0</v>
      </c>
      <c r="AW12" s="69" t="n">
        <f aca="false">Military!$CL$24*TblMili[[#This Row],[Sec. rec. Cost]]+TblImps[[#This Row],[O1]]-TblProd[[#This Row],[Bank Ore]]</f>
        <v>0</v>
      </c>
      <c r="AX12" s="69" t="n">
        <f aca="false">TblImps[[#This Row],[G1]]-TblProd[[#This Row],[Bank Gems]]</f>
        <v>0</v>
      </c>
      <c r="AY12" s="132"/>
      <c r="AZ12" s="33" t="n">
        <f aca="false">IF(TblProd[[#This Row],[Set Guard]]&lt;&gt;"",TblProd[[#This Row],[Set Guard]],OFFSET(TblProd[[#This Row],[Guard]],-1,0))</f>
        <v>0</v>
      </c>
      <c r="BA12" s="145"/>
      <c r="BB12" s="151" t="n">
        <f aca="false">TblProd[[#This Row],[Hour]]</f>
        <v>9</v>
      </c>
      <c r="BC12" s="152" t="n">
        <f aca="false">-TblProd[[#This Row],[Bank Lumber]] / 2 + -TblProd[[#This Row],[Bank Gems]] * 2 + -TblProd[[#This Row],[Bank Ore]] / 2</f>
        <v>450</v>
      </c>
      <c r="BD12" s="152" t="n">
        <v>-900</v>
      </c>
      <c r="BE12" s="152"/>
      <c r="BF12" s="152"/>
      <c r="BG12" s="153" t="n">
        <f aca="false">TblProd[[#This Row],[Time]]</f>
        <v>45430.0833333333</v>
      </c>
      <c r="BH1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Ok</v>
      </c>
      <c r="BI12" s="69" t="n">
        <f aca="false">TblProd[[#This Row],[Platinum]]</f>
        <v>31372</v>
      </c>
      <c r="BJ12" s="69" t="n">
        <f aca="false">TblProd[[#This Row],[Food]]</f>
        <v>29554</v>
      </c>
      <c r="BK12" s="69" t="n">
        <f aca="false">TblProd[[#This Row],[Lumber]]</f>
        <v>0</v>
      </c>
      <c r="BL12" s="69" t="n">
        <f aca="false">TblProd[[#This Row],[Mana]]</f>
        <v>0</v>
      </c>
      <c r="BM12" s="69" t="n">
        <f aca="false">TblProd[[#This Row],[Ore]]</f>
        <v>0</v>
      </c>
    </row>
    <row r="13" customFormat="false" ht="12.75" hidden="false" customHeight="false" outlineLevel="0" collapsed="false">
      <c r="A13" s="128" t="n">
        <v>10</v>
      </c>
      <c r="B13" s="144" t="n">
        <f aca="false">TblImps[[#This Row],[Time]]</f>
        <v>45430.125</v>
      </c>
      <c r="C13" s="145"/>
      <c r="D13" s="146"/>
      <c r="E13" s="69" t="n">
        <f aca="false">TblConstr[[#This Row],[Land]]</f>
        <v>250</v>
      </c>
      <c r="F13" s="69" t="n">
        <f aca="false">TblPop[[#This Row],[Peasants]]</f>
        <v>1549</v>
      </c>
      <c r="G13" s="69" t="e">
        <f aca="false">TblMili[[#This Row],[Networth (2)]]</f>
        <v>#VALUE!</v>
      </c>
      <c r="H13" s="69" t="n">
        <f aca="false">OFFSET(TblProd[[#This Row],[Platinum]],-1,0)+OFFSET(TblProd[[#This Row],[Plat/hr]],-1,0) - TblProd[[#This Row],[Expenses Platinum]] + IF(TblProd[[#This Row],[Plat Bonus]],TblPop[[#This Row],[Peasants]]*4) + SUM(TblConstr[[#This Row],[Dest Hom]:[Dest Doc]])*TblConstr[[#This Row],[CPA Platinum -DB]]*tech_3_3_2*TblTech[[#This Row],[3-3]]</f>
        <v>36323</v>
      </c>
      <c r="I13" s="69" t="n">
        <f aca="false">OFFSET(TblProd[[#This Row],[Food]],-1,0)+OFFSET(TblProd[[#This Row],[Food/hr]],-1,0)+ROUNDUP((TblConstr[[#This Row],[Farms]]*80+TblConstr[[#This Row],[Docks]]*35)*(1+OFFSET(TblProd[[#This Row],[Bonus Food/hr]],-1,0)),0)</f>
        <v>31263</v>
      </c>
      <c r="J13" s="69" t="n">
        <f aca="false">OFFSET(TblProd[[#This Row],[Lumber]],-1,0)+OFFSET(TblProd[[#This Row],[Lumber/hr]],-1,0) - TblProd[[#This Row],[Expenses Lumber]] + SUM(TblConstr[[#This Row],[Dest Hom]:[Dest Doc]])*TblConstr[[#This Row],[CPA Lumber -DB]]*tech_3_3_2*TblTech[[#This Row],[3-3]]</f>
        <v>200</v>
      </c>
      <c r="K13" s="69" t="n">
        <f aca="false">OFFSET(TblProd[[#This Row],[Mana]],-1,0)+OFFSET(TblProd[[#This Row],[Mana/hr]],-1,0)- TblProd[[#This Row],[Expenses Mana]]</f>
        <v>0</v>
      </c>
      <c r="L13" s="69" t="n">
        <f aca="false">OFFSET(TblProd[[#This Row],[Ore]],-1,0)+OFFSET(TblProd[[#This Row],[Ore/hr]],-1,0) -TblProd[[#This Row],[Expenses Ore]]</f>
        <v>0</v>
      </c>
      <c r="M13" s="69" t="n">
        <f aca="false">OFFSET(TblProd[[#This Row],[Gems]],-1,0)+OFFSET(TblProd[[#This Row],[Gems/hr]],-1,0) - TblProd[[#This Row],[Expenses Gems]]</f>
        <v>0</v>
      </c>
      <c r="N13" s="69" t="n">
        <f aca="false">OFFSET(TblProd[[#This Row],[Boats]],-1,0)+OFFSET(TblProd[[#This Row],[Boats/hr]],-1,0)</f>
        <v>0</v>
      </c>
      <c r="O13" s="69" t="n">
        <f aca="false">OFFSET(TblProd[[#This Row],[Prestige]],-1,0)</f>
        <v>250</v>
      </c>
      <c r="P1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69" t="n">
        <f aca="false">MAX(3750,_xlfn.CEILING.MATH(TblProd[[#This Row],[Land]]*2.5+OFFSET(TblTech[[#This Row],[Sum of tech]],-1,0)*150))</f>
        <v>3750</v>
      </c>
      <c r="R13" s="132"/>
      <c r="S13" s="69" t="n">
        <f aca="false">ROUNDDOWN(TblProd[[#This Row],[Raw Plat/hr]]*(1+TblProd[[#This Row],[Bonus Plat/hr]]),0)</f>
        <v>5532</v>
      </c>
      <c r="T13" s="69" t="n">
        <f aca="false">ROUND(TblProd[[#This Row],[Raw Food/hr]]*(1+TblProd[[#This Row],[Bonus Food/hr]])-TblProd[[#This Row],[Food decay]]-TblProd[[#This Row],[Food eaten]],0)</f>
        <v>1681</v>
      </c>
      <c r="U13" s="69" t="n">
        <f aca="false">ROUND(TblProd[[#This Row],[Raw Lumber/hr]]*(1+TblProd[[#This Row],[Bonus Lumber/hr]])-TblProd[[#This Row],[Lumber rot]],0)</f>
        <v>898</v>
      </c>
      <c r="V13" s="69" t="n">
        <f aca="false">ROUND(TblProd[[#This Row],[Raw Mana/hr]]*(1+TblProd[[#This Row],[Bonus Mana/hr]])-TblProd[[#This Row],[Mana drain]],0)</f>
        <v>0</v>
      </c>
      <c r="W13" s="69" t="n">
        <f aca="false">ROUNDDOWN(TblProd[[#This Row],[Raw Ore/hr]]*(1+TblProd[[#This Row],[Bonux Ore/hr]]),0)</f>
        <v>0</v>
      </c>
      <c r="X13" s="69" t="n">
        <f aca="false">ROUNDDOWN(TblProd[[#This Row],[Raw Gems/hr]]*(1+TblProd[[#This Row],[Bonus Gems/hr]]),0)</f>
        <v>0</v>
      </c>
      <c r="Y13" s="148" t="n">
        <f aca="false">OFFSET(TblConstr[[#This Row],[Tot Doc]],1,0)*dock_boats_hr * (1 + tech_4_1*TblTech[[#This Row],[4-1]])</f>
        <v>0</v>
      </c>
      <c r="Z13" s="146"/>
      <c r="AA13" s="69" t="n">
        <f aca="false">TblPop[[#This Row],[Peasants]]*tax*TblPop[[#This Row],[Employment]] + (Construction!AZ14+Construction!BX14)*(alch_plat+(Magic!AM13&gt;0)*alchemist_flame_bonus)</f>
        <v>5532.3</v>
      </c>
      <c r="AB13" s="69" t="n">
        <f aca="false">TblConstr[[#This Row],[Tot Farm]]*farm_food + TblConstr[[#This Row],[Tot Doc]]*dock_food</f>
        <v>2400</v>
      </c>
      <c r="AC13" s="69" t="n">
        <f aca="false">TblConstr[[#This Row],[Tot Ly]]*ly_lumber + TblConstr[[#This Row],[Tot Hav]]*fh_lumber</f>
        <v>1000</v>
      </c>
      <c r="AD13" s="69" t="n">
        <f aca="false">OFFSET(TblConstr[[#This Row],[Tot Tow]],1,0)*(tower_mana + tech_4_5*TblTech[[#This Row],[4-5]]) + OFFSET(TblConstr[[#This Row],[Tot WG]],1,0)*wg_mana_prod</f>
        <v>0</v>
      </c>
      <c r="AE13" s="69" t="n">
        <f aca="false">OFFSET(TblConstr[[#This Row],[Tot OM]],1,0)*om_ore+IF(race="Dwarf",ROUNDDOWN(TblMili[[#This Row],[Unit 2]]*0.4,0),)</f>
        <v>0</v>
      </c>
      <c r="AF13" s="69" t="n">
        <f aca="false">OFFSET(TblConstr[[#This Row],[Tot DM]],1,0)*dm_gems</f>
        <v>0</v>
      </c>
      <c r="AG13" s="132"/>
      <c r="AH13" s="149" t="n">
        <f aca="false">MIN(race_platinum_bonus + IF(TblMagic[[#This Row],[Active Alch Frost]]&gt;0,alch_frost_bonus,IF(Magic!AD13&gt;0,midas_bonus)) + TblImps[[#This Row],[Science]] - TblProd[[#This Row],[Guard]]*(0.02 + tech_5_7*TblTech[[#This Row],[5-7]]) + tech_1_5*TblTech[[#This Row],[1-5]] + tech_4_4*TblTech[[#This Row],[4-4]], 0.5)</f>
        <v>0</v>
      </c>
      <c r="AI1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 s="149" t="n">
        <f aca="false">race_lumber_bonus+ IF(TblMagic[[#This Row],[Active Gaia''s Blessing]]&gt;0,gaias_blessing_lumber)+ tech_1_3*TblTech[[#This Row],[1-3]] + tech_1_6*TblTech[[#This Row],[1-6]] + tech_3_3*TblTech[[#This Row],[3-3]]</f>
        <v>-0.1</v>
      </c>
      <c r="AK13" s="149" t="n">
        <f aca="false">race_mana_bonus+ 0 + TblImps[[#This Row],[Towers]] + tech_1_2*TblTech[[#This Row],[1-2]] + tech_3_4*TblTech[[#This Row],[3-4]]</f>
        <v>0</v>
      </c>
      <c r="AL13" s="149" t="n">
        <f aca="false">race_ore_bonus + IF(TblMagic[[#This Row],[Active Miner''s Sight]]&gt;0,miners_sight_bonus,IF(TblMagic[[#This Row],[Active Mining Strength]]&gt;0,mining_strength_bonus)) +  tech_1_6*TblTech[[#This Row],[1-6]]</f>
        <v>0</v>
      </c>
      <c r="AM13" s="149" t="n">
        <f aca="false">race_gem_bonus+ tech_3_2*TblTech[[#This Row],[3-2]] + tech_4_3*TblTech[[#This Row],[4-3]] + tech_6_2*TblTech[[#This Row],[6-2]]</f>
        <v>0.15</v>
      </c>
      <c r="AN13" s="132"/>
      <c r="AO13" s="69" t="n">
        <f aca="false">TblProd[[#This Row],[Food]]*food_decay * (1 + tech_2_1*TblTech[[#This Row],[2-1]] + tech_2_8*TblTech[[#This Row],[2-8]])</f>
        <v>312.63</v>
      </c>
      <c r="AP13" s="69" t="n">
        <f aca="false">(1+race_food_consumption)*TblPop[[#This Row],[Total]]*food_per_person*(1+tech_1_10*TblTech[[#This Row],[1-10]]+tech_7_5*TblTech[[#This Row],[7-5]])</f>
        <v>466</v>
      </c>
      <c r="AQ13" s="69" t="n">
        <f aca="false">TblProd[[#This Row],[Lumber]]*lumber_rot * (1 + tech_2_1*TblTech[[#This Row],[2-1]] + tech_2_8*TblTech[[#This Row],[2-8]] + tech_5_2*TblTech[[#This Row],[5-2]])</f>
        <v>2</v>
      </c>
      <c r="AR13" s="69" t="n">
        <f aca="false">TblProd[[#This Row],[Mana]]*mana_drain * (1 + tech_2_1*TblTech[[#This Row],[2-1]] + tech_2_8*TblTech[[#This Row],[2-8]])</f>
        <v>0</v>
      </c>
      <c r="AS13" s="146"/>
      <c r="AT13" s="69" t="n">
        <f aca="false">TblExplore[[#This Row],[Platinum (2)]]+TblConstr[[#This Row],[Total Plat Cost]]+TblMili[[#This Row],[Plat Cost]]+TblRezone[[#This Row],[Platinum cost]]+TblImps[[#This Row],[P1]]-TblProd[[#This Row],[Bank Plat]]</f>
        <v>500</v>
      </c>
      <c r="AU13" s="69" t="n">
        <f aca="false">TblConstr[[#This Row],[Total Lum Cost]]+TblImps[[#This Row],[L1]]-TblProd[[#This Row],[Bank Lumber]] + Military!$CL$25*TblMili[[#This Row],[Sec. rec. Cost]]</f>
        <v>700</v>
      </c>
      <c r="AV13" s="69" t="n">
        <f aca="false">TblMagic[[#This Row],[Mana cost]] + Military!$CL$26*TblMili[[#This Row],[Sec. rec. Cost]]</f>
        <v>0</v>
      </c>
      <c r="AW13" s="69" t="n">
        <f aca="false">Military!$CL$24*TblMili[[#This Row],[Sec. rec. Cost]]+TblImps[[#This Row],[O1]]-TblProd[[#This Row],[Bank Ore]]</f>
        <v>0</v>
      </c>
      <c r="AX13" s="69" t="n">
        <f aca="false">TblImps[[#This Row],[G1]]-TblProd[[#This Row],[Bank Gems]]</f>
        <v>0</v>
      </c>
      <c r="AY13" s="132"/>
      <c r="AZ13" s="33" t="n">
        <f aca="false">IF(TblProd[[#This Row],[Set Guard]]&lt;&gt;"",TblProd[[#This Row],[Set Guard]],OFFSET(TblProd[[#This Row],[Guard]],-1,0))</f>
        <v>0</v>
      </c>
      <c r="BA13" s="145"/>
      <c r="BB13" s="151" t="n">
        <f aca="false">TblProd[[#This Row],[Hour]]</f>
        <v>10</v>
      </c>
      <c r="BC13" s="152" t="n">
        <f aca="false">-TblProd[[#This Row],[Bank Lumber]] / 2 + -TblProd[[#This Row],[Bank Gems]] * 2 + -TblProd[[#This Row],[Bank Ore]] / 2</f>
        <v>350</v>
      </c>
      <c r="BD13" s="152" t="n">
        <v>-700</v>
      </c>
      <c r="BE13" s="152"/>
      <c r="BF13" s="152"/>
      <c r="BG13" s="153" t="n">
        <f aca="false">TblProd[[#This Row],[Time]]</f>
        <v>45430.125</v>
      </c>
      <c r="BH1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Ok</v>
      </c>
      <c r="BI13" s="69" t="n">
        <f aca="false">TblProd[[#This Row],[Platinum]]</f>
        <v>36323</v>
      </c>
      <c r="BJ13" s="69" t="n">
        <f aca="false">TblProd[[#This Row],[Food]]</f>
        <v>31263</v>
      </c>
      <c r="BK13" s="69" t="n">
        <f aca="false">TblProd[[#This Row],[Lumber]]</f>
        <v>200</v>
      </c>
      <c r="BL13" s="69" t="n">
        <f aca="false">TblProd[[#This Row],[Mana]]</f>
        <v>0</v>
      </c>
      <c r="BM13" s="69" t="n">
        <f aca="false">TblProd[[#This Row],[Ore]]</f>
        <v>0</v>
      </c>
    </row>
    <row r="14" customFormat="false" ht="12.75" hidden="false" customHeight="false" outlineLevel="0" collapsed="false">
      <c r="A14" s="128" t="n">
        <v>11</v>
      </c>
      <c r="B14" s="144" t="n">
        <f aca="false">TblImps[[#This Row],[Time]]</f>
        <v>45430.1666666667</v>
      </c>
      <c r="C14" s="145"/>
      <c r="D14" s="146"/>
      <c r="E14" s="69" t="n">
        <f aca="false">TblConstr[[#This Row],[Land]]</f>
        <v>250</v>
      </c>
      <c r="F14" s="69" t="n">
        <f aca="false">TblPop[[#This Row],[Peasants]]</f>
        <v>1580</v>
      </c>
      <c r="G14" s="69" t="e">
        <f aca="false">TblMili[[#This Row],[Networth (2)]]</f>
        <v>#VALUE!</v>
      </c>
      <c r="H14" s="69" t="n">
        <f aca="false">OFFSET(TblProd[[#This Row],[Platinum]],-1,0)+OFFSET(TblProd[[#This Row],[Plat/hr]],-1,0) - TblProd[[#This Row],[Expenses Platinum]] + IF(TblProd[[#This Row],[Plat Bonus]],TblPop[[#This Row],[Peasants]]*4) + SUM(TblConstr[[#This Row],[Dest Hom]:[Dest Doc]])*TblConstr[[#This Row],[CPA Platinum -DB]]*tech_3_3_2*TblTech[[#This Row],[3-3]]</f>
        <v>41005</v>
      </c>
      <c r="I14" s="69" t="n">
        <f aca="false">OFFSET(TblProd[[#This Row],[Food]],-1,0)+OFFSET(TblProd[[#This Row],[Food/hr]],-1,0)+ROUNDUP((TblConstr[[#This Row],[Farms]]*80+TblConstr[[#This Row],[Docks]]*35)*(1+OFFSET(TblProd[[#This Row],[Bonus Food/hr]],-1,0)),0)</f>
        <v>32944</v>
      </c>
      <c r="J14" s="69" t="n">
        <f aca="false">OFFSET(TblProd[[#This Row],[Lumber]],-1,0)+OFFSET(TblProd[[#This Row],[Lumber/hr]],-1,0) - TblProd[[#This Row],[Expenses Lumber]] + SUM(TblConstr[[#This Row],[Dest Hom]:[Dest Doc]])*TblConstr[[#This Row],[CPA Lumber -DB]]*tech_3_3_2*TblTech[[#This Row],[3-3]]</f>
        <v>1098</v>
      </c>
      <c r="K14" s="69" t="n">
        <f aca="false">OFFSET(TblProd[[#This Row],[Mana]],-1,0)+OFFSET(TblProd[[#This Row],[Mana/hr]],-1,0)- TblProd[[#This Row],[Expenses Mana]]</f>
        <v>0</v>
      </c>
      <c r="L14" s="69" t="n">
        <f aca="false">OFFSET(TblProd[[#This Row],[Ore]],-1,0)+OFFSET(TblProd[[#This Row],[Ore/hr]],-1,0) -TblProd[[#This Row],[Expenses Ore]]</f>
        <v>0</v>
      </c>
      <c r="M14" s="69" t="n">
        <f aca="false">OFFSET(TblProd[[#This Row],[Gems]],-1,0)+OFFSET(TblProd[[#This Row],[Gems/hr]],-1,0) - TblProd[[#This Row],[Expenses Gems]]</f>
        <v>0</v>
      </c>
      <c r="N14" s="69" t="n">
        <f aca="false">OFFSET(TblProd[[#This Row],[Boats]],-1,0)+OFFSET(TblProd[[#This Row],[Boats/hr]],-1,0)</f>
        <v>0</v>
      </c>
      <c r="O14" s="69" t="n">
        <f aca="false">OFFSET(TblProd[[#This Row],[Prestige]],-1,0)</f>
        <v>250</v>
      </c>
      <c r="P1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69" t="n">
        <f aca="false">MAX(3750,_xlfn.CEILING.MATH(TblProd[[#This Row],[Land]]*2.5+OFFSET(TblTech[[#This Row],[Sum of tech]],-1,0)*150))</f>
        <v>3750</v>
      </c>
      <c r="R14" s="132"/>
      <c r="S14" s="69" t="n">
        <f aca="false">ROUNDDOWN(TblProd[[#This Row],[Raw Plat/hr]]*(1+TblProd[[#This Row],[Bonus Plat/hr]]),0)</f>
        <v>5616</v>
      </c>
      <c r="T14" s="69" t="n">
        <f aca="false">ROUND(TblProd[[#This Row],[Raw Food/hr]]*(1+TblProd[[#This Row],[Bonus Food/hr]])-TblProd[[#This Row],[Food decay]]-TblProd[[#This Row],[Food eaten]],0)</f>
        <v>1654</v>
      </c>
      <c r="U14" s="69" t="n">
        <f aca="false">ROUND(TblProd[[#This Row],[Raw Lumber/hr]]*(1+TblProd[[#This Row],[Bonus Lumber/hr]])-TblProd[[#This Row],[Lumber rot]],0)</f>
        <v>889</v>
      </c>
      <c r="V14" s="69" t="n">
        <f aca="false">ROUND(TblProd[[#This Row],[Raw Mana/hr]]*(1+TblProd[[#This Row],[Bonus Mana/hr]])-TblProd[[#This Row],[Mana drain]],0)</f>
        <v>0</v>
      </c>
      <c r="W14" s="69" t="n">
        <f aca="false">ROUNDDOWN(TblProd[[#This Row],[Raw Ore/hr]]*(1+TblProd[[#This Row],[Bonux Ore/hr]]),0)</f>
        <v>0</v>
      </c>
      <c r="X14" s="69" t="n">
        <f aca="false">ROUNDDOWN(TblProd[[#This Row],[Raw Gems/hr]]*(1+TblProd[[#This Row],[Bonus Gems/hr]]),0)</f>
        <v>0</v>
      </c>
      <c r="Y14" s="148" t="n">
        <f aca="false">OFFSET(TblConstr[[#This Row],[Tot Doc]],1,0)*dock_boats_hr * (1 + tech_4_1*TblTech[[#This Row],[4-1]])</f>
        <v>0</v>
      </c>
      <c r="Z14" s="146"/>
      <c r="AA14" s="69" t="n">
        <f aca="false">TblPop[[#This Row],[Peasants]]*tax*TblPop[[#This Row],[Employment]] + (Construction!AZ15+Construction!BX15)*(alch_plat+(Magic!AM14&gt;0)*alchemist_flame_bonus)</f>
        <v>5616</v>
      </c>
      <c r="AB14" s="69" t="n">
        <f aca="false">TblConstr[[#This Row],[Tot Farm]]*farm_food + TblConstr[[#This Row],[Tot Doc]]*dock_food</f>
        <v>2400</v>
      </c>
      <c r="AC14" s="69" t="n">
        <f aca="false">TblConstr[[#This Row],[Tot Ly]]*ly_lumber + TblConstr[[#This Row],[Tot Hav]]*fh_lumber</f>
        <v>1000</v>
      </c>
      <c r="AD14" s="69" t="n">
        <f aca="false">OFFSET(TblConstr[[#This Row],[Tot Tow]],1,0)*(tower_mana + tech_4_5*TblTech[[#This Row],[4-5]]) + OFFSET(TblConstr[[#This Row],[Tot WG]],1,0)*wg_mana_prod</f>
        <v>0</v>
      </c>
      <c r="AE14" s="69" t="n">
        <f aca="false">OFFSET(TblConstr[[#This Row],[Tot OM]],1,0)*om_ore+IF(race="Dwarf",ROUNDDOWN(TblMili[[#This Row],[Unit 2]]*0.4,0),)</f>
        <v>0</v>
      </c>
      <c r="AF14" s="69" t="n">
        <f aca="false">OFFSET(TblConstr[[#This Row],[Tot DM]],1,0)*dm_gems</f>
        <v>0</v>
      </c>
      <c r="AG14" s="132"/>
      <c r="AH14" s="149" t="n">
        <f aca="false">MIN(race_platinum_bonus + IF(TblMagic[[#This Row],[Active Alch Frost]]&gt;0,alch_frost_bonus,IF(Magic!AD14&gt;0,midas_bonus)) + TblImps[[#This Row],[Science]] - TblProd[[#This Row],[Guard]]*(0.02 + tech_5_7*TblTech[[#This Row],[5-7]]) + tech_1_5*TblTech[[#This Row],[1-5]] + tech_4_4*TblTech[[#This Row],[4-4]], 0.5)</f>
        <v>0</v>
      </c>
      <c r="AI1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4" s="149" t="n">
        <f aca="false">race_lumber_bonus+ IF(TblMagic[[#This Row],[Active Gaia''s Blessing]]&gt;0,gaias_blessing_lumber)+ tech_1_3*TblTech[[#This Row],[1-3]] + tech_1_6*TblTech[[#This Row],[1-6]] + tech_3_3*TblTech[[#This Row],[3-3]]</f>
        <v>-0.1</v>
      </c>
      <c r="AK14" s="149" t="n">
        <f aca="false">race_mana_bonus+ 0 + TblImps[[#This Row],[Towers]] + tech_1_2*TblTech[[#This Row],[1-2]] + tech_3_4*TblTech[[#This Row],[3-4]]</f>
        <v>0</v>
      </c>
      <c r="AL14" s="149" t="n">
        <f aca="false">race_ore_bonus + IF(TblMagic[[#This Row],[Active Miner''s Sight]]&gt;0,miners_sight_bonus,IF(TblMagic[[#This Row],[Active Mining Strength]]&gt;0,mining_strength_bonus)) +  tech_1_6*TblTech[[#This Row],[1-6]]</f>
        <v>0</v>
      </c>
      <c r="AM14" s="149" t="n">
        <f aca="false">race_gem_bonus+ tech_3_2*TblTech[[#This Row],[3-2]] + tech_4_3*TblTech[[#This Row],[4-3]] + tech_6_2*TblTech[[#This Row],[6-2]]</f>
        <v>0.15</v>
      </c>
      <c r="AN14" s="132"/>
      <c r="AO14" s="69" t="n">
        <f aca="false">TblProd[[#This Row],[Food]]*food_decay * (1 + tech_2_1*TblTech[[#This Row],[2-1]] + tech_2_8*TblTech[[#This Row],[2-8]])</f>
        <v>329.44</v>
      </c>
      <c r="AP14" s="69" t="n">
        <f aca="false">(1+race_food_consumption)*TblPop[[#This Row],[Total]]*food_per_person*(1+tech_1_10*TblTech[[#This Row],[1-10]]+tech_7_5*TblTech[[#This Row],[7-5]])</f>
        <v>476.5</v>
      </c>
      <c r="AQ14" s="69" t="n">
        <f aca="false">TblProd[[#This Row],[Lumber]]*lumber_rot * (1 + tech_2_1*TblTech[[#This Row],[2-1]] + tech_2_8*TblTech[[#This Row],[2-8]] + tech_5_2*TblTech[[#This Row],[5-2]])</f>
        <v>10.98</v>
      </c>
      <c r="AR14" s="69" t="n">
        <f aca="false">TblProd[[#This Row],[Mana]]*mana_drain * (1 + tech_2_1*TblTech[[#This Row],[2-1]] + tech_2_8*TblTech[[#This Row],[2-8]])</f>
        <v>0</v>
      </c>
      <c r="AS14" s="146"/>
      <c r="AT14" s="69" t="n">
        <f aca="false">TblExplore[[#This Row],[Platinum (2)]]+TblConstr[[#This Row],[Total Plat Cost]]+TblMili[[#This Row],[Plat Cost]]+TblRezone[[#This Row],[Platinum cost]]+TblImps[[#This Row],[P1]]-TblProd[[#This Row],[Bank Plat]]</f>
        <v>850</v>
      </c>
      <c r="AU14" s="69" t="n">
        <f aca="false">TblConstr[[#This Row],[Total Lum Cost]]+TblImps[[#This Row],[L1]]-TblProd[[#This Row],[Bank Lumber]] + Military!$CL$25*TblMili[[#This Row],[Sec. rec. Cost]]</f>
        <v>0</v>
      </c>
      <c r="AV14" s="69" t="n">
        <f aca="false">TblMagic[[#This Row],[Mana cost]] + Military!$CL$26*TblMili[[#This Row],[Sec. rec. Cost]]</f>
        <v>0</v>
      </c>
      <c r="AW14" s="69" t="n">
        <f aca="false">Military!$CL$24*TblMili[[#This Row],[Sec. rec. Cost]]+TblImps[[#This Row],[O1]]-TblProd[[#This Row],[Bank Ore]]</f>
        <v>0</v>
      </c>
      <c r="AX14" s="69" t="n">
        <f aca="false">TblImps[[#This Row],[G1]]-TblProd[[#This Row],[Bank Gems]]</f>
        <v>0</v>
      </c>
      <c r="AY14" s="132"/>
      <c r="AZ14" s="33" t="n">
        <f aca="false">IF(TblProd[[#This Row],[Set Guard]]&lt;&gt;"",TblProd[[#This Row],[Set Guard]],OFFSET(TblProd[[#This Row],[Guard]],-1,0))</f>
        <v>0</v>
      </c>
      <c r="BA14" s="145"/>
      <c r="BB14" s="151" t="n">
        <f aca="false">TblProd[[#This Row],[Hour]]</f>
        <v>11</v>
      </c>
      <c r="BC14" s="152" t="n">
        <f aca="false">-TblProd[[#This Row],[Bank Lumber]] / 2 + -TblProd[[#This Row],[Bank Gems]] * 2 + -TblProd[[#This Row],[Bank Ore]] / 2</f>
        <v>0</v>
      </c>
      <c r="BD14" s="152"/>
      <c r="BE14" s="152"/>
      <c r="BF14" s="152"/>
      <c r="BG14" s="153" t="n">
        <f aca="false">TblProd[[#This Row],[Time]]</f>
        <v>45430.1666666667</v>
      </c>
      <c r="BH1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69" t="n">
        <f aca="false">TblProd[[#This Row],[Platinum]]</f>
        <v>41005</v>
      </c>
      <c r="BJ14" s="69" t="n">
        <f aca="false">TblProd[[#This Row],[Food]]</f>
        <v>32944</v>
      </c>
      <c r="BK14" s="69" t="n">
        <f aca="false">TblProd[[#This Row],[Lumber]]</f>
        <v>1098</v>
      </c>
      <c r="BL14" s="69" t="n">
        <f aca="false">TblProd[[#This Row],[Mana]]</f>
        <v>0</v>
      </c>
      <c r="BM14" s="69" t="n">
        <f aca="false">TblProd[[#This Row],[Ore]]</f>
        <v>0</v>
      </c>
    </row>
    <row r="15" customFormat="false" ht="12.75" hidden="false" customHeight="false" outlineLevel="0" collapsed="false">
      <c r="A15" s="128" t="n">
        <v>12</v>
      </c>
      <c r="B15" s="144" t="n">
        <f aca="false">TblImps[[#This Row],[Time]]</f>
        <v>45430.2083333333</v>
      </c>
      <c r="C15" s="145"/>
      <c r="D15" s="146"/>
      <c r="E15" s="69" t="n">
        <f aca="false">TblConstr[[#This Row],[Land]]</f>
        <v>250</v>
      </c>
      <c r="F15" s="69" t="n">
        <f aca="false">TblPop[[#This Row],[Peasants]]</f>
        <v>1611</v>
      </c>
      <c r="G15" s="69" t="e">
        <f aca="false">TblMili[[#This Row],[Networth (2)]]</f>
        <v>#VALUE!</v>
      </c>
      <c r="H15" s="69" t="n">
        <f aca="false">OFFSET(TblProd[[#This Row],[Platinum]],-1,0)+OFFSET(TblProd[[#This Row],[Plat/hr]],-1,0) - TblProd[[#This Row],[Expenses Platinum]] + IF(TblProd[[#This Row],[Plat Bonus]],TblPop[[#This Row],[Peasants]]*4) + SUM(TblConstr[[#This Row],[Dest Hom]:[Dest Doc]])*TblConstr[[#This Row],[CPA Platinum -DB]]*tech_3_3_2*TblTech[[#This Row],[3-3]]</f>
        <v>46621</v>
      </c>
      <c r="I15" s="69" t="n">
        <f aca="false">OFFSET(TblProd[[#This Row],[Food]],-1,0)+OFFSET(TblProd[[#This Row],[Food/hr]],-1,0)+ROUNDUP((TblConstr[[#This Row],[Farms]]*80+TblConstr[[#This Row],[Docks]]*35)*(1+OFFSET(TblProd[[#This Row],[Bonus Food/hr]],-1,0)),0)</f>
        <v>34598</v>
      </c>
      <c r="J15" s="69" t="n">
        <f aca="false">OFFSET(TblProd[[#This Row],[Lumber]],-1,0)+OFFSET(TblProd[[#This Row],[Lumber/hr]],-1,0) - TblProd[[#This Row],[Expenses Lumber]] + SUM(TblConstr[[#This Row],[Dest Hom]:[Dest Doc]])*TblConstr[[#This Row],[CPA Lumber -DB]]*tech_3_3_2*TblTech[[#This Row],[3-3]]</f>
        <v>1987</v>
      </c>
      <c r="K15" s="69" t="n">
        <f aca="false">OFFSET(TblProd[[#This Row],[Mana]],-1,0)+OFFSET(TblProd[[#This Row],[Mana/hr]],-1,0)- TblProd[[#This Row],[Expenses Mana]]</f>
        <v>0</v>
      </c>
      <c r="L15" s="69" t="n">
        <f aca="false">OFFSET(TblProd[[#This Row],[Ore]],-1,0)+OFFSET(TblProd[[#This Row],[Ore/hr]],-1,0) -TblProd[[#This Row],[Expenses Ore]]</f>
        <v>0</v>
      </c>
      <c r="M15" s="69" t="n">
        <f aca="false">OFFSET(TblProd[[#This Row],[Gems]],-1,0)+OFFSET(TblProd[[#This Row],[Gems/hr]],-1,0) - TblProd[[#This Row],[Expenses Gems]]</f>
        <v>0</v>
      </c>
      <c r="N15" s="69" t="n">
        <f aca="false">OFFSET(TblProd[[#This Row],[Boats]],-1,0)+OFFSET(TblProd[[#This Row],[Boats/hr]],-1,0)</f>
        <v>0</v>
      </c>
      <c r="O15" s="69" t="n">
        <f aca="false">OFFSET(TblProd[[#This Row],[Prestige]],-1,0)</f>
        <v>250</v>
      </c>
      <c r="P1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69" t="n">
        <f aca="false">MAX(3750,_xlfn.CEILING.MATH(TblProd[[#This Row],[Land]]*2.5+OFFSET(TblTech[[#This Row],[Sum of tech]],-1,0)*150))</f>
        <v>3750</v>
      </c>
      <c r="R15" s="132"/>
      <c r="S15" s="69" t="n">
        <f aca="false">ROUNDDOWN(TblProd[[#This Row],[Raw Plat/hr]]*(1+TblProd[[#This Row],[Bonus Plat/hr]]),0)</f>
        <v>7499</v>
      </c>
      <c r="T15" s="69" t="n">
        <f aca="false">ROUND(TblProd[[#This Row],[Raw Food/hr]]*(1+TblProd[[#This Row],[Bonus Food/hr]])-TblProd[[#This Row],[Food decay]]-TblProd[[#This Row],[Food eaten]],0)</f>
        <v>1626</v>
      </c>
      <c r="U15" s="69" t="n">
        <f aca="false">ROUND(TblProd[[#This Row],[Raw Lumber/hr]]*(1+TblProd[[#This Row],[Bonus Lumber/hr]])-TblProd[[#This Row],[Lumber rot]],0)</f>
        <v>880</v>
      </c>
      <c r="V15" s="69" t="n">
        <f aca="false">ROUND(TblProd[[#This Row],[Raw Mana/hr]]*(1+TblProd[[#This Row],[Bonus Mana/hr]])-TblProd[[#This Row],[Mana drain]],0)</f>
        <v>375</v>
      </c>
      <c r="W15" s="69" t="n">
        <f aca="false">ROUNDDOWN(TblProd[[#This Row],[Raw Ore/hr]]*(1+TblProd[[#This Row],[Bonux Ore/hr]]),0)</f>
        <v>0</v>
      </c>
      <c r="X15" s="69" t="n">
        <f aca="false">ROUNDDOWN(TblProd[[#This Row],[Raw Gems/hr]]*(1+TblProd[[#This Row],[Bonus Gems/hr]]),0)</f>
        <v>0</v>
      </c>
      <c r="Y15" s="148" t="n">
        <f aca="false">OFFSET(TblConstr[[#This Row],[Tot Doc]],1,0)*dock_boats_hr * (1 + tech_4_1*TblTech[[#This Row],[4-1]])</f>
        <v>0</v>
      </c>
      <c r="Z15" s="146"/>
      <c r="AA15" s="69" t="n">
        <f aca="false">TblPop[[#This Row],[Peasants]]*tax*TblPop[[#This Row],[Employment]] + (Construction!AZ16+Construction!BX16)*(alch_plat+(Magic!AM15&gt;0)*alchemist_flame_bonus)</f>
        <v>7499.7</v>
      </c>
      <c r="AB15" s="69" t="n">
        <f aca="false">TblConstr[[#This Row],[Tot Farm]]*farm_food + TblConstr[[#This Row],[Tot Doc]]*dock_food</f>
        <v>2400</v>
      </c>
      <c r="AC15" s="69" t="n">
        <f aca="false">TblConstr[[#This Row],[Tot Ly]]*ly_lumber + TblConstr[[#This Row],[Tot Hav]]*fh_lumber</f>
        <v>1000</v>
      </c>
      <c r="AD15" s="69" t="n">
        <f aca="false">OFFSET(TblConstr[[#This Row],[Tot Tow]],1,0)*(tower_mana + tech_4_5*TblTech[[#This Row],[4-5]]) + OFFSET(TblConstr[[#This Row],[Tot WG]],1,0)*wg_mana_prod</f>
        <v>375</v>
      </c>
      <c r="AE15" s="69" t="n">
        <f aca="false">OFFSET(TblConstr[[#This Row],[Tot OM]],1,0)*om_ore+IF(race="Dwarf",ROUNDDOWN(TblMili[[#This Row],[Unit 2]]*0.4,0),)</f>
        <v>0</v>
      </c>
      <c r="AF15" s="69" t="n">
        <f aca="false">OFFSET(TblConstr[[#This Row],[Tot DM]],1,0)*dm_gems</f>
        <v>0</v>
      </c>
      <c r="AG15" s="132"/>
      <c r="AH15" s="149" t="n">
        <f aca="false">MIN(race_platinum_bonus + IF(TblMagic[[#This Row],[Active Alch Frost]]&gt;0,alch_frost_bonus,IF(Magic!AD15&gt;0,midas_bonus)) + TblImps[[#This Row],[Science]] - TblProd[[#This Row],[Guard]]*(0.02 + tech_5_7*TblTech[[#This Row],[5-7]]) + tech_1_5*TblTech[[#This Row],[1-5]] + tech_4_4*TblTech[[#This Row],[4-4]], 0.5)</f>
        <v>0</v>
      </c>
      <c r="AI1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5" s="149" t="n">
        <f aca="false">race_lumber_bonus+ IF(TblMagic[[#This Row],[Active Gaia''s Blessing]]&gt;0,gaias_blessing_lumber)+ tech_1_3*TblTech[[#This Row],[1-3]] + tech_1_6*TblTech[[#This Row],[1-6]] + tech_3_3*TblTech[[#This Row],[3-3]]</f>
        <v>-0.1</v>
      </c>
      <c r="AK15" s="149" t="n">
        <f aca="false">race_mana_bonus+ 0 + TblImps[[#This Row],[Towers]] + tech_1_2*TblTech[[#This Row],[1-2]] + tech_3_4*TblTech[[#This Row],[3-4]]</f>
        <v>0</v>
      </c>
      <c r="AL15" s="149" t="n">
        <f aca="false">race_ore_bonus + IF(TblMagic[[#This Row],[Active Miner''s Sight]]&gt;0,miners_sight_bonus,IF(TblMagic[[#This Row],[Active Mining Strength]]&gt;0,mining_strength_bonus)) +  tech_1_6*TblTech[[#This Row],[1-6]]</f>
        <v>0</v>
      </c>
      <c r="AM15" s="149" t="n">
        <f aca="false">race_gem_bonus+ tech_3_2*TblTech[[#This Row],[3-2]] + tech_4_3*TblTech[[#This Row],[4-3]] + tech_6_2*TblTech[[#This Row],[6-2]]</f>
        <v>0.15</v>
      </c>
      <c r="AN15" s="132"/>
      <c r="AO15" s="69" t="n">
        <f aca="false">TblProd[[#This Row],[Food]]*food_decay * (1 + tech_2_1*TblTech[[#This Row],[2-1]] + tech_2_8*TblTech[[#This Row],[2-8]])</f>
        <v>345.98</v>
      </c>
      <c r="AP15" s="69" t="n">
        <f aca="false">(1+race_food_consumption)*TblPop[[#This Row],[Total]]*food_per_person*(1+tech_1_10*TblTech[[#This Row],[1-10]]+tech_7_5*TblTech[[#This Row],[7-5]])</f>
        <v>488.25</v>
      </c>
      <c r="AQ15" s="69" t="n">
        <f aca="false">TblProd[[#This Row],[Lumber]]*lumber_rot * (1 + tech_2_1*TblTech[[#This Row],[2-1]] + tech_2_8*TblTech[[#This Row],[2-8]] + tech_5_2*TblTech[[#This Row],[5-2]])</f>
        <v>19.87</v>
      </c>
      <c r="AR15" s="69" t="n">
        <f aca="false">TblProd[[#This Row],[Mana]]*mana_drain * (1 + tech_2_1*TblTech[[#This Row],[2-1]] + tech_2_8*TblTech[[#This Row],[2-8]])</f>
        <v>0</v>
      </c>
      <c r="AS15" s="146"/>
      <c r="AT15" s="69" t="n">
        <f aca="false">TblExplore[[#This Row],[Platinum (2)]]+TblConstr[[#This Row],[Total Plat Cost]]+TblMili[[#This Row],[Plat Cost]]+TblRezone[[#This Row],[Platinum cost]]+TblImps[[#This Row],[P1]]-TblProd[[#This Row],[Bank Plat]]</f>
        <v>0</v>
      </c>
      <c r="AU15" s="69" t="n">
        <f aca="false">TblConstr[[#This Row],[Total Lum Cost]]+TblImps[[#This Row],[L1]]-TblProd[[#This Row],[Bank Lumber]] + Military!$CL$25*TblMili[[#This Row],[Sec. rec. Cost]]</f>
        <v>0</v>
      </c>
      <c r="AV15" s="69" t="n">
        <f aca="false">TblMagic[[#This Row],[Mana cost]] + Military!$CL$26*TblMili[[#This Row],[Sec. rec. Cost]]</f>
        <v>0</v>
      </c>
      <c r="AW15" s="69" t="n">
        <f aca="false">Military!$CL$24*TblMili[[#This Row],[Sec. rec. Cost]]+TblImps[[#This Row],[O1]]-TblProd[[#This Row],[Bank Ore]]</f>
        <v>0</v>
      </c>
      <c r="AX15" s="69" t="n">
        <f aca="false">TblImps[[#This Row],[G1]]-TblProd[[#This Row],[Bank Gems]]</f>
        <v>0</v>
      </c>
      <c r="AY15" s="132"/>
      <c r="AZ15" s="33" t="n">
        <f aca="false">IF(TblProd[[#This Row],[Set Guard]]&lt;&gt;"",TblProd[[#This Row],[Set Guard]],OFFSET(TblProd[[#This Row],[Guard]],-1,0))</f>
        <v>0</v>
      </c>
      <c r="BA15" s="145"/>
      <c r="BB15" s="151" t="n">
        <f aca="false">TblProd[[#This Row],[Hour]]</f>
        <v>12</v>
      </c>
      <c r="BC15" s="152" t="n">
        <f aca="false">-TblProd[[#This Row],[Bank Lumber]] / 2 + -TblProd[[#This Row],[Bank Gems]] * 2 + -TblProd[[#This Row],[Bank Ore]] / 2</f>
        <v>0</v>
      </c>
      <c r="BD15" s="152"/>
      <c r="BE15" s="152"/>
      <c r="BF15" s="152"/>
      <c r="BG15" s="153" t="n">
        <f aca="false">TblProd[[#This Row],[Time]]</f>
        <v>45430.2083333333</v>
      </c>
      <c r="BH1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69" t="n">
        <f aca="false">TblProd[[#This Row],[Platinum]]</f>
        <v>46621</v>
      </c>
      <c r="BJ15" s="69" t="n">
        <f aca="false">TblProd[[#This Row],[Food]]</f>
        <v>34598</v>
      </c>
      <c r="BK15" s="69" t="n">
        <f aca="false">TblProd[[#This Row],[Lumber]]</f>
        <v>1987</v>
      </c>
      <c r="BL15" s="69" t="n">
        <f aca="false">TblProd[[#This Row],[Mana]]</f>
        <v>0</v>
      </c>
      <c r="BM15" s="69" t="n">
        <f aca="false">TblProd[[#This Row],[Ore]]</f>
        <v>0</v>
      </c>
    </row>
    <row r="16" customFormat="false" ht="12.75" hidden="false" customHeight="false" outlineLevel="0" collapsed="false">
      <c r="A16" s="128" t="n">
        <v>13</v>
      </c>
      <c r="B16" s="144" t="n">
        <f aca="false">TblImps[[#This Row],[Time]]</f>
        <v>45430.25</v>
      </c>
      <c r="C16" s="145"/>
      <c r="D16" s="146"/>
      <c r="E16" s="69" t="n">
        <f aca="false">TblConstr[[#This Row],[Land]]</f>
        <v>250</v>
      </c>
      <c r="F16" s="69" t="n">
        <f aca="false">TblPop[[#This Row],[Peasants]]</f>
        <v>1697</v>
      </c>
      <c r="G16" s="69" t="e">
        <f aca="false">TblMili[[#This Row],[Networth (2)]]</f>
        <v>#VALUE!</v>
      </c>
      <c r="H16" s="69" t="n">
        <f aca="false">OFFSET(TblProd[[#This Row],[Platinum]],-1,0)+OFFSET(TblProd[[#This Row],[Plat/hr]],-1,0) - TblProd[[#This Row],[Expenses Platinum]] + IF(TblProd[[#This Row],[Plat Bonus]],TblPop[[#This Row],[Peasants]]*4) + SUM(TblConstr[[#This Row],[Dest Hom]:[Dest Doc]])*TblConstr[[#This Row],[CPA Platinum -DB]]*tech_3_3_2*TblTech[[#This Row],[3-3]]</f>
        <v>27645</v>
      </c>
      <c r="I16" s="69" t="n">
        <f aca="false">OFFSET(TblProd[[#This Row],[Food]],-1,0)+OFFSET(TblProd[[#This Row],[Food/hr]],-1,0)+ROUNDUP((TblConstr[[#This Row],[Farms]]*80+TblConstr[[#This Row],[Docks]]*35)*(1+OFFSET(TblProd[[#This Row],[Bonus Food/hr]],-1,0)),0)</f>
        <v>36224</v>
      </c>
      <c r="J16" s="69" t="n">
        <f aca="false">OFFSET(TblProd[[#This Row],[Lumber]],-1,0)+OFFSET(TblProd[[#This Row],[Lumber/hr]],-1,0) - TblProd[[#This Row],[Expenses Lumber]] + SUM(TblConstr[[#This Row],[Dest Hom]:[Dest Doc]])*TblConstr[[#This Row],[CPA Lumber -DB]]*tech_3_3_2*TblTech[[#This Row],[3-3]]</f>
        <v>7</v>
      </c>
      <c r="K16" s="69" t="n">
        <f aca="false">OFFSET(TblProd[[#This Row],[Mana]],-1,0)+OFFSET(TblProd[[#This Row],[Mana/hr]],-1,0)- TblProd[[#This Row],[Expenses Mana]]</f>
        <v>375</v>
      </c>
      <c r="L16" s="69" t="n">
        <f aca="false">OFFSET(TblProd[[#This Row],[Ore]],-1,0)+OFFSET(TblProd[[#This Row],[Ore/hr]],-1,0) -TblProd[[#This Row],[Expenses Ore]]</f>
        <v>0</v>
      </c>
      <c r="M16" s="69" t="n">
        <f aca="false">OFFSET(TblProd[[#This Row],[Gems]],-1,0)+OFFSET(TblProd[[#This Row],[Gems/hr]],-1,0) - TblProd[[#This Row],[Expenses Gems]]</f>
        <v>0</v>
      </c>
      <c r="N16" s="69" t="n">
        <f aca="false">OFFSET(TblProd[[#This Row],[Boats]],-1,0)+OFFSET(TblProd[[#This Row],[Boats/hr]],-1,0)</f>
        <v>0</v>
      </c>
      <c r="O16" s="69" t="n">
        <f aca="false">OFFSET(TblProd[[#This Row],[Prestige]],-1,0)</f>
        <v>250</v>
      </c>
      <c r="P1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69" t="n">
        <f aca="false">MAX(3750,_xlfn.CEILING.MATH(TblProd[[#This Row],[Land]]*2.5+OFFSET(TblTech[[#This Row],[Sum of tech]],-1,0)*150))</f>
        <v>3750</v>
      </c>
      <c r="R16" s="132"/>
      <c r="S16" s="69" t="n">
        <f aca="false">ROUNDDOWN(TblProd[[#This Row],[Raw Plat/hr]]*(1+TblProd[[#This Row],[Bonus Plat/hr]]),0)</f>
        <v>7731</v>
      </c>
      <c r="T16" s="69" t="n">
        <f aca="false">ROUND(TblProd[[#This Row],[Raw Food/hr]]*(1+TblProd[[#This Row],[Bonus Food/hr]])-TblProd[[#This Row],[Food decay]]-TblProd[[#This Row],[Food eaten]],0)</f>
        <v>-466</v>
      </c>
      <c r="U16" s="69" t="n">
        <f aca="false">ROUND(TblProd[[#This Row],[Raw Lumber/hr]]*(1+TblProd[[#This Row],[Bonus Lumber/hr]])-TblProd[[#This Row],[Lumber rot]],0)</f>
        <v>900</v>
      </c>
      <c r="V16" s="69" t="n">
        <f aca="false">ROUND(TblProd[[#This Row],[Raw Mana/hr]]*(1+TblProd[[#This Row],[Bonus Mana/hr]])-TblProd[[#This Row],[Mana drain]],0)</f>
        <v>368</v>
      </c>
      <c r="W16" s="69" t="n">
        <f aca="false">ROUNDDOWN(TblProd[[#This Row],[Raw Ore/hr]]*(1+TblProd[[#This Row],[Bonux Ore/hr]]),0)</f>
        <v>0</v>
      </c>
      <c r="X16" s="69" t="n">
        <f aca="false">ROUNDDOWN(TblProd[[#This Row],[Raw Gems/hr]]*(1+TblProd[[#This Row],[Bonus Gems/hr]]),0)</f>
        <v>0</v>
      </c>
      <c r="Y16" s="148" t="n">
        <f aca="false">OFFSET(TblConstr[[#This Row],[Tot Doc]],1,0)*dock_boats_hr * (1 + tech_4_1*TblTech[[#This Row],[4-1]])</f>
        <v>0</v>
      </c>
      <c r="Z16" s="146"/>
      <c r="AA16" s="69" t="n">
        <f aca="false">TblPop[[#This Row],[Peasants]]*tax*TblPop[[#This Row],[Employment]] + (Construction!AZ17+Construction!BX17)*(alch_plat+(Magic!AM16&gt;0)*alchemist_flame_bonus)</f>
        <v>7731.9</v>
      </c>
      <c r="AB16" s="69" t="n">
        <f aca="false">TblConstr[[#This Row],[Tot Farm]]*farm_food + TblConstr[[#This Row],[Tot Doc]]*dock_food</f>
        <v>400</v>
      </c>
      <c r="AC16" s="69" t="n">
        <f aca="false">TblConstr[[#This Row],[Tot Ly]]*ly_lumber + TblConstr[[#This Row],[Tot Hav]]*fh_lumber</f>
        <v>1000</v>
      </c>
      <c r="AD16" s="69" t="n">
        <f aca="false">OFFSET(TblConstr[[#This Row],[Tot Tow]],1,0)*(tower_mana + tech_4_5*TblTech[[#This Row],[4-5]]) + OFFSET(TblConstr[[#This Row],[Tot WG]],1,0)*wg_mana_prod</f>
        <v>375</v>
      </c>
      <c r="AE16" s="69" t="n">
        <f aca="false">OFFSET(TblConstr[[#This Row],[Tot OM]],1,0)*om_ore+IF(race="Dwarf",ROUNDDOWN(TblMili[[#This Row],[Unit 2]]*0.4,0),)</f>
        <v>0</v>
      </c>
      <c r="AF16" s="69" t="n">
        <f aca="false">OFFSET(TblConstr[[#This Row],[Tot DM]],1,0)*dm_gems</f>
        <v>0</v>
      </c>
      <c r="AG16" s="132"/>
      <c r="AH16" s="149" t="n">
        <f aca="false">MIN(race_platinum_bonus + IF(TblMagic[[#This Row],[Active Alch Frost]]&gt;0,alch_frost_bonus,IF(Magic!AD16&gt;0,midas_bonus)) + TblImps[[#This Row],[Science]] - TblProd[[#This Row],[Guard]]*(0.02 + tech_5_7*TblTech[[#This Row],[5-7]]) + tech_1_5*TblTech[[#This Row],[1-5]] + tech_4_4*TblTech[[#This Row],[4-4]], 0.5)</f>
        <v>0</v>
      </c>
      <c r="AI1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6" s="149" t="n">
        <f aca="false">race_lumber_bonus+ IF(TblMagic[[#This Row],[Active Gaia''s Blessing]]&gt;0,gaias_blessing_lumber)+ tech_1_3*TblTech[[#This Row],[1-3]] + tech_1_6*TblTech[[#This Row],[1-6]] + tech_3_3*TblTech[[#This Row],[3-3]]</f>
        <v>-0.1</v>
      </c>
      <c r="AK16" s="149" t="n">
        <f aca="false">race_mana_bonus+ 0 + TblImps[[#This Row],[Towers]] + tech_1_2*TblTech[[#This Row],[1-2]] + tech_3_4*TblTech[[#This Row],[3-4]]</f>
        <v>0</v>
      </c>
      <c r="AL16" s="149" t="n">
        <f aca="false">race_ore_bonus + IF(TblMagic[[#This Row],[Active Miner''s Sight]]&gt;0,miners_sight_bonus,IF(TblMagic[[#This Row],[Active Mining Strength]]&gt;0,mining_strength_bonus)) +  tech_1_6*TblTech[[#This Row],[1-6]]</f>
        <v>0</v>
      </c>
      <c r="AM16" s="149" t="n">
        <f aca="false">race_gem_bonus+ tech_3_2*TblTech[[#This Row],[3-2]] + tech_4_3*TblTech[[#This Row],[4-3]] + tech_6_2*TblTech[[#This Row],[6-2]]</f>
        <v>0.15</v>
      </c>
      <c r="AN16" s="132"/>
      <c r="AO16" s="69" t="n">
        <f aca="false">TblProd[[#This Row],[Food]]*food_decay * (1 + tech_2_1*TblTech[[#This Row],[2-1]] + tech_2_8*TblTech[[#This Row],[2-8]])</f>
        <v>362.24</v>
      </c>
      <c r="AP16" s="69" t="n">
        <f aca="false">(1+race_food_consumption)*TblPop[[#This Row],[Total]]*food_per_person*(1+tech_1_10*TblTech[[#This Row],[1-10]]+tech_7_5*TblTech[[#This Row],[7-5]])</f>
        <v>513.75</v>
      </c>
      <c r="AQ16" s="69" t="n">
        <f aca="false">TblProd[[#This Row],[Lumber]]*lumber_rot * (1 + tech_2_1*TblTech[[#This Row],[2-1]] + tech_2_8*TblTech[[#This Row],[2-8]] + tech_5_2*TblTech[[#This Row],[5-2]])</f>
        <v>0.07</v>
      </c>
      <c r="AR16" s="69" t="n">
        <f aca="false">TblProd[[#This Row],[Mana]]*mana_drain * (1 + tech_2_1*TblTech[[#This Row],[2-1]] + tech_2_8*TblTech[[#This Row],[2-8]])</f>
        <v>7.5</v>
      </c>
      <c r="AS16" s="146"/>
      <c r="AT16" s="69" t="n">
        <f aca="false">TblExplore[[#This Row],[Platinum (2)]]+TblConstr[[#This Row],[Total Plat Cost]]+TblMili[[#This Row],[Plat Cost]]+TblRezone[[#This Row],[Platinum cost]]+TblImps[[#This Row],[P1]]-TblProd[[#This Row],[Bank Plat]]</f>
        <v>26475</v>
      </c>
      <c r="AU16" s="69" t="n">
        <f aca="false">TblConstr[[#This Row],[Total Lum Cost]]+TblImps[[#This Row],[L1]]-TblProd[[#This Row],[Bank Lumber]] + Military!$CL$25*TblMili[[#This Row],[Sec. rec. Cost]]</f>
        <v>2860</v>
      </c>
      <c r="AV16" s="69" t="n">
        <f aca="false">TblMagic[[#This Row],[Mana cost]] + Military!$CL$26*TblMili[[#This Row],[Sec. rec. Cost]]</f>
        <v>0</v>
      </c>
      <c r="AW16" s="69" t="n">
        <f aca="false">Military!$CL$24*TblMili[[#This Row],[Sec. rec. Cost]]+TblImps[[#This Row],[O1]]-TblProd[[#This Row],[Bank Ore]]</f>
        <v>0</v>
      </c>
      <c r="AX16" s="69" t="n">
        <f aca="false">TblImps[[#This Row],[G1]]-TblProd[[#This Row],[Bank Gems]]</f>
        <v>0</v>
      </c>
      <c r="AY16" s="132"/>
      <c r="AZ16" s="33" t="n">
        <f aca="false">IF(TblProd[[#This Row],[Set Guard]]&lt;&gt;"",TblProd[[#This Row],[Set Guard]],OFFSET(TblProd[[#This Row],[Guard]],-1,0))</f>
        <v>0</v>
      </c>
      <c r="BA16" s="145"/>
      <c r="BB16" s="151" t="n">
        <f aca="false">TblProd[[#This Row],[Hour]]</f>
        <v>13</v>
      </c>
      <c r="BC16" s="152" t="n">
        <f aca="false">-TblProd[[#This Row],[Bank Lumber]] / 2 + -TblProd[[#This Row],[Bank Gems]] * 2 + -TblProd[[#This Row],[Bank Ore]] / 2</f>
        <v>0</v>
      </c>
      <c r="BD16" s="152"/>
      <c r="BE16" s="152"/>
      <c r="BF16" s="152"/>
      <c r="BG16" s="153" t="n">
        <f aca="false">TblProd[[#This Row],[Time]]</f>
        <v>45430.25</v>
      </c>
      <c r="BH1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69" t="n">
        <f aca="false">TblProd[[#This Row],[Platinum]]</f>
        <v>27645</v>
      </c>
      <c r="BJ16" s="69" t="n">
        <f aca="false">TblProd[[#This Row],[Food]]</f>
        <v>36224</v>
      </c>
      <c r="BK16" s="69" t="n">
        <f aca="false">TblProd[[#This Row],[Lumber]]</f>
        <v>7</v>
      </c>
      <c r="BL16" s="69" t="n">
        <f aca="false">TblProd[[#This Row],[Mana]]</f>
        <v>375</v>
      </c>
      <c r="BM16" s="69" t="n">
        <f aca="false">TblProd[[#This Row],[Ore]]</f>
        <v>0</v>
      </c>
    </row>
    <row r="17" customFormat="false" ht="12.75" hidden="false" customHeight="false" outlineLevel="0" collapsed="false">
      <c r="A17" s="128" t="n">
        <v>14</v>
      </c>
      <c r="B17" s="144" t="n">
        <f aca="false">TblImps[[#This Row],[Time]]</f>
        <v>45430.2916666667</v>
      </c>
      <c r="C17" s="145"/>
      <c r="D17" s="146"/>
      <c r="E17" s="69" t="n">
        <f aca="false">TblConstr[[#This Row],[Land]]</f>
        <v>250</v>
      </c>
      <c r="F17" s="69" t="n">
        <f aca="false">TblPop[[#This Row],[Peasants]]</f>
        <v>1787</v>
      </c>
      <c r="G17" s="69" t="e">
        <f aca="false">TblMili[[#This Row],[Networth (2)]]</f>
        <v>#VALUE!</v>
      </c>
      <c r="H17" s="69" t="n">
        <f aca="false">OFFSET(TblProd[[#This Row],[Platinum]],-1,0)+OFFSET(TblProd[[#This Row],[Plat/hr]],-1,0) - TblProd[[#This Row],[Expenses Platinum]] + IF(TblProd[[#This Row],[Plat Bonus]],TblPop[[#This Row],[Peasants]]*4) + SUM(TblConstr[[#This Row],[Dest Hom]:[Dest Doc]])*TblConstr[[#This Row],[CPA Platinum -DB]]*tech_3_3_2*TblTech[[#This Row],[3-3]]</f>
        <v>35376</v>
      </c>
      <c r="I17" s="69" t="n">
        <f aca="false">OFFSET(TblProd[[#This Row],[Food]],-1,0)+OFFSET(TblProd[[#This Row],[Food/hr]],-1,0)+ROUNDUP((TblConstr[[#This Row],[Farms]]*80+TblConstr[[#This Row],[Docks]]*35)*(1+OFFSET(TblProd[[#This Row],[Bonus Food/hr]],-1,0)),0)</f>
        <v>35758</v>
      </c>
      <c r="J17" s="69" t="n">
        <f aca="false">OFFSET(TblProd[[#This Row],[Lumber]],-1,0)+OFFSET(TblProd[[#This Row],[Lumber/hr]],-1,0) - TblProd[[#This Row],[Expenses Lumber]] + SUM(TblConstr[[#This Row],[Dest Hom]:[Dest Doc]])*TblConstr[[#This Row],[CPA Lumber -DB]]*tech_3_3_2*TblTech[[#This Row],[3-3]]</f>
        <v>907</v>
      </c>
      <c r="K17" s="69" t="n">
        <f aca="false">OFFSET(TblProd[[#This Row],[Mana]],-1,0)+OFFSET(TblProd[[#This Row],[Mana/hr]],-1,0)- TblProd[[#This Row],[Expenses Mana]]</f>
        <v>118</v>
      </c>
      <c r="L17" s="69" t="n">
        <f aca="false">OFFSET(TblProd[[#This Row],[Ore]],-1,0)+OFFSET(TblProd[[#This Row],[Ore/hr]],-1,0) -TblProd[[#This Row],[Expenses Ore]]</f>
        <v>0</v>
      </c>
      <c r="M17" s="69" t="n">
        <f aca="false">OFFSET(TblProd[[#This Row],[Gems]],-1,0)+OFFSET(TblProd[[#This Row],[Gems/hr]],-1,0) - TblProd[[#This Row],[Expenses Gems]]</f>
        <v>0</v>
      </c>
      <c r="N17" s="69" t="n">
        <f aca="false">OFFSET(TblProd[[#This Row],[Boats]],-1,0)+OFFSET(TblProd[[#This Row],[Boats/hr]],-1,0)</f>
        <v>0</v>
      </c>
      <c r="O17" s="69" t="n">
        <f aca="false">OFFSET(TblProd[[#This Row],[Prestige]],-1,0)</f>
        <v>250</v>
      </c>
      <c r="P1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69" t="n">
        <f aca="false">MAX(3750,_xlfn.CEILING.MATH(TblProd[[#This Row],[Land]]*2.5+OFFSET(TblTech[[#This Row],[Sum of tech]],-1,0)*150))</f>
        <v>3750</v>
      </c>
      <c r="R17" s="132"/>
      <c r="S17" s="69" t="n">
        <f aca="false">ROUNDDOWN(TblProd[[#This Row],[Raw Plat/hr]]*(1+TblProd[[#This Row],[Bonus Plat/hr]]),0)</f>
        <v>7974</v>
      </c>
      <c r="T17" s="69" t="n">
        <f aca="false">ROUND(TblProd[[#This Row],[Raw Food/hr]]*(1+TblProd[[#This Row],[Bonus Food/hr]])-TblProd[[#This Row],[Food decay]]-TblProd[[#This Row],[Food eaten]],0)</f>
        <v>-488</v>
      </c>
      <c r="U17" s="69" t="n">
        <f aca="false">ROUND(TblProd[[#This Row],[Raw Lumber/hr]]*(1+TblProd[[#This Row],[Bonus Lumber/hr]])-TblProd[[#This Row],[Lumber rot]],0)</f>
        <v>891</v>
      </c>
      <c r="V17" s="69" t="n">
        <f aca="false">ROUND(TblProd[[#This Row],[Raw Mana/hr]]*(1+TblProd[[#This Row],[Bonus Mana/hr]])-TblProd[[#This Row],[Mana drain]],0)</f>
        <v>373</v>
      </c>
      <c r="W17" s="69" t="n">
        <f aca="false">ROUNDDOWN(TblProd[[#This Row],[Raw Ore/hr]]*(1+TblProd[[#This Row],[Bonux Ore/hr]]),0)</f>
        <v>0</v>
      </c>
      <c r="X17" s="69" t="n">
        <f aca="false">ROUNDDOWN(TblProd[[#This Row],[Raw Gems/hr]]*(1+TblProd[[#This Row],[Bonus Gems/hr]]),0)</f>
        <v>0</v>
      </c>
      <c r="Y17" s="148" t="n">
        <f aca="false">OFFSET(TblConstr[[#This Row],[Tot Doc]],1,0)*dock_boats_hr * (1 + tech_4_1*TblTech[[#This Row],[4-1]])</f>
        <v>0</v>
      </c>
      <c r="Z17" s="146"/>
      <c r="AA17" s="69" t="n">
        <f aca="false">TblPop[[#This Row],[Peasants]]*tax*TblPop[[#This Row],[Employment]] + (Construction!AZ18+Construction!BX18)*(alch_plat+(Magic!AM17&gt;0)*alchemist_flame_bonus)</f>
        <v>7974.9</v>
      </c>
      <c r="AB17" s="69" t="n">
        <f aca="false">TblConstr[[#This Row],[Tot Farm]]*farm_food + TblConstr[[#This Row],[Tot Doc]]*dock_food</f>
        <v>400</v>
      </c>
      <c r="AC17" s="69" t="n">
        <f aca="false">TblConstr[[#This Row],[Tot Ly]]*ly_lumber + TblConstr[[#This Row],[Tot Hav]]*fh_lumber</f>
        <v>1000</v>
      </c>
      <c r="AD17" s="69" t="n">
        <f aca="false">OFFSET(TblConstr[[#This Row],[Tot Tow]],1,0)*(tower_mana + tech_4_5*TblTech[[#This Row],[4-5]]) + OFFSET(TblConstr[[#This Row],[Tot WG]],1,0)*wg_mana_prod</f>
        <v>375</v>
      </c>
      <c r="AE17" s="69" t="n">
        <f aca="false">OFFSET(TblConstr[[#This Row],[Tot OM]],1,0)*om_ore+IF(race="Dwarf",ROUNDDOWN(TblMili[[#This Row],[Unit 2]]*0.4,0),)</f>
        <v>0</v>
      </c>
      <c r="AF17" s="69" t="n">
        <f aca="false">OFFSET(TblConstr[[#This Row],[Tot DM]],1,0)*dm_gems</f>
        <v>0</v>
      </c>
      <c r="AG17" s="132"/>
      <c r="AH17" s="149" t="n">
        <f aca="false">MIN(race_platinum_bonus + IF(TblMagic[[#This Row],[Active Alch Frost]]&gt;0,alch_frost_bonus,IF(Magic!AD17&gt;0,midas_bonus)) + TblImps[[#This Row],[Science]] - TblProd[[#This Row],[Guard]]*(0.02 + tech_5_7*TblTech[[#This Row],[5-7]]) + tech_1_5*TblTech[[#This Row],[1-5]] + tech_4_4*TblTech[[#This Row],[4-4]], 0.5)</f>
        <v>0</v>
      </c>
      <c r="AI1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7" s="149" t="n">
        <f aca="false">race_lumber_bonus+ IF(TblMagic[[#This Row],[Active Gaia''s Blessing]]&gt;0,gaias_blessing_lumber)+ tech_1_3*TblTech[[#This Row],[1-3]] + tech_1_6*TblTech[[#This Row],[1-6]] + tech_3_3*TblTech[[#This Row],[3-3]]</f>
        <v>-0.1</v>
      </c>
      <c r="AK17" s="149" t="n">
        <f aca="false">race_mana_bonus+ 0 + TblImps[[#This Row],[Towers]] + tech_1_2*TblTech[[#This Row],[1-2]] + tech_3_4*TblTech[[#This Row],[3-4]]</f>
        <v>0</v>
      </c>
      <c r="AL17" s="149" t="n">
        <f aca="false">race_ore_bonus + IF(TblMagic[[#This Row],[Active Miner''s Sight]]&gt;0,miners_sight_bonus,IF(TblMagic[[#This Row],[Active Mining Strength]]&gt;0,mining_strength_bonus)) +  tech_1_6*TblTech[[#This Row],[1-6]]</f>
        <v>0</v>
      </c>
      <c r="AM17" s="149" t="n">
        <f aca="false">race_gem_bonus+ tech_3_2*TblTech[[#This Row],[3-2]] + tech_4_3*TblTech[[#This Row],[4-3]] + tech_6_2*TblTech[[#This Row],[6-2]]</f>
        <v>0.15</v>
      </c>
      <c r="AN17" s="132"/>
      <c r="AO17" s="69" t="n">
        <f aca="false">TblProd[[#This Row],[Food]]*food_decay * (1 + tech_2_1*TblTech[[#This Row],[2-1]] + tech_2_8*TblTech[[#This Row],[2-8]])</f>
        <v>357.58</v>
      </c>
      <c r="AP17" s="69" t="n">
        <f aca="false">(1+race_food_consumption)*TblPop[[#This Row],[Total]]*food_per_person*(1+tech_1_10*TblTech[[#This Row],[1-10]]+tech_7_5*TblTech[[#This Row],[7-5]])</f>
        <v>540.5</v>
      </c>
      <c r="AQ17" s="69" t="n">
        <f aca="false">TblProd[[#This Row],[Lumber]]*lumber_rot * (1 + tech_2_1*TblTech[[#This Row],[2-1]] + tech_2_8*TblTech[[#This Row],[2-8]] + tech_5_2*TblTech[[#This Row],[5-2]])</f>
        <v>9.07</v>
      </c>
      <c r="AR17" s="69" t="n">
        <f aca="false">TblProd[[#This Row],[Mana]]*mana_drain * (1 + tech_2_1*TblTech[[#This Row],[2-1]] + tech_2_8*TblTech[[#This Row],[2-8]])</f>
        <v>2.36</v>
      </c>
      <c r="AS17" s="146"/>
      <c r="AT17" s="69" t="n">
        <f aca="false">TblExplore[[#This Row],[Platinum (2)]]+TblConstr[[#This Row],[Total Plat Cost]]+TblMili[[#This Row],[Plat Cost]]+TblRezone[[#This Row],[Platinum cost]]+TblImps[[#This Row],[P1]]-TblProd[[#This Row],[Bank Plat]]</f>
        <v>0</v>
      </c>
      <c r="AU17" s="69" t="n">
        <f aca="false">TblConstr[[#This Row],[Total Lum Cost]]+TblImps[[#This Row],[L1]]-TblProd[[#This Row],[Bank Lumber]] + Military!$CL$25*TblMili[[#This Row],[Sec. rec. Cost]]</f>
        <v>0</v>
      </c>
      <c r="AV17" s="69" t="n">
        <f aca="false">TblMagic[[#This Row],[Mana cost]] + Military!$CL$26*TblMili[[#This Row],[Sec. rec. Cost]]</f>
        <v>625</v>
      </c>
      <c r="AW17" s="69" t="n">
        <f aca="false">Military!$CL$24*TblMili[[#This Row],[Sec. rec. Cost]]+TblImps[[#This Row],[O1]]-TblProd[[#This Row],[Bank Ore]]</f>
        <v>0</v>
      </c>
      <c r="AX17" s="69" t="n">
        <f aca="false">TblImps[[#This Row],[G1]]-TblProd[[#This Row],[Bank Gems]]</f>
        <v>0</v>
      </c>
      <c r="AY17" s="132"/>
      <c r="AZ17" s="33" t="n">
        <f aca="false">IF(TblProd[[#This Row],[Set Guard]]&lt;&gt;"",TblProd[[#This Row],[Set Guard]],OFFSET(TblProd[[#This Row],[Guard]],-1,0))</f>
        <v>0</v>
      </c>
      <c r="BA17" s="145"/>
      <c r="BB17" s="151" t="n">
        <f aca="false">TblProd[[#This Row],[Hour]]</f>
        <v>14</v>
      </c>
      <c r="BC17" s="152" t="n">
        <f aca="false">-TblProd[[#This Row],[Bank Lumber]] / 2 + -TblProd[[#This Row],[Bank Gems]] * 2 + -TblProd[[#This Row],[Bank Ore]] / 2</f>
        <v>0</v>
      </c>
      <c r="BD17" s="152"/>
      <c r="BE17" s="152"/>
      <c r="BF17" s="152"/>
      <c r="BG17" s="153" t="n">
        <f aca="false">TblProd[[#This Row],[Time]]</f>
        <v>45430.2916666667</v>
      </c>
      <c r="BH1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69" t="n">
        <f aca="false">TblProd[[#This Row],[Platinum]]</f>
        <v>35376</v>
      </c>
      <c r="BJ17" s="69" t="n">
        <f aca="false">TblProd[[#This Row],[Food]]</f>
        <v>35758</v>
      </c>
      <c r="BK17" s="69" t="n">
        <f aca="false">TblProd[[#This Row],[Lumber]]</f>
        <v>907</v>
      </c>
      <c r="BL17" s="69" t="n">
        <f aca="false">TblProd[[#This Row],[Mana]]</f>
        <v>118</v>
      </c>
      <c r="BM17" s="69" t="n">
        <f aca="false">TblProd[[#This Row],[Ore]]</f>
        <v>0</v>
      </c>
    </row>
    <row r="18" customFormat="false" ht="12.75" hidden="false" customHeight="false" outlineLevel="0" collapsed="false">
      <c r="A18" s="128" t="n">
        <v>15</v>
      </c>
      <c r="B18" s="144" t="n">
        <f aca="false">TblImps[[#This Row],[Time]]</f>
        <v>45430.3333333333</v>
      </c>
      <c r="C18" s="145"/>
      <c r="D18" s="146"/>
      <c r="E18" s="69" t="n">
        <f aca="false">TblConstr[[#This Row],[Land]]</f>
        <v>250</v>
      </c>
      <c r="F18" s="69" t="n">
        <f aca="false">TblPop[[#This Row],[Peasants]]</f>
        <v>1908</v>
      </c>
      <c r="G18" s="69" t="e">
        <f aca="false">TblMili[[#This Row],[Networth (2)]]</f>
        <v>#VALUE!</v>
      </c>
      <c r="H18" s="69" t="n">
        <f aca="false">OFFSET(TblProd[[#This Row],[Platinum]],-1,0)+OFFSET(TblProd[[#This Row],[Plat/hr]],-1,0) - TblProd[[#This Row],[Expenses Platinum]] + IF(TblProd[[#This Row],[Plat Bonus]],TblPop[[#This Row],[Peasants]]*4) + SUM(TblConstr[[#This Row],[Dest Hom]:[Dest Doc]])*TblConstr[[#This Row],[CPA Platinum -DB]]*tech_3_3_2*TblTech[[#This Row],[3-3]]</f>
        <v>43350</v>
      </c>
      <c r="I18" s="69" t="n">
        <f aca="false">OFFSET(TblProd[[#This Row],[Food]],-1,0)+OFFSET(TblProd[[#This Row],[Food/hr]],-1,0)+ROUNDUP((TblConstr[[#This Row],[Farms]]*80+TblConstr[[#This Row],[Docks]]*35)*(1+OFFSET(TblProd[[#This Row],[Bonus Food/hr]],-1,0)),0)</f>
        <v>35270</v>
      </c>
      <c r="J18" s="69" t="n">
        <f aca="false">OFFSET(TblProd[[#This Row],[Lumber]],-1,0)+OFFSET(TblProd[[#This Row],[Lumber/hr]],-1,0) - TblProd[[#This Row],[Expenses Lumber]] + SUM(TblConstr[[#This Row],[Dest Hom]:[Dest Doc]])*TblConstr[[#This Row],[CPA Lumber -DB]]*tech_3_3_2*TblTech[[#This Row],[3-3]]</f>
        <v>1798</v>
      </c>
      <c r="K18" s="69" t="n">
        <f aca="false">OFFSET(TblProd[[#This Row],[Mana]],-1,0)+OFFSET(TblProd[[#This Row],[Mana/hr]],-1,0)- TblProd[[#This Row],[Expenses Mana]]</f>
        <v>491</v>
      </c>
      <c r="L18" s="69" t="n">
        <f aca="false">OFFSET(TblProd[[#This Row],[Ore]],-1,0)+OFFSET(TblProd[[#This Row],[Ore/hr]],-1,0) -TblProd[[#This Row],[Expenses Ore]]</f>
        <v>0</v>
      </c>
      <c r="M18" s="69" t="n">
        <f aca="false">OFFSET(TblProd[[#This Row],[Gems]],-1,0)+OFFSET(TblProd[[#This Row],[Gems/hr]],-1,0) - TblProd[[#This Row],[Expenses Gems]]</f>
        <v>0</v>
      </c>
      <c r="N18" s="69" t="n">
        <f aca="false">OFFSET(TblProd[[#This Row],[Boats]],-1,0)+OFFSET(TblProd[[#This Row],[Boats/hr]],-1,0)</f>
        <v>0</v>
      </c>
      <c r="O18" s="69" t="n">
        <f aca="false">OFFSET(TblProd[[#This Row],[Prestige]],-1,0)</f>
        <v>250</v>
      </c>
      <c r="P1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69" t="n">
        <f aca="false">MAX(3750,_xlfn.CEILING.MATH(TblProd[[#This Row],[Land]]*2.5+OFFSET(TblTech[[#This Row],[Sum of tech]],-1,0)*150))</f>
        <v>3750</v>
      </c>
      <c r="R18" s="132"/>
      <c r="S18" s="69" t="n">
        <f aca="false">ROUNDDOWN(TblProd[[#This Row],[Raw Plat/hr]]*(1+TblProd[[#This Row],[Bonus Plat/hr]]),0)</f>
        <v>8301</v>
      </c>
      <c r="T18" s="69" t="n">
        <f aca="false">ROUND(TblProd[[#This Row],[Raw Food/hr]]*(1+TblProd[[#This Row],[Bonus Food/hr]])-TblProd[[#This Row],[Food decay]]-TblProd[[#This Row],[Food eaten]],0)</f>
        <v>-518</v>
      </c>
      <c r="U18" s="69" t="n">
        <f aca="false">ROUND(TblProd[[#This Row],[Raw Lumber/hr]]*(1+TblProd[[#This Row],[Bonus Lumber/hr]])-TblProd[[#This Row],[Lumber rot]],0)</f>
        <v>882</v>
      </c>
      <c r="V18" s="69" t="n">
        <f aca="false">ROUND(TblProd[[#This Row],[Raw Mana/hr]]*(1+TblProd[[#This Row],[Bonus Mana/hr]])-TblProd[[#This Row],[Mana drain]],0)</f>
        <v>365</v>
      </c>
      <c r="W18" s="69" t="n">
        <f aca="false">ROUNDDOWN(TblProd[[#This Row],[Raw Ore/hr]]*(1+TblProd[[#This Row],[Bonux Ore/hr]]),0)</f>
        <v>0</v>
      </c>
      <c r="X18" s="69" t="n">
        <f aca="false">ROUNDDOWN(TblProd[[#This Row],[Raw Gems/hr]]*(1+TblProd[[#This Row],[Bonus Gems/hr]]),0)</f>
        <v>0</v>
      </c>
      <c r="Y18" s="148" t="n">
        <f aca="false">OFFSET(TblConstr[[#This Row],[Tot Doc]],1,0)*dock_boats_hr * (1 + tech_4_1*TblTech[[#This Row],[4-1]])</f>
        <v>0</v>
      </c>
      <c r="Z18" s="146"/>
      <c r="AA18" s="69" t="n">
        <f aca="false">TblPop[[#This Row],[Peasants]]*tax*TblPop[[#This Row],[Employment]] + (Construction!AZ19+Construction!BX19)*(alch_plat+(Magic!AM18&gt;0)*alchemist_flame_bonus)</f>
        <v>8301.6</v>
      </c>
      <c r="AB18" s="69" t="n">
        <f aca="false">TblConstr[[#This Row],[Tot Farm]]*farm_food + TblConstr[[#This Row],[Tot Doc]]*dock_food</f>
        <v>400</v>
      </c>
      <c r="AC18" s="69" t="n">
        <f aca="false">TblConstr[[#This Row],[Tot Ly]]*ly_lumber + TblConstr[[#This Row],[Tot Hav]]*fh_lumber</f>
        <v>1000</v>
      </c>
      <c r="AD18" s="69" t="n">
        <f aca="false">OFFSET(TblConstr[[#This Row],[Tot Tow]],1,0)*(tower_mana + tech_4_5*TblTech[[#This Row],[4-5]]) + OFFSET(TblConstr[[#This Row],[Tot WG]],1,0)*wg_mana_prod</f>
        <v>375</v>
      </c>
      <c r="AE18" s="69" t="n">
        <f aca="false">OFFSET(TblConstr[[#This Row],[Tot OM]],1,0)*om_ore+IF(race="Dwarf",ROUNDDOWN(TblMili[[#This Row],[Unit 2]]*0.4,0),)</f>
        <v>0</v>
      </c>
      <c r="AF18" s="69" t="n">
        <f aca="false">OFFSET(TblConstr[[#This Row],[Tot DM]],1,0)*dm_gems</f>
        <v>0</v>
      </c>
      <c r="AG18" s="132"/>
      <c r="AH18" s="149" t="n">
        <f aca="false">MIN(race_platinum_bonus + IF(TblMagic[[#This Row],[Active Alch Frost]]&gt;0,alch_frost_bonus,IF(Magic!AD18&gt;0,midas_bonus)) + TblImps[[#This Row],[Science]] - TblProd[[#This Row],[Guard]]*(0.02 + tech_5_7*TblTech[[#This Row],[5-7]]) + tech_1_5*TblTech[[#This Row],[1-5]] + tech_4_4*TblTech[[#This Row],[4-4]], 0.5)</f>
        <v>0</v>
      </c>
      <c r="AI1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8" s="149" t="n">
        <f aca="false">race_lumber_bonus+ IF(TblMagic[[#This Row],[Active Gaia''s Blessing]]&gt;0,gaias_blessing_lumber)+ tech_1_3*TblTech[[#This Row],[1-3]] + tech_1_6*TblTech[[#This Row],[1-6]] + tech_3_3*TblTech[[#This Row],[3-3]]</f>
        <v>-0.1</v>
      </c>
      <c r="AK18" s="149" t="n">
        <f aca="false">race_mana_bonus+ 0 + TblImps[[#This Row],[Towers]] + tech_1_2*TblTech[[#This Row],[1-2]] + tech_3_4*TblTech[[#This Row],[3-4]]</f>
        <v>0</v>
      </c>
      <c r="AL18" s="149" t="n">
        <f aca="false">race_ore_bonus + IF(TblMagic[[#This Row],[Active Miner''s Sight]]&gt;0,miners_sight_bonus,IF(TblMagic[[#This Row],[Active Mining Strength]]&gt;0,mining_strength_bonus)) +  tech_1_6*TblTech[[#This Row],[1-6]]</f>
        <v>0</v>
      </c>
      <c r="AM18" s="149" t="n">
        <f aca="false">race_gem_bonus+ tech_3_2*TblTech[[#This Row],[3-2]] + tech_4_3*TblTech[[#This Row],[4-3]] + tech_6_2*TblTech[[#This Row],[6-2]]</f>
        <v>0.15</v>
      </c>
      <c r="AN18" s="132"/>
      <c r="AO18" s="69" t="n">
        <f aca="false">TblProd[[#This Row],[Food]]*food_decay * (1 + tech_2_1*TblTech[[#This Row],[2-1]] + tech_2_8*TblTech[[#This Row],[2-8]])</f>
        <v>352.7</v>
      </c>
      <c r="AP18" s="69" t="n">
        <f aca="false">(1+race_food_consumption)*TblPop[[#This Row],[Total]]*food_per_person*(1+tech_1_10*TblTech[[#This Row],[1-10]]+tech_7_5*TblTech[[#This Row],[7-5]])</f>
        <v>575.25</v>
      </c>
      <c r="AQ18" s="69" t="n">
        <f aca="false">TblProd[[#This Row],[Lumber]]*lumber_rot * (1 + tech_2_1*TblTech[[#This Row],[2-1]] + tech_2_8*TblTech[[#This Row],[2-8]] + tech_5_2*TblTech[[#This Row],[5-2]])</f>
        <v>17.98</v>
      </c>
      <c r="AR18" s="69" t="n">
        <f aca="false">TblProd[[#This Row],[Mana]]*mana_drain * (1 + tech_2_1*TblTech[[#This Row],[2-1]] + tech_2_8*TblTech[[#This Row],[2-8]])</f>
        <v>9.82</v>
      </c>
      <c r="AS18" s="146"/>
      <c r="AT18" s="69" t="n">
        <f aca="false">TblExplore[[#This Row],[Platinum (2)]]+TblConstr[[#This Row],[Total Plat Cost]]+TblMili[[#This Row],[Plat Cost]]+TblRezone[[#This Row],[Platinum cost]]+TblImps[[#This Row],[P1]]-TblProd[[#This Row],[Bank Plat]]</f>
        <v>0</v>
      </c>
      <c r="AU18" s="69" t="n">
        <f aca="false">TblConstr[[#This Row],[Total Lum Cost]]+TblImps[[#This Row],[L1]]-TblProd[[#This Row],[Bank Lumber]] + Military!$CL$25*TblMili[[#This Row],[Sec. rec. Cost]]</f>
        <v>0</v>
      </c>
      <c r="AV18" s="69" t="n">
        <f aca="false">TblMagic[[#This Row],[Mana cost]] + Military!$CL$26*TblMili[[#This Row],[Sec. rec. Cost]]</f>
        <v>0</v>
      </c>
      <c r="AW18" s="69" t="n">
        <f aca="false">Military!$CL$24*TblMili[[#This Row],[Sec. rec. Cost]]+TblImps[[#This Row],[O1]]-TblProd[[#This Row],[Bank Ore]]</f>
        <v>0</v>
      </c>
      <c r="AX18" s="69" t="n">
        <f aca="false">TblImps[[#This Row],[G1]]-TblProd[[#This Row],[Bank Gems]]</f>
        <v>0</v>
      </c>
      <c r="AY18" s="132"/>
      <c r="AZ18" s="33" t="n">
        <f aca="false">IF(TblProd[[#This Row],[Set Guard]]&lt;&gt;"",TblProd[[#This Row],[Set Guard]],OFFSET(TblProd[[#This Row],[Guard]],-1,0))</f>
        <v>0</v>
      </c>
      <c r="BA18" s="145"/>
      <c r="BB18" s="151" t="n">
        <f aca="false">TblProd[[#This Row],[Hour]]</f>
        <v>15</v>
      </c>
      <c r="BC18" s="152" t="n">
        <f aca="false">-TblProd[[#This Row],[Bank Lumber]] / 2 + -TblProd[[#This Row],[Bank Gems]] * 2 + -TblProd[[#This Row],[Bank Ore]] / 2</f>
        <v>0</v>
      </c>
      <c r="BD18" s="152"/>
      <c r="BE18" s="152"/>
      <c r="BF18" s="152"/>
      <c r="BG18" s="153" t="n">
        <f aca="false">TblProd[[#This Row],[Time]]</f>
        <v>45430.3333333333</v>
      </c>
      <c r="BH1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69" t="n">
        <f aca="false">TblProd[[#This Row],[Platinum]]</f>
        <v>43350</v>
      </c>
      <c r="BJ18" s="69" t="n">
        <f aca="false">TblProd[[#This Row],[Food]]</f>
        <v>35270</v>
      </c>
      <c r="BK18" s="69" t="n">
        <f aca="false">TblProd[[#This Row],[Lumber]]</f>
        <v>1798</v>
      </c>
      <c r="BL18" s="69" t="n">
        <f aca="false">TblProd[[#This Row],[Mana]]</f>
        <v>491</v>
      </c>
      <c r="BM18" s="69" t="n">
        <f aca="false">TblProd[[#This Row],[Ore]]</f>
        <v>0</v>
      </c>
    </row>
    <row r="19" customFormat="false" ht="12.75" hidden="false" customHeight="false" outlineLevel="0" collapsed="false">
      <c r="A19" s="128" t="n">
        <v>16</v>
      </c>
      <c r="B19" s="144" t="n">
        <f aca="false">TblImps[[#This Row],[Time]]</f>
        <v>45430.375</v>
      </c>
      <c r="C19" s="145"/>
      <c r="D19" s="146"/>
      <c r="E19" s="69" t="n">
        <f aca="false">TblConstr[[#This Row],[Land]]</f>
        <v>250</v>
      </c>
      <c r="F19" s="69" t="n">
        <f aca="false">TblPop[[#This Row],[Peasants]]</f>
        <v>2038</v>
      </c>
      <c r="G19" s="69" t="e">
        <f aca="false">TblMili[[#This Row],[Networth (2)]]</f>
        <v>#VALUE!</v>
      </c>
      <c r="H19" s="69" t="n">
        <f aca="false">OFFSET(TblProd[[#This Row],[Platinum]],-1,0)+OFFSET(TblProd[[#This Row],[Plat/hr]],-1,0) - TblProd[[#This Row],[Expenses Platinum]] + IF(TblProd[[#This Row],[Plat Bonus]],TblPop[[#This Row],[Peasants]]*4) + SUM(TblConstr[[#This Row],[Dest Hom]:[Dest Doc]])*TblConstr[[#This Row],[CPA Platinum -DB]]*tech_3_3_2*TblTech[[#This Row],[3-3]]</f>
        <v>51651</v>
      </c>
      <c r="I19" s="69" t="n">
        <f aca="false">OFFSET(TblProd[[#This Row],[Food]],-1,0)+OFFSET(TblProd[[#This Row],[Food/hr]],-1,0)+ROUNDUP((TblConstr[[#This Row],[Farms]]*80+TblConstr[[#This Row],[Docks]]*35)*(1+OFFSET(TblProd[[#This Row],[Bonus Food/hr]],-1,0)),0)</f>
        <v>34752</v>
      </c>
      <c r="J19" s="69" t="n">
        <f aca="false">OFFSET(TblProd[[#This Row],[Lumber]],-1,0)+OFFSET(TblProd[[#This Row],[Lumber/hr]],-1,0) - TblProd[[#This Row],[Expenses Lumber]] + SUM(TblConstr[[#This Row],[Dest Hom]:[Dest Doc]])*TblConstr[[#This Row],[CPA Lumber -DB]]*tech_3_3_2*TblTech[[#This Row],[3-3]]</f>
        <v>2680</v>
      </c>
      <c r="K19" s="69" t="n">
        <f aca="false">OFFSET(TblProd[[#This Row],[Mana]],-1,0)+OFFSET(TblProd[[#This Row],[Mana/hr]],-1,0)- TblProd[[#This Row],[Expenses Mana]]</f>
        <v>231</v>
      </c>
      <c r="L19" s="69" t="n">
        <f aca="false">OFFSET(TblProd[[#This Row],[Ore]],-1,0)+OFFSET(TblProd[[#This Row],[Ore/hr]],-1,0) -TblProd[[#This Row],[Expenses Ore]]</f>
        <v>0</v>
      </c>
      <c r="M19" s="69" t="n">
        <f aca="false">OFFSET(TblProd[[#This Row],[Gems]],-1,0)+OFFSET(TblProd[[#This Row],[Gems/hr]],-1,0) - TblProd[[#This Row],[Expenses Gems]]</f>
        <v>0</v>
      </c>
      <c r="N19" s="69" t="n">
        <f aca="false">OFFSET(TblProd[[#This Row],[Boats]],-1,0)+OFFSET(TblProd[[#This Row],[Boats/hr]],-1,0)</f>
        <v>0</v>
      </c>
      <c r="O19" s="69" t="n">
        <f aca="false">OFFSET(TblProd[[#This Row],[Prestige]],-1,0)</f>
        <v>250</v>
      </c>
      <c r="P1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69" t="n">
        <f aca="false">MAX(3750,_xlfn.CEILING.MATH(TblProd[[#This Row],[Land]]*2.5+OFFSET(TblTech[[#This Row],[Sum of tech]],-1,0)*150))</f>
        <v>3750</v>
      </c>
      <c r="R19" s="132"/>
      <c r="S19" s="69" t="n">
        <f aca="false">ROUNDDOWN(TblProd[[#This Row],[Raw Plat/hr]]*(1+TblProd[[#This Row],[Bonus Plat/hr]]),0)</f>
        <v>9517</v>
      </c>
      <c r="T19" s="69" t="n">
        <f aca="false">ROUND(TblProd[[#This Row],[Raw Food/hr]]*(1+TblProd[[#This Row],[Bonus Food/hr]])-TblProd[[#This Row],[Food decay]]-TblProd[[#This Row],[Food eaten]],0)</f>
        <v>-550</v>
      </c>
      <c r="U19" s="69" t="n">
        <f aca="false">ROUND(TblProd[[#This Row],[Raw Lumber/hr]]*(1+TblProd[[#This Row],[Bonus Lumber/hr]])-TblProd[[#This Row],[Lumber rot]],0)</f>
        <v>873</v>
      </c>
      <c r="V19" s="69" t="n">
        <f aca="false">ROUND(TblProd[[#This Row],[Raw Mana/hr]]*(1+TblProd[[#This Row],[Bonus Mana/hr]])-TblProd[[#This Row],[Mana drain]],0)</f>
        <v>370</v>
      </c>
      <c r="W19" s="69" t="n">
        <f aca="false">ROUNDDOWN(TblProd[[#This Row],[Raw Ore/hr]]*(1+TblProd[[#This Row],[Bonux Ore/hr]]),0)</f>
        <v>0</v>
      </c>
      <c r="X19" s="69" t="n">
        <f aca="false">ROUNDDOWN(TblProd[[#This Row],[Raw Gems/hr]]*(1+TblProd[[#This Row],[Bonus Gems/hr]]),0)</f>
        <v>0</v>
      </c>
      <c r="Y19" s="148" t="n">
        <f aca="false">OFFSET(TblConstr[[#This Row],[Tot Doc]],1,0)*dock_boats_hr * (1 + tech_4_1*TblTech[[#This Row],[4-1]])</f>
        <v>0</v>
      </c>
      <c r="Z19" s="146"/>
      <c r="AA19" s="69" t="n">
        <f aca="false">TblPop[[#This Row],[Peasants]]*tax*TblPop[[#This Row],[Employment]] + (Construction!AZ20+Construction!BX20)*(alch_plat+(Magic!AM19&gt;0)*alchemist_flame_bonus)</f>
        <v>8652.6</v>
      </c>
      <c r="AB19" s="69" t="n">
        <f aca="false">TblConstr[[#This Row],[Tot Farm]]*farm_food + TblConstr[[#This Row],[Tot Doc]]*dock_food</f>
        <v>400</v>
      </c>
      <c r="AC19" s="69" t="n">
        <f aca="false">TblConstr[[#This Row],[Tot Ly]]*ly_lumber + TblConstr[[#This Row],[Tot Hav]]*fh_lumber</f>
        <v>1000</v>
      </c>
      <c r="AD19" s="69" t="n">
        <f aca="false">OFFSET(TblConstr[[#This Row],[Tot Tow]],1,0)*(tower_mana + tech_4_5*TblTech[[#This Row],[4-5]]) + OFFSET(TblConstr[[#This Row],[Tot WG]],1,0)*wg_mana_prod</f>
        <v>375</v>
      </c>
      <c r="AE19" s="69" t="n">
        <f aca="false">OFFSET(TblConstr[[#This Row],[Tot OM]],1,0)*om_ore+IF(race="Dwarf",ROUNDDOWN(TblMili[[#This Row],[Unit 2]]*0.4,0),)</f>
        <v>0</v>
      </c>
      <c r="AF19" s="69" t="n">
        <f aca="false">OFFSET(TblConstr[[#This Row],[Tot DM]],1,0)*dm_gems</f>
        <v>0</v>
      </c>
      <c r="AG19" s="132"/>
      <c r="AH19" s="149" t="n">
        <f aca="false">MIN(race_platinum_bonus + IF(TblMagic[[#This Row],[Active Alch Frost]]&gt;0,alch_frost_bonus,IF(Magic!AD19&gt;0,midas_bonus)) + TblImps[[#This Row],[Science]] - TblProd[[#This Row],[Guard]]*(0.02 + tech_5_7*TblTech[[#This Row],[5-7]]) + tech_1_5*TblTech[[#This Row],[1-5]] + tech_4_4*TblTech[[#This Row],[4-4]], 0.5)</f>
        <v>0.1</v>
      </c>
      <c r="AI1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9" s="149" t="n">
        <f aca="false">race_lumber_bonus+ IF(TblMagic[[#This Row],[Active Gaia''s Blessing]]&gt;0,gaias_blessing_lumber)+ tech_1_3*TblTech[[#This Row],[1-3]] + tech_1_6*TblTech[[#This Row],[1-6]] + tech_3_3*TblTech[[#This Row],[3-3]]</f>
        <v>-0.1</v>
      </c>
      <c r="AK19" s="149" t="n">
        <f aca="false">race_mana_bonus+ 0 + TblImps[[#This Row],[Towers]] + tech_1_2*TblTech[[#This Row],[1-2]] + tech_3_4*TblTech[[#This Row],[3-4]]</f>
        <v>0</v>
      </c>
      <c r="AL19" s="149" t="n">
        <f aca="false">race_ore_bonus + IF(TblMagic[[#This Row],[Active Miner''s Sight]]&gt;0,miners_sight_bonus,IF(TblMagic[[#This Row],[Active Mining Strength]]&gt;0,mining_strength_bonus)) +  tech_1_6*TblTech[[#This Row],[1-6]]</f>
        <v>0</v>
      </c>
      <c r="AM19" s="149" t="n">
        <f aca="false">race_gem_bonus+ tech_3_2*TblTech[[#This Row],[3-2]] + tech_4_3*TblTech[[#This Row],[4-3]] + tech_6_2*TblTech[[#This Row],[6-2]]</f>
        <v>0.15</v>
      </c>
      <c r="AN19" s="132"/>
      <c r="AO19" s="69" t="n">
        <f aca="false">TblProd[[#This Row],[Food]]*food_decay * (1 + tech_2_1*TblTech[[#This Row],[2-1]] + tech_2_8*TblTech[[#This Row],[2-8]])</f>
        <v>347.52</v>
      </c>
      <c r="AP19" s="69" t="n">
        <f aca="false">(1+race_food_consumption)*TblPop[[#This Row],[Total]]*food_per_person*(1+tech_1_10*TblTech[[#This Row],[1-10]]+tech_7_5*TblTech[[#This Row],[7-5]])</f>
        <v>612.5</v>
      </c>
      <c r="AQ19" s="69" t="n">
        <f aca="false">TblProd[[#This Row],[Lumber]]*lumber_rot * (1 + tech_2_1*TblTech[[#This Row],[2-1]] + tech_2_8*TblTech[[#This Row],[2-8]] + tech_5_2*TblTech[[#This Row],[5-2]])</f>
        <v>26.8</v>
      </c>
      <c r="AR19" s="69" t="n">
        <f aca="false">TblProd[[#This Row],[Mana]]*mana_drain * (1 + tech_2_1*TblTech[[#This Row],[2-1]] + tech_2_8*TblTech[[#This Row],[2-8]])</f>
        <v>4.62</v>
      </c>
      <c r="AS19" s="146"/>
      <c r="AT19" s="69" t="n">
        <f aca="false">TblExplore[[#This Row],[Platinum (2)]]+TblConstr[[#This Row],[Total Plat Cost]]+TblMili[[#This Row],[Plat Cost]]+TblRezone[[#This Row],[Platinum cost]]+TblImps[[#This Row],[P1]]-TblProd[[#This Row],[Bank Plat]]</f>
        <v>0</v>
      </c>
      <c r="AU19" s="69" t="n">
        <f aca="false">TblConstr[[#This Row],[Total Lum Cost]]+TblImps[[#This Row],[L1]]-TblProd[[#This Row],[Bank Lumber]] + Military!$CL$25*TblMili[[#This Row],[Sec. rec. Cost]]</f>
        <v>0</v>
      </c>
      <c r="AV19" s="69" t="n">
        <f aca="false">TblMagic[[#This Row],[Mana cost]] + Military!$CL$26*TblMili[[#This Row],[Sec. rec. Cost]]</f>
        <v>625</v>
      </c>
      <c r="AW19" s="69" t="n">
        <f aca="false">Military!$CL$24*TblMili[[#This Row],[Sec. rec. Cost]]+TblImps[[#This Row],[O1]]-TblProd[[#This Row],[Bank Ore]]</f>
        <v>0</v>
      </c>
      <c r="AX19" s="69" t="n">
        <f aca="false">TblImps[[#This Row],[G1]]-TblProd[[#This Row],[Bank Gems]]</f>
        <v>0</v>
      </c>
      <c r="AY19" s="132"/>
      <c r="AZ19" s="33" t="n">
        <f aca="false">IF(TblProd[[#This Row],[Set Guard]]&lt;&gt;"",TblProd[[#This Row],[Set Guard]],OFFSET(TblProd[[#This Row],[Guard]],-1,0))</f>
        <v>0</v>
      </c>
      <c r="BA19" s="145"/>
      <c r="BB19" s="151" t="n">
        <f aca="false">TblProd[[#This Row],[Hour]]</f>
        <v>16</v>
      </c>
      <c r="BC19" s="152" t="n">
        <f aca="false">-TblProd[[#This Row],[Bank Lumber]] / 2 + -TblProd[[#This Row],[Bank Gems]] * 2 + -TblProd[[#This Row],[Bank Ore]] / 2</f>
        <v>0</v>
      </c>
      <c r="BD19" s="152"/>
      <c r="BE19" s="152"/>
      <c r="BF19" s="152"/>
      <c r="BG19" s="153" t="n">
        <f aca="false">TblProd[[#This Row],[Time]]</f>
        <v>45430.375</v>
      </c>
      <c r="BH1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69" t="n">
        <f aca="false">TblProd[[#This Row],[Platinum]]</f>
        <v>51651</v>
      </c>
      <c r="BJ19" s="69" t="n">
        <f aca="false">TblProd[[#This Row],[Food]]</f>
        <v>34752</v>
      </c>
      <c r="BK19" s="69" t="n">
        <f aca="false">TblProd[[#This Row],[Lumber]]</f>
        <v>2680</v>
      </c>
      <c r="BL19" s="69" t="n">
        <f aca="false">TblProd[[#This Row],[Mana]]</f>
        <v>231</v>
      </c>
      <c r="BM19" s="69" t="n">
        <f aca="false">TblProd[[#This Row],[Ore]]</f>
        <v>0</v>
      </c>
    </row>
    <row r="20" customFormat="false" ht="12.75" hidden="false" customHeight="false" outlineLevel="0" collapsed="false">
      <c r="A20" s="128" t="n">
        <v>17</v>
      </c>
      <c r="B20" s="144" t="n">
        <f aca="false">TblImps[[#This Row],[Time]]</f>
        <v>45430.4166666667</v>
      </c>
      <c r="C20" s="145"/>
      <c r="D20" s="146"/>
      <c r="E20" s="69" t="n">
        <f aca="false">TblConstr[[#This Row],[Land]]</f>
        <v>250</v>
      </c>
      <c r="F20" s="69" t="n">
        <f aca="false">TblPop[[#This Row],[Peasants]]</f>
        <v>2177</v>
      </c>
      <c r="G20" s="69" t="e">
        <f aca="false">TblMili[[#This Row],[Networth (2)]]</f>
        <v>#VALUE!</v>
      </c>
      <c r="H20" s="69" t="n">
        <f aca="false">OFFSET(TblProd[[#This Row],[Platinum]],-1,0)+OFFSET(TblProd[[#This Row],[Plat/hr]],-1,0) - TblProd[[#This Row],[Expenses Platinum]] + IF(TblProd[[#This Row],[Plat Bonus]],TblPop[[#This Row],[Peasants]]*4) + SUM(TblConstr[[#This Row],[Dest Hom]:[Dest Doc]])*TblConstr[[#This Row],[CPA Platinum -DB]]*tech_3_3_2*TblTech[[#This Row],[3-3]]</f>
        <v>61168</v>
      </c>
      <c r="I20" s="69" t="n">
        <f aca="false">OFFSET(TblProd[[#This Row],[Food]],-1,0)+OFFSET(TblProd[[#This Row],[Food/hr]],-1,0)+ROUNDUP((TblConstr[[#This Row],[Farms]]*80+TblConstr[[#This Row],[Docks]]*35)*(1+OFFSET(TblProd[[#This Row],[Bonus Food/hr]],-1,0)),0)</f>
        <v>34202</v>
      </c>
      <c r="J20" s="69" t="n">
        <f aca="false">OFFSET(TblProd[[#This Row],[Lumber]],-1,0)+OFFSET(TblProd[[#This Row],[Lumber/hr]],-1,0) - TblProd[[#This Row],[Expenses Lumber]] + SUM(TblConstr[[#This Row],[Dest Hom]:[Dest Doc]])*TblConstr[[#This Row],[CPA Lumber -DB]]*tech_3_3_2*TblTech[[#This Row],[3-3]]</f>
        <v>3553</v>
      </c>
      <c r="K20" s="69" t="n">
        <f aca="false">OFFSET(TblProd[[#This Row],[Mana]],-1,0)+OFFSET(TblProd[[#This Row],[Mana/hr]],-1,0)- TblProd[[#This Row],[Expenses Mana]]</f>
        <v>601</v>
      </c>
      <c r="L20" s="69" t="n">
        <f aca="false">OFFSET(TblProd[[#This Row],[Ore]],-1,0)+OFFSET(TblProd[[#This Row],[Ore/hr]],-1,0) -TblProd[[#This Row],[Expenses Ore]]</f>
        <v>0</v>
      </c>
      <c r="M20" s="69" t="n">
        <f aca="false">OFFSET(TblProd[[#This Row],[Gems]],-1,0)+OFFSET(TblProd[[#This Row],[Gems/hr]],-1,0) - TblProd[[#This Row],[Expenses Gems]]</f>
        <v>0</v>
      </c>
      <c r="N20" s="69" t="n">
        <f aca="false">OFFSET(TblProd[[#This Row],[Boats]],-1,0)+OFFSET(TblProd[[#This Row],[Boats/hr]],-1,0)</f>
        <v>0</v>
      </c>
      <c r="O20" s="69" t="n">
        <f aca="false">OFFSET(TblProd[[#This Row],[Prestige]],-1,0)</f>
        <v>250</v>
      </c>
      <c r="P2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69" t="n">
        <f aca="false">MAX(3750,_xlfn.CEILING.MATH(TblProd[[#This Row],[Land]]*2.5+OFFSET(TblTech[[#This Row],[Sum of tech]],-1,0)*150))</f>
        <v>3750</v>
      </c>
      <c r="R20" s="132"/>
      <c r="S20" s="69" t="n">
        <f aca="false">ROUNDDOWN(TblProd[[#This Row],[Raw Plat/hr]]*(1+TblProd[[#This Row],[Bonus Plat/hr]]),0)</f>
        <v>9930</v>
      </c>
      <c r="T20" s="69" t="n">
        <f aca="false">ROUND(TblProd[[#This Row],[Raw Food/hr]]*(1+TblProd[[#This Row],[Bonus Food/hr]])-TblProd[[#This Row],[Food decay]]-TblProd[[#This Row],[Food eaten]],0)</f>
        <v>-584</v>
      </c>
      <c r="U20" s="69" t="n">
        <f aca="false">ROUND(TblProd[[#This Row],[Raw Lumber/hr]]*(1+TblProd[[#This Row],[Bonus Lumber/hr]])-TblProd[[#This Row],[Lumber rot]],0)</f>
        <v>864</v>
      </c>
      <c r="V20" s="69" t="n">
        <f aca="false">ROUND(TblProd[[#This Row],[Raw Mana/hr]]*(1+TblProd[[#This Row],[Bonus Mana/hr]])-TblProd[[#This Row],[Mana drain]],0)</f>
        <v>363</v>
      </c>
      <c r="W20" s="69" t="n">
        <f aca="false">ROUNDDOWN(TblProd[[#This Row],[Raw Ore/hr]]*(1+TblProd[[#This Row],[Bonux Ore/hr]]),0)</f>
        <v>0</v>
      </c>
      <c r="X20" s="69" t="n">
        <f aca="false">ROUNDDOWN(TblProd[[#This Row],[Raw Gems/hr]]*(1+TblProd[[#This Row],[Bonus Gems/hr]]),0)</f>
        <v>0</v>
      </c>
      <c r="Y20" s="148" t="n">
        <f aca="false">OFFSET(TblConstr[[#This Row],[Tot Doc]],1,0)*dock_boats_hr * (1 + tech_4_1*TblTech[[#This Row],[4-1]])</f>
        <v>0</v>
      </c>
      <c r="Z20" s="146"/>
      <c r="AA20" s="69" t="n">
        <f aca="false">TblPop[[#This Row],[Peasants]]*tax*TblPop[[#This Row],[Employment]] + (Construction!AZ21+Construction!BX21)*(alch_plat+(Magic!AM20&gt;0)*alchemist_flame_bonus)</f>
        <v>9027.9</v>
      </c>
      <c r="AB20" s="69" t="n">
        <f aca="false">TblConstr[[#This Row],[Tot Farm]]*farm_food + TblConstr[[#This Row],[Tot Doc]]*dock_food</f>
        <v>400</v>
      </c>
      <c r="AC20" s="69" t="n">
        <f aca="false">TblConstr[[#This Row],[Tot Ly]]*ly_lumber + TblConstr[[#This Row],[Tot Hav]]*fh_lumber</f>
        <v>1000</v>
      </c>
      <c r="AD20" s="69" t="n">
        <f aca="false">OFFSET(TblConstr[[#This Row],[Tot Tow]],1,0)*(tower_mana + tech_4_5*TblTech[[#This Row],[4-5]]) + OFFSET(TblConstr[[#This Row],[Tot WG]],1,0)*wg_mana_prod</f>
        <v>375</v>
      </c>
      <c r="AE20" s="69" t="n">
        <f aca="false">OFFSET(TblConstr[[#This Row],[Tot OM]],1,0)*om_ore+IF(race="Dwarf",ROUNDDOWN(TblMili[[#This Row],[Unit 2]]*0.4,0),)</f>
        <v>0</v>
      </c>
      <c r="AF20" s="69" t="n">
        <f aca="false">OFFSET(TblConstr[[#This Row],[Tot DM]],1,0)*dm_gems</f>
        <v>0</v>
      </c>
      <c r="AG20" s="132"/>
      <c r="AH20" s="149" t="n">
        <f aca="false">MIN(race_platinum_bonus + IF(TblMagic[[#This Row],[Active Alch Frost]]&gt;0,alch_frost_bonus,IF(Magic!AD20&gt;0,midas_bonus)) + TblImps[[#This Row],[Science]] - TblProd[[#This Row],[Guard]]*(0.02 + tech_5_7*TblTech[[#This Row],[5-7]]) + tech_1_5*TblTech[[#This Row],[1-5]] + tech_4_4*TblTech[[#This Row],[4-4]], 0.5)</f>
        <v>0.1</v>
      </c>
      <c r="AI2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0" s="149" t="n">
        <f aca="false">race_lumber_bonus+ IF(TblMagic[[#This Row],[Active Gaia''s Blessing]]&gt;0,gaias_blessing_lumber)+ tech_1_3*TblTech[[#This Row],[1-3]] + tech_1_6*TblTech[[#This Row],[1-6]] + tech_3_3*TblTech[[#This Row],[3-3]]</f>
        <v>-0.1</v>
      </c>
      <c r="AK20" s="149" t="n">
        <f aca="false">race_mana_bonus+ 0 + TblImps[[#This Row],[Towers]] + tech_1_2*TblTech[[#This Row],[1-2]] + tech_3_4*TblTech[[#This Row],[3-4]]</f>
        <v>0</v>
      </c>
      <c r="AL20" s="149" t="n">
        <f aca="false">race_ore_bonus + IF(TblMagic[[#This Row],[Active Miner''s Sight]]&gt;0,miners_sight_bonus,IF(TblMagic[[#This Row],[Active Mining Strength]]&gt;0,mining_strength_bonus)) +  tech_1_6*TblTech[[#This Row],[1-6]]</f>
        <v>0</v>
      </c>
      <c r="AM20" s="149" t="n">
        <f aca="false">race_gem_bonus+ tech_3_2*TblTech[[#This Row],[3-2]] + tech_4_3*TblTech[[#This Row],[4-3]] + tech_6_2*TblTech[[#This Row],[6-2]]</f>
        <v>0.15</v>
      </c>
      <c r="AN20" s="132"/>
      <c r="AO20" s="69" t="n">
        <f aca="false">TblProd[[#This Row],[Food]]*food_decay * (1 + tech_2_1*TblTech[[#This Row],[2-1]] + tech_2_8*TblTech[[#This Row],[2-8]])</f>
        <v>342.02</v>
      </c>
      <c r="AP20" s="69" t="n">
        <f aca="false">(1+race_food_consumption)*TblPop[[#This Row],[Total]]*food_per_person*(1+tech_1_10*TblTech[[#This Row],[1-10]]+tech_7_5*TblTech[[#This Row],[7-5]])</f>
        <v>652.25</v>
      </c>
      <c r="AQ20" s="69" t="n">
        <f aca="false">TblProd[[#This Row],[Lumber]]*lumber_rot * (1 + tech_2_1*TblTech[[#This Row],[2-1]] + tech_2_8*TblTech[[#This Row],[2-8]] + tech_5_2*TblTech[[#This Row],[5-2]])</f>
        <v>35.53</v>
      </c>
      <c r="AR20" s="69" t="n">
        <f aca="false">TblProd[[#This Row],[Mana]]*mana_drain * (1 + tech_2_1*TblTech[[#This Row],[2-1]] + tech_2_8*TblTech[[#This Row],[2-8]])</f>
        <v>12.02</v>
      </c>
      <c r="AS20" s="146"/>
      <c r="AT20" s="69" t="n">
        <f aca="false">TblExplore[[#This Row],[Platinum (2)]]+TblConstr[[#This Row],[Total Plat Cost]]+TblMili[[#This Row],[Plat Cost]]+TblRezone[[#This Row],[Platinum cost]]+TblImps[[#This Row],[P1]]-TblProd[[#This Row],[Bank Plat]]</f>
        <v>0</v>
      </c>
      <c r="AU20" s="69" t="n">
        <f aca="false">TblConstr[[#This Row],[Total Lum Cost]]+TblImps[[#This Row],[L1]]-TblProd[[#This Row],[Bank Lumber]] + Military!$CL$25*TblMili[[#This Row],[Sec. rec. Cost]]</f>
        <v>0</v>
      </c>
      <c r="AV20" s="69" t="n">
        <f aca="false">TblMagic[[#This Row],[Mana cost]] + Military!$CL$26*TblMili[[#This Row],[Sec. rec. Cost]]</f>
        <v>0</v>
      </c>
      <c r="AW20" s="69" t="n">
        <f aca="false">Military!$CL$24*TblMili[[#This Row],[Sec. rec. Cost]]+TblImps[[#This Row],[O1]]-TblProd[[#This Row],[Bank Ore]]</f>
        <v>0</v>
      </c>
      <c r="AX20" s="69" t="n">
        <f aca="false">TblImps[[#This Row],[G1]]-TblProd[[#This Row],[Bank Gems]]</f>
        <v>0</v>
      </c>
      <c r="AY20" s="132"/>
      <c r="AZ20" s="33" t="n">
        <f aca="false">IF(TblProd[[#This Row],[Set Guard]]&lt;&gt;"",TblProd[[#This Row],[Set Guard]],OFFSET(TblProd[[#This Row],[Guard]],-1,0))</f>
        <v>0</v>
      </c>
      <c r="BA20" s="145"/>
      <c r="BB20" s="151" t="n">
        <f aca="false">TblProd[[#This Row],[Hour]]</f>
        <v>17</v>
      </c>
      <c r="BC20" s="152" t="n">
        <f aca="false">-TblProd[[#This Row],[Bank Lumber]] / 2 + -TblProd[[#This Row],[Bank Gems]] * 2 + -TblProd[[#This Row],[Bank Ore]] / 2</f>
        <v>0</v>
      </c>
      <c r="BD20" s="152"/>
      <c r="BE20" s="152"/>
      <c r="BF20" s="152"/>
      <c r="BG20" s="153" t="n">
        <f aca="false">TblProd[[#This Row],[Time]]</f>
        <v>45430.4166666667</v>
      </c>
      <c r="BH2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69" t="n">
        <f aca="false">TblProd[[#This Row],[Platinum]]</f>
        <v>61168</v>
      </c>
      <c r="BJ20" s="69" t="n">
        <f aca="false">TblProd[[#This Row],[Food]]</f>
        <v>34202</v>
      </c>
      <c r="BK20" s="69" t="n">
        <f aca="false">TblProd[[#This Row],[Lumber]]</f>
        <v>3553</v>
      </c>
      <c r="BL20" s="69" t="n">
        <f aca="false">TblProd[[#This Row],[Mana]]</f>
        <v>601</v>
      </c>
      <c r="BM20" s="69" t="n">
        <f aca="false">TblProd[[#This Row],[Ore]]</f>
        <v>0</v>
      </c>
    </row>
    <row r="21" customFormat="false" ht="12.75" hidden="false" customHeight="false" outlineLevel="0" collapsed="false">
      <c r="A21" s="128" t="n">
        <v>18</v>
      </c>
      <c r="B21" s="144" t="n">
        <f aca="false">TblImps[[#This Row],[Time]]</f>
        <v>45430.4583333333</v>
      </c>
      <c r="C21" s="145"/>
      <c r="D21" s="146"/>
      <c r="E21" s="69" t="n">
        <f aca="false">TblConstr[[#This Row],[Land]]</f>
        <v>274</v>
      </c>
      <c r="F21" s="69" t="n">
        <f aca="false">TblPop[[#This Row],[Peasants]]</f>
        <v>2319</v>
      </c>
      <c r="G21" s="69" t="e">
        <f aca="false">TblMili[[#This Row],[Networth (2)]]</f>
        <v>#VALUE!</v>
      </c>
      <c r="H21" s="69" t="n">
        <f aca="false">OFFSET(TblProd[[#This Row],[Platinum]],-1,0)+OFFSET(TblProd[[#This Row],[Plat/hr]],-1,0) - TblProd[[#This Row],[Expenses Platinum]] + IF(TblProd[[#This Row],[Plat Bonus]],TblPop[[#This Row],[Peasants]]*4) + SUM(TblConstr[[#This Row],[Dest Hom]:[Dest Doc]])*TblConstr[[#This Row],[CPA Platinum -DB]]*tech_3_3_2*TblTech[[#This Row],[3-3]]</f>
        <v>980</v>
      </c>
      <c r="I21" s="69" t="n">
        <f aca="false">OFFSET(TblProd[[#This Row],[Food]],-1,0)+OFFSET(TblProd[[#This Row],[Food/hr]],-1,0)+ROUNDUP((TblConstr[[#This Row],[Farms]]*80+TblConstr[[#This Row],[Docks]]*35)*(1+OFFSET(TblProd[[#This Row],[Bonus Food/hr]],-1,0)),0)</f>
        <v>33618</v>
      </c>
      <c r="J21" s="69" t="n">
        <f aca="false">OFFSET(TblProd[[#This Row],[Lumber]],-1,0)+OFFSET(TblProd[[#This Row],[Lumber/hr]],-1,0) - TblProd[[#This Row],[Expenses Lumber]] + SUM(TblConstr[[#This Row],[Dest Hom]:[Dest Doc]])*TblConstr[[#This Row],[CPA Lumber -DB]]*tech_3_3_2*TblTech[[#This Row],[3-3]]</f>
        <v>3289</v>
      </c>
      <c r="K21" s="69" t="n">
        <f aca="false">OFFSET(TblProd[[#This Row],[Mana]],-1,0)+OFFSET(TblProd[[#This Row],[Mana/hr]],-1,0)- TblProd[[#This Row],[Expenses Mana]]</f>
        <v>964</v>
      </c>
      <c r="L21" s="69" t="n">
        <f aca="false">OFFSET(TblProd[[#This Row],[Ore]],-1,0)+OFFSET(TblProd[[#This Row],[Ore/hr]],-1,0) -TblProd[[#This Row],[Expenses Ore]]</f>
        <v>0</v>
      </c>
      <c r="M21" s="69" t="n">
        <f aca="false">OFFSET(TblProd[[#This Row],[Gems]],-1,0)+OFFSET(TblProd[[#This Row],[Gems/hr]],-1,0) - TblProd[[#This Row],[Expenses Gems]]</f>
        <v>0</v>
      </c>
      <c r="N21" s="69" t="n">
        <f aca="false">OFFSET(TblProd[[#This Row],[Boats]],-1,0)+OFFSET(TblProd[[#This Row],[Boats/hr]],-1,0)</f>
        <v>0</v>
      </c>
      <c r="O21" s="69" t="n">
        <f aca="false">OFFSET(TblProd[[#This Row],[Prestige]],-1,0)</f>
        <v>250</v>
      </c>
      <c r="P2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69" t="n">
        <f aca="false">MAX(3750,_xlfn.CEILING.MATH(TblProd[[#This Row],[Land]]*2.5+OFFSET(TblTech[[#This Row],[Sum of tech]],-1,0)*150))</f>
        <v>3750</v>
      </c>
      <c r="R21" s="132"/>
      <c r="S21" s="69" t="n">
        <f aca="false">ROUNDDOWN(TblProd[[#This Row],[Raw Plat/hr]]*(1+TblProd[[#This Row],[Bonus Plat/hr]]),0)</f>
        <v>10352</v>
      </c>
      <c r="T21" s="69" t="n">
        <f aca="false">ROUND(TblProd[[#This Row],[Raw Food/hr]]*(1+TblProd[[#This Row],[Bonus Food/hr]])-TblProd[[#This Row],[Food decay]]-TblProd[[#This Row],[Food eaten]],0)</f>
        <v>-549</v>
      </c>
      <c r="U21" s="69" t="n">
        <f aca="false">ROUND(TblProd[[#This Row],[Raw Lumber/hr]]*(1+TblProd[[#This Row],[Bonus Lumber/hr]])-TblProd[[#This Row],[Lumber rot]],0)</f>
        <v>867</v>
      </c>
      <c r="V21" s="69" t="n">
        <f aca="false">ROUND(TblProd[[#This Row],[Raw Mana/hr]]*(1+TblProd[[#This Row],[Bonus Mana/hr]])-TblProd[[#This Row],[Mana drain]],0)</f>
        <v>356</v>
      </c>
      <c r="W21" s="69" t="n">
        <f aca="false">ROUNDDOWN(TblProd[[#This Row],[Raw Ore/hr]]*(1+TblProd[[#This Row],[Bonux Ore/hr]]),0)</f>
        <v>0</v>
      </c>
      <c r="X21" s="69" t="n">
        <f aca="false">ROUNDDOWN(TblProd[[#This Row],[Raw Gems/hr]]*(1+TblProd[[#This Row],[Bonus Gems/hr]]),0)</f>
        <v>0</v>
      </c>
      <c r="Y21" s="148" t="n">
        <f aca="false">OFFSET(TblConstr[[#This Row],[Tot Doc]],1,0)*dock_boats_hr * (1 + tech_4_1*TblTech[[#This Row],[4-1]])</f>
        <v>0</v>
      </c>
      <c r="Z21" s="146"/>
      <c r="AA21" s="69" t="n">
        <f aca="false">TblPop[[#This Row],[Peasants]]*tax*TblPop[[#This Row],[Employment]] + (Construction!AZ22+Construction!BX22)*(alch_plat+(Magic!AM21&gt;0)*alchemist_flame_bonus)</f>
        <v>9411.3</v>
      </c>
      <c r="AB21" s="69" t="n">
        <f aca="false">TblConstr[[#This Row],[Tot Farm]]*farm_food + TblConstr[[#This Row],[Tot Doc]]*dock_food</f>
        <v>400</v>
      </c>
      <c r="AC21" s="69" t="n">
        <f aca="false">TblConstr[[#This Row],[Tot Ly]]*ly_lumber + TblConstr[[#This Row],[Tot Hav]]*fh_lumber</f>
        <v>1000</v>
      </c>
      <c r="AD21" s="69" t="n">
        <f aca="false">OFFSET(TblConstr[[#This Row],[Tot Tow]],1,0)*(tower_mana + tech_4_5*TblTech[[#This Row],[4-5]]) + OFFSET(TblConstr[[#This Row],[Tot WG]],1,0)*wg_mana_prod</f>
        <v>375</v>
      </c>
      <c r="AE21" s="69" t="n">
        <f aca="false">OFFSET(TblConstr[[#This Row],[Tot OM]],1,0)*om_ore+IF(race="Dwarf",ROUNDDOWN(TblMili[[#This Row],[Unit 2]]*0.4,0),)</f>
        <v>0</v>
      </c>
      <c r="AF21" s="69" t="n">
        <f aca="false">OFFSET(TblConstr[[#This Row],[Tot DM]],1,0)*dm_gems</f>
        <v>0</v>
      </c>
      <c r="AG21" s="132"/>
      <c r="AH21" s="149" t="n">
        <f aca="false">MIN(race_platinum_bonus + IF(TblMagic[[#This Row],[Active Alch Frost]]&gt;0,alch_frost_bonus,IF(Magic!AD21&gt;0,midas_bonus)) + TblImps[[#This Row],[Science]] - TblProd[[#This Row],[Guard]]*(0.02 + tech_5_7*TblTech[[#This Row],[5-7]]) + tech_1_5*TblTech[[#This Row],[1-5]] + tech_4_4*TblTech[[#This Row],[4-4]], 0.5)</f>
        <v>0.1</v>
      </c>
      <c r="AI2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1" s="149" t="n">
        <f aca="false">race_lumber_bonus+ IF(TblMagic[[#This Row],[Active Gaia''s Blessing]]&gt;0,gaias_blessing_lumber)+ tech_1_3*TblTech[[#This Row],[1-3]] + tech_1_6*TblTech[[#This Row],[1-6]] + tech_3_3*TblTech[[#This Row],[3-3]]</f>
        <v>-0.1</v>
      </c>
      <c r="AK21" s="149" t="n">
        <f aca="false">race_mana_bonus+ 0 + TblImps[[#This Row],[Towers]] + tech_1_2*TblTech[[#This Row],[1-2]] + tech_3_4*TblTech[[#This Row],[3-4]]</f>
        <v>0</v>
      </c>
      <c r="AL21" s="149" t="n">
        <f aca="false">race_ore_bonus + IF(TblMagic[[#This Row],[Active Miner''s Sight]]&gt;0,miners_sight_bonus,IF(TblMagic[[#This Row],[Active Mining Strength]]&gt;0,mining_strength_bonus)) +  tech_1_6*TblTech[[#This Row],[1-6]]</f>
        <v>0</v>
      </c>
      <c r="AM21" s="149" t="n">
        <f aca="false">race_gem_bonus+ tech_3_2*TblTech[[#This Row],[3-2]] + tech_4_3*TblTech[[#This Row],[4-3]] + tech_6_2*TblTech[[#This Row],[6-2]]</f>
        <v>0.15</v>
      </c>
      <c r="AN21" s="132"/>
      <c r="AO21" s="69" t="n">
        <f aca="false">TblProd[[#This Row],[Food]]*food_decay * (1 + tech_2_1*TblTech[[#This Row],[2-1]] + tech_2_8*TblTech[[#This Row],[2-8]])</f>
        <v>336.18</v>
      </c>
      <c r="AP21" s="69" t="n">
        <f aca="false">(1+race_food_consumption)*TblPop[[#This Row],[Total]]*food_per_person*(1+tech_1_10*TblTech[[#This Row],[1-10]]+tech_7_5*TblTech[[#This Row],[7-5]])</f>
        <v>623.25</v>
      </c>
      <c r="AQ21" s="69" t="n">
        <f aca="false">TblProd[[#This Row],[Lumber]]*lumber_rot * (1 + tech_2_1*TblTech[[#This Row],[2-1]] + tech_2_8*TblTech[[#This Row],[2-8]] + tech_5_2*TblTech[[#This Row],[5-2]])</f>
        <v>32.89</v>
      </c>
      <c r="AR21" s="69" t="n">
        <f aca="false">TblProd[[#This Row],[Mana]]*mana_drain * (1 + tech_2_1*TblTech[[#This Row],[2-1]] + tech_2_8*TblTech[[#This Row],[2-8]])</f>
        <v>19.28</v>
      </c>
      <c r="AS21" s="146"/>
      <c r="AT21" s="69" t="n">
        <f aca="false">TblExplore[[#This Row],[Platinum (2)]]+TblConstr[[#This Row],[Total Plat Cost]]+TblMili[[#This Row],[Plat Cost]]+TblRezone[[#This Row],[Platinum cost]]+TblImps[[#This Row],[P1]]-TblProd[[#This Row],[Bank Plat]]</f>
        <v>70118</v>
      </c>
      <c r="AU21" s="69" t="n">
        <f aca="false">TblConstr[[#This Row],[Total Lum Cost]]+TblImps[[#This Row],[L1]]-TblProd[[#This Row],[Bank Lumber]] + Military!$CL$25*TblMili[[#This Row],[Sec. rec. Cost]]</f>
        <v>1128</v>
      </c>
      <c r="AV21" s="69" t="n">
        <f aca="false">TblMagic[[#This Row],[Mana cost]] + Military!$CL$26*TblMili[[#This Row],[Sec. rec. Cost]]</f>
        <v>0</v>
      </c>
      <c r="AW21" s="69" t="n">
        <f aca="false">Military!$CL$24*TblMili[[#This Row],[Sec. rec. Cost]]+TblImps[[#This Row],[O1]]-TblProd[[#This Row],[Bank Ore]]</f>
        <v>0</v>
      </c>
      <c r="AX21" s="69" t="n">
        <f aca="false">TblImps[[#This Row],[G1]]-TblProd[[#This Row],[Bank Gems]]</f>
        <v>0</v>
      </c>
      <c r="AY21" s="132"/>
      <c r="AZ21" s="33" t="n">
        <f aca="false">IF(TblProd[[#This Row],[Set Guard]]&lt;&gt;"",TblProd[[#This Row],[Set Guard]],OFFSET(TblProd[[#This Row],[Guard]],-1,0))</f>
        <v>0</v>
      </c>
      <c r="BA21" s="145"/>
      <c r="BB21" s="151" t="n">
        <f aca="false">TblProd[[#This Row],[Hour]]</f>
        <v>18</v>
      </c>
      <c r="BC21" s="152" t="n">
        <f aca="false">-TblProd[[#This Row],[Bank Lumber]] / 2 + -TblProd[[#This Row],[Bank Gems]] * 2 + -TblProd[[#This Row],[Bank Ore]] / 2</f>
        <v>0</v>
      </c>
      <c r="BD21" s="152"/>
      <c r="BE21" s="152"/>
      <c r="BF21" s="152"/>
      <c r="BG21" s="153" t="n">
        <f aca="false">TblProd[[#This Row],[Time]]</f>
        <v>45430.4583333333</v>
      </c>
      <c r="BH2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69" t="n">
        <f aca="false">TblProd[[#This Row],[Platinum]]</f>
        <v>980</v>
      </c>
      <c r="BJ21" s="69" t="n">
        <f aca="false">TblProd[[#This Row],[Food]]</f>
        <v>33618</v>
      </c>
      <c r="BK21" s="69" t="n">
        <f aca="false">TblProd[[#This Row],[Lumber]]</f>
        <v>3289</v>
      </c>
      <c r="BL21" s="69" t="n">
        <f aca="false">TblProd[[#This Row],[Mana]]</f>
        <v>964</v>
      </c>
      <c r="BM21" s="69" t="n">
        <f aca="false">TblProd[[#This Row],[Ore]]</f>
        <v>0</v>
      </c>
    </row>
    <row r="22" customFormat="false" ht="12.75" hidden="false" customHeight="false" outlineLevel="0" collapsed="false">
      <c r="A22" s="128" t="n">
        <v>19</v>
      </c>
      <c r="B22" s="144" t="n">
        <f aca="false">TblImps[[#This Row],[Time]]</f>
        <v>45430.5</v>
      </c>
      <c r="C22" s="145"/>
      <c r="D22" s="146"/>
      <c r="E22" s="69" t="n">
        <f aca="false">TblConstr[[#This Row],[Land]]</f>
        <v>275</v>
      </c>
      <c r="F22" s="69" t="n">
        <f aca="false">TblPop[[#This Row],[Peasants]]</f>
        <v>2470</v>
      </c>
      <c r="G22" s="69" t="e">
        <f aca="false">TblMili[[#This Row],[Networth (2)]]</f>
        <v>#VALUE!</v>
      </c>
      <c r="H22" s="69" t="n">
        <f aca="false">OFFSET(TblProd[[#This Row],[Platinum]],-1,0)+OFFSET(TblProd[[#This Row],[Plat/hr]],-1,0) - TblProd[[#This Row],[Expenses Platinum]] + IF(TblProd[[#This Row],[Plat Bonus]],TblPop[[#This Row],[Peasants]]*4) + SUM(TblConstr[[#This Row],[Dest Hom]:[Dest Doc]])*TblConstr[[#This Row],[CPA Platinum -DB]]*tech_3_3_2*TblTech[[#This Row],[3-3]]</f>
        <v>1245</v>
      </c>
      <c r="I22" s="69" t="n">
        <f aca="false">OFFSET(TblProd[[#This Row],[Food]],-1,0)+OFFSET(TblProd[[#This Row],[Food/hr]],-1,0)+ROUNDUP((TblConstr[[#This Row],[Farms]]*80+TblConstr[[#This Row],[Docks]]*35)*(1+OFFSET(TblProd[[#This Row],[Bonus Food/hr]],-1,0)),0)</f>
        <v>33069</v>
      </c>
      <c r="J22" s="69" t="n">
        <f aca="false">OFFSET(TblProd[[#This Row],[Lumber]],-1,0)+OFFSET(TblProd[[#This Row],[Lumber/hr]],-1,0) - TblProd[[#This Row],[Expenses Lumber]] + SUM(TblConstr[[#This Row],[Dest Hom]:[Dest Doc]])*TblConstr[[#This Row],[CPA Lumber -DB]]*tech_3_3_2*TblTech[[#This Row],[3-3]]</f>
        <v>4109</v>
      </c>
      <c r="K22" s="69" t="n">
        <f aca="false">OFFSET(TblProd[[#This Row],[Mana]],-1,0)+OFFSET(TblProd[[#This Row],[Mana/hr]],-1,0)- TblProd[[#This Row],[Expenses Mana]]</f>
        <v>1320</v>
      </c>
      <c r="L22" s="69" t="n">
        <f aca="false">OFFSET(TblProd[[#This Row],[Ore]],-1,0)+OFFSET(TblProd[[#This Row],[Ore/hr]],-1,0) -TblProd[[#This Row],[Expenses Ore]]</f>
        <v>0</v>
      </c>
      <c r="M22" s="69" t="n">
        <f aca="false">OFFSET(TblProd[[#This Row],[Gems]],-1,0)+OFFSET(TblProd[[#This Row],[Gems/hr]],-1,0) - TblProd[[#This Row],[Expenses Gems]]</f>
        <v>0</v>
      </c>
      <c r="N22" s="69" t="n">
        <f aca="false">OFFSET(TblProd[[#This Row],[Boats]],-1,0)+OFFSET(TblProd[[#This Row],[Boats/hr]],-1,0)</f>
        <v>0</v>
      </c>
      <c r="O22" s="69" t="n">
        <f aca="false">OFFSET(TblProd[[#This Row],[Prestige]],-1,0)</f>
        <v>250</v>
      </c>
      <c r="P2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69" t="n">
        <f aca="false">MAX(3750,_xlfn.CEILING.MATH(TblProd[[#This Row],[Land]]*2.5+OFFSET(TblTech[[#This Row],[Sum of tech]],-1,0)*150))</f>
        <v>3750</v>
      </c>
      <c r="R22" s="132"/>
      <c r="S22" s="69" t="n">
        <f aca="false">ROUNDDOWN(TblProd[[#This Row],[Raw Plat/hr]]*(1+TblProd[[#This Row],[Bonus Plat/hr]]),0)</f>
        <v>10800</v>
      </c>
      <c r="T22" s="69" t="n">
        <f aca="false">ROUND(TblProd[[#This Row],[Raw Food/hr]]*(1+TblProd[[#This Row],[Bonus Food/hr]])-TblProd[[#This Row],[Food decay]]-TblProd[[#This Row],[Food eaten]],0)</f>
        <v>-576</v>
      </c>
      <c r="U22" s="69" t="n">
        <f aca="false">ROUND(TblProd[[#This Row],[Raw Lumber/hr]]*(1+TblProd[[#This Row],[Bonus Lumber/hr]])-TblProd[[#This Row],[Lumber rot]],0)</f>
        <v>859</v>
      </c>
      <c r="V22" s="69" t="n">
        <f aca="false">ROUND(TblProd[[#This Row],[Raw Mana/hr]]*(1+TblProd[[#This Row],[Bonus Mana/hr]])-TblProd[[#This Row],[Mana drain]],0)</f>
        <v>349</v>
      </c>
      <c r="W22" s="69" t="n">
        <f aca="false">ROUNDDOWN(TblProd[[#This Row],[Raw Ore/hr]]*(1+TblProd[[#This Row],[Bonux Ore/hr]]),0)</f>
        <v>0</v>
      </c>
      <c r="X22" s="69" t="n">
        <f aca="false">ROUNDDOWN(TblProd[[#This Row],[Raw Gems/hr]]*(1+TblProd[[#This Row],[Bonus Gems/hr]]),0)</f>
        <v>0</v>
      </c>
      <c r="Y22" s="148" t="n">
        <f aca="false">OFFSET(TblConstr[[#This Row],[Tot Doc]],1,0)*dock_boats_hr * (1 + tech_4_1*TblTech[[#This Row],[4-1]])</f>
        <v>0</v>
      </c>
      <c r="Z22" s="146"/>
      <c r="AA22" s="69" t="n">
        <f aca="false">TblPop[[#This Row],[Peasants]]*tax*TblPop[[#This Row],[Employment]] + (Construction!AZ23+Construction!BX23)*(alch_plat+(Magic!AM22&gt;0)*alchemist_flame_bonus)</f>
        <v>9819</v>
      </c>
      <c r="AB22" s="69" t="n">
        <f aca="false">TblConstr[[#This Row],[Tot Farm]]*farm_food + TblConstr[[#This Row],[Tot Doc]]*dock_food</f>
        <v>400</v>
      </c>
      <c r="AC22" s="69" t="n">
        <f aca="false">TblConstr[[#This Row],[Tot Ly]]*ly_lumber + TblConstr[[#This Row],[Tot Hav]]*fh_lumber</f>
        <v>1000</v>
      </c>
      <c r="AD22" s="69" t="n">
        <f aca="false">OFFSET(TblConstr[[#This Row],[Tot Tow]],1,0)*(tower_mana + tech_4_5*TblTech[[#This Row],[4-5]]) + OFFSET(TblConstr[[#This Row],[Tot WG]],1,0)*wg_mana_prod</f>
        <v>375</v>
      </c>
      <c r="AE22" s="69" t="n">
        <f aca="false">OFFSET(TblConstr[[#This Row],[Tot OM]],1,0)*om_ore+IF(race="Dwarf",ROUNDDOWN(TblMili[[#This Row],[Unit 2]]*0.4,0),)</f>
        <v>0</v>
      </c>
      <c r="AF22" s="69" t="n">
        <f aca="false">OFFSET(TblConstr[[#This Row],[Tot DM]],1,0)*dm_gems</f>
        <v>0</v>
      </c>
      <c r="AG22" s="132"/>
      <c r="AH22" s="149" t="n">
        <f aca="false">MIN(race_platinum_bonus + IF(TblMagic[[#This Row],[Active Alch Frost]]&gt;0,alch_frost_bonus,IF(Magic!AD22&gt;0,midas_bonus)) + TblImps[[#This Row],[Science]] - TblProd[[#This Row],[Guard]]*(0.02 + tech_5_7*TblTech[[#This Row],[5-7]]) + tech_1_5*TblTech[[#This Row],[1-5]] + tech_4_4*TblTech[[#This Row],[4-4]], 0.5)</f>
        <v>0.1</v>
      </c>
      <c r="AI2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2" s="149" t="n">
        <f aca="false">race_lumber_bonus+ IF(TblMagic[[#This Row],[Active Gaia''s Blessing]]&gt;0,gaias_blessing_lumber)+ tech_1_3*TblTech[[#This Row],[1-3]] + tech_1_6*TblTech[[#This Row],[1-6]] + tech_3_3*TblTech[[#This Row],[3-3]]</f>
        <v>-0.1</v>
      </c>
      <c r="AK22" s="149" t="n">
        <f aca="false">race_mana_bonus+ 0 + TblImps[[#This Row],[Towers]] + tech_1_2*TblTech[[#This Row],[1-2]] + tech_3_4*TblTech[[#This Row],[3-4]]</f>
        <v>0</v>
      </c>
      <c r="AL22" s="149" t="n">
        <f aca="false">race_ore_bonus + IF(TblMagic[[#This Row],[Active Miner''s Sight]]&gt;0,miners_sight_bonus,IF(TblMagic[[#This Row],[Active Mining Strength]]&gt;0,mining_strength_bonus)) +  tech_1_6*TblTech[[#This Row],[1-6]]</f>
        <v>0</v>
      </c>
      <c r="AM22" s="149" t="n">
        <f aca="false">race_gem_bonus+ tech_3_2*TblTech[[#This Row],[3-2]] + tech_4_3*TblTech[[#This Row],[4-3]] + tech_6_2*TblTech[[#This Row],[6-2]]</f>
        <v>0.15</v>
      </c>
      <c r="AN22" s="132"/>
      <c r="AO22" s="69" t="n">
        <f aca="false">TblProd[[#This Row],[Food]]*food_decay * (1 + tech_2_1*TblTech[[#This Row],[2-1]] + tech_2_8*TblTech[[#This Row],[2-8]])</f>
        <v>330.69</v>
      </c>
      <c r="AP22" s="69" t="n">
        <f aca="false">(1+race_food_consumption)*TblPop[[#This Row],[Total]]*food_per_person*(1+tech_1_10*TblTech[[#This Row],[1-10]]+tech_7_5*TblTech[[#This Row],[7-5]])</f>
        <v>655.75</v>
      </c>
      <c r="AQ22" s="69" t="n">
        <f aca="false">TblProd[[#This Row],[Lumber]]*lumber_rot * (1 + tech_2_1*TblTech[[#This Row],[2-1]] + tech_2_8*TblTech[[#This Row],[2-8]] + tech_5_2*TblTech[[#This Row],[5-2]])</f>
        <v>41.09</v>
      </c>
      <c r="AR22" s="69" t="n">
        <f aca="false">TblProd[[#This Row],[Mana]]*mana_drain * (1 + tech_2_1*TblTech[[#This Row],[2-1]] + tech_2_8*TblTech[[#This Row],[2-8]])</f>
        <v>26.4</v>
      </c>
      <c r="AS22" s="146"/>
      <c r="AT22" s="69" t="n">
        <f aca="false">TblExplore[[#This Row],[Platinum (2)]]+TblConstr[[#This Row],[Total Plat Cost]]+TblMili[[#This Row],[Plat Cost]]+TblRezone[[#This Row],[Platinum cost]]+TblImps[[#This Row],[P1]]-TblProd[[#This Row],[Bank Plat]]</f>
        <v>10087</v>
      </c>
      <c r="AU22" s="69" t="n">
        <f aca="false">TblConstr[[#This Row],[Total Lum Cost]]+TblImps[[#This Row],[L1]]-TblProd[[#This Row],[Bank Lumber]] + Military!$CL$25*TblMili[[#This Row],[Sec. rec. Cost]]</f>
        <v>47</v>
      </c>
      <c r="AV22" s="69" t="n">
        <f aca="false">TblMagic[[#This Row],[Mana cost]] + Military!$CL$26*TblMili[[#This Row],[Sec. rec. Cost]]</f>
        <v>0</v>
      </c>
      <c r="AW22" s="69" t="n">
        <f aca="false">Military!$CL$24*TblMili[[#This Row],[Sec. rec. Cost]]+TblImps[[#This Row],[O1]]-TblProd[[#This Row],[Bank Ore]]</f>
        <v>0</v>
      </c>
      <c r="AX22" s="69" t="n">
        <f aca="false">TblImps[[#This Row],[G1]]-TblProd[[#This Row],[Bank Gems]]</f>
        <v>0</v>
      </c>
      <c r="AY22" s="132"/>
      <c r="AZ22" s="33" t="n">
        <f aca="false">IF(TblProd[[#This Row],[Set Guard]]&lt;&gt;"",TblProd[[#This Row],[Set Guard]],OFFSET(TblProd[[#This Row],[Guard]],-1,0))</f>
        <v>0</v>
      </c>
      <c r="BA22" s="145"/>
      <c r="BB22" s="151" t="n">
        <f aca="false">TblProd[[#This Row],[Hour]]</f>
        <v>19</v>
      </c>
      <c r="BC22" s="152" t="n">
        <f aca="false">-TblProd[[#This Row],[Bank Lumber]] / 2 + -TblProd[[#This Row],[Bank Gems]] * 2 + -TblProd[[#This Row],[Bank Ore]] / 2</f>
        <v>0</v>
      </c>
      <c r="BD22" s="152"/>
      <c r="BE22" s="152"/>
      <c r="BF22" s="152"/>
      <c r="BG22" s="153" t="n">
        <f aca="false">TblProd[[#This Row],[Time]]</f>
        <v>45430.5</v>
      </c>
      <c r="BH2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69" t="n">
        <f aca="false">TblProd[[#This Row],[Platinum]]</f>
        <v>1245</v>
      </c>
      <c r="BJ22" s="69" t="n">
        <f aca="false">TblProd[[#This Row],[Food]]</f>
        <v>33069</v>
      </c>
      <c r="BK22" s="69" t="n">
        <f aca="false">TblProd[[#This Row],[Lumber]]</f>
        <v>4109</v>
      </c>
      <c r="BL22" s="69" t="n">
        <f aca="false">TblProd[[#This Row],[Mana]]</f>
        <v>1320</v>
      </c>
      <c r="BM22" s="69" t="n">
        <f aca="false">TblProd[[#This Row],[Ore]]</f>
        <v>0</v>
      </c>
    </row>
    <row r="23" customFormat="false" ht="12.75" hidden="false" customHeight="false" outlineLevel="0" collapsed="false">
      <c r="A23" s="128" t="n">
        <v>20</v>
      </c>
      <c r="B23" s="144" t="n">
        <f aca="false">TblImps[[#This Row],[Time]]</f>
        <v>45430.5416666667</v>
      </c>
      <c r="C23" s="145"/>
      <c r="D23" s="146"/>
      <c r="E23" s="69" t="n">
        <f aca="false">TblConstr[[#This Row],[Land]]</f>
        <v>276</v>
      </c>
      <c r="F23" s="69" t="n">
        <f aca="false">TblPop[[#This Row],[Peasants]]</f>
        <v>2630</v>
      </c>
      <c r="G23" s="69" t="e">
        <f aca="false">TblMili[[#This Row],[Networth (2)]]</f>
        <v>#VALUE!</v>
      </c>
      <c r="H23" s="69" t="n">
        <f aca="false">OFFSET(TblProd[[#This Row],[Platinum]],-1,0)+OFFSET(TblProd[[#This Row],[Plat/hr]],-1,0) - TblProd[[#This Row],[Expenses Platinum]] + IF(TblProd[[#This Row],[Plat Bonus]],TblPop[[#This Row],[Peasants]]*4) + SUM(TblConstr[[#This Row],[Dest Hom]:[Dest Doc]])*TblConstr[[#This Row],[CPA Platinum -DB]]*tech_3_3_2*TblTech[[#This Row],[3-3]]</f>
        <v>1024</v>
      </c>
      <c r="I23" s="69" t="n">
        <f aca="false">OFFSET(TblProd[[#This Row],[Food]],-1,0)+OFFSET(TblProd[[#This Row],[Food/hr]],-1,0)+ROUNDUP((TblConstr[[#This Row],[Farms]]*80+TblConstr[[#This Row],[Docks]]*35)*(1+OFFSET(TblProd[[#This Row],[Bonus Food/hr]],-1,0)),0)</f>
        <v>32493</v>
      </c>
      <c r="J23" s="69" t="n">
        <f aca="false">OFFSET(TblProd[[#This Row],[Lumber]],-1,0)+OFFSET(TblProd[[#This Row],[Lumber/hr]],-1,0) - TblProd[[#This Row],[Expenses Lumber]] + SUM(TblConstr[[#This Row],[Dest Hom]:[Dest Doc]])*TblConstr[[#This Row],[CPA Lumber -DB]]*tech_3_3_2*TblTech[[#This Row],[3-3]]</f>
        <v>4921</v>
      </c>
      <c r="K23" s="69" t="n">
        <f aca="false">OFFSET(TblProd[[#This Row],[Mana]],-1,0)+OFFSET(TblProd[[#This Row],[Mana/hr]],-1,0)- TblProd[[#This Row],[Expenses Mana]]</f>
        <v>1669</v>
      </c>
      <c r="L23" s="69" t="n">
        <f aca="false">OFFSET(TblProd[[#This Row],[Ore]],-1,0)+OFFSET(TblProd[[#This Row],[Ore/hr]],-1,0) -TblProd[[#This Row],[Expenses Ore]]</f>
        <v>0</v>
      </c>
      <c r="M23" s="69" t="n">
        <f aca="false">OFFSET(TblProd[[#This Row],[Gems]],-1,0)+OFFSET(TblProd[[#This Row],[Gems/hr]],-1,0) - TblProd[[#This Row],[Expenses Gems]]</f>
        <v>0</v>
      </c>
      <c r="N23" s="69" t="n">
        <f aca="false">OFFSET(TblProd[[#This Row],[Boats]],-1,0)+OFFSET(TblProd[[#This Row],[Boats/hr]],-1,0)</f>
        <v>0</v>
      </c>
      <c r="O23" s="69" t="n">
        <f aca="false">OFFSET(TblProd[[#This Row],[Prestige]],-1,0)</f>
        <v>250</v>
      </c>
      <c r="P2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69" t="n">
        <f aca="false">MAX(3750,_xlfn.CEILING.MATH(TblProd[[#This Row],[Land]]*2.5+OFFSET(TblTech[[#This Row],[Sum of tech]],-1,0)*150))</f>
        <v>3750</v>
      </c>
      <c r="R23" s="132"/>
      <c r="S23" s="69" t="n">
        <f aca="false">ROUNDDOWN(TblProd[[#This Row],[Raw Plat/hr]]*(1+TblProd[[#This Row],[Bonus Plat/hr]]),0)</f>
        <v>11276</v>
      </c>
      <c r="T23" s="69" t="n">
        <f aca="false">ROUND(TblProd[[#This Row],[Raw Food/hr]]*(1+TblProd[[#This Row],[Bonus Food/hr]])-TblProd[[#This Row],[Food decay]]-TblProd[[#This Row],[Food eaten]],0)</f>
        <v>-605</v>
      </c>
      <c r="U23" s="69" t="n">
        <f aca="false">ROUND(TblProd[[#This Row],[Raw Lumber/hr]]*(1+TblProd[[#This Row],[Bonus Lumber/hr]])-TblProd[[#This Row],[Lumber rot]],0)</f>
        <v>851</v>
      </c>
      <c r="V23" s="69" t="n">
        <f aca="false">ROUND(TblProd[[#This Row],[Raw Mana/hr]]*(1+TblProd[[#This Row],[Bonus Mana/hr]])-TblProd[[#This Row],[Mana drain]],0)</f>
        <v>342</v>
      </c>
      <c r="W23" s="69" t="n">
        <f aca="false">ROUNDDOWN(TblProd[[#This Row],[Raw Ore/hr]]*(1+TblProd[[#This Row],[Bonux Ore/hr]]),0)</f>
        <v>0</v>
      </c>
      <c r="X23" s="69" t="n">
        <f aca="false">ROUNDDOWN(TblProd[[#This Row],[Raw Gems/hr]]*(1+TblProd[[#This Row],[Bonus Gems/hr]]),0)</f>
        <v>0</v>
      </c>
      <c r="Y23" s="148" t="n">
        <f aca="false">OFFSET(TblConstr[[#This Row],[Tot Doc]],1,0)*dock_boats_hr * (1 + tech_4_1*TblTech[[#This Row],[4-1]])</f>
        <v>0</v>
      </c>
      <c r="Z23" s="146"/>
      <c r="AA23" s="69" t="n">
        <f aca="false">TblPop[[#This Row],[Peasants]]*tax*TblPop[[#This Row],[Employment]] + (Construction!AZ24+Construction!BX24)*(alch_plat+(Magic!AM23&gt;0)*alchemist_flame_bonus)</f>
        <v>10251</v>
      </c>
      <c r="AB23" s="69" t="n">
        <f aca="false">TblConstr[[#This Row],[Tot Farm]]*farm_food + TblConstr[[#This Row],[Tot Doc]]*dock_food</f>
        <v>400</v>
      </c>
      <c r="AC23" s="69" t="n">
        <f aca="false">TblConstr[[#This Row],[Tot Ly]]*ly_lumber + TblConstr[[#This Row],[Tot Hav]]*fh_lumber</f>
        <v>1000</v>
      </c>
      <c r="AD23" s="69" t="n">
        <f aca="false">OFFSET(TblConstr[[#This Row],[Tot Tow]],1,0)*(tower_mana + tech_4_5*TblTech[[#This Row],[4-5]]) + OFFSET(TblConstr[[#This Row],[Tot WG]],1,0)*wg_mana_prod</f>
        <v>375</v>
      </c>
      <c r="AE23" s="69" t="n">
        <f aca="false">OFFSET(TblConstr[[#This Row],[Tot OM]],1,0)*om_ore+IF(race="Dwarf",ROUNDDOWN(TblMili[[#This Row],[Unit 2]]*0.4,0),)</f>
        <v>0</v>
      </c>
      <c r="AF23" s="69" t="n">
        <f aca="false">OFFSET(TblConstr[[#This Row],[Tot DM]],1,0)*dm_gems</f>
        <v>0</v>
      </c>
      <c r="AG23" s="132"/>
      <c r="AH23" s="149" t="n">
        <f aca="false">MIN(race_platinum_bonus + IF(TblMagic[[#This Row],[Active Alch Frost]]&gt;0,alch_frost_bonus,IF(Magic!AD23&gt;0,midas_bonus)) + TblImps[[#This Row],[Science]] - TblProd[[#This Row],[Guard]]*(0.02 + tech_5_7*TblTech[[#This Row],[5-7]]) + tech_1_5*TblTech[[#This Row],[1-5]] + tech_4_4*TblTech[[#This Row],[4-4]], 0.5)</f>
        <v>0.1</v>
      </c>
      <c r="AI2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3" s="149" t="n">
        <f aca="false">race_lumber_bonus+ IF(TblMagic[[#This Row],[Active Gaia''s Blessing]]&gt;0,gaias_blessing_lumber)+ tech_1_3*TblTech[[#This Row],[1-3]] + tech_1_6*TblTech[[#This Row],[1-6]] + tech_3_3*TblTech[[#This Row],[3-3]]</f>
        <v>-0.1</v>
      </c>
      <c r="AK23" s="149" t="n">
        <f aca="false">race_mana_bonus+ 0 + TblImps[[#This Row],[Towers]] + tech_1_2*TblTech[[#This Row],[1-2]] + tech_3_4*TblTech[[#This Row],[3-4]]</f>
        <v>0</v>
      </c>
      <c r="AL23" s="149" t="n">
        <f aca="false">race_ore_bonus + IF(TblMagic[[#This Row],[Active Miner''s Sight]]&gt;0,miners_sight_bonus,IF(TblMagic[[#This Row],[Active Mining Strength]]&gt;0,mining_strength_bonus)) +  tech_1_6*TblTech[[#This Row],[1-6]]</f>
        <v>0</v>
      </c>
      <c r="AM23" s="149" t="n">
        <f aca="false">race_gem_bonus+ tech_3_2*TblTech[[#This Row],[3-2]] + tech_4_3*TblTech[[#This Row],[4-3]] + tech_6_2*TblTech[[#This Row],[6-2]]</f>
        <v>0.15</v>
      </c>
      <c r="AN23" s="132"/>
      <c r="AO23" s="69" t="n">
        <f aca="false">TblProd[[#This Row],[Food]]*food_decay * (1 + tech_2_1*TblTech[[#This Row],[2-1]] + tech_2_8*TblTech[[#This Row],[2-8]])</f>
        <v>324.93</v>
      </c>
      <c r="AP23" s="69" t="n">
        <f aca="false">(1+race_food_consumption)*TblPop[[#This Row],[Total]]*food_per_person*(1+tech_1_10*TblTech[[#This Row],[1-10]]+tech_7_5*TblTech[[#This Row],[7-5]])</f>
        <v>690</v>
      </c>
      <c r="AQ23" s="69" t="n">
        <f aca="false">TblProd[[#This Row],[Lumber]]*lumber_rot * (1 + tech_2_1*TblTech[[#This Row],[2-1]] + tech_2_8*TblTech[[#This Row],[2-8]] + tech_5_2*TblTech[[#This Row],[5-2]])</f>
        <v>49.21</v>
      </c>
      <c r="AR23" s="69" t="n">
        <f aca="false">TblProd[[#This Row],[Mana]]*mana_drain * (1 + tech_2_1*TblTech[[#This Row],[2-1]] + tech_2_8*TblTech[[#This Row],[2-8]])</f>
        <v>33.38</v>
      </c>
      <c r="AS23" s="146"/>
      <c r="AT23" s="69" t="n">
        <f aca="false">TblExplore[[#This Row],[Platinum (2)]]+TblConstr[[#This Row],[Total Plat Cost]]+TblMili[[#This Row],[Plat Cost]]+TblRezone[[#This Row],[Platinum cost]]+TblImps[[#This Row],[P1]]-TblProd[[#This Row],[Bank Plat]]</f>
        <v>11021</v>
      </c>
      <c r="AU23" s="69" t="n">
        <f aca="false">TblConstr[[#This Row],[Total Lum Cost]]+TblImps[[#This Row],[L1]]-TblProd[[#This Row],[Bank Lumber]] + Military!$CL$25*TblMili[[#This Row],[Sec. rec. Cost]]</f>
        <v>47</v>
      </c>
      <c r="AV23" s="69" t="n">
        <f aca="false">TblMagic[[#This Row],[Mana cost]] + Military!$CL$26*TblMili[[#This Row],[Sec. rec. Cost]]</f>
        <v>0</v>
      </c>
      <c r="AW23" s="69" t="n">
        <f aca="false">Military!$CL$24*TblMili[[#This Row],[Sec. rec. Cost]]+TblImps[[#This Row],[O1]]-TblProd[[#This Row],[Bank Ore]]</f>
        <v>0</v>
      </c>
      <c r="AX23" s="69" t="n">
        <f aca="false">TblImps[[#This Row],[G1]]-TblProd[[#This Row],[Bank Gems]]</f>
        <v>0</v>
      </c>
      <c r="AY23" s="132"/>
      <c r="AZ23" s="33" t="n">
        <f aca="false">IF(TblProd[[#This Row],[Set Guard]]&lt;&gt;"",TblProd[[#This Row],[Set Guard]],OFFSET(TblProd[[#This Row],[Guard]],-1,0))</f>
        <v>0</v>
      </c>
      <c r="BA23" s="145"/>
      <c r="BB23" s="151" t="n">
        <f aca="false">TblProd[[#This Row],[Hour]]</f>
        <v>20</v>
      </c>
      <c r="BC23" s="152" t="n">
        <f aca="false">-TblProd[[#This Row],[Bank Lumber]] / 2 + -TblProd[[#This Row],[Bank Gems]] * 2 + -TblProd[[#This Row],[Bank Ore]] / 2</f>
        <v>0</v>
      </c>
      <c r="BD23" s="152"/>
      <c r="BE23" s="152"/>
      <c r="BF23" s="152"/>
      <c r="BG23" s="153" t="n">
        <f aca="false">TblProd[[#This Row],[Time]]</f>
        <v>45430.5416666667</v>
      </c>
      <c r="BH2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69" t="n">
        <f aca="false">TblProd[[#This Row],[Platinum]]</f>
        <v>1024</v>
      </c>
      <c r="BJ23" s="69" t="n">
        <f aca="false">TblProd[[#This Row],[Food]]</f>
        <v>32493</v>
      </c>
      <c r="BK23" s="69" t="n">
        <f aca="false">TblProd[[#This Row],[Lumber]]</f>
        <v>4921</v>
      </c>
      <c r="BL23" s="69" t="n">
        <f aca="false">TblProd[[#This Row],[Mana]]</f>
        <v>1669</v>
      </c>
      <c r="BM23" s="69" t="n">
        <f aca="false">TblProd[[#This Row],[Ore]]</f>
        <v>0</v>
      </c>
    </row>
    <row r="24" customFormat="false" ht="12.75" hidden="false" customHeight="false" outlineLevel="0" collapsed="false">
      <c r="A24" s="128" t="n">
        <v>21</v>
      </c>
      <c r="B24" s="144" t="n">
        <f aca="false">TblImps[[#This Row],[Time]]</f>
        <v>45430.5833333333</v>
      </c>
      <c r="C24" s="145"/>
      <c r="D24" s="146"/>
      <c r="E24" s="69" t="n">
        <f aca="false">TblConstr[[#This Row],[Land]]</f>
        <v>277</v>
      </c>
      <c r="F24" s="69" t="n">
        <f aca="false">TblPop[[#This Row],[Peasants]]</f>
        <v>2801</v>
      </c>
      <c r="G24" s="69" t="e">
        <f aca="false">TblMili[[#This Row],[Networth (2)]]</f>
        <v>#VALUE!</v>
      </c>
      <c r="H24" s="69" t="n">
        <f aca="false">OFFSET(TblProd[[#This Row],[Platinum]],-1,0)+OFFSET(TblProd[[#This Row],[Plat/hr]],-1,0) - TblProd[[#This Row],[Expenses Platinum]] + IF(TblProd[[#This Row],[Plat Bonus]],TblPop[[#This Row],[Peasants]]*4) + SUM(TblConstr[[#This Row],[Dest Hom]:[Dest Doc]])*TblConstr[[#This Row],[CPA Platinum -DB]]*tech_3_3_2*TblTech[[#This Row],[3-3]]</f>
        <v>1231</v>
      </c>
      <c r="I24" s="69" t="n">
        <f aca="false">OFFSET(TblProd[[#This Row],[Food]],-1,0)+OFFSET(TblProd[[#This Row],[Food/hr]],-1,0)+ROUNDUP((TblConstr[[#This Row],[Farms]]*80+TblConstr[[#This Row],[Docks]]*35)*(1+OFFSET(TblProd[[#This Row],[Bonus Food/hr]],-1,0)),0)</f>
        <v>31888</v>
      </c>
      <c r="J24" s="69" t="n">
        <f aca="false">OFFSET(TblProd[[#This Row],[Lumber]],-1,0)+OFFSET(TblProd[[#This Row],[Lumber/hr]],-1,0) - TblProd[[#This Row],[Expenses Lumber]] + SUM(TblConstr[[#This Row],[Dest Hom]:[Dest Doc]])*TblConstr[[#This Row],[CPA Lumber -DB]]*tech_3_3_2*TblTech[[#This Row],[3-3]]</f>
        <v>5725</v>
      </c>
      <c r="K24" s="69" t="n">
        <f aca="false">OFFSET(TblProd[[#This Row],[Mana]],-1,0)+OFFSET(TblProd[[#This Row],[Mana/hr]],-1,0)- TblProd[[#This Row],[Expenses Mana]]</f>
        <v>2011</v>
      </c>
      <c r="L24" s="69" t="n">
        <f aca="false">OFFSET(TblProd[[#This Row],[Ore]],-1,0)+OFFSET(TblProd[[#This Row],[Ore/hr]],-1,0) -TblProd[[#This Row],[Expenses Ore]]</f>
        <v>0</v>
      </c>
      <c r="M24" s="69" t="n">
        <f aca="false">OFFSET(TblProd[[#This Row],[Gems]],-1,0)+OFFSET(TblProd[[#This Row],[Gems/hr]],-1,0) - TblProd[[#This Row],[Expenses Gems]]</f>
        <v>0</v>
      </c>
      <c r="N24" s="69" t="n">
        <f aca="false">OFFSET(TblProd[[#This Row],[Boats]],-1,0)+OFFSET(TblProd[[#This Row],[Boats/hr]],-1,0)</f>
        <v>0</v>
      </c>
      <c r="O24" s="69" t="n">
        <f aca="false">OFFSET(TblProd[[#This Row],[Prestige]],-1,0)</f>
        <v>250</v>
      </c>
      <c r="P2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69" t="n">
        <f aca="false">MAX(3750,_xlfn.CEILING.MATH(TblProd[[#This Row],[Land]]*2.5+OFFSET(TblTech[[#This Row],[Sum of tech]],-1,0)*150))</f>
        <v>3750</v>
      </c>
      <c r="R24" s="132"/>
      <c r="S24" s="69" t="n">
        <f aca="false">ROUNDDOWN(TblProd[[#This Row],[Raw Plat/hr]]*(1+TblProd[[#This Row],[Bonus Plat/hr]]),0)</f>
        <v>11783</v>
      </c>
      <c r="T24" s="69" t="n">
        <f aca="false">ROUND(TblProd[[#This Row],[Raw Food/hr]]*(1+TblProd[[#This Row],[Bonus Food/hr]])-TblProd[[#This Row],[Food decay]]-TblProd[[#This Row],[Food eaten]],0)</f>
        <v>-636</v>
      </c>
      <c r="U24" s="69" t="n">
        <f aca="false">ROUND(TblProd[[#This Row],[Raw Lumber/hr]]*(1+TblProd[[#This Row],[Bonus Lumber/hr]])-TblProd[[#This Row],[Lumber rot]],0)</f>
        <v>843</v>
      </c>
      <c r="V24" s="69" t="n">
        <f aca="false">ROUND(TblProd[[#This Row],[Raw Mana/hr]]*(1+TblProd[[#This Row],[Bonus Mana/hr]])-TblProd[[#This Row],[Mana drain]],0)</f>
        <v>335</v>
      </c>
      <c r="W24" s="69" t="n">
        <f aca="false">ROUNDDOWN(TblProd[[#This Row],[Raw Ore/hr]]*(1+TblProd[[#This Row],[Bonux Ore/hr]]),0)</f>
        <v>0</v>
      </c>
      <c r="X24" s="69" t="n">
        <f aca="false">ROUNDDOWN(TblProd[[#This Row],[Raw Gems/hr]]*(1+TblProd[[#This Row],[Bonus Gems/hr]]),0)</f>
        <v>0</v>
      </c>
      <c r="Y24" s="148" t="n">
        <f aca="false">OFFSET(TblConstr[[#This Row],[Tot Doc]],1,0)*dock_boats_hr * (1 + tech_4_1*TblTech[[#This Row],[4-1]])</f>
        <v>0</v>
      </c>
      <c r="Z24" s="146"/>
      <c r="AA24" s="69" t="n">
        <f aca="false">TblPop[[#This Row],[Peasants]]*tax*TblPop[[#This Row],[Employment]] + (Construction!AZ25+Construction!BX25)*(alch_plat+(Magic!AM24&gt;0)*alchemist_flame_bonus)</f>
        <v>10712.7</v>
      </c>
      <c r="AB24" s="69" t="n">
        <f aca="false">TblConstr[[#This Row],[Tot Farm]]*farm_food + TblConstr[[#This Row],[Tot Doc]]*dock_food</f>
        <v>400</v>
      </c>
      <c r="AC24" s="69" t="n">
        <f aca="false">TblConstr[[#This Row],[Tot Ly]]*ly_lumber + TblConstr[[#This Row],[Tot Hav]]*fh_lumber</f>
        <v>1000</v>
      </c>
      <c r="AD24" s="69" t="n">
        <f aca="false">OFFSET(TblConstr[[#This Row],[Tot Tow]],1,0)*(tower_mana + tech_4_5*TblTech[[#This Row],[4-5]]) + OFFSET(TblConstr[[#This Row],[Tot WG]],1,0)*wg_mana_prod</f>
        <v>375</v>
      </c>
      <c r="AE24" s="69" t="n">
        <f aca="false">OFFSET(TblConstr[[#This Row],[Tot OM]],1,0)*om_ore+IF(race="Dwarf",ROUNDDOWN(TblMili[[#This Row],[Unit 2]]*0.4,0),)</f>
        <v>0</v>
      </c>
      <c r="AF24" s="69" t="n">
        <f aca="false">OFFSET(TblConstr[[#This Row],[Tot DM]],1,0)*dm_gems</f>
        <v>0</v>
      </c>
      <c r="AG24" s="132"/>
      <c r="AH24" s="149" t="n">
        <f aca="false">MIN(race_platinum_bonus + IF(TblMagic[[#This Row],[Active Alch Frost]]&gt;0,alch_frost_bonus,IF(Magic!AD24&gt;0,midas_bonus)) + TblImps[[#This Row],[Science]] - TblProd[[#This Row],[Guard]]*(0.02 + tech_5_7*TblTech[[#This Row],[5-7]]) + tech_1_5*TblTech[[#This Row],[1-5]] + tech_4_4*TblTech[[#This Row],[4-4]], 0.5)</f>
        <v>0.1</v>
      </c>
      <c r="AI2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4" s="149" t="n">
        <f aca="false">race_lumber_bonus+ IF(TblMagic[[#This Row],[Active Gaia''s Blessing]]&gt;0,gaias_blessing_lumber)+ tech_1_3*TblTech[[#This Row],[1-3]] + tech_1_6*TblTech[[#This Row],[1-6]] + tech_3_3*TblTech[[#This Row],[3-3]]</f>
        <v>-0.1</v>
      </c>
      <c r="AK24" s="149" t="n">
        <f aca="false">race_mana_bonus+ 0 + TblImps[[#This Row],[Towers]] + tech_1_2*TblTech[[#This Row],[1-2]] + tech_3_4*TblTech[[#This Row],[3-4]]</f>
        <v>0</v>
      </c>
      <c r="AL24" s="149" t="n">
        <f aca="false">race_ore_bonus + IF(TblMagic[[#This Row],[Active Miner''s Sight]]&gt;0,miners_sight_bonus,IF(TblMagic[[#This Row],[Active Mining Strength]]&gt;0,mining_strength_bonus)) +  tech_1_6*TblTech[[#This Row],[1-6]]</f>
        <v>0</v>
      </c>
      <c r="AM24" s="149" t="n">
        <f aca="false">race_gem_bonus+ tech_3_2*TblTech[[#This Row],[3-2]] + tech_4_3*TblTech[[#This Row],[4-3]] + tech_6_2*TblTech[[#This Row],[6-2]]</f>
        <v>0.15</v>
      </c>
      <c r="AN24" s="132"/>
      <c r="AO24" s="69" t="n">
        <f aca="false">TblProd[[#This Row],[Food]]*food_decay * (1 + tech_2_1*TblTech[[#This Row],[2-1]] + tech_2_8*TblTech[[#This Row],[2-8]])</f>
        <v>318.88</v>
      </c>
      <c r="AP24" s="69" t="n">
        <f aca="false">(1+race_food_consumption)*TblPop[[#This Row],[Total]]*food_per_person*(1+tech_1_10*TblTech[[#This Row],[1-10]]+tech_7_5*TblTech[[#This Row],[7-5]])</f>
        <v>727.25</v>
      </c>
      <c r="AQ24" s="69" t="n">
        <f aca="false">TblProd[[#This Row],[Lumber]]*lumber_rot * (1 + tech_2_1*TblTech[[#This Row],[2-1]] + tech_2_8*TblTech[[#This Row],[2-8]] + tech_5_2*TblTech[[#This Row],[5-2]])</f>
        <v>57.25</v>
      </c>
      <c r="AR24" s="69" t="n">
        <f aca="false">TblProd[[#This Row],[Mana]]*mana_drain * (1 + tech_2_1*TblTech[[#This Row],[2-1]] + tech_2_8*TblTech[[#This Row],[2-8]])</f>
        <v>40.22</v>
      </c>
      <c r="AS24" s="146"/>
      <c r="AT24" s="69" t="n">
        <f aca="false">TblExplore[[#This Row],[Platinum (2)]]+TblConstr[[#This Row],[Total Plat Cost]]+TblMili[[#This Row],[Plat Cost]]+TblRezone[[#This Row],[Platinum cost]]+TblImps[[#This Row],[P1]]-TblProd[[#This Row],[Bank Plat]]</f>
        <v>11069</v>
      </c>
      <c r="AU24" s="69" t="n">
        <f aca="false">TblConstr[[#This Row],[Total Lum Cost]]+TblImps[[#This Row],[L1]]-TblProd[[#This Row],[Bank Lumber]] + Military!$CL$25*TblMili[[#This Row],[Sec. rec. Cost]]</f>
        <v>47</v>
      </c>
      <c r="AV24" s="69" t="n">
        <f aca="false">TblMagic[[#This Row],[Mana cost]] + Military!$CL$26*TblMili[[#This Row],[Sec. rec. Cost]]</f>
        <v>0</v>
      </c>
      <c r="AW24" s="69" t="n">
        <f aca="false">Military!$CL$24*TblMili[[#This Row],[Sec. rec. Cost]]+TblImps[[#This Row],[O1]]-TblProd[[#This Row],[Bank Ore]]</f>
        <v>0</v>
      </c>
      <c r="AX24" s="69" t="n">
        <f aca="false">TblImps[[#This Row],[G1]]-TblProd[[#This Row],[Bank Gems]]</f>
        <v>0</v>
      </c>
      <c r="AY24" s="132"/>
      <c r="AZ24" s="33" t="n">
        <f aca="false">IF(TblProd[[#This Row],[Set Guard]]&lt;&gt;"",TblProd[[#This Row],[Set Guard]],OFFSET(TblProd[[#This Row],[Guard]],-1,0))</f>
        <v>0</v>
      </c>
      <c r="BA24" s="145"/>
      <c r="BB24" s="151" t="n">
        <f aca="false">TblProd[[#This Row],[Hour]]</f>
        <v>21</v>
      </c>
      <c r="BC24" s="152" t="n">
        <f aca="false">-TblProd[[#This Row],[Bank Lumber]] / 2 + -TblProd[[#This Row],[Bank Gems]] * 2 + -TblProd[[#This Row],[Bank Ore]] / 2</f>
        <v>0</v>
      </c>
      <c r="BD24" s="152"/>
      <c r="BE24" s="152"/>
      <c r="BF24" s="152"/>
      <c r="BG24" s="153" t="n">
        <f aca="false">TblProd[[#This Row],[Time]]</f>
        <v>45430.5833333333</v>
      </c>
      <c r="BH2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69" t="n">
        <f aca="false">TblProd[[#This Row],[Platinum]]</f>
        <v>1231</v>
      </c>
      <c r="BJ24" s="69" t="n">
        <f aca="false">TblProd[[#This Row],[Food]]</f>
        <v>31888</v>
      </c>
      <c r="BK24" s="69" t="n">
        <f aca="false">TblProd[[#This Row],[Lumber]]</f>
        <v>5725</v>
      </c>
      <c r="BL24" s="69" t="n">
        <f aca="false">TblProd[[#This Row],[Mana]]</f>
        <v>2011</v>
      </c>
      <c r="BM24" s="69" t="n">
        <f aca="false">TblProd[[#This Row],[Ore]]</f>
        <v>0</v>
      </c>
    </row>
    <row r="25" customFormat="false" ht="12.75" hidden="false" customHeight="false" outlineLevel="0" collapsed="false">
      <c r="A25" s="128" t="n">
        <v>22</v>
      </c>
      <c r="B25" s="144" t="n">
        <f aca="false">TblImps[[#This Row],[Time]]</f>
        <v>45430.625</v>
      </c>
      <c r="C25" s="145"/>
      <c r="D25" s="146"/>
      <c r="E25" s="69" t="n">
        <f aca="false">TblConstr[[#This Row],[Land]]</f>
        <v>278</v>
      </c>
      <c r="F25" s="69" t="n">
        <f aca="false">TblPop[[#This Row],[Peasants]]</f>
        <v>2982</v>
      </c>
      <c r="G25" s="69" t="e">
        <f aca="false">TblMili[[#This Row],[Networth (2)]]</f>
        <v>#VALUE!</v>
      </c>
      <c r="H25" s="69" t="n">
        <f aca="false">OFFSET(TblProd[[#This Row],[Platinum]],-1,0)+OFFSET(TblProd[[#This Row],[Plat/hr]],-1,0) - TblProd[[#This Row],[Expenses Platinum]] + IF(TblProd[[#This Row],[Plat Bonus]],TblPop[[#This Row],[Peasants]]*4) + SUM(TblConstr[[#This Row],[Dest Hom]:[Dest Doc]])*TblConstr[[#This Row],[CPA Platinum -DB]]*tech_3_3_2*TblTech[[#This Row],[3-3]]</f>
        <v>9969</v>
      </c>
      <c r="I25" s="69" t="n">
        <f aca="false">OFFSET(TblProd[[#This Row],[Food]],-1,0)+OFFSET(TblProd[[#This Row],[Food/hr]],-1,0)+ROUNDUP((TblConstr[[#This Row],[Farms]]*80+TblConstr[[#This Row],[Docks]]*35)*(1+OFFSET(TblProd[[#This Row],[Bonus Food/hr]],-1,0)),0)</f>
        <v>31252</v>
      </c>
      <c r="J25" s="69" t="n">
        <f aca="false">OFFSET(TblProd[[#This Row],[Lumber]],-1,0)+OFFSET(TblProd[[#This Row],[Lumber/hr]],-1,0) - TblProd[[#This Row],[Expenses Lumber]] + SUM(TblConstr[[#This Row],[Dest Hom]:[Dest Doc]])*TblConstr[[#This Row],[CPA Lumber -DB]]*tech_3_3_2*TblTech[[#This Row],[3-3]]</f>
        <v>6521</v>
      </c>
      <c r="K25" s="69" t="n">
        <f aca="false">OFFSET(TblProd[[#This Row],[Mana]],-1,0)+OFFSET(TblProd[[#This Row],[Mana/hr]],-1,0)- TblProd[[#This Row],[Expenses Mana]]</f>
        <v>2346</v>
      </c>
      <c r="L25" s="69" t="n">
        <f aca="false">OFFSET(TblProd[[#This Row],[Ore]],-1,0)+OFFSET(TblProd[[#This Row],[Ore/hr]],-1,0) -TblProd[[#This Row],[Expenses Ore]]</f>
        <v>0</v>
      </c>
      <c r="M25" s="69" t="n">
        <f aca="false">OFFSET(TblProd[[#This Row],[Gems]],-1,0)+OFFSET(TblProd[[#This Row],[Gems/hr]],-1,0) - TblProd[[#This Row],[Expenses Gems]]</f>
        <v>0</v>
      </c>
      <c r="N25" s="69" t="n">
        <f aca="false">OFFSET(TblProd[[#This Row],[Boats]],-1,0)+OFFSET(TblProd[[#This Row],[Boats/hr]],-1,0)</f>
        <v>0</v>
      </c>
      <c r="O25" s="69" t="n">
        <f aca="false">OFFSET(TblProd[[#This Row],[Prestige]],-1,0)</f>
        <v>250</v>
      </c>
      <c r="P2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69" t="n">
        <f aca="false">MAX(3750,_xlfn.CEILING.MATH(TblProd[[#This Row],[Land]]*2.5+OFFSET(TblTech[[#This Row],[Sum of tech]],-1,0)*150))</f>
        <v>3750</v>
      </c>
      <c r="R25" s="132"/>
      <c r="S25" s="69" t="n">
        <f aca="false">ROUNDDOWN(TblProd[[#This Row],[Raw Plat/hr]]*(1+TblProd[[#This Row],[Bonus Plat/hr]]),0)</f>
        <v>12321</v>
      </c>
      <c r="T25" s="69" t="n">
        <f aca="false">ROUND(TblProd[[#This Row],[Raw Food/hr]]*(1+TblProd[[#This Row],[Bonus Food/hr]])-TblProd[[#This Row],[Food decay]]-TblProd[[#This Row],[Food eaten]],0)</f>
        <v>-679</v>
      </c>
      <c r="U25" s="69" t="n">
        <f aca="false">ROUND(TblProd[[#This Row],[Raw Lumber/hr]]*(1+TblProd[[#This Row],[Bonus Lumber/hr]])-TblProd[[#This Row],[Lumber rot]],0)</f>
        <v>835</v>
      </c>
      <c r="V25" s="69" t="n">
        <f aca="false">ROUND(TblProd[[#This Row],[Raw Mana/hr]]*(1+TblProd[[#This Row],[Bonus Mana/hr]])-TblProd[[#This Row],[Mana drain]],0)</f>
        <v>328</v>
      </c>
      <c r="W25" s="69" t="n">
        <f aca="false">ROUNDDOWN(TblProd[[#This Row],[Raw Ore/hr]]*(1+TblProd[[#This Row],[Bonux Ore/hr]]),0)</f>
        <v>0</v>
      </c>
      <c r="X25" s="69" t="n">
        <f aca="false">ROUNDDOWN(TblProd[[#This Row],[Raw Gems/hr]]*(1+TblProd[[#This Row],[Bonus Gems/hr]]),0)</f>
        <v>0</v>
      </c>
      <c r="Y25" s="148" t="n">
        <f aca="false">OFFSET(TblConstr[[#This Row],[Tot Doc]],1,0)*dock_boats_hr * (1 + tech_4_1*TblTech[[#This Row],[4-1]])</f>
        <v>0</v>
      </c>
      <c r="Z25" s="146"/>
      <c r="AA25" s="69" t="n">
        <f aca="false">TblPop[[#This Row],[Peasants]]*tax*TblPop[[#This Row],[Employment]] + (Construction!AZ26+Construction!BX26)*(alch_plat+(Magic!AM25&gt;0)*alchemist_flame_bonus)</f>
        <v>11201.4</v>
      </c>
      <c r="AB25" s="69" t="n">
        <f aca="false">TblConstr[[#This Row],[Tot Farm]]*farm_food + TblConstr[[#This Row],[Tot Doc]]*dock_food</f>
        <v>400</v>
      </c>
      <c r="AC25" s="69" t="n">
        <f aca="false">TblConstr[[#This Row],[Tot Ly]]*ly_lumber + TblConstr[[#This Row],[Tot Hav]]*fh_lumber</f>
        <v>1000</v>
      </c>
      <c r="AD25" s="69" t="n">
        <f aca="false">OFFSET(TblConstr[[#This Row],[Tot Tow]],1,0)*(tower_mana + tech_4_5*TblTech[[#This Row],[4-5]]) + OFFSET(TblConstr[[#This Row],[Tot WG]],1,0)*wg_mana_prod</f>
        <v>375</v>
      </c>
      <c r="AE25" s="69" t="n">
        <f aca="false">OFFSET(TblConstr[[#This Row],[Tot OM]],1,0)*om_ore+IF(race="Dwarf",ROUNDDOWN(TblMili[[#This Row],[Unit 2]]*0.4,0),)</f>
        <v>0</v>
      </c>
      <c r="AF25" s="69" t="n">
        <f aca="false">OFFSET(TblConstr[[#This Row],[Tot DM]],1,0)*dm_gems</f>
        <v>0</v>
      </c>
      <c r="AG25" s="132"/>
      <c r="AH25" s="149" t="n">
        <f aca="false">MIN(race_platinum_bonus + IF(TblMagic[[#This Row],[Active Alch Frost]]&gt;0,alch_frost_bonus,IF(Magic!AD25&gt;0,midas_bonus)) + TblImps[[#This Row],[Science]] - TblProd[[#This Row],[Guard]]*(0.02 + tech_5_7*TblTech[[#This Row],[5-7]]) + tech_1_5*TblTech[[#This Row],[1-5]] + tech_4_4*TblTech[[#This Row],[4-4]], 0.5)</f>
        <v>0.1</v>
      </c>
      <c r="AI2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5" s="149" t="n">
        <f aca="false">race_lumber_bonus+ IF(TblMagic[[#This Row],[Active Gaia''s Blessing]]&gt;0,gaias_blessing_lumber)+ tech_1_3*TblTech[[#This Row],[1-3]] + tech_1_6*TblTech[[#This Row],[1-6]] + tech_3_3*TblTech[[#This Row],[3-3]]</f>
        <v>-0.1</v>
      </c>
      <c r="AK25" s="149" t="n">
        <f aca="false">race_mana_bonus+ 0 + TblImps[[#This Row],[Towers]] + tech_1_2*TblTech[[#This Row],[1-2]] + tech_3_4*TblTech[[#This Row],[3-4]]</f>
        <v>0</v>
      </c>
      <c r="AL25" s="149" t="n">
        <f aca="false">race_ore_bonus + IF(TblMagic[[#This Row],[Active Miner''s Sight]]&gt;0,miners_sight_bonus,IF(TblMagic[[#This Row],[Active Mining Strength]]&gt;0,mining_strength_bonus)) +  tech_1_6*TblTech[[#This Row],[1-6]]</f>
        <v>0</v>
      </c>
      <c r="AM25" s="149" t="n">
        <f aca="false">race_gem_bonus+ tech_3_2*TblTech[[#This Row],[3-2]] + tech_4_3*TblTech[[#This Row],[4-3]] + tech_6_2*TblTech[[#This Row],[6-2]]</f>
        <v>0.15</v>
      </c>
      <c r="AN25" s="132"/>
      <c r="AO25" s="69" t="n">
        <f aca="false">TblProd[[#This Row],[Food]]*food_decay * (1 + tech_2_1*TblTech[[#This Row],[2-1]] + tech_2_8*TblTech[[#This Row],[2-8]])</f>
        <v>312.52</v>
      </c>
      <c r="AP25" s="69" t="n">
        <f aca="false">(1+race_food_consumption)*TblPop[[#This Row],[Total]]*food_per_person*(1+tech_1_10*TblTech[[#This Row],[1-10]]+tech_7_5*TblTech[[#This Row],[7-5]])</f>
        <v>776.5</v>
      </c>
      <c r="AQ25" s="69" t="n">
        <f aca="false">TblProd[[#This Row],[Lumber]]*lumber_rot * (1 + tech_2_1*TblTech[[#This Row],[2-1]] + tech_2_8*TblTech[[#This Row],[2-8]] + tech_5_2*TblTech[[#This Row],[5-2]])</f>
        <v>65.21</v>
      </c>
      <c r="AR25" s="69" t="n">
        <f aca="false">TblProd[[#This Row],[Mana]]*mana_drain * (1 + tech_2_1*TblTech[[#This Row],[2-1]] + tech_2_8*TblTech[[#This Row],[2-8]])</f>
        <v>46.92</v>
      </c>
      <c r="AS25" s="146"/>
      <c r="AT25" s="69" t="n">
        <f aca="false">TblExplore[[#This Row],[Platinum (2)]]+TblConstr[[#This Row],[Total Plat Cost]]+TblMili[[#This Row],[Plat Cost]]+TblRezone[[#This Row],[Platinum cost]]+TblImps[[#This Row],[P1]]-TblProd[[#This Row],[Bank Plat]]</f>
        <v>3045</v>
      </c>
      <c r="AU25" s="69" t="n">
        <f aca="false">TblConstr[[#This Row],[Total Lum Cost]]+TblImps[[#This Row],[L1]]-TblProd[[#This Row],[Bank Lumber]] + Military!$CL$25*TblMili[[#This Row],[Sec. rec. Cost]]</f>
        <v>47</v>
      </c>
      <c r="AV25" s="69" t="n">
        <f aca="false">TblMagic[[#This Row],[Mana cost]] + Military!$CL$26*TblMili[[#This Row],[Sec. rec. Cost]]</f>
        <v>0</v>
      </c>
      <c r="AW25" s="69" t="n">
        <f aca="false">Military!$CL$24*TblMili[[#This Row],[Sec. rec. Cost]]+TblImps[[#This Row],[O1]]-TblProd[[#This Row],[Bank Ore]]</f>
        <v>0</v>
      </c>
      <c r="AX25" s="69" t="n">
        <f aca="false">TblImps[[#This Row],[G1]]-TblProd[[#This Row],[Bank Gems]]</f>
        <v>0</v>
      </c>
      <c r="AY25" s="132"/>
      <c r="AZ25" s="33" t="n">
        <f aca="false">IF(TblProd[[#This Row],[Set Guard]]&lt;&gt;"",TblProd[[#This Row],[Set Guard]],OFFSET(TblProd[[#This Row],[Guard]],-1,0))</f>
        <v>0</v>
      </c>
      <c r="BA25" s="145"/>
      <c r="BB25" s="151" t="n">
        <f aca="false">TblProd[[#This Row],[Hour]]</f>
        <v>22</v>
      </c>
      <c r="BC25" s="152" t="n">
        <f aca="false">-TblProd[[#This Row],[Bank Lumber]] / 2 + -TblProd[[#This Row],[Bank Gems]] * 2 + -TblProd[[#This Row],[Bank Ore]] / 2</f>
        <v>0</v>
      </c>
      <c r="BD25" s="152"/>
      <c r="BE25" s="152"/>
      <c r="BF25" s="152"/>
      <c r="BG25" s="153" t="n">
        <f aca="false">TblProd[[#This Row],[Time]]</f>
        <v>45430.625</v>
      </c>
      <c r="BH2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69" t="n">
        <f aca="false">TblProd[[#This Row],[Platinum]]</f>
        <v>9969</v>
      </c>
      <c r="BJ25" s="69" t="n">
        <f aca="false">TblProd[[#This Row],[Food]]</f>
        <v>31252</v>
      </c>
      <c r="BK25" s="69" t="n">
        <f aca="false">TblProd[[#This Row],[Lumber]]</f>
        <v>6521</v>
      </c>
      <c r="BL25" s="69" t="n">
        <f aca="false">TblProd[[#This Row],[Mana]]</f>
        <v>2346</v>
      </c>
      <c r="BM25" s="69" t="n">
        <f aca="false">TblProd[[#This Row],[Ore]]</f>
        <v>0</v>
      </c>
    </row>
    <row r="26" customFormat="false" ht="12.75" hidden="false" customHeight="false" outlineLevel="0" collapsed="false">
      <c r="A26" s="128" t="n">
        <v>23</v>
      </c>
      <c r="B26" s="144" t="n">
        <f aca="false">TblImps[[#This Row],[Time]]</f>
        <v>45430.6666666667</v>
      </c>
      <c r="C26" s="145"/>
      <c r="D26" s="146"/>
      <c r="E26" s="69" t="n">
        <f aca="false">TblConstr[[#This Row],[Land]]</f>
        <v>279</v>
      </c>
      <c r="F26" s="69" t="n">
        <f aca="false">TblPop[[#This Row],[Peasants]]</f>
        <v>3174</v>
      </c>
      <c r="G26" s="69" t="e">
        <f aca="false">TblMili[[#This Row],[Networth (2)]]</f>
        <v>#VALUE!</v>
      </c>
      <c r="H26" s="69" t="n">
        <f aca="false">OFFSET(TblProd[[#This Row],[Platinum]],-1,0)+OFFSET(TblProd[[#This Row],[Plat/hr]],-1,0) - TblProd[[#This Row],[Expenses Platinum]] + IF(TblProd[[#This Row],[Plat Bonus]],TblPop[[#This Row],[Peasants]]*4) + SUM(TblConstr[[#This Row],[Dest Hom]:[Dest Doc]])*TblConstr[[#This Row],[CPA Platinum -DB]]*tech_3_3_2*TblTech[[#This Row],[3-3]]</f>
        <v>20132</v>
      </c>
      <c r="I26" s="69" t="n">
        <f aca="false">OFFSET(TblProd[[#This Row],[Food]],-1,0)+OFFSET(TblProd[[#This Row],[Food/hr]],-1,0)+ROUNDUP((TblConstr[[#This Row],[Farms]]*80+TblConstr[[#This Row],[Docks]]*35)*(1+OFFSET(TblProd[[#This Row],[Bonus Food/hr]],-1,0)),0)</f>
        <v>30573</v>
      </c>
      <c r="J26" s="69" t="n">
        <f aca="false">OFFSET(TblProd[[#This Row],[Lumber]],-1,0)+OFFSET(TblProd[[#This Row],[Lumber/hr]],-1,0) - TblProd[[#This Row],[Expenses Lumber]] + SUM(TblConstr[[#This Row],[Dest Hom]:[Dest Doc]])*TblConstr[[#This Row],[CPA Lumber -DB]]*tech_3_3_2*TblTech[[#This Row],[3-3]]</f>
        <v>7308</v>
      </c>
      <c r="K26" s="69" t="n">
        <f aca="false">OFFSET(TblProd[[#This Row],[Mana]],-1,0)+OFFSET(TblProd[[#This Row],[Mana/hr]],-1,0)- TblProd[[#This Row],[Expenses Mana]]</f>
        <v>2674</v>
      </c>
      <c r="L26" s="69" t="n">
        <f aca="false">OFFSET(TblProd[[#This Row],[Ore]],-1,0)+OFFSET(TblProd[[#This Row],[Ore/hr]],-1,0) -TblProd[[#This Row],[Expenses Ore]]</f>
        <v>0</v>
      </c>
      <c r="M26" s="69" t="n">
        <f aca="false">OFFSET(TblProd[[#This Row],[Gems]],-1,0)+OFFSET(TblProd[[#This Row],[Gems/hr]],-1,0) - TblProd[[#This Row],[Expenses Gems]]</f>
        <v>0</v>
      </c>
      <c r="N26" s="69" t="n">
        <f aca="false">OFFSET(TblProd[[#This Row],[Boats]],-1,0)+OFFSET(TblProd[[#This Row],[Boats/hr]],-1,0)</f>
        <v>0</v>
      </c>
      <c r="O26" s="69" t="n">
        <f aca="false">OFFSET(TblProd[[#This Row],[Prestige]],-1,0)</f>
        <v>250</v>
      </c>
      <c r="P2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69" t="n">
        <f aca="false">MAX(3750,_xlfn.CEILING.MATH(TblProd[[#This Row],[Land]]*2.5+OFFSET(TblTech[[#This Row],[Sum of tech]],-1,0)*150))</f>
        <v>3750</v>
      </c>
      <c r="R26" s="132"/>
      <c r="S26" s="69" t="n">
        <f aca="false">ROUNDDOWN(TblProd[[#This Row],[Raw Plat/hr]]*(1+TblProd[[#This Row],[Bonus Plat/hr]]),0)</f>
        <v>12891</v>
      </c>
      <c r="T26" s="69" t="n">
        <f aca="false">ROUND(TblProd[[#This Row],[Raw Food/hr]]*(1+TblProd[[#This Row],[Bonus Food/hr]])-TblProd[[#This Row],[Food decay]]-TblProd[[#This Row],[Food eaten]],0)</f>
        <v>-726</v>
      </c>
      <c r="U26" s="69" t="n">
        <f aca="false">ROUND(TblProd[[#This Row],[Raw Lumber/hr]]*(1+TblProd[[#This Row],[Bonus Lumber/hr]])-TblProd[[#This Row],[Lumber rot]],0)</f>
        <v>827</v>
      </c>
      <c r="V26" s="69" t="n">
        <f aca="false">ROUND(TblProd[[#This Row],[Raw Mana/hr]]*(1+TblProd[[#This Row],[Bonus Mana/hr]])-TblProd[[#This Row],[Mana drain]],0)</f>
        <v>322</v>
      </c>
      <c r="W26" s="69" t="n">
        <f aca="false">ROUNDDOWN(TblProd[[#This Row],[Raw Ore/hr]]*(1+TblProd[[#This Row],[Bonux Ore/hr]]),0)</f>
        <v>0</v>
      </c>
      <c r="X26" s="69" t="n">
        <f aca="false">ROUNDDOWN(TblProd[[#This Row],[Raw Gems/hr]]*(1+TblProd[[#This Row],[Bonus Gems/hr]]),0)</f>
        <v>0</v>
      </c>
      <c r="Y26" s="148" t="n">
        <f aca="false">OFFSET(TblConstr[[#This Row],[Tot Doc]],1,0)*dock_boats_hr * (1 + tech_4_1*TblTech[[#This Row],[4-1]])</f>
        <v>0</v>
      </c>
      <c r="Z26" s="146"/>
      <c r="AA26" s="69" t="n">
        <f aca="false">TblPop[[#This Row],[Peasants]]*tax*TblPop[[#This Row],[Employment]] + (Construction!AZ27+Construction!BX27)*(alch_plat+(Magic!AM26&gt;0)*alchemist_flame_bonus)</f>
        <v>11719.8</v>
      </c>
      <c r="AB26" s="69" t="n">
        <f aca="false">TblConstr[[#This Row],[Tot Farm]]*farm_food + TblConstr[[#This Row],[Tot Doc]]*dock_food</f>
        <v>400</v>
      </c>
      <c r="AC26" s="69" t="n">
        <f aca="false">TblConstr[[#This Row],[Tot Ly]]*ly_lumber + TblConstr[[#This Row],[Tot Hav]]*fh_lumber</f>
        <v>1000</v>
      </c>
      <c r="AD26" s="69" t="n">
        <f aca="false">OFFSET(TblConstr[[#This Row],[Tot Tow]],1,0)*(tower_mana + tech_4_5*TblTech[[#This Row],[4-5]]) + OFFSET(TblConstr[[#This Row],[Tot WG]],1,0)*wg_mana_prod</f>
        <v>375</v>
      </c>
      <c r="AE26" s="69" t="n">
        <f aca="false">OFFSET(TblConstr[[#This Row],[Tot OM]],1,0)*om_ore+IF(race="Dwarf",ROUNDDOWN(TblMili[[#This Row],[Unit 2]]*0.4,0),)</f>
        <v>0</v>
      </c>
      <c r="AF26" s="69" t="n">
        <f aca="false">OFFSET(TblConstr[[#This Row],[Tot DM]],1,0)*dm_gems</f>
        <v>0</v>
      </c>
      <c r="AG26" s="132"/>
      <c r="AH26" s="149" t="n">
        <f aca="false">MIN(race_platinum_bonus + IF(TblMagic[[#This Row],[Active Alch Frost]]&gt;0,alch_frost_bonus,IF(Magic!AD26&gt;0,midas_bonus)) + TblImps[[#This Row],[Science]] - TblProd[[#This Row],[Guard]]*(0.02 + tech_5_7*TblTech[[#This Row],[5-7]]) + tech_1_5*TblTech[[#This Row],[1-5]] + tech_4_4*TblTech[[#This Row],[4-4]], 0.5)</f>
        <v>0.1</v>
      </c>
      <c r="AI2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6" s="149" t="n">
        <f aca="false">race_lumber_bonus+ IF(TblMagic[[#This Row],[Active Gaia''s Blessing]]&gt;0,gaias_blessing_lumber)+ tech_1_3*TblTech[[#This Row],[1-3]] + tech_1_6*TblTech[[#This Row],[1-6]] + tech_3_3*TblTech[[#This Row],[3-3]]</f>
        <v>-0.1</v>
      </c>
      <c r="AK26" s="149" t="n">
        <f aca="false">race_mana_bonus+ 0 + TblImps[[#This Row],[Towers]] + tech_1_2*TblTech[[#This Row],[1-2]] + tech_3_4*TblTech[[#This Row],[3-4]]</f>
        <v>0</v>
      </c>
      <c r="AL26" s="149" t="n">
        <f aca="false">race_ore_bonus + IF(TblMagic[[#This Row],[Active Miner''s Sight]]&gt;0,miners_sight_bonus,IF(TblMagic[[#This Row],[Active Mining Strength]]&gt;0,mining_strength_bonus)) +  tech_1_6*TblTech[[#This Row],[1-6]]</f>
        <v>0</v>
      </c>
      <c r="AM26" s="149" t="n">
        <f aca="false">race_gem_bonus+ tech_3_2*TblTech[[#This Row],[3-2]] + tech_4_3*TblTech[[#This Row],[4-3]] + tech_6_2*TblTech[[#This Row],[6-2]]</f>
        <v>0.15</v>
      </c>
      <c r="AN26" s="132"/>
      <c r="AO26" s="69" t="n">
        <f aca="false">TblProd[[#This Row],[Food]]*food_decay * (1 + tech_2_1*TblTech[[#This Row],[2-1]] + tech_2_8*TblTech[[#This Row],[2-8]])</f>
        <v>305.73</v>
      </c>
      <c r="AP26" s="69" t="n">
        <f aca="false">(1+race_food_consumption)*TblPop[[#This Row],[Total]]*food_per_person*(1+tech_1_10*TblTech[[#This Row],[1-10]]+tech_7_5*TblTech[[#This Row],[7-5]])</f>
        <v>830</v>
      </c>
      <c r="AQ26" s="69" t="n">
        <f aca="false">TblProd[[#This Row],[Lumber]]*lumber_rot * (1 + tech_2_1*TblTech[[#This Row],[2-1]] + tech_2_8*TblTech[[#This Row],[2-8]] + tech_5_2*TblTech[[#This Row],[5-2]])</f>
        <v>73.08</v>
      </c>
      <c r="AR26" s="69" t="n">
        <f aca="false">TblProd[[#This Row],[Mana]]*mana_drain * (1 + tech_2_1*TblTech[[#This Row],[2-1]] + tech_2_8*TblTech[[#This Row],[2-8]])</f>
        <v>53.48</v>
      </c>
      <c r="AS26" s="146"/>
      <c r="AT26" s="69" t="n">
        <f aca="false">TblExplore[[#This Row],[Platinum (2)]]+TblConstr[[#This Row],[Total Plat Cost]]+TblMili[[#This Row],[Plat Cost]]+TblRezone[[#This Row],[Platinum cost]]+TblImps[[#This Row],[P1]]-TblProd[[#This Row],[Bank Plat]]</f>
        <v>2158</v>
      </c>
      <c r="AU26" s="69" t="n">
        <f aca="false">TblConstr[[#This Row],[Total Lum Cost]]+TblImps[[#This Row],[L1]]-TblProd[[#This Row],[Bank Lumber]] + Military!$CL$25*TblMili[[#This Row],[Sec. rec. Cost]]</f>
        <v>48</v>
      </c>
      <c r="AV26" s="69" t="n">
        <f aca="false">TblMagic[[#This Row],[Mana cost]] + Military!$CL$26*TblMili[[#This Row],[Sec. rec. Cost]]</f>
        <v>0</v>
      </c>
      <c r="AW26" s="69" t="n">
        <f aca="false">Military!$CL$24*TblMili[[#This Row],[Sec. rec. Cost]]+TblImps[[#This Row],[O1]]-TblProd[[#This Row],[Bank Ore]]</f>
        <v>0</v>
      </c>
      <c r="AX26" s="69" t="n">
        <f aca="false">TblImps[[#This Row],[G1]]-TblProd[[#This Row],[Bank Gems]]</f>
        <v>0</v>
      </c>
      <c r="AY26" s="132"/>
      <c r="AZ26" s="33" t="n">
        <f aca="false">IF(TblProd[[#This Row],[Set Guard]]&lt;&gt;"",TblProd[[#This Row],[Set Guard]],OFFSET(TblProd[[#This Row],[Guard]],-1,0))</f>
        <v>0</v>
      </c>
      <c r="BA26" s="145"/>
      <c r="BB26" s="151" t="n">
        <f aca="false">TblProd[[#This Row],[Hour]]</f>
        <v>23</v>
      </c>
      <c r="BC26" s="152" t="n">
        <f aca="false">-TblProd[[#This Row],[Bank Lumber]] / 2 + -TblProd[[#This Row],[Bank Gems]] * 2 + -TblProd[[#This Row],[Bank Ore]] / 2</f>
        <v>0</v>
      </c>
      <c r="BD26" s="152"/>
      <c r="BE26" s="152"/>
      <c r="BF26" s="152"/>
      <c r="BG26" s="153" t="n">
        <f aca="false">TblProd[[#This Row],[Time]]</f>
        <v>45430.6666666667</v>
      </c>
      <c r="BH2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69" t="n">
        <f aca="false">TblProd[[#This Row],[Platinum]]</f>
        <v>20132</v>
      </c>
      <c r="BJ26" s="69" t="n">
        <f aca="false">TblProd[[#This Row],[Food]]</f>
        <v>30573</v>
      </c>
      <c r="BK26" s="69" t="n">
        <f aca="false">TblProd[[#This Row],[Lumber]]</f>
        <v>7308</v>
      </c>
      <c r="BL26" s="69" t="n">
        <f aca="false">TblProd[[#This Row],[Mana]]</f>
        <v>2674</v>
      </c>
      <c r="BM26" s="69" t="n">
        <f aca="false">TblProd[[#This Row],[Ore]]</f>
        <v>0</v>
      </c>
    </row>
    <row r="27" customFormat="false" ht="12.75" hidden="false" customHeight="false" outlineLevel="0" collapsed="false">
      <c r="A27" s="128" t="n">
        <v>24</v>
      </c>
      <c r="B27" s="144" t="n">
        <f aca="false">TblImps[[#This Row],[Time]]</f>
        <v>45430.7083333333</v>
      </c>
      <c r="C27" s="145" t="n">
        <v>1</v>
      </c>
      <c r="D27" s="146"/>
      <c r="E27" s="69" t="n">
        <f aca="false">TblConstr[[#This Row],[Land]]</f>
        <v>299</v>
      </c>
      <c r="F27" s="69" t="n">
        <f aca="false">TblPop[[#This Row],[Peasants]]</f>
        <v>3379</v>
      </c>
      <c r="G27" s="69" t="e">
        <f aca="false">TblMili[[#This Row],[Networth (2)]]</f>
        <v>#VALUE!</v>
      </c>
      <c r="H27" s="69" t="n">
        <f aca="false">OFFSET(TblProd[[#This Row],[Platinum]],-1,0)+OFFSET(TblProd[[#This Row],[Plat/hr]],-1,0) - TblProd[[#This Row],[Expenses Platinum]] + IF(TblProd[[#This Row],[Plat Bonus]],TblPop[[#This Row],[Peasants]]*4) + SUM(TblConstr[[#This Row],[Dest Hom]:[Dest Doc]])*TblConstr[[#This Row],[CPA Platinum -DB]]*tech_3_3_2*TblTech[[#This Row],[3-3]]</f>
        <v>26679</v>
      </c>
      <c r="I27" s="69" t="n">
        <f aca="false">OFFSET(TblProd[[#This Row],[Food]],-1,0)+OFFSET(TblProd[[#This Row],[Food/hr]],-1,0)+ROUNDUP((TblConstr[[#This Row],[Farms]]*80+TblConstr[[#This Row],[Docks]]*35)*(1+OFFSET(TblProd[[#This Row],[Bonus Food/hr]],-1,0)),0)</f>
        <v>29847</v>
      </c>
      <c r="J27" s="69" t="n">
        <f aca="false">OFFSET(TblProd[[#This Row],[Lumber]],-1,0)+OFFSET(TblProd[[#This Row],[Lumber/hr]],-1,0) - TblProd[[#This Row],[Expenses Lumber]] + SUM(TblConstr[[#This Row],[Dest Hom]:[Dest Doc]])*TblConstr[[#This Row],[CPA Lumber -DB]]*tech_3_3_2*TblTech[[#This Row],[3-3]]</f>
        <v>7075</v>
      </c>
      <c r="K27" s="69" t="n">
        <f aca="false">OFFSET(TblProd[[#This Row],[Mana]],-1,0)+OFFSET(TblProd[[#This Row],[Mana/hr]],-1,0)- TblProd[[#This Row],[Expenses Mana]]</f>
        <v>2996</v>
      </c>
      <c r="L27" s="69" t="n">
        <f aca="false">OFFSET(TblProd[[#This Row],[Ore]],-1,0)+OFFSET(TblProd[[#This Row],[Ore/hr]],-1,0) -TblProd[[#This Row],[Expenses Ore]]</f>
        <v>0</v>
      </c>
      <c r="M27" s="69" t="n">
        <f aca="false">OFFSET(TblProd[[#This Row],[Gems]],-1,0)+OFFSET(TblProd[[#This Row],[Gems/hr]],-1,0) - TblProd[[#This Row],[Expenses Gems]]</f>
        <v>0</v>
      </c>
      <c r="N27" s="69" t="n">
        <f aca="false">OFFSET(TblProd[[#This Row],[Boats]],-1,0)+OFFSET(TblProd[[#This Row],[Boats/hr]],-1,0)</f>
        <v>0</v>
      </c>
      <c r="O27" s="69" t="n">
        <f aca="false">OFFSET(TblProd[[#This Row],[Prestige]],-1,0)</f>
        <v>250</v>
      </c>
      <c r="P2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27" s="69" t="n">
        <f aca="false">MAX(3750,_xlfn.CEILING.MATH(TblProd[[#This Row],[Land]]*2.5+OFFSET(TblTech[[#This Row],[Sum of tech]],-1,0)*150))</f>
        <v>3750</v>
      </c>
      <c r="R27" s="132"/>
      <c r="S27" s="69" t="n">
        <f aca="false">ROUNDDOWN(TblProd[[#This Row],[Raw Plat/hr]]*(1+TblProd[[#This Row],[Bonus Plat/hr]]),0)</f>
        <v>16223</v>
      </c>
      <c r="T27" s="69" t="n">
        <f aca="false">ROUND(TblProd[[#This Row],[Raw Food/hr]]*(1+TblProd[[#This Row],[Bonus Food/hr]])-TblProd[[#This Row],[Food decay]]-TblProd[[#This Row],[Food eaten]],0)</f>
        <v>-768</v>
      </c>
      <c r="U27" s="69" t="n">
        <f aca="false">ROUND(TblProd[[#This Row],[Raw Lumber/hr]]*(1+TblProd[[#This Row],[Bonus Lumber/hr]])-TblProd[[#This Row],[Lumber rot]],0)</f>
        <v>829</v>
      </c>
      <c r="V27" s="69" t="n">
        <f aca="false">ROUND(TblProd[[#This Row],[Raw Mana/hr]]*(1+TblProd[[#This Row],[Bonus Mana/hr]])-TblProd[[#This Row],[Mana drain]],0)</f>
        <v>390</v>
      </c>
      <c r="W27" s="69" t="n">
        <f aca="false">ROUNDDOWN(TblProd[[#This Row],[Raw Ore/hr]]*(1+TblProd[[#This Row],[Bonux Ore/hr]]),0)</f>
        <v>0</v>
      </c>
      <c r="X27" s="69" t="n">
        <f aca="false">ROUNDDOWN(TblProd[[#This Row],[Raw Gems/hr]]*(1+TblProd[[#This Row],[Bonus Gems/hr]]),0)</f>
        <v>0</v>
      </c>
      <c r="Y27" s="148" t="n">
        <f aca="false">OFFSET(TblConstr[[#This Row],[Tot Doc]],1,0)*dock_boats_hr * (1 + tech_4_1*TblTech[[#This Row],[4-1]])</f>
        <v>0.25</v>
      </c>
      <c r="Z27" s="146"/>
      <c r="AA27" s="69" t="n">
        <f aca="false">TblPop[[#This Row],[Peasants]]*tax*TblPop[[#This Row],[Employment]] + (Construction!AZ28+Construction!BX28)*(alch_plat+(Magic!AM27&gt;0)*alchemist_flame_bonus)</f>
        <v>14748.3</v>
      </c>
      <c r="AB27" s="69" t="n">
        <f aca="false">TblConstr[[#This Row],[Tot Farm]]*farm_food + TblConstr[[#This Row],[Tot Doc]]*dock_food</f>
        <v>400</v>
      </c>
      <c r="AC27" s="69" t="n">
        <f aca="false">TblConstr[[#This Row],[Tot Ly]]*ly_lumber + TblConstr[[#This Row],[Tot Hav]]*fh_lumber</f>
        <v>1000</v>
      </c>
      <c r="AD27" s="69" t="n">
        <f aca="false">OFFSET(TblConstr[[#This Row],[Tot Tow]],1,0)*(tower_mana + tech_4_5*TblTech[[#This Row],[4-5]]) + OFFSET(TblConstr[[#This Row],[Tot WG]],1,0)*wg_mana_prod</f>
        <v>450</v>
      </c>
      <c r="AE27" s="69" t="n">
        <f aca="false">OFFSET(TblConstr[[#This Row],[Tot OM]],1,0)*om_ore+IF(race="Dwarf",ROUNDDOWN(TblMili[[#This Row],[Unit 2]]*0.4,0),)</f>
        <v>0</v>
      </c>
      <c r="AF27" s="69" t="n">
        <f aca="false">OFFSET(TblConstr[[#This Row],[Tot DM]],1,0)*dm_gems</f>
        <v>0</v>
      </c>
      <c r="AG27" s="132"/>
      <c r="AH27" s="149" t="n">
        <f aca="false">MIN(race_platinum_bonus + IF(TblMagic[[#This Row],[Active Alch Frost]]&gt;0,alch_frost_bonus,IF(Magic!AD27&gt;0,midas_bonus)) + TblImps[[#This Row],[Science]] - TblProd[[#This Row],[Guard]]*(0.02 + tech_5_7*TblTech[[#This Row],[5-7]]) + tech_1_5*TblTech[[#This Row],[1-5]] + tech_4_4*TblTech[[#This Row],[4-4]], 0.5)</f>
        <v>0.1</v>
      </c>
      <c r="AI2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7" s="149" t="n">
        <f aca="false">race_lumber_bonus+ IF(TblMagic[[#This Row],[Active Gaia''s Blessing]]&gt;0,gaias_blessing_lumber)+ tech_1_3*TblTech[[#This Row],[1-3]] + tech_1_6*TblTech[[#This Row],[1-6]] + tech_3_3*TblTech[[#This Row],[3-3]]</f>
        <v>-0.1</v>
      </c>
      <c r="AK27" s="149" t="n">
        <f aca="false">race_mana_bonus+ 0 + TblImps[[#This Row],[Towers]] + tech_1_2*TblTech[[#This Row],[1-2]] + tech_3_4*TblTech[[#This Row],[3-4]]</f>
        <v>0</v>
      </c>
      <c r="AL27" s="149" t="n">
        <f aca="false">race_ore_bonus + IF(TblMagic[[#This Row],[Active Miner''s Sight]]&gt;0,miners_sight_bonus,IF(TblMagic[[#This Row],[Active Mining Strength]]&gt;0,mining_strength_bonus)) +  tech_1_6*TblTech[[#This Row],[1-6]]</f>
        <v>0</v>
      </c>
      <c r="AM27" s="149" t="n">
        <f aca="false">race_gem_bonus+ tech_3_2*TblTech[[#This Row],[3-2]] + tech_4_3*TblTech[[#This Row],[4-3]] + tech_6_2*TblTech[[#This Row],[6-2]]</f>
        <v>0.15</v>
      </c>
      <c r="AN27" s="132"/>
      <c r="AO27" s="69" t="n">
        <f aca="false">TblProd[[#This Row],[Food]]*food_decay * (1 + tech_2_1*TblTech[[#This Row],[2-1]] + tech_2_8*TblTech[[#This Row],[2-8]])</f>
        <v>298.47</v>
      </c>
      <c r="AP27" s="69" t="n">
        <f aca="false">(1+race_food_consumption)*TblPop[[#This Row],[Total]]*food_per_person*(1+tech_1_10*TblTech[[#This Row],[1-10]]+tech_7_5*TblTech[[#This Row],[7-5]])</f>
        <v>879.25</v>
      </c>
      <c r="AQ27" s="69" t="n">
        <f aca="false">TblProd[[#This Row],[Lumber]]*lumber_rot * (1 + tech_2_1*TblTech[[#This Row],[2-1]] + tech_2_8*TblTech[[#This Row],[2-8]] + tech_5_2*TblTech[[#This Row],[5-2]])</f>
        <v>70.75</v>
      </c>
      <c r="AR27" s="69" t="n">
        <f aca="false">TblProd[[#This Row],[Mana]]*mana_drain * (1 + tech_2_1*TblTech[[#This Row],[2-1]] + tech_2_8*TblTech[[#This Row],[2-8]])</f>
        <v>59.92</v>
      </c>
      <c r="AS27" s="146"/>
      <c r="AT27" s="69" t="n">
        <f aca="false">TblExplore[[#This Row],[Platinum (2)]]+TblConstr[[#This Row],[Total Plat Cost]]+TblMili[[#This Row],[Plat Cost]]+TblRezone[[#This Row],[Platinum cost]]+TblImps[[#This Row],[P1]]-TblProd[[#This Row],[Bank Plat]]</f>
        <v>19860</v>
      </c>
      <c r="AU27" s="69" t="n">
        <f aca="false">TblConstr[[#This Row],[Total Lum Cost]]+TblImps[[#This Row],[L1]]-TblProd[[#This Row],[Bank Lumber]] + Military!$CL$25*TblMili[[#This Row],[Sec. rec. Cost]]</f>
        <v>1060</v>
      </c>
      <c r="AV27" s="69" t="n">
        <f aca="false">TblMagic[[#This Row],[Mana cost]] + Military!$CL$26*TblMili[[#This Row],[Sec. rec. Cost]]</f>
        <v>0</v>
      </c>
      <c r="AW27" s="69" t="n">
        <f aca="false">Military!$CL$24*TblMili[[#This Row],[Sec. rec. Cost]]+TblImps[[#This Row],[O1]]-TblProd[[#This Row],[Bank Ore]]</f>
        <v>0</v>
      </c>
      <c r="AX27" s="69" t="n">
        <f aca="false">TblImps[[#This Row],[G1]]-TblProd[[#This Row],[Bank Gems]]</f>
        <v>0</v>
      </c>
      <c r="AY27" s="132"/>
      <c r="AZ27" s="33" t="n">
        <f aca="false">IF(TblProd[[#This Row],[Set Guard]]&lt;&gt;"",TblProd[[#This Row],[Set Guard]],OFFSET(TblProd[[#This Row],[Guard]],-1,0))</f>
        <v>0</v>
      </c>
      <c r="BA27" s="145"/>
      <c r="BB27" s="151" t="n">
        <f aca="false">TblProd[[#This Row],[Hour]]</f>
        <v>24</v>
      </c>
      <c r="BC27" s="152" t="n">
        <f aca="false">-TblProd[[#This Row],[Bank Lumber]] / 2 + -TblProd[[#This Row],[Bank Gems]] * 2 + -TblProd[[#This Row],[Bank Ore]] / 2</f>
        <v>0</v>
      </c>
      <c r="BD27" s="152"/>
      <c r="BE27" s="152"/>
      <c r="BF27" s="152"/>
      <c r="BG27" s="153" t="n">
        <f aca="false">TblProd[[#This Row],[Time]]</f>
        <v>45430.7083333333</v>
      </c>
      <c r="BH2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69" t="n">
        <f aca="false">TblProd[[#This Row],[Platinum]]</f>
        <v>26679</v>
      </c>
      <c r="BJ27" s="69" t="n">
        <f aca="false">TblProd[[#This Row],[Food]]</f>
        <v>29847</v>
      </c>
      <c r="BK27" s="69" t="n">
        <f aca="false">TblProd[[#This Row],[Lumber]]</f>
        <v>7075</v>
      </c>
      <c r="BL27" s="69" t="n">
        <f aca="false">TblProd[[#This Row],[Mana]]</f>
        <v>2996</v>
      </c>
      <c r="BM27" s="69" t="n">
        <f aca="false">TblProd[[#This Row],[Ore]]</f>
        <v>0</v>
      </c>
    </row>
    <row r="28" customFormat="false" ht="12.75" hidden="false" customHeight="false" outlineLevel="0" collapsed="false">
      <c r="A28" s="128" t="n">
        <v>25</v>
      </c>
      <c r="B28" s="144" t="n">
        <f aca="false">TblImps[[#This Row],[Time]]</f>
        <v>45430.75</v>
      </c>
      <c r="C28" s="145"/>
      <c r="D28" s="146"/>
      <c r="E28" s="69" t="n">
        <f aca="false">TblConstr[[#This Row],[Land]]</f>
        <v>299</v>
      </c>
      <c r="F28" s="69" t="n">
        <f aca="false">TblPop[[#This Row],[Peasants]]</f>
        <v>3590</v>
      </c>
      <c r="G28" s="69" t="e">
        <f aca="false">TblMili[[#This Row],[Networth (2)]]</f>
        <v>#VALUE!</v>
      </c>
      <c r="H28" s="69" t="n">
        <f aca="false">OFFSET(TblProd[[#This Row],[Platinum]],-1,0)+OFFSET(TblProd[[#This Row],[Plat/hr]],-1,0) - TblProd[[#This Row],[Expenses Platinum]] + IF(TblProd[[#This Row],[Plat Bonus]],TblPop[[#This Row],[Peasants]]*4) + SUM(TblConstr[[#This Row],[Dest Hom]:[Dest Doc]])*TblConstr[[#This Row],[CPA Platinum -DB]]*tech_3_3_2*TblTech[[#This Row],[3-3]]</f>
        <v>42902</v>
      </c>
      <c r="I28" s="69" t="n">
        <f aca="false">OFFSET(TblProd[[#This Row],[Food]],-1,0)+OFFSET(TblProd[[#This Row],[Food/hr]],-1,0)+ROUNDUP((TblConstr[[#This Row],[Farms]]*80+TblConstr[[#This Row],[Docks]]*35)*(1+OFFSET(TblProd[[#This Row],[Bonus Food/hr]],-1,0)),0)</f>
        <v>29259</v>
      </c>
      <c r="J28" s="69" t="n">
        <f aca="false">OFFSET(TblProd[[#This Row],[Lumber]],-1,0)+OFFSET(TblProd[[#This Row],[Lumber/hr]],-1,0) - TblProd[[#This Row],[Expenses Lumber]] + SUM(TblConstr[[#This Row],[Dest Hom]:[Dest Doc]])*TblConstr[[#This Row],[CPA Lumber -DB]]*tech_3_3_2*TblTech[[#This Row],[3-3]]</f>
        <v>7904</v>
      </c>
      <c r="K28" s="69" t="n">
        <f aca="false">OFFSET(TblProd[[#This Row],[Mana]],-1,0)+OFFSET(TblProd[[#This Row],[Mana/hr]],-1,0)- TblProd[[#This Row],[Expenses Mana]]</f>
        <v>3386</v>
      </c>
      <c r="L28" s="69" t="n">
        <f aca="false">OFFSET(TblProd[[#This Row],[Ore]],-1,0)+OFFSET(TblProd[[#This Row],[Ore/hr]],-1,0) -TblProd[[#This Row],[Expenses Ore]]</f>
        <v>0</v>
      </c>
      <c r="M28" s="69" t="n">
        <f aca="false">OFFSET(TblProd[[#This Row],[Gems]],-1,0)+OFFSET(TblProd[[#This Row],[Gems/hr]],-1,0) - TblProd[[#This Row],[Expenses Gems]]</f>
        <v>0</v>
      </c>
      <c r="N28" s="69" t="n">
        <f aca="false">OFFSET(TblProd[[#This Row],[Boats]],-1,0)+OFFSET(TblProd[[#This Row],[Boats/hr]],-1,0)</f>
        <v>0.25</v>
      </c>
      <c r="O28" s="69" t="n">
        <f aca="false">OFFSET(TblProd[[#This Row],[Prestige]],-1,0)</f>
        <v>250</v>
      </c>
      <c r="P2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28" s="69" t="n">
        <f aca="false">MAX(3750,_xlfn.CEILING.MATH(TblProd[[#This Row],[Land]]*2.5+OFFSET(TblTech[[#This Row],[Sum of tech]],-1,0)*150))</f>
        <v>3750</v>
      </c>
      <c r="R28" s="132"/>
      <c r="S28" s="69" t="n">
        <f aca="false">ROUNDDOWN(TblProd[[#This Row],[Raw Plat/hr]]*(1+TblProd[[#This Row],[Bonus Plat/hr]]),0)</f>
        <v>16849</v>
      </c>
      <c r="T28" s="69" t="n">
        <f aca="false">ROUND(TblProd[[#This Row],[Raw Food/hr]]*(1+TblProd[[#This Row],[Bonus Food/hr]])-TblProd[[#This Row],[Food decay]]-TblProd[[#This Row],[Food eaten]],0)</f>
        <v>-618</v>
      </c>
      <c r="U28" s="69" t="n">
        <f aca="false">ROUND(TblProd[[#This Row],[Raw Lumber/hr]]*(1+TblProd[[#This Row],[Bonus Lumber/hr]])-TblProd[[#This Row],[Lumber rot]],0)</f>
        <v>821</v>
      </c>
      <c r="V28" s="69" t="n">
        <f aca="false">ROUND(TblProd[[#This Row],[Raw Mana/hr]]*(1+TblProd[[#This Row],[Bonus Mana/hr]])-TblProd[[#This Row],[Mana drain]],0)</f>
        <v>382</v>
      </c>
      <c r="W28" s="69" t="n">
        <f aca="false">ROUNDDOWN(TblProd[[#This Row],[Raw Ore/hr]]*(1+TblProd[[#This Row],[Bonux Ore/hr]]),0)</f>
        <v>0</v>
      </c>
      <c r="X28" s="69" t="n">
        <f aca="false">ROUNDDOWN(TblProd[[#This Row],[Raw Gems/hr]]*(1+TblProd[[#This Row],[Bonus Gems/hr]]),0)</f>
        <v>0</v>
      </c>
      <c r="Y28" s="148" t="n">
        <f aca="false">OFFSET(TblConstr[[#This Row],[Tot Doc]],1,0)*dock_boats_hr * (1 + tech_4_1*TblTech[[#This Row],[4-1]])</f>
        <v>0.25</v>
      </c>
      <c r="Z28" s="146"/>
      <c r="AA28" s="69" t="n">
        <f aca="false">TblPop[[#This Row],[Peasants]]*tax*TblPop[[#This Row],[Employment]] + (Construction!AZ29+Construction!BX29)*(alch_plat+(Magic!AM28&gt;0)*alchemist_flame_bonus)</f>
        <v>15318</v>
      </c>
      <c r="AB28" s="69" t="n">
        <f aca="false">TblConstr[[#This Row],[Tot Farm]]*farm_food + TblConstr[[#This Row],[Tot Doc]]*dock_food</f>
        <v>600</v>
      </c>
      <c r="AC28" s="69" t="n">
        <f aca="false">TblConstr[[#This Row],[Tot Ly]]*ly_lumber + TblConstr[[#This Row],[Tot Hav]]*fh_lumber</f>
        <v>1000</v>
      </c>
      <c r="AD28" s="69" t="n">
        <f aca="false">OFFSET(TblConstr[[#This Row],[Tot Tow]],1,0)*(tower_mana + tech_4_5*TblTech[[#This Row],[4-5]]) + OFFSET(TblConstr[[#This Row],[Tot WG]],1,0)*wg_mana_prod</f>
        <v>450</v>
      </c>
      <c r="AE28" s="69" t="n">
        <f aca="false">OFFSET(TblConstr[[#This Row],[Tot OM]],1,0)*om_ore+IF(race="Dwarf",ROUNDDOWN(TblMili[[#This Row],[Unit 2]]*0.4,0),)</f>
        <v>0</v>
      </c>
      <c r="AF28" s="69" t="n">
        <f aca="false">OFFSET(TblConstr[[#This Row],[Tot DM]],1,0)*dm_gems</f>
        <v>0</v>
      </c>
      <c r="AG28" s="132"/>
      <c r="AH28" s="149" t="n">
        <f aca="false">MIN(race_platinum_bonus + IF(TblMagic[[#This Row],[Active Alch Frost]]&gt;0,alch_frost_bonus,IF(Magic!AD28&gt;0,midas_bonus)) + TblImps[[#This Row],[Science]] - TblProd[[#This Row],[Guard]]*(0.02 + tech_5_7*TblTech[[#This Row],[5-7]]) + tech_1_5*TblTech[[#This Row],[1-5]] + tech_4_4*TblTech[[#This Row],[4-4]], 0.5)</f>
        <v>0.1</v>
      </c>
      <c r="AI2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8" s="149" t="n">
        <f aca="false">race_lumber_bonus+ IF(TblMagic[[#This Row],[Active Gaia''s Blessing]]&gt;0,gaias_blessing_lumber)+ tech_1_3*TblTech[[#This Row],[1-3]] + tech_1_6*TblTech[[#This Row],[1-6]] + tech_3_3*TblTech[[#This Row],[3-3]]</f>
        <v>-0.1</v>
      </c>
      <c r="AK28" s="149" t="n">
        <f aca="false">race_mana_bonus+ 0 + TblImps[[#This Row],[Towers]] + tech_1_2*TblTech[[#This Row],[1-2]] + tech_3_4*TblTech[[#This Row],[3-4]]</f>
        <v>0</v>
      </c>
      <c r="AL28" s="149" t="n">
        <f aca="false">race_ore_bonus + IF(TblMagic[[#This Row],[Active Miner''s Sight]]&gt;0,miners_sight_bonus,IF(TblMagic[[#This Row],[Active Mining Strength]]&gt;0,mining_strength_bonus)) +  tech_1_6*TblTech[[#This Row],[1-6]]</f>
        <v>0</v>
      </c>
      <c r="AM28" s="149" t="n">
        <f aca="false">race_gem_bonus+ tech_3_2*TblTech[[#This Row],[3-2]] + tech_4_3*TblTech[[#This Row],[4-3]] + tech_6_2*TblTech[[#This Row],[6-2]]</f>
        <v>0.15</v>
      </c>
      <c r="AN28" s="132"/>
      <c r="AO28" s="69" t="n">
        <f aca="false">TblProd[[#This Row],[Food]]*food_decay * (1 + tech_2_1*TblTech[[#This Row],[2-1]] + tech_2_8*TblTech[[#This Row],[2-8]])</f>
        <v>292.59</v>
      </c>
      <c r="AP28" s="69" t="n">
        <f aca="false">(1+race_food_consumption)*TblPop[[#This Row],[Total]]*food_per_person*(1+tech_1_10*TblTech[[#This Row],[1-10]]+tech_7_5*TblTech[[#This Row],[7-5]])</f>
        <v>940.5</v>
      </c>
      <c r="AQ28" s="69" t="n">
        <f aca="false">TblProd[[#This Row],[Lumber]]*lumber_rot * (1 + tech_2_1*TblTech[[#This Row],[2-1]] + tech_2_8*TblTech[[#This Row],[2-8]] + tech_5_2*TblTech[[#This Row],[5-2]])</f>
        <v>79.04</v>
      </c>
      <c r="AR28" s="69" t="n">
        <f aca="false">TblProd[[#This Row],[Mana]]*mana_drain * (1 + tech_2_1*TblTech[[#This Row],[2-1]] + tech_2_8*TblTech[[#This Row],[2-8]])</f>
        <v>67.72</v>
      </c>
      <c r="AS28" s="146"/>
      <c r="AT28" s="69" t="n">
        <f aca="false">TblExplore[[#This Row],[Platinum (2)]]+TblConstr[[#This Row],[Total Plat Cost]]+TblMili[[#This Row],[Plat Cost]]+TblRezone[[#This Row],[Platinum cost]]+TblImps[[#This Row],[P1]]-TblProd[[#This Row],[Bank Plat]]</f>
        <v>0</v>
      </c>
      <c r="AU28" s="69" t="n">
        <f aca="false">TblConstr[[#This Row],[Total Lum Cost]]+TblImps[[#This Row],[L1]]-TblProd[[#This Row],[Bank Lumber]] + Military!$CL$25*TblMili[[#This Row],[Sec. rec. Cost]]</f>
        <v>0</v>
      </c>
      <c r="AV28" s="69" t="n">
        <f aca="false">TblMagic[[#This Row],[Mana cost]] + Military!$CL$26*TblMili[[#This Row],[Sec. rec. Cost]]</f>
        <v>0</v>
      </c>
      <c r="AW28" s="69" t="n">
        <f aca="false">Military!$CL$24*TblMili[[#This Row],[Sec. rec. Cost]]+TblImps[[#This Row],[O1]]-TblProd[[#This Row],[Bank Ore]]</f>
        <v>0</v>
      </c>
      <c r="AX28" s="69" t="n">
        <f aca="false">TblImps[[#This Row],[G1]]-TblProd[[#This Row],[Bank Gems]]</f>
        <v>0</v>
      </c>
      <c r="AY28" s="132"/>
      <c r="AZ28" s="33" t="n">
        <f aca="false">IF(TblProd[[#This Row],[Set Guard]]&lt;&gt;"",TblProd[[#This Row],[Set Guard]],OFFSET(TblProd[[#This Row],[Guard]],-1,0))</f>
        <v>0</v>
      </c>
      <c r="BA28" s="145"/>
      <c r="BB28" s="151" t="n">
        <f aca="false">TblProd[[#This Row],[Hour]]</f>
        <v>25</v>
      </c>
      <c r="BC28" s="152" t="n">
        <f aca="false">-TblProd[[#This Row],[Bank Lumber]] / 2 + -TblProd[[#This Row],[Bank Gems]] * 2 + -TblProd[[#This Row],[Bank Ore]] / 2</f>
        <v>0</v>
      </c>
      <c r="BD28" s="152"/>
      <c r="BE28" s="152"/>
      <c r="BF28" s="152"/>
      <c r="BG28" s="153" t="n">
        <f aca="false">TblProd[[#This Row],[Time]]</f>
        <v>45430.75</v>
      </c>
      <c r="BH2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69" t="n">
        <f aca="false">TblProd[[#This Row],[Platinum]]</f>
        <v>42902</v>
      </c>
      <c r="BJ28" s="69" t="n">
        <f aca="false">TblProd[[#This Row],[Food]]</f>
        <v>29259</v>
      </c>
      <c r="BK28" s="69" t="n">
        <f aca="false">TblProd[[#This Row],[Lumber]]</f>
        <v>7904</v>
      </c>
      <c r="BL28" s="69" t="n">
        <f aca="false">TblProd[[#This Row],[Mana]]</f>
        <v>3386</v>
      </c>
      <c r="BM28" s="69" t="n">
        <f aca="false">TblProd[[#This Row],[Ore]]</f>
        <v>0</v>
      </c>
    </row>
    <row r="29" customFormat="false" ht="12.75" hidden="false" customHeight="false" outlineLevel="0" collapsed="false">
      <c r="A29" s="128" t="n">
        <v>26</v>
      </c>
      <c r="B29" s="144" t="n">
        <f aca="false">TblImps[[#This Row],[Time]]</f>
        <v>45430.7916666667</v>
      </c>
      <c r="C29" s="145"/>
      <c r="D29" s="146"/>
      <c r="E29" s="69" t="n">
        <f aca="false">TblConstr[[#This Row],[Land]]</f>
        <v>299</v>
      </c>
      <c r="F29" s="69" t="n">
        <f aca="false">TblPop[[#This Row],[Peasants]]</f>
        <v>3814</v>
      </c>
      <c r="G29" s="69" t="e">
        <f aca="false">TblMili[[#This Row],[Networth (2)]]</f>
        <v>#VALUE!</v>
      </c>
      <c r="H29" s="69" t="n">
        <f aca="false">OFFSET(TblProd[[#This Row],[Platinum]],-1,0)+OFFSET(TblProd[[#This Row],[Plat/hr]],-1,0) - TblProd[[#This Row],[Expenses Platinum]] + IF(TblProd[[#This Row],[Plat Bonus]],TblPop[[#This Row],[Peasants]]*4) + SUM(TblConstr[[#This Row],[Dest Hom]:[Dest Doc]])*TblConstr[[#This Row],[CPA Platinum -DB]]*tech_3_3_2*TblTech[[#This Row],[3-3]]</f>
        <v>59751</v>
      </c>
      <c r="I29" s="69" t="n">
        <f aca="false">OFFSET(TblProd[[#This Row],[Food]],-1,0)+OFFSET(TblProd[[#This Row],[Food/hr]],-1,0)+ROUNDUP((TblConstr[[#This Row],[Farms]]*80+TblConstr[[#This Row],[Docks]]*35)*(1+OFFSET(TblProd[[#This Row],[Bonus Food/hr]],-1,0)),0)</f>
        <v>28641</v>
      </c>
      <c r="J29" s="69" t="n">
        <f aca="false">OFFSET(TblProd[[#This Row],[Lumber]],-1,0)+OFFSET(TblProd[[#This Row],[Lumber/hr]],-1,0) - TblProd[[#This Row],[Expenses Lumber]] + SUM(TblConstr[[#This Row],[Dest Hom]:[Dest Doc]])*TblConstr[[#This Row],[CPA Lumber -DB]]*tech_3_3_2*TblTech[[#This Row],[3-3]]</f>
        <v>8725</v>
      </c>
      <c r="K29" s="69" t="n">
        <f aca="false">OFFSET(TblProd[[#This Row],[Mana]],-1,0)+OFFSET(TblProd[[#This Row],[Mana/hr]],-1,0)- TblProd[[#This Row],[Expenses Mana]]</f>
        <v>1525.5</v>
      </c>
      <c r="L29" s="69" t="n">
        <f aca="false">OFFSET(TblProd[[#This Row],[Ore]],-1,0)+OFFSET(TblProd[[#This Row],[Ore/hr]],-1,0) -TblProd[[#This Row],[Expenses Ore]]</f>
        <v>0</v>
      </c>
      <c r="M29" s="69" t="n">
        <f aca="false">OFFSET(TblProd[[#This Row],[Gems]],-1,0)+OFFSET(TblProd[[#This Row],[Gems/hr]],-1,0) - TblProd[[#This Row],[Expenses Gems]]</f>
        <v>0</v>
      </c>
      <c r="N29" s="69" t="n">
        <f aca="false">OFFSET(TblProd[[#This Row],[Boats]],-1,0)+OFFSET(TblProd[[#This Row],[Boats/hr]],-1,0)</f>
        <v>0.5</v>
      </c>
      <c r="O29" s="69" t="n">
        <f aca="false">OFFSET(TblProd[[#This Row],[Prestige]],-1,0)</f>
        <v>250</v>
      </c>
      <c r="P2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29" s="69" t="n">
        <f aca="false">MAX(3750,_xlfn.CEILING.MATH(TblProd[[#This Row],[Land]]*2.5+OFFSET(TblTech[[#This Row],[Sum of tech]],-1,0)*150))</f>
        <v>3750</v>
      </c>
      <c r="R29" s="132"/>
      <c r="S29" s="69" t="n">
        <f aca="false">ROUNDDOWN(TblProd[[#This Row],[Raw Plat/hr]]*(1+TblProd[[#This Row],[Bonus Plat/hr]]),0)</f>
        <v>19302</v>
      </c>
      <c r="T29" s="69" t="n">
        <f aca="false">ROUND(TblProd[[#This Row],[Raw Food/hr]]*(1+TblProd[[#This Row],[Bonus Food/hr]])-TblProd[[#This Row],[Food decay]]-TblProd[[#This Row],[Food eaten]],0)</f>
        <v>-677</v>
      </c>
      <c r="U29" s="69" t="n">
        <f aca="false">ROUND(TblProd[[#This Row],[Raw Lumber/hr]]*(1+TblProd[[#This Row],[Bonus Lumber/hr]])-TblProd[[#This Row],[Lumber rot]],0)</f>
        <v>813</v>
      </c>
      <c r="V29" s="69" t="n">
        <f aca="false">ROUND(TblProd[[#This Row],[Raw Mana/hr]]*(1+TblProd[[#This Row],[Bonus Mana/hr]])-TblProd[[#This Row],[Mana drain]],0)</f>
        <v>419</v>
      </c>
      <c r="W29" s="69" t="n">
        <f aca="false">ROUNDDOWN(TblProd[[#This Row],[Raw Ore/hr]]*(1+TblProd[[#This Row],[Bonux Ore/hr]]),0)</f>
        <v>0</v>
      </c>
      <c r="X29" s="69" t="n">
        <f aca="false">ROUNDDOWN(TblProd[[#This Row],[Raw Gems/hr]]*(1+TblProd[[#This Row],[Bonus Gems/hr]]),0)</f>
        <v>0</v>
      </c>
      <c r="Y29" s="148" t="n">
        <f aca="false">OFFSET(TblConstr[[#This Row],[Tot Doc]],1,0)*dock_boats_hr * (1 + tech_4_1*TblTech[[#This Row],[4-1]])</f>
        <v>0.25</v>
      </c>
      <c r="Z29" s="146"/>
      <c r="AA29" s="69" t="n">
        <f aca="false">TblPop[[#This Row],[Peasants]]*tax*TblPop[[#This Row],[Employment]] + (Construction!AZ30+Construction!BX30)*(alch_plat+(Magic!AM29&gt;0)*alchemist_flame_bonus)</f>
        <v>17547.8</v>
      </c>
      <c r="AB29" s="69" t="n">
        <f aca="false">TblConstr[[#This Row],[Tot Farm]]*farm_food + TblConstr[[#This Row],[Tot Doc]]*dock_food</f>
        <v>600</v>
      </c>
      <c r="AC29" s="69" t="n">
        <f aca="false">TblConstr[[#This Row],[Tot Ly]]*ly_lumber + TblConstr[[#This Row],[Tot Hav]]*fh_lumber</f>
        <v>1000</v>
      </c>
      <c r="AD29" s="69" t="n">
        <f aca="false">OFFSET(TblConstr[[#This Row],[Tot Tow]],1,0)*(tower_mana + tech_4_5*TblTech[[#This Row],[4-5]]) + OFFSET(TblConstr[[#This Row],[Tot WG]],1,0)*wg_mana_prod</f>
        <v>450</v>
      </c>
      <c r="AE29" s="69" t="n">
        <f aca="false">OFFSET(TblConstr[[#This Row],[Tot OM]],1,0)*om_ore+IF(race="Dwarf",ROUNDDOWN(TblMili[[#This Row],[Unit 2]]*0.4,0),)</f>
        <v>0</v>
      </c>
      <c r="AF29" s="69" t="n">
        <f aca="false">OFFSET(TblConstr[[#This Row],[Tot DM]],1,0)*dm_gems</f>
        <v>0</v>
      </c>
      <c r="AG29" s="132"/>
      <c r="AH29" s="149" t="n">
        <f aca="false">MIN(race_platinum_bonus + IF(TblMagic[[#This Row],[Active Alch Frost]]&gt;0,alch_frost_bonus,IF(Magic!AD29&gt;0,midas_bonus)) + TblImps[[#This Row],[Science]] - TblProd[[#This Row],[Guard]]*(0.02 + tech_5_7*TblTech[[#This Row],[5-7]]) + tech_1_5*TblTech[[#This Row],[1-5]] + tech_4_4*TblTech[[#This Row],[4-4]], 0.5)</f>
        <v>0.1</v>
      </c>
      <c r="AI2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9" s="149" t="n">
        <f aca="false">race_lumber_bonus+ IF(TblMagic[[#This Row],[Active Gaia''s Blessing]]&gt;0,gaias_blessing_lumber)+ tech_1_3*TblTech[[#This Row],[1-3]] + tech_1_6*TblTech[[#This Row],[1-6]] + tech_3_3*TblTech[[#This Row],[3-3]]</f>
        <v>-0.1</v>
      </c>
      <c r="AK29" s="149" t="n">
        <f aca="false">race_mana_bonus+ 0 + TblImps[[#This Row],[Towers]] + tech_1_2*TblTech[[#This Row],[1-2]] + tech_3_4*TblTech[[#This Row],[3-4]]</f>
        <v>0</v>
      </c>
      <c r="AL29" s="149" t="n">
        <f aca="false">race_ore_bonus + IF(TblMagic[[#This Row],[Active Miner''s Sight]]&gt;0,miners_sight_bonus,IF(TblMagic[[#This Row],[Active Mining Strength]]&gt;0,mining_strength_bonus)) +  tech_1_6*TblTech[[#This Row],[1-6]]</f>
        <v>0</v>
      </c>
      <c r="AM29" s="149" t="n">
        <f aca="false">race_gem_bonus+ tech_3_2*TblTech[[#This Row],[3-2]] + tech_4_3*TblTech[[#This Row],[4-3]] + tech_6_2*TblTech[[#This Row],[6-2]]</f>
        <v>0.15</v>
      </c>
      <c r="AN29" s="132"/>
      <c r="AO29" s="69" t="n">
        <f aca="false">TblProd[[#This Row],[Food]]*food_decay * (1 + tech_2_1*TblTech[[#This Row],[2-1]] + tech_2_8*TblTech[[#This Row],[2-8]])</f>
        <v>286.41</v>
      </c>
      <c r="AP29" s="69" t="n">
        <f aca="false">(1+race_food_consumption)*TblPop[[#This Row],[Total]]*food_per_person*(1+tech_1_10*TblTech[[#This Row],[1-10]]+tech_7_5*TblTech[[#This Row],[7-5]])</f>
        <v>1005.5</v>
      </c>
      <c r="AQ29" s="69" t="n">
        <f aca="false">TblProd[[#This Row],[Lumber]]*lumber_rot * (1 + tech_2_1*TblTech[[#This Row],[2-1]] + tech_2_8*TblTech[[#This Row],[2-8]] + tech_5_2*TblTech[[#This Row],[5-2]])</f>
        <v>87.25</v>
      </c>
      <c r="AR29" s="69" t="n">
        <f aca="false">TblProd[[#This Row],[Mana]]*mana_drain * (1 + tech_2_1*TblTech[[#This Row],[2-1]] + tech_2_8*TblTech[[#This Row],[2-8]])</f>
        <v>30.51</v>
      </c>
      <c r="AS29" s="146"/>
      <c r="AT29" s="69" t="n">
        <f aca="false">TblExplore[[#This Row],[Platinum (2)]]+TblConstr[[#This Row],[Total Plat Cost]]+TblMili[[#This Row],[Plat Cost]]+TblRezone[[#This Row],[Platinum cost]]+TblImps[[#This Row],[P1]]-TblProd[[#This Row],[Bank Plat]]</f>
        <v>0</v>
      </c>
      <c r="AU29" s="69" t="n">
        <f aca="false">TblConstr[[#This Row],[Total Lum Cost]]+TblImps[[#This Row],[L1]]-TblProd[[#This Row],[Bank Lumber]] + Military!$CL$25*TblMili[[#This Row],[Sec. rec. Cost]]</f>
        <v>0</v>
      </c>
      <c r="AV29" s="69" t="n">
        <f aca="false">TblMagic[[#This Row],[Mana cost]] + Military!$CL$26*TblMili[[#This Row],[Sec. rec. Cost]]</f>
        <v>2242.5</v>
      </c>
      <c r="AW29" s="69" t="n">
        <f aca="false">Military!$CL$24*TblMili[[#This Row],[Sec. rec. Cost]]+TblImps[[#This Row],[O1]]-TblProd[[#This Row],[Bank Ore]]</f>
        <v>0</v>
      </c>
      <c r="AX29" s="69" t="n">
        <f aca="false">TblImps[[#This Row],[G1]]-TblProd[[#This Row],[Bank Gems]]</f>
        <v>0</v>
      </c>
      <c r="AY29" s="132"/>
      <c r="AZ29" s="33" t="n">
        <f aca="false">IF(TblProd[[#This Row],[Set Guard]]&lt;&gt;"",TblProd[[#This Row],[Set Guard]],OFFSET(TblProd[[#This Row],[Guard]],-1,0))</f>
        <v>0</v>
      </c>
      <c r="BA29" s="145"/>
      <c r="BB29" s="151" t="n">
        <f aca="false">TblProd[[#This Row],[Hour]]</f>
        <v>26</v>
      </c>
      <c r="BC29" s="152" t="n">
        <f aca="false">-TblProd[[#This Row],[Bank Lumber]] / 2 + -TblProd[[#This Row],[Bank Gems]] * 2 + -TblProd[[#This Row],[Bank Ore]] / 2</f>
        <v>0</v>
      </c>
      <c r="BD29" s="152"/>
      <c r="BE29" s="152"/>
      <c r="BF29" s="152"/>
      <c r="BG29" s="153" t="n">
        <f aca="false">TblProd[[#This Row],[Time]]</f>
        <v>45430.7916666667</v>
      </c>
      <c r="BH2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69" t="n">
        <f aca="false">TblProd[[#This Row],[Platinum]]</f>
        <v>59751</v>
      </c>
      <c r="BJ29" s="69" t="n">
        <f aca="false">TblProd[[#This Row],[Food]]</f>
        <v>28641</v>
      </c>
      <c r="BK29" s="69" t="n">
        <f aca="false">TblProd[[#This Row],[Lumber]]</f>
        <v>8725</v>
      </c>
      <c r="BL29" s="69" t="n">
        <f aca="false">TblProd[[#This Row],[Mana]]</f>
        <v>1525.5</v>
      </c>
      <c r="BM29" s="69" t="n">
        <f aca="false">TblProd[[#This Row],[Ore]]</f>
        <v>0</v>
      </c>
    </row>
    <row r="30" customFormat="false" ht="12.75" hidden="false" customHeight="false" outlineLevel="0" collapsed="false">
      <c r="A30" s="128" t="n">
        <v>27</v>
      </c>
      <c r="B30" s="144" t="n">
        <f aca="false">TblImps[[#This Row],[Time]]</f>
        <v>45430.8333333333</v>
      </c>
      <c r="C30" s="145"/>
      <c r="D30" s="146"/>
      <c r="E30" s="69" t="n">
        <f aca="false">TblConstr[[#This Row],[Land]]</f>
        <v>299</v>
      </c>
      <c r="F30" s="69" t="n">
        <f aca="false">TblPop[[#This Row],[Peasants]]</f>
        <v>4053</v>
      </c>
      <c r="G30" s="69" t="e">
        <f aca="false">TblMili[[#This Row],[Networth (2)]]</f>
        <v>#VALUE!</v>
      </c>
      <c r="H30" s="69" t="n">
        <f aca="false">OFFSET(TblProd[[#This Row],[Platinum]],-1,0)+OFFSET(TblProd[[#This Row],[Plat/hr]],-1,0) - TblProd[[#This Row],[Expenses Platinum]] + IF(TblProd[[#This Row],[Plat Bonus]],TblPop[[#This Row],[Peasants]]*4) + SUM(TblConstr[[#This Row],[Dest Hom]:[Dest Doc]])*TblConstr[[#This Row],[CPA Platinum -DB]]*tech_3_3_2*TblTech[[#This Row],[3-3]]</f>
        <v>79053</v>
      </c>
      <c r="I30" s="69" t="n">
        <f aca="false">OFFSET(TblProd[[#This Row],[Food]],-1,0)+OFFSET(TblProd[[#This Row],[Food/hr]],-1,0)+ROUNDUP((TblConstr[[#This Row],[Farms]]*80+TblConstr[[#This Row],[Docks]]*35)*(1+OFFSET(TblProd[[#This Row],[Bonus Food/hr]],-1,0)),0)</f>
        <v>27964</v>
      </c>
      <c r="J30" s="69" t="n">
        <f aca="false">OFFSET(TblProd[[#This Row],[Lumber]],-1,0)+OFFSET(TblProd[[#This Row],[Lumber/hr]],-1,0) - TblProd[[#This Row],[Expenses Lumber]] + SUM(TblConstr[[#This Row],[Dest Hom]:[Dest Doc]])*TblConstr[[#This Row],[CPA Lumber -DB]]*tech_3_3_2*TblTech[[#This Row],[3-3]]</f>
        <v>9538</v>
      </c>
      <c r="K30" s="69" t="n">
        <f aca="false">OFFSET(TblProd[[#This Row],[Mana]],-1,0)+OFFSET(TblProd[[#This Row],[Mana/hr]],-1,0)- TblProd[[#This Row],[Expenses Mana]]</f>
        <v>1944.5</v>
      </c>
      <c r="L30" s="69" t="n">
        <f aca="false">OFFSET(TblProd[[#This Row],[Ore]],-1,0)+OFFSET(TblProd[[#This Row],[Ore/hr]],-1,0) -TblProd[[#This Row],[Expenses Ore]]</f>
        <v>0</v>
      </c>
      <c r="M30" s="69" t="n">
        <f aca="false">OFFSET(TblProd[[#This Row],[Gems]],-1,0)+OFFSET(TblProd[[#This Row],[Gems/hr]],-1,0) - TblProd[[#This Row],[Expenses Gems]]</f>
        <v>0</v>
      </c>
      <c r="N30" s="69" t="n">
        <f aca="false">OFFSET(TblProd[[#This Row],[Boats]],-1,0)+OFFSET(TblProd[[#This Row],[Boats/hr]],-1,0)</f>
        <v>0.75</v>
      </c>
      <c r="O30" s="69" t="n">
        <f aca="false">OFFSET(TblProd[[#This Row],[Prestige]],-1,0)</f>
        <v>250</v>
      </c>
      <c r="P3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0" s="69" t="n">
        <f aca="false">MAX(3750,_xlfn.CEILING.MATH(TblProd[[#This Row],[Land]]*2.5+OFFSET(TblTech[[#This Row],[Sum of tech]],-1,0)*150))</f>
        <v>3750</v>
      </c>
      <c r="R30" s="132"/>
      <c r="S30" s="69" t="n">
        <f aca="false">ROUNDDOWN(TblProd[[#This Row],[Raw Plat/hr]]*(1+TblProd[[#This Row],[Bonus Plat/hr]]),0)</f>
        <v>20012</v>
      </c>
      <c r="T30" s="69" t="n">
        <f aca="false">ROUND(TblProd[[#This Row],[Raw Food/hr]]*(1+TblProd[[#This Row],[Bonus Food/hr]])-TblProd[[#This Row],[Food decay]]-TblProd[[#This Row],[Food eaten]],0)</f>
        <v>-739</v>
      </c>
      <c r="U30" s="69" t="n">
        <f aca="false">ROUND(TblProd[[#This Row],[Raw Lumber/hr]]*(1+TblProd[[#This Row],[Bonus Lumber/hr]])-TblProd[[#This Row],[Lumber rot]],0)</f>
        <v>805</v>
      </c>
      <c r="V30" s="69" t="n">
        <f aca="false">ROUND(TblProd[[#This Row],[Raw Mana/hr]]*(1+TblProd[[#This Row],[Bonus Mana/hr]])-TblProd[[#This Row],[Mana drain]],0)</f>
        <v>411</v>
      </c>
      <c r="W30" s="69" t="n">
        <f aca="false">ROUNDDOWN(TblProd[[#This Row],[Raw Ore/hr]]*(1+TblProd[[#This Row],[Bonux Ore/hr]]),0)</f>
        <v>0</v>
      </c>
      <c r="X30" s="69" t="n">
        <f aca="false">ROUNDDOWN(TblProd[[#This Row],[Raw Gems/hr]]*(1+TblProd[[#This Row],[Bonus Gems/hr]]),0)</f>
        <v>0</v>
      </c>
      <c r="Y30" s="148" t="n">
        <f aca="false">OFFSET(TblConstr[[#This Row],[Tot Doc]],1,0)*dock_boats_hr * (1 + tech_4_1*TblTech[[#This Row],[4-1]])</f>
        <v>0.25</v>
      </c>
      <c r="Z30" s="146"/>
      <c r="AA30" s="69" t="n">
        <f aca="false">TblPop[[#This Row],[Peasants]]*tax*TblPop[[#This Row],[Employment]] + (Construction!AZ31+Construction!BX31)*(alch_plat+(Magic!AM30&gt;0)*alchemist_flame_bonus)</f>
        <v>18193.1</v>
      </c>
      <c r="AB30" s="69" t="n">
        <f aca="false">TblConstr[[#This Row],[Tot Farm]]*farm_food + TblConstr[[#This Row],[Tot Doc]]*dock_food</f>
        <v>600</v>
      </c>
      <c r="AC30" s="69" t="n">
        <f aca="false">TblConstr[[#This Row],[Tot Ly]]*ly_lumber + TblConstr[[#This Row],[Tot Hav]]*fh_lumber</f>
        <v>1000</v>
      </c>
      <c r="AD30" s="69" t="n">
        <f aca="false">OFFSET(TblConstr[[#This Row],[Tot Tow]],1,0)*(tower_mana + tech_4_5*TblTech[[#This Row],[4-5]]) + OFFSET(TblConstr[[#This Row],[Tot WG]],1,0)*wg_mana_prod</f>
        <v>450</v>
      </c>
      <c r="AE30" s="69" t="n">
        <f aca="false">OFFSET(TblConstr[[#This Row],[Tot OM]],1,0)*om_ore+IF(race="Dwarf",ROUNDDOWN(TblMili[[#This Row],[Unit 2]]*0.4,0),)</f>
        <v>0</v>
      </c>
      <c r="AF30" s="69" t="n">
        <f aca="false">OFFSET(TblConstr[[#This Row],[Tot DM]],1,0)*dm_gems</f>
        <v>0</v>
      </c>
      <c r="AG30" s="132"/>
      <c r="AH30" s="149" t="n">
        <f aca="false">MIN(race_platinum_bonus + IF(TblMagic[[#This Row],[Active Alch Frost]]&gt;0,alch_frost_bonus,IF(Magic!AD30&gt;0,midas_bonus)) + TblImps[[#This Row],[Science]] - TblProd[[#This Row],[Guard]]*(0.02 + tech_5_7*TblTech[[#This Row],[5-7]]) + tech_1_5*TblTech[[#This Row],[1-5]] + tech_4_4*TblTech[[#This Row],[4-4]], 0.5)</f>
        <v>0.1</v>
      </c>
      <c r="AI3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0" s="149" t="n">
        <f aca="false">race_lumber_bonus+ IF(TblMagic[[#This Row],[Active Gaia''s Blessing]]&gt;0,gaias_blessing_lumber)+ tech_1_3*TblTech[[#This Row],[1-3]] + tech_1_6*TblTech[[#This Row],[1-6]] + tech_3_3*TblTech[[#This Row],[3-3]]</f>
        <v>-0.1</v>
      </c>
      <c r="AK30" s="149" t="n">
        <f aca="false">race_mana_bonus+ 0 + TblImps[[#This Row],[Towers]] + tech_1_2*TblTech[[#This Row],[1-2]] + tech_3_4*TblTech[[#This Row],[3-4]]</f>
        <v>0</v>
      </c>
      <c r="AL30" s="149" t="n">
        <f aca="false">race_ore_bonus + IF(TblMagic[[#This Row],[Active Miner''s Sight]]&gt;0,miners_sight_bonus,IF(TblMagic[[#This Row],[Active Mining Strength]]&gt;0,mining_strength_bonus)) +  tech_1_6*TblTech[[#This Row],[1-6]]</f>
        <v>0</v>
      </c>
      <c r="AM30" s="149" t="n">
        <f aca="false">race_gem_bonus+ tech_3_2*TblTech[[#This Row],[3-2]] + tech_4_3*TblTech[[#This Row],[4-3]] + tech_6_2*TblTech[[#This Row],[6-2]]</f>
        <v>0.15</v>
      </c>
      <c r="AN30" s="132"/>
      <c r="AO30" s="69" t="n">
        <f aca="false">TblProd[[#This Row],[Food]]*food_decay * (1 + tech_2_1*TblTech[[#This Row],[2-1]] + tech_2_8*TblTech[[#This Row],[2-8]])</f>
        <v>279.64</v>
      </c>
      <c r="AP30" s="69" t="n">
        <f aca="false">(1+race_food_consumption)*TblPop[[#This Row],[Total]]*food_per_person*(1+tech_1_10*TblTech[[#This Row],[1-10]]+tech_7_5*TblTech[[#This Row],[7-5]])</f>
        <v>1074.75</v>
      </c>
      <c r="AQ30" s="69" t="n">
        <f aca="false">TblProd[[#This Row],[Lumber]]*lumber_rot * (1 + tech_2_1*TblTech[[#This Row],[2-1]] + tech_2_8*TblTech[[#This Row],[2-8]] + tech_5_2*TblTech[[#This Row],[5-2]])</f>
        <v>95.38</v>
      </c>
      <c r="AR30" s="69" t="n">
        <f aca="false">TblProd[[#This Row],[Mana]]*mana_drain * (1 + tech_2_1*TblTech[[#This Row],[2-1]] + tech_2_8*TblTech[[#This Row],[2-8]])</f>
        <v>38.89</v>
      </c>
      <c r="AS30" s="146"/>
      <c r="AT30" s="69" t="n">
        <f aca="false">TblExplore[[#This Row],[Platinum (2)]]+TblConstr[[#This Row],[Total Plat Cost]]+TblMili[[#This Row],[Plat Cost]]+TblRezone[[#This Row],[Platinum cost]]+TblImps[[#This Row],[P1]]-TblProd[[#This Row],[Bank Plat]]</f>
        <v>0</v>
      </c>
      <c r="AU30" s="69" t="n">
        <f aca="false">TblConstr[[#This Row],[Total Lum Cost]]+TblImps[[#This Row],[L1]]-TblProd[[#This Row],[Bank Lumber]] + Military!$CL$25*TblMili[[#This Row],[Sec. rec. Cost]]</f>
        <v>0</v>
      </c>
      <c r="AV30" s="69" t="n">
        <f aca="false">TblMagic[[#This Row],[Mana cost]] + Military!$CL$26*TblMili[[#This Row],[Sec. rec. Cost]]</f>
        <v>0</v>
      </c>
      <c r="AW30" s="69" t="n">
        <f aca="false">Military!$CL$24*TblMili[[#This Row],[Sec. rec. Cost]]+TblImps[[#This Row],[O1]]-TblProd[[#This Row],[Bank Ore]]</f>
        <v>0</v>
      </c>
      <c r="AX30" s="69" t="n">
        <f aca="false">TblImps[[#This Row],[G1]]-TblProd[[#This Row],[Bank Gems]]</f>
        <v>0</v>
      </c>
      <c r="AY30" s="132"/>
      <c r="AZ30" s="33" t="n">
        <f aca="false">IF(TblProd[[#This Row],[Set Guard]]&lt;&gt;"",TblProd[[#This Row],[Set Guard]],OFFSET(TblProd[[#This Row],[Guard]],-1,0))</f>
        <v>0</v>
      </c>
      <c r="BA30" s="145"/>
      <c r="BB30" s="151" t="n">
        <f aca="false">TblProd[[#This Row],[Hour]]</f>
        <v>27</v>
      </c>
      <c r="BC30" s="152" t="n">
        <f aca="false">-TblProd[[#This Row],[Bank Lumber]] / 2 + -TblProd[[#This Row],[Bank Gems]] * 2 + -TblProd[[#This Row],[Bank Ore]] / 2</f>
        <v>0</v>
      </c>
      <c r="BD30" s="152"/>
      <c r="BE30" s="152"/>
      <c r="BF30" s="152"/>
      <c r="BG30" s="153" t="n">
        <f aca="false">TblProd[[#This Row],[Time]]</f>
        <v>45430.8333333333</v>
      </c>
      <c r="BH3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69" t="n">
        <f aca="false">TblProd[[#This Row],[Platinum]]</f>
        <v>79053</v>
      </c>
      <c r="BJ30" s="69" t="n">
        <f aca="false">TblProd[[#This Row],[Food]]</f>
        <v>27964</v>
      </c>
      <c r="BK30" s="69" t="n">
        <f aca="false">TblProd[[#This Row],[Lumber]]</f>
        <v>9538</v>
      </c>
      <c r="BL30" s="69" t="n">
        <f aca="false">TblProd[[#This Row],[Mana]]</f>
        <v>1944.5</v>
      </c>
      <c r="BM30" s="69" t="n">
        <f aca="false">TblProd[[#This Row],[Ore]]</f>
        <v>0</v>
      </c>
    </row>
    <row r="31" customFormat="false" ht="12.75" hidden="false" customHeight="false" outlineLevel="0" collapsed="false">
      <c r="A31" s="128" t="n">
        <v>28</v>
      </c>
      <c r="B31" s="144" t="n">
        <f aca="false">TblImps[[#This Row],[Time]]</f>
        <v>45430.875</v>
      </c>
      <c r="C31" s="145"/>
      <c r="D31" s="146"/>
      <c r="E31" s="69" t="n">
        <f aca="false">TblConstr[[#This Row],[Land]]</f>
        <v>299</v>
      </c>
      <c r="F31" s="69" t="n">
        <f aca="false">TblPop[[#This Row],[Peasants]]</f>
        <v>4306</v>
      </c>
      <c r="G31" s="69" t="e">
        <f aca="false">TblMili[[#This Row],[Networth (2)]]</f>
        <v>#VALUE!</v>
      </c>
      <c r="H31" s="69" t="n">
        <f aca="false">OFFSET(TblProd[[#This Row],[Platinum]],-1,0)+OFFSET(TblProd[[#This Row],[Plat/hr]],-1,0) - TblProd[[#This Row],[Expenses Platinum]] + IF(TblProd[[#This Row],[Plat Bonus]],TblPop[[#This Row],[Peasants]]*4) + SUM(TblConstr[[#This Row],[Dest Hom]:[Dest Doc]])*TblConstr[[#This Row],[CPA Platinum -DB]]*tech_3_3_2*TblTech[[#This Row],[3-3]]</f>
        <v>99065</v>
      </c>
      <c r="I31" s="69" t="n">
        <f aca="false">OFFSET(TblProd[[#This Row],[Food]],-1,0)+OFFSET(TblProd[[#This Row],[Food/hr]],-1,0)+ROUNDUP((TblConstr[[#This Row],[Farms]]*80+TblConstr[[#This Row],[Docks]]*35)*(1+OFFSET(TblProd[[#This Row],[Bonus Food/hr]],-1,0)),0)</f>
        <v>27225</v>
      </c>
      <c r="J31" s="69" t="n">
        <f aca="false">OFFSET(TblProd[[#This Row],[Lumber]],-1,0)+OFFSET(TblProd[[#This Row],[Lumber/hr]],-1,0) - TblProd[[#This Row],[Expenses Lumber]] + SUM(TblConstr[[#This Row],[Dest Hom]:[Dest Doc]])*TblConstr[[#This Row],[CPA Lumber -DB]]*tech_3_3_2*TblTech[[#This Row],[3-3]]</f>
        <v>10343</v>
      </c>
      <c r="K31" s="69" t="n">
        <f aca="false">OFFSET(TblProd[[#This Row],[Mana]],-1,0)+OFFSET(TblProd[[#This Row],[Mana/hr]],-1,0)- TblProd[[#This Row],[Expenses Mana]]</f>
        <v>1608</v>
      </c>
      <c r="L31" s="69" t="n">
        <f aca="false">OFFSET(TblProd[[#This Row],[Ore]],-1,0)+OFFSET(TblProd[[#This Row],[Ore/hr]],-1,0) -TblProd[[#This Row],[Expenses Ore]]</f>
        <v>0</v>
      </c>
      <c r="M31" s="69" t="n">
        <f aca="false">OFFSET(TblProd[[#This Row],[Gems]],-1,0)+OFFSET(TblProd[[#This Row],[Gems/hr]],-1,0) - TblProd[[#This Row],[Expenses Gems]]</f>
        <v>0</v>
      </c>
      <c r="N31" s="69" t="n">
        <f aca="false">OFFSET(TblProd[[#This Row],[Boats]],-1,0)+OFFSET(TblProd[[#This Row],[Boats/hr]],-1,0)</f>
        <v>1</v>
      </c>
      <c r="O31" s="69" t="n">
        <f aca="false">OFFSET(TblProd[[#This Row],[Prestige]],-1,0)</f>
        <v>250</v>
      </c>
      <c r="P3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1" s="69" t="n">
        <f aca="false">MAX(3750,_xlfn.CEILING.MATH(TblProd[[#This Row],[Land]]*2.5+OFFSET(TblTech[[#This Row],[Sum of tech]],-1,0)*150))</f>
        <v>3750</v>
      </c>
      <c r="R31" s="132"/>
      <c r="S31" s="69" t="n">
        <f aca="false">ROUNDDOWN(TblProd[[#This Row],[Raw Plat/hr]]*(1+TblProd[[#This Row],[Bonus Plat/hr]]),0)</f>
        <v>20763</v>
      </c>
      <c r="T31" s="69" t="n">
        <f aca="false">ROUND(TblProd[[#This Row],[Raw Food/hr]]*(1+TblProd[[#This Row],[Bonus Food/hr]])-TblProd[[#This Row],[Food decay]]-TblProd[[#This Row],[Food eaten]],0)</f>
        <v>-806</v>
      </c>
      <c r="U31" s="69" t="n">
        <f aca="false">ROUND(TblProd[[#This Row],[Raw Lumber/hr]]*(1+TblProd[[#This Row],[Bonus Lumber/hr]])-TblProd[[#This Row],[Lumber rot]],0)</f>
        <v>797</v>
      </c>
      <c r="V31" s="69" t="n">
        <f aca="false">ROUND(TblProd[[#This Row],[Raw Mana/hr]]*(1+TblProd[[#This Row],[Bonus Mana/hr]])-TblProd[[#This Row],[Mana drain]],0)</f>
        <v>418</v>
      </c>
      <c r="W31" s="69" t="n">
        <f aca="false">ROUNDDOWN(TblProd[[#This Row],[Raw Ore/hr]]*(1+TblProd[[#This Row],[Bonux Ore/hr]]),0)</f>
        <v>0</v>
      </c>
      <c r="X31" s="69" t="n">
        <f aca="false">ROUNDDOWN(TblProd[[#This Row],[Raw Gems/hr]]*(1+TblProd[[#This Row],[Bonus Gems/hr]]),0)</f>
        <v>0</v>
      </c>
      <c r="Y31" s="148" t="n">
        <f aca="false">OFFSET(TblConstr[[#This Row],[Tot Doc]],1,0)*dock_boats_hr * (1 + tech_4_1*TblTech[[#This Row],[4-1]])</f>
        <v>0.25</v>
      </c>
      <c r="Z31" s="146"/>
      <c r="AA31" s="69" t="n">
        <f aca="false">TblPop[[#This Row],[Peasants]]*tax*TblPop[[#This Row],[Employment]] + (Construction!AZ32+Construction!BX32)*(alch_plat+(Magic!AM31&gt;0)*alchemist_flame_bonus)</f>
        <v>18876.2</v>
      </c>
      <c r="AB31" s="69" t="n">
        <f aca="false">TblConstr[[#This Row],[Tot Farm]]*farm_food + TblConstr[[#This Row],[Tot Doc]]*dock_food</f>
        <v>600</v>
      </c>
      <c r="AC31" s="69" t="n">
        <f aca="false">TblConstr[[#This Row],[Tot Ly]]*ly_lumber + TblConstr[[#This Row],[Tot Hav]]*fh_lumber</f>
        <v>1000</v>
      </c>
      <c r="AD31" s="69" t="n">
        <f aca="false">OFFSET(TblConstr[[#This Row],[Tot Tow]],1,0)*(tower_mana + tech_4_5*TblTech[[#This Row],[4-5]]) + OFFSET(TblConstr[[#This Row],[Tot WG]],1,0)*wg_mana_prod</f>
        <v>450</v>
      </c>
      <c r="AE31" s="69" t="n">
        <f aca="false">OFFSET(TblConstr[[#This Row],[Tot OM]],1,0)*om_ore+IF(race="Dwarf",ROUNDDOWN(TblMili[[#This Row],[Unit 2]]*0.4,0),)</f>
        <v>0</v>
      </c>
      <c r="AF31" s="69" t="n">
        <f aca="false">OFFSET(TblConstr[[#This Row],[Tot DM]],1,0)*dm_gems</f>
        <v>0</v>
      </c>
      <c r="AG31" s="132"/>
      <c r="AH31" s="149" t="n">
        <f aca="false">MIN(race_platinum_bonus + IF(TblMagic[[#This Row],[Active Alch Frost]]&gt;0,alch_frost_bonus,IF(Magic!AD31&gt;0,midas_bonus)) + TblImps[[#This Row],[Science]] - TblProd[[#This Row],[Guard]]*(0.02 + tech_5_7*TblTech[[#This Row],[5-7]]) + tech_1_5*TblTech[[#This Row],[1-5]] + tech_4_4*TblTech[[#This Row],[4-4]], 0.5)</f>
        <v>0.1</v>
      </c>
      <c r="AI3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1" s="149" t="n">
        <f aca="false">race_lumber_bonus+ IF(TblMagic[[#This Row],[Active Gaia''s Blessing]]&gt;0,gaias_blessing_lumber)+ tech_1_3*TblTech[[#This Row],[1-3]] + tech_1_6*TblTech[[#This Row],[1-6]] + tech_3_3*TblTech[[#This Row],[3-3]]</f>
        <v>-0.1</v>
      </c>
      <c r="AK31" s="149" t="n">
        <f aca="false">race_mana_bonus+ 0 + TblImps[[#This Row],[Towers]] + tech_1_2*TblTech[[#This Row],[1-2]] + tech_3_4*TblTech[[#This Row],[3-4]]</f>
        <v>0</v>
      </c>
      <c r="AL31" s="149" t="n">
        <f aca="false">race_ore_bonus + IF(TblMagic[[#This Row],[Active Miner''s Sight]]&gt;0,miners_sight_bonus,IF(TblMagic[[#This Row],[Active Mining Strength]]&gt;0,mining_strength_bonus)) +  tech_1_6*TblTech[[#This Row],[1-6]]</f>
        <v>0</v>
      </c>
      <c r="AM31" s="149" t="n">
        <f aca="false">race_gem_bonus+ tech_3_2*TblTech[[#This Row],[3-2]] + tech_4_3*TblTech[[#This Row],[4-3]] + tech_6_2*TblTech[[#This Row],[6-2]]</f>
        <v>0.15</v>
      </c>
      <c r="AN31" s="132"/>
      <c r="AO31" s="69" t="n">
        <f aca="false">TblProd[[#This Row],[Food]]*food_decay * (1 + tech_2_1*TblTech[[#This Row],[2-1]] + tech_2_8*TblTech[[#This Row],[2-8]])</f>
        <v>272.25</v>
      </c>
      <c r="AP31" s="69" t="n">
        <f aca="false">(1+race_food_consumption)*TblPop[[#This Row],[Total]]*food_per_person*(1+tech_1_10*TblTech[[#This Row],[1-10]]+tech_7_5*TblTech[[#This Row],[7-5]])</f>
        <v>1148.25</v>
      </c>
      <c r="AQ31" s="69" t="n">
        <f aca="false">TblProd[[#This Row],[Lumber]]*lumber_rot * (1 + tech_2_1*TblTech[[#This Row],[2-1]] + tech_2_8*TblTech[[#This Row],[2-8]] + tech_5_2*TblTech[[#This Row],[5-2]])</f>
        <v>103.43</v>
      </c>
      <c r="AR31" s="69" t="n">
        <f aca="false">TblProd[[#This Row],[Mana]]*mana_drain * (1 + tech_2_1*TblTech[[#This Row],[2-1]] + tech_2_8*TblTech[[#This Row],[2-8]])</f>
        <v>32.16</v>
      </c>
      <c r="AS31" s="146"/>
      <c r="AT31" s="69" t="n">
        <f aca="false">TblExplore[[#This Row],[Platinum (2)]]+TblConstr[[#This Row],[Total Plat Cost]]+TblMili[[#This Row],[Plat Cost]]+TblRezone[[#This Row],[Platinum cost]]+TblImps[[#This Row],[P1]]-TblProd[[#This Row],[Bank Plat]]</f>
        <v>0</v>
      </c>
      <c r="AU31" s="69" t="n">
        <f aca="false">TblConstr[[#This Row],[Total Lum Cost]]+TblImps[[#This Row],[L1]]-TblProd[[#This Row],[Bank Lumber]] + Military!$CL$25*TblMili[[#This Row],[Sec. rec. Cost]]</f>
        <v>0</v>
      </c>
      <c r="AV31" s="69" t="n">
        <f aca="false">TblMagic[[#This Row],[Mana cost]] + Military!$CL$26*TblMili[[#This Row],[Sec. rec. Cost]]</f>
        <v>747.5</v>
      </c>
      <c r="AW31" s="69" t="n">
        <f aca="false">Military!$CL$24*TblMili[[#This Row],[Sec. rec. Cost]]+TblImps[[#This Row],[O1]]-TblProd[[#This Row],[Bank Ore]]</f>
        <v>0</v>
      </c>
      <c r="AX31" s="69" t="n">
        <f aca="false">TblImps[[#This Row],[G1]]-TblProd[[#This Row],[Bank Gems]]</f>
        <v>0</v>
      </c>
      <c r="AY31" s="132"/>
      <c r="AZ31" s="33" t="n">
        <f aca="false">IF(TblProd[[#This Row],[Set Guard]]&lt;&gt;"",TblProd[[#This Row],[Set Guard]],OFFSET(TblProd[[#This Row],[Guard]],-1,0))</f>
        <v>0</v>
      </c>
      <c r="BA31" s="145"/>
      <c r="BB31" s="151" t="n">
        <f aca="false">TblProd[[#This Row],[Hour]]</f>
        <v>28</v>
      </c>
      <c r="BC31" s="152" t="n">
        <f aca="false">-TblProd[[#This Row],[Bank Lumber]] / 2 + -TblProd[[#This Row],[Bank Gems]] * 2 + -TblProd[[#This Row],[Bank Ore]] / 2</f>
        <v>0</v>
      </c>
      <c r="BD31" s="152"/>
      <c r="BE31" s="152"/>
      <c r="BF31" s="152"/>
      <c r="BG31" s="153" t="n">
        <f aca="false">TblProd[[#This Row],[Time]]</f>
        <v>45430.875</v>
      </c>
      <c r="BH3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69" t="n">
        <f aca="false">TblProd[[#This Row],[Platinum]]</f>
        <v>99065</v>
      </c>
      <c r="BJ31" s="69" t="n">
        <f aca="false">TblProd[[#This Row],[Food]]</f>
        <v>27225</v>
      </c>
      <c r="BK31" s="69" t="n">
        <f aca="false">TblProd[[#This Row],[Lumber]]</f>
        <v>10343</v>
      </c>
      <c r="BL31" s="69" t="n">
        <f aca="false">TblProd[[#This Row],[Mana]]</f>
        <v>1608</v>
      </c>
      <c r="BM31" s="69" t="n">
        <f aca="false">TblProd[[#This Row],[Ore]]</f>
        <v>0</v>
      </c>
    </row>
    <row r="32" customFormat="false" ht="12.75" hidden="false" customHeight="false" outlineLevel="0" collapsed="false">
      <c r="A32" s="128" t="n">
        <v>29</v>
      </c>
      <c r="B32" s="144" t="n">
        <f aca="false">TblImps[[#This Row],[Time]]</f>
        <v>45430.9166666667</v>
      </c>
      <c r="C32" s="145"/>
      <c r="D32" s="146"/>
      <c r="E32" s="69" t="n">
        <f aca="false">TblConstr[[#This Row],[Land]]</f>
        <v>299</v>
      </c>
      <c r="F32" s="69" t="n">
        <f aca="false">TblPop[[#This Row],[Peasants]]</f>
        <v>4497</v>
      </c>
      <c r="G32" s="69" t="e">
        <f aca="false">TblMili[[#This Row],[Networth (2)]]</f>
        <v>#VALUE!</v>
      </c>
      <c r="H32" s="69" t="n">
        <f aca="false">OFFSET(TblProd[[#This Row],[Platinum]],-1,0)+OFFSET(TblProd[[#This Row],[Plat/hr]],-1,0) - TblProd[[#This Row],[Expenses Platinum]] + IF(TblProd[[#This Row],[Plat Bonus]],TblPop[[#This Row],[Peasants]]*4) + SUM(TblConstr[[#This Row],[Dest Hom]:[Dest Doc]])*TblConstr[[#This Row],[CPA Platinum -DB]]*tech_3_3_2*TblTech[[#This Row],[3-3]]</f>
        <v>38976</v>
      </c>
      <c r="I32" s="69" t="n">
        <f aca="false">OFFSET(TblProd[[#This Row],[Food]],-1,0)+OFFSET(TblProd[[#This Row],[Food/hr]],-1,0)+ROUNDUP((TblConstr[[#This Row],[Farms]]*80+TblConstr[[#This Row],[Docks]]*35)*(1+OFFSET(TblProd[[#This Row],[Bonus Food/hr]],-1,0)),0)</f>
        <v>26419</v>
      </c>
      <c r="J32" s="69" t="n">
        <f aca="false">OFFSET(TblProd[[#This Row],[Lumber]],-1,0)+OFFSET(TblProd[[#This Row],[Lumber/hr]],-1,0) - TblProd[[#This Row],[Expenses Lumber]] + SUM(TblConstr[[#This Row],[Dest Hom]:[Dest Doc]])*TblConstr[[#This Row],[CPA Lumber -DB]]*tech_3_3_2*TblTech[[#This Row],[3-3]]</f>
        <v>11140</v>
      </c>
      <c r="K32" s="69" t="n">
        <f aca="false">OFFSET(TblProd[[#This Row],[Mana]],-1,0)+OFFSET(TblProd[[#This Row],[Mana/hr]],-1,0)- TblProd[[#This Row],[Expenses Mana]]</f>
        <v>2026</v>
      </c>
      <c r="L32" s="69" t="n">
        <f aca="false">OFFSET(TblProd[[#This Row],[Ore]],-1,0)+OFFSET(TblProd[[#This Row],[Ore/hr]],-1,0) -TblProd[[#This Row],[Expenses Ore]]</f>
        <v>0</v>
      </c>
      <c r="M32" s="69" t="n">
        <f aca="false">OFFSET(TblProd[[#This Row],[Gems]],-1,0)+OFFSET(TblProd[[#This Row],[Gems/hr]],-1,0) - TblProd[[#This Row],[Expenses Gems]]</f>
        <v>0</v>
      </c>
      <c r="N32" s="69" t="n">
        <f aca="false">OFFSET(TblProd[[#This Row],[Boats]],-1,0)+OFFSET(TblProd[[#This Row],[Boats/hr]],-1,0)</f>
        <v>1.25</v>
      </c>
      <c r="O32" s="69" t="n">
        <f aca="false">OFFSET(TblProd[[#This Row],[Prestige]],-1,0)</f>
        <v>250</v>
      </c>
      <c r="P3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2" s="69" t="n">
        <f aca="false">MAX(3750,_xlfn.CEILING.MATH(TblProd[[#This Row],[Land]]*2.5+OFFSET(TblTech[[#This Row],[Sum of tech]],-1,0)*150))</f>
        <v>3750</v>
      </c>
      <c r="R32" s="132"/>
      <c r="S32" s="69" t="n">
        <f aca="false">ROUNDDOWN(TblProd[[#This Row],[Raw Plat/hr]]*(1+TblProd[[#This Row],[Bonus Plat/hr]]),0)</f>
        <v>22096</v>
      </c>
      <c r="T32" s="69" t="n">
        <f aca="false">ROUND(TblProd[[#This Row],[Raw Food/hr]]*(1+TblProd[[#This Row],[Bonus Food/hr]])-TblProd[[#This Row],[Food decay]]-TblProd[[#This Row],[Food eaten]],0)</f>
        <v>-774</v>
      </c>
      <c r="U32" s="69" t="n">
        <f aca="false">ROUND(TblProd[[#This Row],[Raw Lumber/hr]]*(1+TblProd[[#This Row],[Bonus Lumber/hr]])-TblProd[[#This Row],[Lumber rot]],0)</f>
        <v>789</v>
      </c>
      <c r="V32" s="69" t="n">
        <f aca="false">ROUND(TblProd[[#This Row],[Raw Mana/hr]]*(1+TblProd[[#This Row],[Bonus Mana/hr]])-TblProd[[#This Row],[Mana drain]],0)</f>
        <v>409</v>
      </c>
      <c r="W32" s="69" t="n">
        <f aca="false">ROUNDDOWN(TblProd[[#This Row],[Raw Ore/hr]]*(1+TblProd[[#This Row],[Bonux Ore/hr]]),0)</f>
        <v>0</v>
      </c>
      <c r="X32" s="69" t="n">
        <f aca="false">ROUNDDOWN(TblProd[[#This Row],[Raw Gems/hr]]*(1+TblProd[[#This Row],[Bonus Gems/hr]]),0)</f>
        <v>0</v>
      </c>
      <c r="Y32" s="148" t="n">
        <f aca="false">OFFSET(TblConstr[[#This Row],[Tot Doc]],1,0)*dock_boats_hr * (1 + tech_4_1*TblTech[[#This Row],[4-1]])</f>
        <v>0.25</v>
      </c>
      <c r="Z32" s="146"/>
      <c r="AA32" s="69" t="n">
        <f aca="false">TblPop[[#This Row],[Peasants]]*tax*TblPop[[#This Row],[Employment]] + (Construction!AZ33+Construction!BX33)*(alch_plat+(Magic!AM32&gt;0)*alchemist_flame_bonus)</f>
        <v>20087.9</v>
      </c>
      <c r="AB32" s="69" t="n">
        <f aca="false">TblConstr[[#This Row],[Tot Farm]]*farm_food + TblConstr[[#This Row],[Tot Doc]]*dock_food</f>
        <v>600</v>
      </c>
      <c r="AC32" s="69" t="n">
        <f aca="false">TblConstr[[#This Row],[Tot Ly]]*ly_lumber + TblConstr[[#This Row],[Tot Hav]]*fh_lumber</f>
        <v>1000</v>
      </c>
      <c r="AD32" s="69" t="n">
        <f aca="false">OFFSET(TblConstr[[#This Row],[Tot Tow]],1,0)*(tower_mana + tech_4_5*TblTech[[#This Row],[4-5]]) + OFFSET(TblConstr[[#This Row],[Tot WG]],1,0)*wg_mana_prod</f>
        <v>450</v>
      </c>
      <c r="AE32" s="69" t="n">
        <f aca="false">OFFSET(TblConstr[[#This Row],[Tot OM]],1,0)*om_ore+IF(race="Dwarf",ROUNDDOWN(TblMili[[#This Row],[Unit 2]]*0.4,0),)</f>
        <v>0</v>
      </c>
      <c r="AF32" s="69" t="n">
        <f aca="false">OFFSET(TblConstr[[#This Row],[Tot DM]],1,0)*dm_gems</f>
        <v>0</v>
      </c>
      <c r="AG32" s="132"/>
      <c r="AH32" s="149" t="n">
        <f aca="false">MIN(race_platinum_bonus + IF(TblMagic[[#This Row],[Active Alch Frost]]&gt;0,alch_frost_bonus,IF(Magic!AD32&gt;0,midas_bonus)) + TblImps[[#This Row],[Science]] - TblProd[[#This Row],[Guard]]*(0.02 + tech_5_7*TblTech[[#This Row],[5-7]]) + tech_1_5*TblTech[[#This Row],[1-5]] + tech_4_4*TblTech[[#This Row],[4-4]], 0.5)</f>
        <v>0.1</v>
      </c>
      <c r="AI3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2" s="149" t="n">
        <f aca="false">race_lumber_bonus+ IF(TblMagic[[#This Row],[Active Gaia''s Blessing]]&gt;0,gaias_blessing_lumber)+ tech_1_3*TblTech[[#This Row],[1-3]] + tech_1_6*TblTech[[#This Row],[1-6]] + tech_3_3*TblTech[[#This Row],[3-3]]</f>
        <v>-0.1</v>
      </c>
      <c r="AK32" s="149" t="n">
        <f aca="false">race_mana_bonus+ 0 + TblImps[[#This Row],[Towers]] + tech_1_2*TblTech[[#This Row],[1-2]] + tech_3_4*TblTech[[#This Row],[3-4]]</f>
        <v>0</v>
      </c>
      <c r="AL32" s="149" t="n">
        <f aca="false">race_ore_bonus + IF(TblMagic[[#This Row],[Active Miner''s Sight]]&gt;0,miners_sight_bonus,IF(TblMagic[[#This Row],[Active Mining Strength]]&gt;0,mining_strength_bonus)) +  tech_1_6*TblTech[[#This Row],[1-6]]</f>
        <v>0</v>
      </c>
      <c r="AM32" s="149" t="n">
        <f aca="false">race_gem_bonus+ tech_3_2*TblTech[[#This Row],[3-2]] + tech_4_3*TblTech[[#This Row],[4-3]] + tech_6_2*TblTech[[#This Row],[6-2]]</f>
        <v>0.15</v>
      </c>
      <c r="AN32" s="132"/>
      <c r="AO32" s="69" t="n">
        <f aca="false">TblProd[[#This Row],[Food]]*food_decay * (1 + tech_2_1*TblTech[[#This Row],[2-1]] + tech_2_8*TblTech[[#This Row],[2-8]])</f>
        <v>264.19</v>
      </c>
      <c r="AP32" s="69" t="n">
        <f aca="false">(1+race_food_consumption)*TblPop[[#This Row],[Total]]*food_per_person*(1+tech_1_10*TblTech[[#This Row],[1-10]]+tech_7_5*TblTech[[#This Row],[7-5]])</f>
        <v>1124.75</v>
      </c>
      <c r="AQ32" s="69" t="n">
        <f aca="false">TblProd[[#This Row],[Lumber]]*lumber_rot * (1 + tech_2_1*TblTech[[#This Row],[2-1]] + tech_2_8*TblTech[[#This Row],[2-8]] + tech_5_2*TblTech[[#This Row],[5-2]])</f>
        <v>111.4</v>
      </c>
      <c r="AR32" s="69" t="n">
        <f aca="false">TblProd[[#This Row],[Mana]]*mana_drain * (1 + tech_2_1*TblTech[[#This Row],[2-1]] + tech_2_8*TblTech[[#This Row],[2-8]])</f>
        <v>40.52</v>
      </c>
      <c r="AS32" s="146"/>
      <c r="AT32" s="69" t="n">
        <f aca="false">TblExplore[[#This Row],[Platinum (2)]]+TblConstr[[#This Row],[Total Plat Cost]]+TblMili[[#This Row],[Plat Cost]]+TblRezone[[#This Row],[Platinum cost]]+TblImps[[#This Row],[P1]]-TblProd[[#This Row],[Bank Plat]]</f>
        <v>80852</v>
      </c>
      <c r="AU32" s="69" t="n">
        <f aca="false">TblConstr[[#This Row],[Total Lum Cost]]+TblImps[[#This Row],[L1]]-TblProd[[#This Row],[Bank Lumber]] + Military!$CL$25*TblMili[[#This Row],[Sec. rec. Cost]]</f>
        <v>0</v>
      </c>
      <c r="AV32" s="69" t="n">
        <f aca="false">TblMagic[[#This Row],[Mana cost]] + Military!$CL$26*TblMili[[#This Row],[Sec. rec. Cost]]</f>
        <v>0</v>
      </c>
      <c r="AW32" s="69" t="n">
        <f aca="false">Military!$CL$24*TblMili[[#This Row],[Sec. rec. Cost]]+TblImps[[#This Row],[O1]]-TblProd[[#This Row],[Bank Ore]]</f>
        <v>0</v>
      </c>
      <c r="AX32" s="69" t="n">
        <f aca="false">TblImps[[#This Row],[G1]]-TblProd[[#This Row],[Bank Gems]]</f>
        <v>0</v>
      </c>
      <c r="AY32" s="132"/>
      <c r="AZ32" s="33" t="n">
        <f aca="false">IF(TblProd[[#This Row],[Set Guard]]&lt;&gt;"",TblProd[[#This Row],[Set Guard]],OFFSET(TblProd[[#This Row],[Guard]],-1,0))</f>
        <v>0</v>
      </c>
      <c r="BA32" s="145"/>
      <c r="BB32" s="151" t="n">
        <f aca="false">TblProd[[#This Row],[Hour]]</f>
        <v>29</v>
      </c>
      <c r="BC32" s="152" t="n">
        <f aca="false">-TblProd[[#This Row],[Bank Lumber]] / 2 + -TblProd[[#This Row],[Bank Gems]] * 2 + -TblProd[[#This Row],[Bank Ore]] / 2</f>
        <v>0</v>
      </c>
      <c r="BD32" s="152"/>
      <c r="BE32" s="152"/>
      <c r="BF32" s="152"/>
      <c r="BG32" s="153" t="n">
        <f aca="false">TblProd[[#This Row],[Time]]</f>
        <v>45430.9166666667</v>
      </c>
      <c r="BH3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69" t="n">
        <f aca="false">TblProd[[#This Row],[Platinum]]</f>
        <v>38976</v>
      </c>
      <c r="BJ32" s="69" t="n">
        <f aca="false">TblProd[[#This Row],[Food]]</f>
        <v>26419</v>
      </c>
      <c r="BK32" s="69" t="n">
        <f aca="false">TblProd[[#This Row],[Lumber]]</f>
        <v>11140</v>
      </c>
      <c r="BL32" s="69" t="n">
        <f aca="false">TblProd[[#This Row],[Mana]]</f>
        <v>2026</v>
      </c>
      <c r="BM32" s="69" t="n">
        <f aca="false">TblProd[[#This Row],[Ore]]</f>
        <v>0</v>
      </c>
    </row>
    <row r="33" customFormat="false" ht="12.75" hidden="false" customHeight="false" outlineLevel="0" collapsed="false">
      <c r="A33" s="128" t="n">
        <v>30</v>
      </c>
      <c r="B33" s="144" t="n">
        <f aca="false">TblImps[[#This Row],[Time]]</f>
        <v>45430.9583333333</v>
      </c>
      <c r="C33" s="145"/>
      <c r="D33" s="146"/>
      <c r="E33" s="69" t="n">
        <f aca="false">TblConstr[[#This Row],[Land]]</f>
        <v>369</v>
      </c>
      <c r="F33" s="69" t="n">
        <f aca="false">TblPop[[#This Row],[Peasants]]</f>
        <v>4754</v>
      </c>
      <c r="G33" s="69" t="e">
        <f aca="false">TblMili[[#This Row],[Networth (2)]]</f>
        <v>#VALUE!</v>
      </c>
      <c r="H33" s="69" t="n">
        <f aca="false">OFFSET(TblProd[[#This Row],[Platinum]],-1,0)+OFFSET(TblProd[[#This Row],[Plat/hr]],-1,0) - TblProd[[#This Row],[Expenses Platinum]] + IF(TblProd[[#This Row],[Plat Bonus]],TblPop[[#This Row],[Peasants]]*4) + SUM(TblConstr[[#This Row],[Dest Hom]:[Dest Doc]])*TblConstr[[#This Row],[CPA Platinum -DB]]*tech_3_3_2*TblTech[[#This Row],[3-3]]</f>
        <v>21478</v>
      </c>
      <c r="I33" s="69" t="n">
        <f aca="false">OFFSET(TblProd[[#This Row],[Food]],-1,0)+OFFSET(TblProd[[#This Row],[Food/hr]],-1,0)+ROUNDUP((TblConstr[[#This Row],[Farms]]*80+TblConstr[[#This Row],[Docks]]*35)*(1+OFFSET(TblProd[[#This Row],[Bonus Food/hr]],-1,0)),0)</f>
        <v>25727</v>
      </c>
      <c r="J33" s="69" t="n">
        <f aca="false">OFFSET(TblProd[[#This Row],[Lumber]],-1,0)+OFFSET(TblProd[[#This Row],[Lumber/hr]],-1,0) - TblProd[[#This Row],[Expenses Lumber]] + SUM(TblConstr[[#This Row],[Dest Hom]:[Dest Doc]])*TblConstr[[#This Row],[CPA Lumber -DB]]*tech_3_3_2*TblTech[[#This Row],[3-3]]</f>
        <v>7729</v>
      </c>
      <c r="K33" s="69" t="n">
        <f aca="false">OFFSET(TblProd[[#This Row],[Mana]],-1,0)+OFFSET(TblProd[[#This Row],[Mana/hr]],-1,0)- TblProd[[#This Row],[Expenses Mana]]</f>
        <v>2435</v>
      </c>
      <c r="L33" s="69" t="n">
        <f aca="false">OFFSET(TblProd[[#This Row],[Ore]],-1,0)+OFFSET(TblProd[[#This Row],[Ore/hr]],-1,0) -TblProd[[#This Row],[Expenses Ore]]</f>
        <v>0</v>
      </c>
      <c r="M33" s="69" t="n">
        <f aca="false">OFFSET(TblProd[[#This Row],[Gems]],-1,0)+OFFSET(TblProd[[#This Row],[Gems/hr]],-1,0) - TblProd[[#This Row],[Expenses Gems]]</f>
        <v>0</v>
      </c>
      <c r="N33" s="69" t="n">
        <f aca="false">OFFSET(TblProd[[#This Row],[Boats]],-1,0)+OFFSET(TblProd[[#This Row],[Boats/hr]],-1,0)</f>
        <v>1.5</v>
      </c>
      <c r="O33" s="69" t="n">
        <f aca="false">OFFSET(TblProd[[#This Row],[Prestige]],-1,0)</f>
        <v>250</v>
      </c>
      <c r="P3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3" s="69" t="n">
        <f aca="false">MAX(3750,_xlfn.CEILING.MATH(TblProd[[#This Row],[Land]]*2.5+OFFSET(TblTech[[#This Row],[Sum of tech]],-1,0)*150))</f>
        <v>3750</v>
      </c>
      <c r="R33" s="132"/>
      <c r="S33" s="69" t="n">
        <f aca="false">ROUNDDOWN(TblProd[[#This Row],[Raw Plat/hr]]*(1+TblProd[[#This Row],[Bonus Plat/hr]]),0)</f>
        <v>22859</v>
      </c>
      <c r="T33" s="69" t="n">
        <f aca="false">ROUND(TblProd[[#This Row],[Raw Food/hr]]*(1+TblProd[[#This Row],[Bonus Food/hr]])-TblProd[[#This Row],[Food decay]]-TblProd[[#This Row],[Food eaten]],0)</f>
        <v>-749</v>
      </c>
      <c r="U33" s="69" t="n">
        <f aca="false">ROUND(TblProd[[#This Row],[Raw Lumber/hr]]*(1+TblProd[[#This Row],[Bonus Lumber/hr]])-TblProd[[#This Row],[Lumber rot]],0)</f>
        <v>958</v>
      </c>
      <c r="V33" s="69" t="n">
        <f aca="false">ROUND(TblProd[[#This Row],[Raw Mana/hr]]*(1+TblProd[[#This Row],[Bonus Mana/hr]])-TblProd[[#This Row],[Mana drain]],0)</f>
        <v>401</v>
      </c>
      <c r="W33" s="69" t="n">
        <f aca="false">ROUNDDOWN(TblProd[[#This Row],[Raw Ore/hr]]*(1+TblProd[[#This Row],[Bonux Ore/hr]]),0)</f>
        <v>0</v>
      </c>
      <c r="X33" s="69" t="n">
        <f aca="false">ROUNDDOWN(TblProd[[#This Row],[Raw Gems/hr]]*(1+TblProd[[#This Row],[Bonus Gems/hr]]),0)</f>
        <v>0</v>
      </c>
      <c r="Y33" s="148" t="n">
        <f aca="false">OFFSET(TblConstr[[#This Row],[Tot Doc]],1,0)*dock_boats_hr * (1 + tech_4_1*TblTech[[#This Row],[4-1]])</f>
        <v>0.25</v>
      </c>
      <c r="Z33" s="146"/>
      <c r="AA33" s="69" t="n">
        <f aca="false">TblPop[[#This Row],[Peasants]]*tax*TblPop[[#This Row],[Employment]] + (Construction!AZ34+Construction!BX34)*(alch_plat+(Magic!AM33&gt;0)*alchemist_flame_bonus)</f>
        <v>20781.8</v>
      </c>
      <c r="AB33" s="69" t="n">
        <f aca="false">TblConstr[[#This Row],[Tot Farm]]*farm_food + TblConstr[[#This Row],[Tot Doc]]*dock_food</f>
        <v>680</v>
      </c>
      <c r="AC33" s="69" t="n">
        <f aca="false">TblConstr[[#This Row],[Tot Ly]]*ly_lumber + TblConstr[[#This Row],[Tot Hav]]*fh_lumber</f>
        <v>1150</v>
      </c>
      <c r="AD33" s="69" t="n">
        <f aca="false">OFFSET(TblConstr[[#This Row],[Tot Tow]],1,0)*(tower_mana + tech_4_5*TblTech[[#This Row],[4-5]]) + OFFSET(TblConstr[[#This Row],[Tot WG]],1,0)*wg_mana_prod</f>
        <v>450</v>
      </c>
      <c r="AE33" s="69" t="n">
        <f aca="false">OFFSET(TblConstr[[#This Row],[Tot OM]],1,0)*om_ore+IF(race="Dwarf",ROUNDDOWN(TblMili[[#This Row],[Unit 2]]*0.4,0),)</f>
        <v>0</v>
      </c>
      <c r="AF33" s="69" t="n">
        <f aca="false">OFFSET(TblConstr[[#This Row],[Tot DM]],1,0)*dm_gems</f>
        <v>0</v>
      </c>
      <c r="AG33" s="132"/>
      <c r="AH33" s="149" t="n">
        <f aca="false">MIN(race_platinum_bonus + IF(TblMagic[[#This Row],[Active Alch Frost]]&gt;0,alch_frost_bonus,IF(Magic!AD33&gt;0,midas_bonus)) + TblImps[[#This Row],[Science]] - TblProd[[#This Row],[Guard]]*(0.02 + tech_5_7*TblTech[[#This Row],[5-7]]) + tech_1_5*TblTech[[#This Row],[1-5]] + tech_4_4*TblTech[[#This Row],[4-4]], 0.5)</f>
        <v>0.1</v>
      </c>
      <c r="AI3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3" s="149" t="n">
        <f aca="false">race_lumber_bonus+ IF(TblMagic[[#This Row],[Active Gaia''s Blessing]]&gt;0,gaias_blessing_lumber)+ tech_1_3*TblTech[[#This Row],[1-3]] + tech_1_6*TblTech[[#This Row],[1-6]] + tech_3_3*TblTech[[#This Row],[3-3]]</f>
        <v>-0.1</v>
      </c>
      <c r="AK33" s="149" t="n">
        <f aca="false">race_mana_bonus+ 0 + TblImps[[#This Row],[Towers]] + tech_1_2*TblTech[[#This Row],[1-2]] + tech_3_4*TblTech[[#This Row],[3-4]]</f>
        <v>0</v>
      </c>
      <c r="AL33" s="149" t="n">
        <f aca="false">race_ore_bonus + IF(TblMagic[[#This Row],[Active Miner''s Sight]]&gt;0,miners_sight_bonus,IF(TblMagic[[#This Row],[Active Mining Strength]]&gt;0,mining_strength_bonus)) +  tech_1_6*TblTech[[#This Row],[1-6]]</f>
        <v>0</v>
      </c>
      <c r="AM33" s="149" t="n">
        <f aca="false">race_gem_bonus+ tech_3_2*TblTech[[#This Row],[3-2]] + tech_4_3*TblTech[[#This Row],[4-3]] + tech_6_2*TblTech[[#This Row],[6-2]]</f>
        <v>0.15</v>
      </c>
      <c r="AN33" s="132"/>
      <c r="AO33" s="69" t="n">
        <f aca="false">TblProd[[#This Row],[Food]]*food_decay * (1 + tech_2_1*TblTech[[#This Row],[2-1]] + tech_2_8*TblTech[[#This Row],[2-8]])</f>
        <v>257.27</v>
      </c>
      <c r="AP33" s="69" t="n">
        <f aca="false">(1+race_food_consumption)*TblPop[[#This Row],[Total]]*food_per_person*(1+tech_1_10*TblTech[[#This Row],[1-10]]+tech_7_5*TblTech[[#This Row],[7-5]])</f>
        <v>1189</v>
      </c>
      <c r="AQ33" s="69" t="n">
        <f aca="false">TblProd[[#This Row],[Lumber]]*lumber_rot * (1 + tech_2_1*TblTech[[#This Row],[2-1]] + tech_2_8*TblTech[[#This Row],[2-8]] + tech_5_2*TblTech[[#This Row],[5-2]])</f>
        <v>77.29</v>
      </c>
      <c r="AR33" s="69" t="n">
        <f aca="false">TblProd[[#This Row],[Mana]]*mana_drain * (1 + tech_2_1*TblTech[[#This Row],[2-1]] + tech_2_8*TblTech[[#This Row],[2-8]])</f>
        <v>48.7</v>
      </c>
      <c r="AS33" s="146"/>
      <c r="AT33" s="69" t="n">
        <f aca="false">TblExplore[[#This Row],[Platinum (2)]]+TblConstr[[#This Row],[Total Plat Cost]]+TblMili[[#This Row],[Plat Cost]]+TblRezone[[#This Row],[Platinum cost]]+TblImps[[#This Row],[P1]]-TblProd[[#This Row],[Bank Plat]]</f>
        <v>39594</v>
      </c>
      <c r="AU33" s="69" t="n">
        <f aca="false">TblConstr[[#This Row],[Total Lum Cost]]+TblImps[[#This Row],[L1]]-TblProd[[#This Row],[Bank Lumber]] + Military!$CL$25*TblMili[[#This Row],[Sec. rec. Cost]]</f>
        <v>4200</v>
      </c>
      <c r="AV33" s="69" t="n">
        <f aca="false">TblMagic[[#This Row],[Mana cost]] + Military!$CL$26*TblMili[[#This Row],[Sec. rec. Cost]]</f>
        <v>0</v>
      </c>
      <c r="AW33" s="69" t="n">
        <f aca="false">Military!$CL$24*TblMili[[#This Row],[Sec. rec. Cost]]+TblImps[[#This Row],[O1]]-TblProd[[#This Row],[Bank Ore]]</f>
        <v>0</v>
      </c>
      <c r="AX33" s="69" t="n">
        <f aca="false">TblImps[[#This Row],[G1]]-TblProd[[#This Row],[Bank Gems]]</f>
        <v>0</v>
      </c>
      <c r="AY33" s="132"/>
      <c r="AZ33" s="33" t="n">
        <f aca="false">IF(TblProd[[#This Row],[Set Guard]]&lt;&gt;"",TblProd[[#This Row],[Set Guard]],OFFSET(TblProd[[#This Row],[Guard]],-1,0))</f>
        <v>0</v>
      </c>
      <c r="BA33" s="145"/>
      <c r="BB33" s="151" t="n">
        <f aca="false">TblProd[[#This Row],[Hour]]</f>
        <v>30</v>
      </c>
      <c r="BC33" s="152" t="n">
        <f aca="false">-TblProd[[#This Row],[Bank Lumber]] / 2 + -TblProd[[#This Row],[Bank Gems]] * 2 + -TblProd[[#This Row],[Bank Ore]] / 2</f>
        <v>0</v>
      </c>
      <c r="BD33" s="152"/>
      <c r="BE33" s="152"/>
      <c r="BF33" s="152"/>
      <c r="BG33" s="153" t="n">
        <f aca="false">TblProd[[#This Row],[Time]]</f>
        <v>45430.9583333333</v>
      </c>
      <c r="BH3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69" t="n">
        <f aca="false">TblProd[[#This Row],[Platinum]]</f>
        <v>21478</v>
      </c>
      <c r="BJ33" s="69" t="n">
        <f aca="false">TblProd[[#This Row],[Food]]</f>
        <v>25727</v>
      </c>
      <c r="BK33" s="69" t="n">
        <f aca="false">TblProd[[#This Row],[Lumber]]</f>
        <v>7729</v>
      </c>
      <c r="BL33" s="69" t="n">
        <f aca="false">TblProd[[#This Row],[Mana]]</f>
        <v>2435</v>
      </c>
      <c r="BM33" s="69" t="n">
        <f aca="false">TblProd[[#This Row],[Ore]]</f>
        <v>0</v>
      </c>
    </row>
    <row r="34" customFormat="false" ht="12.75" hidden="false" customHeight="false" outlineLevel="0" collapsed="false">
      <c r="A34" s="128" t="n">
        <v>31</v>
      </c>
      <c r="B34" s="144" t="n">
        <f aca="false">TblImps[[#This Row],[Time]]</f>
        <v>45431</v>
      </c>
      <c r="C34" s="145"/>
      <c r="D34" s="146"/>
      <c r="E34" s="69" t="n">
        <f aca="false">TblConstr[[#This Row],[Land]]</f>
        <v>380</v>
      </c>
      <c r="F34" s="69" t="n">
        <f aca="false">TblPop[[#This Row],[Peasants]]</f>
        <v>5023</v>
      </c>
      <c r="G34" s="69" t="e">
        <f aca="false">TblMili[[#This Row],[Networth (2)]]</f>
        <v>#VALUE!</v>
      </c>
      <c r="H34" s="69" t="n">
        <f aca="false">OFFSET(TblProd[[#This Row],[Platinum]],-1,0)+OFFSET(TblProd[[#This Row],[Plat/hr]],-1,0) - TblProd[[#This Row],[Expenses Platinum]] + IF(TblProd[[#This Row],[Plat Bonus]],TblPop[[#This Row],[Peasants]]*4) + SUM(TblConstr[[#This Row],[Dest Hom]:[Dest Doc]])*TblConstr[[#This Row],[CPA Platinum -DB]]*tech_3_3_2*TblTech[[#This Row],[3-3]]</f>
        <v>26412</v>
      </c>
      <c r="I34" s="69" t="n">
        <f aca="false">OFFSET(TblProd[[#This Row],[Food]],-1,0)+OFFSET(TblProd[[#This Row],[Food/hr]],-1,0)+ROUNDUP((TblConstr[[#This Row],[Farms]]*80+TblConstr[[#This Row],[Docks]]*35)*(1+OFFSET(TblProd[[#This Row],[Bonus Food/hr]],-1,0)),0)</f>
        <v>24978</v>
      </c>
      <c r="J34" s="69" t="n">
        <f aca="false">OFFSET(TblProd[[#This Row],[Lumber]],-1,0)+OFFSET(TblProd[[#This Row],[Lumber/hr]],-1,0) - TblProd[[#This Row],[Expenses Lumber]] + SUM(TblConstr[[#This Row],[Dest Hom]:[Dest Doc]])*TblConstr[[#This Row],[CPA Lumber -DB]]*tech_3_3_2*TblTech[[#This Row],[3-3]]</f>
        <v>8005</v>
      </c>
      <c r="K34" s="69" t="n">
        <f aca="false">OFFSET(TblProd[[#This Row],[Mana]],-1,0)+OFFSET(TblProd[[#This Row],[Mana/hr]],-1,0)- TblProd[[#This Row],[Expenses Mana]]</f>
        <v>2836</v>
      </c>
      <c r="L34" s="69" t="n">
        <f aca="false">OFFSET(TblProd[[#This Row],[Ore]],-1,0)+OFFSET(TblProd[[#This Row],[Ore/hr]],-1,0) -TblProd[[#This Row],[Expenses Ore]]</f>
        <v>0</v>
      </c>
      <c r="M34" s="69" t="n">
        <f aca="false">OFFSET(TblProd[[#This Row],[Gems]],-1,0)+OFFSET(TblProd[[#This Row],[Gems/hr]],-1,0) - TblProd[[#This Row],[Expenses Gems]]</f>
        <v>0</v>
      </c>
      <c r="N34" s="69" t="n">
        <f aca="false">OFFSET(TblProd[[#This Row],[Boats]],-1,0)+OFFSET(TblProd[[#This Row],[Boats/hr]],-1,0)</f>
        <v>1.75</v>
      </c>
      <c r="O34" s="69" t="n">
        <f aca="false">OFFSET(TblProd[[#This Row],[Prestige]],-1,0)</f>
        <v>250</v>
      </c>
      <c r="P3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4" s="69" t="n">
        <f aca="false">MAX(3750,_xlfn.CEILING.MATH(TblProd[[#This Row],[Land]]*2.5+OFFSET(TblTech[[#This Row],[Sum of tech]],-1,0)*150))</f>
        <v>3750</v>
      </c>
      <c r="R34" s="132"/>
      <c r="S34" s="69" t="n">
        <f aca="false">ROUNDDOWN(TblProd[[#This Row],[Raw Plat/hr]]*(1+TblProd[[#This Row],[Bonus Plat/hr]]),0)</f>
        <v>23658</v>
      </c>
      <c r="T34" s="69" t="n">
        <f aca="false">ROUND(TblProd[[#This Row],[Raw Food/hr]]*(1+TblProd[[#This Row],[Bonus Food/hr]])-TblProd[[#This Row],[Food decay]]-TblProd[[#This Row],[Food eaten]],0)</f>
        <v>-809</v>
      </c>
      <c r="U34" s="69" t="n">
        <f aca="false">ROUND(TblProd[[#This Row],[Raw Lumber/hr]]*(1+TblProd[[#This Row],[Bonus Lumber/hr]])-TblProd[[#This Row],[Lumber rot]],0)</f>
        <v>955</v>
      </c>
      <c r="V34" s="69" t="n">
        <f aca="false">ROUND(TblProd[[#This Row],[Raw Mana/hr]]*(1+TblProd[[#This Row],[Bonus Mana/hr]])-TblProd[[#This Row],[Mana drain]],0)</f>
        <v>393</v>
      </c>
      <c r="W34" s="69" t="n">
        <f aca="false">ROUNDDOWN(TblProd[[#This Row],[Raw Ore/hr]]*(1+TblProd[[#This Row],[Bonux Ore/hr]]),0)</f>
        <v>0</v>
      </c>
      <c r="X34" s="69" t="n">
        <f aca="false">ROUNDDOWN(TblProd[[#This Row],[Raw Gems/hr]]*(1+TblProd[[#This Row],[Bonus Gems/hr]]),0)</f>
        <v>0</v>
      </c>
      <c r="Y34" s="148" t="n">
        <f aca="false">OFFSET(TblConstr[[#This Row],[Tot Doc]],1,0)*dock_boats_hr * (1 + tech_4_1*TblTech[[#This Row],[4-1]])</f>
        <v>0.25</v>
      </c>
      <c r="Z34" s="146"/>
      <c r="AA34" s="69" t="n">
        <f aca="false">TblPop[[#This Row],[Peasants]]*tax*TblPop[[#This Row],[Employment]] + (Construction!AZ35+Construction!BX35)*(alch_plat+(Magic!AM34&gt;0)*alchemist_flame_bonus)</f>
        <v>21508.1</v>
      </c>
      <c r="AB34" s="69" t="n">
        <f aca="false">TblConstr[[#This Row],[Tot Farm]]*farm_food + TblConstr[[#This Row],[Tot Doc]]*dock_food</f>
        <v>680</v>
      </c>
      <c r="AC34" s="69" t="n">
        <f aca="false">TblConstr[[#This Row],[Tot Ly]]*ly_lumber + TblConstr[[#This Row],[Tot Hav]]*fh_lumber</f>
        <v>1150</v>
      </c>
      <c r="AD34" s="69" t="n">
        <f aca="false">OFFSET(TblConstr[[#This Row],[Tot Tow]],1,0)*(tower_mana + tech_4_5*TblTech[[#This Row],[4-5]]) + OFFSET(TblConstr[[#This Row],[Tot WG]],1,0)*wg_mana_prod</f>
        <v>450</v>
      </c>
      <c r="AE34" s="69" t="n">
        <f aca="false">OFFSET(TblConstr[[#This Row],[Tot OM]],1,0)*om_ore+IF(race="Dwarf",ROUNDDOWN(TblMili[[#This Row],[Unit 2]]*0.4,0),)</f>
        <v>0</v>
      </c>
      <c r="AF34" s="69" t="n">
        <f aca="false">OFFSET(TblConstr[[#This Row],[Tot DM]],1,0)*dm_gems</f>
        <v>0</v>
      </c>
      <c r="AG34" s="132"/>
      <c r="AH34" s="149" t="n">
        <f aca="false">MIN(race_platinum_bonus + IF(TblMagic[[#This Row],[Active Alch Frost]]&gt;0,alch_frost_bonus,IF(Magic!AD34&gt;0,midas_bonus)) + TblImps[[#This Row],[Science]] - TblProd[[#This Row],[Guard]]*(0.02 + tech_5_7*TblTech[[#This Row],[5-7]]) + tech_1_5*TblTech[[#This Row],[1-5]] + tech_4_4*TblTech[[#This Row],[4-4]], 0.5)</f>
        <v>0.1</v>
      </c>
      <c r="AI3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4" s="149" t="n">
        <f aca="false">race_lumber_bonus+ IF(TblMagic[[#This Row],[Active Gaia''s Blessing]]&gt;0,gaias_blessing_lumber)+ tech_1_3*TblTech[[#This Row],[1-3]] + tech_1_6*TblTech[[#This Row],[1-6]] + tech_3_3*TblTech[[#This Row],[3-3]]</f>
        <v>-0.1</v>
      </c>
      <c r="AK34" s="149" t="n">
        <f aca="false">race_mana_bonus+ 0 + TblImps[[#This Row],[Towers]] + tech_1_2*TblTech[[#This Row],[1-2]] + tech_3_4*TblTech[[#This Row],[3-4]]</f>
        <v>0</v>
      </c>
      <c r="AL34" s="149" t="n">
        <f aca="false">race_ore_bonus + IF(TblMagic[[#This Row],[Active Miner''s Sight]]&gt;0,miners_sight_bonus,IF(TblMagic[[#This Row],[Active Mining Strength]]&gt;0,mining_strength_bonus)) +  tech_1_6*TblTech[[#This Row],[1-6]]</f>
        <v>0</v>
      </c>
      <c r="AM34" s="149" t="n">
        <f aca="false">race_gem_bonus+ tech_3_2*TblTech[[#This Row],[3-2]] + tech_4_3*TblTech[[#This Row],[4-3]] + tech_6_2*TblTech[[#This Row],[6-2]]</f>
        <v>0.15</v>
      </c>
      <c r="AN34" s="132"/>
      <c r="AO34" s="69" t="n">
        <f aca="false">TblProd[[#This Row],[Food]]*food_decay * (1 + tech_2_1*TblTech[[#This Row],[2-1]] + tech_2_8*TblTech[[#This Row],[2-8]])</f>
        <v>249.78</v>
      </c>
      <c r="AP34" s="69" t="n">
        <f aca="false">(1+race_food_consumption)*TblPop[[#This Row],[Total]]*food_per_person*(1+tech_1_10*TblTech[[#This Row],[1-10]]+tech_7_5*TblTech[[#This Row],[7-5]])</f>
        <v>1255.75</v>
      </c>
      <c r="AQ34" s="69" t="n">
        <f aca="false">TblProd[[#This Row],[Lumber]]*lumber_rot * (1 + tech_2_1*TblTech[[#This Row],[2-1]] + tech_2_8*TblTech[[#This Row],[2-8]] + tech_5_2*TblTech[[#This Row],[5-2]])</f>
        <v>80.05</v>
      </c>
      <c r="AR34" s="69" t="n">
        <f aca="false">TblProd[[#This Row],[Mana]]*mana_drain * (1 + tech_2_1*TblTech[[#This Row],[2-1]] + tech_2_8*TblTech[[#This Row],[2-8]])</f>
        <v>56.72</v>
      </c>
      <c r="AS34" s="146"/>
      <c r="AT34" s="69" t="n">
        <f aca="false">TblExplore[[#This Row],[Platinum (2)]]+TblConstr[[#This Row],[Total Plat Cost]]+TblMili[[#This Row],[Plat Cost]]+TblRezone[[#This Row],[Platinum cost]]+TblImps[[#This Row],[P1]]-TblProd[[#This Row],[Bank Plat]]</f>
        <v>17925</v>
      </c>
      <c r="AU34" s="69" t="n">
        <f aca="false">TblConstr[[#This Row],[Total Lum Cost]]+TblImps[[#This Row],[L1]]-TblProd[[#This Row],[Bank Lumber]] + Military!$CL$25*TblMili[[#This Row],[Sec. rec. Cost]]</f>
        <v>682</v>
      </c>
      <c r="AV34" s="69" t="n">
        <f aca="false">TblMagic[[#This Row],[Mana cost]] + Military!$CL$26*TblMili[[#This Row],[Sec. rec. Cost]]</f>
        <v>0</v>
      </c>
      <c r="AW34" s="69" t="n">
        <f aca="false">Military!$CL$24*TblMili[[#This Row],[Sec. rec. Cost]]+TblImps[[#This Row],[O1]]-TblProd[[#This Row],[Bank Ore]]</f>
        <v>0</v>
      </c>
      <c r="AX34" s="69" t="n">
        <f aca="false">TblImps[[#This Row],[G1]]-TblProd[[#This Row],[Bank Gems]]</f>
        <v>0</v>
      </c>
      <c r="AY34" s="132"/>
      <c r="AZ34" s="33" t="n">
        <f aca="false">IF(TblProd[[#This Row],[Set Guard]]&lt;&gt;"",TblProd[[#This Row],[Set Guard]],OFFSET(TblProd[[#This Row],[Guard]],-1,0))</f>
        <v>0</v>
      </c>
      <c r="BA34" s="145"/>
      <c r="BB34" s="151" t="n">
        <f aca="false">TblProd[[#This Row],[Hour]]</f>
        <v>31</v>
      </c>
      <c r="BC34" s="152" t="n">
        <f aca="false">-TblProd[[#This Row],[Bank Lumber]] / 2 + -TblProd[[#This Row],[Bank Gems]] * 2 + -TblProd[[#This Row],[Bank Ore]] / 2</f>
        <v>0</v>
      </c>
      <c r="BD34" s="152"/>
      <c r="BE34" s="152"/>
      <c r="BF34" s="152"/>
      <c r="BG34" s="153" t="n">
        <f aca="false">TblProd[[#This Row],[Time]]</f>
        <v>45431</v>
      </c>
      <c r="BH3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69" t="n">
        <f aca="false">TblProd[[#This Row],[Platinum]]</f>
        <v>26412</v>
      </c>
      <c r="BJ34" s="69" t="n">
        <f aca="false">TblProd[[#This Row],[Food]]</f>
        <v>24978</v>
      </c>
      <c r="BK34" s="69" t="n">
        <f aca="false">TblProd[[#This Row],[Lumber]]</f>
        <v>8005</v>
      </c>
      <c r="BL34" s="69" t="n">
        <f aca="false">TblProd[[#This Row],[Mana]]</f>
        <v>2836</v>
      </c>
      <c r="BM34" s="69" t="n">
        <f aca="false">TblProd[[#This Row],[Ore]]</f>
        <v>0</v>
      </c>
    </row>
    <row r="35" customFormat="false" ht="12.75" hidden="false" customHeight="false" outlineLevel="0" collapsed="false">
      <c r="A35" s="128" t="n">
        <v>32</v>
      </c>
      <c r="B35" s="144" t="n">
        <f aca="false">TblImps[[#This Row],[Time]]</f>
        <v>45431.0416666667</v>
      </c>
      <c r="C35" s="145"/>
      <c r="D35" s="146"/>
      <c r="E35" s="69" t="n">
        <f aca="false">TblConstr[[#This Row],[Land]]</f>
        <v>392</v>
      </c>
      <c r="F35" s="69" t="n">
        <f aca="false">TblPop[[#This Row],[Peasants]]</f>
        <v>5304</v>
      </c>
      <c r="G35" s="69" t="e">
        <f aca="false">TblMili[[#This Row],[Networth (2)]]</f>
        <v>#VALUE!</v>
      </c>
      <c r="H35" s="69" t="n">
        <f aca="false">OFFSET(TblProd[[#This Row],[Platinum]],-1,0)+OFFSET(TblProd[[#This Row],[Plat/hr]],-1,0) - TblProd[[#This Row],[Expenses Platinum]] + IF(TblProd[[#This Row],[Plat Bonus]],TblPop[[#This Row],[Peasants]]*4) + SUM(TblConstr[[#This Row],[Dest Hom]:[Dest Doc]])*TblConstr[[#This Row],[CPA Platinum -DB]]*tech_3_3_2*TblTech[[#This Row],[3-3]]</f>
        <v>31118</v>
      </c>
      <c r="I35" s="69" t="n">
        <f aca="false">OFFSET(TblProd[[#This Row],[Food]],-1,0)+OFFSET(TblProd[[#This Row],[Food/hr]],-1,0)+ROUNDUP((TblConstr[[#This Row],[Farms]]*80+TblConstr[[#This Row],[Docks]]*35)*(1+OFFSET(TblProd[[#This Row],[Bonus Food/hr]],-1,0)),0)</f>
        <v>24169</v>
      </c>
      <c r="J35" s="69" t="n">
        <f aca="false">OFFSET(TblProd[[#This Row],[Lumber]],-1,0)+OFFSET(TblProd[[#This Row],[Lumber/hr]],-1,0) - TblProd[[#This Row],[Expenses Lumber]] + SUM(TblConstr[[#This Row],[Dest Hom]:[Dest Doc]])*TblConstr[[#This Row],[CPA Lumber -DB]]*tech_3_3_2*TblTech[[#This Row],[3-3]]</f>
        <v>8192</v>
      </c>
      <c r="K35" s="69" t="n">
        <f aca="false">OFFSET(TblProd[[#This Row],[Mana]],-1,0)+OFFSET(TblProd[[#This Row],[Mana/hr]],-1,0)- TblProd[[#This Row],[Expenses Mana]]</f>
        <v>3229</v>
      </c>
      <c r="L35" s="69" t="n">
        <f aca="false">OFFSET(TblProd[[#This Row],[Ore]],-1,0)+OFFSET(TblProd[[#This Row],[Ore/hr]],-1,0) -TblProd[[#This Row],[Expenses Ore]]</f>
        <v>0</v>
      </c>
      <c r="M35" s="69" t="n">
        <f aca="false">OFFSET(TblProd[[#This Row],[Gems]],-1,0)+OFFSET(TblProd[[#This Row],[Gems/hr]],-1,0) - TblProd[[#This Row],[Expenses Gems]]</f>
        <v>0</v>
      </c>
      <c r="N35" s="69" t="n">
        <f aca="false">OFFSET(TblProd[[#This Row],[Boats]],-1,0)+OFFSET(TblProd[[#This Row],[Boats/hr]],-1,0)</f>
        <v>2</v>
      </c>
      <c r="O35" s="69" t="n">
        <f aca="false">OFFSET(TblProd[[#This Row],[Prestige]],-1,0)</f>
        <v>250</v>
      </c>
      <c r="P3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5" s="69" t="n">
        <f aca="false">MAX(3750,_xlfn.CEILING.MATH(TblProd[[#This Row],[Land]]*2.5+OFFSET(TblTech[[#This Row],[Sum of tech]],-1,0)*150))</f>
        <v>3750</v>
      </c>
      <c r="R35" s="132"/>
      <c r="S35" s="69" t="n">
        <f aca="false">ROUNDDOWN(TblProd[[#This Row],[Raw Plat/hr]]*(1+TblProd[[#This Row],[Bonus Plat/hr]]),0)</f>
        <v>24493</v>
      </c>
      <c r="T35" s="69" t="n">
        <f aca="false">ROUND(TblProd[[#This Row],[Raw Food/hr]]*(1+TblProd[[#This Row],[Bonus Food/hr]])-TblProd[[#This Row],[Food decay]]-TblProd[[#This Row],[Food eaten]],0)</f>
        <v>-871</v>
      </c>
      <c r="U35" s="69" t="n">
        <f aca="false">ROUND(TblProd[[#This Row],[Raw Lumber/hr]]*(1+TblProd[[#This Row],[Bonus Lumber/hr]])-TblProd[[#This Row],[Lumber rot]],0)</f>
        <v>953</v>
      </c>
      <c r="V35" s="69" t="n">
        <f aca="false">ROUND(TblProd[[#This Row],[Raw Mana/hr]]*(1+TblProd[[#This Row],[Bonus Mana/hr]])-TblProd[[#This Row],[Mana drain]],0)</f>
        <v>385</v>
      </c>
      <c r="W35" s="69" t="n">
        <f aca="false">ROUNDDOWN(TblProd[[#This Row],[Raw Ore/hr]]*(1+TblProd[[#This Row],[Bonux Ore/hr]]),0)</f>
        <v>0</v>
      </c>
      <c r="X35" s="69" t="n">
        <f aca="false">ROUNDDOWN(TblProd[[#This Row],[Raw Gems/hr]]*(1+TblProd[[#This Row],[Bonus Gems/hr]]),0)</f>
        <v>0</v>
      </c>
      <c r="Y35" s="148" t="n">
        <f aca="false">OFFSET(TblConstr[[#This Row],[Tot Doc]],1,0)*dock_boats_hr * (1 + tech_4_1*TblTech[[#This Row],[4-1]])</f>
        <v>0.25</v>
      </c>
      <c r="Z35" s="146"/>
      <c r="AA35" s="69" t="n">
        <f aca="false">TblPop[[#This Row],[Peasants]]*tax*TblPop[[#This Row],[Employment]] + (Construction!AZ36+Construction!BX36)*(alch_plat+(Magic!AM35&gt;0)*alchemist_flame_bonus)</f>
        <v>22266.8</v>
      </c>
      <c r="AB35" s="69" t="n">
        <f aca="false">TblConstr[[#This Row],[Tot Farm]]*farm_food + TblConstr[[#This Row],[Tot Doc]]*dock_food</f>
        <v>680</v>
      </c>
      <c r="AC35" s="69" t="n">
        <f aca="false">TblConstr[[#This Row],[Tot Ly]]*ly_lumber + TblConstr[[#This Row],[Tot Hav]]*fh_lumber</f>
        <v>1150</v>
      </c>
      <c r="AD35" s="69" t="n">
        <f aca="false">OFFSET(TblConstr[[#This Row],[Tot Tow]],1,0)*(tower_mana + tech_4_5*TblTech[[#This Row],[4-5]]) + OFFSET(TblConstr[[#This Row],[Tot WG]],1,0)*wg_mana_prod</f>
        <v>450</v>
      </c>
      <c r="AE35" s="69" t="n">
        <f aca="false">OFFSET(TblConstr[[#This Row],[Tot OM]],1,0)*om_ore+IF(race="Dwarf",ROUNDDOWN(TblMili[[#This Row],[Unit 2]]*0.4,0),)</f>
        <v>0</v>
      </c>
      <c r="AF35" s="69" t="n">
        <f aca="false">OFFSET(TblConstr[[#This Row],[Tot DM]],1,0)*dm_gems</f>
        <v>0</v>
      </c>
      <c r="AG35" s="132"/>
      <c r="AH35" s="149" t="n">
        <f aca="false">MIN(race_platinum_bonus + IF(TblMagic[[#This Row],[Active Alch Frost]]&gt;0,alch_frost_bonus,IF(Magic!AD35&gt;0,midas_bonus)) + TblImps[[#This Row],[Science]] - TblProd[[#This Row],[Guard]]*(0.02 + tech_5_7*TblTech[[#This Row],[5-7]]) + tech_1_5*TblTech[[#This Row],[1-5]] + tech_4_4*TblTech[[#This Row],[4-4]], 0.5)</f>
        <v>0.1</v>
      </c>
      <c r="AI3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5" s="149" t="n">
        <f aca="false">race_lumber_bonus+ IF(TblMagic[[#This Row],[Active Gaia''s Blessing]]&gt;0,gaias_blessing_lumber)+ tech_1_3*TblTech[[#This Row],[1-3]] + tech_1_6*TblTech[[#This Row],[1-6]] + tech_3_3*TblTech[[#This Row],[3-3]]</f>
        <v>-0.1</v>
      </c>
      <c r="AK35" s="149" t="n">
        <f aca="false">race_mana_bonus+ 0 + TblImps[[#This Row],[Towers]] + tech_1_2*TblTech[[#This Row],[1-2]] + tech_3_4*TblTech[[#This Row],[3-4]]</f>
        <v>0</v>
      </c>
      <c r="AL35" s="149" t="n">
        <f aca="false">race_ore_bonus + IF(TblMagic[[#This Row],[Active Miner''s Sight]]&gt;0,miners_sight_bonus,IF(TblMagic[[#This Row],[Active Mining Strength]]&gt;0,mining_strength_bonus)) +  tech_1_6*TblTech[[#This Row],[1-6]]</f>
        <v>0</v>
      </c>
      <c r="AM35" s="149" t="n">
        <f aca="false">race_gem_bonus+ tech_3_2*TblTech[[#This Row],[3-2]] + tech_4_3*TblTech[[#This Row],[4-3]] + tech_6_2*TblTech[[#This Row],[6-2]]</f>
        <v>0.15</v>
      </c>
      <c r="AN35" s="132"/>
      <c r="AO35" s="69" t="n">
        <f aca="false">TblProd[[#This Row],[Food]]*food_decay * (1 + tech_2_1*TblTech[[#This Row],[2-1]] + tech_2_8*TblTech[[#This Row],[2-8]])</f>
        <v>241.69</v>
      </c>
      <c r="AP35" s="69" t="n">
        <f aca="false">(1+race_food_consumption)*TblPop[[#This Row],[Total]]*food_per_person*(1+tech_1_10*TblTech[[#This Row],[1-10]]+tech_7_5*TblTech[[#This Row],[7-5]])</f>
        <v>1326</v>
      </c>
      <c r="AQ35" s="69" t="n">
        <f aca="false">TblProd[[#This Row],[Lumber]]*lumber_rot * (1 + tech_2_1*TblTech[[#This Row],[2-1]] + tech_2_8*TblTech[[#This Row],[2-8]] + tech_5_2*TblTech[[#This Row],[5-2]])</f>
        <v>81.92</v>
      </c>
      <c r="AR35" s="69" t="n">
        <f aca="false">TblProd[[#This Row],[Mana]]*mana_drain * (1 + tech_2_1*TblTech[[#This Row],[2-1]] + tech_2_8*TblTech[[#This Row],[2-8]])</f>
        <v>64.58</v>
      </c>
      <c r="AS35" s="146"/>
      <c r="AT35" s="69" t="n">
        <f aca="false">TblExplore[[#This Row],[Platinum (2)]]+TblConstr[[#This Row],[Total Plat Cost]]+TblMili[[#This Row],[Plat Cost]]+TblRezone[[#This Row],[Platinum cost]]+TblImps[[#This Row],[P1]]-TblProd[[#This Row],[Bank Plat]]</f>
        <v>18952</v>
      </c>
      <c r="AU35" s="69" t="n">
        <f aca="false">TblConstr[[#This Row],[Total Lum Cost]]+TblImps[[#This Row],[L1]]-TblProd[[#This Row],[Bank Lumber]] + Military!$CL$25*TblMili[[#This Row],[Sec. rec. Cost]]</f>
        <v>768</v>
      </c>
      <c r="AV35" s="69" t="n">
        <f aca="false">TblMagic[[#This Row],[Mana cost]] + Military!$CL$26*TblMili[[#This Row],[Sec. rec. Cost]]</f>
        <v>0</v>
      </c>
      <c r="AW35" s="69" t="n">
        <f aca="false">Military!$CL$24*TblMili[[#This Row],[Sec. rec. Cost]]+TblImps[[#This Row],[O1]]-TblProd[[#This Row],[Bank Ore]]</f>
        <v>0</v>
      </c>
      <c r="AX35" s="69" t="n">
        <f aca="false">TblImps[[#This Row],[G1]]-TblProd[[#This Row],[Bank Gems]]</f>
        <v>0</v>
      </c>
      <c r="AY35" s="132"/>
      <c r="AZ35" s="33" t="n">
        <f aca="false">IF(TblProd[[#This Row],[Set Guard]]&lt;&gt;"",TblProd[[#This Row],[Set Guard]],OFFSET(TblProd[[#This Row],[Guard]],-1,0))</f>
        <v>0</v>
      </c>
      <c r="BA35" s="145"/>
      <c r="BB35" s="151" t="n">
        <f aca="false">TblProd[[#This Row],[Hour]]</f>
        <v>32</v>
      </c>
      <c r="BC35" s="152" t="n">
        <f aca="false">-TblProd[[#This Row],[Bank Lumber]] / 2 + -TblProd[[#This Row],[Bank Gems]] * 2 + -TblProd[[#This Row],[Bank Ore]] / 2</f>
        <v>0</v>
      </c>
      <c r="BD35" s="152"/>
      <c r="BE35" s="152"/>
      <c r="BF35" s="152"/>
      <c r="BG35" s="153" t="n">
        <f aca="false">TblProd[[#This Row],[Time]]</f>
        <v>45431.0416666667</v>
      </c>
      <c r="BH3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69" t="n">
        <f aca="false">TblProd[[#This Row],[Platinum]]</f>
        <v>31118</v>
      </c>
      <c r="BJ35" s="69" t="n">
        <f aca="false">TblProd[[#This Row],[Food]]</f>
        <v>24169</v>
      </c>
      <c r="BK35" s="69" t="n">
        <f aca="false">TblProd[[#This Row],[Lumber]]</f>
        <v>8192</v>
      </c>
      <c r="BL35" s="69" t="n">
        <f aca="false">TblProd[[#This Row],[Mana]]</f>
        <v>3229</v>
      </c>
      <c r="BM35" s="69" t="n">
        <f aca="false">TblProd[[#This Row],[Ore]]</f>
        <v>0</v>
      </c>
    </row>
    <row r="36" customFormat="false" ht="12.75" hidden="false" customHeight="false" outlineLevel="0" collapsed="false">
      <c r="A36" s="128" t="n">
        <v>33</v>
      </c>
      <c r="B36" s="144" t="n">
        <f aca="false">TblImps[[#This Row],[Time]]</f>
        <v>45431.0833333333</v>
      </c>
      <c r="C36" s="145"/>
      <c r="D36" s="146"/>
      <c r="E36" s="69" t="n">
        <f aca="false">TblConstr[[#This Row],[Land]]</f>
        <v>404</v>
      </c>
      <c r="F36" s="69" t="n">
        <f aca="false">TblPop[[#This Row],[Peasants]]</f>
        <v>5597</v>
      </c>
      <c r="G36" s="69" t="e">
        <f aca="false">TblMili[[#This Row],[Networth (2)]]</f>
        <v>#VALUE!</v>
      </c>
      <c r="H36" s="69" t="n">
        <f aca="false">OFFSET(TblProd[[#This Row],[Platinum]],-1,0)+OFFSET(TblProd[[#This Row],[Plat/hr]],-1,0) - TblProd[[#This Row],[Expenses Platinum]] + IF(TblProd[[#This Row],[Plat Bonus]],TblPop[[#This Row],[Peasants]]*4) + SUM(TblConstr[[#This Row],[Dest Hom]:[Dest Doc]])*TblConstr[[#This Row],[CPA Platinum -DB]]*tech_3_3_2*TblTech[[#This Row],[3-3]]</f>
        <v>36027</v>
      </c>
      <c r="I36" s="69" t="n">
        <f aca="false">OFFSET(TblProd[[#This Row],[Food]],-1,0)+OFFSET(TblProd[[#This Row],[Food/hr]],-1,0)+ROUNDUP((TblConstr[[#This Row],[Farms]]*80+TblConstr[[#This Row],[Docks]]*35)*(1+OFFSET(TblProd[[#This Row],[Bonus Food/hr]],-1,0)),0)</f>
        <v>23298</v>
      </c>
      <c r="J36" s="69" t="n">
        <f aca="false">OFFSET(TblProd[[#This Row],[Lumber]],-1,0)+OFFSET(TblProd[[#This Row],[Lumber/hr]],-1,0) - TblProd[[#This Row],[Expenses Lumber]] + SUM(TblConstr[[#This Row],[Dest Hom]:[Dest Doc]])*TblConstr[[#This Row],[CPA Lumber -DB]]*tech_3_3_2*TblTech[[#This Row],[3-3]]</f>
        <v>8365</v>
      </c>
      <c r="K36" s="69" t="n">
        <f aca="false">OFFSET(TblProd[[#This Row],[Mana]],-1,0)+OFFSET(TblProd[[#This Row],[Mana/hr]],-1,0)- TblProd[[#This Row],[Expenses Mana]]</f>
        <v>3614</v>
      </c>
      <c r="L36" s="69" t="n">
        <f aca="false">OFFSET(TblProd[[#This Row],[Ore]],-1,0)+OFFSET(TblProd[[#This Row],[Ore/hr]],-1,0) -TblProd[[#This Row],[Expenses Ore]]</f>
        <v>0</v>
      </c>
      <c r="M36" s="69" t="n">
        <f aca="false">OFFSET(TblProd[[#This Row],[Gems]],-1,0)+OFFSET(TblProd[[#This Row],[Gems/hr]],-1,0) - TblProd[[#This Row],[Expenses Gems]]</f>
        <v>0</v>
      </c>
      <c r="N36" s="69" t="n">
        <f aca="false">OFFSET(TblProd[[#This Row],[Boats]],-1,0)+OFFSET(TblProd[[#This Row],[Boats/hr]],-1,0)</f>
        <v>2.25</v>
      </c>
      <c r="O36" s="69" t="n">
        <f aca="false">OFFSET(TblProd[[#This Row],[Prestige]],-1,0)</f>
        <v>250</v>
      </c>
      <c r="P3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6" s="69" t="n">
        <f aca="false">MAX(3750,_xlfn.CEILING.MATH(TblProd[[#This Row],[Land]]*2.5+OFFSET(TblTech[[#This Row],[Sum of tech]],-1,0)*150))</f>
        <v>3750</v>
      </c>
      <c r="R36" s="132"/>
      <c r="S36" s="69" t="n">
        <f aca="false">ROUNDDOWN(TblProd[[#This Row],[Raw Plat/hr]]*(1+TblProd[[#This Row],[Bonus Plat/hr]]),0)</f>
        <v>25363</v>
      </c>
      <c r="T36" s="69" t="n">
        <f aca="false">ROUND(TblProd[[#This Row],[Raw Food/hr]]*(1+TblProd[[#This Row],[Bonus Food/hr]])-TblProd[[#This Row],[Food decay]]-TblProd[[#This Row],[Food eaten]],0)</f>
        <v>-936</v>
      </c>
      <c r="U36" s="69" t="n">
        <f aca="false">ROUND(TblProd[[#This Row],[Raw Lumber/hr]]*(1+TblProd[[#This Row],[Bonus Lumber/hr]])-TblProd[[#This Row],[Lumber rot]],0)</f>
        <v>951</v>
      </c>
      <c r="V36" s="69" t="n">
        <f aca="false">ROUND(TblProd[[#This Row],[Raw Mana/hr]]*(1+TblProd[[#This Row],[Bonus Mana/hr]])-TblProd[[#This Row],[Mana drain]],0)</f>
        <v>378</v>
      </c>
      <c r="W36" s="69" t="n">
        <f aca="false">ROUNDDOWN(TblProd[[#This Row],[Raw Ore/hr]]*(1+TblProd[[#This Row],[Bonux Ore/hr]]),0)</f>
        <v>0</v>
      </c>
      <c r="X36" s="69" t="n">
        <f aca="false">ROUNDDOWN(TblProd[[#This Row],[Raw Gems/hr]]*(1+TblProd[[#This Row],[Bonus Gems/hr]]),0)</f>
        <v>0</v>
      </c>
      <c r="Y36" s="148" t="n">
        <f aca="false">OFFSET(TblConstr[[#This Row],[Tot Doc]],1,0)*dock_boats_hr * (1 + tech_4_1*TblTech[[#This Row],[4-1]])</f>
        <v>0.25</v>
      </c>
      <c r="Z36" s="146"/>
      <c r="AA36" s="69" t="n">
        <f aca="false">TblPop[[#This Row],[Peasants]]*tax*TblPop[[#This Row],[Employment]] + (Construction!AZ37+Construction!BX37)*(alch_plat+(Magic!AM36&gt;0)*alchemist_flame_bonus)</f>
        <v>23057.9</v>
      </c>
      <c r="AB36" s="69" t="n">
        <f aca="false">TblConstr[[#This Row],[Tot Farm]]*farm_food + TblConstr[[#This Row],[Tot Doc]]*dock_food</f>
        <v>680</v>
      </c>
      <c r="AC36" s="69" t="n">
        <f aca="false">TblConstr[[#This Row],[Tot Ly]]*ly_lumber + TblConstr[[#This Row],[Tot Hav]]*fh_lumber</f>
        <v>1150</v>
      </c>
      <c r="AD36" s="69" t="n">
        <f aca="false">OFFSET(TblConstr[[#This Row],[Tot Tow]],1,0)*(tower_mana + tech_4_5*TblTech[[#This Row],[4-5]]) + OFFSET(TblConstr[[#This Row],[Tot WG]],1,0)*wg_mana_prod</f>
        <v>450</v>
      </c>
      <c r="AE36" s="69" t="n">
        <f aca="false">OFFSET(TblConstr[[#This Row],[Tot OM]],1,0)*om_ore+IF(race="Dwarf",ROUNDDOWN(TblMili[[#This Row],[Unit 2]]*0.4,0),)</f>
        <v>0</v>
      </c>
      <c r="AF36" s="69" t="n">
        <f aca="false">OFFSET(TblConstr[[#This Row],[Tot DM]],1,0)*dm_gems</f>
        <v>0</v>
      </c>
      <c r="AG36" s="132"/>
      <c r="AH36" s="149" t="n">
        <f aca="false">MIN(race_platinum_bonus + IF(TblMagic[[#This Row],[Active Alch Frost]]&gt;0,alch_frost_bonus,IF(Magic!AD36&gt;0,midas_bonus)) + TblImps[[#This Row],[Science]] - TblProd[[#This Row],[Guard]]*(0.02 + tech_5_7*TblTech[[#This Row],[5-7]]) + tech_1_5*TblTech[[#This Row],[1-5]] + tech_4_4*TblTech[[#This Row],[4-4]], 0.5)</f>
        <v>0.1</v>
      </c>
      <c r="AI3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6" s="149" t="n">
        <f aca="false">race_lumber_bonus+ IF(TblMagic[[#This Row],[Active Gaia''s Blessing]]&gt;0,gaias_blessing_lumber)+ tech_1_3*TblTech[[#This Row],[1-3]] + tech_1_6*TblTech[[#This Row],[1-6]] + tech_3_3*TblTech[[#This Row],[3-3]]</f>
        <v>-0.1</v>
      </c>
      <c r="AK36" s="149" t="n">
        <f aca="false">race_mana_bonus+ 0 + TblImps[[#This Row],[Towers]] + tech_1_2*TblTech[[#This Row],[1-2]] + tech_3_4*TblTech[[#This Row],[3-4]]</f>
        <v>0</v>
      </c>
      <c r="AL36" s="149" t="n">
        <f aca="false">race_ore_bonus + IF(TblMagic[[#This Row],[Active Miner''s Sight]]&gt;0,miners_sight_bonus,IF(TblMagic[[#This Row],[Active Mining Strength]]&gt;0,mining_strength_bonus)) +  tech_1_6*TblTech[[#This Row],[1-6]]</f>
        <v>0</v>
      </c>
      <c r="AM36" s="149" t="n">
        <f aca="false">race_gem_bonus+ tech_3_2*TblTech[[#This Row],[3-2]] + tech_4_3*TblTech[[#This Row],[4-3]] + tech_6_2*TblTech[[#This Row],[6-2]]</f>
        <v>0.15</v>
      </c>
      <c r="AN36" s="132"/>
      <c r="AO36" s="69" t="n">
        <f aca="false">TblProd[[#This Row],[Food]]*food_decay * (1 + tech_2_1*TblTech[[#This Row],[2-1]] + tech_2_8*TblTech[[#This Row],[2-8]])</f>
        <v>232.98</v>
      </c>
      <c r="AP36" s="69" t="n">
        <f aca="false">(1+race_food_consumption)*TblPop[[#This Row],[Total]]*food_per_person*(1+tech_1_10*TblTech[[#This Row],[1-10]]+tech_7_5*TblTech[[#This Row],[7-5]])</f>
        <v>1400</v>
      </c>
      <c r="AQ36" s="69" t="n">
        <f aca="false">TblProd[[#This Row],[Lumber]]*lumber_rot * (1 + tech_2_1*TblTech[[#This Row],[2-1]] + tech_2_8*TblTech[[#This Row],[2-8]] + tech_5_2*TblTech[[#This Row],[5-2]])</f>
        <v>83.65</v>
      </c>
      <c r="AR36" s="69" t="n">
        <f aca="false">TblProd[[#This Row],[Mana]]*mana_drain * (1 + tech_2_1*TblTech[[#This Row],[2-1]] + tech_2_8*TblTech[[#This Row],[2-8]])</f>
        <v>72.28</v>
      </c>
      <c r="AS36" s="146"/>
      <c r="AT36" s="69" t="n">
        <f aca="false">TblExplore[[#This Row],[Platinum (2)]]+TblConstr[[#This Row],[Total Plat Cost]]+TblMili[[#This Row],[Plat Cost]]+TblRezone[[#This Row],[Platinum cost]]+TblImps[[#This Row],[P1]]-TblProd[[#This Row],[Bank Plat]]</f>
        <v>19584</v>
      </c>
      <c r="AU36" s="69" t="n">
        <f aca="false">TblConstr[[#This Row],[Total Lum Cost]]+TblImps[[#This Row],[L1]]-TblProd[[#This Row],[Bank Lumber]] + Military!$CL$25*TblMili[[#This Row],[Sec. rec. Cost]]</f>
        <v>780</v>
      </c>
      <c r="AV36" s="69" t="n">
        <f aca="false">TblMagic[[#This Row],[Mana cost]] + Military!$CL$26*TblMili[[#This Row],[Sec. rec. Cost]]</f>
        <v>0</v>
      </c>
      <c r="AW36" s="69" t="n">
        <f aca="false">Military!$CL$24*TblMili[[#This Row],[Sec. rec. Cost]]+TblImps[[#This Row],[O1]]-TblProd[[#This Row],[Bank Ore]]</f>
        <v>0</v>
      </c>
      <c r="AX36" s="69" t="n">
        <f aca="false">TblImps[[#This Row],[G1]]-TblProd[[#This Row],[Bank Gems]]</f>
        <v>0</v>
      </c>
      <c r="AY36" s="132"/>
      <c r="AZ36" s="33" t="n">
        <f aca="false">IF(TblProd[[#This Row],[Set Guard]]&lt;&gt;"",TblProd[[#This Row],[Set Guard]],OFFSET(TblProd[[#This Row],[Guard]],-1,0))</f>
        <v>0</v>
      </c>
      <c r="BA36" s="145"/>
      <c r="BB36" s="151" t="n">
        <f aca="false">TblProd[[#This Row],[Hour]]</f>
        <v>33</v>
      </c>
      <c r="BC36" s="152" t="n">
        <f aca="false">-TblProd[[#This Row],[Bank Lumber]] / 2 + -TblProd[[#This Row],[Bank Gems]] * 2 + -TblProd[[#This Row],[Bank Ore]] / 2</f>
        <v>0</v>
      </c>
      <c r="BD36" s="152"/>
      <c r="BE36" s="152"/>
      <c r="BF36" s="152"/>
      <c r="BG36" s="153" t="n">
        <f aca="false">TblProd[[#This Row],[Time]]</f>
        <v>45431.0833333333</v>
      </c>
      <c r="BH3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69" t="n">
        <f aca="false">TblProd[[#This Row],[Platinum]]</f>
        <v>36027</v>
      </c>
      <c r="BJ36" s="69" t="n">
        <f aca="false">TblProd[[#This Row],[Food]]</f>
        <v>23298</v>
      </c>
      <c r="BK36" s="69" t="n">
        <f aca="false">TblProd[[#This Row],[Lumber]]</f>
        <v>8365</v>
      </c>
      <c r="BL36" s="69" t="n">
        <f aca="false">TblProd[[#This Row],[Mana]]</f>
        <v>3614</v>
      </c>
      <c r="BM36" s="69" t="n">
        <f aca="false">TblProd[[#This Row],[Ore]]</f>
        <v>0</v>
      </c>
    </row>
    <row r="37" customFormat="false" ht="12.75" hidden="false" customHeight="false" outlineLevel="0" collapsed="false">
      <c r="A37" s="128" t="n">
        <v>34</v>
      </c>
      <c r="B37" s="144" t="n">
        <f aca="false">TblImps[[#This Row],[Time]]</f>
        <v>45431.125</v>
      </c>
      <c r="C37" s="145"/>
      <c r="D37" s="146"/>
      <c r="E37" s="69" t="n">
        <f aca="false">TblConstr[[#This Row],[Land]]</f>
        <v>407</v>
      </c>
      <c r="F37" s="69" t="n">
        <f aca="false">TblPop[[#This Row],[Peasants]]</f>
        <v>5906</v>
      </c>
      <c r="G37" s="69" t="e">
        <f aca="false">TblMili[[#This Row],[Networth (2)]]</f>
        <v>#VALUE!</v>
      </c>
      <c r="H37" s="69" t="n">
        <f aca="false">OFFSET(TblProd[[#This Row],[Platinum]],-1,0)+OFFSET(TblProd[[#This Row],[Plat/hr]],-1,0) - TblProd[[#This Row],[Expenses Platinum]] + IF(TblProd[[#This Row],[Plat Bonus]],TblPop[[#This Row],[Peasants]]*4) + SUM(TblConstr[[#This Row],[Dest Hom]:[Dest Doc]])*TblConstr[[#This Row],[CPA Platinum -DB]]*tech_3_3_2*TblTech[[#This Row],[3-3]]</f>
        <v>43944</v>
      </c>
      <c r="I37" s="69" t="n">
        <f aca="false">OFFSET(TblProd[[#This Row],[Food]],-1,0)+OFFSET(TblProd[[#This Row],[Food/hr]],-1,0)+ROUNDUP((TblConstr[[#This Row],[Farms]]*80+TblConstr[[#This Row],[Docks]]*35)*(1+OFFSET(TblProd[[#This Row],[Bonus Food/hr]],-1,0)),0)</f>
        <v>22362</v>
      </c>
      <c r="J37" s="69" t="n">
        <f aca="false">OFFSET(TblProd[[#This Row],[Lumber]],-1,0)+OFFSET(TblProd[[#This Row],[Lumber/hr]],-1,0) - TblProd[[#This Row],[Expenses Lumber]] + SUM(TblConstr[[#This Row],[Dest Hom]:[Dest Doc]])*TblConstr[[#This Row],[CPA Lumber -DB]]*tech_3_3_2*TblTech[[#This Row],[3-3]]</f>
        <v>9118</v>
      </c>
      <c r="K37" s="69" t="n">
        <f aca="false">OFFSET(TblProd[[#This Row],[Mana]],-1,0)+OFFSET(TblProd[[#This Row],[Mana/hr]],-1,0)- TblProd[[#This Row],[Expenses Mana]]</f>
        <v>3992</v>
      </c>
      <c r="L37" s="69" t="n">
        <f aca="false">OFFSET(TblProd[[#This Row],[Ore]],-1,0)+OFFSET(TblProd[[#This Row],[Ore/hr]],-1,0) -TblProd[[#This Row],[Expenses Ore]]</f>
        <v>0</v>
      </c>
      <c r="M37" s="69" t="n">
        <f aca="false">OFFSET(TblProd[[#This Row],[Gems]],-1,0)+OFFSET(TblProd[[#This Row],[Gems/hr]],-1,0) - TblProd[[#This Row],[Expenses Gems]]</f>
        <v>0</v>
      </c>
      <c r="N37" s="69" t="n">
        <f aca="false">OFFSET(TblProd[[#This Row],[Boats]],-1,0)+OFFSET(TblProd[[#This Row],[Boats/hr]],-1,0)</f>
        <v>2.5</v>
      </c>
      <c r="O37" s="69" t="n">
        <f aca="false">OFFSET(TblProd[[#This Row],[Prestige]],-1,0)</f>
        <v>250</v>
      </c>
      <c r="P3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7" s="69" t="n">
        <f aca="false">MAX(3750,_xlfn.CEILING.MATH(TblProd[[#This Row],[Land]]*2.5+OFFSET(TblTech[[#This Row],[Sum of tech]],-1,0)*150))</f>
        <v>3750</v>
      </c>
      <c r="R37" s="132"/>
      <c r="S37" s="69" t="n">
        <f aca="false">ROUNDDOWN(TblProd[[#This Row],[Raw Plat/hr]]*(1+TblProd[[#This Row],[Bonus Plat/hr]]),0)</f>
        <v>25951</v>
      </c>
      <c r="T37" s="69" t="n">
        <f aca="false">ROUND(TblProd[[#This Row],[Raw Food/hr]]*(1+TblProd[[#This Row],[Bonus Food/hr]])-TblProd[[#This Row],[Food decay]]-TblProd[[#This Row],[Food eaten]],0)</f>
        <v>-1004</v>
      </c>
      <c r="U37" s="69" t="n">
        <f aca="false">ROUND(TblProd[[#This Row],[Raw Lumber/hr]]*(1+TblProd[[#This Row],[Bonus Lumber/hr]])-TblProd[[#This Row],[Lumber rot]],0)</f>
        <v>944</v>
      </c>
      <c r="V37" s="69" t="n">
        <f aca="false">ROUND(TblProd[[#This Row],[Raw Mana/hr]]*(1+TblProd[[#This Row],[Bonus Mana/hr]])-TblProd[[#This Row],[Mana drain]],0)</f>
        <v>370</v>
      </c>
      <c r="W37" s="69" t="n">
        <f aca="false">ROUNDDOWN(TblProd[[#This Row],[Raw Ore/hr]]*(1+TblProd[[#This Row],[Bonux Ore/hr]]),0)</f>
        <v>0</v>
      </c>
      <c r="X37" s="69" t="n">
        <f aca="false">ROUNDDOWN(TblProd[[#This Row],[Raw Gems/hr]]*(1+TblProd[[#This Row],[Bonus Gems/hr]]),0)</f>
        <v>0</v>
      </c>
      <c r="Y37" s="148" t="n">
        <f aca="false">OFFSET(TblConstr[[#This Row],[Tot Doc]],1,0)*dock_boats_hr * (1 + tech_4_1*TblTech[[#This Row],[4-1]])</f>
        <v>0.25</v>
      </c>
      <c r="Z37" s="146"/>
      <c r="AA37" s="69" t="n">
        <f aca="false">TblPop[[#This Row],[Peasants]]*tax*TblPop[[#This Row],[Employment]] + (Construction!AZ38+Construction!BX38)*(alch_plat+(Magic!AM37&gt;0)*alchemist_flame_bonus)</f>
        <v>23592.5</v>
      </c>
      <c r="AB37" s="69" t="n">
        <f aca="false">TblConstr[[#This Row],[Tot Farm]]*farm_food + TblConstr[[#This Row],[Tot Doc]]*dock_food</f>
        <v>680</v>
      </c>
      <c r="AC37" s="69" t="n">
        <f aca="false">TblConstr[[#This Row],[Tot Ly]]*ly_lumber + TblConstr[[#This Row],[Tot Hav]]*fh_lumber</f>
        <v>1150</v>
      </c>
      <c r="AD37" s="69" t="n">
        <f aca="false">OFFSET(TblConstr[[#This Row],[Tot Tow]],1,0)*(tower_mana + tech_4_5*TblTech[[#This Row],[4-5]]) + OFFSET(TblConstr[[#This Row],[Tot WG]],1,0)*wg_mana_prod</f>
        <v>450</v>
      </c>
      <c r="AE37" s="69" t="n">
        <f aca="false">OFFSET(TblConstr[[#This Row],[Tot OM]],1,0)*om_ore+IF(race="Dwarf",ROUNDDOWN(TblMili[[#This Row],[Unit 2]]*0.4,0),)</f>
        <v>0</v>
      </c>
      <c r="AF37" s="69" t="n">
        <f aca="false">OFFSET(TblConstr[[#This Row],[Tot DM]],1,0)*dm_gems</f>
        <v>0</v>
      </c>
      <c r="AG37" s="132"/>
      <c r="AH37" s="149" t="n">
        <f aca="false">MIN(race_platinum_bonus + IF(TblMagic[[#This Row],[Active Alch Frost]]&gt;0,alch_frost_bonus,IF(Magic!AD37&gt;0,midas_bonus)) + TblImps[[#This Row],[Science]] - TblProd[[#This Row],[Guard]]*(0.02 + tech_5_7*TblTech[[#This Row],[5-7]]) + tech_1_5*TblTech[[#This Row],[1-5]] + tech_4_4*TblTech[[#This Row],[4-4]], 0.5)</f>
        <v>0.1</v>
      </c>
      <c r="AI3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7" s="149" t="n">
        <f aca="false">race_lumber_bonus+ IF(TblMagic[[#This Row],[Active Gaia''s Blessing]]&gt;0,gaias_blessing_lumber)+ tech_1_3*TblTech[[#This Row],[1-3]] + tech_1_6*TblTech[[#This Row],[1-6]] + tech_3_3*TblTech[[#This Row],[3-3]]</f>
        <v>-0.1</v>
      </c>
      <c r="AK37" s="149" t="n">
        <f aca="false">race_mana_bonus+ 0 + TblImps[[#This Row],[Towers]] + tech_1_2*TblTech[[#This Row],[1-2]] + tech_3_4*TblTech[[#This Row],[3-4]]</f>
        <v>0</v>
      </c>
      <c r="AL37" s="149" t="n">
        <f aca="false">race_ore_bonus + IF(TblMagic[[#This Row],[Active Miner''s Sight]]&gt;0,miners_sight_bonus,IF(TblMagic[[#This Row],[Active Mining Strength]]&gt;0,mining_strength_bonus)) +  tech_1_6*TblTech[[#This Row],[1-6]]</f>
        <v>0</v>
      </c>
      <c r="AM37" s="149" t="n">
        <f aca="false">race_gem_bonus+ tech_3_2*TblTech[[#This Row],[3-2]] + tech_4_3*TblTech[[#This Row],[4-3]] + tech_6_2*TblTech[[#This Row],[6-2]]</f>
        <v>0.15</v>
      </c>
      <c r="AN37" s="132"/>
      <c r="AO37" s="69" t="n">
        <f aca="false">TblProd[[#This Row],[Food]]*food_decay * (1 + tech_2_1*TblTech[[#This Row],[2-1]] + tech_2_8*TblTech[[#This Row],[2-8]])</f>
        <v>223.62</v>
      </c>
      <c r="AP37" s="69" t="n">
        <f aca="false">(1+race_food_consumption)*TblPop[[#This Row],[Total]]*food_per_person*(1+tech_1_10*TblTech[[#This Row],[1-10]]+tech_7_5*TblTech[[#This Row],[7-5]])</f>
        <v>1477.5</v>
      </c>
      <c r="AQ37" s="69" t="n">
        <f aca="false">TblProd[[#This Row],[Lumber]]*lumber_rot * (1 + tech_2_1*TblTech[[#This Row],[2-1]] + tech_2_8*TblTech[[#This Row],[2-8]] + tech_5_2*TblTech[[#This Row],[5-2]])</f>
        <v>91.18</v>
      </c>
      <c r="AR37" s="69" t="n">
        <f aca="false">TblProd[[#This Row],[Mana]]*mana_drain * (1 + tech_2_1*TblTech[[#This Row],[2-1]] + tech_2_8*TblTech[[#This Row],[2-8]])</f>
        <v>79.84</v>
      </c>
      <c r="AS37" s="146"/>
      <c r="AT37" s="69" t="n">
        <f aca="false">TblExplore[[#This Row],[Platinum (2)]]+TblConstr[[#This Row],[Total Plat Cost]]+TblMili[[#This Row],[Plat Cost]]+TblRezone[[#This Row],[Platinum cost]]+TblImps[[#This Row],[P1]]-TblProd[[#This Row],[Bank Plat]]</f>
        <v>17446</v>
      </c>
      <c r="AU37" s="69" t="n">
        <f aca="false">TblConstr[[#This Row],[Total Lum Cost]]+TblImps[[#This Row],[L1]]-TblProd[[#This Row],[Bank Lumber]] + Military!$CL$25*TblMili[[#This Row],[Sec. rec. Cost]]</f>
        <v>198</v>
      </c>
      <c r="AV37" s="69" t="n">
        <f aca="false">TblMagic[[#This Row],[Mana cost]] + Military!$CL$26*TblMili[[#This Row],[Sec. rec. Cost]]</f>
        <v>0</v>
      </c>
      <c r="AW37" s="69" t="n">
        <f aca="false">Military!$CL$24*TblMili[[#This Row],[Sec. rec. Cost]]+TblImps[[#This Row],[O1]]-TblProd[[#This Row],[Bank Ore]]</f>
        <v>0</v>
      </c>
      <c r="AX37" s="69" t="n">
        <f aca="false">TblImps[[#This Row],[G1]]-TblProd[[#This Row],[Bank Gems]]</f>
        <v>0</v>
      </c>
      <c r="AY37" s="132"/>
      <c r="AZ37" s="33" t="n">
        <f aca="false">IF(TblProd[[#This Row],[Set Guard]]&lt;&gt;"",TblProd[[#This Row],[Set Guard]],OFFSET(TblProd[[#This Row],[Guard]],-1,0))</f>
        <v>0</v>
      </c>
      <c r="BA37" s="145"/>
      <c r="BB37" s="151" t="n">
        <f aca="false">TblProd[[#This Row],[Hour]]</f>
        <v>34</v>
      </c>
      <c r="BC37" s="152" t="n">
        <f aca="false">-TblProd[[#This Row],[Bank Lumber]] / 2 + -TblProd[[#This Row],[Bank Gems]] * 2 + -TblProd[[#This Row],[Bank Ore]] / 2</f>
        <v>0</v>
      </c>
      <c r="BD37" s="152"/>
      <c r="BE37" s="152"/>
      <c r="BF37" s="152"/>
      <c r="BG37" s="153" t="n">
        <f aca="false">TblProd[[#This Row],[Time]]</f>
        <v>45431.125</v>
      </c>
      <c r="BH3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69" t="n">
        <f aca="false">TblProd[[#This Row],[Platinum]]</f>
        <v>43944</v>
      </c>
      <c r="BJ37" s="69" t="n">
        <f aca="false">TblProd[[#This Row],[Food]]</f>
        <v>22362</v>
      </c>
      <c r="BK37" s="69" t="n">
        <f aca="false">TblProd[[#This Row],[Lumber]]</f>
        <v>9118</v>
      </c>
      <c r="BL37" s="69" t="n">
        <f aca="false">TblProd[[#This Row],[Mana]]</f>
        <v>3992</v>
      </c>
      <c r="BM37" s="69" t="n">
        <f aca="false">TblProd[[#This Row],[Ore]]</f>
        <v>0</v>
      </c>
    </row>
    <row r="38" customFormat="false" ht="12.75" hidden="false" customHeight="false" outlineLevel="0" collapsed="false">
      <c r="A38" s="128" t="n">
        <v>35</v>
      </c>
      <c r="B38" s="144" t="n">
        <f aca="false">TblImps[[#This Row],[Time]]</f>
        <v>45431.1666666667</v>
      </c>
      <c r="C38" s="145"/>
      <c r="D38" s="146"/>
      <c r="E38" s="69" t="n">
        <f aca="false">TblConstr[[#This Row],[Land]]</f>
        <v>409</v>
      </c>
      <c r="F38" s="69" t="n">
        <f aca="false">TblPop[[#This Row],[Peasants]]</f>
        <v>6231</v>
      </c>
      <c r="G38" s="69" t="e">
        <f aca="false">TblMili[[#This Row],[Networth (2)]]</f>
        <v>#VALUE!</v>
      </c>
      <c r="H38" s="69" t="n">
        <f aca="false">OFFSET(TblProd[[#This Row],[Platinum]],-1,0)+OFFSET(TblProd[[#This Row],[Plat/hr]],-1,0) - TblProd[[#This Row],[Expenses Platinum]] + IF(TblProd[[#This Row],[Plat Bonus]],TblPop[[#This Row],[Peasants]]*4) + SUM(TblConstr[[#This Row],[Dest Hom]:[Dest Doc]])*TblConstr[[#This Row],[CPA Platinum -DB]]*tech_3_3_2*TblTech[[#This Row],[3-3]]</f>
        <v>51273</v>
      </c>
      <c r="I38" s="69" t="n">
        <f aca="false">OFFSET(TblProd[[#This Row],[Food]],-1,0)+OFFSET(TblProd[[#This Row],[Food/hr]],-1,0)+ROUNDUP((TblConstr[[#This Row],[Farms]]*80+TblConstr[[#This Row],[Docks]]*35)*(1+OFFSET(TblProd[[#This Row],[Bonus Food/hr]],-1,0)),0)</f>
        <v>21358</v>
      </c>
      <c r="J38" s="69" t="n">
        <f aca="false">OFFSET(TblProd[[#This Row],[Lumber]],-1,0)+OFFSET(TblProd[[#This Row],[Lumber/hr]],-1,0) - TblProd[[#This Row],[Expenses Lumber]] + SUM(TblConstr[[#This Row],[Dest Hom]:[Dest Doc]])*TblConstr[[#This Row],[CPA Lumber -DB]]*tech_3_3_2*TblTech[[#This Row],[3-3]]</f>
        <v>9930</v>
      </c>
      <c r="K38" s="69" t="n">
        <f aca="false">OFFSET(TblProd[[#This Row],[Mana]],-1,0)+OFFSET(TblProd[[#This Row],[Mana/hr]],-1,0)- TblProd[[#This Row],[Expenses Mana]]</f>
        <v>4362</v>
      </c>
      <c r="L38" s="69" t="n">
        <f aca="false">OFFSET(TblProd[[#This Row],[Ore]],-1,0)+OFFSET(TblProd[[#This Row],[Ore/hr]],-1,0) -TblProd[[#This Row],[Expenses Ore]]</f>
        <v>0</v>
      </c>
      <c r="M38" s="69" t="n">
        <f aca="false">OFFSET(TblProd[[#This Row],[Gems]],-1,0)+OFFSET(TblProd[[#This Row],[Gems/hr]],-1,0) - TblProd[[#This Row],[Expenses Gems]]</f>
        <v>0</v>
      </c>
      <c r="N38" s="69" t="n">
        <f aca="false">OFFSET(TblProd[[#This Row],[Boats]],-1,0)+OFFSET(TblProd[[#This Row],[Boats/hr]],-1,0)</f>
        <v>2.75</v>
      </c>
      <c r="O38" s="69" t="n">
        <f aca="false">OFFSET(TblProd[[#This Row],[Prestige]],-1,0)</f>
        <v>250</v>
      </c>
      <c r="P3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8" s="69" t="n">
        <f aca="false">MAX(3750,_xlfn.CEILING.MATH(TblProd[[#This Row],[Land]]*2.5+OFFSET(TblTech[[#This Row],[Sum of tech]],-1,0)*150))</f>
        <v>3750</v>
      </c>
      <c r="R38" s="132"/>
      <c r="S38" s="69" t="n">
        <f aca="false">ROUNDDOWN(TblProd[[#This Row],[Raw Plat/hr]]*(1+TblProd[[#This Row],[Bonus Plat/hr]]),0)</f>
        <v>27884</v>
      </c>
      <c r="T38" s="69" t="n">
        <f aca="false">ROUND(TblProd[[#This Row],[Raw Food/hr]]*(1+TblProd[[#This Row],[Bonus Food/hr]])-TblProd[[#This Row],[Food decay]]-TblProd[[#This Row],[Food eaten]],0)</f>
        <v>-1075</v>
      </c>
      <c r="U38" s="69" t="n">
        <f aca="false">ROUND(TblProd[[#This Row],[Raw Lumber/hr]]*(1+TblProd[[#This Row],[Bonus Lumber/hr]])-TblProd[[#This Row],[Lumber rot]],0)</f>
        <v>936</v>
      </c>
      <c r="V38" s="69" t="n">
        <f aca="false">ROUND(TblProd[[#This Row],[Raw Mana/hr]]*(1+TblProd[[#This Row],[Bonus Mana/hr]])-TblProd[[#This Row],[Mana drain]],0)</f>
        <v>363</v>
      </c>
      <c r="W38" s="69" t="n">
        <f aca="false">ROUNDDOWN(TblProd[[#This Row],[Raw Ore/hr]]*(1+TblProd[[#This Row],[Bonux Ore/hr]]),0)</f>
        <v>0</v>
      </c>
      <c r="X38" s="69" t="n">
        <f aca="false">ROUNDDOWN(TblProd[[#This Row],[Raw Gems/hr]]*(1+TblProd[[#This Row],[Bonus Gems/hr]]),0)</f>
        <v>0</v>
      </c>
      <c r="Y38" s="148" t="n">
        <f aca="false">OFFSET(TblConstr[[#This Row],[Tot Doc]],1,0)*dock_boats_hr * (1 + tech_4_1*TblTech[[#This Row],[4-1]])</f>
        <v>0.25</v>
      </c>
      <c r="Z38" s="146"/>
      <c r="AA38" s="69" t="n">
        <f aca="false">TblPop[[#This Row],[Peasants]]*tax*TblPop[[#This Row],[Employment]] + (Construction!AZ39+Construction!BX39)*(alch_plat+(Magic!AM38&gt;0)*alchemist_flame_bonus)</f>
        <v>25349.7</v>
      </c>
      <c r="AB38" s="69" t="n">
        <f aca="false">TblConstr[[#This Row],[Tot Farm]]*farm_food + TblConstr[[#This Row],[Tot Doc]]*dock_food</f>
        <v>680</v>
      </c>
      <c r="AC38" s="69" t="n">
        <f aca="false">TblConstr[[#This Row],[Tot Ly]]*ly_lumber + TblConstr[[#This Row],[Tot Hav]]*fh_lumber</f>
        <v>1150</v>
      </c>
      <c r="AD38" s="69" t="n">
        <f aca="false">OFFSET(TblConstr[[#This Row],[Tot Tow]],1,0)*(tower_mana + tech_4_5*TblTech[[#This Row],[4-5]]) + OFFSET(TblConstr[[#This Row],[Tot WG]],1,0)*wg_mana_prod</f>
        <v>450</v>
      </c>
      <c r="AE38" s="69" t="n">
        <f aca="false">OFFSET(TblConstr[[#This Row],[Tot OM]],1,0)*om_ore+IF(race="Dwarf",ROUNDDOWN(TblMili[[#This Row],[Unit 2]]*0.4,0),)</f>
        <v>0</v>
      </c>
      <c r="AF38" s="69" t="n">
        <f aca="false">OFFSET(TblConstr[[#This Row],[Tot DM]],1,0)*dm_gems</f>
        <v>0</v>
      </c>
      <c r="AG38" s="132"/>
      <c r="AH38" s="149" t="n">
        <f aca="false">MIN(race_platinum_bonus + IF(TblMagic[[#This Row],[Active Alch Frost]]&gt;0,alch_frost_bonus,IF(Magic!AD38&gt;0,midas_bonus)) + TblImps[[#This Row],[Science]] - TblProd[[#This Row],[Guard]]*(0.02 + tech_5_7*TblTech[[#This Row],[5-7]]) + tech_1_5*TblTech[[#This Row],[1-5]] + tech_4_4*TblTech[[#This Row],[4-4]], 0.5)</f>
        <v>0.1</v>
      </c>
      <c r="AI3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8" s="149" t="n">
        <f aca="false">race_lumber_bonus+ IF(TblMagic[[#This Row],[Active Gaia''s Blessing]]&gt;0,gaias_blessing_lumber)+ tech_1_3*TblTech[[#This Row],[1-3]] + tech_1_6*TblTech[[#This Row],[1-6]] + tech_3_3*TblTech[[#This Row],[3-3]]</f>
        <v>-0.1</v>
      </c>
      <c r="AK38" s="149" t="n">
        <f aca="false">race_mana_bonus+ 0 + TblImps[[#This Row],[Towers]] + tech_1_2*TblTech[[#This Row],[1-2]] + tech_3_4*TblTech[[#This Row],[3-4]]</f>
        <v>0</v>
      </c>
      <c r="AL38" s="149" t="n">
        <f aca="false">race_ore_bonus + IF(TblMagic[[#This Row],[Active Miner''s Sight]]&gt;0,miners_sight_bonus,IF(TblMagic[[#This Row],[Active Mining Strength]]&gt;0,mining_strength_bonus)) +  tech_1_6*TblTech[[#This Row],[1-6]]</f>
        <v>0</v>
      </c>
      <c r="AM38" s="149" t="n">
        <f aca="false">race_gem_bonus+ tech_3_2*TblTech[[#This Row],[3-2]] + tech_4_3*TblTech[[#This Row],[4-3]] + tech_6_2*TblTech[[#This Row],[6-2]]</f>
        <v>0.15</v>
      </c>
      <c r="AN38" s="132"/>
      <c r="AO38" s="69" t="n">
        <f aca="false">TblProd[[#This Row],[Food]]*food_decay * (1 + tech_2_1*TblTech[[#This Row],[2-1]] + tech_2_8*TblTech[[#This Row],[2-8]])</f>
        <v>213.58</v>
      </c>
      <c r="AP38" s="69" t="n">
        <f aca="false">(1+race_food_consumption)*TblPop[[#This Row],[Total]]*food_per_person*(1+tech_1_10*TblTech[[#This Row],[1-10]]+tech_7_5*TblTech[[#This Row],[7-5]])</f>
        <v>1558.5</v>
      </c>
      <c r="AQ38" s="69" t="n">
        <f aca="false">TblProd[[#This Row],[Lumber]]*lumber_rot * (1 + tech_2_1*TblTech[[#This Row],[2-1]] + tech_2_8*TblTech[[#This Row],[2-8]] + tech_5_2*TblTech[[#This Row],[5-2]])</f>
        <v>99.3</v>
      </c>
      <c r="AR38" s="69" t="n">
        <f aca="false">TblProd[[#This Row],[Mana]]*mana_drain * (1 + tech_2_1*TblTech[[#This Row],[2-1]] + tech_2_8*TblTech[[#This Row],[2-8]])</f>
        <v>87.24</v>
      </c>
      <c r="AS38" s="146"/>
      <c r="AT38" s="69" t="n">
        <f aca="false">TblExplore[[#This Row],[Platinum (2)]]+TblConstr[[#This Row],[Total Plat Cost]]+TblMili[[#This Row],[Plat Cost]]+TblRezone[[#This Row],[Platinum cost]]+TblImps[[#This Row],[P1]]-TblProd[[#This Row],[Bank Plat]]</f>
        <v>18622</v>
      </c>
      <c r="AU38" s="69" t="n">
        <f aca="false">TblConstr[[#This Row],[Total Lum Cost]]+TblImps[[#This Row],[L1]]-TblProd[[#This Row],[Bank Lumber]] + Military!$CL$25*TblMili[[#This Row],[Sec. rec. Cost]]</f>
        <v>132</v>
      </c>
      <c r="AV38" s="69" t="n">
        <f aca="false">TblMagic[[#This Row],[Mana cost]] + Military!$CL$26*TblMili[[#This Row],[Sec. rec. Cost]]</f>
        <v>0</v>
      </c>
      <c r="AW38" s="69" t="n">
        <f aca="false">Military!$CL$24*TblMili[[#This Row],[Sec. rec. Cost]]+TblImps[[#This Row],[O1]]-TblProd[[#This Row],[Bank Ore]]</f>
        <v>0</v>
      </c>
      <c r="AX38" s="69" t="n">
        <f aca="false">TblImps[[#This Row],[G1]]-TblProd[[#This Row],[Bank Gems]]</f>
        <v>0</v>
      </c>
      <c r="AY38" s="132"/>
      <c r="AZ38" s="33" t="n">
        <f aca="false">IF(TblProd[[#This Row],[Set Guard]]&lt;&gt;"",TblProd[[#This Row],[Set Guard]],OFFSET(TblProd[[#This Row],[Guard]],-1,0))</f>
        <v>0</v>
      </c>
      <c r="BA38" s="145"/>
      <c r="BB38" s="151" t="n">
        <f aca="false">TblProd[[#This Row],[Hour]]</f>
        <v>35</v>
      </c>
      <c r="BC38" s="152" t="n">
        <f aca="false">-TblProd[[#This Row],[Bank Lumber]] / 2 + -TblProd[[#This Row],[Bank Gems]] * 2 + -TblProd[[#This Row],[Bank Ore]] / 2</f>
        <v>0</v>
      </c>
      <c r="BD38" s="152"/>
      <c r="BE38" s="152"/>
      <c r="BF38" s="152"/>
      <c r="BG38" s="153" t="n">
        <f aca="false">TblProd[[#This Row],[Time]]</f>
        <v>45431.1666666667</v>
      </c>
      <c r="BH3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69" t="n">
        <f aca="false">TblProd[[#This Row],[Platinum]]</f>
        <v>51273</v>
      </c>
      <c r="BJ38" s="69" t="n">
        <f aca="false">TblProd[[#This Row],[Food]]</f>
        <v>21358</v>
      </c>
      <c r="BK38" s="69" t="n">
        <f aca="false">TblProd[[#This Row],[Lumber]]</f>
        <v>9930</v>
      </c>
      <c r="BL38" s="69" t="n">
        <f aca="false">TblProd[[#This Row],[Mana]]</f>
        <v>4362</v>
      </c>
      <c r="BM38" s="69" t="n">
        <f aca="false">TblProd[[#This Row],[Ore]]</f>
        <v>0</v>
      </c>
    </row>
    <row r="39" customFormat="false" ht="12.75" hidden="false" customHeight="false" outlineLevel="0" collapsed="false">
      <c r="A39" s="128" t="n">
        <v>36</v>
      </c>
      <c r="B39" s="144" t="n">
        <f aca="false">TblImps[[#This Row],[Time]]</f>
        <v>45431.2083333333</v>
      </c>
      <c r="C39" s="145"/>
      <c r="D39" s="146"/>
      <c r="E39" s="69" t="n">
        <f aca="false">TblConstr[[#This Row],[Land]]</f>
        <v>419</v>
      </c>
      <c r="F39" s="69" t="n">
        <f aca="false">TblPop[[#This Row],[Peasants]]</f>
        <v>6571</v>
      </c>
      <c r="G39" s="69" t="e">
        <f aca="false">TblMili[[#This Row],[Networth (2)]]</f>
        <v>#VALUE!</v>
      </c>
      <c r="H39" s="69" t="n">
        <f aca="false">OFFSET(TblProd[[#This Row],[Platinum]],-1,0)+OFFSET(TblProd[[#This Row],[Plat/hr]],-1,0) - TblProd[[#This Row],[Expenses Platinum]] + IF(TblProd[[#This Row],[Plat Bonus]],TblPop[[#This Row],[Peasants]]*4) + SUM(TblConstr[[#This Row],[Dest Hom]:[Dest Doc]])*TblConstr[[#This Row],[CPA Platinum -DB]]*tech_3_3_2*TblTech[[#This Row],[3-3]]</f>
        <v>55040</v>
      </c>
      <c r="I39" s="69" t="n">
        <f aca="false">OFFSET(TblProd[[#This Row],[Food]],-1,0)+OFFSET(TblProd[[#This Row],[Food/hr]],-1,0)+ROUNDUP((TblConstr[[#This Row],[Farms]]*80+TblConstr[[#This Row],[Docks]]*35)*(1+OFFSET(TblProd[[#This Row],[Bonus Food/hr]],-1,0)),0)</f>
        <v>20447</v>
      </c>
      <c r="J39" s="69" t="n">
        <f aca="false">OFFSET(TblProd[[#This Row],[Lumber]],-1,0)+OFFSET(TblProd[[#This Row],[Lumber/hr]],-1,0) - TblProd[[#This Row],[Expenses Lumber]] + SUM(TblConstr[[#This Row],[Dest Hom]:[Dest Doc]])*TblConstr[[#This Row],[CPA Lumber -DB]]*tech_3_3_2*TblTech[[#This Row],[3-3]]</f>
        <v>10186</v>
      </c>
      <c r="K39" s="69" t="n">
        <f aca="false">OFFSET(TblProd[[#This Row],[Mana]],-1,0)+OFFSET(TblProd[[#This Row],[Mana/hr]],-1,0)- TblProd[[#This Row],[Expenses Mana]]</f>
        <v>4725</v>
      </c>
      <c r="L39" s="69" t="n">
        <f aca="false">OFFSET(TblProd[[#This Row],[Ore]],-1,0)+OFFSET(TblProd[[#This Row],[Ore/hr]],-1,0) -TblProd[[#This Row],[Expenses Ore]]</f>
        <v>0</v>
      </c>
      <c r="M39" s="69" t="n">
        <f aca="false">OFFSET(TblProd[[#This Row],[Gems]],-1,0)+OFFSET(TblProd[[#This Row],[Gems/hr]],-1,0) - TblProd[[#This Row],[Expenses Gems]]</f>
        <v>0</v>
      </c>
      <c r="N39" s="69" t="n">
        <f aca="false">OFFSET(TblProd[[#This Row],[Boats]],-1,0)+OFFSET(TblProd[[#This Row],[Boats/hr]],-1,0)</f>
        <v>3</v>
      </c>
      <c r="O39" s="69" t="n">
        <f aca="false">OFFSET(TblProd[[#This Row],[Prestige]],-1,0)</f>
        <v>250</v>
      </c>
      <c r="P3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9" s="69" t="n">
        <f aca="false">MAX(3750,_xlfn.CEILING.MATH(TblProd[[#This Row],[Land]]*2.5+OFFSET(TblTech[[#This Row],[Sum of tech]],-1,0)*150))</f>
        <v>3750</v>
      </c>
      <c r="R39" s="132"/>
      <c r="S39" s="69" t="n">
        <f aca="false">ROUNDDOWN(TblProd[[#This Row],[Raw Plat/hr]]*(1+TblProd[[#This Row],[Bonus Plat/hr]]),0)</f>
        <v>27896</v>
      </c>
      <c r="T39" s="69" t="n">
        <f aca="false">ROUND(TblProd[[#This Row],[Raw Food/hr]]*(1+TblProd[[#This Row],[Bonus Food/hr]])-TblProd[[#This Row],[Food decay]]-TblProd[[#This Row],[Food eaten]],0)</f>
        <v>-986</v>
      </c>
      <c r="U39" s="69" t="n">
        <f aca="false">ROUND(TblProd[[#This Row],[Raw Lumber/hr]]*(1+TblProd[[#This Row],[Bonus Lumber/hr]])-TblProd[[#This Row],[Lumber rot]],0)</f>
        <v>933</v>
      </c>
      <c r="V39" s="69" t="n">
        <f aca="false">ROUND(TblProd[[#This Row],[Raw Mana/hr]]*(1+TblProd[[#This Row],[Bonus Mana/hr]])-TblProd[[#This Row],[Mana drain]],0)</f>
        <v>356</v>
      </c>
      <c r="W39" s="69" t="n">
        <f aca="false">ROUNDDOWN(TblProd[[#This Row],[Raw Ore/hr]]*(1+TblProd[[#This Row],[Bonux Ore/hr]]),0)</f>
        <v>0</v>
      </c>
      <c r="X39" s="69" t="n">
        <f aca="false">ROUNDDOWN(TblProd[[#This Row],[Raw Gems/hr]]*(1+TblProd[[#This Row],[Bonus Gems/hr]]),0)</f>
        <v>0</v>
      </c>
      <c r="Y39" s="148" t="n">
        <f aca="false">OFFSET(TblConstr[[#This Row],[Tot Doc]],1,0)*dock_boats_hr * (1 + tech_4_1*TblTech[[#This Row],[4-1]])</f>
        <v>0.25</v>
      </c>
      <c r="Z39" s="146"/>
      <c r="AA39" s="69" t="n">
        <f aca="false">TblPop[[#This Row],[Peasants]]*tax*TblPop[[#This Row],[Employment]] + (Construction!AZ40+Construction!BX40)*(alch_plat+(Magic!AM39&gt;0)*alchemist_flame_bonus)</f>
        <v>25360.5</v>
      </c>
      <c r="AB39" s="69" t="n">
        <f aca="false">TblConstr[[#This Row],[Tot Farm]]*farm_food + TblConstr[[#This Row],[Tot Doc]]*dock_food</f>
        <v>840</v>
      </c>
      <c r="AC39" s="69" t="n">
        <f aca="false">TblConstr[[#This Row],[Tot Ly]]*ly_lumber + TblConstr[[#This Row],[Tot Hav]]*fh_lumber</f>
        <v>1150</v>
      </c>
      <c r="AD39" s="69" t="n">
        <f aca="false">OFFSET(TblConstr[[#This Row],[Tot Tow]],1,0)*(tower_mana + tech_4_5*TblTech[[#This Row],[4-5]]) + OFFSET(TblConstr[[#This Row],[Tot WG]],1,0)*wg_mana_prod</f>
        <v>450</v>
      </c>
      <c r="AE39" s="69" t="n">
        <f aca="false">OFFSET(TblConstr[[#This Row],[Tot OM]],1,0)*om_ore+IF(race="Dwarf",ROUNDDOWN(TblMili[[#This Row],[Unit 2]]*0.4,0),)</f>
        <v>0</v>
      </c>
      <c r="AF39" s="69" t="n">
        <f aca="false">OFFSET(TblConstr[[#This Row],[Tot DM]],1,0)*dm_gems</f>
        <v>0</v>
      </c>
      <c r="AG39" s="132"/>
      <c r="AH39" s="149" t="n">
        <f aca="false">MIN(race_platinum_bonus + IF(TblMagic[[#This Row],[Active Alch Frost]]&gt;0,alch_frost_bonus,IF(Magic!AD39&gt;0,midas_bonus)) + TblImps[[#This Row],[Science]] - TblProd[[#This Row],[Guard]]*(0.02 + tech_5_7*TblTech[[#This Row],[5-7]]) + tech_1_5*TblTech[[#This Row],[1-5]] + tech_4_4*TblTech[[#This Row],[4-4]], 0.5)</f>
        <v>0.1</v>
      </c>
      <c r="AI3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9" s="149" t="n">
        <f aca="false">race_lumber_bonus+ IF(TblMagic[[#This Row],[Active Gaia''s Blessing]]&gt;0,gaias_blessing_lumber)+ tech_1_3*TblTech[[#This Row],[1-3]] + tech_1_6*TblTech[[#This Row],[1-6]] + tech_3_3*TblTech[[#This Row],[3-3]]</f>
        <v>-0.1</v>
      </c>
      <c r="AK39" s="149" t="n">
        <f aca="false">race_mana_bonus+ 0 + TblImps[[#This Row],[Towers]] + tech_1_2*TblTech[[#This Row],[1-2]] + tech_3_4*TblTech[[#This Row],[3-4]]</f>
        <v>0</v>
      </c>
      <c r="AL39" s="149" t="n">
        <f aca="false">race_ore_bonus + IF(TblMagic[[#This Row],[Active Miner''s Sight]]&gt;0,miners_sight_bonus,IF(TblMagic[[#This Row],[Active Mining Strength]]&gt;0,mining_strength_bonus)) +  tech_1_6*TblTech[[#This Row],[1-6]]</f>
        <v>0</v>
      </c>
      <c r="AM39" s="149" t="n">
        <f aca="false">race_gem_bonus+ tech_3_2*TblTech[[#This Row],[3-2]] + tech_4_3*TblTech[[#This Row],[4-3]] + tech_6_2*TblTech[[#This Row],[6-2]]</f>
        <v>0.15</v>
      </c>
      <c r="AN39" s="132"/>
      <c r="AO39" s="69" t="n">
        <f aca="false">TblProd[[#This Row],[Food]]*food_decay * (1 + tech_2_1*TblTech[[#This Row],[2-1]] + tech_2_8*TblTech[[#This Row],[2-8]])</f>
        <v>204.47</v>
      </c>
      <c r="AP39" s="69" t="n">
        <f aca="false">(1+race_food_consumption)*TblPop[[#This Row],[Total]]*food_per_person*(1+tech_1_10*TblTech[[#This Row],[1-10]]+tech_7_5*TblTech[[#This Row],[7-5]])</f>
        <v>1642.75</v>
      </c>
      <c r="AQ39" s="69" t="n">
        <f aca="false">TblProd[[#This Row],[Lumber]]*lumber_rot * (1 + tech_2_1*TblTech[[#This Row],[2-1]] + tech_2_8*TblTech[[#This Row],[2-8]] + tech_5_2*TblTech[[#This Row],[5-2]])</f>
        <v>101.86</v>
      </c>
      <c r="AR39" s="69" t="n">
        <f aca="false">TblProd[[#This Row],[Mana]]*mana_drain * (1 + tech_2_1*TblTech[[#This Row],[2-1]] + tech_2_8*TblTech[[#This Row],[2-8]])</f>
        <v>94.5</v>
      </c>
      <c r="AS39" s="146"/>
      <c r="AT39" s="69" t="n">
        <f aca="false">TblExplore[[#This Row],[Platinum (2)]]+TblConstr[[#This Row],[Total Plat Cost]]+TblMili[[#This Row],[Plat Cost]]+TblRezone[[#This Row],[Platinum cost]]+TblImps[[#This Row],[P1]]-TblProd[[#This Row],[Bank Plat]]</f>
        <v>24117</v>
      </c>
      <c r="AU39" s="69" t="n">
        <f aca="false">TblConstr[[#This Row],[Total Lum Cost]]+TblImps[[#This Row],[L1]]-TblProd[[#This Row],[Bank Lumber]] + Military!$CL$25*TblMili[[#This Row],[Sec. rec. Cost]]</f>
        <v>680</v>
      </c>
      <c r="AV39" s="69" t="n">
        <f aca="false">TblMagic[[#This Row],[Mana cost]] + Military!$CL$26*TblMili[[#This Row],[Sec. rec. Cost]]</f>
        <v>0</v>
      </c>
      <c r="AW39" s="69" t="n">
        <f aca="false">Military!$CL$24*TblMili[[#This Row],[Sec. rec. Cost]]+TblImps[[#This Row],[O1]]-TblProd[[#This Row],[Bank Ore]]</f>
        <v>0</v>
      </c>
      <c r="AX39" s="69" t="n">
        <f aca="false">TblImps[[#This Row],[G1]]-TblProd[[#This Row],[Bank Gems]]</f>
        <v>0</v>
      </c>
      <c r="AY39" s="132"/>
      <c r="AZ39" s="33" t="n">
        <f aca="false">IF(TblProd[[#This Row],[Set Guard]]&lt;&gt;"",TblProd[[#This Row],[Set Guard]],OFFSET(TblProd[[#This Row],[Guard]],-1,0))</f>
        <v>0</v>
      </c>
      <c r="BA39" s="145"/>
      <c r="BB39" s="151" t="n">
        <f aca="false">TblProd[[#This Row],[Hour]]</f>
        <v>36</v>
      </c>
      <c r="BC39" s="152" t="n">
        <f aca="false">-TblProd[[#This Row],[Bank Lumber]] / 2 + -TblProd[[#This Row],[Bank Gems]] * 2 + -TblProd[[#This Row],[Bank Ore]] / 2</f>
        <v>0</v>
      </c>
      <c r="BD39" s="152"/>
      <c r="BE39" s="152"/>
      <c r="BF39" s="152"/>
      <c r="BG39" s="153" t="n">
        <f aca="false">TblProd[[#This Row],[Time]]</f>
        <v>45431.2083333333</v>
      </c>
      <c r="BH3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69" t="n">
        <f aca="false">TblProd[[#This Row],[Platinum]]</f>
        <v>55040</v>
      </c>
      <c r="BJ39" s="69" t="n">
        <f aca="false">TblProd[[#This Row],[Food]]</f>
        <v>20447</v>
      </c>
      <c r="BK39" s="69" t="n">
        <f aca="false">TblProd[[#This Row],[Lumber]]</f>
        <v>10186</v>
      </c>
      <c r="BL39" s="69" t="n">
        <f aca="false">TblProd[[#This Row],[Mana]]</f>
        <v>4725</v>
      </c>
      <c r="BM39" s="69" t="n">
        <f aca="false">TblProd[[#This Row],[Ore]]</f>
        <v>0</v>
      </c>
    </row>
    <row r="40" customFormat="false" ht="12.75" hidden="false" customHeight="false" outlineLevel="0" collapsed="false">
      <c r="A40" s="128" t="n">
        <v>37</v>
      </c>
      <c r="B40" s="144" t="n">
        <f aca="false">TblImps[[#This Row],[Time]]</f>
        <v>45431.25</v>
      </c>
      <c r="C40" s="145"/>
      <c r="D40" s="146"/>
      <c r="E40" s="69" t="n">
        <f aca="false">TblConstr[[#This Row],[Land]]</f>
        <v>419</v>
      </c>
      <c r="F40" s="69" t="n">
        <f aca="false">TblPop[[#This Row],[Peasants]]</f>
        <v>6698</v>
      </c>
      <c r="G40" s="69" t="e">
        <f aca="false">TblMili[[#This Row],[Networth (2)]]</f>
        <v>#VALUE!</v>
      </c>
      <c r="H40" s="69" t="n">
        <f aca="false">OFFSET(TblProd[[#This Row],[Platinum]],-1,0)+OFFSET(TblProd[[#This Row],[Plat/hr]],-1,0) - TblProd[[#This Row],[Expenses Platinum]] + IF(TblProd[[#This Row],[Plat Bonus]],TblPop[[#This Row],[Peasants]]*4) + SUM(TblConstr[[#This Row],[Dest Hom]:[Dest Doc]])*TblConstr[[#This Row],[CPA Platinum -DB]]*tech_3_3_2*TblTech[[#This Row],[3-3]]</f>
        <v>63059</v>
      </c>
      <c r="I40" s="69" t="n">
        <f aca="false">OFFSET(TblProd[[#This Row],[Food]],-1,0)+OFFSET(TblProd[[#This Row],[Food/hr]],-1,0)+ROUNDUP((TblConstr[[#This Row],[Farms]]*80+TblConstr[[#This Row],[Docks]]*35)*(1+OFFSET(TblProd[[#This Row],[Bonus Food/hr]],-1,0)),0)</f>
        <v>19461</v>
      </c>
      <c r="J40" s="69" t="n">
        <f aca="false">OFFSET(TblProd[[#This Row],[Lumber]],-1,0)+OFFSET(TblProd[[#This Row],[Lumber/hr]],-1,0) - TblProd[[#This Row],[Expenses Lumber]] + SUM(TblConstr[[#This Row],[Dest Hom]:[Dest Doc]])*TblConstr[[#This Row],[CPA Lumber -DB]]*tech_3_3_2*TblTech[[#This Row],[3-3]]</f>
        <v>11119</v>
      </c>
      <c r="K40" s="69" t="n">
        <f aca="false">OFFSET(TblProd[[#This Row],[Mana]],-1,0)+OFFSET(TblProd[[#This Row],[Mana/hr]],-1,0)- TblProd[[#This Row],[Expenses Mana]]</f>
        <v>5081</v>
      </c>
      <c r="L40" s="69" t="n">
        <f aca="false">OFFSET(TblProd[[#This Row],[Ore]],-1,0)+OFFSET(TblProd[[#This Row],[Ore/hr]],-1,0) -TblProd[[#This Row],[Expenses Ore]]</f>
        <v>0</v>
      </c>
      <c r="M40" s="69" t="n">
        <f aca="false">OFFSET(TblProd[[#This Row],[Gems]],-1,0)+OFFSET(TblProd[[#This Row],[Gems/hr]],-1,0) - TblProd[[#This Row],[Expenses Gems]]</f>
        <v>0</v>
      </c>
      <c r="N40" s="69" t="n">
        <f aca="false">OFFSET(TblProd[[#This Row],[Boats]],-1,0)+OFFSET(TblProd[[#This Row],[Boats/hr]],-1,0)</f>
        <v>3.25</v>
      </c>
      <c r="O40" s="69" t="n">
        <f aca="false">OFFSET(TblProd[[#This Row],[Prestige]],-1,0)</f>
        <v>250</v>
      </c>
      <c r="P4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0" s="69" t="n">
        <f aca="false">MAX(3750,_xlfn.CEILING.MATH(TblProd[[#This Row],[Land]]*2.5+OFFSET(TblTech[[#This Row],[Sum of tech]],-1,0)*150))</f>
        <v>3750</v>
      </c>
      <c r="R40" s="132"/>
      <c r="S40" s="69" t="n">
        <f aca="false">ROUNDDOWN(TblProd[[#This Row],[Raw Plat/hr]]*(1+TblProd[[#This Row],[Bonus Plat/hr]]),0)</f>
        <v>27896</v>
      </c>
      <c r="T40" s="69" t="n">
        <f aca="false">ROUND(TblProd[[#This Row],[Raw Food/hr]]*(1+TblProd[[#This Row],[Bonus Food/hr]])-TblProd[[#This Row],[Food decay]]-TblProd[[#This Row],[Food eaten]],0)</f>
        <v>-1008</v>
      </c>
      <c r="U40" s="69" t="n">
        <f aca="false">ROUND(TblProd[[#This Row],[Raw Lumber/hr]]*(1+TblProd[[#This Row],[Bonus Lumber/hr]])-TblProd[[#This Row],[Lumber rot]],0)</f>
        <v>924</v>
      </c>
      <c r="V40" s="69" t="n">
        <f aca="false">ROUND(TblProd[[#This Row],[Raw Mana/hr]]*(1+TblProd[[#This Row],[Bonus Mana/hr]])-TblProd[[#This Row],[Mana drain]],0)</f>
        <v>348</v>
      </c>
      <c r="W40" s="69" t="n">
        <f aca="false">ROUNDDOWN(TblProd[[#This Row],[Raw Ore/hr]]*(1+TblProd[[#This Row],[Bonux Ore/hr]]),0)</f>
        <v>0</v>
      </c>
      <c r="X40" s="69" t="n">
        <f aca="false">ROUNDDOWN(TblProd[[#This Row],[Raw Gems/hr]]*(1+TblProd[[#This Row],[Bonus Gems/hr]]),0)</f>
        <v>0</v>
      </c>
      <c r="Y40" s="148" t="n">
        <f aca="false">OFFSET(TblConstr[[#This Row],[Tot Doc]],1,0)*dock_boats_hr * (1 + tech_4_1*TblTech[[#This Row],[4-1]])</f>
        <v>0.25</v>
      </c>
      <c r="Z40" s="146"/>
      <c r="AA40" s="69" t="n">
        <f aca="false">TblPop[[#This Row],[Peasants]]*tax*TblPop[[#This Row],[Employment]] + (Construction!AZ41+Construction!BX41)*(alch_plat+(Magic!AM40&gt;0)*alchemist_flame_bonus)</f>
        <v>25360.5</v>
      </c>
      <c r="AB40" s="69" t="n">
        <f aca="false">TblConstr[[#This Row],[Tot Farm]]*farm_food + TblConstr[[#This Row],[Tot Doc]]*dock_food</f>
        <v>840</v>
      </c>
      <c r="AC40" s="69" t="n">
        <f aca="false">TblConstr[[#This Row],[Tot Ly]]*ly_lumber + TblConstr[[#This Row],[Tot Hav]]*fh_lumber</f>
        <v>1150</v>
      </c>
      <c r="AD40" s="69" t="n">
        <f aca="false">OFFSET(TblConstr[[#This Row],[Tot Tow]],1,0)*(tower_mana + tech_4_5*TblTech[[#This Row],[4-5]]) + OFFSET(TblConstr[[#This Row],[Tot WG]],1,0)*wg_mana_prod</f>
        <v>450</v>
      </c>
      <c r="AE40" s="69" t="n">
        <f aca="false">OFFSET(TblConstr[[#This Row],[Tot OM]],1,0)*om_ore+IF(race="Dwarf",ROUNDDOWN(TblMili[[#This Row],[Unit 2]]*0.4,0),)</f>
        <v>0</v>
      </c>
      <c r="AF40" s="69" t="n">
        <f aca="false">OFFSET(TblConstr[[#This Row],[Tot DM]],1,0)*dm_gems</f>
        <v>0</v>
      </c>
      <c r="AG40" s="132"/>
      <c r="AH40" s="149" t="n">
        <f aca="false">MIN(race_platinum_bonus + IF(TblMagic[[#This Row],[Active Alch Frost]]&gt;0,alch_frost_bonus,IF(Magic!AD40&gt;0,midas_bonus)) + TblImps[[#This Row],[Science]] - TblProd[[#This Row],[Guard]]*(0.02 + tech_5_7*TblTech[[#This Row],[5-7]]) + tech_1_5*TblTech[[#This Row],[1-5]] + tech_4_4*TblTech[[#This Row],[4-4]], 0.5)</f>
        <v>0.1</v>
      </c>
      <c r="AI4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0" s="149" t="n">
        <f aca="false">race_lumber_bonus+ IF(TblMagic[[#This Row],[Active Gaia''s Blessing]]&gt;0,gaias_blessing_lumber)+ tech_1_3*TblTech[[#This Row],[1-3]] + tech_1_6*TblTech[[#This Row],[1-6]] + tech_3_3*TblTech[[#This Row],[3-3]]</f>
        <v>-0.1</v>
      </c>
      <c r="AK40" s="149" t="n">
        <f aca="false">race_mana_bonus+ 0 + TblImps[[#This Row],[Towers]] + tech_1_2*TblTech[[#This Row],[1-2]] + tech_3_4*TblTech[[#This Row],[3-4]]</f>
        <v>0</v>
      </c>
      <c r="AL40" s="149" t="n">
        <f aca="false">race_ore_bonus + IF(TblMagic[[#This Row],[Active Miner''s Sight]]&gt;0,miners_sight_bonus,IF(TblMagic[[#This Row],[Active Mining Strength]]&gt;0,mining_strength_bonus)) +  tech_1_6*TblTech[[#This Row],[1-6]]</f>
        <v>0</v>
      </c>
      <c r="AM40" s="149" t="n">
        <f aca="false">race_gem_bonus+ tech_3_2*TblTech[[#This Row],[3-2]] + tech_4_3*TblTech[[#This Row],[4-3]] + tech_6_2*TblTech[[#This Row],[6-2]]</f>
        <v>0.15</v>
      </c>
      <c r="AN40" s="132"/>
      <c r="AO40" s="69" t="n">
        <f aca="false">TblProd[[#This Row],[Food]]*food_decay * (1 + tech_2_1*TblTech[[#This Row],[2-1]] + tech_2_8*TblTech[[#This Row],[2-8]])</f>
        <v>194.61</v>
      </c>
      <c r="AP40" s="69" t="n">
        <f aca="false">(1+race_food_consumption)*TblPop[[#This Row],[Total]]*food_per_person*(1+tech_1_10*TblTech[[#This Row],[1-10]]+tech_7_5*TblTech[[#This Row],[7-5]])</f>
        <v>1674.75</v>
      </c>
      <c r="AQ40" s="69" t="n">
        <f aca="false">TblProd[[#This Row],[Lumber]]*lumber_rot * (1 + tech_2_1*TblTech[[#This Row],[2-1]] + tech_2_8*TblTech[[#This Row],[2-8]] + tech_5_2*TblTech[[#This Row],[5-2]])</f>
        <v>111.19</v>
      </c>
      <c r="AR40" s="69" t="n">
        <f aca="false">TblProd[[#This Row],[Mana]]*mana_drain * (1 + tech_2_1*TblTech[[#This Row],[2-1]] + tech_2_8*TblTech[[#This Row],[2-8]])</f>
        <v>101.62</v>
      </c>
      <c r="AS40" s="146"/>
      <c r="AT40" s="69" t="n">
        <f aca="false">TblExplore[[#This Row],[Platinum (2)]]+TblConstr[[#This Row],[Total Plat Cost]]+TblMili[[#This Row],[Plat Cost]]+TblRezone[[#This Row],[Platinum cost]]+TblImps[[#This Row],[P1]]-TblProd[[#This Row],[Bank Plat]]</f>
        <v>19877</v>
      </c>
      <c r="AU40" s="69" t="n">
        <f aca="false">TblConstr[[#This Row],[Total Lum Cost]]+TblImps[[#This Row],[L1]]-TblProd[[#This Row],[Bank Lumber]] + Military!$CL$25*TblMili[[#This Row],[Sec. rec. Cost]]</f>
        <v>0</v>
      </c>
      <c r="AV40" s="69" t="n">
        <f aca="false">TblMagic[[#This Row],[Mana cost]] + Military!$CL$26*TblMili[[#This Row],[Sec. rec. Cost]]</f>
        <v>0</v>
      </c>
      <c r="AW40" s="69" t="n">
        <f aca="false">Military!$CL$24*TblMili[[#This Row],[Sec. rec. Cost]]+TblImps[[#This Row],[O1]]-TblProd[[#This Row],[Bank Ore]]</f>
        <v>0</v>
      </c>
      <c r="AX40" s="69" t="n">
        <f aca="false">TblImps[[#This Row],[G1]]-TblProd[[#This Row],[Bank Gems]]</f>
        <v>0</v>
      </c>
      <c r="AY40" s="132"/>
      <c r="AZ40" s="33" t="n">
        <f aca="false">IF(TblProd[[#This Row],[Set Guard]]&lt;&gt;"",TblProd[[#This Row],[Set Guard]],OFFSET(TblProd[[#This Row],[Guard]],-1,0))</f>
        <v>0</v>
      </c>
      <c r="BA40" s="145"/>
      <c r="BB40" s="151" t="n">
        <f aca="false">TblProd[[#This Row],[Hour]]</f>
        <v>37</v>
      </c>
      <c r="BC40" s="152" t="n">
        <f aca="false">-TblProd[[#This Row],[Bank Lumber]] / 2 + -TblProd[[#This Row],[Bank Gems]] * 2 + -TblProd[[#This Row],[Bank Ore]] / 2</f>
        <v>0</v>
      </c>
      <c r="BD40" s="152"/>
      <c r="BE40" s="152"/>
      <c r="BF40" s="152"/>
      <c r="BG40" s="153" t="n">
        <f aca="false">TblProd[[#This Row],[Time]]</f>
        <v>45431.25</v>
      </c>
      <c r="BH4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69" t="n">
        <f aca="false">TblProd[[#This Row],[Platinum]]</f>
        <v>63059</v>
      </c>
      <c r="BJ40" s="69" t="n">
        <f aca="false">TblProd[[#This Row],[Food]]</f>
        <v>19461</v>
      </c>
      <c r="BK40" s="69" t="n">
        <f aca="false">TblProd[[#This Row],[Lumber]]</f>
        <v>11119</v>
      </c>
      <c r="BL40" s="69" t="n">
        <f aca="false">TblProd[[#This Row],[Mana]]</f>
        <v>5081</v>
      </c>
      <c r="BM40" s="69" t="n">
        <f aca="false">TblProd[[#This Row],[Ore]]</f>
        <v>0</v>
      </c>
    </row>
    <row r="41" customFormat="false" ht="12.75" hidden="false" customHeight="false" outlineLevel="0" collapsed="false">
      <c r="A41" s="128" t="n">
        <v>38</v>
      </c>
      <c r="B41" s="144" t="n">
        <f aca="false">TblImps[[#This Row],[Time]]</f>
        <v>45431.2916666667</v>
      </c>
      <c r="C41" s="145"/>
      <c r="D41" s="146"/>
      <c r="E41" s="69" t="n">
        <f aca="false">TblConstr[[#This Row],[Land]]</f>
        <v>419</v>
      </c>
      <c r="F41" s="69" t="n">
        <f aca="false">TblPop[[#This Row],[Peasants]]</f>
        <v>6696</v>
      </c>
      <c r="G41" s="69" t="e">
        <f aca="false">TblMili[[#This Row],[Networth (2)]]</f>
        <v>#VALUE!</v>
      </c>
      <c r="H41" s="69" t="n">
        <f aca="false">OFFSET(TblProd[[#This Row],[Platinum]],-1,0)+OFFSET(TblProd[[#This Row],[Plat/hr]],-1,0) - TblProd[[#This Row],[Expenses Platinum]] + IF(TblProd[[#This Row],[Plat Bonus]],TblPop[[#This Row],[Peasants]]*4) + SUM(TblConstr[[#This Row],[Dest Hom]:[Dest Doc]])*TblConstr[[#This Row],[CPA Platinum -DB]]*tech_3_3_2*TblTech[[#This Row],[3-3]]</f>
        <v>71078</v>
      </c>
      <c r="I41" s="69" t="n">
        <f aca="false">OFFSET(TblProd[[#This Row],[Food]],-1,0)+OFFSET(TblProd[[#This Row],[Food/hr]],-1,0)+ROUNDUP((TblConstr[[#This Row],[Farms]]*80+TblConstr[[#This Row],[Docks]]*35)*(1+OFFSET(TblProd[[#This Row],[Bonus Food/hr]],-1,0)),0)</f>
        <v>18453</v>
      </c>
      <c r="J41" s="69" t="n">
        <f aca="false">OFFSET(TblProd[[#This Row],[Lumber]],-1,0)+OFFSET(TblProd[[#This Row],[Lumber/hr]],-1,0) - TblProd[[#This Row],[Expenses Lumber]] + SUM(TblConstr[[#This Row],[Dest Hom]:[Dest Doc]])*TblConstr[[#This Row],[CPA Lumber -DB]]*tech_3_3_2*TblTech[[#This Row],[3-3]]</f>
        <v>12043</v>
      </c>
      <c r="K41" s="69" t="n">
        <f aca="false">OFFSET(TblProd[[#This Row],[Mana]],-1,0)+OFFSET(TblProd[[#This Row],[Mana/hr]],-1,0)- TblProd[[#This Row],[Expenses Mana]]</f>
        <v>2286.5</v>
      </c>
      <c r="L41" s="69" t="n">
        <f aca="false">OFFSET(TblProd[[#This Row],[Ore]],-1,0)+OFFSET(TblProd[[#This Row],[Ore/hr]],-1,0) -TblProd[[#This Row],[Expenses Ore]]</f>
        <v>0</v>
      </c>
      <c r="M41" s="69" t="n">
        <f aca="false">OFFSET(TblProd[[#This Row],[Gems]],-1,0)+OFFSET(TblProd[[#This Row],[Gems/hr]],-1,0) - TblProd[[#This Row],[Expenses Gems]]</f>
        <v>0</v>
      </c>
      <c r="N41" s="69" t="n">
        <f aca="false">OFFSET(TblProd[[#This Row],[Boats]],-1,0)+OFFSET(TblProd[[#This Row],[Boats/hr]],-1,0)</f>
        <v>3.5</v>
      </c>
      <c r="O41" s="69" t="n">
        <f aca="false">OFFSET(TblProd[[#This Row],[Prestige]],-1,0)</f>
        <v>250</v>
      </c>
      <c r="P4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1" s="69" t="n">
        <f aca="false">MAX(3750,_xlfn.CEILING.MATH(TblProd[[#This Row],[Land]]*2.5+OFFSET(TblTech[[#This Row],[Sum of tech]],-1,0)*150))</f>
        <v>3750</v>
      </c>
      <c r="R41" s="132"/>
      <c r="S41" s="69" t="n">
        <f aca="false">ROUNDDOWN(TblProd[[#This Row],[Raw Plat/hr]]*(1+TblProd[[#This Row],[Bonus Plat/hr]]),0)</f>
        <v>27896</v>
      </c>
      <c r="T41" s="69" t="n">
        <f aca="false">ROUND(TblProd[[#This Row],[Raw Food/hr]]*(1+TblProd[[#This Row],[Bonus Food/hr]])-TblProd[[#This Row],[Food decay]]-TblProd[[#This Row],[Food eaten]],0)</f>
        <v>-998</v>
      </c>
      <c r="U41" s="69" t="n">
        <f aca="false">ROUND(TblProd[[#This Row],[Raw Lumber/hr]]*(1+TblProd[[#This Row],[Bonus Lumber/hr]])-TblProd[[#This Row],[Lumber rot]],0)</f>
        <v>915</v>
      </c>
      <c r="V41" s="69" t="n">
        <f aca="false">ROUND(TblProd[[#This Row],[Raw Mana/hr]]*(1+TblProd[[#This Row],[Bonus Mana/hr]])-TblProd[[#This Row],[Mana drain]],0)</f>
        <v>404</v>
      </c>
      <c r="W41" s="69" t="n">
        <f aca="false">ROUNDDOWN(TblProd[[#This Row],[Raw Ore/hr]]*(1+TblProd[[#This Row],[Bonux Ore/hr]]),0)</f>
        <v>0</v>
      </c>
      <c r="X41" s="69" t="n">
        <f aca="false">ROUNDDOWN(TblProd[[#This Row],[Raw Gems/hr]]*(1+TblProd[[#This Row],[Bonus Gems/hr]]),0)</f>
        <v>0</v>
      </c>
      <c r="Y41" s="148" t="n">
        <f aca="false">OFFSET(TblConstr[[#This Row],[Tot Doc]],1,0)*dock_boats_hr * (1 + tech_4_1*TblTech[[#This Row],[4-1]])</f>
        <v>0.25</v>
      </c>
      <c r="Z41" s="146"/>
      <c r="AA41" s="69" t="n">
        <f aca="false">TblPop[[#This Row],[Peasants]]*tax*TblPop[[#This Row],[Employment]] + (Construction!AZ42+Construction!BX42)*(alch_plat+(Magic!AM41&gt;0)*alchemist_flame_bonus)</f>
        <v>25360.5</v>
      </c>
      <c r="AB41" s="69" t="n">
        <f aca="false">TblConstr[[#This Row],[Tot Farm]]*farm_food + TblConstr[[#This Row],[Tot Doc]]*dock_food</f>
        <v>840</v>
      </c>
      <c r="AC41" s="69" t="n">
        <f aca="false">TblConstr[[#This Row],[Tot Ly]]*ly_lumber + TblConstr[[#This Row],[Tot Hav]]*fh_lumber</f>
        <v>1150</v>
      </c>
      <c r="AD41" s="69" t="n">
        <f aca="false">OFFSET(TblConstr[[#This Row],[Tot Tow]],1,0)*(tower_mana + tech_4_5*TblTech[[#This Row],[4-5]]) + OFFSET(TblConstr[[#This Row],[Tot WG]],1,0)*wg_mana_prod</f>
        <v>450</v>
      </c>
      <c r="AE41" s="69" t="n">
        <f aca="false">OFFSET(TblConstr[[#This Row],[Tot OM]],1,0)*om_ore+IF(race="Dwarf",ROUNDDOWN(TblMili[[#This Row],[Unit 2]]*0.4,0),)</f>
        <v>0</v>
      </c>
      <c r="AF41" s="69" t="n">
        <f aca="false">OFFSET(TblConstr[[#This Row],[Tot DM]],1,0)*dm_gems</f>
        <v>0</v>
      </c>
      <c r="AG41" s="132"/>
      <c r="AH41" s="149" t="n">
        <f aca="false">MIN(race_platinum_bonus + IF(TblMagic[[#This Row],[Active Alch Frost]]&gt;0,alch_frost_bonus,IF(Magic!AD41&gt;0,midas_bonus)) + TblImps[[#This Row],[Science]] - TblProd[[#This Row],[Guard]]*(0.02 + tech_5_7*TblTech[[#This Row],[5-7]]) + tech_1_5*TblTech[[#This Row],[1-5]] + tech_4_4*TblTech[[#This Row],[4-4]], 0.5)</f>
        <v>0.1</v>
      </c>
      <c r="AI4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1" s="149" t="n">
        <f aca="false">race_lumber_bonus+ IF(TblMagic[[#This Row],[Active Gaia''s Blessing]]&gt;0,gaias_blessing_lumber)+ tech_1_3*TblTech[[#This Row],[1-3]] + tech_1_6*TblTech[[#This Row],[1-6]] + tech_3_3*TblTech[[#This Row],[3-3]]</f>
        <v>-0.1</v>
      </c>
      <c r="AK41" s="149" t="n">
        <f aca="false">race_mana_bonus+ 0 + TblImps[[#This Row],[Towers]] + tech_1_2*TblTech[[#This Row],[1-2]] + tech_3_4*TblTech[[#This Row],[3-4]]</f>
        <v>0</v>
      </c>
      <c r="AL41" s="149" t="n">
        <f aca="false">race_ore_bonus + IF(TblMagic[[#This Row],[Active Miner''s Sight]]&gt;0,miners_sight_bonus,IF(TblMagic[[#This Row],[Active Mining Strength]]&gt;0,mining_strength_bonus)) +  tech_1_6*TblTech[[#This Row],[1-6]]</f>
        <v>0</v>
      </c>
      <c r="AM41" s="149" t="n">
        <f aca="false">race_gem_bonus+ tech_3_2*TblTech[[#This Row],[3-2]] + tech_4_3*TblTech[[#This Row],[4-3]] + tech_6_2*TblTech[[#This Row],[6-2]]</f>
        <v>0.15</v>
      </c>
      <c r="AN41" s="132"/>
      <c r="AO41" s="69" t="n">
        <f aca="false">TblProd[[#This Row],[Food]]*food_decay * (1 + tech_2_1*TblTech[[#This Row],[2-1]] + tech_2_8*TblTech[[#This Row],[2-8]])</f>
        <v>184.53</v>
      </c>
      <c r="AP41" s="69" t="n">
        <f aca="false">(1+race_food_consumption)*TblPop[[#This Row],[Total]]*food_per_person*(1+tech_1_10*TblTech[[#This Row],[1-10]]+tech_7_5*TblTech[[#This Row],[7-5]])</f>
        <v>1674.75</v>
      </c>
      <c r="AQ41" s="69" t="n">
        <f aca="false">TblProd[[#This Row],[Lumber]]*lumber_rot * (1 + tech_2_1*TblTech[[#This Row],[2-1]] + tech_2_8*TblTech[[#This Row],[2-8]] + tech_5_2*TblTech[[#This Row],[5-2]])</f>
        <v>120.43</v>
      </c>
      <c r="AR41" s="69" t="n">
        <f aca="false">TblProd[[#This Row],[Mana]]*mana_drain * (1 + tech_2_1*TblTech[[#This Row],[2-1]] + tech_2_8*TblTech[[#This Row],[2-8]])</f>
        <v>45.73</v>
      </c>
      <c r="AS41" s="146"/>
      <c r="AT41" s="69" t="n">
        <f aca="false">TblExplore[[#This Row],[Platinum (2)]]+TblConstr[[#This Row],[Total Plat Cost]]+TblMili[[#This Row],[Plat Cost]]+TblRezone[[#This Row],[Platinum cost]]+TblImps[[#This Row],[P1]]-TblProd[[#This Row],[Bank Plat]]</f>
        <v>19877</v>
      </c>
      <c r="AU41" s="69" t="n">
        <f aca="false">TblConstr[[#This Row],[Total Lum Cost]]+TblImps[[#This Row],[L1]]-TblProd[[#This Row],[Bank Lumber]] + Military!$CL$25*TblMili[[#This Row],[Sec. rec. Cost]]</f>
        <v>0</v>
      </c>
      <c r="AV41" s="69" t="n">
        <f aca="false">TblMagic[[#This Row],[Mana cost]] + Military!$CL$26*TblMili[[#This Row],[Sec. rec. Cost]]</f>
        <v>3142.5</v>
      </c>
      <c r="AW41" s="69" t="n">
        <f aca="false">Military!$CL$24*TblMili[[#This Row],[Sec. rec. Cost]]+TblImps[[#This Row],[O1]]-TblProd[[#This Row],[Bank Ore]]</f>
        <v>0</v>
      </c>
      <c r="AX41" s="69" t="n">
        <f aca="false">TblImps[[#This Row],[G1]]-TblProd[[#This Row],[Bank Gems]]</f>
        <v>0</v>
      </c>
      <c r="AY41" s="132"/>
      <c r="AZ41" s="33" t="n">
        <f aca="false">IF(TblProd[[#This Row],[Set Guard]]&lt;&gt;"",TblProd[[#This Row],[Set Guard]],OFFSET(TblProd[[#This Row],[Guard]],-1,0))</f>
        <v>0</v>
      </c>
      <c r="BA41" s="145"/>
      <c r="BB41" s="151" t="n">
        <f aca="false">TblProd[[#This Row],[Hour]]</f>
        <v>38</v>
      </c>
      <c r="BC41" s="152" t="n">
        <f aca="false">-TblProd[[#This Row],[Bank Lumber]] / 2 + -TblProd[[#This Row],[Bank Gems]] * 2 + -TblProd[[#This Row],[Bank Ore]] / 2</f>
        <v>0</v>
      </c>
      <c r="BD41" s="152"/>
      <c r="BE41" s="152"/>
      <c r="BF41" s="152"/>
      <c r="BG41" s="153" t="n">
        <f aca="false">TblProd[[#This Row],[Time]]</f>
        <v>45431.2916666667</v>
      </c>
      <c r="BH4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69" t="n">
        <f aca="false">TblProd[[#This Row],[Platinum]]</f>
        <v>71078</v>
      </c>
      <c r="BJ41" s="69" t="n">
        <f aca="false">TblProd[[#This Row],[Food]]</f>
        <v>18453</v>
      </c>
      <c r="BK41" s="69" t="n">
        <f aca="false">TblProd[[#This Row],[Lumber]]</f>
        <v>12043</v>
      </c>
      <c r="BL41" s="69" t="n">
        <f aca="false">TblProd[[#This Row],[Mana]]</f>
        <v>2286.5</v>
      </c>
      <c r="BM41" s="69" t="n">
        <f aca="false">TblProd[[#This Row],[Ore]]</f>
        <v>0</v>
      </c>
    </row>
    <row r="42" customFormat="false" ht="12.75" hidden="false" customHeight="false" outlineLevel="0" collapsed="false">
      <c r="A42" s="128" t="n">
        <v>39</v>
      </c>
      <c r="B42" s="144" t="n">
        <f aca="false">TblImps[[#This Row],[Time]]</f>
        <v>45431.3333333333</v>
      </c>
      <c r="C42" s="145"/>
      <c r="D42" s="146"/>
      <c r="E42" s="69" t="n">
        <f aca="false">TblConstr[[#This Row],[Land]]</f>
        <v>419</v>
      </c>
      <c r="F42" s="69" t="n">
        <f aca="false">TblPop[[#This Row],[Peasants]]</f>
        <v>6694</v>
      </c>
      <c r="G42" s="69" t="e">
        <f aca="false">TblMili[[#This Row],[Networth (2)]]</f>
        <v>#VALUE!</v>
      </c>
      <c r="H42" s="69" t="n">
        <f aca="false">OFFSET(TblProd[[#This Row],[Platinum]],-1,0)+OFFSET(TblProd[[#This Row],[Plat/hr]],-1,0) - TblProd[[#This Row],[Expenses Platinum]] + IF(TblProd[[#This Row],[Plat Bonus]],TblPop[[#This Row],[Peasants]]*4) + SUM(TblConstr[[#This Row],[Dest Hom]:[Dest Doc]])*TblConstr[[#This Row],[CPA Platinum -DB]]*tech_3_3_2*TblTech[[#This Row],[3-3]]</f>
        <v>77568</v>
      </c>
      <c r="I42" s="69" t="n">
        <f aca="false">OFFSET(TblProd[[#This Row],[Food]],-1,0)+OFFSET(TblProd[[#This Row],[Food/hr]],-1,0)+ROUNDUP((TblConstr[[#This Row],[Farms]]*80+TblConstr[[#This Row],[Docks]]*35)*(1+OFFSET(TblProd[[#This Row],[Bonus Food/hr]],-1,0)),0)</f>
        <v>17455</v>
      </c>
      <c r="J42" s="69" t="n">
        <f aca="false">OFFSET(TblProd[[#This Row],[Lumber]],-1,0)+OFFSET(TblProd[[#This Row],[Lumber/hr]],-1,0) - TblProd[[#This Row],[Expenses Lumber]] + SUM(TblConstr[[#This Row],[Dest Hom]:[Dest Doc]])*TblConstr[[#This Row],[CPA Lumber -DB]]*tech_3_3_2*TblTech[[#This Row],[3-3]]</f>
        <v>12958</v>
      </c>
      <c r="K42" s="69" t="n">
        <f aca="false">OFFSET(TblProd[[#This Row],[Mana]],-1,0)+OFFSET(TblProd[[#This Row],[Mana/hr]],-1,0)- TblProd[[#This Row],[Expenses Mana]]</f>
        <v>2690.5</v>
      </c>
      <c r="L42" s="69" t="n">
        <f aca="false">OFFSET(TblProd[[#This Row],[Ore]],-1,0)+OFFSET(TblProd[[#This Row],[Ore/hr]],-1,0) -TblProd[[#This Row],[Expenses Ore]]</f>
        <v>0</v>
      </c>
      <c r="M42" s="69" t="n">
        <f aca="false">OFFSET(TblProd[[#This Row],[Gems]],-1,0)+OFFSET(TblProd[[#This Row],[Gems/hr]],-1,0) - TblProd[[#This Row],[Expenses Gems]]</f>
        <v>0</v>
      </c>
      <c r="N42" s="69" t="n">
        <f aca="false">OFFSET(TblProd[[#This Row],[Boats]],-1,0)+OFFSET(TblProd[[#This Row],[Boats/hr]],-1,0)</f>
        <v>3.75</v>
      </c>
      <c r="O42" s="69" t="n">
        <f aca="false">OFFSET(TblProd[[#This Row],[Prestige]],-1,0)</f>
        <v>250</v>
      </c>
      <c r="P4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2" s="69" t="n">
        <f aca="false">MAX(3750,_xlfn.CEILING.MATH(TblProd[[#This Row],[Land]]*2.5+OFFSET(TblTech[[#This Row],[Sum of tech]],-1,0)*150))</f>
        <v>3750</v>
      </c>
      <c r="R42" s="132"/>
      <c r="S42" s="69" t="n">
        <f aca="false">ROUNDDOWN(TblProd[[#This Row],[Raw Plat/hr]]*(1+TblProd[[#This Row],[Bonus Plat/hr]]),0)</f>
        <v>27896</v>
      </c>
      <c r="T42" s="69" t="n">
        <f aca="false">ROUND(TblProd[[#This Row],[Raw Food/hr]]*(1+TblProd[[#This Row],[Bonus Food/hr]])-TblProd[[#This Row],[Food decay]]-TblProd[[#This Row],[Food eaten]],0)</f>
        <v>-987</v>
      </c>
      <c r="U42" s="69" t="n">
        <f aca="false">ROUND(TblProd[[#This Row],[Raw Lumber/hr]]*(1+TblProd[[#This Row],[Bonus Lumber/hr]])-TblProd[[#This Row],[Lumber rot]],0)</f>
        <v>905</v>
      </c>
      <c r="V42" s="69" t="n">
        <f aca="false">ROUND(TblProd[[#This Row],[Raw Mana/hr]]*(1+TblProd[[#This Row],[Bonus Mana/hr]])-TblProd[[#This Row],[Mana drain]],0)</f>
        <v>396</v>
      </c>
      <c r="W42" s="69" t="n">
        <f aca="false">ROUNDDOWN(TblProd[[#This Row],[Raw Ore/hr]]*(1+TblProd[[#This Row],[Bonux Ore/hr]]),0)</f>
        <v>0</v>
      </c>
      <c r="X42" s="69" t="n">
        <f aca="false">ROUNDDOWN(TblProd[[#This Row],[Raw Gems/hr]]*(1+TblProd[[#This Row],[Bonus Gems/hr]]),0)</f>
        <v>0</v>
      </c>
      <c r="Y42" s="148" t="n">
        <f aca="false">OFFSET(TblConstr[[#This Row],[Tot Doc]],1,0)*dock_boats_hr * (1 + tech_4_1*TblTech[[#This Row],[4-1]])</f>
        <v>0.25</v>
      </c>
      <c r="Z42" s="146"/>
      <c r="AA42" s="69" t="n">
        <f aca="false">TblPop[[#This Row],[Peasants]]*tax*TblPop[[#This Row],[Employment]] + (Construction!AZ43+Construction!BX43)*(alch_plat+(Magic!AM42&gt;0)*alchemist_flame_bonus)</f>
        <v>25360.5</v>
      </c>
      <c r="AB42" s="69" t="n">
        <f aca="false">TblConstr[[#This Row],[Tot Farm]]*farm_food + TblConstr[[#This Row],[Tot Doc]]*dock_food</f>
        <v>840</v>
      </c>
      <c r="AC42" s="69" t="n">
        <f aca="false">TblConstr[[#This Row],[Tot Ly]]*ly_lumber + TblConstr[[#This Row],[Tot Hav]]*fh_lumber</f>
        <v>1150</v>
      </c>
      <c r="AD42" s="69" t="n">
        <f aca="false">OFFSET(TblConstr[[#This Row],[Tot Tow]],1,0)*(tower_mana + tech_4_5*TblTech[[#This Row],[4-5]]) + OFFSET(TblConstr[[#This Row],[Tot WG]],1,0)*wg_mana_prod</f>
        <v>450</v>
      </c>
      <c r="AE42" s="69" t="n">
        <f aca="false">OFFSET(TblConstr[[#This Row],[Tot OM]],1,0)*om_ore+IF(race="Dwarf",ROUNDDOWN(TblMili[[#This Row],[Unit 2]]*0.4,0),)</f>
        <v>0</v>
      </c>
      <c r="AF42" s="69" t="n">
        <f aca="false">OFFSET(TblConstr[[#This Row],[Tot DM]],1,0)*dm_gems</f>
        <v>0</v>
      </c>
      <c r="AG42" s="132"/>
      <c r="AH42" s="149" t="n">
        <f aca="false">MIN(race_platinum_bonus + IF(TblMagic[[#This Row],[Active Alch Frost]]&gt;0,alch_frost_bonus,IF(Magic!AD42&gt;0,midas_bonus)) + TblImps[[#This Row],[Science]] - TblProd[[#This Row],[Guard]]*(0.02 + tech_5_7*TblTech[[#This Row],[5-7]]) + tech_1_5*TblTech[[#This Row],[1-5]] + tech_4_4*TblTech[[#This Row],[4-4]], 0.5)</f>
        <v>0.1</v>
      </c>
      <c r="AI4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2" s="149" t="n">
        <f aca="false">race_lumber_bonus+ IF(TblMagic[[#This Row],[Active Gaia''s Blessing]]&gt;0,gaias_blessing_lumber)+ tech_1_3*TblTech[[#This Row],[1-3]] + tech_1_6*TblTech[[#This Row],[1-6]] + tech_3_3*TblTech[[#This Row],[3-3]]</f>
        <v>-0.1</v>
      </c>
      <c r="AK42" s="149" t="n">
        <f aca="false">race_mana_bonus+ 0 + TblImps[[#This Row],[Towers]] + tech_1_2*TblTech[[#This Row],[1-2]] + tech_3_4*TblTech[[#This Row],[3-4]]</f>
        <v>0</v>
      </c>
      <c r="AL42" s="149" t="n">
        <f aca="false">race_ore_bonus + IF(TblMagic[[#This Row],[Active Miner''s Sight]]&gt;0,miners_sight_bonus,IF(TblMagic[[#This Row],[Active Mining Strength]]&gt;0,mining_strength_bonus)) +  tech_1_6*TblTech[[#This Row],[1-6]]</f>
        <v>0</v>
      </c>
      <c r="AM42" s="149" t="n">
        <f aca="false">race_gem_bonus+ tech_3_2*TblTech[[#This Row],[3-2]] + tech_4_3*TblTech[[#This Row],[4-3]] + tech_6_2*TblTech[[#This Row],[6-2]]</f>
        <v>0.15</v>
      </c>
      <c r="AN42" s="132"/>
      <c r="AO42" s="69" t="n">
        <f aca="false">TblProd[[#This Row],[Food]]*food_decay * (1 + tech_2_1*TblTech[[#This Row],[2-1]] + tech_2_8*TblTech[[#This Row],[2-8]])</f>
        <v>174.55</v>
      </c>
      <c r="AP42" s="69" t="n">
        <f aca="false">(1+race_food_consumption)*TblPop[[#This Row],[Total]]*food_per_person*(1+tech_1_10*TblTech[[#This Row],[1-10]]+tech_7_5*TblTech[[#This Row],[7-5]])</f>
        <v>1673.5</v>
      </c>
      <c r="AQ42" s="69" t="n">
        <f aca="false">TblProd[[#This Row],[Lumber]]*lumber_rot * (1 + tech_2_1*TblTech[[#This Row],[2-1]] + tech_2_8*TblTech[[#This Row],[2-8]] + tech_5_2*TblTech[[#This Row],[5-2]])</f>
        <v>129.58</v>
      </c>
      <c r="AR42" s="69" t="n">
        <f aca="false">TblProd[[#This Row],[Mana]]*mana_drain * (1 + tech_2_1*TblTech[[#This Row],[2-1]] + tech_2_8*TblTech[[#This Row],[2-8]])</f>
        <v>53.81</v>
      </c>
      <c r="AS42" s="146"/>
      <c r="AT42" s="69" t="n">
        <f aca="false">TblExplore[[#This Row],[Platinum (2)]]+TblConstr[[#This Row],[Total Plat Cost]]+TblMili[[#This Row],[Plat Cost]]+TblRezone[[#This Row],[Platinum cost]]+TblImps[[#This Row],[P1]]-TblProd[[#This Row],[Bank Plat]]</f>
        <v>21406</v>
      </c>
      <c r="AU42" s="69" t="n">
        <f aca="false">TblConstr[[#This Row],[Total Lum Cost]]+TblImps[[#This Row],[L1]]-TblProd[[#This Row],[Bank Lumber]] + Military!$CL$25*TblMili[[#This Row],[Sec. rec. Cost]]</f>
        <v>0</v>
      </c>
      <c r="AV42" s="69" t="n">
        <f aca="false">TblMagic[[#This Row],[Mana cost]] + Military!$CL$26*TblMili[[#This Row],[Sec. rec. Cost]]</f>
        <v>0</v>
      </c>
      <c r="AW42" s="69" t="n">
        <f aca="false">Military!$CL$24*TblMili[[#This Row],[Sec. rec. Cost]]+TblImps[[#This Row],[O1]]-TblProd[[#This Row],[Bank Ore]]</f>
        <v>0</v>
      </c>
      <c r="AX42" s="69" t="n">
        <f aca="false">TblImps[[#This Row],[G1]]-TblProd[[#This Row],[Bank Gems]]</f>
        <v>0</v>
      </c>
      <c r="AY42" s="132"/>
      <c r="AZ42" s="33" t="n">
        <f aca="false">IF(TblProd[[#This Row],[Set Guard]]&lt;&gt;"",TblProd[[#This Row],[Set Guard]],OFFSET(TblProd[[#This Row],[Guard]],-1,0))</f>
        <v>0</v>
      </c>
      <c r="BA42" s="145"/>
      <c r="BB42" s="151" t="n">
        <f aca="false">TblProd[[#This Row],[Hour]]</f>
        <v>39</v>
      </c>
      <c r="BC42" s="152" t="n">
        <f aca="false">-TblProd[[#This Row],[Bank Lumber]] / 2 + -TblProd[[#This Row],[Bank Gems]] * 2 + -TblProd[[#This Row],[Bank Ore]] / 2</f>
        <v>0</v>
      </c>
      <c r="BD42" s="152"/>
      <c r="BE42" s="152"/>
      <c r="BF42" s="152"/>
      <c r="BG42" s="153" t="n">
        <f aca="false">TblProd[[#This Row],[Time]]</f>
        <v>45431.3333333333</v>
      </c>
      <c r="BH4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69" t="n">
        <f aca="false">TblProd[[#This Row],[Platinum]]</f>
        <v>77568</v>
      </c>
      <c r="BJ42" s="69" t="n">
        <f aca="false">TblProd[[#This Row],[Food]]</f>
        <v>17455</v>
      </c>
      <c r="BK42" s="69" t="n">
        <f aca="false">TblProd[[#This Row],[Lumber]]</f>
        <v>12958</v>
      </c>
      <c r="BL42" s="69" t="n">
        <f aca="false">TblProd[[#This Row],[Mana]]</f>
        <v>2690.5</v>
      </c>
      <c r="BM42" s="69" t="n">
        <f aca="false">TblProd[[#This Row],[Ore]]</f>
        <v>0</v>
      </c>
    </row>
    <row r="43" customFormat="false" ht="12.75" hidden="false" customHeight="false" outlineLevel="0" collapsed="false">
      <c r="A43" s="128" t="n">
        <v>40</v>
      </c>
      <c r="B43" s="144" t="n">
        <f aca="false">TblImps[[#This Row],[Time]]</f>
        <v>45431.375</v>
      </c>
      <c r="C43" s="145"/>
      <c r="D43" s="146"/>
      <c r="E43" s="69" t="n">
        <f aca="false">TblConstr[[#This Row],[Land]]</f>
        <v>419</v>
      </c>
      <c r="F43" s="69" t="n">
        <f aca="false">TblPop[[#This Row],[Peasants]]</f>
        <v>6697</v>
      </c>
      <c r="G43" s="69" t="e">
        <f aca="false">TblMili[[#This Row],[Networth (2)]]</f>
        <v>#VALUE!</v>
      </c>
      <c r="H43" s="69" t="n">
        <f aca="false">OFFSET(TblProd[[#This Row],[Platinum]],-1,0)+OFFSET(TblProd[[#This Row],[Plat/hr]],-1,0) - TblProd[[#This Row],[Expenses Platinum]] + IF(TblProd[[#This Row],[Plat Bonus]],TblPop[[#This Row],[Peasants]]*4) + SUM(TblConstr[[#This Row],[Dest Hom]:[Dest Doc]])*TblConstr[[#This Row],[CPA Platinum -DB]]*tech_3_3_2*TblTech[[#This Row],[3-3]]</f>
        <v>85587</v>
      </c>
      <c r="I43" s="69" t="n">
        <f aca="false">OFFSET(TblProd[[#This Row],[Food]],-1,0)+OFFSET(TblProd[[#This Row],[Food/hr]],-1,0)+ROUNDUP((TblConstr[[#This Row],[Farms]]*80+TblConstr[[#This Row],[Docks]]*35)*(1+OFFSET(TblProd[[#This Row],[Bonus Food/hr]],-1,0)),0)</f>
        <v>16468</v>
      </c>
      <c r="J43" s="69" t="n">
        <f aca="false">OFFSET(TblProd[[#This Row],[Lumber]],-1,0)+OFFSET(TblProd[[#This Row],[Lumber/hr]],-1,0) - TblProd[[#This Row],[Expenses Lumber]] + SUM(TblConstr[[#This Row],[Dest Hom]:[Dest Doc]])*TblConstr[[#This Row],[CPA Lumber -DB]]*tech_3_3_2*TblTech[[#This Row],[3-3]]</f>
        <v>13863</v>
      </c>
      <c r="K43" s="69" t="n">
        <f aca="false">OFFSET(TblProd[[#This Row],[Mana]],-1,0)+OFFSET(TblProd[[#This Row],[Mana/hr]],-1,0)- TblProd[[#This Row],[Expenses Mana]]</f>
        <v>2039</v>
      </c>
      <c r="L43" s="69" t="n">
        <f aca="false">OFFSET(TblProd[[#This Row],[Ore]],-1,0)+OFFSET(TblProd[[#This Row],[Ore/hr]],-1,0) -TblProd[[#This Row],[Expenses Ore]]</f>
        <v>0</v>
      </c>
      <c r="M43" s="69" t="n">
        <f aca="false">OFFSET(TblProd[[#This Row],[Gems]],-1,0)+OFFSET(TblProd[[#This Row],[Gems/hr]],-1,0) - TblProd[[#This Row],[Expenses Gems]]</f>
        <v>0</v>
      </c>
      <c r="N43" s="69" t="n">
        <f aca="false">OFFSET(TblProd[[#This Row],[Boats]],-1,0)+OFFSET(TblProd[[#This Row],[Boats/hr]],-1,0)</f>
        <v>4</v>
      </c>
      <c r="O43" s="69" t="n">
        <f aca="false">OFFSET(TblProd[[#This Row],[Prestige]],-1,0)</f>
        <v>250</v>
      </c>
      <c r="P4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3" s="69" t="n">
        <f aca="false">MAX(3750,_xlfn.CEILING.MATH(TblProd[[#This Row],[Land]]*2.5+OFFSET(TblTech[[#This Row],[Sum of tech]],-1,0)*150))</f>
        <v>3750</v>
      </c>
      <c r="R43" s="132"/>
      <c r="S43" s="69" t="n">
        <f aca="false">ROUNDDOWN(TblProd[[#This Row],[Raw Plat/hr]]*(1+TblProd[[#This Row],[Bonus Plat/hr]]),0)</f>
        <v>27896</v>
      </c>
      <c r="T43" s="69" t="n">
        <f aca="false">ROUND(TblProd[[#This Row],[Raw Food/hr]]*(1+TblProd[[#This Row],[Bonus Food/hr]])-TblProd[[#This Row],[Food decay]]-TblProd[[#This Row],[Food eaten]],0)</f>
        <v>-978</v>
      </c>
      <c r="U43" s="69" t="n">
        <f aca="false">ROUND(TblProd[[#This Row],[Raw Lumber/hr]]*(1+TblProd[[#This Row],[Bonus Lumber/hr]])-TblProd[[#This Row],[Lumber rot]],0)</f>
        <v>896</v>
      </c>
      <c r="V43" s="69" t="n">
        <f aca="false">ROUND(TblProd[[#This Row],[Raw Mana/hr]]*(1+TblProd[[#This Row],[Bonus Mana/hr]])-TblProd[[#This Row],[Mana drain]],0)</f>
        <v>409</v>
      </c>
      <c r="W43" s="69" t="n">
        <f aca="false">ROUNDDOWN(TblProd[[#This Row],[Raw Ore/hr]]*(1+TblProd[[#This Row],[Bonux Ore/hr]]),0)</f>
        <v>0</v>
      </c>
      <c r="X43" s="69" t="n">
        <f aca="false">ROUNDDOWN(TblProd[[#This Row],[Raw Gems/hr]]*(1+TblProd[[#This Row],[Bonus Gems/hr]]),0)</f>
        <v>0</v>
      </c>
      <c r="Y43" s="148" t="n">
        <f aca="false">OFFSET(TblConstr[[#This Row],[Tot Doc]],1,0)*dock_boats_hr * (1 + tech_4_1*TblTech[[#This Row],[4-1]])</f>
        <v>0.25</v>
      </c>
      <c r="Z43" s="146"/>
      <c r="AA43" s="69" t="n">
        <f aca="false">TblPop[[#This Row],[Peasants]]*tax*TblPop[[#This Row],[Employment]] + (Construction!AZ44+Construction!BX44)*(alch_plat+(Magic!AM43&gt;0)*alchemist_flame_bonus)</f>
        <v>25360.5</v>
      </c>
      <c r="AB43" s="69" t="n">
        <f aca="false">TblConstr[[#This Row],[Tot Farm]]*farm_food + TblConstr[[#This Row],[Tot Doc]]*dock_food</f>
        <v>840</v>
      </c>
      <c r="AC43" s="69" t="n">
        <f aca="false">TblConstr[[#This Row],[Tot Ly]]*ly_lumber + TblConstr[[#This Row],[Tot Hav]]*fh_lumber</f>
        <v>1150</v>
      </c>
      <c r="AD43" s="69" t="n">
        <f aca="false">OFFSET(TblConstr[[#This Row],[Tot Tow]],1,0)*(tower_mana + tech_4_5*TblTech[[#This Row],[4-5]]) + OFFSET(TblConstr[[#This Row],[Tot WG]],1,0)*wg_mana_prod</f>
        <v>450</v>
      </c>
      <c r="AE43" s="69" t="n">
        <f aca="false">OFFSET(TblConstr[[#This Row],[Tot OM]],1,0)*om_ore+IF(race="Dwarf",ROUNDDOWN(TblMili[[#This Row],[Unit 2]]*0.4,0),)</f>
        <v>0</v>
      </c>
      <c r="AF43" s="69" t="n">
        <f aca="false">OFFSET(TblConstr[[#This Row],[Tot DM]],1,0)*dm_gems</f>
        <v>0</v>
      </c>
      <c r="AG43" s="132"/>
      <c r="AH43" s="149" t="n">
        <f aca="false">MIN(race_platinum_bonus + IF(TblMagic[[#This Row],[Active Alch Frost]]&gt;0,alch_frost_bonus,IF(Magic!AD43&gt;0,midas_bonus)) + TblImps[[#This Row],[Science]] - TblProd[[#This Row],[Guard]]*(0.02 + tech_5_7*TblTech[[#This Row],[5-7]]) + tech_1_5*TblTech[[#This Row],[1-5]] + tech_4_4*TblTech[[#This Row],[4-4]], 0.5)</f>
        <v>0.1</v>
      </c>
      <c r="AI4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3" s="149" t="n">
        <f aca="false">race_lumber_bonus+ IF(TblMagic[[#This Row],[Active Gaia''s Blessing]]&gt;0,gaias_blessing_lumber)+ tech_1_3*TblTech[[#This Row],[1-3]] + tech_1_6*TblTech[[#This Row],[1-6]] + tech_3_3*TblTech[[#This Row],[3-3]]</f>
        <v>-0.1</v>
      </c>
      <c r="AK43" s="149" t="n">
        <f aca="false">race_mana_bonus+ 0 + TblImps[[#This Row],[Towers]] + tech_1_2*TblTech[[#This Row],[1-2]] + tech_3_4*TblTech[[#This Row],[3-4]]</f>
        <v>0</v>
      </c>
      <c r="AL43" s="149" t="n">
        <f aca="false">race_ore_bonus + IF(TblMagic[[#This Row],[Active Miner''s Sight]]&gt;0,miners_sight_bonus,IF(TblMagic[[#This Row],[Active Mining Strength]]&gt;0,mining_strength_bonus)) +  tech_1_6*TblTech[[#This Row],[1-6]]</f>
        <v>0</v>
      </c>
      <c r="AM43" s="149" t="n">
        <f aca="false">race_gem_bonus+ tech_3_2*TblTech[[#This Row],[3-2]] + tech_4_3*TblTech[[#This Row],[4-3]] + tech_6_2*TblTech[[#This Row],[6-2]]</f>
        <v>0.15</v>
      </c>
      <c r="AN43" s="132"/>
      <c r="AO43" s="69" t="n">
        <f aca="false">TblProd[[#This Row],[Food]]*food_decay * (1 + tech_2_1*TblTech[[#This Row],[2-1]] + tech_2_8*TblTech[[#This Row],[2-8]])</f>
        <v>164.68</v>
      </c>
      <c r="AP43" s="69" t="n">
        <f aca="false">(1+race_food_consumption)*TblPop[[#This Row],[Total]]*food_per_person*(1+tech_1_10*TblTech[[#This Row],[1-10]]+tech_7_5*TblTech[[#This Row],[7-5]])</f>
        <v>1674.75</v>
      </c>
      <c r="AQ43" s="69" t="n">
        <f aca="false">TblProd[[#This Row],[Lumber]]*lumber_rot * (1 + tech_2_1*TblTech[[#This Row],[2-1]] + tech_2_8*TblTech[[#This Row],[2-8]] + tech_5_2*TblTech[[#This Row],[5-2]])</f>
        <v>138.63</v>
      </c>
      <c r="AR43" s="69" t="n">
        <f aca="false">TblProd[[#This Row],[Mana]]*mana_drain * (1 + tech_2_1*TblTech[[#This Row],[2-1]] + tech_2_8*TblTech[[#This Row],[2-8]])</f>
        <v>40.78</v>
      </c>
      <c r="AS43" s="146"/>
      <c r="AT43" s="69" t="n">
        <f aca="false">TblExplore[[#This Row],[Platinum (2)]]+TblConstr[[#This Row],[Total Plat Cost]]+TblMili[[#This Row],[Plat Cost]]+TblRezone[[#This Row],[Platinum cost]]+TblImps[[#This Row],[P1]]-TblProd[[#This Row],[Bank Plat]]</f>
        <v>19877</v>
      </c>
      <c r="AU43" s="69" t="n">
        <f aca="false">TblConstr[[#This Row],[Total Lum Cost]]+TblImps[[#This Row],[L1]]-TblProd[[#This Row],[Bank Lumber]] + Military!$CL$25*TblMili[[#This Row],[Sec. rec. Cost]]</f>
        <v>0</v>
      </c>
      <c r="AV43" s="69" t="n">
        <f aca="false">TblMagic[[#This Row],[Mana cost]] + Military!$CL$26*TblMili[[#This Row],[Sec. rec. Cost]]</f>
        <v>1047.5</v>
      </c>
      <c r="AW43" s="69" t="n">
        <f aca="false">Military!$CL$24*TblMili[[#This Row],[Sec. rec. Cost]]+TblImps[[#This Row],[O1]]-TblProd[[#This Row],[Bank Ore]]</f>
        <v>0</v>
      </c>
      <c r="AX43" s="69" t="n">
        <f aca="false">TblImps[[#This Row],[G1]]-TblProd[[#This Row],[Bank Gems]]</f>
        <v>0</v>
      </c>
      <c r="AY43" s="132"/>
      <c r="AZ43" s="33" t="n">
        <f aca="false">IF(TblProd[[#This Row],[Set Guard]]&lt;&gt;"",TblProd[[#This Row],[Set Guard]],OFFSET(TblProd[[#This Row],[Guard]],-1,0))</f>
        <v>0</v>
      </c>
      <c r="BA43" s="145"/>
      <c r="BB43" s="151" t="n">
        <f aca="false">TblProd[[#This Row],[Hour]]</f>
        <v>40</v>
      </c>
      <c r="BC43" s="152" t="n">
        <f aca="false">-TblProd[[#This Row],[Bank Lumber]] / 2 + -TblProd[[#This Row],[Bank Gems]] * 2 + -TblProd[[#This Row],[Bank Ore]] / 2</f>
        <v>0</v>
      </c>
      <c r="BD43" s="152"/>
      <c r="BE43" s="152"/>
      <c r="BF43" s="152"/>
      <c r="BG43" s="153" t="n">
        <f aca="false">TblProd[[#This Row],[Time]]</f>
        <v>45431.375</v>
      </c>
      <c r="BH4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69" t="n">
        <f aca="false">TblProd[[#This Row],[Platinum]]</f>
        <v>85587</v>
      </c>
      <c r="BJ43" s="69" t="n">
        <f aca="false">TblProd[[#This Row],[Food]]</f>
        <v>16468</v>
      </c>
      <c r="BK43" s="69" t="n">
        <f aca="false">TblProd[[#This Row],[Lumber]]</f>
        <v>13863</v>
      </c>
      <c r="BL43" s="69" t="n">
        <f aca="false">TblProd[[#This Row],[Mana]]</f>
        <v>2039</v>
      </c>
      <c r="BM43" s="69" t="n">
        <f aca="false">TblProd[[#This Row],[Ore]]</f>
        <v>0</v>
      </c>
    </row>
    <row r="44" customFormat="false" ht="12.75" hidden="false" customHeight="false" outlineLevel="0" collapsed="false">
      <c r="A44" s="128" t="n">
        <v>41</v>
      </c>
      <c r="B44" s="144" t="n">
        <f aca="false">TblImps[[#This Row],[Time]]</f>
        <v>45431.4166666667</v>
      </c>
      <c r="C44" s="145"/>
      <c r="D44" s="146"/>
      <c r="E44" s="69" t="n">
        <f aca="false">TblConstr[[#This Row],[Land]]</f>
        <v>501</v>
      </c>
      <c r="F44" s="69" t="n">
        <f aca="false">TblPop[[#This Row],[Peasants]]</f>
        <v>7040</v>
      </c>
      <c r="G44" s="69" t="e">
        <f aca="false">TblMili[[#This Row],[Networth (2)]]</f>
        <v>#VALUE!</v>
      </c>
      <c r="H44" s="69" t="n">
        <f aca="false">OFFSET(TblProd[[#This Row],[Platinum]],-1,0)+OFFSET(TblProd[[#This Row],[Plat/hr]],-1,0) - TblProd[[#This Row],[Expenses Platinum]] + IF(TblProd[[#This Row],[Plat Bonus]],TblPop[[#This Row],[Peasants]]*4) + SUM(TblConstr[[#This Row],[Dest Hom]:[Dest Doc]])*TblConstr[[#This Row],[CPA Platinum -DB]]*tech_3_3_2*TblTech[[#This Row],[3-3]]</f>
        <v>54134</v>
      </c>
      <c r="I44" s="69" t="n">
        <f aca="false">OFFSET(TblProd[[#This Row],[Food]],-1,0)+OFFSET(TblProd[[#This Row],[Food/hr]],-1,0)+ROUNDUP((TblConstr[[#This Row],[Farms]]*80+TblConstr[[#This Row],[Docks]]*35)*(1+OFFSET(TblProd[[#This Row],[Bonus Food/hr]],-1,0)),0)</f>
        <v>15490</v>
      </c>
      <c r="J44" s="69" t="n">
        <f aca="false">OFFSET(TblProd[[#This Row],[Lumber]],-1,0)+OFFSET(TblProd[[#This Row],[Lumber/hr]],-1,0) - TblProd[[#This Row],[Expenses Lumber]] + SUM(TblConstr[[#This Row],[Dest Hom]:[Dest Doc]])*TblConstr[[#This Row],[CPA Lumber -DB]]*tech_3_3_2*TblTech[[#This Row],[3-3]]</f>
        <v>8281</v>
      </c>
      <c r="K44" s="69" t="n">
        <f aca="false">OFFSET(TblProd[[#This Row],[Mana]],-1,0)+OFFSET(TblProd[[#This Row],[Mana/hr]],-1,0)- TblProd[[#This Row],[Expenses Mana]]</f>
        <v>2448</v>
      </c>
      <c r="L44" s="69" t="n">
        <f aca="false">OFFSET(TblProd[[#This Row],[Ore]],-1,0)+OFFSET(TblProd[[#This Row],[Ore/hr]],-1,0) -TblProd[[#This Row],[Expenses Ore]]</f>
        <v>0</v>
      </c>
      <c r="M44" s="69" t="n">
        <f aca="false">OFFSET(TblProd[[#This Row],[Gems]],-1,0)+OFFSET(TblProd[[#This Row],[Gems/hr]],-1,0) - TblProd[[#This Row],[Expenses Gems]]</f>
        <v>0</v>
      </c>
      <c r="N44" s="69" t="n">
        <f aca="false">OFFSET(TblProd[[#This Row],[Boats]],-1,0)+OFFSET(TblProd[[#This Row],[Boats/hr]],-1,0)</f>
        <v>4.25</v>
      </c>
      <c r="O44" s="69" t="n">
        <f aca="false">OFFSET(TblProd[[#This Row],[Prestige]],-1,0)</f>
        <v>250</v>
      </c>
      <c r="P4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4" s="69" t="n">
        <f aca="false">MAX(3750,_xlfn.CEILING.MATH(TblProd[[#This Row],[Land]]*2.5+OFFSET(TblTech[[#This Row],[Sum of tech]],-1,0)*150))</f>
        <v>3750</v>
      </c>
      <c r="R44" s="132"/>
      <c r="S44" s="69" t="n">
        <f aca="false">ROUNDDOWN(TblProd[[#This Row],[Raw Plat/hr]]*(1+TblProd[[#This Row],[Bonus Plat/hr]]),0)</f>
        <v>34051</v>
      </c>
      <c r="T44" s="69" t="n">
        <f aca="false">ROUND(TblProd[[#This Row],[Raw Food/hr]]*(1+TblProd[[#This Row],[Bonus Food/hr]])-TblProd[[#This Row],[Food decay]]-TblProd[[#This Row],[Food eaten]],0)</f>
        <v>-1055</v>
      </c>
      <c r="U44" s="69" t="n">
        <f aca="false">ROUND(TblProd[[#This Row],[Raw Lumber/hr]]*(1+TblProd[[#This Row],[Bonus Lumber/hr]])-TblProd[[#This Row],[Lumber rot]],0)</f>
        <v>952</v>
      </c>
      <c r="V44" s="69" t="n">
        <f aca="false">ROUND(TblProd[[#This Row],[Raw Mana/hr]]*(1+TblProd[[#This Row],[Bonus Mana/hr]])-TblProd[[#This Row],[Mana drain]],0)</f>
        <v>401</v>
      </c>
      <c r="W44" s="69" t="n">
        <f aca="false">ROUNDDOWN(TblProd[[#This Row],[Raw Ore/hr]]*(1+TblProd[[#This Row],[Bonux Ore/hr]]),0)</f>
        <v>0</v>
      </c>
      <c r="X44" s="69" t="n">
        <f aca="false">ROUNDDOWN(TblProd[[#This Row],[Raw Gems/hr]]*(1+TblProd[[#This Row],[Bonus Gems/hr]]),0)</f>
        <v>0</v>
      </c>
      <c r="Y44" s="148" t="n">
        <f aca="false">OFFSET(TblConstr[[#This Row],[Tot Doc]],1,0)*dock_boats_hr * (1 + tech_4_1*TblTech[[#This Row],[4-1]])</f>
        <v>0.5</v>
      </c>
      <c r="Z44" s="146"/>
      <c r="AA44" s="69" t="n">
        <f aca="false">TblPop[[#This Row],[Peasants]]*tax*TblPop[[#This Row],[Employment]] + (Construction!AZ45+Construction!BX45)*(alch_plat+(Magic!AM44&gt;0)*alchemist_flame_bonus)</f>
        <v>30956</v>
      </c>
      <c r="AB44" s="69" t="n">
        <f aca="false">TblConstr[[#This Row],[Tot Farm]]*farm_food + TblConstr[[#This Row],[Tot Doc]]*dock_food</f>
        <v>840</v>
      </c>
      <c r="AC44" s="69" t="n">
        <f aca="false">TblConstr[[#This Row],[Tot Ly]]*ly_lumber + TblConstr[[#This Row],[Tot Hav]]*fh_lumber</f>
        <v>1150</v>
      </c>
      <c r="AD44" s="69" t="n">
        <f aca="false">OFFSET(TblConstr[[#This Row],[Tot Tow]],1,0)*(tower_mana + tech_4_5*TblTech[[#This Row],[4-5]]) + OFFSET(TblConstr[[#This Row],[Tot WG]],1,0)*wg_mana_prod</f>
        <v>450</v>
      </c>
      <c r="AE44" s="69" t="n">
        <f aca="false">OFFSET(TblConstr[[#This Row],[Tot OM]],1,0)*om_ore+IF(race="Dwarf",ROUNDDOWN(TblMili[[#This Row],[Unit 2]]*0.4,0),)</f>
        <v>0</v>
      </c>
      <c r="AF44" s="69" t="n">
        <f aca="false">OFFSET(TblConstr[[#This Row],[Tot DM]],1,0)*dm_gems</f>
        <v>0</v>
      </c>
      <c r="AG44" s="132"/>
      <c r="AH44" s="149" t="n">
        <f aca="false">MIN(race_platinum_bonus + IF(TblMagic[[#This Row],[Active Alch Frost]]&gt;0,alch_frost_bonus,IF(Magic!AD44&gt;0,midas_bonus)) + TblImps[[#This Row],[Science]] - TblProd[[#This Row],[Guard]]*(0.02 + tech_5_7*TblTech[[#This Row],[5-7]]) + tech_1_5*TblTech[[#This Row],[1-5]] + tech_4_4*TblTech[[#This Row],[4-4]], 0.5)</f>
        <v>0.1</v>
      </c>
      <c r="AI4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4" s="149" t="n">
        <f aca="false">race_lumber_bonus+ IF(TblMagic[[#This Row],[Active Gaia''s Blessing]]&gt;0,gaias_blessing_lumber)+ tech_1_3*TblTech[[#This Row],[1-3]] + tech_1_6*TblTech[[#This Row],[1-6]] + tech_3_3*TblTech[[#This Row],[3-3]]</f>
        <v>-0.1</v>
      </c>
      <c r="AK44" s="149" t="n">
        <f aca="false">race_mana_bonus+ 0 + TblImps[[#This Row],[Towers]] + tech_1_2*TblTech[[#This Row],[1-2]] + tech_3_4*TblTech[[#This Row],[3-4]]</f>
        <v>0</v>
      </c>
      <c r="AL44" s="149" t="n">
        <f aca="false">race_ore_bonus + IF(TblMagic[[#This Row],[Active Miner''s Sight]]&gt;0,miners_sight_bonus,IF(TblMagic[[#This Row],[Active Mining Strength]]&gt;0,mining_strength_bonus)) +  tech_1_6*TblTech[[#This Row],[1-6]]</f>
        <v>0</v>
      </c>
      <c r="AM44" s="149" t="n">
        <f aca="false">race_gem_bonus+ tech_3_2*TblTech[[#This Row],[3-2]] + tech_4_3*TblTech[[#This Row],[4-3]] + tech_6_2*TblTech[[#This Row],[6-2]]</f>
        <v>0.15</v>
      </c>
      <c r="AN44" s="132"/>
      <c r="AO44" s="69" t="n">
        <f aca="false">TblProd[[#This Row],[Food]]*food_decay * (1 + tech_2_1*TblTech[[#This Row],[2-1]] + tech_2_8*TblTech[[#This Row],[2-8]])</f>
        <v>154.9</v>
      </c>
      <c r="AP44" s="69" t="n">
        <f aca="false">(1+race_food_consumption)*TblPop[[#This Row],[Total]]*food_per_person*(1+tech_1_10*TblTech[[#This Row],[1-10]]+tech_7_5*TblTech[[#This Row],[7-5]])</f>
        <v>1760.75</v>
      </c>
      <c r="AQ44" s="69" t="n">
        <f aca="false">TblProd[[#This Row],[Lumber]]*lumber_rot * (1 + tech_2_1*TblTech[[#This Row],[2-1]] + tech_2_8*TblTech[[#This Row],[2-8]] + tech_5_2*TblTech[[#This Row],[5-2]])</f>
        <v>82.81</v>
      </c>
      <c r="AR44" s="69" t="n">
        <f aca="false">TblProd[[#This Row],[Mana]]*mana_drain * (1 + tech_2_1*TblTech[[#This Row],[2-1]] + tech_2_8*TblTech[[#This Row],[2-8]])</f>
        <v>48.96</v>
      </c>
      <c r="AS44" s="146"/>
      <c r="AT44" s="69" t="n">
        <f aca="false">TblExplore[[#This Row],[Platinum (2)]]+TblConstr[[#This Row],[Total Plat Cost]]+TblMili[[#This Row],[Plat Cost]]+TblRezone[[#This Row],[Platinum cost]]+TblImps[[#This Row],[P1]]-TblProd[[#This Row],[Bank Plat]]</f>
        <v>59349</v>
      </c>
      <c r="AU44" s="69" t="n">
        <f aca="false">TblConstr[[#This Row],[Total Lum Cost]]+TblImps[[#This Row],[L1]]-TblProd[[#This Row],[Bank Lumber]] + Military!$CL$25*TblMili[[#This Row],[Sec. rec. Cost]]</f>
        <v>6478</v>
      </c>
      <c r="AV44" s="69" t="n">
        <f aca="false">TblMagic[[#This Row],[Mana cost]] + Military!$CL$26*TblMili[[#This Row],[Sec. rec. Cost]]</f>
        <v>0</v>
      </c>
      <c r="AW44" s="69" t="n">
        <f aca="false">Military!$CL$24*TblMili[[#This Row],[Sec. rec. Cost]]+TblImps[[#This Row],[O1]]-TblProd[[#This Row],[Bank Ore]]</f>
        <v>0</v>
      </c>
      <c r="AX44" s="69" t="n">
        <f aca="false">TblImps[[#This Row],[G1]]-TblProd[[#This Row],[Bank Gems]]</f>
        <v>0</v>
      </c>
      <c r="AY44" s="132"/>
      <c r="AZ44" s="33" t="n">
        <f aca="false">IF(TblProd[[#This Row],[Set Guard]]&lt;&gt;"",TblProd[[#This Row],[Set Guard]],OFFSET(TblProd[[#This Row],[Guard]],-1,0))</f>
        <v>0</v>
      </c>
      <c r="BA44" s="145"/>
      <c r="BB44" s="151" t="n">
        <f aca="false">TblProd[[#This Row],[Hour]]</f>
        <v>41</v>
      </c>
      <c r="BC44" s="152" t="n">
        <f aca="false">-TblProd[[#This Row],[Bank Lumber]] / 2 + -TblProd[[#This Row],[Bank Gems]] * 2 + -TblProd[[#This Row],[Bank Ore]] / 2</f>
        <v>0</v>
      </c>
      <c r="BD44" s="152"/>
      <c r="BE44" s="152"/>
      <c r="BF44" s="152"/>
      <c r="BG44" s="153" t="n">
        <f aca="false">TblProd[[#This Row],[Time]]</f>
        <v>45431.4166666667</v>
      </c>
      <c r="BH4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69" t="n">
        <f aca="false">TblProd[[#This Row],[Platinum]]</f>
        <v>54134</v>
      </c>
      <c r="BJ44" s="69" t="n">
        <f aca="false">TblProd[[#This Row],[Food]]</f>
        <v>15490</v>
      </c>
      <c r="BK44" s="69" t="n">
        <f aca="false">TblProd[[#This Row],[Lumber]]</f>
        <v>8281</v>
      </c>
      <c r="BL44" s="69" t="n">
        <f aca="false">TblProd[[#This Row],[Mana]]</f>
        <v>2448</v>
      </c>
      <c r="BM44" s="69" t="n">
        <f aca="false">TblProd[[#This Row],[Ore]]</f>
        <v>0</v>
      </c>
    </row>
    <row r="45" customFormat="false" ht="12.75" hidden="false" customHeight="false" outlineLevel="0" collapsed="false">
      <c r="A45" s="128" t="n">
        <v>42</v>
      </c>
      <c r="B45" s="144" t="n">
        <f aca="false">TblImps[[#This Row],[Time]]</f>
        <v>45431.4583333333</v>
      </c>
      <c r="C45" s="145"/>
      <c r="D45" s="146"/>
      <c r="E45" s="69" t="n">
        <f aca="false">TblConstr[[#This Row],[Land]]</f>
        <v>510</v>
      </c>
      <c r="F45" s="69" t="n">
        <f aca="false">TblPop[[#This Row],[Peasants]]</f>
        <v>7399</v>
      </c>
      <c r="G45" s="69" t="e">
        <f aca="false">TblMili[[#This Row],[Networth (2)]]</f>
        <v>#VALUE!</v>
      </c>
      <c r="H45" s="69" t="n">
        <f aca="false">OFFSET(TblProd[[#This Row],[Platinum]],-1,0)+OFFSET(TblProd[[#This Row],[Plat/hr]],-1,0) - TblProd[[#This Row],[Expenses Platinum]] + IF(TblProd[[#This Row],[Plat Bonus]],TblPop[[#This Row],[Peasants]]*4) + SUM(TblConstr[[#This Row],[Dest Hom]:[Dest Doc]])*TblConstr[[#This Row],[CPA Platinum -DB]]*tech_3_3_2*TblTech[[#This Row],[3-3]]</f>
        <v>60267</v>
      </c>
      <c r="I45" s="69" t="n">
        <f aca="false">OFFSET(TblProd[[#This Row],[Food]],-1,0)+OFFSET(TblProd[[#This Row],[Food/hr]],-1,0)+ROUNDUP((TblConstr[[#This Row],[Farms]]*80+TblConstr[[#This Row],[Docks]]*35)*(1+OFFSET(TblProd[[#This Row],[Bonus Food/hr]],-1,0)),0)</f>
        <v>14861</v>
      </c>
      <c r="J45" s="69" t="n">
        <f aca="false">OFFSET(TblProd[[#This Row],[Lumber]],-1,0)+OFFSET(TblProd[[#This Row],[Lumber/hr]],-1,0) - TblProd[[#This Row],[Expenses Lumber]] + SUM(TblConstr[[#This Row],[Dest Hom]:[Dest Doc]])*TblConstr[[#This Row],[CPA Lumber -DB]]*tech_3_3_2*TblTech[[#This Row],[3-3]]</f>
        <v>8504</v>
      </c>
      <c r="K45" s="69" t="n">
        <f aca="false">OFFSET(TblProd[[#This Row],[Mana]],-1,0)+OFFSET(TblProd[[#This Row],[Mana/hr]],-1,0)- TblProd[[#This Row],[Expenses Mana]]</f>
        <v>2849</v>
      </c>
      <c r="L45" s="69" t="n">
        <f aca="false">OFFSET(TblProd[[#This Row],[Ore]],-1,0)+OFFSET(TblProd[[#This Row],[Ore/hr]],-1,0) -TblProd[[#This Row],[Expenses Ore]]</f>
        <v>0</v>
      </c>
      <c r="M45" s="69" t="n">
        <f aca="false">OFFSET(TblProd[[#This Row],[Gems]],-1,0)+OFFSET(TblProd[[#This Row],[Gems/hr]],-1,0) - TblProd[[#This Row],[Expenses Gems]]</f>
        <v>0</v>
      </c>
      <c r="N45" s="69" t="n">
        <f aca="false">OFFSET(TblProd[[#This Row],[Boats]],-1,0)+OFFSET(TblProd[[#This Row],[Boats/hr]],-1,0)</f>
        <v>4.75</v>
      </c>
      <c r="O45" s="69" t="n">
        <f aca="false">OFFSET(TblProd[[#This Row],[Prestige]],-1,0)</f>
        <v>250</v>
      </c>
      <c r="P4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5" s="69" t="n">
        <f aca="false">MAX(3750,_xlfn.CEILING.MATH(TblProd[[#This Row],[Land]]*2.5+OFFSET(TblTech[[#This Row],[Sum of tech]],-1,0)*150))</f>
        <v>3750</v>
      </c>
      <c r="R45" s="132"/>
      <c r="S45" s="69" t="n">
        <f aca="false">ROUNDDOWN(TblProd[[#This Row],[Raw Plat/hr]]*(1+TblProd[[#This Row],[Bonus Plat/hr]]),0)</f>
        <v>35755</v>
      </c>
      <c r="T45" s="69" t="n">
        <f aca="false">ROUND(TblProd[[#This Row],[Raw Food/hr]]*(1+TblProd[[#This Row],[Bonus Food/hr]])-TblProd[[#This Row],[Food decay]]-TblProd[[#This Row],[Food eaten]],0)</f>
        <v>-687</v>
      </c>
      <c r="U45" s="69" t="n">
        <f aca="false">ROUND(TblProd[[#This Row],[Raw Lumber/hr]]*(1+TblProd[[#This Row],[Bonus Lumber/hr]])-TblProd[[#This Row],[Lumber rot]],0)</f>
        <v>1040</v>
      </c>
      <c r="V45" s="69" t="n">
        <f aca="false">ROUND(TblProd[[#This Row],[Raw Mana/hr]]*(1+TblProd[[#This Row],[Bonus Mana/hr]])-TblProd[[#This Row],[Mana drain]],0)</f>
        <v>393</v>
      </c>
      <c r="W45" s="69" t="n">
        <f aca="false">ROUNDDOWN(TblProd[[#This Row],[Raw Ore/hr]]*(1+TblProd[[#This Row],[Bonux Ore/hr]]),0)</f>
        <v>0</v>
      </c>
      <c r="X45" s="69" t="n">
        <f aca="false">ROUNDDOWN(TblProd[[#This Row],[Raw Gems/hr]]*(1+TblProd[[#This Row],[Bonus Gems/hr]]),0)</f>
        <v>0</v>
      </c>
      <c r="Y45" s="148" t="n">
        <f aca="false">OFFSET(TblConstr[[#This Row],[Tot Doc]],1,0)*dock_boats_hr * (1 + tech_4_1*TblTech[[#This Row],[4-1]])</f>
        <v>0.5</v>
      </c>
      <c r="Z45" s="146"/>
      <c r="AA45" s="69" t="n">
        <f aca="false">TblPop[[#This Row],[Peasants]]*tax*TblPop[[#This Row],[Employment]] + (Construction!AZ46+Construction!BX46)*(alch_plat+(Magic!AM45&gt;0)*alchemist_flame_bonus)</f>
        <v>32505.3</v>
      </c>
      <c r="AB45" s="69" t="n">
        <f aca="false">TblConstr[[#This Row],[Tot Farm]]*farm_food + TblConstr[[#This Row],[Tot Doc]]*dock_food</f>
        <v>1280</v>
      </c>
      <c r="AC45" s="69" t="n">
        <f aca="false">TblConstr[[#This Row],[Tot Ly]]*ly_lumber + TblConstr[[#This Row],[Tot Hav]]*fh_lumber</f>
        <v>1250</v>
      </c>
      <c r="AD45" s="69" t="n">
        <f aca="false">OFFSET(TblConstr[[#This Row],[Tot Tow]],1,0)*(tower_mana + tech_4_5*TblTech[[#This Row],[4-5]]) + OFFSET(TblConstr[[#This Row],[Tot WG]],1,0)*wg_mana_prod</f>
        <v>450</v>
      </c>
      <c r="AE45" s="69" t="n">
        <f aca="false">OFFSET(TblConstr[[#This Row],[Tot OM]],1,0)*om_ore+IF(race="Dwarf",ROUNDDOWN(TblMili[[#This Row],[Unit 2]]*0.4,0),)</f>
        <v>0</v>
      </c>
      <c r="AF45" s="69" t="n">
        <f aca="false">OFFSET(TblConstr[[#This Row],[Tot DM]],1,0)*dm_gems</f>
        <v>0</v>
      </c>
      <c r="AG45" s="132"/>
      <c r="AH45" s="149" t="n">
        <f aca="false">MIN(race_platinum_bonus + IF(TblMagic[[#This Row],[Active Alch Frost]]&gt;0,alch_frost_bonus,IF(Magic!AD45&gt;0,midas_bonus)) + TblImps[[#This Row],[Science]] - TblProd[[#This Row],[Guard]]*(0.02 + tech_5_7*TblTech[[#This Row],[5-7]]) + tech_1_5*TblTech[[#This Row],[1-5]] + tech_4_4*TblTech[[#This Row],[4-4]], 0.5)</f>
        <v>0.1</v>
      </c>
      <c r="AI4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5" s="149" t="n">
        <f aca="false">race_lumber_bonus+ IF(TblMagic[[#This Row],[Active Gaia''s Blessing]]&gt;0,gaias_blessing_lumber)+ tech_1_3*TblTech[[#This Row],[1-3]] + tech_1_6*TblTech[[#This Row],[1-6]] + tech_3_3*TblTech[[#This Row],[3-3]]</f>
        <v>-0.1</v>
      </c>
      <c r="AK45" s="149" t="n">
        <f aca="false">race_mana_bonus+ 0 + TblImps[[#This Row],[Towers]] + tech_1_2*TblTech[[#This Row],[1-2]] + tech_3_4*TblTech[[#This Row],[3-4]]</f>
        <v>0</v>
      </c>
      <c r="AL45" s="149" t="n">
        <f aca="false">race_ore_bonus + IF(TblMagic[[#This Row],[Active Miner''s Sight]]&gt;0,miners_sight_bonus,IF(TblMagic[[#This Row],[Active Mining Strength]]&gt;0,mining_strength_bonus)) +  tech_1_6*TblTech[[#This Row],[1-6]]</f>
        <v>0</v>
      </c>
      <c r="AM45" s="149" t="n">
        <f aca="false">race_gem_bonus+ tech_3_2*TblTech[[#This Row],[3-2]] + tech_4_3*TblTech[[#This Row],[4-3]] + tech_6_2*TblTech[[#This Row],[6-2]]</f>
        <v>0.15</v>
      </c>
      <c r="AN45" s="132"/>
      <c r="AO45" s="69" t="n">
        <f aca="false">TblProd[[#This Row],[Food]]*food_decay * (1 + tech_2_1*TblTech[[#This Row],[2-1]] + tech_2_8*TblTech[[#This Row],[2-8]])</f>
        <v>148.61</v>
      </c>
      <c r="AP45" s="69" t="n">
        <f aca="false">(1+race_food_consumption)*TblPop[[#This Row],[Total]]*food_per_person*(1+tech_1_10*TblTech[[#This Row],[1-10]]+tech_7_5*TblTech[[#This Row],[7-5]])</f>
        <v>1850</v>
      </c>
      <c r="AQ45" s="69" t="n">
        <f aca="false">TblProd[[#This Row],[Lumber]]*lumber_rot * (1 + tech_2_1*TblTech[[#This Row],[2-1]] + tech_2_8*TblTech[[#This Row],[2-8]] + tech_5_2*TblTech[[#This Row],[5-2]])</f>
        <v>85.04</v>
      </c>
      <c r="AR45" s="69" t="n">
        <f aca="false">TblProd[[#This Row],[Mana]]*mana_drain * (1 + tech_2_1*TblTech[[#This Row],[2-1]] + tech_2_8*TblTech[[#This Row],[2-8]])</f>
        <v>56.98</v>
      </c>
      <c r="AS45" s="146"/>
      <c r="AT45" s="69" t="n">
        <f aca="false">TblExplore[[#This Row],[Platinum (2)]]+TblConstr[[#This Row],[Total Plat Cost]]+TblMili[[#This Row],[Plat Cost]]+TblRezone[[#This Row],[Platinum cost]]+TblImps[[#This Row],[P1]]-TblProd[[#This Row],[Bank Plat]]</f>
        <v>27918</v>
      </c>
      <c r="AU45" s="69" t="n">
        <f aca="false">TblConstr[[#This Row],[Total Lum Cost]]+TblImps[[#This Row],[L1]]-TblProd[[#This Row],[Bank Lumber]] + Military!$CL$25*TblMili[[#This Row],[Sec. rec. Cost]]</f>
        <v>729</v>
      </c>
      <c r="AV45" s="69" t="n">
        <f aca="false">TblMagic[[#This Row],[Mana cost]] + Military!$CL$26*TblMili[[#This Row],[Sec. rec. Cost]]</f>
        <v>0</v>
      </c>
      <c r="AW45" s="69" t="n">
        <f aca="false">Military!$CL$24*TblMili[[#This Row],[Sec. rec. Cost]]+TblImps[[#This Row],[O1]]-TblProd[[#This Row],[Bank Ore]]</f>
        <v>0</v>
      </c>
      <c r="AX45" s="69" t="n">
        <f aca="false">TblImps[[#This Row],[G1]]-TblProd[[#This Row],[Bank Gems]]</f>
        <v>0</v>
      </c>
      <c r="AY45" s="132"/>
      <c r="AZ45" s="33" t="n">
        <f aca="false">IF(TblProd[[#This Row],[Set Guard]]&lt;&gt;"",TblProd[[#This Row],[Set Guard]],OFFSET(TblProd[[#This Row],[Guard]],-1,0))</f>
        <v>0</v>
      </c>
      <c r="BA45" s="145"/>
      <c r="BB45" s="151" t="n">
        <f aca="false">TblProd[[#This Row],[Hour]]</f>
        <v>42</v>
      </c>
      <c r="BC45" s="152" t="n">
        <f aca="false">-TblProd[[#This Row],[Bank Lumber]] / 2 + -TblProd[[#This Row],[Bank Gems]] * 2 + -TblProd[[#This Row],[Bank Ore]] / 2</f>
        <v>0</v>
      </c>
      <c r="BD45" s="152"/>
      <c r="BE45" s="152"/>
      <c r="BF45" s="152"/>
      <c r="BG45" s="153" t="n">
        <f aca="false">TblProd[[#This Row],[Time]]</f>
        <v>45431.4583333333</v>
      </c>
      <c r="BH4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69" t="n">
        <f aca="false">TblProd[[#This Row],[Platinum]]</f>
        <v>60267</v>
      </c>
      <c r="BJ45" s="69" t="n">
        <f aca="false">TblProd[[#This Row],[Food]]</f>
        <v>14861</v>
      </c>
      <c r="BK45" s="69" t="n">
        <f aca="false">TblProd[[#This Row],[Lumber]]</f>
        <v>8504</v>
      </c>
      <c r="BL45" s="69" t="n">
        <f aca="false">TblProd[[#This Row],[Mana]]</f>
        <v>2849</v>
      </c>
      <c r="BM45" s="69" t="n">
        <f aca="false">TblProd[[#This Row],[Ore]]</f>
        <v>0</v>
      </c>
    </row>
    <row r="46" customFormat="false" ht="12.75" hidden="false" customHeight="false" outlineLevel="0" collapsed="false">
      <c r="A46" s="128" t="n">
        <v>43</v>
      </c>
      <c r="B46" s="144" t="n">
        <f aca="false">TblImps[[#This Row],[Time]]</f>
        <v>45431.5</v>
      </c>
      <c r="C46" s="145"/>
      <c r="D46" s="146"/>
      <c r="E46" s="69" t="n">
        <f aca="false">TblConstr[[#This Row],[Land]]</f>
        <v>520</v>
      </c>
      <c r="F46" s="69" t="n">
        <f aca="false">TblPop[[#This Row],[Peasants]]</f>
        <v>7774</v>
      </c>
      <c r="G46" s="69" t="e">
        <f aca="false">TblMili[[#This Row],[Networth (2)]]</f>
        <v>#VALUE!</v>
      </c>
      <c r="H46" s="69" t="n">
        <f aca="false">OFFSET(TblProd[[#This Row],[Platinum]],-1,0)+OFFSET(TblProd[[#This Row],[Plat/hr]],-1,0) - TblProd[[#This Row],[Expenses Platinum]] + IF(TblProd[[#This Row],[Plat Bonus]],TblPop[[#This Row],[Peasants]]*4) + SUM(TblConstr[[#This Row],[Dest Hom]:[Dest Doc]])*TblConstr[[#This Row],[CPA Platinum -DB]]*tech_3_3_2*TblTech[[#This Row],[3-3]]</f>
        <v>75080</v>
      </c>
      <c r="I46" s="69" t="n">
        <f aca="false">OFFSET(TblProd[[#This Row],[Food]],-1,0)+OFFSET(TblProd[[#This Row],[Food/hr]],-1,0)+ROUNDUP((TblConstr[[#This Row],[Farms]]*80+TblConstr[[#This Row],[Docks]]*35)*(1+OFFSET(TblProd[[#This Row],[Bonus Food/hr]],-1,0)),0)</f>
        <v>14174</v>
      </c>
      <c r="J46" s="69" t="n">
        <f aca="false">OFFSET(TblProd[[#This Row],[Lumber]],-1,0)+OFFSET(TblProd[[#This Row],[Lumber/hr]],-1,0) - TblProd[[#This Row],[Expenses Lumber]] + SUM(TblConstr[[#This Row],[Dest Hom]:[Dest Doc]])*TblConstr[[#This Row],[CPA Lumber -DB]]*tech_3_3_2*TblTech[[#This Row],[3-3]]</f>
        <v>8724</v>
      </c>
      <c r="K46" s="69" t="n">
        <f aca="false">OFFSET(TblProd[[#This Row],[Mana]],-1,0)+OFFSET(TblProd[[#This Row],[Mana/hr]],-1,0)- TblProd[[#This Row],[Expenses Mana]]</f>
        <v>3242</v>
      </c>
      <c r="L46" s="69" t="n">
        <f aca="false">OFFSET(TblProd[[#This Row],[Ore]],-1,0)+OFFSET(TblProd[[#This Row],[Ore/hr]],-1,0) -TblProd[[#This Row],[Expenses Ore]]</f>
        <v>0</v>
      </c>
      <c r="M46" s="69" t="n">
        <f aca="false">OFFSET(TblProd[[#This Row],[Gems]],-1,0)+OFFSET(TblProd[[#This Row],[Gems/hr]],-1,0) - TblProd[[#This Row],[Expenses Gems]]</f>
        <v>0</v>
      </c>
      <c r="N46" s="69" t="n">
        <f aca="false">OFFSET(TblProd[[#This Row],[Boats]],-1,0)+OFFSET(TblProd[[#This Row],[Boats/hr]],-1,0)</f>
        <v>5.25</v>
      </c>
      <c r="O46" s="69" t="n">
        <f aca="false">OFFSET(TblProd[[#This Row],[Prestige]],-1,0)</f>
        <v>250</v>
      </c>
      <c r="P4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6" s="69" t="n">
        <f aca="false">MAX(3750,_xlfn.CEILING.MATH(TblProd[[#This Row],[Land]]*2.5+OFFSET(TblTech[[#This Row],[Sum of tech]],-1,0)*150))</f>
        <v>3750</v>
      </c>
      <c r="R46" s="132"/>
      <c r="S46" s="69" t="n">
        <f aca="false">ROUNDDOWN(TblProd[[#This Row],[Raw Plat/hr]]*(1+TblProd[[#This Row],[Bonus Plat/hr]]),0)</f>
        <v>37507</v>
      </c>
      <c r="T46" s="69" t="n">
        <f aca="false">ROUND(TblProd[[#This Row],[Raw Food/hr]]*(1+TblProd[[#This Row],[Bonus Food/hr]])-TblProd[[#This Row],[Food decay]]-TblProd[[#This Row],[Food eaten]],0)</f>
        <v>-780</v>
      </c>
      <c r="U46" s="69" t="n">
        <f aca="false">ROUND(TblProd[[#This Row],[Raw Lumber/hr]]*(1+TblProd[[#This Row],[Bonus Lumber/hr]])-TblProd[[#This Row],[Lumber rot]],0)</f>
        <v>1038</v>
      </c>
      <c r="V46" s="69" t="n">
        <f aca="false">ROUND(TblProd[[#This Row],[Raw Mana/hr]]*(1+TblProd[[#This Row],[Bonus Mana/hr]])-TblProd[[#This Row],[Mana drain]],0)</f>
        <v>410</v>
      </c>
      <c r="W46" s="69" t="n">
        <f aca="false">ROUNDDOWN(TblProd[[#This Row],[Raw Ore/hr]]*(1+TblProd[[#This Row],[Bonux Ore/hr]]),0)</f>
        <v>0</v>
      </c>
      <c r="X46" s="69" t="n">
        <f aca="false">ROUNDDOWN(TblProd[[#This Row],[Raw Gems/hr]]*(1+TblProd[[#This Row],[Bonus Gems/hr]]),0)</f>
        <v>0</v>
      </c>
      <c r="Y46" s="148" t="n">
        <f aca="false">OFFSET(TblConstr[[#This Row],[Tot Doc]],1,0)*dock_boats_hr * (1 + tech_4_1*TblTech[[#This Row],[4-1]])</f>
        <v>0.5</v>
      </c>
      <c r="Z46" s="146"/>
      <c r="AA46" s="69" t="n">
        <f aca="false">TblPop[[#This Row],[Peasants]]*tax*TblPop[[#This Row],[Employment]] + (Construction!AZ47+Construction!BX47)*(alch_plat+(Magic!AM46&gt;0)*alchemist_flame_bonus)</f>
        <v>34097.8</v>
      </c>
      <c r="AB46" s="69" t="n">
        <f aca="false">TblConstr[[#This Row],[Tot Farm]]*farm_food + TblConstr[[#This Row],[Tot Doc]]*dock_food</f>
        <v>1280</v>
      </c>
      <c r="AC46" s="69" t="n">
        <f aca="false">TblConstr[[#This Row],[Tot Ly]]*ly_lumber + TblConstr[[#This Row],[Tot Hav]]*fh_lumber</f>
        <v>1250</v>
      </c>
      <c r="AD46" s="69" t="n">
        <f aca="false">OFFSET(TblConstr[[#This Row],[Tot Tow]],1,0)*(tower_mana + tech_4_5*TblTech[[#This Row],[4-5]]) + OFFSET(TblConstr[[#This Row],[Tot WG]],1,0)*wg_mana_prod</f>
        <v>475</v>
      </c>
      <c r="AE46" s="69" t="n">
        <f aca="false">OFFSET(TblConstr[[#This Row],[Tot OM]],1,0)*om_ore+IF(race="Dwarf",ROUNDDOWN(TblMili[[#This Row],[Unit 2]]*0.4,0),)</f>
        <v>0</v>
      </c>
      <c r="AF46" s="69" t="n">
        <f aca="false">OFFSET(TblConstr[[#This Row],[Tot DM]],1,0)*dm_gems</f>
        <v>0</v>
      </c>
      <c r="AG46" s="132"/>
      <c r="AH46" s="149" t="n">
        <f aca="false">MIN(race_platinum_bonus + IF(TblMagic[[#This Row],[Active Alch Frost]]&gt;0,alch_frost_bonus,IF(Magic!AD46&gt;0,midas_bonus)) + TblImps[[#This Row],[Science]] - TblProd[[#This Row],[Guard]]*(0.02 + tech_5_7*TblTech[[#This Row],[5-7]]) + tech_1_5*TblTech[[#This Row],[1-5]] + tech_4_4*TblTech[[#This Row],[4-4]], 0.5)</f>
        <v>0.1</v>
      </c>
      <c r="AI4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6" s="149" t="n">
        <f aca="false">race_lumber_bonus+ IF(TblMagic[[#This Row],[Active Gaia''s Blessing]]&gt;0,gaias_blessing_lumber)+ tech_1_3*TblTech[[#This Row],[1-3]] + tech_1_6*TblTech[[#This Row],[1-6]] + tech_3_3*TblTech[[#This Row],[3-3]]</f>
        <v>-0.1</v>
      </c>
      <c r="AK46" s="149" t="n">
        <f aca="false">race_mana_bonus+ 0 + TblImps[[#This Row],[Towers]] + tech_1_2*TblTech[[#This Row],[1-2]] + tech_3_4*TblTech[[#This Row],[3-4]]</f>
        <v>0</v>
      </c>
      <c r="AL46" s="149" t="n">
        <f aca="false">race_ore_bonus + IF(TblMagic[[#This Row],[Active Miner''s Sight]]&gt;0,miners_sight_bonus,IF(TblMagic[[#This Row],[Active Mining Strength]]&gt;0,mining_strength_bonus)) +  tech_1_6*TblTech[[#This Row],[1-6]]</f>
        <v>0</v>
      </c>
      <c r="AM46" s="149" t="n">
        <f aca="false">race_gem_bonus+ tech_3_2*TblTech[[#This Row],[3-2]] + tech_4_3*TblTech[[#This Row],[4-3]] + tech_6_2*TblTech[[#This Row],[6-2]]</f>
        <v>0.15</v>
      </c>
      <c r="AN46" s="132"/>
      <c r="AO46" s="69" t="n">
        <f aca="false">TblProd[[#This Row],[Food]]*food_decay * (1 + tech_2_1*TblTech[[#This Row],[2-1]] + tech_2_8*TblTech[[#This Row],[2-8]])</f>
        <v>141.74</v>
      </c>
      <c r="AP46" s="69" t="n">
        <f aca="false">(1+race_food_consumption)*TblPop[[#This Row],[Total]]*food_per_person*(1+tech_1_10*TblTech[[#This Row],[1-10]]+tech_7_5*TblTech[[#This Row],[7-5]])</f>
        <v>1950.25</v>
      </c>
      <c r="AQ46" s="69" t="n">
        <f aca="false">TblProd[[#This Row],[Lumber]]*lumber_rot * (1 + tech_2_1*TblTech[[#This Row],[2-1]] + tech_2_8*TblTech[[#This Row],[2-8]] + tech_5_2*TblTech[[#This Row],[5-2]])</f>
        <v>87.24</v>
      </c>
      <c r="AR46" s="69" t="n">
        <f aca="false">TblProd[[#This Row],[Mana]]*mana_drain * (1 + tech_2_1*TblTech[[#This Row],[2-1]] + tech_2_8*TblTech[[#This Row],[2-8]])</f>
        <v>64.84</v>
      </c>
      <c r="AS46" s="146"/>
      <c r="AT46" s="69" t="n">
        <f aca="false">TblExplore[[#This Row],[Platinum (2)]]+TblConstr[[#This Row],[Total Plat Cost]]+TblMili[[#This Row],[Plat Cost]]+TblRezone[[#This Row],[Platinum cost]]+TblImps[[#This Row],[P1]]-TblProd[[#This Row],[Bank Plat]]</f>
        <v>20942</v>
      </c>
      <c r="AU46" s="69" t="n">
        <f aca="false">TblConstr[[#This Row],[Total Lum Cost]]+TblImps[[#This Row],[L1]]-TblProd[[#This Row],[Bank Lumber]] + Military!$CL$25*TblMili[[#This Row],[Sec. rec. Cost]]</f>
        <v>820</v>
      </c>
      <c r="AV46" s="69" t="n">
        <f aca="false">TblMagic[[#This Row],[Mana cost]] + Military!$CL$26*TblMili[[#This Row],[Sec. rec. Cost]]</f>
        <v>0</v>
      </c>
      <c r="AW46" s="69" t="n">
        <f aca="false">Military!$CL$24*TblMili[[#This Row],[Sec. rec. Cost]]+TblImps[[#This Row],[O1]]-TblProd[[#This Row],[Bank Ore]]</f>
        <v>0</v>
      </c>
      <c r="AX46" s="69" t="n">
        <f aca="false">TblImps[[#This Row],[G1]]-TblProd[[#This Row],[Bank Gems]]</f>
        <v>0</v>
      </c>
      <c r="AY46" s="132"/>
      <c r="AZ46" s="33" t="n">
        <f aca="false">IF(TblProd[[#This Row],[Set Guard]]&lt;&gt;"",TblProd[[#This Row],[Set Guard]],OFFSET(TblProd[[#This Row],[Guard]],-1,0))</f>
        <v>0</v>
      </c>
      <c r="BA46" s="145"/>
      <c r="BB46" s="151" t="n">
        <f aca="false">TblProd[[#This Row],[Hour]]</f>
        <v>43</v>
      </c>
      <c r="BC46" s="152" t="n">
        <f aca="false">-TblProd[[#This Row],[Bank Lumber]] / 2 + -TblProd[[#This Row],[Bank Gems]] * 2 + -TblProd[[#This Row],[Bank Ore]] / 2</f>
        <v>0</v>
      </c>
      <c r="BD46" s="152"/>
      <c r="BE46" s="152"/>
      <c r="BF46" s="152"/>
      <c r="BG46" s="153" t="n">
        <f aca="false">TblProd[[#This Row],[Time]]</f>
        <v>45431.5</v>
      </c>
      <c r="BH4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69" t="n">
        <f aca="false">TblProd[[#This Row],[Platinum]]</f>
        <v>75080</v>
      </c>
      <c r="BJ46" s="69" t="n">
        <f aca="false">TblProd[[#This Row],[Food]]</f>
        <v>14174</v>
      </c>
      <c r="BK46" s="69" t="n">
        <f aca="false">TblProd[[#This Row],[Lumber]]</f>
        <v>8724</v>
      </c>
      <c r="BL46" s="69" t="n">
        <f aca="false">TblProd[[#This Row],[Mana]]</f>
        <v>3242</v>
      </c>
      <c r="BM46" s="69" t="n">
        <f aca="false">TblProd[[#This Row],[Ore]]</f>
        <v>0</v>
      </c>
    </row>
    <row r="47" customFormat="false" ht="12.75" hidden="false" customHeight="false" outlineLevel="0" collapsed="false">
      <c r="A47" s="128" t="n">
        <v>44</v>
      </c>
      <c r="B47" s="144" t="n">
        <f aca="false">TblImps[[#This Row],[Time]]</f>
        <v>45431.5416666667</v>
      </c>
      <c r="C47" s="145"/>
      <c r="D47" s="146"/>
      <c r="E47" s="69" t="n">
        <f aca="false">TblConstr[[#This Row],[Land]]</f>
        <v>530</v>
      </c>
      <c r="F47" s="69" t="n">
        <f aca="false">TblPop[[#This Row],[Peasants]]</f>
        <v>8165</v>
      </c>
      <c r="G47" s="69" t="e">
        <f aca="false">TblMili[[#This Row],[Networth (2)]]</f>
        <v>#VALUE!</v>
      </c>
      <c r="H47" s="69" t="n">
        <f aca="false">OFFSET(TblProd[[#This Row],[Platinum]],-1,0)+OFFSET(TblProd[[#This Row],[Plat/hr]],-1,0) - TblProd[[#This Row],[Expenses Platinum]] + IF(TblProd[[#This Row],[Plat Bonus]],TblPop[[#This Row],[Peasants]]*4) + SUM(TblConstr[[#This Row],[Dest Hom]:[Dest Doc]])*TblConstr[[#This Row],[CPA Platinum -DB]]*tech_3_3_2*TblTech[[#This Row],[3-3]]</f>
        <v>107787</v>
      </c>
      <c r="I47" s="69" t="n">
        <f aca="false">OFFSET(TblProd[[#This Row],[Food]],-1,0)+OFFSET(TblProd[[#This Row],[Food/hr]],-1,0)+ROUNDUP((TblConstr[[#This Row],[Farms]]*80+TblConstr[[#This Row],[Docks]]*35)*(1+OFFSET(TblProd[[#This Row],[Bonus Food/hr]],-1,0)),0)</f>
        <v>13394</v>
      </c>
      <c r="J47" s="69" t="n">
        <f aca="false">OFFSET(TblProd[[#This Row],[Lumber]],-1,0)+OFFSET(TblProd[[#This Row],[Lumber/hr]],-1,0) - TblProd[[#This Row],[Expenses Lumber]] + SUM(TblConstr[[#This Row],[Dest Hom]:[Dest Doc]])*TblConstr[[#This Row],[CPA Lumber -DB]]*tech_3_3_2*TblTech[[#This Row],[3-3]]</f>
        <v>8932</v>
      </c>
      <c r="K47" s="69" t="n">
        <f aca="false">OFFSET(TblProd[[#This Row],[Mana]],-1,0)+OFFSET(TblProd[[#This Row],[Mana/hr]],-1,0)- TblProd[[#This Row],[Expenses Mana]]</f>
        <v>3652</v>
      </c>
      <c r="L47" s="69" t="n">
        <f aca="false">OFFSET(TblProd[[#This Row],[Ore]],-1,0)+OFFSET(TblProd[[#This Row],[Ore/hr]],-1,0) -TblProd[[#This Row],[Expenses Ore]]</f>
        <v>0</v>
      </c>
      <c r="M47" s="69" t="n">
        <f aca="false">OFFSET(TblProd[[#This Row],[Gems]],-1,0)+OFFSET(TblProd[[#This Row],[Gems/hr]],-1,0) - TblProd[[#This Row],[Expenses Gems]]</f>
        <v>0</v>
      </c>
      <c r="N47" s="69" t="n">
        <f aca="false">OFFSET(TblProd[[#This Row],[Boats]],-1,0)+OFFSET(TblProd[[#This Row],[Boats/hr]],-1,0)</f>
        <v>5.75</v>
      </c>
      <c r="O47" s="69" t="n">
        <f aca="false">OFFSET(TblProd[[#This Row],[Prestige]],-1,0)</f>
        <v>250</v>
      </c>
      <c r="P4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7" s="69" t="n">
        <f aca="false">MAX(3750,_xlfn.CEILING.MATH(TblProd[[#This Row],[Land]]*2.5+OFFSET(TblTech[[#This Row],[Sum of tech]],-1,0)*150))</f>
        <v>3750</v>
      </c>
      <c r="R47" s="132"/>
      <c r="S47" s="69" t="n">
        <f aca="false">ROUNDDOWN(TblProd[[#This Row],[Raw Plat/hr]]*(1+TblProd[[#This Row],[Bonus Plat/hr]]),0)</f>
        <v>38668</v>
      </c>
      <c r="T47" s="69" t="n">
        <f aca="false">ROUND(TblProd[[#This Row],[Raw Food/hr]]*(1+TblProd[[#This Row],[Bonus Food/hr]])-TblProd[[#This Row],[Food decay]]-TblProd[[#This Row],[Food eaten]],0)</f>
        <v>-889</v>
      </c>
      <c r="U47" s="69" t="n">
        <f aca="false">ROUND(TblProd[[#This Row],[Raw Lumber/hr]]*(1+TblProd[[#This Row],[Bonus Lumber/hr]])-TblProd[[#This Row],[Lumber rot]],0)</f>
        <v>1036</v>
      </c>
      <c r="V47" s="69" t="n">
        <f aca="false">ROUND(TblProd[[#This Row],[Raw Mana/hr]]*(1+TblProd[[#This Row],[Bonus Mana/hr]])-TblProd[[#This Row],[Mana drain]],0)</f>
        <v>552</v>
      </c>
      <c r="W47" s="69" t="n">
        <f aca="false">ROUNDDOWN(TblProd[[#This Row],[Raw Ore/hr]]*(1+TblProd[[#This Row],[Bonux Ore/hr]]),0)</f>
        <v>0</v>
      </c>
      <c r="X47" s="69" t="n">
        <f aca="false">ROUNDDOWN(TblProd[[#This Row],[Raw Gems/hr]]*(1+TblProd[[#This Row],[Bonus Gems/hr]]),0)</f>
        <v>0</v>
      </c>
      <c r="Y47" s="148" t="n">
        <f aca="false">OFFSET(TblConstr[[#This Row],[Tot Doc]],1,0)*dock_boats_hr * (1 + tech_4_1*TblTech[[#This Row],[4-1]])</f>
        <v>0.5</v>
      </c>
      <c r="Z47" s="146"/>
      <c r="AA47" s="69" t="n">
        <f aca="false">TblPop[[#This Row],[Peasants]]*tax*TblPop[[#This Row],[Employment]] + (Construction!AZ48+Construction!BX48)*(alch_plat+(Magic!AM47&gt;0)*alchemist_flame_bonus)</f>
        <v>35153.5</v>
      </c>
      <c r="AB47" s="69" t="n">
        <f aca="false">TblConstr[[#This Row],[Tot Farm]]*farm_food + TblConstr[[#This Row],[Tot Doc]]*dock_food</f>
        <v>1280</v>
      </c>
      <c r="AC47" s="69" t="n">
        <f aca="false">TblConstr[[#This Row],[Tot Ly]]*ly_lumber + TblConstr[[#This Row],[Tot Hav]]*fh_lumber</f>
        <v>1250</v>
      </c>
      <c r="AD47" s="69" t="n">
        <f aca="false">OFFSET(TblConstr[[#This Row],[Tot Tow]],1,0)*(tower_mana + tech_4_5*TblTech[[#This Row],[4-5]]) + OFFSET(TblConstr[[#This Row],[Tot WG]],1,0)*wg_mana_prod</f>
        <v>625</v>
      </c>
      <c r="AE47" s="69" t="n">
        <f aca="false">OFFSET(TblConstr[[#This Row],[Tot OM]],1,0)*om_ore+IF(race="Dwarf",ROUNDDOWN(TblMili[[#This Row],[Unit 2]]*0.4,0),)</f>
        <v>0</v>
      </c>
      <c r="AF47" s="69" t="n">
        <f aca="false">OFFSET(TblConstr[[#This Row],[Tot DM]],1,0)*dm_gems</f>
        <v>0</v>
      </c>
      <c r="AG47" s="132"/>
      <c r="AH47" s="149" t="n">
        <f aca="false">MIN(race_platinum_bonus + IF(TblMagic[[#This Row],[Active Alch Frost]]&gt;0,alch_frost_bonus,IF(Magic!AD47&gt;0,midas_bonus)) + TblImps[[#This Row],[Science]] - TblProd[[#This Row],[Guard]]*(0.02 + tech_5_7*TblTech[[#This Row],[5-7]]) + tech_1_5*TblTech[[#This Row],[1-5]] + tech_4_4*TblTech[[#This Row],[4-4]], 0.5)</f>
        <v>0.1</v>
      </c>
      <c r="AI4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7" s="149" t="n">
        <f aca="false">race_lumber_bonus+ IF(TblMagic[[#This Row],[Active Gaia''s Blessing]]&gt;0,gaias_blessing_lumber)+ tech_1_3*TblTech[[#This Row],[1-3]] + tech_1_6*TblTech[[#This Row],[1-6]] + tech_3_3*TblTech[[#This Row],[3-3]]</f>
        <v>-0.1</v>
      </c>
      <c r="AK47" s="149" t="n">
        <f aca="false">race_mana_bonus+ 0 + TblImps[[#This Row],[Towers]] + tech_1_2*TblTech[[#This Row],[1-2]] + tech_3_4*TblTech[[#This Row],[3-4]]</f>
        <v>0</v>
      </c>
      <c r="AL47" s="149" t="n">
        <f aca="false">race_ore_bonus + IF(TblMagic[[#This Row],[Active Miner''s Sight]]&gt;0,miners_sight_bonus,IF(TblMagic[[#This Row],[Active Mining Strength]]&gt;0,mining_strength_bonus)) +  tech_1_6*TblTech[[#This Row],[1-6]]</f>
        <v>0</v>
      </c>
      <c r="AM47" s="149" t="n">
        <f aca="false">race_gem_bonus+ tech_3_2*TblTech[[#This Row],[3-2]] + tech_4_3*TblTech[[#This Row],[4-3]] + tech_6_2*TblTech[[#This Row],[6-2]]</f>
        <v>0.15</v>
      </c>
      <c r="AN47" s="132"/>
      <c r="AO47" s="69" t="n">
        <f aca="false">TblProd[[#This Row],[Food]]*food_decay * (1 + tech_2_1*TblTech[[#This Row],[2-1]] + tech_2_8*TblTech[[#This Row],[2-8]])</f>
        <v>133.94</v>
      </c>
      <c r="AP47" s="69" t="n">
        <f aca="false">(1+race_food_consumption)*TblPop[[#This Row],[Total]]*food_per_person*(1+tech_1_10*TblTech[[#This Row],[1-10]]+tech_7_5*TblTech[[#This Row],[7-5]])</f>
        <v>2067.5</v>
      </c>
      <c r="AQ47" s="69" t="n">
        <f aca="false">TblProd[[#This Row],[Lumber]]*lumber_rot * (1 + tech_2_1*TblTech[[#This Row],[2-1]] + tech_2_8*TblTech[[#This Row],[2-8]] + tech_5_2*TblTech[[#This Row],[5-2]])</f>
        <v>89.32</v>
      </c>
      <c r="AR47" s="69" t="n">
        <f aca="false">TblProd[[#This Row],[Mana]]*mana_drain * (1 + tech_2_1*TblTech[[#This Row],[2-1]] + tech_2_8*TblTech[[#This Row],[2-8]])</f>
        <v>73.04</v>
      </c>
      <c r="AS47" s="146"/>
      <c r="AT47" s="69" t="n">
        <f aca="false">TblExplore[[#This Row],[Platinum (2)]]+TblConstr[[#This Row],[Total Plat Cost]]+TblMili[[#This Row],[Plat Cost]]+TblRezone[[#This Row],[Platinum cost]]+TblImps[[#This Row],[P1]]-TblProd[[#This Row],[Bank Plat]]</f>
        <v>4800</v>
      </c>
      <c r="AU47" s="69" t="n">
        <f aca="false">TblConstr[[#This Row],[Total Lum Cost]]+TblImps[[#This Row],[L1]]-TblProd[[#This Row],[Bank Lumber]] + Military!$CL$25*TblMili[[#This Row],[Sec. rec. Cost]]</f>
        <v>830</v>
      </c>
      <c r="AV47" s="69" t="n">
        <f aca="false">TblMagic[[#This Row],[Mana cost]] + Military!$CL$26*TblMili[[#This Row],[Sec. rec. Cost]]</f>
        <v>0</v>
      </c>
      <c r="AW47" s="69" t="n">
        <f aca="false">Military!$CL$24*TblMili[[#This Row],[Sec. rec. Cost]]+TblImps[[#This Row],[O1]]-TblProd[[#This Row],[Bank Ore]]</f>
        <v>0</v>
      </c>
      <c r="AX47" s="69" t="n">
        <f aca="false">TblImps[[#This Row],[G1]]-TblProd[[#This Row],[Bank Gems]]</f>
        <v>0</v>
      </c>
      <c r="AY47" s="132"/>
      <c r="AZ47" s="33" t="n">
        <f aca="false">IF(TblProd[[#This Row],[Set Guard]]&lt;&gt;"",TblProd[[#This Row],[Set Guard]],OFFSET(TblProd[[#This Row],[Guard]],-1,0))</f>
        <v>0</v>
      </c>
      <c r="BA47" s="145"/>
      <c r="BB47" s="151" t="n">
        <f aca="false">TblProd[[#This Row],[Hour]]</f>
        <v>44</v>
      </c>
      <c r="BC47" s="152" t="n">
        <f aca="false">-TblProd[[#This Row],[Bank Lumber]] / 2 + -TblProd[[#This Row],[Bank Gems]] * 2 + -TblProd[[#This Row],[Bank Ore]] / 2</f>
        <v>0</v>
      </c>
      <c r="BD47" s="152"/>
      <c r="BE47" s="152"/>
      <c r="BF47" s="152"/>
      <c r="BG47" s="153" t="n">
        <f aca="false">TblProd[[#This Row],[Time]]</f>
        <v>45431.5416666667</v>
      </c>
      <c r="BH4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69" t="n">
        <f aca="false">TblProd[[#This Row],[Platinum]]</f>
        <v>107787</v>
      </c>
      <c r="BJ47" s="69" t="n">
        <f aca="false">TblProd[[#This Row],[Food]]</f>
        <v>13394</v>
      </c>
      <c r="BK47" s="69" t="n">
        <f aca="false">TblProd[[#This Row],[Lumber]]</f>
        <v>8932</v>
      </c>
      <c r="BL47" s="69" t="n">
        <f aca="false">TblProd[[#This Row],[Mana]]</f>
        <v>3652</v>
      </c>
      <c r="BM47" s="69" t="n">
        <f aca="false">TblProd[[#This Row],[Ore]]</f>
        <v>0</v>
      </c>
    </row>
    <row r="48" customFormat="false" ht="12.75" hidden="false" customHeight="false" outlineLevel="0" collapsed="false">
      <c r="A48" s="128" t="n">
        <v>45</v>
      </c>
      <c r="B48" s="144" t="n">
        <f aca="false">TblImps[[#This Row],[Time]]</f>
        <v>45431.5833333333</v>
      </c>
      <c r="C48" s="145"/>
      <c r="D48" s="146"/>
      <c r="E48" s="69" t="n">
        <f aca="false">TblConstr[[#This Row],[Land]]</f>
        <v>540</v>
      </c>
      <c r="F48" s="69" t="n">
        <f aca="false">TblPop[[#This Row],[Peasants]]</f>
        <v>8423</v>
      </c>
      <c r="G48" s="69" t="e">
        <f aca="false">TblMili[[#This Row],[Networth (2)]]</f>
        <v>#VALUE!</v>
      </c>
      <c r="H48" s="69" t="n">
        <f aca="false">OFFSET(TblProd[[#This Row],[Platinum]],-1,0)+OFFSET(TblProd[[#This Row],[Plat/hr]],-1,0) - TblProd[[#This Row],[Expenses Platinum]] + IF(TblProd[[#This Row],[Plat Bonus]],TblPop[[#This Row],[Peasants]]*4) + SUM(TblConstr[[#This Row],[Dest Hom]:[Dest Doc]])*TblConstr[[#This Row],[CPA Platinum -DB]]*tech_3_3_2*TblTech[[#This Row],[3-3]]</f>
        <v>141605</v>
      </c>
      <c r="I48" s="69" t="n">
        <f aca="false">OFFSET(TblProd[[#This Row],[Food]],-1,0)+OFFSET(TblProd[[#This Row],[Food/hr]],-1,0)+ROUNDUP((TblConstr[[#This Row],[Farms]]*80+TblConstr[[#This Row],[Docks]]*35)*(1+OFFSET(TblProd[[#This Row],[Bonus Food/hr]],-1,0)),0)</f>
        <v>12915</v>
      </c>
      <c r="J48" s="69" t="n">
        <f aca="false">OFFSET(TblProd[[#This Row],[Lumber]],-1,0)+OFFSET(TblProd[[#This Row],[Lumber/hr]],-1,0) - TblProd[[#This Row],[Expenses Lumber]] + SUM(TblConstr[[#This Row],[Dest Hom]:[Dest Doc]])*TblConstr[[#This Row],[CPA Lumber -DB]]*tech_3_3_2*TblTech[[#This Row],[3-3]]</f>
        <v>9118</v>
      </c>
      <c r="K48" s="69" t="n">
        <f aca="false">OFFSET(TblProd[[#This Row],[Mana]],-1,0)+OFFSET(TblProd[[#This Row],[Mana/hr]],-1,0)- TblProd[[#This Row],[Expenses Mana]]</f>
        <v>4204</v>
      </c>
      <c r="L48" s="69" t="n">
        <f aca="false">OFFSET(TblProd[[#This Row],[Ore]],-1,0)+OFFSET(TblProd[[#This Row],[Ore/hr]],-1,0) -TblProd[[#This Row],[Expenses Ore]]</f>
        <v>0</v>
      </c>
      <c r="M48" s="69" t="n">
        <f aca="false">OFFSET(TblProd[[#This Row],[Gems]],-1,0)+OFFSET(TblProd[[#This Row],[Gems/hr]],-1,0) - TblProd[[#This Row],[Expenses Gems]]</f>
        <v>0</v>
      </c>
      <c r="N48" s="69" t="n">
        <f aca="false">OFFSET(TblProd[[#This Row],[Boats]],-1,0)+OFFSET(TblProd[[#This Row],[Boats/hr]],-1,0)</f>
        <v>6.25</v>
      </c>
      <c r="O48" s="69" t="n">
        <f aca="false">OFFSET(TblProd[[#This Row],[Prestige]],-1,0)</f>
        <v>250</v>
      </c>
      <c r="P4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8" s="69" t="n">
        <f aca="false">MAX(3750,_xlfn.CEILING.MATH(TblProd[[#This Row],[Land]]*2.5+OFFSET(TblTech[[#This Row],[Sum of tech]],-1,0)*150))</f>
        <v>3750</v>
      </c>
      <c r="R48" s="132"/>
      <c r="S48" s="69" t="n">
        <f aca="false">ROUNDDOWN(TblProd[[#This Row],[Raw Plat/hr]]*(1+TblProd[[#This Row],[Bonus Plat/hr]]),0)</f>
        <v>39426</v>
      </c>
      <c r="T48" s="69" t="n">
        <f aca="false">ROUND(TblProd[[#This Row],[Raw Food/hr]]*(1+TblProd[[#This Row],[Bonus Food/hr]])-TblProd[[#This Row],[Food decay]]-TblProd[[#This Row],[Food eaten]],0)</f>
        <v>-560</v>
      </c>
      <c r="U48" s="69" t="n">
        <f aca="false">ROUND(TblProd[[#This Row],[Raw Lumber/hr]]*(1+TblProd[[#This Row],[Bonus Lumber/hr]])-TblProd[[#This Row],[Lumber rot]],0)</f>
        <v>1034</v>
      </c>
      <c r="V48" s="69" t="n">
        <f aca="false">ROUND(TblProd[[#This Row],[Raw Mana/hr]]*(1+TblProd[[#This Row],[Bonus Mana/hr]])-TblProd[[#This Row],[Mana drain]],0)</f>
        <v>541</v>
      </c>
      <c r="W48" s="69" t="n">
        <f aca="false">ROUNDDOWN(TblProd[[#This Row],[Raw Ore/hr]]*(1+TblProd[[#This Row],[Bonux Ore/hr]]),0)</f>
        <v>0</v>
      </c>
      <c r="X48" s="69" t="n">
        <f aca="false">ROUNDDOWN(TblProd[[#This Row],[Raw Gems/hr]]*(1+TblProd[[#This Row],[Bonus Gems/hr]]),0)</f>
        <v>0</v>
      </c>
      <c r="Y48" s="148" t="n">
        <f aca="false">OFFSET(TblConstr[[#This Row],[Tot Doc]],1,0)*dock_boats_hr * (1 + tech_4_1*TblTech[[#This Row],[4-1]])</f>
        <v>0.5</v>
      </c>
      <c r="Z48" s="146"/>
      <c r="AA48" s="69" t="n">
        <f aca="false">TblPop[[#This Row],[Peasants]]*tax*TblPop[[#This Row],[Employment]] + (Construction!AZ49+Construction!BX49)*(alch_plat+(Magic!AM48&gt;0)*alchemist_flame_bonus)</f>
        <v>35842</v>
      </c>
      <c r="AB48" s="69" t="n">
        <f aca="false">TblConstr[[#This Row],[Tot Farm]]*farm_food + TblConstr[[#This Row],[Tot Doc]]*dock_food</f>
        <v>1680</v>
      </c>
      <c r="AC48" s="69" t="n">
        <f aca="false">TblConstr[[#This Row],[Tot Ly]]*ly_lumber + TblConstr[[#This Row],[Tot Hav]]*fh_lumber</f>
        <v>1250</v>
      </c>
      <c r="AD48" s="69" t="n">
        <f aca="false">OFFSET(TblConstr[[#This Row],[Tot Tow]],1,0)*(tower_mana + tech_4_5*TblTech[[#This Row],[4-5]]) + OFFSET(TblConstr[[#This Row],[Tot WG]],1,0)*wg_mana_prod</f>
        <v>625</v>
      </c>
      <c r="AE48" s="69" t="n">
        <f aca="false">OFFSET(TblConstr[[#This Row],[Tot OM]],1,0)*om_ore+IF(race="Dwarf",ROUNDDOWN(TblMili[[#This Row],[Unit 2]]*0.4,0),)</f>
        <v>0</v>
      </c>
      <c r="AF48" s="69" t="n">
        <f aca="false">OFFSET(TblConstr[[#This Row],[Tot DM]],1,0)*dm_gems</f>
        <v>0</v>
      </c>
      <c r="AG48" s="132"/>
      <c r="AH48" s="149" t="n">
        <f aca="false">MIN(race_platinum_bonus + IF(TblMagic[[#This Row],[Active Alch Frost]]&gt;0,alch_frost_bonus,IF(Magic!AD48&gt;0,midas_bonus)) + TblImps[[#This Row],[Science]] - TblProd[[#This Row],[Guard]]*(0.02 + tech_5_7*TblTech[[#This Row],[5-7]]) + tech_1_5*TblTech[[#This Row],[1-5]] + tech_4_4*TblTech[[#This Row],[4-4]], 0.5)</f>
        <v>0.1</v>
      </c>
      <c r="AI4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8" s="149" t="n">
        <f aca="false">race_lumber_bonus+ IF(TblMagic[[#This Row],[Active Gaia''s Blessing]]&gt;0,gaias_blessing_lumber)+ tech_1_3*TblTech[[#This Row],[1-3]] + tech_1_6*TblTech[[#This Row],[1-6]] + tech_3_3*TblTech[[#This Row],[3-3]]</f>
        <v>-0.1</v>
      </c>
      <c r="AK48" s="149" t="n">
        <f aca="false">race_mana_bonus+ 0 + TblImps[[#This Row],[Towers]] + tech_1_2*TblTech[[#This Row],[1-2]] + tech_3_4*TblTech[[#This Row],[3-4]]</f>
        <v>0</v>
      </c>
      <c r="AL48" s="149" t="n">
        <f aca="false">race_ore_bonus + IF(TblMagic[[#This Row],[Active Miner''s Sight]]&gt;0,miners_sight_bonus,IF(TblMagic[[#This Row],[Active Mining Strength]]&gt;0,mining_strength_bonus)) +  tech_1_6*TblTech[[#This Row],[1-6]]</f>
        <v>0</v>
      </c>
      <c r="AM48" s="149" t="n">
        <f aca="false">race_gem_bonus+ tech_3_2*TblTech[[#This Row],[3-2]] + tech_4_3*TblTech[[#This Row],[4-3]] + tech_6_2*TblTech[[#This Row],[6-2]]</f>
        <v>0.15</v>
      </c>
      <c r="AN48" s="132"/>
      <c r="AO48" s="69" t="n">
        <f aca="false">TblProd[[#This Row],[Food]]*food_decay * (1 + tech_2_1*TblTech[[#This Row],[2-1]] + tech_2_8*TblTech[[#This Row],[2-8]])</f>
        <v>129.15</v>
      </c>
      <c r="AP48" s="69" t="n">
        <f aca="false">(1+race_food_consumption)*TblPop[[#This Row],[Total]]*food_per_person*(1+tech_1_10*TblTech[[#This Row],[1-10]]+tech_7_5*TblTech[[#This Row],[7-5]])</f>
        <v>2152.5</v>
      </c>
      <c r="AQ48" s="69" t="n">
        <f aca="false">TblProd[[#This Row],[Lumber]]*lumber_rot * (1 + tech_2_1*TblTech[[#This Row],[2-1]] + tech_2_8*TblTech[[#This Row],[2-8]] + tech_5_2*TblTech[[#This Row],[5-2]])</f>
        <v>91.18</v>
      </c>
      <c r="AR48" s="69" t="n">
        <f aca="false">TblProd[[#This Row],[Mana]]*mana_drain * (1 + tech_2_1*TblTech[[#This Row],[2-1]] + tech_2_8*TblTech[[#This Row],[2-8]])</f>
        <v>84.08</v>
      </c>
      <c r="AS48" s="146"/>
      <c r="AT48" s="69" t="n">
        <f aca="false">TblExplore[[#This Row],[Platinum (2)]]+TblConstr[[#This Row],[Total Plat Cost]]+TblMili[[#This Row],[Plat Cost]]+TblRezone[[#This Row],[Platinum cost]]+TblImps[[#This Row],[P1]]-TblProd[[#This Row],[Bank Plat]]</f>
        <v>4850</v>
      </c>
      <c r="AU48" s="69" t="n">
        <f aca="false">TblConstr[[#This Row],[Total Lum Cost]]+TblImps[[#This Row],[L1]]-TblProd[[#This Row],[Bank Lumber]] + Military!$CL$25*TblMili[[#This Row],[Sec. rec. Cost]]</f>
        <v>850</v>
      </c>
      <c r="AV48" s="69" t="n">
        <f aca="false">TblMagic[[#This Row],[Mana cost]] + Military!$CL$26*TblMili[[#This Row],[Sec. rec. Cost]]</f>
        <v>0</v>
      </c>
      <c r="AW48" s="69" t="n">
        <f aca="false">Military!$CL$24*TblMili[[#This Row],[Sec. rec. Cost]]+TblImps[[#This Row],[O1]]-TblProd[[#This Row],[Bank Ore]]</f>
        <v>0</v>
      </c>
      <c r="AX48" s="69" t="n">
        <f aca="false">TblImps[[#This Row],[G1]]-TblProd[[#This Row],[Bank Gems]]</f>
        <v>0</v>
      </c>
      <c r="AY48" s="132"/>
      <c r="AZ48" s="33" t="n">
        <f aca="false">IF(TblProd[[#This Row],[Set Guard]]&lt;&gt;"",TblProd[[#This Row],[Set Guard]],OFFSET(TblProd[[#This Row],[Guard]],-1,0))</f>
        <v>0</v>
      </c>
      <c r="BA48" s="145"/>
      <c r="BB48" s="151" t="n">
        <f aca="false">TblProd[[#This Row],[Hour]]</f>
        <v>45</v>
      </c>
      <c r="BC48" s="152" t="n">
        <f aca="false">-TblProd[[#This Row],[Bank Lumber]] / 2 + -TblProd[[#This Row],[Bank Gems]] * 2 + -TblProd[[#This Row],[Bank Ore]] / 2</f>
        <v>0</v>
      </c>
      <c r="BD48" s="152"/>
      <c r="BE48" s="152"/>
      <c r="BF48" s="152"/>
      <c r="BG48" s="153" t="n">
        <f aca="false">TblProd[[#This Row],[Time]]</f>
        <v>45431.5833333333</v>
      </c>
      <c r="BH4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69" t="n">
        <f aca="false">TblProd[[#This Row],[Platinum]]</f>
        <v>141605</v>
      </c>
      <c r="BJ48" s="69" t="n">
        <f aca="false">TblProd[[#This Row],[Food]]</f>
        <v>12915</v>
      </c>
      <c r="BK48" s="69" t="n">
        <f aca="false">TblProd[[#This Row],[Lumber]]</f>
        <v>9118</v>
      </c>
      <c r="BL48" s="69" t="n">
        <f aca="false">TblProd[[#This Row],[Mana]]</f>
        <v>4204</v>
      </c>
      <c r="BM48" s="69" t="n">
        <f aca="false">TblProd[[#This Row],[Ore]]</f>
        <v>0</v>
      </c>
    </row>
    <row r="49" customFormat="false" ht="12.75" hidden="false" customHeight="false" outlineLevel="0" collapsed="false">
      <c r="A49" s="128" t="n">
        <v>46</v>
      </c>
      <c r="B49" s="144" t="n">
        <f aca="false">TblImps[[#This Row],[Time]]</f>
        <v>45431.625</v>
      </c>
      <c r="C49" s="145"/>
      <c r="D49" s="146"/>
      <c r="E49" s="69" t="n">
        <f aca="false">TblConstr[[#This Row],[Land]]</f>
        <v>551</v>
      </c>
      <c r="F49" s="69" t="n">
        <f aca="false">TblPop[[#This Row],[Peasants]]</f>
        <v>8506</v>
      </c>
      <c r="G49" s="69" t="e">
        <f aca="false">TblMili[[#This Row],[Networth (2)]]</f>
        <v>#VALUE!</v>
      </c>
      <c r="H49" s="69" t="n">
        <f aca="false">OFFSET(TblProd[[#This Row],[Platinum]],-1,0)+OFFSET(TblProd[[#This Row],[Plat/hr]],-1,0) - TblProd[[#This Row],[Expenses Platinum]] + IF(TblProd[[#This Row],[Plat Bonus]],TblPop[[#This Row],[Peasants]]*4) + SUM(TblConstr[[#This Row],[Dest Hom]:[Dest Doc]])*TblConstr[[#This Row],[CPA Platinum -DB]]*tech_3_3_2*TblTech[[#This Row],[3-3]]</f>
        <v>175641</v>
      </c>
      <c r="I49" s="69" t="n">
        <f aca="false">OFFSET(TblProd[[#This Row],[Food]],-1,0)+OFFSET(TblProd[[#This Row],[Food/hr]],-1,0)+ROUNDUP((TblConstr[[#This Row],[Farms]]*80+TblConstr[[#This Row],[Docks]]*35)*(1+OFFSET(TblProd[[#This Row],[Bonus Food/hr]],-1,0)),0)</f>
        <v>12519</v>
      </c>
      <c r="J49" s="69" t="n">
        <f aca="false">OFFSET(TblProd[[#This Row],[Lumber]],-1,0)+OFFSET(TblProd[[#This Row],[Lumber/hr]],-1,0) - TblProd[[#This Row],[Expenses Lumber]] + SUM(TblConstr[[#This Row],[Dest Hom]:[Dest Doc]])*TblConstr[[#This Row],[CPA Lumber -DB]]*tech_3_3_2*TblTech[[#This Row],[3-3]]</f>
        <v>9206</v>
      </c>
      <c r="K49" s="69" t="n">
        <f aca="false">OFFSET(TblProd[[#This Row],[Mana]],-1,0)+OFFSET(TblProd[[#This Row],[Mana/hr]],-1,0)- TblProd[[#This Row],[Expenses Mana]]</f>
        <v>4745</v>
      </c>
      <c r="L49" s="69" t="n">
        <f aca="false">OFFSET(TblProd[[#This Row],[Ore]],-1,0)+OFFSET(TblProd[[#This Row],[Ore/hr]],-1,0) -TblProd[[#This Row],[Expenses Ore]]</f>
        <v>0</v>
      </c>
      <c r="M49" s="69" t="n">
        <f aca="false">OFFSET(TblProd[[#This Row],[Gems]],-1,0)+OFFSET(TblProd[[#This Row],[Gems/hr]],-1,0) - TblProd[[#This Row],[Expenses Gems]]</f>
        <v>0</v>
      </c>
      <c r="N49" s="69" t="n">
        <f aca="false">OFFSET(TblProd[[#This Row],[Boats]],-1,0)+OFFSET(TblProd[[#This Row],[Boats/hr]],-1,0)</f>
        <v>6.75</v>
      </c>
      <c r="O49" s="69" t="n">
        <f aca="false">OFFSET(TblProd[[#This Row],[Prestige]],-1,0)</f>
        <v>250</v>
      </c>
      <c r="P4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9" s="69" t="n">
        <f aca="false">MAX(3750,_xlfn.CEILING.MATH(TblProd[[#This Row],[Land]]*2.5+OFFSET(TblTech[[#This Row],[Sum of tech]],-1,0)*150))</f>
        <v>3750</v>
      </c>
      <c r="R49" s="132"/>
      <c r="S49" s="69" t="n">
        <f aca="false">ROUNDDOWN(TblProd[[#This Row],[Raw Plat/hr]]*(1+TblProd[[#This Row],[Bonus Plat/hr]]),0)</f>
        <v>39559</v>
      </c>
      <c r="T49" s="69" t="n">
        <f aca="false">ROUND(TblProd[[#This Row],[Raw Food/hr]]*(1+TblProd[[#This Row],[Bonus Food/hr]])-TblProd[[#This Row],[Food decay]]-TblProd[[#This Row],[Food eaten]],0)</f>
        <v>-433</v>
      </c>
      <c r="U49" s="69" t="n">
        <f aca="false">ROUND(TblProd[[#This Row],[Raw Lumber/hr]]*(1+TblProd[[#This Row],[Bonus Lumber/hr]])-TblProd[[#This Row],[Lumber rot]],0)</f>
        <v>1033</v>
      </c>
      <c r="V49" s="69" t="n">
        <f aca="false">ROUND(TblProd[[#This Row],[Raw Mana/hr]]*(1+TblProd[[#This Row],[Bonus Mana/hr]])-TblProd[[#This Row],[Mana drain]],0)</f>
        <v>530</v>
      </c>
      <c r="W49" s="69" t="n">
        <f aca="false">ROUNDDOWN(TblProd[[#This Row],[Raw Ore/hr]]*(1+TblProd[[#This Row],[Bonux Ore/hr]]),0)</f>
        <v>0</v>
      </c>
      <c r="X49" s="69" t="n">
        <f aca="false">ROUNDDOWN(TblProd[[#This Row],[Raw Gems/hr]]*(1+TblProd[[#This Row],[Bonus Gems/hr]]),0)</f>
        <v>0</v>
      </c>
      <c r="Y49" s="148" t="n">
        <f aca="false">OFFSET(TblConstr[[#This Row],[Tot Doc]],1,0)*dock_boats_hr * (1 + tech_4_1*TblTech[[#This Row],[4-1]])</f>
        <v>0.5</v>
      </c>
      <c r="Z49" s="146"/>
      <c r="AA49" s="69" t="n">
        <f aca="false">TblPop[[#This Row],[Peasants]]*tax*TblPop[[#This Row],[Employment]] + (Construction!AZ50+Construction!BX50)*(alch_plat+(Magic!AM49&gt;0)*alchemist_flame_bonus)</f>
        <v>35963.5</v>
      </c>
      <c r="AB49" s="69" t="n">
        <f aca="false">TblConstr[[#This Row],[Tot Farm]]*farm_food + TblConstr[[#This Row],[Tot Doc]]*dock_food</f>
        <v>1840</v>
      </c>
      <c r="AC49" s="69" t="n">
        <f aca="false">TblConstr[[#This Row],[Tot Ly]]*ly_lumber + TblConstr[[#This Row],[Tot Hav]]*fh_lumber</f>
        <v>1250</v>
      </c>
      <c r="AD49" s="69" t="n">
        <f aca="false">OFFSET(TblConstr[[#This Row],[Tot Tow]],1,0)*(tower_mana + tech_4_5*TblTech[[#This Row],[4-5]]) + OFFSET(TblConstr[[#This Row],[Tot WG]],1,0)*wg_mana_prod</f>
        <v>625</v>
      </c>
      <c r="AE49" s="69" t="n">
        <f aca="false">OFFSET(TblConstr[[#This Row],[Tot OM]],1,0)*om_ore+IF(race="Dwarf",ROUNDDOWN(TblMili[[#This Row],[Unit 2]]*0.4,0),)</f>
        <v>0</v>
      </c>
      <c r="AF49" s="69" t="n">
        <f aca="false">OFFSET(TblConstr[[#This Row],[Tot DM]],1,0)*dm_gems</f>
        <v>0</v>
      </c>
      <c r="AG49" s="132"/>
      <c r="AH49" s="149" t="n">
        <f aca="false">MIN(race_platinum_bonus + IF(TblMagic[[#This Row],[Active Alch Frost]]&gt;0,alch_frost_bonus,IF(Magic!AD49&gt;0,midas_bonus)) + TblImps[[#This Row],[Science]] - TblProd[[#This Row],[Guard]]*(0.02 + tech_5_7*TblTech[[#This Row],[5-7]]) + tech_1_5*TblTech[[#This Row],[1-5]] + tech_4_4*TblTech[[#This Row],[4-4]], 0.5)</f>
        <v>0.1</v>
      </c>
      <c r="AI4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9" s="149" t="n">
        <f aca="false">race_lumber_bonus+ IF(TblMagic[[#This Row],[Active Gaia''s Blessing]]&gt;0,gaias_blessing_lumber)+ tech_1_3*TblTech[[#This Row],[1-3]] + tech_1_6*TblTech[[#This Row],[1-6]] + tech_3_3*TblTech[[#This Row],[3-3]]</f>
        <v>-0.1</v>
      </c>
      <c r="AK49" s="149" t="n">
        <f aca="false">race_mana_bonus+ 0 + TblImps[[#This Row],[Towers]] + tech_1_2*TblTech[[#This Row],[1-2]] + tech_3_4*TblTech[[#This Row],[3-4]]</f>
        <v>0</v>
      </c>
      <c r="AL49" s="149" t="n">
        <f aca="false">race_ore_bonus + IF(TblMagic[[#This Row],[Active Miner''s Sight]]&gt;0,miners_sight_bonus,IF(TblMagic[[#This Row],[Active Mining Strength]]&gt;0,mining_strength_bonus)) +  tech_1_6*TblTech[[#This Row],[1-6]]</f>
        <v>0</v>
      </c>
      <c r="AM49" s="149" t="n">
        <f aca="false">race_gem_bonus+ tech_3_2*TblTech[[#This Row],[3-2]] + tech_4_3*TblTech[[#This Row],[4-3]] + tech_6_2*TblTech[[#This Row],[6-2]]</f>
        <v>0.15</v>
      </c>
      <c r="AN49" s="132"/>
      <c r="AO49" s="69" t="n">
        <f aca="false">TblProd[[#This Row],[Food]]*food_decay * (1 + tech_2_1*TblTech[[#This Row],[2-1]] + tech_2_8*TblTech[[#This Row],[2-8]])</f>
        <v>125.19</v>
      </c>
      <c r="AP49" s="69" t="n">
        <f aca="false">(1+race_food_consumption)*TblPop[[#This Row],[Total]]*food_per_person*(1+tech_1_10*TblTech[[#This Row],[1-10]]+tech_7_5*TblTech[[#This Row],[7-5]])</f>
        <v>2194.25</v>
      </c>
      <c r="AQ49" s="69" t="n">
        <f aca="false">TblProd[[#This Row],[Lumber]]*lumber_rot * (1 + tech_2_1*TblTech[[#This Row],[2-1]] + tech_2_8*TblTech[[#This Row],[2-8]] + tech_5_2*TblTech[[#This Row],[5-2]])</f>
        <v>92.06</v>
      </c>
      <c r="AR49" s="69" t="n">
        <f aca="false">TblProd[[#This Row],[Mana]]*mana_drain * (1 + tech_2_1*TblTech[[#This Row],[2-1]] + tech_2_8*TblTech[[#This Row],[2-8]])</f>
        <v>94.9</v>
      </c>
      <c r="AS49" s="146"/>
      <c r="AT49" s="69" t="n">
        <f aca="false">TblExplore[[#This Row],[Platinum (2)]]+TblConstr[[#This Row],[Total Plat Cost]]+TblMili[[#This Row],[Plat Cost]]+TblRezone[[#This Row],[Platinum cost]]+TblImps[[#This Row],[P1]]-TblProd[[#This Row],[Bank Plat]]</f>
        <v>5390</v>
      </c>
      <c r="AU49" s="69" t="n">
        <f aca="false">TblConstr[[#This Row],[Total Lum Cost]]+TblImps[[#This Row],[L1]]-TblProd[[#This Row],[Bank Lumber]] + Military!$CL$25*TblMili[[#This Row],[Sec. rec. Cost]]</f>
        <v>946</v>
      </c>
      <c r="AV49" s="69" t="n">
        <f aca="false">TblMagic[[#This Row],[Mana cost]] + Military!$CL$26*TblMili[[#This Row],[Sec. rec. Cost]]</f>
        <v>0</v>
      </c>
      <c r="AW49" s="69" t="n">
        <f aca="false">Military!$CL$24*TblMili[[#This Row],[Sec. rec. Cost]]+TblImps[[#This Row],[O1]]-TblProd[[#This Row],[Bank Ore]]</f>
        <v>0</v>
      </c>
      <c r="AX49" s="69" t="n">
        <f aca="false">TblImps[[#This Row],[G1]]-TblProd[[#This Row],[Bank Gems]]</f>
        <v>0</v>
      </c>
      <c r="AY49" s="132"/>
      <c r="AZ49" s="33" t="n">
        <f aca="false">IF(TblProd[[#This Row],[Set Guard]]&lt;&gt;"",TblProd[[#This Row],[Set Guard]],OFFSET(TblProd[[#This Row],[Guard]],-1,0))</f>
        <v>0</v>
      </c>
      <c r="BA49" s="145"/>
      <c r="BB49" s="151" t="n">
        <f aca="false">TblProd[[#This Row],[Hour]]</f>
        <v>46</v>
      </c>
      <c r="BC49" s="152" t="n">
        <f aca="false">-TblProd[[#This Row],[Bank Lumber]] / 2 + -TblProd[[#This Row],[Bank Gems]] * 2 + -TblProd[[#This Row],[Bank Ore]] / 2</f>
        <v>0</v>
      </c>
      <c r="BD49" s="152"/>
      <c r="BE49" s="152"/>
      <c r="BF49" s="152"/>
      <c r="BG49" s="153" t="n">
        <f aca="false">TblProd[[#This Row],[Time]]</f>
        <v>45431.625</v>
      </c>
      <c r="BH4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69" t="n">
        <f aca="false">TblProd[[#This Row],[Platinum]]</f>
        <v>175641</v>
      </c>
      <c r="BJ49" s="69" t="n">
        <f aca="false">TblProd[[#This Row],[Food]]</f>
        <v>12519</v>
      </c>
      <c r="BK49" s="69" t="n">
        <f aca="false">TblProd[[#This Row],[Lumber]]</f>
        <v>9206</v>
      </c>
      <c r="BL49" s="69" t="n">
        <f aca="false">TblProd[[#This Row],[Mana]]</f>
        <v>4745</v>
      </c>
      <c r="BM49" s="69" t="n">
        <f aca="false">TblProd[[#This Row],[Ore]]</f>
        <v>0</v>
      </c>
    </row>
    <row r="50" customFormat="false" ht="12.75" hidden="false" customHeight="false" outlineLevel="0" collapsed="false">
      <c r="A50" s="128" t="n">
        <v>47</v>
      </c>
      <c r="B50" s="144" t="n">
        <f aca="false">TblImps[[#This Row],[Time]]</f>
        <v>45431.6666666667</v>
      </c>
      <c r="C50" s="145"/>
      <c r="D50" s="146"/>
      <c r="E50" s="69" t="n">
        <f aca="false">TblConstr[[#This Row],[Land]]</f>
        <v>563</v>
      </c>
      <c r="F50" s="69" t="n">
        <f aca="false">TblPop[[#This Row],[Peasants]]</f>
        <v>8604</v>
      </c>
      <c r="G50" s="69" t="e">
        <f aca="false">TblMili[[#This Row],[Networth (2)]]</f>
        <v>#VALUE!</v>
      </c>
      <c r="H50" s="69" t="n">
        <f aca="false">OFFSET(TblProd[[#This Row],[Platinum]],-1,0)+OFFSET(TblProd[[#This Row],[Plat/hr]],-1,0) - TblProd[[#This Row],[Expenses Platinum]] + IF(TblProd[[#This Row],[Plat Bonus]],TblPop[[#This Row],[Peasants]]*4) + SUM(TblConstr[[#This Row],[Dest Hom]:[Dest Doc]])*TblConstr[[#This Row],[CPA Platinum -DB]]*tech_3_3_2*TblTech[[#This Row],[3-3]]</f>
        <v>209248</v>
      </c>
      <c r="I50" s="69" t="n">
        <f aca="false">OFFSET(TblProd[[#This Row],[Food]],-1,0)+OFFSET(TblProd[[#This Row],[Food/hr]],-1,0)+ROUNDUP((TblConstr[[#This Row],[Farms]]*80+TblConstr[[#This Row],[Docks]]*35)*(1+OFFSET(TblProd[[#This Row],[Bonus Food/hr]],-1,0)),0)</f>
        <v>12168</v>
      </c>
      <c r="J50" s="69" t="n">
        <f aca="false">OFFSET(TblProd[[#This Row],[Lumber]],-1,0)+OFFSET(TblProd[[#This Row],[Lumber/hr]],-1,0) - TblProd[[#This Row],[Expenses Lumber]] + SUM(TblConstr[[#This Row],[Dest Hom]:[Dest Doc]])*TblConstr[[#This Row],[CPA Lumber -DB]]*tech_3_3_2*TblTech[[#This Row],[3-3]]</f>
        <v>9183</v>
      </c>
      <c r="K50" s="69" t="n">
        <f aca="false">OFFSET(TblProd[[#This Row],[Mana]],-1,0)+OFFSET(TblProd[[#This Row],[Mana/hr]],-1,0)- TblProd[[#This Row],[Expenses Mana]]</f>
        <v>5275</v>
      </c>
      <c r="L50" s="69" t="n">
        <f aca="false">OFFSET(TblProd[[#This Row],[Ore]],-1,0)+OFFSET(TblProd[[#This Row],[Ore/hr]],-1,0) -TblProd[[#This Row],[Expenses Ore]]</f>
        <v>0</v>
      </c>
      <c r="M50" s="69" t="n">
        <f aca="false">OFFSET(TblProd[[#This Row],[Gems]],-1,0)+OFFSET(TblProd[[#This Row],[Gems/hr]],-1,0) - TblProd[[#This Row],[Expenses Gems]]</f>
        <v>0</v>
      </c>
      <c r="N50" s="69" t="n">
        <f aca="false">OFFSET(TblProd[[#This Row],[Boats]],-1,0)+OFFSET(TblProd[[#This Row],[Boats/hr]],-1,0)</f>
        <v>7.25</v>
      </c>
      <c r="O50" s="69" t="n">
        <f aca="false">OFFSET(TblProd[[#This Row],[Prestige]],-1,0)</f>
        <v>250</v>
      </c>
      <c r="P5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50" s="69" t="n">
        <f aca="false">MAX(3750,_xlfn.CEILING.MATH(TblProd[[#This Row],[Land]]*2.5+OFFSET(TblTech[[#This Row],[Sum of tech]],-1,0)*150))</f>
        <v>3750</v>
      </c>
      <c r="R50" s="132"/>
      <c r="S50" s="69" t="n">
        <f aca="false">ROUNDDOWN(TblProd[[#This Row],[Raw Plat/hr]]*(1+TblProd[[#This Row],[Bonus Plat/hr]]),0)</f>
        <v>39972</v>
      </c>
      <c r="T50" s="69" t="n">
        <f aca="false">ROUND(TblProd[[#This Row],[Raw Food/hr]]*(1+TblProd[[#This Row],[Bonus Food/hr]])-TblProd[[#This Row],[Food decay]]-TblProd[[#This Row],[Food eaten]],0)</f>
        <v>-394</v>
      </c>
      <c r="U50" s="69" t="n">
        <f aca="false">ROUND(TblProd[[#This Row],[Raw Lumber/hr]]*(1+TblProd[[#This Row],[Bonus Lumber/hr]])-TblProd[[#This Row],[Lumber rot]],0)</f>
        <v>1033</v>
      </c>
      <c r="V50" s="69" t="n">
        <f aca="false">ROUND(TblProd[[#This Row],[Raw Mana/hr]]*(1+TblProd[[#This Row],[Bonus Mana/hr]])-TblProd[[#This Row],[Mana drain]],0)</f>
        <v>520</v>
      </c>
      <c r="W50" s="69" t="n">
        <f aca="false">ROUNDDOWN(TblProd[[#This Row],[Raw Ore/hr]]*(1+TblProd[[#This Row],[Bonux Ore/hr]]),0)</f>
        <v>0</v>
      </c>
      <c r="X50" s="69" t="n">
        <f aca="false">ROUNDDOWN(TblProd[[#This Row],[Raw Gems/hr]]*(1+TblProd[[#This Row],[Bonus Gems/hr]]),0)</f>
        <v>0</v>
      </c>
      <c r="Y50" s="148" t="n">
        <f aca="false">OFFSET(TblConstr[[#This Row],[Tot Doc]],1,0)*dock_boats_hr * (1 + tech_4_1*TblTech[[#This Row],[4-1]])</f>
        <v>0.5</v>
      </c>
      <c r="Z50" s="146"/>
      <c r="AA50" s="69" t="n">
        <f aca="false">TblPop[[#This Row],[Peasants]]*tax*TblPop[[#This Row],[Employment]] + (Construction!AZ51+Construction!BX51)*(alch_plat+(Magic!AM50&gt;0)*alchemist_flame_bonus)</f>
        <v>36338.8</v>
      </c>
      <c r="AB50" s="69" t="n">
        <f aca="false">TblConstr[[#This Row],[Tot Farm]]*farm_food + TblConstr[[#This Row],[Tot Doc]]*dock_food</f>
        <v>1920</v>
      </c>
      <c r="AC50" s="69" t="n">
        <f aca="false">TblConstr[[#This Row],[Tot Ly]]*ly_lumber + TblConstr[[#This Row],[Tot Hav]]*fh_lumber</f>
        <v>1250</v>
      </c>
      <c r="AD50" s="69" t="n">
        <f aca="false">OFFSET(TblConstr[[#This Row],[Tot Tow]],1,0)*(tower_mana + tech_4_5*TblTech[[#This Row],[4-5]]) + OFFSET(TblConstr[[#This Row],[Tot WG]],1,0)*wg_mana_prod</f>
        <v>625</v>
      </c>
      <c r="AE50" s="69" t="n">
        <f aca="false">OFFSET(TblConstr[[#This Row],[Tot OM]],1,0)*om_ore+IF(race="Dwarf",ROUNDDOWN(TblMili[[#This Row],[Unit 2]]*0.4,0),)</f>
        <v>0</v>
      </c>
      <c r="AF50" s="69" t="n">
        <f aca="false">OFFSET(TblConstr[[#This Row],[Tot DM]],1,0)*dm_gems</f>
        <v>0</v>
      </c>
      <c r="AG50" s="132"/>
      <c r="AH50" s="149" t="n">
        <f aca="false">MIN(race_platinum_bonus + IF(TblMagic[[#This Row],[Active Alch Frost]]&gt;0,alch_frost_bonus,IF(Magic!AD50&gt;0,midas_bonus)) + TblImps[[#This Row],[Science]] - TblProd[[#This Row],[Guard]]*(0.02 + tech_5_7*TblTech[[#This Row],[5-7]]) + tech_1_5*TblTech[[#This Row],[1-5]] + tech_4_4*TblTech[[#This Row],[4-4]], 0.5)</f>
        <v>0.1</v>
      </c>
      <c r="AI5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0" s="149" t="n">
        <f aca="false">race_lumber_bonus+ IF(TblMagic[[#This Row],[Active Gaia''s Blessing]]&gt;0,gaias_blessing_lumber)+ tech_1_3*TblTech[[#This Row],[1-3]] + tech_1_6*TblTech[[#This Row],[1-6]] + tech_3_3*TblTech[[#This Row],[3-3]]</f>
        <v>-0.1</v>
      </c>
      <c r="AK50" s="149" t="n">
        <f aca="false">race_mana_bonus+ 0 + TblImps[[#This Row],[Towers]] + tech_1_2*TblTech[[#This Row],[1-2]] + tech_3_4*TblTech[[#This Row],[3-4]]</f>
        <v>0</v>
      </c>
      <c r="AL50" s="149" t="n">
        <f aca="false">race_ore_bonus + IF(TblMagic[[#This Row],[Active Miner''s Sight]]&gt;0,miners_sight_bonus,IF(TblMagic[[#This Row],[Active Mining Strength]]&gt;0,mining_strength_bonus)) +  tech_1_6*TblTech[[#This Row],[1-6]]</f>
        <v>0</v>
      </c>
      <c r="AM50" s="149" t="n">
        <f aca="false">race_gem_bonus+ tech_3_2*TblTech[[#This Row],[3-2]] + tech_4_3*TblTech[[#This Row],[4-3]] + tech_6_2*TblTech[[#This Row],[6-2]]</f>
        <v>0.15</v>
      </c>
      <c r="AN50" s="132"/>
      <c r="AO50" s="69" t="n">
        <f aca="false">TblProd[[#This Row],[Food]]*food_decay * (1 + tech_2_1*TblTech[[#This Row],[2-1]] + tech_2_8*TblTech[[#This Row],[2-8]])</f>
        <v>121.68</v>
      </c>
      <c r="AP50" s="69" t="n">
        <f aca="false">(1+race_food_consumption)*TblPop[[#This Row],[Total]]*food_per_person*(1+tech_1_10*TblTech[[#This Row],[1-10]]+tech_7_5*TblTech[[#This Row],[7-5]])</f>
        <v>2240</v>
      </c>
      <c r="AQ50" s="69" t="n">
        <f aca="false">TblProd[[#This Row],[Lumber]]*lumber_rot * (1 + tech_2_1*TblTech[[#This Row],[2-1]] + tech_2_8*TblTech[[#This Row],[2-8]] + tech_5_2*TblTech[[#This Row],[5-2]])</f>
        <v>91.83</v>
      </c>
      <c r="AR50" s="69" t="n">
        <f aca="false">TblProd[[#This Row],[Mana]]*mana_drain * (1 + tech_2_1*TblTech[[#This Row],[2-1]] + tech_2_8*TblTech[[#This Row],[2-8]])</f>
        <v>105.5</v>
      </c>
      <c r="AS50" s="146"/>
      <c r="AT50" s="69" t="n">
        <f aca="false">TblExplore[[#This Row],[Platinum (2)]]+TblConstr[[#This Row],[Total Plat Cost]]+TblMili[[#This Row],[Plat Cost]]+TblRezone[[#This Row],[Platinum cost]]+TblImps[[#This Row],[P1]]-TblProd[[#This Row],[Bank Plat]]</f>
        <v>5952</v>
      </c>
      <c r="AU50" s="69" t="n">
        <f aca="false">TblConstr[[#This Row],[Total Lum Cost]]+TblImps[[#This Row],[L1]]-TblProd[[#This Row],[Bank Lumber]] + Military!$CL$25*TblMili[[#This Row],[Sec. rec. Cost]]</f>
        <v>1056</v>
      </c>
      <c r="AV50" s="69" t="n">
        <f aca="false">TblMagic[[#This Row],[Mana cost]] + Military!$CL$26*TblMili[[#This Row],[Sec. rec. Cost]]</f>
        <v>0</v>
      </c>
      <c r="AW50" s="69" t="n">
        <f aca="false">Military!$CL$24*TblMili[[#This Row],[Sec. rec. Cost]]+TblImps[[#This Row],[O1]]-TblProd[[#This Row],[Bank Ore]]</f>
        <v>0</v>
      </c>
      <c r="AX50" s="69" t="n">
        <f aca="false">TblImps[[#This Row],[G1]]-TblProd[[#This Row],[Bank Gems]]</f>
        <v>0</v>
      </c>
      <c r="AY50" s="132"/>
      <c r="AZ50" s="33" t="n">
        <f aca="false">IF(TblProd[[#This Row],[Set Guard]]&lt;&gt;"",TblProd[[#This Row],[Set Guard]],OFFSET(TblProd[[#This Row],[Guard]],-1,0))</f>
        <v>0</v>
      </c>
      <c r="BA50" s="145"/>
      <c r="BB50" s="151" t="n">
        <f aca="false">TblProd[[#This Row],[Hour]]</f>
        <v>47</v>
      </c>
      <c r="BC50" s="152" t="n">
        <f aca="false">-TblProd[[#This Row],[Bank Lumber]] / 2 + -TblProd[[#This Row],[Bank Gems]] * 2 + -TblProd[[#This Row],[Bank Ore]] / 2</f>
        <v>0</v>
      </c>
      <c r="BD50" s="152"/>
      <c r="BE50" s="152"/>
      <c r="BF50" s="152"/>
      <c r="BG50" s="153" t="n">
        <f aca="false">TblProd[[#This Row],[Time]]</f>
        <v>45431.6666666667</v>
      </c>
      <c r="BH5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69" t="n">
        <f aca="false">TblProd[[#This Row],[Platinum]]</f>
        <v>209248</v>
      </c>
      <c r="BJ50" s="69" t="n">
        <f aca="false">TblProd[[#This Row],[Food]]</f>
        <v>12168</v>
      </c>
      <c r="BK50" s="69" t="n">
        <f aca="false">TblProd[[#This Row],[Lumber]]</f>
        <v>9183</v>
      </c>
      <c r="BL50" s="69" t="n">
        <f aca="false">TblProd[[#This Row],[Mana]]</f>
        <v>5275</v>
      </c>
      <c r="BM50" s="69" t="n">
        <f aca="false">TblProd[[#This Row],[Ore]]</f>
        <v>0</v>
      </c>
    </row>
    <row r="51" customFormat="false" ht="12.75" hidden="false" customHeight="false" outlineLevel="0" collapsed="false">
      <c r="A51" s="128" t="n">
        <v>48</v>
      </c>
      <c r="B51" s="144" t="n">
        <f aca="false">TblImps[[#This Row],[Time]]</f>
        <v>45431.7083333333</v>
      </c>
      <c r="C51" s="145" t="n">
        <v>1</v>
      </c>
      <c r="D51" s="146"/>
      <c r="E51" s="69" t="n">
        <f aca="false">TblConstr[[#This Row],[Land]]</f>
        <v>596</v>
      </c>
      <c r="F51" s="69" t="n">
        <f aca="false">TblPop[[#This Row],[Peasants]]</f>
        <v>8717</v>
      </c>
      <c r="G51" s="69" t="e">
        <f aca="false">TblMili[[#This Row],[Networth (2)]]</f>
        <v>#VALUE!</v>
      </c>
      <c r="H51" s="69" t="n">
        <f aca="false">OFFSET(TblProd[[#This Row],[Platinum]],-1,0)+OFFSET(TblProd[[#This Row],[Plat/hr]],-1,0) - TblProd[[#This Row],[Expenses Platinum]] + IF(TblProd[[#This Row],[Plat Bonus]],TblPop[[#This Row],[Peasants]]*4) + SUM(TblConstr[[#This Row],[Dest Hom]:[Dest Doc]])*TblConstr[[#This Row],[CPA Platinum -DB]]*tech_3_3_2*TblTech[[#This Row],[3-3]]</f>
        <v>267289</v>
      </c>
      <c r="I51" s="69" t="n">
        <f aca="false">OFFSET(TblProd[[#This Row],[Food]],-1,0)+OFFSET(TblProd[[#This Row],[Food/hr]],-1,0)+ROUNDUP((TblConstr[[#This Row],[Farms]]*80+TblConstr[[#This Row],[Docks]]*35)*(1+OFFSET(TblProd[[#This Row],[Bonus Food/hr]],-1,0)),0)</f>
        <v>11774</v>
      </c>
      <c r="J51" s="69" t="n">
        <f aca="false">OFFSET(TblProd[[#This Row],[Lumber]],-1,0)+OFFSET(TblProd[[#This Row],[Lumber/hr]],-1,0) - TblProd[[#This Row],[Expenses Lumber]] + SUM(TblConstr[[#This Row],[Dest Hom]:[Dest Doc]])*TblConstr[[#This Row],[CPA Lumber -DB]]*tech_3_3_2*TblTech[[#This Row],[3-3]]</f>
        <v>7186</v>
      </c>
      <c r="K51" s="69" t="n">
        <f aca="false">OFFSET(TblProd[[#This Row],[Mana]],-1,0)+OFFSET(TblProd[[#This Row],[Mana/hr]],-1,0)- TblProd[[#This Row],[Expenses Mana]]</f>
        <v>5795</v>
      </c>
      <c r="L51" s="69" t="n">
        <f aca="false">OFFSET(TblProd[[#This Row],[Ore]],-1,0)+OFFSET(TblProd[[#This Row],[Ore/hr]],-1,0) -TblProd[[#This Row],[Expenses Ore]]</f>
        <v>0</v>
      </c>
      <c r="M51" s="69" t="n">
        <f aca="false">OFFSET(TblProd[[#This Row],[Gems]],-1,0)+OFFSET(TblProd[[#This Row],[Gems/hr]],-1,0) - TblProd[[#This Row],[Expenses Gems]]</f>
        <v>0</v>
      </c>
      <c r="N51" s="69" t="n">
        <f aca="false">OFFSET(TblProd[[#This Row],[Boats]],-1,0)+OFFSET(TblProd[[#This Row],[Boats/hr]],-1,0)</f>
        <v>7.75</v>
      </c>
      <c r="O51" s="69" t="n">
        <f aca="false">OFFSET(TblProd[[#This Row],[Prestige]],-1,0)</f>
        <v>250</v>
      </c>
      <c r="P5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1" s="69" t="n">
        <f aca="false">MAX(3750,_xlfn.CEILING.MATH(TblProd[[#This Row],[Land]]*2.5+OFFSET(TblTech[[#This Row],[Sum of tech]],-1,0)*150))</f>
        <v>3750</v>
      </c>
      <c r="R51" s="132"/>
      <c r="S51" s="69" t="n">
        <f aca="false">ROUNDDOWN(TblProd[[#This Row],[Raw Plat/hr]]*(1+TblProd[[#This Row],[Bonus Plat/hr]]),0)</f>
        <v>40302</v>
      </c>
      <c r="T51" s="69" t="n">
        <f aca="false">ROUND(TblProd[[#This Row],[Raw Food/hr]]*(1+TblProd[[#This Row],[Bonus Food/hr]])-TblProd[[#This Row],[Food decay]]-TblProd[[#This Row],[Food eaten]],0)</f>
        <v>-439</v>
      </c>
      <c r="U51" s="69" t="n">
        <f aca="false">ROUND(TblProd[[#This Row],[Raw Lumber/hr]]*(1+TblProd[[#This Row],[Bonus Lumber/hr]])-TblProd[[#This Row],[Lumber rot]],0)</f>
        <v>1053</v>
      </c>
      <c r="V51" s="69" t="n">
        <f aca="false">ROUND(TblProd[[#This Row],[Raw Mana/hr]]*(1+TblProd[[#This Row],[Bonus Mana/hr]])-TblProd[[#This Row],[Mana drain]],0)</f>
        <v>509</v>
      </c>
      <c r="W51" s="69" t="n">
        <f aca="false">ROUNDDOWN(TblProd[[#This Row],[Raw Ore/hr]]*(1+TblProd[[#This Row],[Bonux Ore/hr]]),0)</f>
        <v>0</v>
      </c>
      <c r="X51" s="69" t="n">
        <f aca="false">ROUNDDOWN(TblProd[[#This Row],[Raw Gems/hr]]*(1+TblProd[[#This Row],[Bonus Gems/hr]]),0)</f>
        <v>0</v>
      </c>
      <c r="Y51" s="148" t="n">
        <f aca="false">OFFSET(TblConstr[[#This Row],[Tot Doc]],1,0)*dock_boats_hr * (1 + tech_4_1*TblTech[[#This Row],[4-1]])</f>
        <v>0.5</v>
      </c>
      <c r="Z51" s="146"/>
      <c r="AA51" s="69" t="n">
        <f aca="false">TblPop[[#This Row],[Peasants]]*tax*TblPop[[#This Row],[Employment]] + (Construction!AZ52+Construction!BX52)*(alch_plat+(Magic!AM51&gt;0)*alchemist_flame_bonus)</f>
        <v>36638.5</v>
      </c>
      <c r="AB51" s="69" t="n">
        <f aca="false">TblConstr[[#This Row],[Tot Farm]]*farm_food + TblConstr[[#This Row],[Tot Doc]]*dock_food</f>
        <v>1920</v>
      </c>
      <c r="AC51" s="69" t="n">
        <f aca="false">TblConstr[[#This Row],[Tot Ly]]*ly_lumber + TblConstr[[#This Row],[Tot Hav]]*fh_lumber</f>
        <v>1250</v>
      </c>
      <c r="AD51" s="69" t="n">
        <f aca="false">OFFSET(TblConstr[[#This Row],[Tot Tow]],1,0)*(tower_mana + tech_4_5*TblTech[[#This Row],[4-5]]) + OFFSET(TblConstr[[#This Row],[Tot WG]],1,0)*wg_mana_prod</f>
        <v>625</v>
      </c>
      <c r="AE51" s="69" t="n">
        <f aca="false">OFFSET(TblConstr[[#This Row],[Tot OM]],1,0)*om_ore+IF(race="Dwarf",ROUNDDOWN(TblMili[[#This Row],[Unit 2]]*0.4,0),)</f>
        <v>0</v>
      </c>
      <c r="AF51" s="69" t="n">
        <f aca="false">OFFSET(TblConstr[[#This Row],[Tot DM]],1,0)*dm_gems</f>
        <v>0</v>
      </c>
      <c r="AG51" s="132"/>
      <c r="AH51" s="149" t="n">
        <f aca="false">MIN(race_platinum_bonus + IF(TblMagic[[#This Row],[Active Alch Frost]]&gt;0,alch_frost_bonus,IF(Magic!AD51&gt;0,midas_bonus)) + TblImps[[#This Row],[Science]] - TblProd[[#This Row],[Guard]]*(0.02 + tech_5_7*TblTech[[#This Row],[5-7]]) + tech_1_5*TblTech[[#This Row],[1-5]] + tech_4_4*TblTech[[#This Row],[4-4]], 0.5)</f>
        <v>0.1</v>
      </c>
      <c r="AI5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1" s="149" t="n">
        <f aca="false">race_lumber_bonus+ IF(TblMagic[[#This Row],[Active Gaia''s Blessing]]&gt;0,gaias_blessing_lumber)+ tech_1_3*TblTech[[#This Row],[1-3]] + tech_1_6*TblTech[[#This Row],[1-6]] + tech_3_3*TblTech[[#This Row],[3-3]]</f>
        <v>-0.1</v>
      </c>
      <c r="AK51" s="149" t="n">
        <f aca="false">race_mana_bonus+ 0 + TblImps[[#This Row],[Towers]] + tech_1_2*TblTech[[#This Row],[1-2]] + tech_3_4*TblTech[[#This Row],[3-4]]</f>
        <v>0</v>
      </c>
      <c r="AL51" s="149" t="n">
        <f aca="false">race_ore_bonus + IF(TblMagic[[#This Row],[Active Miner''s Sight]]&gt;0,miners_sight_bonus,IF(TblMagic[[#This Row],[Active Mining Strength]]&gt;0,mining_strength_bonus)) +  tech_1_6*TblTech[[#This Row],[1-6]]</f>
        <v>0</v>
      </c>
      <c r="AM51" s="149" t="n">
        <f aca="false">race_gem_bonus+ tech_3_2*TblTech[[#This Row],[3-2]] + tech_4_3*TblTech[[#This Row],[4-3]] + tech_6_2*TblTech[[#This Row],[6-2]]</f>
        <v>0.15</v>
      </c>
      <c r="AN51" s="132"/>
      <c r="AO51" s="69" t="n">
        <f aca="false">TblProd[[#This Row],[Food]]*food_decay * (1 + tech_2_1*TblTech[[#This Row],[2-1]] + tech_2_8*TblTech[[#This Row],[2-8]])</f>
        <v>117.74</v>
      </c>
      <c r="AP51" s="69" t="n">
        <f aca="false">(1+race_food_consumption)*TblPop[[#This Row],[Total]]*food_per_person*(1+tech_1_10*TblTech[[#This Row],[1-10]]+tech_7_5*TblTech[[#This Row],[7-5]])</f>
        <v>2289.75</v>
      </c>
      <c r="AQ51" s="69" t="n">
        <f aca="false">TblProd[[#This Row],[Lumber]]*lumber_rot * (1 + tech_2_1*TblTech[[#This Row],[2-1]] + tech_2_8*TblTech[[#This Row],[2-8]] + tech_5_2*TblTech[[#This Row],[5-2]])</f>
        <v>71.86</v>
      </c>
      <c r="AR51" s="69" t="n">
        <f aca="false">TblProd[[#This Row],[Mana]]*mana_drain * (1 + tech_2_1*TblTech[[#This Row],[2-1]] + tech_2_8*TblTech[[#This Row],[2-8]])</f>
        <v>115.9</v>
      </c>
      <c r="AS51" s="146"/>
      <c r="AT51" s="69" t="n">
        <f aca="false">TblExplore[[#This Row],[Platinum (2)]]+TblConstr[[#This Row],[Total Plat Cost]]+TblMili[[#This Row],[Plat Cost]]+TblRezone[[#This Row],[Platinum cost]]+TblImps[[#This Row],[P1]]-TblProd[[#This Row],[Bank Plat]]</f>
        <v>16799</v>
      </c>
      <c r="AU51" s="69" t="n">
        <f aca="false">TblConstr[[#This Row],[Total Lum Cost]]+TblImps[[#This Row],[L1]]-TblProd[[#This Row],[Bank Lumber]] + Military!$CL$25*TblMili[[#This Row],[Sec. rec. Cost]]</f>
        <v>3030</v>
      </c>
      <c r="AV51" s="69" t="n">
        <f aca="false">TblMagic[[#This Row],[Mana cost]] + Military!$CL$26*TblMili[[#This Row],[Sec. rec. Cost]]</f>
        <v>0</v>
      </c>
      <c r="AW51" s="69" t="n">
        <f aca="false">Military!$CL$24*TblMili[[#This Row],[Sec. rec. Cost]]+TblImps[[#This Row],[O1]]-TblProd[[#This Row],[Bank Ore]]</f>
        <v>0</v>
      </c>
      <c r="AX51" s="69" t="n">
        <f aca="false">TblImps[[#This Row],[G1]]-TblProd[[#This Row],[Bank Gems]]</f>
        <v>0</v>
      </c>
      <c r="AY51" s="132"/>
      <c r="AZ51" s="33" t="n">
        <f aca="false">IF(TblProd[[#This Row],[Set Guard]]&lt;&gt;"",TblProd[[#This Row],[Set Guard]],OFFSET(TblProd[[#This Row],[Guard]],-1,0))</f>
        <v>0</v>
      </c>
      <c r="BA51" s="145"/>
      <c r="BB51" s="151" t="n">
        <f aca="false">TblProd[[#This Row],[Hour]]</f>
        <v>48</v>
      </c>
      <c r="BC51" s="152" t="n">
        <f aca="false">-TblProd[[#This Row],[Bank Lumber]] / 2 + -TblProd[[#This Row],[Bank Gems]] * 2 + -TblProd[[#This Row],[Bank Ore]] / 2</f>
        <v>0</v>
      </c>
      <c r="BD51" s="152"/>
      <c r="BE51" s="152"/>
      <c r="BF51" s="152"/>
      <c r="BG51" s="153" t="n">
        <f aca="false">TblProd[[#This Row],[Time]]</f>
        <v>45431.7083333333</v>
      </c>
      <c r="BH5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69" t="n">
        <f aca="false">TblProd[[#This Row],[Platinum]]</f>
        <v>267289</v>
      </c>
      <c r="BJ51" s="69" t="n">
        <f aca="false">TblProd[[#This Row],[Food]]</f>
        <v>11774</v>
      </c>
      <c r="BK51" s="69" t="n">
        <f aca="false">TblProd[[#This Row],[Lumber]]</f>
        <v>7186</v>
      </c>
      <c r="BL51" s="69" t="n">
        <f aca="false">TblProd[[#This Row],[Mana]]</f>
        <v>5795</v>
      </c>
      <c r="BM51" s="69" t="n">
        <f aca="false">TblProd[[#This Row],[Ore]]</f>
        <v>0</v>
      </c>
    </row>
    <row r="52" customFormat="false" ht="12.75" hidden="false" customHeight="false" outlineLevel="0" collapsed="false">
      <c r="A52" s="128" t="n">
        <v>49</v>
      </c>
      <c r="B52" s="144" t="n">
        <f aca="false">TblImps[[#This Row],[Time]]</f>
        <v>45431.75</v>
      </c>
      <c r="C52" s="145"/>
      <c r="D52" s="146"/>
      <c r="E52" s="69" t="n">
        <f aca="false">TblConstr[[#This Row],[Land]]</f>
        <v>629</v>
      </c>
      <c r="F52" s="69" t="n">
        <f aca="false">TblPop[[#This Row],[Peasants]]</f>
        <v>9138</v>
      </c>
      <c r="G52" s="69" t="e">
        <f aca="false">TblMili[[#This Row],[Networth (2)]]</f>
        <v>#VALUE!</v>
      </c>
      <c r="H52" s="69" t="n">
        <f aca="false">OFFSET(TblProd[[#This Row],[Platinum]],-1,0)+OFFSET(TblProd[[#This Row],[Plat/hr]],-1,0) - TblProd[[#This Row],[Expenses Platinum]] + IF(TblProd[[#This Row],[Plat Bonus]],TblPop[[#This Row],[Peasants]]*4) + SUM(TblConstr[[#This Row],[Dest Hom]:[Dest Doc]])*TblConstr[[#This Row],[CPA Platinum -DB]]*tech_3_3_2*TblTech[[#This Row],[3-3]]</f>
        <v>290264</v>
      </c>
      <c r="I52" s="69" t="n">
        <f aca="false">OFFSET(TblProd[[#This Row],[Food]],-1,0)+OFFSET(TblProd[[#This Row],[Food/hr]],-1,0)+ROUNDUP((TblConstr[[#This Row],[Farms]]*80+TblConstr[[#This Row],[Docks]]*35)*(1+OFFSET(TblProd[[#This Row],[Bonus Food/hr]],-1,0)),0)</f>
        <v>11335</v>
      </c>
      <c r="J52" s="69" t="n">
        <f aca="false">OFFSET(TblProd[[#This Row],[Lumber]],-1,0)+OFFSET(TblProd[[#This Row],[Lumber/hr]],-1,0) - TblProd[[#This Row],[Expenses Lumber]] + SUM(TblConstr[[#This Row],[Dest Hom]:[Dest Doc]])*TblConstr[[#This Row],[CPA Lumber -DB]]*tech_3_3_2*TblTech[[#This Row],[3-3]]</f>
        <v>5044</v>
      </c>
      <c r="K52" s="69" t="n">
        <f aca="false">OFFSET(TblProd[[#This Row],[Mana]],-1,0)+OFFSET(TblProd[[#This Row],[Mana/hr]],-1,0)- TblProd[[#This Row],[Expenses Mana]]</f>
        <v>6304</v>
      </c>
      <c r="L52" s="69" t="n">
        <f aca="false">OFFSET(TblProd[[#This Row],[Ore]],-1,0)+OFFSET(TblProd[[#This Row],[Ore/hr]],-1,0) -TblProd[[#This Row],[Expenses Ore]]</f>
        <v>0</v>
      </c>
      <c r="M52" s="69" t="n">
        <f aca="false">OFFSET(TblProd[[#This Row],[Gems]],-1,0)+OFFSET(TblProd[[#This Row],[Gems/hr]],-1,0) - TblProd[[#This Row],[Expenses Gems]]</f>
        <v>0</v>
      </c>
      <c r="N52" s="69" t="n">
        <f aca="false">OFFSET(TblProd[[#This Row],[Boats]],-1,0)+OFFSET(TblProd[[#This Row],[Boats/hr]],-1,0)</f>
        <v>8.25</v>
      </c>
      <c r="O52" s="69" t="n">
        <f aca="false">OFFSET(TblProd[[#This Row],[Prestige]],-1,0)</f>
        <v>250</v>
      </c>
      <c r="P5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2" s="69" t="n">
        <f aca="false">MAX(3750,_xlfn.CEILING.MATH(TblProd[[#This Row],[Land]]*2.5+OFFSET(TblTech[[#This Row],[Sum of tech]],-1,0)*150))</f>
        <v>3750</v>
      </c>
      <c r="R52" s="132"/>
      <c r="S52" s="69" t="n">
        <f aca="false">ROUNDDOWN(TblProd[[#This Row],[Raw Plat/hr]]*(1+TblProd[[#This Row],[Bonus Plat/hr]]),0)</f>
        <v>40302</v>
      </c>
      <c r="T52" s="69" t="n">
        <f aca="false">ROUND(TblProd[[#This Row],[Raw Food/hr]]*(1+TblProd[[#This Row],[Bonus Food/hr]])-TblProd[[#This Row],[Food decay]]-TblProd[[#This Row],[Food eaten]],0)</f>
        <v>-562</v>
      </c>
      <c r="U52" s="69" t="n">
        <f aca="false">ROUND(TblProd[[#This Row],[Raw Lumber/hr]]*(1+TblProd[[#This Row],[Bonus Lumber/hr]])-TblProd[[#This Row],[Lumber rot]],0)</f>
        <v>1075</v>
      </c>
      <c r="V52" s="69" t="n">
        <f aca="false">ROUND(TblProd[[#This Row],[Raw Mana/hr]]*(1+TblProd[[#This Row],[Bonus Mana/hr]])-TblProd[[#This Row],[Mana drain]],0)</f>
        <v>499</v>
      </c>
      <c r="W52" s="69" t="n">
        <f aca="false">ROUNDDOWN(TblProd[[#This Row],[Raw Ore/hr]]*(1+TblProd[[#This Row],[Bonux Ore/hr]]),0)</f>
        <v>0</v>
      </c>
      <c r="X52" s="69" t="n">
        <f aca="false">ROUNDDOWN(TblProd[[#This Row],[Raw Gems/hr]]*(1+TblProd[[#This Row],[Bonus Gems/hr]]),0)</f>
        <v>0</v>
      </c>
      <c r="Y52" s="148" t="n">
        <f aca="false">OFFSET(TblConstr[[#This Row],[Tot Doc]],1,0)*dock_boats_hr * (1 + tech_4_1*TblTech[[#This Row],[4-1]])</f>
        <v>0.5</v>
      </c>
      <c r="Z52" s="146"/>
      <c r="AA52" s="69" t="n">
        <f aca="false">TblPop[[#This Row],[Peasants]]*tax*TblPop[[#This Row],[Employment]] + (Construction!AZ53+Construction!BX53)*(alch_plat+(Magic!AM52&gt;0)*alchemist_flame_bonus)</f>
        <v>36638.5</v>
      </c>
      <c r="AB52" s="69" t="n">
        <f aca="false">TblConstr[[#This Row],[Tot Farm]]*farm_food + TblConstr[[#This Row],[Tot Doc]]*dock_food</f>
        <v>1920</v>
      </c>
      <c r="AC52" s="69" t="n">
        <f aca="false">TblConstr[[#This Row],[Tot Ly]]*ly_lumber + TblConstr[[#This Row],[Tot Hav]]*fh_lumber</f>
        <v>1250</v>
      </c>
      <c r="AD52" s="69" t="n">
        <f aca="false">OFFSET(TblConstr[[#This Row],[Tot Tow]],1,0)*(tower_mana + tech_4_5*TblTech[[#This Row],[4-5]]) + OFFSET(TblConstr[[#This Row],[Tot WG]],1,0)*wg_mana_prod</f>
        <v>625</v>
      </c>
      <c r="AE52" s="69" t="n">
        <f aca="false">OFFSET(TblConstr[[#This Row],[Tot OM]],1,0)*om_ore+IF(race="Dwarf",ROUNDDOWN(TblMili[[#This Row],[Unit 2]]*0.4,0),)</f>
        <v>0</v>
      </c>
      <c r="AF52" s="69" t="n">
        <f aca="false">OFFSET(TblConstr[[#This Row],[Tot DM]],1,0)*dm_gems</f>
        <v>0</v>
      </c>
      <c r="AG52" s="132"/>
      <c r="AH52" s="149" t="n">
        <f aca="false">MIN(race_platinum_bonus + IF(TblMagic[[#This Row],[Active Alch Frost]]&gt;0,alch_frost_bonus,IF(Magic!AD52&gt;0,midas_bonus)) + TblImps[[#This Row],[Science]] - TblProd[[#This Row],[Guard]]*(0.02 + tech_5_7*TblTech[[#This Row],[5-7]]) + tech_1_5*TblTech[[#This Row],[1-5]] + tech_4_4*TblTech[[#This Row],[4-4]], 0.5)</f>
        <v>0.1</v>
      </c>
      <c r="AI5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2" s="149" t="n">
        <f aca="false">race_lumber_bonus+ IF(TblMagic[[#This Row],[Active Gaia''s Blessing]]&gt;0,gaias_blessing_lumber)+ tech_1_3*TblTech[[#This Row],[1-3]] + tech_1_6*TblTech[[#This Row],[1-6]] + tech_3_3*TblTech[[#This Row],[3-3]]</f>
        <v>-0.1</v>
      </c>
      <c r="AK52" s="149" t="n">
        <f aca="false">race_mana_bonus+ 0 + TblImps[[#This Row],[Towers]] + tech_1_2*TblTech[[#This Row],[1-2]] + tech_3_4*TblTech[[#This Row],[3-4]]</f>
        <v>0</v>
      </c>
      <c r="AL52" s="149" t="n">
        <f aca="false">race_ore_bonus + IF(TblMagic[[#This Row],[Active Miner''s Sight]]&gt;0,miners_sight_bonus,IF(TblMagic[[#This Row],[Active Mining Strength]]&gt;0,mining_strength_bonus)) +  tech_1_6*TblTech[[#This Row],[1-6]]</f>
        <v>0</v>
      </c>
      <c r="AM52" s="149" t="n">
        <f aca="false">race_gem_bonus+ tech_3_2*TblTech[[#This Row],[3-2]] + tech_4_3*TblTech[[#This Row],[4-3]] + tech_6_2*TblTech[[#This Row],[6-2]]</f>
        <v>0.15</v>
      </c>
      <c r="AN52" s="132"/>
      <c r="AO52" s="69" t="n">
        <f aca="false">TblProd[[#This Row],[Food]]*food_decay * (1 + tech_2_1*TblTech[[#This Row],[2-1]] + tech_2_8*TblTech[[#This Row],[2-8]])</f>
        <v>113.35</v>
      </c>
      <c r="AP52" s="69" t="n">
        <f aca="false">(1+race_food_consumption)*TblPop[[#This Row],[Total]]*food_per_person*(1+tech_1_10*TblTech[[#This Row],[1-10]]+tech_7_5*TblTech[[#This Row],[7-5]])</f>
        <v>2416.75</v>
      </c>
      <c r="AQ52" s="69" t="n">
        <f aca="false">TblProd[[#This Row],[Lumber]]*lumber_rot * (1 + tech_2_1*TblTech[[#This Row],[2-1]] + tech_2_8*TblTech[[#This Row],[2-8]] + tech_5_2*TblTech[[#This Row],[5-2]])</f>
        <v>50.44</v>
      </c>
      <c r="AR52" s="69" t="n">
        <f aca="false">TblProd[[#This Row],[Mana]]*mana_drain * (1 + tech_2_1*TblTech[[#This Row],[2-1]] + tech_2_8*TblTech[[#This Row],[2-8]])</f>
        <v>126.08</v>
      </c>
      <c r="AS52" s="146"/>
      <c r="AT52" s="69" t="n">
        <f aca="false">TblExplore[[#This Row],[Platinum (2)]]+TblConstr[[#This Row],[Total Plat Cost]]+TblMili[[#This Row],[Plat Cost]]+TblRezone[[#This Row],[Platinum cost]]+TblImps[[#This Row],[P1]]-TblProd[[#This Row],[Bank Plat]]</f>
        <v>17327</v>
      </c>
      <c r="AU52" s="69" t="n">
        <f aca="false">TblConstr[[#This Row],[Total Lum Cost]]+TblImps[[#This Row],[L1]]-TblProd[[#This Row],[Bank Lumber]] + Military!$CL$25*TblMili[[#This Row],[Sec. rec. Cost]]</f>
        <v>3195</v>
      </c>
      <c r="AV52" s="69" t="n">
        <f aca="false">TblMagic[[#This Row],[Mana cost]] + Military!$CL$26*TblMili[[#This Row],[Sec. rec. Cost]]</f>
        <v>0</v>
      </c>
      <c r="AW52" s="69" t="n">
        <f aca="false">Military!$CL$24*TblMili[[#This Row],[Sec. rec. Cost]]+TblImps[[#This Row],[O1]]-TblProd[[#This Row],[Bank Ore]]</f>
        <v>0</v>
      </c>
      <c r="AX52" s="69" t="n">
        <f aca="false">TblImps[[#This Row],[G1]]-TblProd[[#This Row],[Bank Gems]]</f>
        <v>0</v>
      </c>
      <c r="AY52" s="132"/>
      <c r="AZ52" s="33" t="n">
        <f aca="false">IF(TblProd[[#This Row],[Set Guard]]&lt;&gt;"",TblProd[[#This Row],[Set Guard]],OFFSET(TblProd[[#This Row],[Guard]],-1,0))</f>
        <v>0</v>
      </c>
      <c r="BA52" s="145"/>
      <c r="BB52" s="151" t="n">
        <f aca="false">TblProd[[#This Row],[Hour]]</f>
        <v>49</v>
      </c>
      <c r="BC52" s="152" t="n">
        <f aca="false">-TblProd[[#This Row],[Bank Lumber]] / 2 + -TblProd[[#This Row],[Bank Gems]] * 2 + -TblProd[[#This Row],[Bank Ore]] / 2</f>
        <v>0</v>
      </c>
      <c r="BD52" s="152"/>
      <c r="BE52" s="152"/>
      <c r="BF52" s="152"/>
      <c r="BG52" s="153" t="n">
        <f aca="false">TblProd[[#This Row],[Time]]</f>
        <v>45431.75</v>
      </c>
      <c r="BH5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69" t="n">
        <f aca="false">TblProd[[#This Row],[Platinum]]</f>
        <v>290264</v>
      </c>
      <c r="BJ52" s="69" t="n">
        <f aca="false">TblProd[[#This Row],[Food]]</f>
        <v>11335</v>
      </c>
      <c r="BK52" s="69" t="n">
        <f aca="false">TblProd[[#This Row],[Lumber]]</f>
        <v>5044</v>
      </c>
      <c r="BL52" s="69" t="n">
        <f aca="false">TblProd[[#This Row],[Mana]]</f>
        <v>6304</v>
      </c>
      <c r="BM52" s="69" t="n">
        <f aca="false">TblProd[[#This Row],[Ore]]</f>
        <v>0</v>
      </c>
    </row>
    <row r="53" customFormat="false" ht="12.75" hidden="false" customHeight="false" outlineLevel="0" collapsed="false">
      <c r="A53" s="128" t="n">
        <v>50</v>
      </c>
      <c r="B53" s="144" t="n">
        <f aca="false">TblImps[[#This Row],[Time]]</f>
        <v>45431.7916666667</v>
      </c>
      <c r="C53" s="145"/>
      <c r="D53" s="146"/>
      <c r="E53" s="69" t="n">
        <f aca="false">TblConstr[[#This Row],[Land]]</f>
        <v>642</v>
      </c>
      <c r="F53" s="69" t="n">
        <f aca="false">TblPop[[#This Row],[Peasants]]</f>
        <v>9573</v>
      </c>
      <c r="G53" s="69" t="e">
        <f aca="false">TblMili[[#This Row],[Networth (2)]]</f>
        <v>#VALUE!</v>
      </c>
      <c r="H53" s="69" t="n">
        <f aca="false">OFFSET(TblProd[[#This Row],[Platinum]],-1,0)+OFFSET(TblProd[[#This Row],[Plat/hr]],-1,0) - TblProd[[#This Row],[Expenses Platinum]] + IF(TblProd[[#This Row],[Plat Bonus]],TblPop[[#This Row],[Peasants]]*4) + SUM(TblConstr[[#This Row],[Dest Hom]:[Dest Doc]])*TblConstr[[#This Row],[CPA Platinum -DB]]*tech_3_3_2*TblTech[[#This Row],[3-3]]</f>
        <v>323598</v>
      </c>
      <c r="I53" s="69" t="n">
        <f aca="false">OFFSET(TblProd[[#This Row],[Food]],-1,0)+OFFSET(TblProd[[#This Row],[Food/hr]],-1,0)+ROUNDUP((TblConstr[[#This Row],[Farms]]*80+TblConstr[[#This Row],[Docks]]*35)*(1+OFFSET(TblProd[[#This Row],[Bonus Food/hr]],-1,0)),0)</f>
        <v>10773</v>
      </c>
      <c r="J53" s="69" t="n">
        <f aca="false">OFFSET(TblProd[[#This Row],[Lumber]],-1,0)+OFFSET(TblProd[[#This Row],[Lumber/hr]],-1,0) - TblProd[[#This Row],[Expenses Lumber]] + SUM(TblConstr[[#This Row],[Dest Hom]:[Dest Doc]])*TblConstr[[#This Row],[CPA Lumber -DB]]*tech_3_3_2*TblTech[[#This Row],[3-3]]</f>
        <v>4832</v>
      </c>
      <c r="K53" s="69" t="n">
        <f aca="false">OFFSET(TblProd[[#This Row],[Mana]],-1,0)+OFFSET(TblProd[[#This Row],[Mana/hr]],-1,0)- TblProd[[#This Row],[Expenses Mana]]</f>
        <v>3593</v>
      </c>
      <c r="L53" s="69" t="n">
        <f aca="false">OFFSET(TblProd[[#This Row],[Ore]],-1,0)+OFFSET(TblProd[[#This Row],[Ore/hr]],-1,0) -TblProd[[#This Row],[Expenses Ore]]</f>
        <v>0</v>
      </c>
      <c r="M53" s="69" t="n">
        <f aca="false">OFFSET(TblProd[[#This Row],[Gems]],-1,0)+OFFSET(TblProd[[#This Row],[Gems/hr]],-1,0) - TblProd[[#This Row],[Expenses Gems]]</f>
        <v>0</v>
      </c>
      <c r="N53" s="69" t="n">
        <f aca="false">OFFSET(TblProd[[#This Row],[Boats]],-1,0)+OFFSET(TblProd[[#This Row],[Boats/hr]],-1,0)</f>
        <v>8.75</v>
      </c>
      <c r="O53" s="69" t="n">
        <f aca="false">OFFSET(TblProd[[#This Row],[Prestige]],-1,0)</f>
        <v>250</v>
      </c>
      <c r="P5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3" s="69" t="n">
        <f aca="false">MAX(3750,_xlfn.CEILING.MATH(TblProd[[#This Row],[Land]]*2.5+OFFSET(TblTech[[#This Row],[Sum of tech]],-1,0)*150))</f>
        <v>3750</v>
      </c>
      <c r="R53" s="132"/>
      <c r="S53" s="69" t="n">
        <f aca="false">ROUNDDOWN(TblProd[[#This Row],[Raw Plat/hr]]*(1+TblProd[[#This Row],[Bonus Plat/hr]]),0)</f>
        <v>40302</v>
      </c>
      <c r="T53" s="69" t="n">
        <f aca="false">ROUND(TblProd[[#This Row],[Raw Food/hr]]*(1+TblProd[[#This Row],[Bonus Food/hr]])-TblProd[[#This Row],[Food decay]]-TblProd[[#This Row],[Food eaten]],0)</f>
        <v>-688</v>
      </c>
      <c r="U53" s="69" t="n">
        <f aca="false">ROUND(TblProd[[#This Row],[Raw Lumber/hr]]*(1+TblProd[[#This Row],[Bonus Lumber/hr]])-TblProd[[#This Row],[Lumber rot]],0)</f>
        <v>1077</v>
      </c>
      <c r="V53" s="69" t="n">
        <f aca="false">ROUND(TblProd[[#This Row],[Raw Mana/hr]]*(1+TblProd[[#This Row],[Bonus Mana/hr]])-TblProd[[#This Row],[Mana drain]],0)</f>
        <v>553</v>
      </c>
      <c r="W53" s="69" t="n">
        <f aca="false">ROUNDDOWN(TblProd[[#This Row],[Raw Ore/hr]]*(1+TblProd[[#This Row],[Bonux Ore/hr]]),0)</f>
        <v>0</v>
      </c>
      <c r="X53" s="69" t="n">
        <f aca="false">ROUNDDOWN(TblProd[[#This Row],[Raw Gems/hr]]*(1+TblProd[[#This Row],[Bonus Gems/hr]]),0)</f>
        <v>0</v>
      </c>
      <c r="Y53" s="148" t="n">
        <f aca="false">OFFSET(TblConstr[[#This Row],[Tot Doc]],1,0)*dock_boats_hr * (1 + tech_4_1*TblTech[[#This Row],[4-1]])</f>
        <v>0.5</v>
      </c>
      <c r="Z53" s="146"/>
      <c r="AA53" s="69" t="n">
        <f aca="false">TblPop[[#This Row],[Peasants]]*tax*TblPop[[#This Row],[Employment]] + (Construction!AZ54+Construction!BX54)*(alch_plat+(Magic!AM53&gt;0)*alchemist_flame_bonus)</f>
        <v>36638.5</v>
      </c>
      <c r="AB53" s="69" t="n">
        <f aca="false">TblConstr[[#This Row],[Tot Farm]]*farm_food + TblConstr[[#This Row],[Tot Doc]]*dock_food</f>
        <v>1920</v>
      </c>
      <c r="AC53" s="69" t="n">
        <f aca="false">TblConstr[[#This Row],[Tot Ly]]*ly_lumber + TblConstr[[#This Row],[Tot Hav]]*fh_lumber</f>
        <v>1250</v>
      </c>
      <c r="AD53" s="69" t="n">
        <f aca="false">OFFSET(TblConstr[[#This Row],[Tot Tow]],1,0)*(tower_mana + tech_4_5*TblTech[[#This Row],[4-5]]) + OFFSET(TblConstr[[#This Row],[Tot WG]],1,0)*wg_mana_prod</f>
        <v>625</v>
      </c>
      <c r="AE53" s="69" t="n">
        <f aca="false">OFFSET(TblConstr[[#This Row],[Tot OM]],1,0)*om_ore+IF(race="Dwarf",ROUNDDOWN(TblMili[[#This Row],[Unit 2]]*0.4,0),)</f>
        <v>0</v>
      </c>
      <c r="AF53" s="69" t="n">
        <f aca="false">OFFSET(TblConstr[[#This Row],[Tot DM]],1,0)*dm_gems</f>
        <v>0</v>
      </c>
      <c r="AG53" s="132"/>
      <c r="AH53" s="149" t="n">
        <f aca="false">MIN(race_platinum_bonus + IF(TblMagic[[#This Row],[Active Alch Frost]]&gt;0,alch_frost_bonus,IF(Magic!AD53&gt;0,midas_bonus)) + TblImps[[#This Row],[Science]] - TblProd[[#This Row],[Guard]]*(0.02 + tech_5_7*TblTech[[#This Row],[5-7]]) + tech_1_5*TblTech[[#This Row],[1-5]] + tech_4_4*TblTech[[#This Row],[4-4]], 0.5)</f>
        <v>0.1</v>
      </c>
      <c r="AI5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3" s="149" t="n">
        <f aca="false">race_lumber_bonus+ IF(TblMagic[[#This Row],[Active Gaia''s Blessing]]&gt;0,gaias_blessing_lumber)+ tech_1_3*TblTech[[#This Row],[1-3]] + tech_1_6*TblTech[[#This Row],[1-6]] + tech_3_3*TblTech[[#This Row],[3-3]]</f>
        <v>-0.1</v>
      </c>
      <c r="AK53" s="149" t="n">
        <f aca="false">race_mana_bonus+ 0 + TblImps[[#This Row],[Towers]] + tech_1_2*TblTech[[#This Row],[1-2]] + tech_3_4*TblTech[[#This Row],[3-4]]</f>
        <v>0</v>
      </c>
      <c r="AL53" s="149" t="n">
        <f aca="false">race_ore_bonus + IF(TblMagic[[#This Row],[Active Miner''s Sight]]&gt;0,miners_sight_bonus,IF(TblMagic[[#This Row],[Active Mining Strength]]&gt;0,mining_strength_bonus)) +  tech_1_6*TblTech[[#This Row],[1-6]]</f>
        <v>0</v>
      </c>
      <c r="AM53" s="149" t="n">
        <f aca="false">race_gem_bonus+ tech_3_2*TblTech[[#This Row],[3-2]] + tech_4_3*TblTech[[#This Row],[4-3]] + tech_6_2*TblTech[[#This Row],[6-2]]</f>
        <v>0.15</v>
      </c>
      <c r="AN53" s="132"/>
      <c r="AO53" s="69" t="n">
        <f aca="false">TblProd[[#This Row],[Food]]*food_decay * (1 + tech_2_1*TblTech[[#This Row],[2-1]] + tech_2_8*TblTech[[#This Row],[2-8]])</f>
        <v>107.73</v>
      </c>
      <c r="AP53" s="69" t="n">
        <f aca="false">(1+race_food_consumption)*TblPop[[#This Row],[Total]]*food_per_person*(1+tech_1_10*TblTech[[#This Row],[1-10]]+tech_7_5*TblTech[[#This Row],[7-5]])</f>
        <v>2548.25</v>
      </c>
      <c r="AQ53" s="69" t="n">
        <f aca="false">TblProd[[#This Row],[Lumber]]*lumber_rot * (1 + tech_2_1*TblTech[[#This Row],[2-1]] + tech_2_8*TblTech[[#This Row],[2-8]] + tech_5_2*TblTech[[#This Row],[5-2]])</f>
        <v>48.32</v>
      </c>
      <c r="AR53" s="69" t="n">
        <f aca="false">TblProd[[#This Row],[Mana]]*mana_drain * (1 + tech_2_1*TblTech[[#This Row],[2-1]] + tech_2_8*TblTech[[#This Row],[2-8]])</f>
        <v>71.86</v>
      </c>
      <c r="AS53" s="146"/>
      <c r="AT53" s="69" t="n">
        <f aca="false">TblExplore[[#This Row],[Platinum (2)]]+TblConstr[[#This Row],[Total Plat Cost]]+TblMili[[#This Row],[Plat Cost]]+TblRezone[[#This Row],[Platinum cost]]+TblImps[[#This Row],[P1]]-TblProd[[#This Row],[Bank Plat]]</f>
        <v>6968</v>
      </c>
      <c r="AU53" s="69" t="n">
        <f aca="false">TblConstr[[#This Row],[Total Lum Cost]]+TblImps[[#This Row],[L1]]-TblProd[[#This Row],[Bank Lumber]] + Military!$CL$25*TblMili[[#This Row],[Sec. rec. Cost]]</f>
        <v>1287</v>
      </c>
      <c r="AV53" s="69" t="n">
        <f aca="false">TblMagic[[#This Row],[Mana cost]] + Military!$CL$26*TblMili[[#This Row],[Sec. rec. Cost]]</f>
        <v>3210</v>
      </c>
      <c r="AW53" s="69" t="n">
        <f aca="false">Military!$CL$24*TblMili[[#This Row],[Sec. rec. Cost]]+TblImps[[#This Row],[O1]]-TblProd[[#This Row],[Bank Ore]]</f>
        <v>0</v>
      </c>
      <c r="AX53" s="69" t="n">
        <f aca="false">TblImps[[#This Row],[G1]]-TblProd[[#This Row],[Bank Gems]]</f>
        <v>0</v>
      </c>
      <c r="AY53" s="132"/>
      <c r="AZ53" s="33" t="n">
        <f aca="false">IF(TblProd[[#This Row],[Set Guard]]&lt;&gt;"",TblProd[[#This Row],[Set Guard]],OFFSET(TblProd[[#This Row],[Guard]],-1,0))</f>
        <v>0</v>
      </c>
      <c r="BA53" s="145"/>
      <c r="BB53" s="151" t="n">
        <f aca="false">TblProd[[#This Row],[Hour]]</f>
        <v>50</v>
      </c>
      <c r="BC53" s="152" t="n">
        <f aca="false">-TblProd[[#This Row],[Bank Lumber]] / 2 + -TblProd[[#This Row],[Bank Gems]] * 2 + -TblProd[[#This Row],[Bank Ore]] / 2</f>
        <v>0</v>
      </c>
      <c r="BD53" s="152"/>
      <c r="BE53" s="152"/>
      <c r="BF53" s="152"/>
      <c r="BG53" s="153" t="n">
        <f aca="false">TblProd[[#This Row],[Time]]</f>
        <v>45431.7916666667</v>
      </c>
      <c r="BH5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69" t="n">
        <f aca="false">TblProd[[#This Row],[Platinum]]</f>
        <v>323598</v>
      </c>
      <c r="BJ53" s="69" t="n">
        <f aca="false">TblProd[[#This Row],[Food]]</f>
        <v>10773</v>
      </c>
      <c r="BK53" s="69" t="n">
        <f aca="false">TblProd[[#This Row],[Lumber]]</f>
        <v>4832</v>
      </c>
      <c r="BL53" s="69" t="n">
        <f aca="false">TblProd[[#This Row],[Mana]]</f>
        <v>3593</v>
      </c>
      <c r="BM53" s="69" t="n">
        <f aca="false">TblProd[[#This Row],[Ore]]</f>
        <v>0</v>
      </c>
    </row>
    <row r="54" customFormat="false" ht="12.75" hidden="false" customHeight="false" outlineLevel="0" collapsed="false">
      <c r="A54" s="128" t="n">
        <v>51</v>
      </c>
      <c r="B54" s="144" t="n">
        <f aca="false">TblImps[[#This Row],[Time]]</f>
        <v>45431.8333333333</v>
      </c>
      <c r="C54" s="145"/>
      <c r="D54" s="146"/>
      <c r="E54" s="69" t="n">
        <f aca="false">TblConstr[[#This Row],[Land]]</f>
        <v>656</v>
      </c>
      <c r="F54" s="69" t="n">
        <f aca="false">TblPop[[#This Row],[Peasants]]</f>
        <v>9724</v>
      </c>
      <c r="G54" s="69" t="e">
        <f aca="false">TblMili[[#This Row],[Networth (2)]]</f>
        <v>#VALUE!</v>
      </c>
      <c r="H54" s="69" t="n">
        <f aca="false">OFFSET(TblProd[[#This Row],[Platinum]],-1,0)+OFFSET(TblProd[[#This Row],[Plat/hr]],-1,0) - TblProd[[#This Row],[Expenses Platinum]] + IF(TblProd[[#This Row],[Plat Bonus]],TblPop[[#This Row],[Peasants]]*4) + SUM(TblConstr[[#This Row],[Dest Hom]:[Dest Doc]])*TblConstr[[#This Row],[CPA Platinum -DB]]*tech_3_3_2*TblTech[[#This Row],[3-3]]</f>
        <v>356298</v>
      </c>
      <c r="I54" s="69" t="n">
        <f aca="false">OFFSET(TblProd[[#This Row],[Food]],-1,0)+OFFSET(TblProd[[#This Row],[Food/hr]],-1,0)+ROUNDUP((TblConstr[[#This Row],[Farms]]*80+TblConstr[[#This Row],[Docks]]*35)*(1+OFFSET(TblProd[[#This Row],[Bonus Food/hr]],-1,0)),0)</f>
        <v>10085</v>
      </c>
      <c r="J54" s="69" t="n">
        <f aca="false">OFFSET(TblProd[[#This Row],[Lumber]],-1,0)+OFFSET(TblProd[[#This Row],[Lumber/hr]],-1,0) - TblProd[[#This Row],[Expenses Lumber]] + SUM(TblConstr[[#This Row],[Dest Hom]:[Dest Doc]])*TblConstr[[#This Row],[CPA Lumber -DB]]*tech_3_3_2*TblTech[[#This Row],[3-3]]</f>
        <v>4495</v>
      </c>
      <c r="K54" s="69" t="n">
        <f aca="false">OFFSET(TblProd[[#This Row],[Mana]],-1,0)+OFFSET(TblProd[[#This Row],[Mana/hr]],-1,0)- TblProd[[#This Row],[Expenses Mana]]</f>
        <v>4146</v>
      </c>
      <c r="L54" s="69" t="n">
        <f aca="false">OFFSET(TblProd[[#This Row],[Ore]],-1,0)+OFFSET(TblProd[[#This Row],[Ore/hr]],-1,0) -TblProd[[#This Row],[Expenses Ore]]</f>
        <v>0</v>
      </c>
      <c r="M54" s="69" t="n">
        <f aca="false">OFFSET(TblProd[[#This Row],[Gems]],-1,0)+OFFSET(TblProd[[#This Row],[Gems/hr]],-1,0) - TblProd[[#This Row],[Expenses Gems]]</f>
        <v>0</v>
      </c>
      <c r="N54" s="69" t="n">
        <f aca="false">OFFSET(TblProd[[#This Row],[Boats]],-1,0)+OFFSET(TblProd[[#This Row],[Boats/hr]],-1,0)</f>
        <v>9.25</v>
      </c>
      <c r="O54" s="69" t="n">
        <f aca="false">OFFSET(TblProd[[#This Row],[Prestige]],-1,0)</f>
        <v>250</v>
      </c>
      <c r="P5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4" s="69" t="n">
        <f aca="false">MAX(3750,_xlfn.CEILING.MATH(TblProd[[#This Row],[Land]]*2.5+OFFSET(TblTech[[#This Row],[Sum of tech]],-1,0)*150))</f>
        <v>3750</v>
      </c>
      <c r="R54" s="132"/>
      <c r="S54" s="69" t="n">
        <f aca="false">ROUNDDOWN(TblProd[[#This Row],[Raw Plat/hr]]*(1+TblProd[[#This Row],[Bonus Plat/hr]]),0)</f>
        <v>40302</v>
      </c>
      <c r="T54" s="69" t="n">
        <f aca="false">ROUND(TblProd[[#This Row],[Raw Food/hr]]*(1+TblProd[[#This Row],[Bonus Food/hr]])-TblProd[[#This Row],[Food decay]]-TblProd[[#This Row],[Food eaten]],0)</f>
        <v>-743</v>
      </c>
      <c r="U54" s="69" t="n">
        <f aca="false">ROUND(TblProd[[#This Row],[Raw Lumber/hr]]*(1+TblProd[[#This Row],[Bonus Lumber/hr]])-TblProd[[#This Row],[Lumber rot]],0)</f>
        <v>1080</v>
      </c>
      <c r="V54" s="69" t="n">
        <f aca="false">ROUND(TblProd[[#This Row],[Raw Mana/hr]]*(1+TblProd[[#This Row],[Bonus Mana/hr]])-TblProd[[#This Row],[Mana drain]],0)</f>
        <v>542</v>
      </c>
      <c r="W54" s="69" t="n">
        <f aca="false">ROUNDDOWN(TblProd[[#This Row],[Raw Ore/hr]]*(1+TblProd[[#This Row],[Bonux Ore/hr]]),0)</f>
        <v>0</v>
      </c>
      <c r="X54" s="69" t="n">
        <f aca="false">ROUNDDOWN(TblProd[[#This Row],[Raw Gems/hr]]*(1+TblProd[[#This Row],[Bonus Gems/hr]]),0)</f>
        <v>0</v>
      </c>
      <c r="Y54" s="148" t="n">
        <f aca="false">OFFSET(TblConstr[[#This Row],[Tot Doc]],1,0)*dock_boats_hr * (1 + tech_4_1*TblTech[[#This Row],[4-1]])</f>
        <v>0.5</v>
      </c>
      <c r="Z54" s="146"/>
      <c r="AA54" s="69" t="n">
        <f aca="false">TblPop[[#This Row],[Peasants]]*tax*TblPop[[#This Row],[Employment]] + (Construction!AZ55+Construction!BX55)*(alch_plat+(Magic!AM54&gt;0)*alchemist_flame_bonus)</f>
        <v>36638.5</v>
      </c>
      <c r="AB54" s="69" t="n">
        <f aca="false">TblConstr[[#This Row],[Tot Farm]]*farm_food + TblConstr[[#This Row],[Tot Doc]]*dock_food</f>
        <v>1920</v>
      </c>
      <c r="AC54" s="69" t="n">
        <f aca="false">TblConstr[[#This Row],[Tot Ly]]*ly_lumber + TblConstr[[#This Row],[Tot Hav]]*fh_lumber</f>
        <v>1250</v>
      </c>
      <c r="AD54" s="69" t="n">
        <f aca="false">OFFSET(TblConstr[[#This Row],[Tot Tow]],1,0)*(tower_mana + tech_4_5*TblTech[[#This Row],[4-5]]) + OFFSET(TblConstr[[#This Row],[Tot WG]],1,0)*wg_mana_prod</f>
        <v>625</v>
      </c>
      <c r="AE54" s="69" t="n">
        <f aca="false">OFFSET(TblConstr[[#This Row],[Tot OM]],1,0)*om_ore+IF(race="Dwarf",ROUNDDOWN(TblMili[[#This Row],[Unit 2]]*0.4,0),)</f>
        <v>0</v>
      </c>
      <c r="AF54" s="69" t="n">
        <f aca="false">OFFSET(TblConstr[[#This Row],[Tot DM]],1,0)*dm_gems</f>
        <v>0</v>
      </c>
      <c r="AG54" s="132"/>
      <c r="AH54" s="149" t="n">
        <f aca="false">MIN(race_platinum_bonus + IF(TblMagic[[#This Row],[Active Alch Frost]]&gt;0,alch_frost_bonus,IF(Magic!AD54&gt;0,midas_bonus)) + TblImps[[#This Row],[Science]] - TblProd[[#This Row],[Guard]]*(0.02 + tech_5_7*TblTech[[#This Row],[5-7]]) + tech_1_5*TblTech[[#This Row],[1-5]] + tech_4_4*TblTech[[#This Row],[4-4]], 0.5)</f>
        <v>0.1</v>
      </c>
      <c r="AI5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4" s="149" t="n">
        <f aca="false">race_lumber_bonus+ IF(TblMagic[[#This Row],[Active Gaia''s Blessing]]&gt;0,gaias_blessing_lumber)+ tech_1_3*TblTech[[#This Row],[1-3]] + tech_1_6*TblTech[[#This Row],[1-6]] + tech_3_3*TblTech[[#This Row],[3-3]]</f>
        <v>-0.1</v>
      </c>
      <c r="AK54" s="149" t="n">
        <f aca="false">race_mana_bonus+ 0 + TblImps[[#This Row],[Towers]] + tech_1_2*TblTech[[#This Row],[1-2]] + tech_3_4*TblTech[[#This Row],[3-4]]</f>
        <v>0</v>
      </c>
      <c r="AL54" s="149" t="n">
        <f aca="false">race_ore_bonus + IF(TblMagic[[#This Row],[Active Miner''s Sight]]&gt;0,miners_sight_bonus,IF(TblMagic[[#This Row],[Active Mining Strength]]&gt;0,mining_strength_bonus)) +  tech_1_6*TblTech[[#This Row],[1-6]]</f>
        <v>0</v>
      </c>
      <c r="AM54" s="149" t="n">
        <f aca="false">race_gem_bonus+ tech_3_2*TblTech[[#This Row],[3-2]] + tech_4_3*TblTech[[#This Row],[4-3]] + tech_6_2*TblTech[[#This Row],[6-2]]</f>
        <v>0.15</v>
      </c>
      <c r="AN54" s="132"/>
      <c r="AO54" s="69" t="n">
        <f aca="false">TblProd[[#This Row],[Food]]*food_decay * (1 + tech_2_1*TblTech[[#This Row],[2-1]] + tech_2_8*TblTech[[#This Row],[2-8]])</f>
        <v>100.85</v>
      </c>
      <c r="AP54" s="69" t="n">
        <f aca="false">(1+race_food_consumption)*TblPop[[#This Row],[Total]]*food_per_person*(1+tech_1_10*TblTech[[#This Row],[1-10]]+tech_7_5*TblTech[[#This Row],[7-5]])</f>
        <v>2610</v>
      </c>
      <c r="AQ54" s="69" t="n">
        <f aca="false">TblProd[[#This Row],[Lumber]]*lumber_rot * (1 + tech_2_1*TblTech[[#This Row],[2-1]] + tech_2_8*TblTech[[#This Row],[2-8]] + tech_5_2*TblTech[[#This Row],[5-2]])</f>
        <v>44.95</v>
      </c>
      <c r="AR54" s="69" t="n">
        <f aca="false">TblProd[[#This Row],[Mana]]*mana_drain * (1 + tech_2_1*TblTech[[#This Row],[2-1]] + tech_2_8*TblTech[[#This Row],[2-8]])</f>
        <v>82.92</v>
      </c>
      <c r="AS54" s="146"/>
      <c r="AT54" s="69" t="n">
        <f aca="false">TblExplore[[#This Row],[Platinum (2)]]+TblConstr[[#This Row],[Total Plat Cost]]+TblMili[[#This Row],[Plat Cost]]+TblRezone[[#This Row],[Platinum cost]]+TblImps[[#This Row],[P1]]-TblProd[[#This Row],[Bank Plat]]</f>
        <v>7602</v>
      </c>
      <c r="AU54" s="69" t="n">
        <f aca="false">TblConstr[[#This Row],[Total Lum Cost]]+TblImps[[#This Row],[L1]]-TblProd[[#This Row],[Bank Lumber]] + Military!$CL$25*TblMili[[#This Row],[Sec. rec. Cost]]</f>
        <v>1414</v>
      </c>
      <c r="AV54" s="69" t="n">
        <f aca="false">TblMagic[[#This Row],[Mana cost]] + Military!$CL$26*TblMili[[#This Row],[Sec. rec. Cost]]</f>
        <v>0</v>
      </c>
      <c r="AW54" s="69" t="n">
        <f aca="false">Military!$CL$24*TblMili[[#This Row],[Sec. rec. Cost]]+TblImps[[#This Row],[O1]]-TblProd[[#This Row],[Bank Ore]]</f>
        <v>0</v>
      </c>
      <c r="AX54" s="69" t="n">
        <f aca="false">TblImps[[#This Row],[G1]]-TblProd[[#This Row],[Bank Gems]]</f>
        <v>0</v>
      </c>
      <c r="AY54" s="132"/>
      <c r="AZ54" s="33" t="n">
        <f aca="false">IF(TblProd[[#This Row],[Set Guard]]&lt;&gt;"",TblProd[[#This Row],[Set Guard]],OFFSET(TblProd[[#This Row],[Guard]],-1,0))</f>
        <v>0</v>
      </c>
      <c r="BA54" s="145"/>
      <c r="BB54" s="151" t="n">
        <f aca="false">TblProd[[#This Row],[Hour]]</f>
        <v>51</v>
      </c>
      <c r="BC54" s="152" t="n">
        <f aca="false">-TblProd[[#This Row],[Bank Lumber]] / 2 + -TblProd[[#This Row],[Bank Gems]] * 2 + -TblProd[[#This Row],[Bank Ore]] / 2</f>
        <v>0</v>
      </c>
      <c r="BD54" s="152"/>
      <c r="BE54" s="152"/>
      <c r="BF54" s="152"/>
      <c r="BG54" s="153" t="n">
        <f aca="false">TblProd[[#This Row],[Time]]</f>
        <v>45431.8333333333</v>
      </c>
      <c r="BH5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69" t="n">
        <f aca="false">TblProd[[#This Row],[Platinum]]</f>
        <v>356298</v>
      </c>
      <c r="BJ54" s="69" t="n">
        <f aca="false">TblProd[[#This Row],[Food]]</f>
        <v>10085</v>
      </c>
      <c r="BK54" s="69" t="n">
        <f aca="false">TblProd[[#This Row],[Lumber]]</f>
        <v>4495</v>
      </c>
      <c r="BL54" s="69" t="n">
        <f aca="false">TblProd[[#This Row],[Mana]]</f>
        <v>4146</v>
      </c>
      <c r="BM54" s="69" t="n">
        <f aca="false">TblProd[[#This Row],[Ore]]</f>
        <v>0</v>
      </c>
    </row>
    <row r="55" customFormat="false" ht="12.75" hidden="false" customHeight="false" outlineLevel="0" collapsed="false">
      <c r="A55" s="128" t="n">
        <v>52</v>
      </c>
      <c r="B55" s="144" t="n">
        <f aca="false">TblImps[[#This Row],[Time]]</f>
        <v>45431.875</v>
      </c>
      <c r="C55" s="145"/>
      <c r="D55" s="146"/>
      <c r="E55" s="69" t="n">
        <f aca="false">TblConstr[[#This Row],[Land]]</f>
        <v>669</v>
      </c>
      <c r="F55" s="69" t="n">
        <f aca="false">TblPop[[#This Row],[Peasants]]</f>
        <v>9847</v>
      </c>
      <c r="G55" s="69" t="e">
        <f aca="false">TblMili[[#This Row],[Networth (2)]]</f>
        <v>#VALUE!</v>
      </c>
      <c r="H55" s="69" t="n">
        <f aca="false">OFFSET(TblProd[[#This Row],[Platinum]],-1,0)+OFFSET(TblProd[[#This Row],[Plat/hr]],-1,0) - TblProd[[#This Row],[Expenses Platinum]] + IF(TblProd[[#This Row],[Plat Bonus]],TblPop[[#This Row],[Peasants]]*4) + SUM(TblConstr[[#This Row],[Dest Hom]:[Dest Doc]])*TblConstr[[#This Row],[CPA Platinum -DB]]*tech_3_3_2*TblTech[[#This Row],[3-3]]</f>
        <v>389463</v>
      </c>
      <c r="I55" s="69" t="n">
        <f aca="false">OFFSET(TblProd[[#This Row],[Food]],-1,0)+OFFSET(TblProd[[#This Row],[Food/hr]],-1,0)+ROUNDUP((TblConstr[[#This Row],[Farms]]*80+TblConstr[[#This Row],[Docks]]*35)*(1+OFFSET(TblProd[[#This Row],[Bonus Food/hr]],-1,0)),0)</f>
        <v>9342</v>
      </c>
      <c r="J55" s="69" t="n">
        <f aca="false">OFFSET(TblProd[[#This Row],[Lumber]],-1,0)+OFFSET(TblProd[[#This Row],[Lumber/hr]],-1,0) - TblProd[[#This Row],[Expenses Lumber]] + SUM(TblConstr[[#This Row],[Dest Hom]:[Dest Doc]])*TblConstr[[#This Row],[CPA Lumber -DB]]*tech_3_3_2*TblTech[[#This Row],[3-3]]</f>
        <v>4236</v>
      </c>
      <c r="K55" s="69" t="n">
        <f aca="false">OFFSET(TblProd[[#This Row],[Mana]],-1,0)+OFFSET(TblProd[[#This Row],[Mana/hr]],-1,0)- TblProd[[#This Row],[Expenses Mana]]</f>
        <v>3015.5</v>
      </c>
      <c r="L55" s="69" t="n">
        <f aca="false">OFFSET(TblProd[[#This Row],[Ore]],-1,0)+OFFSET(TblProd[[#This Row],[Ore/hr]],-1,0) -TblProd[[#This Row],[Expenses Ore]]</f>
        <v>0</v>
      </c>
      <c r="M55" s="69" t="n">
        <f aca="false">OFFSET(TblProd[[#This Row],[Gems]],-1,0)+OFFSET(TblProd[[#This Row],[Gems/hr]],-1,0) - TblProd[[#This Row],[Expenses Gems]]</f>
        <v>0</v>
      </c>
      <c r="N55" s="69" t="n">
        <f aca="false">OFFSET(TblProd[[#This Row],[Boats]],-1,0)+OFFSET(TblProd[[#This Row],[Boats/hr]],-1,0)</f>
        <v>9.75</v>
      </c>
      <c r="O55" s="69" t="n">
        <f aca="false">OFFSET(TblProd[[#This Row],[Prestige]],-1,0)</f>
        <v>250</v>
      </c>
      <c r="P5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5" s="69" t="n">
        <f aca="false">MAX(3750,_xlfn.CEILING.MATH(TblProd[[#This Row],[Land]]*2.5+OFFSET(TblTech[[#This Row],[Sum of tech]],-1,0)*150))</f>
        <v>3750</v>
      </c>
      <c r="R55" s="132"/>
      <c r="S55" s="69" t="n">
        <f aca="false">ROUNDDOWN(TblProd[[#This Row],[Raw Plat/hr]]*(1+TblProd[[#This Row],[Bonus Plat/hr]]),0)</f>
        <v>45897</v>
      </c>
      <c r="T55" s="69" t="n">
        <f aca="false">ROUND(TblProd[[#This Row],[Raw Food/hr]]*(1+TblProd[[#This Row],[Bonus Food/hr]])-TblProd[[#This Row],[Food decay]]-TblProd[[#This Row],[Food eaten]],0)</f>
        <v>-790</v>
      </c>
      <c r="U55" s="69" t="n">
        <f aca="false">ROUND(TblProd[[#This Row],[Raw Lumber/hr]]*(1+TblProd[[#This Row],[Bonus Lumber/hr]])-TblProd[[#This Row],[Lumber rot]],0)</f>
        <v>1083</v>
      </c>
      <c r="V55" s="69" t="n">
        <f aca="false">ROUND(TblProd[[#This Row],[Raw Mana/hr]]*(1+TblProd[[#This Row],[Bonus Mana/hr]])-TblProd[[#This Row],[Mana drain]],0)</f>
        <v>565</v>
      </c>
      <c r="W55" s="69" t="n">
        <f aca="false">ROUNDDOWN(TblProd[[#This Row],[Raw Ore/hr]]*(1+TblProd[[#This Row],[Bonux Ore/hr]]),0)</f>
        <v>0</v>
      </c>
      <c r="X55" s="69" t="n">
        <f aca="false">ROUNDDOWN(TblProd[[#This Row],[Raw Gems/hr]]*(1+TblProd[[#This Row],[Bonus Gems/hr]]),0)</f>
        <v>0</v>
      </c>
      <c r="Y55" s="148" t="n">
        <f aca="false">OFFSET(TblConstr[[#This Row],[Tot Doc]],1,0)*dock_boats_hr * (1 + tech_4_1*TblTech[[#This Row],[4-1]])</f>
        <v>0.5</v>
      </c>
      <c r="Z55" s="146"/>
      <c r="AA55" s="69" t="n">
        <f aca="false">TblPop[[#This Row],[Peasants]]*tax*TblPop[[#This Row],[Employment]] + (Construction!AZ56+Construction!BX56)*(alch_plat+(Magic!AM55&gt;0)*alchemist_flame_bonus)</f>
        <v>41724.9</v>
      </c>
      <c r="AB55" s="69" t="n">
        <f aca="false">TblConstr[[#This Row],[Tot Farm]]*farm_food + TblConstr[[#This Row],[Tot Doc]]*dock_food</f>
        <v>1920</v>
      </c>
      <c r="AC55" s="69" t="n">
        <f aca="false">TblConstr[[#This Row],[Tot Ly]]*ly_lumber + TblConstr[[#This Row],[Tot Hav]]*fh_lumber</f>
        <v>1250</v>
      </c>
      <c r="AD55" s="69" t="n">
        <f aca="false">OFFSET(TblConstr[[#This Row],[Tot Tow]],1,0)*(tower_mana + tech_4_5*TblTech[[#This Row],[4-5]]) + OFFSET(TblConstr[[#This Row],[Tot WG]],1,0)*wg_mana_prod</f>
        <v>625</v>
      </c>
      <c r="AE55" s="69" t="n">
        <f aca="false">OFFSET(TblConstr[[#This Row],[Tot OM]],1,0)*om_ore+IF(race="Dwarf",ROUNDDOWN(TblMili[[#This Row],[Unit 2]]*0.4,0),)</f>
        <v>0</v>
      </c>
      <c r="AF55" s="69" t="n">
        <f aca="false">OFFSET(TblConstr[[#This Row],[Tot DM]],1,0)*dm_gems</f>
        <v>0</v>
      </c>
      <c r="AG55" s="132"/>
      <c r="AH55" s="149" t="n">
        <f aca="false">MIN(race_platinum_bonus + IF(TblMagic[[#This Row],[Active Alch Frost]]&gt;0,alch_frost_bonus,IF(Magic!AD55&gt;0,midas_bonus)) + TblImps[[#This Row],[Science]] - TblProd[[#This Row],[Guard]]*(0.02 + tech_5_7*TblTech[[#This Row],[5-7]]) + tech_1_5*TblTech[[#This Row],[1-5]] + tech_4_4*TblTech[[#This Row],[4-4]], 0.5)</f>
        <v>0.1</v>
      </c>
      <c r="AI5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5" s="149" t="n">
        <f aca="false">race_lumber_bonus+ IF(TblMagic[[#This Row],[Active Gaia''s Blessing]]&gt;0,gaias_blessing_lumber)+ tech_1_3*TblTech[[#This Row],[1-3]] + tech_1_6*TblTech[[#This Row],[1-6]] + tech_3_3*TblTech[[#This Row],[3-3]]</f>
        <v>-0.1</v>
      </c>
      <c r="AK55" s="149" t="n">
        <f aca="false">race_mana_bonus+ 0 + TblImps[[#This Row],[Towers]] + tech_1_2*TblTech[[#This Row],[1-2]] + tech_3_4*TblTech[[#This Row],[3-4]]</f>
        <v>0</v>
      </c>
      <c r="AL55" s="149" t="n">
        <f aca="false">race_ore_bonus + IF(TblMagic[[#This Row],[Active Miner''s Sight]]&gt;0,miners_sight_bonus,IF(TblMagic[[#This Row],[Active Mining Strength]]&gt;0,mining_strength_bonus)) +  tech_1_6*TblTech[[#This Row],[1-6]]</f>
        <v>0</v>
      </c>
      <c r="AM55" s="149" t="n">
        <f aca="false">race_gem_bonus+ tech_3_2*TblTech[[#This Row],[3-2]] + tech_4_3*TblTech[[#This Row],[4-3]] + tech_6_2*TblTech[[#This Row],[6-2]]</f>
        <v>0.15</v>
      </c>
      <c r="AN55" s="132"/>
      <c r="AO55" s="69" t="n">
        <f aca="false">TblProd[[#This Row],[Food]]*food_decay * (1 + tech_2_1*TblTech[[#This Row],[2-1]] + tech_2_8*TblTech[[#This Row],[2-8]])</f>
        <v>93.42</v>
      </c>
      <c r="AP55" s="69" t="n">
        <f aca="false">(1+race_food_consumption)*TblPop[[#This Row],[Total]]*food_per_person*(1+tech_1_10*TblTech[[#This Row],[1-10]]+tech_7_5*TblTech[[#This Row],[7-5]])</f>
        <v>2665</v>
      </c>
      <c r="AQ55" s="69" t="n">
        <f aca="false">TblProd[[#This Row],[Lumber]]*lumber_rot * (1 + tech_2_1*TblTech[[#This Row],[2-1]] + tech_2_8*TblTech[[#This Row],[2-8]] + tech_5_2*TblTech[[#This Row],[5-2]])</f>
        <v>42.36</v>
      </c>
      <c r="AR55" s="69" t="n">
        <f aca="false">TblProd[[#This Row],[Mana]]*mana_drain * (1 + tech_2_1*TblTech[[#This Row],[2-1]] + tech_2_8*TblTech[[#This Row],[2-8]])</f>
        <v>60.31</v>
      </c>
      <c r="AS55" s="146"/>
      <c r="AT55" s="69" t="n">
        <f aca="false">TblExplore[[#This Row],[Platinum (2)]]+TblConstr[[#This Row],[Total Plat Cost]]+TblMili[[#This Row],[Plat Cost]]+TblRezone[[#This Row],[Platinum cost]]+TblImps[[#This Row],[P1]]-TblProd[[#This Row],[Bank Plat]]</f>
        <v>7137</v>
      </c>
      <c r="AU55" s="69" t="n">
        <f aca="false">TblConstr[[#This Row],[Total Lum Cost]]+TblImps[[#This Row],[L1]]-TblProd[[#This Row],[Bank Lumber]] + Military!$CL$25*TblMili[[#This Row],[Sec. rec. Cost]]</f>
        <v>1339</v>
      </c>
      <c r="AV55" s="69" t="n">
        <f aca="false">TblMagic[[#This Row],[Mana cost]] + Military!$CL$26*TblMili[[#This Row],[Sec. rec. Cost]]</f>
        <v>1672.5</v>
      </c>
      <c r="AW55" s="69" t="n">
        <f aca="false">Military!$CL$24*TblMili[[#This Row],[Sec. rec. Cost]]+TblImps[[#This Row],[O1]]-TblProd[[#This Row],[Bank Ore]]</f>
        <v>0</v>
      </c>
      <c r="AX55" s="69" t="n">
        <f aca="false">TblImps[[#This Row],[G1]]-TblProd[[#This Row],[Bank Gems]]</f>
        <v>0</v>
      </c>
      <c r="AY55" s="132"/>
      <c r="AZ55" s="33" t="n">
        <f aca="false">IF(TblProd[[#This Row],[Set Guard]]&lt;&gt;"",TblProd[[#This Row],[Set Guard]],OFFSET(TblProd[[#This Row],[Guard]],-1,0))</f>
        <v>0</v>
      </c>
      <c r="BA55" s="145"/>
      <c r="BB55" s="151" t="n">
        <f aca="false">TblProd[[#This Row],[Hour]]</f>
        <v>52</v>
      </c>
      <c r="BC55" s="152" t="n">
        <f aca="false">-TblProd[[#This Row],[Bank Lumber]] / 2 + -TblProd[[#This Row],[Bank Gems]] * 2 + -TblProd[[#This Row],[Bank Ore]] / 2</f>
        <v>0</v>
      </c>
      <c r="BD55" s="152"/>
      <c r="BE55" s="152"/>
      <c r="BF55" s="152"/>
      <c r="BG55" s="153" t="n">
        <f aca="false">TblProd[[#This Row],[Time]]</f>
        <v>45431.875</v>
      </c>
      <c r="BH5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69" t="n">
        <f aca="false">TblProd[[#This Row],[Platinum]]</f>
        <v>389463</v>
      </c>
      <c r="BJ55" s="69" t="n">
        <f aca="false">TblProd[[#This Row],[Food]]</f>
        <v>9342</v>
      </c>
      <c r="BK55" s="69" t="n">
        <f aca="false">TblProd[[#This Row],[Lumber]]</f>
        <v>4236</v>
      </c>
      <c r="BL55" s="69" t="n">
        <f aca="false">TblProd[[#This Row],[Mana]]</f>
        <v>3015.5</v>
      </c>
      <c r="BM55" s="69" t="n">
        <f aca="false">TblProd[[#This Row],[Ore]]</f>
        <v>0</v>
      </c>
    </row>
    <row r="56" customFormat="false" ht="12.75" hidden="false" customHeight="false" outlineLevel="0" collapsed="false">
      <c r="A56" s="128" t="n">
        <v>53</v>
      </c>
      <c r="B56" s="144" t="n">
        <f aca="false">TblImps[[#This Row],[Time]]</f>
        <v>45431.9166666667</v>
      </c>
      <c r="C56" s="145"/>
      <c r="D56" s="146"/>
      <c r="E56" s="69" t="n">
        <f aca="false">TblConstr[[#This Row],[Land]]</f>
        <v>680</v>
      </c>
      <c r="F56" s="69" t="n">
        <f aca="false">TblPop[[#This Row],[Peasants]]</f>
        <v>9948</v>
      </c>
      <c r="G56" s="69" t="e">
        <f aca="false">TblMili[[#This Row],[Networth (2)]]</f>
        <v>#VALUE!</v>
      </c>
      <c r="H56" s="69" t="n">
        <f aca="false">OFFSET(TblProd[[#This Row],[Platinum]],-1,0)+OFFSET(TblProd[[#This Row],[Plat/hr]],-1,0) - TblProd[[#This Row],[Expenses Platinum]] + IF(TblProd[[#This Row],[Plat Bonus]],TblPop[[#This Row],[Peasants]]*4) + SUM(TblConstr[[#This Row],[Dest Hom]:[Dest Doc]])*TblConstr[[#This Row],[CPA Platinum -DB]]*tech_3_3_2*TblTech[[#This Row],[3-3]]</f>
        <v>429145</v>
      </c>
      <c r="I56" s="69" t="n">
        <f aca="false">OFFSET(TblProd[[#This Row],[Food]],-1,0)+OFFSET(TblProd[[#This Row],[Food/hr]],-1,0)+ROUNDUP((TblConstr[[#This Row],[Farms]]*80+TblConstr[[#This Row],[Docks]]*35)*(1+OFFSET(TblProd[[#This Row],[Bonus Food/hr]],-1,0)),0)</f>
        <v>8552</v>
      </c>
      <c r="J56" s="69" t="n">
        <f aca="false">OFFSET(TblProd[[#This Row],[Lumber]],-1,0)+OFFSET(TblProd[[#This Row],[Lumber/hr]],-1,0) - TblProd[[#This Row],[Expenses Lumber]] + SUM(TblConstr[[#This Row],[Dest Hom]:[Dest Doc]])*TblConstr[[#This Row],[CPA Lumber -DB]]*tech_3_3_2*TblTech[[#This Row],[3-3]]</f>
        <v>4153</v>
      </c>
      <c r="K56" s="69" t="n">
        <f aca="false">OFFSET(TblProd[[#This Row],[Mana]],-1,0)+OFFSET(TblProd[[#This Row],[Mana/hr]],-1,0)- TblProd[[#This Row],[Expenses Mana]]</f>
        <v>3580.5</v>
      </c>
      <c r="L56" s="69" t="n">
        <f aca="false">OFFSET(TblProd[[#This Row],[Ore]],-1,0)+OFFSET(TblProd[[#This Row],[Ore/hr]],-1,0) -TblProd[[#This Row],[Expenses Ore]]</f>
        <v>0</v>
      </c>
      <c r="M56" s="69" t="n">
        <f aca="false">OFFSET(TblProd[[#This Row],[Gems]],-1,0)+OFFSET(TblProd[[#This Row],[Gems/hr]],-1,0) - TblProd[[#This Row],[Expenses Gems]]</f>
        <v>0</v>
      </c>
      <c r="N56" s="69" t="n">
        <f aca="false">OFFSET(TblProd[[#This Row],[Boats]],-1,0)+OFFSET(TblProd[[#This Row],[Boats/hr]],-1,0)</f>
        <v>10.25</v>
      </c>
      <c r="O56" s="69" t="n">
        <f aca="false">OFFSET(TblProd[[#This Row],[Prestige]],-1,0)</f>
        <v>250</v>
      </c>
      <c r="P5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6" s="69" t="n">
        <f aca="false">MAX(3750,_xlfn.CEILING.MATH(TblProd[[#This Row],[Land]]*2.5+OFFSET(TblTech[[#This Row],[Sum of tech]],-1,0)*150))</f>
        <v>3750</v>
      </c>
      <c r="R56" s="132"/>
      <c r="S56" s="69" t="n">
        <f aca="false">ROUNDDOWN(TblProd[[#This Row],[Raw Plat/hr]]*(1+TblProd[[#This Row],[Bonus Plat/hr]]),0)</f>
        <v>46261</v>
      </c>
      <c r="T56" s="69" t="n">
        <f aca="false">ROUND(TblProd[[#This Row],[Raw Food/hr]]*(1+TblProd[[#This Row],[Bonus Food/hr]])-TblProd[[#This Row],[Food decay]]-TblProd[[#This Row],[Food eaten]],0)</f>
        <v>-832</v>
      </c>
      <c r="U56" s="69" t="n">
        <f aca="false">ROUND(TblProd[[#This Row],[Raw Lumber/hr]]*(1+TblProd[[#This Row],[Bonus Lumber/hr]])-TblProd[[#This Row],[Lumber rot]],0)</f>
        <v>1083</v>
      </c>
      <c r="V56" s="69" t="n">
        <f aca="false">ROUND(TblProd[[#This Row],[Raw Mana/hr]]*(1+TblProd[[#This Row],[Bonus Mana/hr]])-TblProd[[#This Row],[Mana drain]],0)</f>
        <v>553</v>
      </c>
      <c r="W56" s="69" t="n">
        <f aca="false">ROUNDDOWN(TblProd[[#This Row],[Raw Ore/hr]]*(1+TblProd[[#This Row],[Bonux Ore/hr]]),0)</f>
        <v>0</v>
      </c>
      <c r="X56" s="69" t="n">
        <f aca="false">ROUNDDOWN(TblProd[[#This Row],[Raw Gems/hr]]*(1+TblProd[[#This Row],[Bonus Gems/hr]]),0)</f>
        <v>0</v>
      </c>
      <c r="Y56" s="148" t="n">
        <f aca="false">OFFSET(TblConstr[[#This Row],[Tot Doc]],1,0)*dock_boats_hr * (1 + tech_4_1*TblTech[[#This Row],[4-1]])</f>
        <v>0.5</v>
      </c>
      <c r="Z56" s="146"/>
      <c r="AA56" s="69" t="n">
        <f aca="false">TblPop[[#This Row],[Peasants]]*tax*TblPop[[#This Row],[Employment]] + (Construction!AZ57+Construction!BX57)*(alch_plat+(Magic!AM56&gt;0)*alchemist_flame_bonus)</f>
        <v>42055.6</v>
      </c>
      <c r="AB56" s="69" t="n">
        <f aca="false">TblConstr[[#This Row],[Tot Farm]]*farm_food + TblConstr[[#This Row],[Tot Doc]]*dock_food</f>
        <v>1920</v>
      </c>
      <c r="AC56" s="69" t="n">
        <f aca="false">TblConstr[[#This Row],[Tot Ly]]*ly_lumber + TblConstr[[#This Row],[Tot Hav]]*fh_lumber</f>
        <v>1250</v>
      </c>
      <c r="AD56" s="69" t="n">
        <f aca="false">OFFSET(TblConstr[[#This Row],[Tot Tow]],1,0)*(tower_mana + tech_4_5*TblTech[[#This Row],[4-5]]) + OFFSET(TblConstr[[#This Row],[Tot WG]],1,0)*wg_mana_prod</f>
        <v>625</v>
      </c>
      <c r="AE56" s="69" t="n">
        <f aca="false">OFFSET(TblConstr[[#This Row],[Tot OM]],1,0)*om_ore+IF(race="Dwarf",ROUNDDOWN(TblMili[[#This Row],[Unit 2]]*0.4,0),)</f>
        <v>0</v>
      </c>
      <c r="AF56" s="69" t="n">
        <f aca="false">OFFSET(TblConstr[[#This Row],[Tot DM]],1,0)*dm_gems</f>
        <v>0</v>
      </c>
      <c r="AG56" s="132"/>
      <c r="AH56" s="149" t="n">
        <f aca="false">MIN(race_platinum_bonus + IF(TblMagic[[#This Row],[Active Alch Frost]]&gt;0,alch_frost_bonus,IF(Magic!AD56&gt;0,midas_bonus)) + TblImps[[#This Row],[Science]] - TblProd[[#This Row],[Guard]]*(0.02 + tech_5_7*TblTech[[#This Row],[5-7]]) + tech_1_5*TblTech[[#This Row],[1-5]] + tech_4_4*TblTech[[#This Row],[4-4]], 0.5)</f>
        <v>0.1</v>
      </c>
      <c r="AI5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6" s="149" t="n">
        <f aca="false">race_lumber_bonus+ IF(TblMagic[[#This Row],[Active Gaia''s Blessing]]&gt;0,gaias_blessing_lumber)+ tech_1_3*TblTech[[#This Row],[1-3]] + tech_1_6*TblTech[[#This Row],[1-6]] + tech_3_3*TblTech[[#This Row],[3-3]]</f>
        <v>-0.1</v>
      </c>
      <c r="AK56" s="149" t="n">
        <f aca="false">race_mana_bonus+ 0 + TblImps[[#This Row],[Towers]] + tech_1_2*TblTech[[#This Row],[1-2]] + tech_3_4*TblTech[[#This Row],[3-4]]</f>
        <v>0</v>
      </c>
      <c r="AL56" s="149" t="n">
        <f aca="false">race_ore_bonus + IF(TblMagic[[#This Row],[Active Miner''s Sight]]&gt;0,miners_sight_bonus,IF(TblMagic[[#This Row],[Active Mining Strength]]&gt;0,mining_strength_bonus)) +  tech_1_6*TblTech[[#This Row],[1-6]]</f>
        <v>0</v>
      </c>
      <c r="AM56" s="149" t="n">
        <f aca="false">race_gem_bonus+ tech_3_2*TblTech[[#This Row],[3-2]] + tech_4_3*TblTech[[#This Row],[4-3]] + tech_6_2*TblTech[[#This Row],[6-2]]</f>
        <v>0.15</v>
      </c>
      <c r="AN56" s="132"/>
      <c r="AO56" s="69" t="n">
        <f aca="false">TblProd[[#This Row],[Food]]*food_decay * (1 + tech_2_1*TblTech[[#This Row],[2-1]] + tech_2_8*TblTech[[#This Row],[2-8]])</f>
        <v>85.52</v>
      </c>
      <c r="AP56" s="69" t="n">
        <f aca="false">(1+race_food_consumption)*TblPop[[#This Row],[Total]]*food_per_person*(1+tech_1_10*TblTech[[#This Row],[1-10]]+tech_7_5*TblTech[[#This Row],[7-5]])</f>
        <v>2714.75</v>
      </c>
      <c r="AQ56" s="69" t="n">
        <f aca="false">TblProd[[#This Row],[Lumber]]*lumber_rot * (1 + tech_2_1*TblTech[[#This Row],[2-1]] + tech_2_8*TblTech[[#This Row],[2-8]] + tech_5_2*TblTech[[#This Row],[5-2]])</f>
        <v>41.53</v>
      </c>
      <c r="AR56" s="69" t="n">
        <f aca="false">TblProd[[#This Row],[Mana]]*mana_drain * (1 + tech_2_1*TblTech[[#This Row],[2-1]] + tech_2_8*TblTech[[#This Row],[2-8]])</f>
        <v>71.61</v>
      </c>
      <c r="AS56" s="146"/>
      <c r="AT56" s="69" t="n">
        <f aca="false">TblExplore[[#This Row],[Platinum (2)]]+TblConstr[[#This Row],[Total Plat Cost]]+TblMili[[#This Row],[Plat Cost]]+TblRezone[[#This Row],[Platinum cost]]+TblImps[[#This Row],[P1]]-TblProd[[#This Row],[Bank Plat]]</f>
        <v>6215</v>
      </c>
      <c r="AU56" s="69" t="n">
        <f aca="false">TblConstr[[#This Row],[Total Lum Cost]]+TblImps[[#This Row],[L1]]-TblProd[[#This Row],[Bank Lumber]] + Military!$CL$25*TblMili[[#This Row],[Sec. rec. Cost]]</f>
        <v>1166</v>
      </c>
      <c r="AV56" s="69" t="n">
        <f aca="false">TblMagic[[#This Row],[Mana cost]] + Military!$CL$26*TblMili[[#This Row],[Sec. rec. Cost]]</f>
        <v>0</v>
      </c>
      <c r="AW56" s="69" t="n">
        <f aca="false">Military!$CL$24*TblMili[[#This Row],[Sec. rec. Cost]]+TblImps[[#This Row],[O1]]-TblProd[[#This Row],[Bank Ore]]</f>
        <v>0</v>
      </c>
      <c r="AX56" s="69" t="n">
        <f aca="false">TblImps[[#This Row],[G1]]-TblProd[[#This Row],[Bank Gems]]</f>
        <v>0</v>
      </c>
      <c r="AY56" s="132"/>
      <c r="AZ56" s="33" t="n">
        <f aca="false">IF(TblProd[[#This Row],[Set Guard]]&lt;&gt;"",TblProd[[#This Row],[Set Guard]],OFFSET(TblProd[[#This Row],[Guard]],-1,0))</f>
        <v>0</v>
      </c>
      <c r="BA56" s="145"/>
      <c r="BB56" s="151" t="n">
        <f aca="false">TblProd[[#This Row],[Hour]]</f>
        <v>53</v>
      </c>
      <c r="BC56" s="152" t="n">
        <f aca="false">-TblProd[[#This Row],[Bank Lumber]] / 2 + -TblProd[[#This Row],[Bank Gems]] * 2 + -TblProd[[#This Row],[Bank Ore]] / 2</f>
        <v>0</v>
      </c>
      <c r="BD56" s="152"/>
      <c r="BE56" s="152"/>
      <c r="BF56" s="152"/>
      <c r="BG56" s="153" t="n">
        <f aca="false">TblProd[[#This Row],[Time]]</f>
        <v>45431.9166666667</v>
      </c>
      <c r="BH5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69" t="n">
        <f aca="false">TblProd[[#This Row],[Platinum]]</f>
        <v>429145</v>
      </c>
      <c r="BJ56" s="69" t="n">
        <f aca="false">TblProd[[#This Row],[Food]]</f>
        <v>8552</v>
      </c>
      <c r="BK56" s="69" t="n">
        <f aca="false">TblProd[[#This Row],[Lumber]]</f>
        <v>4153</v>
      </c>
      <c r="BL56" s="69" t="n">
        <f aca="false">TblProd[[#This Row],[Mana]]</f>
        <v>3580.5</v>
      </c>
      <c r="BM56" s="69" t="n">
        <f aca="false">TblProd[[#This Row],[Ore]]</f>
        <v>0</v>
      </c>
    </row>
    <row r="57" customFormat="false" ht="12.75" hidden="false" customHeight="false" outlineLevel="0" collapsed="false">
      <c r="A57" s="128" t="n">
        <v>54</v>
      </c>
      <c r="B57" s="144" t="n">
        <f aca="false">TblImps[[#This Row],[Time]]</f>
        <v>45431.9583333333</v>
      </c>
      <c r="C57" s="145"/>
      <c r="D57" s="146"/>
      <c r="E57" s="69" t="n">
        <f aca="false">TblConstr[[#This Row],[Land]]</f>
        <v>692</v>
      </c>
      <c r="F57" s="69" t="n">
        <f aca="false">TblPop[[#This Row],[Peasants]]</f>
        <v>10032</v>
      </c>
      <c r="G57" s="69" t="e">
        <f aca="false">TblMili[[#This Row],[Networth (2)]]</f>
        <v>#VALUE!</v>
      </c>
      <c r="H57" s="69" t="n">
        <f aca="false">OFFSET(TblProd[[#This Row],[Platinum]],-1,0)+OFFSET(TblProd[[#This Row],[Plat/hr]],-1,0) - TblProd[[#This Row],[Expenses Platinum]] + IF(TblProd[[#This Row],[Plat Bonus]],TblPop[[#This Row],[Peasants]]*4) + SUM(TblConstr[[#This Row],[Dest Hom]:[Dest Doc]])*TblConstr[[#This Row],[CPA Platinum -DB]]*tech_3_3_2*TblTech[[#This Row],[3-3]]</f>
        <v>468410</v>
      </c>
      <c r="I57" s="69" t="n">
        <f aca="false">OFFSET(TblProd[[#This Row],[Food]],-1,0)+OFFSET(TblProd[[#This Row],[Food/hr]],-1,0)+ROUNDUP((TblConstr[[#This Row],[Farms]]*80+TblConstr[[#This Row],[Docks]]*35)*(1+OFFSET(TblProd[[#This Row],[Bonus Food/hr]],-1,0)),0)</f>
        <v>7720</v>
      </c>
      <c r="J57" s="69" t="n">
        <f aca="false">OFFSET(TblProd[[#This Row],[Lumber]],-1,0)+OFFSET(TblProd[[#This Row],[Lumber/hr]],-1,0) - TblProd[[#This Row],[Expenses Lumber]] + SUM(TblConstr[[#This Row],[Dest Hom]:[Dest Doc]])*TblConstr[[#This Row],[CPA Lumber -DB]]*tech_3_3_2*TblTech[[#This Row],[3-3]]</f>
        <v>3928</v>
      </c>
      <c r="K57" s="69" t="n">
        <f aca="false">OFFSET(TblProd[[#This Row],[Mana]],-1,0)+OFFSET(TblProd[[#This Row],[Mana/hr]],-1,0)- TblProd[[#This Row],[Expenses Mana]]</f>
        <v>4133.5</v>
      </c>
      <c r="L57" s="69" t="n">
        <f aca="false">OFFSET(TblProd[[#This Row],[Ore]],-1,0)+OFFSET(TblProd[[#This Row],[Ore/hr]],-1,0) -TblProd[[#This Row],[Expenses Ore]]</f>
        <v>0</v>
      </c>
      <c r="M57" s="69" t="n">
        <f aca="false">OFFSET(TblProd[[#This Row],[Gems]],-1,0)+OFFSET(TblProd[[#This Row],[Gems/hr]],-1,0) - TblProd[[#This Row],[Expenses Gems]]</f>
        <v>0</v>
      </c>
      <c r="N57" s="69" t="n">
        <f aca="false">OFFSET(TblProd[[#This Row],[Boats]],-1,0)+OFFSET(TblProd[[#This Row],[Boats/hr]],-1,0)</f>
        <v>10.75</v>
      </c>
      <c r="O57" s="69" t="n">
        <f aca="false">OFFSET(TblProd[[#This Row],[Prestige]],-1,0)</f>
        <v>250</v>
      </c>
      <c r="P5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7" s="69" t="n">
        <f aca="false">MAX(3750,_xlfn.CEILING.MATH(TblProd[[#This Row],[Land]]*2.5+OFFSET(TblTech[[#This Row],[Sum of tech]],-1,0)*150))</f>
        <v>3750</v>
      </c>
      <c r="R57" s="132"/>
      <c r="S57" s="69" t="n">
        <f aca="false">ROUNDDOWN(TblProd[[#This Row],[Raw Plat/hr]]*(1+TblProd[[#This Row],[Bonus Plat/hr]]),0)</f>
        <v>46574</v>
      </c>
      <c r="T57" s="69" t="n">
        <f aca="false">ROUND(TblProd[[#This Row],[Raw Food/hr]]*(1+TblProd[[#This Row],[Bonus Food/hr]])-TblProd[[#This Row],[Food decay]]-TblProd[[#This Row],[Food eaten]],0)</f>
        <v>-870</v>
      </c>
      <c r="U57" s="69" t="n">
        <f aca="false">ROUND(TblProd[[#This Row],[Raw Lumber/hr]]*(1+TblProd[[#This Row],[Bonus Lumber/hr]])-TblProd[[#This Row],[Lumber rot]],0)</f>
        <v>1086</v>
      </c>
      <c r="V57" s="69" t="n">
        <f aca="false">ROUND(TblProd[[#This Row],[Raw Mana/hr]]*(1+TblProd[[#This Row],[Bonus Mana/hr]])-TblProd[[#This Row],[Mana drain]],0)</f>
        <v>542</v>
      </c>
      <c r="W57" s="69" t="n">
        <f aca="false">ROUNDDOWN(TblProd[[#This Row],[Raw Ore/hr]]*(1+TblProd[[#This Row],[Bonux Ore/hr]]),0)</f>
        <v>0</v>
      </c>
      <c r="X57" s="69" t="n">
        <f aca="false">ROUNDDOWN(TblProd[[#This Row],[Raw Gems/hr]]*(1+TblProd[[#This Row],[Bonus Gems/hr]]),0)</f>
        <v>0</v>
      </c>
      <c r="Y57" s="148" t="n">
        <f aca="false">OFFSET(TblConstr[[#This Row],[Tot Doc]],1,0)*dock_boats_hr * (1 + tech_4_1*TblTech[[#This Row],[4-1]])</f>
        <v>0.5</v>
      </c>
      <c r="Z57" s="146"/>
      <c r="AA57" s="69" t="n">
        <f aca="false">TblPop[[#This Row],[Peasants]]*tax*TblPop[[#This Row],[Employment]] + (Construction!AZ58+Construction!BX58)*(alch_plat+(Magic!AM57&gt;0)*alchemist_flame_bonus)</f>
        <v>42340.4</v>
      </c>
      <c r="AB57" s="69" t="n">
        <f aca="false">TblConstr[[#This Row],[Tot Farm]]*farm_food + TblConstr[[#This Row],[Tot Doc]]*dock_food</f>
        <v>1920</v>
      </c>
      <c r="AC57" s="69" t="n">
        <f aca="false">TblConstr[[#This Row],[Tot Ly]]*ly_lumber + TblConstr[[#This Row],[Tot Hav]]*fh_lumber</f>
        <v>1250</v>
      </c>
      <c r="AD57" s="69" t="n">
        <f aca="false">OFFSET(TblConstr[[#This Row],[Tot Tow]],1,0)*(tower_mana + tech_4_5*TblTech[[#This Row],[4-5]]) + OFFSET(TblConstr[[#This Row],[Tot WG]],1,0)*wg_mana_prod</f>
        <v>625</v>
      </c>
      <c r="AE57" s="69" t="n">
        <f aca="false">OFFSET(TblConstr[[#This Row],[Tot OM]],1,0)*om_ore+IF(race="Dwarf",ROUNDDOWN(TblMili[[#This Row],[Unit 2]]*0.4,0),)</f>
        <v>0</v>
      </c>
      <c r="AF57" s="69" t="n">
        <f aca="false">OFFSET(TblConstr[[#This Row],[Tot DM]],1,0)*dm_gems</f>
        <v>0</v>
      </c>
      <c r="AG57" s="132"/>
      <c r="AH57" s="149" t="n">
        <f aca="false">MIN(race_platinum_bonus + IF(TblMagic[[#This Row],[Active Alch Frost]]&gt;0,alch_frost_bonus,IF(Magic!AD57&gt;0,midas_bonus)) + TblImps[[#This Row],[Science]] - TblProd[[#This Row],[Guard]]*(0.02 + tech_5_7*TblTech[[#This Row],[5-7]]) + tech_1_5*TblTech[[#This Row],[1-5]] + tech_4_4*TblTech[[#This Row],[4-4]], 0.5)</f>
        <v>0.1</v>
      </c>
      <c r="AI5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7" s="149" t="n">
        <f aca="false">race_lumber_bonus+ IF(TblMagic[[#This Row],[Active Gaia''s Blessing]]&gt;0,gaias_blessing_lumber)+ tech_1_3*TblTech[[#This Row],[1-3]] + tech_1_6*TblTech[[#This Row],[1-6]] + tech_3_3*TblTech[[#This Row],[3-3]]</f>
        <v>-0.1</v>
      </c>
      <c r="AK57" s="149" t="n">
        <f aca="false">race_mana_bonus+ 0 + TblImps[[#This Row],[Towers]] + tech_1_2*TblTech[[#This Row],[1-2]] + tech_3_4*TblTech[[#This Row],[3-4]]</f>
        <v>0</v>
      </c>
      <c r="AL57" s="149" t="n">
        <f aca="false">race_ore_bonus + IF(TblMagic[[#This Row],[Active Miner''s Sight]]&gt;0,miners_sight_bonus,IF(TblMagic[[#This Row],[Active Mining Strength]]&gt;0,mining_strength_bonus)) +  tech_1_6*TblTech[[#This Row],[1-6]]</f>
        <v>0</v>
      </c>
      <c r="AM57" s="149" t="n">
        <f aca="false">race_gem_bonus+ tech_3_2*TblTech[[#This Row],[3-2]] + tech_4_3*TblTech[[#This Row],[4-3]] + tech_6_2*TblTech[[#This Row],[6-2]]</f>
        <v>0.15</v>
      </c>
      <c r="AN57" s="132"/>
      <c r="AO57" s="69" t="n">
        <f aca="false">TblProd[[#This Row],[Food]]*food_decay * (1 + tech_2_1*TblTech[[#This Row],[2-1]] + tech_2_8*TblTech[[#This Row],[2-8]])</f>
        <v>77.2</v>
      </c>
      <c r="AP57" s="69" t="n">
        <f aca="false">(1+race_food_consumption)*TblPop[[#This Row],[Total]]*food_per_person*(1+tech_1_10*TblTech[[#This Row],[1-10]]+tech_7_5*TblTech[[#This Row],[7-5]])</f>
        <v>2760.5</v>
      </c>
      <c r="AQ57" s="69" t="n">
        <f aca="false">TblProd[[#This Row],[Lumber]]*lumber_rot * (1 + tech_2_1*TblTech[[#This Row],[2-1]] + tech_2_8*TblTech[[#This Row],[2-8]] + tech_5_2*TblTech[[#This Row],[5-2]])</f>
        <v>39.28</v>
      </c>
      <c r="AR57" s="69" t="n">
        <f aca="false">TblProd[[#This Row],[Mana]]*mana_drain * (1 + tech_2_1*TblTech[[#This Row],[2-1]] + tech_2_8*TblTech[[#This Row],[2-8]])</f>
        <v>82.67</v>
      </c>
      <c r="AS57" s="146"/>
      <c r="AT57" s="69" t="n">
        <f aca="false">TblExplore[[#This Row],[Platinum (2)]]+TblConstr[[#This Row],[Total Plat Cost]]+TblMili[[#This Row],[Plat Cost]]+TblRezone[[#This Row],[Platinum cost]]+TblImps[[#This Row],[P1]]-TblProd[[#This Row],[Bank Plat]]</f>
        <v>6996</v>
      </c>
      <c r="AU57" s="69" t="n">
        <f aca="false">TblConstr[[#This Row],[Total Lum Cost]]+TblImps[[#This Row],[L1]]-TblProd[[#This Row],[Bank Lumber]] + Military!$CL$25*TblMili[[#This Row],[Sec. rec. Cost]]</f>
        <v>1308</v>
      </c>
      <c r="AV57" s="69" t="n">
        <f aca="false">TblMagic[[#This Row],[Mana cost]] + Military!$CL$26*TblMili[[#This Row],[Sec. rec. Cost]]</f>
        <v>0</v>
      </c>
      <c r="AW57" s="69" t="n">
        <f aca="false">Military!$CL$24*TblMili[[#This Row],[Sec. rec. Cost]]+TblImps[[#This Row],[O1]]-TblProd[[#This Row],[Bank Ore]]</f>
        <v>0</v>
      </c>
      <c r="AX57" s="69" t="n">
        <f aca="false">TblImps[[#This Row],[G1]]-TblProd[[#This Row],[Bank Gems]]</f>
        <v>0</v>
      </c>
      <c r="AY57" s="132"/>
      <c r="AZ57" s="33" t="n">
        <f aca="false">IF(TblProd[[#This Row],[Set Guard]]&lt;&gt;"",TblProd[[#This Row],[Set Guard]],OFFSET(TblProd[[#This Row],[Guard]],-1,0))</f>
        <v>0</v>
      </c>
      <c r="BA57" s="145"/>
      <c r="BB57" s="151" t="n">
        <f aca="false">TblProd[[#This Row],[Hour]]</f>
        <v>54</v>
      </c>
      <c r="BC57" s="152" t="n">
        <f aca="false">-TblProd[[#This Row],[Bank Lumber]] / 2 + -TblProd[[#This Row],[Bank Gems]] * 2 + -TblProd[[#This Row],[Bank Ore]] / 2</f>
        <v>0</v>
      </c>
      <c r="BD57" s="152"/>
      <c r="BE57" s="152"/>
      <c r="BF57" s="152"/>
      <c r="BG57" s="153" t="n">
        <f aca="false">TblProd[[#This Row],[Time]]</f>
        <v>45431.9583333333</v>
      </c>
      <c r="BH5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69" t="n">
        <f aca="false">TblProd[[#This Row],[Platinum]]</f>
        <v>468410</v>
      </c>
      <c r="BJ57" s="69" t="n">
        <f aca="false">TblProd[[#This Row],[Food]]</f>
        <v>7720</v>
      </c>
      <c r="BK57" s="69" t="n">
        <f aca="false">TblProd[[#This Row],[Lumber]]</f>
        <v>3928</v>
      </c>
      <c r="BL57" s="69" t="n">
        <f aca="false">TblProd[[#This Row],[Mana]]</f>
        <v>4133.5</v>
      </c>
      <c r="BM57" s="69" t="n">
        <f aca="false">TblProd[[#This Row],[Ore]]</f>
        <v>0</v>
      </c>
    </row>
    <row r="58" customFormat="false" ht="12.75" hidden="false" customHeight="false" outlineLevel="0" collapsed="false">
      <c r="A58" s="128" t="n">
        <v>55</v>
      </c>
      <c r="B58" s="144" t="n">
        <f aca="false">TblImps[[#This Row],[Time]]</f>
        <v>45432</v>
      </c>
      <c r="C58" s="145"/>
      <c r="D58" s="146"/>
      <c r="E58" s="69" t="n">
        <f aca="false">TblConstr[[#This Row],[Land]]</f>
        <v>700</v>
      </c>
      <c r="F58" s="69" t="n">
        <f aca="false">TblPop[[#This Row],[Peasants]]</f>
        <v>10105</v>
      </c>
      <c r="G58" s="69" t="e">
        <f aca="false">TblMili[[#This Row],[Networth (2)]]</f>
        <v>#VALUE!</v>
      </c>
      <c r="H58" s="69" t="n">
        <f aca="false">OFFSET(TblProd[[#This Row],[Platinum]],-1,0)+OFFSET(TblProd[[#This Row],[Plat/hr]],-1,0) - TblProd[[#This Row],[Expenses Platinum]] + IF(TblProd[[#This Row],[Plat Bonus]],TblPop[[#This Row],[Peasants]]*4) + SUM(TblConstr[[#This Row],[Dest Hom]:[Dest Doc]])*TblConstr[[#This Row],[CPA Platinum -DB]]*tech_3_3_2*TblTech[[#This Row],[3-3]]</f>
        <v>510224</v>
      </c>
      <c r="I58" s="69" t="n">
        <f aca="false">OFFSET(TblProd[[#This Row],[Food]],-1,0)+OFFSET(TblProd[[#This Row],[Food/hr]],-1,0)+ROUNDUP((TblConstr[[#This Row],[Farms]]*80+TblConstr[[#This Row],[Docks]]*35)*(1+OFFSET(TblProd[[#This Row],[Bonus Food/hr]],-1,0)),0)</f>
        <v>6850</v>
      </c>
      <c r="J58" s="69" t="n">
        <f aca="false">OFFSET(TblProd[[#This Row],[Lumber]],-1,0)+OFFSET(TblProd[[#This Row],[Lumber/hr]],-1,0) - TblProd[[#This Row],[Expenses Lumber]] + SUM(TblConstr[[#This Row],[Dest Hom]:[Dest Doc]])*TblConstr[[#This Row],[CPA Lumber -DB]]*tech_3_3_2*TblTech[[#This Row],[3-3]]</f>
        <v>4118</v>
      </c>
      <c r="K58" s="69" t="n">
        <f aca="false">OFFSET(TblProd[[#This Row],[Mana]],-1,0)+OFFSET(TblProd[[#This Row],[Mana/hr]],-1,0)- TblProd[[#This Row],[Expenses Mana]]</f>
        <v>4675.5</v>
      </c>
      <c r="L58" s="69" t="n">
        <f aca="false">OFFSET(TblProd[[#This Row],[Ore]],-1,0)+OFFSET(TblProd[[#This Row],[Ore/hr]],-1,0) -TblProd[[#This Row],[Expenses Ore]]</f>
        <v>0</v>
      </c>
      <c r="M58" s="69" t="n">
        <f aca="false">OFFSET(TblProd[[#This Row],[Gems]],-1,0)+OFFSET(TblProd[[#This Row],[Gems/hr]],-1,0) - TblProd[[#This Row],[Expenses Gems]]</f>
        <v>0</v>
      </c>
      <c r="N58" s="69" t="n">
        <f aca="false">OFFSET(TblProd[[#This Row],[Boats]],-1,0)+OFFSET(TblProd[[#This Row],[Boats/hr]],-1,0)</f>
        <v>11.25</v>
      </c>
      <c r="O58" s="69" t="n">
        <f aca="false">OFFSET(TblProd[[#This Row],[Prestige]],-1,0)</f>
        <v>250</v>
      </c>
      <c r="P5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8" s="69" t="n">
        <f aca="false">MAX(3750,_xlfn.CEILING.MATH(TblProd[[#This Row],[Land]]*2.5+OFFSET(TblTech[[#This Row],[Sum of tech]],-1,0)*150))</f>
        <v>3750</v>
      </c>
      <c r="R58" s="132"/>
      <c r="S58" s="69" t="n">
        <f aca="false">ROUNDDOWN(TblProd[[#This Row],[Raw Plat/hr]]*(1+TblProd[[#This Row],[Bonus Plat/hr]]),0)</f>
        <v>46855</v>
      </c>
      <c r="T58" s="69" t="n">
        <f aca="false">ROUND(TblProd[[#This Row],[Raw Food/hr]]*(1+TblProd[[#This Row],[Bonus Food/hr]])-TblProd[[#This Row],[Food decay]]-TblProd[[#This Row],[Food eaten]],0)</f>
        <v>-904</v>
      </c>
      <c r="U58" s="69" t="n">
        <f aca="false">ROUND(TblProd[[#This Row],[Raw Lumber/hr]]*(1+TblProd[[#This Row],[Bonus Lumber/hr]])-TblProd[[#This Row],[Lumber rot]],0)</f>
        <v>1084</v>
      </c>
      <c r="V58" s="69" t="n">
        <f aca="false">ROUND(TblProd[[#This Row],[Raw Mana/hr]]*(1+TblProd[[#This Row],[Bonus Mana/hr]])-TblProd[[#This Row],[Mana drain]],0)</f>
        <v>531</v>
      </c>
      <c r="W58" s="69" t="n">
        <f aca="false">ROUNDDOWN(TblProd[[#This Row],[Raw Ore/hr]]*(1+TblProd[[#This Row],[Bonux Ore/hr]]),0)</f>
        <v>0</v>
      </c>
      <c r="X58" s="69" t="n">
        <f aca="false">ROUNDDOWN(TblProd[[#This Row],[Raw Gems/hr]]*(1+TblProd[[#This Row],[Bonus Gems/hr]]),0)</f>
        <v>0</v>
      </c>
      <c r="Y58" s="148" t="n">
        <f aca="false">OFFSET(TblConstr[[#This Row],[Tot Doc]],1,0)*dock_boats_hr * (1 + tech_4_1*TblTech[[#This Row],[4-1]])</f>
        <v>0.5</v>
      </c>
      <c r="Z58" s="146"/>
      <c r="AA58" s="69" t="n">
        <f aca="false">TblPop[[#This Row],[Peasants]]*tax*TblPop[[#This Row],[Employment]] + (Construction!AZ59+Construction!BX59)*(alch_plat+(Magic!AM58&gt;0)*alchemist_flame_bonus)</f>
        <v>42595.5</v>
      </c>
      <c r="AB58" s="69" t="n">
        <f aca="false">TblConstr[[#This Row],[Tot Farm]]*farm_food + TblConstr[[#This Row],[Tot Doc]]*dock_food</f>
        <v>1920</v>
      </c>
      <c r="AC58" s="69" t="n">
        <f aca="false">TblConstr[[#This Row],[Tot Ly]]*ly_lumber + TblConstr[[#This Row],[Tot Hav]]*fh_lumber</f>
        <v>1250</v>
      </c>
      <c r="AD58" s="69" t="n">
        <f aca="false">OFFSET(TblConstr[[#This Row],[Tot Tow]],1,0)*(tower_mana + tech_4_5*TblTech[[#This Row],[4-5]]) + OFFSET(TblConstr[[#This Row],[Tot WG]],1,0)*wg_mana_prod</f>
        <v>625</v>
      </c>
      <c r="AE58" s="69" t="n">
        <f aca="false">OFFSET(TblConstr[[#This Row],[Tot OM]],1,0)*om_ore+IF(race="Dwarf",ROUNDDOWN(TblMili[[#This Row],[Unit 2]]*0.4,0),)</f>
        <v>0</v>
      </c>
      <c r="AF58" s="69" t="n">
        <f aca="false">OFFSET(TblConstr[[#This Row],[Tot DM]],1,0)*dm_gems</f>
        <v>0</v>
      </c>
      <c r="AG58" s="132"/>
      <c r="AH58" s="149" t="n">
        <f aca="false">MIN(race_platinum_bonus + IF(TblMagic[[#This Row],[Active Alch Frost]]&gt;0,alch_frost_bonus,IF(Magic!AD58&gt;0,midas_bonus)) + TblImps[[#This Row],[Science]] - TblProd[[#This Row],[Guard]]*(0.02 + tech_5_7*TblTech[[#This Row],[5-7]]) + tech_1_5*TblTech[[#This Row],[1-5]] + tech_4_4*TblTech[[#This Row],[4-4]], 0.5)</f>
        <v>0.1</v>
      </c>
      <c r="AI5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8" s="149" t="n">
        <f aca="false">race_lumber_bonus+ IF(TblMagic[[#This Row],[Active Gaia''s Blessing]]&gt;0,gaias_blessing_lumber)+ tech_1_3*TblTech[[#This Row],[1-3]] + tech_1_6*TblTech[[#This Row],[1-6]] + tech_3_3*TblTech[[#This Row],[3-3]]</f>
        <v>-0.1</v>
      </c>
      <c r="AK58" s="149" t="n">
        <f aca="false">race_mana_bonus+ 0 + TblImps[[#This Row],[Towers]] + tech_1_2*TblTech[[#This Row],[1-2]] + tech_3_4*TblTech[[#This Row],[3-4]]</f>
        <v>0</v>
      </c>
      <c r="AL58" s="149" t="n">
        <f aca="false">race_ore_bonus + IF(TblMagic[[#This Row],[Active Miner''s Sight]]&gt;0,miners_sight_bonus,IF(TblMagic[[#This Row],[Active Mining Strength]]&gt;0,mining_strength_bonus)) +  tech_1_6*TblTech[[#This Row],[1-6]]</f>
        <v>0</v>
      </c>
      <c r="AM58" s="149" t="n">
        <f aca="false">race_gem_bonus+ tech_3_2*TblTech[[#This Row],[3-2]] + tech_4_3*TblTech[[#This Row],[4-3]] + tech_6_2*TblTech[[#This Row],[6-2]]</f>
        <v>0.15</v>
      </c>
      <c r="AN58" s="132"/>
      <c r="AO58" s="69" t="n">
        <f aca="false">TblProd[[#This Row],[Food]]*food_decay * (1 + tech_2_1*TblTech[[#This Row],[2-1]] + tech_2_8*TblTech[[#This Row],[2-8]])</f>
        <v>68.5</v>
      </c>
      <c r="AP58" s="69" t="n">
        <f aca="false">(1+race_food_consumption)*TblPop[[#This Row],[Total]]*food_per_person*(1+tech_1_10*TblTech[[#This Row],[1-10]]+tech_7_5*TblTech[[#This Row],[7-5]])</f>
        <v>2803.75</v>
      </c>
      <c r="AQ58" s="69" t="n">
        <f aca="false">TblProd[[#This Row],[Lumber]]*lumber_rot * (1 + tech_2_1*TblTech[[#This Row],[2-1]] + tech_2_8*TblTech[[#This Row],[2-8]] + tech_5_2*TblTech[[#This Row],[5-2]])</f>
        <v>41.18</v>
      </c>
      <c r="AR58" s="69" t="n">
        <f aca="false">TblProd[[#This Row],[Mana]]*mana_drain * (1 + tech_2_1*TblTech[[#This Row],[2-1]] + tech_2_8*TblTech[[#This Row],[2-8]])</f>
        <v>93.51</v>
      </c>
      <c r="AS58" s="146"/>
      <c r="AT58" s="69" t="n">
        <f aca="false">TblExplore[[#This Row],[Platinum (2)]]+TblConstr[[#This Row],[Total Plat Cost]]+TblMili[[#This Row],[Plat Cost]]+TblRezone[[#This Row],[Platinum cost]]+TblImps[[#This Row],[P1]]-TblProd[[#This Row],[Bank Plat]]</f>
        <v>4760</v>
      </c>
      <c r="AU58" s="69" t="n">
        <f aca="false">TblConstr[[#This Row],[Total Lum Cost]]+TblImps[[#This Row],[L1]]-TblProd[[#This Row],[Bank Lumber]] + Military!$CL$25*TblMili[[#This Row],[Sec. rec. Cost]]</f>
        <v>896</v>
      </c>
      <c r="AV58" s="69" t="n">
        <f aca="false">TblMagic[[#This Row],[Mana cost]] + Military!$CL$26*TblMili[[#This Row],[Sec. rec. Cost]]</f>
        <v>0</v>
      </c>
      <c r="AW58" s="69" t="n">
        <f aca="false">Military!$CL$24*TblMili[[#This Row],[Sec. rec. Cost]]+TblImps[[#This Row],[O1]]-TblProd[[#This Row],[Bank Ore]]</f>
        <v>0</v>
      </c>
      <c r="AX58" s="69" t="n">
        <f aca="false">TblImps[[#This Row],[G1]]-TblProd[[#This Row],[Bank Gems]]</f>
        <v>0</v>
      </c>
      <c r="AY58" s="132"/>
      <c r="AZ58" s="33" t="n">
        <f aca="false">IF(TblProd[[#This Row],[Set Guard]]&lt;&gt;"",TblProd[[#This Row],[Set Guard]],OFFSET(TblProd[[#This Row],[Guard]],-1,0))</f>
        <v>0</v>
      </c>
      <c r="BA58" s="145"/>
      <c r="BB58" s="151" t="n">
        <f aca="false">TblProd[[#This Row],[Hour]]</f>
        <v>55</v>
      </c>
      <c r="BC58" s="152" t="n">
        <f aca="false">-TblProd[[#This Row],[Bank Lumber]] / 2 + -TblProd[[#This Row],[Bank Gems]] * 2 + -TblProd[[#This Row],[Bank Ore]] / 2</f>
        <v>0</v>
      </c>
      <c r="BD58" s="152"/>
      <c r="BE58" s="152"/>
      <c r="BF58" s="152"/>
      <c r="BG58" s="153" t="n">
        <f aca="false">TblProd[[#This Row],[Time]]</f>
        <v>45432</v>
      </c>
      <c r="BH5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69" t="n">
        <f aca="false">TblProd[[#This Row],[Platinum]]</f>
        <v>510224</v>
      </c>
      <c r="BJ58" s="69" t="n">
        <f aca="false">TblProd[[#This Row],[Food]]</f>
        <v>6850</v>
      </c>
      <c r="BK58" s="69" t="n">
        <f aca="false">TblProd[[#This Row],[Lumber]]</f>
        <v>4118</v>
      </c>
      <c r="BL58" s="69" t="n">
        <f aca="false">TblProd[[#This Row],[Mana]]</f>
        <v>4675.5</v>
      </c>
      <c r="BM58" s="69" t="n">
        <f aca="false">TblProd[[#This Row],[Ore]]</f>
        <v>0</v>
      </c>
    </row>
    <row r="59" customFormat="false" ht="12.75" hidden="false" customHeight="false" outlineLevel="0" collapsed="false">
      <c r="A59" s="128" t="n">
        <v>56</v>
      </c>
      <c r="B59" s="144" t="n">
        <f aca="false">TblImps[[#This Row],[Time]]</f>
        <v>45432.0416666667</v>
      </c>
      <c r="C59" s="145"/>
      <c r="D59" s="146"/>
      <c r="E59" s="69" t="n">
        <f aca="false">TblConstr[[#This Row],[Land]]</f>
        <v>700</v>
      </c>
      <c r="F59" s="69" t="n">
        <f aca="false">TblPop[[#This Row],[Peasants]]</f>
        <v>10090</v>
      </c>
      <c r="G59" s="69" t="e">
        <f aca="false">TblMili[[#This Row],[Networth (2)]]</f>
        <v>#VALUE!</v>
      </c>
      <c r="H59" s="69" t="n">
        <f aca="false">OFFSET(TblProd[[#This Row],[Platinum]],-1,0)+OFFSET(TblProd[[#This Row],[Plat/hr]],-1,0) - TblProd[[#This Row],[Expenses Platinum]] + IF(TblProd[[#This Row],[Plat Bonus]],TblPop[[#This Row],[Peasants]]*4) + SUM(TblConstr[[#This Row],[Dest Hom]:[Dest Doc]])*TblConstr[[#This Row],[CPA Platinum -DB]]*tech_3_3_2*TblTech[[#This Row],[3-3]]</f>
        <v>556484</v>
      </c>
      <c r="I59" s="69" t="n">
        <f aca="false">OFFSET(TblProd[[#This Row],[Food]],-1,0)+OFFSET(TblProd[[#This Row],[Food/hr]],-1,0)+ROUNDUP((TblConstr[[#This Row],[Farms]]*80+TblConstr[[#This Row],[Docks]]*35)*(1+OFFSET(TblProd[[#This Row],[Bonus Food/hr]],-1,0)),0)</f>
        <v>5946</v>
      </c>
      <c r="J59" s="69" t="n">
        <f aca="false">OFFSET(TblProd[[#This Row],[Lumber]],-1,0)+OFFSET(TblProd[[#This Row],[Lumber/hr]],-1,0) - TblProd[[#This Row],[Expenses Lumber]] + SUM(TblConstr[[#This Row],[Dest Hom]:[Dest Doc]])*TblConstr[[#This Row],[CPA Lumber -DB]]*tech_3_3_2*TblTech[[#This Row],[3-3]]</f>
        <v>5090</v>
      </c>
      <c r="K59" s="69" t="n">
        <f aca="false">OFFSET(TblProd[[#This Row],[Mana]],-1,0)+OFFSET(TblProd[[#This Row],[Mana/hr]],-1,0)- TblProd[[#This Row],[Expenses Mana]]</f>
        <v>5206.5</v>
      </c>
      <c r="L59" s="69" t="n">
        <f aca="false">OFFSET(TblProd[[#This Row],[Ore]],-1,0)+OFFSET(TblProd[[#This Row],[Ore/hr]],-1,0) -TblProd[[#This Row],[Expenses Ore]]</f>
        <v>0</v>
      </c>
      <c r="M59" s="69" t="n">
        <f aca="false">OFFSET(TblProd[[#This Row],[Gems]],-1,0)+OFFSET(TblProd[[#This Row],[Gems/hr]],-1,0) - TblProd[[#This Row],[Expenses Gems]]</f>
        <v>0</v>
      </c>
      <c r="N59" s="69" t="n">
        <f aca="false">OFFSET(TblProd[[#This Row],[Boats]],-1,0)+OFFSET(TblProd[[#This Row],[Boats/hr]],-1,0)</f>
        <v>11.75</v>
      </c>
      <c r="O59" s="69" t="n">
        <f aca="false">OFFSET(TblProd[[#This Row],[Prestige]],-1,0)</f>
        <v>250</v>
      </c>
      <c r="P5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9" s="69" t="n">
        <f aca="false">MAX(3750,_xlfn.CEILING.MATH(TblProd[[#This Row],[Land]]*2.5+OFFSET(TblTech[[#This Row],[Sum of tech]],-1,0)*150))</f>
        <v>3750</v>
      </c>
      <c r="R59" s="132"/>
      <c r="S59" s="69" t="n">
        <f aca="false">ROUNDDOWN(TblProd[[#This Row],[Raw Plat/hr]]*(1+TblProd[[#This Row],[Bonus Plat/hr]]),0)</f>
        <v>46874</v>
      </c>
      <c r="T59" s="69" t="n">
        <f aca="false">ROUND(TblProd[[#This Row],[Raw Food/hr]]*(1+TblProd[[#This Row],[Bonus Food/hr]])-TblProd[[#This Row],[Food decay]]-TblProd[[#This Row],[Food eaten]],0)</f>
        <v>-917</v>
      </c>
      <c r="U59" s="69" t="n">
        <f aca="false">ROUND(TblProd[[#This Row],[Raw Lumber/hr]]*(1+TblProd[[#This Row],[Bonus Lumber/hr]])-TblProd[[#This Row],[Lumber rot]],0)</f>
        <v>1074</v>
      </c>
      <c r="V59" s="69" t="n">
        <f aca="false">ROUND(TblProd[[#This Row],[Raw Mana/hr]]*(1+TblProd[[#This Row],[Bonus Mana/hr]])-TblProd[[#This Row],[Mana drain]],0)</f>
        <v>521</v>
      </c>
      <c r="W59" s="69" t="n">
        <f aca="false">ROUNDDOWN(TblProd[[#This Row],[Raw Ore/hr]]*(1+TblProd[[#This Row],[Bonux Ore/hr]]),0)</f>
        <v>0</v>
      </c>
      <c r="X59" s="69" t="n">
        <f aca="false">ROUNDDOWN(TblProd[[#This Row],[Raw Gems/hr]]*(1+TblProd[[#This Row],[Bonus Gems/hr]]),0)</f>
        <v>0</v>
      </c>
      <c r="Y59" s="148" t="n">
        <f aca="false">OFFSET(TblConstr[[#This Row],[Tot Doc]],1,0)*dock_boats_hr * (1 + tech_4_1*TblTech[[#This Row],[4-1]])</f>
        <v>0.5</v>
      </c>
      <c r="Z59" s="146"/>
      <c r="AA59" s="69" t="n">
        <f aca="false">TblPop[[#This Row],[Peasants]]*tax*TblPop[[#This Row],[Employment]] + (Construction!AZ60+Construction!BX60)*(alch_plat+(Magic!AM59&gt;0)*alchemist_flame_bonus)</f>
        <v>42613</v>
      </c>
      <c r="AB59" s="69" t="n">
        <f aca="false">TblConstr[[#This Row],[Tot Farm]]*farm_food + TblConstr[[#This Row],[Tot Doc]]*dock_food</f>
        <v>1920</v>
      </c>
      <c r="AC59" s="69" t="n">
        <f aca="false">TblConstr[[#This Row],[Tot Ly]]*ly_lumber + TblConstr[[#This Row],[Tot Hav]]*fh_lumber</f>
        <v>1250</v>
      </c>
      <c r="AD59" s="69" t="n">
        <f aca="false">OFFSET(TblConstr[[#This Row],[Tot Tow]],1,0)*(tower_mana + tech_4_5*TblTech[[#This Row],[4-5]]) + OFFSET(TblConstr[[#This Row],[Tot WG]],1,0)*wg_mana_prod</f>
        <v>625</v>
      </c>
      <c r="AE59" s="69" t="n">
        <f aca="false">OFFSET(TblConstr[[#This Row],[Tot OM]],1,0)*om_ore+IF(race="Dwarf",ROUNDDOWN(TblMili[[#This Row],[Unit 2]]*0.4,0),)</f>
        <v>0</v>
      </c>
      <c r="AF59" s="69" t="n">
        <f aca="false">OFFSET(TblConstr[[#This Row],[Tot DM]],1,0)*dm_gems</f>
        <v>0</v>
      </c>
      <c r="AG59" s="132"/>
      <c r="AH59" s="149" t="n">
        <f aca="false">MIN(race_platinum_bonus + IF(TblMagic[[#This Row],[Active Alch Frost]]&gt;0,alch_frost_bonus,IF(Magic!AD59&gt;0,midas_bonus)) + TblImps[[#This Row],[Science]] - TblProd[[#This Row],[Guard]]*(0.02 + tech_5_7*TblTech[[#This Row],[5-7]]) + tech_1_5*TblTech[[#This Row],[1-5]] + tech_4_4*TblTech[[#This Row],[4-4]], 0.5)</f>
        <v>0.1</v>
      </c>
      <c r="AI5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9" s="149" t="n">
        <f aca="false">race_lumber_bonus+ IF(TblMagic[[#This Row],[Active Gaia''s Blessing]]&gt;0,gaias_blessing_lumber)+ tech_1_3*TblTech[[#This Row],[1-3]] + tech_1_6*TblTech[[#This Row],[1-6]] + tech_3_3*TblTech[[#This Row],[3-3]]</f>
        <v>-0.1</v>
      </c>
      <c r="AK59" s="149" t="n">
        <f aca="false">race_mana_bonus+ 0 + TblImps[[#This Row],[Towers]] + tech_1_2*TblTech[[#This Row],[1-2]] + tech_3_4*TblTech[[#This Row],[3-4]]</f>
        <v>0</v>
      </c>
      <c r="AL59" s="149" t="n">
        <f aca="false">race_ore_bonus + IF(TblMagic[[#This Row],[Active Miner''s Sight]]&gt;0,miners_sight_bonus,IF(TblMagic[[#This Row],[Active Mining Strength]]&gt;0,mining_strength_bonus)) +  tech_1_6*TblTech[[#This Row],[1-6]]</f>
        <v>0</v>
      </c>
      <c r="AM59" s="149" t="n">
        <f aca="false">race_gem_bonus+ tech_3_2*TblTech[[#This Row],[3-2]] + tech_4_3*TblTech[[#This Row],[4-3]] + tech_6_2*TblTech[[#This Row],[6-2]]</f>
        <v>0.15</v>
      </c>
      <c r="AN59" s="132"/>
      <c r="AO59" s="69" t="n">
        <f aca="false">TblProd[[#This Row],[Food]]*food_decay * (1 + tech_2_1*TblTech[[#This Row],[2-1]] + tech_2_8*TblTech[[#This Row],[2-8]])</f>
        <v>59.46</v>
      </c>
      <c r="AP59" s="69" t="n">
        <f aca="false">(1+race_food_consumption)*TblPop[[#This Row],[Total]]*food_per_person*(1+tech_1_10*TblTech[[#This Row],[1-10]]+tech_7_5*TblTech[[#This Row],[7-5]])</f>
        <v>2825.25</v>
      </c>
      <c r="AQ59" s="69" t="n">
        <f aca="false">TblProd[[#This Row],[Lumber]]*lumber_rot * (1 + tech_2_1*TblTech[[#This Row],[2-1]] + tech_2_8*TblTech[[#This Row],[2-8]] + tech_5_2*TblTech[[#This Row],[5-2]])</f>
        <v>50.9</v>
      </c>
      <c r="AR59" s="69" t="n">
        <f aca="false">TblProd[[#This Row],[Mana]]*mana_drain * (1 + tech_2_1*TblTech[[#This Row],[2-1]] + tech_2_8*TblTech[[#This Row],[2-8]])</f>
        <v>104.13</v>
      </c>
      <c r="AS59" s="146"/>
      <c r="AT59" s="69" t="n">
        <f aca="false">TblExplore[[#This Row],[Platinum (2)]]+TblConstr[[#This Row],[Total Plat Cost]]+TblMili[[#This Row],[Plat Cost]]+TblRezone[[#This Row],[Platinum cost]]+TblImps[[#This Row],[P1]]-TblProd[[#This Row],[Bank Plat]]</f>
        <v>595</v>
      </c>
      <c r="AU59" s="69" t="n">
        <f aca="false">TblConstr[[#This Row],[Total Lum Cost]]+TblImps[[#This Row],[L1]]-TblProd[[#This Row],[Bank Lumber]] + Military!$CL$25*TblMili[[#This Row],[Sec. rec. Cost]]</f>
        <v>112</v>
      </c>
      <c r="AV59" s="69" t="n">
        <f aca="false">TblMagic[[#This Row],[Mana cost]] + Military!$CL$26*TblMili[[#This Row],[Sec. rec. Cost]]</f>
        <v>0</v>
      </c>
      <c r="AW59" s="69" t="n">
        <f aca="false">Military!$CL$24*TblMili[[#This Row],[Sec. rec. Cost]]+TblImps[[#This Row],[O1]]-TblProd[[#This Row],[Bank Ore]]</f>
        <v>0</v>
      </c>
      <c r="AX59" s="69" t="n">
        <f aca="false">TblImps[[#This Row],[G1]]-TblProd[[#This Row],[Bank Gems]]</f>
        <v>0</v>
      </c>
      <c r="AY59" s="132"/>
      <c r="AZ59" s="33" t="n">
        <f aca="false">IF(TblProd[[#This Row],[Set Guard]]&lt;&gt;"",TblProd[[#This Row],[Set Guard]],OFFSET(TblProd[[#This Row],[Guard]],-1,0))</f>
        <v>0</v>
      </c>
      <c r="BA59" s="145"/>
      <c r="BB59" s="151" t="n">
        <f aca="false">TblProd[[#This Row],[Hour]]</f>
        <v>56</v>
      </c>
      <c r="BC59" s="152" t="n">
        <f aca="false">-TblProd[[#This Row],[Bank Lumber]] / 2 + -TblProd[[#This Row],[Bank Gems]] * 2 + -TblProd[[#This Row],[Bank Ore]] / 2</f>
        <v>0</v>
      </c>
      <c r="BD59" s="152"/>
      <c r="BE59" s="152"/>
      <c r="BF59" s="152"/>
      <c r="BG59" s="153" t="n">
        <f aca="false">TblProd[[#This Row],[Time]]</f>
        <v>45432.0416666667</v>
      </c>
      <c r="BH5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69" t="n">
        <f aca="false">TblProd[[#This Row],[Platinum]]</f>
        <v>556484</v>
      </c>
      <c r="BJ59" s="69" t="n">
        <f aca="false">TblProd[[#This Row],[Food]]</f>
        <v>5946</v>
      </c>
      <c r="BK59" s="69" t="n">
        <f aca="false">TblProd[[#This Row],[Lumber]]</f>
        <v>5090</v>
      </c>
      <c r="BL59" s="69" t="n">
        <f aca="false">TblProd[[#This Row],[Mana]]</f>
        <v>5206.5</v>
      </c>
      <c r="BM59" s="69" t="n">
        <f aca="false">TblProd[[#This Row],[Ore]]</f>
        <v>0</v>
      </c>
    </row>
    <row r="60" customFormat="false" ht="12.75" hidden="false" customHeight="false" outlineLevel="0" collapsed="false">
      <c r="A60" s="128" t="n">
        <v>57</v>
      </c>
      <c r="B60" s="144" t="n">
        <f aca="false">TblImps[[#This Row],[Time]]</f>
        <v>45432.0833333333</v>
      </c>
      <c r="C60" s="145"/>
      <c r="D60" s="146"/>
      <c r="E60" s="69" t="n">
        <f aca="false">TblConstr[[#This Row],[Land]]</f>
        <v>700</v>
      </c>
      <c r="F60" s="69" t="n">
        <f aca="false">TblPop[[#This Row],[Peasants]]</f>
        <v>9989</v>
      </c>
      <c r="G60" s="69" t="e">
        <f aca="false">TblMili[[#This Row],[Networth (2)]]</f>
        <v>#VALUE!</v>
      </c>
      <c r="H60" s="69" t="n">
        <f aca="false">OFFSET(TblProd[[#This Row],[Platinum]],-1,0)+OFFSET(TblProd[[#This Row],[Plat/hr]],-1,0) - TblProd[[#This Row],[Expenses Platinum]] + IF(TblProd[[#This Row],[Plat Bonus]],TblPop[[#This Row],[Peasants]]*4) + SUM(TblConstr[[#This Row],[Dest Hom]:[Dest Doc]])*TblConstr[[#This Row],[CPA Platinum -DB]]*tech_3_3_2*TblTech[[#This Row],[3-3]]</f>
        <v>602753</v>
      </c>
      <c r="I60" s="69" t="n">
        <f aca="false">OFFSET(TblProd[[#This Row],[Food]],-1,0)+OFFSET(TblProd[[#This Row],[Food/hr]],-1,0)+ROUNDUP((TblConstr[[#This Row],[Farms]]*80+TblConstr[[#This Row],[Docks]]*35)*(1+OFFSET(TblProd[[#This Row],[Bonus Food/hr]],-1,0)),0)</f>
        <v>5029</v>
      </c>
      <c r="J60" s="69" t="n">
        <f aca="false">OFFSET(TblProd[[#This Row],[Lumber]],-1,0)+OFFSET(TblProd[[#This Row],[Lumber/hr]],-1,0) - TblProd[[#This Row],[Expenses Lumber]] + SUM(TblConstr[[#This Row],[Dest Hom]:[Dest Doc]])*TblConstr[[#This Row],[CPA Lumber -DB]]*tech_3_3_2*TblTech[[#This Row],[3-3]]</f>
        <v>6050</v>
      </c>
      <c r="K60" s="69" t="n">
        <f aca="false">OFFSET(TblProd[[#This Row],[Mana]],-1,0)+OFFSET(TblProd[[#This Row],[Mana/hr]],-1,0)- TblProd[[#This Row],[Expenses Mana]]</f>
        <v>5727.5</v>
      </c>
      <c r="L60" s="69" t="n">
        <f aca="false">OFFSET(TblProd[[#This Row],[Ore]],-1,0)+OFFSET(TblProd[[#This Row],[Ore/hr]],-1,0) -TblProd[[#This Row],[Expenses Ore]]</f>
        <v>0</v>
      </c>
      <c r="M60" s="69" t="n">
        <f aca="false">OFFSET(TblProd[[#This Row],[Gems]],-1,0)+OFFSET(TblProd[[#This Row],[Gems/hr]],-1,0) - TblProd[[#This Row],[Expenses Gems]]</f>
        <v>0</v>
      </c>
      <c r="N60" s="69" t="n">
        <f aca="false">OFFSET(TblProd[[#This Row],[Boats]],-1,0)+OFFSET(TblProd[[#This Row],[Boats/hr]],-1,0)</f>
        <v>12.25</v>
      </c>
      <c r="O60" s="69" t="n">
        <f aca="false">OFFSET(TblProd[[#This Row],[Prestige]],-1,0)</f>
        <v>250</v>
      </c>
      <c r="P6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0" s="69" t="n">
        <f aca="false">MAX(3750,_xlfn.CEILING.MATH(TblProd[[#This Row],[Land]]*2.5+OFFSET(TblTech[[#This Row],[Sum of tech]],-1,0)*150))</f>
        <v>3750</v>
      </c>
      <c r="R60" s="132"/>
      <c r="S60" s="69" t="n">
        <f aca="false">ROUNDDOWN(TblProd[[#This Row],[Raw Plat/hr]]*(1+TblProd[[#This Row],[Bonus Plat/hr]]),0)</f>
        <v>46638</v>
      </c>
      <c r="T60" s="69" t="n">
        <f aca="false">ROUND(TblProd[[#This Row],[Raw Food/hr]]*(1+TblProd[[#This Row],[Bonus Food/hr]])-TblProd[[#This Row],[Food decay]]-TblProd[[#This Row],[Food eaten]],0)</f>
        <v>-908</v>
      </c>
      <c r="U60" s="69" t="n">
        <f aca="false">ROUND(TblProd[[#This Row],[Raw Lumber/hr]]*(1+TblProd[[#This Row],[Bonus Lumber/hr]])-TblProd[[#This Row],[Lumber rot]],0)</f>
        <v>1065</v>
      </c>
      <c r="V60" s="69" t="n">
        <f aca="false">ROUND(TblProd[[#This Row],[Raw Mana/hr]]*(1+TblProd[[#This Row],[Bonus Mana/hr]])-TblProd[[#This Row],[Mana drain]],0)</f>
        <v>510</v>
      </c>
      <c r="W60" s="69" t="n">
        <f aca="false">ROUNDDOWN(TblProd[[#This Row],[Raw Ore/hr]]*(1+TblProd[[#This Row],[Bonux Ore/hr]]),0)</f>
        <v>0</v>
      </c>
      <c r="X60" s="69" t="n">
        <f aca="false">ROUNDDOWN(TblProd[[#This Row],[Raw Gems/hr]]*(1+TblProd[[#This Row],[Bonus Gems/hr]]),0)</f>
        <v>0</v>
      </c>
      <c r="Y60" s="148" t="n">
        <f aca="false">OFFSET(TblConstr[[#This Row],[Tot Doc]],1,0)*dock_boats_hr * (1 + tech_4_1*TblTech[[#This Row],[4-1]])</f>
        <v>0.5</v>
      </c>
      <c r="Z60" s="146"/>
      <c r="AA60" s="69" t="n">
        <f aca="false">TblPop[[#This Row],[Peasants]]*tax*TblPop[[#This Row],[Employment]] + (Construction!AZ61+Construction!BX61)*(alch_plat+(Magic!AM60&gt;0)*alchemist_flame_bonus)</f>
        <v>42398.3</v>
      </c>
      <c r="AB60" s="69" t="n">
        <f aca="false">TblConstr[[#This Row],[Tot Farm]]*farm_food + TblConstr[[#This Row],[Tot Doc]]*dock_food</f>
        <v>1920</v>
      </c>
      <c r="AC60" s="69" t="n">
        <f aca="false">TblConstr[[#This Row],[Tot Ly]]*ly_lumber + TblConstr[[#This Row],[Tot Hav]]*fh_lumber</f>
        <v>1250</v>
      </c>
      <c r="AD60" s="69" t="n">
        <f aca="false">OFFSET(TblConstr[[#This Row],[Tot Tow]],1,0)*(tower_mana + tech_4_5*TblTech[[#This Row],[4-5]]) + OFFSET(TblConstr[[#This Row],[Tot WG]],1,0)*wg_mana_prod</f>
        <v>625</v>
      </c>
      <c r="AE60" s="69" t="n">
        <f aca="false">OFFSET(TblConstr[[#This Row],[Tot OM]],1,0)*om_ore+IF(race="Dwarf",ROUNDDOWN(TblMili[[#This Row],[Unit 2]]*0.4,0),)</f>
        <v>0</v>
      </c>
      <c r="AF60" s="69" t="n">
        <f aca="false">OFFSET(TblConstr[[#This Row],[Tot DM]],1,0)*dm_gems</f>
        <v>0</v>
      </c>
      <c r="AG60" s="132"/>
      <c r="AH60" s="149" t="n">
        <f aca="false">MIN(race_platinum_bonus + IF(TblMagic[[#This Row],[Active Alch Frost]]&gt;0,alch_frost_bonus,IF(Magic!AD60&gt;0,midas_bonus)) + TblImps[[#This Row],[Science]] - TblProd[[#This Row],[Guard]]*(0.02 + tech_5_7*TblTech[[#This Row],[5-7]]) + tech_1_5*TblTech[[#This Row],[1-5]] + tech_4_4*TblTech[[#This Row],[4-4]], 0.5)</f>
        <v>0.1</v>
      </c>
      <c r="AI6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0" s="149" t="n">
        <f aca="false">race_lumber_bonus+ IF(TblMagic[[#This Row],[Active Gaia''s Blessing]]&gt;0,gaias_blessing_lumber)+ tech_1_3*TblTech[[#This Row],[1-3]] + tech_1_6*TblTech[[#This Row],[1-6]] + tech_3_3*TblTech[[#This Row],[3-3]]</f>
        <v>-0.1</v>
      </c>
      <c r="AK60" s="149" t="n">
        <f aca="false">race_mana_bonus+ 0 + TblImps[[#This Row],[Towers]] + tech_1_2*TblTech[[#This Row],[1-2]] + tech_3_4*TblTech[[#This Row],[3-4]]</f>
        <v>0</v>
      </c>
      <c r="AL60" s="149" t="n">
        <f aca="false">race_ore_bonus + IF(TblMagic[[#This Row],[Active Miner''s Sight]]&gt;0,miners_sight_bonus,IF(TblMagic[[#This Row],[Active Mining Strength]]&gt;0,mining_strength_bonus)) +  tech_1_6*TblTech[[#This Row],[1-6]]</f>
        <v>0</v>
      </c>
      <c r="AM60" s="149" t="n">
        <f aca="false">race_gem_bonus+ tech_3_2*TblTech[[#This Row],[3-2]] + tech_4_3*TblTech[[#This Row],[4-3]] + tech_6_2*TblTech[[#This Row],[6-2]]</f>
        <v>0.15</v>
      </c>
      <c r="AN60" s="132"/>
      <c r="AO60" s="69" t="n">
        <f aca="false">TblProd[[#This Row],[Food]]*food_decay * (1 + tech_2_1*TblTech[[#This Row],[2-1]] + tech_2_8*TblTech[[#This Row],[2-8]])</f>
        <v>50.29</v>
      </c>
      <c r="AP60" s="69" t="n">
        <f aca="false">(1+race_food_consumption)*TblPop[[#This Row],[Total]]*food_per_person*(1+tech_1_10*TblTech[[#This Row],[1-10]]+tech_7_5*TblTech[[#This Row],[7-5]])</f>
        <v>2825.25</v>
      </c>
      <c r="AQ60" s="69" t="n">
        <f aca="false">TblProd[[#This Row],[Lumber]]*lumber_rot * (1 + tech_2_1*TblTech[[#This Row],[2-1]] + tech_2_8*TblTech[[#This Row],[2-8]] + tech_5_2*TblTech[[#This Row],[5-2]])</f>
        <v>60.5</v>
      </c>
      <c r="AR60" s="69" t="n">
        <f aca="false">TblProd[[#This Row],[Mana]]*mana_drain * (1 + tech_2_1*TblTech[[#This Row],[2-1]] + tech_2_8*TblTech[[#This Row],[2-8]])</f>
        <v>114.55</v>
      </c>
      <c r="AS60" s="146"/>
      <c r="AT60" s="69" t="n">
        <f aca="false">TblExplore[[#This Row],[Platinum (2)]]+TblConstr[[#This Row],[Total Plat Cost]]+TblMili[[#This Row],[Plat Cost]]+TblRezone[[#This Row],[Platinum cost]]+TblImps[[#This Row],[P1]]-TblProd[[#This Row],[Bank Plat]]</f>
        <v>605</v>
      </c>
      <c r="AU60" s="69" t="n">
        <f aca="false">TblConstr[[#This Row],[Total Lum Cost]]+TblImps[[#This Row],[L1]]-TblProd[[#This Row],[Bank Lumber]] + Military!$CL$25*TblMili[[#This Row],[Sec. rec. Cost]]</f>
        <v>114</v>
      </c>
      <c r="AV60" s="69" t="n">
        <f aca="false">TblMagic[[#This Row],[Mana cost]] + Military!$CL$26*TblMili[[#This Row],[Sec. rec. Cost]]</f>
        <v>0</v>
      </c>
      <c r="AW60" s="69" t="n">
        <f aca="false">Military!$CL$24*TblMili[[#This Row],[Sec. rec. Cost]]+TblImps[[#This Row],[O1]]-TblProd[[#This Row],[Bank Ore]]</f>
        <v>0</v>
      </c>
      <c r="AX60" s="69" t="n">
        <f aca="false">TblImps[[#This Row],[G1]]-TblProd[[#This Row],[Bank Gems]]</f>
        <v>0</v>
      </c>
      <c r="AY60" s="132"/>
      <c r="AZ60" s="33" t="n">
        <f aca="false">IF(TblProd[[#This Row],[Set Guard]]&lt;&gt;"",TblProd[[#This Row],[Set Guard]],OFFSET(TblProd[[#This Row],[Guard]],-1,0))</f>
        <v>0</v>
      </c>
      <c r="BA60" s="145"/>
      <c r="BB60" s="151" t="n">
        <f aca="false">TblProd[[#This Row],[Hour]]</f>
        <v>57</v>
      </c>
      <c r="BC60" s="152" t="n">
        <f aca="false">-TblProd[[#This Row],[Bank Lumber]] / 2 + -TblProd[[#This Row],[Bank Gems]] * 2 + -TblProd[[#This Row],[Bank Ore]] / 2</f>
        <v>0</v>
      </c>
      <c r="BD60" s="152"/>
      <c r="BE60" s="152"/>
      <c r="BF60" s="152"/>
      <c r="BG60" s="153" t="n">
        <f aca="false">TblProd[[#This Row],[Time]]</f>
        <v>45432.0833333333</v>
      </c>
      <c r="BH6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69" t="n">
        <f aca="false">TblProd[[#This Row],[Platinum]]</f>
        <v>602753</v>
      </c>
      <c r="BJ60" s="69" t="n">
        <f aca="false">TblProd[[#This Row],[Food]]</f>
        <v>5029</v>
      </c>
      <c r="BK60" s="69" t="n">
        <f aca="false">TblProd[[#This Row],[Lumber]]</f>
        <v>6050</v>
      </c>
      <c r="BL60" s="69" t="n">
        <f aca="false">TblProd[[#This Row],[Mana]]</f>
        <v>5727.5</v>
      </c>
      <c r="BM60" s="69" t="n">
        <f aca="false">TblProd[[#This Row],[Ore]]</f>
        <v>0</v>
      </c>
    </row>
    <row r="61" customFormat="false" ht="12.75" hidden="false" customHeight="false" outlineLevel="0" collapsed="false">
      <c r="A61" s="128" t="n">
        <v>58</v>
      </c>
      <c r="B61" s="144" t="n">
        <f aca="false">TblImps[[#This Row],[Time]]</f>
        <v>45432.125</v>
      </c>
      <c r="C61" s="145"/>
      <c r="D61" s="146"/>
      <c r="E61" s="69" t="n">
        <f aca="false">TblConstr[[#This Row],[Land]]</f>
        <v>700</v>
      </c>
      <c r="F61" s="69" t="n">
        <f aca="false">TblPop[[#This Row],[Peasants]]</f>
        <v>9889</v>
      </c>
      <c r="G61" s="69" t="e">
        <f aca="false">TblMili[[#This Row],[Networth (2)]]</f>
        <v>#VALUE!</v>
      </c>
      <c r="H61" s="69" t="n">
        <f aca="false">OFFSET(TblProd[[#This Row],[Platinum]],-1,0)+OFFSET(TblProd[[#This Row],[Plat/hr]],-1,0) - TblProd[[#This Row],[Expenses Platinum]] + IF(TblProd[[#This Row],[Plat Bonus]],TblPop[[#This Row],[Peasants]]*4) + SUM(TblConstr[[#This Row],[Dest Hom]:[Dest Doc]])*TblConstr[[#This Row],[CPA Platinum -DB]]*tech_3_3_2*TblTech[[#This Row],[3-3]]</f>
        <v>648776</v>
      </c>
      <c r="I61" s="69" t="n">
        <f aca="false">OFFSET(TblProd[[#This Row],[Food]],-1,0)+OFFSET(TblProd[[#This Row],[Food/hr]],-1,0)+ROUNDUP((TblConstr[[#This Row],[Farms]]*80+TblConstr[[#This Row],[Docks]]*35)*(1+OFFSET(TblProd[[#This Row],[Bonus Food/hr]],-1,0)),0)</f>
        <v>4121</v>
      </c>
      <c r="J61" s="69" t="n">
        <f aca="false">OFFSET(TblProd[[#This Row],[Lumber]],-1,0)+OFFSET(TblProd[[#This Row],[Lumber/hr]],-1,0) - TblProd[[#This Row],[Expenses Lumber]] + SUM(TblConstr[[#This Row],[Dest Hom]:[Dest Doc]])*TblConstr[[#This Row],[CPA Lumber -DB]]*tech_3_3_2*TblTech[[#This Row],[3-3]]</f>
        <v>7000</v>
      </c>
      <c r="K61" s="69" t="n">
        <f aca="false">OFFSET(TblProd[[#This Row],[Mana]],-1,0)+OFFSET(TblProd[[#This Row],[Mana/hr]],-1,0)- TblProd[[#This Row],[Expenses Mana]]</f>
        <v>6237.5</v>
      </c>
      <c r="L61" s="69" t="n">
        <f aca="false">OFFSET(TblProd[[#This Row],[Ore]],-1,0)+OFFSET(TblProd[[#This Row],[Ore/hr]],-1,0) -TblProd[[#This Row],[Expenses Ore]]</f>
        <v>0</v>
      </c>
      <c r="M61" s="69" t="n">
        <f aca="false">OFFSET(TblProd[[#This Row],[Gems]],-1,0)+OFFSET(TblProd[[#This Row],[Gems/hr]],-1,0) - TblProd[[#This Row],[Expenses Gems]]</f>
        <v>0</v>
      </c>
      <c r="N61" s="69" t="n">
        <f aca="false">OFFSET(TblProd[[#This Row],[Boats]],-1,0)+OFFSET(TblProd[[#This Row],[Boats/hr]],-1,0)</f>
        <v>12.75</v>
      </c>
      <c r="O61" s="69" t="n">
        <f aca="false">OFFSET(TblProd[[#This Row],[Prestige]],-1,0)</f>
        <v>250</v>
      </c>
      <c r="P6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1" s="69" t="n">
        <f aca="false">MAX(3750,_xlfn.CEILING.MATH(TblProd[[#This Row],[Land]]*2.5+OFFSET(TblTech[[#This Row],[Sum of tech]],-1,0)*150))</f>
        <v>3750</v>
      </c>
      <c r="R61" s="132"/>
      <c r="S61" s="69" t="n">
        <f aca="false">ROUNDDOWN(TblProd[[#This Row],[Raw Plat/hr]]*(1+TblProd[[#This Row],[Bonus Plat/hr]]),0)</f>
        <v>46468</v>
      </c>
      <c r="T61" s="69" t="n">
        <f aca="false">ROUND(TblProd[[#This Row],[Raw Food/hr]]*(1+TblProd[[#This Row],[Bonus Food/hr]])-TblProd[[#This Row],[Food decay]]-TblProd[[#This Row],[Food eaten]],0)</f>
        <v>-898</v>
      </c>
      <c r="U61" s="69" t="n">
        <f aca="false">ROUND(TblProd[[#This Row],[Raw Lumber/hr]]*(1+TblProd[[#This Row],[Bonus Lumber/hr]])-TblProd[[#This Row],[Lumber rot]],0)</f>
        <v>1055</v>
      </c>
      <c r="V61" s="69" t="n">
        <f aca="false">ROUND(TblProd[[#This Row],[Raw Mana/hr]]*(1+TblProd[[#This Row],[Bonus Mana/hr]])-TblProd[[#This Row],[Mana drain]],0)</f>
        <v>500</v>
      </c>
      <c r="W61" s="69" t="n">
        <f aca="false">ROUNDDOWN(TblProd[[#This Row],[Raw Ore/hr]]*(1+TblProd[[#This Row],[Bonux Ore/hr]]),0)</f>
        <v>0</v>
      </c>
      <c r="X61" s="69" t="n">
        <f aca="false">ROUNDDOWN(TblProd[[#This Row],[Raw Gems/hr]]*(1+TblProd[[#This Row],[Bonus Gems/hr]]),0)</f>
        <v>0</v>
      </c>
      <c r="Y61" s="148" t="n">
        <f aca="false">OFFSET(TblConstr[[#This Row],[Tot Doc]],1,0)*dock_boats_hr * (1 + tech_4_1*TblTech[[#This Row],[4-1]])</f>
        <v>0.5</v>
      </c>
      <c r="Z61" s="146"/>
      <c r="AA61" s="69" t="n">
        <f aca="false">TblPop[[#This Row],[Peasants]]*tax*TblPop[[#This Row],[Employment]] + (Construction!AZ62+Construction!BX62)*(alch_plat+(Magic!AM61&gt;0)*alchemist_flame_bonus)</f>
        <v>42244.3</v>
      </c>
      <c r="AB61" s="69" t="n">
        <f aca="false">TblConstr[[#This Row],[Tot Farm]]*farm_food + TblConstr[[#This Row],[Tot Doc]]*dock_food</f>
        <v>1920</v>
      </c>
      <c r="AC61" s="69" t="n">
        <f aca="false">TblConstr[[#This Row],[Tot Ly]]*ly_lumber + TblConstr[[#This Row],[Tot Hav]]*fh_lumber</f>
        <v>1250</v>
      </c>
      <c r="AD61" s="69" t="n">
        <f aca="false">OFFSET(TblConstr[[#This Row],[Tot Tow]],1,0)*(tower_mana + tech_4_5*TblTech[[#This Row],[4-5]]) + OFFSET(TblConstr[[#This Row],[Tot WG]],1,0)*wg_mana_prod</f>
        <v>625</v>
      </c>
      <c r="AE61" s="69" t="n">
        <f aca="false">OFFSET(TblConstr[[#This Row],[Tot OM]],1,0)*om_ore+IF(race="Dwarf",ROUNDDOWN(TblMili[[#This Row],[Unit 2]]*0.4,0),)</f>
        <v>0</v>
      </c>
      <c r="AF61" s="69" t="n">
        <f aca="false">OFFSET(TblConstr[[#This Row],[Tot DM]],1,0)*dm_gems</f>
        <v>0</v>
      </c>
      <c r="AG61" s="132"/>
      <c r="AH61" s="149" t="n">
        <f aca="false">MIN(race_platinum_bonus + IF(TblMagic[[#This Row],[Active Alch Frost]]&gt;0,alch_frost_bonus,IF(Magic!AD61&gt;0,midas_bonus)) + TblImps[[#This Row],[Science]] - TblProd[[#This Row],[Guard]]*(0.02 + tech_5_7*TblTech[[#This Row],[5-7]]) + tech_1_5*TblTech[[#This Row],[1-5]] + tech_4_4*TblTech[[#This Row],[4-4]], 0.5)</f>
        <v>0.1</v>
      </c>
      <c r="AI6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1" s="149" t="n">
        <f aca="false">race_lumber_bonus+ IF(TblMagic[[#This Row],[Active Gaia''s Blessing]]&gt;0,gaias_blessing_lumber)+ tech_1_3*TblTech[[#This Row],[1-3]] + tech_1_6*TblTech[[#This Row],[1-6]] + tech_3_3*TblTech[[#This Row],[3-3]]</f>
        <v>-0.1</v>
      </c>
      <c r="AK61" s="149" t="n">
        <f aca="false">race_mana_bonus+ 0 + TblImps[[#This Row],[Towers]] + tech_1_2*TblTech[[#This Row],[1-2]] + tech_3_4*TblTech[[#This Row],[3-4]]</f>
        <v>0</v>
      </c>
      <c r="AL61" s="149" t="n">
        <f aca="false">race_ore_bonus + IF(TblMagic[[#This Row],[Active Miner''s Sight]]&gt;0,miners_sight_bonus,IF(TblMagic[[#This Row],[Active Mining Strength]]&gt;0,mining_strength_bonus)) +  tech_1_6*TblTech[[#This Row],[1-6]]</f>
        <v>0</v>
      </c>
      <c r="AM61" s="149" t="n">
        <f aca="false">race_gem_bonus+ tech_3_2*TblTech[[#This Row],[3-2]] + tech_4_3*TblTech[[#This Row],[4-3]] + tech_6_2*TblTech[[#This Row],[6-2]]</f>
        <v>0.15</v>
      </c>
      <c r="AN61" s="132"/>
      <c r="AO61" s="69" t="n">
        <f aca="false">TblProd[[#This Row],[Food]]*food_decay * (1 + tech_2_1*TblTech[[#This Row],[2-1]] + tech_2_8*TblTech[[#This Row],[2-8]])</f>
        <v>41.21</v>
      </c>
      <c r="AP61" s="69" t="n">
        <f aca="false">(1+race_food_consumption)*TblPop[[#This Row],[Total]]*food_per_person*(1+tech_1_10*TblTech[[#This Row],[1-10]]+tech_7_5*TblTech[[#This Row],[7-5]])</f>
        <v>2825.25</v>
      </c>
      <c r="AQ61" s="69" t="n">
        <f aca="false">TblProd[[#This Row],[Lumber]]*lumber_rot * (1 + tech_2_1*TblTech[[#This Row],[2-1]] + tech_2_8*TblTech[[#This Row],[2-8]] + tech_5_2*TblTech[[#This Row],[5-2]])</f>
        <v>70</v>
      </c>
      <c r="AR61" s="69" t="n">
        <f aca="false">TblProd[[#This Row],[Mana]]*mana_drain * (1 + tech_2_1*TblTech[[#This Row],[2-1]] + tech_2_8*TblTech[[#This Row],[2-8]])</f>
        <v>124.75</v>
      </c>
      <c r="AS61" s="146"/>
      <c r="AT61" s="69" t="n">
        <f aca="false">TblExplore[[#This Row],[Platinum (2)]]+TblConstr[[#This Row],[Total Plat Cost]]+TblMili[[#This Row],[Plat Cost]]+TblRezone[[#This Row],[Platinum cost]]+TblImps[[#This Row],[P1]]-TblProd[[#This Row],[Bank Plat]]</f>
        <v>615</v>
      </c>
      <c r="AU61" s="69" t="n">
        <f aca="false">TblConstr[[#This Row],[Total Lum Cost]]+TblImps[[#This Row],[L1]]-TblProd[[#This Row],[Bank Lumber]] + Military!$CL$25*TblMili[[#This Row],[Sec. rec. Cost]]</f>
        <v>115</v>
      </c>
      <c r="AV61" s="69" t="n">
        <f aca="false">TblMagic[[#This Row],[Mana cost]] + Military!$CL$26*TblMili[[#This Row],[Sec. rec. Cost]]</f>
        <v>0</v>
      </c>
      <c r="AW61" s="69" t="n">
        <f aca="false">Military!$CL$24*TblMili[[#This Row],[Sec. rec. Cost]]+TblImps[[#This Row],[O1]]-TblProd[[#This Row],[Bank Ore]]</f>
        <v>0</v>
      </c>
      <c r="AX61" s="69" t="n">
        <f aca="false">TblImps[[#This Row],[G1]]-TblProd[[#This Row],[Bank Gems]]</f>
        <v>0</v>
      </c>
      <c r="AY61" s="132"/>
      <c r="AZ61" s="33" t="n">
        <f aca="false">IF(TblProd[[#This Row],[Set Guard]]&lt;&gt;"",TblProd[[#This Row],[Set Guard]],OFFSET(TblProd[[#This Row],[Guard]],-1,0))</f>
        <v>0</v>
      </c>
      <c r="BA61" s="145"/>
      <c r="BB61" s="151" t="n">
        <f aca="false">TblProd[[#This Row],[Hour]]</f>
        <v>58</v>
      </c>
      <c r="BC61" s="152" t="n">
        <f aca="false">-TblProd[[#This Row],[Bank Lumber]] / 2 + -TblProd[[#This Row],[Bank Gems]] * 2 + -TblProd[[#This Row],[Bank Ore]] / 2</f>
        <v>0</v>
      </c>
      <c r="BD61" s="152"/>
      <c r="BE61" s="152"/>
      <c r="BF61" s="152"/>
      <c r="BG61" s="153" t="n">
        <f aca="false">TblProd[[#This Row],[Time]]</f>
        <v>45432.125</v>
      </c>
      <c r="BH6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69" t="n">
        <f aca="false">TblProd[[#This Row],[Platinum]]</f>
        <v>648776</v>
      </c>
      <c r="BJ61" s="69" t="n">
        <f aca="false">TblProd[[#This Row],[Food]]</f>
        <v>4121</v>
      </c>
      <c r="BK61" s="69" t="n">
        <f aca="false">TblProd[[#This Row],[Lumber]]</f>
        <v>7000</v>
      </c>
      <c r="BL61" s="69" t="n">
        <f aca="false">TblProd[[#This Row],[Mana]]</f>
        <v>6237.5</v>
      </c>
      <c r="BM61" s="69" t="n">
        <f aca="false">TblProd[[#This Row],[Ore]]</f>
        <v>0</v>
      </c>
    </row>
    <row r="62" customFormat="false" ht="12.75" hidden="false" customHeight="false" outlineLevel="0" collapsed="false">
      <c r="A62" s="128" t="n">
        <v>59</v>
      </c>
      <c r="B62" s="144" t="n">
        <f aca="false">TblImps[[#This Row],[Time]]</f>
        <v>45432.1666666667</v>
      </c>
      <c r="C62" s="145"/>
      <c r="D62" s="146"/>
      <c r="E62" s="69" t="n">
        <f aca="false">TblConstr[[#This Row],[Land]]</f>
        <v>700</v>
      </c>
      <c r="F62" s="69" t="n">
        <f aca="false">TblPop[[#This Row],[Peasants]]</f>
        <v>9790</v>
      </c>
      <c r="G62" s="69" t="e">
        <f aca="false">TblMili[[#This Row],[Networth (2)]]</f>
        <v>#VALUE!</v>
      </c>
      <c r="H62" s="69" t="n">
        <f aca="false">OFFSET(TblProd[[#This Row],[Platinum]],-1,0)+OFFSET(TblProd[[#This Row],[Plat/hr]],-1,0) - TblProd[[#This Row],[Expenses Platinum]] + IF(TblProd[[#This Row],[Plat Bonus]],TblPop[[#This Row],[Peasants]]*4) + SUM(TblConstr[[#This Row],[Dest Hom]:[Dest Doc]])*TblConstr[[#This Row],[CPA Platinum -DB]]*tech_3_3_2*TblTech[[#This Row],[3-3]]</f>
        <v>694619</v>
      </c>
      <c r="I62" s="69" t="n">
        <f aca="false">OFFSET(TblProd[[#This Row],[Food]],-1,0)+OFFSET(TblProd[[#This Row],[Food/hr]],-1,0)+ROUNDUP((TblConstr[[#This Row],[Farms]]*80+TblConstr[[#This Row],[Docks]]*35)*(1+OFFSET(TblProd[[#This Row],[Bonus Food/hr]],-1,0)),0)</f>
        <v>3223</v>
      </c>
      <c r="J62" s="69" t="n">
        <f aca="false">OFFSET(TblProd[[#This Row],[Lumber]],-1,0)+OFFSET(TblProd[[#This Row],[Lumber/hr]],-1,0) - TblProd[[#This Row],[Expenses Lumber]] + SUM(TblConstr[[#This Row],[Dest Hom]:[Dest Doc]])*TblConstr[[#This Row],[CPA Lumber -DB]]*tech_3_3_2*TblTech[[#This Row],[3-3]]</f>
        <v>7938</v>
      </c>
      <c r="K62" s="69" t="n">
        <f aca="false">OFFSET(TblProd[[#This Row],[Mana]],-1,0)+OFFSET(TblProd[[#This Row],[Mana/hr]],-1,0)- TblProd[[#This Row],[Expenses Mana]]</f>
        <v>6737.5</v>
      </c>
      <c r="L62" s="69" t="n">
        <f aca="false">OFFSET(TblProd[[#This Row],[Ore]],-1,0)+OFFSET(TblProd[[#This Row],[Ore/hr]],-1,0) -TblProd[[#This Row],[Expenses Ore]]</f>
        <v>0</v>
      </c>
      <c r="M62" s="69" t="n">
        <f aca="false">OFFSET(TblProd[[#This Row],[Gems]],-1,0)+OFFSET(TblProd[[#This Row],[Gems/hr]],-1,0) - TblProd[[#This Row],[Expenses Gems]]</f>
        <v>0</v>
      </c>
      <c r="N62" s="69" t="n">
        <f aca="false">OFFSET(TblProd[[#This Row],[Boats]],-1,0)+OFFSET(TblProd[[#This Row],[Boats/hr]],-1,0)</f>
        <v>13.25</v>
      </c>
      <c r="O62" s="69" t="n">
        <f aca="false">OFFSET(TblProd[[#This Row],[Prestige]],-1,0)</f>
        <v>250</v>
      </c>
      <c r="P6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2" s="69" t="n">
        <f aca="false">MAX(3750,_xlfn.CEILING.MATH(TblProd[[#This Row],[Land]]*2.5+OFFSET(TblTech[[#This Row],[Sum of tech]],-1,0)*150))</f>
        <v>3750</v>
      </c>
      <c r="R62" s="132"/>
      <c r="S62" s="69" t="n">
        <f aca="false">ROUNDDOWN(TblProd[[#This Row],[Raw Plat/hr]]*(1+TblProd[[#This Row],[Bonus Plat/hr]]),0)</f>
        <v>46238</v>
      </c>
      <c r="T62" s="69" t="n">
        <f aca="false">ROUND(TblProd[[#This Row],[Raw Food/hr]]*(1+TblProd[[#This Row],[Bonus Food/hr]])-TblProd[[#This Row],[Food decay]]-TblProd[[#This Row],[Food eaten]],0)</f>
        <v>-889</v>
      </c>
      <c r="U62" s="69" t="n">
        <f aca="false">ROUND(TblProd[[#This Row],[Raw Lumber/hr]]*(1+TblProd[[#This Row],[Bonus Lumber/hr]])-TblProd[[#This Row],[Lumber rot]],0)</f>
        <v>1046</v>
      </c>
      <c r="V62" s="69" t="n">
        <f aca="false">ROUND(TblProd[[#This Row],[Raw Mana/hr]]*(1+TblProd[[#This Row],[Bonus Mana/hr]])-TblProd[[#This Row],[Mana drain]],0)</f>
        <v>490</v>
      </c>
      <c r="W62" s="69" t="n">
        <f aca="false">ROUNDDOWN(TblProd[[#This Row],[Raw Ore/hr]]*(1+TblProd[[#This Row],[Bonux Ore/hr]]),0)</f>
        <v>0</v>
      </c>
      <c r="X62" s="69" t="n">
        <f aca="false">ROUNDDOWN(TblProd[[#This Row],[Raw Gems/hr]]*(1+TblProd[[#This Row],[Bonus Gems/hr]]),0)</f>
        <v>0</v>
      </c>
      <c r="Y62" s="148" t="n">
        <f aca="false">OFFSET(TblConstr[[#This Row],[Tot Doc]],1,0)*dock_boats_hr * (1 + tech_4_1*TblTech[[#This Row],[4-1]])</f>
        <v>0.5</v>
      </c>
      <c r="Z62" s="146"/>
      <c r="AA62" s="69" t="n">
        <f aca="false">TblPop[[#This Row],[Peasants]]*tax*TblPop[[#This Row],[Employment]] + (Construction!AZ63+Construction!BX63)*(alch_plat+(Magic!AM62&gt;0)*alchemist_flame_bonus)</f>
        <v>42035</v>
      </c>
      <c r="AB62" s="69" t="n">
        <f aca="false">TblConstr[[#This Row],[Tot Farm]]*farm_food + TblConstr[[#This Row],[Tot Doc]]*dock_food</f>
        <v>1920</v>
      </c>
      <c r="AC62" s="69" t="n">
        <f aca="false">TblConstr[[#This Row],[Tot Ly]]*ly_lumber + TblConstr[[#This Row],[Tot Hav]]*fh_lumber</f>
        <v>1250</v>
      </c>
      <c r="AD62" s="69" t="n">
        <f aca="false">OFFSET(TblConstr[[#This Row],[Tot Tow]],1,0)*(tower_mana + tech_4_5*TblTech[[#This Row],[4-5]]) + OFFSET(TblConstr[[#This Row],[Tot WG]],1,0)*wg_mana_prod</f>
        <v>625</v>
      </c>
      <c r="AE62" s="69" t="n">
        <f aca="false">OFFSET(TblConstr[[#This Row],[Tot OM]],1,0)*om_ore+IF(race="Dwarf",ROUNDDOWN(TblMili[[#This Row],[Unit 2]]*0.4,0),)</f>
        <v>0</v>
      </c>
      <c r="AF62" s="69" t="n">
        <f aca="false">OFFSET(TblConstr[[#This Row],[Tot DM]],1,0)*dm_gems</f>
        <v>0</v>
      </c>
      <c r="AG62" s="132"/>
      <c r="AH62" s="149" t="n">
        <f aca="false">MIN(race_platinum_bonus + IF(TblMagic[[#This Row],[Active Alch Frost]]&gt;0,alch_frost_bonus,IF(Magic!AD62&gt;0,midas_bonus)) + TblImps[[#This Row],[Science]] - TblProd[[#This Row],[Guard]]*(0.02 + tech_5_7*TblTech[[#This Row],[5-7]]) + tech_1_5*TblTech[[#This Row],[1-5]] + tech_4_4*TblTech[[#This Row],[4-4]], 0.5)</f>
        <v>0.1</v>
      </c>
      <c r="AI6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2" s="149" t="n">
        <f aca="false">race_lumber_bonus+ IF(TblMagic[[#This Row],[Active Gaia''s Blessing]]&gt;0,gaias_blessing_lumber)+ tech_1_3*TblTech[[#This Row],[1-3]] + tech_1_6*TblTech[[#This Row],[1-6]] + tech_3_3*TblTech[[#This Row],[3-3]]</f>
        <v>-0.1</v>
      </c>
      <c r="AK62" s="149" t="n">
        <f aca="false">race_mana_bonus+ 0 + TblImps[[#This Row],[Towers]] + tech_1_2*TblTech[[#This Row],[1-2]] + tech_3_4*TblTech[[#This Row],[3-4]]</f>
        <v>0</v>
      </c>
      <c r="AL62" s="149" t="n">
        <f aca="false">race_ore_bonus + IF(TblMagic[[#This Row],[Active Miner''s Sight]]&gt;0,miners_sight_bonus,IF(TblMagic[[#This Row],[Active Mining Strength]]&gt;0,mining_strength_bonus)) +  tech_1_6*TblTech[[#This Row],[1-6]]</f>
        <v>0</v>
      </c>
      <c r="AM62" s="149" t="n">
        <f aca="false">race_gem_bonus+ tech_3_2*TblTech[[#This Row],[3-2]] + tech_4_3*TblTech[[#This Row],[4-3]] + tech_6_2*TblTech[[#This Row],[6-2]]</f>
        <v>0.15</v>
      </c>
      <c r="AN62" s="132"/>
      <c r="AO62" s="69" t="n">
        <f aca="false">TblProd[[#This Row],[Food]]*food_decay * (1 + tech_2_1*TblTech[[#This Row],[2-1]] + tech_2_8*TblTech[[#This Row],[2-8]])</f>
        <v>32.23</v>
      </c>
      <c r="AP62" s="69" t="n">
        <f aca="false">(1+race_food_consumption)*TblPop[[#This Row],[Total]]*food_per_person*(1+tech_1_10*TblTech[[#This Row],[1-10]]+tech_7_5*TblTech[[#This Row],[7-5]])</f>
        <v>2825.25</v>
      </c>
      <c r="AQ62" s="69" t="n">
        <f aca="false">TblProd[[#This Row],[Lumber]]*lumber_rot * (1 + tech_2_1*TblTech[[#This Row],[2-1]] + tech_2_8*TblTech[[#This Row],[2-8]] + tech_5_2*TblTech[[#This Row],[5-2]])</f>
        <v>79.38</v>
      </c>
      <c r="AR62" s="69" t="n">
        <f aca="false">TblProd[[#This Row],[Mana]]*mana_drain * (1 + tech_2_1*TblTech[[#This Row],[2-1]] + tech_2_8*TblTech[[#This Row],[2-8]])</f>
        <v>134.75</v>
      </c>
      <c r="AS62" s="146"/>
      <c r="AT62" s="69" t="n">
        <f aca="false">TblExplore[[#This Row],[Platinum (2)]]+TblConstr[[#This Row],[Total Plat Cost]]+TblMili[[#This Row],[Plat Cost]]+TblRezone[[#This Row],[Platinum cost]]+TblImps[[#This Row],[P1]]-TblProd[[#This Row],[Bank Plat]]</f>
        <v>625</v>
      </c>
      <c r="AU62" s="69" t="n">
        <f aca="false">TblConstr[[#This Row],[Total Lum Cost]]+TblImps[[#This Row],[L1]]-TblProd[[#This Row],[Bank Lumber]] + Military!$CL$25*TblMili[[#This Row],[Sec. rec. Cost]]</f>
        <v>117</v>
      </c>
      <c r="AV62" s="69" t="n">
        <f aca="false">TblMagic[[#This Row],[Mana cost]] + Military!$CL$26*TblMili[[#This Row],[Sec. rec. Cost]]</f>
        <v>0</v>
      </c>
      <c r="AW62" s="69" t="n">
        <f aca="false">Military!$CL$24*TblMili[[#This Row],[Sec. rec. Cost]]+TblImps[[#This Row],[O1]]-TblProd[[#This Row],[Bank Ore]]</f>
        <v>0</v>
      </c>
      <c r="AX62" s="69" t="n">
        <f aca="false">TblImps[[#This Row],[G1]]-TblProd[[#This Row],[Bank Gems]]</f>
        <v>0</v>
      </c>
      <c r="AY62" s="132"/>
      <c r="AZ62" s="33" t="n">
        <f aca="false">IF(TblProd[[#This Row],[Set Guard]]&lt;&gt;"",TblProd[[#This Row],[Set Guard]],OFFSET(TblProd[[#This Row],[Guard]],-1,0))</f>
        <v>0</v>
      </c>
      <c r="BA62" s="145"/>
      <c r="BB62" s="151" t="n">
        <f aca="false">TblProd[[#This Row],[Hour]]</f>
        <v>59</v>
      </c>
      <c r="BC62" s="152" t="n">
        <f aca="false">-TblProd[[#This Row],[Bank Lumber]] / 2 + -TblProd[[#This Row],[Bank Gems]] * 2 + -TblProd[[#This Row],[Bank Ore]] / 2</f>
        <v>0</v>
      </c>
      <c r="BD62" s="152"/>
      <c r="BE62" s="152"/>
      <c r="BF62" s="152"/>
      <c r="BG62" s="153" t="n">
        <f aca="false">TblProd[[#This Row],[Time]]</f>
        <v>45432.1666666667</v>
      </c>
      <c r="BH6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69" t="n">
        <f aca="false">TblProd[[#This Row],[Platinum]]</f>
        <v>694619</v>
      </c>
      <c r="BJ62" s="69" t="n">
        <f aca="false">TblProd[[#This Row],[Food]]</f>
        <v>3223</v>
      </c>
      <c r="BK62" s="69" t="n">
        <f aca="false">TblProd[[#This Row],[Lumber]]</f>
        <v>7938</v>
      </c>
      <c r="BL62" s="69" t="n">
        <f aca="false">TblProd[[#This Row],[Mana]]</f>
        <v>6737.5</v>
      </c>
      <c r="BM62" s="69" t="n">
        <f aca="false">TblProd[[#This Row],[Ore]]</f>
        <v>0</v>
      </c>
    </row>
    <row r="63" customFormat="false" ht="12.75" hidden="false" customHeight="false" outlineLevel="0" collapsed="false">
      <c r="A63" s="128" t="n">
        <v>60</v>
      </c>
      <c r="B63" s="144" t="n">
        <f aca="false">TblImps[[#This Row],[Time]]</f>
        <v>45432.2083333333</v>
      </c>
      <c r="C63" s="145"/>
      <c r="D63" s="146"/>
      <c r="E63" s="69" t="n">
        <f aca="false">TblConstr[[#This Row],[Land]]</f>
        <v>700</v>
      </c>
      <c r="F63" s="69" t="n">
        <f aca="false">TblPop[[#This Row],[Peasants]]</f>
        <v>10015</v>
      </c>
      <c r="G63" s="69" t="e">
        <f aca="false">TblMili[[#This Row],[Networth (2)]]</f>
        <v>#VALUE!</v>
      </c>
      <c r="H63" s="69" t="n">
        <f aca="false">OFFSET(TblProd[[#This Row],[Platinum]],-1,0)+OFFSET(TblProd[[#This Row],[Plat/hr]],-1,0) - TblProd[[#This Row],[Expenses Platinum]] + IF(TblProd[[#This Row],[Plat Bonus]],TblPop[[#This Row],[Peasants]]*4) + SUM(TblConstr[[#This Row],[Dest Hom]:[Dest Doc]])*TblConstr[[#This Row],[CPA Platinum -DB]]*tech_3_3_2*TblTech[[#This Row],[3-3]]</f>
        <v>740222</v>
      </c>
      <c r="I63" s="69" t="n">
        <f aca="false">OFFSET(TblProd[[#This Row],[Food]],-1,0)+OFFSET(TblProd[[#This Row],[Food/hr]],-1,0)+ROUNDUP((TblConstr[[#This Row],[Farms]]*80+TblConstr[[#This Row],[Docks]]*35)*(1+OFFSET(TblProd[[#This Row],[Bonus Food/hr]],-1,0)),0)</f>
        <v>2334</v>
      </c>
      <c r="J63" s="69" t="n">
        <f aca="false">OFFSET(TblProd[[#This Row],[Lumber]],-1,0)+OFFSET(TblProd[[#This Row],[Lumber/hr]],-1,0) - TblProd[[#This Row],[Expenses Lumber]] + SUM(TblConstr[[#This Row],[Dest Hom]:[Dest Doc]])*TblConstr[[#This Row],[CPA Lumber -DB]]*tech_3_3_2*TblTech[[#This Row],[3-3]]</f>
        <v>8866</v>
      </c>
      <c r="K63" s="69" t="n">
        <f aca="false">OFFSET(TblProd[[#This Row],[Mana]],-1,0)+OFFSET(TblProd[[#This Row],[Mana/hr]],-1,0)- TblProd[[#This Row],[Expenses Mana]]</f>
        <v>7227.5</v>
      </c>
      <c r="L63" s="69" t="n">
        <f aca="false">OFFSET(TblProd[[#This Row],[Ore]],-1,0)+OFFSET(TblProd[[#This Row],[Ore/hr]],-1,0) -TblProd[[#This Row],[Expenses Ore]]</f>
        <v>0</v>
      </c>
      <c r="M63" s="69" t="n">
        <f aca="false">OFFSET(TblProd[[#This Row],[Gems]],-1,0)+OFFSET(TblProd[[#This Row],[Gems/hr]],-1,0) - TblProd[[#This Row],[Expenses Gems]]</f>
        <v>0</v>
      </c>
      <c r="N63" s="69" t="n">
        <f aca="false">OFFSET(TblProd[[#This Row],[Boats]],-1,0)+OFFSET(TblProd[[#This Row],[Boats/hr]],-1,0)</f>
        <v>13.75</v>
      </c>
      <c r="O63" s="69" t="n">
        <f aca="false">OFFSET(TblProd[[#This Row],[Prestige]],-1,0)</f>
        <v>250</v>
      </c>
      <c r="P6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3" s="69" t="n">
        <f aca="false">MAX(3750,_xlfn.CEILING.MATH(TblProd[[#This Row],[Land]]*2.5+OFFSET(TblTech[[#This Row],[Sum of tech]],-1,0)*150))</f>
        <v>3750</v>
      </c>
      <c r="R63" s="132"/>
      <c r="S63" s="69" t="n">
        <f aca="false">ROUNDDOWN(TblProd[[#This Row],[Raw Plat/hr]]*(1+TblProd[[#This Row],[Bonus Plat/hr]]),0)</f>
        <v>46970</v>
      </c>
      <c r="T63" s="69" t="n">
        <f aca="false">ROUND(TblProd[[#This Row],[Raw Food/hr]]*(1+TblProd[[#This Row],[Bonus Food/hr]])-TblProd[[#This Row],[Food decay]]-TblProd[[#This Row],[Food eaten]],0)</f>
        <v>-961</v>
      </c>
      <c r="U63" s="69" t="n">
        <f aca="false">ROUND(TblProd[[#This Row],[Raw Lumber/hr]]*(1+TblProd[[#This Row],[Bonus Lumber/hr]])-TblProd[[#This Row],[Lumber rot]],0)</f>
        <v>1036</v>
      </c>
      <c r="V63" s="69" t="n">
        <f aca="false">ROUND(TblProd[[#This Row],[Raw Mana/hr]]*(1+TblProd[[#This Row],[Bonus Mana/hr]])-TblProd[[#This Row],[Mana drain]],0)</f>
        <v>480</v>
      </c>
      <c r="W63" s="69" t="n">
        <f aca="false">ROUNDDOWN(TblProd[[#This Row],[Raw Ore/hr]]*(1+TblProd[[#This Row],[Bonux Ore/hr]]),0)</f>
        <v>0</v>
      </c>
      <c r="X63" s="69" t="n">
        <f aca="false">ROUNDDOWN(TblProd[[#This Row],[Raw Gems/hr]]*(1+TblProd[[#This Row],[Bonus Gems/hr]]),0)</f>
        <v>0</v>
      </c>
      <c r="Y63" s="148" t="n">
        <f aca="false">OFFSET(TblConstr[[#This Row],[Tot Doc]],1,0)*dock_boats_hr * (1 + tech_4_1*TblTech[[#This Row],[4-1]])</f>
        <v>0.5</v>
      </c>
      <c r="Z63" s="146"/>
      <c r="AA63" s="69" t="n">
        <f aca="false">TblPop[[#This Row],[Peasants]]*tax*TblPop[[#This Row],[Employment]] + (Construction!AZ64+Construction!BX64)*(alch_plat+(Magic!AM63&gt;0)*alchemist_flame_bonus)</f>
        <v>42700.5</v>
      </c>
      <c r="AB63" s="69" t="n">
        <f aca="false">TblConstr[[#This Row],[Tot Farm]]*farm_food + TblConstr[[#This Row],[Tot Doc]]*dock_food</f>
        <v>1920</v>
      </c>
      <c r="AC63" s="69" t="n">
        <f aca="false">TblConstr[[#This Row],[Tot Ly]]*ly_lumber + TblConstr[[#This Row],[Tot Hav]]*fh_lumber</f>
        <v>1250</v>
      </c>
      <c r="AD63" s="69" t="n">
        <f aca="false">OFFSET(TblConstr[[#This Row],[Tot Tow]],1,0)*(tower_mana + tech_4_5*TblTech[[#This Row],[4-5]]) + OFFSET(TblConstr[[#This Row],[Tot WG]],1,0)*wg_mana_prod</f>
        <v>625</v>
      </c>
      <c r="AE63" s="69" t="n">
        <f aca="false">OFFSET(TblConstr[[#This Row],[Tot OM]],1,0)*om_ore+IF(race="Dwarf",ROUNDDOWN(TblMili[[#This Row],[Unit 2]]*0.4,0),)</f>
        <v>0</v>
      </c>
      <c r="AF63" s="69" t="n">
        <f aca="false">OFFSET(TblConstr[[#This Row],[Tot DM]],1,0)*dm_gems</f>
        <v>0</v>
      </c>
      <c r="AG63" s="132"/>
      <c r="AH63" s="149" t="n">
        <f aca="false">MIN(race_platinum_bonus + IF(TblMagic[[#This Row],[Active Alch Frost]]&gt;0,alch_frost_bonus,IF(Magic!AD63&gt;0,midas_bonus)) + TblImps[[#This Row],[Science]] - TblProd[[#This Row],[Guard]]*(0.02 + tech_5_7*TblTech[[#This Row],[5-7]]) + tech_1_5*TblTech[[#This Row],[1-5]] + tech_4_4*TblTech[[#This Row],[4-4]], 0.5)</f>
        <v>0.1</v>
      </c>
      <c r="AI6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3" s="149" t="n">
        <f aca="false">race_lumber_bonus+ IF(TblMagic[[#This Row],[Active Gaia''s Blessing]]&gt;0,gaias_blessing_lumber)+ tech_1_3*TblTech[[#This Row],[1-3]] + tech_1_6*TblTech[[#This Row],[1-6]] + tech_3_3*TblTech[[#This Row],[3-3]]</f>
        <v>-0.1</v>
      </c>
      <c r="AK63" s="149" t="n">
        <f aca="false">race_mana_bonus+ 0 + TblImps[[#This Row],[Towers]] + tech_1_2*TblTech[[#This Row],[1-2]] + tech_3_4*TblTech[[#This Row],[3-4]]</f>
        <v>0</v>
      </c>
      <c r="AL63" s="149" t="n">
        <f aca="false">race_ore_bonus + IF(TblMagic[[#This Row],[Active Miner''s Sight]]&gt;0,miners_sight_bonus,IF(TblMagic[[#This Row],[Active Mining Strength]]&gt;0,mining_strength_bonus)) +  tech_1_6*TblTech[[#This Row],[1-6]]</f>
        <v>0</v>
      </c>
      <c r="AM63" s="149" t="n">
        <f aca="false">race_gem_bonus+ tech_3_2*TblTech[[#This Row],[3-2]] + tech_4_3*TblTech[[#This Row],[4-3]] + tech_6_2*TblTech[[#This Row],[6-2]]</f>
        <v>0.15</v>
      </c>
      <c r="AN63" s="132"/>
      <c r="AO63" s="69" t="n">
        <f aca="false">TblProd[[#This Row],[Food]]*food_decay * (1 + tech_2_1*TblTech[[#This Row],[2-1]] + tech_2_8*TblTech[[#This Row],[2-8]])</f>
        <v>23.34</v>
      </c>
      <c r="AP63" s="69" t="n">
        <f aca="false">(1+race_food_consumption)*TblPop[[#This Row],[Total]]*food_per_person*(1+tech_1_10*TblTech[[#This Row],[1-10]]+tech_7_5*TblTech[[#This Row],[7-5]])</f>
        <v>2906</v>
      </c>
      <c r="AQ63" s="69" t="n">
        <f aca="false">TblProd[[#This Row],[Lumber]]*lumber_rot * (1 + tech_2_1*TblTech[[#This Row],[2-1]] + tech_2_8*TblTech[[#This Row],[2-8]] + tech_5_2*TblTech[[#This Row],[5-2]])</f>
        <v>88.66</v>
      </c>
      <c r="AR63" s="69" t="n">
        <f aca="false">TblProd[[#This Row],[Mana]]*mana_drain * (1 + tech_2_1*TblTech[[#This Row],[2-1]] + tech_2_8*TblTech[[#This Row],[2-8]])</f>
        <v>144.55</v>
      </c>
      <c r="AS63" s="146"/>
      <c r="AT63" s="69" t="n">
        <f aca="false">TblExplore[[#This Row],[Platinum (2)]]+TblConstr[[#This Row],[Total Plat Cost]]+TblMili[[#This Row],[Plat Cost]]+TblRezone[[#This Row],[Platinum cost]]+TblImps[[#This Row],[P1]]-TblProd[[#This Row],[Bank Plat]]</f>
        <v>635</v>
      </c>
      <c r="AU63" s="69" t="n">
        <f aca="false">TblConstr[[#This Row],[Total Lum Cost]]+TblImps[[#This Row],[L1]]-TblProd[[#This Row],[Bank Lumber]] + Military!$CL$25*TblMili[[#This Row],[Sec. rec. Cost]]</f>
        <v>118</v>
      </c>
      <c r="AV63" s="69" t="n">
        <f aca="false">TblMagic[[#This Row],[Mana cost]] + Military!$CL$26*TblMili[[#This Row],[Sec. rec. Cost]]</f>
        <v>0</v>
      </c>
      <c r="AW63" s="69" t="n">
        <f aca="false">Military!$CL$24*TblMili[[#This Row],[Sec. rec. Cost]]+TblImps[[#This Row],[O1]]-TblProd[[#This Row],[Bank Ore]]</f>
        <v>0</v>
      </c>
      <c r="AX63" s="69" t="n">
        <f aca="false">TblImps[[#This Row],[G1]]-TblProd[[#This Row],[Bank Gems]]</f>
        <v>0</v>
      </c>
      <c r="AY63" s="132"/>
      <c r="AZ63" s="33" t="n">
        <f aca="false">IF(TblProd[[#This Row],[Set Guard]]&lt;&gt;"",TblProd[[#This Row],[Set Guard]],OFFSET(TblProd[[#This Row],[Guard]],-1,0))</f>
        <v>0</v>
      </c>
      <c r="BA63" s="145"/>
      <c r="BB63" s="151" t="n">
        <f aca="false">TblProd[[#This Row],[Hour]]</f>
        <v>60</v>
      </c>
      <c r="BC63" s="152" t="n">
        <f aca="false">-TblProd[[#This Row],[Bank Lumber]] / 2 + -TblProd[[#This Row],[Bank Gems]] * 2 + -TblProd[[#This Row],[Bank Ore]] / 2</f>
        <v>0</v>
      </c>
      <c r="BD63" s="152"/>
      <c r="BE63" s="152"/>
      <c r="BF63" s="152"/>
      <c r="BG63" s="153" t="n">
        <f aca="false">TblProd[[#This Row],[Time]]</f>
        <v>45432.2083333333</v>
      </c>
      <c r="BH6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69" t="n">
        <f aca="false">TblProd[[#This Row],[Platinum]]</f>
        <v>740222</v>
      </c>
      <c r="BJ63" s="69" t="n">
        <f aca="false">TblProd[[#This Row],[Food]]</f>
        <v>2334</v>
      </c>
      <c r="BK63" s="69" t="n">
        <f aca="false">TblProd[[#This Row],[Lumber]]</f>
        <v>8866</v>
      </c>
      <c r="BL63" s="69" t="n">
        <f aca="false">TblProd[[#This Row],[Mana]]</f>
        <v>7227.5</v>
      </c>
      <c r="BM63" s="69" t="n">
        <f aca="false">TblProd[[#This Row],[Ore]]</f>
        <v>0</v>
      </c>
    </row>
    <row r="64" customFormat="false" ht="12.75" hidden="false" customHeight="false" outlineLevel="0" collapsed="false">
      <c r="A64" s="128" t="n">
        <v>61</v>
      </c>
      <c r="B64" s="144" t="n">
        <f aca="false">TblImps[[#This Row],[Time]]</f>
        <v>45432.25</v>
      </c>
      <c r="C64" s="145" t="n">
        <v>1</v>
      </c>
      <c r="D64" s="146"/>
      <c r="E64" s="69" t="n">
        <f aca="false">TblConstr[[#This Row],[Land]]</f>
        <v>700</v>
      </c>
      <c r="F64" s="69" t="n">
        <f aca="false">TblPop[[#This Row],[Peasants]]</f>
        <v>10237</v>
      </c>
      <c r="G64" s="69" t="e">
        <f aca="false">TblMili[[#This Row],[Networth (2)]]</f>
        <v>#VALUE!</v>
      </c>
      <c r="H64" s="69" t="n">
        <f aca="false">OFFSET(TblProd[[#This Row],[Platinum]],-1,0)+OFFSET(TblProd[[#This Row],[Plat/hr]],-1,0) - TblProd[[#This Row],[Expenses Platinum]] + IF(TblProd[[#This Row],[Plat Bonus]],TblPop[[#This Row],[Peasants]]*4) + SUM(TblConstr[[#This Row],[Dest Hom]:[Dest Doc]])*TblConstr[[#This Row],[CPA Platinum -DB]]*tech_3_3_2*TblTech[[#This Row],[3-3]]</f>
        <v>12986</v>
      </c>
      <c r="I64" s="69" t="n">
        <f aca="false">OFFSET(TblProd[[#This Row],[Food]],-1,0)+OFFSET(TblProd[[#This Row],[Food/hr]],-1,0)+ROUNDUP((TblConstr[[#This Row],[Farms]]*80+TblConstr[[#This Row],[Docks]]*35)*(1+OFFSET(TblProd[[#This Row],[Bonus Food/hr]],-1,0)),0)</f>
        <v>1373</v>
      </c>
      <c r="J64" s="69" t="n">
        <f aca="false">OFFSET(TblProd[[#This Row],[Lumber]],-1,0)+OFFSET(TblProd[[#This Row],[Lumber/hr]],-1,0) - TblProd[[#This Row],[Expenses Lumber]] + SUM(TblConstr[[#This Row],[Dest Hom]:[Dest Doc]])*TblConstr[[#This Row],[CPA Lumber -DB]]*tech_3_3_2*TblTech[[#This Row],[3-3]]</f>
        <v>3902</v>
      </c>
      <c r="K64" s="69" t="n">
        <f aca="false">OFFSET(TblProd[[#This Row],[Mana]],-1,0)+OFFSET(TblProd[[#This Row],[Mana/hr]],-1,0)- TblProd[[#This Row],[Expenses Mana]]</f>
        <v>7707.5</v>
      </c>
      <c r="L64" s="69" t="n">
        <f aca="false">OFFSET(TblProd[[#This Row],[Ore]],-1,0)+OFFSET(TblProd[[#This Row],[Ore/hr]],-1,0) -TblProd[[#This Row],[Expenses Ore]]</f>
        <v>0</v>
      </c>
      <c r="M64" s="69" t="n">
        <f aca="false">OFFSET(TblProd[[#This Row],[Gems]],-1,0)+OFFSET(TblProd[[#This Row],[Gems/hr]],-1,0) - TblProd[[#This Row],[Expenses Gems]]</f>
        <v>0</v>
      </c>
      <c r="N64" s="69" t="n">
        <f aca="false">OFFSET(TblProd[[#This Row],[Boats]],-1,0)+OFFSET(TblProd[[#This Row],[Boats/hr]],-1,0)</f>
        <v>14.25</v>
      </c>
      <c r="O64" s="69" t="n">
        <f aca="false">OFFSET(TblProd[[#This Row],[Prestige]],-1,0)</f>
        <v>250</v>
      </c>
      <c r="P6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4" s="69" t="n">
        <f aca="false">MAX(3750,_xlfn.CEILING.MATH(TblProd[[#This Row],[Land]]*2.5+OFFSET(TblTech[[#This Row],[Sum of tech]],-1,0)*150))</f>
        <v>3750</v>
      </c>
      <c r="R64" s="132"/>
      <c r="S64" s="69" t="n">
        <f aca="false">ROUNDDOWN(TblProd[[#This Row],[Raw Plat/hr]]*(1+TblProd[[#This Row],[Bonus Plat/hr]]),0)</f>
        <v>47948</v>
      </c>
      <c r="T64" s="69" t="n">
        <f aca="false">ROUND(TblProd[[#This Row],[Raw Food/hr]]*(1+TblProd[[#This Row],[Bonus Food/hr]])-TblProd[[#This Row],[Food decay]]-TblProd[[#This Row],[Food eaten]],0)</f>
        <v>-1032</v>
      </c>
      <c r="U64" s="69" t="n">
        <f aca="false">ROUND(TblProd[[#This Row],[Raw Lumber/hr]]*(1+TblProd[[#This Row],[Bonus Lumber/hr]])-TblProd[[#This Row],[Lumber rot]],0)</f>
        <v>1086</v>
      </c>
      <c r="V64" s="69" t="n">
        <f aca="false">ROUND(TblProd[[#This Row],[Raw Mana/hr]]*(1+TblProd[[#This Row],[Bonus Mana/hr]])-TblProd[[#This Row],[Mana drain]],0)</f>
        <v>471</v>
      </c>
      <c r="W64" s="69" t="n">
        <f aca="false">ROUNDDOWN(TblProd[[#This Row],[Raw Ore/hr]]*(1+TblProd[[#This Row],[Bonux Ore/hr]]),0)</f>
        <v>0</v>
      </c>
      <c r="X64" s="69" t="n">
        <f aca="false">ROUNDDOWN(TblProd[[#This Row],[Raw Gems/hr]]*(1+TblProd[[#This Row],[Bonus Gems/hr]]),0)</f>
        <v>0</v>
      </c>
      <c r="Y64" s="148" t="n">
        <f aca="false">OFFSET(TblConstr[[#This Row],[Tot Doc]],1,0)*dock_boats_hr * (1 + tech_4_1*TblTech[[#This Row],[4-1]])</f>
        <v>0.8</v>
      </c>
      <c r="Z64" s="146"/>
      <c r="AA64" s="69" t="n">
        <f aca="false">TblPop[[#This Row],[Peasants]]*tax*TblPop[[#This Row],[Employment]] + (Construction!AZ65+Construction!BX65)*(alch_plat+(Magic!AM64&gt;0)*alchemist_flame_bonus)</f>
        <v>43589.9</v>
      </c>
      <c r="AB64" s="69" t="n">
        <f aca="false">TblConstr[[#This Row],[Tot Farm]]*farm_food + TblConstr[[#This Row],[Tot Doc]]*dock_food</f>
        <v>1920</v>
      </c>
      <c r="AC64" s="69" t="n">
        <f aca="false">TblConstr[[#This Row],[Tot Ly]]*ly_lumber + TblConstr[[#This Row],[Tot Hav]]*fh_lumber</f>
        <v>1250</v>
      </c>
      <c r="AD64" s="69" t="n">
        <f aca="false">OFFSET(TblConstr[[#This Row],[Tot Tow]],1,0)*(tower_mana + tech_4_5*TblTech[[#This Row],[4-5]]) + OFFSET(TblConstr[[#This Row],[Tot WG]],1,0)*wg_mana_prod</f>
        <v>625</v>
      </c>
      <c r="AE64" s="69" t="n">
        <f aca="false">OFFSET(TblConstr[[#This Row],[Tot OM]],1,0)*om_ore+IF(race="Dwarf",ROUNDDOWN(TblMili[[#This Row],[Unit 2]]*0.4,0),)</f>
        <v>0</v>
      </c>
      <c r="AF64" s="69" t="n">
        <f aca="false">OFFSET(TblConstr[[#This Row],[Tot DM]],1,0)*dm_gems</f>
        <v>0</v>
      </c>
      <c r="AG64" s="132"/>
      <c r="AH64" s="149" t="n">
        <f aca="false">MIN(race_platinum_bonus + IF(TblMagic[[#This Row],[Active Alch Frost]]&gt;0,alch_frost_bonus,IF(Magic!AD64&gt;0,midas_bonus)) + TblImps[[#This Row],[Science]] - TblProd[[#This Row],[Guard]]*(0.02 + tech_5_7*TblTech[[#This Row],[5-7]]) + tech_1_5*TblTech[[#This Row],[1-5]] + tech_4_4*TblTech[[#This Row],[4-4]], 0.5)</f>
        <v>0.1</v>
      </c>
      <c r="AI6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4" s="149" t="n">
        <f aca="false">race_lumber_bonus+ IF(TblMagic[[#This Row],[Active Gaia''s Blessing]]&gt;0,gaias_blessing_lumber)+ tech_1_3*TblTech[[#This Row],[1-3]] + tech_1_6*TblTech[[#This Row],[1-6]] + tech_3_3*TblTech[[#This Row],[3-3]]</f>
        <v>-0.1</v>
      </c>
      <c r="AK64" s="149" t="n">
        <f aca="false">race_mana_bonus+ 0 + TblImps[[#This Row],[Towers]] + tech_1_2*TblTech[[#This Row],[1-2]] + tech_3_4*TblTech[[#This Row],[3-4]]</f>
        <v>0</v>
      </c>
      <c r="AL64" s="149" t="n">
        <f aca="false">race_ore_bonus + IF(TblMagic[[#This Row],[Active Miner''s Sight]]&gt;0,miners_sight_bonus,IF(TblMagic[[#This Row],[Active Mining Strength]]&gt;0,mining_strength_bonus)) +  tech_1_6*TblTech[[#This Row],[1-6]]</f>
        <v>0</v>
      </c>
      <c r="AM64" s="149" t="n">
        <f aca="false">race_gem_bonus+ tech_3_2*TblTech[[#This Row],[3-2]] + tech_4_3*TblTech[[#This Row],[4-3]] + tech_6_2*TblTech[[#This Row],[6-2]]</f>
        <v>0.15</v>
      </c>
      <c r="AN64" s="132"/>
      <c r="AO64" s="69" t="n">
        <f aca="false">TblProd[[#This Row],[Food]]*food_decay * (1 + tech_2_1*TblTech[[#This Row],[2-1]] + tech_2_8*TblTech[[#This Row],[2-8]])</f>
        <v>13.73</v>
      </c>
      <c r="AP64" s="69" t="n">
        <f aca="false">(1+race_food_consumption)*TblPop[[#This Row],[Total]]*food_per_person*(1+tech_1_10*TblTech[[#This Row],[1-10]]+tech_7_5*TblTech[[#This Row],[7-5]])</f>
        <v>2986.5</v>
      </c>
      <c r="AQ64" s="69" t="n">
        <f aca="false">TblProd[[#This Row],[Lumber]]*lumber_rot * (1 + tech_2_1*TblTech[[#This Row],[2-1]] + tech_2_8*TblTech[[#This Row],[2-8]] + tech_5_2*TblTech[[#This Row],[5-2]])</f>
        <v>39.02</v>
      </c>
      <c r="AR64" s="69" t="n">
        <f aca="false">TblProd[[#This Row],[Mana]]*mana_drain * (1 + tech_2_1*TblTech[[#This Row],[2-1]] + tech_2_8*TblTech[[#This Row],[2-8]])</f>
        <v>154.15</v>
      </c>
      <c r="AS64" s="146"/>
      <c r="AT64" s="69" t="n">
        <f aca="false">TblExplore[[#This Row],[Platinum (2)]]+TblConstr[[#This Row],[Total Plat Cost]]+TblMili[[#This Row],[Plat Cost]]+TblRezone[[#This Row],[Platinum cost]]+TblImps[[#This Row],[P1]]-TblProd[[#This Row],[Bank Plat]]</f>
        <v>815154</v>
      </c>
      <c r="AU64" s="69" t="n">
        <f aca="false">TblConstr[[#This Row],[Total Lum Cost]]+TblImps[[#This Row],[L1]]-TblProd[[#This Row],[Bank Lumber]] + Military!$CL$25*TblMili[[#This Row],[Sec. rec. Cost]]</f>
        <v>6000</v>
      </c>
      <c r="AV64" s="69" t="n">
        <f aca="false">TblMagic[[#This Row],[Mana cost]] + Military!$CL$26*TblMili[[#This Row],[Sec. rec. Cost]]</f>
        <v>0</v>
      </c>
      <c r="AW64" s="69" t="n">
        <f aca="false">Military!$CL$24*TblMili[[#This Row],[Sec. rec. Cost]]+TblImps[[#This Row],[O1]]-TblProd[[#This Row],[Bank Ore]]</f>
        <v>0</v>
      </c>
      <c r="AX64" s="69" t="n">
        <f aca="false">TblImps[[#This Row],[G1]]-TblProd[[#This Row],[Bank Gems]]</f>
        <v>0</v>
      </c>
      <c r="AY64" s="132"/>
      <c r="AZ64" s="33" t="n">
        <f aca="false">IF(TblProd[[#This Row],[Set Guard]]&lt;&gt;"",TblProd[[#This Row],[Set Guard]],OFFSET(TblProd[[#This Row],[Guard]],-1,0))</f>
        <v>0</v>
      </c>
      <c r="BA64" s="145"/>
      <c r="BB64" s="151" t="n">
        <f aca="false">TblProd[[#This Row],[Hour]]</f>
        <v>61</v>
      </c>
      <c r="BC64" s="152" t="n">
        <f aca="false">-TblProd[[#This Row],[Bank Lumber]] / 2 + -TblProd[[#This Row],[Bank Gems]] * 2 + -TblProd[[#This Row],[Bank Ore]] / 2</f>
        <v>0</v>
      </c>
      <c r="BD64" s="152"/>
      <c r="BE64" s="152"/>
      <c r="BF64" s="152"/>
      <c r="BG64" s="153" t="n">
        <f aca="false">TblProd[[#This Row],[Time]]</f>
        <v>45432.25</v>
      </c>
      <c r="BH6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69" t="n">
        <f aca="false">TblProd[[#This Row],[Platinum]]</f>
        <v>12986</v>
      </c>
      <c r="BJ64" s="69" t="n">
        <f aca="false">TblProd[[#This Row],[Food]]</f>
        <v>1373</v>
      </c>
      <c r="BK64" s="69" t="n">
        <f aca="false">TblProd[[#This Row],[Lumber]]</f>
        <v>3902</v>
      </c>
      <c r="BL64" s="69" t="n">
        <f aca="false">TblProd[[#This Row],[Mana]]</f>
        <v>7707.5</v>
      </c>
      <c r="BM64" s="69" t="n">
        <f aca="false">TblProd[[#This Row],[Ore]]</f>
        <v>0</v>
      </c>
    </row>
    <row r="65" customFormat="false" ht="12.75" hidden="false" customHeight="false" outlineLevel="0" collapsed="false">
      <c r="A65" s="128" t="n">
        <v>62</v>
      </c>
      <c r="B65" s="144" t="n">
        <f aca="false">TblImps[[#This Row],[Time]]</f>
        <v>45432.2916666667</v>
      </c>
      <c r="C65" s="145"/>
      <c r="D65" s="146"/>
      <c r="E65" s="69" t="n">
        <f aca="false">TblConstr[[#This Row],[Land]]</f>
        <v>700</v>
      </c>
      <c r="F65" s="69" t="n">
        <f aca="false">TblPop[[#This Row],[Peasants]]</f>
        <v>10135</v>
      </c>
      <c r="G65" s="69" t="e">
        <f aca="false">TblMili[[#This Row],[Networth (2)]]</f>
        <v>#VALUE!</v>
      </c>
      <c r="H65" s="69" t="n">
        <f aca="false">OFFSET(TblProd[[#This Row],[Platinum]],-1,0)+OFFSET(TblProd[[#This Row],[Plat/hr]],-1,0) - TblProd[[#This Row],[Expenses Platinum]] + IF(TblProd[[#This Row],[Plat Bonus]],TblPop[[#This Row],[Peasants]]*4) + SUM(TblConstr[[#This Row],[Dest Hom]:[Dest Doc]])*TblConstr[[#This Row],[CPA Platinum -DB]]*tech_3_3_2*TblTech[[#This Row],[3-3]]</f>
        <v>55184</v>
      </c>
      <c r="I65" s="69" t="n">
        <f aca="false">OFFSET(TblProd[[#This Row],[Food]],-1,0)+OFFSET(TblProd[[#This Row],[Food/hr]],-1,0)+ROUNDUP((TblConstr[[#This Row],[Farms]]*80+TblConstr[[#This Row],[Docks]]*35)*(1+OFFSET(TblProd[[#This Row],[Bonus Food/hr]],-1,0)),0)</f>
        <v>721</v>
      </c>
      <c r="J65" s="69" t="n">
        <f aca="false">OFFSET(TblProd[[#This Row],[Lumber]],-1,0)+OFFSET(TblProd[[#This Row],[Lumber/hr]],-1,0) - TblProd[[#This Row],[Expenses Lumber]] + SUM(TblConstr[[#This Row],[Dest Hom]:[Dest Doc]])*TblConstr[[#This Row],[CPA Lumber -DB]]*tech_3_3_2*TblTech[[#This Row],[3-3]]</f>
        <v>4003</v>
      </c>
      <c r="K65" s="69" t="n">
        <f aca="false">OFFSET(TblProd[[#This Row],[Mana]],-1,0)+OFFSET(TblProd[[#This Row],[Mana/hr]],-1,0)- TblProd[[#This Row],[Expenses Mana]]</f>
        <v>4678.5</v>
      </c>
      <c r="L65" s="69" t="n">
        <f aca="false">OFFSET(TblProd[[#This Row],[Ore]],-1,0)+OFFSET(TblProd[[#This Row],[Ore/hr]],-1,0) -TblProd[[#This Row],[Expenses Ore]]</f>
        <v>0</v>
      </c>
      <c r="M65" s="69" t="n">
        <f aca="false">OFFSET(TblProd[[#This Row],[Gems]],-1,0)+OFFSET(TblProd[[#This Row],[Gems/hr]],-1,0) - TblProd[[#This Row],[Expenses Gems]]</f>
        <v>0</v>
      </c>
      <c r="N65" s="69" t="n">
        <f aca="false">OFFSET(TblProd[[#This Row],[Boats]],-1,0)+OFFSET(TblProd[[#This Row],[Boats/hr]],-1,0)</f>
        <v>15.05</v>
      </c>
      <c r="O65" s="69" t="n">
        <f aca="false">OFFSET(TblProd[[#This Row],[Prestige]],-1,0)</f>
        <v>250</v>
      </c>
      <c r="P6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5" s="69" t="n">
        <f aca="false">MAX(3750,_xlfn.CEILING.MATH(TblProd[[#This Row],[Land]]*2.5+OFFSET(TblTech[[#This Row],[Sum of tech]],-1,0)*150))</f>
        <v>3750</v>
      </c>
      <c r="R65" s="132"/>
      <c r="S65" s="69" t="n">
        <f aca="false">ROUNDDOWN(TblProd[[#This Row],[Raw Plat/hr]]*(1+TblProd[[#This Row],[Bonus Plat/hr]]),0)</f>
        <v>47645</v>
      </c>
      <c r="T65" s="69" t="n">
        <f aca="false">ROUND(TblProd[[#This Row],[Raw Food/hr]]*(1+TblProd[[#This Row],[Bonus Food/hr]])-TblProd[[#This Row],[Food decay]]-TblProd[[#This Row],[Food eaten]],0)</f>
        <v>-616</v>
      </c>
      <c r="U65" s="69" t="n">
        <f aca="false">ROUND(TblProd[[#This Row],[Raw Lumber/hr]]*(1+TblProd[[#This Row],[Bonus Lumber/hr]])-TblProd[[#This Row],[Lumber rot]],0)</f>
        <v>1085</v>
      </c>
      <c r="V65" s="69" t="n">
        <f aca="false">ROUND(TblProd[[#This Row],[Raw Mana/hr]]*(1+TblProd[[#This Row],[Bonus Mana/hr]])-TblProd[[#This Row],[Mana drain]],0)</f>
        <v>531</v>
      </c>
      <c r="W65" s="69" t="n">
        <f aca="false">ROUNDDOWN(TblProd[[#This Row],[Raw Ore/hr]]*(1+TblProd[[#This Row],[Bonux Ore/hr]]),0)</f>
        <v>0</v>
      </c>
      <c r="X65" s="69" t="n">
        <f aca="false">ROUNDDOWN(TblProd[[#This Row],[Raw Gems/hr]]*(1+TblProd[[#This Row],[Bonus Gems/hr]]),0)</f>
        <v>0</v>
      </c>
      <c r="Y65" s="148" t="n">
        <f aca="false">OFFSET(TblConstr[[#This Row],[Tot Doc]],1,0)*dock_boats_hr * (1 + tech_4_1*TblTech[[#This Row],[4-1]])</f>
        <v>1.2</v>
      </c>
      <c r="Z65" s="146"/>
      <c r="AA65" s="69" t="n">
        <f aca="false">TblPop[[#This Row],[Peasants]]*tax*TblPop[[#This Row],[Employment]] + (Construction!AZ66+Construction!BX66)*(alch_plat+(Magic!AM65&gt;0)*alchemist_flame_bonus)</f>
        <v>43314.5</v>
      </c>
      <c r="AB65" s="69" t="n">
        <f aca="false">TblConstr[[#This Row],[Tot Farm]]*farm_food + TblConstr[[#This Row],[Tot Doc]]*dock_food</f>
        <v>2320</v>
      </c>
      <c r="AC65" s="69" t="n">
        <f aca="false">TblConstr[[#This Row],[Tot Ly]]*ly_lumber + TblConstr[[#This Row],[Tot Hav]]*fh_lumber</f>
        <v>1250</v>
      </c>
      <c r="AD65" s="69" t="n">
        <f aca="false">OFFSET(TblConstr[[#This Row],[Tot Tow]],1,0)*(tower_mana + tech_4_5*TblTech[[#This Row],[4-5]]) + OFFSET(TblConstr[[#This Row],[Tot WG]],1,0)*wg_mana_prod</f>
        <v>625</v>
      </c>
      <c r="AE65" s="69" t="n">
        <f aca="false">OFFSET(TblConstr[[#This Row],[Tot OM]],1,0)*om_ore+IF(race="Dwarf",ROUNDDOWN(TblMili[[#This Row],[Unit 2]]*0.4,0),)</f>
        <v>0</v>
      </c>
      <c r="AF65" s="69" t="n">
        <f aca="false">OFFSET(TblConstr[[#This Row],[Tot DM]],1,0)*dm_gems</f>
        <v>0</v>
      </c>
      <c r="AG65" s="132"/>
      <c r="AH65" s="149" t="n">
        <f aca="false">MIN(race_platinum_bonus + IF(TblMagic[[#This Row],[Active Alch Frost]]&gt;0,alch_frost_bonus,IF(Magic!AD65&gt;0,midas_bonus)) + TblImps[[#This Row],[Science]] - TblProd[[#This Row],[Guard]]*(0.02 + tech_5_7*TblTech[[#This Row],[5-7]]) + tech_1_5*TblTech[[#This Row],[1-5]] + tech_4_4*TblTech[[#This Row],[4-4]], 0.5)</f>
        <v>0.1</v>
      </c>
      <c r="AI6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5" s="149" t="n">
        <f aca="false">race_lumber_bonus+ IF(TblMagic[[#This Row],[Active Gaia''s Blessing]]&gt;0,gaias_blessing_lumber)+ tech_1_3*TblTech[[#This Row],[1-3]] + tech_1_6*TblTech[[#This Row],[1-6]] + tech_3_3*TblTech[[#This Row],[3-3]]</f>
        <v>-0.1</v>
      </c>
      <c r="AK65" s="149" t="n">
        <f aca="false">race_mana_bonus+ 0 + TblImps[[#This Row],[Towers]] + tech_1_2*TblTech[[#This Row],[1-2]] + tech_3_4*TblTech[[#This Row],[3-4]]</f>
        <v>0</v>
      </c>
      <c r="AL65" s="149" t="n">
        <f aca="false">race_ore_bonus + IF(TblMagic[[#This Row],[Active Miner''s Sight]]&gt;0,miners_sight_bonus,IF(TblMagic[[#This Row],[Active Mining Strength]]&gt;0,mining_strength_bonus)) +  tech_1_6*TblTech[[#This Row],[1-6]]</f>
        <v>0</v>
      </c>
      <c r="AM65" s="149" t="n">
        <f aca="false">race_gem_bonus+ tech_3_2*TblTech[[#This Row],[3-2]] + tech_4_3*TblTech[[#This Row],[4-3]] + tech_6_2*TblTech[[#This Row],[6-2]]</f>
        <v>0.15</v>
      </c>
      <c r="AN65" s="132"/>
      <c r="AO65" s="69" t="n">
        <f aca="false">TblProd[[#This Row],[Food]]*food_decay * (1 + tech_2_1*TblTech[[#This Row],[2-1]] + tech_2_8*TblTech[[#This Row],[2-8]])</f>
        <v>7.21</v>
      </c>
      <c r="AP65" s="69" t="n">
        <f aca="false">(1+race_food_consumption)*TblPop[[#This Row],[Total]]*food_per_person*(1+tech_1_10*TblTech[[#This Row],[1-10]]+tech_7_5*TblTech[[#This Row],[7-5]])</f>
        <v>2986.5</v>
      </c>
      <c r="AQ65" s="69" t="n">
        <f aca="false">TblProd[[#This Row],[Lumber]]*lumber_rot * (1 + tech_2_1*TblTech[[#This Row],[2-1]] + tech_2_8*TblTech[[#This Row],[2-8]] + tech_5_2*TblTech[[#This Row],[5-2]])</f>
        <v>40.03</v>
      </c>
      <c r="AR65" s="69" t="n">
        <f aca="false">TblProd[[#This Row],[Mana]]*mana_drain * (1 + tech_2_1*TblTech[[#This Row],[2-1]] + tech_2_8*TblTech[[#This Row],[2-8]])</f>
        <v>93.57</v>
      </c>
      <c r="AS65" s="146"/>
      <c r="AT65" s="69" t="n">
        <f aca="false">TblExplore[[#This Row],[Platinum (2)]]+TblConstr[[#This Row],[Total Plat Cost]]+TblMili[[#This Row],[Plat Cost]]+TblRezone[[#This Row],[Platinum cost]]+TblImps[[#This Row],[P1]]-TblProd[[#This Row],[Bank Plat]]</f>
        <v>5750</v>
      </c>
      <c r="AU65" s="69" t="n">
        <f aca="false">TblConstr[[#This Row],[Total Lum Cost]]+TblImps[[#This Row],[L1]]-TblProd[[#This Row],[Bank Lumber]] + Military!$CL$25*TblMili[[#This Row],[Sec. rec. Cost]]</f>
        <v>985</v>
      </c>
      <c r="AV65" s="69" t="n">
        <f aca="false">TblMagic[[#This Row],[Mana cost]] + Military!$CL$26*TblMili[[#This Row],[Sec. rec. Cost]]</f>
        <v>3500</v>
      </c>
      <c r="AW65" s="69" t="n">
        <f aca="false">Military!$CL$24*TblMili[[#This Row],[Sec. rec. Cost]]+TblImps[[#This Row],[O1]]-TblProd[[#This Row],[Bank Ore]]</f>
        <v>0</v>
      </c>
      <c r="AX65" s="69" t="n">
        <f aca="false">TblImps[[#This Row],[G1]]-TblProd[[#This Row],[Bank Gems]]</f>
        <v>0</v>
      </c>
      <c r="AY65" s="132"/>
      <c r="AZ65" s="33" t="n">
        <f aca="false">IF(TblProd[[#This Row],[Set Guard]]&lt;&gt;"",TblProd[[#This Row],[Set Guard]],OFFSET(TblProd[[#This Row],[Guard]],-1,0))</f>
        <v>0</v>
      </c>
      <c r="BA65" s="145"/>
      <c r="BB65" s="151" t="n">
        <f aca="false">TblProd[[#This Row],[Hour]]</f>
        <v>62</v>
      </c>
      <c r="BC65" s="152" t="n">
        <f aca="false">-TblProd[[#This Row],[Bank Lumber]] / 2 + -TblProd[[#This Row],[Bank Gems]] * 2 + -TblProd[[#This Row],[Bank Ore]] / 2</f>
        <v>0</v>
      </c>
      <c r="BD65" s="152"/>
      <c r="BE65" s="152"/>
      <c r="BF65" s="152"/>
      <c r="BG65" s="153" t="n">
        <f aca="false">TblProd[[#This Row],[Time]]</f>
        <v>45432.2916666667</v>
      </c>
      <c r="BH6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69" t="n">
        <f aca="false">TblProd[[#This Row],[Platinum]]</f>
        <v>55184</v>
      </c>
      <c r="BJ65" s="69" t="n">
        <f aca="false">TblProd[[#This Row],[Food]]</f>
        <v>721</v>
      </c>
      <c r="BK65" s="69" t="n">
        <f aca="false">TblProd[[#This Row],[Lumber]]</f>
        <v>4003</v>
      </c>
      <c r="BL65" s="69" t="n">
        <f aca="false">TblProd[[#This Row],[Mana]]</f>
        <v>4678.5</v>
      </c>
      <c r="BM65" s="69" t="n">
        <f aca="false">TblProd[[#This Row],[Ore]]</f>
        <v>0</v>
      </c>
    </row>
    <row r="66" customFormat="false" ht="12.75" hidden="false" customHeight="false" outlineLevel="0" collapsed="false">
      <c r="A66" s="128" t="n">
        <v>63</v>
      </c>
      <c r="B66" s="144" t="n">
        <f aca="false">TblImps[[#This Row],[Time]]</f>
        <v>45432.3333333333</v>
      </c>
      <c r="C66" s="145"/>
      <c r="D66" s="146"/>
      <c r="E66" s="69" t="n">
        <f aca="false">TblConstr[[#This Row],[Land]]</f>
        <v>700</v>
      </c>
      <c r="F66" s="69" t="n">
        <f aca="false">TblPop[[#This Row],[Peasants]]</f>
        <v>10034</v>
      </c>
      <c r="G66" s="69" t="e">
        <f aca="false">TblMili[[#This Row],[Networth (2)]]</f>
        <v>#VALUE!</v>
      </c>
      <c r="H66" s="69" t="n">
        <f aca="false">OFFSET(TblProd[[#This Row],[Platinum]],-1,0)+OFFSET(TblProd[[#This Row],[Plat/hr]],-1,0) - TblProd[[#This Row],[Expenses Platinum]] + IF(TblProd[[#This Row],[Plat Bonus]],TblPop[[#This Row],[Peasants]]*4) + SUM(TblConstr[[#This Row],[Dest Hom]:[Dest Doc]])*TblConstr[[#This Row],[CPA Platinum -DB]]*tech_3_3_2*TblTech[[#This Row],[3-3]]</f>
        <v>96824</v>
      </c>
      <c r="I66" s="69" t="n">
        <f aca="false">OFFSET(TblProd[[#This Row],[Food]],-1,0)+OFFSET(TblProd[[#This Row],[Food/hr]],-1,0)+ROUNDUP((TblConstr[[#This Row],[Farms]]*80+TblConstr[[#This Row],[Docks]]*35)*(1+OFFSET(TblProd[[#This Row],[Bonus Food/hr]],-1,0)),0)</f>
        <v>884</v>
      </c>
      <c r="J66" s="69" t="n">
        <f aca="false">OFFSET(TblProd[[#This Row],[Lumber]],-1,0)+OFFSET(TblProd[[#This Row],[Lumber/hr]],-1,0) - TblProd[[#This Row],[Expenses Lumber]] + SUM(TblConstr[[#This Row],[Dest Hom]:[Dest Doc]])*TblConstr[[#This Row],[CPA Lumber -DB]]*tech_3_3_2*TblTech[[#This Row],[3-3]]</f>
        <v>4063</v>
      </c>
      <c r="K66" s="69" t="n">
        <f aca="false">OFFSET(TblProd[[#This Row],[Mana]],-1,0)+OFFSET(TblProd[[#This Row],[Mana/hr]],-1,0)- TblProd[[#This Row],[Expenses Mana]]</f>
        <v>5209.5</v>
      </c>
      <c r="L66" s="69" t="n">
        <f aca="false">OFFSET(TblProd[[#This Row],[Ore]],-1,0)+OFFSET(TblProd[[#This Row],[Ore/hr]],-1,0) -TblProd[[#This Row],[Expenses Ore]]</f>
        <v>0</v>
      </c>
      <c r="M66" s="69" t="n">
        <f aca="false">OFFSET(TblProd[[#This Row],[Gems]],-1,0)+OFFSET(TblProd[[#This Row],[Gems/hr]],-1,0) - TblProd[[#This Row],[Expenses Gems]]</f>
        <v>0</v>
      </c>
      <c r="N66" s="69" t="n">
        <f aca="false">OFFSET(TblProd[[#This Row],[Boats]],-1,0)+OFFSET(TblProd[[#This Row],[Boats/hr]],-1,0)</f>
        <v>16.25</v>
      </c>
      <c r="O66" s="69" t="n">
        <f aca="false">OFFSET(TblProd[[#This Row],[Prestige]],-1,0)</f>
        <v>250</v>
      </c>
      <c r="P6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6" s="69" t="n">
        <f aca="false">MAX(3750,_xlfn.CEILING.MATH(TblProd[[#This Row],[Land]]*2.5+OFFSET(TblTech[[#This Row],[Sum of tech]],-1,0)*150))</f>
        <v>3750</v>
      </c>
      <c r="R66" s="132"/>
      <c r="S66" s="69" t="n">
        <f aca="false">ROUNDDOWN(TblProd[[#This Row],[Raw Plat/hr]]*(1+TblProd[[#This Row],[Bonus Plat/hr]]),0)</f>
        <v>47345</v>
      </c>
      <c r="T66" s="69" t="n">
        <f aca="false">ROUND(TblProd[[#This Row],[Raw Food/hr]]*(1+TblProd[[#This Row],[Bonus Food/hr]])-TblProd[[#This Row],[Food decay]]-TblProd[[#This Row],[Food eaten]],0)</f>
        <v>203</v>
      </c>
      <c r="U66" s="69" t="n">
        <f aca="false">ROUND(TblProd[[#This Row],[Raw Lumber/hr]]*(1+TblProd[[#This Row],[Bonus Lumber/hr]])-TblProd[[#This Row],[Lumber rot]],0)</f>
        <v>1084</v>
      </c>
      <c r="V66" s="69" t="n">
        <f aca="false">ROUND(TblProd[[#This Row],[Raw Mana/hr]]*(1+TblProd[[#This Row],[Bonus Mana/hr]])-TblProd[[#This Row],[Mana drain]],0)</f>
        <v>521</v>
      </c>
      <c r="W66" s="69" t="n">
        <f aca="false">ROUNDDOWN(TblProd[[#This Row],[Raw Ore/hr]]*(1+TblProd[[#This Row],[Bonux Ore/hr]]),0)</f>
        <v>0</v>
      </c>
      <c r="X66" s="69" t="n">
        <f aca="false">ROUNDDOWN(TblProd[[#This Row],[Raw Gems/hr]]*(1+TblProd[[#This Row],[Bonus Gems/hr]]),0)</f>
        <v>0</v>
      </c>
      <c r="Y66" s="148" t="n">
        <f aca="false">OFFSET(TblConstr[[#This Row],[Tot Doc]],1,0)*dock_boats_hr * (1 + tech_4_1*TblTech[[#This Row],[4-1]])</f>
        <v>1.2</v>
      </c>
      <c r="Z66" s="146"/>
      <c r="AA66" s="69" t="n">
        <f aca="false">TblPop[[#This Row],[Peasants]]*tax*TblPop[[#This Row],[Employment]] + (Construction!AZ67+Construction!BX67)*(alch_plat+(Magic!AM66&gt;0)*alchemist_flame_bonus)</f>
        <v>43041.8</v>
      </c>
      <c r="AB66" s="69" t="n">
        <f aca="false">TblConstr[[#This Row],[Tot Farm]]*farm_food + TblConstr[[#This Row],[Tot Doc]]*dock_food</f>
        <v>3120</v>
      </c>
      <c r="AC66" s="69" t="n">
        <f aca="false">TblConstr[[#This Row],[Tot Ly]]*ly_lumber + TblConstr[[#This Row],[Tot Hav]]*fh_lumber</f>
        <v>1250</v>
      </c>
      <c r="AD66" s="69" t="n">
        <f aca="false">OFFSET(TblConstr[[#This Row],[Tot Tow]],1,0)*(tower_mana + tech_4_5*TblTech[[#This Row],[4-5]]) + OFFSET(TblConstr[[#This Row],[Tot WG]],1,0)*wg_mana_prod</f>
        <v>625</v>
      </c>
      <c r="AE66" s="69" t="n">
        <f aca="false">OFFSET(TblConstr[[#This Row],[Tot OM]],1,0)*om_ore+IF(race="Dwarf",ROUNDDOWN(TblMili[[#This Row],[Unit 2]]*0.4,0),)</f>
        <v>0</v>
      </c>
      <c r="AF66" s="69" t="n">
        <f aca="false">OFFSET(TblConstr[[#This Row],[Tot DM]],1,0)*dm_gems</f>
        <v>0</v>
      </c>
      <c r="AG66" s="132"/>
      <c r="AH66" s="149" t="n">
        <f aca="false">MIN(race_platinum_bonus + IF(TblMagic[[#This Row],[Active Alch Frost]]&gt;0,alch_frost_bonus,IF(Magic!AD66&gt;0,midas_bonus)) + TblImps[[#This Row],[Science]] - TblProd[[#This Row],[Guard]]*(0.02 + tech_5_7*TblTech[[#This Row],[5-7]]) + tech_1_5*TblTech[[#This Row],[1-5]] + tech_4_4*TblTech[[#This Row],[4-4]], 0.5)</f>
        <v>0.1</v>
      </c>
      <c r="AI6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6" s="149" t="n">
        <f aca="false">race_lumber_bonus+ IF(TblMagic[[#This Row],[Active Gaia''s Blessing]]&gt;0,gaias_blessing_lumber)+ tech_1_3*TblTech[[#This Row],[1-3]] + tech_1_6*TblTech[[#This Row],[1-6]] + tech_3_3*TblTech[[#This Row],[3-3]]</f>
        <v>-0.1</v>
      </c>
      <c r="AK66" s="149" t="n">
        <f aca="false">race_mana_bonus+ 0 + TblImps[[#This Row],[Towers]] + tech_1_2*TblTech[[#This Row],[1-2]] + tech_3_4*TblTech[[#This Row],[3-4]]</f>
        <v>0</v>
      </c>
      <c r="AL66" s="149" t="n">
        <f aca="false">race_ore_bonus + IF(TblMagic[[#This Row],[Active Miner''s Sight]]&gt;0,miners_sight_bonus,IF(TblMagic[[#This Row],[Active Mining Strength]]&gt;0,mining_strength_bonus)) +  tech_1_6*TblTech[[#This Row],[1-6]]</f>
        <v>0</v>
      </c>
      <c r="AM66" s="149" t="n">
        <f aca="false">race_gem_bonus+ tech_3_2*TblTech[[#This Row],[3-2]] + tech_4_3*TblTech[[#This Row],[4-3]] + tech_6_2*TblTech[[#This Row],[6-2]]</f>
        <v>0.15</v>
      </c>
      <c r="AN66" s="132"/>
      <c r="AO66" s="69" t="n">
        <f aca="false">TblProd[[#This Row],[Food]]*food_decay * (1 + tech_2_1*TblTech[[#This Row],[2-1]] + tech_2_8*TblTech[[#This Row],[2-8]])</f>
        <v>8.84</v>
      </c>
      <c r="AP66" s="69" t="n">
        <f aca="false">(1+race_food_consumption)*TblPop[[#This Row],[Total]]*food_per_person*(1+tech_1_10*TblTech[[#This Row],[1-10]]+tech_7_5*TblTech[[#This Row],[7-5]])</f>
        <v>2986.5</v>
      </c>
      <c r="AQ66" s="69" t="n">
        <f aca="false">TblProd[[#This Row],[Lumber]]*lumber_rot * (1 + tech_2_1*TblTech[[#This Row],[2-1]] + tech_2_8*TblTech[[#This Row],[2-8]] + tech_5_2*TblTech[[#This Row],[5-2]])</f>
        <v>40.63</v>
      </c>
      <c r="AR66" s="69" t="n">
        <f aca="false">TblProd[[#This Row],[Mana]]*mana_drain * (1 + tech_2_1*TblTech[[#This Row],[2-1]] + tech_2_8*TblTech[[#This Row],[2-8]])</f>
        <v>104.19</v>
      </c>
      <c r="AS66" s="146"/>
      <c r="AT66" s="69" t="n">
        <f aca="false">TblExplore[[#This Row],[Platinum (2)]]+TblConstr[[#This Row],[Total Plat Cost]]+TblMili[[#This Row],[Plat Cost]]+TblRezone[[#This Row],[Platinum cost]]+TblImps[[#This Row],[P1]]-TblProd[[#This Row],[Bank Plat]]</f>
        <v>6005</v>
      </c>
      <c r="AU66" s="69" t="n">
        <f aca="false">TblConstr[[#This Row],[Total Lum Cost]]+TblImps[[#This Row],[L1]]-TblProd[[#This Row],[Bank Lumber]] + Military!$CL$25*TblMili[[#This Row],[Sec. rec. Cost]]</f>
        <v>1025</v>
      </c>
      <c r="AV66" s="69" t="n">
        <f aca="false">TblMagic[[#This Row],[Mana cost]] + Military!$CL$26*TblMili[[#This Row],[Sec. rec. Cost]]</f>
        <v>0</v>
      </c>
      <c r="AW66" s="69" t="n">
        <f aca="false">Military!$CL$24*TblMili[[#This Row],[Sec. rec. Cost]]+TblImps[[#This Row],[O1]]-TblProd[[#This Row],[Bank Ore]]</f>
        <v>0</v>
      </c>
      <c r="AX66" s="69" t="n">
        <f aca="false">TblImps[[#This Row],[G1]]-TblProd[[#This Row],[Bank Gems]]</f>
        <v>0</v>
      </c>
      <c r="AY66" s="132"/>
      <c r="AZ66" s="33" t="n">
        <f aca="false">IF(TblProd[[#This Row],[Set Guard]]&lt;&gt;"",TblProd[[#This Row],[Set Guard]],OFFSET(TblProd[[#This Row],[Guard]],-1,0))</f>
        <v>0</v>
      </c>
      <c r="BA66" s="145"/>
      <c r="BB66" s="151" t="n">
        <f aca="false">TblProd[[#This Row],[Hour]]</f>
        <v>63</v>
      </c>
      <c r="BC66" s="152" t="n">
        <f aca="false">-TblProd[[#This Row],[Bank Lumber]] / 2 + -TblProd[[#This Row],[Bank Gems]] * 2 + -TblProd[[#This Row],[Bank Ore]] / 2</f>
        <v>0</v>
      </c>
      <c r="BD66" s="152"/>
      <c r="BE66" s="152"/>
      <c r="BF66" s="152"/>
      <c r="BG66" s="153" t="n">
        <f aca="false">TblProd[[#This Row],[Time]]</f>
        <v>45432.3333333333</v>
      </c>
      <c r="BH6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69" t="n">
        <f aca="false">TblProd[[#This Row],[Platinum]]</f>
        <v>96824</v>
      </c>
      <c r="BJ66" s="69" t="n">
        <f aca="false">TblProd[[#This Row],[Food]]</f>
        <v>884</v>
      </c>
      <c r="BK66" s="69" t="n">
        <f aca="false">TblProd[[#This Row],[Lumber]]</f>
        <v>4063</v>
      </c>
      <c r="BL66" s="69" t="n">
        <f aca="false">TblProd[[#This Row],[Mana]]</f>
        <v>5209.5</v>
      </c>
      <c r="BM66" s="69" t="n">
        <f aca="false">TblProd[[#This Row],[Ore]]</f>
        <v>0</v>
      </c>
    </row>
    <row r="67" customFormat="false" ht="12.75" hidden="false" customHeight="false" outlineLevel="0" collapsed="false">
      <c r="A67" s="128" t="n">
        <v>64</v>
      </c>
      <c r="B67" s="144" t="n">
        <f aca="false">TblImps[[#This Row],[Time]]</f>
        <v>45432.375</v>
      </c>
      <c r="C67" s="145"/>
      <c r="D67" s="146"/>
      <c r="E67" s="69" t="n">
        <f aca="false">TblConstr[[#This Row],[Land]]</f>
        <v>700</v>
      </c>
      <c r="F67" s="69" t="n">
        <f aca="false">TblPop[[#This Row],[Peasants]]</f>
        <v>10153</v>
      </c>
      <c r="G67" s="69" t="e">
        <f aca="false">TblMili[[#This Row],[Networth (2)]]</f>
        <v>#VALUE!</v>
      </c>
      <c r="H67" s="69" t="n">
        <f aca="false">OFFSET(TblProd[[#This Row],[Platinum]],-1,0)+OFFSET(TblProd[[#This Row],[Plat/hr]],-1,0) - TblProd[[#This Row],[Expenses Platinum]] + IF(TblProd[[#This Row],[Plat Bonus]],TblPop[[#This Row],[Peasants]]*4) + SUM(TblConstr[[#This Row],[Dest Hom]:[Dest Doc]])*TblConstr[[#This Row],[CPA Platinum -DB]]*tech_3_3_2*TblTech[[#This Row],[3-3]]</f>
        <v>7459</v>
      </c>
      <c r="I67" s="69" t="n">
        <f aca="false">OFFSET(TblProd[[#This Row],[Food]],-1,0)+OFFSET(TblProd[[#This Row],[Food/hr]],-1,0)+ROUNDUP((TblConstr[[#This Row],[Farms]]*80+TblConstr[[#This Row],[Docks]]*35)*(1+OFFSET(TblProd[[#This Row],[Bonus Food/hr]],-1,0)),0)</f>
        <v>1251</v>
      </c>
      <c r="J67" s="69" t="n">
        <f aca="false">OFFSET(TblProd[[#This Row],[Lumber]],-1,0)+OFFSET(TblProd[[#This Row],[Lumber/hr]],-1,0) - TblProd[[#This Row],[Expenses Lumber]] + SUM(TblConstr[[#This Row],[Dest Hom]:[Dest Doc]])*TblConstr[[#This Row],[CPA Lumber -DB]]*tech_3_3_2*TblTech[[#This Row],[3-3]]</f>
        <v>4723</v>
      </c>
      <c r="K67" s="69" t="n">
        <f aca="false">OFFSET(TblProd[[#This Row],[Mana]],-1,0)+OFFSET(TblProd[[#This Row],[Mana/hr]],-1,0)- TblProd[[#This Row],[Expenses Mana]]</f>
        <v>3980.5</v>
      </c>
      <c r="L67" s="69" t="n">
        <f aca="false">OFFSET(TblProd[[#This Row],[Ore]],-1,0)+OFFSET(TblProd[[#This Row],[Ore/hr]],-1,0) -TblProd[[#This Row],[Expenses Ore]]</f>
        <v>0</v>
      </c>
      <c r="M67" s="69" t="n">
        <f aca="false">OFFSET(TblProd[[#This Row],[Gems]],-1,0)+OFFSET(TblProd[[#This Row],[Gems/hr]],-1,0) - TblProd[[#This Row],[Expenses Gems]]</f>
        <v>0</v>
      </c>
      <c r="N67" s="69" t="n">
        <f aca="false">OFFSET(TblProd[[#This Row],[Boats]],-1,0)+OFFSET(TblProd[[#This Row],[Boats/hr]],-1,0)</f>
        <v>17.45</v>
      </c>
      <c r="O67" s="69" t="n">
        <f aca="false">OFFSET(TblProd[[#This Row],[Prestige]],-1,0)</f>
        <v>250</v>
      </c>
      <c r="P6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7" s="69" t="n">
        <f aca="false">MAX(3750,_xlfn.CEILING.MATH(TblProd[[#This Row],[Land]]*2.5+OFFSET(TblTech[[#This Row],[Sum of tech]],-1,0)*150))</f>
        <v>3750</v>
      </c>
      <c r="R67" s="132"/>
      <c r="S67" s="69" t="n">
        <f aca="false">ROUNDDOWN(TblProd[[#This Row],[Raw Plat/hr]]*(1+TblProd[[#This Row],[Bonus Plat/hr]]),0)</f>
        <v>47699</v>
      </c>
      <c r="T67" s="69" t="n">
        <f aca="false">ROUND(TblProd[[#This Row],[Raw Food/hr]]*(1+TblProd[[#This Row],[Bonus Food/hr]])-TblProd[[#This Row],[Food decay]]-TblProd[[#This Row],[Food eaten]],0)</f>
        <v>308</v>
      </c>
      <c r="U67" s="69" t="n">
        <f aca="false">ROUND(TblProd[[#This Row],[Raw Lumber/hr]]*(1+TblProd[[#This Row],[Bonus Lumber/hr]])-TblProd[[#This Row],[Lumber rot]],0)</f>
        <v>1078</v>
      </c>
      <c r="V67" s="69" t="n">
        <f aca="false">ROUND(TblProd[[#This Row],[Raw Mana/hr]]*(1+TblProd[[#This Row],[Bonus Mana/hr]])-TblProd[[#This Row],[Mana drain]],0)</f>
        <v>545</v>
      </c>
      <c r="W67" s="69" t="n">
        <f aca="false">ROUNDDOWN(TblProd[[#This Row],[Raw Ore/hr]]*(1+TblProd[[#This Row],[Bonux Ore/hr]]),0)</f>
        <v>0</v>
      </c>
      <c r="X67" s="69" t="n">
        <f aca="false">ROUNDDOWN(TblProd[[#This Row],[Raw Gems/hr]]*(1+TblProd[[#This Row],[Bonus Gems/hr]]),0)</f>
        <v>0</v>
      </c>
      <c r="Y67" s="148" t="n">
        <f aca="false">OFFSET(TblConstr[[#This Row],[Tot Doc]],1,0)*dock_boats_hr * (1 + tech_4_1*TblTech[[#This Row],[4-1]])</f>
        <v>1.2</v>
      </c>
      <c r="Z67" s="146"/>
      <c r="AA67" s="69" t="n">
        <f aca="false">TblPop[[#This Row],[Peasants]]*tax*TblPop[[#This Row],[Employment]] + (Construction!AZ68+Construction!BX68)*(alch_plat+(Magic!AM67&gt;0)*alchemist_flame_bonus)</f>
        <v>43363.1</v>
      </c>
      <c r="AB67" s="69" t="n">
        <f aca="false">TblConstr[[#This Row],[Tot Farm]]*farm_food + TblConstr[[#This Row],[Tot Doc]]*dock_food</f>
        <v>3280</v>
      </c>
      <c r="AC67" s="69" t="n">
        <f aca="false">TblConstr[[#This Row],[Tot Ly]]*ly_lumber + TblConstr[[#This Row],[Tot Hav]]*fh_lumber</f>
        <v>1250</v>
      </c>
      <c r="AD67" s="69" t="n">
        <f aca="false">OFFSET(TblConstr[[#This Row],[Tot Tow]],1,0)*(tower_mana + tech_4_5*TblTech[[#This Row],[4-5]]) + OFFSET(TblConstr[[#This Row],[Tot WG]],1,0)*wg_mana_prod</f>
        <v>625</v>
      </c>
      <c r="AE67" s="69" t="n">
        <f aca="false">OFFSET(TblConstr[[#This Row],[Tot OM]],1,0)*om_ore+IF(race="Dwarf",ROUNDDOWN(TblMili[[#This Row],[Unit 2]]*0.4,0),)</f>
        <v>0</v>
      </c>
      <c r="AF67" s="69" t="n">
        <f aca="false">OFFSET(TblConstr[[#This Row],[Tot DM]],1,0)*dm_gems</f>
        <v>0</v>
      </c>
      <c r="AG67" s="132"/>
      <c r="AH67" s="149" t="n">
        <f aca="false">MIN(race_platinum_bonus + IF(TblMagic[[#This Row],[Active Alch Frost]]&gt;0,alch_frost_bonus,IF(Magic!AD67&gt;0,midas_bonus)) + TblImps[[#This Row],[Science]] - TblProd[[#This Row],[Guard]]*(0.02 + tech_5_7*TblTech[[#This Row],[5-7]]) + tech_1_5*TblTech[[#This Row],[1-5]] + tech_4_4*TblTech[[#This Row],[4-4]], 0.5)</f>
        <v>0.1</v>
      </c>
      <c r="AI6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7" s="149" t="n">
        <f aca="false">race_lumber_bonus+ IF(TblMagic[[#This Row],[Active Gaia''s Blessing]]&gt;0,gaias_blessing_lumber)+ tech_1_3*TblTech[[#This Row],[1-3]] + tech_1_6*TblTech[[#This Row],[1-6]] + tech_3_3*TblTech[[#This Row],[3-3]]</f>
        <v>-0.1</v>
      </c>
      <c r="AK67" s="149" t="n">
        <f aca="false">race_mana_bonus+ 0 + TblImps[[#This Row],[Towers]] + tech_1_2*TblTech[[#This Row],[1-2]] + tech_3_4*TblTech[[#This Row],[3-4]]</f>
        <v>0</v>
      </c>
      <c r="AL67" s="149" t="n">
        <f aca="false">race_ore_bonus + IF(TblMagic[[#This Row],[Active Miner''s Sight]]&gt;0,miners_sight_bonus,IF(TblMagic[[#This Row],[Active Mining Strength]]&gt;0,mining_strength_bonus)) +  tech_1_6*TblTech[[#This Row],[1-6]]</f>
        <v>0</v>
      </c>
      <c r="AM67" s="149" t="n">
        <f aca="false">race_gem_bonus+ tech_3_2*TblTech[[#This Row],[3-2]] + tech_4_3*TblTech[[#This Row],[4-3]] + tech_6_2*TblTech[[#This Row],[6-2]]</f>
        <v>0.15</v>
      </c>
      <c r="AN67" s="132"/>
      <c r="AO67" s="69" t="n">
        <f aca="false">TblProd[[#This Row],[Food]]*food_decay * (1 + tech_2_1*TblTech[[#This Row],[2-1]] + tech_2_8*TblTech[[#This Row],[2-8]])</f>
        <v>12.51</v>
      </c>
      <c r="AP67" s="69" t="n">
        <f aca="false">(1+race_food_consumption)*TblPop[[#This Row],[Total]]*food_per_person*(1+tech_1_10*TblTech[[#This Row],[1-10]]+tech_7_5*TblTech[[#This Row],[7-5]])</f>
        <v>3041.25</v>
      </c>
      <c r="AQ67" s="69" t="n">
        <f aca="false">TblProd[[#This Row],[Lumber]]*lumber_rot * (1 + tech_2_1*TblTech[[#This Row],[2-1]] + tech_2_8*TblTech[[#This Row],[2-8]] + tech_5_2*TblTech[[#This Row],[5-2]])</f>
        <v>47.23</v>
      </c>
      <c r="AR67" s="69" t="n">
        <f aca="false">TblProd[[#This Row],[Mana]]*mana_drain * (1 + tech_2_1*TblTech[[#This Row],[2-1]] + tech_2_8*TblTech[[#This Row],[2-8]])</f>
        <v>79.61</v>
      </c>
      <c r="AS67" s="146"/>
      <c r="AT67" s="69" t="n">
        <f aca="false">TblExplore[[#This Row],[Platinum (2)]]+TblConstr[[#This Row],[Total Plat Cost]]+TblMili[[#This Row],[Plat Cost]]+TblRezone[[#This Row],[Platinum cost]]+TblImps[[#This Row],[P1]]-TblProd[[#This Row],[Bank Plat]]</f>
        <v>136710</v>
      </c>
      <c r="AU67" s="69" t="n">
        <f aca="false">TblConstr[[#This Row],[Total Lum Cost]]+TblImps[[#This Row],[L1]]-TblProd[[#This Row],[Bank Lumber]] + Military!$CL$25*TblMili[[#This Row],[Sec. rec. Cost]]</f>
        <v>424</v>
      </c>
      <c r="AV67" s="69" t="n">
        <f aca="false">TblMagic[[#This Row],[Mana cost]] + Military!$CL$26*TblMili[[#This Row],[Sec. rec. Cost]]</f>
        <v>1750</v>
      </c>
      <c r="AW67" s="69" t="n">
        <f aca="false">Military!$CL$24*TblMili[[#This Row],[Sec. rec. Cost]]+TblImps[[#This Row],[O1]]-TblProd[[#This Row],[Bank Ore]]</f>
        <v>0</v>
      </c>
      <c r="AX67" s="69" t="n">
        <f aca="false">TblImps[[#This Row],[G1]]-TblProd[[#This Row],[Bank Gems]]</f>
        <v>0</v>
      </c>
      <c r="AY67" s="132"/>
      <c r="AZ67" s="33" t="n">
        <f aca="false">IF(TblProd[[#This Row],[Set Guard]]&lt;&gt;"",TblProd[[#This Row],[Set Guard]],OFFSET(TblProd[[#This Row],[Guard]],-1,0))</f>
        <v>0</v>
      </c>
      <c r="BA67" s="145"/>
      <c r="BB67" s="151" t="n">
        <f aca="false">TblProd[[#This Row],[Hour]]</f>
        <v>64</v>
      </c>
      <c r="BC67" s="152" t="n">
        <f aca="false">-TblProd[[#This Row],[Bank Lumber]] / 2 + -TblProd[[#This Row],[Bank Gems]] * 2 + -TblProd[[#This Row],[Bank Ore]] / 2</f>
        <v>0</v>
      </c>
      <c r="BD67" s="152"/>
      <c r="BE67" s="152"/>
      <c r="BF67" s="152"/>
      <c r="BG67" s="153" t="n">
        <f aca="false">TblProd[[#This Row],[Time]]</f>
        <v>45432.375</v>
      </c>
      <c r="BH6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69" t="n">
        <f aca="false">TblProd[[#This Row],[Platinum]]</f>
        <v>7459</v>
      </c>
      <c r="BJ67" s="69" t="n">
        <f aca="false">TblProd[[#This Row],[Food]]</f>
        <v>1251</v>
      </c>
      <c r="BK67" s="69" t="n">
        <f aca="false">TblProd[[#This Row],[Lumber]]</f>
        <v>4723</v>
      </c>
      <c r="BL67" s="69" t="n">
        <f aca="false">TblProd[[#This Row],[Mana]]</f>
        <v>3980.5</v>
      </c>
      <c r="BM67" s="69" t="n">
        <f aca="false">TblProd[[#This Row],[Ore]]</f>
        <v>0</v>
      </c>
    </row>
    <row r="68" customFormat="false" ht="12.75" hidden="false" customHeight="false" outlineLevel="0" collapsed="false">
      <c r="A68" s="128" t="n">
        <v>65</v>
      </c>
      <c r="B68" s="144" t="n">
        <f aca="false">TblImps[[#This Row],[Time]]</f>
        <v>45432.4166666667</v>
      </c>
      <c r="C68" s="145"/>
      <c r="D68" s="146"/>
      <c r="E68" s="69" t="n">
        <f aca="false">TblConstr[[#This Row],[Land]]</f>
        <v>700</v>
      </c>
      <c r="F68" s="69" t="n">
        <f aca="false">TblPop[[#This Row],[Peasants]]</f>
        <v>10269</v>
      </c>
      <c r="G68" s="69" t="e">
        <f aca="false">TblMili[[#This Row],[Networth (2)]]</f>
        <v>#VALUE!</v>
      </c>
      <c r="H68" s="69" t="n">
        <f aca="false">OFFSET(TblProd[[#This Row],[Platinum]],-1,0)+OFFSET(TblProd[[#This Row],[Plat/hr]],-1,0) - TblProd[[#This Row],[Expenses Platinum]] + IF(TblProd[[#This Row],[Plat Bonus]],TblPop[[#This Row],[Peasants]]*4) + SUM(TblConstr[[#This Row],[Dest Hom]:[Dest Doc]])*TblConstr[[#This Row],[CPA Platinum -DB]]*tech_3_3_2*TblTech[[#This Row],[3-3]]</f>
        <v>36150</v>
      </c>
      <c r="I68" s="69" t="n">
        <f aca="false">OFFSET(TblProd[[#This Row],[Food]],-1,0)+OFFSET(TblProd[[#This Row],[Food/hr]],-1,0)+ROUNDUP((TblConstr[[#This Row],[Farms]]*80+TblConstr[[#This Row],[Docks]]*35)*(1+OFFSET(TblProd[[#This Row],[Bonus Food/hr]],-1,0)),0)</f>
        <v>1559</v>
      </c>
      <c r="J68" s="69" t="n">
        <f aca="false">OFFSET(TblProd[[#This Row],[Lumber]],-1,0)+OFFSET(TblProd[[#This Row],[Lumber/hr]],-1,0) - TblProd[[#This Row],[Expenses Lumber]] + SUM(TblConstr[[#This Row],[Dest Hom]:[Dest Doc]])*TblConstr[[#This Row],[CPA Lumber -DB]]*tech_3_3_2*TblTech[[#This Row],[3-3]]</f>
        <v>5801</v>
      </c>
      <c r="K68" s="69" t="n">
        <f aca="false">OFFSET(TblProd[[#This Row],[Mana]],-1,0)+OFFSET(TblProd[[#This Row],[Mana/hr]],-1,0)- TblProd[[#This Row],[Expenses Mana]]</f>
        <v>4525.5</v>
      </c>
      <c r="L68" s="69" t="n">
        <f aca="false">OFFSET(TblProd[[#This Row],[Ore]],-1,0)+OFFSET(TblProd[[#This Row],[Ore/hr]],-1,0) -TblProd[[#This Row],[Expenses Ore]]</f>
        <v>0</v>
      </c>
      <c r="M68" s="69" t="n">
        <f aca="false">OFFSET(TblProd[[#This Row],[Gems]],-1,0)+OFFSET(TblProd[[#This Row],[Gems/hr]],-1,0) - TblProd[[#This Row],[Expenses Gems]]</f>
        <v>0</v>
      </c>
      <c r="N68" s="69" t="n">
        <f aca="false">OFFSET(TblProd[[#This Row],[Boats]],-1,0)+OFFSET(TblProd[[#This Row],[Boats/hr]],-1,0)</f>
        <v>18.65</v>
      </c>
      <c r="O68" s="69" t="n">
        <f aca="false">OFFSET(TblProd[[#This Row],[Prestige]],-1,0)</f>
        <v>250</v>
      </c>
      <c r="P6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8" s="69" t="n">
        <f aca="false">MAX(3750,_xlfn.CEILING.MATH(TblProd[[#This Row],[Land]]*2.5+OFFSET(TblTech[[#This Row],[Sum of tech]],-1,0)*150))</f>
        <v>3750</v>
      </c>
      <c r="R68" s="132"/>
      <c r="S68" s="69" t="n">
        <f aca="false">ROUNDDOWN(TblProd[[#This Row],[Raw Plat/hr]]*(1+TblProd[[#This Row],[Bonus Plat/hr]]),0)</f>
        <v>48043</v>
      </c>
      <c r="T68" s="69" t="n">
        <f aca="false">ROUND(TblProd[[#This Row],[Raw Food/hr]]*(1+TblProd[[#This Row],[Bonus Food/hr]])-TblProd[[#This Row],[Food decay]]-TblProd[[#This Row],[Food eaten]],0)</f>
        <v>251</v>
      </c>
      <c r="U68" s="69" t="n">
        <f aca="false">ROUND(TblProd[[#This Row],[Raw Lumber/hr]]*(1+TblProd[[#This Row],[Bonus Lumber/hr]])-TblProd[[#This Row],[Lumber rot]],0)</f>
        <v>1067</v>
      </c>
      <c r="V68" s="69" t="n">
        <f aca="false">ROUND(TblProd[[#This Row],[Raw Mana/hr]]*(1+TblProd[[#This Row],[Bonus Mana/hr]])-TblProd[[#This Row],[Mana drain]],0)</f>
        <v>534</v>
      </c>
      <c r="W68" s="69" t="n">
        <f aca="false">ROUNDDOWN(TblProd[[#This Row],[Raw Ore/hr]]*(1+TblProd[[#This Row],[Bonux Ore/hr]]),0)</f>
        <v>0</v>
      </c>
      <c r="X68" s="69" t="n">
        <f aca="false">ROUNDDOWN(TblProd[[#This Row],[Raw Gems/hr]]*(1+TblProd[[#This Row],[Bonus Gems/hr]]),0)</f>
        <v>0</v>
      </c>
      <c r="Y68" s="148" t="n">
        <f aca="false">OFFSET(TblConstr[[#This Row],[Tot Doc]],1,0)*dock_boats_hr * (1 + tech_4_1*TblTech[[#This Row],[4-1]])</f>
        <v>1.2</v>
      </c>
      <c r="Z68" s="146"/>
      <c r="AA68" s="69" t="n">
        <f aca="false">TblPop[[#This Row],[Peasants]]*tax*TblPop[[#This Row],[Employment]] + (Construction!AZ69+Construction!BX69)*(alch_plat+(Magic!AM68&gt;0)*alchemist_flame_bonus)</f>
        <v>43676.3</v>
      </c>
      <c r="AB68" s="69" t="n">
        <f aca="false">TblConstr[[#This Row],[Tot Farm]]*farm_food + TblConstr[[#This Row],[Tot Doc]]*dock_food</f>
        <v>3280</v>
      </c>
      <c r="AC68" s="69" t="n">
        <f aca="false">TblConstr[[#This Row],[Tot Ly]]*ly_lumber + TblConstr[[#This Row],[Tot Hav]]*fh_lumber</f>
        <v>1250</v>
      </c>
      <c r="AD68" s="69" t="n">
        <f aca="false">OFFSET(TblConstr[[#This Row],[Tot Tow]],1,0)*(tower_mana + tech_4_5*TblTech[[#This Row],[4-5]]) + OFFSET(TblConstr[[#This Row],[Tot WG]],1,0)*wg_mana_prod</f>
        <v>625</v>
      </c>
      <c r="AE68" s="69" t="n">
        <f aca="false">OFFSET(TblConstr[[#This Row],[Tot OM]],1,0)*om_ore+IF(race="Dwarf",ROUNDDOWN(TblMili[[#This Row],[Unit 2]]*0.4,0),)</f>
        <v>0</v>
      </c>
      <c r="AF68" s="69" t="n">
        <f aca="false">OFFSET(TblConstr[[#This Row],[Tot DM]],1,0)*dm_gems</f>
        <v>0</v>
      </c>
      <c r="AG68" s="132"/>
      <c r="AH68" s="149" t="n">
        <f aca="false">MIN(race_platinum_bonus + IF(TblMagic[[#This Row],[Active Alch Frost]]&gt;0,alch_frost_bonus,IF(Magic!AD68&gt;0,midas_bonus)) + TblImps[[#This Row],[Science]] - TblProd[[#This Row],[Guard]]*(0.02 + tech_5_7*TblTech[[#This Row],[5-7]]) + tech_1_5*TblTech[[#This Row],[1-5]] + tech_4_4*TblTech[[#This Row],[4-4]], 0.5)</f>
        <v>0.1</v>
      </c>
      <c r="AI6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8" s="149" t="n">
        <f aca="false">race_lumber_bonus+ IF(TblMagic[[#This Row],[Active Gaia''s Blessing]]&gt;0,gaias_blessing_lumber)+ tech_1_3*TblTech[[#This Row],[1-3]] + tech_1_6*TblTech[[#This Row],[1-6]] + tech_3_3*TblTech[[#This Row],[3-3]]</f>
        <v>-0.1</v>
      </c>
      <c r="AK68" s="149" t="n">
        <f aca="false">race_mana_bonus+ 0 + TblImps[[#This Row],[Towers]] + tech_1_2*TblTech[[#This Row],[1-2]] + tech_3_4*TblTech[[#This Row],[3-4]]</f>
        <v>0</v>
      </c>
      <c r="AL68" s="149" t="n">
        <f aca="false">race_ore_bonus + IF(TblMagic[[#This Row],[Active Miner''s Sight]]&gt;0,miners_sight_bonus,IF(TblMagic[[#This Row],[Active Mining Strength]]&gt;0,mining_strength_bonus)) +  tech_1_6*TblTech[[#This Row],[1-6]]</f>
        <v>0</v>
      </c>
      <c r="AM68" s="149" t="n">
        <f aca="false">race_gem_bonus+ tech_3_2*TblTech[[#This Row],[3-2]] + tech_4_3*TblTech[[#This Row],[4-3]] + tech_6_2*TblTech[[#This Row],[6-2]]</f>
        <v>0.15</v>
      </c>
      <c r="AN68" s="132"/>
      <c r="AO68" s="69" t="n">
        <f aca="false">TblProd[[#This Row],[Food]]*food_decay * (1 + tech_2_1*TblTech[[#This Row],[2-1]] + tech_2_8*TblTech[[#This Row],[2-8]])</f>
        <v>15.59</v>
      </c>
      <c r="AP68" s="69" t="n">
        <f aca="false">(1+race_food_consumption)*TblPop[[#This Row],[Total]]*food_per_person*(1+tech_1_10*TblTech[[#This Row],[1-10]]+tech_7_5*TblTech[[#This Row],[7-5]])</f>
        <v>3095.75</v>
      </c>
      <c r="AQ68" s="69" t="n">
        <f aca="false">TblProd[[#This Row],[Lumber]]*lumber_rot * (1 + tech_2_1*TblTech[[#This Row],[2-1]] + tech_2_8*TblTech[[#This Row],[2-8]] + tech_5_2*TblTech[[#This Row],[5-2]])</f>
        <v>58.01</v>
      </c>
      <c r="AR68" s="69" t="n">
        <f aca="false">TblProd[[#This Row],[Mana]]*mana_drain * (1 + tech_2_1*TblTech[[#This Row],[2-1]] + tech_2_8*TblTech[[#This Row],[2-8]])</f>
        <v>90.51</v>
      </c>
      <c r="AS68" s="146"/>
      <c r="AT68" s="69" t="n">
        <f aca="false">TblExplore[[#This Row],[Platinum (2)]]+TblConstr[[#This Row],[Total Plat Cost]]+TblMili[[#This Row],[Plat Cost]]+TblRezone[[#This Row],[Platinum cost]]+TblImps[[#This Row],[P1]]-TblProd[[#This Row],[Bank Plat]]</f>
        <v>19008</v>
      </c>
      <c r="AU68" s="69" t="n">
        <f aca="false">TblConstr[[#This Row],[Total Lum Cost]]+TblImps[[#This Row],[L1]]-TblProd[[#This Row],[Bank Lumber]] + Military!$CL$25*TblMili[[#This Row],[Sec. rec. Cost]]</f>
        <v>0</v>
      </c>
      <c r="AV68" s="69" t="n">
        <f aca="false">TblMagic[[#This Row],[Mana cost]] + Military!$CL$26*TblMili[[#This Row],[Sec. rec. Cost]]</f>
        <v>0</v>
      </c>
      <c r="AW68" s="69" t="n">
        <f aca="false">Military!$CL$24*TblMili[[#This Row],[Sec. rec. Cost]]+TblImps[[#This Row],[O1]]-TblProd[[#This Row],[Bank Ore]]</f>
        <v>0</v>
      </c>
      <c r="AX68" s="69" t="n">
        <f aca="false">TblImps[[#This Row],[G1]]-TblProd[[#This Row],[Bank Gems]]</f>
        <v>0</v>
      </c>
      <c r="AY68" s="132"/>
      <c r="AZ68" s="33" t="n">
        <f aca="false">IF(TblProd[[#This Row],[Set Guard]]&lt;&gt;"",TblProd[[#This Row],[Set Guard]],OFFSET(TblProd[[#This Row],[Guard]],-1,0))</f>
        <v>0</v>
      </c>
      <c r="BA68" s="145"/>
      <c r="BB68" s="151" t="n">
        <f aca="false">TblProd[[#This Row],[Hour]]</f>
        <v>65</v>
      </c>
      <c r="BC68" s="152" t="n">
        <f aca="false">-TblProd[[#This Row],[Bank Lumber]] / 2 + -TblProd[[#This Row],[Bank Gems]] * 2 + -TblProd[[#This Row],[Bank Ore]] / 2</f>
        <v>0</v>
      </c>
      <c r="BD68" s="152"/>
      <c r="BE68" s="152"/>
      <c r="BF68" s="152"/>
      <c r="BG68" s="153" t="n">
        <f aca="false">TblProd[[#This Row],[Time]]</f>
        <v>45432.4166666667</v>
      </c>
      <c r="BH6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69" t="n">
        <f aca="false">TblProd[[#This Row],[Platinum]]</f>
        <v>36150</v>
      </c>
      <c r="BJ68" s="69" t="n">
        <f aca="false">TblProd[[#This Row],[Food]]</f>
        <v>1559</v>
      </c>
      <c r="BK68" s="69" t="n">
        <f aca="false">TblProd[[#This Row],[Lumber]]</f>
        <v>5801</v>
      </c>
      <c r="BL68" s="69" t="n">
        <f aca="false">TblProd[[#This Row],[Mana]]</f>
        <v>4525.5</v>
      </c>
      <c r="BM68" s="69" t="n">
        <f aca="false">TblProd[[#This Row],[Ore]]</f>
        <v>0</v>
      </c>
    </row>
    <row r="69" customFormat="false" ht="12.75" hidden="false" customHeight="false" outlineLevel="0" collapsed="false">
      <c r="A69" s="128" t="n">
        <v>66</v>
      </c>
      <c r="B69" s="144" t="n">
        <f aca="false">TblImps[[#This Row],[Time]]</f>
        <v>45432.4583333333</v>
      </c>
      <c r="C69" s="145"/>
      <c r="D69" s="146"/>
      <c r="E69" s="69" t="n">
        <f aca="false">TblConstr[[#This Row],[Land]]</f>
        <v>700</v>
      </c>
      <c r="F69" s="69" t="n">
        <f aca="false">TblPop[[#This Row],[Peasants]]</f>
        <v>10404</v>
      </c>
      <c r="G69" s="69" t="e">
        <f aca="false">TblMili[[#This Row],[Networth (2)]]</f>
        <v>#VALUE!</v>
      </c>
      <c r="H69" s="69" t="n">
        <f aca="false">OFFSET(TblProd[[#This Row],[Platinum]],-1,0)+OFFSET(TblProd[[#This Row],[Plat/hr]],-1,0) - TblProd[[#This Row],[Expenses Platinum]] + IF(TblProd[[#This Row],[Plat Bonus]],TblPop[[#This Row],[Peasants]]*4) + SUM(TblConstr[[#This Row],[Dest Hom]:[Dest Doc]])*TblConstr[[#This Row],[CPA Platinum -DB]]*tech_3_3_2*TblTech[[#This Row],[3-3]]</f>
        <v>64993</v>
      </c>
      <c r="I69" s="69" t="n">
        <f aca="false">OFFSET(TblProd[[#This Row],[Food]],-1,0)+OFFSET(TblProd[[#This Row],[Food/hr]],-1,0)+ROUNDUP((TblConstr[[#This Row],[Farms]]*80+TblConstr[[#This Row],[Docks]]*35)*(1+OFFSET(TblProd[[#This Row],[Bonus Food/hr]],-1,0)),0)</f>
        <v>1810</v>
      </c>
      <c r="J69" s="69" t="n">
        <f aca="false">OFFSET(TblProd[[#This Row],[Lumber]],-1,0)+OFFSET(TblProd[[#This Row],[Lumber/hr]],-1,0) - TblProd[[#This Row],[Expenses Lumber]] + SUM(TblConstr[[#This Row],[Dest Hom]:[Dest Doc]])*TblConstr[[#This Row],[CPA Lumber -DB]]*tech_3_3_2*TblTech[[#This Row],[3-3]]</f>
        <v>6868</v>
      </c>
      <c r="K69" s="69" t="n">
        <f aca="false">OFFSET(TblProd[[#This Row],[Mana]],-1,0)+OFFSET(TblProd[[#This Row],[Mana/hr]],-1,0)- TblProd[[#This Row],[Expenses Mana]]</f>
        <v>5059.5</v>
      </c>
      <c r="L69" s="69" t="n">
        <f aca="false">OFFSET(TblProd[[#This Row],[Ore]],-1,0)+OFFSET(TblProd[[#This Row],[Ore/hr]],-1,0) -TblProd[[#This Row],[Expenses Ore]]</f>
        <v>0</v>
      </c>
      <c r="M69" s="69" t="n">
        <f aca="false">OFFSET(TblProd[[#This Row],[Gems]],-1,0)+OFFSET(TblProd[[#This Row],[Gems/hr]],-1,0) - TblProd[[#This Row],[Expenses Gems]]</f>
        <v>0</v>
      </c>
      <c r="N69" s="69" t="n">
        <f aca="false">OFFSET(TblProd[[#This Row],[Boats]],-1,0)+OFFSET(TblProd[[#This Row],[Boats/hr]],-1,0)</f>
        <v>19.85</v>
      </c>
      <c r="O69" s="69" t="n">
        <f aca="false">OFFSET(TblProd[[#This Row],[Prestige]],-1,0)</f>
        <v>250</v>
      </c>
      <c r="P6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9" s="69" t="n">
        <f aca="false">MAX(3750,_xlfn.CEILING.MATH(TblProd[[#This Row],[Land]]*2.5+OFFSET(TblTech[[#This Row],[Sum of tech]],-1,0)*150))</f>
        <v>3750</v>
      </c>
      <c r="R69" s="132"/>
      <c r="S69" s="69" t="n">
        <f aca="false">ROUNDDOWN(TblProd[[#This Row],[Raw Plat/hr]]*(1+TblProd[[#This Row],[Bonus Plat/hr]]),0)</f>
        <v>48444</v>
      </c>
      <c r="T69" s="69" t="n">
        <f aca="false">ROUND(TblProd[[#This Row],[Raw Food/hr]]*(1+TblProd[[#This Row],[Bonus Food/hr]])-TblProd[[#This Row],[Food decay]]-TblProd[[#This Row],[Food eaten]],0)</f>
        <v>189</v>
      </c>
      <c r="U69" s="69" t="n">
        <f aca="false">ROUND(TblProd[[#This Row],[Raw Lumber/hr]]*(1+TblProd[[#This Row],[Bonus Lumber/hr]])-TblProd[[#This Row],[Lumber rot]],0)</f>
        <v>1056</v>
      </c>
      <c r="V69" s="69" t="n">
        <f aca="false">ROUND(TblProd[[#This Row],[Raw Mana/hr]]*(1+TblProd[[#This Row],[Bonus Mana/hr]])-TblProd[[#This Row],[Mana drain]],0)</f>
        <v>624</v>
      </c>
      <c r="W69" s="69" t="n">
        <f aca="false">ROUNDDOWN(TblProd[[#This Row],[Raw Ore/hr]]*(1+TblProd[[#This Row],[Bonux Ore/hr]]),0)</f>
        <v>0</v>
      </c>
      <c r="X69" s="69" t="n">
        <f aca="false">ROUNDDOWN(TblProd[[#This Row],[Raw Gems/hr]]*(1+TblProd[[#This Row],[Bonus Gems/hr]]),0)</f>
        <v>0</v>
      </c>
      <c r="Y69" s="148" t="n">
        <f aca="false">OFFSET(TblConstr[[#This Row],[Tot Doc]],1,0)*dock_boats_hr * (1 + tech_4_1*TblTech[[#This Row],[4-1]])</f>
        <v>1.2</v>
      </c>
      <c r="Z69" s="146"/>
      <c r="AA69" s="69" t="n">
        <f aca="false">TblPop[[#This Row],[Peasants]]*tax*TblPop[[#This Row],[Employment]] + (Construction!AZ70+Construction!BX70)*(alch_plat+(Magic!AM69&gt;0)*alchemist_flame_bonus)</f>
        <v>44040.8</v>
      </c>
      <c r="AB69" s="69" t="n">
        <f aca="false">TblConstr[[#This Row],[Tot Farm]]*farm_food + TblConstr[[#This Row],[Tot Doc]]*dock_food</f>
        <v>3280</v>
      </c>
      <c r="AC69" s="69" t="n">
        <f aca="false">TblConstr[[#This Row],[Tot Ly]]*ly_lumber + TblConstr[[#This Row],[Tot Hav]]*fh_lumber</f>
        <v>1250</v>
      </c>
      <c r="AD69" s="69" t="n">
        <f aca="false">OFFSET(TblConstr[[#This Row],[Tot Tow]],1,0)*(tower_mana + tech_4_5*TblTech[[#This Row],[4-5]]) + OFFSET(TblConstr[[#This Row],[Tot WG]],1,0)*wg_mana_prod</f>
        <v>725</v>
      </c>
      <c r="AE69" s="69" t="n">
        <f aca="false">OFFSET(TblConstr[[#This Row],[Tot OM]],1,0)*om_ore+IF(race="Dwarf",ROUNDDOWN(TblMili[[#This Row],[Unit 2]]*0.4,0),)</f>
        <v>0</v>
      </c>
      <c r="AF69" s="69" t="n">
        <f aca="false">OFFSET(TblConstr[[#This Row],[Tot DM]],1,0)*dm_gems</f>
        <v>0</v>
      </c>
      <c r="AG69" s="132"/>
      <c r="AH69" s="149" t="n">
        <f aca="false">MIN(race_platinum_bonus + IF(TblMagic[[#This Row],[Active Alch Frost]]&gt;0,alch_frost_bonus,IF(Magic!AD69&gt;0,midas_bonus)) + TblImps[[#This Row],[Science]] - TblProd[[#This Row],[Guard]]*(0.02 + tech_5_7*TblTech[[#This Row],[5-7]]) + tech_1_5*TblTech[[#This Row],[1-5]] + tech_4_4*TblTech[[#This Row],[4-4]], 0.5)</f>
        <v>0.1</v>
      </c>
      <c r="AI6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9" s="149" t="n">
        <f aca="false">race_lumber_bonus+ IF(TblMagic[[#This Row],[Active Gaia''s Blessing]]&gt;0,gaias_blessing_lumber)+ tech_1_3*TblTech[[#This Row],[1-3]] + tech_1_6*TblTech[[#This Row],[1-6]] + tech_3_3*TblTech[[#This Row],[3-3]]</f>
        <v>-0.1</v>
      </c>
      <c r="AK69" s="149" t="n">
        <f aca="false">race_mana_bonus+ 0 + TblImps[[#This Row],[Towers]] + tech_1_2*TblTech[[#This Row],[1-2]] + tech_3_4*TblTech[[#This Row],[3-4]]</f>
        <v>0</v>
      </c>
      <c r="AL69" s="149" t="n">
        <f aca="false">race_ore_bonus + IF(TblMagic[[#This Row],[Active Miner''s Sight]]&gt;0,miners_sight_bonus,IF(TblMagic[[#This Row],[Active Mining Strength]]&gt;0,mining_strength_bonus)) +  tech_1_6*TblTech[[#This Row],[1-6]]</f>
        <v>0</v>
      </c>
      <c r="AM69" s="149" t="n">
        <f aca="false">race_gem_bonus+ tech_3_2*TblTech[[#This Row],[3-2]] + tech_4_3*TblTech[[#This Row],[4-3]] + tech_6_2*TblTech[[#This Row],[6-2]]</f>
        <v>0.15</v>
      </c>
      <c r="AN69" s="132"/>
      <c r="AO69" s="69" t="n">
        <f aca="false">TblProd[[#This Row],[Food]]*food_decay * (1 + tech_2_1*TblTech[[#This Row],[2-1]] + tech_2_8*TblTech[[#This Row],[2-8]])</f>
        <v>18.1</v>
      </c>
      <c r="AP69" s="69" t="n">
        <f aca="false">(1+race_food_consumption)*TblPop[[#This Row],[Total]]*food_per_person*(1+tech_1_10*TblTech[[#This Row],[1-10]]+tech_7_5*TblTech[[#This Row],[7-5]])</f>
        <v>3155.25</v>
      </c>
      <c r="AQ69" s="69" t="n">
        <f aca="false">TblProd[[#This Row],[Lumber]]*lumber_rot * (1 + tech_2_1*TblTech[[#This Row],[2-1]] + tech_2_8*TblTech[[#This Row],[2-8]] + tech_5_2*TblTech[[#This Row],[5-2]])</f>
        <v>68.68</v>
      </c>
      <c r="AR69" s="69" t="n">
        <f aca="false">TblProd[[#This Row],[Mana]]*mana_drain * (1 + tech_2_1*TblTech[[#This Row],[2-1]] + tech_2_8*TblTech[[#This Row],[2-8]])</f>
        <v>101.19</v>
      </c>
      <c r="AS69" s="146"/>
      <c r="AT69" s="69" t="n">
        <f aca="false">TblExplore[[#This Row],[Platinum (2)]]+TblConstr[[#This Row],[Total Plat Cost]]+TblMili[[#This Row],[Plat Cost]]+TblRezone[[#This Row],[Platinum cost]]+TblImps[[#This Row],[P1]]-TblProd[[#This Row],[Bank Plat]]</f>
        <v>19200</v>
      </c>
      <c r="AU69" s="69" t="n">
        <f aca="false">TblConstr[[#This Row],[Total Lum Cost]]+TblImps[[#This Row],[L1]]-TblProd[[#This Row],[Bank Lumber]] + Military!$CL$25*TblMili[[#This Row],[Sec. rec. Cost]]</f>
        <v>0</v>
      </c>
      <c r="AV69" s="69" t="n">
        <f aca="false">TblMagic[[#This Row],[Mana cost]] + Military!$CL$26*TblMili[[#This Row],[Sec. rec. Cost]]</f>
        <v>0</v>
      </c>
      <c r="AW69" s="69" t="n">
        <f aca="false">Military!$CL$24*TblMili[[#This Row],[Sec. rec. Cost]]+TblImps[[#This Row],[O1]]-TblProd[[#This Row],[Bank Ore]]</f>
        <v>0</v>
      </c>
      <c r="AX69" s="69" t="n">
        <f aca="false">TblImps[[#This Row],[G1]]-TblProd[[#This Row],[Bank Gems]]</f>
        <v>0</v>
      </c>
      <c r="AY69" s="132"/>
      <c r="AZ69" s="33" t="n">
        <f aca="false">IF(TblProd[[#This Row],[Set Guard]]&lt;&gt;"",TblProd[[#This Row],[Set Guard]],OFFSET(TblProd[[#This Row],[Guard]],-1,0))</f>
        <v>0</v>
      </c>
      <c r="BA69" s="145"/>
      <c r="BB69" s="151" t="n">
        <f aca="false">TblProd[[#This Row],[Hour]]</f>
        <v>66</v>
      </c>
      <c r="BC69" s="152" t="n">
        <f aca="false">-TblProd[[#This Row],[Bank Lumber]] / 2 + -TblProd[[#This Row],[Bank Gems]] * 2 + -TblProd[[#This Row],[Bank Ore]] / 2</f>
        <v>0</v>
      </c>
      <c r="BD69" s="152"/>
      <c r="BE69" s="152"/>
      <c r="BF69" s="152"/>
      <c r="BG69" s="153" t="n">
        <f aca="false">TblProd[[#This Row],[Time]]</f>
        <v>45432.4583333333</v>
      </c>
      <c r="BH6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69" t="n">
        <f aca="false">TblProd[[#This Row],[Platinum]]</f>
        <v>64993</v>
      </c>
      <c r="BJ69" s="69" t="n">
        <f aca="false">TblProd[[#This Row],[Food]]</f>
        <v>1810</v>
      </c>
      <c r="BK69" s="69" t="n">
        <f aca="false">TblProd[[#This Row],[Lumber]]</f>
        <v>6868</v>
      </c>
      <c r="BL69" s="69" t="n">
        <f aca="false">TblProd[[#This Row],[Mana]]</f>
        <v>5059.5</v>
      </c>
      <c r="BM69" s="69" t="n">
        <f aca="false">TblProd[[#This Row],[Ore]]</f>
        <v>0</v>
      </c>
    </row>
    <row r="70" customFormat="false" ht="12.75" hidden="false" customHeight="false" outlineLevel="0" collapsed="false">
      <c r="A70" s="128" t="n">
        <v>67</v>
      </c>
      <c r="B70" s="144" t="n">
        <f aca="false">TblImps[[#This Row],[Time]]</f>
        <v>45432.5</v>
      </c>
      <c r="C70" s="145"/>
      <c r="D70" s="146"/>
      <c r="E70" s="69" t="n">
        <f aca="false">TblConstr[[#This Row],[Land]]</f>
        <v>700</v>
      </c>
      <c r="F70" s="69" t="n">
        <f aca="false">TblPop[[#This Row],[Peasants]]</f>
        <v>10380</v>
      </c>
      <c r="G70" s="69" t="e">
        <f aca="false">TblMili[[#This Row],[Networth (2)]]</f>
        <v>#VALUE!</v>
      </c>
      <c r="H70" s="69" t="n">
        <f aca="false">OFFSET(TblProd[[#This Row],[Platinum]],-1,0)+OFFSET(TblProd[[#This Row],[Plat/hr]],-1,0) - TblProd[[#This Row],[Expenses Platinum]] + IF(TblProd[[#This Row],[Plat Bonus]],TblPop[[#This Row],[Peasants]]*4) + SUM(TblConstr[[#This Row],[Dest Hom]:[Dest Doc]])*TblConstr[[#This Row],[CPA Platinum -DB]]*tech_3_3_2*TblTech[[#This Row],[3-3]]</f>
        <v>68189</v>
      </c>
      <c r="I70" s="69" t="n">
        <f aca="false">OFFSET(TblProd[[#This Row],[Food]],-1,0)+OFFSET(TblProd[[#This Row],[Food/hr]],-1,0)+ROUNDUP((TblConstr[[#This Row],[Farms]]*80+TblConstr[[#This Row],[Docks]]*35)*(1+OFFSET(TblProd[[#This Row],[Bonus Food/hr]],-1,0)),0)</f>
        <v>1999</v>
      </c>
      <c r="J70" s="69" t="n">
        <f aca="false">OFFSET(TblProd[[#This Row],[Lumber]],-1,0)+OFFSET(TblProd[[#This Row],[Lumber/hr]],-1,0) - TblProd[[#This Row],[Expenses Lumber]] + SUM(TblConstr[[#This Row],[Dest Hom]:[Dest Doc]])*TblConstr[[#This Row],[CPA Lumber -DB]]*tech_3_3_2*TblTech[[#This Row],[3-3]]</f>
        <v>7924</v>
      </c>
      <c r="K70" s="69" t="n">
        <f aca="false">OFFSET(TblProd[[#This Row],[Mana]],-1,0)+OFFSET(TblProd[[#This Row],[Mana/hr]],-1,0)- TblProd[[#This Row],[Expenses Mana]]</f>
        <v>5683.5</v>
      </c>
      <c r="L70" s="69" t="n">
        <f aca="false">OFFSET(TblProd[[#This Row],[Ore]],-1,0)+OFFSET(TblProd[[#This Row],[Ore/hr]],-1,0) -TblProd[[#This Row],[Expenses Ore]]</f>
        <v>0</v>
      </c>
      <c r="M70" s="69" t="n">
        <f aca="false">OFFSET(TblProd[[#This Row],[Gems]],-1,0)+OFFSET(TblProd[[#This Row],[Gems/hr]],-1,0) - TblProd[[#This Row],[Expenses Gems]]</f>
        <v>0</v>
      </c>
      <c r="N70" s="69" t="n">
        <f aca="false">OFFSET(TblProd[[#This Row],[Boats]],-1,0)+OFFSET(TblProd[[#This Row],[Boats/hr]],-1,0)</f>
        <v>21.05</v>
      </c>
      <c r="O70" s="69" t="n">
        <f aca="false">OFFSET(TblProd[[#This Row],[Prestige]],-1,0)</f>
        <v>250</v>
      </c>
      <c r="P7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0" s="69" t="n">
        <f aca="false">MAX(3750,_xlfn.CEILING.MATH(TblProd[[#This Row],[Land]]*2.5+OFFSET(TblTech[[#This Row],[Sum of tech]],-1,0)*150))</f>
        <v>3750</v>
      </c>
      <c r="R70" s="132"/>
      <c r="S70" s="69" t="n">
        <f aca="false">ROUNDDOWN(TblProd[[#This Row],[Raw Plat/hr]]*(1+TblProd[[#This Row],[Bonus Plat/hr]]),0)</f>
        <v>48373</v>
      </c>
      <c r="T70" s="69" t="n">
        <f aca="false">ROUND(TblProd[[#This Row],[Raw Food/hr]]*(1+TblProd[[#This Row],[Bonus Food/hr]])-TblProd[[#This Row],[Food decay]]-TblProd[[#This Row],[Food eaten]],0)</f>
        <v>167</v>
      </c>
      <c r="U70" s="69" t="n">
        <f aca="false">ROUND(TblProd[[#This Row],[Raw Lumber/hr]]*(1+TblProd[[#This Row],[Bonus Lumber/hr]])-TblProd[[#This Row],[Lumber rot]],0)</f>
        <v>1046</v>
      </c>
      <c r="V70" s="69" t="n">
        <f aca="false">ROUND(TblProd[[#This Row],[Raw Mana/hr]]*(1+TblProd[[#This Row],[Bonus Mana/hr]])-TblProd[[#This Row],[Mana drain]],0)</f>
        <v>611</v>
      </c>
      <c r="W70" s="69" t="n">
        <f aca="false">ROUNDDOWN(TblProd[[#This Row],[Raw Ore/hr]]*(1+TblProd[[#This Row],[Bonux Ore/hr]]),0)</f>
        <v>0</v>
      </c>
      <c r="X70" s="69" t="n">
        <f aca="false">ROUNDDOWN(TblProd[[#This Row],[Raw Gems/hr]]*(1+TblProd[[#This Row],[Bonus Gems/hr]]),0)</f>
        <v>0</v>
      </c>
      <c r="Y70" s="148" t="n">
        <f aca="false">OFFSET(TblConstr[[#This Row],[Tot Doc]],1,0)*dock_boats_hr * (1 + tech_4_1*TblTech[[#This Row],[4-1]])</f>
        <v>1.2</v>
      </c>
      <c r="Z70" s="146"/>
      <c r="AA70" s="69" t="n">
        <f aca="false">TblPop[[#This Row],[Peasants]]*tax*TblPop[[#This Row],[Employment]] + (Construction!AZ71+Construction!BX71)*(alch_plat+(Magic!AM70&gt;0)*alchemist_flame_bonus)</f>
        <v>43976</v>
      </c>
      <c r="AB70" s="69" t="n">
        <f aca="false">TblConstr[[#This Row],[Tot Farm]]*farm_food + TblConstr[[#This Row],[Tot Doc]]*dock_food</f>
        <v>3280</v>
      </c>
      <c r="AC70" s="69" t="n">
        <f aca="false">TblConstr[[#This Row],[Tot Ly]]*ly_lumber + TblConstr[[#This Row],[Tot Hav]]*fh_lumber</f>
        <v>1250</v>
      </c>
      <c r="AD70" s="69" t="n">
        <f aca="false">OFFSET(TblConstr[[#This Row],[Tot Tow]],1,0)*(tower_mana + tech_4_5*TblTech[[#This Row],[4-5]]) + OFFSET(TblConstr[[#This Row],[Tot WG]],1,0)*wg_mana_prod</f>
        <v>725</v>
      </c>
      <c r="AE70" s="69" t="n">
        <f aca="false">OFFSET(TblConstr[[#This Row],[Tot OM]],1,0)*om_ore+IF(race="Dwarf",ROUNDDOWN(TblMili[[#This Row],[Unit 2]]*0.4,0),)</f>
        <v>0</v>
      </c>
      <c r="AF70" s="69" t="n">
        <f aca="false">OFFSET(TblConstr[[#This Row],[Tot DM]],1,0)*dm_gems</f>
        <v>0</v>
      </c>
      <c r="AG70" s="132"/>
      <c r="AH70" s="149" t="n">
        <f aca="false">MIN(race_platinum_bonus + IF(TblMagic[[#This Row],[Active Alch Frost]]&gt;0,alch_frost_bonus,IF(Magic!AD70&gt;0,midas_bonus)) + TblImps[[#This Row],[Science]] - TblProd[[#This Row],[Guard]]*(0.02 + tech_5_7*TblTech[[#This Row],[5-7]]) + tech_1_5*TblTech[[#This Row],[1-5]] + tech_4_4*TblTech[[#This Row],[4-4]], 0.5)</f>
        <v>0.1</v>
      </c>
      <c r="AI7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0" s="149" t="n">
        <f aca="false">race_lumber_bonus+ IF(TblMagic[[#This Row],[Active Gaia''s Blessing]]&gt;0,gaias_blessing_lumber)+ tech_1_3*TblTech[[#This Row],[1-3]] + tech_1_6*TblTech[[#This Row],[1-6]] + tech_3_3*TblTech[[#This Row],[3-3]]</f>
        <v>-0.1</v>
      </c>
      <c r="AK70" s="149" t="n">
        <f aca="false">race_mana_bonus+ 0 + TblImps[[#This Row],[Towers]] + tech_1_2*TblTech[[#This Row],[1-2]] + tech_3_4*TblTech[[#This Row],[3-4]]</f>
        <v>0</v>
      </c>
      <c r="AL70" s="149" t="n">
        <f aca="false">race_ore_bonus + IF(TblMagic[[#This Row],[Active Miner''s Sight]]&gt;0,miners_sight_bonus,IF(TblMagic[[#This Row],[Active Mining Strength]]&gt;0,mining_strength_bonus)) +  tech_1_6*TblTech[[#This Row],[1-6]]</f>
        <v>0</v>
      </c>
      <c r="AM70" s="149" t="n">
        <f aca="false">race_gem_bonus+ tech_3_2*TblTech[[#This Row],[3-2]] + tech_4_3*TblTech[[#This Row],[4-3]] + tech_6_2*TblTech[[#This Row],[6-2]]</f>
        <v>0.15</v>
      </c>
      <c r="AN70" s="132"/>
      <c r="AO70" s="69" t="n">
        <f aca="false">TblProd[[#This Row],[Food]]*food_decay * (1 + tech_2_1*TblTech[[#This Row],[2-1]] + tech_2_8*TblTech[[#This Row],[2-8]])</f>
        <v>19.99</v>
      </c>
      <c r="AP70" s="69" t="n">
        <f aca="false">(1+race_food_consumption)*TblPop[[#This Row],[Total]]*food_per_person*(1+tech_1_10*TblTech[[#This Row],[1-10]]+tech_7_5*TblTech[[#This Row],[7-5]])</f>
        <v>3175.25</v>
      </c>
      <c r="AQ70" s="69" t="n">
        <f aca="false">TblProd[[#This Row],[Lumber]]*lumber_rot * (1 + tech_2_1*TblTech[[#This Row],[2-1]] + tech_2_8*TblTech[[#This Row],[2-8]] + tech_5_2*TblTech[[#This Row],[5-2]])</f>
        <v>79.24</v>
      </c>
      <c r="AR70" s="69" t="n">
        <f aca="false">TblProd[[#This Row],[Mana]]*mana_drain * (1 + tech_2_1*TblTech[[#This Row],[2-1]] + tech_2_8*TblTech[[#This Row],[2-8]])</f>
        <v>113.67</v>
      </c>
      <c r="AS70" s="146"/>
      <c r="AT70" s="69" t="n">
        <f aca="false">TblExplore[[#This Row],[Platinum (2)]]+TblConstr[[#This Row],[Total Plat Cost]]+TblMili[[#This Row],[Plat Cost]]+TblRezone[[#This Row],[Platinum cost]]+TblImps[[#This Row],[P1]]-TblProd[[#This Row],[Bank Plat]]</f>
        <v>45248</v>
      </c>
      <c r="AU70" s="69" t="n">
        <f aca="false">TblConstr[[#This Row],[Total Lum Cost]]+TblImps[[#This Row],[L1]]-TblProd[[#This Row],[Bank Lumber]] + Military!$CL$25*TblMili[[#This Row],[Sec. rec. Cost]]</f>
        <v>0</v>
      </c>
      <c r="AV70" s="69" t="n">
        <f aca="false">TblMagic[[#This Row],[Mana cost]] + Military!$CL$26*TblMili[[#This Row],[Sec. rec. Cost]]</f>
        <v>0</v>
      </c>
      <c r="AW70" s="69" t="n">
        <f aca="false">Military!$CL$24*TblMili[[#This Row],[Sec. rec. Cost]]+TblImps[[#This Row],[O1]]-TblProd[[#This Row],[Bank Ore]]</f>
        <v>0</v>
      </c>
      <c r="AX70" s="69" t="n">
        <f aca="false">TblImps[[#This Row],[G1]]-TblProd[[#This Row],[Bank Gems]]</f>
        <v>0</v>
      </c>
      <c r="AY70" s="132"/>
      <c r="AZ70" s="33" t="n">
        <f aca="false">IF(TblProd[[#This Row],[Set Guard]]&lt;&gt;"",TblProd[[#This Row],[Set Guard]],OFFSET(TblProd[[#This Row],[Guard]],-1,0))</f>
        <v>0</v>
      </c>
      <c r="BA70" s="145"/>
      <c r="BB70" s="151" t="n">
        <f aca="false">TblProd[[#This Row],[Hour]]</f>
        <v>67</v>
      </c>
      <c r="BC70" s="152" t="n">
        <f aca="false">-TblProd[[#This Row],[Bank Lumber]] / 2 + -TblProd[[#This Row],[Bank Gems]] * 2 + -TblProd[[#This Row],[Bank Ore]] / 2</f>
        <v>0</v>
      </c>
      <c r="BD70" s="152"/>
      <c r="BE70" s="152"/>
      <c r="BF70" s="152"/>
      <c r="BG70" s="153" t="n">
        <f aca="false">TblProd[[#This Row],[Time]]</f>
        <v>45432.5</v>
      </c>
      <c r="BH7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69" t="n">
        <f aca="false">TblProd[[#This Row],[Platinum]]</f>
        <v>68189</v>
      </c>
      <c r="BJ70" s="69" t="n">
        <f aca="false">TblProd[[#This Row],[Food]]</f>
        <v>1999</v>
      </c>
      <c r="BK70" s="69" t="n">
        <f aca="false">TblProd[[#This Row],[Lumber]]</f>
        <v>7924</v>
      </c>
      <c r="BL70" s="69" t="n">
        <f aca="false">TblProd[[#This Row],[Mana]]</f>
        <v>5683.5</v>
      </c>
      <c r="BM70" s="69" t="n">
        <f aca="false">TblProd[[#This Row],[Ore]]</f>
        <v>0</v>
      </c>
    </row>
    <row r="71" customFormat="false" ht="12.75" hidden="false" customHeight="false" outlineLevel="0" collapsed="false">
      <c r="A71" s="128" t="n">
        <v>68</v>
      </c>
      <c r="B71" s="144" t="n">
        <f aca="false">TblImps[[#This Row],[Time]]</f>
        <v>45432.5416666667</v>
      </c>
      <c r="C71" s="145"/>
      <c r="D71" s="146"/>
      <c r="E71" s="69" t="n">
        <f aca="false">TblConstr[[#This Row],[Land]]</f>
        <v>700</v>
      </c>
      <c r="F71" s="69" t="n">
        <f aca="false">TblPop[[#This Row],[Peasants]]</f>
        <v>10276</v>
      </c>
      <c r="G71" s="69" t="e">
        <f aca="false">TblMili[[#This Row],[Networth (2)]]</f>
        <v>#VALUE!</v>
      </c>
      <c r="H71" s="69" t="n">
        <f aca="false">OFFSET(TblProd[[#This Row],[Platinum]],-1,0)+OFFSET(TblProd[[#This Row],[Plat/hr]],-1,0) - TblProd[[#This Row],[Expenses Platinum]] + IF(TblProd[[#This Row],[Plat Bonus]],TblPop[[#This Row],[Peasants]]*4) + SUM(TblConstr[[#This Row],[Dest Hom]:[Dest Doc]])*TblConstr[[#This Row],[CPA Platinum -DB]]*tech_3_3_2*TblTech[[#This Row],[3-3]]</f>
        <v>74962</v>
      </c>
      <c r="I71" s="69" t="n">
        <f aca="false">OFFSET(TblProd[[#This Row],[Food]],-1,0)+OFFSET(TblProd[[#This Row],[Food/hr]],-1,0)+ROUNDUP((TblConstr[[#This Row],[Farms]]*80+TblConstr[[#This Row],[Docks]]*35)*(1+OFFSET(TblProd[[#This Row],[Bonus Food/hr]],-1,0)),0)</f>
        <v>2166</v>
      </c>
      <c r="J71" s="69" t="n">
        <f aca="false">OFFSET(TblProd[[#This Row],[Lumber]],-1,0)+OFFSET(TblProd[[#This Row],[Lumber/hr]],-1,0) - TblProd[[#This Row],[Expenses Lumber]] + SUM(TblConstr[[#This Row],[Dest Hom]:[Dest Doc]])*TblConstr[[#This Row],[CPA Lumber -DB]]*tech_3_3_2*TblTech[[#This Row],[3-3]]</f>
        <v>8970</v>
      </c>
      <c r="K71" s="69" t="n">
        <f aca="false">OFFSET(TblProd[[#This Row],[Mana]],-1,0)+OFFSET(TblProd[[#This Row],[Mana/hr]],-1,0)- TblProd[[#This Row],[Expenses Mana]]</f>
        <v>6294.5</v>
      </c>
      <c r="L71" s="69" t="n">
        <f aca="false">OFFSET(TblProd[[#This Row],[Ore]],-1,0)+OFFSET(TblProd[[#This Row],[Ore/hr]],-1,0) -TblProd[[#This Row],[Expenses Ore]]</f>
        <v>0</v>
      </c>
      <c r="M71" s="69" t="n">
        <f aca="false">OFFSET(TblProd[[#This Row],[Gems]],-1,0)+OFFSET(TblProd[[#This Row],[Gems/hr]],-1,0) - TblProd[[#This Row],[Expenses Gems]]</f>
        <v>0</v>
      </c>
      <c r="N71" s="69" t="n">
        <f aca="false">OFFSET(TblProd[[#This Row],[Boats]],-1,0)+OFFSET(TblProd[[#This Row],[Boats/hr]],-1,0)</f>
        <v>22.25</v>
      </c>
      <c r="O71" s="69" t="n">
        <f aca="false">OFFSET(TblProd[[#This Row],[Prestige]],-1,0)</f>
        <v>250</v>
      </c>
      <c r="P7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1" s="69" t="n">
        <f aca="false">MAX(3750,_xlfn.CEILING.MATH(TblProd[[#This Row],[Land]]*2.5+OFFSET(TblTech[[#This Row],[Sum of tech]],-1,0)*150))</f>
        <v>3750</v>
      </c>
      <c r="R71" s="132"/>
      <c r="S71" s="69" t="n">
        <f aca="false">ROUNDDOWN(TblProd[[#This Row],[Raw Plat/hr]]*(1+TblProd[[#This Row],[Bonus Plat/hr]]),0)</f>
        <v>48064</v>
      </c>
      <c r="T71" s="69" t="n">
        <f aca="false">ROUND(TblProd[[#This Row],[Raw Food/hr]]*(1+TblProd[[#This Row],[Bonus Food/hr]])-TblProd[[#This Row],[Food decay]]-TblProd[[#This Row],[Food eaten]],0)</f>
        <v>165</v>
      </c>
      <c r="U71" s="69" t="n">
        <f aca="false">ROUND(TblProd[[#This Row],[Raw Lumber/hr]]*(1+TblProd[[#This Row],[Bonus Lumber/hr]])-TblProd[[#This Row],[Lumber rot]],0)</f>
        <v>1035</v>
      </c>
      <c r="V71" s="69" t="n">
        <f aca="false">ROUND(TblProd[[#This Row],[Raw Mana/hr]]*(1+TblProd[[#This Row],[Bonus Mana/hr]])-TblProd[[#This Row],[Mana drain]],0)</f>
        <v>599</v>
      </c>
      <c r="W71" s="69" t="n">
        <f aca="false">ROUNDDOWN(TblProd[[#This Row],[Raw Ore/hr]]*(1+TblProd[[#This Row],[Bonux Ore/hr]]),0)</f>
        <v>0</v>
      </c>
      <c r="X71" s="69" t="n">
        <f aca="false">ROUNDDOWN(TblProd[[#This Row],[Raw Gems/hr]]*(1+TblProd[[#This Row],[Bonus Gems/hr]]),0)</f>
        <v>0</v>
      </c>
      <c r="Y71" s="148" t="n">
        <f aca="false">OFFSET(TblConstr[[#This Row],[Tot Doc]],1,0)*dock_boats_hr * (1 + tech_4_1*TblTech[[#This Row],[4-1]])</f>
        <v>1.2</v>
      </c>
      <c r="Z71" s="146"/>
      <c r="AA71" s="69" t="n">
        <f aca="false">TblPop[[#This Row],[Peasants]]*tax*TblPop[[#This Row],[Employment]] + (Construction!AZ72+Construction!BX72)*(alch_plat+(Magic!AM71&gt;0)*alchemist_flame_bonus)</f>
        <v>43695.2</v>
      </c>
      <c r="AB71" s="69" t="n">
        <f aca="false">TblConstr[[#This Row],[Tot Farm]]*farm_food + TblConstr[[#This Row],[Tot Doc]]*dock_food</f>
        <v>3280</v>
      </c>
      <c r="AC71" s="69" t="n">
        <f aca="false">TblConstr[[#This Row],[Tot Ly]]*ly_lumber + TblConstr[[#This Row],[Tot Hav]]*fh_lumber</f>
        <v>1250</v>
      </c>
      <c r="AD71" s="69" t="n">
        <f aca="false">OFFSET(TblConstr[[#This Row],[Tot Tow]],1,0)*(tower_mana + tech_4_5*TblTech[[#This Row],[4-5]]) + OFFSET(TblConstr[[#This Row],[Tot WG]],1,0)*wg_mana_prod</f>
        <v>725</v>
      </c>
      <c r="AE71" s="69" t="n">
        <f aca="false">OFFSET(TblConstr[[#This Row],[Tot OM]],1,0)*om_ore+IF(race="Dwarf",ROUNDDOWN(TblMili[[#This Row],[Unit 2]]*0.4,0),)</f>
        <v>0</v>
      </c>
      <c r="AF71" s="69" t="n">
        <f aca="false">OFFSET(TblConstr[[#This Row],[Tot DM]],1,0)*dm_gems</f>
        <v>0</v>
      </c>
      <c r="AG71" s="132"/>
      <c r="AH71" s="149" t="n">
        <f aca="false">MIN(race_platinum_bonus + IF(TblMagic[[#This Row],[Active Alch Frost]]&gt;0,alch_frost_bonus,IF(Magic!AD71&gt;0,midas_bonus)) + TblImps[[#This Row],[Science]] - TblProd[[#This Row],[Guard]]*(0.02 + tech_5_7*TblTech[[#This Row],[5-7]]) + tech_1_5*TblTech[[#This Row],[1-5]] + tech_4_4*TblTech[[#This Row],[4-4]], 0.5)</f>
        <v>0.1</v>
      </c>
      <c r="AI7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1" s="149" t="n">
        <f aca="false">race_lumber_bonus+ IF(TblMagic[[#This Row],[Active Gaia''s Blessing]]&gt;0,gaias_blessing_lumber)+ tech_1_3*TblTech[[#This Row],[1-3]] + tech_1_6*TblTech[[#This Row],[1-6]] + tech_3_3*TblTech[[#This Row],[3-3]]</f>
        <v>-0.1</v>
      </c>
      <c r="AK71" s="149" t="n">
        <f aca="false">race_mana_bonus+ 0 + TblImps[[#This Row],[Towers]] + tech_1_2*TblTech[[#This Row],[1-2]] + tech_3_4*TblTech[[#This Row],[3-4]]</f>
        <v>0</v>
      </c>
      <c r="AL71" s="149" t="n">
        <f aca="false">race_ore_bonus + IF(TblMagic[[#This Row],[Active Miner''s Sight]]&gt;0,miners_sight_bonus,IF(TblMagic[[#This Row],[Active Mining Strength]]&gt;0,mining_strength_bonus)) +  tech_1_6*TblTech[[#This Row],[1-6]]</f>
        <v>0</v>
      </c>
      <c r="AM71" s="149" t="n">
        <f aca="false">race_gem_bonus+ tech_3_2*TblTech[[#This Row],[3-2]] + tech_4_3*TblTech[[#This Row],[4-3]] + tech_6_2*TblTech[[#This Row],[6-2]]</f>
        <v>0.15</v>
      </c>
      <c r="AN71" s="132"/>
      <c r="AO71" s="69" t="n">
        <f aca="false">TblProd[[#This Row],[Food]]*food_decay * (1 + tech_2_1*TblTech[[#This Row],[2-1]] + tech_2_8*TblTech[[#This Row],[2-8]])</f>
        <v>21.66</v>
      </c>
      <c r="AP71" s="69" t="n">
        <f aca="false">(1+race_food_consumption)*TblPop[[#This Row],[Total]]*food_per_person*(1+tech_1_10*TblTech[[#This Row],[1-10]]+tech_7_5*TblTech[[#This Row],[7-5]])</f>
        <v>3175.25</v>
      </c>
      <c r="AQ71" s="69" t="n">
        <f aca="false">TblProd[[#This Row],[Lumber]]*lumber_rot * (1 + tech_2_1*TblTech[[#This Row],[2-1]] + tech_2_8*TblTech[[#This Row],[2-8]] + tech_5_2*TblTech[[#This Row],[5-2]])</f>
        <v>89.7</v>
      </c>
      <c r="AR71" s="69" t="n">
        <f aca="false">TblProd[[#This Row],[Mana]]*mana_drain * (1 + tech_2_1*TblTech[[#This Row],[2-1]] + tech_2_8*TblTech[[#This Row],[2-8]])</f>
        <v>125.89</v>
      </c>
      <c r="AS71" s="146"/>
      <c r="AT71" s="69" t="n">
        <f aca="false">TblExplore[[#This Row],[Platinum (2)]]+TblConstr[[#This Row],[Total Plat Cost]]+TblMili[[#This Row],[Plat Cost]]+TblRezone[[#This Row],[Platinum cost]]+TblImps[[#This Row],[P1]]-TblProd[[#This Row],[Bank Plat]]</f>
        <v>41600</v>
      </c>
      <c r="AU71" s="69" t="n">
        <f aca="false">TblConstr[[#This Row],[Total Lum Cost]]+TblImps[[#This Row],[L1]]-TblProd[[#This Row],[Bank Lumber]] + Military!$CL$25*TblMili[[#This Row],[Sec. rec. Cost]]</f>
        <v>0</v>
      </c>
      <c r="AV71" s="69" t="n">
        <f aca="false">TblMagic[[#This Row],[Mana cost]] + Military!$CL$26*TblMili[[#This Row],[Sec. rec. Cost]]</f>
        <v>0</v>
      </c>
      <c r="AW71" s="69" t="n">
        <f aca="false">Military!$CL$24*TblMili[[#This Row],[Sec. rec. Cost]]+TblImps[[#This Row],[O1]]-TblProd[[#This Row],[Bank Ore]]</f>
        <v>0</v>
      </c>
      <c r="AX71" s="69" t="n">
        <f aca="false">TblImps[[#This Row],[G1]]-TblProd[[#This Row],[Bank Gems]]</f>
        <v>0</v>
      </c>
      <c r="AY71" s="132"/>
      <c r="AZ71" s="33" t="n">
        <f aca="false">IF(TblProd[[#This Row],[Set Guard]]&lt;&gt;"",TblProd[[#This Row],[Set Guard]],OFFSET(TblProd[[#This Row],[Guard]],-1,0))</f>
        <v>0</v>
      </c>
      <c r="BA71" s="145"/>
      <c r="BB71" s="151" t="n">
        <f aca="false">TblProd[[#This Row],[Hour]]</f>
        <v>68</v>
      </c>
      <c r="BC71" s="152" t="n">
        <f aca="false">-TblProd[[#This Row],[Bank Lumber]] / 2 + -TblProd[[#This Row],[Bank Gems]] * 2 + -TblProd[[#This Row],[Bank Ore]] / 2</f>
        <v>0</v>
      </c>
      <c r="BD71" s="152"/>
      <c r="BE71" s="152"/>
      <c r="BF71" s="152"/>
      <c r="BG71" s="153" t="n">
        <f aca="false">TblProd[[#This Row],[Time]]</f>
        <v>45432.5416666667</v>
      </c>
      <c r="BH7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69" t="n">
        <f aca="false">TblProd[[#This Row],[Platinum]]</f>
        <v>74962</v>
      </c>
      <c r="BJ71" s="69" t="n">
        <f aca="false">TblProd[[#This Row],[Food]]</f>
        <v>2166</v>
      </c>
      <c r="BK71" s="69" t="n">
        <f aca="false">TblProd[[#This Row],[Lumber]]</f>
        <v>8970</v>
      </c>
      <c r="BL71" s="69" t="n">
        <f aca="false">TblProd[[#This Row],[Mana]]</f>
        <v>6294.5</v>
      </c>
      <c r="BM71" s="69" t="n">
        <f aca="false">TblProd[[#This Row],[Ore]]</f>
        <v>0</v>
      </c>
    </row>
    <row r="72" customFormat="false" ht="12.75" hidden="false" customHeight="false" outlineLevel="0" collapsed="false">
      <c r="A72" s="128" t="n">
        <v>69</v>
      </c>
      <c r="B72" s="144" t="n">
        <f aca="false">TblImps[[#This Row],[Time]]</f>
        <v>45432.5833333333</v>
      </c>
      <c r="C72" s="145"/>
      <c r="D72" s="146"/>
      <c r="E72" s="69" t="n">
        <f aca="false">TblConstr[[#This Row],[Land]]</f>
        <v>700</v>
      </c>
      <c r="F72" s="69" t="n">
        <f aca="false">TblPop[[#This Row],[Peasants]]</f>
        <v>10173</v>
      </c>
      <c r="G72" s="69" t="e">
        <f aca="false">TblMili[[#This Row],[Networth (2)]]</f>
        <v>#VALUE!</v>
      </c>
      <c r="H72" s="69" t="n">
        <f aca="false">OFFSET(TblProd[[#This Row],[Platinum]],-1,0)+OFFSET(TblProd[[#This Row],[Plat/hr]],-1,0) - TblProd[[#This Row],[Expenses Platinum]] + IF(TblProd[[#This Row],[Plat Bonus]],TblPop[[#This Row],[Peasants]]*4) + SUM(TblConstr[[#This Row],[Dest Hom]:[Dest Doc]])*TblConstr[[#This Row],[CPA Platinum -DB]]*tech_3_3_2*TblTech[[#This Row],[3-3]]</f>
        <v>60402</v>
      </c>
      <c r="I72" s="69" t="n">
        <f aca="false">OFFSET(TblProd[[#This Row],[Food]],-1,0)+OFFSET(TblProd[[#This Row],[Food/hr]],-1,0)+ROUNDUP((TblConstr[[#This Row],[Farms]]*80+TblConstr[[#This Row],[Docks]]*35)*(1+OFFSET(TblProd[[#This Row],[Bonus Food/hr]],-1,0)),0)</f>
        <v>2331</v>
      </c>
      <c r="J72" s="69" t="n">
        <f aca="false">OFFSET(TblProd[[#This Row],[Lumber]],-1,0)+OFFSET(TblProd[[#This Row],[Lumber/hr]],-1,0) - TblProd[[#This Row],[Expenses Lumber]] + SUM(TblConstr[[#This Row],[Dest Hom]:[Dest Doc]])*TblConstr[[#This Row],[CPA Lumber -DB]]*tech_3_3_2*TblTech[[#This Row],[3-3]]</f>
        <v>10005</v>
      </c>
      <c r="K72" s="69" t="n">
        <f aca="false">OFFSET(TblProd[[#This Row],[Mana]],-1,0)+OFFSET(TblProd[[#This Row],[Mana/hr]],-1,0)- TblProd[[#This Row],[Expenses Mana]]</f>
        <v>6893.5</v>
      </c>
      <c r="L72" s="69" t="n">
        <f aca="false">OFFSET(TblProd[[#This Row],[Ore]],-1,0)+OFFSET(TblProd[[#This Row],[Ore/hr]],-1,0) -TblProd[[#This Row],[Expenses Ore]]</f>
        <v>0</v>
      </c>
      <c r="M72" s="69" t="n">
        <f aca="false">OFFSET(TblProd[[#This Row],[Gems]],-1,0)+OFFSET(TblProd[[#This Row],[Gems/hr]],-1,0) - TblProd[[#This Row],[Expenses Gems]]</f>
        <v>0</v>
      </c>
      <c r="N72" s="69" t="n">
        <f aca="false">OFFSET(TblProd[[#This Row],[Boats]],-1,0)+OFFSET(TblProd[[#This Row],[Boats/hr]],-1,0)</f>
        <v>23.45</v>
      </c>
      <c r="O72" s="69" t="n">
        <f aca="false">OFFSET(TblProd[[#This Row],[Prestige]],-1,0)</f>
        <v>250</v>
      </c>
      <c r="P7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2" s="69" t="n">
        <f aca="false">MAX(3750,_xlfn.CEILING.MATH(TblProd[[#This Row],[Land]]*2.5+OFFSET(TblTech[[#This Row],[Sum of tech]],-1,0)*150))</f>
        <v>3750</v>
      </c>
      <c r="R72" s="132"/>
      <c r="S72" s="69" t="n">
        <f aca="false">ROUNDDOWN(TblProd[[#This Row],[Raw Plat/hr]]*(1+TblProd[[#This Row],[Bonus Plat/hr]]),0)</f>
        <v>47758</v>
      </c>
      <c r="T72" s="69" t="n">
        <f aca="false">ROUND(TblProd[[#This Row],[Raw Food/hr]]*(1+TblProd[[#This Row],[Bonus Food/hr]])-TblProd[[#This Row],[Food decay]]-TblProd[[#This Row],[Food eaten]],0)</f>
        <v>163</v>
      </c>
      <c r="U72" s="69" t="n">
        <f aca="false">ROUND(TblProd[[#This Row],[Raw Lumber/hr]]*(1+TblProd[[#This Row],[Bonus Lumber/hr]])-TblProd[[#This Row],[Lumber rot]],0)</f>
        <v>1025</v>
      </c>
      <c r="V72" s="69" t="n">
        <f aca="false">ROUND(TblProd[[#This Row],[Raw Mana/hr]]*(1+TblProd[[#This Row],[Bonus Mana/hr]])-TblProd[[#This Row],[Mana drain]],0)</f>
        <v>587</v>
      </c>
      <c r="W72" s="69" t="n">
        <f aca="false">ROUNDDOWN(TblProd[[#This Row],[Raw Ore/hr]]*(1+TblProd[[#This Row],[Bonux Ore/hr]]),0)</f>
        <v>0</v>
      </c>
      <c r="X72" s="69" t="n">
        <f aca="false">ROUNDDOWN(TblProd[[#This Row],[Raw Gems/hr]]*(1+TblProd[[#This Row],[Bonus Gems/hr]]),0)</f>
        <v>0</v>
      </c>
      <c r="Y72" s="148" t="n">
        <f aca="false">OFFSET(TblConstr[[#This Row],[Tot Doc]],1,0)*dock_boats_hr * (1 + tech_4_1*TblTech[[#This Row],[4-1]])</f>
        <v>1.2</v>
      </c>
      <c r="Z72" s="146"/>
      <c r="AA72" s="69" t="n">
        <f aca="false">TblPop[[#This Row],[Peasants]]*tax*TblPop[[#This Row],[Employment]] + (Construction!AZ73+Construction!BX73)*(alch_plat+(Magic!AM72&gt;0)*alchemist_flame_bonus)</f>
        <v>43417.1</v>
      </c>
      <c r="AB72" s="69" t="n">
        <f aca="false">TblConstr[[#This Row],[Tot Farm]]*farm_food + TblConstr[[#This Row],[Tot Doc]]*dock_food</f>
        <v>3280</v>
      </c>
      <c r="AC72" s="69" t="n">
        <f aca="false">TblConstr[[#This Row],[Tot Ly]]*ly_lumber + TblConstr[[#This Row],[Tot Hav]]*fh_lumber</f>
        <v>1250</v>
      </c>
      <c r="AD72" s="69" t="n">
        <f aca="false">OFFSET(TblConstr[[#This Row],[Tot Tow]],1,0)*(tower_mana + tech_4_5*TblTech[[#This Row],[4-5]]) + OFFSET(TblConstr[[#This Row],[Tot WG]],1,0)*wg_mana_prod</f>
        <v>725</v>
      </c>
      <c r="AE72" s="69" t="n">
        <f aca="false">OFFSET(TblConstr[[#This Row],[Tot OM]],1,0)*om_ore+IF(race="Dwarf",ROUNDDOWN(TblMili[[#This Row],[Unit 2]]*0.4,0),)</f>
        <v>0</v>
      </c>
      <c r="AF72" s="69" t="n">
        <f aca="false">OFFSET(TblConstr[[#This Row],[Tot DM]],1,0)*dm_gems</f>
        <v>0</v>
      </c>
      <c r="AG72" s="132"/>
      <c r="AH72" s="149" t="n">
        <f aca="false">MIN(race_platinum_bonus + IF(TblMagic[[#This Row],[Active Alch Frost]]&gt;0,alch_frost_bonus,IF(Magic!AD72&gt;0,midas_bonus)) + TblImps[[#This Row],[Science]] - TblProd[[#This Row],[Guard]]*(0.02 + tech_5_7*TblTech[[#This Row],[5-7]]) + tech_1_5*TblTech[[#This Row],[1-5]] + tech_4_4*TblTech[[#This Row],[4-4]], 0.5)</f>
        <v>0.1</v>
      </c>
      <c r="AI7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2" s="149" t="n">
        <f aca="false">race_lumber_bonus+ IF(TblMagic[[#This Row],[Active Gaia''s Blessing]]&gt;0,gaias_blessing_lumber)+ tech_1_3*TblTech[[#This Row],[1-3]] + tech_1_6*TblTech[[#This Row],[1-6]] + tech_3_3*TblTech[[#This Row],[3-3]]</f>
        <v>-0.1</v>
      </c>
      <c r="AK72" s="149" t="n">
        <f aca="false">race_mana_bonus+ 0 + TblImps[[#This Row],[Towers]] + tech_1_2*TblTech[[#This Row],[1-2]] + tech_3_4*TblTech[[#This Row],[3-4]]</f>
        <v>0</v>
      </c>
      <c r="AL72" s="149" t="n">
        <f aca="false">race_ore_bonus + IF(TblMagic[[#This Row],[Active Miner''s Sight]]&gt;0,miners_sight_bonus,IF(TblMagic[[#This Row],[Active Mining Strength]]&gt;0,mining_strength_bonus)) +  tech_1_6*TblTech[[#This Row],[1-6]]</f>
        <v>0</v>
      </c>
      <c r="AM72" s="149" t="n">
        <f aca="false">race_gem_bonus+ tech_3_2*TblTech[[#This Row],[3-2]] + tech_4_3*TblTech[[#This Row],[4-3]] + tech_6_2*TblTech[[#This Row],[6-2]]</f>
        <v>0.15</v>
      </c>
      <c r="AN72" s="132"/>
      <c r="AO72" s="69" t="n">
        <f aca="false">TblProd[[#This Row],[Food]]*food_decay * (1 + tech_2_1*TblTech[[#This Row],[2-1]] + tech_2_8*TblTech[[#This Row],[2-8]])</f>
        <v>23.31</v>
      </c>
      <c r="AP72" s="69" t="n">
        <f aca="false">(1+race_food_consumption)*TblPop[[#This Row],[Total]]*food_per_person*(1+tech_1_10*TblTech[[#This Row],[1-10]]+tech_7_5*TblTech[[#This Row],[7-5]])</f>
        <v>3175.25</v>
      </c>
      <c r="AQ72" s="69" t="n">
        <f aca="false">TblProd[[#This Row],[Lumber]]*lumber_rot * (1 + tech_2_1*TblTech[[#This Row],[2-1]] + tech_2_8*TblTech[[#This Row],[2-8]] + tech_5_2*TblTech[[#This Row],[5-2]])</f>
        <v>100.05</v>
      </c>
      <c r="AR72" s="69" t="n">
        <f aca="false">TblProd[[#This Row],[Mana]]*mana_drain * (1 + tech_2_1*TblTech[[#This Row],[2-1]] + tech_2_8*TblTech[[#This Row],[2-8]])</f>
        <v>137.87</v>
      </c>
      <c r="AS72" s="146"/>
      <c r="AT72" s="69" t="n">
        <f aca="false">TblExplore[[#This Row],[Platinum (2)]]+TblConstr[[#This Row],[Total Plat Cost]]+TblMili[[#This Row],[Plat Cost]]+TblRezone[[#This Row],[Platinum cost]]+TblImps[[#This Row],[P1]]-TblProd[[#This Row],[Bank Plat]]</f>
        <v>62624</v>
      </c>
      <c r="AU72" s="69" t="n">
        <f aca="false">TblConstr[[#This Row],[Total Lum Cost]]+TblImps[[#This Row],[L1]]-TblProd[[#This Row],[Bank Lumber]] + Military!$CL$25*TblMili[[#This Row],[Sec. rec. Cost]]</f>
        <v>0</v>
      </c>
      <c r="AV72" s="69" t="n">
        <f aca="false">TblMagic[[#This Row],[Mana cost]] + Military!$CL$26*TblMili[[#This Row],[Sec. rec. Cost]]</f>
        <v>0</v>
      </c>
      <c r="AW72" s="69" t="n">
        <f aca="false">Military!$CL$24*TblMili[[#This Row],[Sec. rec. Cost]]+TblImps[[#This Row],[O1]]-TblProd[[#This Row],[Bank Ore]]</f>
        <v>0</v>
      </c>
      <c r="AX72" s="69" t="n">
        <f aca="false">TblImps[[#This Row],[G1]]-TblProd[[#This Row],[Bank Gems]]</f>
        <v>0</v>
      </c>
      <c r="AY72" s="132"/>
      <c r="AZ72" s="33" t="n">
        <f aca="false">IF(TblProd[[#This Row],[Set Guard]]&lt;&gt;"",TblProd[[#This Row],[Set Guard]],OFFSET(TblProd[[#This Row],[Guard]],-1,0))</f>
        <v>0</v>
      </c>
      <c r="BA72" s="145"/>
      <c r="BB72" s="151" t="n">
        <f aca="false">TblProd[[#This Row],[Hour]]</f>
        <v>69</v>
      </c>
      <c r="BC72" s="152" t="n">
        <f aca="false">-TblProd[[#This Row],[Bank Lumber]] / 2 + -TblProd[[#This Row],[Bank Gems]] * 2 + -TblProd[[#This Row],[Bank Ore]] / 2</f>
        <v>0</v>
      </c>
      <c r="BD72" s="152"/>
      <c r="BE72" s="152"/>
      <c r="BF72" s="152"/>
      <c r="BG72" s="153" t="n">
        <f aca="false">TblProd[[#This Row],[Time]]</f>
        <v>45432.5833333333</v>
      </c>
      <c r="BH7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69" t="n">
        <f aca="false">TblProd[[#This Row],[Platinum]]</f>
        <v>60402</v>
      </c>
      <c r="BJ72" s="69" t="n">
        <f aca="false">TblProd[[#This Row],[Food]]</f>
        <v>2331</v>
      </c>
      <c r="BK72" s="69" t="n">
        <f aca="false">TblProd[[#This Row],[Lumber]]</f>
        <v>10005</v>
      </c>
      <c r="BL72" s="69" t="n">
        <f aca="false">TblProd[[#This Row],[Mana]]</f>
        <v>6893.5</v>
      </c>
      <c r="BM72" s="69" t="n">
        <f aca="false">TblProd[[#This Row],[Ore]]</f>
        <v>0</v>
      </c>
    </row>
    <row r="73" customFormat="false" ht="12.75" hidden="false" customHeight="false" outlineLevel="0" collapsed="false">
      <c r="A73" s="128" t="n">
        <v>70</v>
      </c>
      <c r="B73" s="144" t="n">
        <f aca="false">TblImps[[#This Row],[Time]]</f>
        <v>45432.625</v>
      </c>
      <c r="C73" s="145"/>
      <c r="D73" s="146"/>
      <c r="E73" s="69" t="n">
        <f aca="false">TblConstr[[#This Row],[Land]]</f>
        <v>700</v>
      </c>
      <c r="F73" s="69" t="n">
        <f aca="false">TblPop[[#This Row],[Peasants]]</f>
        <v>10071</v>
      </c>
      <c r="G73" s="69" t="e">
        <f aca="false">TblMili[[#This Row],[Networth (2)]]</f>
        <v>#VALUE!</v>
      </c>
      <c r="H73" s="69" t="n">
        <f aca="false">OFFSET(TblProd[[#This Row],[Platinum]],-1,0)+OFFSET(TblProd[[#This Row],[Plat/hr]],-1,0) - TblProd[[#This Row],[Expenses Platinum]] + IF(TblProd[[#This Row],[Plat Bonus]],TblPop[[#This Row],[Peasants]]*4) + SUM(TblConstr[[#This Row],[Dest Hom]:[Dest Doc]])*TblConstr[[#This Row],[CPA Platinum -DB]]*tech_3_3_2*TblTech[[#This Row],[3-3]]</f>
        <v>46144</v>
      </c>
      <c r="I73" s="69" t="n">
        <f aca="false">OFFSET(TblProd[[#This Row],[Food]],-1,0)+OFFSET(TblProd[[#This Row],[Food/hr]],-1,0)+ROUNDUP((TblConstr[[#This Row],[Farms]]*80+TblConstr[[#This Row],[Docks]]*35)*(1+OFFSET(TblProd[[#This Row],[Bonus Food/hr]],-1,0)),0)</f>
        <v>2494</v>
      </c>
      <c r="J73" s="69" t="n">
        <f aca="false">OFFSET(TblProd[[#This Row],[Lumber]],-1,0)+OFFSET(TblProd[[#This Row],[Lumber/hr]],-1,0) - TblProd[[#This Row],[Expenses Lumber]] + SUM(TblConstr[[#This Row],[Dest Hom]:[Dest Doc]])*TblConstr[[#This Row],[CPA Lumber -DB]]*tech_3_3_2*TblTech[[#This Row],[3-3]]</f>
        <v>11030</v>
      </c>
      <c r="K73" s="69" t="n">
        <f aca="false">OFFSET(TblProd[[#This Row],[Mana]],-1,0)+OFFSET(TblProd[[#This Row],[Mana/hr]],-1,0)- TblProd[[#This Row],[Expenses Mana]]</f>
        <v>7480.5</v>
      </c>
      <c r="L73" s="69" t="n">
        <f aca="false">OFFSET(TblProd[[#This Row],[Ore]],-1,0)+OFFSET(TblProd[[#This Row],[Ore/hr]],-1,0) -TblProd[[#This Row],[Expenses Ore]]</f>
        <v>0</v>
      </c>
      <c r="M73" s="69" t="n">
        <f aca="false">OFFSET(TblProd[[#This Row],[Gems]],-1,0)+OFFSET(TblProd[[#This Row],[Gems/hr]],-1,0) - TblProd[[#This Row],[Expenses Gems]]</f>
        <v>0</v>
      </c>
      <c r="N73" s="69" t="n">
        <f aca="false">OFFSET(TblProd[[#This Row],[Boats]],-1,0)+OFFSET(TblProd[[#This Row],[Boats/hr]],-1,0)</f>
        <v>24.65</v>
      </c>
      <c r="O73" s="69" t="n">
        <f aca="false">OFFSET(TblProd[[#This Row],[Prestige]],-1,0)</f>
        <v>250</v>
      </c>
      <c r="P7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3" s="69" t="n">
        <f aca="false">MAX(3750,_xlfn.CEILING.MATH(TblProd[[#This Row],[Land]]*2.5+OFFSET(TblTech[[#This Row],[Sum of tech]],-1,0)*150))</f>
        <v>3750</v>
      </c>
      <c r="R73" s="132"/>
      <c r="S73" s="69" t="n">
        <f aca="false">ROUNDDOWN(TblProd[[#This Row],[Raw Plat/hr]]*(1+TblProd[[#This Row],[Bonus Plat/hr]]),0)</f>
        <v>47455</v>
      </c>
      <c r="T73" s="69" t="n">
        <f aca="false">ROUND(TblProd[[#This Row],[Raw Food/hr]]*(1+TblProd[[#This Row],[Bonus Food/hr]])-TblProd[[#This Row],[Food decay]]-TblProd[[#This Row],[Food eaten]],0)</f>
        <v>162</v>
      </c>
      <c r="U73" s="69" t="n">
        <f aca="false">ROUND(TblProd[[#This Row],[Raw Lumber/hr]]*(1+TblProd[[#This Row],[Bonus Lumber/hr]])-TblProd[[#This Row],[Lumber rot]],0)</f>
        <v>1015</v>
      </c>
      <c r="V73" s="69" t="n">
        <f aca="false">ROUND(TblProd[[#This Row],[Raw Mana/hr]]*(1+TblProd[[#This Row],[Bonus Mana/hr]])-TblProd[[#This Row],[Mana drain]],0)</f>
        <v>575</v>
      </c>
      <c r="W73" s="69" t="n">
        <f aca="false">ROUNDDOWN(TblProd[[#This Row],[Raw Ore/hr]]*(1+TblProd[[#This Row],[Bonux Ore/hr]]),0)</f>
        <v>0</v>
      </c>
      <c r="X73" s="69" t="n">
        <f aca="false">ROUNDDOWN(TblProd[[#This Row],[Raw Gems/hr]]*(1+TblProd[[#This Row],[Bonus Gems/hr]]),0)</f>
        <v>0</v>
      </c>
      <c r="Y73" s="148" t="n">
        <f aca="false">OFFSET(TblConstr[[#This Row],[Tot Doc]],1,0)*dock_boats_hr * (1 + tech_4_1*TblTech[[#This Row],[4-1]])</f>
        <v>1.2</v>
      </c>
      <c r="Z73" s="146"/>
      <c r="AA73" s="69" t="n">
        <f aca="false">TblPop[[#This Row],[Peasants]]*tax*TblPop[[#This Row],[Employment]] + (Construction!AZ74+Construction!BX74)*(alch_plat+(Magic!AM73&gt;0)*alchemist_flame_bonus)</f>
        <v>43141.7</v>
      </c>
      <c r="AB73" s="69" t="n">
        <f aca="false">TblConstr[[#This Row],[Tot Farm]]*farm_food + TblConstr[[#This Row],[Tot Doc]]*dock_food</f>
        <v>3280</v>
      </c>
      <c r="AC73" s="69" t="n">
        <f aca="false">TblConstr[[#This Row],[Tot Ly]]*ly_lumber + TblConstr[[#This Row],[Tot Hav]]*fh_lumber</f>
        <v>1250</v>
      </c>
      <c r="AD73" s="69" t="n">
        <f aca="false">OFFSET(TblConstr[[#This Row],[Tot Tow]],1,0)*(tower_mana + tech_4_5*TblTech[[#This Row],[4-5]]) + OFFSET(TblConstr[[#This Row],[Tot WG]],1,0)*wg_mana_prod</f>
        <v>725</v>
      </c>
      <c r="AE73" s="69" t="n">
        <f aca="false">OFFSET(TblConstr[[#This Row],[Tot OM]],1,0)*om_ore+IF(race="Dwarf",ROUNDDOWN(TblMili[[#This Row],[Unit 2]]*0.4,0),)</f>
        <v>0</v>
      </c>
      <c r="AF73" s="69" t="n">
        <f aca="false">OFFSET(TblConstr[[#This Row],[Tot DM]],1,0)*dm_gems</f>
        <v>0</v>
      </c>
      <c r="AG73" s="132"/>
      <c r="AH73" s="149" t="n">
        <f aca="false">MIN(race_platinum_bonus + IF(TblMagic[[#This Row],[Active Alch Frost]]&gt;0,alch_frost_bonus,IF(Magic!AD73&gt;0,midas_bonus)) + TblImps[[#This Row],[Science]] - TblProd[[#This Row],[Guard]]*(0.02 + tech_5_7*TblTech[[#This Row],[5-7]]) + tech_1_5*TblTech[[#This Row],[1-5]] + tech_4_4*TblTech[[#This Row],[4-4]], 0.5)</f>
        <v>0.1</v>
      </c>
      <c r="AI7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3" s="149" t="n">
        <f aca="false">race_lumber_bonus+ IF(TblMagic[[#This Row],[Active Gaia''s Blessing]]&gt;0,gaias_blessing_lumber)+ tech_1_3*TblTech[[#This Row],[1-3]] + tech_1_6*TblTech[[#This Row],[1-6]] + tech_3_3*TblTech[[#This Row],[3-3]]</f>
        <v>-0.1</v>
      </c>
      <c r="AK73" s="149" t="n">
        <f aca="false">race_mana_bonus+ 0 + TblImps[[#This Row],[Towers]] + tech_1_2*TblTech[[#This Row],[1-2]] + tech_3_4*TblTech[[#This Row],[3-4]]</f>
        <v>0</v>
      </c>
      <c r="AL73" s="149" t="n">
        <f aca="false">race_ore_bonus + IF(TblMagic[[#This Row],[Active Miner''s Sight]]&gt;0,miners_sight_bonus,IF(TblMagic[[#This Row],[Active Mining Strength]]&gt;0,mining_strength_bonus)) +  tech_1_6*TblTech[[#This Row],[1-6]]</f>
        <v>0</v>
      </c>
      <c r="AM73" s="149" t="n">
        <f aca="false">race_gem_bonus+ tech_3_2*TblTech[[#This Row],[3-2]] + tech_4_3*TblTech[[#This Row],[4-3]] + tech_6_2*TblTech[[#This Row],[6-2]]</f>
        <v>0.15</v>
      </c>
      <c r="AN73" s="132"/>
      <c r="AO73" s="69" t="n">
        <f aca="false">TblProd[[#This Row],[Food]]*food_decay * (1 + tech_2_1*TblTech[[#This Row],[2-1]] + tech_2_8*TblTech[[#This Row],[2-8]])</f>
        <v>24.94</v>
      </c>
      <c r="AP73" s="69" t="n">
        <f aca="false">(1+race_food_consumption)*TblPop[[#This Row],[Total]]*food_per_person*(1+tech_1_10*TblTech[[#This Row],[1-10]]+tech_7_5*TblTech[[#This Row],[7-5]])</f>
        <v>3175.25</v>
      </c>
      <c r="AQ73" s="69" t="n">
        <f aca="false">TblProd[[#This Row],[Lumber]]*lumber_rot * (1 + tech_2_1*TblTech[[#This Row],[2-1]] + tech_2_8*TblTech[[#This Row],[2-8]] + tech_5_2*TblTech[[#This Row],[5-2]])</f>
        <v>110.3</v>
      </c>
      <c r="AR73" s="69" t="n">
        <f aca="false">TblProd[[#This Row],[Mana]]*mana_drain * (1 + tech_2_1*TblTech[[#This Row],[2-1]] + tech_2_8*TblTech[[#This Row],[2-8]])</f>
        <v>149.61</v>
      </c>
      <c r="AS73" s="146"/>
      <c r="AT73" s="69" t="n">
        <f aca="false">TblExplore[[#This Row],[Platinum (2)]]+TblConstr[[#This Row],[Total Plat Cost]]+TblMili[[#This Row],[Plat Cost]]+TblRezone[[#This Row],[Platinum cost]]+TblImps[[#This Row],[P1]]-TblProd[[#This Row],[Bank Plat]]</f>
        <v>62016</v>
      </c>
      <c r="AU73" s="69" t="n">
        <f aca="false">TblConstr[[#This Row],[Total Lum Cost]]+TblImps[[#This Row],[L1]]-TblProd[[#This Row],[Bank Lumber]] + Military!$CL$25*TblMili[[#This Row],[Sec. rec. Cost]]</f>
        <v>0</v>
      </c>
      <c r="AV73" s="69" t="n">
        <f aca="false">TblMagic[[#This Row],[Mana cost]] + Military!$CL$26*TblMili[[#This Row],[Sec. rec. Cost]]</f>
        <v>0</v>
      </c>
      <c r="AW73" s="69" t="n">
        <f aca="false">Military!$CL$24*TblMili[[#This Row],[Sec. rec. Cost]]+TblImps[[#This Row],[O1]]-TblProd[[#This Row],[Bank Ore]]</f>
        <v>0</v>
      </c>
      <c r="AX73" s="69" t="n">
        <f aca="false">TblImps[[#This Row],[G1]]-TblProd[[#This Row],[Bank Gems]]</f>
        <v>0</v>
      </c>
      <c r="AY73" s="132"/>
      <c r="AZ73" s="33" t="n">
        <f aca="false">IF(TblProd[[#This Row],[Set Guard]]&lt;&gt;"",TblProd[[#This Row],[Set Guard]],OFFSET(TblProd[[#This Row],[Guard]],-1,0))</f>
        <v>0</v>
      </c>
      <c r="BA73" s="145"/>
      <c r="BB73" s="151" t="n">
        <f aca="false">TblProd[[#This Row],[Hour]]</f>
        <v>70</v>
      </c>
      <c r="BC73" s="152" t="n">
        <f aca="false">-TblProd[[#This Row],[Bank Lumber]] / 2 + -TblProd[[#This Row],[Bank Gems]] * 2 + -TblProd[[#This Row],[Bank Ore]] / 2</f>
        <v>0</v>
      </c>
      <c r="BD73" s="152"/>
      <c r="BE73" s="152"/>
      <c r="BF73" s="152"/>
      <c r="BG73" s="153" t="n">
        <f aca="false">TblProd[[#This Row],[Time]]</f>
        <v>45432.625</v>
      </c>
      <c r="BH7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69" t="n">
        <f aca="false">TblProd[[#This Row],[Platinum]]</f>
        <v>46144</v>
      </c>
      <c r="BJ73" s="69" t="n">
        <f aca="false">TblProd[[#This Row],[Food]]</f>
        <v>2494</v>
      </c>
      <c r="BK73" s="69" t="n">
        <f aca="false">TblProd[[#This Row],[Lumber]]</f>
        <v>11030</v>
      </c>
      <c r="BL73" s="69" t="n">
        <f aca="false">TblProd[[#This Row],[Mana]]</f>
        <v>7480.5</v>
      </c>
      <c r="BM73" s="69" t="n">
        <f aca="false">TblProd[[#This Row],[Ore]]</f>
        <v>0</v>
      </c>
    </row>
    <row r="74" customFormat="false" ht="12.75" hidden="false" customHeight="false" outlineLevel="0" collapsed="false">
      <c r="A74" s="128" t="n">
        <v>71</v>
      </c>
      <c r="B74" s="144" t="n">
        <f aca="false">TblImps[[#This Row],[Time]]</f>
        <v>45432.6666666667</v>
      </c>
      <c r="C74" s="145"/>
      <c r="D74" s="146"/>
      <c r="E74" s="69" t="n">
        <f aca="false">TblConstr[[#This Row],[Land]]</f>
        <v>700</v>
      </c>
      <c r="F74" s="69" t="n">
        <f aca="false">TblPop[[#This Row],[Peasants]]</f>
        <v>9970</v>
      </c>
      <c r="G74" s="69" t="e">
        <f aca="false">TblMili[[#This Row],[Networth (2)]]</f>
        <v>#VALUE!</v>
      </c>
      <c r="H74" s="69" t="n">
        <f aca="false">OFFSET(TblProd[[#This Row],[Platinum]],-1,0)+OFFSET(TblProd[[#This Row],[Plat/hr]],-1,0) - TblProd[[#This Row],[Expenses Platinum]] + IF(TblProd[[#This Row],[Plat Bonus]],TblPop[[#This Row],[Peasants]]*4) + SUM(TblConstr[[#This Row],[Dest Hom]:[Dest Doc]])*TblConstr[[#This Row],[CPA Platinum -DB]]*tech_3_3_2*TblTech[[#This Row],[3-3]]</f>
        <v>32191</v>
      </c>
      <c r="I74" s="69" t="n">
        <f aca="false">OFFSET(TblProd[[#This Row],[Food]],-1,0)+OFFSET(TblProd[[#This Row],[Food/hr]],-1,0)+ROUNDUP((TblConstr[[#This Row],[Farms]]*80+TblConstr[[#This Row],[Docks]]*35)*(1+OFFSET(TblProd[[#This Row],[Bonus Food/hr]],-1,0)),0)</f>
        <v>2656</v>
      </c>
      <c r="J74" s="69" t="n">
        <f aca="false">OFFSET(TblProd[[#This Row],[Lumber]],-1,0)+OFFSET(TblProd[[#This Row],[Lumber/hr]],-1,0) - TblProd[[#This Row],[Expenses Lumber]] + SUM(TblConstr[[#This Row],[Dest Hom]:[Dest Doc]])*TblConstr[[#This Row],[CPA Lumber -DB]]*tech_3_3_2*TblTech[[#This Row],[3-3]]</f>
        <v>12045</v>
      </c>
      <c r="K74" s="69" t="n">
        <f aca="false">OFFSET(TblProd[[#This Row],[Mana]],-1,0)+OFFSET(TblProd[[#This Row],[Mana/hr]],-1,0)- TblProd[[#This Row],[Expenses Mana]]</f>
        <v>8055.5</v>
      </c>
      <c r="L74" s="69" t="n">
        <f aca="false">OFFSET(TblProd[[#This Row],[Ore]],-1,0)+OFFSET(TblProd[[#This Row],[Ore/hr]],-1,0) -TblProd[[#This Row],[Expenses Ore]]</f>
        <v>0</v>
      </c>
      <c r="M74" s="69" t="n">
        <f aca="false">OFFSET(TblProd[[#This Row],[Gems]],-1,0)+OFFSET(TblProd[[#This Row],[Gems/hr]],-1,0) - TblProd[[#This Row],[Expenses Gems]]</f>
        <v>0</v>
      </c>
      <c r="N74" s="69" t="n">
        <f aca="false">OFFSET(TblProd[[#This Row],[Boats]],-1,0)+OFFSET(TblProd[[#This Row],[Boats/hr]],-1,0)</f>
        <v>25.85</v>
      </c>
      <c r="O74" s="69" t="n">
        <f aca="false">OFFSET(TblProd[[#This Row],[Prestige]],-1,0)</f>
        <v>250</v>
      </c>
      <c r="P7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4" s="69" t="n">
        <f aca="false">MAX(3750,_xlfn.CEILING.MATH(TblProd[[#This Row],[Land]]*2.5+OFFSET(TblTech[[#This Row],[Sum of tech]],-1,0)*150))</f>
        <v>3750</v>
      </c>
      <c r="R74" s="132"/>
      <c r="S74" s="69" t="n">
        <f aca="false">ROUNDDOWN(TblProd[[#This Row],[Raw Plat/hr]]*(1+TblProd[[#This Row],[Bonus Plat/hr]]),0)</f>
        <v>47155</v>
      </c>
      <c r="T74" s="69" t="n">
        <f aca="false">ROUND(TblProd[[#This Row],[Raw Food/hr]]*(1+TblProd[[#This Row],[Bonus Food/hr]])-TblProd[[#This Row],[Food decay]]-TblProd[[#This Row],[Food eaten]],0)</f>
        <v>160</v>
      </c>
      <c r="U74" s="69" t="n">
        <f aca="false">ROUND(TblProd[[#This Row],[Raw Lumber/hr]]*(1+TblProd[[#This Row],[Bonus Lumber/hr]])-TblProd[[#This Row],[Lumber rot]],0)</f>
        <v>1005</v>
      </c>
      <c r="V74" s="69" t="n">
        <f aca="false">ROUND(TblProd[[#This Row],[Raw Mana/hr]]*(1+TblProd[[#This Row],[Bonus Mana/hr]])-TblProd[[#This Row],[Mana drain]],0)</f>
        <v>564</v>
      </c>
      <c r="W74" s="69" t="n">
        <f aca="false">ROUNDDOWN(TblProd[[#This Row],[Raw Ore/hr]]*(1+TblProd[[#This Row],[Bonux Ore/hr]]),0)</f>
        <v>0</v>
      </c>
      <c r="X74" s="69" t="n">
        <f aca="false">ROUNDDOWN(TblProd[[#This Row],[Raw Gems/hr]]*(1+TblProd[[#This Row],[Bonus Gems/hr]]),0)</f>
        <v>0</v>
      </c>
      <c r="Y74" s="148" t="n">
        <f aca="false">OFFSET(TblConstr[[#This Row],[Tot Doc]],1,0)*dock_boats_hr * (1 + tech_4_1*TblTech[[#This Row],[4-1]])</f>
        <v>1.2</v>
      </c>
      <c r="Z74" s="146"/>
      <c r="AA74" s="69" t="n">
        <f aca="false">TblPop[[#This Row],[Peasants]]*tax*TblPop[[#This Row],[Employment]] + (Construction!AZ75+Construction!BX75)*(alch_plat+(Magic!AM74&gt;0)*alchemist_flame_bonus)</f>
        <v>42869</v>
      </c>
      <c r="AB74" s="69" t="n">
        <f aca="false">TblConstr[[#This Row],[Tot Farm]]*farm_food + TblConstr[[#This Row],[Tot Doc]]*dock_food</f>
        <v>3280</v>
      </c>
      <c r="AC74" s="69" t="n">
        <f aca="false">TblConstr[[#This Row],[Tot Ly]]*ly_lumber + TblConstr[[#This Row],[Tot Hav]]*fh_lumber</f>
        <v>1250</v>
      </c>
      <c r="AD74" s="69" t="n">
        <f aca="false">OFFSET(TblConstr[[#This Row],[Tot Tow]],1,0)*(tower_mana + tech_4_5*TblTech[[#This Row],[4-5]]) + OFFSET(TblConstr[[#This Row],[Tot WG]],1,0)*wg_mana_prod</f>
        <v>725</v>
      </c>
      <c r="AE74" s="69" t="n">
        <f aca="false">OFFSET(TblConstr[[#This Row],[Tot OM]],1,0)*om_ore+IF(race="Dwarf",ROUNDDOWN(TblMili[[#This Row],[Unit 2]]*0.4,0),)</f>
        <v>0</v>
      </c>
      <c r="AF74" s="69" t="n">
        <f aca="false">OFFSET(TblConstr[[#This Row],[Tot DM]],1,0)*dm_gems</f>
        <v>0</v>
      </c>
      <c r="AG74" s="132"/>
      <c r="AH74" s="149" t="n">
        <f aca="false">MIN(race_platinum_bonus + IF(TblMagic[[#This Row],[Active Alch Frost]]&gt;0,alch_frost_bonus,IF(Magic!AD74&gt;0,midas_bonus)) + TblImps[[#This Row],[Science]] - TblProd[[#This Row],[Guard]]*(0.02 + tech_5_7*TblTech[[#This Row],[5-7]]) + tech_1_5*TblTech[[#This Row],[1-5]] + tech_4_4*TblTech[[#This Row],[4-4]], 0.5)</f>
        <v>0.1</v>
      </c>
      <c r="AI7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4" s="149" t="n">
        <f aca="false">race_lumber_bonus+ IF(TblMagic[[#This Row],[Active Gaia''s Blessing]]&gt;0,gaias_blessing_lumber)+ tech_1_3*TblTech[[#This Row],[1-3]] + tech_1_6*TblTech[[#This Row],[1-6]] + tech_3_3*TblTech[[#This Row],[3-3]]</f>
        <v>-0.1</v>
      </c>
      <c r="AK74" s="149" t="n">
        <f aca="false">race_mana_bonus+ 0 + TblImps[[#This Row],[Towers]] + tech_1_2*TblTech[[#This Row],[1-2]] + tech_3_4*TblTech[[#This Row],[3-4]]</f>
        <v>0</v>
      </c>
      <c r="AL74" s="149" t="n">
        <f aca="false">race_ore_bonus + IF(TblMagic[[#This Row],[Active Miner''s Sight]]&gt;0,miners_sight_bonus,IF(TblMagic[[#This Row],[Active Mining Strength]]&gt;0,mining_strength_bonus)) +  tech_1_6*TblTech[[#This Row],[1-6]]</f>
        <v>0</v>
      </c>
      <c r="AM74" s="149" t="n">
        <f aca="false">race_gem_bonus+ tech_3_2*TblTech[[#This Row],[3-2]] + tech_4_3*TblTech[[#This Row],[4-3]] + tech_6_2*TblTech[[#This Row],[6-2]]</f>
        <v>0.15</v>
      </c>
      <c r="AN74" s="132"/>
      <c r="AO74" s="69" t="n">
        <f aca="false">TblProd[[#This Row],[Food]]*food_decay * (1 + tech_2_1*TblTech[[#This Row],[2-1]] + tech_2_8*TblTech[[#This Row],[2-8]])</f>
        <v>26.56</v>
      </c>
      <c r="AP74" s="69" t="n">
        <f aca="false">(1+race_food_consumption)*TblPop[[#This Row],[Total]]*food_per_person*(1+tech_1_10*TblTech[[#This Row],[1-10]]+tech_7_5*TblTech[[#This Row],[7-5]])</f>
        <v>3175.25</v>
      </c>
      <c r="AQ74" s="69" t="n">
        <f aca="false">TblProd[[#This Row],[Lumber]]*lumber_rot * (1 + tech_2_1*TblTech[[#This Row],[2-1]] + tech_2_8*TblTech[[#This Row],[2-8]] + tech_5_2*TblTech[[#This Row],[5-2]])</f>
        <v>120.45</v>
      </c>
      <c r="AR74" s="69" t="n">
        <f aca="false">TblProd[[#This Row],[Mana]]*mana_drain * (1 + tech_2_1*TblTech[[#This Row],[2-1]] + tech_2_8*TblTech[[#This Row],[2-8]])</f>
        <v>161.11</v>
      </c>
      <c r="AS74" s="146"/>
      <c r="AT74" s="69" t="n">
        <f aca="false">TblExplore[[#This Row],[Platinum (2)]]+TblConstr[[#This Row],[Total Plat Cost]]+TblMili[[#This Row],[Plat Cost]]+TblRezone[[#This Row],[Platinum cost]]+TblImps[[#This Row],[P1]]-TblProd[[#This Row],[Bank Plat]]</f>
        <v>61408</v>
      </c>
      <c r="AU74" s="69" t="n">
        <f aca="false">TblConstr[[#This Row],[Total Lum Cost]]+TblImps[[#This Row],[L1]]-TblProd[[#This Row],[Bank Lumber]] + Military!$CL$25*TblMili[[#This Row],[Sec. rec. Cost]]</f>
        <v>0</v>
      </c>
      <c r="AV74" s="69" t="n">
        <f aca="false">TblMagic[[#This Row],[Mana cost]] + Military!$CL$26*TblMili[[#This Row],[Sec. rec. Cost]]</f>
        <v>0</v>
      </c>
      <c r="AW74" s="69" t="n">
        <f aca="false">Military!$CL$24*TblMili[[#This Row],[Sec. rec. Cost]]+TblImps[[#This Row],[O1]]-TblProd[[#This Row],[Bank Ore]]</f>
        <v>0</v>
      </c>
      <c r="AX74" s="69" t="n">
        <f aca="false">TblImps[[#This Row],[G1]]-TblProd[[#This Row],[Bank Gems]]</f>
        <v>0</v>
      </c>
      <c r="AY74" s="132"/>
      <c r="AZ74" s="33" t="n">
        <f aca="false">IF(TblProd[[#This Row],[Set Guard]]&lt;&gt;"",TblProd[[#This Row],[Set Guard]],OFFSET(TblProd[[#This Row],[Guard]],-1,0))</f>
        <v>0</v>
      </c>
      <c r="BA74" s="145"/>
      <c r="BB74" s="151" t="n">
        <f aca="false">TblProd[[#This Row],[Hour]]</f>
        <v>71</v>
      </c>
      <c r="BC74" s="152" t="n">
        <f aca="false">-TblProd[[#This Row],[Bank Lumber]] / 2 + -TblProd[[#This Row],[Bank Gems]] * 2 + -TblProd[[#This Row],[Bank Ore]] / 2</f>
        <v>0</v>
      </c>
      <c r="BD74" s="152"/>
      <c r="BE74" s="152"/>
      <c r="BF74" s="152"/>
      <c r="BG74" s="153" t="n">
        <f aca="false">TblProd[[#This Row],[Time]]</f>
        <v>45432.6666666667</v>
      </c>
      <c r="BH7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69" t="n">
        <f aca="false">TblProd[[#This Row],[Platinum]]</f>
        <v>32191</v>
      </c>
      <c r="BJ74" s="69" t="n">
        <f aca="false">TblProd[[#This Row],[Food]]</f>
        <v>2656</v>
      </c>
      <c r="BK74" s="69" t="n">
        <f aca="false">TblProd[[#This Row],[Lumber]]</f>
        <v>12045</v>
      </c>
      <c r="BL74" s="69" t="n">
        <f aca="false">TblProd[[#This Row],[Mana]]</f>
        <v>8055.5</v>
      </c>
      <c r="BM74" s="69" t="n">
        <f aca="false">TblProd[[#This Row],[Ore]]</f>
        <v>0</v>
      </c>
    </row>
    <row r="75" customFormat="false" ht="12.75" hidden="false" customHeight="false" outlineLevel="0" collapsed="false">
      <c r="A75" s="128" t="n">
        <v>72</v>
      </c>
      <c r="B75" s="144" t="n">
        <f aca="false">TblImps[[#This Row],[Time]]</f>
        <v>45432.7083333333</v>
      </c>
      <c r="C75" s="145"/>
      <c r="D75" s="146"/>
      <c r="E75" s="69" t="n">
        <f aca="false">TblConstr[[#This Row],[Land]]</f>
        <v>700</v>
      </c>
      <c r="F75" s="69" t="n">
        <f aca="false">TblPop[[#This Row],[Peasants]]</f>
        <v>9870</v>
      </c>
      <c r="G75" s="69" t="e">
        <f aca="false">TblMili[[#This Row],[Networth (2)]]</f>
        <v>#VALUE!</v>
      </c>
      <c r="H75" s="69" t="n">
        <f aca="false">OFFSET(TblProd[[#This Row],[Platinum]],-1,0)+OFFSET(TblProd[[#This Row],[Plat/hr]],-1,0) - TblProd[[#This Row],[Expenses Platinum]] + IF(TblProd[[#This Row],[Plat Bonus]],TblPop[[#This Row],[Peasants]]*4) + SUM(TblConstr[[#This Row],[Dest Hom]:[Dest Doc]])*TblConstr[[#This Row],[CPA Platinum -DB]]*tech_3_3_2*TblTech[[#This Row],[3-3]]</f>
        <v>18546</v>
      </c>
      <c r="I75" s="69" t="n">
        <f aca="false">OFFSET(TblProd[[#This Row],[Food]],-1,0)+OFFSET(TblProd[[#This Row],[Food/hr]],-1,0)+ROUNDUP((TblConstr[[#This Row],[Farms]]*80+TblConstr[[#This Row],[Docks]]*35)*(1+OFFSET(TblProd[[#This Row],[Bonus Food/hr]],-1,0)),0)</f>
        <v>2816</v>
      </c>
      <c r="J75" s="69" t="n">
        <f aca="false">OFFSET(TblProd[[#This Row],[Lumber]],-1,0)+OFFSET(TblProd[[#This Row],[Lumber/hr]],-1,0) - TblProd[[#This Row],[Expenses Lumber]] + SUM(TblConstr[[#This Row],[Dest Hom]:[Dest Doc]])*TblConstr[[#This Row],[CPA Lumber -DB]]*tech_3_3_2*TblTech[[#This Row],[3-3]]</f>
        <v>13050</v>
      </c>
      <c r="K75" s="69" t="n">
        <f aca="false">OFFSET(TblProd[[#This Row],[Mana]],-1,0)+OFFSET(TblProd[[#This Row],[Mana/hr]],-1,0)- TblProd[[#This Row],[Expenses Mana]]</f>
        <v>8619.5</v>
      </c>
      <c r="L75" s="69" t="n">
        <f aca="false">OFFSET(TblProd[[#This Row],[Ore]],-1,0)+OFFSET(TblProd[[#This Row],[Ore/hr]],-1,0) -TblProd[[#This Row],[Expenses Ore]]</f>
        <v>0</v>
      </c>
      <c r="M75" s="69" t="n">
        <f aca="false">OFFSET(TblProd[[#This Row],[Gems]],-1,0)+OFFSET(TblProd[[#This Row],[Gems/hr]],-1,0) - TblProd[[#This Row],[Expenses Gems]]</f>
        <v>0</v>
      </c>
      <c r="N75" s="69" t="n">
        <f aca="false">OFFSET(TblProd[[#This Row],[Boats]],-1,0)+OFFSET(TblProd[[#This Row],[Boats/hr]],-1,0)</f>
        <v>27.05</v>
      </c>
      <c r="O75" s="69" t="n">
        <f aca="false">OFFSET(TblProd[[#This Row],[Prestige]],-1,0)</f>
        <v>250</v>
      </c>
      <c r="P7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5" s="69" t="n">
        <f aca="false">MAX(3750,_xlfn.CEILING.MATH(TblProd[[#This Row],[Land]]*2.5+OFFSET(TblTech[[#This Row],[Sum of tech]],-1,0)*150))</f>
        <v>3750</v>
      </c>
      <c r="R75" s="132"/>
      <c r="S75" s="69" t="n">
        <f aca="false">ROUNDDOWN(TblProd[[#This Row],[Raw Plat/hr]]*(1+TblProd[[#This Row],[Bonus Plat/hr]]),0)</f>
        <v>46858</v>
      </c>
      <c r="T75" s="69" t="n">
        <f aca="false">ROUND(TblProd[[#This Row],[Raw Food/hr]]*(1+TblProd[[#This Row],[Bonus Food/hr]])-TblProd[[#This Row],[Food decay]]-TblProd[[#This Row],[Food eaten]],0)</f>
        <v>159</v>
      </c>
      <c r="U75" s="69" t="n">
        <f aca="false">ROUND(TblProd[[#This Row],[Raw Lumber/hr]]*(1+TblProd[[#This Row],[Bonus Lumber/hr]])-TblProd[[#This Row],[Lumber rot]],0)</f>
        <v>995</v>
      </c>
      <c r="V75" s="69" t="n">
        <f aca="false">ROUND(TblProd[[#This Row],[Raw Mana/hr]]*(1+TblProd[[#This Row],[Bonus Mana/hr]])-TblProd[[#This Row],[Mana drain]],0)</f>
        <v>553</v>
      </c>
      <c r="W75" s="69" t="n">
        <f aca="false">ROUNDDOWN(TblProd[[#This Row],[Raw Ore/hr]]*(1+TblProd[[#This Row],[Bonux Ore/hr]]),0)</f>
        <v>0</v>
      </c>
      <c r="X75" s="69" t="n">
        <f aca="false">ROUNDDOWN(TblProd[[#This Row],[Raw Gems/hr]]*(1+TblProd[[#This Row],[Bonus Gems/hr]]),0)</f>
        <v>0</v>
      </c>
      <c r="Y75" s="148" t="n">
        <f aca="false">OFFSET(TblConstr[[#This Row],[Tot Doc]],1,0)*dock_boats_hr * (1 + tech_4_1*TblTech[[#This Row],[4-1]])</f>
        <v>1.2</v>
      </c>
      <c r="Z75" s="146"/>
      <c r="AA75" s="69" t="n">
        <f aca="false">TblPop[[#This Row],[Peasants]]*tax*TblPop[[#This Row],[Employment]] + (Construction!AZ76+Construction!BX76)*(alch_plat+(Magic!AM75&gt;0)*alchemist_flame_bonus)</f>
        <v>42599</v>
      </c>
      <c r="AB75" s="69" t="n">
        <f aca="false">TblConstr[[#This Row],[Tot Farm]]*farm_food + TblConstr[[#This Row],[Tot Doc]]*dock_food</f>
        <v>3280</v>
      </c>
      <c r="AC75" s="69" t="n">
        <f aca="false">TblConstr[[#This Row],[Tot Ly]]*ly_lumber + TblConstr[[#This Row],[Tot Hav]]*fh_lumber</f>
        <v>1250</v>
      </c>
      <c r="AD75" s="69" t="n">
        <f aca="false">OFFSET(TblConstr[[#This Row],[Tot Tow]],1,0)*(tower_mana + tech_4_5*TblTech[[#This Row],[4-5]]) + OFFSET(TblConstr[[#This Row],[Tot WG]],1,0)*wg_mana_prod</f>
        <v>725</v>
      </c>
      <c r="AE75" s="69" t="n">
        <f aca="false">OFFSET(TblConstr[[#This Row],[Tot OM]],1,0)*om_ore+IF(race="Dwarf",ROUNDDOWN(TblMili[[#This Row],[Unit 2]]*0.4,0),)</f>
        <v>0</v>
      </c>
      <c r="AF75" s="69" t="n">
        <f aca="false">OFFSET(TblConstr[[#This Row],[Tot DM]],1,0)*dm_gems</f>
        <v>0</v>
      </c>
      <c r="AG75" s="132"/>
      <c r="AH75" s="149" t="n">
        <f aca="false">MIN(race_platinum_bonus + IF(TblMagic[[#This Row],[Active Alch Frost]]&gt;0,alch_frost_bonus,IF(Magic!AD75&gt;0,midas_bonus)) + TblImps[[#This Row],[Science]] - TblProd[[#This Row],[Guard]]*(0.02 + tech_5_7*TblTech[[#This Row],[5-7]]) + tech_1_5*TblTech[[#This Row],[1-5]] + tech_4_4*TblTech[[#This Row],[4-4]], 0.5)</f>
        <v>0.1</v>
      </c>
      <c r="AI7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5" s="149" t="n">
        <f aca="false">race_lumber_bonus+ IF(TblMagic[[#This Row],[Active Gaia''s Blessing]]&gt;0,gaias_blessing_lumber)+ tech_1_3*TblTech[[#This Row],[1-3]] + tech_1_6*TblTech[[#This Row],[1-6]] + tech_3_3*TblTech[[#This Row],[3-3]]</f>
        <v>-0.1</v>
      </c>
      <c r="AK75" s="149" t="n">
        <f aca="false">race_mana_bonus+ 0 + TblImps[[#This Row],[Towers]] + tech_1_2*TblTech[[#This Row],[1-2]] + tech_3_4*TblTech[[#This Row],[3-4]]</f>
        <v>0</v>
      </c>
      <c r="AL75" s="149" t="n">
        <f aca="false">race_ore_bonus + IF(TblMagic[[#This Row],[Active Miner''s Sight]]&gt;0,miners_sight_bonus,IF(TblMagic[[#This Row],[Active Mining Strength]]&gt;0,mining_strength_bonus)) +  tech_1_6*TblTech[[#This Row],[1-6]]</f>
        <v>0</v>
      </c>
      <c r="AM75" s="149" t="n">
        <f aca="false">race_gem_bonus+ tech_3_2*TblTech[[#This Row],[3-2]] + tech_4_3*TblTech[[#This Row],[4-3]] + tech_6_2*TblTech[[#This Row],[6-2]]</f>
        <v>0.15</v>
      </c>
      <c r="AN75" s="132"/>
      <c r="AO75" s="69" t="n">
        <f aca="false">TblProd[[#This Row],[Food]]*food_decay * (1 + tech_2_1*TblTech[[#This Row],[2-1]] + tech_2_8*TblTech[[#This Row],[2-8]])</f>
        <v>28.16</v>
      </c>
      <c r="AP75" s="69" t="n">
        <f aca="false">(1+race_food_consumption)*TblPop[[#This Row],[Total]]*food_per_person*(1+tech_1_10*TblTech[[#This Row],[1-10]]+tech_7_5*TblTech[[#This Row],[7-5]])</f>
        <v>3175.25</v>
      </c>
      <c r="AQ75" s="69" t="n">
        <f aca="false">TblProd[[#This Row],[Lumber]]*lumber_rot * (1 + tech_2_1*TblTech[[#This Row],[2-1]] + tech_2_8*TblTech[[#This Row],[2-8]] + tech_5_2*TblTech[[#This Row],[5-2]])</f>
        <v>130.5</v>
      </c>
      <c r="AR75" s="69" t="n">
        <f aca="false">TblProd[[#This Row],[Mana]]*mana_drain * (1 + tech_2_1*TblTech[[#This Row],[2-1]] + tech_2_8*TblTech[[#This Row],[2-8]])</f>
        <v>172.39</v>
      </c>
      <c r="AS75" s="146"/>
      <c r="AT75" s="69" t="n">
        <f aca="false">TblExplore[[#This Row],[Platinum (2)]]+TblConstr[[#This Row],[Total Plat Cost]]+TblMili[[#This Row],[Plat Cost]]+TblRezone[[#This Row],[Platinum cost]]+TblImps[[#This Row],[P1]]-TblProd[[#This Row],[Bank Plat]]</f>
        <v>60800</v>
      </c>
      <c r="AU75" s="69" t="n">
        <f aca="false">TblConstr[[#This Row],[Total Lum Cost]]+TblImps[[#This Row],[L1]]-TblProd[[#This Row],[Bank Lumber]] + Military!$CL$25*TblMili[[#This Row],[Sec. rec. Cost]]</f>
        <v>0</v>
      </c>
      <c r="AV75" s="69" t="n">
        <f aca="false">TblMagic[[#This Row],[Mana cost]] + Military!$CL$26*TblMili[[#This Row],[Sec. rec. Cost]]</f>
        <v>0</v>
      </c>
      <c r="AW75" s="69" t="n">
        <f aca="false">Military!$CL$24*TblMili[[#This Row],[Sec. rec. Cost]]+TblImps[[#This Row],[O1]]-TblProd[[#This Row],[Bank Ore]]</f>
        <v>0</v>
      </c>
      <c r="AX75" s="69" t="n">
        <f aca="false">TblImps[[#This Row],[G1]]-TblProd[[#This Row],[Bank Gems]]</f>
        <v>0</v>
      </c>
      <c r="AY75" s="132"/>
      <c r="AZ75" s="33" t="n">
        <f aca="false">IF(TblProd[[#This Row],[Set Guard]]&lt;&gt;"",TblProd[[#This Row],[Set Guard]],OFFSET(TblProd[[#This Row],[Guard]],-1,0))</f>
        <v>0</v>
      </c>
      <c r="BA75" s="145"/>
      <c r="BB75" s="151" t="n">
        <f aca="false">TblProd[[#This Row],[Hour]]</f>
        <v>72</v>
      </c>
      <c r="BC75" s="152" t="n">
        <f aca="false">-TblProd[[#This Row],[Bank Lumber]] / 2 + -TblProd[[#This Row],[Bank Gems]] * 2 + -TblProd[[#This Row],[Bank Ore]] / 2</f>
        <v>0</v>
      </c>
      <c r="BD75" s="152"/>
      <c r="BE75" s="152"/>
      <c r="BF75" s="152"/>
      <c r="BG75" s="153" t="n">
        <f aca="false">TblProd[[#This Row],[Time]]</f>
        <v>45432.7083333333</v>
      </c>
      <c r="BH7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69" t="n">
        <f aca="false">TblProd[[#This Row],[Platinum]]</f>
        <v>18546</v>
      </c>
      <c r="BJ75" s="69" t="n">
        <f aca="false">TblProd[[#This Row],[Food]]</f>
        <v>2816</v>
      </c>
      <c r="BK75" s="69" t="n">
        <f aca="false">TblProd[[#This Row],[Lumber]]</f>
        <v>13050</v>
      </c>
      <c r="BL75" s="69" t="n">
        <f aca="false">TblProd[[#This Row],[Mana]]</f>
        <v>8619.5</v>
      </c>
      <c r="BM75" s="69" t="n">
        <f aca="false">TblProd[[#This Row],[Ore]]</f>
        <v>0</v>
      </c>
    </row>
    <row r="76" s="31" customFormat="true" ht="12.75" hidden="false" customHeight="false" outlineLevel="0" collapsed="false">
      <c r="A76" s="154" t="s">
        <v>85</v>
      </c>
      <c r="B76" s="155" t="n">
        <f aca="false">TblImps[[#This Row],[Time]]</f>
        <v>45432.75</v>
      </c>
      <c r="C76" s="156"/>
      <c r="D76" s="157"/>
      <c r="E76" s="76" t="n">
        <f aca="false">TblConstr[[#This Row],[Land]]</f>
        <v>700</v>
      </c>
      <c r="F76" s="76" t="n">
        <f aca="false">TblPop[[#This Row],[Peasants]]</f>
        <v>9771</v>
      </c>
      <c r="G76" s="76" t="e">
        <f aca="false">TblMili[[#This Row],[Networth (2)]]</f>
        <v>#VALUE!</v>
      </c>
      <c r="H76" s="76" t="n">
        <f aca="false">OFFSET(TblProd[[#This Row],[Platinum]],-1,0)+OFFSET(TblProd[[#This Row],[Plat/hr]],-1,0) - TblProd[[#This Row],[Expenses Platinum]] + IF(TblProd[[#This Row],[Plat Bonus]],TblPop[[#This Row],[Peasants]]*4) + SUM(TblConstr[[#This Row],[Dest Hom]:[Dest Doc]])*TblConstr[[#This Row],[CPA Platinum -DB]]*tech_3_3_2*TblTech[[#This Row],[3-3]]</f>
        <v>5612</v>
      </c>
      <c r="I76" s="76" t="n">
        <f aca="false">OFFSET(TblProd[[#This Row],[Food]],-1,0)+OFFSET(TblProd[[#This Row],[Food/hr]],-1,0)+ROUNDUP((TblConstr[[#This Row],[Farms]]*80+TblConstr[[#This Row],[Docks]]*35)*(1+OFFSET(TblProd[[#This Row],[Bonus Food/hr]],-1,0)),0)</f>
        <v>2975</v>
      </c>
      <c r="J76" s="76" t="n">
        <f aca="false">OFFSET(TblProd[[#This Row],[Lumber]],-1,0)+OFFSET(TblProd[[#This Row],[Lumber/hr]],-1,0) - TblProd[[#This Row],[Expenses Lumber]] + SUM(TblConstr[[#This Row],[Dest Hom]:[Dest Doc]])*TblConstr[[#This Row],[CPA Lumber -DB]]*tech_3_3_2*TblTech[[#This Row],[3-3]]</f>
        <v>14045</v>
      </c>
      <c r="K76" s="76" t="n">
        <f aca="false">OFFSET(TblProd[[#This Row],[Mana]],-1,0)+OFFSET(TblProd[[#This Row],[Mana/hr]],-1,0)- TblProd[[#This Row],[Expenses Mana]]</f>
        <v>2172.5</v>
      </c>
      <c r="L76" s="76" t="n">
        <f aca="false">OFFSET(TblProd[[#This Row],[Ore]],-1,0)+OFFSET(TblProd[[#This Row],[Ore/hr]],-1,0) -TblProd[[#This Row],[Expenses Ore]]</f>
        <v>0</v>
      </c>
      <c r="M76" s="76" t="n">
        <f aca="false">OFFSET(TblProd[[#This Row],[Gems]],-1,0)+OFFSET(TblProd[[#This Row],[Gems/hr]],-1,0) - TblProd[[#This Row],[Expenses Gems]]</f>
        <v>0</v>
      </c>
      <c r="N76" s="76" t="n">
        <f aca="false">OFFSET(TblProd[[#This Row],[Boats]],-1,0)+OFFSET(TblProd[[#This Row],[Boats/hr]],-1,0)</f>
        <v>28.25</v>
      </c>
      <c r="O76" s="76" t="n">
        <f aca="false">OFFSET(TblProd[[#This Row],[Prestige]],-1,0)</f>
        <v>250</v>
      </c>
      <c r="P7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6" s="69" t="n">
        <f aca="false">MAX(3750,_xlfn.CEILING.MATH(TblProd[[#This Row],[Land]]*2.5+OFFSET(TblTech[[#This Row],[Sum of tech]],-1,0)*150))</f>
        <v>3750</v>
      </c>
      <c r="S76" s="76" t="n">
        <f aca="false">ROUNDDOWN(TblProd[[#This Row],[Raw Plat/hr]]*(1+TblProd[[#This Row],[Bonus Plat/hr]]),0)</f>
        <v>46564</v>
      </c>
      <c r="T76" s="76" t="n">
        <f aca="false">ROUND(TblProd[[#This Row],[Raw Food/hr]]*(1+TblProd[[#This Row],[Bonus Food/hr]])-TblProd[[#This Row],[Food decay]]-TblProd[[#This Row],[Food eaten]],0)</f>
        <v>157</v>
      </c>
      <c r="U76" s="76" t="n">
        <f aca="false">ROUND(TblProd[[#This Row],[Raw Lumber/hr]]*(1+TblProd[[#This Row],[Bonus Lumber/hr]])-TblProd[[#This Row],[Lumber rot]],0)</f>
        <v>985</v>
      </c>
      <c r="V76" s="76" t="n">
        <f aca="false">ROUND(TblProd[[#This Row],[Raw Mana/hr]]*(1+TblProd[[#This Row],[Bonus Mana/hr]])-TblProd[[#This Row],[Mana drain]],0)</f>
        <v>682</v>
      </c>
      <c r="W76" s="76" t="n">
        <f aca="false">ROUNDDOWN(TblProd[[#This Row],[Raw Ore/hr]]*(1+TblProd[[#This Row],[Bonux Ore/hr]]),0)</f>
        <v>0</v>
      </c>
      <c r="X76" s="76" t="n">
        <f aca="false">ROUNDDOWN(TblProd[[#This Row],[Raw Gems/hr]]*(1+TblProd[[#This Row],[Bonus Gems/hr]]),0)</f>
        <v>0</v>
      </c>
      <c r="Y76" s="158" t="n">
        <f aca="false">OFFSET(TblConstr[[#This Row],[Tot Doc]],1,0)*dock_boats_hr * (1 + tech_4_1*TblTech[[#This Row],[4-1]])</f>
        <v>1.2</v>
      </c>
      <c r="Z76" s="76"/>
      <c r="AA76" s="76" t="n">
        <f aca="false">TblPop[[#This Row],[Peasants]]*tax*TblPop[[#This Row],[Employment]] + (Construction!AZ77+Construction!BX77)*(alch_plat+(Magic!AM76&gt;0)*alchemist_flame_bonus)</f>
        <v>42331.7</v>
      </c>
      <c r="AB76" s="76" t="n">
        <f aca="false">TblConstr[[#This Row],[Tot Farm]]*farm_food + TblConstr[[#This Row],[Tot Doc]]*dock_food</f>
        <v>3280</v>
      </c>
      <c r="AC76" s="76" t="n">
        <f aca="false">TblConstr[[#This Row],[Tot Ly]]*ly_lumber + TblConstr[[#This Row],[Tot Hav]]*fh_lumber</f>
        <v>1250</v>
      </c>
      <c r="AD76" s="76" t="n">
        <f aca="false">OFFSET(TblConstr[[#This Row],[Tot Tow]],1,0)*(tower_mana + tech_4_5*TblTech[[#This Row],[4-5]]) + OFFSET(TblConstr[[#This Row],[Tot WG]],1,0)*wg_mana_prod</f>
        <v>725</v>
      </c>
      <c r="AE76" s="76" t="n">
        <f aca="false">OFFSET(TblConstr[[#This Row],[Tot OM]],1,0)*om_ore+IF(race="Dwarf",ROUNDDOWN(TblMili[[#This Row],[Unit 2]]*0.4,0),)</f>
        <v>0</v>
      </c>
      <c r="AF76" s="76" t="n">
        <f aca="false">OFFSET(TblConstr[[#This Row],[Tot DM]],1,0)*dm_gems</f>
        <v>0</v>
      </c>
      <c r="AH76" s="159" t="n">
        <f aca="false">MIN(race_platinum_bonus + IF(TblMagic[[#This Row],[Active Alch Frost]]&gt;0,alch_frost_bonus,IF(Magic!AD76&gt;0,midas_bonus)) + TblImps[[#This Row],[Science]] - TblProd[[#This Row],[Guard]]*(0.02 + tech_5_7*TblTech[[#This Row],[5-7]]) + tech_1_5*TblTech[[#This Row],[1-5]] + tech_4_4*TblTech[[#This Row],[4-4]], 0.5)</f>
        <v>0.1</v>
      </c>
      <c r="AI76" s="16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6" s="159" t="n">
        <f aca="false">race_lumber_bonus+ IF(TblMagic[[#This Row],[Active Gaia''s Blessing]]&gt;0,gaias_blessing_lumber)+ tech_1_3*TblTech[[#This Row],[1-3]] + tech_1_6*TblTech[[#This Row],[1-6]] + tech_3_3*TblTech[[#This Row],[3-3]]</f>
        <v>-0.1</v>
      </c>
      <c r="AK76" s="159" t="n">
        <f aca="false">race_mana_bonus+ 0 + TblImps[[#This Row],[Towers]] + tech_1_2*TblTech[[#This Row],[1-2]] + tech_3_4*TblTech[[#This Row],[3-4]]</f>
        <v>0</v>
      </c>
      <c r="AL76" s="159" t="n">
        <f aca="false">race_ore_bonus + IF(TblMagic[[#This Row],[Active Miner''s Sight]]&gt;0,miners_sight_bonus,IF(TblMagic[[#This Row],[Active Mining Strength]]&gt;0,mining_strength_bonus)) +  tech_1_6*TblTech[[#This Row],[1-6]]</f>
        <v>0</v>
      </c>
      <c r="AM76" s="159" t="n">
        <f aca="false">race_gem_bonus+ tech_3_2*TblTech[[#This Row],[3-2]] + tech_4_3*TblTech[[#This Row],[4-3]] + tech_6_2*TblTech[[#This Row],[6-2]]</f>
        <v>0.15</v>
      </c>
      <c r="AO76" s="76" t="n">
        <f aca="false">TblProd[[#This Row],[Food]]*food_decay * (1 + tech_2_1*TblTech[[#This Row],[2-1]] + tech_2_8*TblTech[[#This Row],[2-8]])</f>
        <v>29.75</v>
      </c>
      <c r="AP76" s="76" t="n">
        <f aca="false">(1+race_food_consumption)*TblPop[[#This Row],[Total]]*food_per_person*(1+tech_1_10*TblTech[[#This Row],[1-10]]+tech_7_5*TblTech[[#This Row],[7-5]])</f>
        <v>3175.25</v>
      </c>
      <c r="AQ76" s="76" t="n">
        <f aca="false">TblProd[[#This Row],[Lumber]]*lumber_rot * (1 + tech_2_1*TblTech[[#This Row],[2-1]] + tech_2_8*TblTech[[#This Row],[2-8]] + tech_5_2*TblTech[[#This Row],[5-2]])</f>
        <v>140.45</v>
      </c>
      <c r="AR76" s="76" t="n">
        <f aca="false">TblProd[[#This Row],[Mana]]*mana_drain * (1 + tech_2_1*TblTech[[#This Row],[2-1]] + tech_2_8*TblTech[[#This Row],[2-8]])</f>
        <v>43.45</v>
      </c>
      <c r="AS76" s="76"/>
      <c r="AT76" s="76" t="n">
        <f aca="false">TblExplore[[#This Row],[Platinum (2)]]+TblConstr[[#This Row],[Total Plat Cost]]+TblMili[[#This Row],[Plat Cost]]+TblRezone[[#This Row],[Platinum cost]]+TblImps[[#This Row],[P1]]-TblProd[[#This Row],[Bank Plat]]</f>
        <v>59792</v>
      </c>
      <c r="AU76" s="76" t="n">
        <f aca="false">TblConstr[[#This Row],[Total Lum Cost]]+TblImps[[#This Row],[L1]]-TblProd[[#This Row],[Bank Lumber]] + Military!$CL$25*TblMili[[#This Row],[Sec. rec. Cost]]</f>
        <v>0</v>
      </c>
      <c r="AV76" s="76" t="n">
        <f aca="false">TblMagic[[#This Row],[Mana cost]] + Military!$CL$26*TblMili[[#This Row],[Sec. rec. Cost]]</f>
        <v>7000</v>
      </c>
      <c r="AW76" s="76" t="n">
        <f aca="false">Military!$CL$24*TblMili[[#This Row],[Sec. rec. Cost]]+TblImps[[#This Row],[O1]]-TblProd[[#This Row],[Bank Ore]]</f>
        <v>0</v>
      </c>
      <c r="AX76" s="76" t="n">
        <f aca="false">TblImps[[#This Row],[G1]]-TblProd[[#This Row],[Bank Gems]]</f>
        <v>0</v>
      </c>
      <c r="AZ76" s="137" t="n">
        <f aca="false">IF(TblProd[[#This Row],[Set Guard]]&lt;&gt;"",TblProd[[#This Row],[Set Guard]],OFFSET(TblProd[[#This Row],[Guard]],-1,0))</f>
        <v>0</v>
      </c>
      <c r="BA76" s="156"/>
      <c r="BB76" s="31" t="str">
        <f aca="false">TblProd[[#This Row],[Hour]]</f>
        <v>OOP</v>
      </c>
      <c r="BC76" s="161" t="n">
        <f aca="false">-TblProd[[#This Row],[Bank Lumber]] / 2 + -TblProd[[#This Row],[Bank Gems]] * 2 + -TblProd[[#This Row],[Bank Ore]] / 2</f>
        <v>0</v>
      </c>
      <c r="BD76" s="161"/>
      <c r="BE76" s="161"/>
      <c r="BF76" s="161"/>
      <c r="BG76" s="162" t="n">
        <f aca="false">TblProd[[#This Row],[Time]]</f>
        <v>45432.75</v>
      </c>
      <c r="BH7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76" t="n">
        <f aca="false">TblProd[[#This Row],[Platinum]]</f>
        <v>5612</v>
      </c>
      <c r="BJ76" s="76" t="n">
        <f aca="false">TblProd[[#This Row],[Food]]</f>
        <v>2975</v>
      </c>
      <c r="BK76" s="76" t="n">
        <f aca="false">TblProd[[#This Row],[Lumber]]</f>
        <v>14045</v>
      </c>
      <c r="BL76" s="76" t="n">
        <f aca="false">TblProd[[#This Row],[Mana]]</f>
        <v>2172.5</v>
      </c>
      <c r="BM76" s="76" t="n">
        <f aca="false">TblProd[[#This Row],[Ore]]</f>
        <v>0</v>
      </c>
    </row>
    <row r="77" customFormat="false" ht="12.75" hidden="false" customHeight="false" outlineLevel="0" collapsed="false">
      <c r="A77" s="128" t="n">
        <v>2</v>
      </c>
      <c r="B77" s="144" t="n">
        <f aca="false">TblImps[[#This Row],[Time]]</f>
        <v>45432.7916666667</v>
      </c>
      <c r="C77" s="145"/>
      <c r="D77" s="146"/>
      <c r="E77" s="69" t="n">
        <f aca="false">TblConstr[[#This Row],[Land]]</f>
        <v>700</v>
      </c>
      <c r="F77" s="69" t="n">
        <f aca="false">TblPop[[#This Row],[Peasants]]</f>
        <v>9772</v>
      </c>
      <c r="G77" s="69" t="e">
        <f aca="false">TblMili[[#This Row],[Networth (2)]]</f>
        <v>#VALUE!</v>
      </c>
      <c r="H77" s="69" t="n">
        <f aca="false">OFFSET(TblProd[[#This Row],[Platinum]],-1,0)+OFFSET(TblProd[[#This Row],[Plat/hr]],-1,0) - TblProd[[#This Row],[Expenses Platinum]] + IF(TblProd[[#This Row],[Plat Bonus]],TblPop[[#This Row],[Peasants]]*4) + SUM(TblConstr[[#This Row],[Dest Hom]:[Dest Doc]])*TblConstr[[#This Row],[CPA Platinum -DB]]*tech_3_3_2*TblTech[[#This Row],[3-3]]</f>
        <v>13360</v>
      </c>
      <c r="I77" s="69" t="n">
        <f aca="false">OFFSET(TblProd[[#This Row],[Food]],-1,0)+OFFSET(TblProd[[#This Row],[Food/hr]],-1,0)+ROUNDUP((TblConstr[[#This Row],[Farms]]*80+TblConstr[[#This Row],[Docks]]*35)*(1+OFFSET(TblProd[[#This Row],[Bonus Food/hr]],-1,0)),0)</f>
        <v>3132</v>
      </c>
      <c r="J77" s="69" t="n">
        <f aca="false">OFFSET(TblProd[[#This Row],[Lumber]],-1,0)+OFFSET(TblProd[[#This Row],[Lumber/hr]],-1,0) - TblProd[[#This Row],[Expenses Lumber]] + SUM(TblConstr[[#This Row],[Dest Hom]:[Dest Doc]])*TblConstr[[#This Row],[CPA Lumber -DB]]*tech_3_3_2*TblTech[[#This Row],[3-3]]</f>
        <v>15030</v>
      </c>
      <c r="K77" s="69" t="n">
        <f aca="false">OFFSET(TblProd[[#This Row],[Mana]],-1,0)+OFFSET(TblProd[[#This Row],[Mana/hr]],-1,0)- TblProd[[#This Row],[Expenses Mana]]</f>
        <v>2854.5</v>
      </c>
      <c r="L77" s="69" t="n">
        <f aca="false">OFFSET(TblProd[[#This Row],[Ore]],-1,0)+OFFSET(TblProd[[#This Row],[Ore/hr]],-1,0) -TblProd[[#This Row],[Expenses Ore]]</f>
        <v>0</v>
      </c>
      <c r="M77" s="69" t="n">
        <f aca="false">OFFSET(TblProd[[#This Row],[Gems]],-1,0)+OFFSET(TblProd[[#This Row],[Gems/hr]],-1,0) - TblProd[[#This Row],[Expenses Gems]]</f>
        <v>0</v>
      </c>
      <c r="N77" s="69" t="n">
        <f aca="false">OFFSET(TblProd[[#This Row],[Boats]],-1,0)+OFFSET(TblProd[[#This Row],[Boats/hr]],-1,0)</f>
        <v>29.45</v>
      </c>
      <c r="O77" s="69" t="n">
        <f aca="false">OFFSET(TblProd[[#This Row],[Prestige]],-1,0)</f>
        <v>250</v>
      </c>
      <c r="P7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7" s="69" t="n">
        <f aca="false">MAX(3750,_xlfn.CEILING.MATH(TblProd[[#This Row],[Land]]*2.5+OFFSET(TblTech[[#This Row],[Sum of tech]],-1,0)*150))</f>
        <v>3750</v>
      </c>
      <c r="R77" s="132"/>
      <c r="S77" s="69" t="n">
        <f aca="false">ROUNDDOWN(TblProd[[#This Row],[Raw Plat/hr]]*(1+TblProd[[#This Row],[Bonus Plat/hr]]),0)</f>
        <v>46567</v>
      </c>
      <c r="T77" s="69" t="n">
        <f aca="false">ROUND(TblProd[[#This Row],[Raw Food/hr]]*(1+TblProd[[#This Row],[Bonus Food/hr]])-TblProd[[#This Row],[Food decay]]-TblProd[[#This Row],[Food eaten]],0)</f>
        <v>131</v>
      </c>
      <c r="U77" s="69" t="n">
        <f aca="false">ROUND(TblProd[[#This Row],[Raw Lumber/hr]]*(1+TblProd[[#This Row],[Bonus Lumber/hr]])-TblProd[[#This Row],[Lumber rot]],0)</f>
        <v>975</v>
      </c>
      <c r="V77" s="69" t="n">
        <f aca="false">ROUND(TblProd[[#This Row],[Raw Mana/hr]]*(1+TblProd[[#This Row],[Bonus Mana/hr]])-TblProd[[#This Row],[Mana drain]],0)</f>
        <v>668</v>
      </c>
      <c r="W77" s="69" t="n">
        <f aca="false">ROUNDDOWN(TblProd[[#This Row],[Raw Ore/hr]]*(1+TblProd[[#This Row],[Bonux Ore/hr]]),0)</f>
        <v>0</v>
      </c>
      <c r="X77" s="69" t="n">
        <f aca="false">ROUNDDOWN(TblProd[[#This Row],[Raw Gems/hr]]*(1+TblProd[[#This Row],[Bonus Gems/hr]]),0)</f>
        <v>0</v>
      </c>
      <c r="Y77" s="148" t="n">
        <f aca="false">OFFSET(TblConstr[[#This Row],[Tot Doc]],1,0)*dock_boats_hr * (1 + tech_4_1*TblTech[[#This Row],[4-1]])</f>
        <v>1.2</v>
      </c>
      <c r="Z77" s="146"/>
      <c r="AA77" s="69" t="n">
        <f aca="false">TblPop[[#This Row],[Peasants]]*tax*TblPop[[#This Row],[Employment]] + (Construction!AZ78+Construction!BX78)*(alch_plat+(Magic!AM77&gt;0)*alchemist_flame_bonus)</f>
        <v>42334.4</v>
      </c>
      <c r="AB77" s="69" t="n">
        <f aca="false">TblConstr[[#This Row],[Tot Farm]]*farm_food + TblConstr[[#This Row],[Tot Doc]]*dock_food</f>
        <v>3280</v>
      </c>
      <c r="AC77" s="69" t="n">
        <f aca="false">TblConstr[[#This Row],[Tot Ly]]*ly_lumber + TblConstr[[#This Row],[Tot Hav]]*fh_lumber</f>
        <v>1250</v>
      </c>
      <c r="AD77" s="69" t="n">
        <f aca="false">OFFSET(TblConstr[[#This Row],[Tot Tow]],1,0)*(tower_mana + tech_4_5*TblTech[[#This Row],[4-5]]) + OFFSET(TblConstr[[#This Row],[Tot WG]],1,0)*wg_mana_prod</f>
        <v>725</v>
      </c>
      <c r="AE77" s="69" t="n">
        <f aca="false">OFFSET(TblConstr[[#This Row],[Tot OM]],1,0)*om_ore+IF(race="Dwarf",ROUNDDOWN(TblMili[[#This Row],[Unit 2]]*0.4,0),)</f>
        <v>0</v>
      </c>
      <c r="AF77" s="69" t="n">
        <f aca="false">OFFSET(TblConstr[[#This Row],[Tot DM]],1,0)*dm_gems</f>
        <v>0</v>
      </c>
      <c r="AG77" s="132"/>
      <c r="AH77" s="149" t="n">
        <f aca="false">MIN(race_platinum_bonus + IF(TblMagic[[#This Row],[Active Alch Frost]]&gt;0,alch_frost_bonus,IF(Magic!AD77&gt;0,midas_bonus)) + TblImps[[#This Row],[Science]] - TblProd[[#This Row],[Guard]]*(0.02 + tech_5_7*TblTech[[#This Row],[5-7]]) + tech_1_5*TblTech[[#This Row],[1-5]] + tech_4_4*TblTech[[#This Row],[4-4]], 0.5)</f>
        <v>0.1</v>
      </c>
      <c r="AI7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7" s="149" t="n">
        <f aca="false">race_lumber_bonus+ IF(TblMagic[[#This Row],[Active Gaia''s Blessing]]&gt;0,gaias_blessing_lumber)+ tech_1_3*TblTech[[#This Row],[1-3]] + tech_1_6*TblTech[[#This Row],[1-6]] + tech_3_3*TblTech[[#This Row],[3-3]]</f>
        <v>-0.1</v>
      </c>
      <c r="AK77" s="149" t="n">
        <f aca="false">race_mana_bonus+ 0 + TblImps[[#This Row],[Towers]] + tech_1_2*TblTech[[#This Row],[1-2]] + tech_3_4*TblTech[[#This Row],[3-4]]</f>
        <v>0</v>
      </c>
      <c r="AL77" s="149" t="n">
        <f aca="false">race_ore_bonus + IF(TblMagic[[#This Row],[Active Miner''s Sight]]&gt;0,miners_sight_bonus,IF(TblMagic[[#This Row],[Active Mining Strength]]&gt;0,mining_strength_bonus)) +  tech_1_6*TblTech[[#This Row],[1-6]]</f>
        <v>0</v>
      </c>
      <c r="AM77" s="149" t="n">
        <f aca="false">race_gem_bonus+ tech_3_2*TblTech[[#This Row],[3-2]] + tech_4_3*TblTech[[#This Row],[4-3]] + tech_6_2*TblTech[[#This Row],[6-2]]</f>
        <v>0.15</v>
      </c>
      <c r="AN77" s="132"/>
      <c r="AO77" s="69" t="n">
        <f aca="false">TblProd[[#This Row],[Food]]*food_decay * (1 + tech_2_1*TblTech[[#This Row],[2-1]] + tech_2_8*TblTech[[#This Row],[2-8]])</f>
        <v>31.32</v>
      </c>
      <c r="AP77" s="69" t="n">
        <f aca="false">(1+race_food_consumption)*TblPop[[#This Row],[Total]]*food_per_person*(1+tech_1_10*TblTech[[#This Row],[1-10]]+tech_7_5*TblTech[[#This Row],[7-5]])</f>
        <v>3200</v>
      </c>
      <c r="AQ77" s="69" t="n">
        <f aca="false">TblProd[[#This Row],[Lumber]]*lumber_rot * (1 + tech_2_1*TblTech[[#This Row],[2-1]] + tech_2_8*TblTech[[#This Row],[2-8]] + tech_5_2*TblTech[[#This Row],[5-2]])</f>
        <v>150.3</v>
      </c>
      <c r="AR77" s="69" t="n">
        <f aca="false">TblProd[[#This Row],[Mana]]*mana_drain * (1 + tech_2_1*TblTech[[#This Row],[2-1]] + tech_2_8*TblTech[[#This Row],[2-8]])</f>
        <v>57.09</v>
      </c>
      <c r="AS77" s="146"/>
      <c r="AT77" s="69" t="n">
        <f aca="false">TblExplore[[#This Row],[Platinum (2)]]+TblConstr[[#This Row],[Total Plat Cost]]+TblMili[[#This Row],[Plat Cost]]+TblRezone[[#This Row],[Platinum cost]]+TblImps[[#This Row],[P1]]-TblProd[[#This Row],[Bank Plat]]</f>
        <v>38816</v>
      </c>
      <c r="AU77" s="69" t="n">
        <f aca="false">TblConstr[[#This Row],[Total Lum Cost]]+TblImps[[#This Row],[L1]]-TblProd[[#This Row],[Bank Lumber]] + Military!$CL$25*TblMili[[#This Row],[Sec. rec. Cost]]</f>
        <v>0</v>
      </c>
      <c r="AV77" s="69" t="n">
        <f aca="false">TblMagic[[#This Row],[Mana cost]] + Military!$CL$26*TblMili[[#This Row],[Sec. rec. Cost]]</f>
        <v>0</v>
      </c>
      <c r="AW77" s="69" t="n">
        <f aca="false">Military!$CL$24*TblMili[[#This Row],[Sec. rec. Cost]]+TblImps[[#This Row],[O1]]-TblProd[[#This Row],[Bank Ore]]</f>
        <v>0</v>
      </c>
      <c r="AX77" s="69" t="n">
        <f aca="false">TblImps[[#This Row],[G1]]-TblProd[[#This Row],[Bank Gems]]</f>
        <v>0</v>
      </c>
      <c r="AY77" s="132"/>
      <c r="AZ77" s="33" t="n">
        <f aca="false">IF(TblProd[[#This Row],[Set Guard]]&lt;&gt;"",TblProd[[#This Row],[Set Guard]],OFFSET(TblProd[[#This Row],[Guard]],-1,0))</f>
        <v>0</v>
      </c>
      <c r="BA77" s="145"/>
      <c r="BB77" s="151" t="n">
        <f aca="false">TblProd[[#This Row],[Hour]]</f>
        <v>2</v>
      </c>
      <c r="BC77" s="152" t="n">
        <f aca="false">-TblProd[[#This Row],[Bank Lumber]] / 2 + -TblProd[[#This Row],[Bank Gems]] * 2 + -TblProd[[#This Row],[Bank Ore]] / 2</f>
        <v>0</v>
      </c>
      <c r="BD77" s="152"/>
      <c r="BE77" s="152"/>
      <c r="BF77" s="152"/>
      <c r="BG77" s="153" t="n">
        <f aca="false">TblProd[[#This Row],[Time]]</f>
        <v>45432.7916666667</v>
      </c>
      <c r="BH7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69" t="n">
        <f aca="false">TblProd[[#This Row],[Platinum]]</f>
        <v>13360</v>
      </c>
      <c r="BJ77" s="69" t="n">
        <f aca="false">TblProd[[#This Row],[Food]]</f>
        <v>3132</v>
      </c>
      <c r="BK77" s="69" t="n">
        <f aca="false">TblProd[[#This Row],[Lumber]]</f>
        <v>15030</v>
      </c>
      <c r="BL77" s="69" t="n">
        <f aca="false">TblProd[[#This Row],[Mana]]</f>
        <v>2854.5</v>
      </c>
      <c r="BM77" s="69" t="n">
        <f aca="false">TblProd[[#This Row],[Ore]]</f>
        <v>0</v>
      </c>
    </row>
    <row r="78" customFormat="false" ht="12.75" hidden="false" customHeight="false" outlineLevel="0" collapsed="false">
      <c r="A78" s="128" t="n">
        <v>3</v>
      </c>
      <c r="B78" s="144" t="n">
        <f aca="false">TblImps[[#This Row],[Time]]</f>
        <v>45432.8333333333</v>
      </c>
      <c r="C78" s="145"/>
      <c r="D78" s="146"/>
      <c r="E78" s="69" t="n">
        <f aca="false">TblConstr[[#This Row],[Land]]</f>
        <v>700</v>
      </c>
      <c r="F78" s="69" t="n">
        <f aca="false">TblPop[[#This Row],[Peasants]]</f>
        <v>9773</v>
      </c>
      <c r="G78" s="69" t="e">
        <f aca="false">TblMili[[#This Row],[Networth (2)]]</f>
        <v>#VALUE!</v>
      </c>
      <c r="H78" s="69" t="n">
        <f aca="false">OFFSET(TblProd[[#This Row],[Platinum]],-1,0)+OFFSET(TblProd[[#This Row],[Plat/hr]],-1,0) - TblProd[[#This Row],[Expenses Platinum]] + IF(TblProd[[#This Row],[Plat Bonus]],TblPop[[#This Row],[Peasants]]*4) + SUM(TblConstr[[#This Row],[Dest Hom]:[Dest Doc]])*TblConstr[[#This Row],[CPA Platinum -DB]]*tech_3_3_2*TblTech[[#This Row],[3-3]]</f>
        <v>41111</v>
      </c>
      <c r="I78" s="69" t="n">
        <f aca="false">OFFSET(TblProd[[#This Row],[Food]],-1,0)+OFFSET(TblProd[[#This Row],[Food/hr]],-1,0)+ROUNDUP((TblConstr[[#This Row],[Farms]]*80+TblConstr[[#This Row],[Docks]]*35)*(1+OFFSET(TblProd[[#This Row],[Bonus Food/hr]],-1,0)),0)</f>
        <v>3263</v>
      </c>
      <c r="J78" s="69" t="n">
        <f aca="false">OFFSET(TblProd[[#This Row],[Lumber]],-1,0)+OFFSET(TblProd[[#This Row],[Lumber/hr]],-1,0) - TblProd[[#This Row],[Expenses Lumber]] + SUM(TblConstr[[#This Row],[Dest Hom]:[Dest Doc]])*TblConstr[[#This Row],[CPA Lumber -DB]]*tech_3_3_2*TblTech[[#This Row],[3-3]]</f>
        <v>16005</v>
      </c>
      <c r="K78" s="69" t="n">
        <f aca="false">OFFSET(TblProd[[#This Row],[Mana]],-1,0)+OFFSET(TblProd[[#This Row],[Mana/hr]],-1,0)- TblProd[[#This Row],[Expenses Mana]]</f>
        <v>3522.5</v>
      </c>
      <c r="L78" s="69" t="n">
        <f aca="false">OFFSET(TblProd[[#This Row],[Ore]],-1,0)+OFFSET(TblProd[[#This Row],[Ore/hr]],-1,0) -TblProd[[#This Row],[Expenses Ore]]</f>
        <v>0</v>
      </c>
      <c r="M78" s="69" t="n">
        <f aca="false">OFFSET(TblProd[[#This Row],[Gems]],-1,0)+OFFSET(TblProd[[#This Row],[Gems/hr]],-1,0) - TblProd[[#This Row],[Expenses Gems]]</f>
        <v>0</v>
      </c>
      <c r="N78" s="69" t="n">
        <f aca="false">OFFSET(TblProd[[#This Row],[Boats]],-1,0)+OFFSET(TblProd[[#This Row],[Boats/hr]],-1,0)</f>
        <v>30.65</v>
      </c>
      <c r="O78" s="69" t="n">
        <f aca="false">OFFSET(TblProd[[#This Row],[Prestige]],-1,0)</f>
        <v>250</v>
      </c>
      <c r="P7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8" s="69" t="n">
        <f aca="false">MAX(3750,_xlfn.CEILING.MATH(TblProd[[#This Row],[Land]]*2.5+OFFSET(TblTech[[#This Row],[Sum of tech]],-1,0)*150))</f>
        <v>3750</v>
      </c>
      <c r="R78" s="132"/>
      <c r="S78" s="69" t="n">
        <f aca="false">ROUNDDOWN(TblProd[[#This Row],[Raw Plat/hr]]*(1+TblProd[[#This Row],[Bonus Plat/hr]]),0)</f>
        <v>46570</v>
      </c>
      <c r="T78" s="69" t="n">
        <f aca="false">ROUND(TblProd[[#This Row],[Raw Food/hr]]*(1+TblProd[[#This Row],[Bonus Food/hr]])-TblProd[[#This Row],[Food decay]]-TblProd[[#This Row],[Food eaten]],0)</f>
        <v>105</v>
      </c>
      <c r="U78" s="69" t="n">
        <f aca="false">ROUND(TblProd[[#This Row],[Raw Lumber/hr]]*(1+TblProd[[#This Row],[Bonus Lumber/hr]])-TblProd[[#This Row],[Lumber rot]],0)</f>
        <v>965</v>
      </c>
      <c r="V78" s="69" t="n">
        <f aca="false">ROUND(TblProd[[#This Row],[Raw Mana/hr]]*(1+TblProd[[#This Row],[Bonus Mana/hr]])-TblProd[[#This Row],[Mana drain]],0)</f>
        <v>655</v>
      </c>
      <c r="W78" s="69" t="n">
        <f aca="false">ROUNDDOWN(TblProd[[#This Row],[Raw Ore/hr]]*(1+TblProd[[#This Row],[Bonux Ore/hr]]),0)</f>
        <v>0</v>
      </c>
      <c r="X78" s="69" t="n">
        <f aca="false">ROUNDDOWN(TblProd[[#This Row],[Raw Gems/hr]]*(1+TblProd[[#This Row],[Bonus Gems/hr]]),0)</f>
        <v>0</v>
      </c>
      <c r="Y78" s="148" t="n">
        <f aca="false">OFFSET(TblConstr[[#This Row],[Tot Doc]],1,0)*dock_boats_hr * (1 + tech_4_1*TblTech[[#This Row],[4-1]])</f>
        <v>1.2</v>
      </c>
      <c r="Z78" s="146"/>
      <c r="AA78" s="69" t="n">
        <f aca="false">TblPop[[#This Row],[Peasants]]*tax*TblPop[[#This Row],[Employment]] + (Construction!AZ79+Construction!BX79)*(alch_plat+(Magic!AM78&gt;0)*alchemist_flame_bonus)</f>
        <v>42337.1</v>
      </c>
      <c r="AB78" s="69" t="n">
        <f aca="false">TblConstr[[#This Row],[Tot Farm]]*farm_food + TblConstr[[#This Row],[Tot Doc]]*dock_food</f>
        <v>3280</v>
      </c>
      <c r="AC78" s="69" t="n">
        <f aca="false">TblConstr[[#This Row],[Tot Ly]]*ly_lumber + TblConstr[[#This Row],[Tot Hav]]*fh_lumber</f>
        <v>1250</v>
      </c>
      <c r="AD78" s="69" t="n">
        <f aca="false">OFFSET(TblConstr[[#This Row],[Tot Tow]],1,0)*(tower_mana + tech_4_5*TblTech[[#This Row],[4-5]]) + OFFSET(TblConstr[[#This Row],[Tot WG]],1,0)*wg_mana_prod</f>
        <v>725</v>
      </c>
      <c r="AE78" s="69" t="n">
        <f aca="false">OFFSET(TblConstr[[#This Row],[Tot OM]],1,0)*om_ore+IF(race="Dwarf",ROUNDDOWN(TblMili[[#This Row],[Unit 2]]*0.4,0),)</f>
        <v>0</v>
      </c>
      <c r="AF78" s="69" t="n">
        <f aca="false">OFFSET(TblConstr[[#This Row],[Tot DM]],1,0)*dm_gems</f>
        <v>0</v>
      </c>
      <c r="AG78" s="132"/>
      <c r="AH78" s="149" t="n">
        <f aca="false">MIN(race_platinum_bonus + IF(TblMagic[[#This Row],[Active Alch Frost]]&gt;0,alch_frost_bonus,IF(Magic!AD78&gt;0,midas_bonus)) + TblImps[[#This Row],[Science]] - TblProd[[#This Row],[Guard]]*(0.02 + tech_5_7*TblTech[[#This Row],[5-7]]) + tech_1_5*TblTech[[#This Row],[1-5]] + tech_4_4*TblTech[[#This Row],[4-4]], 0.5)</f>
        <v>0.1</v>
      </c>
      <c r="AI7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8" s="149" t="n">
        <f aca="false">race_lumber_bonus+ IF(TblMagic[[#This Row],[Active Gaia''s Blessing]]&gt;0,gaias_blessing_lumber)+ tech_1_3*TblTech[[#This Row],[1-3]] + tech_1_6*TblTech[[#This Row],[1-6]] + tech_3_3*TblTech[[#This Row],[3-3]]</f>
        <v>-0.1</v>
      </c>
      <c r="AK78" s="149" t="n">
        <f aca="false">race_mana_bonus+ 0 + TblImps[[#This Row],[Towers]] + tech_1_2*TblTech[[#This Row],[1-2]] + tech_3_4*TblTech[[#This Row],[3-4]]</f>
        <v>0</v>
      </c>
      <c r="AL78" s="149" t="n">
        <f aca="false">race_ore_bonus + IF(TblMagic[[#This Row],[Active Miner''s Sight]]&gt;0,miners_sight_bonus,IF(TblMagic[[#This Row],[Active Mining Strength]]&gt;0,mining_strength_bonus)) +  tech_1_6*TblTech[[#This Row],[1-6]]</f>
        <v>0</v>
      </c>
      <c r="AM78" s="149" t="n">
        <f aca="false">race_gem_bonus+ tech_3_2*TblTech[[#This Row],[3-2]] + tech_4_3*TblTech[[#This Row],[4-3]] + tech_6_2*TblTech[[#This Row],[6-2]]</f>
        <v>0.15</v>
      </c>
      <c r="AN78" s="132"/>
      <c r="AO78" s="69" t="n">
        <f aca="false">TblProd[[#This Row],[Food]]*food_decay * (1 + tech_2_1*TblTech[[#This Row],[2-1]] + tech_2_8*TblTech[[#This Row],[2-8]])</f>
        <v>32.63</v>
      </c>
      <c r="AP78" s="69" t="n">
        <f aca="false">(1+race_food_consumption)*TblPop[[#This Row],[Total]]*food_per_person*(1+tech_1_10*TblTech[[#This Row],[1-10]]+tech_7_5*TblTech[[#This Row],[7-5]])</f>
        <v>3224.75</v>
      </c>
      <c r="AQ78" s="69" t="n">
        <f aca="false">TblProd[[#This Row],[Lumber]]*lumber_rot * (1 + tech_2_1*TblTech[[#This Row],[2-1]] + tech_2_8*TblTech[[#This Row],[2-8]] + tech_5_2*TblTech[[#This Row],[5-2]])</f>
        <v>160.05</v>
      </c>
      <c r="AR78" s="69" t="n">
        <f aca="false">TblProd[[#This Row],[Mana]]*mana_drain * (1 + tech_2_1*TblTech[[#This Row],[2-1]] + tech_2_8*TblTech[[#This Row],[2-8]])</f>
        <v>70.45</v>
      </c>
      <c r="AS78" s="146"/>
      <c r="AT78" s="69" t="n">
        <f aca="false">TblExplore[[#This Row],[Platinum (2)]]+TblConstr[[#This Row],[Total Plat Cost]]+TblMili[[#This Row],[Plat Cost]]+TblRezone[[#This Row],[Platinum cost]]+TblImps[[#This Row],[P1]]-TblProd[[#This Row],[Bank Plat]]</f>
        <v>18816</v>
      </c>
      <c r="AU78" s="69" t="n">
        <f aca="false">TblConstr[[#This Row],[Total Lum Cost]]+TblImps[[#This Row],[L1]]-TblProd[[#This Row],[Bank Lumber]] + Military!$CL$25*TblMili[[#This Row],[Sec. rec. Cost]]</f>
        <v>0</v>
      </c>
      <c r="AV78" s="69" t="n">
        <f aca="false">TblMagic[[#This Row],[Mana cost]] + Military!$CL$26*TblMili[[#This Row],[Sec. rec. Cost]]</f>
        <v>0</v>
      </c>
      <c r="AW78" s="69" t="n">
        <f aca="false">Military!$CL$24*TblMili[[#This Row],[Sec. rec. Cost]]+TblImps[[#This Row],[O1]]-TblProd[[#This Row],[Bank Ore]]</f>
        <v>0</v>
      </c>
      <c r="AX78" s="69" t="n">
        <f aca="false">TblImps[[#This Row],[G1]]-TblProd[[#This Row],[Bank Gems]]</f>
        <v>0</v>
      </c>
      <c r="AY78" s="132"/>
      <c r="AZ78" s="33" t="n">
        <f aca="false">IF(TblProd[[#This Row],[Set Guard]]&lt;&gt;"",TblProd[[#This Row],[Set Guard]],OFFSET(TblProd[[#This Row],[Guard]],-1,0))</f>
        <v>0</v>
      </c>
      <c r="BA78" s="145"/>
      <c r="BB78" s="151" t="n">
        <f aca="false">TblProd[[#This Row],[Hour]]</f>
        <v>3</v>
      </c>
      <c r="BC78" s="152" t="n">
        <f aca="false">-TblProd[[#This Row],[Bank Lumber]] / 2 + -TblProd[[#This Row],[Bank Gems]] * 2 + -TblProd[[#This Row],[Bank Ore]] / 2</f>
        <v>0</v>
      </c>
      <c r="BD78" s="152"/>
      <c r="BE78" s="152"/>
      <c r="BF78" s="152"/>
      <c r="BG78" s="153" t="n">
        <f aca="false">TblProd[[#This Row],[Time]]</f>
        <v>45432.8333333333</v>
      </c>
      <c r="BH7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69" t="n">
        <f aca="false">TblProd[[#This Row],[Platinum]]</f>
        <v>41111</v>
      </c>
      <c r="BJ78" s="69" t="n">
        <f aca="false">TblProd[[#This Row],[Food]]</f>
        <v>3263</v>
      </c>
      <c r="BK78" s="69" t="n">
        <f aca="false">TblProd[[#This Row],[Lumber]]</f>
        <v>16005</v>
      </c>
      <c r="BL78" s="69" t="n">
        <f aca="false">TblProd[[#This Row],[Mana]]</f>
        <v>3522.5</v>
      </c>
      <c r="BM78" s="69" t="n">
        <f aca="false">TblProd[[#This Row],[Ore]]</f>
        <v>0</v>
      </c>
    </row>
    <row r="79" customFormat="false" ht="12.75" hidden="false" customHeight="false" outlineLevel="0" collapsed="false">
      <c r="A79" s="128" t="n">
        <v>4</v>
      </c>
      <c r="B79" s="144" t="n">
        <f aca="false">TblImps[[#This Row],[Time]]</f>
        <v>45432.875</v>
      </c>
      <c r="C79" s="145"/>
      <c r="D79" s="146"/>
      <c r="E79" s="69" t="n">
        <f aca="false">TblConstr[[#This Row],[Land]]</f>
        <v>700</v>
      </c>
      <c r="F79" s="69" t="n">
        <f aca="false">TblPop[[#This Row],[Peasants]]</f>
        <v>9715</v>
      </c>
      <c r="G79" s="69" t="e">
        <f aca="false">TblMili[[#This Row],[Networth (2)]]</f>
        <v>#VALUE!</v>
      </c>
      <c r="H79" s="69" t="n">
        <f aca="false">OFFSET(TblProd[[#This Row],[Platinum]],-1,0)+OFFSET(TblProd[[#This Row],[Plat/hr]],-1,0) - TblProd[[#This Row],[Expenses Platinum]] + IF(TblProd[[#This Row],[Plat Bonus]],TblPop[[#This Row],[Peasants]]*4) + SUM(TblConstr[[#This Row],[Dest Hom]:[Dest Doc]])*TblConstr[[#This Row],[CPA Platinum -DB]]*tech_3_3_2*TblTech[[#This Row],[3-3]]</f>
        <v>68865</v>
      </c>
      <c r="I79" s="69" t="n">
        <f aca="false">OFFSET(TblProd[[#This Row],[Food]],-1,0)+OFFSET(TblProd[[#This Row],[Food/hr]],-1,0)+ROUNDUP((TblConstr[[#This Row],[Farms]]*80+TblConstr[[#This Row],[Docks]]*35)*(1+OFFSET(TblProd[[#This Row],[Bonus Food/hr]],-1,0)),0)</f>
        <v>3368</v>
      </c>
      <c r="J79" s="69" t="n">
        <f aca="false">OFFSET(TblProd[[#This Row],[Lumber]],-1,0)+OFFSET(TblProd[[#This Row],[Lumber/hr]],-1,0) - TblProd[[#This Row],[Expenses Lumber]] + SUM(TblConstr[[#This Row],[Dest Hom]:[Dest Doc]])*TblConstr[[#This Row],[CPA Lumber -DB]]*tech_3_3_2*TblTech[[#This Row],[3-3]]</f>
        <v>16970</v>
      </c>
      <c r="K79" s="69" t="n">
        <f aca="false">OFFSET(TblProd[[#This Row],[Mana]],-1,0)+OFFSET(TblProd[[#This Row],[Mana/hr]],-1,0)- TblProd[[#This Row],[Expenses Mana]]</f>
        <v>4177.5</v>
      </c>
      <c r="L79" s="69" t="n">
        <f aca="false">OFFSET(TblProd[[#This Row],[Ore]],-1,0)+OFFSET(TblProd[[#This Row],[Ore/hr]],-1,0) -TblProd[[#This Row],[Expenses Ore]]</f>
        <v>0</v>
      </c>
      <c r="M79" s="69" t="n">
        <f aca="false">OFFSET(TblProd[[#This Row],[Gems]],-1,0)+OFFSET(TblProd[[#This Row],[Gems/hr]],-1,0) - TblProd[[#This Row],[Expenses Gems]]</f>
        <v>0</v>
      </c>
      <c r="N79" s="69" t="n">
        <f aca="false">OFFSET(TblProd[[#This Row],[Boats]],-1,0)+OFFSET(TblProd[[#This Row],[Boats/hr]],-1,0)</f>
        <v>31.85</v>
      </c>
      <c r="O79" s="69" t="n">
        <f aca="false">OFFSET(TblProd[[#This Row],[Prestige]],-1,0)</f>
        <v>250</v>
      </c>
      <c r="P7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9" s="69" t="n">
        <f aca="false">MAX(3750,_xlfn.CEILING.MATH(TblProd[[#This Row],[Land]]*2.5+OFFSET(TblTech[[#This Row],[Sum of tech]],-1,0)*150))</f>
        <v>3750</v>
      </c>
      <c r="R79" s="132"/>
      <c r="S79" s="69" t="n">
        <f aca="false">ROUNDDOWN(TblProd[[#This Row],[Raw Plat/hr]]*(1+TblProd[[#This Row],[Bonus Plat/hr]]),0)</f>
        <v>46398</v>
      </c>
      <c r="T79" s="69" t="n">
        <f aca="false">ROUND(TblProd[[#This Row],[Raw Food/hr]]*(1+TblProd[[#This Row],[Bonus Food/hr]])-TblProd[[#This Row],[Food decay]]-TblProd[[#This Row],[Food eaten]],0)</f>
        <v>94</v>
      </c>
      <c r="U79" s="69" t="n">
        <f aca="false">ROUND(TblProd[[#This Row],[Raw Lumber/hr]]*(1+TblProd[[#This Row],[Bonus Lumber/hr]])-TblProd[[#This Row],[Lumber rot]],0)</f>
        <v>955</v>
      </c>
      <c r="V79" s="69" t="n">
        <f aca="false">ROUND(TblProd[[#This Row],[Raw Mana/hr]]*(1+TblProd[[#This Row],[Bonus Mana/hr]])-TblProd[[#This Row],[Mana drain]],0)</f>
        <v>641</v>
      </c>
      <c r="W79" s="69" t="n">
        <f aca="false">ROUNDDOWN(TblProd[[#This Row],[Raw Ore/hr]]*(1+TblProd[[#This Row],[Bonux Ore/hr]]),0)</f>
        <v>0</v>
      </c>
      <c r="X79" s="69" t="n">
        <f aca="false">ROUNDDOWN(TblProd[[#This Row],[Raw Gems/hr]]*(1+TblProd[[#This Row],[Bonus Gems/hr]]),0)</f>
        <v>0</v>
      </c>
      <c r="Y79" s="148" t="n">
        <f aca="false">OFFSET(TblConstr[[#This Row],[Tot Doc]],1,0)*dock_boats_hr * (1 + tech_4_1*TblTech[[#This Row],[4-1]])</f>
        <v>1.2</v>
      </c>
      <c r="Z79" s="146"/>
      <c r="AA79" s="69" t="n">
        <f aca="false">TblPop[[#This Row],[Peasants]]*tax*TblPop[[#This Row],[Employment]] + (Construction!AZ80+Construction!BX80)*(alch_plat+(Magic!AM79&gt;0)*alchemist_flame_bonus)</f>
        <v>42180.5</v>
      </c>
      <c r="AB79" s="69" t="n">
        <f aca="false">TblConstr[[#This Row],[Tot Farm]]*farm_food + TblConstr[[#This Row],[Tot Doc]]*dock_food</f>
        <v>3280</v>
      </c>
      <c r="AC79" s="69" t="n">
        <f aca="false">TblConstr[[#This Row],[Tot Ly]]*ly_lumber + TblConstr[[#This Row],[Tot Hav]]*fh_lumber</f>
        <v>1250</v>
      </c>
      <c r="AD79" s="69" t="n">
        <f aca="false">OFFSET(TblConstr[[#This Row],[Tot Tow]],1,0)*(tower_mana + tech_4_5*TblTech[[#This Row],[4-5]]) + OFFSET(TblConstr[[#This Row],[Tot WG]],1,0)*wg_mana_prod</f>
        <v>725</v>
      </c>
      <c r="AE79" s="69" t="n">
        <f aca="false">OFFSET(TblConstr[[#This Row],[Tot OM]],1,0)*om_ore+IF(race="Dwarf",ROUNDDOWN(TblMili[[#This Row],[Unit 2]]*0.4,0),)</f>
        <v>0</v>
      </c>
      <c r="AF79" s="69" t="n">
        <f aca="false">OFFSET(TblConstr[[#This Row],[Tot DM]],1,0)*dm_gems</f>
        <v>0</v>
      </c>
      <c r="AG79" s="132"/>
      <c r="AH79" s="149" t="n">
        <f aca="false">MIN(race_platinum_bonus + IF(TblMagic[[#This Row],[Active Alch Frost]]&gt;0,alch_frost_bonus,IF(Magic!AD79&gt;0,midas_bonus)) + TblImps[[#This Row],[Science]] - TblProd[[#This Row],[Guard]]*(0.02 + tech_5_7*TblTech[[#This Row],[5-7]]) + tech_1_5*TblTech[[#This Row],[1-5]] + tech_4_4*TblTech[[#This Row],[4-4]], 0.5)</f>
        <v>0.1</v>
      </c>
      <c r="AI7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9" s="149" t="n">
        <f aca="false">race_lumber_bonus+ IF(TblMagic[[#This Row],[Active Gaia''s Blessing]]&gt;0,gaias_blessing_lumber)+ tech_1_3*TblTech[[#This Row],[1-3]] + tech_1_6*TblTech[[#This Row],[1-6]] + tech_3_3*TblTech[[#This Row],[3-3]]</f>
        <v>-0.1</v>
      </c>
      <c r="AK79" s="149" t="n">
        <f aca="false">race_mana_bonus+ 0 + TblImps[[#This Row],[Towers]] + tech_1_2*TblTech[[#This Row],[1-2]] + tech_3_4*TblTech[[#This Row],[3-4]]</f>
        <v>0</v>
      </c>
      <c r="AL79" s="149" t="n">
        <f aca="false">race_ore_bonus + IF(TblMagic[[#This Row],[Active Miner''s Sight]]&gt;0,miners_sight_bonus,IF(TblMagic[[#This Row],[Active Mining Strength]]&gt;0,mining_strength_bonus)) +  tech_1_6*TblTech[[#This Row],[1-6]]</f>
        <v>0</v>
      </c>
      <c r="AM79" s="149" t="n">
        <f aca="false">race_gem_bonus+ tech_3_2*TblTech[[#This Row],[3-2]] + tech_4_3*TblTech[[#This Row],[4-3]] + tech_6_2*TblTech[[#This Row],[6-2]]</f>
        <v>0.15</v>
      </c>
      <c r="AN79" s="132"/>
      <c r="AO79" s="69" t="n">
        <f aca="false">TblProd[[#This Row],[Food]]*food_decay * (1 + tech_2_1*TblTech[[#This Row],[2-1]] + tech_2_8*TblTech[[#This Row],[2-8]])</f>
        <v>33.68</v>
      </c>
      <c r="AP79" s="69" t="n">
        <f aca="false">(1+race_food_consumption)*TblPop[[#This Row],[Total]]*food_per_person*(1+tech_1_10*TblTech[[#This Row],[1-10]]+tech_7_5*TblTech[[#This Row],[7-5]])</f>
        <v>3234.75</v>
      </c>
      <c r="AQ79" s="69" t="n">
        <f aca="false">TblProd[[#This Row],[Lumber]]*lumber_rot * (1 + tech_2_1*TblTech[[#This Row],[2-1]] + tech_2_8*TblTech[[#This Row],[2-8]] + tech_5_2*TblTech[[#This Row],[5-2]])</f>
        <v>169.7</v>
      </c>
      <c r="AR79" s="69" t="n">
        <f aca="false">TblProd[[#This Row],[Mana]]*mana_drain * (1 + tech_2_1*TblTech[[#This Row],[2-1]] + tech_2_8*TblTech[[#This Row],[2-8]])</f>
        <v>83.55</v>
      </c>
      <c r="AS79" s="146"/>
      <c r="AT79" s="69" t="n">
        <f aca="false">TblExplore[[#This Row],[Platinum (2)]]+TblConstr[[#This Row],[Total Plat Cost]]+TblMili[[#This Row],[Plat Cost]]+TblRezone[[#This Row],[Platinum cost]]+TblImps[[#This Row],[P1]]-TblProd[[#This Row],[Bank Plat]]</f>
        <v>18816</v>
      </c>
      <c r="AU79" s="69" t="n">
        <f aca="false">TblConstr[[#This Row],[Total Lum Cost]]+TblImps[[#This Row],[L1]]-TblProd[[#This Row],[Bank Lumber]] + Military!$CL$25*TblMili[[#This Row],[Sec. rec. Cost]]</f>
        <v>0</v>
      </c>
      <c r="AV79" s="69" t="n">
        <f aca="false">TblMagic[[#This Row],[Mana cost]] + Military!$CL$26*TblMili[[#This Row],[Sec. rec. Cost]]</f>
        <v>0</v>
      </c>
      <c r="AW79" s="69" t="n">
        <f aca="false">Military!$CL$24*TblMili[[#This Row],[Sec. rec. Cost]]+TblImps[[#This Row],[O1]]-TblProd[[#This Row],[Bank Ore]]</f>
        <v>0</v>
      </c>
      <c r="AX79" s="69" t="n">
        <f aca="false">TblImps[[#This Row],[G1]]-TblProd[[#This Row],[Bank Gems]]</f>
        <v>0</v>
      </c>
      <c r="AY79" s="132"/>
      <c r="AZ79" s="33" t="n">
        <f aca="false">IF(TblProd[[#This Row],[Set Guard]]&lt;&gt;"",TblProd[[#This Row],[Set Guard]],OFFSET(TblProd[[#This Row],[Guard]],-1,0))</f>
        <v>0</v>
      </c>
      <c r="BA79" s="145"/>
      <c r="BB79" s="151" t="n">
        <f aca="false">TblProd[[#This Row],[Hour]]</f>
        <v>4</v>
      </c>
      <c r="BC79" s="152" t="n">
        <f aca="false">-TblProd[[#This Row],[Bank Lumber]] / 2 + -TblProd[[#This Row],[Bank Gems]] * 2 + -TblProd[[#This Row],[Bank Ore]] / 2</f>
        <v>0</v>
      </c>
      <c r="BD79" s="152"/>
      <c r="BE79" s="152"/>
      <c r="BF79" s="152"/>
      <c r="BG79" s="153" t="n">
        <f aca="false">TblProd[[#This Row],[Time]]</f>
        <v>45432.875</v>
      </c>
      <c r="BH7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69" t="n">
        <f aca="false">TblProd[[#This Row],[Platinum]]</f>
        <v>68865</v>
      </c>
      <c r="BJ79" s="69" t="n">
        <f aca="false">TblProd[[#This Row],[Food]]</f>
        <v>3368</v>
      </c>
      <c r="BK79" s="69" t="n">
        <f aca="false">TblProd[[#This Row],[Lumber]]</f>
        <v>16970</v>
      </c>
      <c r="BL79" s="69" t="n">
        <f aca="false">TblProd[[#This Row],[Mana]]</f>
        <v>4177.5</v>
      </c>
      <c r="BM79" s="69" t="n">
        <f aca="false">TblProd[[#This Row],[Ore]]</f>
        <v>0</v>
      </c>
    </row>
    <row r="80" customFormat="false" ht="12.75" hidden="false" customHeight="false" outlineLevel="0" collapsed="false">
      <c r="A80" s="128" t="n">
        <v>5</v>
      </c>
      <c r="B80" s="144" t="n">
        <f aca="false">TblImps[[#This Row],[Time]]</f>
        <v>45432.9166666667</v>
      </c>
      <c r="C80" s="145" t="n">
        <v>1</v>
      </c>
      <c r="D80" s="146"/>
      <c r="E80" s="69" t="n">
        <f aca="false">TblConstr[[#This Row],[Land]]</f>
        <v>700</v>
      </c>
      <c r="F80" s="69" t="n">
        <f aca="false">TblPop[[#This Row],[Peasants]]</f>
        <v>9618</v>
      </c>
      <c r="G80" s="69" t="e">
        <f aca="false">TblMili[[#This Row],[Networth (2)]]</f>
        <v>#VALUE!</v>
      </c>
      <c r="H80" s="69" t="n">
        <f aca="false">OFFSET(TblProd[[#This Row],[Platinum]],-1,0)+OFFSET(TblProd[[#This Row],[Plat/hr]],-1,0) - TblProd[[#This Row],[Expenses Platinum]] + IF(TblProd[[#This Row],[Plat Bonus]],TblPop[[#This Row],[Peasants]]*4) + SUM(TblConstr[[#This Row],[Dest Hom]:[Dest Doc]])*TblConstr[[#This Row],[CPA Platinum -DB]]*tech_3_3_2*TblTech[[#This Row],[3-3]]</f>
        <v>153735</v>
      </c>
      <c r="I80" s="69" t="n">
        <f aca="false">OFFSET(TblProd[[#This Row],[Food]],-1,0)+OFFSET(TblProd[[#This Row],[Food/hr]],-1,0)+ROUNDUP((TblConstr[[#This Row],[Farms]]*80+TblConstr[[#This Row],[Docks]]*35)*(1+OFFSET(TblProd[[#This Row],[Bonus Food/hr]],-1,0)),0)</f>
        <v>3462</v>
      </c>
      <c r="J80" s="69" t="n">
        <f aca="false">OFFSET(TblProd[[#This Row],[Lumber]],-1,0)+OFFSET(TblProd[[#This Row],[Lumber/hr]],-1,0) - TblProd[[#This Row],[Expenses Lumber]] + SUM(TblConstr[[#This Row],[Dest Hom]:[Dest Doc]])*TblConstr[[#This Row],[CPA Lumber -DB]]*tech_3_3_2*TblTech[[#This Row],[3-3]]</f>
        <v>17925</v>
      </c>
      <c r="K80" s="69" t="n">
        <f aca="false">OFFSET(TblProd[[#This Row],[Mana]],-1,0)+OFFSET(TblProd[[#This Row],[Mana/hr]],-1,0)- TblProd[[#This Row],[Expenses Mana]]</f>
        <v>4818.5</v>
      </c>
      <c r="L80" s="69" t="n">
        <f aca="false">OFFSET(TblProd[[#This Row],[Ore]],-1,0)+OFFSET(TblProd[[#This Row],[Ore/hr]],-1,0) -TblProd[[#This Row],[Expenses Ore]]</f>
        <v>0</v>
      </c>
      <c r="M80" s="69" t="n">
        <f aca="false">OFFSET(TblProd[[#This Row],[Gems]],-1,0)+OFFSET(TblProd[[#This Row],[Gems/hr]],-1,0) - TblProd[[#This Row],[Expenses Gems]]</f>
        <v>0</v>
      </c>
      <c r="N80" s="69" t="n">
        <f aca="false">OFFSET(TblProd[[#This Row],[Boats]],-1,0)+OFFSET(TblProd[[#This Row],[Boats/hr]],-1,0)</f>
        <v>33.05</v>
      </c>
      <c r="O80" s="69" t="n">
        <f aca="false">OFFSET(TblProd[[#This Row],[Prestige]],-1,0)</f>
        <v>250</v>
      </c>
      <c r="P8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0" s="69" t="n">
        <f aca="false">MAX(3750,_xlfn.CEILING.MATH(TblProd[[#This Row],[Land]]*2.5+OFFSET(TblTech[[#This Row],[Sum of tech]],-1,0)*150))</f>
        <v>3750</v>
      </c>
      <c r="R80" s="132"/>
      <c r="S80" s="69" t="n">
        <f aca="false">ROUNDDOWN(TblProd[[#This Row],[Raw Plat/hr]]*(1+TblProd[[#This Row],[Bonus Plat/hr]]),0)</f>
        <v>46110</v>
      </c>
      <c r="T80" s="69" t="n">
        <f aca="false">ROUND(TblProd[[#This Row],[Raw Food/hr]]*(1+TblProd[[#This Row],[Bonus Food/hr]])-TblProd[[#This Row],[Food decay]]-TblProd[[#This Row],[Food eaten]],0)</f>
        <v>93</v>
      </c>
      <c r="U80" s="69" t="n">
        <f aca="false">ROUND(TblProd[[#This Row],[Raw Lumber/hr]]*(1+TblProd[[#This Row],[Bonus Lumber/hr]])-TblProd[[#This Row],[Lumber rot]],0)</f>
        <v>946</v>
      </c>
      <c r="V80" s="69" t="n">
        <f aca="false">ROUND(TblProd[[#This Row],[Raw Mana/hr]]*(1+TblProd[[#This Row],[Bonus Mana/hr]])-TblProd[[#This Row],[Mana drain]],0)</f>
        <v>629</v>
      </c>
      <c r="W80" s="69" t="n">
        <f aca="false">ROUNDDOWN(TblProd[[#This Row],[Raw Ore/hr]]*(1+TblProd[[#This Row],[Bonux Ore/hr]]),0)</f>
        <v>0</v>
      </c>
      <c r="X80" s="69" t="n">
        <f aca="false">ROUNDDOWN(TblProd[[#This Row],[Raw Gems/hr]]*(1+TblProd[[#This Row],[Bonus Gems/hr]]),0)</f>
        <v>0</v>
      </c>
      <c r="Y80" s="148" t="n">
        <f aca="false">OFFSET(TblConstr[[#This Row],[Tot Doc]],1,0)*dock_boats_hr * (1 + tech_4_1*TblTech[[#This Row],[4-1]])</f>
        <v>1.2</v>
      </c>
      <c r="Z80" s="146"/>
      <c r="AA80" s="69" t="n">
        <f aca="false">TblPop[[#This Row],[Peasants]]*tax*TblPop[[#This Row],[Employment]] + (Construction!AZ81+Construction!BX81)*(alch_plat+(Magic!AM80&gt;0)*alchemist_flame_bonus)</f>
        <v>41918.6</v>
      </c>
      <c r="AB80" s="69" t="n">
        <f aca="false">TblConstr[[#This Row],[Tot Farm]]*farm_food + TblConstr[[#This Row],[Tot Doc]]*dock_food</f>
        <v>3280</v>
      </c>
      <c r="AC80" s="69" t="n">
        <f aca="false">TblConstr[[#This Row],[Tot Ly]]*ly_lumber + TblConstr[[#This Row],[Tot Hav]]*fh_lumber</f>
        <v>1250</v>
      </c>
      <c r="AD80" s="69" t="n">
        <f aca="false">OFFSET(TblConstr[[#This Row],[Tot Tow]],1,0)*(tower_mana + tech_4_5*TblTech[[#This Row],[4-5]]) + OFFSET(TblConstr[[#This Row],[Tot WG]],1,0)*wg_mana_prod</f>
        <v>725</v>
      </c>
      <c r="AE80" s="69" t="n">
        <f aca="false">OFFSET(TblConstr[[#This Row],[Tot OM]],1,0)*om_ore+IF(race="Dwarf",ROUNDDOWN(TblMili[[#This Row],[Unit 2]]*0.4,0),)</f>
        <v>0</v>
      </c>
      <c r="AF80" s="69" t="n">
        <f aca="false">OFFSET(TblConstr[[#This Row],[Tot DM]],1,0)*dm_gems</f>
        <v>0</v>
      </c>
      <c r="AG80" s="132"/>
      <c r="AH80" s="149" t="n">
        <f aca="false">MIN(race_platinum_bonus + IF(TblMagic[[#This Row],[Active Alch Frost]]&gt;0,alch_frost_bonus,IF(Magic!AD80&gt;0,midas_bonus)) + TblImps[[#This Row],[Science]] - TblProd[[#This Row],[Guard]]*(0.02 + tech_5_7*TblTech[[#This Row],[5-7]]) + tech_1_5*TblTech[[#This Row],[1-5]] + tech_4_4*TblTech[[#This Row],[4-4]], 0.5)</f>
        <v>0.1</v>
      </c>
      <c r="AI8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0" s="149" t="n">
        <f aca="false">race_lumber_bonus+ IF(TblMagic[[#This Row],[Active Gaia''s Blessing]]&gt;0,gaias_blessing_lumber)+ tech_1_3*TblTech[[#This Row],[1-3]] + tech_1_6*TblTech[[#This Row],[1-6]] + tech_3_3*TblTech[[#This Row],[3-3]]</f>
        <v>-0.1</v>
      </c>
      <c r="AK80" s="149" t="n">
        <f aca="false">race_mana_bonus+ 0 + TblImps[[#This Row],[Towers]] + tech_1_2*TblTech[[#This Row],[1-2]] + tech_3_4*TblTech[[#This Row],[3-4]]</f>
        <v>0</v>
      </c>
      <c r="AL80" s="149" t="n">
        <f aca="false">race_ore_bonus + IF(TblMagic[[#This Row],[Active Miner''s Sight]]&gt;0,miners_sight_bonus,IF(TblMagic[[#This Row],[Active Mining Strength]]&gt;0,mining_strength_bonus)) +  tech_1_6*TblTech[[#This Row],[1-6]]</f>
        <v>0</v>
      </c>
      <c r="AM80" s="149" t="n">
        <f aca="false">race_gem_bonus+ tech_3_2*TblTech[[#This Row],[3-2]] + tech_4_3*TblTech[[#This Row],[4-3]] + tech_6_2*TblTech[[#This Row],[6-2]]</f>
        <v>0.15</v>
      </c>
      <c r="AN80" s="132"/>
      <c r="AO80" s="69" t="n">
        <f aca="false">TblProd[[#This Row],[Food]]*food_decay * (1 + tech_2_1*TblTech[[#This Row],[2-1]] + tech_2_8*TblTech[[#This Row],[2-8]])</f>
        <v>34.62</v>
      </c>
      <c r="AP80" s="69" t="n">
        <f aca="false">(1+race_food_consumption)*TblPop[[#This Row],[Total]]*food_per_person*(1+tech_1_10*TblTech[[#This Row],[1-10]]+tech_7_5*TblTech[[#This Row],[7-5]])</f>
        <v>3234.75</v>
      </c>
      <c r="AQ80" s="69" t="n">
        <f aca="false">TblProd[[#This Row],[Lumber]]*lumber_rot * (1 + tech_2_1*TblTech[[#This Row],[2-1]] + tech_2_8*TblTech[[#This Row],[2-8]] + tech_5_2*TblTech[[#This Row],[5-2]])</f>
        <v>179.25</v>
      </c>
      <c r="AR80" s="69" t="n">
        <f aca="false">TblProd[[#This Row],[Mana]]*mana_drain * (1 + tech_2_1*TblTech[[#This Row],[2-1]] + tech_2_8*TblTech[[#This Row],[2-8]])</f>
        <v>96.37</v>
      </c>
      <c r="AS80" s="146"/>
      <c r="AT80" s="69" t="n">
        <f aca="false">TblExplore[[#This Row],[Platinum (2)]]+TblConstr[[#This Row],[Total Plat Cost]]+TblMili[[#This Row],[Plat Cost]]+TblRezone[[#This Row],[Platinum cost]]+TblImps[[#This Row],[P1]]-TblProd[[#This Row],[Bank Plat]]</f>
        <v>0</v>
      </c>
      <c r="AU80" s="69" t="n">
        <f aca="false">TblConstr[[#This Row],[Total Lum Cost]]+TblImps[[#This Row],[L1]]-TblProd[[#This Row],[Bank Lumber]] + Military!$CL$25*TblMili[[#This Row],[Sec. rec. Cost]]</f>
        <v>0</v>
      </c>
      <c r="AV80" s="69" t="n">
        <f aca="false">TblMagic[[#This Row],[Mana cost]] + Military!$CL$26*TblMili[[#This Row],[Sec. rec. Cost]]</f>
        <v>0</v>
      </c>
      <c r="AW80" s="69" t="n">
        <f aca="false">Military!$CL$24*TblMili[[#This Row],[Sec. rec. Cost]]+TblImps[[#This Row],[O1]]-TblProd[[#This Row],[Bank Ore]]</f>
        <v>0</v>
      </c>
      <c r="AX80" s="69" t="n">
        <f aca="false">TblImps[[#This Row],[G1]]-TblProd[[#This Row],[Bank Gems]]</f>
        <v>0</v>
      </c>
      <c r="AY80" s="132"/>
      <c r="AZ80" s="33" t="n">
        <f aca="false">IF(TblProd[[#This Row],[Set Guard]]&lt;&gt;"",TblProd[[#This Row],[Set Guard]],OFFSET(TblProd[[#This Row],[Guard]],-1,0))</f>
        <v>0</v>
      </c>
      <c r="BA80" s="145"/>
      <c r="BB80" s="151" t="n">
        <f aca="false">TblProd[[#This Row],[Hour]]</f>
        <v>5</v>
      </c>
      <c r="BC80" s="152" t="n">
        <f aca="false">-TblProd[[#This Row],[Bank Lumber]] / 2 + -TblProd[[#This Row],[Bank Gems]] * 2 + -TblProd[[#This Row],[Bank Ore]] / 2</f>
        <v>0</v>
      </c>
      <c r="BD80" s="152"/>
      <c r="BE80" s="152"/>
      <c r="BF80" s="152"/>
      <c r="BG80" s="153" t="n">
        <f aca="false">TblProd[[#This Row],[Time]]</f>
        <v>45432.9166666667</v>
      </c>
      <c r="BH8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69" t="n">
        <f aca="false">TblProd[[#This Row],[Platinum]]</f>
        <v>153735</v>
      </c>
      <c r="BJ80" s="69" t="n">
        <f aca="false">TblProd[[#This Row],[Food]]</f>
        <v>3462</v>
      </c>
      <c r="BK80" s="69" t="n">
        <f aca="false">TblProd[[#This Row],[Lumber]]</f>
        <v>17925</v>
      </c>
      <c r="BL80" s="69" t="n">
        <f aca="false">TblProd[[#This Row],[Mana]]</f>
        <v>4818.5</v>
      </c>
      <c r="BM80" s="69" t="n">
        <f aca="false">TblProd[[#This Row],[Ore]]</f>
        <v>0</v>
      </c>
    </row>
    <row r="81" customFormat="false" ht="12.75" hidden="false" customHeight="false" outlineLevel="0" collapsed="false">
      <c r="A81" s="128" t="n">
        <v>6</v>
      </c>
      <c r="B81" s="144" t="n">
        <f aca="false">TblImps[[#This Row],[Time]]</f>
        <v>45432.9583333333</v>
      </c>
      <c r="C81" s="145"/>
      <c r="D81" s="146"/>
      <c r="E81" s="69" t="n">
        <f aca="false">TblConstr[[#This Row],[Land]]</f>
        <v>700</v>
      </c>
      <c r="F81" s="69" t="n">
        <f aca="false">TblPop[[#This Row],[Peasants]]</f>
        <v>9522</v>
      </c>
      <c r="G81" s="69" t="e">
        <f aca="false">TblMili[[#This Row],[Networth (2)]]</f>
        <v>#VALUE!</v>
      </c>
      <c r="H81" s="69" t="n">
        <f aca="false">OFFSET(TblProd[[#This Row],[Platinum]],-1,0)+OFFSET(TblProd[[#This Row],[Plat/hr]],-1,0) - TblProd[[#This Row],[Expenses Platinum]] + IF(TblProd[[#This Row],[Plat Bonus]],TblPop[[#This Row],[Peasants]]*4) + SUM(TblConstr[[#This Row],[Dest Hom]:[Dest Doc]])*TblConstr[[#This Row],[CPA Platinum -DB]]*tech_3_3_2*TblTech[[#This Row],[3-3]]</f>
        <v>199845</v>
      </c>
      <c r="I81" s="69" t="n">
        <f aca="false">OFFSET(TblProd[[#This Row],[Food]],-1,0)+OFFSET(TblProd[[#This Row],[Food/hr]],-1,0)+ROUNDUP((TblConstr[[#This Row],[Farms]]*80+TblConstr[[#This Row],[Docks]]*35)*(1+OFFSET(TblProd[[#This Row],[Bonus Food/hr]],-1,0)),0)</f>
        <v>3555</v>
      </c>
      <c r="J81" s="69" t="n">
        <f aca="false">OFFSET(TblProd[[#This Row],[Lumber]],-1,0)+OFFSET(TblProd[[#This Row],[Lumber/hr]],-1,0) - TblProd[[#This Row],[Expenses Lumber]] + SUM(TblConstr[[#This Row],[Dest Hom]:[Dest Doc]])*TblConstr[[#This Row],[CPA Lumber -DB]]*tech_3_3_2*TblTech[[#This Row],[3-3]]</f>
        <v>18871</v>
      </c>
      <c r="K81" s="69" t="n">
        <f aca="false">OFFSET(TblProd[[#This Row],[Mana]],-1,0)+OFFSET(TblProd[[#This Row],[Mana/hr]],-1,0)- TblProd[[#This Row],[Expenses Mana]]</f>
        <v>5447.5</v>
      </c>
      <c r="L81" s="69" t="n">
        <f aca="false">OFFSET(TblProd[[#This Row],[Ore]],-1,0)+OFFSET(TblProd[[#This Row],[Ore/hr]],-1,0) -TblProd[[#This Row],[Expenses Ore]]</f>
        <v>0</v>
      </c>
      <c r="M81" s="69" t="n">
        <f aca="false">OFFSET(TblProd[[#This Row],[Gems]],-1,0)+OFFSET(TblProd[[#This Row],[Gems/hr]],-1,0) - TblProd[[#This Row],[Expenses Gems]]</f>
        <v>0</v>
      </c>
      <c r="N81" s="69" t="n">
        <f aca="false">OFFSET(TblProd[[#This Row],[Boats]],-1,0)+OFFSET(TblProd[[#This Row],[Boats/hr]],-1,0)</f>
        <v>34.25</v>
      </c>
      <c r="O81" s="69" t="n">
        <f aca="false">OFFSET(TblProd[[#This Row],[Prestige]],-1,0)</f>
        <v>250</v>
      </c>
      <c r="P8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1" s="69" t="n">
        <f aca="false">MAX(3750,_xlfn.CEILING.MATH(TblProd[[#This Row],[Land]]*2.5+OFFSET(TblTech[[#This Row],[Sum of tech]],-1,0)*150))</f>
        <v>3750</v>
      </c>
      <c r="R81" s="132"/>
      <c r="S81" s="69" t="n">
        <f aca="false">ROUNDDOWN(TblProd[[#This Row],[Raw Plat/hr]]*(1+TblProd[[#This Row],[Bonus Plat/hr]]),0)</f>
        <v>45825</v>
      </c>
      <c r="T81" s="69" t="n">
        <f aca="false">ROUND(TblProd[[#This Row],[Raw Food/hr]]*(1+TblProd[[#This Row],[Bonus Food/hr]])-TblProd[[#This Row],[Food decay]]-TblProd[[#This Row],[Food eaten]],0)</f>
        <v>92</v>
      </c>
      <c r="U81" s="69" t="n">
        <f aca="false">ROUND(TblProd[[#This Row],[Raw Lumber/hr]]*(1+TblProd[[#This Row],[Bonus Lumber/hr]])-TblProd[[#This Row],[Lumber rot]],0)</f>
        <v>936</v>
      </c>
      <c r="V81" s="69" t="n">
        <f aca="false">ROUND(TblProd[[#This Row],[Raw Mana/hr]]*(1+TblProd[[#This Row],[Bonus Mana/hr]])-TblProd[[#This Row],[Mana drain]],0)</f>
        <v>616</v>
      </c>
      <c r="W81" s="69" t="n">
        <f aca="false">ROUNDDOWN(TblProd[[#This Row],[Raw Ore/hr]]*(1+TblProd[[#This Row],[Bonux Ore/hr]]),0)</f>
        <v>0</v>
      </c>
      <c r="X81" s="69" t="n">
        <f aca="false">ROUNDDOWN(TblProd[[#This Row],[Raw Gems/hr]]*(1+TblProd[[#This Row],[Bonus Gems/hr]]),0)</f>
        <v>0</v>
      </c>
      <c r="Y81" s="148" t="n">
        <f aca="false">OFFSET(TblConstr[[#This Row],[Tot Doc]],1,0)*dock_boats_hr * (1 + tech_4_1*TblTech[[#This Row],[4-1]])</f>
        <v>1.2</v>
      </c>
      <c r="Z81" s="146"/>
      <c r="AA81" s="69" t="n">
        <f aca="false">TblPop[[#This Row],[Peasants]]*tax*TblPop[[#This Row],[Employment]] + (Construction!AZ82+Construction!BX82)*(alch_plat+(Magic!AM81&gt;0)*alchemist_flame_bonus)</f>
        <v>41659.4</v>
      </c>
      <c r="AB81" s="69" t="n">
        <f aca="false">TblConstr[[#This Row],[Tot Farm]]*farm_food + TblConstr[[#This Row],[Tot Doc]]*dock_food</f>
        <v>3280</v>
      </c>
      <c r="AC81" s="69" t="n">
        <f aca="false">TblConstr[[#This Row],[Tot Ly]]*ly_lumber + TblConstr[[#This Row],[Tot Hav]]*fh_lumber</f>
        <v>1250</v>
      </c>
      <c r="AD81" s="69" t="n">
        <f aca="false">OFFSET(TblConstr[[#This Row],[Tot Tow]],1,0)*(tower_mana + tech_4_5*TblTech[[#This Row],[4-5]]) + OFFSET(TblConstr[[#This Row],[Tot WG]],1,0)*wg_mana_prod</f>
        <v>725</v>
      </c>
      <c r="AE81" s="69" t="n">
        <f aca="false">OFFSET(TblConstr[[#This Row],[Tot OM]],1,0)*om_ore+IF(race="Dwarf",ROUNDDOWN(TblMili[[#This Row],[Unit 2]]*0.4,0),)</f>
        <v>0</v>
      </c>
      <c r="AF81" s="69" t="n">
        <f aca="false">OFFSET(TblConstr[[#This Row],[Tot DM]],1,0)*dm_gems</f>
        <v>0</v>
      </c>
      <c r="AG81" s="132"/>
      <c r="AH81" s="149" t="n">
        <f aca="false">MIN(race_platinum_bonus + IF(TblMagic[[#This Row],[Active Alch Frost]]&gt;0,alch_frost_bonus,IF(Magic!AD81&gt;0,midas_bonus)) + TblImps[[#This Row],[Science]] - TblProd[[#This Row],[Guard]]*(0.02 + tech_5_7*TblTech[[#This Row],[5-7]]) + tech_1_5*TblTech[[#This Row],[1-5]] + tech_4_4*TblTech[[#This Row],[4-4]], 0.5)</f>
        <v>0.1</v>
      </c>
      <c r="AI8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1" s="149" t="n">
        <f aca="false">race_lumber_bonus+ IF(TblMagic[[#This Row],[Active Gaia''s Blessing]]&gt;0,gaias_blessing_lumber)+ tech_1_3*TblTech[[#This Row],[1-3]] + tech_1_6*TblTech[[#This Row],[1-6]] + tech_3_3*TblTech[[#This Row],[3-3]]</f>
        <v>-0.1</v>
      </c>
      <c r="AK81" s="149" t="n">
        <f aca="false">race_mana_bonus+ 0 + TblImps[[#This Row],[Towers]] + tech_1_2*TblTech[[#This Row],[1-2]] + tech_3_4*TblTech[[#This Row],[3-4]]</f>
        <v>0</v>
      </c>
      <c r="AL81" s="149" t="n">
        <f aca="false">race_ore_bonus + IF(TblMagic[[#This Row],[Active Miner''s Sight]]&gt;0,miners_sight_bonus,IF(TblMagic[[#This Row],[Active Mining Strength]]&gt;0,mining_strength_bonus)) +  tech_1_6*TblTech[[#This Row],[1-6]]</f>
        <v>0</v>
      </c>
      <c r="AM81" s="149" t="n">
        <f aca="false">race_gem_bonus+ tech_3_2*TblTech[[#This Row],[3-2]] + tech_4_3*TblTech[[#This Row],[4-3]] + tech_6_2*TblTech[[#This Row],[6-2]]</f>
        <v>0.15</v>
      </c>
      <c r="AN81" s="132"/>
      <c r="AO81" s="69" t="n">
        <f aca="false">TblProd[[#This Row],[Food]]*food_decay * (1 + tech_2_1*TblTech[[#This Row],[2-1]] + tech_2_8*TblTech[[#This Row],[2-8]])</f>
        <v>35.55</v>
      </c>
      <c r="AP81" s="69" t="n">
        <f aca="false">(1+race_food_consumption)*TblPop[[#This Row],[Total]]*food_per_person*(1+tech_1_10*TblTech[[#This Row],[1-10]]+tech_7_5*TblTech[[#This Row],[7-5]])</f>
        <v>3234.75</v>
      </c>
      <c r="AQ81" s="69" t="n">
        <f aca="false">TblProd[[#This Row],[Lumber]]*lumber_rot * (1 + tech_2_1*TblTech[[#This Row],[2-1]] + tech_2_8*TblTech[[#This Row],[2-8]] + tech_5_2*TblTech[[#This Row],[5-2]])</f>
        <v>188.71</v>
      </c>
      <c r="AR81" s="69" t="n">
        <f aca="false">TblProd[[#This Row],[Mana]]*mana_drain * (1 + tech_2_1*TblTech[[#This Row],[2-1]] + tech_2_8*TblTech[[#This Row],[2-8]])</f>
        <v>108.95</v>
      </c>
      <c r="AS81" s="146"/>
      <c r="AT81" s="69" t="n">
        <f aca="false">TblExplore[[#This Row],[Platinum (2)]]+TblConstr[[#This Row],[Total Plat Cost]]+TblMili[[#This Row],[Plat Cost]]+TblRezone[[#This Row],[Platinum cost]]+TblImps[[#This Row],[P1]]-TblProd[[#This Row],[Bank Plat]]</f>
        <v>0</v>
      </c>
      <c r="AU81" s="69" t="n">
        <f aca="false">TblConstr[[#This Row],[Total Lum Cost]]+TblImps[[#This Row],[L1]]-TblProd[[#This Row],[Bank Lumber]] + Military!$CL$25*TblMili[[#This Row],[Sec. rec. Cost]]</f>
        <v>0</v>
      </c>
      <c r="AV81" s="69" t="n">
        <f aca="false">TblMagic[[#This Row],[Mana cost]] + Military!$CL$26*TblMili[[#This Row],[Sec. rec. Cost]]</f>
        <v>0</v>
      </c>
      <c r="AW81" s="69" t="n">
        <f aca="false">Military!$CL$24*TblMili[[#This Row],[Sec. rec. Cost]]+TblImps[[#This Row],[O1]]-TblProd[[#This Row],[Bank Ore]]</f>
        <v>0</v>
      </c>
      <c r="AX81" s="69" t="n">
        <f aca="false">TblImps[[#This Row],[G1]]-TblProd[[#This Row],[Bank Gems]]</f>
        <v>0</v>
      </c>
      <c r="AY81" s="132"/>
      <c r="AZ81" s="33" t="n">
        <f aca="false">IF(TblProd[[#This Row],[Set Guard]]&lt;&gt;"",TblProd[[#This Row],[Set Guard]],OFFSET(TblProd[[#This Row],[Guard]],-1,0))</f>
        <v>0</v>
      </c>
      <c r="BA81" s="145"/>
      <c r="BB81" s="151" t="n">
        <f aca="false">TblProd[[#This Row],[Hour]]</f>
        <v>6</v>
      </c>
      <c r="BC81" s="152" t="n">
        <f aca="false">-TblProd[[#This Row],[Bank Lumber]] / 2 + -TblProd[[#This Row],[Bank Gems]] * 2 + -TblProd[[#This Row],[Bank Ore]] / 2</f>
        <v>0</v>
      </c>
      <c r="BD81" s="152"/>
      <c r="BE81" s="152"/>
      <c r="BF81" s="152"/>
      <c r="BG81" s="153" t="n">
        <f aca="false">TblProd[[#This Row],[Time]]</f>
        <v>45432.9583333333</v>
      </c>
      <c r="BH8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69" t="n">
        <f aca="false">TblProd[[#This Row],[Platinum]]</f>
        <v>199845</v>
      </c>
      <c r="BJ81" s="69" t="n">
        <f aca="false">TblProd[[#This Row],[Food]]</f>
        <v>3555</v>
      </c>
      <c r="BK81" s="69" t="n">
        <f aca="false">TblProd[[#This Row],[Lumber]]</f>
        <v>18871</v>
      </c>
      <c r="BL81" s="69" t="n">
        <f aca="false">TblProd[[#This Row],[Mana]]</f>
        <v>5447.5</v>
      </c>
      <c r="BM81" s="69" t="n">
        <f aca="false">TblProd[[#This Row],[Ore]]</f>
        <v>0</v>
      </c>
    </row>
    <row r="82" customFormat="false" ht="12.75" hidden="false" customHeight="false" outlineLevel="0" collapsed="false">
      <c r="A82" s="128" t="n">
        <v>7</v>
      </c>
      <c r="B82" s="144" t="n">
        <f aca="false">TblImps[[#This Row],[Time]]</f>
        <v>45433</v>
      </c>
      <c r="C82" s="145"/>
      <c r="D82" s="146"/>
      <c r="E82" s="69" t="n">
        <f aca="false">TblConstr[[#This Row],[Land]]</f>
        <v>700</v>
      </c>
      <c r="F82" s="69" t="n">
        <f aca="false">TblPop[[#This Row],[Peasants]]</f>
        <v>9427</v>
      </c>
      <c r="G82" s="69" t="e">
        <f aca="false">TblMili[[#This Row],[Networth (2)]]</f>
        <v>#VALUE!</v>
      </c>
      <c r="H82" s="69" t="n">
        <f aca="false">OFFSET(TblProd[[#This Row],[Platinum]],-1,0)+OFFSET(TblProd[[#This Row],[Plat/hr]],-1,0) - TblProd[[#This Row],[Expenses Platinum]] + IF(TblProd[[#This Row],[Plat Bonus]],TblPop[[#This Row],[Peasants]]*4) + SUM(TblConstr[[#This Row],[Dest Hom]:[Dest Doc]])*TblConstr[[#This Row],[CPA Platinum -DB]]*tech_3_3_2*TblTech[[#This Row],[3-3]]</f>
        <v>245670</v>
      </c>
      <c r="I82" s="69" t="n">
        <f aca="false">OFFSET(TblProd[[#This Row],[Food]],-1,0)+OFFSET(TblProd[[#This Row],[Food/hr]],-1,0)+ROUNDUP((TblConstr[[#This Row],[Farms]]*80+TblConstr[[#This Row],[Docks]]*35)*(1+OFFSET(TblProd[[#This Row],[Bonus Food/hr]],-1,0)),0)</f>
        <v>3647</v>
      </c>
      <c r="J82" s="69" t="n">
        <f aca="false">OFFSET(TblProd[[#This Row],[Lumber]],-1,0)+OFFSET(TblProd[[#This Row],[Lumber/hr]],-1,0) - TblProd[[#This Row],[Expenses Lumber]] + SUM(TblConstr[[#This Row],[Dest Hom]:[Dest Doc]])*TblConstr[[#This Row],[CPA Lumber -DB]]*tech_3_3_2*TblTech[[#This Row],[3-3]]</f>
        <v>19807</v>
      </c>
      <c r="K82" s="69" t="n">
        <f aca="false">OFFSET(TblProd[[#This Row],[Mana]],-1,0)+OFFSET(TblProd[[#This Row],[Mana/hr]],-1,0)- TblProd[[#This Row],[Expenses Mana]]</f>
        <v>6063.5</v>
      </c>
      <c r="L82" s="69" t="n">
        <f aca="false">OFFSET(TblProd[[#This Row],[Ore]],-1,0)+OFFSET(TblProd[[#This Row],[Ore/hr]],-1,0) -TblProd[[#This Row],[Expenses Ore]]</f>
        <v>0</v>
      </c>
      <c r="M82" s="69" t="n">
        <f aca="false">OFFSET(TblProd[[#This Row],[Gems]],-1,0)+OFFSET(TblProd[[#This Row],[Gems/hr]],-1,0) - TblProd[[#This Row],[Expenses Gems]]</f>
        <v>0</v>
      </c>
      <c r="N82" s="69" t="n">
        <f aca="false">OFFSET(TblProd[[#This Row],[Boats]],-1,0)+OFFSET(TblProd[[#This Row],[Boats/hr]],-1,0)</f>
        <v>35.45</v>
      </c>
      <c r="O82" s="69" t="n">
        <f aca="false">OFFSET(TblProd[[#This Row],[Prestige]],-1,0)</f>
        <v>250</v>
      </c>
      <c r="P8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2" s="69" t="n">
        <f aca="false">MAX(3750,_xlfn.CEILING.MATH(TblProd[[#This Row],[Land]]*2.5+OFFSET(TblTech[[#This Row],[Sum of tech]],-1,0)*150))</f>
        <v>3750</v>
      </c>
      <c r="R82" s="132"/>
      <c r="S82" s="69" t="n">
        <f aca="false">ROUNDDOWN(TblProd[[#This Row],[Raw Plat/hr]]*(1+TblProd[[#This Row],[Bonus Plat/hr]]),0)</f>
        <v>45543</v>
      </c>
      <c r="T82" s="69" t="n">
        <f aca="false">ROUND(TblProd[[#This Row],[Raw Food/hr]]*(1+TblProd[[#This Row],[Bonus Food/hr]])-TblProd[[#This Row],[Food decay]]-TblProd[[#This Row],[Food eaten]],0)</f>
        <v>91</v>
      </c>
      <c r="U82" s="69" t="n">
        <f aca="false">ROUND(TblProd[[#This Row],[Raw Lumber/hr]]*(1+TblProd[[#This Row],[Bonus Lumber/hr]])-TblProd[[#This Row],[Lumber rot]],0)</f>
        <v>927</v>
      </c>
      <c r="V82" s="69" t="n">
        <f aca="false">ROUND(TblProd[[#This Row],[Raw Mana/hr]]*(1+TblProd[[#This Row],[Bonus Mana/hr]])-TblProd[[#This Row],[Mana drain]],0)</f>
        <v>604</v>
      </c>
      <c r="W82" s="69" t="n">
        <f aca="false">ROUNDDOWN(TblProd[[#This Row],[Raw Ore/hr]]*(1+TblProd[[#This Row],[Bonux Ore/hr]]),0)</f>
        <v>0</v>
      </c>
      <c r="X82" s="69" t="n">
        <f aca="false">ROUNDDOWN(TblProd[[#This Row],[Raw Gems/hr]]*(1+TblProd[[#This Row],[Bonus Gems/hr]]),0)</f>
        <v>0</v>
      </c>
      <c r="Y82" s="148" t="n">
        <f aca="false">OFFSET(TblConstr[[#This Row],[Tot Doc]],1,0)*dock_boats_hr * (1 + tech_4_1*TblTech[[#This Row],[4-1]])</f>
        <v>1.2</v>
      </c>
      <c r="Z82" s="146"/>
      <c r="AA82" s="69" t="n">
        <f aca="false">TblPop[[#This Row],[Peasants]]*tax*TblPop[[#This Row],[Employment]] + (Construction!AZ83+Construction!BX83)*(alch_plat+(Magic!AM82&gt;0)*alchemist_flame_bonus)</f>
        <v>41402.9</v>
      </c>
      <c r="AB82" s="69" t="n">
        <f aca="false">TblConstr[[#This Row],[Tot Farm]]*farm_food + TblConstr[[#This Row],[Tot Doc]]*dock_food</f>
        <v>3280</v>
      </c>
      <c r="AC82" s="69" t="n">
        <f aca="false">TblConstr[[#This Row],[Tot Ly]]*ly_lumber + TblConstr[[#This Row],[Tot Hav]]*fh_lumber</f>
        <v>1250</v>
      </c>
      <c r="AD82" s="69" t="n">
        <f aca="false">OFFSET(TblConstr[[#This Row],[Tot Tow]],1,0)*(tower_mana + tech_4_5*TblTech[[#This Row],[4-5]]) + OFFSET(TblConstr[[#This Row],[Tot WG]],1,0)*wg_mana_prod</f>
        <v>725</v>
      </c>
      <c r="AE82" s="69" t="n">
        <f aca="false">OFFSET(TblConstr[[#This Row],[Tot OM]],1,0)*om_ore+IF(race="Dwarf",ROUNDDOWN(TblMili[[#This Row],[Unit 2]]*0.4,0),)</f>
        <v>0</v>
      </c>
      <c r="AF82" s="69" t="n">
        <f aca="false">OFFSET(TblConstr[[#This Row],[Tot DM]],1,0)*dm_gems</f>
        <v>0</v>
      </c>
      <c r="AG82" s="132"/>
      <c r="AH82" s="149" t="n">
        <f aca="false">MIN(race_platinum_bonus + IF(TblMagic[[#This Row],[Active Alch Frost]]&gt;0,alch_frost_bonus,IF(Magic!AD82&gt;0,midas_bonus)) + TblImps[[#This Row],[Science]] - TblProd[[#This Row],[Guard]]*(0.02 + tech_5_7*TblTech[[#This Row],[5-7]]) + tech_1_5*TblTech[[#This Row],[1-5]] + tech_4_4*TblTech[[#This Row],[4-4]], 0.5)</f>
        <v>0.1</v>
      </c>
      <c r="AI8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2" s="149" t="n">
        <f aca="false">race_lumber_bonus+ IF(TblMagic[[#This Row],[Active Gaia''s Blessing]]&gt;0,gaias_blessing_lumber)+ tech_1_3*TblTech[[#This Row],[1-3]] + tech_1_6*TblTech[[#This Row],[1-6]] + tech_3_3*TblTech[[#This Row],[3-3]]</f>
        <v>-0.1</v>
      </c>
      <c r="AK82" s="149" t="n">
        <f aca="false">race_mana_bonus+ 0 + TblImps[[#This Row],[Towers]] + tech_1_2*TblTech[[#This Row],[1-2]] + tech_3_4*TblTech[[#This Row],[3-4]]</f>
        <v>0</v>
      </c>
      <c r="AL82" s="149" t="n">
        <f aca="false">race_ore_bonus + IF(TblMagic[[#This Row],[Active Miner''s Sight]]&gt;0,miners_sight_bonus,IF(TblMagic[[#This Row],[Active Mining Strength]]&gt;0,mining_strength_bonus)) +  tech_1_6*TblTech[[#This Row],[1-6]]</f>
        <v>0</v>
      </c>
      <c r="AM82" s="149" t="n">
        <f aca="false">race_gem_bonus+ tech_3_2*TblTech[[#This Row],[3-2]] + tech_4_3*TblTech[[#This Row],[4-3]] + tech_6_2*TblTech[[#This Row],[6-2]]</f>
        <v>0.15</v>
      </c>
      <c r="AN82" s="132"/>
      <c r="AO82" s="69" t="n">
        <f aca="false">TblProd[[#This Row],[Food]]*food_decay * (1 + tech_2_1*TblTech[[#This Row],[2-1]] + tech_2_8*TblTech[[#This Row],[2-8]])</f>
        <v>36.47</v>
      </c>
      <c r="AP82" s="69" t="n">
        <f aca="false">(1+race_food_consumption)*TblPop[[#This Row],[Total]]*food_per_person*(1+tech_1_10*TblTech[[#This Row],[1-10]]+tech_7_5*TblTech[[#This Row],[7-5]])</f>
        <v>3234.75</v>
      </c>
      <c r="AQ82" s="69" t="n">
        <f aca="false">TblProd[[#This Row],[Lumber]]*lumber_rot * (1 + tech_2_1*TblTech[[#This Row],[2-1]] + tech_2_8*TblTech[[#This Row],[2-8]] + tech_5_2*TblTech[[#This Row],[5-2]])</f>
        <v>198.07</v>
      </c>
      <c r="AR82" s="69" t="n">
        <f aca="false">TblProd[[#This Row],[Mana]]*mana_drain * (1 + tech_2_1*TblTech[[#This Row],[2-1]] + tech_2_8*TblTech[[#This Row],[2-8]])</f>
        <v>121.27</v>
      </c>
      <c r="AS82" s="146"/>
      <c r="AT82" s="69" t="n">
        <f aca="false">TblExplore[[#This Row],[Platinum (2)]]+TblConstr[[#This Row],[Total Plat Cost]]+TblMili[[#This Row],[Plat Cost]]+TblRezone[[#This Row],[Platinum cost]]+TblImps[[#This Row],[P1]]-TblProd[[#This Row],[Bank Plat]]</f>
        <v>0</v>
      </c>
      <c r="AU82" s="69" t="n">
        <f aca="false">TblConstr[[#This Row],[Total Lum Cost]]+TblImps[[#This Row],[L1]]-TblProd[[#This Row],[Bank Lumber]] + Military!$CL$25*TblMili[[#This Row],[Sec. rec. Cost]]</f>
        <v>0</v>
      </c>
      <c r="AV82" s="69" t="n">
        <f aca="false">TblMagic[[#This Row],[Mana cost]] + Military!$CL$26*TblMili[[#This Row],[Sec. rec. Cost]]</f>
        <v>0</v>
      </c>
      <c r="AW82" s="69" t="n">
        <f aca="false">Military!$CL$24*TblMili[[#This Row],[Sec. rec. Cost]]+TblImps[[#This Row],[O1]]-TblProd[[#This Row],[Bank Ore]]</f>
        <v>0</v>
      </c>
      <c r="AX82" s="69" t="n">
        <f aca="false">TblImps[[#This Row],[G1]]-TblProd[[#This Row],[Bank Gems]]</f>
        <v>0</v>
      </c>
      <c r="AY82" s="132"/>
      <c r="AZ82" s="33" t="n">
        <f aca="false">IF(TblProd[[#This Row],[Set Guard]]&lt;&gt;"",TblProd[[#This Row],[Set Guard]],OFFSET(TblProd[[#This Row],[Guard]],-1,0))</f>
        <v>0</v>
      </c>
      <c r="BA82" s="145"/>
      <c r="BB82" s="151" t="n">
        <f aca="false">TblProd[[#This Row],[Hour]]</f>
        <v>7</v>
      </c>
      <c r="BC82" s="152" t="n">
        <f aca="false">-TblProd[[#This Row],[Bank Lumber]] / 2 + -TblProd[[#This Row],[Bank Gems]] * 2 + -TblProd[[#This Row],[Bank Ore]] / 2</f>
        <v>0</v>
      </c>
      <c r="BD82" s="152"/>
      <c r="BE82" s="152"/>
      <c r="BF82" s="152"/>
      <c r="BG82" s="153" t="n">
        <f aca="false">TblProd[[#This Row],[Time]]</f>
        <v>45433</v>
      </c>
      <c r="BH8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69" t="n">
        <f aca="false">TblProd[[#This Row],[Platinum]]</f>
        <v>245670</v>
      </c>
      <c r="BJ82" s="69" t="n">
        <f aca="false">TblProd[[#This Row],[Food]]</f>
        <v>3647</v>
      </c>
      <c r="BK82" s="69" t="n">
        <f aca="false">TblProd[[#This Row],[Lumber]]</f>
        <v>19807</v>
      </c>
      <c r="BL82" s="69" t="n">
        <f aca="false">TblProd[[#This Row],[Mana]]</f>
        <v>6063.5</v>
      </c>
      <c r="BM82" s="69" t="n">
        <f aca="false">TblProd[[#This Row],[Ore]]</f>
        <v>0</v>
      </c>
    </row>
    <row r="83" customFormat="false" ht="12.75" hidden="false" customHeight="false" outlineLevel="0" collapsed="false">
      <c r="A83" s="128" t="n">
        <v>8</v>
      </c>
      <c r="B83" s="144" t="n">
        <f aca="false">TblImps[[#This Row],[Time]]</f>
        <v>45433.0416666667</v>
      </c>
      <c r="C83" s="145"/>
      <c r="D83" s="146"/>
      <c r="E83" s="69" t="n">
        <f aca="false">TblConstr[[#This Row],[Land]]</f>
        <v>700</v>
      </c>
      <c r="F83" s="69" t="n">
        <f aca="false">TblPop[[#This Row],[Peasants]]</f>
        <v>9333</v>
      </c>
      <c r="G83" s="69" t="e">
        <f aca="false">TblMili[[#This Row],[Networth (2)]]</f>
        <v>#VALUE!</v>
      </c>
      <c r="H83" s="69" t="n">
        <f aca="false">OFFSET(TblProd[[#This Row],[Platinum]],-1,0)+OFFSET(TblProd[[#This Row],[Plat/hr]],-1,0) - TblProd[[#This Row],[Expenses Platinum]] + IF(TblProd[[#This Row],[Plat Bonus]],TblPop[[#This Row],[Peasants]]*4) + SUM(TblConstr[[#This Row],[Dest Hom]:[Dest Doc]])*TblConstr[[#This Row],[CPA Platinum -DB]]*tech_3_3_2*TblTech[[#This Row],[3-3]]</f>
        <v>291213</v>
      </c>
      <c r="I83" s="69" t="n">
        <f aca="false">OFFSET(TblProd[[#This Row],[Food]],-1,0)+OFFSET(TblProd[[#This Row],[Food/hr]],-1,0)+ROUNDUP((TblConstr[[#This Row],[Farms]]*80+TblConstr[[#This Row],[Docks]]*35)*(1+OFFSET(TblProd[[#This Row],[Bonus Food/hr]],-1,0)),0)</f>
        <v>3738</v>
      </c>
      <c r="J83" s="69" t="n">
        <f aca="false">OFFSET(TblProd[[#This Row],[Lumber]],-1,0)+OFFSET(TblProd[[#This Row],[Lumber/hr]],-1,0) - TblProd[[#This Row],[Expenses Lumber]] + SUM(TblConstr[[#This Row],[Dest Hom]:[Dest Doc]])*TblConstr[[#This Row],[CPA Lumber -DB]]*tech_3_3_2*TblTech[[#This Row],[3-3]]</f>
        <v>20734</v>
      </c>
      <c r="K83" s="69" t="n">
        <f aca="false">OFFSET(TblProd[[#This Row],[Mana]],-1,0)+OFFSET(TblProd[[#This Row],[Mana/hr]],-1,0)- TblProd[[#This Row],[Expenses Mana]]</f>
        <v>6667.5</v>
      </c>
      <c r="L83" s="69" t="n">
        <f aca="false">OFFSET(TblProd[[#This Row],[Ore]],-1,0)+OFFSET(TblProd[[#This Row],[Ore/hr]],-1,0) -TblProd[[#This Row],[Expenses Ore]]</f>
        <v>0</v>
      </c>
      <c r="M83" s="69" t="n">
        <f aca="false">OFFSET(TblProd[[#This Row],[Gems]],-1,0)+OFFSET(TblProd[[#This Row],[Gems/hr]],-1,0) - TblProd[[#This Row],[Expenses Gems]]</f>
        <v>0</v>
      </c>
      <c r="N83" s="69" t="n">
        <f aca="false">OFFSET(TblProd[[#This Row],[Boats]],-1,0)+OFFSET(TblProd[[#This Row],[Boats/hr]],-1,0)</f>
        <v>36.65</v>
      </c>
      <c r="O83" s="69" t="n">
        <f aca="false">OFFSET(TblProd[[#This Row],[Prestige]],-1,0)</f>
        <v>250</v>
      </c>
      <c r="P8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3" s="69" t="n">
        <f aca="false">MAX(3750,_xlfn.CEILING.MATH(TblProd[[#This Row],[Land]]*2.5+OFFSET(TblTech[[#This Row],[Sum of tech]],-1,0)*150))</f>
        <v>3750</v>
      </c>
      <c r="R83" s="132"/>
      <c r="S83" s="69" t="n">
        <f aca="false">ROUNDDOWN(TblProd[[#This Row],[Raw Plat/hr]]*(1+TblProd[[#This Row],[Bonus Plat/hr]]),0)</f>
        <v>45264</v>
      </c>
      <c r="T83" s="69" t="n">
        <f aca="false">ROUND(TblProd[[#This Row],[Raw Food/hr]]*(1+TblProd[[#This Row],[Bonus Food/hr]])-TblProd[[#This Row],[Food decay]]-TblProd[[#This Row],[Food eaten]],0)</f>
        <v>90</v>
      </c>
      <c r="U83" s="69" t="n">
        <f aca="false">ROUND(TblProd[[#This Row],[Raw Lumber/hr]]*(1+TblProd[[#This Row],[Bonus Lumber/hr]])-TblProd[[#This Row],[Lumber rot]],0)</f>
        <v>918</v>
      </c>
      <c r="V83" s="69" t="n">
        <f aca="false">ROUND(TblProd[[#This Row],[Raw Mana/hr]]*(1+TblProd[[#This Row],[Bonus Mana/hr]])-TblProd[[#This Row],[Mana drain]],0)</f>
        <v>592</v>
      </c>
      <c r="W83" s="69" t="n">
        <f aca="false">ROUNDDOWN(TblProd[[#This Row],[Raw Ore/hr]]*(1+TblProd[[#This Row],[Bonux Ore/hr]]),0)</f>
        <v>0</v>
      </c>
      <c r="X83" s="69" t="n">
        <f aca="false">ROUNDDOWN(TblProd[[#This Row],[Raw Gems/hr]]*(1+TblProd[[#This Row],[Bonus Gems/hr]]),0)</f>
        <v>0</v>
      </c>
      <c r="Y83" s="148" t="n">
        <f aca="false">OFFSET(TblConstr[[#This Row],[Tot Doc]],1,0)*dock_boats_hr * (1 + tech_4_1*TblTech[[#This Row],[4-1]])</f>
        <v>1.2</v>
      </c>
      <c r="Z83" s="146"/>
      <c r="AA83" s="69" t="n">
        <f aca="false">TblPop[[#This Row],[Peasants]]*tax*TblPop[[#This Row],[Employment]] + (Construction!AZ84+Construction!BX84)*(alch_plat+(Magic!AM83&gt;0)*alchemist_flame_bonus)</f>
        <v>41149.1</v>
      </c>
      <c r="AB83" s="69" t="n">
        <f aca="false">TblConstr[[#This Row],[Tot Farm]]*farm_food + TblConstr[[#This Row],[Tot Doc]]*dock_food</f>
        <v>3280</v>
      </c>
      <c r="AC83" s="69" t="n">
        <f aca="false">TblConstr[[#This Row],[Tot Ly]]*ly_lumber + TblConstr[[#This Row],[Tot Hav]]*fh_lumber</f>
        <v>1250</v>
      </c>
      <c r="AD83" s="69" t="n">
        <f aca="false">OFFSET(TblConstr[[#This Row],[Tot Tow]],1,0)*(tower_mana + tech_4_5*TblTech[[#This Row],[4-5]]) + OFFSET(TblConstr[[#This Row],[Tot WG]],1,0)*wg_mana_prod</f>
        <v>725</v>
      </c>
      <c r="AE83" s="69" t="n">
        <f aca="false">OFFSET(TblConstr[[#This Row],[Tot OM]],1,0)*om_ore+IF(race="Dwarf",ROUNDDOWN(TblMili[[#This Row],[Unit 2]]*0.4,0),)</f>
        <v>0</v>
      </c>
      <c r="AF83" s="69" t="n">
        <f aca="false">OFFSET(TblConstr[[#This Row],[Tot DM]],1,0)*dm_gems</f>
        <v>0</v>
      </c>
      <c r="AG83" s="132"/>
      <c r="AH83" s="149" t="n">
        <f aca="false">MIN(race_platinum_bonus + IF(TblMagic[[#This Row],[Active Alch Frost]]&gt;0,alch_frost_bonus,IF(Magic!AD83&gt;0,midas_bonus)) + TblImps[[#This Row],[Science]] - TblProd[[#This Row],[Guard]]*(0.02 + tech_5_7*TblTech[[#This Row],[5-7]]) + tech_1_5*TblTech[[#This Row],[1-5]] + tech_4_4*TblTech[[#This Row],[4-4]], 0.5)</f>
        <v>0.1</v>
      </c>
      <c r="AI8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3" s="149" t="n">
        <f aca="false">race_lumber_bonus+ IF(TblMagic[[#This Row],[Active Gaia''s Blessing]]&gt;0,gaias_blessing_lumber)+ tech_1_3*TblTech[[#This Row],[1-3]] + tech_1_6*TblTech[[#This Row],[1-6]] + tech_3_3*TblTech[[#This Row],[3-3]]</f>
        <v>-0.1</v>
      </c>
      <c r="AK83" s="149" t="n">
        <f aca="false">race_mana_bonus+ 0 + TblImps[[#This Row],[Towers]] + tech_1_2*TblTech[[#This Row],[1-2]] + tech_3_4*TblTech[[#This Row],[3-4]]</f>
        <v>0</v>
      </c>
      <c r="AL83" s="149" t="n">
        <f aca="false">race_ore_bonus + IF(TblMagic[[#This Row],[Active Miner''s Sight]]&gt;0,miners_sight_bonus,IF(TblMagic[[#This Row],[Active Mining Strength]]&gt;0,mining_strength_bonus)) +  tech_1_6*TblTech[[#This Row],[1-6]]</f>
        <v>0</v>
      </c>
      <c r="AM83" s="149" t="n">
        <f aca="false">race_gem_bonus+ tech_3_2*TblTech[[#This Row],[3-2]] + tech_4_3*TblTech[[#This Row],[4-3]] + tech_6_2*TblTech[[#This Row],[6-2]]</f>
        <v>0.15</v>
      </c>
      <c r="AN83" s="132"/>
      <c r="AO83" s="69" t="n">
        <f aca="false">TblProd[[#This Row],[Food]]*food_decay * (1 + tech_2_1*TblTech[[#This Row],[2-1]] + tech_2_8*TblTech[[#This Row],[2-8]])</f>
        <v>37.38</v>
      </c>
      <c r="AP83" s="69" t="n">
        <f aca="false">(1+race_food_consumption)*TblPop[[#This Row],[Total]]*food_per_person*(1+tech_1_10*TblTech[[#This Row],[1-10]]+tech_7_5*TblTech[[#This Row],[7-5]])</f>
        <v>3234.75</v>
      </c>
      <c r="AQ83" s="69" t="n">
        <f aca="false">TblProd[[#This Row],[Lumber]]*lumber_rot * (1 + tech_2_1*TblTech[[#This Row],[2-1]] + tech_2_8*TblTech[[#This Row],[2-8]] + tech_5_2*TblTech[[#This Row],[5-2]])</f>
        <v>207.34</v>
      </c>
      <c r="AR83" s="69" t="n">
        <f aca="false">TblProd[[#This Row],[Mana]]*mana_drain * (1 + tech_2_1*TblTech[[#This Row],[2-1]] + tech_2_8*TblTech[[#This Row],[2-8]])</f>
        <v>133.35</v>
      </c>
      <c r="AS83" s="146"/>
      <c r="AT83" s="69" t="n">
        <f aca="false">TblExplore[[#This Row],[Platinum (2)]]+TblConstr[[#This Row],[Total Plat Cost]]+TblMili[[#This Row],[Plat Cost]]+TblRezone[[#This Row],[Platinum cost]]+TblImps[[#This Row],[P1]]-TblProd[[#This Row],[Bank Plat]]</f>
        <v>0</v>
      </c>
      <c r="AU83" s="69" t="n">
        <f aca="false">TblConstr[[#This Row],[Total Lum Cost]]+TblImps[[#This Row],[L1]]-TblProd[[#This Row],[Bank Lumber]] + Military!$CL$25*TblMili[[#This Row],[Sec. rec. Cost]]</f>
        <v>0</v>
      </c>
      <c r="AV83" s="69" t="n">
        <f aca="false">TblMagic[[#This Row],[Mana cost]] + Military!$CL$26*TblMili[[#This Row],[Sec. rec. Cost]]</f>
        <v>0</v>
      </c>
      <c r="AW83" s="69" t="n">
        <f aca="false">Military!$CL$24*TblMili[[#This Row],[Sec. rec. Cost]]+TblImps[[#This Row],[O1]]-TblProd[[#This Row],[Bank Ore]]</f>
        <v>0</v>
      </c>
      <c r="AX83" s="69" t="n">
        <f aca="false">TblImps[[#This Row],[G1]]-TblProd[[#This Row],[Bank Gems]]</f>
        <v>0</v>
      </c>
      <c r="AY83" s="132"/>
      <c r="AZ83" s="33" t="n">
        <f aca="false">IF(TblProd[[#This Row],[Set Guard]]&lt;&gt;"",TblProd[[#This Row],[Set Guard]],OFFSET(TblProd[[#This Row],[Guard]],-1,0))</f>
        <v>0</v>
      </c>
      <c r="BA83" s="145"/>
      <c r="BB83" s="151" t="n">
        <f aca="false">TblProd[[#This Row],[Hour]]</f>
        <v>8</v>
      </c>
      <c r="BC83" s="152" t="n">
        <f aca="false">-TblProd[[#This Row],[Bank Lumber]] / 2 + -TblProd[[#This Row],[Bank Gems]] * 2 + -TblProd[[#This Row],[Bank Ore]] / 2</f>
        <v>0</v>
      </c>
      <c r="BD83" s="152"/>
      <c r="BE83" s="152"/>
      <c r="BF83" s="152"/>
      <c r="BG83" s="153" t="n">
        <f aca="false">TblProd[[#This Row],[Time]]</f>
        <v>45433.0416666667</v>
      </c>
      <c r="BH8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69" t="n">
        <f aca="false">TblProd[[#This Row],[Platinum]]</f>
        <v>291213</v>
      </c>
      <c r="BJ83" s="69" t="n">
        <f aca="false">TblProd[[#This Row],[Food]]</f>
        <v>3738</v>
      </c>
      <c r="BK83" s="69" t="n">
        <f aca="false">TblProd[[#This Row],[Lumber]]</f>
        <v>20734</v>
      </c>
      <c r="BL83" s="69" t="n">
        <f aca="false">TblProd[[#This Row],[Mana]]</f>
        <v>6667.5</v>
      </c>
      <c r="BM83" s="69" t="n">
        <f aca="false">TblProd[[#This Row],[Ore]]</f>
        <v>0</v>
      </c>
    </row>
    <row r="84" customFormat="false" ht="12.75" hidden="false" customHeight="false" outlineLevel="0" collapsed="false">
      <c r="A84" s="128" t="n">
        <v>9</v>
      </c>
      <c r="B84" s="144" t="n">
        <f aca="false">TblImps[[#This Row],[Time]]</f>
        <v>45433.0833333333</v>
      </c>
      <c r="C84" s="145"/>
      <c r="D84" s="146"/>
      <c r="E84" s="69" t="n">
        <f aca="false">TblConstr[[#This Row],[Land]]</f>
        <v>700</v>
      </c>
      <c r="F84" s="69" t="n">
        <f aca="false">TblPop[[#This Row],[Peasants]]</f>
        <v>9240</v>
      </c>
      <c r="G84" s="69" t="e">
        <f aca="false">TblMili[[#This Row],[Networth (2)]]</f>
        <v>#VALUE!</v>
      </c>
      <c r="H84" s="69" t="n">
        <f aca="false">OFFSET(TblProd[[#This Row],[Platinum]],-1,0)+OFFSET(TblProd[[#This Row],[Plat/hr]],-1,0) - TblProd[[#This Row],[Expenses Platinum]] + IF(TblProd[[#This Row],[Plat Bonus]],TblPop[[#This Row],[Peasants]]*4) + SUM(TblConstr[[#This Row],[Dest Hom]:[Dest Doc]])*TblConstr[[#This Row],[CPA Platinum -DB]]*tech_3_3_2*TblTech[[#This Row],[3-3]]</f>
        <v>336477</v>
      </c>
      <c r="I84" s="69" t="n">
        <f aca="false">OFFSET(TblProd[[#This Row],[Food]],-1,0)+OFFSET(TblProd[[#This Row],[Food/hr]],-1,0)+ROUNDUP((TblConstr[[#This Row],[Farms]]*80+TblConstr[[#This Row],[Docks]]*35)*(1+OFFSET(TblProd[[#This Row],[Bonus Food/hr]],-1,0)),0)</f>
        <v>3828</v>
      </c>
      <c r="J84" s="69" t="n">
        <f aca="false">OFFSET(TblProd[[#This Row],[Lumber]],-1,0)+OFFSET(TblProd[[#This Row],[Lumber/hr]],-1,0) - TblProd[[#This Row],[Expenses Lumber]] + SUM(TblConstr[[#This Row],[Dest Hom]:[Dest Doc]])*TblConstr[[#This Row],[CPA Lumber -DB]]*tech_3_3_2*TblTech[[#This Row],[3-3]]</f>
        <v>21652</v>
      </c>
      <c r="K84" s="69" t="n">
        <f aca="false">OFFSET(TblProd[[#This Row],[Mana]],-1,0)+OFFSET(TblProd[[#This Row],[Mana/hr]],-1,0)- TblProd[[#This Row],[Expenses Mana]]</f>
        <v>7259.5</v>
      </c>
      <c r="L84" s="69" t="n">
        <f aca="false">OFFSET(TblProd[[#This Row],[Ore]],-1,0)+OFFSET(TblProd[[#This Row],[Ore/hr]],-1,0) -TblProd[[#This Row],[Expenses Ore]]</f>
        <v>0</v>
      </c>
      <c r="M84" s="69" t="n">
        <f aca="false">OFFSET(TblProd[[#This Row],[Gems]],-1,0)+OFFSET(TblProd[[#This Row],[Gems/hr]],-1,0) - TblProd[[#This Row],[Expenses Gems]]</f>
        <v>0</v>
      </c>
      <c r="N84" s="69" t="n">
        <f aca="false">OFFSET(TblProd[[#This Row],[Boats]],-1,0)+OFFSET(TblProd[[#This Row],[Boats/hr]],-1,0)</f>
        <v>37.85</v>
      </c>
      <c r="O84" s="69" t="n">
        <f aca="false">OFFSET(TblProd[[#This Row],[Prestige]],-1,0)</f>
        <v>250</v>
      </c>
      <c r="P8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4" s="69" t="n">
        <f aca="false">MAX(3750,_xlfn.CEILING.MATH(TblProd[[#This Row],[Land]]*2.5+OFFSET(TblTech[[#This Row],[Sum of tech]],-1,0)*150))</f>
        <v>3750</v>
      </c>
      <c r="R84" s="132"/>
      <c r="S84" s="69" t="n">
        <f aca="false">ROUNDDOWN(TblProd[[#This Row],[Raw Plat/hr]]*(1+TblProd[[#This Row],[Bonus Plat/hr]]),0)</f>
        <v>44987</v>
      </c>
      <c r="T84" s="69" t="n">
        <f aca="false">ROUND(TblProd[[#This Row],[Raw Food/hr]]*(1+TblProd[[#This Row],[Bonus Food/hr]])-TblProd[[#This Row],[Food decay]]-TblProd[[#This Row],[Food eaten]],0)</f>
        <v>89</v>
      </c>
      <c r="U84" s="69" t="n">
        <f aca="false">ROUND(TblProd[[#This Row],[Raw Lumber/hr]]*(1+TblProd[[#This Row],[Bonus Lumber/hr]])-TblProd[[#This Row],[Lumber rot]],0)</f>
        <v>908</v>
      </c>
      <c r="V84" s="69" t="n">
        <f aca="false">ROUND(TblProd[[#This Row],[Raw Mana/hr]]*(1+TblProd[[#This Row],[Bonus Mana/hr]])-TblProd[[#This Row],[Mana drain]],0)</f>
        <v>580</v>
      </c>
      <c r="W84" s="69" t="n">
        <f aca="false">ROUNDDOWN(TblProd[[#This Row],[Raw Ore/hr]]*(1+TblProd[[#This Row],[Bonux Ore/hr]]),0)</f>
        <v>0</v>
      </c>
      <c r="X84" s="69" t="n">
        <f aca="false">ROUNDDOWN(TblProd[[#This Row],[Raw Gems/hr]]*(1+TblProd[[#This Row],[Bonus Gems/hr]]),0)</f>
        <v>0</v>
      </c>
      <c r="Y84" s="148" t="n">
        <f aca="false">OFFSET(TblConstr[[#This Row],[Tot Doc]],1,0)*dock_boats_hr * (1 + tech_4_1*TblTech[[#This Row],[4-1]])</f>
        <v>1.2</v>
      </c>
      <c r="Z84" s="146"/>
      <c r="AA84" s="69" t="n">
        <f aca="false">TblPop[[#This Row],[Peasants]]*tax*TblPop[[#This Row],[Employment]] + (Construction!AZ85+Construction!BX85)*(alch_plat+(Magic!AM84&gt;0)*alchemist_flame_bonus)</f>
        <v>40898</v>
      </c>
      <c r="AB84" s="69" t="n">
        <f aca="false">TblConstr[[#This Row],[Tot Farm]]*farm_food + TblConstr[[#This Row],[Tot Doc]]*dock_food</f>
        <v>3280</v>
      </c>
      <c r="AC84" s="69" t="n">
        <f aca="false">TblConstr[[#This Row],[Tot Ly]]*ly_lumber + TblConstr[[#This Row],[Tot Hav]]*fh_lumber</f>
        <v>1250</v>
      </c>
      <c r="AD84" s="69" t="n">
        <f aca="false">OFFSET(TblConstr[[#This Row],[Tot Tow]],1,0)*(tower_mana + tech_4_5*TblTech[[#This Row],[4-5]]) + OFFSET(TblConstr[[#This Row],[Tot WG]],1,0)*wg_mana_prod</f>
        <v>725</v>
      </c>
      <c r="AE84" s="69" t="n">
        <f aca="false">OFFSET(TblConstr[[#This Row],[Tot OM]],1,0)*om_ore+IF(race="Dwarf",ROUNDDOWN(TblMili[[#This Row],[Unit 2]]*0.4,0),)</f>
        <v>0</v>
      </c>
      <c r="AF84" s="69" t="n">
        <f aca="false">OFFSET(TblConstr[[#This Row],[Tot DM]],1,0)*dm_gems</f>
        <v>0</v>
      </c>
      <c r="AG84" s="132"/>
      <c r="AH84" s="149" t="n">
        <f aca="false">MIN(race_platinum_bonus + IF(TblMagic[[#This Row],[Active Alch Frost]]&gt;0,alch_frost_bonus,IF(Magic!AD84&gt;0,midas_bonus)) + TblImps[[#This Row],[Science]] - TblProd[[#This Row],[Guard]]*(0.02 + tech_5_7*TblTech[[#This Row],[5-7]]) + tech_1_5*TblTech[[#This Row],[1-5]] + tech_4_4*TblTech[[#This Row],[4-4]], 0.5)</f>
        <v>0.1</v>
      </c>
      <c r="AI8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4" s="149" t="n">
        <f aca="false">race_lumber_bonus+ IF(TblMagic[[#This Row],[Active Gaia''s Blessing]]&gt;0,gaias_blessing_lumber)+ tech_1_3*TblTech[[#This Row],[1-3]] + tech_1_6*TblTech[[#This Row],[1-6]] + tech_3_3*TblTech[[#This Row],[3-3]]</f>
        <v>-0.1</v>
      </c>
      <c r="AK84" s="149" t="n">
        <f aca="false">race_mana_bonus+ 0 + TblImps[[#This Row],[Towers]] + tech_1_2*TblTech[[#This Row],[1-2]] + tech_3_4*TblTech[[#This Row],[3-4]]</f>
        <v>0</v>
      </c>
      <c r="AL84" s="149" t="n">
        <f aca="false">race_ore_bonus + IF(TblMagic[[#This Row],[Active Miner''s Sight]]&gt;0,miners_sight_bonus,IF(TblMagic[[#This Row],[Active Mining Strength]]&gt;0,mining_strength_bonus)) +  tech_1_6*TblTech[[#This Row],[1-6]]</f>
        <v>0</v>
      </c>
      <c r="AM84" s="149" t="n">
        <f aca="false">race_gem_bonus+ tech_3_2*TblTech[[#This Row],[3-2]] + tech_4_3*TblTech[[#This Row],[4-3]] + tech_6_2*TblTech[[#This Row],[6-2]]</f>
        <v>0.15</v>
      </c>
      <c r="AN84" s="132"/>
      <c r="AO84" s="69" t="n">
        <f aca="false">TblProd[[#This Row],[Food]]*food_decay * (1 + tech_2_1*TblTech[[#This Row],[2-1]] + tech_2_8*TblTech[[#This Row],[2-8]])</f>
        <v>38.28</v>
      </c>
      <c r="AP84" s="69" t="n">
        <f aca="false">(1+race_food_consumption)*TblPop[[#This Row],[Total]]*food_per_person*(1+tech_1_10*TblTech[[#This Row],[1-10]]+tech_7_5*TblTech[[#This Row],[7-5]])</f>
        <v>3234.75</v>
      </c>
      <c r="AQ84" s="69" t="n">
        <f aca="false">TblProd[[#This Row],[Lumber]]*lumber_rot * (1 + tech_2_1*TblTech[[#This Row],[2-1]] + tech_2_8*TblTech[[#This Row],[2-8]] + tech_5_2*TblTech[[#This Row],[5-2]])</f>
        <v>216.52</v>
      </c>
      <c r="AR84" s="69" t="n">
        <f aca="false">TblProd[[#This Row],[Mana]]*mana_drain * (1 + tech_2_1*TblTech[[#This Row],[2-1]] + tech_2_8*TblTech[[#This Row],[2-8]])</f>
        <v>145.19</v>
      </c>
      <c r="AS84" s="146"/>
      <c r="AT84" s="69" t="n">
        <f aca="false">TblExplore[[#This Row],[Platinum (2)]]+TblConstr[[#This Row],[Total Plat Cost]]+TblMili[[#This Row],[Plat Cost]]+TblRezone[[#This Row],[Platinum cost]]+TblImps[[#This Row],[P1]]-TblProd[[#This Row],[Bank Plat]]</f>
        <v>0</v>
      </c>
      <c r="AU84" s="69" t="n">
        <f aca="false">TblConstr[[#This Row],[Total Lum Cost]]+TblImps[[#This Row],[L1]]-TblProd[[#This Row],[Bank Lumber]] + Military!$CL$25*TblMili[[#This Row],[Sec. rec. Cost]]</f>
        <v>0</v>
      </c>
      <c r="AV84" s="69" t="n">
        <f aca="false">TblMagic[[#This Row],[Mana cost]] + Military!$CL$26*TblMili[[#This Row],[Sec. rec. Cost]]</f>
        <v>0</v>
      </c>
      <c r="AW84" s="69" t="n">
        <f aca="false">Military!$CL$24*TblMili[[#This Row],[Sec. rec. Cost]]+TblImps[[#This Row],[O1]]-TblProd[[#This Row],[Bank Ore]]</f>
        <v>0</v>
      </c>
      <c r="AX84" s="69" t="n">
        <f aca="false">TblImps[[#This Row],[G1]]-TblProd[[#This Row],[Bank Gems]]</f>
        <v>0</v>
      </c>
      <c r="AY84" s="132"/>
      <c r="AZ84" s="33" t="n">
        <f aca="false">IF(TblProd[[#This Row],[Set Guard]]&lt;&gt;"",TblProd[[#This Row],[Set Guard]],OFFSET(TblProd[[#This Row],[Guard]],-1,0))</f>
        <v>0</v>
      </c>
      <c r="BA84" s="145"/>
      <c r="BB84" s="151" t="n">
        <f aca="false">TblProd[[#This Row],[Hour]]</f>
        <v>9</v>
      </c>
      <c r="BC84" s="152" t="n">
        <f aca="false">-TblProd[[#This Row],[Bank Lumber]] / 2 + -TblProd[[#This Row],[Bank Gems]] * 2 + -TblProd[[#This Row],[Bank Ore]] / 2</f>
        <v>0</v>
      </c>
      <c r="BD84" s="152"/>
      <c r="BE84" s="152"/>
      <c r="BF84" s="152"/>
      <c r="BG84" s="153" t="n">
        <f aca="false">TblProd[[#This Row],[Time]]</f>
        <v>45433.0833333333</v>
      </c>
      <c r="BH8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69" t="n">
        <f aca="false">TblProd[[#This Row],[Platinum]]</f>
        <v>336477</v>
      </c>
      <c r="BJ84" s="69" t="n">
        <f aca="false">TblProd[[#This Row],[Food]]</f>
        <v>3828</v>
      </c>
      <c r="BK84" s="69" t="n">
        <f aca="false">TblProd[[#This Row],[Lumber]]</f>
        <v>21652</v>
      </c>
      <c r="BL84" s="69" t="n">
        <f aca="false">TblProd[[#This Row],[Mana]]</f>
        <v>7259.5</v>
      </c>
      <c r="BM84" s="69" t="n">
        <f aca="false">TblProd[[#This Row],[Ore]]</f>
        <v>0</v>
      </c>
    </row>
    <row r="85" customFormat="false" ht="12.75" hidden="false" customHeight="false" outlineLevel="0" collapsed="false">
      <c r="A85" s="128" t="n">
        <v>10</v>
      </c>
      <c r="B85" s="144" t="n">
        <f aca="false">TblImps[[#This Row],[Time]]</f>
        <v>45433.125</v>
      </c>
      <c r="C85" s="145"/>
      <c r="D85" s="146"/>
      <c r="E85" s="69" t="n">
        <f aca="false">TblConstr[[#This Row],[Land]]</f>
        <v>700</v>
      </c>
      <c r="F85" s="69" t="n">
        <f aca="false">TblPop[[#This Row],[Peasants]]</f>
        <v>9148</v>
      </c>
      <c r="G85" s="69" t="e">
        <f aca="false">TblMili[[#This Row],[Networth (2)]]</f>
        <v>#VALUE!</v>
      </c>
      <c r="H85" s="69" t="n">
        <f aca="false">OFFSET(TblProd[[#This Row],[Platinum]],-1,0)+OFFSET(TblProd[[#This Row],[Plat/hr]],-1,0) - TblProd[[#This Row],[Expenses Platinum]] + IF(TblProd[[#This Row],[Plat Bonus]],TblPop[[#This Row],[Peasants]]*4) + SUM(TblConstr[[#This Row],[Dest Hom]:[Dest Doc]])*TblConstr[[#This Row],[CPA Platinum -DB]]*tech_3_3_2*TblTech[[#This Row],[3-3]]</f>
        <v>381464</v>
      </c>
      <c r="I85" s="69" t="n">
        <f aca="false">OFFSET(TblProd[[#This Row],[Food]],-1,0)+OFFSET(TblProd[[#This Row],[Food/hr]],-1,0)+ROUNDUP((TblConstr[[#This Row],[Farms]]*80+TblConstr[[#This Row],[Docks]]*35)*(1+OFFSET(TblProd[[#This Row],[Bonus Food/hr]],-1,0)),0)</f>
        <v>3917</v>
      </c>
      <c r="J85" s="69" t="n">
        <f aca="false">OFFSET(TblProd[[#This Row],[Lumber]],-1,0)+OFFSET(TblProd[[#This Row],[Lumber/hr]],-1,0) - TblProd[[#This Row],[Expenses Lumber]] + SUM(TblConstr[[#This Row],[Dest Hom]:[Dest Doc]])*TblConstr[[#This Row],[CPA Lumber -DB]]*tech_3_3_2*TblTech[[#This Row],[3-3]]</f>
        <v>22560</v>
      </c>
      <c r="K85" s="69" t="n">
        <f aca="false">OFFSET(TblProd[[#This Row],[Mana]],-1,0)+OFFSET(TblProd[[#This Row],[Mana/hr]],-1,0)- TblProd[[#This Row],[Expenses Mana]]</f>
        <v>7839.5</v>
      </c>
      <c r="L85" s="69" t="n">
        <f aca="false">OFFSET(TblProd[[#This Row],[Ore]],-1,0)+OFFSET(TblProd[[#This Row],[Ore/hr]],-1,0) -TblProd[[#This Row],[Expenses Ore]]</f>
        <v>0</v>
      </c>
      <c r="M85" s="69" t="n">
        <f aca="false">OFFSET(TblProd[[#This Row],[Gems]],-1,0)+OFFSET(TblProd[[#This Row],[Gems/hr]],-1,0) - TblProd[[#This Row],[Expenses Gems]]</f>
        <v>0</v>
      </c>
      <c r="N85" s="69" t="n">
        <f aca="false">OFFSET(TblProd[[#This Row],[Boats]],-1,0)+OFFSET(TblProd[[#This Row],[Boats/hr]],-1,0)</f>
        <v>39.05</v>
      </c>
      <c r="O85" s="69" t="n">
        <f aca="false">OFFSET(TblProd[[#This Row],[Prestige]],-1,0)</f>
        <v>250</v>
      </c>
      <c r="P8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5" s="69" t="n">
        <f aca="false">MAX(3750,_xlfn.CEILING.MATH(TblProd[[#This Row],[Land]]*2.5+OFFSET(TblTech[[#This Row],[Sum of tech]],-1,0)*150))</f>
        <v>3750</v>
      </c>
      <c r="R85" s="132"/>
      <c r="S85" s="69" t="n">
        <f aca="false">ROUNDDOWN(TblProd[[#This Row],[Raw Plat/hr]]*(1+TblProd[[#This Row],[Bonus Plat/hr]]),0)</f>
        <v>44714</v>
      </c>
      <c r="T85" s="69" t="n">
        <f aca="false">ROUND(TblProd[[#This Row],[Raw Food/hr]]*(1+TblProd[[#This Row],[Bonus Food/hr]])-TblProd[[#This Row],[Food decay]]-TblProd[[#This Row],[Food eaten]],0)</f>
        <v>88</v>
      </c>
      <c r="U85" s="69" t="n">
        <f aca="false">ROUND(TblProd[[#This Row],[Raw Lumber/hr]]*(1+TblProd[[#This Row],[Bonus Lumber/hr]])-TblProd[[#This Row],[Lumber rot]],0)</f>
        <v>899</v>
      </c>
      <c r="V85" s="69" t="n">
        <f aca="false">ROUND(TblProd[[#This Row],[Raw Mana/hr]]*(1+TblProd[[#This Row],[Bonus Mana/hr]])-TblProd[[#This Row],[Mana drain]],0)</f>
        <v>568</v>
      </c>
      <c r="W85" s="69" t="n">
        <f aca="false">ROUNDDOWN(TblProd[[#This Row],[Raw Ore/hr]]*(1+TblProd[[#This Row],[Bonux Ore/hr]]),0)</f>
        <v>0</v>
      </c>
      <c r="X85" s="69" t="n">
        <f aca="false">ROUNDDOWN(TblProd[[#This Row],[Raw Gems/hr]]*(1+TblProd[[#This Row],[Bonus Gems/hr]]),0)</f>
        <v>0</v>
      </c>
      <c r="Y85" s="148" t="n">
        <f aca="false">OFFSET(TblConstr[[#This Row],[Tot Doc]],1,0)*dock_boats_hr * (1 + tech_4_1*TblTech[[#This Row],[4-1]])</f>
        <v>1.2</v>
      </c>
      <c r="Z85" s="146"/>
      <c r="AA85" s="69" t="n">
        <f aca="false">TblPop[[#This Row],[Peasants]]*tax*TblPop[[#This Row],[Employment]] + (Construction!AZ86+Construction!BX86)*(alch_plat+(Magic!AM85&gt;0)*alchemist_flame_bonus)</f>
        <v>40649.6</v>
      </c>
      <c r="AB85" s="69" t="n">
        <f aca="false">TblConstr[[#This Row],[Tot Farm]]*farm_food + TblConstr[[#This Row],[Tot Doc]]*dock_food</f>
        <v>3280</v>
      </c>
      <c r="AC85" s="69" t="n">
        <f aca="false">TblConstr[[#This Row],[Tot Ly]]*ly_lumber + TblConstr[[#This Row],[Tot Hav]]*fh_lumber</f>
        <v>1250</v>
      </c>
      <c r="AD85" s="69" t="n">
        <f aca="false">OFFSET(TblConstr[[#This Row],[Tot Tow]],1,0)*(tower_mana + tech_4_5*TblTech[[#This Row],[4-5]]) + OFFSET(TblConstr[[#This Row],[Tot WG]],1,0)*wg_mana_prod</f>
        <v>725</v>
      </c>
      <c r="AE85" s="69" t="n">
        <f aca="false">OFFSET(TblConstr[[#This Row],[Tot OM]],1,0)*om_ore+IF(race="Dwarf",ROUNDDOWN(TblMili[[#This Row],[Unit 2]]*0.4,0),)</f>
        <v>0</v>
      </c>
      <c r="AF85" s="69" t="n">
        <f aca="false">OFFSET(TblConstr[[#This Row],[Tot DM]],1,0)*dm_gems</f>
        <v>0</v>
      </c>
      <c r="AG85" s="132"/>
      <c r="AH85" s="149" t="n">
        <f aca="false">MIN(race_platinum_bonus + IF(TblMagic[[#This Row],[Active Alch Frost]]&gt;0,alch_frost_bonus,IF(Magic!AD85&gt;0,midas_bonus)) + TblImps[[#This Row],[Science]] - TblProd[[#This Row],[Guard]]*(0.02 + tech_5_7*TblTech[[#This Row],[5-7]]) + tech_1_5*TblTech[[#This Row],[1-5]] + tech_4_4*TblTech[[#This Row],[4-4]], 0.5)</f>
        <v>0.1</v>
      </c>
      <c r="AI8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5" s="149" t="n">
        <f aca="false">race_lumber_bonus+ IF(TblMagic[[#This Row],[Active Gaia''s Blessing]]&gt;0,gaias_blessing_lumber)+ tech_1_3*TblTech[[#This Row],[1-3]] + tech_1_6*TblTech[[#This Row],[1-6]] + tech_3_3*TblTech[[#This Row],[3-3]]</f>
        <v>-0.1</v>
      </c>
      <c r="AK85" s="149" t="n">
        <f aca="false">race_mana_bonus+ 0 + TblImps[[#This Row],[Towers]] + tech_1_2*TblTech[[#This Row],[1-2]] + tech_3_4*TblTech[[#This Row],[3-4]]</f>
        <v>0</v>
      </c>
      <c r="AL85" s="149" t="n">
        <f aca="false">race_ore_bonus + IF(TblMagic[[#This Row],[Active Miner''s Sight]]&gt;0,miners_sight_bonus,IF(TblMagic[[#This Row],[Active Mining Strength]]&gt;0,mining_strength_bonus)) +  tech_1_6*TblTech[[#This Row],[1-6]]</f>
        <v>0</v>
      </c>
      <c r="AM85" s="149" t="n">
        <f aca="false">race_gem_bonus+ tech_3_2*TblTech[[#This Row],[3-2]] + tech_4_3*TblTech[[#This Row],[4-3]] + tech_6_2*TblTech[[#This Row],[6-2]]</f>
        <v>0.15</v>
      </c>
      <c r="AN85" s="132"/>
      <c r="AO85" s="69" t="n">
        <f aca="false">TblProd[[#This Row],[Food]]*food_decay * (1 + tech_2_1*TblTech[[#This Row],[2-1]] + tech_2_8*TblTech[[#This Row],[2-8]])</f>
        <v>39.17</v>
      </c>
      <c r="AP85" s="69" t="n">
        <f aca="false">(1+race_food_consumption)*TblPop[[#This Row],[Total]]*food_per_person*(1+tech_1_10*TblTech[[#This Row],[1-10]]+tech_7_5*TblTech[[#This Row],[7-5]])</f>
        <v>3234.75</v>
      </c>
      <c r="AQ85" s="69" t="n">
        <f aca="false">TblProd[[#This Row],[Lumber]]*lumber_rot * (1 + tech_2_1*TblTech[[#This Row],[2-1]] + tech_2_8*TblTech[[#This Row],[2-8]] + tech_5_2*TblTech[[#This Row],[5-2]])</f>
        <v>225.6</v>
      </c>
      <c r="AR85" s="69" t="n">
        <f aca="false">TblProd[[#This Row],[Mana]]*mana_drain * (1 + tech_2_1*TblTech[[#This Row],[2-1]] + tech_2_8*TblTech[[#This Row],[2-8]])</f>
        <v>156.79</v>
      </c>
      <c r="AS85" s="146"/>
      <c r="AT85" s="69" t="n">
        <f aca="false">TblExplore[[#This Row],[Platinum (2)]]+TblConstr[[#This Row],[Total Plat Cost]]+TblMili[[#This Row],[Plat Cost]]+TblRezone[[#This Row],[Platinum cost]]+TblImps[[#This Row],[P1]]-TblProd[[#This Row],[Bank Plat]]</f>
        <v>0</v>
      </c>
      <c r="AU85" s="69" t="n">
        <f aca="false">TblConstr[[#This Row],[Total Lum Cost]]+TblImps[[#This Row],[L1]]-TblProd[[#This Row],[Bank Lumber]] + Military!$CL$25*TblMili[[#This Row],[Sec. rec. Cost]]</f>
        <v>0</v>
      </c>
      <c r="AV85" s="69" t="n">
        <f aca="false">TblMagic[[#This Row],[Mana cost]] + Military!$CL$26*TblMili[[#This Row],[Sec. rec. Cost]]</f>
        <v>0</v>
      </c>
      <c r="AW85" s="69" t="n">
        <f aca="false">Military!$CL$24*TblMili[[#This Row],[Sec. rec. Cost]]+TblImps[[#This Row],[O1]]-TblProd[[#This Row],[Bank Ore]]</f>
        <v>0</v>
      </c>
      <c r="AX85" s="69" t="n">
        <f aca="false">TblImps[[#This Row],[G1]]-TblProd[[#This Row],[Bank Gems]]</f>
        <v>0</v>
      </c>
      <c r="AY85" s="132"/>
      <c r="AZ85" s="33" t="n">
        <f aca="false">IF(TblProd[[#This Row],[Set Guard]]&lt;&gt;"",TblProd[[#This Row],[Set Guard]],OFFSET(TblProd[[#This Row],[Guard]],-1,0))</f>
        <v>0</v>
      </c>
      <c r="BA85" s="145"/>
      <c r="BB85" s="151" t="n">
        <f aca="false">TblProd[[#This Row],[Hour]]</f>
        <v>10</v>
      </c>
      <c r="BC85" s="152" t="n">
        <f aca="false">-TblProd[[#This Row],[Bank Lumber]] / 2 + -TblProd[[#This Row],[Bank Gems]] * 2 + -TblProd[[#This Row],[Bank Ore]] / 2</f>
        <v>0</v>
      </c>
      <c r="BD85" s="152"/>
      <c r="BE85" s="152"/>
      <c r="BF85" s="152"/>
      <c r="BG85" s="153" t="n">
        <f aca="false">TblProd[[#This Row],[Time]]</f>
        <v>45433.125</v>
      </c>
      <c r="BH8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69" t="n">
        <f aca="false">TblProd[[#This Row],[Platinum]]</f>
        <v>381464</v>
      </c>
      <c r="BJ85" s="69" t="n">
        <f aca="false">TblProd[[#This Row],[Food]]</f>
        <v>3917</v>
      </c>
      <c r="BK85" s="69" t="n">
        <f aca="false">TblProd[[#This Row],[Lumber]]</f>
        <v>22560</v>
      </c>
      <c r="BL85" s="69" t="n">
        <f aca="false">TblProd[[#This Row],[Mana]]</f>
        <v>7839.5</v>
      </c>
      <c r="BM85" s="69" t="n">
        <f aca="false">TblProd[[#This Row],[Ore]]</f>
        <v>0</v>
      </c>
    </row>
    <row r="86" customFormat="false" ht="12.75" hidden="false" customHeight="false" outlineLevel="0" collapsed="false">
      <c r="A86" s="128" t="n">
        <v>11</v>
      </c>
      <c r="B86" s="144" t="n">
        <f aca="false">TblImps[[#This Row],[Time]]</f>
        <v>45433.1666666667</v>
      </c>
      <c r="C86" s="145"/>
      <c r="D86" s="146"/>
      <c r="E86" s="69" t="n">
        <f aca="false">TblConstr[[#This Row],[Land]]</f>
        <v>700</v>
      </c>
      <c r="F86" s="69" t="n">
        <f aca="false">TblPop[[#This Row],[Peasants]]</f>
        <v>9057</v>
      </c>
      <c r="G86" s="69" t="e">
        <f aca="false">TblMili[[#This Row],[Networth (2)]]</f>
        <v>#VALUE!</v>
      </c>
      <c r="H86" s="69" t="n">
        <f aca="false">OFFSET(TblProd[[#This Row],[Platinum]],-1,0)+OFFSET(TblProd[[#This Row],[Plat/hr]],-1,0) - TblProd[[#This Row],[Expenses Platinum]] + IF(TblProd[[#This Row],[Plat Bonus]],TblPop[[#This Row],[Peasants]]*4) + SUM(TblConstr[[#This Row],[Dest Hom]:[Dest Doc]])*TblConstr[[#This Row],[CPA Platinum -DB]]*tech_3_3_2*TblTech[[#This Row],[3-3]]</f>
        <v>426178</v>
      </c>
      <c r="I86" s="69" t="n">
        <f aca="false">OFFSET(TblProd[[#This Row],[Food]],-1,0)+OFFSET(TblProd[[#This Row],[Food/hr]],-1,0)+ROUNDUP((TblConstr[[#This Row],[Farms]]*80+TblConstr[[#This Row],[Docks]]*35)*(1+OFFSET(TblProd[[#This Row],[Bonus Food/hr]],-1,0)),0)</f>
        <v>4005</v>
      </c>
      <c r="J86" s="69" t="n">
        <f aca="false">OFFSET(TblProd[[#This Row],[Lumber]],-1,0)+OFFSET(TblProd[[#This Row],[Lumber/hr]],-1,0) - TblProd[[#This Row],[Expenses Lumber]] + SUM(TblConstr[[#This Row],[Dest Hom]:[Dest Doc]])*TblConstr[[#This Row],[CPA Lumber -DB]]*tech_3_3_2*TblTech[[#This Row],[3-3]]</f>
        <v>23459</v>
      </c>
      <c r="K86" s="69" t="n">
        <f aca="false">OFFSET(TblProd[[#This Row],[Mana]],-1,0)+OFFSET(TblProd[[#This Row],[Mana/hr]],-1,0)- TblProd[[#This Row],[Expenses Mana]]</f>
        <v>8407.5</v>
      </c>
      <c r="L86" s="69" t="n">
        <f aca="false">OFFSET(TblProd[[#This Row],[Ore]],-1,0)+OFFSET(TblProd[[#This Row],[Ore/hr]],-1,0) -TblProd[[#This Row],[Expenses Ore]]</f>
        <v>0</v>
      </c>
      <c r="M86" s="69" t="n">
        <f aca="false">OFFSET(TblProd[[#This Row],[Gems]],-1,0)+OFFSET(TblProd[[#This Row],[Gems/hr]],-1,0) - TblProd[[#This Row],[Expenses Gems]]</f>
        <v>0</v>
      </c>
      <c r="N86" s="69" t="n">
        <f aca="false">OFFSET(TblProd[[#This Row],[Boats]],-1,0)+OFFSET(TblProd[[#This Row],[Boats/hr]],-1,0)</f>
        <v>40.25</v>
      </c>
      <c r="O86" s="69" t="n">
        <f aca="false">OFFSET(TblProd[[#This Row],[Prestige]],-1,0)</f>
        <v>250</v>
      </c>
      <c r="P8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6" s="69" t="n">
        <f aca="false">MAX(3750,_xlfn.CEILING.MATH(TblProd[[#This Row],[Land]]*2.5+OFFSET(TblTech[[#This Row],[Sum of tech]],-1,0)*150))</f>
        <v>3750</v>
      </c>
      <c r="R86" s="132"/>
      <c r="S86" s="69" t="n">
        <f aca="false">ROUNDDOWN(TblProd[[#This Row],[Raw Plat/hr]]*(1+TblProd[[#This Row],[Bonus Plat/hr]]),0)</f>
        <v>44444</v>
      </c>
      <c r="T86" s="69" t="n">
        <f aca="false">ROUND(TblProd[[#This Row],[Raw Food/hr]]*(1+TblProd[[#This Row],[Bonus Food/hr]])-TblProd[[#This Row],[Food decay]]-TblProd[[#This Row],[Food eaten]],0)</f>
        <v>87</v>
      </c>
      <c r="U86" s="69" t="n">
        <f aca="false">ROUND(TblProd[[#This Row],[Raw Lumber/hr]]*(1+TblProd[[#This Row],[Bonus Lumber/hr]])-TblProd[[#This Row],[Lumber rot]],0)</f>
        <v>890</v>
      </c>
      <c r="V86" s="69" t="n">
        <f aca="false">ROUND(TblProd[[#This Row],[Raw Mana/hr]]*(1+TblProd[[#This Row],[Bonus Mana/hr]])-TblProd[[#This Row],[Mana drain]],0)</f>
        <v>557</v>
      </c>
      <c r="W86" s="69" t="n">
        <f aca="false">ROUNDDOWN(TblProd[[#This Row],[Raw Ore/hr]]*(1+TblProd[[#This Row],[Bonux Ore/hr]]),0)</f>
        <v>0</v>
      </c>
      <c r="X86" s="69" t="n">
        <f aca="false">ROUNDDOWN(TblProd[[#This Row],[Raw Gems/hr]]*(1+TblProd[[#This Row],[Bonus Gems/hr]]),0)</f>
        <v>0</v>
      </c>
      <c r="Y86" s="148" t="n">
        <f aca="false">OFFSET(TblConstr[[#This Row],[Tot Doc]],1,0)*dock_boats_hr * (1 + tech_4_1*TblTech[[#This Row],[4-1]])</f>
        <v>1.2</v>
      </c>
      <c r="Z86" s="146"/>
      <c r="AA86" s="69" t="n">
        <f aca="false">TblPop[[#This Row],[Peasants]]*tax*TblPop[[#This Row],[Employment]] + (Construction!AZ87+Construction!BX87)*(alch_plat+(Magic!AM86&gt;0)*alchemist_flame_bonus)</f>
        <v>40403.9</v>
      </c>
      <c r="AB86" s="69" t="n">
        <f aca="false">TblConstr[[#This Row],[Tot Farm]]*farm_food + TblConstr[[#This Row],[Tot Doc]]*dock_food</f>
        <v>3280</v>
      </c>
      <c r="AC86" s="69" t="n">
        <f aca="false">TblConstr[[#This Row],[Tot Ly]]*ly_lumber + TblConstr[[#This Row],[Tot Hav]]*fh_lumber</f>
        <v>1250</v>
      </c>
      <c r="AD86" s="69" t="n">
        <f aca="false">OFFSET(TblConstr[[#This Row],[Tot Tow]],1,0)*(tower_mana + tech_4_5*TblTech[[#This Row],[4-5]]) + OFFSET(TblConstr[[#This Row],[Tot WG]],1,0)*wg_mana_prod</f>
        <v>725</v>
      </c>
      <c r="AE86" s="69" t="n">
        <f aca="false">OFFSET(TblConstr[[#This Row],[Tot OM]],1,0)*om_ore+IF(race="Dwarf",ROUNDDOWN(TblMili[[#This Row],[Unit 2]]*0.4,0),)</f>
        <v>0</v>
      </c>
      <c r="AF86" s="69" t="n">
        <f aca="false">OFFSET(TblConstr[[#This Row],[Tot DM]],1,0)*dm_gems</f>
        <v>0</v>
      </c>
      <c r="AG86" s="132"/>
      <c r="AH86" s="149" t="n">
        <f aca="false">MIN(race_platinum_bonus + IF(TblMagic[[#This Row],[Active Alch Frost]]&gt;0,alch_frost_bonus,IF(Magic!AD86&gt;0,midas_bonus)) + TblImps[[#This Row],[Science]] - TblProd[[#This Row],[Guard]]*(0.02 + tech_5_7*TblTech[[#This Row],[5-7]]) + tech_1_5*TblTech[[#This Row],[1-5]] + tech_4_4*TblTech[[#This Row],[4-4]], 0.5)</f>
        <v>0.1</v>
      </c>
      <c r="AI8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6" s="149" t="n">
        <f aca="false">race_lumber_bonus+ IF(TblMagic[[#This Row],[Active Gaia''s Blessing]]&gt;0,gaias_blessing_lumber)+ tech_1_3*TblTech[[#This Row],[1-3]] + tech_1_6*TblTech[[#This Row],[1-6]] + tech_3_3*TblTech[[#This Row],[3-3]]</f>
        <v>-0.1</v>
      </c>
      <c r="AK86" s="149" t="n">
        <f aca="false">race_mana_bonus+ 0 + TblImps[[#This Row],[Towers]] + tech_1_2*TblTech[[#This Row],[1-2]] + tech_3_4*TblTech[[#This Row],[3-4]]</f>
        <v>0</v>
      </c>
      <c r="AL86" s="149" t="n">
        <f aca="false">race_ore_bonus + IF(TblMagic[[#This Row],[Active Miner''s Sight]]&gt;0,miners_sight_bonus,IF(TblMagic[[#This Row],[Active Mining Strength]]&gt;0,mining_strength_bonus)) +  tech_1_6*TblTech[[#This Row],[1-6]]</f>
        <v>0</v>
      </c>
      <c r="AM86" s="149" t="n">
        <f aca="false">race_gem_bonus+ tech_3_2*TblTech[[#This Row],[3-2]] + tech_4_3*TblTech[[#This Row],[4-3]] + tech_6_2*TblTech[[#This Row],[6-2]]</f>
        <v>0.15</v>
      </c>
      <c r="AN86" s="132"/>
      <c r="AO86" s="69" t="n">
        <f aca="false">TblProd[[#This Row],[Food]]*food_decay * (1 + tech_2_1*TblTech[[#This Row],[2-1]] + tech_2_8*TblTech[[#This Row],[2-8]])</f>
        <v>40.05</v>
      </c>
      <c r="AP86" s="69" t="n">
        <f aca="false">(1+race_food_consumption)*TblPop[[#This Row],[Total]]*food_per_person*(1+tech_1_10*TblTech[[#This Row],[1-10]]+tech_7_5*TblTech[[#This Row],[7-5]])</f>
        <v>3234.75</v>
      </c>
      <c r="AQ86" s="69" t="n">
        <f aca="false">TblProd[[#This Row],[Lumber]]*lumber_rot * (1 + tech_2_1*TblTech[[#This Row],[2-1]] + tech_2_8*TblTech[[#This Row],[2-8]] + tech_5_2*TblTech[[#This Row],[5-2]])</f>
        <v>234.59</v>
      </c>
      <c r="AR86" s="69" t="n">
        <f aca="false">TblProd[[#This Row],[Mana]]*mana_drain * (1 + tech_2_1*TblTech[[#This Row],[2-1]] + tech_2_8*TblTech[[#This Row],[2-8]])</f>
        <v>168.15</v>
      </c>
      <c r="AS86" s="146"/>
      <c r="AT86" s="69" t="n">
        <f aca="false">TblExplore[[#This Row],[Platinum (2)]]+TblConstr[[#This Row],[Total Plat Cost]]+TblMili[[#This Row],[Plat Cost]]+TblRezone[[#This Row],[Platinum cost]]+TblImps[[#This Row],[P1]]-TblProd[[#This Row],[Bank Plat]]</f>
        <v>0</v>
      </c>
      <c r="AU86" s="69" t="n">
        <f aca="false">TblConstr[[#This Row],[Total Lum Cost]]+TblImps[[#This Row],[L1]]-TblProd[[#This Row],[Bank Lumber]] + Military!$CL$25*TblMili[[#This Row],[Sec. rec. Cost]]</f>
        <v>0</v>
      </c>
      <c r="AV86" s="69" t="n">
        <f aca="false">TblMagic[[#This Row],[Mana cost]] + Military!$CL$26*TblMili[[#This Row],[Sec. rec. Cost]]</f>
        <v>0</v>
      </c>
      <c r="AW86" s="69" t="n">
        <f aca="false">Military!$CL$24*TblMili[[#This Row],[Sec. rec. Cost]]+TblImps[[#This Row],[O1]]-TblProd[[#This Row],[Bank Ore]]</f>
        <v>0</v>
      </c>
      <c r="AX86" s="69" t="n">
        <f aca="false">TblImps[[#This Row],[G1]]-TblProd[[#This Row],[Bank Gems]]</f>
        <v>0</v>
      </c>
      <c r="AY86" s="132"/>
      <c r="AZ86" s="33" t="n">
        <f aca="false">IF(TblProd[[#This Row],[Set Guard]]&lt;&gt;"",TblProd[[#This Row],[Set Guard]],OFFSET(TblProd[[#This Row],[Guard]],-1,0))</f>
        <v>0</v>
      </c>
      <c r="BA86" s="145"/>
      <c r="BB86" s="151" t="n">
        <f aca="false">TblProd[[#This Row],[Hour]]</f>
        <v>11</v>
      </c>
      <c r="BC86" s="152" t="n">
        <f aca="false">-TblProd[[#This Row],[Bank Lumber]] / 2 + -TblProd[[#This Row],[Bank Gems]] * 2 + -TblProd[[#This Row],[Bank Ore]] / 2</f>
        <v>0</v>
      </c>
      <c r="BD86" s="152"/>
      <c r="BE86" s="152"/>
      <c r="BF86" s="152"/>
      <c r="BG86" s="153" t="n">
        <f aca="false">TblProd[[#This Row],[Time]]</f>
        <v>45433.1666666667</v>
      </c>
      <c r="BH8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69" t="n">
        <f aca="false">TblProd[[#This Row],[Platinum]]</f>
        <v>426178</v>
      </c>
      <c r="BJ86" s="69" t="n">
        <f aca="false">TblProd[[#This Row],[Food]]</f>
        <v>4005</v>
      </c>
      <c r="BK86" s="69" t="n">
        <f aca="false">TblProd[[#This Row],[Lumber]]</f>
        <v>23459</v>
      </c>
      <c r="BL86" s="69" t="n">
        <f aca="false">TblProd[[#This Row],[Mana]]</f>
        <v>8407.5</v>
      </c>
      <c r="BM86" s="69" t="n">
        <f aca="false">TblProd[[#This Row],[Ore]]</f>
        <v>0</v>
      </c>
    </row>
    <row r="87" customFormat="false" ht="12.75" hidden="false" customHeight="false" outlineLevel="0" collapsed="false">
      <c r="A87" s="128" t="n">
        <v>12</v>
      </c>
      <c r="B87" s="144" t="n">
        <f aca="false">TblImps[[#This Row],[Time]]</f>
        <v>45433.2083333333</v>
      </c>
      <c r="C87" s="145"/>
      <c r="D87" s="146"/>
      <c r="E87" s="69" t="n">
        <f aca="false">TblConstr[[#This Row],[Land]]</f>
        <v>700</v>
      </c>
      <c r="F87" s="69" t="n">
        <f aca="false">TblPop[[#This Row],[Peasants]]</f>
        <v>8966</v>
      </c>
      <c r="G87" s="69" t="e">
        <f aca="false">TblMili[[#This Row],[Networth (2)]]</f>
        <v>#VALUE!</v>
      </c>
      <c r="H87" s="69" t="n">
        <f aca="false">OFFSET(TblProd[[#This Row],[Platinum]],-1,0)+OFFSET(TblProd[[#This Row],[Plat/hr]],-1,0) - TblProd[[#This Row],[Expenses Platinum]] + IF(TblProd[[#This Row],[Plat Bonus]],TblPop[[#This Row],[Peasants]]*4) + SUM(TblConstr[[#This Row],[Dest Hom]:[Dest Doc]])*TblConstr[[#This Row],[CPA Platinum -DB]]*tech_3_3_2*TblTech[[#This Row],[3-3]]</f>
        <v>470622</v>
      </c>
      <c r="I87" s="69" t="n">
        <f aca="false">OFFSET(TblProd[[#This Row],[Food]],-1,0)+OFFSET(TblProd[[#This Row],[Food/hr]],-1,0)+ROUNDUP((TblConstr[[#This Row],[Farms]]*80+TblConstr[[#This Row],[Docks]]*35)*(1+OFFSET(TblProd[[#This Row],[Bonus Food/hr]],-1,0)),0)</f>
        <v>4092</v>
      </c>
      <c r="J87" s="69" t="n">
        <f aca="false">OFFSET(TblProd[[#This Row],[Lumber]],-1,0)+OFFSET(TblProd[[#This Row],[Lumber/hr]],-1,0) - TblProd[[#This Row],[Expenses Lumber]] + SUM(TblConstr[[#This Row],[Dest Hom]:[Dest Doc]])*TblConstr[[#This Row],[CPA Lumber -DB]]*tech_3_3_2*TblTech[[#This Row],[3-3]]</f>
        <v>24349</v>
      </c>
      <c r="K87" s="69" t="n">
        <f aca="false">OFFSET(TblProd[[#This Row],[Mana]],-1,0)+OFFSET(TblProd[[#This Row],[Mana/hr]],-1,0)- TblProd[[#This Row],[Expenses Mana]]</f>
        <v>8964.5</v>
      </c>
      <c r="L87" s="69" t="n">
        <f aca="false">OFFSET(TblProd[[#This Row],[Ore]],-1,0)+OFFSET(TblProd[[#This Row],[Ore/hr]],-1,0) -TblProd[[#This Row],[Expenses Ore]]</f>
        <v>0</v>
      </c>
      <c r="M87" s="69" t="n">
        <f aca="false">OFFSET(TblProd[[#This Row],[Gems]],-1,0)+OFFSET(TblProd[[#This Row],[Gems/hr]],-1,0) - TblProd[[#This Row],[Expenses Gems]]</f>
        <v>0</v>
      </c>
      <c r="N87" s="69" t="n">
        <f aca="false">OFFSET(TblProd[[#This Row],[Boats]],-1,0)+OFFSET(TblProd[[#This Row],[Boats/hr]],-1,0)</f>
        <v>41.45</v>
      </c>
      <c r="O87" s="69" t="n">
        <f aca="false">OFFSET(TblProd[[#This Row],[Prestige]],-1,0)</f>
        <v>250</v>
      </c>
      <c r="P8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7" s="69" t="n">
        <f aca="false">MAX(3750,_xlfn.CEILING.MATH(TblProd[[#This Row],[Land]]*2.5+OFFSET(TblTech[[#This Row],[Sum of tech]],-1,0)*150))</f>
        <v>3750</v>
      </c>
      <c r="R87" s="132"/>
      <c r="S87" s="69" t="n">
        <f aca="false">ROUNDDOWN(TblProd[[#This Row],[Raw Plat/hr]]*(1+TblProd[[#This Row],[Bonus Plat/hr]]),0)</f>
        <v>44174</v>
      </c>
      <c r="T87" s="69" t="n">
        <f aca="false">ROUND(TblProd[[#This Row],[Raw Food/hr]]*(1+TblProd[[#This Row],[Bonus Food/hr]])-TblProd[[#This Row],[Food decay]]-TblProd[[#This Row],[Food eaten]],0)</f>
        <v>86</v>
      </c>
      <c r="U87" s="69" t="n">
        <f aca="false">ROUND(TblProd[[#This Row],[Raw Lumber/hr]]*(1+TblProd[[#This Row],[Bonus Lumber/hr]])-TblProd[[#This Row],[Lumber rot]],0)</f>
        <v>882</v>
      </c>
      <c r="V87" s="69" t="n">
        <f aca="false">ROUND(TblProd[[#This Row],[Raw Mana/hr]]*(1+TblProd[[#This Row],[Bonus Mana/hr]])-TblProd[[#This Row],[Mana drain]],0)</f>
        <v>546</v>
      </c>
      <c r="W87" s="69" t="n">
        <f aca="false">ROUNDDOWN(TblProd[[#This Row],[Raw Ore/hr]]*(1+TblProd[[#This Row],[Bonux Ore/hr]]),0)</f>
        <v>0</v>
      </c>
      <c r="X87" s="69" t="n">
        <f aca="false">ROUNDDOWN(TblProd[[#This Row],[Raw Gems/hr]]*(1+TblProd[[#This Row],[Bonus Gems/hr]]),0)</f>
        <v>0</v>
      </c>
      <c r="Y87" s="148" t="n">
        <f aca="false">OFFSET(TblConstr[[#This Row],[Tot Doc]],1,0)*dock_boats_hr * (1 + tech_4_1*TblTech[[#This Row],[4-1]])</f>
        <v>1.2</v>
      </c>
      <c r="Z87" s="146"/>
      <c r="AA87" s="69" t="n">
        <f aca="false">TblPop[[#This Row],[Peasants]]*tax*TblPop[[#This Row],[Employment]] + (Construction!AZ88+Construction!BX88)*(alch_plat+(Magic!AM87&gt;0)*alchemist_flame_bonus)</f>
        <v>40158.2</v>
      </c>
      <c r="AB87" s="69" t="n">
        <f aca="false">TblConstr[[#This Row],[Tot Farm]]*farm_food + TblConstr[[#This Row],[Tot Doc]]*dock_food</f>
        <v>3280</v>
      </c>
      <c r="AC87" s="69" t="n">
        <f aca="false">TblConstr[[#This Row],[Tot Ly]]*ly_lumber + TblConstr[[#This Row],[Tot Hav]]*fh_lumber</f>
        <v>1250</v>
      </c>
      <c r="AD87" s="69" t="n">
        <f aca="false">OFFSET(TblConstr[[#This Row],[Tot Tow]],1,0)*(tower_mana + tech_4_5*TblTech[[#This Row],[4-5]]) + OFFSET(TblConstr[[#This Row],[Tot WG]],1,0)*wg_mana_prod</f>
        <v>725</v>
      </c>
      <c r="AE87" s="69" t="n">
        <f aca="false">OFFSET(TblConstr[[#This Row],[Tot OM]],1,0)*om_ore+IF(race="Dwarf",ROUNDDOWN(TblMili[[#This Row],[Unit 2]]*0.4,0),)</f>
        <v>0</v>
      </c>
      <c r="AF87" s="69" t="n">
        <f aca="false">OFFSET(TblConstr[[#This Row],[Tot DM]],1,0)*dm_gems</f>
        <v>0</v>
      </c>
      <c r="AG87" s="132"/>
      <c r="AH87" s="149" t="n">
        <f aca="false">MIN(race_platinum_bonus + IF(TblMagic[[#This Row],[Active Alch Frost]]&gt;0,alch_frost_bonus,IF(Magic!AD87&gt;0,midas_bonus)) + TblImps[[#This Row],[Science]] - TblProd[[#This Row],[Guard]]*(0.02 + tech_5_7*TblTech[[#This Row],[5-7]]) + tech_1_5*TblTech[[#This Row],[1-5]] + tech_4_4*TblTech[[#This Row],[4-4]], 0.5)</f>
        <v>0.1</v>
      </c>
      <c r="AI8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7" s="149" t="n">
        <f aca="false">race_lumber_bonus+ IF(TblMagic[[#This Row],[Active Gaia''s Blessing]]&gt;0,gaias_blessing_lumber)+ tech_1_3*TblTech[[#This Row],[1-3]] + tech_1_6*TblTech[[#This Row],[1-6]] + tech_3_3*TblTech[[#This Row],[3-3]]</f>
        <v>-0.1</v>
      </c>
      <c r="AK87" s="149" t="n">
        <f aca="false">race_mana_bonus+ 0 + TblImps[[#This Row],[Towers]] + tech_1_2*TblTech[[#This Row],[1-2]] + tech_3_4*TblTech[[#This Row],[3-4]]</f>
        <v>0</v>
      </c>
      <c r="AL87" s="149" t="n">
        <f aca="false">race_ore_bonus + IF(TblMagic[[#This Row],[Active Miner''s Sight]]&gt;0,miners_sight_bonus,IF(TblMagic[[#This Row],[Active Mining Strength]]&gt;0,mining_strength_bonus)) +  tech_1_6*TblTech[[#This Row],[1-6]]</f>
        <v>0</v>
      </c>
      <c r="AM87" s="149" t="n">
        <f aca="false">race_gem_bonus+ tech_3_2*TblTech[[#This Row],[3-2]] + tech_4_3*TblTech[[#This Row],[4-3]] + tech_6_2*TblTech[[#This Row],[6-2]]</f>
        <v>0.15</v>
      </c>
      <c r="AN87" s="132"/>
      <c r="AO87" s="69" t="n">
        <f aca="false">TblProd[[#This Row],[Food]]*food_decay * (1 + tech_2_1*TblTech[[#This Row],[2-1]] + tech_2_8*TblTech[[#This Row],[2-8]])</f>
        <v>40.92</v>
      </c>
      <c r="AP87" s="69" t="n">
        <f aca="false">(1+race_food_consumption)*TblPop[[#This Row],[Total]]*food_per_person*(1+tech_1_10*TblTech[[#This Row],[1-10]]+tech_7_5*TblTech[[#This Row],[7-5]])</f>
        <v>3234.75</v>
      </c>
      <c r="AQ87" s="69" t="n">
        <f aca="false">TblProd[[#This Row],[Lumber]]*lumber_rot * (1 + tech_2_1*TblTech[[#This Row],[2-1]] + tech_2_8*TblTech[[#This Row],[2-8]] + tech_5_2*TblTech[[#This Row],[5-2]])</f>
        <v>243.49</v>
      </c>
      <c r="AR87" s="69" t="n">
        <f aca="false">TblProd[[#This Row],[Mana]]*mana_drain * (1 + tech_2_1*TblTech[[#This Row],[2-1]] + tech_2_8*TblTech[[#This Row],[2-8]])</f>
        <v>179.29</v>
      </c>
      <c r="AS87" s="146"/>
      <c r="AT87" s="69" t="n">
        <f aca="false">TblExplore[[#This Row],[Platinum (2)]]+TblConstr[[#This Row],[Total Plat Cost]]+TblMili[[#This Row],[Plat Cost]]+TblRezone[[#This Row],[Platinum cost]]+TblImps[[#This Row],[P1]]-TblProd[[#This Row],[Bank Plat]]</f>
        <v>0</v>
      </c>
      <c r="AU87" s="69" t="n">
        <f aca="false">TblConstr[[#This Row],[Total Lum Cost]]+TblImps[[#This Row],[L1]]-TblProd[[#This Row],[Bank Lumber]] + Military!$CL$25*TblMili[[#This Row],[Sec. rec. Cost]]</f>
        <v>0</v>
      </c>
      <c r="AV87" s="69" t="n">
        <f aca="false">TblMagic[[#This Row],[Mana cost]] + Military!$CL$26*TblMili[[#This Row],[Sec. rec. Cost]]</f>
        <v>0</v>
      </c>
      <c r="AW87" s="69" t="n">
        <f aca="false">Military!$CL$24*TblMili[[#This Row],[Sec. rec. Cost]]+TblImps[[#This Row],[O1]]-TblProd[[#This Row],[Bank Ore]]</f>
        <v>0</v>
      </c>
      <c r="AX87" s="69" t="n">
        <f aca="false">TblImps[[#This Row],[G1]]-TblProd[[#This Row],[Bank Gems]]</f>
        <v>0</v>
      </c>
      <c r="AY87" s="132"/>
      <c r="AZ87" s="33" t="n">
        <f aca="false">IF(TblProd[[#This Row],[Set Guard]]&lt;&gt;"",TblProd[[#This Row],[Set Guard]],OFFSET(TblProd[[#This Row],[Guard]],-1,0))</f>
        <v>0</v>
      </c>
      <c r="BA87" s="145"/>
      <c r="BB87" s="151" t="n">
        <f aca="false">TblProd[[#This Row],[Hour]]</f>
        <v>12</v>
      </c>
      <c r="BC87" s="152" t="n">
        <f aca="false">-TblProd[[#This Row],[Bank Lumber]] / 2 + -TblProd[[#This Row],[Bank Gems]] * 2 + -TblProd[[#This Row],[Bank Ore]] / 2</f>
        <v>0</v>
      </c>
      <c r="BD87" s="152"/>
      <c r="BE87" s="152"/>
      <c r="BF87" s="152"/>
      <c r="BG87" s="153" t="n">
        <f aca="false">TblProd[[#This Row],[Time]]</f>
        <v>45433.2083333333</v>
      </c>
      <c r="BH8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69" t="n">
        <f aca="false">TblProd[[#This Row],[Platinum]]</f>
        <v>470622</v>
      </c>
      <c r="BJ87" s="69" t="n">
        <f aca="false">TblProd[[#This Row],[Food]]</f>
        <v>4092</v>
      </c>
      <c r="BK87" s="69" t="n">
        <f aca="false">TblProd[[#This Row],[Lumber]]</f>
        <v>24349</v>
      </c>
      <c r="BL87" s="69" t="n">
        <f aca="false">TblProd[[#This Row],[Mana]]</f>
        <v>8964.5</v>
      </c>
      <c r="BM87" s="69" t="n">
        <f aca="false">TblProd[[#This Row],[Ore]]</f>
        <v>0</v>
      </c>
    </row>
    <row r="88" customFormat="false" ht="12.75" hidden="false" customHeight="false" outlineLevel="0" collapsed="false">
      <c r="A88" s="128" t="n">
        <v>13</v>
      </c>
      <c r="B88" s="144" t="n">
        <f aca="false">TblImps[[#This Row],[Time]]</f>
        <v>45433.25</v>
      </c>
      <c r="C88" s="145"/>
      <c r="D88" s="146"/>
      <c r="E88" s="69" t="n">
        <f aca="false">TblConstr[[#This Row],[Land]]</f>
        <v>700</v>
      </c>
      <c r="F88" s="69" t="n">
        <f aca="false">TblPop[[#This Row],[Peasants]]</f>
        <v>8876</v>
      </c>
      <c r="G88" s="69" t="e">
        <f aca="false">TblMili[[#This Row],[Networth (2)]]</f>
        <v>#VALUE!</v>
      </c>
      <c r="H88" s="69" t="n">
        <f aca="false">OFFSET(TblProd[[#This Row],[Platinum]],-1,0)+OFFSET(TblProd[[#This Row],[Plat/hr]],-1,0) - TblProd[[#This Row],[Expenses Platinum]] + IF(TblProd[[#This Row],[Plat Bonus]],TblPop[[#This Row],[Peasants]]*4) + SUM(TblConstr[[#This Row],[Dest Hom]:[Dest Doc]])*TblConstr[[#This Row],[CPA Platinum -DB]]*tech_3_3_2*TblTech[[#This Row],[3-3]]</f>
        <v>514796</v>
      </c>
      <c r="I88" s="69" t="n">
        <f aca="false">OFFSET(TblProd[[#This Row],[Food]],-1,0)+OFFSET(TblProd[[#This Row],[Food/hr]],-1,0)+ROUNDUP((TblConstr[[#This Row],[Farms]]*80+TblConstr[[#This Row],[Docks]]*35)*(1+OFFSET(TblProd[[#This Row],[Bonus Food/hr]],-1,0)),0)</f>
        <v>4178</v>
      </c>
      <c r="J88" s="69" t="n">
        <f aca="false">OFFSET(TblProd[[#This Row],[Lumber]],-1,0)+OFFSET(TblProd[[#This Row],[Lumber/hr]],-1,0) - TblProd[[#This Row],[Expenses Lumber]] + SUM(TblConstr[[#This Row],[Dest Hom]:[Dest Doc]])*TblConstr[[#This Row],[CPA Lumber -DB]]*tech_3_3_2*TblTech[[#This Row],[3-3]]</f>
        <v>25231</v>
      </c>
      <c r="K88" s="69" t="n">
        <f aca="false">OFFSET(TblProd[[#This Row],[Mana]],-1,0)+OFFSET(TblProd[[#This Row],[Mana/hr]],-1,0)- TblProd[[#This Row],[Expenses Mana]]</f>
        <v>2510.5</v>
      </c>
      <c r="L88" s="69" t="n">
        <f aca="false">OFFSET(TblProd[[#This Row],[Ore]],-1,0)+OFFSET(TblProd[[#This Row],[Ore/hr]],-1,0) -TblProd[[#This Row],[Expenses Ore]]</f>
        <v>0</v>
      </c>
      <c r="M88" s="69" t="n">
        <f aca="false">OFFSET(TblProd[[#This Row],[Gems]],-1,0)+OFFSET(TblProd[[#This Row],[Gems/hr]],-1,0) - TblProd[[#This Row],[Expenses Gems]]</f>
        <v>0</v>
      </c>
      <c r="N88" s="69" t="n">
        <f aca="false">OFFSET(TblProd[[#This Row],[Boats]],-1,0)+OFFSET(TblProd[[#This Row],[Boats/hr]],-1,0)</f>
        <v>42.65</v>
      </c>
      <c r="O88" s="69" t="n">
        <f aca="false">OFFSET(TblProd[[#This Row],[Prestige]],-1,0)</f>
        <v>250</v>
      </c>
      <c r="P8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8" s="69" t="n">
        <f aca="false">MAX(3750,_xlfn.CEILING.MATH(TblProd[[#This Row],[Land]]*2.5+OFFSET(TblTech[[#This Row],[Sum of tech]],-1,0)*150))</f>
        <v>3750</v>
      </c>
      <c r="R88" s="132"/>
      <c r="S88" s="69" t="n">
        <f aca="false">ROUNDDOWN(TblProd[[#This Row],[Raw Plat/hr]]*(1+TblProd[[#This Row],[Bonus Plat/hr]]),0)</f>
        <v>43906</v>
      </c>
      <c r="T88" s="69" t="n">
        <f aca="false">ROUND(TblProd[[#This Row],[Raw Food/hr]]*(1+TblProd[[#This Row],[Bonus Food/hr]])-TblProd[[#This Row],[Food decay]]-TblProd[[#This Row],[Food eaten]],0)</f>
        <v>85</v>
      </c>
      <c r="U88" s="69" t="n">
        <f aca="false">ROUND(TblProd[[#This Row],[Raw Lumber/hr]]*(1+TblProd[[#This Row],[Bonus Lumber/hr]])-TblProd[[#This Row],[Lumber rot]],0)</f>
        <v>873</v>
      </c>
      <c r="V88" s="69" t="n">
        <f aca="false">ROUND(TblProd[[#This Row],[Raw Mana/hr]]*(1+TblProd[[#This Row],[Bonus Mana/hr]])-TblProd[[#This Row],[Mana drain]],0)</f>
        <v>675</v>
      </c>
      <c r="W88" s="69" t="n">
        <f aca="false">ROUNDDOWN(TblProd[[#This Row],[Raw Ore/hr]]*(1+TblProd[[#This Row],[Bonux Ore/hr]]),0)</f>
        <v>0</v>
      </c>
      <c r="X88" s="69" t="n">
        <f aca="false">ROUNDDOWN(TblProd[[#This Row],[Raw Gems/hr]]*(1+TblProd[[#This Row],[Bonus Gems/hr]]),0)</f>
        <v>0</v>
      </c>
      <c r="Y88" s="148" t="n">
        <f aca="false">OFFSET(TblConstr[[#This Row],[Tot Doc]],1,0)*dock_boats_hr * (1 + tech_4_1*TblTech[[#This Row],[4-1]])</f>
        <v>1.2</v>
      </c>
      <c r="Z88" s="146"/>
      <c r="AA88" s="69" t="n">
        <f aca="false">TblPop[[#This Row],[Peasants]]*tax*TblPop[[#This Row],[Employment]] + (Construction!AZ89+Construction!BX89)*(alch_plat+(Magic!AM88&gt;0)*alchemist_flame_bonus)</f>
        <v>39915.2</v>
      </c>
      <c r="AB88" s="69" t="n">
        <f aca="false">TblConstr[[#This Row],[Tot Farm]]*farm_food + TblConstr[[#This Row],[Tot Doc]]*dock_food</f>
        <v>3280</v>
      </c>
      <c r="AC88" s="69" t="n">
        <f aca="false">TblConstr[[#This Row],[Tot Ly]]*ly_lumber + TblConstr[[#This Row],[Tot Hav]]*fh_lumber</f>
        <v>1250</v>
      </c>
      <c r="AD88" s="69" t="n">
        <f aca="false">OFFSET(TblConstr[[#This Row],[Tot Tow]],1,0)*(tower_mana + tech_4_5*TblTech[[#This Row],[4-5]]) + OFFSET(TblConstr[[#This Row],[Tot WG]],1,0)*wg_mana_prod</f>
        <v>725</v>
      </c>
      <c r="AE88" s="69" t="n">
        <f aca="false">OFFSET(TblConstr[[#This Row],[Tot OM]],1,0)*om_ore+IF(race="Dwarf",ROUNDDOWN(TblMili[[#This Row],[Unit 2]]*0.4,0),)</f>
        <v>0</v>
      </c>
      <c r="AF88" s="69" t="n">
        <f aca="false">OFFSET(TblConstr[[#This Row],[Tot DM]],1,0)*dm_gems</f>
        <v>0</v>
      </c>
      <c r="AG88" s="132"/>
      <c r="AH88" s="149" t="n">
        <f aca="false">MIN(race_platinum_bonus + IF(TblMagic[[#This Row],[Active Alch Frost]]&gt;0,alch_frost_bonus,IF(Magic!AD88&gt;0,midas_bonus)) + TblImps[[#This Row],[Science]] - TblProd[[#This Row],[Guard]]*(0.02 + tech_5_7*TblTech[[#This Row],[5-7]]) + tech_1_5*TblTech[[#This Row],[1-5]] + tech_4_4*TblTech[[#This Row],[4-4]], 0.5)</f>
        <v>0.1</v>
      </c>
      <c r="AI8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8" s="149" t="n">
        <f aca="false">race_lumber_bonus+ IF(TblMagic[[#This Row],[Active Gaia''s Blessing]]&gt;0,gaias_blessing_lumber)+ tech_1_3*TblTech[[#This Row],[1-3]] + tech_1_6*TblTech[[#This Row],[1-6]] + tech_3_3*TblTech[[#This Row],[3-3]]</f>
        <v>-0.1</v>
      </c>
      <c r="AK88" s="149" t="n">
        <f aca="false">race_mana_bonus+ 0 + TblImps[[#This Row],[Towers]] + tech_1_2*TblTech[[#This Row],[1-2]] + tech_3_4*TblTech[[#This Row],[3-4]]</f>
        <v>0</v>
      </c>
      <c r="AL88" s="149" t="n">
        <f aca="false">race_ore_bonus + IF(TblMagic[[#This Row],[Active Miner''s Sight]]&gt;0,miners_sight_bonus,IF(TblMagic[[#This Row],[Active Mining Strength]]&gt;0,mining_strength_bonus)) +  tech_1_6*TblTech[[#This Row],[1-6]]</f>
        <v>0</v>
      </c>
      <c r="AM88" s="149" t="n">
        <f aca="false">race_gem_bonus+ tech_3_2*TblTech[[#This Row],[3-2]] + tech_4_3*TblTech[[#This Row],[4-3]] + tech_6_2*TblTech[[#This Row],[6-2]]</f>
        <v>0.15</v>
      </c>
      <c r="AN88" s="132"/>
      <c r="AO88" s="69" t="n">
        <f aca="false">TblProd[[#This Row],[Food]]*food_decay * (1 + tech_2_1*TblTech[[#This Row],[2-1]] + tech_2_8*TblTech[[#This Row],[2-8]])</f>
        <v>41.78</v>
      </c>
      <c r="AP88" s="69" t="n">
        <f aca="false">(1+race_food_consumption)*TblPop[[#This Row],[Total]]*food_per_person*(1+tech_1_10*TblTech[[#This Row],[1-10]]+tech_7_5*TblTech[[#This Row],[7-5]])</f>
        <v>3234.75</v>
      </c>
      <c r="AQ88" s="69" t="n">
        <f aca="false">TblProd[[#This Row],[Lumber]]*lumber_rot * (1 + tech_2_1*TblTech[[#This Row],[2-1]] + tech_2_8*TblTech[[#This Row],[2-8]] + tech_5_2*TblTech[[#This Row],[5-2]])</f>
        <v>252.31</v>
      </c>
      <c r="AR88" s="69" t="n">
        <f aca="false">TblProd[[#This Row],[Mana]]*mana_drain * (1 + tech_2_1*TblTech[[#This Row],[2-1]] + tech_2_8*TblTech[[#This Row],[2-8]])</f>
        <v>50.21</v>
      </c>
      <c r="AS88" s="146"/>
      <c r="AT88" s="69" t="n">
        <f aca="false">TblExplore[[#This Row],[Platinum (2)]]+TblConstr[[#This Row],[Total Plat Cost]]+TblMili[[#This Row],[Plat Cost]]+TblRezone[[#This Row],[Platinum cost]]+TblImps[[#This Row],[P1]]-TblProd[[#This Row],[Bank Plat]]</f>
        <v>0</v>
      </c>
      <c r="AU88" s="69" t="n">
        <f aca="false">TblConstr[[#This Row],[Total Lum Cost]]+TblImps[[#This Row],[L1]]-TblProd[[#This Row],[Bank Lumber]] + Military!$CL$25*TblMili[[#This Row],[Sec. rec. Cost]]</f>
        <v>0</v>
      </c>
      <c r="AV88" s="69" t="n">
        <f aca="false">TblMagic[[#This Row],[Mana cost]] + Military!$CL$26*TblMili[[#This Row],[Sec. rec. Cost]]</f>
        <v>7000</v>
      </c>
      <c r="AW88" s="69" t="n">
        <f aca="false">Military!$CL$24*TblMili[[#This Row],[Sec. rec. Cost]]+TblImps[[#This Row],[O1]]-TblProd[[#This Row],[Bank Ore]]</f>
        <v>0</v>
      </c>
      <c r="AX88" s="69" t="n">
        <f aca="false">TblImps[[#This Row],[G1]]-TblProd[[#This Row],[Bank Gems]]</f>
        <v>0</v>
      </c>
      <c r="AY88" s="132"/>
      <c r="AZ88" s="33" t="n">
        <f aca="false">IF(TblProd[[#This Row],[Set Guard]]&lt;&gt;"",TblProd[[#This Row],[Set Guard]],OFFSET(TblProd[[#This Row],[Guard]],-1,0))</f>
        <v>0</v>
      </c>
      <c r="BA88" s="145"/>
      <c r="BB88" s="151" t="n">
        <f aca="false">TblProd[[#This Row],[Hour]]</f>
        <v>13</v>
      </c>
      <c r="BC88" s="152" t="n">
        <f aca="false">-TblProd[[#This Row],[Bank Lumber]] / 2 + -TblProd[[#This Row],[Bank Gems]] * 2 + -TblProd[[#This Row],[Bank Ore]] / 2</f>
        <v>0</v>
      </c>
      <c r="BD88" s="152"/>
      <c r="BE88" s="152"/>
      <c r="BF88" s="152"/>
      <c r="BG88" s="153" t="n">
        <f aca="false">TblProd[[#This Row],[Time]]</f>
        <v>45433.25</v>
      </c>
      <c r="BH8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69" t="n">
        <f aca="false">TblProd[[#This Row],[Platinum]]</f>
        <v>514796</v>
      </c>
      <c r="BJ88" s="69" t="n">
        <f aca="false">TblProd[[#This Row],[Food]]</f>
        <v>4178</v>
      </c>
      <c r="BK88" s="69" t="n">
        <f aca="false">TblProd[[#This Row],[Lumber]]</f>
        <v>25231</v>
      </c>
      <c r="BL88" s="69" t="n">
        <f aca="false">TblProd[[#This Row],[Mana]]</f>
        <v>2510.5</v>
      </c>
      <c r="BM88" s="69" t="n">
        <f aca="false">TblProd[[#This Row],[Ore]]</f>
        <v>0</v>
      </c>
    </row>
    <row r="89" customFormat="false" ht="12.75" hidden="false" customHeight="false" outlineLevel="0" collapsed="false">
      <c r="A89" s="128" t="n">
        <v>14</v>
      </c>
      <c r="B89" s="144" t="n">
        <f aca="false">TblImps[[#This Row],[Time]]</f>
        <v>45433.2916666667</v>
      </c>
      <c r="C89" s="145"/>
      <c r="D89" s="146"/>
      <c r="E89" s="69" t="n">
        <f aca="false">TblConstr[[#This Row],[Land]]</f>
        <v>700</v>
      </c>
      <c r="F89" s="69" t="n">
        <f aca="false">TblPop[[#This Row],[Peasants]]</f>
        <v>8787</v>
      </c>
      <c r="G89" s="69" t="e">
        <f aca="false">TblMili[[#This Row],[Networth (2)]]</f>
        <v>#VALUE!</v>
      </c>
      <c r="H89" s="69" t="n">
        <f aca="false">OFFSET(TblProd[[#This Row],[Platinum]],-1,0)+OFFSET(TblProd[[#This Row],[Plat/hr]],-1,0) - TblProd[[#This Row],[Expenses Platinum]] + IF(TblProd[[#This Row],[Plat Bonus]],TblPop[[#This Row],[Peasants]]*4) + SUM(TblConstr[[#This Row],[Dest Hom]:[Dest Doc]])*TblConstr[[#This Row],[CPA Platinum -DB]]*tech_3_3_2*TblTech[[#This Row],[3-3]]</f>
        <v>558702</v>
      </c>
      <c r="I89" s="69" t="n">
        <f aca="false">OFFSET(TblProd[[#This Row],[Food]],-1,0)+OFFSET(TblProd[[#This Row],[Food/hr]],-1,0)+ROUNDUP((TblConstr[[#This Row],[Farms]]*80+TblConstr[[#This Row],[Docks]]*35)*(1+OFFSET(TblProd[[#This Row],[Bonus Food/hr]],-1,0)),0)</f>
        <v>4263</v>
      </c>
      <c r="J89" s="69" t="n">
        <f aca="false">OFFSET(TblProd[[#This Row],[Lumber]],-1,0)+OFFSET(TblProd[[#This Row],[Lumber/hr]],-1,0) - TblProd[[#This Row],[Expenses Lumber]] + SUM(TblConstr[[#This Row],[Dest Hom]:[Dest Doc]])*TblConstr[[#This Row],[CPA Lumber -DB]]*tech_3_3_2*TblTech[[#This Row],[3-3]]</f>
        <v>26104</v>
      </c>
      <c r="K89" s="69" t="n">
        <f aca="false">OFFSET(TblProd[[#This Row],[Mana]],-1,0)+OFFSET(TblProd[[#This Row],[Mana/hr]],-1,0)- TblProd[[#This Row],[Expenses Mana]]</f>
        <v>3185.5</v>
      </c>
      <c r="L89" s="69" t="n">
        <f aca="false">OFFSET(TblProd[[#This Row],[Ore]],-1,0)+OFFSET(TblProd[[#This Row],[Ore/hr]],-1,0) -TblProd[[#This Row],[Expenses Ore]]</f>
        <v>0</v>
      </c>
      <c r="M89" s="69" t="n">
        <f aca="false">OFFSET(TblProd[[#This Row],[Gems]],-1,0)+OFFSET(TblProd[[#This Row],[Gems/hr]],-1,0) - TblProd[[#This Row],[Expenses Gems]]</f>
        <v>0</v>
      </c>
      <c r="N89" s="69" t="n">
        <f aca="false">OFFSET(TblProd[[#This Row],[Boats]],-1,0)+OFFSET(TblProd[[#This Row],[Boats/hr]],-1,0)</f>
        <v>43.85</v>
      </c>
      <c r="O89" s="69" t="n">
        <f aca="false">OFFSET(TblProd[[#This Row],[Prestige]],-1,0)</f>
        <v>250</v>
      </c>
      <c r="P8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9" s="69" t="n">
        <f aca="false">MAX(3750,_xlfn.CEILING.MATH(TblProd[[#This Row],[Land]]*2.5+OFFSET(TblTech[[#This Row],[Sum of tech]],-1,0)*150))</f>
        <v>3750</v>
      </c>
      <c r="R89" s="132"/>
      <c r="S89" s="69" t="n">
        <f aca="false">ROUNDDOWN(TblProd[[#This Row],[Raw Plat/hr]]*(1+TblProd[[#This Row],[Bonus Plat/hr]]),0)</f>
        <v>43642</v>
      </c>
      <c r="T89" s="69" t="n">
        <f aca="false">ROUND(TblProd[[#This Row],[Raw Food/hr]]*(1+TblProd[[#This Row],[Bonus Food/hr]])-TblProd[[#This Row],[Food decay]]-TblProd[[#This Row],[Food eaten]],0)</f>
        <v>85</v>
      </c>
      <c r="U89" s="69" t="n">
        <f aca="false">ROUND(TblProd[[#This Row],[Raw Lumber/hr]]*(1+TblProd[[#This Row],[Bonus Lumber/hr]])-TblProd[[#This Row],[Lumber rot]],0)</f>
        <v>864</v>
      </c>
      <c r="V89" s="69" t="n">
        <f aca="false">ROUND(TblProd[[#This Row],[Raw Mana/hr]]*(1+TblProd[[#This Row],[Bonus Mana/hr]])-TblProd[[#This Row],[Mana drain]],0)</f>
        <v>661</v>
      </c>
      <c r="W89" s="69" t="n">
        <f aca="false">ROUNDDOWN(TblProd[[#This Row],[Raw Ore/hr]]*(1+TblProd[[#This Row],[Bonux Ore/hr]]),0)</f>
        <v>0</v>
      </c>
      <c r="X89" s="69" t="n">
        <f aca="false">ROUNDDOWN(TblProd[[#This Row],[Raw Gems/hr]]*(1+TblProd[[#This Row],[Bonus Gems/hr]]),0)</f>
        <v>0</v>
      </c>
      <c r="Y89" s="148" t="n">
        <f aca="false">OFFSET(TblConstr[[#This Row],[Tot Doc]],1,0)*dock_boats_hr * (1 + tech_4_1*TblTech[[#This Row],[4-1]])</f>
        <v>1.2</v>
      </c>
      <c r="Z89" s="146"/>
      <c r="AA89" s="69" t="n">
        <f aca="false">TblPop[[#This Row],[Peasants]]*tax*TblPop[[#This Row],[Employment]] + (Construction!AZ90+Construction!BX90)*(alch_plat+(Magic!AM89&gt;0)*alchemist_flame_bonus)</f>
        <v>39674.9</v>
      </c>
      <c r="AB89" s="69" t="n">
        <f aca="false">TblConstr[[#This Row],[Tot Farm]]*farm_food + TblConstr[[#This Row],[Tot Doc]]*dock_food</f>
        <v>3280</v>
      </c>
      <c r="AC89" s="69" t="n">
        <f aca="false">TblConstr[[#This Row],[Tot Ly]]*ly_lumber + TblConstr[[#This Row],[Tot Hav]]*fh_lumber</f>
        <v>1250</v>
      </c>
      <c r="AD89" s="69" t="n">
        <f aca="false">OFFSET(TblConstr[[#This Row],[Tot Tow]],1,0)*(tower_mana + tech_4_5*TblTech[[#This Row],[4-5]]) + OFFSET(TblConstr[[#This Row],[Tot WG]],1,0)*wg_mana_prod</f>
        <v>725</v>
      </c>
      <c r="AE89" s="69" t="n">
        <f aca="false">OFFSET(TblConstr[[#This Row],[Tot OM]],1,0)*om_ore+IF(race="Dwarf",ROUNDDOWN(TblMili[[#This Row],[Unit 2]]*0.4,0),)</f>
        <v>0</v>
      </c>
      <c r="AF89" s="69" t="n">
        <f aca="false">OFFSET(TblConstr[[#This Row],[Tot DM]],1,0)*dm_gems</f>
        <v>0</v>
      </c>
      <c r="AG89" s="132"/>
      <c r="AH89" s="149" t="n">
        <f aca="false">MIN(race_platinum_bonus + IF(TblMagic[[#This Row],[Active Alch Frost]]&gt;0,alch_frost_bonus,IF(Magic!AD89&gt;0,midas_bonus)) + TblImps[[#This Row],[Science]] - TblProd[[#This Row],[Guard]]*(0.02 + tech_5_7*TblTech[[#This Row],[5-7]]) + tech_1_5*TblTech[[#This Row],[1-5]] + tech_4_4*TblTech[[#This Row],[4-4]], 0.5)</f>
        <v>0.1</v>
      </c>
      <c r="AI8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9" s="149" t="n">
        <f aca="false">race_lumber_bonus+ IF(TblMagic[[#This Row],[Active Gaia''s Blessing]]&gt;0,gaias_blessing_lumber)+ tech_1_3*TblTech[[#This Row],[1-3]] + tech_1_6*TblTech[[#This Row],[1-6]] + tech_3_3*TblTech[[#This Row],[3-3]]</f>
        <v>-0.1</v>
      </c>
      <c r="AK89" s="149" t="n">
        <f aca="false">race_mana_bonus+ 0 + TblImps[[#This Row],[Towers]] + tech_1_2*TblTech[[#This Row],[1-2]] + tech_3_4*TblTech[[#This Row],[3-4]]</f>
        <v>0</v>
      </c>
      <c r="AL89" s="149" t="n">
        <f aca="false">race_ore_bonus + IF(TblMagic[[#This Row],[Active Miner''s Sight]]&gt;0,miners_sight_bonus,IF(TblMagic[[#This Row],[Active Mining Strength]]&gt;0,mining_strength_bonus)) +  tech_1_6*TblTech[[#This Row],[1-6]]</f>
        <v>0</v>
      </c>
      <c r="AM89" s="149" t="n">
        <f aca="false">race_gem_bonus+ tech_3_2*TblTech[[#This Row],[3-2]] + tech_4_3*TblTech[[#This Row],[4-3]] + tech_6_2*TblTech[[#This Row],[6-2]]</f>
        <v>0.15</v>
      </c>
      <c r="AN89" s="132"/>
      <c r="AO89" s="69" t="n">
        <f aca="false">TblProd[[#This Row],[Food]]*food_decay * (1 + tech_2_1*TblTech[[#This Row],[2-1]] + tech_2_8*TblTech[[#This Row],[2-8]])</f>
        <v>42.63</v>
      </c>
      <c r="AP89" s="69" t="n">
        <f aca="false">(1+race_food_consumption)*TblPop[[#This Row],[Total]]*food_per_person*(1+tech_1_10*TblTech[[#This Row],[1-10]]+tech_7_5*TblTech[[#This Row],[7-5]])</f>
        <v>3234.75</v>
      </c>
      <c r="AQ89" s="69" t="n">
        <f aca="false">TblProd[[#This Row],[Lumber]]*lumber_rot * (1 + tech_2_1*TblTech[[#This Row],[2-1]] + tech_2_8*TblTech[[#This Row],[2-8]] + tech_5_2*TblTech[[#This Row],[5-2]])</f>
        <v>261.04</v>
      </c>
      <c r="AR89" s="69" t="n">
        <f aca="false">TblProd[[#This Row],[Mana]]*mana_drain * (1 + tech_2_1*TblTech[[#This Row],[2-1]] + tech_2_8*TblTech[[#This Row],[2-8]])</f>
        <v>63.71</v>
      </c>
      <c r="AS89" s="146"/>
      <c r="AT89" s="69" t="n">
        <f aca="false">TblExplore[[#This Row],[Platinum (2)]]+TblConstr[[#This Row],[Total Plat Cost]]+TblMili[[#This Row],[Plat Cost]]+TblRezone[[#This Row],[Platinum cost]]+TblImps[[#This Row],[P1]]-TblProd[[#This Row],[Bank Plat]]</f>
        <v>0</v>
      </c>
      <c r="AU89" s="69" t="n">
        <f aca="false">TblConstr[[#This Row],[Total Lum Cost]]+TblImps[[#This Row],[L1]]-TblProd[[#This Row],[Bank Lumber]] + Military!$CL$25*TblMili[[#This Row],[Sec. rec. Cost]]</f>
        <v>0</v>
      </c>
      <c r="AV89" s="69" t="n">
        <f aca="false">TblMagic[[#This Row],[Mana cost]] + Military!$CL$26*TblMili[[#This Row],[Sec. rec. Cost]]</f>
        <v>0</v>
      </c>
      <c r="AW89" s="69" t="n">
        <f aca="false">Military!$CL$24*TblMili[[#This Row],[Sec. rec. Cost]]+TblImps[[#This Row],[O1]]-TblProd[[#This Row],[Bank Ore]]</f>
        <v>0</v>
      </c>
      <c r="AX89" s="69" t="n">
        <f aca="false">TblImps[[#This Row],[G1]]-TblProd[[#This Row],[Bank Gems]]</f>
        <v>0</v>
      </c>
      <c r="AY89" s="132"/>
      <c r="AZ89" s="33" t="n">
        <f aca="false">IF(TblProd[[#This Row],[Set Guard]]&lt;&gt;"",TblProd[[#This Row],[Set Guard]],OFFSET(TblProd[[#This Row],[Guard]],-1,0))</f>
        <v>0</v>
      </c>
      <c r="BA89" s="145"/>
      <c r="BB89" s="151" t="n">
        <f aca="false">TblProd[[#This Row],[Hour]]</f>
        <v>14</v>
      </c>
      <c r="BC89" s="152" t="n">
        <f aca="false">-TblProd[[#This Row],[Bank Lumber]] / 2 + -TblProd[[#This Row],[Bank Gems]] * 2 + -TblProd[[#This Row],[Bank Ore]] / 2</f>
        <v>0</v>
      </c>
      <c r="BD89" s="152"/>
      <c r="BE89" s="152"/>
      <c r="BF89" s="152"/>
      <c r="BG89" s="153" t="n">
        <f aca="false">TblProd[[#This Row],[Time]]</f>
        <v>45433.2916666667</v>
      </c>
      <c r="BH8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69" t="n">
        <f aca="false">TblProd[[#This Row],[Platinum]]</f>
        <v>558702</v>
      </c>
      <c r="BJ89" s="69" t="n">
        <f aca="false">TblProd[[#This Row],[Food]]</f>
        <v>4263</v>
      </c>
      <c r="BK89" s="69" t="n">
        <f aca="false">TblProd[[#This Row],[Lumber]]</f>
        <v>26104</v>
      </c>
      <c r="BL89" s="69" t="n">
        <f aca="false">TblProd[[#This Row],[Mana]]</f>
        <v>3185.5</v>
      </c>
      <c r="BM89" s="69" t="n">
        <f aca="false">TblProd[[#This Row],[Ore]]</f>
        <v>0</v>
      </c>
    </row>
    <row r="90" customFormat="false" ht="12.75" hidden="false" customHeight="false" outlineLevel="0" collapsed="false">
      <c r="A90" s="128" t="n">
        <v>15</v>
      </c>
      <c r="B90" s="144" t="n">
        <f aca="false">TblImps[[#This Row],[Time]]</f>
        <v>45433.3333333333</v>
      </c>
      <c r="C90" s="145"/>
      <c r="D90" s="146"/>
      <c r="E90" s="69" t="n">
        <f aca="false">TblConstr[[#This Row],[Land]]</f>
        <v>700</v>
      </c>
      <c r="F90" s="69" t="n">
        <f aca="false">TblPop[[#This Row],[Peasants]]</f>
        <v>8699</v>
      </c>
      <c r="G90" s="69" t="e">
        <f aca="false">TblMili[[#This Row],[Networth (2)]]</f>
        <v>#VALUE!</v>
      </c>
      <c r="H90" s="69" t="n">
        <f aca="false">OFFSET(TblProd[[#This Row],[Platinum]],-1,0)+OFFSET(TblProd[[#This Row],[Plat/hr]],-1,0) - TblProd[[#This Row],[Expenses Platinum]] + IF(TblProd[[#This Row],[Plat Bonus]],TblPop[[#This Row],[Peasants]]*4) + SUM(TblConstr[[#This Row],[Dest Hom]:[Dest Doc]])*TblConstr[[#This Row],[CPA Platinum -DB]]*tech_3_3_2*TblTech[[#This Row],[3-3]]</f>
        <v>602344</v>
      </c>
      <c r="I90" s="69" t="n">
        <f aca="false">OFFSET(TblProd[[#This Row],[Food]],-1,0)+OFFSET(TblProd[[#This Row],[Food/hr]],-1,0)+ROUNDUP((TblConstr[[#This Row],[Farms]]*80+TblConstr[[#This Row],[Docks]]*35)*(1+OFFSET(TblProd[[#This Row],[Bonus Food/hr]],-1,0)),0)</f>
        <v>4348</v>
      </c>
      <c r="J90" s="69" t="n">
        <f aca="false">OFFSET(TblProd[[#This Row],[Lumber]],-1,0)+OFFSET(TblProd[[#This Row],[Lumber/hr]],-1,0) - TblProd[[#This Row],[Expenses Lumber]] + SUM(TblConstr[[#This Row],[Dest Hom]:[Dest Doc]])*TblConstr[[#This Row],[CPA Lumber -DB]]*tech_3_3_2*TblTech[[#This Row],[3-3]]</f>
        <v>26968</v>
      </c>
      <c r="K90" s="69" t="n">
        <f aca="false">OFFSET(TblProd[[#This Row],[Mana]],-1,0)+OFFSET(TblProd[[#This Row],[Mana/hr]],-1,0)- TblProd[[#This Row],[Expenses Mana]]</f>
        <v>3846.5</v>
      </c>
      <c r="L90" s="69" t="n">
        <f aca="false">OFFSET(TblProd[[#This Row],[Ore]],-1,0)+OFFSET(TblProd[[#This Row],[Ore/hr]],-1,0) -TblProd[[#This Row],[Expenses Ore]]</f>
        <v>0</v>
      </c>
      <c r="M90" s="69" t="n">
        <f aca="false">OFFSET(TblProd[[#This Row],[Gems]],-1,0)+OFFSET(TblProd[[#This Row],[Gems/hr]],-1,0) - TblProd[[#This Row],[Expenses Gems]]</f>
        <v>0</v>
      </c>
      <c r="N90" s="69" t="n">
        <f aca="false">OFFSET(TblProd[[#This Row],[Boats]],-1,0)+OFFSET(TblProd[[#This Row],[Boats/hr]],-1,0)</f>
        <v>45.05</v>
      </c>
      <c r="O90" s="69" t="n">
        <f aca="false">OFFSET(TblProd[[#This Row],[Prestige]],-1,0)</f>
        <v>250</v>
      </c>
      <c r="P9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0" s="69" t="n">
        <f aca="false">MAX(3750,_xlfn.CEILING.MATH(TblProd[[#This Row],[Land]]*2.5+OFFSET(TblTech[[#This Row],[Sum of tech]],-1,0)*150))</f>
        <v>3750</v>
      </c>
      <c r="R90" s="132"/>
      <c r="S90" s="69" t="n">
        <f aca="false">ROUNDDOWN(TblProd[[#This Row],[Raw Plat/hr]]*(1+TblProd[[#This Row],[Bonus Plat/hr]]),0)</f>
        <v>43381</v>
      </c>
      <c r="T90" s="69" t="n">
        <f aca="false">ROUND(TblProd[[#This Row],[Raw Food/hr]]*(1+TblProd[[#This Row],[Bonus Food/hr]])-TblProd[[#This Row],[Food decay]]-TblProd[[#This Row],[Food eaten]],0)</f>
        <v>84</v>
      </c>
      <c r="U90" s="69" t="n">
        <f aca="false">ROUND(TblProd[[#This Row],[Raw Lumber/hr]]*(1+TblProd[[#This Row],[Bonus Lumber/hr]])-TblProd[[#This Row],[Lumber rot]],0)</f>
        <v>855</v>
      </c>
      <c r="V90" s="69" t="n">
        <f aca="false">ROUND(TblProd[[#This Row],[Raw Mana/hr]]*(1+TblProd[[#This Row],[Bonus Mana/hr]])-TblProd[[#This Row],[Mana drain]],0)</f>
        <v>648</v>
      </c>
      <c r="W90" s="69" t="n">
        <f aca="false">ROUNDDOWN(TblProd[[#This Row],[Raw Ore/hr]]*(1+TblProd[[#This Row],[Bonux Ore/hr]]),0)</f>
        <v>0</v>
      </c>
      <c r="X90" s="69" t="n">
        <f aca="false">ROUNDDOWN(TblProd[[#This Row],[Raw Gems/hr]]*(1+TblProd[[#This Row],[Bonus Gems/hr]]),0)</f>
        <v>0</v>
      </c>
      <c r="Y90" s="148" t="n">
        <f aca="false">OFFSET(TblConstr[[#This Row],[Tot Doc]],1,0)*dock_boats_hr * (1 + tech_4_1*TblTech[[#This Row],[4-1]])</f>
        <v>1.2</v>
      </c>
      <c r="Z90" s="146"/>
      <c r="AA90" s="69" t="n">
        <f aca="false">TblPop[[#This Row],[Peasants]]*tax*TblPop[[#This Row],[Employment]] + (Construction!AZ91+Construction!BX91)*(alch_plat+(Magic!AM90&gt;0)*alchemist_flame_bonus)</f>
        <v>39437.3</v>
      </c>
      <c r="AB90" s="69" t="n">
        <f aca="false">TblConstr[[#This Row],[Tot Farm]]*farm_food + TblConstr[[#This Row],[Tot Doc]]*dock_food</f>
        <v>3280</v>
      </c>
      <c r="AC90" s="69" t="n">
        <f aca="false">TblConstr[[#This Row],[Tot Ly]]*ly_lumber + TblConstr[[#This Row],[Tot Hav]]*fh_lumber</f>
        <v>1250</v>
      </c>
      <c r="AD90" s="69" t="n">
        <f aca="false">OFFSET(TblConstr[[#This Row],[Tot Tow]],1,0)*(tower_mana + tech_4_5*TblTech[[#This Row],[4-5]]) + OFFSET(TblConstr[[#This Row],[Tot WG]],1,0)*wg_mana_prod</f>
        <v>725</v>
      </c>
      <c r="AE90" s="69" t="n">
        <f aca="false">OFFSET(TblConstr[[#This Row],[Tot OM]],1,0)*om_ore+IF(race="Dwarf",ROUNDDOWN(TblMili[[#This Row],[Unit 2]]*0.4,0),)</f>
        <v>0</v>
      </c>
      <c r="AF90" s="69" t="n">
        <f aca="false">OFFSET(TblConstr[[#This Row],[Tot DM]],1,0)*dm_gems</f>
        <v>0</v>
      </c>
      <c r="AG90" s="132"/>
      <c r="AH90" s="149" t="n">
        <f aca="false">MIN(race_platinum_bonus + IF(TblMagic[[#This Row],[Active Alch Frost]]&gt;0,alch_frost_bonus,IF(Magic!AD90&gt;0,midas_bonus)) + TblImps[[#This Row],[Science]] - TblProd[[#This Row],[Guard]]*(0.02 + tech_5_7*TblTech[[#This Row],[5-7]]) + tech_1_5*TblTech[[#This Row],[1-5]] + tech_4_4*TblTech[[#This Row],[4-4]], 0.5)</f>
        <v>0.1</v>
      </c>
      <c r="AI9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0" s="149" t="n">
        <f aca="false">race_lumber_bonus+ IF(TblMagic[[#This Row],[Active Gaia''s Blessing]]&gt;0,gaias_blessing_lumber)+ tech_1_3*TblTech[[#This Row],[1-3]] + tech_1_6*TblTech[[#This Row],[1-6]] + tech_3_3*TblTech[[#This Row],[3-3]]</f>
        <v>-0.1</v>
      </c>
      <c r="AK90" s="149" t="n">
        <f aca="false">race_mana_bonus+ 0 + TblImps[[#This Row],[Towers]] + tech_1_2*TblTech[[#This Row],[1-2]] + tech_3_4*TblTech[[#This Row],[3-4]]</f>
        <v>0</v>
      </c>
      <c r="AL90" s="149" t="n">
        <f aca="false">race_ore_bonus + IF(TblMagic[[#This Row],[Active Miner''s Sight]]&gt;0,miners_sight_bonus,IF(TblMagic[[#This Row],[Active Mining Strength]]&gt;0,mining_strength_bonus)) +  tech_1_6*TblTech[[#This Row],[1-6]]</f>
        <v>0</v>
      </c>
      <c r="AM90" s="149" t="n">
        <f aca="false">race_gem_bonus+ tech_3_2*TblTech[[#This Row],[3-2]] + tech_4_3*TblTech[[#This Row],[4-3]] + tech_6_2*TblTech[[#This Row],[6-2]]</f>
        <v>0.15</v>
      </c>
      <c r="AN90" s="132"/>
      <c r="AO90" s="69" t="n">
        <f aca="false">TblProd[[#This Row],[Food]]*food_decay * (1 + tech_2_1*TblTech[[#This Row],[2-1]] + tech_2_8*TblTech[[#This Row],[2-8]])</f>
        <v>43.48</v>
      </c>
      <c r="AP90" s="69" t="n">
        <f aca="false">(1+race_food_consumption)*TblPop[[#This Row],[Total]]*food_per_person*(1+tech_1_10*TblTech[[#This Row],[1-10]]+tech_7_5*TblTech[[#This Row],[7-5]])</f>
        <v>3234.75</v>
      </c>
      <c r="AQ90" s="69" t="n">
        <f aca="false">TblProd[[#This Row],[Lumber]]*lumber_rot * (1 + tech_2_1*TblTech[[#This Row],[2-1]] + tech_2_8*TblTech[[#This Row],[2-8]] + tech_5_2*TblTech[[#This Row],[5-2]])</f>
        <v>269.68</v>
      </c>
      <c r="AR90" s="69" t="n">
        <f aca="false">TblProd[[#This Row],[Mana]]*mana_drain * (1 + tech_2_1*TblTech[[#This Row],[2-1]] + tech_2_8*TblTech[[#This Row],[2-8]])</f>
        <v>76.93</v>
      </c>
      <c r="AS90" s="146"/>
      <c r="AT90" s="69" t="n">
        <f aca="false">TblExplore[[#This Row],[Platinum (2)]]+TblConstr[[#This Row],[Total Plat Cost]]+TblMili[[#This Row],[Plat Cost]]+TblRezone[[#This Row],[Platinum cost]]+TblImps[[#This Row],[P1]]-TblProd[[#This Row],[Bank Plat]]</f>
        <v>0</v>
      </c>
      <c r="AU90" s="69" t="n">
        <f aca="false">TblConstr[[#This Row],[Total Lum Cost]]+TblImps[[#This Row],[L1]]-TblProd[[#This Row],[Bank Lumber]] + Military!$CL$25*TblMili[[#This Row],[Sec. rec. Cost]]</f>
        <v>0</v>
      </c>
      <c r="AV90" s="69" t="n">
        <f aca="false">TblMagic[[#This Row],[Mana cost]] + Military!$CL$26*TblMili[[#This Row],[Sec. rec. Cost]]</f>
        <v>0</v>
      </c>
      <c r="AW90" s="69" t="n">
        <f aca="false">Military!$CL$24*TblMili[[#This Row],[Sec. rec. Cost]]+TblImps[[#This Row],[O1]]-TblProd[[#This Row],[Bank Ore]]</f>
        <v>0</v>
      </c>
      <c r="AX90" s="69" t="n">
        <f aca="false">TblImps[[#This Row],[G1]]-TblProd[[#This Row],[Bank Gems]]</f>
        <v>0</v>
      </c>
      <c r="AY90" s="132"/>
      <c r="AZ90" s="33" t="n">
        <f aca="false">IF(TblProd[[#This Row],[Set Guard]]&lt;&gt;"",TblProd[[#This Row],[Set Guard]],OFFSET(TblProd[[#This Row],[Guard]],-1,0))</f>
        <v>0</v>
      </c>
      <c r="BA90" s="145"/>
      <c r="BB90" s="151" t="n">
        <f aca="false">TblProd[[#This Row],[Hour]]</f>
        <v>15</v>
      </c>
      <c r="BC90" s="152" t="n">
        <f aca="false">-TblProd[[#This Row],[Bank Lumber]] / 2 + -TblProd[[#This Row],[Bank Gems]] * 2 + -TblProd[[#This Row],[Bank Ore]] / 2</f>
        <v>0</v>
      </c>
      <c r="BD90" s="152"/>
      <c r="BE90" s="152"/>
      <c r="BF90" s="152"/>
      <c r="BG90" s="153" t="n">
        <f aca="false">TblProd[[#This Row],[Time]]</f>
        <v>45433.3333333333</v>
      </c>
      <c r="BH9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69" t="n">
        <f aca="false">TblProd[[#This Row],[Platinum]]</f>
        <v>602344</v>
      </c>
      <c r="BJ90" s="69" t="n">
        <f aca="false">TblProd[[#This Row],[Food]]</f>
        <v>4348</v>
      </c>
      <c r="BK90" s="69" t="n">
        <f aca="false">TblProd[[#This Row],[Lumber]]</f>
        <v>26968</v>
      </c>
      <c r="BL90" s="69" t="n">
        <f aca="false">TblProd[[#This Row],[Mana]]</f>
        <v>3846.5</v>
      </c>
      <c r="BM90" s="69" t="n">
        <f aca="false">TblProd[[#This Row],[Ore]]</f>
        <v>0</v>
      </c>
    </row>
    <row r="91" customFormat="false" ht="12.75" hidden="false" customHeight="false" outlineLevel="0" collapsed="false">
      <c r="A91" s="128" t="n">
        <v>16</v>
      </c>
      <c r="B91" s="144" t="n">
        <f aca="false">TblImps[[#This Row],[Time]]</f>
        <v>45433.375</v>
      </c>
      <c r="C91" s="145"/>
      <c r="D91" s="146"/>
      <c r="E91" s="69" t="n">
        <f aca="false">TblConstr[[#This Row],[Land]]</f>
        <v>700</v>
      </c>
      <c r="F91" s="69" t="n">
        <f aca="false">TblPop[[#This Row],[Peasants]]</f>
        <v>8612</v>
      </c>
      <c r="G91" s="69" t="e">
        <f aca="false">TblMili[[#This Row],[Networth (2)]]</f>
        <v>#VALUE!</v>
      </c>
      <c r="H91" s="69" t="n">
        <f aca="false">OFFSET(TblProd[[#This Row],[Platinum]],-1,0)+OFFSET(TblProd[[#This Row],[Plat/hr]],-1,0) - TblProd[[#This Row],[Expenses Platinum]] + IF(TblProd[[#This Row],[Plat Bonus]],TblPop[[#This Row],[Peasants]]*4) + SUM(TblConstr[[#This Row],[Dest Hom]:[Dest Doc]])*TblConstr[[#This Row],[CPA Platinum -DB]]*tech_3_3_2*TblTech[[#This Row],[3-3]]</f>
        <v>645725</v>
      </c>
      <c r="I91" s="69" t="n">
        <f aca="false">OFFSET(TblProd[[#This Row],[Food]],-1,0)+OFFSET(TblProd[[#This Row],[Food/hr]],-1,0)+ROUNDUP((TblConstr[[#This Row],[Farms]]*80+TblConstr[[#This Row],[Docks]]*35)*(1+OFFSET(TblProd[[#This Row],[Bonus Food/hr]],-1,0)),0)</f>
        <v>4432</v>
      </c>
      <c r="J91" s="69" t="n">
        <f aca="false">OFFSET(TblProd[[#This Row],[Lumber]],-1,0)+OFFSET(TblProd[[#This Row],[Lumber/hr]],-1,0) - TblProd[[#This Row],[Expenses Lumber]] + SUM(TblConstr[[#This Row],[Dest Hom]:[Dest Doc]])*TblConstr[[#This Row],[CPA Lumber -DB]]*tech_3_3_2*TblTech[[#This Row],[3-3]]</f>
        <v>27823</v>
      </c>
      <c r="K91" s="69" t="n">
        <f aca="false">OFFSET(TblProd[[#This Row],[Mana]],-1,0)+OFFSET(TblProd[[#This Row],[Mana/hr]],-1,0)- TblProd[[#This Row],[Expenses Mana]]</f>
        <v>4494.5</v>
      </c>
      <c r="L91" s="69" t="n">
        <f aca="false">OFFSET(TblProd[[#This Row],[Ore]],-1,0)+OFFSET(TblProd[[#This Row],[Ore/hr]],-1,0) -TblProd[[#This Row],[Expenses Ore]]</f>
        <v>0</v>
      </c>
      <c r="M91" s="69" t="n">
        <f aca="false">OFFSET(TblProd[[#This Row],[Gems]],-1,0)+OFFSET(TblProd[[#This Row],[Gems/hr]],-1,0) - TblProd[[#This Row],[Expenses Gems]]</f>
        <v>0</v>
      </c>
      <c r="N91" s="69" t="n">
        <f aca="false">OFFSET(TblProd[[#This Row],[Boats]],-1,0)+OFFSET(TblProd[[#This Row],[Boats/hr]],-1,0)</f>
        <v>46.25</v>
      </c>
      <c r="O91" s="69" t="n">
        <f aca="false">OFFSET(TblProd[[#This Row],[Prestige]],-1,0)</f>
        <v>250</v>
      </c>
      <c r="P9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1" s="69" t="n">
        <f aca="false">MAX(3750,_xlfn.CEILING.MATH(TblProd[[#This Row],[Land]]*2.5+OFFSET(TblTech[[#This Row],[Sum of tech]],-1,0)*150))</f>
        <v>3750</v>
      </c>
      <c r="R91" s="132"/>
      <c r="S91" s="69" t="n">
        <f aca="false">ROUNDDOWN(TblProd[[#This Row],[Raw Plat/hr]]*(1+TblProd[[#This Row],[Bonus Plat/hr]]),0)</f>
        <v>43122</v>
      </c>
      <c r="T91" s="69" t="n">
        <f aca="false">ROUND(TblProd[[#This Row],[Raw Food/hr]]*(1+TblProd[[#This Row],[Bonus Food/hr]])-TblProd[[#This Row],[Food decay]]-TblProd[[#This Row],[Food eaten]],0)</f>
        <v>83</v>
      </c>
      <c r="U91" s="69" t="n">
        <f aca="false">ROUND(TblProd[[#This Row],[Raw Lumber/hr]]*(1+TblProd[[#This Row],[Bonus Lumber/hr]])-TblProd[[#This Row],[Lumber rot]],0)</f>
        <v>847</v>
      </c>
      <c r="V91" s="69" t="n">
        <f aca="false">ROUND(TblProd[[#This Row],[Raw Mana/hr]]*(1+TblProd[[#This Row],[Bonus Mana/hr]])-TblProd[[#This Row],[Mana drain]],0)</f>
        <v>635</v>
      </c>
      <c r="W91" s="69" t="n">
        <f aca="false">ROUNDDOWN(TblProd[[#This Row],[Raw Ore/hr]]*(1+TblProd[[#This Row],[Bonux Ore/hr]]),0)</f>
        <v>0</v>
      </c>
      <c r="X91" s="69" t="n">
        <f aca="false">ROUNDDOWN(TblProd[[#This Row],[Raw Gems/hr]]*(1+TblProd[[#This Row],[Bonus Gems/hr]]),0)</f>
        <v>0</v>
      </c>
      <c r="Y91" s="148" t="n">
        <f aca="false">OFFSET(TblConstr[[#This Row],[Tot Doc]],1,0)*dock_boats_hr * (1 + tech_4_1*TblTech[[#This Row],[4-1]])</f>
        <v>1.2</v>
      </c>
      <c r="Z91" s="146"/>
      <c r="AA91" s="69" t="n">
        <f aca="false">TblPop[[#This Row],[Peasants]]*tax*TblPop[[#This Row],[Employment]] + (Construction!AZ92+Construction!BX92)*(alch_plat+(Magic!AM91&gt;0)*alchemist_flame_bonus)</f>
        <v>39202.4</v>
      </c>
      <c r="AB91" s="69" t="n">
        <f aca="false">TblConstr[[#This Row],[Tot Farm]]*farm_food + TblConstr[[#This Row],[Tot Doc]]*dock_food</f>
        <v>3280</v>
      </c>
      <c r="AC91" s="69" t="n">
        <f aca="false">TblConstr[[#This Row],[Tot Ly]]*ly_lumber + TblConstr[[#This Row],[Tot Hav]]*fh_lumber</f>
        <v>1250</v>
      </c>
      <c r="AD91" s="69" t="n">
        <f aca="false">OFFSET(TblConstr[[#This Row],[Tot Tow]],1,0)*(tower_mana + tech_4_5*TblTech[[#This Row],[4-5]]) + OFFSET(TblConstr[[#This Row],[Tot WG]],1,0)*wg_mana_prod</f>
        <v>725</v>
      </c>
      <c r="AE91" s="69" t="n">
        <f aca="false">OFFSET(TblConstr[[#This Row],[Tot OM]],1,0)*om_ore+IF(race="Dwarf",ROUNDDOWN(TblMili[[#This Row],[Unit 2]]*0.4,0),)</f>
        <v>0</v>
      </c>
      <c r="AF91" s="69" t="n">
        <f aca="false">OFFSET(TblConstr[[#This Row],[Tot DM]],1,0)*dm_gems</f>
        <v>0</v>
      </c>
      <c r="AG91" s="132"/>
      <c r="AH91" s="149" t="n">
        <f aca="false">MIN(race_platinum_bonus + IF(TblMagic[[#This Row],[Active Alch Frost]]&gt;0,alch_frost_bonus,IF(Magic!AD91&gt;0,midas_bonus)) + TblImps[[#This Row],[Science]] - TblProd[[#This Row],[Guard]]*(0.02 + tech_5_7*TblTech[[#This Row],[5-7]]) + tech_1_5*TblTech[[#This Row],[1-5]] + tech_4_4*TblTech[[#This Row],[4-4]], 0.5)</f>
        <v>0.1</v>
      </c>
      <c r="AI9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1" s="149" t="n">
        <f aca="false">race_lumber_bonus+ IF(TblMagic[[#This Row],[Active Gaia''s Blessing]]&gt;0,gaias_blessing_lumber)+ tech_1_3*TblTech[[#This Row],[1-3]] + tech_1_6*TblTech[[#This Row],[1-6]] + tech_3_3*TblTech[[#This Row],[3-3]]</f>
        <v>-0.1</v>
      </c>
      <c r="AK91" s="149" t="n">
        <f aca="false">race_mana_bonus+ 0 + TblImps[[#This Row],[Towers]] + tech_1_2*TblTech[[#This Row],[1-2]] + tech_3_4*TblTech[[#This Row],[3-4]]</f>
        <v>0</v>
      </c>
      <c r="AL91" s="149" t="n">
        <f aca="false">race_ore_bonus + IF(TblMagic[[#This Row],[Active Miner''s Sight]]&gt;0,miners_sight_bonus,IF(TblMagic[[#This Row],[Active Mining Strength]]&gt;0,mining_strength_bonus)) +  tech_1_6*TblTech[[#This Row],[1-6]]</f>
        <v>0</v>
      </c>
      <c r="AM91" s="149" t="n">
        <f aca="false">race_gem_bonus+ tech_3_2*TblTech[[#This Row],[3-2]] + tech_4_3*TblTech[[#This Row],[4-3]] + tech_6_2*TblTech[[#This Row],[6-2]]</f>
        <v>0.15</v>
      </c>
      <c r="AN91" s="132"/>
      <c r="AO91" s="69" t="n">
        <f aca="false">TblProd[[#This Row],[Food]]*food_decay * (1 + tech_2_1*TblTech[[#This Row],[2-1]] + tech_2_8*TblTech[[#This Row],[2-8]])</f>
        <v>44.32</v>
      </c>
      <c r="AP91" s="69" t="n">
        <f aca="false">(1+race_food_consumption)*TblPop[[#This Row],[Total]]*food_per_person*(1+tech_1_10*TblTech[[#This Row],[1-10]]+tech_7_5*TblTech[[#This Row],[7-5]])</f>
        <v>3234.75</v>
      </c>
      <c r="AQ91" s="69" t="n">
        <f aca="false">TblProd[[#This Row],[Lumber]]*lumber_rot * (1 + tech_2_1*TblTech[[#This Row],[2-1]] + tech_2_8*TblTech[[#This Row],[2-8]] + tech_5_2*TblTech[[#This Row],[5-2]])</f>
        <v>278.23</v>
      </c>
      <c r="AR91" s="69" t="n">
        <f aca="false">TblProd[[#This Row],[Mana]]*mana_drain * (1 + tech_2_1*TblTech[[#This Row],[2-1]] + tech_2_8*TblTech[[#This Row],[2-8]])</f>
        <v>89.89</v>
      </c>
      <c r="AS91" s="146"/>
      <c r="AT91" s="69" t="n">
        <f aca="false">TblExplore[[#This Row],[Platinum (2)]]+TblConstr[[#This Row],[Total Plat Cost]]+TblMili[[#This Row],[Plat Cost]]+TblRezone[[#This Row],[Platinum cost]]+TblImps[[#This Row],[P1]]-TblProd[[#This Row],[Bank Plat]]</f>
        <v>0</v>
      </c>
      <c r="AU91" s="69" t="n">
        <f aca="false">TblConstr[[#This Row],[Total Lum Cost]]+TblImps[[#This Row],[L1]]-TblProd[[#This Row],[Bank Lumber]] + Military!$CL$25*TblMili[[#This Row],[Sec. rec. Cost]]</f>
        <v>0</v>
      </c>
      <c r="AV91" s="69" t="n">
        <f aca="false">TblMagic[[#This Row],[Mana cost]] + Military!$CL$26*TblMili[[#This Row],[Sec. rec. Cost]]</f>
        <v>0</v>
      </c>
      <c r="AW91" s="69" t="n">
        <f aca="false">Military!$CL$24*TblMili[[#This Row],[Sec. rec. Cost]]+TblImps[[#This Row],[O1]]-TblProd[[#This Row],[Bank Ore]]</f>
        <v>0</v>
      </c>
      <c r="AX91" s="69" t="n">
        <f aca="false">TblImps[[#This Row],[G1]]-TblProd[[#This Row],[Bank Gems]]</f>
        <v>0</v>
      </c>
      <c r="AY91" s="132"/>
      <c r="AZ91" s="33" t="n">
        <f aca="false">IF(TblProd[[#This Row],[Set Guard]]&lt;&gt;"",TblProd[[#This Row],[Set Guard]],OFFSET(TblProd[[#This Row],[Guard]],-1,0))</f>
        <v>0</v>
      </c>
      <c r="BA91" s="145"/>
      <c r="BB91" s="151" t="n">
        <f aca="false">TblProd[[#This Row],[Hour]]</f>
        <v>16</v>
      </c>
      <c r="BC91" s="152" t="n">
        <f aca="false">-TblProd[[#This Row],[Bank Lumber]] / 2 + -TblProd[[#This Row],[Bank Gems]] * 2 + -TblProd[[#This Row],[Bank Ore]] / 2</f>
        <v>0</v>
      </c>
      <c r="BD91" s="152"/>
      <c r="BE91" s="152"/>
      <c r="BF91" s="152"/>
      <c r="BG91" s="153" t="n">
        <f aca="false">TblProd[[#This Row],[Time]]</f>
        <v>45433.375</v>
      </c>
      <c r="BH9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69" t="n">
        <f aca="false">TblProd[[#This Row],[Platinum]]</f>
        <v>645725</v>
      </c>
      <c r="BJ91" s="69" t="n">
        <f aca="false">TblProd[[#This Row],[Food]]</f>
        <v>4432</v>
      </c>
      <c r="BK91" s="69" t="n">
        <f aca="false">TblProd[[#This Row],[Lumber]]</f>
        <v>27823</v>
      </c>
      <c r="BL91" s="69" t="n">
        <f aca="false">TblProd[[#This Row],[Mana]]</f>
        <v>4494.5</v>
      </c>
      <c r="BM91" s="69" t="n">
        <f aca="false">TblProd[[#This Row],[Ore]]</f>
        <v>0</v>
      </c>
    </row>
    <row r="92" customFormat="false" ht="12.75" hidden="false" customHeight="false" outlineLevel="0" collapsed="false">
      <c r="A92" s="128" t="n">
        <v>17</v>
      </c>
      <c r="B92" s="144" t="n">
        <f aca="false">TblImps[[#This Row],[Time]]</f>
        <v>45433.4166666667</v>
      </c>
      <c r="C92" s="145"/>
      <c r="D92" s="146"/>
      <c r="E92" s="69" t="n">
        <f aca="false">TblConstr[[#This Row],[Land]]</f>
        <v>700</v>
      </c>
      <c r="F92" s="69" t="n">
        <f aca="false">TblPop[[#This Row],[Peasants]]</f>
        <v>8526</v>
      </c>
      <c r="G92" s="69" t="e">
        <f aca="false">TblMili[[#This Row],[Networth (2)]]</f>
        <v>#VALUE!</v>
      </c>
      <c r="H92" s="69" t="n">
        <f aca="false">OFFSET(TblProd[[#This Row],[Platinum]],-1,0)+OFFSET(TblProd[[#This Row],[Plat/hr]],-1,0) - TblProd[[#This Row],[Expenses Platinum]] + IF(TblProd[[#This Row],[Plat Bonus]],TblPop[[#This Row],[Peasants]]*4) + SUM(TblConstr[[#This Row],[Dest Hom]:[Dest Doc]])*TblConstr[[#This Row],[CPA Platinum -DB]]*tech_3_3_2*TblTech[[#This Row],[3-3]]</f>
        <v>688847</v>
      </c>
      <c r="I92" s="69" t="n">
        <f aca="false">OFFSET(TblProd[[#This Row],[Food]],-1,0)+OFFSET(TblProd[[#This Row],[Food/hr]],-1,0)+ROUNDUP((TblConstr[[#This Row],[Farms]]*80+TblConstr[[#This Row],[Docks]]*35)*(1+OFFSET(TblProd[[#This Row],[Bonus Food/hr]],-1,0)),0)</f>
        <v>4515</v>
      </c>
      <c r="J92" s="69" t="n">
        <f aca="false">OFFSET(TblProd[[#This Row],[Lumber]],-1,0)+OFFSET(TblProd[[#This Row],[Lumber/hr]],-1,0) - TblProd[[#This Row],[Expenses Lumber]] + SUM(TblConstr[[#This Row],[Dest Hom]:[Dest Doc]])*TblConstr[[#This Row],[CPA Lumber -DB]]*tech_3_3_2*TblTech[[#This Row],[3-3]]</f>
        <v>28670</v>
      </c>
      <c r="K92" s="69" t="n">
        <f aca="false">OFFSET(TblProd[[#This Row],[Mana]],-1,0)+OFFSET(TblProd[[#This Row],[Mana/hr]],-1,0)- TblProd[[#This Row],[Expenses Mana]]</f>
        <v>5129.5</v>
      </c>
      <c r="L92" s="69" t="n">
        <f aca="false">OFFSET(TblProd[[#This Row],[Ore]],-1,0)+OFFSET(TblProd[[#This Row],[Ore/hr]],-1,0) -TblProd[[#This Row],[Expenses Ore]]</f>
        <v>0</v>
      </c>
      <c r="M92" s="69" t="n">
        <f aca="false">OFFSET(TblProd[[#This Row],[Gems]],-1,0)+OFFSET(TblProd[[#This Row],[Gems/hr]],-1,0) - TblProd[[#This Row],[Expenses Gems]]</f>
        <v>0</v>
      </c>
      <c r="N92" s="69" t="n">
        <f aca="false">OFFSET(TblProd[[#This Row],[Boats]],-1,0)+OFFSET(TblProd[[#This Row],[Boats/hr]],-1,0)</f>
        <v>47.45</v>
      </c>
      <c r="O92" s="69" t="n">
        <f aca="false">OFFSET(TblProd[[#This Row],[Prestige]],-1,0)</f>
        <v>250</v>
      </c>
      <c r="P9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2" s="69" t="n">
        <f aca="false">MAX(3750,_xlfn.CEILING.MATH(TblProd[[#This Row],[Land]]*2.5+OFFSET(TblTech[[#This Row],[Sum of tech]],-1,0)*150))</f>
        <v>3750</v>
      </c>
      <c r="R92" s="132"/>
      <c r="S92" s="69" t="n">
        <f aca="false">ROUNDDOWN(TblProd[[#This Row],[Raw Plat/hr]]*(1+TblProd[[#This Row],[Bonus Plat/hr]]),0)</f>
        <v>42867</v>
      </c>
      <c r="T92" s="69" t="n">
        <f aca="false">ROUND(TblProd[[#This Row],[Raw Food/hr]]*(1+TblProd[[#This Row],[Bonus Food/hr]])-TblProd[[#This Row],[Food decay]]-TblProd[[#This Row],[Food eaten]],0)</f>
        <v>82</v>
      </c>
      <c r="U92" s="69" t="n">
        <f aca="false">ROUND(TblProd[[#This Row],[Raw Lumber/hr]]*(1+TblProd[[#This Row],[Bonus Lumber/hr]])-TblProd[[#This Row],[Lumber rot]],0)</f>
        <v>838</v>
      </c>
      <c r="V92" s="69" t="n">
        <f aca="false">ROUND(TblProd[[#This Row],[Raw Mana/hr]]*(1+TblProd[[#This Row],[Bonus Mana/hr]])-TblProd[[#This Row],[Mana drain]],0)</f>
        <v>622</v>
      </c>
      <c r="W92" s="69" t="n">
        <f aca="false">ROUNDDOWN(TblProd[[#This Row],[Raw Ore/hr]]*(1+TblProd[[#This Row],[Bonux Ore/hr]]),0)</f>
        <v>0</v>
      </c>
      <c r="X92" s="69" t="n">
        <f aca="false">ROUNDDOWN(TblProd[[#This Row],[Raw Gems/hr]]*(1+TblProd[[#This Row],[Bonus Gems/hr]]),0)</f>
        <v>0</v>
      </c>
      <c r="Y92" s="148" t="n">
        <f aca="false">OFFSET(TblConstr[[#This Row],[Tot Doc]],1,0)*dock_boats_hr * (1 + tech_4_1*TblTech[[#This Row],[4-1]])</f>
        <v>1.2</v>
      </c>
      <c r="Z92" s="146"/>
      <c r="AA92" s="69" t="n">
        <f aca="false">TblPop[[#This Row],[Peasants]]*tax*TblPop[[#This Row],[Employment]] + (Construction!AZ93+Construction!BX93)*(alch_plat+(Magic!AM92&gt;0)*alchemist_flame_bonus)</f>
        <v>38970.2</v>
      </c>
      <c r="AB92" s="69" t="n">
        <f aca="false">TblConstr[[#This Row],[Tot Farm]]*farm_food + TblConstr[[#This Row],[Tot Doc]]*dock_food</f>
        <v>3280</v>
      </c>
      <c r="AC92" s="69" t="n">
        <f aca="false">TblConstr[[#This Row],[Tot Ly]]*ly_lumber + TblConstr[[#This Row],[Tot Hav]]*fh_lumber</f>
        <v>1250</v>
      </c>
      <c r="AD92" s="69" t="n">
        <f aca="false">OFFSET(TblConstr[[#This Row],[Tot Tow]],1,0)*(tower_mana + tech_4_5*TblTech[[#This Row],[4-5]]) + OFFSET(TblConstr[[#This Row],[Tot WG]],1,0)*wg_mana_prod</f>
        <v>725</v>
      </c>
      <c r="AE92" s="69" t="n">
        <f aca="false">OFFSET(TblConstr[[#This Row],[Tot OM]],1,0)*om_ore+IF(race="Dwarf",ROUNDDOWN(TblMili[[#This Row],[Unit 2]]*0.4,0),)</f>
        <v>0</v>
      </c>
      <c r="AF92" s="69" t="n">
        <f aca="false">OFFSET(TblConstr[[#This Row],[Tot DM]],1,0)*dm_gems</f>
        <v>0</v>
      </c>
      <c r="AG92" s="132"/>
      <c r="AH92" s="149" t="n">
        <f aca="false">MIN(race_platinum_bonus + IF(TblMagic[[#This Row],[Active Alch Frost]]&gt;0,alch_frost_bonus,IF(Magic!AD92&gt;0,midas_bonus)) + TblImps[[#This Row],[Science]] - TblProd[[#This Row],[Guard]]*(0.02 + tech_5_7*TblTech[[#This Row],[5-7]]) + tech_1_5*TblTech[[#This Row],[1-5]] + tech_4_4*TblTech[[#This Row],[4-4]], 0.5)</f>
        <v>0.1</v>
      </c>
      <c r="AI9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2" s="149" t="n">
        <f aca="false">race_lumber_bonus+ IF(TblMagic[[#This Row],[Active Gaia''s Blessing]]&gt;0,gaias_blessing_lumber)+ tech_1_3*TblTech[[#This Row],[1-3]] + tech_1_6*TblTech[[#This Row],[1-6]] + tech_3_3*TblTech[[#This Row],[3-3]]</f>
        <v>-0.1</v>
      </c>
      <c r="AK92" s="149" t="n">
        <f aca="false">race_mana_bonus+ 0 + TblImps[[#This Row],[Towers]] + tech_1_2*TblTech[[#This Row],[1-2]] + tech_3_4*TblTech[[#This Row],[3-4]]</f>
        <v>0</v>
      </c>
      <c r="AL92" s="149" t="n">
        <f aca="false">race_ore_bonus + IF(TblMagic[[#This Row],[Active Miner''s Sight]]&gt;0,miners_sight_bonus,IF(TblMagic[[#This Row],[Active Mining Strength]]&gt;0,mining_strength_bonus)) +  tech_1_6*TblTech[[#This Row],[1-6]]</f>
        <v>0</v>
      </c>
      <c r="AM92" s="149" t="n">
        <f aca="false">race_gem_bonus+ tech_3_2*TblTech[[#This Row],[3-2]] + tech_4_3*TblTech[[#This Row],[4-3]] + tech_6_2*TblTech[[#This Row],[6-2]]</f>
        <v>0.15</v>
      </c>
      <c r="AN92" s="132"/>
      <c r="AO92" s="69" t="n">
        <f aca="false">TblProd[[#This Row],[Food]]*food_decay * (1 + tech_2_1*TblTech[[#This Row],[2-1]] + tech_2_8*TblTech[[#This Row],[2-8]])</f>
        <v>45.15</v>
      </c>
      <c r="AP92" s="69" t="n">
        <f aca="false">(1+race_food_consumption)*TblPop[[#This Row],[Total]]*food_per_person*(1+tech_1_10*TblTech[[#This Row],[1-10]]+tech_7_5*TblTech[[#This Row],[7-5]])</f>
        <v>3234.75</v>
      </c>
      <c r="AQ92" s="69" t="n">
        <f aca="false">TblProd[[#This Row],[Lumber]]*lumber_rot * (1 + tech_2_1*TblTech[[#This Row],[2-1]] + tech_2_8*TblTech[[#This Row],[2-8]] + tech_5_2*TblTech[[#This Row],[5-2]])</f>
        <v>286.7</v>
      </c>
      <c r="AR92" s="69" t="n">
        <f aca="false">TblProd[[#This Row],[Mana]]*mana_drain * (1 + tech_2_1*TblTech[[#This Row],[2-1]] + tech_2_8*TblTech[[#This Row],[2-8]])</f>
        <v>102.59</v>
      </c>
      <c r="AS92" s="146"/>
      <c r="AT92" s="69" t="n">
        <f aca="false">TblExplore[[#This Row],[Platinum (2)]]+TblConstr[[#This Row],[Total Plat Cost]]+TblMili[[#This Row],[Plat Cost]]+TblRezone[[#This Row],[Platinum cost]]+TblImps[[#This Row],[P1]]-TblProd[[#This Row],[Bank Plat]]</f>
        <v>0</v>
      </c>
      <c r="AU92" s="69" t="n">
        <f aca="false">TblConstr[[#This Row],[Total Lum Cost]]+TblImps[[#This Row],[L1]]-TblProd[[#This Row],[Bank Lumber]] + Military!$CL$25*TblMili[[#This Row],[Sec. rec. Cost]]</f>
        <v>0</v>
      </c>
      <c r="AV92" s="69" t="n">
        <f aca="false">TblMagic[[#This Row],[Mana cost]] + Military!$CL$26*TblMili[[#This Row],[Sec. rec. Cost]]</f>
        <v>0</v>
      </c>
      <c r="AW92" s="69" t="n">
        <f aca="false">Military!$CL$24*TblMili[[#This Row],[Sec. rec. Cost]]+TblImps[[#This Row],[O1]]-TblProd[[#This Row],[Bank Ore]]</f>
        <v>0</v>
      </c>
      <c r="AX92" s="69" t="n">
        <f aca="false">TblImps[[#This Row],[G1]]-TblProd[[#This Row],[Bank Gems]]</f>
        <v>0</v>
      </c>
      <c r="AY92" s="132"/>
      <c r="AZ92" s="33" t="n">
        <f aca="false">IF(TblProd[[#This Row],[Set Guard]]&lt;&gt;"",TblProd[[#This Row],[Set Guard]],OFFSET(TblProd[[#This Row],[Guard]],-1,0))</f>
        <v>0</v>
      </c>
      <c r="BA92" s="145"/>
      <c r="BB92" s="151" t="n">
        <f aca="false">TblProd[[#This Row],[Hour]]</f>
        <v>17</v>
      </c>
      <c r="BC92" s="152" t="n">
        <f aca="false">-TblProd[[#This Row],[Bank Lumber]] / 2 + -TblProd[[#This Row],[Bank Gems]] * 2 + -TblProd[[#This Row],[Bank Ore]] / 2</f>
        <v>0</v>
      </c>
      <c r="BD92" s="152"/>
      <c r="BE92" s="152"/>
      <c r="BF92" s="152"/>
      <c r="BG92" s="153" t="n">
        <f aca="false">TblProd[[#This Row],[Time]]</f>
        <v>45433.4166666667</v>
      </c>
      <c r="BH9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69" t="n">
        <f aca="false">TblProd[[#This Row],[Platinum]]</f>
        <v>688847</v>
      </c>
      <c r="BJ92" s="69" t="n">
        <f aca="false">TblProd[[#This Row],[Food]]</f>
        <v>4515</v>
      </c>
      <c r="BK92" s="69" t="n">
        <f aca="false">TblProd[[#This Row],[Lumber]]</f>
        <v>28670</v>
      </c>
      <c r="BL92" s="69" t="n">
        <f aca="false">TblProd[[#This Row],[Mana]]</f>
        <v>5129.5</v>
      </c>
      <c r="BM92" s="69" t="n">
        <f aca="false">TblProd[[#This Row],[Ore]]</f>
        <v>0</v>
      </c>
    </row>
    <row r="93" customFormat="false" ht="12.75" hidden="false" customHeight="false" outlineLevel="0" collapsed="false">
      <c r="A93" s="128" t="n">
        <v>18</v>
      </c>
      <c r="B93" s="144" t="n">
        <f aca="false">TblImps[[#This Row],[Time]]</f>
        <v>45433.4583333333</v>
      </c>
      <c r="C93" s="145"/>
      <c r="D93" s="146"/>
      <c r="E93" s="69" t="n">
        <f aca="false">TblConstr[[#This Row],[Land]]</f>
        <v>700</v>
      </c>
      <c r="F93" s="69" t="n">
        <f aca="false">TblPop[[#This Row],[Peasants]]</f>
        <v>8441</v>
      </c>
      <c r="G93" s="69" t="e">
        <f aca="false">TblMili[[#This Row],[Networth (2)]]</f>
        <v>#VALUE!</v>
      </c>
      <c r="H93" s="69" t="n">
        <f aca="false">OFFSET(TblProd[[#This Row],[Platinum]],-1,0)+OFFSET(TblProd[[#This Row],[Plat/hr]],-1,0) - TblProd[[#This Row],[Expenses Platinum]] + IF(TblProd[[#This Row],[Plat Bonus]],TblPop[[#This Row],[Peasants]]*4) + SUM(TblConstr[[#This Row],[Dest Hom]:[Dest Doc]])*TblConstr[[#This Row],[CPA Platinum -DB]]*tech_3_3_2*TblTech[[#This Row],[3-3]]</f>
        <v>731714</v>
      </c>
      <c r="I93" s="69" t="n">
        <f aca="false">OFFSET(TblProd[[#This Row],[Food]],-1,0)+OFFSET(TblProd[[#This Row],[Food/hr]],-1,0)+ROUNDUP((TblConstr[[#This Row],[Farms]]*80+TblConstr[[#This Row],[Docks]]*35)*(1+OFFSET(TblProd[[#This Row],[Bonus Food/hr]],-1,0)),0)</f>
        <v>4597</v>
      </c>
      <c r="J93" s="69" t="n">
        <f aca="false">OFFSET(TblProd[[#This Row],[Lumber]],-1,0)+OFFSET(TblProd[[#This Row],[Lumber/hr]],-1,0) - TblProd[[#This Row],[Expenses Lumber]] + SUM(TblConstr[[#This Row],[Dest Hom]:[Dest Doc]])*TblConstr[[#This Row],[CPA Lumber -DB]]*tech_3_3_2*TblTech[[#This Row],[3-3]]</f>
        <v>29508</v>
      </c>
      <c r="K93" s="69" t="n">
        <f aca="false">OFFSET(TblProd[[#This Row],[Mana]],-1,0)+OFFSET(TblProd[[#This Row],[Mana/hr]],-1,0)- TblProd[[#This Row],[Expenses Mana]]</f>
        <v>5751.5</v>
      </c>
      <c r="L93" s="69" t="n">
        <f aca="false">OFFSET(TblProd[[#This Row],[Ore]],-1,0)+OFFSET(TblProd[[#This Row],[Ore/hr]],-1,0) -TblProd[[#This Row],[Expenses Ore]]</f>
        <v>0</v>
      </c>
      <c r="M93" s="69" t="n">
        <f aca="false">OFFSET(TblProd[[#This Row],[Gems]],-1,0)+OFFSET(TblProd[[#This Row],[Gems/hr]],-1,0) - TblProd[[#This Row],[Expenses Gems]]</f>
        <v>0</v>
      </c>
      <c r="N93" s="69" t="n">
        <f aca="false">OFFSET(TblProd[[#This Row],[Boats]],-1,0)+OFFSET(TblProd[[#This Row],[Boats/hr]],-1,0)</f>
        <v>48.65</v>
      </c>
      <c r="O93" s="69" t="n">
        <f aca="false">OFFSET(TblProd[[#This Row],[Prestige]],-1,0)</f>
        <v>250</v>
      </c>
      <c r="P9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3" s="69" t="n">
        <f aca="false">MAX(3750,_xlfn.CEILING.MATH(TblProd[[#This Row],[Land]]*2.5+OFFSET(TblTech[[#This Row],[Sum of tech]],-1,0)*150))</f>
        <v>3750</v>
      </c>
      <c r="R93" s="132"/>
      <c r="S93" s="69" t="n">
        <f aca="false">ROUNDDOWN(TblProd[[#This Row],[Raw Plat/hr]]*(1+TblProd[[#This Row],[Bonus Plat/hr]]),0)</f>
        <v>42614</v>
      </c>
      <c r="T93" s="69" t="n">
        <f aca="false">ROUND(TblProd[[#This Row],[Raw Food/hr]]*(1+TblProd[[#This Row],[Bonus Food/hr]])-TblProd[[#This Row],[Food decay]]-TblProd[[#This Row],[Food eaten]],0)</f>
        <v>81</v>
      </c>
      <c r="U93" s="69" t="n">
        <f aca="false">ROUND(TblProd[[#This Row],[Raw Lumber/hr]]*(1+TblProd[[#This Row],[Bonus Lumber/hr]])-TblProd[[#This Row],[Lumber rot]],0)</f>
        <v>830</v>
      </c>
      <c r="V93" s="69" t="n">
        <f aca="false">ROUND(TblProd[[#This Row],[Raw Mana/hr]]*(1+TblProd[[#This Row],[Bonus Mana/hr]])-TblProd[[#This Row],[Mana drain]],0)</f>
        <v>610</v>
      </c>
      <c r="W93" s="69" t="n">
        <f aca="false">ROUNDDOWN(TblProd[[#This Row],[Raw Ore/hr]]*(1+TblProd[[#This Row],[Bonux Ore/hr]]),0)</f>
        <v>0</v>
      </c>
      <c r="X93" s="69" t="n">
        <f aca="false">ROUNDDOWN(TblProd[[#This Row],[Raw Gems/hr]]*(1+TblProd[[#This Row],[Bonus Gems/hr]]),0)</f>
        <v>0</v>
      </c>
      <c r="Y93" s="148" t="n">
        <f aca="false">OFFSET(TblConstr[[#This Row],[Tot Doc]],1,0)*dock_boats_hr * (1 + tech_4_1*TblTech[[#This Row],[4-1]])</f>
        <v>1.2</v>
      </c>
      <c r="Z93" s="146"/>
      <c r="AA93" s="69" t="n">
        <f aca="false">TblPop[[#This Row],[Peasants]]*tax*TblPop[[#This Row],[Employment]] + (Construction!AZ94+Construction!BX94)*(alch_plat+(Magic!AM93&gt;0)*alchemist_flame_bonus)</f>
        <v>38740.7</v>
      </c>
      <c r="AB93" s="69" t="n">
        <f aca="false">TblConstr[[#This Row],[Tot Farm]]*farm_food + TblConstr[[#This Row],[Tot Doc]]*dock_food</f>
        <v>3280</v>
      </c>
      <c r="AC93" s="69" t="n">
        <f aca="false">TblConstr[[#This Row],[Tot Ly]]*ly_lumber + TblConstr[[#This Row],[Tot Hav]]*fh_lumber</f>
        <v>1250</v>
      </c>
      <c r="AD93" s="69" t="n">
        <f aca="false">OFFSET(TblConstr[[#This Row],[Tot Tow]],1,0)*(tower_mana + tech_4_5*TblTech[[#This Row],[4-5]]) + OFFSET(TblConstr[[#This Row],[Tot WG]],1,0)*wg_mana_prod</f>
        <v>725</v>
      </c>
      <c r="AE93" s="69" t="n">
        <f aca="false">OFFSET(TblConstr[[#This Row],[Tot OM]],1,0)*om_ore+IF(race="Dwarf",ROUNDDOWN(TblMili[[#This Row],[Unit 2]]*0.4,0),)</f>
        <v>0</v>
      </c>
      <c r="AF93" s="69" t="n">
        <f aca="false">OFFSET(TblConstr[[#This Row],[Tot DM]],1,0)*dm_gems</f>
        <v>0</v>
      </c>
      <c r="AG93" s="132"/>
      <c r="AH93" s="149" t="n">
        <f aca="false">MIN(race_platinum_bonus + IF(TblMagic[[#This Row],[Active Alch Frost]]&gt;0,alch_frost_bonus,IF(Magic!AD93&gt;0,midas_bonus)) + TblImps[[#This Row],[Science]] - TblProd[[#This Row],[Guard]]*(0.02 + tech_5_7*TblTech[[#This Row],[5-7]]) + tech_1_5*TblTech[[#This Row],[1-5]] + tech_4_4*TblTech[[#This Row],[4-4]], 0.5)</f>
        <v>0.1</v>
      </c>
      <c r="AI9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3" s="149" t="n">
        <f aca="false">race_lumber_bonus+ IF(TblMagic[[#This Row],[Active Gaia''s Blessing]]&gt;0,gaias_blessing_lumber)+ tech_1_3*TblTech[[#This Row],[1-3]] + tech_1_6*TblTech[[#This Row],[1-6]] + tech_3_3*TblTech[[#This Row],[3-3]]</f>
        <v>-0.1</v>
      </c>
      <c r="AK93" s="149" t="n">
        <f aca="false">race_mana_bonus+ 0 + TblImps[[#This Row],[Towers]] + tech_1_2*TblTech[[#This Row],[1-2]] + tech_3_4*TblTech[[#This Row],[3-4]]</f>
        <v>0</v>
      </c>
      <c r="AL93" s="149" t="n">
        <f aca="false">race_ore_bonus + IF(TblMagic[[#This Row],[Active Miner''s Sight]]&gt;0,miners_sight_bonus,IF(TblMagic[[#This Row],[Active Mining Strength]]&gt;0,mining_strength_bonus)) +  tech_1_6*TblTech[[#This Row],[1-6]]</f>
        <v>0</v>
      </c>
      <c r="AM93" s="149" t="n">
        <f aca="false">race_gem_bonus+ tech_3_2*TblTech[[#This Row],[3-2]] + tech_4_3*TblTech[[#This Row],[4-3]] + tech_6_2*TblTech[[#This Row],[6-2]]</f>
        <v>0.15</v>
      </c>
      <c r="AN93" s="132"/>
      <c r="AO93" s="69" t="n">
        <f aca="false">TblProd[[#This Row],[Food]]*food_decay * (1 + tech_2_1*TblTech[[#This Row],[2-1]] + tech_2_8*TblTech[[#This Row],[2-8]])</f>
        <v>45.97</v>
      </c>
      <c r="AP93" s="69" t="n">
        <f aca="false">(1+race_food_consumption)*TblPop[[#This Row],[Total]]*food_per_person*(1+tech_1_10*TblTech[[#This Row],[1-10]]+tech_7_5*TblTech[[#This Row],[7-5]])</f>
        <v>3234.75</v>
      </c>
      <c r="AQ93" s="69" t="n">
        <f aca="false">TblProd[[#This Row],[Lumber]]*lumber_rot * (1 + tech_2_1*TblTech[[#This Row],[2-1]] + tech_2_8*TblTech[[#This Row],[2-8]] + tech_5_2*TblTech[[#This Row],[5-2]])</f>
        <v>295.08</v>
      </c>
      <c r="AR93" s="69" t="n">
        <f aca="false">TblProd[[#This Row],[Mana]]*mana_drain * (1 + tech_2_1*TblTech[[#This Row],[2-1]] + tech_2_8*TblTech[[#This Row],[2-8]])</f>
        <v>115.03</v>
      </c>
      <c r="AS93" s="146"/>
      <c r="AT93" s="69" t="n">
        <f aca="false">TblExplore[[#This Row],[Platinum (2)]]+TblConstr[[#This Row],[Total Plat Cost]]+TblMili[[#This Row],[Plat Cost]]+TblRezone[[#This Row],[Platinum cost]]+TblImps[[#This Row],[P1]]-TblProd[[#This Row],[Bank Plat]]</f>
        <v>0</v>
      </c>
      <c r="AU93" s="69" t="n">
        <f aca="false">TblConstr[[#This Row],[Total Lum Cost]]+TblImps[[#This Row],[L1]]-TblProd[[#This Row],[Bank Lumber]] + Military!$CL$25*TblMili[[#This Row],[Sec. rec. Cost]]</f>
        <v>0</v>
      </c>
      <c r="AV93" s="69" t="n">
        <f aca="false">TblMagic[[#This Row],[Mana cost]] + Military!$CL$26*TblMili[[#This Row],[Sec. rec. Cost]]</f>
        <v>0</v>
      </c>
      <c r="AW93" s="69" t="n">
        <f aca="false">Military!$CL$24*TblMili[[#This Row],[Sec. rec. Cost]]+TblImps[[#This Row],[O1]]-TblProd[[#This Row],[Bank Ore]]</f>
        <v>0</v>
      </c>
      <c r="AX93" s="69" t="n">
        <f aca="false">TblImps[[#This Row],[G1]]-TblProd[[#This Row],[Bank Gems]]</f>
        <v>0</v>
      </c>
      <c r="AY93" s="132"/>
      <c r="AZ93" s="33" t="n">
        <f aca="false">IF(TblProd[[#This Row],[Set Guard]]&lt;&gt;"",TblProd[[#This Row],[Set Guard]],OFFSET(TblProd[[#This Row],[Guard]],-1,0))</f>
        <v>0</v>
      </c>
      <c r="BA93" s="145"/>
      <c r="BB93" s="151" t="n">
        <f aca="false">TblProd[[#This Row],[Hour]]</f>
        <v>18</v>
      </c>
      <c r="BC93" s="152" t="n">
        <f aca="false">-TblProd[[#This Row],[Bank Lumber]] / 2 + -TblProd[[#This Row],[Bank Gems]] * 2 + -TblProd[[#This Row],[Bank Ore]] / 2</f>
        <v>0</v>
      </c>
      <c r="BD93" s="152"/>
      <c r="BE93" s="152"/>
      <c r="BF93" s="152"/>
      <c r="BG93" s="153" t="n">
        <f aca="false">TblProd[[#This Row],[Time]]</f>
        <v>45433.4583333333</v>
      </c>
      <c r="BH9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69" t="n">
        <f aca="false">TblProd[[#This Row],[Platinum]]</f>
        <v>731714</v>
      </c>
      <c r="BJ93" s="69" t="n">
        <f aca="false">TblProd[[#This Row],[Food]]</f>
        <v>4597</v>
      </c>
      <c r="BK93" s="69" t="n">
        <f aca="false">TblProd[[#This Row],[Lumber]]</f>
        <v>29508</v>
      </c>
      <c r="BL93" s="69" t="n">
        <f aca="false">TblProd[[#This Row],[Mana]]</f>
        <v>5751.5</v>
      </c>
      <c r="BM93" s="69" t="n">
        <f aca="false">TblProd[[#This Row],[Ore]]</f>
        <v>0</v>
      </c>
    </row>
    <row r="94" customFormat="false" ht="12.75" hidden="false" customHeight="false" outlineLevel="0" collapsed="false">
      <c r="A94" s="128" t="n">
        <v>19</v>
      </c>
      <c r="B94" s="144" t="n">
        <f aca="false">TblImps[[#This Row],[Time]]</f>
        <v>45433.5</v>
      </c>
      <c r="C94" s="145"/>
      <c r="D94" s="146"/>
      <c r="E94" s="69" t="n">
        <f aca="false">TblConstr[[#This Row],[Land]]</f>
        <v>700</v>
      </c>
      <c r="F94" s="69" t="n">
        <f aca="false">TblPop[[#This Row],[Peasants]]</f>
        <v>8357</v>
      </c>
      <c r="G94" s="69" t="e">
        <f aca="false">TblMili[[#This Row],[Networth (2)]]</f>
        <v>#VALUE!</v>
      </c>
      <c r="H94" s="69" t="n">
        <f aca="false">OFFSET(TblProd[[#This Row],[Platinum]],-1,0)+OFFSET(TblProd[[#This Row],[Plat/hr]],-1,0) - TblProd[[#This Row],[Expenses Platinum]] + IF(TblProd[[#This Row],[Plat Bonus]],TblPop[[#This Row],[Peasants]]*4) + SUM(TblConstr[[#This Row],[Dest Hom]:[Dest Doc]])*TblConstr[[#This Row],[CPA Platinum -DB]]*tech_3_3_2*TblTech[[#This Row],[3-3]]</f>
        <v>774328</v>
      </c>
      <c r="I94" s="69" t="n">
        <f aca="false">OFFSET(TblProd[[#This Row],[Food]],-1,0)+OFFSET(TblProd[[#This Row],[Food/hr]],-1,0)+ROUNDUP((TblConstr[[#This Row],[Farms]]*80+TblConstr[[#This Row],[Docks]]*35)*(1+OFFSET(TblProd[[#This Row],[Bonus Food/hr]],-1,0)),0)</f>
        <v>4678</v>
      </c>
      <c r="J94" s="69" t="n">
        <f aca="false">OFFSET(TblProd[[#This Row],[Lumber]],-1,0)+OFFSET(TblProd[[#This Row],[Lumber/hr]],-1,0) - TblProd[[#This Row],[Expenses Lumber]] + SUM(TblConstr[[#This Row],[Dest Hom]:[Dest Doc]])*TblConstr[[#This Row],[CPA Lumber -DB]]*tech_3_3_2*TblTech[[#This Row],[3-3]]</f>
        <v>30338</v>
      </c>
      <c r="K94" s="69" t="n">
        <f aca="false">OFFSET(TblProd[[#This Row],[Mana]],-1,0)+OFFSET(TblProd[[#This Row],[Mana/hr]],-1,0)- TblProd[[#This Row],[Expenses Mana]]</f>
        <v>6361.5</v>
      </c>
      <c r="L94" s="69" t="n">
        <f aca="false">OFFSET(TblProd[[#This Row],[Ore]],-1,0)+OFFSET(TblProd[[#This Row],[Ore/hr]],-1,0) -TblProd[[#This Row],[Expenses Ore]]</f>
        <v>0</v>
      </c>
      <c r="M94" s="69" t="n">
        <f aca="false">OFFSET(TblProd[[#This Row],[Gems]],-1,0)+OFFSET(TblProd[[#This Row],[Gems/hr]],-1,0) - TblProd[[#This Row],[Expenses Gems]]</f>
        <v>0</v>
      </c>
      <c r="N94" s="69" t="n">
        <f aca="false">OFFSET(TblProd[[#This Row],[Boats]],-1,0)+OFFSET(TblProd[[#This Row],[Boats/hr]],-1,0)</f>
        <v>49.85</v>
      </c>
      <c r="O94" s="69" t="n">
        <f aca="false">OFFSET(TblProd[[#This Row],[Prestige]],-1,0)</f>
        <v>250</v>
      </c>
      <c r="P9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4" s="69" t="n">
        <f aca="false">MAX(3750,_xlfn.CEILING.MATH(TblProd[[#This Row],[Land]]*2.5+OFFSET(TblTech[[#This Row],[Sum of tech]],-1,0)*150))</f>
        <v>3750</v>
      </c>
      <c r="R94" s="132"/>
      <c r="S94" s="69" t="n">
        <f aca="false">ROUNDDOWN(TblProd[[#This Row],[Raw Plat/hr]]*(1+TblProd[[#This Row],[Bonus Plat/hr]]),0)</f>
        <v>42365</v>
      </c>
      <c r="T94" s="69" t="n">
        <f aca="false">ROUND(TblProd[[#This Row],[Raw Food/hr]]*(1+TblProd[[#This Row],[Bonus Food/hr]])-TblProd[[#This Row],[Food decay]]-TblProd[[#This Row],[Food eaten]],0)</f>
        <v>80</v>
      </c>
      <c r="U94" s="69" t="n">
        <f aca="false">ROUND(TblProd[[#This Row],[Raw Lumber/hr]]*(1+TblProd[[#This Row],[Bonus Lumber/hr]])-TblProd[[#This Row],[Lumber rot]],0)</f>
        <v>822</v>
      </c>
      <c r="V94" s="69" t="n">
        <f aca="false">ROUND(TblProd[[#This Row],[Raw Mana/hr]]*(1+TblProd[[#This Row],[Bonus Mana/hr]])-TblProd[[#This Row],[Mana drain]],0)</f>
        <v>598</v>
      </c>
      <c r="W94" s="69" t="n">
        <f aca="false">ROUNDDOWN(TblProd[[#This Row],[Raw Ore/hr]]*(1+TblProd[[#This Row],[Bonux Ore/hr]]),0)</f>
        <v>0</v>
      </c>
      <c r="X94" s="69" t="n">
        <f aca="false">ROUNDDOWN(TblProd[[#This Row],[Raw Gems/hr]]*(1+TblProd[[#This Row],[Bonus Gems/hr]]),0)</f>
        <v>0</v>
      </c>
      <c r="Y94" s="148" t="n">
        <f aca="false">OFFSET(TblConstr[[#This Row],[Tot Doc]],1,0)*dock_boats_hr * (1 + tech_4_1*TblTech[[#This Row],[4-1]])</f>
        <v>1.2</v>
      </c>
      <c r="Z94" s="146"/>
      <c r="AA94" s="69" t="n">
        <f aca="false">TblPop[[#This Row],[Peasants]]*tax*TblPop[[#This Row],[Employment]] + (Construction!AZ95+Construction!BX95)*(alch_plat+(Magic!AM94&gt;0)*alchemist_flame_bonus)</f>
        <v>38513.9</v>
      </c>
      <c r="AB94" s="69" t="n">
        <f aca="false">TblConstr[[#This Row],[Tot Farm]]*farm_food + TblConstr[[#This Row],[Tot Doc]]*dock_food</f>
        <v>3280</v>
      </c>
      <c r="AC94" s="69" t="n">
        <f aca="false">TblConstr[[#This Row],[Tot Ly]]*ly_lumber + TblConstr[[#This Row],[Tot Hav]]*fh_lumber</f>
        <v>1250</v>
      </c>
      <c r="AD94" s="69" t="n">
        <f aca="false">OFFSET(TblConstr[[#This Row],[Tot Tow]],1,0)*(tower_mana + tech_4_5*TblTech[[#This Row],[4-5]]) + OFFSET(TblConstr[[#This Row],[Tot WG]],1,0)*wg_mana_prod</f>
        <v>725</v>
      </c>
      <c r="AE94" s="69" t="n">
        <f aca="false">OFFSET(TblConstr[[#This Row],[Tot OM]],1,0)*om_ore+IF(race="Dwarf",ROUNDDOWN(TblMili[[#This Row],[Unit 2]]*0.4,0),)</f>
        <v>0</v>
      </c>
      <c r="AF94" s="69" t="n">
        <f aca="false">OFFSET(TblConstr[[#This Row],[Tot DM]],1,0)*dm_gems</f>
        <v>0</v>
      </c>
      <c r="AG94" s="132"/>
      <c r="AH94" s="149" t="n">
        <f aca="false">MIN(race_platinum_bonus + IF(TblMagic[[#This Row],[Active Alch Frost]]&gt;0,alch_frost_bonus,IF(Magic!AD94&gt;0,midas_bonus)) + TblImps[[#This Row],[Science]] - TblProd[[#This Row],[Guard]]*(0.02 + tech_5_7*TblTech[[#This Row],[5-7]]) + tech_1_5*TblTech[[#This Row],[1-5]] + tech_4_4*TblTech[[#This Row],[4-4]], 0.5)</f>
        <v>0.1</v>
      </c>
      <c r="AI9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4" s="149" t="n">
        <f aca="false">race_lumber_bonus+ IF(TblMagic[[#This Row],[Active Gaia''s Blessing]]&gt;0,gaias_blessing_lumber)+ tech_1_3*TblTech[[#This Row],[1-3]] + tech_1_6*TblTech[[#This Row],[1-6]] + tech_3_3*TblTech[[#This Row],[3-3]]</f>
        <v>-0.1</v>
      </c>
      <c r="AK94" s="149" t="n">
        <f aca="false">race_mana_bonus+ 0 + TblImps[[#This Row],[Towers]] + tech_1_2*TblTech[[#This Row],[1-2]] + tech_3_4*TblTech[[#This Row],[3-4]]</f>
        <v>0</v>
      </c>
      <c r="AL94" s="149" t="n">
        <f aca="false">race_ore_bonus + IF(TblMagic[[#This Row],[Active Miner''s Sight]]&gt;0,miners_sight_bonus,IF(TblMagic[[#This Row],[Active Mining Strength]]&gt;0,mining_strength_bonus)) +  tech_1_6*TblTech[[#This Row],[1-6]]</f>
        <v>0</v>
      </c>
      <c r="AM94" s="149" t="n">
        <f aca="false">race_gem_bonus+ tech_3_2*TblTech[[#This Row],[3-2]] + tech_4_3*TblTech[[#This Row],[4-3]] + tech_6_2*TblTech[[#This Row],[6-2]]</f>
        <v>0.15</v>
      </c>
      <c r="AN94" s="132"/>
      <c r="AO94" s="69" t="n">
        <f aca="false">TblProd[[#This Row],[Food]]*food_decay * (1 + tech_2_1*TblTech[[#This Row],[2-1]] + tech_2_8*TblTech[[#This Row],[2-8]])</f>
        <v>46.78</v>
      </c>
      <c r="AP94" s="69" t="n">
        <f aca="false">(1+race_food_consumption)*TblPop[[#This Row],[Total]]*food_per_person*(1+tech_1_10*TblTech[[#This Row],[1-10]]+tech_7_5*TblTech[[#This Row],[7-5]])</f>
        <v>3234.75</v>
      </c>
      <c r="AQ94" s="69" t="n">
        <f aca="false">TblProd[[#This Row],[Lumber]]*lumber_rot * (1 + tech_2_1*TblTech[[#This Row],[2-1]] + tech_2_8*TblTech[[#This Row],[2-8]] + tech_5_2*TblTech[[#This Row],[5-2]])</f>
        <v>303.38</v>
      </c>
      <c r="AR94" s="69" t="n">
        <f aca="false">TblProd[[#This Row],[Mana]]*mana_drain * (1 + tech_2_1*TblTech[[#This Row],[2-1]] + tech_2_8*TblTech[[#This Row],[2-8]])</f>
        <v>127.23</v>
      </c>
      <c r="AS94" s="146"/>
      <c r="AT94" s="69" t="n">
        <f aca="false">TblExplore[[#This Row],[Platinum (2)]]+TblConstr[[#This Row],[Total Plat Cost]]+TblMili[[#This Row],[Plat Cost]]+TblRezone[[#This Row],[Platinum cost]]+TblImps[[#This Row],[P1]]-TblProd[[#This Row],[Bank Plat]]</f>
        <v>0</v>
      </c>
      <c r="AU94" s="69" t="n">
        <f aca="false">TblConstr[[#This Row],[Total Lum Cost]]+TblImps[[#This Row],[L1]]-TblProd[[#This Row],[Bank Lumber]] + Military!$CL$25*TblMili[[#This Row],[Sec. rec. Cost]]</f>
        <v>0</v>
      </c>
      <c r="AV94" s="69" t="n">
        <f aca="false">TblMagic[[#This Row],[Mana cost]] + Military!$CL$26*TblMili[[#This Row],[Sec. rec. Cost]]</f>
        <v>0</v>
      </c>
      <c r="AW94" s="69" t="n">
        <f aca="false">Military!$CL$24*TblMili[[#This Row],[Sec. rec. Cost]]+TblImps[[#This Row],[O1]]-TblProd[[#This Row],[Bank Ore]]</f>
        <v>0</v>
      </c>
      <c r="AX94" s="69" t="n">
        <f aca="false">TblImps[[#This Row],[G1]]-TblProd[[#This Row],[Bank Gems]]</f>
        <v>0</v>
      </c>
      <c r="AY94" s="132"/>
      <c r="AZ94" s="33" t="n">
        <f aca="false">IF(TblProd[[#This Row],[Set Guard]]&lt;&gt;"",TblProd[[#This Row],[Set Guard]],OFFSET(TblProd[[#This Row],[Guard]],-1,0))</f>
        <v>0</v>
      </c>
      <c r="BA94" s="145"/>
      <c r="BB94" s="151" t="n">
        <f aca="false">TblProd[[#This Row],[Hour]]</f>
        <v>19</v>
      </c>
      <c r="BC94" s="152" t="n">
        <f aca="false">-TblProd[[#This Row],[Bank Lumber]] / 2 + -TblProd[[#This Row],[Bank Gems]] * 2 + -TblProd[[#This Row],[Bank Ore]] / 2</f>
        <v>0</v>
      </c>
      <c r="BD94" s="152"/>
      <c r="BE94" s="152"/>
      <c r="BF94" s="152"/>
      <c r="BG94" s="153" t="n">
        <f aca="false">TblProd[[#This Row],[Time]]</f>
        <v>45433.5</v>
      </c>
      <c r="BH9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69" t="n">
        <f aca="false">TblProd[[#This Row],[Platinum]]</f>
        <v>774328</v>
      </c>
      <c r="BJ94" s="69" t="n">
        <f aca="false">TblProd[[#This Row],[Food]]</f>
        <v>4678</v>
      </c>
      <c r="BK94" s="69" t="n">
        <f aca="false">TblProd[[#This Row],[Lumber]]</f>
        <v>30338</v>
      </c>
      <c r="BL94" s="69" t="n">
        <f aca="false">TblProd[[#This Row],[Mana]]</f>
        <v>6361.5</v>
      </c>
      <c r="BM94" s="69" t="n">
        <f aca="false">TblProd[[#This Row],[Ore]]</f>
        <v>0</v>
      </c>
    </row>
    <row r="95" customFormat="false" ht="12.75" hidden="false" customHeight="false" outlineLevel="0" collapsed="false">
      <c r="A95" s="128" t="n">
        <v>20</v>
      </c>
      <c r="B95" s="144" t="n">
        <f aca="false">TblImps[[#This Row],[Time]]</f>
        <v>45433.5416666667</v>
      </c>
      <c r="C95" s="145"/>
      <c r="D95" s="146"/>
      <c r="E95" s="69" t="n">
        <f aca="false">TblConstr[[#This Row],[Land]]</f>
        <v>700</v>
      </c>
      <c r="F95" s="69" t="n">
        <f aca="false">TblPop[[#This Row],[Peasants]]</f>
        <v>8273</v>
      </c>
      <c r="G95" s="69" t="e">
        <f aca="false">TblMili[[#This Row],[Networth (2)]]</f>
        <v>#VALUE!</v>
      </c>
      <c r="H95" s="69" t="n">
        <f aca="false">OFFSET(TblProd[[#This Row],[Platinum]],-1,0)+OFFSET(TblProd[[#This Row],[Plat/hr]],-1,0) - TblProd[[#This Row],[Expenses Platinum]] + IF(TblProd[[#This Row],[Plat Bonus]],TblPop[[#This Row],[Peasants]]*4) + SUM(TblConstr[[#This Row],[Dest Hom]:[Dest Doc]])*TblConstr[[#This Row],[CPA Platinum -DB]]*tech_3_3_2*TblTech[[#This Row],[3-3]]</f>
        <v>816693</v>
      </c>
      <c r="I95" s="69" t="n">
        <f aca="false">OFFSET(TblProd[[#This Row],[Food]],-1,0)+OFFSET(TblProd[[#This Row],[Food/hr]],-1,0)+ROUNDUP((TblConstr[[#This Row],[Farms]]*80+TblConstr[[#This Row],[Docks]]*35)*(1+OFFSET(TblProd[[#This Row],[Bonus Food/hr]],-1,0)),0)</f>
        <v>4758</v>
      </c>
      <c r="J95" s="69" t="n">
        <f aca="false">OFFSET(TblProd[[#This Row],[Lumber]],-1,0)+OFFSET(TblProd[[#This Row],[Lumber/hr]],-1,0) - TblProd[[#This Row],[Expenses Lumber]] + SUM(TblConstr[[#This Row],[Dest Hom]:[Dest Doc]])*TblConstr[[#This Row],[CPA Lumber -DB]]*tech_3_3_2*TblTech[[#This Row],[3-3]]</f>
        <v>31160</v>
      </c>
      <c r="K95" s="69" t="n">
        <f aca="false">OFFSET(TblProd[[#This Row],[Mana]],-1,0)+OFFSET(TblProd[[#This Row],[Mana/hr]],-1,0)- TblProd[[#This Row],[Expenses Mana]]</f>
        <v>6959.5</v>
      </c>
      <c r="L95" s="69" t="n">
        <f aca="false">OFFSET(TblProd[[#This Row],[Ore]],-1,0)+OFFSET(TblProd[[#This Row],[Ore/hr]],-1,0) -TblProd[[#This Row],[Expenses Ore]]</f>
        <v>0</v>
      </c>
      <c r="M95" s="69" t="n">
        <f aca="false">OFFSET(TblProd[[#This Row],[Gems]],-1,0)+OFFSET(TblProd[[#This Row],[Gems/hr]],-1,0) - TblProd[[#This Row],[Expenses Gems]]</f>
        <v>0</v>
      </c>
      <c r="N95" s="69" t="n">
        <f aca="false">OFFSET(TblProd[[#This Row],[Boats]],-1,0)+OFFSET(TblProd[[#This Row],[Boats/hr]],-1,0)</f>
        <v>51.05</v>
      </c>
      <c r="O95" s="69" t="n">
        <f aca="false">OFFSET(TblProd[[#This Row],[Prestige]],-1,0)</f>
        <v>250</v>
      </c>
      <c r="P9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5" s="69" t="n">
        <f aca="false">MAX(3750,_xlfn.CEILING.MATH(TblProd[[#This Row],[Land]]*2.5+OFFSET(TblTech[[#This Row],[Sum of tech]],-1,0)*150))</f>
        <v>3750</v>
      </c>
      <c r="R95" s="132"/>
      <c r="S95" s="69" t="n">
        <f aca="false">ROUNDDOWN(TblProd[[#This Row],[Raw Plat/hr]]*(1+TblProd[[#This Row],[Bonus Plat/hr]]),0)</f>
        <v>42115</v>
      </c>
      <c r="T95" s="69" t="n">
        <f aca="false">ROUND(TblProd[[#This Row],[Raw Food/hr]]*(1+TblProd[[#This Row],[Bonus Food/hr]])-TblProd[[#This Row],[Food decay]]-TblProd[[#This Row],[Food eaten]],0)</f>
        <v>80</v>
      </c>
      <c r="U95" s="69" t="n">
        <f aca="false">ROUND(TblProd[[#This Row],[Raw Lumber/hr]]*(1+TblProd[[#This Row],[Bonus Lumber/hr]])-TblProd[[#This Row],[Lumber rot]],0)</f>
        <v>813</v>
      </c>
      <c r="V95" s="69" t="n">
        <f aca="false">ROUND(TblProd[[#This Row],[Raw Mana/hr]]*(1+TblProd[[#This Row],[Bonus Mana/hr]])-TblProd[[#This Row],[Mana drain]],0)</f>
        <v>586</v>
      </c>
      <c r="W95" s="69" t="n">
        <f aca="false">ROUNDDOWN(TblProd[[#This Row],[Raw Ore/hr]]*(1+TblProd[[#This Row],[Bonux Ore/hr]]),0)</f>
        <v>0</v>
      </c>
      <c r="X95" s="69" t="n">
        <f aca="false">ROUNDDOWN(TblProd[[#This Row],[Raw Gems/hr]]*(1+TblProd[[#This Row],[Bonus Gems/hr]]),0)</f>
        <v>0</v>
      </c>
      <c r="Y95" s="148" t="n">
        <f aca="false">OFFSET(TblConstr[[#This Row],[Tot Doc]],1,0)*dock_boats_hr * (1 + tech_4_1*TblTech[[#This Row],[4-1]])</f>
        <v>1.2</v>
      </c>
      <c r="Z95" s="146"/>
      <c r="AA95" s="69" t="n">
        <f aca="false">TblPop[[#This Row],[Peasants]]*tax*TblPop[[#This Row],[Employment]] + (Construction!AZ96+Construction!BX96)*(alch_plat+(Magic!AM95&gt;0)*alchemist_flame_bonus)</f>
        <v>38287.1</v>
      </c>
      <c r="AB95" s="69" t="n">
        <f aca="false">TblConstr[[#This Row],[Tot Farm]]*farm_food + TblConstr[[#This Row],[Tot Doc]]*dock_food</f>
        <v>3280</v>
      </c>
      <c r="AC95" s="69" t="n">
        <f aca="false">TblConstr[[#This Row],[Tot Ly]]*ly_lumber + TblConstr[[#This Row],[Tot Hav]]*fh_lumber</f>
        <v>1250</v>
      </c>
      <c r="AD95" s="69" t="n">
        <f aca="false">OFFSET(TblConstr[[#This Row],[Tot Tow]],1,0)*(tower_mana + tech_4_5*TblTech[[#This Row],[4-5]]) + OFFSET(TblConstr[[#This Row],[Tot WG]],1,0)*wg_mana_prod</f>
        <v>725</v>
      </c>
      <c r="AE95" s="69" t="n">
        <f aca="false">OFFSET(TblConstr[[#This Row],[Tot OM]],1,0)*om_ore+IF(race="Dwarf",ROUNDDOWN(TblMili[[#This Row],[Unit 2]]*0.4,0),)</f>
        <v>0</v>
      </c>
      <c r="AF95" s="69" t="n">
        <f aca="false">OFFSET(TblConstr[[#This Row],[Tot DM]],1,0)*dm_gems</f>
        <v>0</v>
      </c>
      <c r="AG95" s="132"/>
      <c r="AH95" s="149" t="n">
        <f aca="false">MIN(race_platinum_bonus + IF(TblMagic[[#This Row],[Active Alch Frost]]&gt;0,alch_frost_bonus,IF(Magic!AD95&gt;0,midas_bonus)) + TblImps[[#This Row],[Science]] - TblProd[[#This Row],[Guard]]*(0.02 + tech_5_7*TblTech[[#This Row],[5-7]]) + tech_1_5*TblTech[[#This Row],[1-5]] + tech_4_4*TblTech[[#This Row],[4-4]], 0.5)</f>
        <v>0.1</v>
      </c>
      <c r="AI9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5" s="149" t="n">
        <f aca="false">race_lumber_bonus+ IF(TblMagic[[#This Row],[Active Gaia''s Blessing]]&gt;0,gaias_blessing_lumber)+ tech_1_3*TblTech[[#This Row],[1-3]] + tech_1_6*TblTech[[#This Row],[1-6]] + tech_3_3*TblTech[[#This Row],[3-3]]</f>
        <v>-0.1</v>
      </c>
      <c r="AK95" s="149" t="n">
        <f aca="false">race_mana_bonus+ 0 + TblImps[[#This Row],[Towers]] + tech_1_2*TblTech[[#This Row],[1-2]] + tech_3_4*TblTech[[#This Row],[3-4]]</f>
        <v>0</v>
      </c>
      <c r="AL95" s="149" t="n">
        <f aca="false">race_ore_bonus + IF(TblMagic[[#This Row],[Active Miner''s Sight]]&gt;0,miners_sight_bonus,IF(TblMagic[[#This Row],[Active Mining Strength]]&gt;0,mining_strength_bonus)) +  tech_1_6*TblTech[[#This Row],[1-6]]</f>
        <v>0</v>
      </c>
      <c r="AM95" s="149" t="n">
        <f aca="false">race_gem_bonus+ tech_3_2*TblTech[[#This Row],[3-2]] + tech_4_3*TblTech[[#This Row],[4-3]] + tech_6_2*TblTech[[#This Row],[6-2]]</f>
        <v>0.15</v>
      </c>
      <c r="AN95" s="132"/>
      <c r="AO95" s="69" t="n">
        <f aca="false">TblProd[[#This Row],[Food]]*food_decay * (1 + tech_2_1*TblTech[[#This Row],[2-1]] + tech_2_8*TblTech[[#This Row],[2-8]])</f>
        <v>47.58</v>
      </c>
      <c r="AP95" s="69" t="n">
        <f aca="false">(1+race_food_consumption)*TblPop[[#This Row],[Total]]*food_per_person*(1+tech_1_10*TblTech[[#This Row],[1-10]]+tech_7_5*TblTech[[#This Row],[7-5]])</f>
        <v>3234.75</v>
      </c>
      <c r="AQ95" s="69" t="n">
        <f aca="false">TblProd[[#This Row],[Lumber]]*lumber_rot * (1 + tech_2_1*TblTech[[#This Row],[2-1]] + tech_2_8*TblTech[[#This Row],[2-8]] + tech_5_2*TblTech[[#This Row],[5-2]])</f>
        <v>311.6</v>
      </c>
      <c r="AR95" s="69" t="n">
        <f aca="false">TblProd[[#This Row],[Mana]]*mana_drain * (1 + tech_2_1*TblTech[[#This Row],[2-1]] + tech_2_8*TblTech[[#This Row],[2-8]])</f>
        <v>139.19</v>
      </c>
      <c r="AS95" s="146"/>
      <c r="AT95" s="69" t="n">
        <f aca="false">TblExplore[[#This Row],[Platinum (2)]]+TblConstr[[#This Row],[Total Plat Cost]]+TblMili[[#This Row],[Plat Cost]]+TblRezone[[#This Row],[Platinum cost]]+TblImps[[#This Row],[P1]]-TblProd[[#This Row],[Bank Plat]]</f>
        <v>0</v>
      </c>
      <c r="AU95" s="69" t="n">
        <f aca="false">TblConstr[[#This Row],[Total Lum Cost]]+TblImps[[#This Row],[L1]]-TblProd[[#This Row],[Bank Lumber]] + Military!$CL$25*TblMili[[#This Row],[Sec. rec. Cost]]</f>
        <v>0</v>
      </c>
      <c r="AV95" s="69" t="n">
        <f aca="false">TblMagic[[#This Row],[Mana cost]] + Military!$CL$26*TblMili[[#This Row],[Sec. rec. Cost]]</f>
        <v>0</v>
      </c>
      <c r="AW95" s="69" t="n">
        <f aca="false">Military!$CL$24*TblMili[[#This Row],[Sec. rec. Cost]]+TblImps[[#This Row],[O1]]-TblProd[[#This Row],[Bank Ore]]</f>
        <v>0</v>
      </c>
      <c r="AX95" s="69" t="n">
        <f aca="false">TblImps[[#This Row],[G1]]-TblProd[[#This Row],[Bank Gems]]</f>
        <v>0</v>
      </c>
      <c r="AY95" s="132"/>
      <c r="AZ95" s="33" t="n">
        <f aca="false">IF(TblProd[[#This Row],[Set Guard]]&lt;&gt;"",TblProd[[#This Row],[Set Guard]],OFFSET(TblProd[[#This Row],[Guard]],-1,0))</f>
        <v>0</v>
      </c>
      <c r="BA95" s="145"/>
      <c r="BB95" s="151" t="n">
        <f aca="false">TblProd[[#This Row],[Hour]]</f>
        <v>20</v>
      </c>
      <c r="BC95" s="152" t="n">
        <f aca="false">-TblProd[[#This Row],[Bank Lumber]] / 2 + -TblProd[[#This Row],[Bank Gems]] * 2 + -TblProd[[#This Row],[Bank Ore]] / 2</f>
        <v>0</v>
      </c>
      <c r="BD95" s="152"/>
      <c r="BE95" s="152"/>
      <c r="BF95" s="152"/>
      <c r="BG95" s="153" t="n">
        <f aca="false">TblProd[[#This Row],[Time]]</f>
        <v>45433.5416666667</v>
      </c>
      <c r="BH9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69" t="n">
        <f aca="false">TblProd[[#This Row],[Platinum]]</f>
        <v>816693</v>
      </c>
      <c r="BJ95" s="69" t="n">
        <f aca="false">TblProd[[#This Row],[Food]]</f>
        <v>4758</v>
      </c>
      <c r="BK95" s="69" t="n">
        <f aca="false">TblProd[[#This Row],[Lumber]]</f>
        <v>31160</v>
      </c>
      <c r="BL95" s="69" t="n">
        <f aca="false">TblProd[[#This Row],[Mana]]</f>
        <v>6959.5</v>
      </c>
      <c r="BM95" s="69" t="n">
        <f aca="false">TblProd[[#This Row],[Ore]]</f>
        <v>0</v>
      </c>
    </row>
    <row r="96" customFormat="false" ht="12.75" hidden="false" customHeight="false" outlineLevel="0" collapsed="false">
      <c r="A96" s="128" t="n">
        <v>21</v>
      </c>
      <c r="B96" s="144" t="n">
        <f aca="false">TblImps[[#This Row],[Time]]</f>
        <v>45433.5833333333</v>
      </c>
      <c r="C96" s="145"/>
      <c r="D96" s="146"/>
      <c r="E96" s="69" t="n">
        <f aca="false">TblConstr[[#This Row],[Land]]</f>
        <v>700</v>
      </c>
      <c r="F96" s="69" t="n">
        <f aca="false">TblPop[[#This Row],[Peasants]]</f>
        <v>8190</v>
      </c>
      <c r="G96" s="69" t="e">
        <f aca="false">TblMili[[#This Row],[Networth (2)]]</f>
        <v>#VALUE!</v>
      </c>
      <c r="H96" s="69" t="n">
        <f aca="false">OFFSET(TblProd[[#This Row],[Platinum]],-1,0)+OFFSET(TblProd[[#This Row],[Plat/hr]],-1,0) - TblProd[[#This Row],[Expenses Platinum]] + IF(TblProd[[#This Row],[Plat Bonus]],TblPop[[#This Row],[Peasants]]*4) + SUM(TblConstr[[#This Row],[Dest Hom]:[Dest Doc]])*TblConstr[[#This Row],[CPA Platinum -DB]]*tech_3_3_2*TblTech[[#This Row],[3-3]]</f>
        <v>858808</v>
      </c>
      <c r="I96" s="69" t="n">
        <f aca="false">OFFSET(TblProd[[#This Row],[Food]],-1,0)+OFFSET(TblProd[[#This Row],[Food/hr]],-1,0)+ROUNDUP((TblConstr[[#This Row],[Farms]]*80+TblConstr[[#This Row],[Docks]]*35)*(1+OFFSET(TblProd[[#This Row],[Bonus Food/hr]],-1,0)),0)</f>
        <v>4838</v>
      </c>
      <c r="J96" s="69" t="n">
        <f aca="false">OFFSET(TblProd[[#This Row],[Lumber]],-1,0)+OFFSET(TblProd[[#This Row],[Lumber/hr]],-1,0) - TblProd[[#This Row],[Expenses Lumber]] + SUM(TblConstr[[#This Row],[Dest Hom]:[Dest Doc]])*TblConstr[[#This Row],[CPA Lumber -DB]]*tech_3_3_2*TblTech[[#This Row],[3-3]]</f>
        <v>31973</v>
      </c>
      <c r="K96" s="69" t="n">
        <f aca="false">OFFSET(TblProd[[#This Row],[Mana]],-1,0)+OFFSET(TblProd[[#This Row],[Mana/hr]],-1,0)- TblProd[[#This Row],[Expenses Mana]]</f>
        <v>7545.5</v>
      </c>
      <c r="L96" s="69" t="n">
        <f aca="false">OFFSET(TblProd[[#This Row],[Ore]],-1,0)+OFFSET(TblProd[[#This Row],[Ore/hr]],-1,0) -TblProd[[#This Row],[Expenses Ore]]</f>
        <v>0</v>
      </c>
      <c r="M96" s="69" t="n">
        <f aca="false">OFFSET(TblProd[[#This Row],[Gems]],-1,0)+OFFSET(TblProd[[#This Row],[Gems/hr]],-1,0) - TblProd[[#This Row],[Expenses Gems]]</f>
        <v>0</v>
      </c>
      <c r="N96" s="69" t="n">
        <f aca="false">OFFSET(TblProd[[#This Row],[Boats]],-1,0)+OFFSET(TblProd[[#This Row],[Boats/hr]],-1,0)</f>
        <v>52.25</v>
      </c>
      <c r="O96" s="69" t="n">
        <f aca="false">OFFSET(TblProd[[#This Row],[Prestige]],-1,0)</f>
        <v>250</v>
      </c>
      <c r="P9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6" s="69" t="n">
        <f aca="false">MAX(3750,_xlfn.CEILING.MATH(TblProd[[#This Row],[Land]]*2.5+OFFSET(TblTech[[#This Row],[Sum of tech]],-1,0)*150))</f>
        <v>3750</v>
      </c>
      <c r="R96" s="132"/>
      <c r="S96" s="69" t="n">
        <f aca="false">ROUNDDOWN(TblProd[[#This Row],[Raw Plat/hr]]*(1+TblProd[[#This Row],[Bonus Plat/hr]]),0)</f>
        <v>41869</v>
      </c>
      <c r="T96" s="69" t="n">
        <f aca="false">ROUND(TblProd[[#This Row],[Raw Food/hr]]*(1+TblProd[[#This Row],[Bonus Food/hr]])-TblProd[[#This Row],[Food decay]]-TblProd[[#This Row],[Food eaten]],0)</f>
        <v>79</v>
      </c>
      <c r="U96" s="69" t="n">
        <f aca="false">ROUND(TblProd[[#This Row],[Raw Lumber/hr]]*(1+TblProd[[#This Row],[Bonus Lumber/hr]])-TblProd[[#This Row],[Lumber rot]],0)</f>
        <v>805</v>
      </c>
      <c r="V96" s="69" t="n">
        <f aca="false">ROUND(TblProd[[#This Row],[Raw Mana/hr]]*(1+TblProd[[#This Row],[Bonus Mana/hr]])-TblProd[[#This Row],[Mana drain]],0)</f>
        <v>574</v>
      </c>
      <c r="W96" s="69" t="n">
        <f aca="false">ROUNDDOWN(TblProd[[#This Row],[Raw Ore/hr]]*(1+TblProd[[#This Row],[Bonux Ore/hr]]),0)</f>
        <v>0</v>
      </c>
      <c r="X96" s="69" t="n">
        <f aca="false">ROUNDDOWN(TblProd[[#This Row],[Raw Gems/hr]]*(1+TblProd[[#This Row],[Bonus Gems/hr]]),0)</f>
        <v>0</v>
      </c>
      <c r="Y96" s="148" t="n">
        <f aca="false">OFFSET(TblConstr[[#This Row],[Tot Doc]],1,0)*dock_boats_hr * (1 + tech_4_1*TblTech[[#This Row],[4-1]])</f>
        <v>1.2</v>
      </c>
      <c r="Z96" s="146"/>
      <c r="AA96" s="69" t="n">
        <f aca="false">TblPop[[#This Row],[Peasants]]*tax*TblPop[[#This Row],[Employment]] + (Construction!AZ97+Construction!BX97)*(alch_plat+(Magic!AM96&gt;0)*alchemist_flame_bonus)</f>
        <v>38063</v>
      </c>
      <c r="AB96" s="69" t="n">
        <f aca="false">TblConstr[[#This Row],[Tot Farm]]*farm_food + TblConstr[[#This Row],[Tot Doc]]*dock_food</f>
        <v>3280</v>
      </c>
      <c r="AC96" s="69" t="n">
        <f aca="false">TblConstr[[#This Row],[Tot Ly]]*ly_lumber + TblConstr[[#This Row],[Tot Hav]]*fh_lumber</f>
        <v>1250</v>
      </c>
      <c r="AD96" s="69" t="n">
        <f aca="false">OFFSET(TblConstr[[#This Row],[Tot Tow]],1,0)*(tower_mana + tech_4_5*TblTech[[#This Row],[4-5]]) + OFFSET(TblConstr[[#This Row],[Tot WG]],1,0)*wg_mana_prod</f>
        <v>725</v>
      </c>
      <c r="AE96" s="69" t="n">
        <f aca="false">OFFSET(TblConstr[[#This Row],[Tot OM]],1,0)*om_ore+IF(race="Dwarf",ROUNDDOWN(TblMili[[#This Row],[Unit 2]]*0.4,0),)</f>
        <v>0</v>
      </c>
      <c r="AF96" s="69" t="n">
        <f aca="false">OFFSET(TblConstr[[#This Row],[Tot DM]],1,0)*dm_gems</f>
        <v>0</v>
      </c>
      <c r="AG96" s="132"/>
      <c r="AH96" s="149" t="n">
        <f aca="false">MIN(race_platinum_bonus + IF(TblMagic[[#This Row],[Active Alch Frost]]&gt;0,alch_frost_bonus,IF(Magic!AD96&gt;0,midas_bonus)) + TblImps[[#This Row],[Science]] - TblProd[[#This Row],[Guard]]*(0.02 + tech_5_7*TblTech[[#This Row],[5-7]]) + tech_1_5*TblTech[[#This Row],[1-5]] + tech_4_4*TblTech[[#This Row],[4-4]], 0.5)</f>
        <v>0.1</v>
      </c>
      <c r="AI9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6" s="149" t="n">
        <f aca="false">race_lumber_bonus+ IF(TblMagic[[#This Row],[Active Gaia''s Blessing]]&gt;0,gaias_blessing_lumber)+ tech_1_3*TblTech[[#This Row],[1-3]] + tech_1_6*TblTech[[#This Row],[1-6]] + tech_3_3*TblTech[[#This Row],[3-3]]</f>
        <v>-0.1</v>
      </c>
      <c r="AK96" s="149" t="n">
        <f aca="false">race_mana_bonus+ 0 + TblImps[[#This Row],[Towers]] + tech_1_2*TblTech[[#This Row],[1-2]] + tech_3_4*TblTech[[#This Row],[3-4]]</f>
        <v>0</v>
      </c>
      <c r="AL96" s="149" t="n">
        <f aca="false">race_ore_bonus + IF(TblMagic[[#This Row],[Active Miner''s Sight]]&gt;0,miners_sight_bonus,IF(TblMagic[[#This Row],[Active Mining Strength]]&gt;0,mining_strength_bonus)) +  tech_1_6*TblTech[[#This Row],[1-6]]</f>
        <v>0</v>
      </c>
      <c r="AM96" s="149" t="n">
        <f aca="false">race_gem_bonus+ tech_3_2*TblTech[[#This Row],[3-2]] + tech_4_3*TblTech[[#This Row],[4-3]] + tech_6_2*TblTech[[#This Row],[6-2]]</f>
        <v>0.15</v>
      </c>
      <c r="AN96" s="132"/>
      <c r="AO96" s="69" t="n">
        <f aca="false">TblProd[[#This Row],[Food]]*food_decay * (1 + tech_2_1*TblTech[[#This Row],[2-1]] + tech_2_8*TblTech[[#This Row],[2-8]])</f>
        <v>48.38</v>
      </c>
      <c r="AP96" s="69" t="n">
        <f aca="false">(1+race_food_consumption)*TblPop[[#This Row],[Total]]*food_per_person*(1+tech_1_10*TblTech[[#This Row],[1-10]]+tech_7_5*TblTech[[#This Row],[7-5]])</f>
        <v>3234.75</v>
      </c>
      <c r="AQ96" s="69" t="n">
        <f aca="false">TblProd[[#This Row],[Lumber]]*lumber_rot * (1 + tech_2_1*TblTech[[#This Row],[2-1]] + tech_2_8*TblTech[[#This Row],[2-8]] + tech_5_2*TblTech[[#This Row],[5-2]])</f>
        <v>319.73</v>
      </c>
      <c r="AR96" s="69" t="n">
        <f aca="false">TblProd[[#This Row],[Mana]]*mana_drain * (1 + tech_2_1*TblTech[[#This Row],[2-1]] + tech_2_8*TblTech[[#This Row],[2-8]])</f>
        <v>150.91</v>
      </c>
      <c r="AS96" s="146"/>
      <c r="AT96" s="69" t="n">
        <f aca="false">TblExplore[[#This Row],[Platinum (2)]]+TblConstr[[#This Row],[Total Plat Cost]]+TblMili[[#This Row],[Plat Cost]]+TblRezone[[#This Row],[Platinum cost]]+TblImps[[#This Row],[P1]]-TblProd[[#This Row],[Bank Plat]]</f>
        <v>0</v>
      </c>
      <c r="AU96" s="69" t="n">
        <f aca="false">TblConstr[[#This Row],[Total Lum Cost]]+TblImps[[#This Row],[L1]]-TblProd[[#This Row],[Bank Lumber]] + Military!$CL$25*TblMili[[#This Row],[Sec. rec. Cost]]</f>
        <v>0</v>
      </c>
      <c r="AV96" s="69" t="n">
        <f aca="false">TblMagic[[#This Row],[Mana cost]] + Military!$CL$26*TblMili[[#This Row],[Sec. rec. Cost]]</f>
        <v>0</v>
      </c>
      <c r="AW96" s="69" t="n">
        <f aca="false">Military!$CL$24*TblMili[[#This Row],[Sec. rec. Cost]]+TblImps[[#This Row],[O1]]-TblProd[[#This Row],[Bank Ore]]</f>
        <v>0</v>
      </c>
      <c r="AX96" s="69" t="n">
        <f aca="false">TblImps[[#This Row],[G1]]-TblProd[[#This Row],[Bank Gems]]</f>
        <v>0</v>
      </c>
      <c r="AY96" s="132"/>
      <c r="AZ96" s="33" t="n">
        <f aca="false">IF(TblProd[[#This Row],[Set Guard]]&lt;&gt;"",TblProd[[#This Row],[Set Guard]],OFFSET(TblProd[[#This Row],[Guard]],-1,0))</f>
        <v>0</v>
      </c>
      <c r="BA96" s="145"/>
      <c r="BB96" s="151" t="n">
        <f aca="false">TblProd[[#This Row],[Hour]]</f>
        <v>21</v>
      </c>
      <c r="BC96" s="152" t="n">
        <f aca="false">-TblProd[[#This Row],[Bank Lumber]] / 2 + -TblProd[[#This Row],[Bank Gems]] * 2 + -TblProd[[#This Row],[Bank Ore]] / 2</f>
        <v>0</v>
      </c>
      <c r="BD96" s="152"/>
      <c r="BE96" s="152"/>
      <c r="BF96" s="152"/>
      <c r="BG96" s="153" t="n">
        <f aca="false">TblProd[[#This Row],[Time]]</f>
        <v>45433.5833333333</v>
      </c>
      <c r="BH9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69" t="n">
        <f aca="false">TblProd[[#This Row],[Platinum]]</f>
        <v>858808</v>
      </c>
      <c r="BJ96" s="69" t="n">
        <f aca="false">TblProd[[#This Row],[Food]]</f>
        <v>4838</v>
      </c>
      <c r="BK96" s="69" t="n">
        <f aca="false">TblProd[[#This Row],[Lumber]]</f>
        <v>31973</v>
      </c>
      <c r="BL96" s="69" t="n">
        <f aca="false">TblProd[[#This Row],[Mana]]</f>
        <v>7545.5</v>
      </c>
      <c r="BM96" s="69" t="n">
        <f aca="false">TblProd[[#This Row],[Ore]]</f>
        <v>0</v>
      </c>
    </row>
    <row r="97" customFormat="false" ht="12.75" hidden="false" customHeight="false" outlineLevel="0" collapsed="false">
      <c r="A97" s="128" t="n">
        <v>22</v>
      </c>
      <c r="B97" s="144" t="n">
        <f aca="false">TblImps[[#This Row],[Time]]</f>
        <v>45433.625</v>
      </c>
      <c r="C97" s="145"/>
      <c r="D97" s="146"/>
      <c r="E97" s="69" t="n">
        <f aca="false">TblConstr[[#This Row],[Land]]</f>
        <v>700</v>
      </c>
      <c r="F97" s="69" t="n">
        <f aca="false">TblPop[[#This Row],[Peasants]]</f>
        <v>8108</v>
      </c>
      <c r="G97" s="69" t="e">
        <f aca="false">TblMili[[#This Row],[Networth (2)]]</f>
        <v>#VALUE!</v>
      </c>
      <c r="H97" s="69" t="n">
        <f aca="false">OFFSET(TblProd[[#This Row],[Platinum]],-1,0)+OFFSET(TblProd[[#This Row],[Plat/hr]],-1,0) - TblProd[[#This Row],[Expenses Platinum]] + IF(TblProd[[#This Row],[Plat Bonus]],TblPop[[#This Row],[Peasants]]*4) + SUM(TblConstr[[#This Row],[Dest Hom]:[Dest Doc]])*TblConstr[[#This Row],[CPA Platinum -DB]]*tech_3_3_2*TblTech[[#This Row],[3-3]]</f>
        <v>900677</v>
      </c>
      <c r="I97" s="69" t="n">
        <f aca="false">OFFSET(TblProd[[#This Row],[Food]],-1,0)+OFFSET(TblProd[[#This Row],[Food/hr]],-1,0)+ROUNDUP((TblConstr[[#This Row],[Farms]]*80+TblConstr[[#This Row],[Docks]]*35)*(1+OFFSET(TblProd[[#This Row],[Bonus Food/hr]],-1,0)),0)</f>
        <v>4917</v>
      </c>
      <c r="J97" s="69" t="n">
        <f aca="false">OFFSET(TblProd[[#This Row],[Lumber]],-1,0)+OFFSET(TblProd[[#This Row],[Lumber/hr]],-1,0) - TblProd[[#This Row],[Expenses Lumber]] + SUM(TblConstr[[#This Row],[Dest Hom]:[Dest Doc]])*TblConstr[[#This Row],[CPA Lumber -DB]]*tech_3_3_2*TblTech[[#This Row],[3-3]]</f>
        <v>32778</v>
      </c>
      <c r="K97" s="69" t="n">
        <f aca="false">OFFSET(TblProd[[#This Row],[Mana]],-1,0)+OFFSET(TblProd[[#This Row],[Mana/hr]],-1,0)- TblProd[[#This Row],[Expenses Mana]]</f>
        <v>8119.5</v>
      </c>
      <c r="L97" s="69" t="n">
        <f aca="false">OFFSET(TblProd[[#This Row],[Ore]],-1,0)+OFFSET(TblProd[[#This Row],[Ore/hr]],-1,0) -TblProd[[#This Row],[Expenses Ore]]</f>
        <v>0</v>
      </c>
      <c r="M97" s="69" t="n">
        <f aca="false">OFFSET(TblProd[[#This Row],[Gems]],-1,0)+OFFSET(TblProd[[#This Row],[Gems/hr]],-1,0) - TblProd[[#This Row],[Expenses Gems]]</f>
        <v>0</v>
      </c>
      <c r="N97" s="69" t="n">
        <f aca="false">OFFSET(TblProd[[#This Row],[Boats]],-1,0)+OFFSET(TblProd[[#This Row],[Boats/hr]],-1,0)</f>
        <v>53.45</v>
      </c>
      <c r="O97" s="69" t="n">
        <f aca="false">OFFSET(TblProd[[#This Row],[Prestige]],-1,0)</f>
        <v>250</v>
      </c>
      <c r="P9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7" s="69" t="n">
        <f aca="false">MAX(3750,_xlfn.CEILING.MATH(TblProd[[#This Row],[Land]]*2.5+OFFSET(TblTech[[#This Row],[Sum of tech]],-1,0)*150))</f>
        <v>3750</v>
      </c>
      <c r="R97" s="132"/>
      <c r="S97" s="69" t="n">
        <f aca="false">ROUNDDOWN(TblProd[[#This Row],[Raw Plat/hr]]*(1+TblProd[[#This Row],[Bonus Plat/hr]]),0)</f>
        <v>41625</v>
      </c>
      <c r="T97" s="69" t="n">
        <f aca="false">ROUND(TblProd[[#This Row],[Raw Food/hr]]*(1+TblProd[[#This Row],[Bonus Food/hr]])-TblProd[[#This Row],[Food decay]]-TblProd[[#This Row],[Food eaten]],0)</f>
        <v>78</v>
      </c>
      <c r="U97" s="69" t="n">
        <f aca="false">ROUND(TblProd[[#This Row],[Raw Lumber/hr]]*(1+TblProd[[#This Row],[Bonus Lumber/hr]])-TblProd[[#This Row],[Lumber rot]],0)</f>
        <v>797</v>
      </c>
      <c r="V97" s="69" t="n">
        <f aca="false">ROUND(TblProd[[#This Row],[Raw Mana/hr]]*(1+TblProd[[#This Row],[Bonus Mana/hr]])-TblProd[[#This Row],[Mana drain]],0)</f>
        <v>563</v>
      </c>
      <c r="W97" s="69" t="n">
        <f aca="false">ROUNDDOWN(TblProd[[#This Row],[Raw Ore/hr]]*(1+TblProd[[#This Row],[Bonux Ore/hr]]),0)</f>
        <v>0</v>
      </c>
      <c r="X97" s="69" t="n">
        <f aca="false">ROUNDDOWN(TblProd[[#This Row],[Raw Gems/hr]]*(1+TblProd[[#This Row],[Bonus Gems/hr]]),0)</f>
        <v>0</v>
      </c>
      <c r="Y97" s="148" t="n">
        <f aca="false">OFFSET(TblConstr[[#This Row],[Tot Doc]],1,0)*dock_boats_hr * (1 + tech_4_1*TblTech[[#This Row],[4-1]])</f>
        <v>1.2</v>
      </c>
      <c r="Z97" s="146"/>
      <c r="AA97" s="69" t="n">
        <f aca="false">TblPop[[#This Row],[Peasants]]*tax*TblPop[[#This Row],[Employment]] + (Construction!AZ98+Construction!BX98)*(alch_plat+(Magic!AM97&gt;0)*alchemist_flame_bonus)</f>
        <v>37841.6</v>
      </c>
      <c r="AB97" s="69" t="n">
        <f aca="false">TblConstr[[#This Row],[Tot Farm]]*farm_food + TblConstr[[#This Row],[Tot Doc]]*dock_food</f>
        <v>3280</v>
      </c>
      <c r="AC97" s="69" t="n">
        <f aca="false">TblConstr[[#This Row],[Tot Ly]]*ly_lumber + TblConstr[[#This Row],[Tot Hav]]*fh_lumber</f>
        <v>1250</v>
      </c>
      <c r="AD97" s="69" t="n">
        <f aca="false">OFFSET(TblConstr[[#This Row],[Tot Tow]],1,0)*(tower_mana + tech_4_5*TblTech[[#This Row],[4-5]]) + OFFSET(TblConstr[[#This Row],[Tot WG]],1,0)*wg_mana_prod</f>
        <v>725</v>
      </c>
      <c r="AE97" s="69" t="n">
        <f aca="false">OFFSET(TblConstr[[#This Row],[Tot OM]],1,0)*om_ore+IF(race="Dwarf",ROUNDDOWN(TblMili[[#This Row],[Unit 2]]*0.4,0),)</f>
        <v>0</v>
      </c>
      <c r="AF97" s="69" t="n">
        <f aca="false">OFFSET(TblConstr[[#This Row],[Tot DM]],1,0)*dm_gems</f>
        <v>0</v>
      </c>
      <c r="AG97" s="132"/>
      <c r="AH97" s="149" t="n">
        <f aca="false">MIN(race_platinum_bonus + IF(TblMagic[[#This Row],[Active Alch Frost]]&gt;0,alch_frost_bonus,IF(Magic!AD97&gt;0,midas_bonus)) + TblImps[[#This Row],[Science]] - TblProd[[#This Row],[Guard]]*(0.02 + tech_5_7*TblTech[[#This Row],[5-7]]) + tech_1_5*TblTech[[#This Row],[1-5]] + tech_4_4*TblTech[[#This Row],[4-4]], 0.5)</f>
        <v>0.1</v>
      </c>
      <c r="AI9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7" s="149" t="n">
        <f aca="false">race_lumber_bonus+ IF(TblMagic[[#This Row],[Active Gaia''s Blessing]]&gt;0,gaias_blessing_lumber)+ tech_1_3*TblTech[[#This Row],[1-3]] + tech_1_6*TblTech[[#This Row],[1-6]] + tech_3_3*TblTech[[#This Row],[3-3]]</f>
        <v>-0.1</v>
      </c>
      <c r="AK97" s="149" t="n">
        <f aca="false">race_mana_bonus+ 0 + TblImps[[#This Row],[Towers]] + tech_1_2*TblTech[[#This Row],[1-2]] + tech_3_4*TblTech[[#This Row],[3-4]]</f>
        <v>0</v>
      </c>
      <c r="AL97" s="149" t="n">
        <f aca="false">race_ore_bonus + IF(TblMagic[[#This Row],[Active Miner''s Sight]]&gt;0,miners_sight_bonus,IF(TblMagic[[#This Row],[Active Mining Strength]]&gt;0,mining_strength_bonus)) +  tech_1_6*TblTech[[#This Row],[1-6]]</f>
        <v>0</v>
      </c>
      <c r="AM97" s="149" t="n">
        <f aca="false">race_gem_bonus+ tech_3_2*TblTech[[#This Row],[3-2]] + tech_4_3*TblTech[[#This Row],[4-3]] + tech_6_2*TblTech[[#This Row],[6-2]]</f>
        <v>0.15</v>
      </c>
      <c r="AN97" s="132"/>
      <c r="AO97" s="69" t="n">
        <f aca="false">TblProd[[#This Row],[Food]]*food_decay * (1 + tech_2_1*TblTech[[#This Row],[2-1]] + tech_2_8*TblTech[[#This Row],[2-8]])</f>
        <v>49.17</v>
      </c>
      <c r="AP97" s="69" t="n">
        <f aca="false">(1+race_food_consumption)*TblPop[[#This Row],[Total]]*food_per_person*(1+tech_1_10*TblTech[[#This Row],[1-10]]+tech_7_5*TblTech[[#This Row],[7-5]])</f>
        <v>3234.75</v>
      </c>
      <c r="AQ97" s="69" t="n">
        <f aca="false">TblProd[[#This Row],[Lumber]]*lumber_rot * (1 + tech_2_1*TblTech[[#This Row],[2-1]] + tech_2_8*TblTech[[#This Row],[2-8]] + tech_5_2*TblTech[[#This Row],[5-2]])</f>
        <v>327.78</v>
      </c>
      <c r="AR97" s="69" t="n">
        <f aca="false">TblProd[[#This Row],[Mana]]*mana_drain * (1 + tech_2_1*TblTech[[#This Row],[2-1]] + tech_2_8*TblTech[[#This Row],[2-8]])</f>
        <v>162.39</v>
      </c>
      <c r="AS97" s="146"/>
      <c r="AT97" s="69" t="n">
        <f aca="false">TblExplore[[#This Row],[Platinum (2)]]+TblConstr[[#This Row],[Total Plat Cost]]+TblMili[[#This Row],[Plat Cost]]+TblRezone[[#This Row],[Platinum cost]]+TblImps[[#This Row],[P1]]-TblProd[[#This Row],[Bank Plat]]</f>
        <v>0</v>
      </c>
      <c r="AU97" s="69" t="n">
        <f aca="false">TblConstr[[#This Row],[Total Lum Cost]]+TblImps[[#This Row],[L1]]-TblProd[[#This Row],[Bank Lumber]] + Military!$CL$25*TblMili[[#This Row],[Sec. rec. Cost]]</f>
        <v>0</v>
      </c>
      <c r="AV97" s="69" t="n">
        <f aca="false">TblMagic[[#This Row],[Mana cost]] + Military!$CL$26*TblMili[[#This Row],[Sec. rec. Cost]]</f>
        <v>0</v>
      </c>
      <c r="AW97" s="69" t="n">
        <f aca="false">Military!$CL$24*TblMili[[#This Row],[Sec. rec. Cost]]+TblImps[[#This Row],[O1]]-TblProd[[#This Row],[Bank Ore]]</f>
        <v>0</v>
      </c>
      <c r="AX97" s="69" t="n">
        <f aca="false">TblImps[[#This Row],[G1]]-TblProd[[#This Row],[Bank Gems]]</f>
        <v>0</v>
      </c>
      <c r="AY97" s="132"/>
      <c r="AZ97" s="33" t="n">
        <f aca="false">IF(TblProd[[#This Row],[Set Guard]]&lt;&gt;"",TblProd[[#This Row],[Set Guard]],OFFSET(TblProd[[#This Row],[Guard]],-1,0))</f>
        <v>0</v>
      </c>
      <c r="BA97" s="145"/>
      <c r="BB97" s="151" t="n">
        <f aca="false">TblProd[[#This Row],[Hour]]</f>
        <v>22</v>
      </c>
      <c r="BC97" s="152" t="n">
        <f aca="false">-TblProd[[#This Row],[Bank Lumber]] / 2 + -TblProd[[#This Row],[Bank Gems]] * 2 + -TblProd[[#This Row],[Bank Ore]] / 2</f>
        <v>0</v>
      </c>
      <c r="BD97" s="152"/>
      <c r="BE97" s="152"/>
      <c r="BF97" s="152"/>
      <c r="BG97" s="153" t="n">
        <f aca="false">TblProd[[#This Row],[Time]]</f>
        <v>45433.625</v>
      </c>
      <c r="BH9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69" t="n">
        <f aca="false">TblProd[[#This Row],[Platinum]]</f>
        <v>900677</v>
      </c>
      <c r="BJ97" s="69" t="n">
        <f aca="false">TblProd[[#This Row],[Food]]</f>
        <v>4917</v>
      </c>
      <c r="BK97" s="69" t="n">
        <f aca="false">TblProd[[#This Row],[Lumber]]</f>
        <v>32778</v>
      </c>
      <c r="BL97" s="69" t="n">
        <f aca="false">TblProd[[#This Row],[Mana]]</f>
        <v>8119.5</v>
      </c>
      <c r="BM97" s="69" t="n">
        <f aca="false">TblProd[[#This Row],[Ore]]</f>
        <v>0</v>
      </c>
    </row>
    <row r="98" customFormat="false" ht="12.75" hidden="false" customHeight="false" outlineLevel="0" collapsed="false">
      <c r="A98" s="128" t="n">
        <v>23</v>
      </c>
      <c r="B98" s="144" t="n">
        <f aca="false">TblImps[[#This Row],[Time]]</f>
        <v>45433.6666666667</v>
      </c>
      <c r="C98" s="145"/>
      <c r="D98" s="146"/>
      <c r="E98" s="69" t="n">
        <f aca="false">TblConstr[[#This Row],[Land]]</f>
        <v>700</v>
      </c>
      <c r="F98" s="69" t="n">
        <f aca="false">TblPop[[#This Row],[Peasants]]</f>
        <v>8027</v>
      </c>
      <c r="G98" s="69" t="e">
        <f aca="false">TblMili[[#This Row],[Networth (2)]]</f>
        <v>#VALUE!</v>
      </c>
      <c r="H98" s="69" t="n">
        <f aca="false">OFFSET(TblProd[[#This Row],[Platinum]],-1,0)+OFFSET(TblProd[[#This Row],[Plat/hr]],-1,0) - TblProd[[#This Row],[Expenses Platinum]] + IF(TblProd[[#This Row],[Plat Bonus]],TblPop[[#This Row],[Peasants]]*4) + SUM(TblConstr[[#This Row],[Dest Hom]:[Dest Doc]])*TblConstr[[#This Row],[CPA Platinum -DB]]*tech_3_3_2*TblTech[[#This Row],[3-3]]</f>
        <v>942302</v>
      </c>
      <c r="I98" s="69" t="n">
        <f aca="false">OFFSET(TblProd[[#This Row],[Food]],-1,0)+OFFSET(TblProd[[#This Row],[Food/hr]],-1,0)+ROUNDUP((TblConstr[[#This Row],[Farms]]*80+TblConstr[[#This Row],[Docks]]*35)*(1+OFFSET(TblProd[[#This Row],[Bonus Food/hr]],-1,0)),0)</f>
        <v>4995</v>
      </c>
      <c r="J98" s="69" t="n">
        <f aca="false">OFFSET(TblProd[[#This Row],[Lumber]],-1,0)+OFFSET(TblProd[[#This Row],[Lumber/hr]],-1,0) - TblProd[[#This Row],[Expenses Lumber]] + SUM(TblConstr[[#This Row],[Dest Hom]:[Dest Doc]])*TblConstr[[#This Row],[CPA Lumber -DB]]*tech_3_3_2*TblTech[[#This Row],[3-3]]</f>
        <v>33575</v>
      </c>
      <c r="K98" s="69" t="n">
        <f aca="false">OFFSET(TblProd[[#This Row],[Mana]],-1,0)+OFFSET(TblProd[[#This Row],[Mana/hr]],-1,0)- TblProd[[#This Row],[Expenses Mana]]</f>
        <v>8682.5</v>
      </c>
      <c r="L98" s="69" t="n">
        <f aca="false">OFFSET(TblProd[[#This Row],[Ore]],-1,0)+OFFSET(TblProd[[#This Row],[Ore/hr]],-1,0) -TblProd[[#This Row],[Expenses Ore]]</f>
        <v>0</v>
      </c>
      <c r="M98" s="69" t="n">
        <f aca="false">OFFSET(TblProd[[#This Row],[Gems]],-1,0)+OFFSET(TblProd[[#This Row],[Gems/hr]],-1,0) - TblProd[[#This Row],[Expenses Gems]]</f>
        <v>0</v>
      </c>
      <c r="N98" s="69" t="n">
        <f aca="false">OFFSET(TblProd[[#This Row],[Boats]],-1,0)+OFFSET(TblProd[[#This Row],[Boats/hr]],-1,0)</f>
        <v>54.65</v>
      </c>
      <c r="O98" s="69" t="n">
        <f aca="false">OFFSET(TblProd[[#This Row],[Prestige]],-1,0)</f>
        <v>250</v>
      </c>
      <c r="P9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8" s="69" t="n">
        <f aca="false">MAX(3750,_xlfn.CEILING.MATH(TblProd[[#This Row],[Land]]*2.5+OFFSET(TblTech[[#This Row],[Sum of tech]],-1,0)*150))</f>
        <v>3750</v>
      </c>
      <c r="R98" s="132"/>
      <c r="S98" s="69" t="n">
        <f aca="false">ROUNDDOWN(TblProd[[#This Row],[Raw Plat/hr]]*(1+TblProd[[#This Row],[Bonus Plat/hr]]),0)</f>
        <v>41385</v>
      </c>
      <c r="T98" s="69" t="n">
        <f aca="false">ROUND(TblProd[[#This Row],[Raw Food/hr]]*(1+TblProd[[#This Row],[Bonus Food/hr]])-TblProd[[#This Row],[Food decay]]-TblProd[[#This Row],[Food eaten]],0)</f>
        <v>77</v>
      </c>
      <c r="U98" s="69" t="n">
        <f aca="false">ROUND(TblProd[[#This Row],[Raw Lumber/hr]]*(1+TblProd[[#This Row],[Bonus Lumber/hr]])-TblProd[[#This Row],[Lumber rot]],0)</f>
        <v>789</v>
      </c>
      <c r="V98" s="69" t="n">
        <f aca="false">ROUND(TblProd[[#This Row],[Raw Mana/hr]]*(1+TblProd[[#This Row],[Bonus Mana/hr]])-TblProd[[#This Row],[Mana drain]],0)</f>
        <v>551</v>
      </c>
      <c r="W98" s="69" t="n">
        <f aca="false">ROUNDDOWN(TblProd[[#This Row],[Raw Ore/hr]]*(1+TblProd[[#This Row],[Bonux Ore/hr]]),0)</f>
        <v>0</v>
      </c>
      <c r="X98" s="69" t="n">
        <f aca="false">ROUNDDOWN(TblProd[[#This Row],[Raw Gems/hr]]*(1+TblProd[[#This Row],[Bonus Gems/hr]]),0)</f>
        <v>0</v>
      </c>
      <c r="Y98" s="148" t="n">
        <f aca="false">OFFSET(TblConstr[[#This Row],[Tot Doc]],1,0)*dock_boats_hr * (1 + tech_4_1*TblTech[[#This Row],[4-1]])</f>
        <v>1.2</v>
      </c>
      <c r="Z98" s="146"/>
      <c r="AA98" s="69" t="n">
        <f aca="false">TblPop[[#This Row],[Peasants]]*tax*TblPop[[#This Row],[Employment]] + (Construction!AZ99+Construction!BX99)*(alch_plat+(Magic!AM98&gt;0)*alchemist_flame_bonus)</f>
        <v>37622.9</v>
      </c>
      <c r="AB98" s="69" t="n">
        <f aca="false">TblConstr[[#This Row],[Tot Farm]]*farm_food + TblConstr[[#This Row],[Tot Doc]]*dock_food</f>
        <v>3280</v>
      </c>
      <c r="AC98" s="69" t="n">
        <f aca="false">TblConstr[[#This Row],[Tot Ly]]*ly_lumber + TblConstr[[#This Row],[Tot Hav]]*fh_lumber</f>
        <v>1250</v>
      </c>
      <c r="AD98" s="69" t="n">
        <f aca="false">OFFSET(TblConstr[[#This Row],[Tot Tow]],1,0)*(tower_mana + tech_4_5*TblTech[[#This Row],[4-5]]) + OFFSET(TblConstr[[#This Row],[Tot WG]],1,0)*wg_mana_prod</f>
        <v>725</v>
      </c>
      <c r="AE98" s="69" t="n">
        <f aca="false">OFFSET(TblConstr[[#This Row],[Tot OM]],1,0)*om_ore+IF(race="Dwarf",ROUNDDOWN(TblMili[[#This Row],[Unit 2]]*0.4,0),)</f>
        <v>0</v>
      </c>
      <c r="AF98" s="69" t="n">
        <f aca="false">OFFSET(TblConstr[[#This Row],[Tot DM]],1,0)*dm_gems</f>
        <v>0</v>
      </c>
      <c r="AG98" s="132"/>
      <c r="AH98" s="149" t="n">
        <f aca="false">MIN(race_platinum_bonus + IF(TblMagic[[#This Row],[Active Alch Frost]]&gt;0,alch_frost_bonus,IF(Magic!AD98&gt;0,midas_bonus)) + TblImps[[#This Row],[Science]] - TblProd[[#This Row],[Guard]]*(0.02 + tech_5_7*TblTech[[#This Row],[5-7]]) + tech_1_5*TblTech[[#This Row],[1-5]] + tech_4_4*TblTech[[#This Row],[4-4]], 0.5)</f>
        <v>0.1</v>
      </c>
      <c r="AI9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8" s="149" t="n">
        <f aca="false">race_lumber_bonus+ IF(TblMagic[[#This Row],[Active Gaia''s Blessing]]&gt;0,gaias_blessing_lumber)+ tech_1_3*TblTech[[#This Row],[1-3]] + tech_1_6*TblTech[[#This Row],[1-6]] + tech_3_3*TblTech[[#This Row],[3-3]]</f>
        <v>-0.1</v>
      </c>
      <c r="AK98" s="149" t="n">
        <f aca="false">race_mana_bonus+ 0 + TblImps[[#This Row],[Towers]] + tech_1_2*TblTech[[#This Row],[1-2]] + tech_3_4*TblTech[[#This Row],[3-4]]</f>
        <v>0</v>
      </c>
      <c r="AL98" s="149" t="n">
        <f aca="false">race_ore_bonus + IF(TblMagic[[#This Row],[Active Miner''s Sight]]&gt;0,miners_sight_bonus,IF(TblMagic[[#This Row],[Active Mining Strength]]&gt;0,mining_strength_bonus)) +  tech_1_6*TblTech[[#This Row],[1-6]]</f>
        <v>0</v>
      </c>
      <c r="AM98" s="149" t="n">
        <f aca="false">race_gem_bonus+ tech_3_2*TblTech[[#This Row],[3-2]] + tech_4_3*TblTech[[#This Row],[4-3]] + tech_6_2*TblTech[[#This Row],[6-2]]</f>
        <v>0.15</v>
      </c>
      <c r="AN98" s="132"/>
      <c r="AO98" s="69" t="n">
        <f aca="false">TblProd[[#This Row],[Food]]*food_decay * (1 + tech_2_1*TblTech[[#This Row],[2-1]] + tech_2_8*TblTech[[#This Row],[2-8]])</f>
        <v>49.95</v>
      </c>
      <c r="AP98" s="69" t="n">
        <f aca="false">(1+race_food_consumption)*TblPop[[#This Row],[Total]]*food_per_person*(1+tech_1_10*TblTech[[#This Row],[1-10]]+tech_7_5*TblTech[[#This Row],[7-5]])</f>
        <v>3234.75</v>
      </c>
      <c r="AQ98" s="69" t="n">
        <f aca="false">TblProd[[#This Row],[Lumber]]*lumber_rot * (1 + tech_2_1*TblTech[[#This Row],[2-1]] + tech_2_8*TblTech[[#This Row],[2-8]] + tech_5_2*TblTech[[#This Row],[5-2]])</f>
        <v>335.75</v>
      </c>
      <c r="AR98" s="69" t="n">
        <f aca="false">TblProd[[#This Row],[Mana]]*mana_drain * (1 + tech_2_1*TblTech[[#This Row],[2-1]] + tech_2_8*TblTech[[#This Row],[2-8]])</f>
        <v>173.65</v>
      </c>
      <c r="AS98" s="146"/>
      <c r="AT98" s="69" t="n">
        <f aca="false">TblExplore[[#This Row],[Platinum (2)]]+TblConstr[[#This Row],[Total Plat Cost]]+TblMili[[#This Row],[Plat Cost]]+TblRezone[[#This Row],[Platinum cost]]+TblImps[[#This Row],[P1]]-TblProd[[#This Row],[Bank Plat]]</f>
        <v>0</v>
      </c>
      <c r="AU98" s="69" t="n">
        <f aca="false">TblConstr[[#This Row],[Total Lum Cost]]+TblImps[[#This Row],[L1]]-TblProd[[#This Row],[Bank Lumber]] + Military!$CL$25*TblMili[[#This Row],[Sec. rec. Cost]]</f>
        <v>0</v>
      </c>
      <c r="AV98" s="69" t="n">
        <f aca="false">TblMagic[[#This Row],[Mana cost]] + Military!$CL$26*TblMili[[#This Row],[Sec. rec. Cost]]</f>
        <v>0</v>
      </c>
      <c r="AW98" s="69" t="n">
        <f aca="false">Military!$CL$24*TblMili[[#This Row],[Sec. rec. Cost]]+TblImps[[#This Row],[O1]]-TblProd[[#This Row],[Bank Ore]]</f>
        <v>0</v>
      </c>
      <c r="AX98" s="69" t="n">
        <f aca="false">TblImps[[#This Row],[G1]]-TblProd[[#This Row],[Bank Gems]]</f>
        <v>0</v>
      </c>
      <c r="AY98" s="132"/>
      <c r="AZ98" s="33" t="n">
        <f aca="false">IF(TblProd[[#This Row],[Set Guard]]&lt;&gt;"",TblProd[[#This Row],[Set Guard]],OFFSET(TblProd[[#This Row],[Guard]],-1,0))</f>
        <v>0</v>
      </c>
      <c r="BA98" s="145"/>
      <c r="BB98" s="151" t="n">
        <f aca="false">TblProd[[#This Row],[Hour]]</f>
        <v>23</v>
      </c>
      <c r="BC98" s="152" t="n">
        <f aca="false">-TblProd[[#This Row],[Bank Lumber]] / 2 + -TblProd[[#This Row],[Bank Gems]] * 2 + -TblProd[[#This Row],[Bank Ore]] / 2</f>
        <v>0</v>
      </c>
      <c r="BD98" s="152"/>
      <c r="BE98" s="152"/>
      <c r="BF98" s="152"/>
      <c r="BG98" s="153" t="n">
        <f aca="false">TblProd[[#This Row],[Time]]</f>
        <v>45433.6666666667</v>
      </c>
      <c r="BH9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69" t="n">
        <f aca="false">TblProd[[#This Row],[Platinum]]</f>
        <v>942302</v>
      </c>
      <c r="BJ98" s="69" t="n">
        <f aca="false">TblProd[[#This Row],[Food]]</f>
        <v>4995</v>
      </c>
      <c r="BK98" s="69" t="n">
        <f aca="false">TblProd[[#This Row],[Lumber]]</f>
        <v>33575</v>
      </c>
      <c r="BL98" s="69" t="n">
        <f aca="false">TblProd[[#This Row],[Mana]]</f>
        <v>8682.5</v>
      </c>
      <c r="BM98" s="69" t="n">
        <f aca="false">TblProd[[#This Row],[Ore]]</f>
        <v>0</v>
      </c>
    </row>
    <row r="99" customFormat="false" ht="12.75" hidden="false" customHeight="false" outlineLevel="0" collapsed="false">
      <c r="A99" s="128" t="n">
        <v>24</v>
      </c>
      <c r="B99" s="144" t="n">
        <f aca="false">TblImps[[#This Row],[Time]]</f>
        <v>45433.7083333333</v>
      </c>
      <c r="C99" s="145"/>
      <c r="D99" s="146"/>
      <c r="E99" s="69" t="n">
        <f aca="false">TblConstr[[#This Row],[Land]]</f>
        <v>700</v>
      </c>
      <c r="F99" s="69" t="n">
        <f aca="false">TblPop[[#This Row],[Peasants]]</f>
        <v>7947</v>
      </c>
      <c r="G99" s="69" t="e">
        <f aca="false">TblMili[[#This Row],[Networth (2)]]</f>
        <v>#VALUE!</v>
      </c>
      <c r="H99" s="69" t="n">
        <f aca="false">OFFSET(TblProd[[#This Row],[Platinum]],-1,0)+OFFSET(TblProd[[#This Row],[Plat/hr]],-1,0) - TblProd[[#This Row],[Expenses Platinum]] + IF(TblProd[[#This Row],[Plat Bonus]],TblPop[[#This Row],[Peasants]]*4) + SUM(TblConstr[[#This Row],[Dest Hom]:[Dest Doc]])*TblConstr[[#This Row],[CPA Platinum -DB]]*tech_3_3_2*TblTech[[#This Row],[3-3]]</f>
        <v>983687</v>
      </c>
      <c r="I99" s="69" t="n">
        <f aca="false">OFFSET(TblProd[[#This Row],[Food]],-1,0)+OFFSET(TblProd[[#This Row],[Food/hr]],-1,0)+ROUNDUP((TblConstr[[#This Row],[Farms]]*80+TblConstr[[#This Row],[Docks]]*35)*(1+OFFSET(TblProd[[#This Row],[Bonus Food/hr]],-1,0)),0)</f>
        <v>5072</v>
      </c>
      <c r="J99" s="69" t="n">
        <f aca="false">OFFSET(TblProd[[#This Row],[Lumber]],-1,0)+OFFSET(TblProd[[#This Row],[Lumber/hr]],-1,0) - TblProd[[#This Row],[Expenses Lumber]] + SUM(TblConstr[[#This Row],[Dest Hom]:[Dest Doc]])*TblConstr[[#This Row],[CPA Lumber -DB]]*tech_3_3_2*TblTech[[#This Row],[3-3]]</f>
        <v>34364</v>
      </c>
      <c r="K99" s="69" t="n">
        <f aca="false">OFFSET(TblProd[[#This Row],[Mana]],-1,0)+OFFSET(TblProd[[#This Row],[Mana/hr]],-1,0)- TblProd[[#This Row],[Expenses Mana]]</f>
        <v>9233.5</v>
      </c>
      <c r="L99" s="69" t="n">
        <f aca="false">OFFSET(TblProd[[#This Row],[Ore]],-1,0)+OFFSET(TblProd[[#This Row],[Ore/hr]],-1,0) -TblProd[[#This Row],[Expenses Ore]]</f>
        <v>0</v>
      </c>
      <c r="M99" s="69" t="n">
        <f aca="false">OFFSET(TblProd[[#This Row],[Gems]],-1,0)+OFFSET(TblProd[[#This Row],[Gems/hr]],-1,0) - TblProd[[#This Row],[Expenses Gems]]</f>
        <v>0</v>
      </c>
      <c r="N99" s="69" t="n">
        <f aca="false">OFFSET(TblProd[[#This Row],[Boats]],-1,0)+OFFSET(TblProd[[#This Row],[Boats/hr]],-1,0)</f>
        <v>55.85</v>
      </c>
      <c r="O99" s="69" t="n">
        <f aca="false">OFFSET(TblProd[[#This Row],[Prestige]],-1,0)</f>
        <v>250</v>
      </c>
      <c r="P9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9" s="69" t="n">
        <f aca="false">MAX(3750,_xlfn.CEILING.MATH(TblProd[[#This Row],[Land]]*2.5+OFFSET(TblTech[[#This Row],[Sum of tech]],-1,0)*150))</f>
        <v>3750</v>
      </c>
      <c r="R99" s="132"/>
      <c r="S99" s="69" t="n">
        <f aca="false">ROUNDDOWN(TblProd[[#This Row],[Raw Plat/hr]]*(1+TblProd[[#This Row],[Bonus Plat/hr]]),0)</f>
        <v>41147</v>
      </c>
      <c r="T99" s="69" t="n">
        <f aca="false">ROUND(TblProd[[#This Row],[Raw Food/hr]]*(1+TblProd[[#This Row],[Bonus Food/hr]])-TblProd[[#This Row],[Food decay]]-TblProd[[#This Row],[Food eaten]],0)</f>
        <v>77</v>
      </c>
      <c r="U99" s="69" t="n">
        <f aca="false">ROUND(TblProd[[#This Row],[Raw Lumber/hr]]*(1+TblProd[[#This Row],[Bonus Lumber/hr]])-TblProd[[#This Row],[Lumber rot]],0)</f>
        <v>781</v>
      </c>
      <c r="V99" s="69" t="n">
        <f aca="false">ROUND(TblProd[[#This Row],[Raw Mana/hr]]*(1+TblProd[[#This Row],[Bonus Mana/hr]])-TblProd[[#This Row],[Mana drain]],0)</f>
        <v>540</v>
      </c>
      <c r="W99" s="69" t="n">
        <f aca="false">ROUNDDOWN(TblProd[[#This Row],[Raw Ore/hr]]*(1+TblProd[[#This Row],[Bonux Ore/hr]]),0)</f>
        <v>0</v>
      </c>
      <c r="X99" s="69" t="n">
        <f aca="false">ROUNDDOWN(TblProd[[#This Row],[Raw Gems/hr]]*(1+TblProd[[#This Row],[Bonus Gems/hr]]),0)</f>
        <v>0</v>
      </c>
      <c r="Y99" s="148" t="n">
        <f aca="false">OFFSET(TblConstr[[#This Row],[Tot Doc]],1,0)*dock_boats_hr * (1 + tech_4_1*TblTech[[#This Row],[4-1]])</f>
        <v>1.2</v>
      </c>
      <c r="Z99" s="146"/>
      <c r="AA99" s="69" t="n">
        <f aca="false">TblPop[[#This Row],[Peasants]]*tax*TblPop[[#This Row],[Employment]] + (Construction!AZ100+Construction!BX100)*(alch_plat+(Magic!AM99&gt;0)*alchemist_flame_bonus)</f>
        <v>37406.9</v>
      </c>
      <c r="AB99" s="69" t="n">
        <f aca="false">TblConstr[[#This Row],[Tot Farm]]*farm_food + TblConstr[[#This Row],[Tot Doc]]*dock_food</f>
        <v>3280</v>
      </c>
      <c r="AC99" s="69" t="n">
        <f aca="false">TblConstr[[#This Row],[Tot Ly]]*ly_lumber + TblConstr[[#This Row],[Tot Hav]]*fh_lumber</f>
        <v>1250</v>
      </c>
      <c r="AD99" s="69" t="n">
        <f aca="false">OFFSET(TblConstr[[#This Row],[Tot Tow]],1,0)*(tower_mana + tech_4_5*TblTech[[#This Row],[4-5]]) + OFFSET(TblConstr[[#This Row],[Tot WG]],1,0)*wg_mana_prod</f>
        <v>725</v>
      </c>
      <c r="AE99" s="69" t="n">
        <f aca="false">OFFSET(TblConstr[[#This Row],[Tot OM]],1,0)*om_ore+IF(race="Dwarf",ROUNDDOWN(TblMili[[#This Row],[Unit 2]]*0.4,0),)</f>
        <v>0</v>
      </c>
      <c r="AF99" s="69" t="n">
        <f aca="false">OFFSET(TblConstr[[#This Row],[Tot DM]],1,0)*dm_gems</f>
        <v>0</v>
      </c>
      <c r="AG99" s="132"/>
      <c r="AH99" s="149" t="n">
        <f aca="false">MIN(race_platinum_bonus + IF(TblMagic[[#This Row],[Active Alch Frost]]&gt;0,alch_frost_bonus,IF(Magic!AD99&gt;0,midas_bonus)) + TblImps[[#This Row],[Science]] - TblProd[[#This Row],[Guard]]*(0.02 + tech_5_7*TblTech[[#This Row],[5-7]]) + tech_1_5*TblTech[[#This Row],[1-5]] + tech_4_4*TblTech[[#This Row],[4-4]], 0.5)</f>
        <v>0.1</v>
      </c>
      <c r="AI9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9" s="149" t="n">
        <f aca="false">race_lumber_bonus+ IF(TblMagic[[#This Row],[Active Gaia''s Blessing]]&gt;0,gaias_blessing_lumber)+ tech_1_3*TblTech[[#This Row],[1-3]] + tech_1_6*TblTech[[#This Row],[1-6]] + tech_3_3*TblTech[[#This Row],[3-3]]</f>
        <v>-0.1</v>
      </c>
      <c r="AK99" s="149" t="n">
        <f aca="false">race_mana_bonus+ 0 + TblImps[[#This Row],[Towers]] + tech_1_2*TblTech[[#This Row],[1-2]] + tech_3_4*TblTech[[#This Row],[3-4]]</f>
        <v>0</v>
      </c>
      <c r="AL99" s="149" t="n">
        <f aca="false">race_ore_bonus + IF(TblMagic[[#This Row],[Active Miner''s Sight]]&gt;0,miners_sight_bonus,IF(TblMagic[[#This Row],[Active Mining Strength]]&gt;0,mining_strength_bonus)) +  tech_1_6*TblTech[[#This Row],[1-6]]</f>
        <v>0</v>
      </c>
      <c r="AM99" s="149" t="n">
        <f aca="false">race_gem_bonus+ tech_3_2*TblTech[[#This Row],[3-2]] + tech_4_3*TblTech[[#This Row],[4-3]] + tech_6_2*TblTech[[#This Row],[6-2]]</f>
        <v>0.15</v>
      </c>
      <c r="AN99" s="132"/>
      <c r="AO99" s="69" t="n">
        <f aca="false">TblProd[[#This Row],[Food]]*food_decay * (1 + tech_2_1*TblTech[[#This Row],[2-1]] + tech_2_8*TblTech[[#This Row],[2-8]])</f>
        <v>50.72</v>
      </c>
      <c r="AP99" s="69" t="n">
        <f aca="false">(1+race_food_consumption)*TblPop[[#This Row],[Total]]*food_per_person*(1+tech_1_10*TblTech[[#This Row],[1-10]]+tech_7_5*TblTech[[#This Row],[7-5]])</f>
        <v>3234.75</v>
      </c>
      <c r="AQ99" s="69" t="n">
        <f aca="false">TblProd[[#This Row],[Lumber]]*lumber_rot * (1 + tech_2_1*TblTech[[#This Row],[2-1]] + tech_2_8*TblTech[[#This Row],[2-8]] + tech_5_2*TblTech[[#This Row],[5-2]])</f>
        <v>343.64</v>
      </c>
      <c r="AR99" s="69" t="n">
        <f aca="false">TblProd[[#This Row],[Mana]]*mana_drain * (1 + tech_2_1*TblTech[[#This Row],[2-1]] + tech_2_8*TblTech[[#This Row],[2-8]])</f>
        <v>184.67</v>
      </c>
      <c r="AS99" s="146"/>
      <c r="AT99" s="69" t="n">
        <f aca="false">TblExplore[[#This Row],[Platinum (2)]]+TblConstr[[#This Row],[Total Plat Cost]]+TblMili[[#This Row],[Plat Cost]]+TblRezone[[#This Row],[Platinum cost]]+TblImps[[#This Row],[P1]]-TblProd[[#This Row],[Bank Plat]]</f>
        <v>0</v>
      </c>
      <c r="AU99" s="69" t="n">
        <f aca="false">TblConstr[[#This Row],[Total Lum Cost]]+TblImps[[#This Row],[L1]]-TblProd[[#This Row],[Bank Lumber]] + Military!$CL$25*TblMili[[#This Row],[Sec. rec. Cost]]</f>
        <v>0</v>
      </c>
      <c r="AV99" s="69" t="n">
        <f aca="false">TblMagic[[#This Row],[Mana cost]] + Military!$CL$26*TblMili[[#This Row],[Sec. rec. Cost]]</f>
        <v>0</v>
      </c>
      <c r="AW99" s="69" t="n">
        <f aca="false">Military!$CL$24*TblMili[[#This Row],[Sec. rec. Cost]]+TblImps[[#This Row],[O1]]-TblProd[[#This Row],[Bank Ore]]</f>
        <v>0</v>
      </c>
      <c r="AX99" s="69" t="n">
        <f aca="false">TblImps[[#This Row],[G1]]-TblProd[[#This Row],[Bank Gems]]</f>
        <v>0</v>
      </c>
      <c r="AY99" s="132"/>
      <c r="AZ99" s="33" t="n">
        <f aca="false">IF(TblProd[[#This Row],[Set Guard]]&lt;&gt;"",TblProd[[#This Row],[Set Guard]],OFFSET(TblProd[[#This Row],[Guard]],-1,0))</f>
        <v>0</v>
      </c>
      <c r="BA99" s="145"/>
      <c r="BB99" s="151" t="n">
        <f aca="false">TblProd[[#This Row],[Hour]]</f>
        <v>24</v>
      </c>
      <c r="BC99" s="152" t="n">
        <f aca="false">-TblProd[[#This Row],[Bank Lumber]] / 2 + -TblProd[[#This Row],[Bank Gems]] * 2 + -TblProd[[#This Row],[Bank Ore]] / 2</f>
        <v>0</v>
      </c>
      <c r="BD99" s="152"/>
      <c r="BE99" s="152"/>
      <c r="BF99" s="152"/>
      <c r="BG99" s="153" t="n">
        <f aca="false">TblProd[[#This Row],[Time]]</f>
        <v>45433.7083333333</v>
      </c>
      <c r="BH9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69" t="n">
        <f aca="false">TblProd[[#This Row],[Platinum]]</f>
        <v>983687</v>
      </c>
      <c r="BJ99" s="69" t="n">
        <f aca="false">TblProd[[#This Row],[Food]]</f>
        <v>5072</v>
      </c>
      <c r="BK99" s="69" t="n">
        <f aca="false">TblProd[[#This Row],[Lumber]]</f>
        <v>34364</v>
      </c>
      <c r="BL99" s="69" t="n">
        <f aca="false">TblProd[[#This Row],[Mana]]</f>
        <v>9233.5</v>
      </c>
      <c r="BM99" s="69" t="n">
        <f aca="false">TblProd[[#This Row],[Ore]]</f>
        <v>0</v>
      </c>
    </row>
    <row r="100" customFormat="false" ht="12.75" hidden="false" customHeight="false" outlineLevel="0" collapsed="false">
      <c r="A100" s="128" t="n">
        <v>25</v>
      </c>
      <c r="B100" s="144" t="n">
        <f aca="false">TblImps[[#This Row],[Time]]</f>
        <v>45433.75</v>
      </c>
      <c r="C100" s="145"/>
      <c r="D100" s="146"/>
      <c r="E100" s="69" t="n">
        <f aca="false">TblConstr[[#This Row],[Land]]</f>
        <v>700</v>
      </c>
      <c r="F100" s="69" t="n">
        <f aca="false">TblPop[[#This Row],[Peasants]]</f>
        <v>7868</v>
      </c>
      <c r="G100" s="69" t="e">
        <f aca="false">TblMili[[#This Row],[Networth (2)]]</f>
        <v>#VALUE!</v>
      </c>
      <c r="H100" s="69" t="n">
        <f aca="false">OFFSET(TblProd[[#This Row],[Platinum]],-1,0)+OFFSET(TblProd[[#This Row],[Plat/hr]],-1,0) - TblProd[[#This Row],[Expenses Platinum]] + IF(TblProd[[#This Row],[Plat Bonus]],TblPop[[#This Row],[Peasants]]*4) + SUM(TblConstr[[#This Row],[Dest Hom]:[Dest Doc]])*TblConstr[[#This Row],[CPA Platinum -DB]]*tech_3_3_2*TblTech[[#This Row],[3-3]]</f>
        <v>1024834</v>
      </c>
      <c r="I100" s="69" t="n">
        <f aca="false">OFFSET(TblProd[[#This Row],[Food]],-1,0)+OFFSET(TblProd[[#This Row],[Food/hr]],-1,0)+ROUNDUP((TblConstr[[#This Row],[Farms]]*80+TblConstr[[#This Row],[Docks]]*35)*(1+OFFSET(TblProd[[#This Row],[Bonus Food/hr]],-1,0)),0)</f>
        <v>5149</v>
      </c>
      <c r="J100" s="69" t="n">
        <f aca="false">OFFSET(TblProd[[#This Row],[Lumber]],-1,0)+OFFSET(TblProd[[#This Row],[Lumber/hr]],-1,0) - TblProd[[#This Row],[Expenses Lumber]] + SUM(TblConstr[[#This Row],[Dest Hom]:[Dest Doc]])*TblConstr[[#This Row],[CPA Lumber -DB]]*tech_3_3_2*TblTech[[#This Row],[3-3]]</f>
        <v>35145</v>
      </c>
      <c r="K100" s="69" t="n">
        <f aca="false">OFFSET(TblProd[[#This Row],[Mana]],-1,0)+OFFSET(TblProd[[#This Row],[Mana/hr]],-1,0)- TblProd[[#This Row],[Expenses Mana]]</f>
        <v>2773.5</v>
      </c>
      <c r="L100" s="69" t="n">
        <f aca="false">OFFSET(TblProd[[#This Row],[Ore]],-1,0)+OFFSET(TblProd[[#This Row],[Ore/hr]],-1,0) -TblProd[[#This Row],[Expenses Ore]]</f>
        <v>0</v>
      </c>
      <c r="M100" s="69" t="n">
        <f aca="false">OFFSET(TblProd[[#This Row],[Gems]],-1,0)+OFFSET(TblProd[[#This Row],[Gems/hr]],-1,0) - TblProd[[#This Row],[Expenses Gems]]</f>
        <v>0</v>
      </c>
      <c r="N100" s="69" t="n">
        <f aca="false">OFFSET(TblProd[[#This Row],[Boats]],-1,0)+OFFSET(TblProd[[#This Row],[Boats/hr]],-1,0)</f>
        <v>57.0500000000001</v>
      </c>
      <c r="O100" s="69" t="n">
        <f aca="false">OFFSET(TblProd[[#This Row],[Prestige]],-1,0)</f>
        <v>250</v>
      </c>
      <c r="P10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0" s="69" t="n">
        <f aca="false">MAX(3750,_xlfn.CEILING.MATH(TblProd[[#This Row],[Land]]*2.5+OFFSET(TblTech[[#This Row],[Sum of tech]],-1,0)*150))</f>
        <v>3750</v>
      </c>
      <c r="R100" s="132"/>
      <c r="S100" s="69" t="n">
        <f aca="false">ROUNDDOWN(TblProd[[#This Row],[Raw Plat/hr]]*(1+TblProd[[#This Row],[Bonus Plat/hr]]),0)</f>
        <v>40912</v>
      </c>
      <c r="T100" s="69" t="n">
        <f aca="false">ROUND(TblProd[[#This Row],[Raw Food/hr]]*(1+TblProd[[#This Row],[Bonus Food/hr]])-TblProd[[#This Row],[Food decay]]-TblProd[[#This Row],[Food eaten]],0)</f>
        <v>76</v>
      </c>
      <c r="U100" s="69" t="n">
        <f aca="false">ROUND(TblProd[[#This Row],[Raw Lumber/hr]]*(1+TblProd[[#This Row],[Bonus Lumber/hr]])-TblProd[[#This Row],[Lumber rot]],0)</f>
        <v>774</v>
      </c>
      <c r="V100" s="69" t="n">
        <f aca="false">ROUND(TblProd[[#This Row],[Raw Mana/hr]]*(1+TblProd[[#This Row],[Bonus Mana/hr]])-TblProd[[#This Row],[Mana drain]],0)</f>
        <v>670</v>
      </c>
      <c r="W100" s="69" t="n">
        <f aca="false">ROUNDDOWN(TblProd[[#This Row],[Raw Ore/hr]]*(1+TblProd[[#This Row],[Bonux Ore/hr]]),0)</f>
        <v>0</v>
      </c>
      <c r="X100" s="69" t="n">
        <f aca="false">ROUNDDOWN(TblProd[[#This Row],[Raw Gems/hr]]*(1+TblProd[[#This Row],[Bonus Gems/hr]]),0)</f>
        <v>0</v>
      </c>
      <c r="Y100" s="148" t="n">
        <f aca="false">OFFSET(TblConstr[[#This Row],[Tot Doc]],1,0)*dock_boats_hr * (1 + tech_4_1*TblTech[[#This Row],[4-1]])</f>
        <v>1.2</v>
      </c>
      <c r="Z100" s="146"/>
      <c r="AA100" s="69" t="n">
        <f aca="false">TblPop[[#This Row],[Peasants]]*tax*TblPop[[#This Row],[Employment]] + (Construction!AZ101+Construction!BX101)*(alch_plat+(Magic!AM100&gt;0)*alchemist_flame_bonus)</f>
        <v>37193.6</v>
      </c>
      <c r="AB100" s="69" t="n">
        <f aca="false">TblConstr[[#This Row],[Tot Farm]]*farm_food + TblConstr[[#This Row],[Tot Doc]]*dock_food</f>
        <v>3280</v>
      </c>
      <c r="AC100" s="69" t="n">
        <f aca="false">TblConstr[[#This Row],[Tot Ly]]*ly_lumber + TblConstr[[#This Row],[Tot Hav]]*fh_lumber</f>
        <v>1250</v>
      </c>
      <c r="AD100" s="69" t="n">
        <f aca="false">OFFSET(TblConstr[[#This Row],[Tot Tow]],1,0)*(tower_mana + tech_4_5*TblTech[[#This Row],[4-5]]) + OFFSET(TblConstr[[#This Row],[Tot WG]],1,0)*wg_mana_prod</f>
        <v>725</v>
      </c>
      <c r="AE100" s="69" t="n">
        <f aca="false">OFFSET(TblConstr[[#This Row],[Tot OM]],1,0)*om_ore+IF(race="Dwarf",ROUNDDOWN(TblMili[[#This Row],[Unit 2]]*0.4,0),)</f>
        <v>0</v>
      </c>
      <c r="AF100" s="69" t="n">
        <f aca="false">OFFSET(TblConstr[[#This Row],[Tot DM]],1,0)*dm_gems</f>
        <v>0</v>
      </c>
      <c r="AG100" s="132"/>
      <c r="AH100" s="149" t="n">
        <f aca="false">MIN(race_platinum_bonus + IF(TblMagic[[#This Row],[Active Alch Frost]]&gt;0,alch_frost_bonus,IF(Magic!AD100&gt;0,midas_bonus)) + TblImps[[#This Row],[Science]] - TblProd[[#This Row],[Guard]]*(0.02 + tech_5_7*TblTech[[#This Row],[5-7]]) + tech_1_5*TblTech[[#This Row],[1-5]] + tech_4_4*TblTech[[#This Row],[4-4]], 0.5)</f>
        <v>0.1</v>
      </c>
      <c r="AI10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0" s="149" t="n">
        <f aca="false">race_lumber_bonus+ IF(TblMagic[[#This Row],[Active Gaia''s Blessing]]&gt;0,gaias_blessing_lumber)+ tech_1_3*TblTech[[#This Row],[1-3]] + tech_1_6*TblTech[[#This Row],[1-6]] + tech_3_3*TblTech[[#This Row],[3-3]]</f>
        <v>-0.1</v>
      </c>
      <c r="AK100" s="149" t="n">
        <f aca="false">race_mana_bonus+ 0 + TblImps[[#This Row],[Towers]] + tech_1_2*TblTech[[#This Row],[1-2]] + tech_3_4*TblTech[[#This Row],[3-4]]</f>
        <v>0</v>
      </c>
      <c r="AL100" s="149" t="n">
        <f aca="false">race_ore_bonus + IF(TblMagic[[#This Row],[Active Miner''s Sight]]&gt;0,miners_sight_bonus,IF(TblMagic[[#This Row],[Active Mining Strength]]&gt;0,mining_strength_bonus)) +  tech_1_6*TblTech[[#This Row],[1-6]]</f>
        <v>0</v>
      </c>
      <c r="AM100" s="149" t="n">
        <f aca="false">race_gem_bonus+ tech_3_2*TblTech[[#This Row],[3-2]] + tech_4_3*TblTech[[#This Row],[4-3]] + tech_6_2*TblTech[[#This Row],[6-2]]</f>
        <v>0.15</v>
      </c>
      <c r="AN100" s="132"/>
      <c r="AO100" s="69" t="n">
        <f aca="false">TblProd[[#This Row],[Food]]*food_decay * (1 + tech_2_1*TblTech[[#This Row],[2-1]] + tech_2_8*TblTech[[#This Row],[2-8]])</f>
        <v>51.49</v>
      </c>
      <c r="AP100" s="69" t="n">
        <f aca="false">(1+race_food_consumption)*TblPop[[#This Row],[Total]]*food_per_person*(1+tech_1_10*TblTech[[#This Row],[1-10]]+tech_7_5*TblTech[[#This Row],[7-5]])</f>
        <v>3234.75</v>
      </c>
      <c r="AQ100" s="69" t="n">
        <f aca="false">TblProd[[#This Row],[Lumber]]*lumber_rot * (1 + tech_2_1*TblTech[[#This Row],[2-1]] + tech_2_8*TblTech[[#This Row],[2-8]] + tech_5_2*TblTech[[#This Row],[5-2]])</f>
        <v>351.45</v>
      </c>
      <c r="AR100" s="69" t="n">
        <f aca="false">TblProd[[#This Row],[Mana]]*mana_drain * (1 + tech_2_1*TblTech[[#This Row],[2-1]] + tech_2_8*TblTech[[#This Row],[2-8]])</f>
        <v>55.47</v>
      </c>
      <c r="AS100" s="146"/>
      <c r="AT100" s="69" t="n">
        <f aca="false">TblExplore[[#This Row],[Platinum (2)]]+TblConstr[[#This Row],[Total Plat Cost]]+TblMili[[#This Row],[Plat Cost]]+TblRezone[[#This Row],[Platinum cost]]+TblImps[[#This Row],[P1]]-TblProd[[#This Row],[Bank Plat]]</f>
        <v>0</v>
      </c>
      <c r="AU100" s="69" t="n">
        <f aca="false">TblConstr[[#This Row],[Total Lum Cost]]+TblImps[[#This Row],[L1]]-TblProd[[#This Row],[Bank Lumber]] + Military!$CL$25*TblMili[[#This Row],[Sec. rec. Cost]]</f>
        <v>0</v>
      </c>
      <c r="AV100" s="69" t="n">
        <f aca="false">TblMagic[[#This Row],[Mana cost]] + Military!$CL$26*TblMili[[#This Row],[Sec. rec. Cost]]</f>
        <v>7000</v>
      </c>
      <c r="AW100" s="69" t="n">
        <f aca="false">Military!$CL$24*TblMili[[#This Row],[Sec. rec. Cost]]+TblImps[[#This Row],[O1]]-TblProd[[#This Row],[Bank Ore]]</f>
        <v>0</v>
      </c>
      <c r="AX100" s="69" t="n">
        <f aca="false">TblImps[[#This Row],[G1]]-TblProd[[#This Row],[Bank Gems]]</f>
        <v>0</v>
      </c>
      <c r="AY100" s="132"/>
      <c r="AZ100" s="33" t="n">
        <f aca="false">IF(TblProd[[#This Row],[Set Guard]]&lt;&gt;"",TblProd[[#This Row],[Set Guard]],OFFSET(TblProd[[#This Row],[Guard]],-1,0))</f>
        <v>0</v>
      </c>
      <c r="BA100" s="145"/>
      <c r="BB100" s="151" t="n">
        <f aca="false">TblProd[[#This Row],[Hour]]</f>
        <v>25</v>
      </c>
      <c r="BC100" s="152" t="n">
        <f aca="false">-TblProd[[#This Row],[Bank Lumber]] / 2 + -TblProd[[#This Row],[Bank Gems]] * 2 + -TblProd[[#This Row],[Bank Ore]] / 2</f>
        <v>0</v>
      </c>
      <c r="BD100" s="152"/>
      <c r="BE100" s="152"/>
      <c r="BF100" s="152"/>
      <c r="BG100" s="153" t="n">
        <f aca="false">TblProd[[#This Row],[Time]]</f>
        <v>45433.75</v>
      </c>
      <c r="BH10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69" t="n">
        <f aca="false">TblProd[[#This Row],[Platinum]]</f>
        <v>1024834</v>
      </c>
      <c r="BJ100" s="69" t="n">
        <f aca="false">TblProd[[#This Row],[Food]]</f>
        <v>5149</v>
      </c>
      <c r="BK100" s="69" t="n">
        <f aca="false">TblProd[[#This Row],[Lumber]]</f>
        <v>35145</v>
      </c>
      <c r="BL100" s="69" t="n">
        <f aca="false">TblProd[[#This Row],[Mana]]</f>
        <v>2773.5</v>
      </c>
      <c r="BM100" s="69" t="n">
        <f aca="false">TblProd[[#This Row],[Ore]]</f>
        <v>0</v>
      </c>
    </row>
    <row r="101" customFormat="false" ht="12.75" hidden="false" customHeight="false" outlineLevel="0" collapsed="false">
      <c r="A101" s="128" t="n">
        <v>26</v>
      </c>
      <c r="B101" s="144" t="n">
        <f aca="false">TblImps[[#This Row],[Time]]</f>
        <v>45433.7916666667</v>
      </c>
      <c r="C101" s="145"/>
      <c r="D101" s="146"/>
      <c r="E101" s="69" t="n">
        <f aca="false">TblConstr[[#This Row],[Land]]</f>
        <v>700</v>
      </c>
      <c r="F101" s="69" t="n">
        <f aca="false">TblPop[[#This Row],[Peasants]]</f>
        <v>7789</v>
      </c>
      <c r="G101" s="69" t="e">
        <f aca="false">TblMili[[#This Row],[Networth (2)]]</f>
        <v>#VALUE!</v>
      </c>
      <c r="H101" s="69" t="n">
        <f aca="false">OFFSET(TblProd[[#This Row],[Platinum]],-1,0)+OFFSET(TblProd[[#This Row],[Plat/hr]],-1,0) - TblProd[[#This Row],[Expenses Platinum]] + IF(TblProd[[#This Row],[Plat Bonus]],TblPop[[#This Row],[Peasants]]*4) + SUM(TblConstr[[#This Row],[Dest Hom]:[Dest Doc]])*TblConstr[[#This Row],[CPA Platinum -DB]]*tech_3_3_2*TblTech[[#This Row],[3-3]]</f>
        <v>1065746</v>
      </c>
      <c r="I101" s="69" t="n">
        <f aca="false">OFFSET(TblProd[[#This Row],[Food]],-1,0)+OFFSET(TblProd[[#This Row],[Food/hr]],-1,0)+ROUNDUP((TblConstr[[#This Row],[Farms]]*80+TblConstr[[#This Row],[Docks]]*35)*(1+OFFSET(TblProd[[#This Row],[Bonus Food/hr]],-1,0)),0)</f>
        <v>5225</v>
      </c>
      <c r="J101" s="69" t="n">
        <f aca="false">OFFSET(TblProd[[#This Row],[Lumber]],-1,0)+OFFSET(TblProd[[#This Row],[Lumber/hr]],-1,0) - TblProd[[#This Row],[Expenses Lumber]] + SUM(TblConstr[[#This Row],[Dest Hom]:[Dest Doc]])*TblConstr[[#This Row],[CPA Lumber -DB]]*tech_3_3_2*TblTech[[#This Row],[3-3]]</f>
        <v>35919</v>
      </c>
      <c r="K101" s="69" t="n">
        <f aca="false">OFFSET(TblProd[[#This Row],[Mana]],-1,0)+OFFSET(TblProd[[#This Row],[Mana/hr]],-1,0)- TblProd[[#This Row],[Expenses Mana]]</f>
        <v>3443.5</v>
      </c>
      <c r="L101" s="69" t="n">
        <f aca="false">OFFSET(TblProd[[#This Row],[Ore]],-1,0)+OFFSET(TblProd[[#This Row],[Ore/hr]],-1,0) -TblProd[[#This Row],[Expenses Ore]]</f>
        <v>0</v>
      </c>
      <c r="M101" s="69" t="n">
        <f aca="false">OFFSET(TblProd[[#This Row],[Gems]],-1,0)+OFFSET(TblProd[[#This Row],[Gems/hr]],-1,0) - TblProd[[#This Row],[Expenses Gems]]</f>
        <v>0</v>
      </c>
      <c r="N101" s="69" t="n">
        <f aca="false">OFFSET(TblProd[[#This Row],[Boats]],-1,0)+OFFSET(TblProd[[#This Row],[Boats/hr]],-1,0)</f>
        <v>58.2500000000001</v>
      </c>
      <c r="O101" s="69" t="n">
        <f aca="false">OFFSET(TblProd[[#This Row],[Prestige]],-1,0)</f>
        <v>250</v>
      </c>
      <c r="P10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1" s="69" t="n">
        <f aca="false">MAX(3750,_xlfn.CEILING.MATH(TblProd[[#This Row],[Land]]*2.5+OFFSET(TblTech[[#This Row],[Sum of tech]],-1,0)*150))</f>
        <v>3750</v>
      </c>
      <c r="R101" s="132"/>
      <c r="S101" s="69" t="n">
        <f aca="false">ROUNDDOWN(TblProd[[#This Row],[Raw Plat/hr]]*(1+TblProd[[#This Row],[Bonus Plat/hr]]),0)</f>
        <v>40678</v>
      </c>
      <c r="T101" s="69" t="n">
        <f aca="false">ROUND(TblProd[[#This Row],[Raw Food/hr]]*(1+TblProd[[#This Row],[Bonus Food/hr]])-TblProd[[#This Row],[Food decay]]-TblProd[[#This Row],[Food eaten]],0)</f>
        <v>75</v>
      </c>
      <c r="U101" s="69" t="n">
        <f aca="false">ROUND(TblProd[[#This Row],[Raw Lumber/hr]]*(1+TblProd[[#This Row],[Bonus Lumber/hr]])-TblProd[[#This Row],[Lumber rot]],0)</f>
        <v>766</v>
      </c>
      <c r="V101" s="69" t="n">
        <f aca="false">ROUND(TblProd[[#This Row],[Raw Mana/hr]]*(1+TblProd[[#This Row],[Bonus Mana/hr]])-TblProd[[#This Row],[Mana drain]],0)</f>
        <v>656</v>
      </c>
      <c r="W101" s="69" t="n">
        <f aca="false">ROUNDDOWN(TblProd[[#This Row],[Raw Ore/hr]]*(1+TblProd[[#This Row],[Bonux Ore/hr]]),0)</f>
        <v>0</v>
      </c>
      <c r="X101" s="69" t="n">
        <f aca="false">ROUNDDOWN(TblProd[[#This Row],[Raw Gems/hr]]*(1+TblProd[[#This Row],[Bonus Gems/hr]]),0)</f>
        <v>0</v>
      </c>
      <c r="Y101" s="148" t="n">
        <f aca="false">OFFSET(TblConstr[[#This Row],[Tot Doc]],1,0)*dock_boats_hr * (1 + tech_4_1*TblTech[[#This Row],[4-1]])</f>
        <v>1.2</v>
      </c>
      <c r="Z101" s="146"/>
      <c r="AA101" s="69" t="n">
        <f aca="false">TblPop[[#This Row],[Peasants]]*tax*TblPop[[#This Row],[Employment]] + (Construction!AZ102+Construction!BX102)*(alch_plat+(Magic!AM101&gt;0)*alchemist_flame_bonus)</f>
        <v>36980.3</v>
      </c>
      <c r="AB101" s="69" t="n">
        <f aca="false">TblConstr[[#This Row],[Tot Farm]]*farm_food + TblConstr[[#This Row],[Tot Doc]]*dock_food</f>
        <v>3280</v>
      </c>
      <c r="AC101" s="69" t="n">
        <f aca="false">TblConstr[[#This Row],[Tot Ly]]*ly_lumber + TblConstr[[#This Row],[Tot Hav]]*fh_lumber</f>
        <v>1250</v>
      </c>
      <c r="AD101" s="69" t="n">
        <f aca="false">OFFSET(TblConstr[[#This Row],[Tot Tow]],1,0)*(tower_mana + tech_4_5*TblTech[[#This Row],[4-5]]) + OFFSET(TblConstr[[#This Row],[Tot WG]],1,0)*wg_mana_prod</f>
        <v>725</v>
      </c>
      <c r="AE101" s="69" t="n">
        <f aca="false">OFFSET(TblConstr[[#This Row],[Tot OM]],1,0)*om_ore+IF(race="Dwarf",ROUNDDOWN(TblMili[[#This Row],[Unit 2]]*0.4,0),)</f>
        <v>0</v>
      </c>
      <c r="AF101" s="69" t="n">
        <f aca="false">OFFSET(TblConstr[[#This Row],[Tot DM]],1,0)*dm_gems</f>
        <v>0</v>
      </c>
      <c r="AG101" s="132"/>
      <c r="AH101" s="149" t="n">
        <f aca="false">MIN(race_platinum_bonus + IF(TblMagic[[#This Row],[Active Alch Frost]]&gt;0,alch_frost_bonus,IF(Magic!AD101&gt;0,midas_bonus)) + TblImps[[#This Row],[Science]] - TblProd[[#This Row],[Guard]]*(0.02 + tech_5_7*TblTech[[#This Row],[5-7]]) + tech_1_5*TblTech[[#This Row],[1-5]] + tech_4_4*TblTech[[#This Row],[4-4]], 0.5)</f>
        <v>0.1</v>
      </c>
      <c r="AI10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1" s="149" t="n">
        <f aca="false">race_lumber_bonus+ IF(TblMagic[[#This Row],[Active Gaia''s Blessing]]&gt;0,gaias_blessing_lumber)+ tech_1_3*TblTech[[#This Row],[1-3]] + tech_1_6*TblTech[[#This Row],[1-6]] + tech_3_3*TblTech[[#This Row],[3-3]]</f>
        <v>-0.1</v>
      </c>
      <c r="AK101" s="149" t="n">
        <f aca="false">race_mana_bonus+ 0 + TblImps[[#This Row],[Towers]] + tech_1_2*TblTech[[#This Row],[1-2]] + tech_3_4*TblTech[[#This Row],[3-4]]</f>
        <v>0</v>
      </c>
      <c r="AL101" s="149" t="n">
        <f aca="false">race_ore_bonus + IF(TblMagic[[#This Row],[Active Miner''s Sight]]&gt;0,miners_sight_bonus,IF(TblMagic[[#This Row],[Active Mining Strength]]&gt;0,mining_strength_bonus)) +  tech_1_6*TblTech[[#This Row],[1-6]]</f>
        <v>0</v>
      </c>
      <c r="AM101" s="149" t="n">
        <f aca="false">race_gem_bonus+ tech_3_2*TblTech[[#This Row],[3-2]] + tech_4_3*TblTech[[#This Row],[4-3]] + tech_6_2*TblTech[[#This Row],[6-2]]</f>
        <v>0.15</v>
      </c>
      <c r="AN101" s="132"/>
      <c r="AO101" s="69" t="n">
        <f aca="false">TblProd[[#This Row],[Food]]*food_decay * (1 + tech_2_1*TblTech[[#This Row],[2-1]] + tech_2_8*TblTech[[#This Row],[2-8]])</f>
        <v>52.25</v>
      </c>
      <c r="AP101" s="69" t="n">
        <f aca="false">(1+race_food_consumption)*TblPop[[#This Row],[Total]]*food_per_person*(1+tech_1_10*TblTech[[#This Row],[1-10]]+tech_7_5*TblTech[[#This Row],[7-5]])</f>
        <v>3234.75</v>
      </c>
      <c r="AQ101" s="69" t="n">
        <f aca="false">TblProd[[#This Row],[Lumber]]*lumber_rot * (1 + tech_2_1*TblTech[[#This Row],[2-1]] + tech_2_8*TblTech[[#This Row],[2-8]] + tech_5_2*TblTech[[#This Row],[5-2]])</f>
        <v>359.19</v>
      </c>
      <c r="AR101" s="69" t="n">
        <f aca="false">TblProd[[#This Row],[Mana]]*mana_drain * (1 + tech_2_1*TblTech[[#This Row],[2-1]] + tech_2_8*TblTech[[#This Row],[2-8]])</f>
        <v>68.87</v>
      </c>
      <c r="AS101" s="146"/>
      <c r="AT101" s="69" t="n">
        <f aca="false">TblExplore[[#This Row],[Platinum (2)]]+TblConstr[[#This Row],[Total Plat Cost]]+TblMili[[#This Row],[Plat Cost]]+TblRezone[[#This Row],[Platinum cost]]+TblImps[[#This Row],[P1]]-TblProd[[#This Row],[Bank Plat]]</f>
        <v>0</v>
      </c>
      <c r="AU101" s="69" t="n">
        <f aca="false">TblConstr[[#This Row],[Total Lum Cost]]+TblImps[[#This Row],[L1]]-TblProd[[#This Row],[Bank Lumber]] + Military!$CL$25*TblMili[[#This Row],[Sec. rec. Cost]]</f>
        <v>0</v>
      </c>
      <c r="AV101" s="69" t="n">
        <f aca="false">TblMagic[[#This Row],[Mana cost]] + Military!$CL$26*TblMili[[#This Row],[Sec. rec. Cost]]</f>
        <v>0</v>
      </c>
      <c r="AW101" s="69" t="n">
        <f aca="false">Military!$CL$24*TblMili[[#This Row],[Sec. rec. Cost]]+TblImps[[#This Row],[O1]]-TblProd[[#This Row],[Bank Ore]]</f>
        <v>0</v>
      </c>
      <c r="AX101" s="69" t="n">
        <f aca="false">TblImps[[#This Row],[G1]]-TblProd[[#This Row],[Bank Gems]]</f>
        <v>0</v>
      </c>
      <c r="AY101" s="132"/>
      <c r="AZ101" s="33" t="n">
        <f aca="false">IF(TblProd[[#This Row],[Set Guard]]&lt;&gt;"",TblProd[[#This Row],[Set Guard]],OFFSET(TblProd[[#This Row],[Guard]],-1,0))</f>
        <v>0</v>
      </c>
      <c r="BA101" s="145"/>
      <c r="BB101" s="151" t="n">
        <f aca="false">TblProd[[#This Row],[Hour]]</f>
        <v>26</v>
      </c>
      <c r="BC101" s="152" t="n">
        <f aca="false">-TblProd[[#This Row],[Bank Lumber]] / 2 + -TblProd[[#This Row],[Bank Gems]] * 2 + -TblProd[[#This Row],[Bank Ore]] / 2</f>
        <v>0</v>
      </c>
      <c r="BD101" s="152"/>
      <c r="BE101" s="152"/>
      <c r="BF101" s="152"/>
      <c r="BG101" s="153" t="n">
        <f aca="false">TblProd[[#This Row],[Time]]</f>
        <v>45433.7916666667</v>
      </c>
      <c r="BH10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69" t="n">
        <f aca="false">TblProd[[#This Row],[Platinum]]</f>
        <v>1065746</v>
      </c>
      <c r="BJ101" s="69" t="n">
        <f aca="false">TblProd[[#This Row],[Food]]</f>
        <v>5225</v>
      </c>
      <c r="BK101" s="69" t="n">
        <f aca="false">TblProd[[#This Row],[Lumber]]</f>
        <v>35919</v>
      </c>
      <c r="BL101" s="69" t="n">
        <f aca="false">TblProd[[#This Row],[Mana]]</f>
        <v>3443.5</v>
      </c>
      <c r="BM101" s="69" t="n">
        <f aca="false">TblProd[[#This Row],[Ore]]</f>
        <v>0</v>
      </c>
    </row>
    <row r="102" customFormat="false" ht="12.75" hidden="false" customHeight="false" outlineLevel="0" collapsed="false">
      <c r="A102" s="128" t="n">
        <v>27</v>
      </c>
      <c r="B102" s="144" t="n">
        <f aca="false">TblImps[[#This Row],[Time]]</f>
        <v>45433.8333333333</v>
      </c>
      <c r="C102" s="145"/>
      <c r="D102" s="146"/>
      <c r="E102" s="69" t="n">
        <f aca="false">TblConstr[[#This Row],[Land]]</f>
        <v>700</v>
      </c>
      <c r="F102" s="69" t="n">
        <f aca="false">TblPop[[#This Row],[Peasants]]</f>
        <v>7711</v>
      </c>
      <c r="G102" s="69" t="e">
        <f aca="false">TblMili[[#This Row],[Networth (2)]]</f>
        <v>#VALUE!</v>
      </c>
      <c r="H102" s="69" t="n">
        <f aca="false">OFFSET(TblProd[[#This Row],[Platinum]],-1,0)+OFFSET(TblProd[[#This Row],[Plat/hr]],-1,0) - TblProd[[#This Row],[Expenses Platinum]] + IF(TblProd[[#This Row],[Plat Bonus]],TblPop[[#This Row],[Peasants]]*4) + SUM(TblConstr[[#This Row],[Dest Hom]:[Dest Doc]])*TblConstr[[#This Row],[CPA Platinum -DB]]*tech_3_3_2*TblTech[[#This Row],[3-3]]</f>
        <v>1106424</v>
      </c>
      <c r="I102" s="69" t="n">
        <f aca="false">OFFSET(TblProd[[#This Row],[Food]],-1,0)+OFFSET(TblProd[[#This Row],[Food/hr]],-1,0)+ROUNDUP((TblConstr[[#This Row],[Farms]]*80+TblConstr[[#This Row],[Docks]]*35)*(1+OFFSET(TblProd[[#This Row],[Bonus Food/hr]],-1,0)),0)</f>
        <v>5300</v>
      </c>
      <c r="J102" s="69" t="n">
        <f aca="false">OFFSET(TblProd[[#This Row],[Lumber]],-1,0)+OFFSET(TblProd[[#This Row],[Lumber/hr]],-1,0) - TblProd[[#This Row],[Expenses Lumber]] + SUM(TblConstr[[#This Row],[Dest Hom]:[Dest Doc]])*TblConstr[[#This Row],[CPA Lumber -DB]]*tech_3_3_2*TblTech[[#This Row],[3-3]]</f>
        <v>36685</v>
      </c>
      <c r="K102" s="69" t="n">
        <f aca="false">OFFSET(TblProd[[#This Row],[Mana]],-1,0)+OFFSET(TblProd[[#This Row],[Mana/hr]],-1,0)- TblProd[[#This Row],[Expenses Mana]]</f>
        <v>4099.5</v>
      </c>
      <c r="L102" s="69" t="n">
        <f aca="false">OFFSET(TblProd[[#This Row],[Ore]],-1,0)+OFFSET(TblProd[[#This Row],[Ore/hr]],-1,0) -TblProd[[#This Row],[Expenses Ore]]</f>
        <v>0</v>
      </c>
      <c r="M102" s="69" t="n">
        <f aca="false">OFFSET(TblProd[[#This Row],[Gems]],-1,0)+OFFSET(TblProd[[#This Row],[Gems/hr]],-1,0) - TblProd[[#This Row],[Expenses Gems]]</f>
        <v>0</v>
      </c>
      <c r="N102" s="69" t="n">
        <f aca="false">OFFSET(TblProd[[#This Row],[Boats]],-1,0)+OFFSET(TblProd[[#This Row],[Boats/hr]],-1,0)</f>
        <v>59.4500000000001</v>
      </c>
      <c r="O102" s="69" t="n">
        <f aca="false">OFFSET(TblProd[[#This Row],[Prestige]],-1,0)</f>
        <v>250</v>
      </c>
      <c r="P10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2" s="69" t="n">
        <f aca="false">MAX(3750,_xlfn.CEILING.MATH(TblProd[[#This Row],[Land]]*2.5+OFFSET(TblTech[[#This Row],[Sum of tech]],-1,0)*150))</f>
        <v>3750</v>
      </c>
      <c r="R102" s="132"/>
      <c r="S102" s="69" t="n">
        <f aca="false">ROUNDDOWN(TblProd[[#This Row],[Raw Plat/hr]]*(1+TblProd[[#This Row],[Bonus Plat/hr]]),0)</f>
        <v>40446</v>
      </c>
      <c r="T102" s="69" t="n">
        <f aca="false">ROUND(TblProd[[#This Row],[Raw Food/hr]]*(1+TblProd[[#This Row],[Bonus Food/hr]])-TblProd[[#This Row],[Food decay]]-TblProd[[#This Row],[Food eaten]],0)</f>
        <v>74</v>
      </c>
      <c r="U102" s="69" t="n">
        <f aca="false">ROUND(TblProd[[#This Row],[Raw Lumber/hr]]*(1+TblProd[[#This Row],[Bonus Lumber/hr]])-TblProd[[#This Row],[Lumber rot]],0)</f>
        <v>758</v>
      </c>
      <c r="V102" s="69" t="n">
        <f aca="false">ROUND(TblProd[[#This Row],[Raw Mana/hr]]*(1+TblProd[[#This Row],[Bonus Mana/hr]])-TblProd[[#This Row],[Mana drain]],0)</f>
        <v>643</v>
      </c>
      <c r="W102" s="69" t="n">
        <f aca="false">ROUNDDOWN(TblProd[[#This Row],[Raw Ore/hr]]*(1+TblProd[[#This Row],[Bonux Ore/hr]]),0)</f>
        <v>0</v>
      </c>
      <c r="X102" s="69" t="n">
        <f aca="false">ROUNDDOWN(TblProd[[#This Row],[Raw Gems/hr]]*(1+TblProd[[#This Row],[Bonus Gems/hr]]),0)</f>
        <v>0</v>
      </c>
      <c r="Y102" s="148" t="n">
        <f aca="false">OFFSET(TblConstr[[#This Row],[Tot Doc]],1,0)*dock_boats_hr * (1 + tech_4_1*TblTech[[#This Row],[4-1]])</f>
        <v>1.2</v>
      </c>
      <c r="Z102" s="146"/>
      <c r="AA102" s="69" t="n">
        <f aca="false">TblPop[[#This Row],[Peasants]]*tax*TblPop[[#This Row],[Employment]] + (Construction!AZ103+Construction!BX103)*(alch_plat+(Magic!AM102&gt;0)*alchemist_flame_bonus)</f>
        <v>36769.7</v>
      </c>
      <c r="AB102" s="69" t="n">
        <f aca="false">TblConstr[[#This Row],[Tot Farm]]*farm_food + TblConstr[[#This Row],[Tot Doc]]*dock_food</f>
        <v>3280</v>
      </c>
      <c r="AC102" s="69" t="n">
        <f aca="false">TblConstr[[#This Row],[Tot Ly]]*ly_lumber + TblConstr[[#This Row],[Tot Hav]]*fh_lumber</f>
        <v>1250</v>
      </c>
      <c r="AD102" s="69" t="n">
        <f aca="false">OFFSET(TblConstr[[#This Row],[Tot Tow]],1,0)*(tower_mana + tech_4_5*TblTech[[#This Row],[4-5]]) + OFFSET(TblConstr[[#This Row],[Tot WG]],1,0)*wg_mana_prod</f>
        <v>725</v>
      </c>
      <c r="AE102" s="69" t="n">
        <f aca="false">OFFSET(TblConstr[[#This Row],[Tot OM]],1,0)*om_ore+IF(race="Dwarf",ROUNDDOWN(TblMili[[#This Row],[Unit 2]]*0.4,0),)</f>
        <v>0</v>
      </c>
      <c r="AF102" s="69" t="n">
        <f aca="false">OFFSET(TblConstr[[#This Row],[Tot DM]],1,0)*dm_gems</f>
        <v>0</v>
      </c>
      <c r="AG102" s="132"/>
      <c r="AH102" s="149" t="n">
        <f aca="false">MIN(race_platinum_bonus + IF(TblMagic[[#This Row],[Active Alch Frost]]&gt;0,alch_frost_bonus,IF(Magic!AD102&gt;0,midas_bonus)) + TblImps[[#This Row],[Science]] - TblProd[[#This Row],[Guard]]*(0.02 + tech_5_7*TblTech[[#This Row],[5-7]]) + tech_1_5*TblTech[[#This Row],[1-5]] + tech_4_4*TblTech[[#This Row],[4-4]], 0.5)</f>
        <v>0.1</v>
      </c>
      <c r="AI10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2" s="149" t="n">
        <f aca="false">race_lumber_bonus+ IF(TblMagic[[#This Row],[Active Gaia''s Blessing]]&gt;0,gaias_blessing_lumber)+ tech_1_3*TblTech[[#This Row],[1-3]] + tech_1_6*TblTech[[#This Row],[1-6]] + tech_3_3*TblTech[[#This Row],[3-3]]</f>
        <v>-0.1</v>
      </c>
      <c r="AK102" s="149" t="n">
        <f aca="false">race_mana_bonus+ 0 + TblImps[[#This Row],[Towers]] + tech_1_2*TblTech[[#This Row],[1-2]] + tech_3_4*TblTech[[#This Row],[3-4]]</f>
        <v>0</v>
      </c>
      <c r="AL102" s="149" t="n">
        <f aca="false">race_ore_bonus + IF(TblMagic[[#This Row],[Active Miner''s Sight]]&gt;0,miners_sight_bonus,IF(TblMagic[[#This Row],[Active Mining Strength]]&gt;0,mining_strength_bonus)) +  tech_1_6*TblTech[[#This Row],[1-6]]</f>
        <v>0</v>
      </c>
      <c r="AM102" s="149" t="n">
        <f aca="false">race_gem_bonus+ tech_3_2*TblTech[[#This Row],[3-2]] + tech_4_3*TblTech[[#This Row],[4-3]] + tech_6_2*TblTech[[#This Row],[6-2]]</f>
        <v>0.15</v>
      </c>
      <c r="AN102" s="132"/>
      <c r="AO102" s="69" t="n">
        <f aca="false">TblProd[[#This Row],[Food]]*food_decay * (1 + tech_2_1*TblTech[[#This Row],[2-1]] + tech_2_8*TblTech[[#This Row],[2-8]])</f>
        <v>53</v>
      </c>
      <c r="AP102" s="69" t="n">
        <f aca="false">(1+race_food_consumption)*TblPop[[#This Row],[Total]]*food_per_person*(1+tech_1_10*TblTech[[#This Row],[1-10]]+tech_7_5*TblTech[[#This Row],[7-5]])</f>
        <v>3234.75</v>
      </c>
      <c r="AQ102" s="69" t="n">
        <f aca="false">TblProd[[#This Row],[Lumber]]*lumber_rot * (1 + tech_2_1*TblTech[[#This Row],[2-1]] + tech_2_8*TblTech[[#This Row],[2-8]] + tech_5_2*TblTech[[#This Row],[5-2]])</f>
        <v>366.85</v>
      </c>
      <c r="AR102" s="69" t="n">
        <f aca="false">TblProd[[#This Row],[Mana]]*mana_drain * (1 + tech_2_1*TblTech[[#This Row],[2-1]] + tech_2_8*TblTech[[#This Row],[2-8]])</f>
        <v>81.99</v>
      </c>
      <c r="AS102" s="146"/>
      <c r="AT102" s="69" t="n">
        <f aca="false">TblExplore[[#This Row],[Platinum (2)]]+TblConstr[[#This Row],[Total Plat Cost]]+TblMili[[#This Row],[Plat Cost]]+TblRezone[[#This Row],[Platinum cost]]+TblImps[[#This Row],[P1]]-TblProd[[#This Row],[Bank Plat]]</f>
        <v>0</v>
      </c>
      <c r="AU102" s="69" t="n">
        <f aca="false">TblConstr[[#This Row],[Total Lum Cost]]+TblImps[[#This Row],[L1]]-TblProd[[#This Row],[Bank Lumber]] + Military!$CL$25*TblMili[[#This Row],[Sec. rec. Cost]]</f>
        <v>0</v>
      </c>
      <c r="AV102" s="69" t="n">
        <f aca="false">TblMagic[[#This Row],[Mana cost]] + Military!$CL$26*TblMili[[#This Row],[Sec. rec. Cost]]</f>
        <v>0</v>
      </c>
      <c r="AW102" s="69" t="n">
        <f aca="false">Military!$CL$24*TblMili[[#This Row],[Sec. rec. Cost]]+TblImps[[#This Row],[O1]]-TblProd[[#This Row],[Bank Ore]]</f>
        <v>0</v>
      </c>
      <c r="AX102" s="69" t="n">
        <f aca="false">TblImps[[#This Row],[G1]]-TblProd[[#This Row],[Bank Gems]]</f>
        <v>0</v>
      </c>
      <c r="AY102" s="132"/>
      <c r="AZ102" s="33" t="n">
        <f aca="false">IF(TblProd[[#This Row],[Set Guard]]&lt;&gt;"",TblProd[[#This Row],[Set Guard]],OFFSET(TblProd[[#This Row],[Guard]],-1,0))</f>
        <v>0</v>
      </c>
      <c r="BA102" s="145"/>
      <c r="BB102" s="151" t="n">
        <f aca="false">TblProd[[#This Row],[Hour]]</f>
        <v>27</v>
      </c>
      <c r="BC102" s="152" t="n">
        <f aca="false">-TblProd[[#This Row],[Bank Lumber]] / 2 + -TblProd[[#This Row],[Bank Gems]] * 2 + -TblProd[[#This Row],[Bank Ore]] / 2</f>
        <v>0</v>
      </c>
      <c r="BD102" s="152"/>
      <c r="BE102" s="152"/>
      <c r="BF102" s="152"/>
      <c r="BG102" s="153" t="n">
        <f aca="false">TblProd[[#This Row],[Time]]</f>
        <v>45433.8333333333</v>
      </c>
      <c r="BH10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69" t="n">
        <f aca="false">TblProd[[#This Row],[Platinum]]</f>
        <v>1106424</v>
      </c>
      <c r="BJ102" s="69" t="n">
        <f aca="false">TblProd[[#This Row],[Food]]</f>
        <v>5300</v>
      </c>
      <c r="BK102" s="69" t="n">
        <f aca="false">TblProd[[#This Row],[Lumber]]</f>
        <v>36685</v>
      </c>
      <c r="BL102" s="69" t="n">
        <f aca="false">TblProd[[#This Row],[Mana]]</f>
        <v>4099.5</v>
      </c>
      <c r="BM102" s="69" t="n">
        <f aca="false">TblProd[[#This Row],[Ore]]</f>
        <v>0</v>
      </c>
    </row>
    <row r="103" customFormat="false" ht="12.75" hidden="false" customHeight="false" outlineLevel="0" collapsed="false">
      <c r="A103" s="128" t="n">
        <v>28</v>
      </c>
      <c r="B103" s="144" t="n">
        <f aca="false">TblImps[[#This Row],[Time]]</f>
        <v>45433.875</v>
      </c>
      <c r="C103" s="145"/>
      <c r="D103" s="146"/>
      <c r="E103" s="69" t="n">
        <f aca="false">TblConstr[[#This Row],[Land]]</f>
        <v>700</v>
      </c>
      <c r="F103" s="69" t="n">
        <f aca="false">TblPop[[#This Row],[Peasants]]</f>
        <v>7634</v>
      </c>
      <c r="G103" s="69" t="e">
        <f aca="false">TblMili[[#This Row],[Networth (2)]]</f>
        <v>#VALUE!</v>
      </c>
      <c r="H103" s="69" t="n">
        <f aca="false">OFFSET(TblProd[[#This Row],[Platinum]],-1,0)+OFFSET(TblProd[[#This Row],[Plat/hr]],-1,0) - TblProd[[#This Row],[Expenses Platinum]] + IF(TblProd[[#This Row],[Plat Bonus]],TblPop[[#This Row],[Peasants]]*4) + SUM(TblConstr[[#This Row],[Dest Hom]:[Dest Doc]])*TblConstr[[#This Row],[CPA Platinum -DB]]*tech_3_3_2*TblTech[[#This Row],[3-3]]</f>
        <v>1146870</v>
      </c>
      <c r="I103" s="69" t="n">
        <f aca="false">OFFSET(TblProd[[#This Row],[Food]],-1,0)+OFFSET(TblProd[[#This Row],[Food/hr]],-1,0)+ROUNDUP((TblConstr[[#This Row],[Farms]]*80+TblConstr[[#This Row],[Docks]]*35)*(1+OFFSET(TblProd[[#This Row],[Bonus Food/hr]],-1,0)),0)</f>
        <v>5374</v>
      </c>
      <c r="J103" s="69" t="n">
        <f aca="false">OFFSET(TblProd[[#This Row],[Lumber]],-1,0)+OFFSET(TblProd[[#This Row],[Lumber/hr]],-1,0) - TblProd[[#This Row],[Expenses Lumber]] + SUM(TblConstr[[#This Row],[Dest Hom]:[Dest Doc]])*TblConstr[[#This Row],[CPA Lumber -DB]]*tech_3_3_2*TblTech[[#This Row],[3-3]]</f>
        <v>37443</v>
      </c>
      <c r="K103" s="69" t="n">
        <f aca="false">OFFSET(TblProd[[#This Row],[Mana]],-1,0)+OFFSET(TblProd[[#This Row],[Mana/hr]],-1,0)- TblProd[[#This Row],[Expenses Mana]]</f>
        <v>4742.5</v>
      </c>
      <c r="L103" s="69" t="n">
        <f aca="false">OFFSET(TblProd[[#This Row],[Ore]],-1,0)+OFFSET(TblProd[[#This Row],[Ore/hr]],-1,0) -TblProd[[#This Row],[Expenses Ore]]</f>
        <v>0</v>
      </c>
      <c r="M103" s="69" t="n">
        <f aca="false">OFFSET(TblProd[[#This Row],[Gems]],-1,0)+OFFSET(TblProd[[#This Row],[Gems/hr]],-1,0) - TblProd[[#This Row],[Expenses Gems]]</f>
        <v>0</v>
      </c>
      <c r="N103" s="69" t="n">
        <f aca="false">OFFSET(TblProd[[#This Row],[Boats]],-1,0)+OFFSET(TblProd[[#This Row],[Boats/hr]],-1,0)</f>
        <v>60.6500000000001</v>
      </c>
      <c r="O103" s="69" t="n">
        <f aca="false">OFFSET(TblProd[[#This Row],[Prestige]],-1,0)</f>
        <v>250</v>
      </c>
      <c r="P10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3" s="69" t="n">
        <f aca="false">MAX(3750,_xlfn.CEILING.MATH(TblProd[[#This Row],[Land]]*2.5+OFFSET(TblTech[[#This Row],[Sum of tech]],-1,0)*150))</f>
        <v>3750</v>
      </c>
      <c r="R103" s="132"/>
      <c r="S103" s="69" t="n">
        <f aca="false">ROUNDDOWN(TblProd[[#This Row],[Raw Plat/hr]]*(1+TblProd[[#This Row],[Bonus Plat/hr]]),0)</f>
        <v>40217</v>
      </c>
      <c r="T103" s="69" t="n">
        <f aca="false">ROUND(TblProd[[#This Row],[Raw Food/hr]]*(1+TblProd[[#This Row],[Bonus Food/hr]])-TblProd[[#This Row],[Food decay]]-TblProd[[#This Row],[Food eaten]],0)</f>
        <v>74</v>
      </c>
      <c r="U103" s="69" t="n">
        <f aca="false">ROUND(TblProd[[#This Row],[Raw Lumber/hr]]*(1+TblProd[[#This Row],[Bonus Lumber/hr]])-TblProd[[#This Row],[Lumber rot]],0)</f>
        <v>751</v>
      </c>
      <c r="V103" s="69" t="n">
        <f aca="false">ROUND(TblProd[[#This Row],[Raw Mana/hr]]*(1+TblProd[[#This Row],[Bonus Mana/hr]])-TblProd[[#This Row],[Mana drain]],0)</f>
        <v>630</v>
      </c>
      <c r="W103" s="69" t="n">
        <f aca="false">ROUNDDOWN(TblProd[[#This Row],[Raw Ore/hr]]*(1+TblProd[[#This Row],[Bonux Ore/hr]]),0)</f>
        <v>0</v>
      </c>
      <c r="X103" s="69" t="n">
        <f aca="false">ROUNDDOWN(TblProd[[#This Row],[Raw Gems/hr]]*(1+TblProd[[#This Row],[Bonus Gems/hr]]),0)</f>
        <v>0</v>
      </c>
      <c r="Y103" s="148" t="n">
        <f aca="false">OFFSET(TblConstr[[#This Row],[Tot Doc]],1,0)*dock_boats_hr * (1 + tech_4_1*TblTech[[#This Row],[4-1]])</f>
        <v>1.2</v>
      </c>
      <c r="Z103" s="146"/>
      <c r="AA103" s="69" t="n">
        <f aca="false">TblPop[[#This Row],[Peasants]]*tax*TblPop[[#This Row],[Employment]] + (Construction!AZ104+Construction!BX104)*(alch_plat+(Magic!AM103&gt;0)*alchemist_flame_bonus)</f>
        <v>36561.8</v>
      </c>
      <c r="AB103" s="69" t="n">
        <f aca="false">TblConstr[[#This Row],[Tot Farm]]*farm_food + TblConstr[[#This Row],[Tot Doc]]*dock_food</f>
        <v>3280</v>
      </c>
      <c r="AC103" s="69" t="n">
        <f aca="false">TblConstr[[#This Row],[Tot Ly]]*ly_lumber + TblConstr[[#This Row],[Tot Hav]]*fh_lumber</f>
        <v>1250</v>
      </c>
      <c r="AD103" s="69" t="n">
        <f aca="false">OFFSET(TblConstr[[#This Row],[Tot Tow]],1,0)*(tower_mana + tech_4_5*TblTech[[#This Row],[4-5]]) + OFFSET(TblConstr[[#This Row],[Tot WG]],1,0)*wg_mana_prod</f>
        <v>725</v>
      </c>
      <c r="AE103" s="69" t="n">
        <f aca="false">OFFSET(TblConstr[[#This Row],[Tot OM]],1,0)*om_ore+IF(race="Dwarf",ROUNDDOWN(TblMili[[#This Row],[Unit 2]]*0.4,0),)</f>
        <v>0</v>
      </c>
      <c r="AF103" s="69" t="n">
        <f aca="false">OFFSET(TblConstr[[#This Row],[Tot DM]],1,0)*dm_gems</f>
        <v>0</v>
      </c>
      <c r="AG103" s="132"/>
      <c r="AH103" s="149" t="n">
        <f aca="false">MIN(race_platinum_bonus + IF(TblMagic[[#This Row],[Active Alch Frost]]&gt;0,alch_frost_bonus,IF(Magic!AD103&gt;0,midas_bonus)) + TblImps[[#This Row],[Science]] - TblProd[[#This Row],[Guard]]*(0.02 + tech_5_7*TblTech[[#This Row],[5-7]]) + tech_1_5*TblTech[[#This Row],[1-5]] + tech_4_4*TblTech[[#This Row],[4-4]], 0.5)</f>
        <v>0.1</v>
      </c>
      <c r="AI10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3" s="149" t="n">
        <f aca="false">race_lumber_bonus+ IF(TblMagic[[#This Row],[Active Gaia''s Blessing]]&gt;0,gaias_blessing_lumber)+ tech_1_3*TblTech[[#This Row],[1-3]] + tech_1_6*TblTech[[#This Row],[1-6]] + tech_3_3*TblTech[[#This Row],[3-3]]</f>
        <v>-0.1</v>
      </c>
      <c r="AK103" s="149" t="n">
        <f aca="false">race_mana_bonus+ 0 + TblImps[[#This Row],[Towers]] + tech_1_2*TblTech[[#This Row],[1-2]] + tech_3_4*TblTech[[#This Row],[3-4]]</f>
        <v>0</v>
      </c>
      <c r="AL103" s="149" t="n">
        <f aca="false">race_ore_bonus + IF(TblMagic[[#This Row],[Active Miner''s Sight]]&gt;0,miners_sight_bonus,IF(TblMagic[[#This Row],[Active Mining Strength]]&gt;0,mining_strength_bonus)) +  tech_1_6*TblTech[[#This Row],[1-6]]</f>
        <v>0</v>
      </c>
      <c r="AM103" s="149" t="n">
        <f aca="false">race_gem_bonus+ tech_3_2*TblTech[[#This Row],[3-2]] + tech_4_3*TblTech[[#This Row],[4-3]] + tech_6_2*TblTech[[#This Row],[6-2]]</f>
        <v>0.15</v>
      </c>
      <c r="AN103" s="132"/>
      <c r="AO103" s="69" t="n">
        <f aca="false">TblProd[[#This Row],[Food]]*food_decay * (1 + tech_2_1*TblTech[[#This Row],[2-1]] + tech_2_8*TblTech[[#This Row],[2-8]])</f>
        <v>53.74</v>
      </c>
      <c r="AP103" s="69" t="n">
        <f aca="false">(1+race_food_consumption)*TblPop[[#This Row],[Total]]*food_per_person*(1+tech_1_10*TblTech[[#This Row],[1-10]]+tech_7_5*TblTech[[#This Row],[7-5]])</f>
        <v>3234.75</v>
      </c>
      <c r="AQ103" s="69" t="n">
        <f aca="false">TblProd[[#This Row],[Lumber]]*lumber_rot * (1 + tech_2_1*TblTech[[#This Row],[2-1]] + tech_2_8*TblTech[[#This Row],[2-8]] + tech_5_2*TblTech[[#This Row],[5-2]])</f>
        <v>374.43</v>
      </c>
      <c r="AR103" s="69" t="n">
        <f aca="false">TblProd[[#This Row],[Mana]]*mana_drain * (1 + tech_2_1*TblTech[[#This Row],[2-1]] + tech_2_8*TblTech[[#This Row],[2-8]])</f>
        <v>94.85</v>
      </c>
      <c r="AS103" s="146"/>
      <c r="AT103" s="69" t="n">
        <f aca="false">TblExplore[[#This Row],[Platinum (2)]]+TblConstr[[#This Row],[Total Plat Cost]]+TblMili[[#This Row],[Plat Cost]]+TblRezone[[#This Row],[Platinum cost]]+TblImps[[#This Row],[P1]]-TblProd[[#This Row],[Bank Plat]]</f>
        <v>0</v>
      </c>
      <c r="AU103" s="69" t="n">
        <f aca="false">TblConstr[[#This Row],[Total Lum Cost]]+TblImps[[#This Row],[L1]]-TblProd[[#This Row],[Bank Lumber]] + Military!$CL$25*TblMili[[#This Row],[Sec. rec. Cost]]</f>
        <v>0</v>
      </c>
      <c r="AV103" s="69" t="n">
        <f aca="false">TblMagic[[#This Row],[Mana cost]] + Military!$CL$26*TblMili[[#This Row],[Sec. rec. Cost]]</f>
        <v>0</v>
      </c>
      <c r="AW103" s="69" t="n">
        <f aca="false">Military!$CL$24*TblMili[[#This Row],[Sec. rec. Cost]]+TblImps[[#This Row],[O1]]-TblProd[[#This Row],[Bank Ore]]</f>
        <v>0</v>
      </c>
      <c r="AX103" s="69" t="n">
        <f aca="false">TblImps[[#This Row],[G1]]-TblProd[[#This Row],[Bank Gems]]</f>
        <v>0</v>
      </c>
      <c r="AY103" s="132"/>
      <c r="AZ103" s="33" t="n">
        <f aca="false">IF(TblProd[[#This Row],[Set Guard]]&lt;&gt;"",TblProd[[#This Row],[Set Guard]],OFFSET(TblProd[[#This Row],[Guard]],-1,0))</f>
        <v>0</v>
      </c>
      <c r="BA103" s="145"/>
      <c r="BB103" s="151" t="n">
        <f aca="false">TblProd[[#This Row],[Hour]]</f>
        <v>28</v>
      </c>
      <c r="BC103" s="152" t="n">
        <f aca="false">-TblProd[[#This Row],[Bank Lumber]] / 2 + -TblProd[[#This Row],[Bank Gems]] * 2 + -TblProd[[#This Row],[Bank Ore]] / 2</f>
        <v>0</v>
      </c>
      <c r="BD103" s="152"/>
      <c r="BE103" s="152"/>
      <c r="BF103" s="152"/>
      <c r="BG103" s="153" t="n">
        <f aca="false">TblProd[[#This Row],[Time]]</f>
        <v>45433.875</v>
      </c>
      <c r="BH10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69" t="n">
        <f aca="false">TblProd[[#This Row],[Platinum]]</f>
        <v>1146870</v>
      </c>
      <c r="BJ103" s="69" t="n">
        <f aca="false">TblProd[[#This Row],[Food]]</f>
        <v>5374</v>
      </c>
      <c r="BK103" s="69" t="n">
        <f aca="false">TblProd[[#This Row],[Lumber]]</f>
        <v>37443</v>
      </c>
      <c r="BL103" s="69" t="n">
        <f aca="false">TblProd[[#This Row],[Mana]]</f>
        <v>4742.5</v>
      </c>
      <c r="BM103" s="69" t="n">
        <f aca="false">TblProd[[#This Row],[Ore]]</f>
        <v>0</v>
      </c>
    </row>
    <row r="104" customFormat="false" ht="12.75" hidden="false" customHeight="false" outlineLevel="0" collapsed="false">
      <c r="A104" s="128" t="n">
        <v>29</v>
      </c>
      <c r="B104" s="144" t="n">
        <f aca="false">TblImps[[#This Row],[Time]]</f>
        <v>45433.9166666667</v>
      </c>
      <c r="C104" s="145"/>
      <c r="D104" s="146"/>
      <c r="E104" s="69" t="n">
        <f aca="false">TblConstr[[#This Row],[Land]]</f>
        <v>700</v>
      </c>
      <c r="F104" s="69" t="n">
        <f aca="false">TblPop[[#This Row],[Peasants]]</f>
        <v>7558</v>
      </c>
      <c r="G104" s="69" t="e">
        <f aca="false">TblMili[[#This Row],[Networth (2)]]</f>
        <v>#VALUE!</v>
      </c>
      <c r="H104" s="69" t="n">
        <f aca="false">OFFSET(TblProd[[#This Row],[Platinum]],-1,0)+OFFSET(TblProd[[#This Row],[Plat/hr]],-1,0) - TblProd[[#This Row],[Expenses Platinum]] + IF(TblProd[[#This Row],[Plat Bonus]],TblPop[[#This Row],[Peasants]]*4) + SUM(TblConstr[[#This Row],[Dest Hom]:[Dest Doc]])*TblConstr[[#This Row],[CPA Platinum -DB]]*tech_3_3_2*TblTech[[#This Row],[3-3]]</f>
        <v>1187087</v>
      </c>
      <c r="I104" s="69" t="n">
        <f aca="false">OFFSET(TblProd[[#This Row],[Food]],-1,0)+OFFSET(TblProd[[#This Row],[Food/hr]],-1,0)+ROUNDUP((TblConstr[[#This Row],[Farms]]*80+TblConstr[[#This Row],[Docks]]*35)*(1+OFFSET(TblProd[[#This Row],[Bonus Food/hr]],-1,0)),0)</f>
        <v>5448</v>
      </c>
      <c r="J104" s="69" t="n">
        <f aca="false">OFFSET(TblProd[[#This Row],[Lumber]],-1,0)+OFFSET(TblProd[[#This Row],[Lumber/hr]],-1,0) - TblProd[[#This Row],[Expenses Lumber]] + SUM(TblConstr[[#This Row],[Dest Hom]:[Dest Doc]])*TblConstr[[#This Row],[CPA Lumber -DB]]*tech_3_3_2*TblTech[[#This Row],[3-3]]</f>
        <v>38194</v>
      </c>
      <c r="K104" s="69" t="n">
        <f aca="false">OFFSET(TblProd[[#This Row],[Mana]],-1,0)+OFFSET(TblProd[[#This Row],[Mana/hr]],-1,0)- TblProd[[#This Row],[Expenses Mana]]</f>
        <v>5372.5</v>
      </c>
      <c r="L104" s="69" t="n">
        <f aca="false">OFFSET(TblProd[[#This Row],[Ore]],-1,0)+OFFSET(TblProd[[#This Row],[Ore/hr]],-1,0) -TblProd[[#This Row],[Expenses Ore]]</f>
        <v>0</v>
      </c>
      <c r="M104" s="69" t="n">
        <f aca="false">OFFSET(TblProd[[#This Row],[Gems]],-1,0)+OFFSET(TblProd[[#This Row],[Gems/hr]],-1,0) - TblProd[[#This Row],[Expenses Gems]]</f>
        <v>0</v>
      </c>
      <c r="N104" s="69" t="n">
        <f aca="false">OFFSET(TblProd[[#This Row],[Boats]],-1,0)+OFFSET(TblProd[[#This Row],[Boats/hr]],-1,0)</f>
        <v>61.8500000000001</v>
      </c>
      <c r="O104" s="69" t="n">
        <f aca="false">OFFSET(TblProd[[#This Row],[Prestige]],-1,0)</f>
        <v>250</v>
      </c>
      <c r="P10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4" s="69" t="n">
        <f aca="false">MAX(3750,_xlfn.CEILING.MATH(TblProd[[#This Row],[Land]]*2.5+OFFSET(TblTech[[#This Row],[Sum of tech]],-1,0)*150))</f>
        <v>3750</v>
      </c>
      <c r="R104" s="132"/>
      <c r="S104" s="69" t="n">
        <f aca="false">ROUNDDOWN(TblProd[[#This Row],[Raw Plat/hr]]*(1+TblProd[[#This Row],[Bonus Plat/hr]]),0)</f>
        <v>39992</v>
      </c>
      <c r="T104" s="69" t="n">
        <f aca="false">ROUND(TblProd[[#This Row],[Raw Food/hr]]*(1+TblProd[[#This Row],[Bonus Food/hr]])-TblProd[[#This Row],[Food decay]]-TblProd[[#This Row],[Food eaten]],0)</f>
        <v>73</v>
      </c>
      <c r="U104" s="69" t="n">
        <f aca="false">ROUND(TblProd[[#This Row],[Raw Lumber/hr]]*(1+TblProd[[#This Row],[Bonus Lumber/hr]])-TblProd[[#This Row],[Lumber rot]],0)</f>
        <v>743</v>
      </c>
      <c r="V104" s="69" t="n">
        <f aca="false">ROUND(TblProd[[#This Row],[Raw Mana/hr]]*(1+TblProd[[#This Row],[Bonus Mana/hr]])-TblProd[[#This Row],[Mana drain]],0)</f>
        <v>618</v>
      </c>
      <c r="W104" s="69" t="n">
        <f aca="false">ROUNDDOWN(TblProd[[#This Row],[Raw Ore/hr]]*(1+TblProd[[#This Row],[Bonux Ore/hr]]),0)</f>
        <v>0</v>
      </c>
      <c r="X104" s="69" t="n">
        <f aca="false">ROUNDDOWN(TblProd[[#This Row],[Raw Gems/hr]]*(1+TblProd[[#This Row],[Bonus Gems/hr]]),0)</f>
        <v>0</v>
      </c>
      <c r="Y104" s="148" t="n">
        <f aca="false">OFFSET(TblConstr[[#This Row],[Tot Doc]],1,0)*dock_boats_hr * (1 + tech_4_1*TblTech[[#This Row],[4-1]])</f>
        <v>1.2</v>
      </c>
      <c r="Z104" s="146"/>
      <c r="AA104" s="69" t="n">
        <f aca="false">TblPop[[#This Row],[Peasants]]*tax*TblPop[[#This Row],[Employment]] + (Construction!AZ105+Construction!BX105)*(alch_plat+(Magic!AM104&gt;0)*alchemist_flame_bonus)</f>
        <v>36356.6</v>
      </c>
      <c r="AB104" s="69" t="n">
        <f aca="false">TblConstr[[#This Row],[Tot Farm]]*farm_food + TblConstr[[#This Row],[Tot Doc]]*dock_food</f>
        <v>3280</v>
      </c>
      <c r="AC104" s="69" t="n">
        <f aca="false">TblConstr[[#This Row],[Tot Ly]]*ly_lumber + TblConstr[[#This Row],[Tot Hav]]*fh_lumber</f>
        <v>1250</v>
      </c>
      <c r="AD104" s="69" t="n">
        <f aca="false">OFFSET(TblConstr[[#This Row],[Tot Tow]],1,0)*(tower_mana + tech_4_5*TblTech[[#This Row],[4-5]]) + OFFSET(TblConstr[[#This Row],[Tot WG]],1,0)*wg_mana_prod</f>
        <v>725</v>
      </c>
      <c r="AE104" s="69" t="n">
        <f aca="false">OFFSET(TblConstr[[#This Row],[Tot OM]],1,0)*om_ore+IF(race="Dwarf",ROUNDDOWN(TblMili[[#This Row],[Unit 2]]*0.4,0),)</f>
        <v>0</v>
      </c>
      <c r="AF104" s="69" t="n">
        <f aca="false">OFFSET(TblConstr[[#This Row],[Tot DM]],1,0)*dm_gems</f>
        <v>0</v>
      </c>
      <c r="AG104" s="132"/>
      <c r="AH104" s="149" t="n">
        <f aca="false">MIN(race_platinum_bonus + IF(TblMagic[[#This Row],[Active Alch Frost]]&gt;0,alch_frost_bonus,IF(Magic!AD104&gt;0,midas_bonus)) + TblImps[[#This Row],[Science]] - TblProd[[#This Row],[Guard]]*(0.02 + tech_5_7*TblTech[[#This Row],[5-7]]) + tech_1_5*TblTech[[#This Row],[1-5]] + tech_4_4*TblTech[[#This Row],[4-4]], 0.5)</f>
        <v>0.1</v>
      </c>
      <c r="AI10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4" s="149" t="n">
        <f aca="false">race_lumber_bonus+ IF(TblMagic[[#This Row],[Active Gaia''s Blessing]]&gt;0,gaias_blessing_lumber)+ tech_1_3*TblTech[[#This Row],[1-3]] + tech_1_6*TblTech[[#This Row],[1-6]] + tech_3_3*TblTech[[#This Row],[3-3]]</f>
        <v>-0.1</v>
      </c>
      <c r="AK104" s="149" t="n">
        <f aca="false">race_mana_bonus+ 0 + TblImps[[#This Row],[Towers]] + tech_1_2*TblTech[[#This Row],[1-2]] + tech_3_4*TblTech[[#This Row],[3-4]]</f>
        <v>0</v>
      </c>
      <c r="AL104" s="149" t="n">
        <f aca="false">race_ore_bonus + IF(TblMagic[[#This Row],[Active Miner''s Sight]]&gt;0,miners_sight_bonus,IF(TblMagic[[#This Row],[Active Mining Strength]]&gt;0,mining_strength_bonus)) +  tech_1_6*TblTech[[#This Row],[1-6]]</f>
        <v>0</v>
      </c>
      <c r="AM104" s="149" t="n">
        <f aca="false">race_gem_bonus+ tech_3_2*TblTech[[#This Row],[3-2]] + tech_4_3*TblTech[[#This Row],[4-3]] + tech_6_2*TblTech[[#This Row],[6-2]]</f>
        <v>0.15</v>
      </c>
      <c r="AN104" s="132"/>
      <c r="AO104" s="69" t="n">
        <f aca="false">TblProd[[#This Row],[Food]]*food_decay * (1 + tech_2_1*TblTech[[#This Row],[2-1]] + tech_2_8*TblTech[[#This Row],[2-8]])</f>
        <v>54.48</v>
      </c>
      <c r="AP104" s="69" t="n">
        <f aca="false">(1+race_food_consumption)*TblPop[[#This Row],[Total]]*food_per_person*(1+tech_1_10*TblTech[[#This Row],[1-10]]+tech_7_5*TblTech[[#This Row],[7-5]])</f>
        <v>3234.75</v>
      </c>
      <c r="AQ104" s="69" t="n">
        <f aca="false">TblProd[[#This Row],[Lumber]]*lumber_rot * (1 + tech_2_1*TblTech[[#This Row],[2-1]] + tech_2_8*TblTech[[#This Row],[2-8]] + tech_5_2*TblTech[[#This Row],[5-2]])</f>
        <v>381.94</v>
      </c>
      <c r="AR104" s="69" t="n">
        <f aca="false">TblProd[[#This Row],[Mana]]*mana_drain * (1 + tech_2_1*TblTech[[#This Row],[2-1]] + tech_2_8*TblTech[[#This Row],[2-8]])</f>
        <v>107.45</v>
      </c>
      <c r="AS104" s="146"/>
      <c r="AT104" s="69" t="n">
        <f aca="false">TblExplore[[#This Row],[Platinum (2)]]+TblConstr[[#This Row],[Total Plat Cost]]+TblMili[[#This Row],[Plat Cost]]+TblRezone[[#This Row],[Platinum cost]]+TblImps[[#This Row],[P1]]-TblProd[[#This Row],[Bank Plat]]</f>
        <v>0</v>
      </c>
      <c r="AU104" s="69" t="n">
        <f aca="false">TblConstr[[#This Row],[Total Lum Cost]]+TblImps[[#This Row],[L1]]-TblProd[[#This Row],[Bank Lumber]] + Military!$CL$25*TblMili[[#This Row],[Sec. rec. Cost]]</f>
        <v>0</v>
      </c>
      <c r="AV104" s="69" t="n">
        <f aca="false">TblMagic[[#This Row],[Mana cost]] + Military!$CL$26*TblMili[[#This Row],[Sec. rec. Cost]]</f>
        <v>0</v>
      </c>
      <c r="AW104" s="69" t="n">
        <f aca="false">Military!$CL$24*TblMili[[#This Row],[Sec. rec. Cost]]+TblImps[[#This Row],[O1]]-TblProd[[#This Row],[Bank Ore]]</f>
        <v>0</v>
      </c>
      <c r="AX104" s="69" t="n">
        <f aca="false">TblImps[[#This Row],[G1]]-TblProd[[#This Row],[Bank Gems]]</f>
        <v>0</v>
      </c>
      <c r="AY104" s="132"/>
      <c r="AZ104" s="33" t="n">
        <f aca="false">IF(TblProd[[#This Row],[Set Guard]]&lt;&gt;"",TblProd[[#This Row],[Set Guard]],OFFSET(TblProd[[#This Row],[Guard]],-1,0))</f>
        <v>0</v>
      </c>
      <c r="BA104" s="145"/>
      <c r="BB104" s="151" t="n">
        <f aca="false">TblProd[[#This Row],[Hour]]</f>
        <v>29</v>
      </c>
      <c r="BC104" s="152" t="n">
        <f aca="false">-TblProd[[#This Row],[Bank Lumber]] / 2 + -TblProd[[#This Row],[Bank Gems]] * 2 + -TblProd[[#This Row],[Bank Ore]] / 2</f>
        <v>0</v>
      </c>
      <c r="BD104" s="152"/>
      <c r="BE104" s="152"/>
      <c r="BF104" s="152"/>
      <c r="BG104" s="153" t="n">
        <f aca="false">TblProd[[#This Row],[Time]]</f>
        <v>45433.9166666667</v>
      </c>
      <c r="BH10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69" t="n">
        <f aca="false">TblProd[[#This Row],[Platinum]]</f>
        <v>1187087</v>
      </c>
      <c r="BJ104" s="69" t="n">
        <f aca="false">TblProd[[#This Row],[Food]]</f>
        <v>5448</v>
      </c>
      <c r="BK104" s="69" t="n">
        <f aca="false">TblProd[[#This Row],[Lumber]]</f>
        <v>38194</v>
      </c>
      <c r="BL104" s="69" t="n">
        <f aca="false">TblProd[[#This Row],[Mana]]</f>
        <v>5372.5</v>
      </c>
      <c r="BM104" s="69" t="n">
        <f aca="false">TblProd[[#This Row],[Ore]]</f>
        <v>0</v>
      </c>
    </row>
    <row r="105" customFormat="false" ht="12.75" hidden="false" customHeight="false" outlineLevel="0" collapsed="false">
      <c r="A105" s="128" t="n">
        <v>30</v>
      </c>
      <c r="B105" s="144" t="n">
        <f aca="false">TblImps[[#This Row],[Time]]</f>
        <v>45433.9583333333</v>
      </c>
      <c r="C105" s="145"/>
      <c r="D105" s="146"/>
      <c r="E105" s="69" t="n">
        <f aca="false">TblConstr[[#This Row],[Land]]</f>
        <v>700</v>
      </c>
      <c r="F105" s="69" t="n">
        <f aca="false">TblPop[[#This Row],[Peasants]]</f>
        <v>7482</v>
      </c>
      <c r="G105" s="69" t="e">
        <f aca="false">TblMili[[#This Row],[Networth (2)]]</f>
        <v>#VALUE!</v>
      </c>
      <c r="H105" s="69" t="n">
        <f aca="false">OFFSET(TblProd[[#This Row],[Platinum]],-1,0)+OFFSET(TblProd[[#This Row],[Plat/hr]],-1,0) - TblProd[[#This Row],[Expenses Platinum]] + IF(TblProd[[#This Row],[Plat Bonus]],TblPop[[#This Row],[Peasants]]*4) + SUM(TblConstr[[#This Row],[Dest Hom]:[Dest Doc]])*TblConstr[[#This Row],[CPA Platinum -DB]]*tech_3_3_2*TblTech[[#This Row],[3-3]]</f>
        <v>1227079</v>
      </c>
      <c r="I105" s="69" t="n">
        <f aca="false">OFFSET(TblProd[[#This Row],[Food]],-1,0)+OFFSET(TblProd[[#This Row],[Food/hr]],-1,0)+ROUNDUP((TblConstr[[#This Row],[Farms]]*80+TblConstr[[#This Row],[Docks]]*35)*(1+OFFSET(TblProd[[#This Row],[Bonus Food/hr]],-1,0)),0)</f>
        <v>5521</v>
      </c>
      <c r="J105" s="69" t="n">
        <f aca="false">OFFSET(TblProd[[#This Row],[Lumber]],-1,0)+OFFSET(TblProd[[#This Row],[Lumber/hr]],-1,0) - TblProd[[#This Row],[Expenses Lumber]] + SUM(TblConstr[[#This Row],[Dest Hom]:[Dest Doc]])*TblConstr[[#This Row],[CPA Lumber -DB]]*tech_3_3_2*TblTech[[#This Row],[3-3]]</f>
        <v>38937</v>
      </c>
      <c r="K105" s="69" t="n">
        <f aca="false">OFFSET(TblProd[[#This Row],[Mana]],-1,0)+OFFSET(TblProd[[#This Row],[Mana/hr]],-1,0)- TblProd[[#This Row],[Expenses Mana]]</f>
        <v>5990.5</v>
      </c>
      <c r="L105" s="69" t="n">
        <f aca="false">OFFSET(TblProd[[#This Row],[Ore]],-1,0)+OFFSET(TblProd[[#This Row],[Ore/hr]],-1,0) -TblProd[[#This Row],[Expenses Ore]]</f>
        <v>0</v>
      </c>
      <c r="M105" s="69" t="n">
        <f aca="false">OFFSET(TblProd[[#This Row],[Gems]],-1,0)+OFFSET(TblProd[[#This Row],[Gems/hr]],-1,0) - TblProd[[#This Row],[Expenses Gems]]</f>
        <v>0</v>
      </c>
      <c r="N105" s="69" t="n">
        <f aca="false">OFFSET(TblProd[[#This Row],[Boats]],-1,0)+OFFSET(TblProd[[#This Row],[Boats/hr]],-1,0)</f>
        <v>63.0500000000001</v>
      </c>
      <c r="O105" s="69" t="n">
        <f aca="false">OFFSET(TblProd[[#This Row],[Prestige]],-1,0)</f>
        <v>250</v>
      </c>
      <c r="P10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5" s="69" t="n">
        <f aca="false">MAX(3750,_xlfn.CEILING.MATH(TblProd[[#This Row],[Land]]*2.5+OFFSET(TblTech[[#This Row],[Sum of tech]],-1,0)*150))</f>
        <v>3750</v>
      </c>
      <c r="R105" s="132"/>
      <c r="S105" s="69" t="n">
        <f aca="false">ROUNDDOWN(TblProd[[#This Row],[Raw Plat/hr]]*(1+TblProd[[#This Row],[Bonus Plat/hr]]),0)</f>
        <v>39766</v>
      </c>
      <c r="T105" s="69" t="n">
        <f aca="false">ROUND(TblProd[[#This Row],[Raw Food/hr]]*(1+TblProd[[#This Row],[Bonus Food/hr]])-TblProd[[#This Row],[Food decay]]-TblProd[[#This Row],[Food eaten]],0)</f>
        <v>72</v>
      </c>
      <c r="U105" s="69" t="n">
        <f aca="false">ROUND(TblProd[[#This Row],[Raw Lumber/hr]]*(1+TblProd[[#This Row],[Bonus Lumber/hr]])-TblProd[[#This Row],[Lumber rot]],0)</f>
        <v>736</v>
      </c>
      <c r="V105" s="69" t="n">
        <f aca="false">ROUND(TblProd[[#This Row],[Raw Mana/hr]]*(1+TblProd[[#This Row],[Bonus Mana/hr]])-TblProd[[#This Row],[Mana drain]],0)</f>
        <v>605</v>
      </c>
      <c r="W105" s="69" t="n">
        <f aca="false">ROUNDDOWN(TblProd[[#This Row],[Raw Ore/hr]]*(1+TblProd[[#This Row],[Bonux Ore/hr]]),0)</f>
        <v>0</v>
      </c>
      <c r="X105" s="69" t="n">
        <f aca="false">ROUNDDOWN(TblProd[[#This Row],[Raw Gems/hr]]*(1+TblProd[[#This Row],[Bonus Gems/hr]]),0)</f>
        <v>0</v>
      </c>
      <c r="Y105" s="148" t="n">
        <f aca="false">OFFSET(TblConstr[[#This Row],[Tot Doc]],1,0)*dock_boats_hr * (1 + tech_4_1*TblTech[[#This Row],[4-1]])</f>
        <v>1.2</v>
      </c>
      <c r="Z105" s="146"/>
      <c r="AA105" s="69" t="n">
        <f aca="false">TblPop[[#This Row],[Peasants]]*tax*TblPop[[#This Row],[Employment]] + (Construction!AZ106+Construction!BX106)*(alch_plat+(Magic!AM105&gt;0)*alchemist_flame_bonus)</f>
        <v>36151.4</v>
      </c>
      <c r="AB105" s="69" t="n">
        <f aca="false">TblConstr[[#This Row],[Tot Farm]]*farm_food + TblConstr[[#This Row],[Tot Doc]]*dock_food</f>
        <v>3280</v>
      </c>
      <c r="AC105" s="69" t="n">
        <f aca="false">TblConstr[[#This Row],[Tot Ly]]*ly_lumber + TblConstr[[#This Row],[Tot Hav]]*fh_lumber</f>
        <v>1250</v>
      </c>
      <c r="AD105" s="69" t="n">
        <f aca="false">OFFSET(TblConstr[[#This Row],[Tot Tow]],1,0)*(tower_mana + tech_4_5*TblTech[[#This Row],[4-5]]) + OFFSET(TblConstr[[#This Row],[Tot WG]],1,0)*wg_mana_prod</f>
        <v>725</v>
      </c>
      <c r="AE105" s="69" t="n">
        <f aca="false">OFFSET(TblConstr[[#This Row],[Tot OM]],1,0)*om_ore+IF(race="Dwarf",ROUNDDOWN(TblMili[[#This Row],[Unit 2]]*0.4,0),)</f>
        <v>0</v>
      </c>
      <c r="AF105" s="69" t="n">
        <f aca="false">OFFSET(TblConstr[[#This Row],[Tot DM]],1,0)*dm_gems</f>
        <v>0</v>
      </c>
      <c r="AG105" s="132"/>
      <c r="AH105" s="149" t="n">
        <f aca="false">MIN(race_platinum_bonus + IF(TblMagic[[#This Row],[Active Alch Frost]]&gt;0,alch_frost_bonus,IF(Magic!AD105&gt;0,midas_bonus)) + TblImps[[#This Row],[Science]] - TblProd[[#This Row],[Guard]]*(0.02 + tech_5_7*TblTech[[#This Row],[5-7]]) + tech_1_5*TblTech[[#This Row],[1-5]] + tech_4_4*TblTech[[#This Row],[4-4]], 0.5)</f>
        <v>0.1</v>
      </c>
      <c r="AI10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5" s="149" t="n">
        <f aca="false">race_lumber_bonus+ IF(TblMagic[[#This Row],[Active Gaia''s Blessing]]&gt;0,gaias_blessing_lumber)+ tech_1_3*TblTech[[#This Row],[1-3]] + tech_1_6*TblTech[[#This Row],[1-6]] + tech_3_3*TblTech[[#This Row],[3-3]]</f>
        <v>-0.1</v>
      </c>
      <c r="AK105" s="149" t="n">
        <f aca="false">race_mana_bonus+ 0 + TblImps[[#This Row],[Towers]] + tech_1_2*TblTech[[#This Row],[1-2]] + tech_3_4*TblTech[[#This Row],[3-4]]</f>
        <v>0</v>
      </c>
      <c r="AL105" s="149" t="n">
        <f aca="false">race_ore_bonus + IF(TblMagic[[#This Row],[Active Miner''s Sight]]&gt;0,miners_sight_bonus,IF(TblMagic[[#This Row],[Active Mining Strength]]&gt;0,mining_strength_bonus)) +  tech_1_6*TblTech[[#This Row],[1-6]]</f>
        <v>0</v>
      </c>
      <c r="AM105" s="149" t="n">
        <f aca="false">race_gem_bonus+ tech_3_2*TblTech[[#This Row],[3-2]] + tech_4_3*TblTech[[#This Row],[4-3]] + tech_6_2*TblTech[[#This Row],[6-2]]</f>
        <v>0.15</v>
      </c>
      <c r="AN105" s="132"/>
      <c r="AO105" s="69" t="n">
        <f aca="false">TblProd[[#This Row],[Food]]*food_decay * (1 + tech_2_1*TblTech[[#This Row],[2-1]] + tech_2_8*TblTech[[#This Row],[2-8]])</f>
        <v>55.21</v>
      </c>
      <c r="AP105" s="69" t="n">
        <f aca="false">(1+race_food_consumption)*TblPop[[#This Row],[Total]]*food_per_person*(1+tech_1_10*TblTech[[#This Row],[1-10]]+tech_7_5*TblTech[[#This Row],[7-5]])</f>
        <v>3234.75</v>
      </c>
      <c r="AQ105" s="69" t="n">
        <f aca="false">TblProd[[#This Row],[Lumber]]*lumber_rot * (1 + tech_2_1*TblTech[[#This Row],[2-1]] + tech_2_8*TblTech[[#This Row],[2-8]] + tech_5_2*TblTech[[#This Row],[5-2]])</f>
        <v>389.37</v>
      </c>
      <c r="AR105" s="69" t="n">
        <f aca="false">TblProd[[#This Row],[Mana]]*mana_drain * (1 + tech_2_1*TblTech[[#This Row],[2-1]] + tech_2_8*TblTech[[#This Row],[2-8]])</f>
        <v>119.81</v>
      </c>
      <c r="AS105" s="146"/>
      <c r="AT105" s="69" t="n">
        <f aca="false">TblExplore[[#This Row],[Platinum (2)]]+TblConstr[[#This Row],[Total Plat Cost]]+TblMili[[#This Row],[Plat Cost]]+TblRezone[[#This Row],[Platinum cost]]+TblImps[[#This Row],[P1]]-TblProd[[#This Row],[Bank Plat]]</f>
        <v>0</v>
      </c>
      <c r="AU105" s="69" t="n">
        <f aca="false">TblConstr[[#This Row],[Total Lum Cost]]+TblImps[[#This Row],[L1]]-TblProd[[#This Row],[Bank Lumber]] + Military!$CL$25*TblMili[[#This Row],[Sec. rec. Cost]]</f>
        <v>0</v>
      </c>
      <c r="AV105" s="69" t="n">
        <f aca="false">TblMagic[[#This Row],[Mana cost]] + Military!$CL$26*TblMili[[#This Row],[Sec. rec. Cost]]</f>
        <v>0</v>
      </c>
      <c r="AW105" s="69" t="n">
        <f aca="false">Military!$CL$24*TblMili[[#This Row],[Sec. rec. Cost]]+TblImps[[#This Row],[O1]]-TblProd[[#This Row],[Bank Ore]]</f>
        <v>0</v>
      </c>
      <c r="AX105" s="69" t="n">
        <f aca="false">TblImps[[#This Row],[G1]]-TblProd[[#This Row],[Bank Gems]]</f>
        <v>0</v>
      </c>
      <c r="AY105" s="132"/>
      <c r="AZ105" s="33" t="n">
        <f aca="false">IF(TblProd[[#This Row],[Set Guard]]&lt;&gt;"",TblProd[[#This Row],[Set Guard]],OFFSET(TblProd[[#This Row],[Guard]],-1,0))</f>
        <v>0</v>
      </c>
      <c r="BA105" s="145"/>
      <c r="BB105" s="151" t="n">
        <f aca="false">TblProd[[#This Row],[Hour]]</f>
        <v>30</v>
      </c>
      <c r="BC105" s="152" t="n">
        <f aca="false">-TblProd[[#This Row],[Bank Lumber]] / 2 + -TblProd[[#This Row],[Bank Gems]] * 2 + -TblProd[[#This Row],[Bank Ore]] / 2</f>
        <v>0</v>
      </c>
      <c r="BD105" s="152"/>
      <c r="BE105" s="152"/>
      <c r="BF105" s="152"/>
      <c r="BG105" s="153" t="n">
        <f aca="false">TblProd[[#This Row],[Time]]</f>
        <v>45433.9583333333</v>
      </c>
      <c r="BH10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69" t="n">
        <f aca="false">TblProd[[#This Row],[Platinum]]</f>
        <v>1227079</v>
      </c>
      <c r="BJ105" s="69" t="n">
        <f aca="false">TblProd[[#This Row],[Food]]</f>
        <v>5521</v>
      </c>
      <c r="BK105" s="69" t="n">
        <f aca="false">TblProd[[#This Row],[Lumber]]</f>
        <v>38937</v>
      </c>
      <c r="BL105" s="69" t="n">
        <f aca="false">TblProd[[#This Row],[Mana]]</f>
        <v>5990.5</v>
      </c>
      <c r="BM105" s="69" t="n">
        <f aca="false">TblProd[[#This Row],[Ore]]</f>
        <v>0</v>
      </c>
    </row>
    <row r="106" customFormat="false" ht="12.75" hidden="false" customHeight="false" outlineLevel="0" collapsed="false">
      <c r="A106" s="128" t="n">
        <v>31</v>
      </c>
      <c r="B106" s="144" t="n">
        <f aca="false">TblImps[[#This Row],[Time]]</f>
        <v>45434</v>
      </c>
      <c r="C106" s="145"/>
      <c r="D106" s="146"/>
      <c r="E106" s="69" t="n">
        <f aca="false">TblConstr[[#This Row],[Land]]</f>
        <v>700</v>
      </c>
      <c r="F106" s="69" t="n">
        <f aca="false">TblPop[[#This Row],[Peasants]]</f>
        <v>7407</v>
      </c>
      <c r="G106" s="69" t="e">
        <f aca="false">TblMili[[#This Row],[Networth (2)]]</f>
        <v>#VALUE!</v>
      </c>
      <c r="H106" s="69" t="n">
        <f aca="false">OFFSET(TblProd[[#This Row],[Platinum]],-1,0)+OFFSET(TblProd[[#This Row],[Plat/hr]],-1,0) - TblProd[[#This Row],[Expenses Platinum]] + IF(TblProd[[#This Row],[Plat Bonus]],TblPop[[#This Row],[Peasants]]*4) + SUM(TblConstr[[#This Row],[Dest Hom]:[Dest Doc]])*TblConstr[[#This Row],[CPA Platinum -DB]]*tech_3_3_2*TblTech[[#This Row],[3-3]]</f>
        <v>1266845</v>
      </c>
      <c r="I106" s="69" t="n">
        <f aca="false">OFFSET(TblProd[[#This Row],[Food]],-1,0)+OFFSET(TblProd[[#This Row],[Food/hr]],-1,0)+ROUNDUP((TblConstr[[#This Row],[Farms]]*80+TblConstr[[#This Row],[Docks]]*35)*(1+OFFSET(TblProd[[#This Row],[Bonus Food/hr]],-1,0)),0)</f>
        <v>5593</v>
      </c>
      <c r="J106" s="69" t="n">
        <f aca="false">OFFSET(TblProd[[#This Row],[Lumber]],-1,0)+OFFSET(TblProd[[#This Row],[Lumber/hr]],-1,0) - TblProd[[#This Row],[Expenses Lumber]] + SUM(TblConstr[[#This Row],[Dest Hom]:[Dest Doc]])*TblConstr[[#This Row],[CPA Lumber -DB]]*tech_3_3_2*TblTech[[#This Row],[3-3]]</f>
        <v>39673</v>
      </c>
      <c r="K106" s="69" t="n">
        <f aca="false">OFFSET(TblProd[[#This Row],[Mana]],-1,0)+OFFSET(TblProd[[#This Row],[Mana/hr]],-1,0)- TblProd[[#This Row],[Expenses Mana]]</f>
        <v>6595.5</v>
      </c>
      <c r="L106" s="69" t="n">
        <f aca="false">OFFSET(TblProd[[#This Row],[Ore]],-1,0)+OFFSET(TblProd[[#This Row],[Ore/hr]],-1,0) -TblProd[[#This Row],[Expenses Ore]]</f>
        <v>0</v>
      </c>
      <c r="M106" s="69" t="n">
        <f aca="false">OFFSET(TblProd[[#This Row],[Gems]],-1,0)+OFFSET(TblProd[[#This Row],[Gems/hr]],-1,0) - TblProd[[#This Row],[Expenses Gems]]</f>
        <v>0</v>
      </c>
      <c r="N106" s="69" t="n">
        <f aca="false">OFFSET(TblProd[[#This Row],[Boats]],-1,0)+OFFSET(TblProd[[#This Row],[Boats/hr]],-1,0)</f>
        <v>64.2500000000001</v>
      </c>
      <c r="O106" s="69" t="n">
        <f aca="false">OFFSET(TblProd[[#This Row],[Prestige]],-1,0)</f>
        <v>250</v>
      </c>
      <c r="P10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6" s="69" t="n">
        <f aca="false">MAX(3750,_xlfn.CEILING.MATH(TblProd[[#This Row],[Land]]*2.5+OFFSET(TblTech[[#This Row],[Sum of tech]],-1,0)*150))</f>
        <v>3750</v>
      </c>
      <c r="R106" s="132"/>
      <c r="S106" s="69" t="n">
        <f aca="false">ROUNDDOWN(TblProd[[#This Row],[Raw Plat/hr]]*(1+TblProd[[#This Row],[Bonus Plat/hr]]),0)</f>
        <v>39543</v>
      </c>
      <c r="T106" s="69" t="n">
        <f aca="false">ROUND(TblProd[[#This Row],[Raw Food/hr]]*(1+TblProd[[#This Row],[Bonus Food/hr]])-TblProd[[#This Row],[Food decay]]-TblProd[[#This Row],[Food eaten]],0)</f>
        <v>71</v>
      </c>
      <c r="U106" s="69" t="n">
        <f aca="false">ROUND(TblProd[[#This Row],[Raw Lumber/hr]]*(1+TblProd[[#This Row],[Bonus Lumber/hr]])-TblProd[[#This Row],[Lumber rot]],0)</f>
        <v>728</v>
      </c>
      <c r="V106" s="69" t="n">
        <f aca="false">ROUND(TblProd[[#This Row],[Raw Mana/hr]]*(1+TblProd[[#This Row],[Bonus Mana/hr]])-TblProd[[#This Row],[Mana drain]],0)</f>
        <v>593</v>
      </c>
      <c r="W106" s="69" t="n">
        <f aca="false">ROUNDDOWN(TblProd[[#This Row],[Raw Ore/hr]]*(1+TblProd[[#This Row],[Bonux Ore/hr]]),0)</f>
        <v>0</v>
      </c>
      <c r="X106" s="69" t="n">
        <f aca="false">ROUNDDOWN(TblProd[[#This Row],[Raw Gems/hr]]*(1+TblProd[[#This Row],[Bonus Gems/hr]]),0)</f>
        <v>0</v>
      </c>
      <c r="Y106" s="148" t="n">
        <f aca="false">OFFSET(TblConstr[[#This Row],[Tot Doc]],1,0)*dock_boats_hr * (1 + tech_4_1*TblTech[[#This Row],[4-1]])</f>
        <v>1.2</v>
      </c>
      <c r="Z106" s="146"/>
      <c r="AA106" s="69" t="n">
        <f aca="false">TblPop[[#This Row],[Peasants]]*tax*TblPop[[#This Row],[Employment]] + (Construction!AZ107+Construction!BX107)*(alch_plat+(Magic!AM106&gt;0)*alchemist_flame_bonus)</f>
        <v>35948.9</v>
      </c>
      <c r="AB106" s="69" t="n">
        <f aca="false">TblConstr[[#This Row],[Tot Farm]]*farm_food + TblConstr[[#This Row],[Tot Doc]]*dock_food</f>
        <v>3280</v>
      </c>
      <c r="AC106" s="69" t="n">
        <f aca="false">TblConstr[[#This Row],[Tot Ly]]*ly_lumber + TblConstr[[#This Row],[Tot Hav]]*fh_lumber</f>
        <v>1250</v>
      </c>
      <c r="AD106" s="69" t="n">
        <f aca="false">OFFSET(TblConstr[[#This Row],[Tot Tow]],1,0)*(tower_mana + tech_4_5*TblTech[[#This Row],[4-5]]) + OFFSET(TblConstr[[#This Row],[Tot WG]],1,0)*wg_mana_prod</f>
        <v>725</v>
      </c>
      <c r="AE106" s="69" t="n">
        <f aca="false">OFFSET(TblConstr[[#This Row],[Tot OM]],1,0)*om_ore+IF(race="Dwarf",ROUNDDOWN(TblMili[[#This Row],[Unit 2]]*0.4,0),)</f>
        <v>0</v>
      </c>
      <c r="AF106" s="69" t="n">
        <f aca="false">OFFSET(TblConstr[[#This Row],[Tot DM]],1,0)*dm_gems</f>
        <v>0</v>
      </c>
      <c r="AG106" s="132"/>
      <c r="AH106" s="149" t="n">
        <f aca="false">MIN(race_platinum_bonus + IF(TblMagic[[#This Row],[Active Alch Frost]]&gt;0,alch_frost_bonus,IF(Magic!AD106&gt;0,midas_bonus)) + TblImps[[#This Row],[Science]] - TblProd[[#This Row],[Guard]]*(0.02 + tech_5_7*TblTech[[#This Row],[5-7]]) + tech_1_5*TblTech[[#This Row],[1-5]] + tech_4_4*TblTech[[#This Row],[4-4]], 0.5)</f>
        <v>0.1</v>
      </c>
      <c r="AI10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6" s="149" t="n">
        <f aca="false">race_lumber_bonus+ IF(TblMagic[[#This Row],[Active Gaia''s Blessing]]&gt;0,gaias_blessing_lumber)+ tech_1_3*TblTech[[#This Row],[1-3]] + tech_1_6*TblTech[[#This Row],[1-6]] + tech_3_3*TblTech[[#This Row],[3-3]]</f>
        <v>-0.1</v>
      </c>
      <c r="AK106" s="149" t="n">
        <f aca="false">race_mana_bonus+ 0 + TblImps[[#This Row],[Towers]] + tech_1_2*TblTech[[#This Row],[1-2]] + tech_3_4*TblTech[[#This Row],[3-4]]</f>
        <v>0</v>
      </c>
      <c r="AL106" s="149" t="n">
        <f aca="false">race_ore_bonus + IF(TblMagic[[#This Row],[Active Miner''s Sight]]&gt;0,miners_sight_bonus,IF(TblMagic[[#This Row],[Active Mining Strength]]&gt;0,mining_strength_bonus)) +  tech_1_6*TblTech[[#This Row],[1-6]]</f>
        <v>0</v>
      </c>
      <c r="AM106" s="149" t="n">
        <f aca="false">race_gem_bonus+ tech_3_2*TblTech[[#This Row],[3-2]] + tech_4_3*TblTech[[#This Row],[4-3]] + tech_6_2*TblTech[[#This Row],[6-2]]</f>
        <v>0.15</v>
      </c>
      <c r="AN106" s="132"/>
      <c r="AO106" s="69" t="n">
        <f aca="false">TblProd[[#This Row],[Food]]*food_decay * (1 + tech_2_1*TblTech[[#This Row],[2-1]] + tech_2_8*TblTech[[#This Row],[2-8]])</f>
        <v>55.93</v>
      </c>
      <c r="AP106" s="69" t="n">
        <f aca="false">(1+race_food_consumption)*TblPop[[#This Row],[Total]]*food_per_person*(1+tech_1_10*TblTech[[#This Row],[1-10]]+tech_7_5*TblTech[[#This Row],[7-5]])</f>
        <v>3234.75</v>
      </c>
      <c r="AQ106" s="69" t="n">
        <f aca="false">TblProd[[#This Row],[Lumber]]*lumber_rot * (1 + tech_2_1*TblTech[[#This Row],[2-1]] + tech_2_8*TblTech[[#This Row],[2-8]] + tech_5_2*TblTech[[#This Row],[5-2]])</f>
        <v>396.73</v>
      </c>
      <c r="AR106" s="69" t="n">
        <f aca="false">TblProd[[#This Row],[Mana]]*mana_drain * (1 + tech_2_1*TblTech[[#This Row],[2-1]] + tech_2_8*TblTech[[#This Row],[2-8]])</f>
        <v>131.91</v>
      </c>
      <c r="AS106" s="146"/>
      <c r="AT106" s="69" t="n">
        <f aca="false">TblExplore[[#This Row],[Platinum (2)]]+TblConstr[[#This Row],[Total Plat Cost]]+TblMili[[#This Row],[Plat Cost]]+TblRezone[[#This Row],[Platinum cost]]+TblImps[[#This Row],[P1]]-TblProd[[#This Row],[Bank Plat]]</f>
        <v>0</v>
      </c>
      <c r="AU106" s="69" t="n">
        <f aca="false">TblConstr[[#This Row],[Total Lum Cost]]+TblImps[[#This Row],[L1]]-TblProd[[#This Row],[Bank Lumber]] + Military!$CL$25*TblMili[[#This Row],[Sec. rec. Cost]]</f>
        <v>0</v>
      </c>
      <c r="AV106" s="69" t="n">
        <f aca="false">TblMagic[[#This Row],[Mana cost]] + Military!$CL$26*TblMili[[#This Row],[Sec. rec. Cost]]</f>
        <v>0</v>
      </c>
      <c r="AW106" s="69" t="n">
        <f aca="false">Military!$CL$24*TblMili[[#This Row],[Sec. rec. Cost]]+TblImps[[#This Row],[O1]]-TblProd[[#This Row],[Bank Ore]]</f>
        <v>0</v>
      </c>
      <c r="AX106" s="69" t="n">
        <f aca="false">TblImps[[#This Row],[G1]]-TblProd[[#This Row],[Bank Gems]]</f>
        <v>0</v>
      </c>
      <c r="AY106" s="132"/>
      <c r="AZ106" s="33" t="n">
        <f aca="false">IF(TblProd[[#This Row],[Set Guard]]&lt;&gt;"",TblProd[[#This Row],[Set Guard]],OFFSET(TblProd[[#This Row],[Guard]],-1,0))</f>
        <v>0</v>
      </c>
      <c r="BA106" s="145"/>
      <c r="BB106" s="151" t="n">
        <f aca="false">TblProd[[#This Row],[Hour]]</f>
        <v>31</v>
      </c>
      <c r="BC106" s="152" t="n">
        <f aca="false">-TblProd[[#This Row],[Bank Lumber]] / 2 + -TblProd[[#This Row],[Bank Gems]] * 2 + -TblProd[[#This Row],[Bank Ore]] / 2</f>
        <v>0</v>
      </c>
      <c r="BD106" s="152"/>
      <c r="BE106" s="152"/>
      <c r="BF106" s="152"/>
      <c r="BG106" s="153" t="n">
        <f aca="false">TblProd[[#This Row],[Time]]</f>
        <v>45434</v>
      </c>
      <c r="BH10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69" t="n">
        <f aca="false">TblProd[[#This Row],[Platinum]]</f>
        <v>1266845</v>
      </c>
      <c r="BJ106" s="69" t="n">
        <f aca="false">TblProd[[#This Row],[Food]]</f>
        <v>5593</v>
      </c>
      <c r="BK106" s="69" t="n">
        <f aca="false">TblProd[[#This Row],[Lumber]]</f>
        <v>39673</v>
      </c>
      <c r="BL106" s="69" t="n">
        <f aca="false">TblProd[[#This Row],[Mana]]</f>
        <v>6595.5</v>
      </c>
      <c r="BM106" s="69" t="n">
        <f aca="false">TblProd[[#This Row],[Ore]]</f>
        <v>0</v>
      </c>
    </row>
    <row r="107" customFormat="false" ht="12.75" hidden="false" customHeight="false" outlineLevel="0" collapsed="false">
      <c r="A107" s="128" t="n">
        <v>32</v>
      </c>
      <c r="B107" s="144" t="n">
        <f aca="false">TblImps[[#This Row],[Time]]</f>
        <v>45434.0416666667</v>
      </c>
      <c r="C107" s="145"/>
      <c r="D107" s="146"/>
      <c r="E107" s="69" t="n">
        <f aca="false">TblConstr[[#This Row],[Land]]</f>
        <v>700</v>
      </c>
      <c r="F107" s="69" t="n">
        <f aca="false">TblPop[[#This Row],[Peasants]]</f>
        <v>7333</v>
      </c>
      <c r="G107" s="69" t="e">
        <f aca="false">TblMili[[#This Row],[Networth (2)]]</f>
        <v>#VALUE!</v>
      </c>
      <c r="H107" s="69" t="n">
        <f aca="false">OFFSET(TblProd[[#This Row],[Platinum]],-1,0)+OFFSET(TblProd[[#This Row],[Plat/hr]],-1,0) - TblProd[[#This Row],[Expenses Platinum]] + IF(TblProd[[#This Row],[Plat Bonus]],TblPop[[#This Row],[Peasants]]*4) + SUM(TblConstr[[#This Row],[Dest Hom]:[Dest Doc]])*TblConstr[[#This Row],[CPA Platinum -DB]]*tech_3_3_2*TblTech[[#This Row],[3-3]]</f>
        <v>1306388</v>
      </c>
      <c r="I107" s="69" t="n">
        <f aca="false">OFFSET(TblProd[[#This Row],[Food]],-1,0)+OFFSET(TblProd[[#This Row],[Food/hr]],-1,0)+ROUNDUP((TblConstr[[#This Row],[Farms]]*80+TblConstr[[#This Row],[Docks]]*35)*(1+OFFSET(TblProd[[#This Row],[Bonus Food/hr]],-1,0)),0)</f>
        <v>5664</v>
      </c>
      <c r="J107" s="69" t="n">
        <f aca="false">OFFSET(TblProd[[#This Row],[Lumber]],-1,0)+OFFSET(TblProd[[#This Row],[Lumber/hr]],-1,0) - TblProd[[#This Row],[Expenses Lumber]] + SUM(TblConstr[[#This Row],[Dest Hom]:[Dest Doc]])*TblConstr[[#This Row],[CPA Lumber -DB]]*tech_3_3_2*TblTech[[#This Row],[3-3]]</f>
        <v>40401</v>
      </c>
      <c r="K107" s="69" t="n">
        <f aca="false">OFFSET(TblProd[[#This Row],[Mana]],-1,0)+OFFSET(TblProd[[#This Row],[Mana/hr]],-1,0)- TblProd[[#This Row],[Expenses Mana]]</f>
        <v>7188.5</v>
      </c>
      <c r="L107" s="69" t="n">
        <f aca="false">OFFSET(TblProd[[#This Row],[Ore]],-1,0)+OFFSET(TblProd[[#This Row],[Ore/hr]],-1,0) -TblProd[[#This Row],[Expenses Ore]]</f>
        <v>0</v>
      </c>
      <c r="M107" s="69" t="n">
        <f aca="false">OFFSET(TblProd[[#This Row],[Gems]],-1,0)+OFFSET(TblProd[[#This Row],[Gems/hr]],-1,0) - TblProd[[#This Row],[Expenses Gems]]</f>
        <v>0</v>
      </c>
      <c r="N107" s="69" t="n">
        <f aca="false">OFFSET(TblProd[[#This Row],[Boats]],-1,0)+OFFSET(TblProd[[#This Row],[Boats/hr]],-1,0)</f>
        <v>65.4500000000001</v>
      </c>
      <c r="O107" s="69" t="n">
        <f aca="false">OFFSET(TblProd[[#This Row],[Prestige]],-1,0)</f>
        <v>250</v>
      </c>
      <c r="P10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7" s="69" t="n">
        <f aca="false">MAX(3750,_xlfn.CEILING.MATH(TblProd[[#This Row],[Land]]*2.5+OFFSET(TblTech[[#This Row],[Sum of tech]],-1,0)*150))</f>
        <v>3750</v>
      </c>
      <c r="R107" s="132"/>
      <c r="S107" s="69" t="n">
        <f aca="false">ROUNDDOWN(TblProd[[#This Row],[Raw Plat/hr]]*(1+TblProd[[#This Row],[Bonus Plat/hr]]),0)</f>
        <v>39324</v>
      </c>
      <c r="T107" s="69" t="n">
        <f aca="false">ROUND(TblProd[[#This Row],[Raw Food/hr]]*(1+TblProd[[#This Row],[Bonus Food/hr]])-TblProd[[#This Row],[Food decay]]-TblProd[[#This Row],[Food eaten]],0)</f>
        <v>71</v>
      </c>
      <c r="U107" s="69" t="n">
        <f aca="false">ROUND(TblProd[[#This Row],[Raw Lumber/hr]]*(1+TblProd[[#This Row],[Bonus Lumber/hr]])-TblProd[[#This Row],[Lumber rot]],0)</f>
        <v>721</v>
      </c>
      <c r="V107" s="69" t="n">
        <f aca="false">ROUND(TblProd[[#This Row],[Raw Mana/hr]]*(1+TblProd[[#This Row],[Bonus Mana/hr]])-TblProd[[#This Row],[Mana drain]],0)</f>
        <v>581</v>
      </c>
      <c r="W107" s="69" t="n">
        <f aca="false">ROUNDDOWN(TblProd[[#This Row],[Raw Ore/hr]]*(1+TblProd[[#This Row],[Bonux Ore/hr]]),0)</f>
        <v>0</v>
      </c>
      <c r="X107" s="69" t="n">
        <f aca="false">ROUNDDOWN(TblProd[[#This Row],[Raw Gems/hr]]*(1+TblProd[[#This Row],[Bonus Gems/hr]]),0)</f>
        <v>0</v>
      </c>
      <c r="Y107" s="148" t="n">
        <f aca="false">OFFSET(TblConstr[[#This Row],[Tot Doc]],1,0)*dock_boats_hr * (1 + tech_4_1*TblTech[[#This Row],[4-1]])</f>
        <v>1.2</v>
      </c>
      <c r="Z107" s="146"/>
      <c r="AA107" s="69" t="n">
        <f aca="false">TblPop[[#This Row],[Peasants]]*tax*TblPop[[#This Row],[Employment]] + (Construction!AZ108+Construction!BX108)*(alch_plat+(Magic!AM107&gt;0)*alchemist_flame_bonus)</f>
        <v>35749.1</v>
      </c>
      <c r="AB107" s="69" t="n">
        <f aca="false">TblConstr[[#This Row],[Tot Farm]]*farm_food + TblConstr[[#This Row],[Tot Doc]]*dock_food</f>
        <v>3280</v>
      </c>
      <c r="AC107" s="69" t="n">
        <f aca="false">TblConstr[[#This Row],[Tot Ly]]*ly_lumber + TblConstr[[#This Row],[Tot Hav]]*fh_lumber</f>
        <v>1250</v>
      </c>
      <c r="AD107" s="69" t="n">
        <f aca="false">OFFSET(TblConstr[[#This Row],[Tot Tow]],1,0)*(tower_mana + tech_4_5*TblTech[[#This Row],[4-5]]) + OFFSET(TblConstr[[#This Row],[Tot WG]],1,0)*wg_mana_prod</f>
        <v>725</v>
      </c>
      <c r="AE107" s="69" t="n">
        <f aca="false">OFFSET(TblConstr[[#This Row],[Tot OM]],1,0)*om_ore+IF(race="Dwarf",ROUNDDOWN(TblMili[[#This Row],[Unit 2]]*0.4,0),)</f>
        <v>0</v>
      </c>
      <c r="AF107" s="69" t="n">
        <f aca="false">OFFSET(TblConstr[[#This Row],[Tot DM]],1,0)*dm_gems</f>
        <v>0</v>
      </c>
      <c r="AG107" s="132"/>
      <c r="AH107" s="149" t="n">
        <f aca="false">MIN(race_platinum_bonus + IF(TblMagic[[#This Row],[Active Alch Frost]]&gt;0,alch_frost_bonus,IF(Magic!AD107&gt;0,midas_bonus)) + TblImps[[#This Row],[Science]] - TblProd[[#This Row],[Guard]]*(0.02 + tech_5_7*TblTech[[#This Row],[5-7]]) + tech_1_5*TblTech[[#This Row],[1-5]] + tech_4_4*TblTech[[#This Row],[4-4]], 0.5)</f>
        <v>0.1</v>
      </c>
      <c r="AI10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7" s="149" t="n">
        <f aca="false">race_lumber_bonus+ IF(TblMagic[[#This Row],[Active Gaia''s Blessing]]&gt;0,gaias_blessing_lumber)+ tech_1_3*TblTech[[#This Row],[1-3]] + tech_1_6*TblTech[[#This Row],[1-6]] + tech_3_3*TblTech[[#This Row],[3-3]]</f>
        <v>-0.1</v>
      </c>
      <c r="AK107" s="149" t="n">
        <f aca="false">race_mana_bonus+ 0 + TblImps[[#This Row],[Towers]] + tech_1_2*TblTech[[#This Row],[1-2]] + tech_3_4*TblTech[[#This Row],[3-4]]</f>
        <v>0</v>
      </c>
      <c r="AL107" s="149" t="n">
        <f aca="false">race_ore_bonus + IF(TblMagic[[#This Row],[Active Miner''s Sight]]&gt;0,miners_sight_bonus,IF(TblMagic[[#This Row],[Active Mining Strength]]&gt;0,mining_strength_bonus)) +  tech_1_6*TblTech[[#This Row],[1-6]]</f>
        <v>0</v>
      </c>
      <c r="AM107" s="149" t="n">
        <f aca="false">race_gem_bonus+ tech_3_2*TblTech[[#This Row],[3-2]] + tech_4_3*TblTech[[#This Row],[4-3]] + tech_6_2*TblTech[[#This Row],[6-2]]</f>
        <v>0.15</v>
      </c>
      <c r="AN107" s="132"/>
      <c r="AO107" s="69" t="n">
        <f aca="false">TblProd[[#This Row],[Food]]*food_decay * (1 + tech_2_1*TblTech[[#This Row],[2-1]] + tech_2_8*TblTech[[#This Row],[2-8]])</f>
        <v>56.64</v>
      </c>
      <c r="AP107" s="69" t="n">
        <f aca="false">(1+race_food_consumption)*TblPop[[#This Row],[Total]]*food_per_person*(1+tech_1_10*TblTech[[#This Row],[1-10]]+tech_7_5*TblTech[[#This Row],[7-5]])</f>
        <v>3234.75</v>
      </c>
      <c r="AQ107" s="69" t="n">
        <f aca="false">TblProd[[#This Row],[Lumber]]*lumber_rot * (1 + tech_2_1*TblTech[[#This Row],[2-1]] + tech_2_8*TblTech[[#This Row],[2-8]] + tech_5_2*TblTech[[#This Row],[5-2]])</f>
        <v>404.01</v>
      </c>
      <c r="AR107" s="69" t="n">
        <f aca="false">TblProd[[#This Row],[Mana]]*mana_drain * (1 + tech_2_1*TblTech[[#This Row],[2-1]] + tech_2_8*TblTech[[#This Row],[2-8]])</f>
        <v>143.77</v>
      </c>
      <c r="AS107" s="146"/>
      <c r="AT107" s="69" t="n">
        <f aca="false">TblExplore[[#This Row],[Platinum (2)]]+TblConstr[[#This Row],[Total Plat Cost]]+TblMili[[#This Row],[Plat Cost]]+TblRezone[[#This Row],[Platinum cost]]+TblImps[[#This Row],[P1]]-TblProd[[#This Row],[Bank Plat]]</f>
        <v>0</v>
      </c>
      <c r="AU107" s="69" t="n">
        <f aca="false">TblConstr[[#This Row],[Total Lum Cost]]+TblImps[[#This Row],[L1]]-TblProd[[#This Row],[Bank Lumber]] + Military!$CL$25*TblMili[[#This Row],[Sec. rec. Cost]]</f>
        <v>0</v>
      </c>
      <c r="AV107" s="69" t="n">
        <f aca="false">TblMagic[[#This Row],[Mana cost]] + Military!$CL$26*TblMili[[#This Row],[Sec. rec. Cost]]</f>
        <v>0</v>
      </c>
      <c r="AW107" s="69" t="n">
        <f aca="false">Military!$CL$24*TblMili[[#This Row],[Sec. rec. Cost]]+TblImps[[#This Row],[O1]]-TblProd[[#This Row],[Bank Ore]]</f>
        <v>0</v>
      </c>
      <c r="AX107" s="69" t="n">
        <f aca="false">TblImps[[#This Row],[G1]]-TblProd[[#This Row],[Bank Gems]]</f>
        <v>0</v>
      </c>
      <c r="AY107" s="132"/>
      <c r="AZ107" s="33" t="n">
        <f aca="false">IF(TblProd[[#This Row],[Set Guard]]&lt;&gt;"",TblProd[[#This Row],[Set Guard]],OFFSET(TblProd[[#This Row],[Guard]],-1,0))</f>
        <v>0</v>
      </c>
      <c r="BA107" s="145"/>
      <c r="BB107" s="151" t="n">
        <f aca="false">TblProd[[#This Row],[Hour]]</f>
        <v>32</v>
      </c>
      <c r="BC107" s="152" t="n">
        <f aca="false">-TblProd[[#This Row],[Bank Lumber]] / 2 + -TblProd[[#This Row],[Bank Gems]] * 2 + -TblProd[[#This Row],[Bank Ore]] / 2</f>
        <v>0</v>
      </c>
      <c r="BD107" s="152"/>
      <c r="BE107" s="152"/>
      <c r="BF107" s="152"/>
      <c r="BG107" s="153" t="n">
        <f aca="false">TblProd[[#This Row],[Time]]</f>
        <v>45434.0416666667</v>
      </c>
      <c r="BH10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69" t="n">
        <f aca="false">TblProd[[#This Row],[Platinum]]</f>
        <v>1306388</v>
      </c>
      <c r="BJ107" s="69" t="n">
        <f aca="false">TblProd[[#This Row],[Food]]</f>
        <v>5664</v>
      </c>
      <c r="BK107" s="69" t="n">
        <f aca="false">TblProd[[#This Row],[Lumber]]</f>
        <v>40401</v>
      </c>
      <c r="BL107" s="69" t="n">
        <f aca="false">TblProd[[#This Row],[Mana]]</f>
        <v>7188.5</v>
      </c>
      <c r="BM107" s="69" t="n">
        <f aca="false">TblProd[[#This Row],[Ore]]</f>
        <v>0</v>
      </c>
    </row>
    <row r="108" customFormat="false" ht="12.75" hidden="false" customHeight="false" outlineLevel="0" collapsed="false">
      <c r="A108" s="128" t="n">
        <v>33</v>
      </c>
      <c r="B108" s="144" t="n">
        <f aca="false">TblImps[[#This Row],[Time]]</f>
        <v>45434.0833333333</v>
      </c>
      <c r="C108" s="145"/>
      <c r="D108" s="146"/>
      <c r="E108" s="69" t="n">
        <f aca="false">TblConstr[[#This Row],[Land]]</f>
        <v>700</v>
      </c>
      <c r="F108" s="69" t="n">
        <f aca="false">TblPop[[#This Row],[Peasants]]</f>
        <v>7260</v>
      </c>
      <c r="G108" s="69" t="e">
        <f aca="false">TblMili[[#This Row],[Networth (2)]]</f>
        <v>#VALUE!</v>
      </c>
      <c r="H108" s="69" t="n">
        <f aca="false">OFFSET(TblProd[[#This Row],[Platinum]],-1,0)+OFFSET(TblProd[[#This Row],[Plat/hr]],-1,0) - TblProd[[#This Row],[Expenses Platinum]] + IF(TblProd[[#This Row],[Plat Bonus]],TblPop[[#This Row],[Peasants]]*4) + SUM(TblConstr[[#This Row],[Dest Hom]:[Dest Doc]])*TblConstr[[#This Row],[CPA Platinum -DB]]*tech_3_3_2*TblTech[[#This Row],[3-3]]</f>
        <v>1345712</v>
      </c>
      <c r="I108" s="69" t="n">
        <f aca="false">OFFSET(TblProd[[#This Row],[Food]],-1,0)+OFFSET(TblProd[[#This Row],[Food/hr]],-1,0)+ROUNDUP((TblConstr[[#This Row],[Farms]]*80+TblConstr[[#This Row],[Docks]]*35)*(1+OFFSET(TblProd[[#This Row],[Bonus Food/hr]],-1,0)),0)</f>
        <v>5735</v>
      </c>
      <c r="J108" s="69" t="n">
        <f aca="false">OFFSET(TblProd[[#This Row],[Lumber]],-1,0)+OFFSET(TblProd[[#This Row],[Lumber/hr]],-1,0) - TblProd[[#This Row],[Expenses Lumber]] + SUM(TblConstr[[#This Row],[Dest Hom]:[Dest Doc]])*TblConstr[[#This Row],[CPA Lumber -DB]]*tech_3_3_2*TblTech[[#This Row],[3-3]]</f>
        <v>41122</v>
      </c>
      <c r="K108" s="69" t="n">
        <f aca="false">OFFSET(TblProd[[#This Row],[Mana]],-1,0)+OFFSET(TblProd[[#This Row],[Mana/hr]],-1,0)- TblProd[[#This Row],[Expenses Mana]]</f>
        <v>7769.5</v>
      </c>
      <c r="L108" s="69" t="n">
        <f aca="false">OFFSET(TblProd[[#This Row],[Ore]],-1,0)+OFFSET(TblProd[[#This Row],[Ore/hr]],-1,0) -TblProd[[#This Row],[Expenses Ore]]</f>
        <v>0</v>
      </c>
      <c r="M108" s="69" t="n">
        <f aca="false">OFFSET(TblProd[[#This Row],[Gems]],-1,0)+OFFSET(TblProd[[#This Row],[Gems/hr]],-1,0) - TblProd[[#This Row],[Expenses Gems]]</f>
        <v>0</v>
      </c>
      <c r="N108" s="69" t="n">
        <f aca="false">OFFSET(TblProd[[#This Row],[Boats]],-1,0)+OFFSET(TblProd[[#This Row],[Boats/hr]],-1,0)</f>
        <v>66.6500000000001</v>
      </c>
      <c r="O108" s="69" t="n">
        <f aca="false">OFFSET(TblProd[[#This Row],[Prestige]],-1,0)</f>
        <v>250</v>
      </c>
      <c r="P10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8" s="69" t="n">
        <f aca="false">MAX(3750,_xlfn.CEILING.MATH(TblProd[[#This Row],[Land]]*2.5+OFFSET(TblTech[[#This Row],[Sum of tech]],-1,0)*150))</f>
        <v>3750</v>
      </c>
      <c r="R108" s="132"/>
      <c r="S108" s="69" t="n">
        <f aca="false">ROUNDDOWN(TblProd[[#This Row],[Raw Plat/hr]]*(1+TblProd[[#This Row],[Bonus Plat/hr]]),0)</f>
        <v>39107</v>
      </c>
      <c r="T108" s="69" t="n">
        <f aca="false">ROUND(TblProd[[#This Row],[Raw Food/hr]]*(1+TblProd[[#This Row],[Bonus Food/hr]])-TblProd[[#This Row],[Food decay]]-TblProd[[#This Row],[Food eaten]],0)</f>
        <v>70</v>
      </c>
      <c r="U108" s="69" t="n">
        <f aca="false">ROUND(TblProd[[#This Row],[Raw Lumber/hr]]*(1+TblProd[[#This Row],[Bonus Lumber/hr]])-TblProd[[#This Row],[Lumber rot]],0)</f>
        <v>714</v>
      </c>
      <c r="V108" s="69" t="n">
        <f aca="false">ROUND(TblProd[[#This Row],[Raw Mana/hr]]*(1+TblProd[[#This Row],[Bonus Mana/hr]])-TblProd[[#This Row],[Mana drain]],0)</f>
        <v>570</v>
      </c>
      <c r="W108" s="69" t="n">
        <f aca="false">ROUNDDOWN(TblProd[[#This Row],[Raw Ore/hr]]*(1+TblProd[[#This Row],[Bonux Ore/hr]]),0)</f>
        <v>0</v>
      </c>
      <c r="X108" s="69" t="n">
        <f aca="false">ROUNDDOWN(TblProd[[#This Row],[Raw Gems/hr]]*(1+TblProd[[#This Row],[Bonus Gems/hr]]),0)</f>
        <v>0</v>
      </c>
      <c r="Y108" s="148" t="n">
        <f aca="false">OFFSET(TblConstr[[#This Row],[Tot Doc]],1,0)*dock_boats_hr * (1 + tech_4_1*TblTech[[#This Row],[4-1]])</f>
        <v>1.2</v>
      </c>
      <c r="Z108" s="146"/>
      <c r="AA108" s="69" t="n">
        <f aca="false">TblPop[[#This Row],[Peasants]]*tax*TblPop[[#This Row],[Employment]] + (Construction!AZ109+Construction!BX109)*(alch_plat+(Magic!AM108&gt;0)*alchemist_flame_bonus)</f>
        <v>35552</v>
      </c>
      <c r="AB108" s="69" t="n">
        <f aca="false">TblConstr[[#This Row],[Tot Farm]]*farm_food + TblConstr[[#This Row],[Tot Doc]]*dock_food</f>
        <v>3280</v>
      </c>
      <c r="AC108" s="69" t="n">
        <f aca="false">TblConstr[[#This Row],[Tot Ly]]*ly_lumber + TblConstr[[#This Row],[Tot Hav]]*fh_lumber</f>
        <v>1250</v>
      </c>
      <c r="AD108" s="69" t="n">
        <f aca="false">OFFSET(TblConstr[[#This Row],[Tot Tow]],1,0)*(tower_mana + tech_4_5*TblTech[[#This Row],[4-5]]) + OFFSET(TblConstr[[#This Row],[Tot WG]],1,0)*wg_mana_prod</f>
        <v>725</v>
      </c>
      <c r="AE108" s="69" t="n">
        <f aca="false">OFFSET(TblConstr[[#This Row],[Tot OM]],1,0)*om_ore+IF(race="Dwarf",ROUNDDOWN(TblMili[[#This Row],[Unit 2]]*0.4,0),)</f>
        <v>0</v>
      </c>
      <c r="AF108" s="69" t="n">
        <f aca="false">OFFSET(TblConstr[[#This Row],[Tot DM]],1,0)*dm_gems</f>
        <v>0</v>
      </c>
      <c r="AG108" s="132"/>
      <c r="AH108" s="149" t="n">
        <f aca="false">MIN(race_platinum_bonus + IF(TblMagic[[#This Row],[Active Alch Frost]]&gt;0,alch_frost_bonus,IF(Magic!AD108&gt;0,midas_bonus)) + TblImps[[#This Row],[Science]] - TblProd[[#This Row],[Guard]]*(0.02 + tech_5_7*TblTech[[#This Row],[5-7]]) + tech_1_5*TblTech[[#This Row],[1-5]] + tech_4_4*TblTech[[#This Row],[4-4]], 0.5)</f>
        <v>0.1</v>
      </c>
      <c r="AI10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8" s="149" t="n">
        <f aca="false">race_lumber_bonus+ IF(TblMagic[[#This Row],[Active Gaia''s Blessing]]&gt;0,gaias_blessing_lumber)+ tech_1_3*TblTech[[#This Row],[1-3]] + tech_1_6*TblTech[[#This Row],[1-6]] + tech_3_3*TblTech[[#This Row],[3-3]]</f>
        <v>-0.1</v>
      </c>
      <c r="AK108" s="149" t="n">
        <f aca="false">race_mana_bonus+ 0 + TblImps[[#This Row],[Towers]] + tech_1_2*TblTech[[#This Row],[1-2]] + tech_3_4*TblTech[[#This Row],[3-4]]</f>
        <v>0</v>
      </c>
      <c r="AL108" s="149" t="n">
        <f aca="false">race_ore_bonus + IF(TblMagic[[#This Row],[Active Miner''s Sight]]&gt;0,miners_sight_bonus,IF(TblMagic[[#This Row],[Active Mining Strength]]&gt;0,mining_strength_bonus)) +  tech_1_6*TblTech[[#This Row],[1-6]]</f>
        <v>0</v>
      </c>
      <c r="AM108" s="149" t="n">
        <f aca="false">race_gem_bonus+ tech_3_2*TblTech[[#This Row],[3-2]] + tech_4_3*TblTech[[#This Row],[4-3]] + tech_6_2*TblTech[[#This Row],[6-2]]</f>
        <v>0.15</v>
      </c>
      <c r="AN108" s="132"/>
      <c r="AO108" s="69" t="n">
        <f aca="false">TblProd[[#This Row],[Food]]*food_decay * (1 + tech_2_1*TblTech[[#This Row],[2-1]] + tech_2_8*TblTech[[#This Row],[2-8]])</f>
        <v>57.35</v>
      </c>
      <c r="AP108" s="69" t="n">
        <f aca="false">(1+race_food_consumption)*TblPop[[#This Row],[Total]]*food_per_person*(1+tech_1_10*TblTech[[#This Row],[1-10]]+tech_7_5*TblTech[[#This Row],[7-5]])</f>
        <v>3234.75</v>
      </c>
      <c r="AQ108" s="69" t="n">
        <f aca="false">TblProd[[#This Row],[Lumber]]*lumber_rot * (1 + tech_2_1*TblTech[[#This Row],[2-1]] + tech_2_8*TblTech[[#This Row],[2-8]] + tech_5_2*TblTech[[#This Row],[5-2]])</f>
        <v>411.22</v>
      </c>
      <c r="AR108" s="69" t="n">
        <f aca="false">TblProd[[#This Row],[Mana]]*mana_drain * (1 + tech_2_1*TblTech[[#This Row],[2-1]] + tech_2_8*TblTech[[#This Row],[2-8]])</f>
        <v>155.39</v>
      </c>
      <c r="AS108" s="146"/>
      <c r="AT108" s="69" t="n">
        <f aca="false">TblExplore[[#This Row],[Platinum (2)]]+TblConstr[[#This Row],[Total Plat Cost]]+TblMili[[#This Row],[Plat Cost]]+TblRezone[[#This Row],[Platinum cost]]+TblImps[[#This Row],[P1]]-TblProd[[#This Row],[Bank Plat]]</f>
        <v>0</v>
      </c>
      <c r="AU108" s="69" t="n">
        <f aca="false">TblConstr[[#This Row],[Total Lum Cost]]+TblImps[[#This Row],[L1]]-TblProd[[#This Row],[Bank Lumber]] + Military!$CL$25*TblMili[[#This Row],[Sec. rec. Cost]]</f>
        <v>0</v>
      </c>
      <c r="AV108" s="69" t="n">
        <f aca="false">TblMagic[[#This Row],[Mana cost]] + Military!$CL$26*TblMili[[#This Row],[Sec. rec. Cost]]</f>
        <v>0</v>
      </c>
      <c r="AW108" s="69" t="n">
        <f aca="false">Military!$CL$24*TblMili[[#This Row],[Sec. rec. Cost]]+TblImps[[#This Row],[O1]]-TblProd[[#This Row],[Bank Ore]]</f>
        <v>0</v>
      </c>
      <c r="AX108" s="69" t="n">
        <f aca="false">TblImps[[#This Row],[G1]]-TblProd[[#This Row],[Bank Gems]]</f>
        <v>0</v>
      </c>
      <c r="AY108" s="132"/>
      <c r="AZ108" s="33" t="n">
        <f aca="false">IF(TblProd[[#This Row],[Set Guard]]&lt;&gt;"",TblProd[[#This Row],[Set Guard]],OFFSET(TblProd[[#This Row],[Guard]],-1,0))</f>
        <v>0</v>
      </c>
      <c r="BA108" s="145"/>
      <c r="BB108" s="151" t="n">
        <f aca="false">TblProd[[#This Row],[Hour]]</f>
        <v>33</v>
      </c>
      <c r="BC108" s="152" t="n">
        <f aca="false">-TblProd[[#This Row],[Bank Lumber]] / 2 + -TblProd[[#This Row],[Bank Gems]] * 2 + -TblProd[[#This Row],[Bank Ore]] / 2</f>
        <v>0</v>
      </c>
      <c r="BD108" s="152"/>
      <c r="BE108" s="152"/>
      <c r="BF108" s="152"/>
      <c r="BG108" s="153" t="n">
        <f aca="false">TblProd[[#This Row],[Time]]</f>
        <v>45434.0833333333</v>
      </c>
      <c r="BH10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69" t="n">
        <f aca="false">TblProd[[#This Row],[Platinum]]</f>
        <v>1345712</v>
      </c>
      <c r="BJ108" s="69" t="n">
        <f aca="false">TblProd[[#This Row],[Food]]</f>
        <v>5735</v>
      </c>
      <c r="BK108" s="69" t="n">
        <f aca="false">TblProd[[#This Row],[Lumber]]</f>
        <v>41122</v>
      </c>
      <c r="BL108" s="69" t="n">
        <f aca="false">TblProd[[#This Row],[Mana]]</f>
        <v>7769.5</v>
      </c>
      <c r="BM108" s="69" t="n">
        <f aca="false">TblProd[[#This Row],[Ore]]</f>
        <v>0</v>
      </c>
    </row>
    <row r="109" customFormat="false" ht="12.75" hidden="false" customHeight="false" outlineLevel="0" collapsed="false">
      <c r="A109" s="128" t="n">
        <v>34</v>
      </c>
      <c r="B109" s="144" t="n">
        <f aca="false">TblImps[[#This Row],[Time]]</f>
        <v>45434.125</v>
      </c>
      <c r="C109" s="145"/>
      <c r="D109" s="146"/>
      <c r="E109" s="69" t="n">
        <f aca="false">TblConstr[[#This Row],[Land]]</f>
        <v>700</v>
      </c>
      <c r="F109" s="69" t="n">
        <f aca="false">TblPop[[#This Row],[Peasants]]</f>
        <v>7187</v>
      </c>
      <c r="G109" s="69" t="e">
        <f aca="false">TblMili[[#This Row],[Networth (2)]]</f>
        <v>#VALUE!</v>
      </c>
      <c r="H109" s="69" t="n">
        <f aca="false">OFFSET(TblProd[[#This Row],[Platinum]],-1,0)+OFFSET(TblProd[[#This Row],[Plat/hr]],-1,0) - TblProd[[#This Row],[Expenses Platinum]] + IF(TblProd[[#This Row],[Plat Bonus]],TblPop[[#This Row],[Peasants]]*4) + SUM(TblConstr[[#This Row],[Dest Hom]:[Dest Doc]])*TblConstr[[#This Row],[CPA Platinum -DB]]*tech_3_3_2*TblTech[[#This Row],[3-3]]</f>
        <v>1384819</v>
      </c>
      <c r="I109" s="69" t="n">
        <f aca="false">OFFSET(TblProd[[#This Row],[Food]],-1,0)+OFFSET(TblProd[[#This Row],[Food/hr]],-1,0)+ROUNDUP((TblConstr[[#This Row],[Farms]]*80+TblConstr[[#This Row],[Docks]]*35)*(1+OFFSET(TblProd[[#This Row],[Bonus Food/hr]],-1,0)),0)</f>
        <v>5805</v>
      </c>
      <c r="J109" s="69" t="n">
        <f aca="false">OFFSET(TblProd[[#This Row],[Lumber]],-1,0)+OFFSET(TblProd[[#This Row],[Lumber/hr]],-1,0) - TblProd[[#This Row],[Expenses Lumber]] + SUM(TblConstr[[#This Row],[Dest Hom]:[Dest Doc]])*TblConstr[[#This Row],[CPA Lumber -DB]]*tech_3_3_2*TblTech[[#This Row],[3-3]]</f>
        <v>41836</v>
      </c>
      <c r="K109" s="69" t="n">
        <f aca="false">OFFSET(TblProd[[#This Row],[Mana]],-1,0)+OFFSET(TblProd[[#This Row],[Mana/hr]],-1,0)- TblProd[[#This Row],[Expenses Mana]]</f>
        <v>8339.5</v>
      </c>
      <c r="L109" s="69" t="n">
        <f aca="false">OFFSET(TblProd[[#This Row],[Ore]],-1,0)+OFFSET(TblProd[[#This Row],[Ore/hr]],-1,0) -TblProd[[#This Row],[Expenses Ore]]</f>
        <v>0</v>
      </c>
      <c r="M109" s="69" t="n">
        <f aca="false">OFFSET(TblProd[[#This Row],[Gems]],-1,0)+OFFSET(TblProd[[#This Row],[Gems/hr]],-1,0) - TblProd[[#This Row],[Expenses Gems]]</f>
        <v>0</v>
      </c>
      <c r="N109" s="69" t="n">
        <f aca="false">OFFSET(TblProd[[#This Row],[Boats]],-1,0)+OFFSET(TblProd[[#This Row],[Boats/hr]],-1,0)</f>
        <v>67.8500000000001</v>
      </c>
      <c r="O109" s="69" t="n">
        <f aca="false">OFFSET(TblProd[[#This Row],[Prestige]],-1,0)</f>
        <v>250</v>
      </c>
      <c r="P10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9" s="69" t="n">
        <f aca="false">MAX(3750,_xlfn.CEILING.MATH(TblProd[[#This Row],[Land]]*2.5+OFFSET(TblTech[[#This Row],[Sum of tech]],-1,0)*150))</f>
        <v>3750</v>
      </c>
      <c r="R109" s="132"/>
      <c r="S109" s="69" t="n">
        <f aca="false">ROUNDDOWN(TblProd[[#This Row],[Raw Plat/hr]]*(1+TblProd[[#This Row],[Bonus Plat/hr]]),0)</f>
        <v>38890</v>
      </c>
      <c r="T109" s="69" t="n">
        <f aca="false">ROUND(TblProd[[#This Row],[Raw Food/hr]]*(1+TblProd[[#This Row],[Bonus Food/hr]])-TblProd[[#This Row],[Food decay]]-TblProd[[#This Row],[Food eaten]],0)</f>
        <v>69</v>
      </c>
      <c r="U109" s="69" t="n">
        <f aca="false">ROUND(TblProd[[#This Row],[Raw Lumber/hr]]*(1+TblProd[[#This Row],[Bonus Lumber/hr]])-TblProd[[#This Row],[Lumber rot]],0)</f>
        <v>707</v>
      </c>
      <c r="V109" s="69" t="n">
        <f aca="false">ROUND(TblProd[[#This Row],[Raw Mana/hr]]*(1+TblProd[[#This Row],[Bonus Mana/hr]])-TblProd[[#This Row],[Mana drain]],0)</f>
        <v>558</v>
      </c>
      <c r="W109" s="69" t="n">
        <f aca="false">ROUNDDOWN(TblProd[[#This Row],[Raw Ore/hr]]*(1+TblProd[[#This Row],[Bonux Ore/hr]]),0)</f>
        <v>0</v>
      </c>
      <c r="X109" s="69" t="n">
        <f aca="false">ROUNDDOWN(TblProd[[#This Row],[Raw Gems/hr]]*(1+TblProd[[#This Row],[Bonus Gems/hr]]),0)</f>
        <v>0</v>
      </c>
      <c r="Y109" s="148" t="n">
        <f aca="false">OFFSET(TblConstr[[#This Row],[Tot Doc]],1,0)*dock_boats_hr * (1 + tech_4_1*TblTech[[#This Row],[4-1]])</f>
        <v>1.2</v>
      </c>
      <c r="Z109" s="146"/>
      <c r="AA109" s="69" t="n">
        <f aca="false">TblPop[[#This Row],[Peasants]]*tax*TblPop[[#This Row],[Employment]] + (Construction!AZ110+Construction!BX110)*(alch_plat+(Magic!AM109&gt;0)*alchemist_flame_bonus)</f>
        <v>35354.9</v>
      </c>
      <c r="AB109" s="69" t="n">
        <f aca="false">TblConstr[[#This Row],[Tot Farm]]*farm_food + TblConstr[[#This Row],[Tot Doc]]*dock_food</f>
        <v>3280</v>
      </c>
      <c r="AC109" s="69" t="n">
        <f aca="false">TblConstr[[#This Row],[Tot Ly]]*ly_lumber + TblConstr[[#This Row],[Tot Hav]]*fh_lumber</f>
        <v>1250</v>
      </c>
      <c r="AD109" s="69" t="n">
        <f aca="false">OFFSET(TblConstr[[#This Row],[Tot Tow]],1,0)*(tower_mana + tech_4_5*TblTech[[#This Row],[4-5]]) + OFFSET(TblConstr[[#This Row],[Tot WG]],1,0)*wg_mana_prod</f>
        <v>725</v>
      </c>
      <c r="AE109" s="69" t="n">
        <f aca="false">OFFSET(TblConstr[[#This Row],[Tot OM]],1,0)*om_ore+IF(race="Dwarf",ROUNDDOWN(TblMili[[#This Row],[Unit 2]]*0.4,0),)</f>
        <v>0</v>
      </c>
      <c r="AF109" s="69" t="n">
        <f aca="false">OFFSET(TblConstr[[#This Row],[Tot DM]],1,0)*dm_gems</f>
        <v>0</v>
      </c>
      <c r="AG109" s="132"/>
      <c r="AH109" s="149" t="n">
        <f aca="false">MIN(race_platinum_bonus + IF(TblMagic[[#This Row],[Active Alch Frost]]&gt;0,alch_frost_bonus,IF(Magic!AD109&gt;0,midas_bonus)) + TblImps[[#This Row],[Science]] - TblProd[[#This Row],[Guard]]*(0.02 + tech_5_7*TblTech[[#This Row],[5-7]]) + tech_1_5*TblTech[[#This Row],[1-5]] + tech_4_4*TblTech[[#This Row],[4-4]], 0.5)</f>
        <v>0.1</v>
      </c>
      <c r="AI10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9" s="149" t="n">
        <f aca="false">race_lumber_bonus+ IF(TblMagic[[#This Row],[Active Gaia''s Blessing]]&gt;0,gaias_blessing_lumber)+ tech_1_3*TblTech[[#This Row],[1-3]] + tech_1_6*TblTech[[#This Row],[1-6]] + tech_3_3*TblTech[[#This Row],[3-3]]</f>
        <v>-0.1</v>
      </c>
      <c r="AK109" s="149" t="n">
        <f aca="false">race_mana_bonus+ 0 + TblImps[[#This Row],[Towers]] + tech_1_2*TblTech[[#This Row],[1-2]] + tech_3_4*TblTech[[#This Row],[3-4]]</f>
        <v>0</v>
      </c>
      <c r="AL109" s="149" t="n">
        <f aca="false">race_ore_bonus + IF(TblMagic[[#This Row],[Active Miner''s Sight]]&gt;0,miners_sight_bonus,IF(TblMagic[[#This Row],[Active Mining Strength]]&gt;0,mining_strength_bonus)) +  tech_1_6*TblTech[[#This Row],[1-6]]</f>
        <v>0</v>
      </c>
      <c r="AM109" s="149" t="n">
        <f aca="false">race_gem_bonus+ tech_3_2*TblTech[[#This Row],[3-2]] + tech_4_3*TblTech[[#This Row],[4-3]] + tech_6_2*TblTech[[#This Row],[6-2]]</f>
        <v>0.15</v>
      </c>
      <c r="AN109" s="132"/>
      <c r="AO109" s="69" t="n">
        <f aca="false">TblProd[[#This Row],[Food]]*food_decay * (1 + tech_2_1*TblTech[[#This Row],[2-1]] + tech_2_8*TblTech[[#This Row],[2-8]])</f>
        <v>58.05</v>
      </c>
      <c r="AP109" s="69" t="n">
        <f aca="false">(1+race_food_consumption)*TblPop[[#This Row],[Total]]*food_per_person*(1+tech_1_10*TblTech[[#This Row],[1-10]]+tech_7_5*TblTech[[#This Row],[7-5]])</f>
        <v>3234.75</v>
      </c>
      <c r="AQ109" s="69" t="n">
        <f aca="false">TblProd[[#This Row],[Lumber]]*lumber_rot * (1 + tech_2_1*TblTech[[#This Row],[2-1]] + tech_2_8*TblTech[[#This Row],[2-8]] + tech_5_2*TblTech[[#This Row],[5-2]])</f>
        <v>418.36</v>
      </c>
      <c r="AR109" s="69" t="n">
        <f aca="false">TblProd[[#This Row],[Mana]]*mana_drain * (1 + tech_2_1*TblTech[[#This Row],[2-1]] + tech_2_8*TblTech[[#This Row],[2-8]])</f>
        <v>166.79</v>
      </c>
      <c r="AS109" s="146"/>
      <c r="AT109" s="69" t="n">
        <f aca="false">TblExplore[[#This Row],[Platinum (2)]]+TblConstr[[#This Row],[Total Plat Cost]]+TblMili[[#This Row],[Plat Cost]]+TblRezone[[#This Row],[Platinum cost]]+TblImps[[#This Row],[P1]]-TblProd[[#This Row],[Bank Plat]]</f>
        <v>0</v>
      </c>
      <c r="AU109" s="69" t="n">
        <f aca="false">TblConstr[[#This Row],[Total Lum Cost]]+TblImps[[#This Row],[L1]]-TblProd[[#This Row],[Bank Lumber]] + Military!$CL$25*TblMili[[#This Row],[Sec. rec. Cost]]</f>
        <v>0</v>
      </c>
      <c r="AV109" s="69" t="n">
        <f aca="false">TblMagic[[#This Row],[Mana cost]] + Military!$CL$26*TblMili[[#This Row],[Sec. rec. Cost]]</f>
        <v>0</v>
      </c>
      <c r="AW109" s="69" t="n">
        <f aca="false">Military!$CL$24*TblMili[[#This Row],[Sec. rec. Cost]]+TblImps[[#This Row],[O1]]-TblProd[[#This Row],[Bank Ore]]</f>
        <v>0</v>
      </c>
      <c r="AX109" s="69" t="n">
        <f aca="false">TblImps[[#This Row],[G1]]-TblProd[[#This Row],[Bank Gems]]</f>
        <v>0</v>
      </c>
      <c r="AY109" s="132"/>
      <c r="AZ109" s="33" t="n">
        <f aca="false">IF(TblProd[[#This Row],[Set Guard]]&lt;&gt;"",TblProd[[#This Row],[Set Guard]],OFFSET(TblProd[[#This Row],[Guard]],-1,0))</f>
        <v>0</v>
      </c>
      <c r="BA109" s="145"/>
      <c r="BB109" s="151" t="n">
        <f aca="false">TblProd[[#This Row],[Hour]]</f>
        <v>34</v>
      </c>
      <c r="BC109" s="152" t="n">
        <f aca="false">-TblProd[[#This Row],[Bank Lumber]] / 2 + -TblProd[[#This Row],[Bank Gems]] * 2 + -TblProd[[#This Row],[Bank Ore]] / 2</f>
        <v>0</v>
      </c>
      <c r="BD109" s="152"/>
      <c r="BE109" s="152"/>
      <c r="BF109" s="152"/>
      <c r="BG109" s="153" t="n">
        <f aca="false">TblProd[[#This Row],[Time]]</f>
        <v>45434.125</v>
      </c>
      <c r="BH10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69" t="n">
        <f aca="false">TblProd[[#This Row],[Platinum]]</f>
        <v>1384819</v>
      </c>
      <c r="BJ109" s="69" t="n">
        <f aca="false">TblProd[[#This Row],[Food]]</f>
        <v>5805</v>
      </c>
      <c r="BK109" s="69" t="n">
        <f aca="false">TblProd[[#This Row],[Lumber]]</f>
        <v>41836</v>
      </c>
      <c r="BL109" s="69" t="n">
        <f aca="false">TblProd[[#This Row],[Mana]]</f>
        <v>8339.5</v>
      </c>
      <c r="BM109" s="69" t="n">
        <f aca="false">TblProd[[#This Row],[Ore]]</f>
        <v>0</v>
      </c>
    </row>
    <row r="110" customFormat="false" ht="12.75" hidden="false" customHeight="false" outlineLevel="0" collapsed="false">
      <c r="A110" s="128" t="n">
        <v>35</v>
      </c>
      <c r="B110" s="144" t="n">
        <f aca="false">TblImps[[#This Row],[Time]]</f>
        <v>45434.1666666667</v>
      </c>
      <c r="C110" s="145"/>
      <c r="D110" s="146"/>
      <c r="E110" s="69" t="n">
        <f aca="false">TblConstr[[#This Row],[Land]]</f>
        <v>700</v>
      </c>
      <c r="F110" s="69" t="n">
        <f aca="false">TblPop[[#This Row],[Peasants]]</f>
        <v>7115</v>
      </c>
      <c r="G110" s="69" t="e">
        <f aca="false">TblMili[[#This Row],[Networth (2)]]</f>
        <v>#VALUE!</v>
      </c>
      <c r="H110" s="69" t="n">
        <f aca="false">OFFSET(TblProd[[#This Row],[Platinum]],-1,0)+OFFSET(TblProd[[#This Row],[Plat/hr]],-1,0) - TblProd[[#This Row],[Expenses Platinum]] + IF(TblProd[[#This Row],[Plat Bonus]],TblPop[[#This Row],[Peasants]]*4) + SUM(TblConstr[[#This Row],[Dest Hom]:[Dest Doc]])*TblConstr[[#This Row],[CPA Platinum -DB]]*tech_3_3_2*TblTech[[#This Row],[3-3]]</f>
        <v>1423709</v>
      </c>
      <c r="I110" s="69" t="n">
        <f aca="false">OFFSET(TblProd[[#This Row],[Food]],-1,0)+OFFSET(TblProd[[#This Row],[Food/hr]],-1,0)+ROUNDUP((TblConstr[[#This Row],[Farms]]*80+TblConstr[[#This Row],[Docks]]*35)*(1+OFFSET(TblProd[[#This Row],[Bonus Food/hr]],-1,0)),0)</f>
        <v>5874</v>
      </c>
      <c r="J110" s="69" t="n">
        <f aca="false">OFFSET(TblProd[[#This Row],[Lumber]],-1,0)+OFFSET(TblProd[[#This Row],[Lumber/hr]],-1,0) - TblProd[[#This Row],[Expenses Lumber]] + SUM(TblConstr[[#This Row],[Dest Hom]:[Dest Doc]])*TblConstr[[#This Row],[CPA Lumber -DB]]*tech_3_3_2*TblTech[[#This Row],[3-3]]</f>
        <v>42543</v>
      </c>
      <c r="K110" s="69" t="n">
        <f aca="false">OFFSET(TblProd[[#This Row],[Mana]],-1,0)+OFFSET(TblProd[[#This Row],[Mana/hr]],-1,0)- TblProd[[#This Row],[Expenses Mana]]</f>
        <v>8897.5</v>
      </c>
      <c r="L110" s="69" t="n">
        <f aca="false">OFFSET(TblProd[[#This Row],[Ore]],-1,0)+OFFSET(TblProd[[#This Row],[Ore/hr]],-1,0) -TblProd[[#This Row],[Expenses Ore]]</f>
        <v>0</v>
      </c>
      <c r="M110" s="69" t="n">
        <f aca="false">OFFSET(TblProd[[#This Row],[Gems]],-1,0)+OFFSET(TblProd[[#This Row],[Gems/hr]],-1,0) - TblProd[[#This Row],[Expenses Gems]]</f>
        <v>0</v>
      </c>
      <c r="N110" s="69" t="n">
        <f aca="false">OFFSET(TblProd[[#This Row],[Boats]],-1,0)+OFFSET(TblProd[[#This Row],[Boats/hr]],-1,0)</f>
        <v>69.0500000000001</v>
      </c>
      <c r="O110" s="69" t="n">
        <f aca="false">OFFSET(TblProd[[#This Row],[Prestige]],-1,0)</f>
        <v>250</v>
      </c>
      <c r="P11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0" s="69" t="n">
        <f aca="false">MAX(3750,_xlfn.CEILING.MATH(TblProd[[#This Row],[Land]]*2.5+OFFSET(TblTech[[#This Row],[Sum of tech]],-1,0)*150))</f>
        <v>3750</v>
      </c>
      <c r="R110" s="132"/>
      <c r="S110" s="69" t="n">
        <f aca="false">ROUNDDOWN(TblProd[[#This Row],[Raw Plat/hr]]*(1+TblProd[[#This Row],[Bonus Plat/hr]]),0)</f>
        <v>38676</v>
      </c>
      <c r="T110" s="69" t="n">
        <f aca="false">ROUND(TblProd[[#This Row],[Raw Food/hr]]*(1+TblProd[[#This Row],[Bonus Food/hr]])-TblProd[[#This Row],[Food decay]]-TblProd[[#This Row],[Food eaten]],0)</f>
        <v>69</v>
      </c>
      <c r="U110" s="69" t="n">
        <f aca="false">ROUND(TblProd[[#This Row],[Raw Lumber/hr]]*(1+TblProd[[#This Row],[Bonus Lumber/hr]])-TblProd[[#This Row],[Lumber rot]],0)</f>
        <v>700</v>
      </c>
      <c r="V110" s="69" t="n">
        <f aca="false">ROUND(TblProd[[#This Row],[Raw Mana/hr]]*(1+TblProd[[#This Row],[Bonus Mana/hr]])-TblProd[[#This Row],[Mana drain]],0)</f>
        <v>547</v>
      </c>
      <c r="W110" s="69" t="n">
        <f aca="false">ROUNDDOWN(TblProd[[#This Row],[Raw Ore/hr]]*(1+TblProd[[#This Row],[Bonux Ore/hr]]),0)</f>
        <v>0</v>
      </c>
      <c r="X110" s="69" t="n">
        <f aca="false">ROUNDDOWN(TblProd[[#This Row],[Raw Gems/hr]]*(1+TblProd[[#This Row],[Bonus Gems/hr]]),0)</f>
        <v>0</v>
      </c>
      <c r="Y110" s="148" t="n">
        <f aca="false">OFFSET(TblConstr[[#This Row],[Tot Doc]],1,0)*dock_boats_hr * (1 + tech_4_1*TblTech[[#This Row],[4-1]])</f>
        <v>1.2</v>
      </c>
      <c r="Z110" s="146"/>
      <c r="AA110" s="69" t="n">
        <f aca="false">TblPop[[#This Row],[Peasants]]*tax*TblPop[[#This Row],[Employment]] + (Construction!AZ111+Construction!BX111)*(alch_plat+(Magic!AM110&gt;0)*alchemist_flame_bonus)</f>
        <v>35160.5</v>
      </c>
      <c r="AB110" s="69" t="n">
        <f aca="false">TblConstr[[#This Row],[Tot Farm]]*farm_food + TblConstr[[#This Row],[Tot Doc]]*dock_food</f>
        <v>3280</v>
      </c>
      <c r="AC110" s="69" t="n">
        <f aca="false">TblConstr[[#This Row],[Tot Ly]]*ly_lumber + TblConstr[[#This Row],[Tot Hav]]*fh_lumber</f>
        <v>1250</v>
      </c>
      <c r="AD110" s="69" t="n">
        <f aca="false">OFFSET(TblConstr[[#This Row],[Tot Tow]],1,0)*(tower_mana + tech_4_5*TblTech[[#This Row],[4-5]]) + OFFSET(TblConstr[[#This Row],[Tot WG]],1,0)*wg_mana_prod</f>
        <v>725</v>
      </c>
      <c r="AE110" s="69" t="n">
        <f aca="false">OFFSET(TblConstr[[#This Row],[Tot OM]],1,0)*om_ore+IF(race="Dwarf",ROUNDDOWN(TblMili[[#This Row],[Unit 2]]*0.4,0),)</f>
        <v>0</v>
      </c>
      <c r="AF110" s="69" t="n">
        <f aca="false">OFFSET(TblConstr[[#This Row],[Tot DM]],1,0)*dm_gems</f>
        <v>0</v>
      </c>
      <c r="AG110" s="132"/>
      <c r="AH110" s="149" t="n">
        <f aca="false">MIN(race_platinum_bonus + IF(TblMagic[[#This Row],[Active Alch Frost]]&gt;0,alch_frost_bonus,IF(Magic!AD110&gt;0,midas_bonus)) + TblImps[[#This Row],[Science]] - TblProd[[#This Row],[Guard]]*(0.02 + tech_5_7*TblTech[[#This Row],[5-7]]) + tech_1_5*TblTech[[#This Row],[1-5]] + tech_4_4*TblTech[[#This Row],[4-4]], 0.5)</f>
        <v>0.1</v>
      </c>
      <c r="AI11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0" s="149" t="n">
        <f aca="false">race_lumber_bonus+ IF(TblMagic[[#This Row],[Active Gaia''s Blessing]]&gt;0,gaias_blessing_lumber)+ tech_1_3*TblTech[[#This Row],[1-3]] + tech_1_6*TblTech[[#This Row],[1-6]] + tech_3_3*TblTech[[#This Row],[3-3]]</f>
        <v>-0.1</v>
      </c>
      <c r="AK110" s="149" t="n">
        <f aca="false">race_mana_bonus+ 0 + TblImps[[#This Row],[Towers]] + tech_1_2*TblTech[[#This Row],[1-2]] + tech_3_4*TblTech[[#This Row],[3-4]]</f>
        <v>0</v>
      </c>
      <c r="AL110" s="149" t="n">
        <f aca="false">race_ore_bonus + IF(TblMagic[[#This Row],[Active Miner''s Sight]]&gt;0,miners_sight_bonus,IF(TblMagic[[#This Row],[Active Mining Strength]]&gt;0,mining_strength_bonus)) +  tech_1_6*TblTech[[#This Row],[1-6]]</f>
        <v>0</v>
      </c>
      <c r="AM110" s="149" t="n">
        <f aca="false">race_gem_bonus+ tech_3_2*TblTech[[#This Row],[3-2]] + tech_4_3*TblTech[[#This Row],[4-3]] + tech_6_2*TblTech[[#This Row],[6-2]]</f>
        <v>0.15</v>
      </c>
      <c r="AN110" s="132"/>
      <c r="AO110" s="69" t="n">
        <f aca="false">TblProd[[#This Row],[Food]]*food_decay * (1 + tech_2_1*TblTech[[#This Row],[2-1]] + tech_2_8*TblTech[[#This Row],[2-8]])</f>
        <v>58.74</v>
      </c>
      <c r="AP110" s="69" t="n">
        <f aca="false">(1+race_food_consumption)*TblPop[[#This Row],[Total]]*food_per_person*(1+tech_1_10*TblTech[[#This Row],[1-10]]+tech_7_5*TblTech[[#This Row],[7-5]])</f>
        <v>3234.75</v>
      </c>
      <c r="AQ110" s="69" t="n">
        <f aca="false">TblProd[[#This Row],[Lumber]]*lumber_rot * (1 + tech_2_1*TblTech[[#This Row],[2-1]] + tech_2_8*TblTech[[#This Row],[2-8]] + tech_5_2*TblTech[[#This Row],[5-2]])</f>
        <v>425.43</v>
      </c>
      <c r="AR110" s="69" t="n">
        <f aca="false">TblProd[[#This Row],[Mana]]*mana_drain * (1 + tech_2_1*TblTech[[#This Row],[2-1]] + tech_2_8*TblTech[[#This Row],[2-8]])</f>
        <v>177.95</v>
      </c>
      <c r="AS110" s="146"/>
      <c r="AT110" s="69" t="n">
        <f aca="false">TblExplore[[#This Row],[Platinum (2)]]+TblConstr[[#This Row],[Total Plat Cost]]+TblMili[[#This Row],[Plat Cost]]+TblRezone[[#This Row],[Platinum cost]]+TblImps[[#This Row],[P1]]-TblProd[[#This Row],[Bank Plat]]</f>
        <v>0</v>
      </c>
      <c r="AU110" s="69" t="n">
        <f aca="false">TblConstr[[#This Row],[Total Lum Cost]]+TblImps[[#This Row],[L1]]-TblProd[[#This Row],[Bank Lumber]] + Military!$CL$25*TblMili[[#This Row],[Sec. rec. Cost]]</f>
        <v>0</v>
      </c>
      <c r="AV110" s="69" t="n">
        <f aca="false">TblMagic[[#This Row],[Mana cost]] + Military!$CL$26*TblMili[[#This Row],[Sec. rec. Cost]]</f>
        <v>0</v>
      </c>
      <c r="AW110" s="69" t="n">
        <f aca="false">Military!$CL$24*TblMili[[#This Row],[Sec. rec. Cost]]+TblImps[[#This Row],[O1]]-TblProd[[#This Row],[Bank Ore]]</f>
        <v>0</v>
      </c>
      <c r="AX110" s="69" t="n">
        <f aca="false">TblImps[[#This Row],[G1]]-TblProd[[#This Row],[Bank Gems]]</f>
        <v>0</v>
      </c>
      <c r="AY110" s="132"/>
      <c r="AZ110" s="33" t="n">
        <f aca="false">IF(TblProd[[#This Row],[Set Guard]]&lt;&gt;"",TblProd[[#This Row],[Set Guard]],OFFSET(TblProd[[#This Row],[Guard]],-1,0))</f>
        <v>0</v>
      </c>
      <c r="BA110" s="145"/>
      <c r="BB110" s="151" t="n">
        <f aca="false">TblProd[[#This Row],[Hour]]</f>
        <v>35</v>
      </c>
      <c r="BC110" s="152" t="n">
        <f aca="false">-TblProd[[#This Row],[Bank Lumber]] / 2 + -TblProd[[#This Row],[Bank Gems]] * 2 + -TblProd[[#This Row],[Bank Ore]] / 2</f>
        <v>0</v>
      </c>
      <c r="BD110" s="152"/>
      <c r="BE110" s="152"/>
      <c r="BF110" s="152"/>
      <c r="BG110" s="153" t="n">
        <f aca="false">TblProd[[#This Row],[Time]]</f>
        <v>45434.1666666667</v>
      </c>
      <c r="BH11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69" t="n">
        <f aca="false">TblProd[[#This Row],[Platinum]]</f>
        <v>1423709</v>
      </c>
      <c r="BJ110" s="69" t="n">
        <f aca="false">TblProd[[#This Row],[Food]]</f>
        <v>5874</v>
      </c>
      <c r="BK110" s="69" t="n">
        <f aca="false">TblProd[[#This Row],[Lumber]]</f>
        <v>42543</v>
      </c>
      <c r="BL110" s="69" t="n">
        <f aca="false">TblProd[[#This Row],[Mana]]</f>
        <v>8897.5</v>
      </c>
      <c r="BM110" s="69" t="n">
        <f aca="false">TblProd[[#This Row],[Ore]]</f>
        <v>0</v>
      </c>
    </row>
    <row r="111" customFormat="false" ht="12.75" hidden="false" customHeight="false" outlineLevel="0" collapsed="false">
      <c r="A111" s="128" t="n">
        <v>36</v>
      </c>
      <c r="B111" s="144" t="n">
        <f aca="false">TblImps[[#This Row],[Time]]</f>
        <v>45434.2083333333</v>
      </c>
      <c r="C111" s="145"/>
      <c r="D111" s="146"/>
      <c r="E111" s="69" t="n">
        <f aca="false">TblConstr[[#This Row],[Land]]</f>
        <v>700</v>
      </c>
      <c r="F111" s="69" t="n">
        <f aca="false">TblPop[[#This Row],[Peasants]]</f>
        <v>7044</v>
      </c>
      <c r="G111" s="69" t="e">
        <f aca="false">TblMili[[#This Row],[Networth (2)]]</f>
        <v>#VALUE!</v>
      </c>
      <c r="H111" s="69" t="n">
        <f aca="false">OFFSET(TblProd[[#This Row],[Platinum]],-1,0)+OFFSET(TblProd[[#This Row],[Plat/hr]],-1,0) - TblProd[[#This Row],[Expenses Platinum]] + IF(TblProd[[#This Row],[Plat Bonus]],TblPop[[#This Row],[Peasants]]*4) + SUM(TblConstr[[#This Row],[Dest Hom]:[Dest Doc]])*TblConstr[[#This Row],[CPA Platinum -DB]]*tech_3_3_2*TblTech[[#This Row],[3-3]]</f>
        <v>1462385</v>
      </c>
      <c r="I111" s="69" t="n">
        <f aca="false">OFFSET(TblProd[[#This Row],[Food]],-1,0)+OFFSET(TblProd[[#This Row],[Food/hr]],-1,0)+ROUNDUP((TblConstr[[#This Row],[Farms]]*80+TblConstr[[#This Row],[Docks]]*35)*(1+OFFSET(TblProd[[#This Row],[Bonus Food/hr]],-1,0)),0)</f>
        <v>5943</v>
      </c>
      <c r="J111" s="69" t="n">
        <f aca="false">OFFSET(TblProd[[#This Row],[Lumber]],-1,0)+OFFSET(TblProd[[#This Row],[Lumber/hr]],-1,0) - TblProd[[#This Row],[Expenses Lumber]] + SUM(TblConstr[[#This Row],[Dest Hom]:[Dest Doc]])*TblConstr[[#This Row],[CPA Lumber -DB]]*tech_3_3_2*TblTech[[#This Row],[3-3]]</f>
        <v>43243</v>
      </c>
      <c r="K111" s="69" t="n">
        <f aca="false">OFFSET(TblProd[[#This Row],[Mana]],-1,0)+OFFSET(TblProd[[#This Row],[Mana/hr]],-1,0)- TblProd[[#This Row],[Expenses Mana]]</f>
        <v>9444.5</v>
      </c>
      <c r="L111" s="69" t="n">
        <f aca="false">OFFSET(TblProd[[#This Row],[Ore]],-1,0)+OFFSET(TblProd[[#This Row],[Ore/hr]],-1,0) -TblProd[[#This Row],[Expenses Ore]]</f>
        <v>0</v>
      </c>
      <c r="M111" s="69" t="n">
        <f aca="false">OFFSET(TblProd[[#This Row],[Gems]],-1,0)+OFFSET(TblProd[[#This Row],[Gems/hr]],-1,0) - TblProd[[#This Row],[Expenses Gems]]</f>
        <v>0</v>
      </c>
      <c r="N111" s="69" t="n">
        <f aca="false">OFFSET(TblProd[[#This Row],[Boats]],-1,0)+OFFSET(TblProd[[#This Row],[Boats/hr]],-1,0)</f>
        <v>70.2500000000001</v>
      </c>
      <c r="O111" s="69" t="n">
        <f aca="false">OFFSET(TblProd[[#This Row],[Prestige]],-1,0)</f>
        <v>250</v>
      </c>
      <c r="P11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1" s="69" t="n">
        <f aca="false">MAX(3750,_xlfn.CEILING.MATH(TblProd[[#This Row],[Land]]*2.5+OFFSET(TblTech[[#This Row],[Sum of tech]],-1,0)*150))</f>
        <v>3750</v>
      </c>
      <c r="R111" s="132"/>
      <c r="S111" s="69" t="n">
        <f aca="false">ROUNDDOWN(TblProd[[#This Row],[Raw Plat/hr]]*(1+TblProd[[#This Row],[Bonus Plat/hr]]),0)</f>
        <v>38465</v>
      </c>
      <c r="T111" s="69" t="n">
        <f aca="false">ROUND(TblProd[[#This Row],[Raw Food/hr]]*(1+TblProd[[#This Row],[Bonus Food/hr]])-TblProd[[#This Row],[Food decay]]-TblProd[[#This Row],[Food eaten]],0)</f>
        <v>68</v>
      </c>
      <c r="U111" s="69" t="n">
        <f aca="false">ROUND(TblProd[[#This Row],[Raw Lumber/hr]]*(1+TblProd[[#This Row],[Bonus Lumber/hr]])-TblProd[[#This Row],[Lumber rot]],0)</f>
        <v>693</v>
      </c>
      <c r="V111" s="69" t="n">
        <f aca="false">ROUND(TblProd[[#This Row],[Raw Mana/hr]]*(1+TblProd[[#This Row],[Bonus Mana/hr]])-TblProd[[#This Row],[Mana drain]],0)</f>
        <v>536</v>
      </c>
      <c r="W111" s="69" t="n">
        <f aca="false">ROUNDDOWN(TblProd[[#This Row],[Raw Ore/hr]]*(1+TblProd[[#This Row],[Bonux Ore/hr]]),0)</f>
        <v>0</v>
      </c>
      <c r="X111" s="69" t="n">
        <f aca="false">ROUNDDOWN(TblProd[[#This Row],[Raw Gems/hr]]*(1+TblProd[[#This Row],[Bonus Gems/hr]]),0)</f>
        <v>0</v>
      </c>
      <c r="Y111" s="148" t="n">
        <f aca="false">OFFSET(TblConstr[[#This Row],[Tot Doc]],1,0)*dock_boats_hr * (1 + tech_4_1*TblTech[[#This Row],[4-1]])</f>
        <v>1.2</v>
      </c>
      <c r="Z111" s="146"/>
      <c r="AA111" s="69" t="n">
        <f aca="false">TblPop[[#This Row],[Peasants]]*tax*TblPop[[#This Row],[Employment]] + (Construction!AZ112+Construction!BX112)*(alch_plat+(Magic!AM111&gt;0)*alchemist_flame_bonus)</f>
        <v>34968.8</v>
      </c>
      <c r="AB111" s="69" t="n">
        <f aca="false">TblConstr[[#This Row],[Tot Farm]]*farm_food + TblConstr[[#This Row],[Tot Doc]]*dock_food</f>
        <v>3280</v>
      </c>
      <c r="AC111" s="69" t="n">
        <f aca="false">TblConstr[[#This Row],[Tot Ly]]*ly_lumber + TblConstr[[#This Row],[Tot Hav]]*fh_lumber</f>
        <v>1250</v>
      </c>
      <c r="AD111" s="69" t="n">
        <f aca="false">OFFSET(TblConstr[[#This Row],[Tot Tow]],1,0)*(tower_mana + tech_4_5*TblTech[[#This Row],[4-5]]) + OFFSET(TblConstr[[#This Row],[Tot WG]],1,0)*wg_mana_prod</f>
        <v>725</v>
      </c>
      <c r="AE111" s="69" t="n">
        <f aca="false">OFFSET(TblConstr[[#This Row],[Tot OM]],1,0)*om_ore+IF(race="Dwarf",ROUNDDOWN(TblMili[[#This Row],[Unit 2]]*0.4,0),)</f>
        <v>0</v>
      </c>
      <c r="AF111" s="69" t="n">
        <f aca="false">OFFSET(TblConstr[[#This Row],[Tot DM]],1,0)*dm_gems</f>
        <v>0</v>
      </c>
      <c r="AG111" s="132"/>
      <c r="AH111" s="149" t="n">
        <f aca="false">MIN(race_platinum_bonus + IF(TblMagic[[#This Row],[Active Alch Frost]]&gt;0,alch_frost_bonus,IF(Magic!AD111&gt;0,midas_bonus)) + TblImps[[#This Row],[Science]] - TblProd[[#This Row],[Guard]]*(0.02 + tech_5_7*TblTech[[#This Row],[5-7]]) + tech_1_5*TblTech[[#This Row],[1-5]] + tech_4_4*TblTech[[#This Row],[4-4]], 0.5)</f>
        <v>0.1</v>
      </c>
      <c r="AI11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1" s="149" t="n">
        <f aca="false">race_lumber_bonus+ IF(TblMagic[[#This Row],[Active Gaia''s Blessing]]&gt;0,gaias_blessing_lumber)+ tech_1_3*TblTech[[#This Row],[1-3]] + tech_1_6*TblTech[[#This Row],[1-6]] + tech_3_3*TblTech[[#This Row],[3-3]]</f>
        <v>-0.1</v>
      </c>
      <c r="AK111" s="149" t="n">
        <f aca="false">race_mana_bonus+ 0 + TblImps[[#This Row],[Towers]] + tech_1_2*TblTech[[#This Row],[1-2]] + tech_3_4*TblTech[[#This Row],[3-4]]</f>
        <v>0</v>
      </c>
      <c r="AL111" s="149" t="n">
        <f aca="false">race_ore_bonus + IF(TblMagic[[#This Row],[Active Miner''s Sight]]&gt;0,miners_sight_bonus,IF(TblMagic[[#This Row],[Active Mining Strength]]&gt;0,mining_strength_bonus)) +  tech_1_6*TblTech[[#This Row],[1-6]]</f>
        <v>0</v>
      </c>
      <c r="AM111" s="149" t="n">
        <f aca="false">race_gem_bonus+ tech_3_2*TblTech[[#This Row],[3-2]] + tech_4_3*TblTech[[#This Row],[4-3]] + tech_6_2*TblTech[[#This Row],[6-2]]</f>
        <v>0.15</v>
      </c>
      <c r="AN111" s="132"/>
      <c r="AO111" s="69" t="n">
        <f aca="false">TblProd[[#This Row],[Food]]*food_decay * (1 + tech_2_1*TblTech[[#This Row],[2-1]] + tech_2_8*TblTech[[#This Row],[2-8]])</f>
        <v>59.43</v>
      </c>
      <c r="AP111" s="69" t="n">
        <f aca="false">(1+race_food_consumption)*TblPop[[#This Row],[Total]]*food_per_person*(1+tech_1_10*TblTech[[#This Row],[1-10]]+tech_7_5*TblTech[[#This Row],[7-5]])</f>
        <v>3234.75</v>
      </c>
      <c r="AQ111" s="69" t="n">
        <f aca="false">TblProd[[#This Row],[Lumber]]*lumber_rot * (1 + tech_2_1*TblTech[[#This Row],[2-1]] + tech_2_8*TblTech[[#This Row],[2-8]] + tech_5_2*TblTech[[#This Row],[5-2]])</f>
        <v>432.43</v>
      </c>
      <c r="AR111" s="69" t="n">
        <f aca="false">TblProd[[#This Row],[Mana]]*mana_drain * (1 + tech_2_1*TblTech[[#This Row],[2-1]] + tech_2_8*TblTech[[#This Row],[2-8]])</f>
        <v>188.89</v>
      </c>
      <c r="AS111" s="146"/>
      <c r="AT111" s="69" t="n">
        <f aca="false">TblExplore[[#This Row],[Platinum (2)]]+TblConstr[[#This Row],[Total Plat Cost]]+TblMili[[#This Row],[Plat Cost]]+TblRezone[[#This Row],[Platinum cost]]+TblImps[[#This Row],[P1]]-TblProd[[#This Row],[Bank Plat]]</f>
        <v>0</v>
      </c>
      <c r="AU111" s="69" t="n">
        <f aca="false">TblConstr[[#This Row],[Total Lum Cost]]+TblImps[[#This Row],[L1]]-TblProd[[#This Row],[Bank Lumber]] + Military!$CL$25*TblMili[[#This Row],[Sec. rec. Cost]]</f>
        <v>0</v>
      </c>
      <c r="AV111" s="69" t="n">
        <f aca="false">TblMagic[[#This Row],[Mana cost]] + Military!$CL$26*TblMili[[#This Row],[Sec. rec. Cost]]</f>
        <v>0</v>
      </c>
      <c r="AW111" s="69" t="n">
        <f aca="false">Military!$CL$24*TblMili[[#This Row],[Sec. rec. Cost]]+TblImps[[#This Row],[O1]]-TblProd[[#This Row],[Bank Ore]]</f>
        <v>0</v>
      </c>
      <c r="AX111" s="69" t="n">
        <f aca="false">TblImps[[#This Row],[G1]]-TblProd[[#This Row],[Bank Gems]]</f>
        <v>0</v>
      </c>
      <c r="AY111" s="132"/>
      <c r="AZ111" s="33" t="n">
        <f aca="false">IF(TblProd[[#This Row],[Set Guard]]&lt;&gt;"",TblProd[[#This Row],[Set Guard]],OFFSET(TblProd[[#This Row],[Guard]],-1,0))</f>
        <v>0</v>
      </c>
      <c r="BA111" s="145"/>
      <c r="BB111" s="151" t="n">
        <f aca="false">TblProd[[#This Row],[Hour]]</f>
        <v>36</v>
      </c>
      <c r="BC111" s="152" t="n">
        <f aca="false">-TblProd[[#This Row],[Bank Lumber]] / 2 + -TblProd[[#This Row],[Bank Gems]] * 2 + -TblProd[[#This Row],[Bank Ore]] / 2</f>
        <v>0</v>
      </c>
      <c r="BD111" s="152"/>
      <c r="BE111" s="152"/>
      <c r="BF111" s="152"/>
      <c r="BG111" s="153" t="n">
        <f aca="false">TblProd[[#This Row],[Time]]</f>
        <v>45434.2083333333</v>
      </c>
      <c r="BH11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69" t="n">
        <f aca="false">TblProd[[#This Row],[Platinum]]</f>
        <v>1462385</v>
      </c>
      <c r="BJ111" s="69" t="n">
        <f aca="false">TblProd[[#This Row],[Food]]</f>
        <v>5943</v>
      </c>
      <c r="BK111" s="69" t="n">
        <f aca="false">TblProd[[#This Row],[Lumber]]</f>
        <v>43243</v>
      </c>
      <c r="BL111" s="69" t="n">
        <f aca="false">TblProd[[#This Row],[Mana]]</f>
        <v>9444.5</v>
      </c>
      <c r="BM111" s="69" t="n">
        <f aca="false">TblProd[[#This Row],[Ore]]</f>
        <v>0</v>
      </c>
    </row>
    <row r="112" customFormat="false" ht="12.75" hidden="false" customHeight="false" outlineLevel="0" collapsed="false">
      <c r="A112" s="128" t="n">
        <v>37</v>
      </c>
      <c r="B112" s="144" t="n">
        <f aca="false">TblImps[[#This Row],[Time]]</f>
        <v>45434.25</v>
      </c>
      <c r="C112" s="145"/>
      <c r="D112" s="146"/>
      <c r="E112" s="69" t="n">
        <f aca="false">TblConstr[[#This Row],[Land]]</f>
        <v>700</v>
      </c>
      <c r="F112" s="69" t="n">
        <f aca="false">TblPop[[#This Row],[Peasants]]</f>
        <v>6974</v>
      </c>
      <c r="G112" s="69" t="e">
        <f aca="false">TblMili[[#This Row],[Networth (2)]]</f>
        <v>#VALUE!</v>
      </c>
      <c r="H112" s="69" t="n">
        <f aca="false">OFFSET(TblProd[[#This Row],[Platinum]],-1,0)+OFFSET(TblProd[[#This Row],[Plat/hr]],-1,0) - TblProd[[#This Row],[Expenses Platinum]] + IF(TblProd[[#This Row],[Plat Bonus]],TblPop[[#This Row],[Peasants]]*4) + SUM(TblConstr[[#This Row],[Dest Hom]:[Dest Doc]])*TblConstr[[#This Row],[CPA Platinum -DB]]*tech_3_3_2*TblTech[[#This Row],[3-3]]</f>
        <v>1500850</v>
      </c>
      <c r="I112" s="69" t="n">
        <f aca="false">OFFSET(TblProd[[#This Row],[Food]],-1,0)+OFFSET(TblProd[[#This Row],[Food/hr]],-1,0)+ROUNDUP((TblConstr[[#This Row],[Farms]]*80+TblConstr[[#This Row],[Docks]]*35)*(1+OFFSET(TblProd[[#This Row],[Bonus Food/hr]],-1,0)),0)</f>
        <v>6011</v>
      </c>
      <c r="J112" s="69" t="n">
        <f aca="false">OFFSET(TblProd[[#This Row],[Lumber]],-1,0)+OFFSET(TblProd[[#This Row],[Lumber/hr]],-1,0) - TblProd[[#This Row],[Expenses Lumber]] + SUM(TblConstr[[#This Row],[Dest Hom]:[Dest Doc]])*TblConstr[[#This Row],[CPA Lumber -DB]]*tech_3_3_2*TblTech[[#This Row],[3-3]]</f>
        <v>43936</v>
      </c>
      <c r="K112" s="69" t="n">
        <f aca="false">OFFSET(TblProd[[#This Row],[Mana]],-1,0)+OFFSET(TblProd[[#This Row],[Mana/hr]],-1,0)- TblProd[[#This Row],[Expenses Mana]]</f>
        <v>9980.5</v>
      </c>
      <c r="L112" s="69" t="n">
        <f aca="false">OFFSET(TblProd[[#This Row],[Ore]],-1,0)+OFFSET(TblProd[[#This Row],[Ore/hr]],-1,0) -TblProd[[#This Row],[Expenses Ore]]</f>
        <v>0</v>
      </c>
      <c r="M112" s="69" t="n">
        <f aca="false">OFFSET(TblProd[[#This Row],[Gems]],-1,0)+OFFSET(TblProd[[#This Row],[Gems/hr]],-1,0) - TblProd[[#This Row],[Expenses Gems]]</f>
        <v>0</v>
      </c>
      <c r="N112" s="69" t="n">
        <f aca="false">OFFSET(TblProd[[#This Row],[Boats]],-1,0)+OFFSET(TblProd[[#This Row],[Boats/hr]],-1,0)</f>
        <v>71.4500000000001</v>
      </c>
      <c r="O112" s="69" t="n">
        <f aca="false">OFFSET(TblProd[[#This Row],[Prestige]],-1,0)</f>
        <v>250</v>
      </c>
      <c r="P11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2" s="69" t="n">
        <f aca="false">MAX(3750,_xlfn.CEILING.MATH(TblProd[[#This Row],[Land]]*2.5+OFFSET(TblTech[[#This Row],[Sum of tech]],-1,0)*150))</f>
        <v>3750</v>
      </c>
      <c r="R112" s="132"/>
      <c r="S112" s="69" t="n">
        <f aca="false">ROUNDDOWN(TblProd[[#This Row],[Raw Plat/hr]]*(1+TblProd[[#This Row],[Bonus Plat/hr]]),0)</f>
        <v>31204</v>
      </c>
      <c r="T112" s="69" t="n">
        <f aca="false">ROUND(TblProd[[#This Row],[Raw Food/hr]]*(1+TblProd[[#This Row],[Bonus Food/hr]])-TblProd[[#This Row],[Food decay]]-TblProd[[#This Row],[Food eaten]],0)</f>
        <v>67</v>
      </c>
      <c r="U112" s="69" t="n">
        <f aca="false">ROUND(TblProd[[#This Row],[Raw Lumber/hr]]*(1+TblProd[[#This Row],[Bonus Lumber/hr]])-TblProd[[#This Row],[Lumber rot]],0)</f>
        <v>686</v>
      </c>
      <c r="V112" s="69" t="n">
        <f aca="false">ROUND(TblProd[[#This Row],[Raw Mana/hr]]*(1+TblProd[[#This Row],[Bonus Mana/hr]])-TblProd[[#This Row],[Mana drain]],0)</f>
        <v>525</v>
      </c>
      <c r="W112" s="69" t="n">
        <f aca="false">ROUNDDOWN(TblProd[[#This Row],[Raw Ore/hr]]*(1+TblProd[[#This Row],[Bonux Ore/hr]]),0)</f>
        <v>0</v>
      </c>
      <c r="X112" s="69" t="n">
        <f aca="false">ROUNDDOWN(TblProd[[#This Row],[Raw Gems/hr]]*(1+TblProd[[#This Row],[Bonus Gems/hr]]),0)</f>
        <v>0</v>
      </c>
      <c r="Y112" s="148" t="n">
        <f aca="false">OFFSET(TblConstr[[#This Row],[Tot Doc]],1,0)*dock_boats_hr * (1 + tech_4_1*TblTech[[#This Row],[4-1]])</f>
        <v>1.2</v>
      </c>
      <c r="Z112" s="146"/>
      <c r="AA112" s="69" t="n">
        <f aca="false">TblPop[[#This Row],[Peasants]]*tax*TblPop[[#This Row],[Employment]] + (Construction!AZ113+Construction!BX113)*(alch_plat+(Magic!AM112&gt;0)*alchemist_flame_bonus)</f>
        <v>31204.8</v>
      </c>
      <c r="AB112" s="69" t="n">
        <f aca="false">TblConstr[[#This Row],[Tot Farm]]*farm_food + TblConstr[[#This Row],[Tot Doc]]*dock_food</f>
        <v>3280</v>
      </c>
      <c r="AC112" s="69" t="n">
        <f aca="false">TblConstr[[#This Row],[Tot Ly]]*ly_lumber + TblConstr[[#This Row],[Tot Hav]]*fh_lumber</f>
        <v>1250</v>
      </c>
      <c r="AD112" s="69" t="n">
        <f aca="false">OFFSET(TblConstr[[#This Row],[Tot Tow]],1,0)*(tower_mana + tech_4_5*TblTech[[#This Row],[4-5]]) + OFFSET(TblConstr[[#This Row],[Tot WG]],1,0)*wg_mana_prod</f>
        <v>725</v>
      </c>
      <c r="AE112" s="69" t="n">
        <f aca="false">OFFSET(TblConstr[[#This Row],[Tot OM]],1,0)*om_ore+IF(race="Dwarf",ROUNDDOWN(TblMili[[#This Row],[Unit 2]]*0.4,0),)</f>
        <v>0</v>
      </c>
      <c r="AF112" s="69" t="n">
        <f aca="false">OFFSET(TblConstr[[#This Row],[Tot DM]],1,0)*dm_gems</f>
        <v>0</v>
      </c>
      <c r="AG112" s="132"/>
      <c r="AH112" s="149" t="n">
        <f aca="false">MIN(race_platinum_bonus + IF(TblMagic[[#This Row],[Active Alch Frost]]&gt;0,alch_frost_bonus,IF(Magic!AD112&gt;0,midas_bonus)) + TblImps[[#This Row],[Science]] - TblProd[[#This Row],[Guard]]*(0.02 + tech_5_7*TblTech[[#This Row],[5-7]]) + tech_1_5*TblTech[[#This Row],[1-5]] + tech_4_4*TblTech[[#This Row],[4-4]], 0.5)</f>
        <v>0</v>
      </c>
      <c r="AI11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2" s="149" t="n">
        <f aca="false">race_lumber_bonus+ IF(TblMagic[[#This Row],[Active Gaia''s Blessing]]&gt;0,gaias_blessing_lumber)+ tech_1_3*TblTech[[#This Row],[1-3]] + tech_1_6*TblTech[[#This Row],[1-6]] + tech_3_3*TblTech[[#This Row],[3-3]]</f>
        <v>-0.1</v>
      </c>
      <c r="AK112" s="149" t="n">
        <f aca="false">race_mana_bonus+ 0 + TblImps[[#This Row],[Towers]] + tech_1_2*TblTech[[#This Row],[1-2]] + tech_3_4*TblTech[[#This Row],[3-4]]</f>
        <v>0</v>
      </c>
      <c r="AL112" s="149" t="n">
        <f aca="false">race_ore_bonus + IF(TblMagic[[#This Row],[Active Miner''s Sight]]&gt;0,miners_sight_bonus,IF(TblMagic[[#This Row],[Active Mining Strength]]&gt;0,mining_strength_bonus)) +  tech_1_6*TblTech[[#This Row],[1-6]]</f>
        <v>0</v>
      </c>
      <c r="AM112" s="149" t="n">
        <f aca="false">race_gem_bonus+ tech_3_2*TblTech[[#This Row],[3-2]] + tech_4_3*TblTech[[#This Row],[4-3]] + tech_6_2*TblTech[[#This Row],[6-2]]</f>
        <v>0.15</v>
      </c>
      <c r="AN112" s="132"/>
      <c r="AO112" s="69" t="n">
        <f aca="false">TblProd[[#This Row],[Food]]*food_decay * (1 + tech_2_1*TblTech[[#This Row],[2-1]] + tech_2_8*TblTech[[#This Row],[2-8]])</f>
        <v>60.11</v>
      </c>
      <c r="AP112" s="69" t="n">
        <f aca="false">(1+race_food_consumption)*TblPop[[#This Row],[Total]]*food_per_person*(1+tech_1_10*TblTech[[#This Row],[1-10]]+tech_7_5*TblTech[[#This Row],[7-5]])</f>
        <v>3234.75</v>
      </c>
      <c r="AQ112" s="69" t="n">
        <f aca="false">TblProd[[#This Row],[Lumber]]*lumber_rot * (1 + tech_2_1*TblTech[[#This Row],[2-1]] + tech_2_8*TblTech[[#This Row],[2-8]] + tech_5_2*TblTech[[#This Row],[5-2]])</f>
        <v>439.36</v>
      </c>
      <c r="AR112" s="69" t="n">
        <f aca="false">TblProd[[#This Row],[Mana]]*mana_drain * (1 + tech_2_1*TblTech[[#This Row],[2-1]] + tech_2_8*TblTech[[#This Row],[2-8]])</f>
        <v>199.61</v>
      </c>
      <c r="AS112" s="146"/>
      <c r="AT112" s="69" t="n">
        <f aca="false">TblExplore[[#This Row],[Platinum (2)]]+TblConstr[[#This Row],[Total Plat Cost]]+TblMili[[#This Row],[Plat Cost]]+TblRezone[[#This Row],[Platinum cost]]+TblImps[[#This Row],[P1]]-TblProd[[#This Row],[Bank Plat]]</f>
        <v>0</v>
      </c>
      <c r="AU112" s="69" t="n">
        <f aca="false">TblConstr[[#This Row],[Total Lum Cost]]+TblImps[[#This Row],[L1]]-TblProd[[#This Row],[Bank Lumber]] + Military!$CL$25*TblMili[[#This Row],[Sec. rec. Cost]]</f>
        <v>0</v>
      </c>
      <c r="AV112" s="69" t="n">
        <f aca="false">TblMagic[[#This Row],[Mana cost]] + Military!$CL$26*TblMili[[#This Row],[Sec. rec. Cost]]</f>
        <v>0</v>
      </c>
      <c r="AW112" s="69" t="n">
        <f aca="false">Military!$CL$24*TblMili[[#This Row],[Sec. rec. Cost]]+TblImps[[#This Row],[O1]]-TblProd[[#This Row],[Bank Ore]]</f>
        <v>0</v>
      </c>
      <c r="AX112" s="69" t="n">
        <f aca="false">TblImps[[#This Row],[G1]]-TblProd[[#This Row],[Bank Gems]]</f>
        <v>0</v>
      </c>
      <c r="AY112" s="132"/>
      <c r="AZ112" s="33" t="n">
        <f aca="false">IF(TblProd[[#This Row],[Set Guard]]&lt;&gt;"",TblProd[[#This Row],[Set Guard]],OFFSET(TblProd[[#This Row],[Guard]],-1,0))</f>
        <v>0</v>
      </c>
      <c r="BA112" s="145"/>
      <c r="BB112" s="151" t="n">
        <f aca="false">TblProd[[#This Row],[Hour]]</f>
        <v>37</v>
      </c>
      <c r="BC112" s="152" t="n">
        <f aca="false">-TblProd[[#This Row],[Bank Lumber]] / 2 + -TblProd[[#This Row],[Bank Gems]] * 2 + -TblProd[[#This Row],[Bank Ore]] / 2</f>
        <v>0</v>
      </c>
      <c r="BD112" s="152"/>
      <c r="BE112" s="152"/>
      <c r="BF112" s="152"/>
      <c r="BG112" s="153" t="n">
        <f aca="false">TblProd[[#This Row],[Time]]</f>
        <v>45434.25</v>
      </c>
      <c r="BH11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69" t="n">
        <f aca="false">TblProd[[#This Row],[Platinum]]</f>
        <v>1500850</v>
      </c>
      <c r="BJ112" s="69" t="n">
        <f aca="false">TblProd[[#This Row],[Food]]</f>
        <v>6011</v>
      </c>
      <c r="BK112" s="69" t="n">
        <f aca="false">TblProd[[#This Row],[Lumber]]</f>
        <v>43936</v>
      </c>
      <c r="BL112" s="69" t="n">
        <f aca="false">TblProd[[#This Row],[Mana]]</f>
        <v>9980.5</v>
      </c>
      <c r="BM112" s="69" t="n">
        <f aca="false">TblProd[[#This Row],[Ore]]</f>
        <v>0</v>
      </c>
    </row>
    <row r="113" customFormat="false" ht="12.75" hidden="false" customHeight="false" outlineLevel="0" collapsed="false">
      <c r="A113" s="128" t="n">
        <v>38</v>
      </c>
      <c r="B113" s="144" t="n">
        <f aca="false">TblImps[[#This Row],[Time]]</f>
        <v>45434.2916666667</v>
      </c>
      <c r="C113" s="145"/>
      <c r="D113" s="146"/>
      <c r="E113" s="69" t="n">
        <f aca="false">TblConstr[[#This Row],[Land]]</f>
        <v>700</v>
      </c>
      <c r="F113" s="69" t="n">
        <f aca="false">TblPop[[#This Row],[Peasants]]</f>
        <v>6904</v>
      </c>
      <c r="G113" s="69" t="e">
        <f aca="false">TblMili[[#This Row],[Networth (2)]]</f>
        <v>#VALUE!</v>
      </c>
      <c r="H113" s="69" t="n">
        <f aca="false">OFFSET(TblProd[[#This Row],[Platinum]],-1,0)+OFFSET(TblProd[[#This Row],[Plat/hr]],-1,0) - TblProd[[#This Row],[Expenses Platinum]] + IF(TblProd[[#This Row],[Plat Bonus]],TblPop[[#This Row],[Peasants]]*4) + SUM(TblConstr[[#This Row],[Dest Hom]:[Dest Doc]])*TblConstr[[#This Row],[CPA Platinum -DB]]*tech_3_3_2*TblTech[[#This Row],[3-3]]</f>
        <v>1532054</v>
      </c>
      <c r="I113" s="69" t="n">
        <f aca="false">OFFSET(TblProd[[#This Row],[Food]],-1,0)+OFFSET(TblProd[[#This Row],[Food/hr]],-1,0)+ROUNDUP((TblConstr[[#This Row],[Farms]]*80+TblConstr[[#This Row],[Docks]]*35)*(1+OFFSET(TblProd[[#This Row],[Bonus Food/hr]],-1,0)),0)</f>
        <v>6078</v>
      </c>
      <c r="J113" s="69" t="n">
        <f aca="false">OFFSET(TblProd[[#This Row],[Lumber]],-1,0)+OFFSET(TblProd[[#This Row],[Lumber/hr]],-1,0) - TblProd[[#This Row],[Expenses Lumber]] + SUM(TblConstr[[#This Row],[Dest Hom]:[Dest Doc]])*TblConstr[[#This Row],[CPA Lumber -DB]]*tech_3_3_2*TblTech[[#This Row],[3-3]]</f>
        <v>44622</v>
      </c>
      <c r="K113" s="69" t="n">
        <f aca="false">OFFSET(TblProd[[#This Row],[Mana]],-1,0)+OFFSET(TblProd[[#This Row],[Mana/hr]],-1,0)- TblProd[[#This Row],[Expenses Mana]]</f>
        <v>10505.5</v>
      </c>
      <c r="L113" s="69" t="n">
        <f aca="false">OFFSET(TblProd[[#This Row],[Ore]],-1,0)+OFFSET(TblProd[[#This Row],[Ore/hr]],-1,0) -TblProd[[#This Row],[Expenses Ore]]</f>
        <v>0</v>
      </c>
      <c r="M113" s="69" t="n">
        <f aca="false">OFFSET(TblProd[[#This Row],[Gems]],-1,0)+OFFSET(TblProd[[#This Row],[Gems/hr]],-1,0) - TblProd[[#This Row],[Expenses Gems]]</f>
        <v>0</v>
      </c>
      <c r="N113" s="69" t="n">
        <f aca="false">OFFSET(TblProd[[#This Row],[Boats]],-1,0)+OFFSET(TblProd[[#This Row],[Boats/hr]],-1,0)</f>
        <v>72.6500000000001</v>
      </c>
      <c r="O113" s="69" t="n">
        <f aca="false">OFFSET(TblProd[[#This Row],[Prestige]],-1,0)</f>
        <v>250</v>
      </c>
      <c r="P11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3" s="69" t="n">
        <f aca="false">MAX(3750,_xlfn.CEILING.MATH(TblProd[[#This Row],[Land]]*2.5+OFFSET(TblTech[[#This Row],[Sum of tech]],-1,0)*150))</f>
        <v>3750</v>
      </c>
      <c r="R113" s="132"/>
      <c r="S113" s="69" t="n">
        <f aca="false">ROUNDDOWN(TblProd[[#This Row],[Raw Plat/hr]]*(1+TblProd[[#This Row],[Bonus Plat/hr]]),0)</f>
        <v>31015</v>
      </c>
      <c r="T113" s="69" t="n">
        <f aca="false">ROUND(TblProd[[#This Row],[Raw Food/hr]]*(1+TblProd[[#This Row],[Bonus Food/hr]])-TblProd[[#This Row],[Food decay]]-TblProd[[#This Row],[Food eaten]],0)</f>
        <v>66</v>
      </c>
      <c r="U113" s="69" t="n">
        <f aca="false">ROUND(TblProd[[#This Row],[Raw Lumber/hr]]*(1+TblProd[[#This Row],[Bonus Lumber/hr]])-TblProd[[#This Row],[Lumber rot]],0)</f>
        <v>679</v>
      </c>
      <c r="V113" s="69" t="n">
        <f aca="false">ROUND(TblProd[[#This Row],[Raw Mana/hr]]*(1+TblProd[[#This Row],[Bonus Mana/hr]])-TblProd[[#This Row],[Mana drain]],0)</f>
        <v>515</v>
      </c>
      <c r="W113" s="69" t="n">
        <f aca="false">ROUNDDOWN(TblProd[[#This Row],[Raw Ore/hr]]*(1+TblProd[[#This Row],[Bonux Ore/hr]]),0)</f>
        <v>0</v>
      </c>
      <c r="X113" s="69" t="n">
        <f aca="false">ROUNDDOWN(TblProd[[#This Row],[Raw Gems/hr]]*(1+TblProd[[#This Row],[Bonus Gems/hr]]),0)</f>
        <v>0</v>
      </c>
      <c r="Y113" s="148" t="n">
        <f aca="false">OFFSET(TblConstr[[#This Row],[Tot Doc]],1,0)*dock_boats_hr * (1 + tech_4_1*TblTech[[#This Row],[4-1]])</f>
        <v>1.2</v>
      </c>
      <c r="Z113" s="146"/>
      <c r="AA113" s="69" t="n">
        <f aca="false">TblPop[[#This Row],[Peasants]]*tax*TblPop[[#This Row],[Employment]] + (Construction!AZ114+Construction!BX114)*(alch_plat+(Magic!AM113&gt;0)*alchemist_flame_bonus)</f>
        <v>31015.8</v>
      </c>
      <c r="AB113" s="69" t="n">
        <f aca="false">TblConstr[[#This Row],[Tot Farm]]*farm_food + TblConstr[[#This Row],[Tot Doc]]*dock_food</f>
        <v>3280</v>
      </c>
      <c r="AC113" s="69" t="n">
        <f aca="false">TblConstr[[#This Row],[Tot Ly]]*ly_lumber + TblConstr[[#This Row],[Tot Hav]]*fh_lumber</f>
        <v>1250</v>
      </c>
      <c r="AD113" s="69" t="n">
        <f aca="false">OFFSET(TblConstr[[#This Row],[Tot Tow]],1,0)*(tower_mana + tech_4_5*TblTech[[#This Row],[4-5]]) + OFFSET(TblConstr[[#This Row],[Tot WG]],1,0)*wg_mana_prod</f>
        <v>725</v>
      </c>
      <c r="AE113" s="69" t="n">
        <f aca="false">OFFSET(TblConstr[[#This Row],[Tot OM]],1,0)*om_ore+IF(race="Dwarf",ROUNDDOWN(TblMili[[#This Row],[Unit 2]]*0.4,0),)</f>
        <v>0</v>
      </c>
      <c r="AF113" s="69" t="n">
        <f aca="false">OFFSET(TblConstr[[#This Row],[Tot DM]],1,0)*dm_gems</f>
        <v>0</v>
      </c>
      <c r="AG113" s="132"/>
      <c r="AH113" s="149" t="n">
        <f aca="false">MIN(race_platinum_bonus + IF(TblMagic[[#This Row],[Active Alch Frost]]&gt;0,alch_frost_bonus,IF(Magic!AD113&gt;0,midas_bonus)) + TblImps[[#This Row],[Science]] - TblProd[[#This Row],[Guard]]*(0.02 + tech_5_7*TblTech[[#This Row],[5-7]]) + tech_1_5*TblTech[[#This Row],[1-5]] + tech_4_4*TblTech[[#This Row],[4-4]], 0.5)</f>
        <v>0</v>
      </c>
      <c r="AI11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3" s="149" t="n">
        <f aca="false">race_lumber_bonus+ IF(TblMagic[[#This Row],[Active Gaia''s Blessing]]&gt;0,gaias_blessing_lumber)+ tech_1_3*TblTech[[#This Row],[1-3]] + tech_1_6*TblTech[[#This Row],[1-6]] + tech_3_3*TblTech[[#This Row],[3-3]]</f>
        <v>-0.1</v>
      </c>
      <c r="AK113" s="149" t="n">
        <f aca="false">race_mana_bonus+ 0 + TblImps[[#This Row],[Towers]] + tech_1_2*TblTech[[#This Row],[1-2]] + tech_3_4*TblTech[[#This Row],[3-4]]</f>
        <v>0</v>
      </c>
      <c r="AL113" s="149" t="n">
        <f aca="false">race_ore_bonus + IF(TblMagic[[#This Row],[Active Miner''s Sight]]&gt;0,miners_sight_bonus,IF(TblMagic[[#This Row],[Active Mining Strength]]&gt;0,mining_strength_bonus)) +  tech_1_6*TblTech[[#This Row],[1-6]]</f>
        <v>0</v>
      </c>
      <c r="AM113" s="149" t="n">
        <f aca="false">race_gem_bonus+ tech_3_2*TblTech[[#This Row],[3-2]] + tech_4_3*TblTech[[#This Row],[4-3]] + tech_6_2*TblTech[[#This Row],[6-2]]</f>
        <v>0.15</v>
      </c>
      <c r="AN113" s="132"/>
      <c r="AO113" s="69" t="n">
        <f aca="false">TblProd[[#This Row],[Food]]*food_decay * (1 + tech_2_1*TblTech[[#This Row],[2-1]] + tech_2_8*TblTech[[#This Row],[2-8]])</f>
        <v>60.78</v>
      </c>
      <c r="AP113" s="69" t="n">
        <f aca="false">(1+race_food_consumption)*TblPop[[#This Row],[Total]]*food_per_person*(1+tech_1_10*TblTech[[#This Row],[1-10]]+tech_7_5*TblTech[[#This Row],[7-5]])</f>
        <v>3234.75</v>
      </c>
      <c r="AQ113" s="69" t="n">
        <f aca="false">TblProd[[#This Row],[Lumber]]*lumber_rot * (1 + tech_2_1*TblTech[[#This Row],[2-1]] + tech_2_8*TblTech[[#This Row],[2-8]] + tech_5_2*TblTech[[#This Row],[5-2]])</f>
        <v>446.22</v>
      </c>
      <c r="AR113" s="69" t="n">
        <f aca="false">TblProd[[#This Row],[Mana]]*mana_drain * (1 + tech_2_1*TblTech[[#This Row],[2-1]] + tech_2_8*TblTech[[#This Row],[2-8]])</f>
        <v>210.11</v>
      </c>
      <c r="AS113" s="146"/>
      <c r="AT113" s="69" t="n">
        <f aca="false">TblExplore[[#This Row],[Platinum (2)]]+TblConstr[[#This Row],[Total Plat Cost]]+TblMili[[#This Row],[Plat Cost]]+TblRezone[[#This Row],[Platinum cost]]+TblImps[[#This Row],[P1]]-TblProd[[#This Row],[Bank Plat]]</f>
        <v>0</v>
      </c>
      <c r="AU113" s="69" t="n">
        <f aca="false">TblConstr[[#This Row],[Total Lum Cost]]+TblImps[[#This Row],[L1]]-TblProd[[#This Row],[Bank Lumber]] + Military!$CL$25*TblMili[[#This Row],[Sec. rec. Cost]]</f>
        <v>0</v>
      </c>
      <c r="AV113" s="69" t="n">
        <f aca="false">TblMagic[[#This Row],[Mana cost]] + Military!$CL$26*TblMili[[#This Row],[Sec. rec. Cost]]</f>
        <v>0</v>
      </c>
      <c r="AW113" s="69" t="n">
        <f aca="false">Military!$CL$24*TblMili[[#This Row],[Sec. rec. Cost]]+TblImps[[#This Row],[O1]]-TblProd[[#This Row],[Bank Ore]]</f>
        <v>0</v>
      </c>
      <c r="AX113" s="69" t="n">
        <f aca="false">TblImps[[#This Row],[G1]]-TblProd[[#This Row],[Bank Gems]]</f>
        <v>0</v>
      </c>
      <c r="AY113" s="132"/>
      <c r="AZ113" s="33" t="n">
        <f aca="false">IF(TblProd[[#This Row],[Set Guard]]&lt;&gt;"",TblProd[[#This Row],[Set Guard]],OFFSET(TblProd[[#This Row],[Guard]],-1,0))</f>
        <v>0</v>
      </c>
      <c r="BA113" s="145"/>
      <c r="BB113" s="151" t="n">
        <f aca="false">TblProd[[#This Row],[Hour]]</f>
        <v>38</v>
      </c>
      <c r="BC113" s="152" t="n">
        <f aca="false">-TblProd[[#This Row],[Bank Lumber]] / 2 + -TblProd[[#This Row],[Bank Gems]] * 2 + -TblProd[[#This Row],[Bank Ore]] / 2</f>
        <v>0</v>
      </c>
      <c r="BD113" s="152"/>
      <c r="BE113" s="152"/>
      <c r="BF113" s="152"/>
      <c r="BG113" s="153" t="n">
        <f aca="false">TblProd[[#This Row],[Time]]</f>
        <v>45434.2916666667</v>
      </c>
      <c r="BH11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69" t="n">
        <f aca="false">TblProd[[#This Row],[Platinum]]</f>
        <v>1532054</v>
      </c>
      <c r="BJ113" s="69" t="n">
        <f aca="false">TblProd[[#This Row],[Food]]</f>
        <v>6078</v>
      </c>
      <c r="BK113" s="69" t="n">
        <f aca="false">TblProd[[#This Row],[Lumber]]</f>
        <v>44622</v>
      </c>
      <c r="BL113" s="69" t="n">
        <f aca="false">TblProd[[#This Row],[Mana]]</f>
        <v>10505.5</v>
      </c>
      <c r="BM113" s="69" t="n">
        <f aca="false">TblProd[[#This Row],[Ore]]</f>
        <v>0</v>
      </c>
    </row>
    <row r="114" customFormat="false" ht="12.75" hidden="false" customHeight="false" outlineLevel="0" collapsed="false">
      <c r="A114" s="128" t="n">
        <v>39</v>
      </c>
      <c r="B114" s="144" t="n">
        <f aca="false">TblImps[[#This Row],[Time]]</f>
        <v>45434.3333333333</v>
      </c>
      <c r="C114" s="145"/>
      <c r="D114" s="146"/>
      <c r="E114" s="69" t="n">
        <f aca="false">TblConstr[[#This Row],[Land]]</f>
        <v>700</v>
      </c>
      <c r="F114" s="69" t="n">
        <f aca="false">TblPop[[#This Row],[Peasants]]</f>
        <v>6835</v>
      </c>
      <c r="G114" s="69" t="e">
        <f aca="false">TblMili[[#This Row],[Networth (2)]]</f>
        <v>#VALUE!</v>
      </c>
      <c r="H114" s="69" t="n">
        <f aca="false">OFFSET(TblProd[[#This Row],[Platinum]],-1,0)+OFFSET(TblProd[[#This Row],[Plat/hr]],-1,0) - TblProd[[#This Row],[Expenses Platinum]] + IF(TblProd[[#This Row],[Plat Bonus]],TblPop[[#This Row],[Peasants]]*4) + SUM(TblConstr[[#This Row],[Dest Hom]:[Dest Doc]])*TblConstr[[#This Row],[CPA Platinum -DB]]*tech_3_3_2*TblTech[[#This Row],[3-3]]</f>
        <v>1563069</v>
      </c>
      <c r="I114" s="69" t="n">
        <f aca="false">OFFSET(TblProd[[#This Row],[Food]],-1,0)+OFFSET(TblProd[[#This Row],[Food/hr]],-1,0)+ROUNDUP((TblConstr[[#This Row],[Farms]]*80+TblConstr[[#This Row],[Docks]]*35)*(1+OFFSET(TblProd[[#This Row],[Bonus Food/hr]],-1,0)),0)</f>
        <v>6144</v>
      </c>
      <c r="J114" s="69" t="n">
        <f aca="false">OFFSET(TblProd[[#This Row],[Lumber]],-1,0)+OFFSET(TblProd[[#This Row],[Lumber/hr]],-1,0) - TblProd[[#This Row],[Expenses Lumber]] + SUM(TblConstr[[#This Row],[Dest Hom]:[Dest Doc]])*TblConstr[[#This Row],[CPA Lumber -DB]]*tech_3_3_2*TblTech[[#This Row],[3-3]]</f>
        <v>45301</v>
      </c>
      <c r="K114" s="69" t="n">
        <f aca="false">OFFSET(TblProd[[#This Row],[Mana]],-1,0)+OFFSET(TblProd[[#This Row],[Mana/hr]],-1,0)- TblProd[[#This Row],[Expenses Mana]]</f>
        <v>11020.5</v>
      </c>
      <c r="L114" s="69" t="n">
        <f aca="false">OFFSET(TblProd[[#This Row],[Ore]],-1,0)+OFFSET(TblProd[[#This Row],[Ore/hr]],-1,0) -TblProd[[#This Row],[Expenses Ore]]</f>
        <v>0</v>
      </c>
      <c r="M114" s="69" t="n">
        <f aca="false">OFFSET(TblProd[[#This Row],[Gems]],-1,0)+OFFSET(TblProd[[#This Row],[Gems/hr]],-1,0) - TblProd[[#This Row],[Expenses Gems]]</f>
        <v>0</v>
      </c>
      <c r="N114" s="69" t="n">
        <f aca="false">OFFSET(TblProd[[#This Row],[Boats]],-1,0)+OFFSET(TblProd[[#This Row],[Boats/hr]],-1,0)</f>
        <v>73.8500000000001</v>
      </c>
      <c r="O114" s="69" t="n">
        <f aca="false">OFFSET(TblProd[[#This Row],[Prestige]],-1,0)</f>
        <v>250</v>
      </c>
      <c r="P11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4" s="69" t="n">
        <f aca="false">MAX(3750,_xlfn.CEILING.MATH(TblProd[[#This Row],[Land]]*2.5+OFFSET(TblTech[[#This Row],[Sum of tech]],-1,0)*150))</f>
        <v>3750</v>
      </c>
      <c r="R114" s="132"/>
      <c r="S114" s="69" t="n">
        <f aca="false">ROUNDDOWN(TblProd[[#This Row],[Raw Plat/hr]]*(1+TblProd[[#This Row],[Bonus Plat/hr]]),0)</f>
        <v>30829</v>
      </c>
      <c r="T114" s="69" t="n">
        <f aca="false">ROUND(TblProd[[#This Row],[Raw Food/hr]]*(1+TblProd[[#This Row],[Bonus Food/hr]])-TblProd[[#This Row],[Food decay]]-TblProd[[#This Row],[Food eaten]],0)</f>
        <v>66</v>
      </c>
      <c r="U114" s="69" t="n">
        <f aca="false">ROUND(TblProd[[#This Row],[Raw Lumber/hr]]*(1+TblProd[[#This Row],[Bonus Lumber/hr]])-TblProd[[#This Row],[Lumber rot]],0)</f>
        <v>672</v>
      </c>
      <c r="V114" s="69" t="n">
        <f aca="false">ROUND(TblProd[[#This Row],[Raw Mana/hr]]*(1+TblProd[[#This Row],[Bonus Mana/hr]])-TblProd[[#This Row],[Mana drain]],0)</f>
        <v>505</v>
      </c>
      <c r="W114" s="69" t="n">
        <f aca="false">ROUNDDOWN(TblProd[[#This Row],[Raw Ore/hr]]*(1+TblProd[[#This Row],[Bonux Ore/hr]]),0)</f>
        <v>0</v>
      </c>
      <c r="X114" s="69" t="n">
        <f aca="false">ROUNDDOWN(TblProd[[#This Row],[Raw Gems/hr]]*(1+TblProd[[#This Row],[Bonus Gems/hr]]),0)</f>
        <v>0</v>
      </c>
      <c r="Y114" s="148" t="n">
        <f aca="false">OFFSET(TblConstr[[#This Row],[Tot Doc]],1,0)*dock_boats_hr * (1 + tech_4_1*TblTech[[#This Row],[4-1]])</f>
        <v>1.2</v>
      </c>
      <c r="Z114" s="146"/>
      <c r="AA114" s="69" t="n">
        <f aca="false">TblPop[[#This Row],[Peasants]]*tax*TblPop[[#This Row],[Employment]] + (Construction!AZ115+Construction!BX115)*(alch_plat+(Magic!AM114&gt;0)*alchemist_flame_bonus)</f>
        <v>30829.5</v>
      </c>
      <c r="AB114" s="69" t="n">
        <f aca="false">TblConstr[[#This Row],[Tot Farm]]*farm_food + TblConstr[[#This Row],[Tot Doc]]*dock_food</f>
        <v>3280</v>
      </c>
      <c r="AC114" s="69" t="n">
        <f aca="false">TblConstr[[#This Row],[Tot Ly]]*ly_lumber + TblConstr[[#This Row],[Tot Hav]]*fh_lumber</f>
        <v>1250</v>
      </c>
      <c r="AD114" s="69" t="n">
        <f aca="false">OFFSET(TblConstr[[#This Row],[Tot Tow]],1,0)*(tower_mana + tech_4_5*TblTech[[#This Row],[4-5]]) + OFFSET(TblConstr[[#This Row],[Tot WG]],1,0)*wg_mana_prod</f>
        <v>725</v>
      </c>
      <c r="AE114" s="69" t="n">
        <f aca="false">OFFSET(TblConstr[[#This Row],[Tot OM]],1,0)*om_ore+IF(race="Dwarf",ROUNDDOWN(TblMili[[#This Row],[Unit 2]]*0.4,0),)</f>
        <v>0</v>
      </c>
      <c r="AF114" s="69" t="n">
        <f aca="false">OFFSET(TblConstr[[#This Row],[Tot DM]],1,0)*dm_gems</f>
        <v>0</v>
      </c>
      <c r="AG114" s="132"/>
      <c r="AH114" s="149" t="n">
        <f aca="false">MIN(race_platinum_bonus + IF(TblMagic[[#This Row],[Active Alch Frost]]&gt;0,alch_frost_bonus,IF(Magic!AD114&gt;0,midas_bonus)) + TblImps[[#This Row],[Science]] - TblProd[[#This Row],[Guard]]*(0.02 + tech_5_7*TblTech[[#This Row],[5-7]]) + tech_1_5*TblTech[[#This Row],[1-5]] + tech_4_4*TblTech[[#This Row],[4-4]], 0.5)</f>
        <v>0</v>
      </c>
      <c r="AI11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4" s="149" t="n">
        <f aca="false">race_lumber_bonus+ IF(TblMagic[[#This Row],[Active Gaia''s Blessing]]&gt;0,gaias_blessing_lumber)+ tech_1_3*TblTech[[#This Row],[1-3]] + tech_1_6*TblTech[[#This Row],[1-6]] + tech_3_3*TblTech[[#This Row],[3-3]]</f>
        <v>-0.1</v>
      </c>
      <c r="AK114" s="149" t="n">
        <f aca="false">race_mana_bonus+ 0 + TblImps[[#This Row],[Towers]] + tech_1_2*TblTech[[#This Row],[1-2]] + tech_3_4*TblTech[[#This Row],[3-4]]</f>
        <v>0</v>
      </c>
      <c r="AL114" s="149" t="n">
        <f aca="false">race_ore_bonus + IF(TblMagic[[#This Row],[Active Miner''s Sight]]&gt;0,miners_sight_bonus,IF(TblMagic[[#This Row],[Active Mining Strength]]&gt;0,mining_strength_bonus)) +  tech_1_6*TblTech[[#This Row],[1-6]]</f>
        <v>0</v>
      </c>
      <c r="AM114" s="149" t="n">
        <f aca="false">race_gem_bonus+ tech_3_2*TblTech[[#This Row],[3-2]] + tech_4_3*TblTech[[#This Row],[4-3]] + tech_6_2*TblTech[[#This Row],[6-2]]</f>
        <v>0.15</v>
      </c>
      <c r="AN114" s="132"/>
      <c r="AO114" s="69" t="n">
        <f aca="false">TblProd[[#This Row],[Food]]*food_decay * (1 + tech_2_1*TblTech[[#This Row],[2-1]] + tech_2_8*TblTech[[#This Row],[2-8]])</f>
        <v>61.44</v>
      </c>
      <c r="AP114" s="69" t="n">
        <f aca="false">(1+race_food_consumption)*TblPop[[#This Row],[Total]]*food_per_person*(1+tech_1_10*TblTech[[#This Row],[1-10]]+tech_7_5*TblTech[[#This Row],[7-5]])</f>
        <v>3234.75</v>
      </c>
      <c r="AQ114" s="69" t="n">
        <f aca="false">TblProd[[#This Row],[Lumber]]*lumber_rot * (1 + tech_2_1*TblTech[[#This Row],[2-1]] + tech_2_8*TblTech[[#This Row],[2-8]] + tech_5_2*TblTech[[#This Row],[5-2]])</f>
        <v>453.01</v>
      </c>
      <c r="AR114" s="69" t="n">
        <f aca="false">TblProd[[#This Row],[Mana]]*mana_drain * (1 + tech_2_1*TblTech[[#This Row],[2-1]] + tech_2_8*TblTech[[#This Row],[2-8]])</f>
        <v>220.41</v>
      </c>
      <c r="AS114" s="146"/>
      <c r="AT114" s="69" t="n">
        <f aca="false">TblExplore[[#This Row],[Platinum (2)]]+TblConstr[[#This Row],[Total Plat Cost]]+TblMili[[#This Row],[Plat Cost]]+TblRezone[[#This Row],[Platinum cost]]+TblImps[[#This Row],[P1]]-TblProd[[#This Row],[Bank Plat]]</f>
        <v>0</v>
      </c>
      <c r="AU114" s="69" t="n">
        <f aca="false">TblConstr[[#This Row],[Total Lum Cost]]+TblImps[[#This Row],[L1]]-TblProd[[#This Row],[Bank Lumber]] + Military!$CL$25*TblMili[[#This Row],[Sec. rec. Cost]]</f>
        <v>0</v>
      </c>
      <c r="AV114" s="69" t="n">
        <f aca="false">TblMagic[[#This Row],[Mana cost]] + Military!$CL$26*TblMili[[#This Row],[Sec. rec. Cost]]</f>
        <v>0</v>
      </c>
      <c r="AW114" s="69" t="n">
        <f aca="false">Military!$CL$24*TblMili[[#This Row],[Sec. rec. Cost]]+TblImps[[#This Row],[O1]]-TblProd[[#This Row],[Bank Ore]]</f>
        <v>0</v>
      </c>
      <c r="AX114" s="69" t="n">
        <f aca="false">TblImps[[#This Row],[G1]]-TblProd[[#This Row],[Bank Gems]]</f>
        <v>0</v>
      </c>
      <c r="AY114" s="132"/>
      <c r="AZ114" s="33" t="n">
        <f aca="false">IF(TblProd[[#This Row],[Set Guard]]&lt;&gt;"",TblProd[[#This Row],[Set Guard]],OFFSET(TblProd[[#This Row],[Guard]],-1,0))</f>
        <v>0</v>
      </c>
      <c r="BA114" s="145"/>
      <c r="BB114" s="151" t="n">
        <f aca="false">TblProd[[#This Row],[Hour]]</f>
        <v>39</v>
      </c>
      <c r="BC114" s="152" t="n">
        <f aca="false">-TblProd[[#This Row],[Bank Lumber]] / 2 + -TblProd[[#This Row],[Bank Gems]] * 2 + -TblProd[[#This Row],[Bank Ore]] / 2</f>
        <v>0</v>
      </c>
      <c r="BD114" s="152"/>
      <c r="BE114" s="152"/>
      <c r="BF114" s="152"/>
      <c r="BG114" s="153" t="n">
        <f aca="false">TblProd[[#This Row],[Time]]</f>
        <v>45434.3333333333</v>
      </c>
      <c r="BH11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69" t="n">
        <f aca="false">TblProd[[#This Row],[Platinum]]</f>
        <v>1563069</v>
      </c>
      <c r="BJ114" s="69" t="n">
        <f aca="false">TblProd[[#This Row],[Food]]</f>
        <v>6144</v>
      </c>
      <c r="BK114" s="69" t="n">
        <f aca="false">TblProd[[#This Row],[Lumber]]</f>
        <v>45301</v>
      </c>
      <c r="BL114" s="69" t="n">
        <f aca="false">TblProd[[#This Row],[Mana]]</f>
        <v>11020.5</v>
      </c>
      <c r="BM114" s="69" t="n">
        <f aca="false">TblProd[[#This Row],[Ore]]</f>
        <v>0</v>
      </c>
    </row>
    <row r="115" customFormat="false" ht="12.75" hidden="false" customHeight="false" outlineLevel="0" collapsed="false">
      <c r="A115" s="128" t="n">
        <v>40</v>
      </c>
      <c r="B115" s="144" t="n">
        <f aca="false">TblImps[[#This Row],[Time]]</f>
        <v>45434.375</v>
      </c>
      <c r="C115" s="145"/>
      <c r="D115" s="146"/>
      <c r="E115" s="69" t="n">
        <f aca="false">TblConstr[[#This Row],[Land]]</f>
        <v>700</v>
      </c>
      <c r="F115" s="69" t="n">
        <f aca="false">TblPop[[#This Row],[Peasants]]</f>
        <v>6767</v>
      </c>
      <c r="G115" s="69" t="e">
        <f aca="false">TblMili[[#This Row],[Networth (2)]]</f>
        <v>#VALUE!</v>
      </c>
      <c r="H115" s="69" t="n">
        <f aca="false">OFFSET(TblProd[[#This Row],[Platinum]],-1,0)+OFFSET(TblProd[[#This Row],[Plat/hr]],-1,0) - TblProd[[#This Row],[Expenses Platinum]] + IF(TblProd[[#This Row],[Plat Bonus]],TblPop[[#This Row],[Peasants]]*4) + SUM(TblConstr[[#This Row],[Dest Hom]:[Dest Doc]])*TblConstr[[#This Row],[CPA Platinum -DB]]*tech_3_3_2*TblTech[[#This Row],[3-3]]</f>
        <v>1593898</v>
      </c>
      <c r="I115" s="69" t="n">
        <f aca="false">OFFSET(TblProd[[#This Row],[Food]],-1,0)+OFFSET(TblProd[[#This Row],[Food/hr]],-1,0)+ROUNDUP((TblConstr[[#This Row],[Farms]]*80+TblConstr[[#This Row],[Docks]]*35)*(1+OFFSET(TblProd[[#This Row],[Bonus Food/hr]],-1,0)),0)</f>
        <v>6210</v>
      </c>
      <c r="J115" s="69" t="n">
        <f aca="false">OFFSET(TblProd[[#This Row],[Lumber]],-1,0)+OFFSET(TblProd[[#This Row],[Lumber/hr]],-1,0) - TblProd[[#This Row],[Expenses Lumber]] + SUM(TblConstr[[#This Row],[Dest Hom]:[Dest Doc]])*TblConstr[[#This Row],[CPA Lumber -DB]]*tech_3_3_2*TblTech[[#This Row],[3-3]]</f>
        <v>45973</v>
      </c>
      <c r="K115" s="69" t="n">
        <f aca="false">OFFSET(TblProd[[#This Row],[Mana]],-1,0)+OFFSET(TblProd[[#This Row],[Mana/hr]],-1,0)- TblProd[[#This Row],[Expenses Mana]]</f>
        <v>11525.5</v>
      </c>
      <c r="L115" s="69" t="n">
        <f aca="false">OFFSET(TblProd[[#This Row],[Ore]],-1,0)+OFFSET(TblProd[[#This Row],[Ore/hr]],-1,0) -TblProd[[#This Row],[Expenses Ore]]</f>
        <v>0</v>
      </c>
      <c r="M115" s="69" t="n">
        <f aca="false">OFFSET(TblProd[[#This Row],[Gems]],-1,0)+OFFSET(TblProd[[#This Row],[Gems/hr]],-1,0) - TblProd[[#This Row],[Expenses Gems]]</f>
        <v>0</v>
      </c>
      <c r="N115" s="69" t="n">
        <f aca="false">OFFSET(TblProd[[#This Row],[Boats]],-1,0)+OFFSET(TblProd[[#This Row],[Boats/hr]],-1,0)</f>
        <v>75.0500000000001</v>
      </c>
      <c r="O115" s="69" t="n">
        <f aca="false">OFFSET(TblProd[[#This Row],[Prestige]],-1,0)</f>
        <v>250</v>
      </c>
      <c r="P11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5" s="69" t="n">
        <f aca="false">MAX(3750,_xlfn.CEILING.MATH(TblProd[[#This Row],[Land]]*2.5+OFFSET(TblTech[[#This Row],[Sum of tech]],-1,0)*150))</f>
        <v>3750</v>
      </c>
      <c r="R115" s="132"/>
      <c r="S115" s="69" t="n">
        <f aca="false">ROUNDDOWN(TblProd[[#This Row],[Raw Plat/hr]]*(1+TblProd[[#This Row],[Bonus Plat/hr]]),0)</f>
        <v>30645</v>
      </c>
      <c r="T115" s="69" t="n">
        <f aca="false">ROUND(TblProd[[#This Row],[Raw Food/hr]]*(1+TblProd[[#This Row],[Bonus Food/hr]])-TblProd[[#This Row],[Food decay]]-TblProd[[#This Row],[Food eaten]],0)</f>
        <v>65</v>
      </c>
      <c r="U115" s="69" t="n">
        <f aca="false">ROUND(TblProd[[#This Row],[Raw Lumber/hr]]*(1+TblProd[[#This Row],[Bonus Lumber/hr]])-TblProd[[#This Row],[Lumber rot]],0)</f>
        <v>665</v>
      </c>
      <c r="V115" s="69" t="n">
        <f aca="false">ROUND(TblProd[[#This Row],[Raw Mana/hr]]*(1+TblProd[[#This Row],[Bonus Mana/hr]])-TblProd[[#This Row],[Mana drain]],0)</f>
        <v>494</v>
      </c>
      <c r="W115" s="69" t="n">
        <f aca="false">ROUNDDOWN(TblProd[[#This Row],[Raw Ore/hr]]*(1+TblProd[[#This Row],[Bonux Ore/hr]]),0)</f>
        <v>0</v>
      </c>
      <c r="X115" s="69" t="n">
        <f aca="false">ROUNDDOWN(TblProd[[#This Row],[Raw Gems/hr]]*(1+TblProd[[#This Row],[Bonus Gems/hr]]),0)</f>
        <v>0</v>
      </c>
      <c r="Y115" s="148" t="n">
        <f aca="false">OFFSET(TblConstr[[#This Row],[Tot Doc]],1,0)*dock_boats_hr * (1 + tech_4_1*TblTech[[#This Row],[4-1]])</f>
        <v>1.2</v>
      </c>
      <c r="Z115" s="146"/>
      <c r="AA115" s="69" t="n">
        <f aca="false">TblPop[[#This Row],[Peasants]]*tax*TblPop[[#This Row],[Employment]] + (Construction!AZ116+Construction!BX116)*(alch_plat+(Magic!AM115&gt;0)*alchemist_flame_bonus)</f>
        <v>30645.9</v>
      </c>
      <c r="AB115" s="69" t="n">
        <f aca="false">TblConstr[[#This Row],[Tot Farm]]*farm_food + TblConstr[[#This Row],[Tot Doc]]*dock_food</f>
        <v>3280</v>
      </c>
      <c r="AC115" s="69" t="n">
        <f aca="false">TblConstr[[#This Row],[Tot Ly]]*ly_lumber + TblConstr[[#This Row],[Tot Hav]]*fh_lumber</f>
        <v>1250</v>
      </c>
      <c r="AD115" s="69" t="n">
        <f aca="false">OFFSET(TblConstr[[#This Row],[Tot Tow]],1,0)*(tower_mana + tech_4_5*TblTech[[#This Row],[4-5]]) + OFFSET(TblConstr[[#This Row],[Tot WG]],1,0)*wg_mana_prod</f>
        <v>725</v>
      </c>
      <c r="AE115" s="69" t="n">
        <f aca="false">OFFSET(TblConstr[[#This Row],[Tot OM]],1,0)*om_ore+IF(race="Dwarf",ROUNDDOWN(TblMili[[#This Row],[Unit 2]]*0.4,0),)</f>
        <v>0</v>
      </c>
      <c r="AF115" s="69" t="n">
        <f aca="false">OFFSET(TblConstr[[#This Row],[Tot DM]],1,0)*dm_gems</f>
        <v>0</v>
      </c>
      <c r="AG115" s="132"/>
      <c r="AH115" s="149" t="n">
        <f aca="false">MIN(race_platinum_bonus + IF(TblMagic[[#This Row],[Active Alch Frost]]&gt;0,alch_frost_bonus,IF(Magic!AD115&gt;0,midas_bonus)) + TblImps[[#This Row],[Science]] - TblProd[[#This Row],[Guard]]*(0.02 + tech_5_7*TblTech[[#This Row],[5-7]]) + tech_1_5*TblTech[[#This Row],[1-5]] + tech_4_4*TblTech[[#This Row],[4-4]], 0.5)</f>
        <v>0</v>
      </c>
      <c r="AI11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5" s="149" t="n">
        <f aca="false">race_lumber_bonus+ IF(TblMagic[[#This Row],[Active Gaia''s Blessing]]&gt;0,gaias_blessing_lumber)+ tech_1_3*TblTech[[#This Row],[1-3]] + tech_1_6*TblTech[[#This Row],[1-6]] + tech_3_3*TblTech[[#This Row],[3-3]]</f>
        <v>-0.1</v>
      </c>
      <c r="AK115" s="149" t="n">
        <f aca="false">race_mana_bonus+ 0 + TblImps[[#This Row],[Towers]] + tech_1_2*TblTech[[#This Row],[1-2]] + tech_3_4*TblTech[[#This Row],[3-4]]</f>
        <v>0</v>
      </c>
      <c r="AL115" s="149" t="n">
        <f aca="false">race_ore_bonus + IF(TblMagic[[#This Row],[Active Miner''s Sight]]&gt;0,miners_sight_bonus,IF(TblMagic[[#This Row],[Active Mining Strength]]&gt;0,mining_strength_bonus)) +  tech_1_6*TblTech[[#This Row],[1-6]]</f>
        <v>0</v>
      </c>
      <c r="AM115" s="149" t="n">
        <f aca="false">race_gem_bonus+ tech_3_2*TblTech[[#This Row],[3-2]] + tech_4_3*TblTech[[#This Row],[4-3]] + tech_6_2*TblTech[[#This Row],[6-2]]</f>
        <v>0.15</v>
      </c>
      <c r="AN115" s="132"/>
      <c r="AO115" s="69" t="n">
        <f aca="false">TblProd[[#This Row],[Food]]*food_decay * (1 + tech_2_1*TblTech[[#This Row],[2-1]] + tech_2_8*TblTech[[#This Row],[2-8]])</f>
        <v>62.1</v>
      </c>
      <c r="AP115" s="69" t="n">
        <f aca="false">(1+race_food_consumption)*TblPop[[#This Row],[Total]]*food_per_person*(1+tech_1_10*TblTech[[#This Row],[1-10]]+tech_7_5*TblTech[[#This Row],[7-5]])</f>
        <v>3234.75</v>
      </c>
      <c r="AQ115" s="69" t="n">
        <f aca="false">TblProd[[#This Row],[Lumber]]*lumber_rot * (1 + tech_2_1*TblTech[[#This Row],[2-1]] + tech_2_8*TblTech[[#This Row],[2-8]] + tech_5_2*TblTech[[#This Row],[5-2]])</f>
        <v>459.73</v>
      </c>
      <c r="AR115" s="69" t="n">
        <f aca="false">TblProd[[#This Row],[Mana]]*mana_drain * (1 + tech_2_1*TblTech[[#This Row],[2-1]] + tech_2_8*TblTech[[#This Row],[2-8]])</f>
        <v>230.51</v>
      </c>
      <c r="AS115" s="146"/>
      <c r="AT115" s="69" t="n">
        <f aca="false">TblExplore[[#This Row],[Platinum (2)]]+TblConstr[[#This Row],[Total Plat Cost]]+TblMili[[#This Row],[Plat Cost]]+TblRezone[[#This Row],[Platinum cost]]+TblImps[[#This Row],[P1]]-TblProd[[#This Row],[Bank Plat]]</f>
        <v>0</v>
      </c>
      <c r="AU115" s="69" t="n">
        <f aca="false">TblConstr[[#This Row],[Total Lum Cost]]+TblImps[[#This Row],[L1]]-TblProd[[#This Row],[Bank Lumber]] + Military!$CL$25*TblMili[[#This Row],[Sec. rec. Cost]]</f>
        <v>0</v>
      </c>
      <c r="AV115" s="69" t="n">
        <f aca="false">TblMagic[[#This Row],[Mana cost]] + Military!$CL$26*TblMili[[#This Row],[Sec. rec. Cost]]</f>
        <v>0</v>
      </c>
      <c r="AW115" s="69" t="n">
        <f aca="false">Military!$CL$24*TblMili[[#This Row],[Sec. rec. Cost]]+TblImps[[#This Row],[O1]]-TblProd[[#This Row],[Bank Ore]]</f>
        <v>0</v>
      </c>
      <c r="AX115" s="69" t="n">
        <f aca="false">TblImps[[#This Row],[G1]]-TblProd[[#This Row],[Bank Gems]]</f>
        <v>0</v>
      </c>
      <c r="AY115" s="132"/>
      <c r="AZ115" s="33" t="n">
        <f aca="false">IF(TblProd[[#This Row],[Set Guard]]&lt;&gt;"",TblProd[[#This Row],[Set Guard]],OFFSET(TblProd[[#This Row],[Guard]],-1,0))</f>
        <v>0</v>
      </c>
      <c r="BA115" s="145"/>
      <c r="BB115" s="151" t="n">
        <f aca="false">TblProd[[#This Row],[Hour]]</f>
        <v>40</v>
      </c>
      <c r="BC115" s="152" t="n">
        <f aca="false">-TblProd[[#This Row],[Bank Lumber]] / 2 + -TblProd[[#This Row],[Bank Gems]] * 2 + -TblProd[[#This Row],[Bank Ore]] / 2</f>
        <v>0</v>
      </c>
      <c r="BD115" s="152"/>
      <c r="BE115" s="152"/>
      <c r="BF115" s="152"/>
      <c r="BG115" s="153" t="n">
        <f aca="false">TblProd[[#This Row],[Time]]</f>
        <v>45434.375</v>
      </c>
      <c r="BH11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69" t="n">
        <f aca="false">TblProd[[#This Row],[Platinum]]</f>
        <v>1593898</v>
      </c>
      <c r="BJ115" s="69" t="n">
        <f aca="false">TblProd[[#This Row],[Food]]</f>
        <v>6210</v>
      </c>
      <c r="BK115" s="69" t="n">
        <f aca="false">TblProd[[#This Row],[Lumber]]</f>
        <v>45973</v>
      </c>
      <c r="BL115" s="69" t="n">
        <f aca="false">TblProd[[#This Row],[Mana]]</f>
        <v>11525.5</v>
      </c>
      <c r="BM115" s="69" t="n">
        <f aca="false">TblProd[[#This Row],[Ore]]</f>
        <v>0</v>
      </c>
    </row>
    <row r="116" customFormat="false" ht="12.75" hidden="false" customHeight="false" outlineLevel="0" collapsed="false">
      <c r="A116" s="128" t="n">
        <v>41</v>
      </c>
      <c r="B116" s="144" t="n">
        <f aca="false">TblImps[[#This Row],[Time]]</f>
        <v>45434.4166666667</v>
      </c>
      <c r="C116" s="145"/>
      <c r="D116" s="146"/>
      <c r="E116" s="69" t="n">
        <f aca="false">TblConstr[[#This Row],[Land]]</f>
        <v>700</v>
      </c>
      <c r="F116" s="69" t="n">
        <f aca="false">TblPop[[#This Row],[Peasants]]</f>
        <v>6699</v>
      </c>
      <c r="G116" s="69" t="e">
        <f aca="false">TblMili[[#This Row],[Networth (2)]]</f>
        <v>#VALUE!</v>
      </c>
      <c r="H116" s="69" t="n">
        <f aca="false">OFFSET(TblProd[[#This Row],[Platinum]],-1,0)+OFFSET(TblProd[[#This Row],[Plat/hr]],-1,0) - TblProd[[#This Row],[Expenses Platinum]] + IF(TblProd[[#This Row],[Plat Bonus]],TblPop[[#This Row],[Peasants]]*4) + SUM(TblConstr[[#This Row],[Dest Hom]:[Dest Doc]])*TblConstr[[#This Row],[CPA Platinum -DB]]*tech_3_3_2*TblTech[[#This Row],[3-3]]</f>
        <v>1624543</v>
      </c>
      <c r="I116" s="69" t="n">
        <f aca="false">OFFSET(TblProd[[#This Row],[Food]],-1,0)+OFFSET(TblProd[[#This Row],[Food/hr]],-1,0)+ROUNDUP((TblConstr[[#This Row],[Farms]]*80+TblConstr[[#This Row],[Docks]]*35)*(1+OFFSET(TblProd[[#This Row],[Bonus Food/hr]],-1,0)),0)</f>
        <v>6275</v>
      </c>
      <c r="J116" s="69" t="n">
        <f aca="false">OFFSET(TblProd[[#This Row],[Lumber]],-1,0)+OFFSET(TblProd[[#This Row],[Lumber/hr]],-1,0) - TblProd[[#This Row],[Expenses Lumber]] + SUM(TblConstr[[#This Row],[Dest Hom]:[Dest Doc]])*TblConstr[[#This Row],[CPA Lumber -DB]]*tech_3_3_2*TblTech[[#This Row],[3-3]]</f>
        <v>46638</v>
      </c>
      <c r="K116" s="69" t="n">
        <f aca="false">OFFSET(TblProd[[#This Row],[Mana]],-1,0)+OFFSET(TblProd[[#This Row],[Mana/hr]],-1,0)- TblProd[[#This Row],[Expenses Mana]]</f>
        <v>12019.5</v>
      </c>
      <c r="L116" s="69" t="n">
        <f aca="false">OFFSET(TblProd[[#This Row],[Ore]],-1,0)+OFFSET(TblProd[[#This Row],[Ore/hr]],-1,0) -TblProd[[#This Row],[Expenses Ore]]</f>
        <v>0</v>
      </c>
      <c r="M116" s="69" t="n">
        <f aca="false">OFFSET(TblProd[[#This Row],[Gems]],-1,0)+OFFSET(TblProd[[#This Row],[Gems/hr]],-1,0) - TblProd[[#This Row],[Expenses Gems]]</f>
        <v>0</v>
      </c>
      <c r="N116" s="69" t="n">
        <f aca="false">OFFSET(TblProd[[#This Row],[Boats]],-1,0)+OFFSET(TblProd[[#This Row],[Boats/hr]],-1,0)</f>
        <v>76.2500000000001</v>
      </c>
      <c r="O116" s="69" t="n">
        <f aca="false">OFFSET(TblProd[[#This Row],[Prestige]],-1,0)</f>
        <v>250</v>
      </c>
      <c r="P11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6" s="69" t="n">
        <f aca="false">MAX(3750,_xlfn.CEILING.MATH(TblProd[[#This Row],[Land]]*2.5+OFFSET(TblTech[[#This Row],[Sum of tech]],-1,0)*150))</f>
        <v>3750</v>
      </c>
      <c r="R116" s="132"/>
      <c r="S116" s="69" t="n">
        <f aca="false">ROUNDDOWN(TblProd[[#This Row],[Raw Plat/hr]]*(1+TblProd[[#This Row],[Bonus Plat/hr]]),0)</f>
        <v>30462</v>
      </c>
      <c r="T116" s="69" t="n">
        <f aca="false">ROUND(TblProd[[#This Row],[Raw Food/hr]]*(1+TblProd[[#This Row],[Bonus Food/hr]])-TblProd[[#This Row],[Food decay]]-TblProd[[#This Row],[Food eaten]],0)</f>
        <v>64</v>
      </c>
      <c r="U116" s="69" t="n">
        <f aca="false">ROUND(TblProd[[#This Row],[Raw Lumber/hr]]*(1+TblProd[[#This Row],[Bonus Lumber/hr]])-TblProd[[#This Row],[Lumber rot]],0)</f>
        <v>659</v>
      </c>
      <c r="V116" s="69" t="n">
        <f aca="false">ROUND(TblProd[[#This Row],[Raw Mana/hr]]*(1+TblProd[[#This Row],[Bonus Mana/hr]])-TblProd[[#This Row],[Mana drain]],0)</f>
        <v>485</v>
      </c>
      <c r="W116" s="69" t="n">
        <f aca="false">ROUNDDOWN(TblProd[[#This Row],[Raw Ore/hr]]*(1+TblProd[[#This Row],[Bonux Ore/hr]]),0)</f>
        <v>0</v>
      </c>
      <c r="X116" s="69" t="n">
        <f aca="false">ROUNDDOWN(TblProd[[#This Row],[Raw Gems/hr]]*(1+TblProd[[#This Row],[Bonus Gems/hr]]),0)</f>
        <v>0</v>
      </c>
      <c r="Y116" s="148" t="n">
        <f aca="false">OFFSET(TblConstr[[#This Row],[Tot Doc]],1,0)*dock_boats_hr * (1 + tech_4_1*TblTech[[#This Row],[4-1]])</f>
        <v>1.2</v>
      </c>
      <c r="Z116" s="146"/>
      <c r="AA116" s="69" t="n">
        <f aca="false">TblPop[[#This Row],[Peasants]]*tax*TblPop[[#This Row],[Employment]] + (Construction!AZ117+Construction!BX117)*(alch_plat+(Magic!AM116&gt;0)*alchemist_flame_bonus)</f>
        <v>30462.3</v>
      </c>
      <c r="AB116" s="69" t="n">
        <f aca="false">TblConstr[[#This Row],[Tot Farm]]*farm_food + TblConstr[[#This Row],[Tot Doc]]*dock_food</f>
        <v>3280</v>
      </c>
      <c r="AC116" s="69" t="n">
        <f aca="false">TblConstr[[#This Row],[Tot Ly]]*ly_lumber + TblConstr[[#This Row],[Tot Hav]]*fh_lumber</f>
        <v>1250</v>
      </c>
      <c r="AD116" s="69" t="n">
        <f aca="false">OFFSET(TblConstr[[#This Row],[Tot Tow]],1,0)*(tower_mana + tech_4_5*TblTech[[#This Row],[4-5]]) + OFFSET(TblConstr[[#This Row],[Tot WG]],1,0)*wg_mana_prod</f>
        <v>725</v>
      </c>
      <c r="AE116" s="69" t="n">
        <f aca="false">OFFSET(TblConstr[[#This Row],[Tot OM]],1,0)*om_ore+IF(race="Dwarf",ROUNDDOWN(TblMili[[#This Row],[Unit 2]]*0.4,0),)</f>
        <v>0</v>
      </c>
      <c r="AF116" s="69" t="n">
        <f aca="false">OFFSET(TblConstr[[#This Row],[Tot DM]],1,0)*dm_gems</f>
        <v>0</v>
      </c>
      <c r="AG116" s="132"/>
      <c r="AH116" s="149" t="n">
        <f aca="false">MIN(race_platinum_bonus + IF(TblMagic[[#This Row],[Active Alch Frost]]&gt;0,alch_frost_bonus,IF(Magic!AD116&gt;0,midas_bonus)) + TblImps[[#This Row],[Science]] - TblProd[[#This Row],[Guard]]*(0.02 + tech_5_7*TblTech[[#This Row],[5-7]]) + tech_1_5*TblTech[[#This Row],[1-5]] + tech_4_4*TblTech[[#This Row],[4-4]], 0.5)</f>
        <v>0</v>
      </c>
      <c r="AI11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6" s="149" t="n">
        <f aca="false">race_lumber_bonus+ IF(TblMagic[[#This Row],[Active Gaia''s Blessing]]&gt;0,gaias_blessing_lumber)+ tech_1_3*TblTech[[#This Row],[1-3]] + tech_1_6*TblTech[[#This Row],[1-6]] + tech_3_3*TblTech[[#This Row],[3-3]]</f>
        <v>-0.1</v>
      </c>
      <c r="AK116" s="149" t="n">
        <f aca="false">race_mana_bonus+ 0 + TblImps[[#This Row],[Towers]] + tech_1_2*TblTech[[#This Row],[1-2]] + tech_3_4*TblTech[[#This Row],[3-4]]</f>
        <v>0</v>
      </c>
      <c r="AL116" s="149" t="n">
        <f aca="false">race_ore_bonus + IF(TblMagic[[#This Row],[Active Miner''s Sight]]&gt;0,miners_sight_bonus,IF(TblMagic[[#This Row],[Active Mining Strength]]&gt;0,mining_strength_bonus)) +  tech_1_6*TblTech[[#This Row],[1-6]]</f>
        <v>0</v>
      </c>
      <c r="AM116" s="149" t="n">
        <f aca="false">race_gem_bonus+ tech_3_2*TblTech[[#This Row],[3-2]] + tech_4_3*TblTech[[#This Row],[4-3]] + tech_6_2*TblTech[[#This Row],[6-2]]</f>
        <v>0.15</v>
      </c>
      <c r="AN116" s="132"/>
      <c r="AO116" s="69" t="n">
        <f aca="false">TblProd[[#This Row],[Food]]*food_decay * (1 + tech_2_1*TblTech[[#This Row],[2-1]] + tech_2_8*TblTech[[#This Row],[2-8]])</f>
        <v>62.75</v>
      </c>
      <c r="AP116" s="69" t="n">
        <f aca="false">(1+race_food_consumption)*TblPop[[#This Row],[Total]]*food_per_person*(1+tech_1_10*TblTech[[#This Row],[1-10]]+tech_7_5*TblTech[[#This Row],[7-5]])</f>
        <v>3234.75</v>
      </c>
      <c r="AQ116" s="69" t="n">
        <f aca="false">TblProd[[#This Row],[Lumber]]*lumber_rot * (1 + tech_2_1*TblTech[[#This Row],[2-1]] + tech_2_8*TblTech[[#This Row],[2-8]] + tech_5_2*TblTech[[#This Row],[5-2]])</f>
        <v>466.38</v>
      </c>
      <c r="AR116" s="69" t="n">
        <f aca="false">TblProd[[#This Row],[Mana]]*mana_drain * (1 + tech_2_1*TblTech[[#This Row],[2-1]] + tech_2_8*TblTech[[#This Row],[2-8]])</f>
        <v>240.39</v>
      </c>
      <c r="AS116" s="146"/>
      <c r="AT116" s="69" t="n">
        <f aca="false">TblExplore[[#This Row],[Platinum (2)]]+TblConstr[[#This Row],[Total Plat Cost]]+TblMili[[#This Row],[Plat Cost]]+TblRezone[[#This Row],[Platinum cost]]+TblImps[[#This Row],[P1]]-TblProd[[#This Row],[Bank Plat]]</f>
        <v>0</v>
      </c>
      <c r="AU116" s="69" t="n">
        <f aca="false">TblConstr[[#This Row],[Total Lum Cost]]+TblImps[[#This Row],[L1]]-TblProd[[#This Row],[Bank Lumber]] + Military!$CL$25*TblMili[[#This Row],[Sec. rec. Cost]]</f>
        <v>0</v>
      </c>
      <c r="AV116" s="69" t="n">
        <f aca="false">TblMagic[[#This Row],[Mana cost]] + Military!$CL$26*TblMili[[#This Row],[Sec. rec. Cost]]</f>
        <v>0</v>
      </c>
      <c r="AW116" s="69" t="n">
        <f aca="false">Military!$CL$24*TblMili[[#This Row],[Sec. rec. Cost]]+TblImps[[#This Row],[O1]]-TblProd[[#This Row],[Bank Ore]]</f>
        <v>0</v>
      </c>
      <c r="AX116" s="69" t="n">
        <f aca="false">TblImps[[#This Row],[G1]]-TblProd[[#This Row],[Bank Gems]]</f>
        <v>0</v>
      </c>
      <c r="AY116" s="132"/>
      <c r="AZ116" s="33" t="n">
        <f aca="false">IF(TblProd[[#This Row],[Set Guard]]&lt;&gt;"",TblProd[[#This Row],[Set Guard]],OFFSET(TblProd[[#This Row],[Guard]],-1,0))</f>
        <v>0</v>
      </c>
      <c r="BA116" s="145"/>
      <c r="BB116" s="151" t="n">
        <f aca="false">TblProd[[#This Row],[Hour]]</f>
        <v>41</v>
      </c>
      <c r="BC116" s="152" t="n">
        <f aca="false">-TblProd[[#This Row],[Bank Lumber]] / 2 + -TblProd[[#This Row],[Bank Gems]] * 2 + -TblProd[[#This Row],[Bank Ore]] / 2</f>
        <v>0</v>
      </c>
      <c r="BD116" s="152"/>
      <c r="BE116" s="152"/>
      <c r="BF116" s="152"/>
      <c r="BG116" s="153" t="n">
        <f aca="false">TblProd[[#This Row],[Time]]</f>
        <v>45434.4166666667</v>
      </c>
      <c r="BH11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69" t="n">
        <f aca="false">TblProd[[#This Row],[Platinum]]</f>
        <v>1624543</v>
      </c>
      <c r="BJ116" s="69" t="n">
        <f aca="false">TblProd[[#This Row],[Food]]</f>
        <v>6275</v>
      </c>
      <c r="BK116" s="69" t="n">
        <f aca="false">TblProd[[#This Row],[Lumber]]</f>
        <v>46638</v>
      </c>
      <c r="BL116" s="69" t="n">
        <f aca="false">TblProd[[#This Row],[Mana]]</f>
        <v>12019.5</v>
      </c>
      <c r="BM116" s="69" t="n">
        <f aca="false">TblProd[[#This Row],[Ore]]</f>
        <v>0</v>
      </c>
    </row>
    <row r="117" customFormat="false" ht="12.75" hidden="false" customHeight="false" outlineLevel="0" collapsed="false">
      <c r="A117" s="128" t="n">
        <v>42</v>
      </c>
      <c r="B117" s="144" t="n">
        <f aca="false">TblImps[[#This Row],[Time]]</f>
        <v>45434.4583333333</v>
      </c>
      <c r="C117" s="145"/>
      <c r="D117" s="146"/>
      <c r="E117" s="69" t="n">
        <f aca="false">TblConstr[[#This Row],[Land]]</f>
        <v>700</v>
      </c>
      <c r="F117" s="69" t="n">
        <f aca="false">TblPop[[#This Row],[Peasants]]</f>
        <v>6632</v>
      </c>
      <c r="G117" s="69" t="e">
        <f aca="false">TblMili[[#This Row],[Networth (2)]]</f>
        <v>#VALUE!</v>
      </c>
      <c r="H117" s="69" t="n">
        <f aca="false">OFFSET(TblProd[[#This Row],[Platinum]],-1,0)+OFFSET(TblProd[[#This Row],[Plat/hr]],-1,0) - TblProd[[#This Row],[Expenses Platinum]] + IF(TblProd[[#This Row],[Plat Bonus]],TblPop[[#This Row],[Peasants]]*4) + SUM(TblConstr[[#This Row],[Dest Hom]:[Dest Doc]])*TblConstr[[#This Row],[CPA Platinum -DB]]*tech_3_3_2*TblTech[[#This Row],[3-3]]</f>
        <v>1655005</v>
      </c>
      <c r="I117" s="69" t="n">
        <f aca="false">OFFSET(TblProd[[#This Row],[Food]],-1,0)+OFFSET(TblProd[[#This Row],[Food/hr]],-1,0)+ROUNDUP((TblConstr[[#This Row],[Farms]]*80+TblConstr[[#This Row],[Docks]]*35)*(1+OFFSET(TblProd[[#This Row],[Bonus Food/hr]],-1,0)),0)</f>
        <v>6339</v>
      </c>
      <c r="J117" s="69" t="n">
        <f aca="false">OFFSET(TblProd[[#This Row],[Lumber]],-1,0)+OFFSET(TblProd[[#This Row],[Lumber/hr]],-1,0) - TblProd[[#This Row],[Expenses Lumber]] + SUM(TblConstr[[#This Row],[Dest Hom]:[Dest Doc]])*TblConstr[[#This Row],[CPA Lumber -DB]]*tech_3_3_2*TblTech[[#This Row],[3-3]]</f>
        <v>47297</v>
      </c>
      <c r="K117" s="69" t="n">
        <f aca="false">OFFSET(TblProd[[#This Row],[Mana]],-1,0)+OFFSET(TblProd[[#This Row],[Mana/hr]],-1,0)- TblProd[[#This Row],[Expenses Mana]]</f>
        <v>12504.5</v>
      </c>
      <c r="L117" s="69" t="n">
        <f aca="false">OFFSET(TblProd[[#This Row],[Ore]],-1,0)+OFFSET(TblProd[[#This Row],[Ore/hr]],-1,0) -TblProd[[#This Row],[Expenses Ore]]</f>
        <v>0</v>
      </c>
      <c r="M117" s="69" t="n">
        <f aca="false">OFFSET(TblProd[[#This Row],[Gems]],-1,0)+OFFSET(TblProd[[#This Row],[Gems/hr]],-1,0) - TblProd[[#This Row],[Expenses Gems]]</f>
        <v>0</v>
      </c>
      <c r="N117" s="69" t="n">
        <f aca="false">OFFSET(TblProd[[#This Row],[Boats]],-1,0)+OFFSET(TblProd[[#This Row],[Boats/hr]],-1,0)</f>
        <v>77.4500000000001</v>
      </c>
      <c r="O117" s="69" t="n">
        <f aca="false">OFFSET(TblProd[[#This Row],[Prestige]],-1,0)</f>
        <v>250</v>
      </c>
      <c r="P11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7" s="69" t="n">
        <f aca="false">MAX(3750,_xlfn.CEILING.MATH(TblProd[[#This Row],[Land]]*2.5+OFFSET(TblTech[[#This Row],[Sum of tech]],-1,0)*150))</f>
        <v>3750</v>
      </c>
      <c r="R117" s="132"/>
      <c r="S117" s="69" t="n">
        <f aca="false">ROUNDDOWN(TblProd[[#This Row],[Raw Plat/hr]]*(1+TblProd[[#This Row],[Bonus Plat/hr]]),0)</f>
        <v>30281</v>
      </c>
      <c r="T117" s="69" t="n">
        <f aca="false">ROUND(TblProd[[#This Row],[Raw Food/hr]]*(1+TblProd[[#This Row],[Bonus Food/hr]])-TblProd[[#This Row],[Food decay]]-TblProd[[#This Row],[Food eaten]],0)</f>
        <v>64</v>
      </c>
      <c r="U117" s="69" t="n">
        <f aca="false">ROUND(TblProd[[#This Row],[Raw Lumber/hr]]*(1+TblProd[[#This Row],[Bonus Lumber/hr]])-TblProd[[#This Row],[Lumber rot]],0)</f>
        <v>652</v>
      </c>
      <c r="V117" s="69" t="n">
        <f aca="false">ROUND(TblProd[[#This Row],[Raw Mana/hr]]*(1+TblProd[[#This Row],[Bonus Mana/hr]])-TblProd[[#This Row],[Mana drain]],0)</f>
        <v>475</v>
      </c>
      <c r="W117" s="69" t="n">
        <f aca="false">ROUNDDOWN(TblProd[[#This Row],[Raw Ore/hr]]*(1+TblProd[[#This Row],[Bonux Ore/hr]]),0)</f>
        <v>0</v>
      </c>
      <c r="X117" s="69" t="n">
        <f aca="false">ROUNDDOWN(TblProd[[#This Row],[Raw Gems/hr]]*(1+TblProd[[#This Row],[Bonus Gems/hr]]),0)</f>
        <v>0</v>
      </c>
      <c r="Y117" s="148" t="n">
        <f aca="false">OFFSET(TblConstr[[#This Row],[Tot Doc]],1,0)*dock_boats_hr * (1 + tech_4_1*TblTech[[#This Row],[4-1]])</f>
        <v>1.2</v>
      </c>
      <c r="Z117" s="146"/>
      <c r="AA117" s="69" t="n">
        <f aca="false">TblPop[[#This Row],[Peasants]]*tax*TblPop[[#This Row],[Employment]] + (Construction!AZ118+Construction!BX118)*(alch_plat+(Magic!AM117&gt;0)*alchemist_flame_bonus)</f>
        <v>30281.4</v>
      </c>
      <c r="AB117" s="69" t="n">
        <f aca="false">TblConstr[[#This Row],[Tot Farm]]*farm_food + TblConstr[[#This Row],[Tot Doc]]*dock_food</f>
        <v>3280</v>
      </c>
      <c r="AC117" s="69" t="n">
        <f aca="false">TblConstr[[#This Row],[Tot Ly]]*ly_lumber + TblConstr[[#This Row],[Tot Hav]]*fh_lumber</f>
        <v>1250</v>
      </c>
      <c r="AD117" s="69" t="n">
        <f aca="false">OFFSET(TblConstr[[#This Row],[Tot Tow]],1,0)*(tower_mana + tech_4_5*TblTech[[#This Row],[4-5]]) + OFFSET(TblConstr[[#This Row],[Tot WG]],1,0)*wg_mana_prod</f>
        <v>725</v>
      </c>
      <c r="AE117" s="69" t="n">
        <f aca="false">OFFSET(TblConstr[[#This Row],[Tot OM]],1,0)*om_ore+IF(race="Dwarf",ROUNDDOWN(TblMili[[#This Row],[Unit 2]]*0.4,0),)</f>
        <v>0</v>
      </c>
      <c r="AF117" s="69" t="n">
        <f aca="false">OFFSET(TblConstr[[#This Row],[Tot DM]],1,0)*dm_gems</f>
        <v>0</v>
      </c>
      <c r="AG117" s="132"/>
      <c r="AH117" s="149" t="n">
        <f aca="false">MIN(race_platinum_bonus + IF(TblMagic[[#This Row],[Active Alch Frost]]&gt;0,alch_frost_bonus,IF(Magic!AD117&gt;0,midas_bonus)) + TblImps[[#This Row],[Science]] - TblProd[[#This Row],[Guard]]*(0.02 + tech_5_7*TblTech[[#This Row],[5-7]]) + tech_1_5*TblTech[[#This Row],[1-5]] + tech_4_4*TblTech[[#This Row],[4-4]], 0.5)</f>
        <v>0</v>
      </c>
      <c r="AI11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7" s="149" t="n">
        <f aca="false">race_lumber_bonus+ IF(TblMagic[[#This Row],[Active Gaia''s Blessing]]&gt;0,gaias_blessing_lumber)+ tech_1_3*TblTech[[#This Row],[1-3]] + tech_1_6*TblTech[[#This Row],[1-6]] + tech_3_3*TblTech[[#This Row],[3-3]]</f>
        <v>-0.1</v>
      </c>
      <c r="AK117" s="149" t="n">
        <f aca="false">race_mana_bonus+ 0 + TblImps[[#This Row],[Towers]] + tech_1_2*TblTech[[#This Row],[1-2]] + tech_3_4*TblTech[[#This Row],[3-4]]</f>
        <v>0</v>
      </c>
      <c r="AL117" s="149" t="n">
        <f aca="false">race_ore_bonus + IF(TblMagic[[#This Row],[Active Miner''s Sight]]&gt;0,miners_sight_bonus,IF(TblMagic[[#This Row],[Active Mining Strength]]&gt;0,mining_strength_bonus)) +  tech_1_6*TblTech[[#This Row],[1-6]]</f>
        <v>0</v>
      </c>
      <c r="AM117" s="149" t="n">
        <f aca="false">race_gem_bonus+ tech_3_2*TblTech[[#This Row],[3-2]] + tech_4_3*TblTech[[#This Row],[4-3]] + tech_6_2*TblTech[[#This Row],[6-2]]</f>
        <v>0.15</v>
      </c>
      <c r="AN117" s="132"/>
      <c r="AO117" s="69" t="n">
        <f aca="false">TblProd[[#This Row],[Food]]*food_decay * (1 + tech_2_1*TblTech[[#This Row],[2-1]] + tech_2_8*TblTech[[#This Row],[2-8]])</f>
        <v>63.39</v>
      </c>
      <c r="AP117" s="69" t="n">
        <f aca="false">(1+race_food_consumption)*TblPop[[#This Row],[Total]]*food_per_person*(1+tech_1_10*TblTech[[#This Row],[1-10]]+tech_7_5*TblTech[[#This Row],[7-5]])</f>
        <v>3234.75</v>
      </c>
      <c r="AQ117" s="69" t="n">
        <f aca="false">TblProd[[#This Row],[Lumber]]*lumber_rot * (1 + tech_2_1*TblTech[[#This Row],[2-1]] + tech_2_8*TblTech[[#This Row],[2-8]] + tech_5_2*TblTech[[#This Row],[5-2]])</f>
        <v>472.97</v>
      </c>
      <c r="AR117" s="69" t="n">
        <f aca="false">TblProd[[#This Row],[Mana]]*mana_drain * (1 + tech_2_1*TblTech[[#This Row],[2-1]] + tech_2_8*TblTech[[#This Row],[2-8]])</f>
        <v>250.09</v>
      </c>
      <c r="AS117" s="146"/>
      <c r="AT117" s="69" t="n">
        <f aca="false">TblExplore[[#This Row],[Platinum (2)]]+TblConstr[[#This Row],[Total Plat Cost]]+TblMili[[#This Row],[Plat Cost]]+TblRezone[[#This Row],[Platinum cost]]+TblImps[[#This Row],[P1]]-TblProd[[#This Row],[Bank Plat]]</f>
        <v>0</v>
      </c>
      <c r="AU117" s="69" t="n">
        <f aca="false">TblConstr[[#This Row],[Total Lum Cost]]+TblImps[[#This Row],[L1]]-TblProd[[#This Row],[Bank Lumber]] + Military!$CL$25*TblMili[[#This Row],[Sec. rec. Cost]]</f>
        <v>0</v>
      </c>
      <c r="AV117" s="69" t="n">
        <f aca="false">TblMagic[[#This Row],[Mana cost]] + Military!$CL$26*TblMili[[#This Row],[Sec. rec. Cost]]</f>
        <v>0</v>
      </c>
      <c r="AW117" s="69" t="n">
        <f aca="false">Military!$CL$24*TblMili[[#This Row],[Sec. rec. Cost]]+TblImps[[#This Row],[O1]]-TblProd[[#This Row],[Bank Ore]]</f>
        <v>0</v>
      </c>
      <c r="AX117" s="69" t="n">
        <f aca="false">TblImps[[#This Row],[G1]]-TblProd[[#This Row],[Bank Gems]]</f>
        <v>0</v>
      </c>
      <c r="AY117" s="132"/>
      <c r="AZ117" s="33" t="n">
        <f aca="false">IF(TblProd[[#This Row],[Set Guard]]&lt;&gt;"",TblProd[[#This Row],[Set Guard]],OFFSET(TblProd[[#This Row],[Guard]],-1,0))</f>
        <v>0</v>
      </c>
      <c r="BA117" s="145"/>
      <c r="BB117" s="151" t="n">
        <f aca="false">TblProd[[#This Row],[Hour]]</f>
        <v>42</v>
      </c>
      <c r="BC117" s="152" t="n">
        <f aca="false">-TblProd[[#This Row],[Bank Lumber]] / 2 + -TblProd[[#This Row],[Bank Gems]] * 2 + -TblProd[[#This Row],[Bank Ore]] / 2</f>
        <v>0</v>
      </c>
      <c r="BD117" s="152"/>
      <c r="BE117" s="152"/>
      <c r="BF117" s="152"/>
      <c r="BG117" s="153" t="n">
        <f aca="false">TblProd[[#This Row],[Time]]</f>
        <v>45434.4583333333</v>
      </c>
      <c r="BH11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69" t="n">
        <f aca="false">TblProd[[#This Row],[Platinum]]</f>
        <v>1655005</v>
      </c>
      <c r="BJ117" s="69" t="n">
        <f aca="false">TblProd[[#This Row],[Food]]</f>
        <v>6339</v>
      </c>
      <c r="BK117" s="69" t="n">
        <f aca="false">TblProd[[#This Row],[Lumber]]</f>
        <v>47297</v>
      </c>
      <c r="BL117" s="69" t="n">
        <f aca="false">TblProd[[#This Row],[Mana]]</f>
        <v>12504.5</v>
      </c>
      <c r="BM117" s="69" t="n">
        <f aca="false">TblProd[[#This Row],[Ore]]</f>
        <v>0</v>
      </c>
    </row>
    <row r="118" customFormat="false" ht="12.75" hidden="false" customHeight="false" outlineLevel="0" collapsed="false">
      <c r="A118" s="128" t="n">
        <v>43</v>
      </c>
      <c r="B118" s="144" t="n">
        <f aca="false">TblImps[[#This Row],[Time]]</f>
        <v>45434.5</v>
      </c>
      <c r="C118" s="145"/>
      <c r="D118" s="146"/>
      <c r="E118" s="69" t="n">
        <f aca="false">TblConstr[[#This Row],[Land]]</f>
        <v>700</v>
      </c>
      <c r="F118" s="69" t="n">
        <f aca="false">TblPop[[#This Row],[Peasants]]</f>
        <v>6566</v>
      </c>
      <c r="G118" s="69" t="e">
        <f aca="false">TblMili[[#This Row],[Networth (2)]]</f>
        <v>#VALUE!</v>
      </c>
      <c r="H118" s="69" t="n">
        <f aca="false">OFFSET(TblProd[[#This Row],[Platinum]],-1,0)+OFFSET(TblProd[[#This Row],[Plat/hr]],-1,0) - TblProd[[#This Row],[Expenses Platinum]] + IF(TblProd[[#This Row],[Plat Bonus]],TblPop[[#This Row],[Peasants]]*4) + SUM(TblConstr[[#This Row],[Dest Hom]:[Dest Doc]])*TblConstr[[#This Row],[CPA Platinum -DB]]*tech_3_3_2*TblTech[[#This Row],[3-3]]</f>
        <v>1685286</v>
      </c>
      <c r="I118" s="69" t="n">
        <f aca="false">OFFSET(TblProd[[#This Row],[Food]],-1,0)+OFFSET(TblProd[[#This Row],[Food/hr]],-1,0)+ROUNDUP((TblConstr[[#This Row],[Farms]]*80+TblConstr[[#This Row],[Docks]]*35)*(1+OFFSET(TblProd[[#This Row],[Bonus Food/hr]],-1,0)),0)</f>
        <v>6403</v>
      </c>
      <c r="J118" s="69" t="n">
        <f aca="false">OFFSET(TblProd[[#This Row],[Lumber]],-1,0)+OFFSET(TblProd[[#This Row],[Lumber/hr]],-1,0) - TblProd[[#This Row],[Expenses Lumber]] + SUM(TblConstr[[#This Row],[Dest Hom]:[Dest Doc]])*TblConstr[[#This Row],[CPA Lumber -DB]]*tech_3_3_2*TblTech[[#This Row],[3-3]]</f>
        <v>47949</v>
      </c>
      <c r="K118" s="69" t="n">
        <f aca="false">OFFSET(TblProd[[#This Row],[Mana]],-1,0)+OFFSET(TblProd[[#This Row],[Mana/hr]],-1,0)- TblProd[[#This Row],[Expenses Mana]]</f>
        <v>12979.5</v>
      </c>
      <c r="L118" s="69" t="n">
        <f aca="false">OFFSET(TblProd[[#This Row],[Ore]],-1,0)+OFFSET(TblProd[[#This Row],[Ore/hr]],-1,0) -TblProd[[#This Row],[Expenses Ore]]</f>
        <v>0</v>
      </c>
      <c r="M118" s="69" t="n">
        <f aca="false">OFFSET(TblProd[[#This Row],[Gems]],-1,0)+OFFSET(TblProd[[#This Row],[Gems/hr]],-1,0) - TblProd[[#This Row],[Expenses Gems]]</f>
        <v>0</v>
      </c>
      <c r="N118" s="69" t="n">
        <f aca="false">OFFSET(TblProd[[#This Row],[Boats]],-1,0)+OFFSET(TblProd[[#This Row],[Boats/hr]],-1,0)</f>
        <v>78.6500000000001</v>
      </c>
      <c r="O118" s="69" t="n">
        <f aca="false">OFFSET(TblProd[[#This Row],[Prestige]],-1,0)</f>
        <v>250</v>
      </c>
      <c r="P11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8" s="69" t="n">
        <f aca="false">MAX(3750,_xlfn.CEILING.MATH(TblProd[[#This Row],[Land]]*2.5+OFFSET(TblTech[[#This Row],[Sum of tech]],-1,0)*150))</f>
        <v>3750</v>
      </c>
      <c r="R118" s="132"/>
      <c r="S118" s="69" t="n">
        <f aca="false">ROUNDDOWN(TblProd[[#This Row],[Raw Plat/hr]]*(1+TblProd[[#This Row],[Bonus Plat/hr]]),0)</f>
        <v>30103</v>
      </c>
      <c r="T118" s="69" t="n">
        <f aca="false">ROUND(TblProd[[#This Row],[Raw Food/hr]]*(1+TblProd[[#This Row],[Bonus Food/hr]])-TblProd[[#This Row],[Food decay]]-TblProd[[#This Row],[Food eaten]],0)</f>
        <v>63</v>
      </c>
      <c r="U118" s="69" t="n">
        <f aca="false">ROUND(TblProd[[#This Row],[Raw Lumber/hr]]*(1+TblProd[[#This Row],[Bonus Lumber/hr]])-TblProd[[#This Row],[Lumber rot]],0)</f>
        <v>646</v>
      </c>
      <c r="V118" s="69" t="n">
        <f aca="false">ROUND(TblProd[[#This Row],[Raw Mana/hr]]*(1+TblProd[[#This Row],[Bonus Mana/hr]])-TblProd[[#This Row],[Mana drain]],0)</f>
        <v>465</v>
      </c>
      <c r="W118" s="69" t="n">
        <f aca="false">ROUNDDOWN(TblProd[[#This Row],[Raw Ore/hr]]*(1+TblProd[[#This Row],[Bonux Ore/hr]]),0)</f>
        <v>0</v>
      </c>
      <c r="X118" s="69" t="n">
        <f aca="false">ROUNDDOWN(TblProd[[#This Row],[Raw Gems/hr]]*(1+TblProd[[#This Row],[Bonus Gems/hr]]),0)</f>
        <v>0</v>
      </c>
      <c r="Y118" s="148" t="n">
        <f aca="false">OFFSET(TblConstr[[#This Row],[Tot Doc]],1,0)*dock_boats_hr * (1 + tech_4_1*TblTech[[#This Row],[4-1]])</f>
        <v>1.2</v>
      </c>
      <c r="Z118" s="146"/>
      <c r="AA118" s="69" t="n">
        <f aca="false">TblPop[[#This Row],[Peasants]]*tax*TblPop[[#This Row],[Employment]] + (Construction!AZ119+Construction!BX119)*(alch_plat+(Magic!AM118&gt;0)*alchemist_flame_bonus)</f>
        <v>30103.2</v>
      </c>
      <c r="AB118" s="69" t="n">
        <f aca="false">TblConstr[[#This Row],[Tot Farm]]*farm_food + TblConstr[[#This Row],[Tot Doc]]*dock_food</f>
        <v>3280</v>
      </c>
      <c r="AC118" s="69" t="n">
        <f aca="false">TblConstr[[#This Row],[Tot Ly]]*ly_lumber + TblConstr[[#This Row],[Tot Hav]]*fh_lumber</f>
        <v>1250</v>
      </c>
      <c r="AD118" s="69" t="n">
        <f aca="false">OFFSET(TblConstr[[#This Row],[Tot Tow]],1,0)*(tower_mana + tech_4_5*TblTech[[#This Row],[4-5]]) + OFFSET(TblConstr[[#This Row],[Tot WG]],1,0)*wg_mana_prod</f>
        <v>725</v>
      </c>
      <c r="AE118" s="69" t="n">
        <f aca="false">OFFSET(TblConstr[[#This Row],[Tot OM]],1,0)*om_ore+IF(race="Dwarf",ROUNDDOWN(TblMili[[#This Row],[Unit 2]]*0.4,0),)</f>
        <v>0</v>
      </c>
      <c r="AF118" s="69" t="n">
        <f aca="false">OFFSET(TblConstr[[#This Row],[Tot DM]],1,0)*dm_gems</f>
        <v>0</v>
      </c>
      <c r="AG118" s="132"/>
      <c r="AH118" s="149" t="n">
        <f aca="false">MIN(race_platinum_bonus + IF(TblMagic[[#This Row],[Active Alch Frost]]&gt;0,alch_frost_bonus,IF(Magic!AD118&gt;0,midas_bonus)) + TblImps[[#This Row],[Science]] - TblProd[[#This Row],[Guard]]*(0.02 + tech_5_7*TblTech[[#This Row],[5-7]]) + tech_1_5*TblTech[[#This Row],[1-5]] + tech_4_4*TblTech[[#This Row],[4-4]], 0.5)</f>
        <v>0</v>
      </c>
      <c r="AI11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8" s="149" t="n">
        <f aca="false">race_lumber_bonus+ IF(TblMagic[[#This Row],[Active Gaia''s Blessing]]&gt;0,gaias_blessing_lumber)+ tech_1_3*TblTech[[#This Row],[1-3]] + tech_1_6*TblTech[[#This Row],[1-6]] + tech_3_3*TblTech[[#This Row],[3-3]]</f>
        <v>-0.1</v>
      </c>
      <c r="AK118" s="149" t="n">
        <f aca="false">race_mana_bonus+ 0 + TblImps[[#This Row],[Towers]] + tech_1_2*TblTech[[#This Row],[1-2]] + tech_3_4*TblTech[[#This Row],[3-4]]</f>
        <v>0</v>
      </c>
      <c r="AL118" s="149" t="n">
        <f aca="false">race_ore_bonus + IF(TblMagic[[#This Row],[Active Miner''s Sight]]&gt;0,miners_sight_bonus,IF(TblMagic[[#This Row],[Active Mining Strength]]&gt;0,mining_strength_bonus)) +  tech_1_6*TblTech[[#This Row],[1-6]]</f>
        <v>0</v>
      </c>
      <c r="AM118" s="149" t="n">
        <f aca="false">race_gem_bonus+ tech_3_2*TblTech[[#This Row],[3-2]] + tech_4_3*TblTech[[#This Row],[4-3]] + tech_6_2*TblTech[[#This Row],[6-2]]</f>
        <v>0.15</v>
      </c>
      <c r="AN118" s="132"/>
      <c r="AO118" s="69" t="n">
        <f aca="false">TblProd[[#This Row],[Food]]*food_decay * (1 + tech_2_1*TblTech[[#This Row],[2-1]] + tech_2_8*TblTech[[#This Row],[2-8]])</f>
        <v>64.03</v>
      </c>
      <c r="AP118" s="69" t="n">
        <f aca="false">(1+race_food_consumption)*TblPop[[#This Row],[Total]]*food_per_person*(1+tech_1_10*TblTech[[#This Row],[1-10]]+tech_7_5*TblTech[[#This Row],[7-5]])</f>
        <v>3234.75</v>
      </c>
      <c r="AQ118" s="69" t="n">
        <f aca="false">TblProd[[#This Row],[Lumber]]*lumber_rot * (1 + tech_2_1*TblTech[[#This Row],[2-1]] + tech_2_8*TblTech[[#This Row],[2-8]] + tech_5_2*TblTech[[#This Row],[5-2]])</f>
        <v>479.49</v>
      </c>
      <c r="AR118" s="69" t="n">
        <f aca="false">TblProd[[#This Row],[Mana]]*mana_drain * (1 + tech_2_1*TblTech[[#This Row],[2-1]] + tech_2_8*TblTech[[#This Row],[2-8]])</f>
        <v>259.59</v>
      </c>
      <c r="AS118" s="146"/>
      <c r="AT118" s="69" t="n">
        <f aca="false">TblExplore[[#This Row],[Platinum (2)]]+TblConstr[[#This Row],[Total Plat Cost]]+TblMili[[#This Row],[Plat Cost]]+TblRezone[[#This Row],[Platinum cost]]+TblImps[[#This Row],[P1]]-TblProd[[#This Row],[Bank Plat]]</f>
        <v>0</v>
      </c>
      <c r="AU118" s="69" t="n">
        <f aca="false">TblConstr[[#This Row],[Total Lum Cost]]+TblImps[[#This Row],[L1]]-TblProd[[#This Row],[Bank Lumber]] + Military!$CL$25*TblMili[[#This Row],[Sec. rec. Cost]]</f>
        <v>0</v>
      </c>
      <c r="AV118" s="69" t="n">
        <f aca="false">TblMagic[[#This Row],[Mana cost]] + Military!$CL$26*TblMili[[#This Row],[Sec. rec. Cost]]</f>
        <v>0</v>
      </c>
      <c r="AW118" s="69" t="n">
        <f aca="false">Military!$CL$24*TblMili[[#This Row],[Sec. rec. Cost]]+TblImps[[#This Row],[O1]]-TblProd[[#This Row],[Bank Ore]]</f>
        <v>0</v>
      </c>
      <c r="AX118" s="69" t="n">
        <f aca="false">TblImps[[#This Row],[G1]]-TblProd[[#This Row],[Bank Gems]]</f>
        <v>0</v>
      </c>
      <c r="AY118" s="132"/>
      <c r="AZ118" s="33" t="n">
        <f aca="false">IF(TblProd[[#This Row],[Set Guard]]&lt;&gt;"",TblProd[[#This Row],[Set Guard]],OFFSET(TblProd[[#This Row],[Guard]],-1,0))</f>
        <v>0</v>
      </c>
      <c r="BA118" s="145"/>
      <c r="BB118" s="151" t="n">
        <f aca="false">TblProd[[#This Row],[Hour]]</f>
        <v>43</v>
      </c>
      <c r="BC118" s="152" t="n">
        <f aca="false">-TblProd[[#This Row],[Bank Lumber]] / 2 + -TblProd[[#This Row],[Bank Gems]] * 2 + -TblProd[[#This Row],[Bank Ore]] / 2</f>
        <v>0</v>
      </c>
      <c r="BD118" s="152"/>
      <c r="BE118" s="152"/>
      <c r="BF118" s="152"/>
      <c r="BG118" s="153" t="n">
        <f aca="false">TblProd[[#This Row],[Time]]</f>
        <v>45434.5</v>
      </c>
      <c r="BH11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69" t="n">
        <f aca="false">TblProd[[#This Row],[Platinum]]</f>
        <v>1685286</v>
      </c>
      <c r="BJ118" s="69" t="n">
        <f aca="false">TblProd[[#This Row],[Food]]</f>
        <v>6403</v>
      </c>
      <c r="BK118" s="69" t="n">
        <f aca="false">TblProd[[#This Row],[Lumber]]</f>
        <v>47949</v>
      </c>
      <c r="BL118" s="69" t="n">
        <f aca="false">TblProd[[#This Row],[Mana]]</f>
        <v>12979.5</v>
      </c>
      <c r="BM118" s="69" t="n">
        <f aca="false">TblProd[[#This Row],[Ore]]</f>
        <v>0</v>
      </c>
    </row>
    <row r="119" customFormat="false" ht="12.75" hidden="false" customHeight="false" outlineLevel="0" collapsed="false">
      <c r="A119" s="128" t="n">
        <v>44</v>
      </c>
      <c r="B119" s="144" t="n">
        <f aca="false">TblImps[[#This Row],[Time]]</f>
        <v>45434.5416666667</v>
      </c>
      <c r="C119" s="145"/>
      <c r="D119" s="146"/>
      <c r="E119" s="69" t="n">
        <f aca="false">TblConstr[[#This Row],[Land]]</f>
        <v>700</v>
      </c>
      <c r="F119" s="69" t="n">
        <f aca="false">TblPop[[#This Row],[Peasants]]</f>
        <v>6500</v>
      </c>
      <c r="G119" s="69" t="e">
        <f aca="false">TblMili[[#This Row],[Networth (2)]]</f>
        <v>#VALUE!</v>
      </c>
      <c r="H119" s="69" t="n">
        <f aca="false">OFFSET(TblProd[[#This Row],[Platinum]],-1,0)+OFFSET(TblProd[[#This Row],[Plat/hr]],-1,0) - TblProd[[#This Row],[Expenses Platinum]] + IF(TblProd[[#This Row],[Plat Bonus]],TblPop[[#This Row],[Peasants]]*4) + SUM(TblConstr[[#This Row],[Dest Hom]:[Dest Doc]])*TblConstr[[#This Row],[CPA Platinum -DB]]*tech_3_3_2*TblTech[[#This Row],[3-3]]</f>
        <v>1715389</v>
      </c>
      <c r="I119" s="69" t="n">
        <f aca="false">OFFSET(TblProd[[#This Row],[Food]],-1,0)+OFFSET(TblProd[[#This Row],[Food/hr]],-1,0)+ROUNDUP((TblConstr[[#This Row],[Farms]]*80+TblConstr[[#This Row],[Docks]]*35)*(1+OFFSET(TblProd[[#This Row],[Bonus Food/hr]],-1,0)),0)</f>
        <v>6466</v>
      </c>
      <c r="J119" s="69" t="n">
        <f aca="false">OFFSET(TblProd[[#This Row],[Lumber]],-1,0)+OFFSET(TblProd[[#This Row],[Lumber/hr]],-1,0) - TblProd[[#This Row],[Expenses Lumber]] + SUM(TblConstr[[#This Row],[Dest Hom]:[Dest Doc]])*TblConstr[[#This Row],[CPA Lumber -DB]]*tech_3_3_2*TblTech[[#This Row],[3-3]]</f>
        <v>48595</v>
      </c>
      <c r="K119" s="69" t="n">
        <f aca="false">OFFSET(TblProd[[#This Row],[Mana]],-1,0)+OFFSET(TblProd[[#This Row],[Mana/hr]],-1,0)- TblProd[[#This Row],[Expenses Mana]]</f>
        <v>13444.5</v>
      </c>
      <c r="L119" s="69" t="n">
        <f aca="false">OFFSET(TblProd[[#This Row],[Ore]],-1,0)+OFFSET(TblProd[[#This Row],[Ore/hr]],-1,0) -TblProd[[#This Row],[Expenses Ore]]</f>
        <v>0</v>
      </c>
      <c r="M119" s="69" t="n">
        <f aca="false">OFFSET(TblProd[[#This Row],[Gems]],-1,0)+OFFSET(TblProd[[#This Row],[Gems/hr]],-1,0) - TblProd[[#This Row],[Expenses Gems]]</f>
        <v>0</v>
      </c>
      <c r="N119" s="69" t="n">
        <f aca="false">OFFSET(TblProd[[#This Row],[Boats]],-1,0)+OFFSET(TblProd[[#This Row],[Boats/hr]],-1,0)</f>
        <v>79.8500000000001</v>
      </c>
      <c r="O119" s="69" t="n">
        <f aca="false">OFFSET(TblProd[[#This Row],[Prestige]],-1,0)</f>
        <v>250</v>
      </c>
      <c r="P11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9" s="69" t="n">
        <f aca="false">MAX(3750,_xlfn.CEILING.MATH(TblProd[[#This Row],[Land]]*2.5+OFFSET(TblTech[[#This Row],[Sum of tech]],-1,0)*150))</f>
        <v>3750</v>
      </c>
      <c r="R119" s="132"/>
      <c r="S119" s="69" t="n">
        <f aca="false">ROUNDDOWN(TblProd[[#This Row],[Raw Plat/hr]]*(1+TblProd[[#This Row],[Bonus Plat/hr]]),0)</f>
        <v>29925</v>
      </c>
      <c r="T119" s="69" t="n">
        <f aca="false">ROUND(TblProd[[#This Row],[Raw Food/hr]]*(1+TblProd[[#This Row],[Bonus Food/hr]])-TblProd[[#This Row],[Food decay]]-TblProd[[#This Row],[Food eaten]],0)</f>
        <v>63</v>
      </c>
      <c r="U119" s="69" t="n">
        <f aca="false">ROUND(TblProd[[#This Row],[Raw Lumber/hr]]*(1+TblProd[[#This Row],[Bonus Lumber/hr]])-TblProd[[#This Row],[Lumber rot]],0)</f>
        <v>639</v>
      </c>
      <c r="V119" s="69" t="n">
        <f aca="false">ROUND(TblProd[[#This Row],[Raw Mana/hr]]*(1+TblProd[[#This Row],[Bonus Mana/hr]])-TblProd[[#This Row],[Mana drain]],0)</f>
        <v>456</v>
      </c>
      <c r="W119" s="69" t="n">
        <f aca="false">ROUNDDOWN(TblProd[[#This Row],[Raw Ore/hr]]*(1+TblProd[[#This Row],[Bonux Ore/hr]]),0)</f>
        <v>0</v>
      </c>
      <c r="X119" s="69" t="n">
        <f aca="false">ROUNDDOWN(TblProd[[#This Row],[Raw Gems/hr]]*(1+TblProd[[#This Row],[Bonus Gems/hr]]),0)</f>
        <v>0</v>
      </c>
      <c r="Y119" s="148" t="n">
        <f aca="false">OFFSET(TblConstr[[#This Row],[Tot Doc]],1,0)*dock_boats_hr * (1 + tech_4_1*TblTech[[#This Row],[4-1]])</f>
        <v>1.2</v>
      </c>
      <c r="Z119" s="146"/>
      <c r="AA119" s="69" t="n">
        <f aca="false">TblPop[[#This Row],[Peasants]]*tax*TblPop[[#This Row],[Employment]] + (Construction!AZ120+Construction!BX120)*(alch_plat+(Magic!AM119&gt;0)*alchemist_flame_bonus)</f>
        <v>29925</v>
      </c>
      <c r="AB119" s="69" t="n">
        <f aca="false">TblConstr[[#This Row],[Tot Farm]]*farm_food + TblConstr[[#This Row],[Tot Doc]]*dock_food</f>
        <v>3280</v>
      </c>
      <c r="AC119" s="69" t="n">
        <f aca="false">TblConstr[[#This Row],[Tot Ly]]*ly_lumber + TblConstr[[#This Row],[Tot Hav]]*fh_lumber</f>
        <v>1250</v>
      </c>
      <c r="AD119" s="69" t="n">
        <f aca="false">OFFSET(TblConstr[[#This Row],[Tot Tow]],1,0)*(tower_mana + tech_4_5*TblTech[[#This Row],[4-5]]) + OFFSET(TblConstr[[#This Row],[Tot WG]],1,0)*wg_mana_prod</f>
        <v>725</v>
      </c>
      <c r="AE119" s="69" t="n">
        <f aca="false">OFFSET(TblConstr[[#This Row],[Tot OM]],1,0)*om_ore+IF(race="Dwarf",ROUNDDOWN(TblMili[[#This Row],[Unit 2]]*0.4,0),)</f>
        <v>0</v>
      </c>
      <c r="AF119" s="69" t="n">
        <f aca="false">OFFSET(TblConstr[[#This Row],[Tot DM]],1,0)*dm_gems</f>
        <v>0</v>
      </c>
      <c r="AG119" s="132"/>
      <c r="AH119" s="149" t="n">
        <f aca="false">MIN(race_platinum_bonus + IF(TblMagic[[#This Row],[Active Alch Frost]]&gt;0,alch_frost_bonus,IF(Magic!AD119&gt;0,midas_bonus)) + TblImps[[#This Row],[Science]] - TblProd[[#This Row],[Guard]]*(0.02 + tech_5_7*TblTech[[#This Row],[5-7]]) + tech_1_5*TblTech[[#This Row],[1-5]] + tech_4_4*TblTech[[#This Row],[4-4]], 0.5)</f>
        <v>0</v>
      </c>
      <c r="AI11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9" s="149" t="n">
        <f aca="false">race_lumber_bonus+ IF(TblMagic[[#This Row],[Active Gaia''s Blessing]]&gt;0,gaias_blessing_lumber)+ tech_1_3*TblTech[[#This Row],[1-3]] + tech_1_6*TblTech[[#This Row],[1-6]] + tech_3_3*TblTech[[#This Row],[3-3]]</f>
        <v>-0.1</v>
      </c>
      <c r="AK119" s="149" t="n">
        <f aca="false">race_mana_bonus+ 0 + TblImps[[#This Row],[Towers]] + tech_1_2*TblTech[[#This Row],[1-2]] + tech_3_4*TblTech[[#This Row],[3-4]]</f>
        <v>0</v>
      </c>
      <c r="AL119" s="149" t="n">
        <f aca="false">race_ore_bonus + IF(TblMagic[[#This Row],[Active Miner''s Sight]]&gt;0,miners_sight_bonus,IF(TblMagic[[#This Row],[Active Mining Strength]]&gt;0,mining_strength_bonus)) +  tech_1_6*TblTech[[#This Row],[1-6]]</f>
        <v>0</v>
      </c>
      <c r="AM119" s="149" t="n">
        <f aca="false">race_gem_bonus+ tech_3_2*TblTech[[#This Row],[3-2]] + tech_4_3*TblTech[[#This Row],[4-3]] + tech_6_2*TblTech[[#This Row],[6-2]]</f>
        <v>0.15</v>
      </c>
      <c r="AN119" s="132"/>
      <c r="AO119" s="69" t="n">
        <f aca="false">TblProd[[#This Row],[Food]]*food_decay * (1 + tech_2_1*TblTech[[#This Row],[2-1]] + tech_2_8*TblTech[[#This Row],[2-8]])</f>
        <v>64.66</v>
      </c>
      <c r="AP119" s="69" t="n">
        <f aca="false">(1+race_food_consumption)*TblPop[[#This Row],[Total]]*food_per_person*(1+tech_1_10*TblTech[[#This Row],[1-10]]+tech_7_5*TblTech[[#This Row],[7-5]])</f>
        <v>3234.75</v>
      </c>
      <c r="AQ119" s="69" t="n">
        <f aca="false">TblProd[[#This Row],[Lumber]]*lumber_rot * (1 + tech_2_1*TblTech[[#This Row],[2-1]] + tech_2_8*TblTech[[#This Row],[2-8]] + tech_5_2*TblTech[[#This Row],[5-2]])</f>
        <v>485.95</v>
      </c>
      <c r="AR119" s="69" t="n">
        <f aca="false">TblProd[[#This Row],[Mana]]*mana_drain * (1 + tech_2_1*TblTech[[#This Row],[2-1]] + tech_2_8*TblTech[[#This Row],[2-8]])</f>
        <v>268.89</v>
      </c>
      <c r="AS119" s="146"/>
      <c r="AT119" s="69" t="n">
        <f aca="false">TblExplore[[#This Row],[Platinum (2)]]+TblConstr[[#This Row],[Total Plat Cost]]+TblMili[[#This Row],[Plat Cost]]+TblRezone[[#This Row],[Platinum cost]]+TblImps[[#This Row],[P1]]-TblProd[[#This Row],[Bank Plat]]</f>
        <v>0</v>
      </c>
      <c r="AU119" s="69" t="n">
        <f aca="false">TblConstr[[#This Row],[Total Lum Cost]]+TblImps[[#This Row],[L1]]-TblProd[[#This Row],[Bank Lumber]] + Military!$CL$25*TblMili[[#This Row],[Sec. rec. Cost]]</f>
        <v>0</v>
      </c>
      <c r="AV119" s="69" t="n">
        <f aca="false">TblMagic[[#This Row],[Mana cost]] + Military!$CL$26*TblMili[[#This Row],[Sec. rec. Cost]]</f>
        <v>0</v>
      </c>
      <c r="AW119" s="69" t="n">
        <f aca="false">Military!$CL$24*TblMili[[#This Row],[Sec. rec. Cost]]+TblImps[[#This Row],[O1]]-TblProd[[#This Row],[Bank Ore]]</f>
        <v>0</v>
      </c>
      <c r="AX119" s="69" t="n">
        <f aca="false">TblImps[[#This Row],[G1]]-TblProd[[#This Row],[Bank Gems]]</f>
        <v>0</v>
      </c>
      <c r="AY119" s="132"/>
      <c r="AZ119" s="33" t="n">
        <f aca="false">IF(TblProd[[#This Row],[Set Guard]]&lt;&gt;"",TblProd[[#This Row],[Set Guard]],OFFSET(TblProd[[#This Row],[Guard]],-1,0))</f>
        <v>0</v>
      </c>
      <c r="BA119" s="145"/>
      <c r="BB119" s="151" t="n">
        <f aca="false">TblProd[[#This Row],[Hour]]</f>
        <v>44</v>
      </c>
      <c r="BC119" s="152" t="n">
        <f aca="false">-TblProd[[#This Row],[Bank Lumber]] / 2 + -TblProd[[#This Row],[Bank Gems]] * 2 + -TblProd[[#This Row],[Bank Ore]] / 2</f>
        <v>0</v>
      </c>
      <c r="BD119" s="152"/>
      <c r="BE119" s="152"/>
      <c r="BF119" s="152"/>
      <c r="BG119" s="153" t="n">
        <f aca="false">TblProd[[#This Row],[Time]]</f>
        <v>45434.5416666667</v>
      </c>
      <c r="BH11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69" t="n">
        <f aca="false">TblProd[[#This Row],[Platinum]]</f>
        <v>1715389</v>
      </c>
      <c r="BJ119" s="69" t="n">
        <f aca="false">TblProd[[#This Row],[Food]]</f>
        <v>6466</v>
      </c>
      <c r="BK119" s="69" t="n">
        <f aca="false">TblProd[[#This Row],[Lumber]]</f>
        <v>48595</v>
      </c>
      <c r="BL119" s="69" t="n">
        <f aca="false">TblProd[[#This Row],[Mana]]</f>
        <v>13444.5</v>
      </c>
      <c r="BM119" s="69" t="n">
        <f aca="false">TblProd[[#This Row],[Ore]]</f>
        <v>0</v>
      </c>
    </row>
    <row r="120" customFormat="false" ht="12.75" hidden="false" customHeight="false" outlineLevel="0" collapsed="false">
      <c r="A120" s="128" t="n">
        <v>45</v>
      </c>
      <c r="B120" s="144" t="n">
        <f aca="false">TblImps[[#This Row],[Time]]</f>
        <v>45434.5833333333</v>
      </c>
      <c r="C120" s="145"/>
      <c r="D120" s="146"/>
      <c r="E120" s="69" t="n">
        <f aca="false">TblConstr[[#This Row],[Land]]</f>
        <v>700</v>
      </c>
      <c r="F120" s="69" t="n">
        <f aca="false">TblPop[[#This Row],[Peasants]]</f>
        <v>6435</v>
      </c>
      <c r="G120" s="69" t="e">
        <f aca="false">TblMili[[#This Row],[Networth (2)]]</f>
        <v>#VALUE!</v>
      </c>
      <c r="H120" s="69" t="n">
        <f aca="false">OFFSET(TblProd[[#This Row],[Platinum]],-1,0)+OFFSET(TblProd[[#This Row],[Plat/hr]],-1,0) - TblProd[[#This Row],[Expenses Platinum]] + IF(TblProd[[#This Row],[Plat Bonus]],TblPop[[#This Row],[Peasants]]*4) + SUM(TblConstr[[#This Row],[Dest Hom]:[Dest Doc]])*TblConstr[[#This Row],[CPA Platinum -DB]]*tech_3_3_2*TblTech[[#This Row],[3-3]]</f>
        <v>1745314</v>
      </c>
      <c r="I120" s="69" t="n">
        <f aca="false">OFFSET(TblProd[[#This Row],[Food]],-1,0)+OFFSET(TblProd[[#This Row],[Food/hr]],-1,0)+ROUNDUP((TblConstr[[#This Row],[Farms]]*80+TblConstr[[#This Row],[Docks]]*35)*(1+OFFSET(TblProd[[#This Row],[Bonus Food/hr]],-1,0)),0)</f>
        <v>6529</v>
      </c>
      <c r="J120" s="69" t="n">
        <f aca="false">OFFSET(TblProd[[#This Row],[Lumber]],-1,0)+OFFSET(TblProd[[#This Row],[Lumber/hr]],-1,0) - TblProd[[#This Row],[Expenses Lumber]] + SUM(TblConstr[[#This Row],[Dest Hom]:[Dest Doc]])*TblConstr[[#This Row],[CPA Lumber -DB]]*tech_3_3_2*TblTech[[#This Row],[3-3]]</f>
        <v>49234</v>
      </c>
      <c r="K120" s="69" t="n">
        <f aca="false">OFFSET(TblProd[[#This Row],[Mana]],-1,0)+OFFSET(TblProd[[#This Row],[Mana/hr]],-1,0)- TblProd[[#This Row],[Expenses Mana]]</f>
        <v>13900.5</v>
      </c>
      <c r="L120" s="69" t="n">
        <f aca="false">OFFSET(TblProd[[#This Row],[Ore]],-1,0)+OFFSET(TblProd[[#This Row],[Ore/hr]],-1,0) -TblProd[[#This Row],[Expenses Ore]]</f>
        <v>0</v>
      </c>
      <c r="M120" s="69" t="n">
        <f aca="false">OFFSET(TblProd[[#This Row],[Gems]],-1,0)+OFFSET(TblProd[[#This Row],[Gems/hr]],-1,0) - TblProd[[#This Row],[Expenses Gems]]</f>
        <v>0</v>
      </c>
      <c r="N120" s="69" t="n">
        <f aca="false">OFFSET(TblProd[[#This Row],[Boats]],-1,0)+OFFSET(TblProd[[#This Row],[Boats/hr]],-1,0)</f>
        <v>81.0500000000001</v>
      </c>
      <c r="O120" s="69" t="n">
        <f aca="false">OFFSET(TblProd[[#This Row],[Prestige]],-1,0)</f>
        <v>250</v>
      </c>
      <c r="P12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0" s="69" t="n">
        <f aca="false">MAX(3750,_xlfn.CEILING.MATH(TblProd[[#This Row],[Land]]*2.5+OFFSET(TblTech[[#This Row],[Sum of tech]],-1,0)*150))</f>
        <v>3750</v>
      </c>
      <c r="R120" s="132"/>
      <c r="S120" s="69" t="n">
        <f aca="false">ROUNDDOWN(TblProd[[#This Row],[Raw Plat/hr]]*(1+TblProd[[#This Row],[Bonus Plat/hr]]),0)</f>
        <v>29749</v>
      </c>
      <c r="T120" s="69" t="n">
        <f aca="false">ROUND(TblProd[[#This Row],[Raw Food/hr]]*(1+TblProd[[#This Row],[Bonus Food/hr]])-TblProd[[#This Row],[Food decay]]-TblProd[[#This Row],[Food eaten]],0)</f>
        <v>62</v>
      </c>
      <c r="U120" s="69" t="n">
        <f aca="false">ROUND(TblProd[[#This Row],[Raw Lumber/hr]]*(1+TblProd[[#This Row],[Bonus Lumber/hr]])-TblProd[[#This Row],[Lumber rot]],0)</f>
        <v>633</v>
      </c>
      <c r="V120" s="69" t="n">
        <f aca="false">ROUND(TblProd[[#This Row],[Raw Mana/hr]]*(1+TblProd[[#This Row],[Bonus Mana/hr]])-TblProd[[#This Row],[Mana drain]],0)</f>
        <v>447</v>
      </c>
      <c r="W120" s="69" t="n">
        <f aca="false">ROUNDDOWN(TblProd[[#This Row],[Raw Ore/hr]]*(1+TblProd[[#This Row],[Bonux Ore/hr]]),0)</f>
        <v>0</v>
      </c>
      <c r="X120" s="69" t="n">
        <f aca="false">ROUNDDOWN(TblProd[[#This Row],[Raw Gems/hr]]*(1+TblProd[[#This Row],[Bonus Gems/hr]]),0)</f>
        <v>0</v>
      </c>
      <c r="Y120" s="148" t="n">
        <f aca="false">OFFSET(TblConstr[[#This Row],[Tot Doc]],1,0)*dock_boats_hr * (1 + tech_4_1*TblTech[[#This Row],[4-1]])</f>
        <v>1.2</v>
      </c>
      <c r="Z120" s="146"/>
      <c r="AA120" s="69" t="n">
        <f aca="false">TblPop[[#This Row],[Peasants]]*tax*TblPop[[#This Row],[Employment]] + (Construction!AZ121+Construction!BX121)*(alch_plat+(Magic!AM120&gt;0)*alchemist_flame_bonus)</f>
        <v>29749.5</v>
      </c>
      <c r="AB120" s="69" t="n">
        <f aca="false">TblConstr[[#This Row],[Tot Farm]]*farm_food + TblConstr[[#This Row],[Tot Doc]]*dock_food</f>
        <v>3280</v>
      </c>
      <c r="AC120" s="69" t="n">
        <f aca="false">TblConstr[[#This Row],[Tot Ly]]*ly_lumber + TblConstr[[#This Row],[Tot Hav]]*fh_lumber</f>
        <v>1250</v>
      </c>
      <c r="AD120" s="69" t="n">
        <f aca="false">OFFSET(TblConstr[[#This Row],[Tot Tow]],1,0)*(tower_mana + tech_4_5*TblTech[[#This Row],[4-5]]) + OFFSET(TblConstr[[#This Row],[Tot WG]],1,0)*wg_mana_prod</f>
        <v>725</v>
      </c>
      <c r="AE120" s="69" t="n">
        <f aca="false">OFFSET(TblConstr[[#This Row],[Tot OM]],1,0)*om_ore+IF(race="Dwarf",ROUNDDOWN(TblMili[[#This Row],[Unit 2]]*0.4,0),)</f>
        <v>0</v>
      </c>
      <c r="AF120" s="69" t="n">
        <f aca="false">OFFSET(TblConstr[[#This Row],[Tot DM]],1,0)*dm_gems</f>
        <v>0</v>
      </c>
      <c r="AG120" s="132"/>
      <c r="AH120" s="149" t="n">
        <f aca="false">MIN(race_platinum_bonus + IF(TblMagic[[#This Row],[Active Alch Frost]]&gt;0,alch_frost_bonus,IF(Magic!AD120&gt;0,midas_bonus)) + TblImps[[#This Row],[Science]] - TblProd[[#This Row],[Guard]]*(0.02 + tech_5_7*TblTech[[#This Row],[5-7]]) + tech_1_5*TblTech[[#This Row],[1-5]] + tech_4_4*TblTech[[#This Row],[4-4]], 0.5)</f>
        <v>0</v>
      </c>
      <c r="AI12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0" s="149" t="n">
        <f aca="false">race_lumber_bonus+ IF(TblMagic[[#This Row],[Active Gaia''s Blessing]]&gt;0,gaias_blessing_lumber)+ tech_1_3*TblTech[[#This Row],[1-3]] + tech_1_6*TblTech[[#This Row],[1-6]] + tech_3_3*TblTech[[#This Row],[3-3]]</f>
        <v>-0.1</v>
      </c>
      <c r="AK120" s="149" t="n">
        <f aca="false">race_mana_bonus+ 0 + TblImps[[#This Row],[Towers]] + tech_1_2*TblTech[[#This Row],[1-2]] + tech_3_4*TblTech[[#This Row],[3-4]]</f>
        <v>0</v>
      </c>
      <c r="AL120" s="149" t="n">
        <f aca="false">race_ore_bonus + IF(TblMagic[[#This Row],[Active Miner''s Sight]]&gt;0,miners_sight_bonus,IF(TblMagic[[#This Row],[Active Mining Strength]]&gt;0,mining_strength_bonus)) +  tech_1_6*TblTech[[#This Row],[1-6]]</f>
        <v>0</v>
      </c>
      <c r="AM120" s="149" t="n">
        <f aca="false">race_gem_bonus+ tech_3_2*TblTech[[#This Row],[3-2]] + tech_4_3*TblTech[[#This Row],[4-3]] + tech_6_2*TblTech[[#This Row],[6-2]]</f>
        <v>0.15</v>
      </c>
      <c r="AN120" s="132"/>
      <c r="AO120" s="69" t="n">
        <f aca="false">TblProd[[#This Row],[Food]]*food_decay * (1 + tech_2_1*TblTech[[#This Row],[2-1]] + tech_2_8*TblTech[[#This Row],[2-8]])</f>
        <v>65.29</v>
      </c>
      <c r="AP120" s="69" t="n">
        <f aca="false">(1+race_food_consumption)*TblPop[[#This Row],[Total]]*food_per_person*(1+tech_1_10*TblTech[[#This Row],[1-10]]+tech_7_5*TblTech[[#This Row],[7-5]])</f>
        <v>3234.75</v>
      </c>
      <c r="AQ120" s="69" t="n">
        <f aca="false">TblProd[[#This Row],[Lumber]]*lumber_rot * (1 + tech_2_1*TblTech[[#This Row],[2-1]] + tech_2_8*TblTech[[#This Row],[2-8]] + tech_5_2*TblTech[[#This Row],[5-2]])</f>
        <v>492.34</v>
      </c>
      <c r="AR120" s="69" t="n">
        <f aca="false">TblProd[[#This Row],[Mana]]*mana_drain * (1 + tech_2_1*TblTech[[#This Row],[2-1]] + tech_2_8*TblTech[[#This Row],[2-8]])</f>
        <v>278.01</v>
      </c>
      <c r="AS120" s="146"/>
      <c r="AT120" s="69" t="n">
        <f aca="false">TblExplore[[#This Row],[Platinum (2)]]+TblConstr[[#This Row],[Total Plat Cost]]+TblMili[[#This Row],[Plat Cost]]+TblRezone[[#This Row],[Platinum cost]]+TblImps[[#This Row],[P1]]-TblProd[[#This Row],[Bank Plat]]</f>
        <v>0</v>
      </c>
      <c r="AU120" s="69" t="n">
        <f aca="false">TblConstr[[#This Row],[Total Lum Cost]]+TblImps[[#This Row],[L1]]-TblProd[[#This Row],[Bank Lumber]] + Military!$CL$25*TblMili[[#This Row],[Sec. rec. Cost]]</f>
        <v>0</v>
      </c>
      <c r="AV120" s="69" t="n">
        <f aca="false">TblMagic[[#This Row],[Mana cost]] + Military!$CL$26*TblMili[[#This Row],[Sec. rec. Cost]]</f>
        <v>0</v>
      </c>
      <c r="AW120" s="69" t="n">
        <f aca="false">Military!$CL$24*TblMili[[#This Row],[Sec. rec. Cost]]+TblImps[[#This Row],[O1]]-TblProd[[#This Row],[Bank Ore]]</f>
        <v>0</v>
      </c>
      <c r="AX120" s="69" t="n">
        <f aca="false">TblImps[[#This Row],[G1]]-TblProd[[#This Row],[Bank Gems]]</f>
        <v>0</v>
      </c>
      <c r="AY120" s="132"/>
      <c r="AZ120" s="33" t="n">
        <f aca="false">IF(TblProd[[#This Row],[Set Guard]]&lt;&gt;"",TblProd[[#This Row],[Set Guard]],OFFSET(TblProd[[#This Row],[Guard]],-1,0))</f>
        <v>0</v>
      </c>
      <c r="BA120" s="145"/>
      <c r="BB120" s="151" t="n">
        <f aca="false">TblProd[[#This Row],[Hour]]</f>
        <v>45</v>
      </c>
      <c r="BC120" s="152" t="n">
        <f aca="false">-TblProd[[#This Row],[Bank Lumber]] / 2 + -TblProd[[#This Row],[Bank Gems]] * 2 + -TblProd[[#This Row],[Bank Ore]] / 2</f>
        <v>0</v>
      </c>
      <c r="BD120" s="152"/>
      <c r="BE120" s="152"/>
      <c r="BF120" s="152"/>
      <c r="BG120" s="153" t="n">
        <f aca="false">TblProd[[#This Row],[Time]]</f>
        <v>45434.5833333333</v>
      </c>
      <c r="BH12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69" t="n">
        <f aca="false">TblProd[[#This Row],[Platinum]]</f>
        <v>1745314</v>
      </c>
      <c r="BJ120" s="69" t="n">
        <f aca="false">TblProd[[#This Row],[Food]]</f>
        <v>6529</v>
      </c>
      <c r="BK120" s="69" t="n">
        <f aca="false">TblProd[[#This Row],[Lumber]]</f>
        <v>49234</v>
      </c>
      <c r="BL120" s="69" t="n">
        <f aca="false">TblProd[[#This Row],[Mana]]</f>
        <v>13900.5</v>
      </c>
      <c r="BM120" s="69" t="n">
        <f aca="false">TblProd[[#This Row],[Ore]]</f>
        <v>0</v>
      </c>
    </row>
    <row r="121" customFormat="false" ht="12.75" hidden="false" customHeight="false" outlineLevel="0" collapsed="false">
      <c r="A121" s="128" t="n">
        <v>46</v>
      </c>
      <c r="B121" s="144" t="n">
        <f aca="false">TblImps[[#This Row],[Time]]</f>
        <v>45434.625</v>
      </c>
      <c r="C121" s="145"/>
      <c r="D121" s="146"/>
      <c r="E121" s="69" t="n">
        <f aca="false">TblConstr[[#This Row],[Land]]</f>
        <v>700</v>
      </c>
      <c r="F121" s="69" t="n">
        <f aca="false">TblPop[[#This Row],[Peasants]]</f>
        <v>6371</v>
      </c>
      <c r="G121" s="69" t="e">
        <f aca="false">TblMili[[#This Row],[Networth (2)]]</f>
        <v>#VALUE!</v>
      </c>
      <c r="H121" s="69" t="n">
        <f aca="false">OFFSET(TblProd[[#This Row],[Platinum]],-1,0)+OFFSET(TblProd[[#This Row],[Plat/hr]],-1,0) - TblProd[[#This Row],[Expenses Platinum]] + IF(TblProd[[#This Row],[Plat Bonus]],TblPop[[#This Row],[Peasants]]*4) + SUM(TblConstr[[#This Row],[Dest Hom]:[Dest Doc]])*TblConstr[[#This Row],[CPA Platinum -DB]]*tech_3_3_2*TblTech[[#This Row],[3-3]]</f>
        <v>1775063</v>
      </c>
      <c r="I121" s="69" t="n">
        <f aca="false">OFFSET(TblProd[[#This Row],[Food]],-1,0)+OFFSET(TblProd[[#This Row],[Food/hr]],-1,0)+ROUNDUP((TblConstr[[#This Row],[Farms]]*80+TblConstr[[#This Row],[Docks]]*35)*(1+OFFSET(TblProd[[#This Row],[Bonus Food/hr]],-1,0)),0)</f>
        <v>6591</v>
      </c>
      <c r="J121" s="69" t="n">
        <f aca="false">OFFSET(TblProd[[#This Row],[Lumber]],-1,0)+OFFSET(TblProd[[#This Row],[Lumber/hr]],-1,0) - TblProd[[#This Row],[Expenses Lumber]] + SUM(TblConstr[[#This Row],[Dest Hom]:[Dest Doc]])*TblConstr[[#This Row],[CPA Lumber -DB]]*tech_3_3_2*TblTech[[#This Row],[3-3]]</f>
        <v>49867</v>
      </c>
      <c r="K121" s="69" t="n">
        <f aca="false">OFFSET(TblProd[[#This Row],[Mana]],-1,0)+OFFSET(TblProd[[#This Row],[Mana/hr]],-1,0)- TblProd[[#This Row],[Expenses Mana]]</f>
        <v>14347.5</v>
      </c>
      <c r="L121" s="69" t="n">
        <f aca="false">OFFSET(TblProd[[#This Row],[Ore]],-1,0)+OFFSET(TblProd[[#This Row],[Ore/hr]],-1,0) -TblProd[[#This Row],[Expenses Ore]]</f>
        <v>0</v>
      </c>
      <c r="M121" s="69" t="n">
        <f aca="false">OFFSET(TblProd[[#This Row],[Gems]],-1,0)+OFFSET(TblProd[[#This Row],[Gems/hr]],-1,0) - TblProd[[#This Row],[Expenses Gems]]</f>
        <v>0</v>
      </c>
      <c r="N121" s="69" t="n">
        <f aca="false">OFFSET(TblProd[[#This Row],[Boats]],-1,0)+OFFSET(TblProd[[#This Row],[Boats/hr]],-1,0)</f>
        <v>82.2500000000001</v>
      </c>
      <c r="O121" s="69" t="n">
        <f aca="false">OFFSET(TblProd[[#This Row],[Prestige]],-1,0)</f>
        <v>250</v>
      </c>
      <c r="P12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1" s="69" t="n">
        <f aca="false">MAX(3750,_xlfn.CEILING.MATH(TblProd[[#This Row],[Land]]*2.5+OFFSET(TblTech[[#This Row],[Sum of tech]],-1,0)*150))</f>
        <v>3750</v>
      </c>
      <c r="R121" s="132"/>
      <c r="S121" s="69" t="n">
        <f aca="false">ROUNDDOWN(TblProd[[#This Row],[Raw Plat/hr]]*(1+TblProd[[#This Row],[Bonus Plat/hr]]),0)</f>
        <v>29576</v>
      </c>
      <c r="T121" s="69" t="n">
        <f aca="false">ROUND(TblProd[[#This Row],[Raw Food/hr]]*(1+TblProd[[#This Row],[Bonus Food/hr]])-TblProd[[#This Row],[Food decay]]-TblProd[[#This Row],[Food eaten]],0)</f>
        <v>61</v>
      </c>
      <c r="U121" s="69" t="n">
        <f aca="false">ROUND(TblProd[[#This Row],[Raw Lumber/hr]]*(1+TblProd[[#This Row],[Bonus Lumber/hr]])-TblProd[[#This Row],[Lumber rot]],0)</f>
        <v>626</v>
      </c>
      <c r="V121" s="69" t="n">
        <f aca="false">ROUND(TblProd[[#This Row],[Raw Mana/hr]]*(1+TblProd[[#This Row],[Bonus Mana/hr]])-TblProd[[#This Row],[Mana drain]],0)</f>
        <v>438</v>
      </c>
      <c r="W121" s="69" t="n">
        <f aca="false">ROUNDDOWN(TblProd[[#This Row],[Raw Ore/hr]]*(1+TblProd[[#This Row],[Bonux Ore/hr]]),0)</f>
        <v>0</v>
      </c>
      <c r="X121" s="69" t="n">
        <f aca="false">ROUNDDOWN(TblProd[[#This Row],[Raw Gems/hr]]*(1+TblProd[[#This Row],[Bonus Gems/hr]]),0)</f>
        <v>0</v>
      </c>
      <c r="Y121" s="148" t="n">
        <f aca="false">OFFSET(TblConstr[[#This Row],[Tot Doc]],1,0)*dock_boats_hr * (1 + tech_4_1*TblTech[[#This Row],[4-1]])</f>
        <v>1.2</v>
      </c>
      <c r="Z121" s="146"/>
      <c r="AA121" s="69" t="n">
        <f aca="false">TblPop[[#This Row],[Peasants]]*tax*TblPop[[#This Row],[Employment]] + (Construction!AZ122+Construction!BX122)*(alch_plat+(Magic!AM121&gt;0)*alchemist_flame_bonus)</f>
        <v>29576.7</v>
      </c>
      <c r="AB121" s="69" t="n">
        <f aca="false">TblConstr[[#This Row],[Tot Farm]]*farm_food + TblConstr[[#This Row],[Tot Doc]]*dock_food</f>
        <v>3280</v>
      </c>
      <c r="AC121" s="69" t="n">
        <f aca="false">TblConstr[[#This Row],[Tot Ly]]*ly_lumber + TblConstr[[#This Row],[Tot Hav]]*fh_lumber</f>
        <v>1250</v>
      </c>
      <c r="AD121" s="69" t="n">
        <f aca="false">OFFSET(TblConstr[[#This Row],[Tot Tow]],1,0)*(tower_mana + tech_4_5*TblTech[[#This Row],[4-5]]) + OFFSET(TblConstr[[#This Row],[Tot WG]],1,0)*wg_mana_prod</f>
        <v>725</v>
      </c>
      <c r="AE121" s="69" t="n">
        <f aca="false">OFFSET(TblConstr[[#This Row],[Tot OM]],1,0)*om_ore+IF(race="Dwarf",ROUNDDOWN(TblMili[[#This Row],[Unit 2]]*0.4,0),)</f>
        <v>0</v>
      </c>
      <c r="AF121" s="69" t="n">
        <f aca="false">OFFSET(TblConstr[[#This Row],[Tot DM]],1,0)*dm_gems</f>
        <v>0</v>
      </c>
      <c r="AG121" s="132"/>
      <c r="AH121" s="149" t="n">
        <f aca="false">MIN(race_platinum_bonus + IF(TblMagic[[#This Row],[Active Alch Frost]]&gt;0,alch_frost_bonus,IF(Magic!AD121&gt;0,midas_bonus)) + TblImps[[#This Row],[Science]] - TblProd[[#This Row],[Guard]]*(0.02 + tech_5_7*TblTech[[#This Row],[5-7]]) + tech_1_5*TblTech[[#This Row],[1-5]] + tech_4_4*TblTech[[#This Row],[4-4]], 0.5)</f>
        <v>0</v>
      </c>
      <c r="AI12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1" s="149" t="n">
        <f aca="false">race_lumber_bonus+ IF(TblMagic[[#This Row],[Active Gaia''s Blessing]]&gt;0,gaias_blessing_lumber)+ tech_1_3*TblTech[[#This Row],[1-3]] + tech_1_6*TblTech[[#This Row],[1-6]] + tech_3_3*TblTech[[#This Row],[3-3]]</f>
        <v>-0.1</v>
      </c>
      <c r="AK121" s="149" t="n">
        <f aca="false">race_mana_bonus+ 0 + TblImps[[#This Row],[Towers]] + tech_1_2*TblTech[[#This Row],[1-2]] + tech_3_4*TblTech[[#This Row],[3-4]]</f>
        <v>0</v>
      </c>
      <c r="AL121" s="149" t="n">
        <f aca="false">race_ore_bonus + IF(TblMagic[[#This Row],[Active Miner''s Sight]]&gt;0,miners_sight_bonus,IF(TblMagic[[#This Row],[Active Mining Strength]]&gt;0,mining_strength_bonus)) +  tech_1_6*TblTech[[#This Row],[1-6]]</f>
        <v>0</v>
      </c>
      <c r="AM121" s="149" t="n">
        <f aca="false">race_gem_bonus+ tech_3_2*TblTech[[#This Row],[3-2]] + tech_4_3*TblTech[[#This Row],[4-3]] + tech_6_2*TblTech[[#This Row],[6-2]]</f>
        <v>0.15</v>
      </c>
      <c r="AN121" s="132"/>
      <c r="AO121" s="69" t="n">
        <f aca="false">TblProd[[#This Row],[Food]]*food_decay * (1 + tech_2_1*TblTech[[#This Row],[2-1]] + tech_2_8*TblTech[[#This Row],[2-8]])</f>
        <v>65.91</v>
      </c>
      <c r="AP121" s="69" t="n">
        <f aca="false">(1+race_food_consumption)*TblPop[[#This Row],[Total]]*food_per_person*(1+tech_1_10*TblTech[[#This Row],[1-10]]+tech_7_5*TblTech[[#This Row],[7-5]])</f>
        <v>3234.75</v>
      </c>
      <c r="AQ121" s="69" t="n">
        <f aca="false">TblProd[[#This Row],[Lumber]]*lumber_rot * (1 + tech_2_1*TblTech[[#This Row],[2-1]] + tech_2_8*TblTech[[#This Row],[2-8]] + tech_5_2*TblTech[[#This Row],[5-2]])</f>
        <v>498.67</v>
      </c>
      <c r="AR121" s="69" t="n">
        <f aca="false">TblProd[[#This Row],[Mana]]*mana_drain * (1 + tech_2_1*TblTech[[#This Row],[2-1]] + tech_2_8*TblTech[[#This Row],[2-8]])</f>
        <v>286.95</v>
      </c>
      <c r="AS121" s="146"/>
      <c r="AT121" s="69" t="n">
        <f aca="false">TblExplore[[#This Row],[Platinum (2)]]+TblConstr[[#This Row],[Total Plat Cost]]+TblMili[[#This Row],[Plat Cost]]+TblRezone[[#This Row],[Platinum cost]]+TblImps[[#This Row],[P1]]-TblProd[[#This Row],[Bank Plat]]</f>
        <v>0</v>
      </c>
      <c r="AU121" s="69" t="n">
        <f aca="false">TblConstr[[#This Row],[Total Lum Cost]]+TblImps[[#This Row],[L1]]-TblProd[[#This Row],[Bank Lumber]] + Military!$CL$25*TblMili[[#This Row],[Sec. rec. Cost]]</f>
        <v>0</v>
      </c>
      <c r="AV121" s="69" t="n">
        <f aca="false">TblMagic[[#This Row],[Mana cost]] + Military!$CL$26*TblMili[[#This Row],[Sec. rec. Cost]]</f>
        <v>0</v>
      </c>
      <c r="AW121" s="69" t="n">
        <f aca="false">Military!$CL$24*TblMili[[#This Row],[Sec. rec. Cost]]+TblImps[[#This Row],[O1]]-TblProd[[#This Row],[Bank Ore]]</f>
        <v>0</v>
      </c>
      <c r="AX121" s="69" t="n">
        <f aca="false">TblImps[[#This Row],[G1]]-TblProd[[#This Row],[Bank Gems]]</f>
        <v>0</v>
      </c>
      <c r="AY121" s="132"/>
      <c r="AZ121" s="33" t="n">
        <f aca="false">IF(TblProd[[#This Row],[Set Guard]]&lt;&gt;"",TblProd[[#This Row],[Set Guard]],OFFSET(TblProd[[#This Row],[Guard]],-1,0))</f>
        <v>0</v>
      </c>
      <c r="BA121" s="145"/>
      <c r="BB121" s="151" t="n">
        <f aca="false">TblProd[[#This Row],[Hour]]</f>
        <v>46</v>
      </c>
      <c r="BC121" s="152" t="n">
        <f aca="false">-TblProd[[#This Row],[Bank Lumber]] / 2 + -TblProd[[#This Row],[Bank Gems]] * 2 + -TblProd[[#This Row],[Bank Ore]] / 2</f>
        <v>0</v>
      </c>
      <c r="BD121" s="152"/>
      <c r="BE121" s="152"/>
      <c r="BF121" s="152"/>
      <c r="BG121" s="153" t="n">
        <f aca="false">TblProd[[#This Row],[Time]]</f>
        <v>45434.625</v>
      </c>
      <c r="BH12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69" t="n">
        <f aca="false">TblProd[[#This Row],[Platinum]]</f>
        <v>1775063</v>
      </c>
      <c r="BJ121" s="69" t="n">
        <f aca="false">TblProd[[#This Row],[Food]]</f>
        <v>6591</v>
      </c>
      <c r="BK121" s="69" t="n">
        <f aca="false">TblProd[[#This Row],[Lumber]]</f>
        <v>49867</v>
      </c>
      <c r="BL121" s="69" t="n">
        <f aca="false">TblProd[[#This Row],[Mana]]</f>
        <v>14347.5</v>
      </c>
      <c r="BM121" s="69" t="n">
        <f aca="false">TblProd[[#This Row],[Ore]]</f>
        <v>0</v>
      </c>
    </row>
    <row r="122" customFormat="false" ht="12.75" hidden="false" customHeight="false" outlineLevel="0" collapsed="false">
      <c r="A122" s="128" t="n">
        <v>47</v>
      </c>
      <c r="B122" s="144" t="n">
        <f aca="false">TblImps[[#This Row],[Time]]</f>
        <v>45434.6666666667</v>
      </c>
      <c r="C122" s="145"/>
      <c r="D122" s="146"/>
      <c r="E122" s="69" t="n">
        <f aca="false">TblConstr[[#This Row],[Land]]</f>
        <v>700</v>
      </c>
      <c r="F122" s="69" t="n">
        <f aca="false">TblPop[[#This Row],[Peasants]]</f>
        <v>6307</v>
      </c>
      <c r="G122" s="69" t="e">
        <f aca="false">TblMili[[#This Row],[Networth (2)]]</f>
        <v>#VALUE!</v>
      </c>
      <c r="H122" s="69" t="n">
        <f aca="false">OFFSET(TblProd[[#This Row],[Platinum]],-1,0)+OFFSET(TblProd[[#This Row],[Plat/hr]],-1,0) - TblProd[[#This Row],[Expenses Platinum]] + IF(TblProd[[#This Row],[Plat Bonus]],TblPop[[#This Row],[Peasants]]*4) + SUM(TblConstr[[#This Row],[Dest Hom]:[Dest Doc]])*TblConstr[[#This Row],[CPA Platinum -DB]]*tech_3_3_2*TblTech[[#This Row],[3-3]]</f>
        <v>1804639</v>
      </c>
      <c r="I122" s="69" t="n">
        <f aca="false">OFFSET(TblProd[[#This Row],[Food]],-1,0)+OFFSET(TblProd[[#This Row],[Food/hr]],-1,0)+ROUNDUP((TblConstr[[#This Row],[Farms]]*80+TblConstr[[#This Row],[Docks]]*35)*(1+OFFSET(TblProd[[#This Row],[Bonus Food/hr]],-1,0)),0)</f>
        <v>6652</v>
      </c>
      <c r="J122" s="69" t="n">
        <f aca="false">OFFSET(TblProd[[#This Row],[Lumber]],-1,0)+OFFSET(TblProd[[#This Row],[Lumber/hr]],-1,0) - TblProd[[#This Row],[Expenses Lumber]] + SUM(TblConstr[[#This Row],[Dest Hom]:[Dest Doc]])*TblConstr[[#This Row],[CPA Lumber -DB]]*tech_3_3_2*TblTech[[#This Row],[3-3]]</f>
        <v>50493</v>
      </c>
      <c r="K122" s="69" t="n">
        <f aca="false">OFFSET(TblProd[[#This Row],[Mana]],-1,0)+OFFSET(TblProd[[#This Row],[Mana/hr]],-1,0)- TblProd[[#This Row],[Expenses Mana]]</f>
        <v>14785.5</v>
      </c>
      <c r="L122" s="69" t="n">
        <f aca="false">OFFSET(TblProd[[#This Row],[Ore]],-1,0)+OFFSET(TblProd[[#This Row],[Ore/hr]],-1,0) -TblProd[[#This Row],[Expenses Ore]]</f>
        <v>0</v>
      </c>
      <c r="M122" s="69" t="n">
        <f aca="false">OFFSET(TblProd[[#This Row],[Gems]],-1,0)+OFFSET(TblProd[[#This Row],[Gems/hr]],-1,0) - TblProd[[#This Row],[Expenses Gems]]</f>
        <v>0</v>
      </c>
      <c r="N122" s="69" t="n">
        <f aca="false">OFFSET(TblProd[[#This Row],[Boats]],-1,0)+OFFSET(TblProd[[#This Row],[Boats/hr]],-1,0)</f>
        <v>83.4500000000001</v>
      </c>
      <c r="O122" s="69" t="n">
        <f aca="false">OFFSET(TblProd[[#This Row],[Prestige]],-1,0)</f>
        <v>250</v>
      </c>
      <c r="P12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2" s="69" t="n">
        <f aca="false">MAX(3750,_xlfn.CEILING.MATH(TblProd[[#This Row],[Land]]*2.5+OFFSET(TblTech[[#This Row],[Sum of tech]],-1,0)*150))</f>
        <v>3750</v>
      </c>
      <c r="R122" s="132"/>
      <c r="S122" s="69" t="n">
        <f aca="false">ROUNDDOWN(TblProd[[#This Row],[Raw Plat/hr]]*(1+TblProd[[#This Row],[Bonus Plat/hr]]),0)</f>
        <v>29403</v>
      </c>
      <c r="T122" s="69" t="n">
        <f aca="false">ROUND(TblProd[[#This Row],[Raw Food/hr]]*(1+TblProd[[#This Row],[Bonus Food/hr]])-TblProd[[#This Row],[Food decay]]-TblProd[[#This Row],[Food eaten]],0)</f>
        <v>61</v>
      </c>
      <c r="U122" s="69" t="n">
        <f aca="false">ROUND(TblProd[[#This Row],[Raw Lumber/hr]]*(1+TblProd[[#This Row],[Bonus Lumber/hr]])-TblProd[[#This Row],[Lumber rot]],0)</f>
        <v>620</v>
      </c>
      <c r="V122" s="69" t="n">
        <f aca="false">ROUND(TblProd[[#This Row],[Raw Mana/hr]]*(1+TblProd[[#This Row],[Bonus Mana/hr]])-TblProd[[#This Row],[Mana drain]],0)</f>
        <v>429</v>
      </c>
      <c r="W122" s="69" t="n">
        <f aca="false">ROUNDDOWN(TblProd[[#This Row],[Raw Ore/hr]]*(1+TblProd[[#This Row],[Bonux Ore/hr]]),0)</f>
        <v>0</v>
      </c>
      <c r="X122" s="69" t="n">
        <f aca="false">ROUNDDOWN(TblProd[[#This Row],[Raw Gems/hr]]*(1+TblProd[[#This Row],[Bonus Gems/hr]]),0)</f>
        <v>0</v>
      </c>
      <c r="Y122" s="148" t="n">
        <f aca="false">OFFSET(TblConstr[[#This Row],[Tot Doc]],1,0)*dock_boats_hr * (1 + tech_4_1*TblTech[[#This Row],[4-1]])</f>
        <v>1.2</v>
      </c>
      <c r="Z122" s="146"/>
      <c r="AA122" s="69" t="n">
        <f aca="false">TblPop[[#This Row],[Peasants]]*tax*TblPop[[#This Row],[Employment]] + (Construction!AZ123+Construction!BX123)*(alch_plat+(Magic!AM122&gt;0)*alchemist_flame_bonus)</f>
        <v>29403.9</v>
      </c>
      <c r="AB122" s="69" t="n">
        <f aca="false">TblConstr[[#This Row],[Tot Farm]]*farm_food + TblConstr[[#This Row],[Tot Doc]]*dock_food</f>
        <v>3280</v>
      </c>
      <c r="AC122" s="69" t="n">
        <f aca="false">TblConstr[[#This Row],[Tot Ly]]*ly_lumber + TblConstr[[#This Row],[Tot Hav]]*fh_lumber</f>
        <v>1250</v>
      </c>
      <c r="AD122" s="69" t="n">
        <f aca="false">OFFSET(TblConstr[[#This Row],[Tot Tow]],1,0)*(tower_mana + tech_4_5*TblTech[[#This Row],[4-5]]) + OFFSET(TblConstr[[#This Row],[Tot WG]],1,0)*wg_mana_prod</f>
        <v>725</v>
      </c>
      <c r="AE122" s="69" t="n">
        <f aca="false">OFFSET(TblConstr[[#This Row],[Tot OM]],1,0)*om_ore+IF(race="Dwarf",ROUNDDOWN(TblMili[[#This Row],[Unit 2]]*0.4,0),)</f>
        <v>0</v>
      </c>
      <c r="AF122" s="69" t="n">
        <f aca="false">OFFSET(TblConstr[[#This Row],[Tot DM]],1,0)*dm_gems</f>
        <v>0</v>
      </c>
      <c r="AG122" s="132"/>
      <c r="AH122" s="149" t="n">
        <f aca="false">MIN(race_platinum_bonus + IF(TblMagic[[#This Row],[Active Alch Frost]]&gt;0,alch_frost_bonus,IF(Magic!AD122&gt;0,midas_bonus)) + TblImps[[#This Row],[Science]] - TblProd[[#This Row],[Guard]]*(0.02 + tech_5_7*TblTech[[#This Row],[5-7]]) + tech_1_5*TblTech[[#This Row],[1-5]] + tech_4_4*TblTech[[#This Row],[4-4]], 0.5)</f>
        <v>0</v>
      </c>
      <c r="AI12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2" s="149" t="n">
        <f aca="false">race_lumber_bonus+ IF(TblMagic[[#This Row],[Active Gaia''s Blessing]]&gt;0,gaias_blessing_lumber)+ tech_1_3*TblTech[[#This Row],[1-3]] + tech_1_6*TblTech[[#This Row],[1-6]] + tech_3_3*TblTech[[#This Row],[3-3]]</f>
        <v>-0.1</v>
      </c>
      <c r="AK122" s="149" t="n">
        <f aca="false">race_mana_bonus+ 0 + TblImps[[#This Row],[Towers]] + tech_1_2*TblTech[[#This Row],[1-2]] + tech_3_4*TblTech[[#This Row],[3-4]]</f>
        <v>0</v>
      </c>
      <c r="AL122" s="149" t="n">
        <f aca="false">race_ore_bonus + IF(TblMagic[[#This Row],[Active Miner''s Sight]]&gt;0,miners_sight_bonus,IF(TblMagic[[#This Row],[Active Mining Strength]]&gt;0,mining_strength_bonus)) +  tech_1_6*TblTech[[#This Row],[1-6]]</f>
        <v>0</v>
      </c>
      <c r="AM122" s="149" t="n">
        <f aca="false">race_gem_bonus+ tech_3_2*TblTech[[#This Row],[3-2]] + tech_4_3*TblTech[[#This Row],[4-3]] + tech_6_2*TblTech[[#This Row],[6-2]]</f>
        <v>0.15</v>
      </c>
      <c r="AN122" s="132"/>
      <c r="AO122" s="69" t="n">
        <f aca="false">TblProd[[#This Row],[Food]]*food_decay * (1 + tech_2_1*TblTech[[#This Row],[2-1]] + tech_2_8*TblTech[[#This Row],[2-8]])</f>
        <v>66.52</v>
      </c>
      <c r="AP122" s="69" t="n">
        <f aca="false">(1+race_food_consumption)*TblPop[[#This Row],[Total]]*food_per_person*(1+tech_1_10*TblTech[[#This Row],[1-10]]+tech_7_5*TblTech[[#This Row],[7-5]])</f>
        <v>3234.75</v>
      </c>
      <c r="AQ122" s="69" t="n">
        <f aca="false">TblProd[[#This Row],[Lumber]]*lumber_rot * (1 + tech_2_1*TblTech[[#This Row],[2-1]] + tech_2_8*TblTech[[#This Row],[2-8]] + tech_5_2*TblTech[[#This Row],[5-2]])</f>
        <v>504.93</v>
      </c>
      <c r="AR122" s="69" t="n">
        <f aca="false">TblProd[[#This Row],[Mana]]*mana_drain * (1 + tech_2_1*TblTech[[#This Row],[2-1]] + tech_2_8*TblTech[[#This Row],[2-8]])</f>
        <v>295.71</v>
      </c>
      <c r="AS122" s="146"/>
      <c r="AT122" s="69" t="n">
        <f aca="false">TblExplore[[#This Row],[Platinum (2)]]+TblConstr[[#This Row],[Total Plat Cost]]+TblMili[[#This Row],[Plat Cost]]+TblRezone[[#This Row],[Platinum cost]]+TblImps[[#This Row],[P1]]-TblProd[[#This Row],[Bank Plat]]</f>
        <v>0</v>
      </c>
      <c r="AU122" s="69" t="n">
        <f aca="false">TblConstr[[#This Row],[Total Lum Cost]]+TblImps[[#This Row],[L1]]-TblProd[[#This Row],[Bank Lumber]] + Military!$CL$25*TblMili[[#This Row],[Sec. rec. Cost]]</f>
        <v>0</v>
      </c>
      <c r="AV122" s="69" t="n">
        <f aca="false">TblMagic[[#This Row],[Mana cost]] + Military!$CL$26*TblMili[[#This Row],[Sec. rec. Cost]]</f>
        <v>0</v>
      </c>
      <c r="AW122" s="69" t="n">
        <f aca="false">Military!$CL$24*TblMili[[#This Row],[Sec. rec. Cost]]+TblImps[[#This Row],[O1]]-TblProd[[#This Row],[Bank Ore]]</f>
        <v>0</v>
      </c>
      <c r="AX122" s="69" t="n">
        <f aca="false">TblImps[[#This Row],[G1]]-TblProd[[#This Row],[Bank Gems]]</f>
        <v>0</v>
      </c>
      <c r="AY122" s="132"/>
      <c r="AZ122" s="33" t="n">
        <f aca="false">IF(TblProd[[#This Row],[Set Guard]]&lt;&gt;"",TblProd[[#This Row],[Set Guard]],OFFSET(TblProd[[#This Row],[Guard]],-1,0))</f>
        <v>0</v>
      </c>
      <c r="BA122" s="145"/>
      <c r="BB122" s="151" t="n">
        <f aca="false">TblProd[[#This Row],[Hour]]</f>
        <v>47</v>
      </c>
      <c r="BC122" s="152" t="n">
        <f aca="false">-TblProd[[#This Row],[Bank Lumber]] / 2 + -TblProd[[#This Row],[Bank Gems]] * 2 + -TblProd[[#This Row],[Bank Ore]] / 2</f>
        <v>0</v>
      </c>
      <c r="BD122" s="152"/>
      <c r="BE122" s="152"/>
      <c r="BF122" s="152"/>
      <c r="BG122" s="153" t="n">
        <f aca="false">TblProd[[#This Row],[Time]]</f>
        <v>45434.6666666667</v>
      </c>
      <c r="BH12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69" t="n">
        <f aca="false">TblProd[[#This Row],[Platinum]]</f>
        <v>1804639</v>
      </c>
      <c r="BJ122" s="69" t="n">
        <f aca="false">TblProd[[#This Row],[Food]]</f>
        <v>6652</v>
      </c>
      <c r="BK122" s="69" t="n">
        <f aca="false">TblProd[[#This Row],[Lumber]]</f>
        <v>50493</v>
      </c>
      <c r="BL122" s="69" t="n">
        <f aca="false">TblProd[[#This Row],[Mana]]</f>
        <v>14785.5</v>
      </c>
      <c r="BM122" s="69" t="n">
        <f aca="false">TblProd[[#This Row],[Ore]]</f>
        <v>0</v>
      </c>
    </row>
    <row r="123" customFormat="false" ht="12.75" hidden="false" customHeight="false" outlineLevel="0" collapsed="false">
      <c r="A123" s="128" t="n">
        <v>48</v>
      </c>
      <c r="B123" s="144" t="n">
        <f aca="false">TblImps[[#This Row],[Time]]</f>
        <v>45434.7083333333</v>
      </c>
      <c r="C123" s="145"/>
      <c r="D123" s="146"/>
      <c r="E123" s="69" t="n">
        <f aca="false">TblConstr[[#This Row],[Land]]</f>
        <v>700</v>
      </c>
      <c r="F123" s="69" t="n">
        <f aca="false">TblPop[[#This Row],[Peasants]]</f>
        <v>6244</v>
      </c>
      <c r="G123" s="69" t="e">
        <f aca="false">TblMili[[#This Row],[Networth (2)]]</f>
        <v>#VALUE!</v>
      </c>
      <c r="H123" s="69" t="n">
        <f aca="false">OFFSET(TblProd[[#This Row],[Platinum]],-1,0)+OFFSET(TblProd[[#This Row],[Plat/hr]],-1,0) - TblProd[[#This Row],[Expenses Platinum]] + IF(TblProd[[#This Row],[Plat Bonus]],TblPop[[#This Row],[Peasants]]*4) + SUM(TblConstr[[#This Row],[Dest Hom]:[Dest Doc]])*TblConstr[[#This Row],[CPA Platinum -DB]]*tech_3_3_2*TblTech[[#This Row],[3-3]]</f>
        <v>1834042</v>
      </c>
      <c r="I123" s="69" t="n">
        <f aca="false">OFFSET(TblProd[[#This Row],[Food]],-1,0)+OFFSET(TblProd[[#This Row],[Food/hr]],-1,0)+ROUNDUP((TblConstr[[#This Row],[Farms]]*80+TblConstr[[#This Row],[Docks]]*35)*(1+OFFSET(TblProd[[#This Row],[Bonus Food/hr]],-1,0)),0)</f>
        <v>6713</v>
      </c>
      <c r="J123" s="69" t="n">
        <f aca="false">OFFSET(TblProd[[#This Row],[Lumber]],-1,0)+OFFSET(TblProd[[#This Row],[Lumber/hr]],-1,0) - TblProd[[#This Row],[Expenses Lumber]] + SUM(TblConstr[[#This Row],[Dest Hom]:[Dest Doc]])*TblConstr[[#This Row],[CPA Lumber -DB]]*tech_3_3_2*TblTech[[#This Row],[3-3]]</f>
        <v>51113</v>
      </c>
      <c r="K123" s="69" t="n">
        <f aca="false">OFFSET(TblProd[[#This Row],[Mana]],-1,0)+OFFSET(TblProd[[#This Row],[Mana/hr]],-1,0)- TblProd[[#This Row],[Expenses Mana]]</f>
        <v>15214.5</v>
      </c>
      <c r="L123" s="69" t="n">
        <f aca="false">OFFSET(TblProd[[#This Row],[Ore]],-1,0)+OFFSET(TblProd[[#This Row],[Ore/hr]],-1,0) -TblProd[[#This Row],[Expenses Ore]]</f>
        <v>0</v>
      </c>
      <c r="M123" s="69" t="n">
        <f aca="false">OFFSET(TblProd[[#This Row],[Gems]],-1,0)+OFFSET(TblProd[[#This Row],[Gems/hr]],-1,0) - TblProd[[#This Row],[Expenses Gems]]</f>
        <v>0</v>
      </c>
      <c r="N123" s="69" t="n">
        <f aca="false">OFFSET(TblProd[[#This Row],[Boats]],-1,0)+OFFSET(TblProd[[#This Row],[Boats/hr]],-1,0)</f>
        <v>84.6500000000001</v>
      </c>
      <c r="O123" s="69" t="n">
        <f aca="false">OFFSET(TblProd[[#This Row],[Prestige]],-1,0)</f>
        <v>250</v>
      </c>
      <c r="P12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3" s="69" t="n">
        <f aca="false">MAX(3750,_xlfn.CEILING.MATH(TblProd[[#This Row],[Land]]*2.5+OFFSET(TblTech[[#This Row],[Sum of tech]],-1,0)*150))</f>
        <v>3750</v>
      </c>
      <c r="R123" s="132"/>
      <c r="S123" s="69" t="n">
        <f aca="false">ROUNDDOWN(TblProd[[#This Row],[Raw Plat/hr]]*(1+TblProd[[#This Row],[Bonus Plat/hr]]),0)</f>
        <v>29233</v>
      </c>
      <c r="T123" s="69" t="n">
        <f aca="false">ROUND(TblProd[[#This Row],[Raw Food/hr]]*(1+TblProd[[#This Row],[Bonus Food/hr]])-TblProd[[#This Row],[Food decay]]-TblProd[[#This Row],[Food eaten]],0)</f>
        <v>60</v>
      </c>
      <c r="U123" s="69" t="n">
        <f aca="false">ROUND(TblProd[[#This Row],[Raw Lumber/hr]]*(1+TblProd[[#This Row],[Bonus Lumber/hr]])-TblProd[[#This Row],[Lumber rot]],0)</f>
        <v>614</v>
      </c>
      <c r="V123" s="69" t="n">
        <f aca="false">ROUND(TblProd[[#This Row],[Raw Mana/hr]]*(1+TblProd[[#This Row],[Bonus Mana/hr]])-TblProd[[#This Row],[Mana drain]],0)</f>
        <v>421</v>
      </c>
      <c r="W123" s="69" t="n">
        <f aca="false">ROUNDDOWN(TblProd[[#This Row],[Raw Ore/hr]]*(1+TblProd[[#This Row],[Bonux Ore/hr]]),0)</f>
        <v>0</v>
      </c>
      <c r="X123" s="69" t="n">
        <f aca="false">ROUNDDOWN(TblProd[[#This Row],[Raw Gems/hr]]*(1+TblProd[[#This Row],[Bonus Gems/hr]]),0)</f>
        <v>0</v>
      </c>
      <c r="Y123" s="148" t="n">
        <f aca="false">OFFSET(TblConstr[[#This Row],[Tot Doc]],1,0)*dock_boats_hr * (1 + tech_4_1*TblTech[[#This Row],[4-1]])</f>
        <v>1.2</v>
      </c>
      <c r="Z123" s="146"/>
      <c r="AA123" s="69" t="n">
        <f aca="false">TblPop[[#This Row],[Peasants]]*tax*TblPop[[#This Row],[Employment]] + (Construction!AZ124+Construction!BX124)*(alch_plat+(Magic!AM123&gt;0)*alchemist_flame_bonus)</f>
        <v>29233.8</v>
      </c>
      <c r="AB123" s="69" t="n">
        <f aca="false">TblConstr[[#This Row],[Tot Farm]]*farm_food + TblConstr[[#This Row],[Tot Doc]]*dock_food</f>
        <v>3280</v>
      </c>
      <c r="AC123" s="69" t="n">
        <f aca="false">TblConstr[[#This Row],[Tot Ly]]*ly_lumber + TblConstr[[#This Row],[Tot Hav]]*fh_lumber</f>
        <v>1250</v>
      </c>
      <c r="AD123" s="69" t="n">
        <f aca="false">OFFSET(TblConstr[[#This Row],[Tot Tow]],1,0)*(tower_mana + tech_4_5*TblTech[[#This Row],[4-5]]) + OFFSET(TblConstr[[#This Row],[Tot WG]],1,0)*wg_mana_prod</f>
        <v>725</v>
      </c>
      <c r="AE123" s="69" t="n">
        <f aca="false">OFFSET(TblConstr[[#This Row],[Tot OM]],1,0)*om_ore+IF(race="Dwarf",ROUNDDOWN(TblMili[[#This Row],[Unit 2]]*0.4,0),)</f>
        <v>0</v>
      </c>
      <c r="AF123" s="69" t="n">
        <f aca="false">OFFSET(TblConstr[[#This Row],[Tot DM]],1,0)*dm_gems</f>
        <v>0</v>
      </c>
      <c r="AG123" s="132"/>
      <c r="AH123" s="149" t="n">
        <f aca="false">MIN(race_platinum_bonus + IF(TblMagic[[#This Row],[Active Alch Frost]]&gt;0,alch_frost_bonus,IF(Magic!AD123&gt;0,midas_bonus)) + TblImps[[#This Row],[Science]] - TblProd[[#This Row],[Guard]]*(0.02 + tech_5_7*TblTech[[#This Row],[5-7]]) + tech_1_5*TblTech[[#This Row],[1-5]] + tech_4_4*TblTech[[#This Row],[4-4]], 0.5)</f>
        <v>0</v>
      </c>
      <c r="AI12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3" s="149" t="n">
        <f aca="false">race_lumber_bonus+ IF(TblMagic[[#This Row],[Active Gaia''s Blessing]]&gt;0,gaias_blessing_lumber)+ tech_1_3*TblTech[[#This Row],[1-3]] + tech_1_6*TblTech[[#This Row],[1-6]] + tech_3_3*TblTech[[#This Row],[3-3]]</f>
        <v>-0.1</v>
      </c>
      <c r="AK123" s="149" t="n">
        <f aca="false">race_mana_bonus+ 0 + TblImps[[#This Row],[Towers]] + tech_1_2*TblTech[[#This Row],[1-2]] + tech_3_4*TblTech[[#This Row],[3-4]]</f>
        <v>0</v>
      </c>
      <c r="AL123" s="149" t="n">
        <f aca="false">race_ore_bonus + IF(TblMagic[[#This Row],[Active Miner''s Sight]]&gt;0,miners_sight_bonus,IF(TblMagic[[#This Row],[Active Mining Strength]]&gt;0,mining_strength_bonus)) +  tech_1_6*TblTech[[#This Row],[1-6]]</f>
        <v>0</v>
      </c>
      <c r="AM123" s="149" t="n">
        <f aca="false">race_gem_bonus+ tech_3_2*TblTech[[#This Row],[3-2]] + tech_4_3*TblTech[[#This Row],[4-3]] + tech_6_2*TblTech[[#This Row],[6-2]]</f>
        <v>0.15</v>
      </c>
      <c r="AN123" s="132"/>
      <c r="AO123" s="69" t="n">
        <f aca="false">TblProd[[#This Row],[Food]]*food_decay * (1 + tech_2_1*TblTech[[#This Row],[2-1]] + tech_2_8*TblTech[[#This Row],[2-8]])</f>
        <v>67.13</v>
      </c>
      <c r="AP123" s="69" t="n">
        <f aca="false">(1+race_food_consumption)*TblPop[[#This Row],[Total]]*food_per_person*(1+tech_1_10*TblTech[[#This Row],[1-10]]+tech_7_5*TblTech[[#This Row],[7-5]])</f>
        <v>3234.75</v>
      </c>
      <c r="AQ123" s="69" t="n">
        <f aca="false">TblProd[[#This Row],[Lumber]]*lumber_rot * (1 + tech_2_1*TblTech[[#This Row],[2-1]] + tech_2_8*TblTech[[#This Row],[2-8]] + tech_5_2*TblTech[[#This Row],[5-2]])</f>
        <v>511.13</v>
      </c>
      <c r="AR123" s="69" t="n">
        <f aca="false">TblProd[[#This Row],[Mana]]*mana_drain * (1 + tech_2_1*TblTech[[#This Row],[2-1]] + tech_2_8*TblTech[[#This Row],[2-8]])</f>
        <v>304.29</v>
      </c>
      <c r="AS123" s="146"/>
      <c r="AT123" s="69" t="n">
        <f aca="false">TblExplore[[#This Row],[Platinum (2)]]+TblConstr[[#This Row],[Total Plat Cost]]+TblMili[[#This Row],[Plat Cost]]+TblRezone[[#This Row],[Platinum cost]]+TblImps[[#This Row],[P1]]-TblProd[[#This Row],[Bank Plat]]</f>
        <v>0</v>
      </c>
      <c r="AU123" s="69" t="n">
        <f aca="false">TblConstr[[#This Row],[Total Lum Cost]]+TblImps[[#This Row],[L1]]-TblProd[[#This Row],[Bank Lumber]] + Military!$CL$25*TblMili[[#This Row],[Sec. rec. Cost]]</f>
        <v>0</v>
      </c>
      <c r="AV123" s="69" t="n">
        <f aca="false">TblMagic[[#This Row],[Mana cost]] + Military!$CL$26*TblMili[[#This Row],[Sec. rec. Cost]]</f>
        <v>0</v>
      </c>
      <c r="AW123" s="69" t="n">
        <f aca="false">Military!$CL$24*TblMili[[#This Row],[Sec. rec. Cost]]+TblImps[[#This Row],[O1]]-TblProd[[#This Row],[Bank Ore]]</f>
        <v>0</v>
      </c>
      <c r="AX123" s="69" t="n">
        <f aca="false">TblImps[[#This Row],[G1]]-TblProd[[#This Row],[Bank Gems]]</f>
        <v>0</v>
      </c>
      <c r="AY123" s="132"/>
      <c r="AZ123" s="33" t="n">
        <f aca="false">IF(TblProd[[#This Row],[Set Guard]]&lt;&gt;"",TblProd[[#This Row],[Set Guard]],OFFSET(TblProd[[#This Row],[Guard]],-1,0))</f>
        <v>0</v>
      </c>
      <c r="BA123" s="145"/>
      <c r="BB123" s="151" t="n">
        <f aca="false">TblProd[[#This Row],[Hour]]</f>
        <v>48</v>
      </c>
      <c r="BC123" s="152" t="n">
        <f aca="false">-TblProd[[#This Row],[Bank Lumber]] / 2 + -TblProd[[#This Row],[Bank Gems]] * 2 + -TblProd[[#This Row],[Bank Ore]] / 2</f>
        <v>0</v>
      </c>
      <c r="BD123" s="152"/>
      <c r="BE123" s="152"/>
      <c r="BF123" s="152"/>
      <c r="BG123" s="153" t="n">
        <f aca="false">TblProd[[#This Row],[Time]]</f>
        <v>45434.7083333333</v>
      </c>
      <c r="BH12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69" t="n">
        <f aca="false">TblProd[[#This Row],[Platinum]]</f>
        <v>1834042</v>
      </c>
      <c r="BJ123" s="69" t="n">
        <f aca="false">TblProd[[#This Row],[Food]]</f>
        <v>6713</v>
      </c>
      <c r="BK123" s="69" t="n">
        <f aca="false">TblProd[[#This Row],[Lumber]]</f>
        <v>51113</v>
      </c>
      <c r="BL123" s="69" t="n">
        <f aca="false">TblProd[[#This Row],[Mana]]</f>
        <v>15214.5</v>
      </c>
      <c r="BM123" s="69" t="n">
        <f aca="false">TblProd[[#This Row],[Ore]]</f>
        <v>0</v>
      </c>
    </row>
    <row r="124" customFormat="false" ht="12.75" hidden="false" customHeight="false" outlineLevel="0" collapsed="false">
      <c r="A124" s="128" t="n">
        <v>49</v>
      </c>
      <c r="B124" s="144" t="n">
        <f aca="false">TblImps[[#This Row],[Time]]</f>
        <v>45434.75</v>
      </c>
      <c r="C124" s="145"/>
      <c r="D124" s="146"/>
      <c r="E124" s="69" t="n">
        <f aca="false">TblConstr[[#This Row],[Land]]</f>
        <v>700</v>
      </c>
      <c r="F124" s="69" t="n">
        <f aca="false">TblPop[[#This Row],[Peasants]]</f>
        <v>6182</v>
      </c>
      <c r="G124" s="69" t="e">
        <f aca="false">TblMili[[#This Row],[Networth (2)]]</f>
        <v>#VALUE!</v>
      </c>
      <c r="H124" s="69" t="n">
        <f aca="false">OFFSET(TblProd[[#This Row],[Platinum]],-1,0)+OFFSET(TblProd[[#This Row],[Plat/hr]],-1,0) - TblProd[[#This Row],[Expenses Platinum]] + IF(TblProd[[#This Row],[Plat Bonus]],TblPop[[#This Row],[Peasants]]*4) + SUM(TblConstr[[#This Row],[Dest Hom]:[Dest Doc]])*TblConstr[[#This Row],[CPA Platinum -DB]]*tech_3_3_2*TblTech[[#This Row],[3-3]]</f>
        <v>1863275</v>
      </c>
      <c r="I124" s="69" t="n">
        <f aca="false">OFFSET(TblProd[[#This Row],[Food]],-1,0)+OFFSET(TblProd[[#This Row],[Food/hr]],-1,0)+ROUNDUP((TblConstr[[#This Row],[Farms]]*80+TblConstr[[#This Row],[Docks]]*35)*(1+OFFSET(TblProd[[#This Row],[Bonus Food/hr]],-1,0)),0)</f>
        <v>6773</v>
      </c>
      <c r="J124" s="69" t="n">
        <f aca="false">OFFSET(TblProd[[#This Row],[Lumber]],-1,0)+OFFSET(TblProd[[#This Row],[Lumber/hr]],-1,0) - TblProd[[#This Row],[Expenses Lumber]] + SUM(TblConstr[[#This Row],[Dest Hom]:[Dest Doc]])*TblConstr[[#This Row],[CPA Lumber -DB]]*tech_3_3_2*TblTech[[#This Row],[3-3]]</f>
        <v>51727</v>
      </c>
      <c r="K124" s="69" t="n">
        <f aca="false">OFFSET(TblProd[[#This Row],[Mana]],-1,0)+OFFSET(TblProd[[#This Row],[Mana/hr]],-1,0)- TblProd[[#This Row],[Expenses Mana]]</f>
        <v>15635.5</v>
      </c>
      <c r="L124" s="69" t="n">
        <f aca="false">OFFSET(TblProd[[#This Row],[Ore]],-1,0)+OFFSET(TblProd[[#This Row],[Ore/hr]],-1,0) -TblProd[[#This Row],[Expenses Ore]]</f>
        <v>0</v>
      </c>
      <c r="M124" s="69" t="n">
        <f aca="false">OFFSET(TblProd[[#This Row],[Gems]],-1,0)+OFFSET(TblProd[[#This Row],[Gems/hr]],-1,0) - TblProd[[#This Row],[Expenses Gems]]</f>
        <v>0</v>
      </c>
      <c r="N124" s="69" t="n">
        <f aca="false">OFFSET(TblProd[[#This Row],[Boats]],-1,0)+OFFSET(TblProd[[#This Row],[Boats/hr]],-1,0)</f>
        <v>85.8500000000001</v>
      </c>
      <c r="O124" s="69" t="n">
        <f aca="false">OFFSET(TblProd[[#This Row],[Prestige]],-1,0)</f>
        <v>250</v>
      </c>
      <c r="P12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4" s="69" t="n">
        <f aca="false">MAX(3750,_xlfn.CEILING.MATH(TblProd[[#This Row],[Land]]*2.5+OFFSET(TblTech[[#This Row],[Sum of tech]],-1,0)*150))</f>
        <v>3750</v>
      </c>
      <c r="R124" s="132"/>
      <c r="S124" s="69" t="n">
        <f aca="false">ROUNDDOWN(TblProd[[#This Row],[Raw Plat/hr]]*(1+TblProd[[#This Row],[Bonus Plat/hr]]),0)</f>
        <v>29066</v>
      </c>
      <c r="T124" s="69" t="n">
        <f aca="false">ROUND(TblProd[[#This Row],[Raw Food/hr]]*(1+TblProd[[#This Row],[Bonus Food/hr]])-TblProd[[#This Row],[Food decay]]-TblProd[[#This Row],[Food eaten]],0)</f>
        <v>60</v>
      </c>
      <c r="U124" s="69" t="n">
        <f aca="false">ROUND(TblProd[[#This Row],[Raw Lumber/hr]]*(1+TblProd[[#This Row],[Bonus Lumber/hr]])-TblProd[[#This Row],[Lumber rot]],0)</f>
        <v>608</v>
      </c>
      <c r="V124" s="69" t="n">
        <f aca="false">ROUND(TblProd[[#This Row],[Raw Mana/hr]]*(1+TblProd[[#This Row],[Bonus Mana/hr]])-TblProd[[#This Row],[Mana drain]],0)</f>
        <v>412</v>
      </c>
      <c r="W124" s="69" t="n">
        <f aca="false">ROUNDDOWN(TblProd[[#This Row],[Raw Ore/hr]]*(1+TblProd[[#This Row],[Bonux Ore/hr]]),0)</f>
        <v>0</v>
      </c>
      <c r="X124" s="69" t="n">
        <f aca="false">ROUNDDOWN(TblProd[[#This Row],[Raw Gems/hr]]*(1+TblProd[[#This Row],[Bonus Gems/hr]]),0)</f>
        <v>0</v>
      </c>
      <c r="Y124" s="148" t="n">
        <f aca="false">OFFSET(TblConstr[[#This Row],[Tot Doc]],1,0)*dock_boats_hr * (1 + tech_4_1*TblTech[[#This Row],[4-1]])</f>
        <v>1.2</v>
      </c>
      <c r="Z124" s="146"/>
      <c r="AA124" s="69" t="n">
        <f aca="false">TblPop[[#This Row],[Peasants]]*tax*TblPop[[#This Row],[Employment]] + (Construction!AZ125+Construction!BX125)*(alch_plat+(Magic!AM124&gt;0)*alchemist_flame_bonus)</f>
        <v>29066.4</v>
      </c>
      <c r="AB124" s="69" t="n">
        <f aca="false">TblConstr[[#This Row],[Tot Farm]]*farm_food + TblConstr[[#This Row],[Tot Doc]]*dock_food</f>
        <v>3280</v>
      </c>
      <c r="AC124" s="69" t="n">
        <f aca="false">TblConstr[[#This Row],[Tot Ly]]*ly_lumber + TblConstr[[#This Row],[Tot Hav]]*fh_lumber</f>
        <v>1250</v>
      </c>
      <c r="AD124" s="69" t="n">
        <f aca="false">OFFSET(TblConstr[[#This Row],[Tot Tow]],1,0)*(tower_mana + tech_4_5*TblTech[[#This Row],[4-5]]) + OFFSET(TblConstr[[#This Row],[Tot WG]],1,0)*wg_mana_prod</f>
        <v>725</v>
      </c>
      <c r="AE124" s="69" t="n">
        <f aca="false">OFFSET(TblConstr[[#This Row],[Tot OM]],1,0)*om_ore+IF(race="Dwarf",ROUNDDOWN(TblMili[[#This Row],[Unit 2]]*0.4,0),)</f>
        <v>0</v>
      </c>
      <c r="AF124" s="69" t="n">
        <f aca="false">OFFSET(TblConstr[[#This Row],[Tot DM]],1,0)*dm_gems</f>
        <v>0</v>
      </c>
      <c r="AG124" s="132"/>
      <c r="AH124" s="149" t="n">
        <f aca="false">MIN(race_platinum_bonus + IF(TblMagic[[#This Row],[Active Alch Frost]]&gt;0,alch_frost_bonus,IF(Magic!AD124&gt;0,midas_bonus)) + TblImps[[#This Row],[Science]] - TblProd[[#This Row],[Guard]]*(0.02 + tech_5_7*TblTech[[#This Row],[5-7]]) + tech_1_5*TblTech[[#This Row],[1-5]] + tech_4_4*TblTech[[#This Row],[4-4]], 0.5)</f>
        <v>0</v>
      </c>
      <c r="AI12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4" s="149" t="n">
        <f aca="false">race_lumber_bonus+ IF(TblMagic[[#This Row],[Active Gaia''s Blessing]]&gt;0,gaias_blessing_lumber)+ tech_1_3*TblTech[[#This Row],[1-3]] + tech_1_6*TblTech[[#This Row],[1-6]] + tech_3_3*TblTech[[#This Row],[3-3]]</f>
        <v>-0.1</v>
      </c>
      <c r="AK124" s="149" t="n">
        <f aca="false">race_mana_bonus+ 0 + TblImps[[#This Row],[Towers]] + tech_1_2*TblTech[[#This Row],[1-2]] + tech_3_4*TblTech[[#This Row],[3-4]]</f>
        <v>0</v>
      </c>
      <c r="AL124" s="149" t="n">
        <f aca="false">race_ore_bonus + IF(TblMagic[[#This Row],[Active Miner''s Sight]]&gt;0,miners_sight_bonus,IF(TblMagic[[#This Row],[Active Mining Strength]]&gt;0,mining_strength_bonus)) +  tech_1_6*TblTech[[#This Row],[1-6]]</f>
        <v>0</v>
      </c>
      <c r="AM124" s="149" t="n">
        <f aca="false">race_gem_bonus+ tech_3_2*TblTech[[#This Row],[3-2]] + tech_4_3*TblTech[[#This Row],[4-3]] + tech_6_2*TblTech[[#This Row],[6-2]]</f>
        <v>0.15</v>
      </c>
      <c r="AN124" s="132"/>
      <c r="AO124" s="69" t="n">
        <f aca="false">TblProd[[#This Row],[Food]]*food_decay * (1 + tech_2_1*TblTech[[#This Row],[2-1]] + tech_2_8*TblTech[[#This Row],[2-8]])</f>
        <v>67.73</v>
      </c>
      <c r="AP124" s="69" t="n">
        <f aca="false">(1+race_food_consumption)*TblPop[[#This Row],[Total]]*food_per_person*(1+tech_1_10*TblTech[[#This Row],[1-10]]+tech_7_5*TblTech[[#This Row],[7-5]])</f>
        <v>3234.75</v>
      </c>
      <c r="AQ124" s="69" t="n">
        <f aca="false">TblProd[[#This Row],[Lumber]]*lumber_rot * (1 + tech_2_1*TblTech[[#This Row],[2-1]] + tech_2_8*TblTech[[#This Row],[2-8]] + tech_5_2*TblTech[[#This Row],[5-2]])</f>
        <v>517.27</v>
      </c>
      <c r="AR124" s="69" t="n">
        <f aca="false">TblProd[[#This Row],[Mana]]*mana_drain * (1 + tech_2_1*TblTech[[#This Row],[2-1]] + tech_2_8*TblTech[[#This Row],[2-8]])</f>
        <v>312.71</v>
      </c>
      <c r="AS124" s="146"/>
      <c r="AT124" s="69" t="n">
        <f aca="false">TblExplore[[#This Row],[Platinum (2)]]+TblConstr[[#This Row],[Total Plat Cost]]+TblMili[[#This Row],[Plat Cost]]+TblRezone[[#This Row],[Platinum cost]]+TblImps[[#This Row],[P1]]-TblProd[[#This Row],[Bank Plat]]</f>
        <v>0</v>
      </c>
      <c r="AU124" s="69" t="n">
        <f aca="false">TblConstr[[#This Row],[Total Lum Cost]]+TblImps[[#This Row],[L1]]-TblProd[[#This Row],[Bank Lumber]] + Military!$CL$25*TblMili[[#This Row],[Sec. rec. Cost]]</f>
        <v>0</v>
      </c>
      <c r="AV124" s="69" t="n">
        <f aca="false">TblMagic[[#This Row],[Mana cost]] + Military!$CL$26*TblMili[[#This Row],[Sec. rec. Cost]]</f>
        <v>0</v>
      </c>
      <c r="AW124" s="69" t="n">
        <f aca="false">Military!$CL$24*TblMili[[#This Row],[Sec. rec. Cost]]+TblImps[[#This Row],[O1]]-TblProd[[#This Row],[Bank Ore]]</f>
        <v>0</v>
      </c>
      <c r="AX124" s="69" t="n">
        <f aca="false">TblImps[[#This Row],[G1]]-TblProd[[#This Row],[Bank Gems]]</f>
        <v>0</v>
      </c>
      <c r="AY124" s="132"/>
      <c r="AZ124" s="33" t="n">
        <f aca="false">IF(TblProd[[#This Row],[Set Guard]]&lt;&gt;"",TblProd[[#This Row],[Set Guard]],OFFSET(TblProd[[#This Row],[Guard]],-1,0))</f>
        <v>0</v>
      </c>
      <c r="BA124" s="145"/>
      <c r="BB124" s="151" t="n">
        <f aca="false">TblProd[[#This Row],[Hour]]</f>
        <v>49</v>
      </c>
      <c r="BC124" s="152" t="n">
        <f aca="false">-TblProd[[#This Row],[Bank Lumber]] / 2 + -TblProd[[#This Row],[Bank Gems]] * 2 + -TblProd[[#This Row],[Bank Ore]] / 2</f>
        <v>0</v>
      </c>
      <c r="BD124" s="152"/>
      <c r="BE124" s="152"/>
      <c r="BF124" s="152"/>
      <c r="BG124" s="153" t="n">
        <f aca="false">TblProd[[#This Row],[Time]]</f>
        <v>45434.75</v>
      </c>
      <c r="BH12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69" t="n">
        <f aca="false">TblProd[[#This Row],[Platinum]]</f>
        <v>1863275</v>
      </c>
      <c r="BJ124" s="69" t="n">
        <f aca="false">TblProd[[#This Row],[Food]]</f>
        <v>6773</v>
      </c>
      <c r="BK124" s="69" t="n">
        <f aca="false">TblProd[[#This Row],[Lumber]]</f>
        <v>51727</v>
      </c>
      <c r="BL124" s="69" t="n">
        <f aca="false">TblProd[[#This Row],[Mana]]</f>
        <v>15635.5</v>
      </c>
      <c r="BM124" s="69" t="n">
        <f aca="false">TblProd[[#This Row],[Ore]]</f>
        <v>0</v>
      </c>
    </row>
    <row r="125" customFormat="false" ht="12.75" hidden="false" customHeight="false" outlineLevel="0" collapsed="false">
      <c r="A125" s="128" t="n">
        <v>50</v>
      </c>
      <c r="B125" s="144" t="n">
        <f aca="false">TblImps[[#This Row],[Time]]</f>
        <v>45434.7916666667</v>
      </c>
      <c r="C125" s="145"/>
      <c r="D125" s="146"/>
      <c r="E125" s="69" t="n">
        <f aca="false">TblConstr[[#This Row],[Land]]</f>
        <v>700</v>
      </c>
      <c r="F125" s="69" t="n">
        <f aca="false">TblPop[[#This Row],[Peasants]]</f>
        <v>6120</v>
      </c>
      <c r="G125" s="69" t="e">
        <f aca="false">TblMili[[#This Row],[Networth (2)]]</f>
        <v>#VALUE!</v>
      </c>
      <c r="H125" s="69" t="n">
        <f aca="false">OFFSET(TblProd[[#This Row],[Platinum]],-1,0)+OFFSET(TblProd[[#This Row],[Plat/hr]],-1,0) - TblProd[[#This Row],[Expenses Platinum]] + IF(TblProd[[#This Row],[Plat Bonus]],TblPop[[#This Row],[Peasants]]*4) + SUM(TblConstr[[#This Row],[Dest Hom]:[Dest Doc]])*TblConstr[[#This Row],[CPA Platinum -DB]]*tech_3_3_2*TblTech[[#This Row],[3-3]]</f>
        <v>1892341</v>
      </c>
      <c r="I125" s="69" t="n">
        <f aca="false">OFFSET(TblProd[[#This Row],[Food]],-1,0)+OFFSET(TblProd[[#This Row],[Food/hr]],-1,0)+ROUNDUP((TblConstr[[#This Row],[Farms]]*80+TblConstr[[#This Row],[Docks]]*35)*(1+OFFSET(TblProd[[#This Row],[Bonus Food/hr]],-1,0)),0)</f>
        <v>6833</v>
      </c>
      <c r="J125" s="69" t="n">
        <f aca="false">OFFSET(TblProd[[#This Row],[Lumber]],-1,0)+OFFSET(TblProd[[#This Row],[Lumber/hr]],-1,0) - TblProd[[#This Row],[Expenses Lumber]] + SUM(TblConstr[[#This Row],[Dest Hom]:[Dest Doc]])*TblConstr[[#This Row],[CPA Lumber -DB]]*tech_3_3_2*TblTech[[#This Row],[3-3]]</f>
        <v>52335</v>
      </c>
      <c r="K125" s="69" t="n">
        <f aca="false">OFFSET(TblProd[[#This Row],[Mana]],-1,0)+OFFSET(TblProd[[#This Row],[Mana/hr]],-1,0)- TblProd[[#This Row],[Expenses Mana]]</f>
        <v>16047.5</v>
      </c>
      <c r="L125" s="69" t="n">
        <f aca="false">OFFSET(TblProd[[#This Row],[Ore]],-1,0)+OFFSET(TblProd[[#This Row],[Ore/hr]],-1,0) -TblProd[[#This Row],[Expenses Ore]]</f>
        <v>0</v>
      </c>
      <c r="M125" s="69" t="n">
        <f aca="false">OFFSET(TblProd[[#This Row],[Gems]],-1,0)+OFFSET(TblProd[[#This Row],[Gems/hr]],-1,0) - TblProd[[#This Row],[Expenses Gems]]</f>
        <v>0</v>
      </c>
      <c r="N125" s="69" t="n">
        <f aca="false">OFFSET(TblProd[[#This Row],[Boats]],-1,0)+OFFSET(TblProd[[#This Row],[Boats/hr]],-1,0)</f>
        <v>87.0500000000001</v>
      </c>
      <c r="O125" s="69" t="n">
        <f aca="false">OFFSET(TblProd[[#This Row],[Prestige]],-1,0)</f>
        <v>250</v>
      </c>
      <c r="P12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5" s="69" t="n">
        <f aca="false">MAX(3750,_xlfn.CEILING.MATH(TblProd[[#This Row],[Land]]*2.5+OFFSET(TblTech[[#This Row],[Sum of tech]],-1,0)*150))</f>
        <v>3750</v>
      </c>
      <c r="R125" s="132"/>
      <c r="S125" s="69" t="n">
        <f aca="false">ROUNDDOWN(TblProd[[#This Row],[Raw Plat/hr]]*(1+TblProd[[#This Row],[Bonus Plat/hr]]),0)</f>
        <v>28899</v>
      </c>
      <c r="T125" s="69" t="n">
        <f aca="false">ROUND(TblProd[[#This Row],[Raw Food/hr]]*(1+TblProd[[#This Row],[Bonus Food/hr]])-TblProd[[#This Row],[Food decay]]-TblProd[[#This Row],[Food eaten]],0)</f>
        <v>59</v>
      </c>
      <c r="U125" s="69" t="n">
        <f aca="false">ROUND(TblProd[[#This Row],[Raw Lumber/hr]]*(1+TblProd[[#This Row],[Bonus Lumber/hr]])-TblProd[[#This Row],[Lumber rot]],0)</f>
        <v>602</v>
      </c>
      <c r="V125" s="69" t="n">
        <f aca="false">ROUND(TblProd[[#This Row],[Raw Mana/hr]]*(1+TblProd[[#This Row],[Bonus Mana/hr]])-TblProd[[#This Row],[Mana drain]],0)</f>
        <v>404</v>
      </c>
      <c r="W125" s="69" t="n">
        <f aca="false">ROUNDDOWN(TblProd[[#This Row],[Raw Ore/hr]]*(1+TblProd[[#This Row],[Bonux Ore/hr]]),0)</f>
        <v>0</v>
      </c>
      <c r="X125" s="69" t="n">
        <f aca="false">ROUNDDOWN(TblProd[[#This Row],[Raw Gems/hr]]*(1+TblProd[[#This Row],[Bonus Gems/hr]]),0)</f>
        <v>0</v>
      </c>
      <c r="Y125" s="148" t="n">
        <f aca="false">OFFSET(TblConstr[[#This Row],[Tot Doc]],1,0)*dock_boats_hr * (1 + tech_4_1*TblTech[[#This Row],[4-1]])</f>
        <v>1.2</v>
      </c>
      <c r="Z125" s="146"/>
      <c r="AA125" s="69" t="n">
        <f aca="false">TblPop[[#This Row],[Peasants]]*tax*TblPop[[#This Row],[Employment]] + (Construction!AZ126+Construction!BX126)*(alch_plat+(Magic!AM125&gt;0)*alchemist_flame_bonus)</f>
        <v>28899</v>
      </c>
      <c r="AB125" s="69" t="n">
        <f aca="false">TblConstr[[#This Row],[Tot Farm]]*farm_food + TblConstr[[#This Row],[Tot Doc]]*dock_food</f>
        <v>3280</v>
      </c>
      <c r="AC125" s="69" t="n">
        <f aca="false">TblConstr[[#This Row],[Tot Ly]]*ly_lumber + TblConstr[[#This Row],[Tot Hav]]*fh_lumber</f>
        <v>1250</v>
      </c>
      <c r="AD125" s="69" t="n">
        <f aca="false">OFFSET(TblConstr[[#This Row],[Tot Tow]],1,0)*(tower_mana + tech_4_5*TblTech[[#This Row],[4-5]]) + OFFSET(TblConstr[[#This Row],[Tot WG]],1,0)*wg_mana_prod</f>
        <v>725</v>
      </c>
      <c r="AE125" s="69" t="n">
        <f aca="false">OFFSET(TblConstr[[#This Row],[Tot OM]],1,0)*om_ore+IF(race="Dwarf",ROUNDDOWN(TblMili[[#This Row],[Unit 2]]*0.4,0),)</f>
        <v>0</v>
      </c>
      <c r="AF125" s="69" t="n">
        <f aca="false">OFFSET(TblConstr[[#This Row],[Tot DM]],1,0)*dm_gems</f>
        <v>0</v>
      </c>
      <c r="AG125" s="132"/>
      <c r="AH125" s="149" t="n">
        <f aca="false">MIN(race_platinum_bonus + IF(TblMagic[[#This Row],[Active Alch Frost]]&gt;0,alch_frost_bonus,IF(Magic!AD125&gt;0,midas_bonus)) + TblImps[[#This Row],[Science]] - TblProd[[#This Row],[Guard]]*(0.02 + tech_5_7*TblTech[[#This Row],[5-7]]) + tech_1_5*TblTech[[#This Row],[1-5]] + tech_4_4*TblTech[[#This Row],[4-4]], 0.5)</f>
        <v>0</v>
      </c>
      <c r="AI12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5" s="149" t="n">
        <f aca="false">race_lumber_bonus+ IF(TblMagic[[#This Row],[Active Gaia''s Blessing]]&gt;0,gaias_blessing_lumber)+ tech_1_3*TblTech[[#This Row],[1-3]] + tech_1_6*TblTech[[#This Row],[1-6]] + tech_3_3*TblTech[[#This Row],[3-3]]</f>
        <v>-0.1</v>
      </c>
      <c r="AK125" s="149" t="n">
        <f aca="false">race_mana_bonus+ 0 + TblImps[[#This Row],[Towers]] + tech_1_2*TblTech[[#This Row],[1-2]] + tech_3_4*TblTech[[#This Row],[3-4]]</f>
        <v>0</v>
      </c>
      <c r="AL125" s="149" t="n">
        <f aca="false">race_ore_bonus + IF(TblMagic[[#This Row],[Active Miner''s Sight]]&gt;0,miners_sight_bonus,IF(TblMagic[[#This Row],[Active Mining Strength]]&gt;0,mining_strength_bonus)) +  tech_1_6*TblTech[[#This Row],[1-6]]</f>
        <v>0</v>
      </c>
      <c r="AM125" s="149" t="n">
        <f aca="false">race_gem_bonus+ tech_3_2*TblTech[[#This Row],[3-2]] + tech_4_3*TblTech[[#This Row],[4-3]] + tech_6_2*TblTech[[#This Row],[6-2]]</f>
        <v>0.15</v>
      </c>
      <c r="AN125" s="132"/>
      <c r="AO125" s="69" t="n">
        <f aca="false">TblProd[[#This Row],[Food]]*food_decay * (1 + tech_2_1*TblTech[[#This Row],[2-1]] + tech_2_8*TblTech[[#This Row],[2-8]])</f>
        <v>68.33</v>
      </c>
      <c r="AP125" s="69" t="n">
        <f aca="false">(1+race_food_consumption)*TblPop[[#This Row],[Total]]*food_per_person*(1+tech_1_10*TblTech[[#This Row],[1-10]]+tech_7_5*TblTech[[#This Row],[7-5]])</f>
        <v>3234.75</v>
      </c>
      <c r="AQ125" s="69" t="n">
        <f aca="false">TblProd[[#This Row],[Lumber]]*lumber_rot * (1 + tech_2_1*TblTech[[#This Row],[2-1]] + tech_2_8*TblTech[[#This Row],[2-8]] + tech_5_2*TblTech[[#This Row],[5-2]])</f>
        <v>523.35</v>
      </c>
      <c r="AR125" s="69" t="n">
        <f aca="false">TblProd[[#This Row],[Mana]]*mana_drain * (1 + tech_2_1*TblTech[[#This Row],[2-1]] + tech_2_8*TblTech[[#This Row],[2-8]])</f>
        <v>320.95</v>
      </c>
      <c r="AS125" s="146"/>
      <c r="AT125" s="69" t="n">
        <f aca="false">TblExplore[[#This Row],[Platinum (2)]]+TblConstr[[#This Row],[Total Plat Cost]]+TblMili[[#This Row],[Plat Cost]]+TblRezone[[#This Row],[Platinum cost]]+TblImps[[#This Row],[P1]]-TblProd[[#This Row],[Bank Plat]]</f>
        <v>0</v>
      </c>
      <c r="AU125" s="69" t="n">
        <f aca="false">TblConstr[[#This Row],[Total Lum Cost]]+TblImps[[#This Row],[L1]]-TblProd[[#This Row],[Bank Lumber]] + Military!$CL$25*TblMili[[#This Row],[Sec. rec. Cost]]</f>
        <v>0</v>
      </c>
      <c r="AV125" s="69" t="n">
        <f aca="false">TblMagic[[#This Row],[Mana cost]] + Military!$CL$26*TblMili[[#This Row],[Sec. rec. Cost]]</f>
        <v>0</v>
      </c>
      <c r="AW125" s="69" t="n">
        <f aca="false">Military!$CL$24*TblMili[[#This Row],[Sec. rec. Cost]]+TblImps[[#This Row],[O1]]-TblProd[[#This Row],[Bank Ore]]</f>
        <v>0</v>
      </c>
      <c r="AX125" s="69" t="n">
        <f aca="false">TblImps[[#This Row],[G1]]-TblProd[[#This Row],[Bank Gems]]</f>
        <v>0</v>
      </c>
      <c r="AY125" s="132"/>
      <c r="AZ125" s="33" t="n">
        <f aca="false">IF(TblProd[[#This Row],[Set Guard]]&lt;&gt;"",TblProd[[#This Row],[Set Guard]],OFFSET(TblProd[[#This Row],[Guard]],-1,0))</f>
        <v>0</v>
      </c>
      <c r="BA125" s="145"/>
      <c r="BB125" s="151" t="n">
        <f aca="false">TblProd[[#This Row],[Hour]]</f>
        <v>50</v>
      </c>
      <c r="BC125" s="152" t="n">
        <f aca="false">-TblProd[[#This Row],[Bank Lumber]] / 2 + -TblProd[[#This Row],[Bank Gems]] * 2 + -TblProd[[#This Row],[Bank Ore]] / 2</f>
        <v>0</v>
      </c>
      <c r="BD125" s="152"/>
      <c r="BE125" s="152"/>
      <c r="BF125" s="152"/>
      <c r="BG125" s="153" t="n">
        <f aca="false">TblProd[[#This Row],[Time]]</f>
        <v>45434.7916666667</v>
      </c>
      <c r="BH12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69" t="n">
        <f aca="false">TblProd[[#This Row],[Platinum]]</f>
        <v>1892341</v>
      </c>
      <c r="BJ125" s="69" t="n">
        <f aca="false">TblProd[[#This Row],[Food]]</f>
        <v>6833</v>
      </c>
      <c r="BK125" s="69" t="n">
        <f aca="false">TblProd[[#This Row],[Lumber]]</f>
        <v>52335</v>
      </c>
      <c r="BL125" s="69" t="n">
        <f aca="false">TblProd[[#This Row],[Mana]]</f>
        <v>16047.5</v>
      </c>
      <c r="BM125" s="69" t="n">
        <f aca="false">TblProd[[#This Row],[Ore]]</f>
        <v>0</v>
      </c>
    </row>
    <row r="126" customFormat="false" ht="12.75" hidden="false" customHeight="false" outlineLevel="0" collapsed="false">
      <c r="A126" s="128" t="n">
        <v>51</v>
      </c>
      <c r="B126" s="144" t="n">
        <f aca="false">TblImps[[#This Row],[Time]]</f>
        <v>45434.8333333333</v>
      </c>
      <c r="C126" s="145"/>
      <c r="D126" s="146"/>
      <c r="E126" s="69" t="n">
        <f aca="false">TblConstr[[#This Row],[Land]]</f>
        <v>700</v>
      </c>
      <c r="F126" s="69" t="n">
        <f aca="false">TblPop[[#This Row],[Peasants]]</f>
        <v>6059</v>
      </c>
      <c r="G126" s="69" t="e">
        <f aca="false">TblMili[[#This Row],[Networth (2)]]</f>
        <v>#VALUE!</v>
      </c>
      <c r="H126" s="69" t="n">
        <f aca="false">OFFSET(TblProd[[#This Row],[Platinum]],-1,0)+OFFSET(TblProd[[#This Row],[Plat/hr]],-1,0) - TblProd[[#This Row],[Expenses Platinum]] + IF(TblProd[[#This Row],[Plat Bonus]],TblPop[[#This Row],[Peasants]]*4) + SUM(TblConstr[[#This Row],[Dest Hom]:[Dest Doc]])*TblConstr[[#This Row],[CPA Platinum -DB]]*tech_3_3_2*TblTech[[#This Row],[3-3]]</f>
        <v>1921240</v>
      </c>
      <c r="I126" s="69" t="n">
        <f aca="false">OFFSET(TblProd[[#This Row],[Food]],-1,0)+OFFSET(TblProd[[#This Row],[Food/hr]],-1,0)+ROUNDUP((TblConstr[[#This Row],[Farms]]*80+TblConstr[[#This Row],[Docks]]*35)*(1+OFFSET(TblProd[[#This Row],[Bonus Food/hr]],-1,0)),0)</f>
        <v>6892</v>
      </c>
      <c r="J126" s="69" t="n">
        <f aca="false">OFFSET(TblProd[[#This Row],[Lumber]],-1,0)+OFFSET(TblProd[[#This Row],[Lumber/hr]],-1,0) - TblProd[[#This Row],[Expenses Lumber]] + SUM(TblConstr[[#This Row],[Dest Hom]:[Dest Doc]])*TblConstr[[#This Row],[CPA Lumber -DB]]*tech_3_3_2*TblTech[[#This Row],[3-3]]</f>
        <v>52937</v>
      </c>
      <c r="K126" s="69" t="n">
        <f aca="false">OFFSET(TblProd[[#This Row],[Mana]],-1,0)+OFFSET(TblProd[[#This Row],[Mana/hr]],-1,0)- TblProd[[#This Row],[Expenses Mana]]</f>
        <v>16451.5</v>
      </c>
      <c r="L126" s="69" t="n">
        <f aca="false">OFFSET(TblProd[[#This Row],[Ore]],-1,0)+OFFSET(TblProd[[#This Row],[Ore/hr]],-1,0) -TblProd[[#This Row],[Expenses Ore]]</f>
        <v>0</v>
      </c>
      <c r="M126" s="69" t="n">
        <f aca="false">OFFSET(TblProd[[#This Row],[Gems]],-1,0)+OFFSET(TblProd[[#This Row],[Gems/hr]],-1,0) - TblProd[[#This Row],[Expenses Gems]]</f>
        <v>0</v>
      </c>
      <c r="N126" s="69" t="n">
        <f aca="false">OFFSET(TblProd[[#This Row],[Boats]],-1,0)+OFFSET(TblProd[[#This Row],[Boats/hr]],-1,0)</f>
        <v>88.2500000000001</v>
      </c>
      <c r="O126" s="69" t="n">
        <f aca="false">OFFSET(TblProd[[#This Row],[Prestige]],-1,0)</f>
        <v>250</v>
      </c>
      <c r="P12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6" s="69" t="n">
        <f aca="false">MAX(3750,_xlfn.CEILING.MATH(TblProd[[#This Row],[Land]]*2.5+OFFSET(TblTech[[#This Row],[Sum of tech]],-1,0)*150))</f>
        <v>3750</v>
      </c>
      <c r="R126" s="132"/>
      <c r="S126" s="69" t="n">
        <f aca="false">ROUNDDOWN(TblProd[[#This Row],[Raw Plat/hr]]*(1+TblProd[[#This Row],[Bonus Plat/hr]]),0)</f>
        <v>28734</v>
      </c>
      <c r="T126" s="69" t="n">
        <f aca="false">ROUND(TblProd[[#This Row],[Raw Food/hr]]*(1+TblProd[[#This Row],[Bonus Food/hr]])-TblProd[[#This Row],[Food decay]]-TblProd[[#This Row],[Food eaten]],0)</f>
        <v>58</v>
      </c>
      <c r="U126" s="69" t="n">
        <f aca="false">ROUND(TblProd[[#This Row],[Raw Lumber/hr]]*(1+TblProd[[#This Row],[Bonus Lumber/hr]])-TblProd[[#This Row],[Lumber rot]],0)</f>
        <v>596</v>
      </c>
      <c r="V126" s="69" t="n">
        <f aca="false">ROUND(TblProd[[#This Row],[Raw Mana/hr]]*(1+TblProd[[#This Row],[Bonus Mana/hr]])-TblProd[[#This Row],[Mana drain]],0)</f>
        <v>396</v>
      </c>
      <c r="W126" s="69" t="n">
        <f aca="false">ROUNDDOWN(TblProd[[#This Row],[Raw Ore/hr]]*(1+TblProd[[#This Row],[Bonux Ore/hr]]),0)</f>
        <v>0</v>
      </c>
      <c r="X126" s="69" t="n">
        <f aca="false">ROUNDDOWN(TblProd[[#This Row],[Raw Gems/hr]]*(1+TblProd[[#This Row],[Bonus Gems/hr]]),0)</f>
        <v>0</v>
      </c>
      <c r="Y126" s="148" t="n">
        <f aca="false">OFFSET(TblConstr[[#This Row],[Tot Doc]],1,0)*dock_boats_hr * (1 + tech_4_1*TblTech[[#This Row],[4-1]])</f>
        <v>1.2</v>
      </c>
      <c r="Z126" s="146"/>
      <c r="AA126" s="69" t="n">
        <f aca="false">TblPop[[#This Row],[Peasants]]*tax*TblPop[[#This Row],[Employment]] + (Construction!AZ127+Construction!BX127)*(alch_plat+(Magic!AM126&gt;0)*alchemist_flame_bonus)</f>
        <v>28734.3</v>
      </c>
      <c r="AB126" s="69" t="n">
        <f aca="false">TblConstr[[#This Row],[Tot Farm]]*farm_food + TblConstr[[#This Row],[Tot Doc]]*dock_food</f>
        <v>3280</v>
      </c>
      <c r="AC126" s="69" t="n">
        <f aca="false">TblConstr[[#This Row],[Tot Ly]]*ly_lumber + TblConstr[[#This Row],[Tot Hav]]*fh_lumber</f>
        <v>1250</v>
      </c>
      <c r="AD126" s="69" t="n">
        <f aca="false">OFFSET(TblConstr[[#This Row],[Tot Tow]],1,0)*(tower_mana + tech_4_5*TblTech[[#This Row],[4-5]]) + OFFSET(TblConstr[[#This Row],[Tot WG]],1,0)*wg_mana_prod</f>
        <v>725</v>
      </c>
      <c r="AE126" s="69" t="n">
        <f aca="false">OFFSET(TblConstr[[#This Row],[Tot OM]],1,0)*om_ore+IF(race="Dwarf",ROUNDDOWN(TblMili[[#This Row],[Unit 2]]*0.4,0),)</f>
        <v>0</v>
      </c>
      <c r="AF126" s="69" t="n">
        <f aca="false">OFFSET(TblConstr[[#This Row],[Tot DM]],1,0)*dm_gems</f>
        <v>0</v>
      </c>
      <c r="AG126" s="132"/>
      <c r="AH126" s="149" t="n">
        <f aca="false">MIN(race_platinum_bonus + IF(TblMagic[[#This Row],[Active Alch Frost]]&gt;0,alch_frost_bonus,IF(Magic!AD126&gt;0,midas_bonus)) + TblImps[[#This Row],[Science]] - TblProd[[#This Row],[Guard]]*(0.02 + tech_5_7*TblTech[[#This Row],[5-7]]) + tech_1_5*TblTech[[#This Row],[1-5]] + tech_4_4*TblTech[[#This Row],[4-4]], 0.5)</f>
        <v>0</v>
      </c>
      <c r="AI12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6" s="149" t="n">
        <f aca="false">race_lumber_bonus+ IF(TblMagic[[#This Row],[Active Gaia''s Blessing]]&gt;0,gaias_blessing_lumber)+ tech_1_3*TblTech[[#This Row],[1-3]] + tech_1_6*TblTech[[#This Row],[1-6]] + tech_3_3*TblTech[[#This Row],[3-3]]</f>
        <v>-0.1</v>
      </c>
      <c r="AK126" s="149" t="n">
        <f aca="false">race_mana_bonus+ 0 + TblImps[[#This Row],[Towers]] + tech_1_2*TblTech[[#This Row],[1-2]] + tech_3_4*TblTech[[#This Row],[3-4]]</f>
        <v>0</v>
      </c>
      <c r="AL126" s="149" t="n">
        <f aca="false">race_ore_bonus + IF(TblMagic[[#This Row],[Active Miner''s Sight]]&gt;0,miners_sight_bonus,IF(TblMagic[[#This Row],[Active Mining Strength]]&gt;0,mining_strength_bonus)) +  tech_1_6*TblTech[[#This Row],[1-6]]</f>
        <v>0</v>
      </c>
      <c r="AM126" s="149" t="n">
        <f aca="false">race_gem_bonus+ tech_3_2*TblTech[[#This Row],[3-2]] + tech_4_3*TblTech[[#This Row],[4-3]] + tech_6_2*TblTech[[#This Row],[6-2]]</f>
        <v>0.15</v>
      </c>
      <c r="AN126" s="132"/>
      <c r="AO126" s="69" t="n">
        <f aca="false">TblProd[[#This Row],[Food]]*food_decay * (1 + tech_2_1*TblTech[[#This Row],[2-1]] + tech_2_8*TblTech[[#This Row],[2-8]])</f>
        <v>68.92</v>
      </c>
      <c r="AP126" s="69" t="n">
        <f aca="false">(1+race_food_consumption)*TblPop[[#This Row],[Total]]*food_per_person*(1+tech_1_10*TblTech[[#This Row],[1-10]]+tech_7_5*TblTech[[#This Row],[7-5]])</f>
        <v>3234.75</v>
      </c>
      <c r="AQ126" s="69" t="n">
        <f aca="false">TblProd[[#This Row],[Lumber]]*lumber_rot * (1 + tech_2_1*TblTech[[#This Row],[2-1]] + tech_2_8*TblTech[[#This Row],[2-8]] + tech_5_2*TblTech[[#This Row],[5-2]])</f>
        <v>529.37</v>
      </c>
      <c r="AR126" s="69" t="n">
        <f aca="false">TblProd[[#This Row],[Mana]]*mana_drain * (1 + tech_2_1*TblTech[[#This Row],[2-1]] + tech_2_8*TblTech[[#This Row],[2-8]])</f>
        <v>329.03</v>
      </c>
      <c r="AS126" s="146"/>
      <c r="AT126" s="69" t="n">
        <f aca="false">TblExplore[[#This Row],[Platinum (2)]]+TblConstr[[#This Row],[Total Plat Cost]]+TblMili[[#This Row],[Plat Cost]]+TblRezone[[#This Row],[Platinum cost]]+TblImps[[#This Row],[P1]]-TblProd[[#This Row],[Bank Plat]]</f>
        <v>0</v>
      </c>
      <c r="AU126" s="69" t="n">
        <f aca="false">TblConstr[[#This Row],[Total Lum Cost]]+TblImps[[#This Row],[L1]]-TblProd[[#This Row],[Bank Lumber]] + Military!$CL$25*TblMili[[#This Row],[Sec. rec. Cost]]</f>
        <v>0</v>
      </c>
      <c r="AV126" s="69" t="n">
        <f aca="false">TblMagic[[#This Row],[Mana cost]] + Military!$CL$26*TblMili[[#This Row],[Sec. rec. Cost]]</f>
        <v>0</v>
      </c>
      <c r="AW126" s="69" t="n">
        <f aca="false">Military!$CL$24*TblMili[[#This Row],[Sec. rec. Cost]]+TblImps[[#This Row],[O1]]-TblProd[[#This Row],[Bank Ore]]</f>
        <v>0</v>
      </c>
      <c r="AX126" s="69" t="n">
        <f aca="false">TblImps[[#This Row],[G1]]-TblProd[[#This Row],[Bank Gems]]</f>
        <v>0</v>
      </c>
      <c r="AY126" s="132"/>
      <c r="AZ126" s="33" t="n">
        <f aca="false">IF(TblProd[[#This Row],[Set Guard]]&lt;&gt;"",TblProd[[#This Row],[Set Guard]],OFFSET(TblProd[[#This Row],[Guard]],-1,0))</f>
        <v>0</v>
      </c>
      <c r="BA126" s="145"/>
      <c r="BB126" s="151" t="n">
        <f aca="false">TblProd[[#This Row],[Hour]]</f>
        <v>51</v>
      </c>
      <c r="BC126" s="152" t="n">
        <f aca="false">-TblProd[[#This Row],[Bank Lumber]] / 2 + -TblProd[[#This Row],[Bank Gems]] * 2 + -TblProd[[#This Row],[Bank Ore]] / 2</f>
        <v>0</v>
      </c>
      <c r="BD126" s="152"/>
      <c r="BE126" s="152"/>
      <c r="BF126" s="152"/>
      <c r="BG126" s="153" t="n">
        <f aca="false">TblProd[[#This Row],[Time]]</f>
        <v>45434.8333333333</v>
      </c>
      <c r="BH12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69" t="n">
        <f aca="false">TblProd[[#This Row],[Platinum]]</f>
        <v>1921240</v>
      </c>
      <c r="BJ126" s="69" t="n">
        <f aca="false">TblProd[[#This Row],[Food]]</f>
        <v>6892</v>
      </c>
      <c r="BK126" s="69" t="n">
        <f aca="false">TblProd[[#This Row],[Lumber]]</f>
        <v>52937</v>
      </c>
      <c r="BL126" s="69" t="n">
        <f aca="false">TblProd[[#This Row],[Mana]]</f>
        <v>16451.5</v>
      </c>
      <c r="BM126" s="69" t="n">
        <f aca="false">TblProd[[#This Row],[Ore]]</f>
        <v>0</v>
      </c>
    </row>
    <row r="127" customFormat="false" ht="12.75" hidden="false" customHeight="false" outlineLevel="0" collapsed="false">
      <c r="A127" s="128" t="n">
        <v>52</v>
      </c>
      <c r="B127" s="144" t="n">
        <f aca="false">TblImps[[#This Row],[Time]]</f>
        <v>45434.875</v>
      </c>
      <c r="C127" s="145"/>
      <c r="D127" s="146"/>
      <c r="E127" s="69" t="n">
        <f aca="false">TblConstr[[#This Row],[Land]]</f>
        <v>700</v>
      </c>
      <c r="F127" s="69" t="n">
        <f aca="false">TblPop[[#This Row],[Peasants]]</f>
        <v>5998</v>
      </c>
      <c r="G127" s="69" t="e">
        <f aca="false">TblMili[[#This Row],[Networth (2)]]</f>
        <v>#VALUE!</v>
      </c>
      <c r="H127" s="69" t="n">
        <f aca="false">OFFSET(TblProd[[#This Row],[Platinum]],-1,0)+OFFSET(TblProd[[#This Row],[Plat/hr]],-1,0) - TblProd[[#This Row],[Expenses Platinum]] + IF(TblProd[[#This Row],[Plat Bonus]],TblPop[[#This Row],[Peasants]]*4) + SUM(TblConstr[[#This Row],[Dest Hom]:[Dest Doc]])*TblConstr[[#This Row],[CPA Platinum -DB]]*tech_3_3_2*TblTech[[#This Row],[3-3]]</f>
        <v>1949974</v>
      </c>
      <c r="I127" s="69" t="n">
        <f aca="false">OFFSET(TblProd[[#This Row],[Food]],-1,0)+OFFSET(TblProd[[#This Row],[Food/hr]],-1,0)+ROUNDUP((TblConstr[[#This Row],[Farms]]*80+TblConstr[[#This Row],[Docks]]*35)*(1+OFFSET(TblProd[[#This Row],[Bonus Food/hr]],-1,0)),0)</f>
        <v>6950</v>
      </c>
      <c r="J127" s="69" t="n">
        <f aca="false">OFFSET(TblProd[[#This Row],[Lumber]],-1,0)+OFFSET(TblProd[[#This Row],[Lumber/hr]],-1,0) - TblProd[[#This Row],[Expenses Lumber]] + SUM(TblConstr[[#This Row],[Dest Hom]:[Dest Doc]])*TblConstr[[#This Row],[CPA Lumber -DB]]*tech_3_3_2*TblTech[[#This Row],[3-3]]</f>
        <v>53533</v>
      </c>
      <c r="K127" s="69" t="n">
        <f aca="false">OFFSET(TblProd[[#This Row],[Mana]],-1,0)+OFFSET(TblProd[[#This Row],[Mana/hr]],-1,0)- TblProd[[#This Row],[Expenses Mana]]</f>
        <v>16847.5</v>
      </c>
      <c r="L127" s="69" t="n">
        <f aca="false">OFFSET(TblProd[[#This Row],[Ore]],-1,0)+OFFSET(TblProd[[#This Row],[Ore/hr]],-1,0) -TblProd[[#This Row],[Expenses Ore]]</f>
        <v>0</v>
      </c>
      <c r="M127" s="69" t="n">
        <f aca="false">OFFSET(TblProd[[#This Row],[Gems]],-1,0)+OFFSET(TblProd[[#This Row],[Gems/hr]],-1,0) - TblProd[[#This Row],[Expenses Gems]]</f>
        <v>0</v>
      </c>
      <c r="N127" s="69" t="n">
        <f aca="false">OFFSET(TblProd[[#This Row],[Boats]],-1,0)+OFFSET(TblProd[[#This Row],[Boats/hr]],-1,0)</f>
        <v>89.4500000000001</v>
      </c>
      <c r="O127" s="69" t="n">
        <f aca="false">OFFSET(TblProd[[#This Row],[Prestige]],-1,0)</f>
        <v>250</v>
      </c>
      <c r="P12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7" s="69" t="n">
        <f aca="false">MAX(3750,_xlfn.CEILING.MATH(TblProd[[#This Row],[Land]]*2.5+OFFSET(TblTech[[#This Row],[Sum of tech]],-1,0)*150))</f>
        <v>3750</v>
      </c>
      <c r="R127" s="132"/>
      <c r="S127" s="69" t="n">
        <f aca="false">ROUNDDOWN(TblProd[[#This Row],[Raw Plat/hr]]*(1+TblProd[[#This Row],[Bonus Plat/hr]]),0)</f>
        <v>28569</v>
      </c>
      <c r="T127" s="69" t="n">
        <f aca="false">ROUND(TblProd[[#This Row],[Raw Food/hr]]*(1+TblProd[[#This Row],[Bonus Food/hr]])-TblProd[[#This Row],[Food decay]]-TblProd[[#This Row],[Food eaten]],0)</f>
        <v>58</v>
      </c>
      <c r="U127" s="69" t="n">
        <f aca="false">ROUND(TblProd[[#This Row],[Raw Lumber/hr]]*(1+TblProd[[#This Row],[Bonus Lumber/hr]])-TblProd[[#This Row],[Lumber rot]],0)</f>
        <v>590</v>
      </c>
      <c r="V127" s="69" t="n">
        <f aca="false">ROUND(TblProd[[#This Row],[Raw Mana/hr]]*(1+TblProd[[#This Row],[Bonus Mana/hr]])-TblProd[[#This Row],[Mana drain]],0)</f>
        <v>388</v>
      </c>
      <c r="W127" s="69" t="n">
        <f aca="false">ROUNDDOWN(TblProd[[#This Row],[Raw Ore/hr]]*(1+TblProd[[#This Row],[Bonux Ore/hr]]),0)</f>
        <v>0</v>
      </c>
      <c r="X127" s="69" t="n">
        <f aca="false">ROUNDDOWN(TblProd[[#This Row],[Raw Gems/hr]]*(1+TblProd[[#This Row],[Bonus Gems/hr]]),0)</f>
        <v>0</v>
      </c>
      <c r="Y127" s="148" t="n">
        <f aca="false">OFFSET(TblConstr[[#This Row],[Tot Doc]],1,0)*dock_boats_hr * (1 + tech_4_1*TblTech[[#This Row],[4-1]])</f>
        <v>1.2</v>
      </c>
      <c r="Z127" s="146"/>
      <c r="AA127" s="69" t="n">
        <f aca="false">TblPop[[#This Row],[Peasants]]*tax*TblPop[[#This Row],[Employment]] + (Construction!AZ128+Construction!BX128)*(alch_plat+(Magic!AM127&gt;0)*alchemist_flame_bonus)</f>
        <v>28569.6</v>
      </c>
      <c r="AB127" s="69" t="n">
        <f aca="false">TblConstr[[#This Row],[Tot Farm]]*farm_food + TblConstr[[#This Row],[Tot Doc]]*dock_food</f>
        <v>3280</v>
      </c>
      <c r="AC127" s="69" t="n">
        <f aca="false">TblConstr[[#This Row],[Tot Ly]]*ly_lumber + TblConstr[[#This Row],[Tot Hav]]*fh_lumber</f>
        <v>1250</v>
      </c>
      <c r="AD127" s="69" t="n">
        <f aca="false">OFFSET(TblConstr[[#This Row],[Tot Tow]],1,0)*(tower_mana + tech_4_5*TblTech[[#This Row],[4-5]]) + OFFSET(TblConstr[[#This Row],[Tot WG]],1,0)*wg_mana_prod</f>
        <v>725</v>
      </c>
      <c r="AE127" s="69" t="n">
        <f aca="false">OFFSET(TblConstr[[#This Row],[Tot OM]],1,0)*om_ore+IF(race="Dwarf",ROUNDDOWN(TblMili[[#This Row],[Unit 2]]*0.4,0),)</f>
        <v>0</v>
      </c>
      <c r="AF127" s="69" t="n">
        <f aca="false">OFFSET(TblConstr[[#This Row],[Tot DM]],1,0)*dm_gems</f>
        <v>0</v>
      </c>
      <c r="AG127" s="132"/>
      <c r="AH127" s="149" t="n">
        <f aca="false">MIN(race_platinum_bonus + IF(TblMagic[[#This Row],[Active Alch Frost]]&gt;0,alch_frost_bonus,IF(Magic!AD127&gt;0,midas_bonus)) + TblImps[[#This Row],[Science]] - TblProd[[#This Row],[Guard]]*(0.02 + tech_5_7*TblTech[[#This Row],[5-7]]) + tech_1_5*TblTech[[#This Row],[1-5]] + tech_4_4*TblTech[[#This Row],[4-4]], 0.5)</f>
        <v>0</v>
      </c>
      <c r="AI12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7" s="149" t="n">
        <f aca="false">race_lumber_bonus+ IF(TblMagic[[#This Row],[Active Gaia''s Blessing]]&gt;0,gaias_blessing_lumber)+ tech_1_3*TblTech[[#This Row],[1-3]] + tech_1_6*TblTech[[#This Row],[1-6]] + tech_3_3*TblTech[[#This Row],[3-3]]</f>
        <v>-0.1</v>
      </c>
      <c r="AK127" s="149" t="n">
        <f aca="false">race_mana_bonus+ 0 + TblImps[[#This Row],[Towers]] + tech_1_2*TblTech[[#This Row],[1-2]] + tech_3_4*TblTech[[#This Row],[3-4]]</f>
        <v>0</v>
      </c>
      <c r="AL127" s="149" t="n">
        <f aca="false">race_ore_bonus + IF(TblMagic[[#This Row],[Active Miner''s Sight]]&gt;0,miners_sight_bonus,IF(TblMagic[[#This Row],[Active Mining Strength]]&gt;0,mining_strength_bonus)) +  tech_1_6*TblTech[[#This Row],[1-6]]</f>
        <v>0</v>
      </c>
      <c r="AM127" s="149" t="n">
        <f aca="false">race_gem_bonus+ tech_3_2*TblTech[[#This Row],[3-2]] + tech_4_3*TblTech[[#This Row],[4-3]] + tech_6_2*TblTech[[#This Row],[6-2]]</f>
        <v>0.15</v>
      </c>
      <c r="AN127" s="132"/>
      <c r="AO127" s="69" t="n">
        <f aca="false">TblProd[[#This Row],[Food]]*food_decay * (1 + tech_2_1*TblTech[[#This Row],[2-1]] + tech_2_8*TblTech[[#This Row],[2-8]])</f>
        <v>69.5</v>
      </c>
      <c r="AP127" s="69" t="n">
        <f aca="false">(1+race_food_consumption)*TblPop[[#This Row],[Total]]*food_per_person*(1+tech_1_10*TblTech[[#This Row],[1-10]]+tech_7_5*TblTech[[#This Row],[7-5]])</f>
        <v>3234.75</v>
      </c>
      <c r="AQ127" s="69" t="n">
        <f aca="false">TblProd[[#This Row],[Lumber]]*lumber_rot * (1 + tech_2_1*TblTech[[#This Row],[2-1]] + tech_2_8*TblTech[[#This Row],[2-8]] + tech_5_2*TblTech[[#This Row],[5-2]])</f>
        <v>535.33</v>
      </c>
      <c r="AR127" s="69" t="n">
        <f aca="false">TblProd[[#This Row],[Mana]]*mana_drain * (1 + tech_2_1*TblTech[[#This Row],[2-1]] + tech_2_8*TblTech[[#This Row],[2-8]])</f>
        <v>336.95</v>
      </c>
      <c r="AS127" s="146"/>
      <c r="AT127" s="69" t="n">
        <f aca="false">TblExplore[[#This Row],[Platinum (2)]]+TblConstr[[#This Row],[Total Plat Cost]]+TblMili[[#This Row],[Plat Cost]]+TblRezone[[#This Row],[Platinum cost]]+TblImps[[#This Row],[P1]]-TblProd[[#This Row],[Bank Plat]]</f>
        <v>0</v>
      </c>
      <c r="AU127" s="69" t="n">
        <f aca="false">TblConstr[[#This Row],[Total Lum Cost]]+TblImps[[#This Row],[L1]]-TblProd[[#This Row],[Bank Lumber]] + Military!$CL$25*TblMili[[#This Row],[Sec. rec. Cost]]</f>
        <v>0</v>
      </c>
      <c r="AV127" s="69" t="n">
        <f aca="false">TblMagic[[#This Row],[Mana cost]] + Military!$CL$26*TblMili[[#This Row],[Sec. rec. Cost]]</f>
        <v>0</v>
      </c>
      <c r="AW127" s="69" t="n">
        <f aca="false">Military!$CL$24*TblMili[[#This Row],[Sec. rec. Cost]]+TblImps[[#This Row],[O1]]-TblProd[[#This Row],[Bank Ore]]</f>
        <v>0</v>
      </c>
      <c r="AX127" s="69" t="n">
        <f aca="false">TblImps[[#This Row],[G1]]-TblProd[[#This Row],[Bank Gems]]</f>
        <v>0</v>
      </c>
      <c r="AY127" s="132"/>
      <c r="AZ127" s="33" t="n">
        <f aca="false">IF(TblProd[[#This Row],[Set Guard]]&lt;&gt;"",TblProd[[#This Row],[Set Guard]],OFFSET(TblProd[[#This Row],[Guard]],-1,0))</f>
        <v>0</v>
      </c>
      <c r="BA127" s="145"/>
      <c r="BB127" s="151" t="n">
        <f aca="false">TblProd[[#This Row],[Hour]]</f>
        <v>52</v>
      </c>
      <c r="BC127" s="152" t="n">
        <f aca="false">-TblProd[[#This Row],[Bank Lumber]] / 2 + -TblProd[[#This Row],[Bank Gems]] * 2 + -TblProd[[#This Row],[Bank Ore]] / 2</f>
        <v>0</v>
      </c>
      <c r="BD127" s="152"/>
      <c r="BE127" s="152"/>
      <c r="BF127" s="152"/>
      <c r="BG127" s="153" t="n">
        <f aca="false">TblProd[[#This Row],[Time]]</f>
        <v>45434.875</v>
      </c>
      <c r="BH12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69" t="n">
        <f aca="false">TblProd[[#This Row],[Platinum]]</f>
        <v>1949974</v>
      </c>
      <c r="BJ127" s="69" t="n">
        <f aca="false">TblProd[[#This Row],[Food]]</f>
        <v>6950</v>
      </c>
      <c r="BK127" s="69" t="n">
        <f aca="false">TblProd[[#This Row],[Lumber]]</f>
        <v>53533</v>
      </c>
      <c r="BL127" s="69" t="n">
        <f aca="false">TblProd[[#This Row],[Mana]]</f>
        <v>16847.5</v>
      </c>
      <c r="BM127" s="69" t="n">
        <f aca="false">TblProd[[#This Row],[Ore]]</f>
        <v>0</v>
      </c>
    </row>
    <row r="128" customFormat="false" ht="12.75" hidden="false" customHeight="false" outlineLevel="0" collapsed="false">
      <c r="A128" s="128" t="n">
        <v>53</v>
      </c>
      <c r="B128" s="144" t="n">
        <f aca="false">TblImps[[#This Row],[Time]]</f>
        <v>45434.9166666667</v>
      </c>
      <c r="C128" s="145"/>
      <c r="D128" s="146"/>
      <c r="E128" s="69" t="n">
        <f aca="false">TblConstr[[#This Row],[Land]]</f>
        <v>700</v>
      </c>
      <c r="F128" s="69" t="n">
        <f aca="false">TblPop[[#This Row],[Peasants]]</f>
        <v>5938</v>
      </c>
      <c r="G128" s="69" t="e">
        <f aca="false">TblMili[[#This Row],[Networth (2)]]</f>
        <v>#VALUE!</v>
      </c>
      <c r="H128" s="69" t="n">
        <f aca="false">OFFSET(TblProd[[#This Row],[Platinum]],-1,0)+OFFSET(TblProd[[#This Row],[Plat/hr]],-1,0) - TblProd[[#This Row],[Expenses Platinum]] + IF(TblProd[[#This Row],[Plat Bonus]],TblPop[[#This Row],[Peasants]]*4) + SUM(TblConstr[[#This Row],[Dest Hom]:[Dest Doc]])*TblConstr[[#This Row],[CPA Platinum -DB]]*tech_3_3_2*TblTech[[#This Row],[3-3]]</f>
        <v>1978543</v>
      </c>
      <c r="I128" s="69" t="n">
        <f aca="false">OFFSET(TblProd[[#This Row],[Food]],-1,0)+OFFSET(TblProd[[#This Row],[Food/hr]],-1,0)+ROUNDUP((TblConstr[[#This Row],[Farms]]*80+TblConstr[[#This Row],[Docks]]*35)*(1+OFFSET(TblProd[[#This Row],[Bonus Food/hr]],-1,0)),0)</f>
        <v>7008</v>
      </c>
      <c r="J128" s="69" t="n">
        <f aca="false">OFFSET(TblProd[[#This Row],[Lumber]],-1,0)+OFFSET(TblProd[[#This Row],[Lumber/hr]],-1,0) - TblProd[[#This Row],[Expenses Lumber]] + SUM(TblConstr[[#This Row],[Dest Hom]:[Dest Doc]])*TblConstr[[#This Row],[CPA Lumber -DB]]*tech_3_3_2*TblTech[[#This Row],[3-3]]</f>
        <v>54123</v>
      </c>
      <c r="K128" s="69" t="n">
        <f aca="false">OFFSET(TblProd[[#This Row],[Mana]],-1,0)+OFFSET(TblProd[[#This Row],[Mana/hr]],-1,0)- TblProd[[#This Row],[Expenses Mana]]</f>
        <v>17235.5</v>
      </c>
      <c r="L128" s="69" t="n">
        <f aca="false">OFFSET(TblProd[[#This Row],[Ore]],-1,0)+OFFSET(TblProd[[#This Row],[Ore/hr]],-1,0) -TblProd[[#This Row],[Expenses Ore]]</f>
        <v>0</v>
      </c>
      <c r="M128" s="69" t="n">
        <f aca="false">OFFSET(TblProd[[#This Row],[Gems]],-1,0)+OFFSET(TblProd[[#This Row],[Gems/hr]],-1,0) - TblProd[[#This Row],[Expenses Gems]]</f>
        <v>0</v>
      </c>
      <c r="N128" s="69" t="n">
        <f aca="false">OFFSET(TblProd[[#This Row],[Boats]],-1,0)+OFFSET(TblProd[[#This Row],[Boats/hr]],-1,0)</f>
        <v>90.6500000000001</v>
      </c>
      <c r="O128" s="69" t="n">
        <f aca="false">OFFSET(TblProd[[#This Row],[Prestige]],-1,0)</f>
        <v>250</v>
      </c>
      <c r="P12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8" s="69" t="n">
        <f aca="false">MAX(3750,_xlfn.CEILING.MATH(TblProd[[#This Row],[Land]]*2.5+OFFSET(TblTech[[#This Row],[Sum of tech]],-1,0)*150))</f>
        <v>3750</v>
      </c>
      <c r="R128" s="132"/>
      <c r="S128" s="69" t="n">
        <f aca="false">ROUNDDOWN(TblProd[[#This Row],[Raw Plat/hr]]*(1+TblProd[[#This Row],[Bonus Plat/hr]]),0)</f>
        <v>28407</v>
      </c>
      <c r="T128" s="69" t="n">
        <f aca="false">ROUND(TblProd[[#This Row],[Raw Food/hr]]*(1+TblProd[[#This Row],[Bonus Food/hr]])-TblProd[[#This Row],[Food decay]]-TblProd[[#This Row],[Food eaten]],0)</f>
        <v>57</v>
      </c>
      <c r="U128" s="69" t="n">
        <f aca="false">ROUND(TblProd[[#This Row],[Raw Lumber/hr]]*(1+TblProd[[#This Row],[Bonus Lumber/hr]])-TblProd[[#This Row],[Lumber rot]],0)</f>
        <v>584</v>
      </c>
      <c r="V128" s="69" t="n">
        <f aca="false">ROUND(TblProd[[#This Row],[Raw Mana/hr]]*(1+TblProd[[#This Row],[Bonus Mana/hr]])-TblProd[[#This Row],[Mana drain]],0)</f>
        <v>380</v>
      </c>
      <c r="W128" s="69" t="n">
        <f aca="false">ROUNDDOWN(TblProd[[#This Row],[Raw Ore/hr]]*(1+TblProd[[#This Row],[Bonux Ore/hr]]),0)</f>
        <v>0</v>
      </c>
      <c r="X128" s="69" t="n">
        <f aca="false">ROUNDDOWN(TblProd[[#This Row],[Raw Gems/hr]]*(1+TblProd[[#This Row],[Bonus Gems/hr]]),0)</f>
        <v>0</v>
      </c>
      <c r="Y128" s="148" t="n">
        <f aca="false">OFFSET(TblConstr[[#This Row],[Tot Doc]],1,0)*dock_boats_hr * (1 + tech_4_1*TblTech[[#This Row],[4-1]])</f>
        <v>1.2</v>
      </c>
      <c r="Z128" s="146"/>
      <c r="AA128" s="69" t="n">
        <f aca="false">TblPop[[#This Row],[Peasants]]*tax*TblPop[[#This Row],[Employment]] + (Construction!AZ129+Construction!BX129)*(alch_plat+(Magic!AM128&gt;0)*alchemist_flame_bonus)</f>
        <v>28407.6</v>
      </c>
      <c r="AB128" s="69" t="n">
        <f aca="false">TblConstr[[#This Row],[Tot Farm]]*farm_food + TblConstr[[#This Row],[Tot Doc]]*dock_food</f>
        <v>3280</v>
      </c>
      <c r="AC128" s="69" t="n">
        <f aca="false">TblConstr[[#This Row],[Tot Ly]]*ly_lumber + TblConstr[[#This Row],[Tot Hav]]*fh_lumber</f>
        <v>1250</v>
      </c>
      <c r="AD128" s="69" t="n">
        <f aca="false">OFFSET(TblConstr[[#This Row],[Tot Tow]],1,0)*(tower_mana + tech_4_5*TblTech[[#This Row],[4-5]]) + OFFSET(TblConstr[[#This Row],[Tot WG]],1,0)*wg_mana_prod</f>
        <v>725</v>
      </c>
      <c r="AE128" s="69" t="n">
        <f aca="false">OFFSET(TblConstr[[#This Row],[Tot OM]],1,0)*om_ore+IF(race="Dwarf",ROUNDDOWN(TblMili[[#This Row],[Unit 2]]*0.4,0),)</f>
        <v>0</v>
      </c>
      <c r="AF128" s="69" t="n">
        <f aca="false">OFFSET(TblConstr[[#This Row],[Tot DM]],1,0)*dm_gems</f>
        <v>0</v>
      </c>
      <c r="AG128" s="132"/>
      <c r="AH128" s="149" t="n">
        <f aca="false">MIN(race_platinum_bonus + IF(TblMagic[[#This Row],[Active Alch Frost]]&gt;0,alch_frost_bonus,IF(Magic!AD128&gt;0,midas_bonus)) + TblImps[[#This Row],[Science]] - TblProd[[#This Row],[Guard]]*(0.02 + tech_5_7*TblTech[[#This Row],[5-7]]) + tech_1_5*TblTech[[#This Row],[1-5]] + tech_4_4*TblTech[[#This Row],[4-4]], 0.5)</f>
        <v>0</v>
      </c>
      <c r="AI12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8" s="149" t="n">
        <f aca="false">race_lumber_bonus+ IF(TblMagic[[#This Row],[Active Gaia''s Blessing]]&gt;0,gaias_blessing_lumber)+ tech_1_3*TblTech[[#This Row],[1-3]] + tech_1_6*TblTech[[#This Row],[1-6]] + tech_3_3*TblTech[[#This Row],[3-3]]</f>
        <v>-0.1</v>
      </c>
      <c r="AK128" s="149" t="n">
        <f aca="false">race_mana_bonus+ 0 + TblImps[[#This Row],[Towers]] + tech_1_2*TblTech[[#This Row],[1-2]] + tech_3_4*TblTech[[#This Row],[3-4]]</f>
        <v>0</v>
      </c>
      <c r="AL128" s="149" t="n">
        <f aca="false">race_ore_bonus + IF(TblMagic[[#This Row],[Active Miner''s Sight]]&gt;0,miners_sight_bonus,IF(TblMagic[[#This Row],[Active Mining Strength]]&gt;0,mining_strength_bonus)) +  tech_1_6*TblTech[[#This Row],[1-6]]</f>
        <v>0</v>
      </c>
      <c r="AM128" s="149" t="n">
        <f aca="false">race_gem_bonus+ tech_3_2*TblTech[[#This Row],[3-2]] + tech_4_3*TblTech[[#This Row],[4-3]] + tech_6_2*TblTech[[#This Row],[6-2]]</f>
        <v>0.15</v>
      </c>
      <c r="AN128" s="132"/>
      <c r="AO128" s="69" t="n">
        <f aca="false">TblProd[[#This Row],[Food]]*food_decay * (1 + tech_2_1*TblTech[[#This Row],[2-1]] + tech_2_8*TblTech[[#This Row],[2-8]])</f>
        <v>70.08</v>
      </c>
      <c r="AP128" s="69" t="n">
        <f aca="false">(1+race_food_consumption)*TblPop[[#This Row],[Total]]*food_per_person*(1+tech_1_10*TblTech[[#This Row],[1-10]]+tech_7_5*TblTech[[#This Row],[7-5]])</f>
        <v>3234.75</v>
      </c>
      <c r="AQ128" s="69" t="n">
        <f aca="false">TblProd[[#This Row],[Lumber]]*lumber_rot * (1 + tech_2_1*TblTech[[#This Row],[2-1]] + tech_2_8*TblTech[[#This Row],[2-8]] + tech_5_2*TblTech[[#This Row],[5-2]])</f>
        <v>541.23</v>
      </c>
      <c r="AR128" s="69" t="n">
        <f aca="false">TblProd[[#This Row],[Mana]]*mana_drain * (1 + tech_2_1*TblTech[[#This Row],[2-1]] + tech_2_8*TblTech[[#This Row],[2-8]])</f>
        <v>344.71</v>
      </c>
      <c r="AS128" s="146"/>
      <c r="AT128" s="69" t="n">
        <f aca="false">TblExplore[[#This Row],[Platinum (2)]]+TblConstr[[#This Row],[Total Plat Cost]]+TblMili[[#This Row],[Plat Cost]]+TblRezone[[#This Row],[Platinum cost]]+TblImps[[#This Row],[P1]]-TblProd[[#This Row],[Bank Plat]]</f>
        <v>0</v>
      </c>
      <c r="AU128" s="69" t="n">
        <f aca="false">TblConstr[[#This Row],[Total Lum Cost]]+TblImps[[#This Row],[L1]]-TblProd[[#This Row],[Bank Lumber]] + Military!$CL$25*TblMili[[#This Row],[Sec. rec. Cost]]</f>
        <v>0</v>
      </c>
      <c r="AV128" s="69" t="n">
        <f aca="false">TblMagic[[#This Row],[Mana cost]] + Military!$CL$26*TblMili[[#This Row],[Sec. rec. Cost]]</f>
        <v>0</v>
      </c>
      <c r="AW128" s="69" t="n">
        <f aca="false">Military!$CL$24*TblMili[[#This Row],[Sec. rec. Cost]]+TblImps[[#This Row],[O1]]-TblProd[[#This Row],[Bank Ore]]</f>
        <v>0</v>
      </c>
      <c r="AX128" s="69" t="n">
        <f aca="false">TblImps[[#This Row],[G1]]-TblProd[[#This Row],[Bank Gems]]</f>
        <v>0</v>
      </c>
      <c r="AY128" s="132"/>
      <c r="AZ128" s="33" t="n">
        <f aca="false">IF(TblProd[[#This Row],[Set Guard]]&lt;&gt;"",TblProd[[#This Row],[Set Guard]],OFFSET(TblProd[[#This Row],[Guard]],-1,0))</f>
        <v>0</v>
      </c>
      <c r="BA128" s="145"/>
      <c r="BB128" s="151" t="n">
        <f aca="false">TblProd[[#This Row],[Hour]]</f>
        <v>53</v>
      </c>
      <c r="BC128" s="152" t="n">
        <f aca="false">-TblProd[[#This Row],[Bank Lumber]] / 2 + -TblProd[[#This Row],[Bank Gems]] * 2 + -TblProd[[#This Row],[Bank Ore]] / 2</f>
        <v>0</v>
      </c>
      <c r="BD128" s="152"/>
      <c r="BE128" s="152"/>
      <c r="BF128" s="152"/>
      <c r="BG128" s="153" t="n">
        <f aca="false">TblProd[[#This Row],[Time]]</f>
        <v>45434.9166666667</v>
      </c>
      <c r="BH12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69" t="n">
        <f aca="false">TblProd[[#This Row],[Platinum]]</f>
        <v>1978543</v>
      </c>
      <c r="BJ128" s="69" t="n">
        <f aca="false">TblProd[[#This Row],[Food]]</f>
        <v>7008</v>
      </c>
      <c r="BK128" s="69" t="n">
        <f aca="false">TblProd[[#This Row],[Lumber]]</f>
        <v>54123</v>
      </c>
      <c r="BL128" s="69" t="n">
        <f aca="false">TblProd[[#This Row],[Mana]]</f>
        <v>17235.5</v>
      </c>
      <c r="BM128" s="69" t="n">
        <f aca="false">TblProd[[#This Row],[Ore]]</f>
        <v>0</v>
      </c>
    </row>
    <row r="129" customFormat="false" ht="12.75" hidden="false" customHeight="false" outlineLevel="0" collapsed="false">
      <c r="A129" s="128" t="n">
        <v>54</v>
      </c>
      <c r="B129" s="144" t="n">
        <f aca="false">TblImps[[#This Row],[Time]]</f>
        <v>45434.9583333333</v>
      </c>
      <c r="C129" s="145"/>
      <c r="D129" s="146"/>
      <c r="E129" s="69" t="n">
        <f aca="false">TblConstr[[#This Row],[Land]]</f>
        <v>700</v>
      </c>
      <c r="F129" s="69" t="n">
        <f aca="false">TblPop[[#This Row],[Peasants]]</f>
        <v>5879</v>
      </c>
      <c r="G129" s="69" t="e">
        <f aca="false">TblMili[[#This Row],[Networth (2)]]</f>
        <v>#VALUE!</v>
      </c>
      <c r="H129" s="69" t="n">
        <f aca="false">OFFSET(TblProd[[#This Row],[Platinum]],-1,0)+OFFSET(TblProd[[#This Row],[Plat/hr]],-1,0) - TblProd[[#This Row],[Expenses Platinum]] + IF(TblProd[[#This Row],[Plat Bonus]],TblPop[[#This Row],[Peasants]]*4) + SUM(TblConstr[[#This Row],[Dest Hom]:[Dest Doc]])*TblConstr[[#This Row],[CPA Platinum -DB]]*tech_3_3_2*TblTech[[#This Row],[3-3]]</f>
        <v>2006950</v>
      </c>
      <c r="I129" s="69" t="n">
        <f aca="false">OFFSET(TblProd[[#This Row],[Food]],-1,0)+OFFSET(TblProd[[#This Row],[Food/hr]],-1,0)+ROUNDUP((TblConstr[[#This Row],[Farms]]*80+TblConstr[[#This Row],[Docks]]*35)*(1+OFFSET(TblProd[[#This Row],[Bonus Food/hr]],-1,0)),0)</f>
        <v>7065</v>
      </c>
      <c r="J129" s="69" t="n">
        <f aca="false">OFFSET(TblProd[[#This Row],[Lumber]],-1,0)+OFFSET(TblProd[[#This Row],[Lumber/hr]],-1,0) - TblProd[[#This Row],[Expenses Lumber]] + SUM(TblConstr[[#This Row],[Dest Hom]:[Dest Doc]])*TblConstr[[#This Row],[CPA Lumber -DB]]*tech_3_3_2*TblTech[[#This Row],[3-3]]</f>
        <v>54707</v>
      </c>
      <c r="K129" s="69" t="n">
        <f aca="false">OFFSET(TblProd[[#This Row],[Mana]],-1,0)+OFFSET(TblProd[[#This Row],[Mana/hr]],-1,0)- TblProd[[#This Row],[Expenses Mana]]</f>
        <v>17615.5</v>
      </c>
      <c r="L129" s="69" t="n">
        <f aca="false">OFFSET(TblProd[[#This Row],[Ore]],-1,0)+OFFSET(TblProd[[#This Row],[Ore/hr]],-1,0) -TblProd[[#This Row],[Expenses Ore]]</f>
        <v>0</v>
      </c>
      <c r="M129" s="69" t="n">
        <f aca="false">OFFSET(TblProd[[#This Row],[Gems]],-1,0)+OFFSET(TblProd[[#This Row],[Gems/hr]],-1,0) - TblProd[[#This Row],[Expenses Gems]]</f>
        <v>0</v>
      </c>
      <c r="N129" s="69" t="n">
        <f aca="false">OFFSET(TblProd[[#This Row],[Boats]],-1,0)+OFFSET(TblProd[[#This Row],[Boats/hr]],-1,0)</f>
        <v>91.8500000000001</v>
      </c>
      <c r="O129" s="69" t="n">
        <f aca="false">OFFSET(TblProd[[#This Row],[Prestige]],-1,0)</f>
        <v>250</v>
      </c>
      <c r="P12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9" s="69" t="n">
        <f aca="false">MAX(3750,_xlfn.CEILING.MATH(TblProd[[#This Row],[Land]]*2.5+OFFSET(TblTech[[#This Row],[Sum of tech]],-1,0)*150))</f>
        <v>3750</v>
      </c>
      <c r="R129" s="132"/>
      <c r="S129" s="69" t="n">
        <f aca="false">ROUNDDOWN(TblProd[[#This Row],[Raw Plat/hr]]*(1+TblProd[[#This Row],[Bonus Plat/hr]]),0)</f>
        <v>28248</v>
      </c>
      <c r="T129" s="69" t="n">
        <f aca="false">ROUND(TblProd[[#This Row],[Raw Food/hr]]*(1+TblProd[[#This Row],[Bonus Food/hr]])-TblProd[[#This Row],[Food decay]]-TblProd[[#This Row],[Food eaten]],0)</f>
        <v>57</v>
      </c>
      <c r="U129" s="69" t="n">
        <f aca="false">ROUND(TblProd[[#This Row],[Raw Lumber/hr]]*(1+TblProd[[#This Row],[Bonus Lumber/hr]])-TblProd[[#This Row],[Lumber rot]],0)</f>
        <v>578</v>
      </c>
      <c r="V129" s="69" t="n">
        <f aca="false">ROUND(TblProd[[#This Row],[Raw Mana/hr]]*(1+TblProd[[#This Row],[Bonus Mana/hr]])-TblProd[[#This Row],[Mana drain]],0)</f>
        <v>373</v>
      </c>
      <c r="W129" s="69" t="n">
        <f aca="false">ROUNDDOWN(TblProd[[#This Row],[Raw Ore/hr]]*(1+TblProd[[#This Row],[Bonux Ore/hr]]),0)</f>
        <v>0</v>
      </c>
      <c r="X129" s="69" t="n">
        <f aca="false">ROUNDDOWN(TblProd[[#This Row],[Raw Gems/hr]]*(1+TblProd[[#This Row],[Bonus Gems/hr]]),0)</f>
        <v>0</v>
      </c>
      <c r="Y129" s="148" t="n">
        <f aca="false">OFFSET(TblConstr[[#This Row],[Tot Doc]],1,0)*dock_boats_hr * (1 + tech_4_1*TblTech[[#This Row],[4-1]])</f>
        <v>1.2</v>
      </c>
      <c r="Z129" s="146"/>
      <c r="AA129" s="69" t="n">
        <f aca="false">TblPop[[#This Row],[Peasants]]*tax*TblPop[[#This Row],[Employment]] + (Construction!AZ130+Construction!BX130)*(alch_plat+(Magic!AM129&gt;0)*alchemist_flame_bonus)</f>
        <v>28248.3</v>
      </c>
      <c r="AB129" s="69" t="n">
        <f aca="false">TblConstr[[#This Row],[Tot Farm]]*farm_food + TblConstr[[#This Row],[Tot Doc]]*dock_food</f>
        <v>3280</v>
      </c>
      <c r="AC129" s="69" t="n">
        <f aca="false">TblConstr[[#This Row],[Tot Ly]]*ly_lumber + TblConstr[[#This Row],[Tot Hav]]*fh_lumber</f>
        <v>1250</v>
      </c>
      <c r="AD129" s="69" t="n">
        <f aca="false">OFFSET(TblConstr[[#This Row],[Tot Tow]],1,0)*(tower_mana + tech_4_5*TblTech[[#This Row],[4-5]]) + OFFSET(TblConstr[[#This Row],[Tot WG]],1,0)*wg_mana_prod</f>
        <v>725</v>
      </c>
      <c r="AE129" s="69" t="n">
        <f aca="false">OFFSET(TblConstr[[#This Row],[Tot OM]],1,0)*om_ore+IF(race="Dwarf",ROUNDDOWN(TblMili[[#This Row],[Unit 2]]*0.4,0),)</f>
        <v>0</v>
      </c>
      <c r="AF129" s="69" t="n">
        <f aca="false">OFFSET(TblConstr[[#This Row],[Tot DM]],1,0)*dm_gems</f>
        <v>0</v>
      </c>
      <c r="AG129" s="132"/>
      <c r="AH129" s="149" t="n">
        <f aca="false">MIN(race_platinum_bonus + IF(TblMagic[[#This Row],[Active Alch Frost]]&gt;0,alch_frost_bonus,IF(Magic!AD129&gt;0,midas_bonus)) + TblImps[[#This Row],[Science]] - TblProd[[#This Row],[Guard]]*(0.02 + tech_5_7*TblTech[[#This Row],[5-7]]) + tech_1_5*TblTech[[#This Row],[1-5]] + tech_4_4*TblTech[[#This Row],[4-4]], 0.5)</f>
        <v>0</v>
      </c>
      <c r="AI12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9" s="149" t="n">
        <f aca="false">race_lumber_bonus+ IF(TblMagic[[#This Row],[Active Gaia''s Blessing]]&gt;0,gaias_blessing_lumber)+ tech_1_3*TblTech[[#This Row],[1-3]] + tech_1_6*TblTech[[#This Row],[1-6]] + tech_3_3*TblTech[[#This Row],[3-3]]</f>
        <v>-0.1</v>
      </c>
      <c r="AK129" s="149" t="n">
        <f aca="false">race_mana_bonus+ 0 + TblImps[[#This Row],[Towers]] + tech_1_2*TblTech[[#This Row],[1-2]] + tech_3_4*TblTech[[#This Row],[3-4]]</f>
        <v>0</v>
      </c>
      <c r="AL129" s="149" t="n">
        <f aca="false">race_ore_bonus + IF(TblMagic[[#This Row],[Active Miner''s Sight]]&gt;0,miners_sight_bonus,IF(TblMagic[[#This Row],[Active Mining Strength]]&gt;0,mining_strength_bonus)) +  tech_1_6*TblTech[[#This Row],[1-6]]</f>
        <v>0</v>
      </c>
      <c r="AM129" s="149" t="n">
        <f aca="false">race_gem_bonus+ tech_3_2*TblTech[[#This Row],[3-2]] + tech_4_3*TblTech[[#This Row],[4-3]] + tech_6_2*TblTech[[#This Row],[6-2]]</f>
        <v>0.15</v>
      </c>
      <c r="AN129" s="132"/>
      <c r="AO129" s="69" t="n">
        <f aca="false">TblProd[[#This Row],[Food]]*food_decay * (1 + tech_2_1*TblTech[[#This Row],[2-1]] + tech_2_8*TblTech[[#This Row],[2-8]])</f>
        <v>70.65</v>
      </c>
      <c r="AP129" s="69" t="n">
        <f aca="false">(1+race_food_consumption)*TblPop[[#This Row],[Total]]*food_per_person*(1+tech_1_10*TblTech[[#This Row],[1-10]]+tech_7_5*TblTech[[#This Row],[7-5]])</f>
        <v>3234.75</v>
      </c>
      <c r="AQ129" s="69" t="n">
        <f aca="false">TblProd[[#This Row],[Lumber]]*lumber_rot * (1 + tech_2_1*TblTech[[#This Row],[2-1]] + tech_2_8*TblTech[[#This Row],[2-8]] + tech_5_2*TblTech[[#This Row],[5-2]])</f>
        <v>547.07</v>
      </c>
      <c r="AR129" s="69" t="n">
        <f aca="false">TblProd[[#This Row],[Mana]]*mana_drain * (1 + tech_2_1*TblTech[[#This Row],[2-1]] + tech_2_8*TblTech[[#This Row],[2-8]])</f>
        <v>352.31</v>
      </c>
      <c r="AS129" s="146"/>
      <c r="AT129" s="69" t="n">
        <f aca="false">TblExplore[[#This Row],[Platinum (2)]]+TblConstr[[#This Row],[Total Plat Cost]]+TblMili[[#This Row],[Plat Cost]]+TblRezone[[#This Row],[Platinum cost]]+TblImps[[#This Row],[P1]]-TblProd[[#This Row],[Bank Plat]]</f>
        <v>0</v>
      </c>
      <c r="AU129" s="69" t="n">
        <f aca="false">TblConstr[[#This Row],[Total Lum Cost]]+TblImps[[#This Row],[L1]]-TblProd[[#This Row],[Bank Lumber]] + Military!$CL$25*TblMili[[#This Row],[Sec. rec. Cost]]</f>
        <v>0</v>
      </c>
      <c r="AV129" s="69" t="n">
        <f aca="false">TblMagic[[#This Row],[Mana cost]] + Military!$CL$26*TblMili[[#This Row],[Sec. rec. Cost]]</f>
        <v>0</v>
      </c>
      <c r="AW129" s="69" t="n">
        <f aca="false">Military!$CL$24*TblMili[[#This Row],[Sec. rec. Cost]]+TblImps[[#This Row],[O1]]-TblProd[[#This Row],[Bank Ore]]</f>
        <v>0</v>
      </c>
      <c r="AX129" s="69" t="n">
        <f aca="false">TblImps[[#This Row],[G1]]-TblProd[[#This Row],[Bank Gems]]</f>
        <v>0</v>
      </c>
      <c r="AY129" s="132"/>
      <c r="AZ129" s="33" t="n">
        <f aca="false">IF(TblProd[[#This Row],[Set Guard]]&lt;&gt;"",TblProd[[#This Row],[Set Guard]],OFFSET(TblProd[[#This Row],[Guard]],-1,0))</f>
        <v>0</v>
      </c>
      <c r="BA129" s="145"/>
      <c r="BB129" s="151" t="n">
        <f aca="false">TblProd[[#This Row],[Hour]]</f>
        <v>54</v>
      </c>
      <c r="BC129" s="152" t="n">
        <f aca="false">-TblProd[[#This Row],[Bank Lumber]] / 2 + -TblProd[[#This Row],[Bank Gems]] * 2 + -TblProd[[#This Row],[Bank Ore]] / 2</f>
        <v>0</v>
      </c>
      <c r="BD129" s="152"/>
      <c r="BE129" s="152"/>
      <c r="BF129" s="152"/>
      <c r="BG129" s="153" t="n">
        <f aca="false">TblProd[[#This Row],[Time]]</f>
        <v>45434.9583333333</v>
      </c>
      <c r="BH12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69" t="n">
        <f aca="false">TblProd[[#This Row],[Platinum]]</f>
        <v>2006950</v>
      </c>
      <c r="BJ129" s="69" t="n">
        <f aca="false">TblProd[[#This Row],[Food]]</f>
        <v>7065</v>
      </c>
      <c r="BK129" s="69" t="n">
        <f aca="false">TblProd[[#This Row],[Lumber]]</f>
        <v>54707</v>
      </c>
      <c r="BL129" s="69" t="n">
        <f aca="false">TblProd[[#This Row],[Mana]]</f>
        <v>17615.5</v>
      </c>
      <c r="BM129" s="69" t="n">
        <f aca="false">TblProd[[#This Row],[Ore]]</f>
        <v>0</v>
      </c>
    </row>
    <row r="130" customFormat="false" ht="12.75" hidden="false" customHeight="false" outlineLevel="0" collapsed="false">
      <c r="A130" s="128" t="n">
        <v>55</v>
      </c>
      <c r="B130" s="144" t="n">
        <f aca="false">TblImps[[#This Row],[Time]]</f>
        <v>45435</v>
      </c>
      <c r="C130" s="145"/>
      <c r="D130" s="146"/>
      <c r="E130" s="69" t="n">
        <f aca="false">TblConstr[[#This Row],[Land]]</f>
        <v>700</v>
      </c>
      <c r="F130" s="69" t="n">
        <f aca="false">TblPop[[#This Row],[Peasants]]</f>
        <v>5820</v>
      </c>
      <c r="G130" s="69" t="e">
        <f aca="false">TblMili[[#This Row],[Networth (2)]]</f>
        <v>#VALUE!</v>
      </c>
      <c r="H130" s="69" t="n">
        <f aca="false">OFFSET(TblProd[[#This Row],[Platinum]],-1,0)+OFFSET(TblProd[[#This Row],[Plat/hr]],-1,0) - TblProd[[#This Row],[Expenses Platinum]] + IF(TblProd[[#This Row],[Plat Bonus]],TblPop[[#This Row],[Peasants]]*4) + SUM(TblConstr[[#This Row],[Dest Hom]:[Dest Doc]])*TblConstr[[#This Row],[CPA Platinum -DB]]*tech_3_3_2*TblTech[[#This Row],[3-3]]</f>
        <v>2035198</v>
      </c>
      <c r="I130" s="69" t="n">
        <f aca="false">OFFSET(TblProd[[#This Row],[Food]],-1,0)+OFFSET(TblProd[[#This Row],[Food/hr]],-1,0)+ROUNDUP((TblConstr[[#This Row],[Farms]]*80+TblConstr[[#This Row],[Docks]]*35)*(1+OFFSET(TblProd[[#This Row],[Bonus Food/hr]],-1,0)),0)</f>
        <v>7122</v>
      </c>
      <c r="J130" s="69" t="n">
        <f aca="false">OFFSET(TblProd[[#This Row],[Lumber]],-1,0)+OFFSET(TblProd[[#This Row],[Lumber/hr]],-1,0) - TblProd[[#This Row],[Expenses Lumber]] + SUM(TblConstr[[#This Row],[Dest Hom]:[Dest Doc]])*TblConstr[[#This Row],[CPA Lumber -DB]]*tech_3_3_2*TblTech[[#This Row],[3-3]]</f>
        <v>55285</v>
      </c>
      <c r="K130" s="69" t="n">
        <f aca="false">OFFSET(TblProd[[#This Row],[Mana]],-1,0)+OFFSET(TblProd[[#This Row],[Mana/hr]],-1,0)- TblProd[[#This Row],[Expenses Mana]]</f>
        <v>17988.5</v>
      </c>
      <c r="L130" s="69" t="n">
        <f aca="false">OFFSET(TblProd[[#This Row],[Ore]],-1,0)+OFFSET(TblProd[[#This Row],[Ore/hr]],-1,0) -TblProd[[#This Row],[Expenses Ore]]</f>
        <v>0</v>
      </c>
      <c r="M130" s="69" t="n">
        <f aca="false">OFFSET(TblProd[[#This Row],[Gems]],-1,0)+OFFSET(TblProd[[#This Row],[Gems/hr]],-1,0) - TblProd[[#This Row],[Expenses Gems]]</f>
        <v>0</v>
      </c>
      <c r="N130" s="69" t="n">
        <f aca="false">OFFSET(TblProd[[#This Row],[Boats]],-1,0)+OFFSET(TblProd[[#This Row],[Boats/hr]],-1,0)</f>
        <v>93.0500000000001</v>
      </c>
      <c r="O130" s="69" t="n">
        <f aca="false">OFFSET(TblProd[[#This Row],[Prestige]],-1,0)</f>
        <v>250</v>
      </c>
      <c r="P13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0" s="69" t="n">
        <f aca="false">MAX(3750,_xlfn.CEILING.MATH(TblProd[[#This Row],[Land]]*2.5+OFFSET(TblTech[[#This Row],[Sum of tech]],-1,0)*150))</f>
        <v>3750</v>
      </c>
      <c r="R130" s="132"/>
      <c r="S130" s="69" t="n">
        <f aca="false">ROUNDDOWN(TblProd[[#This Row],[Raw Plat/hr]]*(1+TblProd[[#This Row],[Bonus Plat/hr]]),0)</f>
        <v>28089</v>
      </c>
      <c r="T130" s="69" t="n">
        <f aca="false">ROUND(TblProd[[#This Row],[Raw Food/hr]]*(1+TblProd[[#This Row],[Bonus Food/hr]])-TblProd[[#This Row],[Food decay]]-TblProd[[#This Row],[Food eaten]],0)</f>
        <v>56</v>
      </c>
      <c r="U130" s="69" t="n">
        <f aca="false">ROUND(TblProd[[#This Row],[Raw Lumber/hr]]*(1+TblProd[[#This Row],[Bonus Lumber/hr]])-TblProd[[#This Row],[Lumber rot]],0)</f>
        <v>572</v>
      </c>
      <c r="V130" s="69" t="n">
        <f aca="false">ROUND(TblProd[[#This Row],[Raw Mana/hr]]*(1+TblProd[[#This Row],[Bonus Mana/hr]])-TblProd[[#This Row],[Mana drain]],0)</f>
        <v>365</v>
      </c>
      <c r="W130" s="69" t="n">
        <f aca="false">ROUNDDOWN(TblProd[[#This Row],[Raw Ore/hr]]*(1+TblProd[[#This Row],[Bonux Ore/hr]]),0)</f>
        <v>0</v>
      </c>
      <c r="X130" s="69" t="n">
        <f aca="false">ROUNDDOWN(TblProd[[#This Row],[Raw Gems/hr]]*(1+TblProd[[#This Row],[Bonus Gems/hr]]),0)</f>
        <v>0</v>
      </c>
      <c r="Y130" s="148" t="n">
        <f aca="false">OFFSET(TblConstr[[#This Row],[Tot Doc]],1,0)*dock_boats_hr * (1 + tech_4_1*TblTech[[#This Row],[4-1]])</f>
        <v>1.2</v>
      </c>
      <c r="Z130" s="146"/>
      <c r="AA130" s="69" t="n">
        <f aca="false">TblPop[[#This Row],[Peasants]]*tax*TblPop[[#This Row],[Employment]] + (Construction!AZ131+Construction!BX131)*(alch_plat+(Magic!AM130&gt;0)*alchemist_flame_bonus)</f>
        <v>28089</v>
      </c>
      <c r="AB130" s="69" t="n">
        <f aca="false">TblConstr[[#This Row],[Tot Farm]]*farm_food + TblConstr[[#This Row],[Tot Doc]]*dock_food</f>
        <v>3280</v>
      </c>
      <c r="AC130" s="69" t="n">
        <f aca="false">TblConstr[[#This Row],[Tot Ly]]*ly_lumber + TblConstr[[#This Row],[Tot Hav]]*fh_lumber</f>
        <v>1250</v>
      </c>
      <c r="AD130" s="69" t="n">
        <f aca="false">OFFSET(TblConstr[[#This Row],[Tot Tow]],1,0)*(tower_mana + tech_4_5*TblTech[[#This Row],[4-5]]) + OFFSET(TblConstr[[#This Row],[Tot WG]],1,0)*wg_mana_prod</f>
        <v>725</v>
      </c>
      <c r="AE130" s="69" t="n">
        <f aca="false">OFFSET(TblConstr[[#This Row],[Tot OM]],1,0)*om_ore+IF(race="Dwarf",ROUNDDOWN(TblMili[[#This Row],[Unit 2]]*0.4,0),)</f>
        <v>0</v>
      </c>
      <c r="AF130" s="69" t="n">
        <f aca="false">OFFSET(TblConstr[[#This Row],[Tot DM]],1,0)*dm_gems</f>
        <v>0</v>
      </c>
      <c r="AG130" s="132"/>
      <c r="AH130" s="149" t="n">
        <f aca="false">MIN(race_platinum_bonus + IF(TblMagic[[#This Row],[Active Alch Frost]]&gt;0,alch_frost_bonus,IF(Magic!AD130&gt;0,midas_bonus)) + TblImps[[#This Row],[Science]] - TblProd[[#This Row],[Guard]]*(0.02 + tech_5_7*TblTech[[#This Row],[5-7]]) + tech_1_5*TblTech[[#This Row],[1-5]] + tech_4_4*TblTech[[#This Row],[4-4]], 0.5)</f>
        <v>0</v>
      </c>
      <c r="AI13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0" s="149" t="n">
        <f aca="false">race_lumber_bonus+ IF(TblMagic[[#This Row],[Active Gaia''s Blessing]]&gt;0,gaias_blessing_lumber)+ tech_1_3*TblTech[[#This Row],[1-3]] + tech_1_6*TblTech[[#This Row],[1-6]] + tech_3_3*TblTech[[#This Row],[3-3]]</f>
        <v>-0.1</v>
      </c>
      <c r="AK130" s="149" t="n">
        <f aca="false">race_mana_bonus+ 0 + TblImps[[#This Row],[Towers]] + tech_1_2*TblTech[[#This Row],[1-2]] + tech_3_4*TblTech[[#This Row],[3-4]]</f>
        <v>0</v>
      </c>
      <c r="AL130" s="149" t="n">
        <f aca="false">race_ore_bonus + IF(TblMagic[[#This Row],[Active Miner''s Sight]]&gt;0,miners_sight_bonus,IF(TblMagic[[#This Row],[Active Mining Strength]]&gt;0,mining_strength_bonus)) +  tech_1_6*TblTech[[#This Row],[1-6]]</f>
        <v>0</v>
      </c>
      <c r="AM130" s="149" t="n">
        <f aca="false">race_gem_bonus+ tech_3_2*TblTech[[#This Row],[3-2]] + tech_4_3*TblTech[[#This Row],[4-3]] + tech_6_2*TblTech[[#This Row],[6-2]]</f>
        <v>0.15</v>
      </c>
      <c r="AN130" s="132"/>
      <c r="AO130" s="69" t="n">
        <f aca="false">TblProd[[#This Row],[Food]]*food_decay * (1 + tech_2_1*TblTech[[#This Row],[2-1]] + tech_2_8*TblTech[[#This Row],[2-8]])</f>
        <v>71.22</v>
      </c>
      <c r="AP130" s="69" t="n">
        <f aca="false">(1+race_food_consumption)*TblPop[[#This Row],[Total]]*food_per_person*(1+tech_1_10*TblTech[[#This Row],[1-10]]+tech_7_5*TblTech[[#This Row],[7-5]])</f>
        <v>3234.75</v>
      </c>
      <c r="AQ130" s="69" t="n">
        <f aca="false">TblProd[[#This Row],[Lumber]]*lumber_rot * (1 + tech_2_1*TblTech[[#This Row],[2-1]] + tech_2_8*TblTech[[#This Row],[2-8]] + tech_5_2*TblTech[[#This Row],[5-2]])</f>
        <v>552.85</v>
      </c>
      <c r="AR130" s="69" t="n">
        <f aca="false">TblProd[[#This Row],[Mana]]*mana_drain * (1 + tech_2_1*TblTech[[#This Row],[2-1]] + tech_2_8*TblTech[[#This Row],[2-8]])</f>
        <v>359.77</v>
      </c>
      <c r="AS130" s="146"/>
      <c r="AT130" s="69" t="n">
        <f aca="false">TblExplore[[#This Row],[Platinum (2)]]+TblConstr[[#This Row],[Total Plat Cost]]+TblMili[[#This Row],[Plat Cost]]+TblRezone[[#This Row],[Platinum cost]]+TblImps[[#This Row],[P1]]-TblProd[[#This Row],[Bank Plat]]</f>
        <v>0</v>
      </c>
      <c r="AU130" s="69" t="n">
        <f aca="false">TblConstr[[#This Row],[Total Lum Cost]]+TblImps[[#This Row],[L1]]-TblProd[[#This Row],[Bank Lumber]] + Military!$CL$25*TblMili[[#This Row],[Sec. rec. Cost]]</f>
        <v>0</v>
      </c>
      <c r="AV130" s="69" t="n">
        <f aca="false">TblMagic[[#This Row],[Mana cost]] + Military!$CL$26*TblMili[[#This Row],[Sec. rec. Cost]]</f>
        <v>0</v>
      </c>
      <c r="AW130" s="69" t="n">
        <f aca="false">Military!$CL$24*TblMili[[#This Row],[Sec. rec. Cost]]+TblImps[[#This Row],[O1]]-TblProd[[#This Row],[Bank Ore]]</f>
        <v>0</v>
      </c>
      <c r="AX130" s="69" t="n">
        <f aca="false">TblImps[[#This Row],[G1]]-TblProd[[#This Row],[Bank Gems]]</f>
        <v>0</v>
      </c>
      <c r="AY130" s="132"/>
      <c r="AZ130" s="33" t="n">
        <f aca="false">IF(TblProd[[#This Row],[Set Guard]]&lt;&gt;"",TblProd[[#This Row],[Set Guard]],OFFSET(TblProd[[#This Row],[Guard]],-1,0))</f>
        <v>0</v>
      </c>
      <c r="BA130" s="145"/>
      <c r="BB130" s="151" t="n">
        <f aca="false">TblProd[[#This Row],[Hour]]</f>
        <v>55</v>
      </c>
      <c r="BC130" s="152" t="n">
        <f aca="false">-TblProd[[#This Row],[Bank Lumber]] / 2 + -TblProd[[#This Row],[Bank Gems]] * 2 + -TblProd[[#This Row],[Bank Ore]] / 2</f>
        <v>0</v>
      </c>
      <c r="BD130" s="152"/>
      <c r="BE130" s="152"/>
      <c r="BF130" s="152"/>
      <c r="BG130" s="153" t="n">
        <f aca="false">TblProd[[#This Row],[Time]]</f>
        <v>45435</v>
      </c>
      <c r="BH13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69" t="n">
        <f aca="false">TblProd[[#This Row],[Platinum]]</f>
        <v>2035198</v>
      </c>
      <c r="BJ130" s="69" t="n">
        <f aca="false">TblProd[[#This Row],[Food]]</f>
        <v>7122</v>
      </c>
      <c r="BK130" s="69" t="n">
        <f aca="false">TblProd[[#This Row],[Lumber]]</f>
        <v>55285</v>
      </c>
      <c r="BL130" s="69" t="n">
        <f aca="false">TblProd[[#This Row],[Mana]]</f>
        <v>17988.5</v>
      </c>
      <c r="BM130" s="69" t="n">
        <f aca="false">TblProd[[#This Row],[Ore]]</f>
        <v>0</v>
      </c>
    </row>
    <row r="131" customFormat="false" ht="12.75" hidden="false" customHeight="false" outlineLevel="0" collapsed="false">
      <c r="A131" s="128" t="n">
        <v>56</v>
      </c>
      <c r="B131" s="144" t="n">
        <f aca="false">TblImps[[#This Row],[Time]]</f>
        <v>45435.0416666667</v>
      </c>
      <c r="C131" s="145"/>
      <c r="D131" s="146"/>
      <c r="E131" s="69" t="n">
        <f aca="false">TblConstr[[#This Row],[Land]]</f>
        <v>700</v>
      </c>
      <c r="F131" s="69" t="n">
        <f aca="false">TblPop[[#This Row],[Peasants]]</f>
        <v>5762</v>
      </c>
      <c r="G131" s="69" t="e">
        <f aca="false">TblMili[[#This Row],[Networth (2)]]</f>
        <v>#VALUE!</v>
      </c>
      <c r="H131" s="69" t="n">
        <f aca="false">OFFSET(TblProd[[#This Row],[Platinum]],-1,0)+OFFSET(TblProd[[#This Row],[Plat/hr]],-1,0) - TblProd[[#This Row],[Expenses Platinum]] + IF(TblProd[[#This Row],[Plat Bonus]],TblPop[[#This Row],[Peasants]]*4) + SUM(TblConstr[[#This Row],[Dest Hom]:[Dest Doc]])*TblConstr[[#This Row],[CPA Platinum -DB]]*tech_3_3_2*TblTech[[#This Row],[3-3]]</f>
        <v>2063287</v>
      </c>
      <c r="I131" s="69" t="n">
        <f aca="false">OFFSET(TblProd[[#This Row],[Food]],-1,0)+OFFSET(TblProd[[#This Row],[Food/hr]],-1,0)+ROUNDUP((TblConstr[[#This Row],[Farms]]*80+TblConstr[[#This Row],[Docks]]*35)*(1+OFFSET(TblProd[[#This Row],[Bonus Food/hr]],-1,0)),0)</f>
        <v>7178</v>
      </c>
      <c r="J131" s="69" t="n">
        <f aca="false">OFFSET(TblProd[[#This Row],[Lumber]],-1,0)+OFFSET(TblProd[[#This Row],[Lumber/hr]],-1,0) - TblProd[[#This Row],[Expenses Lumber]] + SUM(TblConstr[[#This Row],[Dest Hom]:[Dest Doc]])*TblConstr[[#This Row],[CPA Lumber -DB]]*tech_3_3_2*TblTech[[#This Row],[3-3]]</f>
        <v>55857</v>
      </c>
      <c r="K131" s="69" t="n">
        <f aca="false">OFFSET(TblProd[[#This Row],[Mana]],-1,0)+OFFSET(TblProd[[#This Row],[Mana/hr]],-1,0)- TblProd[[#This Row],[Expenses Mana]]</f>
        <v>18353.5</v>
      </c>
      <c r="L131" s="69" t="n">
        <f aca="false">OFFSET(TblProd[[#This Row],[Ore]],-1,0)+OFFSET(TblProd[[#This Row],[Ore/hr]],-1,0) -TblProd[[#This Row],[Expenses Ore]]</f>
        <v>0</v>
      </c>
      <c r="M131" s="69" t="n">
        <f aca="false">OFFSET(TblProd[[#This Row],[Gems]],-1,0)+OFFSET(TblProd[[#This Row],[Gems/hr]],-1,0) - TblProd[[#This Row],[Expenses Gems]]</f>
        <v>0</v>
      </c>
      <c r="N131" s="69" t="n">
        <f aca="false">OFFSET(TblProd[[#This Row],[Boats]],-1,0)+OFFSET(TblProd[[#This Row],[Boats/hr]],-1,0)</f>
        <v>94.2500000000001</v>
      </c>
      <c r="O131" s="69" t="n">
        <f aca="false">OFFSET(TblProd[[#This Row],[Prestige]],-1,0)</f>
        <v>250</v>
      </c>
      <c r="P13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1" s="69" t="n">
        <f aca="false">MAX(3750,_xlfn.CEILING.MATH(TblProd[[#This Row],[Land]]*2.5+OFFSET(TblTech[[#This Row],[Sum of tech]],-1,0)*150))</f>
        <v>3750</v>
      </c>
      <c r="R131" s="132"/>
      <c r="S131" s="69" t="n">
        <f aca="false">ROUNDDOWN(TblProd[[#This Row],[Raw Plat/hr]]*(1+TblProd[[#This Row],[Bonus Plat/hr]]),0)</f>
        <v>27932</v>
      </c>
      <c r="T131" s="69" t="n">
        <f aca="false">ROUND(TblProd[[#This Row],[Raw Food/hr]]*(1+TblProd[[#This Row],[Bonus Food/hr]])-TblProd[[#This Row],[Food decay]]-TblProd[[#This Row],[Food eaten]],0)</f>
        <v>55</v>
      </c>
      <c r="U131" s="69" t="n">
        <f aca="false">ROUND(TblProd[[#This Row],[Raw Lumber/hr]]*(1+TblProd[[#This Row],[Bonus Lumber/hr]])-TblProd[[#This Row],[Lumber rot]],0)</f>
        <v>566</v>
      </c>
      <c r="V131" s="69" t="n">
        <f aca="false">ROUND(TblProd[[#This Row],[Raw Mana/hr]]*(1+TblProd[[#This Row],[Bonus Mana/hr]])-TblProd[[#This Row],[Mana drain]],0)</f>
        <v>358</v>
      </c>
      <c r="W131" s="69" t="n">
        <f aca="false">ROUNDDOWN(TblProd[[#This Row],[Raw Ore/hr]]*(1+TblProd[[#This Row],[Bonux Ore/hr]]),0)</f>
        <v>0</v>
      </c>
      <c r="X131" s="69" t="n">
        <f aca="false">ROUNDDOWN(TblProd[[#This Row],[Raw Gems/hr]]*(1+TblProd[[#This Row],[Bonus Gems/hr]]),0)</f>
        <v>0</v>
      </c>
      <c r="Y131" s="148" t="n">
        <f aca="false">OFFSET(TblConstr[[#This Row],[Tot Doc]],1,0)*dock_boats_hr * (1 + tech_4_1*TblTech[[#This Row],[4-1]])</f>
        <v>1.2</v>
      </c>
      <c r="Z131" s="146"/>
      <c r="AA131" s="69" t="n">
        <f aca="false">TblPop[[#This Row],[Peasants]]*tax*TblPop[[#This Row],[Employment]] + (Construction!AZ132+Construction!BX132)*(alch_plat+(Magic!AM131&gt;0)*alchemist_flame_bonus)</f>
        <v>27932.4</v>
      </c>
      <c r="AB131" s="69" t="n">
        <f aca="false">TblConstr[[#This Row],[Tot Farm]]*farm_food + TblConstr[[#This Row],[Tot Doc]]*dock_food</f>
        <v>3280</v>
      </c>
      <c r="AC131" s="69" t="n">
        <f aca="false">TblConstr[[#This Row],[Tot Ly]]*ly_lumber + TblConstr[[#This Row],[Tot Hav]]*fh_lumber</f>
        <v>1250</v>
      </c>
      <c r="AD131" s="69" t="n">
        <f aca="false">OFFSET(TblConstr[[#This Row],[Tot Tow]],1,0)*(tower_mana + tech_4_5*TblTech[[#This Row],[4-5]]) + OFFSET(TblConstr[[#This Row],[Tot WG]],1,0)*wg_mana_prod</f>
        <v>725</v>
      </c>
      <c r="AE131" s="69" t="n">
        <f aca="false">OFFSET(TblConstr[[#This Row],[Tot OM]],1,0)*om_ore+IF(race="Dwarf",ROUNDDOWN(TblMili[[#This Row],[Unit 2]]*0.4,0),)</f>
        <v>0</v>
      </c>
      <c r="AF131" s="69" t="n">
        <f aca="false">OFFSET(TblConstr[[#This Row],[Tot DM]],1,0)*dm_gems</f>
        <v>0</v>
      </c>
      <c r="AG131" s="132"/>
      <c r="AH131" s="149" t="n">
        <f aca="false">MIN(race_platinum_bonus + IF(TblMagic[[#This Row],[Active Alch Frost]]&gt;0,alch_frost_bonus,IF(Magic!AD131&gt;0,midas_bonus)) + TblImps[[#This Row],[Science]] - TblProd[[#This Row],[Guard]]*(0.02 + tech_5_7*TblTech[[#This Row],[5-7]]) + tech_1_5*TblTech[[#This Row],[1-5]] + tech_4_4*TblTech[[#This Row],[4-4]], 0.5)</f>
        <v>0</v>
      </c>
      <c r="AI13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1" s="149" t="n">
        <f aca="false">race_lumber_bonus+ IF(TblMagic[[#This Row],[Active Gaia''s Blessing]]&gt;0,gaias_blessing_lumber)+ tech_1_3*TblTech[[#This Row],[1-3]] + tech_1_6*TblTech[[#This Row],[1-6]] + tech_3_3*TblTech[[#This Row],[3-3]]</f>
        <v>-0.1</v>
      </c>
      <c r="AK131" s="149" t="n">
        <f aca="false">race_mana_bonus+ 0 + TblImps[[#This Row],[Towers]] + tech_1_2*TblTech[[#This Row],[1-2]] + tech_3_4*TblTech[[#This Row],[3-4]]</f>
        <v>0</v>
      </c>
      <c r="AL131" s="149" t="n">
        <f aca="false">race_ore_bonus + IF(TblMagic[[#This Row],[Active Miner''s Sight]]&gt;0,miners_sight_bonus,IF(TblMagic[[#This Row],[Active Mining Strength]]&gt;0,mining_strength_bonus)) +  tech_1_6*TblTech[[#This Row],[1-6]]</f>
        <v>0</v>
      </c>
      <c r="AM131" s="149" t="n">
        <f aca="false">race_gem_bonus+ tech_3_2*TblTech[[#This Row],[3-2]] + tech_4_3*TblTech[[#This Row],[4-3]] + tech_6_2*TblTech[[#This Row],[6-2]]</f>
        <v>0.15</v>
      </c>
      <c r="AN131" s="132"/>
      <c r="AO131" s="69" t="n">
        <f aca="false">TblProd[[#This Row],[Food]]*food_decay * (1 + tech_2_1*TblTech[[#This Row],[2-1]] + tech_2_8*TblTech[[#This Row],[2-8]])</f>
        <v>71.78</v>
      </c>
      <c r="AP131" s="69" t="n">
        <f aca="false">(1+race_food_consumption)*TblPop[[#This Row],[Total]]*food_per_person*(1+tech_1_10*TblTech[[#This Row],[1-10]]+tech_7_5*TblTech[[#This Row],[7-5]])</f>
        <v>3234.75</v>
      </c>
      <c r="AQ131" s="69" t="n">
        <f aca="false">TblProd[[#This Row],[Lumber]]*lumber_rot * (1 + tech_2_1*TblTech[[#This Row],[2-1]] + tech_2_8*TblTech[[#This Row],[2-8]] + tech_5_2*TblTech[[#This Row],[5-2]])</f>
        <v>558.57</v>
      </c>
      <c r="AR131" s="69" t="n">
        <f aca="false">TblProd[[#This Row],[Mana]]*mana_drain * (1 + tech_2_1*TblTech[[#This Row],[2-1]] + tech_2_8*TblTech[[#This Row],[2-8]])</f>
        <v>367.07</v>
      </c>
      <c r="AS131" s="146"/>
      <c r="AT131" s="69" t="n">
        <f aca="false">TblExplore[[#This Row],[Platinum (2)]]+TblConstr[[#This Row],[Total Plat Cost]]+TblMili[[#This Row],[Plat Cost]]+TblRezone[[#This Row],[Platinum cost]]+TblImps[[#This Row],[P1]]-TblProd[[#This Row],[Bank Plat]]</f>
        <v>0</v>
      </c>
      <c r="AU131" s="69" t="n">
        <f aca="false">TblConstr[[#This Row],[Total Lum Cost]]+TblImps[[#This Row],[L1]]-TblProd[[#This Row],[Bank Lumber]] + Military!$CL$25*TblMili[[#This Row],[Sec. rec. Cost]]</f>
        <v>0</v>
      </c>
      <c r="AV131" s="69" t="n">
        <f aca="false">TblMagic[[#This Row],[Mana cost]] + Military!$CL$26*TblMili[[#This Row],[Sec. rec. Cost]]</f>
        <v>0</v>
      </c>
      <c r="AW131" s="69" t="n">
        <f aca="false">Military!$CL$24*TblMili[[#This Row],[Sec. rec. Cost]]+TblImps[[#This Row],[O1]]-TblProd[[#This Row],[Bank Ore]]</f>
        <v>0</v>
      </c>
      <c r="AX131" s="69" t="n">
        <f aca="false">TblImps[[#This Row],[G1]]-TblProd[[#This Row],[Bank Gems]]</f>
        <v>0</v>
      </c>
      <c r="AY131" s="132"/>
      <c r="AZ131" s="33" t="n">
        <f aca="false">IF(TblProd[[#This Row],[Set Guard]]&lt;&gt;"",TblProd[[#This Row],[Set Guard]],OFFSET(TblProd[[#This Row],[Guard]],-1,0))</f>
        <v>0</v>
      </c>
      <c r="BA131" s="145"/>
      <c r="BB131" s="151" t="n">
        <f aca="false">TblProd[[#This Row],[Hour]]</f>
        <v>56</v>
      </c>
      <c r="BC131" s="152" t="n">
        <f aca="false">-TblProd[[#This Row],[Bank Lumber]] / 2 + -TblProd[[#This Row],[Bank Gems]] * 2 + -TblProd[[#This Row],[Bank Ore]] / 2</f>
        <v>0</v>
      </c>
      <c r="BD131" s="152"/>
      <c r="BE131" s="152"/>
      <c r="BF131" s="152"/>
      <c r="BG131" s="153" t="n">
        <f aca="false">TblProd[[#This Row],[Time]]</f>
        <v>45435.0416666667</v>
      </c>
      <c r="BH13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69" t="n">
        <f aca="false">TblProd[[#This Row],[Platinum]]</f>
        <v>2063287</v>
      </c>
      <c r="BJ131" s="69" t="n">
        <f aca="false">TblProd[[#This Row],[Food]]</f>
        <v>7178</v>
      </c>
      <c r="BK131" s="69" t="n">
        <f aca="false">TblProd[[#This Row],[Lumber]]</f>
        <v>55857</v>
      </c>
      <c r="BL131" s="69" t="n">
        <f aca="false">TblProd[[#This Row],[Mana]]</f>
        <v>18353.5</v>
      </c>
      <c r="BM131" s="69" t="n">
        <f aca="false">TblProd[[#This Row],[Ore]]</f>
        <v>0</v>
      </c>
    </row>
    <row r="132" customFormat="false" ht="12.75" hidden="false" customHeight="false" outlineLevel="0" collapsed="false">
      <c r="A132" s="128" t="n">
        <v>57</v>
      </c>
      <c r="B132" s="144" t="n">
        <f aca="false">TblImps[[#This Row],[Time]]</f>
        <v>45435.0833333333</v>
      </c>
      <c r="C132" s="145"/>
      <c r="D132" s="146"/>
      <c r="E132" s="69" t="n">
        <f aca="false">TblConstr[[#This Row],[Land]]</f>
        <v>700</v>
      </c>
      <c r="F132" s="69" t="n">
        <f aca="false">TblPop[[#This Row],[Peasants]]</f>
        <v>5704</v>
      </c>
      <c r="G132" s="69" t="e">
        <f aca="false">TblMili[[#This Row],[Networth (2)]]</f>
        <v>#VALUE!</v>
      </c>
      <c r="H132" s="69" t="n">
        <f aca="false">OFFSET(TblProd[[#This Row],[Platinum]],-1,0)+OFFSET(TblProd[[#This Row],[Plat/hr]],-1,0) - TblProd[[#This Row],[Expenses Platinum]] + IF(TblProd[[#This Row],[Plat Bonus]],TblPop[[#This Row],[Peasants]]*4) + SUM(TblConstr[[#This Row],[Dest Hom]:[Dest Doc]])*TblConstr[[#This Row],[CPA Platinum -DB]]*tech_3_3_2*TblTech[[#This Row],[3-3]]</f>
        <v>2091219</v>
      </c>
      <c r="I132" s="69" t="n">
        <f aca="false">OFFSET(TblProd[[#This Row],[Food]],-1,0)+OFFSET(TblProd[[#This Row],[Food/hr]],-1,0)+ROUNDUP((TblConstr[[#This Row],[Farms]]*80+TblConstr[[#This Row],[Docks]]*35)*(1+OFFSET(TblProd[[#This Row],[Bonus Food/hr]],-1,0)),0)</f>
        <v>7233</v>
      </c>
      <c r="J132" s="69" t="n">
        <f aca="false">OFFSET(TblProd[[#This Row],[Lumber]],-1,0)+OFFSET(TblProd[[#This Row],[Lumber/hr]],-1,0) - TblProd[[#This Row],[Expenses Lumber]] + SUM(TblConstr[[#This Row],[Dest Hom]:[Dest Doc]])*TblConstr[[#This Row],[CPA Lumber -DB]]*tech_3_3_2*TblTech[[#This Row],[3-3]]</f>
        <v>56423</v>
      </c>
      <c r="K132" s="69" t="n">
        <f aca="false">OFFSET(TblProd[[#This Row],[Mana]],-1,0)+OFFSET(TblProd[[#This Row],[Mana/hr]],-1,0)- TblProd[[#This Row],[Expenses Mana]]</f>
        <v>18711.5</v>
      </c>
      <c r="L132" s="69" t="n">
        <f aca="false">OFFSET(TblProd[[#This Row],[Ore]],-1,0)+OFFSET(TblProd[[#This Row],[Ore/hr]],-1,0) -TblProd[[#This Row],[Expenses Ore]]</f>
        <v>0</v>
      </c>
      <c r="M132" s="69" t="n">
        <f aca="false">OFFSET(TblProd[[#This Row],[Gems]],-1,0)+OFFSET(TblProd[[#This Row],[Gems/hr]],-1,0) - TblProd[[#This Row],[Expenses Gems]]</f>
        <v>0</v>
      </c>
      <c r="N132" s="69" t="n">
        <f aca="false">OFFSET(TblProd[[#This Row],[Boats]],-1,0)+OFFSET(TblProd[[#This Row],[Boats/hr]],-1,0)</f>
        <v>95.4500000000001</v>
      </c>
      <c r="O132" s="69" t="n">
        <f aca="false">OFFSET(TblProd[[#This Row],[Prestige]],-1,0)</f>
        <v>250</v>
      </c>
      <c r="P13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2" s="69" t="n">
        <f aca="false">MAX(3750,_xlfn.CEILING.MATH(TblProd[[#This Row],[Land]]*2.5+OFFSET(TblTech[[#This Row],[Sum of tech]],-1,0)*150))</f>
        <v>3750</v>
      </c>
      <c r="R132" s="132"/>
      <c r="S132" s="69" t="n">
        <f aca="false">ROUNDDOWN(TblProd[[#This Row],[Raw Plat/hr]]*(1+TblProd[[#This Row],[Bonus Plat/hr]]),0)</f>
        <v>27775</v>
      </c>
      <c r="T132" s="69" t="n">
        <f aca="false">ROUND(TblProd[[#This Row],[Raw Food/hr]]*(1+TblProd[[#This Row],[Bonus Food/hr]])-TblProd[[#This Row],[Food decay]]-TblProd[[#This Row],[Food eaten]],0)</f>
        <v>55</v>
      </c>
      <c r="U132" s="69" t="n">
        <f aca="false">ROUND(TblProd[[#This Row],[Raw Lumber/hr]]*(1+TblProd[[#This Row],[Bonus Lumber/hr]])-TblProd[[#This Row],[Lumber rot]],0)</f>
        <v>561</v>
      </c>
      <c r="V132" s="69" t="n">
        <f aca="false">ROUND(TblProd[[#This Row],[Raw Mana/hr]]*(1+TblProd[[#This Row],[Bonus Mana/hr]])-TblProd[[#This Row],[Mana drain]],0)</f>
        <v>351</v>
      </c>
      <c r="W132" s="69" t="n">
        <f aca="false">ROUNDDOWN(TblProd[[#This Row],[Raw Ore/hr]]*(1+TblProd[[#This Row],[Bonux Ore/hr]]),0)</f>
        <v>0</v>
      </c>
      <c r="X132" s="69" t="n">
        <f aca="false">ROUNDDOWN(TblProd[[#This Row],[Raw Gems/hr]]*(1+TblProd[[#This Row],[Bonus Gems/hr]]),0)</f>
        <v>0</v>
      </c>
      <c r="Y132" s="148" t="n">
        <f aca="false">OFFSET(TblConstr[[#This Row],[Tot Doc]],1,0)*dock_boats_hr * (1 + tech_4_1*TblTech[[#This Row],[4-1]])</f>
        <v>1.2</v>
      </c>
      <c r="Z132" s="146"/>
      <c r="AA132" s="69" t="n">
        <f aca="false">TblPop[[#This Row],[Peasants]]*tax*TblPop[[#This Row],[Employment]] + (Construction!AZ133+Construction!BX133)*(alch_plat+(Magic!AM132&gt;0)*alchemist_flame_bonus)</f>
        <v>27775.8</v>
      </c>
      <c r="AB132" s="69" t="n">
        <f aca="false">TblConstr[[#This Row],[Tot Farm]]*farm_food + TblConstr[[#This Row],[Tot Doc]]*dock_food</f>
        <v>3280</v>
      </c>
      <c r="AC132" s="69" t="n">
        <f aca="false">TblConstr[[#This Row],[Tot Ly]]*ly_lumber + TblConstr[[#This Row],[Tot Hav]]*fh_lumber</f>
        <v>1250</v>
      </c>
      <c r="AD132" s="69" t="n">
        <f aca="false">OFFSET(TblConstr[[#This Row],[Tot Tow]],1,0)*(tower_mana + tech_4_5*TblTech[[#This Row],[4-5]]) + OFFSET(TblConstr[[#This Row],[Tot WG]],1,0)*wg_mana_prod</f>
        <v>725</v>
      </c>
      <c r="AE132" s="69" t="n">
        <f aca="false">OFFSET(TblConstr[[#This Row],[Tot OM]],1,0)*om_ore+IF(race="Dwarf",ROUNDDOWN(TblMili[[#This Row],[Unit 2]]*0.4,0),)</f>
        <v>0</v>
      </c>
      <c r="AF132" s="69" t="n">
        <f aca="false">OFFSET(TblConstr[[#This Row],[Tot DM]],1,0)*dm_gems</f>
        <v>0</v>
      </c>
      <c r="AG132" s="132"/>
      <c r="AH132" s="149" t="n">
        <f aca="false">MIN(race_platinum_bonus + IF(TblMagic[[#This Row],[Active Alch Frost]]&gt;0,alch_frost_bonus,IF(Magic!AD132&gt;0,midas_bonus)) + TblImps[[#This Row],[Science]] - TblProd[[#This Row],[Guard]]*(0.02 + tech_5_7*TblTech[[#This Row],[5-7]]) + tech_1_5*TblTech[[#This Row],[1-5]] + tech_4_4*TblTech[[#This Row],[4-4]], 0.5)</f>
        <v>0</v>
      </c>
      <c r="AI13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2" s="149" t="n">
        <f aca="false">race_lumber_bonus+ IF(TblMagic[[#This Row],[Active Gaia''s Blessing]]&gt;0,gaias_blessing_lumber)+ tech_1_3*TblTech[[#This Row],[1-3]] + tech_1_6*TblTech[[#This Row],[1-6]] + tech_3_3*TblTech[[#This Row],[3-3]]</f>
        <v>-0.1</v>
      </c>
      <c r="AK132" s="149" t="n">
        <f aca="false">race_mana_bonus+ 0 + TblImps[[#This Row],[Towers]] + tech_1_2*TblTech[[#This Row],[1-2]] + tech_3_4*TblTech[[#This Row],[3-4]]</f>
        <v>0</v>
      </c>
      <c r="AL132" s="149" t="n">
        <f aca="false">race_ore_bonus + IF(TblMagic[[#This Row],[Active Miner''s Sight]]&gt;0,miners_sight_bonus,IF(TblMagic[[#This Row],[Active Mining Strength]]&gt;0,mining_strength_bonus)) +  tech_1_6*TblTech[[#This Row],[1-6]]</f>
        <v>0</v>
      </c>
      <c r="AM132" s="149" t="n">
        <f aca="false">race_gem_bonus+ tech_3_2*TblTech[[#This Row],[3-2]] + tech_4_3*TblTech[[#This Row],[4-3]] + tech_6_2*TblTech[[#This Row],[6-2]]</f>
        <v>0.15</v>
      </c>
      <c r="AN132" s="132"/>
      <c r="AO132" s="69" t="n">
        <f aca="false">TblProd[[#This Row],[Food]]*food_decay * (1 + tech_2_1*TblTech[[#This Row],[2-1]] + tech_2_8*TblTech[[#This Row],[2-8]])</f>
        <v>72.33</v>
      </c>
      <c r="AP132" s="69" t="n">
        <f aca="false">(1+race_food_consumption)*TblPop[[#This Row],[Total]]*food_per_person*(1+tech_1_10*TblTech[[#This Row],[1-10]]+tech_7_5*TblTech[[#This Row],[7-5]])</f>
        <v>3234.75</v>
      </c>
      <c r="AQ132" s="69" t="n">
        <f aca="false">TblProd[[#This Row],[Lumber]]*lumber_rot * (1 + tech_2_1*TblTech[[#This Row],[2-1]] + tech_2_8*TblTech[[#This Row],[2-8]] + tech_5_2*TblTech[[#This Row],[5-2]])</f>
        <v>564.23</v>
      </c>
      <c r="AR132" s="69" t="n">
        <f aca="false">TblProd[[#This Row],[Mana]]*mana_drain * (1 + tech_2_1*TblTech[[#This Row],[2-1]] + tech_2_8*TblTech[[#This Row],[2-8]])</f>
        <v>374.23</v>
      </c>
      <c r="AS132" s="146"/>
      <c r="AT132" s="69" t="n">
        <f aca="false">TblExplore[[#This Row],[Platinum (2)]]+TblConstr[[#This Row],[Total Plat Cost]]+TblMili[[#This Row],[Plat Cost]]+TblRezone[[#This Row],[Platinum cost]]+TblImps[[#This Row],[P1]]-TblProd[[#This Row],[Bank Plat]]</f>
        <v>0</v>
      </c>
      <c r="AU132" s="69" t="n">
        <f aca="false">TblConstr[[#This Row],[Total Lum Cost]]+TblImps[[#This Row],[L1]]-TblProd[[#This Row],[Bank Lumber]] + Military!$CL$25*TblMili[[#This Row],[Sec. rec. Cost]]</f>
        <v>0</v>
      </c>
      <c r="AV132" s="69" t="n">
        <f aca="false">TblMagic[[#This Row],[Mana cost]] + Military!$CL$26*TblMili[[#This Row],[Sec. rec. Cost]]</f>
        <v>0</v>
      </c>
      <c r="AW132" s="69" t="n">
        <f aca="false">Military!$CL$24*TblMili[[#This Row],[Sec. rec. Cost]]+TblImps[[#This Row],[O1]]-TblProd[[#This Row],[Bank Ore]]</f>
        <v>0</v>
      </c>
      <c r="AX132" s="69" t="n">
        <f aca="false">TblImps[[#This Row],[G1]]-TblProd[[#This Row],[Bank Gems]]</f>
        <v>0</v>
      </c>
      <c r="AY132" s="132"/>
      <c r="AZ132" s="33" t="n">
        <f aca="false">IF(TblProd[[#This Row],[Set Guard]]&lt;&gt;"",TblProd[[#This Row],[Set Guard]],OFFSET(TblProd[[#This Row],[Guard]],-1,0))</f>
        <v>0</v>
      </c>
      <c r="BA132" s="145"/>
      <c r="BB132" s="151" t="n">
        <f aca="false">TblProd[[#This Row],[Hour]]</f>
        <v>57</v>
      </c>
      <c r="BC132" s="152" t="n">
        <f aca="false">-TblProd[[#This Row],[Bank Lumber]] / 2 + -TblProd[[#This Row],[Bank Gems]] * 2 + -TblProd[[#This Row],[Bank Ore]] / 2</f>
        <v>0</v>
      </c>
      <c r="BD132" s="152"/>
      <c r="BE132" s="152"/>
      <c r="BF132" s="152"/>
      <c r="BG132" s="153" t="n">
        <f aca="false">TblProd[[#This Row],[Time]]</f>
        <v>45435.0833333333</v>
      </c>
      <c r="BH13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69" t="n">
        <f aca="false">TblProd[[#This Row],[Platinum]]</f>
        <v>2091219</v>
      </c>
      <c r="BJ132" s="69" t="n">
        <f aca="false">TblProd[[#This Row],[Food]]</f>
        <v>7233</v>
      </c>
      <c r="BK132" s="69" t="n">
        <f aca="false">TblProd[[#This Row],[Lumber]]</f>
        <v>56423</v>
      </c>
      <c r="BL132" s="69" t="n">
        <f aca="false">TblProd[[#This Row],[Mana]]</f>
        <v>18711.5</v>
      </c>
      <c r="BM132" s="69" t="n">
        <f aca="false">TblProd[[#This Row],[Ore]]</f>
        <v>0</v>
      </c>
    </row>
    <row r="133" customFormat="false" ht="12.75" hidden="false" customHeight="false" outlineLevel="0" collapsed="false">
      <c r="A133" s="128" t="n">
        <v>58</v>
      </c>
      <c r="B133" s="144" t="n">
        <f aca="false">TblImps[[#This Row],[Time]]</f>
        <v>45435.125</v>
      </c>
      <c r="C133" s="145"/>
      <c r="D133" s="146"/>
      <c r="E133" s="69" t="n">
        <f aca="false">TblConstr[[#This Row],[Land]]</f>
        <v>700</v>
      </c>
      <c r="F133" s="69" t="n">
        <f aca="false">TblPop[[#This Row],[Peasants]]</f>
        <v>5647</v>
      </c>
      <c r="G133" s="69" t="e">
        <f aca="false">TblMili[[#This Row],[Networth (2)]]</f>
        <v>#VALUE!</v>
      </c>
      <c r="H133" s="69" t="n">
        <f aca="false">OFFSET(TblProd[[#This Row],[Platinum]],-1,0)+OFFSET(TblProd[[#This Row],[Plat/hr]],-1,0) - TblProd[[#This Row],[Expenses Platinum]] + IF(TblProd[[#This Row],[Plat Bonus]],TblPop[[#This Row],[Peasants]]*4) + SUM(TblConstr[[#This Row],[Dest Hom]:[Dest Doc]])*TblConstr[[#This Row],[CPA Platinum -DB]]*tech_3_3_2*TblTech[[#This Row],[3-3]]</f>
        <v>2118994</v>
      </c>
      <c r="I133" s="69" t="n">
        <f aca="false">OFFSET(TblProd[[#This Row],[Food]],-1,0)+OFFSET(TblProd[[#This Row],[Food/hr]],-1,0)+ROUNDUP((TblConstr[[#This Row],[Farms]]*80+TblConstr[[#This Row],[Docks]]*35)*(1+OFFSET(TblProd[[#This Row],[Bonus Food/hr]],-1,0)),0)</f>
        <v>7288</v>
      </c>
      <c r="J133" s="69" t="n">
        <f aca="false">OFFSET(TblProd[[#This Row],[Lumber]],-1,0)+OFFSET(TblProd[[#This Row],[Lumber/hr]],-1,0) - TblProd[[#This Row],[Expenses Lumber]] + SUM(TblConstr[[#This Row],[Dest Hom]:[Dest Doc]])*TblConstr[[#This Row],[CPA Lumber -DB]]*tech_3_3_2*TblTech[[#This Row],[3-3]]</f>
        <v>56984</v>
      </c>
      <c r="K133" s="69" t="n">
        <f aca="false">OFFSET(TblProd[[#This Row],[Mana]],-1,0)+OFFSET(TblProd[[#This Row],[Mana/hr]],-1,0)- TblProd[[#This Row],[Expenses Mana]]</f>
        <v>19062.5</v>
      </c>
      <c r="L133" s="69" t="n">
        <f aca="false">OFFSET(TblProd[[#This Row],[Ore]],-1,0)+OFFSET(TblProd[[#This Row],[Ore/hr]],-1,0) -TblProd[[#This Row],[Expenses Ore]]</f>
        <v>0</v>
      </c>
      <c r="M133" s="69" t="n">
        <f aca="false">OFFSET(TblProd[[#This Row],[Gems]],-1,0)+OFFSET(TblProd[[#This Row],[Gems/hr]],-1,0) - TblProd[[#This Row],[Expenses Gems]]</f>
        <v>0</v>
      </c>
      <c r="N133" s="69" t="n">
        <f aca="false">OFFSET(TblProd[[#This Row],[Boats]],-1,0)+OFFSET(TblProd[[#This Row],[Boats/hr]],-1,0)</f>
        <v>96.6500000000001</v>
      </c>
      <c r="O133" s="69" t="n">
        <f aca="false">OFFSET(TblProd[[#This Row],[Prestige]],-1,0)</f>
        <v>250</v>
      </c>
      <c r="P13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3" s="69" t="n">
        <f aca="false">MAX(3750,_xlfn.CEILING.MATH(TblProd[[#This Row],[Land]]*2.5+OFFSET(TblTech[[#This Row],[Sum of tech]],-1,0)*150))</f>
        <v>3750</v>
      </c>
      <c r="R133" s="132"/>
      <c r="S133" s="69" t="n">
        <f aca="false">ROUNDDOWN(TblProd[[#This Row],[Raw Plat/hr]]*(1+TblProd[[#This Row],[Bonus Plat/hr]]),0)</f>
        <v>27621</v>
      </c>
      <c r="T133" s="69" t="n">
        <f aca="false">ROUND(TblProd[[#This Row],[Raw Food/hr]]*(1+TblProd[[#This Row],[Bonus Food/hr]])-TblProd[[#This Row],[Food decay]]-TblProd[[#This Row],[Food eaten]],0)</f>
        <v>54</v>
      </c>
      <c r="U133" s="69" t="n">
        <f aca="false">ROUND(TblProd[[#This Row],[Raw Lumber/hr]]*(1+TblProd[[#This Row],[Bonus Lumber/hr]])-TblProd[[#This Row],[Lumber rot]],0)</f>
        <v>555</v>
      </c>
      <c r="V133" s="69" t="n">
        <f aca="false">ROUND(TblProd[[#This Row],[Raw Mana/hr]]*(1+TblProd[[#This Row],[Bonus Mana/hr]])-TblProd[[#This Row],[Mana drain]],0)</f>
        <v>344</v>
      </c>
      <c r="W133" s="69" t="n">
        <f aca="false">ROUNDDOWN(TblProd[[#This Row],[Raw Ore/hr]]*(1+TblProd[[#This Row],[Bonux Ore/hr]]),0)</f>
        <v>0</v>
      </c>
      <c r="X133" s="69" t="n">
        <f aca="false">ROUNDDOWN(TblProd[[#This Row],[Raw Gems/hr]]*(1+TblProd[[#This Row],[Bonus Gems/hr]]),0)</f>
        <v>0</v>
      </c>
      <c r="Y133" s="148" t="n">
        <f aca="false">OFFSET(TblConstr[[#This Row],[Tot Doc]],1,0)*dock_boats_hr * (1 + tech_4_1*TblTech[[#This Row],[4-1]])</f>
        <v>1.2</v>
      </c>
      <c r="Z133" s="146"/>
      <c r="AA133" s="69" t="n">
        <f aca="false">TblPop[[#This Row],[Peasants]]*tax*TblPop[[#This Row],[Employment]] + (Construction!AZ134+Construction!BX134)*(alch_plat+(Magic!AM133&gt;0)*alchemist_flame_bonus)</f>
        <v>27621.9</v>
      </c>
      <c r="AB133" s="69" t="n">
        <f aca="false">TblConstr[[#This Row],[Tot Farm]]*farm_food + TblConstr[[#This Row],[Tot Doc]]*dock_food</f>
        <v>3280</v>
      </c>
      <c r="AC133" s="69" t="n">
        <f aca="false">TblConstr[[#This Row],[Tot Ly]]*ly_lumber + TblConstr[[#This Row],[Tot Hav]]*fh_lumber</f>
        <v>1250</v>
      </c>
      <c r="AD133" s="69" t="n">
        <f aca="false">OFFSET(TblConstr[[#This Row],[Tot Tow]],1,0)*(tower_mana + tech_4_5*TblTech[[#This Row],[4-5]]) + OFFSET(TblConstr[[#This Row],[Tot WG]],1,0)*wg_mana_prod</f>
        <v>725</v>
      </c>
      <c r="AE133" s="69" t="n">
        <f aca="false">OFFSET(TblConstr[[#This Row],[Tot OM]],1,0)*om_ore+IF(race="Dwarf",ROUNDDOWN(TblMili[[#This Row],[Unit 2]]*0.4,0),)</f>
        <v>0</v>
      </c>
      <c r="AF133" s="69" t="n">
        <f aca="false">OFFSET(TblConstr[[#This Row],[Tot DM]],1,0)*dm_gems</f>
        <v>0</v>
      </c>
      <c r="AG133" s="132"/>
      <c r="AH133" s="149" t="n">
        <f aca="false">MIN(race_platinum_bonus + IF(TblMagic[[#This Row],[Active Alch Frost]]&gt;0,alch_frost_bonus,IF(Magic!AD133&gt;0,midas_bonus)) + TblImps[[#This Row],[Science]] - TblProd[[#This Row],[Guard]]*(0.02 + tech_5_7*TblTech[[#This Row],[5-7]]) + tech_1_5*TblTech[[#This Row],[1-5]] + tech_4_4*TblTech[[#This Row],[4-4]], 0.5)</f>
        <v>0</v>
      </c>
      <c r="AI13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3" s="149" t="n">
        <f aca="false">race_lumber_bonus+ IF(TblMagic[[#This Row],[Active Gaia''s Blessing]]&gt;0,gaias_blessing_lumber)+ tech_1_3*TblTech[[#This Row],[1-3]] + tech_1_6*TblTech[[#This Row],[1-6]] + tech_3_3*TblTech[[#This Row],[3-3]]</f>
        <v>-0.1</v>
      </c>
      <c r="AK133" s="149" t="n">
        <f aca="false">race_mana_bonus+ 0 + TblImps[[#This Row],[Towers]] + tech_1_2*TblTech[[#This Row],[1-2]] + tech_3_4*TblTech[[#This Row],[3-4]]</f>
        <v>0</v>
      </c>
      <c r="AL133" s="149" t="n">
        <f aca="false">race_ore_bonus + IF(TblMagic[[#This Row],[Active Miner''s Sight]]&gt;0,miners_sight_bonus,IF(TblMagic[[#This Row],[Active Mining Strength]]&gt;0,mining_strength_bonus)) +  tech_1_6*TblTech[[#This Row],[1-6]]</f>
        <v>0</v>
      </c>
      <c r="AM133" s="149" t="n">
        <f aca="false">race_gem_bonus+ tech_3_2*TblTech[[#This Row],[3-2]] + tech_4_3*TblTech[[#This Row],[4-3]] + tech_6_2*TblTech[[#This Row],[6-2]]</f>
        <v>0.15</v>
      </c>
      <c r="AN133" s="132"/>
      <c r="AO133" s="69" t="n">
        <f aca="false">TblProd[[#This Row],[Food]]*food_decay * (1 + tech_2_1*TblTech[[#This Row],[2-1]] + tech_2_8*TblTech[[#This Row],[2-8]])</f>
        <v>72.88</v>
      </c>
      <c r="AP133" s="69" t="n">
        <f aca="false">(1+race_food_consumption)*TblPop[[#This Row],[Total]]*food_per_person*(1+tech_1_10*TblTech[[#This Row],[1-10]]+tech_7_5*TblTech[[#This Row],[7-5]])</f>
        <v>3234.75</v>
      </c>
      <c r="AQ133" s="69" t="n">
        <f aca="false">TblProd[[#This Row],[Lumber]]*lumber_rot * (1 + tech_2_1*TblTech[[#This Row],[2-1]] + tech_2_8*TblTech[[#This Row],[2-8]] + tech_5_2*TblTech[[#This Row],[5-2]])</f>
        <v>569.84</v>
      </c>
      <c r="AR133" s="69" t="n">
        <f aca="false">TblProd[[#This Row],[Mana]]*mana_drain * (1 + tech_2_1*TblTech[[#This Row],[2-1]] + tech_2_8*TblTech[[#This Row],[2-8]])</f>
        <v>381.25</v>
      </c>
      <c r="AS133" s="146"/>
      <c r="AT133" s="69" t="n">
        <f aca="false">TblExplore[[#This Row],[Platinum (2)]]+TblConstr[[#This Row],[Total Plat Cost]]+TblMili[[#This Row],[Plat Cost]]+TblRezone[[#This Row],[Platinum cost]]+TblImps[[#This Row],[P1]]-TblProd[[#This Row],[Bank Plat]]</f>
        <v>0</v>
      </c>
      <c r="AU133" s="69" t="n">
        <f aca="false">TblConstr[[#This Row],[Total Lum Cost]]+TblImps[[#This Row],[L1]]-TblProd[[#This Row],[Bank Lumber]] + Military!$CL$25*TblMili[[#This Row],[Sec. rec. Cost]]</f>
        <v>0</v>
      </c>
      <c r="AV133" s="69" t="n">
        <f aca="false">TblMagic[[#This Row],[Mana cost]] + Military!$CL$26*TblMili[[#This Row],[Sec. rec. Cost]]</f>
        <v>0</v>
      </c>
      <c r="AW133" s="69" t="n">
        <f aca="false">Military!$CL$24*TblMili[[#This Row],[Sec. rec. Cost]]+TblImps[[#This Row],[O1]]-TblProd[[#This Row],[Bank Ore]]</f>
        <v>0</v>
      </c>
      <c r="AX133" s="69" t="n">
        <f aca="false">TblImps[[#This Row],[G1]]-TblProd[[#This Row],[Bank Gems]]</f>
        <v>0</v>
      </c>
      <c r="AY133" s="132"/>
      <c r="AZ133" s="33" t="n">
        <f aca="false">IF(TblProd[[#This Row],[Set Guard]]&lt;&gt;"",TblProd[[#This Row],[Set Guard]],OFFSET(TblProd[[#This Row],[Guard]],-1,0))</f>
        <v>0</v>
      </c>
      <c r="BA133" s="145"/>
      <c r="BB133" s="151" t="n">
        <f aca="false">TblProd[[#This Row],[Hour]]</f>
        <v>58</v>
      </c>
      <c r="BC133" s="152" t="n">
        <f aca="false">-TblProd[[#This Row],[Bank Lumber]] / 2 + -TblProd[[#This Row],[Bank Gems]] * 2 + -TblProd[[#This Row],[Bank Ore]] / 2</f>
        <v>0</v>
      </c>
      <c r="BD133" s="152"/>
      <c r="BE133" s="152"/>
      <c r="BF133" s="152"/>
      <c r="BG133" s="153" t="n">
        <f aca="false">TblProd[[#This Row],[Time]]</f>
        <v>45435.125</v>
      </c>
      <c r="BH13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69" t="n">
        <f aca="false">TblProd[[#This Row],[Platinum]]</f>
        <v>2118994</v>
      </c>
      <c r="BJ133" s="69" t="n">
        <f aca="false">TblProd[[#This Row],[Food]]</f>
        <v>7288</v>
      </c>
      <c r="BK133" s="69" t="n">
        <f aca="false">TblProd[[#This Row],[Lumber]]</f>
        <v>56984</v>
      </c>
      <c r="BL133" s="69" t="n">
        <f aca="false">TblProd[[#This Row],[Mana]]</f>
        <v>19062.5</v>
      </c>
      <c r="BM133" s="69" t="n">
        <f aca="false">TblProd[[#This Row],[Ore]]</f>
        <v>0</v>
      </c>
    </row>
    <row r="134" customFormat="false" ht="12.75" hidden="false" customHeight="false" outlineLevel="0" collapsed="false">
      <c r="A134" s="128" t="n">
        <v>59</v>
      </c>
      <c r="B134" s="144" t="n">
        <f aca="false">TblImps[[#This Row],[Time]]</f>
        <v>45435.1666666667</v>
      </c>
      <c r="C134" s="145"/>
      <c r="D134" s="146"/>
      <c r="E134" s="69" t="n">
        <f aca="false">TblConstr[[#This Row],[Land]]</f>
        <v>700</v>
      </c>
      <c r="F134" s="69" t="n">
        <f aca="false">TblPop[[#This Row],[Peasants]]</f>
        <v>5591</v>
      </c>
      <c r="G134" s="69" t="e">
        <f aca="false">TblMili[[#This Row],[Networth (2)]]</f>
        <v>#VALUE!</v>
      </c>
      <c r="H134" s="69" t="n">
        <f aca="false">OFFSET(TblProd[[#This Row],[Platinum]],-1,0)+OFFSET(TblProd[[#This Row],[Plat/hr]],-1,0) - TblProd[[#This Row],[Expenses Platinum]] + IF(TblProd[[#This Row],[Plat Bonus]],TblPop[[#This Row],[Peasants]]*4) + SUM(TblConstr[[#This Row],[Dest Hom]:[Dest Doc]])*TblConstr[[#This Row],[CPA Platinum -DB]]*tech_3_3_2*TblTech[[#This Row],[3-3]]</f>
        <v>2146615</v>
      </c>
      <c r="I134" s="69" t="n">
        <f aca="false">OFFSET(TblProd[[#This Row],[Food]],-1,0)+OFFSET(TblProd[[#This Row],[Food/hr]],-1,0)+ROUNDUP((TblConstr[[#This Row],[Farms]]*80+TblConstr[[#This Row],[Docks]]*35)*(1+OFFSET(TblProd[[#This Row],[Bonus Food/hr]],-1,0)),0)</f>
        <v>7342</v>
      </c>
      <c r="J134" s="69" t="n">
        <f aca="false">OFFSET(TblProd[[#This Row],[Lumber]],-1,0)+OFFSET(TblProd[[#This Row],[Lumber/hr]],-1,0) - TblProd[[#This Row],[Expenses Lumber]] + SUM(TblConstr[[#This Row],[Dest Hom]:[Dest Doc]])*TblConstr[[#This Row],[CPA Lumber -DB]]*tech_3_3_2*TblTech[[#This Row],[3-3]]</f>
        <v>57539</v>
      </c>
      <c r="K134" s="69" t="n">
        <f aca="false">OFFSET(TblProd[[#This Row],[Mana]],-1,0)+OFFSET(TblProd[[#This Row],[Mana/hr]],-1,0)- TblProd[[#This Row],[Expenses Mana]]</f>
        <v>19406.5</v>
      </c>
      <c r="L134" s="69" t="n">
        <f aca="false">OFFSET(TblProd[[#This Row],[Ore]],-1,0)+OFFSET(TblProd[[#This Row],[Ore/hr]],-1,0) -TblProd[[#This Row],[Expenses Ore]]</f>
        <v>0</v>
      </c>
      <c r="M134" s="69" t="n">
        <f aca="false">OFFSET(TblProd[[#This Row],[Gems]],-1,0)+OFFSET(TblProd[[#This Row],[Gems/hr]],-1,0) - TblProd[[#This Row],[Expenses Gems]]</f>
        <v>0</v>
      </c>
      <c r="N134" s="69" t="n">
        <f aca="false">OFFSET(TblProd[[#This Row],[Boats]],-1,0)+OFFSET(TblProd[[#This Row],[Boats/hr]],-1,0)</f>
        <v>97.8500000000001</v>
      </c>
      <c r="O134" s="69" t="n">
        <f aca="false">OFFSET(TblProd[[#This Row],[Prestige]],-1,0)</f>
        <v>250</v>
      </c>
      <c r="P13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4" s="69" t="n">
        <f aca="false">MAX(3750,_xlfn.CEILING.MATH(TblProd[[#This Row],[Land]]*2.5+OFFSET(TblTech[[#This Row],[Sum of tech]],-1,0)*150))</f>
        <v>3750</v>
      </c>
      <c r="R134" s="132"/>
      <c r="S134" s="69" t="n">
        <f aca="false">ROUNDDOWN(TblProd[[#This Row],[Raw Plat/hr]]*(1+TblProd[[#This Row],[Bonus Plat/hr]]),0)</f>
        <v>27470</v>
      </c>
      <c r="T134" s="69" t="n">
        <f aca="false">ROUND(TblProd[[#This Row],[Raw Food/hr]]*(1+TblProd[[#This Row],[Bonus Food/hr]])-TblProd[[#This Row],[Food decay]]-TblProd[[#This Row],[Food eaten]],0)</f>
        <v>54</v>
      </c>
      <c r="U134" s="69" t="n">
        <f aca="false">ROUND(TblProd[[#This Row],[Raw Lumber/hr]]*(1+TblProd[[#This Row],[Bonus Lumber/hr]])-TblProd[[#This Row],[Lumber rot]],0)</f>
        <v>550</v>
      </c>
      <c r="V134" s="69" t="n">
        <f aca="false">ROUND(TblProd[[#This Row],[Raw Mana/hr]]*(1+TblProd[[#This Row],[Bonus Mana/hr]])-TblProd[[#This Row],[Mana drain]],0)</f>
        <v>337</v>
      </c>
      <c r="W134" s="69" t="n">
        <f aca="false">ROUNDDOWN(TblProd[[#This Row],[Raw Ore/hr]]*(1+TblProd[[#This Row],[Bonux Ore/hr]]),0)</f>
        <v>0</v>
      </c>
      <c r="X134" s="69" t="n">
        <f aca="false">ROUNDDOWN(TblProd[[#This Row],[Raw Gems/hr]]*(1+TblProd[[#This Row],[Bonus Gems/hr]]),0)</f>
        <v>0</v>
      </c>
      <c r="Y134" s="148" t="n">
        <f aca="false">OFFSET(TblConstr[[#This Row],[Tot Doc]],1,0)*dock_boats_hr * (1 + tech_4_1*TblTech[[#This Row],[4-1]])</f>
        <v>1.2</v>
      </c>
      <c r="Z134" s="146"/>
      <c r="AA134" s="69" t="n">
        <f aca="false">TblPop[[#This Row],[Peasants]]*tax*TblPop[[#This Row],[Employment]] + (Construction!AZ135+Construction!BX135)*(alch_plat+(Magic!AM134&gt;0)*alchemist_flame_bonus)</f>
        <v>27470.7</v>
      </c>
      <c r="AB134" s="69" t="n">
        <f aca="false">TblConstr[[#This Row],[Tot Farm]]*farm_food + TblConstr[[#This Row],[Tot Doc]]*dock_food</f>
        <v>3280</v>
      </c>
      <c r="AC134" s="69" t="n">
        <f aca="false">TblConstr[[#This Row],[Tot Ly]]*ly_lumber + TblConstr[[#This Row],[Tot Hav]]*fh_lumber</f>
        <v>1250</v>
      </c>
      <c r="AD134" s="69" t="n">
        <f aca="false">OFFSET(TblConstr[[#This Row],[Tot Tow]],1,0)*(tower_mana + tech_4_5*TblTech[[#This Row],[4-5]]) + OFFSET(TblConstr[[#This Row],[Tot WG]],1,0)*wg_mana_prod</f>
        <v>725</v>
      </c>
      <c r="AE134" s="69" t="n">
        <f aca="false">OFFSET(TblConstr[[#This Row],[Tot OM]],1,0)*om_ore+IF(race="Dwarf",ROUNDDOWN(TblMili[[#This Row],[Unit 2]]*0.4,0),)</f>
        <v>0</v>
      </c>
      <c r="AF134" s="69" t="n">
        <f aca="false">OFFSET(TblConstr[[#This Row],[Tot DM]],1,0)*dm_gems</f>
        <v>0</v>
      </c>
      <c r="AG134" s="132"/>
      <c r="AH134" s="149" t="n">
        <f aca="false">MIN(race_platinum_bonus + IF(TblMagic[[#This Row],[Active Alch Frost]]&gt;0,alch_frost_bonus,IF(Magic!AD134&gt;0,midas_bonus)) + TblImps[[#This Row],[Science]] - TblProd[[#This Row],[Guard]]*(0.02 + tech_5_7*TblTech[[#This Row],[5-7]]) + tech_1_5*TblTech[[#This Row],[1-5]] + tech_4_4*TblTech[[#This Row],[4-4]], 0.5)</f>
        <v>0</v>
      </c>
      <c r="AI13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4" s="149" t="n">
        <f aca="false">race_lumber_bonus+ IF(TblMagic[[#This Row],[Active Gaia''s Blessing]]&gt;0,gaias_blessing_lumber)+ tech_1_3*TblTech[[#This Row],[1-3]] + tech_1_6*TblTech[[#This Row],[1-6]] + tech_3_3*TblTech[[#This Row],[3-3]]</f>
        <v>-0.1</v>
      </c>
      <c r="AK134" s="149" t="n">
        <f aca="false">race_mana_bonus+ 0 + TblImps[[#This Row],[Towers]] + tech_1_2*TblTech[[#This Row],[1-2]] + tech_3_4*TblTech[[#This Row],[3-4]]</f>
        <v>0</v>
      </c>
      <c r="AL134" s="149" t="n">
        <f aca="false">race_ore_bonus + IF(TblMagic[[#This Row],[Active Miner''s Sight]]&gt;0,miners_sight_bonus,IF(TblMagic[[#This Row],[Active Mining Strength]]&gt;0,mining_strength_bonus)) +  tech_1_6*TblTech[[#This Row],[1-6]]</f>
        <v>0</v>
      </c>
      <c r="AM134" s="149" t="n">
        <f aca="false">race_gem_bonus+ tech_3_2*TblTech[[#This Row],[3-2]] + tech_4_3*TblTech[[#This Row],[4-3]] + tech_6_2*TblTech[[#This Row],[6-2]]</f>
        <v>0.15</v>
      </c>
      <c r="AN134" s="132"/>
      <c r="AO134" s="69" t="n">
        <f aca="false">TblProd[[#This Row],[Food]]*food_decay * (1 + tech_2_1*TblTech[[#This Row],[2-1]] + tech_2_8*TblTech[[#This Row],[2-8]])</f>
        <v>73.42</v>
      </c>
      <c r="AP134" s="69" t="n">
        <f aca="false">(1+race_food_consumption)*TblPop[[#This Row],[Total]]*food_per_person*(1+tech_1_10*TblTech[[#This Row],[1-10]]+tech_7_5*TblTech[[#This Row],[7-5]])</f>
        <v>3234.75</v>
      </c>
      <c r="AQ134" s="69" t="n">
        <f aca="false">TblProd[[#This Row],[Lumber]]*lumber_rot * (1 + tech_2_1*TblTech[[#This Row],[2-1]] + tech_2_8*TblTech[[#This Row],[2-8]] + tech_5_2*TblTech[[#This Row],[5-2]])</f>
        <v>575.39</v>
      </c>
      <c r="AR134" s="69" t="n">
        <f aca="false">TblProd[[#This Row],[Mana]]*mana_drain * (1 + tech_2_1*TblTech[[#This Row],[2-1]] + tech_2_8*TblTech[[#This Row],[2-8]])</f>
        <v>388.13</v>
      </c>
      <c r="AS134" s="146"/>
      <c r="AT134" s="69" t="n">
        <f aca="false">TblExplore[[#This Row],[Platinum (2)]]+TblConstr[[#This Row],[Total Plat Cost]]+TblMili[[#This Row],[Plat Cost]]+TblRezone[[#This Row],[Platinum cost]]+TblImps[[#This Row],[P1]]-TblProd[[#This Row],[Bank Plat]]</f>
        <v>0</v>
      </c>
      <c r="AU134" s="69" t="n">
        <f aca="false">TblConstr[[#This Row],[Total Lum Cost]]+TblImps[[#This Row],[L1]]-TblProd[[#This Row],[Bank Lumber]] + Military!$CL$25*TblMili[[#This Row],[Sec. rec. Cost]]</f>
        <v>0</v>
      </c>
      <c r="AV134" s="69" t="n">
        <f aca="false">TblMagic[[#This Row],[Mana cost]] + Military!$CL$26*TblMili[[#This Row],[Sec. rec. Cost]]</f>
        <v>0</v>
      </c>
      <c r="AW134" s="69" t="n">
        <f aca="false">Military!$CL$24*TblMili[[#This Row],[Sec. rec. Cost]]+TblImps[[#This Row],[O1]]-TblProd[[#This Row],[Bank Ore]]</f>
        <v>0</v>
      </c>
      <c r="AX134" s="69" t="n">
        <f aca="false">TblImps[[#This Row],[G1]]-TblProd[[#This Row],[Bank Gems]]</f>
        <v>0</v>
      </c>
      <c r="AY134" s="132"/>
      <c r="AZ134" s="33" t="n">
        <f aca="false">IF(TblProd[[#This Row],[Set Guard]]&lt;&gt;"",TblProd[[#This Row],[Set Guard]],OFFSET(TblProd[[#This Row],[Guard]],-1,0))</f>
        <v>0</v>
      </c>
      <c r="BA134" s="145"/>
      <c r="BB134" s="151" t="n">
        <f aca="false">TblProd[[#This Row],[Hour]]</f>
        <v>59</v>
      </c>
      <c r="BC134" s="152" t="n">
        <f aca="false">-TblProd[[#This Row],[Bank Lumber]] / 2 + -TblProd[[#This Row],[Bank Gems]] * 2 + -TblProd[[#This Row],[Bank Ore]] / 2</f>
        <v>0</v>
      </c>
      <c r="BD134" s="152"/>
      <c r="BE134" s="152"/>
      <c r="BF134" s="152"/>
      <c r="BG134" s="153" t="n">
        <f aca="false">TblProd[[#This Row],[Time]]</f>
        <v>45435.1666666667</v>
      </c>
      <c r="BH13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69" t="n">
        <f aca="false">TblProd[[#This Row],[Platinum]]</f>
        <v>2146615</v>
      </c>
      <c r="BJ134" s="69" t="n">
        <f aca="false">TblProd[[#This Row],[Food]]</f>
        <v>7342</v>
      </c>
      <c r="BK134" s="69" t="n">
        <f aca="false">TblProd[[#This Row],[Lumber]]</f>
        <v>57539</v>
      </c>
      <c r="BL134" s="69" t="n">
        <f aca="false">TblProd[[#This Row],[Mana]]</f>
        <v>19406.5</v>
      </c>
      <c r="BM134" s="69" t="n">
        <f aca="false">TblProd[[#This Row],[Ore]]</f>
        <v>0</v>
      </c>
    </row>
    <row r="135" customFormat="false" ht="12.75" hidden="false" customHeight="false" outlineLevel="0" collapsed="false">
      <c r="A135" s="128" t="n">
        <v>60</v>
      </c>
      <c r="B135" s="144" t="n">
        <f aca="false">TblImps[[#This Row],[Time]]</f>
        <v>45435.2083333333</v>
      </c>
      <c r="C135" s="145"/>
      <c r="D135" s="146"/>
      <c r="E135" s="69" t="n">
        <f aca="false">TblConstr[[#This Row],[Land]]</f>
        <v>700</v>
      </c>
      <c r="F135" s="69" t="n">
        <f aca="false">TblPop[[#This Row],[Peasants]]</f>
        <v>5535</v>
      </c>
      <c r="G135" s="69" t="e">
        <f aca="false">TblMili[[#This Row],[Networth (2)]]</f>
        <v>#VALUE!</v>
      </c>
      <c r="H135" s="69" t="n">
        <f aca="false">OFFSET(TblProd[[#This Row],[Platinum]],-1,0)+OFFSET(TblProd[[#This Row],[Plat/hr]],-1,0) - TblProd[[#This Row],[Expenses Platinum]] + IF(TblProd[[#This Row],[Plat Bonus]],TblPop[[#This Row],[Peasants]]*4) + SUM(TblConstr[[#This Row],[Dest Hom]:[Dest Doc]])*TblConstr[[#This Row],[CPA Platinum -DB]]*tech_3_3_2*TblTech[[#This Row],[3-3]]</f>
        <v>2174085</v>
      </c>
      <c r="I135" s="69" t="n">
        <f aca="false">OFFSET(TblProd[[#This Row],[Food]],-1,0)+OFFSET(TblProd[[#This Row],[Food/hr]],-1,0)+ROUNDUP((TblConstr[[#This Row],[Farms]]*80+TblConstr[[#This Row],[Docks]]*35)*(1+OFFSET(TblProd[[#This Row],[Bonus Food/hr]],-1,0)),0)</f>
        <v>7396</v>
      </c>
      <c r="J135" s="69" t="n">
        <f aca="false">OFFSET(TblProd[[#This Row],[Lumber]],-1,0)+OFFSET(TblProd[[#This Row],[Lumber/hr]],-1,0) - TblProd[[#This Row],[Expenses Lumber]] + SUM(TblConstr[[#This Row],[Dest Hom]:[Dest Doc]])*TblConstr[[#This Row],[CPA Lumber -DB]]*tech_3_3_2*TblTech[[#This Row],[3-3]]</f>
        <v>58089</v>
      </c>
      <c r="K135" s="69" t="n">
        <f aca="false">OFFSET(TblProd[[#This Row],[Mana]],-1,0)+OFFSET(TblProd[[#This Row],[Mana/hr]],-1,0)- TblProd[[#This Row],[Expenses Mana]]</f>
        <v>19743.5</v>
      </c>
      <c r="L135" s="69" t="n">
        <f aca="false">OFFSET(TblProd[[#This Row],[Ore]],-1,0)+OFFSET(TblProd[[#This Row],[Ore/hr]],-1,0) -TblProd[[#This Row],[Expenses Ore]]</f>
        <v>0</v>
      </c>
      <c r="M135" s="69" t="n">
        <f aca="false">OFFSET(TblProd[[#This Row],[Gems]],-1,0)+OFFSET(TblProd[[#This Row],[Gems/hr]],-1,0) - TblProd[[#This Row],[Expenses Gems]]</f>
        <v>0</v>
      </c>
      <c r="N135" s="69" t="n">
        <f aca="false">OFFSET(TblProd[[#This Row],[Boats]],-1,0)+OFFSET(TblProd[[#This Row],[Boats/hr]],-1,0)</f>
        <v>99.0500000000001</v>
      </c>
      <c r="O135" s="69" t="n">
        <f aca="false">OFFSET(TblProd[[#This Row],[Prestige]],-1,0)</f>
        <v>250</v>
      </c>
      <c r="P13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5" s="69" t="n">
        <f aca="false">MAX(3750,_xlfn.CEILING.MATH(TblProd[[#This Row],[Land]]*2.5+OFFSET(TblTech[[#This Row],[Sum of tech]],-1,0)*150))</f>
        <v>3750</v>
      </c>
      <c r="R135" s="132"/>
      <c r="S135" s="69" t="n">
        <f aca="false">ROUNDDOWN(TblProd[[#This Row],[Raw Plat/hr]]*(1+TblProd[[#This Row],[Bonus Plat/hr]]),0)</f>
        <v>27319</v>
      </c>
      <c r="T135" s="69" t="n">
        <f aca="false">ROUND(TblProd[[#This Row],[Raw Food/hr]]*(1+TblProd[[#This Row],[Bonus Food/hr]])-TblProd[[#This Row],[Food decay]]-TblProd[[#This Row],[Food eaten]],0)</f>
        <v>53</v>
      </c>
      <c r="U135" s="69" t="n">
        <f aca="false">ROUND(TblProd[[#This Row],[Raw Lumber/hr]]*(1+TblProd[[#This Row],[Bonus Lumber/hr]])-TblProd[[#This Row],[Lumber rot]],0)</f>
        <v>544</v>
      </c>
      <c r="V135" s="69" t="n">
        <f aca="false">ROUND(TblProd[[#This Row],[Raw Mana/hr]]*(1+TblProd[[#This Row],[Bonus Mana/hr]])-TblProd[[#This Row],[Mana drain]],0)</f>
        <v>330</v>
      </c>
      <c r="W135" s="69" t="n">
        <f aca="false">ROUNDDOWN(TblProd[[#This Row],[Raw Ore/hr]]*(1+TblProd[[#This Row],[Bonux Ore/hr]]),0)</f>
        <v>0</v>
      </c>
      <c r="X135" s="69" t="n">
        <f aca="false">ROUNDDOWN(TblProd[[#This Row],[Raw Gems/hr]]*(1+TblProd[[#This Row],[Bonus Gems/hr]]),0)</f>
        <v>0</v>
      </c>
      <c r="Y135" s="148" t="n">
        <f aca="false">OFFSET(TblConstr[[#This Row],[Tot Doc]],1,0)*dock_boats_hr * (1 + tech_4_1*TblTech[[#This Row],[4-1]])</f>
        <v>1.2</v>
      </c>
      <c r="Z135" s="146"/>
      <c r="AA135" s="69" t="n">
        <f aca="false">TblPop[[#This Row],[Peasants]]*tax*TblPop[[#This Row],[Employment]] + (Construction!AZ136+Construction!BX136)*(alch_plat+(Magic!AM135&gt;0)*alchemist_flame_bonus)</f>
        <v>27319.5</v>
      </c>
      <c r="AB135" s="69" t="n">
        <f aca="false">TblConstr[[#This Row],[Tot Farm]]*farm_food + TblConstr[[#This Row],[Tot Doc]]*dock_food</f>
        <v>3280</v>
      </c>
      <c r="AC135" s="69" t="n">
        <f aca="false">TblConstr[[#This Row],[Tot Ly]]*ly_lumber + TblConstr[[#This Row],[Tot Hav]]*fh_lumber</f>
        <v>1250</v>
      </c>
      <c r="AD135" s="69" t="n">
        <f aca="false">OFFSET(TblConstr[[#This Row],[Tot Tow]],1,0)*(tower_mana + tech_4_5*TblTech[[#This Row],[4-5]]) + OFFSET(TblConstr[[#This Row],[Tot WG]],1,0)*wg_mana_prod</f>
        <v>725</v>
      </c>
      <c r="AE135" s="69" t="n">
        <f aca="false">OFFSET(TblConstr[[#This Row],[Tot OM]],1,0)*om_ore+IF(race="Dwarf",ROUNDDOWN(TblMili[[#This Row],[Unit 2]]*0.4,0),)</f>
        <v>0</v>
      </c>
      <c r="AF135" s="69" t="n">
        <f aca="false">OFFSET(TblConstr[[#This Row],[Tot DM]],1,0)*dm_gems</f>
        <v>0</v>
      </c>
      <c r="AG135" s="132"/>
      <c r="AH135" s="149" t="n">
        <f aca="false">MIN(race_platinum_bonus + IF(TblMagic[[#This Row],[Active Alch Frost]]&gt;0,alch_frost_bonus,IF(Magic!AD135&gt;0,midas_bonus)) + TblImps[[#This Row],[Science]] - TblProd[[#This Row],[Guard]]*(0.02 + tech_5_7*TblTech[[#This Row],[5-7]]) + tech_1_5*TblTech[[#This Row],[1-5]] + tech_4_4*TblTech[[#This Row],[4-4]], 0.5)</f>
        <v>0</v>
      </c>
      <c r="AI13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5" s="149" t="n">
        <f aca="false">race_lumber_bonus+ IF(TblMagic[[#This Row],[Active Gaia''s Blessing]]&gt;0,gaias_blessing_lumber)+ tech_1_3*TblTech[[#This Row],[1-3]] + tech_1_6*TblTech[[#This Row],[1-6]] + tech_3_3*TblTech[[#This Row],[3-3]]</f>
        <v>-0.1</v>
      </c>
      <c r="AK135" s="149" t="n">
        <f aca="false">race_mana_bonus+ 0 + TblImps[[#This Row],[Towers]] + tech_1_2*TblTech[[#This Row],[1-2]] + tech_3_4*TblTech[[#This Row],[3-4]]</f>
        <v>0</v>
      </c>
      <c r="AL135" s="149" t="n">
        <f aca="false">race_ore_bonus + IF(TblMagic[[#This Row],[Active Miner''s Sight]]&gt;0,miners_sight_bonus,IF(TblMagic[[#This Row],[Active Mining Strength]]&gt;0,mining_strength_bonus)) +  tech_1_6*TblTech[[#This Row],[1-6]]</f>
        <v>0</v>
      </c>
      <c r="AM135" s="149" t="n">
        <f aca="false">race_gem_bonus+ tech_3_2*TblTech[[#This Row],[3-2]] + tech_4_3*TblTech[[#This Row],[4-3]] + tech_6_2*TblTech[[#This Row],[6-2]]</f>
        <v>0.15</v>
      </c>
      <c r="AN135" s="132"/>
      <c r="AO135" s="69" t="n">
        <f aca="false">TblProd[[#This Row],[Food]]*food_decay * (1 + tech_2_1*TblTech[[#This Row],[2-1]] + tech_2_8*TblTech[[#This Row],[2-8]])</f>
        <v>73.96</v>
      </c>
      <c r="AP135" s="69" t="n">
        <f aca="false">(1+race_food_consumption)*TblPop[[#This Row],[Total]]*food_per_person*(1+tech_1_10*TblTech[[#This Row],[1-10]]+tech_7_5*TblTech[[#This Row],[7-5]])</f>
        <v>3234.75</v>
      </c>
      <c r="AQ135" s="69" t="n">
        <f aca="false">TblProd[[#This Row],[Lumber]]*lumber_rot * (1 + tech_2_1*TblTech[[#This Row],[2-1]] + tech_2_8*TblTech[[#This Row],[2-8]] + tech_5_2*TblTech[[#This Row],[5-2]])</f>
        <v>580.89</v>
      </c>
      <c r="AR135" s="69" t="n">
        <f aca="false">TblProd[[#This Row],[Mana]]*mana_drain * (1 + tech_2_1*TblTech[[#This Row],[2-1]] + tech_2_8*TblTech[[#This Row],[2-8]])</f>
        <v>394.87</v>
      </c>
      <c r="AS135" s="146"/>
      <c r="AT135" s="69" t="n">
        <f aca="false">TblExplore[[#This Row],[Platinum (2)]]+TblConstr[[#This Row],[Total Plat Cost]]+TblMili[[#This Row],[Plat Cost]]+TblRezone[[#This Row],[Platinum cost]]+TblImps[[#This Row],[P1]]-TblProd[[#This Row],[Bank Plat]]</f>
        <v>0</v>
      </c>
      <c r="AU135" s="69" t="n">
        <f aca="false">TblConstr[[#This Row],[Total Lum Cost]]+TblImps[[#This Row],[L1]]-TblProd[[#This Row],[Bank Lumber]] + Military!$CL$25*TblMili[[#This Row],[Sec. rec. Cost]]</f>
        <v>0</v>
      </c>
      <c r="AV135" s="69" t="n">
        <f aca="false">TblMagic[[#This Row],[Mana cost]] + Military!$CL$26*TblMili[[#This Row],[Sec. rec. Cost]]</f>
        <v>0</v>
      </c>
      <c r="AW135" s="69" t="n">
        <f aca="false">Military!$CL$24*TblMili[[#This Row],[Sec. rec. Cost]]+TblImps[[#This Row],[O1]]-TblProd[[#This Row],[Bank Ore]]</f>
        <v>0</v>
      </c>
      <c r="AX135" s="69" t="n">
        <f aca="false">TblImps[[#This Row],[G1]]-TblProd[[#This Row],[Bank Gems]]</f>
        <v>0</v>
      </c>
      <c r="AY135" s="132"/>
      <c r="AZ135" s="33" t="n">
        <f aca="false">IF(TblProd[[#This Row],[Set Guard]]&lt;&gt;"",TblProd[[#This Row],[Set Guard]],OFFSET(TblProd[[#This Row],[Guard]],-1,0))</f>
        <v>0</v>
      </c>
      <c r="BA135" s="145"/>
      <c r="BB135" s="151" t="n">
        <f aca="false">TblProd[[#This Row],[Hour]]</f>
        <v>60</v>
      </c>
      <c r="BC135" s="152" t="n">
        <f aca="false">-TblProd[[#This Row],[Bank Lumber]] / 2 + -TblProd[[#This Row],[Bank Gems]] * 2 + -TblProd[[#This Row],[Bank Ore]] / 2</f>
        <v>0</v>
      </c>
      <c r="BD135" s="152"/>
      <c r="BE135" s="152"/>
      <c r="BF135" s="152"/>
      <c r="BG135" s="153" t="n">
        <f aca="false">TblProd[[#This Row],[Time]]</f>
        <v>45435.2083333333</v>
      </c>
      <c r="BH13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69" t="n">
        <f aca="false">TblProd[[#This Row],[Platinum]]</f>
        <v>2174085</v>
      </c>
      <c r="BJ135" s="69" t="n">
        <f aca="false">TblProd[[#This Row],[Food]]</f>
        <v>7396</v>
      </c>
      <c r="BK135" s="69" t="n">
        <f aca="false">TblProd[[#This Row],[Lumber]]</f>
        <v>58089</v>
      </c>
      <c r="BL135" s="69" t="n">
        <f aca="false">TblProd[[#This Row],[Mana]]</f>
        <v>19743.5</v>
      </c>
      <c r="BM135" s="69" t="n">
        <f aca="false">TblProd[[#This Row],[Ore]]</f>
        <v>0</v>
      </c>
    </row>
    <row r="136" customFormat="false" ht="12.75" hidden="false" customHeight="false" outlineLevel="0" collapsed="false">
      <c r="A136" s="128" t="n">
        <v>61</v>
      </c>
      <c r="B136" s="144" t="n">
        <f aca="false">TblImps[[#This Row],[Time]]</f>
        <v>45435.25</v>
      </c>
      <c r="C136" s="145"/>
      <c r="D136" s="146"/>
      <c r="E136" s="69" t="n">
        <f aca="false">TblConstr[[#This Row],[Land]]</f>
        <v>700</v>
      </c>
      <c r="F136" s="69" t="n">
        <f aca="false">TblPop[[#This Row],[Peasants]]</f>
        <v>5480</v>
      </c>
      <c r="G136" s="69" t="e">
        <f aca="false">TblMili[[#This Row],[Networth (2)]]</f>
        <v>#VALUE!</v>
      </c>
      <c r="H136" s="69" t="n">
        <f aca="false">OFFSET(TblProd[[#This Row],[Platinum]],-1,0)+OFFSET(TblProd[[#This Row],[Plat/hr]],-1,0) - TblProd[[#This Row],[Expenses Platinum]] + IF(TblProd[[#This Row],[Plat Bonus]],TblPop[[#This Row],[Peasants]]*4) + SUM(TblConstr[[#This Row],[Dest Hom]:[Dest Doc]])*TblConstr[[#This Row],[CPA Platinum -DB]]*tech_3_3_2*TblTech[[#This Row],[3-3]]</f>
        <v>2201404</v>
      </c>
      <c r="I136" s="69" t="n">
        <f aca="false">OFFSET(TblProd[[#This Row],[Food]],-1,0)+OFFSET(TblProd[[#This Row],[Food/hr]],-1,0)+ROUNDUP((TblConstr[[#This Row],[Farms]]*80+TblConstr[[#This Row],[Docks]]*35)*(1+OFFSET(TblProd[[#This Row],[Bonus Food/hr]],-1,0)),0)</f>
        <v>7449</v>
      </c>
      <c r="J136" s="69" t="n">
        <f aca="false">OFFSET(TblProd[[#This Row],[Lumber]],-1,0)+OFFSET(TblProd[[#This Row],[Lumber/hr]],-1,0) - TblProd[[#This Row],[Expenses Lumber]] + SUM(TblConstr[[#This Row],[Dest Hom]:[Dest Doc]])*TblConstr[[#This Row],[CPA Lumber -DB]]*tech_3_3_2*TblTech[[#This Row],[3-3]]</f>
        <v>58633</v>
      </c>
      <c r="K136" s="69" t="n">
        <f aca="false">OFFSET(TblProd[[#This Row],[Mana]],-1,0)+OFFSET(TblProd[[#This Row],[Mana/hr]],-1,0)- TblProd[[#This Row],[Expenses Mana]]</f>
        <v>20073.5</v>
      </c>
      <c r="L136" s="69" t="n">
        <f aca="false">OFFSET(TblProd[[#This Row],[Ore]],-1,0)+OFFSET(TblProd[[#This Row],[Ore/hr]],-1,0) -TblProd[[#This Row],[Expenses Ore]]</f>
        <v>0</v>
      </c>
      <c r="M136" s="69" t="n">
        <f aca="false">OFFSET(TblProd[[#This Row],[Gems]],-1,0)+OFFSET(TblProd[[#This Row],[Gems/hr]],-1,0) - TblProd[[#This Row],[Expenses Gems]]</f>
        <v>0</v>
      </c>
      <c r="N136" s="69" t="n">
        <f aca="false">OFFSET(TblProd[[#This Row],[Boats]],-1,0)+OFFSET(TblProd[[#This Row],[Boats/hr]],-1,0)</f>
        <v>100.25</v>
      </c>
      <c r="O136" s="69" t="n">
        <f aca="false">OFFSET(TblProd[[#This Row],[Prestige]],-1,0)</f>
        <v>250</v>
      </c>
      <c r="P13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6" s="69" t="n">
        <f aca="false">MAX(3750,_xlfn.CEILING.MATH(TblProd[[#This Row],[Land]]*2.5+OFFSET(TblTech[[#This Row],[Sum of tech]],-1,0)*150))</f>
        <v>3750</v>
      </c>
      <c r="R136" s="132"/>
      <c r="S136" s="69" t="n">
        <f aca="false">ROUNDDOWN(TblProd[[#This Row],[Raw Plat/hr]]*(1+TblProd[[#This Row],[Bonus Plat/hr]]),0)</f>
        <v>0</v>
      </c>
      <c r="T136" s="69" t="n">
        <f aca="false">ROUND(TblProd[[#This Row],[Raw Food/hr]]*(1+TblProd[[#This Row],[Bonus Food/hr]])-TblProd[[#This Row],[Food decay]]-TblProd[[#This Row],[Food eaten]],0)</f>
        <v>53</v>
      </c>
      <c r="U136" s="69" t="n">
        <f aca="false">ROUND(TblProd[[#This Row],[Raw Lumber/hr]]*(1+TblProd[[#This Row],[Bonus Lumber/hr]])-TblProd[[#This Row],[Lumber rot]],0)</f>
        <v>539</v>
      </c>
      <c r="V136" s="69" t="n">
        <f aca="false">ROUND(TblProd[[#This Row],[Raw Mana/hr]]*(1+TblProd[[#This Row],[Bonus Mana/hr]])-TblProd[[#This Row],[Mana drain]],0)</f>
        <v>-401</v>
      </c>
      <c r="W136" s="69" t="n">
        <f aca="false">ROUNDDOWN(TblProd[[#This Row],[Raw Ore/hr]]*(1+TblProd[[#This Row],[Bonux Ore/hr]]),0)</f>
        <v>0</v>
      </c>
      <c r="X136" s="69" t="n">
        <f aca="false">ROUNDDOWN(TblProd[[#This Row],[Raw Gems/hr]]*(1+TblProd[[#This Row],[Bonus Gems/hr]]),0)</f>
        <v>0</v>
      </c>
      <c r="Y136" s="148" t="n">
        <f aca="false">OFFSET(TblConstr[[#This Row],[Tot Doc]],1,0)*dock_boats_hr * (1 + tech_4_1*TblTech[[#This Row],[4-1]])</f>
        <v>0</v>
      </c>
      <c r="Z136" s="146"/>
      <c r="AA136" s="69" t="n">
        <f aca="false">TblPop[[#This Row],[Peasants]]*tax*TblPop[[#This Row],[Employment]] + (Construction!AZ137+Construction!BX137)*(alch_plat+(Magic!AM136&gt;0)*alchemist_flame_bonus)</f>
        <v>0</v>
      </c>
      <c r="AB136" s="69" t="n">
        <f aca="false">TblConstr[[#This Row],[Tot Farm]]*farm_food + TblConstr[[#This Row],[Tot Doc]]*dock_food</f>
        <v>3280</v>
      </c>
      <c r="AC136" s="69" t="n">
        <f aca="false">TblConstr[[#This Row],[Tot Ly]]*ly_lumber + TblConstr[[#This Row],[Tot Hav]]*fh_lumber</f>
        <v>1250</v>
      </c>
      <c r="AD136" s="69" t="n">
        <f aca="false">OFFSET(TblConstr[[#This Row],[Tot Tow]],1,0)*(tower_mana + tech_4_5*TblTech[[#This Row],[4-5]]) + OFFSET(TblConstr[[#This Row],[Tot WG]],1,0)*wg_mana_prod</f>
        <v>0</v>
      </c>
      <c r="AE136" s="69" t="n">
        <f aca="false">OFFSET(TblConstr[[#This Row],[Tot OM]],1,0)*om_ore+IF(race="Dwarf",ROUNDDOWN(TblMili[[#This Row],[Unit 2]]*0.4,0),)</f>
        <v>0</v>
      </c>
      <c r="AF136" s="69" t="n">
        <f aca="false">OFFSET(TblConstr[[#This Row],[Tot DM]],1,0)*dm_gems</f>
        <v>0</v>
      </c>
      <c r="AG136" s="132"/>
      <c r="AH136" s="149" t="n">
        <f aca="false">MIN(race_platinum_bonus + IF(TblMagic[[#This Row],[Active Alch Frost]]&gt;0,alch_frost_bonus,IF(Magic!AD136&gt;0,midas_bonus)) + TblImps[[#This Row],[Science]] - TblProd[[#This Row],[Guard]]*(0.02 + tech_5_7*TblTech[[#This Row],[5-7]]) + tech_1_5*TblTech[[#This Row],[1-5]] + tech_4_4*TblTech[[#This Row],[4-4]], 0.5)</f>
        <v>0</v>
      </c>
      <c r="AI13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6" s="149" t="n">
        <f aca="false">race_lumber_bonus+ IF(TblMagic[[#This Row],[Active Gaia''s Blessing]]&gt;0,gaias_blessing_lumber)+ tech_1_3*TblTech[[#This Row],[1-3]] + tech_1_6*TblTech[[#This Row],[1-6]] + tech_3_3*TblTech[[#This Row],[3-3]]</f>
        <v>-0.1</v>
      </c>
      <c r="AK136" s="149" t="n">
        <f aca="false">race_mana_bonus+ 0 + TblImps[[#This Row],[Towers]] + tech_1_2*TblTech[[#This Row],[1-2]] + tech_3_4*TblTech[[#This Row],[3-4]]</f>
        <v>0</v>
      </c>
      <c r="AL136" s="149" t="n">
        <f aca="false">race_ore_bonus + IF(TblMagic[[#This Row],[Active Miner''s Sight]]&gt;0,miners_sight_bonus,IF(TblMagic[[#This Row],[Active Mining Strength]]&gt;0,mining_strength_bonus)) +  tech_1_6*TblTech[[#This Row],[1-6]]</f>
        <v>0</v>
      </c>
      <c r="AM136" s="149" t="n">
        <f aca="false">race_gem_bonus+ tech_3_2*TblTech[[#This Row],[3-2]] + tech_4_3*TblTech[[#This Row],[4-3]] + tech_6_2*TblTech[[#This Row],[6-2]]</f>
        <v>0.15</v>
      </c>
      <c r="AN136" s="132"/>
      <c r="AO136" s="69" t="n">
        <f aca="false">TblProd[[#This Row],[Food]]*food_decay * (1 + tech_2_1*TblTech[[#This Row],[2-1]] + tech_2_8*TblTech[[#This Row],[2-8]])</f>
        <v>74.49</v>
      </c>
      <c r="AP136" s="69" t="n">
        <f aca="false">(1+race_food_consumption)*TblPop[[#This Row],[Total]]*food_per_person*(1+tech_1_10*TblTech[[#This Row],[1-10]]+tech_7_5*TblTech[[#This Row],[7-5]])</f>
        <v>3234.75</v>
      </c>
      <c r="AQ136" s="69" t="n">
        <f aca="false">TblProd[[#This Row],[Lumber]]*lumber_rot * (1 + tech_2_1*TblTech[[#This Row],[2-1]] + tech_2_8*TblTech[[#This Row],[2-8]] + tech_5_2*TblTech[[#This Row],[5-2]])</f>
        <v>586.33</v>
      </c>
      <c r="AR136" s="69" t="n">
        <f aca="false">TblProd[[#This Row],[Mana]]*mana_drain * (1 + tech_2_1*TblTech[[#This Row],[2-1]] + tech_2_8*TblTech[[#This Row],[2-8]])</f>
        <v>401.47</v>
      </c>
      <c r="AS136" s="146"/>
      <c r="AT136" s="69" t="n">
        <f aca="false">TblExplore[[#This Row],[Platinum (2)]]+TblConstr[[#This Row],[Total Plat Cost]]+TblMili[[#This Row],[Plat Cost]]+TblRezone[[#This Row],[Platinum cost]]+TblImps[[#This Row],[P1]]-TblProd[[#This Row],[Bank Plat]]</f>
        <v>0</v>
      </c>
      <c r="AU136" s="69" t="n">
        <f aca="false">TblConstr[[#This Row],[Total Lum Cost]]+TblImps[[#This Row],[L1]]-TblProd[[#This Row],[Bank Lumber]] + Military!$CL$25*TblMili[[#This Row],[Sec. rec. Cost]]</f>
        <v>0</v>
      </c>
      <c r="AV136" s="69" t="n">
        <f aca="false">TblMagic[[#This Row],[Mana cost]] + Military!$CL$26*TblMili[[#This Row],[Sec. rec. Cost]]</f>
        <v>0</v>
      </c>
      <c r="AW136" s="69" t="n">
        <f aca="false">Military!$CL$24*TblMili[[#This Row],[Sec. rec. Cost]]+TblImps[[#This Row],[O1]]-TblProd[[#This Row],[Bank Ore]]</f>
        <v>0</v>
      </c>
      <c r="AX136" s="69" t="n">
        <f aca="false">TblImps[[#This Row],[G1]]-TblProd[[#This Row],[Bank Gems]]</f>
        <v>0</v>
      </c>
      <c r="AY136" s="132"/>
      <c r="AZ136" s="33" t="n">
        <f aca="false">IF(TblProd[[#This Row],[Set Guard]]&lt;&gt;"",TblProd[[#This Row],[Set Guard]],OFFSET(TblProd[[#This Row],[Guard]],-1,0))</f>
        <v>0</v>
      </c>
      <c r="BA136" s="145"/>
      <c r="BB136" s="151" t="n">
        <f aca="false">TblProd[[#This Row],[Hour]]</f>
        <v>61</v>
      </c>
      <c r="BC136" s="152" t="n">
        <f aca="false">-TblProd[[#This Row],[Bank Lumber]] / 2 + -TblProd[[#This Row],[Bank Gems]] * 2 + -TblProd[[#This Row],[Bank Ore]] / 2</f>
        <v>0</v>
      </c>
      <c r="BD136" s="152"/>
      <c r="BE136" s="152"/>
      <c r="BF136" s="152"/>
      <c r="BG136" s="153" t="n">
        <f aca="false">TblProd[[#This Row],[Time]]</f>
        <v>45435.25</v>
      </c>
      <c r="BH13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69" t="n">
        <f aca="false">TblProd[[#This Row],[Platinum]]</f>
        <v>2201404</v>
      </c>
      <c r="BJ136" s="69" t="n">
        <f aca="false">TblProd[[#This Row],[Food]]</f>
        <v>7449</v>
      </c>
      <c r="BK136" s="69" t="n">
        <f aca="false">TblProd[[#This Row],[Lumber]]</f>
        <v>58633</v>
      </c>
      <c r="BL136" s="69" t="n">
        <f aca="false">TblProd[[#This Row],[Mana]]</f>
        <v>20073.5</v>
      </c>
      <c r="BM136" s="69" t="n">
        <f aca="false">TblProd[[#This Row],[Ore]]</f>
        <v>0</v>
      </c>
    </row>
    <row r="1269" customFormat="false" ht="12.75" hidden="false" customHeight="false" outlineLevel="0" collapsed="false">
      <c r="C1269" s="140" t="s">
        <v>24</v>
      </c>
      <c r="D1269" s="140"/>
      <c r="L1269" s="26"/>
    </row>
    <row r="1270" customFormat="false" ht="12.75" hidden="false" customHeight="false" outlineLevel="0" collapsed="false">
      <c r="C1270" s="124" t="n">
        <f aca="false">Overview!E17</f>
        <v>0</v>
      </c>
      <c r="D1270" s="124"/>
      <c r="E1270" s="163"/>
      <c r="F1270" s="163"/>
      <c r="G1270" s="163"/>
      <c r="H1270" s="163"/>
      <c r="I1270" s="163"/>
      <c r="J1270" s="163"/>
      <c r="K1270" s="26"/>
      <c r="L1270" s="164"/>
    </row>
  </sheetData>
  <mergeCells count="5">
    <mergeCell ref="S1:U1"/>
    <mergeCell ref="AA1:AB1"/>
    <mergeCell ref="AH1:AM1"/>
    <mergeCell ref="AT1:AU1"/>
    <mergeCell ref="C1269:D1269"/>
  </mergeCells>
  <conditionalFormatting sqref="A4:BM136">
    <cfRule type="expression" priority="2" aboveAverage="0" equalAverage="0" bottom="0" percent="0" rank="0" text="" dxfId="23">
      <formula>ROW()-3=$C$1270</formula>
    </cfRule>
    <cfRule type="expression" priority="3" aboveAverage="0" equalAverage="0" bottom="0" percent="0" rank="0" text="" dxfId="24">
      <formula>$A4="OOP"</formula>
    </cfRule>
    <cfRule type="expression" priority="4" aboveAverage="0" equalAverage="0" bottom="0" percent="0" rank="0" text="" dxfId="25">
      <formula>ROUND(($A4-1)/12,0)=INT($A4-1)/12</formula>
    </cfRule>
  </conditionalFormatting>
  <conditionalFormatting sqref="E4:Q136">
    <cfRule type="expression" priority="5" aboveAverage="0" equalAverage="0" bottom="0" percent="0" rank="0" text="" dxfId="26">
      <formula>OR(ROW()-3=$C$1270,E4&lt;0)</formula>
    </cfRule>
  </conditionalFormatting>
  <conditionalFormatting sqref="U18619:BL29787 BM18583:IV29751 B137:BL447 BM8135:IV8135 B12456:BK20568 B12456:C20613 B8183:BL8183 BM137:IV411">
    <cfRule type="expression" priority="6" aboveAverage="0" equalAverage="0" bottom="0" percent="0" rank="0" text="" dxfId="27">
      <formula>ROW(-2=#ref!</formula>
    </cfRule>
  </conditionalFormatting>
  <conditionalFormatting sqref="A1269:XFD1270">
    <cfRule type="expression" priority="7" aboveAverage="0" equalAverage="0" bottom="0" percent="0" rank="0" text="" dxfId="28">
      <formula>$C$1270&gt;144</formula>
    </cfRule>
  </conditionalFormatting>
  <conditionalFormatting sqref="BH4:BH136">
    <cfRule type="cellIs" priority="8" operator="equal" aboveAverage="0" equalAverage="0" bottom="0" percent="0" rank="0" text="" dxfId="29">
      <formula>"Nope"</formula>
    </cfRule>
  </conditionalFormatting>
  <conditionalFormatting sqref="A1:XFD3">
    <cfRule type="expression" priority="9" aboveAverage="0" equalAverage="0" bottom="0" percent="0" rank="0" text="" dxfId="30">
      <formula>$C$1270&lt;0</formula>
    </cfRule>
  </conditionalFormatting>
  <dataValidations count="1">
    <dataValidation allowBlank="true" errorStyle="stop" operator="equal" showDropDown="false" showErrorMessage="true" showInputMessage="true" sqref="C4:D136 BA4:BA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0" id="{705D31E0-D916-406B-95AA-342EC9CD36E2}">
            <x14:iconSet iconSet="3Symbols2" custom="1" reverse="0" showValue="0">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262626"/>
    <pageSetUpPr fitToPage="false"/>
  </sheetPr>
  <dimension ref="A1:DJ2270"/>
  <sheetViews>
    <sheetView showFormulas="false" showGridLines="true" showRowColHeaders="true" showZeros="true" rightToLeft="false" tabSelected="false" showOutlineSymbols="true" defaultGridColor="true" view="normal" topLeftCell="F1" colorId="64" zoomScale="85" zoomScaleNormal="85" zoomScalePageLayoutView="100" workbookViewId="0">
      <pane xSplit="0" ySplit="3" topLeftCell="A40" activePane="bottomLeft" state="frozen"/>
      <selection pane="topLeft" activeCell="F1" activeCellId="0" sqref="F1"/>
      <selection pane="bottomLeft" activeCell="Z57" activeCellId="0" sqref="Z57"/>
    </sheetView>
  </sheetViews>
  <sheetFormatPr defaultColWidth="9.1484375" defaultRowHeight="12.75" zeroHeight="false" outlineLevelRow="0" outlineLevelCol="0"/>
  <cols>
    <col collapsed="false" customWidth="true" hidden="false" outlineLevel="0" max="1" min="1" style="165" width="8.57"/>
    <col collapsed="false" customWidth="true" hidden="false" outlineLevel="0" max="3" min="2" style="165" width="11.43"/>
    <col collapsed="false" customWidth="true" hidden="false" outlineLevel="0" max="4" min="4" style="1" width="12.57"/>
    <col collapsed="false" customWidth="true" hidden="false" outlineLevel="0" max="5" min="5" style="1" width="2.86"/>
    <col collapsed="false" customWidth="true" hidden="false" outlineLevel="0" max="6" min="6" style="26" width="8.86"/>
    <col collapsed="false" customWidth="true" hidden="false" outlineLevel="0" max="7" min="7" style="26" width="7"/>
    <col collapsed="false" customWidth="true" hidden="false" outlineLevel="0" max="8" min="8" style="26" width="6.85"/>
    <col collapsed="false" customWidth="true" hidden="false" outlineLevel="0" max="9" min="9" style="26" width="9.42"/>
    <col collapsed="false" customWidth="true" hidden="false" outlineLevel="0" max="10" min="10" style="26" width="4.29"/>
    <col collapsed="false" customWidth="true" hidden="false" outlineLevel="0" max="11" min="11" style="26" width="7.86"/>
    <col collapsed="false" customWidth="true" hidden="false" outlineLevel="0" max="12" min="12" style="26" width="7.57"/>
    <col collapsed="false" customWidth="true" hidden="false" outlineLevel="0" max="13" min="13" style="91" width="6.14"/>
    <col collapsed="false" customWidth="true" hidden="false" outlineLevel="0" max="14" min="14" style="26" width="5.57"/>
    <col collapsed="false" customWidth="true" hidden="false" outlineLevel="0" max="15" min="15" style="1" width="5"/>
    <col collapsed="false" customWidth="true" hidden="false" outlineLevel="0" max="17" min="16" style="1" width="4.14"/>
    <col collapsed="false" customWidth="true" hidden="false" outlineLevel="0" max="18" min="18" style="1" width="4.29"/>
    <col collapsed="false" customWidth="true" hidden="false" outlineLevel="0" max="19" min="19" style="1" width="4.71"/>
    <col collapsed="false" customWidth="true" hidden="false" outlineLevel="0" max="27" min="20" style="1" width="4.14"/>
    <col collapsed="false" customWidth="true" hidden="false" outlineLevel="0" max="28" min="28" style="1" width="4.86"/>
    <col collapsed="false" customWidth="true" hidden="false" outlineLevel="0" max="29" min="29" style="1" width="5"/>
    <col collapsed="false" customWidth="true" hidden="false" outlineLevel="0" max="33" min="30" style="1" width="4.14"/>
    <col collapsed="false" customWidth="true" hidden="false" outlineLevel="0" max="34" min="34" style="1" width="6.43"/>
    <col collapsed="false" customWidth="true" hidden="false" outlineLevel="0" max="35" min="35" style="1" width="7.57"/>
    <col collapsed="false" customWidth="true" hidden="false" outlineLevel="0" max="36" min="36" style="1" width="7"/>
    <col collapsed="false" customWidth="true" hidden="false" outlineLevel="0" max="37" min="37" style="1" width="8.86"/>
    <col collapsed="false" customWidth="true" hidden="false" outlineLevel="0" max="38" min="38" style="1" width="8.29"/>
    <col collapsed="false" customWidth="true" hidden="true" outlineLevel="0" max="39" min="39" style="1" width="11.57"/>
    <col collapsed="false" customWidth="true" hidden="true" outlineLevel="0" max="41" min="40" style="1" width="11.85"/>
    <col collapsed="false" customWidth="true" hidden="true" outlineLevel="0" max="42" min="42" style="1" width="10.85"/>
    <col collapsed="false" customWidth="true" hidden="true" outlineLevel="0" max="44" min="43" style="1" width="8.71"/>
    <col collapsed="false" customWidth="true" hidden="true" outlineLevel="0" max="45" min="45" style="1" width="8.15"/>
    <col collapsed="false" customWidth="true" hidden="true" outlineLevel="0" max="46" min="46" style="1" width="8.57"/>
    <col collapsed="false" customWidth="true" hidden="true" outlineLevel="0" max="47" min="47" style="1" width="3.29"/>
    <col collapsed="false" customWidth="true" hidden="true" outlineLevel="0" max="49" min="48" style="1" width="9.86"/>
    <col collapsed="false" customWidth="true" hidden="false" outlineLevel="0" max="50" min="50" style="1" width="3.29"/>
    <col collapsed="false" customWidth="true" hidden="false" outlineLevel="0" max="51" min="51" style="26" width="7.86"/>
    <col collapsed="false" customWidth="true" hidden="false" outlineLevel="0" max="52" min="52" style="26" width="6.71"/>
    <col collapsed="false" customWidth="true" hidden="false" outlineLevel="0" max="53" min="53" style="26" width="8.15"/>
    <col collapsed="false" customWidth="true" hidden="false" outlineLevel="0" max="54" min="54" style="26" width="7"/>
    <col collapsed="false" customWidth="true" hidden="false" outlineLevel="0" max="55" min="55" style="26" width="7.29"/>
    <col collapsed="false" customWidth="true" hidden="false" outlineLevel="0" max="56" min="56" style="26" width="5.86"/>
    <col collapsed="false" customWidth="true" hidden="false" outlineLevel="0" max="58" min="57" style="26" width="7"/>
    <col collapsed="false" customWidth="true" hidden="false" outlineLevel="0" max="59" min="59" style="26" width="6.57"/>
    <col collapsed="false" customWidth="true" hidden="false" outlineLevel="0" max="60" min="60" style="26" width="6.71"/>
    <col collapsed="false" customWidth="true" hidden="false" outlineLevel="0" max="61" min="61" style="26" width="6.14"/>
    <col collapsed="false" customWidth="true" hidden="false" outlineLevel="0" max="63" min="62" style="26" width="6.71"/>
    <col collapsed="false" customWidth="true" hidden="false" outlineLevel="0" max="64" min="64" style="26" width="7.42"/>
    <col collapsed="false" customWidth="true" hidden="false" outlineLevel="0" max="65" min="65" style="26" width="7.57"/>
    <col collapsed="false" customWidth="true" hidden="false" outlineLevel="0" max="67" min="66" style="26" width="7"/>
    <col collapsed="false" customWidth="true" hidden="false" outlineLevel="0" max="68" min="68" style="26" width="6.85"/>
    <col collapsed="false" customWidth="true" hidden="false" outlineLevel="0" max="69" min="69" style="26" width="7.15"/>
    <col collapsed="false" customWidth="true" hidden="false" outlineLevel="0" max="70" min="70" style="1" width="3"/>
    <col collapsed="false" customWidth="true" hidden="false" outlineLevel="0" max="71" min="71" style="1" width="4.14"/>
    <col collapsed="false" customWidth="true" hidden="false" outlineLevel="0" max="72" min="72" style="1" width="10.14"/>
    <col collapsed="false" customWidth="true" hidden="false" outlineLevel="0" max="73" min="73" style="1" width="10.42"/>
    <col collapsed="false" customWidth="true" hidden="false" outlineLevel="0" max="74" min="74" style="1" width="4.14"/>
    <col collapsed="false" customWidth="true" hidden="false" outlineLevel="0" max="75" min="75" style="1" width="5.86"/>
    <col collapsed="false" customWidth="true" hidden="false" outlineLevel="0" max="76" min="76" style="1" width="5.29"/>
    <col collapsed="false" customWidth="true" hidden="false" outlineLevel="0" max="77" min="77" style="1" width="5.86"/>
    <col collapsed="false" customWidth="true" hidden="false" outlineLevel="0" max="87" min="78" style="1" width="5.29"/>
    <col collapsed="false" customWidth="true" hidden="false" outlineLevel="0" max="88" min="88" style="1" width="5.71"/>
    <col collapsed="false" customWidth="true" hidden="false" outlineLevel="0" max="89" min="89" style="1" width="5.86"/>
    <col collapsed="false" customWidth="true" hidden="false" outlineLevel="0" max="93" min="90" style="1" width="5.29"/>
    <col collapsed="false" customWidth="true" hidden="true" outlineLevel="0" max="94" min="94" style="1" width="3.86"/>
    <col collapsed="false" customWidth="true" hidden="true" outlineLevel="0" max="95" min="95" style="26" width="8"/>
    <col collapsed="false" customWidth="true" hidden="true" outlineLevel="0" max="96" min="96" style="26" width="9"/>
    <col collapsed="false" customWidth="true" hidden="true" outlineLevel="0" max="97" min="97" style="26" width="11.85"/>
    <col collapsed="false" customWidth="true" hidden="true" outlineLevel="0" max="98" min="98" style="26" width="6.85"/>
    <col collapsed="false" customWidth="true" hidden="true" outlineLevel="0" max="99" min="99" style="26" width="9.71"/>
    <col collapsed="false" customWidth="true" hidden="true" outlineLevel="0" max="100" min="100" style="26" width="9.57"/>
    <col collapsed="false" customWidth="true" hidden="true" outlineLevel="0" max="101" min="101" style="26" width="9"/>
    <col collapsed="false" customWidth="true" hidden="true" outlineLevel="0" max="102" min="102" style="1" width="11.85"/>
    <col collapsed="false" customWidth="true" hidden="true" outlineLevel="0" max="103" min="103" style="1" width="2.71"/>
    <col collapsed="false" customWidth="true" hidden="true" outlineLevel="0" max="114" min="104" style="1" width="10.71"/>
    <col collapsed="false" customWidth="false" hidden="false" outlineLevel="0" max="16384" min="115" style="1" width="9.14"/>
  </cols>
  <sheetData>
    <row r="1" customFormat="false" ht="12.75" hidden="false" customHeight="false" outlineLevel="0" collapsed="false">
      <c r="A1" s="166"/>
      <c r="B1" s="166"/>
      <c r="C1" s="166"/>
      <c r="D1" s="31"/>
      <c r="E1" s="31"/>
      <c r="F1" s="124"/>
      <c r="G1" s="124" t="s">
        <v>220</v>
      </c>
      <c r="H1" s="124"/>
      <c r="I1" s="124"/>
      <c r="J1" s="124"/>
      <c r="K1" s="124"/>
      <c r="L1" s="124"/>
      <c r="M1" s="124"/>
      <c r="N1" s="124"/>
      <c r="O1" s="142" t="s">
        <v>221</v>
      </c>
      <c r="P1" s="142"/>
      <c r="Q1" s="142"/>
      <c r="R1" s="31"/>
      <c r="S1" s="31"/>
      <c r="T1" s="31"/>
      <c r="U1" s="31"/>
      <c r="V1" s="31"/>
      <c r="W1" s="31"/>
      <c r="X1" s="31"/>
      <c r="Y1" s="31"/>
      <c r="Z1" s="31"/>
      <c r="AA1" s="31"/>
      <c r="AB1" s="31"/>
      <c r="AC1" s="31"/>
      <c r="AD1" s="31"/>
      <c r="AE1" s="31"/>
      <c r="AF1" s="31"/>
      <c r="AG1" s="31"/>
      <c r="AH1" s="31"/>
      <c r="AI1" s="31" t="s">
        <v>222</v>
      </c>
      <c r="AJ1" s="31" t="s">
        <v>223</v>
      </c>
      <c r="AK1" s="142" t="s">
        <v>224</v>
      </c>
      <c r="AL1" s="142"/>
      <c r="AM1" s="125" t="s">
        <v>225</v>
      </c>
      <c r="AN1" s="125"/>
      <c r="AO1" s="125" t="s">
        <v>226</v>
      </c>
      <c r="AP1" s="125"/>
      <c r="AQ1" s="125" t="s">
        <v>227</v>
      </c>
      <c r="AR1" s="125"/>
      <c r="AS1" s="31"/>
      <c r="AT1" s="31"/>
      <c r="AU1" s="31"/>
      <c r="AV1" s="31" t="s">
        <v>228</v>
      </c>
      <c r="AW1" s="31"/>
      <c r="AX1" s="31"/>
      <c r="AY1" s="125" t="s">
        <v>229</v>
      </c>
      <c r="AZ1" s="125"/>
      <c r="BA1" s="125"/>
      <c r="BB1" s="124"/>
      <c r="BC1" s="124"/>
      <c r="BD1" s="124"/>
      <c r="BE1" s="124"/>
      <c r="BF1" s="124"/>
      <c r="BG1" s="124"/>
      <c r="BH1" s="124"/>
      <c r="BI1" s="124"/>
      <c r="BJ1" s="124"/>
      <c r="BK1" s="124"/>
      <c r="BL1" s="124"/>
      <c r="BM1" s="124"/>
      <c r="BN1" s="124"/>
      <c r="BO1" s="124"/>
      <c r="BP1" s="124"/>
      <c r="BQ1" s="124"/>
      <c r="BR1" s="31"/>
      <c r="BS1" s="31"/>
      <c r="BT1" s="31"/>
      <c r="BU1" s="31"/>
      <c r="BV1" s="31"/>
      <c r="BW1" s="142" t="s">
        <v>230</v>
      </c>
      <c r="BX1" s="142"/>
      <c r="BY1" s="31"/>
      <c r="BZ1" s="31"/>
      <c r="CA1" s="31"/>
      <c r="CB1" s="31"/>
      <c r="CC1" s="31"/>
      <c r="CD1" s="31"/>
      <c r="CE1" s="31"/>
      <c r="CF1" s="31"/>
      <c r="CG1" s="31"/>
      <c r="CH1" s="31"/>
      <c r="CI1" s="31"/>
      <c r="CJ1" s="31"/>
      <c r="CK1" s="31"/>
      <c r="CL1" s="31"/>
      <c r="CM1" s="31"/>
      <c r="CN1" s="31"/>
      <c r="CO1" s="31"/>
      <c r="CP1" s="31"/>
      <c r="CQ1" s="125" t="s">
        <v>231</v>
      </c>
      <c r="CR1" s="125"/>
      <c r="CS1" s="124"/>
      <c r="CT1" s="124"/>
      <c r="CU1" s="124"/>
      <c r="CV1" s="124"/>
      <c r="CW1" s="124"/>
      <c r="CX1" s="31"/>
      <c r="CY1" s="31"/>
      <c r="CZ1" s="142" t="s">
        <v>232</v>
      </c>
      <c r="DA1" s="142"/>
      <c r="DB1" s="142"/>
      <c r="DC1" s="142"/>
      <c r="DD1" s="142"/>
      <c r="DE1" s="31"/>
      <c r="DF1" s="31"/>
      <c r="DG1" s="142" t="s">
        <v>233</v>
      </c>
      <c r="DH1" s="142"/>
      <c r="DI1" s="31" t="s">
        <v>234</v>
      </c>
      <c r="DJ1" s="31"/>
    </row>
    <row r="2" customFormat="false" ht="12.75" hidden="false" customHeight="false" outlineLevel="0" collapsed="false">
      <c r="A2" s="166"/>
      <c r="B2" s="166"/>
      <c r="C2" s="166"/>
      <c r="D2" s="31"/>
      <c r="E2" s="31"/>
      <c r="F2" s="124"/>
      <c r="G2" s="124"/>
      <c r="H2" s="124"/>
      <c r="I2" s="124"/>
      <c r="J2" s="124"/>
      <c r="K2" s="124"/>
      <c r="L2" s="124"/>
      <c r="M2" s="124"/>
      <c r="N2" s="124"/>
      <c r="O2" s="31"/>
      <c r="P2" s="31"/>
      <c r="R2" s="31"/>
      <c r="S2" s="31"/>
      <c r="T2" s="31"/>
      <c r="U2" s="31"/>
      <c r="V2" s="31"/>
      <c r="W2" s="31"/>
      <c r="X2" s="31"/>
      <c r="Y2" s="31"/>
      <c r="Z2" s="31"/>
      <c r="AA2" s="31"/>
      <c r="AB2" s="31"/>
      <c r="AC2" s="31"/>
      <c r="AD2" s="31"/>
      <c r="AE2" s="31"/>
      <c r="AF2" s="31"/>
      <c r="AG2" s="31"/>
      <c r="AH2" s="31"/>
      <c r="AI2" s="31"/>
      <c r="AJ2" s="31"/>
      <c r="AK2" s="31"/>
      <c r="AL2" s="31"/>
      <c r="AM2" s="124"/>
      <c r="AN2" s="124"/>
      <c r="AO2" s="124"/>
      <c r="AP2" s="124"/>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124"/>
      <c r="CR2" s="124"/>
      <c r="CS2" s="124"/>
      <c r="CT2" s="124"/>
      <c r="CU2" s="124"/>
      <c r="CV2" s="124"/>
      <c r="CW2" s="124"/>
      <c r="CX2" s="31"/>
      <c r="CY2" s="31"/>
      <c r="CZ2" s="31"/>
      <c r="DA2" s="31"/>
      <c r="DB2" s="31"/>
      <c r="DC2" s="31"/>
      <c r="DD2" s="31"/>
      <c r="DE2" s="31"/>
      <c r="DF2" s="31"/>
      <c r="DG2" s="31"/>
      <c r="DH2" s="31"/>
      <c r="DI2" s="31"/>
      <c r="DJ2" s="31"/>
    </row>
    <row r="3" customFormat="false" ht="28.5" hidden="false" customHeight="true" outlineLevel="0" collapsed="false">
      <c r="A3" s="127" t="s">
        <v>82</v>
      </c>
      <c r="B3" s="127" t="s">
        <v>220</v>
      </c>
      <c r="C3" s="127" t="s">
        <v>229</v>
      </c>
      <c r="D3" s="127" t="s">
        <v>235</v>
      </c>
      <c r="E3" s="127" t="s">
        <v>11</v>
      </c>
      <c r="F3" s="127" t="s">
        <v>73</v>
      </c>
      <c r="G3" s="167" t="s">
        <v>236</v>
      </c>
      <c r="H3" s="127" t="s">
        <v>237</v>
      </c>
      <c r="I3" s="127" t="s">
        <v>238</v>
      </c>
      <c r="J3" s="127" t="s">
        <v>239</v>
      </c>
      <c r="K3" s="127" t="s">
        <v>240</v>
      </c>
      <c r="L3" s="127" t="s">
        <v>241</v>
      </c>
      <c r="M3" s="127" t="s">
        <v>242</v>
      </c>
      <c r="N3" s="127" t="s">
        <v>243</v>
      </c>
      <c r="O3" s="168" t="s">
        <v>244</v>
      </c>
      <c r="P3" s="168" t="s">
        <v>245</v>
      </c>
      <c r="Q3" s="168" t="s">
        <v>246</v>
      </c>
      <c r="R3" s="168" t="s">
        <v>247</v>
      </c>
      <c r="S3" s="168" t="s">
        <v>248</v>
      </c>
      <c r="T3" s="168" t="s">
        <v>249</v>
      </c>
      <c r="U3" s="168" t="s">
        <v>250</v>
      </c>
      <c r="V3" s="168" t="s">
        <v>251</v>
      </c>
      <c r="W3" s="168" t="s">
        <v>252</v>
      </c>
      <c r="X3" s="168" t="s">
        <v>253</v>
      </c>
      <c r="Y3" s="168" t="s">
        <v>254</v>
      </c>
      <c r="Z3" s="168" t="s">
        <v>255</v>
      </c>
      <c r="AA3" s="168" t="s">
        <v>256</v>
      </c>
      <c r="AB3" s="168" t="s">
        <v>257</v>
      </c>
      <c r="AC3" s="168" t="s">
        <v>258</v>
      </c>
      <c r="AD3" s="168" t="s">
        <v>259</v>
      </c>
      <c r="AE3" s="168" t="s">
        <v>260</v>
      </c>
      <c r="AF3" s="168" t="s">
        <v>261</v>
      </c>
      <c r="AG3" s="168" t="s">
        <v>262</v>
      </c>
      <c r="AH3" s="127" t="s">
        <v>263</v>
      </c>
      <c r="AI3" s="127" t="s">
        <v>264</v>
      </c>
      <c r="AJ3" s="127" t="s">
        <v>265</v>
      </c>
      <c r="AK3" s="127" t="s">
        <v>34</v>
      </c>
      <c r="AL3" s="127" t="s">
        <v>93</v>
      </c>
      <c r="AM3" s="127" t="s">
        <v>266</v>
      </c>
      <c r="AN3" s="127" t="s">
        <v>267</v>
      </c>
      <c r="AO3" s="127" t="s">
        <v>268</v>
      </c>
      <c r="AP3" s="127" t="s">
        <v>269</v>
      </c>
      <c r="AQ3" s="127" t="s">
        <v>270</v>
      </c>
      <c r="AR3" s="127" t="s">
        <v>271</v>
      </c>
      <c r="AS3" s="127" t="s">
        <v>272</v>
      </c>
      <c r="AT3" s="127" t="s">
        <v>273</v>
      </c>
      <c r="AU3" s="127" t="s">
        <v>154</v>
      </c>
      <c r="AV3" s="127" t="s">
        <v>274</v>
      </c>
      <c r="AW3" s="127" t="s">
        <v>275</v>
      </c>
      <c r="AX3" s="127" t="s">
        <v>181</v>
      </c>
      <c r="AY3" s="167" t="s">
        <v>276</v>
      </c>
      <c r="AZ3" s="127" t="s">
        <v>277</v>
      </c>
      <c r="BA3" s="127" t="s">
        <v>278</v>
      </c>
      <c r="BB3" s="127" t="s">
        <v>279</v>
      </c>
      <c r="BC3" s="127" t="s">
        <v>280</v>
      </c>
      <c r="BD3" s="127" t="s">
        <v>281</v>
      </c>
      <c r="BE3" s="127" t="s">
        <v>282</v>
      </c>
      <c r="BF3" s="127" t="s">
        <v>283</v>
      </c>
      <c r="BG3" s="127" t="s">
        <v>284</v>
      </c>
      <c r="BH3" s="127" t="s">
        <v>285</v>
      </c>
      <c r="BI3" s="127" t="s">
        <v>286</v>
      </c>
      <c r="BJ3" s="127" t="s">
        <v>287</v>
      </c>
      <c r="BK3" s="127" t="s">
        <v>288</v>
      </c>
      <c r="BL3" s="127" t="s">
        <v>289</v>
      </c>
      <c r="BM3" s="127" t="s">
        <v>290</v>
      </c>
      <c r="BN3" s="127" t="s">
        <v>291</v>
      </c>
      <c r="BO3" s="127" t="s">
        <v>292</v>
      </c>
      <c r="BP3" s="127" t="s">
        <v>293</v>
      </c>
      <c r="BQ3" s="169" t="s">
        <v>294</v>
      </c>
      <c r="BR3" s="127" t="s">
        <v>194</v>
      </c>
      <c r="BS3" s="127" t="s">
        <v>199</v>
      </c>
      <c r="BT3" s="127" t="s">
        <v>295</v>
      </c>
      <c r="BU3" s="127" t="s">
        <v>213</v>
      </c>
      <c r="BV3" s="127" t="s">
        <v>205</v>
      </c>
      <c r="BW3" s="127" t="s">
        <v>296</v>
      </c>
      <c r="BX3" s="127" t="s">
        <v>297</v>
      </c>
      <c r="BY3" s="127" t="s">
        <v>298</v>
      </c>
      <c r="BZ3" s="127" t="s">
        <v>299</v>
      </c>
      <c r="CA3" s="127" t="s">
        <v>300</v>
      </c>
      <c r="CB3" s="127" t="s">
        <v>301</v>
      </c>
      <c r="CC3" s="127" t="s">
        <v>302</v>
      </c>
      <c r="CD3" s="127" t="s">
        <v>303</v>
      </c>
      <c r="CE3" s="127" t="s">
        <v>304</v>
      </c>
      <c r="CF3" s="127" t="s">
        <v>305</v>
      </c>
      <c r="CG3" s="127" t="s">
        <v>306</v>
      </c>
      <c r="CH3" s="127" t="s">
        <v>307</v>
      </c>
      <c r="CI3" s="127" t="s">
        <v>308</v>
      </c>
      <c r="CJ3" s="127" t="s">
        <v>309</v>
      </c>
      <c r="CK3" s="127" t="s">
        <v>310</v>
      </c>
      <c r="CL3" s="127" t="s">
        <v>311</v>
      </c>
      <c r="CM3" s="127" t="s">
        <v>312</v>
      </c>
      <c r="CN3" s="127" t="s">
        <v>313</v>
      </c>
      <c r="CO3" s="127" t="s">
        <v>314</v>
      </c>
      <c r="CP3" s="127" t="s">
        <v>315</v>
      </c>
      <c r="CQ3" s="127" t="s">
        <v>316</v>
      </c>
      <c r="CR3" s="127" t="s">
        <v>317</v>
      </c>
      <c r="CS3" s="127" t="s">
        <v>318</v>
      </c>
      <c r="CT3" s="127" t="s">
        <v>319</v>
      </c>
      <c r="CU3" s="127" t="s">
        <v>320</v>
      </c>
      <c r="CV3" s="127" t="s">
        <v>321</v>
      </c>
      <c r="CW3" s="127" t="s">
        <v>322</v>
      </c>
      <c r="CX3" s="127" t="s">
        <v>233</v>
      </c>
      <c r="CY3" s="127" t="s">
        <v>323</v>
      </c>
      <c r="CZ3" s="127" t="s">
        <v>324</v>
      </c>
      <c r="DA3" s="127" t="s">
        <v>325</v>
      </c>
      <c r="DB3" s="127" t="s">
        <v>326</v>
      </c>
      <c r="DC3" s="127" t="s">
        <v>327</v>
      </c>
      <c r="DD3" s="127" t="s">
        <v>328</v>
      </c>
      <c r="DE3" s="127" t="s">
        <v>329</v>
      </c>
      <c r="DF3" s="127" t="s">
        <v>330</v>
      </c>
      <c r="DG3" s="127" t="s">
        <v>331</v>
      </c>
      <c r="DH3" s="127" t="s">
        <v>332</v>
      </c>
      <c r="DI3" s="127" t="s">
        <v>333</v>
      </c>
      <c r="DJ3" s="127" t="s">
        <v>334</v>
      </c>
    </row>
    <row r="4" customFormat="false" ht="12.75" hidden="false" customHeight="false" outlineLevel="0" collapsed="false">
      <c r="A4" s="170" t="n">
        <f aca="false">TblRezone[[#This Row],[Hour]]</f>
        <v>1</v>
      </c>
      <c r="B4" s="171" t="n">
        <f aca="false">SUM(TblConstr[[#This Row],[Plain]:[Water]])</f>
        <v>30</v>
      </c>
      <c r="C4" s="172" t="n">
        <f aca="false">SUM(TblConstr[[#This Row],[Tot Hom]:[Tot Doc]])</f>
        <v>90</v>
      </c>
      <c r="D4" s="172" t="n">
        <f aca="false">SUM(TblConstr[[#This Row],[Hom]:[Doc]])</f>
        <v>130</v>
      </c>
      <c r="E4" s="173"/>
      <c r="F4" s="33" t="n">
        <f aca="false">TblConstr[[#This Row],[Barren]]+TblConstr[[#This Row],[Buildings]]+TblConstr[[#This Row],[Incoming]]</f>
        <v>250</v>
      </c>
      <c r="G4" s="174" t="n">
        <f aca="false">start_plains+TblConstr[[#This Row],[Ch_Plain]]</f>
        <v>0</v>
      </c>
      <c r="H4" s="175" t="n">
        <f aca="false">start_forest+TblConstr[[#This Row],[Ch_Forest]]</f>
        <v>0</v>
      </c>
      <c r="I4" s="176" t="n">
        <f aca="false">start_mountains+TblConstr[[#This Row],[Ch_Mountain]]</f>
        <v>0</v>
      </c>
      <c r="J4" s="177" t="n">
        <f aca="false">start_hills+TblConstr[[#This Row],[Ch_Hill]]</f>
        <v>0</v>
      </c>
      <c r="K4" s="178" t="n">
        <f aca="false">start_swamp+TblConstr[[#This Row],[Ch_Swamp]]</f>
        <v>0</v>
      </c>
      <c r="L4" s="179" t="n">
        <f aca="false">start_caverns+TblConstr[[#This Row],[Ch_Cavern]]</f>
        <v>20</v>
      </c>
      <c r="M4" s="180" t="n">
        <f aca="false">start_water+TblConstr[[#This Row],[Ch_Water]]</f>
        <v>10</v>
      </c>
      <c r="N4" s="181" t="n">
        <f aca="false">TblRezone[[#This Row],[Hour]]</f>
        <v>1</v>
      </c>
      <c r="O4" s="182"/>
      <c r="P4" s="152" t="n">
        <v>40</v>
      </c>
      <c r="Q4" s="182"/>
      <c r="R4" s="182"/>
      <c r="S4" s="182"/>
      <c r="T4" s="182"/>
      <c r="U4" s="182"/>
      <c r="V4" s="182"/>
      <c r="W4" s="182"/>
      <c r="X4" s="152" t="n">
        <v>28</v>
      </c>
      <c r="Y4" s="182"/>
      <c r="Z4" s="182"/>
      <c r="AA4" s="182"/>
      <c r="AB4" s="182" t="n">
        <v>15</v>
      </c>
      <c r="AC4" s="152" t="n">
        <v>47</v>
      </c>
      <c r="AD4" s="182"/>
      <c r="AE4" s="182"/>
      <c r="AF4" s="182"/>
      <c r="AG4" s="152"/>
      <c r="AH4" s="20" t="n">
        <f aca="false">TblImps[[#This Row],[Time]]</f>
        <v>45429.75</v>
      </c>
      <c r="AI4" s="130" t="n">
        <f aca="false">MIN(25%,(TblConstr[[#This Row],[Tot Fac]]+TblConstr[[#This Row],[Dest Fac]])/(TblConstr[[#This Row],[Land]]-TblExplore[[#This Row],[Land Bonus]]*20))</f>
        <v>0</v>
      </c>
      <c r="AJ4" s="130" t="n">
        <f aca="false">MIN(25%,(TblConstr[[#This Row],[Tot Fac]]+TblConstr[[#This Row],[Dest Fac]])/TblConstr[[#This Row],[Land]])</f>
        <v>0</v>
      </c>
      <c r="AK4" s="69" t="n">
        <f aca="false">TblProd[[#This Row],[Platinum]]</f>
        <v>9830</v>
      </c>
      <c r="AL4" s="69" t="n">
        <f aca="false">TblProd[[#This Row],[Lumber]]</f>
        <v>0</v>
      </c>
      <c r="AM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4" s="69" t="n">
        <f aca="false">ROUNDDOWN( MAX(1 - MIN(facs_constr_factor*TblConstr[[#This Row],[Facs -DB]],facs_constr_max) + tech_1_11*TblTech[[#This Row],[11-1]] + tech_6_3_2*TblTech[[#This Row],[6-3]] + tech_5_2_3*TblTech[[#This Row],[5-2]], 1-global_constr_cap) * TblConstr[[#This Row],[RCPA Lumber]],0)</f>
        <v>88</v>
      </c>
      <c r="AO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4" s="69" t="n">
        <f aca="false">ROUNDDOWN( MAX(1 - MIN(facs_constr_factor*TblConstr[[#This Row],[Facs DB]],facs_constr_max) + tech_1_11*TblTech[[#This Row],[1-11]] + tech_6_3_2*TblTech[[#This Row],[6-3]] + tech_5_2_3*TblTech[[#This Row],[5-2]], 1-global_constr_cap) * ROUND((TblConstr[[#This Row],[Land]]-250)*0.285 + 87.5 + 0/4.25,0),0)</f>
        <v>88</v>
      </c>
      <c r="AQ4" s="1" t="n">
        <f aca="false">TblConstr[[#This Row],[build -db]]*TblConstr[[#This Row],[CPA Platinum -DB]] + TblConstr[[#This Row],[build db]]*TblConstr[[#This Row],[CPA Platinum DB]]</f>
        <v>99450</v>
      </c>
      <c r="AR4" s="183" t="n">
        <f aca="false">SUM($O4:$AG4)*AN4</f>
        <v>11440</v>
      </c>
      <c r="AS4" s="103" t="n">
        <f aca="false">MIN(SUM(Constants!A30:G30)+SUM(TblConstr[[#This Row],[Dest Hom]:[Dest Doc]]),SUM(TblConstr[[#This Row],[Hom]:[Doc]]))</f>
        <v>130</v>
      </c>
      <c r="AT4" s="183" t="n">
        <f aca="false">IF(TblExplore[[#This Row],[Land Bonus]]&lt;&gt;0,MAX(0, MIN(20, 20 + SUM(TblConstr[[#This Row],[Hom]:[Doc]]) - SUM(TblConstr[[#This Row],[Dest Hom]:[Dest Doc]]) - SUM(Constants!A$30:G$30)-20*TblExplore[[#This Row],[Land Bonus]])),0)</f>
        <v>0</v>
      </c>
      <c r="AU4" s="132"/>
      <c r="AV4" s="69" t="n">
        <f aca="false">ROUND((TblConstr[[#This Row],[Land]]-250 - IF(TblExplore[[#This Row],[Land Bonus]]&lt;&gt;0,20,0))*1.25 + 850 + 0,0)</f>
        <v>850</v>
      </c>
      <c r="AW4" s="69" t="n">
        <f aca="false">ROUND((TblConstr[[#This Row],[Land]]-250 - IF(TblExplore[[#This Row],[Land Bonus]]&lt;&gt;0,20,0))*0.285 + 87.5 + 0/4.25,0)</f>
        <v>88</v>
      </c>
      <c r="AX4" s="146"/>
      <c r="AY4" s="184" t="n">
        <f aca="false">start_homes-TblConstr[[#This Row],[Dest Hom]]</f>
        <v>10</v>
      </c>
      <c r="AZ4" s="185" t="n">
        <f aca="false">start_alchs-TblConstr[[#This Row],[Dest Alc]]</f>
        <v>30</v>
      </c>
      <c r="BA4" s="185" t="n">
        <f aca="false">start_farms-TblConstr[[#This Row],[Dest Farm]]</f>
        <v>30</v>
      </c>
      <c r="BB4" s="185" t="n">
        <f aca="false">start_smithies-TblConstr[[#This Row],[Dest Smi]]</f>
        <v>0</v>
      </c>
      <c r="BC4" s="185" t="n">
        <f aca="false">start_masons-TblConstr[[#This Row],[Dest Mas]]</f>
        <v>0</v>
      </c>
      <c r="BD4" s="186" t="n">
        <f aca="false">start_ly-TblConstr[[#This Row],[Dest Ly]]</f>
        <v>20</v>
      </c>
      <c r="BE4" s="186" t="n">
        <f aca="false">start_havens-TblConstr[[#This Row],[Dest Hav]]</f>
        <v>0</v>
      </c>
      <c r="BF4" s="187" t="n">
        <f aca="false">start_om-TblConstr[[#This Row],[Dest OM]]</f>
        <v>0</v>
      </c>
      <c r="BG4" s="187" t="n">
        <f aca="false">start_gn-TblConstr[[#This Row],[Dest GN]]</f>
        <v>0</v>
      </c>
      <c r="BH4" s="188" t="n">
        <f aca="false">start_facs-TblConstr[[#This Row],[Dest Fac]]</f>
        <v>0</v>
      </c>
      <c r="BI4" s="188" t="n">
        <f aca="false">start_gt-TblConstr[[#This Row],[Dest GT]]</f>
        <v>0</v>
      </c>
      <c r="BJ4" s="188" t="n">
        <f aca="false">start_rax-TblConstr[[#This Row],[Dest Bar]]</f>
        <v>0</v>
      </c>
      <c r="BK4" s="188" t="n">
        <f aca="false">start_shrines-TblConstr[[#This Row],[Dest Shr]]</f>
        <v>0</v>
      </c>
      <c r="BL4" s="189" t="n">
        <f aca="false">start_towers-TblConstr[[#This Row],[Dest Tow]]</f>
        <v>0</v>
      </c>
      <c r="BM4" s="189" t="n">
        <f aca="false">start_temples-TblConstr[[#This Row],[Dest Tem]]</f>
        <v>0</v>
      </c>
      <c r="BN4" s="189" t="n">
        <f aca="false">start_temples-TblConstr[[#This Row],[Dest WG]]</f>
        <v>0</v>
      </c>
      <c r="BO4" s="190" t="n">
        <f aca="false">start_dm-TblConstr[[#This Row],[Dest DM]]</f>
        <v>0</v>
      </c>
      <c r="BP4" s="190" t="n">
        <f aca="false">start_schools-TblConstr[[#This Row],[Dest Sch]]</f>
        <v>0</v>
      </c>
      <c r="BQ4" s="191" t="n">
        <f aca="false">start_docks-TblConstr[[#This Row],[Dest Doc]]</f>
        <v>0</v>
      </c>
      <c r="BR4" s="132"/>
      <c r="BS4" s="146"/>
      <c r="BT4" s="69" t="n">
        <f aca="false">TblConstr[[#This Row],[Land]]</f>
        <v>250</v>
      </c>
      <c r="BU4" s="153" t="n">
        <f aca="false">TblImps[[#This Row],[Time]]</f>
        <v>45429.75</v>
      </c>
      <c r="BV4" s="132"/>
      <c r="BW4" s="182"/>
      <c r="BX4" s="182"/>
      <c r="BY4" s="182"/>
      <c r="BZ4" s="182"/>
      <c r="CA4" s="182"/>
      <c r="CB4" s="182"/>
      <c r="CC4" s="182"/>
      <c r="CD4" s="182"/>
      <c r="CE4" s="182"/>
      <c r="CF4" s="182"/>
      <c r="CG4" s="182"/>
      <c r="CH4" s="182"/>
      <c r="CI4" s="182"/>
      <c r="CJ4" s="182"/>
      <c r="CK4" s="182"/>
      <c r="CL4" s="182"/>
      <c r="CM4" s="182"/>
      <c r="CN4" s="182"/>
      <c r="CO4" s="182"/>
      <c r="CP4" s="132"/>
      <c r="CQ4" s="192" t="n">
        <f aca="false">-SUM(TblConstr[[#This Row],[Alc]:[Mas]])+SUM(TblConstr[[#This Row],[Dest Alc]:[Dest Mas]])+Rezone!L4+IF("Ch_"&amp; home_land=TblConstr[[#Headers],[Ch_Plain]],TblConstr[[#This Row],[Home Land]])+IF(TblConstr[[#This Row],[Hour]:[Hour]]&gt;12,OFFSET(TblExplore[[#This Row],[Plains Explore]],-12,0),0)</f>
        <v>-40</v>
      </c>
      <c r="CR4" s="193" t="n">
        <f aca="false">-SUM(TblConstr[[#This Row],[Ly]:[Hav]])+SUM(TblConstr[[#This Row],[Dest Ly]:[Dest Hav]]) +Rezone!M4 + IF("Ch_"&amp; home_land=TblConstr[[#Headers],[Ch_Forest]],TblConstr[[#This Row],[Home Land]])+IF(TblConstr[[#This Row],[Hour]:[Hour]]&gt;12,OFFSET(TblExplore[[#This Row],[Forest Explore]],-12,0),0)</f>
        <v>-20</v>
      </c>
      <c r="CS4" s="194" t="n">
        <f aca="false">-SUM(TblConstr[[#This Row],[OM]:[GN]])+SUM(TblConstr[[#This Row],[Dest OM]:[Dest GN]]) +Rezone!N4 + IF("Ch_"&amp; home_land=TblConstr[[#Headers],[Ch_Mountain]],TblConstr[[#This Row],[Home Land]])+IF(TblConstr[[#This Row],[Hour]:[Hour]]&gt;12,OFFSET(TblExplore[[#This Row],[Mountain Explore]],-12,0),0)</f>
        <v>-20</v>
      </c>
      <c r="CT4" s="195" t="n">
        <f aca="false">-SUM(TblConstr[[#This Row],[Fac]:[Shr]])+SUM(TblConstr[[#This Row],[Dest Fac]:[Dest Shr]]) +Rezone!O4 + IF("Ch_" &amp; home_land=TblConstr[[#Headers],[Ch_Hill]],TblConstr[[#This Row],[Home Land]])+IF(TblConstr[[#This Row],[Hour]:[Hour]]&gt;12,OFFSET(TblExplore[[#This Row],[Hill Explore]],-12,0),0)</f>
        <v>-20</v>
      </c>
      <c r="CU4" s="196" t="n">
        <f aca="false">-SUM(TblConstr[[#This Row],[Tow]:[WG]])+SUM(TblConstr[[#This Row],[Dest Tow]:[Dest WG]]) +Rezone!P4 + IF("Ch_" &amp; home_land=TblConstr[[#Headers],[Ch_Swamp]],TblConstr[[#This Row],[Home Land]])+IF(TblConstr[[#This Row],[Hour]:[Hour]]&gt;12,OFFSET(TblExplore[[#This Row],[Swamp Explore]],-12,0),0)</f>
        <v>-20</v>
      </c>
      <c r="CV4" s="197" t="n">
        <f aca="false">- SUM(TblConstr[[#This Row],[DM]:[Sch]])+SUM(TblConstr[[#This Row],[Dest DM]:[Dest Sch]]) +Rezone!Q4 + IF("Ch_" &amp; home_land=TblConstr[[#Headers],[Ch_Cavern]],TblConstr[[#This Row],[Home Land]])+IF(TblConstr[[#This Row],[Hour]:[Hour]]&gt;12,OFFSET(TblExplore[[#This Row],[Cavern Explore]],-12,0),0)</f>
        <v>0</v>
      </c>
      <c r="CW4" s="198" t="n">
        <f aca="false">-TblConstr[[#This Row],[Doc]]+TblConstr[[#This Row],[Dest Doc]] +Rezone!R4 + IF("Ch_" &amp; home_land=TblConstr[[#Headers],[Ch_Water]],TblConstr[[#This Row],[Home Land]])+IF(TblConstr[[#This Row],[Hour]:[Hour]]&gt;12,OFFSET(TblExplore[[#This Row],[Water Explore]],-12,0),0)</f>
        <v>-10</v>
      </c>
      <c r="CX4" s="1" t="n">
        <f aca="false">IF(Explore!S4=1,20) - TblConstr[[#This Row],[Hom]] + TblConstr[[#This Row],[Dest Hom]]</f>
        <v>0</v>
      </c>
      <c r="CY4" s="132"/>
      <c r="CZ4" s="69" t="n">
        <f aca="false">G4+SUM(P$4:S4)+SUM(AZ4:BC4)</f>
        <v>100</v>
      </c>
      <c r="DA4" s="69" t="n">
        <f aca="false">H4+SUM(T$4:U4)+SUM(BD4:BE4)</f>
        <v>20</v>
      </c>
      <c r="DB4" s="1" t="n">
        <f aca="false">I4+SUM(V$4:W4)+SUM(BF4:BG4)</f>
        <v>0</v>
      </c>
      <c r="DC4" s="69" t="n">
        <f aca="false">J4+SUM(X$4:Y4)+SUM(BH4:BI4)</f>
        <v>28</v>
      </c>
      <c r="DD4" s="69" t="n">
        <f aca="false">K4+SUM(AB$4:AD4)+SUM(BL4:BN4)</f>
        <v>62</v>
      </c>
      <c r="DE4" s="1" t="n">
        <f aca="false">L4+SUM(AE$4:AE4)+BO4</f>
        <v>20</v>
      </c>
      <c r="DF4" s="69" t="n">
        <f aca="false">M4+SUM(AG$4:AG4)+BQ4</f>
        <v>10</v>
      </c>
      <c r="DG4" s="1" t="e">
        <f aca="false" t="array" ref="DG4:DG4">INDEX(TblConstr[[Total Plain]:[Total Water]],ROW()-ROW(TblConstr[#headers]),MATCH("Total "&amp;home_land,TblConstr[[#Headers],[Total Plain]:[Total Water]],0))+TblConstr[[#This Row],[Homes]]</f>
        <v>#VALUE!</v>
      </c>
      <c r="DH4" s="1" t="n">
        <f aca="false">SUM(O$4:O4)+AY4</f>
        <v>10</v>
      </c>
      <c r="DI4" s="69" t="n">
        <v>0</v>
      </c>
      <c r="DJ4" s="1" t="n">
        <v>0</v>
      </c>
    </row>
    <row r="5" customFormat="false" ht="12.75" hidden="false" customHeight="false" outlineLevel="0" collapsed="false">
      <c r="A5" s="170" t="n">
        <f aca="false">TblRezone[[#This Row],[Hour]]</f>
        <v>2</v>
      </c>
      <c r="B5" s="171" t="n">
        <f aca="false">SUM(TblConstr[[#This Row],[Plain]:[Water]])</f>
        <v>30</v>
      </c>
      <c r="C5" s="172" t="n">
        <f aca="false">SUM(TblConstr[[#This Row],[Tot Hom]:[Tot Doc]])</f>
        <v>90</v>
      </c>
      <c r="D5" s="172" t="n">
        <f aca="false">SUM(O$4:AG5)</f>
        <v>130</v>
      </c>
      <c r="E5" s="173"/>
      <c r="F5" s="33" t="n">
        <f aca="false">TblConstr[[#This Row],[Barren]]+TblConstr[[#This Row],[Buildings]]+TblConstr[[#This Row],[Incoming]]</f>
        <v>250</v>
      </c>
      <c r="G5" s="199" t="n">
        <f aca="false">OFFSET(TblConstr[[#This Row],[Plain]],-1,0)+TblConstr[[#This Row],[Ch_Plain]]</f>
        <v>0</v>
      </c>
      <c r="H5" s="193" t="n">
        <f aca="false">OFFSET(TblConstr[[#This Row],[Forest]],-1,0)+TblConstr[[#This Row],[Ch_Forest]]</f>
        <v>0</v>
      </c>
      <c r="I5" s="200" t="n">
        <f aca="false">OFFSET(TblConstr[[#This Row],[Mountain]],-1,0)+TblConstr[[#This Row],[Ch_Mountain]]</f>
        <v>0</v>
      </c>
      <c r="J5" s="201" t="n">
        <f aca="false">OFFSET(TblConstr[[#This Row],[Hill]],-1,0)+TblConstr[[#This Row],[Ch_Hill]]</f>
        <v>0</v>
      </c>
      <c r="K5" s="202" t="n">
        <f aca="false">OFFSET(TblConstr[[#This Row],[Swamp]],-1,0)+TblConstr[[#This Row],[Ch_Swamp]]</f>
        <v>0</v>
      </c>
      <c r="L5" s="197" t="n">
        <f aca="false">OFFSET(TblConstr[[#This Row],[Cavern]],-1,0)+TblConstr[[#This Row],[Ch_Cavern]]</f>
        <v>20</v>
      </c>
      <c r="M5" s="198" t="n">
        <f aca="false">OFFSET(TblConstr[[#This Row],[Water]],-1,0)+TblConstr[[#This Row],[Ch_Water]]</f>
        <v>10</v>
      </c>
      <c r="N5" s="181" t="n">
        <f aca="false">TblRezone[[#This Row],[Hour]]</f>
        <v>2</v>
      </c>
      <c r="O5" s="182"/>
      <c r="P5" s="182"/>
      <c r="Q5" s="182"/>
      <c r="R5" s="182"/>
      <c r="S5" s="182"/>
      <c r="T5" s="182"/>
      <c r="U5" s="182"/>
      <c r="V5" s="182"/>
      <c r="W5" s="182"/>
      <c r="X5" s="182"/>
      <c r="Y5" s="182"/>
      <c r="Z5" s="182"/>
      <c r="AA5" s="182"/>
      <c r="AB5" s="182"/>
      <c r="AC5" s="182"/>
      <c r="AD5" s="182"/>
      <c r="AE5" s="182"/>
      <c r="AF5" s="182"/>
      <c r="AG5" s="182"/>
      <c r="AH5" s="20" t="n">
        <f aca="false">TblImps[[#This Row],[Time]]</f>
        <v>45429.7916666667</v>
      </c>
      <c r="AI5" s="130" t="n">
        <f aca="false">MIN(25%,(TblConstr[[#This Row],[Tot Fac]]+TblConstr[[#This Row],[Dest Fac]])/(TblConstr[[#This Row],[Land]]-TblExplore[[#This Row],[Land Bonus]]*20))</f>
        <v>0</v>
      </c>
      <c r="AJ5" s="130" t="n">
        <f aca="false">MIN(25%,(TblConstr[[#This Row],[Tot Fac]]+TblConstr[[#This Row],[Dest Fac]])/TblConstr[[#This Row],[Land]])</f>
        <v>0</v>
      </c>
      <c r="AK5" s="69" t="n">
        <f aca="false">TblProd[[#This Row],[Platinum]]</f>
        <v>15140</v>
      </c>
      <c r="AL5" s="69" t="n">
        <f aca="false">TblProd[[#This Row],[Lumber]]</f>
        <v>0</v>
      </c>
      <c r="AM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5" s="69" t="n">
        <f aca="false">ROUNDDOWN( MAX(1 - MIN(facs_constr_factor*TblConstr[[#This Row],[Facs -DB]],facs_constr_max) + tech_1_11*TblTech[[#This Row],[11-1]] + tech_6_3_2*TblTech[[#This Row],[6-3]] + tech_5_2_3*TblTech[[#This Row],[5-2]], 1-global_constr_cap) * TblConstr[[#This Row],[RCPA Lumber]],0)</f>
        <v>88</v>
      </c>
      <c r="AO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5" s="69" t="n">
        <f aca="false">ROUNDDOWN( MAX(1 - MIN(facs_constr_factor*TblConstr[[#This Row],[Facs DB]],facs_constr_max) + tech_1_11*TblTech[[#This Row],[1-11]] + tech_6_3_2*TblTech[[#This Row],[6-3]] + tech_5_2_3*TblTech[[#This Row],[5-2]], 1-global_constr_cap) * ROUND((TblConstr[[#This Row],[Land]]-250)*0.285 + 87.5 + 0/4.25,0),0)</f>
        <v>88</v>
      </c>
      <c r="AQ5" s="1" t="n">
        <f aca="false">TblConstr[[#This Row],[build -db]]*TblConstr[[#This Row],[CPA Platinum -DB]] + TblConstr[[#This Row],[build db]]*TblConstr[[#This Row],[CPA Platinum DB]]</f>
        <v>0</v>
      </c>
      <c r="AR5" s="1" t="n">
        <f aca="false">TblConstr[[#This Row],[build -db]]*TblConstr[[#This Row],[CPA Lumber -DB]]+TblConstr[[#This Row],[build db]]*TblConstr[[#This Row],[CPA Lumber DB]]</f>
        <v>0</v>
      </c>
      <c r="AS5" s="69" t="n">
        <f aca="false">MIN(SUM(OFFSET(TblConstr[[#This Row],[Plain]:[Water]],-1,0))+SUM(TblConstr[[#This Row],[Dest Hom]:[Dest Doc]])+IF(TblConstr[[#This Row],[Hour]]&gt;12,SUM(OFFSET(TblExplore[[#This Row],[Plains Explore]:[Water Explore]],-12,0)),0),SUM(TblConstr[[#This Row],[Hom]:[Doc]]))</f>
        <v>0</v>
      </c>
      <c r="AT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32"/>
      <c r="AV5" s="69" t="n">
        <f aca="false">ROUND((TblConstr[[#This Row],[Land]]-250 - IF(TblExplore[[#This Row],[Land Bonus]]&lt;&gt;0,20,0))*1.25 + 850 + 0,0)</f>
        <v>850</v>
      </c>
      <c r="AW5" s="69" t="n">
        <f aca="false">ROUND((TblConstr[[#This Row],[Land]]-250 - IF(TblExplore[[#This Row],[Land Bonus]]&lt;&gt;0,20,0))*0.285 + 87.5 + 0/4.25,0)</f>
        <v>88</v>
      </c>
      <c r="AX5" s="146"/>
      <c r="AY5" s="203" t="n">
        <f aca="false" t="array" ref="AY5:AY5">IF(TblConstr[[#This Row],[Hour]:[Hour]]&gt;12,OFFSET(TblConstr[[#This Row],[Hom]],-12,0),0)+OFFSET(TblConstr[[#This Row],[Tot Hom]],-1,0)-TblConstr[[#This Row],[Dest Hom]]</f>
        <v>10</v>
      </c>
      <c r="AZ5" s="204" t="n">
        <f aca="false" t="array" ref="AZ5:AZ5">IF(TblConstr[[#This Row],[Hour]:[Hour]]&gt;12,OFFSET(TblConstr[[#This Row],[Alc]],-12,0),0)+OFFSET(TblConstr[[#This Row],[Tot Alc]],-1,0)-TblConstr[[#This Row],[Dest Alc]]</f>
        <v>30</v>
      </c>
      <c r="BA5" s="204" t="n">
        <f aca="false" t="array" ref="BA5:BA5">IF(TblConstr[[#This Row],[Hour]:[Hour]]&gt;12,OFFSET(TblConstr[[#This Row],[Far]],-12,0),0)+OFFSET(TblConstr[[#This Row],[Tot Farm]],-1,0)-TblConstr[[#This Row],[Dest Farm]]</f>
        <v>30</v>
      </c>
      <c r="BB5" s="204" t="n">
        <f aca="false" t="array" ref="BB5:BB5">IF(TblConstr[[#This Row],[Hour]:[Hour]]&gt;12,OFFSET(TblConstr[[#This Row],[Smi]],-12,0),0)+OFFSET(TblConstr[[#This Row],[Tot Smi]],-1,0)-TblConstr[[#This Row],[Dest Smi]]</f>
        <v>0</v>
      </c>
      <c r="BC5" s="204" t="n">
        <f aca="false" t="array" ref="BC5:BC5">IF(TblConstr[[#This Row],[Hour]:[Hour]]&gt;12,OFFSET(TblConstr[[#This Row],[Mas]],-12,0),0)+OFFSET(TblConstr[[#This Row],[Tot Mas]],-1,0)-TblConstr[[#This Row],[Dest Mas]]</f>
        <v>0</v>
      </c>
      <c r="BD5" s="205" t="n">
        <f aca="false" t="array" ref="BD5:BD5">IF(TblConstr[[#This Row],[Hour]:[Hour]]&gt;12,OFFSET(TblConstr[[#This Row],[Ly]],-12,0),0)+OFFSET(TblConstr[[#This Row],[Tot Ly]],-1,0)-TblConstr[[#This Row],[Dest Ly]]</f>
        <v>20</v>
      </c>
      <c r="BE5" s="205" t="n">
        <f aca="false" t="array" ref="BE5:BE5">IF(TblConstr[[#This Row],[Hour]:[Hour]]&gt;12,OFFSET(TblConstr[[#This Row],[Hav]],-12,0),0)+OFFSET(TblConstr[[#This Row],[Tot Hav]],-1,0)-TblConstr[[#This Row],[Dest Hav]]</f>
        <v>0</v>
      </c>
      <c r="BF5" s="194" t="n">
        <f aca="false" t="array" ref="BF5:BF5">IF(TblConstr[[#This Row],[Hour]:[Hour]]&gt;12,OFFSET(TblConstr[[#This Row],[OM]],-12,0),0)+OFFSET(TblConstr[[#This Row],[Tot OM]],-1,0)-TblConstr[[#This Row],[Dest OM]]</f>
        <v>0</v>
      </c>
      <c r="BG5" s="194" t="n">
        <f aca="false" t="array" ref="BG5:BG5">IF(TblConstr[[#This Row],[Hour]:[Hour]]&gt;12,OFFSET(TblConstr[[#This Row],[GN]],-12,0),0)+OFFSET(TblConstr[[#This Row],[Tot GN]],-1,0)-TblConstr[[#This Row],[Dest GN]]</f>
        <v>0</v>
      </c>
      <c r="BH5" s="206" t="n">
        <f aca="false" t="array" ref="BH5:BH5">IF(TblConstr[[#This Row],[Hour]:[Hour]]&gt;12,OFFSET(TblConstr[[#This Row],[Fac]],-12,0),0)+OFFSET(TblConstr[[#This Row],[Tot Fac]],-1,0)-TblConstr[[#This Row],[Dest Fac]]</f>
        <v>0</v>
      </c>
      <c r="BI5" s="206" t="n">
        <f aca="false" t="array" ref="BI5:BI5">IF(TblConstr[[#This Row],[Hour]:[Hour]]&gt;12,OFFSET(TblConstr[[#This Row],[GT]],-12,0),0)+OFFSET(TblConstr[[#This Row],[Tot GT]],-1,0)-TblConstr[[#This Row],[Dest GT]]</f>
        <v>0</v>
      </c>
      <c r="BJ5" s="206" t="n">
        <f aca="false" t="array" ref="BJ5:BJ5">IF(TblConstr[[#This Row],[Hour]:[Hour]]&gt;12,OFFSET(TblConstr[[#This Row],[Bar]],-12,0),0)+OFFSET(TblConstr[[#This Row],[Tot Bar]],-1,0)-TblConstr[[#This Row],[Dest Bar]]</f>
        <v>0</v>
      </c>
      <c r="BK5" s="206" t="n">
        <f aca="false" t="array" ref="BK5:BK5">IF(TblConstr[[#This Row],[Hour]:[Hour]]&gt;12,OFFSET(TblConstr[[#This Row],[Shr]],-12,0),0)+OFFSET(TblConstr[[#This Row],[Tot Shr]],-1,0)-TblConstr[[#This Row],[Dest Shr]]</f>
        <v>0</v>
      </c>
      <c r="BL5" s="207" t="n">
        <f aca="false" t="array" ref="BL5:BL5">IF(TblConstr[[#This Row],[Hour]:[Hour]]&gt;12,OFFSET(TblConstr[[#This Row],[Tow]],-12,0),0)+OFFSET(TblConstr[[#This Row],[Tot Tow]],-1,0)-TblConstr[[#This Row],[Dest Tow]]</f>
        <v>0</v>
      </c>
      <c r="BM5" s="207" t="n">
        <f aca="false" t="array" ref="BM5:BM5">IF(TblConstr[[#This Row],[Hour]:[Hour]]&gt;12,OFFSET(TblConstr[[#This Row],[Tem]],-12,0),0)+OFFSET(TblConstr[[#This Row],[Tot Tem]],-1,0)-TblConstr[[#This Row],[Dest Tem]]</f>
        <v>0</v>
      </c>
      <c r="BN5" s="207" t="n">
        <f aca="false" t="array" ref="BN5:BN5">IF(TblConstr[[#This Row],[Hour]:[Hour]]&gt;12,OFFSET(TblConstr[[#This Row],[WG]],-12,0),0)+OFFSET(TblConstr[[#This Row],[Tot WG]],-1,0)-TblConstr[[#This Row],[Dest WG]]</f>
        <v>0</v>
      </c>
      <c r="BO5" s="208" t="n">
        <f aca="false" t="array" ref="BO5:BO5">IF(TblConstr[[#This Row],[Hour]:[Hour]]&gt;12,OFFSET(TblConstr[[#This Row],[DM]],-12,0),0)+OFFSET(TblConstr[[#This Row],[Tot DM]],-1,0)-TblConstr[[#This Row],[Dest DM]]</f>
        <v>0</v>
      </c>
      <c r="BP5" s="208" t="n">
        <f aca="false" t="array" ref="BP5:BP5">IF(TblConstr[[#This Row],[Hour]:[Hour]]&gt;12,OFFSET(TblConstr[[#This Row],[Sch]],-12,0),0)+OFFSET(TblConstr[[#This Row],[Tot Sch]],-1,0)-TblConstr[[#This Row],[Dest Sch]]</f>
        <v>0</v>
      </c>
      <c r="BQ5" s="209" t="n">
        <f aca="false" t="array" ref="BQ5:BQ5">IF(TblConstr[[#This Row],[Hour]:[Hour]]&gt;12,OFFSET(TblConstr[[#This Row],[Doc]],-12,0),0)+OFFSET(TblConstr[[#This Row],[Tot Doc]],-1,0)-TblConstr[[#This Row],[Dest Doc]]</f>
        <v>0</v>
      </c>
      <c r="BR5" s="132"/>
      <c r="BS5" s="146"/>
      <c r="BT5" s="69" t="n">
        <f aca="false">TblConstr[[#This Row],[Land]]</f>
        <v>250</v>
      </c>
      <c r="BU5" s="153" t="n">
        <f aca="false">TblImps[[#This Row],[Time]]</f>
        <v>45429.7916666667</v>
      </c>
      <c r="BV5" s="132"/>
      <c r="BW5" s="182"/>
      <c r="BX5" s="182"/>
      <c r="BY5" s="182"/>
      <c r="BZ5" s="182"/>
      <c r="CA5" s="182"/>
      <c r="CB5" s="182"/>
      <c r="CC5" s="182"/>
      <c r="CD5" s="182"/>
      <c r="CE5" s="182"/>
      <c r="CF5" s="182"/>
      <c r="CG5" s="182"/>
      <c r="CH5" s="182"/>
      <c r="CI5" s="182"/>
      <c r="CJ5" s="182"/>
      <c r="CK5" s="182"/>
      <c r="CL5" s="182"/>
      <c r="CM5" s="182"/>
      <c r="CN5" s="182"/>
      <c r="CO5" s="182"/>
      <c r="CP5" s="132"/>
      <c r="CQ5" s="192" t="n">
        <f aca="false">-SUM(TblConstr[[#This Row],[Alc]:[Mas]])+SUM(TblConstr[[#This Row],[Dest Alc]:[Dest Mas]])+Rezone!L5+IF("Ch_"&amp; home_land=TblConstr[[#Headers],[Ch_Plain]],TblConstr[[#This Row],[Home Land]])+IF(TblConstr[[#This Row],[Hour]:[Hour]]&gt;12,OFFSET(TblExplore[[#This Row],[Plains Explore]],-12,0),0)</f>
        <v>0</v>
      </c>
      <c r="CR5" s="193" t="n">
        <f aca="false">-SUM(TblConstr[[#This Row],[Ly]:[Hav]])+SUM(TblConstr[[#This Row],[Dest Ly]:[Dest Hav]]) +Rezone!M5 + IF("Ch_"&amp; home_land=TblConstr[[#Headers],[Ch_Forest]],TblConstr[[#This Row],[Home Land]])+IF(TblConstr[[#This Row],[Hour]:[Hour]]&gt;12,OFFSET(TblExplore[[#This Row],[Forest Explore]],-12,0),0)</f>
        <v>0</v>
      </c>
      <c r="CS5" s="200" t="n">
        <f aca="false">-SUM(TblConstr[[#This Row],[OM]:[GN]])+SUM(TblConstr[[#This Row],[Dest OM]:[Dest GN]]) +Rezone!N5 + IF("Ch_"&amp; home_land=TblConstr[[#Headers],[Ch_Mountain]],TblConstr[[#This Row],[Home Land]])+IF(TblConstr[[#This Row],[Hour]:[Hour]]&gt;12,OFFSET(TblExplore[[#This Row],[Mountain Explore]],-12,0),0)</f>
        <v>0</v>
      </c>
      <c r="CT5" s="195" t="n">
        <f aca="false">-SUM(TblConstr[[#This Row],[Fac]:[Shr]])+SUM(TblConstr[[#This Row],[Dest Fac]:[Dest Shr]]) +Rezone!O5 + IF("Ch_" &amp; home_land=TblConstr[[#Headers],[Ch_Hill]],TblConstr[[#This Row],[Home Land]])+IF(TblConstr[[#This Row],[Hour]:[Hour]]&gt;12,OFFSET(TblExplore[[#This Row],[Hill Explore]],-12,0),0)</f>
        <v>0</v>
      </c>
      <c r="CU5" s="196" t="n">
        <f aca="false">-SUM(TblConstr[[#This Row],[Tow]:[WG]])+SUM(TblConstr[[#This Row],[Dest Tow]:[Dest WG]]) +Rezone!P5 + IF("Ch_" &amp; home_land=TblConstr[[#Headers],[Ch_Swamp]],TblConstr[[#This Row],[Home Land]])+IF(TblConstr[[#This Row],[Hour]:[Hour]]&gt;12,OFFSET(TblExplore[[#This Row],[Swamp Explore]],-12,0),0)</f>
        <v>0</v>
      </c>
      <c r="CV5" s="197" t="n">
        <f aca="false">- SUM(TblConstr[[#This Row],[DM]:[Sch]])+SUM(TblConstr[[#This Row],[Dest DM]:[Dest Sch]]) +Rezone!Q5 + IF("Ch_" &amp; home_land=TblConstr[[#Headers],[Ch_Cavern]],TblConstr[[#This Row],[Home Land]])+IF(TblConstr[[#This Row],[Hour]:[Hour]]&gt;12,OFFSET(TblExplore[[#This Row],[Cavern Explore]],-12,0),0)</f>
        <v>0</v>
      </c>
      <c r="CW5" s="198" t="n">
        <f aca="false">-TblConstr[[#This Row],[Doc]]+TblConstr[[#This Row],[Dest Doc]] +Rezone!R5 + IF("Ch_" &amp; home_land=TblConstr[[#Headers],[Ch_Water]],TblConstr[[#This Row],[Home Land]])+IF(TblConstr[[#This Row],[Hour]:[Hour]]&gt;12,OFFSET(TblExplore[[#This Row],[Water Explore]],-12,0),0)</f>
        <v>0</v>
      </c>
      <c r="CX5" s="1" t="n">
        <f aca="false">IF(Explore!S5=1,20) - TblConstr[[#This Row],[Hom]] + TblConstr[[#This Row],[Dest Hom]]</f>
        <v>0</v>
      </c>
      <c r="CY5" s="132"/>
      <c r="CZ5" s="69" t="n">
        <f aca="false">G5+SUM(P$4:S5)+SUM(AZ5:BC5)</f>
        <v>100</v>
      </c>
      <c r="DA5" s="69" t="n">
        <f aca="false">H5+SUM(T$4:U5)+SUM(BD5:BE5)</f>
        <v>20</v>
      </c>
      <c r="DB5" s="1" t="n">
        <f aca="false">I5+SUM(V$4:W5)+SUM(BF5:BG5)</f>
        <v>0</v>
      </c>
      <c r="DC5" s="69" t="n">
        <f aca="false">J5+SUM(X$4:Y5)+SUM(BH5:BI5)</f>
        <v>28</v>
      </c>
      <c r="DD5" s="69" t="n">
        <f aca="false">K5+SUM(AB$4:AD5)+SUM(BL5:BN5)</f>
        <v>62</v>
      </c>
      <c r="DE5" s="1" t="n">
        <f aca="false">L5+SUM(AE$4:AE5)+BO5</f>
        <v>20</v>
      </c>
      <c r="DF5" s="69" t="n">
        <f aca="false">M5+SUM(AG$4:AG5)+BQ5</f>
        <v>10</v>
      </c>
      <c r="DG5" s="69" t="e">
        <f aca="false" t="array" ref="DG5:DG5">INDEX(TblConstr[[Total Plain]:[Total Water]],ROW()-ROW(TblConstr[#headers]),MATCH("Total "&amp;home_land,TblConstr[[#Headers],[Total Plain]:[Total Water]],0))+TblConstr[[#This Row],[Homes]]</f>
        <v>#VALUE!</v>
      </c>
      <c r="DH5" s="1" t="n">
        <f aca="false">SUM(O$4:O5)+AY5</f>
        <v>10</v>
      </c>
      <c r="DI5" s="69" t="n">
        <f aca="false">MAX(BA5-BA4,0)</f>
        <v>0</v>
      </c>
      <c r="DJ5" s="1" t="n">
        <f aca="false">MAX(BQ5-BQ4,0)</f>
        <v>0</v>
      </c>
    </row>
    <row r="6" customFormat="false" ht="12.75" hidden="false" customHeight="false" outlineLevel="0" collapsed="false">
      <c r="A6" s="170" t="n">
        <f aca="false">TblRezone[[#This Row],[Hour]]</f>
        <v>3</v>
      </c>
      <c r="B6" s="171" t="n">
        <f aca="false">SUM(TblConstr[[#This Row],[Plain]:[Water]])</f>
        <v>30</v>
      </c>
      <c r="C6" s="172" t="n">
        <f aca="false">SUM(TblConstr[[#This Row],[Tot Hom]:[Tot Doc]])</f>
        <v>90</v>
      </c>
      <c r="D6" s="172" t="n">
        <f aca="false">SUM(O$4:AG6)</f>
        <v>130</v>
      </c>
      <c r="E6" s="173"/>
      <c r="F6" s="33" t="n">
        <f aca="false">TblConstr[[#This Row],[Barren]]+TblConstr[[#This Row],[Buildings]]+TblConstr[[#This Row],[Incoming]]</f>
        <v>250</v>
      </c>
      <c r="G6" s="199" t="n">
        <f aca="false">OFFSET(TblConstr[[#This Row],[Plain]],-1,0)+TblConstr[[#This Row],[Ch_Plain]]</f>
        <v>0</v>
      </c>
      <c r="H6" s="193" t="n">
        <f aca="false">OFFSET(TblConstr[[#This Row],[Forest]],-1,0)+TblConstr[[#This Row],[Ch_Forest]]</f>
        <v>0</v>
      </c>
      <c r="I6" s="200" t="n">
        <f aca="false">OFFSET(TblConstr[[#This Row],[Mountain]],-1,0)+TblConstr[[#This Row],[Ch_Mountain]]</f>
        <v>0</v>
      </c>
      <c r="J6" s="201" t="n">
        <f aca="false">OFFSET(TblConstr[[#This Row],[Hill]],-1,0)+TblConstr[[#This Row],[Ch_Hill]]</f>
        <v>0</v>
      </c>
      <c r="K6" s="202" t="n">
        <f aca="false">OFFSET(TblConstr[[#This Row],[Swamp]],-1,0)+TblConstr[[#This Row],[Ch_Swamp]]</f>
        <v>0</v>
      </c>
      <c r="L6" s="197" t="n">
        <f aca="false">OFFSET(TblConstr[[#This Row],[Cavern]],-1,0)+TblConstr[[#This Row],[Ch_Cavern]]</f>
        <v>20</v>
      </c>
      <c r="M6" s="198" t="n">
        <f aca="false">OFFSET(TblConstr[[#This Row],[Water]],-1,0)+TblConstr[[#This Row],[Ch_Water]]</f>
        <v>10</v>
      </c>
      <c r="N6" s="181" t="n">
        <f aca="false">TblRezone[[#This Row],[Hour]]</f>
        <v>3</v>
      </c>
      <c r="O6" s="182"/>
      <c r="P6" s="182"/>
      <c r="Q6" s="182"/>
      <c r="R6" s="182"/>
      <c r="S6" s="182"/>
      <c r="T6" s="182"/>
      <c r="U6" s="182"/>
      <c r="V6" s="182"/>
      <c r="W6" s="182"/>
      <c r="X6" s="182"/>
      <c r="Y6" s="182"/>
      <c r="Z6" s="182"/>
      <c r="AA6" s="182"/>
      <c r="AB6" s="182"/>
      <c r="AC6" s="182"/>
      <c r="AD6" s="182"/>
      <c r="AE6" s="182"/>
      <c r="AF6" s="182"/>
      <c r="AG6" s="182"/>
      <c r="AH6" s="20" t="n">
        <f aca="false">TblImps[[#This Row],[Time]]</f>
        <v>45429.8333333333</v>
      </c>
      <c r="AI6" s="130" t="n">
        <f aca="false">MIN(25%,(TblConstr[[#This Row],[Tot Fac]]+TblConstr[[#This Row],[Dest Fac]])/(TblConstr[[#This Row],[Land]]-TblExplore[[#This Row],[Land Bonus]]*20))</f>
        <v>0</v>
      </c>
      <c r="AJ6" s="130" t="n">
        <f aca="false">MIN(25%,(TblConstr[[#This Row],[Tot Fac]]+TblConstr[[#This Row],[Dest Fac]])/TblConstr[[#This Row],[Land]])</f>
        <v>0</v>
      </c>
      <c r="AK6" s="69" t="n">
        <f aca="false">TblProd[[#This Row],[Platinum]]</f>
        <v>20520</v>
      </c>
      <c r="AL6" s="69" t="n">
        <f aca="false">TblProd[[#This Row],[Lumber]]</f>
        <v>0</v>
      </c>
      <c r="AM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6" s="69" t="n">
        <f aca="false">ROUNDDOWN( MAX(1 - MIN(facs_constr_factor*TblConstr[[#This Row],[Facs -DB]],facs_constr_max) + tech_1_11*TblTech[[#This Row],[11-1]] + tech_6_3_2*TblTech[[#This Row],[6-3]] + tech_5_2_3*TblTech[[#This Row],[5-2]], 1-global_constr_cap) * TblConstr[[#This Row],[RCPA Lumber]],0)</f>
        <v>88</v>
      </c>
      <c r="AO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6" s="69" t="n">
        <f aca="false">ROUNDDOWN( MAX(1 - MIN(facs_constr_factor*TblConstr[[#This Row],[Facs DB]],facs_constr_max) + tech_1_11*TblTech[[#This Row],[1-11]] + tech_6_3_2*TblTech[[#This Row],[6-3]] + tech_5_2_3*TblTech[[#This Row],[5-2]], 1-global_constr_cap) * ROUND((TblConstr[[#This Row],[Land]]-250)*0.285 + 87.5 + 0/4.25,0),0)</f>
        <v>88</v>
      </c>
      <c r="AQ6" s="1" t="n">
        <f aca="false">TblConstr[[#This Row],[build -db]]*TblConstr[[#This Row],[CPA Platinum -DB]] + TblConstr[[#This Row],[build db]]*TblConstr[[#This Row],[CPA Platinum DB]]</f>
        <v>0</v>
      </c>
      <c r="AR6" s="1" t="n">
        <f aca="false">TblConstr[[#This Row],[build -db]]*TblConstr[[#This Row],[CPA Lumber -DB]]+TblConstr[[#This Row],[build db]]*TblConstr[[#This Row],[CPA Lumber DB]]</f>
        <v>0</v>
      </c>
      <c r="AS6" s="69" t="n">
        <f aca="false">MIN(SUM(OFFSET(TblConstr[[#This Row],[Plain]:[Water]],-1,0))+SUM(TblConstr[[#This Row],[Dest Hom]:[Dest Doc]])+IF(TblConstr[[#This Row],[Hour]]&gt;12,SUM(OFFSET(TblExplore[[#This Row],[Plains Explore]:[Water Explore]],-12,0)),0),SUM(TblConstr[[#This Row],[Hom]:[Doc]]))</f>
        <v>0</v>
      </c>
      <c r="AT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32"/>
      <c r="AV6" s="69" t="n">
        <f aca="false">ROUND((TblConstr[[#This Row],[Land]]-250 - IF(TblExplore[[#This Row],[Land Bonus]]&lt;&gt;0,20,0))*1.25 + 850 + 0,0)</f>
        <v>850</v>
      </c>
      <c r="AW6" s="69" t="n">
        <f aca="false">ROUND((TblConstr[[#This Row],[Land]]-250 - IF(TblExplore[[#This Row],[Land Bonus]]&lt;&gt;0,20,0))*0.285 + 87.5 + 0/4.25,0)</f>
        <v>88</v>
      </c>
      <c r="AX6" s="146"/>
      <c r="AY6" s="203" t="n">
        <f aca="false" t="array" ref="AY6:AY6">IF(TblConstr[[#This Row],[Hour]:[Hour]]&gt;12,OFFSET(TblConstr[[#This Row],[Hom]],-12,0),0)+OFFSET(TblConstr[[#This Row],[Tot Hom]],-1,0)-TblConstr[[#This Row],[Dest Hom]]</f>
        <v>10</v>
      </c>
      <c r="AZ6" s="204" t="n">
        <f aca="false" t="array" ref="AZ6:AZ6">IF(TblConstr[[#This Row],[Hour]:[Hour]]&gt;12,OFFSET(TblConstr[[#This Row],[Alc]],-12,0),0)+OFFSET(TblConstr[[#This Row],[Tot Alc]],-1,0)-TblConstr[[#This Row],[Dest Alc]]</f>
        <v>30</v>
      </c>
      <c r="BA6" s="204" t="n">
        <f aca="false" t="array" ref="BA6:BA6">IF(TblConstr[[#This Row],[Hour]:[Hour]]&gt;12,OFFSET(TblConstr[[#This Row],[Far]],-12,0),0)+OFFSET(TblConstr[[#This Row],[Tot Farm]],-1,0)-TblConstr[[#This Row],[Dest Farm]]</f>
        <v>30</v>
      </c>
      <c r="BB6" s="204" t="n">
        <f aca="false" t="array" ref="BB6:BB6">IF(TblConstr[[#This Row],[Hour]:[Hour]]&gt;12,OFFSET(TblConstr[[#This Row],[Smi]],-12,0),0)+OFFSET(TblConstr[[#This Row],[Tot Smi]],-1,0)-TblConstr[[#This Row],[Dest Smi]]</f>
        <v>0</v>
      </c>
      <c r="BC6" s="204" t="n">
        <f aca="false" t="array" ref="BC6:BC6">IF(TblConstr[[#This Row],[Hour]:[Hour]]&gt;12,OFFSET(TblConstr[[#This Row],[Mas]],-12,0),0)+OFFSET(TblConstr[[#This Row],[Tot Mas]],-1,0)-TblConstr[[#This Row],[Dest Mas]]</f>
        <v>0</v>
      </c>
      <c r="BD6" s="205" t="n">
        <f aca="false" t="array" ref="BD6:BD6">IF(TblConstr[[#This Row],[Hour]:[Hour]]&gt;12,OFFSET(TblConstr[[#This Row],[Ly]],-12,0),0)+OFFSET(TblConstr[[#This Row],[Tot Ly]],-1,0)-TblConstr[[#This Row],[Dest Ly]]</f>
        <v>20</v>
      </c>
      <c r="BE6" s="205" t="n">
        <f aca="false" t="array" ref="BE6:BE6">IF(TblConstr[[#This Row],[Hour]:[Hour]]&gt;12,OFFSET(TblConstr[[#This Row],[Hav]],-12,0),0)+OFFSET(TblConstr[[#This Row],[Tot Hav]],-1,0)-TblConstr[[#This Row],[Dest Hav]]</f>
        <v>0</v>
      </c>
      <c r="BF6" s="194" t="n">
        <f aca="false" t="array" ref="BF6:BF6">IF(TblConstr[[#This Row],[Hour]:[Hour]]&gt;12,OFFSET(TblConstr[[#This Row],[OM]],-12,0),0)+OFFSET(TblConstr[[#This Row],[Tot OM]],-1,0)-TblConstr[[#This Row],[Dest OM]]</f>
        <v>0</v>
      </c>
      <c r="BG6" s="194" t="n">
        <f aca="false" t="array" ref="BG6:BG6">IF(TblConstr[[#This Row],[Hour]:[Hour]]&gt;12,OFFSET(TblConstr[[#This Row],[GN]],-12,0),0)+OFFSET(TblConstr[[#This Row],[Tot GN]],-1,0)-TblConstr[[#This Row],[Dest GN]]</f>
        <v>0</v>
      </c>
      <c r="BH6" s="206" t="n">
        <f aca="false" t="array" ref="BH6:BH6">IF(TblConstr[[#This Row],[Hour]:[Hour]]&gt;12,OFFSET(TblConstr[[#This Row],[Fac]],-12,0),0)+OFFSET(TblConstr[[#This Row],[Tot Fac]],-1,0)-TblConstr[[#This Row],[Dest Fac]]</f>
        <v>0</v>
      </c>
      <c r="BI6" s="206" t="n">
        <f aca="false" t="array" ref="BI6:BI6">IF(TblConstr[[#This Row],[Hour]:[Hour]]&gt;12,OFFSET(TblConstr[[#This Row],[GT]],-12,0),0)+OFFSET(TblConstr[[#This Row],[Tot GT]],-1,0)-TblConstr[[#This Row],[Dest GT]]</f>
        <v>0</v>
      </c>
      <c r="BJ6" s="206" t="n">
        <f aca="false" t="array" ref="BJ6:BJ6">IF(TblConstr[[#This Row],[Hour]:[Hour]]&gt;12,OFFSET(TblConstr[[#This Row],[Bar]],-12,0),0)+OFFSET(TblConstr[[#This Row],[Tot Bar]],-1,0)-TblConstr[[#This Row],[Dest Bar]]</f>
        <v>0</v>
      </c>
      <c r="BK6" s="206" t="n">
        <f aca="false" t="array" ref="BK6:BK6">IF(TblConstr[[#This Row],[Hour]:[Hour]]&gt;12,OFFSET(TblConstr[[#This Row],[Shr]],-12,0),0)+OFFSET(TblConstr[[#This Row],[Tot Shr]],-1,0)-TblConstr[[#This Row],[Dest Shr]]</f>
        <v>0</v>
      </c>
      <c r="BL6" s="207" t="n">
        <f aca="false" t="array" ref="BL6:BL6">IF(TblConstr[[#This Row],[Hour]:[Hour]]&gt;12,OFFSET(TblConstr[[#This Row],[Tow]],-12,0),0)+OFFSET(TblConstr[[#This Row],[Tot Tow]],-1,0)-TblConstr[[#This Row],[Dest Tow]]</f>
        <v>0</v>
      </c>
      <c r="BM6" s="207" t="n">
        <f aca="false" t="array" ref="BM6:BM6">IF(TblConstr[[#This Row],[Hour]:[Hour]]&gt;12,OFFSET(TblConstr[[#This Row],[Tem]],-12,0),0)+OFFSET(TblConstr[[#This Row],[Tot Tem]],-1,0)-TblConstr[[#This Row],[Dest Tem]]</f>
        <v>0</v>
      </c>
      <c r="BN6" s="207" t="n">
        <f aca="false" t="array" ref="BN6:BN6">IF(TblConstr[[#This Row],[Hour]:[Hour]]&gt;12,OFFSET(TblConstr[[#This Row],[WG]],-12,0),0)+OFFSET(TblConstr[[#This Row],[Tot WG]],-1,0)-TblConstr[[#This Row],[Dest WG]]</f>
        <v>0</v>
      </c>
      <c r="BO6" s="208" t="n">
        <f aca="false" t="array" ref="BO6:BO6">IF(TblConstr[[#This Row],[Hour]:[Hour]]&gt;12,OFFSET(TblConstr[[#This Row],[DM]],-12,0),0)+OFFSET(TblConstr[[#This Row],[Tot DM]],-1,0)-TblConstr[[#This Row],[Dest DM]]</f>
        <v>0</v>
      </c>
      <c r="BP6" s="208" t="n">
        <f aca="false" t="array" ref="BP6:BP6">IF(TblConstr[[#This Row],[Hour]:[Hour]]&gt;12,OFFSET(TblConstr[[#This Row],[Sch]],-12,0),0)+OFFSET(TblConstr[[#This Row],[Tot Sch]],-1,0)-TblConstr[[#This Row],[Dest Sch]]</f>
        <v>0</v>
      </c>
      <c r="BQ6" s="209" t="n">
        <f aca="false" t="array" ref="BQ6:BQ6">IF(TblConstr[[#This Row],[Hour]:[Hour]]&gt;12,OFFSET(TblConstr[[#This Row],[Doc]],-12,0),0)+OFFSET(TblConstr[[#This Row],[Tot Doc]],-1,0)-TblConstr[[#This Row],[Dest Doc]]</f>
        <v>0</v>
      </c>
      <c r="BR6" s="132"/>
      <c r="BS6" s="146"/>
      <c r="BT6" s="69" t="n">
        <f aca="false">TblConstr[[#This Row],[Land]]</f>
        <v>250</v>
      </c>
      <c r="BU6" s="153" t="n">
        <f aca="false">TblImps[[#This Row],[Time]]</f>
        <v>45429.8333333333</v>
      </c>
      <c r="BV6" s="132"/>
      <c r="BW6" s="182"/>
      <c r="BX6" s="182"/>
      <c r="BY6" s="182"/>
      <c r="BZ6" s="182"/>
      <c r="CA6" s="182"/>
      <c r="CB6" s="182"/>
      <c r="CC6" s="182"/>
      <c r="CD6" s="182"/>
      <c r="CE6" s="182"/>
      <c r="CF6" s="182"/>
      <c r="CG6" s="182"/>
      <c r="CH6" s="182"/>
      <c r="CI6" s="182"/>
      <c r="CJ6" s="182"/>
      <c r="CK6" s="182"/>
      <c r="CL6" s="182"/>
      <c r="CM6" s="182"/>
      <c r="CN6" s="182"/>
      <c r="CO6" s="182"/>
      <c r="CP6" s="132"/>
      <c r="CQ6" s="192" t="n">
        <f aca="false">-SUM(TblConstr[[#This Row],[Alc]:[Mas]])+SUM(TblConstr[[#This Row],[Dest Alc]:[Dest Mas]])+Rezone!L6+IF("Ch_"&amp; home_land=TblConstr[[#Headers],[Ch_Plain]],TblConstr[[#This Row],[Home Land]])+IF(TblConstr[[#This Row],[Hour]:[Hour]]&gt;12,OFFSET(TblExplore[[#This Row],[Plains Explore]],-12,0),0)</f>
        <v>0</v>
      </c>
      <c r="CR6" s="193" t="n">
        <f aca="false">-SUM(TblConstr[[#This Row],[Ly]:[Hav]])+SUM(TblConstr[[#This Row],[Dest Ly]:[Dest Hav]]) +Rezone!M6 + IF("Ch_"&amp; home_land=TblConstr[[#Headers],[Ch_Forest]],TblConstr[[#This Row],[Home Land]])+IF(TblConstr[[#This Row],[Hour]:[Hour]]&gt;12,OFFSET(TblExplore[[#This Row],[Forest Explore]],-12,0),0)</f>
        <v>0</v>
      </c>
      <c r="CS6" s="200" t="n">
        <f aca="false">-SUM(TblConstr[[#This Row],[OM]:[GN]])+SUM(TblConstr[[#This Row],[Dest OM]:[Dest GN]]) +Rezone!N6 + IF("Ch_"&amp; home_land=TblConstr[[#Headers],[Ch_Mountain]],TblConstr[[#This Row],[Home Land]])+IF(TblConstr[[#This Row],[Hour]:[Hour]]&gt;12,OFFSET(TblExplore[[#This Row],[Mountain Explore]],-12,0),0)</f>
        <v>0</v>
      </c>
      <c r="CT6" s="195" t="n">
        <f aca="false">-SUM(TblConstr[[#This Row],[Fac]:[Shr]])+SUM(TblConstr[[#This Row],[Dest Fac]:[Dest Shr]]) +Rezone!O6 + IF("Ch_" &amp; home_land=TblConstr[[#Headers],[Ch_Hill]],TblConstr[[#This Row],[Home Land]])+IF(TblConstr[[#This Row],[Hour]:[Hour]]&gt;12,OFFSET(TblExplore[[#This Row],[Hill Explore]],-12,0),0)</f>
        <v>0</v>
      </c>
      <c r="CU6" s="196" t="n">
        <f aca="false">-SUM(TblConstr[[#This Row],[Tow]:[WG]])+SUM(TblConstr[[#This Row],[Dest Tow]:[Dest WG]]) +Rezone!P6 + IF("Ch_" &amp; home_land=TblConstr[[#Headers],[Ch_Swamp]],TblConstr[[#This Row],[Home Land]])+IF(TblConstr[[#This Row],[Hour]:[Hour]]&gt;12,OFFSET(TblExplore[[#This Row],[Swamp Explore]],-12,0),0)</f>
        <v>0</v>
      </c>
      <c r="CV6" s="197" t="n">
        <f aca="false">- SUM(TblConstr[[#This Row],[DM]:[Sch]])+SUM(TblConstr[[#This Row],[Dest DM]:[Dest Sch]]) +Rezone!Q6 + IF("Ch_" &amp; home_land=TblConstr[[#Headers],[Ch_Cavern]],TblConstr[[#This Row],[Home Land]])+IF(TblConstr[[#This Row],[Hour]:[Hour]]&gt;12,OFFSET(TblExplore[[#This Row],[Cavern Explore]],-12,0),0)</f>
        <v>0</v>
      </c>
      <c r="CW6" s="198" t="n">
        <f aca="false">-TblConstr[[#This Row],[Doc]]+TblConstr[[#This Row],[Dest Doc]] +Rezone!R6 + IF("Ch_" &amp; home_land=TblConstr[[#Headers],[Ch_Water]],TblConstr[[#This Row],[Home Land]])+IF(TblConstr[[#This Row],[Hour]:[Hour]]&gt;12,OFFSET(TblExplore[[#This Row],[Water Explore]],-12,0),0)</f>
        <v>0</v>
      </c>
      <c r="CX6" s="1" t="n">
        <f aca="false">IF(Explore!S6=1,20) - TblConstr[[#This Row],[Hom]] + TblConstr[[#This Row],[Dest Hom]]</f>
        <v>0</v>
      </c>
      <c r="CY6" s="132"/>
      <c r="CZ6" s="69" t="n">
        <f aca="false">G6+SUM(P$4:S6)+SUM(AZ6:BC6)</f>
        <v>100</v>
      </c>
      <c r="DA6" s="69" t="n">
        <f aca="false">H6+SUM(T$4:U6)+SUM(BD6:BE6)</f>
        <v>20</v>
      </c>
      <c r="DB6" s="1" t="n">
        <f aca="false">I6+SUM(V$4:W6)+SUM(BF6:BG6)</f>
        <v>0</v>
      </c>
      <c r="DC6" s="69" t="n">
        <f aca="false">J6+SUM(X$4:Y6)+SUM(BH6:BI6)</f>
        <v>28</v>
      </c>
      <c r="DD6" s="69" t="n">
        <f aca="false">K6+SUM(AB$4:AD6)+SUM(BL6:BN6)</f>
        <v>62</v>
      </c>
      <c r="DE6" s="1" t="n">
        <f aca="false">L6+SUM(AE$4:AE6)+BO6</f>
        <v>20</v>
      </c>
      <c r="DF6" s="69" t="n">
        <f aca="false">M6+SUM(AG$4:AG6)+BQ6</f>
        <v>10</v>
      </c>
      <c r="DG6" s="69" t="e">
        <f aca="false" t="array" ref="DG6:DG6">INDEX(TblConstr[[Total Plain]:[Total Water]],ROW()-ROW(TblConstr[#headers]),MATCH("Total "&amp;home_land,TblConstr[[#Headers],[Total Plain]:[Total Water]],0))+TblConstr[[#This Row],[Homes]]</f>
        <v>#VALUE!</v>
      </c>
      <c r="DH6" s="1" t="n">
        <f aca="false">SUM(O$4:O6)+AY6</f>
        <v>10</v>
      </c>
      <c r="DI6" s="1" t="n">
        <f aca="false">MAX(BA6-BA5,0)</f>
        <v>0</v>
      </c>
      <c r="DJ6" s="1" t="n">
        <f aca="false">MAX(BQ6-BQ5,0)</f>
        <v>0</v>
      </c>
    </row>
    <row r="7" customFormat="false" ht="12.75" hidden="false" customHeight="false" outlineLevel="0" collapsed="false">
      <c r="A7" s="170" t="n">
        <f aca="false">TblRezone[[#This Row],[Hour]]</f>
        <v>4</v>
      </c>
      <c r="B7" s="171" t="n">
        <f aca="false">SUM(TblConstr[[#This Row],[Plain]:[Water]])</f>
        <v>30</v>
      </c>
      <c r="C7" s="172" t="n">
        <f aca="false">SUM(TblConstr[[#This Row],[Tot Hom]:[Tot Doc]])</f>
        <v>90</v>
      </c>
      <c r="D7" s="172" t="n">
        <f aca="false">SUM(O$4:AG7)</f>
        <v>130</v>
      </c>
      <c r="E7" s="173"/>
      <c r="F7" s="33" t="n">
        <f aca="false">TblConstr[[#This Row],[Barren]]+TblConstr[[#This Row],[Buildings]]+TblConstr[[#This Row],[Incoming]]</f>
        <v>250</v>
      </c>
      <c r="G7" s="199" t="n">
        <f aca="false">OFFSET(TblConstr[[#This Row],[Plain]],-1,0)+TblConstr[[#This Row],[Ch_Plain]]</f>
        <v>0</v>
      </c>
      <c r="H7" s="193" t="n">
        <f aca="false">OFFSET(TblConstr[[#This Row],[Forest]],-1,0)+TblConstr[[#This Row],[Ch_Forest]]</f>
        <v>0</v>
      </c>
      <c r="I7" s="200" t="n">
        <f aca="false">OFFSET(TblConstr[[#This Row],[Mountain]],-1,0)+TblConstr[[#This Row],[Ch_Mountain]]</f>
        <v>0</v>
      </c>
      <c r="J7" s="201" t="n">
        <f aca="false">OFFSET(TblConstr[[#This Row],[Hill]],-1,0)+TblConstr[[#This Row],[Ch_Hill]]</f>
        <v>0</v>
      </c>
      <c r="K7" s="202" t="n">
        <f aca="false">OFFSET(TblConstr[[#This Row],[Swamp]],-1,0)+TblConstr[[#This Row],[Ch_Swamp]]</f>
        <v>0</v>
      </c>
      <c r="L7" s="197" t="n">
        <f aca="false">OFFSET(TblConstr[[#This Row],[Cavern]],-1,0)+TblConstr[[#This Row],[Ch_Cavern]]</f>
        <v>20</v>
      </c>
      <c r="M7" s="198" t="n">
        <f aca="false">OFFSET(TblConstr[[#This Row],[Water]],-1,0)+TblConstr[[#This Row],[Ch_Water]]</f>
        <v>10</v>
      </c>
      <c r="N7" s="181" t="n">
        <f aca="false">TblRezone[[#This Row],[Hour]]</f>
        <v>4</v>
      </c>
      <c r="O7" s="182"/>
      <c r="P7" s="182"/>
      <c r="Q7" s="182"/>
      <c r="R7" s="182"/>
      <c r="S7" s="182"/>
      <c r="T7" s="182"/>
      <c r="U7" s="182"/>
      <c r="V7" s="182"/>
      <c r="W7" s="182"/>
      <c r="X7" s="182"/>
      <c r="Y7" s="182"/>
      <c r="Z7" s="182"/>
      <c r="AA7" s="182"/>
      <c r="AB7" s="182"/>
      <c r="AC7" s="182"/>
      <c r="AD7" s="182"/>
      <c r="AE7" s="182"/>
      <c r="AF7" s="182"/>
      <c r="AG7" s="182"/>
      <c r="AH7" s="20" t="n">
        <f aca="false">TblImps[[#This Row],[Time]]</f>
        <v>45429.875</v>
      </c>
      <c r="AI7" s="130" t="n">
        <f aca="false">MIN(25%,(TblConstr[[#This Row],[Tot Fac]]+TblConstr[[#This Row],[Dest Fac]])/(TblConstr[[#This Row],[Land]]-TblExplore[[#This Row],[Land Bonus]]*20))</f>
        <v>0</v>
      </c>
      <c r="AJ7" s="130" t="n">
        <f aca="false">MIN(25%,(TblConstr[[#This Row],[Tot Fac]]+TblConstr[[#This Row],[Dest Fac]])/TblConstr[[#This Row],[Land]])</f>
        <v>0</v>
      </c>
      <c r="AK7" s="69" t="n">
        <f aca="false">TblProd[[#This Row],[Platinum]]</f>
        <v>25970</v>
      </c>
      <c r="AL7" s="69" t="n">
        <f aca="false">TblProd[[#This Row],[Lumber]]</f>
        <v>0</v>
      </c>
      <c r="AM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7" s="69" t="n">
        <f aca="false">ROUNDDOWN( MAX(1 - MIN(facs_constr_factor*TblConstr[[#This Row],[Facs -DB]],facs_constr_max) + tech_1_11*TblTech[[#This Row],[11-1]] + tech_6_3_2*TblTech[[#This Row],[6-3]] + tech_5_2_3*TblTech[[#This Row],[5-2]], 1-global_constr_cap) * TblConstr[[#This Row],[RCPA Lumber]],0)</f>
        <v>88</v>
      </c>
      <c r="AO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7" s="69" t="n">
        <f aca="false">ROUNDDOWN( MAX(1 - MIN(facs_constr_factor*TblConstr[[#This Row],[Facs DB]],facs_constr_max) + tech_1_11*TblTech[[#This Row],[1-11]] + tech_6_3_2*TblTech[[#This Row],[6-3]] + tech_5_2_3*TblTech[[#This Row],[5-2]], 1-global_constr_cap) * ROUND((TblConstr[[#This Row],[Land]]-250)*0.285 + 87.5 + 0/4.25,0),0)</f>
        <v>88</v>
      </c>
      <c r="AQ7" s="1" t="n">
        <f aca="false">TblConstr[[#This Row],[build -db]]*TblConstr[[#This Row],[CPA Platinum -DB]] + TblConstr[[#This Row],[build db]]*TblConstr[[#This Row],[CPA Platinum DB]]</f>
        <v>0</v>
      </c>
      <c r="AR7" s="1" t="n">
        <f aca="false">TblConstr[[#This Row],[build -db]]*TblConstr[[#This Row],[CPA Lumber -DB]]+TblConstr[[#This Row],[build db]]*TblConstr[[#This Row],[CPA Lumber DB]]</f>
        <v>0</v>
      </c>
      <c r="AS7" s="69" t="n">
        <f aca="false">MIN(SUM(OFFSET(TblConstr[[#This Row],[Plain]:[Water]],-1,0))+SUM(TblConstr[[#This Row],[Dest Hom]:[Dest Doc]])+IF(TblConstr[[#This Row],[Hour]]&gt;12,SUM(OFFSET(TblExplore[[#This Row],[Plains Explore]:[Water Explore]],-12,0)),0),SUM(TblConstr[[#This Row],[Hom]:[Doc]]))</f>
        <v>0</v>
      </c>
      <c r="AT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32"/>
      <c r="AV7" s="69" t="n">
        <f aca="false">ROUND((TblConstr[[#This Row],[Land]]-250 - IF(TblExplore[[#This Row],[Land Bonus]]&lt;&gt;0,20,0))*1.25 + 850 + 0,0)</f>
        <v>850</v>
      </c>
      <c r="AW7" s="69" t="n">
        <f aca="false">ROUND((TblConstr[[#This Row],[Land]]-250 - IF(TblExplore[[#This Row],[Land Bonus]]&lt;&gt;0,20,0))*0.285 + 87.5 + 0/4.25,0)</f>
        <v>88</v>
      </c>
      <c r="AX7" s="146"/>
      <c r="AY7" s="203" t="n">
        <f aca="false" t="array" ref="AY7:AY7">IF(TblConstr[[#This Row],[Hour]:[Hour]]&gt;12,OFFSET(TblConstr[[#This Row],[Hom]],-12,0),0)+OFFSET(TblConstr[[#This Row],[Tot Hom]],-1,0)-TblConstr[[#This Row],[Dest Hom]]</f>
        <v>10</v>
      </c>
      <c r="AZ7" s="204" t="n">
        <f aca="false" t="array" ref="AZ7:AZ7">IF(TblConstr[[#This Row],[Hour]:[Hour]]&gt;12,OFFSET(TblConstr[[#This Row],[Alc]],-12,0),0)+OFFSET(TblConstr[[#This Row],[Tot Alc]],-1,0)-TblConstr[[#This Row],[Dest Alc]]</f>
        <v>30</v>
      </c>
      <c r="BA7" s="204" t="n">
        <f aca="false" t="array" ref="BA7:BA7">IF(TblConstr[[#This Row],[Hour]:[Hour]]&gt;12,OFFSET(TblConstr[[#This Row],[Far]],-12,0),0)+OFFSET(TblConstr[[#This Row],[Tot Farm]],-1,0)-TblConstr[[#This Row],[Dest Farm]]</f>
        <v>30</v>
      </c>
      <c r="BB7" s="204" t="n">
        <f aca="false" t="array" ref="BB7:BB7">IF(TblConstr[[#This Row],[Hour]:[Hour]]&gt;12,OFFSET(TblConstr[[#This Row],[Smi]],-12,0),0)+OFFSET(TblConstr[[#This Row],[Tot Smi]],-1,0)-TblConstr[[#This Row],[Dest Smi]]</f>
        <v>0</v>
      </c>
      <c r="BC7" s="204" t="n">
        <f aca="false" t="array" ref="BC7:BC7">IF(TblConstr[[#This Row],[Hour]:[Hour]]&gt;12,OFFSET(TblConstr[[#This Row],[Mas]],-12,0),0)+OFFSET(TblConstr[[#This Row],[Tot Mas]],-1,0)-TblConstr[[#This Row],[Dest Mas]]</f>
        <v>0</v>
      </c>
      <c r="BD7" s="205" t="n">
        <f aca="false" t="array" ref="BD7:BD7">IF(TblConstr[[#This Row],[Hour]:[Hour]]&gt;12,OFFSET(TblConstr[[#This Row],[Ly]],-12,0),0)+OFFSET(TblConstr[[#This Row],[Tot Ly]],-1,0)-TblConstr[[#This Row],[Dest Ly]]</f>
        <v>20</v>
      </c>
      <c r="BE7" s="205" t="n">
        <f aca="false" t="array" ref="BE7:BE7">IF(TblConstr[[#This Row],[Hour]:[Hour]]&gt;12,OFFSET(TblConstr[[#This Row],[Hav]],-12,0),0)+OFFSET(TblConstr[[#This Row],[Tot Hav]],-1,0)-TblConstr[[#This Row],[Dest Hav]]</f>
        <v>0</v>
      </c>
      <c r="BF7" s="194" t="n">
        <f aca="false" t="array" ref="BF7:BF7">IF(TblConstr[[#This Row],[Hour]:[Hour]]&gt;12,OFFSET(TblConstr[[#This Row],[OM]],-12,0),0)+OFFSET(TblConstr[[#This Row],[Tot OM]],-1,0)-TblConstr[[#This Row],[Dest OM]]</f>
        <v>0</v>
      </c>
      <c r="BG7" s="194" t="n">
        <f aca="false" t="array" ref="BG7:BG7">IF(TblConstr[[#This Row],[Hour]:[Hour]]&gt;12,OFFSET(TblConstr[[#This Row],[GN]],-12,0),0)+OFFSET(TblConstr[[#This Row],[Tot GN]],-1,0)-TblConstr[[#This Row],[Dest GN]]</f>
        <v>0</v>
      </c>
      <c r="BH7" s="206" t="n">
        <f aca="false" t="array" ref="BH7:BH7">IF(TblConstr[[#This Row],[Hour]:[Hour]]&gt;12,OFFSET(TblConstr[[#This Row],[Fac]],-12,0),0)+OFFSET(TblConstr[[#This Row],[Tot Fac]],-1,0)-TblConstr[[#This Row],[Dest Fac]]</f>
        <v>0</v>
      </c>
      <c r="BI7" s="206" t="n">
        <f aca="false" t="array" ref="BI7:BI7">IF(TblConstr[[#This Row],[Hour]:[Hour]]&gt;12,OFFSET(TblConstr[[#This Row],[GT]],-12,0),0)+OFFSET(TblConstr[[#This Row],[Tot GT]],-1,0)-TblConstr[[#This Row],[Dest GT]]</f>
        <v>0</v>
      </c>
      <c r="BJ7" s="206" t="n">
        <f aca="false" t="array" ref="BJ7:BJ7">IF(TblConstr[[#This Row],[Hour]:[Hour]]&gt;12,OFFSET(TblConstr[[#This Row],[Bar]],-12,0),0)+OFFSET(TblConstr[[#This Row],[Tot Bar]],-1,0)-TblConstr[[#This Row],[Dest Bar]]</f>
        <v>0</v>
      </c>
      <c r="BK7" s="206" t="n">
        <f aca="false" t="array" ref="BK7:BK7">IF(TblConstr[[#This Row],[Hour]:[Hour]]&gt;12,OFFSET(TblConstr[[#This Row],[Shr]],-12,0),0)+OFFSET(TblConstr[[#This Row],[Tot Shr]],-1,0)-TblConstr[[#This Row],[Dest Shr]]</f>
        <v>0</v>
      </c>
      <c r="BL7" s="207" t="n">
        <f aca="false" t="array" ref="BL7:BL7">IF(TblConstr[[#This Row],[Hour]:[Hour]]&gt;12,OFFSET(TblConstr[[#This Row],[Tow]],-12,0),0)+OFFSET(TblConstr[[#This Row],[Tot Tow]],-1,0)-TblConstr[[#This Row],[Dest Tow]]</f>
        <v>0</v>
      </c>
      <c r="BM7" s="207" t="n">
        <f aca="false" t="array" ref="BM7:BM7">IF(TblConstr[[#This Row],[Hour]:[Hour]]&gt;12,OFFSET(TblConstr[[#This Row],[Tem]],-12,0),0)+OFFSET(TblConstr[[#This Row],[Tot Tem]],-1,0)-TblConstr[[#This Row],[Dest Tem]]</f>
        <v>0</v>
      </c>
      <c r="BN7" s="207" t="n">
        <f aca="false" t="array" ref="BN7:BN7">IF(TblConstr[[#This Row],[Hour]:[Hour]]&gt;12,OFFSET(TblConstr[[#This Row],[WG]],-12,0),0)+OFFSET(TblConstr[[#This Row],[Tot WG]],-1,0)-TblConstr[[#This Row],[Dest WG]]</f>
        <v>0</v>
      </c>
      <c r="BO7" s="208" t="n">
        <f aca="false" t="array" ref="BO7:BO7">IF(TblConstr[[#This Row],[Hour]:[Hour]]&gt;12,OFFSET(TblConstr[[#This Row],[DM]],-12,0),0)+OFFSET(TblConstr[[#This Row],[Tot DM]],-1,0)-TblConstr[[#This Row],[Dest DM]]</f>
        <v>0</v>
      </c>
      <c r="BP7" s="208" t="n">
        <f aca="false" t="array" ref="BP7:BP7">IF(TblConstr[[#This Row],[Hour]:[Hour]]&gt;12,OFFSET(TblConstr[[#This Row],[Sch]],-12,0),0)+OFFSET(TblConstr[[#This Row],[Tot Sch]],-1,0)-TblConstr[[#This Row],[Dest Sch]]</f>
        <v>0</v>
      </c>
      <c r="BQ7" s="209" t="n">
        <f aca="false" t="array" ref="BQ7:BQ7">IF(TblConstr[[#This Row],[Hour]:[Hour]]&gt;12,OFFSET(TblConstr[[#This Row],[Doc]],-12,0),0)+OFFSET(TblConstr[[#This Row],[Tot Doc]],-1,0)-TblConstr[[#This Row],[Dest Doc]]</f>
        <v>0</v>
      </c>
      <c r="BR7" s="132"/>
      <c r="BS7" s="146"/>
      <c r="BT7" s="69" t="n">
        <f aca="false">TblConstr[[#This Row],[Land]]</f>
        <v>250</v>
      </c>
      <c r="BU7" s="153" t="n">
        <f aca="false">TblImps[[#This Row],[Time]]</f>
        <v>45429.875</v>
      </c>
      <c r="BV7" s="132"/>
      <c r="BW7" s="182"/>
      <c r="BX7" s="182"/>
      <c r="BY7" s="182"/>
      <c r="BZ7" s="182"/>
      <c r="CA7" s="182"/>
      <c r="CB7" s="182"/>
      <c r="CC7" s="182"/>
      <c r="CD7" s="182"/>
      <c r="CE7" s="182"/>
      <c r="CF7" s="182"/>
      <c r="CG7" s="182"/>
      <c r="CH7" s="182"/>
      <c r="CI7" s="182"/>
      <c r="CJ7" s="182"/>
      <c r="CK7" s="182"/>
      <c r="CL7" s="182"/>
      <c r="CM7" s="182"/>
      <c r="CN7" s="182"/>
      <c r="CO7" s="182"/>
      <c r="CP7" s="132"/>
      <c r="CQ7" s="192" t="n">
        <f aca="false">-SUM(TblConstr[[#This Row],[Alc]:[Mas]])+SUM(TblConstr[[#This Row],[Dest Alc]:[Dest Mas]])+Rezone!L7+IF("Ch_"&amp; home_land=TblConstr[[#Headers],[Ch_Plain]],TblConstr[[#This Row],[Home Land]])+IF(TblConstr[[#This Row],[Hour]:[Hour]]&gt;12,OFFSET(TblExplore[[#This Row],[Plains Explore]],-12,0),0)</f>
        <v>0</v>
      </c>
      <c r="CR7" s="193" t="n">
        <f aca="false">-SUM(TblConstr[[#This Row],[Ly]:[Hav]])+SUM(TblConstr[[#This Row],[Dest Ly]:[Dest Hav]]) +Rezone!M7 + IF("Ch_"&amp; home_land=TblConstr[[#Headers],[Ch_Forest]],TblConstr[[#This Row],[Home Land]])+IF(TblConstr[[#This Row],[Hour]:[Hour]]&gt;12,OFFSET(TblExplore[[#This Row],[Forest Explore]],-12,0),0)</f>
        <v>0</v>
      </c>
      <c r="CS7" s="200" t="n">
        <f aca="false">-SUM(TblConstr[[#This Row],[OM]:[GN]])+SUM(TblConstr[[#This Row],[Dest OM]:[Dest GN]]) +Rezone!N7 + IF("Ch_"&amp; home_land=TblConstr[[#Headers],[Ch_Mountain]],TblConstr[[#This Row],[Home Land]])+IF(TblConstr[[#This Row],[Hour]:[Hour]]&gt;12,OFFSET(TblExplore[[#This Row],[Mountain Explore]],-12,0),0)</f>
        <v>0</v>
      </c>
      <c r="CT7" s="195" t="n">
        <f aca="false">-SUM(TblConstr[[#This Row],[Fac]:[Shr]])+SUM(TblConstr[[#This Row],[Dest Fac]:[Dest Shr]]) +Rezone!O7 + IF("Ch_" &amp; home_land=TblConstr[[#Headers],[Ch_Hill]],TblConstr[[#This Row],[Home Land]])+IF(TblConstr[[#This Row],[Hour]:[Hour]]&gt;12,OFFSET(TblExplore[[#This Row],[Hill Explore]],-12,0),0)</f>
        <v>0</v>
      </c>
      <c r="CU7" s="196" t="n">
        <f aca="false">-SUM(TblConstr[[#This Row],[Tow]:[WG]])+SUM(TblConstr[[#This Row],[Dest Tow]:[Dest WG]]) +Rezone!P7 + IF("Ch_" &amp; home_land=TblConstr[[#Headers],[Ch_Swamp]],TblConstr[[#This Row],[Home Land]])+IF(TblConstr[[#This Row],[Hour]:[Hour]]&gt;12,OFFSET(TblExplore[[#This Row],[Swamp Explore]],-12,0),0)</f>
        <v>0</v>
      </c>
      <c r="CV7" s="197" t="n">
        <f aca="false">- SUM(TblConstr[[#This Row],[DM]:[Sch]])+SUM(TblConstr[[#This Row],[Dest DM]:[Dest Sch]]) +Rezone!Q7 + IF("Ch_" &amp; home_land=TblConstr[[#Headers],[Ch_Cavern]],TblConstr[[#This Row],[Home Land]])+IF(TblConstr[[#This Row],[Hour]:[Hour]]&gt;12,OFFSET(TblExplore[[#This Row],[Cavern Explore]],-12,0),0)</f>
        <v>0</v>
      </c>
      <c r="CW7" s="198" t="n">
        <f aca="false">-TblConstr[[#This Row],[Doc]]+TblConstr[[#This Row],[Dest Doc]] +Rezone!R7 + IF("Ch_" &amp; home_land=TblConstr[[#Headers],[Ch_Water]],TblConstr[[#This Row],[Home Land]])+IF(TblConstr[[#This Row],[Hour]:[Hour]]&gt;12,OFFSET(TblExplore[[#This Row],[Water Explore]],-12,0),0)</f>
        <v>0</v>
      </c>
      <c r="CX7" s="1" t="n">
        <f aca="false">IF(Explore!S7=1,20) - TblConstr[[#This Row],[Hom]] + TblConstr[[#This Row],[Dest Hom]]</f>
        <v>0</v>
      </c>
      <c r="CY7" s="132"/>
      <c r="CZ7" s="69" t="n">
        <f aca="false">G7+SUM(P$4:S7)+SUM(AZ7:BC7)</f>
        <v>100</v>
      </c>
      <c r="DA7" s="69" t="n">
        <f aca="false">H7+SUM(T$4:U7)+SUM(BD7:BE7)</f>
        <v>20</v>
      </c>
      <c r="DB7" s="1" t="n">
        <f aca="false">I7+SUM(V$4:W7)+SUM(BF7:BG7)</f>
        <v>0</v>
      </c>
      <c r="DC7" s="69" t="n">
        <f aca="false">J7+SUM(X$4:Y7)+SUM(BH7:BI7)</f>
        <v>28</v>
      </c>
      <c r="DD7" s="69" t="n">
        <f aca="false">K7+SUM(AB$4:AD7)+SUM(BL7:BN7)</f>
        <v>62</v>
      </c>
      <c r="DE7" s="1" t="n">
        <f aca="false">L7+SUM(AE$4:AE7)+BO7</f>
        <v>20</v>
      </c>
      <c r="DF7" s="69" t="n">
        <f aca="false">M7+SUM(AG$4:AG7)+BQ7</f>
        <v>10</v>
      </c>
      <c r="DG7" s="69" t="e">
        <f aca="false" t="array" ref="DG7:DG7">INDEX(TblConstr[[Total Plain]:[Total Water]],ROW()-ROW(TblConstr[#headers]),MATCH("Total "&amp;home_land,TblConstr[[#Headers],[Total Plain]:[Total Water]],0))+TblConstr[[#This Row],[Homes]]</f>
        <v>#VALUE!</v>
      </c>
      <c r="DH7" s="1" t="n">
        <f aca="false">SUM(O$4:O7)+AY7</f>
        <v>10</v>
      </c>
      <c r="DI7" s="1" t="n">
        <f aca="false">MAX(BA7-BA6,0)</f>
        <v>0</v>
      </c>
      <c r="DJ7" s="1" t="n">
        <f aca="false">MAX(BQ7-BQ6,0)</f>
        <v>0</v>
      </c>
    </row>
    <row r="8" customFormat="false" ht="12.75" hidden="false" customHeight="false" outlineLevel="0" collapsed="false">
      <c r="A8" s="170" t="n">
        <f aca="false">TblRezone[[#This Row],[Hour]]</f>
        <v>5</v>
      </c>
      <c r="B8" s="171" t="n">
        <f aca="false">SUM(TblConstr[[#This Row],[Plain]:[Water]])</f>
        <v>30</v>
      </c>
      <c r="C8" s="172" t="n">
        <f aca="false">SUM(TblConstr[[#This Row],[Tot Hom]:[Tot Doc]])</f>
        <v>90</v>
      </c>
      <c r="D8" s="172" t="n">
        <f aca="false">SUM(O$4:AG8)</f>
        <v>130</v>
      </c>
      <c r="E8" s="173"/>
      <c r="F8" s="33" t="n">
        <f aca="false">TblConstr[[#This Row],[Barren]]+TblConstr[[#This Row],[Buildings]]+TblConstr[[#This Row],[Incoming]]</f>
        <v>250</v>
      </c>
      <c r="G8" s="199" t="n">
        <f aca="false">OFFSET(TblConstr[[#This Row],[Plain]],-1,0)+TblConstr[[#This Row],[Ch_Plain]]</f>
        <v>0</v>
      </c>
      <c r="H8" s="193" t="n">
        <f aca="false">OFFSET(TblConstr[[#This Row],[Forest]],-1,0)+TblConstr[[#This Row],[Ch_Forest]]</f>
        <v>0</v>
      </c>
      <c r="I8" s="200" t="n">
        <f aca="false">OFFSET(TblConstr[[#This Row],[Mountain]],-1,0)+TblConstr[[#This Row],[Ch_Mountain]]</f>
        <v>0</v>
      </c>
      <c r="J8" s="201" t="n">
        <f aca="false">OFFSET(TblConstr[[#This Row],[Hill]],-1,0)+TblConstr[[#This Row],[Ch_Hill]]</f>
        <v>0</v>
      </c>
      <c r="K8" s="202" t="n">
        <f aca="false">OFFSET(TblConstr[[#This Row],[Swamp]],-1,0)+TblConstr[[#This Row],[Ch_Swamp]]</f>
        <v>0</v>
      </c>
      <c r="L8" s="197" t="n">
        <f aca="false">OFFSET(TblConstr[[#This Row],[Cavern]],-1,0)+TblConstr[[#This Row],[Ch_Cavern]]</f>
        <v>20</v>
      </c>
      <c r="M8" s="198" t="n">
        <f aca="false">OFFSET(TblConstr[[#This Row],[Water]],-1,0)+TblConstr[[#This Row],[Ch_Water]]</f>
        <v>10</v>
      </c>
      <c r="N8" s="181" t="n">
        <f aca="false">TblRezone[[#This Row],[Hour]]</f>
        <v>5</v>
      </c>
      <c r="O8" s="182"/>
      <c r="P8" s="182"/>
      <c r="Q8" s="182"/>
      <c r="R8" s="182"/>
      <c r="S8" s="182"/>
      <c r="T8" s="182"/>
      <c r="U8" s="182"/>
      <c r="V8" s="182"/>
      <c r="W8" s="182"/>
      <c r="X8" s="182"/>
      <c r="Y8" s="182"/>
      <c r="Z8" s="182"/>
      <c r="AA8" s="182"/>
      <c r="AB8" s="182"/>
      <c r="AC8" s="182"/>
      <c r="AD8" s="182"/>
      <c r="AE8" s="182"/>
      <c r="AF8" s="182"/>
      <c r="AG8" s="182"/>
      <c r="AH8" s="20" t="n">
        <f aca="false">TblImps[[#This Row],[Time]]</f>
        <v>45429.9166666667</v>
      </c>
      <c r="AI8" s="130" t="n">
        <f aca="false">MIN(25%,(TblConstr[[#This Row],[Tot Fac]]+TblConstr[[#This Row],[Dest Fac]])/(TblConstr[[#This Row],[Land]]-TblExplore[[#This Row],[Land Bonus]]*20))</f>
        <v>0</v>
      </c>
      <c r="AJ8" s="130" t="n">
        <f aca="false">MIN(25%,(TblConstr[[#This Row],[Tot Fac]]+TblConstr[[#This Row],[Dest Fac]])/TblConstr[[#This Row],[Land]])</f>
        <v>0</v>
      </c>
      <c r="AK8" s="69" t="n">
        <f aca="false">TblProd[[#This Row],[Platinum]]</f>
        <v>31490</v>
      </c>
      <c r="AL8" s="69" t="n">
        <f aca="false">TblProd[[#This Row],[Lumber]]</f>
        <v>0</v>
      </c>
      <c r="AM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8" s="69" t="n">
        <f aca="false">ROUNDDOWN( MAX(1 - MIN(facs_constr_factor*TblConstr[[#This Row],[Facs -DB]],facs_constr_max) + tech_1_11*TblTech[[#This Row],[11-1]] + tech_6_3_2*TblTech[[#This Row],[6-3]] + tech_5_2_3*TblTech[[#This Row],[5-2]], 1-global_constr_cap) * TblConstr[[#This Row],[RCPA Lumber]],0)</f>
        <v>88</v>
      </c>
      <c r="AO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8" s="69" t="n">
        <f aca="false">ROUNDDOWN( MAX(1 - MIN(facs_constr_factor*TblConstr[[#This Row],[Facs DB]],facs_constr_max) + tech_1_11*TblTech[[#This Row],[1-11]] + tech_6_3_2*TblTech[[#This Row],[6-3]] + tech_5_2_3*TblTech[[#This Row],[5-2]], 1-global_constr_cap) * ROUND((TblConstr[[#This Row],[Land]]-250)*0.285 + 87.5 + 0/4.25,0),0)</f>
        <v>88</v>
      </c>
      <c r="AQ8" s="1" t="n">
        <f aca="false">TblConstr[[#This Row],[build -db]]*TblConstr[[#This Row],[CPA Platinum -DB]] + TblConstr[[#This Row],[build db]]*TblConstr[[#This Row],[CPA Platinum DB]]</f>
        <v>0</v>
      </c>
      <c r="AR8" s="1" t="n">
        <f aca="false">TblConstr[[#This Row],[build -db]]*TblConstr[[#This Row],[CPA Lumber -DB]]+TblConstr[[#This Row],[build db]]*TblConstr[[#This Row],[CPA Lumber DB]]</f>
        <v>0</v>
      </c>
      <c r="AS8" s="69" t="n">
        <f aca="false">MIN(SUM(OFFSET(TblConstr[[#This Row],[Plain]:[Water]],-1,0))+SUM(TblConstr[[#This Row],[Dest Hom]:[Dest Doc]])+IF(TblConstr[[#This Row],[Hour]]&gt;12,SUM(OFFSET(TblExplore[[#This Row],[Plains Explore]:[Water Explore]],-12,0)),0),SUM(TblConstr[[#This Row],[Hom]:[Doc]]))</f>
        <v>0</v>
      </c>
      <c r="AT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32"/>
      <c r="AV8" s="69" t="n">
        <f aca="false">ROUND((TblConstr[[#This Row],[Land]]-250 - IF(TblExplore[[#This Row],[Land Bonus]]&lt;&gt;0,20,0))*1.25 + 850 + 0,0)</f>
        <v>850</v>
      </c>
      <c r="AW8" s="69" t="n">
        <f aca="false">ROUND((TblConstr[[#This Row],[Land]]-250 - IF(TblExplore[[#This Row],[Land Bonus]]&lt;&gt;0,20,0))*0.285 + 87.5 + 0/4.25,0)</f>
        <v>88</v>
      </c>
      <c r="AX8" s="146"/>
      <c r="AY8" s="203" t="n">
        <f aca="false" t="array" ref="AY8:AY8">IF(TblConstr[[#This Row],[Hour]:[Hour]]&gt;12,OFFSET(TblConstr[[#This Row],[Hom]],-12,0),0)+OFFSET(TblConstr[[#This Row],[Tot Hom]],-1,0)-TblConstr[[#This Row],[Dest Hom]]</f>
        <v>10</v>
      </c>
      <c r="AZ8" s="204" t="n">
        <f aca="false" t="array" ref="AZ8:AZ8">IF(TblConstr[[#This Row],[Hour]:[Hour]]&gt;12,OFFSET(TblConstr[[#This Row],[Alc]],-12,0),0)+OFFSET(TblConstr[[#This Row],[Tot Alc]],-1,0)-TblConstr[[#This Row],[Dest Alc]]</f>
        <v>30</v>
      </c>
      <c r="BA8" s="204" t="n">
        <f aca="false" t="array" ref="BA8:BA8">IF(TblConstr[[#This Row],[Hour]:[Hour]]&gt;12,OFFSET(TblConstr[[#This Row],[Far]],-12,0),0)+OFFSET(TblConstr[[#This Row],[Tot Farm]],-1,0)-TblConstr[[#This Row],[Dest Farm]]</f>
        <v>30</v>
      </c>
      <c r="BB8" s="204" t="n">
        <f aca="false" t="array" ref="BB8:BB8">IF(TblConstr[[#This Row],[Hour]:[Hour]]&gt;12,OFFSET(TblConstr[[#This Row],[Smi]],-12,0),0)+OFFSET(TblConstr[[#This Row],[Tot Smi]],-1,0)-TblConstr[[#This Row],[Dest Smi]]</f>
        <v>0</v>
      </c>
      <c r="BC8" s="204" t="n">
        <f aca="false" t="array" ref="BC8:BC8">IF(TblConstr[[#This Row],[Hour]:[Hour]]&gt;12,OFFSET(TblConstr[[#This Row],[Mas]],-12,0),0)+OFFSET(TblConstr[[#This Row],[Tot Mas]],-1,0)-TblConstr[[#This Row],[Dest Mas]]</f>
        <v>0</v>
      </c>
      <c r="BD8" s="205" t="n">
        <f aca="false" t="array" ref="BD8:BD8">IF(TblConstr[[#This Row],[Hour]:[Hour]]&gt;12,OFFSET(TblConstr[[#This Row],[Ly]],-12,0),0)+OFFSET(TblConstr[[#This Row],[Tot Ly]],-1,0)-TblConstr[[#This Row],[Dest Ly]]</f>
        <v>20</v>
      </c>
      <c r="BE8" s="205" t="n">
        <f aca="false" t="array" ref="BE8:BE8">IF(TblConstr[[#This Row],[Hour]:[Hour]]&gt;12,OFFSET(TblConstr[[#This Row],[Hav]],-12,0),0)+OFFSET(TblConstr[[#This Row],[Tot Hav]],-1,0)-TblConstr[[#This Row],[Dest Hav]]</f>
        <v>0</v>
      </c>
      <c r="BF8" s="194" t="n">
        <f aca="false" t="array" ref="BF8:BF8">IF(TblConstr[[#This Row],[Hour]:[Hour]]&gt;12,OFFSET(TblConstr[[#This Row],[OM]],-12,0),0)+OFFSET(TblConstr[[#This Row],[Tot OM]],-1,0)-TblConstr[[#This Row],[Dest OM]]</f>
        <v>0</v>
      </c>
      <c r="BG8" s="194" t="n">
        <f aca="false" t="array" ref="BG8:BG8">IF(TblConstr[[#This Row],[Hour]:[Hour]]&gt;12,OFFSET(TblConstr[[#This Row],[GN]],-12,0),0)+OFFSET(TblConstr[[#This Row],[Tot GN]],-1,0)-TblConstr[[#This Row],[Dest GN]]</f>
        <v>0</v>
      </c>
      <c r="BH8" s="206" t="n">
        <f aca="false" t="array" ref="BH8:BH8">IF(TblConstr[[#This Row],[Hour]:[Hour]]&gt;12,OFFSET(TblConstr[[#This Row],[Fac]],-12,0),0)+OFFSET(TblConstr[[#This Row],[Tot Fac]],-1,0)-TblConstr[[#This Row],[Dest Fac]]</f>
        <v>0</v>
      </c>
      <c r="BI8" s="206" t="n">
        <f aca="false" t="array" ref="BI8:BI8">IF(TblConstr[[#This Row],[Hour]:[Hour]]&gt;12,OFFSET(TblConstr[[#This Row],[GT]],-12,0),0)+OFFSET(TblConstr[[#This Row],[Tot GT]],-1,0)-TblConstr[[#This Row],[Dest GT]]</f>
        <v>0</v>
      </c>
      <c r="BJ8" s="206" t="n">
        <f aca="false" t="array" ref="BJ8:BJ8">IF(TblConstr[[#This Row],[Hour]:[Hour]]&gt;12,OFFSET(TblConstr[[#This Row],[Bar]],-12,0),0)+OFFSET(TblConstr[[#This Row],[Tot Bar]],-1,0)-TblConstr[[#This Row],[Dest Bar]]</f>
        <v>0</v>
      </c>
      <c r="BK8" s="206" t="n">
        <f aca="false" t="array" ref="BK8:BK8">IF(TblConstr[[#This Row],[Hour]:[Hour]]&gt;12,OFFSET(TblConstr[[#This Row],[Shr]],-12,0),0)+OFFSET(TblConstr[[#This Row],[Tot Shr]],-1,0)-TblConstr[[#This Row],[Dest Shr]]</f>
        <v>0</v>
      </c>
      <c r="BL8" s="207" t="n">
        <f aca="false" t="array" ref="BL8:BL8">IF(TblConstr[[#This Row],[Hour]:[Hour]]&gt;12,OFFSET(TblConstr[[#This Row],[Tow]],-12,0),0)+OFFSET(TblConstr[[#This Row],[Tot Tow]],-1,0)-TblConstr[[#This Row],[Dest Tow]]</f>
        <v>0</v>
      </c>
      <c r="BM8" s="207" t="n">
        <f aca="false" t="array" ref="BM8:BM8">IF(TblConstr[[#This Row],[Hour]:[Hour]]&gt;12,OFFSET(TblConstr[[#This Row],[Tem]],-12,0),0)+OFFSET(TblConstr[[#This Row],[Tot Tem]],-1,0)-TblConstr[[#This Row],[Dest Tem]]</f>
        <v>0</v>
      </c>
      <c r="BN8" s="207" t="n">
        <f aca="false" t="array" ref="BN8:BN8">IF(TblConstr[[#This Row],[Hour]:[Hour]]&gt;12,OFFSET(TblConstr[[#This Row],[WG]],-12,0),0)+OFFSET(TblConstr[[#This Row],[Tot WG]],-1,0)-TblConstr[[#This Row],[Dest WG]]</f>
        <v>0</v>
      </c>
      <c r="BO8" s="208" t="n">
        <f aca="false" t="array" ref="BO8:BO8">IF(TblConstr[[#This Row],[Hour]:[Hour]]&gt;12,OFFSET(TblConstr[[#This Row],[DM]],-12,0),0)+OFFSET(TblConstr[[#This Row],[Tot DM]],-1,0)-TblConstr[[#This Row],[Dest DM]]</f>
        <v>0</v>
      </c>
      <c r="BP8" s="208" t="n">
        <f aca="false" t="array" ref="BP8:BP8">IF(TblConstr[[#This Row],[Hour]:[Hour]]&gt;12,OFFSET(TblConstr[[#This Row],[Sch]],-12,0),0)+OFFSET(TblConstr[[#This Row],[Tot Sch]],-1,0)-TblConstr[[#This Row],[Dest Sch]]</f>
        <v>0</v>
      </c>
      <c r="BQ8" s="209" t="n">
        <f aca="false" t="array" ref="BQ8:BQ8">IF(TblConstr[[#This Row],[Hour]:[Hour]]&gt;12,OFFSET(TblConstr[[#This Row],[Doc]],-12,0),0)+OFFSET(TblConstr[[#This Row],[Tot Doc]],-1,0)-TblConstr[[#This Row],[Dest Doc]]</f>
        <v>0</v>
      </c>
      <c r="BR8" s="132"/>
      <c r="BS8" s="146"/>
      <c r="BT8" s="69" t="n">
        <f aca="false">TblConstr[[#This Row],[Land]]</f>
        <v>250</v>
      </c>
      <c r="BU8" s="153" t="n">
        <f aca="false">TblImps[[#This Row],[Time]]</f>
        <v>45429.9166666667</v>
      </c>
      <c r="BV8" s="132"/>
      <c r="BW8" s="182"/>
      <c r="BX8" s="182"/>
      <c r="BY8" s="182"/>
      <c r="BZ8" s="182"/>
      <c r="CA8" s="182"/>
      <c r="CB8" s="182"/>
      <c r="CC8" s="182"/>
      <c r="CD8" s="182"/>
      <c r="CE8" s="182"/>
      <c r="CF8" s="182"/>
      <c r="CG8" s="182"/>
      <c r="CH8" s="182"/>
      <c r="CI8" s="182"/>
      <c r="CJ8" s="182"/>
      <c r="CK8" s="182"/>
      <c r="CL8" s="182"/>
      <c r="CM8" s="182"/>
      <c r="CN8" s="182"/>
      <c r="CO8" s="182"/>
      <c r="CP8" s="132"/>
      <c r="CQ8" s="192" t="n">
        <f aca="false">-SUM(TblConstr[[#This Row],[Alc]:[Mas]])+SUM(TblConstr[[#This Row],[Dest Alc]:[Dest Mas]])+Rezone!L8+IF("Ch_"&amp; home_land=TblConstr[[#Headers],[Ch_Plain]],TblConstr[[#This Row],[Home Land]])+IF(TblConstr[[#This Row],[Hour]:[Hour]]&gt;12,OFFSET(TblExplore[[#This Row],[Plains Explore]],-12,0),0)</f>
        <v>0</v>
      </c>
      <c r="CR8" s="193" t="n">
        <f aca="false">-SUM(TblConstr[[#This Row],[Ly]:[Hav]])+SUM(TblConstr[[#This Row],[Dest Ly]:[Dest Hav]]) +Rezone!M8 + IF("Ch_"&amp; home_land=TblConstr[[#Headers],[Ch_Forest]],TblConstr[[#This Row],[Home Land]])+IF(TblConstr[[#This Row],[Hour]:[Hour]]&gt;12,OFFSET(TblExplore[[#This Row],[Forest Explore]],-12,0),0)</f>
        <v>0</v>
      </c>
      <c r="CS8" s="200" t="n">
        <f aca="false">-SUM(TblConstr[[#This Row],[OM]:[GN]])+SUM(TblConstr[[#This Row],[Dest OM]:[Dest GN]]) +Rezone!N8 + IF("Ch_"&amp; home_land=TblConstr[[#Headers],[Ch_Mountain]],TblConstr[[#This Row],[Home Land]])+IF(TblConstr[[#This Row],[Hour]:[Hour]]&gt;12,OFFSET(TblExplore[[#This Row],[Mountain Explore]],-12,0),0)</f>
        <v>0</v>
      </c>
      <c r="CT8" s="195" t="n">
        <f aca="false">-SUM(TblConstr[[#This Row],[Fac]:[Shr]])+SUM(TblConstr[[#This Row],[Dest Fac]:[Dest Shr]]) +Rezone!O8 + IF("Ch_" &amp; home_land=TblConstr[[#Headers],[Ch_Hill]],TblConstr[[#This Row],[Home Land]])+IF(TblConstr[[#This Row],[Hour]:[Hour]]&gt;12,OFFSET(TblExplore[[#This Row],[Hill Explore]],-12,0),0)</f>
        <v>0</v>
      </c>
      <c r="CU8" s="196" t="n">
        <f aca="false">-SUM(TblConstr[[#This Row],[Tow]:[WG]])+SUM(TblConstr[[#This Row],[Dest Tow]:[Dest WG]]) +Rezone!P8 + IF("Ch_" &amp; home_land=TblConstr[[#Headers],[Ch_Swamp]],TblConstr[[#This Row],[Home Land]])+IF(TblConstr[[#This Row],[Hour]:[Hour]]&gt;12,OFFSET(TblExplore[[#This Row],[Swamp Explore]],-12,0),0)</f>
        <v>0</v>
      </c>
      <c r="CV8" s="197" t="n">
        <f aca="false">- SUM(TblConstr[[#This Row],[DM]:[Sch]])+SUM(TblConstr[[#This Row],[Dest DM]:[Dest Sch]]) +Rezone!Q8 + IF("Ch_" &amp; home_land=TblConstr[[#Headers],[Ch_Cavern]],TblConstr[[#This Row],[Home Land]])+IF(TblConstr[[#This Row],[Hour]:[Hour]]&gt;12,OFFSET(TblExplore[[#This Row],[Cavern Explore]],-12,0),0)</f>
        <v>0</v>
      </c>
      <c r="CW8" s="198" t="n">
        <f aca="false">-TblConstr[[#This Row],[Doc]]+TblConstr[[#This Row],[Dest Doc]] +Rezone!R8 + IF("Ch_" &amp; home_land=TblConstr[[#Headers],[Ch_Water]],TblConstr[[#This Row],[Home Land]])+IF(TblConstr[[#This Row],[Hour]:[Hour]]&gt;12,OFFSET(TblExplore[[#This Row],[Water Explore]],-12,0),0)</f>
        <v>0</v>
      </c>
      <c r="CX8" s="1" t="n">
        <f aca="false">IF(Explore!S8=1,20) - TblConstr[[#This Row],[Hom]] + TblConstr[[#This Row],[Dest Hom]]</f>
        <v>0</v>
      </c>
      <c r="CY8" s="132"/>
      <c r="CZ8" s="69" t="n">
        <f aca="false">G8+SUM(P$4:S8)+SUM(AZ8:BC8)</f>
        <v>100</v>
      </c>
      <c r="DA8" s="69" t="n">
        <f aca="false">H8+SUM(T$4:U8)+SUM(BD8:BE8)</f>
        <v>20</v>
      </c>
      <c r="DB8" s="1" t="n">
        <f aca="false">I8+SUM(V$4:W8)+SUM(BF8:BG8)</f>
        <v>0</v>
      </c>
      <c r="DC8" s="69" t="n">
        <f aca="false">J8+SUM(X$4:Y8)+SUM(BH8:BI8)</f>
        <v>28</v>
      </c>
      <c r="DD8" s="69" t="n">
        <f aca="false">K8+SUM(AB$4:AD8)+SUM(BL8:BN8)</f>
        <v>62</v>
      </c>
      <c r="DE8" s="1" t="n">
        <f aca="false">L8+SUM(AE$4:AE8)+BO8</f>
        <v>20</v>
      </c>
      <c r="DF8" s="69" t="n">
        <f aca="false">M8+SUM(AG$4:AG8)+BQ8</f>
        <v>10</v>
      </c>
      <c r="DG8" s="69" t="e">
        <f aca="false" t="array" ref="DG8:DG8">INDEX(TblConstr[[Total Plain]:[Total Water]],ROW()-ROW(TblConstr[#headers]),MATCH("Total "&amp;home_land,TblConstr[[#Headers],[Total Plain]:[Total Water]],0))+TblConstr[[#This Row],[Homes]]</f>
        <v>#VALUE!</v>
      </c>
      <c r="DH8" s="1" t="n">
        <f aca="false">SUM(O$4:O8)+AY8</f>
        <v>10</v>
      </c>
      <c r="DI8" s="1" t="n">
        <f aca="false">MAX(BA8-BA7,0)</f>
        <v>0</v>
      </c>
      <c r="DJ8" s="1" t="n">
        <f aca="false">MAX(BQ8-BQ7,0)</f>
        <v>0</v>
      </c>
    </row>
    <row r="9" customFormat="false" ht="12.75" hidden="false" customHeight="false" outlineLevel="0" collapsed="false">
      <c r="A9" s="170" t="n">
        <f aca="false">TblRezone[[#This Row],[Hour]]</f>
        <v>6</v>
      </c>
      <c r="B9" s="171" t="n">
        <f aca="false">SUM(TblConstr[[#This Row],[Plain]:[Water]])</f>
        <v>30</v>
      </c>
      <c r="C9" s="172" t="n">
        <f aca="false">SUM(TblConstr[[#This Row],[Tot Hom]:[Tot Doc]])</f>
        <v>90</v>
      </c>
      <c r="D9" s="172" t="n">
        <f aca="false">SUM(O$4:AG9)</f>
        <v>130</v>
      </c>
      <c r="E9" s="173"/>
      <c r="F9" s="33" t="n">
        <f aca="false">TblConstr[[#This Row],[Barren]]+TblConstr[[#This Row],[Buildings]]+TblConstr[[#This Row],[Incoming]]</f>
        <v>250</v>
      </c>
      <c r="G9" s="199" t="n">
        <f aca="false">OFFSET(TblConstr[[#This Row],[Plain]],-1,0)+TblConstr[[#This Row],[Ch_Plain]]</f>
        <v>0</v>
      </c>
      <c r="H9" s="193" t="n">
        <f aca="false">OFFSET(TblConstr[[#This Row],[Forest]],-1,0)+TblConstr[[#This Row],[Ch_Forest]]</f>
        <v>0</v>
      </c>
      <c r="I9" s="200" t="n">
        <f aca="false">OFFSET(TblConstr[[#This Row],[Mountain]],-1,0)+TblConstr[[#This Row],[Ch_Mountain]]</f>
        <v>0</v>
      </c>
      <c r="J9" s="201" t="n">
        <f aca="false">OFFSET(TblConstr[[#This Row],[Hill]],-1,0)+TblConstr[[#This Row],[Ch_Hill]]</f>
        <v>0</v>
      </c>
      <c r="K9" s="202" t="n">
        <f aca="false">OFFSET(TblConstr[[#This Row],[Swamp]],-1,0)+TblConstr[[#This Row],[Ch_Swamp]]</f>
        <v>0</v>
      </c>
      <c r="L9" s="197" t="n">
        <f aca="false">OFFSET(TblConstr[[#This Row],[Cavern]],-1,0)+TblConstr[[#This Row],[Ch_Cavern]]</f>
        <v>20</v>
      </c>
      <c r="M9" s="198" t="n">
        <f aca="false">OFFSET(TblConstr[[#This Row],[Water]],-1,0)+TblConstr[[#This Row],[Ch_Water]]</f>
        <v>10</v>
      </c>
      <c r="N9" s="181" t="n">
        <f aca="false">TblRezone[[#This Row],[Hour]]</f>
        <v>6</v>
      </c>
      <c r="O9" s="182"/>
      <c r="P9" s="182"/>
      <c r="Q9" s="182"/>
      <c r="R9" s="182"/>
      <c r="S9" s="182"/>
      <c r="T9" s="182"/>
      <c r="U9" s="182"/>
      <c r="V9" s="182"/>
      <c r="W9" s="182"/>
      <c r="X9" s="182"/>
      <c r="Y9" s="182"/>
      <c r="Z9" s="182"/>
      <c r="AA9" s="182"/>
      <c r="AB9" s="182"/>
      <c r="AC9" s="182"/>
      <c r="AD9" s="182"/>
      <c r="AE9" s="182"/>
      <c r="AF9" s="182"/>
      <c r="AG9" s="182"/>
      <c r="AH9" s="20" t="n">
        <f aca="false">TblImps[[#This Row],[Time]]</f>
        <v>45429.9583333333</v>
      </c>
      <c r="AI9" s="130" t="n">
        <f aca="false">MIN(25%,(TblConstr[[#This Row],[Tot Fac]]+TblConstr[[#This Row],[Dest Fac]])/(TblConstr[[#This Row],[Land]]-TblExplore[[#This Row],[Land Bonus]]*20))</f>
        <v>0</v>
      </c>
      <c r="AJ9" s="130" t="n">
        <f aca="false">MIN(25%,(TblConstr[[#This Row],[Tot Fac]]+TblConstr[[#This Row],[Dest Fac]])/TblConstr[[#This Row],[Land]])</f>
        <v>0</v>
      </c>
      <c r="AK9" s="69" t="n">
        <f aca="false">TblProd[[#This Row],[Platinum]]</f>
        <v>16683</v>
      </c>
      <c r="AL9" s="69" t="n">
        <f aca="false">TblProd[[#This Row],[Lumber]]</f>
        <v>0</v>
      </c>
      <c r="AM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9" s="69" t="n">
        <f aca="false">ROUNDDOWN( MAX(1 - MIN(facs_constr_factor*TblConstr[[#This Row],[Facs -DB]],facs_constr_max) + tech_1_11*TblTech[[#This Row],[11-1]] + tech_6_3_2*TblTech[[#This Row],[6-3]] + tech_5_2_3*TblTech[[#This Row],[5-2]], 1-global_constr_cap) * TblConstr[[#This Row],[RCPA Lumber]],0)</f>
        <v>88</v>
      </c>
      <c r="AO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9" s="69" t="n">
        <f aca="false">ROUNDDOWN( MAX(1 - MIN(facs_constr_factor*TblConstr[[#This Row],[Facs DB]],facs_constr_max) + tech_1_11*TblTech[[#This Row],[1-11]] + tech_6_3_2*TblTech[[#This Row],[6-3]] + tech_5_2_3*TblTech[[#This Row],[5-2]], 1-global_constr_cap) * ROUND((TblConstr[[#This Row],[Land]]-250)*0.285 + 87.5 + 0/4.25,0),0)</f>
        <v>88</v>
      </c>
      <c r="AQ9" s="1" t="n">
        <f aca="false">TblConstr[[#This Row],[build -db]]*TblConstr[[#This Row],[CPA Platinum -DB]] + TblConstr[[#This Row],[build db]]*TblConstr[[#This Row],[CPA Platinum DB]]</f>
        <v>0</v>
      </c>
      <c r="AR9" s="1" t="n">
        <f aca="false">TblConstr[[#This Row],[build -db]]*TblConstr[[#This Row],[CPA Lumber -DB]]+TblConstr[[#This Row],[build db]]*TblConstr[[#This Row],[CPA Lumber DB]]</f>
        <v>0</v>
      </c>
      <c r="AS9" s="69" t="n">
        <f aca="false">MIN(SUM(OFFSET(TblConstr[[#This Row],[Plain]:[Water]],-1,0))+SUM(TblConstr[[#This Row],[Dest Hom]:[Dest Doc]])+IF(TblConstr[[#This Row],[Hour]]&gt;12,SUM(OFFSET(TblExplore[[#This Row],[Plains Explore]:[Water Explore]],-12,0)),0),SUM(TblConstr[[#This Row],[Hom]:[Doc]]))</f>
        <v>0</v>
      </c>
      <c r="AT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32"/>
      <c r="AV9" s="69" t="n">
        <f aca="false">ROUND((TblConstr[[#This Row],[Land]]-250 - IF(TblExplore[[#This Row],[Land Bonus]]&lt;&gt;0,20,0))*1.25 + 850 + 0,0)</f>
        <v>850</v>
      </c>
      <c r="AW9" s="69" t="n">
        <f aca="false">ROUND((TblConstr[[#This Row],[Land]]-250 - IF(TblExplore[[#This Row],[Land Bonus]]&lt;&gt;0,20,0))*0.285 + 87.5 + 0/4.25,0)</f>
        <v>88</v>
      </c>
      <c r="AX9" s="146"/>
      <c r="AY9" s="203" t="n">
        <f aca="false" t="array" ref="AY9:AY9">IF(TblConstr[[#This Row],[Hour]:[Hour]]&gt;12,OFFSET(TblConstr[[#This Row],[Hom]],-12,0),0)+OFFSET(TblConstr[[#This Row],[Tot Hom]],-1,0)-TblConstr[[#This Row],[Dest Hom]]</f>
        <v>10</v>
      </c>
      <c r="AZ9" s="204" t="n">
        <f aca="false" t="array" ref="AZ9:AZ9">IF(TblConstr[[#This Row],[Hour]:[Hour]]&gt;12,OFFSET(TblConstr[[#This Row],[Alc]],-12,0),0)+OFFSET(TblConstr[[#This Row],[Tot Alc]],-1,0)-TblConstr[[#This Row],[Dest Alc]]</f>
        <v>30</v>
      </c>
      <c r="BA9" s="204" t="n">
        <f aca="false" t="array" ref="BA9:BA9">IF(TblConstr[[#This Row],[Hour]:[Hour]]&gt;12,OFFSET(TblConstr[[#This Row],[Far]],-12,0),0)+OFFSET(TblConstr[[#This Row],[Tot Farm]],-1,0)-TblConstr[[#This Row],[Dest Farm]]</f>
        <v>30</v>
      </c>
      <c r="BB9" s="204" t="n">
        <f aca="false" t="array" ref="BB9:BB9">IF(TblConstr[[#This Row],[Hour]:[Hour]]&gt;12,OFFSET(TblConstr[[#This Row],[Smi]],-12,0),0)+OFFSET(TblConstr[[#This Row],[Tot Smi]],-1,0)-TblConstr[[#This Row],[Dest Smi]]</f>
        <v>0</v>
      </c>
      <c r="BC9" s="204" t="n">
        <f aca="false" t="array" ref="BC9:BC9">IF(TblConstr[[#This Row],[Hour]:[Hour]]&gt;12,OFFSET(TblConstr[[#This Row],[Mas]],-12,0),0)+OFFSET(TblConstr[[#This Row],[Tot Mas]],-1,0)-TblConstr[[#This Row],[Dest Mas]]</f>
        <v>0</v>
      </c>
      <c r="BD9" s="205" t="n">
        <f aca="false" t="array" ref="BD9:BD9">IF(TblConstr[[#This Row],[Hour]:[Hour]]&gt;12,OFFSET(TblConstr[[#This Row],[Ly]],-12,0),0)+OFFSET(TblConstr[[#This Row],[Tot Ly]],-1,0)-TblConstr[[#This Row],[Dest Ly]]</f>
        <v>20</v>
      </c>
      <c r="BE9" s="205" t="n">
        <f aca="false" t="array" ref="BE9:BE9">IF(TblConstr[[#This Row],[Hour]:[Hour]]&gt;12,OFFSET(TblConstr[[#This Row],[Hav]],-12,0),0)+OFFSET(TblConstr[[#This Row],[Tot Hav]],-1,0)-TblConstr[[#This Row],[Dest Hav]]</f>
        <v>0</v>
      </c>
      <c r="BF9" s="194" t="n">
        <f aca="false" t="array" ref="BF9:BF9">IF(TblConstr[[#This Row],[Hour]:[Hour]]&gt;12,OFFSET(TblConstr[[#This Row],[OM]],-12,0),0)+OFFSET(TblConstr[[#This Row],[Tot OM]],-1,0)-TblConstr[[#This Row],[Dest OM]]</f>
        <v>0</v>
      </c>
      <c r="BG9" s="194" t="n">
        <f aca="false" t="array" ref="BG9:BG9">IF(TblConstr[[#This Row],[Hour]:[Hour]]&gt;12,OFFSET(TblConstr[[#This Row],[GN]],-12,0),0)+OFFSET(TblConstr[[#This Row],[Tot GN]],-1,0)-TblConstr[[#This Row],[Dest GN]]</f>
        <v>0</v>
      </c>
      <c r="BH9" s="206" t="n">
        <f aca="false" t="array" ref="BH9:BH9">IF(TblConstr[[#This Row],[Hour]:[Hour]]&gt;12,OFFSET(TblConstr[[#This Row],[Fac]],-12,0),0)+OFFSET(TblConstr[[#This Row],[Tot Fac]],-1,0)-TblConstr[[#This Row],[Dest Fac]]</f>
        <v>0</v>
      </c>
      <c r="BI9" s="206" t="n">
        <f aca="false" t="array" ref="BI9:BI9">IF(TblConstr[[#This Row],[Hour]:[Hour]]&gt;12,OFFSET(TblConstr[[#This Row],[GT]],-12,0),0)+OFFSET(TblConstr[[#This Row],[Tot GT]],-1,0)-TblConstr[[#This Row],[Dest GT]]</f>
        <v>0</v>
      </c>
      <c r="BJ9" s="206" t="n">
        <f aca="false" t="array" ref="BJ9:BJ9">IF(TblConstr[[#This Row],[Hour]:[Hour]]&gt;12,OFFSET(TblConstr[[#This Row],[Bar]],-12,0),0)+OFFSET(TblConstr[[#This Row],[Tot Bar]],-1,0)-TblConstr[[#This Row],[Dest Bar]]</f>
        <v>0</v>
      </c>
      <c r="BK9" s="206" t="n">
        <f aca="false" t="array" ref="BK9:BK9">IF(TblConstr[[#This Row],[Hour]:[Hour]]&gt;12,OFFSET(TblConstr[[#This Row],[Shr]],-12,0),0)+OFFSET(TblConstr[[#This Row],[Tot Shr]],-1,0)-TblConstr[[#This Row],[Dest Shr]]</f>
        <v>0</v>
      </c>
      <c r="BL9" s="207" t="n">
        <f aca="false" t="array" ref="BL9:BL9">IF(TblConstr[[#This Row],[Hour]:[Hour]]&gt;12,OFFSET(TblConstr[[#This Row],[Tow]],-12,0),0)+OFFSET(TblConstr[[#This Row],[Tot Tow]],-1,0)-TblConstr[[#This Row],[Dest Tow]]</f>
        <v>0</v>
      </c>
      <c r="BM9" s="207" t="n">
        <f aca="false" t="array" ref="BM9:BM9">IF(TblConstr[[#This Row],[Hour]:[Hour]]&gt;12,OFFSET(TblConstr[[#This Row],[Tem]],-12,0),0)+OFFSET(TblConstr[[#This Row],[Tot Tem]],-1,0)-TblConstr[[#This Row],[Dest Tem]]</f>
        <v>0</v>
      </c>
      <c r="BN9" s="207" t="n">
        <f aca="false" t="array" ref="BN9:BN9">IF(TblConstr[[#This Row],[Hour]:[Hour]]&gt;12,OFFSET(TblConstr[[#This Row],[WG]],-12,0),0)+OFFSET(TblConstr[[#This Row],[Tot WG]],-1,0)-TblConstr[[#This Row],[Dest WG]]</f>
        <v>0</v>
      </c>
      <c r="BO9" s="208" t="n">
        <f aca="false" t="array" ref="BO9:BO9">IF(TblConstr[[#This Row],[Hour]:[Hour]]&gt;12,OFFSET(TblConstr[[#This Row],[DM]],-12,0),0)+OFFSET(TblConstr[[#This Row],[Tot DM]],-1,0)-TblConstr[[#This Row],[Dest DM]]</f>
        <v>0</v>
      </c>
      <c r="BP9" s="208" t="n">
        <f aca="false" t="array" ref="BP9:BP9">IF(TblConstr[[#This Row],[Hour]:[Hour]]&gt;12,OFFSET(TblConstr[[#This Row],[Sch]],-12,0),0)+OFFSET(TblConstr[[#This Row],[Tot Sch]],-1,0)-TblConstr[[#This Row],[Dest Sch]]</f>
        <v>0</v>
      </c>
      <c r="BQ9" s="209" t="n">
        <f aca="false" t="array" ref="BQ9:BQ9">IF(TblConstr[[#This Row],[Hour]:[Hour]]&gt;12,OFFSET(TblConstr[[#This Row],[Doc]],-12,0),0)+OFFSET(TblConstr[[#This Row],[Tot Doc]],-1,0)-TblConstr[[#This Row],[Dest Doc]]</f>
        <v>0</v>
      </c>
      <c r="BR9" s="132"/>
      <c r="BS9" s="146"/>
      <c r="BT9" s="69" t="n">
        <f aca="false">TblConstr[[#This Row],[Land]]</f>
        <v>250</v>
      </c>
      <c r="BU9" s="153" t="n">
        <f aca="false">TblImps[[#This Row],[Time]]</f>
        <v>45429.9583333333</v>
      </c>
      <c r="BV9" s="132"/>
      <c r="BW9" s="182"/>
      <c r="BX9" s="182"/>
      <c r="BY9" s="182"/>
      <c r="BZ9" s="182"/>
      <c r="CA9" s="182"/>
      <c r="CB9" s="182"/>
      <c r="CC9" s="182"/>
      <c r="CD9" s="182"/>
      <c r="CE9" s="182"/>
      <c r="CF9" s="182"/>
      <c r="CG9" s="182"/>
      <c r="CH9" s="182"/>
      <c r="CI9" s="182"/>
      <c r="CJ9" s="182"/>
      <c r="CK9" s="182"/>
      <c r="CL9" s="182"/>
      <c r="CM9" s="182"/>
      <c r="CN9" s="182"/>
      <c r="CO9" s="182"/>
      <c r="CP9" s="132"/>
      <c r="CQ9" s="192" t="n">
        <f aca="false">-SUM(TblConstr[[#This Row],[Alc]:[Mas]])+SUM(TblConstr[[#This Row],[Dest Alc]:[Dest Mas]])+Rezone!L9+IF("Ch_"&amp; home_land=TblConstr[[#Headers],[Ch_Plain]],TblConstr[[#This Row],[Home Land]])+IF(TblConstr[[#This Row],[Hour]:[Hour]]&gt;12,OFFSET(TblExplore[[#This Row],[Plains Explore]],-12,0),0)</f>
        <v>0</v>
      </c>
      <c r="CR9" s="193" t="n">
        <f aca="false">-SUM(TblConstr[[#This Row],[Ly]:[Hav]])+SUM(TblConstr[[#This Row],[Dest Ly]:[Dest Hav]]) +Rezone!M9 + IF("Ch_"&amp; home_land=TblConstr[[#Headers],[Ch_Forest]],TblConstr[[#This Row],[Home Land]])+IF(TblConstr[[#This Row],[Hour]:[Hour]]&gt;12,OFFSET(TblExplore[[#This Row],[Forest Explore]],-12,0),0)</f>
        <v>0</v>
      </c>
      <c r="CS9" s="200" t="n">
        <f aca="false">-SUM(TblConstr[[#This Row],[OM]:[GN]])+SUM(TblConstr[[#This Row],[Dest OM]:[Dest GN]]) +Rezone!N9 + IF("Ch_"&amp; home_land=TblConstr[[#Headers],[Ch_Mountain]],TblConstr[[#This Row],[Home Land]])+IF(TblConstr[[#This Row],[Hour]:[Hour]]&gt;12,OFFSET(TblExplore[[#This Row],[Mountain Explore]],-12,0),0)</f>
        <v>0</v>
      </c>
      <c r="CT9" s="195" t="n">
        <f aca="false">-SUM(TblConstr[[#This Row],[Fac]:[Shr]])+SUM(TblConstr[[#This Row],[Dest Fac]:[Dest Shr]]) +Rezone!O9 + IF("Ch_" &amp; home_land=TblConstr[[#Headers],[Ch_Hill]],TblConstr[[#This Row],[Home Land]])+IF(TblConstr[[#This Row],[Hour]:[Hour]]&gt;12,OFFSET(TblExplore[[#This Row],[Hill Explore]],-12,0),0)</f>
        <v>0</v>
      </c>
      <c r="CU9" s="196" t="n">
        <f aca="false">-SUM(TblConstr[[#This Row],[Tow]:[WG]])+SUM(TblConstr[[#This Row],[Dest Tow]:[Dest WG]]) +Rezone!P9 + IF("Ch_" &amp; home_land=TblConstr[[#Headers],[Ch_Swamp]],TblConstr[[#This Row],[Home Land]])+IF(TblConstr[[#This Row],[Hour]:[Hour]]&gt;12,OFFSET(TblExplore[[#This Row],[Swamp Explore]],-12,0),0)</f>
        <v>0</v>
      </c>
      <c r="CV9" s="197" t="n">
        <f aca="false">- SUM(TblConstr[[#This Row],[DM]:[Sch]])+SUM(TblConstr[[#This Row],[Dest DM]:[Dest Sch]]) +Rezone!Q9 + IF("Ch_" &amp; home_land=TblConstr[[#Headers],[Ch_Cavern]],TblConstr[[#This Row],[Home Land]])+IF(TblConstr[[#This Row],[Hour]:[Hour]]&gt;12,OFFSET(TblExplore[[#This Row],[Cavern Explore]],-12,0),0)</f>
        <v>0</v>
      </c>
      <c r="CW9" s="198" t="n">
        <f aca="false">-TblConstr[[#This Row],[Doc]]+TblConstr[[#This Row],[Dest Doc]] +Rezone!R9 + IF("Ch_" &amp; home_land=TblConstr[[#Headers],[Ch_Water]],TblConstr[[#This Row],[Home Land]])+IF(TblConstr[[#This Row],[Hour]:[Hour]]&gt;12,OFFSET(TblExplore[[#This Row],[Water Explore]],-12,0),0)</f>
        <v>0</v>
      </c>
      <c r="CX9" s="1" t="n">
        <f aca="false">IF(Explore!S9=1,20) - TblConstr[[#This Row],[Hom]] + TblConstr[[#This Row],[Dest Hom]]</f>
        <v>0</v>
      </c>
      <c r="CY9" s="132"/>
      <c r="CZ9" s="69" t="n">
        <f aca="false">G9+SUM(P$4:S9)+SUM(AZ9:BC9)</f>
        <v>100</v>
      </c>
      <c r="DA9" s="69" t="n">
        <f aca="false">H9+SUM(T$4:U9)+SUM(BD9:BE9)</f>
        <v>20</v>
      </c>
      <c r="DB9" s="1" t="n">
        <f aca="false">I9+SUM(V$4:W9)+SUM(BF9:BG9)</f>
        <v>0</v>
      </c>
      <c r="DC9" s="69" t="n">
        <f aca="false">J9+SUM(X$4:Y9)+SUM(BH9:BI9)</f>
        <v>28</v>
      </c>
      <c r="DD9" s="69" t="n">
        <f aca="false">K9+SUM(AB$4:AD9)+SUM(BL9:BN9)</f>
        <v>62</v>
      </c>
      <c r="DE9" s="1" t="n">
        <f aca="false">L9+SUM(AE$4:AE9)+BO9</f>
        <v>20</v>
      </c>
      <c r="DF9" s="69" t="n">
        <f aca="false">M9+SUM(AG$4:AG9)+BQ9</f>
        <v>10</v>
      </c>
      <c r="DG9" s="69" t="e">
        <f aca="false" t="array" ref="DG9:DG9">INDEX(TblConstr[[Total Plain]:[Total Water]],ROW()-ROW(TblConstr[#headers]),MATCH("Total "&amp;home_land,TblConstr[[#Headers],[Total Plain]:[Total Water]],0))+TblConstr[[#This Row],[Homes]]</f>
        <v>#VALUE!</v>
      </c>
      <c r="DH9" s="1" t="n">
        <f aca="false">SUM(O$4:O9)+AY9</f>
        <v>10</v>
      </c>
      <c r="DI9" s="1" t="n">
        <f aca="false">MAX(BA9-BA8,0)</f>
        <v>0</v>
      </c>
      <c r="DJ9" s="1" t="n">
        <f aca="false">MAX(BQ9-BQ8,0)</f>
        <v>0</v>
      </c>
    </row>
    <row r="10" customFormat="false" ht="12.75" hidden="false" customHeight="false" outlineLevel="0" collapsed="false">
      <c r="A10" s="170" t="n">
        <f aca="false">TblRezone[[#This Row],[Hour]]</f>
        <v>7</v>
      </c>
      <c r="B10" s="171" t="n">
        <f aca="false">SUM(TblConstr[[#This Row],[Plain]:[Water]])</f>
        <v>30</v>
      </c>
      <c r="C10" s="172" t="n">
        <f aca="false">SUM(TblConstr[[#This Row],[Tot Hom]:[Tot Doc]])</f>
        <v>90</v>
      </c>
      <c r="D10" s="172" t="n">
        <f aca="false">SUM(O$4:AG10)</f>
        <v>130</v>
      </c>
      <c r="E10" s="173"/>
      <c r="F10" s="33" t="n">
        <f aca="false">TblConstr[[#This Row],[Barren]]+TblConstr[[#This Row],[Buildings]]+TblConstr[[#This Row],[Incoming]]</f>
        <v>250</v>
      </c>
      <c r="G10" s="199" t="n">
        <f aca="false">OFFSET(TblConstr[[#This Row],[Plain]],-1,0)+TblConstr[[#This Row],[Ch_Plain]]</f>
        <v>0</v>
      </c>
      <c r="H10" s="193" t="n">
        <f aca="false">OFFSET(TblConstr[[#This Row],[Forest]],-1,0)+TblConstr[[#This Row],[Ch_Forest]]</f>
        <v>0</v>
      </c>
      <c r="I10" s="200" t="n">
        <f aca="false">OFFSET(TblConstr[[#This Row],[Mountain]],-1,0)+TblConstr[[#This Row],[Ch_Mountain]]</f>
        <v>0</v>
      </c>
      <c r="J10" s="201" t="n">
        <f aca="false">OFFSET(TblConstr[[#This Row],[Hill]],-1,0)+TblConstr[[#This Row],[Ch_Hill]]</f>
        <v>0</v>
      </c>
      <c r="K10" s="202" t="n">
        <f aca="false">OFFSET(TblConstr[[#This Row],[Swamp]],-1,0)+TblConstr[[#This Row],[Ch_Swamp]]</f>
        <v>0</v>
      </c>
      <c r="L10" s="197" t="n">
        <f aca="false">OFFSET(TblConstr[[#This Row],[Cavern]],-1,0)+TblConstr[[#This Row],[Ch_Cavern]]</f>
        <v>20</v>
      </c>
      <c r="M10" s="198" t="n">
        <f aca="false">OFFSET(TblConstr[[#This Row],[Water]],-1,0)+TblConstr[[#This Row],[Ch_Water]]</f>
        <v>10</v>
      </c>
      <c r="N10" s="181" t="n">
        <f aca="false">TblRezone[[#This Row],[Hour]]</f>
        <v>7</v>
      </c>
      <c r="O10" s="182"/>
      <c r="P10" s="182"/>
      <c r="Q10" s="182"/>
      <c r="R10" s="182"/>
      <c r="S10" s="182"/>
      <c r="T10" s="182"/>
      <c r="U10" s="182"/>
      <c r="V10" s="182"/>
      <c r="W10" s="182"/>
      <c r="X10" s="182"/>
      <c r="Y10" s="182"/>
      <c r="Z10" s="182"/>
      <c r="AA10" s="182"/>
      <c r="AB10" s="182"/>
      <c r="AC10" s="182"/>
      <c r="AD10" s="182"/>
      <c r="AE10" s="182"/>
      <c r="AF10" s="182"/>
      <c r="AG10" s="182"/>
      <c r="AH10" s="20" t="n">
        <f aca="false">TblImps[[#This Row],[Time]]</f>
        <v>45430</v>
      </c>
      <c r="AI10" s="130" t="n">
        <f aca="false">MIN(25%,(TblConstr[[#This Row],[Tot Fac]]+TblConstr[[#This Row],[Dest Fac]])/(TblConstr[[#This Row],[Land]]-TblExplore[[#This Row],[Land Bonus]]*20))</f>
        <v>0</v>
      </c>
      <c r="AJ10" s="130" t="n">
        <f aca="false">MIN(25%,(TblConstr[[#This Row],[Tot Fac]]+TblConstr[[#This Row],[Dest Fac]])/TblConstr[[#This Row],[Land]])</f>
        <v>0</v>
      </c>
      <c r="AK10" s="69" t="n">
        <f aca="false">TblProd[[#This Row],[Platinum]]</f>
        <v>21502</v>
      </c>
      <c r="AL10" s="69" t="n">
        <f aca="false">TblProd[[#This Row],[Lumber]]</f>
        <v>0</v>
      </c>
      <c r="AM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0" s="69" t="n">
        <f aca="false">ROUNDDOWN( MAX(1 - MIN(facs_constr_factor*TblConstr[[#This Row],[Facs -DB]],facs_constr_max) + tech_1_11*TblTech[[#This Row],[11-1]] + tech_6_3_2*TblTech[[#This Row],[6-3]] + tech_5_2_3*TblTech[[#This Row],[5-2]], 1-global_constr_cap) * TblConstr[[#This Row],[RCPA Lumber]],0)</f>
        <v>88</v>
      </c>
      <c r="AO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0" s="69" t="n">
        <f aca="false">ROUNDDOWN( MAX(1 - MIN(facs_constr_factor*TblConstr[[#This Row],[Facs DB]],facs_constr_max) + tech_1_11*TblTech[[#This Row],[1-11]] + tech_6_3_2*TblTech[[#This Row],[6-3]] + tech_5_2_3*TblTech[[#This Row],[5-2]], 1-global_constr_cap) * ROUND((TblConstr[[#This Row],[Land]]-250)*0.285 + 87.5 + 0/4.25,0),0)</f>
        <v>88</v>
      </c>
      <c r="AQ10" s="1" t="n">
        <f aca="false">TblConstr[[#This Row],[build -db]]*TblConstr[[#This Row],[CPA Platinum -DB]] + TblConstr[[#This Row],[build db]]*TblConstr[[#This Row],[CPA Platinum DB]]</f>
        <v>0</v>
      </c>
      <c r="AR10" s="1" t="n">
        <f aca="false">TblConstr[[#This Row],[build -db]]*TblConstr[[#This Row],[CPA Lumber -DB]]+TblConstr[[#This Row],[build db]]*TblConstr[[#This Row],[CPA Lumber DB]]</f>
        <v>0</v>
      </c>
      <c r="AS10" s="69" t="n">
        <f aca="false">MIN(SUM(OFFSET(TblConstr[[#This Row],[Plain]:[Water]],-1,0))+SUM(TblConstr[[#This Row],[Dest Hom]:[Dest Doc]])+IF(TblConstr[[#This Row],[Hour]]&gt;12,SUM(OFFSET(TblExplore[[#This Row],[Plains Explore]:[Water Explore]],-12,0)),0),SUM(TblConstr[[#This Row],[Hom]:[Doc]]))</f>
        <v>0</v>
      </c>
      <c r="AT1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32"/>
      <c r="AV10" s="69" t="n">
        <f aca="false">ROUND((TblConstr[[#This Row],[Land]]-250 - IF(TblExplore[[#This Row],[Land Bonus]]&lt;&gt;0,20,0))*1.25 + 850 + 0,0)</f>
        <v>850</v>
      </c>
      <c r="AW10" s="69" t="n">
        <f aca="false">ROUND((TblConstr[[#This Row],[Land]]-250 - IF(TblExplore[[#This Row],[Land Bonus]]&lt;&gt;0,20,0))*0.285 + 87.5 + 0/4.25,0)</f>
        <v>88</v>
      </c>
      <c r="AX10" s="146"/>
      <c r="AY10" s="203" t="n">
        <f aca="false" t="array" ref="AY10:AY10">IF(TblConstr[[#This Row],[Hour]:[Hour]]&gt;12,OFFSET(TblConstr[[#This Row],[Hom]],-12,0),0)+OFFSET(TblConstr[[#This Row],[Tot Hom]],-1,0)-TblConstr[[#This Row],[Dest Hom]]</f>
        <v>10</v>
      </c>
      <c r="AZ10" s="204" t="n">
        <f aca="false" t="array" ref="AZ10:AZ10">IF(TblConstr[[#This Row],[Hour]:[Hour]]&gt;12,OFFSET(TblConstr[[#This Row],[Alc]],-12,0),0)+OFFSET(TblConstr[[#This Row],[Tot Alc]],-1,0)-TblConstr[[#This Row],[Dest Alc]]</f>
        <v>30</v>
      </c>
      <c r="BA10" s="204" t="n">
        <f aca="false" t="array" ref="BA10:BA10">IF(TblConstr[[#This Row],[Hour]:[Hour]]&gt;12,OFFSET(TblConstr[[#This Row],[Far]],-12,0),0)+OFFSET(TblConstr[[#This Row],[Tot Farm]],-1,0)-TblConstr[[#This Row],[Dest Farm]]</f>
        <v>30</v>
      </c>
      <c r="BB10" s="204" t="n">
        <f aca="false" t="array" ref="BB10:BB10">IF(TblConstr[[#This Row],[Hour]:[Hour]]&gt;12,OFFSET(TblConstr[[#This Row],[Smi]],-12,0),0)+OFFSET(TblConstr[[#This Row],[Tot Smi]],-1,0)-TblConstr[[#This Row],[Dest Smi]]</f>
        <v>0</v>
      </c>
      <c r="BC10" s="204" t="n">
        <f aca="false" t="array" ref="BC10:BC10">IF(TblConstr[[#This Row],[Hour]:[Hour]]&gt;12,OFFSET(TblConstr[[#This Row],[Mas]],-12,0),0)+OFFSET(TblConstr[[#This Row],[Tot Mas]],-1,0)-TblConstr[[#This Row],[Dest Mas]]</f>
        <v>0</v>
      </c>
      <c r="BD10" s="205" t="n">
        <f aca="false" t="array" ref="BD10:BD10">IF(TblConstr[[#This Row],[Hour]:[Hour]]&gt;12,OFFSET(TblConstr[[#This Row],[Ly]],-12,0),0)+OFFSET(TblConstr[[#This Row],[Tot Ly]],-1,0)-TblConstr[[#This Row],[Dest Ly]]</f>
        <v>20</v>
      </c>
      <c r="BE10" s="205" t="n">
        <f aca="false" t="array" ref="BE10:BE10">IF(TblConstr[[#This Row],[Hour]:[Hour]]&gt;12,OFFSET(TblConstr[[#This Row],[Hav]],-12,0),0)+OFFSET(TblConstr[[#This Row],[Tot Hav]],-1,0)-TblConstr[[#This Row],[Dest Hav]]</f>
        <v>0</v>
      </c>
      <c r="BF10" s="194" t="n">
        <f aca="false" t="array" ref="BF10:BF10">IF(TblConstr[[#This Row],[Hour]:[Hour]]&gt;12,OFFSET(TblConstr[[#This Row],[OM]],-12,0),0)+OFFSET(TblConstr[[#This Row],[Tot OM]],-1,0)-TblConstr[[#This Row],[Dest OM]]</f>
        <v>0</v>
      </c>
      <c r="BG10" s="194" t="n">
        <f aca="false" t="array" ref="BG10:BG10">IF(TblConstr[[#This Row],[Hour]:[Hour]]&gt;12,OFFSET(TblConstr[[#This Row],[GN]],-12,0),0)+OFFSET(TblConstr[[#This Row],[Tot GN]],-1,0)-TblConstr[[#This Row],[Dest GN]]</f>
        <v>0</v>
      </c>
      <c r="BH10" s="206" t="n">
        <f aca="false" t="array" ref="BH10:BH10">IF(TblConstr[[#This Row],[Hour]:[Hour]]&gt;12,OFFSET(TblConstr[[#This Row],[Fac]],-12,0),0)+OFFSET(TblConstr[[#This Row],[Tot Fac]],-1,0)-TblConstr[[#This Row],[Dest Fac]]</f>
        <v>0</v>
      </c>
      <c r="BI10" s="206" t="n">
        <f aca="false" t="array" ref="BI10:BI10">IF(TblConstr[[#This Row],[Hour]:[Hour]]&gt;12,OFFSET(TblConstr[[#This Row],[GT]],-12,0),0)+OFFSET(TblConstr[[#This Row],[Tot GT]],-1,0)-TblConstr[[#This Row],[Dest GT]]</f>
        <v>0</v>
      </c>
      <c r="BJ10" s="206" t="n">
        <f aca="false" t="array" ref="BJ10:BJ10">IF(TblConstr[[#This Row],[Hour]:[Hour]]&gt;12,OFFSET(TblConstr[[#This Row],[Bar]],-12,0),0)+OFFSET(TblConstr[[#This Row],[Tot Bar]],-1,0)-TblConstr[[#This Row],[Dest Bar]]</f>
        <v>0</v>
      </c>
      <c r="BK10" s="206" t="n">
        <f aca="false" t="array" ref="BK10:BK10">IF(TblConstr[[#This Row],[Hour]:[Hour]]&gt;12,OFFSET(TblConstr[[#This Row],[Shr]],-12,0),0)+OFFSET(TblConstr[[#This Row],[Tot Shr]],-1,0)-TblConstr[[#This Row],[Dest Shr]]</f>
        <v>0</v>
      </c>
      <c r="BL10" s="207" t="n">
        <f aca="false" t="array" ref="BL10:BL10">IF(TblConstr[[#This Row],[Hour]:[Hour]]&gt;12,OFFSET(TblConstr[[#This Row],[Tow]],-12,0),0)+OFFSET(TblConstr[[#This Row],[Tot Tow]],-1,0)-TblConstr[[#This Row],[Dest Tow]]</f>
        <v>0</v>
      </c>
      <c r="BM10" s="207" t="n">
        <f aca="false" t="array" ref="BM10:BM10">IF(TblConstr[[#This Row],[Hour]:[Hour]]&gt;12,OFFSET(TblConstr[[#This Row],[Tem]],-12,0),0)+OFFSET(TblConstr[[#This Row],[Tot Tem]],-1,0)-TblConstr[[#This Row],[Dest Tem]]</f>
        <v>0</v>
      </c>
      <c r="BN10" s="207" t="n">
        <f aca="false" t="array" ref="BN10:BN10">IF(TblConstr[[#This Row],[Hour]:[Hour]]&gt;12,OFFSET(TblConstr[[#This Row],[WG]],-12,0),0)+OFFSET(TblConstr[[#This Row],[Tot WG]],-1,0)-TblConstr[[#This Row],[Dest WG]]</f>
        <v>0</v>
      </c>
      <c r="BO10" s="208" t="n">
        <f aca="false" t="array" ref="BO10:BO10">IF(TblConstr[[#This Row],[Hour]:[Hour]]&gt;12,OFFSET(TblConstr[[#This Row],[DM]],-12,0),0)+OFFSET(TblConstr[[#This Row],[Tot DM]],-1,0)-TblConstr[[#This Row],[Dest DM]]</f>
        <v>0</v>
      </c>
      <c r="BP10" s="208" t="n">
        <f aca="false" t="array" ref="BP10:BP10">IF(TblConstr[[#This Row],[Hour]:[Hour]]&gt;12,OFFSET(TblConstr[[#This Row],[Sch]],-12,0),0)+OFFSET(TblConstr[[#This Row],[Tot Sch]],-1,0)-TblConstr[[#This Row],[Dest Sch]]</f>
        <v>0</v>
      </c>
      <c r="BQ10" s="209" t="n">
        <f aca="false" t="array" ref="BQ10:BQ10">IF(TblConstr[[#This Row],[Hour]:[Hour]]&gt;12,OFFSET(TblConstr[[#This Row],[Doc]],-12,0),0)+OFFSET(TblConstr[[#This Row],[Tot Doc]],-1,0)-TblConstr[[#This Row],[Dest Doc]]</f>
        <v>0</v>
      </c>
      <c r="BR10" s="132"/>
      <c r="BS10" s="146"/>
      <c r="BT10" s="69" t="n">
        <f aca="false">TblConstr[[#This Row],[Land]]</f>
        <v>250</v>
      </c>
      <c r="BU10" s="153" t="n">
        <f aca="false">TblImps[[#This Row],[Time]]</f>
        <v>45430</v>
      </c>
      <c r="BV10" s="132"/>
      <c r="BW10" s="182"/>
      <c r="BX10" s="182"/>
      <c r="BY10" s="182"/>
      <c r="BZ10" s="182"/>
      <c r="CA10" s="182"/>
      <c r="CB10" s="182"/>
      <c r="CC10" s="182"/>
      <c r="CD10" s="182"/>
      <c r="CE10" s="182"/>
      <c r="CF10" s="182"/>
      <c r="CG10" s="182"/>
      <c r="CH10" s="182"/>
      <c r="CI10" s="182"/>
      <c r="CJ10" s="182"/>
      <c r="CK10" s="182"/>
      <c r="CL10" s="182"/>
      <c r="CM10" s="182"/>
      <c r="CN10" s="182"/>
      <c r="CO10" s="182"/>
      <c r="CP10" s="132"/>
      <c r="CQ10" s="192" t="n">
        <f aca="false">-SUM(TblConstr[[#This Row],[Alc]:[Mas]])+SUM(TblConstr[[#This Row],[Dest Alc]:[Dest Mas]])+Rezone!L10+IF("Ch_"&amp; home_land=TblConstr[[#Headers],[Ch_Plain]],TblConstr[[#This Row],[Home Land]])+IF(TblConstr[[#This Row],[Hour]:[Hour]]&gt;12,OFFSET(TblExplore[[#This Row],[Plains Explore]],-12,0),0)</f>
        <v>0</v>
      </c>
      <c r="CR10" s="193" t="n">
        <f aca="false">-SUM(TblConstr[[#This Row],[Ly]:[Hav]])+SUM(TblConstr[[#This Row],[Dest Ly]:[Dest Hav]]) +Rezone!M10 + IF("Ch_"&amp; home_land=TblConstr[[#Headers],[Ch_Forest]],TblConstr[[#This Row],[Home Land]])+IF(TblConstr[[#This Row],[Hour]:[Hour]]&gt;12,OFFSET(TblExplore[[#This Row],[Forest Explore]],-12,0),0)</f>
        <v>0</v>
      </c>
      <c r="CS10" s="200" t="n">
        <f aca="false">-SUM(TblConstr[[#This Row],[OM]:[GN]])+SUM(TblConstr[[#This Row],[Dest OM]:[Dest GN]]) +Rezone!N10 + IF("Ch_"&amp; home_land=TblConstr[[#Headers],[Ch_Mountain]],TblConstr[[#This Row],[Home Land]])+IF(TblConstr[[#This Row],[Hour]:[Hour]]&gt;12,OFFSET(TblExplore[[#This Row],[Mountain Explore]],-12,0),0)</f>
        <v>0</v>
      </c>
      <c r="CT10" s="195" t="n">
        <f aca="false">-SUM(TblConstr[[#This Row],[Fac]:[Shr]])+SUM(TblConstr[[#This Row],[Dest Fac]:[Dest Shr]]) +Rezone!O10 + IF("Ch_" &amp; home_land=TblConstr[[#Headers],[Ch_Hill]],TblConstr[[#This Row],[Home Land]])+IF(TblConstr[[#This Row],[Hour]:[Hour]]&gt;12,OFFSET(TblExplore[[#This Row],[Hill Explore]],-12,0),0)</f>
        <v>0</v>
      </c>
      <c r="CU10" s="196" t="n">
        <f aca="false">-SUM(TblConstr[[#This Row],[Tow]:[WG]])+SUM(TblConstr[[#This Row],[Dest Tow]:[Dest WG]]) +Rezone!P10 + IF("Ch_" &amp; home_land=TblConstr[[#Headers],[Ch_Swamp]],TblConstr[[#This Row],[Home Land]])+IF(TblConstr[[#This Row],[Hour]:[Hour]]&gt;12,OFFSET(TblExplore[[#This Row],[Swamp Explore]],-12,0),0)</f>
        <v>0</v>
      </c>
      <c r="CV10" s="197" t="n">
        <f aca="false">- SUM(TblConstr[[#This Row],[DM]:[Sch]])+SUM(TblConstr[[#This Row],[Dest DM]:[Dest Sch]]) +Rezone!Q10 + IF("Ch_" &amp; home_land=TblConstr[[#Headers],[Ch_Cavern]],TblConstr[[#This Row],[Home Land]])+IF(TblConstr[[#This Row],[Hour]:[Hour]]&gt;12,OFFSET(TblExplore[[#This Row],[Cavern Explore]],-12,0),0)</f>
        <v>0</v>
      </c>
      <c r="CW10" s="198" t="n">
        <f aca="false">-TblConstr[[#This Row],[Doc]]+TblConstr[[#This Row],[Dest Doc]] +Rezone!R10 + IF("Ch_" &amp; home_land=TblConstr[[#Headers],[Ch_Water]],TblConstr[[#This Row],[Home Land]])+IF(TblConstr[[#This Row],[Hour]:[Hour]]&gt;12,OFFSET(TblExplore[[#This Row],[Water Explore]],-12,0),0)</f>
        <v>0</v>
      </c>
      <c r="CX10" s="1" t="n">
        <f aca="false">IF(Explore!S10=1,20) - TblConstr[[#This Row],[Hom]] + TblConstr[[#This Row],[Dest Hom]]</f>
        <v>0</v>
      </c>
      <c r="CY10" s="132"/>
      <c r="CZ10" s="69" t="n">
        <f aca="false">G10+SUM(P$4:S10)+SUM(AZ10:BC10)</f>
        <v>100</v>
      </c>
      <c r="DA10" s="69" t="n">
        <f aca="false">H10+SUM(T$4:U10)+SUM(BD10:BE10)</f>
        <v>20</v>
      </c>
      <c r="DB10" s="1" t="n">
        <f aca="false">I10+SUM(V$4:W10)+SUM(BF10:BG10)</f>
        <v>0</v>
      </c>
      <c r="DC10" s="69" t="n">
        <f aca="false">J10+SUM(X$4:Y10)+SUM(BH10:BI10)</f>
        <v>28</v>
      </c>
      <c r="DD10" s="69" t="n">
        <f aca="false">K10+SUM(AB$4:AD10)+SUM(BL10:BN10)</f>
        <v>62</v>
      </c>
      <c r="DE10" s="1" t="n">
        <f aca="false">L10+SUM(AE$4:AE10)+BO10</f>
        <v>20</v>
      </c>
      <c r="DF10" s="69" t="n">
        <f aca="false">M10+SUM(AG$4:AG10)+BQ10</f>
        <v>10</v>
      </c>
      <c r="DG10" s="69" t="e">
        <f aca="false" t="array" ref="DG10:DG10">INDEX(TblConstr[[Total Plain]:[Total Water]],ROW()-ROW(TblConstr[#headers]),MATCH("Total "&amp;home_land,TblConstr[[#Headers],[Total Plain]:[Total Water]],0))+TblConstr[[#This Row],[Homes]]</f>
        <v>#VALUE!</v>
      </c>
      <c r="DH10" s="1" t="n">
        <f aca="false">SUM(O$4:O10)+AY10</f>
        <v>10</v>
      </c>
      <c r="DI10" s="1" t="n">
        <f aca="false">MAX(BA10-BA9,0)</f>
        <v>0</v>
      </c>
      <c r="DJ10" s="1" t="n">
        <f aca="false">MAX(BQ10-BQ9,0)</f>
        <v>0</v>
      </c>
    </row>
    <row r="11" customFormat="false" ht="12.75" hidden="false" customHeight="false" outlineLevel="0" collapsed="false">
      <c r="A11" s="170" t="n">
        <f aca="false">TblRezone[[#This Row],[Hour]]</f>
        <v>8</v>
      </c>
      <c r="B11" s="171" t="n">
        <f aca="false">SUM(TblConstr[[#This Row],[Plain]:[Water]])</f>
        <v>30</v>
      </c>
      <c r="C11" s="172" t="n">
        <f aca="false">SUM(TblConstr[[#This Row],[Tot Hom]:[Tot Doc]])</f>
        <v>90</v>
      </c>
      <c r="D11" s="172" t="n">
        <f aca="false">SUM(O$4:AG11)</f>
        <v>130</v>
      </c>
      <c r="E11" s="173"/>
      <c r="F11" s="33" t="n">
        <f aca="false">TblConstr[[#This Row],[Barren]]+TblConstr[[#This Row],[Buildings]]+TblConstr[[#This Row],[Incoming]]</f>
        <v>250</v>
      </c>
      <c r="G11" s="199" t="n">
        <f aca="false">OFFSET(TblConstr[[#This Row],[Plain]],-1,0)+TblConstr[[#This Row],[Ch_Plain]]</f>
        <v>0</v>
      </c>
      <c r="H11" s="193" t="n">
        <f aca="false">OFFSET(TblConstr[[#This Row],[Forest]],-1,0)+TblConstr[[#This Row],[Ch_Forest]]</f>
        <v>0</v>
      </c>
      <c r="I11" s="200" t="n">
        <f aca="false">OFFSET(TblConstr[[#This Row],[Mountain]],-1,0)+TblConstr[[#This Row],[Ch_Mountain]]</f>
        <v>0</v>
      </c>
      <c r="J11" s="201" t="n">
        <f aca="false">OFFSET(TblConstr[[#This Row],[Hill]],-1,0)+TblConstr[[#This Row],[Ch_Hill]]</f>
        <v>0</v>
      </c>
      <c r="K11" s="202" t="n">
        <f aca="false">OFFSET(TblConstr[[#This Row],[Swamp]],-1,0)+TblConstr[[#This Row],[Ch_Swamp]]</f>
        <v>0</v>
      </c>
      <c r="L11" s="197" t="n">
        <f aca="false">OFFSET(TblConstr[[#This Row],[Cavern]],-1,0)+TblConstr[[#This Row],[Ch_Cavern]]</f>
        <v>20</v>
      </c>
      <c r="M11" s="198" t="n">
        <f aca="false">OFFSET(TblConstr[[#This Row],[Water]],-1,0)+TblConstr[[#This Row],[Ch_Water]]</f>
        <v>10</v>
      </c>
      <c r="N11" s="181" t="n">
        <f aca="false">TblRezone[[#This Row],[Hour]]</f>
        <v>8</v>
      </c>
      <c r="O11" s="182"/>
      <c r="P11" s="182"/>
      <c r="Q11" s="182"/>
      <c r="R11" s="182"/>
      <c r="S11" s="182"/>
      <c r="T11" s="182"/>
      <c r="U11" s="182"/>
      <c r="V11" s="182"/>
      <c r="W11" s="182"/>
      <c r="X11" s="182"/>
      <c r="Y11" s="182"/>
      <c r="Z11" s="182"/>
      <c r="AA11" s="182"/>
      <c r="AB11" s="182"/>
      <c r="AC11" s="182"/>
      <c r="AD11" s="182"/>
      <c r="AE11" s="182"/>
      <c r="AF11" s="182"/>
      <c r="AG11" s="182"/>
      <c r="AH11" s="20" t="n">
        <f aca="false">TblImps[[#This Row],[Time]]</f>
        <v>45430.0416666667</v>
      </c>
      <c r="AI11" s="130" t="n">
        <f aca="false">MIN(25%,(TblConstr[[#This Row],[Tot Fac]]+TblConstr[[#This Row],[Dest Fac]])/(TblConstr[[#This Row],[Land]]-TblExplore[[#This Row],[Land Bonus]]*20))</f>
        <v>0</v>
      </c>
      <c r="AJ11" s="130" t="n">
        <f aca="false">MIN(25%,(TblConstr[[#This Row],[Tot Fac]]+TblConstr[[#This Row],[Dest Fac]])/TblConstr[[#This Row],[Land]])</f>
        <v>0</v>
      </c>
      <c r="AK11" s="69" t="n">
        <f aca="false">TblProd[[#This Row],[Platinum]]</f>
        <v>26399</v>
      </c>
      <c r="AL11" s="69" t="n">
        <f aca="false">TblProd[[#This Row],[Lumber]]</f>
        <v>0</v>
      </c>
      <c r="AM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1" s="69" t="n">
        <f aca="false">ROUNDDOWN( MAX(1 - MIN(facs_constr_factor*TblConstr[[#This Row],[Facs -DB]],facs_constr_max) + tech_1_11*TblTech[[#This Row],[11-1]] + tech_6_3_2*TblTech[[#This Row],[6-3]] + tech_5_2_3*TblTech[[#This Row],[5-2]], 1-global_constr_cap) * TblConstr[[#This Row],[RCPA Lumber]],0)</f>
        <v>88</v>
      </c>
      <c r="AO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1" s="69" t="n">
        <f aca="false">ROUNDDOWN( MAX(1 - MIN(facs_constr_factor*TblConstr[[#This Row],[Facs DB]],facs_constr_max) + tech_1_11*TblTech[[#This Row],[1-11]] + tech_6_3_2*TblTech[[#This Row],[6-3]] + tech_5_2_3*TblTech[[#This Row],[5-2]], 1-global_constr_cap) * ROUND((TblConstr[[#This Row],[Land]]-250)*0.285 + 87.5 + 0/4.25,0),0)</f>
        <v>88</v>
      </c>
      <c r="AQ11" s="1" t="n">
        <f aca="false">TblConstr[[#This Row],[build -db]]*TblConstr[[#This Row],[CPA Platinum -DB]] + TblConstr[[#This Row],[build db]]*TblConstr[[#This Row],[CPA Platinum DB]]</f>
        <v>0</v>
      </c>
      <c r="AR11" s="1" t="n">
        <f aca="false">TblConstr[[#This Row],[build -db]]*TblConstr[[#This Row],[CPA Lumber -DB]]+TblConstr[[#This Row],[build db]]*TblConstr[[#This Row],[CPA Lumber DB]]</f>
        <v>0</v>
      </c>
      <c r="AS11" s="69" t="n">
        <f aca="false">MIN(SUM(OFFSET(TblConstr[[#This Row],[Plain]:[Water]],-1,0))+SUM(TblConstr[[#This Row],[Dest Hom]:[Dest Doc]])+IF(TblConstr[[#This Row],[Hour]]&gt;12,SUM(OFFSET(TblExplore[[#This Row],[Plains Explore]:[Water Explore]],-12,0)),0),SUM(TblConstr[[#This Row],[Hom]:[Doc]]))</f>
        <v>0</v>
      </c>
      <c r="AT1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32"/>
      <c r="AV11" s="69" t="n">
        <f aca="false">ROUND((TblConstr[[#This Row],[Land]]-250 - IF(TblExplore[[#This Row],[Land Bonus]]&lt;&gt;0,20,0))*1.25 + 850 + 0,0)</f>
        <v>850</v>
      </c>
      <c r="AW11" s="69" t="n">
        <f aca="false">ROUND((TblConstr[[#This Row],[Land]]-250 - IF(TblExplore[[#This Row],[Land Bonus]]&lt;&gt;0,20,0))*0.285 + 87.5 + 0/4.25,0)</f>
        <v>88</v>
      </c>
      <c r="AX11" s="146"/>
      <c r="AY11" s="203" t="n">
        <f aca="false" t="array" ref="AY11:AY11">IF(TblConstr[[#This Row],[Hour]:[Hour]]&gt;12,OFFSET(TblConstr[[#This Row],[Hom]],-12,0),0)+OFFSET(TblConstr[[#This Row],[Tot Hom]],-1,0)-TblConstr[[#This Row],[Dest Hom]]</f>
        <v>10</v>
      </c>
      <c r="AZ11" s="204" t="n">
        <f aca="false" t="array" ref="AZ11:AZ11">IF(TblConstr[[#This Row],[Hour]:[Hour]]&gt;12,OFFSET(TblConstr[[#This Row],[Alc]],-12,0),0)+OFFSET(TblConstr[[#This Row],[Tot Alc]],-1,0)-TblConstr[[#This Row],[Dest Alc]]</f>
        <v>30</v>
      </c>
      <c r="BA11" s="204" t="n">
        <f aca="false" t="array" ref="BA11:BA11">IF(TblConstr[[#This Row],[Hour]:[Hour]]&gt;12,OFFSET(TblConstr[[#This Row],[Far]],-12,0),0)+OFFSET(TblConstr[[#This Row],[Tot Farm]],-1,0)-TblConstr[[#This Row],[Dest Farm]]</f>
        <v>30</v>
      </c>
      <c r="BB11" s="204" t="n">
        <f aca="false" t="array" ref="BB11:BB11">IF(TblConstr[[#This Row],[Hour]:[Hour]]&gt;12,OFFSET(TblConstr[[#This Row],[Smi]],-12,0),0)+OFFSET(TblConstr[[#This Row],[Tot Smi]],-1,0)-TblConstr[[#This Row],[Dest Smi]]</f>
        <v>0</v>
      </c>
      <c r="BC11" s="204" t="n">
        <f aca="false" t="array" ref="BC11:BC11">IF(TblConstr[[#This Row],[Hour]:[Hour]]&gt;12,OFFSET(TblConstr[[#This Row],[Mas]],-12,0),0)+OFFSET(TblConstr[[#This Row],[Tot Mas]],-1,0)-TblConstr[[#This Row],[Dest Mas]]</f>
        <v>0</v>
      </c>
      <c r="BD11" s="205" t="n">
        <f aca="false" t="array" ref="BD11:BD11">IF(TblConstr[[#This Row],[Hour]:[Hour]]&gt;12,OFFSET(TblConstr[[#This Row],[Ly]],-12,0),0)+OFFSET(TblConstr[[#This Row],[Tot Ly]],-1,0)-TblConstr[[#This Row],[Dest Ly]]</f>
        <v>20</v>
      </c>
      <c r="BE11" s="205" t="n">
        <f aca="false" t="array" ref="BE11:BE11">IF(TblConstr[[#This Row],[Hour]:[Hour]]&gt;12,OFFSET(TblConstr[[#This Row],[Hav]],-12,0),0)+OFFSET(TblConstr[[#This Row],[Tot Hav]],-1,0)-TblConstr[[#This Row],[Dest Hav]]</f>
        <v>0</v>
      </c>
      <c r="BF11" s="194" t="n">
        <f aca="false" t="array" ref="BF11:BF11">IF(TblConstr[[#This Row],[Hour]:[Hour]]&gt;12,OFFSET(TblConstr[[#This Row],[OM]],-12,0),0)+OFFSET(TblConstr[[#This Row],[Tot OM]],-1,0)-TblConstr[[#This Row],[Dest OM]]</f>
        <v>0</v>
      </c>
      <c r="BG11" s="194" t="n">
        <f aca="false" t="array" ref="BG11:BG11">IF(TblConstr[[#This Row],[Hour]:[Hour]]&gt;12,OFFSET(TblConstr[[#This Row],[GN]],-12,0),0)+OFFSET(TblConstr[[#This Row],[Tot GN]],-1,0)-TblConstr[[#This Row],[Dest GN]]</f>
        <v>0</v>
      </c>
      <c r="BH11" s="206" t="n">
        <f aca="false" t="array" ref="BH11:BH11">IF(TblConstr[[#This Row],[Hour]:[Hour]]&gt;12,OFFSET(TblConstr[[#This Row],[Fac]],-12,0),0)+OFFSET(TblConstr[[#This Row],[Tot Fac]],-1,0)-TblConstr[[#This Row],[Dest Fac]]</f>
        <v>0</v>
      </c>
      <c r="BI11" s="206" t="n">
        <f aca="false" t="array" ref="BI11:BI11">IF(TblConstr[[#This Row],[Hour]:[Hour]]&gt;12,OFFSET(TblConstr[[#This Row],[GT]],-12,0),0)+OFFSET(TblConstr[[#This Row],[Tot GT]],-1,0)-TblConstr[[#This Row],[Dest GT]]</f>
        <v>0</v>
      </c>
      <c r="BJ11" s="206" t="n">
        <f aca="false" t="array" ref="BJ11:BJ11">IF(TblConstr[[#This Row],[Hour]:[Hour]]&gt;12,OFFSET(TblConstr[[#This Row],[Bar]],-12,0),0)+OFFSET(TblConstr[[#This Row],[Tot Bar]],-1,0)-TblConstr[[#This Row],[Dest Bar]]</f>
        <v>0</v>
      </c>
      <c r="BK11" s="206" t="n">
        <f aca="false" t="array" ref="BK11:BK11">IF(TblConstr[[#This Row],[Hour]:[Hour]]&gt;12,OFFSET(TblConstr[[#This Row],[Shr]],-12,0),0)+OFFSET(TblConstr[[#This Row],[Tot Shr]],-1,0)-TblConstr[[#This Row],[Dest Shr]]</f>
        <v>0</v>
      </c>
      <c r="BL11" s="207" t="n">
        <f aca="false" t="array" ref="BL11:BL11">IF(TblConstr[[#This Row],[Hour]:[Hour]]&gt;12,OFFSET(TblConstr[[#This Row],[Tow]],-12,0),0)+OFFSET(TblConstr[[#This Row],[Tot Tow]],-1,0)-TblConstr[[#This Row],[Dest Tow]]</f>
        <v>0</v>
      </c>
      <c r="BM11" s="207" t="n">
        <f aca="false" t="array" ref="BM11:BM11">IF(TblConstr[[#This Row],[Hour]:[Hour]]&gt;12,OFFSET(TblConstr[[#This Row],[Tem]],-12,0),0)+OFFSET(TblConstr[[#This Row],[Tot Tem]],-1,0)-TblConstr[[#This Row],[Dest Tem]]</f>
        <v>0</v>
      </c>
      <c r="BN11" s="207" t="n">
        <f aca="false" t="array" ref="BN11:BN11">IF(TblConstr[[#This Row],[Hour]:[Hour]]&gt;12,OFFSET(TblConstr[[#This Row],[WG]],-12,0),0)+OFFSET(TblConstr[[#This Row],[Tot WG]],-1,0)-TblConstr[[#This Row],[Dest WG]]</f>
        <v>0</v>
      </c>
      <c r="BO11" s="208" t="n">
        <f aca="false" t="array" ref="BO11:BO11">IF(TblConstr[[#This Row],[Hour]:[Hour]]&gt;12,OFFSET(TblConstr[[#This Row],[DM]],-12,0),0)+OFFSET(TblConstr[[#This Row],[Tot DM]],-1,0)-TblConstr[[#This Row],[Dest DM]]</f>
        <v>0</v>
      </c>
      <c r="BP11" s="208" t="n">
        <f aca="false" t="array" ref="BP11:BP11">IF(TblConstr[[#This Row],[Hour]:[Hour]]&gt;12,OFFSET(TblConstr[[#This Row],[Sch]],-12,0),0)+OFFSET(TblConstr[[#This Row],[Tot Sch]],-1,0)-TblConstr[[#This Row],[Dest Sch]]</f>
        <v>0</v>
      </c>
      <c r="BQ11" s="209" t="n">
        <f aca="false" t="array" ref="BQ11:BQ11">IF(TblConstr[[#This Row],[Hour]:[Hour]]&gt;12,OFFSET(TblConstr[[#This Row],[Doc]],-12,0),0)+OFFSET(TblConstr[[#This Row],[Tot Doc]],-1,0)-TblConstr[[#This Row],[Dest Doc]]</f>
        <v>0</v>
      </c>
      <c r="BR11" s="132"/>
      <c r="BS11" s="146"/>
      <c r="BT11" s="69" t="n">
        <f aca="false">TblConstr[[#This Row],[Land]]</f>
        <v>250</v>
      </c>
      <c r="BU11" s="153" t="n">
        <f aca="false">TblImps[[#This Row],[Time]]</f>
        <v>45430.0416666667</v>
      </c>
      <c r="BV11" s="132"/>
      <c r="BW11" s="182"/>
      <c r="BX11" s="182"/>
      <c r="BY11" s="182"/>
      <c r="BZ11" s="182"/>
      <c r="CA11" s="182"/>
      <c r="CB11" s="182"/>
      <c r="CC11" s="182"/>
      <c r="CD11" s="182"/>
      <c r="CE11" s="182"/>
      <c r="CF11" s="182"/>
      <c r="CG11" s="182"/>
      <c r="CH11" s="182"/>
      <c r="CI11" s="182"/>
      <c r="CJ11" s="182"/>
      <c r="CK11" s="182"/>
      <c r="CL11" s="182"/>
      <c r="CM11" s="182"/>
      <c r="CN11" s="182"/>
      <c r="CO11" s="182"/>
      <c r="CP11" s="132"/>
      <c r="CQ11" s="192" t="n">
        <f aca="false">-SUM(TblConstr[[#This Row],[Alc]:[Mas]])+SUM(TblConstr[[#This Row],[Dest Alc]:[Dest Mas]])+Rezone!L11+IF("Ch_"&amp; home_land=TblConstr[[#Headers],[Ch_Plain]],TblConstr[[#This Row],[Home Land]])+IF(TblConstr[[#This Row],[Hour]:[Hour]]&gt;12,OFFSET(TblExplore[[#This Row],[Plains Explore]],-12,0),0)</f>
        <v>0</v>
      </c>
      <c r="CR11" s="193" t="n">
        <f aca="false">-SUM(TblConstr[[#This Row],[Ly]:[Hav]])+SUM(TblConstr[[#This Row],[Dest Ly]:[Dest Hav]]) +Rezone!M11 + IF("Ch_"&amp; home_land=TblConstr[[#Headers],[Ch_Forest]],TblConstr[[#This Row],[Home Land]])+IF(TblConstr[[#This Row],[Hour]:[Hour]]&gt;12,OFFSET(TblExplore[[#This Row],[Forest Explore]],-12,0),0)</f>
        <v>0</v>
      </c>
      <c r="CS11" s="200" t="n">
        <f aca="false">-SUM(TblConstr[[#This Row],[OM]:[GN]])+SUM(TblConstr[[#This Row],[Dest OM]:[Dest GN]]) +Rezone!N11 + IF("Ch_"&amp; home_land=TblConstr[[#Headers],[Ch_Mountain]],TblConstr[[#This Row],[Home Land]])+IF(TblConstr[[#This Row],[Hour]:[Hour]]&gt;12,OFFSET(TblExplore[[#This Row],[Mountain Explore]],-12,0),0)</f>
        <v>0</v>
      </c>
      <c r="CT11" s="195" t="n">
        <f aca="false">-SUM(TblConstr[[#This Row],[Fac]:[Shr]])+SUM(TblConstr[[#This Row],[Dest Fac]:[Dest Shr]]) +Rezone!O11 + IF("Ch_" &amp; home_land=TblConstr[[#Headers],[Ch_Hill]],TblConstr[[#This Row],[Home Land]])+IF(TblConstr[[#This Row],[Hour]:[Hour]]&gt;12,OFFSET(TblExplore[[#This Row],[Hill Explore]],-12,0),0)</f>
        <v>0</v>
      </c>
      <c r="CU11" s="196" t="n">
        <f aca="false">-SUM(TblConstr[[#This Row],[Tow]:[WG]])+SUM(TblConstr[[#This Row],[Dest Tow]:[Dest WG]]) +Rezone!P11 + IF("Ch_" &amp; home_land=TblConstr[[#Headers],[Ch_Swamp]],TblConstr[[#This Row],[Home Land]])+IF(TblConstr[[#This Row],[Hour]:[Hour]]&gt;12,OFFSET(TblExplore[[#This Row],[Swamp Explore]],-12,0),0)</f>
        <v>0</v>
      </c>
      <c r="CV11" s="197" t="n">
        <f aca="false">- SUM(TblConstr[[#This Row],[DM]:[Sch]])+SUM(TblConstr[[#This Row],[Dest DM]:[Dest Sch]]) +Rezone!Q11 + IF("Ch_" &amp; home_land=TblConstr[[#Headers],[Ch_Cavern]],TblConstr[[#This Row],[Home Land]])+IF(TblConstr[[#This Row],[Hour]:[Hour]]&gt;12,OFFSET(TblExplore[[#This Row],[Cavern Explore]],-12,0),0)</f>
        <v>0</v>
      </c>
      <c r="CW11" s="198" t="n">
        <f aca="false">-TblConstr[[#This Row],[Doc]]+TblConstr[[#This Row],[Dest Doc]] +Rezone!R11 + IF("Ch_" &amp; home_land=TblConstr[[#Headers],[Ch_Water]],TblConstr[[#This Row],[Home Land]])+IF(TblConstr[[#This Row],[Hour]:[Hour]]&gt;12,OFFSET(TblExplore[[#This Row],[Water Explore]],-12,0),0)</f>
        <v>0</v>
      </c>
      <c r="CX11" s="1" t="n">
        <f aca="false">IF(Explore!S11=1,20) - TblConstr[[#This Row],[Hom]] + TblConstr[[#This Row],[Dest Hom]]</f>
        <v>0</v>
      </c>
      <c r="CY11" s="132"/>
      <c r="CZ11" s="69" t="n">
        <f aca="false">G11+SUM(P$4:S11)+SUM(AZ11:BC11)</f>
        <v>100</v>
      </c>
      <c r="DA11" s="69" t="n">
        <f aca="false">H11+SUM(T$4:U11)+SUM(BD11:BE11)</f>
        <v>20</v>
      </c>
      <c r="DB11" s="1" t="n">
        <f aca="false">I11+SUM(V$4:W11)+SUM(BF11:BG11)</f>
        <v>0</v>
      </c>
      <c r="DC11" s="69" t="n">
        <f aca="false">J11+SUM(X$4:Y11)+SUM(BH11:BI11)</f>
        <v>28</v>
      </c>
      <c r="DD11" s="69" t="n">
        <f aca="false">K11+SUM(AB$4:AD11)+SUM(BL11:BN11)</f>
        <v>62</v>
      </c>
      <c r="DE11" s="1" t="n">
        <f aca="false">L11+SUM(AE$4:AE11)+BO11</f>
        <v>20</v>
      </c>
      <c r="DF11" s="69" t="n">
        <f aca="false">M11+SUM(AG$4:AG11)+BQ11</f>
        <v>10</v>
      </c>
      <c r="DG11" s="69" t="e">
        <f aca="false" t="array" ref="DG11:DG11">INDEX(TblConstr[[Total Plain]:[Total Water]],ROW()-ROW(TblConstr[#headers]),MATCH("Total "&amp;home_land,TblConstr[[#Headers],[Total Plain]:[Total Water]],0))+TblConstr[[#This Row],[Homes]]</f>
        <v>#VALUE!</v>
      </c>
      <c r="DH11" s="1" t="n">
        <f aca="false">SUM(O$4:O11)+AY11</f>
        <v>10</v>
      </c>
      <c r="DI11" s="1" t="n">
        <f aca="false">MAX(BA11-BA10,0)</f>
        <v>0</v>
      </c>
      <c r="DJ11" s="1" t="n">
        <f aca="false">MAX(BQ11-BQ10,0)</f>
        <v>0</v>
      </c>
    </row>
    <row r="12" customFormat="false" ht="12.75" hidden="false" customHeight="false" outlineLevel="0" collapsed="false">
      <c r="A12" s="170" t="n">
        <f aca="false">TblRezone[[#This Row],[Hour]]</f>
        <v>9</v>
      </c>
      <c r="B12" s="171" t="n">
        <f aca="false">SUM(TblConstr[[#This Row],[Plain]:[Water]])</f>
        <v>30</v>
      </c>
      <c r="C12" s="172" t="n">
        <f aca="false">SUM(TblConstr[[#This Row],[Tot Hom]:[Tot Doc]])</f>
        <v>90</v>
      </c>
      <c r="D12" s="172" t="n">
        <f aca="false">SUM(O$4:AG12)</f>
        <v>130</v>
      </c>
      <c r="E12" s="173"/>
      <c r="F12" s="33" t="n">
        <f aca="false">TblConstr[[#This Row],[Barren]]+TblConstr[[#This Row],[Buildings]]+TblConstr[[#This Row],[Incoming]]</f>
        <v>250</v>
      </c>
      <c r="G12" s="199" t="n">
        <f aca="false">OFFSET(TblConstr[[#This Row],[Plain]],-1,0)+TblConstr[[#This Row],[Ch_Plain]]</f>
        <v>0</v>
      </c>
      <c r="H12" s="193" t="n">
        <f aca="false">OFFSET(TblConstr[[#This Row],[Forest]],-1,0)+TblConstr[[#This Row],[Ch_Forest]]</f>
        <v>0</v>
      </c>
      <c r="I12" s="200" t="n">
        <f aca="false">OFFSET(TblConstr[[#This Row],[Mountain]],-1,0)+TblConstr[[#This Row],[Ch_Mountain]]</f>
        <v>0</v>
      </c>
      <c r="J12" s="201" t="n">
        <f aca="false">OFFSET(TblConstr[[#This Row],[Hill]],-1,0)+TblConstr[[#This Row],[Ch_Hill]]</f>
        <v>0</v>
      </c>
      <c r="K12" s="202" t="n">
        <f aca="false">OFFSET(TblConstr[[#This Row],[Swamp]],-1,0)+TblConstr[[#This Row],[Ch_Swamp]]</f>
        <v>0</v>
      </c>
      <c r="L12" s="197" t="n">
        <f aca="false">OFFSET(TblConstr[[#This Row],[Cavern]],-1,0)+TblConstr[[#This Row],[Ch_Cavern]]</f>
        <v>20</v>
      </c>
      <c r="M12" s="198" t="n">
        <f aca="false">OFFSET(TblConstr[[#This Row],[Water]],-1,0)+TblConstr[[#This Row],[Ch_Water]]</f>
        <v>10</v>
      </c>
      <c r="N12" s="181" t="n">
        <f aca="false">TblRezone[[#This Row],[Hour]]</f>
        <v>9</v>
      </c>
      <c r="O12" s="182"/>
      <c r="P12" s="182"/>
      <c r="Q12" s="182"/>
      <c r="R12" s="152"/>
      <c r="S12" s="182"/>
      <c r="T12" s="182"/>
      <c r="U12" s="182"/>
      <c r="V12" s="182"/>
      <c r="W12" s="182"/>
      <c r="X12" s="182"/>
      <c r="Y12" s="182"/>
      <c r="Z12" s="182"/>
      <c r="AA12" s="182"/>
      <c r="AB12" s="182"/>
      <c r="AC12" s="182"/>
      <c r="AD12" s="182"/>
      <c r="AE12" s="182"/>
      <c r="AF12" s="182"/>
      <c r="AG12" s="182"/>
      <c r="AH12" s="20" t="n">
        <f aca="false">TblImps[[#This Row],[Time]]</f>
        <v>45430.0833333333</v>
      </c>
      <c r="AI12" s="130" t="n">
        <f aca="false">MIN(25%,(TblConstr[[#This Row],[Tot Fac]]+TblConstr[[#This Row],[Dest Fac]])/(TblConstr[[#This Row],[Land]]-TblExplore[[#This Row],[Land Bonus]]*20))</f>
        <v>0</v>
      </c>
      <c r="AJ12" s="130" t="n">
        <f aca="false">MIN(25%,(TblConstr[[#This Row],[Tot Fac]]+TblConstr[[#This Row],[Dest Fac]])/TblConstr[[#This Row],[Land]])</f>
        <v>0</v>
      </c>
      <c r="AK12" s="69" t="n">
        <f aca="false">TblProd[[#This Row],[Platinum]]</f>
        <v>31372</v>
      </c>
      <c r="AL12" s="69" t="n">
        <f aca="false">TblProd[[#This Row],[Lumber]]</f>
        <v>0</v>
      </c>
      <c r="AM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2" s="69" t="n">
        <f aca="false">ROUNDDOWN( MAX(1 - MIN(facs_constr_factor*TblConstr[[#This Row],[Facs -DB]],facs_constr_max) + tech_1_11*TblTech[[#This Row],[11-1]] + tech_6_3_2*TblTech[[#This Row],[6-3]] + tech_5_2_3*TblTech[[#This Row],[5-2]], 1-global_constr_cap) * TblConstr[[#This Row],[RCPA Lumber]],0)</f>
        <v>88</v>
      </c>
      <c r="AO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2" s="69" t="n">
        <f aca="false">ROUNDDOWN( MAX(1 - MIN(facs_constr_factor*TblConstr[[#This Row],[Facs DB]],facs_constr_max) + tech_1_11*TblTech[[#This Row],[1-11]] + tech_6_3_2*TblTech[[#This Row],[6-3]] + tech_5_2_3*TblTech[[#This Row],[5-2]], 1-global_constr_cap) * ROUND((TblConstr[[#This Row],[Land]]-250)*0.285 + 87.5 + 0/4.25,0),0)</f>
        <v>88</v>
      </c>
      <c r="AQ12" s="1" t="n">
        <f aca="false">TblConstr[[#This Row],[build -db]]*TblConstr[[#This Row],[CPA Platinum -DB]] + TblConstr[[#This Row],[build db]]*TblConstr[[#This Row],[CPA Platinum DB]]</f>
        <v>0</v>
      </c>
      <c r="AR12" s="1" t="n">
        <f aca="false">TblConstr[[#This Row],[build -db]]*TblConstr[[#This Row],[CPA Lumber -DB]]+TblConstr[[#This Row],[build db]]*TblConstr[[#This Row],[CPA Lumber DB]]</f>
        <v>0</v>
      </c>
      <c r="AS12" s="69" t="n">
        <f aca="false">MIN(SUM(OFFSET(TblConstr[[#This Row],[Plain]:[Water]],-1,0))+SUM(TblConstr[[#This Row],[Dest Hom]:[Dest Doc]])+IF(TblConstr[[#This Row],[Hour]]&gt;12,SUM(OFFSET(TblExplore[[#This Row],[Plains Explore]:[Water Explore]],-12,0)),0),SUM(TblConstr[[#This Row],[Hom]:[Doc]]))</f>
        <v>0</v>
      </c>
      <c r="AT1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32"/>
      <c r="AV12" s="69" t="n">
        <f aca="false">ROUND((TblConstr[[#This Row],[Land]]-250 - IF(TblExplore[[#This Row],[Land Bonus]]&lt;&gt;0,20,0))*1.25 + 850 + 0,0)</f>
        <v>850</v>
      </c>
      <c r="AW12" s="69" t="n">
        <f aca="false">ROUND((TblConstr[[#This Row],[Land]]-250 - IF(TblExplore[[#This Row],[Land Bonus]]&lt;&gt;0,20,0))*0.285 + 87.5 + 0/4.25,0)</f>
        <v>88</v>
      </c>
      <c r="AX12" s="146"/>
      <c r="AY12" s="203" t="n">
        <f aca="false" t="array" ref="AY12:AY12">IF(TblConstr[[#This Row],[Hour]:[Hour]]&gt;12,OFFSET(TblConstr[[#This Row],[Hom]],-12,0),0)+OFFSET(TblConstr[[#This Row],[Tot Hom]],-1,0)-TblConstr[[#This Row],[Dest Hom]]</f>
        <v>10</v>
      </c>
      <c r="AZ12" s="204" t="n">
        <f aca="false" t="array" ref="AZ12:AZ12">IF(TblConstr[[#This Row],[Hour]:[Hour]]&gt;12,OFFSET(TblConstr[[#This Row],[Alc]],-12,0),0)+OFFSET(TblConstr[[#This Row],[Tot Alc]],-1,0)-TblConstr[[#This Row],[Dest Alc]]</f>
        <v>30</v>
      </c>
      <c r="BA12" s="204" t="n">
        <f aca="false" t="array" ref="BA12:BA12">IF(TblConstr[[#This Row],[Hour]:[Hour]]&gt;12,OFFSET(TblConstr[[#This Row],[Far]],-12,0),0)+OFFSET(TblConstr[[#This Row],[Tot Farm]],-1,0)-TblConstr[[#This Row],[Dest Farm]]</f>
        <v>30</v>
      </c>
      <c r="BB12" s="204" t="n">
        <f aca="false" t="array" ref="BB12:BB12">IF(TblConstr[[#This Row],[Hour]:[Hour]]&gt;12,OFFSET(TblConstr[[#This Row],[Smi]],-12,0),0)+OFFSET(TblConstr[[#This Row],[Tot Smi]],-1,0)-TblConstr[[#This Row],[Dest Smi]]</f>
        <v>0</v>
      </c>
      <c r="BC12" s="204" t="n">
        <f aca="false" t="array" ref="BC12:BC12">IF(TblConstr[[#This Row],[Hour]:[Hour]]&gt;12,OFFSET(TblConstr[[#This Row],[Mas]],-12,0),0)+OFFSET(TblConstr[[#This Row],[Tot Mas]],-1,0)-TblConstr[[#This Row],[Dest Mas]]</f>
        <v>0</v>
      </c>
      <c r="BD12" s="205" t="n">
        <f aca="false" t="array" ref="BD12:BD12">IF(TblConstr[[#This Row],[Hour]:[Hour]]&gt;12,OFFSET(TblConstr[[#This Row],[Ly]],-12,0),0)+OFFSET(TblConstr[[#This Row],[Tot Ly]],-1,0)-TblConstr[[#This Row],[Dest Ly]]</f>
        <v>20</v>
      </c>
      <c r="BE12" s="205" t="n">
        <f aca="false" t="array" ref="BE12:BE12">IF(TblConstr[[#This Row],[Hour]:[Hour]]&gt;12,OFFSET(TblConstr[[#This Row],[Hav]],-12,0),0)+OFFSET(TblConstr[[#This Row],[Tot Hav]],-1,0)-TblConstr[[#This Row],[Dest Hav]]</f>
        <v>0</v>
      </c>
      <c r="BF12" s="194" t="n">
        <f aca="false" t="array" ref="BF12:BF12">IF(TblConstr[[#This Row],[Hour]:[Hour]]&gt;12,OFFSET(TblConstr[[#This Row],[OM]],-12,0),0)+OFFSET(TblConstr[[#This Row],[Tot OM]],-1,0)-TblConstr[[#This Row],[Dest OM]]</f>
        <v>0</v>
      </c>
      <c r="BG12" s="194" t="n">
        <f aca="false" t="array" ref="BG12:BG12">IF(TblConstr[[#This Row],[Hour]:[Hour]]&gt;12,OFFSET(TblConstr[[#This Row],[GN]],-12,0),0)+OFFSET(TblConstr[[#This Row],[Tot GN]],-1,0)-TblConstr[[#This Row],[Dest GN]]</f>
        <v>0</v>
      </c>
      <c r="BH12" s="206" t="n">
        <f aca="false" t="array" ref="BH12:BH12">IF(TblConstr[[#This Row],[Hour]:[Hour]]&gt;12,OFFSET(TblConstr[[#This Row],[Fac]],-12,0),0)+OFFSET(TblConstr[[#This Row],[Tot Fac]],-1,0)-TblConstr[[#This Row],[Dest Fac]]</f>
        <v>0</v>
      </c>
      <c r="BI12" s="206" t="n">
        <f aca="false" t="array" ref="BI12:BI12">IF(TblConstr[[#This Row],[Hour]:[Hour]]&gt;12,OFFSET(TblConstr[[#This Row],[GT]],-12,0),0)+OFFSET(TblConstr[[#This Row],[Tot GT]],-1,0)-TblConstr[[#This Row],[Dest GT]]</f>
        <v>0</v>
      </c>
      <c r="BJ12" s="206" t="n">
        <f aca="false" t="array" ref="BJ12:BJ12">IF(TblConstr[[#This Row],[Hour]:[Hour]]&gt;12,OFFSET(TblConstr[[#This Row],[Bar]],-12,0),0)+OFFSET(TblConstr[[#This Row],[Tot Bar]],-1,0)-TblConstr[[#This Row],[Dest Bar]]</f>
        <v>0</v>
      </c>
      <c r="BK12" s="206" t="n">
        <f aca="false" t="array" ref="BK12:BK12">IF(TblConstr[[#This Row],[Hour]:[Hour]]&gt;12,OFFSET(TblConstr[[#This Row],[Shr]],-12,0),0)+OFFSET(TblConstr[[#This Row],[Tot Shr]],-1,0)-TblConstr[[#This Row],[Dest Shr]]</f>
        <v>0</v>
      </c>
      <c r="BL12" s="207" t="n">
        <f aca="false" t="array" ref="BL12:BL12">IF(TblConstr[[#This Row],[Hour]:[Hour]]&gt;12,OFFSET(TblConstr[[#This Row],[Tow]],-12,0),0)+OFFSET(TblConstr[[#This Row],[Tot Tow]],-1,0)-TblConstr[[#This Row],[Dest Tow]]</f>
        <v>0</v>
      </c>
      <c r="BM12" s="207" t="n">
        <f aca="false" t="array" ref="BM12:BM12">IF(TblConstr[[#This Row],[Hour]:[Hour]]&gt;12,OFFSET(TblConstr[[#This Row],[Tem]],-12,0),0)+OFFSET(TblConstr[[#This Row],[Tot Tem]],-1,0)-TblConstr[[#This Row],[Dest Tem]]</f>
        <v>0</v>
      </c>
      <c r="BN12" s="207" t="n">
        <f aca="false" t="array" ref="BN12:BN12">IF(TblConstr[[#This Row],[Hour]:[Hour]]&gt;12,OFFSET(TblConstr[[#This Row],[WG]],-12,0),0)+OFFSET(TblConstr[[#This Row],[Tot WG]],-1,0)-TblConstr[[#This Row],[Dest WG]]</f>
        <v>0</v>
      </c>
      <c r="BO12" s="208" t="n">
        <f aca="false" t="array" ref="BO12:BO12">IF(TblConstr[[#This Row],[Hour]:[Hour]]&gt;12,OFFSET(TblConstr[[#This Row],[DM]],-12,0),0)+OFFSET(TblConstr[[#This Row],[Tot DM]],-1,0)-TblConstr[[#This Row],[Dest DM]]</f>
        <v>0</v>
      </c>
      <c r="BP12" s="208" t="n">
        <f aca="false" t="array" ref="BP12:BP12">IF(TblConstr[[#This Row],[Hour]:[Hour]]&gt;12,OFFSET(TblConstr[[#This Row],[Sch]],-12,0),0)+OFFSET(TblConstr[[#This Row],[Tot Sch]],-1,0)-TblConstr[[#This Row],[Dest Sch]]</f>
        <v>0</v>
      </c>
      <c r="BQ12" s="209" t="n">
        <f aca="false" t="array" ref="BQ12:BQ12">IF(TblConstr[[#This Row],[Hour]:[Hour]]&gt;12,OFFSET(TblConstr[[#This Row],[Doc]],-12,0),0)+OFFSET(TblConstr[[#This Row],[Tot Doc]],-1,0)-TblConstr[[#This Row],[Dest Doc]]</f>
        <v>0</v>
      </c>
      <c r="BR12" s="132"/>
      <c r="BS12" s="146"/>
      <c r="BT12" s="69" t="n">
        <f aca="false">TblConstr[[#This Row],[Land]]</f>
        <v>250</v>
      </c>
      <c r="BU12" s="153" t="n">
        <f aca="false">TblImps[[#This Row],[Time]]</f>
        <v>45430.0833333333</v>
      </c>
      <c r="BV12" s="132"/>
      <c r="BW12" s="182"/>
      <c r="BX12" s="182"/>
      <c r="BY12" s="182"/>
      <c r="BZ12" s="182"/>
      <c r="CA12" s="182"/>
      <c r="CB12" s="182"/>
      <c r="CC12" s="182"/>
      <c r="CD12" s="182"/>
      <c r="CE12" s="182"/>
      <c r="CF12" s="182"/>
      <c r="CG12" s="182"/>
      <c r="CH12" s="182"/>
      <c r="CI12" s="182"/>
      <c r="CJ12" s="182"/>
      <c r="CK12" s="182"/>
      <c r="CL12" s="182"/>
      <c r="CM12" s="182"/>
      <c r="CN12" s="182"/>
      <c r="CO12" s="182"/>
      <c r="CP12" s="132"/>
      <c r="CQ12" s="192" t="n">
        <f aca="false">-SUM(TblConstr[[#This Row],[Alc]:[Mas]])+SUM(TblConstr[[#This Row],[Dest Alc]:[Dest Mas]])+Rezone!L12+IF("Ch_"&amp; home_land=TblConstr[[#Headers],[Ch_Plain]],TblConstr[[#This Row],[Home Land]])+IF(TblConstr[[#This Row],[Hour]:[Hour]]&gt;12,OFFSET(TblExplore[[#This Row],[Plains Explore]],-12,0),0)</f>
        <v>0</v>
      </c>
      <c r="CR12" s="193" t="n">
        <f aca="false">-SUM(TblConstr[[#This Row],[Ly]:[Hav]])+SUM(TblConstr[[#This Row],[Dest Ly]:[Dest Hav]]) +Rezone!M12 + IF("Ch_"&amp; home_land=TblConstr[[#Headers],[Ch_Forest]],TblConstr[[#This Row],[Home Land]])+IF(TblConstr[[#This Row],[Hour]:[Hour]]&gt;12,OFFSET(TblExplore[[#This Row],[Forest Explore]],-12,0),0)</f>
        <v>0</v>
      </c>
      <c r="CS12" s="200" t="n">
        <f aca="false">-SUM(TblConstr[[#This Row],[OM]:[GN]])+SUM(TblConstr[[#This Row],[Dest OM]:[Dest GN]]) +Rezone!N12 + IF("Ch_"&amp; home_land=TblConstr[[#Headers],[Ch_Mountain]],TblConstr[[#This Row],[Home Land]])+IF(TblConstr[[#This Row],[Hour]:[Hour]]&gt;12,OFFSET(TblExplore[[#This Row],[Mountain Explore]],-12,0),0)</f>
        <v>0</v>
      </c>
      <c r="CT12" s="195" t="n">
        <f aca="false">-SUM(TblConstr[[#This Row],[Fac]:[Shr]])+SUM(TblConstr[[#This Row],[Dest Fac]:[Dest Shr]]) +Rezone!O12 + IF("Ch_" &amp; home_land=TblConstr[[#Headers],[Ch_Hill]],TblConstr[[#This Row],[Home Land]])+IF(TblConstr[[#This Row],[Hour]:[Hour]]&gt;12,OFFSET(TblExplore[[#This Row],[Hill Explore]],-12,0),0)</f>
        <v>0</v>
      </c>
      <c r="CU12" s="196" t="n">
        <f aca="false">-SUM(TblConstr[[#This Row],[Tow]:[WG]])+SUM(TblConstr[[#This Row],[Dest Tow]:[Dest WG]]) +Rezone!P12 + IF("Ch_" &amp; home_land=TblConstr[[#Headers],[Ch_Swamp]],TblConstr[[#This Row],[Home Land]])+IF(TblConstr[[#This Row],[Hour]:[Hour]]&gt;12,OFFSET(TblExplore[[#This Row],[Swamp Explore]],-12,0),0)</f>
        <v>0</v>
      </c>
      <c r="CV12" s="197" t="n">
        <f aca="false">- SUM(TblConstr[[#This Row],[DM]:[Sch]])+SUM(TblConstr[[#This Row],[Dest DM]:[Dest Sch]]) +Rezone!Q12 + IF("Ch_" &amp; home_land=TblConstr[[#Headers],[Ch_Cavern]],TblConstr[[#This Row],[Home Land]])+IF(TblConstr[[#This Row],[Hour]:[Hour]]&gt;12,OFFSET(TblExplore[[#This Row],[Cavern Explore]],-12,0),0)</f>
        <v>0</v>
      </c>
      <c r="CW12" s="198" t="n">
        <f aca="false">-TblConstr[[#This Row],[Doc]]+TblConstr[[#This Row],[Dest Doc]] +Rezone!R12 + IF("Ch_" &amp; home_land=TblConstr[[#Headers],[Ch_Water]],TblConstr[[#This Row],[Home Land]])+IF(TblConstr[[#This Row],[Hour]:[Hour]]&gt;12,OFFSET(TblExplore[[#This Row],[Water Explore]],-12,0),0)</f>
        <v>0</v>
      </c>
      <c r="CX12" s="1" t="n">
        <f aca="false">IF(Explore!S12=1,20) - TblConstr[[#This Row],[Hom]] + TblConstr[[#This Row],[Dest Hom]]</f>
        <v>0</v>
      </c>
      <c r="CY12" s="132"/>
      <c r="CZ12" s="69" t="n">
        <f aca="false">G12+SUM(P$4:S12)+SUM(AZ12:BC12)</f>
        <v>100</v>
      </c>
      <c r="DA12" s="69" t="n">
        <f aca="false">H12+SUM(T$4:U12)+SUM(BD12:BE12)</f>
        <v>20</v>
      </c>
      <c r="DB12" s="1" t="n">
        <f aca="false">I12+SUM(V$4:W12)+SUM(BF12:BG12)</f>
        <v>0</v>
      </c>
      <c r="DC12" s="69" t="n">
        <f aca="false">J12+SUM(X$4:Y12)+SUM(BH12:BI12)</f>
        <v>28</v>
      </c>
      <c r="DD12" s="69" t="n">
        <f aca="false">K12+SUM(AB$4:AD12)+SUM(BL12:BN12)</f>
        <v>62</v>
      </c>
      <c r="DE12" s="1" t="n">
        <f aca="false">L12+SUM(AE$4:AE12)+BO12</f>
        <v>20</v>
      </c>
      <c r="DF12" s="69" t="n">
        <f aca="false">M12+SUM(AG$4:AG12)+BQ12</f>
        <v>10</v>
      </c>
      <c r="DG12" s="69" t="e">
        <f aca="false" t="array" ref="DG12:DG12">INDEX(TblConstr[[Total Plain]:[Total Water]],ROW()-ROW(TblConstr[#headers]),MATCH("Total "&amp;home_land,TblConstr[[#Headers],[Total Plain]:[Total Water]],0))+TblConstr[[#This Row],[Homes]]</f>
        <v>#VALUE!</v>
      </c>
      <c r="DH12" s="1" t="n">
        <f aca="false">SUM(O$4:O12)+AY12</f>
        <v>10</v>
      </c>
      <c r="DI12" s="1" t="n">
        <f aca="false">MAX(BA12-BA11,0)</f>
        <v>0</v>
      </c>
      <c r="DJ12" s="1" t="n">
        <f aca="false">MAX(BQ12-BQ11,0)</f>
        <v>0</v>
      </c>
    </row>
    <row r="13" customFormat="false" ht="12.75" hidden="false" customHeight="false" outlineLevel="0" collapsed="false">
      <c r="A13" s="170" t="n">
        <f aca="false">TblRezone[[#This Row],[Hour]]</f>
        <v>10</v>
      </c>
      <c r="B13" s="171" t="n">
        <f aca="false">SUM(TblConstr[[#This Row],[Plain]:[Water]])</f>
        <v>30</v>
      </c>
      <c r="C13" s="172" t="n">
        <f aca="false">SUM(TblConstr[[#This Row],[Tot Hom]:[Tot Doc]])</f>
        <v>90</v>
      </c>
      <c r="D13" s="172" t="n">
        <f aca="false">SUM(O$4:AG13)</f>
        <v>130</v>
      </c>
      <c r="E13" s="173"/>
      <c r="F13" s="33" t="n">
        <f aca="false">TblConstr[[#This Row],[Barren]]+TblConstr[[#This Row],[Buildings]]+TblConstr[[#This Row],[Incoming]]</f>
        <v>250</v>
      </c>
      <c r="G13" s="199" t="n">
        <f aca="false">OFFSET(TblConstr[[#This Row],[Plain]],-1,0)+TblConstr[[#This Row],[Ch_Plain]]</f>
        <v>0</v>
      </c>
      <c r="H13" s="193" t="n">
        <f aca="false">OFFSET(TblConstr[[#This Row],[Forest]],-1,0)+TblConstr[[#This Row],[Ch_Forest]]</f>
        <v>0</v>
      </c>
      <c r="I13" s="200" t="n">
        <f aca="false">OFFSET(TblConstr[[#This Row],[Mountain]],-1,0)+TblConstr[[#This Row],[Ch_Mountain]]</f>
        <v>0</v>
      </c>
      <c r="J13" s="201" t="n">
        <f aca="false">OFFSET(TblConstr[[#This Row],[Hill]],-1,0)+TblConstr[[#This Row],[Ch_Hill]]</f>
        <v>0</v>
      </c>
      <c r="K13" s="202" t="n">
        <f aca="false">OFFSET(TblConstr[[#This Row],[Swamp]],-1,0)+TblConstr[[#This Row],[Ch_Swamp]]</f>
        <v>0</v>
      </c>
      <c r="L13" s="197" t="n">
        <f aca="false">OFFSET(TblConstr[[#This Row],[Cavern]],-1,0)+TblConstr[[#This Row],[Ch_Cavern]]</f>
        <v>20</v>
      </c>
      <c r="M13" s="198" t="n">
        <f aca="false">OFFSET(TblConstr[[#This Row],[Water]],-1,0)+TblConstr[[#This Row],[Ch_Water]]</f>
        <v>10</v>
      </c>
      <c r="N13" s="181" t="n">
        <f aca="false">TblRezone[[#This Row],[Hour]]</f>
        <v>10</v>
      </c>
      <c r="O13" s="182"/>
      <c r="P13" s="182"/>
      <c r="Q13" s="182"/>
      <c r="R13" s="152"/>
      <c r="S13" s="182"/>
      <c r="T13" s="182"/>
      <c r="U13" s="182"/>
      <c r="V13" s="182"/>
      <c r="W13" s="182"/>
      <c r="X13" s="182"/>
      <c r="Y13" s="182"/>
      <c r="Z13" s="182"/>
      <c r="AA13" s="182"/>
      <c r="AB13" s="182"/>
      <c r="AC13" s="182"/>
      <c r="AD13" s="182"/>
      <c r="AE13" s="182"/>
      <c r="AF13" s="182"/>
      <c r="AG13" s="182"/>
      <c r="AH13" s="20" t="n">
        <f aca="false">TblImps[[#This Row],[Time]]</f>
        <v>45430.125</v>
      </c>
      <c r="AI13" s="130" t="n">
        <f aca="false">MIN(25%,(TblConstr[[#This Row],[Tot Fac]]+TblConstr[[#This Row],[Dest Fac]])/(TblConstr[[#This Row],[Land]]-TblExplore[[#This Row],[Land Bonus]]*20))</f>
        <v>0</v>
      </c>
      <c r="AJ13" s="130" t="n">
        <f aca="false">MIN(25%,(TblConstr[[#This Row],[Tot Fac]]+TblConstr[[#This Row],[Dest Fac]])/TblConstr[[#This Row],[Land]])</f>
        <v>0</v>
      </c>
      <c r="AK13" s="69" t="n">
        <f aca="false">TblProd[[#This Row],[Platinum]]</f>
        <v>36323</v>
      </c>
      <c r="AL13" s="69" t="n">
        <f aca="false">TblProd[[#This Row],[Lumber]]</f>
        <v>200</v>
      </c>
      <c r="AM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3" s="69" t="n">
        <f aca="false">ROUNDDOWN( MAX(1 - MIN(facs_constr_factor*TblConstr[[#This Row],[Facs -DB]],facs_constr_max) + tech_1_11*TblTech[[#This Row],[11-1]] + tech_6_3_2*TblTech[[#This Row],[6-3]] + tech_5_2_3*TblTech[[#This Row],[5-2]], 1-global_constr_cap) * TblConstr[[#This Row],[RCPA Lumber]],0)</f>
        <v>88</v>
      </c>
      <c r="AO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3" s="69" t="n">
        <f aca="false">ROUNDDOWN( MAX(1 - MIN(facs_constr_factor*TblConstr[[#This Row],[Facs DB]],facs_constr_max) + tech_1_11*TblTech[[#This Row],[1-11]] + tech_6_3_2*TblTech[[#This Row],[6-3]] + tech_5_2_3*TblTech[[#This Row],[5-2]], 1-global_constr_cap) * ROUND((TblConstr[[#This Row],[Land]]-250)*0.285 + 87.5 + 0/4.25,0),0)</f>
        <v>88</v>
      </c>
      <c r="AQ13" s="1" t="n">
        <f aca="false">TblConstr[[#This Row],[build -db]]*TblConstr[[#This Row],[CPA Platinum -DB]] + TblConstr[[#This Row],[build db]]*TblConstr[[#This Row],[CPA Platinum DB]]</f>
        <v>0</v>
      </c>
      <c r="AR13" s="1" t="n">
        <f aca="false">TblConstr[[#This Row],[build -db]]*TblConstr[[#This Row],[CPA Lumber -DB]]+TblConstr[[#This Row],[build db]]*TblConstr[[#This Row],[CPA Lumber DB]]</f>
        <v>0</v>
      </c>
      <c r="AS13" s="69" t="n">
        <f aca="false">MIN(SUM(OFFSET(TblConstr[[#This Row],[Plain]:[Water]],-1,0))+SUM(TblConstr[[#This Row],[Dest Hom]:[Dest Doc]])+IF(TblConstr[[#This Row],[Hour]]&gt;12,SUM(OFFSET(TblExplore[[#This Row],[Plains Explore]:[Water Explore]],-12,0)),0),SUM(TblConstr[[#This Row],[Hom]:[Doc]]))</f>
        <v>0</v>
      </c>
      <c r="AT1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32"/>
      <c r="AV13" s="69" t="n">
        <f aca="false">ROUND((TblConstr[[#This Row],[Land]]-250 - IF(TblExplore[[#This Row],[Land Bonus]]&lt;&gt;0,20,0))*1.25 + 850 + 0,0)</f>
        <v>850</v>
      </c>
      <c r="AW13" s="69" t="n">
        <f aca="false">ROUND((TblConstr[[#This Row],[Land]]-250 - IF(TblExplore[[#This Row],[Land Bonus]]&lt;&gt;0,20,0))*0.285 + 87.5 + 0/4.25,0)</f>
        <v>88</v>
      </c>
      <c r="AX13" s="146"/>
      <c r="AY13" s="203" t="n">
        <f aca="false" t="array" ref="AY13:AY13">IF(TblConstr[[#This Row],[Hour]:[Hour]]&gt;12,OFFSET(TblConstr[[#This Row],[Hom]],-12,0),0)+OFFSET(TblConstr[[#This Row],[Tot Hom]],-1,0)-TblConstr[[#This Row],[Dest Hom]]</f>
        <v>10</v>
      </c>
      <c r="AZ13" s="204" t="n">
        <f aca="false" t="array" ref="AZ13:AZ13">IF(TblConstr[[#This Row],[Hour]:[Hour]]&gt;12,OFFSET(TblConstr[[#This Row],[Alc]],-12,0),0)+OFFSET(TblConstr[[#This Row],[Tot Alc]],-1,0)-TblConstr[[#This Row],[Dest Alc]]</f>
        <v>30</v>
      </c>
      <c r="BA13" s="204" t="n">
        <f aca="false" t="array" ref="BA13:BA13">IF(TblConstr[[#This Row],[Hour]:[Hour]]&gt;12,OFFSET(TblConstr[[#This Row],[Far]],-12,0),0)+OFFSET(TblConstr[[#This Row],[Tot Farm]],-1,0)-TblConstr[[#This Row],[Dest Farm]]</f>
        <v>30</v>
      </c>
      <c r="BB13" s="204" t="n">
        <f aca="false" t="array" ref="BB13:BB13">IF(TblConstr[[#This Row],[Hour]:[Hour]]&gt;12,OFFSET(TblConstr[[#This Row],[Smi]],-12,0),0)+OFFSET(TblConstr[[#This Row],[Tot Smi]],-1,0)-TblConstr[[#This Row],[Dest Smi]]</f>
        <v>0</v>
      </c>
      <c r="BC13" s="204" t="n">
        <f aca="false" t="array" ref="BC13:BC13">IF(TblConstr[[#This Row],[Hour]:[Hour]]&gt;12,OFFSET(TblConstr[[#This Row],[Mas]],-12,0),0)+OFFSET(TblConstr[[#This Row],[Tot Mas]],-1,0)-TblConstr[[#This Row],[Dest Mas]]</f>
        <v>0</v>
      </c>
      <c r="BD13" s="205" t="n">
        <f aca="false" t="array" ref="BD13:BD13">IF(TblConstr[[#This Row],[Hour]:[Hour]]&gt;12,OFFSET(TblConstr[[#This Row],[Ly]],-12,0),0)+OFFSET(TblConstr[[#This Row],[Tot Ly]],-1,0)-TblConstr[[#This Row],[Dest Ly]]</f>
        <v>20</v>
      </c>
      <c r="BE13" s="205" t="n">
        <f aca="false" t="array" ref="BE13:BE13">IF(TblConstr[[#This Row],[Hour]:[Hour]]&gt;12,OFFSET(TblConstr[[#This Row],[Hav]],-12,0),0)+OFFSET(TblConstr[[#This Row],[Tot Hav]],-1,0)-TblConstr[[#This Row],[Dest Hav]]</f>
        <v>0</v>
      </c>
      <c r="BF13" s="194" t="n">
        <f aca="false" t="array" ref="BF13:BF13">IF(TblConstr[[#This Row],[Hour]:[Hour]]&gt;12,OFFSET(TblConstr[[#This Row],[OM]],-12,0),0)+OFFSET(TblConstr[[#This Row],[Tot OM]],-1,0)-TblConstr[[#This Row],[Dest OM]]</f>
        <v>0</v>
      </c>
      <c r="BG13" s="194" t="n">
        <f aca="false" t="array" ref="BG13:BG13">IF(TblConstr[[#This Row],[Hour]:[Hour]]&gt;12,OFFSET(TblConstr[[#This Row],[GN]],-12,0),0)+OFFSET(TblConstr[[#This Row],[Tot GN]],-1,0)-TblConstr[[#This Row],[Dest GN]]</f>
        <v>0</v>
      </c>
      <c r="BH13" s="206" t="n">
        <f aca="false" t="array" ref="BH13:BH13">IF(TblConstr[[#This Row],[Hour]:[Hour]]&gt;12,OFFSET(TblConstr[[#This Row],[Fac]],-12,0),0)+OFFSET(TblConstr[[#This Row],[Tot Fac]],-1,0)-TblConstr[[#This Row],[Dest Fac]]</f>
        <v>0</v>
      </c>
      <c r="BI13" s="206" t="n">
        <f aca="false" t="array" ref="BI13:BI13">IF(TblConstr[[#This Row],[Hour]:[Hour]]&gt;12,OFFSET(TblConstr[[#This Row],[GT]],-12,0),0)+OFFSET(TblConstr[[#This Row],[Tot GT]],-1,0)-TblConstr[[#This Row],[Dest GT]]</f>
        <v>0</v>
      </c>
      <c r="BJ13" s="206" t="n">
        <f aca="false" t="array" ref="BJ13:BJ13">IF(TblConstr[[#This Row],[Hour]:[Hour]]&gt;12,OFFSET(TblConstr[[#This Row],[Bar]],-12,0),0)+OFFSET(TblConstr[[#This Row],[Tot Bar]],-1,0)-TblConstr[[#This Row],[Dest Bar]]</f>
        <v>0</v>
      </c>
      <c r="BK13" s="206" t="n">
        <f aca="false" t="array" ref="BK13:BK13">IF(TblConstr[[#This Row],[Hour]:[Hour]]&gt;12,OFFSET(TblConstr[[#This Row],[Shr]],-12,0),0)+OFFSET(TblConstr[[#This Row],[Tot Shr]],-1,0)-TblConstr[[#This Row],[Dest Shr]]</f>
        <v>0</v>
      </c>
      <c r="BL13" s="207" t="n">
        <f aca="false" t="array" ref="BL13:BL13">IF(TblConstr[[#This Row],[Hour]:[Hour]]&gt;12,OFFSET(TblConstr[[#This Row],[Tow]],-12,0),0)+OFFSET(TblConstr[[#This Row],[Tot Tow]],-1,0)-TblConstr[[#This Row],[Dest Tow]]</f>
        <v>0</v>
      </c>
      <c r="BM13" s="207" t="n">
        <f aca="false" t="array" ref="BM13:BM13">IF(TblConstr[[#This Row],[Hour]:[Hour]]&gt;12,OFFSET(TblConstr[[#This Row],[Tem]],-12,0),0)+OFFSET(TblConstr[[#This Row],[Tot Tem]],-1,0)-TblConstr[[#This Row],[Dest Tem]]</f>
        <v>0</v>
      </c>
      <c r="BN13" s="207" t="n">
        <f aca="false" t="array" ref="BN13:BN13">IF(TblConstr[[#This Row],[Hour]:[Hour]]&gt;12,OFFSET(TblConstr[[#This Row],[WG]],-12,0),0)+OFFSET(TblConstr[[#This Row],[Tot WG]],-1,0)-TblConstr[[#This Row],[Dest WG]]</f>
        <v>0</v>
      </c>
      <c r="BO13" s="208" t="n">
        <f aca="false" t="array" ref="BO13:BO13">IF(TblConstr[[#This Row],[Hour]:[Hour]]&gt;12,OFFSET(TblConstr[[#This Row],[DM]],-12,0),0)+OFFSET(TblConstr[[#This Row],[Tot DM]],-1,0)-TblConstr[[#This Row],[Dest DM]]</f>
        <v>0</v>
      </c>
      <c r="BP13" s="208" t="n">
        <f aca="false" t="array" ref="BP13:BP13">IF(TblConstr[[#This Row],[Hour]:[Hour]]&gt;12,OFFSET(TblConstr[[#This Row],[Sch]],-12,0),0)+OFFSET(TblConstr[[#This Row],[Tot Sch]],-1,0)-TblConstr[[#This Row],[Dest Sch]]</f>
        <v>0</v>
      </c>
      <c r="BQ13" s="209" t="n">
        <f aca="false" t="array" ref="BQ13:BQ13">IF(TblConstr[[#This Row],[Hour]:[Hour]]&gt;12,OFFSET(TblConstr[[#This Row],[Doc]],-12,0),0)+OFFSET(TblConstr[[#This Row],[Tot Doc]],-1,0)-TblConstr[[#This Row],[Dest Doc]]</f>
        <v>0</v>
      </c>
      <c r="BR13" s="132"/>
      <c r="BS13" s="146"/>
      <c r="BT13" s="69" t="n">
        <f aca="false">TblConstr[[#This Row],[Land]]</f>
        <v>250</v>
      </c>
      <c r="BU13" s="153" t="n">
        <f aca="false">TblImps[[#This Row],[Time]]</f>
        <v>45430.125</v>
      </c>
      <c r="BV13" s="132"/>
      <c r="BW13" s="182"/>
      <c r="BX13" s="182"/>
      <c r="BY13" s="182"/>
      <c r="BZ13" s="182"/>
      <c r="CA13" s="182"/>
      <c r="CB13" s="182"/>
      <c r="CC13" s="182"/>
      <c r="CD13" s="182"/>
      <c r="CE13" s="182"/>
      <c r="CF13" s="182"/>
      <c r="CG13" s="182"/>
      <c r="CH13" s="182"/>
      <c r="CI13" s="182"/>
      <c r="CJ13" s="182"/>
      <c r="CK13" s="182"/>
      <c r="CL13" s="182"/>
      <c r="CM13" s="182"/>
      <c r="CN13" s="182"/>
      <c r="CO13" s="182"/>
      <c r="CP13" s="132"/>
      <c r="CQ13" s="192" t="n">
        <f aca="false">-SUM(TblConstr[[#This Row],[Alc]:[Mas]])+SUM(TblConstr[[#This Row],[Dest Alc]:[Dest Mas]])+Rezone!L13+IF("Ch_"&amp; home_land=TblConstr[[#Headers],[Ch_Plain]],TblConstr[[#This Row],[Home Land]])+IF(TblConstr[[#This Row],[Hour]:[Hour]]&gt;12,OFFSET(TblExplore[[#This Row],[Plains Explore]],-12,0),0)</f>
        <v>0</v>
      </c>
      <c r="CR13" s="193" t="n">
        <f aca="false">-SUM(TblConstr[[#This Row],[Ly]:[Hav]])+SUM(TblConstr[[#This Row],[Dest Ly]:[Dest Hav]]) +Rezone!M13 + IF("Ch_"&amp; home_land=TblConstr[[#Headers],[Ch_Forest]],TblConstr[[#This Row],[Home Land]])+IF(TblConstr[[#This Row],[Hour]:[Hour]]&gt;12,OFFSET(TblExplore[[#This Row],[Forest Explore]],-12,0),0)</f>
        <v>0</v>
      </c>
      <c r="CS13" s="200" t="n">
        <f aca="false">-SUM(TblConstr[[#This Row],[OM]:[GN]])+SUM(TblConstr[[#This Row],[Dest OM]:[Dest GN]]) +Rezone!N13 + IF("Ch_"&amp; home_land=TblConstr[[#Headers],[Ch_Mountain]],TblConstr[[#This Row],[Home Land]])+IF(TblConstr[[#This Row],[Hour]:[Hour]]&gt;12,OFFSET(TblExplore[[#This Row],[Mountain Explore]],-12,0),0)</f>
        <v>0</v>
      </c>
      <c r="CT13" s="195" t="n">
        <f aca="false">-SUM(TblConstr[[#This Row],[Fac]:[Shr]])+SUM(TblConstr[[#This Row],[Dest Fac]:[Dest Shr]]) +Rezone!O13 + IF("Ch_" &amp; home_land=TblConstr[[#Headers],[Ch_Hill]],TblConstr[[#This Row],[Home Land]])+IF(TblConstr[[#This Row],[Hour]:[Hour]]&gt;12,OFFSET(TblExplore[[#This Row],[Hill Explore]],-12,0),0)</f>
        <v>0</v>
      </c>
      <c r="CU13" s="196" t="n">
        <f aca="false">-SUM(TblConstr[[#This Row],[Tow]:[WG]])+SUM(TblConstr[[#This Row],[Dest Tow]:[Dest WG]]) +Rezone!P13 + IF("Ch_" &amp; home_land=TblConstr[[#Headers],[Ch_Swamp]],TblConstr[[#This Row],[Home Land]])+IF(TblConstr[[#This Row],[Hour]:[Hour]]&gt;12,OFFSET(TblExplore[[#This Row],[Swamp Explore]],-12,0),0)</f>
        <v>0</v>
      </c>
      <c r="CV13" s="197" t="n">
        <f aca="false">- SUM(TblConstr[[#This Row],[DM]:[Sch]])+SUM(TblConstr[[#This Row],[Dest DM]:[Dest Sch]]) +Rezone!Q13 + IF("Ch_" &amp; home_land=TblConstr[[#Headers],[Ch_Cavern]],TblConstr[[#This Row],[Home Land]])+IF(TblConstr[[#This Row],[Hour]:[Hour]]&gt;12,OFFSET(TblExplore[[#This Row],[Cavern Explore]],-12,0),0)</f>
        <v>0</v>
      </c>
      <c r="CW13" s="198" t="n">
        <f aca="false">-TblConstr[[#This Row],[Doc]]+TblConstr[[#This Row],[Dest Doc]] +Rezone!R13 + IF("Ch_" &amp; home_land=TblConstr[[#Headers],[Ch_Water]],TblConstr[[#This Row],[Home Land]])+IF(TblConstr[[#This Row],[Hour]:[Hour]]&gt;12,OFFSET(TblExplore[[#This Row],[Water Explore]],-12,0),0)</f>
        <v>0</v>
      </c>
      <c r="CX13" s="1" t="n">
        <f aca="false">IF(Explore!S13=1,20) - TblConstr[[#This Row],[Hom]] + TblConstr[[#This Row],[Dest Hom]]</f>
        <v>0</v>
      </c>
      <c r="CY13" s="132"/>
      <c r="CZ13" s="69" t="n">
        <f aca="false">G13+SUM(P$4:S13)+SUM(AZ13:BC13)</f>
        <v>100</v>
      </c>
      <c r="DA13" s="69" t="n">
        <f aca="false">H13+SUM(T$4:U13)+SUM(BD13:BE13)</f>
        <v>20</v>
      </c>
      <c r="DB13" s="1" t="n">
        <f aca="false">I13+SUM(V$4:W13)+SUM(BF13:BG13)</f>
        <v>0</v>
      </c>
      <c r="DC13" s="69" t="n">
        <f aca="false">J13+SUM(X$4:Y13)+SUM(BH13:BI13)</f>
        <v>28</v>
      </c>
      <c r="DD13" s="69" t="n">
        <f aca="false">K13+SUM(AB$4:AD13)+SUM(BL13:BN13)</f>
        <v>62</v>
      </c>
      <c r="DE13" s="1" t="n">
        <f aca="false">L13+SUM(AE$4:AE13)+BO13</f>
        <v>20</v>
      </c>
      <c r="DF13" s="69" t="n">
        <f aca="false">M13+SUM(AG$4:AG13)+BQ13</f>
        <v>10</v>
      </c>
      <c r="DG13" s="69" t="e">
        <f aca="false" t="array" ref="DG13:DG13">INDEX(TblConstr[[Total Plain]:[Total Water]],ROW()-ROW(TblConstr[#headers]),MATCH("Total "&amp;home_land,TblConstr[[#Headers],[Total Plain]:[Total Water]],0))+TblConstr[[#This Row],[Homes]]</f>
        <v>#VALUE!</v>
      </c>
      <c r="DH13" s="1" t="n">
        <f aca="false">SUM(O$4:O13)+AY13</f>
        <v>10</v>
      </c>
      <c r="DI13" s="1" t="n">
        <f aca="false">MAX(BA13-BA12,0)</f>
        <v>0</v>
      </c>
      <c r="DJ13" s="1" t="n">
        <f aca="false">MAX(BQ13-BQ12,0)</f>
        <v>0</v>
      </c>
    </row>
    <row r="14" customFormat="false" ht="12.75" hidden="false" customHeight="false" outlineLevel="0" collapsed="false">
      <c r="A14" s="170" t="n">
        <f aca="false">TblRezone[[#This Row],[Hour]]</f>
        <v>11</v>
      </c>
      <c r="B14" s="171" t="n">
        <f aca="false">SUM(TblConstr[[#This Row],[Plain]:[Water]])</f>
        <v>30</v>
      </c>
      <c r="C14" s="172" t="n">
        <f aca="false">SUM(TblConstr[[#This Row],[Tot Hom]:[Tot Doc]])</f>
        <v>90</v>
      </c>
      <c r="D14" s="172" t="n">
        <f aca="false">SUM(O$4:AG14)</f>
        <v>130</v>
      </c>
      <c r="E14" s="173"/>
      <c r="F14" s="33" t="n">
        <f aca="false">TblConstr[[#This Row],[Barren]]+TblConstr[[#This Row],[Buildings]]+TblConstr[[#This Row],[Incoming]]</f>
        <v>250</v>
      </c>
      <c r="G14" s="199" t="n">
        <f aca="false">OFFSET(TblConstr[[#This Row],[Plain]],-1,0)+TblConstr[[#This Row],[Ch_Plain]]</f>
        <v>0</v>
      </c>
      <c r="H14" s="193" t="n">
        <f aca="false">OFFSET(TblConstr[[#This Row],[Forest]],-1,0)+TblConstr[[#This Row],[Ch_Forest]]</f>
        <v>0</v>
      </c>
      <c r="I14" s="200" t="n">
        <f aca="false">OFFSET(TblConstr[[#This Row],[Mountain]],-1,0)+TblConstr[[#This Row],[Ch_Mountain]]</f>
        <v>0</v>
      </c>
      <c r="J14" s="201" t="n">
        <f aca="false">OFFSET(TblConstr[[#This Row],[Hill]],-1,0)+TblConstr[[#This Row],[Ch_Hill]]</f>
        <v>0</v>
      </c>
      <c r="K14" s="202" t="n">
        <f aca="false">OFFSET(TblConstr[[#This Row],[Swamp]],-1,0)+TblConstr[[#This Row],[Ch_Swamp]]</f>
        <v>0</v>
      </c>
      <c r="L14" s="197" t="n">
        <f aca="false">OFFSET(TblConstr[[#This Row],[Cavern]],-1,0)+TblConstr[[#This Row],[Ch_Cavern]]</f>
        <v>20</v>
      </c>
      <c r="M14" s="198" t="n">
        <f aca="false">OFFSET(TblConstr[[#This Row],[Water]],-1,0)+TblConstr[[#This Row],[Ch_Water]]</f>
        <v>10</v>
      </c>
      <c r="N14" s="181" t="n">
        <f aca="false">TblRezone[[#This Row],[Hour]]</f>
        <v>11</v>
      </c>
      <c r="O14" s="182"/>
      <c r="P14" s="182"/>
      <c r="Q14" s="182"/>
      <c r="R14" s="152"/>
      <c r="S14" s="182"/>
      <c r="T14" s="182"/>
      <c r="U14" s="182"/>
      <c r="V14" s="182"/>
      <c r="W14" s="182"/>
      <c r="X14" s="182"/>
      <c r="Y14" s="182"/>
      <c r="Z14" s="182"/>
      <c r="AA14" s="182"/>
      <c r="AB14" s="182"/>
      <c r="AC14" s="182"/>
      <c r="AD14" s="182"/>
      <c r="AE14" s="182"/>
      <c r="AF14" s="182"/>
      <c r="AG14" s="182"/>
      <c r="AH14" s="20" t="n">
        <f aca="false">TblImps[[#This Row],[Time]]</f>
        <v>45430.1666666667</v>
      </c>
      <c r="AI14" s="130" t="n">
        <f aca="false">MIN(25%,(TblConstr[[#This Row],[Tot Fac]]+TblConstr[[#This Row],[Dest Fac]])/(TblConstr[[#This Row],[Land]]-TblExplore[[#This Row],[Land Bonus]]*20))</f>
        <v>0</v>
      </c>
      <c r="AJ14" s="130" t="n">
        <f aca="false">MIN(25%,(TblConstr[[#This Row],[Tot Fac]]+TblConstr[[#This Row],[Dest Fac]])/TblConstr[[#This Row],[Land]])</f>
        <v>0</v>
      </c>
      <c r="AK14" s="69" t="n">
        <f aca="false">TblProd[[#This Row],[Platinum]]</f>
        <v>41005</v>
      </c>
      <c r="AL14" s="69" t="n">
        <f aca="false">TblProd[[#This Row],[Lumber]]</f>
        <v>1098</v>
      </c>
      <c r="AM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4" s="69" t="n">
        <f aca="false">ROUNDDOWN( MAX(1 - MIN(facs_constr_factor*TblConstr[[#This Row],[Facs -DB]],facs_constr_max) + tech_1_11*TblTech[[#This Row],[11-1]] + tech_6_3_2*TblTech[[#This Row],[6-3]] + tech_5_2_3*TblTech[[#This Row],[5-2]], 1-global_constr_cap) * TblConstr[[#This Row],[RCPA Lumber]],0)</f>
        <v>88</v>
      </c>
      <c r="AO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4" s="69" t="n">
        <f aca="false">ROUNDDOWN( MAX(1 - MIN(facs_constr_factor*TblConstr[[#This Row],[Facs DB]],facs_constr_max) + tech_1_11*TblTech[[#This Row],[1-11]] + tech_6_3_2*TblTech[[#This Row],[6-3]] + tech_5_2_3*TblTech[[#This Row],[5-2]], 1-global_constr_cap) * ROUND((TblConstr[[#This Row],[Land]]-250)*0.285 + 87.5 + 0/4.25,0),0)</f>
        <v>88</v>
      </c>
      <c r="AQ14" s="1" t="n">
        <f aca="false">TblConstr[[#This Row],[build -db]]*TblConstr[[#This Row],[CPA Platinum -DB]] + TblConstr[[#This Row],[build db]]*TblConstr[[#This Row],[CPA Platinum DB]]</f>
        <v>0</v>
      </c>
      <c r="AR14" s="1" t="n">
        <f aca="false">TblConstr[[#This Row],[build -db]]*TblConstr[[#This Row],[CPA Lumber -DB]]+TblConstr[[#This Row],[build db]]*TblConstr[[#This Row],[CPA Lumber DB]]</f>
        <v>0</v>
      </c>
      <c r="AS14" s="69" t="n">
        <f aca="false">MIN(SUM(OFFSET(TblConstr[[#This Row],[Plain]:[Water]],-1,0))+SUM(TblConstr[[#This Row],[Dest Hom]:[Dest Doc]])+IF(TblConstr[[#This Row],[Hour]]&gt;12,SUM(OFFSET(TblExplore[[#This Row],[Plains Explore]:[Water Explore]],-12,0)),0),SUM(TblConstr[[#This Row],[Hom]:[Doc]]))</f>
        <v>0</v>
      </c>
      <c r="AT1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32"/>
      <c r="AV14" s="69" t="n">
        <f aca="false">ROUND((TblConstr[[#This Row],[Land]]-250 - IF(TblExplore[[#This Row],[Land Bonus]]&lt;&gt;0,20,0))*1.25 + 850 + 0,0)</f>
        <v>850</v>
      </c>
      <c r="AW14" s="69" t="n">
        <f aca="false">ROUND((TblConstr[[#This Row],[Land]]-250 - IF(TblExplore[[#This Row],[Land Bonus]]&lt;&gt;0,20,0))*0.285 + 87.5 + 0/4.25,0)</f>
        <v>88</v>
      </c>
      <c r="AX14" s="146"/>
      <c r="AY14" s="203" t="n">
        <f aca="false" t="array" ref="AY14:AY14">IF(TblConstr[[#This Row],[Hour]:[Hour]]&gt;12,OFFSET(TblConstr[[#This Row],[Hom]],-12,0),0)+OFFSET(TblConstr[[#This Row],[Tot Hom]],-1,0)-TblConstr[[#This Row],[Dest Hom]]</f>
        <v>10</v>
      </c>
      <c r="AZ14" s="204" t="n">
        <f aca="false" t="array" ref="AZ14:AZ14">IF(TblConstr[[#This Row],[Hour]:[Hour]]&gt;12,OFFSET(TblConstr[[#This Row],[Alc]],-12,0),0)+OFFSET(TblConstr[[#This Row],[Tot Alc]],-1,0)-TblConstr[[#This Row],[Dest Alc]]</f>
        <v>30</v>
      </c>
      <c r="BA14" s="204" t="n">
        <f aca="false" t="array" ref="BA14:BA14">IF(TblConstr[[#This Row],[Hour]:[Hour]]&gt;12,OFFSET(TblConstr[[#This Row],[Far]],-12,0),0)+OFFSET(TblConstr[[#This Row],[Tot Farm]],-1,0)-TblConstr[[#This Row],[Dest Farm]]</f>
        <v>30</v>
      </c>
      <c r="BB14" s="204" t="n">
        <f aca="false" t="array" ref="BB14:BB14">IF(TblConstr[[#This Row],[Hour]:[Hour]]&gt;12,OFFSET(TblConstr[[#This Row],[Smi]],-12,0),0)+OFFSET(TblConstr[[#This Row],[Tot Smi]],-1,0)-TblConstr[[#This Row],[Dest Smi]]</f>
        <v>0</v>
      </c>
      <c r="BC14" s="204" t="n">
        <f aca="false" t="array" ref="BC14:BC14">IF(TblConstr[[#This Row],[Hour]:[Hour]]&gt;12,OFFSET(TblConstr[[#This Row],[Mas]],-12,0),0)+OFFSET(TblConstr[[#This Row],[Tot Mas]],-1,0)-TblConstr[[#This Row],[Dest Mas]]</f>
        <v>0</v>
      </c>
      <c r="BD14" s="205" t="n">
        <f aca="false" t="array" ref="BD14:BD14">IF(TblConstr[[#This Row],[Hour]:[Hour]]&gt;12,OFFSET(TblConstr[[#This Row],[Ly]],-12,0),0)+OFFSET(TblConstr[[#This Row],[Tot Ly]],-1,0)-TblConstr[[#This Row],[Dest Ly]]</f>
        <v>20</v>
      </c>
      <c r="BE14" s="205" t="n">
        <f aca="false" t="array" ref="BE14:BE14">IF(TblConstr[[#This Row],[Hour]:[Hour]]&gt;12,OFFSET(TblConstr[[#This Row],[Hav]],-12,0),0)+OFFSET(TblConstr[[#This Row],[Tot Hav]],-1,0)-TblConstr[[#This Row],[Dest Hav]]</f>
        <v>0</v>
      </c>
      <c r="BF14" s="194" t="n">
        <f aca="false" t="array" ref="BF14:BF14">IF(TblConstr[[#This Row],[Hour]:[Hour]]&gt;12,OFFSET(TblConstr[[#This Row],[OM]],-12,0),0)+OFFSET(TblConstr[[#This Row],[Tot OM]],-1,0)-TblConstr[[#This Row],[Dest OM]]</f>
        <v>0</v>
      </c>
      <c r="BG14" s="194" t="n">
        <f aca="false" t="array" ref="BG14:BG14">IF(TblConstr[[#This Row],[Hour]:[Hour]]&gt;12,OFFSET(TblConstr[[#This Row],[GN]],-12,0),0)+OFFSET(TblConstr[[#This Row],[Tot GN]],-1,0)-TblConstr[[#This Row],[Dest GN]]</f>
        <v>0</v>
      </c>
      <c r="BH14" s="206" t="n">
        <f aca="false" t="array" ref="BH14:BH14">IF(TblConstr[[#This Row],[Hour]:[Hour]]&gt;12,OFFSET(TblConstr[[#This Row],[Fac]],-12,0),0)+OFFSET(TblConstr[[#This Row],[Tot Fac]],-1,0)-TblConstr[[#This Row],[Dest Fac]]</f>
        <v>0</v>
      </c>
      <c r="BI14" s="206" t="n">
        <f aca="false" t="array" ref="BI14:BI14">IF(TblConstr[[#This Row],[Hour]:[Hour]]&gt;12,OFFSET(TblConstr[[#This Row],[GT]],-12,0),0)+OFFSET(TblConstr[[#This Row],[Tot GT]],-1,0)-TblConstr[[#This Row],[Dest GT]]</f>
        <v>0</v>
      </c>
      <c r="BJ14" s="206" t="n">
        <f aca="false" t="array" ref="BJ14:BJ14">IF(TblConstr[[#This Row],[Hour]:[Hour]]&gt;12,OFFSET(TblConstr[[#This Row],[Bar]],-12,0),0)+OFFSET(TblConstr[[#This Row],[Tot Bar]],-1,0)-TblConstr[[#This Row],[Dest Bar]]</f>
        <v>0</v>
      </c>
      <c r="BK14" s="206" t="n">
        <f aca="false" t="array" ref="BK14:BK14">IF(TblConstr[[#This Row],[Hour]:[Hour]]&gt;12,OFFSET(TblConstr[[#This Row],[Shr]],-12,0),0)+OFFSET(TblConstr[[#This Row],[Tot Shr]],-1,0)-TblConstr[[#This Row],[Dest Shr]]</f>
        <v>0</v>
      </c>
      <c r="BL14" s="207" t="n">
        <f aca="false" t="array" ref="BL14:BL14">IF(TblConstr[[#This Row],[Hour]:[Hour]]&gt;12,OFFSET(TblConstr[[#This Row],[Tow]],-12,0),0)+OFFSET(TblConstr[[#This Row],[Tot Tow]],-1,0)-TblConstr[[#This Row],[Dest Tow]]</f>
        <v>0</v>
      </c>
      <c r="BM14" s="207" t="n">
        <f aca="false" t="array" ref="BM14:BM14">IF(TblConstr[[#This Row],[Hour]:[Hour]]&gt;12,OFFSET(TblConstr[[#This Row],[Tem]],-12,0),0)+OFFSET(TblConstr[[#This Row],[Tot Tem]],-1,0)-TblConstr[[#This Row],[Dest Tem]]</f>
        <v>0</v>
      </c>
      <c r="BN14" s="207" t="n">
        <f aca="false" t="array" ref="BN14:BN14">IF(TblConstr[[#This Row],[Hour]:[Hour]]&gt;12,OFFSET(TblConstr[[#This Row],[WG]],-12,0),0)+OFFSET(TblConstr[[#This Row],[Tot WG]],-1,0)-TblConstr[[#This Row],[Dest WG]]</f>
        <v>0</v>
      </c>
      <c r="BO14" s="208" t="n">
        <f aca="false" t="array" ref="BO14:BO14">IF(TblConstr[[#This Row],[Hour]:[Hour]]&gt;12,OFFSET(TblConstr[[#This Row],[DM]],-12,0),0)+OFFSET(TblConstr[[#This Row],[Tot DM]],-1,0)-TblConstr[[#This Row],[Dest DM]]</f>
        <v>0</v>
      </c>
      <c r="BP14" s="208" t="n">
        <f aca="false" t="array" ref="BP14:BP14">IF(TblConstr[[#This Row],[Hour]:[Hour]]&gt;12,OFFSET(TblConstr[[#This Row],[Sch]],-12,0),0)+OFFSET(TblConstr[[#This Row],[Tot Sch]],-1,0)-TblConstr[[#This Row],[Dest Sch]]</f>
        <v>0</v>
      </c>
      <c r="BQ14" s="209" t="n">
        <f aca="false" t="array" ref="BQ14:BQ14">IF(TblConstr[[#This Row],[Hour]:[Hour]]&gt;12,OFFSET(TblConstr[[#This Row],[Doc]],-12,0),0)+OFFSET(TblConstr[[#This Row],[Tot Doc]],-1,0)-TblConstr[[#This Row],[Dest Doc]]</f>
        <v>0</v>
      </c>
      <c r="BR14" s="132"/>
      <c r="BS14" s="146"/>
      <c r="BT14" s="69" t="n">
        <f aca="false">TblConstr[[#This Row],[Land]]</f>
        <v>250</v>
      </c>
      <c r="BU14" s="153" t="n">
        <f aca="false">TblImps[[#This Row],[Time]]</f>
        <v>45430.1666666667</v>
      </c>
      <c r="BV14" s="132"/>
      <c r="BW14" s="182"/>
      <c r="BX14" s="182"/>
      <c r="BY14" s="182"/>
      <c r="BZ14" s="182"/>
      <c r="CA14" s="182"/>
      <c r="CB14" s="182"/>
      <c r="CC14" s="182"/>
      <c r="CD14" s="182"/>
      <c r="CE14" s="182"/>
      <c r="CF14" s="182"/>
      <c r="CG14" s="182"/>
      <c r="CH14" s="182"/>
      <c r="CI14" s="182"/>
      <c r="CJ14" s="182"/>
      <c r="CK14" s="182"/>
      <c r="CL14" s="182"/>
      <c r="CM14" s="182"/>
      <c r="CN14" s="182"/>
      <c r="CO14" s="182"/>
      <c r="CP14" s="132"/>
      <c r="CQ14" s="192" t="n">
        <f aca="false">-SUM(TblConstr[[#This Row],[Alc]:[Mas]])+SUM(TblConstr[[#This Row],[Dest Alc]:[Dest Mas]])+Rezone!L14+IF("Ch_"&amp; home_land=TblConstr[[#Headers],[Ch_Plain]],TblConstr[[#This Row],[Home Land]])+IF(TblConstr[[#This Row],[Hour]:[Hour]]&gt;12,OFFSET(TblExplore[[#This Row],[Plains Explore]],-12,0),0)</f>
        <v>0</v>
      </c>
      <c r="CR14" s="193" t="n">
        <f aca="false">-SUM(TblConstr[[#This Row],[Ly]:[Hav]])+SUM(TblConstr[[#This Row],[Dest Ly]:[Dest Hav]]) +Rezone!M14 + IF("Ch_"&amp; home_land=TblConstr[[#Headers],[Ch_Forest]],TblConstr[[#This Row],[Home Land]])+IF(TblConstr[[#This Row],[Hour]:[Hour]]&gt;12,OFFSET(TblExplore[[#This Row],[Forest Explore]],-12,0),0)</f>
        <v>0</v>
      </c>
      <c r="CS14" s="200" t="n">
        <f aca="false">-SUM(TblConstr[[#This Row],[OM]:[GN]])+SUM(TblConstr[[#This Row],[Dest OM]:[Dest GN]]) +Rezone!N14 + IF("Ch_"&amp; home_land=TblConstr[[#Headers],[Ch_Mountain]],TblConstr[[#This Row],[Home Land]])+IF(TblConstr[[#This Row],[Hour]:[Hour]]&gt;12,OFFSET(TblExplore[[#This Row],[Mountain Explore]],-12,0),0)</f>
        <v>0</v>
      </c>
      <c r="CT14" s="195" t="n">
        <f aca="false">-SUM(TblConstr[[#This Row],[Fac]:[Shr]])+SUM(TblConstr[[#This Row],[Dest Fac]:[Dest Shr]]) +Rezone!O14 + IF("Ch_" &amp; home_land=TblConstr[[#Headers],[Ch_Hill]],TblConstr[[#This Row],[Home Land]])+IF(TblConstr[[#This Row],[Hour]:[Hour]]&gt;12,OFFSET(TblExplore[[#This Row],[Hill Explore]],-12,0),0)</f>
        <v>0</v>
      </c>
      <c r="CU14" s="196" t="n">
        <f aca="false">-SUM(TblConstr[[#This Row],[Tow]:[WG]])+SUM(TblConstr[[#This Row],[Dest Tow]:[Dest WG]]) +Rezone!P14 + IF("Ch_" &amp; home_land=TblConstr[[#Headers],[Ch_Swamp]],TblConstr[[#This Row],[Home Land]])+IF(TblConstr[[#This Row],[Hour]:[Hour]]&gt;12,OFFSET(TblExplore[[#This Row],[Swamp Explore]],-12,0),0)</f>
        <v>0</v>
      </c>
      <c r="CV14" s="197" t="n">
        <f aca="false">- SUM(TblConstr[[#This Row],[DM]:[Sch]])+SUM(TblConstr[[#This Row],[Dest DM]:[Dest Sch]]) +Rezone!Q14 + IF("Ch_" &amp; home_land=TblConstr[[#Headers],[Ch_Cavern]],TblConstr[[#This Row],[Home Land]])+IF(TblConstr[[#This Row],[Hour]:[Hour]]&gt;12,OFFSET(TblExplore[[#This Row],[Cavern Explore]],-12,0),0)</f>
        <v>0</v>
      </c>
      <c r="CW14" s="198" t="n">
        <f aca="false">-TblConstr[[#This Row],[Doc]]+TblConstr[[#This Row],[Dest Doc]] +Rezone!R14 + IF("Ch_" &amp; home_land=TblConstr[[#Headers],[Ch_Water]],TblConstr[[#This Row],[Home Land]])+IF(TblConstr[[#This Row],[Hour]:[Hour]]&gt;12,OFFSET(TblExplore[[#This Row],[Water Explore]],-12,0),0)</f>
        <v>0</v>
      </c>
      <c r="CX14" s="1" t="n">
        <f aca="false">IF(Explore!S14=1,20) - TblConstr[[#This Row],[Hom]] + TblConstr[[#This Row],[Dest Hom]]</f>
        <v>0</v>
      </c>
      <c r="CY14" s="132"/>
      <c r="CZ14" s="69" t="n">
        <f aca="false">G14+SUM(P$4:S14)+SUM(AZ14:BC14)</f>
        <v>100</v>
      </c>
      <c r="DA14" s="69" t="n">
        <f aca="false">H14+SUM(T$4:U14)+SUM(BD14:BE14)</f>
        <v>20</v>
      </c>
      <c r="DB14" s="1" t="n">
        <f aca="false">I14+SUM(V$4:W14)+SUM(BF14:BG14)</f>
        <v>0</v>
      </c>
      <c r="DC14" s="69" t="n">
        <f aca="false">J14+SUM(X$4:Y14)+SUM(BH14:BI14)</f>
        <v>28</v>
      </c>
      <c r="DD14" s="69" t="n">
        <f aca="false">K14+SUM(AB$4:AD14)+SUM(BL14:BN14)</f>
        <v>62</v>
      </c>
      <c r="DE14" s="1" t="n">
        <f aca="false">L14+SUM(AE$4:AE14)+BO14</f>
        <v>20</v>
      </c>
      <c r="DF14" s="69" t="n">
        <f aca="false">M14+SUM(AG$4:AG14)+BQ14</f>
        <v>10</v>
      </c>
      <c r="DG14" s="69" t="e">
        <f aca="false" t="array" ref="DG14:DG14">INDEX(TblConstr[[Total Plain]:[Total Water]],ROW()-ROW(TblConstr[#headers]),MATCH("Total "&amp;home_land,TblConstr[[#Headers],[Total Plain]:[Total Water]],0))+TblConstr[[#This Row],[Homes]]</f>
        <v>#VALUE!</v>
      </c>
      <c r="DH14" s="1" t="n">
        <f aca="false">SUM(O$4:O14)+AY14</f>
        <v>10</v>
      </c>
      <c r="DI14" s="1" t="n">
        <f aca="false">MAX(BA14-BA13,0)</f>
        <v>0</v>
      </c>
      <c r="DJ14" s="1" t="n">
        <f aca="false">MAX(BQ14-BQ13,0)</f>
        <v>0</v>
      </c>
    </row>
    <row r="15" customFormat="false" ht="12.75" hidden="false" customHeight="false" outlineLevel="0" collapsed="false">
      <c r="A15" s="170" t="n">
        <f aca="false">TblRezone[[#This Row],[Hour]]</f>
        <v>12</v>
      </c>
      <c r="B15" s="171" t="n">
        <f aca="false">SUM(TblConstr[[#This Row],[Plain]:[Water]])</f>
        <v>30</v>
      </c>
      <c r="C15" s="172" t="n">
        <f aca="false">SUM(TblConstr[[#This Row],[Tot Hom]:[Tot Doc]])</f>
        <v>90</v>
      </c>
      <c r="D15" s="172" t="n">
        <f aca="false">SUM(O$4:AG15)</f>
        <v>130</v>
      </c>
      <c r="E15" s="173"/>
      <c r="F15" s="33" t="n">
        <f aca="false">TblConstr[[#This Row],[Barren]]+TblConstr[[#This Row],[Buildings]]+TblConstr[[#This Row],[Incoming]]</f>
        <v>250</v>
      </c>
      <c r="G15" s="199" t="n">
        <f aca="false">OFFSET(TblConstr[[#This Row],[Plain]],-1,0)+TblConstr[[#This Row],[Ch_Plain]]</f>
        <v>0</v>
      </c>
      <c r="H15" s="193" t="n">
        <f aca="false">OFFSET(TblConstr[[#This Row],[Forest]],-1,0)+TblConstr[[#This Row],[Ch_Forest]]</f>
        <v>0</v>
      </c>
      <c r="I15" s="200" t="n">
        <f aca="false">OFFSET(TblConstr[[#This Row],[Mountain]],-1,0)+TblConstr[[#This Row],[Ch_Mountain]]</f>
        <v>0</v>
      </c>
      <c r="J15" s="201" t="n">
        <f aca="false">OFFSET(TblConstr[[#This Row],[Hill]],-1,0)+TblConstr[[#This Row],[Ch_Hill]]</f>
        <v>0</v>
      </c>
      <c r="K15" s="202" t="n">
        <f aca="false">OFFSET(TblConstr[[#This Row],[Swamp]],-1,0)+TblConstr[[#This Row],[Ch_Swamp]]</f>
        <v>0</v>
      </c>
      <c r="L15" s="197" t="n">
        <f aca="false">OFFSET(TblConstr[[#This Row],[Cavern]],-1,0)+TblConstr[[#This Row],[Ch_Cavern]]</f>
        <v>20</v>
      </c>
      <c r="M15" s="198" t="n">
        <f aca="false">OFFSET(TblConstr[[#This Row],[Water]],-1,0)+TblConstr[[#This Row],[Ch_Water]]</f>
        <v>10</v>
      </c>
      <c r="N15" s="181" t="n">
        <f aca="false">TblRezone[[#This Row],[Hour]]</f>
        <v>12</v>
      </c>
      <c r="O15" s="182"/>
      <c r="P15" s="182"/>
      <c r="Q15" s="182"/>
      <c r="R15" s="182"/>
      <c r="S15" s="182"/>
      <c r="T15" s="182"/>
      <c r="U15" s="182"/>
      <c r="V15" s="182"/>
      <c r="W15" s="182"/>
      <c r="X15" s="182"/>
      <c r="Y15" s="182"/>
      <c r="Z15" s="182"/>
      <c r="AA15" s="182"/>
      <c r="AB15" s="182"/>
      <c r="AC15" s="182"/>
      <c r="AD15" s="182"/>
      <c r="AE15" s="182"/>
      <c r="AF15" s="182"/>
      <c r="AG15" s="182"/>
      <c r="AH15" s="20" t="n">
        <f aca="false">TblImps[[#This Row],[Time]]</f>
        <v>45430.2083333333</v>
      </c>
      <c r="AI15" s="130" t="n">
        <f aca="false">MIN(25%,(TblConstr[[#This Row],[Tot Fac]]+TblConstr[[#This Row],[Dest Fac]])/(TblConstr[[#This Row],[Land]]-TblExplore[[#This Row],[Land Bonus]]*20))</f>
        <v>0</v>
      </c>
      <c r="AJ15" s="130" t="n">
        <f aca="false">MIN(25%,(TblConstr[[#This Row],[Tot Fac]]+TblConstr[[#This Row],[Dest Fac]])/TblConstr[[#This Row],[Land]])</f>
        <v>0</v>
      </c>
      <c r="AK15" s="69" t="n">
        <f aca="false">TblProd[[#This Row],[Platinum]]</f>
        <v>46621</v>
      </c>
      <c r="AL15" s="69" t="n">
        <f aca="false">TblProd[[#This Row],[Lumber]]</f>
        <v>1987</v>
      </c>
      <c r="AM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5" s="69" t="n">
        <f aca="false">ROUNDDOWN( MAX(1 - MIN(facs_constr_factor*TblConstr[[#This Row],[Facs -DB]],facs_constr_max) + tech_1_11*TblTech[[#This Row],[11-1]] + tech_6_3_2*TblTech[[#This Row],[6-3]] + tech_5_2_3*TblTech[[#This Row],[5-2]], 1-global_constr_cap) * TblConstr[[#This Row],[RCPA Lumber]],0)</f>
        <v>88</v>
      </c>
      <c r="AO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5" s="69" t="n">
        <f aca="false">ROUNDDOWN( MAX(1 - MIN(facs_constr_factor*TblConstr[[#This Row],[Facs DB]],facs_constr_max) + tech_1_11*TblTech[[#This Row],[1-11]] + tech_6_3_2*TblTech[[#This Row],[6-3]] + tech_5_2_3*TblTech[[#This Row],[5-2]], 1-global_constr_cap) * ROUND((TblConstr[[#This Row],[Land]]-250)*0.285 + 87.5 + 0/4.25,0),0)</f>
        <v>88</v>
      </c>
      <c r="AQ15" s="1" t="n">
        <f aca="false">TblConstr[[#This Row],[build -db]]*TblConstr[[#This Row],[CPA Platinum -DB]] + TblConstr[[#This Row],[build db]]*TblConstr[[#This Row],[CPA Platinum DB]]</f>
        <v>0</v>
      </c>
      <c r="AR15" s="1" t="n">
        <f aca="false">TblConstr[[#This Row],[build -db]]*TblConstr[[#This Row],[CPA Lumber -DB]]+TblConstr[[#This Row],[build db]]*TblConstr[[#This Row],[CPA Lumber DB]]</f>
        <v>0</v>
      </c>
      <c r="AS15" s="69" t="n">
        <f aca="false">MIN(SUM(OFFSET(TblConstr[[#This Row],[Plain]:[Water]],-1,0))+SUM(TblConstr[[#This Row],[Dest Hom]:[Dest Doc]])+IF(TblConstr[[#This Row],[Hour]]&gt;12,SUM(OFFSET(TblExplore[[#This Row],[Plains Explore]:[Water Explore]],-12,0)),0),SUM(TblConstr[[#This Row],[Hom]:[Doc]]))</f>
        <v>0</v>
      </c>
      <c r="AT1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32"/>
      <c r="AV15" s="69" t="n">
        <f aca="false">ROUND((TblConstr[[#This Row],[Land]]-250 - IF(TblExplore[[#This Row],[Land Bonus]]&lt;&gt;0,20,0))*1.25 + 850 + 0,0)</f>
        <v>850</v>
      </c>
      <c r="AW15" s="69" t="n">
        <f aca="false">ROUND((TblConstr[[#This Row],[Land]]-250 - IF(TblExplore[[#This Row],[Land Bonus]]&lt;&gt;0,20,0))*0.285 + 87.5 + 0/4.25,0)</f>
        <v>88</v>
      </c>
      <c r="AX15" s="146"/>
      <c r="AY15" s="203" t="n">
        <f aca="false" t="array" ref="AY15:AY15">IF(TblConstr[[#This Row],[Hour]:[Hour]]&gt;12,OFFSET(TblConstr[[#This Row],[Hom]],-12,0),0)+OFFSET(TblConstr[[#This Row],[Tot Hom]],-1,0)-TblConstr[[#This Row],[Dest Hom]]</f>
        <v>10</v>
      </c>
      <c r="AZ15" s="204" t="n">
        <f aca="false" t="array" ref="AZ15:AZ15">IF(TblConstr[[#This Row],[Hour]:[Hour]]&gt;12,OFFSET(TblConstr[[#This Row],[Alc]],-12,0),0)+OFFSET(TblConstr[[#This Row],[Tot Alc]],-1,0)-TblConstr[[#This Row],[Dest Alc]]</f>
        <v>30</v>
      </c>
      <c r="BA15" s="204" t="n">
        <f aca="false" t="array" ref="BA15:BA15">IF(TblConstr[[#This Row],[Hour]:[Hour]]&gt;12,OFFSET(TblConstr[[#This Row],[Far]],-12,0),0)+OFFSET(TblConstr[[#This Row],[Tot Farm]],-1,0)-TblConstr[[#This Row],[Dest Farm]]</f>
        <v>30</v>
      </c>
      <c r="BB15" s="204" t="n">
        <f aca="false" t="array" ref="BB15:BB15">IF(TblConstr[[#This Row],[Hour]:[Hour]]&gt;12,OFFSET(TblConstr[[#This Row],[Smi]],-12,0),0)+OFFSET(TblConstr[[#This Row],[Tot Smi]],-1,0)-TblConstr[[#This Row],[Dest Smi]]</f>
        <v>0</v>
      </c>
      <c r="BC15" s="204" t="n">
        <f aca="false" t="array" ref="BC15:BC15">IF(TblConstr[[#This Row],[Hour]:[Hour]]&gt;12,OFFSET(TblConstr[[#This Row],[Mas]],-12,0),0)+OFFSET(TblConstr[[#This Row],[Tot Mas]],-1,0)-TblConstr[[#This Row],[Dest Mas]]</f>
        <v>0</v>
      </c>
      <c r="BD15" s="205" t="n">
        <f aca="false" t="array" ref="BD15:BD15">IF(TblConstr[[#This Row],[Hour]:[Hour]]&gt;12,OFFSET(TblConstr[[#This Row],[Ly]],-12,0),0)+OFFSET(TblConstr[[#This Row],[Tot Ly]],-1,0)-TblConstr[[#This Row],[Dest Ly]]</f>
        <v>20</v>
      </c>
      <c r="BE15" s="205" t="n">
        <f aca="false" t="array" ref="BE15:BE15">IF(TblConstr[[#This Row],[Hour]:[Hour]]&gt;12,OFFSET(TblConstr[[#This Row],[Hav]],-12,0),0)+OFFSET(TblConstr[[#This Row],[Tot Hav]],-1,0)-TblConstr[[#This Row],[Dest Hav]]</f>
        <v>0</v>
      </c>
      <c r="BF15" s="194" t="n">
        <f aca="false" t="array" ref="BF15:BF15">IF(TblConstr[[#This Row],[Hour]:[Hour]]&gt;12,OFFSET(TblConstr[[#This Row],[OM]],-12,0),0)+OFFSET(TblConstr[[#This Row],[Tot OM]],-1,0)-TblConstr[[#This Row],[Dest OM]]</f>
        <v>0</v>
      </c>
      <c r="BG15" s="194" t="n">
        <f aca="false" t="array" ref="BG15:BG15">IF(TblConstr[[#This Row],[Hour]:[Hour]]&gt;12,OFFSET(TblConstr[[#This Row],[GN]],-12,0),0)+OFFSET(TblConstr[[#This Row],[Tot GN]],-1,0)-TblConstr[[#This Row],[Dest GN]]</f>
        <v>0</v>
      </c>
      <c r="BH15" s="206" t="n">
        <f aca="false" t="array" ref="BH15:BH15">IF(TblConstr[[#This Row],[Hour]:[Hour]]&gt;12,OFFSET(TblConstr[[#This Row],[Fac]],-12,0),0)+OFFSET(TblConstr[[#This Row],[Tot Fac]],-1,0)-TblConstr[[#This Row],[Dest Fac]]</f>
        <v>0</v>
      </c>
      <c r="BI15" s="206" t="n">
        <f aca="false" t="array" ref="BI15:BI15">IF(TblConstr[[#This Row],[Hour]:[Hour]]&gt;12,OFFSET(TblConstr[[#This Row],[GT]],-12,0),0)+OFFSET(TblConstr[[#This Row],[Tot GT]],-1,0)-TblConstr[[#This Row],[Dest GT]]</f>
        <v>0</v>
      </c>
      <c r="BJ15" s="206" t="n">
        <f aca="false" t="array" ref="BJ15:BJ15">IF(TblConstr[[#This Row],[Hour]:[Hour]]&gt;12,OFFSET(TblConstr[[#This Row],[Bar]],-12,0),0)+OFFSET(TblConstr[[#This Row],[Tot Bar]],-1,0)-TblConstr[[#This Row],[Dest Bar]]</f>
        <v>0</v>
      </c>
      <c r="BK15" s="206" t="n">
        <f aca="false" t="array" ref="BK15:BK15">IF(TblConstr[[#This Row],[Hour]:[Hour]]&gt;12,OFFSET(TblConstr[[#This Row],[Shr]],-12,0),0)+OFFSET(TblConstr[[#This Row],[Tot Shr]],-1,0)-TblConstr[[#This Row],[Dest Shr]]</f>
        <v>0</v>
      </c>
      <c r="BL15" s="207" t="n">
        <f aca="false" t="array" ref="BL15:BL15">IF(TblConstr[[#This Row],[Hour]:[Hour]]&gt;12,OFFSET(TblConstr[[#This Row],[Tow]],-12,0),0)+OFFSET(TblConstr[[#This Row],[Tot Tow]],-1,0)-TblConstr[[#This Row],[Dest Tow]]</f>
        <v>0</v>
      </c>
      <c r="BM15" s="207" t="n">
        <f aca="false" t="array" ref="BM15:BM15">IF(TblConstr[[#This Row],[Hour]:[Hour]]&gt;12,OFFSET(TblConstr[[#This Row],[Tem]],-12,0),0)+OFFSET(TblConstr[[#This Row],[Tot Tem]],-1,0)-TblConstr[[#This Row],[Dest Tem]]</f>
        <v>0</v>
      </c>
      <c r="BN15" s="207" t="n">
        <f aca="false" t="array" ref="BN15:BN15">IF(TblConstr[[#This Row],[Hour]:[Hour]]&gt;12,OFFSET(TblConstr[[#This Row],[WG]],-12,0),0)+OFFSET(TblConstr[[#This Row],[Tot WG]],-1,0)-TblConstr[[#This Row],[Dest WG]]</f>
        <v>0</v>
      </c>
      <c r="BO15" s="208" t="n">
        <f aca="false" t="array" ref="BO15:BO15">IF(TblConstr[[#This Row],[Hour]:[Hour]]&gt;12,OFFSET(TblConstr[[#This Row],[DM]],-12,0),0)+OFFSET(TblConstr[[#This Row],[Tot DM]],-1,0)-TblConstr[[#This Row],[Dest DM]]</f>
        <v>0</v>
      </c>
      <c r="BP15" s="208" t="n">
        <f aca="false" t="array" ref="BP15:BP15">IF(TblConstr[[#This Row],[Hour]:[Hour]]&gt;12,OFFSET(TblConstr[[#This Row],[Sch]],-12,0),0)+OFFSET(TblConstr[[#This Row],[Tot Sch]],-1,0)-TblConstr[[#This Row],[Dest Sch]]</f>
        <v>0</v>
      </c>
      <c r="BQ15" s="209" t="n">
        <f aca="false" t="array" ref="BQ15:BQ15">IF(TblConstr[[#This Row],[Hour]:[Hour]]&gt;12,OFFSET(TblConstr[[#This Row],[Doc]],-12,0),0)+OFFSET(TblConstr[[#This Row],[Tot Doc]],-1,0)-TblConstr[[#This Row],[Dest Doc]]</f>
        <v>0</v>
      </c>
      <c r="BR15" s="132"/>
      <c r="BS15" s="146"/>
      <c r="BT15" s="69" t="n">
        <f aca="false">TblConstr[[#This Row],[Land]]</f>
        <v>250</v>
      </c>
      <c r="BU15" s="153" t="n">
        <f aca="false">TblImps[[#This Row],[Time]]</f>
        <v>45430.2083333333</v>
      </c>
      <c r="BV15" s="132"/>
      <c r="BW15" s="182"/>
      <c r="BX15" s="182"/>
      <c r="BY15" s="182"/>
      <c r="BZ15" s="182"/>
      <c r="CA15" s="182"/>
      <c r="CB15" s="182"/>
      <c r="CC15" s="182"/>
      <c r="CD15" s="182"/>
      <c r="CE15" s="182"/>
      <c r="CF15" s="182"/>
      <c r="CG15" s="182"/>
      <c r="CH15" s="182"/>
      <c r="CI15" s="182"/>
      <c r="CJ15" s="182"/>
      <c r="CK15" s="182"/>
      <c r="CL15" s="182"/>
      <c r="CM15" s="182"/>
      <c r="CN15" s="182"/>
      <c r="CO15" s="182"/>
      <c r="CP15" s="132"/>
      <c r="CQ15" s="192" t="n">
        <f aca="false">-SUM(TblConstr[[#This Row],[Alc]:[Mas]])+SUM(TblConstr[[#This Row],[Dest Alc]:[Dest Mas]])+Rezone!L15+IF("Ch_"&amp; home_land=TblConstr[[#Headers],[Ch_Plain]],TblConstr[[#This Row],[Home Land]])+IF(TblConstr[[#This Row],[Hour]:[Hour]]&gt;12,OFFSET(TblExplore[[#This Row],[Plains Explore]],-12,0),0)</f>
        <v>0</v>
      </c>
      <c r="CR15" s="193" t="n">
        <f aca="false">-SUM(TblConstr[[#This Row],[Ly]:[Hav]])+SUM(TblConstr[[#This Row],[Dest Ly]:[Dest Hav]]) +Rezone!M15 + IF("Ch_"&amp; home_land=TblConstr[[#Headers],[Ch_Forest]],TblConstr[[#This Row],[Home Land]])+IF(TblConstr[[#This Row],[Hour]:[Hour]]&gt;12,OFFSET(TblExplore[[#This Row],[Forest Explore]],-12,0),0)</f>
        <v>0</v>
      </c>
      <c r="CS15" s="200" t="n">
        <f aca="false">-SUM(TblConstr[[#This Row],[OM]:[GN]])+SUM(TblConstr[[#This Row],[Dest OM]:[Dest GN]]) +Rezone!N15 + IF("Ch_"&amp; home_land=TblConstr[[#Headers],[Ch_Mountain]],TblConstr[[#This Row],[Home Land]])+IF(TblConstr[[#This Row],[Hour]:[Hour]]&gt;12,OFFSET(TblExplore[[#This Row],[Mountain Explore]],-12,0),0)</f>
        <v>0</v>
      </c>
      <c r="CT15" s="195" t="n">
        <f aca="false">-SUM(TblConstr[[#This Row],[Fac]:[Shr]])+SUM(TblConstr[[#This Row],[Dest Fac]:[Dest Shr]]) +Rezone!O15 + IF("Ch_" &amp; home_land=TblConstr[[#Headers],[Ch_Hill]],TblConstr[[#This Row],[Home Land]])+IF(TblConstr[[#This Row],[Hour]:[Hour]]&gt;12,OFFSET(TblExplore[[#This Row],[Hill Explore]],-12,0),0)</f>
        <v>0</v>
      </c>
      <c r="CU15" s="196" t="n">
        <f aca="false">-SUM(TblConstr[[#This Row],[Tow]:[WG]])+SUM(TblConstr[[#This Row],[Dest Tow]:[Dest WG]]) +Rezone!P15 + IF("Ch_" &amp; home_land=TblConstr[[#Headers],[Ch_Swamp]],TblConstr[[#This Row],[Home Land]])+IF(TblConstr[[#This Row],[Hour]:[Hour]]&gt;12,OFFSET(TblExplore[[#This Row],[Swamp Explore]],-12,0),0)</f>
        <v>0</v>
      </c>
      <c r="CV15" s="197" t="n">
        <f aca="false">- SUM(TblConstr[[#This Row],[DM]:[Sch]])+SUM(TblConstr[[#This Row],[Dest DM]:[Dest Sch]]) +Rezone!Q15 + IF("Ch_" &amp; home_land=TblConstr[[#Headers],[Ch_Cavern]],TblConstr[[#This Row],[Home Land]])+IF(TblConstr[[#This Row],[Hour]:[Hour]]&gt;12,OFFSET(TblExplore[[#This Row],[Cavern Explore]],-12,0),0)</f>
        <v>0</v>
      </c>
      <c r="CW15" s="198" t="n">
        <f aca="false">-TblConstr[[#This Row],[Doc]]+TblConstr[[#This Row],[Dest Doc]] +Rezone!R15 + IF("Ch_" &amp; home_land=TblConstr[[#Headers],[Ch_Water]],TblConstr[[#This Row],[Home Land]])+IF(TblConstr[[#This Row],[Hour]:[Hour]]&gt;12,OFFSET(TblExplore[[#This Row],[Water Explore]],-12,0),0)</f>
        <v>0</v>
      </c>
      <c r="CX15" s="1" t="n">
        <f aca="false">IF(Explore!S15=1,20) - TblConstr[[#This Row],[Hom]] + TblConstr[[#This Row],[Dest Hom]]</f>
        <v>0</v>
      </c>
      <c r="CY15" s="132"/>
      <c r="CZ15" s="69" t="n">
        <f aca="false">G15+SUM(P$4:S15)+SUM(AZ15:BC15)</f>
        <v>100</v>
      </c>
      <c r="DA15" s="69" t="n">
        <f aca="false">H15+SUM(T$4:U15)+SUM(BD15:BE15)</f>
        <v>20</v>
      </c>
      <c r="DB15" s="1" t="n">
        <f aca="false">I15+SUM(V$4:W15)+SUM(BF15:BG15)</f>
        <v>0</v>
      </c>
      <c r="DC15" s="69" t="n">
        <f aca="false">J15+SUM(X$4:Y15)+SUM(BH15:BI15)</f>
        <v>28</v>
      </c>
      <c r="DD15" s="69" t="n">
        <f aca="false">K15+SUM(AB$4:AD15)+SUM(BL15:BN15)</f>
        <v>62</v>
      </c>
      <c r="DE15" s="1" t="n">
        <f aca="false">L15+SUM(AE$4:AE15)+BO15</f>
        <v>20</v>
      </c>
      <c r="DF15" s="69" t="n">
        <f aca="false">M15+SUM(AG$4:AG15)+BQ15</f>
        <v>10</v>
      </c>
      <c r="DG15" s="69" t="e">
        <f aca="false" t="array" ref="DG15:DG15">INDEX(TblConstr[[Total Plain]:[Total Water]],ROW()-ROW(TblConstr[#headers]),MATCH("Total "&amp;home_land,TblConstr[[#Headers],[Total Plain]:[Total Water]],0))+TblConstr[[#This Row],[Homes]]</f>
        <v>#VALUE!</v>
      </c>
      <c r="DH15" s="1" t="n">
        <f aca="false">SUM(O$4:O15)+AY15</f>
        <v>10</v>
      </c>
      <c r="DI15" s="1" t="n">
        <f aca="false">MAX(BA15-BA14,0)</f>
        <v>0</v>
      </c>
      <c r="DJ15" s="1" t="n">
        <f aca="false">MAX(BQ15-BQ14,0)</f>
        <v>0</v>
      </c>
    </row>
    <row r="16" customFormat="false" ht="12.75" hidden="false" customHeight="false" outlineLevel="0" collapsed="false">
      <c r="A16" s="170" t="n">
        <f aca="false">TblRezone[[#This Row],[Hour]]</f>
        <v>13</v>
      </c>
      <c r="B16" s="171" t="n">
        <f aca="false">SUM(TblConstr[[#This Row],[Plain]:[Water]])</f>
        <v>0</v>
      </c>
      <c r="C16" s="172" t="n">
        <f aca="false">SUM(TblConstr[[#This Row],[Tot Hom]:[Tot Doc]])</f>
        <v>185</v>
      </c>
      <c r="D16" s="172" t="n">
        <f aca="false">SUM(O5:AG16)</f>
        <v>65</v>
      </c>
      <c r="E16" s="173"/>
      <c r="F16" s="33" t="n">
        <f aca="false">TblConstr[[#This Row],[Barren]]+TblConstr[[#This Row],[Buildings]]+TblConstr[[#This Row],[Incoming]]</f>
        <v>250</v>
      </c>
      <c r="G16" s="199" t="n">
        <f aca="false">OFFSET(TblConstr[[#This Row],[Plain]],-1,0)+TblConstr[[#This Row],[Ch_Plain]]</f>
        <v>0</v>
      </c>
      <c r="H16" s="193" t="n">
        <f aca="false">OFFSET(TblConstr[[#This Row],[Forest]],-1,0)+TblConstr[[#This Row],[Ch_Forest]]</f>
        <v>0</v>
      </c>
      <c r="I16" s="200" t="n">
        <f aca="false">OFFSET(TblConstr[[#This Row],[Mountain]],-1,0)+TblConstr[[#This Row],[Ch_Mountain]]</f>
        <v>0</v>
      </c>
      <c r="J16" s="201" t="n">
        <f aca="false">OFFSET(TblConstr[[#This Row],[Hill]],-1,0)+TblConstr[[#This Row],[Ch_Hill]]</f>
        <v>0</v>
      </c>
      <c r="K16" s="202" t="n">
        <f aca="false">OFFSET(TblConstr[[#This Row],[Swamp]],-1,0)+TblConstr[[#This Row],[Ch_Swamp]]</f>
        <v>0</v>
      </c>
      <c r="L16" s="197" t="n">
        <f aca="false">OFFSET(TblConstr[[#This Row],[Cavern]],-1,0)+TblConstr[[#This Row],[Ch_Cavern]]</f>
        <v>0</v>
      </c>
      <c r="M16" s="198" t="n">
        <f aca="false">OFFSET(TblConstr[[#This Row],[Water]],-1,0)+TblConstr[[#This Row],[Ch_Water]]</f>
        <v>0</v>
      </c>
      <c r="N16" s="181" t="n">
        <f aca="false">TblRezone[[#This Row],[Hour]]</f>
        <v>13</v>
      </c>
      <c r="O16" s="182"/>
      <c r="P16" s="152" t="n">
        <v>55</v>
      </c>
      <c r="Q16" s="182"/>
      <c r="R16" s="182"/>
      <c r="S16" s="182"/>
      <c r="T16" s="182"/>
      <c r="U16" s="182"/>
      <c r="V16" s="152"/>
      <c r="W16" s="182"/>
      <c r="X16" s="152" t="n">
        <v>2</v>
      </c>
      <c r="Y16" s="182"/>
      <c r="Z16" s="182"/>
      <c r="AA16" s="182"/>
      <c r="AB16" s="182" t="n">
        <v>3</v>
      </c>
      <c r="AC16" s="182"/>
      <c r="AD16" s="182"/>
      <c r="AE16" s="182"/>
      <c r="AF16" s="182"/>
      <c r="AG16" s="152" t="n">
        <v>5</v>
      </c>
      <c r="AH16" s="20" t="n">
        <f aca="false">TblImps[[#This Row],[Time]]</f>
        <v>45430.25</v>
      </c>
      <c r="AI16" s="130" t="n">
        <f aca="false">MIN(25%,(TblConstr[[#This Row],[Tot Fac]]+TblConstr[[#This Row],[Dest Fac]])/(TblConstr[[#This Row],[Land]]-TblExplore[[#This Row],[Land Bonus]]*20))</f>
        <v>0.112</v>
      </c>
      <c r="AJ16" s="130" t="n">
        <f aca="false">MIN(25%,(TblConstr[[#This Row],[Tot Fac]]+TblConstr[[#This Row],[Dest Fac]])/TblConstr[[#This Row],[Land]])</f>
        <v>0.112</v>
      </c>
      <c r="AK16" s="69" t="n">
        <f aca="false">TblProd[[#This Row],[Platinum]]</f>
        <v>27645</v>
      </c>
      <c r="AL16" s="69" t="n">
        <f aca="false">TblProd[[#This Row],[Lumber]]</f>
        <v>7</v>
      </c>
      <c r="AM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6" s="69" t="n">
        <f aca="false">ROUNDDOWN( MAX(1 - MIN(facs_constr_factor*TblConstr[[#This Row],[Facs -DB]],facs_constr_max) + tech_1_11*TblTech[[#This Row],[11-1]] + tech_6_3_2*TblTech[[#This Row],[6-3]] + tech_5_2_3*TblTech[[#This Row],[5-2]], 1-global_constr_cap) * TblConstr[[#This Row],[RCPA Lumber]],0)</f>
        <v>44</v>
      </c>
      <c r="AO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6" s="69" t="n">
        <f aca="false">ROUNDDOWN( MAX(1 - MIN(facs_constr_factor*TblConstr[[#This Row],[Facs DB]],facs_constr_max) + tech_1_11*TblTech[[#This Row],[1-11]] + tech_6_3_2*TblTech[[#This Row],[6-3]] + tech_5_2_3*TblTech[[#This Row],[5-2]], 1-global_constr_cap) * ROUND((TblConstr[[#This Row],[Land]]-250)*0.285 + 87.5 + 0/4.25,0),0)</f>
        <v>44</v>
      </c>
      <c r="AQ16" s="1" t="n">
        <f aca="false">TblConstr[[#This Row],[build -db]]*TblConstr[[#This Row],[CPA Platinum -DB]] + TblConstr[[#This Row],[build db]]*TblConstr[[#This Row],[CPA Platinum DB]]</f>
        <v>22100</v>
      </c>
      <c r="AR16" s="1" t="n">
        <f aca="false">TblConstr[[#This Row],[build -db]]*TblConstr[[#This Row],[CPA Lumber -DB]]+TblConstr[[#This Row],[build db]]*TblConstr[[#This Row],[CPA Lumber DB]]</f>
        <v>2860</v>
      </c>
      <c r="AS16" s="69" t="n">
        <f aca="false">MIN(SUM(OFFSET(TblConstr[[#This Row],[Plain]:[Water]],-1,0))+SUM(TblConstr[[#This Row],[Dest Hom]:[Dest Doc]])+IF(TblConstr[[#This Row],[Hour]]&gt;12,SUM(OFFSET(TblExplore[[#This Row],[Plains Explore]:[Water Explore]],-12,0)),0),SUM(TblConstr[[#This Row],[Hom]:[Doc]]))</f>
        <v>65</v>
      </c>
      <c r="AT1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32"/>
      <c r="AV16" s="69" t="n">
        <f aca="false">ROUND((TblConstr[[#This Row],[Land]]-250 - IF(TblExplore[[#This Row],[Land Bonus]]&lt;&gt;0,20,0))*1.25 + 850 + 0,0)</f>
        <v>850</v>
      </c>
      <c r="AW16" s="69" t="n">
        <f aca="false">ROUND((TblConstr[[#This Row],[Land]]-250 - IF(TblExplore[[#This Row],[Land Bonus]]&lt;&gt;0,20,0))*0.285 + 87.5 + 0/4.25,0)</f>
        <v>88</v>
      </c>
      <c r="AX16" s="146"/>
      <c r="AY16" s="203" t="n">
        <f aca="false" t="array" ref="AY16:AY16">IF(TblConstr[[#This Row],[Hour]:[Hour]]&gt;12,OFFSET(TblConstr[[#This Row],[Hom]],-12,0),0)+OFFSET(TblConstr[[#This Row],[Tot Hom]],-1,0)-TblConstr[[#This Row],[Dest Hom]]</f>
        <v>0</v>
      </c>
      <c r="AZ16" s="204" t="n">
        <f aca="false">IF(TblConstr[[#This Row],[Hour]:[Hour]]&gt;12,OFFSET(TblConstr[[#This Row],[Alc]],-12,0),0)+OFFSET(TblConstr[[#This Row],[Tot Alc]],-1,0)-TblConstr[[#This Row],[Dest Alc]]</f>
        <v>70</v>
      </c>
      <c r="BA16" s="204" t="n">
        <f aca="false" t="array" ref="BA16:BA16">IF(TblConstr[[#This Row],[Hour]:[Hour]]&gt;12,OFFSET(TblConstr[[#This Row],[Far]],-12,0),0)+OFFSET(TblConstr[[#This Row],[Tot Farm]],-1,0)-TblConstr[[#This Row],[Dest Farm]]</f>
        <v>5</v>
      </c>
      <c r="BB16" s="204" t="n">
        <f aca="false" t="array" ref="BB16:BB16">IF(TblConstr[[#This Row],[Hour]:[Hour]]&gt;12,OFFSET(TblConstr[[#This Row],[Smi]],-12,0),0)+OFFSET(TblConstr[[#This Row],[Tot Smi]],-1,0)-TblConstr[[#This Row],[Dest Smi]]</f>
        <v>0</v>
      </c>
      <c r="BC16" s="204" t="n">
        <f aca="false" t="array" ref="BC16:BC16">IF(TblConstr[[#This Row],[Hour]:[Hour]]&gt;12,OFFSET(TblConstr[[#This Row],[Mas]],-12,0),0)+OFFSET(TblConstr[[#This Row],[Tot Mas]],-1,0)-TblConstr[[#This Row],[Dest Mas]]</f>
        <v>0</v>
      </c>
      <c r="BD16" s="205" t="n">
        <f aca="false" t="array" ref="BD16:BD16">IF(TblConstr[[#This Row],[Hour]:[Hour]]&gt;12,OFFSET(TblConstr[[#This Row],[Ly]],-12,0),0)+OFFSET(TblConstr[[#This Row],[Tot Ly]],-1,0)-TblConstr[[#This Row],[Dest Ly]]</f>
        <v>20</v>
      </c>
      <c r="BE16" s="205" t="n">
        <f aca="false" t="array" ref="BE16:BE16">IF(TblConstr[[#This Row],[Hour]:[Hour]]&gt;12,OFFSET(TblConstr[[#This Row],[Hav]],-12,0),0)+OFFSET(TblConstr[[#This Row],[Tot Hav]],-1,0)-TblConstr[[#This Row],[Dest Hav]]</f>
        <v>0</v>
      </c>
      <c r="BF16" s="194" t="n">
        <f aca="false" t="array" ref="BF16:BF16">IF(TblConstr[[#This Row],[Hour]:[Hour]]&gt;12,OFFSET(TblConstr[[#This Row],[OM]],-12,0),0)+OFFSET(TblConstr[[#This Row],[Tot OM]],-1,0)-TblConstr[[#This Row],[Dest OM]]</f>
        <v>0</v>
      </c>
      <c r="BG16" s="194" t="n">
        <f aca="false" t="array" ref="BG16:BG16">IF(TblConstr[[#This Row],[Hour]:[Hour]]&gt;12,OFFSET(TblConstr[[#This Row],[GN]],-12,0),0)+OFFSET(TblConstr[[#This Row],[Tot GN]],-1,0)-TblConstr[[#This Row],[Dest GN]]</f>
        <v>0</v>
      </c>
      <c r="BH16" s="206" t="n">
        <f aca="false" t="array" ref="BH16:BH16">IF(TblConstr[[#This Row],[Hour]:[Hour]]&gt;12,OFFSET(TblConstr[[#This Row],[Fac]],-12,0),0)+OFFSET(TblConstr[[#This Row],[Tot Fac]],-1,0)-TblConstr[[#This Row],[Dest Fac]]</f>
        <v>28</v>
      </c>
      <c r="BI16" s="206" t="n">
        <f aca="false" t="array" ref="BI16:BI16">IF(TblConstr[[#This Row],[Hour]:[Hour]]&gt;12,OFFSET(TblConstr[[#This Row],[GT]],-12,0),0)+OFFSET(TblConstr[[#This Row],[Tot GT]],-1,0)-TblConstr[[#This Row],[Dest GT]]</f>
        <v>0</v>
      </c>
      <c r="BJ16" s="206" t="n">
        <f aca="false" t="array" ref="BJ16:BJ16">IF(TblConstr[[#This Row],[Hour]:[Hour]]&gt;12,OFFSET(TblConstr[[#This Row],[Bar]],-12,0),0)+OFFSET(TblConstr[[#This Row],[Tot Bar]],-1,0)-TblConstr[[#This Row],[Dest Bar]]</f>
        <v>0</v>
      </c>
      <c r="BK16" s="206" t="n">
        <f aca="false" t="array" ref="BK16:BK16">IF(TblConstr[[#This Row],[Hour]:[Hour]]&gt;12,OFFSET(TblConstr[[#This Row],[Shr]],-12,0),0)+OFFSET(TblConstr[[#This Row],[Tot Shr]],-1,0)-TblConstr[[#This Row],[Dest Shr]]</f>
        <v>0</v>
      </c>
      <c r="BL16" s="207" t="n">
        <f aca="false" t="array" ref="BL16:BL16">IF(TblConstr[[#This Row],[Hour]:[Hour]]&gt;12,OFFSET(TblConstr[[#This Row],[Tow]],-12,0),0)+OFFSET(TblConstr[[#This Row],[Tot Tow]],-1,0)-TblConstr[[#This Row],[Dest Tow]]</f>
        <v>15</v>
      </c>
      <c r="BM16" s="207" t="n">
        <f aca="false" t="array" ref="BM16:BM16">IF(TblConstr[[#This Row],[Hour]:[Hour]]&gt;12,OFFSET(TblConstr[[#This Row],[Tem]],-12,0),0)+OFFSET(TblConstr[[#This Row],[Tot Tem]],-1,0)-TblConstr[[#This Row],[Dest Tem]]</f>
        <v>47</v>
      </c>
      <c r="BN16" s="207" t="n">
        <f aca="false" t="array" ref="BN16:BN16">IF(TblConstr[[#This Row],[Hour]:[Hour]]&gt;12,OFFSET(TblConstr[[#This Row],[WG]],-12,0),0)+OFFSET(TblConstr[[#This Row],[Tot WG]],-1,0)-TblConstr[[#This Row],[Dest WG]]</f>
        <v>0</v>
      </c>
      <c r="BO16" s="208" t="n">
        <f aca="false" t="array" ref="BO16:BO16">IF(TblConstr[[#This Row],[Hour]:[Hour]]&gt;12,OFFSET(TblConstr[[#This Row],[DM]],-12,0),0)+OFFSET(TblConstr[[#This Row],[Tot DM]],-1,0)-TblConstr[[#This Row],[Dest DM]]</f>
        <v>0</v>
      </c>
      <c r="BP16" s="208" t="n">
        <f aca="false" t="array" ref="BP16:BP16">IF(TblConstr[[#This Row],[Hour]:[Hour]]&gt;12,OFFSET(TblConstr[[#This Row],[Sch]],-12,0),0)+OFFSET(TblConstr[[#This Row],[Tot Sch]],-1,0)-TblConstr[[#This Row],[Dest Sch]]</f>
        <v>0</v>
      </c>
      <c r="BQ16" s="209" t="n">
        <f aca="false" t="array" ref="BQ16:BQ16">IF(TblConstr[[#This Row],[Hour]:[Hour]]&gt;12,OFFSET(TblConstr[[#This Row],[Doc]],-12,0),0)+OFFSET(TblConstr[[#This Row],[Tot Doc]],-1,0)-TblConstr[[#This Row],[Dest Doc]]</f>
        <v>0</v>
      </c>
      <c r="BR16" s="132"/>
      <c r="BS16" s="146"/>
      <c r="BT16" s="69" t="n">
        <f aca="false">TblConstr[[#This Row],[Land]]</f>
        <v>250</v>
      </c>
      <c r="BU16" s="153" t="n">
        <f aca="false">TblImps[[#This Row],[Time]]</f>
        <v>45430.25</v>
      </c>
      <c r="BV16" s="132"/>
      <c r="BW16" s="182" t="n">
        <v>10</v>
      </c>
      <c r="BX16" s="182"/>
      <c r="BY16" s="152" t="n">
        <v>25</v>
      </c>
      <c r="BZ16" s="182"/>
      <c r="CA16" s="182"/>
      <c r="CB16" s="182"/>
      <c r="CC16" s="182"/>
      <c r="CD16" s="182"/>
      <c r="CE16" s="182"/>
      <c r="CF16" s="182"/>
      <c r="CG16" s="182"/>
      <c r="CH16" s="182"/>
      <c r="CI16" s="182"/>
      <c r="CJ16" s="182"/>
      <c r="CK16" s="182"/>
      <c r="CL16" s="182"/>
      <c r="CM16" s="182"/>
      <c r="CN16" s="182"/>
      <c r="CO16" s="182"/>
      <c r="CP16" s="132"/>
      <c r="CQ16" s="192" t="n">
        <f aca="false">-SUM(TblConstr[[#This Row],[Alc]:[Mas]])+SUM(TblConstr[[#This Row],[Dest Alc]:[Dest Mas]])+Rezone!L16+IF("Ch_"&amp; home_land=TblConstr[[#Headers],[Ch_Plain]],TblConstr[[#This Row],[Home Land]])+IF(TblConstr[[#This Row],[Hour]:[Hour]]&gt;12,OFFSET(TblExplore[[#This Row],[Plains Explore]],-12,0),0)</f>
        <v>0</v>
      </c>
      <c r="CR16" s="193" t="n">
        <f aca="false">-SUM(TblConstr[[#This Row],[Ly]:[Hav]])+SUM(TblConstr[[#This Row],[Dest Ly]:[Dest Hav]]) +Rezone!M16 + IF("Ch_"&amp; home_land=TblConstr[[#Headers],[Ch_Forest]],TblConstr[[#This Row],[Home Land]])+IF(TblConstr[[#This Row],[Hour]:[Hour]]&gt;12,OFFSET(TblExplore[[#This Row],[Forest Explore]],-12,0),0)</f>
        <v>0</v>
      </c>
      <c r="CS16" s="200" t="n">
        <f aca="false">-SUM(TblConstr[[#This Row],[OM]:[GN]])+SUM(TblConstr[[#This Row],[Dest OM]:[Dest GN]]) +Rezone!N16 + IF("Ch_"&amp; home_land=TblConstr[[#Headers],[Ch_Mountain]],TblConstr[[#This Row],[Home Land]])+IF(TblConstr[[#This Row],[Hour]:[Hour]]&gt;12,OFFSET(TblExplore[[#This Row],[Mountain Explore]],-12,0),0)</f>
        <v>0</v>
      </c>
      <c r="CT16" s="195" t="n">
        <f aca="false">-SUM(TblConstr[[#This Row],[Fac]:[Shr]])+SUM(TblConstr[[#This Row],[Dest Fac]:[Dest Shr]]) +Rezone!O16 + IF("Ch_" &amp; home_land=TblConstr[[#Headers],[Ch_Hill]],TblConstr[[#This Row],[Home Land]])+IF(TblConstr[[#This Row],[Hour]:[Hour]]&gt;12,OFFSET(TblExplore[[#This Row],[Hill Explore]],-12,0),0)</f>
        <v>0</v>
      </c>
      <c r="CU16" s="196" t="n">
        <f aca="false">-SUM(TblConstr[[#This Row],[Tow]:[WG]])+SUM(TblConstr[[#This Row],[Dest Tow]:[Dest WG]]) +Rezone!P16 + IF("Ch_" &amp; home_land=TblConstr[[#Headers],[Ch_Swamp]],TblConstr[[#This Row],[Home Land]])+IF(TblConstr[[#This Row],[Hour]:[Hour]]&gt;12,OFFSET(TblExplore[[#This Row],[Swamp Explore]],-12,0),0)</f>
        <v>0</v>
      </c>
      <c r="CV16" s="197" t="n">
        <f aca="false">- SUM(TblConstr[[#This Row],[DM]:[Sch]])+SUM(TblConstr[[#This Row],[Dest DM]:[Dest Sch]]) +Rezone!Q16 + IF("Ch_" &amp; home_land=TblConstr[[#Headers],[Ch_Cavern]],TblConstr[[#This Row],[Home Land]])+IF(TblConstr[[#This Row],[Hour]:[Hour]]&gt;12,OFFSET(TblExplore[[#This Row],[Cavern Explore]],-12,0),0)</f>
        <v>-20</v>
      </c>
      <c r="CW16" s="198" t="n">
        <f aca="false">-TblConstr[[#This Row],[Doc]]+TblConstr[[#This Row],[Dest Doc]] +Rezone!R16 + IF("Ch_" &amp; home_land=TblConstr[[#Headers],[Ch_Water]],TblConstr[[#This Row],[Home Land]])+IF(TblConstr[[#This Row],[Hour]:[Hour]]&gt;12,OFFSET(TblExplore[[#This Row],[Water Explore]],-12,0),0)</f>
        <v>-10</v>
      </c>
      <c r="CX16" s="1" t="n">
        <f aca="false">IF(Explore!S16=1,20) - TblConstr[[#This Row],[Hom]] + TblConstr[[#This Row],[Dest Hom]]</f>
        <v>10</v>
      </c>
      <c r="CY16" s="132"/>
      <c r="CZ16" s="69" t="n">
        <f aca="false">G16+SUM(P5:S16)+SUM(AZ16:BC16)</f>
        <v>130</v>
      </c>
      <c r="DA16" s="69" t="n">
        <f aca="false">H16+SUM(T5:U16)+SUM(BD16:BE16)</f>
        <v>20</v>
      </c>
      <c r="DB16" s="1" t="n">
        <f aca="false">I16+SUM(V5:W16)+SUM(BF16:BG16)</f>
        <v>0</v>
      </c>
      <c r="DC16" s="69" t="n">
        <f aca="false">J16+SUM(X5:Y16)+SUM(BH16:BI16)</f>
        <v>30</v>
      </c>
      <c r="DD16" s="69" t="n">
        <f aca="false">K16+SUM(AB5:AD16)+SUM(BL16:BN16)</f>
        <v>65</v>
      </c>
      <c r="DE16" s="1" t="n">
        <f aca="false">L16+SUM(AE5:AE16)+BO16</f>
        <v>0</v>
      </c>
      <c r="DF16" s="69" t="n">
        <f aca="false">M16+SUM(AG5:AG16)+BQ16</f>
        <v>5</v>
      </c>
      <c r="DG16" s="69" t="e">
        <f aca="false" t="array" ref="DG16:DG16">INDEX(TblConstr[[Total Plain]:[Total Water]],ROW()-ROW(TblConstr[#headers]),MATCH("Total "&amp;home_land,TblConstr[[#Headers],[Total Plain]:[Total Water]],0))+TblConstr[[#This Row],[Homes]]</f>
        <v>#VALUE!</v>
      </c>
      <c r="DH16" s="1" t="n">
        <f aca="false">SUM(O5:O16)+AY16</f>
        <v>0</v>
      </c>
      <c r="DI16" s="1" t="n">
        <f aca="false">MAX(BA16-BA15,0)</f>
        <v>0</v>
      </c>
      <c r="DJ16" s="1" t="n">
        <f aca="false">MAX(BQ16-BQ15,0)</f>
        <v>0</v>
      </c>
    </row>
    <row r="17" customFormat="false" ht="12.75" hidden="false" customHeight="false" outlineLevel="0" collapsed="false">
      <c r="A17" s="170" t="n">
        <f aca="false">TblRezone[[#This Row],[Hour]]</f>
        <v>14</v>
      </c>
      <c r="B17" s="171" t="n">
        <f aca="false">SUM(TblConstr[[#This Row],[Plain]:[Water]])</f>
        <v>0</v>
      </c>
      <c r="C17" s="172" t="n">
        <f aca="false">SUM(TblConstr[[#This Row],[Tot Hom]:[Tot Doc]])</f>
        <v>185</v>
      </c>
      <c r="D17" s="172" t="n">
        <f aca="false">SUM(O6:AG17)</f>
        <v>65</v>
      </c>
      <c r="E17" s="173"/>
      <c r="F17" s="33" t="n">
        <f aca="false">TblConstr[[#This Row],[Barren]]+TblConstr[[#This Row],[Buildings]]+TblConstr[[#This Row],[Incoming]]</f>
        <v>250</v>
      </c>
      <c r="G17" s="199" t="n">
        <f aca="false">OFFSET(TblConstr[[#This Row],[Plain]],-1,0)+TblConstr[[#This Row],[Ch_Plain]]</f>
        <v>0</v>
      </c>
      <c r="H17" s="193" t="n">
        <f aca="false">OFFSET(TblConstr[[#This Row],[Forest]],-1,0)+TblConstr[[#This Row],[Ch_Forest]]</f>
        <v>0</v>
      </c>
      <c r="I17" s="200" t="n">
        <f aca="false">OFFSET(TblConstr[[#This Row],[Mountain]],-1,0)+TblConstr[[#This Row],[Ch_Mountain]]</f>
        <v>0</v>
      </c>
      <c r="J17" s="201" t="n">
        <f aca="false">OFFSET(TblConstr[[#This Row],[Hill]],-1,0)+TblConstr[[#This Row],[Ch_Hill]]</f>
        <v>0</v>
      </c>
      <c r="K17" s="202" t="n">
        <f aca="false">OFFSET(TblConstr[[#This Row],[Swamp]],-1,0)+TblConstr[[#This Row],[Ch_Swamp]]</f>
        <v>0</v>
      </c>
      <c r="L17" s="197" t="n">
        <f aca="false">OFFSET(TblConstr[[#This Row],[Cavern]],-1,0)+TblConstr[[#This Row],[Ch_Cavern]]</f>
        <v>0</v>
      </c>
      <c r="M17" s="198" t="n">
        <f aca="false">OFFSET(TblConstr[[#This Row],[Water]],-1,0)+TblConstr[[#This Row],[Ch_Water]]</f>
        <v>0</v>
      </c>
      <c r="N17" s="181" t="n">
        <f aca="false">TblRezone[[#This Row],[Hour]]</f>
        <v>14</v>
      </c>
      <c r="O17" s="182"/>
      <c r="P17" s="182"/>
      <c r="Q17" s="182"/>
      <c r="R17" s="182"/>
      <c r="S17" s="182"/>
      <c r="T17" s="182"/>
      <c r="U17" s="182"/>
      <c r="V17" s="182"/>
      <c r="W17" s="182"/>
      <c r="X17" s="152"/>
      <c r="Y17" s="182"/>
      <c r="Z17" s="182"/>
      <c r="AA17" s="182"/>
      <c r="AB17" s="182"/>
      <c r="AC17" s="182"/>
      <c r="AD17" s="182"/>
      <c r="AE17" s="182"/>
      <c r="AF17" s="182"/>
      <c r="AG17" s="182"/>
      <c r="AH17" s="20" t="n">
        <f aca="false">TblImps[[#This Row],[Time]]</f>
        <v>45430.2916666667</v>
      </c>
      <c r="AI17" s="130" t="n">
        <f aca="false">MIN(25%,(TblConstr[[#This Row],[Tot Fac]]+TblConstr[[#This Row],[Dest Fac]])/(TblConstr[[#This Row],[Land]]-TblExplore[[#This Row],[Land Bonus]]*20))</f>
        <v>0.112</v>
      </c>
      <c r="AJ17" s="130" t="n">
        <f aca="false">MIN(25%,(TblConstr[[#This Row],[Tot Fac]]+TblConstr[[#This Row],[Dest Fac]])/TblConstr[[#This Row],[Land]])</f>
        <v>0.112</v>
      </c>
      <c r="AK17" s="69" t="n">
        <f aca="false">TblProd[[#This Row],[Platinum]]</f>
        <v>35376</v>
      </c>
      <c r="AL17" s="69" t="n">
        <f aca="false">TblProd[[#This Row],[Lumber]]</f>
        <v>907</v>
      </c>
      <c r="AM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7" s="69" t="n">
        <f aca="false">ROUNDDOWN( MAX(1 - MIN(facs_constr_factor*TblConstr[[#This Row],[Facs -DB]],facs_constr_max) + tech_1_11*TblTech[[#This Row],[11-1]] + tech_6_3_2*TblTech[[#This Row],[6-3]] + tech_5_2_3*TblTech[[#This Row],[5-2]], 1-global_constr_cap) * TblConstr[[#This Row],[RCPA Lumber]],0)</f>
        <v>44</v>
      </c>
      <c r="AO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7" s="69" t="n">
        <f aca="false">ROUNDDOWN( MAX(1 - MIN(facs_constr_factor*TblConstr[[#This Row],[Facs DB]],facs_constr_max) + tech_1_11*TblTech[[#This Row],[1-11]] + tech_6_3_2*TblTech[[#This Row],[6-3]] + tech_5_2_3*TblTech[[#This Row],[5-2]], 1-global_constr_cap) * ROUND((TblConstr[[#This Row],[Land]]-250)*0.285 + 87.5 + 0/4.25,0),0)</f>
        <v>44</v>
      </c>
      <c r="AQ17" s="1" t="n">
        <f aca="false">TblConstr[[#This Row],[build -db]]*TblConstr[[#This Row],[CPA Platinum -DB]] + TblConstr[[#This Row],[build db]]*TblConstr[[#This Row],[CPA Platinum DB]]</f>
        <v>0</v>
      </c>
      <c r="AR17" s="1" t="n">
        <f aca="false">TblConstr[[#This Row],[build -db]]*TblConstr[[#This Row],[CPA Lumber -DB]]+TblConstr[[#This Row],[build db]]*TblConstr[[#This Row],[CPA Lumber DB]]</f>
        <v>0</v>
      </c>
      <c r="AS17" s="69" t="n">
        <f aca="false">MIN(SUM(OFFSET(TblConstr[[#This Row],[Plain]:[Water]],-1,0))+SUM(TblConstr[[#This Row],[Dest Hom]:[Dest Doc]])+IF(TblConstr[[#This Row],[Hour]]&gt;12,SUM(OFFSET(TblExplore[[#This Row],[Plains Explore]:[Water Explore]],-12,0)),0),SUM(TblConstr[[#This Row],[Hom]:[Doc]]))</f>
        <v>0</v>
      </c>
      <c r="AT1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46"/>
      <c r="AV17" s="69" t="n">
        <f aca="false">ROUND((TblConstr[[#This Row],[Land]]-250 - IF(TblExplore[[#This Row],[Land Bonus]]&lt;&gt;0,20,0))*1.25 + 850 + 0,0)</f>
        <v>850</v>
      </c>
      <c r="AW17" s="69" t="n">
        <f aca="false">ROUND((TblConstr[[#This Row],[Land]]-250 - IF(TblExplore[[#This Row],[Land Bonus]]&lt;&gt;0,20,0))*0.285 + 87.5 + 0/4.25,0)</f>
        <v>88</v>
      </c>
      <c r="AX17" s="146"/>
      <c r="AY17" s="203" t="n">
        <f aca="false" t="array" ref="AY17:AY17">IF(TblConstr[[#This Row],[Hour]:[Hour]]&gt;12,OFFSET(TblConstr[[#This Row],[Hom]],-12,0),0)+OFFSET(TblConstr[[#This Row],[Tot Hom]],-1,0)-TblConstr[[#This Row],[Dest Hom]]</f>
        <v>0</v>
      </c>
      <c r="AZ17" s="204" t="n">
        <f aca="false" t="array" ref="AZ17:AZ17">IF(TblConstr[[#This Row],[Hour]:[Hour]]&gt;12,OFFSET(TblConstr[[#This Row],[Alc]],-12,0),0)+OFFSET(TblConstr[[#This Row],[Tot Alc]],-1,0)-TblConstr[[#This Row],[Dest Alc]]</f>
        <v>70</v>
      </c>
      <c r="BA17" s="204" t="n">
        <f aca="false" t="array" ref="BA17:BA17">IF(TblConstr[[#This Row],[Hour]:[Hour]]&gt;12,OFFSET(TblConstr[[#This Row],[Far]],-12,0),0)+OFFSET(TblConstr[[#This Row],[Tot Farm]],-1,0)-TblConstr[[#This Row],[Dest Farm]]</f>
        <v>5</v>
      </c>
      <c r="BB17" s="204" t="n">
        <f aca="false" t="array" ref="BB17:BB17">IF(TblConstr[[#This Row],[Hour]:[Hour]]&gt;12,OFFSET(TblConstr[[#This Row],[Smi]],-12,0),0)+OFFSET(TblConstr[[#This Row],[Tot Smi]],-1,0)-TblConstr[[#This Row],[Dest Smi]]</f>
        <v>0</v>
      </c>
      <c r="BC17" s="204" t="n">
        <f aca="false" t="array" ref="BC17:BC17">IF(TblConstr[[#This Row],[Hour]:[Hour]]&gt;12,OFFSET(TblConstr[[#This Row],[Mas]],-12,0),0)+OFFSET(TblConstr[[#This Row],[Tot Mas]],-1,0)-TblConstr[[#This Row],[Dest Mas]]</f>
        <v>0</v>
      </c>
      <c r="BD17" s="205" t="n">
        <f aca="false" t="array" ref="BD17:BD17">IF(TblConstr[[#This Row],[Hour]:[Hour]]&gt;12,OFFSET(TblConstr[[#This Row],[Ly]],-12,0),0)+OFFSET(TblConstr[[#This Row],[Tot Ly]],-1,0)-TblConstr[[#This Row],[Dest Ly]]</f>
        <v>20</v>
      </c>
      <c r="BE17" s="205" t="n">
        <f aca="false" t="array" ref="BE17:BE17">IF(TblConstr[[#This Row],[Hour]:[Hour]]&gt;12,OFFSET(TblConstr[[#This Row],[Hav]],-12,0),0)+OFFSET(TblConstr[[#This Row],[Tot Hav]],-1,0)-TblConstr[[#This Row],[Dest Hav]]</f>
        <v>0</v>
      </c>
      <c r="BF17" s="194" t="n">
        <f aca="false" t="array" ref="BF17:BF17">IF(TblConstr[[#This Row],[Hour]:[Hour]]&gt;12,OFFSET(TblConstr[[#This Row],[OM]],-12,0),0)+OFFSET(TblConstr[[#This Row],[Tot OM]],-1,0)-TblConstr[[#This Row],[Dest OM]]</f>
        <v>0</v>
      </c>
      <c r="BG17" s="194" t="n">
        <f aca="false" t="array" ref="BG17:BG17">IF(TblConstr[[#This Row],[Hour]:[Hour]]&gt;12,OFFSET(TblConstr[[#This Row],[GN]],-12,0),0)+OFFSET(TblConstr[[#This Row],[Tot GN]],-1,0)-TblConstr[[#This Row],[Dest GN]]</f>
        <v>0</v>
      </c>
      <c r="BH17" s="206" t="n">
        <f aca="false" t="array" ref="BH17:BH17">IF(TblConstr[[#This Row],[Hour]:[Hour]]&gt;12,OFFSET(TblConstr[[#This Row],[Fac]],-12,0),0)+OFFSET(TblConstr[[#This Row],[Tot Fac]],-1,0)-TblConstr[[#This Row],[Dest Fac]]</f>
        <v>28</v>
      </c>
      <c r="BI17" s="206" t="n">
        <f aca="false" t="array" ref="BI17:BI17">IF(TblConstr[[#This Row],[Hour]:[Hour]]&gt;12,OFFSET(TblConstr[[#This Row],[GT]],-12,0),0)+OFFSET(TblConstr[[#This Row],[Tot GT]],-1,0)-TblConstr[[#This Row],[Dest GT]]</f>
        <v>0</v>
      </c>
      <c r="BJ17" s="206" t="n">
        <f aca="false" t="array" ref="BJ17:BJ17">IF(TblConstr[[#This Row],[Hour]:[Hour]]&gt;12,OFFSET(TblConstr[[#This Row],[Bar]],-12,0),0)+OFFSET(TblConstr[[#This Row],[Tot Bar]],-1,0)-TblConstr[[#This Row],[Dest Bar]]</f>
        <v>0</v>
      </c>
      <c r="BK17" s="206" t="n">
        <f aca="false" t="array" ref="BK17:BK17">IF(TblConstr[[#This Row],[Hour]:[Hour]]&gt;12,OFFSET(TblConstr[[#This Row],[Shr]],-12,0),0)+OFFSET(TblConstr[[#This Row],[Tot Shr]],-1,0)-TblConstr[[#This Row],[Dest Shr]]</f>
        <v>0</v>
      </c>
      <c r="BL17" s="207" t="n">
        <f aca="false" t="array" ref="BL17:BL17">IF(TblConstr[[#This Row],[Hour]:[Hour]]&gt;12,OFFSET(TblConstr[[#This Row],[Tow]],-12,0),0)+OFFSET(TblConstr[[#This Row],[Tot Tow]],-1,0)-TblConstr[[#This Row],[Dest Tow]]</f>
        <v>15</v>
      </c>
      <c r="BM17" s="207" t="n">
        <f aca="false" t="array" ref="BM17:BM17">IF(TblConstr[[#This Row],[Hour]:[Hour]]&gt;12,OFFSET(TblConstr[[#This Row],[Tem]],-12,0),0)+OFFSET(TblConstr[[#This Row],[Tot Tem]],-1,0)-TblConstr[[#This Row],[Dest Tem]]</f>
        <v>47</v>
      </c>
      <c r="BN17" s="207" t="n">
        <f aca="false" t="array" ref="BN17:BN17">IF(TblConstr[[#This Row],[Hour]:[Hour]]&gt;12,OFFSET(TblConstr[[#This Row],[WG]],-12,0),0)+OFFSET(TblConstr[[#This Row],[Tot WG]],-1,0)-TblConstr[[#This Row],[Dest WG]]</f>
        <v>0</v>
      </c>
      <c r="BO17" s="208" t="n">
        <f aca="false" t="array" ref="BO17:BO17">IF(TblConstr[[#This Row],[Hour]:[Hour]]&gt;12,OFFSET(TblConstr[[#This Row],[DM]],-12,0),0)+OFFSET(TblConstr[[#This Row],[Tot DM]],-1,0)-TblConstr[[#This Row],[Dest DM]]</f>
        <v>0</v>
      </c>
      <c r="BP17" s="208" t="n">
        <f aca="false" t="array" ref="BP17:BP17">IF(TblConstr[[#This Row],[Hour]:[Hour]]&gt;12,OFFSET(TblConstr[[#This Row],[Sch]],-12,0),0)+OFFSET(TblConstr[[#This Row],[Tot Sch]],-1,0)-TblConstr[[#This Row],[Dest Sch]]</f>
        <v>0</v>
      </c>
      <c r="BQ17" s="209" t="n">
        <f aca="false" t="array" ref="BQ17:BQ17">IF(TblConstr[[#This Row],[Hour]:[Hour]]&gt;12,OFFSET(TblConstr[[#This Row],[Doc]],-12,0),0)+OFFSET(TblConstr[[#This Row],[Tot Doc]],-1,0)-TblConstr[[#This Row],[Dest Doc]]</f>
        <v>0</v>
      </c>
      <c r="BR17" s="132"/>
      <c r="BS17" s="146"/>
      <c r="BT17" s="69" t="n">
        <f aca="false">TblConstr[[#This Row],[Land]]</f>
        <v>250</v>
      </c>
      <c r="BU17" s="153" t="n">
        <f aca="false">TblImps[[#This Row],[Time]]</f>
        <v>45430.2916666667</v>
      </c>
      <c r="BV17" s="132"/>
      <c r="BW17" s="182"/>
      <c r="BX17" s="182"/>
      <c r="BY17" s="182"/>
      <c r="BZ17" s="182"/>
      <c r="CA17" s="182"/>
      <c r="CB17" s="182"/>
      <c r="CC17" s="182"/>
      <c r="CD17" s="182"/>
      <c r="CE17" s="182"/>
      <c r="CF17" s="182"/>
      <c r="CG17" s="182"/>
      <c r="CH17" s="182"/>
      <c r="CI17" s="182"/>
      <c r="CJ17" s="182"/>
      <c r="CK17" s="182"/>
      <c r="CL17" s="182"/>
      <c r="CM17" s="182"/>
      <c r="CN17" s="182"/>
      <c r="CO17" s="182"/>
      <c r="CP17" s="132"/>
      <c r="CQ17" s="192" t="n">
        <f aca="false">-SUM(TblConstr[[#This Row],[Alc]:[Mas]])+SUM(TblConstr[[#This Row],[Dest Alc]:[Dest Mas]])+Rezone!L17+IF("Ch_"&amp; home_land=TblConstr[[#Headers],[Ch_Plain]],TblConstr[[#This Row],[Home Land]])+IF(TblConstr[[#This Row],[Hour]:[Hour]]&gt;12,OFFSET(TblExplore[[#This Row],[Plains Explore]],-12,0),0)</f>
        <v>0</v>
      </c>
      <c r="CR17" s="193" t="n">
        <f aca="false">-SUM(TblConstr[[#This Row],[Ly]:[Hav]])+SUM(TblConstr[[#This Row],[Dest Ly]:[Dest Hav]]) +Rezone!M17 + IF("Ch_"&amp; home_land=TblConstr[[#Headers],[Ch_Forest]],TblConstr[[#This Row],[Home Land]])+IF(TblConstr[[#This Row],[Hour]:[Hour]]&gt;12,OFFSET(TblExplore[[#This Row],[Forest Explore]],-12,0),0)</f>
        <v>0</v>
      </c>
      <c r="CS17" s="200" t="n">
        <f aca="false">-SUM(TblConstr[[#This Row],[OM]:[GN]])+SUM(TblConstr[[#This Row],[Dest OM]:[Dest GN]]) +Rezone!N17 + IF("Ch_"&amp; home_land=TblConstr[[#Headers],[Ch_Mountain]],TblConstr[[#This Row],[Home Land]])+IF(TblConstr[[#This Row],[Hour]:[Hour]]&gt;12,OFFSET(TblExplore[[#This Row],[Mountain Explore]],-12,0),0)</f>
        <v>0</v>
      </c>
      <c r="CT17" s="195" t="n">
        <f aca="false">-SUM(TblConstr[[#This Row],[Fac]:[Shr]])+SUM(TblConstr[[#This Row],[Dest Fac]:[Dest Shr]]) +Rezone!O17 + IF("Ch_" &amp; home_land=TblConstr[[#Headers],[Ch_Hill]],TblConstr[[#This Row],[Home Land]])+IF(TblConstr[[#This Row],[Hour]:[Hour]]&gt;12,OFFSET(TblExplore[[#This Row],[Hill Explore]],-12,0),0)</f>
        <v>0</v>
      </c>
      <c r="CU17" s="196" t="n">
        <f aca="false">-SUM(TblConstr[[#This Row],[Tow]:[WG]])+SUM(TblConstr[[#This Row],[Dest Tow]:[Dest WG]]) +Rezone!P17 + IF("Ch_" &amp; home_land=TblConstr[[#Headers],[Ch_Swamp]],TblConstr[[#This Row],[Home Land]])+IF(TblConstr[[#This Row],[Hour]:[Hour]]&gt;12,OFFSET(TblExplore[[#This Row],[Swamp Explore]],-12,0),0)</f>
        <v>0</v>
      </c>
      <c r="CV17" s="197" t="n">
        <f aca="false">- SUM(TblConstr[[#This Row],[DM]:[Sch]])+SUM(TblConstr[[#This Row],[Dest DM]:[Dest Sch]]) +Rezone!Q17 + IF("Ch_" &amp; home_land=TblConstr[[#Headers],[Ch_Cavern]],TblConstr[[#This Row],[Home Land]])+IF(TblConstr[[#This Row],[Hour]:[Hour]]&gt;12,OFFSET(TblExplore[[#This Row],[Cavern Explore]],-12,0),0)</f>
        <v>0</v>
      </c>
      <c r="CW17" s="198" t="n">
        <f aca="false">-TblConstr[[#This Row],[Doc]]+TblConstr[[#This Row],[Dest Doc]] +Rezone!R17 + IF("Ch_" &amp; home_land=TblConstr[[#Headers],[Ch_Water]],TblConstr[[#This Row],[Home Land]])+IF(TblConstr[[#This Row],[Hour]:[Hour]]&gt;12,OFFSET(TblExplore[[#This Row],[Water Explore]],-12,0),0)</f>
        <v>0</v>
      </c>
      <c r="CX17" s="1" t="n">
        <f aca="false">IF(Explore!S17=1,20) - TblConstr[[#This Row],[Hom]] + TblConstr[[#This Row],[Dest Hom]]</f>
        <v>0</v>
      </c>
      <c r="CY17" s="132"/>
      <c r="CZ17" s="69" t="n">
        <f aca="false">G17+SUM(P6:S17)+SUM(AZ17:BC17)</f>
        <v>130</v>
      </c>
      <c r="DA17" s="69" t="n">
        <f aca="false">H17+SUM(T6:U17)+SUM(BD17:BE17)</f>
        <v>20</v>
      </c>
      <c r="DB17" s="1" t="n">
        <f aca="false">I17+SUM(V6:W17)+SUM(BF17:BG17)</f>
        <v>0</v>
      </c>
      <c r="DC17" s="69" t="n">
        <f aca="false">J17+SUM(X6:Y17)+SUM(BH17:BI17)</f>
        <v>30</v>
      </c>
      <c r="DD17" s="69" t="n">
        <f aca="false">K17+SUM(AB6:AD17)+SUM(BL17:BN17)</f>
        <v>65</v>
      </c>
      <c r="DE17" s="1" t="n">
        <f aca="false">L17+SUM(AE6:AE17)+BO17</f>
        <v>0</v>
      </c>
      <c r="DF17" s="69" t="n">
        <f aca="false">M17+SUM(AG6:AG17)+BQ17</f>
        <v>5</v>
      </c>
      <c r="DG17" s="69" t="e">
        <f aca="false" t="array" ref="DG17:DG17">INDEX(TblConstr[[Total Plain]:[Total Water]],ROW()-ROW(TblConstr[#headers]),MATCH("Total "&amp;home_land,TblConstr[[#Headers],[Total Plain]:[Total Water]],0))+TblConstr[[#This Row],[Homes]]</f>
        <v>#VALUE!</v>
      </c>
      <c r="DH17" s="1" t="n">
        <f aca="false">SUM(O6:O17)+AY17</f>
        <v>0</v>
      </c>
      <c r="DI17" s="1" t="n">
        <f aca="false">MAX(BA17-BA16,0)</f>
        <v>0</v>
      </c>
      <c r="DJ17" s="1" t="n">
        <f aca="false">MAX(BQ17-BQ16,0)</f>
        <v>0</v>
      </c>
    </row>
    <row r="18" customFormat="false" ht="12.75" hidden="false" customHeight="false" outlineLevel="0" collapsed="false">
      <c r="A18" s="170" t="n">
        <f aca="false">TblRezone[[#This Row],[Hour]]</f>
        <v>15</v>
      </c>
      <c r="B18" s="171" t="n">
        <f aca="false">SUM(TblConstr[[#This Row],[Plain]:[Water]])</f>
        <v>0</v>
      </c>
      <c r="C18" s="172" t="n">
        <f aca="false">SUM(TblConstr[[#This Row],[Tot Hom]:[Tot Doc]])</f>
        <v>185</v>
      </c>
      <c r="D18" s="172" t="n">
        <f aca="false">SUM(O7:AG18)</f>
        <v>65</v>
      </c>
      <c r="E18" s="173"/>
      <c r="F18" s="33" t="n">
        <f aca="false">TblConstr[[#This Row],[Barren]]+TblConstr[[#This Row],[Buildings]]+TblConstr[[#This Row],[Incoming]]</f>
        <v>250</v>
      </c>
      <c r="G18" s="199" t="n">
        <f aca="false">OFFSET(TblConstr[[#This Row],[Plain]],-1,0)+TblConstr[[#This Row],[Ch_Plain]]</f>
        <v>0</v>
      </c>
      <c r="H18" s="193" t="n">
        <f aca="false">OFFSET(TblConstr[[#This Row],[Forest]],-1,0)+TblConstr[[#This Row],[Ch_Forest]]</f>
        <v>0</v>
      </c>
      <c r="I18" s="200" t="n">
        <f aca="false">OFFSET(TblConstr[[#This Row],[Mountain]],-1,0)+TblConstr[[#This Row],[Ch_Mountain]]</f>
        <v>0</v>
      </c>
      <c r="J18" s="201" t="n">
        <f aca="false">OFFSET(TblConstr[[#This Row],[Hill]],-1,0)+TblConstr[[#This Row],[Ch_Hill]]</f>
        <v>0</v>
      </c>
      <c r="K18" s="202" t="n">
        <f aca="false">OFFSET(TblConstr[[#This Row],[Swamp]],-1,0)+TblConstr[[#This Row],[Ch_Swamp]]</f>
        <v>0</v>
      </c>
      <c r="L18" s="197" t="n">
        <f aca="false">OFFSET(TblConstr[[#This Row],[Cavern]],-1,0)+TblConstr[[#This Row],[Ch_Cavern]]</f>
        <v>0</v>
      </c>
      <c r="M18" s="198" t="n">
        <f aca="false">OFFSET(TblConstr[[#This Row],[Water]],-1,0)+TblConstr[[#This Row],[Ch_Water]]</f>
        <v>0</v>
      </c>
      <c r="N18" s="181" t="n">
        <f aca="false">TblRezone[[#This Row],[Hour]]</f>
        <v>15</v>
      </c>
      <c r="O18" s="182"/>
      <c r="P18" s="182"/>
      <c r="Q18" s="182"/>
      <c r="R18" s="182"/>
      <c r="S18" s="182"/>
      <c r="T18" s="182"/>
      <c r="U18" s="182"/>
      <c r="V18" s="182"/>
      <c r="W18" s="182"/>
      <c r="X18" s="182"/>
      <c r="Y18" s="182"/>
      <c r="Z18" s="182"/>
      <c r="AA18" s="182"/>
      <c r="AB18" s="182"/>
      <c r="AC18" s="182"/>
      <c r="AD18" s="182"/>
      <c r="AE18" s="182"/>
      <c r="AF18" s="182"/>
      <c r="AG18" s="182"/>
      <c r="AH18" s="20" t="n">
        <f aca="false">TblImps[[#This Row],[Time]]</f>
        <v>45430.3333333333</v>
      </c>
      <c r="AI18" s="130" t="n">
        <f aca="false">MIN(25%,(TblConstr[[#This Row],[Tot Fac]]+TblConstr[[#This Row],[Dest Fac]])/(TblConstr[[#This Row],[Land]]-TblExplore[[#This Row],[Land Bonus]]*20))</f>
        <v>0.112</v>
      </c>
      <c r="AJ18" s="130" t="n">
        <f aca="false">MIN(25%,(TblConstr[[#This Row],[Tot Fac]]+TblConstr[[#This Row],[Dest Fac]])/TblConstr[[#This Row],[Land]])</f>
        <v>0.112</v>
      </c>
      <c r="AK18" s="69" t="n">
        <f aca="false">TblProd[[#This Row],[Platinum]]</f>
        <v>43350</v>
      </c>
      <c r="AL18" s="69" t="n">
        <f aca="false">TblProd[[#This Row],[Lumber]]</f>
        <v>1798</v>
      </c>
      <c r="AM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8" s="69" t="n">
        <f aca="false">ROUNDDOWN( MAX(1 - MIN(facs_constr_factor*TblConstr[[#This Row],[Facs -DB]],facs_constr_max) + tech_1_11*TblTech[[#This Row],[11-1]] + tech_6_3_2*TblTech[[#This Row],[6-3]] + tech_5_2_3*TblTech[[#This Row],[5-2]], 1-global_constr_cap) * TblConstr[[#This Row],[RCPA Lumber]],0)</f>
        <v>44</v>
      </c>
      <c r="AO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8" s="69" t="n">
        <f aca="false">ROUNDDOWN( MAX(1 - MIN(facs_constr_factor*TblConstr[[#This Row],[Facs DB]],facs_constr_max) + tech_1_11*TblTech[[#This Row],[1-11]] + tech_6_3_2*TblTech[[#This Row],[6-3]] + tech_5_2_3*TblTech[[#This Row],[5-2]], 1-global_constr_cap) * ROUND((TblConstr[[#This Row],[Land]]-250)*0.285 + 87.5 + 0/4.25,0),0)</f>
        <v>44</v>
      </c>
      <c r="AQ18" s="1" t="n">
        <f aca="false">TblConstr[[#This Row],[build -db]]*TblConstr[[#This Row],[CPA Platinum -DB]] + TblConstr[[#This Row],[build db]]*TblConstr[[#This Row],[CPA Platinum DB]]</f>
        <v>0</v>
      </c>
      <c r="AR18" s="1" t="n">
        <f aca="false">TblConstr[[#This Row],[build -db]]*TblConstr[[#This Row],[CPA Lumber -DB]]+TblConstr[[#This Row],[build db]]*TblConstr[[#This Row],[CPA Lumber DB]]</f>
        <v>0</v>
      </c>
      <c r="AS18" s="69" t="n">
        <f aca="false">MIN(SUM(OFFSET(TblConstr[[#This Row],[Plain]:[Water]],-1,0))+SUM(TblConstr[[#This Row],[Dest Hom]:[Dest Doc]])+IF(TblConstr[[#This Row],[Hour]]&gt;12,SUM(OFFSET(TblExplore[[#This Row],[Plains Explore]:[Water Explore]],-12,0)),0),SUM(TblConstr[[#This Row],[Hom]:[Doc]]))</f>
        <v>0</v>
      </c>
      <c r="AT1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32"/>
      <c r="AV18" s="69" t="n">
        <f aca="false">ROUND((TblConstr[[#This Row],[Land]]-250 - IF(TblExplore[[#This Row],[Land Bonus]]&lt;&gt;0,20,0))*1.25 + 850 + 0,0)</f>
        <v>850</v>
      </c>
      <c r="AW18" s="69" t="n">
        <f aca="false">ROUND((TblConstr[[#This Row],[Land]]-250 - IF(TblExplore[[#This Row],[Land Bonus]]&lt;&gt;0,20,0))*0.285 + 87.5 + 0/4.25,0)</f>
        <v>88</v>
      </c>
      <c r="AX18" s="146"/>
      <c r="AY18" s="203" t="n">
        <f aca="false" t="array" ref="AY18:AY18">IF(TblConstr[[#This Row],[Hour]:[Hour]]&gt;12,OFFSET(TblConstr[[#This Row],[Hom]],-12,0),0)+OFFSET(TblConstr[[#This Row],[Tot Hom]],-1,0)-TblConstr[[#This Row],[Dest Hom]]</f>
        <v>0</v>
      </c>
      <c r="AZ18" s="204" t="n">
        <f aca="false" t="array" ref="AZ18:AZ18">IF(TblConstr[[#This Row],[Hour]:[Hour]]&gt;12,OFFSET(TblConstr[[#This Row],[Alc]],-12,0),0)+OFFSET(TblConstr[[#This Row],[Tot Alc]],-1,0)-TblConstr[[#This Row],[Dest Alc]]</f>
        <v>70</v>
      </c>
      <c r="BA18" s="204" t="n">
        <f aca="false" t="array" ref="BA18:BA18">IF(TblConstr[[#This Row],[Hour]:[Hour]]&gt;12,OFFSET(TblConstr[[#This Row],[Far]],-12,0),0)+OFFSET(TblConstr[[#This Row],[Tot Farm]],-1,0)-TblConstr[[#This Row],[Dest Farm]]</f>
        <v>5</v>
      </c>
      <c r="BB18" s="204" t="n">
        <f aca="false" t="array" ref="BB18:BB18">IF(TblConstr[[#This Row],[Hour]:[Hour]]&gt;12,OFFSET(TblConstr[[#This Row],[Smi]],-12,0),0)+OFFSET(TblConstr[[#This Row],[Tot Smi]],-1,0)-TblConstr[[#This Row],[Dest Smi]]</f>
        <v>0</v>
      </c>
      <c r="BC18" s="204" t="n">
        <f aca="false" t="array" ref="BC18:BC18">IF(TblConstr[[#This Row],[Hour]:[Hour]]&gt;12,OFFSET(TblConstr[[#This Row],[Mas]],-12,0),0)+OFFSET(TblConstr[[#This Row],[Tot Mas]],-1,0)-TblConstr[[#This Row],[Dest Mas]]</f>
        <v>0</v>
      </c>
      <c r="BD18" s="205" t="n">
        <f aca="false" t="array" ref="BD18:BD18">IF(TblConstr[[#This Row],[Hour]:[Hour]]&gt;12,OFFSET(TblConstr[[#This Row],[Ly]],-12,0),0)+OFFSET(TblConstr[[#This Row],[Tot Ly]],-1,0)-TblConstr[[#This Row],[Dest Ly]]</f>
        <v>20</v>
      </c>
      <c r="BE18" s="205" t="n">
        <f aca="false" t="array" ref="BE18:BE18">IF(TblConstr[[#This Row],[Hour]:[Hour]]&gt;12,OFFSET(TblConstr[[#This Row],[Hav]],-12,0),0)+OFFSET(TblConstr[[#This Row],[Tot Hav]],-1,0)-TblConstr[[#This Row],[Dest Hav]]</f>
        <v>0</v>
      </c>
      <c r="BF18" s="194" t="n">
        <f aca="false" t="array" ref="BF18:BF18">IF(TblConstr[[#This Row],[Hour]:[Hour]]&gt;12,OFFSET(TblConstr[[#This Row],[OM]],-12,0),0)+OFFSET(TblConstr[[#This Row],[Tot OM]],-1,0)-TblConstr[[#This Row],[Dest OM]]</f>
        <v>0</v>
      </c>
      <c r="BG18" s="194" t="n">
        <f aca="false" t="array" ref="BG18:BG18">IF(TblConstr[[#This Row],[Hour]:[Hour]]&gt;12,OFFSET(TblConstr[[#This Row],[GN]],-12,0),0)+OFFSET(TblConstr[[#This Row],[Tot GN]],-1,0)-TblConstr[[#This Row],[Dest GN]]</f>
        <v>0</v>
      </c>
      <c r="BH18" s="206" t="n">
        <f aca="false" t="array" ref="BH18:BH18">IF(TblConstr[[#This Row],[Hour]:[Hour]]&gt;12,OFFSET(TblConstr[[#This Row],[Fac]],-12,0),0)+OFFSET(TblConstr[[#This Row],[Tot Fac]],-1,0)-TblConstr[[#This Row],[Dest Fac]]</f>
        <v>28</v>
      </c>
      <c r="BI18" s="206" t="n">
        <f aca="false" t="array" ref="BI18:BI18">IF(TblConstr[[#This Row],[Hour]:[Hour]]&gt;12,OFFSET(TblConstr[[#This Row],[GT]],-12,0),0)+OFFSET(TblConstr[[#This Row],[Tot GT]],-1,0)-TblConstr[[#This Row],[Dest GT]]</f>
        <v>0</v>
      </c>
      <c r="BJ18" s="206" t="n">
        <f aca="false" t="array" ref="BJ18:BJ18">IF(TblConstr[[#This Row],[Hour]:[Hour]]&gt;12,OFFSET(TblConstr[[#This Row],[Bar]],-12,0),0)+OFFSET(TblConstr[[#This Row],[Tot Bar]],-1,0)-TblConstr[[#This Row],[Dest Bar]]</f>
        <v>0</v>
      </c>
      <c r="BK18" s="206" t="n">
        <f aca="false" t="array" ref="BK18:BK18">IF(TblConstr[[#This Row],[Hour]:[Hour]]&gt;12,OFFSET(TblConstr[[#This Row],[Shr]],-12,0),0)+OFFSET(TblConstr[[#This Row],[Tot Shr]],-1,0)-TblConstr[[#This Row],[Dest Shr]]</f>
        <v>0</v>
      </c>
      <c r="BL18" s="207" t="n">
        <f aca="false" t="array" ref="BL18:BL18">IF(TblConstr[[#This Row],[Hour]:[Hour]]&gt;12,OFFSET(TblConstr[[#This Row],[Tow]],-12,0),0)+OFFSET(TblConstr[[#This Row],[Tot Tow]],-1,0)-TblConstr[[#This Row],[Dest Tow]]</f>
        <v>15</v>
      </c>
      <c r="BM18" s="207" t="n">
        <f aca="false" t="array" ref="BM18:BM18">IF(TblConstr[[#This Row],[Hour]:[Hour]]&gt;12,OFFSET(TblConstr[[#This Row],[Tem]],-12,0),0)+OFFSET(TblConstr[[#This Row],[Tot Tem]],-1,0)-TblConstr[[#This Row],[Dest Tem]]</f>
        <v>47</v>
      </c>
      <c r="BN18" s="207" t="n">
        <f aca="false" t="array" ref="BN18:BN18">IF(TblConstr[[#This Row],[Hour]:[Hour]]&gt;12,OFFSET(TblConstr[[#This Row],[WG]],-12,0),0)+OFFSET(TblConstr[[#This Row],[Tot WG]],-1,0)-TblConstr[[#This Row],[Dest WG]]</f>
        <v>0</v>
      </c>
      <c r="BO18" s="208" t="n">
        <f aca="false" t="array" ref="BO18:BO18">IF(TblConstr[[#This Row],[Hour]:[Hour]]&gt;12,OFFSET(TblConstr[[#This Row],[DM]],-12,0),0)+OFFSET(TblConstr[[#This Row],[Tot DM]],-1,0)-TblConstr[[#This Row],[Dest DM]]</f>
        <v>0</v>
      </c>
      <c r="BP18" s="208" t="n">
        <f aca="false" t="array" ref="BP18:BP18">IF(TblConstr[[#This Row],[Hour]:[Hour]]&gt;12,OFFSET(TblConstr[[#This Row],[Sch]],-12,0),0)+OFFSET(TblConstr[[#This Row],[Tot Sch]],-1,0)-TblConstr[[#This Row],[Dest Sch]]</f>
        <v>0</v>
      </c>
      <c r="BQ18" s="209" t="n">
        <f aca="false" t="array" ref="BQ18:BQ18">IF(TblConstr[[#This Row],[Hour]:[Hour]]&gt;12,OFFSET(TblConstr[[#This Row],[Doc]],-12,0),0)+OFFSET(TblConstr[[#This Row],[Tot Doc]],-1,0)-TblConstr[[#This Row],[Dest Doc]]</f>
        <v>0</v>
      </c>
      <c r="BR18" s="132"/>
      <c r="BS18" s="146"/>
      <c r="BT18" s="69" t="n">
        <f aca="false">TblConstr[[#This Row],[Land]]</f>
        <v>250</v>
      </c>
      <c r="BU18" s="153" t="n">
        <f aca="false">TblImps[[#This Row],[Time]]</f>
        <v>45430.3333333333</v>
      </c>
      <c r="BV18" s="132"/>
      <c r="BW18" s="182"/>
      <c r="BX18" s="182"/>
      <c r="BY18" s="182"/>
      <c r="BZ18" s="182"/>
      <c r="CA18" s="182"/>
      <c r="CB18" s="182"/>
      <c r="CC18" s="182"/>
      <c r="CD18" s="182"/>
      <c r="CE18" s="182"/>
      <c r="CF18" s="182"/>
      <c r="CG18" s="182"/>
      <c r="CH18" s="182"/>
      <c r="CI18" s="182"/>
      <c r="CJ18" s="182"/>
      <c r="CK18" s="182"/>
      <c r="CL18" s="182"/>
      <c r="CM18" s="182"/>
      <c r="CN18" s="182"/>
      <c r="CO18" s="182"/>
      <c r="CP18" s="132"/>
      <c r="CQ18" s="192" t="n">
        <f aca="false">-SUM(TblConstr[[#This Row],[Alc]:[Mas]])+SUM(TblConstr[[#This Row],[Dest Alc]:[Dest Mas]])+Rezone!L18+IF("Ch_"&amp; home_land=TblConstr[[#Headers],[Ch_Plain]],TblConstr[[#This Row],[Home Land]])+IF(TblConstr[[#This Row],[Hour]:[Hour]]&gt;12,OFFSET(TblExplore[[#This Row],[Plains Explore]],-12,0),0)</f>
        <v>0</v>
      </c>
      <c r="CR18" s="193" t="n">
        <f aca="false">-SUM(TblConstr[[#This Row],[Ly]:[Hav]])+SUM(TblConstr[[#This Row],[Dest Ly]:[Dest Hav]]) +Rezone!M18 + IF("Ch_"&amp; home_land=TblConstr[[#Headers],[Ch_Forest]],TblConstr[[#This Row],[Home Land]])+IF(TblConstr[[#This Row],[Hour]:[Hour]]&gt;12,OFFSET(TblExplore[[#This Row],[Forest Explore]],-12,0),0)</f>
        <v>0</v>
      </c>
      <c r="CS18" s="200" t="n">
        <f aca="false">-SUM(TblConstr[[#This Row],[OM]:[GN]])+SUM(TblConstr[[#This Row],[Dest OM]:[Dest GN]]) +Rezone!N18 + IF("Ch_"&amp; home_land=TblConstr[[#Headers],[Ch_Mountain]],TblConstr[[#This Row],[Home Land]])+IF(TblConstr[[#This Row],[Hour]:[Hour]]&gt;12,OFFSET(TblExplore[[#This Row],[Mountain Explore]],-12,0),0)</f>
        <v>0</v>
      </c>
      <c r="CT18" s="195" t="n">
        <f aca="false">-SUM(TblConstr[[#This Row],[Fac]:[Shr]])+SUM(TblConstr[[#This Row],[Dest Fac]:[Dest Shr]]) +Rezone!O18 + IF("Ch_" &amp; home_land=TblConstr[[#Headers],[Ch_Hill]],TblConstr[[#This Row],[Home Land]])+IF(TblConstr[[#This Row],[Hour]:[Hour]]&gt;12,OFFSET(TblExplore[[#This Row],[Hill Explore]],-12,0),0)</f>
        <v>0</v>
      </c>
      <c r="CU18" s="196" t="n">
        <f aca="false">-SUM(TblConstr[[#This Row],[Tow]:[WG]])+SUM(TblConstr[[#This Row],[Dest Tow]:[Dest WG]]) +Rezone!P18 + IF("Ch_" &amp; home_land=TblConstr[[#Headers],[Ch_Swamp]],TblConstr[[#This Row],[Home Land]])+IF(TblConstr[[#This Row],[Hour]:[Hour]]&gt;12,OFFSET(TblExplore[[#This Row],[Swamp Explore]],-12,0),0)</f>
        <v>0</v>
      </c>
      <c r="CV18" s="197" t="n">
        <f aca="false">- SUM(TblConstr[[#This Row],[DM]:[Sch]])+SUM(TblConstr[[#This Row],[Dest DM]:[Dest Sch]]) +Rezone!Q18 + IF("Ch_" &amp; home_land=TblConstr[[#Headers],[Ch_Cavern]],TblConstr[[#This Row],[Home Land]])+IF(TblConstr[[#This Row],[Hour]:[Hour]]&gt;12,OFFSET(TblExplore[[#This Row],[Cavern Explore]],-12,0),0)</f>
        <v>0</v>
      </c>
      <c r="CW18" s="198" t="n">
        <f aca="false">-TblConstr[[#This Row],[Doc]]+TblConstr[[#This Row],[Dest Doc]] +Rezone!R18 + IF("Ch_" &amp; home_land=TblConstr[[#Headers],[Ch_Water]],TblConstr[[#This Row],[Home Land]])+IF(TblConstr[[#This Row],[Hour]:[Hour]]&gt;12,OFFSET(TblExplore[[#This Row],[Water Explore]],-12,0),0)</f>
        <v>0</v>
      </c>
      <c r="CX18" s="1" t="n">
        <f aca="false">IF(Explore!S18=1,20) - TblConstr[[#This Row],[Hom]] + TblConstr[[#This Row],[Dest Hom]]</f>
        <v>0</v>
      </c>
      <c r="CY18" s="132"/>
      <c r="CZ18" s="69" t="n">
        <f aca="false">G18+SUM(P7:S18)+SUM(AZ18:BC18)</f>
        <v>130</v>
      </c>
      <c r="DA18" s="69" t="n">
        <f aca="false">H18+SUM(T7:U18)+SUM(BD18:BE18)</f>
        <v>20</v>
      </c>
      <c r="DB18" s="1" t="n">
        <f aca="false">I18+SUM(V7:W18)+SUM(BF18:BG18)</f>
        <v>0</v>
      </c>
      <c r="DC18" s="69" t="n">
        <f aca="false">J18+SUM(X7:Y18)+SUM(BH18:BI18)</f>
        <v>30</v>
      </c>
      <c r="DD18" s="69" t="n">
        <f aca="false">K18+SUM(AB7:AD18)+SUM(BL18:BN18)</f>
        <v>65</v>
      </c>
      <c r="DE18" s="1" t="n">
        <f aca="false">L18+SUM(AE7:AE18)+BO18</f>
        <v>0</v>
      </c>
      <c r="DF18" s="69" t="n">
        <f aca="false">M18+SUM(AG7:AG18)+BQ18</f>
        <v>5</v>
      </c>
      <c r="DG18" s="69" t="e">
        <f aca="false" t="array" ref="DG18:DG18">INDEX(TblConstr[[Total Plain]:[Total Water]],ROW()-ROW(TblConstr[#headers]),MATCH("Total "&amp;home_land,TblConstr[[#Headers],[Total Plain]:[Total Water]],0))+TblConstr[[#This Row],[Homes]]</f>
        <v>#VALUE!</v>
      </c>
      <c r="DH18" s="1" t="n">
        <f aca="false">SUM(O7:O18)+AY18</f>
        <v>0</v>
      </c>
      <c r="DI18" s="1" t="n">
        <f aca="false">MAX(BA18-BA17,0)</f>
        <v>0</v>
      </c>
      <c r="DJ18" s="1" t="n">
        <f aca="false">MAX(BQ18-BQ17,0)</f>
        <v>0</v>
      </c>
    </row>
    <row r="19" customFormat="false" ht="12.75" hidden="false" customHeight="false" outlineLevel="0" collapsed="false">
      <c r="A19" s="170" t="n">
        <f aca="false">TblRezone[[#This Row],[Hour]]</f>
        <v>16</v>
      </c>
      <c r="B19" s="171" t="n">
        <f aca="false">SUM(TblConstr[[#This Row],[Plain]:[Water]])</f>
        <v>0</v>
      </c>
      <c r="C19" s="172" t="n">
        <f aca="false">SUM(TblConstr[[#This Row],[Tot Hom]:[Tot Doc]])</f>
        <v>185</v>
      </c>
      <c r="D19" s="172" t="n">
        <f aca="false">SUM(O8:AG19)</f>
        <v>65</v>
      </c>
      <c r="E19" s="173"/>
      <c r="F19" s="33" t="n">
        <f aca="false">TblConstr[[#This Row],[Barren]]+TblConstr[[#This Row],[Buildings]]+TblConstr[[#This Row],[Incoming]]</f>
        <v>250</v>
      </c>
      <c r="G19" s="199" t="n">
        <f aca="false">OFFSET(TblConstr[[#This Row],[Plain]],-1,0)+TblConstr[[#This Row],[Ch_Plain]]</f>
        <v>0</v>
      </c>
      <c r="H19" s="193" t="n">
        <f aca="false">OFFSET(TblConstr[[#This Row],[Forest]],-1,0)+TblConstr[[#This Row],[Ch_Forest]]</f>
        <v>0</v>
      </c>
      <c r="I19" s="200" t="n">
        <f aca="false">OFFSET(TblConstr[[#This Row],[Mountain]],-1,0)+TblConstr[[#This Row],[Ch_Mountain]]</f>
        <v>0</v>
      </c>
      <c r="J19" s="201" t="n">
        <f aca="false">OFFSET(TblConstr[[#This Row],[Hill]],-1,0)+TblConstr[[#This Row],[Ch_Hill]]</f>
        <v>0</v>
      </c>
      <c r="K19" s="202" t="n">
        <f aca="false">OFFSET(TblConstr[[#This Row],[Swamp]],-1,0)+TblConstr[[#This Row],[Ch_Swamp]]</f>
        <v>0</v>
      </c>
      <c r="L19" s="197" t="n">
        <f aca="false">OFFSET(TblConstr[[#This Row],[Cavern]],-1,0)+TblConstr[[#This Row],[Ch_Cavern]]</f>
        <v>0</v>
      </c>
      <c r="M19" s="198" t="n">
        <f aca="false">OFFSET(TblConstr[[#This Row],[Water]],-1,0)+TblConstr[[#This Row],[Ch_Water]]</f>
        <v>0</v>
      </c>
      <c r="N19" s="181" t="n">
        <f aca="false">TblRezone[[#This Row],[Hour]]</f>
        <v>16</v>
      </c>
      <c r="O19" s="182"/>
      <c r="P19" s="182"/>
      <c r="Q19" s="182"/>
      <c r="R19" s="182"/>
      <c r="S19" s="182"/>
      <c r="T19" s="182"/>
      <c r="U19" s="182"/>
      <c r="V19" s="182"/>
      <c r="W19" s="182"/>
      <c r="X19" s="182"/>
      <c r="Y19" s="182"/>
      <c r="Z19" s="182"/>
      <c r="AA19" s="182"/>
      <c r="AB19" s="182"/>
      <c r="AC19" s="182"/>
      <c r="AD19" s="182"/>
      <c r="AE19" s="182"/>
      <c r="AF19" s="182"/>
      <c r="AG19" s="182"/>
      <c r="AH19" s="20" t="n">
        <f aca="false">TblImps[[#This Row],[Time]]</f>
        <v>45430.375</v>
      </c>
      <c r="AI19" s="130" t="n">
        <f aca="false">MIN(25%,(TblConstr[[#This Row],[Tot Fac]]+TblConstr[[#This Row],[Dest Fac]])/(TblConstr[[#This Row],[Land]]-TblExplore[[#This Row],[Land Bonus]]*20))</f>
        <v>0.112</v>
      </c>
      <c r="AJ19" s="130" t="n">
        <f aca="false">MIN(25%,(TblConstr[[#This Row],[Tot Fac]]+TblConstr[[#This Row],[Dest Fac]])/TblConstr[[#This Row],[Land]])</f>
        <v>0.112</v>
      </c>
      <c r="AK19" s="69" t="n">
        <f aca="false">TblProd[[#This Row],[Platinum]]</f>
        <v>51651</v>
      </c>
      <c r="AL19" s="69" t="n">
        <f aca="false">TblProd[[#This Row],[Lumber]]</f>
        <v>2680</v>
      </c>
      <c r="AM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9" s="69" t="n">
        <f aca="false">ROUNDDOWN( MAX(1 - MIN(facs_constr_factor*TblConstr[[#This Row],[Facs -DB]],facs_constr_max) + tech_1_11*TblTech[[#This Row],[11-1]] + tech_6_3_2*TblTech[[#This Row],[6-3]] + tech_5_2_3*TblTech[[#This Row],[5-2]], 1-global_constr_cap) * TblConstr[[#This Row],[RCPA Lumber]],0)</f>
        <v>44</v>
      </c>
      <c r="AO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9" s="69" t="n">
        <f aca="false">ROUNDDOWN( MAX(1 - MIN(facs_constr_factor*TblConstr[[#This Row],[Facs DB]],facs_constr_max) + tech_1_11*TblTech[[#This Row],[1-11]] + tech_6_3_2*TblTech[[#This Row],[6-3]] + tech_5_2_3*TblTech[[#This Row],[5-2]], 1-global_constr_cap) * ROUND((TblConstr[[#This Row],[Land]]-250)*0.285 + 87.5 + 0/4.25,0),0)</f>
        <v>44</v>
      </c>
      <c r="AQ19" s="1" t="n">
        <f aca="false">TblConstr[[#This Row],[build -db]]*TblConstr[[#This Row],[CPA Platinum -DB]] + TblConstr[[#This Row],[build db]]*TblConstr[[#This Row],[CPA Platinum DB]]</f>
        <v>0</v>
      </c>
      <c r="AR19" s="1" t="n">
        <f aca="false">TblConstr[[#This Row],[build -db]]*TblConstr[[#This Row],[CPA Lumber -DB]]+TblConstr[[#This Row],[build db]]*TblConstr[[#This Row],[CPA Lumber DB]]</f>
        <v>0</v>
      </c>
      <c r="AS19" s="69" t="n">
        <f aca="false">MIN(SUM(OFFSET(TblConstr[[#This Row],[Plain]:[Water]],-1,0))+SUM(TblConstr[[#This Row],[Dest Hom]:[Dest Doc]])+IF(TblConstr[[#This Row],[Hour]]&gt;12,SUM(OFFSET(TblExplore[[#This Row],[Plains Explore]:[Water Explore]],-12,0)),0),SUM(TblConstr[[#This Row],[Hom]:[Doc]]))</f>
        <v>0</v>
      </c>
      <c r="AT1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32"/>
      <c r="AV19" s="69" t="n">
        <f aca="false">ROUND((TblConstr[[#This Row],[Land]]-250 - IF(TblExplore[[#This Row],[Land Bonus]]&lt;&gt;0,20,0))*1.25 + 850 + 0,0)</f>
        <v>850</v>
      </c>
      <c r="AW19" s="69" t="n">
        <f aca="false">ROUND((TblConstr[[#This Row],[Land]]-250 - IF(TblExplore[[#This Row],[Land Bonus]]&lt;&gt;0,20,0))*0.285 + 87.5 + 0/4.25,0)</f>
        <v>88</v>
      </c>
      <c r="AX19" s="146"/>
      <c r="AY19" s="203" t="n">
        <f aca="false" t="array" ref="AY19:AY19">IF(TblConstr[[#This Row],[Hour]:[Hour]]&gt;12,OFFSET(TblConstr[[#This Row],[Hom]],-12,0),0)+OFFSET(TblConstr[[#This Row],[Tot Hom]],-1,0)-TblConstr[[#This Row],[Dest Hom]]</f>
        <v>0</v>
      </c>
      <c r="AZ19" s="204" t="n">
        <f aca="false" t="array" ref="AZ19:AZ19">IF(TblConstr[[#This Row],[Hour]:[Hour]]&gt;12,OFFSET(TblConstr[[#This Row],[Alc]],-12,0),0)+OFFSET(TblConstr[[#This Row],[Tot Alc]],-1,0)-TblConstr[[#This Row],[Dest Alc]]</f>
        <v>70</v>
      </c>
      <c r="BA19" s="204" t="n">
        <f aca="false" t="array" ref="BA19:BA19">IF(TblConstr[[#This Row],[Hour]:[Hour]]&gt;12,OFFSET(TblConstr[[#This Row],[Far]],-12,0),0)+OFFSET(TblConstr[[#This Row],[Tot Farm]],-1,0)-TblConstr[[#This Row],[Dest Farm]]</f>
        <v>5</v>
      </c>
      <c r="BB19" s="204" t="n">
        <f aca="false" t="array" ref="BB19:BB19">IF(TblConstr[[#This Row],[Hour]:[Hour]]&gt;12,OFFSET(TblConstr[[#This Row],[Smi]],-12,0),0)+OFFSET(TblConstr[[#This Row],[Tot Smi]],-1,0)-TblConstr[[#This Row],[Dest Smi]]</f>
        <v>0</v>
      </c>
      <c r="BC19" s="204" t="n">
        <f aca="false" t="array" ref="BC19:BC19">IF(TblConstr[[#This Row],[Hour]:[Hour]]&gt;12,OFFSET(TblConstr[[#This Row],[Mas]],-12,0),0)+OFFSET(TblConstr[[#This Row],[Tot Mas]],-1,0)-TblConstr[[#This Row],[Dest Mas]]</f>
        <v>0</v>
      </c>
      <c r="BD19" s="205" t="n">
        <f aca="false" t="array" ref="BD19:BD19">IF(TblConstr[[#This Row],[Hour]:[Hour]]&gt;12,OFFSET(TblConstr[[#This Row],[Ly]],-12,0),0)+OFFSET(TblConstr[[#This Row],[Tot Ly]],-1,0)-TblConstr[[#This Row],[Dest Ly]]</f>
        <v>20</v>
      </c>
      <c r="BE19" s="205" t="n">
        <f aca="false" t="array" ref="BE19:BE19">IF(TblConstr[[#This Row],[Hour]:[Hour]]&gt;12,OFFSET(TblConstr[[#This Row],[Hav]],-12,0),0)+OFFSET(TblConstr[[#This Row],[Tot Hav]],-1,0)-TblConstr[[#This Row],[Dest Hav]]</f>
        <v>0</v>
      </c>
      <c r="BF19" s="194" t="n">
        <f aca="false" t="array" ref="BF19:BF19">IF(TblConstr[[#This Row],[Hour]:[Hour]]&gt;12,OFFSET(TblConstr[[#This Row],[OM]],-12,0),0)+OFFSET(TblConstr[[#This Row],[Tot OM]],-1,0)-TblConstr[[#This Row],[Dest OM]]</f>
        <v>0</v>
      </c>
      <c r="BG19" s="194" t="n">
        <f aca="false" t="array" ref="BG19:BG19">IF(TblConstr[[#This Row],[Hour]:[Hour]]&gt;12,OFFSET(TblConstr[[#This Row],[GN]],-12,0),0)+OFFSET(TblConstr[[#This Row],[Tot GN]],-1,0)-TblConstr[[#This Row],[Dest GN]]</f>
        <v>0</v>
      </c>
      <c r="BH19" s="206" t="n">
        <f aca="false" t="array" ref="BH19:BH19">IF(TblConstr[[#This Row],[Hour]:[Hour]]&gt;12,OFFSET(TblConstr[[#This Row],[Fac]],-12,0),0)+OFFSET(TblConstr[[#This Row],[Tot Fac]],-1,0)-TblConstr[[#This Row],[Dest Fac]]</f>
        <v>28</v>
      </c>
      <c r="BI19" s="206" t="n">
        <f aca="false" t="array" ref="BI19:BI19">IF(TblConstr[[#This Row],[Hour]:[Hour]]&gt;12,OFFSET(TblConstr[[#This Row],[GT]],-12,0),0)+OFFSET(TblConstr[[#This Row],[Tot GT]],-1,0)-TblConstr[[#This Row],[Dest GT]]</f>
        <v>0</v>
      </c>
      <c r="BJ19" s="206" t="n">
        <f aca="false" t="array" ref="BJ19:BJ19">IF(TblConstr[[#This Row],[Hour]:[Hour]]&gt;12,OFFSET(TblConstr[[#This Row],[Bar]],-12,0),0)+OFFSET(TblConstr[[#This Row],[Tot Bar]],-1,0)-TblConstr[[#This Row],[Dest Bar]]</f>
        <v>0</v>
      </c>
      <c r="BK19" s="206" t="n">
        <f aca="false" t="array" ref="BK19:BK19">IF(TblConstr[[#This Row],[Hour]:[Hour]]&gt;12,OFFSET(TblConstr[[#This Row],[Shr]],-12,0),0)+OFFSET(TblConstr[[#This Row],[Tot Shr]],-1,0)-TblConstr[[#This Row],[Dest Shr]]</f>
        <v>0</v>
      </c>
      <c r="BL19" s="207" t="n">
        <f aca="false" t="array" ref="BL19:BL19">IF(TblConstr[[#This Row],[Hour]:[Hour]]&gt;12,OFFSET(TblConstr[[#This Row],[Tow]],-12,0),0)+OFFSET(TblConstr[[#This Row],[Tot Tow]],-1,0)-TblConstr[[#This Row],[Dest Tow]]</f>
        <v>15</v>
      </c>
      <c r="BM19" s="207" t="n">
        <f aca="false" t="array" ref="BM19:BM19">IF(TblConstr[[#This Row],[Hour]:[Hour]]&gt;12,OFFSET(TblConstr[[#This Row],[Tem]],-12,0),0)+OFFSET(TblConstr[[#This Row],[Tot Tem]],-1,0)-TblConstr[[#This Row],[Dest Tem]]</f>
        <v>47</v>
      </c>
      <c r="BN19" s="207" t="n">
        <f aca="false" t="array" ref="BN19:BN19">IF(TblConstr[[#This Row],[Hour]:[Hour]]&gt;12,OFFSET(TblConstr[[#This Row],[WG]],-12,0),0)+OFFSET(TblConstr[[#This Row],[Tot WG]],-1,0)-TblConstr[[#This Row],[Dest WG]]</f>
        <v>0</v>
      </c>
      <c r="BO19" s="208" t="n">
        <f aca="false" t="array" ref="BO19:BO19">IF(TblConstr[[#This Row],[Hour]:[Hour]]&gt;12,OFFSET(TblConstr[[#This Row],[DM]],-12,0),0)+OFFSET(TblConstr[[#This Row],[Tot DM]],-1,0)-TblConstr[[#This Row],[Dest DM]]</f>
        <v>0</v>
      </c>
      <c r="BP19" s="208" t="n">
        <f aca="false" t="array" ref="BP19:BP19">IF(TblConstr[[#This Row],[Hour]:[Hour]]&gt;12,OFFSET(TblConstr[[#This Row],[Sch]],-12,0),0)+OFFSET(TblConstr[[#This Row],[Tot Sch]],-1,0)-TblConstr[[#This Row],[Dest Sch]]</f>
        <v>0</v>
      </c>
      <c r="BQ19" s="209" t="n">
        <f aca="false" t="array" ref="BQ19:BQ19">IF(TblConstr[[#This Row],[Hour]:[Hour]]&gt;12,OFFSET(TblConstr[[#This Row],[Doc]],-12,0),0)+OFFSET(TblConstr[[#This Row],[Tot Doc]],-1,0)-TblConstr[[#This Row],[Dest Doc]]</f>
        <v>0</v>
      </c>
      <c r="BR19" s="132"/>
      <c r="BS19" s="146"/>
      <c r="BT19" s="69" t="n">
        <f aca="false">TblConstr[[#This Row],[Land]]</f>
        <v>250</v>
      </c>
      <c r="BU19" s="153" t="n">
        <f aca="false">TblImps[[#This Row],[Time]]</f>
        <v>45430.375</v>
      </c>
      <c r="BV19" s="132"/>
      <c r="BW19" s="182"/>
      <c r="BX19" s="182"/>
      <c r="BY19" s="182"/>
      <c r="BZ19" s="182"/>
      <c r="CA19" s="182"/>
      <c r="CB19" s="182"/>
      <c r="CC19" s="182"/>
      <c r="CD19" s="182"/>
      <c r="CE19" s="182"/>
      <c r="CF19" s="182"/>
      <c r="CG19" s="182"/>
      <c r="CH19" s="182"/>
      <c r="CI19" s="182"/>
      <c r="CJ19" s="182"/>
      <c r="CK19" s="182"/>
      <c r="CL19" s="182"/>
      <c r="CM19" s="182"/>
      <c r="CN19" s="182"/>
      <c r="CO19" s="182"/>
      <c r="CP19" s="132"/>
      <c r="CQ19" s="192" t="n">
        <f aca="false">-SUM(TblConstr[[#This Row],[Alc]:[Mas]])+SUM(TblConstr[[#This Row],[Dest Alc]:[Dest Mas]])+Rezone!L19+IF("Ch_"&amp; home_land=TblConstr[[#Headers],[Ch_Plain]],TblConstr[[#This Row],[Home Land]])+IF(TblConstr[[#This Row],[Hour]:[Hour]]&gt;12,OFFSET(TblExplore[[#This Row],[Plains Explore]],-12,0),0)</f>
        <v>0</v>
      </c>
      <c r="CR19" s="193" t="n">
        <f aca="false">-SUM(TblConstr[[#This Row],[Ly]:[Hav]])+SUM(TblConstr[[#This Row],[Dest Ly]:[Dest Hav]]) +Rezone!M19 + IF("Ch_"&amp; home_land=TblConstr[[#Headers],[Ch_Forest]],TblConstr[[#This Row],[Home Land]])+IF(TblConstr[[#This Row],[Hour]:[Hour]]&gt;12,OFFSET(TblExplore[[#This Row],[Forest Explore]],-12,0),0)</f>
        <v>0</v>
      </c>
      <c r="CS19" s="200" t="n">
        <f aca="false">-SUM(TblConstr[[#This Row],[OM]:[GN]])+SUM(TblConstr[[#This Row],[Dest OM]:[Dest GN]]) +Rezone!N19 + IF("Ch_"&amp; home_land=TblConstr[[#Headers],[Ch_Mountain]],TblConstr[[#This Row],[Home Land]])+IF(TblConstr[[#This Row],[Hour]:[Hour]]&gt;12,OFFSET(TblExplore[[#This Row],[Mountain Explore]],-12,0),0)</f>
        <v>0</v>
      </c>
      <c r="CT19" s="195" t="n">
        <f aca="false">-SUM(TblConstr[[#This Row],[Fac]:[Shr]])+SUM(TblConstr[[#This Row],[Dest Fac]:[Dest Shr]]) +Rezone!O19 + IF("Ch_" &amp; home_land=TblConstr[[#Headers],[Ch_Hill]],TblConstr[[#This Row],[Home Land]])+IF(TblConstr[[#This Row],[Hour]:[Hour]]&gt;12,OFFSET(TblExplore[[#This Row],[Hill Explore]],-12,0),0)</f>
        <v>0</v>
      </c>
      <c r="CU19" s="196" t="n">
        <f aca="false">-SUM(TblConstr[[#This Row],[Tow]:[WG]])+SUM(TblConstr[[#This Row],[Dest Tow]:[Dest WG]]) +Rezone!P19 + IF("Ch_" &amp; home_land=TblConstr[[#Headers],[Ch_Swamp]],TblConstr[[#This Row],[Home Land]])+IF(TblConstr[[#This Row],[Hour]:[Hour]]&gt;12,OFFSET(TblExplore[[#This Row],[Swamp Explore]],-12,0),0)</f>
        <v>0</v>
      </c>
      <c r="CV19" s="197" t="n">
        <f aca="false">- SUM(TblConstr[[#This Row],[DM]:[Sch]])+SUM(TblConstr[[#This Row],[Dest DM]:[Dest Sch]]) +Rezone!Q19 + IF("Ch_" &amp; home_land=TblConstr[[#Headers],[Ch_Cavern]],TblConstr[[#This Row],[Home Land]])+IF(TblConstr[[#This Row],[Hour]:[Hour]]&gt;12,OFFSET(TblExplore[[#This Row],[Cavern Explore]],-12,0),0)</f>
        <v>0</v>
      </c>
      <c r="CW19" s="198" t="n">
        <f aca="false">-TblConstr[[#This Row],[Doc]]+TblConstr[[#This Row],[Dest Doc]] +Rezone!R19 + IF("Ch_" &amp; home_land=TblConstr[[#Headers],[Ch_Water]],TblConstr[[#This Row],[Home Land]])+IF(TblConstr[[#This Row],[Hour]:[Hour]]&gt;12,OFFSET(TblExplore[[#This Row],[Water Explore]],-12,0),0)</f>
        <v>0</v>
      </c>
      <c r="CX19" s="1" t="n">
        <f aca="false">IF(Explore!S19=1,20) - TblConstr[[#This Row],[Hom]] + TblConstr[[#This Row],[Dest Hom]]</f>
        <v>0</v>
      </c>
      <c r="CY19" s="132"/>
      <c r="CZ19" s="69" t="n">
        <f aca="false">G19+SUM(P8:S19)+SUM(AZ19:BC19)</f>
        <v>130</v>
      </c>
      <c r="DA19" s="69" t="n">
        <f aca="false">H19+SUM(T8:U19)+SUM(BD19:BE19)</f>
        <v>20</v>
      </c>
      <c r="DB19" s="1" t="n">
        <f aca="false">I19+SUM(V8:W19)+SUM(BF19:BG19)</f>
        <v>0</v>
      </c>
      <c r="DC19" s="69" t="n">
        <f aca="false">J19+SUM(X8:Y19)+SUM(BH19:BI19)</f>
        <v>30</v>
      </c>
      <c r="DD19" s="69" t="n">
        <f aca="false">K19+SUM(AB8:AD19)+SUM(BL19:BN19)</f>
        <v>65</v>
      </c>
      <c r="DE19" s="1" t="n">
        <f aca="false">L19+SUM(AE8:AE19)+BO19</f>
        <v>0</v>
      </c>
      <c r="DF19" s="69" t="n">
        <f aca="false">M19+SUM(AG8:AG19)+BQ19</f>
        <v>5</v>
      </c>
      <c r="DG19" s="69" t="e">
        <f aca="false" t="array" ref="DG19:DG19">INDEX(TblConstr[[Total Plain]:[Total Water]],ROW()-ROW(TblConstr[#headers]),MATCH("Total "&amp;home_land,TblConstr[[#Headers],[Total Plain]:[Total Water]],0))+TblConstr[[#This Row],[Homes]]</f>
        <v>#VALUE!</v>
      </c>
      <c r="DH19" s="1" t="n">
        <f aca="false">SUM(O8:O19)+AY19</f>
        <v>0</v>
      </c>
      <c r="DI19" s="1" t="n">
        <f aca="false">MAX(BA19-BA18,0)</f>
        <v>0</v>
      </c>
      <c r="DJ19" s="1" t="n">
        <f aca="false">MAX(BQ19-BQ18,0)</f>
        <v>0</v>
      </c>
    </row>
    <row r="20" customFormat="false" ht="12.75" hidden="false" customHeight="false" outlineLevel="0" collapsed="false">
      <c r="A20" s="170" t="n">
        <f aca="false">TblRezone[[#This Row],[Hour]]</f>
        <v>17</v>
      </c>
      <c r="B20" s="171" t="n">
        <f aca="false">SUM(TblConstr[[#This Row],[Plain]:[Water]])</f>
        <v>0</v>
      </c>
      <c r="C20" s="172" t="n">
        <f aca="false">SUM(TblConstr[[#This Row],[Tot Hom]:[Tot Doc]])</f>
        <v>185</v>
      </c>
      <c r="D20" s="172" t="n">
        <f aca="false">SUM(O9:AG20)</f>
        <v>65</v>
      </c>
      <c r="E20" s="173"/>
      <c r="F20" s="33" t="n">
        <f aca="false">TblConstr[[#This Row],[Barren]]+TblConstr[[#This Row],[Buildings]]+TblConstr[[#This Row],[Incoming]]</f>
        <v>250</v>
      </c>
      <c r="G20" s="199" t="n">
        <f aca="false">OFFSET(TblConstr[[#This Row],[Plain]],-1,0)+TblConstr[[#This Row],[Ch_Plain]]</f>
        <v>0</v>
      </c>
      <c r="H20" s="193" t="n">
        <f aca="false">OFFSET(TblConstr[[#This Row],[Forest]],-1,0)+TblConstr[[#This Row],[Ch_Forest]]</f>
        <v>0</v>
      </c>
      <c r="I20" s="200" t="n">
        <f aca="false">OFFSET(TblConstr[[#This Row],[Mountain]],-1,0)+TblConstr[[#This Row],[Ch_Mountain]]</f>
        <v>0</v>
      </c>
      <c r="J20" s="201" t="n">
        <f aca="false">OFFSET(TblConstr[[#This Row],[Hill]],-1,0)+TblConstr[[#This Row],[Ch_Hill]]</f>
        <v>0</v>
      </c>
      <c r="K20" s="202" t="n">
        <f aca="false">OFFSET(TblConstr[[#This Row],[Swamp]],-1,0)+TblConstr[[#This Row],[Ch_Swamp]]</f>
        <v>0</v>
      </c>
      <c r="L20" s="197" t="n">
        <f aca="false">OFFSET(TblConstr[[#This Row],[Cavern]],-1,0)+TblConstr[[#This Row],[Ch_Cavern]]</f>
        <v>0</v>
      </c>
      <c r="M20" s="198" t="n">
        <f aca="false">OFFSET(TblConstr[[#This Row],[Water]],-1,0)+TblConstr[[#This Row],[Ch_Water]]</f>
        <v>0</v>
      </c>
      <c r="N20" s="181" t="n">
        <f aca="false">TblRezone[[#This Row],[Hour]]</f>
        <v>17</v>
      </c>
      <c r="O20" s="182"/>
      <c r="P20" s="182"/>
      <c r="Q20" s="182"/>
      <c r="R20" s="182"/>
      <c r="S20" s="182"/>
      <c r="T20" s="182"/>
      <c r="U20" s="182"/>
      <c r="V20" s="182"/>
      <c r="W20" s="182"/>
      <c r="X20" s="182"/>
      <c r="Y20" s="182"/>
      <c r="Z20" s="182"/>
      <c r="AA20" s="182"/>
      <c r="AB20" s="182"/>
      <c r="AC20" s="182"/>
      <c r="AD20" s="182"/>
      <c r="AE20" s="182"/>
      <c r="AF20" s="182"/>
      <c r="AG20" s="182"/>
      <c r="AH20" s="20" t="n">
        <f aca="false">TblImps[[#This Row],[Time]]</f>
        <v>45430.4166666667</v>
      </c>
      <c r="AI20" s="130" t="n">
        <f aca="false">MIN(25%,(TblConstr[[#This Row],[Tot Fac]]+TblConstr[[#This Row],[Dest Fac]])/(TblConstr[[#This Row],[Land]]-TblExplore[[#This Row],[Land Bonus]]*20))</f>
        <v>0.112</v>
      </c>
      <c r="AJ20" s="130" t="n">
        <f aca="false">MIN(25%,(TblConstr[[#This Row],[Tot Fac]]+TblConstr[[#This Row],[Dest Fac]])/TblConstr[[#This Row],[Land]])</f>
        <v>0.112</v>
      </c>
      <c r="AK20" s="69" t="n">
        <f aca="false">TblProd[[#This Row],[Platinum]]</f>
        <v>61168</v>
      </c>
      <c r="AL20" s="69" t="n">
        <f aca="false">TblProd[[#This Row],[Lumber]]</f>
        <v>3553</v>
      </c>
      <c r="AM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0" s="69" t="n">
        <f aca="false">ROUNDDOWN( MAX(1 - MIN(facs_constr_factor*TblConstr[[#This Row],[Facs -DB]],facs_constr_max) + tech_1_11*TblTech[[#This Row],[11-1]] + tech_6_3_2*TblTech[[#This Row],[6-3]] + tech_5_2_3*TblTech[[#This Row],[5-2]], 1-global_constr_cap) * TblConstr[[#This Row],[RCPA Lumber]],0)</f>
        <v>44</v>
      </c>
      <c r="AO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20" s="69" t="n">
        <f aca="false">ROUNDDOWN( MAX(1 - MIN(facs_constr_factor*TblConstr[[#This Row],[Facs DB]],facs_constr_max) + tech_1_11*TblTech[[#This Row],[1-11]] + tech_6_3_2*TblTech[[#This Row],[6-3]] + tech_5_2_3*TblTech[[#This Row],[5-2]], 1-global_constr_cap) * ROUND((TblConstr[[#This Row],[Land]]-250)*0.285 + 87.5 + 0/4.25,0),0)</f>
        <v>44</v>
      </c>
      <c r="AQ20" s="1" t="n">
        <f aca="false">TblConstr[[#This Row],[build -db]]*TblConstr[[#This Row],[CPA Platinum -DB]] + TblConstr[[#This Row],[build db]]*TblConstr[[#This Row],[CPA Platinum DB]]</f>
        <v>0</v>
      </c>
      <c r="AR20" s="1" t="n">
        <f aca="false">TblConstr[[#This Row],[build -db]]*TblConstr[[#This Row],[CPA Lumber -DB]]+TblConstr[[#This Row],[build db]]*TblConstr[[#This Row],[CPA Lumber DB]]</f>
        <v>0</v>
      </c>
      <c r="AS20" s="69" t="n">
        <f aca="false">MIN(SUM(OFFSET(TblConstr[[#This Row],[Plain]:[Water]],-1,0))+SUM(TblConstr[[#This Row],[Dest Hom]:[Dest Doc]])+IF(TblConstr[[#This Row],[Hour]]&gt;12,SUM(OFFSET(TblExplore[[#This Row],[Plains Explore]:[Water Explore]],-12,0)),0),SUM(TblConstr[[#This Row],[Hom]:[Doc]]))</f>
        <v>0</v>
      </c>
      <c r="AT2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32"/>
      <c r="AV20" s="69" t="n">
        <f aca="false">ROUND((TblConstr[[#This Row],[Land]]-250 - IF(TblExplore[[#This Row],[Land Bonus]]&lt;&gt;0,20,0))*1.25 + 850 + 0,0)</f>
        <v>850</v>
      </c>
      <c r="AW20" s="69" t="n">
        <f aca="false">ROUND((TblConstr[[#This Row],[Land]]-250 - IF(TblExplore[[#This Row],[Land Bonus]]&lt;&gt;0,20,0))*0.285 + 87.5 + 0/4.25,0)</f>
        <v>88</v>
      </c>
      <c r="AX20" s="146"/>
      <c r="AY20" s="203" t="n">
        <f aca="false" t="array" ref="AY20:AY20">IF(TblConstr[[#This Row],[Hour]:[Hour]]&gt;12,OFFSET(TblConstr[[#This Row],[Hom]],-12,0),0)+OFFSET(TblConstr[[#This Row],[Tot Hom]],-1,0)-TblConstr[[#This Row],[Dest Hom]]</f>
        <v>0</v>
      </c>
      <c r="AZ20" s="204" t="n">
        <f aca="false" t="array" ref="AZ20:AZ20">IF(TblConstr[[#This Row],[Hour]:[Hour]]&gt;12,OFFSET(TblConstr[[#This Row],[Alc]],-12,0),0)+OFFSET(TblConstr[[#This Row],[Tot Alc]],-1,0)-TblConstr[[#This Row],[Dest Alc]]</f>
        <v>70</v>
      </c>
      <c r="BA20" s="204" t="n">
        <f aca="false" t="array" ref="BA20:BA20">IF(TblConstr[[#This Row],[Hour]:[Hour]]&gt;12,OFFSET(TblConstr[[#This Row],[Far]],-12,0),0)+OFFSET(TblConstr[[#This Row],[Tot Farm]],-1,0)-TblConstr[[#This Row],[Dest Farm]]</f>
        <v>5</v>
      </c>
      <c r="BB20" s="204" t="n">
        <f aca="false" t="array" ref="BB20:BB20">IF(TblConstr[[#This Row],[Hour]:[Hour]]&gt;12,OFFSET(TblConstr[[#This Row],[Smi]],-12,0),0)+OFFSET(TblConstr[[#This Row],[Tot Smi]],-1,0)-TblConstr[[#This Row],[Dest Smi]]</f>
        <v>0</v>
      </c>
      <c r="BC20" s="204" t="n">
        <f aca="false" t="array" ref="BC20:BC20">IF(TblConstr[[#This Row],[Hour]:[Hour]]&gt;12,OFFSET(TblConstr[[#This Row],[Mas]],-12,0),0)+OFFSET(TblConstr[[#This Row],[Tot Mas]],-1,0)-TblConstr[[#This Row],[Dest Mas]]</f>
        <v>0</v>
      </c>
      <c r="BD20" s="205" t="n">
        <f aca="false" t="array" ref="BD20:BD20">IF(TblConstr[[#This Row],[Hour]:[Hour]]&gt;12,OFFSET(TblConstr[[#This Row],[Ly]],-12,0),0)+OFFSET(TblConstr[[#This Row],[Tot Ly]],-1,0)-TblConstr[[#This Row],[Dest Ly]]</f>
        <v>20</v>
      </c>
      <c r="BE20" s="205" t="n">
        <f aca="false" t="array" ref="BE20:BE20">IF(TblConstr[[#This Row],[Hour]:[Hour]]&gt;12,OFFSET(TblConstr[[#This Row],[Hav]],-12,0),0)+OFFSET(TblConstr[[#This Row],[Tot Hav]],-1,0)-TblConstr[[#This Row],[Dest Hav]]</f>
        <v>0</v>
      </c>
      <c r="BF20" s="194" t="n">
        <f aca="false" t="array" ref="BF20:BF20">IF(TblConstr[[#This Row],[Hour]:[Hour]]&gt;12,OFFSET(TblConstr[[#This Row],[OM]],-12,0),0)+OFFSET(TblConstr[[#This Row],[Tot OM]],-1,0)-TblConstr[[#This Row],[Dest OM]]</f>
        <v>0</v>
      </c>
      <c r="BG20" s="194" t="n">
        <f aca="false" t="array" ref="BG20:BG20">IF(TblConstr[[#This Row],[Hour]:[Hour]]&gt;12,OFFSET(TblConstr[[#This Row],[GN]],-12,0),0)+OFFSET(TblConstr[[#This Row],[Tot GN]],-1,0)-TblConstr[[#This Row],[Dest GN]]</f>
        <v>0</v>
      </c>
      <c r="BH20" s="206" t="n">
        <f aca="false" t="array" ref="BH20:BH20">IF(TblConstr[[#This Row],[Hour]:[Hour]]&gt;12,OFFSET(TblConstr[[#This Row],[Fac]],-12,0),0)+OFFSET(TblConstr[[#This Row],[Tot Fac]],-1,0)-TblConstr[[#This Row],[Dest Fac]]</f>
        <v>28</v>
      </c>
      <c r="BI20" s="206" t="n">
        <f aca="false" t="array" ref="BI20:BI20">IF(TblConstr[[#This Row],[Hour]:[Hour]]&gt;12,OFFSET(TblConstr[[#This Row],[GT]],-12,0),0)+OFFSET(TblConstr[[#This Row],[Tot GT]],-1,0)-TblConstr[[#This Row],[Dest GT]]</f>
        <v>0</v>
      </c>
      <c r="BJ20" s="206" t="n">
        <f aca="false" t="array" ref="BJ20:BJ20">IF(TblConstr[[#This Row],[Hour]:[Hour]]&gt;12,OFFSET(TblConstr[[#This Row],[Bar]],-12,0),0)+OFFSET(TblConstr[[#This Row],[Tot Bar]],-1,0)-TblConstr[[#This Row],[Dest Bar]]</f>
        <v>0</v>
      </c>
      <c r="BK20" s="206" t="n">
        <f aca="false" t="array" ref="BK20:BK20">IF(TblConstr[[#This Row],[Hour]:[Hour]]&gt;12,OFFSET(TblConstr[[#This Row],[Shr]],-12,0),0)+OFFSET(TblConstr[[#This Row],[Tot Shr]],-1,0)-TblConstr[[#This Row],[Dest Shr]]</f>
        <v>0</v>
      </c>
      <c r="BL20" s="207" t="n">
        <f aca="false" t="array" ref="BL20:BL20">IF(TblConstr[[#This Row],[Hour]:[Hour]]&gt;12,OFFSET(TblConstr[[#This Row],[Tow]],-12,0),0)+OFFSET(TblConstr[[#This Row],[Tot Tow]],-1,0)-TblConstr[[#This Row],[Dest Tow]]</f>
        <v>15</v>
      </c>
      <c r="BM20" s="207" t="n">
        <f aca="false" t="array" ref="BM20:BM20">IF(TblConstr[[#This Row],[Hour]:[Hour]]&gt;12,OFFSET(TblConstr[[#This Row],[Tem]],-12,0),0)+OFFSET(TblConstr[[#This Row],[Tot Tem]],-1,0)-TblConstr[[#This Row],[Dest Tem]]</f>
        <v>47</v>
      </c>
      <c r="BN20" s="207" t="n">
        <f aca="false" t="array" ref="BN20:BN20">IF(TblConstr[[#This Row],[Hour]:[Hour]]&gt;12,OFFSET(TblConstr[[#This Row],[WG]],-12,0),0)+OFFSET(TblConstr[[#This Row],[Tot WG]],-1,0)-TblConstr[[#This Row],[Dest WG]]</f>
        <v>0</v>
      </c>
      <c r="BO20" s="208" t="n">
        <f aca="false" t="array" ref="BO20:BO20">IF(TblConstr[[#This Row],[Hour]:[Hour]]&gt;12,OFFSET(TblConstr[[#This Row],[DM]],-12,0),0)+OFFSET(TblConstr[[#This Row],[Tot DM]],-1,0)-TblConstr[[#This Row],[Dest DM]]</f>
        <v>0</v>
      </c>
      <c r="BP20" s="208" t="n">
        <f aca="false" t="array" ref="BP20:BP20">IF(TblConstr[[#This Row],[Hour]:[Hour]]&gt;12,OFFSET(TblConstr[[#This Row],[Sch]],-12,0),0)+OFFSET(TblConstr[[#This Row],[Tot Sch]],-1,0)-TblConstr[[#This Row],[Dest Sch]]</f>
        <v>0</v>
      </c>
      <c r="BQ20" s="209" t="n">
        <f aca="false" t="array" ref="BQ20:BQ20">IF(TblConstr[[#This Row],[Hour]:[Hour]]&gt;12,OFFSET(TblConstr[[#This Row],[Doc]],-12,0),0)+OFFSET(TblConstr[[#This Row],[Tot Doc]],-1,0)-TblConstr[[#This Row],[Dest Doc]]</f>
        <v>0</v>
      </c>
      <c r="BR20" s="132"/>
      <c r="BS20" s="146"/>
      <c r="BT20" s="69" t="n">
        <f aca="false">TblConstr[[#This Row],[Land]]</f>
        <v>250</v>
      </c>
      <c r="BU20" s="153" t="n">
        <f aca="false">TblImps[[#This Row],[Time]]</f>
        <v>45430.4166666667</v>
      </c>
      <c r="BV20" s="132"/>
      <c r="BW20" s="182"/>
      <c r="BX20" s="182"/>
      <c r="BY20" s="182"/>
      <c r="BZ20" s="182"/>
      <c r="CA20" s="182"/>
      <c r="CB20" s="182"/>
      <c r="CC20" s="182"/>
      <c r="CD20" s="182"/>
      <c r="CE20" s="182"/>
      <c r="CF20" s="182"/>
      <c r="CG20" s="182"/>
      <c r="CH20" s="182"/>
      <c r="CI20" s="182"/>
      <c r="CJ20" s="182"/>
      <c r="CK20" s="182"/>
      <c r="CL20" s="182"/>
      <c r="CM20" s="182"/>
      <c r="CN20" s="182"/>
      <c r="CO20" s="182"/>
      <c r="CP20" s="132"/>
      <c r="CQ20" s="192" t="n">
        <f aca="false">-SUM(TblConstr[[#This Row],[Alc]:[Mas]])+SUM(TblConstr[[#This Row],[Dest Alc]:[Dest Mas]])+Rezone!L20+IF("Ch_"&amp; home_land=TblConstr[[#Headers],[Ch_Plain]],TblConstr[[#This Row],[Home Land]])+IF(TblConstr[[#This Row],[Hour]:[Hour]]&gt;12,OFFSET(TblExplore[[#This Row],[Plains Explore]],-12,0),0)</f>
        <v>0</v>
      </c>
      <c r="CR20" s="193" t="n">
        <f aca="false">-SUM(TblConstr[[#This Row],[Ly]:[Hav]])+SUM(TblConstr[[#This Row],[Dest Ly]:[Dest Hav]]) +Rezone!M20 + IF("Ch_"&amp; home_land=TblConstr[[#Headers],[Ch_Forest]],TblConstr[[#This Row],[Home Land]])+IF(TblConstr[[#This Row],[Hour]:[Hour]]&gt;12,OFFSET(TblExplore[[#This Row],[Forest Explore]],-12,0),0)</f>
        <v>0</v>
      </c>
      <c r="CS20" s="200" t="n">
        <f aca="false">-SUM(TblConstr[[#This Row],[OM]:[GN]])+SUM(TblConstr[[#This Row],[Dest OM]:[Dest GN]]) +Rezone!N20 + IF("Ch_"&amp; home_land=TblConstr[[#Headers],[Ch_Mountain]],TblConstr[[#This Row],[Home Land]])+IF(TblConstr[[#This Row],[Hour]:[Hour]]&gt;12,OFFSET(TblExplore[[#This Row],[Mountain Explore]],-12,0),0)</f>
        <v>0</v>
      </c>
      <c r="CT20" s="195" t="n">
        <f aca="false">-SUM(TblConstr[[#This Row],[Fac]:[Shr]])+SUM(TblConstr[[#This Row],[Dest Fac]:[Dest Shr]]) +Rezone!O20 + IF("Ch_" &amp; home_land=TblConstr[[#Headers],[Ch_Hill]],TblConstr[[#This Row],[Home Land]])+IF(TblConstr[[#This Row],[Hour]:[Hour]]&gt;12,OFFSET(TblExplore[[#This Row],[Hill Explore]],-12,0),0)</f>
        <v>0</v>
      </c>
      <c r="CU20" s="196" t="n">
        <f aca="false">-SUM(TblConstr[[#This Row],[Tow]:[WG]])+SUM(TblConstr[[#This Row],[Dest Tow]:[Dest WG]]) +Rezone!P20 + IF("Ch_" &amp; home_land=TblConstr[[#Headers],[Ch_Swamp]],TblConstr[[#This Row],[Home Land]])+IF(TblConstr[[#This Row],[Hour]:[Hour]]&gt;12,OFFSET(TblExplore[[#This Row],[Swamp Explore]],-12,0),0)</f>
        <v>0</v>
      </c>
      <c r="CV20" s="197" t="n">
        <f aca="false">- SUM(TblConstr[[#This Row],[DM]:[Sch]])+SUM(TblConstr[[#This Row],[Dest DM]:[Dest Sch]]) +Rezone!Q20 + IF("Ch_" &amp; home_land=TblConstr[[#Headers],[Ch_Cavern]],TblConstr[[#This Row],[Home Land]])+IF(TblConstr[[#This Row],[Hour]:[Hour]]&gt;12,OFFSET(TblExplore[[#This Row],[Cavern Explore]],-12,0),0)</f>
        <v>0</v>
      </c>
      <c r="CW20" s="198" t="n">
        <f aca="false">-TblConstr[[#This Row],[Doc]]+TblConstr[[#This Row],[Dest Doc]] +Rezone!R20 + IF("Ch_" &amp; home_land=TblConstr[[#Headers],[Ch_Water]],TblConstr[[#This Row],[Home Land]])+IF(TblConstr[[#This Row],[Hour]:[Hour]]&gt;12,OFFSET(TblExplore[[#This Row],[Water Explore]],-12,0),0)</f>
        <v>0</v>
      </c>
      <c r="CX20" s="1" t="n">
        <f aca="false">IF(Explore!S20=1,20) - TblConstr[[#This Row],[Hom]] + TblConstr[[#This Row],[Dest Hom]]</f>
        <v>0</v>
      </c>
      <c r="CY20" s="132"/>
      <c r="CZ20" s="69" t="n">
        <f aca="false">G20+SUM(P9:S20)+SUM(AZ20:BC20)</f>
        <v>130</v>
      </c>
      <c r="DA20" s="69" t="n">
        <f aca="false">H20+SUM(T9:U20)+SUM(BD20:BE20)</f>
        <v>20</v>
      </c>
      <c r="DB20" s="1" t="n">
        <f aca="false">I20+SUM(V9:W20)+SUM(BF20:BG20)</f>
        <v>0</v>
      </c>
      <c r="DC20" s="69" t="n">
        <f aca="false">J20+SUM(X9:Y20)+SUM(BH20:BI20)</f>
        <v>30</v>
      </c>
      <c r="DD20" s="69" t="n">
        <f aca="false">K20+SUM(AB9:AD20)+SUM(BL20:BN20)</f>
        <v>65</v>
      </c>
      <c r="DE20" s="1" t="n">
        <f aca="false">L20+SUM(AE9:AE20)+BO20</f>
        <v>0</v>
      </c>
      <c r="DF20" s="69" t="n">
        <f aca="false">M20+SUM(AG9:AG20)+BQ20</f>
        <v>5</v>
      </c>
      <c r="DG20" s="69" t="e">
        <f aca="false" t="array" ref="DG20:DG20">INDEX(TblConstr[[Total Plain]:[Total Water]],ROW()-ROW(TblConstr[#headers]),MATCH("Total "&amp;home_land,TblConstr[[#Headers],[Total Plain]:[Total Water]],0))+TblConstr[[#This Row],[Homes]]</f>
        <v>#VALUE!</v>
      </c>
      <c r="DH20" s="1" t="n">
        <f aca="false">SUM(O9:O20)+AY20</f>
        <v>0</v>
      </c>
      <c r="DI20" s="1" t="n">
        <f aca="false">MAX(BA20-BA19,0)</f>
        <v>0</v>
      </c>
      <c r="DJ20" s="1" t="n">
        <f aca="false">MAX(BQ20-BQ19,0)</f>
        <v>0</v>
      </c>
    </row>
    <row r="21" customFormat="false" ht="12.75" hidden="false" customHeight="false" outlineLevel="0" collapsed="false">
      <c r="A21" s="170" t="n">
        <f aca="false">TblRezone[[#This Row],[Hour]]</f>
        <v>18</v>
      </c>
      <c r="B21" s="171" t="n">
        <f aca="false">SUM(TblConstr[[#This Row],[Plain]:[Water]])</f>
        <v>0</v>
      </c>
      <c r="C21" s="172" t="n">
        <f aca="false">SUM(TblConstr[[#This Row],[Tot Hom]:[Tot Doc]])</f>
        <v>185</v>
      </c>
      <c r="D21" s="172" t="n">
        <f aca="false">SUM(O10:AG21)</f>
        <v>89</v>
      </c>
      <c r="E21" s="173"/>
      <c r="F21" s="33" t="n">
        <f aca="false">TblConstr[[#This Row],[Barren]]+TblConstr[[#This Row],[Buildings]]+TblConstr[[#This Row],[Incoming]]</f>
        <v>274</v>
      </c>
      <c r="G21" s="199" t="n">
        <f aca="false">OFFSET(TblConstr[[#This Row],[Plain]],-1,0)+TblConstr[[#This Row],[Ch_Plain]]</f>
        <v>0</v>
      </c>
      <c r="H21" s="193" t="n">
        <f aca="false">OFFSET(TblConstr[[#This Row],[Forest]],-1,0)+TblConstr[[#This Row],[Ch_Forest]]</f>
        <v>0</v>
      </c>
      <c r="I21" s="200" t="n">
        <f aca="false">OFFSET(TblConstr[[#This Row],[Mountain]],-1,0)+TblConstr[[#This Row],[Ch_Mountain]]</f>
        <v>0</v>
      </c>
      <c r="J21" s="201" t="n">
        <f aca="false">OFFSET(TblConstr[[#This Row],[Hill]],-1,0)+TblConstr[[#This Row],[Ch_Hill]]</f>
        <v>0</v>
      </c>
      <c r="K21" s="202" t="n">
        <f aca="false">OFFSET(TblConstr[[#This Row],[Swamp]],-1,0)+TblConstr[[#This Row],[Ch_Swamp]]</f>
        <v>0</v>
      </c>
      <c r="L21" s="197" t="n">
        <f aca="false">OFFSET(TblConstr[[#This Row],[Cavern]],-1,0)+TblConstr[[#This Row],[Ch_Cavern]]</f>
        <v>0</v>
      </c>
      <c r="M21" s="198" t="n">
        <f aca="false">OFFSET(TblConstr[[#This Row],[Water]],-1,0)+TblConstr[[#This Row],[Ch_Water]]</f>
        <v>0</v>
      </c>
      <c r="N21" s="181" t="n">
        <f aca="false">TblRezone[[#This Row],[Hour]]</f>
        <v>18</v>
      </c>
      <c r="O21" s="182"/>
      <c r="P21" s="182" t="n">
        <v>12</v>
      </c>
      <c r="Q21" s="182" t="n">
        <v>1</v>
      </c>
      <c r="R21" s="182"/>
      <c r="S21" s="182"/>
      <c r="T21" s="182" t="n">
        <v>3</v>
      </c>
      <c r="U21" s="182"/>
      <c r="V21" s="182"/>
      <c r="W21" s="182"/>
      <c r="X21" s="182" t="n">
        <v>8</v>
      </c>
      <c r="Y21" s="182"/>
      <c r="Z21" s="182"/>
      <c r="AA21" s="182"/>
      <c r="AB21" s="182"/>
      <c r="AC21" s="182"/>
      <c r="AD21" s="182"/>
      <c r="AE21" s="182"/>
      <c r="AF21" s="182"/>
      <c r="AG21" s="182"/>
      <c r="AH21" s="20" t="n">
        <f aca="false">TblImps[[#This Row],[Time]]</f>
        <v>45430.4583333333</v>
      </c>
      <c r="AI21" s="130" t="n">
        <f aca="false">MIN(25%,(TblConstr[[#This Row],[Tot Fac]]+TblConstr[[#This Row],[Dest Fac]])/(TblConstr[[#This Row],[Land]]-TblExplore[[#This Row],[Land Bonus]]*20))</f>
        <v>0.102189781021898</v>
      </c>
      <c r="AJ21" s="130" t="n">
        <f aca="false">MIN(25%,(TblConstr[[#This Row],[Tot Fac]]+TblConstr[[#This Row],[Dest Fac]])/TblConstr[[#This Row],[Land]])</f>
        <v>0.102189781021898</v>
      </c>
      <c r="AK21" s="69" t="n">
        <f aca="false">TblProd[[#This Row],[Platinum]]</f>
        <v>980</v>
      </c>
      <c r="AL21" s="69" t="n">
        <f aca="false">TblProd[[#This Row],[Lumber]]</f>
        <v>3289</v>
      </c>
      <c r="AM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1" s="69" t="n">
        <f aca="false">ROUNDDOWN( MAX(1 - MIN(facs_constr_factor*TblConstr[[#This Row],[Facs -DB]],facs_constr_max) + tech_1_11*TblTech[[#This Row],[11-1]] + tech_6_3_2*TblTech[[#This Row],[6-3]] + tech_5_2_3*TblTech[[#This Row],[5-2]], 1-global_constr_cap) * TblConstr[[#This Row],[RCPA Lumber]],0)</f>
        <v>47</v>
      </c>
      <c r="AO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1" s="69" t="n">
        <f aca="false">ROUNDDOWN( MAX(1 - MIN(facs_constr_factor*TblConstr[[#This Row],[Facs DB]],facs_constr_max) + tech_1_11*TblTech[[#This Row],[1-11]] + tech_6_3_2*TblTech[[#This Row],[6-3]] + tech_5_2_3*TblTech[[#This Row],[5-2]], 1-global_constr_cap) * ROUND((TblConstr[[#This Row],[Land]]-250)*0.285 + 87.5 + 0/4.25,0),0)</f>
        <v>47</v>
      </c>
      <c r="AQ21" s="1" t="n">
        <f aca="false">TblConstr[[#This Row],[build -db]]*TblConstr[[#This Row],[CPA Platinum -DB]] + TblConstr[[#This Row],[build db]]*TblConstr[[#This Row],[CPA Platinum DB]]</f>
        <v>8448</v>
      </c>
      <c r="AR21" s="1" t="n">
        <f aca="false">TblConstr[[#This Row],[build -db]]*TblConstr[[#This Row],[CPA Lumber -DB]]+TblConstr[[#This Row],[build db]]*TblConstr[[#This Row],[CPA Lumber DB]]</f>
        <v>1128</v>
      </c>
      <c r="AS21" s="69" t="n">
        <f aca="false">MIN(SUM(OFFSET(TblConstr[[#This Row],[Plain]:[Water]],-1,0))+SUM(TblConstr[[#This Row],[Dest Hom]:[Dest Doc]])+IF(TblConstr[[#This Row],[Hour]]&gt;12,SUM(OFFSET(TblExplore[[#This Row],[Plains Explore]:[Water Explore]],-12,0)),0),SUM(TblConstr[[#This Row],[Hom]:[Doc]]))</f>
        <v>24</v>
      </c>
      <c r="AT2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32"/>
      <c r="AV21" s="69" t="n">
        <f aca="false">ROUND((TblConstr[[#This Row],[Land]]-250 - IF(TblExplore[[#This Row],[Land Bonus]]&lt;&gt;0,20,0))*1.25 + 850 + 0,0)</f>
        <v>880</v>
      </c>
      <c r="AW21" s="69" t="n">
        <f aca="false">ROUND((TblConstr[[#This Row],[Land]]-250 - IF(TblExplore[[#This Row],[Land Bonus]]&lt;&gt;0,20,0))*0.285 + 87.5 + 0/4.25,0)</f>
        <v>94</v>
      </c>
      <c r="AX21" s="146"/>
      <c r="AY21" s="203" t="n">
        <f aca="false" t="array" ref="AY21:AY21">IF(TblConstr[[#This Row],[Hour]:[Hour]]&gt;12,OFFSET(TblConstr[[#This Row],[Hom]],-12,0),0)+OFFSET(TblConstr[[#This Row],[Tot Hom]],-1,0)-TblConstr[[#This Row],[Dest Hom]]</f>
        <v>0</v>
      </c>
      <c r="AZ21" s="204" t="n">
        <f aca="false" t="array" ref="AZ21:AZ21">IF(TblConstr[[#This Row],[Hour]:[Hour]]&gt;12,OFFSET(TblConstr[[#This Row],[Alc]],-12,0),0)+OFFSET(TblConstr[[#This Row],[Tot Alc]],-1,0)-TblConstr[[#This Row],[Dest Alc]]</f>
        <v>70</v>
      </c>
      <c r="BA21" s="204" t="n">
        <f aca="false" t="array" ref="BA21:BA21">IF(TblConstr[[#This Row],[Hour]:[Hour]]&gt;12,OFFSET(TblConstr[[#This Row],[Far]],-12,0),0)+OFFSET(TblConstr[[#This Row],[Tot Farm]],-1,0)-TblConstr[[#This Row],[Dest Farm]]</f>
        <v>5</v>
      </c>
      <c r="BB21" s="204" t="n">
        <f aca="false" t="array" ref="BB21:BB21">IF(TblConstr[[#This Row],[Hour]:[Hour]]&gt;12,OFFSET(TblConstr[[#This Row],[Smi]],-12,0),0)+OFFSET(TblConstr[[#This Row],[Tot Smi]],-1,0)-TblConstr[[#This Row],[Dest Smi]]</f>
        <v>0</v>
      </c>
      <c r="BC21" s="204" t="n">
        <f aca="false" t="array" ref="BC21:BC21">IF(TblConstr[[#This Row],[Hour]:[Hour]]&gt;12,OFFSET(TblConstr[[#This Row],[Mas]],-12,0),0)+OFFSET(TblConstr[[#This Row],[Tot Mas]],-1,0)-TblConstr[[#This Row],[Dest Mas]]</f>
        <v>0</v>
      </c>
      <c r="BD21" s="205" t="n">
        <f aca="false" t="array" ref="BD21:BD21">IF(TblConstr[[#This Row],[Hour]:[Hour]]&gt;12,OFFSET(TblConstr[[#This Row],[Ly]],-12,0),0)+OFFSET(TblConstr[[#This Row],[Tot Ly]],-1,0)-TblConstr[[#This Row],[Dest Ly]]</f>
        <v>20</v>
      </c>
      <c r="BE21" s="205" t="n">
        <f aca="false" t="array" ref="BE21:BE21">IF(TblConstr[[#This Row],[Hour]:[Hour]]&gt;12,OFFSET(TblConstr[[#This Row],[Hav]],-12,0),0)+OFFSET(TblConstr[[#This Row],[Tot Hav]],-1,0)-TblConstr[[#This Row],[Dest Hav]]</f>
        <v>0</v>
      </c>
      <c r="BF21" s="194" t="n">
        <f aca="false" t="array" ref="BF21:BF21">IF(TblConstr[[#This Row],[Hour]:[Hour]]&gt;12,OFFSET(TblConstr[[#This Row],[OM]],-12,0),0)+OFFSET(TblConstr[[#This Row],[Tot OM]],-1,0)-TblConstr[[#This Row],[Dest OM]]</f>
        <v>0</v>
      </c>
      <c r="BG21" s="194" t="n">
        <f aca="false" t="array" ref="BG21:BG21">IF(TblConstr[[#This Row],[Hour]:[Hour]]&gt;12,OFFSET(TblConstr[[#This Row],[GN]],-12,0),0)+OFFSET(TblConstr[[#This Row],[Tot GN]],-1,0)-TblConstr[[#This Row],[Dest GN]]</f>
        <v>0</v>
      </c>
      <c r="BH21" s="206" t="n">
        <f aca="false" t="array" ref="BH21:BH21">IF(TblConstr[[#This Row],[Hour]:[Hour]]&gt;12,OFFSET(TblConstr[[#This Row],[Fac]],-12,0),0)+OFFSET(TblConstr[[#This Row],[Tot Fac]],-1,0)-TblConstr[[#This Row],[Dest Fac]]</f>
        <v>28</v>
      </c>
      <c r="BI21" s="206" t="n">
        <f aca="false" t="array" ref="BI21:BI21">IF(TblConstr[[#This Row],[Hour]:[Hour]]&gt;12,OFFSET(TblConstr[[#This Row],[GT]],-12,0),0)+OFFSET(TblConstr[[#This Row],[Tot GT]],-1,0)-TblConstr[[#This Row],[Dest GT]]</f>
        <v>0</v>
      </c>
      <c r="BJ21" s="206" t="n">
        <f aca="false" t="array" ref="BJ21:BJ21">IF(TblConstr[[#This Row],[Hour]:[Hour]]&gt;12,OFFSET(TblConstr[[#This Row],[Bar]],-12,0),0)+OFFSET(TblConstr[[#This Row],[Tot Bar]],-1,0)-TblConstr[[#This Row],[Dest Bar]]</f>
        <v>0</v>
      </c>
      <c r="BK21" s="206" t="n">
        <f aca="false" t="array" ref="BK21:BK21">IF(TblConstr[[#This Row],[Hour]:[Hour]]&gt;12,OFFSET(TblConstr[[#This Row],[Shr]],-12,0),0)+OFFSET(TblConstr[[#This Row],[Tot Shr]],-1,0)-TblConstr[[#This Row],[Dest Shr]]</f>
        <v>0</v>
      </c>
      <c r="BL21" s="207" t="n">
        <f aca="false" t="array" ref="BL21:BL21">IF(TblConstr[[#This Row],[Hour]:[Hour]]&gt;12,OFFSET(TblConstr[[#This Row],[Tow]],-12,0),0)+OFFSET(TblConstr[[#This Row],[Tot Tow]],-1,0)-TblConstr[[#This Row],[Dest Tow]]</f>
        <v>15</v>
      </c>
      <c r="BM21" s="207" t="n">
        <f aca="false" t="array" ref="BM21:BM21">IF(TblConstr[[#This Row],[Hour]:[Hour]]&gt;12,OFFSET(TblConstr[[#This Row],[Tem]],-12,0),0)+OFFSET(TblConstr[[#This Row],[Tot Tem]],-1,0)-TblConstr[[#This Row],[Dest Tem]]</f>
        <v>47</v>
      </c>
      <c r="BN21" s="207" t="n">
        <f aca="false" t="array" ref="BN21:BN21">IF(TblConstr[[#This Row],[Hour]:[Hour]]&gt;12,OFFSET(TblConstr[[#This Row],[WG]],-12,0),0)+OFFSET(TblConstr[[#This Row],[Tot WG]],-1,0)-TblConstr[[#This Row],[Dest WG]]</f>
        <v>0</v>
      </c>
      <c r="BO21" s="208" t="n">
        <f aca="false" t="array" ref="BO21:BO21">IF(TblConstr[[#This Row],[Hour]:[Hour]]&gt;12,OFFSET(TblConstr[[#This Row],[DM]],-12,0),0)+OFFSET(TblConstr[[#This Row],[Tot DM]],-1,0)-TblConstr[[#This Row],[Dest DM]]</f>
        <v>0</v>
      </c>
      <c r="BP21" s="208" t="n">
        <f aca="false" t="array" ref="BP21:BP21">IF(TblConstr[[#This Row],[Hour]:[Hour]]&gt;12,OFFSET(TblConstr[[#This Row],[Sch]],-12,0),0)+OFFSET(TblConstr[[#This Row],[Tot Sch]],-1,0)-TblConstr[[#This Row],[Dest Sch]]</f>
        <v>0</v>
      </c>
      <c r="BQ21" s="209" t="n">
        <f aca="false" t="array" ref="BQ21:BQ21">IF(TblConstr[[#This Row],[Hour]:[Hour]]&gt;12,OFFSET(TblConstr[[#This Row],[Doc]],-12,0),0)+OFFSET(TblConstr[[#This Row],[Tot Doc]],-1,0)-TblConstr[[#This Row],[Dest Doc]]</f>
        <v>0</v>
      </c>
      <c r="BR21" s="132"/>
      <c r="BS21" s="146"/>
      <c r="BT21" s="69" t="n">
        <f aca="false">TblConstr[[#This Row],[Land]]</f>
        <v>274</v>
      </c>
      <c r="BU21" s="153" t="n">
        <f aca="false">TblImps[[#This Row],[Time]]</f>
        <v>45430.4583333333</v>
      </c>
      <c r="BV21" s="132"/>
      <c r="BW21" s="182"/>
      <c r="BX21" s="182"/>
      <c r="BY21" s="182"/>
      <c r="BZ21" s="182"/>
      <c r="CA21" s="182"/>
      <c r="CB21" s="182"/>
      <c r="CC21" s="182"/>
      <c r="CD21" s="182"/>
      <c r="CE21" s="182"/>
      <c r="CF21" s="182"/>
      <c r="CG21" s="182"/>
      <c r="CH21" s="182"/>
      <c r="CI21" s="182"/>
      <c r="CJ21" s="182"/>
      <c r="CK21" s="182"/>
      <c r="CL21" s="182"/>
      <c r="CM21" s="182"/>
      <c r="CN21" s="182"/>
      <c r="CO21" s="182"/>
      <c r="CP21" s="132"/>
      <c r="CQ21" s="192" t="n">
        <f aca="false">-SUM(TblConstr[[#This Row],[Alc]:[Mas]])+SUM(TblConstr[[#This Row],[Dest Alc]:[Dest Mas]])+Rezone!L21+IF("Ch_"&amp; home_land=TblConstr[[#Headers],[Ch_Plain]],TblConstr[[#This Row],[Home Land]])+IF(TblConstr[[#This Row],[Hour]:[Hour]]&gt;12,OFFSET(TblExplore[[#This Row],[Plains Explore]],-12,0),0)</f>
        <v>0</v>
      </c>
      <c r="CR21" s="193" t="n">
        <f aca="false">-SUM(TblConstr[[#This Row],[Ly]:[Hav]])+SUM(TblConstr[[#This Row],[Dest Ly]:[Dest Hav]]) +Rezone!M21 + IF("Ch_"&amp; home_land=TblConstr[[#Headers],[Ch_Forest]],TblConstr[[#This Row],[Home Land]])+IF(TblConstr[[#This Row],[Hour]:[Hour]]&gt;12,OFFSET(TblExplore[[#This Row],[Forest Explore]],-12,0),0)</f>
        <v>0</v>
      </c>
      <c r="CS21" s="200" t="n">
        <f aca="false">-SUM(TblConstr[[#This Row],[OM]:[GN]])+SUM(TblConstr[[#This Row],[Dest OM]:[Dest GN]]) +Rezone!N21 + IF("Ch_"&amp; home_land=TblConstr[[#Headers],[Ch_Mountain]],TblConstr[[#This Row],[Home Land]])+IF(TblConstr[[#This Row],[Hour]:[Hour]]&gt;12,OFFSET(TblExplore[[#This Row],[Mountain Explore]],-12,0),0)</f>
        <v>0</v>
      </c>
      <c r="CT21" s="195" t="n">
        <f aca="false">-SUM(TblConstr[[#This Row],[Fac]:[Shr]])+SUM(TblConstr[[#This Row],[Dest Fac]:[Dest Shr]]) +Rezone!O21 + IF("Ch_" &amp; home_land=TblConstr[[#Headers],[Ch_Hill]],TblConstr[[#This Row],[Home Land]])+IF(TblConstr[[#This Row],[Hour]:[Hour]]&gt;12,OFFSET(TblExplore[[#This Row],[Hill Explore]],-12,0),0)</f>
        <v>0</v>
      </c>
      <c r="CU21" s="196" t="n">
        <f aca="false">-SUM(TblConstr[[#This Row],[Tow]:[WG]])+SUM(TblConstr[[#This Row],[Dest Tow]:[Dest WG]]) +Rezone!P21 + IF("Ch_" &amp; home_land=TblConstr[[#Headers],[Ch_Swamp]],TblConstr[[#This Row],[Home Land]])+IF(TblConstr[[#This Row],[Hour]:[Hour]]&gt;12,OFFSET(TblExplore[[#This Row],[Swamp Explore]],-12,0),0)</f>
        <v>0</v>
      </c>
      <c r="CV21" s="197" t="n">
        <f aca="false">- SUM(TblConstr[[#This Row],[DM]:[Sch]])+SUM(TblConstr[[#This Row],[Dest DM]:[Dest Sch]]) +Rezone!Q21 + IF("Ch_" &amp; home_land=TblConstr[[#Headers],[Ch_Cavern]],TblConstr[[#This Row],[Home Land]])+IF(TblConstr[[#This Row],[Hour]:[Hour]]&gt;12,OFFSET(TblExplore[[#This Row],[Cavern Explore]],-12,0),0)</f>
        <v>0</v>
      </c>
      <c r="CW21" s="198" t="n">
        <f aca="false">-TblConstr[[#This Row],[Doc]]+TblConstr[[#This Row],[Dest Doc]] +Rezone!R21 + IF("Ch_" &amp; home_land=TblConstr[[#Headers],[Ch_Water]],TblConstr[[#This Row],[Home Land]])+IF(TblConstr[[#This Row],[Hour]:[Hour]]&gt;12,OFFSET(TblExplore[[#This Row],[Water Explore]],-12,0),0)</f>
        <v>0</v>
      </c>
      <c r="CX21" s="1" t="n">
        <f aca="false">IF(Explore!S21=1,20) - TblConstr[[#This Row],[Hom]] + TblConstr[[#This Row],[Dest Hom]]</f>
        <v>0</v>
      </c>
      <c r="CY21" s="132"/>
      <c r="CZ21" s="69" t="n">
        <f aca="false">G21+SUM(P10:S21)+SUM(AZ21:BC21)</f>
        <v>143</v>
      </c>
      <c r="DA21" s="69" t="n">
        <f aca="false">H21+SUM(T10:U21)+SUM(BD21:BE21)</f>
        <v>23</v>
      </c>
      <c r="DB21" s="1" t="n">
        <f aca="false">I21+SUM(V10:W21)+SUM(BF21:BG21)</f>
        <v>0</v>
      </c>
      <c r="DC21" s="69" t="n">
        <f aca="false">J21+SUM(X10:Y21)+SUM(BH21:BI21)</f>
        <v>38</v>
      </c>
      <c r="DD21" s="69" t="n">
        <f aca="false">K21+SUM(AB10:AD21)+SUM(BL21:BN21)</f>
        <v>65</v>
      </c>
      <c r="DE21" s="1" t="n">
        <f aca="false">L21+SUM(AE10:AE21)+BO21</f>
        <v>0</v>
      </c>
      <c r="DF21" s="69" t="n">
        <f aca="false">M21+SUM(AG10:AG21)+BQ21</f>
        <v>5</v>
      </c>
      <c r="DG21" s="69" t="e">
        <f aca="false" t="array" ref="DG21:DG21">INDEX(TblConstr[[Total Plain]:[Total Water]],ROW()-ROW(TblConstr[#headers]),MATCH("Total "&amp;home_land,TblConstr[[#Headers],[Total Plain]:[Total Water]],0))+TblConstr[[#This Row],[Homes]]</f>
        <v>#VALUE!</v>
      </c>
      <c r="DH21" s="1" t="n">
        <f aca="false">SUM(O10:O21)+AY21</f>
        <v>0</v>
      </c>
      <c r="DI21" s="1" t="n">
        <f aca="false">MAX(BA21-BA20,0)</f>
        <v>0</v>
      </c>
      <c r="DJ21" s="1" t="n">
        <f aca="false">MAX(BQ21-BQ20,0)</f>
        <v>0</v>
      </c>
    </row>
    <row r="22" customFormat="false" ht="12.75" hidden="false" customHeight="false" outlineLevel="0" collapsed="false">
      <c r="A22" s="170" t="n">
        <f aca="false">TblRezone[[#This Row],[Hour]]</f>
        <v>19</v>
      </c>
      <c r="B22" s="171" t="n">
        <f aca="false">SUM(TblConstr[[#This Row],[Plain]:[Water]])</f>
        <v>0</v>
      </c>
      <c r="C22" s="172" t="n">
        <f aca="false">SUM(TblConstr[[#This Row],[Tot Hom]:[Tot Doc]])</f>
        <v>185</v>
      </c>
      <c r="D22" s="172" t="n">
        <f aca="false">SUM(O11:AG22)</f>
        <v>90</v>
      </c>
      <c r="E22" s="173"/>
      <c r="F22" s="33" t="n">
        <f aca="false">TblConstr[[#This Row],[Barren]]+TblConstr[[#This Row],[Buildings]]+TblConstr[[#This Row],[Incoming]]</f>
        <v>275</v>
      </c>
      <c r="G22" s="199" t="n">
        <f aca="false">OFFSET(TblConstr[[#This Row],[Plain]],-1,0)+TblConstr[[#This Row],[Ch_Plain]]</f>
        <v>0</v>
      </c>
      <c r="H22" s="193" t="n">
        <f aca="false">OFFSET(TblConstr[[#This Row],[Forest]],-1,0)+TblConstr[[#This Row],[Ch_Forest]]</f>
        <v>0</v>
      </c>
      <c r="I22" s="200" t="n">
        <f aca="false">OFFSET(TblConstr[[#This Row],[Mountain]],-1,0)+TblConstr[[#This Row],[Ch_Mountain]]</f>
        <v>0</v>
      </c>
      <c r="J22" s="201" t="n">
        <f aca="false">OFFSET(TblConstr[[#This Row],[Hill]],-1,0)+TblConstr[[#This Row],[Ch_Hill]]</f>
        <v>0</v>
      </c>
      <c r="K22" s="202" t="n">
        <f aca="false">OFFSET(TblConstr[[#This Row],[Swamp]],-1,0)+TblConstr[[#This Row],[Ch_Swamp]]</f>
        <v>0</v>
      </c>
      <c r="L22" s="197" t="n">
        <f aca="false">OFFSET(TblConstr[[#This Row],[Cavern]],-1,0)+TblConstr[[#This Row],[Ch_Cavern]]</f>
        <v>0</v>
      </c>
      <c r="M22" s="198" t="n">
        <f aca="false">OFFSET(TblConstr[[#This Row],[Water]],-1,0)+TblConstr[[#This Row],[Ch_Water]]</f>
        <v>0</v>
      </c>
      <c r="N22" s="181" t="n">
        <f aca="false">TblRezone[[#This Row],[Hour]]</f>
        <v>19</v>
      </c>
      <c r="O22" s="182"/>
      <c r="P22" s="182"/>
      <c r="Q22" s="182"/>
      <c r="R22" s="182"/>
      <c r="S22" s="182"/>
      <c r="T22" s="182"/>
      <c r="U22" s="182"/>
      <c r="V22" s="182"/>
      <c r="W22" s="182"/>
      <c r="X22" s="182" t="n">
        <v>1</v>
      </c>
      <c r="Y22" s="182"/>
      <c r="Z22" s="182"/>
      <c r="AA22" s="182"/>
      <c r="AB22" s="182"/>
      <c r="AC22" s="182"/>
      <c r="AD22" s="182"/>
      <c r="AE22" s="182"/>
      <c r="AF22" s="182"/>
      <c r="AG22" s="182"/>
      <c r="AH22" s="20" t="n">
        <f aca="false">TblImps[[#This Row],[Time]]</f>
        <v>45430.5</v>
      </c>
      <c r="AI22" s="130" t="n">
        <f aca="false">MIN(25%,(TblConstr[[#This Row],[Tot Fac]]+TblConstr[[#This Row],[Dest Fac]])/(TblConstr[[#This Row],[Land]]-TblExplore[[#This Row],[Land Bonus]]*20))</f>
        <v>0.101818181818182</v>
      </c>
      <c r="AJ22" s="130" t="n">
        <f aca="false">MIN(25%,(TblConstr[[#This Row],[Tot Fac]]+TblConstr[[#This Row],[Dest Fac]])/TblConstr[[#This Row],[Land]])</f>
        <v>0.101818181818182</v>
      </c>
      <c r="AK22" s="69" t="n">
        <f aca="false">TblProd[[#This Row],[Platinum]]</f>
        <v>1245</v>
      </c>
      <c r="AL22" s="69" t="n">
        <f aca="false">TblProd[[#This Row],[Lumber]]</f>
        <v>4109</v>
      </c>
      <c r="AM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2" s="69" t="n">
        <f aca="false">ROUNDDOWN( MAX(1 - MIN(facs_constr_factor*TblConstr[[#This Row],[Facs -DB]],facs_constr_max) + tech_1_11*TblTech[[#This Row],[11-1]] + tech_6_3_2*TblTech[[#This Row],[6-3]] + tech_5_2_3*TblTech[[#This Row],[5-2]], 1-global_constr_cap) * TblConstr[[#This Row],[RCPA Lumber]],0)</f>
        <v>47</v>
      </c>
      <c r="AO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2" s="69" t="n">
        <f aca="false">ROUNDDOWN( MAX(1 - MIN(facs_constr_factor*TblConstr[[#This Row],[Facs DB]],facs_constr_max) + tech_1_11*TblTech[[#This Row],[1-11]] + tech_6_3_2*TblTech[[#This Row],[6-3]] + tech_5_2_3*TblTech[[#This Row],[5-2]], 1-global_constr_cap) * ROUND((TblConstr[[#This Row],[Land]]-250)*0.285 + 87.5 + 0/4.25,0),0)</f>
        <v>47</v>
      </c>
      <c r="AQ22" s="1" t="n">
        <f aca="false">TblConstr[[#This Row],[build -db]]*TblConstr[[#This Row],[CPA Platinum -DB]] + TblConstr[[#This Row],[build db]]*TblConstr[[#This Row],[CPA Platinum DB]]</f>
        <v>352</v>
      </c>
      <c r="AR22" s="1" t="n">
        <f aca="false">TblConstr[[#This Row],[build -db]]*TblConstr[[#This Row],[CPA Lumber -DB]]+TblConstr[[#This Row],[build db]]*TblConstr[[#This Row],[CPA Lumber DB]]</f>
        <v>47</v>
      </c>
      <c r="AS22" s="69" t="n">
        <f aca="false">MIN(SUM(OFFSET(TblConstr[[#This Row],[Plain]:[Water]],-1,0))+SUM(TblConstr[[#This Row],[Dest Hom]:[Dest Doc]])+IF(TblConstr[[#This Row],[Hour]]&gt;12,SUM(OFFSET(TblExplore[[#This Row],[Plains Explore]:[Water Explore]],-12,0)),0),SUM(TblConstr[[#This Row],[Hom]:[Doc]]))</f>
        <v>1</v>
      </c>
      <c r="AT2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32"/>
      <c r="AV22" s="69" t="n">
        <f aca="false">ROUND((TblConstr[[#This Row],[Land]]-250 - IF(TblExplore[[#This Row],[Land Bonus]]&lt;&gt;0,20,0))*1.25 + 850 + 0,0)</f>
        <v>881</v>
      </c>
      <c r="AW22" s="69" t="n">
        <f aca="false">ROUND((TblConstr[[#This Row],[Land]]-250 - IF(TblExplore[[#This Row],[Land Bonus]]&lt;&gt;0,20,0))*0.285 + 87.5 + 0/4.25,0)</f>
        <v>95</v>
      </c>
      <c r="AX22" s="146"/>
      <c r="AY22" s="203" t="n">
        <f aca="false" t="array" ref="AY22:AY22">IF(TblConstr[[#This Row],[Hour]:[Hour]]&gt;12,OFFSET(TblConstr[[#This Row],[Hom]],-12,0),0)+OFFSET(TblConstr[[#This Row],[Tot Hom]],-1,0)-TblConstr[[#This Row],[Dest Hom]]</f>
        <v>0</v>
      </c>
      <c r="AZ22" s="204" t="n">
        <f aca="false" t="array" ref="AZ22:AZ22">IF(TblConstr[[#This Row],[Hour]:[Hour]]&gt;12,OFFSET(TblConstr[[#This Row],[Alc]],-12,0),0)+OFFSET(TblConstr[[#This Row],[Tot Alc]],-1,0)-TblConstr[[#This Row],[Dest Alc]]</f>
        <v>70</v>
      </c>
      <c r="BA22" s="204" t="n">
        <f aca="false" t="array" ref="BA22:BA22">IF(TblConstr[[#This Row],[Hour]:[Hour]]&gt;12,OFFSET(TblConstr[[#This Row],[Far]],-12,0),0)+OFFSET(TblConstr[[#This Row],[Tot Farm]],-1,0)-TblConstr[[#This Row],[Dest Farm]]</f>
        <v>5</v>
      </c>
      <c r="BB22" s="204" t="n">
        <f aca="false" t="array" ref="BB22:BB22">IF(TblConstr[[#This Row],[Hour]:[Hour]]&gt;12,OFFSET(TblConstr[[#This Row],[Smi]],-12,0),0)+OFFSET(TblConstr[[#This Row],[Tot Smi]],-1,0)-TblConstr[[#This Row],[Dest Smi]]</f>
        <v>0</v>
      </c>
      <c r="BC22" s="204" t="n">
        <f aca="false" t="array" ref="BC22:BC22">IF(TblConstr[[#This Row],[Hour]:[Hour]]&gt;12,OFFSET(TblConstr[[#This Row],[Mas]],-12,0),0)+OFFSET(TblConstr[[#This Row],[Tot Mas]],-1,0)-TblConstr[[#This Row],[Dest Mas]]</f>
        <v>0</v>
      </c>
      <c r="BD22" s="205" t="n">
        <f aca="false" t="array" ref="BD22:BD22">IF(TblConstr[[#This Row],[Hour]:[Hour]]&gt;12,OFFSET(TblConstr[[#This Row],[Ly]],-12,0),0)+OFFSET(TblConstr[[#This Row],[Tot Ly]],-1,0)-TblConstr[[#This Row],[Dest Ly]]</f>
        <v>20</v>
      </c>
      <c r="BE22" s="205" t="n">
        <f aca="false" t="array" ref="BE22:BE22">IF(TblConstr[[#This Row],[Hour]:[Hour]]&gt;12,OFFSET(TblConstr[[#This Row],[Hav]],-12,0),0)+OFFSET(TblConstr[[#This Row],[Tot Hav]],-1,0)-TblConstr[[#This Row],[Dest Hav]]</f>
        <v>0</v>
      </c>
      <c r="BF22" s="194" t="n">
        <f aca="false" t="array" ref="BF22:BF22">IF(TblConstr[[#This Row],[Hour]:[Hour]]&gt;12,OFFSET(TblConstr[[#This Row],[OM]],-12,0),0)+OFFSET(TblConstr[[#This Row],[Tot OM]],-1,0)-TblConstr[[#This Row],[Dest OM]]</f>
        <v>0</v>
      </c>
      <c r="BG22" s="194" t="n">
        <f aca="false" t="array" ref="BG22:BG22">IF(TblConstr[[#This Row],[Hour]:[Hour]]&gt;12,OFFSET(TblConstr[[#This Row],[GN]],-12,0),0)+OFFSET(TblConstr[[#This Row],[Tot GN]],-1,0)-TblConstr[[#This Row],[Dest GN]]</f>
        <v>0</v>
      </c>
      <c r="BH22" s="206" t="n">
        <f aca="false" t="array" ref="BH22:BH22">IF(TblConstr[[#This Row],[Hour]:[Hour]]&gt;12,OFFSET(TblConstr[[#This Row],[Fac]],-12,0),0)+OFFSET(TblConstr[[#This Row],[Tot Fac]],-1,0)-TblConstr[[#This Row],[Dest Fac]]</f>
        <v>28</v>
      </c>
      <c r="BI22" s="206" t="n">
        <f aca="false" t="array" ref="BI22:BI22">IF(TblConstr[[#This Row],[Hour]:[Hour]]&gt;12,OFFSET(TblConstr[[#This Row],[GT]],-12,0),0)+OFFSET(TblConstr[[#This Row],[Tot GT]],-1,0)-TblConstr[[#This Row],[Dest GT]]</f>
        <v>0</v>
      </c>
      <c r="BJ22" s="206" t="n">
        <f aca="false" t="array" ref="BJ22:BJ22">IF(TblConstr[[#This Row],[Hour]:[Hour]]&gt;12,OFFSET(TblConstr[[#This Row],[Bar]],-12,0),0)+OFFSET(TblConstr[[#This Row],[Tot Bar]],-1,0)-TblConstr[[#This Row],[Dest Bar]]</f>
        <v>0</v>
      </c>
      <c r="BK22" s="206" t="n">
        <f aca="false" t="array" ref="BK22:BK22">IF(TblConstr[[#This Row],[Hour]:[Hour]]&gt;12,OFFSET(TblConstr[[#This Row],[Shr]],-12,0),0)+OFFSET(TblConstr[[#This Row],[Tot Shr]],-1,0)-TblConstr[[#This Row],[Dest Shr]]</f>
        <v>0</v>
      </c>
      <c r="BL22" s="207" t="n">
        <f aca="false" t="array" ref="BL22:BL22">IF(TblConstr[[#This Row],[Hour]:[Hour]]&gt;12,OFFSET(TblConstr[[#This Row],[Tow]],-12,0),0)+OFFSET(TblConstr[[#This Row],[Tot Tow]],-1,0)-TblConstr[[#This Row],[Dest Tow]]</f>
        <v>15</v>
      </c>
      <c r="BM22" s="207" t="n">
        <f aca="false" t="array" ref="BM22:BM22">IF(TblConstr[[#This Row],[Hour]:[Hour]]&gt;12,OFFSET(TblConstr[[#This Row],[Tem]],-12,0),0)+OFFSET(TblConstr[[#This Row],[Tot Tem]],-1,0)-TblConstr[[#This Row],[Dest Tem]]</f>
        <v>47</v>
      </c>
      <c r="BN22" s="207" t="n">
        <f aca="false" t="array" ref="BN22:BN22">IF(TblConstr[[#This Row],[Hour]:[Hour]]&gt;12,OFFSET(TblConstr[[#This Row],[WG]],-12,0),0)+OFFSET(TblConstr[[#This Row],[Tot WG]],-1,0)-TblConstr[[#This Row],[Dest WG]]</f>
        <v>0</v>
      </c>
      <c r="BO22" s="208" t="n">
        <f aca="false" t="array" ref="BO22:BO22">IF(TblConstr[[#This Row],[Hour]:[Hour]]&gt;12,OFFSET(TblConstr[[#This Row],[DM]],-12,0),0)+OFFSET(TblConstr[[#This Row],[Tot DM]],-1,0)-TblConstr[[#This Row],[Dest DM]]</f>
        <v>0</v>
      </c>
      <c r="BP22" s="208" t="n">
        <f aca="false" t="array" ref="BP22:BP22">IF(TblConstr[[#This Row],[Hour]:[Hour]]&gt;12,OFFSET(TblConstr[[#This Row],[Sch]],-12,0),0)+OFFSET(TblConstr[[#This Row],[Tot Sch]],-1,0)-TblConstr[[#This Row],[Dest Sch]]</f>
        <v>0</v>
      </c>
      <c r="BQ22" s="209" t="n">
        <f aca="false" t="array" ref="BQ22:BQ22">IF(TblConstr[[#This Row],[Hour]:[Hour]]&gt;12,OFFSET(TblConstr[[#This Row],[Doc]],-12,0),0)+OFFSET(TblConstr[[#This Row],[Tot Doc]],-1,0)-TblConstr[[#This Row],[Dest Doc]]</f>
        <v>0</v>
      </c>
      <c r="BR22" s="132"/>
      <c r="BS22" s="146"/>
      <c r="BT22" s="69" t="n">
        <f aca="false">TblConstr[[#This Row],[Land]]</f>
        <v>275</v>
      </c>
      <c r="BU22" s="153" t="n">
        <f aca="false">TblImps[[#This Row],[Time]]</f>
        <v>45430.5</v>
      </c>
      <c r="BV22" s="132"/>
      <c r="BW22" s="182"/>
      <c r="BX22" s="182"/>
      <c r="BY22" s="182"/>
      <c r="BZ22" s="182"/>
      <c r="CA22" s="182"/>
      <c r="CB22" s="182"/>
      <c r="CC22" s="182"/>
      <c r="CD22" s="182"/>
      <c r="CE22" s="182"/>
      <c r="CF22" s="182"/>
      <c r="CG22" s="182"/>
      <c r="CH22" s="182"/>
      <c r="CI22" s="182"/>
      <c r="CJ22" s="182"/>
      <c r="CK22" s="182"/>
      <c r="CL22" s="182"/>
      <c r="CM22" s="182"/>
      <c r="CN22" s="182"/>
      <c r="CO22" s="182"/>
      <c r="CP22" s="132"/>
      <c r="CQ22" s="192" t="n">
        <f aca="false">-SUM(TblConstr[[#This Row],[Alc]:[Mas]])+SUM(TblConstr[[#This Row],[Dest Alc]:[Dest Mas]])+Rezone!L22+IF("Ch_"&amp; home_land=TblConstr[[#Headers],[Ch_Plain]],TblConstr[[#This Row],[Home Land]])+IF(TblConstr[[#This Row],[Hour]:[Hour]]&gt;12,OFFSET(TblExplore[[#This Row],[Plains Explore]],-12,0),0)</f>
        <v>0</v>
      </c>
      <c r="CR22" s="193" t="n">
        <f aca="false">-SUM(TblConstr[[#This Row],[Ly]:[Hav]])+SUM(TblConstr[[#This Row],[Dest Ly]:[Dest Hav]]) +Rezone!M22 + IF("Ch_"&amp; home_land=TblConstr[[#Headers],[Ch_Forest]],TblConstr[[#This Row],[Home Land]])+IF(TblConstr[[#This Row],[Hour]:[Hour]]&gt;12,OFFSET(TblExplore[[#This Row],[Forest Explore]],-12,0),0)</f>
        <v>0</v>
      </c>
      <c r="CS22" s="200" t="n">
        <f aca="false">-SUM(TblConstr[[#This Row],[OM]:[GN]])+SUM(TblConstr[[#This Row],[Dest OM]:[Dest GN]]) +Rezone!N22 + IF("Ch_"&amp; home_land=TblConstr[[#Headers],[Ch_Mountain]],TblConstr[[#This Row],[Home Land]])+IF(TblConstr[[#This Row],[Hour]:[Hour]]&gt;12,OFFSET(TblExplore[[#This Row],[Mountain Explore]],-12,0),0)</f>
        <v>0</v>
      </c>
      <c r="CT22" s="195" t="n">
        <f aca="false">-SUM(TblConstr[[#This Row],[Fac]:[Shr]])+SUM(TblConstr[[#This Row],[Dest Fac]:[Dest Shr]]) +Rezone!O22 + IF("Ch_" &amp; home_land=TblConstr[[#Headers],[Ch_Hill]],TblConstr[[#This Row],[Home Land]])+IF(TblConstr[[#This Row],[Hour]:[Hour]]&gt;12,OFFSET(TblExplore[[#This Row],[Hill Explore]],-12,0),0)</f>
        <v>0</v>
      </c>
      <c r="CU22" s="196" t="n">
        <f aca="false">-SUM(TblConstr[[#This Row],[Tow]:[WG]])+SUM(TblConstr[[#This Row],[Dest Tow]:[Dest WG]]) +Rezone!P22 + IF("Ch_" &amp; home_land=TblConstr[[#Headers],[Ch_Swamp]],TblConstr[[#This Row],[Home Land]])+IF(TblConstr[[#This Row],[Hour]:[Hour]]&gt;12,OFFSET(TblExplore[[#This Row],[Swamp Explore]],-12,0),0)</f>
        <v>0</v>
      </c>
      <c r="CV22" s="197" t="n">
        <f aca="false">- SUM(TblConstr[[#This Row],[DM]:[Sch]])+SUM(TblConstr[[#This Row],[Dest DM]:[Dest Sch]]) +Rezone!Q22 + IF("Ch_" &amp; home_land=TblConstr[[#Headers],[Ch_Cavern]],TblConstr[[#This Row],[Home Land]])+IF(TblConstr[[#This Row],[Hour]:[Hour]]&gt;12,OFFSET(TblExplore[[#This Row],[Cavern Explore]],-12,0),0)</f>
        <v>0</v>
      </c>
      <c r="CW22" s="198" t="n">
        <f aca="false">-TblConstr[[#This Row],[Doc]]+TblConstr[[#This Row],[Dest Doc]] +Rezone!R22 + IF("Ch_" &amp; home_land=TblConstr[[#Headers],[Ch_Water]],TblConstr[[#This Row],[Home Land]])+IF(TblConstr[[#This Row],[Hour]:[Hour]]&gt;12,OFFSET(TblExplore[[#This Row],[Water Explore]],-12,0),0)</f>
        <v>0</v>
      </c>
      <c r="CX22" s="1" t="n">
        <f aca="false">IF(Explore!S22=1,20) - TblConstr[[#This Row],[Hom]] + TblConstr[[#This Row],[Dest Hom]]</f>
        <v>0</v>
      </c>
      <c r="CY22" s="132"/>
      <c r="CZ22" s="69" t="n">
        <f aca="false">G22+SUM(P11:S22)+SUM(AZ22:BC22)</f>
        <v>143</v>
      </c>
      <c r="DA22" s="69" t="n">
        <f aca="false">H22+SUM(T11:U22)+SUM(BD22:BE22)</f>
        <v>23</v>
      </c>
      <c r="DB22" s="1" t="n">
        <f aca="false">I22+SUM(V11:W22)+SUM(BF22:BG22)</f>
        <v>0</v>
      </c>
      <c r="DC22" s="69" t="n">
        <f aca="false">J22+SUM(X11:Y22)+SUM(BH22:BI22)</f>
        <v>39</v>
      </c>
      <c r="DD22" s="69" t="n">
        <f aca="false">K22+SUM(AB11:AD22)+SUM(BL22:BN22)</f>
        <v>65</v>
      </c>
      <c r="DE22" s="1" t="n">
        <f aca="false">L22+SUM(AE11:AE22)+BO22</f>
        <v>0</v>
      </c>
      <c r="DF22" s="69" t="n">
        <f aca="false">M22+SUM(AG11:AG22)+BQ22</f>
        <v>5</v>
      </c>
      <c r="DG22" s="69" t="e">
        <f aca="false" t="array" ref="DG22:DG22">INDEX(TblConstr[[Total Plain]:[Total Water]],ROW()-ROW(TblConstr[#headers]),MATCH("Total "&amp;home_land,TblConstr[[#Headers],[Total Plain]:[Total Water]],0))+TblConstr[[#This Row],[Homes]]</f>
        <v>#VALUE!</v>
      </c>
      <c r="DH22" s="1" t="n">
        <f aca="false">SUM(O11:O22)+AY22</f>
        <v>0</v>
      </c>
      <c r="DI22" s="1" t="n">
        <f aca="false">MAX(BA22-BA21,0)</f>
        <v>0</v>
      </c>
      <c r="DJ22" s="1" t="n">
        <f aca="false">MAX(BQ22-BQ21,0)</f>
        <v>0</v>
      </c>
    </row>
    <row r="23" customFormat="false" ht="12.75" hidden="false" customHeight="false" outlineLevel="0" collapsed="false">
      <c r="A23" s="170" t="n">
        <f aca="false">TblRezone[[#This Row],[Hour]]</f>
        <v>20</v>
      </c>
      <c r="B23" s="171" t="n">
        <f aca="false">SUM(TblConstr[[#This Row],[Plain]:[Water]])</f>
        <v>0</v>
      </c>
      <c r="C23" s="172" t="n">
        <f aca="false">SUM(TblConstr[[#This Row],[Tot Hom]:[Tot Doc]])</f>
        <v>185</v>
      </c>
      <c r="D23" s="172" t="n">
        <f aca="false">SUM(O12:AG23)</f>
        <v>91</v>
      </c>
      <c r="E23" s="173"/>
      <c r="F23" s="33" t="n">
        <f aca="false">TblConstr[[#This Row],[Barren]]+TblConstr[[#This Row],[Buildings]]+TblConstr[[#This Row],[Incoming]]</f>
        <v>276</v>
      </c>
      <c r="G23" s="199" t="n">
        <f aca="false">OFFSET(TblConstr[[#This Row],[Plain]],-1,0)+TblConstr[[#This Row],[Ch_Plain]]</f>
        <v>0</v>
      </c>
      <c r="H23" s="193" t="n">
        <f aca="false">OFFSET(TblConstr[[#This Row],[Forest]],-1,0)+TblConstr[[#This Row],[Ch_Forest]]</f>
        <v>0</v>
      </c>
      <c r="I23" s="200" t="n">
        <f aca="false">OFFSET(TblConstr[[#This Row],[Mountain]],-1,0)+TblConstr[[#This Row],[Ch_Mountain]]</f>
        <v>0</v>
      </c>
      <c r="J23" s="201" t="n">
        <f aca="false">OFFSET(TblConstr[[#This Row],[Hill]],-1,0)+TblConstr[[#This Row],[Ch_Hill]]</f>
        <v>0</v>
      </c>
      <c r="K23" s="202" t="n">
        <f aca="false">OFFSET(TblConstr[[#This Row],[Swamp]],-1,0)+TblConstr[[#This Row],[Ch_Swamp]]</f>
        <v>0</v>
      </c>
      <c r="L23" s="197" t="n">
        <f aca="false">OFFSET(TblConstr[[#This Row],[Cavern]],-1,0)+TblConstr[[#This Row],[Ch_Cavern]]</f>
        <v>0</v>
      </c>
      <c r="M23" s="198" t="n">
        <f aca="false">OFFSET(TblConstr[[#This Row],[Water]],-1,0)+TblConstr[[#This Row],[Ch_Water]]</f>
        <v>0</v>
      </c>
      <c r="N23" s="181" t="n">
        <f aca="false">TblRezone[[#This Row],[Hour]]</f>
        <v>20</v>
      </c>
      <c r="O23" s="182"/>
      <c r="P23" s="182"/>
      <c r="Q23" s="182"/>
      <c r="R23" s="182"/>
      <c r="S23" s="182"/>
      <c r="T23" s="182"/>
      <c r="U23" s="182"/>
      <c r="V23" s="182"/>
      <c r="W23" s="182"/>
      <c r="X23" s="182" t="n">
        <v>1</v>
      </c>
      <c r="Y23" s="182"/>
      <c r="Z23" s="182"/>
      <c r="AA23" s="182"/>
      <c r="AB23" s="182"/>
      <c r="AC23" s="182"/>
      <c r="AD23" s="182"/>
      <c r="AE23" s="182"/>
      <c r="AF23" s="182"/>
      <c r="AG23" s="182"/>
      <c r="AH23" s="20" t="n">
        <f aca="false">TblImps[[#This Row],[Time]]</f>
        <v>45430.5416666667</v>
      </c>
      <c r="AI23" s="130" t="n">
        <f aca="false">MIN(25%,(TblConstr[[#This Row],[Tot Fac]]+TblConstr[[#This Row],[Dest Fac]])/(TblConstr[[#This Row],[Land]]-TblExplore[[#This Row],[Land Bonus]]*20))</f>
        <v>0.101449275362319</v>
      </c>
      <c r="AJ23" s="130" t="n">
        <f aca="false">MIN(25%,(TblConstr[[#This Row],[Tot Fac]]+TblConstr[[#This Row],[Dest Fac]])/TblConstr[[#This Row],[Land]])</f>
        <v>0.101449275362319</v>
      </c>
      <c r="AK23" s="69" t="n">
        <f aca="false">TblProd[[#This Row],[Platinum]]</f>
        <v>1024</v>
      </c>
      <c r="AL23" s="69" t="n">
        <f aca="false">TblProd[[#This Row],[Lumber]]</f>
        <v>4921</v>
      </c>
      <c r="AM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3" s="69" t="n">
        <f aca="false">ROUNDDOWN( MAX(1 - MIN(facs_constr_factor*TblConstr[[#This Row],[Facs -DB]],facs_constr_max) + tech_1_11*TblTech[[#This Row],[11-1]] + tech_6_3_2*TblTech[[#This Row],[6-3]] + tech_5_2_3*TblTech[[#This Row],[5-2]], 1-global_constr_cap) * TblConstr[[#This Row],[RCPA Lumber]],0)</f>
        <v>47</v>
      </c>
      <c r="AO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3" s="69" t="n">
        <f aca="false">ROUNDDOWN( MAX(1 - MIN(facs_constr_factor*TblConstr[[#This Row],[Facs DB]],facs_constr_max) + tech_1_11*TblTech[[#This Row],[1-11]] + tech_6_3_2*TblTech[[#This Row],[6-3]] + tech_5_2_3*TblTech[[#This Row],[5-2]], 1-global_constr_cap) * ROUND((TblConstr[[#This Row],[Land]]-250)*0.285 + 87.5 + 0/4.25,0),0)</f>
        <v>47</v>
      </c>
      <c r="AQ23" s="1" t="n">
        <f aca="false">TblConstr[[#This Row],[build -db]]*TblConstr[[#This Row],[CPA Platinum -DB]] + TblConstr[[#This Row],[build db]]*TblConstr[[#This Row],[CPA Platinum DB]]</f>
        <v>353</v>
      </c>
      <c r="AR23" s="1" t="n">
        <f aca="false">TblConstr[[#This Row],[build -db]]*TblConstr[[#This Row],[CPA Lumber -DB]]+TblConstr[[#This Row],[build db]]*TblConstr[[#This Row],[CPA Lumber DB]]</f>
        <v>47</v>
      </c>
      <c r="AS23" s="69" t="n">
        <f aca="false">MIN(SUM(OFFSET(TblConstr[[#This Row],[Plain]:[Water]],-1,0))+SUM(TblConstr[[#This Row],[Dest Hom]:[Dest Doc]])+IF(TblConstr[[#This Row],[Hour]]&gt;12,SUM(OFFSET(TblExplore[[#This Row],[Plains Explore]:[Water Explore]],-12,0)),0),SUM(TblConstr[[#This Row],[Hom]:[Doc]]))</f>
        <v>1</v>
      </c>
      <c r="AT2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32"/>
      <c r="AV23" s="69" t="n">
        <f aca="false">ROUND((TblConstr[[#This Row],[Land]]-250 - IF(TblExplore[[#This Row],[Land Bonus]]&lt;&gt;0,20,0))*1.25 + 850 + 0,0)</f>
        <v>883</v>
      </c>
      <c r="AW23" s="69" t="n">
        <f aca="false">ROUND((TblConstr[[#This Row],[Land]]-250 - IF(TblExplore[[#This Row],[Land Bonus]]&lt;&gt;0,20,0))*0.285 + 87.5 + 0/4.25,0)</f>
        <v>95</v>
      </c>
      <c r="AX23" s="146"/>
      <c r="AY23" s="203" t="n">
        <f aca="false" t="array" ref="AY23:AY23">IF(TblConstr[[#This Row],[Hour]:[Hour]]&gt;12,OFFSET(TblConstr[[#This Row],[Hom]],-12,0),0)+OFFSET(TblConstr[[#This Row],[Tot Hom]],-1,0)-TblConstr[[#This Row],[Dest Hom]]</f>
        <v>0</v>
      </c>
      <c r="AZ23" s="204" t="n">
        <f aca="false" t="array" ref="AZ23:AZ23">IF(TblConstr[[#This Row],[Hour]:[Hour]]&gt;12,OFFSET(TblConstr[[#This Row],[Alc]],-12,0),0)+OFFSET(TblConstr[[#This Row],[Tot Alc]],-1,0)-TblConstr[[#This Row],[Dest Alc]]</f>
        <v>70</v>
      </c>
      <c r="BA23" s="204" t="n">
        <f aca="false" t="array" ref="BA23:BA23">IF(TblConstr[[#This Row],[Hour]:[Hour]]&gt;12,OFFSET(TblConstr[[#This Row],[Far]],-12,0),0)+OFFSET(TblConstr[[#This Row],[Tot Farm]],-1,0)-TblConstr[[#This Row],[Dest Farm]]</f>
        <v>5</v>
      </c>
      <c r="BB23" s="204" t="n">
        <f aca="false" t="array" ref="BB23:BB23">IF(TblConstr[[#This Row],[Hour]:[Hour]]&gt;12,OFFSET(TblConstr[[#This Row],[Smi]],-12,0),0)+OFFSET(TblConstr[[#This Row],[Tot Smi]],-1,0)-TblConstr[[#This Row],[Dest Smi]]</f>
        <v>0</v>
      </c>
      <c r="BC23" s="204" t="n">
        <f aca="false" t="array" ref="BC23:BC23">IF(TblConstr[[#This Row],[Hour]:[Hour]]&gt;12,OFFSET(TblConstr[[#This Row],[Mas]],-12,0),0)+OFFSET(TblConstr[[#This Row],[Tot Mas]],-1,0)-TblConstr[[#This Row],[Dest Mas]]</f>
        <v>0</v>
      </c>
      <c r="BD23" s="205" t="n">
        <f aca="false" t="array" ref="BD23:BD23">IF(TblConstr[[#This Row],[Hour]:[Hour]]&gt;12,OFFSET(TblConstr[[#This Row],[Ly]],-12,0),0)+OFFSET(TblConstr[[#This Row],[Tot Ly]],-1,0)-TblConstr[[#This Row],[Dest Ly]]</f>
        <v>20</v>
      </c>
      <c r="BE23" s="205" t="n">
        <f aca="false" t="array" ref="BE23:BE23">IF(TblConstr[[#This Row],[Hour]:[Hour]]&gt;12,OFFSET(TblConstr[[#This Row],[Hav]],-12,0),0)+OFFSET(TblConstr[[#This Row],[Tot Hav]],-1,0)-TblConstr[[#This Row],[Dest Hav]]</f>
        <v>0</v>
      </c>
      <c r="BF23" s="194" t="n">
        <f aca="false" t="array" ref="BF23:BF23">IF(TblConstr[[#This Row],[Hour]:[Hour]]&gt;12,OFFSET(TblConstr[[#This Row],[OM]],-12,0),0)+OFFSET(TblConstr[[#This Row],[Tot OM]],-1,0)-TblConstr[[#This Row],[Dest OM]]</f>
        <v>0</v>
      </c>
      <c r="BG23" s="194" t="n">
        <f aca="false" t="array" ref="BG23:BG23">IF(TblConstr[[#This Row],[Hour]:[Hour]]&gt;12,OFFSET(TblConstr[[#This Row],[GN]],-12,0),0)+OFFSET(TblConstr[[#This Row],[Tot GN]],-1,0)-TblConstr[[#This Row],[Dest GN]]</f>
        <v>0</v>
      </c>
      <c r="BH23" s="206" t="n">
        <f aca="false" t="array" ref="BH23:BH23">IF(TblConstr[[#This Row],[Hour]:[Hour]]&gt;12,OFFSET(TblConstr[[#This Row],[Fac]],-12,0),0)+OFFSET(TblConstr[[#This Row],[Tot Fac]],-1,0)-TblConstr[[#This Row],[Dest Fac]]</f>
        <v>28</v>
      </c>
      <c r="BI23" s="206" t="n">
        <f aca="false" t="array" ref="BI23:BI23">IF(TblConstr[[#This Row],[Hour]:[Hour]]&gt;12,OFFSET(TblConstr[[#This Row],[GT]],-12,0),0)+OFFSET(TblConstr[[#This Row],[Tot GT]],-1,0)-TblConstr[[#This Row],[Dest GT]]</f>
        <v>0</v>
      </c>
      <c r="BJ23" s="206" t="n">
        <f aca="false" t="array" ref="BJ23:BJ23">IF(TblConstr[[#This Row],[Hour]:[Hour]]&gt;12,OFFSET(TblConstr[[#This Row],[Bar]],-12,0),0)+OFFSET(TblConstr[[#This Row],[Tot Bar]],-1,0)-TblConstr[[#This Row],[Dest Bar]]</f>
        <v>0</v>
      </c>
      <c r="BK23" s="206" t="n">
        <f aca="false" t="array" ref="BK23:BK23">IF(TblConstr[[#This Row],[Hour]:[Hour]]&gt;12,OFFSET(TblConstr[[#This Row],[Shr]],-12,0),0)+OFFSET(TblConstr[[#This Row],[Tot Shr]],-1,0)-TblConstr[[#This Row],[Dest Shr]]</f>
        <v>0</v>
      </c>
      <c r="BL23" s="207" t="n">
        <f aca="false" t="array" ref="BL23:BL23">IF(TblConstr[[#This Row],[Hour]:[Hour]]&gt;12,OFFSET(TblConstr[[#This Row],[Tow]],-12,0),0)+OFFSET(TblConstr[[#This Row],[Tot Tow]],-1,0)-TblConstr[[#This Row],[Dest Tow]]</f>
        <v>15</v>
      </c>
      <c r="BM23" s="207" t="n">
        <f aca="false" t="array" ref="BM23:BM23">IF(TblConstr[[#This Row],[Hour]:[Hour]]&gt;12,OFFSET(TblConstr[[#This Row],[Tem]],-12,0),0)+OFFSET(TblConstr[[#This Row],[Tot Tem]],-1,0)-TblConstr[[#This Row],[Dest Tem]]</f>
        <v>47</v>
      </c>
      <c r="BN23" s="207" t="n">
        <f aca="false" t="array" ref="BN23:BN23">IF(TblConstr[[#This Row],[Hour]:[Hour]]&gt;12,OFFSET(TblConstr[[#This Row],[WG]],-12,0),0)+OFFSET(TblConstr[[#This Row],[Tot WG]],-1,0)-TblConstr[[#This Row],[Dest WG]]</f>
        <v>0</v>
      </c>
      <c r="BO23" s="208" t="n">
        <f aca="false" t="array" ref="BO23:BO23">IF(TblConstr[[#This Row],[Hour]:[Hour]]&gt;12,OFFSET(TblConstr[[#This Row],[DM]],-12,0),0)+OFFSET(TblConstr[[#This Row],[Tot DM]],-1,0)-TblConstr[[#This Row],[Dest DM]]</f>
        <v>0</v>
      </c>
      <c r="BP23" s="208" t="n">
        <f aca="false" t="array" ref="BP23:BP23">IF(TblConstr[[#This Row],[Hour]:[Hour]]&gt;12,OFFSET(TblConstr[[#This Row],[Sch]],-12,0),0)+OFFSET(TblConstr[[#This Row],[Tot Sch]],-1,0)-TblConstr[[#This Row],[Dest Sch]]</f>
        <v>0</v>
      </c>
      <c r="BQ23" s="209" t="n">
        <f aca="false" t="array" ref="BQ23:BQ23">IF(TblConstr[[#This Row],[Hour]:[Hour]]&gt;12,OFFSET(TblConstr[[#This Row],[Doc]],-12,0),0)+OFFSET(TblConstr[[#This Row],[Tot Doc]],-1,0)-TblConstr[[#This Row],[Dest Doc]]</f>
        <v>0</v>
      </c>
      <c r="BR23" s="132"/>
      <c r="BS23" s="146"/>
      <c r="BT23" s="69" t="n">
        <f aca="false">TblConstr[[#This Row],[Land]]</f>
        <v>276</v>
      </c>
      <c r="BU23" s="153" t="n">
        <f aca="false">TblImps[[#This Row],[Time]]</f>
        <v>45430.5416666667</v>
      </c>
      <c r="BV23" s="132"/>
      <c r="BW23" s="182"/>
      <c r="BX23" s="182"/>
      <c r="BY23" s="182"/>
      <c r="BZ23" s="182"/>
      <c r="CA23" s="182"/>
      <c r="CB23" s="182"/>
      <c r="CC23" s="182"/>
      <c r="CD23" s="182"/>
      <c r="CE23" s="182"/>
      <c r="CF23" s="182"/>
      <c r="CG23" s="182"/>
      <c r="CH23" s="182"/>
      <c r="CI23" s="182"/>
      <c r="CJ23" s="182"/>
      <c r="CK23" s="182"/>
      <c r="CL23" s="182"/>
      <c r="CM23" s="182"/>
      <c r="CN23" s="182"/>
      <c r="CO23" s="182"/>
      <c r="CP23" s="132"/>
      <c r="CQ23" s="192" t="n">
        <f aca="false">-SUM(TblConstr[[#This Row],[Alc]:[Mas]])+SUM(TblConstr[[#This Row],[Dest Alc]:[Dest Mas]])+Rezone!L23+IF("Ch_"&amp; home_land=TblConstr[[#Headers],[Ch_Plain]],TblConstr[[#This Row],[Home Land]])+IF(TblConstr[[#This Row],[Hour]:[Hour]]&gt;12,OFFSET(TblExplore[[#This Row],[Plains Explore]],-12,0),0)</f>
        <v>0</v>
      </c>
      <c r="CR23" s="193" t="n">
        <f aca="false">-SUM(TblConstr[[#This Row],[Ly]:[Hav]])+SUM(TblConstr[[#This Row],[Dest Ly]:[Dest Hav]]) +Rezone!M23 + IF("Ch_"&amp; home_land=TblConstr[[#Headers],[Ch_Forest]],TblConstr[[#This Row],[Home Land]])+IF(TblConstr[[#This Row],[Hour]:[Hour]]&gt;12,OFFSET(TblExplore[[#This Row],[Forest Explore]],-12,0),0)</f>
        <v>0</v>
      </c>
      <c r="CS23" s="200" t="n">
        <f aca="false">-SUM(TblConstr[[#This Row],[OM]:[GN]])+SUM(TblConstr[[#This Row],[Dest OM]:[Dest GN]]) +Rezone!N23 + IF("Ch_"&amp; home_land=TblConstr[[#Headers],[Ch_Mountain]],TblConstr[[#This Row],[Home Land]])+IF(TblConstr[[#This Row],[Hour]:[Hour]]&gt;12,OFFSET(TblExplore[[#This Row],[Mountain Explore]],-12,0),0)</f>
        <v>0</v>
      </c>
      <c r="CT23" s="195" t="n">
        <f aca="false">-SUM(TblConstr[[#This Row],[Fac]:[Shr]])+SUM(TblConstr[[#This Row],[Dest Fac]:[Dest Shr]]) +Rezone!O23 + IF("Ch_" &amp; home_land=TblConstr[[#Headers],[Ch_Hill]],TblConstr[[#This Row],[Home Land]])+IF(TblConstr[[#This Row],[Hour]:[Hour]]&gt;12,OFFSET(TblExplore[[#This Row],[Hill Explore]],-12,0),0)</f>
        <v>0</v>
      </c>
      <c r="CU23" s="196" t="n">
        <f aca="false">-SUM(TblConstr[[#This Row],[Tow]:[WG]])+SUM(TblConstr[[#This Row],[Dest Tow]:[Dest WG]]) +Rezone!P23 + IF("Ch_" &amp; home_land=TblConstr[[#Headers],[Ch_Swamp]],TblConstr[[#This Row],[Home Land]])+IF(TblConstr[[#This Row],[Hour]:[Hour]]&gt;12,OFFSET(TblExplore[[#This Row],[Swamp Explore]],-12,0),0)</f>
        <v>0</v>
      </c>
      <c r="CV23" s="197" t="n">
        <f aca="false">- SUM(TblConstr[[#This Row],[DM]:[Sch]])+SUM(TblConstr[[#This Row],[Dest DM]:[Dest Sch]]) +Rezone!Q23 + IF("Ch_" &amp; home_land=TblConstr[[#Headers],[Ch_Cavern]],TblConstr[[#This Row],[Home Land]])+IF(TblConstr[[#This Row],[Hour]:[Hour]]&gt;12,OFFSET(TblExplore[[#This Row],[Cavern Explore]],-12,0),0)</f>
        <v>0</v>
      </c>
      <c r="CW23" s="198" t="n">
        <f aca="false">-TblConstr[[#This Row],[Doc]]+TblConstr[[#This Row],[Dest Doc]] +Rezone!R23 + IF("Ch_" &amp; home_land=TblConstr[[#Headers],[Ch_Water]],TblConstr[[#This Row],[Home Land]])+IF(TblConstr[[#This Row],[Hour]:[Hour]]&gt;12,OFFSET(TblExplore[[#This Row],[Water Explore]],-12,0),0)</f>
        <v>0</v>
      </c>
      <c r="CX23" s="1" t="n">
        <f aca="false">IF(Explore!S23=1,20) - TblConstr[[#This Row],[Hom]] + TblConstr[[#This Row],[Dest Hom]]</f>
        <v>0</v>
      </c>
      <c r="CY23" s="132"/>
      <c r="CZ23" s="69" t="n">
        <f aca="false">G23+SUM(P12:S23)+SUM(AZ23:BC23)</f>
        <v>143</v>
      </c>
      <c r="DA23" s="69" t="n">
        <f aca="false">H23+SUM(T12:U23)+SUM(BD23:BE23)</f>
        <v>23</v>
      </c>
      <c r="DB23" s="1" t="n">
        <f aca="false">I23+SUM(V12:W23)+SUM(BF23:BG23)</f>
        <v>0</v>
      </c>
      <c r="DC23" s="69" t="n">
        <f aca="false">J23+SUM(X12:Y23)+SUM(BH23:BI23)</f>
        <v>40</v>
      </c>
      <c r="DD23" s="69" t="n">
        <f aca="false">K23+SUM(AB12:AD23)+SUM(BL23:BN23)</f>
        <v>65</v>
      </c>
      <c r="DE23" s="1" t="n">
        <f aca="false">L23+SUM(AE12:AE23)+BO23</f>
        <v>0</v>
      </c>
      <c r="DF23" s="69" t="n">
        <f aca="false">M23+SUM(AG12:AG23)+BQ23</f>
        <v>5</v>
      </c>
      <c r="DG23" s="69" t="e">
        <f aca="false" t="array" ref="DG23:DG23">INDEX(TblConstr[[Total Plain]:[Total Water]],ROW()-ROW(TblConstr[#headers]),MATCH("Total "&amp;home_land,TblConstr[[#Headers],[Total Plain]:[Total Water]],0))+TblConstr[[#This Row],[Homes]]</f>
        <v>#VALUE!</v>
      </c>
      <c r="DH23" s="1" t="n">
        <f aca="false">SUM(O12:O23)+AY23</f>
        <v>0</v>
      </c>
      <c r="DI23" s="1" t="n">
        <f aca="false">MAX(BA23-BA22,0)</f>
        <v>0</v>
      </c>
      <c r="DJ23" s="1" t="n">
        <f aca="false">MAX(BQ23-BQ22,0)</f>
        <v>0</v>
      </c>
    </row>
    <row r="24" customFormat="false" ht="12.75" hidden="false" customHeight="false" outlineLevel="0" collapsed="false">
      <c r="A24" s="170" t="n">
        <f aca="false">TblRezone[[#This Row],[Hour]]</f>
        <v>21</v>
      </c>
      <c r="B24" s="171" t="n">
        <f aca="false">SUM(TblConstr[[#This Row],[Plain]:[Water]])</f>
        <v>0</v>
      </c>
      <c r="C24" s="172" t="n">
        <f aca="false">SUM(TblConstr[[#This Row],[Tot Hom]:[Tot Doc]])</f>
        <v>185</v>
      </c>
      <c r="D24" s="172" t="n">
        <f aca="false">SUM(O13:AG24)</f>
        <v>92</v>
      </c>
      <c r="E24" s="173"/>
      <c r="F24" s="33" t="n">
        <f aca="false">TblConstr[[#This Row],[Barren]]+TblConstr[[#This Row],[Buildings]]+TblConstr[[#This Row],[Incoming]]</f>
        <v>277</v>
      </c>
      <c r="G24" s="199" t="n">
        <f aca="false">OFFSET(TblConstr[[#This Row],[Plain]],-1,0)+TblConstr[[#This Row],[Ch_Plain]]</f>
        <v>0</v>
      </c>
      <c r="H24" s="193" t="n">
        <f aca="false">OFFSET(TblConstr[[#This Row],[Forest]],-1,0)+TblConstr[[#This Row],[Ch_Forest]]</f>
        <v>0</v>
      </c>
      <c r="I24" s="200" t="n">
        <f aca="false">OFFSET(TblConstr[[#This Row],[Mountain]],-1,0)+TblConstr[[#This Row],[Ch_Mountain]]</f>
        <v>0</v>
      </c>
      <c r="J24" s="201" t="n">
        <f aca="false">OFFSET(TblConstr[[#This Row],[Hill]],-1,0)+TblConstr[[#This Row],[Ch_Hill]]</f>
        <v>0</v>
      </c>
      <c r="K24" s="202" t="n">
        <f aca="false">OFFSET(TblConstr[[#This Row],[Swamp]],-1,0)+TblConstr[[#This Row],[Ch_Swamp]]</f>
        <v>0</v>
      </c>
      <c r="L24" s="197" t="n">
        <f aca="false">OFFSET(TblConstr[[#This Row],[Cavern]],-1,0)+TblConstr[[#This Row],[Ch_Cavern]]</f>
        <v>0</v>
      </c>
      <c r="M24" s="198" t="n">
        <f aca="false">OFFSET(TblConstr[[#This Row],[Water]],-1,0)+TblConstr[[#This Row],[Ch_Water]]</f>
        <v>0</v>
      </c>
      <c r="N24" s="181" t="n">
        <f aca="false">TblRezone[[#This Row],[Hour]]</f>
        <v>21</v>
      </c>
      <c r="O24" s="182"/>
      <c r="P24" s="182"/>
      <c r="Q24" s="182"/>
      <c r="R24" s="152"/>
      <c r="S24" s="182"/>
      <c r="T24" s="182"/>
      <c r="U24" s="182"/>
      <c r="V24" s="182"/>
      <c r="W24" s="182"/>
      <c r="X24" s="182" t="n">
        <v>1</v>
      </c>
      <c r="Y24" s="182"/>
      <c r="Z24" s="182"/>
      <c r="AA24" s="182"/>
      <c r="AB24" s="182"/>
      <c r="AC24" s="182"/>
      <c r="AD24" s="182"/>
      <c r="AE24" s="182"/>
      <c r="AF24" s="182"/>
      <c r="AG24" s="182"/>
      <c r="AH24" s="20" t="n">
        <f aca="false">TblImps[[#This Row],[Time]]</f>
        <v>45430.5833333333</v>
      </c>
      <c r="AI24" s="130" t="n">
        <f aca="false">MIN(25%,(TblConstr[[#This Row],[Tot Fac]]+TblConstr[[#This Row],[Dest Fac]])/(TblConstr[[#This Row],[Land]]-TblExplore[[#This Row],[Land Bonus]]*20))</f>
        <v>0.101083032490975</v>
      </c>
      <c r="AJ24" s="130" t="n">
        <f aca="false">MIN(25%,(TblConstr[[#This Row],[Tot Fac]]+TblConstr[[#This Row],[Dest Fac]])/TblConstr[[#This Row],[Land]])</f>
        <v>0.101083032490975</v>
      </c>
      <c r="AK24" s="69" t="n">
        <f aca="false">TblProd[[#This Row],[Platinum]]</f>
        <v>1231</v>
      </c>
      <c r="AL24" s="69" t="n">
        <f aca="false">TblProd[[#This Row],[Lumber]]</f>
        <v>5725</v>
      </c>
      <c r="AM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4" s="69" t="n">
        <f aca="false">ROUNDDOWN( MAX(1 - MIN(facs_constr_factor*TblConstr[[#This Row],[Facs -DB]],facs_constr_max) + tech_1_11*TblTech[[#This Row],[11-1]] + tech_6_3_2*TblTech[[#This Row],[6-3]] + tech_5_2_3*TblTech[[#This Row],[5-2]], 1-global_constr_cap) * TblConstr[[#This Row],[RCPA Lumber]],0)</f>
        <v>47</v>
      </c>
      <c r="AO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4" s="69" t="n">
        <f aca="false">ROUNDDOWN( MAX(1 - MIN(facs_constr_factor*TblConstr[[#This Row],[Facs DB]],facs_constr_max) + tech_1_11*TblTech[[#This Row],[1-11]] + tech_6_3_2*TblTech[[#This Row],[6-3]] + tech_5_2_3*TblTech[[#This Row],[5-2]], 1-global_constr_cap) * ROUND((TblConstr[[#This Row],[Land]]-250)*0.285 + 87.5 + 0/4.25,0),0)</f>
        <v>47</v>
      </c>
      <c r="AQ24" s="1" t="n">
        <f aca="false">TblConstr[[#This Row],[build -db]]*TblConstr[[#This Row],[CPA Platinum -DB]] + TblConstr[[#This Row],[build db]]*TblConstr[[#This Row],[CPA Platinum DB]]</f>
        <v>353</v>
      </c>
      <c r="AR24" s="1" t="n">
        <f aca="false">TblConstr[[#This Row],[build -db]]*TblConstr[[#This Row],[CPA Lumber -DB]]+TblConstr[[#This Row],[build db]]*TblConstr[[#This Row],[CPA Lumber DB]]</f>
        <v>47</v>
      </c>
      <c r="AS24" s="69" t="n">
        <f aca="false">MIN(SUM(OFFSET(TblConstr[[#This Row],[Plain]:[Water]],-1,0))+SUM(TblConstr[[#This Row],[Dest Hom]:[Dest Doc]])+IF(TblConstr[[#This Row],[Hour]]&gt;12,SUM(OFFSET(TblExplore[[#This Row],[Plains Explore]:[Water Explore]],-12,0)),0),SUM(TblConstr[[#This Row],[Hom]:[Doc]]))</f>
        <v>1</v>
      </c>
      <c r="AT2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32"/>
      <c r="AV24" s="69" t="n">
        <f aca="false">ROUND((TblConstr[[#This Row],[Land]]-250 - IF(TblExplore[[#This Row],[Land Bonus]]&lt;&gt;0,20,0))*1.25 + 850 + 0,0)</f>
        <v>884</v>
      </c>
      <c r="AW24" s="69" t="n">
        <f aca="false">ROUND((TblConstr[[#This Row],[Land]]-250 - IF(TblExplore[[#This Row],[Land Bonus]]&lt;&gt;0,20,0))*0.285 + 87.5 + 0/4.25,0)</f>
        <v>95</v>
      </c>
      <c r="AX24" s="146"/>
      <c r="AY24" s="203" t="n">
        <f aca="false" t="array" ref="AY24:AY24">IF(TblConstr[[#This Row],[Hour]:[Hour]]&gt;12,OFFSET(TblConstr[[#This Row],[Hom]],-12,0),0)+OFFSET(TblConstr[[#This Row],[Tot Hom]],-1,0)-TblConstr[[#This Row],[Dest Hom]]</f>
        <v>0</v>
      </c>
      <c r="AZ24" s="204" t="n">
        <f aca="false" t="array" ref="AZ24:AZ24">IF(TblConstr[[#This Row],[Hour]:[Hour]]&gt;12,OFFSET(TblConstr[[#This Row],[Alc]],-12,0),0)+OFFSET(TblConstr[[#This Row],[Tot Alc]],-1,0)-TblConstr[[#This Row],[Dest Alc]]</f>
        <v>70</v>
      </c>
      <c r="BA24" s="204" t="n">
        <f aca="false" t="array" ref="BA24:BA24">IF(TblConstr[[#This Row],[Hour]:[Hour]]&gt;12,OFFSET(TblConstr[[#This Row],[Far]],-12,0),0)+OFFSET(TblConstr[[#This Row],[Tot Farm]],-1,0)-TblConstr[[#This Row],[Dest Farm]]</f>
        <v>5</v>
      </c>
      <c r="BB24" s="204" t="n">
        <f aca="false" t="array" ref="BB24:BB24">IF(TblConstr[[#This Row],[Hour]:[Hour]]&gt;12,OFFSET(TblConstr[[#This Row],[Smi]],-12,0),0)+OFFSET(TblConstr[[#This Row],[Tot Smi]],-1,0)-TblConstr[[#This Row],[Dest Smi]]</f>
        <v>0</v>
      </c>
      <c r="BC24" s="204" t="n">
        <f aca="false" t="array" ref="BC24:BC24">IF(TblConstr[[#This Row],[Hour]:[Hour]]&gt;12,OFFSET(TblConstr[[#This Row],[Mas]],-12,0),0)+OFFSET(TblConstr[[#This Row],[Tot Mas]],-1,0)-TblConstr[[#This Row],[Dest Mas]]</f>
        <v>0</v>
      </c>
      <c r="BD24" s="205" t="n">
        <f aca="false" t="array" ref="BD24:BD24">IF(TblConstr[[#This Row],[Hour]:[Hour]]&gt;12,OFFSET(TblConstr[[#This Row],[Ly]],-12,0),0)+OFFSET(TblConstr[[#This Row],[Tot Ly]],-1,0)-TblConstr[[#This Row],[Dest Ly]]</f>
        <v>20</v>
      </c>
      <c r="BE24" s="205" t="n">
        <f aca="false" t="array" ref="BE24:BE24">IF(TblConstr[[#This Row],[Hour]:[Hour]]&gt;12,OFFSET(TblConstr[[#This Row],[Hav]],-12,0),0)+OFFSET(TblConstr[[#This Row],[Tot Hav]],-1,0)-TblConstr[[#This Row],[Dest Hav]]</f>
        <v>0</v>
      </c>
      <c r="BF24" s="194" t="n">
        <f aca="false" t="array" ref="BF24:BF24">IF(TblConstr[[#This Row],[Hour]:[Hour]]&gt;12,OFFSET(TblConstr[[#This Row],[OM]],-12,0),0)+OFFSET(TblConstr[[#This Row],[Tot OM]],-1,0)-TblConstr[[#This Row],[Dest OM]]</f>
        <v>0</v>
      </c>
      <c r="BG24" s="194" t="n">
        <f aca="false" t="array" ref="BG24:BG24">IF(TblConstr[[#This Row],[Hour]:[Hour]]&gt;12,OFFSET(TblConstr[[#This Row],[GN]],-12,0),0)+OFFSET(TblConstr[[#This Row],[Tot GN]],-1,0)-TblConstr[[#This Row],[Dest GN]]</f>
        <v>0</v>
      </c>
      <c r="BH24" s="206" t="n">
        <f aca="false" t="array" ref="BH24:BH24">IF(TblConstr[[#This Row],[Hour]:[Hour]]&gt;12,OFFSET(TblConstr[[#This Row],[Fac]],-12,0),0)+OFFSET(TblConstr[[#This Row],[Tot Fac]],-1,0)-TblConstr[[#This Row],[Dest Fac]]</f>
        <v>28</v>
      </c>
      <c r="BI24" s="206" t="n">
        <f aca="false" t="array" ref="BI24:BI24">IF(TblConstr[[#This Row],[Hour]:[Hour]]&gt;12,OFFSET(TblConstr[[#This Row],[GT]],-12,0),0)+OFFSET(TblConstr[[#This Row],[Tot GT]],-1,0)-TblConstr[[#This Row],[Dest GT]]</f>
        <v>0</v>
      </c>
      <c r="BJ24" s="206" t="n">
        <f aca="false" t="array" ref="BJ24:BJ24">IF(TblConstr[[#This Row],[Hour]:[Hour]]&gt;12,OFFSET(TblConstr[[#This Row],[Bar]],-12,0),0)+OFFSET(TblConstr[[#This Row],[Tot Bar]],-1,0)-TblConstr[[#This Row],[Dest Bar]]</f>
        <v>0</v>
      </c>
      <c r="BK24" s="206" t="n">
        <f aca="false" t="array" ref="BK24:BK24">IF(TblConstr[[#This Row],[Hour]:[Hour]]&gt;12,OFFSET(TblConstr[[#This Row],[Shr]],-12,0),0)+OFFSET(TblConstr[[#This Row],[Tot Shr]],-1,0)-TblConstr[[#This Row],[Dest Shr]]</f>
        <v>0</v>
      </c>
      <c r="BL24" s="207" t="n">
        <f aca="false" t="array" ref="BL24:BL24">IF(TblConstr[[#This Row],[Hour]:[Hour]]&gt;12,OFFSET(TblConstr[[#This Row],[Tow]],-12,0),0)+OFFSET(TblConstr[[#This Row],[Tot Tow]],-1,0)-TblConstr[[#This Row],[Dest Tow]]</f>
        <v>15</v>
      </c>
      <c r="BM24" s="207" t="n">
        <f aca="false" t="array" ref="BM24:BM24">IF(TblConstr[[#This Row],[Hour]:[Hour]]&gt;12,OFFSET(TblConstr[[#This Row],[Tem]],-12,0),0)+OFFSET(TblConstr[[#This Row],[Tot Tem]],-1,0)-TblConstr[[#This Row],[Dest Tem]]</f>
        <v>47</v>
      </c>
      <c r="BN24" s="207" t="n">
        <f aca="false" t="array" ref="BN24:BN24">IF(TblConstr[[#This Row],[Hour]:[Hour]]&gt;12,OFFSET(TblConstr[[#This Row],[WG]],-12,0),0)+OFFSET(TblConstr[[#This Row],[Tot WG]],-1,0)-TblConstr[[#This Row],[Dest WG]]</f>
        <v>0</v>
      </c>
      <c r="BO24" s="208" t="n">
        <f aca="false" t="array" ref="BO24:BO24">IF(TblConstr[[#This Row],[Hour]:[Hour]]&gt;12,OFFSET(TblConstr[[#This Row],[DM]],-12,0),0)+OFFSET(TblConstr[[#This Row],[Tot DM]],-1,0)-TblConstr[[#This Row],[Dest DM]]</f>
        <v>0</v>
      </c>
      <c r="BP24" s="208" t="n">
        <f aca="false" t="array" ref="BP24:BP24">IF(TblConstr[[#This Row],[Hour]:[Hour]]&gt;12,OFFSET(TblConstr[[#This Row],[Sch]],-12,0),0)+OFFSET(TblConstr[[#This Row],[Tot Sch]],-1,0)-TblConstr[[#This Row],[Dest Sch]]</f>
        <v>0</v>
      </c>
      <c r="BQ24" s="209" t="n">
        <f aca="false" t="array" ref="BQ24:BQ24">IF(TblConstr[[#This Row],[Hour]:[Hour]]&gt;12,OFFSET(TblConstr[[#This Row],[Doc]],-12,0),0)+OFFSET(TblConstr[[#This Row],[Tot Doc]],-1,0)-TblConstr[[#This Row],[Dest Doc]]</f>
        <v>0</v>
      </c>
      <c r="BR24" s="132"/>
      <c r="BS24" s="146"/>
      <c r="BT24" s="69" t="n">
        <f aca="false">TblConstr[[#This Row],[Land]]</f>
        <v>277</v>
      </c>
      <c r="BU24" s="153" t="n">
        <f aca="false">TblImps[[#This Row],[Time]]</f>
        <v>45430.5833333333</v>
      </c>
      <c r="BV24" s="132"/>
      <c r="BW24" s="182"/>
      <c r="BX24" s="182"/>
      <c r="BY24" s="182"/>
      <c r="BZ24" s="182"/>
      <c r="CA24" s="182"/>
      <c r="CB24" s="182"/>
      <c r="CC24" s="182"/>
      <c r="CD24" s="182"/>
      <c r="CE24" s="182"/>
      <c r="CF24" s="182"/>
      <c r="CG24" s="182"/>
      <c r="CH24" s="182"/>
      <c r="CI24" s="182"/>
      <c r="CJ24" s="182"/>
      <c r="CK24" s="182"/>
      <c r="CL24" s="182"/>
      <c r="CM24" s="182"/>
      <c r="CN24" s="182"/>
      <c r="CO24" s="182"/>
      <c r="CP24" s="132"/>
      <c r="CQ24" s="192" t="n">
        <f aca="false">-SUM(TblConstr[[#This Row],[Alc]:[Mas]])+SUM(TblConstr[[#This Row],[Dest Alc]:[Dest Mas]])+Rezone!L24+IF("Ch_"&amp; home_land=TblConstr[[#Headers],[Ch_Plain]],TblConstr[[#This Row],[Home Land]])+IF(TblConstr[[#This Row],[Hour]:[Hour]]&gt;12,OFFSET(TblExplore[[#This Row],[Plains Explore]],-12,0),0)</f>
        <v>0</v>
      </c>
      <c r="CR24" s="193" t="n">
        <f aca="false">-SUM(TblConstr[[#This Row],[Ly]:[Hav]])+SUM(TblConstr[[#This Row],[Dest Ly]:[Dest Hav]]) +Rezone!M24 + IF("Ch_"&amp; home_land=TblConstr[[#Headers],[Ch_Forest]],TblConstr[[#This Row],[Home Land]])+IF(TblConstr[[#This Row],[Hour]:[Hour]]&gt;12,OFFSET(TblExplore[[#This Row],[Forest Explore]],-12,0),0)</f>
        <v>0</v>
      </c>
      <c r="CS24" s="200" t="n">
        <f aca="false">-SUM(TblConstr[[#This Row],[OM]:[GN]])+SUM(TblConstr[[#This Row],[Dest OM]:[Dest GN]]) +Rezone!N24 + IF("Ch_"&amp; home_land=TblConstr[[#Headers],[Ch_Mountain]],TblConstr[[#This Row],[Home Land]])+IF(TblConstr[[#This Row],[Hour]:[Hour]]&gt;12,OFFSET(TblExplore[[#This Row],[Mountain Explore]],-12,0),0)</f>
        <v>0</v>
      </c>
      <c r="CT24" s="195" t="n">
        <f aca="false">-SUM(TblConstr[[#This Row],[Fac]:[Shr]])+SUM(TblConstr[[#This Row],[Dest Fac]:[Dest Shr]]) +Rezone!O24 + IF("Ch_" &amp; home_land=TblConstr[[#Headers],[Ch_Hill]],TblConstr[[#This Row],[Home Land]])+IF(TblConstr[[#This Row],[Hour]:[Hour]]&gt;12,OFFSET(TblExplore[[#This Row],[Hill Explore]],-12,0),0)</f>
        <v>0</v>
      </c>
      <c r="CU24" s="196" t="n">
        <f aca="false">-SUM(TblConstr[[#This Row],[Tow]:[WG]])+SUM(TblConstr[[#This Row],[Dest Tow]:[Dest WG]]) +Rezone!P24 + IF("Ch_" &amp; home_land=TblConstr[[#Headers],[Ch_Swamp]],TblConstr[[#This Row],[Home Land]])+IF(TblConstr[[#This Row],[Hour]:[Hour]]&gt;12,OFFSET(TblExplore[[#This Row],[Swamp Explore]],-12,0),0)</f>
        <v>0</v>
      </c>
      <c r="CV24" s="197" t="n">
        <f aca="false">- SUM(TblConstr[[#This Row],[DM]:[Sch]])+SUM(TblConstr[[#This Row],[Dest DM]:[Dest Sch]]) +Rezone!Q24 + IF("Ch_" &amp; home_land=TblConstr[[#Headers],[Ch_Cavern]],TblConstr[[#This Row],[Home Land]])+IF(TblConstr[[#This Row],[Hour]:[Hour]]&gt;12,OFFSET(TblExplore[[#This Row],[Cavern Explore]],-12,0),0)</f>
        <v>0</v>
      </c>
      <c r="CW24" s="198" t="n">
        <f aca="false">-TblConstr[[#This Row],[Doc]]+TblConstr[[#This Row],[Dest Doc]] +Rezone!R24 + IF("Ch_" &amp; home_land=TblConstr[[#Headers],[Ch_Water]],TblConstr[[#This Row],[Home Land]])+IF(TblConstr[[#This Row],[Hour]:[Hour]]&gt;12,OFFSET(TblExplore[[#This Row],[Water Explore]],-12,0),0)</f>
        <v>0</v>
      </c>
      <c r="CX24" s="1" t="n">
        <f aca="false">IF(Explore!S24=1,20) - TblConstr[[#This Row],[Hom]] + TblConstr[[#This Row],[Dest Hom]]</f>
        <v>0</v>
      </c>
      <c r="CY24" s="132"/>
      <c r="CZ24" s="69" t="n">
        <f aca="false">G24+SUM(P13:S24)+SUM(AZ24:BC24)</f>
        <v>143</v>
      </c>
      <c r="DA24" s="69" t="n">
        <f aca="false">H24+SUM(T13:U24)+SUM(BD24:BE24)</f>
        <v>23</v>
      </c>
      <c r="DB24" s="1" t="n">
        <f aca="false">I24+SUM(V13:W24)+SUM(BF24:BG24)</f>
        <v>0</v>
      </c>
      <c r="DC24" s="69" t="n">
        <f aca="false">J24+SUM(X13:Y24)+SUM(BH24:BI24)</f>
        <v>41</v>
      </c>
      <c r="DD24" s="69" t="n">
        <f aca="false">K24+SUM(AB13:AD24)+SUM(BL24:BN24)</f>
        <v>65</v>
      </c>
      <c r="DE24" s="1" t="n">
        <f aca="false">L24+SUM(AE13:AE24)+BO24</f>
        <v>0</v>
      </c>
      <c r="DF24" s="69" t="n">
        <f aca="false">M24+SUM(AG13:AG24)+BQ24</f>
        <v>5</v>
      </c>
      <c r="DG24" s="69" t="e">
        <f aca="false" t="array" ref="DG24:DG24">INDEX(TblConstr[[Total Plain]:[Total Water]],ROW()-ROW(TblConstr[#headers]),MATCH("Total "&amp;home_land,TblConstr[[#Headers],[Total Plain]:[Total Water]],0))+TblConstr[[#This Row],[Homes]]</f>
        <v>#VALUE!</v>
      </c>
      <c r="DH24" s="1" t="n">
        <f aca="false">SUM(O13:O24)+AY24</f>
        <v>0</v>
      </c>
      <c r="DI24" s="1" t="n">
        <f aca="false">MAX(BA24-BA23,0)</f>
        <v>0</v>
      </c>
      <c r="DJ24" s="1" t="n">
        <f aca="false">MAX(BQ24-BQ23,0)</f>
        <v>0</v>
      </c>
    </row>
    <row r="25" customFormat="false" ht="12.75" hidden="false" customHeight="false" outlineLevel="0" collapsed="false">
      <c r="A25" s="170" t="n">
        <f aca="false">TblRezone[[#This Row],[Hour]]</f>
        <v>22</v>
      </c>
      <c r="B25" s="171" t="n">
        <f aca="false">SUM(TblConstr[[#This Row],[Plain]:[Water]])</f>
        <v>0</v>
      </c>
      <c r="C25" s="172" t="n">
        <f aca="false">SUM(TblConstr[[#This Row],[Tot Hom]:[Tot Doc]])</f>
        <v>185</v>
      </c>
      <c r="D25" s="172" t="n">
        <f aca="false">SUM(O14:AG25)</f>
        <v>93</v>
      </c>
      <c r="E25" s="173"/>
      <c r="F25" s="33" t="n">
        <f aca="false">TblConstr[[#This Row],[Barren]]+TblConstr[[#This Row],[Buildings]]+TblConstr[[#This Row],[Incoming]]</f>
        <v>278</v>
      </c>
      <c r="G25" s="199" t="n">
        <f aca="false">OFFSET(TblConstr[[#This Row],[Plain]],-1,0)+TblConstr[[#This Row],[Ch_Plain]]</f>
        <v>0</v>
      </c>
      <c r="H25" s="193" t="n">
        <f aca="false">OFFSET(TblConstr[[#This Row],[Forest]],-1,0)+TblConstr[[#This Row],[Ch_Forest]]</f>
        <v>0</v>
      </c>
      <c r="I25" s="200" t="n">
        <f aca="false">OFFSET(TblConstr[[#This Row],[Mountain]],-1,0)+TblConstr[[#This Row],[Ch_Mountain]]</f>
        <v>0</v>
      </c>
      <c r="J25" s="201" t="n">
        <f aca="false">OFFSET(TblConstr[[#This Row],[Hill]],-1,0)+TblConstr[[#This Row],[Ch_Hill]]</f>
        <v>0</v>
      </c>
      <c r="K25" s="202" t="n">
        <f aca="false">OFFSET(TblConstr[[#This Row],[Swamp]],-1,0)+TblConstr[[#This Row],[Ch_Swamp]]</f>
        <v>0</v>
      </c>
      <c r="L25" s="197" t="n">
        <f aca="false">OFFSET(TblConstr[[#This Row],[Cavern]],-1,0)+TblConstr[[#This Row],[Ch_Cavern]]</f>
        <v>0</v>
      </c>
      <c r="M25" s="198" t="n">
        <f aca="false">OFFSET(TblConstr[[#This Row],[Water]],-1,0)+TblConstr[[#This Row],[Ch_Water]]</f>
        <v>0</v>
      </c>
      <c r="N25" s="181" t="n">
        <f aca="false">TblRezone[[#This Row],[Hour]]</f>
        <v>22</v>
      </c>
      <c r="O25" s="182"/>
      <c r="P25" s="182"/>
      <c r="Q25" s="182"/>
      <c r="R25" s="152"/>
      <c r="S25" s="182"/>
      <c r="T25" s="182"/>
      <c r="U25" s="182"/>
      <c r="V25" s="182"/>
      <c r="W25" s="182"/>
      <c r="X25" s="182" t="n">
        <v>1</v>
      </c>
      <c r="Y25" s="182"/>
      <c r="Z25" s="182"/>
      <c r="AA25" s="182"/>
      <c r="AB25" s="182"/>
      <c r="AC25" s="182"/>
      <c r="AD25" s="182"/>
      <c r="AE25" s="182"/>
      <c r="AF25" s="182"/>
      <c r="AG25" s="182"/>
      <c r="AH25" s="20" t="n">
        <f aca="false">TblImps[[#This Row],[Time]]</f>
        <v>45430.625</v>
      </c>
      <c r="AI25" s="130" t="n">
        <f aca="false">MIN(25%,(TblConstr[[#This Row],[Tot Fac]]+TblConstr[[#This Row],[Dest Fac]])/(TblConstr[[#This Row],[Land]]-TblExplore[[#This Row],[Land Bonus]]*20))</f>
        <v>0.100719424460432</v>
      </c>
      <c r="AJ25" s="130" t="n">
        <f aca="false">MIN(25%,(TblConstr[[#This Row],[Tot Fac]]+TblConstr[[#This Row],[Dest Fac]])/TblConstr[[#This Row],[Land]])</f>
        <v>0.100719424460432</v>
      </c>
      <c r="AK25" s="69" t="n">
        <f aca="false">TblProd[[#This Row],[Platinum]]</f>
        <v>9969</v>
      </c>
      <c r="AL25" s="69" t="n">
        <f aca="false">TblProd[[#This Row],[Lumber]]</f>
        <v>6521</v>
      </c>
      <c r="AM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5" s="69" t="n">
        <f aca="false">ROUNDDOWN( MAX(1 - MIN(facs_constr_factor*TblConstr[[#This Row],[Facs -DB]],facs_constr_max) + tech_1_11*TblTech[[#This Row],[11-1]] + tech_6_3_2*TblTech[[#This Row],[6-3]] + tech_5_2_3*TblTech[[#This Row],[5-2]], 1-global_constr_cap) * TblConstr[[#This Row],[RCPA Lumber]],0)</f>
        <v>47</v>
      </c>
      <c r="AO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5" s="69" t="n">
        <f aca="false">ROUNDDOWN( MAX(1 - MIN(facs_constr_factor*TblConstr[[#This Row],[Facs DB]],facs_constr_max) + tech_1_11*TblTech[[#This Row],[1-11]] + tech_6_3_2*TblTech[[#This Row],[6-3]] + tech_5_2_3*TblTech[[#This Row],[5-2]], 1-global_constr_cap) * ROUND((TblConstr[[#This Row],[Land]]-250)*0.285 + 87.5 + 0/4.25,0),0)</f>
        <v>47</v>
      </c>
      <c r="AQ25" s="1" t="n">
        <f aca="false">TblConstr[[#This Row],[build -db]]*TblConstr[[#This Row],[CPA Platinum -DB]] + TblConstr[[#This Row],[build db]]*TblConstr[[#This Row],[CPA Platinum DB]]</f>
        <v>354</v>
      </c>
      <c r="AR25" s="1" t="n">
        <f aca="false">TblConstr[[#This Row],[build -db]]*TblConstr[[#This Row],[CPA Lumber -DB]]+TblConstr[[#This Row],[build db]]*TblConstr[[#This Row],[CPA Lumber DB]]</f>
        <v>47</v>
      </c>
      <c r="AS25" s="69" t="n">
        <f aca="false">MIN(SUM(OFFSET(TblConstr[[#This Row],[Plain]:[Water]],-1,0))+SUM(TblConstr[[#This Row],[Dest Hom]:[Dest Doc]])+IF(TblConstr[[#This Row],[Hour]]&gt;12,SUM(OFFSET(TblExplore[[#This Row],[Plains Explore]:[Water Explore]],-12,0)),0),SUM(TblConstr[[#This Row],[Hom]:[Doc]]))</f>
        <v>1</v>
      </c>
      <c r="AT2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32"/>
      <c r="AV25" s="69" t="n">
        <f aca="false">ROUND((TblConstr[[#This Row],[Land]]-250 - IF(TblExplore[[#This Row],[Land Bonus]]&lt;&gt;0,20,0))*1.25 + 850 + 0,0)</f>
        <v>885</v>
      </c>
      <c r="AW25" s="69" t="n">
        <f aca="false">ROUND((TblConstr[[#This Row],[Land]]-250 - IF(TblExplore[[#This Row],[Land Bonus]]&lt;&gt;0,20,0))*0.285 + 87.5 + 0/4.25,0)</f>
        <v>95</v>
      </c>
      <c r="AX25" s="146"/>
      <c r="AY25" s="203" t="n">
        <f aca="false" t="array" ref="AY25:AY25">IF(TblConstr[[#This Row],[Hour]:[Hour]]&gt;12,OFFSET(TblConstr[[#This Row],[Hom]],-12,0),0)+OFFSET(TblConstr[[#This Row],[Tot Hom]],-1,0)-TblConstr[[#This Row],[Dest Hom]]</f>
        <v>0</v>
      </c>
      <c r="AZ25" s="204" t="n">
        <f aca="false" t="array" ref="AZ25:AZ25">IF(TblConstr[[#This Row],[Hour]:[Hour]]&gt;12,OFFSET(TblConstr[[#This Row],[Alc]],-12,0),0)+OFFSET(TblConstr[[#This Row],[Tot Alc]],-1,0)-TblConstr[[#This Row],[Dest Alc]]</f>
        <v>70</v>
      </c>
      <c r="BA25" s="204" t="n">
        <f aca="false" t="array" ref="BA25:BA25">IF(TblConstr[[#This Row],[Hour]:[Hour]]&gt;12,OFFSET(TblConstr[[#This Row],[Far]],-12,0),0)+OFFSET(TblConstr[[#This Row],[Tot Farm]],-1,0)-TblConstr[[#This Row],[Dest Farm]]</f>
        <v>5</v>
      </c>
      <c r="BB25" s="204" t="n">
        <f aca="false" t="array" ref="BB25:BB25">IF(TblConstr[[#This Row],[Hour]:[Hour]]&gt;12,OFFSET(TblConstr[[#This Row],[Smi]],-12,0),0)+OFFSET(TblConstr[[#This Row],[Tot Smi]],-1,0)-TblConstr[[#This Row],[Dest Smi]]</f>
        <v>0</v>
      </c>
      <c r="BC25" s="204" t="n">
        <f aca="false" t="array" ref="BC25:BC25">IF(TblConstr[[#This Row],[Hour]:[Hour]]&gt;12,OFFSET(TblConstr[[#This Row],[Mas]],-12,0),0)+OFFSET(TblConstr[[#This Row],[Tot Mas]],-1,0)-TblConstr[[#This Row],[Dest Mas]]</f>
        <v>0</v>
      </c>
      <c r="BD25" s="205" t="n">
        <f aca="false" t="array" ref="BD25:BD25">IF(TblConstr[[#This Row],[Hour]:[Hour]]&gt;12,OFFSET(TblConstr[[#This Row],[Ly]],-12,0),0)+OFFSET(TblConstr[[#This Row],[Tot Ly]],-1,0)-TblConstr[[#This Row],[Dest Ly]]</f>
        <v>20</v>
      </c>
      <c r="BE25" s="205" t="n">
        <f aca="false" t="array" ref="BE25:BE25">IF(TblConstr[[#This Row],[Hour]:[Hour]]&gt;12,OFFSET(TblConstr[[#This Row],[Hav]],-12,0),0)+OFFSET(TblConstr[[#This Row],[Tot Hav]],-1,0)-TblConstr[[#This Row],[Dest Hav]]</f>
        <v>0</v>
      </c>
      <c r="BF25" s="194" t="n">
        <f aca="false" t="array" ref="BF25:BF25">IF(TblConstr[[#This Row],[Hour]:[Hour]]&gt;12,OFFSET(TblConstr[[#This Row],[OM]],-12,0),0)+OFFSET(TblConstr[[#This Row],[Tot OM]],-1,0)-TblConstr[[#This Row],[Dest OM]]</f>
        <v>0</v>
      </c>
      <c r="BG25" s="194" t="n">
        <f aca="false" t="array" ref="BG25:BG25">IF(TblConstr[[#This Row],[Hour]:[Hour]]&gt;12,OFFSET(TblConstr[[#This Row],[GN]],-12,0),0)+OFFSET(TblConstr[[#This Row],[Tot GN]],-1,0)-TblConstr[[#This Row],[Dest GN]]</f>
        <v>0</v>
      </c>
      <c r="BH25" s="206" t="n">
        <f aca="false" t="array" ref="BH25:BH25">IF(TblConstr[[#This Row],[Hour]:[Hour]]&gt;12,OFFSET(TblConstr[[#This Row],[Fac]],-12,0),0)+OFFSET(TblConstr[[#This Row],[Tot Fac]],-1,0)-TblConstr[[#This Row],[Dest Fac]]</f>
        <v>28</v>
      </c>
      <c r="BI25" s="206" t="n">
        <f aca="false" t="array" ref="BI25:BI25">IF(TblConstr[[#This Row],[Hour]:[Hour]]&gt;12,OFFSET(TblConstr[[#This Row],[GT]],-12,0),0)+OFFSET(TblConstr[[#This Row],[Tot GT]],-1,0)-TblConstr[[#This Row],[Dest GT]]</f>
        <v>0</v>
      </c>
      <c r="BJ25" s="206" t="n">
        <f aca="false" t="array" ref="BJ25:BJ25">IF(TblConstr[[#This Row],[Hour]:[Hour]]&gt;12,OFFSET(TblConstr[[#This Row],[Bar]],-12,0),0)+OFFSET(TblConstr[[#This Row],[Tot Bar]],-1,0)-TblConstr[[#This Row],[Dest Bar]]</f>
        <v>0</v>
      </c>
      <c r="BK25" s="206" t="n">
        <f aca="false" t="array" ref="BK25:BK25">IF(TblConstr[[#This Row],[Hour]:[Hour]]&gt;12,OFFSET(TblConstr[[#This Row],[Shr]],-12,0),0)+OFFSET(TblConstr[[#This Row],[Tot Shr]],-1,0)-TblConstr[[#This Row],[Dest Shr]]</f>
        <v>0</v>
      </c>
      <c r="BL25" s="207" t="n">
        <f aca="false" t="array" ref="BL25:BL25">IF(TblConstr[[#This Row],[Hour]:[Hour]]&gt;12,OFFSET(TblConstr[[#This Row],[Tow]],-12,0),0)+OFFSET(TblConstr[[#This Row],[Tot Tow]],-1,0)-TblConstr[[#This Row],[Dest Tow]]</f>
        <v>15</v>
      </c>
      <c r="BM25" s="207" t="n">
        <f aca="false" t="array" ref="BM25:BM25">IF(TblConstr[[#This Row],[Hour]:[Hour]]&gt;12,OFFSET(TblConstr[[#This Row],[Tem]],-12,0),0)+OFFSET(TblConstr[[#This Row],[Tot Tem]],-1,0)-TblConstr[[#This Row],[Dest Tem]]</f>
        <v>47</v>
      </c>
      <c r="BN25" s="207" t="n">
        <f aca="false" t="array" ref="BN25:BN25">IF(TblConstr[[#This Row],[Hour]:[Hour]]&gt;12,OFFSET(TblConstr[[#This Row],[WG]],-12,0),0)+OFFSET(TblConstr[[#This Row],[Tot WG]],-1,0)-TblConstr[[#This Row],[Dest WG]]</f>
        <v>0</v>
      </c>
      <c r="BO25" s="208" t="n">
        <f aca="false" t="array" ref="BO25:BO25">IF(TblConstr[[#This Row],[Hour]:[Hour]]&gt;12,OFFSET(TblConstr[[#This Row],[DM]],-12,0),0)+OFFSET(TblConstr[[#This Row],[Tot DM]],-1,0)-TblConstr[[#This Row],[Dest DM]]</f>
        <v>0</v>
      </c>
      <c r="BP25" s="208" t="n">
        <f aca="false" t="array" ref="BP25:BP25">IF(TblConstr[[#This Row],[Hour]:[Hour]]&gt;12,OFFSET(TblConstr[[#This Row],[Sch]],-12,0),0)+OFFSET(TblConstr[[#This Row],[Tot Sch]],-1,0)-TblConstr[[#This Row],[Dest Sch]]</f>
        <v>0</v>
      </c>
      <c r="BQ25" s="209" t="n">
        <f aca="false" t="array" ref="BQ25:BQ25">IF(TblConstr[[#This Row],[Hour]:[Hour]]&gt;12,OFFSET(TblConstr[[#This Row],[Doc]],-12,0),0)+OFFSET(TblConstr[[#This Row],[Tot Doc]],-1,0)-TblConstr[[#This Row],[Dest Doc]]</f>
        <v>0</v>
      </c>
      <c r="BR25" s="132"/>
      <c r="BS25" s="146"/>
      <c r="BT25" s="69" t="n">
        <f aca="false">TblConstr[[#This Row],[Land]]</f>
        <v>278</v>
      </c>
      <c r="BU25" s="153" t="n">
        <f aca="false">TblImps[[#This Row],[Time]]</f>
        <v>45430.625</v>
      </c>
      <c r="BV25" s="132"/>
      <c r="BW25" s="182"/>
      <c r="BX25" s="182"/>
      <c r="BY25" s="182"/>
      <c r="BZ25" s="182"/>
      <c r="CA25" s="182"/>
      <c r="CB25" s="182"/>
      <c r="CC25" s="182"/>
      <c r="CD25" s="182"/>
      <c r="CE25" s="182"/>
      <c r="CF25" s="182"/>
      <c r="CG25" s="182"/>
      <c r="CH25" s="182"/>
      <c r="CI25" s="182"/>
      <c r="CJ25" s="182"/>
      <c r="CK25" s="182"/>
      <c r="CL25" s="182"/>
      <c r="CM25" s="182"/>
      <c r="CN25" s="182"/>
      <c r="CO25" s="182"/>
      <c r="CP25" s="132"/>
      <c r="CQ25" s="192" t="n">
        <f aca="false">-SUM(TblConstr[[#This Row],[Alc]:[Mas]])+SUM(TblConstr[[#This Row],[Dest Alc]:[Dest Mas]])+Rezone!L25+IF("Ch_"&amp; home_land=TblConstr[[#Headers],[Ch_Plain]],TblConstr[[#This Row],[Home Land]])+IF(TblConstr[[#This Row],[Hour]:[Hour]]&gt;12,OFFSET(TblExplore[[#This Row],[Plains Explore]],-12,0),0)</f>
        <v>0</v>
      </c>
      <c r="CR25" s="193" t="n">
        <f aca="false">-SUM(TblConstr[[#This Row],[Ly]:[Hav]])+SUM(TblConstr[[#This Row],[Dest Ly]:[Dest Hav]]) +Rezone!M25 + IF("Ch_"&amp; home_land=TblConstr[[#Headers],[Ch_Forest]],TblConstr[[#This Row],[Home Land]])+IF(TblConstr[[#This Row],[Hour]:[Hour]]&gt;12,OFFSET(TblExplore[[#This Row],[Forest Explore]],-12,0),0)</f>
        <v>0</v>
      </c>
      <c r="CS25" s="200" t="n">
        <f aca="false">-SUM(TblConstr[[#This Row],[OM]:[GN]])+SUM(TblConstr[[#This Row],[Dest OM]:[Dest GN]]) +Rezone!N25 + IF("Ch_"&amp; home_land=TblConstr[[#Headers],[Ch_Mountain]],TblConstr[[#This Row],[Home Land]])+IF(TblConstr[[#This Row],[Hour]:[Hour]]&gt;12,OFFSET(TblExplore[[#This Row],[Mountain Explore]],-12,0),0)</f>
        <v>0</v>
      </c>
      <c r="CT25" s="195" t="n">
        <f aca="false">-SUM(TblConstr[[#This Row],[Fac]:[Shr]])+SUM(TblConstr[[#This Row],[Dest Fac]:[Dest Shr]]) +Rezone!O25 + IF("Ch_" &amp; home_land=TblConstr[[#Headers],[Ch_Hill]],TblConstr[[#This Row],[Home Land]])+IF(TblConstr[[#This Row],[Hour]:[Hour]]&gt;12,OFFSET(TblExplore[[#This Row],[Hill Explore]],-12,0),0)</f>
        <v>0</v>
      </c>
      <c r="CU25" s="196" t="n">
        <f aca="false">-SUM(TblConstr[[#This Row],[Tow]:[WG]])+SUM(TblConstr[[#This Row],[Dest Tow]:[Dest WG]]) +Rezone!P25 + IF("Ch_" &amp; home_land=TblConstr[[#Headers],[Ch_Swamp]],TblConstr[[#This Row],[Home Land]])+IF(TblConstr[[#This Row],[Hour]:[Hour]]&gt;12,OFFSET(TblExplore[[#This Row],[Swamp Explore]],-12,0),0)</f>
        <v>0</v>
      </c>
      <c r="CV25" s="197" t="n">
        <f aca="false">- SUM(TblConstr[[#This Row],[DM]:[Sch]])+SUM(TblConstr[[#This Row],[Dest DM]:[Dest Sch]]) +Rezone!Q25 + IF("Ch_" &amp; home_land=TblConstr[[#Headers],[Ch_Cavern]],TblConstr[[#This Row],[Home Land]])+IF(TblConstr[[#This Row],[Hour]:[Hour]]&gt;12,OFFSET(TblExplore[[#This Row],[Cavern Explore]],-12,0),0)</f>
        <v>0</v>
      </c>
      <c r="CW25" s="198" t="n">
        <f aca="false">-TblConstr[[#This Row],[Doc]]+TblConstr[[#This Row],[Dest Doc]] +Rezone!R25 + IF("Ch_" &amp; home_land=TblConstr[[#Headers],[Ch_Water]],TblConstr[[#This Row],[Home Land]])+IF(TblConstr[[#This Row],[Hour]:[Hour]]&gt;12,OFFSET(TblExplore[[#This Row],[Water Explore]],-12,0),0)</f>
        <v>0</v>
      </c>
      <c r="CX25" s="1" t="n">
        <f aca="false">IF(Explore!S25=1,20) - TblConstr[[#This Row],[Hom]] + TblConstr[[#This Row],[Dest Hom]]</f>
        <v>0</v>
      </c>
      <c r="CY25" s="132"/>
      <c r="CZ25" s="69" t="n">
        <f aca="false">G25+SUM(P14:S25)+SUM(AZ25:BC25)</f>
        <v>143</v>
      </c>
      <c r="DA25" s="69" t="n">
        <f aca="false">H25+SUM(T14:U25)+SUM(BD25:BE25)</f>
        <v>23</v>
      </c>
      <c r="DB25" s="1" t="n">
        <f aca="false">I25+SUM(V14:W25)+SUM(BF25:BG25)</f>
        <v>0</v>
      </c>
      <c r="DC25" s="69" t="n">
        <f aca="false">J25+SUM(X14:Y25)+SUM(BH25:BI25)</f>
        <v>42</v>
      </c>
      <c r="DD25" s="69" t="n">
        <f aca="false">K25+SUM(AB14:AD25)+SUM(BL25:BN25)</f>
        <v>65</v>
      </c>
      <c r="DE25" s="1" t="n">
        <f aca="false">L25+SUM(AE14:AE25)+BO25</f>
        <v>0</v>
      </c>
      <c r="DF25" s="69" t="n">
        <f aca="false">M25+SUM(AG14:AG25)+BQ25</f>
        <v>5</v>
      </c>
      <c r="DG25" s="69" t="e">
        <f aca="false" t="array" ref="DG25:DG25">INDEX(TblConstr[[Total Plain]:[Total Water]],ROW()-ROW(TblConstr[#headers]),MATCH("Total "&amp;home_land,TblConstr[[#Headers],[Total Plain]:[Total Water]],0))+TblConstr[[#This Row],[Homes]]</f>
        <v>#VALUE!</v>
      </c>
      <c r="DH25" s="1" t="n">
        <f aca="false">SUM(O14:O25)+AY25</f>
        <v>0</v>
      </c>
      <c r="DI25" s="1" t="n">
        <f aca="false">MAX(BA25-BA24,0)</f>
        <v>0</v>
      </c>
      <c r="DJ25" s="1" t="n">
        <f aca="false">MAX(BQ25-BQ24,0)</f>
        <v>0</v>
      </c>
    </row>
    <row r="26" customFormat="false" ht="12.75" hidden="false" customHeight="false" outlineLevel="0" collapsed="false">
      <c r="A26" s="170" t="n">
        <f aca="false">TblRezone[[#This Row],[Hour]]</f>
        <v>23</v>
      </c>
      <c r="B26" s="171" t="n">
        <f aca="false">SUM(TblConstr[[#This Row],[Plain]:[Water]])</f>
        <v>0</v>
      </c>
      <c r="C26" s="172" t="n">
        <f aca="false">SUM(TblConstr[[#This Row],[Tot Hom]:[Tot Doc]])</f>
        <v>185</v>
      </c>
      <c r="D26" s="172" t="n">
        <f aca="false">SUM(O15:AG26)</f>
        <v>94</v>
      </c>
      <c r="E26" s="173"/>
      <c r="F26" s="33" t="n">
        <f aca="false">TblConstr[[#This Row],[Barren]]+TblConstr[[#This Row],[Buildings]]+TblConstr[[#This Row],[Incoming]]</f>
        <v>279</v>
      </c>
      <c r="G26" s="199" t="n">
        <f aca="false">OFFSET(TblConstr[[#This Row],[Plain]],-1,0)+TblConstr[[#This Row],[Ch_Plain]]</f>
        <v>0</v>
      </c>
      <c r="H26" s="193" t="n">
        <f aca="false">OFFSET(TblConstr[[#This Row],[Forest]],-1,0)+TblConstr[[#This Row],[Ch_Forest]]</f>
        <v>0</v>
      </c>
      <c r="I26" s="200" t="n">
        <f aca="false">OFFSET(TblConstr[[#This Row],[Mountain]],-1,0)+TblConstr[[#This Row],[Ch_Mountain]]</f>
        <v>0</v>
      </c>
      <c r="J26" s="201" t="n">
        <f aca="false">OFFSET(TblConstr[[#This Row],[Hill]],-1,0)+TblConstr[[#This Row],[Ch_Hill]]</f>
        <v>0</v>
      </c>
      <c r="K26" s="202" t="n">
        <f aca="false">OFFSET(TblConstr[[#This Row],[Swamp]],-1,0)+TblConstr[[#This Row],[Ch_Swamp]]</f>
        <v>0</v>
      </c>
      <c r="L26" s="197" t="n">
        <f aca="false">OFFSET(TblConstr[[#This Row],[Cavern]],-1,0)+TblConstr[[#This Row],[Ch_Cavern]]</f>
        <v>0</v>
      </c>
      <c r="M26" s="198" t="n">
        <f aca="false">OFFSET(TblConstr[[#This Row],[Water]],-1,0)+TblConstr[[#This Row],[Ch_Water]]</f>
        <v>0</v>
      </c>
      <c r="N26" s="181" t="n">
        <f aca="false">TblRezone[[#This Row],[Hour]]</f>
        <v>23</v>
      </c>
      <c r="O26" s="182"/>
      <c r="P26" s="182"/>
      <c r="Q26" s="182"/>
      <c r="R26" s="152"/>
      <c r="S26" s="182"/>
      <c r="T26" s="182"/>
      <c r="U26" s="182"/>
      <c r="V26" s="182"/>
      <c r="W26" s="182"/>
      <c r="X26" s="182" t="n">
        <v>1</v>
      </c>
      <c r="Y26" s="182"/>
      <c r="Z26" s="182"/>
      <c r="AA26" s="182"/>
      <c r="AB26" s="182"/>
      <c r="AC26" s="182"/>
      <c r="AD26" s="182"/>
      <c r="AE26" s="182"/>
      <c r="AF26" s="182"/>
      <c r="AG26" s="182"/>
      <c r="AH26" s="20" t="n">
        <f aca="false">TblImps[[#This Row],[Time]]</f>
        <v>45430.6666666667</v>
      </c>
      <c r="AI26" s="130" t="n">
        <f aca="false">MIN(25%,(TblConstr[[#This Row],[Tot Fac]]+TblConstr[[#This Row],[Dest Fac]])/(TblConstr[[#This Row],[Land]]-TblExplore[[#This Row],[Land Bonus]]*20))</f>
        <v>0.100358422939068</v>
      </c>
      <c r="AJ26" s="130" t="n">
        <f aca="false">MIN(25%,(TblConstr[[#This Row],[Tot Fac]]+TblConstr[[#This Row],[Dest Fac]])/TblConstr[[#This Row],[Land]])</f>
        <v>0.100358422939068</v>
      </c>
      <c r="AK26" s="69" t="n">
        <f aca="false">TblProd[[#This Row],[Platinum]]</f>
        <v>20132</v>
      </c>
      <c r="AL26" s="69" t="n">
        <f aca="false">TblProd[[#This Row],[Lumber]]</f>
        <v>7308</v>
      </c>
      <c r="AM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6" s="69" t="n">
        <f aca="false">ROUNDDOWN( MAX(1 - MIN(facs_constr_factor*TblConstr[[#This Row],[Facs -DB]],facs_constr_max) + tech_1_11*TblTech[[#This Row],[11-1]] + tech_6_3_2*TblTech[[#This Row],[6-3]] + tech_5_2_3*TblTech[[#This Row],[5-2]], 1-global_constr_cap) * TblConstr[[#This Row],[RCPA Lumber]],0)</f>
        <v>48</v>
      </c>
      <c r="AO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6" s="69" t="n">
        <f aca="false">ROUNDDOWN( MAX(1 - MIN(facs_constr_factor*TblConstr[[#This Row],[Facs DB]],facs_constr_max) + tech_1_11*TblTech[[#This Row],[1-11]] + tech_6_3_2*TblTech[[#This Row],[6-3]] + tech_5_2_3*TblTech[[#This Row],[5-2]], 1-global_constr_cap) * ROUND((TblConstr[[#This Row],[Land]]-250)*0.285 + 87.5 + 0/4.25,0),0)</f>
        <v>48</v>
      </c>
      <c r="AQ26" s="1" t="n">
        <f aca="false">TblConstr[[#This Row],[build -db]]*TblConstr[[#This Row],[CPA Platinum -DB]] + TblConstr[[#This Row],[build db]]*TblConstr[[#This Row],[CPA Platinum DB]]</f>
        <v>354</v>
      </c>
      <c r="AR26" s="1" t="n">
        <f aca="false">TblConstr[[#This Row],[build -db]]*TblConstr[[#This Row],[CPA Lumber -DB]]+TblConstr[[#This Row],[build db]]*TblConstr[[#This Row],[CPA Lumber DB]]</f>
        <v>48</v>
      </c>
      <c r="AS26" s="69" t="n">
        <f aca="false">MIN(SUM(OFFSET(TblConstr[[#This Row],[Plain]:[Water]],-1,0))+SUM(TblConstr[[#This Row],[Dest Hom]:[Dest Doc]])+IF(TblConstr[[#This Row],[Hour]]&gt;12,SUM(OFFSET(TblExplore[[#This Row],[Plains Explore]:[Water Explore]],-12,0)),0),SUM(TblConstr[[#This Row],[Hom]:[Doc]]))</f>
        <v>1</v>
      </c>
      <c r="AT2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32"/>
      <c r="AV26" s="69" t="n">
        <f aca="false">ROUND((TblConstr[[#This Row],[Land]]-250 - IF(TblExplore[[#This Row],[Land Bonus]]&lt;&gt;0,20,0))*1.25 + 850 + 0,0)</f>
        <v>886</v>
      </c>
      <c r="AW26" s="69" t="n">
        <f aca="false">ROUND((TblConstr[[#This Row],[Land]]-250 - IF(TblExplore[[#This Row],[Land Bonus]]&lt;&gt;0,20,0))*0.285 + 87.5 + 0/4.25,0)</f>
        <v>96</v>
      </c>
      <c r="AX26" s="146"/>
      <c r="AY26" s="203" t="n">
        <f aca="false" t="array" ref="AY26:AY26">IF(TblConstr[[#This Row],[Hour]:[Hour]]&gt;12,OFFSET(TblConstr[[#This Row],[Hom]],-12,0),0)+OFFSET(TblConstr[[#This Row],[Tot Hom]],-1,0)-TblConstr[[#This Row],[Dest Hom]]</f>
        <v>0</v>
      </c>
      <c r="AZ26" s="204" t="n">
        <f aca="false" t="array" ref="AZ26:AZ26">IF(TblConstr[[#This Row],[Hour]:[Hour]]&gt;12,OFFSET(TblConstr[[#This Row],[Alc]],-12,0),0)+OFFSET(TblConstr[[#This Row],[Tot Alc]],-1,0)-TblConstr[[#This Row],[Dest Alc]]</f>
        <v>70</v>
      </c>
      <c r="BA26" s="204" t="n">
        <f aca="false" t="array" ref="BA26:BA26">IF(TblConstr[[#This Row],[Hour]:[Hour]]&gt;12,OFFSET(TblConstr[[#This Row],[Far]],-12,0),0)+OFFSET(TblConstr[[#This Row],[Tot Farm]],-1,0)-TblConstr[[#This Row],[Dest Farm]]</f>
        <v>5</v>
      </c>
      <c r="BB26" s="204" t="n">
        <f aca="false" t="array" ref="BB26:BB26">IF(TblConstr[[#This Row],[Hour]:[Hour]]&gt;12,OFFSET(TblConstr[[#This Row],[Smi]],-12,0),0)+OFFSET(TblConstr[[#This Row],[Tot Smi]],-1,0)-TblConstr[[#This Row],[Dest Smi]]</f>
        <v>0</v>
      </c>
      <c r="BC26" s="204" t="n">
        <f aca="false" t="array" ref="BC26:BC26">IF(TblConstr[[#This Row],[Hour]:[Hour]]&gt;12,OFFSET(TblConstr[[#This Row],[Mas]],-12,0),0)+OFFSET(TblConstr[[#This Row],[Tot Mas]],-1,0)-TblConstr[[#This Row],[Dest Mas]]</f>
        <v>0</v>
      </c>
      <c r="BD26" s="205" t="n">
        <f aca="false" t="array" ref="BD26:BD26">IF(TblConstr[[#This Row],[Hour]:[Hour]]&gt;12,OFFSET(TblConstr[[#This Row],[Ly]],-12,0),0)+OFFSET(TblConstr[[#This Row],[Tot Ly]],-1,0)-TblConstr[[#This Row],[Dest Ly]]</f>
        <v>20</v>
      </c>
      <c r="BE26" s="205" t="n">
        <f aca="false" t="array" ref="BE26:BE26">IF(TblConstr[[#This Row],[Hour]:[Hour]]&gt;12,OFFSET(TblConstr[[#This Row],[Hav]],-12,0),0)+OFFSET(TblConstr[[#This Row],[Tot Hav]],-1,0)-TblConstr[[#This Row],[Dest Hav]]</f>
        <v>0</v>
      </c>
      <c r="BF26" s="194" t="n">
        <f aca="false" t="array" ref="BF26:BF26">IF(TblConstr[[#This Row],[Hour]:[Hour]]&gt;12,OFFSET(TblConstr[[#This Row],[OM]],-12,0),0)+OFFSET(TblConstr[[#This Row],[Tot OM]],-1,0)-TblConstr[[#This Row],[Dest OM]]</f>
        <v>0</v>
      </c>
      <c r="BG26" s="194" t="n">
        <f aca="false" t="array" ref="BG26:BG26">IF(TblConstr[[#This Row],[Hour]:[Hour]]&gt;12,OFFSET(TblConstr[[#This Row],[GN]],-12,0),0)+OFFSET(TblConstr[[#This Row],[Tot GN]],-1,0)-TblConstr[[#This Row],[Dest GN]]</f>
        <v>0</v>
      </c>
      <c r="BH26" s="206" t="n">
        <f aca="false" t="array" ref="BH26:BH26">IF(TblConstr[[#This Row],[Hour]:[Hour]]&gt;12,OFFSET(TblConstr[[#This Row],[Fac]],-12,0),0)+OFFSET(TblConstr[[#This Row],[Tot Fac]],-1,0)-TblConstr[[#This Row],[Dest Fac]]</f>
        <v>28</v>
      </c>
      <c r="BI26" s="206" t="n">
        <f aca="false" t="array" ref="BI26:BI26">IF(TblConstr[[#This Row],[Hour]:[Hour]]&gt;12,OFFSET(TblConstr[[#This Row],[GT]],-12,0),0)+OFFSET(TblConstr[[#This Row],[Tot GT]],-1,0)-TblConstr[[#This Row],[Dest GT]]</f>
        <v>0</v>
      </c>
      <c r="BJ26" s="206" t="n">
        <f aca="false" t="array" ref="BJ26:BJ26">IF(TblConstr[[#This Row],[Hour]:[Hour]]&gt;12,OFFSET(TblConstr[[#This Row],[Bar]],-12,0),0)+OFFSET(TblConstr[[#This Row],[Tot Bar]],-1,0)-TblConstr[[#This Row],[Dest Bar]]</f>
        <v>0</v>
      </c>
      <c r="BK26" s="206" t="n">
        <f aca="false" t="array" ref="BK26:BK26">IF(TblConstr[[#This Row],[Hour]:[Hour]]&gt;12,OFFSET(TblConstr[[#This Row],[Shr]],-12,0),0)+OFFSET(TblConstr[[#This Row],[Tot Shr]],-1,0)-TblConstr[[#This Row],[Dest Shr]]</f>
        <v>0</v>
      </c>
      <c r="BL26" s="207" t="n">
        <f aca="false" t="array" ref="BL26:BL26">IF(TblConstr[[#This Row],[Hour]:[Hour]]&gt;12,OFFSET(TblConstr[[#This Row],[Tow]],-12,0),0)+OFFSET(TblConstr[[#This Row],[Tot Tow]],-1,0)-TblConstr[[#This Row],[Dest Tow]]</f>
        <v>15</v>
      </c>
      <c r="BM26" s="207" t="n">
        <f aca="false" t="array" ref="BM26:BM26">IF(TblConstr[[#This Row],[Hour]:[Hour]]&gt;12,OFFSET(TblConstr[[#This Row],[Tem]],-12,0),0)+OFFSET(TblConstr[[#This Row],[Tot Tem]],-1,0)-TblConstr[[#This Row],[Dest Tem]]</f>
        <v>47</v>
      </c>
      <c r="BN26" s="207" t="n">
        <f aca="false" t="array" ref="BN26:BN26">IF(TblConstr[[#This Row],[Hour]:[Hour]]&gt;12,OFFSET(TblConstr[[#This Row],[WG]],-12,0),0)+OFFSET(TblConstr[[#This Row],[Tot WG]],-1,0)-TblConstr[[#This Row],[Dest WG]]</f>
        <v>0</v>
      </c>
      <c r="BO26" s="208" t="n">
        <f aca="false" t="array" ref="BO26:BO26">IF(TblConstr[[#This Row],[Hour]:[Hour]]&gt;12,OFFSET(TblConstr[[#This Row],[DM]],-12,0),0)+OFFSET(TblConstr[[#This Row],[Tot DM]],-1,0)-TblConstr[[#This Row],[Dest DM]]</f>
        <v>0</v>
      </c>
      <c r="BP26" s="208" t="n">
        <f aca="false" t="array" ref="BP26:BP26">IF(TblConstr[[#This Row],[Hour]:[Hour]]&gt;12,OFFSET(TblConstr[[#This Row],[Sch]],-12,0),0)+OFFSET(TblConstr[[#This Row],[Tot Sch]],-1,0)-TblConstr[[#This Row],[Dest Sch]]</f>
        <v>0</v>
      </c>
      <c r="BQ26" s="209" t="n">
        <f aca="false" t="array" ref="BQ26:BQ26">IF(TblConstr[[#This Row],[Hour]:[Hour]]&gt;12,OFFSET(TblConstr[[#This Row],[Doc]],-12,0),0)+OFFSET(TblConstr[[#This Row],[Tot Doc]],-1,0)-TblConstr[[#This Row],[Dest Doc]]</f>
        <v>0</v>
      </c>
      <c r="BR26" s="132"/>
      <c r="BS26" s="146"/>
      <c r="BT26" s="69" t="n">
        <f aca="false">TblConstr[[#This Row],[Land]]</f>
        <v>279</v>
      </c>
      <c r="BU26" s="153" t="n">
        <f aca="false">TblImps[[#This Row],[Time]]</f>
        <v>45430.6666666667</v>
      </c>
      <c r="BV26" s="132"/>
      <c r="BW26" s="182"/>
      <c r="BX26" s="182"/>
      <c r="BY26" s="182"/>
      <c r="BZ26" s="182"/>
      <c r="CA26" s="182"/>
      <c r="CB26" s="182"/>
      <c r="CC26" s="182"/>
      <c r="CD26" s="182"/>
      <c r="CE26" s="182"/>
      <c r="CF26" s="182"/>
      <c r="CG26" s="182"/>
      <c r="CH26" s="182"/>
      <c r="CI26" s="182"/>
      <c r="CJ26" s="182"/>
      <c r="CK26" s="182"/>
      <c r="CL26" s="182"/>
      <c r="CM26" s="182"/>
      <c r="CN26" s="182"/>
      <c r="CO26" s="182"/>
      <c r="CP26" s="132"/>
      <c r="CQ26" s="192" t="n">
        <f aca="false">-SUM(TblConstr[[#This Row],[Alc]:[Mas]])+SUM(TblConstr[[#This Row],[Dest Alc]:[Dest Mas]])+Rezone!L26+IF("Ch_"&amp; home_land=TblConstr[[#Headers],[Ch_Plain]],TblConstr[[#This Row],[Home Land]])+IF(TblConstr[[#This Row],[Hour]:[Hour]]&gt;12,OFFSET(TblExplore[[#This Row],[Plains Explore]],-12,0),0)</f>
        <v>0</v>
      </c>
      <c r="CR26" s="193" t="n">
        <f aca="false">-SUM(TblConstr[[#This Row],[Ly]:[Hav]])+SUM(TblConstr[[#This Row],[Dest Ly]:[Dest Hav]]) +Rezone!M26 + IF("Ch_"&amp; home_land=TblConstr[[#Headers],[Ch_Forest]],TblConstr[[#This Row],[Home Land]])+IF(TblConstr[[#This Row],[Hour]:[Hour]]&gt;12,OFFSET(TblExplore[[#This Row],[Forest Explore]],-12,0),0)</f>
        <v>0</v>
      </c>
      <c r="CS26" s="200" t="n">
        <f aca="false">-SUM(TblConstr[[#This Row],[OM]:[GN]])+SUM(TblConstr[[#This Row],[Dest OM]:[Dest GN]]) +Rezone!N26 + IF("Ch_"&amp; home_land=TblConstr[[#Headers],[Ch_Mountain]],TblConstr[[#This Row],[Home Land]])+IF(TblConstr[[#This Row],[Hour]:[Hour]]&gt;12,OFFSET(TblExplore[[#This Row],[Mountain Explore]],-12,0),0)</f>
        <v>0</v>
      </c>
      <c r="CT26" s="195" t="n">
        <f aca="false">-SUM(TblConstr[[#This Row],[Fac]:[Shr]])+SUM(TblConstr[[#This Row],[Dest Fac]:[Dest Shr]]) +Rezone!O26 + IF("Ch_" &amp; home_land=TblConstr[[#Headers],[Ch_Hill]],TblConstr[[#This Row],[Home Land]])+IF(TblConstr[[#This Row],[Hour]:[Hour]]&gt;12,OFFSET(TblExplore[[#This Row],[Hill Explore]],-12,0),0)</f>
        <v>0</v>
      </c>
      <c r="CU26" s="196" t="n">
        <f aca="false">-SUM(TblConstr[[#This Row],[Tow]:[WG]])+SUM(TblConstr[[#This Row],[Dest Tow]:[Dest WG]]) +Rezone!P26 + IF("Ch_" &amp; home_land=TblConstr[[#Headers],[Ch_Swamp]],TblConstr[[#This Row],[Home Land]])+IF(TblConstr[[#This Row],[Hour]:[Hour]]&gt;12,OFFSET(TblExplore[[#This Row],[Swamp Explore]],-12,0),0)</f>
        <v>0</v>
      </c>
      <c r="CV26" s="197" t="n">
        <f aca="false">- SUM(TblConstr[[#This Row],[DM]:[Sch]])+SUM(TblConstr[[#This Row],[Dest DM]:[Dest Sch]]) +Rezone!Q26 + IF("Ch_" &amp; home_land=TblConstr[[#Headers],[Ch_Cavern]],TblConstr[[#This Row],[Home Land]])+IF(TblConstr[[#This Row],[Hour]:[Hour]]&gt;12,OFFSET(TblExplore[[#This Row],[Cavern Explore]],-12,0),0)</f>
        <v>0</v>
      </c>
      <c r="CW26" s="198" t="n">
        <f aca="false">-TblConstr[[#This Row],[Doc]]+TblConstr[[#This Row],[Dest Doc]] +Rezone!R26 + IF("Ch_" &amp; home_land=TblConstr[[#Headers],[Ch_Water]],TblConstr[[#This Row],[Home Land]])+IF(TblConstr[[#This Row],[Hour]:[Hour]]&gt;12,OFFSET(TblExplore[[#This Row],[Water Explore]],-12,0),0)</f>
        <v>0</v>
      </c>
      <c r="CX26" s="1" t="n">
        <f aca="false">IF(Explore!S26=1,20) - TblConstr[[#This Row],[Hom]] + TblConstr[[#This Row],[Dest Hom]]</f>
        <v>0</v>
      </c>
      <c r="CY26" s="132"/>
      <c r="CZ26" s="69" t="n">
        <f aca="false">G26+SUM(P15:S26)+SUM(AZ26:BC26)</f>
        <v>143</v>
      </c>
      <c r="DA26" s="69" t="n">
        <f aca="false">H26+SUM(T15:U26)+SUM(BD26:BE26)</f>
        <v>23</v>
      </c>
      <c r="DB26" s="1" t="n">
        <f aca="false">I26+SUM(V15:W26)+SUM(BF26:BG26)</f>
        <v>0</v>
      </c>
      <c r="DC26" s="69" t="n">
        <f aca="false">J26+SUM(X15:Y26)+SUM(BH26:BI26)</f>
        <v>43</v>
      </c>
      <c r="DD26" s="69" t="n">
        <f aca="false">K26+SUM(AB15:AD26)+SUM(BL26:BN26)</f>
        <v>65</v>
      </c>
      <c r="DE26" s="1" t="n">
        <f aca="false">L26+SUM(AE15:AE26)+BO26</f>
        <v>0</v>
      </c>
      <c r="DF26" s="69" t="n">
        <f aca="false">M26+SUM(AG15:AG26)+BQ26</f>
        <v>5</v>
      </c>
      <c r="DG26" s="69" t="e">
        <f aca="false" t="array" ref="DG26:DG26">INDEX(TblConstr[[Total Plain]:[Total Water]],ROW()-ROW(TblConstr[#headers]),MATCH("Total "&amp;home_land,TblConstr[[#Headers],[Total Plain]:[Total Water]],0))+TblConstr[[#This Row],[Homes]]</f>
        <v>#VALUE!</v>
      </c>
      <c r="DH26" s="1" t="n">
        <f aca="false">SUM(O15:O26)+AY26</f>
        <v>0</v>
      </c>
      <c r="DI26" s="1" t="n">
        <f aca="false">MAX(BA26-BA25,0)</f>
        <v>0</v>
      </c>
      <c r="DJ26" s="1" t="n">
        <f aca="false">MAX(BQ26-BQ25,0)</f>
        <v>0</v>
      </c>
    </row>
    <row r="27" customFormat="false" ht="12.75" hidden="false" customHeight="false" outlineLevel="0" collapsed="false">
      <c r="A27" s="170" t="n">
        <f aca="false">TblRezone[[#This Row],[Hour]]</f>
        <v>24</v>
      </c>
      <c r="B27" s="171" t="n">
        <f aca="false">SUM(TblConstr[[#This Row],[Plain]:[Water]])</f>
        <v>0</v>
      </c>
      <c r="C27" s="172" t="n">
        <f aca="false">SUM(TblConstr[[#This Row],[Tot Hom]:[Tot Doc]])</f>
        <v>185</v>
      </c>
      <c r="D27" s="172" t="n">
        <f aca="false">SUM(O16:AG27)</f>
        <v>114</v>
      </c>
      <c r="E27" s="173"/>
      <c r="F27" s="33" t="n">
        <f aca="false">TblConstr[[#This Row],[Barren]]+TblConstr[[#This Row],[Buildings]]+TblConstr[[#This Row],[Incoming]]</f>
        <v>299</v>
      </c>
      <c r="G27" s="199" t="n">
        <f aca="false">OFFSET(TblConstr[[#This Row],[Plain]],-1,0)+TblConstr[[#This Row],[Ch_Plain]]</f>
        <v>0</v>
      </c>
      <c r="H27" s="193" t="n">
        <f aca="false">OFFSET(TblConstr[[#This Row],[Forest]],-1,0)+TblConstr[[#This Row],[Ch_Forest]]</f>
        <v>0</v>
      </c>
      <c r="I27" s="200" t="n">
        <f aca="false">OFFSET(TblConstr[[#This Row],[Mountain]],-1,0)+TblConstr[[#This Row],[Ch_Mountain]]</f>
        <v>0</v>
      </c>
      <c r="J27" s="201" t="n">
        <f aca="false">OFFSET(TblConstr[[#This Row],[Hill]],-1,0)+TblConstr[[#This Row],[Ch_Hill]]</f>
        <v>0</v>
      </c>
      <c r="K27" s="202" t="n">
        <f aca="false">OFFSET(TblConstr[[#This Row],[Swamp]],-1,0)+TblConstr[[#This Row],[Ch_Swamp]]</f>
        <v>0</v>
      </c>
      <c r="L27" s="197" t="n">
        <f aca="false">OFFSET(TblConstr[[#This Row],[Cavern]],-1,0)+TblConstr[[#This Row],[Ch_Cavern]]</f>
        <v>0</v>
      </c>
      <c r="M27" s="198" t="n">
        <f aca="false">OFFSET(TblConstr[[#This Row],[Water]],-1,0)+TblConstr[[#This Row],[Ch_Water]]</f>
        <v>0</v>
      </c>
      <c r="N27" s="181" t="n">
        <f aca="false">TblRezone[[#This Row],[Hour]]</f>
        <v>24</v>
      </c>
      <c r="O27" s="182"/>
      <c r="P27" s="152" t="n">
        <v>10</v>
      </c>
      <c r="Q27" s="182" t="n">
        <v>2</v>
      </c>
      <c r="R27" s="182"/>
      <c r="S27" s="182"/>
      <c r="T27" s="182"/>
      <c r="U27" s="182"/>
      <c r="V27" s="182"/>
      <c r="W27" s="182"/>
      <c r="X27" s="182" t="n">
        <v>8</v>
      </c>
      <c r="Y27" s="182"/>
      <c r="Z27" s="182"/>
      <c r="AA27" s="182"/>
      <c r="AB27" s="182"/>
      <c r="AC27" s="182"/>
      <c r="AD27" s="182"/>
      <c r="AE27" s="182"/>
      <c r="AF27" s="182"/>
      <c r="AG27" s="182"/>
      <c r="AH27" s="20" t="n">
        <f aca="false">TblImps[[#This Row],[Time]]</f>
        <v>45430.7083333333</v>
      </c>
      <c r="AI27" s="130" t="n">
        <f aca="false">MIN(25%,(TblConstr[[#This Row],[Tot Fac]]+TblConstr[[#This Row],[Dest Fac]])/(TblConstr[[#This Row],[Land]]-TblExplore[[#This Row],[Land Bonus]]*20))</f>
        <v>0.100358422939068</v>
      </c>
      <c r="AJ27" s="130" t="n">
        <f aca="false">MIN(25%,(TblConstr[[#This Row],[Tot Fac]]+TblConstr[[#This Row],[Dest Fac]])/TblConstr[[#This Row],[Land]])</f>
        <v>0.0936454849498328</v>
      </c>
      <c r="AK27" s="69" t="n">
        <f aca="false">TblProd[[#This Row],[Platinum]]</f>
        <v>26679</v>
      </c>
      <c r="AL27" s="69" t="n">
        <f aca="false">TblProd[[#This Row],[Lumber]]</f>
        <v>7075</v>
      </c>
      <c r="AM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7" s="69" t="n">
        <f aca="false">ROUNDDOWN( MAX(1 - MIN(facs_constr_factor*TblConstr[[#This Row],[Facs -DB]],facs_constr_max) + tech_1_11*TblTech[[#This Row],[11-1]] + tech_6_3_2*TblTech[[#This Row],[6-3]] + tech_5_2_3*TblTech[[#This Row],[5-2]], 1-global_constr_cap) * TblConstr[[#This Row],[RCPA Lumber]],0)</f>
        <v>48</v>
      </c>
      <c r="AO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393</v>
      </c>
      <c r="AP27" s="69" t="n">
        <f aca="false">ROUNDDOWN( MAX(1 - MIN(facs_constr_factor*TblConstr[[#This Row],[Facs DB]],facs_constr_max) + tech_1_11*TblTech[[#This Row],[1-11]] + tech_6_3_2*TblTech[[#This Row],[6-3]] + tech_5_2_3*TblTech[[#This Row],[5-2]], 1-global_constr_cap) * ROUND((TblConstr[[#This Row],[Land]]-250)*0.285 + 87.5 + 0/4.25,0),0)</f>
        <v>53</v>
      </c>
      <c r="AQ27" s="1" t="n">
        <f aca="false">TblConstr[[#This Row],[build -db]]*TblConstr[[#This Row],[CPA Platinum -DB]] + TblConstr[[#This Row],[build db]]*TblConstr[[#This Row],[CPA Platinum DB]]</f>
        <v>7860</v>
      </c>
      <c r="AR27" s="1" t="n">
        <f aca="false">TblConstr[[#This Row],[build -db]]*TblConstr[[#This Row],[CPA Lumber -DB]]+TblConstr[[#This Row],[build db]]*TblConstr[[#This Row],[CPA Lumber DB]]</f>
        <v>1060</v>
      </c>
      <c r="AS27" s="69" t="n">
        <f aca="false">MIN(SUM(OFFSET(TblConstr[[#This Row],[Plain]:[Water]],-1,0))+SUM(TblConstr[[#This Row],[Dest Hom]:[Dest Doc]])+IF(TblConstr[[#This Row],[Hour]]&gt;12,SUM(OFFSET(TblExplore[[#This Row],[Plains Explore]:[Water Explore]],-12,0)),0),SUM(TblConstr[[#This Row],[Hom]:[Doc]]))</f>
        <v>0</v>
      </c>
      <c r="AT2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27" s="132"/>
      <c r="AV27" s="69" t="n">
        <f aca="false">ROUND((TblConstr[[#This Row],[Land]]-250 - IF(TblExplore[[#This Row],[Land Bonus]]&lt;&gt;0,20,0))*1.25 + 850 + 0,0)</f>
        <v>886</v>
      </c>
      <c r="AW27" s="69" t="n">
        <f aca="false">ROUND((TblConstr[[#This Row],[Land]]-250 - IF(TblExplore[[#This Row],[Land Bonus]]&lt;&gt;0,20,0))*0.285 + 87.5 + 0/4.25,0)</f>
        <v>96</v>
      </c>
      <c r="AX27" s="146"/>
      <c r="AY27" s="203" t="n">
        <f aca="false" t="array" ref="AY27:AY27">IF(TblConstr[[#This Row],[Hour]:[Hour]]&gt;12,OFFSET(TblConstr[[#This Row],[Hom]],-12,0),0)+OFFSET(TblConstr[[#This Row],[Tot Hom]],-1,0)-TblConstr[[#This Row],[Dest Hom]]</f>
        <v>0</v>
      </c>
      <c r="AZ27" s="204" t="n">
        <f aca="false" t="array" ref="AZ27:AZ27">IF(TblConstr[[#This Row],[Hour]:[Hour]]&gt;12,OFFSET(TblConstr[[#This Row],[Alc]],-12,0),0)+OFFSET(TblConstr[[#This Row],[Tot Alc]],-1,0)-TblConstr[[#This Row],[Dest Alc]]</f>
        <v>70</v>
      </c>
      <c r="BA27" s="204" t="n">
        <f aca="false" t="array" ref="BA27:BA27">IF(TblConstr[[#This Row],[Hour]:[Hour]]&gt;12,OFFSET(TblConstr[[#This Row],[Far]],-12,0),0)+OFFSET(TblConstr[[#This Row],[Tot Farm]],-1,0)-TblConstr[[#This Row],[Dest Farm]]</f>
        <v>5</v>
      </c>
      <c r="BB27" s="204" t="n">
        <f aca="false" t="array" ref="BB27:BB27">IF(TblConstr[[#This Row],[Hour]:[Hour]]&gt;12,OFFSET(TblConstr[[#This Row],[Smi]],-12,0),0)+OFFSET(TblConstr[[#This Row],[Tot Smi]],-1,0)-TblConstr[[#This Row],[Dest Smi]]</f>
        <v>0</v>
      </c>
      <c r="BC27" s="204" t="n">
        <f aca="false" t="array" ref="BC27:BC27">IF(TblConstr[[#This Row],[Hour]:[Hour]]&gt;12,OFFSET(TblConstr[[#This Row],[Mas]],-12,0),0)+OFFSET(TblConstr[[#This Row],[Tot Mas]],-1,0)-TblConstr[[#This Row],[Dest Mas]]</f>
        <v>0</v>
      </c>
      <c r="BD27" s="205" t="n">
        <f aca="false" t="array" ref="BD27:BD27">IF(TblConstr[[#This Row],[Hour]:[Hour]]&gt;12,OFFSET(TblConstr[[#This Row],[Ly]],-12,0),0)+OFFSET(TblConstr[[#This Row],[Tot Ly]],-1,0)-TblConstr[[#This Row],[Dest Ly]]</f>
        <v>20</v>
      </c>
      <c r="BE27" s="205" t="n">
        <f aca="false" t="array" ref="BE27:BE27">IF(TblConstr[[#This Row],[Hour]:[Hour]]&gt;12,OFFSET(TblConstr[[#This Row],[Hav]],-12,0),0)+OFFSET(TblConstr[[#This Row],[Tot Hav]],-1,0)-TblConstr[[#This Row],[Dest Hav]]</f>
        <v>0</v>
      </c>
      <c r="BF27" s="194" t="n">
        <f aca="false" t="array" ref="BF27:BF27">IF(TblConstr[[#This Row],[Hour]:[Hour]]&gt;12,OFFSET(TblConstr[[#This Row],[OM]],-12,0),0)+OFFSET(TblConstr[[#This Row],[Tot OM]],-1,0)-TblConstr[[#This Row],[Dest OM]]</f>
        <v>0</v>
      </c>
      <c r="BG27" s="194" t="n">
        <f aca="false" t="array" ref="BG27:BG27">IF(TblConstr[[#This Row],[Hour]:[Hour]]&gt;12,OFFSET(TblConstr[[#This Row],[GN]],-12,0),0)+OFFSET(TblConstr[[#This Row],[Tot GN]],-1,0)-TblConstr[[#This Row],[Dest GN]]</f>
        <v>0</v>
      </c>
      <c r="BH27" s="206" t="n">
        <f aca="false" t="array" ref="BH27:BH27">IF(TblConstr[[#This Row],[Hour]:[Hour]]&gt;12,OFFSET(TblConstr[[#This Row],[Fac]],-12,0),0)+OFFSET(TblConstr[[#This Row],[Tot Fac]],-1,0)-TblConstr[[#This Row],[Dest Fac]]</f>
        <v>28</v>
      </c>
      <c r="BI27" s="206" t="n">
        <f aca="false" t="array" ref="BI27:BI27">IF(TblConstr[[#This Row],[Hour]:[Hour]]&gt;12,OFFSET(TblConstr[[#This Row],[GT]],-12,0),0)+OFFSET(TblConstr[[#This Row],[Tot GT]],-1,0)-TblConstr[[#This Row],[Dest GT]]</f>
        <v>0</v>
      </c>
      <c r="BJ27" s="206" t="n">
        <f aca="false" t="array" ref="BJ27:BJ27">IF(TblConstr[[#This Row],[Hour]:[Hour]]&gt;12,OFFSET(TblConstr[[#This Row],[Bar]],-12,0),0)+OFFSET(TblConstr[[#This Row],[Tot Bar]],-1,0)-TblConstr[[#This Row],[Dest Bar]]</f>
        <v>0</v>
      </c>
      <c r="BK27" s="206" t="n">
        <f aca="false" t="array" ref="BK27:BK27">IF(TblConstr[[#This Row],[Hour]:[Hour]]&gt;12,OFFSET(TblConstr[[#This Row],[Shr]],-12,0),0)+OFFSET(TblConstr[[#This Row],[Tot Shr]],-1,0)-TblConstr[[#This Row],[Dest Shr]]</f>
        <v>0</v>
      </c>
      <c r="BL27" s="207" t="n">
        <f aca="false" t="array" ref="BL27:BL27">IF(TblConstr[[#This Row],[Hour]:[Hour]]&gt;12,OFFSET(TblConstr[[#This Row],[Tow]],-12,0),0)+OFFSET(TblConstr[[#This Row],[Tot Tow]],-1,0)-TblConstr[[#This Row],[Dest Tow]]</f>
        <v>15</v>
      </c>
      <c r="BM27" s="207" t="n">
        <f aca="false" t="array" ref="BM27:BM27">IF(TblConstr[[#This Row],[Hour]:[Hour]]&gt;12,OFFSET(TblConstr[[#This Row],[Tem]],-12,0),0)+OFFSET(TblConstr[[#This Row],[Tot Tem]],-1,0)-TblConstr[[#This Row],[Dest Tem]]</f>
        <v>47</v>
      </c>
      <c r="BN27" s="207" t="n">
        <f aca="false" t="array" ref="BN27:BN27">IF(TblConstr[[#This Row],[Hour]:[Hour]]&gt;12,OFFSET(TblConstr[[#This Row],[WG]],-12,0),0)+OFFSET(TblConstr[[#This Row],[Tot WG]],-1,0)-TblConstr[[#This Row],[Dest WG]]</f>
        <v>0</v>
      </c>
      <c r="BO27" s="208" t="n">
        <f aca="false" t="array" ref="BO27:BO27">IF(TblConstr[[#This Row],[Hour]:[Hour]]&gt;12,OFFSET(TblConstr[[#This Row],[DM]],-12,0),0)+OFFSET(TblConstr[[#This Row],[Tot DM]],-1,0)-TblConstr[[#This Row],[Dest DM]]</f>
        <v>0</v>
      </c>
      <c r="BP27" s="208" t="n">
        <f aca="false" t="array" ref="BP27:BP27">IF(TblConstr[[#This Row],[Hour]:[Hour]]&gt;12,OFFSET(TblConstr[[#This Row],[Sch]],-12,0),0)+OFFSET(TblConstr[[#This Row],[Tot Sch]],-1,0)-TblConstr[[#This Row],[Dest Sch]]</f>
        <v>0</v>
      </c>
      <c r="BQ27" s="209" t="n">
        <f aca="false" t="array" ref="BQ27:BQ27">IF(TblConstr[[#This Row],[Hour]:[Hour]]&gt;12,OFFSET(TblConstr[[#This Row],[Doc]],-12,0),0)+OFFSET(TblConstr[[#This Row],[Tot Doc]],-1,0)-TblConstr[[#This Row],[Dest Doc]]</f>
        <v>0</v>
      </c>
      <c r="BR27" s="132"/>
      <c r="BS27" s="146"/>
      <c r="BT27" s="69" t="n">
        <f aca="false">TblConstr[[#This Row],[Land]]</f>
        <v>299</v>
      </c>
      <c r="BU27" s="153" t="n">
        <f aca="false">TblImps[[#This Row],[Time]]</f>
        <v>45430.7083333333</v>
      </c>
      <c r="BV27" s="132"/>
      <c r="BW27" s="182"/>
      <c r="BX27" s="182"/>
      <c r="BY27" s="182"/>
      <c r="BZ27" s="182"/>
      <c r="CA27" s="182"/>
      <c r="CB27" s="182"/>
      <c r="CC27" s="182"/>
      <c r="CD27" s="182"/>
      <c r="CE27" s="182"/>
      <c r="CF27" s="182"/>
      <c r="CG27" s="182"/>
      <c r="CH27" s="182"/>
      <c r="CI27" s="182"/>
      <c r="CJ27" s="182"/>
      <c r="CK27" s="182"/>
      <c r="CL27" s="182"/>
      <c r="CM27" s="182"/>
      <c r="CN27" s="182"/>
      <c r="CO27" s="182"/>
      <c r="CP27" s="132"/>
      <c r="CQ27" s="192" t="n">
        <f aca="false">-SUM(TblConstr[[#This Row],[Alc]:[Mas]])+SUM(TblConstr[[#This Row],[Dest Alc]:[Dest Mas]])+Rezone!L27+IF("Ch_"&amp; home_land=TblConstr[[#Headers],[Ch_Plain]],TblConstr[[#This Row],[Home Land]])+IF(TblConstr[[#This Row],[Hour]:[Hour]]&gt;12,OFFSET(TblExplore[[#This Row],[Plains Explore]],-12,0),0)</f>
        <v>0</v>
      </c>
      <c r="CR27" s="193" t="n">
        <f aca="false">-SUM(TblConstr[[#This Row],[Ly]:[Hav]])+SUM(TblConstr[[#This Row],[Dest Ly]:[Dest Hav]]) +Rezone!M27 + IF("Ch_"&amp; home_land=TblConstr[[#Headers],[Ch_Forest]],TblConstr[[#This Row],[Home Land]])+IF(TblConstr[[#This Row],[Hour]:[Hour]]&gt;12,OFFSET(TblExplore[[#This Row],[Forest Explore]],-12,0),0)</f>
        <v>0</v>
      </c>
      <c r="CS27" s="200" t="n">
        <f aca="false">-SUM(TblConstr[[#This Row],[OM]:[GN]])+SUM(TblConstr[[#This Row],[Dest OM]:[Dest GN]]) +Rezone!N27 + IF("Ch_"&amp; home_land=TblConstr[[#Headers],[Ch_Mountain]],TblConstr[[#This Row],[Home Land]])+IF(TblConstr[[#This Row],[Hour]:[Hour]]&gt;12,OFFSET(TblExplore[[#This Row],[Mountain Explore]],-12,0),0)</f>
        <v>0</v>
      </c>
      <c r="CT27" s="195" t="n">
        <f aca="false">-SUM(TblConstr[[#This Row],[Fac]:[Shr]])+SUM(TblConstr[[#This Row],[Dest Fac]:[Dest Shr]]) +Rezone!O27 + IF("Ch_" &amp; home_land=TblConstr[[#Headers],[Ch_Hill]],TblConstr[[#This Row],[Home Land]])+IF(TblConstr[[#This Row],[Hour]:[Hour]]&gt;12,OFFSET(TblExplore[[#This Row],[Hill Explore]],-12,0),0)</f>
        <v>0</v>
      </c>
      <c r="CU27" s="196" t="n">
        <f aca="false">-SUM(TblConstr[[#This Row],[Tow]:[WG]])+SUM(TblConstr[[#This Row],[Dest Tow]:[Dest WG]]) +Rezone!P27 + IF("Ch_" &amp; home_land=TblConstr[[#Headers],[Ch_Swamp]],TblConstr[[#This Row],[Home Land]])+IF(TblConstr[[#This Row],[Hour]:[Hour]]&gt;12,OFFSET(TblExplore[[#This Row],[Swamp Explore]],-12,0),0)</f>
        <v>0</v>
      </c>
      <c r="CV27" s="197" t="n">
        <f aca="false">- SUM(TblConstr[[#This Row],[DM]:[Sch]])+SUM(TblConstr[[#This Row],[Dest DM]:[Dest Sch]]) +Rezone!Q27 + IF("Ch_" &amp; home_land=TblConstr[[#Headers],[Ch_Cavern]],TblConstr[[#This Row],[Home Land]])+IF(TblConstr[[#This Row],[Hour]:[Hour]]&gt;12,OFFSET(TblExplore[[#This Row],[Cavern Explore]],-12,0),0)</f>
        <v>0</v>
      </c>
      <c r="CW27" s="198" t="n">
        <f aca="false">-TblConstr[[#This Row],[Doc]]+TblConstr[[#This Row],[Dest Doc]] +Rezone!R27 + IF("Ch_" &amp; home_land=TblConstr[[#Headers],[Ch_Water]],TblConstr[[#This Row],[Home Land]])+IF(TblConstr[[#This Row],[Hour]:[Hour]]&gt;12,OFFSET(TblExplore[[#This Row],[Water Explore]],-12,0),0)</f>
        <v>0</v>
      </c>
      <c r="CX27" s="1" t="n">
        <f aca="false">IF(Explore!S27=1,20) - TblConstr[[#This Row],[Hom]] + TblConstr[[#This Row],[Dest Hom]]</f>
        <v>20</v>
      </c>
      <c r="CY27" s="132"/>
      <c r="CZ27" s="69" t="n">
        <f aca="false">G27+SUM(P16:S27)+SUM(AZ27:BC27)</f>
        <v>155</v>
      </c>
      <c r="DA27" s="69" t="n">
        <f aca="false">H27+SUM(T16:U27)+SUM(BD27:BE27)</f>
        <v>23</v>
      </c>
      <c r="DB27" s="1" t="n">
        <f aca="false">I27+SUM(V16:W27)+SUM(BF27:BG27)</f>
        <v>0</v>
      </c>
      <c r="DC27" s="69" t="n">
        <f aca="false">J27+SUM(X16:Y27)+SUM(BH27:BI27)</f>
        <v>51</v>
      </c>
      <c r="DD27" s="69" t="n">
        <f aca="false">K27+SUM(AB16:AD27)+SUM(BL27:BN27)</f>
        <v>65</v>
      </c>
      <c r="DE27" s="1" t="n">
        <f aca="false">L27+SUM(AE16:AE27)+BO27</f>
        <v>0</v>
      </c>
      <c r="DF27" s="69" t="n">
        <f aca="false">M27+SUM(AG16:AG27)+BQ27</f>
        <v>5</v>
      </c>
      <c r="DG27" s="69" t="e">
        <f aca="false" t="array" ref="DG27:DG27">INDEX(TblConstr[[Total Plain]:[Total Water]],ROW()-ROW(TblConstr[#headers]),MATCH("Total "&amp;home_land,TblConstr[[#Headers],[Total Plain]:[Total Water]],0))+TblConstr[[#This Row],[Homes]]</f>
        <v>#VALUE!</v>
      </c>
      <c r="DH27" s="1" t="n">
        <f aca="false">SUM(O16:O27)+AY27</f>
        <v>0</v>
      </c>
      <c r="DI27" s="1" t="n">
        <f aca="false">MAX(BA27-BA26,0)</f>
        <v>0</v>
      </c>
      <c r="DJ27" s="1" t="n">
        <f aca="false">MAX(BQ27-BQ26,0)</f>
        <v>0</v>
      </c>
    </row>
    <row r="28" customFormat="false" ht="12.75" hidden="false" customHeight="false" outlineLevel="0" collapsed="false">
      <c r="A28" s="170" t="n">
        <f aca="false">TblRezone[[#This Row],[Hour]]</f>
        <v>25</v>
      </c>
      <c r="B28" s="171" t="n">
        <f aca="false">SUM(TblConstr[[#This Row],[Plain]:[Water]])</f>
        <v>0</v>
      </c>
      <c r="C28" s="172" t="n">
        <f aca="false">SUM(TblConstr[[#This Row],[Tot Hom]:[Tot Doc]])</f>
        <v>250</v>
      </c>
      <c r="D28" s="172" t="n">
        <f aca="false">SUM(O17:AG28)</f>
        <v>49</v>
      </c>
      <c r="E28" s="173"/>
      <c r="F28" s="33" t="n">
        <f aca="false">TblConstr[[#This Row],[Barren]]+TblConstr[[#This Row],[Buildings]]+TblConstr[[#This Row],[Incoming]]</f>
        <v>299</v>
      </c>
      <c r="G28" s="199" t="n">
        <f aca="false">OFFSET(TblConstr[[#This Row],[Plain]],-1,0)+TblConstr[[#This Row],[Ch_Plain]]</f>
        <v>0</v>
      </c>
      <c r="H28" s="193" t="n">
        <f aca="false">OFFSET(TblConstr[[#This Row],[Forest]],-1,0)+TblConstr[[#This Row],[Ch_Forest]]</f>
        <v>0</v>
      </c>
      <c r="I28" s="200" t="n">
        <f aca="false">OFFSET(TblConstr[[#This Row],[Mountain]],-1,0)+TblConstr[[#This Row],[Ch_Mountain]]</f>
        <v>0</v>
      </c>
      <c r="J28" s="201" t="n">
        <f aca="false">OFFSET(TblConstr[[#This Row],[Hill]],-1,0)+TblConstr[[#This Row],[Ch_Hill]]</f>
        <v>0</v>
      </c>
      <c r="K28" s="202" t="n">
        <f aca="false">OFFSET(TblConstr[[#This Row],[Swamp]],-1,0)+TblConstr[[#This Row],[Ch_Swamp]]</f>
        <v>0</v>
      </c>
      <c r="L28" s="197" t="n">
        <f aca="false">OFFSET(TblConstr[[#This Row],[Cavern]],-1,0)+TblConstr[[#This Row],[Ch_Cavern]]</f>
        <v>0</v>
      </c>
      <c r="M28" s="198" t="n">
        <f aca="false">OFFSET(TblConstr[[#This Row],[Water]],-1,0)+TblConstr[[#This Row],[Ch_Water]]</f>
        <v>0</v>
      </c>
      <c r="N28" s="181" t="n">
        <f aca="false">TblRezone[[#This Row],[Hour]]</f>
        <v>25</v>
      </c>
      <c r="O28" s="182"/>
      <c r="P28" s="182"/>
      <c r="Q28" s="182"/>
      <c r="R28" s="182"/>
      <c r="S28" s="182"/>
      <c r="T28" s="182"/>
      <c r="U28" s="182"/>
      <c r="V28" s="182"/>
      <c r="W28" s="182"/>
      <c r="X28" s="182"/>
      <c r="Y28" s="182"/>
      <c r="Z28" s="182"/>
      <c r="AA28" s="182"/>
      <c r="AB28" s="182"/>
      <c r="AC28" s="182"/>
      <c r="AD28" s="182"/>
      <c r="AE28" s="182"/>
      <c r="AF28" s="182"/>
      <c r="AG28" s="182"/>
      <c r="AH28" s="20" t="n">
        <f aca="false">TblImps[[#This Row],[Time]]</f>
        <v>45430.75</v>
      </c>
      <c r="AI28" s="130" t="n">
        <f aca="false">MIN(25%,(TblConstr[[#This Row],[Tot Fac]]+TblConstr[[#This Row],[Dest Fac]])/(TblConstr[[#This Row],[Land]]-TblExplore[[#This Row],[Land Bonus]]*20))</f>
        <v>0.100334448160535</v>
      </c>
      <c r="AJ28" s="130" t="n">
        <f aca="false">MIN(25%,(TblConstr[[#This Row],[Tot Fac]]+TblConstr[[#This Row],[Dest Fac]])/TblConstr[[#This Row],[Land]])</f>
        <v>0.100334448160535</v>
      </c>
      <c r="AK28" s="69" t="n">
        <f aca="false">TblProd[[#This Row],[Platinum]]</f>
        <v>42902</v>
      </c>
      <c r="AL28" s="69" t="n">
        <f aca="false">TblProd[[#This Row],[Lumber]]</f>
        <v>7904</v>
      </c>
      <c r="AM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8" s="69" t="n">
        <f aca="false">ROUNDDOWN( MAX(1 - MIN(facs_constr_factor*TblConstr[[#This Row],[Facs -DB]],facs_constr_max) + tech_1_11*TblTech[[#This Row],[11-1]] + tech_6_3_2*TblTech[[#This Row],[6-3]] + tech_5_2_3*TblTech[[#This Row],[5-2]], 1-global_constr_cap) * TblConstr[[#This Row],[RCPA Lumber]],0)</f>
        <v>50</v>
      </c>
      <c r="AO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8" s="69" t="n">
        <f aca="false">ROUNDDOWN( MAX(1 - MIN(facs_constr_factor*TblConstr[[#This Row],[Facs DB]],facs_constr_max) + tech_1_11*TblTech[[#This Row],[1-11]] + tech_6_3_2*TblTech[[#This Row],[6-3]] + tech_5_2_3*TblTech[[#This Row],[5-2]], 1-global_constr_cap) * ROUND((TblConstr[[#This Row],[Land]]-250)*0.285 + 87.5 + 0/4.25,0),0)</f>
        <v>50</v>
      </c>
      <c r="AQ28" s="1" t="n">
        <f aca="false">TblConstr[[#This Row],[build -db]]*TblConstr[[#This Row],[CPA Platinum -DB]] + TblConstr[[#This Row],[build db]]*TblConstr[[#This Row],[CPA Platinum DB]]</f>
        <v>0</v>
      </c>
      <c r="AR28" s="1" t="n">
        <f aca="false">TblConstr[[#This Row],[build -db]]*TblConstr[[#This Row],[CPA Lumber -DB]]+TblConstr[[#This Row],[build db]]*TblConstr[[#This Row],[CPA Lumber DB]]</f>
        <v>0</v>
      </c>
      <c r="AS28" s="69" t="n">
        <f aca="false">MIN(SUM(OFFSET(TblConstr[[#This Row],[Plain]:[Water]],-1,0))+SUM(TblConstr[[#This Row],[Dest Hom]:[Dest Doc]])+IF(TblConstr[[#This Row],[Hour]]&gt;12,SUM(OFFSET(TblExplore[[#This Row],[Plains Explore]:[Water Explore]],-12,0)),0),SUM(TblConstr[[#This Row],[Hom]:[Doc]]))</f>
        <v>0</v>
      </c>
      <c r="AT2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32"/>
      <c r="AV28" s="69" t="n">
        <f aca="false">ROUND((TblConstr[[#This Row],[Land]]-250 - IF(TblExplore[[#This Row],[Land Bonus]]&lt;&gt;0,20,0))*1.25 + 850 + 0,0)</f>
        <v>911</v>
      </c>
      <c r="AW28" s="69" t="n">
        <f aca="false">ROUND((TblConstr[[#This Row],[Land]]-250 - IF(TblExplore[[#This Row],[Land Bonus]]&lt;&gt;0,20,0))*0.285 + 87.5 + 0/4.25,0)</f>
        <v>101</v>
      </c>
      <c r="AX28" s="146"/>
      <c r="AY28" s="203" t="n">
        <f aca="false" t="array" ref="AY28:AY28">IF(TblConstr[[#This Row],[Hour]:[Hour]]&gt;12,OFFSET(TblConstr[[#This Row],[Hom]],-12,0),0)+OFFSET(TblConstr[[#This Row],[Tot Hom]],-1,0)-TblConstr[[#This Row],[Dest Hom]]</f>
        <v>0</v>
      </c>
      <c r="AZ28" s="204" t="n">
        <f aca="false" t="array" ref="AZ28:AZ28">IF(TblConstr[[#This Row],[Hour]:[Hour]]&gt;12,OFFSET(TblConstr[[#This Row],[Alc]],-12,0),0)+OFFSET(TblConstr[[#This Row],[Tot Alc]],-1,0)-TblConstr[[#This Row],[Dest Alc]]</f>
        <v>125</v>
      </c>
      <c r="BA28" s="204" t="n">
        <f aca="false" t="array" ref="BA28:BA28">IF(TblConstr[[#This Row],[Hour]:[Hour]]&gt;12,OFFSET(TblConstr[[#This Row],[Far]],-12,0),0)+OFFSET(TblConstr[[#This Row],[Tot Farm]],-1,0)-TblConstr[[#This Row],[Dest Farm]]</f>
        <v>5</v>
      </c>
      <c r="BB28" s="204" t="n">
        <f aca="false" t="array" ref="BB28:BB28">IF(TblConstr[[#This Row],[Hour]:[Hour]]&gt;12,OFFSET(TblConstr[[#This Row],[Smi]],-12,0),0)+OFFSET(TblConstr[[#This Row],[Tot Smi]],-1,0)-TblConstr[[#This Row],[Dest Smi]]</f>
        <v>0</v>
      </c>
      <c r="BC28" s="204" t="n">
        <f aca="false" t="array" ref="BC28:BC28">IF(TblConstr[[#This Row],[Hour]:[Hour]]&gt;12,OFFSET(TblConstr[[#This Row],[Mas]],-12,0),0)+OFFSET(TblConstr[[#This Row],[Tot Mas]],-1,0)-TblConstr[[#This Row],[Dest Mas]]</f>
        <v>0</v>
      </c>
      <c r="BD28" s="205" t="n">
        <f aca="false" t="array" ref="BD28:BD28">IF(TblConstr[[#This Row],[Hour]:[Hour]]&gt;12,OFFSET(TblConstr[[#This Row],[Ly]],-12,0),0)+OFFSET(TblConstr[[#This Row],[Tot Ly]],-1,0)-TblConstr[[#This Row],[Dest Ly]]</f>
        <v>20</v>
      </c>
      <c r="BE28" s="205" t="n">
        <f aca="false" t="array" ref="BE28:BE28">IF(TblConstr[[#This Row],[Hour]:[Hour]]&gt;12,OFFSET(TblConstr[[#This Row],[Hav]],-12,0),0)+OFFSET(TblConstr[[#This Row],[Tot Hav]],-1,0)-TblConstr[[#This Row],[Dest Hav]]</f>
        <v>0</v>
      </c>
      <c r="BF28" s="194" t="n">
        <f aca="false" t="array" ref="BF28:BF28">IF(TblConstr[[#This Row],[Hour]:[Hour]]&gt;12,OFFSET(TblConstr[[#This Row],[OM]],-12,0),0)+OFFSET(TblConstr[[#This Row],[Tot OM]],-1,0)-TblConstr[[#This Row],[Dest OM]]</f>
        <v>0</v>
      </c>
      <c r="BG28" s="194" t="n">
        <f aca="false" t="array" ref="BG28:BG28">IF(TblConstr[[#This Row],[Hour]:[Hour]]&gt;12,OFFSET(TblConstr[[#This Row],[GN]],-12,0),0)+OFFSET(TblConstr[[#This Row],[Tot GN]],-1,0)-TblConstr[[#This Row],[Dest GN]]</f>
        <v>0</v>
      </c>
      <c r="BH28" s="206" t="n">
        <f aca="false" t="array" ref="BH28:BH28">IF(TblConstr[[#This Row],[Hour]:[Hour]]&gt;12,OFFSET(TblConstr[[#This Row],[Fac]],-12,0),0)+OFFSET(TblConstr[[#This Row],[Tot Fac]],-1,0)-TblConstr[[#This Row],[Dest Fac]]</f>
        <v>30</v>
      </c>
      <c r="BI28" s="206" t="n">
        <f aca="false" t="array" ref="BI28:BI28">IF(TblConstr[[#This Row],[Hour]:[Hour]]&gt;12,OFFSET(TblConstr[[#This Row],[GT]],-12,0),0)+OFFSET(TblConstr[[#This Row],[Tot GT]],-1,0)-TblConstr[[#This Row],[Dest GT]]</f>
        <v>0</v>
      </c>
      <c r="BJ28" s="206" t="n">
        <f aca="false" t="array" ref="BJ28:BJ28">IF(TblConstr[[#This Row],[Hour]:[Hour]]&gt;12,OFFSET(TblConstr[[#This Row],[Bar]],-12,0),0)+OFFSET(TblConstr[[#This Row],[Tot Bar]],-1,0)-TblConstr[[#This Row],[Dest Bar]]</f>
        <v>0</v>
      </c>
      <c r="BK28" s="206" t="n">
        <f aca="false" t="array" ref="BK28:BK28">IF(TblConstr[[#This Row],[Hour]:[Hour]]&gt;12,OFFSET(TblConstr[[#This Row],[Shr]],-12,0),0)+OFFSET(TblConstr[[#This Row],[Tot Shr]],-1,0)-TblConstr[[#This Row],[Dest Shr]]</f>
        <v>0</v>
      </c>
      <c r="BL28" s="207" t="n">
        <f aca="false" t="array" ref="BL28:BL28">IF(TblConstr[[#This Row],[Hour]:[Hour]]&gt;12,OFFSET(TblConstr[[#This Row],[Tow]],-12,0),0)+OFFSET(TblConstr[[#This Row],[Tot Tow]],-1,0)-TblConstr[[#This Row],[Dest Tow]]</f>
        <v>18</v>
      </c>
      <c r="BM28" s="207" t="n">
        <f aca="false" t="array" ref="BM28:BM28">IF(TblConstr[[#This Row],[Hour]:[Hour]]&gt;12,OFFSET(TblConstr[[#This Row],[Tem]],-12,0),0)+OFFSET(TblConstr[[#This Row],[Tot Tem]],-1,0)-TblConstr[[#This Row],[Dest Tem]]</f>
        <v>47</v>
      </c>
      <c r="BN28" s="207" t="n">
        <f aca="false" t="array" ref="BN28:BN28">IF(TblConstr[[#This Row],[Hour]:[Hour]]&gt;12,OFFSET(TblConstr[[#This Row],[WG]],-12,0),0)+OFFSET(TblConstr[[#This Row],[Tot WG]],-1,0)-TblConstr[[#This Row],[Dest WG]]</f>
        <v>0</v>
      </c>
      <c r="BO28" s="208" t="n">
        <f aca="false" t="array" ref="BO28:BO28">IF(TblConstr[[#This Row],[Hour]:[Hour]]&gt;12,OFFSET(TblConstr[[#This Row],[DM]],-12,0),0)+OFFSET(TblConstr[[#This Row],[Tot DM]],-1,0)-TblConstr[[#This Row],[Dest DM]]</f>
        <v>0</v>
      </c>
      <c r="BP28" s="208" t="n">
        <f aca="false" t="array" ref="BP28:BP28">IF(TblConstr[[#This Row],[Hour]:[Hour]]&gt;12,OFFSET(TblConstr[[#This Row],[Sch]],-12,0),0)+OFFSET(TblConstr[[#This Row],[Tot Sch]],-1,0)-TblConstr[[#This Row],[Dest Sch]]</f>
        <v>0</v>
      </c>
      <c r="BQ28" s="209" t="n">
        <f aca="false" t="array" ref="BQ28:BQ28">IF(TblConstr[[#This Row],[Hour]:[Hour]]&gt;12,OFFSET(TblConstr[[#This Row],[Doc]],-12,0),0)+OFFSET(TblConstr[[#This Row],[Tot Doc]],-1,0)-TblConstr[[#This Row],[Dest Doc]]</f>
        <v>5</v>
      </c>
      <c r="BR28" s="132"/>
      <c r="BS28" s="146"/>
      <c r="BT28" s="69" t="n">
        <f aca="false">TblConstr[[#This Row],[Land]]</f>
        <v>299</v>
      </c>
      <c r="BU28" s="153" t="n">
        <f aca="false">TblImps[[#This Row],[Time]]</f>
        <v>45430.75</v>
      </c>
      <c r="BV28" s="132"/>
      <c r="BW28" s="182"/>
      <c r="BX28" s="182"/>
      <c r="BY28" s="182"/>
      <c r="BZ28" s="182"/>
      <c r="CA28" s="182"/>
      <c r="CB28" s="182"/>
      <c r="CC28" s="182"/>
      <c r="CD28" s="182"/>
      <c r="CE28" s="182"/>
      <c r="CF28" s="182"/>
      <c r="CG28" s="182"/>
      <c r="CH28" s="182"/>
      <c r="CI28" s="182"/>
      <c r="CJ28" s="182"/>
      <c r="CK28" s="182"/>
      <c r="CL28" s="182"/>
      <c r="CM28" s="182"/>
      <c r="CN28" s="182"/>
      <c r="CO28" s="182"/>
      <c r="CP28" s="132"/>
      <c r="CQ28" s="192" t="n">
        <f aca="false">-SUM(TblConstr[[#This Row],[Alc]:[Mas]])+SUM(TblConstr[[#This Row],[Dest Alc]:[Dest Mas]])+Rezone!L28+IF("Ch_"&amp; home_land=TblConstr[[#Headers],[Ch_Plain]],TblConstr[[#This Row],[Home Land]])+IF(TblConstr[[#This Row],[Hour]:[Hour]]&gt;12,OFFSET(TblExplore[[#This Row],[Plains Explore]],-12,0),0)</f>
        <v>0</v>
      </c>
      <c r="CR28" s="193" t="n">
        <f aca="false">-SUM(TblConstr[[#This Row],[Ly]:[Hav]])+SUM(TblConstr[[#This Row],[Dest Ly]:[Dest Hav]]) +Rezone!M28 + IF("Ch_"&amp; home_land=TblConstr[[#Headers],[Ch_Forest]],TblConstr[[#This Row],[Home Land]])+IF(TblConstr[[#This Row],[Hour]:[Hour]]&gt;12,OFFSET(TblExplore[[#This Row],[Forest Explore]],-12,0),0)</f>
        <v>0</v>
      </c>
      <c r="CS28" s="200" t="n">
        <f aca="false">-SUM(TblConstr[[#This Row],[OM]:[GN]])+SUM(TblConstr[[#This Row],[Dest OM]:[Dest GN]]) +Rezone!N28 + IF("Ch_"&amp; home_land=TblConstr[[#Headers],[Ch_Mountain]],TblConstr[[#This Row],[Home Land]])+IF(TblConstr[[#This Row],[Hour]:[Hour]]&gt;12,OFFSET(TblExplore[[#This Row],[Mountain Explore]],-12,0),0)</f>
        <v>0</v>
      </c>
      <c r="CT28" s="195" t="n">
        <f aca="false">-SUM(TblConstr[[#This Row],[Fac]:[Shr]])+SUM(TblConstr[[#This Row],[Dest Fac]:[Dest Shr]]) +Rezone!O28 + IF("Ch_" &amp; home_land=TblConstr[[#Headers],[Ch_Hill]],TblConstr[[#This Row],[Home Land]])+IF(TblConstr[[#This Row],[Hour]:[Hour]]&gt;12,OFFSET(TblExplore[[#This Row],[Hill Explore]],-12,0),0)</f>
        <v>0</v>
      </c>
      <c r="CU28" s="196" t="n">
        <f aca="false">-SUM(TblConstr[[#This Row],[Tow]:[WG]])+SUM(TblConstr[[#This Row],[Dest Tow]:[Dest WG]]) +Rezone!P28 + IF("Ch_" &amp; home_land=TblConstr[[#Headers],[Ch_Swamp]],TblConstr[[#This Row],[Home Land]])+IF(TblConstr[[#This Row],[Hour]:[Hour]]&gt;12,OFFSET(TblExplore[[#This Row],[Swamp Explore]],-12,0),0)</f>
        <v>0</v>
      </c>
      <c r="CV28" s="197" t="n">
        <f aca="false">- SUM(TblConstr[[#This Row],[DM]:[Sch]])+SUM(TblConstr[[#This Row],[Dest DM]:[Dest Sch]]) +Rezone!Q28 + IF("Ch_" &amp; home_land=TblConstr[[#Headers],[Ch_Cavern]],TblConstr[[#This Row],[Home Land]])+IF(TblConstr[[#This Row],[Hour]:[Hour]]&gt;12,OFFSET(TblExplore[[#This Row],[Cavern Explore]],-12,0),0)</f>
        <v>0</v>
      </c>
      <c r="CW28" s="198" t="n">
        <f aca="false">-TblConstr[[#This Row],[Doc]]+TblConstr[[#This Row],[Dest Doc]] +Rezone!R28 + IF("Ch_" &amp; home_land=TblConstr[[#Headers],[Ch_Water]],TblConstr[[#This Row],[Home Land]])+IF(TblConstr[[#This Row],[Hour]:[Hour]]&gt;12,OFFSET(TblExplore[[#This Row],[Water Explore]],-12,0),0)</f>
        <v>0</v>
      </c>
      <c r="CX28" s="1" t="n">
        <f aca="false">IF(Explore!S28=1,20) - TblConstr[[#This Row],[Hom]] + TblConstr[[#This Row],[Dest Hom]]</f>
        <v>0</v>
      </c>
      <c r="CY28" s="132"/>
      <c r="CZ28" s="69" t="n">
        <f aca="false">G28+SUM(P17:S28)+SUM(AZ28:BC28)</f>
        <v>155</v>
      </c>
      <c r="DA28" s="69" t="n">
        <f aca="false">H28+SUM(T17:U28)+SUM(BD28:BE28)</f>
        <v>23</v>
      </c>
      <c r="DB28" s="1" t="n">
        <f aca="false">I28+SUM(V17:W28)+SUM(BF28:BG28)</f>
        <v>0</v>
      </c>
      <c r="DC28" s="69" t="n">
        <f aca="false">J28+SUM(X17:Y28)+SUM(BH28:BI28)</f>
        <v>51</v>
      </c>
      <c r="DD28" s="69" t="n">
        <f aca="false">K28+SUM(AB17:AD28)+SUM(BL28:BN28)</f>
        <v>65</v>
      </c>
      <c r="DE28" s="1" t="n">
        <f aca="false">L28+SUM(AE17:AE28)+BO28</f>
        <v>0</v>
      </c>
      <c r="DF28" s="69" t="n">
        <f aca="false">M28+SUM(AG17:AG28)+BQ28</f>
        <v>5</v>
      </c>
      <c r="DG28" s="69" t="e">
        <f aca="false" t="array" ref="DG28:DG28">INDEX(TblConstr[[Total Plain]:[Total Water]],ROW()-ROW(TblConstr[#headers]),MATCH("Total "&amp;home_land,TblConstr[[#Headers],[Total Plain]:[Total Water]],0))+TblConstr[[#This Row],[Homes]]</f>
        <v>#VALUE!</v>
      </c>
      <c r="DH28" s="1" t="n">
        <f aca="false">SUM(O17:O28)+AY28</f>
        <v>0</v>
      </c>
      <c r="DI28" s="1" t="n">
        <f aca="false">MAX(BA28-BA27,0)</f>
        <v>0</v>
      </c>
      <c r="DJ28" s="1" t="n">
        <f aca="false">MAX(BQ28-BQ27,0)</f>
        <v>5</v>
      </c>
    </row>
    <row r="29" customFormat="false" ht="12.75" hidden="false" customHeight="false" outlineLevel="0" collapsed="false">
      <c r="A29" s="170" t="n">
        <f aca="false">TblRezone[[#This Row],[Hour]]</f>
        <v>26</v>
      </c>
      <c r="B29" s="171" t="n">
        <f aca="false">SUM(TblConstr[[#This Row],[Plain]:[Water]])</f>
        <v>0</v>
      </c>
      <c r="C29" s="172" t="n">
        <f aca="false">SUM(TblConstr[[#This Row],[Tot Hom]:[Tot Doc]])</f>
        <v>250</v>
      </c>
      <c r="D29" s="172" t="n">
        <f aca="false">SUM(O18:AG29)</f>
        <v>49</v>
      </c>
      <c r="E29" s="173"/>
      <c r="F29" s="33" t="n">
        <f aca="false">TblConstr[[#This Row],[Barren]]+TblConstr[[#This Row],[Buildings]]+TblConstr[[#This Row],[Incoming]]</f>
        <v>299</v>
      </c>
      <c r="G29" s="199" t="n">
        <f aca="false">OFFSET(TblConstr[[#This Row],[Plain]],-1,0)+TblConstr[[#This Row],[Ch_Plain]]</f>
        <v>0</v>
      </c>
      <c r="H29" s="193" t="n">
        <f aca="false">OFFSET(TblConstr[[#This Row],[Forest]],-1,0)+TblConstr[[#This Row],[Ch_Forest]]</f>
        <v>0</v>
      </c>
      <c r="I29" s="200" t="n">
        <f aca="false">OFFSET(TblConstr[[#This Row],[Mountain]],-1,0)+TblConstr[[#This Row],[Ch_Mountain]]</f>
        <v>0</v>
      </c>
      <c r="J29" s="201" t="n">
        <f aca="false">OFFSET(TblConstr[[#This Row],[Hill]],-1,0)+TblConstr[[#This Row],[Ch_Hill]]</f>
        <v>0</v>
      </c>
      <c r="K29" s="202" t="n">
        <f aca="false">OFFSET(TblConstr[[#This Row],[Swamp]],-1,0)+TblConstr[[#This Row],[Ch_Swamp]]</f>
        <v>0</v>
      </c>
      <c r="L29" s="197" t="n">
        <f aca="false">OFFSET(TblConstr[[#This Row],[Cavern]],-1,0)+TblConstr[[#This Row],[Ch_Cavern]]</f>
        <v>0</v>
      </c>
      <c r="M29" s="198" t="n">
        <f aca="false">OFFSET(TblConstr[[#This Row],[Water]],-1,0)+TblConstr[[#This Row],[Ch_Water]]</f>
        <v>0</v>
      </c>
      <c r="N29" s="181" t="n">
        <f aca="false">TblRezone[[#This Row],[Hour]]</f>
        <v>26</v>
      </c>
      <c r="O29" s="182"/>
      <c r="P29" s="182"/>
      <c r="Q29" s="182"/>
      <c r="R29" s="182"/>
      <c r="S29" s="182"/>
      <c r="T29" s="182"/>
      <c r="U29" s="182"/>
      <c r="V29" s="182"/>
      <c r="W29" s="182"/>
      <c r="X29" s="182"/>
      <c r="Y29" s="182"/>
      <c r="Z29" s="182"/>
      <c r="AA29" s="182"/>
      <c r="AB29" s="182"/>
      <c r="AC29" s="182"/>
      <c r="AD29" s="182"/>
      <c r="AE29" s="182"/>
      <c r="AF29" s="182"/>
      <c r="AG29" s="182"/>
      <c r="AH29" s="20" t="n">
        <f aca="false">TblImps[[#This Row],[Time]]</f>
        <v>45430.7916666667</v>
      </c>
      <c r="AI29" s="130" t="n">
        <f aca="false">MIN(25%,(TblConstr[[#This Row],[Tot Fac]]+TblConstr[[#This Row],[Dest Fac]])/(TblConstr[[#This Row],[Land]]-TblExplore[[#This Row],[Land Bonus]]*20))</f>
        <v>0.100334448160535</v>
      </c>
      <c r="AJ29" s="130" t="n">
        <f aca="false">MIN(25%,(TblConstr[[#This Row],[Tot Fac]]+TblConstr[[#This Row],[Dest Fac]])/TblConstr[[#This Row],[Land]])</f>
        <v>0.100334448160535</v>
      </c>
      <c r="AK29" s="69" t="n">
        <f aca="false">TblProd[[#This Row],[Platinum]]</f>
        <v>59751</v>
      </c>
      <c r="AL29" s="69" t="n">
        <f aca="false">TblProd[[#This Row],[Lumber]]</f>
        <v>8725</v>
      </c>
      <c r="AM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9" s="69" t="n">
        <f aca="false">ROUNDDOWN( MAX(1 - MIN(facs_constr_factor*TblConstr[[#This Row],[Facs -DB]],facs_constr_max) + tech_1_11*TblTech[[#This Row],[11-1]] + tech_6_3_2*TblTech[[#This Row],[6-3]] + tech_5_2_3*TblTech[[#This Row],[5-2]], 1-global_constr_cap) * TblConstr[[#This Row],[RCPA Lumber]],0)</f>
        <v>50</v>
      </c>
      <c r="AO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9" s="69" t="n">
        <f aca="false">ROUNDDOWN( MAX(1 - MIN(facs_constr_factor*TblConstr[[#This Row],[Facs DB]],facs_constr_max) + tech_1_11*TblTech[[#This Row],[1-11]] + tech_6_3_2*TblTech[[#This Row],[6-3]] + tech_5_2_3*TblTech[[#This Row],[5-2]], 1-global_constr_cap) * ROUND((TblConstr[[#This Row],[Land]]-250)*0.285 + 87.5 + 0/4.25,0),0)</f>
        <v>50</v>
      </c>
      <c r="AQ29" s="1" t="n">
        <f aca="false">TblConstr[[#This Row],[build -db]]*TblConstr[[#This Row],[CPA Platinum -DB]] + TblConstr[[#This Row],[build db]]*TblConstr[[#This Row],[CPA Platinum DB]]</f>
        <v>0</v>
      </c>
      <c r="AR29" s="1" t="n">
        <f aca="false">TblConstr[[#This Row],[build -db]]*TblConstr[[#This Row],[CPA Lumber -DB]]+TblConstr[[#This Row],[build db]]*TblConstr[[#This Row],[CPA Lumber DB]]</f>
        <v>0</v>
      </c>
      <c r="AS29" s="69" t="n">
        <f aca="false">MIN(SUM(OFFSET(TblConstr[[#This Row],[Plain]:[Water]],-1,0))+SUM(TblConstr[[#This Row],[Dest Hom]:[Dest Doc]])+IF(TblConstr[[#This Row],[Hour]]&gt;12,SUM(OFFSET(TblExplore[[#This Row],[Plains Explore]:[Water Explore]],-12,0)),0),SUM(TblConstr[[#This Row],[Hom]:[Doc]]))</f>
        <v>0</v>
      </c>
      <c r="AT2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32"/>
      <c r="AV29" s="69" t="n">
        <f aca="false">ROUND((TblConstr[[#This Row],[Land]]-250 - IF(TblExplore[[#This Row],[Land Bonus]]&lt;&gt;0,20,0))*1.25 + 850 + 0,0)</f>
        <v>911</v>
      </c>
      <c r="AW29" s="69" t="n">
        <f aca="false">ROUND((TblConstr[[#This Row],[Land]]-250 - IF(TblExplore[[#This Row],[Land Bonus]]&lt;&gt;0,20,0))*0.285 + 87.5 + 0/4.25,0)</f>
        <v>101</v>
      </c>
      <c r="AX29" s="146"/>
      <c r="AY29" s="203" t="n">
        <f aca="false" t="array" ref="AY29:AY29">IF(TblConstr[[#This Row],[Hour]:[Hour]]&gt;12,OFFSET(TblConstr[[#This Row],[Hom]],-12,0),0)+OFFSET(TblConstr[[#This Row],[Tot Hom]],-1,0)-TblConstr[[#This Row],[Dest Hom]]</f>
        <v>0</v>
      </c>
      <c r="AZ29" s="204" t="n">
        <f aca="false" t="array" ref="AZ29:AZ29">IF(TblConstr[[#This Row],[Hour]:[Hour]]&gt;12,OFFSET(TblConstr[[#This Row],[Alc]],-12,0),0)+OFFSET(TblConstr[[#This Row],[Tot Alc]],-1,0)-TblConstr[[#This Row],[Dest Alc]]</f>
        <v>125</v>
      </c>
      <c r="BA29" s="204" t="n">
        <f aca="false" t="array" ref="BA29:BA29">IF(TblConstr[[#This Row],[Hour]:[Hour]]&gt;12,OFFSET(TblConstr[[#This Row],[Far]],-12,0),0)+OFFSET(TblConstr[[#This Row],[Tot Farm]],-1,0)-TblConstr[[#This Row],[Dest Farm]]</f>
        <v>5</v>
      </c>
      <c r="BB29" s="204" t="n">
        <f aca="false" t="array" ref="BB29:BB29">IF(TblConstr[[#This Row],[Hour]:[Hour]]&gt;12,OFFSET(TblConstr[[#This Row],[Smi]],-12,0),0)+OFFSET(TblConstr[[#This Row],[Tot Smi]],-1,0)-TblConstr[[#This Row],[Dest Smi]]</f>
        <v>0</v>
      </c>
      <c r="BC29" s="204" t="n">
        <f aca="false" t="array" ref="BC29:BC29">IF(TblConstr[[#This Row],[Hour]:[Hour]]&gt;12,OFFSET(TblConstr[[#This Row],[Mas]],-12,0),0)+OFFSET(TblConstr[[#This Row],[Tot Mas]],-1,0)-TblConstr[[#This Row],[Dest Mas]]</f>
        <v>0</v>
      </c>
      <c r="BD29" s="205" t="n">
        <f aca="false" t="array" ref="BD29:BD29">IF(TblConstr[[#This Row],[Hour]:[Hour]]&gt;12,OFFSET(TblConstr[[#This Row],[Ly]],-12,0),0)+OFFSET(TblConstr[[#This Row],[Tot Ly]],-1,0)-TblConstr[[#This Row],[Dest Ly]]</f>
        <v>20</v>
      </c>
      <c r="BE29" s="205" t="n">
        <f aca="false" t="array" ref="BE29:BE29">IF(TblConstr[[#This Row],[Hour]:[Hour]]&gt;12,OFFSET(TblConstr[[#This Row],[Hav]],-12,0),0)+OFFSET(TblConstr[[#This Row],[Tot Hav]],-1,0)-TblConstr[[#This Row],[Dest Hav]]</f>
        <v>0</v>
      </c>
      <c r="BF29" s="194" t="n">
        <f aca="false" t="array" ref="BF29:BF29">IF(TblConstr[[#This Row],[Hour]:[Hour]]&gt;12,OFFSET(TblConstr[[#This Row],[OM]],-12,0),0)+OFFSET(TblConstr[[#This Row],[Tot OM]],-1,0)-TblConstr[[#This Row],[Dest OM]]</f>
        <v>0</v>
      </c>
      <c r="BG29" s="194" t="n">
        <f aca="false" t="array" ref="BG29:BG29">IF(TblConstr[[#This Row],[Hour]:[Hour]]&gt;12,OFFSET(TblConstr[[#This Row],[GN]],-12,0),0)+OFFSET(TblConstr[[#This Row],[Tot GN]],-1,0)-TblConstr[[#This Row],[Dest GN]]</f>
        <v>0</v>
      </c>
      <c r="BH29" s="206" t="n">
        <f aca="false" t="array" ref="BH29:BH29">IF(TblConstr[[#This Row],[Hour]:[Hour]]&gt;12,OFFSET(TblConstr[[#This Row],[Fac]],-12,0),0)+OFFSET(TblConstr[[#This Row],[Tot Fac]],-1,0)-TblConstr[[#This Row],[Dest Fac]]</f>
        <v>30</v>
      </c>
      <c r="BI29" s="206" t="n">
        <f aca="false" t="array" ref="BI29:BI29">IF(TblConstr[[#This Row],[Hour]:[Hour]]&gt;12,OFFSET(TblConstr[[#This Row],[GT]],-12,0),0)+OFFSET(TblConstr[[#This Row],[Tot GT]],-1,0)-TblConstr[[#This Row],[Dest GT]]</f>
        <v>0</v>
      </c>
      <c r="BJ29" s="206" t="n">
        <f aca="false" t="array" ref="BJ29:BJ29">IF(TblConstr[[#This Row],[Hour]:[Hour]]&gt;12,OFFSET(TblConstr[[#This Row],[Bar]],-12,0),0)+OFFSET(TblConstr[[#This Row],[Tot Bar]],-1,0)-TblConstr[[#This Row],[Dest Bar]]</f>
        <v>0</v>
      </c>
      <c r="BK29" s="206" t="n">
        <f aca="false" t="array" ref="BK29:BK29">IF(TblConstr[[#This Row],[Hour]:[Hour]]&gt;12,OFFSET(TblConstr[[#This Row],[Shr]],-12,0),0)+OFFSET(TblConstr[[#This Row],[Tot Shr]],-1,0)-TblConstr[[#This Row],[Dest Shr]]</f>
        <v>0</v>
      </c>
      <c r="BL29" s="207" t="n">
        <f aca="false" t="array" ref="BL29:BL29">IF(TblConstr[[#This Row],[Hour]:[Hour]]&gt;12,OFFSET(TblConstr[[#This Row],[Tow]],-12,0),0)+OFFSET(TblConstr[[#This Row],[Tot Tow]],-1,0)-TblConstr[[#This Row],[Dest Tow]]</f>
        <v>18</v>
      </c>
      <c r="BM29" s="207" t="n">
        <f aca="false" t="array" ref="BM29:BM29">IF(TblConstr[[#This Row],[Hour]:[Hour]]&gt;12,OFFSET(TblConstr[[#This Row],[Tem]],-12,0),0)+OFFSET(TblConstr[[#This Row],[Tot Tem]],-1,0)-TblConstr[[#This Row],[Dest Tem]]</f>
        <v>47</v>
      </c>
      <c r="BN29" s="207" t="n">
        <f aca="false" t="array" ref="BN29:BN29">IF(TblConstr[[#This Row],[Hour]:[Hour]]&gt;12,OFFSET(TblConstr[[#This Row],[WG]],-12,0),0)+OFFSET(TblConstr[[#This Row],[Tot WG]],-1,0)-TblConstr[[#This Row],[Dest WG]]</f>
        <v>0</v>
      </c>
      <c r="BO29" s="208" t="n">
        <f aca="false" t="array" ref="BO29:BO29">IF(TblConstr[[#This Row],[Hour]:[Hour]]&gt;12,OFFSET(TblConstr[[#This Row],[DM]],-12,0),0)+OFFSET(TblConstr[[#This Row],[Tot DM]],-1,0)-TblConstr[[#This Row],[Dest DM]]</f>
        <v>0</v>
      </c>
      <c r="BP29" s="208" t="n">
        <f aca="false" t="array" ref="BP29:BP29">IF(TblConstr[[#This Row],[Hour]:[Hour]]&gt;12,OFFSET(TblConstr[[#This Row],[Sch]],-12,0),0)+OFFSET(TblConstr[[#This Row],[Tot Sch]],-1,0)-TblConstr[[#This Row],[Dest Sch]]</f>
        <v>0</v>
      </c>
      <c r="BQ29" s="209" t="n">
        <f aca="false" t="array" ref="BQ29:BQ29">IF(TblConstr[[#This Row],[Hour]:[Hour]]&gt;12,OFFSET(TblConstr[[#This Row],[Doc]],-12,0),0)+OFFSET(TblConstr[[#This Row],[Tot Doc]],-1,0)-TblConstr[[#This Row],[Dest Doc]]</f>
        <v>5</v>
      </c>
      <c r="BR29" s="132"/>
      <c r="BS29" s="146"/>
      <c r="BT29" s="69" t="n">
        <f aca="false">TblConstr[[#This Row],[Land]]</f>
        <v>299</v>
      </c>
      <c r="BU29" s="153" t="n">
        <f aca="false">TblImps[[#This Row],[Time]]</f>
        <v>45430.7916666667</v>
      </c>
      <c r="BV29" s="132"/>
      <c r="BW29" s="182"/>
      <c r="BX29" s="182"/>
      <c r="BY29" s="182"/>
      <c r="BZ29" s="182"/>
      <c r="CA29" s="182"/>
      <c r="CB29" s="182"/>
      <c r="CC29" s="182"/>
      <c r="CD29" s="182"/>
      <c r="CE29" s="182"/>
      <c r="CF29" s="182"/>
      <c r="CG29" s="182"/>
      <c r="CH29" s="182"/>
      <c r="CI29" s="182"/>
      <c r="CJ29" s="182"/>
      <c r="CK29" s="182"/>
      <c r="CL29" s="182"/>
      <c r="CM29" s="182"/>
      <c r="CN29" s="182"/>
      <c r="CO29" s="182"/>
      <c r="CP29" s="132"/>
      <c r="CQ29" s="192" t="n">
        <f aca="false">-SUM(TblConstr[[#This Row],[Alc]:[Mas]])+SUM(TblConstr[[#This Row],[Dest Alc]:[Dest Mas]])+Rezone!L29+IF("Ch_"&amp; home_land=TblConstr[[#Headers],[Ch_Plain]],TblConstr[[#This Row],[Home Land]])+IF(TblConstr[[#This Row],[Hour]:[Hour]]&gt;12,OFFSET(TblExplore[[#This Row],[Plains Explore]],-12,0),0)</f>
        <v>0</v>
      </c>
      <c r="CR29" s="193" t="n">
        <f aca="false">-SUM(TblConstr[[#This Row],[Ly]:[Hav]])+SUM(TblConstr[[#This Row],[Dest Ly]:[Dest Hav]]) +Rezone!M29 + IF("Ch_"&amp; home_land=TblConstr[[#Headers],[Ch_Forest]],TblConstr[[#This Row],[Home Land]])+IF(TblConstr[[#This Row],[Hour]:[Hour]]&gt;12,OFFSET(TblExplore[[#This Row],[Forest Explore]],-12,0),0)</f>
        <v>0</v>
      </c>
      <c r="CS29" s="200" t="n">
        <f aca="false">-SUM(TblConstr[[#This Row],[OM]:[GN]])+SUM(TblConstr[[#This Row],[Dest OM]:[Dest GN]]) +Rezone!N29 + IF("Ch_"&amp; home_land=TblConstr[[#Headers],[Ch_Mountain]],TblConstr[[#This Row],[Home Land]])+IF(TblConstr[[#This Row],[Hour]:[Hour]]&gt;12,OFFSET(TblExplore[[#This Row],[Mountain Explore]],-12,0),0)</f>
        <v>0</v>
      </c>
      <c r="CT29" s="195" t="n">
        <f aca="false">-SUM(TblConstr[[#This Row],[Fac]:[Shr]])+SUM(TblConstr[[#This Row],[Dest Fac]:[Dest Shr]]) +Rezone!O29 + IF("Ch_" &amp; home_land=TblConstr[[#Headers],[Ch_Hill]],TblConstr[[#This Row],[Home Land]])+IF(TblConstr[[#This Row],[Hour]:[Hour]]&gt;12,OFFSET(TblExplore[[#This Row],[Hill Explore]],-12,0),0)</f>
        <v>0</v>
      </c>
      <c r="CU29" s="196" t="n">
        <f aca="false">-SUM(TblConstr[[#This Row],[Tow]:[WG]])+SUM(TblConstr[[#This Row],[Dest Tow]:[Dest WG]]) +Rezone!P29 + IF("Ch_" &amp; home_land=TblConstr[[#Headers],[Ch_Swamp]],TblConstr[[#This Row],[Home Land]])+IF(TblConstr[[#This Row],[Hour]:[Hour]]&gt;12,OFFSET(TblExplore[[#This Row],[Swamp Explore]],-12,0),0)</f>
        <v>0</v>
      </c>
      <c r="CV29" s="197" t="n">
        <f aca="false">- SUM(TblConstr[[#This Row],[DM]:[Sch]])+SUM(TblConstr[[#This Row],[Dest DM]:[Dest Sch]]) +Rezone!Q29 + IF("Ch_" &amp; home_land=TblConstr[[#Headers],[Ch_Cavern]],TblConstr[[#This Row],[Home Land]])+IF(TblConstr[[#This Row],[Hour]:[Hour]]&gt;12,OFFSET(TblExplore[[#This Row],[Cavern Explore]],-12,0),0)</f>
        <v>0</v>
      </c>
      <c r="CW29" s="198" t="n">
        <f aca="false">-TblConstr[[#This Row],[Doc]]+TblConstr[[#This Row],[Dest Doc]] +Rezone!R29 + IF("Ch_" &amp; home_land=TblConstr[[#Headers],[Ch_Water]],TblConstr[[#This Row],[Home Land]])+IF(TblConstr[[#This Row],[Hour]:[Hour]]&gt;12,OFFSET(TblExplore[[#This Row],[Water Explore]],-12,0),0)</f>
        <v>0</v>
      </c>
      <c r="CX29" s="1" t="n">
        <f aca="false">IF(Explore!S29=1,20) - TblConstr[[#This Row],[Hom]] + TblConstr[[#This Row],[Dest Hom]]</f>
        <v>0</v>
      </c>
      <c r="CY29" s="132"/>
      <c r="CZ29" s="69" t="n">
        <f aca="false">G29+SUM(P18:S29)+SUM(AZ29:BC29)</f>
        <v>155</v>
      </c>
      <c r="DA29" s="69" t="n">
        <f aca="false">H29+SUM(T18:U29)+SUM(BD29:BE29)</f>
        <v>23</v>
      </c>
      <c r="DB29" s="1" t="n">
        <f aca="false">I29+SUM(V18:W29)+SUM(BF29:BG29)</f>
        <v>0</v>
      </c>
      <c r="DC29" s="69" t="n">
        <f aca="false">J29+SUM(X18:Y29)+SUM(BH29:BI29)</f>
        <v>51</v>
      </c>
      <c r="DD29" s="69" t="n">
        <f aca="false">K29+SUM(AB18:AD29)+SUM(BL29:BN29)</f>
        <v>65</v>
      </c>
      <c r="DE29" s="1" t="n">
        <f aca="false">L29+SUM(AE18:AE29)+BO29</f>
        <v>0</v>
      </c>
      <c r="DF29" s="69" t="n">
        <f aca="false">M29+SUM(AG18:AG29)+BQ29</f>
        <v>5</v>
      </c>
      <c r="DG29" s="69" t="e">
        <f aca="false" t="array" ref="DG29:DG29">INDEX(TblConstr[[Total Plain]:[Total Water]],ROW()-ROW(TblConstr[#headers]),MATCH("Total "&amp;home_land,TblConstr[[#Headers],[Total Plain]:[Total Water]],0))+TblConstr[[#This Row],[Homes]]</f>
        <v>#VALUE!</v>
      </c>
      <c r="DH29" s="1" t="n">
        <f aca="false">SUM(O18:O29)+AY29</f>
        <v>0</v>
      </c>
      <c r="DI29" s="1" t="n">
        <f aca="false">MAX(BA29-BA28,0)</f>
        <v>0</v>
      </c>
      <c r="DJ29" s="1" t="n">
        <f aca="false">MAX(BQ29-BQ28,0)</f>
        <v>0</v>
      </c>
    </row>
    <row r="30" customFormat="false" ht="12.75" hidden="false" customHeight="false" outlineLevel="0" collapsed="false">
      <c r="A30" s="170" t="n">
        <f aca="false">TblRezone[[#This Row],[Hour]]</f>
        <v>27</v>
      </c>
      <c r="B30" s="171" t="n">
        <f aca="false">SUM(TblConstr[[#This Row],[Plain]:[Water]])</f>
        <v>0</v>
      </c>
      <c r="C30" s="172" t="n">
        <f aca="false">SUM(TblConstr[[#This Row],[Tot Hom]:[Tot Doc]])</f>
        <v>250</v>
      </c>
      <c r="D30" s="172" t="n">
        <f aca="false">SUM(O19:AG30)</f>
        <v>49</v>
      </c>
      <c r="E30" s="173"/>
      <c r="F30" s="33" t="n">
        <f aca="false">TblConstr[[#This Row],[Barren]]+TblConstr[[#This Row],[Buildings]]+TblConstr[[#This Row],[Incoming]]</f>
        <v>299</v>
      </c>
      <c r="G30" s="199" t="n">
        <f aca="false">OFFSET(TblConstr[[#This Row],[Plain]],-1,0)+TblConstr[[#This Row],[Ch_Plain]]</f>
        <v>0</v>
      </c>
      <c r="H30" s="193" t="n">
        <f aca="false">OFFSET(TblConstr[[#This Row],[Forest]],-1,0)+TblConstr[[#This Row],[Ch_Forest]]</f>
        <v>0</v>
      </c>
      <c r="I30" s="200" t="n">
        <f aca="false">OFFSET(TblConstr[[#This Row],[Mountain]],-1,0)+TblConstr[[#This Row],[Ch_Mountain]]</f>
        <v>0</v>
      </c>
      <c r="J30" s="201" t="n">
        <f aca="false">OFFSET(TblConstr[[#This Row],[Hill]],-1,0)+TblConstr[[#This Row],[Ch_Hill]]</f>
        <v>0</v>
      </c>
      <c r="K30" s="202" t="n">
        <f aca="false">OFFSET(TblConstr[[#This Row],[Swamp]],-1,0)+TblConstr[[#This Row],[Ch_Swamp]]</f>
        <v>0</v>
      </c>
      <c r="L30" s="197" t="n">
        <f aca="false">OFFSET(TblConstr[[#This Row],[Cavern]],-1,0)+TblConstr[[#This Row],[Ch_Cavern]]</f>
        <v>0</v>
      </c>
      <c r="M30" s="198" t="n">
        <f aca="false">OFFSET(TblConstr[[#This Row],[Water]],-1,0)+TblConstr[[#This Row],[Ch_Water]]</f>
        <v>0</v>
      </c>
      <c r="N30" s="181" t="n">
        <f aca="false">TblRezone[[#This Row],[Hour]]</f>
        <v>27</v>
      </c>
      <c r="O30" s="182"/>
      <c r="P30" s="182"/>
      <c r="Q30" s="182"/>
      <c r="R30" s="182"/>
      <c r="S30" s="182"/>
      <c r="T30" s="182"/>
      <c r="U30" s="182"/>
      <c r="V30" s="182"/>
      <c r="W30" s="182"/>
      <c r="X30" s="182"/>
      <c r="Y30" s="182"/>
      <c r="Z30" s="182"/>
      <c r="AA30" s="182"/>
      <c r="AB30" s="182"/>
      <c r="AC30" s="182"/>
      <c r="AD30" s="182"/>
      <c r="AE30" s="182"/>
      <c r="AF30" s="182"/>
      <c r="AG30" s="182"/>
      <c r="AH30" s="20" t="n">
        <f aca="false">TblImps[[#This Row],[Time]]</f>
        <v>45430.8333333333</v>
      </c>
      <c r="AI30" s="130" t="n">
        <f aca="false">MIN(25%,(TblConstr[[#This Row],[Tot Fac]]+TblConstr[[#This Row],[Dest Fac]])/(TblConstr[[#This Row],[Land]]-TblExplore[[#This Row],[Land Bonus]]*20))</f>
        <v>0.100334448160535</v>
      </c>
      <c r="AJ30" s="130" t="n">
        <f aca="false">MIN(25%,(TblConstr[[#This Row],[Tot Fac]]+TblConstr[[#This Row],[Dest Fac]])/TblConstr[[#This Row],[Land]])</f>
        <v>0.100334448160535</v>
      </c>
      <c r="AK30" s="69" t="n">
        <f aca="false">TblProd[[#This Row],[Platinum]]</f>
        <v>79053</v>
      </c>
      <c r="AL30" s="69" t="n">
        <f aca="false">TblProd[[#This Row],[Lumber]]</f>
        <v>9538</v>
      </c>
      <c r="AM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0" s="69" t="n">
        <f aca="false">ROUNDDOWN( MAX(1 - MIN(facs_constr_factor*TblConstr[[#This Row],[Facs -DB]],facs_constr_max) + tech_1_11*TblTech[[#This Row],[11-1]] + tech_6_3_2*TblTech[[#This Row],[6-3]] + tech_5_2_3*TblTech[[#This Row],[5-2]], 1-global_constr_cap) * TblConstr[[#This Row],[RCPA Lumber]],0)</f>
        <v>50</v>
      </c>
      <c r="AO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0" s="69" t="n">
        <f aca="false">ROUNDDOWN( MAX(1 - MIN(facs_constr_factor*TblConstr[[#This Row],[Facs DB]],facs_constr_max) + tech_1_11*TblTech[[#This Row],[1-11]] + tech_6_3_2*TblTech[[#This Row],[6-3]] + tech_5_2_3*TblTech[[#This Row],[5-2]], 1-global_constr_cap) * ROUND((TblConstr[[#This Row],[Land]]-250)*0.285 + 87.5 + 0/4.25,0),0)</f>
        <v>50</v>
      </c>
      <c r="AQ30" s="1" t="n">
        <f aca="false">TblConstr[[#This Row],[build -db]]*TblConstr[[#This Row],[CPA Platinum -DB]] + TblConstr[[#This Row],[build db]]*TblConstr[[#This Row],[CPA Platinum DB]]</f>
        <v>0</v>
      </c>
      <c r="AR30" s="1" t="n">
        <f aca="false">TblConstr[[#This Row],[build -db]]*TblConstr[[#This Row],[CPA Lumber -DB]]+TblConstr[[#This Row],[build db]]*TblConstr[[#This Row],[CPA Lumber DB]]</f>
        <v>0</v>
      </c>
      <c r="AS30" s="69" t="n">
        <f aca="false">MIN(SUM(OFFSET(TblConstr[[#This Row],[Plain]:[Water]],-1,0))+SUM(TblConstr[[#This Row],[Dest Hom]:[Dest Doc]])+IF(TblConstr[[#This Row],[Hour]]&gt;12,SUM(OFFSET(TblExplore[[#This Row],[Plains Explore]:[Water Explore]],-12,0)),0),SUM(TblConstr[[#This Row],[Hom]:[Doc]]))</f>
        <v>0</v>
      </c>
      <c r="AT3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32"/>
      <c r="AV30" s="69" t="n">
        <f aca="false">ROUND((TblConstr[[#This Row],[Land]]-250 - IF(TblExplore[[#This Row],[Land Bonus]]&lt;&gt;0,20,0))*1.25 + 850 + 0,0)</f>
        <v>911</v>
      </c>
      <c r="AW30" s="69" t="n">
        <f aca="false">ROUND((TblConstr[[#This Row],[Land]]-250 - IF(TblExplore[[#This Row],[Land Bonus]]&lt;&gt;0,20,0))*0.285 + 87.5 + 0/4.25,0)</f>
        <v>101</v>
      </c>
      <c r="AX30" s="146"/>
      <c r="AY30" s="203" t="n">
        <f aca="false" t="array" ref="AY30:AY30">IF(TblConstr[[#This Row],[Hour]:[Hour]]&gt;12,OFFSET(TblConstr[[#This Row],[Hom]],-12,0),0)+OFFSET(TblConstr[[#This Row],[Tot Hom]],-1,0)-TblConstr[[#This Row],[Dest Hom]]</f>
        <v>0</v>
      </c>
      <c r="AZ30" s="204" t="n">
        <f aca="false" t="array" ref="AZ30:AZ30">IF(TblConstr[[#This Row],[Hour]:[Hour]]&gt;12,OFFSET(TblConstr[[#This Row],[Alc]],-12,0),0)+OFFSET(TblConstr[[#This Row],[Tot Alc]],-1,0)-TblConstr[[#This Row],[Dest Alc]]</f>
        <v>125</v>
      </c>
      <c r="BA30" s="204" t="n">
        <f aca="false" t="array" ref="BA30:BA30">IF(TblConstr[[#This Row],[Hour]:[Hour]]&gt;12,OFFSET(TblConstr[[#This Row],[Far]],-12,0),0)+OFFSET(TblConstr[[#This Row],[Tot Farm]],-1,0)-TblConstr[[#This Row],[Dest Farm]]</f>
        <v>5</v>
      </c>
      <c r="BB30" s="204" t="n">
        <f aca="false" t="array" ref="BB30:BB30">IF(TblConstr[[#This Row],[Hour]:[Hour]]&gt;12,OFFSET(TblConstr[[#This Row],[Smi]],-12,0),0)+OFFSET(TblConstr[[#This Row],[Tot Smi]],-1,0)-TblConstr[[#This Row],[Dest Smi]]</f>
        <v>0</v>
      </c>
      <c r="BC30" s="204" t="n">
        <f aca="false" t="array" ref="BC30:BC30">IF(TblConstr[[#This Row],[Hour]:[Hour]]&gt;12,OFFSET(TblConstr[[#This Row],[Mas]],-12,0),0)+OFFSET(TblConstr[[#This Row],[Tot Mas]],-1,0)-TblConstr[[#This Row],[Dest Mas]]</f>
        <v>0</v>
      </c>
      <c r="BD30" s="205" t="n">
        <f aca="false" t="array" ref="BD30:BD30">IF(TblConstr[[#This Row],[Hour]:[Hour]]&gt;12,OFFSET(TblConstr[[#This Row],[Ly]],-12,0),0)+OFFSET(TblConstr[[#This Row],[Tot Ly]],-1,0)-TblConstr[[#This Row],[Dest Ly]]</f>
        <v>20</v>
      </c>
      <c r="BE30" s="205" t="n">
        <f aca="false" t="array" ref="BE30:BE30">IF(TblConstr[[#This Row],[Hour]:[Hour]]&gt;12,OFFSET(TblConstr[[#This Row],[Hav]],-12,0),0)+OFFSET(TblConstr[[#This Row],[Tot Hav]],-1,0)-TblConstr[[#This Row],[Dest Hav]]</f>
        <v>0</v>
      </c>
      <c r="BF30" s="194" t="n">
        <f aca="false" t="array" ref="BF30:BF30">IF(TblConstr[[#This Row],[Hour]:[Hour]]&gt;12,OFFSET(TblConstr[[#This Row],[OM]],-12,0),0)+OFFSET(TblConstr[[#This Row],[Tot OM]],-1,0)-TblConstr[[#This Row],[Dest OM]]</f>
        <v>0</v>
      </c>
      <c r="BG30" s="194" t="n">
        <f aca="false" t="array" ref="BG30:BG30">IF(TblConstr[[#This Row],[Hour]:[Hour]]&gt;12,OFFSET(TblConstr[[#This Row],[GN]],-12,0),0)+OFFSET(TblConstr[[#This Row],[Tot GN]],-1,0)-TblConstr[[#This Row],[Dest GN]]</f>
        <v>0</v>
      </c>
      <c r="BH30" s="206" t="n">
        <f aca="false" t="array" ref="BH30:BH30">IF(TblConstr[[#This Row],[Hour]:[Hour]]&gt;12,OFFSET(TblConstr[[#This Row],[Fac]],-12,0),0)+OFFSET(TblConstr[[#This Row],[Tot Fac]],-1,0)-TblConstr[[#This Row],[Dest Fac]]</f>
        <v>30</v>
      </c>
      <c r="BI30" s="206" t="n">
        <f aca="false" t="array" ref="BI30:BI30">IF(TblConstr[[#This Row],[Hour]:[Hour]]&gt;12,OFFSET(TblConstr[[#This Row],[GT]],-12,0),0)+OFFSET(TblConstr[[#This Row],[Tot GT]],-1,0)-TblConstr[[#This Row],[Dest GT]]</f>
        <v>0</v>
      </c>
      <c r="BJ30" s="206" t="n">
        <f aca="false" t="array" ref="BJ30:BJ30">IF(TblConstr[[#This Row],[Hour]:[Hour]]&gt;12,OFFSET(TblConstr[[#This Row],[Bar]],-12,0),0)+OFFSET(TblConstr[[#This Row],[Tot Bar]],-1,0)-TblConstr[[#This Row],[Dest Bar]]</f>
        <v>0</v>
      </c>
      <c r="BK30" s="206" t="n">
        <f aca="false" t="array" ref="BK30:BK30">IF(TblConstr[[#This Row],[Hour]:[Hour]]&gt;12,OFFSET(TblConstr[[#This Row],[Shr]],-12,0),0)+OFFSET(TblConstr[[#This Row],[Tot Shr]],-1,0)-TblConstr[[#This Row],[Dest Shr]]</f>
        <v>0</v>
      </c>
      <c r="BL30" s="207" t="n">
        <f aca="false" t="array" ref="BL30:BL30">IF(TblConstr[[#This Row],[Hour]:[Hour]]&gt;12,OFFSET(TblConstr[[#This Row],[Tow]],-12,0),0)+OFFSET(TblConstr[[#This Row],[Tot Tow]],-1,0)-TblConstr[[#This Row],[Dest Tow]]</f>
        <v>18</v>
      </c>
      <c r="BM30" s="207" t="n">
        <f aca="false" t="array" ref="BM30:BM30">IF(TblConstr[[#This Row],[Hour]:[Hour]]&gt;12,OFFSET(TblConstr[[#This Row],[Tem]],-12,0),0)+OFFSET(TblConstr[[#This Row],[Tot Tem]],-1,0)-TblConstr[[#This Row],[Dest Tem]]</f>
        <v>47</v>
      </c>
      <c r="BN30" s="207" t="n">
        <f aca="false" t="array" ref="BN30:BN30">IF(TblConstr[[#This Row],[Hour]:[Hour]]&gt;12,OFFSET(TblConstr[[#This Row],[WG]],-12,0),0)+OFFSET(TblConstr[[#This Row],[Tot WG]],-1,0)-TblConstr[[#This Row],[Dest WG]]</f>
        <v>0</v>
      </c>
      <c r="BO30" s="208" t="n">
        <f aca="false" t="array" ref="BO30:BO30">IF(TblConstr[[#This Row],[Hour]:[Hour]]&gt;12,OFFSET(TblConstr[[#This Row],[DM]],-12,0),0)+OFFSET(TblConstr[[#This Row],[Tot DM]],-1,0)-TblConstr[[#This Row],[Dest DM]]</f>
        <v>0</v>
      </c>
      <c r="BP30" s="208" t="n">
        <f aca="false" t="array" ref="BP30:BP30">IF(TblConstr[[#This Row],[Hour]:[Hour]]&gt;12,OFFSET(TblConstr[[#This Row],[Sch]],-12,0),0)+OFFSET(TblConstr[[#This Row],[Tot Sch]],-1,0)-TblConstr[[#This Row],[Dest Sch]]</f>
        <v>0</v>
      </c>
      <c r="BQ30" s="209" t="n">
        <f aca="false" t="array" ref="BQ30:BQ30">IF(TblConstr[[#This Row],[Hour]:[Hour]]&gt;12,OFFSET(TblConstr[[#This Row],[Doc]],-12,0),0)+OFFSET(TblConstr[[#This Row],[Tot Doc]],-1,0)-TblConstr[[#This Row],[Dest Doc]]</f>
        <v>5</v>
      </c>
      <c r="BR30" s="132"/>
      <c r="BS30" s="146"/>
      <c r="BT30" s="69" t="n">
        <f aca="false">TblConstr[[#This Row],[Land]]</f>
        <v>299</v>
      </c>
      <c r="BU30" s="153" t="n">
        <f aca="false">TblImps[[#This Row],[Time]]</f>
        <v>45430.8333333333</v>
      </c>
      <c r="BV30" s="132"/>
      <c r="BW30" s="182"/>
      <c r="BX30" s="182"/>
      <c r="BY30" s="182"/>
      <c r="BZ30" s="182"/>
      <c r="CA30" s="182"/>
      <c r="CB30" s="182"/>
      <c r="CC30" s="182"/>
      <c r="CD30" s="182"/>
      <c r="CE30" s="182"/>
      <c r="CF30" s="182"/>
      <c r="CG30" s="182"/>
      <c r="CH30" s="182"/>
      <c r="CI30" s="182"/>
      <c r="CJ30" s="182"/>
      <c r="CK30" s="182"/>
      <c r="CL30" s="182"/>
      <c r="CM30" s="182"/>
      <c r="CN30" s="182"/>
      <c r="CO30" s="182"/>
      <c r="CP30" s="132"/>
      <c r="CQ30" s="192" t="n">
        <f aca="false">-SUM(TblConstr[[#This Row],[Alc]:[Mas]])+SUM(TblConstr[[#This Row],[Dest Alc]:[Dest Mas]])+Rezone!L30+IF("Ch_"&amp; home_land=TblConstr[[#Headers],[Ch_Plain]],TblConstr[[#This Row],[Home Land]])+IF(TblConstr[[#This Row],[Hour]:[Hour]]&gt;12,OFFSET(TblExplore[[#This Row],[Plains Explore]],-12,0),0)</f>
        <v>0</v>
      </c>
      <c r="CR30" s="193" t="n">
        <f aca="false">-SUM(TblConstr[[#This Row],[Ly]:[Hav]])+SUM(TblConstr[[#This Row],[Dest Ly]:[Dest Hav]]) +Rezone!M30 + IF("Ch_"&amp; home_land=TblConstr[[#Headers],[Ch_Forest]],TblConstr[[#This Row],[Home Land]])+IF(TblConstr[[#This Row],[Hour]:[Hour]]&gt;12,OFFSET(TblExplore[[#This Row],[Forest Explore]],-12,0),0)</f>
        <v>0</v>
      </c>
      <c r="CS30" s="200" t="n">
        <f aca="false">-SUM(TblConstr[[#This Row],[OM]:[GN]])+SUM(TblConstr[[#This Row],[Dest OM]:[Dest GN]]) +Rezone!N30 + IF("Ch_"&amp; home_land=TblConstr[[#Headers],[Ch_Mountain]],TblConstr[[#This Row],[Home Land]])+IF(TblConstr[[#This Row],[Hour]:[Hour]]&gt;12,OFFSET(TblExplore[[#This Row],[Mountain Explore]],-12,0),0)</f>
        <v>0</v>
      </c>
      <c r="CT30" s="195" t="n">
        <f aca="false">-SUM(TblConstr[[#This Row],[Fac]:[Shr]])+SUM(TblConstr[[#This Row],[Dest Fac]:[Dest Shr]]) +Rezone!O30 + IF("Ch_" &amp; home_land=TblConstr[[#Headers],[Ch_Hill]],TblConstr[[#This Row],[Home Land]])+IF(TblConstr[[#This Row],[Hour]:[Hour]]&gt;12,OFFSET(TblExplore[[#This Row],[Hill Explore]],-12,0),0)</f>
        <v>0</v>
      </c>
      <c r="CU30" s="196" t="n">
        <f aca="false">-SUM(TblConstr[[#This Row],[Tow]:[WG]])+SUM(TblConstr[[#This Row],[Dest Tow]:[Dest WG]]) +Rezone!P30 + IF("Ch_" &amp; home_land=TblConstr[[#Headers],[Ch_Swamp]],TblConstr[[#This Row],[Home Land]])+IF(TblConstr[[#This Row],[Hour]:[Hour]]&gt;12,OFFSET(TblExplore[[#This Row],[Swamp Explore]],-12,0),0)</f>
        <v>0</v>
      </c>
      <c r="CV30" s="197" t="n">
        <f aca="false">- SUM(TblConstr[[#This Row],[DM]:[Sch]])+SUM(TblConstr[[#This Row],[Dest DM]:[Dest Sch]]) +Rezone!Q30 + IF("Ch_" &amp; home_land=TblConstr[[#Headers],[Ch_Cavern]],TblConstr[[#This Row],[Home Land]])+IF(TblConstr[[#This Row],[Hour]:[Hour]]&gt;12,OFFSET(TblExplore[[#This Row],[Cavern Explore]],-12,0),0)</f>
        <v>0</v>
      </c>
      <c r="CW30" s="198" t="n">
        <f aca="false">-TblConstr[[#This Row],[Doc]]+TblConstr[[#This Row],[Dest Doc]] +Rezone!R30 + IF("Ch_" &amp; home_land=TblConstr[[#Headers],[Ch_Water]],TblConstr[[#This Row],[Home Land]])+IF(TblConstr[[#This Row],[Hour]:[Hour]]&gt;12,OFFSET(TblExplore[[#This Row],[Water Explore]],-12,0),0)</f>
        <v>0</v>
      </c>
      <c r="CX30" s="1" t="n">
        <f aca="false">IF(Explore!S30=1,20) - TblConstr[[#This Row],[Hom]] + TblConstr[[#This Row],[Dest Hom]]</f>
        <v>0</v>
      </c>
      <c r="CY30" s="132"/>
      <c r="CZ30" s="69" t="n">
        <f aca="false">G30+SUM(P19:S30)+SUM(AZ30:BC30)</f>
        <v>155</v>
      </c>
      <c r="DA30" s="69" t="n">
        <f aca="false">H30+SUM(T19:U30)+SUM(BD30:BE30)</f>
        <v>23</v>
      </c>
      <c r="DB30" s="1" t="n">
        <f aca="false">I30+SUM(V19:W30)+SUM(BF30:BG30)</f>
        <v>0</v>
      </c>
      <c r="DC30" s="69" t="n">
        <f aca="false">J30+SUM(X19:Y30)+SUM(BH30:BI30)</f>
        <v>51</v>
      </c>
      <c r="DD30" s="69" t="n">
        <f aca="false">K30+SUM(AB19:AD30)+SUM(BL30:BN30)</f>
        <v>65</v>
      </c>
      <c r="DE30" s="1" t="n">
        <f aca="false">L30+SUM(AE19:AE30)+BO30</f>
        <v>0</v>
      </c>
      <c r="DF30" s="69" t="n">
        <f aca="false">M30+SUM(AG19:AG30)+BQ30</f>
        <v>5</v>
      </c>
      <c r="DG30" s="69" t="e">
        <f aca="false" t="array" ref="DG30:DG30">INDEX(TblConstr[[Total Plain]:[Total Water]],ROW()-ROW(TblConstr[#headers]),MATCH("Total "&amp;home_land,TblConstr[[#Headers],[Total Plain]:[Total Water]],0))+TblConstr[[#This Row],[Homes]]</f>
        <v>#VALUE!</v>
      </c>
      <c r="DH30" s="1" t="n">
        <f aca="false">SUM(O19:O30)+AY30</f>
        <v>0</v>
      </c>
      <c r="DI30" s="1" t="n">
        <f aca="false">MAX(BA30-BA29,0)</f>
        <v>0</v>
      </c>
      <c r="DJ30" s="1" t="n">
        <f aca="false">MAX(BQ30-BQ29,0)</f>
        <v>0</v>
      </c>
    </row>
    <row r="31" customFormat="false" ht="12.75" hidden="false" customHeight="false" outlineLevel="0" collapsed="false">
      <c r="A31" s="170" t="n">
        <f aca="false">TblRezone[[#This Row],[Hour]]</f>
        <v>28</v>
      </c>
      <c r="B31" s="171" t="n">
        <f aca="false">SUM(TblConstr[[#This Row],[Plain]:[Water]])</f>
        <v>0</v>
      </c>
      <c r="C31" s="172" t="n">
        <f aca="false">SUM(TblConstr[[#This Row],[Tot Hom]:[Tot Doc]])</f>
        <v>250</v>
      </c>
      <c r="D31" s="172" t="n">
        <f aca="false">SUM(O20:AG31)</f>
        <v>49</v>
      </c>
      <c r="E31" s="173"/>
      <c r="F31" s="33" t="n">
        <f aca="false">TblConstr[[#This Row],[Barren]]+TblConstr[[#This Row],[Buildings]]+TblConstr[[#This Row],[Incoming]]</f>
        <v>299</v>
      </c>
      <c r="G31" s="199" t="n">
        <f aca="false">OFFSET(TblConstr[[#This Row],[Plain]],-1,0)+TblConstr[[#This Row],[Ch_Plain]]</f>
        <v>0</v>
      </c>
      <c r="H31" s="193" t="n">
        <f aca="false">OFFSET(TblConstr[[#This Row],[Forest]],-1,0)+TblConstr[[#This Row],[Ch_Forest]]</f>
        <v>0</v>
      </c>
      <c r="I31" s="200" t="n">
        <f aca="false">OFFSET(TblConstr[[#This Row],[Mountain]],-1,0)+TblConstr[[#This Row],[Ch_Mountain]]</f>
        <v>0</v>
      </c>
      <c r="J31" s="201" t="n">
        <f aca="false">OFFSET(TblConstr[[#This Row],[Hill]],-1,0)+TblConstr[[#This Row],[Ch_Hill]]</f>
        <v>0</v>
      </c>
      <c r="K31" s="202" t="n">
        <f aca="false">OFFSET(TblConstr[[#This Row],[Swamp]],-1,0)+TblConstr[[#This Row],[Ch_Swamp]]</f>
        <v>0</v>
      </c>
      <c r="L31" s="197" t="n">
        <f aca="false">OFFSET(TblConstr[[#This Row],[Cavern]],-1,0)+TblConstr[[#This Row],[Ch_Cavern]]</f>
        <v>0</v>
      </c>
      <c r="M31" s="198" t="n">
        <f aca="false">OFFSET(TblConstr[[#This Row],[Water]],-1,0)+TblConstr[[#This Row],[Ch_Water]]</f>
        <v>0</v>
      </c>
      <c r="N31" s="181" t="n">
        <f aca="false">TblRezone[[#This Row],[Hour]]</f>
        <v>28</v>
      </c>
      <c r="O31" s="182"/>
      <c r="P31" s="152"/>
      <c r="Q31" s="182"/>
      <c r="R31" s="182"/>
      <c r="S31" s="182"/>
      <c r="T31" s="182"/>
      <c r="U31" s="182"/>
      <c r="V31" s="182"/>
      <c r="W31" s="182"/>
      <c r="X31" s="182"/>
      <c r="Y31" s="182"/>
      <c r="Z31" s="182"/>
      <c r="AA31" s="182"/>
      <c r="AB31" s="182"/>
      <c r="AC31" s="182"/>
      <c r="AD31" s="182"/>
      <c r="AE31" s="182"/>
      <c r="AF31" s="182"/>
      <c r="AG31" s="182"/>
      <c r="AH31" s="20" t="n">
        <f aca="false">TblImps[[#This Row],[Time]]</f>
        <v>45430.875</v>
      </c>
      <c r="AI31" s="130" t="n">
        <f aca="false">MIN(25%,(TblConstr[[#This Row],[Tot Fac]]+TblConstr[[#This Row],[Dest Fac]])/(TblConstr[[#This Row],[Land]]-TblExplore[[#This Row],[Land Bonus]]*20))</f>
        <v>0.100334448160535</v>
      </c>
      <c r="AJ31" s="130" t="n">
        <f aca="false">MIN(25%,(TblConstr[[#This Row],[Tot Fac]]+TblConstr[[#This Row],[Dest Fac]])/TblConstr[[#This Row],[Land]])</f>
        <v>0.100334448160535</v>
      </c>
      <c r="AK31" s="69" t="n">
        <f aca="false">TblProd[[#This Row],[Platinum]]</f>
        <v>99065</v>
      </c>
      <c r="AL31" s="69" t="n">
        <f aca="false">TblProd[[#This Row],[Lumber]]</f>
        <v>10343</v>
      </c>
      <c r="AM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1" s="69" t="n">
        <f aca="false">ROUNDDOWN( MAX(1 - MIN(facs_constr_factor*TblConstr[[#This Row],[Facs -DB]],facs_constr_max) + tech_1_11*TblTech[[#This Row],[11-1]] + tech_6_3_2*TblTech[[#This Row],[6-3]] + tech_5_2_3*TblTech[[#This Row],[5-2]], 1-global_constr_cap) * TblConstr[[#This Row],[RCPA Lumber]],0)</f>
        <v>50</v>
      </c>
      <c r="AO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1" s="69" t="n">
        <f aca="false">ROUNDDOWN( MAX(1 - MIN(facs_constr_factor*TblConstr[[#This Row],[Facs DB]],facs_constr_max) + tech_1_11*TblTech[[#This Row],[1-11]] + tech_6_3_2*TblTech[[#This Row],[6-3]] + tech_5_2_3*TblTech[[#This Row],[5-2]], 1-global_constr_cap) * ROUND((TblConstr[[#This Row],[Land]]-250)*0.285 + 87.5 + 0/4.25,0),0)</f>
        <v>50</v>
      </c>
      <c r="AQ31" s="1" t="n">
        <f aca="false">TblConstr[[#This Row],[build -db]]*TblConstr[[#This Row],[CPA Platinum -DB]] + TblConstr[[#This Row],[build db]]*TblConstr[[#This Row],[CPA Platinum DB]]</f>
        <v>0</v>
      </c>
      <c r="AR31" s="1" t="n">
        <f aca="false">TblConstr[[#This Row],[build -db]]*TblConstr[[#This Row],[CPA Lumber -DB]]+TblConstr[[#This Row],[build db]]*TblConstr[[#This Row],[CPA Lumber DB]]</f>
        <v>0</v>
      </c>
      <c r="AS31" s="69" t="n">
        <f aca="false">MIN(SUM(OFFSET(TblConstr[[#This Row],[Plain]:[Water]],-1,0))+SUM(TblConstr[[#This Row],[Dest Hom]:[Dest Doc]])+IF(TblConstr[[#This Row],[Hour]]&gt;12,SUM(OFFSET(TblExplore[[#This Row],[Plains Explore]:[Water Explore]],-12,0)),0),SUM(TblConstr[[#This Row],[Hom]:[Doc]]))</f>
        <v>0</v>
      </c>
      <c r="AT3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32"/>
      <c r="AV31" s="69" t="n">
        <f aca="false">ROUND((TblConstr[[#This Row],[Land]]-250 - IF(TblExplore[[#This Row],[Land Bonus]]&lt;&gt;0,20,0))*1.25 + 850 + 0,0)</f>
        <v>911</v>
      </c>
      <c r="AW31" s="69" t="n">
        <f aca="false">ROUND((TblConstr[[#This Row],[Land]]-250 - IF(TblExplore[[#This Row],[Land Bonus]]&lt;&gt;0,20,0))*0.285 + 87.5 + 0/4.25,0)</f>
        <v>101</v>
      </c>
      <c r="AX31" s="146"/>
      <c r="AY31" s="203" t="n">
        <f aca="false" t="array" ref="AY31:AY31">IF(TblConstr[[#This Row],[Hour]:[Hour]]&gt;12,OFFSET(TblConstr[[#This Row],[Hom]],-12,0),0)+OFFSET(TblConstr[[#This Row],[Tot Hom]],-1,0)-TblConstr[[#This Row],[Dest Hom]]</f>
        <v>0</v>
      </c>
      <c r="AZ31" s="204" t="n">
        <f aca="false" t="array" ref="AZ31:AZ31">IF(TblConstr[[#This Row],[Hour]:[Hour]]&gt;12,OFFSET(TblConstr[[#This Row],[Alc]],-12,0),0)+OFFSET(TblConstr[[#This Row],[Tot Alc]],-1,0)-TblConstr[[#This Row],[Dest Alc]]</f>
        <v>125</v>
      </c>
      <c r="BA31" s="204" t="n">
        <f aca="false" t="array" ref="BA31:BA31">IF(TblConstr[[#This Row],[Hour]:[Hour]]&gt;12,OFFSET(TblConstr[[#This Row],[Far]],-12,0),0)+OFFSET(TblConstr[[#This Row],[Tot Farm]],-1,0)-TblConstr[[#This Row],[Dest Farm]]</f>
        <v>5</v>
      </c>
      <c r="BB31" s="204" t="n">
        <f aca="false" t="array" ref="BB31:BB31">IF(TblConstr[[#This Row],[Hour]:[Hour]]&gt;12,OFFSET(TblConstr[[#This Row],[Smi]],-12,0),0)+OFFSET(TblConstr[[#This Row],[Tot Smi]],-1,0)-TblConstr[[#This Row],[Dest Smi]]</f>
        <v>0</v>
      </c>
      <c r="BC31" s="204" t="n">
        <f aca="false" t="array" ref="BC31:BC31">IF(TblConstr[[#This Row],[Hour]:[Hour]]&gt;12,OFFSET(TblConstr[[#This Row],[Mas]],-12,0),0)+OFFSET(TblConstr[[#This Row],[Tot Mas]],-1,0)-TblConstr[[#This Row],[Dest Mas]]</f>
        <v>0</v>
      </c>
      <c r="BD31" s="205" t="n">
        <f aca="false" t="array" ref="BD31:BD31">IF(TblConstr[[#This Row],[Hour]:[Hour]]&gt;12,OFFSET(TblConstr[[#This Row],[Ly]],-12,0),0)+OFFSET(TblConstr[[#This Row],[Tot Ly]],-1,0)-TblConstr[[#This Row],[Dest Ly]]</f>
        <v>20</v>
      </c>
      <c r="BE31" s="205" t="n">
        <f aca="false" t="array" ref="BE31:BE31">IF(TblConstr[[#This Row],[Hour]:[Hour]]&gt;12,OFFSET(TblConstr[[#This Row],[Hav]],-12,0),0)+OFFSET(TblConstr[[#This Row],[Tot Hav]],-1,0)-TblConstr[[#This Row],[Dest Hav]]</f>
        <v>0</v>
      </c>
      <c r="BF31" s="194" t="n">
        <f aca="false" t="array" ref="BF31:BF31">IF(TblConstr[[#This Row],[Hour]:[Hour]]&gt;12,OFFSET(TblConstr[[#This Row],[OM]],-12,0),0)+OFFSET(TblConstr[[#This Row],[Tot OM]],-1,0)-TblConstr[[#This Row],[Dest OM]]</f>
        <v>0</v>
      </c>
      <c r="BG31" s="194" t="n">
        <f aca="false" t="array" ref="BG31:BG31">IF(TblConstr[[#This Row],[Hour]:[Hour]]&gt;12,OFFSET(TblConstr[[#This Row],[GN]],-12,0),0)+OFFSET(TblConstr[[#This Row],[Tot GN]],-1,0)-TblConstr[[#This Row],[Dest GN]]</f>
        <v>0</v>
      </c>
      <c r="BH31" s="206" t="n">
        <f aca="false" t="array" ref="BH31:BH31">IF(TblConstr[[#This Row],[Hour]:[Hour]]&gt;12,OFFSET(TblConstr[[#This Row],[Fac]],-12,0),0)+OFFSET(TblConstr[[#This Row],[Tot Fac]],-1,0)-TblConstr[[#This Row],[Dest Fac]]</f>
        <v>30</v>
      </c>
      <c r="BI31" s="206" t="n">
        <f aca="false" t="array" ref="BI31:BI31">IF(TblConstr[[#This Row],[Hour]:[Hour]]&gt;12,OFFSET(TblConstr[[#This Row],[GT]],-12,0),0)+OFFSET(TblConstr[[#This Row],[Tot GT]],-1,0)-TblConstr[[#This Row],[Dest GT]]</f>
        <v>0</v>
      </c>
      <c r="BJ31" s="206" t="n">
        <f aca="false" t="array" ref="BJ31:BJ31">IF(TblConstr[[#This Row],[Hour]:[Hour]]&gt;12,OFFSET(TblConstr[[#This Row],[Bar]],-12,0),0)+OFFSET(TblConstr[[#This Row],[Tot Bar]],-1,0)-TblConstr[[#This Row],[Dest Bar]]</f>
        <v>0</v>
      </c>
      <c r="BK31" s="206" t="n">
        <f aca="false" t="array" ref="BK31:BK31">IF(TblConstr[[#This Row],[Hour]:[Hour]]&gt;12,OFFSET(TblConstr[[#This Row],[Shr]],-12,0),0)+OFFSET(TblConstr[[#This Row],[Tot Shr]],-1,0)-TblConstr[[#This Row],[Dest Shr]]</f>
        <v>0</v>
      </c>
      <c r="BL31" s="207" t="n">
        <f aca="false" t="array" ref="BL31:BL31">IF(TblConstr[[#This Row],[Hour]:[Hour]]&gt;12,OFFSET(TblConstr[[#This Row],[Tow]],-12,0),0)+OFFSET(TblConstr[[#This Row],[Tot Tow]],-1,0)-TblConstr[[#This Row],[Dest Tow]]</f>
        <v>18</v>
      </c>
      <c r="BM31" s="207" t="n">
        <f aca="false" t="array" ref="BM31:BM31">IF(TblConstr[[#This Row],[Hour]:[Hour]]&gt;12,OFFSET(TblConstr[[#This Row],[Tem]],-12,0),0)+OFFSET(TblConstr[[#This Row],[Tot Tem]],-1,0)-TblConstr[[#This Row],[Dest Tem]]</f>
        <v>47</v>
      </c>
      <c r="BN31" s="207" t="n">
        <f aca="false" t="array" ref="BN31:BN31">IF(TblConstr[[#This Row],[Hour]:[Hour]]&gt;12,OFFSET(TblConstr[[#This Row],[WG]],-12,0),0)+OFFSET(TblConstr[[#This Row],[Tot WG]],-1,0)-TblConstr[[#This Row],[Dest WG]]</f>
        <v>0</v>
      </c>
      <c r="BO31" s="208" t="n">
        <f aca="false" t="array" ref="BO31:BO31">IF(TblConstr[[#This Row],[Hour]:[Hour]]&gt;12,OFFSET(TblConstr[[#This Row],[DM]],-12,0),0)+OFFSET(TblConstr[[#This Row],[Tot DM]],-1,0)-TblConstr[[#This Row],[Dest DM]]</f>
        <v>0</v>
      </c>
      <c r="BP31" s="208" t="n">
        <f aca="false" t="array" ref="BP31:BP31">IF(TblConstr[[#This Row],[Hour]:[Hour]]&gt;12,OFFSET(TblConstr[[#This Row],[Sch]],-12,0),0)+OFFSET(TblConstr[[#This Row],[Tot Sch]],-1,0)-TblConstr[[#This Row],[Dest Sch]]</f>
        <v>0</v>
      </c>
      <c r="BQ31" s="209" t="n">
        <f aca="false" t="array" ref="BQ31:BQ31">IF(TblConstr[[#This Row],[Hour]:[Hour]]&gt;12,OFFSET(TblConstr[[#This Row],[Doc]],-12,0),0)+OFFSET(TblConstr[[#This Row],[Tot Doc]],-1,0)-TblConstr[[#This Row],[Dest Doc]]</f>
        <v>5</v>
      </c>
      <c r="BR31" s="132"/>
      <c r="BS31" s="146"/>
      <c r="BT31" s="69" t="n">
        <f aca="false">TblConstr[[#This Row],[Land]]</f>
        <v>299</v>
      </c>
      <c r="BU31" s="153" t="n">
        <f aca="false">TblImps[[#This Row],[Time]]</f>
        <v>45430.875</v>
      </c>
      <c r="BV31" s="132"/>
      <c r="BW31" s="182"/>
      <c r="BX31" s="182"/>
      <c r="BY31" s="182"/>
      <c r="BZ31" s="182"/>
      <c r="CA31" s="182"/>
      <c r="CB31" s="182"/>
      <c r="CC31" s="182"/>
      <c r="CD31" s="182"/>
      <c r="CE31" s="182"/>
      <c r="CF31" s="182"/>
      <c r="CG31" s="182"/>
      <c r="CH31" s="182"/>
      <c r="CI31" s="182"/>
      <c r="CJ31" s="182"/>
      <c r="CK31" s="182"/>
      <c r="CL31" s="182"/>
      <c r="CM31" s="182"/>
      <c r="CN31" s="182"/>
      <c r="CO31" s="182"/>
      <c r="CP31" s="132"/>
      <c r="CQ31" s="192" t="n">
        <f aca="false">-SUM(TblConstr[[#This Row],[Alc]:[Mas]])+SUM(TblConstr[[#This Row],[Dest Alc]:[Dest Mas]])+Rezone!L31+IF("Ch_"&amp; home_land=TblConstr[[#Headers],[Ch_Plain]],TblConstr[[#This Row],[Home Land]])+IF(TblConstr[[#This Row],[Hour]:[Hour]]&gt;12,OFFSET(TblExplore[[#This Row],[Plains Explore]],-12,0),0)</f>
        <v>0</v>
      </c>
      <c r="CR31" s="193" t="n">
        <f aca="false">-SUM(TblConstr[[#This Row],[Ly]:[Hav]])+SUM(TblConstr[[#This Row],[Dest Ly]:[Dest Hav]]) +Rezone!M31 + IF("Ch_"&amp; home_land=TblConstr[[#Headers],[Ch_Forest]],TblConstr[[#This Row],[Home Land]])+IF(TblConstr[[#This Row],[Hour]:[Hour]]&gt;12,OFFSET(TblExplore[[#This Row],[Forest Explore]],-12,0),0)</f>
        <v>0</v>
      </c>
      <c r="CS31" s="200" t="n">
        <f aca="false">-SUM(TblConstr[[#This Row],[OM]:[GN]])+SUM(TblConstr[[#This Row],[Dest OM]:[Dest GN]]) +Rezone!N31 + IF("Ch_"&amp; home_land=TblConstr[[#Headers],[Ch_Mountain]],TblConstr[[#This Row],[Home Land]])+IF(TblConstr[[#This Row],[Hour]:[Hour]]&gt;12,OFFSET(TblExplore[[#This Row],[Mountain Explore]],-12,0),0)</f>
        <v>0</v>
      </c>
      <c r="CT31" s="195" t="n">
        <f aca="false">-SUM(TblConstr[[#This Row],[Fac]:[Shr]])+SUM(TblConstr[[#This Row],[Dest Fac]:[Dest Shr]]) +Rezone!O31 + IF("Ch_" &amp; home_land=TblConstr[[#Headers],[Ch_Hill]],TblConstr[[#This Row],[Home Land]])+IF(TblConstr[[#This Row],[Hour]:[Hour]]&gt;12,OFFSET(TblExplore[[#This Row],[Hill Explore]],-12,0),0)</f>
        <v>0</v>
      </c>
      <c r="CU31" s="196" t="n">
        <f aca="false">-SUM(TblConstr[[#This Row],[Tow]:[WG]])+SUM(TblConstr[[#This Row],[Dest Tow]:[Dest WG]]) +Rezone!P31 + IF("Ch_" &amp; home_land=TblConstr[[#Headers],[Ch_Swamp]],TblConstr[[#This Row],[Home Land]])+IF(TblConstr[[#This Row],[Hour]:[Hour]]&gt;12,OFFSET(TblExplore[[#This Row],[Swamp Explore]],-12,0),0)</f>
        <v>0</v>
      </c>
      <c r="CV31" s="197" t="n">
        <f aca="false">- SUM(TblConstr[[#This Row],[DM]:[Sch]])+SUM(TblConstr[[#This Row],[Dest DM]:[Dest Sch]]) +Rezone!Q31 + IF("Ch_" &amp; home_land=TblConstr[[#Headers],[Ch_Cavern]],TblConstr[[#This Row],[Home Land]])+IF(TblConstr[[#This Row],[Hour]:[Hour]]&gt;12,OFFSET(TblExplore[[#This Row],[Cavern Explore]],-12,0),0)</f>
        <v>0</v>
      </c>
      <c r="CW31" s="198" t="n">
        <f aca="false">-TblConstr[[#This Row],[Doc]]+TblConstr[[#This Row],[Dest Doc]] +Rezone!R31 + IF("Ch_" &amp; home_land=TblConstr[[#Headers],[Ch_Water]],TblConstr[[#This Row],[Home Land]])+IF(TblConstr[[#This Row],[Hour]:[Hour]]&gt;12,OFFSET(TblExplore[[#This Row],[Water Explore]],-12,0),0)</f>
        <v>0</v>
      </c>
      <c r="CX31" s="1" t="n">
        <f aca="false">IF(Explore!S31=1,20) - TblConstr[[#This Row],[Hom]] + TblConstr[[#This Row],[Dest Hom]]</f>
        <v>0</v>
      </c>
      <c r="CY31" s="132"/>
      <c r="CZ31" s="69" t="n">
        <f aca="false">G31+SUM(P20:S31)+SUM(AZ31:BC31)</f>
        <v>155</v>
      </c>
      <c r="DA31" s="69" t="n">
        <f aca="false">H31+SUM(T20:U31)+SUM(BD31:BE31)</f>
        <v>23</v>
      </c>
      <c r="DB31" s="1" t="n">
        <f aca="false">I31+SUM(V20:W31)+SUM(BF31:BG31)</f>
        <v>0</v>
      </c>
      <c r="DC31" s="69" t="n">
        <f aca="false">J31+SUM(X20:Y31)+SUM(BH31:BI31)</f>
        <v>51</v>
      </c>
      <c r="DD31" s="69" t="n">
        <f aca="false">K31+SUM(AB20:AD31)+SUM(BL31:BN31)</f>
        <v>65</v>
      </c>
      <c r="DE31" s="1" t="n">
        <f aca="false">L31+SUM(AE20:AE31)+BO31</f>
        <v>0</v>
      </c>
      <c r="DF31" s="69" t="n">
        <f aca="false">M31+SUM(AG20:AG31)+BQ31</f>
        <v>5</v>
      </c>
      <c r="DG31" s="69" t="e">
        <f aca="false" t="array" ref="DG31:DG31">INDEX(TblConstr[[Total Plain]:[Total Water]],ROW()-ROW(TblConstr[#headers]),MATCH("Total "&amp;home_land,TblConstr[[#Headers],[Total Plain]:[Total Water]],0))+TblConstr[[#This Row],[Homes]]</f>
        <v>#VALUE!</v>
      </c>
      <c r="DH31" s="1" t="n">
        <f aca="false">SUM(O20:O31)+AY31</f>
        <v>0</v>
      </c>
      <c r="DI31" s="1" t="n">
        <f aca="false">MAX(BA31-BA30,0)</f>
        <v>0</v>
      </c>
      <c r="DJ31" s="1" t="n">
        <f aca="false">MAX(BQ31-BQ30,0)</f>
        <v>0</v>
      </c>
    </row>
    <row r="32" customFormat="false" ht="12.75" hidden="false" customHeight="false" outlineLevel="0" collapsed="false">
      <c r="A32" s="170" t="n">
        <f aca="false">TblRezone[[#This Row],[Hour]]</f>
        <v>29</v>
      </c>
      <c r="B32" s="171" t="n">
        <f aca="false">SUM(TblConstr[[#This Row],[Plain]:[Water]])</f>
        <v>0</v>
      </c>
      <c r="C32" s="172" t="n">
        <f aca="false">SUM(TblConstr[[#This Row],[Tot Hom]:[Tot Doc]])</f>
        <v>250</v>
      </c>
      <c r="D32" s="172" t="n">
        <f aca="false">SUM(O21:AG32)</f>
        <v>49</v>
      </c>
      <c r="E32" s="173"/>
      <c r="F32" s="33" t="n">
        <f aca="false">TblConstr[[#This Row],[Barren]]+TblConstr[[#This Row],[Buildings]]+TblConstr[[#This Row],[Incoming]]</f>
        <v>299</v>
      </c>
      <c r="G32" s="199" t="n">
        <f aca="false">OFFSET(TblConstr[[#This Row],[Plain]],-1,0)+TblConstr[[#This Row],[Ch_Plain]]</f>
        <v>0</v>
      </c>
      <c r="H32" s="193" t="n">
        <f aca="false">OFFSET(TblConstr[[#This Row],[Forest]],-1,0)+TblConstr[[#This Row],[Ch_Forest]]</f>
        <v>0</v>
      </c>
      <c r="I32" s="200" t="n">
        <f aca="false">OFFSET(TblConstr[[#This Row],[Mountain]],-1,0)+TblConstr[[#This Row],[Ch_Mountain]]</f>
        <v>0</v>
      </c>
      <c r="J32" s="201" t="n">
        <f aca="false">OFFSET(TblConstr[[#This Row],[Hill]],-1,0)+TblConstr[[#This Row],[Ch_Hill]]</f>
        <v>0</v>
      </c>
      <c r="K32" s="202" t="n">
        <f aca="false">OFFSET(TblConstr[[#This Row],[Swamp]],-1,0)+TblConstr[[#This Row],[Ch_Swamp]]</f>
        <v>0</v>
      </c>
      <c r="L32" s="197" t="n">
        <f aca="false">OFFSET(TblConstr[[#This Row],[Cavern]],-1,0)+TblConstr[[#This Row],[Ch_Cavern]]</f>
        <v>0</v>
      </c>
      <c r="M32" s="198" t="n">
        <f aca="false">OFFSET(TblConstr[[#This Row],[Water]],-1,0)+TblConstr[[#This Row],[Ch_Water]]</f>
        <v>0</v>
      </c>
      <c r="N32" s="181" t="n">
        <f aca="false">TblRezone[[#This Row],[Hour]]</f>
        <v>29</v>
      </c>
      <c r="O32" s="182"/>
      <c r="P32" s="152"/>
      <c r="Q32" s="182"/>
      <c r="R32" s="182"/>
      <c r="S32" s="182"/>
      <c r="T32" s="182"/>
      <c r="U32" s="182"/>
      <c r="V32" s="182"/>
      <c r="W32" s="182"/>
      <c r="X32" s="182"/>
      <c r="Y32" s="182"/>
      <c r="Z32" s="182"/>
      <c r="AA32" s="182"/>
      <c r="AB32" s="182"/>
      <c r="AC32" s="182"/>
      <c r="AD32" s="182"/>
      <c r="AE32" s="182"/>
      <c r="AF32" s="182"/>
      <c r="AG32" s="182"/>
      <c r="AH32" s="20" t="n">
        <f aca="false">TblImps[[#This Row],[Time]]</f>
        <v>45430.9166666667</v>
      </c>
      <c r="AI32" s="130" t="n">
        <f aca="false">MIN(25%,(TblConstr[[#This Row],[Tot Fac]]+TblConstr[[#This Row],[Dest Fac]])/(TblConstr[[#This Row],[Land]]-TblExplore[[#This Row],[Land Bonus]]*20))</f>
        <v>0.100334448160535</v>
      </c>
      <c r="AJ32" s="130" t="n">
        <f aca="false">MIN(25%,(TblConstr[[#This Row],[Tot Fac]]+TblConstr[[#This Row],[Dest Fac]])/TblConstr[[#This Row],[Land]])</f>
        <v>0.100334448160535</v>
      </c>
      <c r="AK32" s="69" t="n">
        <f aca="false">TblProd[[#This Row],[Platinum]]</f>
        <v>38976</v>
      </c>
      <c r="AL32" s="69" t="n">
        <f aca="false">TblProd[[#This Row],[Lumber]]</f>
        <v>11140</v>
      </c>
      <c r="AM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2" s="69" t="n">
        <f aca="false">ROUNDDOWN( MAX(1 - MIN(facs_constr_factor*TblConstr[[#This Row],[Facs -DB]],facs_constr_max) + tech_1_11*TblTech[[#This Row],[11-1]] + tech_6_3_2*TblTech[[#This Row],[6-3]] + tech_5_2_3*TblTech[[#This Row],[5-2]], 1-global_constr_cap) * TblConstr[[#This Row],[RCPA Lumber]],0)</f>
        <v>50</v>
      </c>
      <c r="AO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2" s="69" t="n">
        <f aca="false">ROUNDDOWN( MAX(1 - MIN(facs_constr_factor*TblConstr[[#This Row],[Facs DB]],facs_constr_max) + tech_1_11*TblTech[[#This Row],[1-11]] + tech_6_3_2*TblTech[[#This Row],[6-3]] + tech_5_2_3*TblTech[[#This Row],[5-2]], 1-global_constr_cap) * ROUND((TblConstr[[#This Row],[Land]]-250)*0.285 + 87.5 + 0/4.25,0),0)</f>
        <v>50</v>
      </c>
      <c r="AQ32" s="1" t="n">
        <f aca="false">TblConstr[[#This Row],[build -db]]*TblConstr[[#This Row],[CPA Platinum -DB]] + TblConstr[[#This Row],[build db]]*TblConstr[[#This Row],[CPA Platinum DB]]</f>
        <v>0</v>
      </c>
      <c r="AR32" s="1" t="n">
        <f aca="false">TblConstr[[#This Row],[build -db]]*TblConstr[[#This Row],[CPA Lumber -DB]]+TblConstr[[#This Row],[build db]]*TblConstr[[#This Row],[CPA Lumber DB]]</f>
        <v>0</v>
      </c>
      <c r="AS32" s="69" t="n">
        <f aca="false">MIN(SUM(OFFSET(TblConstr[[#This Row],[Plain]:[Water]],-1,0))+SUM(TblConstr[[#This Row],[Dest Hom]:[Dest Doc]])+IF(TblConstr[[#This Row],[Hour]]&gt;12,SUM(OFFSET(TblExplore[[#This Row],[Plains Explore]:[Water Explore]],-12,0)),0),SUM(TblConstr[[#This Row],[Hom]:[Doc]]))</f>
        <v>0</v>
      </c>
      <c r="AT3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32"/>
      <c r="AV32" s="69" t="n">
        <f aca="false">ROUND((TblConstr[[#This Row],[Land]]-250 - IF(TblExplore[[#This Row],[Land Bonus]]&lt;&gt;0,20,0))*1.25 + 850 + 0,0)</f>
        <v>911</v>
      </c>
      <c r="AW32" s="69" t="n">
        <f aca="false">ROUND((TblConstr[[#This Row],[Land]]-250 - IF(TblExplore[[#This Row],[Land Bonus]]&lt;&gt;0,20,0))*0.285 + 87.5 + 0/4.25,0)</f>
        <v>101</v>
      </c>
      <c r="AX32" s="146"/>
      <c r="AY32" s="203" t="n">
        <f aca="false" t="array" ref="AY32:AY32">IF(TblConstr[[#This Row],[Hour]:[Hour]]&gt;12,OFFSET(TblConstr[[#This Row],[Hom]],-12,0),0)+OFFSET(TblConstr[[#This Row],[Tot Hom]],-1,0)-TblConstr[[#This Row],[Dest Hom]]</f>
        <v>0</v>
      </c>
      <c r="AZ32" s="204" t="n">
        <f aca="false" t="array" ref="AZ32:AZ32">IF(TblConstr[[#This Row],[Hour]:[Hour]]&gt;12,OFFSET(TblConstr[[#This Row],[Alc]],-12,0),0)+OFFSET(TblConstr[[#This Row],[Tot Alc]],-1,0)-TblConstr[[#This Row],[Dest Alc]]</f>
        <v>125</v>
      </c>
      <c r="BA32" s="204" t="n">
        <f aca="false" t="array" ref="BA32:BA32">IF(TblConstr[[#This Row],[Hour]:[Hour]]&gt;12,OFFSET(TblConstr[[#This Row],[Far]],-12,0),0)+OFFSET(TblConstr[[#This Row],[Tot Farm]],-1,0)-TblConstr[[#This Row],[Dest Farm]]</f>
        <v>5</v>
      </c>
      <c r="BB32" s="204" t="n">
        <f aca="false" t="array" ref="BB32:BB32">IF(TblConstr[[#This Row],[Hour]:[Hour]]&gt;12,OFFSET(TblConstr[[#This Row],[Smi]],-12,0),0)+OFFSET(TblConstr[[#This Row],[Tot Smi]],-1,0)-TblConstr[[#This Row],[Dest Smi]]</f>
        <v>0</v>
      </c>
      <c r="BC32" s="204" t="n">
        <f aca="false" t="array" ref="BC32:BC32">IF(TblConstr[[#This Row],[Hour]:[Hour]]&gt;12,OFFSET(TblConstr[[#This Row],[Mas]],-12,0),0)+OFFSET(TblConstr[[#This Row],[Tot Mas]],-1,0)-TblConstr[[#This Row],[Dest Mas]]</f>
        <v>0</v>
      </c>
      <c r="BD32" s="205" t="n">
        <f aca="false" t="array" ref="BD32:BD32">IF(TblConstr[[#This Row],[Hour]:[Hour]]&gt;12,OFFSET(TblConstr[[#This Row],[Ly]],-12,0),0)+OFFSET(TblConstr[[#This Row],[Tot Ly]],-1,0)-TblConstr[[#This Row],[Dest Ly]]</f>
        <v>20</v>
      </c>
      <c r="BE32" s="205" t="n">
        <f aca="false" t="array" ref="BE32:BE32">IF(TblConstr[[#This Row],[Hour]:[Hour]]&gt;12,OFFSET(TblConstr[[#This Row],[Hav]],-12,0),0)+OFFSET(TblConstr[[#This Row],[Tot Hav]],-1,0)-TblConstr[[#This Row],[Dest Hav]]</f>
        <v>0</v>
      </c>
      <c r="BF32" s="194" t="n">
        <f aca="false" t="array" ref="BF32:BF32">IF(TblConstr[[#This Row],[Hour]:[Hour]]&gt;12,OFFSET(TblConstr[[#This Row],[OM]],-12,0),0)+OFFSET(TblConstr[[#This Row],[Tot OM]],-1,0)-TblConstr[[#This Row],[Dest OM]]</f>
        <v>0</v>
      </c>
      <c r="BG32" s="194" t="n">
        <f aca="false" t="array" ref="BG32:BG32">IF(TblConstr[[#This Row],[Hour]:[Hour]]&gt;12,OFFSET(TblConstr[[#This Row],[GN]],-12,0),0)+OFFSET(TblConstr[[#This Row],[Tot GN]],-1,0)-TblConstr[[#This Row],[Dest GN]]</f>
        <v>0</v>
      </c>
      <c r="BH32" s="206" t="n">
        <f aca="false" t="array" ref="BH32:BH32">IF(TblConstr[[#This Row],[Hour]:[Hour]]&gt;12,OFFSET(TblConstr[[#This Row],[Fac]],-12,0),0)+OFFSET(TblConstr[[#This Row],[Tot Fac]],-1,0)-TblConstr[[#This Row],[Dest Fac]]</f>
        <v>30</v>
      </c>
      <c r="BI32" s="206" t="n">
        <f aca="false" t="array" ref="BI32:BI32">IF(TblConstr[[#This Row],[Hour]:[Hour]]&gt;12,OFFSET(TblConstr[[#This Row],[GT]],-12,0),0)+OFFSET(TblConstr[[#This Row],[Tot GT]],-1,0)-TblConstr[[#This Row],[Dest GT]]</f>
        <v>0</v>
      </c>
      <c r="BJ32" s="206" t="n">
        <f aca="false" t="array" ref="BJ32:BJ32">IF(TblConstr[[#This Row],[Hour]:[Hour]]&gt;12,OFFSET(TblConstr[[#This Row],[Bar]],-12,0),0)+OFFSET(TblConstr[[#This Row],[Tot Bar]],-1,0)-TblConstr[[#This Row],[Dest Bar]]</f>
        <v>0</v>
      </c>
      <c r="BK32" s="206" t="n">
        <f aca="false" t="array" ref="BK32:BK32">IF(TblConstr[[#This Row],[Hour]:[Hour]]&gt;12,OFFSET(TblConstr[[#This Row],[Shr]],-12,0),0)+OFFSET(TblConstr[[#This Row],[Tot Shr]],-1,0)-TblConstr[[#This Row],[Dest Shr]]</f>
        <v>0</v>
      </c>
      <c r="BL32" s="207" t="n">
        <f aca="false" t="array" ref="BL32:BL32">IF(TblConstr[[#This Row],[Hour]:[Hour]]&gt;12,OFFSET(TblConstr[[#This Row],[Tow]],-12,0),0)+OFFSET(TblConstr[[#This Row],[Tot Tow]],-1,0)-TblConstr[[#This Row],[Dest Tow]]</f>
        <v>18</v>
      </c>
      <c r="BM32" s="207" t="n">
        <f aca="false" t="array" ref="BM32:BM32">IF(TblConstr[[#This Row],[Hour]:[Hour]]&gt;12,OFFSET(TblConstr[[#This Row],[Tem]],-12,0),0)+OFFSET(TblConstr[[#This Row],[Tot Tem]],-1,0)-TblConstr[[#This Row],[Dest Tem]]</f>
        <v>47</v>
      </c>
      <c r="BN32" s="207" t="n">
        <f aca="false" t="array" ref="BN32:BN32">IF(TblConstr[[#This Row],[Hour]:[Hour]]&gt;12,OFFSET(TblConstr[[#This Row],[WG]],-12,0),0)+OFFSET(TblConstr[[#This Row],[Tot WG]],-1,0)-TblConstr[[#This Row],[Dest WG]]</f>
        <v>0</v>
      </c>
      <c r="BO32" s="208" t="n">
        <f aca="false" t="array" ref="BO32:BO32">IF(TblConstr[[#This Row],[Hour]:[Hour]]&gt;12,OFFSET(TblConstr[[#This Row],[DM]],-12,0),0)+OFFSET(TblConstr[[#This Row],[Tot DM]],-1,0)-TblConstr[[#This Row],[Dest DM]]</f>
        <v>0</v>
      </c>
      <c r="BP32" s="208" t="n">
        <f aca="false" t="array" ref="BP32:BP32">IF(TblConstr[[#This Row],[Hour]:[Hour]]&gt;12,OFFSET(TblConstr[[#This Row],[Sch]],-12,0),0)+OFFSET(TblConstr[[#This Row],[Tot Sch]],-1,0)-TblConstr[[#This Row],[Dest Sch]]</f>
        <v>0</v>
      </c>
      <c r="BQ32" s="209" t="n">
        <f aca="false" t="array" ref="BQ32:BQ32">IF(TblConstr[[#This Row],[Hour]:[Hour]]&gt;12,OFFSET(TblConstr[[#This Row],[Doc]],-12,0),0)+OFFSET(TblConstr[[#This Row],[Tot Doc]],-1,0)-TblConstr[[#This Row],[Dest Doc]]</f>
        <v>5</v>
      </c>
      <c r="BR32" s="132"/>
      <c r="BS32" s="146"/>
      <c r="BT32" s="69" t="n">
        <f aca="false">TblConstr[[#This Row],[Land]]</f>
        <v>299</v>
      </c>
      <c r="BU32" s="153" t="n">
        <f aca="false">TblImps[[#This Row],[Time]]</f>
        <v>45430.9166666667</v>
      </c>
      <c r="BV32" s="132"/>
      <c r="BW32" s="182"/>
      <c r="BX32" s="182"/>
      <c r="BY32" s="182"/>
      <c r="BZ32" s="182"/>
      <c r="CA32" s="182"/>
      <c r="CB32" s="182"/>
      <c r="CC32" s="182"/>
      <c r="CD32" s="182"/>
      <c r="CE32" s="182"/>
      <c r="CF32" s="182"/>
      <c r="CG32" s="182"/>
      <c r="CH32" s="182"/>
      <c r="CI32" s="182"/>
      <c r="CJ32" s="182"/>
      <c r="CK32" s="182"/>
      <c r="CL32" s="182"/>
      <c r="CM32" s="182"/>
      <c r="CN32" s="182"/>
      <c r="CO32" s="182"/>
      <c r="CP32" s="132"/>
      <c r="CQ32" s="192" t="n">
        <f aca="false">-SUM(TblConstr[[#This Row],[Alc]:[Mas]])+SUM(TblConstr[[#This Row],[Dest Alc]:[Dest Mas]])+Rezone!L32+IF("Ch_"&amp; home_land=TblConstr[[#Headers],[Ch_Plain]],TblConstr[[#This Row],[Home Land]])+IF(TblConstr[[#This Row],[Hour]:[Hour]]&gt;12,OFFSET(TblExplore[[#This Row],[Plains Explore]],-12,0),0)</f>
        <v>0</v>
      </c>
      <c r="CR32" s="193" t="n">
        <f aca="false">-SUM(TblConstr[[#This Row],[Ly]:[Hav]])+SUM(TblConstr[[#This Row],[Dest Ly]:[Dest Hav]]) +Rezone!M32 + IF("Ch_"&amp; home_land=TblConstr[[#Headers],[Ch_Forest]],TblConstr[[#This Row],[Home Land]])+IF(TblConstr[[#This Row],[Hour]:[Hour]]&gt;12,OFFSET(TblExplore[[#This Row],[Forest Explore]],-12,0),0)</f>
        <v>0</v>
      </c>
      <c r="CS32" s="200" t="n">
        <f aca="false">-SUM(TblConstr[[#This Row],[OM]:[GN]])+SUM(TblConstr[[#This Row],[Dest OM]:[Dest GN]]) +Rezone!N32 + IF("Ch_"&amp; home_land=TblConstr[[#Headers],[Ch_Mountain]],TblConstr[[#This Row],[Home Land]])+IF(TblConstr[[#This Row],[Hour]:[Hour]]&gt;12,OFFSET(TblExplore[[#This Row],[Mountain Explore]],-12,0),0)</f>
        <v>0</v>
      </c>
      <c r="CT32" s="195" t="n">
        <f aca="false">-SUM(TblConstr[[#This Row],[Fac]:[Shr]])+SUM(TblConstr[[#This Row],[Dest Fac]:[Dest Shr]]) +Rezone!O32 + IF("Ch_" &amp; home_land=TblConstr[[#Headers],[Ch_Hill]],TblConstr[[#This Row],[Home Land]])+IF(TblConstr[[#This Row],[Hour]:[Hour]]&gt;12,OFFSET(TblExplore[[#This Row],[Hill Explore]],-12,0),0)</f>
        <v>0</v>
      </c>
      <c r="CU32" s="196" t="n">
        <f aca="false">-SUM(TblConstr[[#This Row],[Tow]:[WG]])+SUM(TblConstr[[#This Row],[Dest Tow]:[Dest WG]]) +Rezone!P32 + IF("Ch_" &amp; home_land=TblConstr[[#Headers],[Ch_Swamp]],TblConstr[[#This Row],[Home Land]])+IF(TblConstr[[#This Row],[Hour]:[Hour]]&gt;12,OFFSET(TblExplore[[#This Row],[Swamp Explore]],-12,0),0)</f>
        <v>0</v>
      </c>
      <c r="CV32" s="197" t="n">
        <f aca="false">- SUM(TblConstr[[#This Row],[DM]:[Sch]])+SUM(TblConstr[[#This Row],[Dest DM]:[Dest Sch]]) +Rezone!Q32 + IF("Ch_" &amp; home_land=TblConstr[[#Headers],[Ch_Cavern]],TblConstr[[#This Row],[Home Land]])+IF(TblConstr[[#This Row],[Hour]:[Hour]]&gt;12,OFFSET(TblExplore[[#This Row],[Cavern Explore]],-12,0),0)</f>
        <v>0</v>
      </c>
      <c r="CW32" s="198" t="n">
        <f aca="false">-TblConstr[[#This Row],[Doc]]+TblConstr[[#This Row],[Dest Doc]] +Rezone!R32 + IF("Ch_" &amp; home_land=TblConstr[[#Headers],[Ch_Water]],TblConstr[[#This Row],[Home Land]])+IF(TblConstr[[#This Row],[Hour]:[Hour]]&gt;12,OFFSET(TblExplore[[#This Row],[Water Explore]],-12,0),0)</f>
        <v>0</v>
      </c>
      <c r="CX32" s="1" t="n">
        <f aca="false">IF(Explore!S32=1,20) - TblConstr[[#This Row],[Hom]] + TblConstr[[#This Row],[Dest Hom]]</f>
        <v>0</v>
      </c>
      <c r="CY32" s="132"/>
      <c r="CZ32" s="69" t="n">
        <f aca="false">G32+SUM(P21:S32)+SUM(AZ32:BC32)</f>
        <v>155</v>
      </c>
      <c r="DA32" s="69" t="n">
        <f aca="false">H32+SUM(T21:U32)+SUM(BD32:BE32)</f>
        <v>23</v>
      </c>
      <c r="DB32" s="1" t="n">
        <f aca="false">I32+SUM(V21:W32)+SUM(BF32:BG32)</f>
        <v>0</v>
      </c>
      <c r="DC32" s="69" t="n">
        <f aca="false">J32+SUM(X21:Y32)+SUM(BH32:BI32)</f>
        <v>51</v>
      </c>
      <c r="DD32" s="69" t="n">
        <f aca="false">K32+SUM(AB21:AD32)+SUM(BL32:BN32)</f>
        <v>65</v>
      </c>
      <c r="DE32" s="1" t="n">
        <f aca="false">L32+SUM(AE21:AE32)+BO32</f>
        <v>0</v>
      </c>
      <c r="DF32" s="69" t="n">
        <f aca="false">M32+SUM(AG21:AG32)+BQ32</f>
        <v>5</v>
      </c>
      <c r="DG32" s="69" t="e">
        <f aca="false" t="array" ref="DG32:DG32">INDEX(TblConstr[[Total Plain]:[Total Water]],ROW()-ROW(TblConstr[#headers]),MATCH("Total "&amp;home_land,TblConstr[[#Headers],[Total Plain]:[Total Water]],0))+TblConstr[[#This Row],[Homes]]</f>
        <v>#VALUE!</v>
      </c>
      <c r="DH32" s="1" t="n">
        <f aca="false">SUM(O21:O32)+AY32</f>
        <v>0</v>
      </c>
      <c r="DI32" s="1" t="n">
        <f aca="false">MAX(BA32-BA31,0)</f>
        <v>0</v>
      </c>
      <c r="DJ32" s="1" t="n">
        <f aca="false">MAX(BQ32-BQ31,0)</f>
        <v>0</v>
      </c>
    </row>
    <row r="33" customFormat="false" ht="12.75" hidden="false" customHeight="false" outlineLevel="0" collapsed="false">
      <c r="A33" s="170" t="n">
        <f aca="false">TblRezone[[#This Row],[Hour]]</f>
        <v>30</v>
      </c>
      <c r="B33" s="171" t="n">
        <f aca="false">SUM(TblConstr[[#This Row],[Plain]:[Water]])</f>
        <v>0</v>
      </c>
      <c r="C33" s="172" t="n">
        <f aca="false">SUM(TblConstr[[#This Row],[Tot Hom]:[Tot Doc]])</f>
        <v>274</v>
      </c>
      <c r="D33" s="172" t="n">
        <f aca="false">SUM(O22:AG33)</f>
        <v>95</v>
      </c>
      <c r="E33" s="173"/>
      <c r="F33" s="33" t="n">
        <f aca="false">TblConstr[[#This Row],[Barren]]+TblConstr[[#This Row],[Buildings]]+TblConstr[[#This Row],[Incoming]]</f>
        <v>369</v>
      </c>
      <c r="G33" s="199" t="n">
        <f aca="false">OFFSET(TblConstr[[#This Row],[Plain]],-1,0)+TblConstr[[#This Row],[Ch_Plain]]</f>
        <v>0</v>
      </c>
      <c r="H33" s="193" t="n">
        <f aca="false">OFFSET(TblConstr[[#This Row],[Forest]],-1,0)+TblConstr[[#This Row],[Ch_Forest]]</f>
        <v>0</v>
      </c>
      <c r="I33" s="200" t="n">
        <f aca="false">OFFSET(TblConstr[[#This Row],[Mountain]],-1,0)+TblConstr[[#This Row],[Ch_Mountain]]</f>
        <v>0</v>
      </c>
      <c r="J33" s="201" t="n">
        <f aca="false">OFFSET(TblConstr[[#This Row],[Hill]],-1,0)+TblConstr[[#This Row],[Ch_Hill]]</f>
        <v>0</v>
      </c>
      <c r="K33" s="202" t="n">
        <f aca="false">OFFSET(TblConstr[[#This Row],[Swamp]],-1,0)+TblConstr[[#This Row],[Ch_Swamp]]</f>
        <v>0</v>
      </c>
      <c r="L33" s="197" t="n">
        <f aca="false">OFFSET(TblConstr[[#This Row],[Cavern]],-1,0)+TblConstr[[#This Row],[Ch_Cavern]]</f>
        <v>0</v>
      </c>
      <c r="M33" s="198" t="n">
        <f aca="false">OFFSET(TblConstr[[#This Row],[Water]],-1,0)+TblConstr[[#This Row],[Ch_Water]]</f>
        <v>0</v>
      </c>
      <c r="N33" s="181" t="n">
        <f aca="false">TblRezone[[#This Row],[Hour]]</f>
        <v>30</v>
      </c>
      <c r="O33" s="182"/>
      <c r="P33" s="152" t="n">
        <v>59</v>
      </c>
      <c r="Q33" s="182" t="n">
        <v>3</v>
      </c>
      <c r="R33" s="182"/>
      <c r="S33" s="182"/>
      <c r="T33" s="182" t="n">
        <v>2</v>
      </c>
      <c r="U33" s="182"/>
      <c r="V33" s="182"/>
      <c r="W33" s="182"/>
      <c r="X33" s="182" t="n">
        <v>1</v>
      </c>
      <c r="Y33" s="182"/>
      <c r="Z33" s="182"/>
      <c r="AA33" s="182"/>
      <c r="AB33" s="182"/>
      <c r="AC33" s="182"/>
      <c r="AD33" s="182"/>
      <c r="AE33" s="182"/>
      <c r="AF33" s="182"/>
      <c r="AG33" s="182" t="n">
        <v>5</v>
      </c>
      <c r="AH33" s="20" t="n">
        <f aca="false">TblImps[[#This Row],[Time]]</f>
        <v>45430.9583333333</v>
      </c>
      <c r="AI33" s="130" t="n">
        <f aca="false">MIN(25%,(TblConstr[[#This Row],[Tot Fac]]+TblConstr[[#This Row],[Dest Fac]])/(TblConstr[[#This Row],[Land]]-TblExplore[[#This Row],[Land Bonus]]*20))</f>
        <v>0.102981029810298</v>
      </c>
      <c r="AJ33" s="130" t="n">
        <f aca="false">MIN(25%,(TblConstr[[#This Row],[Tot Fac]]+TblConstr[[#This Row],[Dest Fac]])/TblConstr[[#This Row],[Land]])</f>
        <v>0.102981029810298</v>
      </c>
      <c r="AK33" s="69" t="n">
        <f aca="false">TblProd[[#This Row],[Platinum]]</f>
        <v>21478</v>
      </c>
      <c r="AL33" s="69" t="n">
        <f aca="false">TblProd[[#This Row],[Lumber]]</f>
        <v>7729</v>
      </c>
      <c r="AM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399</v>
      </c>
      <c r="AN33" s="69" t="n">
        <f aca="false">ROUNDDOWN( MAX(1 - MIN(facs_constr_factor*TblConstr[[#This Row],[Facs -DB]],facs_constr_max) + tech_1_11*TblTech[[#This Row],[11-1]] + tech_6_3_2*TblTech[[#This Row],[6-3]] + tech_5_2_3*TblTech[[#This Row],[5-2]], 1-global_constr_cap) * TblConstr[[#This Row],[RCPA Lumber]],0)</f>
        <v>60</v>
      </c>
      <c r="AO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399</v>
      </c>
      <c r="AP33" s="69" t="n">
        <f aca="false">ROUNDDOWN( MAX(1 - MIN(facs_constr_factor*TblConstr[[#This Row],[Facs DB]],facs_constr_max) + tech_1_11*TblTech[[#This Row],[1-11]] + tech_6_3_2*TblTech[[#This Row],[6-3]] + tech_5_2_3*TblTech[[#This Row],[5-2]], 1-global_constr_cap) * ROUND((TblConstr[[#This Row],[Land]]-250)*0.285 + 87.5 + 0/4.25,0),0)</f>
        <v>60</v>
      </c>
      <c r="AQ33" s="1" t="n">
        <f aca="false">TblConstr[[#This Row],[build -db]]*TblConstr[[#This Row],[CPA Platinum -DB]] + TblConstr[[#This Row],[build db]]*TblConstr[[#This Row],[CPA Platinum DB]]</f>
        <v>27930</v>
      </c>
      <c r="AR33" s="1" t="n">
        <f aca="false">TblConstr[[#This Row],[build -db]]*TblConstr[[#This Row],[CPA Lumber -DB]]+TblConstr[[#This Row],[build db]]*TblConstr[[#This Row],[CPA Lumber DB]]</f>
        <v>4200</v>
      </c>
      <c r="AS33" s="69" t="n">
        <f aca="false">MIN(SUM(OFFSET(TblConstr[[#This Row],[Plain]:[Water]],-1,0))+SUM(TblConstr[[#This Row],[Dest Hom]:[Dest Doc]])+IF(TblConstr[[#This Row],[Hour]]&gt;12,SUM(OFFSET(TblExplore[[#This Row],[Plains Explore]:[Water Explore]],-12,0)),0),SUM(TblConstr[[#This Row],[Hom]:[Doc]]))</f>
        <v>70</v>
      </c>
      <c r="AT3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32"/>
      <c r="AV33" s="69" t="n">
        <f aca="false">ROUND((TblConstr[[#This Row],[Land]]-250 - IF(TblExplore[[#This Row],[Land Bonus]]&lt;&gt;0,20,0))*1.25 + 850 + 0,0)</f>
        <v>999</v>
      </c>
      <c r="AW33" s="69" t="n">
        <f aca="false">ROUND((TblConstr[[#This Row],[Land]]-250 - IF(TblExplore[[#This Row],[Land Bonus]]&lt;&gt;0,20,0))*0.285 + 87.5 + 0/4.25,0)</f>
        <v>121</v>
      </c>
      <c r="AX33" s="146"/>
      <c r="AY33" s="203" t="n">
        <f aca="false" t="array" ref="AY33:AY33">IF(TblConstr[[#This Row],[Hour]:[Hour]]&gt;12,OFFSET(TblConstr[[#This Row],[Hom]],-12,0),0)+OFFSET(TblConstr[[#This Row],[Tot Hom]],-1,0)-TblConstr[[#This Row],[Dest Hom]]</f>
        <v>0</v>
      </c>
      <c r="AZ33" s="204" t="n">
        <f aca="false" t="array" ref="AZ33:AZ33">IF(TblConstr[[#This Row],[Hour]:[Hour]]&gt;12,OFFSET(TblConstr[[#This Row],[Alc]],-12,0),0)+OFFSET(TblConstr[[#This Row],[Tot Alc]],-1,0)-TblConstr[[#This Row],[Dest Alc]]</f>
        <v>137</v>
      </c>
      <c r="BA33" s="204" t="n">
        <f aca="false" t="array" ref="BA33:BA33">IF(TblConstr[[#This Row],[Hour]:[Hour]]&gt;12,OFFSET(TblConstr[[#This Row],[Far]],-12,0),0)+OFFSET(TblConstr[[#This Row],[Tot Farm]],-1,0)-TblConstr[[#This Row],[Dest Farm]]</f>
        <v>6</v>
      </c>
      <c r="BB33" s="204" t="n">
        <f aca="false" t="array" ref="BB33:BB33">IF(TblConstr[[#This Row],[Hour]:[Hour]]&gt;12,OFFSET(TblConstr[[#This Row],[Smi]],-12,0),0)+OFFSET(TblConstr[[#This Row],[Tot Smi]],-1,0)-TblConstr[[#This Row],[Dest Smi]]</f>
        <v>0</v>
      </c>
      <c r="BC33" s="204" t="n">
        <f aca="false" t="array" ref="BC33:BC33">IF(TblConstr[[#This Row],[Hour]:[Hour]]&gt;12,OFFSET(TblConstr[[#This Row],[Mas]],-12,0),0)+OFFSET(TblConstr[[#This Row],[Tot Mas]],-1,0)-TblConstr[[#This Row],[Dest Mas]]</f>
        <v>0</v>
      </c>
      <c r="BD33" s="205" t="n">
        <f aca="false" t="array" ref="BD33:BD33">IF(TblConstr[[#This Row],[Hour]:[Hour]]&gt;12,OFFSET(TblConstr[[#This Row],[Ly]],-12,0),0)+OFFSET(TblConstr[[#This Row],[Tot Ly]],-1,0)-TblConstr[[#This Row],[Dest Ly]]</f>
        <v>23</v>
      </c>
      <c r="BE33" s="205" t="n">
        <f aca="false" t="array" ref="BE33:BE33">IF(TblConstr[[#This Row],[Hour]:[Hour]]&gt;12,OFFSET(TblConstr[[#This Row],[Hav]],-12,0),0)+OFFSET(TblConstr[[#This Row],[Tot Hav]],-1,0)-TblConstr[[#This Row],[Dest Hav]]</f>
        <v>0</v>
      </c>
      <c r="BF33" s="194" t="n">
        <f aca="false" t="array" ref="BF33:BF33">IF(TblConstr[[#This Row],[Hour]:[Hour]]&gt;12,OFFSET(TblConstr[[#This Row],[OM]],-12,0),0)+OFFSET(TblConstr[[#This Row],[Tot OM]],-1,0)-TblConstr[[#This Row],[Dest OM]]</f>
        <v>0</v>
      </c>
      <c r="BG33" s="194" t="n">
        <f aca="false" t="array" ref="BG33:BG33">IF(TblConstr[[#This Row],[Hour]:[Hour]]&gt;12,OFFSET(TblConstr[[#This Row],[GN]],-12,0),0)+OFFSET(TblConstr[[#This Row],[Tot GN]],-1,0)-TblConstr[[#This Row],[Dest GN]]</f>
        <v>0</v>
      </c>
      <c r="BH33" s="206" t="n">
        <f aca="false" t="array" ref="BH33:BH33">IF(TblConstr[[#This Row],[Hour]:[Hour]]&gt;12,OFFSET(TblConstr[[#This Row],[Fac]],-12,0),0)+OFFSET(TblConstr[[#This Row],[Tot Fac]],-1,0)-TblConstr[[#This Row],[Dest Fac]]</f>
        <v>38</v>
      </c>
      <c r="BI33" s="206" t="n">
        <f aca="false" t="array" ref="BI33:BI33">IF(TblConstr[[#This Row],[Hour]:[Hour]]&gt;12,OFFSET(TblConstr[[#This Row],[GT]],-12,0),0)+OFFSET(TblConstr[[#This Row],[Tot GT]],-1,0)-TblConstr[[#This Row],[Dest GT]]</f>
        <v>0</v>
      </c>
      <c r="BJ33" s="206" t="n">
        <f aca="false" t="array" ref="BJ33:BJ33">IF(TblConstr[[#This Row],[Hour]:[Hour]]&gt;12,OFFSET(TblConstr[[#This Row],[Bar]],-12,0),0)+OFFSET(TblConstr[[#This Row],[Tot Bar]],-1,0)-TblConstr[[#This Row],[Dest Bar]]</f>
        <v>0</v>
      </c>
      <c r="BK33" s="206" t="n">
        <f aca="false" t="array" ref="BK33:BK33">IF(TblConstr[[#This Row],[Hour]:[Hour]]&gt;12,OFFSET(TblConstr[[#This Row],[Shr]],-12,0),0)+OFFSET(TblConstr[[#This Row],[Tot Shr]],-1,0)-TblConstr[[#This Row],[Dest Shr]]</f>
        <v>0</v>
      </c>
      <c r="BL33" s="207" t="n">
        <f aca="false" t="array" ref="BL33:BL33">IF(TblConstr[[#This Row],[Hour]:[Hour]]&gt;12,OFFSET(TblConstr[[#This Row],[Tow]],-12,0),0)+OFFSET(TblConstr[[#This Row],[Tot Tow]],-1,0)-TblConstr[[#This Row],[Dest Tow]]</f>
        <v>18</v>
      </c>
      <c r="BM33" s="207" t="n">
        <f aca="false" t="array" ref="BM33:BM33">IF(TblConstr[[#This Row],[Hour]:[Hour]]&gt;12,OFFSET(TblConstr[[#This Row],[Tem]],-12,0),0)+OFFSET(TblConstr[[#This Row],[Tot Tem]],-1,0)-TblConstr[[#This Row],[Dest Tem]]</f>
        <v>47</v>
      </c>
      <c r="BN33" s="207" t="n">
        <f aca="false" t="array" ref="BN33:BN33">IF(TblConstr[[#This Row],[Hour]:[Hour]]&gt;12,OFFSET(TblConstr[[#This Row],[WG]],-12,0),0)+OFFSET(TblConstr[[#This Row],[Tot WG]],-1,0)-TblConstr[[#This Row],[Dest WG]]</f>
        <v>0</v>
      </c>
      <c r="BO33" s="208" t="n">
        <f aca="false" t="array" ref="BO33:BO33">IF(TblConstr[[#This Row],[Hour]:[Hour]]&gt;12,OFFSET(TblConstr[[#This Row],[DM]],-12,0),0)+OFFSET(TblConstr[[#This Row],[Tot DM]],-1,0)-TblConstr[[#This Row],[Dest DM]]</f>
        <v>0</v>
      </c>
      <c r="BP33" s="208" t="n">
        <f aca="false" t="array" ref="BP33:BP33">IF(TblConstr[[#This Row],[Hour]:[Hour]]&gt;12,OFFSET(TblConstr[[#This Row],[Sch]],-12,0),0)+OFFSET(TblConstr[[#This Row],[Tot Sch]],-1,0)-TblConstr[[#This Row],[Dest Sch]]</f>
        <v>0</v>
      </c>
      <c r="BQ33" s="209" t="n">
        <f aca="false" t="array" ref="BQ33:BQ33">IF(TblConstr[[#This Row],[Hour]:[Hour]]&gt;12,OFFSET(TblConstr[[#This Row],[Doc]],-12,0),0)+OFFSET(TblConstr[[#This Row],[Tot Doc]],-1,0)-TblConstr[[#This Row],[Dest Doc]]</f>
        <v>5</v>
      </c>
      <c r="BR33" s="132"/>
      <c r="BS33" s="146"/>
      <c r="BT33" s="69" t="n">
        <f aca="false">TblConstr[[#This Row],[Land]]</f>
        <v>369</v>
      </c>
      <c r="BU33" s="153" t="n">
        <f aca="false">TblImps[[#This Row],[Time]]</f>
        <v>45430.9583333333</v>
      </c>
      <c r="BV33" s="132"/>
      <c r="BW33" s="182"/>
      <c r="BX33" s="182"/>
      <c r="BY33" s="182"/>
      <c r="BZ33" s="182"/>
      <c r="CA33" s="182"/>
      <c r="CB33" s="182"/>
      <c r="CC33" s="182"/>
      <c r="CD33" s="182"/>
      <c r="CE33" s="182"/>
      <c r="CF33" s="182"/>
      <c r="CG33" s="182"/>
      <c r="CH33" s="182"/>
      <c r="CI33" s="182"/>
      <c r="CJ33" s="182"/>
      <c r="CK33" s="182"/>
      <c r="CL33" s="182"/>
      <c r="CM33" s="182"/>
      <c r="CN33" s="182"/>
      <c r="CO33" s="182"/>
      <c r="CP33" s="132"/>
      <c r="CQ33" s="192" t="n">
        <f aca="false">-SUM(TblConstr[[#This Row],[Alc]:[Mas]])+SUM(TblConstr[[#This Row],[Dest Alc]:[Dest Mas]])+Rezone!L33+IF("Ch_"&amp; home_land=TblConstr[[#Headers],[Ch_Plain]],TblConstr[[#This Row],[Home Land]])+IF(TblConstr[[#This Row],[Hour]:[Hour]]&gt;12,OFFSET(TblExplore[[#This Row],[Plains Explore]],-12,0),0)</f>
        <v>0</v>
      </c>
      <c r="CR33" s="193" t="n">
        <f aca="false">-SUM(TblConstr[[#This Row],[Ly]:[Hav]])+SUM(TblConstr[[#This Row],[Dest Ly]:[Dest Hav]]) +Rezone!M33 + IF("Ch_"&amp; home_land=TblConstr[[#Headers],[Ch_Forest]],TblConstr[[#This Row],[Home Land]])+IF(TblConstr[[#This Row],[Hour]:[Hour]]&gt;12,OFFSET(TblExplore[[#This Row],[Forest Explore]],-12,0),0)</f>
        <v>0</v>
      </c>
      <c r="CS33" s="200" t="n">
        <f aca="false">-SUM(TblConstr[[#This Row],[OM]:[GN]])+SUM(TblConstr[[#This Row],[Dest OM]:[Dest GN]]) +Rezone!N33 + IF("Ch_"&amp; home_land=TblConstr[[#Headers],[Ch_Mountain]],TblConstr[[#This Row],[Home Land]])+IF(TblConstr[[#This Row],[Hour]:[Hour]]&gt;12,OFFSET(TblExplore[[#This Row],[Mountain Explore]],-12,0),0)</f>
        <v>0</v>
      </c>
      <c r="CT33" s="195" t="n">
        <f aca="false">-SUM(TblConstr[[#This Row],[Fac]:[Shr]])+SUM(TblConstr[[#This Row],[Dest Fac]:[Dest Shr]]) +Rezone!O33 + IF("Ch_" &amp; home_land=TblConstr[[#Headers],[Ch_Hill]],TblConstr[[#This Row],[Home Land]])+IF(TblConstr[[#This Row],[Hour]:[Hour]]&gt;12,OFFSET(TblExplore[[#This Row],[Hill Explore]],-12,0),0)</f>
        <v>0</v>
      </c>
      <c r="CU33" s="196" t="n">
        <f aca="false">-SUM(TblConstr[[#This Row],[Tow]:[WG]])+SUM(TblConstr[[#This Row],[Dest Tow]:[Dest WG]]) +Rezone!P33 + IF("Ch_" &amp; home_land=TblConstr[[#Headers],[Ch_Swamp]],TblConstr[[#This Row],[Home Land]])+IF(TblConstr[[#This Row],[Hour]:[Hour]]&gt;12,OFFSET(TblExplore[[#This Row],[Swamp Explore]],-12,0),0)</f>
        <v>0</v>
      </c>
      <c r="CV33" s="197" t="n">
        <f aca="false">- SUM(TblConstr[[#This Row],[DM]:[Sch]])+SUM(TblConstr[[#This Row],[Dest DM]:[Dest Sch]]) +Rezone!Q33 + IF("Ch_" &amp; home_land=TblConstr[[#Headers],[Ch_Cavern]],TblConstr[[#This Row],[Home Land]])+IF(TblConstr[[#This Row],[Hour]:[Hour]]&gt;12,OFFSET(TblExplore[[#This Row],[Cavern Explore]],-12,0),0)</f>
        <v>0</v>
      </c>
      <c r="CW33" s="198" t="n">
        <f aca="false">-TblConstr[[#This Row],[Doc]]+TblConstr[[#This Row],[Dest Doc]] +Rezone!R33 + IF("Ch_" &amp; home_land=TblConstr[[#Headers],[Ch_Water]],TblConstr[[#This Row],[Home Land]])+IF(TblConstr[[#This Row],[Hour]:[Hour]]&gt;12,OFFSET(TblExplore[[#This Row],[Water Explore]],-12,0),0)</f>
        <v>0</v>
      </c>
      <c r="CX33" s="1" t="n">
        <f aca="false">IF(Explore!S33=1,20) - TblConstr[[#This Row],[Hom]] + TblConstr[[#This Row],[Dest Hom]]</f>
        <v>0</v>
      </c>
      <c r="CY33" s="132"/>
      <c r="CZ33" s="69" t="n">
        <f aca="false">G33+SUM(P22:S33)+SUM(AZ33:BC33)</f>
        <v>217</v>
      </c>
      <c r="DA33" s="69" t="n">
        <f aca="false">H33+SUM(T22:U33)+SUM(BD33:BE33)</f>
        <v>25</v>
      </c>
      <c r="DB33" s="1" t="n">
        <f aca="false">I33+SUM(V22:W33)+SUM(BF33:BG33)</f>
        <v>0</v>
      </c>
      <c r="DC33" s="69" t="n">
        <f aca="false">J33+SUM(X22:Y33)+SUM(BH33:BI33)</f>
        <v>52</v>
      </c>
      <c r="DD33" s="69" t="n">
        <f aca="false">K33+SUM(AB22:AD33)+SUM(BL33:BN33)</f>
        <v>65</v>
      </c>
      <c r="DE33" s="1" t="n">
        <f aca="false">L33+SUM(AE22:AE33)+BO33</f>
        <v>0</v>
      </c>
      <c r="DF33" s="69" t="n">
        <f aca="false">M33+SUM(AG22:AG33)+BQ33</f>
        <v>10</v>
      </c>
      <c r="DG33" s="69" t="e">
        <f aca="false" t="array" ref="DG33:DG33">INDEX(TblConstr[[Total Plain]:[Total Water]],ROW()-ROW(TblConstr[#headers]),MATCH("Total "&amp;home_land,TblConstr[[#Headers],[Total Plain]:[Total Water]],0))+TblConstr[[#This Row],[Homes]]</f>
        <v>#VALUE!</v>
      </c>
      <c r="DH33" s="1" t="n">
        <f aca="false">SUM(O22:O33)+AY33</f>
        <v>0</v>
      </c>
      <c r="DI33" s="1" t="n">
        <f aca="false">MAX(BA33-BA32,0)</f>
        <v>1</v>
      </c>
      <c r="DJ33" s="1" t="n">
        <f aca="false">MAX(BQ33-BQ32,0)</f>
        <v>0</v>
      </c>
    </row>
    <row r="34" customFormat="false" ht="12.75" hidden="false" customHeight="false" outlineLevel="0" collapsed="false">
      <c r="A34" s="170" t="n">
        <f aca="false">TblRezone[[#This Row],[Hour]]</f>
        <v>31</v>
      </c>
      <c r="B34" s="171" t="n">
        <f aca="false">SUM(TblConstr[[#This Row],[Plain]:[Water]])</f>
        <v>0</v>
      </c>
      <c r="C34" s="172" t="n">
        <f aca="false">SUM(TblConstr[[#This Row],[Tot Hom]:[Tot Doc]])</f>
        <v>275</v>
      </c>
      <c r="D34" s="172" t="n">
        <f aca="false">SUM(O23:AG34)</f>
        <v>105</v>
      </c>
      <c r="E34" s="173"/>
      <c r="F34" s="33" t="n">
        <f aca="false">TblConstr[[#This Row],[Barren]]+TblConstr[[#This Row],[Buildings]]+TblConstr[[#This Row],[Incoming]]</f>
        <v>380</v>
      </c>
      <c r="G34" s="199" t="n">
        <f aca="false">OFFSET(TblConstr[[#This Row],[Plain]],-1,0)+TblConstr[[#This Row],[Ch_Plain]]</f>
        <v>0</v>
      </c>
      <c r="H34" s="193" t="n">
        <f aca="false">OFFSET(TblConstr[[#This Row],[Forest]],-1,0)+TblConstr[[#This Row],[Ch_Forest]]</f>
        <v>0</v>
      </c>
      <c r="I34" s="200" t="n">
        <f aca="false">OFFSET(TblConstr[[#This Row],[Mountain]],-1,0)+TblConstr[[#This Row],[Ch_Mountain]]</f>
        <v>0</v>
      </c>
      <c r="J34" s="201" t="n">
        <f aca="false">OFFSET(TblConstr[[#This Row],[Hill]],-1,0)+TblConstr[[#This Row],[Ch_Hill]]</f>
        <v>0</v>
      </c>
      <c r="K34" s="202" t="n">
        <f aca="false">OFFSET(TblConstr[[#This Row],[Swamp]],-1,0)+TblConstr[[#This Row],[Ch_Swamp]]</f>
        <v>0</v>
      </c>
      <c r="L34" s="197" t="n">
        <f aca="false">OFFSET(TblConstr[[#This Row],[Cavern]],-1,0)+TblConstr[[#This Row],[Ch_Cavern]]</f>
        <v>0</v>
      </c>
      <c r="M34" s="198" t="n">
        <f aca="false">OFFSET(TblConstr[[#This Row],[Water]],-1,0)+TblConstr[[#This Row],[Ch_Water]]</f>
        <v>0</v>
      </c>
      <c r="N34" s="181" t="n">
        <f aca="false">TblRezone[[#This Row],[Hour]]</f>
        <v>31</v>
      </c>
      <c r="O34" s="182"/>
      <c r="P34" s="152" t="n">
        <v>10</v>
      </c>
      <c r="Q34" s="182"/>
      <c r="R34" s="182"/>
      <c r="S34" s="182"/>
      <c r="T34" s="182"/>
      <c r="U34" s="182"/>
      <c r="V34" s="182"/>
      <c r="W34" s="182"/>
      <c r="X34" s="182" t="n">
        <v>1</v>
      </c>
      <c r="Y34" s="182"/>
      <c r="Z34" s="182"/>
      <c r="AA34" s="182"/>
      <c r="AB34" s="182"/>
      <c r="AC34" s="182"/>
      <c r="AD34" s="182"/>
      <c r="AE34" s="182"/>
      <c r="AF34" s="182"/>
      <c r="AG34" s="182"/>
      <c r="AH34" s="20" t="n">
        <f aca="false">TblImps[[#This Row],[Time]]</f>
        <v>45431</v>
      </c>
      <c r="AI34" s="130" t="n">
        <f aca="false">MIN(25%,(TblConstr[[#This Row],[Tot Fac]]+TblConstr[[#This Row],[Dest Fac]])/(TblConstr[[#This Row],[Land]]-TblExplore[[#This Row],[Land Bonus]]*20))</f>
        <v>0.102631578947368</v>
      </c>
      <c r="AJ34" s="130" t="n">
        <f aca="false">MIN(25%,(TblConstr[[#This Row],[Tot Fac]]+TblConstr[[#This Row],[Dest Fac]])/TblConstr[[#This Row],[Land]])</f>
        <v>0.102631578947368</v>
      </c>
      <c r="AK34" s="69" t="n">
        <f aca="false">TblProd[[#This Row],[Platinum]]</f>
        <v>26412</v>
      </c>
      <c r="AL34" s="69" t="n">
        <f aca="false">TblProd[[#This Row],[Lumber]]</f>
        <v>8005</v>
      </c>
      <c r="AM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405</v>
      </c>
      <c r="AN34" s="69" t="n">
        <f aca="false">ROUNDDOWN( MAX(1 - MIN(facs_constr_factor*TblConstr[[#This Row],[Facs -DB]],facs_constr_max) + tech_1_11*TblTech[[#This Row],[11-1]] + tech_6_3_2*TblTech[[#This Row],[6-3]] + tech_5_2_3*TblTech[[#This Row],[5-2]], 1-global_constr_cap) * TblConstr[[#This Row],[RCPA Lumber]],0)</f>
        <v>62</v>
      </c>
      <c r="AO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405</v>
      </c>
      <c r="AP34" s="69" t="n">
        <f aca="false">ROUNDDOWN( MAX(1 - MIN(facs_constr_factor*TblConstr[[#This Row],[Facs DB]],facs_constr_max) + tech_1_11*TblTech[[#This Row],[1-11]] + tech_6_3_2*TblTech[[#This Row],[6-3]] + tech_5_2_3*TblTech[[#This Row],[5-2]], 1-global_constr_cap) * ROUND((TblConstr[[#This Row],[Land]]-250)*0.285 + 87.5 + 0/4.25,0),0)</f>
        <v>62</v>
      </c>
      <c r="AQ34" s="1" t="n">
        <f aca="false">TblConstr[[#This Row],[build -db]]*TblConstr[[#This Row],[CPA Platinum -DB]] + TblConstr[[#This Row],[build db]]*TblConstr[[#This Row],[CPA Platinum DB]]</f>
        <v>4455</v>
      </c>
      <c r="AR34" s="1" t="n">
        <f aca="false">TblConstr[[#This Row],[build -db]]*TblConstr[[#This Row],[CPA Lumber -DB]]+TblConstr[[#This Row],[build db]]*TblConstr[[#This Row],[CPA Lumber DB]]</f>
        <v>682</v>
      </c>
      <c r="AS34" s="69" t="n">
        <f aca="false">MIN(SUM(OFFSET(TblConstr[[#This Row],[Plain]:[Water]],-1,0))+SUM(TblConstr[[#This Row],[Dest Hom]:[Dest Doc]])+IF(TblConstr[[#This Row],[Hour]]&gt;12,SUM(OFFSET(TblExplore[[#This Row],[Plains Explore]:[Water Explore]],-12,0)),0),SUM(TblConstr[[#This Row],[Hom]:[Doc]]))</f>
        <v>11</v>
      </c>
      <c r="AT3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32"/>
      <c r="AV34" s="69" t="n">
        <f aca="false">ROUND((TblConstr[[#This Row],[Land]]-250 - IF(TblExplore[[#This Row],[Land Bonus]]&lt;&gt;0,20,0))*1.25 + 850 + 0,0)</f>
        <v>1013</v>
      </c>
      <c r="AW34" s="69" t="n">
        <f aca="false">ROUND((TblConstr[[#This Row],[Land]]-250 - IF(TblExplore[[#This Row],[Land Bonus]]&lt;&gt;0,20,0))*0.285 + 87.5 + 0/4.25,0)</f>
        <v>125</v>
      </c>
      <c r="AX34" s="146"/>
      <c r="AY34" s="203" t="n">
        <f aca="false" t="array" ref="AY34:AY34">IF(TblConstr[[#This Row],[Hour]:[Hour]]&gt;12,OFFSET(TblConstr[[#This Row],[Hom]],-12,0),0)+OFFSET(TblConstr[[#This Row],[Tot Hom]],-1,0)-TblConstr[[#This Row],[Dest Hom]]</f>
        <v>0</v>
      </c>
      <c r="AZ34" s="204" t="n">
        <f aca="false" t="array" ref="AZ34:AZ34">IF(TblConstr[[#This Row],[Hour]:[Hour]]&gt;12,OFFSET(TblConstr[[#This Row],[Alc]],-12,0),0)+OFFSET(TblConstr[[#This Row],[Tot Alc]],-1,0)-TblConstr[[#This Row],[Dest Alc]]</f>
        <v>137</v>
      </c>
      <c r="BA34" s="204" t="n">
        <f aca="false" t="array" ref="BA34:BA34">IF(TblConstr[[#This Row],[Hour]:[Hour]]&gt;12,OFFSET(TblConstr[[#This Row],[Far]],-12,0),0)+OFFSET(TblConstr[[#This Row],[Tot Farm]],-1,0)-TblConstr[[#This Row],[Dest Farm]]</f>
        <v>6</v>
      </c>
      <c r="BB34" s="204" t="n">
        <f aca="false" t="array" ref="BB34:BB34">IF(TblConstr[[#This Row],[Hour]:[Hour]]&gt;12,OFFSET(TblConstr[[#This Row],[Smi]],-12,0),0)+OFFSET(TblConstr[[#This Row],[Tot Smi]],-1,0)-TblConstr[[#This Row],[Dest Smi]]</f>
        <v>0</v>
      </c>
      <c r="BC34" s="204" t="n">
        <f aca="false" t="array" ref="BC34:BC34">IF(TblConstr[[#This Row],[Hour]:[Hour]]&gt;12,OFFSET(TblConstr[[#This Row],[Mas]],-12,0),0)+OFFSET(TblConstr[[#This Row],[Tot Mas]],-1,0)-TblConstr[[#This Row],[Dest Mas]]</f>
        <v>0</v>
      </c>
      <c r="BD34" s="205" t="n">
        <f aca="false" t="array" ref="BD34:BD34">IF(TblConstr[[#This Row],[Hour]:[Hour]]&gt;12,OFFSET(TblConstr[[#This Row],[Ly]],-12,0),0)+OFFSET(TblConstr[[#This Row],[Tot Ly]],-1,0)-TblConstr[[#This Row],[Dest Ly]]</f>
        <v>23</v>
      </c>
      <c r="BE34" s="205" t="n">
        <f aca="false" t="array" ref="BE34:BE34">IF(TblConstr[[#This Row],[Hour]:[Hour]]&gt;12,OFFSET(TblConstr[[#This Row],[Hav]],-12,0),0)+OFFSET(TblConstr[[#This Row],[Tot Hav]],-1,0)-TblConstr[[#This Row],[Dest Hav]]</f>
        <v>0</v>
      </c>
      <c r="BF34" s="194" t="n">
        <f aca="false" t="array" ref="BF34:BF34">IF(TblConstr[[#This Row],[Hour]:[Hour]]&gt;12,OFFSET(TblConstr[[#This Row],[OM]],-12,0),0)+OFFSET(TblConstr[[#This Row],[Tot OM]],-1,0)-TblConstr[[#This Row],[Dest OM]]</f>
        <v>0</v>
      </c>
      <c r="BG34" s="194" t="n">
        <f aca="false" t="array" ref="BG34:BG34">IF(TblConstr[[#This Row],[Hour]:[Hour]]&gt;12,OFFSET(TblConstr[[#This Row],[GN]],-12,0),0)+OFFSET(TblConstr[[#This Row],[Tot GN]],-1,0)-TblConstr[[#This Row],[Dest GN]]</f>
        <v>0</v>
      </c>
      <c r="BH34" s="206" t="n">
        <f aca="false" t="array" ref="BH34:BH34">IF(TblConstr[[#This Row],[Hour]:[Hour]]&gt;12,OFFSET(TblConstr[[#This Row],[Fac]],-12,0),0)+OFFSET(TblConstr[[#This Row],[Tot Fac]],-1,0)-TblConstr[[#This Row],[Dest Fac]]</f>
        <v>39</v>
      </c>
      <c r="BI34" s="206" t="n">
        <f aca="false" t="array" ref="BI34:BI34">IF(TblConstr[[#This Row],[Hour]:[Hour]]&gt;12,OFFSET(TblConstr[[#This Row],[GT]],-12,0),0)+OFFSET(TblConstr[[#This Row],[Tot GT]],-1,0)-TblConstr[[#This Row],[Dest GT]]</f>
        <v>0</v>
      </c>
      <c r="BJ34" s="206" t="n">
        <f aca="false" t="array" ref="BJ34:BJ34">IF(TblConstr[[#This Row],[Hour]:[Hour]]&gt;12,OFFSET(TblConstr[[#This Row],[Bar]],-12,0),0)+OFFSET(TblConstr[[#This Row],[Tot Bar]],-1,0)-TblConstr[[#This Row],[Dest Bar]]</f>
        <v>0</v>
      </c>
      <c r="BK34" s="206" t="n">
        <f aca="false" t="array" ref="BK34:BK34">IF(TblConstr[[#This Row],[Hour]:[Hour]]&gt;12,OFFSET(TblConstr[[#This Row],[Shr]],-12,0),0)+OFFSET(TblConstr[[#This Row],[Tot Shr]],-1,0)-TblConstr[[#This Row],[Dest Shr]]</f>
        <v>0</v>
      </c>
      <c r="BL34" s="207" t="n">
        <f aca="false" t="array" ref="BL34:BL34">IF(TblConstr[[#This Row],[Hour]:[Hour]]&gt;12,OFFSET(TblConstr[[#This Row],[Tow]],-12,0),0)+OFFSET(TblConstr[[#This Row],[Tot Tow]],-1,0)-TblConstr[[#This Row],[Dest Tow]]</f>
        <v>18</v>
      </c>
      <c r="BM34" s="207" t="n">
        <f aca="false" t="array" ref="BM34:BM34">IF(TblConstr[[#This Row],[Hour]:[Hour]]&gt;12,OFFSET(TblConstr[[#This Row],[Tem]],-12,0),0)+OFFSET(TblConstr[[#This Row],[Tot Tem]],-1,0)-TblConstr[[#This Row],[Dest Tem]]</f>
        <v>47</v>
      </c>
      <c r="BN34" s="207" t="n">
        <f aca="false" t="array" ref="BN34:BN34">IF(TblConstr[[#This Row],[Hour]:[Hour]]&gt;12,OFFSET(TblConstr[[#This Row],[WG]],-12,0),0)+OFFSET(TblConstr[[#This Row],[Tot WG]],-1,0)-TblConstr[[#This Row],[Dest WG]]</f>
        <v>0</v>
      </c>
      <c r="BO34" s="208" t="n">
        <f aca="false" t="array" ref="BO34:BO34">IF(TblConstr[[#This Row],[Hour]:[Hour]]&gt;12,OFFSET(TblConstr[[#This Row],[DM]],-12,0),0)+OFFSET(TblConstr[[#This Row],[Tot DM]],-1,0)-TblConstr[[#This Row],[Dest DM]]</f>
        <v>0</v>
      </c>
      <c r="BP34" s="208" t="n">
        <f aca="false" t="array" ref="BP34:BP34">IF(TblConstr[[#This Row],[Hour]:[Hour]]&gt;12,OFFSET(TblConstr[[#This Row],[Sch]],-12,0),0)+OFFSET(TblConstr[[#This Row],[Tot Sch]],-1,0)-TblConstr[[#This Row],[Dest Sch]]</f>
        <v>0</v>
      </c>
      <c r="BQ34" s="209" t="n">
        <f aca="false" t="array" ref="BQ34:BQ34">IF(TblConstr[[#This Row],[Hour]:[Hour]]&gt;12,OFFSET(TblConstr[[#This Row],[Doc]],-12,0),0)+OFFSET(TblConstr[[#This Row],[Tot Doc]],-1,0)-TblConstr[[#This Row],[Dest Doc]]</f>
        <v>5</v>
      </c>
      <c r="BR34" s="132"/>
      <c r="BS34" s="146"/>
      <c r="BT34" s="69" t="n">
        <f aca="false">TblConstr[[#This Row],[Land]]</f>
        <v>380</v>
      </c>
      <c r="BU34" s="153" t="n">
        <f aca="false">TblImps[[#This Row],[Time]]</f>
        <v>45431</v>
      </c>
      <c r="BV34" s="132"/>
      <c r="BW34" s="182"/>
      <c r="BX34" s="182"/>
      <c r="BY34" s="182"/>
      <c r="BZ34" s="182"/>
      <c r="CA34" s="182"/>
      <c r="CB34" s="182"/>
      <c r="CC34" s="182"/>
      <c r="CD34" s="182"/>
      <c r="CE34" s="182"/>
      <c r="CF34" s="182"/>
      <c r="CG34" s="182"/>
      <c r="CH34" s="182"/>
      <c r="CI34" s="182"/>
      <c r="CJ34" s="182"/>
      <c r="CK34" s="182"/>
      <c r="CL34" s="182"/>
      <c r="CM34" s="182"/>
      <c r="CN34" s="182"/>
      <c r="CO34" s="182"/>
      <c r="CP34" s="132"/>
      <c r="CQ34" s="192" t="n">
        <f aca="false">-SUM(TblConstr[[#This Row],[Alc]:[Mas]])+SUM(TblConstr[[#This Row],[Dest Alc]:[Dest Mas]])+Rezone!L34+IF("Ch_"&amp; home_land=TblConstr[[#Headers],[Ch_Plain]],TblConstr[[#This Row],[Home Land]])+IF(TblConstr[[#This Row],[Hour]:[Hour]]&gt;12,OFFSET(TblExplore[[#This Row],[Plains Explore]],-12,0),0)</f>
        <v>0</v>
      </c>
      <c r="CR34" s="193" t="n">
        <f aca="false">-SUM(TblConstr[[#This Row],[Ly]:[Hav]])+SUM(TblConstr[[#This Row],[Dest Ly]:[Dest Hav]]) +Rezone!M34 + IF("Ch_"&amp; home_land=TblConstr[[#Headers],[Ch_Forest]],TblConstr[[#This Row],[Home Land]])+IF(TblConstr[[#This Row],[Hour]:[Hour]]&gt;12,OFFSET(TblExplore[[#This Row],[Forest Explore]],-12,0),0)</f>
        <v>0</v>
      </c>
      <c r="CS34" s="200" t="n">
        <f aca="false">-SUM(TblConstr[[#This Row],[OM]:[GN]])+SUM(TblConstr[[#This Row],[Dest OM]:[Dest GN]]) +Rezone!N34 + IF("Ch_"&amp; home_land=TblConstr[[#Headers],[Ch_Mountain]],TblConstr[[#This Row],[Home Land]])+IF(TblConstr[[#This Row],[Hour]:[Hour]]&gt;12,OFFSET(TblExplore[[#This Row],[Mountain Explore]],-12,0),0)</f>
        <v>0</v>
      </c>
      <c r="CT34" s="195" t="n">
        <f aca="false">-SUM(TblConstr[[#This Row],[Fac]:[Shr]])+SUM(TblConstr[[#This Row],[Dest Fac]:[Dest Shr]]) +Rezone!O34 + IF("Ch_" &amp; home_land=TblConstr[[#Headers],[Ch_Hill]],TblConstr[[#This Row],[Home Land]])+IF(TblConstr[[#This Row],[Hour]:[Hour]]&gt;12,OFFSET(TblExplore[[#This Row],[Hill Explore]],-12,0),0)</f>
        <v>0</v>
      </c>
      <c r="CU34" s="196" t="n">
        <f aca="false">-SUM(TblConstr[[#This Row],[Tow]:[WG]])+SUM(TblConstr[[#This Row],[Dest Tow]:[Dest WG]]) +Rezone!P34 + IF("Ch_" &amp; home_land=TblConstr[[#Headers],[Ch_Swamp]],TblConstr[[#This Row],[Home Land]])+IF(TblConstr[[#This Row],[Hour]:[Hour]]&gt;12,OFFSET(TblExplore[[#This Row],[Swamp Explore]],-12,0),0)</f>
        <v>0</v>
      </c>
      <c r="CV34" s="197" t="n">
        <f aca="false">- SUM(TblConstr[[#This Row],[DM]:[Sch]])+SUM(TblConstr[[#This Row],[Dest DM]:[Dest Sch]]) +Rezone!Q34 + IF("Ch_" &amp; home_land=TblConstr[[#Headers],[Ch_Cavern]],TblConstr[[#This Row],[Home Land]])+IF(TblConstr[[#This Row],[Hour]:[Hour]]&gt;12,OFFSET(TblExplore[[#This Row],[Cavern Explore]],-12,0),0)</f>
        <v>0</v>
      </c>
      <c r="CW34" s="198" t="n">
        <f aca="false">-TblConstr[[#This Row],[Doc]]+TblConstr[[#This Row],[Dest Doc]] +Rezone!R34 + IF("Ch_" &amp; home_land=TblConstr[[#Headers],[Ch_Water]],TblConstr[[#This Row],[Home Land]])+IF(TblConstr[[#This Row],[Hour]:[Hour]]&gt;12,OFFSET(TblExplore[[#This Row],[Water Explore]],-12,0),0)</f>
        <v>0</v>
      </c>
      <c r="CX34" s="1" t="n">
        <f aca="false">IF(Explore!S34=1,20) - TblConstr[[#This Row],[Hom]] + TblConstr[[#This Row],[Dest Hom]]</f>
        <v>0</v>
      </c>
      <c r="CY34" s="132"/>
      <c r="CZ34" s="69" t="n">
        <f aca="false">G34+SUM(P23:S34)+SUM(AZ34:BC34)</f>
        <v>227</v>
      </c>
      <c r="DA34" s="69" t="n">
        <f aca="false">H34+SUM(T23:U34)+SUM(BD34:BE34)</f>
        <v>25</v>
      </c>
      <c r="DB34" s="1" t="n">
        <f aca="false">I34+SUM(V23:W34)+SUM(BF34:BG34)</f>
        <v>0</v>
      </c>
      <c r="DC34" s="69" t="n">
        <f aca="false">J34+SUM(X23:Y34)+SUM(BH34:BI34)</f>
        <v>53</v>
      </c>
      <c r="DD34" s="69" t="n">
        <f aca="false">K34+SUM(AB23:AD34)+SUM(BL34:BN34)</f>
        <v>65</v>
      </c>
      <c r="DE34" s="1" t="n">
        <f aca="false">L34+SUM(AE23:AE34)+BO34</f>
        <v>0</v>
      </c>
      <c r="DF34" s="69" t="n">
        <f aca="false">M34+SUM(AG23:AG34)+BQ34</f>
        <v>10</v>
      </c>
      <c r="DG34" s="69" t="e">
        <f aca="false" t="array" ref="DG34:DG34">INDEX(TblConstr[[Total Plain]:[Total Water]],ROW()-ROW(TblConstr[#headers]),MATCH("Total "&amp;home_land,TblConstr[[#Headers],[Total Plain]:[Total Water]],0))+TblConstr[[#This Row],[Homes]]</f>
        <v>#VALUE!</v>
      </c>
      <c r="DH34" s="1" t="n">
        <f aca="false">SUM(O23:O34)+AY34</f>
        <v>0</v>
      </c>
      <c r="DI34" s="1" t="n">
        <f aca="false">MAX(BA34-BA33,0)</f>
        <v>0</v>
      </c>
      <c r="DJ34" s="1" t="n">
        <f aca="false">MAX(BQ34-BQ33,0)</f>
        <v>0</v>
      </c>
    </row>
    <row r="35" customFormat="false" ht="12.75" hidden="false" customHeight="false" outlineLevel="0" collapsed="false">
      <c r="A35" s="170" t="n">
        <f aca="false">TblRezone[[#This Row],[Hour]]</f>
        <v>32</v>
      </c>
      <c r="B35" s="171" t="n">
        <f aca="false">SUM(TblConstr[[#This Row],[Plain]:[Water]])</f>
        <v>0</v>
      </c>
      <c r="C35" s="172" t="n">
        <f aca="false">SUM(TblConstr[[#This Row],[Tot Hom]:[Tot Doc]])</f>
        <v>276</v>
      </c>
      <c r="D35" s="172" t="n">
        <f aca="false">SUM(O24:AG35)</f>
        <v>116</v>
      </c>
      <c r="E35" s="173"/>
      <c r="F35" s="33" t="n">
        <f aca="false">TblConstr[[#This Row],[Barren]]+TblConstr[[#This Row],[Buildings]]+TblConstr[[#This Row],[Incoming]]</f>
        <v>392</v>
      </c>
      <c r="G35" s="199" t="n">
        <f aca="false">OFFSET(TblConstr[[#This Row],[Plain]],-1,0)+TblConstr[[#This Row],[Ch_Plain]]</f>
        <v>0</v>
      </c>
      <c r="H35" s="193" t="n">
        <f aca="false">OFFSET(TblConstr[[#This Row],[Forest]],-1,0)+TblConstr[[#This Row],[Ch_Forest]]</f>
        <v>0</v>
      </c>
      <c r="I35" s="200" t="n">
        <f aca="false">OFFSET(TblConstr[[#This Row],[Mountain]],-1,0)+TblConstr[[#This Row],[Ch_Mountain]]</f>
        <v>0</v>
      </c>
      <c r="J35" s="201" t="n">
        <f aca="false">OFFSET(TblConstr[[#This Row],[Hill]],-1,0)+TblConstr[[#This Row],[Ch_Hill]]</f>
        <v>0</v>
      </c>
      <c r="K35" s="202" t="n">
        <f aca="false">OFFSET(TblConstr[[#This Row],[Swamp]],-1,0)+TblConstr[[#This Row],[Ch_Swamp]]</f>
        <v>0</v>
      </c>
      <c r="L35" s="197" t="n">
        <f aca="false">OFFSET(TblConstr[[#This Row],[Cavern]],-1,0)+TblConstr[[#This Row],[Ch_Cavern]]</f>
        <v>0</v>
      </c>
      <c r="M35" s="198" t="n">
        <f aca="false">OFFSET(TblConstr[[#This Row],[Water]],-1,0)+TblConstr[[#This Row],[Ch_Water]]</f>
        <v>0</v>
      </c>
      <c r="N35" s="181" t="n">
        <f aca="false">TblRezone[[#This Row],[Hour]]</f>
        <v>32</v>
      </c>
      <c r="O35" s="182"/>
      <c r="P35" s="152" t="n">
        <v>10</v>
      </c>
      <c r="Q35" s="182"/>
      <c r="R35" s="182"/>
      <c r="S35" s="182"/>
      <c r="T35" s="182"/>
      <c r="U35" s="182"/>
      <c r="V35" s="182"/>
      <c r="W35" s="182"/>
      <c r="X35" s="152" t="n">
        <v>1</v>
      </c>
      <c r="Y35" s="182"/>
      <c r="Z35" s="182"/>
      <c r="AA35" s="182"/>
      <c r="AB35" s="182" t="n">
        <v>1</v>
      </c>
      <c r="AC35" s="182"/>
      <c r="AD35" s="182"/>
      <c r="AE35" s="182"/>
      <c r="AF35" s="182"/>
      <c r="AG35" s="182"/>
      <c r="AH35" s="20" t="n">
        <f aca="false">TblImps[[#This Row],[Time]]</f>
        <v>45431.0416666667</v>
      </c>
      <c r="AI35" s="130" t="n">
        <f aca="false">MIN(25%,(TblConstr[[#This Row],[Tot Fac]]+TblConstr[[#This Row],[Dest Fac]])/(TblConstr[[#This Row],[Land]]-TblExplore[[#This Row],[Land Bonus]]*20))</f>
        <v>0.102040816326531</v>
      </c>
      <c r="AJ35" s="130" t="n">
        <f aca="false">MIN(25%,(TblConstr[[#This Row],[Tot Fac]]+TblConstr[[#This Row],[Dest Fac]])/TblConstr[[#This Row],[Land]])</f>
        <v>0.102040816326531</v>
      </c>
      <c r="AK35" s="69" t="n">
        <f aca="false">TblProd[[#This Row],[Platinum]]</f>
        <v>31118</v>
      </c>
      <c r="AL35" s="69" t="n">
        <f aca="false">TblProd[[#This Row],[Lumber]]</f>
        <v>8192</v>
      </c>
      <c r="AM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411</v>
      </c>
      <c r="AN35" s="69" t="n">
        <f aca="false">ROUNDDOWN( MAX(1 - MIN(facs_constr_factor*TblConstr[[#This Row],[Facs -DB]],facs_constr_max) + tech_1_11*TblTech[[#This Row],[11-1]] + tech_6_3_2*TblTech[[#This Row],[6-3]] + tech_5_2_3*TblTech[[#This Row],[5-2]], 1-global_constr_cap) * TblConstr[[#This Row],[RCPA Lumber]],0)</f>
        <v>64</v>
      </c>
      <c r="AO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411</v>
      </c>
      <c r="AP35" s="69" t="n">
        <f aca="false">ROUNDDOWN( MAX(1 - MIN(facs_constr_factor*TblConstr[[#This Row],[Facs DB]],facs_constr_max) + tech_1_11*TblTech[[#This Row],[1-11]] + tech_6_3_2*TblTech[[#This Row],[6-3]] + tech_5_2_3*TblTech[[#This Row],[5-2]], 1-global_constr_cap) * ROUND((TblConstr[[#This Row],[Land]]-250)*0.285 + 87.5 + 0/4.25,0),0)</f>
        <v>64</v>
      </c>
      <c r="AQ35" s="1" t="n">
        <f aca="false">TblConstr[[#This Row],[build -db]]*TblConstr[[#This Row],[CPA Platinum -DB]] + TblConstr[[#This Row],[build db]]*TblConstr[[#This Row],[CPA Platinum DB]]</f>
        <v>4932</v>
      </c>
      <c r="AR35" s="1" t="n">
        <f aca="false">TblConstr[[#This Row],[build -db]]*TblConstr[[#This Row],[CPA Lumber -DB]]+TblConstr[[#This Row],[build db]]*TblConstr[[#This Row],[CPA Lumber DB]]</f>
        <v>768</v>
      </c>
      <c r="AS35" s="69" t="n">
        <f aca="false">MIN(SUM(OFFSET(TblConstr[[#This Row],[Plain]:[Water]],-1,0))+SUM(TblConstr[[#This Row],[Dest Hom]:[Dest Doc]])+IF(TblConstr[[#This Row],[Hour]]&gt;12,SUM(OFFSET(TblExplore[[#This Row],[Plains Explore]:[Water Explore]],-12,0)),0),SUM(TblConstr[[#This Row],[Hom]:[Doc]]))</f>
        <v>12</v>
      </c>
      <c r="AT3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32"/>
      <c r="AV35" s="69" t="n">
        <f aca="false">ROUND((TblConstr[[#This Row],[Land]]-250 - IF(TblExplore[[#This Row],[Land Bonus]]&lt;&gt;0,20,0))*1.25 + 850 + 0,0)</f>
        <v>1028</v>
      </c>
      <c r="AW35" s="69" t="n">
        <f aca="false">ROUND((TblConstr[[#This Row],[Land]]-250 - IF(TblExplore[[#This Row],[Land Bonus]]&lt;&gt;0,20,0))*0.285 + 87.5 + 0/4.25,0)</f>
        <v>128</v>
      </c>
      <c r="AX35" s="146"/>
      <c r="AY35" s="203" t="n">
        <f aca="false" t="array" ref="AY35:AY35">IF(TblConstr[[#This Row],[Hour]:[Hour]]&gt;12,OFFSET(TblConstr[[#This Row],[Hom]],-12,0),0)+OFFSET(TblConstr[[#This Row],[Tot Hom]],-1,0)-TblConstr[[#This Row],[Dest Hom]]</f>
        <v>0</v>
      </c>
      <c r="AZ35" s="204" t="n">
        <f aca="false" t="array" ref="AZ35:AZ35">IF(TblConstr[[#This Row],[Hour]:[Hour]]&gt;12,OFFSET(TblConstr[[#This Row],[Alc]],-12,0),0)+OFFSET(TblConstr[[#This Row],[Tot Alc]],-1,0)-TblConstr[[#This Row],[Dest Alc]]</f>
        <v>137</v>
      </c>
      <c r="BA35" s="204" t="n">
        <f aca="false" t="array" ref="BA35:BA35">IF(TblConstr[[#This Row],[Hour]:[Hour]]&gt;12,OFFSET(TblConstr[[#This Row],[Far]],-12,0),0)+OFFSET(TblConstr[[#This Row],[Tot Farm]],-1,0)-TblConstr[[#This Row],[Dest Farm]]</f>
        <v>6</v>
      </c>
      <c r="BB35" s="204" t="n">
        <f aca="false" t="array" ref="BB35:BB35">IF(TblConstr[[#This Row],[Hour]:[Hour]]&gt;12,OFFSET(TblConstr[[#This Row],[Smi]],-12,0),0)+OFFSET(TblConstr[[#This Row],[Tot Smi]],-1,0)-TblConstr[[#This Row],[Dest Smi]]</f>
        <v>0</v>
      </c>
      <c r="BC35" s="204" t="n">
        <f aca="false" t="array" ref="BC35:BC35">IF(TblConstr[[#This Row],[Hour]:[Hour]]&gt;12,OFFSET(TblConstr[[#This Row],[Mas]],-12,0),0)+OFFSET(TblConstr[[#This Row],[Tot Mas]],-1,0)-TblConstr[[#This Row],[Dest Mas]]</f>
        <v>0</v>
      </c>
      <c r="BD35" s="205" t="n">
        <f aca="false" t="array" ref="BD35:BD35">IF(TblConstr[[#This Row],[Hour]:[Hour]]&gt;12,OFFSET(TblConstr[[#This Row],[Ly]],-12,0),0)+OFFSET(TblConstr[[#This Row],[Tot Ly]],-1,0)-TblConstr[[#This Row],[Dest Ly]]</f>
        <v>23</v>
      </c>
      <c r="BE35" s="205" t="n">
        <f aca="false" t="array" ref="BE35:BE35">IF(TblConstr[[#This Row],[Hour]:[Hour]]&gt;12,OFFSET(TblConstr[[#This Row],[Hav]],-12,0),0)+OFFSET(TblConstr[[#This Row],[Tot Hav]],-1,0)-TblConstr[[#This Row],[Dest Hav]]</f>
        <v>0</v>
      </c>
      <c r="BF35" s="194" t="n">
        <f aca="false" t="array" ref="BF35:BF35">IF(TblConstr[[#This Row],[Hour]:[Hour]]&gt;12,OFFSET(TblConstr[[#This Row],[OM]],-12,0),0)+OFFSET(TblConstr[[#This Row],[Tot OM]],-1,0)-TblConstr[[#This Row],[Dest OM]]</f>
        <v>0</v>
      </c>
      <c r="BG35" s="194" t="n">
        <f aca="false" t="array" ref="BG35:BG35">IF(TblConstr[[#This Row],[Hour]:[Hour]]&gt;12,OFFSET(TblConstr[[#This Row],[GN]],-12,0),0)+OFFSET(TblConstr[[#This Row],[Tot GN]],-1,0)-TblConstr[[#This Row],[Dest GN]]</f>
        <v>0</v>
      </c>
      <c r="BH35" s="206" t="n">
        <f aca="false" t="array" ref="BH35:BH35">IF(TblConstr[[#This Row],[Hour]:[Hour]]&gt;12,OFFSET(TblConstr[[#This Row],[Fac]],-12,0),0)+OFFSET(TblConstr[[#This Row],[Tot Fac]],-1,0)-TblConstr[[#This Row],[Dest Fac]]</f>
        <v>40</v>
      </c>
      <c r="BI35" s="206" t="n">
        <f aca="false" t="array" ref="BI35:BI35">IF(TblConstr[[#This Row],[Hour]:[Hour]]&gt;12,OFFSET(TblConstr[[#This Row],[GT]],-12,0),0)+OFFSET(TblConstr[[#This Row],[Tot GT]],-1,0)-TblConstr[[#This Row],[Dest GT]]</f>
        <v>0</v>
      </c>
      <c r="BJ35" s="206" t="n">
        <f aca="false" t="array" ref="BJ35:BJ35">IF(TblConstr[[#This Row],[Hour]:[Hour]]&gt;12,OFFSET(TblConstr[[#This Row],[Bar]],-12,0),0)+OFFSET(TblConstr[[#This Row],[Tot Bar]],-1,0)-TblConstr[[#This Row],[Dest Bar]]</f>
        <v>0</v>
      </c>
      <c r="BK35" s="206" t="n">
        <f aca="false" t="array" ref="BK35:BK35">IF(TblConstr[[#This Row],[Hour]:[Hour]]&gt;12,OFFSET(TblConstr[[#This Row],[Shr]],-12,0),0)+OFFSET(TblConstr[[#This Row],[Tot Shr]],-1,0)-TblConstr[[#This Row],[Dest Shr]]</f>
        <v>0</v>
      </c>
      <c r="BL35" s="207" t="n">
        <f aca="false" t="array" ref="BL35:BL35">IF(TblConstr[[#This Row],[Hour]:[Hour]]&gt;12,OFFSET(TblConstr[[#This Row],[Tow]],-12,0),0)+OFFSET(TblConstr[[#This Row],[Tot Tow]],-1,0)-TblConstr[[#This Row],[Dest Tow]]</f>
        <v>18</v>
      </c>
      <c r="BM35" s="207" t="n">
        <f aca="false" t="array" ref="BM35:BM35">IF(TblConstr[[#This Row],[Hour]:[Hour]]&gt;12,OFFSET(TblConstr[[#This Row],[Tem]],-12,0),0)+OFFSET(TblConstr[[#This Row],[Tot Tem]],-1,0)-TblConstr[[#This Row],[Dest Tem]]</f>
        <v>47</v>
      </c>
      <c r="BN35" s="207" t="n">
        <f aca="false" t="array" ref="BN35:BN35">IF(TblConstr[[#This Row],[Hour]:[Hour]]&gt;12,OFFSET(TblConstr[[#This Row],[WG]],-12,0),0)+OFFSET(TblConstr[[#This Row],[Tot WG]],-1,0)-TblConstr[[#This Row],[Dest WG]]</f>
        <v>0</v>
      </c>
      <c r="BO35" s="208" t="n">
        <f aca="false" t="array" ref="BO35:BO35">IF(TblConstr[[#This Row],[Hour]:[Hour]]&gt;12,OFFSET(TblConstr[[#This Row],[DM]],-12,0),0)+OFFSET(TblConstr[[#This Row],[Tot DM]],-1,0)-TblConstr[[#This Row],[Dest DM]]</f>
        <v>0</v>
      </c>
      <c r="BP35" s="208" t="n">
        <f aca="false" t="array" ref="BP35:BP35">IF(TblConstr[[#This Row],[Hour]:[Hour]]&gt;12,OFFSET(TblConstr[[#This Row],[Sch]],-12,0),0)+OFFSET(TblConstr[[#This Row],[Tot Sch]],-1,0)-TblConstr[[#This Row],[Dest Sch]]</f>
        <v>0</v>
      </c>
      <c r="BQ35" s="209" t="n">
        <f aca="false" t="array" ref="BQ35:BQ35">IF(TblConstr[[#This Row],[Hour]:[Hour]]&gt;12,OFFSET(TblConstr[[#This Row],[Doc]],-12,0),0)+OFFSET(TblConstr[[#This Row],[Tot Doc]],-1,0)-TblConstr[[#This Row],[Dest Doc]]</f>
        <v>5</v>
      </c>
      <c r="BR35" s="132"/>
      <c r="BS35" s="146"/>
      <c r="BT35" s="69" t="n">
        <f aca="false">TblConstr[[#This Row],[Land]]</f>
        <v>392</v>
      </c>
      <c r="BU35" s="153" t="n">
        <f aca="false">TblImps[[#This Row],[Time]]</f>
        <v>45431.0416666667</v>
      </c>
      <c r="BV35" s="132"/>
      <c r="BW35" s="182"/>
      <c r="BX35" s="182"/>
      <c r="BY35" s="182"/>
      <c r="BZ35" s="182"/>
      <c r="CA35" s="182"/>
      <c r="CB35" s="182"/>
      <c r="CC35" s="182"/>
      <c r="CD35" s="182"/>
      <c r="CE35" s="182"/>
      <c r="CF35" s="182"/>
      <c r="CG35" s="182"/>
      <c r="CH35" s="182"/>
      <c r="CI35" s="182"/>
      <c r="CJ35" s="182"/>
      <c r="CK35" s="182"/>
      <c r="CL35" s="182"/>
      <c r="CM35" s="182"/>
      <c r="CN35" s="182"/>
      <c r="CO35" s="182"/>
      <c r="CP35" s="132"/>
      <c r="CQ35" s="192" t="n">
        <f aca="false">-SUM(TblConstr[[#This Row],[Alc]:[Mas]])+SUM(TblConstr[[#This Row],[Dest Alc]:[Dest Mas]])+Rezone!L35+IF("Ch_"&amp; home_land=TblConstr[[#Headers],[Ch_Plain]],TblConstr[[#This Row],[Home Land]])+IF(TblConstr[[#This Row],[Hour]:[Hour]]&gt;12,OFFSET(TblExplore[[#This Row],[Plains Explore]],-12,0),0)</f>
        <v>0</v>
      </c>
      <c r="CR35" s="193" t="n">
        <f aca="false">-SUM(TblConstr[[#This Row],[Ly]:[Hav]])+SUM(TblConstr[[#This Row],[Dest Ly]:[Dest Hav]]) +Rezone!M35 + IF("Ch_"&amp; home_land=TblConstr[[#Headers],[Ch_Forest]],TblConstr[[#This Row],[Home Land]])+IF(TblConstr[[#This Row],[Hour]:[Hour]]&gt;12,OFFSET(TblExplore[[#This Row],[Forest Explore]],-12,0),0)</f>
        <v>0</v>
      </c>
      <c r="CS35" s="200" t="n">
        <f aca="false">-SUM(TblConstr[[#This Row],[OM]:[GN]])+SUM(TblConstr[[#This Row],[Dest OM]:[Dest GN]]) +Rezone!N35 + IF("Ch_"&amp; home_land=TblConstr[[#Headers],[Ch_Mountain]],TblConstr[[#This Row],[Home Land]])+IF(TblConstr[[#This Row],[Hour]:[Hour]]&gt;12,OFFSET(TblExplore[[#This Row],[Mountain Explore]],-12,0),0)</f>
        <v>0</v>
      </c>
      <c r="CT35" s="195" t="n">
        <f aca="false">-SUM(TblConstr[[#This Row],[Fac]:[Shr]])+SUM(TblConstr[[#This Row],[Dest Fac]:[Dest Shr]]) +Rezone!O35 + IF("Ch_" &amp; home_land=TblConstr[[#Headers],[Ch_Hill]],TblConstr[[#This Row],[Home Land]])+IF(TblConstr[[#This Row],[Hour]:[Hour]]&gt;12,OFFSET(TblExplore[[#This Row],[Hill Explore]],-12,0),0)</f>
        <v>0</v>
      </c>
      <c r="CU35" s="196" t="n">
        <f aca="false">-SUM(TblConstr[[#This Row],[Tow]:[WG]])+SUM(TblConstr[[#This Row],[Dest Tow]:[Dest WG]]) +Rezone!P35 + IF("Ch_" &amp; home_land=TblConstr[[#Headers],[Ch_Swamp]],TblConstr[[#This Row],[Home Land]])+IF(TblConstr[[#This Row],[Hour]:[Hour]]&gt;12,OFFSET(TblExplore[[#This Row],[Swamp Explore]],-12,0),0)</f>
        <v>0</v>
      </c>
      <c r="CV35" s="197" t="n">
        <f aca="false">- SUM(TblConstr[[#This Row],[DM]:[Sch]])+SUM(TblConstr[[#This Row],[Dest DM]:[Dest Sch]]) +Rezone!Q35 + IF("Ch_" &amp; home_land=TblConstr[[#Headers],[Ch_Cavern]],TblConstr[[#This Row],[Home Land]])+IF(TblConstr[[#This Row],[Hour]:[Hour]]&gt;12,OFFSET(TblExplore[[#This Row],[Cavern Explore]],-12,0),0)</f>
        <v>0</v>
      </c>
      <c r="CW35" s="198" t="n">
        <f aca="false">-TblConstr[[#This Row],[Doc]]+TblConstr[[#This Row],[Dest Doc]] +Rezone!R35 + IF("Ch_" &amp; home_land=TblConstr[[#Headers],[Ch_Water]],TblConstr[[#This Row],[Home Land]])+IF(TblConstr[[#This Row],[Hour]:[Hour]]&gt;12,OFFSET(TblExplore[[#This Row],[Water Explore]],-12,0),0)</f>
        <v>0</v>
      </c>
      <c r="CX35" s="1" t="n">
        <f aca="false">IF(Explore!S35=1,20) - TblConstr[[#This Row],[Hom]] + TblConstr[[#This Row],[Dest Hom]]</f>
        <v>0</v>
      </c>
      <c r="CY35" s="132"/>
      <c r="CZ35" s="69" t="n">
        <f aca="false">G35+SUM(P24:S35)+SUM(AZ35:BC35)</f>
        <v>237</v>
      </c>
      <c r="DA35" s="69" t="n">
        <f aca="false">H35+SUM(T24:U35)+SUM(BD35:BE35)</f>
        <v>25</v>
      </c>
      <c r="DB35" s="1" t="n">
        <f aca="false">I35+SUM(V24:W35)+SUM(BF35:BG35)</f>
        <v>0</v>
      </c>
      <c r="DC35" s="69" t="n">
        <f aca="false">J35+SUM(X24:Y35)+SUM(BH35:BI35)</f>
        <v>54</v>
      </c>
      <c r="DD35" s="69" t="n">
        <f aca="false">K35+SUM(AB24:AD35)+SUM(BL35:BN35)</f>
        <v>66</v>
      </c>
      <c r="DE35" s="1" t="n">
        <f aca="false">L35+SUM(AE24:AE35)+BO35</f>
        <v>0</v>
      </c>
      <c r="DF35" s="69" t="n">
        <f aca="false">M35+SUM(AG24:AG35)+BQ35</f>
        <v>10</v>
      </c>
      <c r="DG35" s="69" t="e">
        <f aca="false" t="array" ref="DG35:DG35">INDEX(TblConstr[[Total Plain]:[Total Water]],ROW()-ROW(TblConstr[#headers]),MATCH("Total "&amp;home_land,TblConstr[[#Headers],[Total Plain]:[Total Water]],0))+TblConstr[[#This Row],[Homes]]</f>
        <v>#VALUE!</v>
      </c>
      <c r="DH35" s="1" t="n">
        <f aca="false">SUM(O24:O35)+AY35</f>
        <v>0</v>
      </c>
      <c r="DI35" s="1" t="n">
        <f aca="false">MAX(BA35-BA34,0)</f>
        <v>0</v>
      </c>
      <c r="DJ35" s="1" t="n">
        <f aca="false">MAX(BQ35-BQ34,0)</f>
        <v>0</v>
      </c>
    </row>
    <row r="36" customFormat="false" ht="12.75" hidden="false" customHeight="false" outlineLevel="0" collapsed="false">
      <c r="A36" s="170" t="n">
        <f aca="false">TblRezone[[#This Row],[Hour]]</f>
        <v>33</v>
      </c>
      <c r="B36" s="171" t="n">
        <f aca="false">SUM(TblConstr[[#This Row],[Plain]:[Water]])</f>
        <v>0</v>
      </c>
      <c r="C36" s="172" t="n">
        <f aca="false">SUM(TblConstr[[#This Row],[Tot Hom]:[Tot Doc]])</f>
        <v>277</v>
      </c>
      <c r="D36" s="172" t="n">
        <f aca="false">SUM(O25:AG36)</f>
        <v>127</v>
      </c>
      <c r="E36" s="173"/>
      <c r="F36" s="33" t="n">
        <f aca="false">TblConstr[[#This Row],[Barren]]+TblConstr[[#This Row],[Buildings]]+TblConstr[[#This Row],[Incoming]]</f>
        <v>404</v>
      </c>
      <c r="G36" s="199" t="n">
        <f aca="false">OFFSET(TblConstr[[#This Row],[Plain]],-1,0)+TblConstr[[#This Row],[Ch_Plain]]</f>
        <v>0</v>
      </c>
      <c r="H36" s="193" t="n">
        <f aca="false">OFFSET(TblConstr[[#This Row],[Forest]],-1,0)+TblConstr[[#This Row],[Ch_Forest]]</f>
        <v>0</v>
      </c>
      <c r="I36" s="200" t="n">
        <f aca="false">OFFSET(TblConstr[[#This Row],[Mountain]],-1,0)+TblConstr[[#This Row],[Ch_Mountain]]</f>
        <v>0</v>
      </c>
      <c r="J36" s="201" t="n">
        <f aca="false">OFFSET(TblConstr[[#This Row],[Hill]],-1,0)+TblConstr[[#This Row],[Ch_Hill]]</f>
        <v>0</v>
      </c>
      <c r="K36" s="202" t="n">
        <f aca="false">OFFSET(TblConstr[[#This Row],[Swamp]],-1,0)+TblConstr[[#This Row],[Ch_Swamp]]</f>
        <v>0</v>
      </c>
      <c r="L36" s="197" t="n">
        <f aca="false">OFFSET(TblConstr[[#This Row],[Cavern]],-1,0)+TblConstr[[#This Row],[Ch_Cavern]]</f>
        <v>0</v>
      </c>
      <c r="M36" s="198" t="n">
        <f aca="false">OFFSET(TblConstr[[#This Row],[Water]],-1,0)+TblConstr[[#This Row],[Ch_Water]]</f>
        <v>0</v>
      </c>
      <c r="N36" s="181" t="n">
        <f aca="false">TblRezone[[#This Row],[Hour]]</f>
        <v>33</v>
      </c>
      <c r="O36" s="182"/>
      <c r="P36" s="182"/>
      <c r="Q36" s="182" t="n">
        <v>5</v>
      </c>
      <c r="R36" s="182"/>
      <c r="S36" s="182"/>
      <c r="T36" s="182"/>
      <c r="U36" s="182"/>
      <c r="V36" s="182"/>
      <c r="W36" s="182"/>
      <c r="X36" s="182" t="n">
        <v>1</v>
      </c>
      <c r="Y36" s="182"/>
      <c r="Z36" s="182"/>
      <c r="AA36" s="182"/>
      <c r="AB36" s="182" t="n">
        <v>6</v>
      </c>
      <c r="AC36" s="182"/>
      <c r="AD36" s="182"/>
      <c r="AE36" s="182"/>
      <c r="AF36" s="182"/>
      <c r="AG36" s="182"/>
      <c r="AH36" s="20" t="n">
        <f aca="false">TblImps[[#This Row],[Time]]</f>
        <v>45431.0833333333</v>
      </c>
      <c r="AI36" s="130" t="n">
        <f aca="false">MIN(25%,(TblConstr[[#This Row],[Tot Fac]]+TblConstr[[#This Row],[Dest Fac]])/(TblConstr[[#This Row],[Land]]-TblExplore[[#This Row],[Land Bonus]]*20))</f>
        <v>0.101485148514851</v>
      </c>
      <c r="AJ36" s="130" t="n">
        <f aca="false">MIN(25%,(TblConstr[[#This Row],[Tot Fac]]+TblConstr[[#This Row],[Dest Fac]])/TblConstr[[#This Row],[Land]])</f>
        <v>0.101485148514851</v>
      </c>
      <c r="AK36" s="69" t="n">
        <f aca="false">TblProd[[#This Row],[Platinum]]</f>
        <v>36027</v>
      </c>
      <c r="AL36" s="69" t="n">
        <f aca="false">TblProd[[#This Row],[Lumber]]</f>
        <v>8365</v>
      </c>
      <c r="AM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417</v>
      </c>
      <c r="AN36" s="69" t="n">
        <f aca="false">ROUNDDOWN( MAX(1 - MIN(facs_constr_factor*TblConstr[[#This Row],[Facs -DB]],facs_constr_max) + tech_1_11*TblTech[[#This Row],[11-1]] + tech_6_3_2*TblTech[[#This Row],[6-3]] + tech_5_2_3*TblTech[[#This Row],[5-2]], 1-global_constr_cap) * TblConstr[[#This Row],[RCPA Lumber]],0)</f>
        <v>65</v>
      </c>
      <c r="AO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417</v>
      </c>
      <c r="AP36" s="69" t="n">
        <f aca="false">ROUNDDOWN( MAX(1 - MIN(facs_constr_factor*TblConstr[[#This Row],[Facs DB]],facs_constr_max) + tech_1_11*TblTech[[#This Row],[1-11]] + tech_6_3_2*TblTech[[#This Row],[6-3]] + tech_5_2_3*TblTech[[#This Row],[5-2]], 1-global_constr_cap) * ROUND((TblConstr[[#This Row],[Land]]-250)*0.285 + 87.5 + 0/4.25,0),0)</f>
        <v>65</v>
      </c>
      <c r="AQ36" s="1" t="n">
        <f aca="false">TblConstr[[#This Row],[build -db]]*TblConstr[[#This Row],[CPA Platinum -DB]] + TblConstr[[#This Row],[build db]]*TblConstr[[#This Row],[CPA Platinum DB]]</f>
        <v>5004</v>
      </c>
      <c r="AR36" s="1" t="n">
        <f aca="false">TblConstr[[#This Row],[build -db]]*TblConstr[[#This Row],[CPA Lumber -DB]]+TblConstr[[#This Row],[build db]]*TblConstr[[#This Row],[CPA Lumber DB]]</f>
        <v>780</v>
      </c>
      <c r="AS36" s="69" t="n">
        <f aca="false">MIN(SUM(OFFSET(TblConstr[[#This Row],[Plain]:[Water]],-1,0))+SUM(TblConstr[[#This Row],[Dest Hom]:[Dest Doc]])+IF(TblConstr[[#This Row],[Hour]]&gt;12,SUM(OFFSET(TblExplore[[#This Row],[Plains Explore]:[Water Explore]],-12,0)),0),SUM(TblConstr[[#This Row],[Hom]:[Doc]]))</f>
        <v>12</v>
      </c>
      <c r="AT3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32"/>
      <c r="AV36" s="69" t="n">
        <f aca="false">ROUND((TblConstr[[#This Row],[Land]]-250 - IF(TblExplore[[#This Row],[Land Bonus]]&lt;&gt;0,20,0))*1.25 + 850 + 0,0)</f>
        <v>1043</v>
      </c>
      <c r="AW36" s="69" t="n">
        <f aca="false">ROUND((TblConstr[[#This Row],[Land]]-250 - IF(TblExplore[[#This Row],[Land Bonus]]&lt;&gt;0,20,0))*0.285 + 87.5 + 0/4.25,0)</f>
        <v>131</v>
      </c>
      <c r="AX36" s="146"/>
      <c r="AY36" s="203" t="n">
        <f aca="false" t="array" ref="AY36:AY36">IF(TblConstr[[#This Row],[Hour]:[Hour]]&gt;12,OFFSET(TblConstr[[#This Row],[Hom]],-12,0),0)+OFFSET(TblConstr[[#This Row],[Tot Hom]],-1,0)-TblConstr[[#This Row],[Dest Hom]]</f>
        <v>0</v>
      </c>
      <c r="AZ36" s="204" t="n">
        <f aca="false" t="array" ref="AZ36:AZ36">IF(TblConstr[[#This Row],[Hour]:[Hour]]&gt;12,OFFSET(TblConstr[[#This Row],[Alc]],-12,0),0)+OFFSET(TblConstr[[#This Row],[Tot Alc]],-1,0)-TblConstr[[#This Row],[Dest Alc]]</f>
        <v>137</v>
      </c>
      <c r="BA36" s="204" t="n">
        <f aca="false" t="array" ref="BA36:BA36">IF(TblConstr[[#This Row],[Hour]:[Hour]]&gt;12,OFFSET(TblConstr[[#This Row],[Far]],-12,0),0)+OFFSET(TblConstr[[#This Row],[Tot Farm]],-1,0)-TblConstr[[#This Row],[Dest Farm]]</f>
        <v>6</v>
      </c>
      <c r="BB36" s="204" t="n">
        <f aca="false" t="array" ref="BB36:BB36">IF(TblConstr[[#This Row],[Hour]:[Hour]]&gt;12,OFFSET(TblConstr[[#This Row],[Smi]],-12,0),0)+OFFSET(TblConstr[[#This Row],[Tot Smi]],-1,0)-TblConstr[[#This Row],[Dest Smi]]</f>
        <v>0</v>
      </c>
      <c r="BC36" s="204" t="n">
        <f aca="false" t="array" ref="BC36:BC36">IF(TblConstr[[#This Row],[Hour]:[Hour]]&gt;12,OFFSET(TblConstr[[#This Row],[Mas]],-12,0),0)+OFFSET(TblConstr[[#This Row],[Tot Mas]],-1,0)-TblConstr[[#This Row],[Dest Mas]]</f>
        <v>0</v>
      </c>
      <c r="BD36" s="205" t="n">
        <f aca="false" t="array" ref="BD36:BD36">IF(TblConstr[[#This Row],[Hour]:[Hour]]&gt;12,OFFSET(TblConstr[[#This Row],[Ly]],-12,0),0)+OFFSET(TblConstr[[#This Row],[Tot Ly]],-1,0)-TblConstr[[#This Row],[Dest Ly]]</f>
        <v>23</v>
      </c>
      <c r="BE36" s="205" t="n">
        <f aca="false" t="array" ref="BE36:BE36">IF(TblConstr[[#This Row],[Hour]:[Hour]]&gt;12,OFFSET(TblConstr[[#This Row],[Hav]],-12,0),0)+OFFSET(TblConstr[[#This Row],[Tot Hav]],-1,0)-TblConstr[[#This Row],[Dest Hav]]</f>
        <v>0</v>
      </c>
      <c r="BF36" s="194" t="n">
        <f aca="false" t="array" ref="BF36:BF36">IF(TblConstr[[#This Row],[Hour]:[Hour]]&gt;12,OFFSET(TblConstr[[#This Row],[OM]],-12,0),0)+OFFSET(TblConstr[[#This Row],[Tot OM]],-1,0)-TblConstr[[#This Row],[Dest OM]]</f>
        <v>0</v>
      </c>
      <c r="BG36" s="194" t="n">
        <f aca="false" t="array" ref="BG36:BG36">IF(TblConstr[[#This Row],[Hour]:[Hour]]&gt;12,OFFSET(TblConstr[[#This Row],[GN]],-12,0),0)+OFFSET(TblConstr[[#This Row],[Tot GN]],-1,0)-TblConstr[[#This Row],[Dest GN]]</f>
        <v>0</v>
      </c>
      <c r="BH36" s="206" t="n">
        <f aca="false" t="array" ref="BH36:BH36">IF(TblConstr[[#This Row],[Hour]:[Hour]]&gt;12,OFFSET(TblConstr[[#This Row],[Fac]],-12,0),0)+OFFSET(TblConstr[[#This Row],[Tot Fac]],-1,0)-TblConstr[[#This Row],[Dest Fac]]</f>
        <v>41</v>
      </c>
      <c r="BI36" s="206" t="n">
        <f aca="false" t="array" ref="BI36:BI36">IF(TblConstr[[#This Row],[Hour]:[Hour]]&gt;12,OFFSET(TblConstr[[#This Row],[GT]],-12,0),0)+OFFSET(TblConstr[[#This Row],[Tot GT]],-1,0)-TblConstr[[#This Row],[Dest GT]]</f>
        <v>0</v>
      </c>
      <c r="BJ36" s="206" t="n">
        <f aca="false" t="array" ref="BJ36:BJ36">IF(TblConstr[[#This Row],[Hour]:[Hour]]&gt;12,OFFSET(TblConstr[[#This Row],[Bar]],-12,0),0)+OFFSET(TblConstr[[#This Row],[Tot Bar]],-1,0)-TblConstr[[#This Row],[Dest Bar]]</f>
        <v>0</v>
      </c>
      <c r="BK36" s="206" t="n">
        <f aca="false" t="array" ref="BK36:BK36">IF(TblConstr[[#This Row],[Hour]:[Hour]]&gt;12,OFFSET(TblConstr[[#This Row],[Shr]],-12,0),0)+OFFSET(TblConstr[[#This Row],[Tot Shr]],-1,0)-TblConstr[[#This Row],[Dest Shr]]</f>
        <v>0</v>
      </c>
      <c r="BL36" s="207" t="n">
        <f aca="false" t="array" ref="BL36:BL36">IF(TblConstr[[#This Row],[Hour]:[Hour]]&gt;12,OFFSET(TblConstr[[#This Row],[Tow]],-12,0),0)+OFFSET(TblConstr[[#This Row],[Tot Tow]],-1,0)-TblConstr[[#This Row],[Dest Tow]]</f>
        <v>18</v>
      </c>
      <c r="BM36" s="207" t="n">
        <f aca="false" t="array" ref="BM36:BM36">IF(TblConstr[[#This Row],[Hour]:[Hour]]&gt;12,OFFSET(TblConstr[[#This Row],[Tem]],-12,0),0)+OFFSET(TblConstr[[#This Row],[Tot Tem]],-1,0)-TblConstr[[#This Row],[Dest Tem]]</f>
        <v>47</v>
      </c>
      <c r="BN36" s="207" t="n">
        <f aca="false" t="array" ref="BN36:BN36">IF(TblConstr[[#This Row],[Hour]:[Hour]]&gt;12,OFFSET(TblConstr[[#This Row],[WG]],-12,0),0)+OFFSET(TblConstr[[#This Row],[Tot WG]],-1,0)-TblConstr[[#This Row],[Dest WG]]</f>
        <v>0</v>
      </c>
      <c r="BO36" s="208" t="n">
        <f aca="false" t="array" ref="BO36:BO36">IF(TblConstr[[#This Row],[Hour]:[Hour]]&gt;12,OFFSET(TblConstr[[#This Row],[DM]],-12,0),0)+OFFSET(TblConstr[[#This Row],[Tot DM]],-1,0)-TblConstr[[#This Row],[Dest DM]]</f>
        <v>0</v>
      </c>
      <c r="BP36" s="208" t="n">
        <f aca="false" t="array" ref="BP36:BP36">IF(TblConstr[[#This Row],[Hour]:[Hour]]&gt;12,OFFSET(TblConstr[[#This Row],[Sch]],-12,0),0)+OFFSET(TblConstr[[#This Row],[Tot Sch]],-1,0)-TblConstr[[#This Row],[Dest Sch]]</f>
        <v>0</v>
      </c>
      <c r="BQ36" s="209" t="n">
        <f aca="false" t="array" ref="BQ36:BQ36">IF(TblConstr[[#This Row],[Hour]:[Hour]]&gt;12,OFFSET(TblConstr[[#This Row],[Doc]],-12,0),0)+OFFSET(TblConstr[[#This Row],[Tot Doc]],-1,0)-TblConstr[[#This Row],[Dest Doc]]</f>
        <v>5</v>
      </c>
      <c r="BR36" s="132"/>
      <c r="BS36" s="146"/>
      <c r="BT36" s="69" t="n">
        <f aca="false">TblConstr[[#This Row],[Land]]</f>
        <v>404</v>
      </c>
      <c r="BU36" s="153" t="n">
        <f aca="false">TblImps[[#This Row],[Time]]</f>
        <v>45431.0833333333</v>
      </c>
      <c r="BV36" s="132"/>
      <c r="BW36" s="182"/>
      <c r="BX36" s="182"/>
      <c r="BY36" s="182"/>
      <c r="BZ36" s="182"/>
      <c r="CA36" s="182"/>
      <c r="CB36" s="182"/>
      <c r="CC36" s="182"/>
      <c r="CD36" s="182"/>
      <c r="CE36" s="182"/>
      <c r="CF36" s="182"/>
      <c r="CG36" s="182"/>
      <c r="CH36" s="182"/>
      <c r="CI36" s="182"/>
      <c r="CJ36" s="182"/>
      <c r="CK36" s="182"/>
      <c r="CL36" s="182"/>
      <c r="CM36" s="182"/>
      <c r="CN36" s="182"/>
      <c r="CO36" s="182"/>
      <c r="CP36" s="132"/>
      <c r="CQ36" s="192" t="n">
        <f aca="false">-SUM(TblConstr[[#This Row],[Alc]:[Mas]])+SUM(TblConstr[[#This Row],[Dest Alc]:[Dest Mas]])+Rezone!L36+IF("Ch_"&amp; home_land=TblConstr[[#Headers],[Ch_Plain]],TblConstr[[#This Row],[Home Land]])+IF(TblConstr[[#This Row],[Hour]:[Hour]]&gt;12,OFFSET(TblExplore[[#This Row],[Plains Explore]],-12,0),0)</f>
        <v>0</v>
      </c>
      <c r="CR36" s="193" t="n">
        <f aca="false">-SUM(TblConstr[[#This Row],[Ly]:[Hav]])+SUM(TblConstr[[#This Row],[Dest Ly]:[Dest Hav]]) +Rezone!M36 + IF("Ch_"&amp; home_land=TblConstr[[#Headers],[Ch_Forest]],TblConstr[[#This Row],[Home Land]])+IF(TblConstr[[#This Row],[Hour]:[Hour]]&gt;12,OFFSET(TblExplore[[#This Row],[Forest Explore]],-12,0),0)</f>
        <v>0</v>
      </c>
      <c r="CS36" s="200" t="n">
        <f aca="false">-SUM(TblConstr[[#This Row],[OM]:[GN]])+SUM(TblConstr[[#This Row],[Dest OM]:[Dest GN]]) +Rezone!N36 + IF("Ch_"&amp; home_land=TblConstr[[#Headers],[Ch_Mountain]],TblConstr[[#This Row],[Home Land]])+IF(TblConstr[[#This Row],[Hour]:[Hour]]&gt;12,OFFSET(TblExplore[[#This Row],[Mountain Explore]],-12,0),0)</f>
        <v>0</v>
      </c>
      <c r="CT36" s="195" t="n">
        <f aca="false">-SUM(TblConstr[[#This Row],[Fac]:[Shr]])+SUM(TblConstr[[#This Row],[Dest Fac]:[Dest Shr]]) +Rezone!O36 + IF("Ch_" &amp; home_land=TblConstr[[#Headers],[Ch_Hill]],TblConstr[[#This Row],[Home Land]])+IF(TblConstr[[#This Row],[Hour]:[Hour]]&gt;12,OFFSET(TblExplore[[#This Row],[Hill Explore]],-12,0),0)</f>
        <v>0</v>
      </c>
      <c r="CU36" s="196" t="n">
        <f aca="false">-SUM(TblConstr[[#This Row],[Tow]:[WG]])+SUM(TblConstr[[#This Row],[Dest Tow]:[Dest WG]]) +Rezone!P36 + IF("Ch_" &amp; home_land=TblConstr[[#Headers],[Ch_Swamp]],TblConstr[[#This Row],[Home Land]])+IF(TblConstr[[#This Row],[Hour]:[Hour]]&gt;12,OFFSET(TblExplore[[#This Row],[Swamp Explore]],-12,0),0)</f>
        <v>0</v>
      </c>
      <c r="CV36" s="197" t="n">
        <f aca="false">- SUM(TblConstr[[#This Row],[DM]:[Sch]])+SUM(TblConstr[[#This Row],[Dest DM]:[Dest Sch]]) +Rezone!Q36 + IF("Ch_" &amp; home_land=TblConstr[[#Headers],[Ch_Cavern]],TblConstr[[#This Row],[Home Land]])+IF(TblConstr[[#This Row],[Hour]:[Hour]]&gt;12,OFFSET(TblExplore[[#This Row],[Cavern Explore]],-12,0),0)</f>
        <v>0</v>
      </c>
      <c r="CW36" s="198" t="n">
        <f aca="false">-TblConstr[[#This Row],[Doc]]+TblConstr[[#This Row],[Dest Doc]] +Rezone!R36 + IF("Ch_" &amp; home_land=TblConstr[[#Headers],[Ch_Water]],TblConstr[[#This Row],[Home Land]])+IF(TblConstr[[#This Row],[Hour]:[Hour]]&gt;12,OFFSET(TblExplore[[#This Row],[Water Explore]],-12,0),0)</f>
        <v>0</v>
      </c>
      <c r="CX36" s="1" t="n">
        <f aca="false">IF(Explore!S36=1,20) - TblConstr[[#This Row],[Hom]] + TblConstr[[#This Row],[Dest Hom]]</f>
        <v>0</v>
      </c>
      <c r="CY36" s="132"/>
      <c r="CZ36" s="69" t="n">
        <f aca="false">G36+SUM(P25:S36)+SUM(AZ36:BC36)</f>
        <v>242</v>
      </c>
      <c r="DA36" s="69" t="n">
        <f aca="false">H36+SUM(T25:U36)+SUM(BD36:BE36)</f>
        <v>25</v>
      </c>
      <c r="DB36" s="1" t="n">
        <f aca="false">I36+SUM(V25:W36)+SUM(BF36:BG36)</f>
        <v>0</v>
      </c>
      <c r="DC36" s="69" t="n">
        <f aca="false">J36+SUM(X25:Y36)+SUM(BH36:BI36)</f>
        <v>55</v>
      </c>
      <c r="DD36" s="69" t="n">
        <f aca="false">K36+SUM(AB25:AD36)+SUM(BL36:BN36)</f>
        <v>72</v>
      </c>
      <c r="DE36" s="1" t="n">
        <f aca="false">L36+SUM(AE25:AE36)+BO36</f>
        <v>0</v>
      </c>
      <c r="DF36" s="69" t="n">
        <f aca="false">M36+SUM(AG25:AG36)+BQ36</f>
        <v>10</v>
      </c>
      <c r="DG36" s="69" t="e">
        <f aca="false" t="array" ref="DG36:DG36">INDEX(TblConstr[[Total Plain]:[Total Water]],ROW()-ROW(TblConstr[#headers]),MATCH("Total "&amp;home_land,TblConstr[[#Headers],[Total Plain]:[Total Water]],0))+TblConstr[[#This Row],[Homes]]</f>
        <v>#VALUE!</v>
      </c>
      <c r="DH36" s="1" t="n">
        <f aca="false">SUM(O25:O36)+AY36</f>
        <v>0</v>
      </c>
      <c r="DI36" s="1" t="n">
        <f aca="false">MAX(BA36-BA35,0)</f>
        <v>0</v>
      </c>
      <c r="DJ36" s="1" t="n">
        <f aca="false">MAX(BQ36-BQ35,0)</f>
        <v>0</v>
      </c>
    </row>
    <row r="37" customFormat="false" ht="12.75" hidden="false" customHeight="false" outlineLevel="0" collapsed="false">
      <c r="A37" s="170" t="n">
        <f aca="false">TblRezone[[#This Row],[Hour]]</f>
        <v>34</v>
      </c>
      <c r="B37" s="171" t="n">
        <f aca="false">SUM(TblConstr[[#This Row],[Plain]:[Water]])</f>
        <v>0</v>
      </c>
      <c r="C37" s="172" t="n">
        <f aca="false">SUM(TblConstr[[#This Row],[Tot Hom]:[Tot Doc]])</f>
        <v>278</v>
      </c>
      <c r="D37" s="172" t="n">
        <f aca="false">SUM(O26:AG37)</f>
        <v>129</v>
      </c>
      <c r="E37" s="173"/>
      <c r="F37" s="33" t="n">
        <f aca="false">TblConstr[[#This Row],[Barren]]+TblConstr[[#This Row],[Buildings]]+TblConstr[[#This Row],[Incoming]]</f>
        <v>407</v>
      </c>
      <c r="G37" s="199" t="n">
        <f aca="false">OFFSET(TblConstr[[#This Row],[Plain]],-1,0)+TblConstr[[#This Row],[Ch_Plain]]</f>
        <v>0</v>
      </c>
      <c r="H37" s="193" t="n">
        <f aca="false">OFFSET(TblConstr[[#This Row],[Forest]],-1,0)+TblConstr[[#This Row],[Ch_Forest]]</f>
        <v>0</v>
      </c>
      <c r="I37" s="200" t="n">
        <f aca="false">OFFSET(TblConstr[[#This Row],[Mountain]],-1,0)+TblConstr[[#This Row],[Ch_Mountain]]</f>
        <v>0</v>
      </c>
      <c r="J37" s="201" t="n">
        <f aca="false">OFFSET(TblConstr[[#This Row],[Hill]],-1,0)+TblConstr[[#This Row],[Ch_Hill]]</f>
        <v>0</v>
      </c>
      <c r="K37" s="202" t="n">
        <f aca="false">OFFSET(TblConstr[[#This Row],[Swamp]],-1,0)+TblConstr[[#This Row],[Ch_Swamp]]</f>
        <v>0</v>
      </c>
      <c r="L37" s="197" t="n">
        <f aca="false">OFFSET(TblConstr[[#This Row],[Cavern]],-1,0)+TblConstr[[#This Row],[Ch_Cavern]]</f>
        <v>0</v>
      </c>
      <c r="M37" s="198" t="n">
        <f aca="false">OFFSET(TblConstr[[#This Row],[Water]],-1,0)+TblConstr[[#This Row],[Ch_Water]]</f>
        <v>0</v>
      </c>
      <c r="N37" s="181" t="n">
        <f aca="false">TblRezone[[#This Row],[Hour]]</f>
        <v>34</v>
      </c>
      <c r="O37" s="182"/>
      <c r="P37" s="182"/>
      <c r="Q37" s="182" t="n">
        <v>2</v>
      </c>
      <c r="R37" s="182"/>
      <c r="S37" s="182"/>
      <c r="T37" s="182"/>
      <c r="U37" s="182"/>
      <c r="V37" s="182"/>
      <c r="W37" s="182"/>
      <c r="X37" s="182" t="n">
        <v>1</v>
      </c>
      <c r="Y37" s="182"/>
      <c r="Z37" s="182"/>
      <c r="AA37" s="182"/>
      <c r="AB37" s="182"/>
      <c r="AC37" s="182"/>
      <c r="AD37" s="182"/>
      <c r="AE37" s="182"/>
      <c r="AF37" s="182"/>
      <c r="AG37" s="182"/>
      <c r="AH37" s="20" t="n">
        <f aca="false">TblImps[[#This Row],[Time]]</f>
        <v>45431.125</v>
      </c>
      <c r="AI37" s="130" t="n">
        <f aca="false">MIN(25%,(TblConstr[[#This Row],[Tot Fac]]+TblConstr[[#This Row],[Dest Fac]])/(TblConstr[[#This Row],[Land]]-TblExplore[[#This Row],[Land Bonus]]*20))</f>
        <v>0.103194103194103</v>
      </c>
      <c r="AJ37" s="130" t="n">
        <f aca="false">MIN(25%,(TblConstr[[#This Row],[Tot Fac]]+TblConstr[[#This Row],[Dest Fac]])/TblConstr[[#This Row],[Land]])</f>
        <v>0.103194103194103</v>
      </c>
      <c r="AK37" s="69" t="n">
        <f aca="false">TblProd[[#This Row],[Platinum]]</f>
        <v>43944</v>
      </c>
      <c r="AL37" s="69" t="n">
        <f aca="false">TblProd[[#This Row],[Lumber]]</f>
        <v>9118</v>
      </c>
      <c r="AM3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418</v>
      </c>
      <c r="AN37" s="69" t="n">
        <f aca="false">ROUNDDOWN( MAX(1 - MIN(facs_constr_factor*TblConstr[[#This Row],[Facs -DB]],facs_constr_max) + tech_1_11*TblTech[[#This Row],[11-1]] + tech_6_3_2*TblTech[[#This Row],[6-3]] + tech_5_2_3*TblTech[[#This Row],[5-2]], 1-global_constr_cap) * TblConstr[[#This Row],[RCPA Lumber]],0)</f>
        <v>66</v>
      </c>
      <c r="AO3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418</v>
      </c>
      <c r="AP37" s="69" t="n">
        <f aca="false">ROUNDDOWN( MAX(1 - MIN(facs_constr_factor*TblConstr[[#This Row],[Facs DB]],facs_constr_max) + tech_1_11*TblTech[[#This Row],[1-11]] + tech_6_3_2*TblTech[[#This Row],[6-3]] + tech_5_2_3*TblTech[[#This Row],[5-2]], 1-global_constr_cap) * ROUND((TblConstr[[#This Row],[Land]]-250)*0.285 + 87.5 + 0/4.25,0),0)</f>
        <v>66</v>
      </c>
      <c r="AQ37" s="1" t="n">
        <f aca="false">TblConstr[[#This Row],[build -db]]*TblConstr[[#This Row],[CPA Platinum -DB]] + TblConstr[[#This Row],[build db]]*TblConstr[[#This Row],[CPA Platinum DB]]</f>
        <v>1254</v>
      </c>
      <c r="AR37" s="1" t="n">
        <f aca="false">TblConstr[[#This Row],[build -db]]*TblConstr[[#This Row],[CPA Lumber -DB]]+TblConstr[[#This Row],[build db]]*TblConstr[[#This Row],[CPA Lumber DB]]</f>
        <v>198</v>
      </c>
      <c r="AS37" s="69" t="n">
        <f aca="false">MIN(SUM(OFFSET(TblConstr[[#This Row],[Plain]:[Water]],-1,0))+SUM(TblConstr[[#This Row],[Dest Hom]:[Dest Doc]])+IF(TblConstr[[#This Row],[Hour]]&gt;12,SUM(OFFSET(TblExplore[[#This Row],[Plains Explore]:[Water Explore]],-12,0)),0),SUM(TblConstr[[#This Row],[Hom]:[Doc]]))</f>
        <v>3</v>
      </c>
      <c r="AT3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32"/>
      <c r="AV37" s="69" t="n">
        <f aca="false">ROUND((TblConstr[[#This Row],[Land]]-250 - IF(TblExplore[[#This Row],[Land Bonus]]&lt;&gt;0,20,0))*1.25 + 850 + 0,0)</f>
        <v>1046</v>
      </c>
      <c r="AW37" s="69" t="n">
        <f aca="false">ROUND((TblConstr[[#This Row],[Land]]-250 - IF(TblExplore[[#This Row],[Land Bonus]]&lt;&gt;0,20,0))*0.285 + 87.5 + 0/4.25,0)</f>
        <v>132</v>
      </c>
      <c r="AX37" s="146"/>
      <c r="AY37" s="203" t="n">
        <f aca="false" t="array" ref="AY37:AY37">IF(TblConstr[[#This Row],[Hour]:[Hour]]&gt;12,OFFSET(TblConstr[[#This Row],[Hom]],-12,0),0)+OFFSET(TblConstr[[#This Row],[Tot Hom]],-1,0)-TblConstr[[#This Row],[Dest Hom]]</f>
        <v>0</v>
      </c>
      <c r="AZ37" s="204" t="n">
        <f aca="false" t="array" ref="AZ37:AZ37">IF(TblConstr[[#This Row],[Hour]:[Hour]]&gt;12,OFFSET(TblConstr[[#This Row],[Alc]],-12,0),0)+OFFSET(TblConstr[[#This Row],[Tot Alc]],-1,0)-TblConstr[[#This Row],[Dest Alc]]</f>
        <v>137</v>
      </c>
      <c r="BA37" s="204" t="n">
        <f aca="false" t="array" ref="BA37:BA37">IF(TblConstr[[#This Row],[Hour]:[Hour]]&gt;12,OFFSET(TblConstr[[#This Row],[Far]],-12,0),0)+OFFSET(TblConstr[[#This Row],[Tot Farm]],-1,0)-TblConstr[[#This Row],[Dest Farm]]</f>
        <v>6</v>
      </c>
      <c r="BB37" s="204" t="n">
        <f aca="false" t="array" ref="BB37:BB37">IF(TblConstr[[#This Row],[Hour]:[Hour]]&gt;12,OFFSET(TblConstr[[#This Row],[Smi]],-12,0),0)+OFFSET(TblConstr[[#This Row],[Tot Smi]],-1,0)-TblConstr[[#This Row],[Dest Smi]]</f>
        <v>0</v>
      </c>
      <c r="BC37" s="204" t="n">
        <f aca="false" t="array" ref="BC37:BC37">IF(TblConstr[[#This Row],[Hour]:[Hour]]&gt;12,OFFSET(TblConstr[[#This Row],[Mas]],-12,0),0)+OFFSET(TblConstr[[#This Row],[Tot Mas]],-1,0)-TblConstr[[#This Row],[Dest Mas]]</f>
        <v>0</v>
      </c>
      <c r="BD37" s="205" t="n">
        <f aca="false" t="array" ref="BD37:BD37">IF(TblConstr[[#This Row],[Hour]:[Hour]]&gt;12,OFFSET(TblConstr[[#This Row],[Ly]],-12,0),0)+OFFSET(TblConstr[[#This Row],[Tot Ly]],-1,0)-TblConstr[[#This Row],[Dest Ly]]</f>
        <v>23</v>
      </c>
      <c r="BE37" s="205" t="n">
        <f aca="false" t="array" ref="BE37:BE37">IF(TblConstr[[#This Row],[Hour]:[Hour]]&gt;12,OFFSET(TblConstr[[#This Row],[Hav]],-12,0),0)+OFFSET(TblConstr[[#This Row],[Tot Hav]],-1,0)-TblConstr[[#This Row],[Dest Hav]]</f>
        <v>0</v>
      </c>
      <c r="BF37" s="194" t="n">
        <f aca="false" t="array" ref="BF37:BF37">IF(TblConstr[[#This Row],[Hour]:[Hour]]&gt;12,OFFSET(TblConstr[[#This Row],[OM]],-12,0),0)+OFFSET(TblConstr[[#This Row],[Tot OM]],-1,0)-TblConstr[[#This Row],[Dest OM]]</f>
        <v>0</v>
      </c>
      <c r="BG37" s="194" t="n">
        <f aca="false" t="array" ref="BG37:BG37">IF(TblConstr[[#This Row],[Hour]:[Hour]]&gt;12,OFFSET(TblConstr[[#This Row],[GN]],-12,0),0)+OFFSET(TblConstr[[#This Row],[Tot GN]],-1,0)-TblConstr[[#This Row],[Dest GN]]</f>
        <v>0</v>
      </c>
      <c r="BH37" s="206" t="n">
        <f aca="false" t="array" ref="BH37:BH37">IF(TblConstr[[#This Row],[Hour]:[Hour]]&gt;12,OFFSET(TblConstr[[#This Row],[Fac]],-12,0),0)+OFFSET(TblConstr[[#This Row],[Tot Fac]],-1,0)-TblConstr[[#This Row],[Dest Fac]]</f>
        <v>42</v>
      </c>
      <c r="BI37" s="206" t="n">
        <f aca="false" t="array" ref="BI37:BI37">IF(TblConstr[[#This Row],[Hour]:[Hour]]&gt;12,OFFSET(TblConstr[[#This Row],[GT]],-12,0),0)+OFFSET(TblConstr[[#This Row],[Tot GT]],-1,0)-TblConstr[[#This Row],[Dest GT]]</f>
        <v>0</v>
      </c>
      <c r="BJ37" s="206" t="n">
        <f aca="false" t="array" ref="BJ37:BJ37">IF(TblConstr[[#This Row],[Hour]:[Hour]]&gt;12,OFFSET(TblConstr[[#This Row],[Bar]],-12,0),0)+OFFSET(TblConstr[[#This Row],[Tot Bar]],-1,0)-TblConstr[[#This Row],[Dest Bar]]</f>
        <v>0</v>
      </c>
      <c r="BK37" s="206" t="n">
        <f aca="false" t="array" ref="BK37:BK37">IF(TblConstr[[#This Row],[Hour]:[Hour]]&gt;12,OFFSET(TblConstr[[#This Row],[Shr]],-12,0),0)+OFFSET(TblConstr[[#This Row],[Tot Shr]],-1,0)-TblConstr[[#This Row],[Dest Shr]]</f>
        <v>0</v>
      </c>
      <c r="BL37" s="207" t="n">
        <f aca="false" t="array" ref="BL37:BL37">IF(TblConstr[[#This Row],[Hour]:[Hour]]&gt;12,OFFSET(TblConstr[[#This Row],[Tow]],-12,0),0)+OFFSET(TblConstr[[#This Row],[Tot Tow]],-1,0)-TblConstr[[#This Row],[Dest Tow]]</f>
        <v>18</v>
      </c>
      <c r="BM37" s="207" t="n">
        <f aca="false" t="array" ref="BM37:BM37">IF(TblConstr[[#This Row],[Hour]:[Hour]]&gt;12,OFFSET(TblConstr[[#This Row],[Tem]],-12,0),0)+OFFSET(TblConstr[[#This Row],[Tot Tem]],-1,0)-TblConstr[[#This Row],[Dest Tem]]</f>
        <v>47</v>
      </c>
      <c r="BN37" s="207" t="n">
        <f aca="false" t="array" ref="BN37:BN37">IF(TblConstr[[#This Row],[Hour]:[Hour]]&gt;12,OFFSET(TblConstr[[#This Row],[WG]],-12,0),0)+OFFSET(TblConstr[[#This Row],[Tot WG]],-1,0)-TblConstr[[#This Row],[Dest WG]]</f>
        <v>0</v>
      </c>
      <c r="BO37" s="208" t="n">
        <f aca="false" t="array" ref="BO37:BO37">IF(TblConstr[[#This Row],[Hour]:[Hour]]&gt;12,OFFSET(TblConstr[[#This Row],[DM]],-12,0),0)+OFFSET(TblConstr[[#This Row],[Tot DM]],-1,0)-TblConstr[[#This Row],[Dest DM]]</f>
        <v>0</v>
      </c>
      <c r="BP37" s="208" t="n">
        <f aca="false" t="array" ref="BP37:BP37">IF(TblConstr[[#This Row],[Hour]:[Hour]]&gt;12,OFFSET(TblConstr[[#This Row],[Sch]],-12,0),0)+OFFSET(TblConstr[[#This Row],[Tot Sch]],-1,0)-TblConstr[[#This Row],[Dest Sch]]</f>
        <v>0</v>
      </c>
      <c r="BQ37" s="209" t="n">
        <f aca="false" t="array" ref="BQ37:BQ37">IF(TblConstr[[#This Row],[Hour]:[Hour]]&gt;12,OFFSET(TblConstr[[#This Row],[Doc]],-12,0),0)+OFFSET(TblConstr[[#This Row],[Tot Doc]],-1,0)-TblConstr[[#This Row],[Dest Doc]]</f>
        <v>5</v>
      </c>
      <c r="BR37" s="132"/>
      <c r="BS37" s="146"/>
      <c r="BT37" s="69" t="n">
        <f aca="false">TblConstr[[#This Row],[Land]]</f>
        <v>407</v>
      </c>
      <c r="BU37" s="153" t="n">
        <f aca="false">TblImps[[#This Row],[Time]]</f>
        <v>45431.125</v>
      </c>
      <c r="BV37" s="132"/>
      <c r="BW37" s="182"/>
      <c r="BX37" s="182"/>
      <c r="BY37" s="182"/>
      <c r="BZ37" s="182"/>
      <c r="CA37" s="182"/>
      <c r="CB37" s="182"/>
      <c r="CC37" s="182"/>
      <c r="CD37" s="182"/>
      <c r="CE37" s="182"/>
      <c r="CF37" s="182"/>
      <c r="CG37" s="182"/>
      <c r="CH37" s="182"/>
      <c r="CI37" s="182"/>
      <c r="CJ37" s="182"/>
      <c r="CK37" s="182"/>
      <c r="CL37" s="182"/>
      <c r="CM37" s="182"/>
      <c r="CN37" s="182"/>
      <c r="CO37" s="182"/>
      <c r="CP37" s="132"/>
      <c r="CQ37" s="192" t="n">
        <f aca="false">-SUM(TblConstr[[#This Row],[Alc]:[Mas]])+SUM(TblConstr[[#This Row],[Dest Alc]:[Dest Mas]])+Rezone!L37+IF("Ch_"&amp; home_land=TblConstr[[#Headers],[Ch_Plain]],TblConstr[[#This Row],[Home Land]])+IF(TblConstr[[#This Row],[Hour]:[Hour]]&gt;12,OFFSET(TblExplore[[#This Row],[Plains Explore]],-12,0),0)</f>
        <v>0</v>
      </c>
      <c r="CR37" s="193" t="n">
        <f aca="false">-SUM(TblConstr[[#This Row],[Ly]:[Hav]])+SUM(TblConstr[[#This Row],[Dest Ly]:[Dest Hav]]) +Rezone!M37 + IF("Ch_"&amp; home_land=TblConstr[[#Headers],[Ch_Forest]],TblConstr[[#This Row],[Home Land]])+IF(TblConstr[[#This Row],[Hour]:[Hour]]&gt;12,OFFSET(TblExplore[[#This Row],[Forest Explore]],-12,0),0)</f>
        <v>0</v>
      </c>
      <c r="CS37" s="200" t="n">
        <f aca="false">-SUM(TblConstr[[#This Row],[OM]:[GN]])+SUM(TblConstr[[#This Row],[Dest OM]:[Dest GN]]) +Rezone!N37 + IF("Ch_"&amp; home_land=TblConstr[[#Headers],[Ch_Mountain]],TblConstr[[#This Row],[Home Land]])+IF(TblConstr[[#This Row],[Hour]:[Hour]]&gt;12,OFFSET(TblExplore[[#This Row],[Mountain Explore]],-12,0),0)</f>
        <v>0</v>
      </c>
      <c r="CT37" s="195" t="n">
        <f aca="false">-SUM(TblConstr[[#This Row],[Fac]:[Shr]])+SUM(TblConstr[[#This Row],[Dest Fac]:[Dest Shr]]) +Rezone!O37 + IF("Ch_" &amp; home_land=TblConstr[[#Headers],[Ch_Hill]],TblConstr[[#This Row],[Home Land]])+IF(TblConstr[[#This Row],[Hour]:[Hour]]&gt;12,OFFSET(TblExplore[[#This Row],[Hill Explore]],-12,0),0)</f>
        <v>0</v>
      </c>
      <c r="CU37" s="196" t="n">
        <f aca="false">-SUM(TblConstr[[#This Row],[Tow]:[WG]])+SUM(TblConstr[[#This Row],[Dest Tow]:[Dest WG]]) +Rezone!P37 + IF("Ch_" &amp; home_land=TblConstr[[#Headers],[Ch_Swamp]],TblConstr[[#This Row],[Home Land]])+IF(TblConstr[[#This Row],[Hour]:[Hour]]&gt;12,OFFSET(TblExplore[[#This Row],[Swamp Explore]],-12,0),0)</f>
        <v>0</v>
      </c>
      <c r="CV37" s="197" t="n">
        <f aca="false">- SUM(TblConstr[[#This Row],[DM]:[Sch]])+SUM(TblConstr[[#This Row],[Dest DM]:[Dest Sch]]) +Rezone!Q37 + IF("Ch_" &amp; home_land=TblConstr[[#Headers],[Ch_Cavern]],TblConstr[[#This Row],[Home Land]])+IF(TblConstr[[#This Row],[Hour]:[Hour]]&gt;12,OFFSET(TblExplore[[#This Row],[Cavern Explore]],-12,0),0)</f>
        <v>0</v>
      </c>
      <c r="CW37" s="198" t="n">
        <f aca="false">-TblConstr[[#This Row],[Doc]]+TblConstr[[#This Row],[Dest Doc]] +Rezone!R37 + IF("Ch_" &amp; home_land=TblConstr[[#Headers],[Ch_Water]],TblConstr[[#This Row],[Home Land]])+IF(TblConstr[[#This Row],[Hour]:[Hour]]&gt;12,OFFSET(TblExplore[[#This Row],[Water Explore]],-12,0),0)</f>
        <v>0</v>
      </c>
      <c r="CX37" s="1" t="n">
        <f aca="false">IF(Explore!S37=1,20) - TblConstr[[#This Row],[Hom]] + TblConstr[[#This Row],[Dest Hom]]</f>
        <v>0</v>
      </c>
      <c r="CY37" s="132"/>
      <c r="CZ37" s="69" t="n">
        <f aca="false">G37+SUM(P26:S37)+SUM(AZ37:BC37)</f>
        <v>244</v>
      </c>
      <c r="DA37" s="69" t="n">
        <f aca="false">H37+SUM(T26:U37)+SUM(BD37:BE37)</f>
        <v>25</v>
      </c>
      <c r="DB37" s="1" t="n">
        <f aca="false">I37+SUM(V26:W37)+SUM(BF37:BG37)</f>
        <v>0</v>
      </c>
      <c r="DC37" s="69" t="n">
        <f aca="false">J37+SUM(X26:Y37)+SUM(BH37:BI37)</f>
        <v>56</v>
      </c>
      <c r="DD37" s="69" t="n">
        <f aca="false">K37+SUM(AB26:AD37)+SUM(BL37:BN37)</f>
        <v>72</v>
      </c>
      <c r="DE37" s="1" t="n">
        <f aca="false">L37+SUM(AE26:AE37)+BO37</f>
        <v>0</v>
      </c>
      <c r="DF37" s="69" t="n">
        <f aca="false">M37+SUM(AG26:AG37)+BQ37</f>
        <v>10</v>
      </c>
      <c r="DG37" s="69" t="e">
        <f aca="false" t="array" ref="DG37:DG37">INDEX(TblConstr[[Total Plain]:[Total Water]],ROW()-ROW(TblConstr[#headers]),MATCH("Total "&amp;home_land,TblConstr[[#Headers],[Total Plain]:[Total Water]],0))+TblConstr[[#This Row],[Homes]]</f>
        <v>#VALUE!</v>
      </c>
      <c r="DH37" s="1" t="n">
        <f aca="false">SUM(O26:O37)+AY37</f>
        <v>0</v>
      </c>
      <c r="DI37" s="1" t="n">
        <f aca="false">MAX(BA37-BA36,0)</f>
        <v>0</v>
      </c>
      <c r="DJ37" s="1" t="n">
        <f aca="false">MAX(BQ37-BQ36,0)</f>
        <v>0</v>
      </c>
    </row>
    <row r="38" customFormat="false" ht="12.75" hidden="false" customHeight="false" outlineLevel="0" collapsed="false">
      <c r="A38" s="170" t="n">
        <f aca="false">TblRezone[[#This Row],[Hour]]</f>
        <v>35</v>
      </c>
      <c r="B38" s="171" t="n">
        <f aca="false">SUM(TblConstr[[#This Row],[Plain]:[Water]])</f>
        <v>0</v>
      </c>
      <c r="C38" s="172" t="n">
        <f aca="false">SUM(TblConstr[[#This Row],[Tot Hom]:[Tot Doc]])</f>
        <v>279</v>
      </c>
      <c r="D38" s="172" t="n">
        <f aca="false">SUM(O27:AG38)</f>
        <v>130</v>
      </c>
      <c r="E38" s="173"/>
      <c r="F38" s="33" t="n">
        <f aca="false">TblConstr[[#This Row],[Barren]]+TblConstr[[#This Row],[Buildings]]+TblConstr[[#This Row],[Incoming]]</f>
        <v>409</v>
      </c>
      <c r="G38" s="199" t="n">
        <f aca="false">OFFSET(TblConstr[[#This Row],[Plain]],-1,0)+TblConstr[[#This Row],[Ch_Plain]]</f>
        <v>0</v>
      </c>
      <c r="H38" s="193" t="n">
        <f aca="false">OFFSET(TblConstr[[#This Row],[Forest]],-1,0)+TblConstr[[#This Row],[Ch_Forest]]</f>
        <v>0</v>
      </c>
      <c r="I38" s="200" t="n">
        <f aca="false">OFFSET(TblConstr[[#This Row],[Mountain]],-1,0)+TblConstr[[#This Row],[Ch_Mountain]]</f>
        <v>0</v>
      </c>
      <c r="J38" s="201" t="n">
        <f aca="false">OFFSET(TblConstr[[#This Row],[Hill]],-1,0)+TblConstr[[#This Row],[Ch_Hill]]</f>
        <v>0</v>
      </c>
      <c r="K38" s="202" t="n">
        <f aca="false">OFFSET(TblConstr[[#This Row],[Swamp]],-1,0)+TblConstr[[#This Row],[Ch_Swamp]]</f>
        <v>0</v>
      </c>
      <c r="L38" s="197" t="n">
        <f aca="false">OFFSET(TblConstr[[#This Row],[Cavern]],-1,0)+TblConstr[[#This Row],[Ch_Cavern]]</f>
        <v>0</v>
      </c>
      <c r="M38" s="198" t="n">
        <f aca="false">OFFSET(TblConstr[[#This Row],[Water]],-1,0)+TblConstr[[#This Row],[Ch_Water]]</f>
        <v>0</v>
      </c>
      <c r="N38" s="181" t="n">
        <f aca="false">TblRezone[[#This Row],[Hour]]</f>
        <v>35</v>
      </c>
      <c r="O38" s="182"/>
      <c r="P38" s="182"/>
      <c r="Q38" s="182" t="n">
        <v>1</v>
      </c>
      <c r="R38" s="182"/>
      <c r="S38" s="182"/>
      <c r="T38" s="182"/>
      <c r="U38" s="182"/>
      <c r="V38" s="182"/>
      <c r="W38" s="182"/>
      <c r="X38" s="182" t="n">
        <v>1</v>
      </c>
      <c r="Y38" s="182"/>
      <c r="Z38" s="182"/>
      <c r="AA38" s="182"/>
      <c r="AB38" s="182"/>
      <c r="AC38" s="182"/>
      <c r="AD38" s="182"/>
      <c r="AE38" s="182"/>
      <c r="AF38" s="152"/>
      <c r="AG38" s="182"/>
      <c r="AH38" s="20" t="n">
        <f aca="false">TblImps[[#This Row],[Time]]</f>
        <v>45431.1666666667</v>
      </c>
      <c r="AI38" s="130" t="n">
        <f aca="false">MIN(25%,(TblConstr[[#This Row],[Tot Fac]]+TblConstr[[#This Row],[Dest Fac]])/(TblConstr[[#This Row],[Land]]-TblExplore[[#This Row],[Land Bonus]]*20))</f>
        <v>0.105134474327628</v>
      </c>
      <c r="AJ38" s="130" t="n">
        <f aca="false">MIN(25%,(TblConstr[[#This Row],[Tot Fac]]+TblConstr[[#This Row],[Dest Fac]])/TblConstr[[#This Row],[Land]])</f>
        <v>0.105134474327628</v>
      </c>
      <c r="AK38" s="69" t="n">
        <f aca="false">TblProd[[#This Row],[Platinum]]</f>
        <v>51273</v>
      </c>
      <c r="AL38" s="69" t="n">
        <f aca="false">TblProd[[#This Row],[Lumber]]</f>
        <v>9930</v>
      </c>
      <c r="AM3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419</v>
      </c>
      <c r="AN38" s="69" t="n">
        <f aca="false">ROUNDDOWN( MAX(1 - MIN(facs_constr_factor*TblConstr[[#This Row],[Facs -DB]],facs_constr_max) + tech_1_11*TblTech[[#This Row],[11-1]] + tech_6_3_2*TblTech[[#This Row],[6-3]] + tech_5_2_3*TblTech[[#This Row],[5-2]], 1-global_constr_cap) * TblConstr[[#This Row],[RCPA Lumber]],0)</f>
        <v>66</v>
      </c>
      <c r="AO3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419</v>
      </c>
      <c r="AP38" s="69" t="n">
        <f aca="false">ROUNDDOWN( MAX(1 - MIN(facs_constr_factor*TblConstr[[#This Row],[Facs DB]],facs_constr_max) + tech_1_11*TblTech[[#This Row],[1-11]] + tech_6_3_2*TblTech[[#This Row],[6-3]] + tech_5_2_3*TblTech[[#This Row],[5-2]], 1-global_constr_cap) * ROUND((TblConstr[[#This Row],[Land]]-250)*0.285 + 87.5 + 0/4.25,0),0)</f>
        <v>66</v>
      </c>
      <c r="AQ38" s="1" t="n">
        <f aca="false">TblConstr[[#This Row],[build -db]]*TblConstr[[#This Row],[CPA Platinum -DB]] + TblConstr[[#This Row],[build db]]*TblConstr[[#This Row],[CPA Platinum DB]]</f>
        <v>838</v>
      </c>
      <c r="AR38" s="1" t="n">
        <f aca="false">TblConstr[[#This Row],[build -db]]*TblConstr[[#This Row],[CPA Lumber -DB]]+TblConstr[[#This Row],[build db]]*TblConstr[[#This Row],[CPA Lumber DB]]</f>
        <v>132</v>
      </c>
      <c r="AS38" s="69" t="n">
        <f aca="false">MIN(SUM(OFFSET(TblConstr[[#This Row],[Plain]:[Water]],-1,0))+SUM(TblConstr[[#This Row],[Dest Hom]:[Dest Doc]])+IF(TblConstr[[#This Row],[Hour]]&gt;12,SUM(OFFSET(TblExplore[[#This Row],[Plains Explore]:[Water Explore]],-12,0)),0),SUM(TblConstr[[#This Row],[Hom]:[Doc]]))</f>
        <v>2</v>
      </c>
      <c r="AT3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32"/>
      <c r="AV38" s="69" t="n">
        <f aca="false">ROUND((TblConstr[[#This Row],[Land]]-250 - IF(TblExplore[[#This Row],[Land Bonus]]&lt;&gt;0,20,0))*1.25 + 850 + 0,0)</f>
        <v>1049</v>
      </c>
      <c r="AW38" s="69" t="n">
        <f aca="false">ROUND((TblConstr[[#This Row],[Land]]-250 - IF(TblExplore[[#This Row],[Land Bonus]]&lt;&gt;0,20,0))*0.285 + 87.5 + 0/4.25,0)</f>
        <v>133</v>
      </c>
      <c r="AX38" s="146"/>
      <c r="AY38" s="203" t="n">
        <f aca="false" t="array" ref="AY38:AY38">IF(TblConstr[[#This Row],[Hour]:[Hour]]&gt;12,OFFSET(TblConstr[[#This Row],[Hom]],-12,0),0)+OFFSET(TblConstr[[#This Row],[Tot Hom]],-1,0)-TblConstr[[#This Row],[Dest Hom]]</f>
        <v>0</v>
      </c>
      <c r="AZ38" s="204" t="n">
        <f aca="false" t="array" ref="AZ38:AZ38">IF(TblConstr[[#This Row],[Hour]:[Hour]]&gt;12,OFFSET(TblConstr[[#This Row],[Alc]],-12,0),0)+OFFSET(TblConstr[[#This Row],[Tot Alc]],-1,0)-TblConstr[[#This Row],[Dest Alc]]</f>
        <v>137</v>
      </c>
      <c r="BA38" s="204" t="n">
        <f aca="false" t="array" ref="BA38:BA38">IF(TblConstr[[#This Row],[Hour]:[Hour]]&gt;12,OFFSET(TblConstr[[#This Row],[Far]],-12,0),0)+OFFSET(TblConstr[[#This Row],[Tot Farm]],-1,0)-TblConstr[[#This Row],[Dest Farm]]</f>
        <v>6</v>
      </c>
      <c r="BB38" s="204" t="n">
        <f aca="false" t="array" ref="BB38:BB38">IF(TblConstr[[#This Row],[Hour]:[Hour]]&gt;12,OFFSET(TblConstr[[#This Row],[Smi]],-12,0),0)+OFFSET(TblConstr[[#This Row],[Tot Smi]],-1,0)-TblConstr[[#This Row],[Dest Smi]]</f>
        <v>0</v>
      </c>
      <c r="BC38" s="204" t="n">
        <f aca="false" t="array" ref="BC38:BC38">IF(TblConstr[[#This Row],[Hour]:[Hour]]&gt;12,OFFSET(TblConstr[[#This Row],[Mas]],-12,0),0)+OFFSET(TblConstr[[#This Row],[Tot Mas]],-1,0)-TblConstr[[#This Row],[Dest Mas]]</f>
        <v>0</v>
      </c>
      <c r="BD38" s="205" t="n">
        <f aca="false" t="array" ref="BD38:BD38">IF(TblConstr[[#This Row],[Hour]:[Hour]]&gt;12,OFFSET(TblConstr[[#This Row],[Ly]],-12,0),0)+OFFSET(TblConstr[[#This Row],[Tot Ly]],-1,0)-TblConstr[[#This Row],[Dest Ly]]</f>
        <v>23</v>
      </c>
      <c r="BE38" s="205" t="n">
        <f aca="false" t="array" ref="BE38:BE38">IF(TblConstr[[#This Row],[Hour]:[Hour]]&gt;12,OFFSET(TblConstr[[#This Row],[Hav]],-12,0),0)+OFFSET(TblConstr[[#This Row],[Tot Hav]],-1,0)-TblConstr[[#This Row],[Dest Hav]]</f>
        <v>0</v>
      </c>
      <c r="BF38" s="194" t="n">
        <f aca="false" t="array" ref="BF38:BF38">IF(TblConstr[[#This Row],[Hour]:[Hour]]&gt;12,OFFSET(TblConstr[[#This Row],[OM]],-12,0),0)+OFFSET(TblConstr[[#This Row],[Tot OM]],-1,0)-TblConstr[[#This Row],[Dest OM]]</f>
        <v>0</v>
      </c>
      <c r="BG38" s="194" t="n">
        <f aca="false" t="array" ref="BG38:BG38">IF(TblConstr[[#This Row],[Hour]:[Hour]]&gt;12,OFFSET(TblConstr[[#This Row],[GN]],-12,0),0)+OFFSET(TblConstr[[#This Row],[Tot GN]],-1,0)-TblConstr[[#This Row],[Dest GN]]</f>
        <v>0</v>
      </c>
      <c r="BH38" s="206" t="n">
        <f aca="false" t="array" ref="BH38:BH38">IF(TblConstr[[#This Row],[Hour]:[Hour]]&gt;12,OFFSET(TblConstr[[#This Row],[Fac]],-12,0),0)+OFFSET(TblConstr[[#This Row],[Tot Fac]],-1,0)-TblConstr[[#This Row],[Dest Fac]]</f>
        <v>43</v>
      </c>
      <c r="BI38" s="206" t="n">
        <f aca="false" t="array" ref="BI38:BI38">IF(TblConstr[[#This Row],[Hour]:[Hour]]&gt;12,OFFSET(TblConstr[[#This Row],[GT]],-12,0),0)+OFFSET(TblConstr[[#This Row],[Tot GT]],-1,0)-TblConstr[[#This Row],[Dest GT]]</f>
        <v>0</v>
      </c>
      <c r="BJ38" s="206" t="n">
        <f aca="false" t="array" ref="BJ38:BJ38">IF(TblConstr[[#This Row],[Hour]:[Hour]]&gt;12,OFFSET(TblConstr[[#This Row],[Bar]],-12,0),0)+OFFSET(TblConstr[[#This Row],[Tot Bar]],-1,0)-TblConstr[[#This Row],[Dest Bar]]</f>
        <v>0</v>
      </c>
      <c r="BK38" s="206" t="n">
        <f aca="false" t="array" ref="BK38:BK38">IF(TblConstr[[#This Row],[Hour]:[Hour]]&gt;12,OFFSET(TblConstr[[#This Row],[Shr]],-12,0),0)+OFFSET(TblConstr[[#This Row],[Tot Shr]],-1,0)-TblConstr[[#This Row],[Dest Shr]]</f>
        <v>0</v>
      </c>
      <c r="BL38" s="207" t="n">
        <f aca="false" t="array" ref="BL38:BL38">IF(TblConstr[[#This Row],[Hour]:[Hour]]&gt;12,OFFSET(TblConstr[[#This Row],[Tow]],-12,0),0)+OFFSET(TblConstr[[#This Row],[Tot Tow]],-1,0)-TblConstr[[#This Row],[Dest Tow]]</f>
        <v>18</v>
      </c>
      <c r="BM38" s="207" t="n">
        <f aca="false" t="array" ref="BM38:BM38">IF(TblConstr[[#This Row],[Hour]:[Hour]]&gt;12,OFFSET(TblConstr[[#This Row],[Tem]],-12,0),0)+OFFSET(TblConstr[[#This Row],[Tot Tem]],-1,0)-TblConstr[[#This Row],[Dest Tem]]</f>
        <v>47</v>
      </c>
      <c r="BN38" s="207" t="n">
        <f aca="false" t="array" ref="BN38:BN38">IF(TblConstr[[#This Row],[Hour]:[Hour]]&gt;12,OFFSET(TblConstr[[#This Row],[WG]],-12,0),0)+OFFSET(TblConstr[[#This Row],[Tot WG]],-1,0)-TblConstr[[#This Row],[Dest WG]]</f>
        <v>0</v>
      </c>
      <c r="BO38" s="208" t="n">
        <f aca="false" t="array" ref="BO38:BO38">IF(TblConstr[[#This Row],[Hour]:[Hour]]&gt;12,OFFSET(TblConstr[[#This Row],[DM]],-12,0),0)+OFFSET(TblConstr[[#This Row],[Tot DM]],-1,0)-TblConstr[[#This Row],[Dest DM]]</f>
        <v>0</v>
      </c>
      <c r="BP38" s="208" t="n">
        <f aca="false" t="array" ref="BP38:BP38">IF(TblConstr[[#This Row],[Hour]:[Hour]]&gt;12,OFFSET(TblConstr[[#This Row],[Sch]],-12,0),0)+OFFSET(TblConstr[[#This Row],[Tot Sch]],-1,0)-TblConstr[[#This Row],[Dest Sch]]</f>
        <v>0</v>
      </c>
      <c r="BQ38" s="209" t="n">
        <f aca="false" t="array" ref="BQ38:BQ38">IF(TblConstr[[#This Row],[Hour]:[Hour]]&gt;12,OFFSET(TblConstr[[#This Row],[Doc]],-12,0),0)+OFFSET(TblConstr[[#This Row],[Tot Doc]],-1,0)-TblConstr[[#This Row],[Dest Doc]]</f>
        <v>5</v>
      </c>
      <c r="BR38" s="132"/>
      <c r="BS38" s="146"/>
      <c r="BT38" s="69" t="n">
        <f aca="false">TblConstr[[#This Row],[Land]]</f>
        <v>409</v>
      </c>
      <c r="BU38" s="153" t="n">
        <f aca="false">TblImps[[#This Row],[Time]]</f>
        <v>45431.1666666667</v>
      </c>
      <c r="BV38" s="132"/>
      <c r="BW38" s="182"/>
      <c r="BX38" s="182"/>
      <c r="BY38" s="182"/>
      <c r="BZ38" s="182"/>
      <c r="CA38" s="182"/>
      <c r="CB38" s="182"/>
      <c r="CC38" s="182"/>
      <c r="CD38" s="182"/>
      <c r="CE38" s="182"/>
      <c r="CF38" s="182"/>
      <c r="CG38" s="182"/>
      <c r="CH38" s="182"/>
      <c r="CI38" s="182"/>
      <c r="CJ38" s="182"/>
      <c r="CK38" s="182"/>
      <c r="CL38" s="182"/>
      <c r="CM38" s="182"/>
      <c r="CN38" s="182"/>
      <c r="CO38" s="182"/>
      <c r="CP38" s="132"/>
      <c r="CQ38" s="192" t="n">
        <f aca="false">-SUM(TblConstr[[#This Row],[Alc]:[Mas]])+SUM(TblConstr[[#This Row],[Dest Alc]:[Dest Mas]])+Rezone!L38+IF("Ch_"&amp; home_land=TblConstr[[#Headers],[Ch_Plain]],TblConstr[[#This Row],[Home Land]])+IF(TblConstr[[#This Row],[Hour]:[Hour]]&gt;12,OFFSET(TblExplore[[#This Row],[Plains Explore]],-12,0),0)</f>
        <v>0</v>
      </c>
      <c r="CR38" s="193" t="n">
        <f aca="false">-SUM(TblConstr[[#This Row],[Ly]:[Hav]])+SUM(TblConstr[[#This Row],[Dest Ly]:[Dest Hav]]) +Rezone!M38 + IF("Ch_"&amp; home_land=TblConstr[[#Headers],[Ch_Forest]],TblConstr[[#This Row],[Home Land]])+IF(TblConstr[[#This Row],[Hour]:[Hour]]&gt;12,OFFSET(TblExplore[[#This Row],[Forest Explore]],-12,0),0)</f>
        <v>0</v>
      </c>
      <c r="CS38" s="200" t="n">
        <f aca="false">-SUM(TblConstr[[#This Row],[OM]:[GN]])+SUM(TblConstr[[#This Row],[Dest OM]:[Dest GN]]) +Rezone!N38 + IF("Ch_"&amp; home_land=TblConstr[[#Headers],[Ch_Mountain]],TblConstr[[#This Row],[Home Land]])+IF(TblConstr[[#This Row],[Hour]:[Hour]]&gt;12,OFFSET(TblExplore[[#This Row],[Mountain Explore]],-12,0),0)</f>
        <v>0</v>
      </c>
      <c r="CT38" s="195" t="n">
        <f aca="false">-SUM(TblConstr[[#This Row],[Fac]:[Shr]])+SUM(TblConstr[[#This Row],[Dest Fac]:[Dest Shr]]) +Rezone!O38 + IF("Ch_" &amp; home_land=TblConstr[[#Headers],[Ch_Hill]],TblConstr[[#This Row],[Home Land]])+IF(TblConstr[[#This Row],[Hour]:[Hour]]&gt;12,OFFSET(TblExplore[[#This Row],[Hill Explore]],-12,0),0)</f>
        <v>0</v>
      </c>
      <c r="CU38" s="196" t="n">
        <f aca="false">-SUM(TblConstr[[#This Row],[Tow]:[WG]])+SUM(TblConstr[[#This Row],[Dest Tow]:[Dest WG]]) +Rezone!P38 + IF("Ch_" &amp; home_land=TblConstr[[#Headers],[Ch_Swamp]],TblConstr[[#This Row],[Home Land]])+IF(TblConstr[[#This Row],[Hour]:[Hour]]&gt;12,OFFSET(TblExplore[[#This Row],[Swamp Explore]],-12,0),0)</f>
        <v>0</v>
      </c>
      <c r="CV38" s="197" t="n">
        <f aca="false">- SUM(TblConstr[[#This Row],[DM]:[Sch]])+SUM(TblConstr[[#This Row],[Dest DM]:[Dest Sch]]) +Rezone!Q38 + IF("Ch_" &amp; home_land=TblConstr[[#Headers],[Ch_Cavern]],TblConstr[[#This Row],[Home Land]])+IF(TblConstr[[#This Row],[Hour]:[Hour]]&gt;12,OFFSET(TblExplore[[#This Row],[Cavern Explore]],-12,0),0)</f>
        <v>0</v>
      </c>
      <c r="CW38" s="198" t="n">
        <f aca="false">-TblConstr[[#This Row],[Doc]]+TblConstr[[#This Row],[Dest Doc]] +Rezone!R38 + IF("Ch_" &amp; home_land=TblConstr[[#Headers],[Ch_Water]],TblConstr[[#This Row],[Home Land]])+IF(TblConstr[[#This Row],[Hour]:[Hour]]&gt;12,OFFSET(TblExplore[[#This Row],[Water Explore]],-12,0),0)</f>
        <v>0</v>
      </c>
      <c r="CX38" s="1" t="n">
        <f aca="false">IF(Explore!S38=1,20) - TblConstr[[#This Row],[Hom]] + TblConstr[[#This Row],[Dest Hom]]</f>
        <v>0</v>
      </c>
      <c r="CY38" s="132"/>
      <c r="CZ38" s="69" t="n">
        <f aca="false">G38+SUM(P27:S38)+SUM(AZ38:BC38)</f>
        <v>245</v>
      </c>
      <c r="DA38" s="69" t="n">
        <f aca="false">H38+SUM(T27:U38)+SUM(BD38:BE38)</f>
        <v>25</v>
      </c>
      <c r="DB38" s="1" t="n">
        <f aca="false">I38+SUM(V27:W38)+SUM(BF38:BG38)</f>
        <v>0</v>
      </c>
      <c r="DC38" s="69" t="n">
        <f aca="false">J38+SUM(X27:Y38)+SUM(BH38:BI38)</f>
        <v>57</v>
      </c>
      <c r="DD38" s="69" t="n">
        <f aca="false">K38+SUM(AB27:AD38)+SUM(BL38:BN38)</f>
        <v>72</v>
      </c>
      <c r="DE38" s="1" t="n">
        <f aca="false">L38+SUM(AE27:AE38)+BO38</f>
        <v>0</v>
      </c>
      <c r="DF38" s="69" t="n">
        <f aca="false">M38+SUM(AG27:AG38)+BQ38</f>
        <v>10</v>
      </c>
      <c r="DG38" s="69" t="e">
        <f aca="false" t="array" ref="DG38:DG38">INDEX(TblConstr[[Total Plain]:[Total Water]],ROW()-ROW(TblConstr[#headers]),MATCH("Total "&amp;home_land,TblConstr[[#Headers],[Total Plain]:[Total Water]],0))+TblConstr[[#This Row],[Homes]]</f>
        <v>#VALUE!</v>
      </c>
      <c r="DH38" s="1" t="n">
        <f aca="false">SUM(O27:O38)+AY38</f>
        <v>0</v>
      </c>
      <c r="DI38" s="1" t="n">
        <f aca="false">MAX(BA38-BA37,0)</f>
        <v>0</v>
      </c>
      <c r="DJ38" s="1" t="n">
        <f aca="false">MAX(BQ38-BQ37,0)</f>
        <v>0</v>
      </c>
    </row>
    <row r="39" customFormat="false" ht="12.75" hidden="false" customHeight="false" outlineLevel="0" collapsed="false">
      <c r="A39" s="170" t="n">
        <f aca="false">TblRezone[[#This Row],[Hour]]</f>
        <v>36</v>
      </c>
      <c r="B39" s="171" t="n">
        <f aca="false">SUM(TblConstr[[#This Row],[Plain]:[Water]])</f>
        <v>0</v>
      </c>
      <c r="C39" s="172" t="n">
        <f aca="false">SUM(TblConstr[[#This Row],[Tot Hom]:[Tot Doc]])</f>
        <v>299</v>
      </c>
      <c r="D39" s="172" t="n">
        <f aca="false">SUM(O28:AG39)</f>
        <v>120</v>
      </c>
      <c r="E39" s="173"/>
      <c r="F39" s="33" t="n">
        <f aca="false">TblConstr[[#This Row],[Barren]]+TblConstr[[#This Row],[Buildings]]+TblConstr[[#This Row],[Incoming]]</f>
        <v>419</v>
      </c>
      <c r="G39" s="199" t="n">
        <f aca="false">OFFSET(TblConstr[[#This Row],[Plain]],-1,0)+TblConstr[[#This Row],[Ch_Plain]]</f>
        <v>0</v>
      </c>
      <c r="H39" s="193" t="n">
        <f aca="false">OFFSET(TblConstr[[#This Row],[Forest]],-1,0)+TblConstr[[#This Row],[Ch_Forest]]</f>
        <v>0</v>
      </c>
      <c r="I39" s="200" t="n">
        <f aca="false">OFFSET(TblConstr[[#This Row],[Mountain]],-1,0)+TblConstr[[#This Row],[Ch_Mountain]]</f>
        <v>0</v>
      </c>
      <c r="J39" s="201" t="n">
        <f aca="false">OFFSET(TblConstr[[#This Row],[Hill]],-1,0)+TblConstr[[#This Row],[Ch_Hill]]</f>
        <v>0</v>
      </c>
      <c r="K39" s="202" t="n">
        <f aca="false">OFFSET(TblConstr[[#This Row],[Swamp]],-1,0)+TblConstr[[#This Row],[Ch_Swamp]]</f>
        <v>0</v>
      </c>
      <c r="L39" s="197" t="n">
        <f aca="false">OFFSET(TblConstr[[#This Row],[Cavern]],-1,0)+TblConstr[[#This Row],[Ch_Cavern]]</f>
        <v>0</v>
      </c>
      <c r="M39" s="198" t="n">
        <f aca="false">OFFSET(TblConstr[[#This Row],[Water]],-1,0)+TblConstr[[#This Row],[Ch_Water]]</f>
        <v>0</v>
      </c>
      <c r="N39" s="181" t="n">
        <f aca="false">TblRezone[[#This Row],[Hour]]</f>
        <v>36</v>
      </c>
      <c r="O39" s="182"/>
      <c r="P39" s="152"/>
      <c r="Q39" s="182"/>
      <c r="R39" s="182"/>
      <c r="S39" s="182"/>
      <c r="T39" s="182"/>
      <c r="U39" s="182"/>
      <c r="V39" s="182"/>
      <c r="W39" s="182"/>
      <c r="X39" s="182" t="n">
        <v>10</v>
      </c>
      <c r="Y39" s="182"/>
      <c r="Z39" s="182"/>
      <c r="AA39" s="182"/>
      <c r="AB39" s="182"/>
      <c r="AC39" s="182"/>
      <c r="AD39" s="182"/>
      <c r="AE39" s="182"/>
      <c r="AF39" s="182"/>
      <c r="AG39" s="182"/>
      <c r="AH39" s="20" t="n">
        <f aca="false">TblImps[[#This Row],[Time]]</f>
        <v>45431.2083333333</v>
      </c>
      <c r="AI39" s="130" t="n">
        <f aca="false">MIN(25%,(TblConstr[[#This Row],[Tot Fac]]+TblConstr[[#This Row],[Dest Fac]])/(TblConstr[[#This Row],[Land]]-TblExplore[[#This Row],[Land Bonus]]*20))</f>
        <v>0.121718377088305</v>
      </c>
      <c r="AJ39" s="130" t="n">
        <f aca="false">MIN(25%,(TblConstr[[#This Row],[Tot Fac]]+TblConstr[[#This Row],[Dest Fac]])/TblConstr[[#This Row],[Land]])</f>
        <v>0.121718377088305</v>
      </c>
      <c r="AK39" s="69" t="n">
        <f aca="false">TblProd[[#This Row],[Platinum]]</f>
        <v>55040</v>
      </c>
      <c r="AL39" s="69" t="n">
        <f aca="false">TblProd[[#This Row],[Lumber]]</f>
        <v>10186</v>
      </c>
      <c r="AM3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39" s="69" t="n">
        <f aca="false">ROUNDDOWN( MAX(1 - MIN(facs_constr_factor*TblConstr[[#This Row],[Facs -DB]],facs_constr_max) + tech_1_11*TblTech[[#This Row],[11-1]] + tech_6_3_2*TblTech[[#This Row],[6-3]] + tech_5_2_3*TblTech[[#This Row],[5-2]], 1-global_constr_cap) * TblConstr[[#This Row],[RCPA Lumber]],0)</f>
        <v>68</v>
      </c>
      <c r="AO3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39" s="69" t="n">
        <f aca="false">ROUNDDOWN( MAX(1 - MIN(facs_constr_factor*TblConstr[[#This Row],[Facs DB]],facs_constr_max) + tech_1_11*TblTech[[#This Row],[1-11]] + tech_6_3_2*TblTech[[#This Row],[6-3]] + tech_5_2_3*TblTech[[#This Row],[5-2]], 1-global_constr_cap) * ROUND((TblConstr[[#This Row],[Land]]-250)*0.285 + 87.5 + 0/4.25,0),0)</f>
        <v>68</v>
      </c>
      <c r="AQ39" s="1" t="n">
        <f aca="false">TblConstr[[#This Row],[build -db]]*TblConstr[[#This Row],[CPA Platinum -DB]] + TblConstr[[#This Row],[build db]]*TblConstr[[#This Row],[CPA Platinum DB]]</f>
        <v>4240</v>
      </c>
      <c r="AR39" s="1" t="n">
        <f aca="false">TblConstr[[#This Row],[build -db]]*TblConstr[[#This Row],[CPA Lumber -DB]]+TblConstr[[#This Row],[build db]]*TblConstr[[#This Row],[CPA Lumber DB]]</f>
        <v>680</v>
      </c>
      <c r="AS39" s="69" t="n">
        <f aca="false">MIN(SUM(OFFSET(TblConstr[[#This Row],[Plain]:[Water]],-1,0))+SUM(TblConstr[[#This Row],[Dest Hom]:[Dest Doc]])+IF(TblConstr[[#This Row],[Hour]]&gt;12,SUM(OFFSET(TblExplore[[#This Row],[Plains Explore]:[Water Explore]],-12,0)),0),SUM(TblConstr[[#This Row],[Hom]:[Doc]]))</f>
        <v>10</v>
      </c>
      <c r="AT3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32"/>
      <c r="AV39" s="69" t="n">
        <f aca="false">ROUND((TblConstr[[#This Row],[Land]]-250 - IF(TblExplore[[#This Row],[Land Bonus]]&lt;&gt;0,20,0))*1.25 + 850 + 0,0)</f>
        <v>1061</v>
      </c>
      <c r="AW39" s="69" t="n">
        <f aca="false">ROUND((TblConstr[[#This Row],[Land]]-250 - IF(TblExplore[[#This Row],[Land Bonus]]&lt;&gt;0,20,0))*0.285 + 87.5 + 0/4.25,0)</f>
        <v>136</v>
      </c>
      <c r="AX39" s="146"/>
      <c r="AY39" s="203" t="n">
        <f aca="false" t="array" ref="AY39:AY39">IF(TblConstr[[#This Row],[Hour]:[Hour]]&gt;12,OFFSET(TblConstr[[#This Row],[Hom]],-12,0),0)+OFFSET(TblConstr[[#This Row],[Tot Hom]],-1,0)-TblConstr[[#This Row],[Dest Hom]]</f>
        <v>0</v>
      </c>
      <c r="AZ39" s="204" t="n">
        <f aca="false" t="array" ref="AZ39:AZ39">IF(TblConstr[[#This Row],[Hour]:[Hour]]&gt;12,OFFSET(TblConstr[[#This Row],[Alc]],-12,0),0)+OFFSET(TblConstr[[#This Row],[Tot Alc]],-1,0)-TblConstr[[#This Row],[Dest Alc]]</f>
        <v>147</v>
      </c>
      <c r="BA39" s="204" t="n">
        <f aca="false" t="array" ref="BA39:BA39">IF(TblConstr[[#This Row],[Hour]:[Hour]]&gt;12,OFFSET(TblConstr[[#This Row],[Far]],-12,0),0)+OFFSET(TblConstr[[#This Row],[Tot Farm]],-1,0)-TblConstr[[#This Row],[Dest Farm]]</f>
        <v>8</v>
      </c>
      <c r="BB39" s="204" t="n">
        <f aca="false" t="array" ref="BB39:BB39">IF(TblConstr[[#This Row],[Hour]:[Hour]]&gt;12,OFFSET(TblConstr[[#This Row],[Smi]],-12,0),0)+OFFSET(TblConstr[[#This Row],[Tot Smi]],-1,0)-TblConstr[[#This Row],[Dest Smi]]</f>
        <v>0</v>
      </c>
      <c r="BC39" s="204" t="n">
        <f aca="false" t="array" ref="BC39:BC39">IF(TblConstr[[#This Row],[Hour]:[Hour]]&gt;12,OFFSET(TblConstr[[#This Row],[Mas]],-12,0),0)+OFFSET(TblConstr[[#This Row],[Tot Mas]],-1,0)-TblConstr[[#This Row],[Dest Mas]]</f>
        <v>0</v>
      </c>
      <c r="BD39" s="205" t="n">
        <f aca="false" t="array" ref="BD39:BD39">IF(TblConstr[[#This Row],[Hour]:[Hour]]&gt;12,OFFSET(TblConstr[[#This Row],[Ly]],-12,0),0)+OFFSET(TblConstr[[#This Row],[Tot Ly]],-1,0)-TblConstr[[#This Row],[Dest Ly]]</f>
        <v>23</v>
      </c>
      <c r="BE39" s="205" t="n">
        <f aca="false" t="array" ref="BE39:BE39">IF(TblConstr[[#This Row],[Hour]:[Hour]]&gt;12,OFFSET(TblConstr[[#This Row],[Hav]],-12,0),0)+OFFSET(TblConstr[[#This Row],[Tot Hav]],-1,0)-TblConstr[[#This Row],[Dest Hav]]</f>
        <v>0</v>
      </c>
      <c r="BF39" s="194" t="n">
        <f aca="false" t="array" ref="BF39:BF39">IF(TblConstr[[#This Row],[Hour]:[Hour]]&gt;12,OFFSET(TblConstr[[#This Row],[OM]],-12,0),0)+OFFSET(TblConstr[[#This Row],[Tot OM]],-1,0)-TblConstr[[#This Row],[Dest OM]]</f>
        <v>0</v>
      </c>
      <c r="BG39" s="194" t="n">
        <f aca="false" t="array" ref="BG39:BG39">IF(TblConstr[[#This Row],[Hour]:[Hour]]&gt;12,OFFSET(TblConstr[[#This Row],[GN]],-12,0),0)+OFFSET(TblConstr[[#This Row],[Tot GN]],-1,0)-TblConstr[[#This Row],[Dest GN]]</f>
        <v>0</v>
      </c>
      <c r="BH39" s="206" t="n">
        <f aca="false" t="array" ref="BH39:BH39">IF(TblConstr[[#This Row],[Hour]:[Hour]]&gt;12,OFFSET(TblConstr[[#This Row],[Fac]],-12,0),0)+OFFSET(TblConstr[[#This Row],[Tot Fac]],-1,0)-TblConstr[[#This Row],[Dest Fac]]</f>
        <v>51</v>
      </c>
      <c r="BI39" s="206" t="n">
        <f aca="false" t="array" ref="BI39:BI39">IF(TblConstr[[#This Row],[Hour]:[Hour]]&gt;12,OFFSET(TblConstr[[#This Row],[GT]],-12,0),0)+OFFSET(TblConstr[[#This Row],[Tot GT]],-1,0)-TblConstr[[#This Row],[Dest GT]]</f>
        <v>0</v>
      </c>
      <c r="BJ39" s="206" t="n">
        <f aca="false" t="array" ref="BJ39:BJ39">IF(TblConstr[[#This Row],[Hour]:[Hour]]&gt;12,OFFSET(TblConstr[[#This Row],[Bar]],-12,0),0)+OFFSET(TblConstr[[#This Row],[Tot Bar]],-1,0)-TblConstr[[#This Row],[Dest Bar]]</f>
        <v>0</v>
      </c>
      <c r="BK39" s="206" t="n">
        <f aca="false" t="array" ref="BK39:BK39">IF(TblConstr[[#This Row],[Hour]:[Hour]]&gt;12,OFFSET(TblConstr[[#This Row],[Shr]],-12,0),0)+OFFSET(TblConstr[[#This Row],[Tot Shr]],-1,0)-TblConstr[[#This Row],[Dest Shr]]</f>
        <v>0</v>
      </c>
      <c r="BL39" s="207" t="n">
        <f aca="false" t="array" ref="BL39:BL39">IF(TblConstr[[#This Row],[Hour]:[Hour]]&gt;12,OFFSET(TblConstr[[#This Row],[Tow]],-12,0),0)+OFFSET(TblConstr[[#This Row],[Tot Tow]],-1,0)-TblConstr[[#This Row],[Dest Tow]]</f>
        <v>18</v>
      </c>
      <c r="BM39" s="207" t="n">
        <f aca="false" t="array" ref="BM39:BM39">IF(TblConstr[[#This Row],[Hour]:[Hour]]&gt;12,OFFSET(TblConstr[[#This Row],[Tem]],-12,0),0)+OFFSET(TblConstr[[#This Row],[Tot Tem]],-1,0)-TblConstr[[#This Row],[Dest Tem]]</f>
        <v>47</v>
      </c>
      <c r="BN39" s="207" t="n">
        <f aca="false" t="array" ref="BN39:BN39">IF(TblConstr[[#This Row],[Hour]:[Hour]]&gt;12,OFFSET(TblConstr[[#This Row],[WG]],-12,0),0)+OFFSET(TblConstr[[#This Row],[Tot WG]],-1,0)-TblConstr[[#This Row],[Dest WG]]</f>
        <v>0</v>
      </c>
      <c r="BO39" s="208" t="n">
        <f aca="false" t="array" ref="BO39:BO39">IF(TblConstr[[#This Row],[Hour]:[Hour]]&gt;12,OFFSET(TblConstr[[#This Row],[DM]],-12,0),0)+OFFSET(TblConstr[[#This Row],[Tot DM]],-1,0)-TblConstr[[#This Row],[Dest DM]]</f>
        <v>0</v>
      </c>
      <c r="BP39" s="208" t="n">
        <f aca="false" t="array" ref="BP39:BP39">IF(TblConstr[[#This Row],[Hour]:[Hour]]&gt;12,OFFSET(TblConstr[[#This Row],[Sch]],-12,0),0)+OFFSET(TblConstr[[#This Row],[Tot Sch]],-1,0)-TblConstr[[#This Row],[Dest Sch]]</f>
        <v>0</v>
      </c>
      <c r="BQ39" s="209" t="n">
        <f aca="false" t="array" ref="BQ39:BQ39">IF(TblConstr[[#This Row],[Hour]:[Hour]]&gt;12,OFFSET(TblConstr[[#This Row],[Doc]],-12,0),0)+OFFSET(TblConstr[[#This Row],[Tot Doc]],-1,0)-TblConstr[[#This Row],[Dest Doc]]</f>
        <v>5</v>
      </c>
      <c r="BR39" s="132"/>
      <c r="BS39" s="146"/>
      <c r="BT39" s="69" t="n">
        <f aca="false">TblConstr[[#This Row],[Land]]</f>
        <v>419</v>
      </c>
      <c r="BU39" s="153" t="n">
        <f aca="false">TblImps[[#This Row],[Time]]</f>
        <v>45431.2083333333</v>
      </c>
      <c r="BV39" s="132"/>
      <c r="BW39" s="182"/>
      <c r="BX39" s="182"/>
      <c r="BY39" s="182"/>
      <c r="BZ39" s="182"/>
      <c r="CA39" s="182"/>
      <c r="CB39" s="182"/>
      <c r="CC39" s="182"/>
      <c r="CD39" s="182"/>
      <c r="CE39" s="182"/>
      <c r="CF39" s="182"/>
      <c r="CG39" s="182"/>
      <c r="CH39" s="182"/>
      <c r="CI39" s="182"/>
      <c r="CJ39" s="182"/>
      <c r="CK39" s="182"/>
      <c r="CL39" s="182"/>
      <c r="CM39" s="182"/>
      <c r="CN39" s="182"/>
      <c r="CO39" s="182"/>
      <c r="CP39" s="132"/>
      <c r="CQ39" s="192" t="n">
        <f aca="false">-SUM(TblConstr[[#This Row],[Alc]:[Mas]])+SUM(TblConstr[[#This Row],[Dest Alc]:[Dest Mas]])+Rezone!L39+IF("Ch_"&amp; home_land=TblConstr[[#Headers],[Ch_Plain]],TblConstr[[#This Row],[Home Land]])+IF(TblConstr[[#This Row],[Hour]:[Hour]]&gt;12,OFFSET(TblExplore[[#This Row],[Plains Explore]],-12,0),0)</f>
        <v>0</v>
      </c>
      <c r="CR39" s="193" t="n">
        <f aca="false">-SUM(TblConstr[[#This Row],[Ly]:[Hav]])+SUM(TblConstr[[#This Row],[Dest Ly]:[Dest Hav]]) +Rezone!M39 + IF("Ch_"&amp; home_land=TblConstr[[#Headers],[Ch_Forest]],TblConstr[[#This Row],[Home Land]])+IF(TblConstr[[#This Row],[Hour]:[Hour]]&gt;12,OFFSET(TblExplore[[#This Row],[Forest Explore]],-12,0),0)</f>
        <v>0</v>
      </c>
      <c r="CS39" s="200" t="n">
        <f aca="false">-SUM(TblConstr[[#This Row],[OM]:[GN]])+SUM(TblConstr[[#This Row],[Dest OM]:[Dest GN]]) +Rezone!N39 + IF("Ch_"&amp; home_land=TblConstr[[#Headers],[Ch_Mountain]],TblConstr[[#This Row],[Home Land]])+IF(TblConstr[[#This Row],[Hour]:[Hour]]&gt;12,OFFSET(TblExplore[[#This Row],[Mountain Explore]],-12,0),0)</f>
        <v>0</v>
      </c>
      <c r="CT39" s="195" t="n">
        <f aca="false">-SUM(TblConstr[[#This Row],[Fac]:[Shr]])+SUM(TblConstr[[#This Row],[Dest Fac]:[Dest Shr]]) +Rezone!O39 + IF("Ch_" &amp; home_land=TblConstr[[#Headers],[Ch_Hill]],TblConstr[[#This Row],[Home Land]])+IF(TblConstr[[#This Row],[Hour]:[Hour]]&gt;12,OFFSET(TblExplore[[#This Row],[Hill Explore]],-12,0),0)</f>
        <v>0</v>
      </c>
      <c r="CU39" s="196" t="n">
        <f aca="false">-SUM(TblConstr[[#This Row],[Tow]:[WG]])+SUM(TblConstr[[#This Row],[Dest Tow]:[Dest WG]]) +Rezone!P39 + IF("Ch_" &amp; home_land=TblConstr[[#Headers],[Ch_Swamp]],TblConstr[[#This Row],[Home Land]])+IF(TblConstr[[#This Row],[Hour]:[Hour]]&gt;12,OFFSET(TblExplore[[#This Row],[Swamp Explore]],-12,0),0)</f>
        <v>0</v>
      </c>
      <c r="CV39" s="197" t="n">
        <f aca="false">- SUM(TblConstr[[#This Row],[DM]:[Sch]])+SUM(TblConstr[[#This Row],[Dest DM]:[Dest Sch]]) +Rezone!Q39 + IF("Ch_" &amp; home_land=TblConstr[[#Headers],[Ch_Cavern]],TblConstr[[#This Row],[Home Land]])+IF(TblConstr[[#This Row],[Hour]:[Hour]]&gt;12,OFFSET(TblExplore[[#This Row],[Cavern Explore]],-12,0),0)</f>
        <v>0</v>
      </c>
      <c r="CW39" s="198" t="n">
        <f aca="false">-TblConstr[[#This Row],[Doc]]+TblConstr[[#This Row],[Dest Doc]] +Rezone!R39 + IF("Ch_" &amp; home_land=TblConstr[[#Headers],[Ch_Water]],TblConstr[[#This Row],[Home Land]])+IF(TblConstr[[#This Row],[Hour]:[Hour]]&gt;12,OFFSET(TblExplore[[#This Row],[Water Explore]],-12,0),0)</f>
        <v>0</v>
      </c>
      <c r="CX39" s="1" t="n">
        <f aca="false">IF(Explore!S39=1,20) - TblConstr[[#This Row],[Hom]] + TblConstr[[#This Row],[Dest Hom]]</f>
        <v>0</v>
      </c>
      <c r="CY39" s="132"/>
      <c r="CZ39" s="69" t="n">
        <f aca="false">G39+SUM(P28:S39)+SUM(AZ39:BC39)</f>
        <v>245</v>
      </c>
      <c r="DA39" s="69" t="n">
        <f aca="false">H39+SUM(T28:U39)+SUM(BD39:BE39)</f>
        <v>25</v>
      </c>
      <c r="DB39" s="1" t="n">
        <f aca="false">I39+SUM(V28:W39)+SUM(BF39:BG39)</f>
        <v>0</v>
      </c>
      <c r="DC39" s="69" t="n">
        <f aca="false">J39+SUM(X28:Y39)+SUM(BH39:BI39)</f>
        <v>67</v>
      </c>
      <c r="DD39" s="69" t="n">
        <f aca="false">K39+SUM(AB28:AD39)+SUM(BL39:BN39)</f>
        <v>72</v>
      </c>
      <c r="DE39" s="1" t="n">
        <f aca="false">L39+SUM(AE28:AE39)+BO39</f>
        <v>0</v>
      </c>
      <c r="DF39" s="69" t="n">
        <f aca="false">M39+SUM(AG28:AG39)+BQ39</f>
        <v>10</v>
      </c>
      <c r="DG39" s="69" t="e">
        <f aca="false" t="array" ref="DG39:DG39">INDEX(TblConstr[[Total Plain]:[Total Water]],ROW()-ROW(TblConstr[#headers]),MATCH("Total "&amp;home_land,TblConstr[[#Headers],[Total Plain]:[Total Water]],0))+TblConstr[[#This Row],[Homes]]</f>
        <v>#VALUE!</v>
      </c>
      <c r="DH39" s="1" t="n">
        <f aca="false">SUM(O28:O39)+AY39</f>
        <v>0</v>
      </c>
      <c r="DI39" s="1" t="n">
        <f aca="false">MAX(BA39-BA38,0)</f>
        <v>2</v>
      </c>
      <c r="DJ39" s="1" t="n">
        <f aca="false">MAX(BQ39-BQ38,0)</f>
        <v>0</v>
      </c>
    </row>
    <row r="40" customFormat="false" ht="12.75" hidden="false" customHeight="false" outlineLevel="0" collapsed="false">
      <c r="A40" s="170" t="n">
        <f aca="false">TblRezone[[#This Row],[Hour]]</f>
        <v>37</v>
      </c>
      <c r="B40" s="171" t="n">
        <f aca="false">SUM(TblConstr[[#This Row],[Plain]:[Water]])</f>
        <v>0</v>
      </c>
      <c r="C40" s="172" t="n">
        <f aca="false">SUM(TblConstr[[#This Row],[Tot Hom]:[Tot Doc]])</f>
        <v>299</v>
      </c>
      <c r="D40" s="172" t="n">
        <f aca="false">SUM(O29:AG40)</f>
        <v>120</v>
      </c>
      <c r="E40" s="173"/>
      <c r="F40" s="33" t="n">
        <f aca="false">TblConstr[[#This Row],[Barren]]+TblConstr[[#This Row],[Buildings]]+TblConstr[[#This Row],[Incoming]]</f>
        <v>419</v>
      </c>
      <c r="G40" s="199" t="n">
        <f aca="false">OFFSET(TblConstr[[#This Row],[Plain]],-1,0)+TblConstr[[#This Row],[Ch_Plain]]</f>
        <v>0</v>
      </c>
      <c r="H40" s="193" t="n">
        <f aca="false">OFFSET(TblConstr[[#This Row],[Forest]],-1,0)+TblConstr[[#This Row],[Ch_Forest]]</f>
        <v>0</v>
      </c>
      <c r="I40" s="200" t="n">
        <f aca="false">OFFSET(TblConstr[[#This Row],[Mountain]],-1,0)+TblConstr[[#This Row],[Ch_Mountain]]</f>
        <v>0</v>
      </c>
      <c r="J40" s="201" t="n">
        <f aca="false">OFFSET(TblConstr[[#This Row],[Hill]],-1,0)+TblConstr[[#This Row],[Ch_Hill]]</f>
        <v>0</v>
      </c>
      <c r="K40" s="202" t="n">
        <f aca="false">OFFSET(TblConstr[[#This Row],[Swamp]],-1,0)+TblConstr[[#This Row],[Ch_Swamp]]</f>
        <v>0</v>
      </c>
      <c r="L40" s="197" t="n">
        <f aca="false">OFFSET(TblConstr[[#This Row],[Cavern]],-1,0)+TblConstr[[#This Row],[Ch_Cavern]]</f>
        <v>0</v>
      </c>
      <c r="M40" s="198" t="n">
        <f aca="false">OFFSET(TblConstr[[#This Row],[Water]],-1,0)+TblConstr[[#This Row],[Ch_Water]]</f>
        <v>0</v>
      </c>
      <c r="N40" s="181" t="n">
        <f aca="false">TblRezone[[#This Row],[Hour]]</f>
        <v>37</v>
      </c>
      <c r="O40" s="182"/>
      <c r="P40" s="182"/>
      <c r="Q40" s="182"/>
      <c r="R40" s="182"/>
      <c r="S40" s="182"/>
      <c r="T40" s="182"/>
      <c r="U40" s="182"/>
      <c r="V40" s="182"/>
      <c r="W40" s="182"/>
      <c r="X40" s="182"/>
      <c r="Y40" s="182"/>
      <c r="Z40" s="182"/>
      <c r="AA40" s="182"/>
      <c r="AB40" s="182"/>
      <c r="AC40" s="182"/>
      <c r="AD40" s="182"/>
      <c r="AE40" s="182"/>
      <c r="AF40" s="182"/>
      <c r="AG40" s="182"/>
      <c r="AH40" s="20" t="n">
        <f aca="false">TblImps[[#This Row],[Time]]</f>
        <v>45431.25</v>
      </c>
      <c r="AI40" s="130" t="n">
        <f aca="false">MIN(25%,(TblConstr[[#This Row],[Tot Fac]]+TblConstr[[#This Row],[Dest Fac]])/(TblConstr[[#This Row],[Land]]-TblExplore[[#This Row],[Land Bonus]]*20))</f>
        <v>0.121718377088305</v>
      </c>
      <c r="AJ40" s="130" t="n">
        <f aca="false">MIN(25%,(TblConstr[[#This Row],[Tot Fac]]+TblConstr[[#This Row],[Dest Fac]])/TblConstr[[#This Row],[Land]])</f>
        <v>0.121718377088305</v>
      </c>
      <c r="AK40" s="69" t="n">
        <f aca="false">TblProd[[#This Row],[Platinum]]</f>
        <v>63059</v>
      </c>
      <c r="AL40" s="69" t="n">
        <f aca="false">TblProd[[#This Row],[Lumber]]</f>
        <v>11119</v>
      </c>
      <c r="AM4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0" s="69" t="n">
        <f aca="false">ROUNDDOWN( MAX(1 - MIN(facs_constr_factor*TblConstr[[#This Row],[Facs -DB]],facs_constr_max) + tech_1_11*TblTech[[#This Row],[11-1]] + tech_6_3_2*TblTech[[#This Row],[6-3]] + tech_5_2_3*TblTech[[#This Row],[5-2]], 1-global_constr_cap) * TblConstr[[#This Row],[RCPA Lumber]],0)</f>
        <v>68</v>
      </c>
      <c r="AO4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0" s="69" t="n">
        <f aca="false">ROUNDDOWN( MAX(1 - MIN(facs_constr_factor*TblConstr[[#This Row],[Facs DB]],facs_constr_max) + tech_1_11*TblTech[[#This Row],[1-11]] + tech_6_3_2*TblTech[[#This Row],[6-3]] + tech_5_2_3*TblTech[[#This Row],[5-2]], 1-global_constr_cap) * ROUND((TblConstr[[#This Row],[Land]]-250)*0.285 + 87.5 + 0/4.25,0),0)</f>
        <v>68</v>
      </c>
      <c r="AQ40" s="1" t="n">
        <f aca="false">TblConstr[[#This Row],[build -db]]*TblConstr[[#This Row],[CPA Platinum -DB]] + TblConstr[[#This Row],[build db]]*TblConstr[[#This Row],[CPA Platinum DB]]</f>
        <v>0</v>
      </c>
      <c r="AR40" s="1" t="n">
        <f aca="false">TblConstr[[#This Row],[build -db]]*TblConstr[[#This Row],[CPA Lumber -DB]]+TblConstr[[#This Row],[build db]]*TblConstr[[#This Row],[CPA Lumber DB]]</f>
        <v>0</v>
      </c>
      <c r="AS40" s="69" t="n">
        <f aca="false">MIN(SUM(OFFSET(TblConstr[[#This Row],[Plain]:[Water]],-1,0))+SUM(TblConstr[[#This Row],[Dest Hom]:[Dest Doc]])+IF(TblConstr[[#This Row],[Hour]]&gt;12,SUM(OFFSET(TblExplore[[#This Row],[Plains Explore]:[Water Explore]],-12,0)),0),SUM(TblConstr[[#This Row],[Hom]:[Doc]]))</f>
        <v>0</v>
      </c>
      <c r="AT4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32"/>
      <c r="AV40" s="69" t="n">
        <f aca="false">ROUND((TblConstr[[#This Row],[Land]]-250 - IF(TblExplore[[#This Row],[Land Bonus]]&lt;&gt;0,20,0))*1.25 + 850 + 0,0)</f>
        <v>1061</v>
      </c>
      <c r="AW40" s="69" t="n">
        <f aca="false">ROUND((TblConstr[[#This Row],[Land]]-250 - IF(TblExplore[[#This Row],[Land Bonus]]&lt;&gt;0,20,0))*0.285 + 87.5 + 0/4.25,0)</f>
        <v>136</v>
      </c>
      <c r="AX40" s="146"/>
      <c r="AY40" s="203" t="n">
        <f aca="false" t="array" ref="AY40:AY40">IF(TblConstr[[#This Row],[Hour]:[Hour]]&gt;12,OFFSET(TblConstr[[#This Row],[Hom]],-12,0),0)+OFFSET(TblConstr[[#This Row],[Tot Hom]],-1,0)-TblConstr[[#This Row],[Dest Hom]]</f>
        <v>0</v>
      </c>
      <c r="AZ40" s="204" t="n">
        <f aca="false" t="array" ref="AZ40:AZ40">IF(TblConstr[[#This Row],[Hour]:[Hour]]&gt;12,OFFSET(TblConstr[[#This Row],[Alc]],-12,0),0)+OFFSET(TblConstr[[#This Row],[Tot Alc]],-1,0)-TblConstr[[#This Row],[Dest Alc]]</f>
        <v>147</v>
      </c>
      <c r="BA40" s="204" t="n">
        <f aca="false" t="array" ref="BA40:BA40">IF(TblConstr[[#This Row],[Hour]:[Hour]]&gt;12,OFFSET(TblConstr[[#This Row],[Far]],-12,0),0)+OFFSET(TblConstr[[#This Row],[Tot Farm]],-1,0)-TblConstr[[#This Row],[Dest Farm]]</f>
        <v>8</v>
      </c>
      <c r="BB40" s="204" t="n">
        <f aca="false" t="array" ref="BB40:BB40">IF(TblConstr[[#This Row],[Hour]:[Hour]]&gt;12,OFFSET(TblConstr[[#This Row],[Smi]],-12,0),0)+OFFSET(TblConstr[[#This Row],[Tot Smi]],-1,0)-TblConstr[[#This Row],[Dest Smi]]</f>
        <v>0</v>
      </c>
      <c r="BC40" s="204" t="n">
        <f aca="false" t="array" ref="BC40:BC40">IF(TblConstr[[#This Row],[Hour]:[Hour]]&gt;12,OFFSET(TblConstr[[#This Row],[Mas]],-12,0),0)+OFFSET(TblConstr[[#This Row],[Tot Mas]],-1,0)-TblConstr[[#This Row],[Dest Mas]]</f>
        <v>0</v>
      </c>
      <c r="BD40" s="205" t="n">
        <f aca="false" t="array" ref="BD40:BD40">IF(TblConstr[[#This Row],[Hour]:[Hour]]&gt;12,OFFSET(TblConstr[[#This Row],[Ly]],-12,0),0)+OFFSET(TblConstr[[#This Row],[Tot Ly]],-1,0)-TblConstr[[#This Row],[Dest Ly]]</f>
        <v>23</v>
      </c>
      <c r="BE40" s="205" t="n">
        <f aca="false" t="array" ref="BE40:BE40">IF(TblConstr[[#This Row],[Hour]:[Hour]]&gt;12,OFFSET(TblConstr[[#This Row],[Hav]],-12,0),0)+OFFSET(TblConstr[[#This Row],[Tot Hav]],-1,0)-TblConstr[[#This Row],[Dest Hav]]</f>
        <v>0</v>
      </c>
      <c r="BF40" s="194" t="n">
        <f aca="false" t="array" ref="BF40:BF40">IF(TblConstr[[#This Row],[Hour]:[Hour]]&gt;12,OFFSET(TblConstr[[#This Row],[OM]],-12,0),0)+OFFSET(TblConstr[[#This Row],[Tot OM]],-1,0)-TblConstr[[#This Row],[Dest OM]]</f>
        <v>0</v>
      </c>
      <c r="BG40" s="194" t="n">
        <f aca="false" t="array" ref="BG40:BG40">IF(TblConstr[[#This Row],[Hour]:[Hour]]&gt;12,OFFSET(TblConstr[[#This Row],[GN]],-12,0),0)+OFFSET(TblConstr[[#This Row],[Tot GN]],-1,0)-TblConstr[[#This Row],[Dest GN]]</f>
        <v>0</v>
      </c>
      <c r="BH40" s="206" t="n">
        <f aca="false" t="array" ref="BH40:BH40">IF(TblConstr[[#This Row],[Hour]:[Hour]]&gt;12,OFFSET(TblConstr[[#This Row],[Fac]],-12,0),0)+OFFSET(TblConstr[[#This Row],[Tot Fac]],-1,0)-TblConstr[[#This Row],[Dest Fac]]</f>
        <v>51</v>
      </c>
      <c r="BI40" s="206" t="n">
        <f aca="false" t="array" ref="BI40:BI40">IF(TblConstr[[#This Row],[Hour]:[Hour]]&gt;12,OFFSET(TblConstr[[#This Row],[GT]],-12,0),0)+OFFSET(TblConstr[[#This Row],[Tot GT]],-1,0)-TblConstr[[#This Row],[Dest GT]]</f>
        <v>0</v>
      </c>
      <c r="BJ40" s="206" t="n">
        <f aca="false" t="array" ref="BJ40:BJ40">IF(TblConstr[[#This Row],[Hour]:[Hour]]&gt;12,OFFSET(TblConstr[[#This Row],[Bar]],-12,0),0)+OFFSET(TblConstr[[#This Row],[Tot Bar]],-1,0)-TblConstr[[#This Row],[Dest Bar]]</f>
        <v>0</v>
      </c>
      <c r="BK40" s="206" t="n">
        <f aca="false" t="array" ref="BK40:BK40">IF(TblConstr[[#This Row],[Hour]:[Hour]]&gt;12,OFFSET(TblConstr[[#This Row],[Shr]],-12,0),0)+OFFSET(TblConstr[[#This Row],[Tot Shr]],-1,0)-TblConstr[[#This Row],[Dest Shr]]</f>
        <v>0</v>
      </c>
      <c r="BL40" s="207" t="n">
        <f aca="false" t="array" ref="BL40:BL40">IF(TblConstr[[#This Row],[Hour]:[Hour]]&gt;12,OFFSET(TblConstr[[#This Row],[Tow]],-12,0),0)+OFFSET(TblConstr[[#This Row],[Tot Tow]],-1,0)-TblConstr[[#This Row],[Dest Tow]]</f>
        <v>18</v>
      </c>
      <c r="BM40" s="207" t="n">
        <f aca="false" t="array" ref="BM40:BM40">IF(TblConstr[[#This Row],[Hour]:[Hour]]&gt;12,OFFSET(TblConstr[[#This Row],[Tem]],-12,0),0)+OFFSET(TblConstr[[#This Row],[Tot Tem]],-1,0)-TblConstr[[#This Row],[Dest Tem]]</f>
        <v>47</v>
      </c>
      <c r="BN40" s="207" t="n">
        <f aca="false" t="array" ref="BN40:BN40">IF(TblConstr[[#This Row],[Hour]:[Hour]]&gt;12,OFFSET(TblConstr[[#This Row],[WG]],-12,0),0)+OFFSET(TblConstr[[#This Row],[Tot WG]],-1,0)-TblConstr[[#This Row],[Dest WG]]</f>
        <v>0</v>
      </c>
      <c r="BO40" s="208" t="n">
        <f aca="false" t="array" ref="BO40:BO40">IF(TblConstr[[#This Row],[Hour]:[Hour]]&gt;12,OFFSET(TblConstr[[#This Row],[DM]],-12,0),0)+OFFSET(TblConstr[[#This Row],[Tot DM]],-1,0)-TblConstr[[#This Row],[Dest DM]]</f>
        <v>0</v>
      </c>
      <c r="BP40" s="208" t="n">
        <f aca="false" t="array" ref="BP40:BP40">IF(TblConstr[[#This Row],[Hour]:[Hour]]&gt;12,OFFSET(TblConstr[[#This Row],[Sch]],-12,0),0)+OFFSET(TblConstr[[#This Row],[Tot Sch]],-1,0)-TblConstr[[#This Row],[Dest Sch]]</f>
        <v>0</v>
      </c>
      <c r="BQ40" s="209" t="n">
        <f aca="false" t="array" ref="BQ40:BQ40">IF(TblConstr[[#This Row],[Hour]:[Hour]]&gt;12,OFFSET(TblConstr[[#This Row],[Doc]],-12,0),0)+OFFSET(TblConstr[[#This Row],[Tot Doc]],-1,0)-TblConstr[[#This Row],[Dest Doc]]</f>
        <v>5</v>
      </c>
      <c r="BR40" s="132"/>
      <c r="BS40" s="146"/>
      <c r="BT40" s="69" t="n">
        <f aca="false">TblConstr[[#This Row],[Land]]</f>
        <v>419</v>
      </c>
      <c r="BU40" s="153" t="n">
        <f aca="false">TblImps[[#This Row],[Time]]</f>
        <v>45431.25</v>
      </c>
      <c r="BV40" s="132"/>
      <c r="BW40" s="182"/>
      <c r="BX40" s="182"/>
      <c r="BY40" s="182"/>
      <c r="BZ40" s="182"/>
      <c r="CA40" s="182"/>
      <c r="CB40" s="182"/>
      <c r="CC40" s="182"/>
      <c r="CD40" s="182"/>
      <c r="CE40" s="182"/>
      <c r="CF40" s="182"/>
      <c r="CG40" s="182"/>
      <c r="CH40" s="182"/>
      <c r="CI40" s="182"/>
      <c r="CJ40" s="182"/>
      <c r="CK40" s="182"/>
      <c r="CL40" s="182"/>
      <c r="CM40" s="182"/>
      <c r="CN40" s="182"/>
      <c r="CO40" s="182"/>
      <c r="CP40" s="132"/>
      <c r="CQ40" s="192" t="n">
        <f aca="false">-SUM(TblConstr[[#This Row],[Alc]:[Mas]])+SUM(TblConstr[[#This Row],[Dest Alc]:[Dest Mas]])+Rezone!L40+IF("Ch_"&amp; home_land=TblConstr[[#Headers],[Ch_Plain]],TblConstr[[#This Row],[Home Land]])+IF(TblConstr[[#This Row],[Hour]:[Hour]]&gt;12,OFFSET(TblExplore[[#This Row],[Plains Explore]],-12,0),0)</f>
        <v>0</v>
      </c>
      <c r="CR40" s="193" t="n">
        <f aca="false">-SUM(TblConstr[[#This Row],[Ly]:[Hav]])+SUM(TblConstr[[#This Row],[Dest Ly]:[Dest Hav]]) +Rezone!M40 + IF("Ch_"&amp; home_land=TblConstr[[#Headers],[Ch_Forest]],TblConstr[[#This Row],[Home Land]])+IF(TblConstr[[#This Row],[Hour]:[Hour]]&gt;12,OFFSET(TblExplore[[#This Row],[Forest Explore]],-12,0),0)</f>
        <v>0</v>
      </c>
      <c r="CS40" s="200" t="n">
        <f aca="false">-SUM(TblConstr[[#This Row],[OM]:[GN]])+SUM(TblConstr[[#This Row],[Dest OM]:[Dest GN]]) +Rezone!N40 + IF("Ch_"&amp; home_land=TblConstr[[#Headers],[Ch_Mountain]],TblConstr[[#This Row],[Home Land]])+IF(TblConstr[[#This Row],[Hour]:[Hour]]&gt;12,OFFSET(TblExplore[[#This Row],[Mountain Explore]],-12,0),0)</f>
        <v>0</v>
      </c>
      <c r="CT40" s="195" t="n">
        <f aca="false">-SUM(TblConstr[[#This Row],[Fac]:[Shr]])+SUM(TblConstr[[#This Row],[Dest Fac]:[Dest Shr]]) +Rezone!O40 + IF("Ch_" &amp; home_land=TblConstr[[#Headers],[Ch_Hill]],TblConstr[[#This Row],[Home Land]])+IF(TblConstr[[#This Row],[Hour]:[Hour]]&gt;12,OFFSET(TblExplore[[#This Row],[Hill Explore]],-12,0),0)</f>
        <v>0</v>
      </c>
      <c r="CU40" s="196" t="n">
        <f aca="false">-SUM(TblConstr[[#This Row],[Tow]:[WG]])+SUM(TblConstr[[#This Row],[Dest Tow]:[Dest WG]]) +Rezone!P40 + IF("Ch_" &amp; home_land=TblConstr[[#Headers],[Ch_Swamp]],TblConstr[[#This Row],[Home Land]])+IF(TblConstr[[#This Row],[Hour]:[Hour]]&gt;12,OFFSET(TblExplore[[#This Row],[Swamp Explore]],-12,0),0)</f>
        <v>0</v>
      </c>
      <c r="CV40" s="197" t="n">
        <f aca="false">- SUM(TblConstr[[#This Row],[DM]:[Sch]])+SUM(TblConstr[[#This Row],[Dest DM]:[Dest Sch]]) +Rezone!Q40 + IF("Ch_" &amp; home_land=TblConstr[[#Headers],[Ch_Cavern]],TblConstr[[#This Row],[Home Land]])+IF(TblConstr[[#This Row],[Hour]:[Hour]]&gt;12,OFFSET(TblExplore[[#This Row],[Cavern Explore]],-12,0),0)</f>
        <v>0</v>
      </c>
      <c r="CW40" s="198" t="n">
        <f aca="false">-TblConstr[[#This Row],[Doc]]+TblConstr[[#This Row],[Dest Doc]] +Rezone!R40 + IF("Ch_" &amp; home_land=TblConstr[[#Headers],[Ch_Water]],TblConstr[[#This Row],[Home Land]])+IF(TblConstr[[#This Row],[Hour]:[Hour]]&gt;12,OFFSET(TblExplore[[#This Row],[Water Explore]],-12,0),0)</f>
        <v>0</v>
      </c>
      <c r="CX40" s="1" t="n">
        <f aca="false">IF(Explore!S40=1,20) - TblConstr[[#This Row],[Hom]] + TblConstr[[#This Row],[Dest Hom]]</f>
        <v>0</v>
      </c>
      <c r="CY40" s="132"/>
      <c r="CZ40" s="69" t="n">
        <f aca="false">G40+SUM(P29:S40)+SUM(AZ40:BC40)</f>
        <v>245</v>
      </c>
      <c r="DA40" s="69" t="n">
        <f aca="false">H40+SUM(T29:U40)+SUM(BD40:BE40)</f>
        <v>25</v>
      </c>
      <c r="DB40" s="1" t="n">
        <f aca="false">I40+SUM(V29:W40)+SUM(BF40:BG40)</f>
        <v>0</v>
      </c>
      <c r="DC40" s="69" t="n">
        <f aca="false">J40+SUM(X29:Y40)+SUM(BH40:BI40)</f>
        <v>67</v>
      </c>
      <c r="DD40" s="69" t="n">
        <f aca="false">K40+SUM(AB29:AD40)+SUM(BL40:BN40)</f>
        <v>72</v>
      </c>
      <c r="DE40" s="1" t="n">
        <f aca="false">L40+SUM(AE29:AE40)+BO40</f>
        <v>0</v>
      </c>
      <c r="DF40" s="69" t="n">
        <f aca="false">M40+SUM(AG29:AG40)+BQ40</f>
        <v>10</v>
      </c>
      <c r="DG40" s="69" t="e">
        <f aca="false" t="array" ref="DG40:DG40">INDEX(TblConstr[[Total Plain]:[Total Water]],ROW()-ROW(TblConstr[#headers]),MATCH("Total "&amp;home_land,TblConstr[[#Headers],[Total Plain]:[Total Water]],0))+TblConstr[[#This Row],[Homes]]</f>
        <v>#VALUE!</v>
      </c>
      <c r="DH40" s="1" t="n">
        <f aca="false">SUM(O29:O40)+AY40</f>
        <v>0</v>
      </c>
      <c r="DI40" s="1" t="n">
        <f aca="false">MAX(BA40-BA39,0)</f>
        <v>0</v>
      </c>
      <c r="DJ40" s="1" t="n">
        <f aca="false">MAX(BQ40-BQ39,0)</f>
        <v>0</v>
      </c>
    </row>
    <row r="41" customFormat="false" ht="12.75" hidden="false" customHeight="false" outlineLevel="0" collapsed="false">
      <c r="A41" s="170" t="n">
        <f aca="false">TblRezone[[#This Row],[Hour]]</f>
        <v>38</v>
      </c>
      <c r="B41" s="171" t="n">
        <f aca="false">SUM(TblConstr[[#This Row],[Plain]:[Water]])</f>
        <v>0</v>
      </c>
      <c r="C41" s="172" t="n">
        <f aca="false">SUM(TblConstr[[#This Row],[Tot Hom]:[Tot Doc]])</f>
        <v>299</v>
      </c>
      <c r="D41" s="172" t="n">
        <f aca="false">SUM(O30:AG41)</f>
        <v>120</v>
      </c>
      <c r="E41" s="173"/>
      <c r="F41" s="33" t="n">
        <f aca="false">TblConstr[[#This Row],[Barren]]+TblConstr[[#This Row],[Buildings]]+TblConstr[[#This Row],[Incoming]]</f>
        <v>419</v>
      </c>
      <c r="G41" s="199" t="n">
        <f aca="false">OFFSET(TblConstr[[#This Row],[Plain]],-1,0)+TblConstr[[#This Row],[Ch_Plain]]</f>
        <v>0</v>
      </c>
      <c r="H41" s="193" t="n">
        <f aca="false">OFFSET(TblConstr[[#This Row],[Forest]],-1,0)+TblConstr[[#This Row],[Ch_Forest]]</f>
        <v>0</v>
      </c>
      <c r="I41" s="200" t="n">
        <f aca="false">OFFSET(TblConstr[[#This Row],[Mountain]],-1,0)+TblConstr[[#This Row],[Ch_Mountain]]</f>
        <v>0</v>
      </c>
      <c r="J41" s="201" t="n">
        <f aca="false">OFFSET(TblConstr[[#This Row],[Hill]],-1,0)+TblConstr[[#This Row],[Ch_Hill]]</f>
        <v>0</v>
      </c>
      <c r="K41" s="202" t="n">
        <f aca="false">OFFSET(TblConstr[[#This Row],[Swamp]],-1,0)+TblConstr[[#This Row],[Ch_Swamp]]</f>
        <v>0</v>
      </c>
      <c r="L41" s="197" t="n">
        <f aca="false">OFFSET(TblConstr[[#This Row],[Cavern]],-1,0)+TblConstr[[#This Row],[Ch_Cavern]]</f>
        <v>0</v>
      </c>
      <c r="M41" s="198" t="n">
        <f aca="false">OFFSET(TblConstr[[#This Row],[Water]],-1,0)+TblConstr[[#This Row],[Ch_Water]]</f>
        <v>0</v>
      </c>
      <c r="N41" s="181" t="n">
        <f aca="false">TblRezone[[#This Row],[Hour]]</f>
        <v>38</v>
      </c>
      <c r="O41" s="182"/>
      <c r="P41" s="182"/>
      <c r="Q41" s="182"/>
      <c r="R41" s="152"/>
      <c r="S41" s="182"/>
      <c r="T41" s="182"/>
      <c r="U41" s="182"/>
      <c r="V41" s="182"/>
      <c r="W41" s="182"/>
      <c r="X41" s="182"/>
      <c r="Y41" s="182"/>
      <c r="Z41" s="182"/>
      <c r="AA41" s="182"/>
      <c r="AB41" s="182"/>
      <c r="AC41" s="182"/>
      <c r="AD41" s="182"/>
      <c r="AE41" s="182"/>
      <c r="AF41" s="182"/>
      <c r="AG41" s="182"/>
      <c r="AH41" s="20" t="n">
        <f aca="false">TblImps[[#This Row],[Time]]</f>
        <v>45431.2916666667</v>
      </c>
      <c r="AI41" s="130" t="n">
        <f aca="false">MIN(25%,(TblConstr[[#This Row],[Tot Fac]]+TblConstr[[#This Row],[Dest Fac]])/(TblConstr[[#This Row],[Land]]-TblExplore[[#This Row],[Land Bonus]]*20))</f>
        <v>0.121718377088305</v>
      </c>
      <c r="AJ41" s="130" t="n">
        <f aca="false">MIN(25%,(TblConstr[[#This Row],[Tot Fac]]+TblConstr[[#This Row],[Dest Fac]])/TblConstr[[#This Row],[Land]])</f>
        <v>0.121718377088305</v>
      </c>
      <c r="AK41" s="69" t="n">
        <f aca="false">TblProd[[#This Row],[Platinum]]</f>
        <v>71078</v>
      </c>
      <c r="AL41" s="69" t="n">
        <f aca="false">TblProd[[#This Row],[Lumber]]</f>
        <v>12043</v>
      </c>
      <c r="AM4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1" s="69" t="n">
        <f aca="false">ROUNDDOWN( MAX(1 - MIN(facs_constr_factor*TblConstr[[#This Row],[Facs -DB]],facs_constr_max) + tech_1_11*TblTech[[#This Row],[11-1]] + tech_6_3_2*TblTech[[#This Row],[6-3]] + tech_5_2_3*TblTech[[#This Row],[5-2]], 1-global_constr_cap) * TblConstr[[#This Row],[RCPA Lumber]],0)</f>
        <v>68</v>
      </c>
      <c r="AO4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1" s="69" t="n">
        <f aca="false">ROUNDDOWN( MAX(1 - MIN(facs_constr_factor*TblConstr[[#This Row],[Facs DB]],facs_constr_max) + tech_1_11*TblTech[[#This Row],[1-11]] + tech_6_3_2*TblTech[[#This Row],[6-3]] + tech_5_2_3*TblTech[[#This Row],[5-2]], 1-global_constr_cap) * ROUND((TblConstr[[#This Row],[Land]]-250)*0.285 + 87.5 + 0/4.25,0),0)</f>
        <v>68</v>
      </c>
      <c r="AQ41" s="1" t="n">
        <f aca="false">TblConstr[[#This Row],[build -db]]*TblConstr[[#This Row],[CPA Platinum -DB]] + TblConstr[[#This Row],[build db]]*TblConstr[[#This Row],[CPA Platinum DB]]</f>
        <v>0</v>
      </c>
      <c r="AR41" s="1" t="n">
        <f aca="false">TblConstr[[#This Row],[build -db]]*TblConstr[[#This Row],[CPA Lumber -DB]]+TblConstr[[#This Row],[build db]]*TblConstr[[#This Row],[CPA Lumber DB]]</f>
        <v>0</v>
      </c>
      <c r="AS41" s="69" t="n">
        <f aca="false">MIN(SUM(OFFSET(TblConstr[[#This Row],[Plain]:[Water]],-1,0))+SUM(TblConstr[[#This Row],[Dest Hom]:[Dest Doc]])+IF(TblConstr[[#This Row],[Hour]]&gt;12,SUM(OFFSET(TblExplore[[#This Row],[Plains Explore]:[Water Explore]],-12,0)),0),SUM(TblConstr[[#This Row],[Hom]:[Doc]]))</f>
        <v>0</v>
      </c>
      <c r="AT4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32"/>
      <c r="AV41" s="69" t="n">
        <f aca="false">ROUND((TblConstr[[#This Row],[Land]]-250 - IF(TblExplore[[#This Row],[Land Bonus]]&lt;&gt;0,20,0))*1.25 + 850 + 0,0)</f>
        <v>1061</v>
      </c>
      <c r="AW41" s="69" t="n">
        <f aca="false">ROUND((TblConstr[[#This Row],[Land]]-250 - IF(TblExplore[[#This Row],[Land Bonus]]&lt;&gt;0,20,0))*0.285 + 87.5 + 0/4.25,0)</f>
        <v>136</v>
      </c>
      <c r="AX41" s="146"/>
      <c r="AY41" s="203" t="n">
        <f aca="false" t="array" ref="AY41:AY41">IF(TblConstr[[#This Row],[Hour]:[Hour]]&gt;12,OFFSET(TblConstr[[#This Row],[Hom]],-12,0),0)+OFFSET(TblConstr[[#This Row],[Tot Hom]],-1,0)-TblConstr[[#This Row],[Dest Hom]]</f>
        <v>0</v>
      </c>
      <c r="AZ41" s="204" t="n">
        <f aca="false" t="array" ref="AZ41:AZ41">IF(TblConstr[[#This Row],[Hour]:[Hour]]&gt;12,OFFSET(TblConstr[[#This Row],[Alc]],-12,0),0)+OFFSET(TblConstr[[#This Row],[Tot Alc]],-1,0)-TblConstr[[#This Row],[Dest Alc]]</f>
        <v>147</v>
      </c>
      <c r="BA41" s="204" t="n">
        <f aca="false" t="array" ref="BA41:BA41">IF(TblConstr[[#This Row],[Hour]:[Hour]]&gt;12,OFFSET(TblConstr[[#This Row],[Far]],-12,0),0)+OFFSET(TblConstr[[#This Row],[Tot Farm]],-1,0)-TblConstr[[#This Row],[Dest Farm]]</f>
        <v>8</v>
      </c>
      <c r="BB41" s="204" t="n">
        <f aca="false" t="array" ref="BB41:BB41">IF(TblConstr[[#This Row],[Hour]:[Hour]]&gt;12,OFFSET(TblConstr[[#This Row],[Smi]],-12,0),0)+OFFSET(TblConstr[[#This Row],[Tot Smi]],-1,0)-TblConstr[[#This Row],[Dest Smi]]</f>
        <v>0</v>
      </c>
      <c r="BC41" s="204" t="n">
        <f aca="false" t="array" ref="BC41:BC41">IF(TblConstr[[#This Row],[Hour]:[Hour]]&gt;12,OFFSET(TblConstr[[#This Row],[Mas]],-12,0),0)+OFFSET(TblConstr[[#This Row],[Tot Mas]],-1,0)-TblConstr[[#This Row],[Dest Mas]]</f>
        <v>0</v>
      </c>
      <c r="BD41" s="205" t="n">
        <f aca="false" t="array" ref="BD41:BD41">IF(TblConstr[[#This Row],[Hour]:[Hour]]&gt;12,OFFSET(TblConstr[[#This Row],[Ly]],-12,0),0)+OFFSET(TblConstr[[#This Row],[Tot Ly]],-1,0)-TblConstr[[#This Row],[Dest Ly]]</f>
        <v>23</v>
      </c>
      <c r="BE41" s="205" t="n">
        <f aca="false" t="array" ref="BE41:BE41">IF(TblConstr[[#This Row],[Hour]:[Hour]]&gt;12,OFFSET(TblConstr[[#This Row],[Hav]],-12,0),0)+OFFSET(TblConstr[[#This Row],[Tot Hav]],-1,0)-TblConstr[[#This Row],[Dest Hav]]</f>
        <v>0</v>
      </c>
      <c r="BF41" s="194" t="n">
        <f aca="false" t="array" ref="BF41:BF41">IF(TblConstr[[#This Row],[Hour]:[Hour]]&gt;12,OFFSET(TblConstr[[#This Row],[OM]],-12,0),0)+OFFSET(TblConstr[[#This Row],[Tot OM]],-1,0)-TblConstr[[#This Row],[Dest OM]]</f>
        <v>0</v>
      </c>
      <c r="BG41" s="194" t="n">
        <f aca="false" t="array" ref="BG41:BG41">IF(TblConstr[[#This Row],[Hour]:[Hour]]&gt;12,OFFSET(TblConstr[[#This Row],[GN]],-12,0),0)+OFFSET(TblConstr[[#This Row],[Tot GN]],-1,0)-TblConstr[[#This Row],[Dest GN]]</f>
        <v>0</v>
      </c>
      <c r="BH41" s="206" t="n">
        <f aca="false" t="array" ref="BH41:BH41">IF(TblConstr[[#This Row],[Hour]:[Hour]]&gt;12,OFFSET(TblConstr[[#This Row],[Fac]],-12,0),0)+OFFSET(TblConstr[[#This Row],[Tot Fac]],-1,0)-TblConstr[[#This Row],[Dest Fac]]</f>
        <v>51</v>
      </c>
      <c r="BI41" s="206" t="n">
        <f aca="false" t="array" ref="BI41:BI41">IF(TblConstr[[#This Row],[Hour]:[Hour]]&gt;12,OFFSET(TblConstr[[#This Row],[GT]],-12,0),0)+OFFSET(TblConstr[[#This Row],[Tot GT]],-1,0)-TblConstr[[#This Row],[Dest GT]]</f>
        <v>0</v>
      </c>
      <c r="BJ41" s="206" t="n">
        <f aca="false" t="array" ref="BJ41:BJ41">IF(TblConstr[[#This Row],[Hour]:[Hour]]&gt;12,OFFSET(TblConstr[[#This Row],[Bar]],-12,0),0)+OFFSET(TblConstr[[#This Row],[Tot Bar]],-1,0)-TblConstr[[#This Row],[Dest Bar]]</f>
        <v>0</v>
      </c>
      <c r="BK41" s="206" t="n">
        <f aca="false" t="array" ref="BK41:BK41">IF(TblConstr[[#This Row],[Hour]:[Hour]]&gt;12,OFFSET(TblConstr[[#This Row],[Shr]],-12,0),0)+OFFSET(TblConstr[[#This Row],[Tot Shr]],-1,0)-TblConstr[[#This Row],[Dest Shr]]</f>
        <v>0</v>
      </c>
      <c r="BL41" s="207" t="n">
        <f aca="false" t="array" ref="BL41:BL41">IF(TblConstr[[#This Row],[Hour]:[Hour]]&gt;12,OFFSET(TblConstr[[#This Row],[Tow]],-12,0),0)+OFFSET(TblConstr[[#This Row],[Tot Tow]],-1,0)-TblConstr[[#This Row],[Dest Tow]]</f>
        <v>18</v>
      </c>
      <c r="BM41" s="207" t="n">
        <f aca="false" t="array" ref="BM41:BM41">IF(TblConstr[[#This Row],[Hour]:[Hour]]&gt;12,OFFSET(TblConstr[[#This Row],[Tem]],-12,0),0)+OFFSET(TblConstr[[#This Row],[Tot Tem]],-1,0)-TblConstr[[#This Row],[Dest Tem]]</f>
        <v>47</v>
      </c>
      <c r="BN41" s="207" t="n">
        <f aca="false" t="array" ref="BN41:BN41">IF(TblConstr[[#This Row],[Hour]:[Hour]]&gt;12,OFFSET(TblConstr[[#This Row],[WG]],-12,0),0)+OFFSET(TblConstr[[#This Row],[Tot WG]],-1,0)-TblConstr[[#This Row],[Dest WG]]</f>
        <v>0</v>
      </c>
      <c r="BO41" s="208" t="n">
        <f aca="false" t="array" ref="BO41:BO41">IF(TblConstr[[#This Row],[Hour]:[Hour]]&gt;12,OFFSET(TblConstr[[#This Row],[DM]],-12,0),0)+OFFSET(TblConstr[[#This Row],[Tot DM]],-1,0)-TblConstr[[#This Row],[Dest DM]]</f>
        <v>0</v>
      </c>
      <c r="BP41" s="208" t="n">
        <f aca="false" t="array" ref="BP41:BP41">IF(TblConstr[[#This Row],[Hour]:[Hour]]&gt;12,OFFSET(TblConstr[[#This Row],[Sch]],-12,0),0)+OFFSET(TblConstr[[#This Row],[Tot Sch]],-1,0)-TblConstr[[#This Row],[Dest Sch]]</f>
        <v>0</v>
      </c>
      <c r="BQ41" s="209" t="n">
        <f aca="false" t="array" ref="BQ41:BQ41">IF(TblConstr[[#This Row],[Hour]:[Hour]]&gt;12,OFFSET(TblConstr[[#This Row],[Doc]],-12,0),0)+OFFSET(TblConstr[[#This Row],[Tot Doc]],-1,0)-TblConstr[[#This Row],[Dest Doc]]</f>
        <v>5</v>
      </c>
      <c r="BR41" s="132"/>
      <c r="BS41" s="146"/>
      <c r="BT41" s="69" t="n">
        <f aca="false">TblConstr[[#This Row],[Land]]</f>
        <v>419</v>
      </c>
      <c r="BU41" s="153" t="n">
        <f aca="false">TblImps[[#This Row],[Time]]</f>
        <v>45431.2916666667</v>
      </c>
      <c r="BV41" s="132"/>
      <c r="BW41" s="182"/>
      <c r="BX41" s="182"/>
      <c r="BY41" s="182"/>
      <c r="BZ41" s="182"/>
      <c r="CA41" s="182"/>
      <c r="CB41" s="182"/>
      <c r="CC41" s="182"/>
      <c r="CD41" s="182"/>
      <c r="CE41" s="182"/>
      <c r="CF41" s="182"/>
      <c r="CG41" s="182"/>
      <c r="CH41" s="182"/>
      <c r="CI41" s="182"/>
      <c r="CJ41" s="182"/>
      <c r="CK41" s="182"/>
      <c r="CL41" s="182"/>
      <c r="CM41" s="182"/>
      <c r="CN41" s="182"/>
      <c r="CO41" s="182"/>
      <c r="CP41" s="132"/>
      <c r="CQ41" s="192" t="n">
        <f aca="false">-SUM(TblConstr[[#This Row],[Alc]:[Mas]])+SUM(TblConstr[[#This Row],[Dest Alc]:[Dest Mas]])+Rezone!L41+IF("Ch_"&amp; home_land=TblConstr[[#Headers],[Ch_Plain]],TblConstr[[#This Row],[Home Land]])+IF(TblConstr[[#This Row],[Hour]:[Hour]]&gt;12,OFFSET(TblExplore[[#This Row],[Plains Explore]],-12,0),0)</f>
        <v>0</v>
      </c>
      <c r="CR41" s="193" t="n">
        <f aca="false">-SUM(TblConstr[[#This Row],[Ly]:[Hav]])+SUM(TblConstr[[#This Row],[Dest Ly]:[Dest Hav]]) +Rezone!M41 + IF("Ch_"&amp; home_land=TblConstr[[#Headers],[Ch_Forest]],TblConstr[[#This Row],[Home Land]])+IF(TblConstr[[#This Row],[Hour]:[Hour]]&gt;12,OFFSET(TblExplore[[#This Row],[Forest Explore]],-12,0),0)</f>
        <v>0</v>
      </c>
      <c r="CS41" s="200" t="n">
        <f aca="false">-SUM(TblConstr[[#This Row],[OM]:[GN]])+SUM(TblConstr[[#This Row],[Dest OM]:[Dest GN]]) +Rezone!N41 + IF("Ch_"&amp; home_land=TblConstr[[#Headers],[Ch_Mountain]],TblConstr[[#This Row],[Home Land]])+IF(TblConstr[[#This Row],[Hour]:[Hour]]&gt;12,OFFSET(TblExplore[[#This Row],[Mountain Explore]],-12,0),0)</f>
        <v>0</v>
      </c>
      <c r="CT41" s="195" t="n">
        <f aca="false">-SUM(TblConstr[[#This Row],[Fac]:[Shr]])+SUM(TblConstr[[#This Row],[Dest Fac]:[Dest Shr]]) +Rezone!O41 + IF("Ch_" &amp; home_land=TblConstr[[#Headers],[Ch_Hill]],TblConstr[[#This Row],[Home Land]])+IF(TblConstr[[#This Row],[Hour]:[Hour]]&gt;12,OFFSET(TblExplore[[#This Row],[Hill Explore]],-12,0),0)</f>
        <v>0</v>
      </c>
      <c r="CU41" s="196" t="n">
        <f aca="false">-SUM(TblConstr[[#This Row],[Tow]:[WG]])+SUM(TblConstr[[#This Row],[Dest Tow]:[Dest WG]]) +Rezone!P41 + IF("Ch_" &amp; home_land=TblConstr[[#Headers],[Ch_Swamp]],TblConstr[[#This Row],[Home Land]])+IF(TblConstr[[#This Row],[Hour]:[Hour]]&gt;12,OFFSET(TblExplore[[#This Row],[Swamp Explore]],-12,0),0)</f>
        <v>0</v>
      </c>
      <c r="CV41" s="197" t="n">
        <f aca="false">- SUM(TblConstr[[#This Row],[DM]:[Sch]])+SUM(TblConstr[[#This Row],[Dest DM]:[Dest Sch]]) +Rezone!Q41 + IF("Ch_" &amp; home_land=TblConstr[[#Headers],[Ch_Cavern]],TblConstr[[#This Row],[Home Land]])+IF(TblConstr[[#This Row],[Hour]:[Hour]]&gt;12,OFFSET(TblExplore[[#This Row],[Cavern Explore]],-12,0),0)</f>
        <v>0</v>
      </c>
      <c r="CW41" s="198" t="n">
        <f aca="false">-TblConstr[[#This Row],[Doc]]+TblConstr[[#This Row],[Dest Doc]] +Rezone!R41 + IF("Ch_" &amp; home_land=TblConstr[[#Headers],[Ch_Water]],TblConstr[[#This Row],[Home Land]])+IF(TblConstr[[#This Row],[Hour]:[Hour]]&gt;12,OFFSET(TblExplore[[#This Row],[Water Explore]],-12,0),0)</f>
        <v>0</v>
      </c>
      <c r="CX41" s="1" t="n">
        <f aca="false">IF(Explore!S41=1,20) - TblConstr[[#This Row],[Hom]] + TblConstr[[#This Row],[Dest Hom]]</f>
        <v>0</v>
      </c>
      <c r="CY41" s="132"/>
      <c r="CZ41" s="69" t="n">
        <f aca="false">G41+SUM(P30:S41)+SUM(AZ41:BC41)</f>
        <v>245</v>
      </c>
      <c r="DA41" s="69" t="n">
        <f aca="false">H41+SUM(T30:U41)+SUM(BD41:BE41)</f>
        <v>25</v>
      </c>
      <c r="DB41" s="1" t="n">
        <f aca="false">I41+SUM(V30:W41)+SUM(BF41:BG41)</f>
        <v>0</v>
      </c>
      <c r="DC41" s="69" t="n">
        <f aca="false">J41+SUM(X30:Y41)+SUM(BH41:BI41)</f>
        <v>67</v>
      </c>
      <c r="DD41" s="69" t="n">
        <f aca="false">K41+SUM(AB30:AD41)+SUM(BL41:BN41)</f>
        <v>72</v>
      </c>
      <c r="DE41" s="1" t="n">
        <f aca="false">L41+SUM(AE30:AE41)+BO41</f>
        <v>0</v>
      </c>
      <c r="DF41" s="69" t="n">
        <f aca="false">M41+SUM(AG30:AG41)+BQ41</f>
        <v>10</v>
      </c>
      <c r="DG41" s="69" t="e">
        <f aca="false" t="array" ref="DG41:DG41">INDEX(TblConstr[[Total Plain]:[Total Water]],ROW()-ROW(TblConstr[#headers]),MATCH("Total "&amp;home_land,TblConstr[[#Headers],[Total Plain]:[Total Water]],0))+TblConstr[[#This Row],[Homes]]</f>
        <v>#VALUE!</v>
      </c>
      <c r="DH41" s="1" t="n">
        <f aca="false">SUM(O30:O41)+AY41</f>
        <v>0</v>
      </c>
      <c r="DI41" s="1" t="n">
        <f aca="false">MAX(BA41-BA40,0)</f>
        <v>0</v>
      </c>
      <c r="DJ41" s="1" t="n">
        <f aca="false">MAX(BQ41-BQ40,0)</f>
        <v>0</v>
      </c>
    </row>
    <row r="42" customFormat="false" ht="12.75" hidden="false" customHeight="false" outlineLevel="0" collapsed="false">
      <c r="A42" s="170" t="n">
        <f aca="false">TblRezone[[#This Row],[Hour]]</f>
        <v>39</v>
      </c>
      <c r="B42" s="171" t="n">
        <f aca="false">SUM(TblConstr[[#This Row],[Plain]:[Water]])</f>
        <v>0</v>
      </c>
      <c r="C42" s="172" t="n">
        <f aca="false">SUM(TblConstr[[#This Row],[Tot Hom]:[Tot Doc]])</f>
        <v>299</v>
      </c>
      <c r="D42" s="172" t="n">
        <f aca="false">SUM(O31:AG42)</f>
        <v>120</v>
      </c>
      <c r="E42" s="173"/>
      <c r="F42" s="33" t="n">
        <f aca="false">TblConstr[[#This Row],[Barren]]+TblConstr[[#This Row],[Buildings]]+TblConstr[[#This Row],[Incoming]]</f>
        <v>419</v>
      </c>
      <c r="G42" s="199" t="n">
        <f aca="false">OFFSET(TblConstr[[#This Row],[Plain]],-1,0)+TblConstr[[#This Row],[Ch_Plain]]</f>
        <v>0</v>
      </c>
      <c r="H42" s="193" t="n">
        <f aca="false">OFFSET(TblConstr[[#This Row],[Forest]],-1,0)+TblConstr[[#This Row],[Ch_Forest]]</f>
        <v>0</v>
      </c>
      <c r="I42" s="200" t="n">
        <f aca="false">OFFSET(TblConstr[[#This Row],[Mountain]],-1,0)+TblConstr[[#This Row],[Ch_Mountain]]</f>
        <v>0</v>
      </c>
      <c r="J42" s="201" t="n">
        <f aca="false">OFFSET(TblConstr[[#This Row],[Hill]],-1,0)+TblConstr[[#This Row],[Ch_Hill]]</f>
        <v>0</v>
      </c>
      <c r="K42" s="202" t="n">
        <f aca="false">OFFSET(TblConstr[[#This Row],[Swamp]],-1,0)+TblConstr[[#This Row],[Ch_Swamp]]</f>
        <v>0</v>
      </c>
      <c r="L42" s="197" t="n">
        <f aca="false">OFFSET(TblConstr[[#This Row],[Cavern]],-1,0)+TblConstr[[#This Row],[Ch_Cavern]]</f>
        <v>0</v>
      </c>
      <c r="M42" s="198" t="n">
        <f aca="false">OFFSET(TblConstr[[#This Row],[Water]],-1,0)+TblConstr[[#This Row],[Ch_Water]]</f>
        <v>0</v>
      </c>
      <c r="N42" s="181" t="n">
        <f aca="false">TblRezone[[#This Row],[Hour]]</f>
        <v>39</v>
      </c>
      <c r="O42" s="182"/>
      <c r="P42" s="182"/>
      <c r="Q42" s="182"/>
      <c r="R42" s="152"/>
      <c r="S42" s="182"/>
      <c r="T42" s="182"/>
      <c r="U42" s="182"/>
      <c r="V42" s="182"/>
      <c r="W42" s="182"/>
      <c r="X42" s="182"/>
      <c r="Y42" s="182"/>
      <c r="Z42" s="182"/>
      <c r="AA42" s="182"/>
      <c r="AB42" s="182"/>
      <c r="AC42" s="182"/>
      <c r="AD42" s="182"/>
      <c r="AE42" s="182"/>
      <c r="AF42" s="182"/>
      <c r="AG42" s="182"/>
      <c r="AH42" s="20" t="n">
        <f aca="false">TblImps[[#This Row],[Time]]</f>
        <v>45431.3333333333</v>
      </c>
      <c r="AI42" s="130" t="n">
        <f aca="false">MIN(25%,(TblConstr[[#This Row],[Tot Fac]]+TblConstr[[#This Row],[Dest Fac]])/(TblConstr[[#This Row],[Land]]-TblExplore[[#This Row],[Land Bonus]]*20))</f>
        <v>0.121718377088305</v>
      </c>
      <c r="AJ42" s="130" t="n">
        <f aca="false">MIN(25%,(TblConstr[[#This Row],[Tot Fac]]+TblConstr[[#This Row],[Dest Fac]])/TblConstr[[#This Row],[Land]])</f>
        <v>0.121718377088305</v>
      </c>
      <c r="AK42" s="69" t="n">
        <f aca="false">TblProd[[#This Row],[Platinum]]</f>
        <v>77568</v>
      </c>
      <c r="AL42" s="69" t="n">
        <f aca="false">TblProd[[#This Row],[Lumber]]</f>
        <v>12958</v>
      </c>
      <c r="AM4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2" s="69" t="n">
        <f aca="false">ROUNDDOWN( MAX(1 - MIN(facs_constr_factor*TblConstr[[#This Row],[Facs -DB]],facs_constr_max) + tech_1_11*TblTech[[#This Row],[11-1]] + tech_6_3_2*TblTech[[#This Row],[6-3]] + tech_5_2_3*TblTech[[#This Row],[5-2]], 1-global_constr_cap) * TblConstr[[#This Row],[RCPA Lumber]],0)</f>
        <v>68</v>
      </c>
      <c r="AO4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2" s="69" t="n">
        <f aca="false">ROUNDDOWN( MAX(1 - MIN(facs_constr_factor*TblConstr[[#This Row],[Facs DB]],facs_constr_max) + tech_1_11*TblTech[[#This Row],[1-11]] + tech_6_3_2*TblTech[[#This Row],[6-3]] + tech_5_2_3*TblTech[[#This Row],[5-2]], 1-global_constr_cap) * ROUND((TblConstr[[#This Row],[Land]]-250)*0.285 + 87.5 + 0/4.25,0),0)</f>
        <v>68</v>
      </c>
      <c r="AQ42" s="1" t="n">
        <f aca="false">TblConstr[[#This Row],[build -db]]*TblConstr[[#This Row],[CPA Platinum -DB]] + TblConstr[[#This Row],[build db]]*TblConstr[[#This Row],[CPA Platinum DB]]</f>
        <v>0</v>
      </c>
      <c r="AR42" s="1" t="n">
        <f aca="false">TblConstr[[#This Row],[build -db]]*TblConstr[[#This Row],[CPA Lumber -DB]]+TblConstr[[#This Row],[build db]]*TblConstr[[#This Row],[CPA Lumber DB]]</f>
        <v>0</v>
      </c>
      <c r="AS42" s="69" t="n">
        <f aca="false">MIN(SUM(OFFSET(TblConstr[[#This Row],[Plain]:[Water]],-1,0))+SUM(TblConstr[[#This Row],[Dest Hom]:[Dest Doc]])+IF(TblConstr[[#This Row],[Hour]]&gt;12,SUM(OFFSET(TblExplore[[#This Row],[Plains Explore]:[Water Explore]],-12,0)),0),SUM(TblConstr[[#This Row],[Hom]:[Doc]]))</f>
        <v>0</v>
      </c>
      <c r="AT4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32"/>
      <c r="AV42" s="69" t="n">
        <f aca="false">ROUND((TblConstr[[#This Row],[Land]]-250 - IF(TblExplore[[#This Row],[Land Bonus]]&lt;&gt;0,20,0))*1.25 + 850 + 0,0)</f>
        <v>1061</v>
      </c>
      <c r="AW42" s="69" t="n">
        <f aca="false">ROUND((TblConstr[[#This Row],[Land]]-250 - IF(TblExplore[[#This Row],[Land Bonus]]&lt;&gt;0,20,0))*0.285 + 87.5 + 0/4.25,0)</f>
        <v>136</v>
      </c>
      <c r="AX42" s="146"/>
      <c r="AY42" s="203" t="n">
        <f aca="false" t="array" ref="AY42:AY42">IF(TblConstr[[#This Row],[Hour]:[Hour]]&gt;12,OFFSET(TblConstr[[#This Row],[Hom]],-12,0),0)+OFFSET(TblConstr[[#This Row],[Tot Hom]],-1,0)-TblConstr[[#This Row],[Dest Hom]]</f>
        <v>0</v>
      </c>
      <c r="AZ42" s="204" t="n">
        <f aca="false" t="array" ref="AZ42:AZ42">IF(TblConstr[[#This Row],[Hour]:[Hour]]&gt;12,OFFSET(TblConstr[[#This Row],[Alc]],-12,0),0)+OFFSET(TblConstr[[#This Row],[Tot Alc]],-1,0)-TblConstr[[#This Row],[Dest Alc]]</f>
        <v>147</v>
      </c>
      <c r="BA42" s="204" t="n">
        <f aca="false" t="array" ref="BA42:BA42">IF(TblConstr[[#This Row],[Hour]:[Hour]]&gt;12,OFFSET(TblConstr[[#This Row],[Far]],-12,0),0)+OFFSET(TblConstr[[#This Row],[Tot Farm]],-1,0)-TblConstr[[#This Row],[Dest Farm]]</f>
        <v>8</v>
      </c>
      <c r="BB42" s="204" t="n">
        <f aca="false" t="array" ref="BB42:BB42">IF(TblConstr[[#This Row],[Hour]:[Hour]]&gt;12,OFFSET(TblConstr[[#This Row],[Smi]],-12,0),0)+OFFSET(TblConstr[[#This Row],[Tot Smi]],-1,0)-TblConstr[[#This Row],[Dest Smi]]</f>
        <v>0</v>
      </c>
      <c r="BC42" s="204" t="n">
        <f aca="false" t="array" ref="BC42:BC42">IF(TblConstr[[#This Row],[Hour]:[Hour]]&gt;12,OFFSET(TblConstr[[#This Row],[Mas]],-12,0),0)+OFFSET(TblConstr[[#This Row],[Tot Mas]],-1,0)-TblConstr[[#This Row],[Dest Mas]]</f>
        <v>0</v>
      </c>
      <c r="BD42" s="205" t="n">
        <f aca="false" t="array" ref="BD42:BD42">IF(TblConstr[[#This Row],[Hour]:[Hour]]&gt;12,OFFSET(TblConstr[[#This Row],[Ly]],-12,0),0)+OFFSET(TblConstr[[#This Row],[Tot Ly]],-1,0)-TblConstr[[#This Row],[Dest Ly]]</f>
        <v>23</v>
      </c>
      <c r="BE42" s="205" t="n">
        <f aca="false" t="array" ref="BE42:BE42">IF(TblConstr[[#This Row],[Hour]:[Hour]]&gt;12,OFFSET(TblConstr[[#This Row],[Hav]],-12,0),0)+OFFSET(TblConstr[[#This Row],[Tot Hav]],-1,0)-TblConstr[[#This Row],[Dest Hav]]</f>
        <v>0</v>
      </c>
      <c r="BF42" s="194" t="n">
        <f aca="false" t="array" ref="BF42:BF42">IF(TblConstr[[#This Row],[Hour]:[Hour]]&gt;12,OFFSET(TblConstr[[#This Row],[OM]],-12,0),0)+OFFSET(TblConstr[[#This Row],[Tot OM]],-1,0)-TblConstr[[#This Row],[Dest OM]]</f>
        <v>0</v>
      </c>
      <c r="BG42" s="194" t="n">
        <f aca="false" t="array" ref="BG42:BG42">IF(TblConstr[[#This Row],[Hour]:[Hour]]&gt;12,OFFSET(TblConstr[[#This Row],[GN]],-12,0),0)+OFFSET(TblConstr[[#This Row],[Tot GN]],-1,0)-TblConstr[[#This Row],[Dest GN]]</f>
        <v>0</v>
      </c>
      <c r="BH42" s="206" t="n">
        <f aca="false" t="array" ref="BH42:BH42">IF(TblConstr[[#This Row],[Hour]:[Hour]]&gt;12,OFFSET(TblConstr[[#This Row],[Fac]],-12,0),0)+OFFSET(TblConstr[[#This Row],[Tot Fac]],-1,0)-TblConstr[[#This Row],[Dest Fac]]</f>
        <v>51</v>
      </c>
      <c r="BI42" s="206" t="n">
        <f aca="false" t="array" ref="BI42:BI42">IF(TblConstr[[#This Row],[Hour]:[Hour]]&gt;12,OFFSET(TblConstr[[#This Row],[GT]],-12,0),0)+OFFSET(TblConstr[[#This Row],[Tot GT]],-1,0)-TblConstr[[#This Row],[Dest GT]]</f>
        <v>0</v>
      </c>
      <c r="BJ42" s="206" t="n">
        <f aca="false" t="array" ref="BJ42:BJ42">IF(TblConstr[[#This Row],[Hour]:[Hour]]&gt;12,OFFSET(TblConstr[[#This Row],[Bar]],-12,0),0)+OFFSET(TblConstr[[#This Row],[Tot Bar]],-1,0)-TblConstr[[#This Row],[Dest Bar]]</f>
        <v>0</v>
      </c>
      <c r="BK42" s="206" t="n">
        <f aca="false" t="array" ref="BK42:BK42">IF(TblConstr[[#This Row],[Hour]:[Hour]]&gt;12,OFFSET(TblConstr[[#This Row],[Shr]],-12,0),0)+OFFSET(TblConstr[[#This Row],[Tot Shr]],-1,0)-TblConstr[[#This Row],[Dest Shr]]</f>
        <v>0</v>
      </c>
      <c r="BL42" s="207" t="n">
        <f aca="false" t="array" ref="BL42:BL42">IF(TblConstr[[#This Row],[Hour]:[Hour]]&gt;12,OFFSET(TblConstr[[#This Row],[Tow]],-12,0),0)+OFFSET(TblConstr[[#This Row],[Tot Tow]],-1,0)-TblConstr[[#This Row],[Dest Tow]]</f>
        <v>18</v>
      </c>
      <c r="BM42" s="207" t="n">
        <f aca="false" t="array" ref="BM42:BM42">IF(TblConstr[[#This Row],[Hour]:[Hour]]&gt;12,OFFSET(TblConstr[[#This Row],[Tem]],-12,0),0)+OFFSET(TblConstr[[#This Row],[Tot Tem]],-1,0)-TblConstr[[#This Row],[Dest Tem]]</f>
        <v>47</v>
      </c>
      <c r="BN42" s="207" t="n">
        <f aca="false" t="array" ref="BN42:BN42">IF(TblConstr[[#This Row],[Hour]:[Hour]]&gt;12,OFFSET(TblConstr[[#This Row],[WG]],-12,0),0)+OFFSET(TblConstr[[#This Row],[Tot WG]],-1,0)-TblConstr[[#This Row],[Dest WG]]</f>
        <v>0</v>
      </c>
      <c r="BO42" s="208" t="n">
        <f aca="false" t="array" ref="BO42:BO42">IF(TblConstr[[#This Row],[Hour]:[Hour]]&gt;12,OFFSET(TblConstr[[#This Row],[DM]],-12,0),0)+OFFSET(TblConstr[[#This Row],[Tot DM]],-1,0)-TblConstr[[#This Row],[Dest DM]]</f>
        <v>0</v>
      </c>
      <c r="BP42" s="208" t="n">
        <f aca="false" t="array" ref="BP42:BP42">IF(TblConstr[[#This Row],[Hour]:[Hour]]&gt;12,OFFSET(TblConstr[[#This Row],[Sch]],-12,0),0)+OFFSET(TblConstr[[#This Row],[Tot Sch]],-1,0)-TblConstr[[#This Row],[Dest Sch]]</f>
        <v>0</v>
      </c>
      <c r="BQ42" s="209" t="n">
        <f aca="false" t="array" ref="BQ42:BQ42">IF(TblConstr[[#This Row],[Hour]:[Hour]]&gt;12,OFFSET(TblConstr[[#This Row],[Doc]],-12,0),0)+OFFSET(TblConstr[[#This Row],[Tot Doc]],-1,0)-TblConstr[[#This Row],[Dest Doc]]</f>
        <v>5</v>
      </c>
      <c r="BR42" s="132"/>
      <c r="BS42" s="146"/>
      <c r="BT42" s="69" t="n">
        <f aca="false">TblConstr[[#This Row],[Land]]</f>
        <v>419</v>
      </c>
      <c r="BU42" s="153" t="n">
        <f aca="false">TblImps[[#This Row],[Time]]</f>
        <v>45431.3333333333</v>
      </c>
      <c r="BV42" s="132"/>
      <c r="BW42" s="182"/>
      <c r="BX42" s="152"/>
      <c r="BY42" s="182"/>
      <c r="BZ42" s="182"/>
      <c r="CA42" s="182"/>
      <c r="CB42" s="182"/>
      <c r="CC42" s="182"/>
      <c r="CD42" s="182"/>
      <c r="CE42" s="182"/>
      <c r="CF42" s="182"/>
      <c r="CG42" s="182"/>
      <c r="CH42" s="182"/>
      <c r="CI42" s="182"/>
      <c r="CJ42" s="182"/>
      <c r="CK42" s="182"/>
      <c r="CL42" s="182"/>
      <c r="CM42" s="182"/>
      <c r="CN42" s="182"/>
      <c r="CO42" s="182"/>
      <c r="CP42" s="132"/>
      <c r="CQ42" s="192" t="n">
        <f aca="false">-SUM(TblConstr[[#This Row],[Alc]:[Mas]])+SUM(TblConstr[[#This Row],[Dest Alc]:[Dest Mas]])+Rezone!L42+IF("Ch_"&amp; home_land=TblConstr[[#Headers],[Ch_Plain]],TblConstr[[#This Row],[Home Land]])+IF(TblConstr[[#This Row],[Hour]:[Hour]]&gt;12,OFFSET(TblExplore[[#This Row],[Plains Explore]],-12,0),0)</f>
        <v>0</v>
      </c>
      <c r="CR42" s="193" t="n">
        <f aca="false">-SUM(TblConstr[[#This Row],[Ly]:[Hav]])+SUM(TblConstr[[#This Row],[Dest Ly]:[Dest Hav]]) +Rezone!M42 + IF("Ch_"&amp; home_land=TblConstr[[#Headers],[Ch_Forest]],TblConstr[[#This Row],[Home Land]])+IF(TblConstr[[#This Row],[Hour]:[Hour]]&gt;12,OFFSET(TblExplore[[#This Row],[Forest Explore]],-12,0),0)</f>
        <v>0</v>
      </c>
      <c r="CS42" s="200" t="n">
        <f aca="false">-SUM(TblConstr[[#This Row],[OM]:[GN]])+SUM(TblConstr[[#This Row],[Dest OM]:[Dest GN]]) +Rezone!N42 + IF("Ch_"&amp; home_land=TblConstr[[#Headers],[Ch_Mountain]],TblConstr[[#This Row],[Home Land]])+IF(TblConstr[[#This Row],[Hour]:[Hour]]&gt;12,OFFSET(TblExplore[[#This Row],[Mountain Explore]],-12,0),0)</f>
        <v>0</v>
      </c>
      <c r="CT42" s="195" t="n">
        <f aca="false">-SUM(TblConstr[[#This Row],[Fac]:[Shr]])+SUM(TblConstr[[#This Row],[Dest Fac]:[Dest Shr]]) +Rezone!O42 + IF("Ch_" &amp; home_land=TblConstr[[#Headers],[Ch_Hill]],TblConstr[[#This Row],[Home Land]])+IF(TblConstr[[#This Row],[Hour]:[Hour]]&gt;12,OFFSET(TblExplore[[#This Row],[Hill Explore]],-12,0),0)</f>
        <v>0</v>
      </c>
      <c r="CU42" s="196" t="n">
        <f aca="false">-SUM(TblConstr[[#This Row],[Tow]:[WG]])+SUM(TblConstr[[#This Row],[Dest Tow]:[Dest WG]]) +Rezone!P42 + IF("Ch_" &amp; home_land=TblConstr[[#Headers],[Ch_Swamp]],TblConstr[[#This Row],[Home Land]])+IF(TblConstr[[#This Row],[Hour]:[Hour]]&gt;12,OFFSET(TblExplore[[#This Row],[Swamp Explore]],-12,0),0)</f>
        <v>0</v>
      </c>
      <c r="CV42" s="197" t="n">
        <f aca="false">- SUM(TblConstr[[#This Row],[DM]:[Sch]])+SUM(TblConstr[[#This Row],[Dest DM]:[Dest Sch]]) +Rezone!Q42 + IF("Ch_" &amp; home_land=TblConstr[[#Headers],[Ch_Cavern]],TblConstr[[#This Row],[Home Land]])+IF(TblConstr[[#This Row],[Hour]:[Hour]]&gt;12,OFFSET(TblExplore[[#This Row],[Cavern Explore]],-12,0),0)</f>
        <v>0</v>
      </c>
      <c r="CW42" s="198" t="n">
        <f aca="false">-TblConstr[[#This Row],[Doc]]+TblConstr[[#This Row],[Dest Doc]] +Rezone!R42 + IF("Ch_" &amp; home_land=TblConstr[[#Headers],[Ch_Water]],TblConstr[[#This Row],[Home Land]])+IF(TblConstr[[#This Row],[Hour]:[Hour]]&gt;12,OFFSET(TblExplore[[#This Row],[Water Explore]],-12,0),0)</f>
        <v>0</v>
      </c>
      <c r="CX42" s="1" t="n">
        <f aca="false">IF(Explore!S42=1,20) - TblConstr[[#This Row],[Hom]] + TblConstr[[#This Row],[Dest Hom]]</f>
        <v>0</v>
      </c>
      <c r="CY42" s="132"/>
      <c r="CZ42" s="69" t="n">
        <f aca="false">G42+SUM(P31:S42)+SUM(AZ42:BC42)</f>
        <v>245</v>
      </c>
      <c r="DA42" s="69" t="n">
        <f aca="false">H42+SUM(T31:U42)+SUM(BD42:BE42)</f>
        <v>25</v>
      </c>
      <c r="DB42" s="1" t="n">
        <f aca="false">I42+SUM(V31:W42)+SUM(BF42:BG42)</f>
        <v>0</v>
      </c>
      <c r="DC42" s="69" t="n">
        <f aca="false">J42+SUM(X31:Y42)+SUM(BH42:BI42)</f>
        <v>67</v>
      </c>
      <c r="DD42" s="69" t="n">
        <f aca="false">K42+SUM(AB31:AD42)+SUM(BL42:BN42)</f>
        <v>72</v>
      </c>
      <c r="DE42" s="1" t="n">
        <f aca="false">L42+SUM(AE31:AE42)+BO42</f>
        <v>0</v>
      </c>
      <c r="DF42" s="69" t="n">
        <f aca="false">M42+SUM(AG31:AG42)+BQ42</f>
        <v>10</v>
      </c>
      <c r="DG42" s="69" t="e">
        <f aca="false" t="array" ref="DG42:DG42">INDEX(TblConstr[[Total Plain]:[Total Water]],ROW()-ROW(TblConstr[#headers]),MATCH("Total "&amp;home_land,TblConstr[[#Headers],[Total Plain]:[Total Water]],0))+TblConstr[[#This Row],[Homes]]</f>
        <v>#VALUE!</v>
      </c>
      <c r="DH42" s="1" t="n">
        <f aca="false">SUM(O31:O42)+AY42</f>
        <v>0</v>
      </c>
      <c r="DI42" s="1" t="n">
        <f aca="false">MAX(BA42-BA41,0)</f>
        <v>0</v>
      </c>
      <c r="DJ42" s="1" t="n">
        <f aca="false">MAX(BQ42-BQ41,0)</f>
        <v>0</v>
      </c>
    </row>
    <row r="43" customFormat="false" ht="12.75" hidden="false" customHeight="false" outlineLevel="0" collapsed="false">
      <c r="A43" s="170" t="n">
        <f aca="false">TblRezone[[#This Row],[Hour]]</f>
        <v>40</v>
      </c>
      <c r="B43" s="171" t="n">
        <f aca="false">SUM(TblConstr[[#This Row],[Plain]:[Water]])</f>
        <v>0</v>
      </c>
      <c r="C43" s="172" t="n">
        <f aca="false">SUM(TblConstr[[#This Row],[Tot Hom]:[Tot Doc]])</f>
        <v>299</v>
      </c>
      <c r="D43" s="172" t="n">
        <f aca="false">SUM(O32:AG43)</f>
        <v>120</v>
      </c>
      <c r="E43" s="173"/>
      <c r="F43" s="33" t="n">
        <f aca="false">TblConstr[[#This Row],[Barren]]+TblConstr[[#This Row],[Buildings]]+TblConstr[[#This Row],[Incoming]]</f>
        <v>419</v>
      </c>
      <c r="G43" s="199" t="n">
        <f aca="false">OFFSET(TblConstr[[#This Row],[Plain]],-1,0)+TblConstr[[#This Row],[Ch_Plain]]</f>
        <v>0</v>
      </c>
      <c r="H43" s="193" t="n">
        <f aca="false">OFFSET(TblConstr[[#This Row],[Forest]],-1,0)+TblConstr[[#This Row],[Ch_Forest]]</f>
        <v>0</v>
      </c>
      <c r="I43" s="200" t="n">
        <f aca="false">OFFSET(TblConstr[[#This Row],[Mountain]],-1,0)+TblConstr[[#This Row],[Ch_Mountain]]</f>
        <v>0</v>
      </c>
      <c r="J43" s="201" t="n">
        <f aca="false">OFFSET(TblConstr[[#This Row],[Hill]],-1,0)+TblConstr[[#This Row],[Ch_Hill]]</f>
        <v>0</v>
      </c>
      <c r="K43" s="202" t="n">
        <f aca="false">OFFSET(TblConstr[[#This Row],[Swamp]],-1,0)+TblConstr[[#This Row],[Ch_Swamp]]</f>
        <v>0</v>
      </c>
      <c r="L43" s="197" t="n">
        <f aca="false">OFFSET(TblConstr[[#This Row],[Cavern]],-1,0)+TblConstr[[#This Row],[Ch_Cavern]]</f>
        <v>0</v>
      </c>
      <c r="M43" s="198" t="n">
        <f aca="false">OFFSET(TblConstr[[#This Row],[Water]],-1,0)+TblConstr[[#This Row],[Ch_Water]]</f>
        <v>0</v>
      </c>
      <c r="N43" s="181" t="n">
        <f aca="false">TblRezone[[#This Row],[Hour]]</f>
        <v>40</v>
      </c>
      <c r="O43" s="182"/>
      <c r="P43" s="182"/>
      <c r="Q43" s="182"/>
      <c r="R43" s="152"/>
      <c r="S43" s="182"/>
      <c r="T43" s="182"/>
      <c r="U43" s="182"/>
      <c r="V43" s="182"/>
      <c r="W43" s="182"/>
      <c r="X43" s="182"/>
      <c r="Y43" s="182"/>
      <c r="Z43" s="182"/>
      <c r="AA43" s="182"/>
      <c r="AB43" s="182"/>
      <c r="AC43" s="182"/>
      <c r="AD43" s="182"/>
      <c r="AE43" s="182"/>
      <c r="AF43" s="182"/>
      <c r="AG43" s="182"/>
      <c r="AH43" s="20" t="n">
        <f aca="false">TblImps[[#This Row],[Time]]</f>
        <v>45431.375</v>
      </c>
      <c r="AI43" s="130" t="n">
        <f aca="false">MIN(25%,(TblConstr[[#This Row],[Tot Fac]]+TblConstr[[#This Row],[Dest Fac]])/(TblConstr[[#This Row],[Land]]-TblExplore[[#This Row],[Land Bonus]]*20))</f>
        <v>0.121718377088305</v>
      </c>
      <c r="AJ43" s="130" t="n">
        <f aca="false">MIN(25%,(TblConstr[[#This Row],[Tot Fac]]+TblConstr[[#This Row],[Dest Fac]])/TblConstr[[#This Row],[Land]])</f>
        <v>0.121718377088305</v>
      </c>
      <c r="AK43" s="69" t="n">
        <f aca="false">TblProd[[#This Row],[Platinum]]</f>
        <v>85587</v>
      </c>
      <c r="AL43" s="69" t="n">
        <f aca="false">TblProd[[#This Row],[Lumber]]</f>
        <v>13863</v>
      </c>
      <c r="AM4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3" s="69" t="n">
        <f aca="false">ROUNDDOWN( MAX(1 - MIN(facs_constr_factor*TblConstr[[#This Row],[Facs -DB]],facs_constr_max) + tech_1_11*TblTech[[#This Row],[11-1]] + tech_6_3_2*TblTech[[#This Row],[6-3]] + tech_5_2_3*TblTech[[#This Row],[5-2]], 1-global_constr_cap) * TblConstr[[#This Row],[RCPA Lumber]],0)</f>
        <v>68</v>
      </c>
      <c r="AO4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3" s="69" t="n">
        <f aca="false">ROUNDDOWN( MAX(1 - MIN(facs_constr_factor*TblConstr[[#This Row],[Facs DB]],facs_constr_max) + tech_1_11*TblTech[[#This Row],[1-11]] + tech_6_3_2*TblTech[[#This Row],[6-3]] + tech_5_2_3*TblTech[[#This Row],[5-2]], 1-global_constr_cap) * ROUND((TblConstr[[#This Row],[Land]]-250)*0.285 + 87.5 + 0/4.25,0),0)</f>
        <v>68</v>
      </c>
      <c r="AQ43" s="1" t="n">
        <f aca="false">TblConstr[[#This Row],[build -db]]*TblConstr[[#This Row],[CPA Platinum -DB]] + TblConstr[[#This Row],[build db]]*TblConstr[[#This Row],[CPA Platinum DB]]</f>
        <v>0</v>
      </c>
      <c r="AR43" s="1" t="n">
        <f aca="false">TblConstr[[#This Row],[build -db]]*TblConstr[[#This Row],[CPA Lumber -DB]]+TblConstr[[#This Row],[build db]]*TblConstr[[#This Row],[CPA Lumber DB]]</f>
        <v>0</v>
      </c>
      <c r="AS43" s="69" t="n">
        <f aca="false">MIN(SUM(OFFSET(TblConstr[[#This Row],[Plain]:[Water]],-1,0))+SUM(TblConstr[[#This Row],[Dest Hom]:[Dest Doc]])+IF(TblConstr[[#This Row],[Hour]]&gt;12,SUM(OFFSET(TblExplore[[#This Row],[Plains Explore]:[Water Explore]],-12,0)),0),SUM(TblConstr[[#This Row],[Hom]:[Doc]]))</f>
        <v>0</v>
      </c>
      <c r="AT4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32"/>
      <c r="AV43" s="69" t="n">
        <f aca="false">ROUND((TblConstr[[#This Row],[Land]]-250 - IF(TblExplore[[#This Row],[Land Bonus]]&lt;&gt;0,20,0))*1.25 + 850 + 0,0)</f>
        <v>1061</v>
      </c>
      <c r="AW43" s="69" t="n">
        <f aca="false">ROUND((TblConstr[[#This Row],[Land]]-250 - IF(TblExplore[[#This Row],[Land Bonus]]&lt;&gt;0,20,0))*0.285 + 87.5 + 0/4.25,0)</f>
        <v>136</v>
      </c>
      <c r="AX43" s="146"/>
      <c r="AY43" s="203" t="n">
        <f aca="false" t="array" ref="AY43:AY43">IF(TblConstr[[#This Row],[Hour]:[Hour]]&gt;12,OFFSET(TblConstr[[#This Row],[Hom]],-12,0),0)+OFFSET(TblConstr[[#This Row],[Tot Hom]],-1,0)-TblConstr[[#This Row],[Dest Hom]]</f>
        <v>0</v>
      </c>
      <c r="AZ43" s="204" t="n">
        <f aca="false" t="array" ref="AZ43:AZ43">IF(TblConstr[[#This Row],[Hour]:[Hour]]&gt;12,OFFSET(TblConstr[[#This Row],[Alc]],-12,0),0)+OFFSET(TblConstr[[#This Row],[Tot Alc]],-1,0)-TblConstr[[#This Row],[Dest Alc]]</f>
        <v>147</v>
      </c>
      <c r="BA43" s="204" t="n">
        <f aca="false" t="array" ref="BA43:BA43">IF(TblConstr[[#This Row],[Hour]:[Hour]]&gt;12,OFFSET(TblConstr[[#This Row],[Far]],-12,0),0)+OFFSET(TblConstr[[#This Row],[Tot Farm]],-1,0)-TblConstr[[#This Row],[Dest Farm]]</f>
        <v>8</v>
      </c>
      <c r="BB43" s="204" t="n">
        <f aca="false" t="array" ref="BB43:BB43">IF(TblConstr[[#This Row],[Hour]:[Hour]]&gt;12,OFFSET(TblConstr[[#This Row],[Smi]],-12,0),0)+OFFSET(TblConstr[[#This Row],[Tot Smi]],-1,0)-TblConstr[[#This Row],[Dest Smi]]</f>
        <v>0</v>
      </c>
      <c r="BC43" s="204" t="n">
        <f aca="false" t="array" ref="BC43:BC43">IF(TblConstr[[#This Row],[Hour]:[Hour]]&gt;12,OFFSET(TblConstr[[#This Row],[Mas]],-12,0),0)+OFFSET(TblConstr[[#This Row],[Tot Mas]],-1,0)-TblConstr[[#This Row],[Dest Mas]]</f>
        <v>0</v>
      </c>
      <c r="BD43" s="205" t="n">
        <f aca="false" t="array" ref="BD43:BD43">IF(TblConstr[[#This Row],[Hour]:[Hour]]&gt;12,OFFSET(TblConstr[[#This Row],[Ly]],-12,0),0)+OFFSET(TblConstr[[#This Row],[Tot Ly]],-1,0)-TblConstr[[#This Row],[Dest Ly]]</f>
        <v>23</v>
      </c>
      <c r="BE43" s="205" t="n">
        <f aca="false" t="array" ref="BE43:BE43">IF(TblConstr[[#This Row],[Hour]:[Hour]]&gt;12,OFFSET(TblConstr[[#This Row],[Hav]],-12,0),0)+OFFSET(TblConstr[[#This Row],[Tot Hav]],-1,0)-TblConstr[[#This Row],[Dest Hav]]</f>
        <v>0</v>
      </c>
      <c r="BF43" s="194" t="n">
        <f aca="false" t="array" ref="BF43:BF43">IF(TblConstr[[#This Row],[Hour]:[Hour]]&gt;12,OFFSET(TblConstr[[#This Row],[OM]],-12,0),0)+OFFSET(TblConstr[[#This Row],[Tot OM]],-1,0)-TblConstr[[#This Row],[Dest OM]]</f>
        <v>0</v>
      </c>
      <c r="BG43" s="194" t="n">
        <f aca="false" t="array" ref="BG43:BG43">IF(TblConstr[[#This Row],[Hour]:[Hour]]&gt;12,OFFSET(TblConstr[[#This Row],[GN]],-12,0),0)+OFFSET(TblConstr[[#This Row],[Tot GN]],-1,0)-TblConstr[[#This Row],[Dest GN]]</f>
        <v>0</v>
      </c>
      <c r="BH43" s="206" t="n">
        <f aca="false" t="array" ref="BH43:BH43">IF(TblConstr[[#This Row],[Hour]:[Hour]]&gt;12,OFFSET(TblConstr[[#This Row],[Fac]],-12,0),0)+OFFSET(TblConstr[[#This Row],[Tot Fac]],-1,0)-TblConstr[[#This Row],[Dest Fac]]</f>
        <v>51</v>
      </c>
      <c r="BI43" s="206" t="n">
        <f aca="false" t="array" ref="BI43:BI43">IF(TblConstr[[#This Row],[Hour]:[Hour]]&gt;12,OFFSET(TblConstr[[#This Row],[GT]],-12,0),0)+OFFSET(TblConstr[[#This Row],[Tot GT]],-1,0)-TblConstr[[#This Row],[Dest GT]]</f>
        <v>0</v>
      </c>
      <c r="BJ43" s="206" t="n">
        <f aca="false" t="array" ref="BJ43:BJ43">IF(TblConstr[[#This Row],[Hour]:[Hour]]&gt;12,OFFSET(TblConstr[[#This Row],[Bar]],-12,0),0)+OFFSET(TblConstr[[#This Row],[Tot Bar]],-1,0)-TblConstr[[#This Row],[Dest Bar]]</f>
        <v>0</v>
      </c>
      <c r="BK43" s="206" t="n">
        <f aca="false" t="array" ref="BK43:BK43">IF(TblConstr[[#This Row],[Hour]:[Hour]]&gt;12,OFFSET(TblConstr[[#This Row],[Shr]],-12,0),0)+OFFSET(TblConstr[[#This Row],[Tot Shr]],-1,0)-TblConstr[[#This Row],[Dest Shr]]</f>
        <v>0</v>
      </c>
      <c r="BL43" s="207" t="n">
        <f aca="false" t="array" ref="BL43:BL43">IF(TblConstr[[#This Row],[Hour]:[Hour]]&gt;12,OFFSET(TblConstr[[#This Row],[Tow]],-12,0),0)+OFFSET(TblConstr[[#This Row],[Tot Tow]],-1,0)-TblConstr[[#This Row],[Dest Tow]]</f>
        <v>18</v>
      </c>
      <c r="BM43" s="207" t="n">
        <f aca="false" t="array" ref="BM43:BM43">IF(TblConstr[[#This Row],[Hour]:[Hour]]&gt;12,OFFSET(TblConstr[[#This Row],[Tem]],-12,0),0)+OFFSET(TblConstr[[#This Row],[Tot Tem]],-1,0)-TblConstr[[#This Row],[Dest Tem]]</f>
        <v>47</v>
      </c>
      <c r="BN43" s="207" t="n">
        <f aca="false" t="array" ref="BN43:BN43">IF(TblConstr[[#This Row],[Hour]:[Hour]]&gt;12,OFFSET(TblConstr[[#This Row],[WG]],-12,0),0)+OFFSET(TblConstr[[#This Row],[Tot WG]],-1,0)-TblConstr[[#This Row],[Dest WG]]</f>
        <v>0</v>
      </c>
      <c r="BO43" s="208" t="n">
        <f aca="false" t="array" ref="BO43:BO43">IF(TblConstr[[#This Row],[Hour]:[Hour]]&gt;12,OFFSET(TblConstr[[#This Row],[DM]],-12,0),0)+OFFSET(TblConstr[[#This Row],[Tot DM]],-1,0)-TblConstr[[#This Row],[Dest DM]]</f>
        <v>0</v>
      </c>
      <c r="BP43" s="208" t="n">
        <f aca="false" t="array" ref="BP43:BP43">IF(TblConstr[[#This Row],[Hour]:[Hour]]&gt;12,OFFSET(TblConstr[[#This Row],[Sch]],-12,0),0)+OFFSET(TblConstr[[#This Row],[Tot Sch]],-1,0)-TblConstr[[#This Row],[Dest Sch]]</f>
        <v>0</v>
      </c>
      <c r="BQ43" s="209" t="n">
        <f aca="false" t="array" ref="BQ43:BQ43">IF(TblConstr[[#This Row],[Hour]:[Hour]]&gt;12,OFFSET(TblConstr[[#This Row],[Doc]],-12,0),0)+OFFSET(TblConstr[[#This Row],[Tot Doc]],-1,0)-TblConstr[[#This Row],[Dest Doc]]</f>
        <v>5</v>
      </c>
      <c r="BR43" s="132"/>
      <c r="BS43" s="146"/>
      <c r="BT43" s="69" t="n">
        <f aca="false">TblConstr[[#This Row],[Land]]</f>
        <v>419</v>
      </c>
      <c r="BU43" s="153" t="n">
        <f aca="false">TblImps[[#This Row],[Time]]</f>
        <v>45431.375</v>
      </c>
      <c r="BV43" s="132"/>
      <c r="BW43" s="182"/>
      <c r="BX43" s="182"/>
      <c r="BY43" s="182"/>
      <c r="BZ43" s="182"/>
      <c r="CA43" s="182"/>
      <c r="CB43" s="182"/>
      <c r="CC43" s="182"/>
      <c r="CD43" s="182"/>
      <c r="CE43" s="182"/>
      <c r="CF43" s="182"/>
      <c r="CG43" s="182"/>
      <c r="CH43" s="182"/>
      <c r="CI43" s="182"/>
      <c r="CJ43" s="182"/>
      <c r="CK43" s="182"/>
      <c r="CL43" s="182"/>
      <c r="CM43" s="182"/>
      <c r="CN43" s="182"/>
      <c r="CO43" s="182"/>
      <c r="CP43" s="132"/>
      <c r="CQ43" s="192" t="n">
        <f aca="false">-SUM(TblConstr[[#This Row],[Alc]:[Mas]])+SUM(TblConstr[[#This Row],[Dest Alc]:[Dest Mas]])+Rezone!L43+IF("Ch_"&amp; home_land=TblConstr[[#Headers],[Ch_Plain]],TblConstr[[#This Row],[Home Land]])+IF(TblConstr[[#This Row],[Hour]:[Hour]]&gt;12,OFFSET(TblExplore[[#This Row],[Plains Explore]],-12,0),0)</f>
        <v>0</v>
      </c>
      <c r="CR43" s="193" t="n">
        <f aca="false">-SUM(TblConstr[[#This Row],[Ly]:[Hav]])+SUM(TblConstr[[#This Row],[Dest Ly]:[Dest Hav]]) +Rezone!M43 + IF("Ch_"&amp; home_land=TblConstr[[#Headers],[Ch_Forest]],TblConstr[[#This Row],[Home Land]])+IF(TblConstr[[#This Row],[Hour]:[Hour]]&gt;12,OFFSET(TblExplore[[#This Row],[Forest Explore]],-12,0),0)</f>
        <v>0</v>
      </c>
      <c r="CS43" s="200" t="n">
        <f aca="false">-SUM(TblConstr[[#This Row],[OM]:[GN]])+SUM(TblConstr[[#This Row],[Dest OM]:[Dest GN]]) +Rezone!N43 + IF("Ch_"&amp; home_land=TblConstr[[#Headers],[Ch_Mountain]],TblConstr[[#This Row],[Home Land]])+IF(TblConstr[[#This Row],[Hour]:[Hour]]&gt;12,OFFSET(TblExplore[[#This Row],[Mountain Explore]],-12,0),0)</f>
        <v>0</v>
      </c>
      <c r="CT43" s="195" t="n">
        <f aca="false">-SUM(TblConstr[[#This Row],[Fac]:[Shr]])+SUM(TblConstr[[#This Row],[Dest Fac]:[Dest Shr]]) +Rezone!O43 + IF("Ch_" &amp; home_land=TblConstr[[#Headers],[Ch_Hill]],TblConstr[[#This Row],[Home Land]])+IF(TblConstr[[#This Row],[Hour]:[Hour]]&gt;12,OFFSET(TblExplore[[#This Row],[Hill Explore]],-12,0),0)</f>
        <v>0</v>
      </c>
      <c r="CU43" s="196" t="n">
        <f aca="false">-SUM(TblConstr[[#This Row],[Tow]:[WG]])+SUM(TblConstr[[#This Row],[Dest Tow]:[Dest WG]]) +Rezone!P43 + IF("Ch_" &amp; home_land=TblConstr[[#Headers],[Ch_Swamp]],TblConstr[[#This Row],[Home Land]])+IF(TblConstr[[#This Row],[Hour]:[Hour]]&gt;12,OFFSET(TblExplore[[#This Row],[Swamp Explore]],-12,0),0)</f>
        <v>0</v>
      </c>
      <c r="CV43" s="197" t="n">
        <f aca="false">- SUM(TblConstr[[#This Row],[DM]:[Sch]])+SUM(TblConstr[[#This Row],[Dest DM]:[Dest Sch]]) +Rezone!Q43 + IF("Ch_" &amp; home_land=TblConstr[[#Headers],[Ch_Cavern]],TblConstr[[#This Row],[Home Land]])+IF(TblConstr[[#This Row],[Hour]:[Hour]]&gt;12,OFFSET(TblExplore[[#This Row],[Cavern Explore]],-12,0),0)</f>
        <v>0</v>
      </c>
      <c r="CW43" s="198" t="n">
        <f aca="false">-TblConstr[[#This Row],[Doc]]+TblConstr[[#This Row],[Dest Doc]] +Rezone!R43 + IF("Ch_" &amp; home_land=TblConstr[[#Headers],[Ch_Water]],TblConstr[[#This Row],[Home Land]])+IF(TblConstr[[#This Row],[Hour]:[Hour]]&gt;12,OFFSET(TblExplore[[#This Row],[Water Explore]],-12,0),0)</f>
        <v>0</v>
      </c>
      <c r="CX43" s="1" t="n">
        <f aca="false">IF(Explore!S43=1,20) - TblConstr[[#This Row],[Hom]] + TblConstr[[#This Row],[Dest Hom]]</f>
        <v>0</v>
      </c>
      <c r="CY43" s="132"/>
      <c r="CZ43" s="69" t="n">
        <f aca="false">G43+SUM(P32:S43)+SUM(AZ43:BC43)</f>
        <v>245</v>
      </c>
      <c r="DA43" s="69" t="n">
        <f aca="false">H43+SUM(T32:U43)+SUM(BD43:BE43)</f>
        <v>25</v>
      </c>
      <c r="DB43" s="1" t="n">
        <f aca="false">I43+SUM(V32:W43)+SUM(BF43:BG43)</f>
        <v>0</v>
      </c>
      <c r="DC43" s="69" t="n">
        <f aca="false">J43+SUM(X32:Y43)+SUM(BH43:BI43)</f>
        <v>67</v>
      </c>
      <c r="DD43" s="69" t="n">
        <f aca="false">K43+SUM(AB32:AD43)+SUM(BL43:BN43)</f>
        <v>72</v>
      </c>
      <c r="DE43" s="1" t="n">
        <f aca="false">L43+SUM(AE32:AE43)+BO43</f>
        <v>0</v>
      </c>
      <c r="DF43" s="69" t="n">
        <f aca="false">M43+SUM(AG32:AG43)+BQ43</f>
        <v>10</v>
      </c>
      <c r="DG43" s="69" t="e">
        <f aca="false" t="array" ref="DG43:DG43">INDEX(TblConstr[[Total Plain]:[Total Water]],ROW()-ROW(TblConstr[#headers]),MATCH("Total "&amp;home_land,TblConstr[[#Headers],[Total Plain]:[Total Water]],0))+TblConstr[[#This Row],[Homes]]</f>
        <v>#VALUE!</v>
      </c>
      <c r="DH43" s="1" t="n">
        <f aca="false">SUM(O32:O43)+AY43</f>
        <v>0</v>
      </c>
      <c r="DI43" s="1" t="n">
        <f aca="false">MAX(BA43-BA42,0)</f>
        <v>0</v>
      </c>
      <c r="DJ43" s="1" t="n">
        <f aca="false">MAX(BQ43-BQ42,0)</f>
        <v>0</v>
      </c>
    </row>
    <row r="44" customFormat="false" ht="12.75" hidden="false" customHeight="false" outlineLevel="0" collapsed="false">
      <c r="A44" s="170" t="n">
        <f aca="false">TblRezone[[#This Row],[Hour]]</f>
        <v>41</v>
      </c>
      <c r="B44" s="171" t="n">
        <f aca="false">SUM(TblConstr[[#This Row],[Plain]:[Water]])</f>
        <v>0</v>
      </c>
      <c r="C44" s="172" t="n">
        <f aca="false">SUM(TblConstr[[#This Row],[Tot Hom]:[Tot Doc]])</f>
        <v>299</v>
      </c>
      <c r="D44" s="172" t="n">
        <f aca="false">SUM(O33:AG44)</f>
        <v>202</v>
      </c>
      <c r="E44" s="173"/>
      <c r="F44" s="33" t="n">
        <f aca="false">TblConstr[[#This Row],[Barren]]+TblConstr[[#This Row],[Buildings]]+TblConstr[[#This Row],[Incoming]]</f>
        <v>501</v>
      </c>
      <c r="G44" s="199" t="n">
        <f aca="false">OFFSET(TblConstr[[#This Row],[Plain]],-1,0)+TblConstr[[#This Row],[Ch_Plain]]</f>
        <v>0</v>
      </c>
      <c r="H44" s="193" t="n">
        <f aca="false">OFFSET(TblConstr[[#This Row],[Forest]],-1,0)+TblConstr[[#This Row],[Ch_Forest]]</f>
        <v>0</v>
      </c>
      <c r="I44" s="200" t="n">
        <f aca="false">OFFSET(TblConstr[[#This Row],[Mountain]],-1,0)+TblConstr[[#This Row],[Ch_Mountain]]</f>
        <v>0</v>
      </c>
      <c r="J44" s="201" t="n">
        <f aca="false">OFFSET(TblConstr[[#This Row],[Hill]],-1,0)+TblConstr[[#This Row],[Ch_Hill]]</f>
        <v>0</v>
      </c>
      <c r="K44" s="202" t="n">
        <f aca="false">OFFSET(TblConstr[[#This Row],[Swamp]],-1,0)+TblConstr[[#This Row],[Ch_Swamp]]</f>
        <v>0</v>
      </c>
      <c r="L44" s="197" t="n">
        <f aca="false">OFFSET(TblConstr[[#This Row],[Cavern]],-1,0)+TblConstr[[#This Row],[Ch_Cavern]]</f>
        <v>0</v>
      </c>
      <c r="M44" s="198" t="n">
        <f aca="false">OFFSET(TblConstr[[#This Row],[Water]],-1,0)+TblConstr[[#This Row],[Ch_Water]]</f>
        <v>0</v>
      </c>
      <c r="N44" s="181" t="n">
        <f aca="false">TblRezone[[#This Row],[Hour]]</f>
        <v>41</v>
      </c>
      <c r="O44" s="182"/>
      <c r="P44" s="182" t="n">
        <v>35</v>
      </c>
      <c r="Q44" s="182"/>
      <c r="R44" s="152" t="n">
        <v>47</v>
      </c>
      <c r="S44" s="182"/>
      <c r="T44" s="182"/>
      <c r="U44" s="182"/>
      <c r="V44" s="182"/>
      <c r="W44" s="182"/>
      <c r="X44" s="182"/>
      <c r="Y44" s="182"/>
      <c r="Z44" s="182"/>
      <c r="AA44" s="182"/>
      <c r="AB44" s="182"/>
      <c r="AC44" s="182"/>
      <c r="AD44" s="182"/>
      <c r="AE44" s="182"/>
      <c r="AF44" s="182"/>
      <c r="AG44" s="182"/>
      <c r="AH44" s="20" t="n">
        <f aca="false">TblImps[[#This Row],[Time]]</f>
        <v>45431.4166666667</v>
      </c>
      <c r="AI44" s="130" t="n">
        <f aca="false">MIN(25%,(TblConstr[[#This Row],[Tot Fac]]+TblConstr[[#This Row],[Dest Fac]])/(TblConstr[[#This Row],[Land]]-TblExplore[[#This Row],[Land Bonus]]*20))</f>
        <v>0.101796407185629</v>
      </c>
      <c r="AJ44" s="130" t="n">
        <f aca="false">MIN(25%,(TblConstr[[#This Row],[Tot Fac]]+TblConstr[[#This Row],[Dest Fac]])/TblConstr[[#This Row],[Land]])</f>
        <v>0.101796407185629</v>
      </c>
      <c r="AK44" s="69" t="n">
        <f aca="false">TblProd[[#This Row],[Platinum]]</f>
        <v>54134</v>
      </c>
      <c r="AL44" s="69" t="n">
        <f aca="false">TblProd[[#This Row],[Lumber]]</f>
        <v>8281</v>
      </c>
      <c r="AM4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465</v>
      </c>
      <c r="AN44" s="69" t="n">
        <f aca="false">ROUNDDOWN( MAX(1 - MIN(facs_constr_factor*TblConstr[[#This Row],[Facs -DB]],facs_constr_max) + tech_1_11*TblTech[[#This Row],[11-1]] + tech_6_3_2*TblTech[[#This Row],[6-3]] + tech_5_2_3*TblTech[[#This Row],[5-2]], 1-global_constr_cap) * TblConstr[[#This Row],[RCPA Lumber]],0)</f>
        <v>79</v>
      </c>
      <c r="AO4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465</v>
      </c>
      <c r="AP44" s="69" t="n">
        <f aca="false">ROUNDDOWN( MAX(1 - MIN(facs_constr_factor*TblConstr[[#This Row],[Facs DB]],facs_constr_max) + tech_1_11*TblTech[[#This Row],[1-11]] + tech_6_3_2*TblTech[[#This Row],[6-3]] + tech_5_2_3*TblTech[[#This Row],[5-2]], 1-global_constr_cap) * ROUND((TblConstr[[#This Row],[Land]]-250)*0.285 + 87.5 + 0/4.25,0),0)</f>
        <v>79</v>
      </c>
      <c r="AQ44" s="1" t="n">
        <f aca="false">TblConstr[[#This Row],[build -db]]*TblConstr[[#This Row],[CPA Platinum -DB]] + TblConstr[[#This Row],[build db]]*TblConstr[[#This Row],[CPA Platinum DB]]</f>
        <v>38130</v>
      </c>
      <c r="AR44" s="1" t="n">
        <f aca="false">TblConstr[[#This Row],[build -db]]*TblConstr[[#This Row],[CPA Lumber -DB]]+TblConstr[[#This Row],[build db]]*TblConstr[[#This Row],[CPA Lumber DB]]</f>
        <v>6478</v>
      </c>
      <c r="AS44" s="69" t="n">
        <f aca="false">MIN(SUM(OFFSET(TblConstr[[#This Row],[Plain]:[Water]],-1,0))+SUM(TblConstr[[#This Row],[Dest Hom]:[Dest Doc]])+IF(TblConstr[[#This Row],[Hour]]&gt;12,SUM(OFFSET(TblExplore[[#This Row],[Plains Explore]:[Water Explore]],-12,0)),0),SUM(TblConstr[[#This Row],[Hom]:[Doc]]))</f>
        <v>82</v>
      </c>
      <c r="AT4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32"/>
      <c r="AV44" s="69" t="n">
        <f aca="false">ROUND((TblConstr[[#This Row],[Land]]-250 - IF(TblExplore[[#This Row],[Land Bonus]]&lt;&gt;0,20,0))*1.25 + 850 + 0,0)</f>
        <v>1164</v>
      </c>
      <c r="AW44" s="69" t="n">
        <f aca="false">ROUND((TblConstr[[#This Row],[Land]]-250 - IF(TblExplore[[#This Row],[Land Bonus]]&lt;&gt;0,20,0))*0.285 + 87.5 + 0/4.25,0)</f>
        <v>159</v>
      </c>
      <c r="AX44" s="146"/>
      <c r="AY44" s="203" t="n">
        <f aca="false" t="array" ref="AY44:AY44">IF(TblConstr[[#This Row],[Hour]:[Hour]]&gt;12,OFFSET(TblConstr[[#This Row],[Hom]],-12,0),0)+OFFSET(TblConstr[[#This Row],[Tot Hom]],-1,0)-TblConstr[[#This Row],[Dest Hom]]</f>
        <v>0</v>
      </c>
      <c r="AZ44" s="204" t="n">
        <f aca="false" t="array" ref="AZ44:AZ44">IF(TblConstr[[#This Row],[Hour]:[Hour]]&gt;12,OFFSET(TblConstr[[#This Row],[Alc]],-12,0),0)+OFFSET(TblConstr[[#This Row],[Tot Alc]],-1,0)-TblConstr[[#This Row],[Dest Alc]]</f>
        <v>147</v>
      </c>
      <c r="BA44" s="204" t="n">
        <f aca="false" t="array" ref="BA44:BA44">IF(TblConstr[[#This Row],[Hour]:[Hour]]&gt;12,OFFSET(TblConstr[[#This Row],[Far]],-12,0),0)+OFFSET(TblConstr[[#This Row],[Tot Farm]],-1,0)-TblConstr[[#This Row],[Dest Farm]]</f>
        <v>8</v>
      </c>
      <c r="BB44" s="204" t="n">
        <f aca="false" t="array" ref="BB44:BB44">IF(TblConstr[[#This Row],[Hour]:[Hour]]&gt;12,OFFSET(TblConstr[[#This Row],[Smi]],-12,0),0)+OFFSET(TblConstr[[#This Row],[Tot Smi]],-1,0)-TblConstr[[#This Row],[Dest Smi]]</f>
        <v>0</v>
      </c>
      <c r="BC44" s="204" t="n">
        <f aca="false" t="array" ref="BC44:BC44">IF(TblConstr[[#This Row],[Hour]:[Hour]]&gt;12,OFFSET(TblConstr[[#This Row],[Mas]],-12,0),0)+OFFSET(TblConstr[[#This Row],[Tot Mas]],-1,0)-TblConstr[[#This Row],[Dest Mas]]</f>
        <v>0</v>
      </c>
      <c r="BD44" s="205" t="n">
        <f aca="false" t="array" ref="BD44:BD44">IF(TblConstr[[#This Row],[Hour]:[Hour]]&gt;12,OFFSET(TblConstr[[#This Row],[Ly]],-12,0),0)+OFFSET(TblConstr[[#This Row],[Tot Ly]],-1,0)-TblConstr[[#This Row],[Dest Ly]]</f>
        <v>23</v>
      </c>
      <c r="BE44" s="205" t="n">
        <f aca="false" t="array" ref="BE44:BE44">IF(TblConstr[[#This Row],[Hour]:[Hour]]&gt;12,OFFSET(TblConstr[[#This Row],[Hav]],-12,0),0)+OFFSET(TblConstr[[#This Row],[Tot Hav]],-1,0)-TblConstr[[#This Row],[Dest Hav]]</f>
        <v>0</v>
      </c>
      <c r="BF44" s="194" t="n">
        <f aca="false" t="array" ref="BF44:BF44">IF(TblConstr[[#This Row],[Hour]:[Hour]]&gt;12,OFFSET(TblConstr[[#This Row],[OM]],-12,0),0)+OFFSET(TblConstr[[#This Row],[Tot OM]],-1,0)-TblConstr[[#This Row],[Dest OM]]</f>
        <v>0</v>
      </c>
      <c r="BG44" s="194" t="n">
        <f aca="false" t="array" ref="BG44:BG44">IF(TblConstr[[#This Row],[Hour]:[Hour]]&gt;12,OFFSET(TblConstr[[#This Row],[GN]],-12,0),0)+OFFSET(TblConstr[[#This Row],[Tot GN]],-1,0)-TblConstr[[#This Row],[Dest GN]]</f>
        <v>0</v>
      </c>
      <c r="BH44" s="206" t="n">
        <f aca="false" t="array" ref="BH44:BH44">IF(TblConstr[[#This Row],[Hour]:[Hour]]&gt;12,OFFSET(TblConstr[[#This Row],[Fac]],-12,0),0)+OFFSET(TblConstr[[#This Row],[Tot Fac]],-1,0)-TblConstr[[#This Row],[Dest Fac]]</f>
        <v>51</v>
      </c>
      <c r="BI44" s="206" t="n">
        <f aca="false" t="array" ref="BI44:BI44">IF(TblConstr[[#This Row],[Hour]:[Hour]]&gt;12,OFFSET(TblConstr[[#This Row],[GT]],-12,0),0)+OFFSET(TblConstr[[#This Row],[Tot GT]],-1,0)-TblConstr[[#This Row],[Dest GT]]</f>
        <v>0</v>
      </c>
      <c r="BJ44" s="206" t="n">
        <f aca="false" t="array" ref="BJ44:BJ44">IF(TblConstr[[#This Row],[Hour]:[Hour]]&gt;12,OFFSET(TblConstr[[#This Row],[Bar]],-12,0),0)+OFFSET(TblConstr[[#This Row],[Tot Bar]],-1,0)-TblConstr[[#This Row],[Dest Bar]]</f>
        <v>0</v>
      </c>
      <c r="BK44" s="206" t="n">
        <f aca="false" t="array" ref="BK44:BK44">IF(TblConstr[[#This Row],[Hour]:[Hour]]&gt;12,OFFSET(TblConstr[[#This Row],[Shr]],-12,0),0)+OFFSET(TblConstr[[#This Row],[Tot Shr]],-1,0)-TblConstr[[#This Row],[Dest Shr]]</f>
        <v>0</v>
      </c>
      <c r="BL44" s="207" t="n">
        <f aca="false" t="array" ref="BL44:BL44">IF(TblConstr[[#This Row],[Hour]:[Hour]]&gt;12,OFFSET(TblConstr[[#This Row],[Tow]],-12,0),0)+OFFSET(TblConstr[[#This Row],[Tot Tow]],-1,0)-TblConstr[[#This Row],[Dest Tow]]</f>
        <v>18</v>
      </c>
      <c r="BM44" s="207" t="n">
        <f aca="false" t="array" ref="BM44:BM44">IF(TblConstr[[#This Row],[Hour]:[Hour]]&gt;12,OFFSET(TblConstr[[#This Row],[Tem]],-12,0),0)+OFFSET(TblConstr[[#This Row],[Tot Tem]],-1,0)-TblConstr[[#This Row],[Dest Tem]]</f>
        <v>47</v>
      </c>
      <c r="BN44" s="207" t="n">
        <f aca="false" t="array" ref="BN44:BN44">IF(TblConstr[[#This Row],[Hour]:[Hour]]&gt;12,OFFSET(TblConstr[[#This Row],[WG]],-12,0),0)+OFFSET(TblConstr[[#This Row],[Tot WG]],-1,0)-TblConstr[[#This Row],[Dest WG]]</f>
        <v>0</v>
      </c>
      <c r="BO44" s="208" t="n">
        <f aca="false" t="array" ref="BO44:BO44">IF(TblConstr[[#This Row],[Hour]:[Hour]]&gt;12,OFFSET(TblConstr[[#This Row],[DM]],-12,0),0)+OFFSET(TblConstr[[#This Row],[Tot DM]],-1,0)-TblConstr[[#This Row],[Dest DM]]</f>
        <v>0</v>
      </c>
      <c r="BP44" s="208" t="n">
        <f aca="false" t="array" ref="BP44:BP44">IF(TblConstr[[#This Row],[Hour]:[Hour]]&gt;12,OFFSET(TblConstr[[#This Row],[Sch]],-12,0),0)+OFFSET(TblConstr[[#This Row],[Tot Sch]],-1,0)-TblConstr[[#This Row],[Dest Sch]]</f>
        <v>0</v>
      </c>
      <c r="BQ44" s="209" t="n">
        <f aca="false" t="array" ref="BQ44:BQ44">IF(TblConstr[[#This Row],[Hour]:[Hour]]&gt;12,OFFSET(TblConstr[[#This Row],[Doc]],-12,0),0)+OFFSET(TblConstr[[#This Row],[Tot Doc]],-1,0)-TblConstr[[#This Row],[Dest Doc]]</f>
        <v>5</v>
      </c>
      <c r="BR44" s="132"/>
      <c r="BS44" s="146"/>
      <c r="BT44" s="69" t="n">
        <f aca="false">TblConstr[[#This Row],[Land]]</f>
        <v>501</v>
      </c>
      <c r="BU44" s="153" t="n">
        <f aca="false">TblImps[[#This Row],[Time]]</f>
        <v>45431.4166666667</v>
      </c>
      <c r="BV44" s="132"/>
      <c r="BW44" s="182"/>
      <c r="BX44" s="182"/>
      <c r="BY44" s="182"/>
      <c r="BZ44" s="182"/>
      <c r="CA44" s="182"/>
      <c r="CB44" s="182"/>
      <c r="CC44" s="182"/>
      <c r="CD44" s="182"/>
      <c r="CE44" s="182"/>
      <c r="CF44" s="182"/>
      <c r="CG44" s="182"/>
      <c r="CH44" s="182"/>
      <c r="CI44" s="182"/>
      <c r="CJ44" s="182"/>
      <c r="CK44" s="182"/>
      <c r="CL44" s="182"/>
      <c r="CM44" s="182"/>
      <c r="CN44" s="182"/>
      <c r="CO44" s="182"/>
      <c r="CP44" s="132"/>
      <c r="CQ44" s="192" t="n">
        <f aca="false">-SUM(TblConstr[[#This Row],[Alc]:[Mas]])+SUM(TblConstr[[#This Row],[Dest Alc]:[Dest Mas]])+Rezone!L44+IF("Ch_"&amp; home_land=TblConstr[[#Headers],[Ch_Plain]],TblConstr[[#This Row],[Home Land]])+IF(TblConstr[[#This Row],[Hour]:[Hour]]&gt;12,OFFSET(TblExplore[[#This Row],[Plains Explore]],-12,0),0)</f>
        <v>0</v>
      </c>
      <c r="CR44" s="193" t="n">
        <f aca="false">-SUM(TblConstr[[#This Row],[Ly]:[Hav]])+SUM(TblConstr[[#This Row],[Dest Ly]:[Dest Hav]]) +Rezone!M44 + IF("Ch_"&amp; home_land=TblConstr[[#Headers],[Ch_Forest]],TblConstr[[#This Row],[Home Land]])+IF(TblConstr[[#This Row],[Hour]:[Hour]]&gt;12,OFFSET(TblExplore[[#This Row],[Forest Explore]],-12,0),0)</f>
        <v>0</v>
      </c>
      <c r="CS44" s="200" t="n">
        <f aca="false">-SUM(TblConstr[[#This Row],[OM]:[GN]])+SUM(TblConstr[[#This Row],[Dest OM]:[Dest GN]]) +Rezone!N44 + IF("Ch_"&amp; home_land=TblConstr[[#Headers],[Ch_Mountain]],TblConstr[[#This Row],[Home Land]])+IF(TblConstr[[#This Row],[Hour]:[Hour]]&gt;12,OFFSET(TblExplore[[#This Row],[Mountain Explore]],-12,0),0)</f>
        <v>0</v>
      </c>
      <c r="CT44" s="195" t="n">
        <f aca="false">-SUM(TblConstr[[#This Row],[Fac]:[Shr]])+SUM(TblConstr[[#This Row],[Dest Fac]:[Dest Shr]]) +Rezone!O44 + IF("Ch_" &amp; home_land=TblConstr[[#Headers],[Ch_Hill]],TblConstr[[#This Row],[Home Land]])+IF(TblConstr[[#This Row],[Hour]:[Hour]]&gt;12,OFFSET(TblExplore[[#This Row],[Hill Explore]],-12,0),0)</f>
        <v>0</v>
      </c>
      <c r="CU44" s="196" t="n">
        <f aca="false">-SUM(TblConstr[[#This Row],[Tow]:[WG]])+SUM(TblConstr[[#This Row],[Dest Tow]:[Dest WG]]) +Rezone!P44 + IF("Ch_" &amp; home_land=TblConstr[[#Headers],[Ch_Swamp]],TblConstr[[#This Row],[Home Land]])+IF(TblConstr[[#This Row],[Hour]:[Hour]]&gt;12,OFFSET(TblExplore[[#This Row],[Swamp Explore]],-12,0),0)</f>
        <v>0</v>
      </c>
      <c r="CV44" s="197" t="n">
        <f aca="false">- SUM(TblConstr[[#This Row],[DM]:[Sch]])+SUM(TblConstr[[#This Row],[Dest DM]:[Dest Sch]]) +Rezone!Q44 + IF("Ch_" &amp; home_land=TblConstr[[#Headers],[Ch_Cavern]],TblConstr[[#This Row],[Home Land]])+IF(TblConstr[[#This Row],[Hour]:[Hour]]&gt;12,OFFSET(TblExplore[[#This Row],[Cavern Explore]],-12,0),0)</f>
        <v>0</v>
      </c>
      <c r="CW44" s="198" t="n">
        <f aca="false">-TblConstr[[#This Row],[Doc]]+TblConstr[[#This Row],[Dest Doc]] +Rezone!R44 + IF("Ch_" &amp; home_land=TblConstr[[#Headers],[Ch_Water]],TblConstr[[#This Row],[Home Land]])+IF(TblConstr[[#This Row],[Hour]:[Hour]]&gt;12,OFFSET(TblExplore[[#This Row],[Water Explore]],-12,0),0)</f>
        <v>0</v>
      </c>
      <c r="CX44" s="1" t="n">
        <f aca="false">IF(Explore!S44=1,20) - TblConstr[[#This Row],[Hom]] + TblConstr[[#This Row],[Dest Hom]]</f>
        <v>0</v>
      </c>
      <c r="CY44" s="132"/>
      <c r="CZ44" s="69" t="n">
        <f aca="false">G44+SUM(P33:S44)+SUM(AZ44:BC44)</f>
        <v>327</v>
      </c>
      <c r="DA44" s="69" t="n">
        <f aca="false">H44+SUM(T33:U44)+SUM(BD44:BE44)</f>
        <v>25</v>
      </c>
      <c r="DB44" s="1" t="n">
        <f aca="false">I44+SUM(V33:W44)+SUM(BF44:BG44)</f>
        <v>0</v>
      </c>
      <c r="DC44" s="69" t="n">
        <f aca="false">J44+SUM(X33:Y44)+SUM(BH44:BI44)</f>
        <v>67</v>
      </c>
      <c r="DD44" s="69" t="n">
        <f aca="false">K44+SUM(AB33:AD44)+SUM(BL44:BN44)</f>
        <v>72</v>
      </c>
      <c r="DE44" s="1" t="n">
        <f aca="false">L44+SUM(AE33:AE44)+BO44</f>
        <v>0</v>
      </c>
      <c r="DF44" s="69" t="n">
        <f aca="false">M44+SUM(AG33:AG44)+BQ44</f>
        <v>10</v>
      </c>
      <c r="DG44" s="69" t="e">
        <f aca="false" t="array" ref="DG44:DG44">INDEX(TblConstr[[Total Plain]:[Total Water]],ROW()-ROW(TblConstr[#headers]),MATCH("Total "&amp;home_land,TblConstr[[#Headers],[Total Plain]:[Total Water]],0))+TblConstr[[#This Row],[Homes]]</f>
        <v>#VALUE!</v>
      </c>
      <c r="DH44" s="1" t="n">
        <f aca="false">SUM(O33:O44)+AY44</f>
        <v>0</v>
      </c>
      <c r="DI44" s="1" t="n">
        <f aca="false">MAX(BA44-BA43,0)</f>
        <v>0</v>
      </c>
      <c r="DJ44" s="1" t="n">
        <f aca="false">MAX(BQ44-BQ43,0)</f>
        <v>0</v>
      </c>
    </row>
    <row r="45" customFormat="false" ht="12.75" hidden="false" customHeight="false" outlineLevel="0" collapsed="false">
      <c r="A45" s="170" t="n">
        <f aca="false">TblRezone[[#This Row],[Hour]]</f>
        <v>42</v>
      </c>
      <c r="B45" s="171" t="n">
        <f aca="false">SUM(TblConstr[[#This Row],[Plain]:[Water]])</f>
        <v>0</v>
      </c>
      <c r="C45" s="172" t="n">
        <f aca="false">SUM(TblConstr[[#This Row],[Tot Hom]:[Tot Doc]])</f>
        <v>369</v>
      </c>
      <c r="D45" s="172" t="n">
        <f aca="false">SUM(O34:AG45)</f>
        <v>141</v>
      </c>
      <c r="E45" s="173"/>
      <c r="F45" s="33" t="n">
        <f aca="false">TblConstr[[#This Row],[Barren]]+TblConstr[[#This Row],[Buildings]]+TblConstr[[#This Row],[Incoming]]</f>
        <v>510</v>
      </c>
      <c r="G45" s="199" t="n">
        <f aca="false">OFFSET(TblConstr[[#This Row],[Plain]],-1,0)+TblConstr[[#This Row],[Ch_Plain]]</f>
        <v>0</v>
      </c>
      <c r="H45" s="193" t="n">
        <f aca="false">OFFSET(TblConstr[[#This Row],[Forest]],-1,0)+TblConstr[[#This Row],[Ch_Forest]]</f>
        <v>0</v>
      </c>
      <c r="I45" s="200" t="n">
        <f aca="false">OFFSET(TblConstr[[#This Row],[Mountain]],-1,0)+TblConstr[[#This Row],[Ch_Mountain]]</f>
        <v>0</v>
      </c>
      <c r="J45" s="201" t="n">
        <f aca="false">OFFSET(TblConstr[[#This Row],[Hill]],-1,0)+TblConstr[[#This Row],[Ch_Hill]]</f>
        <v>0</v>
      </c>
      <c r="K45" s="202" t="n">
        <f aca="false">OFFSET(TblConstr[[#This Row],[Swamp]],-1,0)+TblConstr[[#This Row],[Ch_Swamp]]</f>
        <v>0</v>
      </c>
      <c r="L45" s="197" t="n">
        <f aca="false">OFFSET(TblConstr[[#This Row],[Cavern]],-1,0)+TblConstr[[#This Row],[Ch_Cavern]]</f>
        <v>0</v>
      </c>
      <c r="M45" s="198" t="n">
        <f aca="false">OFFSET(TblConstr[[#This Row],[Water]],-1,0)+TblConstr[[#This Row],[Ch_Water]]</f>
        <v>0</v>
      </c>
      <c r="N45" s="181" t="n">
        <f aca="false">TblRezone[[#This Row],[Hour]]</f>
        <v>42</v>
      </c>
      <c r="O45" s="182"/>
      <c r="P45" s="182" t="n">
        <v>1</v>
      </c>
      <c r="Q45" s="182"/>
      <c r="R45" s="152" t="n">
        <v>8</v>
      </c>
      <c r="S45" s="182"/>
      <c r="T45" s="182"/>
      <c r="U45" s="182"/>
      <c r="V45" s="182"/>
      <c r="W45" s="182"/>
      <c r="X45" s="182"/>
      <c r="Y45" s="182"/>
      <c r="Z45" s="182"/>
      <c r="AA45" s="182"/>
      <c r="AB45" s="182"/>
      <c r="AC45" s="182"/>
      <c r="AD45" s="182"/>
      <c r="AE45" s="182"/>
      <c r="AF45" s="182"/>
      <c r="AG45" s="182"/>
      <c r="AH45" s="20" t="n">
        <f aca="false">TblImps[[#This Row],[Time]]</f>
        <v>45431.4583333333</v>
      </c>
      <c r="AI45" s="130" t="n">
        <f aca="false">MIN(25%,(TblConstr[[#This Row],[Tot Fac]]+TblConstr[[#This Row],[Dest Fac]])/(TblConstr[[#This Row],[Land]]-TblExplore[[#This Row],[Land Bonus]]*20))</f>
        <v>0.101960784313725</v>
      </c>
      <c r="AJ45" s="130" t="n">
        <f aca="false">MIN(25%,(TblConstr[[#This Row],[Tot Fac]]+TblConstr[[#This Row],[Dest Fac]])/TblConstr[[#This Row],[Land]])</f>
        <v>0.101960784313725</v>
      </c>
      <c r="AK45" s="69" t="n">
        <f aca="false">TblProd[[#This Row],[Platinum]]</f>
        <v>60267</v>
      </c>
      <c r="AL45" s="69" t="n">
        <f aca="false">TblProd[[#This Row],[Lumber]]</f>
        <v>8504</v>
      </c>
      <c r="AM4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470</v>
      </c>
      <c r="AN45" s="69" t="n">
        <f aca="false">ROUNDDOWN( MAX(1 - MIN(facs_constr_factor*TblConstr[[#This Row],[Facs -DB]],facs_constr_max) + tech_1_11*TblTech[[#This Row],[11-1]] + tech_6_3_2*TblTech[[#This Row],[6-3]] + tech_5_2_3*TblTech[[#This Row],[5-2]], 1-global_constr_cap) * TblConstr[[#This Row],[RCPA Lumber]],0)</f>
        <v>81</v>
      </c>
      <c r="AO4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470</v>
      </c>
      <c r="AP45" s="69" t="n">
        <f aca="false">ROUNDDOWN( MAX(1 - MIN(facs_constr_factor*TblConstr[[#This Row],[Facs DB]],facs_constr_max) + tech_1_11*TblTech[[#This Row],[1-11]] + tech_6_3_2*TblTech[[#This Row],[6-3]] + tech_5_2_3*TblTech[[#This Row],[5-2]], 1-global_constr_cap) * ROUND((TblConstr[[#This Row],[Land]]-250)*0.285 + 87.5 + 0/4.25,0),0)</f>
        <v>81</v>
      </c>
      <c r="AQ45" s="1" t="n">
        <f aca="false">TblConstr[[#This Row],[build -db]]*TblConstr[[#This Row],[CPA Platinum -DB]] + TblConstr[[#This Row],[build db]]*TblConstr[[#This Row],[CPA Platinum DB]]</f>
        <v>4230</v>
      </c>
      <c r="AR45" s="1" t="n">
        <f aca="false">TblConstr[[#This Row],[build -db]]*TblConstr[[#This Row],[CPA Lumber -DB]]+TblConstr[[#This Row],[build db]]*TblConstr[[#This Row],[CPA Lumber DB]]</f>
        <v>729</v>
      </c>
      <c r="AS45" s="69" t="n">
        <f aca="false">MIN(SUM(OFFSET(TblConstr[[#This Row],[Plain]:[Water]],-1,0))+SUM(TblConstr[[#This Row],[Dest Hom]:[Dest Doc]])+IF(TblConstr[[#This Row],[Hour]]&gt;12,SUM(OFFSET(TblExplore[[#This Row],[Plains Explore]:[Water Explore]],-12,0)),0),SUM(TblConstr[[#This Row],[Hom]:[Doc]]))</f>
        <v>9</v>
      </c>
      <c r="AT4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32"/>
      <c r="AV45" s="69" t="n">
        <f aca="false">ROUND((TblConstr[[#This Row],[Land]]-250 - IF(TblExplore[[#This Row],[Land Bonus]]&lt;&gt;0,20,0))*1.25 + 850 + 0,0)</f>
        <v>1175</v>
      </c>
      <c r="AW45" s="69" t="n">
        <f aca="false">ROUND((TblConstr[[#This Row],[Land]]-250 - IF(TblExplore[[#This Row],[Land Bonus]]&lt;&gt;0,20,0))*0.285 + 87.5 + 0/4.25,0)</f>
        <v>162</v>
      </c>
      <c r="AX45" s="146"/>
      <c r="AY45" s="203" t="n">
        <f aca="false" t="array" ref="AY45:AY45">IF(TblConstr[[#This Row],[Hour]:[Hour]]&gt;12,OFFSET(TblConstr[[#This Row],[Hom]],-12,0),0)+OFFSET(TblConstr[[#This Row],[Tot Hom]],-1,0)-TblConstr[[#This Row],[Dest Hom]]</f>
        <v>0</v>
      </c>
      <c r="AZ45" s="204" t="n">
        <f aca="false" t="array" ref="AZ45:AZ45">IF(TblConstr[[#This Row],[Hour]:[Hour]]&gt;12,OFFSET(TblConstr[[#This Row],[Alc]],-12,0),0)+OFFSET(TblConstr[[#This Row],[Tot Alc]],-1,0)-TblConstr[[#This Row],[Dest Alc]]</f>
        <v>206</v>
      </c>
      <c r="BA45" s="204" t="n">
        <f aca="false" t="array" ref="BA45:BA45">IF(TblConstr[[#This Row],[Hour]:[Hour]]&gt;12,OFFSET(TblConstr[[#This Row],[Far]],-12,0),0)+OFFSET(TblConstr[[#This Row],[Tot Farm]],-1,0)-TblConstr[[#This Row],[Dest Farm]]</f>
        <v>11</v>
      </c>
      <c r="BB45" s="204" t="n">
        <f aca="false" t="array" ref="BB45:BB45">IF(TblConstr[[#This Row],[Hour]:[Hour]]&gt;12,OFFSET(TblConstr[[#This Row],[Smi]],-12,0),0)+OFFSET(TblConstr[[#This Row],[Tot Smi]],-1,0)-TblConstr[[#This Row],[Dest Smi]]</f>
        <v>0</v>
      </c>
      <c r="BC45" s="204" t="n">
        <f aca="false" t="array" ref="BC45:BC45">IF(TblConstr[[#This Row],[Hour]:[Hour]]&gt;12,OFFSET(TblConstr[[#This Row],[Mas]],-12,0),0)+OFFSET(TblConstr[[#This Row],[Tot Mas]],-1,0)-TblConstr[[#This Row],[Dest Mas]]</f>
        <v>0</v>
      </c>
      <c r="BD45" s="205" t="n">
        <f aca="false" t="array" ref="BD45:BD45">IF(TblConstr[[#This Row],[Hour]:[Hour]]&gt;12,OFFSET(TblConstr[[#This Row],[Ly]],-12,0),0)+OFFSET(TblConstr[[#This Row],[Tot Ly]],-1,0)-TblConstr[[#This Row],[Dest Ly]]</f>
        <v>25</v>
      </c>
      <c r="BE45" s="205" t="n">
        <f aca="false" t="array" ref="BE45:BE45">IF(TblConstr[[#This Row],[Hour]:[Hour]]&gt;12,OFFSET(TblConstr[[#This Row],[Hav]],-12,0),0)+OFFSET(TblConstr[[#This Row],[Tot Hav]],-1,0)-TblConstr[[#This Row],[Dest Hav]]</f>
        <v>0</v>
      </c>
      <c r="BF45" s="194" t="n">
        <f aca="false" t="array" ref="BF45:BF45">IF(TblConstr[[#This Row],[Hour]:[Hour]]&gt;12,OFFSET(TblConstr[[#This Row],[OM]],-12,0),0)+OFFSET(TblConstr[[#This Row],[Tot OM]],-1,0)-TblConstr[[#This Row],[Dest OM]]</f>
        <v>0</v>
      </c>
      <c r="BG45" s="194" t="n">
        <f aca="false" t="array" ref="BG45:BG45">IF(TblConstr[[#This Row],[Hour]:[Hour]]&gt;12,OFFSET(TblConstr[[#This Row],[GN]],-12,0),0)+OFFSET(TblConstr[[#This Row],[Tot GN]],-1,0)-TblConstr[[#This Row],[Dest GN]]</f>
        <v>0</v>
      </c>
      <c r="BH45" s="206" t="n">
        <f aca="false" t="array" ref="BH45:BH45">IF(TblConstr[[#This Row],[Hour]:[Hour]]&gt;12,OFFSET(TblConstr[[#This Row],[Fac]],-12,0),0)+OFFSET(TblConstr[[#This Row],[Tot Fac]],-1,0)-TblConstr[[#This Row],[Dest Fac]]</f>
        <v>52</v>
      </c>
      <c r="BI45" s="206" t="n">
        <f aca="false" t="array" ref="BI45:BI45">IF(TblConstr[[#This Row],[Hour]:[Hour]]&gt;12,OFFSET(TblConstr[[#This Row],[GT]],-12,0),0)+OFFSET(TblConstr[[#This Row],[Tot GT]],-1,0)-TblConstr[[#This Row],[Dest GT]]</f>
        <v>0</v>
      </c>
      <c r="BJ45" s="206" t="n">
        <f aca="false" t="array" ref="BJ45:BJ45">IF(TblConstr[[#This Row],[Hour]:[Hour]]&gt;12,OFFSET(TblConstr[[#This Row],[Bar]],-12,0),0)+OFFSET(TblConstr[[#This Row],[Tot Bar]],-1,0)-TblConstr[[#This Row],[Dest Bar]]</f>
        <v>0</v>
      </c>
      <c r="BK45" s="206" t="n">
        <f aca="false" t="array" ref="BK45:BK45">IF(TblConstr[[#This Row],[Hour]:[Hour]]&gt;12,OFFSET(TblConstr[[#This Row],[Shr]],-12,0),0)+OFFSET(TblConstr[[#This Row],[Tot Shr]],-1,0)-TblConstr[[#This Row],[Dest Shr]]</f>
        <v>0</v>
      </c>
      <c r="BL45" s="207" t="n">
        <f aca="false" t="array" ref="BL45:BL45">IF(TblConstr[[#This Row],[Hour]:[Hour]]&gt;12,OFFSET(TblConstr[[#This Row],[Tow]],-12,0),0)+OFFSET(TblConstr[[#This Row],[Tot Tow]],-1,0)-TblConstr[[#This Row],[Dest Tow]]</f>
        <v>18</v>
      </c>
      <c r="BM45" s="207" t="n">
        <f aca="false" t="array" ref="BM45:BM45">IF(TblConstr[[#This Row],[Hour]:[Hour]]&gt;12,OFFSET(TblConstr[[#This Row],[Tem]],-12,0),0)+OFFSET(TblConstr[[#This Row],[Tot Tem]],-1,0)-TblConstr[[#This Row],[Dest Tem]]</f>
        <v>47</v>
      </c>
      <c r="BN45" s="207" t="n">
        <f aca="false" t="array" ref="BN45:BN45">IF(TblConstr[[#This Row],[Hour]:[Hour]]&gt;12,OFFSET(TblConstr[[#This Row],[WG]],-12,0),0)+OFFSET(TblConstr[[#This Row],[Tot WG]],-1,0)-TblConstr[[#This Row],[Dest WG]]</f>
        <v>0</v>
      </c>
      <c r="BO45" s="208" t="n">
        <f aca="false" t="array" ref="BO45:BO45">IF(TblConstr[[#This Row],[Hour]:[Hour]]&gt;12,OFFSET(TblConstr[[#This Row],[DM]],-12,0),0)+OFFSET(TblConstr[[#This Row],[Tot DM]],-1,0)-TblConstr[[#This Row],[Dest DM]]</f>
        <v>0</v>
      </c>
      <c r="BP45" s="208" t="n">
        <f aca="false" t="array" ref="BP45:BP45">IF(TblConstr[[#This Row],[Hour]:[Hour]]&gt;12,OFFSET(TblConstr[[#This Row],[Sch]],-12,0),0)+OFFSET(TblConstr[[#This Row],[Tot Sch]],-1,0)-TblConstr[[#This Row],[Dest Sch]]</f>
        <v>0</v>
      </c>
      <c r="BQ45" s="209" t="n">
        <f aca="false" t="array" ref="BQ45:BQ45">IF(TblConstr[[#This Row],[Hour]:[Hour]]&gt;12,OFFSET(TblConstr[[#This Row],[Doc]],-12,0),0)+OFFSET(TblConstr[[#This Row],[Tot Doc]],-1,0)-TblConstr[[#This Row],[Dest Doc]]</f>
        <v>10</v>
      </c>
      <c r="BR45" s="132"/>
      <c r="BS45" s="146"/>
      <c r="BT45" s="69" t="n">
        <f aca="false">TblConstr[[#This Row],[Land]]</f>
        <v>510</v>
      </c>
      <c r="BU45" s="153" t="n">
        <f aca="false">TblImps[[#This Row],[Time]]</f>
        <v>45431.4583333333</v>
      </c>
      <c r="BV45" s="132"/>
      <c r="BW45" s="182"/>
      <c r="BX45" s="182"/>
      <c r="BY45" s="182"/>
      <c r="BZ45" s="182"/>
      <c r="CA45" s="182"/>
      <c r="CB45" s="182"/>
      <c r="CC45" s="182"/>
      <c r="CD45" s="182"/>
      <c r="CE45" s="182"/>
      <c r="CF45" s="182"/>
      <c r="CG45" s="182"/>
      <c r="CH45" s="182"/>
      <c r="CI45" s="182"/>
      <c r="CJ45" s="182"/>
      <c r="CK45" s="182"/>
      <c r="CL45" s="182"/>
      <c r="CM45" s="182"/>
      <c r="CN45" s="182"/>
      <c r="CO45" s="182"/>
      <c r="CP45" s="132"/>
      <c r="CQ45" s="192" t="n">
        <f aca="false">-SUM(TblConstr[[#This Row],[Alc]:[Mas]])+SUM(TblConstr[[#This Row],[Dest Alc]:[Dest Mas]])+Rezone!L45+IF("Ch_"&amp; home_land=TblConstr[[#Headers],[Ch_Plain]],TblConstr[[#This Row],[Home Land]])+IF(TblConstr[[#This Row],[Hour]:[Hour]]&gt;12,OFFSET(TblExplore[[#This Row],[Plains Explore]],-12,0),0)</f>
        <v>0</v>
      </c>
      <c r="CR45" s="193" t="n">
        <f aca="false">-SUM(TblConstr[[#This Row],[Ly]:[Hav]])+SUM(TblConstr[[#This Row],[Dest Ly]:[Dest Hav]]) +Rezone!M45 + IF("Ch_"&amp; home_land=TblConstr[[#Headers],[Ch_Forest]],TblConstr[[#This Row],[Home Land]])+IF(TblConstr[[#This Row],[Hour]:[Hour]]&gt;12,OFFSET(TblExplore[[#This Row],[Forest Explore]],-12,0),0)</f>
        <v>0</v>
      </c>
      <c r="CS45" s="200" t="n">
        <f aca="false">-SUM(TblConstr[[#This Row],[OM]:[GN]])+SUM(TblConstr[[#This Row],[Dest OM]:[Dest GN]]) +Rezone!N45 + IF("Ch_"&amp; home_land=TblConstr[[#Headers],[Ch_Mountain]],TblConstr[[#This Row],[Home Land]])+IF(TblConstr[[#This Row],[Hour]:[Hour]]&gt;12,OFFSET(TblExplore[[#This Row],[Mountain Explore]],-12,0),0)</f>
        <v>0</v>
      </c>
      <c r="CT45" s="195" t="n">
        <f aca="false">-SUM(TblConstr[[#This Row],[Fac]:[Shr]])+SUM(TblConstr[[#This Row],[Dest Fac]:[Dest Shr]]) +Rezone!O45 + IF("Ch_" &amp; home_land=TblConstr[[#Headers],[Ch_Hill]],TblConstr[[#This Row],[Home Land]])+IF(TblConstr[[#This Row],[Hour]:[Hour]]&gt;12,OFFSET(TblExplore[[#This Row],[Hill Explore]],-12,0),0)</f>
        <v>0</v>
      </c>
      <c r="CU45" s="196" t="n">
        <f aca="false">-SUM(TblConstr[[#This Row],[Tow]:[WG]])+SUM(TblConstr[[#This Row],[Dest Tow]:[Dest WG]]) +Rezone!P45 + IF("Ch_" &amp; home_land=TblConstr[[#Headers],[Ch_Swamp]],TblConstr[[#This Row],[Home Land]])+IF(TblConstr[[#This Row],[Hour]:[Hour]]&gt;12,OFFSET(TblExplore[[#This Row],[Swamp Explore]],-12,0),0)</f>
        <v>0</v>
      </c>
      <c r="CV45" s="197" t="n">
        <f aca="false">- SUM(TblConstr[[#This Row],[DM]:[Sch]])+SUM(TblConstr[[#This Row],[Dest DM]:[Dest Sch]]) +Rezone!Q45 + IF("Ch_" &amp; home_land=TblConstr[[#Headers],[Ch_Cavern]],TblConstr[[#This Row],[Home Land]])+IF(TblConstr[[#This Row],[Hour]:[Hour]]&gt;12,OFFSET(TblExplore[[#This Row],[Cavern Explore]],-12,0),0)</f>
        <v>0</v>
      </c>
      <c r="CW45" s="198" t="n">
        <f aca="false">-TblConstr[[#This Row],[Doc]]+TblConstr[[#This Row],[Dest Doc]] +Rezone!R45 + IF("Ch_" &amp; home_land=TblConstr[[#Headers],[Ch_Water]],TblConstr[[#This Row],[Home Land]])+IF(TblConstr[[#This Row],[Hour]:[Hour]]&gt;12,OFFSET(TblExplore[[#This Row],[Water Explore]],-12,0),0)</f>
        <v>0</v>
      </c>
      <c r="CX45" s="1" t="n">
        <f aca="false">IF(Explore!S45=1,20) - TblConstr[[#This Row],[Hom]] + TblConstr[[#This Row],[Dest Hom]]</f>
        <v>0</v>
      </c>
      <c r="CY45" s="132"/>
      <c r="CZ45" s="69" t="n">
        <f aca="false">G45+SUM(P34:S45)+SUM(AZ45:BC45)</f>
        <v>336</v>
      </c>
      <c r="DA45" s="69" t="n">
        <f aca="false">H45+SUM(T34:U45)+SUM(BD45:BE45)</f>
        <v>25</v>
      </c>
      <c r="DB45" s="1" t="n">
        <f aca="false">I45+SUM(V34:W45)+SUM(BF45:BG45)</f>
        <v>0</v>
      </c>
      <c r="DC45" s="69" t="n">
        <f aca="false">J45+SUM(X34:Y45)+SUM(BH45:BI45)</f>
        <v>67</v>
      </c>
      <c r="DD45" s="69" t="n">
        <f aca="false">K45+SUM(AB34:AD45)+SUM(BL45:BN45)</f>
        <v>72</v>
      </c>
      <c r="DE45" s="1" t="n">
        <f aca="false">L45+SUM(AE34:AE45)+BO45</f>
        <v>0</v>
      </c>
      <c r="DF45" s="69" t="n">
        <f aca="false">M45+SUM(AG34:AG45)+BQ45</f>
        <v>10</v>
      </c>
      <c r="DG45" s="69" t="e">
        <f aca="false" t="array" ref="DG45:DG45">INDEX(TblConstr[[Total Plain]:[Total Water]],ROW()-ROW(TblConstr[#headers]),MATCH("Total "&amp;home_land,TblConstr[[#Headers],[Total Plain]:[Total Water]],0))+TblConstr[[#This Row],[Homes]]</f>
        <v>#VALUE!</v>
      </c>
      <c r="DH45" s="1" t="n">
        <f aca="false">SUM(O34:O45)+AY45</f>
        <v>0</v>
      </c>
      <c r="DI45" s="1" t="n">
        <f aca="false">MAX(BA45-BA44,0)</f>
        <v>3</v>
      </c>
      <c r="DJ45" s="1" t="n">
        <f aca="false">MAX(BQ45-BQ44,0)</f>
        <v>5</v>
      </c>
    </row>
    <row r="46" customFormat="false" ht="12.75" hidden="false" customHeight="false" outlineLevel="0" collapsed="false">
      <c r="A46" s="170" t="n">
        <f aca="false">TblRezone[[#This Row],[Hour]]</f>
        <v>43</v>
      </c>
      <c r="B46" s="171" t="n">
        <f aca="false">SUM(TblConstr[[#This Row],[Plain]:[Water]])</f>
        <v>0</v>
      </c>
      <c r="C46" s="172" t="n">
        <f aca="false">SUM(TblConstr[[#This Row],[Tot Hom]:[Tot Doc]])</f>
        <v>380</v>
      </c>
      <c r="D46" s="172" t="n">
        <f aca="false">SUM(O35:AG46)</f>
        <v>140</v>
      </c>
      <c r="E46" s="173"/>
      <c r="F46" s="33" t="n">
        <f aca="false">TblConstr[[#This Row],[Barren]]+TblConstr[[#This Row],[Buildings]]+TblConstr[[#This Row],[Incoming]]</f>
        <v>520</v>
      </c>
      <c r="G46" s="199" t="n">
        <f aca="false">OFFSET(TblConstr[[#This Row],[Plain]],-1,0)+TblConstr[[#This Row],[Ch_Plain]]</f>
        <v>0</v>
      </c>
      <c r="H46" s="193" t="n">
        <f aca="false">OFFSET(TblConstr[[#This Row],[Forest]],-1,0)+TblConstr[[#This Row],[Ch_Forest]]</f>
        <v>0</v>
      </c>
      <c r="I46" s="200" t="n">
        <f aca="false">OFFSET(TblConstr[[#This Row],[Mountain]],-1,0)+TblConstr[[#This Row],[Ch_Mountain]]</f>
        <v>0</v>
      </c>
      <c r="J46" s="201" t="n">
        <f aca="false">OFFSET(TblConstr[[#This Row],[Hill]],-1,0)+TblConstr[[#This Row],[Ch_Hill]]</f>
        <v>0</v>
      </c>
      <c r="K46" s="202" t="n">
        <f aca="false">OFFSET(TblConstr[[#This Row],[Swamp]],-1,0)+TblConstr[[#This Row],[Ch_Swamp]]</f>
        <v>0</v>
      </c>
      <c r="L46" s="197" t="n">
        <f aca="false">OFFSET(TblConstr[[#This Row],[Cavern]],-1,0)+TblConstr[[#This Row],[Ch_Cavern]]</f>
        <v>0</v>
      </c>
      <c r="M46" s="198" t="n">
        <f aca="false">OFFSET(TblConstr[[#This Row],[Water]],-1,0)+TblConstr[[#This Row],[Ch_Water]]</f>
        <v>0</v>
      </c>
      <c r="N46" s="181" t="n">
        <f aca="false">TblRezone[[#This Row],[Hour]]</f>
        <v>43</v>
      </c>
      <c r="O46" s="182"/>
      <c r="P46" s="182" t="n">
        <v>1</v>
      </c>
      <c r="Q46" s="182"/>
      <c r="R46" s="152" t="n">
        <v>9</v>
      </c>
      <c r="S46" s="182"/>
      <c r="T46" s="182"/>
      <c r="U46" s="182"/>
      <c r="V46" s="182"/>
      <c r="W46" s="182"/>
      <c r="X46" s="182"/>
      <c r="Y46" s="182"/>
      <c r="Z46" s="182"/>
      <c r="AA46" s="182"/>
      <c r="AB46" s="182"/>
      <c r="AC46" s="182"/>
      <c r="AD46" s="182"/>
      <c r="AE46" s="182"/>
      <c r="AF46" s="182"/>
      <c r="AG46" s="182"/>
      <c r="AH46" s="20" t="n">
        <f aca="false">TblImps[[#This Row],[Time]]</f>
        <v>45431.5</v>
      </c>
      <c r="AI46" s="130" t="n">
        <f aca="false">MIN(25%,(TblConstr[[#This Row],[Tot Fac]]+TblConstr[[#This Row],[Dest Fac]])/(TblConstr[[#This Row],[Land]]-TblExplore[[#This Row],[Land Bonus]]*20))</f>
        <v>0.101923076923077</v>
      </c>
      <c r="AJ46" s="130" t="n">
        <f aca="false">MIN(25%,(TblConstr[[#This Row],[Tot Fac]]+TblConstr[[#This Row],[Dest Fac]])/TblConstr[[#This Row],[Land]])</f>
        <v>0.101923076923077</v>
      </c>
      <c r="AK46" s="69" t="n">
        <f aca="false">TblProd[[#This Row],[Platinum]]</f>
        <v>75080</v>
      </c>
      <c r="AL46" s="69" t="n">
        <f aca="false">TblProd[[#This Row],[Lumber]]</f>
        <v>8724</v>
      </c>
      <c r="AM4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475</v>
      </c>
      <c r="AN46" s="69" t="n">
        <f aca="false">ROUNDDOWN( MAX(1 - MIN(facs_constr_factor*TblConstr[[#This Row],[Facs -DB]],facs_constr_max) + tech_1_11*TblTech[[#This Row],[11-1]] + tech_6_3_2*TblTech[[#This Row],[6-3]] + tech_5_2_3*TblTech[[#This Row],[5-2]], 1-global_constr_cap) * TblConstr[[#This Row],[RCPA Lumber]],0)</f>
        <v>82</v>
      </c>
      <c r="AO4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475</v>
      </c>
      <c r="AP46" s="69" t="n">
        <f aca="false">ROUNDDOWN( MAX(1 - MIN(facs_constr_factor*TblConstr[[#This Row],[Facs DB]],facs_constr_max) + tech_1_11*TblTech[[#This Row],[1-11]] + tech_6_3_2*TblTech[[#This Row],[6-3]] + tech_5_2_3*TblTech[[#This Row],[5-2]], 1-global_constr_cap) * ROUND((TblConstr[[#This Row],[Land]]-250)*0.285 + 87.5 + 0/4.25,0),0)</f>
        <v>82</v>
      </c>
      <c r="AQ46" s="1" t="n">
        <f aca="false">TblConstr[[#This Row],[build -db]]*TblConstr[[#This Row],[CPA Platinum -DB]] + TblConstr[[#This Row],[build db]]*TblConstr[[#This Row],[CPA Platinum DB]]</f>
        <v>4750</v>
      </c>
      <c r="AR46" s="1" t="n">
        <f aca="false">TblConstr[[#This Row],[build -db]]*TblConstr[[#This Row],[CPA Lumber -DB]]+TblConstr[[#This Row],[build db]]*TblConstr[[#This Row],[CPA Lumber DB]]</f>
        <v>820</v>
      </c>
      <c r="AS46" s="69" t="n">
        <f aca="false">MIN(SUM(OFFSET(TblConstr[[#This Row],[Plain]:[Water]],-1,0))+SUM(TblConstr[[#This Row],[Dest Hom]:[Dest Doc]])+IF(TblConstr[[#This Row],[Hour]]&gt;12,SUM(OFFSET(TblExplore[[#This Row],[Plains Explore]:[Water Explore]],-12,0)),0),SUM(TblConstr[[#This Row],[Hom]:[Doc]]))</f>
        <v>10</v>
      </c>
      <c r="AT4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32"/>
      <c r="AV46" s="69" t="n">
        <f aca="false">ROUND((TblConstr[[#This Row],[Land]]-250 - IF(TblExplore[[#This Row],[Land Bonus]]&lt;&gt;0,20,0))*1.25 + 850 + 0,0)</f>
        <v>1188</v>
      </c>
      <c r="AW46" s="69" t="n">
        <f aca="false">ROUND((TblConstr[[#This Row],[Land]]-250 - IF(TblExplore[[#This Row],[Land Bonus]]&lt;&gt;0,20,0))*0.285 + 87.5 + 0/4.25,0)</f>
        <v>164</v>
      </c>
      <c r="AX46" s="146"/>
      <c r="AY46" s="203" t="n">
        <f aca="false" t="array" ref="AY46:AY46">IF(TblConstr[[#This Row],[Hour]:[Hour]]&gt;12,OFFSET(TblConstr[[#This Row],[Hom]],-12,0),0)+OFFSET(TblConstr[[#This Row],[Tot Hom]],-1,0)-TblConstr[[#This Row],[Dest Hom]]</f>
        <v>0</v>
      </c>
      <c r="AZ46" s="204" t="n">
        <f aca="false" t="array" ref="AZ46:AZ46">IF(TblConstr[[#This Row],[Hour]:[Hour]]&gt;12,OFFSET(TblConstr[[#This Row],[Alc]],-12,0),0)+OFFSET(TblConstr[[#This Row],[Tot Alc]],-1,0)-TblConstr[[#This Row],[Dest Alc]]</f>
        <v>216</v>
      </c>
      <c r="BA46" s="204" t="n">
        <f aca="false" t="array" ref="BA46:BA46">IF(TblConstr[[#This Row],[Hour]:[Hour]]&gt;12,OFFSET(TblConstr[[#This Row],[Far]],-12,0),0)+OFFSET(TblConstr[[#This Row],[Tot Farm]],-1,0)-TblConstr[[#This Row],[Dest Farm]]</f>
        <v>11</v>
      </c>
      <c r="BB46" s="204" t="n">
        <f aca="false" t="array" ref="BB46:BB46">IF(TblConstr[[#This Row],[Hour]:[Hour]]&gt;12,OFFSET(TblConstr[[#This Row],[Smi]],-12,0),0)+OFFSET(TblConstr[[#This Row],[Tot Smi]],-1,0)-TblConstr[[#This Row],[Dest Smi]]</f>
        <v>0</v>
      </c>
      <c r="BC46" s="204" t="n">
        <f aca="false" t="array" ref="BC46:BC46">IF(TblConstr[[#This Row],[Hour]:[Hour]]&gt;12,OFFSET(TblConstr[[#This Row],[Mas]],-12,0),0)+OFFSET(TblConstr[[#This Row],[Tot Mas]],-1,0)-TblConstr[[#This Row],[Dest Mas]]</f>
        <v>0</v>
      </c>
      <c r="BD46" s="205" t="n">
        <f aca="false" t="array" ref="BD46:BD46">IF(TblConstr[[#This Row],[Hour]:[Hour]]&gt;12,OFFSET(TblConstr[[#This Row],[Ly]],-12,0),0)+OFFSET(TblConstr[[#This Row],[Tot Ly]],-1,0)-TblConstr[[#This Row],[Dest Ly]]</f>
        <v>25</v>
      </c>
      <c r="BE46" s="205" t="n">
        <f aca="false" t="array" ref="BE46:BE46">IF(TblConstr[[#This Row],[Hour]:[Hour]]&gt;12,OFFSET(TblConstr[[#This Row],[Hav]],-12,0),0)+OFFSET(TblConstr[[#This Row],[Tot Hav]],-1,0)-TblConstr[[#This Row],[Dest Hav]]</f>
        <v>0</v>
      </c>
      <c r="BF46" s="194" t="n">
        <f aca="false" t="array" ref="BF46:BF46">IF(TblConstr[[#This Row],[Hour]:[Hour]]&gt;12,OFFSET(TblConstr[[#This Row],[OM]],-12,0),0)+OFFSET(TblConstr[[#This Row],[Tot OM]],-1,0)-TblConstr[[#This Row],[Dest OM]]</f>
        <v>0</v>
      </c>
      <c r="BG46" s="194" t="n">
        <f aca="false" t="array" ref="BG46:BG46">IF(TblConstr[[#This Row],[Hour]:[Hour]]&gt;12,OFFSET(TblConstr[[#This Row],[GN]],-12,0),0)+OFFSET(TblConstr[[#This Row],[Tot GN]],-1,0)-TblConstr[[#This Row],[Dest GN]]</f>
        <v>0</v>
      </c>
      <c r="BH46" s="206" t="n">
        <f aca="false" t="array" ref="BH46:BH46">IF(TblConstr[[#This Row],[Hour]:[Hour]]&gt;12,OFFSET(TblConstr[[#This Row],[Fac]],-12,0),0)+OFFSET(TblConstr[[#This Row],[Tot Fac]],-1,0)-TblConstr[[#This Row],[Dest Fac]]</f>
        <v>53</v>
      </c>
      <c r="BI46" s="206" t="n">
        <f aca="false" t="array" ref="BI46:BI46">IF(TblConstr[[#This Row],[Hour]:[Hour]]&gt;12,OFFSET(TblConstr[[#This Row],[GT]],-12,0),0)+OFFSET(TblConstr[[#This Row],[Tot GT]],-1,0)-TblConstr[[#This Row],[Dest GT]]</f>
        <v>0</v>
      </c>
      <c r="BJ46" s="206" t="n">
        <f aca="false" t="array" ref="BJ46:BJ46">IF(TblConstr[[#This Row],[Hour]:[Hour]]&gt;12,OFFSET(TblConstr[[#This Row],[Bar]],-12,0),0)+OFFSET(TblConstr[[#This Row],[Tot Bar]],-1,0)-TblConstr[[#This Row],[Dest Bar]]</f>
        <v>0</v>
      </c>
      <c r="BK46" s="206" t="n">
        <f aca="false" t="array" ref="BK46:BK46">IF(TblConstr[[#This Row],[Hour]:[Hour]]&gt;12,OFFSET(TblConstr[[#This Row],[Shr]],-12,0),0)+OFFSET(TblConstr[[#This Row],[Tot Shr]],-1,0)-TblConstr[[#This Row],[Dest Shr]]</f>
        <v>0</v>
      </c>
      <c r="BL46" s="207" t="n">
        <f aca="false" t="array" ref="BL46:BL46">IF(TblConstr[[#This Row],[Hour]:[Hour]]&gt;12,OFFSET(TblConstr[[#This Row],[Tow]],-12,0),0)+OFFSET(TblConstr[[#This Row],[Tot Tow]],-1,0)-TblConstr[[#This Row],[Dest Tow]]</f>
        <v>18</v>
      </c>
      <c r="BM46" s="207" t="n">
        <f aca="false" t="array" ref="BM46:BM46">IF(TblConstr[[#This Row],[Hour]:[Hour]]&gt;12,OFFSET(TblConstr[[#This Row],[Tem]],-12,0),0)+OFFSET(TblConstr[[#This Row],[Tot Tem]],-1,0)-TblConstr[[#This Row],[Dest Tem]]</f>
        <v>47</v>
      </c>
      <c r="BN46" s="207" t="n">
        <f aca="false" t="array" ref="BN46:BN46">IF(TblConstr[[#This Row],[Hour]:[Hour]]&gt;12,OFFSET(TblConstr[[#This Row],[WG]],-12,0),0)+OFFSET(TblConstr[[#This Row],[Tot WG]],-1,0)-TblConstr[[#This Row],[Dest WG]]</f>
        <v>0</v>
      </c>
      <c r="BO46" s="208" t="n">
        <f aca="false" t="array" ref="BO46:BO46">IF(TblConstr[[#This Row],[Hour]:[Hour]]&gt;12,OFFSET(TblConstr[[#This Row],[DM]],-12,0),0)+OFFSET(TblConstr[[#This Row],[Tot DM]],-1,0)-TblConstr[[#This Row],[Dest DM]]</f>
        <v>0</v>
      </c>
      <c r="BP46" s="208" t="n">
        <f aca="false" t="array" ref="BP46:BP46">IF(TblConstr[[#This Row],[Hour]:[Hour]]&gt;12,OFFSET(TblConstr[[#This Row],[Sch]],-12,0),0)+OFFSET(TblConstr[[#This Row],[Tot Sch]],-1,0)-TblConstr[[#This Row],[Dest Sch]]</f>
        <v>0</v>
      </c>
      <c r="BQ46" s="209" t="n">
        <f aca="false" t="array" ref="BQ46:BQ46">IF(TblConstr[[#This Row],[Hour]:[Hour]]&gt;12,OFFSET(TblConstr[[#This Row],[Doc]],-12,0),0)+OFFSET(TblConstr[[#This Row],[Tot Doc]],-1,0)-TblConstr[[#This Row],[Dest Doc]]</f>
        <v>10</v>
      </c>
      <c r="BR46" s="132"/>
      <c r="BS46" s="146"/>
      <c r="BT46" s="69" t="n">
        <f aca="false">TblConstr[[#This Row],[Land]]</f>
        <v>520</v>
      </c>
      <c r="BU46" s="153" t="n">
        <f aca="false">TblImps[[#This Row],[Time]]</f>
        <v>45431.5</v>
      </c>
      <c r="BV46" s="132"/>
      <c r="BW46" s="182"/>
      <c r="BX46" s="182"/>
      <c r="BY46" s="182"/>
      <c r="BZ46" s="182"/>
      <c r="CA46" s="182"/>
      <c r="CB46" s="182"/>
      <c r="CC46" s="182"/>
      <c r="CD46" s="182"/>
      <c r="CE46" s="182"/>
      <c r="CF46" s="182"/>
      <c r="CG46" s="182"/>
      <c r="CH46" s="182"/>
      <c r="CI46" s="182"/>
      <c r="CJ46" s="182"/>
      <c r="CK46" s="182"/>
      <c r="CL46" s="182"/>
      <c r="CM46" s="182"/>
      <c r="CN46" s="182"/>
      <c r="CO46" s="182"/>
      <c r="CP46" s="132"/>
      <c r="CQ46" s="192" t="n">
        <f aca="false">-SUM(TblConstr[[#This Row],[Alc]:[Mas]])+SUM(TblConstr[[#This Row],[Dest Alc]:[Dest Mas]])+Rezone!L46+IF("Ch_"&amp; home_land=TblConstr[[#Headers],[Ch_Plain]],TblConstr[[#This Row],[Home Land]])+IF(TblConstr[[#This Row],[Hour]:[Hour]]&gt;12,OFFSET(TblExplore[[#This Row],[Plains Explore]],-12,0),0)</f>
        <v>0</v>
      </c>
      <c r="CR46" s="193" t="n">
        <f aca="false">-SUM(TblConstr[[#This Row],[Ly]:[Hav]])+SUM(TblConstr[[#This Row],[Dest Ly]:[Dest Hav]]) +Rezone!M46 + IF("Ch_"&amp; home_land=TblConstr[[#Headers],[Ch_Forest]],TblConstr[[#This Row],[Home Land]])+IF(TblConstr[[#This Row],[Hour]:[Hour]]&gt;12,OFFSET(TblExplore[[#This Row],[Forest Explore]],-12,0),0)</f>
        <v>0</v>
      </c>
      <c r="CS46" s="200" t="n">
        <f aca="false">-SUM(TblConstr[[#This Row],[OM]:[GN]])+SUM(TblConstr[[#This Row],[Dest OM]:[Dest GN]]) +Rezone!N46 + IF("Ch_"&amp; home_land=TblConstr[[#Headers],[Ch_Mountain]],TblConstr[[#This Row],[Home Land]])+IF(TblConstr[[#This Row],[Hour]:[Hour]]&gt;12,OFFSET(TblExplore[[#This Row],[Mountain Explore]],-12,0),0)</f>
        <v>0</v>
      </c>
      <c r="CT46" s="195" t="n">
        <f aca="false">-SUM(TblConstr[[#This Row],[Fac]:[Shr]])+SUM(TblConstr[[#This Row],[Dest Fac]:[Dest Shr]]) +Rezone!O46 + IF("Ch_" &amp; home_land=TblConstr[[#Headers],[Ch_Hill]],TblConstr[[#This Row],[Home Land]])+IF(TblConstr[[#This Row],[Hour]:[Hour]]&gt;12,OFFSET(TblExplore[[#This Row],[Hill Explore]],-12,0),0)</f>
        <v>0</v>
      </c>
      <c r="CU46" s="196" t="n">
        <f aca="false">-SUM(TblConstr[[#This Row],[Tow]:[WG]])+SUM(TblConstr[[#This Row],[Dest Tow]:[Dest WG]]) +Rezone!P46 + IF("Ch_" &amp; home_land=TblConstr[[#Headers],[Ch_Swamp]],TblConstr[[#This Row],[Home Land]])+IF(TblConstr[[#This Row],[Hour]:[Hour]]&gt;12,OFFSET(TblExplore[[#This Row],[Swamp Explore]],-12,0),0)</f>
        <v>0</v>
      </c>
      <c r="CV46" s="197" t="n">
        <f aca="false">- SUM(TblConstr[[#This Row],[DM]:[Sch]])+SUM(TblConstr[[#This Row],[Dest DM]:[Dest Sch]]) +Rezone!Q46 + IF("Ch_" &amp; home_land=TblConstr[[#Headers],[Ch_Cavern]],TblConstr[[#This Row],[Home Land]])+IF(TblConstr[[#This Row],[Hour]:[Hour]]&gt;12,OFFSET(TblExplore[[#This Row],[Cavern Explore]],-12,0),0)</f>
        <v>0</v>
      </c>
      <c r="CW46" s="198" t="n">
        <f aca="false">-TblConstr[[#This Row],[Doc]]+TblConstr[[#This Row],[Dest Doc]] +Rezone!R46 + IF("Ch_" &amp; home_land=TblConstr[[#Headers],[Ch_Water]],TblConstr[[#This Row],[Home Land]])+IF(TblConstr[[#This Row],[Hour]:[Hour]]&gt;12,OFFSET(TblExplore[[#This Row],[Water Explore]],-12,0),0)</f>
        <v>0</v>
      </c>
      <c r="CX46" s="1" t="n">
        <f aca="false">IF(Explore!S46=1,20) - TblConstr[[#This Row],[Hom]] + TblConstr[[#This Row],[Dest Hom]]</f>
        <v>0</v>
      </c>
      <c r="CY46" s="132"/>
      <c r="CZ46" s="69" t="n">
        <f aca="false">G46+SUM(P35:S46)+SUM(AZ46:BC46)</f>
        <v>346</v>
      </c>
      <c r="DA46" s="69" t="n">
        <f aca="false">H46+SUM(T35:U46)+SUM(BD46:BE46)</f>
        <v>25</v>
      </c>
      <c r="DB46" s="1" t="n">
        <f aca="false">I46+SUM(V35:W46)+SUM(BF46:BG46)</f>
        <v>0</v>
      </c>
      <c r="DC46" s="69" t="n">
        <f aca="false">J46+SUM(X35:Y46)+SUM(BH46:BI46)</f>
        <v>67</v>
      </c>
      <c r="DD46" s="69" t="n">
        <f aca="false">K46+SUM(AB35:AD46)+SUM(BL46:BN46)</f>
        <v>72</v>
      </c>
      <c r="DE46" s="1" t="n">
        <f aca="false">L46+SUM(AE35:AE46)+BO46</f>
        <v>0</v>
      </c>
      <c r="DF46" s="69" t="n">
        <f aca="false">M46+SUM(AG35:AG46)+BQ46</f>
        <v>10</v>
      </c>
      <c r="DG46" s="69" t="e">
        <f aca="false" t="array" ref="DG46:DG46">INDEX(TblConstr[[Total Plain]:[Total Water]],ROW()-ROW(TblConstr[#headers]),MATCH("Total "&amp;home_land,TblConstr[[#Headers],[Total Plain]:[Total Water]],0))+TblConstr[[#This Row],[Homes]]</f>
        <v>#VALUE!</v>
      </c>
      <c r="DH46" s="1" t="n">
        <f aca="false">SUM(O35:O46)+AY46</f>
        <v>0</v>
      </c>
      <c r="DI46" s="1" t="n">
        <f aca="false">MAX(BA46-BA45,0)</f>
        <v>0</v>
      </c>
      <c r="DJ46" s="1" t="n">
        <f aca="false">MAX(BQ46-BQ45,0)</f>
        <v>0</v>
      </c>
    </row>
    <row r="47" customFormat="false" ht="12.75" hidden="false" customHeight="false" outlineLevel="0" collapsed="false">
      <c r="A47" s="170" t="n">
        <f aca="false">TblRezone[[#This Row],[Hour]]</f>
        <v>44</v>
      </c>
      <c r="B47" s="171" t="n">
        <f aca="false">SUM(TblConstr[[#This Row],[Plain]:[Water]])</f>
        <v>0</v>
      </c>
      <c r="C47" s="172" t="n">
        <f aca="false">SUM(TblConstr[[#This Row],[Tot Hom]:[Tot Doc]])</f>
        <v>392</v>
      </c>
      <c r="D47" s="172" t="n">
        <f aca="false">SUM(O36:AG47)</f>
        <v>138</v>
      </c>
      <c r="E47" s="173"/>
      <c r="F47" s="33" t="n">
        <f aca="false">TblConstr[[#This Row],[Barren]]+TblConstr[[#This Row],[Buildings]]+TblConstr[[#This Row],[Incoming]]</f>
        <v>530</v>
      </c>
      <c r="G47" s="199" t="n">
        <f aca="false">OFFSET(TblConstr[[#This Row],[Plain]],-1,0)+TblConstr[[#This Row],[Ch_Plain]]</f>
        <v>0</v>
      </c>
      <c r="H47" s="193" t="n">
        <f aca="false">OFFSET(TblConstr[[#This Row],[Forest]],-1,0)+TblConstr[[#This Row],[Ch_Forest]]</f>
        <v>0</v>
      </c>
      <c r="I47" s="200" t="n">
        <f aca="false">OFFSET(TblConstr[[#This Row],[Mountain]],-1,0)+TblConstr[[#This Row],[Ch_Mountain]]</f>
        <v>0</v>
      </c>
      <c r="J47" s="201" t="n">
        <f aca="false">OFFSET(TblConstr[[#This Row],[Hill]],-1,0)+TblConstr[[#This Row],[Ch_Hill]]</f>
        <v>0</v>
      </c>
      <c r="K47" s="202" t="n">
        <f aca="false">OFFSET(TblConstr[[#This Row],[Swamp]],-1,0)+TblConstr[[#This Row],[Ch_Swamp]]</f>
        <v>0</v>
      </c>
      <c r="L47" s="197" t="n">
        <f aca="false">OFFSET(TblConstr[[#This Row],[Cavern]],-1,0)+TblConstr[[#This Row],[Ch_Cavern]]</f>
        <v>0</v>
      </c>
      <c r="M47" s="198" t="n">
        <f aca="false">OFFSET(TblConstr[[#This Row],[Water]],-1,0)+TblConstr[[#This Row],[Ch_Water]]</f>
        <v>0</v>
      </c>
      <c r="N47" s="181" t="n">
        <f aca="false">TblRezone[[#This Row],[Hour]]</f>
        <v>44</v>
      </c>
      <c r="O47" s="182"/>
      <c r="P47" s="182" t="n">
        <v>1</v>
      </c>
      <c r="Q47" s="182"/>
      <c r="R47" s="152" t="n">
        <v>9</v>
      </c>
      <c r="S47" s="182"/>
      <c r="T47" s="182"/>
      <c r="U47" s="182"/>
      <c r="V47" s="182"/>
      <c r="W47" s="182"/>
      <c r="X47" s="182"/>
      <c r="Y47" s="182"/>
      <c r="Z47" s="182"/>
      <c r="AA47" s="182"/>
      <c r="AB47" s="182"/>
      <c r="AC47" s="182"/>
      <c r="AD47" s="182"/>
      <c r="AE47" s="182"/>
      <c r="AF47" s="182"/>
      <c r="AG47" s="182"/>
      <c r="AH47" s="20" t="n">
        <f aca="false">TblImps[[#This Row],[Time]]</f>
        <v>45431.5416666667</v>
      </c>
      <c r="AI47" s="130" t="n">
        <f aca="false">MIN(25%,(TblConstr[[#This Row],[Tot Fac]]+TblConstr[[#This Row],[Dest Fac]])/(TblConstr[[#This Row],[Land]]-TblExplore[[#This Row],[Land Bonus]]*20))</f>
        <v>0.10188679245283</v>
      </c>
      <c r="AJ47" s="130" t="n">
        <f aca="false">MIN(25%,(TblConstr[[#This Row],[Tot Fac]]+TblConstr[[#This Row],[Dest Fac]])/TblConstr[[#This Row],[Land]])</f>
        <v>0.10188679245283</v>
      </c>
      <c r="AK47" s="69" t="n">
        <f aca="false">TblProd[[#This Row],[Platinum]]</f>
        <v>107787</v>
      </c>
      <c r="AL47" s="69" t="n">
        <f aca="false">TblProd[[#This Row],[Lumber]]</f>
        <v>8932</v>
      </c>
      <c r="AM4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480</v>
      </c>
      <c r="AN47" s="69" t="n">
        <f aca="false">ROUNDDOWN( MAX(1 - MIN(facs_constr_factor*TblConstr[[#This Row],[Facs -DB]],facs_constr_max) + tech_1_11*TblTech[[#This Row],[11-1]] + tech_6_3_2*TblTech[[#This Row],[6-3]] + tech_5_2_3*TblTech[[#This Row],[5-2]], 1-global_constr_cap) * TblConstr[[#This Row],[RCPA Lumber]],0)</f>
        <v>83</v>
      </c>
      <c r="AO4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480</v>
      </c>
      <c r="AP47" s="69" t="n">
        <f aca="false">ROUNDDOWN( MAX(1 - MIN(facs_constr_factor*TblConstr[[#This Row],[Facs DB]],facs_constr_max) + tech_1_11*TblTech[[#This Row],[1-11]] + tech_6_3_2*TblTech[[#This Row],[6-3]] + tech_5_2_3*TblTech[[#This Row],[5-2]], 1-global_constr_cap) * ROUND((TblConstr[[#This Row],[Land]]-250)*0.285 + 87.5 + 0/4.25,0),0)</f>
        <v>83</v>
      </c>
      <c r="AQ47" s="1" t="n">
        <f aca="false">TblConstr[[#This Row],[build -db]]*TblConstr[[#This Row],[CPA Platinum -DB]] + TblConstr[[#This Row],[build db]]*TblConstr[[#This Row],[CPA Platinum DB]]</f>
        <v>4800</v>
      </c>
      <c r="AR47" s="1" t="n">
        <f aca="false">TblConstr[[#This Row],[build -db]]*TblConstr[[#This Row],[CPA Lumber -DB]]+TblConstr[[#This Row],[build db]]*TblConstr[[#This Row],[CPA Lumber DB]]</f>
        <v>830</v>
      </c>
      <c r="AS47" s="69" t="n">
        <f aca="false">MIN(SUM(OFFSET(TblConstr[[#This Row],[Plain]:[Water]],-1,0))+SUM(TblConstr[[#This Row],[Dest Hom]:[Dest Doc]])+IF(TblConstr[[#This Row],[Hour]]&gt;12,SUM(OFFSET(TblExplore[[#This Row],[Plains Explore]:[Water Explore]],-12,0)),0),SUM(TblConstr[[#This Row],[Hom]:[Doc]]))</f>
        <v>10</v>
      </c>
      <c r="AT4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32"/>
      <c r="AV47" s="69" t="n">
        <f aca="false">ROUND((TblConstr[[#This Row],[Land]]-250 - IF(TblExplore[[#This Row],[Land Bonus]]&lt;&gt;0,20,0))*1.25 + 850 + 0,0)</f>
        <v>1200</v>
      </c>
      <c r="AW47" s="69" t="n">
        <f aca="false">ROUND((TblConstr[[#This Row],[Land]]-250 - IF(TblExplore[[#This Row],[Land Bonus]]&lt;&gt;0,20,0))*0.285 + 87.5 + 0/4.25,0)</f>
        <v>167</v>
      </c>
      <c r="AX47" s="146"/>
      <c r="AY47" s="203" t="n">
        <f aca="false" t="array" ref="AY47:AY47">IF(TblConstr[[#This Row],[Hour]:[Hour]]&gt;12,OFFSET(TblConstr[[#This Row],[Hom]],-12,0),0)+OFFSET(TblConstr[[#This Row],[Tot Hom]],-1,0)-TblConstr[[#This Row],[Dest Hom]]</f>
        <v>0</v>
      </c>
      <c r="AZ47" s="204" t="n">
        <f aca="false" t="array" ref="AZ47:AZ47">IF(TblConstr[[#This Row],[Hour]:[Hour]]&gt;12,OFFSET(TblConstr[[#This Row],[Alc]],-12,0),0)+OFFSET(TblConstr[[#This Row],[Tot Alc]],-1,0)-TblConstr[[#This Row],[Dest Alc]]</f>
        <v>226</v>
      </c>
      <c r="BA47" s="204" t="n">
        <f aca="false" t="array" ref="BA47:BA47">IF(TblConstr[[#This Row],[Hour]:[Hour]]&gt;12,OFFSET(TblConstr[[#This Row],[Far]],-12,0),0)+OFFSET(TblConstr[[#This Row],[Tot Farm]],-1,0)-TblConstr[[#This Row],[Dest Farm]]</f>
        <v>11</v>
      </c>
      <c r="BB47" s="204" t="n">
        <f aca="false" t="array" ref="BB47:BB47">IF(TblConstr[[#This Row],[Hour]:[Hour]]&gt;12,OFFSET(TblConstr[[#This Row],[Smi]],-12,0),0)+OFFSET(TblConstr[[#This Row],[Tot Smi]],-1,0)-TblConstr[[#This Row],[Dest Smi]]</f>
        <v>0</v>
      </c>
      <c r="BC47" s="204" t="n">
        <f aca="false" t="array" ref="BC47:BC47">IF(TblConstr[[#This Row],[Hour]:[Hour]]&gt;12,OFFSET(TblConstr[[#This Row],[Mas]],-12,0),0)+OFFSET(TblConstr[[#This Row],[Tot Mas]],-1,0)-TblConstr[[#This Row],[Dest Mas]]</f>
        <v>0</v>
      </c>
      <c r="BD47" s="205" t="n">
        <f aca="false" t="array" ref="BD47:BD47">IF(TblConstr[[#This Row],[Hour]:[Hour]]&gt;12,OFFSET(TblConstr[[#This Row],[Ly]],-12,0),0)+OFFSET(TblConstr[[#This Row],[Tot Ly]],-1,0)-TblConstr[[#This Row],[Dest Ly]]</f>
        <v>25</v>
      </c>
      <c r="BE47" s="205" t="n">
        <f aca="false" t="array" ref="BE47:BE47">IF(TblConstr[[#This Row],[Hour]:[Hour]]&gt;12,OFFSET(TblConstr[[#This Row],[Hav]],-12,0),0)+OFFSET(TblConstr[[#This Row],[Tot Hav]],-1,0)-TblConstr[[#This Row],[Dest Hav]]</f>
        <v>0</v>
      </c>
      <c r="BF47" s="194" t="n">
        <f aca="false" t="array" ref="BF47:BF47">IF(TblConstr[[#This Row],[Hour]:[Hour]]&gt;12,OFFSET(TblConstr[[#This Row],[OM]],-12,0),0)+OFFSET(TblConstr[[#This Row],[Tot OM]],-1,0)-TblConstr[[#This Row],[Dest OM]]</f>
        <v>0</v>
      </c>
      <c r="BG47" s="194" t="n">
        <f aca="false" t="array" ref="BG47:BG47">IF(TblConstr[[#This Row],[Hour]:[Hour]]&gt;12,OFFSET(TblConstr[[#This Row],[GN]],-12,0),0)+OFFSET(TblConstr[[#This Row],[Tot GN]],-1,0)-TblConstr[[#This Row],[Dest GN]]</f>
        <v>0</v>
      </c>
      <c r="BH47" s="206" t="n">
        <f aca="false" t="array" ref="BH47:BH47">IF(TblConstr[[#This Row],[Hour]:[Hour]]&gt;12,OFFSET(TblConstr[[#This Row],[Fac]],-12,0),0)+OFFSET(TblConstr[[#This Row],[Tot Fac]],-1,0)-TblConstr[[#This Row],[Dest Fac]]</f>
        <v>54</v>
      </c>
      <c r="BI47" s="206" t="n">
        <f aca="false" t="array" ref="BI47:BI47">IF(TblConstr[[#This Row],[Hour]:[Hour]]&gt;12,OFFSET(TblConstr[[#This Row],[GT]],-12,0),0)+OFFSET(TblConstr[[#This Row],[Tot GT]],-1,0)-TblConstr[[#This Row],[Dest GT]]</f>
        <v>0</v>
      </c>
      <c r="BJ47" s="206" t="n">
        <f aca="false" t="array" ref="BJ47:BJ47">IF(TblConstr[[#This Row],[Hour]:[Hour]]&gt;12,OFFSET(TblConstr[[#This Row],[Bar]],-12,0),0)+OFFSET(TblConstr[[#This Row],[Tot Bar]],-1,0)-TblConstr[[#This Row],[Dest Bar]]</f>
        <v>0</v>
      </c>
      <c r="BK47" s="206" t="n">
        <f aca="false" t="array" ref="BK47:BK47">IF(TblConstr[[#This Row],[Hour]:[Hour]]&gt;12,OFFSET(TblConstr[[#This Row],[Shr]],-12,0),0)+OFFSET(TblConstr[[#This Row],[Tot Shr]],-1,0)-TblConstr[[#This Row],[Dest Shr]]</f>
        <v>0</v>
      </c>
      <c r="BL47" s="207" t="n">
        <f aca="false" t="array" ref="BL47:BL47">IF(TblConstr[[#This Row],[Hour]:[Hour]]&gt;12,OFFSET(TblConstr[[#This Row],[Tow]],-12,0),0)+OFFSET(TblConstr[[#This Row],[Tot Tow]],-1,0)-TblConstr[[#This Row],[Dest Tow]]</f>
        <v>19</v>
      </c>
      <c r="BM47" s="207" t="n">
        <f aca="false" t="array" ref="BM47:BM47">IF(TblConstr[[#This Row],[Hour]:[Hour]]&gt;12,OFFSET(TblConstr[[#This Row],[Tem]],-12,0),0)+OFFSET(TblConstr[[#This Row],[Tot Tem]],-1,0)-TblConstr[[#This Row],[Dest Tem]]</f>
        <v>47</v>
      </c>
      <c r="BN47" s="207" t="n">
        <f aca="false" t="array" ref="BN47:BN47">IF(TblConstr[[#This Row],[Hour]:[Hour]]&gt;12,OFFSET(TblConstr[[#This Row],[WG]],-12,0),0)+OFFSET(TblConstr[[#This Row],[Tot WG]],-1,0)-TblConstr[[#This Row],[Dest WG]]</f>
        <v>0</v>
      </c>
      <c r="BO47" s="208" t="n">
        <f aca="false" t="array" ref="BO47:BO47">IF(TblConstr[[#This Row],[Hour]:[Hour]]&gt;12,OFFSET(TblConstr[[#This Row],[DM]],-12,0),0)+OFFSET(TblConstr[[#This Row],[Tot DM]],-1,0)-TblConstr[[#This Row],[Dest DM]]</f>
        <v>0</v>
      </c>
      <c r="BP47" s="208" t="n">
        <f aca="false" t="array" ref="BP47:BP47">IF(TblConstr[[#This Row],[Hour]:[Hour]]&gt;12,OFFSET(TblConstr[[#This Row],[Sch]],-12,0),0)+OFFSET(TblConstr[[#This Row],[Tot Sch]],-1,0)-TblConstr[[#This Row],[Dest Sch]]</f>
        <v>0</v>
      </c>
      <c r="BQ47" s="209" t="n">
        <f aca="false" t="array" ref="BQ47:BQ47">IF(TblConstr[[#This Row],[Hour]:[Hour]]&gt;12,OFFSET(TblConstr[[#This Row],[Doc]],-12,0),0)+OFFSET(TblConstr[[#This Row],[Tot Doc]],-1,0)-TblConstr[[#This Row],[Dest Doc]]</f>
        <v>10</v>
      </c>
      <c r="BR47" s="132"/>
      <c r="BS47" s="146"/>
      <c r="BT47" s="69" t="n">
        <f aca="false">TblConstr[[#This Row],[Land]]</f>
        <v>530</v>
      </c>
      <c r="BU47" s="153" t="n">
        <f aca="false">TblImps[[#This Row],[Time]]</f>
        <v>45431.5416666667</v>
      </c>
      <c r="BV47" s="132"/>
      <c r="BW47" s="182"/>
      <c r="BX47" s="182"/>
      <c r="BY47" s="182"/>
      <c r="BZ47" s="182"/>
      <c r="CA47" s="182"/>
      <c r="CB47" s="182"/>
      <c r="CC47" s="182"/>
      <c r="CD47" s="182"/>
      <c r="CE47" s="182"/>
      <c r="CF47" s="182"/>
      <c r="CG47" s="182"/>
      <c r="CH47" s="182"/>
      <c r="CI47" s="182"/>
      <c r="CJ47" s="182"/>
      <c r="CK47" s="182"/>
      <c r="CL47" s="182"/>
      <c r="CM47" s="182"/>
      <c r="CN47" s="182"/>
      <c r="CO47" s="182"/>
      <c r="CP47" s="132"/>
      <c r="CQ47" s="192" t="n">
        <f aca="false">-SUM(TblConstr[[#This Row],[Alc]:[Mas]])+SUM(TblConstr[[#This Row],[Dest Alc]:[Dest Mas]])+Rezone!L47+IF("Ch_"&amp; home_land=TblConstr[[#Headers],[Ch_Plain]],TblConstr[[#This Row],[Home Land]])+IF(TblConstr[[#This Row],[Hour]:[Hour]]&gt;12,OFFSET(TblExplore[[#This Row],[Plains Explore]],-12,0),0)</f>
        <v>0</v>
      </c>
      <c r="CR47" s="193" t="n">
        <f aca="false">-SUM(TblConstr[[#This Row],[Ly]:[Hav]])+SUM(TblConstr[[#This Row],[Dest Ly]:[Dest Hav]]) +Rezone!M47 + IF("Ch_"&amp; home_land=TblConstr[[#Headers],[Ch_Forest]],TblConstr[[#This Row],[Home Land]])+IF(TblConstr[[#This Row],[Hour]:[Hour]]&gt;12,OFFSET(TblExplore[[#This Row],[Forest Explore]],-12,0),0)</f>
        <v>0</v>
      </c>
      <c r="CS47" s="200" t="n">
        <f aca="false">-SUM(TblConstr[[#This Row],[OM]:[GN]])+SUM(TblConstr[[#This Row],[Dest OM]:[Dest GN]]) +Rezone!N47 + IF("Ch_"&amp; home_land=TblConstr[[#Headers],[Ch_Mountain]],TblConstr[[#This Row],[Home Land]])+IF(TblConstr[[#This Row],[Hour]:[Hour]]&gt;12,OFFSET(TblExplore[[#This Row],[Mountain Explore]],-12,0),0)</f>
        <v>0</v>
      </c>
      <c r="CT47" s="195" t="n">
        <f aca="false">-SUM(TblConstr[[#This Row],[Fac]:[Shr]])+SUM(TblConstr[[#This Row],[Dest Fac]:[Dest Shr]]) +Rezone!O47 + IF("Ch_" &amp; home_land=TblConstr[[#Headers],[Ch_Hill]],TblConstr[[#This Row],[Home Land]])+IF(TblConstr[[#This Row],[Hour]:[Hour]]&gt;12,OFFSET(TblExplore[[#This Row],[Hill Explore]],-12,0),0)</f>
        <v>0</v>
      </c>
      <c r="CU47" s="196" t="n">
        <f aca="false">-SUM(TblConstr[[#This Row],[Tow]:[WG]])+SUM(TblConstr[[#This Row],[Dest Tow]:[Dest WG]]) +Rezone!P47 + IF("Ch_" &amp; home_land=TblConstr[[#Headers],[Ch_Swamp]],TblConstr[[#This Row],[Home Land]])+IF(TblConstr[[#This Row],[Hour]:[Hour]]&gt;12,OFFSET(TblExplore[[#This Row],[Swamp Explore]],-12,0),0)</f>
        <v>0</v>
      </c>
      <c r="CV47" s="197" t="n">
        <f aca="false">- SUM(TblConstr[[#This Row],[DM]:[Sch]])+SUM(TblConstr[[#This Row],[Dest DM]:[Dest Sch]]) +Rezone!Q47 + IF("Ch_" &amp; home_land=TblConstr[[#Headers],[Ch_Cavern]],TblConstr[[#This Row],[Home Land]])+IF(TblConstr[[#This Row],[Hour]:[Hour]]&gt;12,OFFSET(TblExplore[[#This Row],[Cavern Explore]],-12,0),0)</f>
        <v>0</v>
      </c>
      <c r="CW47" s="198" t="n">
        <f aca="false">-TblConstr[[#This Row],[Doc]]+TblConstr[[#This Row],[Dest Doc]] +Rezone!R47 + IF("Ch_" &amp; home_land=TblConstr[[#Headers],[Ch_Water]],TblConstr[[#This Row],[Home Land]])+IF(TblConstr[[#This Row],[Hour]:[Hour]]&gt;12,OFFSET(TblExplore[[#This Row],[Water Explore]],-12,0),0)</f>
        <v>0</v>
      </c>
      <c r="CX47" s="1" t="n">
        <f aca="false">IF(Explore!S47=1,20) - TblConstr[[#This Row],[Hom]] + TblConstr[[#This Row],[Dest Hom]]</f>
        <v>0</v>
      </c>
      <c r="CY47" s="132"/>
      <c r="CZ47" s="69" t="n">
        <f aca="false">G47+SUM(P36:S47)+SUM(AZ47:BC47)</f>
        <v>356</v>
      </c>
      <c r="DA47" s="69" t="n">
        <f aca="false">H47+SUM(T36:U47)+SUM(BD47:BE47)</f>
        <v>25</v>
      </c>
      <c r="DB47" s="1" t="n">
        <f aca="false">I47+SUM(V36:W47)+SUM(BF47:BG47)</f>
        <v>0</v>
      </c>
      <c r="DC47" s="69" t="n">
        <f aca="false">J47+SUM(X36:Y47)+SUM(BH47:BI47)</f>
        <v>67</v>
      </c>
      <c r="DD47" s="69" t="n">
        <f aca="false">K47+SUM(AB36:AD47)+SUM(BL47:BN47)</f>
        <v>72</v>
      </c>
      <c r="DE47" s="1" t="n">
        <f aca="false">L47+SUM(AE36:AE47)+BO47</f>
        <v>0</v>
      </c>
      <c r="DF47" s="69" t="n">
        <f aca="false">M47+SUM(AG36:AG47)+BQ47</f>
        <v>10</v>
      </c>
      <c r="DG47" s="69" t="e">
        <f aca="false" t="array" ref="DG47:DG47">INDEX(TblConstr[[Total Plain]:[Total Water]],ROW()-ROW(TblConstr[#headers]),MATCH("Total "&amp;home_land,TblConstr[[#Headers],[Total Plain]:[Total Water]],0))+TblConstr[[#This Row],[Homes]]</f>
        <v>#VALUE!</v>
      </c>
      <c r="DH47" s="1" t="n">
        <f aca="false">SUM(O36:O47)+AY47</f>
        <v>0</v>
      </c>
      <c r="DI47" s="1" t="n">
        <f aca="false">MAX(BA47-BA46,0)</f>
        <v>0</v>
      </c>
      <c r="DJ47" s="1" t="n">
        <f aca="false">MAX(BQ47-BQ46,0)</f>
        <v>0</v>
      </c>
    </row>
    <row r="48" customFormat="false" ht="12.75" hidden="false" customHeight="false" outlineLevel="0" collapsed="false">
      <c r="A48" s="170" t="n">
        <f aca="false">TblRezone[[#This Row],[Hour]]</f>
        <v>45</v>
      </c>
      <c r="B48" s="171" t="n">
        <f aca="false">SUM(TblConstr[[#This Row],[Plain]:[Water]])</f>
        <v>0</v>
      </c>
      <c r="C48" s="172" t="n">
        <f aca="false">SUM(TblConstr[[#This Row],[Tot Hom]:[Tot Doc]])</f>
        <v>404</v>
      </c>
      <c r="D48" s="172" t="n">
        <f aca="false">SUM(O37:AG48)</f>
        <v>136</v>
      </c>
      <c r="E48" s="173"/>
      <c r="F48" s="33" t="n">
        <f aca="false">TblConstr[[#This Row],[Barren]]+TblConstr[[#This Row],[Buildings]]+TblConstr[[#This Row],[Incoming]]</f>
        <v>540</v>
      </c>
      <c r="G48" s="199" t="n">
        <f aca="false">OFFSET(TblConstr[[#This Row],[Plain]],-1,0)+TblConstr[[#This Row],[Ch_Plain]]</f>
        <v>0</v>
      </c>
      <c r="H48" s="193" t="n">
        <f aca="false">OFFSET(TblConstr[[#This Row],[Forest]],-1,0)+TblConstr[[#This Row],[Ch_Forest]]</f>
        <v>0</v>
      </c>
      <c r="I48" s="200" t="n">
        <f aca="false">OFFSET(TblConstr[[#This Row],[Mountain]],-1,0)+TblConstr[[#This Row],[Ch_Mountain]]</f>
        <v>0</v>
      </c>
      <c r="J48" s="201" t="n">
        <f aca="false">OFFSET(TblConstr[[#This Row],[Hill]],-1,0)+TblConstr[[#This Row],[Ch_Hill]]</f>
        <v>0</v>
      </c>
      <c r="K48" s="202" t="n">
        <f aca="false">OFFSET(TblConstr[[#This Row],[Swamp]],-1,0)+TblConstr[[#This Row],[Ch_Swamp]]</f>
        <v>0</v>
      </c>
      <c r="L48" s="197" t="n">
        <f aca="false">OFFSET(TblConstr[[#This Row],[Cavern]],-1,0)+TblConstr[[#This Row],[Ch_Cavern]]</f>
        <v>0</v>
      </c>
      <c r="M48" s="198" t="n">
        <f aca="false">OFFSET(TblConstr[[#This Row],[Water]],-1,0)+TblConstr[[#This Row],[Ch_Water]]</f>
        <v>0</v>
      </c>
      <c r="N48" s="181" t="n">
        <f aca="false">TblRezone[[#This Row],[Hour]]</f>
        <v>45</v>
      </c>
      <c r="O48" s="182"/>
      <c r="P48" s="182" t="n">
        <v>1</v>
      </c>
      <c r="Q48" s="182"/>
      <c r="R48" s="152" t="n">
        <v>9</v>
      </c>
      <c r="S48" s="182"/>
      <c r="T48" s="182"/>
      <c r="U48" s="182"/>
      <c r="V48" s="182"/>
      <c r="W48" s="182"/>
      <c r="X48" s="182"/>
      <c r="Y48" s="182"/>
      <c r="Z48" s="182"/>
      <c r="AA48" s="182"/>
      <c r="AB48" s="182"/>
      <c r="AC48" s="182"/>
      <c r="AD48" s="182"/>
      <c r="AE48" s="182"/>
      <c r="AF48" s="182"/>
      <c r="AG48" s="182"/>
      <c r="AH48" s="20" t="n">
        <f aca="false">TblImps[[#This Row],[Time]]</f>
        <v>45431.5833333333</v>
      </c>
      <c r="AI48" s="130" t="n">
        <f aca="false">MIN(25%,(TblConstr[[#This Row],[Tot Fac]]+TblConstr[[#This Row],[Dest Fac]])/(TblConstr[[#This Row],[Land]]-TblExplore[[#This Row],[Land Bonus]]*20))</f>
        <v>0.101851851851852</v>
      </c>
      <c r="AJ48" s="130" t="n">
        <f aca="false">MIN(25%,(TblConstr[[#This Row],[Tot Fac]]+TblConstr[[#This Row],[Dest Fac]])/TblConstr[[#This Row],[Land]])</f>
        <v>0.101851851851852</v>
      </c>
      <c r="AK48" s="69" t="n">
        <f aca="false">TblProd[[#This Row],[Platinum]]</f>
        <v>141605</v>
      </c>
      <c r="AL48" s="69" t="n">
        <f aca="false">TblProd[[#This Row],[Lumber]]</f>
        <v>9118</v>
      </c>
      <c r="AM4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485</v>
      </c>
      <c r="AN48" s="69" t="n">
        <f aca="false">ROUNDDOWN( MAX(1 - MIN(facs_constr_factor*TblConstr[[#This Row],[Facs -DB]],facs_constr_max) + tech_1_11*TblTech[[#This Row],[11-1]] + tech_6_3_2*TblTech[[#This Row],[6-3]] + tech_5_2_3*TblTech[[#This Row],[5-2]], 1-global_constr_cap) * TblConstr[[#This Row],[RCPA Lumber]],0)</f>
        <v>85</v>
      </c>
      <c r="AO4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485</v>
      </c>
      <c r="AP48" s="69" t="n">
        <f aca="false">ROUNDDOWN( MAX(1 - MIN(facs_constr_factor*TblConstr[[#This Row],[Facs DB]],facs_constr_max) + tech_1_11*TblTech[[#This Row],[1-11]] + tech_6_3_2*TblTech[[#This Row],[6-3]] + tech_5_2_3*TblTech[[#This Row],[5-2]], 1-global_constr_cap) * ROUND((TblConstr[[#This Row],[Land]]-250)*0.285 + 87.5 + 0/4.25,0),0)</f>
        <v>85</v>
      </c>
      <c r="AQ48" s="1" t="n">
        <f aca="false">TblConstr[[#This Row],[build -db]]*TblConstr[[#This Row],[CPA Platinum -DB]] + TblConstr[[#This Row],[build db]]*TblConstr[[#This Row],[CPA Platinum DB]]</f>
        <v>4850</v>
      </c>
      <c r="AR48" s="1" t="n">
        <f aca="false">TblConstr[[#This Row],[build -db]]*TblConstr[[#This Row],[CPA Lumber -DB]]+TblConstr[[#This Row],[build db]]*TblConstr[[#This Row],[CPA Lumber DB]]</f>
        <v>850</v>
      </c>
      <c r="AS48" s="69" t="n">
        <f aca="false">MIN(SUM(OFFSET(TblConstr[[#This Row],[Plain]:[Water]],-1,0))+SUM(TblConstr[[#This Row],[Dest Hom]:[Dest Doc]])+IF(TblConstr[[#This Row],[Hour]]&gt;12,SUM(OFFSET(TblExplore[[#This Row],[Plains Explore]:[Water Explore]],-12,0)),0),SUM(TblConstr[[#This Row],[Hom]:[Doc]]))</f>
        <v>10</v>
      </c>
      <c r="AT4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32"/>
      <c r="AV48" s="69" t="n">
        <f aca="false">ROUND((TblConstr[[#This Row],[Land]]-250 - IF(TblExplore[[#This Row],[Land Bonus]]&lt;&gt;0,20,0))*1.25 + 850 + 0,0)</f>
        <v>1213</v>
      </c>
      <c r="AW48" s="69" t="n">
        <f aca="false">ROUND((TblConstr[[#This Row],[Land]]-250 - IF(TblExplore[[#This Row],[Land Bonus]]&lt;&gt;0,20,0))*0.285 + 87.5 + 0/4.25,0)</f>
        <v>170</v>
      </c>
      <c r="AX48" s="146"/>
      <c r="AY48" s="203" t="n">
        <f aca="false" t="array" ref="AY48:AY48">IF(TblConstr[[#This Row],[Hour]:[Hour]]&gt;12,OFFSET(TblConstr[[#This Row],[Hom]],-12,0),0)+OFFSET(TblConstr[[#This Row],[Tot Hom]],-1,0)-TblConstr[[#This Row],[Dest Hom]]</f>
        <v>0</v>
      </c>
      <c r="AZ48" s="204" t="n">
        <f aca="false" t="array" ref="AZ48:AZ48">IF(TblConstr[[#This Row],[Hour]:[Hour]]&gt;12,OFFSET(TblConstr[[#This Row],[Alc]],-12,0),0)+OFFSET(TblConstr[[#This Row],[Tot Alc]],-1,0)-TblConstr[[#This Row],[Dest Alc]]</f>
        <v>226</v>
      </c>
      <c r="BA48" s="204" t="n">
        <f aca="false" t="array" ref="BA48:BA48">IF(TblConstr[[#This Row],[Hour]:[Hour]]&gt;12,OFFSET(TblConstr[[#This Row],[Far]],-12,0),0)+OFFSET(TblConstr[[#This Row],[Tot Farm]],-1,0)-TblConstr[[#This Row],[Dest Farm]]</f>
        <v>16</v>
      </c>
      <c r="BB48" s="204" t="n">
        <f aca="false" t="array" ref="BB48:BB48">IF(TblConstr[[#This Row],[Hour]:[Hour]]&gt;12,OFFSET(TblConstr[[#This Row],[Smi]],-12,0),0)+OFFSET(TblConstr[[#This Row],[Tot Smi]],-1,0)-TblConstr[[#This Row],[Dest Smi]]</f>
        <v>0</v>
      </c>
      <c r="BC48" s="204" t="n">
        <f aca="false" t="array" ref="BC48:BC48">IF(TblConstr[[#This Row],[Hour]:[Hour]]&gt;12,OFFSET(TblConstr[[#This Row],[Mas]],-12,0),0)+OFFSET(TblConstr[[#This Row],[Tot Mas]],-1,0)-TblConstr[[#This Row],[Dest Mas]]</f>
        <v>0</v>
      </c>
      <c r="BD48" s="205" t="n">
        <f aca="false" t="array" ref="BD48:BD48">IF(TblConstr[[#This Row],[Hour]:[Hour]]&gt;12,OFFSET(TblConstr[[#This Row],[Ly]],-12,0),0)+OFFSET(TblConstr[[#This Row],[Tot Ly]],-1,0)-TblConstr[[#This Row],[Dest Ly]]</f>
        <v>25</v>
      </c>
      <c r="BE48" s="205" t="n">
        <f aca="false" t="array" ref="BE48:BE48">IF(TblConstr[[#This Row],[Hour]:[Hour]]&gt;12,OFFSET(TblConstr[[#This Row],[Hav]],-12,0),0)+OFFSET(TblConstr[[#This Row],[Tot Hav]],-1,0)-TblConstr[[#This Row],[Dest Hav]]</f>
        <v>0</v>
      </c>
      <c r="BF48" s="194" t="n">
        <f aca="false" t="array" ref="BF48:BF48">IF(TblConstr[[#This Row],[Hour]:[Hour]]&gt;12,OFFSET(TblConstr[[#This Row],[OM]],-12,0),0)+OFFSET(TblConstr[[#This Row],[Tot OM]],-1,0)-TblConstr[[#This Row],[Dest OM]]</f>
        <v>0</v>
      </c>
      <c r="BG48" s="194" t="n">
        <f aca="false" t="array" ref="BG48:BG48">IF(TblConstr[[#This Row],[Hour]:[Hour]]&gt;12,OFFSET(TblConstr[[#This Row],[GN]],-12,0),0)+OFFSET(TblConstr[[#This Row],[Tot GN]],-1,0)-TblConstr[[#This Row],[Dest GN]]</f>
        <v>0</v>
      </c>
      <c r="BH48" s="206" t="n">
        <f aca="false" t="array" ref="BH48:BH48">IF(TblConstr[[#This Row],[Hour]:[Hour]]&gt;12,OFFSET(TblConstr[[#This Row],[Fac]],-12,0),0)+OFFSET(TblConstr[[#This Row],[Tot Fac]],-1,0)-TblConstr[[#This Row],[Dest Fac]]</f>
        <v>55</v>
      </c>
      <c r="BI48" s="206" t="n">
        <f aca="false" t="array" ref="BI48:BI48">IF(TblConstr[[#This Row],[Hour]:[Hour]]&gt;12,OFFSET(TblConstr[[#This Row],[GT]],-12,0),0)+OFFSET(TblConstr[[#This Row],[Tot GT]],-1,0)-TblConstr[[#This Row],[Dest GT]]</f>
        <v>0</v>
      </c>
      <c r="BJ48" s="206" t="n">
        <f aca="false" t="array" ref="BJ48:BJ48">IF(TblConstr[[#This Row],[Hour]:[Hour]]&gt;12,OFFSET(TblConstr[[#This Row],[Bar]],-12,0),0)+OFFSET(TblConstr[[#This Row],[Tot Bar]],-1,0)-TblConstr[[#This Row],[Dest Bar]]</f>
        <v>0</v>
      </c>
      <c r="BK48" s="206" t="n">
        <f aca="false" t="array" ref="BK48:BK48">IF(TblConstr[[#This Row],[Hour]:[Hour]]&gt;12,OFFSET(TblConstr[[#This Row],[Shr]],-12,0),0)+OFFSET(TblConstr[[#This Row],[Tot Shr]],-1,0)-TblConstr[[#This Row],[Dest Shr]]</f>
        <v>0</v>
      </c>
      <c r="BL48" s="207" t="n">
        <f aca="false" t="array" ref="BL48:BL48">IF(TblConstr[[#This Row],[Hour]:[Hour]]&gt;12,OFFSET(TblConstr[[#This Row],[Tow]],-12,0),0)+OFFSET(TblConstr[[#This Row],[Tot Tow]],-1,0)-TblConstr[[#This Row],[Dest Tow]]</f>
        <v>25</v>
      </c>
      <c r="BM48" s="207" t="n">
        <f aca="false" t="array" ref="BM48:BM48">IF(TblConstr[[#This Row],[Hour]:[Hour]]&gt;12,OFFSET(TblConstr[[#This Row],[Tem]],-12,0),0)+OFFSET(TblConstr[[#This Row],[Tot Tem]],-1,0)-TblConstr[[#This Row],[Dest Tem]]</f>
        <v>47</v>
      </c>
      <c r="BN48" s="207" t="n">
        <f aca="false" t="array" ref="BN48:BN48">IF(TblConstr[[#This Row],[Hour]:[Hour]]&gt;12,OFFSET(TblConstr[[#This Row],[WG]],-12,0),0)+OFFSET(TblConstr[[#This Row],[Tot WG]],-1,0)-TblConstr[[#This Row],[Dest WG]]</f>
        <v>0</v>
      </c>
      <c r="BO48" s="208" t="n">
        <f aca="false" t="array" ref="BO48:BO48">IF(TblConstr[[#This Row],[Hour]:[Hour]]&gt;12,OFFSET(TblConstr[[#This Row],[DM]],-12,0),0)+OFFSET(TblConstr[[#This Row],[Tot DM]],-1,0)-TblConstr[[#This Row],[Dest DM]]</f>
        <v>0</v>
      </c>
      <c r="BP48" s="208" t="n">
        <f aca="false" t="array" ref="BP48:BP48">IF(TblConstr[[#This Row],[Hour]:[Hour]]&gt;12,OFFSET(TblConstr[[#This Row],[Sch]],-12,0),0)+OFFSET(TblConstr[[#This Row],[Tot Sch]],-1,0)-TblConstr[[#This Row],[Dest Sch]]</f>
        <v>0</v>
      </c>
      <c r="BQ48" s="209" t="n">
        <f aca="false" t="array" ref="BQ48:BQ48">IF(TblConstr[[#This Row],[Hour]:[Hour]]&gt;12,OFFSET(TblConstr[[#This Row],[Doc]],-12,0),0)+OFFSET(TblConstr[[#This Row],[Tot Doc]],-1,0)-TblConstr[[#This Row],[Dest Doc]]</f>
        <v>10</v>
      </c>
      <c r="BR48" s="132"/>
      <c r="BS48" s="146"/>
      <c r="BT48" s="69" t="n">
        <f aca="false">TblConstr[[#This Row],[Land]]</f>
        <v>540</v>
      </c>
      <c r="BU48" s="153" t="n">
        <f aca="false">TblImps[[#This Row],[Time]]</f>
        <v>45431.5833333333</v>
      </c>
      <c r="BV48" s="132"/>
      <c r="BW48" s="182"/>
      <c r="BX48" s="182"/>
      <c r="BY48" s="182"/>
      <c r="BZ48" s="182"/>
      <c r="CA48" s="182"/>
      <c r="CB48" s="182"/>
      <c r="CC48" s="182"/>
      <c r="CD48" s="182"/>
      <c r="CE48" s="182"/>
      <c r="CF48" s="182"/>
      <c r="CG48" s="182"/>
      <c r="CH48" s="182"/>
      <c r="CI48" s="182"/>
      <c r="CJ48" s="182"/>
      <c r="CK48" s="182"/>
      <c r="CL48" s="182"/>
      <c r="CM48" s="182"/>
      <c r="CN48" s="182"/>
      <c r="CO48" s="182"/>
      <c r="CP48" s="132"/>
      <c r="CQ48" s="192" t="n">
        <f aca="false">-SUM(TblConstr[[#This Row],[Alc]:[Mas]])+SUM(TblConstr[[#This Row],[Dest Alc]:[Dest Mas]])+Rezone!L48+IF("Ch_"&amp; home_land=TblConstr[[#Headers],[Ch_Plain]],TblConstr[[#This Row],[Home Land]])+IF(TblConstr[[#This Row],[Hour]:[Hour]]&gt;12,OFFSET(TblExplore[[#This Row],[Plains Explore]],-12,0),0)</f>
        <v>0</v>
      </c>
      <c r="CR48" s="193" t="n">
        <f aca="false">-SUM(TblConstr[[#This Row],[Ly]:[Hav]])+SUM(TblConstr[[#This Row],[Dest Ly]:[Dest Hav]]) +Rezone!M48 + IF("Ch_"&amp; home_land=TblConstr[[#Headers],[Ch_Forest]],TblConstr[[#This Row],[Home Land]])+IF(TblConstr[[#This Row],[Hour]:[Hour]]&gt;12,OFFSET(TblExplore[[#This Row],[Forest Explore]],-12,0),0)</f>
        <v>0</v>
      </c>
      <c r="CS48" s="200" t="n">
        <f aca="false">-SUM(TblConstr[[#This Row],[OM]:[GN]])+SUM(TblConstr[[#This Row],[Dest OM]:[Dest GN]]) +Rezone!N48 + IF("Ch_"&amp; home_land=TblConstr[[#Headers],[Ch_Mountain]],TblConstr[[#This Row],[Home Land]])+IF(TblConstr[[#This Row],[Hour]:[Hour]]&gt;12,OFFSET(TblExplore[[#This Row],[Mountain Explore]],-12,0),0)</f>
        <v>0</v>
      </c>
      <c r="CT48" s="195" t="n">
        <f aca="false">-SUM(TblConstr[[#This Row],[Fac]:[Shr]])+SUM(TblConstr[[#This Row],[Dest Fac]:[Dest Shr]]) +Rezone!O48 + IF("Ch_" &amp; home_land=TblConstr[[#Headers],[Ch_Hill]],TblConstr[[#This Row],[Home Land]])+IF(TblConstr[[#This Row],[Hour]:[Hour]]&gt;12,OFFSET(TblExplore[[#This Row],[Hill Explore]],-12,0),0)</f>
        <v>0</v>
      </c>
      <c r="CU48" s="196" t="n">
        <f aca="false">-SUM(TblConstr[[#This Row],[Tow]:[WG]])+SUM(TblConstr[[#This Row],[Dest Tow]:[Dest WG]]) +Rezone!P48 + IF("Ch_" &amp; home_land=TblConstr[[#Headers],[Ch_Swamp]],TblConstr[[#This Row],[Home Land]])+IF(TblConstr[[#This Row],[Hour]:[Hour]]&gt;12,OFFSET(TblExplore[[#This Row],[Swamp Explore]],-12,0),0)</f>
        <v>0</v>
      </c>
      <c r="CV48" s="197" t="n">
        <f aca="false">- SUM(TblConstr[[#This Row],[DM]:[Sch]])+SUM(TblConstr[[#This Row],[Dest DM]:[Dest Sch]]) +Rezone!Q48 + IF("Ch_" &amp; home_land=TblConstr[[#Headers],[Ch_Cavern]],TblConstr[[#This Row],[Home Land]])+IF(TblConstr[[#This Row],[Hour]:[Hour]]&gt;12,OFFSET(TblExplore[[#This Row],[Cavern Explore]],-12,0),0)</f>
        <v>0</v>
      </c>
      <c r="CW48" s="198" t="n">
        <f aca="false">-TblConstr[[#This Row],[Doc]]+TblConstr[[#This Row],[Dest Doc]] +Rezone!R48 + IF("Ch_" &amp; home_land=TblConstr[[#Headers],[Ch_Water]],TblConstr[[#This Row],[Home Land]])+IF(TblConstr[[#This Row],[Hour]:[Hour]]&gt;12,OFFSET(TblExplore[[#This Row],[Water Explore]],-12,0),0)</f>
        <v>0</v>
      </c>
      <c r="CX48" s="1" t="n">
        <f aca="false">IF(Explore!S48=1,20) - TblConstr[[#This Row],[Hom]] + TblConstr[[#This Row],[Dest Hom]]</f>
        <v>0</v>
      </c>
      <c r="CY48" s="132"/>
      <c r="CZ48" s="69" t="n">
        <f aca="false">G48+SUM(P37:S48)+SUM(AZ48:BC48)</f>
        <v>366</v>
      </c>
      <c r="DA48" s="69" t="n">
        <f aca="false">H48+SUM(T37:U48)+SUM(BD48:BE48)</f>
        <v>25</v>
      </c>
      <c r="DB48" s="1" t="n">
        <f aca="false">I48+SUM(V37:W48)+SUM(BF48:BG48)</f>
        <v>0</v>
      </c>
      <c r="DC48" s="69" t="n">
        <f aca="false">J48+SUM(X37:Y48)+SUM(BH48:BI48)</f>
        <v>67</v>
      </c>
      <c r="DD48" s="69" t="n">
        <f aca="false">K48+SUM(AB37:AD48)+SUM(BL48:BN48)</f>
        <v>72</v>
      </c>
      <c r="DE48" s="1" t="n">
        <f aca="false">L48+SUM(AE37:AE48)+BO48</f>
        <v>0</v>
      </c>
      <c r="DF48" s="69" t="n">
        <f aca="false">M48+SUM(AG37:AG48)+BQ48</f>
        <v>10</v>
      </c>
      <c r="DG48" s="69" t="e">
        <f aca="false" t="array" ref="DG48:DG48">INDEX(TblConstr[[Total Plain]:[Total Water]],ROW()-ROW(TblConstr[#headers]),MATCH("Total "&amp;home_land,TblConstr[[#Headers],[Total Plain]:[Total Water]],0))+TblConstr[[#This Row],[Homes]]</f>
        <v>#VALUE!</v>
      </c>
      <c r="DH48" s="1" t="n">
        <f aca="false">SUM(O37:O48)+AY48</f>
        <v>0</v>
      </c>
      <c r="DI48" s="1" t="n">
        <f aca="false">MAX(BA48-BA47,0)</f>
        <v>5</v>
      </c>
      <c r="DJ48" s="1" t="n">
        <f aca="false">MAX(BQ48-BQ47,0)</f>
        <v>0</v>
      </c>
    </row>
    <row r="49" customFormat="false" ht="12.75" hidden="false" customHeight="false" outlineLevel="0" collapsed="false">
      <c r="A49" s="170" t="n">
        <f aca="false">TblRezone[[#This Row],[Hour]]</f>
        <v>46</v>
      </c>
      <c r="B49" s="171" t="n">
        <f aca="false">SUM(TblConstr[[#This Row],[Plain]:[Water]])</f>
        <v>0</v>
      </c>
      <c r="C49" s="172" t="n">
        <f aca="false">SUM(TblConstr[[#This Row],[Tot Hom]:[Tot Doc]])</f>
        <v>407</v>
      </c>
      <c r="D49" s="172" t="n">
        <f aca="false">SUM(O38:AG49)</f>
        <v>144</v>
      </c>
      <c r="E49" s="173"/>
      <c r="F49" s="33" t="n">
        <f aca="false">TblConstr[[#This Row],[Barren]]+TblConstr[[#This Row],[Buildings]]+TblConstr[[#This Row],[Incoming]]</f>
        <v>551</v>
      </c>
      <c r="G49" s="199" t="n">
        <f aca="false">OFFSET(TblConstr[[#This Row],[Plain]],-1,0)+TblConstr[[#This Row],[Ch_Plain]]</f>
        <v>0</v>
      </c>
      <c r="H49" s="193" t="n">
        <f aca="false">OFFSET(TblConstr[[#This Row],[Forest]],-1,0)+TblConstr[[#This Row],[Ch_Forest]]</f>
        <v>0</v>
      </c>
      <c r="I49" s="200" t="n">
        <f aca="false">OFFSET(TblConstr[[#This Row],[Mountain]],-1,0)+TblConstr[[#This Row],[Ch_Mountain]]</f>
        <v>0</v>
      </c>
      <c r="J49" s="201" t="n">
        <f aca="false">OFFSET(TblConstr[[#This Row],[Hill]],-1,0)+TblConstr[[#This Row],[Ch_Hill]]</f>
        <v>0</v>
      </c>
      <c r="K49" s="202" t="n">
        <f aca="false">OFFSET(TblConstr[[#This Row],[Swamp]],-1,0)+TblConstr[[#This Row],[Ch_Swamp]]</f>
        <v>0</v>
      </c>
      <c r="L49" s="197" t="n">
        <f aca="false">OFFSET(TblConstr[[#This Row],[Cavern]],-1,0)+TblConstr[[#This Row],[Ch_Cavern]]</f>
        <v>0</v>
      </c>
      <c r="M49" s="198" t="n">
        <f aca="false">OFFSET(TblConstr[[#This Row],[Water]],-1,0)+TblConstr[[#This Row],[Ch_Water]]</f>
        <v>0</v>
      </c>
      <c r="N49" s="181" t="n">
        <f aca="false">TblRezone[[#This Row],[Hour]]</f>
        <v>46</v>
      </c>
      <c r="O49" s="182"/>
      <c r="P49" s="182" t="n">
        <v>1</v>
      </c>
      <c r="Q49" s="182"/>
      <c r="R49" s="152" t="n">
        <v>10</v>
      </c>
      <c r="S49" s="182"/>
      <c r="T49" s="182"/>
      <c r="U49" s="182"/>
      <c r="V49" s="182"/>
      <c r="W49" s="182"/>
      <c r="X49" s="182"/>
      <c r="Y49" s="182"/>
      <c r="Z49" s="182"/>
      <c r="AA49" s="182"/>
      <c r="AB49" s="182"/>
      <c r="AC49" s="182"/>
      <c r="AD49" s="182"/>
      <c r="AE49" s="182"/>
      <c r="AF49" s="182"/>
      <c r="AG49" s="182"/>
      <c r="AH49" s="20" t="n">
        <f aca="false">TblImps[[#This Row],[Time]]</f>
        <v>45431.625</v>
      </c>
      <c r="AI49" s="130" t="n">
        <f aca="false">MIN(25%,(TblConstr[[#This Row],[Tot Fac]]+TblConstr[[#This Row],[Dest Fac]])/(TblConstr[[#This Row],[Land]]-TblExplore[[#This Row],[Land Bonus]]*20))</f>
        <v>0.101633393829401</v>
      </c>
      <c r="AJ49" s="130" t="n">
        <f aca="false">MIN(25%,(TblConstr[[#This Row],[Tot Fac]]+TblConstr[[#This Row],[Dest Fac]])/TblConstr[[#This Row],[Land]])</f>
        <v>0.101633393829401</v>
      </c>
      <c r="AK49" s="69" t="n">
        <f aca="false">TblProd[[#This Row],[Platinum]]</f>
        <v>175641</v>
      </c>
      <c r="AL49" s="69" t="n">
        <f aca="false">TblProd[[#This Row],[Lumber]]</f>
        <v>9206</v>
      </c>
      <c r="AM4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490</v>
      </c>
      <c r="AN49" s="69" t="n">
        <f aca="false">ROUNDDOWN( MAX(1 - MIN(facs_constr_factor*TblConstr[[#This Row],[Facs -DB]],facs_constr_max) + tech_1_11*TblTech[[#This Row],[11-1]] + tech_6_3_2*TblTech[[#This Row],[6-3]] + tech_5_2_3*TblTech[[#This Row],[5-2]], 1-global_constr_cap) * TblConstr[[#This Row],[RCPA Lumber]],0)</f>
        <v>86</v>
      </c>
      <c r="AO4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490</v>
      </c>
      <c r="AP49" s="69" t="n">
        <f aca="false">ROUNDDOWN( MAX(1 - MIN(facs_constr_factor*TblConstr[[#This Row],[Facs DB]],facs_constr_max) + tech_1_11*TblTech[[#This Row],[1-11]] + tech_6_3_2*TblTech[[#This Row],[6-3]] + tech_5_2_3*TblTech[[#This Row],[5-2]], 1-global_constr_cap) * ROUND((TblConstr[[#This Row],[Land]]-250)*0.285 + 87.5 + 0/4.25,0),0)</f>
        <v>86</v>
      </c>
      <c r="AQ49" s="1" t="n">
        <f aca="false">TblConstr[[#This Row],[build -db]]*TblConstr[[#This Row],[CPA Platinum -DB]] + TblConstr[[#This Row],[build db]]*TblConstr[[#This Row],[CPA Platinum DB]]</f>
        <v>5390</v>
      </c>
      <c r="AR49" s="1" t="n">
        <f aca="false">TblConstr[[#This Row],[build -db]]*TblConstr[[#This Row],[CPA Lumber -DB]]+TblConstr[[#This Row],[build db]]*TblConstr[[#This Row],[CPA Lumber DB]]</f>
        <v>946</v>
      </c>
      <c r="AS49" s="69" t="n">
        <f aca="false">MIN(SUM(OFFSET(TblConstr[[#This Row],[Plain]:[Water]],-1,0))+SUM(TblConstr[[#This Row],[Dest Hom]:[Dest Doc]])+IF(TblConstr[[#This Row],[Hour]]&gt;12,SUM(OFFSET(TblExplore[[#This Row],[Plains Explore]:[Water Explore]],-12,0)),0),SUM(TblConstr[[#This Row],[Hom]:[Doc]]))</f>
        <v>11</v>
      </c>
      <c r="AT4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32"/>
      <c r="AV49" s="69" t="n">
        <f aca="false">ROUND((TblConstr[[#This Row],[Land]]-250 - IF(TblExplore[[#This Row],[Land Bonus]]&lt;&gt;0,20,0))*1.25 + 850 + 0,0)</f>
        <v>1226</v>
      </c>
      <c r="AW49" s="69" t="n">
        <f aca="false">ROUND((TblConstr[[#This Row],[Land]]-250 - IF(TblExplore[[#This Row],[Land Bonus]]&lt;&gt;0,20,0))*0.285 + 87.5 + 0/4.25,0)</f>
        <v>173</v>
      </c>
      <c r="AX49" s="146"/>
      <c r="AY49" s="203" t="n">
        <f aca="false" t="array" ref="AY49:AY49">IF(TblConstr[[#This Row],[Hour]:[Hour]]&gt;12,OFFSET(TblConstr[[#This Row],[Hom]],-12,0),0)+OFFSET(TblConstr[[#This Row],[Tot Hom]],-1,0)-TblConstr[[#This Row],[Dest Hom]]</f>
        <v>0</v>
      </c>
      <c r="AZ49" s="204" t="n">
        <f aca="false" t="array" ref="AZ49:AZ49">IF(TblConstr[[#This Row],[Hour]:[Hour]]&gt;12,OFFSET(TblConstr[[#This Row],[Alc]],-12,0),0)+OFFSET(TblConstr[[#This Row],[Tot Alc]],-1,0)-TblConstr[[#This Row],[Dest Alc]]</f>
        <v>226</v>
      </c>
      <c r="BA49" s="204" t="n">
        <f aca="false" t="array" ref="BA49:BA49">IF(TblConstr[[#This Row],[Hour]:[Hour]]&gt;12,OFFSET(TblConstr[[#This Row],[Far]],-12,0),0)+OFFSET(TblConstr[[#This Row],[Tot Farm]],-1,0)-TblConstr[[#This Row],[Dest Farm]]</f>
        <v>18</v>
      </c>
      <c r="BB49" s="204" t="n">
        <f aca="false" t="array" ref="BB49:BB49">IF(TblConstr[[#This Row],[Hour]:[Hour]]&gt;12,OFFSET(TblConstr[[#This Row],[Smi]],-12,0),0)+OFFSET(TblConstr[[#This Row],[Tot Smi]],-1,0)-TblConstr[[#This Row],[Dest Smi]]</f>
        <v>0</v>
      </c>
      <c r="BC49" s="204" t="n">
        <f aca="false" t="array" ref="BC49:BC49">IF(TblConstr[[#This Row],[Hour]:[Hour]]&gt;12,OFFSET(TblConstr[[#This Row],[Mas]],-12,0),0)+OFFSET(TblConstr[[#This Row],[Tot Mas]],-1,0)-TblConstr[[#This Row],[Dest Mas]]</f>
        <v>0</v>
      </c>
      <c r="BD49" s="205" t="n">
        <f aca="false" t="array" ref="BD49:BD49">IF(TblConstr[[#This Row],[Hour]:[Hour]]&gt;12,OFFSET(TblConstr[[#This Row],[Ly]],-12,0),0)+OFFSET(TblConstr[[#This Row],[Tot Ly]],-1,0)-TblConstr[[#This Row],[Dest Ly]]</f>
        <v>25</v>
      </c>
      <c r="BE49" s="205" t="n">
        <f aca="false" t="array" ref="BE49:BE49">IF(TblConstr[[#This Row],[Hour]:[Hour]]&gt;12,OFFSET(TblConstr[[#This Row],[Hav]],-12,0),0)+OFFSET(TblConstr[[#This Row],[Tot Hav]],-1,0)-TblConstr[[#This Row],[Dest Hav]]</f>
        <v>0</v>
      </c>
      <c r="BF49" s="194" t="n">
        <f aca="false" t="array" ref="BF49:BF49">IF(TblConstr[[#This Row],[Hour]:[Hour]]&gt;12,OFFSET(TblConstr[[#This Row],[OM]],-12,0),0)+OFFSET(TblConstr[[#This Row],[Tot OM]],-1,0)-TblConstr[[#This Row],[Dest OM]]</f>
        <v>0</v>
      </c>
      <c r="BG49" s="194" t="n">
        <f aca="false" t="array" ref="BG49:BG49">IF(TblConstr[[#This Row],[Hour]:[Hour]]&gt;12,OFFSET(TblConstr[[#This Row],[GN]],-12,0),0)+OFFSET(TblConstr[[#This Row],[Tot GN]],-1,0)-TblConstr[[#This Row],[Dest GN]]</f>
        <v>0</v>
      </c>
      <c r="BH49" s="206" t="n">
        <f aca="false" t="array" ref="BH49:BH49">IF(TblConstr[[#This Row],[Hour]:[Hour]]&gt;12,OFFSET(TblConstr[[#This Row],[Fac]],-12,0),0)+OFFSET(TblConstr[[#This Row],[Tot Fac]],-1,0)-TblConstr[[#This Row],[Dest Fac]]</f>
        <v>56</v>
      </c>
      <c r="BI49" s="206" t="n">
        <f aca="false" t="array" ref="BI49:BI49">IF(TblConstr[[#This Row],[Hour]:[Hour]]&gt;12,OFFSET(TblConstr[[#This Row],[GT]],-12,0),0)+OFFSET(TblConstr[[#This Row],[Tot GT]],-1,0)-TblConstr[[#This Row],[Dest GT]]</f>
        <v>0</v>
      </c>
      <c r="BJ49" s="206" t="n">
        <f aca="false" t="array" ref="BJ49:BJ49">IF(TblConstr[[#This Row],[Hour]:[Hour]]&gt;12,OFFSET(TblConstr[[#This Row],[Bar]],-12,0),0)+OFFSET(TblConstr[[#This Row],[Tot Bar]],-1,0)-TblConstr[[#This Row],[Dest Bar]]</f>
        <v>0</v>
      </c>
      <c r="BK49" s="206" t="n">
        <f aca="false" t="array" ref="BK49:BK49">IF(TblConstr[[#This Row],[Hour]:[Hour]]&gt;12,OFFSET(TblConstr[[#This Row],[Shr]],-12,0),0)+OFFSET(TblConstr[[#This Row],[Tot Shr]],-1,0)-TblConstr[[#This Row],[Dest Shr]]</f>
        <v>0</v>
      </c>
      <c r="BL49" s="207" t="n">
        <f aca="false" t="array" ref="BL49:BL49">IF(TblConstr[[#This Row],[Hour]:[Hour]]&gt;12,OFFSET(TblConstr[[#This Row],[Tow]],-12,0),0)+OFFSET(TblConstr[[#This Row],[Tot Tow]],-1,0)-TblConstr[[#This Row],[Dest Tow]]</f>
        <v>25</v>
      </c>
      <c r="BM49" s="207" t="n">
        <f aca="false" t="array" ref="BM49:BM49">IF(TblConstr[[#This Row],[Hour]:[Hour]]&gt;12,OFFSET(TblConstr[[#This Row],[Tem]],-12,0),0)+OFFSET(TblConstr[[#This Row],[Tot Tem]],-1,0)-TblConstr[[#This Row],[Dest Tem]]</f>
        <v>47</v>
      </c>
      <c r="BN49" s="207" t="n">
        <f aca="false" t="array" ref="BN49:BN49">IF(TblConstr[[#This Row],[Hour]:[Hour]]&gt;12,OFFSET(TblConstr[[#This Row],[WG]],-12,0),0)+OFFSET(TblConstr[[#This Row],[Tot WG]],-1,0)-TblConstr[[#This Row],[Dest WG]]</f>
        <v>0</v>
      </c>
      <c r="BO49" s="208" t="n">
        <f aca="false" t="array" ref="BO49:BO49">IF(TblConstr[[#This Row],[Hour]:[Hour]]&gt;12,OFFSET(TblConstr[[#This Row],[DM]],-12,0),0)+OFFSET(TblConstr[[#This Row],[Tot DM]],-1,0)-TblConstr[[#This Row],[Dest DM]]</f>
        <v>0</v>
      </c>
      <c r="BP49" s="208" t="n">
        <f aca="false" t="array" ref="BP49:BP49">IF(TblConstr[[#This Row],[Hour]:[Hour]]&gt;12,OFFSET(TblConstr[[#This Row],[Sch]],-12,0),0)+OFFSET(TblConstr[[#This Row],[Tot Sch]],-1,0)-TblConstr[[#This Row],[Dest Sch]]</f>
        <v>0</v>
      </c>
      <c r="BQ49" s="209" t="n">
        <f aca="false" t="array" ref="BQ49:BQ49">IF(TblConstr[[#This Row],[Hour]:[Hour]]&gt;12,OFFSET(TblConstr[[#This Row],[Doc]],-12,0),0)+OFFSET(TblConstr[[#This Row],[Tot Doc]],-1,0)-TblConstr[[#This Row],[Dest Doc]]</f>
        <v>10</v>
      </c>
      <c r="BR49" s="132"/>
      <c r="BS49" s="146"/>
      <c r="BT49" s="69" t="n">
        <f aca="false">TblConstr[[#This Row],[Land]]</f>
        <v>551</v>
      </c>
      <c r="BU49" s="153" t="n">
        <f aca="false">TblImps[[#This Row],[Time]]</f>
        <v>45431.625</v>
      </c>
      <c r="BV49" s="132"/>
      <c r="BW49" s="182"/>
      <c r="BX49" s="182"/>
      <c r="BY49" s="182"/>
      <c r="BZ49" s="182"/>
      <c r="CA49" s="182"/>
      <c r="CB49" s="182"/>
      <c r="CC49" s="182"/>
      <c r="CD49" s="182"/>
      <c r="CE49" s="182"/>
      <c r="CF49" s="182"/>
      <c r="CG49" s="182"/>
      <c r="CH49" s="182"/>
      <c r="CI49" s="182"/>
      <c r="CJ49" s="182"/>
      <c r="CK49" s="182"/>
      <c r="CL49" s="182"/>
      <c r="CM49" s="182"/>
      <c r="CN49" s="182"/>
      <c r="CO49" s="182"/>
      <c r="CP49" s="132"/>
      <c r="CQ49" s="192" t="n">
        <f aca="false">-SUM(TblConstr[[#This Row],[Alc]:[Mas]])+SUM(TblConstr[[#This Row],[Dest Alc]:[Dest Mas]])+Rezone!L49+IF("Ch_"&amp; home_land=TblConstr[[#Headers],[Ch_Plain]],TblConstr[[#This Row],[Home Land]])+IF(TblConstr[[#This Row],[Hour]:[Hour]]&gt;12,OFFSET(TblExplore[[#This Row],[Plains Explore]],-12,0),0)</f>
        <v>0</v>
      </c>
      <c r="CR49" s="193" t="n">
        <f aca="false">-SUM(TblConstr[[#This Row],[Ly]:[Hav]])+SUM(TblConstr[[#This Row],[Dest Ly]:[Dest Hav]]) +Rezone!M49 + IF("Ch_"&amp; home_land=TblConstr[[#Headers],[Ch_Forest]],TblConstr[[#This Row],[Home Land]])+IF(TblConstr[[#This Row],[Hour]:[Hour]]&gt;12,OFFSET(TblExplore[[#This Row],[Forest Explore]],-12,0),0)</f>
        <v>0</v>
      </c>
      <c r="CS49" s="200" t="n">
        <f aca="false">-SUM(TblConstr[[#This Row],[OM]:[GN]])+SUM(TblConstr[[#This Row],[Dest OM]:[Dest GN]]) +Rezone!N49 + IF("Ch_"&amp; home_land=TblConstr[[#Headers],[Ch_Mountain]],TblConstr[[#This Row],[Home Land]])+IF(TblConstr[[#This Row],[Hour]:[Hour]]&gt;12,OFFSET(TblExplore[[#This Row],[Mountain Explore]],-12,0),0)</f>
        <v>0</v>
      </c>
      <c r="CT49" s="195" t="n">
        <f aca="false">-SUM(TblConstr[[#This Row],[Fac]:[Shr]])+SUM(TblConstr[[#This Row],[Dest Fac]:[Dest Shr]]) +Rezone!O49 + IF("Ch_" &amp; home_land=TblConstr[[#Headers],[Ch_Hill]],TblConstr[[#This Row],[Home Land]])+IF(TblConstr[[#This Row],[Hour]:[Hour]]&gt;12,OFFSET(TblExplore[[#This Row],[Hill Explore]],-12,0),0)</f>
        <v>0</v>
      </c>
      <c r="CU49" s="196" t="n">
        <f aca="false">-SUM(TblConstr[[#This Row],[Tow]:[WG]])+SUM(TblConstr[[#This Row],[Dest Tow]:[Dest WG]]) +Rezone!P49 + IF("Ch_" &amp; home_land=TblConstr[[#Headers],[Ch_Swamp]],TblConstr[[#This Row],[Home Land]])+IF(TblConstr[[#This Row],[Hour]:[Hour]]&gt;12,OFFSET(TblExplore[[#This Row],[Swamp Explore]],-12,0),0)</f>
        <v>0</v>
      </c>
      <c r="CV49" s="197" t="n">
        <f aca="false">- SUM(TblConstr[[#This Row],[DM]:[Sch]])+SUM(TblConstr[[#This Row],[Dest DM]:[Dest Sch]]) +Rezone!Q49 + IF("Ch_" &amp; home_land=TblConstr[[#Headers],[Ch_Cavern]],TblConstr[[#This Row],[Home Land]])+IF(TblConstr[[#This Row],[Hour]:[Hour]]&gt;12,OFFSET(TblExplore[[#This Row],[Cavern Explore]],-12,0),0)</f>
        <v>0</v>
      </c>
      <c r="CW49" s="198" t="n">
        <f aca="false">-TblConstr[[#This Row],[Doc]]+TblConstr[[#This Row],[Dest Doc]] +Rezone!R49 + IF("Ch_" &amp; home_land=TblConstr[[#Headers],[Ch_Water]],TblConstr[[#This Row],[Home Land]])+IF(TblConstr[[#This Row],[Hour]:[Hour]]&gt;12,OFFSET(TblExplore[[#This Row],[Water Explore]],-12,0),0)</f>
        <v>0</v>
      </c>
      <c r="CX49" s="1" t="n">
        <f aca="false">IF(Explore!S49=1,20) - TblConstr[[#This Row],[Hom]] + TblConstr[[#This Row],[Dest Hom]]</f>
        <v>0</v>
      </c>
      <c r="CY49" s="132"/>
      <c r="CZ49" s="69" t="n">
        <f aca="false">G49+SUM(P38:S49)+SUM(AZ49:BC49)</f>
        <v>377</v>
      </c>
      <c r="DA49" s="69" t="n">
        <f aca="false">H49+SUM(T38:U49)+SUM(BD49:BE49)</f>
        <v>25</v>
      </c>
      <c r="DB49" s="1" t="n">
        <f aca="false">I49+SUM(V38:W49)+SUM(BF49:BG49)</f>
        <v>0</v>
      </c>
      <c r="DC49" s="69" t="n">
        <f aca="false">J49+SUM(X38:Y49)+SUM(BH49:BI49)</f>
        <v>67</v>
      </c>
      <c r="DD49" s="69" t="n">
        <f aca="false">K49+SUM(AB38:AD49)+SUM(BL49:BN49)</f>
        <v>72</v>
      </c>
      <c r="DE49" s="1" t="n">
        <f aca="false">L49+SUM(AE38:AE49)+BO49</f>
        <v>0</v>
      </c>
      <c r="DF49" s="69" t="n">
        <f aca="false">M49+SUM(AG38:AG49)+BQ49</f>
        <v>10</v>
      </c>
      <c r="DG49" s="69" t="e">
        <f aca="false" t="array" ref="DG49:DG49">INDEX(TblConstr[[Total Plain]:[Total Water]],ROW()-ROW(TblConstr[#headers]),MATCH("Total "&amp;home_land,TblConstr[[#Headers],[Total Plain]:[Total Water]],0))+TblConstr[[#This Row],[Homes]]</f>
        <v>#VALUE!</v>
      </c>
      <c r="DH49" s="1" t="n">
        <f aca="false">SUM(O38:O49)+AY49</f>
        <v>0</v>
      </c>
      <c r="DI49" s="1" t="n">
        <f aca="false">MAX(BA49-BA48,0)</f>
        <v>2</v>
      </c>
      <c r="DJ49" s="1" t="n">
        <f aca="false">MAX(BQ49-BQ48,0)</f>
        <v>0</v>
      </c>
    </row>
    <row r="50" customFormat="false" ht="12.75" hidden="false" customHeight="false" outlineLevel="0" collapsed="false">
      <c r="A50" s="170" t="n">
        <f aca="false">TblRezone[[#This Row],[Hour]]</f>
        <v>47</v>
      </c>
      <c r="B50" s="171" t="n">
        <f aca="false">SUM(TblConstr[[#This Row],[Plain]:[Water]])</f>
        <v>0</v>
      </c>
      <c r="C50" s="172" t="n">
        <f aca="false">SUM(TblConstr[[#This Row],[Tot Hom]:[Tot Doc]])</f>
        <v>409</v>
      </c>
      <c r="D50" s="172" t="n">
        <f aca="false">SUM(O39:AG50)</f>
        <v>154</v>
      </c>
      <c r="E50" s="173"/>
      <c r="F50" s="33" t="n">
        <f aca="false">TblConstr[[#This Row],[Barren]]+TblConstr[[#This Row],[Buildings]]+TblConstr[[#This Row],[Incoming]]</f>
        <v>563</v>
      </c>
      <c r="G50" s="199" t="n">
        <f aca="false">OFFSET(TblConstr[[#This Row],[Plain]],-1,0)+TblConstr[[#This Row],[Ch_Plain]]</f>
        <v>0</v>
      </c>
      <c r="H50" s="193" t="n">
        <f aca="false">OFFSET(TblConstr[[#This Row],[Forest]],-1,0)+TblConstr[[#This Row],[Ch_Forest]]</f>
        <v>0</v>
      </c>
      <c r="I50" s="200" t="n">
        <f aca="false">OFFSET(TblConstr[[#This Row],[Mountain]],-1,0)+TblConstr[[#This Row],[Ch_Mountain]]</f>
        <v>0</v>
      </c>
      <c r="J50" s="201" t="n">
        <f aca="false">OFFSET(TblConstr[[#This Row],[Hill]],-1,0)+TblConstr[[#This Row],[Ch_Hill]]</f>
        <v>0</v>
      </c>
      <c r="K50" s="202" t="n">
        <f aca="false">OFFSET(TblConstr[[#This Row],[Swamp]],-1,0)+TblConstr[[#This Row],[Ch_Swamp]]</f>
        <v>0</v>
      </c>
      <c r="L50" s="197" t="n">
        <f aca="false">OFFSET(TblConstr[[#This Row],[Cavern]],-1,0)+TblConstr[[#This Row],[Ch_Cavern]]</f>
        <v>0</v>
      </c>
      <c r="M50" s="198" t="n">
        <f aca="false">OFFSET(TblConstr[[#This Row],[Water]],-1,0)+TblConstr[[#This Row],[Ch_Water]]</f>
        <v>0</v>
      </c>
      <c r="N50" s="181" t="n">
        <f aca="false">TblRezone[[#This Row],[Hour]]</f>
        <v>47</v>
      </c>
      <c r="O50" s="182"/>
      <c r="P50" s="182" t="n">
        <v>2</v>
      </c>
      <c r="Q50" s="182"/>
      <c r="R50" s="152" t="n">
        <v>10</v>
      </c>
      <c r="S50" s="182"/>
      <c r="T50" s="182"/>
      <c r="U50" s="182"/>
      <c r="V50" s="182"/>
      <c r="W50" s="182"/>
      <c r="X50" s="182"/>
      <c r="Y50" s="182"/>
      <c r="Z50" s="182"/>
      <c r="AA50" s="182"/>
      <c r="AB50" s="182"/>
      <c r="AC50" s="182"/>
      <c r="AD50" s="182"/>
      <c r="AE50" s="182"/>
      <c r="AF50" s="182"/>
      <c r="AG50" s="182"/>
      <c r="AH50" s="20" t="n">
        <f aca="false">TblImps[[#This Row],[Time]]</f>
        <v>45431.6666666667</v>
      </c>
      <c r="AI50" s="130" t="n">
        <f aca="false">MIN(25%,(TblConstr[[#This Row],[Tot Fac]]+TblConstr[[#This Row],[Dest Fac]])/(TblConstr[[#This Row],[Land]]-TblExplore[[#This Row],[Land Bonus]]*20))</f>
        <v>0.101243339253996</v>
      </c>
      <c r="AJ50" s="130" t="n">
        <f aca="false">MIN(25%,(TblConstr[[#This Row],[Tot Fac]]+TblConstr[[#This Row],[Dest Fac]])/TblConstr[[#This Row],[Land]])</f>
        <v>0.101243339253996</v>
      </c>
      <c r="AK50" s="69" t="n">
        <f aca="false">TblProd[[#This Row],[Platinum]]</f>
        <v>209248</v>
      </c>
      <c r="AL50" s="69" t="n">
        <f aca="false">TblProd[[#This Row],[Lumber]]</f>
        <v>9183</v>
      </c>
      <c r="AM5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496</v>
      </c>
      <c r="AN50" s="69" t="n">
        <f aca="false">ROUNDDOWN( MAX(1 - MIN(facs_constr_factor*TblConstr[[#This Row],[Facs -DB]],facs_constr_max) + tech_1_11*TblTech[[#This Row],[11-1]] + tech_6_3_2*TblTech[[#This Row],[6-3]] + tech_5_2_3*TblTech[[#This Row],[5-2]], 1-global_constr_cap) * TblConstr[[#This Row],[RCPA Lumber]],0)</f>
        <v>88</v>
      </c>
      <c r="AO5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496</v>
      </c>
      <c r="AP50" s="69" t="n">
        <f aca="false">ROUNDDOWN( MAX(1 - MIN(facs_constr_factor*TblConstr[[#This Row],[Facs DB]],facs_constr_max) + tech_1_11*TblTech[[#This Row],[1-11]] + tech_6_3_2*TblTech[[#This Row],[6-3]] + tech_5_2_3*TblTech[[#This Row],[5-2]], 1-global_constr_cap) * ROUND((TblConstr[[#This Row],[Land]]-250)*0.285 + 87.5 + 0/4.25,0),0)</f>
        <v>88</v>
      </c>
      <c r="AQ50" s="1" t="n">
        <f aca="false">TblConstr[[#This Row],[build -db]]*TblConstr[[#This Row],[CPA Platinum -DB]] + TblConstr[[#This Row],[build db]]*TblConstr[[#This Row],[CPA Platinum DB]]</f>
        <v>5952</v>
      </c>
      <c r="AR50" s="1" t="n">
        <f aca="false">TblConstr[[#This Row],[build -db]]*TblConstr[[#This Row],[CPA Lumber -DB]]+TblConstr[[#This Row],[build db]]*TblConstr[[#This Row],[CPA Lumber DB]]</f>
        <v>1056</v>
      </c>
      <c r="AS50" s="69" t="n">
        <f aca="false">MIN(SUM(OFFSET(TblConstr[[#This Row],[Plain]:[Water]],-1,0))+SUM(TblConstr[[#This Row],[Dest Hom]:[Dest Doc]])+IF(TblConstr[[#This Row],[Hour]]&gt;12,SUM(OFFSET(TblExplore[[#This Row],[Plains Explore]:[Water Explore]],-12,0)),0),SUM(TblConstr[[#This Row],[Hom]:[Doc]]))</f>
        <v>12</v>
      </c>
      <c r="AT5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32"/>
      <c r="AV50" s="69" t="n">
        <f aca="false">ROUND((TblConstr[[#This Row],[Land]]-250 - IF(TblExplore[[#This Row],[Land Bonus]]&lt;&gt;0,20,0))*1.25 + 850 + 0,0)</f>
        <v>1241</v>
      </c>
      <c r="AW50" s="69" t="n">
        <f aca="false">ROUND((TblConstr[[#This Row],[Land]]-250 - IF(TblExplore[[#This Row],[Land Bonus]]&lt;&gt;0,20,0))*0.285 + 87.5 + 0/4.25,0)</f>
        <v>177</v>
      </c>
      <c r="AX50" s="146"/>
      <c r="AY50" s="203" t="n">
        <f aca="false" t="array" ref="AY50:AY50">IF(TblConstr[[#This Row],[Hour]:[Hour]]&gt;12,OFFSET(TblConstr[[#This Row],[Hom]],-12,0),0)+OFFSET(TblConstr[[#This Row],[Tot Hom]],-1,0)-TblConstr[[#This Row],[Dest Hom]]</f>
        <v>0</v>
      </c>
      <c r="AZ50" s="204" t="n">
        <f aca="false" t="array" ref="AZ50:AZ50">IF(TblConstr[[#This Row],[Hour]:[Hour]]&gt;12,OFFSET(TblConstr[[#This Row],[Alc]],-12,0),0)+OFFSET(TblConstr[[#This Row],[Tot Alc]],-1,0)-TblConstr[[#This Row],[Dest Alc]]</f>
        <v>226</v>
      </c>
      <c r="BA50" s="204" t="n">
        <f aca="false" t="array" ref="BA50:BA50">IF(TblConstr[[#This Row],[Hour]:[Hour]]&gt;12,OFFSET(TblConstr[[#This Row],[Far]],-12,0),0)+OFFSET(TblConstr[[#This Row],[Tot Farm]],-1,0)-TblConstr[[#This Row],[Dest Farm]]</f>
        <v>19</v>
      </c>
      <c r="BB50" s="204" t="n">
        <f aca="false" t="array" ref="BB50:BB50">IF(TblConstr[[#This Row],[Hour]:[Hour]]&gt;12,OFFSET(TblConstr[[#This Row],[Smi]],-12,0),0)+OFFSET(TblConstr[[#This Row],[Tot Smi]],-1,0)-TblConstr[[#This Row],[Dest Smi]]</f>
        <v>0</v>
      </c>
      <c r="BC50" s="204" t="n">
        <f aca="false" t="array" ref="BC50:BC50">IF(TblConstr[[#This Row],[Hour]:[Hour]]&gt;12,OFFSET(TblConstr[[#This Row],[Mas]],-12,0),0)+OFFSET(TblConstr[[#This Row],[Tot Mas]],-1,0)-TblConstr[[#This Row],[Dest Mas]]</f>
        <v>0</v>
      </c>
      <c r="BD50" s="205" t="n">
        <f aca="false" t="array" ref="BD50:BD50">IF(TblConstr[[#This Row],[Hour]:[Hour]]&gt;12,OFFSET(TblConstr[[#This Row],[Ly]],-12,0),0)+OFFSET(TblConstr[[#This Row],[Tot Ly]],-1,0)-TblConstr[[#This Row],[Dest Ly]]</f>
        <v>25</v>
      </c>
      <c r="BE50" s="205" t="n">
        <f aca="false" t="array" ref="BE50:BE50">IF(TblConstr[[#This Row],[Hour]:[Hour]]&gt;12,OFFSET(TblConstr[[#This Row],[Hav]],-12,0),0)+OFFSET(TblConstr[[#This Row],[Tot Hav]],-1,0)-TblConstr[[#This Row],[Dest Hav]]</f>
        <v>0</v>
      </c>
      <c r="BF50" s="194" t="n">
        <f aca="false" t="array" ref="BF50:BF50">IF(TblConstr[[#This Row],[Hour]:[Hour]]&gt;12,OFFSET(TblConstr[[#This Row],[OM]],-12,0),0)+OFFSET(TblConstr[[#This Row],[Tot OM]],-1,0)-TblConstr[[#This Row],[Dest OM]]</f>
        <v>0</v>
      </c>
      <c r="BG50" s="194" t="n">
        <f aca="false" t="array" ref="BG50:BG50">IF(TblConstr[[#This Row],[Hour]:[Hour]]&gt;12,OFFSET(TblConstr[[#This Row],[GN]],-12,0),0)+OFFSET(TblConstr[[#This Row],[Tot GN]],-1,0)-TblConstr[[#This Row],[Dest GN]]</f>
        <v>0</v>
      </c>
      <c r="BH50" s="206" t="n">
        <f aca="false" t="array" ref="BH50:BH50">IF(TblConstr[[#This Row],[Hour]:[Hour]]&gt;12,OFFSET(TblConstr[[#This Row],[Fac]],-12,0),0)+OFFSET(TblConstr[[#This Row],[Tot Fac]],-1,0)-TblConstr[[#This Row],[Dest Fac]]</f>
        <v>57</v>
      </c>
      <c r="BI50" s="206" t="n">
        <f aca="false" t="array" ref="BI50:BI50">IF(TblConstr[[#This Row],[Hour]:[Hour]]&gt;12,OFFSET(TblConstr[[#This Row],[GT]],-12,0),0)+OFFSET(TblConstr[[#This Row],[Tot GT]],-1,0)-TblConstr[[#This Row],[Dest GT]]</f>
        <v>0</v>
      </c>
      <c r="BJ50" s="206" t="n">
        <f aca="false" t="array" ref="BJ50:BJ50">IF(TblConstr[[#This Row],[Hour]:[Hour]]&gt;12,OFFSET(TblConstr[[#This Row],[Bar]],-12,0),0)+OFFSET(TblConstr[[#This Row],[Tot Bar]],-1,0)-TblConstr[[#This Row],[Dest Bar]]</f>
        <v>0</v>
      </c>
      <c r="BK50" s="206" t="n">
        <f aca="false" t="array" ref="BK50:BK50">IF(TblConstr[[#This Row],[Hour]:[Hour]]&gt;12,OFFSET(TblConstr[[#This Row],[Shr]],-12,0),0)+OFFSET(TblConstr[[#This Row],[Tot Shr]],-1,0)-TblConstr[[#This Row],[Dest Shr]]</f>
        <v>0</v>
      </c>
      <c r="BL50" s="207" t="n">
        <f aca="false" t="array" ref="BL50:BL50">IF(TblConstr[[#This Row],[Hour]:[Hour]]&gt;12,OFFSET(TblConstr[[#This Row],[Tow]],-12,0),0)+OFFSET(TblConstr[[#This Row],[Tot Tow]],-1,0)-TblConstr[[#This Row],[Dest Tow]]</f>
        <v>25</v>
      </c>
      <c r="BM50" s="207" t="n">
        <f aca="false" t="array" ref="BM50:BM50">IF(TblConstr[[#This Row],[Hour]:[Hour]]&gt;12,OFFSET(TblConstr[[#This Row],[Tem]],-12,0),0)+OFFSET(TblConstr[[#This Row],[Tot Tem]],-1,0)-TblConstr[[#This Row],[Dest Tem]]</f>
        <v>47</v>
      </c>
      <c r="BN50" s="207" t="n">
        <f aca="false" t="array" ref="BN50:BN50">IF(TblConstr[[#This Row],[Hour]:[Hour]]&gt;12,OFFSET(TblConstr[[#This Row],[WG]],-12,0),0)+OFFSET(TblConstr[[#This Row],[Tot WG]],-1,0)-TblConstr[[#This Row],[Dest WG]]</f>
        <v>0</v>
      </c>
      <c r="BO50" s="208" t="n">
        <f aca="false" t="array" ref="BO50:BO50">IF(TblConstr[[#This Row],[Hour]:[Hour]]&gt;12,OFFSET(TblConstr[[#This Row],[DM]],-12,0),0)+OFFSET(TblConstr[[#This Row],[Tot DM]],-1,0)-TblConstr[[#This Row],[Dest DM]]</f>
        <v>0</v>
      </c>
      <c r="BP50" s="208" t="n">
        <f aca="false" t="array" ref="BP50:BP50">IF(TblConstr[[#This Row],[Hour]:[Hour]]&gt;12,OFFSET(TblConstr[[#This Row],[Sch]],-12,0),0)+OFFSET(TblConstr[[#This Row],[Tot Sch]],-1,0)-TblConstr[[#This Row],[Dest Sch]]</f>
        <v>0</v>
      </c>
      <c r="BQ50" s="209" t="n">
        <f aca="false" t="array" ref="BQ50:BQ50">IF(TblConstr[[#This Row],[Hour]:[Hour]]&gt;12,OFFSET(TblConstr[[#This Row],[Doc]],-12,0),0)+OFFSET(TblConstr[[#This Row],[Tot Doc]],-1,0)-TblConstr[[#This Row],[Dest Doc]]</f>
        <v>10</v>
      </c>
      <c r="BR50" s="132"/>
      <c r="BS50" s="146"/>
      <c r="BT50" s="69" t="n">
        <f aca="false">TblConstr[[#This Row],[Land]]</f>
        <v>563</v>
      </c>
      <c r="BU50" s="153" t="n">
        <f aca="false">TblImps[[#This Row],[Time]]</f>
        <v>45431.6666666667</v>
      </c>
      <c r="BV50" s="132"/>
      <c r="BW50" s="182"/>
      <c r="BX50" s="182"/>
      <c r="BY50" s="182"/>
      <c r="BZ50" s="182"/>
      <c r="CA50" s="182"/>
      <c r="CB50" s="182"/>
      <c r="CC50" s="182"/>
      <c r="CD50" s="182"/>
      <c r="CE50" s="182"/>
      <c r="CF50" s="182"/>
      <c r="CG50" s="182"/>
      <c r="CH50" s="182"/>
      <c r="CI50" s="182"/>
      <c r="CJ50" s="182"/>
      <c r="CK50" s="182"/>
      <c r="CL50" s="182"/>
      <c r="CM50" s="182"/>
      <c r="CN50" s="182"/>
      <c r="CO50" s="182"/>
      <c r="CP50" s="132"/>
      <c r="CQ50" s="192" t="n">
        <f aca="false">-SUM(TblConstr[[#This Row],[Alc]:[Mas]])+SUM(TblConstr[[#This Row],[Dest Alc]:[Dest Mas]])+Rezone!L50+IF("Ch_"&amp; home_land=TblConstr[[#Headers],[Ch_Plain]],TblConstr[[#This Row],[Home Land]])+IF(TblConstr[[#This Row],[Hour]:[Hour]]&gt;12,OFFSET(TblExplore[[#This Row],[Plains Explore]],-12,0),0)</f>
        <v>0</v>
      </c>
      <c r="CR50" s="193" t="n">
        <f aca="false">-SUM(TblConstr[[#This Row],[Ly]:[Hav]])+SUM(TblConstr[[#This Row],[Dest Ly]:[Dest Hav]]) +Rezone!M50 + IF("Ch_"&amp; home_land=TblConstr[[#Headers],[Ch_Forest]],TblConstr[[#This Row],[Home Land]])+IF(TblConstr[[#This Row],[Hour]:[Hour]]&gt;12,OFFSET(TblExplore[[#This Row],[Forest Explore]],-12,0),0)</f>
        <v>0</v>
      </c>
      <c r="CS50" s="200" t="n">
        <f aca="false">-SUM(TblConstr[[#This Row],[OM]:[GN]])+SUM(TblConstr[[#This Row],[Dest OM]:[Dest GN]]) +Rezone!N50 + IF("Ch_"&amp; home_land=TblConstr[[#Headers],[Ch_Mountain]],TblConstr[[#This Row],[Home Land]])+IF(TblConstr[[#This Row],[Hour]:[Hour]]&gt;12,OFFSET(TblExplore[[#This Row],[Mountain Explore]],-12,0),0)</f>
        <v>0</v>
      </c>
      <c r="CT50" s="195" t="n">
        <f aca="false">-SUM(TblConstr[[#This Row],[Fac]:[Shr]])+SUM(TblConstr[[#This Row],[Dest Fac]:[Dest Shr]]) +Rezone!O50 + IF("Ch_" &amp; home_land=TblConstr[[#Headers],[Ch_Hill]],TblConstr[[#This Row],[Home Land]])+IF(TblConstr[[#This Row],[Hour]:[Hour]]&gt;12,OFFSET(TblExplore[[#This Row],[Hill Explore]],-12,0),0)</f>
        <v>0</v>
      </c>
      <c r="CU50" s="196" t="n">
        <f aca="false">-SUM(TblConstr[[#This Row],[Tow]:[WG]])+SUM(TblConstr[[#This Row],[Dest Tow]:[Dest WG]]) +Rezone!P50 + IF("Ch_" &amp; home_land=TblConstr[[#Headers],[Ch_Swamp]],TblConstr[[#This Row],[Home Land]])+IF(TblConstr[[#This Row],[Hour]:[Hour]]&gt;12,OFFSET(TblExplore[[#This Row],[Swamp Explore]],-12,0),0)</f>
        <v>0</v>
      </c>
      <c r="CV50" s="197" t="n">
        <f aca="false">- SUM(TblConstr[[#This Row],[DM]:[Sch]])+SUM(TblConstr[[#This Row],[Dest DM]:[Dest Sch]]) +Rezone!Q50 + IF("Ch_" &amp; home_land=TblConstr[[#Headers],[Ch_Cavern]],TblConstr[[#This Row],[Home Land]])+IF(TblConstr[[#This Row],[Hour]:[Hour]]&gt;12,OFFSET(TblExplore[[#This Row],[Cavern Explore]],-12,0),0)</f>
        <v>0</v>
      </c>
      <c r="CW50" s="198" t="n">
        <f aca="false">-TblConstr[[#This Row],[Doc]]+TblConstr[[#This Row],[Dest Doc]] +Rezone!R50 + IF("Ch_" &amp; home_land=TblConstr[[#Headers],[Ch_Water]],TblConstr[[#This Row],[Home Land]])+IF(TblConstr[[#This Row],[Hour]:[Hour]]&gt;12,OFFSET(TblExplore[[#This Row],[Water Explore]],-12,0),0)</f>
        <v>0</v>
      </c>
      <c r="CX50" s="1" t="n">
        <f aca="false">IF(Explore!S50=1,20) - TblConstr[[#This Row],[Hom]] + TblConstr[[#This Row],[Dest Hom]]</f>
        <v>0</v>
      </c>
      <c r="CY50" s="132"/>
      <c r="CZ50" s="69" t="n">
        <f aca="false">G50+SUM(P39:S50)+SUM(AZ50:BC50)</f>
        <v>389</v>
      </c>
      <c r="DA50" s="69" t="n">
        <f aca="false">H50+SUM(T39:U50)+SUM(BD50:BE50)</f>
        <v>25</v>
      </c>
      <c r="DB50" s="1" t="n">
        <f aca="false">I50+SUM(V39:W50)+SUM(BF50:BG50)</f>
        <v>0</v>
      </c>
      <c r="DC50" s="69" t="n">
        <f aca="false">J50+SUM(X39:Y50)+SUM(BH50:BI50)</f>
        <v>67</v>
      </c>
      <c r="DD50" s="69" t="n">
        <f aca="false">K50+SUM(AB39:AD50)+SUM(BL50:BN50)</f>
        <v>72</v>
      </c>
      <c r="DE50" s="1" t="n">
        <f aca="false">L50+SUM(AE39:AE50)+BO50</f>
        <v>0</v>
      </c>
      <c r="DF50" s="69" t="n">
        <f aca="false">M50+SUM(AG39:AG50)+BQ50</f>
        <v>10</v>
      </c>
      <c r="DG50" s="69" t="e">
        <f aca="false" t="array" ref="DG50:DG50">INDEX(TblConstr[[Total Plain]:[Total Water]],ROW()-ROW(TblConstr[#headers]),MATCH("Total "&amp;home_land,TblConstr[[#Headers],[Total Plain]:[Total Water]],0))+TblConstr[[#This Row],[Homes]]</f>
        <v>#VALUE!</v>
      </c>
      <c r="DH50" s="1" t="n">
        <f aca="false">SUM(O39:O50)+AY50</f>
        <v>0</v>
      </c>
      <c r="DI50" s="1" t="n">
        <f aca="false">MAX(BA50-BA49,0)</f>
        <v>1</v>
      </c>
      <c r="DJ50" s="1" t="n">
        <f aca="false">MAX(BQ50-BQ49,0)</f>
        <v>0</v>
      </c>
    </row>
    <row r="51" customFormat="false" ht="12.75" hidden="false" customHeight="false" outlineLevel="0" collapsed="false">
      <c r="A51" s="170" t="n">
        <f aca="false">TblRezone[[#This Row],[Hour]]</f>
        <v>48</v>
      </c>
      <c r="B51" s="171" t="n">
        <f aca="false">SUM(TblConstr[[#This Row],[Plain]:[Water]])</f>
        <v>0</v>
      </c>
      <c r="C51" s="172" t="n">
        <f aca="false">SUM(TblConstr[[#This Row],[Tot Hom]:[Tot Doc]])</f>
        <v>419</v>
      </c>
      <c r="D51" s="172" t="n">
        <f aca="false">SUM(O40:AG51)</f>
        <v>177</v>
      </c>
      <c r="E51" s="173"/>
      <c r="F51" s="33" t="n">
        <f aca="false">TblConstr[[#This Row],[Barren]]+TblConstr[[#This Row],[Buildings]]+TblConstr[[#This Row],[Incoming]]</f>
        <v>596</v>
      </c>
      <c r="G51" s="199" t="n">
        <f aca="false">OFFSET(TblConstr[[#This Row],[Plain]],-1,0)+TblConstr[[#This Row],[Ch_Plain]]</f>
        <v>0</v>
      </c>
      <c r="H51" s="193" t="n">
        <f aca="false">OFFSET(TblConstr[[#This Row],[Forest]],-1,0)+TblConstr[[#This Row],[Ch_Forest]]</f>
        <v>0</v>
      </c>
      <c r="I51" s="200" t="n">
        <f aca="false">OFFSET(TblConstr[[#This Row],[Mountain]],-1,0)+TblConstr[[#This Row],[Ch_Mountain]]</f>
        <v>0</v>
      </c>
      <c r="J51" s="201" t="n">
        <f aca="false">OFFSET(TblConstr[[#This Row],[Hill]],-1,0)+TblConstr[[#This Row],[Ch_Hill]]</f>
        <v>0</v>
      </c>
      <c r="K51" s="202" t="n">
        <f aca="false">OFFSET(TblConstr[[#This Row],[Swamp]],-1,0)+TblConstr[[#This Row],[Ch_Swamp]]</f>
        <v>0</v>
      </c>
      <c r="L51" s="197" t="n">
        <f aca="false">OFFSET(TblConstr[[#This Row],[Cavern]],-1,0)+TblConstr[[#This Row],[Ch_Cavern]]</f>
        <v>0</v>
      </c>
      <c r="M51" s="198" t="n">
        <f aca="false">OFFSET(TblConstr[[#This Row],[Water]],-1,0)+TblConstr[[#This Row],[Ch_Water]]</f>
        <v>0</v>
      </c>
      <c r="N51" s="181" t="n">
        <f aca="false">TblRezone[[#This Row],[Hour]]</f>
        <v>48</v>
      </c>
      <c r="O51" s="182" t="n">
        <v>20</v>
      </c>
      <c r="P51" s="182" t="n">
        <v>1</v>
      </c>
      <c r="Q51" s="182"/>
      <c r="R51" s="152" t="n">
        <v>12</v>
      </c>
      <c r="S51" s="182"/>
      <c r="T51" s="182"/>
      <c r="U51" s="182"/>
      <c r="V51" s="182"/>
      <c r="W51" s="182"/>
      <c r="X51" s="182"/>
      <c r="Y51" s="182"/>
      <c r="Z51" s="182"/>
      <c r="AA51" s="182"/>
      <c r="AB51" s="182"/>
      <c r="AC51" s="182"/>
      <c r="AD51" s="182"/>
      <c r="AE51" s="182"/>
      <c r="AF51" s="182"/>
      <c r="AG51" s="182"/>
      <c r="AH51" s="20" t="n">
        <f aca="false">TblImps[[#This Row],[Time]]</f>
        <v>45431.7083333333</v>
      </c>
      <c r="AI51" s="130" t="n">
        <f aca="false">MIN(25%,(TblConstr[[#This Row],[Tot Fac]]+TblConstr[[#This Row],[Dest Fac]])/(TblConstr[[#This Row],[Land]]-TblExplore[[#This Row],[Land Bonus]]*20))</f>
        <v>0.116319444444444</v>
      </c>
      <c r="AJ51" s="130" t="n">
        <f aca="false">MIN(25%,(TblConstr[[#This Row],[Tot Fac]]+TblConstr[[#This Row],[Dest Fac]])/TblConstr[[#This Row],[Land]])</f>
        <v>0.11241610738255</v>
      </c>
      <c r="AK51" s="69" t="n">
        <f aca="false">TblProd[[#This Row],[Platinum]]</f>
        <v>267289</v>
      </c>
      <c r="AL51" s="69" t="n">
        <f aca="false">TblProd[[#This Row],[Lumber]]</f>
        <v>7186</v>
      </c>
      <c r="AM5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503</v>
      </c>
      <c r="AN51" s="69" t="n">
        <f aca="false">ROUNDDOWN( MAX(1 - MIN(facs_constr_factor*TblConstr[[#This Row],[Facs -DB]],facs_constr_max) + tech_1_11*TblTech[[#This Row],[11-1]] + tech_6_3_2*TblTech[[#This Row],[6-3]] + tech_5_2_3*TblTech[[#This Row],[5-2]], 1-global_constr_cap) * TblConstr[[#This Row],[RCPA Lumber]],0)</f>
        <v>90</v>
      </c>
      <c r="AO5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513</v>
      </c>
      <c r="AP51" s="69" t="n">
        <f aca="false">ROUNDDOWN( MAX(1 - MIN(facs_constr_factor*TblConstr[[#This Row],[Facs DB]],facs_constr_max) + tech_1_11*TblTech[[#This Row],[1-11]] + tech_6_3_2*TblTech[[#This Row],[6-3]] + tech_5_2_3*TblTech[[#This Row],[5-2]], 1-global_constr_cap) * ROUND((TblConstr[[#This Row],[Land]]-250)*0.285 + 87.5 + 0/4.25,0),0)</f>
        <v>93</v>
      </c>
      <c r="AQ51" s="1" t="n">
        <f aca="false">TblConstr[[#This Row],[build -db]]*TblConstr[[#This Row],[CPA Platinum -DB]] + TblConstr[[#This Row],[build db]]*TblConstr[[#This Row],[CPA Platinum DB]]</f>
        <v>16799</v>
      </c>
      <c r="AR51" s="1" t="n">
        <f aca="false">TblConstr[[#This Row],[build -db]]*TblConstr[[#This Row],[CPA Lumber -DB]]+TblConstr[[#This Row],[build db]]*TblConstr[[#This Row],[CPA Lumber DB]]</f>
        <v>3030</v>
      </c>
      <c r="AS51" s="69" t="n">
        <f aca="false">MIN(SUM(OFFSET(TblConstr[[#This Row],[Plain]:[Water]],-1,0))+SUM(TblConstr[[#This Row],[Dest Hom]:[Dest Doc]])+IF(TblConstr[[#This Row],[Hour]]&gt;12,SUM(OFFSET(TblExplore[[#This Row],[Plains Explore]:[Water Explore]],-12,0)),0),SUM(TblConstr[[#This Row],[Hom]:[Doc]]))</f>
        <v>13</v>
      </c>
      <c r="AT5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1" s="132"/>
      <c r="AV51" s="69" t="n">
        <f aca="false">ROUND((TblConstr[[#This Row],[Land]]-250 - IF(TblExplore[[#This Row],[Land Bonus]]&lt;&gt;0,20,0))*1.25 + 850 + 0,0)</f>
        <v>1258</v>
      </c>
      <c r="AW51" s="69" t="n">
        <f aca="false">ROUND((TblConstr[[#This Row],[Land]]-250 - IF(TblExplore[[#This Row],[Land Bonus]]&lt;&gt;0,20,0))*0.285 + 87.5 + 0/4.25,0)</f>
        <v>180</v>
      </c>
      <c r="AX51" s="146"/>
      <c r="AY51" s="203" t="n">
        <f aca="false" t="array" ref="AY51:AY51">IF(TblConstr[[#This Row],[Hour]:[Hour]]&gt;12,OFFSET(TblConstr[[#This Row],[Hom]],-12,0),0)+OFFSET(TblConstr[[#This Row],[Tot Hom]],-1,0)-TblConstr[[#This Row],[Dest Hom]]</f>
        <v>0</v>
      </c>
      <c r="AZ51" s="204" t="n">
        <f aca="false" t="array" ref="AZ51:AZ51">IF(TblConstr[[#This Row],[Hour]:[Hour]]&gt;12,OFFSET(TblConstr[[#This Row],[Alc]],-12,0),0)+OFFSET(TblConstr[[#This Row],[Tot Alc]],-1,0)-TblConstr[[#This Row],[Dest Alc]]</f>
        <v>226</v>
      </c>
      <c r="BA51" s="204" t="n">
        <f aca="false" t="array" ref="BA51:BA51">IF(TblConstr[[#This Row],[Hour]:[Hour]]&gt;12,OFFSET(TblConstr[[#This Row],[Far]],-12,0),0)+OFFSET(TblConstr[[#This Row],[Tot Farm]],-1,0)-TblConstr[[#This Row],[Dest Farm]]</f>
        <v>19</v>
      </c>
      <c r="BB51" s="204" t="n">
        <f aca="false" t="array" ref="BB51:BB51">IF(TblConstr[[#This Row],[Hour]:[Hour]]&gt;12,OFFSET(TblConstr[[#This Row],[Smi]],-12,0),0)+OFFSET(TblConstr[[#This Row],[Tot Smi]],-1,0)-TblConstr[[#This Row],[Dest Smi]]</f>
        <v>0</v>
      </c>
      <c r="BC51" s="204" t="n">
        <f aca="false" t="array" ref="BC51:BC51">IF(TblConstr[[#This Row],[Hour]:[Hour]]&gt;12,OFFSET(TblConstr[[#This Row],[Mas]],-12,0),0)+OFFSET(TblConstr[[#This Row],[Tot Mas]],-1,0)-TblConstr[[#This Row],[Dest Mas]]</f>
        <v>0</v>
      </c>
      <c r="BD51" s="205" t="n">
        <f aca="false" t="array" ref="BD51:BD51">IF(TblConstr[[#This Row],[Hour]:[Hour]]&gt;12,OFFSET(TblConstr[[#This Row],[Ly]],-12,0),0)+OFFSET(TblConstr[[#This Row],[Tot Ly]],-1,0)-TblConstr[[#This Row],[Dest Ly]]</f>
        <v>25</v>
      </c>
      <c r="BE51" s="205" t="n">
        <f aca="false" t="array" ref="BE51:BE51">IF(TblConstr[[#This Row],[Hour]:[Hour]]&gt;12,OFFSET(TblConstr[[#This Row],[Hav]],-12,0),0)+OFFSET(TblConstr[[#This Row],[Tot Hav]],-1,0)-TblConstr[[#This Row],[Dest Hav]]</f>
        <v>0</v>
      </c>
      <c r="BF51" s="194" t="n">
        <f aca="false" t="array" ref="BF51:BF51">IF(TblConstr[[#This Row],[Hour]:[Hour]]&gt;12,OFFSET(TblConstr[[#This Row],[OM]],-12,0),0)+OFFSET(TblConstr[[#This Row],[Tot OM]],-1,0)-TblConstr[[#This Row],[Dest OM]]</f>
        <v>0</v>
      </c>
      <c r="BG51" s="194" t="n">
        <f aca="false" t="array" ref="BG51:BG51">IF(TblConstr[[#This Row],[Hour]:[Hour]]&gt;12,OFFSET(TblConstr[[#This Row],[GN]],-12,0),0)+OFFSET(TblConstr[[#This Row],[Tot GN]],-1,0)-TblConstr[[#This Row],[Dest GN]]</f>
        <v>0</v>
      </c>
      <c r="BH51" s="206" t="n">
        <f aca="false" t="array" ref="BH51:BH51">IF(TblConstr[[#This Row],[Hour]:[Hour]]&gt;12,OFFSET(TblConstr[[#This Row],[Fac]],-12,0),0)+OFFSET(TblConstr[[#This Row],[Tot Fac]],-1,0)-TblConstr[[#This Row],[Dest Fac]]</f>
        <v>67</v>
      </c>
      <c r="BI51" s="206" t="n">
        <f aca="false" t="array" ref="BI51:BI51">IF(TblConstr[[#This Row],[Hour]:[Hour]]&gt;12,OFFSET(TblConstr[[#This Row],[GT]],-12,0),0)+OFFSET(TblConstr[[#This Row],[Tot GT]],-1,0)-TblConstr[[#This Row],[Dest GT]]</f>
        <v>0</v>
      </c>
      <c r="BJ51" s="206" t="n">
        <f aca="false" t="array" ref="BJ51:BJ51">IF(TblConstr[[#This Row],[Hour]:[Hour]]&gt;12,OFFSET(TblConstr[[#This Row],[Bar]],-12,0),0)+OFFSET(TblConstr[[#This Row],[Tot Bar]],-1,0)-TblConstr[[#This Row],[Dest Bar]]</f>
        <v>0</v>
      </c>
      <c r="BK51" s="206" t="n">
        <f aca="false" t="array" ref="BK51:BK51">IF(TblConstr[[#This Row],[Hour]:[Hour]]&gt;12,OFFSET(TblConstr[[#This Row],[Shr]],-12,0),0)+OFFSET(TblConstr[[#This Row],[Tot Shr]],-1,0)-TblConstr[[#This Row],[Dest Shr]]</f>
        <v>0</v>
      </c>
      <c r="BL51" s="207" t="n">
        <f aca="false" t="array" ref="BL51:BL51">IF(TblConstr[[#This Row],[Hour]:[Hour]]&gt;12,OFFSET(TblConstr[[#This Row],[Tow]],-12,0),0)+OFFSET(TblConstr[[#This Row],[Tot Tow]],-1,0)-TblConstr[[#This Row],[Dest Tow]]</f>
        <v>25</v>
      </c>
      <c r="BM51" s="207" t="n">
        <f aca="false" t="array" ref="BM51:BM51">IF(TblConstr[[#This Row],[Hour]:[Hour]]&gt;12,OFFSET(TblConstr[[#This Row],[Tem]],-12,0),0)+OFFSET(TblConstr[[#This Row],[Tot Tem]],-1,0)-TblConstr[[#This Row],[Dest Tem]]</f>
        <v>47</v>
      </c>
      <c r="BN51" s="207" t="n">
        <f aca="false" t="array" ref="BN51:BN51">IF(TblConstr[[#This Row],[Hour]:[Hour]]&gt;12,OFFSET(TblConstr[[#This Row],[WG]],-12,0),0)+OFFSET(TblConstr[[#This Row],[Tot WG]],-1,0)-TblConstr[[#This Row],[Dest WG]]</f>
        <v>0</v>
      </c>
      <c r="BO51" s="208" t="n">
        <f aca="false" t="array" ref="BO51:BO51">IF(TblConstr[[#This Row],[Hour]:[Hour]]&gt;12,OFFSET(TblConstr[[#This Row],[DM]],-12,0),0)+OFFSET(TblConstr[[#This Row],[Tot DM]],-1,0)-TblConstr[[#This Row],[Dest DM]]</f>
        <v>0</v>
      </c>
      <c r="BP51" s="208" t="n">
        <f aca="false" t="array" ref="BP51:BP51">IF(TblConstr[[#This Row],[Hour]:[Hour]]&gt;12,OFFSET(TblConstr[[#This Row],[Sch]],-12,0),0)+OFFSET(TblConstr[[#This Row],[Tot Sch]],-1,0)-TblConstr[[#This Row],[Dest Sch]]</f>
        <v>0</v>
      </c>
      <c r="BQ51" s="209" t="n">
        <f aca="false" t="array" ref="BQ51:BQ51">IF(TblConstr[[#This Row],[Hour]:[Hour]]&gt;12,OFFSET(TblConstr[[#This Row],[Doc]],-12,0),0)+OFFSET(TblConstr[[#This Row],[Tot Doc]],-1,0)-TblConstr[[#This Row],[Dest Doc]]</f>
        <v>10</v>
      </c>
      <c r="BR51" s="132"/>
      <c r="BS51" s="146"/>
      <c r="BT51" s="69" t="n">
        <f aca="false">TblConstr[[#This Row],[Land]]</f>
        <v>596</v>
      </c>
      <c r="BU51" s="153" t="n">
        <f aca="false">TblImps[[#This Row],[Time]]</f>
        <v>45431.7083333333</v>
      </c>
      <c r="BV51" s="132"/>
      <c r="BW51" s="182"/>
      <c r="BX51" s="182"/>
      <c r="BY51" s="182"/>
      <c r="BZ51" s="182"/>
      <c r="CA51" s="182"/>
      <c r="CB51" s="182"/>
      <c r="CC51" s="182"/>
      <c r="CD51" s="182"/>
      <c r="CE51" s="182"/>
      <c r="CF51" s="182"/>
      <c r="CG51" s="182"/>
      <c r="CH51" s="182"/>
      <c r="CI51" s="182"/>
      <c r="CJ51" s="182"/>
      <c r="CK51" s="182"/>
      <c r="CL51" s="182"/>
      <c r="CM51" s="182"/>
      <c r="CN51" s="182"/>
      <c r="CO51" s="182"/>
      <c r="CP51" s="132"/>
      <c r="CQ51" s="192" t="n">
        <f aca="false">-SUM(TblConstr[[#This Row],[Alc]:[Mas]])+SUM(TblConstr[[#This Row],[Dest Alc]:[Dest Mas]])+Rezone!L51+IF("Ch_"&amp; home_land=TblConstr[[#Headers],[Ch_Plain]],TblConstr[[#This Row],[Home Land]])+IF(TblConstr[[#This Row],[Hour]:[Hour]]&gt;12,OFFSET(TblExplore[[#This Row],[Plains Explore]],-12,0),0)</f>
        <v>0</v>
      </c>
      <c r="CR51" s="193" t="n">
        <f aca="false">-SUM(TblConstr[[#This Row],[Ly]:[Hav]])+SUM(TblConstr[[#This Row],[Dest Ly]:[Dest Hav]]) +Rezone!M51 + IF("Ch_"&amp; home_land=TblConstr[[#Headers],[Ch_Forest]],TblConstr[[#This Row],[Home Land]])+IF(TblConstr[[#This Row],[Hour]:[Hour]]&gt;12,OFFSET(TblExplore[[#This Row],[Forest Explore]],-12,0),0)</f>
        <v>0</v>
      </c>
      <c r="CS51" s="200" t="n">
        <f aca="false">-SUM(TblConstr[[#This Row],[OM]:[GN]])+SUM(TblConstr[[#This Row],[Dest OM]:[Dest GN]]) +Rezone!N51 + IF("Ch_"&amp; home_land=TblConstr[[#Headers],[Ch_Mountain]],TblConstr[[#This Row],[Home Land]])+IF(TblConstr[[#This Row],[Hour]:[Hour]]&gt;12,OFFSET(TblExplore[[#This Row],[Mountain Explore]],-12,0),0)</f>
        <v>0</v>
      </c>
      <c r="CT51" s="195" t="n">
        <f aca="false">-SUM(TblConstr[[#This Row],[Fac]:[Shr]])+SUM(TblConstr[[#This Row],[Dest Fac]:[Dest Shr]]) +Rezone!O51 + IF("Ch_" &amp; home_land=TblConstr[[#Headers],[Ch_Hill]],TblConstr[[#This Row],[Home Land]])+IF(TblConstr[[#This Row],[Hour]:[Hour]]&gt;12,OFFSET(TblExplore[[#This Row],[Hill Explore]],-12,0),0)</f>
        <v>0</v>
      </c>
      <c r="CU51" s="196" t="n">
        <f aca="false">-SUM(TblConstr[[#This Row],[Tow]:[WG]])+SUM(TblConstr[[#This Row],[Dest Tow]:[Dest WG]]) +Rezone!P51 + IF("Ch_" &amp; home_land=TblConstr[[#Headers],[Ch_Swamp]],TblConstr[[#This Row],[Home Land]])+IF(TblConstr[[#This Row],[Hour]:[Hour]]&gt;12,OFFSET(TblExplore[[#This Row],[Swamp Explore]],-12,0),0)</f>
        <v>0</v>
      </c>
      <c r="CV51" s="197" t="n">
        <f aca="false">- SUM(TblConstr[[#This Row],[DM]:[Sch]])+SUM(TblConstr[[#This Row],[Dest DM]:[Dest Sch]]) +Rezone!Q51 + IF("Ch_" &amp; home_land=TblConstr[[#Headers],[Ch_Cavern]],TblConstr[[#This Row],[Home Land]])+IF(TblConstr[[#This Row],[Hour]:[Hour]]&gt;12,OFFSET(TblExplore[[#This Row],[Cavern Explore]],-12,0),0)</f>
        <v>0</v>
      </c>
      <c r="CW51" s="198" t="n">
        <f aca="false">-TblConstr[[#This Row],[Doc]]+TblConstr[[#This Row],[Dest Doc]] +Rezone!R51 + IF("Ch_" &amp; home_land=TblConstr[[#Headers],[Ch_Water]],TblConstr[[#This Row],[Home Land]])+IF(TblConstr[[#This Row],[Hour]:[Hour]]&gt;12,OFFSET(TblExplore[[#This Row],[Water Explore]],-12,0),0)</f>
        <v>0</v>
      </c>
      <c r="CX51" s="1" t="n">
        <f aca="false">IF(Explore!S51=1,20) - TblConstr[[#This Row],[Hom]] + TblConstr[[#This Row],[Dest Hom]]</f>
        <v>0</v>
      </c>
      <c r="CY51" s="132"/>
      <c r="CZ51" s="69" t="n">
        <f aca="false">G51+SUM(P40:S51)+SUM(AZ51:BC51)</f>
        <v>402</v>
      </c>
      <c r="DA51" s="69" t="n">
        <f aca="false">H51+SUM(T40:U51)+SUM(BD51:BE51)</f>
        <v>25</v>
      </c>
      <c r="DB51" s="1" t="n">
        <f aca="false">I51+SUM(V40:W51)+SUM(BF51:BG51)</f>
        <v>0</v>
      </c>
      <c r="DC51" s="69" t="n">
        <f aca="false">J51+SUM(X40:Y51)+SUM(BH51:BI51)</f>
        <v>67</v>
      </c>
      <c r="DD51" s="69" t="n">
        <f aca="false">K51+SUM(AB40:AD51)+SUM(BL51:BN51)</f>
        <v>72</v>
      </c>
      <c r="DE51" s="1" t="n">
        <f aca="false">L51+SUM(AE40:AE51)+BO51</f>
        <v>0</v>
      </c>
      <c r="DF51" s="69" t="n">
        <f aca="false">M51+SUM(AG40:AG51)+BQ51</f>
        <v>10</v>
      </c>
      <c r="DG51" s="69" t="e">
        <f aca="false" t="array" ref="DG51:DG51">INDEX(TblConstr[[Total Plain]:[Total Water]],ROW()-ROW(TblConstr[#headers]),MATCH("Total "&amp;home_land,TblConstr[[#Headers],[Total Plain]:[Total Water]],0))+TblConstr[[#This Row],[Homes]]</f>
        <v>#VALUE!</v>
      </c>
      <c r="DH51" s="1" t="n">
        <f aca="false">SUM(O40:O51)+AY51</f>
        <v>20</v>
      </c>
      <c r="DI51" s="1" t="n">
        <f aca="false">MAX(BA51-BA50,0)</f>
        <v>0</v>
      </c>
      <c r="DJ51" s="1" t="n">
        <f aca="false">MAX(BQ51-BQ50,0)</f>
        <v>0</v>
      </c>
    </row>
    <row r="52" customFormat="false" ht="12.75" hidden="false" customHeight="false" outlineLevel="0" collapsed="false">
      <c r="A52" s="170" t="n">
        <f aca="false">TblRezone[[#This Row],[Hour]]</f>
        <v>49</v>
      </c>
      <c r="B52" s="171" t="n">
        <f aca="false">SUM(TblConstr[[#This Row],[Plain]:[Water]])</f>
        <v>0</v>
      </c>
      <c r="C52" s="172" t="n">
        <f aca="false">SUM(TblConstr[[#This Row],[Tot Hom]:[Tot Doc]])</f>
        <v>419</v>
      </c>
      <c r="D52" s="172" t="n">
        <f aca="false">SUM(O41:AG52)</f>
        <v>210</v>
      </c>
      <c r="E52" s="173"/>
      <c r="F52" s="33" t="n">
        <f aca="false">TblConstr[[#This Row],[Barren]]+TblConstr[[#This Row],[Buildings]]+TblConstr[[#This Row],[Incoming]]</f>
        <v>629</v>
      </c>
      <c r="G52" s="199" t="n">
        <f aca="false">OFFSET(TblConstr[[#This Row],[Plain]],-1,0)+TblConstr[[#This Row],[Ch_Plain]]</f>
        <v>0</v>
      </c>
      <c r="H52" s="193" t="n">
        <f aca="false">OFFSET(TblConstr[[#This Row],[Forest]],-1,0)+TblConstr[[#This Row],[Ch_Forest]]</f>
        <v>0</v>
      </c>
      <c r="I52" s="200" t="n">
        <f aca="false">OFFSET(TblConstr[[#This Row],[Mountain]],-1,0)+TblConstr[[#This Row],[Ch_Mountain]]</f>
        <v>0</v>
      </c>
      <c r="J52" s="201" t="n">
        <f aca="false">OFFSET(TblConstr[[#This Row],[Hill]],-1,0)+TblConstr[[#This Row],[Ch_Hill]]</f>
        <v>0</v>
      </c>
      <c r="K52" s="202" t="n">
        <f aca="false">OFFSET(TblConstr[[#This Row],[Swamp]],-1,0)+TblConstr[[#This Row],[Ch_Swamp]]</f>
        <v>0</v>
      </c>
      <c r="L52" s="197" t="n">
        <f aca="false">OFFSET(TblConstr[[#This Row],[Cavern]],-1,0)+TblConstr[[#This Row],[Ch_Cavern]]</f>
        <v>0</v>
      </c>
      <c r="M52" s="198" t="n">
        <f aca="false">OFFSET(TblConstr[[#This Row],[Water]],-1,0)+TblConstr[[#This Row],[Ch_Water]]</f>
        <v>0</v>
      </c>
      <c r="N52" s="181" t="n">
        <f aca="false">TblRezone[[#This Row],[Hour]]</f>
        <v>49</v>
      </c>
      <c r="O52" s="182" t="n">
        <v>20</v>
      </c>
      <c r="P52" s="182" t="n">
        <v>1</v>
      </c>
      <c r="Q52" s="182"/>
      <c r="R52" s="182" t="n">
        <v>12</v>
      </c>
      <c r="S52" s="182"/>
      <c r="T52" s="182"/>
      <c r="U52" s="182"/>
      <c r="V52" s="182"/>
      <c r="W52" s="182"/>
      <c r="X52" s="182"/>
      <c r="Y52" s="182"/>
      <c r="Z52" s="182"/>
      <c r="AA52" s="182"/>
      <c r="AB52" s="182"/>
      <c r="AC52" s="182"/>
      <c r="AD52" s="182"/>
      <c r="AE52" s="182"/>
      <c r="AF52" s="182"/>
      <c r="AG52" s="182"/>
      <c r="AH52" s="20" t="n">
        <f aca="false">TblImps[[#This Row],[Time]]</f>
        <v>45431.75</v>
      </c>
      <c r="AI52" s="130" t="n">
        <f aca="false">MIN(25%,(TblConstr[[#This Row],[Tot Fac]]+TblConstr[[#This Row],[Dest Fac]])/(TblConstr[[#This Row],[Land]]-TblExplore[[#This Row],[Land Bonus]]*20))</f>
        <v>0.110016420361248</v>
      </c>
      <c r="AJ52" s="130" t="n">
        <f aca="false">MIN(25%,(TblConstr[[#This Row],[Tot Fac]]+TblConstr[[#This Row],[Dest Fac]])/TblConstr[[#This Row],[Land]])</f>
        <v>0.106518282988871</v>
      </c>
      <c r="AK52" s="69" t="n">
        <f aca="false">TblProd[[#This Row],[Platinum]]</f>
        <v>290264</v>
      </c>
      <c r="AL52" s="69" t="n">
        <f aca="false">TblProd[[#This Row],[Lumber]]</f>
        <v>5044</v>
      </c>
      <c r="AM5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519</v>
      </c>
      <c r="AN52" s="69" t="n">
        <f aca="false">ROUNDDOWN( MAX(1 - MIN(facs_constr_factor*TblConstr[[#This Row],[Facs -DB]],facs_constr_max) + tech_1_11*TblTech[[#This Row],[11-1]] + tech_6_3_2*TblTech[[#This Row],[6-3]] + tech_5_2_3*TblTech[[#This Row],[5-2]], 1-global_constr_cap) * TblConstr[[#This Row],[RCPA Lumber]],0)</f>
        <v>95</v>
      </c>
      <c r="AO5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529</v>
      </c>
      <c r="AP52" s="69" t="n">
        <f aca="false">ROUNDDOWN( MAX(1 - MIN(facs_constr_factor*TblConstr[[#This Row],[Facs DB]],facs_constr_max) + tech_1_11*TblTech[[#This Row],[1-11]] + tech_6_3_2*TblTech[[#This Row],[6-3]] + tech_5_2_3*TblTech[[#This Row],[5-2]], 1-global_constr_cap) * ROUND((TblConstr[[#This Row],[Land]]-250)*0.285 + 87.5 + 0/4.25,0),0)</f>
        <v>98</v>
      </c>
      <c r="AQ52" s="1" t="n">
        <f aca="false">TblConstr[[#This Row],[build -db]]*TblConstr[[#This Row],[CPA Platinum -DB]] + TblConstr[[#This Row],[build db]]*TblConstr[[#This Row],[CPA Platinum DB]]</f>
        <v>17327</v>
      </c>
      <c r="AR52" s="1" t="n">
        <f aca="false">TblConstr[[#This Row],[build -db]]*TblConstr[[#This Row],[CPA Lumber -DB]]+TblConstr[[#This Row],[build db]]*TblConstr[[#This Row],[CPA Lumber DB]]</f>
        <v>3195</v>
      </c>
      <c r="AS52" s="69" t="n">
        <f aca="false">MIN(SUM(OFFSET(TblConstr[[#This Row],[Plain]:[Water]],-1,0))+SUM(TblConstr[[#This Row],[Dest Hom]:[Dest Doc]])+IF(TblConstr[[#This Row],[Hour]]&gt;12,SUM(OFFSET(TblExplore[[#This Row],[Plains Explore]:[Water Explore]],-12,0)),0),SUM(TblConstr[[#This Row],[Hom]:[Doc]]))</f>
        <v>13</v>
      </c>
      <c r="AT5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2" s="132"/>
      <c r="AV52" s="69" t="n">
        <f aca="false">ROUND((TblConstr[[#This Row],[Land]]-250 - IF(TblExplore[[#This Row],[Land Bonus]]&lt;&gt;0,20,0))*1.25 + 850 + 0,0)</f>
        <v>1299</v>
      </c>
      <c r="AW52" s="69" t="n">
        <f aca="false">ROUND((TblConstr[[#This Row],[Land]]-250 - IF(TblExplore[[#This Row],[Land Bonus]]&lt;&gt;0,20,0))*0.285 + 87.5 + 0/4.25,0)</f>
        <v>190</v>
      </c>
      <c r="AX52" s="146"/>
      <c r="AY52" s="203" t="n">
        <f aca="false" t="array" ref="AY52:AY52">IF(TblConstr[[#This Row],[Hour]:[Hour]]&gt;12,OFFSET(TblConstr[[#This Row],[Hom]],-12,0),0)+OFFSET(TblConstr[[#This Row],[Tot Hom]],-1,0)-TblConstr[[#This Row],[Dest Hom]]</f>
        <v>0</v>
      </c>
      <c r="AZ52" s="204" t="n">
        <f aca="false" t="array" ref="AZ52:AZ52">IF(TblConstr[[#This Row],[Hour]:[Hour]]&gt;12,OFFSET(TblConstr[[#This Row],[Alc]],-12,0),0)+OFFSET(TblConstr[[#This Row],[Tot Alc]],-1,0)-TblConstr[[#This Row],[Dest Alc]]</f>
        <v>226</v>
      </c>
      <c r="BA52" s="204" t="n">
        <f aca="false" t="array" ref="BA52:BA52">IF(TblConstr[[#This Row],[Hour]:[Hour]]&gt;12,OFFSET(TblConstr[[#This Row],[Far]],-12,0),0)+OFFSET(TblConstr[[#This Row],[Tot Farm]],-1,0)-TblConstr[[#This Row],[Dest Farm]]</f>
        <v>19</v>
      </c>
      <c r="BB52" s="204" t="n">
        <f aca="false" t="array" ref="BB52:BB52">IF(TblConstr[[#This Row],[Hour]:[Hour]]&gt;12,OFFSET(TblConstr[[#This Row],[Smi]],-12,0),0)+OFFSET(TblConstr[[#This Row],[Tot Smi]],-1,0)-TblConstr[[#This Row],[Dest Smi]]</f>
        <v>0</v>
      </c>
      <c r="BC52" s="204" t="n">
        <f aca="false" t="array" ref="BC52:BC52">IF(TblConstr[[#This Row],[Hour]:[Hour]]&gt;12,OFFSET(TblConstr[[#This Row],[Mas]],-12,0),0)+OFFSET(TblConstr[[#This Row],[Tot Mas]],-1,0)-TblConstr[[#This Row],[Dest Mas]]</f>
        <v>0</v>
      </c>
      <c r="BD52" s="205" t="n">
        <f aca="false" t="array" ref="BD52:BD52">IF(TblConstr[[#This Row],[Hour]:[Hour]]&gt;12,OFFSET(TblConstr[[#This Row],[Ly]],-12,0),0)+OFFSET(TblConstr[[#This Row],[Tot Ly]],-1,0)-TblConstr[[#This Row],[Dest Ly]]</f>
        <v>25</v>
      </c>
      <c r="BE52" s="205" t="n">
        <f aca="false" t="array" ref="BE52:BE52">IF(TblConstr[[#This Row],[Hour]:[Hour]]&gt;12,OFFSET(TblConstr[[#This Row],[Hav]],-12,0),0)+OFFSET(TblConstr[[#This Row],[Tot Hav]],-1,0)-TblConstr[[#This Row],[Dest Hav]]</f>
        <v>0</v>
      </c>
      <c r="BF52" s="194" t="n">
        <f aca="false" t="array" ref="BF52:BF52">IF(TblConstr[[#This Row],[Hour]:[Hour]]&gt;12,OFFSET(TblConstr[[#This Row],[OM]],-12,0),0)+OFFSET(TblConstr[[#This Row],[Tot OM]],-1,0)-TblConstr[[#This Row],[Dest OM]]</f>
        <v>0</v>
      </c>
      <c r="BG52" s="194" t="n">
        <f aca="false" t="array" ref="BG52:BG52">IF(TblConstr[[#This Row],[Hour]:[Hour]]&gt;12,OFFSET(TblConstr[[#This Row],[GN]],-12,0),0)+OFFSET(TblConstr[[#This Row],[Tot GN]],-1,0)-TblConstr[[#This Row],[Dest GN]]</f>
        <v>0</v>
      </c>
      <c r="BH52" s="206" t="n">
        <f aca="false" t="array" ref="BH52:BH52">IF(TblConstr[[#This Row],[Hour]:[Hour]]&gt;12,OFFSET(TblConstr[[#This Row],[Fac]],-12,0),0)+OFFSET(TblConstr[[#This Row],[Tot Fac]],-1,0)-TblConstr[[#This Row],[Dest Fac]]</f>
        <v>67</v>
      </c>
      <c r="BI52" s="206" t="n">
        <f aca="false" t="array" ref="BI52:BI52">IF(TblConstr[[#This Row],[Hour]:[Hour]]&gt;12,OFFSET(TblConstr[[#This Row],[GT]],-12,0),0)+OFFSET(TblConstr[[#This Row],[Tot GT]],-1,0)-TblConstr[[#This Row],[Dest GT]]</f>
        <v>0</v>
      </c>
      <c r="BJ52" s="206" t="n">
        <f aca="false" t="array" ref="BJ52:BJ52">IF(TblConstr[[#This Row],[Hour]:[Hour]]&gt;12,OFFSET(TblConstr[[#This Row],[Bar]],-12,0),0)+OFFSET(TblConstr[[#This Row],[Tot Bar]],-1,0)-TblConstr[[#This Row],[Dest Bar]]</f>
        <v>0</v>
      </c>
      <c r="BK52" s="206" t="n">
        <f aca="false" t="array" ref="BK52:BK52">IF(TblConstr[[#This Row],[Hour]:[Hour]]&gt;12,OFFSET(TblConstr[[#This Row],[Shr]],-12,0),0)+OFFSET(TblConstr[[#This Row],[Tot Shr]],-1,0)-TblConstr[[#This Row],[Dest Shr]]</f>
        <v>0</v>
      </c>
      <c r="BL52" s="207" t="n">
        <f aca="false" t="array" ref="BL52:BL52">IF(TblConstr[[#This Row],[Hour]:[Hour]]&gt;12,OFFSET(TblConstr[[#This Row],[Tow]],-12,0),0)+OFFSET(TblConstr[[#This Row],[Tot Tow]],-1,0)-TblConstr[[#This Row],[Dest Tow]]</f>
        <v>25</v>
      </c>
      <c r="BM52" s="207" t="n">
        <f aca="false" t="array" ref="BM52:BM52">IF(TblConstr[[#This Row],[Hour]:[Hour]]&gt;12,OFFSET(TblConstr[[#This Row],[Tem]],-12,0),0)+OFFSET(TblConstr[[#This Row],[Tot Tem]],-1,0)-TblConstr[[#This Row],[Dest Tem]]</f>
        <v>47</v>
      </c>
      <c r="BN52" s="207" t="n">
        <f aca="false" t="array" ref="BN52:BN52">IF(TblConstr[[#This Row],[Hour]:[Hour]]&gt;12,OFFSET(TblConstr[[#This Row],[WG]],-12,0),0)+OFFSET(TblConstr[[#This Row],[Tot WG]],-1,0)-TblConstr[[#This Row],[Dest WG]]</f>
        <v>0</v>
      </c>
      <c r="BO52" s="208" t="n">
        <f aca="false" t="array" ref="BO52:BO52">IF(TblConstr[[#This Row],[Hour]:[Hour]]&gt;12,OFFSET(TblConstr[[#This Row],[DM]],-12,0),0)+OFFSET(TblConstr[[#This Row],[Tot DM]],-1,0)-TblConstr[[#This Row],[Dest DM]]</f>
        <v>0</v>
      </c>
      <c r="BP52" s="208" t="n">
        <f aca="false" t="array" ref="BP52:BP52">IF(TblConstr[[#This Row],[Hour]:[Hour]]&gt;12,OFFSET(TblConstr[[#This Row],[Sch]],-12,0),0)+OFFSET(TblConstr[[#This Row],[Tot Sch]],-1,0)-TblConstr[[#This Row],[Dest Sch]]</f>
        <v>0</v>
      </c>
      <c r="BQ52" s="209" t="n">
        <f aca="false" t="array" ref="BQ52:BQ52">IF(TblConstr[[#This Row],[Hour]:[Hour]]&gt;12,OFFSET(TblConstr[[#This Row],[Doc]],-12,0),0)+OFFSET(TblConstr[[#This Row],[Tot Doc]],-1,0)-TblConstr[[#This Row],[Dest Doc]]</f>
        <v>10</v>
      </c>
      <c r="BR52" s="132"/>
      <c r="BS52" s="146"/>
      <c r="BT52" s="69" t="n">
        <f aca="false">TblConstr[[#This Row],[Land]]</f>
        <v>629</v>
      </c>
      <c r="BU52" s="153" t="n">
        <f aca="false">TblImps[[#This Row],[Time]]</f>
        <v>45431.75</v>
      </c>
      <c r="BV52" s="132"/>
      <c r="BW52" s="182"/>
      <c r="BX52" s="182"/>
      <c r="BY52" s="182"/>
      <c r="BZ52" s="182"/>
      <c r="CA52" s="182"/>
      <c r="CB52" s="182"/>
      <c r="CC52" s="182"/>
      <c r="CD52" s="182"/>
      <c r="CE52" s="182"/>
      <c r="CF52" s="182"/>
      <c r="CG52" s="182"/>
      <c r="CH52" s="182"/>
      <c r="CI52" s="182"/>
      <c r="CJ52" s="182"/>
      <c r="CK52" s="182"/>
      <c r="CL52" s="182"/>
      <c r="CM52" s="182"/>
      <c r="CN52" s="182"/>
      <c r="CO52" s="182"/>
      <c r="CP52" s="132"/>
      <c r="CQ52" s="192" t="n">
        <f aca="false">-SUM(TblConstr[[#This Row],[Alc]:[Mas]])+SUM(TblConstr[[#This Row],[Dest Alc]:[Dest Mas]])+Rezone!L52+IF("Ch_"&amp; home_land=TblConstr[[#Headers],[Ch_Plain]],TblConstr[[#This Row],[Home Land]])+IF(TblConstr[[#This Row],[Hour]:[Hour]]&gt;12,OFFSET(TblExplore[[#This Row],[Plains Explore]],-12,0),0)</f>
        <v>0</v>
      </c>
      <c r="CR52" s="193" t="n">
        <f aca="false">-SUM(TblConstr[[#This Row],[Ly]:[Hav]])+SUM(TblConstr[[#This Row],[Dest Ly]:[Dest Hav]]) +Rezone!M52 + IF("Ch_"&amp; home_land=TblConstr[[#Headers],[Ch_Forest]],TblConstr[[#This Row],[Home Land]])+IF(TblConstr[[#This Row],[Hour]:[Hour]]&gt;12,OFFSET(TblExplore[[#This Row],[Forest Explore]],-12,0),0)</f>
        <v>0</v>
      </c>
      <c r="CS52" s="200" t="n">
        <f aca="false">-SUM(TblConstr[[#This Row],[OM]:[GN]])+SUM(TblConstr[[#This Row],[Dest OM]:[Dest GN]]) +Rezone!N52 + IF("Ch_"&amp; home_land=TblConstr[[#Headers],[Ch_Mountain]],TblConstr[[#This Row],[Home Land]])+IF(TblConstr[[#This Row],[Hour]:[Hour]]&gt;12,OFFSET(TblExplore[[#This Row],[Mountain Explore]],-12,0),0)</f>
        <v>0</v>
      </c>
      <c r="CT52" s="195" t="n">
        <f aca="false">-SUM(TblConstr[[#This Row],[Fac]:[Shr]])+SUM(TblConstr[[#This Row],[Dest Fac]:[Dest Shr]]) +Rezone!O52 + IF("Ch_" &amp; home_land=TblConstr[[#Headers],[Ch_Hill]],TblConstr[[#This Row],[Home Land]])+IF(TblConstr[[#This Row],[Hour]:[Hour]]&gt;12,OFFSET(TblExplore[[#This Row],[Hill Explore]],-12,0),0)</f>
        <v>0</v>
      </c>
      <c r="CU52" s="196" t="n">
        <f aca="false">-SUM(TblConstr[[#This Row],[Tow]:[WG]])+SUM(TblConstr[[#This Row],[Dest Tow]:[Dest WG]]) +Rezone!P52 + IF("Ch_" &amp; home_land=TblConstr[[#Headers],[Ch_Swamp]],TblConstr[[#This Row],[Home Land]])+IF(TblConstr[[#This Row],[Hour]:[Hour]]&gt;12,OFFSET(TblExplore[[#This Row],[Swamp Explore]],-12,0),0)</f>
        <v>0</v>
      </c>
      <c r="CV52" s="197" t="n">
        <f aca="false">- SUM(TblConstr[[#This Row],[DM]:[Sch]])+SUM(TblConstr[[#This Row],[Dest DM]:[Dest Sch]]) +Rezone!Q52 + IF("Ch_" &amp; home_land=TblConstr[[#Headers],[Ch_Cavern]],TblConstr[[#This Row],[Home Land]])+IF(TblConstr[[#This Row],[Hour]:[Hour]]&gt;12,OFFSET(TblExplore[[#This Row],[Cavern Explore]],-12,0),0)</f>
        <v>0</v>
      </c>
      <c r="CW52" s="198" t="n">
        <f aca="false">-TblConstr[[#This Row],[Doc]]+TblConstr[[#This Row],[Dest Doc]] +Rezone!R52 + IF("Ch_" &amp; home_land=TblConstr[[#Headers],[Ch_Water]],TblConstr[[#This Row],[Home Land]])+IF(TblConstr[[#This Row],[Hour]:[Hour]]&gt;12,OFFSET(TblExplore[[#This Row],[Water Explore]],-12,0),0)</f>
        <v>0</v>
      </c>
      <c r="CX52" s="1" t="n">
        <f aca="false">IF(Explore!S52=1,20) - TblConstr[[#This Row],[Hom]] + TblConstr[[#This Row],[Dest Hom]]</f>
        <v>0</v>
      </c>
      <c r="CY52" s="132"/>
      <c r="CZ52" s="69" t="n">
        <f aca="false">G52+SUM(P41:S52)+SUM(AZ52:BC52)</f>
        <v>415</v>
      </c>
      <c r="DA52" s="69" t="n">
        <f aca="false">H52+SUM(T41:U52)+SUM(BD52:BE52)</f>
        <v>25</v>
      </c>
      <c r="DB52" s="1" t="n">
        <f aca="false">I52+SUM(V41:W52)+SUM(BF52:BG52)</f>
        <v>0</v>
      </c>
      <c r="DC52" s="69" t="n">
        <f aca="false">J52+SUM(X41:Y52)+SUM(BH52:BI52)</f>
        <v>67</v>
      </c>
      <c r="DD52" s="69" t="n">
        <f aca="false">K52+SUM(AB41:AD52)+SUM(BL52:BN52)</f>
        <v>72</v>
      </c>
      <c r="DE52" s="1" t="n">
        <f aca="false">L52+SUM(AE41:AE52)+BO52</f>
        <v>0</v>
      </c>
      <c r="DF52" s="69" t="n">
        <f aca="false">M52+SUM(AG41:AG52)+BQ52</f>
        <v>10</v>
      </c>
      <c r="DG52" s="69" t="e">
        <f aca="false" t="array" ref="DG52:DG52">INDEX(TblConstr[[Total Plain]:[Total Water]],ROW()-ROW(TblConstr[#headers]),MATCH("Total "&amp;home_land,TblConstr[[#Headers],[Total Plain]:[Total Water]],0))+TblConstr[[#This Row],[Homes]]</f>
        <v>#VALUE!</v>
      </c>
      <c r="DH52" s="1" t="n">
        <f aca="false">SUM(O41:O52)+AY52</f>
        <v>40</v>
      </c>
      <c r="DI52" s="1" t="n">
        <f aca="false">MAX(BA52-BA51,0)</f>
        <v>0</v>
      </c>
      <c r="DJ52" s="1" t="n">
        <f aca="false">MAX(BQ52-BQ51,0)</f>
        <v>0</v>
      </c>
    </row>
    <row r="53" customFormat="false" ht="12.75" hidden="false" customHeight="false" outlineLevel="0" collapsed="false">
      <c r="A53" s="170" t="n">
        <f aca="false">TblRezone[[#This Row],[Hour]]</f>
        <v>50</v>
      </c>
      <c r="B53" s="171" t="n">
        <f aca="false">SUM(TblConstr[[#This Row],[Plain]:[Water]])</f>
        <v>0</v>
      </c>
      <c r="C53" s="172" t="n">
        <f aca="false">SUM(TblConstr[[#This Row],[Tot Hom]:[Tot Doc]])</f>
        <v>419</v>
      </c>
      <c r="D53" s="172" t="n">
        <f aca="false">SUM(O42:AG53)</f>
        <v>223</v>
      </c>
      <c r="E53" s="173"/>
      <c r="F53" s="33" t="n">
        <f aca="false">TblConstr[[#This Row],[Barren]]+TblConstr[[#This Row],[Buildings]]+TblConstr[[#This Row],[Incoming]]</f>
        <v>642</v>
      </c>
      <c r="G53" s="199" t="n">
        <f aca="false">OFFSET(TblConstr[[#This Row],[Plain]],-1,0)+TblConstr[[#This Row],[Ch_Plain]]</f>
        <v>0</v>
      </c>
      <c r="H53" s="193" t="n">
        <f aca="false">OFFSET(TblConstr[[#This Row],[Forest]],-1,0)+TblConstr[[#This Row],[Ch_Forest]]</f>
        <v>0</v>
      </c>
      <c r="I53" s="200" t="n">
        <f aca="false">OFFSET(TblConstr[[#This Row],[Mountain]],-1,0)+TblConstr[[#This Row],[Ch_Mountain]]</f>
        <v>0</v>
      </c>
      <c r="J53" s="201" t="n">
        <f aca="false">OFFSET(TblConstr[[#This Row],[Hill]],-1,0)+TblConstr[[#This Row],[Ch_Hill]]</f>
        <v>0</v>
      </c>
      <c r="K53" s="202" t="n">
        <f aca="false">OFFSET(TblConstr[[#This Row],[Swamp]],-1,0)+TblConstr[[#This Row],[Ch_Swamp]]</f>
        <v>0</v>
      </c>
      <c r="L53" s="197" t="n">
        <f aca="false">OFFSET(TblConstr[[#This Row],[Cavern]],-1,0)+TblConstr[[#This Row],[Ch_Cavern]]</f>
        <v>0</v>
      </c>
      <c r="M53" s="198" t="n">
        <f aca="false">OFFSET(TblConstr[[#This Row],[Water]],-1,0)+TblConstr[[#This Row],[Ch_Water]]</f>
        <v>0</v>
      </c>
      <c r="N53" s="181" t="n">
        <f aca="false">TblRezone[[#This Row],[Hour]]</f>
        <v>50</v>
      </c>
      <c r="O53" s="182"/>
      <c r="P53" s="182" t="n">
        <v>5</v>
      </c>
      <c r="Q53" s="182" t="n">
        <v>2</v>
      </c>
      <c r="R53" s="182"/>
      <c r="S53" s="182"/>
      <c r="T53" s="182"/>
      <c r="U53" s="182"/>
      <c r="V53" s="182"/>
      <c r="W53" s="182"/>
      <c r="X53" s="182"/>
      <c r="Y53" s="182"/>
      <c r="Z53" s="182"/>
      <c r="AA53" s="182"/>
      <c r="AB53" s="182"/>
      <c r="AC53" s="182"/>
      <c r="AD53" s="182"/>
      <c r="AE53" s="182"/>
      <c r="AF53" s="182"/>
      <c r="AG53" s="182" t="n">
        <v>6</v>
      </c>
      <c r="AH53" s="20" t="n">
        <f aca="false">TblImps[[#This Row],[Time]]</f>
        <v>45431.7916666667</v>
      </c>
      <c r="AI53" s="130" t="n">
        <f aca="false">MIN(25%,(TblConstr[[#This Row],[Tot Fac]]+TblConstr[[#This Row],[Dest Fac]])/(TblConstr[[#This Row],[Land]]-TblExplore[[#This Row],[Land Bonus]]*20))</f>
        <v>0.104361370716511</v>
      </c>
      <c r="AJ53" s="130" t="n">
        <f aca="false">MIN(25%,(TblConstr[[#This Row],[Tot Fac]]+TblConstr[[#This Row],[Dest Fac]])/TblConstr[[#This Row],[Land]])</f>
        <v>0.104361370716511</v>
      </c>
      <c r="AK53" s="69" t="n">
        <f aca="false">TblProd[[#This Row],[Platinum]]</f>
        <v>323598</v>
      </c>
      <c r="AL53" s="69" t="n">
        <f aca="false">TblProd[[#This Row],[Lumber]]</f>
        <v>4832</v>
      </c>
      <c r="AM5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536</v>
      </c>
      <c r="AN53" s="69" t="n">
        <f aca="false">ROUNDDOWN( MAX(1 - MIN(facs_constr_factor*TblConstr[[#This Row],[Facs -DB]],facs_constr_max) + tech_1_11*TblTech[[#This Row],[11-1]] + tech_6_3_2*TblTech[[#This Row],[6-3]] + tech_5_2_3*TblTech[[#This Row],[5-2]], 1-global_constr_cap) * TblConstr[[#This Row],[RCPA Lumber]],0)</f>
        <v>99</v>
      </c>
      <c r="AO5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536</v>
      </c>
      <c r="AP53" s="69" t="n">
        <f aca="false">ROUNDDOWN( MAX(1 - MIN(facs_constr_factor*TblConstr[[#This Row],[Facs DB]],facs_constr_max) + tech_1_11*TblTech[[#This Row],[1-11]] + tech_6_3_2*TblTech[[#This Row],[6-3]] + tech_5_2_3*TblTech[[#This Row],[5-2]], 1-global_constr_cap) * ROUND((TblConstr[[#This Row],[Land]]-250)*0.285 + 87.5 + 0/4.25,0),0)</f>
        <v>99</v>
      </c>
      <c r="AQ53" s="1" t="n">
        <f aca="false">TblConstr[[#This Row],[build -db]]*TblConstr[[#This Row],[CPA Platinum -DB]] + TblConstr[[#This Row],[build db]]*TblConstr[[#This Row],[CPA Platinum DB]]</f>
        <v>6968</v>
      </c>
      <c r="AR53" s="1" t="n">
        <f aca="false">TblConstr[[#This Row],[build -db]]*TblConstr[[#This Row],[CPA Lumber -DB]]+TblConstr[[#This Row],[build db]]*TblConstr[[#This Row],[CPA Lumber DB]]</f>
        <v>1287</v>
      </c>
      <c r="AS53" s="69" t="n">
        <f aca="false">MIN(SUM(OFFSET(TblConstr[[#This Row],[Plain]:[Water]],-1,0))+SUM(TblConstr[[#This Row],[Dest Hom]:[Dest Doc]])+IF(TblConstr[[#This Row],[Hour]]&gt;12,SUM(OFFSET(TblExplore[[#This Row],[Plains Explore]:[Water Explore]],-12,0)),0),SUM(TblConstr[[#This Row],[Hom]:[Doc]]))</f>
        <v>13</v>
      </c>
      <c r="AT5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32"/>
      <c r="AV53" s="69" t="n">
        <f aca="false">ROUND((TblConstr[[#This Row],[Land]]-250 - IF(TblExplore[[#This Row],[Land Bonus]]&lt;&gt;0,20,0))*1.25 + 850 + 0,0)</f>
        <v>1340</v>
      </c>
      <c r="AW53" s="69" t="n">
        <f aca="false">ROUND((TblConstr[[#This Row],[Land]]-250 - IF(TblExplore[[#This Row],[Land Bonus]]&lt;&gt;0,20,0))*0.285 + 87.5 + 0/4.25,0)</f>
        <v>199</v>
      </c>
      <c r="AX53" s="146"/>
      <c r="AY53" s="203" t="n">
        <f aca="false" t="array" ref="AY53:AY53">IF(TblConstr[[#This Row],[Hour]:[Hour]]&gt;12,OFFSET(TblConstr[[#This Row],[Hom]],-12,0),0)+OFFSET(TblConstr[[#This Row],[Tot Hom]],-1,0)-TblConstr[[#This Row],[Dest Hom]]</f>
        <v>0</v>
      </c>
      <c r="AZ53" s="204" t="n">
        <f aca="false" t="array" ref="AZ53:AZ53">IF(TblConstr[[#This Row],[Hour]:[Hour]]&gt;12,OFFSET(TblConstr[[#This Row],[Alc]],-12,0),0)+OFFSET(TblConstr[[#This Row],[Tot Alc]],-1,0)-TblConstr[[#This Row],[Dest Alc]]</f>
        <v>226</v>
      </c>
      <c r="BA53" s="204" t="n">
        <f aca="false" t="array" ref="BA53:BA53">IF(TblConstr[[#This Row],[Hour]:[Hour]]&gt;12,OFFSET(TblConstr[[#This Row],[Far]],-12,0),0)+OFFSET(TblConstr[[#This Row],[Tot Farm]],-1,0)-TblConstr[[#This Row],[Dest Farm]]</f>
        <v>19</v>
      </c>
      <c r="BB53" s="204" t="n">
        <f aca="false" t="array" ref="BB53:BB53">IF(TblConstr[[#This Row],[Hour]:[Hour]]&gt;12,OFFSET(TblConstr[[#This Row],[Smi]],-12,0),0)+OFFSET(TblConstr[[#This Row],[Tot Smi]],-1,0)-TblConstr[[#This Row],[Dest Smi]]</f>
        <v>0</v>
      </c>
      <c r="BC53" s="204" t="n">
        <f aca="false" t="array" ref="BC53:BC53">IF(TblConstr[[#This Row],[Hour]:[Hour]]&gt;12,OFFSET(TblConstr[[#This Row],[Mas]],-12,0),0)+OFFSET(TblConstr[[#This Row],[Tot Mas]],-1,0)-TblConstr[[#This Row],[Dest Mas]]</f>
        <v>0</v>
      </c>
      <c r="BD53" s="205" t="n">
        <f aca="false" t="array" ref="BD53:BD53">IF(TblConstr[[#This Row],[Hour]:[Hour]]&gt;12,OFFSET(TblConstr[[#This Row],[Ly]],-12,0),0)+OFFSET(TblConstr[[#This Row],[Tot Ly]],-1,0)-TblConstr[[#This Row],[Dest Ly]]</f>
        <v>25</v>
      </c>
      <c r="BE53" s="205" t="n">
        <f aca="false" t="array" ref="BE53:BE53">IF(TblConstr[[#This Row],[Hour]:[Hour]]&gt;12,OFFSET(TblConstr[[#This Row],[Hav]],-12,0),0)+OFFSET(TblConstr[[#This Row],[Tot Hav]],-1,0)-TblConstr[[#This Row],[Dest Hav]]</f>
        <v>0</v>
      </c>
      <c r="BF53" s="194" t="n">
        <f aca="false" t="array" ref="BF53:BF53">IF(TblConstr[[#This Row],[Hour]:[Hour]]&gt;12,OFFSET(TblConstr[[#This Row],[OM]],-12,0),0)+OFFSET(TblConstr[[#This Row],[Tot OM]],-1,0)-TblConstr[[#This Row],[Dest OM]]</f>
        <v>0</v>
      </c>
      <c r="BG53" s="194" t="n">
        <f aca="false" t="array" ref="BG53:BG53">IF(TblConstr[[#This Row],[Hour]:[Hour]]&gt;12,OFFSET(TblConstr[[#This Row],[GN]],-12,0),0)+OFFSET(TblConstr[[#This Row],[Tot GN]],-1,0)-TblConstr[[#This Row],[Dest GN]]</f>
        <v>0</v>
      </c>
      <c r="BH53" s="206" t="n">
        <f aca="false" t="array" ref="BH53:BH53">IF(TblConstr[[#This Row],[Hour]:[Hour]]&gt;12,OFFSET(TblConstr[[#This Row],[Fac]],-12,0),0)+OFFSET(TblConstr[[#This Row],[Tot Fac]],-1,0)-TblConstr[[#This Row],[Dest Fac]]</f>
        <v>67</v>
      </c>
      <c r="BI53" s="206" t="n">
        <f aca="false" t="array" ref="BI53:BI53">IF(TblConstr[[#This Row],[Hour]:[Hour]]&gt;12,OFFSET(TblConstr[[#This Row],[GT]],-12,0),0)+OFFSET(TblConstr[[#This Row],[Tot GT]],-1,0)-TblConstr[[#This Row],[Dest GT]]</f>
        <v>0</v>
      </c>
      <c r="BJ53" s="206" t="n">
        <f aca="false" t="array" ref="BJ53:BJ53">IF(TblConstr[[#This Row],[Hour]:[Hour]]&gt;12,OFFSET(TblConstr[[#This Row],[Bar]],-12,0),0)+OFFSET(TblConstr[[#This Row],[Tot Bar]],-1,0)-TblConstr[[#This Row],[Dest Bar]]</f>
        <v>0</v>
      </c>
      <c r="BK53" s="206" t="n">
        <f aca="false" t="array" ref="BK53:BK53">IF(TblConstr[[#This Row],[Hour]:[Hour]]&gt;12,OFFSET(TblConstr[[#This Row],[Shr]],-12,0),0)+OFFSET(TblConstr[[#This Row],[Tot Shr]],-1,0)-TblConstr[[#This Row],[Dest Shr]]</f>
        <v>0</v>
      </c>
      <c r="BL53" s="207" t="n">
        <f aca="false" t="array" ref="BL53:BL53">IF(TblConstr[[#This Row],[Hour]:[Hour]]&gt;12,OFFSET(TblConstr[[#This Row],[Tow]],-12,0),0)+OFFSET(TblConstr[[#This Row],[Tot Tow]],-1,0)-TblConstr[[#This Row],[Dest Tow]]</f>
        <v>25</v>
      </c>
      <c r="BM53" s="207" t="n">
        <f aca="false" t="array" ref="BM53:BM53">IF(TblConstr[[#This Row],[Hour]:[Hour]]&gt;12,OFFSET(TblConstr[[#This Row],[Tem]],-12,0),0)+OFFSET(TblConstr[[#This Row],[Tot Tem]],-1,0)-TblConstr[[#This Row],[Dest Tem]]</f>
        <v>47</v>
      </c>
      <c r="BN53" s="207" t="n">
        <f aca="false" t="array" ref="BN53:BN53">IF(TblConstr[[#This Row],[Hour]:[Hour]]&gt;12,OFFSET(TblConstr[[#This Row],[WG]],-12,0),0)+OFFSET(TblConstr[[#This Row],[Tot WG]],-1,0)-TblConstr[[#This Row],[Dest WG]]</f>
        <v>0</v>
      </c>
      <c r="BO53" s="208" t="n">
        <f aca="false" t="array" ref="BO53:BO53">IF(TblConstr[[#This Row],[Hour]:[Hour]]&gt;12,OFFSET(TblConstr[[#This Row],[DM]],-12,0),0)+OFFSET(TblConstr[[#This Row],[Tot DM]],-1,0)-TblConstr[[#This Row],[Dest DM]]</f>
        <v>0</v>
      </c>
      <c r="BP53" s="208" t="n">
        <f aca="false" t="array" ref="BP53:BP53">IF(TblConstr[[#This Row],[Hour]:[Hour]]&gt;12,OFFSET(TblConstr[[#This Row],[Sch]],-12,0),0)+OFFSET(TblConstr[[#This Row],[Tot Sch]],-1,0)-TblConstr[[#This Row],[Dest Sch]]</f>
        <v>0</v>
      </c>
      <c r="BQ53" s="209" t="n">
        <f aca="false" t="array" ref="BQ53:BQ53">IF(TblConstr[[#This Row],[Hour]:[Hour]]&gt;12,OFFSET(TblConstr[[#This Row],[Doc]],-12,0),0)+OFFSET(TblConstr[[#This Row],[Tot Doc]],-1,0)-TblConstr[[#This Row],[Dest Doc]]</f>
        <v>10</v>
      </c>
      <c r="BR53" s="132"/>
      <c r="BS53" s="146"/>
      <c r="BT53" s="69" t="n">
        <f aca="false">TblConstr[[#This Row],[Land]]</f>
        <v>642</v>
      </c>
      <c r="BU53" s="153" t="n">
        <f aca="false">TblImps[[#This Row],[Time]]</f>
        <v>45431.7916666667</v>
      </c>
      <c r="BV53" s="132"/>
      <c r="BW53" s="182"/>
      <c r="BX53" s="182"/>
      <c r="BY53" s="182"/>
      <c r="BZ53" s="182"/>
      <c r="CA53" s="182"/>
      <c r="CB53" s="182"/>
      <c r="CC53" s="182"/>
      <c r="CD53" s="182"/>
      <c r="CE53" s="182"/>
      <c r="CF53" s="182"/>
      <c r="CG53" s="182"/>
      <c r="CH53" s="182"/>
      <c r="CI53" s="182"/>
      <c r="CJ53" s="182"/>
      <c r="CK53" s="182"/>
      <c r="CL53" s="182"/>
      <c r="CM53" s="182"/>
      <c r="CN53" s="182"/>
      <c r="CO53" s="182"/>
      <c r="CP53" s="132"/>
      <c r="CQ53" s="192" t="n">
        <f aca="false">-SUM(TblConstr[[#This Row],[Alc]:[Mas]])+SUM(TblConstr[[#This Row],[Dest Alc]:[Dest Mas]])+Rezone!L53+IF("Ch_"&amp; home_land=TblConstr[[#Headers],[Ch_Plain]],TblConstr[[#This Row],[Home Land]])+IF(TblConstr[[#This Row],[Hour]:[Hour]]&gt;12,OFFSET(TblExplore[[#This Row],[Plains Explore]],-12,0),0)</f>
        <v>0</v>
      </c>
      <c r="CR53" s="193" t="n">
        <f aca="false">-SUM(TblConstr[[#This Row],[Ly]:[Hav]])+SUM(TblConstr[[#This Row],[Dest Ly]:[Dest Hav]]) +Rezone!M53 + IF("Ch_"&amp; home_land=TblConstr[[#Headers],[Ch_Forest]],TblConstr[[#This Row],[Home Land]])+IF(TblConstr[[#This Row],[Hour]:[Hour]]&gt;12,OFFSET(TblExplore[[#This Row],[Forest Explore]],-12,0),0)</f>
        <v>0</v>
      </c>
      <c r="CS53" s="200" t="n">
        <f aca="false">-SUM(TblConstr[[#This Row],[OM]:[GN]])+SUM(TblConstr[[#This Row],[Dest OM]:[Dest GN]]) +Rezone!N53 + IF("Ch_"&amp; home_land=TblConstr[[#Headers],[Ch_Mountain]],TblConstr[[#This Row],[Home Land]])+IF(TblConstr[[#This Row],[Hour]:[Hour]]&gt;12,OFFSET(TblExplore[[#This Row],[Mountain Explore]],-12,0),0)</f>
        <v>0</v>
      </c>
      <c r="CT53" s="195" t="n">
        <f aca="false">-SUM(TblConstr[[#This Row],[Fac]:[Shr]])+SUM(TblConstr[[#This Row],[Dest Fac]:[Dest Shr]]) +Rezone!O53 + IF("Ch_" &amp; home_land=TblConstr[[#Headers],[Ch_Hill]],TblConstr[[#This Row],[Home Land]])+IF(TblConstr[[#This Row],[Hour]:[Hour]]&gt;12,OFFSET(TblExplore[[#This Row],[Hill Explore]],-12,0),0)</f>
        <v>0</v>
      </c>
      <c r="CU53" s="196" t="n">
        <f aca="false">-SUM(TblConstr[[#This Row],[Tow]:[WG]])+SUM(TblConstr[[#This Row],[Dest Tow]:[Dest WG]]) +Rezone!P53 + IF("Ch_" &amp; home_land=TblConstr[[#Headers],[Ch_Swamp]],TblConstr[[#This Row],[Home Land]])+IF(TblConstr[[#This Row],[Hour]:[Hour]]&gt;12,OFFSET(TblExplore[[#This Row],[Swamp Explore]],-12,0),0)</f>
        <v>0</v>
      </c>
      <c r="CV53" s="197" t="n">
        <f aca="false">- SUM(TblConstr[[#This Row],[DM]:[Sch]])+SUM(TblConstr[[#This Row],[Dest DM]:[Dest Sch]]) +Rezone!Q53 + IF("Ch_" &amp; home_land=TblConstr[[#Headers],[Ch_Cavern]],TblConstr[[#This Row],[Home Land]])+IF(TblConstr[[#This Row],[Hour]:[Hour]]&gt;12,OFFSET(TblExplore[[#This Row],[Cavern Explore]],-12,0),0)</f>
        <v>0</v>
      </c>
      <c r="CW53" s="198" t="n">
        <f aca="false">-TblConstr[[#This Row],[Doc]]+TblConstr[[#This Row],[Dest Doc]] +Rezone!R53 + IF("Ch_" &amp; home_land=TblConstr[[#Headers],[Ch_Water]],TblConstr[[#This Row],[Home Land]])+IF(TblConstr[[#This Row],[Hour]:[Hour]]&gt;12,OFFSET(TblExplore[[#This Row],[Water Explore]],-12,0),0)</f>
        <v>0</v>
      </c>
      <c r="CX53" s="1" t="n">
        <f aca="false">IF(Explore!S53=1,20) - TblConstr[[#This Row],[Hom]] + TblConstr[[#This Row],[Dest Hom]]</f>
        <v>0</v>
      </c>
      <c r="CY53" s="132"/>
      <c r="CZ53" s="69" t="n">
        <f aca="false">G53+SUM(P42:S53)+SUM(AZ53:BC53)</f>
        <v>422</v>
      </c>
      <c r="DA53" s="69" t="n">
        <f aca="false">H53+SUM(T42:U53)+SUM(BD53:BE53)</f>
        <v>25</v>
      </c>
      <c r="DB53" s="1" t="n">
        <f aca="false">I53+SUM(V42:W53)+SUM(BF53:BG53)</f>
        <v>0</v>
      </c>
      <c r="DC53" s="69" t="n">
        <f aca="false">J53+SUM(X42:Y53)+SUM(BH53:BI53)</f>
        <v>67</v>
      </c>
      <c r="DD53" s="69" t="n">
        <f aca="false">K53+SUM(AB42:AD53)+SUM(BL53:BN53)</f>
        <v>72</v>
      </c>
      <c r="DE53" s="1" t="n">
        <f aca="false">L53+SUM(AE42:AE53)+BO53</f>
        <v>0</v>
      </c>
      <c r="DF53" s="69" t="n">
        <f aca="false">M53+SUM(AG42:AG53)+BQ53</f>
        <v>16</v>
      </c>
      <c r="DG53" s="69" t="e">
        <f aca="false" t="array" ref="DG53:DG53">INDEX(TblConstr[[Total Plain]:[Total Water]],ROW()-ROW(TblConstr[#headers]),MATCH("Total "&amp;home_land,TblConstr[[#Headers],[Total Plain]:[Total Water]],0))+TblConstr[[#This Row],[Homes]]</f>
        <v>#VALUE!</v>
      </c>
      <c r="DH53" s="1" t="n">
        <f aca="false">SUM(O42:O53)+AY53</f>
        <v>40</v>
      </c>
      <c r="DI53" s="1" t="n">
        <f aca="false">MAX(BA53-BA52,0)</f>
        <v>0</v>
      </c>
      <c r="DJ53" s="1" t="n">
        <f aca="false">MAX(BQ53-BQ52,0)</f>
        <v>0</v>
      </c>
    </row>
    <row r="54" customFormat="false" ht="12.75" hidden="false" customHeight="false" outlineLevel="0" collapsed="false">
      <c r="A54" s="170" t="n">
        <f aca="false">TblRezone[[#This Row],[Hour]]</f>
        <v>51</v>
      </c>
      <c r="B54" s="171" t="n">
        <f aca="false">SUM(TblConstr[[#This Row],[Plain]:[Water]])</f>
        <v>0</v>
      </c>
      <c r="C54" s="172" t="n">
        <f aca="false">SUM(TblConstr[[#This Row],[Tot Hom]:[Tot Doc]])</f>
        <v>419</v>
      </c>
      <c r="D54" s="172" t="n">
        <f aca="false">SUM(O43:AG54)</f>
        <v>237</v>
      </c>
      <c r="E54" s="173"/>
      <c r="F54" s="33" t="n">
        <f aca="false">TblConstr[[#This Row],[Barren]]+TblConstr[[#This Row],[Buildings]]+TblConstr[[#This Row],[Incoming]]</f>
        <v>656</v>
      </c>
      <c r="G54" s="199" t="n">
        <f aca="false">OFFSET(TblConstr[[#This Row],[Plain]],-1,0)+TblConstr[[#This Row],[Ch_Plain]]</f>
        <v>0</v>
      </c>
      <c r="H54" s="193" t="n">
        <f aca="false">OFFSET(TblConstr[[#This Row],[Forest]],-1,0)+TblConstr[[#This Row],[Ch_Forest]]</f>
        <v>0</v>
      </c>
      <c r="I54" s="200" t="n">
        <f aca="false">OFFSET(TblConstr[[#This Row],[Mountain]],-1,0)+TblConstr[[#This Row],[Ch_Mountain]]</f>
        <v>0</v>
      </c>
      <c r="J54" s="201" t="n">
        <f aca="false">OFFSET(TblConstr[[#This Row],[Hill]],-1,0)+TblConstr[[#This Row],[Ch_Hill]]</f>
        <v>0</v>
      </c>
      <c r="K54" s="202" t="n">
        <f aca="false">OFFSET(TblConstr[[#This Row],[Swamp]],-1,0)+TblConstr[[#This Row],[Ch_Swamp]]</f>
        <v>0</v>
      </c>
      <c r="L54" s="197" t="n">
        <f aca="false">OFFSET(TblConstr[[#This Row],[Cavern]],-1,0)+TblConstr[[#This Row],[Ch_Cavern]]</f>
        <v>0</v>
      </c>
      <c r="M54" s="198" t="n">
        <f aca="false">OFFSET(TblConstr[[#This Row],[Water]],-1,0)+TblConstr[[#This Row],[Ch_Water]]</f>
        <v>0</v>
      </c>
      <c r="N54" s="181" t="n">
        <f aca="false">TblRezone[[#This Row],[Hour]]</f>
        <v>51</v>
      </c>
      <c r="O54" s="182"/>
      <c r="P54" s="182"/>
      <c r="Q54" s="182" t="n">
        <v>6</v>
      </c>
      <c r="R54" s="182"/>
      <c r="S54" s="182"/>
      <c r="T54" s="182"/>
      <c r="U54" s="182"/>
      <c r="V54" s="182"/>
      <c r="W54" s="182"/>
      <c r="X54" s="182"/>
      <c r="Y54" s="182"/>
      <c r="Z54" s="182"/>
      <c r="AA54" s="182"/>
      <c r="AB54" s="182"/>
      <c r="AC54" s="182"/>
      <c r="AD54" s="182"/>
      <c r="AE54" s="182"/>
      <c r="AF54" s="182"/>
      <c r="AG54" s="182" t="n">
        <v>8</v>
      </c>
      <c r="AH54" s="20" t="n">
        <f aca="false">TblImps[[#This Row],[Time]]</f>
        <v>45431.8333333333</v>
      </c>
      <c r="AI54" s="130" t="n">
        <f aca="false">MIN(25%,(TblConstr[[#This Row],[Tot Fac]]+TblConstr[[#This Row],[Dest Fac]])/(TblConstr[[#This Row],[Land]]-TblExplore[[#This Row],[Land Bonus]]*20))</f>
        <v>0.102134146341463</v>
      </c>
      <c r="AJ54" s="130" t="n">
        <f aca="false">MIN(25%,(TblConstr[[#This Row],[Tot Fac]]+TblConstr[[#This Row],[Dest Fac]])/TblConstr[[#This Row],[Land]])</f>
        <v>0.102134146341463</v>
      </c>
      <c r="AK54" s="69" t="n">
        <f aca="false">TblProd[[#This Row],[Platinum]]</f>
        <v>356298</v>
      </c>
      <c r="AL54" s="69" t="n">
        <f aca="false">TblProd[[#This Row],[Lumber]]</f>
        <v>4495</v>
      </c>
      <c r="AM5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543</v>
      </c>
      <c r="AN54" s="69" t="n">
        <f aca="false">ROUNDDOWN( MAX(1 - MIN(facs_constr_factor*TblConstr[[#This Row],[Facs -DB]],facs_constr_max) + tech_1_11*TblTech[[#This Row],[11-1]] + tech_6_3_2*TblTech[[#This Row],[6-3]] + tech_5_2_3*TblTech[[#This Row],[5-2]], 1-global_constr_cap) * TblConstr[[#This Row],[RCPA Lumber]],0)</f>
        <v>101</v>
      </c>
      <c r="AO5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543</v>
      </c>
      <c r="AP54" s="69" t="n">
        <f aca="false">ROUNDDOWN( MAX(1 - MIN(facs_constr_factor*TblConstr[[#This Row],[Facs DB]],facs_constr_max) + tech_1_11*TblTech[[#This Row],[1-11]] + tech_6_3_2*TblTech[[#This Row],[6-3]] + tech_5_2_3*TblTech[[#This Row],[5-2]], 1-global_constr_cap) * ROUND((TblConstr[[#This Row],[Land]]-250)*0.285 + 87.5 + 0/4.25,0),0)</f>
        <v>101</v>
      </c>
      <c r="AQ54" s="1" t="n">
        <f aca="false">TblConstr[[#This Row],[build -db]]*TblConstr[[#This Row],[CPA Platinum -DB]] + TblConstr[[#This Row],[build db]]*TblConstr[[#This Row],[CPA Platinum DB]]</f>
        <v>7602</v>
      </c>
      <c r="AR54" s="1" t="n">
        <f aca="false">TblConstr[[#This Row],[build -db]]*TblConstr[[#This Row],[CPA Lumber -DB]]+TblConstr[[#This Row],[build db]]*TblConstr[[#This Row],[CPA Lumber DB]]</f>
        <v>1414</v>
      </c>
      <c r="AS54" s="69" t="n">
        <f aca="false">MIN(SUM(OFFSET(TblConstr[[#This Row],[Plain]:[Water]],-1,0))+SUM(TblConstr[[#This Row],[Dest Hom]:[Dest Doc]])+IF(TblConstr[[#This Row],[Hour]]&gt;12,SUM(OFFSET(TblExplore[[#This Row],[Plains Explore]:[Water Explore]],-12,0)),0),SUM(TblConstr[[#This Row],[Hom]:[Doc]]))</f>
        <v>14</v>
      </c>
      <c r="AT5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32"/>
      <c r="AV54" s="69" t="n">
        <f aca="false">ROUND((TblConstr[[#This Row],[Land]]-250 - IF(TblExplore[[#This Row],[Land Bonus]]&lt;&gt;0,20,0))*1.25 + 850 + 0,0)</f>
        <v>1358</v>
      </c>
      <c r="AW54" s="69" t="n">
        <f aca="false">ROUND((TblConstr[[#This Row],[Land]]-250 - IF(TblExplore[[#This Row],[Land Bonus]]&lt;&gt;0,20,0))*0.285 + 87.5 + 0/4.25,0)</f>
        <v>203</v>
      </c>
      <c r="AX54" s="146"/>
      <c r="AY54" s="203" t="n">
        <f aca="false" t="array" ref="AY54:AY54">IF(TblConstr[[#This Row],[Hour]:[Hour]]&gt;12,OFFSET(TblConstr[[#This Row],[Hom]],-12,0),0)+OFFSET(TblConstr[[#This Row],[Tot Hom]],-1,0)-TblConstr[[#This Row],[Dest Hom]]</f>
        <v>0</v>
      </c>
      <c r="AZ54" s="204" t="n">
        <f aca="false" t="array" ref="AZ54:AZ54">IF(TblConstr[[#This Row],[Hour]:[Hour]]&gt;12,OFFSET(TblConstr[[#This Row],[Alc]],-12,0),0)+OFFSET(TblConstr[[#This Row],[Tot Alc]],-1,0)-TblConstr[[#This Row],[Dest Alc]]</f>
        <v>226</v>
      </c>
      <c r="BA54" s="204" t="n">
        <f aca="false" t="array" ref="BA54:BA54">IF(TblConstr[[#This Row],[Hour]:[Hour]]&gt;12,OFFSET(TblConstr[[#This Row],[Far]],-12,0),0)+OFFSET(TblConstr[[#This Row],[Tot Farm]],-1,0)-TblConstr[[#This Row],[Dest Farm]]</f>
        <v>19</v>
      </c>
      <c r="BB54" s="204" t="n">
        <f aca="false" t="array" ref="BB54:BB54">IF(TblConstr[[#This Row],[Hour]:[Hour]]&gt;12,OFFSET(TblConstr[[#This Row],[Smi]],-12,0),0)+OFFSET(TblConstr[[#This Row],[Tot Smi]],-1,0)-TblConstr[[#This Row],[Dest Smi]]</f>
        <v>0</v>
      </c>
      <c r="BC54" s="204" t="n">
        <f aca="false" t="array" ref="BC54:BC54">IF(TblConstr[[#This Row],[Hour]:[Hour]]&gt;12,OFFSET(TblConstr[[#This Row],[Mas]],-12,0),0)+OFFSET(TblConstr[[#This Row],[Tot Mas]],-1,0)-TblConstr[[#This Row],[Dest Mas]]</f>
        <v>0</v>
      </c>
      <c r="BD54" s="205" t="n">
        <f aca="false" t="array" ref="BD54:BD54">IF(TblConstr[[#This Row],[Hour]:[Hour]]&gt;12,OFFSET(TblConstr[[#This Row],[Ly]],-12,0),0)+OFFSET(TblConstr[[#This Row],[Tot Ly]],-1,0)-TblConstr[[#This Row],[Dest Ly]]</f>
        <v>25</v>
      </c>
      <c r="BE54" s="205" t="n">
        <f aca="false" t="array" ref="BE54:BE54">IF(TblConstr[[#This Row],[Hour]:[Hour]]&gt;12,OFFSET(TblConstr[[#This Row],[Hav]],-12,0),0)+OFFSET(TblConstr[[#This Row],[Tot Hav]],-1,0)-TblConstr[[#This Row],[Dest Hav]]</f>
        <v>0</v>
      </c>
      <c r="BF54" s="194" t="n">
        <f aca="false" t="array" ref="BF54:BF54">IF(TblConstr[[#This Row],[Hour]:[Hour]]&gt;12,OFFSET(TblConstr[[#This Row],[OM]],-12,0),0)+OFFSET(TblConstr[[#This Row],[Tot OM]],-1,0)-TblConstr[[#This Row],[Dest OM]]</f>
        <v>0</v>
      </c>
      <c r="BG54" s="194" t="n">
        <f aca="false" t="array" ref="BG54:BG54">IF(TblConstr[[#This Row],[Hour]:[Hour]]&gt;12,OFFSET(TblConstr[[#This Row],[GN]],-12,0),0)+OFFSET(TblConstr[[#This Row],[Tot GN]],-1,0)-TblConstr[[#This Row],[Dest GN]]</f>
        <v>0</v>
      </c>
      <c r="BH54" s="206" t="n">
        <f aca="false" t="array" ref="BH54:BH54">IF(TblConstr[[#This Row],[Hour]:[Hour]]&gt;12,OFFSET(TblConstr[[#This Row],[Fac]],-12,0),0)+OFFSET(TblConstr[[#This Row],[Tot Fac]],-1,0)-TblConstr[[#This Row],[Dest Fac]]</f>
        <v>67</v>
      </c>
      <c r="BI54" s="206" t="n">
        <f aca="false" t="array" ref="BI54:BI54">IF(TblConstr[[#This Row],[Hour]:[Hour]]&gt;12,OFFSET(TblConstr[[#This Row],[GT]],-12,0),0)+OFFSET(TblConstr[[#This Row],[Tot GT]],-1,0)-TblConstr[[#This Row],[Dest GT]]</f>
        <v>0</v>
      </c>
      <c r="BJ54" s="206" t="n">
        <f aca="false" t="array" ref="BJ54:BJ54">IF(TblConstr[[#This Row],[Hour]:[Hour]]&gt;12,OFFSET(TblConstr[[#This Row],[Bar]],-12,0),0)+OFFSET(TblConstr[[#This Row],[Tot Bar]],-1,0)-TblConstr[[#This Row],[Dest Bar]]</f>
        <v>0</v>
      </c>
      <c r="BK54" s="206" t="n">
        <f aca="false" t="array" ref="BK54:BK54">IF(TblConstr[[#This Row],[Hour]:[Hour]]&gt;12,OFFSET(TblConstr[[#This Row],[Shr]],-12,0),0)+OFFSET(TblConstr[[#This Row],[Tot Shr]],-1,0)-TblConstr[[#This Row],[Dest Shr]]</f>
        <v>0</v>
      </c>
      <c r="BL54" s="207" t="n">
        <f aca="false" t="array" ref="BL54:BL54">IF(TblConstr[[#This Row],[Hour]:[Hour]]&gt;12,OFFSET(TblConstr[[#This Row],[Tow]],-12,0),0)+OFFSET(TblConstr[[#This Row],[Tot Tow]],-1,0)-TblConstr[[#This Row],[Dest Tow]]</f>
        <v>25</v>
      </c>
      <c r="BM54" s="207" t="n">
        <f aca="false" t="array" ref="BM54:BM54">IF(TblConstr[[#This Row],[Hour]:[Hour]]&gt;12,OFFSET(TblConstr[[#This Row],[Tem]],-12,0),0)+OFFSET(TblConstr[[#This Row],[Tot Tem]],-1,0)-TblConstr[[#This Row],[Dest Tem]]</f>
        <v>47</v>
      </c>
      <c r="BN54" s="207" t="n">
        <f aca="false" t="array" ref="BN54:BN54">IF(TblConstr[[#This Row],[Hour]:[Hour]]&gt;12,OFFSET(TblConstr[[#This Row],[WG]],-12,0),0)+OFFSET(TblConstr[[#This Row],[Tot WG]],-1,0)-TblConstr[[#This Row],[Dest WG]]</f>
        <v>0</v>
      </c>
      <c r="BO54" s="208" t="n">
        <f aca="false" t="array" ref="BO54:BO54">IF(TblConstr[[#This Row],[Hour]:[Hour]]&gt;12,OFFSET(TblConstr[[#This Row],[DM]],-12,0),0)+OFFSET(TblConstr[[#This Row],[Tot DM]],-1,0)-TblConstr[[#This Row],[Dest DM]]</f>
        <v>0</v>
      </c>
      <c r="BP54" s="208" t="n">
        <f aca="false" t="array" ref="BP54:BP54">IF(TblConstr[[#This Row],[Hour]:[Hour]]&gt;12,OFFSET(TblConstr[[#This Row],[Sch]],-12,0),0)+OFFSET(TblConstr[[#This Row],[Tot Sch]],-1,0)-TblConstr[[#This Row],[Dest Sch]]</f>
        <v>0</v>
      </c>
      <c r="BQ54" s="209" t="n">
        <f aca="false" t="array" ref="BQ54:BQ54">IF(TblConstr[[#This Row],[Hour]:[Hour]]&gt;12,OFFSET(TblConstr[[#This Row],[Doc]],-12,0),0)+OFFSET(TblConstr[[#This Row],[Tot Doc]],-1,0)-TblConstr[[#This Row],[Dest Doc]]</f>
        <v>10</v>
      </c>
      <c r="BR54" s="132"/>
      <c r="BS54" s="146"/>
      <c r="BT54" s="69" t="n">
        <f aca="false">TblConstr[[#This Row],[Land]]</f>
        <v>656</v>
      </c>
      <c r="BU54" s="153" t="n">
        <f aca="false">TblImps[[#This Row],[Time]]</f>
        <v>45431.8333333333</v>
      </c>
      <c r="BV54" s="132"/>
      <c r="BW54" s="182"/>
      <c r="BX54" s="182"/>
      <c r="BY54" s="182"/>
      <c r="BZ54" s="182"/>
      <c r="CA54" s="182"/>
      <c r="CB54" s="182"/>
      <c r="CC54" s="182"/>
      <c r="CD54" s="182"/>
      <c r="CE54" s="182"/>
      <c r="CF54" s="182"/>
      <c r="CG54" s="182"/>
      <c r="CH54" s="182"/>
      <c r="CI54" s="182"/>
      <c r="CJ54" s="182"/>
      <c r="CK54" s="182"/>
      <c r="CL54" s="182"/>
      <c r="CM54" s="182"/>
      <c r="CN54" s="182"/>
      <c r="CO54" s="182"/>
      <c r="CP54" s="132"/>
      <c r="CQ54" s="192" t="n">
        <f aca="false">-SUM(TblConstr[[#This Row],[Alc]:[Mas]])+SUM(TblConstr[[#This Row],[Dest Alc]:[Dest Mas]])+Rezone!L54+IF("Ch_"&amp; home_land=TblConstr[[#Headers],[Ch_Plain]],TblConstr[[#This Row],[Home Land]])+IF(TblConstr[[#This Row],[Hour]:[Hour]]&gt;12,OFFSET(TblExplore[[#This Row],[Plains Explore]],-12,0),0)</f>
        <v>0</v>
      </c>
      <c r="CR54" s="193" t="n">
        <f aca="false">-SUM(TblConstr[[#This Row],[Ly]:[Hav]])+SUM(TblConstr[[#This Row],[Dest Ly]:[Dest Hav]]) +Rezone!M54 + IF("Ch_"&amp; home_land=TblConstr[[#Headers],[Ch_Forest]],TblConstr[[#This Row],[Home Land]])+IF(TblConstr[[#This Row],[Hour]:[Hour]]&gt;12,OFFSET(TblExplore[[#This Row],[Forest Explore]],-12,0),0)</f>
        <v>0</v>
      </c>
      <c r="CS54" s="200" t="n">
        <f aca="false">-SUM(TblConstr[[#This Row],[OM]:[GN]])+SUM(TblConstr[[#This Row],[Dest OM]:[Dest GN]]) +Rezone!N54 + IF("Ch_"&amp; home_land=TblConstr[[#Headers],[Ch_Mountain]],TblConstr[[#This Row],[Home Land]])+IF(TblConstr[[#This Row],[Hour]:[Hour]]&gt;12,OFFSET(TblExplore[[#This Row],[Mountain Explore]],-12,0),0)</f>
        <v>0</v>
      </c>
      <c r="CT54" s="195" t="n">
        <f aca="false">-SUM(TblConstr[[#This Row],[Fac]:[Shr]])+SUM(TblConstr[[#This Row],[Dest Fac]:[Dest Shr]]) +Rezone!O54 + IF("Ch_" &amp; home_land=TblConstr[[#Headers],[Ch_Hill]],TblConstr[[#This Row],[Home Land]])+IF(TblConstr[[#This Row],[Hour]:[Hour]]&gt;12,OFFSET(TblExplore[[#This Row],[Hill Explore]],-12,0),0)</f>
        <v>0</v>
      </c>
      <c r="CU54" s="196" t="n">
        <f aca="false">-SUM(TblConstr[[#This Row],[Tow]:[WG]])+SUM(TblConstr[[#This Row],[Dest Tow]:[Dest WG]]) +Rezone!P54 + IF("Ch_" &amp; home_land=TblConstr[[#Headers],[Ch_Swamp]],TblConstr[[#This Row],[Home Land]])+IF(TblConstr[[#This Row],[Hour]:[Hour]]&gt;12,OFFSET(TblExplore[[#This Row],[Swamp Explore]],-12,0),0)</f>
        <v>0</v>
      </c>
      <c r="CV54" s="197" t="n">
        <f aca="false">- SUM(TblConstr[[#This Row],[DM]:[Sch]])+SUM(TblConstr[[#This Row],[Dest DM]:[Dest Sch]]) +Rezone!Q54 + IF("Ch_" &amp; home_land=TblConstr[[#Headers],[Ch_Cavern]],TblConstr[[#This Row],[Home Land]])+IF(TblConstr[[#This Row],[Hour]:[Hour]]&gt;12,OFFSET(TblExplore[[#This Row],[Cavern Explore]],-12,0),0)</f>
        <v>0</v>
      </c>
      <c r="CW54" s="198" t="n">
        <f aca="false">-TblConstr[[#This Row],[Doc]]+TblConstr[[#This Row],[Dest Doc]] +Rezone!R54 + IF("Ch_" &amp; home_land=TblConstr[[#Headers],[Ch_Water]],TblConstr[[#This Row],[Home Land]])+IF(TblConstr[[#This Row],[Hour]:[Hour]]&gt;12,OFFSET(TblExplore[[#This Row],[Water Explore]],-12,0),0)</f>
        <v>0</v>
      </c>
      <c r="CX54" s="1" t="n">
        <f aca="false">IF(Explore!S54=1,20) - TblConstr[[#This Row],[Hom]] + TblConstr[[#This Row],[Dest Hom]]</f>
        <v>0</v>
      </c>
      <c r="CY54" s="132"/>
      <c r="CZ54" s="69" t="n">
        <f aca="false">G54+SUM(P43:S54)+SUM(AZ54:BC54)</f>
        <v>428</v>
      </c>
      <c r="DA54" s="69" t="n">
        <f aca="false">H54+SUM(T43:U54)+SUM(BD54:BE54)</f>
        <v>25</v>
      </c>
      <c r="DB54" s="1" t="n">
        <f aca="false">I54+SUM(V43:W54)+SUM(BF54:BG54)</f>
        <v>0</v>
      </c>
      <c r="DC54" s="69" t="n">
        <f aca="false">J54+SUM(X43:Y54)+SUM(BH54:BI54)</f>
        <v>67</v>
      </c>
      <c r="DD54" s="69" t="n">
        <f aca="false">K54+SUM(AB43:AD54)+SUM(BL54:BN54)</f>
        <v>72</v>
      </c>
      <c r="DE54" s="1" t="n">
        <f aca="false">L54+SUM(AE43:AE54)+BO54</f>
        <v>0</v>
      </c>
      <c r="DF54" s="69" t="n">
        <f aca="false">M54+SUM(AG43:AG54)+BQ54</f>
        <v>24</v>
      </c>
      <c r="DG54" s="69" t="e">
        <f aca="false" t="array" ref="DG54:DG54">INDEX(TblConstr[[Total Plain]:[Total Water]],ROW()-ROW(TblConstr[#headers]),MATCH("Total "&amp;home_land,TblConstr[[#Headers],[Total Plain]:[Total Water]],0))+TblConstr[[#This Row],[Homes]]</f>
        <v>#VALUE!</v>
      </c>
      <c r="DH54" s="1" t="n">
        <f aca="false">SUM(O43:O54)+AY54</f>
        <v>40</v>
      </c>
      <c r="DI54" s="1" t="n">
        <f aca="false">MAX(BA54-BA53,0)</f>
        <v>0</v>
      </c>
      <c r="DJ54" s="1" t="n">
        <f aca="false">MAX(BQ54-BQ53,0)</f>
        <v>0</v>
      </c>
    </row>
    <row r="55" customFormat="false" ht="12.75" hidden="false" customHeight="false" outlineLevel="0" collapsed="false">
      <c r="A55" s="170" t="n">
        <f aca="false">TblRezone[[#This Row],[Hour]]</f>
        <v>52</v>
      </c>
      <c r="B55" s="171" t="n">
        <f aca="false">SUM(TblConstr[[#This Row],[Plain]:[Water]])</f>
        <v>0</v>
      </c>
      <c r="C55" s="172" t="n">
        <f aca="false">SUM(TblConstr[[#This Row],[Tot Hom]:[Tot Doc]])</f>
        <v>419</v>
      </c>
      <c r="D55" s="172" t="n">
        <f aca="false">SUM(O44:AG55)</f>
        <v>250</v>
      </c>
      <c r="E55" s="173"/>
      <c r="F55" s="33" t="n">
        <f aca="false">TblConstr[[#This Row],[Barren]]+TblConstr[[#This Row],[Buildings]]+TblConstr[[#This Row],[Incoming]]</f>
        <v>669</v>
      </c>
      <c r="G55" s="199" t="n">
        <f aca="false">OFFSET(TblConstr[[#This Row],[Plain]],-1,0)+TblConstr[[#This Row],[Ch_Plain]]</f>
        <v>0</v>
      </c>
      <c r="H55" s="193" t="n">
        <f aca="false">OFFSET(TblConstr[[#This Row],[Forest]],-1,0)+TblConstr[[#This Row],[Ch_Forest]]</f>
        <v>0</v>
      </c>
      <c r="I55" s="200" t="n">
        <f aca="false">OFFSET(TblConstr[[#This Row],[Mountain]],-1,0)+TblConstr[[#This Row],[Ch_Mountain]]</f>
        <v>0</v>
      </c>
      <c r="J55" s="201" t="n">
        <f aca="false">OFFSET(TblConstr[[#This Row],[Hill]],-1,0)+TblConstr[[#This Row],[Ch_Hill]]</f>
        <v>0</v>
      </c>
      <c r="K55" s="202" t="n">
        <f aca="false">OFFSET(TblConstr[[#This Row],[Swamp]],-1,0)+TblConstr[[#This Row],[Ch_Swamp]]</f>
        <v>0</v>
      </c>
      <c r="L55" s="197" t="n">
        <f aca="false">OFFSET(TblConstr[[#This Row],[Cavern]],-1,0)+TblConstr[[#This Row],[Ch_Cavern]]</f>
        <v>0</v>
      </c>
      <c r="M55" s="198" t="n">
        <f aca="false">OFFSET(TblConstr[[#This Row],[Water]],-1,0)+TblConstr[[#This Row],[Ch_Water]]</f>
        <v>0</v>
      </c>
      <c r="N55" s="181" t="n">
        <f aca="false">TblRezone[[#This Row],[Hour]]</f>
        <v>52</v>
      </c>
      <c r="O55" s="182"/>
      <c r="P55" s="182"/>
      <c r="Q55" s="182" t="n">
        <v>2</v>
      </c>
      <c r="R55" s="182"/>
      <c r="S55" s="182"/>
      <c r="T55" s="182"/>
      <c r="U55" s="182"/>
      <c r="V55" s="182"/>
      <c r="W55" s="182"/>
      <c r="X55" s="182"/>
      <c r="Y55" s="182"/>
      <c r="Z55" s="182" t="n">
        <v>11</v>
      </c>
      <c r="AA55" s="182"/>
      <c r="AB55" s="182"/>
      <c r="AC55" s="182"/>
      <c r="AD55" s="182"/>
      <c r="AE55" s="182"/>
      <c r="AF55" s="182"/>
      <c r="AG55" s="182"/>
      <c r="AH55" s="20" t="n">
        <f aca="false">TblImps[[#This Row],[Time]]</f>
        <v>45431.875</v>
      </c>
      <c r="AI55" s="130" t="n">
        <f aca="false">MIN(25%,(TblConstr[[#This Row],[Tot Fac]]+TblConstr[[#This Row],[Dest Fac]])/(TblConstr[[#This Row],[Land]]-TblExplore[[#This Row],[Land Bonus]]*20))</f>
        <v>0.100149476831091</v>
      </c>
      <c r="AJ55" s="130" t="n">
        <f aca="false">MIN(25%,(TblConstr[[#This Row],[Tot Fac]]+TblConstr[[#This Row],[Dest Fac]])/TblConstr[[#This Row],[Land]])</f>
        <v>0.100149476831091</v>
      </c>
      <c r="AK55" s="69" t="n">
        <f aca="false">TblProd[[#This Row],[Platinum]]</f>
        <v>389463</v>
      </c>
      <c r="AL55" s="69" t="n">
        <f aca="false">TblProd[[#This Row],[Lumber]]</f>
        <v>4236</v>
      </c>
      <c r="AM5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549</v>
      </c>
      <c r="AN55" s="69" t="n">
        <f aca="false">ROUNDDOWN( MAX(1 - MIN(facs_constr_factor*TblConstr[[#This Row],[Facs -DB]],facs_constr_max) + tech_1_11*TblTech[[#This Row],[11-1]] + tech_6_3_2*TblTech[[#This Row],[6-3]] + tech_5_2_3*TblTech[[#This Row],[5-2]], 1-global_constr_cap) * TblConstr[[#This Row],[RCPA Lumber]],0)</f>
        <v>103</v>
      </c>
      <c r="AO5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549</v>
      </c>
      <c r="AP55" s="69" t="n">
        <f aca="false">ROUNDDOWN( MAX(1 - MIN(facs_constr_factor*TblConstr[[#This Row],[Facs DB]],facs_constr_max) + tech_1_11*TblTech[[#This Row],[1-11]] + tech_6_3_2*TblTech[[#This Row],[6-3]] + tech_5_2_3*TblTech[[#This Row],[5-2]], 1-global_constr_cap) * ROUND((TblConstr[[#This Row],[Land]]-250)*0.285 + 87.5 + 0/4.25,0),0)</f>
        <v>103</v>
      </c>
      <c r="AQ55" s="1" t="n">
        <f aca="false">TblConstr[[#This Row],[build -db]]*TblConstr[[#This Row],[CPA Platinum -DB]] + TblConstr[[#This Row],[build db]]*TblConstr[[#This Row],[CPA Platinum DB]]</f>
        <v>7137</v>
      </c>
      <c r="AR55" s="1" t="n">
        <f aca="false">TblConstr[[#This Row],[build -db]]*TblConstr[[#This Row],[CPA Lumber -DB]]+TblConstr[[#This Row],[build db]]*TblConstr[[#This Row],[CPA Lumber DB]]</f>
        <v>1339</v>
      </c>
      <c r="AS55" s="69" t="n">
        <f aca="false">MIN(SUM(OFFSET(TblConstr[[#This Row],[Plain]:[Water]],-1,0))+SUM(TblConstr[[#This Row],[Dest Hom]:[Dest Doc]])+IF(TblConstr[[#This Row],[Hour]]&gt;12,SUM(OFFSET(TblExplore[[#This Row],[Plains Explore]:[Water Explore]],-12,0)),0),SUM(TblConstr[[#This Row],[Hom]:[Doc]]))</f>
        <v>13</v>
      </c>
      <c r="AT5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32"/>
      <c r="AV55" s="69" t="n">
        <f aca="false">ROUND((TblConstr[[#This Row],[Land]]-250 - IF(TblExplore[[#This Row],[Land Bonus]]&lt;&gt;0,20,0))*1.25 + 850 + 0,0)</f>
        <v>1374</v>
      </c>
      <c r="AW55" s="69" t="n">
        <f aca="false">ROUND((TblConstr[[#This Row],[Land]]-250 - IF(TblExplore[[#This Row],[Land Bonus]]&lt;&gt;0,20,0))*0.285 + 87.5 + 0/4.25,0)</f>
        <v>207</v>
      </c>
      <c r="AX55" s="146"/>
      <c r="AY55" s="203" t="n">
        <f aca="false" t="array" ref="AY55:AY55">IF(TblConstr[[#This Row],[Hour]:[Hour]]&gt;12,OFFSET(TblConstr[[#This Row],[Hom]],-12,0),0)+OFFSET(TblConstr[[#This Row],[Tot Hom]],-1,0)-TblConstr[[#This Row],[Dest Hom]]</f>
        <v>0</v>
      </c>
      <c r="AZ55" s="204" t="n">
        <f aca="false" t="array" ref="AZ55:AZ55">IF(TblConstr[[#This Row],[Hour]:[Hour]]&gt;12,OFFSET(TblConstr[[#This Row],[Alc]],-12,0),0)+OFFSET(TblConstr[[#This Row],[Tot Alc]],-1,0)-TblConstr[[#This Row],[Dest Alc]]</f>
        <v>226</v>
      </c>
      <c r="BA55" s="204" t="n">
        <f aca="false" t="array" ref="BA55:BA55">IF(TblConstr[[#This Row],[Hour]:[Hour]]&gt;12,OFFSET(TblConstr[[#This Row],[Far]],-12,0),0)+OFFSET(TblConstr[[#This Row],[Tot Farm]],-1,0)-TblConstr[[#This Row],[Dest Farm]]</f>
        <v>19</v>
      </c>
      <c r="BB55" s="204" t="n">
        <f aca="false" t="array" ref="BB55:BB55">IF(TblConstr[[#This Row],[Hour]:[Hour]]&gt;12,OFFSET(TblConstr[[#This Row],[Smi]],-12,0),0)+OFFSET(TblConstr[[#This Row],[Tot Smi]],-1,0)-TblConstr[[#This Row],[Dest Smi]]</f>
        <v>0</v>
      </c>
      <c r="BC55" s="204" t="n">
        <f aca="false" t="array" ref="BC55:BC55">IF(TblConstr[[#This Row],[Hour]:[Hour]]&gt;12,OFFSET(TblConstr[[#This Row],[Mas]],-12,0),0)+OFFSET(TblConstr[[#This Row],[Tot Mas]],-1,0)-TblConstr[[#This Row],[Dest Mas]]</f>
        <v>0</v>
      </c>
      <c r="BD55" s="205" t="n">
        <f aca="false" t="array" ref="BD55:BD55">IF(TblConstr[[#This Row],[Hour]:[Hour]]&gt;12,OFFSET(TblConstr[[#This Row],[Ly]],-12,0),0)+OFFSET(TblConstr[[#This Row],[Tot Ly]],-1,0)-TblConstr[[#This Row],[Dest Ly]]</f>
        <v>25</v>
      </c>
      <c r="BE55" s="205" t="n">
        <f aca="false" t="array" ref="BE55:BE55">IF(TblConstr[[#This Row],[Hour]:[Hour]]&gt;12,OFFSET(TblConstr[[#This Row],[Hav]],-12,0),0)+OFFSET(TblConstr[[#This Row],[Tot Hav]],-1,0)-TblConstr[[#This Row],[Dest Hav]]</f>
        <v>0</v>
      </c>
      <c r="BF55" s="194" t="n">
        <f aca="false" t="array" ref="BF55:BF55">IF(TblConstr[[#This Row],[Hour]:[Hour]]&gt;12,OFFSET(TblConstr[[#This Row],[OM]],-12,0),0)+OFFSET(TblConstr[[#This Row],[Tot OM]],-1,0)-TblConstr[[#This Row],[Dest OM]]</f>
        <v>0</v>
      </c>
      <c r="BG55" s="194" t="n">
        <f aca="false" t="array" ref="BG55:BG55">IF(TblConstr[[#This Row],[Hour]:[Hour]]&gt;12,OFFSET(TblConstr[[#This Row],[GN]],-12,0),0)+OFFSET(TblConstr[[#This Row],[Tot GN]],-1,0)-TblConstr[[#This Row],[Dest GN]]</f>
        <v>0</v>
      </c>
      <c r="BH55" s="206" t="n">
        <f aca="false" t="array" ref="BH55:BH55">IF(TblConstr[[#This Row],[Hour]:[Hour]]&gt;12,OFFSET(TblConstr[[#This Row],[Fac]],-12,0),0)+OFFSET(TblConstr[[#This Row],[Tot Fac]],-1,0)-TblConstr[[#This Row],[Dest Fac]]</f>
        <v>67</v>
      </c>
      <c r="BI55" s="206" t="n">
        <f aca="false" t="array" ref="BI55:BI55">IF(TblConstr[[#This Row],[Hour]:[Hour]]&gt;12,OFFSET(TblConstr[[#This Row],[GT]],-12,0),0)+OFFSET(TblConstr[[#This Row],[Tot GT]],-1,0)-TblConstr[[#This Row],[Dest GT]]</f>
        <v>0</v>
      </c>
      <c r="BJ55" s="206" t="n">
        <f aca="false" t="array" ref="BJ55:BJ55">IF(TblConstr[[#This Row],[Hour]:[Hour]]&gt;12,OFFSET(TblConstr[[#This Row],[Bar]],-12,0),0)+OFFSET(TblConstr[[#This Row],[Tot Bar]],-1,0)-TblConstr[[#This Row],[Dest Bar]]</f>
        <v>0</v>
      </c>
      <c r="BK55" s="206" t="n">
        <f aca="false" t="array" ref="BK55:BK55">IF(TblConstr[[#This Row],[Hour]:[Hour]]&gt;12,OFFSET(TblConstr[[#This Row],[Shr]],-12,0),0)+OFFSET(TblConstr[[#This Row],[Tot Shr]],-1,0)-TblConstr[[#This Row],[Dest Shr]]</f>
        <v>0</v>
      </c>
      <c r="BL55" s="207" t="n">
        <f aca="false" t="array" ref="BL55:BL55">IF(TblConstr[[#This Row],[Hour]:[Hour]]&gt;12,OFFSET(TblConstr[[#This Row],[Tow]],-12,0),0)+OFFSET(TblConstr[[#This Row],[Tot Tow]],-1,0)-TblConstr[[#This Row],[Dest Tow]]</f>
        <v>25</v>
      </c>
      <c r="BM55" s="207" t="n">
        <f aca="false" t="array" ref="BM55:BM55">IF(TblConstr[[#This Row],[Hour]:[Hour]]&gt;12,OFFSET(TblConstr[[#This Row],[Tem]],-12,0),0)+OFFSET(TblConstr[[#This Row],[Tot Tem]],-1,0)-TblConstr[[#This Row],[Dest Tem]]</f>
        <v>47</v>
      </c>
      <c r="BN55" s="207" t="n">
        <f aca="false" t="array" ref="BN55:BN55">IF(TblConstr[[#This Row],[Hour]:[Hour]]&gt;12,OFFSET(TblConstr[[#This Row],[WG]],-12,0),0)+OFFSET(TblConstr[[#This Row],[Tot WG]],-1,0)-TblConstr[[#This Row],[Dest WG]]</f>
        <v>0</v>
      </c>
      <c r="BO55" s="208" t="n">
        <f aca="false" t="array" ref="BO55:BO55">IF(TblConstr[[#This Row],[Hour]:[Hour]]&gt;12,OFFSET(TblConstr[[#This Row],[DM]],-12,0),0)+OFFSET(TblConstr[[#This Row],[Tot DM]],-1,0)-TblConstr[[#This Row],[Dest DM]]</f>
        <v>0</v>
      </c>
      <c r="BP55" s="208" t="n">
        <f aca="false" t="array" ref="BP55:BP55">IF(TblConstr[[#This Row],[Hour]:[Hour]]&gt;12,OFFSET(TblConstr[[#This Row],[Sch]],-12,0),0)+OFFSET(TblConstr[[#This Row],[Tot Sch]],-1,0)-TblConstr[[#This Row],[Dest Sch]]</f>
        <v>0</v>
      </c>
      <c r="BQ55" s="209" t="n">
        <f aca="false" t="array" ref="BQ55:BQ55">IF(TblConstr[[#This Row],[Hour]:[Hour]]&gt;12,OFFSET(TblConstr[[#This Row],[Doc]],-12,0),0)+OFFSET(TblConstr[[#This Row],[Tot Doc]],-1,0)-TblConstr[[#This Row],[Dest Doc]]</f>
        <v>10</v>
      </c>
      <c r="BR55" s="132"/>
      <c r="BS55" s="146"/>
      <c r="BT55" s="69" t="n">
        <f aca="false">TblConstr[[#This Row],[Land]]</f>
        <v>669</v>
      </c>
      <c r="BU55" s="153" t="n">
        <f aca="false">TblImps[[#This Row],[Time]]</f>
        <v>45431.875</v>
      </c>
      <c r="BV55" s="132"/>
      <c r="BW55" s="182"/>
      <c r="BX55" s="182"/>
      <c r="BY55" s="182"/>
      <c r="BZ55" s="182"/>
      <c r="CA55" s="182"/>
      <c r="CB55" s="182"/>
      <c r="CC55" s="182"/>
      <c r="CD55" s="182"/>
      <c r="CE55" s="182"/>
      <c r="CF55" s="182"/>
      <c r="CG55" s="182"/>
      <c r="CH55" s="182"/>
      <c r="CI55" s="182"/>
      <c r="CJ55" s="182"/>
      <c r="CK55" s="182"/>
      <c r="CL55" s="182"/>
      <c r="CM55" s="182"/>
      <c r="CN55" s="182"/>
      <c r="CO55" s="182"/>
      <c r="CP55" s="132"/>
      <c r="CQ55" s="192" t="n">
        <f aca="false">-SUM(TblConstr[[#This Row],[Alc]:[Mas]])+SUM(TblConstr[[#This Row],[Dest Alc]:[Dest Mas]])+Rezone!L55+IF("Ch_"&amp; home_land=TblConstr[[#Headers],[Ch_Plain]],TblConstr[[#This Row],[Home Land]])+IF(TblConstr[[#This Row],[Hour]:[Hour]]&gt;12,OFFSET(TblExplore[[#This Row],[Plains Explore]],-12,0),0)</f>
        <v>0</v>
      </c>
      <c r="CR55" s="193" t="n">
        <f aca="false">-SUM(TblConstr[[#This Row],[Ly]:[Hav]])+SUM(TblConstr[[#This Row],[Dest Ly]:[Dest Hav]]) +Rezone!M55 + IF("Ch_"&amp; home_land=TblConstr[[#Headers],[Ch_Forest]],TblConstr[[#This Row],[Home Land]])+IF(TblConstr[[#This Row],[Hour]:[Hour]]&gt;12,OFFSET(TblExplore[[#This Row],[Forest Explore]],-12,0),0)</f>
        <v>0</v>
      </c>
      <c r="CS55" s="200" t="n">
        <f aca="false">-SUM(TblConstr[[#This Row],[OM]:[GN]])+SUM(TblConstr[[#This Row],[Dest OM]:[Dest GN]]) +Rezone!N55 + IF("Ch_"&amp; home_land=TblConstr[[#Headers],[Ch_Mountain]],TblConstr[[#This Row],[Home Land]])+IF(TblConstr[[#This Row],[Hour]:[Hour]]&gt;12,OFFSET(TblExplore[[#This Row],[Mountain Explore]],-12,0),0)</f>
        <v>0</v>
      </c>
      <c r="CT55" s="195" t="n">
        <f aca="false">-SUM(TblConstr[[#This Row],[Fac]:[Shr]])+SUM(TblConstr[[#This Row],[Dest Fac]:[Dest Shr]]) +Rezone!O55 + IF("Ch_" &amp; home_land=TblConstr[[#Headers],[Ch_Hill]],TblConstr[[#This Row],[Home Land]])+IF(TblConstr[[#This Row],[Hour]:[Hour]]&gt;12,OFFSET(TblExplore[[#This Row],[Hill Explore]],-12,0),0)</f>
        <v>0</v>
      </c>
      <c r="CU55" s="196" t="n">
        <f aca="false">-SUM(TblConstr[[#This Row],[Tow]:[WG]])+SUM(TblConstr[[#This Row],[Dest Tow]:[Dest WG]]) +Rezone!P55 + IF("Ch_" &amp; home_land=TblConstr[[#Headers],[Ch_Swamp]],TblConstr[[#This Row],[Home Land]])+IF(TblConstr[[#This Row],[Hour]:[Hour]]&gt;12,OFFSET(TblExplore[[#This Row],[Swamp Explore]],-12,0),0)</f>
        <v>0</v>
      </c>
      <c r="CV55" s="197" t="n">
        <f aca="false">- SUM(TblConstr[[#This Row],[DM]:[Sch]])+SUM(TblConstr[[#This Row],[Dest DM]:[Dest Sch]]) +Rezone!Q55 + IF("Ch_" &amp; home_land=TblConstr[[#Headers],[Ch_Cavern]],TblConstr[[#This Row],[Home Land]])+IF(TblConstr[[#This Row],[Hour]:[Hour]]&gt;12,OFFSET(TblExplore[[#This Row],[Cavern Explore]],-12,0),0)</f>
        <v>0</v>
      </c>
      <c r="CW55" s="198" t="n">
        <f aca="false">-TblConstr[[#This Row],[Doc]]+TblConstr[[#This Row],[Dest Doc]] +Rezone!R55 + IF("Ch_" &amp; home_land=TblConstr[[#Headers],[Ch_Water]],TblConstr[[#This Row],[Home Land]])+IF(TblConstr[[#This Row],[Hour]:[Hour]]&gt;12,OFFSET(TblExplore[[#This Row],[Water Explore]],-12,0),0)</f>
        <v>0</v>
      </c>
      <c r="CX55" s="1" t="n">
        <f aca="false">IF(Explore!S55=1,20) - TblConstr[[#This Row],[Hom]] + TblConstr[[#This Row],[Dest Hom]]</f>
        <v>0</v>
      </c>
      <c r="CY55" s="132"/>
      <c r="CZ55" s="69" t="n">
        <f aca="false">G55+SUM(P44:S55)+SUM(AZ55:BC55)</f>
        <v>430</v>
      </c>
      <c r="DA55" s="69" t="n">
        <f aca="false">H55+SUM(T44:U55)+SUM(BD55:BE55)</f>
        <v>25</v>
      </c>
      <c r="DB55" s="1" t="n">
        <f aca="false">I55+SUM(V44:W55)+SUM(BF55:BG55)</f>
        <v>0</v>
      </c>
      <c r="DC55" s="69" t="n">
        <f aca="false">J55+SUM(X44:Y55)+SUM(BH55:BI55)</f>
        <v>67</v>
      </c>
      <c r="DD55" s="69" t="n">
        <f aca="false">K55+SUM(AB44:AD55)+SUM(BL55:BN55)</f>
        <v>72</v>
      </c>
      <c r="DE55" s="1" t="n">
        <f aca="false">L55+SUM(AE44:AE55)+BO55</f>
        <v>0</v>
      </c>
      <c r="DF55" s="69" t="n">
        <f aca="false">M55+SUM(AG44:AG55)+BQ55</f>
        <v>24</v>
      </c>
      <c r="DG55" s="69" t="e">
        <f aca="false" t="array" ref="DG55:DG55">INDEX(TblConstr[[Total Plain]:[Total Water]],ROW()-ROW(TblConstr[#headers]),MATCH("Total "&amp;home_land,TblConstr[[#Headers],[Total Plain]:[Total Water]],0))+TblConstr[[#This Row],[Homes]]</f>
        <v>#VALUE!</v>
      </c>
      <c r="DH55" s="1" t="n">
        <f aca="false">SUM(O44:O55)+AY55</f>
        <v>40</v>
      </c>
      <c r="DI55" s="1" t="n">
        <f aca="false">MAX(BA55-BA54,0)</f>
        <v>0</v>
      </c>
      <c r="DJ55" s="1" t="n">
        <f aca="false">MAX(BQ55-BQ54,0)</f>
        <v>0</v>
      </c>
    </row>
    <row r="56" customFormat="false" ht="12.75" hidden="false" customHeight="false" outlineLevel="0" collapsed="false">
      <c r="A56" s="170" t="n">
        <f aca="false">TblRezone[[#This Row],[Hour]]</f>
        <v>53</v>
      </c>
      <c r="B56" s="171" t="n">
        <f aca="false">SUM(TblConstr[[#This Row],[Plain]:[Water]])</f>
        <v>0</v>
      </c>
      <c r="C56" s="172" t="n">
        <f aca="false">SUM(TblConstr[[#This Row],[Tot Hom]:[Tot Doc]])</f>
        <v>501</v>
      </c>
      <c r="D56" s="172" t="n">
        <f aca="false">SUM(O45:AG56)</f>
        <v>179</v>
      </c>
      <c r="E56" s="173"/>
      <c r="F56" s="33" t="n">
        <f aca="false">TblConstr[[#This Row],[Barren]]+TblConstr[[#This Row],[Buildings]]+TblConstr[[#This Row],[Incoming]]</f>
        <v>680</v>
      </c>
      <c r="G56" s="199" t="n">
        <f aca="false">OFFSET(TblConstr[[#This Row],[Plain]],-1,0)+TblConstr[[#This Row],[Ch_Plain]]</f>
        <v>0</v>
      </c>
      <c r="H56" s="193" t="n">
        <f aca="false">OFFSET(TblConstr[[#This Row],[Forest]],-1,0)+TblConstr[[#This Row],[Ch_Forest]]</f>
        <v>0</v>
      </c>
      <c r="I56" s="200" t="n">
        <f aca="false">OFFSET(TblConstr[[#This Row],[Mountain]],-1,0)+TblConstr[[#This Row],[Ch_Mountain]]</f>
        <v>0</v>
      </c>
      <c r="J56" s="201" t="n">
        <f aca="false">OFFSET(TblConstr[[#This Row],[Hill]],-1,0)+TblConstr[[#This Row],[Ch_Hill]]</f>
        <v>0</v>
      </c>
      <c r="K56" s="202" t="n">
        <f aca="false">OFFSET(TblConstr[[#This Row],[Swamp]],-1,0)+TblConstr[[#This Row],[Ch_Swamp]]</f>
        <v>0</v>
      </c>
      <c r="L56" s="197" t="n">
        <f aca="false">OFFSET(TblConstr[[#This Row],[Cavern]],-1,0)+TblConstr[[#This Row],[Ch_Cavern]]</f>
        <v>0</v>
      </c>
      <c r="M56" s="198" t="n">
        <f aca="false">OFFSET(TblConstr[[#This Row],[Water]],-1,0)+TblConstr[[#This Row],[Ch_Water]]</f>
        <v>0</v>
      </c>
      <c r="N56" s="181" t="n">
        <f aca="false">TblRezone[[#This Row],[Hour]]</f>
        <v>53</v>
      </c>
      <c r="O56" s="182"/>
      <c r="P56" s="182"/>
      <c r="Q56" s="182"/>
      <c r="R56" s="182"/>
      <c r="S56" s="182"/>
      <c r="T56" s="182"/>
      <c r="U56" s="182"/>
      <c r="V56" s="182"/>
      <c r="W56" s="182"/>
      <c r="X56" s="182"/>
      <c r="Y56" s="182"/>
      <c r="Z56" s="182" t="n">
        <v>11</v>
      </c>
      <c r="AA56" s="182"/>
      <c r="AB56" s="182"/>
      <c r="AC56" s="182"/>
      <c r="AD56" s="182"/>
      <c r="AE56" s="182"/>
      <c r="AF56" s="182"/>
      <c r="AG56" s="182"/>
      <c r="AH56" s="20" t="n">
        <f aca="false">TblImps[[#This Row],[Time]]</f>
        <v>45431.9166666667</v>
      </c>
      <c r="AI56" s="130" t="n">
        <f aca="false">MIN(25%,(TblConstr[[#This Row],[Tot Fac]]+TblConstr[[#This Row],[Dest Fac]])/(TblConstr[[#This Row],[Land]]-TblExplore[[#This Row],[Land Bonus]]*20))</f>
        <v>0.0985294117647059</v>
      </c>
      <c r="AJ56" s="130" t="n">
        <f aca="false">MIN(25%,(TblConstr[[#This Row],[Tot Fac]]+TblConstr[[#This Row],[Dest Fac]])/TblConstr[[#This Row],[Land]])</f>
        <v>0.0985294117647059</v>
      </c>
      <c r="AK56" s="69" t="n">
        <f aca="false">TblProd[[#This Row],[Platinum]]</f>
        <v>429145</v>
      </c>
      <c r="AL56" s="69" t="n">
        <f aca="false">TblProd[[#This Row],[Lumber]]</f>
        <v>4153</v>
      </c>
      <c r="AM5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N56" s="69" t="n">
        <f aca="false">ROUNDDOWN( MAX(1 - MIN(facs_constr_factor*TblConstr[[#This Row],[Facs -DB]],facs_constr_max) + tech_1_11*TblTech[[#This Row],[11-1]] + tech_6_3_2*TblTech[[#This Row],[6-3]] + tech_5_2_3*TblTech[[#This Row],[5-2]], 1-global_constr_cap) * TblConstr[[#This Row],[RCPA Lumber]],0)</f>
        <v>106</v>
      </c>
      <c r="AO5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565</v>
      </c>
      <c r="AP56" s="69" t="n">
        <f aca="false">ROUNDDOWN( MAX(1 - MIN(facs_constr_factor*TblConstr[[#This Row],[Facs DB]],facs_constr_max) + tech_1_11*TblTech[[#This Row],[1-11]] + tech_6_3_2*TblTech[[#This Row],[6-3]] + tech_5_2_3*TblTech[[#This Row],[5-2]], 1-global_constr_cap) * ROUND((TblConstr[[#This Row],[Land]]-250)*0.285 + 87.5 + 0/4.25,0),0)</f>
        <v>106</v>
      </c>
      <c r="AQ56" s="1" t="n">
        <f aca="false">TblConstr[[#This Row],[build -db]]*TblConstr[[#This Row],[CPA Platinum -DB]] + TblConstr[[#This Row],[build db]]*TblConstr[[#This Row],[CPA Platinum DB]]</f>
        <v>6215</v>
      </c>
      <c r="AR56" s="1" t="n">
        <f aca="false">TblConstr[[#This Row],[build -db]]*TblConstr[[#This Row],[CPA Lumber -DB]]+TblConstr[[#This Row],[build db]]*TblConstr[[#This Row],[CPA Lumber DB]]</f>
        <v>1166</v>
      </c>
      <c r="AS56" s="69" t="n">
        <f aca="false">MIN(SUM(OFFSET(TblConstr[[#This Row],[Plain]:[Water]],-1,0))+SUM(TblConstr[[#This Row],[Dest Hom]:[Dest Doc]])+IF(TblConstr[[#This Row],[Hour]]&gt;12,SUM(OFFSET(TblExplore[[#This Row],[Plains Explore]:[Water Explore]],-12,0)),0),SUM(TblConstr[[#This Row],[Hom]:[Doc]]))</f>
        <v>11</v>
      </c>
      <c r="AT5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32"/>
      <c r="AV56" s="69" t="n">
        <f aca="false">ROUND((TblConstr[[#This Row],[Land]]-250 - IF(TblExplore[[#This Row],[Land Bonus]]&lt;&gt;0,20,0))*1.25 + 850 + 0,0)</f>
        <v>1388</v>
      </c>
      <c r="AW56" s="69" t="n">
        <f aca="false">ROUND((TblConstr[[#This Row],[Land]]-250 - IF(TblExplore[[#This Row],[Land Bonus]]&lt;&gt;0,20,0))*0.285 + 87.5 + 0/4.25,0)</f>
        <v>210</v>
      </c>
      <c r="AX56" s="146"/>
      <c r="AY56" s="203" t="n">
        <f aca="false" t="array" ref="AY56:AY56">IF(TblConstr[[#This Row],[Hour]:[Hour]]&gt;12,OFFSET(TblConstr[[#This Row],[Hom]],-12,0),0)+OFFSET(TblConstr[[#This Row],[Tot Hom]],-1,0)-TblConstr[[#This Row],[Dest Hom]]</f>
        <v>0</v>
      </c>
      <c r="AZ56" s="204" t="n">
        <f aca="false" t="array" ref="AZ56:AZ56">IF(TblConstr[[#This Row],[Hour]:[Hour]]&gt;12,OFFSET(TblConstr[[#This Row],[Alc]],-12,0),0)+OFFSET(TblConstr[[#This Row],[Tot Alc]],-1,0)-TblConstr[[#This Row],[Dest Alc]]</f>
        <v>261</v>
      </c>
      <c r="BA56" s="204" t="n">
        <f aca="false" t="array" ref="BA56:BA56">IF(TblConstr[[#This Row],[Hour]:[Hour]]&gt;12,OFFSET(TblConstr[[#This Row],[Far]],-12,0),0)+OFFSET(TblConstr[[#This Row],[Tot Farm]],-1,0)-TblConstr[[#This Row],[Dest Farm]]</f>
        <v>19</v>
      </c>
      <c r="BB56" s="204" t="n">
        <f aca="false" t="array" ref="BB56:BB56">IF(TblConstr[[#This Row],[Hour]:[Hour]]&gt;12,OFFSET(TblConstr[[#This Row],[Smi]],-12,0),0)+OFFSET(TblConstr[[#This Row],[Tot Smi]],-1,0)-TblConstr[[#This Row],[Dest Smi]]</f>
        <v>47</v>
      </c>
      <c r="BC56" s="204" t="n">
        <f aca="false" t="array" ref="BC56:BC56">IF(TblConstr[[#This Row],[Hour]:[Hour]]&gt;12,OFFSET(TblConstr[[#This Row],[Mas]],-12,0),0)+OFFSET(TblConstr[[#This Row],[Tot Mas]],-1,0)-TblConstr[[#This Row],[Dest Mas]]</f>
        <v>0</v>
      </c>
      <c r="BD56" s="205" t="n">
        <f aca="false" t="array" ref="BD56:BD56">IF(TblConstr[[#This Row],[Hour]:[Hour]]&gt;12,OFFSET(TblConstr[[#This Row],[Ly]],-12,0),0)+OFFSET(TblConstr[[#This Row],[Tot Ly]],-1,0)-TblConstr[[#This Row],[Dest Ly]]</f>
        <v>25</v>
      </c>
      <c r="BE56" s="205" t="n">
        <f aca="false" t="array" ref="BE56:BE56">IF(TblConstr[[#This Row],[Hour]:[Hour]]&gt;12,OFFSET(TblConstr[[#This Row],[Hav]],-12,0),0)+OFFSET(TblConstr[[#This Row],[Tot Hav]],-1,0)-TblConstr[[#This Row],[Dest Hav]]</f>
        <v>0</v>
      </c>
      <c r="BF56" s="194" t="n">
        <f aca="false" t="array" ref="BF56:BF56">IF(TblConstr[[#This Row],[Hour]:[Hour]]&gt;12,OFFSET(TblConstr[[#This Row],[OM]],-12,0),0)+OFFSET(TblConstr[[#This Row],[Tot OM]],-1,0)-TblConstr[[#This Row],[Dest OM]]</f>
        <v>0</v>
      </c>
      <c r="BG56" s="194" t="n">
        <f aca="false" t="array" ref="BG56:BG56">IF(TblConstr[[#This Row],[Hour]:[Hour]]&gt;12,OFFSET(TblConstr[[#This Row],[GN]],-12,0),0)+OFFSET(TblConstr[[#This Row],[Tot GN]],-1,0)-TblConstr[[#This Row],[Dest GN]]</f>
        <v>0</v>
      </c>
      <c r="BH56" s="206" t="n">
        <f aca="false" t="array" ref="BH56:BH56">IF(TblConstr[[#This Row],[Hour]:[Hour]]&gt;12,OFFSET(TblConstr[[#This Row],[Fac]],-12,0),0)+OFFSET(TblConstr[[#This Row],[Tot Fac]],-1,0)-TblConstr[[#This Row],[Dest Fac]]</f>
        <v>67</v>
      </c>
      <c r="BI56" s="206" t="n">
        <f aca="false" t="array" ref="BI56:BI56">IF(TblConstr[[#This Row],[Hour]:[Hour]]&gt;12,OFFSET(TblConstr[[#This Row],[GT]],-12,0),0)+OFFSET(TblConstr[[#This Row],[Tot GT]],-1,0)-TblConstr[[#This Row],[Dest GT]]</f>
        <v>0</v>
      </c>
      <c r="BJ56" s="206" t="n">
        <f aca="false" t="array" ref="BJ56:BJ56">IF(TblConstr[[#This Row],[Hour]:[Hour]]&gt;12,OFFSET(TblConstr[[#This Row],[Bar]],-12,0),0)+OFFSET(TblConstr[[#This Row],[Tot Bar]],-1,0)-TblConstr[[#This Row],[Dest Bar]]</f>
        <v>0</v>
      </c>
      <c r="BK56" s="206" t="n">
        <f aca="false" t="array" ref="BK56:BK56">IF(TblConstr[[#This Row],[Hour]:[Hour]]&gt;12,OFFSET(TblConstr[[#This Row],[Shr]],-12,0),0)+OFFSET(TblConstr[[#This Row],[Tot Shr]],-1,0)-TblConstr[[#This Row],[Dest Shr]]</f>
        <v>0</v>
      </c>
      <c r="BL56" s="207" t="n">
        <f aca="false" t="array" ref="BL56:BL56">IF(TblConstr[[#This Row],[Hour]:[Hour]]&gt;12,OFFSET(TblConstr[[#This Row],[Tow]],-12,0),0)+OFFSET(TblConstr[[#This Row],[Tot Tow]],-1,0)-TblConstr[[#This Row],[Dest Tow]]</f>
        <v>25</v>
      </c>
      <c r="BM56" s="207" t="n">
        <f aca="false" t="array" ref="BM56:BM56">IF(TblConstr[[#This Row],[Hour]:[Hour]]&gt;12,OFFSET(TblConstr[[#This Row],[Tem]],-12,0),0)+OFFSET(TblConstr[[#This Row],[Tot Tem]],-1,0)-TblConstr[[#This Row],[Dest Tem]]</f>
        <v>47</v>
      </c>
      <c r="BN56" s="207" t="n">
        <f aca="false" t="array" ref="BN56:BN56">IF(TblConstr[[#This Row],[Hour]:[Hour]]&gt;12,OFFSET(TblConstr[[#This Row],[WG]],-12,0),0)+OFFSET(TblConstr[[#This Row],[Tot WG]],-1,0)-TblConstr[[#This Row],[Dest WG]]</f>
        <v>0</v>
      </c>
      <c r="BO56" s="208" t="n">
        <f aca="false" t="array" ref="BO56:BO56">IF(TblConstr[[#This Row],[Hour]:[Hour]]&gt;12,OFFSET(TblConstr[[#This Row],[DM]],-12,0),0)+OFFSET(TblConstr[[#This Row],[Tot DM]],-1,0)-TblConstr[[#This Row],[Dest DM]]</f>
        <v>0</v>
      </c>
      <c r="BP56" s="208" t="n">
        <f aca="false" t="array" ref="BP56:BP56">IF(TblConstr[[#This Row],[Hour]:[Hour]]&gt;12,OFFSET(TblConstr[[#This Row],[Sch]],-12,0),0)+OFFSET(TblConstr[[#This Row],[Tot Sch]],-1,0)-TblConstr[[#This Row],[Dest Sch]]</f>
        <v>0</v>
      </c>
      <c r="BQ56" s="209" t="n">
        <f aca="false" t="array" ref="BQ56:BQ56">IF(TblConstr[[#This Row],[Hour]:[Hour]]&gt;12,OFFSET(TblConstr[[#This Row],[Doc]],-12,0),0)+OFFSET(TblConstr[[#This Row],[Tot Doc]],-1,0)-TblConstr[[#This Row],[Dest Doc]]</f>
        <v>10</v>
      </c>
      <c r="BR56" s="132"/>
      <c r="BS56" s="146"/>
      <c r="BT56" s="69" t="n">
        <f aca="false">TblConstr[[#This Row],[Land]]</f>
        <v>680</v>
      </c>
      <c r="BU56" s="153" t="n">
        <f aca="false">TblImps[[#This Row],[Time]]</f>
        <v>45431.9166666667</v>
      </c>
      <c r="BV56" s="132"/>
      <c r="BW56" s="182"/>
      <c r="BX56" s="182"/>
      <c r="BY56" s="182"/>
      <c r="BZ56" s="182"/>
      <c r="CA56" s="182"/>
      <c r="CB56" s="182"/>
      <c r="CC56" s="182"/>
      <c r="CD56" s="182"/>
      <c r="CE56" s="182"/>
      <c r="CF56" s="182"/>
      <c r="CG56" s="182"/>
      <c r="CH56" s="182"/>
      <c r="CI56" s="182"/>
      <c r="CJ56" s="182"/>
      <c r="CK56" s="182"/>
      <c r="CL56" s="182"/>
      <c r="CM56" s="182"/>
      <c r="CN56" s="182"/>
      <c r="CO56" s="182"/>
      <c r="CP56" s="132"/>
      <c r="CQ56" s="192" t="n">
        <f aca="false">-SUM(TblConstr[[#This Row],[Alc]:[Mas]])+SUM(TblConstr[[#This Row],[Dest Alc]:[Dest Mas]])+Rezone!L56+IF("Ch_"&amp; home_land=TblConstr[[#Headers],[Ch_Plain]],TblConstr[[#This Row],[Home Land]])+IF(TblConstr[[#This Row],[Hour]:[Hour]]&gt;12,OFFSET(TblExplore[[#This Row],[Plains Explore]],-12,0),0)</f>
        <v>0</v>
      </c>
      <c r="CR56" s="193" t="n">
        <f aca="false">-SUM(TblConstr[[#This Row],[Ly]:[Hav]])+SUM(TblConstr[[#This Row],[Dest Ly]:[Dest Hav]]) +Rezone!M56 + IF("Ch_"&amp; home_land=TblConstr[[#Headers],[Ch_Forest]],TblConstr[[#This Row],[Home Land]])+IF(TblConstr[[#This Row],[Hour]:[Hour]]&gt;12,OFFSET(TblExplore[[#This Row],[Forest Explore]],-12,0),0)</f>
        <v>0</v>
      </c>
      <c r="CS56" s="200" t="n">
        <f aca="false">-SUM(TblConstr[[#This Row],[OM]:[GN]])+SUM(TblConstr[[#This Row],[Dest OM]:[Dest GN]]) +Rezone!N56 + IF("Ch_"&amp; home_land=TblConstr[[#Headers],[Ch_Mountain]],TblConstr[[#This Row],[Home Land]])+IF(TblConstr[[#This Row],[Hour]:[Hour]]&gt;12,OFFSET(TblExplore[[#This Row],[Mountain Explore]],-12,0),0)</f>
        <v>0</v>
      </c>
      <c r="CT56" s="195" t="n">
        <f aca="false">-SUM(TblConstr[[#This Row],[Fac]:[Shr]])+SUM(TblConstr[[#This Row],[Dest Fac]:[Dest Shr]]) +Rezone!O56 + IF("Ch_" &amp; home_land=TblConstr[[#Headers],[Ch_Hill]],TblConstr[[#This Row],[Home Land]])+IF(TblConstr[[#This Row],[Hour]:[Hour]]&gt;12,OFFSET(TblExplore[[#This Row],[Hill Explore]],-12,0),0)</f>
        <v>0</v>
      </c>
      <c r="CU56" s="196" t="n">
        <f aca="false">-SUM(TblConstr[[#This Row],[Tow]:[WG]])+SUM(TblConstr[[#This Row],[Dest Tow]:[Dest WG]]) +Rezone!P56 + IF("Ch_" &amp; home_land=TblConstr[[#Headers],[Ch_Swamp]],TblConstr[[#This Row],[Home Land]])+IF(TblConstr[[#This Row],[Hour]:[Hour]]&gt;12,OFFSET(TblExplore[[#This Row],[Swamp Explore]],-12,0),0)</f>
        <v>0</v>
      </c>
      <c r="CV56" s="197" t="n">
        <f aca="false">- SUM(TblConstr[[#This Row],[DM]:[Sch]])+SUM(TblConstr[[#This Row],[Dest DM]:[Dest Sch]]) +Rezone!Q56 + IF("Ch_" &amp; home_land=TblConstr[[#Headers],[Ch_Cavern]],TblConstr[[#This Row],[Home Land]])+IF(TblConstr[[#This Row],[Hour]:[Hour]]&gt;12,OFFSET(TblExplore[[#This Row],[Cavern Explore]],-12,0),0)</f>
        <v>0</v>
      </c>
      <c r="CW56" s="198" t="n">
        <f aca="false">-TblConstr[[#This Row],[Doc]]+TblConstr[[#This Row],[Dest Doc]] +Rezone!R56 + IF("Ch_" &amp; home_land=TblConstr[[#Headers],[Ch_Water]],TblConstr[[#This Row],[Home Land]])+IF(TblConstr[[#This Row],[Hour]:[Hour]]&gt;12,OFFSET(TblExplore[[#This Row],[Water Explore]],-12,0),0)</f>
        <v>0</v>
      </c>
      <c r="CX56" s="1" t="n">
        <f aca="false">IF(Explore!S56=1,20) - TblConstr[[#This Row],[Hom]] + TblConstr[[#This Row],[Dest Hom]]</f>
        <v>0</v>
      </c>
      <c r="CY56" s="132"/>
      <c r="CZ56" s="69" t="n">
        <f aca="false">G56+SUM(P45:S56)+SUM(AZ56:BC56)</f>
        <v>430</v>
      </c>
      <c r="DA56" s="69" t="n">
        <f aca="false">H56+SUM(T45:U56)+SUM(BD56:BE56)</f>
        <v>25</v>
      </c>
      <c r="DB56" s="1" t="n">
        <f aca="false">I56+SUM(V45:W56)+SUM(BF56:BG56)</f>
        <v>0</v>
      </c>
      <c r="DC56" s="69" t="n">
        <f aca="false">J56+SUM(X45:Y56)+SUM(BH56:BI56)</f>
        <v>67</v>
      </c>
      <c r="DD56" s="69" t="n">
        <f aca="false">K56+SUM(AB45:AD56)+SUM(BL56:BN56)</f>
        <v>72</v>
      </c>
      <c r="DE56" s="1" t="n">
        <f aca="false">L56+SUM(AE45:AE56)+BO56</f>
        <v>0</v>
      </c>
      <c r="DF56" s="69" t="n">
        <f aca="false">M56+SUM(AG45:AG56)+BQ56</f>
        <v>24</v>
      </c>
      <c r="DG56" s="69" t="e">
        <f aca="false" t="array" ref="DG56:DG56">INDEX(TblConstr[[Total Plain]:[Total Water]],ROW()-ROW(TblConstr[#headers]),MATCH("Total "&amp;home_land,TblConstr[[#Headers],[Total Plain]:[Total Water]],0))+TblConstr[[#This Row],[Homes]]</f>
        <v>#VALUE!</v>
      </c>
      <c r="DH56" s="1" t="n">
        <f aca="false">SUM(O45:O56)+AY56</f>
        <v>40</v>
      </c>
      <c r="DI56" s="1" t="n">
        <f aca="false">MAX(BA56-BA55,0)</f>
        <v>0</v>
      </c>
      <c r="DJ56" s="1" t="n">
        <f aca="false">MAX(BQ56-BQ55,0)</f>
        <v>0</v>
      </c>
    </row>
    <row r="57" customFormat="false" ht="12.75" hidden="false" customHeight="false" outlineLevel="0" collapsed="false">
      <c r="A57" s="170" t="n">
        <f aca="false">TblRezone[[#This Row],[Hour]]</f>
        <v>54</v>
      </c>
      <c r="B57" s="171" t="n">
        <f aca="false">SUM(TblConstr[[#This Row],[Plain]:[Water]])</f>
        <v>0</v>
      </c>
      <c r="C57" s="172" t="n">
        <f aca="false">SUM(TblConstr[[#This Row],[Tot Hom]:[Tot Doc]])</f>
        <v>510</v>
      </c>
      <c r="D57" s="172" t="n">
        <f aca="false">SUM(O46:AG57)</f>
        <v>182</v>
      </c>
      <c r="E57" s="173"/>
      <c r="F57" s="33" t="n">
        <f aca="false">TblConstr[[#This Row],[Barren]]+TblConstr[[#This Row],[Buildings]]+TblConstr[[#This Row],[Incoming]]</f>
        <v>692</v>
      </c>
      <c r="G57" s="199" t="n">
        <f aca="false">OFFSET(TblConstr[[#This Row],[Plain]],-1,0)+TblConstr[[#This Row],[Ch_Plain]]</f>
        <v>0</v>
      </c>
      <c r="H57" s="193" t="n">
        <f aca="false">OFFSET(TblConstr[[#This Row],[Forest]],-1,0)+TblConstr[[#This Row],[Ch_Forest]]</f>
        <v>0</v>
      </c>
      <c r="I57" s="200" t="n">
        <f aca="false">OFFSET(TblConstr[[#This Row],[Mountain]],-1,0)+TblConstr[[#This Row],[Ch_Mountain]]</f>
        <v>0</v>
      </c>
      <c r="J57" s="201" t="n">
        <f aca="false">OFFSET(TblConstr[[#This Row],[Hill]],-1,0)+TblConstr[[#This Row],[Ch_Hill]]</f>
        <v>0</v>
      </c>
      <c r="K57" s="202" t="n">
        <f aca="false">OFFSET(TblConstr[[#This Row],[Swamp]],-1,0)+TblConstr[[#This Row],[Ch_Swamp]]</f>
        <v>0</v>
      </c>
      <c r="L57" s="197" t="n">
        <f aca="false">OFFSET(TblConstr[[#This Row],[Cavern]],-1,0)+TblConstr[[#This Row],[Ch_Cavern]]</f>
        <v>0</v>
      </c>
      <c r="M57" s="198" t="n">
        <f aca="false">OFFSET(TblConstr[[#This Row],[Water]],-1,0)+TblConstr[[#This Row],[Ch_Water]]</f>
        <v>0</v>
      </c>
      <c r="N57" s="181" t="n">
        <f aca="false">TblRezone[[#This Row],[Hour]]</f>
        <v>54</v>
      </c>
      <c r="O57" s="182"/>
      <c r="P57" s="182"/>
      <c r="Q57" s="182"/>
      <c r="R57" s="182"/>
      <c r="S57" s="182"/>
      <c r="T57" s="182"/>
      <c r="U57" s="182"/>
      <c r="V57" s="182"/>
      <c r="W57" s="182"/>
      <c r="X57" s="182"/>
      <c r="Y57" s="182"/>
      <c r="Z57" s="182" t="n">
        <v>12</v>
      </c>
      <c r="AA57" s="182"/>
      <c r="AB57" s="182"/>
      <c r="AC57" s="182"/>
      <c r="AD57" s="182"/>
      <c r="AE57" s="182"/>
      <c r="AF57" s="182"/>
      <c r="AG57" s="182"/>
      <c r="AH57" s="20" t="n">
        <f aca="false">TblImps[[#This Row],[Time]]</f>
        <v>45431.9583333333</v>
      </c>
      <c r="AI57" s="130" t="n">
        <f aca="false">MIN(25%,(TblConstr[[#This Row],[Tot Fac]]+TblConstr[[#This Row],[Dest Fac]])/(TblConstr[[#This Row],[Land]]-TblExplore[[#This Row],[Land Bonus]]*20))</f>
        <v>0.0968208092485549</v>
      </c>
      <c r="AJ57" s="130" t="n">
        <f aca="false">MIN(25%,(TblConstr[[#This Row],[Tot Fac]]+TblConstr[[#This Row],[Dest Fac]])/TblConstr[[#This Row],[Land]])</f>
        <v>0.0968208092485549</v>
      </c>
      <c r="AK57" s="69" t="n">
        <f aca="false">TblProd[[#This Row],[Platinum]]</f>
        <v>468410</v>
      </c>
      <c r="AL57" s="69" t="n">
        <f aca="false">TblProd[[#This Row],[Lumber]]</f>
        <v>3928</v>
      </c>
      <c r="AM5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583</v>
      </c>
      <c r="AN57" s="69" t="n">
        <f aca="false">ROUNDDOWN( MAX(1 - MIN(facs_constr_factor*TblConstr[[#This Row],[Facs -DB]],facs_constr_max) + tech_1_11*TblTech[[#This Row],[11-1]] + tech_6_3_2*TblTech[[#This Row],[6-3]] + tech_5_2_3*TblTech[[#This Row],[5-2]], 1-global_constr_cap) * TblConstr[[#This Row],[RCPA Lumber]],0)</f>
        <v>109</v>
      </c>
      <c r="AO5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583</v>
      </c>
      <c r="AP57" s="69" t="n">
        <f aca="false">ROUNDDOWN( MAX(1 - MIN(facs_constr_factor*TblConstr[[#This Row],[Facs DB]],facs_constr_max) + tech_1_11*TblTech[[#This Row],[1-11]] + tech_6_3_2*TblTech[[#This Row],[6-3]] + tech_5_2_3*TblTech[[#This Row],[5-2]], 1-global_constr_cap) * ROUND((TblConstr[[#This Row],[Land]]-250)*0.285 + 87.5 + 0/4.25,0),0)</f>
        <v>109</v>
      </c>
      <c r="AQ57" s="1" t="n">
        <f aca="false">TblConstr[[#This Row],[build -db]]*TblConstr[[#This Row],[CPA Platinum -DB]] + TblConstr[[#This Row],[build db]]*TblConstr[[#This Row],[CPA Platinum DB]]</f>
        <v>6996</v>
      </c>
      <c r="AR57" s="1" t="n">
        <f aca="false">TblConstr[[#This Row],[build -db]]*TblConstr[[#This Row],[CPA Lumber -DB]]+TblConstr[[#This Row],[build db]]*TblConstr[[#This Row],[CPA Lumber DB]]</f>
        <v>1308</v>
      </c>
      <c r="AS57" s="69" t="n">
        <f aca="false">MIN(SUM(OFFSET(TblConstr[[#This Row],[Plain]:[Water]],-1,0))+SUM(TblConstr[[#This Row],[Dest Hom]:[Dest Doc]])+IF(TblConstr[[#This Row],[Hour]]&gt;12,SUM(OFFSET(TblExplore[[#This Row],[Plains Explore]:[Water Explore]],-12,0)),0),SUM(TblConstr[[#This Row],[Hom]:[Doc]]))</f>
        <v>12</v>
      </c>
      <c r="AT5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32"/>
      <c r="AV57" s="69" t="n">
        <f aca="false">ROUND((TblConstr[[#This Row],[Land]]-250 - IF(TblExplore[[#This Row],[Land Bonus]]&lt;&gt;0,20,0))*1.25 + 850 + 0,0)</f>
        <v>1403</v>
      </c>
      <c r="AW57" s="69" t="n">
        <f aca="false">ROUND((TblConstr[[#This Row],[Land]]-250 - IF(TblExplore[[#This Row],[Land Bonus]]&lt;&gt;0,20,0))*0.285 + 87.5 + 0/4.25,0)</f>
        <v>213</v>
      </c>
      <c r="AX57" s="146"/>
      <c r="AY57" s="203" t="n">
        <f aca="false" t="array" ref="AY57:AY57">IF(TblConstr[[#This Row],[Hour]:[Hour]]&gt;12,OFFSET(TblConstr[[#This Row],[Hom]],-12,0),0)+OFFSET(TblConstr[[#This Row],[Tot Hom]],-1,0)-TblConstr[[#This Row],[Dest Hom]]</f>
        <v>0</v>
      </c>
      <c r="AZ57" s="204" t="n">
        <f aca="false" t="array" ref="AZ57:AZ57">IF(TblConstr[[#This Row],[Hour]:[Hour]]&gt;12,OFFSET(TblConstr[[#This Row],[Alc]],-12,0),0)+OFFSET(TblConstr[[#This Row],[Tot Alc]],-1,0)-TblConstr[[#This Row],[Dest Alc]]</f>
        <v>262</v>
      </c>
      <c r="BA57" s="204" t="n">
        <f aca="false" t="array" ref="BA57:BA57">IF(TblConstr[[#This Row],[Hour]:[Hour]]&gt;12,OFFSET(TblConstr[[#This Row],[Far]],-12,0),0)+OFFSET(TblConstr[[#This Row],[Tot Farm]],-1,0)-TblConstr[[#This Row],[Dest Farm]]</f>
        <v>19</v>
      </c>
      <c r="BB57" s="204" t="n">
        <f aca="false" t="array" ref="BB57:BB57">IF(TblConstr[[#This Row],[Hour]:[Hour]]&gt;12,OFFSET(TblConstr[[#This Row],[Smi]],-12,0),0)+OFFSET(TblConstr[[#This Row],[Tot Smi]],-1,0)-TblConstr[[#This Row],[Dest Smi]]</f>
        <v>55</v>
      </c>
      <c r="BC57" s="204" t="n">
        <f aca="false" t="array" ref="BC57:BC57">IF(TblConstr[[#This Row],[Hour]:[Hour]]&gt;12,OFFSET(TblConstr[[#This Row],[Mas]],-12,0),0)+OFFSET(TblConstr[[#This Row],[Tot Mas]],-1,0)-TblConstr[[#This Row],[Dest Mas]]</f>
        <v>0</v>
      </c>
      <c r="BD57" s="205" t="n">
        <f aca="false" t="array" ref="BD57:BD57">IF(TblConstr[[#This Row],[Hour]:[Hour]]&gt;12,OFFSET(TblConstr[[#This Row],[Ly]],-12,0),0)+OFFSET(TblConstr[[#This Row],[Tot Ly]],-1,0)-TblConstr[[#This Row],[Dest Ly]]</f>
        <v>25</v>
      </c>
      <c r="BE57" s="205" t="n">
        <f aca="false" t="array" ref="BE57:BE57">IF(TblConstr[[#This Row],[Hour]:[Hour]]&gt;12,OFFSET(TblConstr[[#This Row],[Hav]],-12,0),0)+OFFSET(TblConstr[[#This Row],[Tot Hav]],-1,0)-TblConstr[[#This Row],[Dest Hav]]</f>
        <v>0</v>
      </c>
      <c r="BF57" s="194" t="n">
        <f aca="false" t="array" ref="BF57:BF57">IF(TblConstr[[#This Row],[Hour]:[Hour]]&gt;12,OFFSET(TblConstr[[#This Row],[OM]],-12,0),0)+OFFSET(TblConstr[[#This Row],[Tot OM]],-1,0)-TblConstr[[#This Row],[Dest OM]]</f>
        <v>0</v>
      </c>
      <c r="BG57" s="194" t="n">
        <f aca="false" t="array" ref="BG57:BG57">IF(TblConstr[[#This Row],[Hour]:[Hour]]&gt;12,OFFSET(TblConstr[[#This Row],[GN]],-12,0),0)+OFFSET(TblConstr[[#This Row],[Tot GN]],-1,0)-TblConstr[[#This Row],[Dest GN]]</f>
        <v>0</v>
      </c>
      <c r="BH57" s="206" t="n">
        <f aca="false" t="array" ref="BH57:BH57">IF(TblConstr[[#This Row],[Hour]:[Hour]]&gt;12,OFFSET(TblConstr[[#This Row],[Fac]],-12,0),0)+OFFSET(TblConstr[[#This Row],[Tot Fac]],-1,0)-TblConstr[[#This Row],[Dest Fac]]</f>
        <v>67</v>
      </c>
      <c r="BI57" s="206" t="n">
        <f aca="false" t="array" ref="BI57:BI57">IF(TblConstr[[#This Row],[Hour]:[Hour]]&gt;12,OFFSET(TblConstr[[#This Row],[GT]],-12,0),0)+OFFSET(TblConstr[[#This Row],[Tot GT]],-1,0)-TblConstr[[#This Row],[Dest GT]]</f>
        <v>0</v>
      </c>
      <c r="BJ57" s="206" t="n">
        <f aca="false" t="array" ref="BJ57:BJ57">IF(TblConstr[[#This Row],[Hour]:[Hour]]&gt;12,OFFSET(TblConstr[[#This Row],[Bar]],-12,0),0)+OFFSET(TblConstr[[#This Row],[Tot Bar]],-1,0)-TblConstr[[#This Row],[Dest Bar]]</f>
        <v>0</v>
      </c>
      <c r="BK57" s="206" t="n">
        <f aca="false" t="array" ref="BK57:BK57">IF(TblConstr[[#This Row],[Hour]:[Hour]]&gt;12,OFFSET(TblConstr[[#This Row],[Shr]],-12,0),0)+OFFSET(TblConstr[[#This Row],[Tot Shr]],-1,0)-TblConstr[[#This Row],[Dest Shr]]</f>
        <v>0</v>
      </c>
      <c r="BL57" s="207" t="n">
        <f aca="false" t="array" ref="BL57:BL57">IF(TblConstr[[#This Row],[Hour]:[Hour]]&gt;12,OFFSET(TblConstr[[#This Row],[Tow]],-12,0),0)+OFFSET(TblConstr[[#This Row],[Tot Tow]],-1,0)-TblConstr[[#This Row],[Dest Tow]]</f>
        <v>25</v>
      </c>
      <c r="BM57" s="207" t="n">
        <f aca="false" t="array" ref="BM57:BM57">IF(TblConstr[[#This Row],[Hour]:[Hour]]&gt;12,OFFSET(TblConstr[[#This Row],[Tem]],-12,0),0)+OFFSET(TblConstr[[#This Row],[Tot Tem]],-1,0)-TblConstr[[#This Row],[Dest Tem]]</f>
        <v>47</v>
      </c>
      <c r="BN57" s="207" t="n">
        <f aca="false" t="array" ref="BN57:BN57">IF(TblConstr[[#This Row],[Hour]:[Hour]]&gt;12,OFFSET(TblConstr[[#This Row],[WG]],-12,0),0)+OFFSET(TblConstr[[#This Row],[Tot WG]],-1,0)-TblConstr[[#This Row],[Dest WG]]</f>
        <v>0</v>
      </c>
      <c r="BO57" s="208" t="n">
        <f aca="false" t="array" ref="BO57:BO57">IF(TblConstr[[#This Row],[Hour]:[Hour]]&gt;12,OFFSET(TblConstr[[#This Row],[DM]],-12,0),0)+OFFSET(TblConstr[[#This Row],[Tot DM]],-1,0)-TblConstr[[#This Row],[Dest DM]]</f>
        <v>0</v>
      </c>
      <c r="BP57" s="208" t="n">
        <f aca="false" t="array" ref="BP57:BP57">IF(TblConstr[[#This Row],[Hour]:[Hour]]&gt;12,OFFSET(TblConstr[[#This Row],[Sch]],-12,0),0)+OFFSET(TblConstr[[#This Row],[Tot Sch]],-1,0)-TblConstr[[#This Row],[Dest Sch]]</f>
        <v>0</v>
      </c>
      <c r="BQ57" s="209" t="n">
        <f aca="false" t="array" ref="BQ57:BQ57">IF(TblConstr[[#This Row],[Hour]:[Hour]]&gt;12,OFFSET(TblConstr[[#This Row],[Doc]],-12,0),0)+OFFSET(TblConstr[[#This Row],[Tot Doc]],-1,0)-TblConstr[[#This Row],[Dest Doc]]</f>
        <v>10</v>
      </c>
      <c r="BR57" s="132"/>
      <c r="BS57" s="146"/>
      <c r="BT57" s="69" t="n">
        <f aca="false">TblConstr[[#This Row],[Land]]</f>
        <v>692</v>
      </c>
      <c r="BU57" s="153" t="n">
        <f aca="false">TblImps[[#This Row],[Time]]</f>
        <v>45431.9583333333</v>
      </c>
      <c r="BV57" s="132"/>
      <c r="BW57" s="182"/>
      <c r="BX57" s="182"/>
      <c r="BY57" s="182"/>
      <c r="BZ57" s="182"/>
      <c r="CA57" s="182"/>
      <c r="CB57" s="182"/>
      <c r="CC57" s="182"/>
      <c r="CD57" s="182"/>
      <c r="CE57" s="182"/>
      <c r="CF57" s="182"/>
      <c r="CG57" s="182"/>
      <c r="CH57" s="182"/>
      <c r="CI57" s="182"/>
      <c r="CJ57" s="182"/>
      <c r="CK57" s="182"/>
      <c r="CL57" s="182"/>
      <c r="CM57" s="182"/>
      <c r="CN57" s="182"/>
      <c r="CO57" s="182"/>
      <c r="CP57" s="132"/>
      <c r="CQ57" s="192" t="n">
        <f aca="false">-SUM(TblConstr[[#This Row],[Alc]:[Mas]])+SUM(TblConstr[[#This Row],[Dest Alc]:[Dest Mas]])+Rezone!L57+IF("Ch_"&amp; home_land=TblConstr[[#Headers],[Ch_Plain]],TblConstr[[#This Row],[Home Land]])+IF(TblConstr[[#This Row],[Hour]:[Hour]]&gt;12,OFFSET(TblExplore[[#This Row],[Plains Explore]],-12,0),0)</f>
        <v>0</v>
      </c>
      <c r="CR57" s="193" t="n">
        <f aca="false">-SUM(TblConstr[[#This Row],[Ly]:[Hav]])+SUM(TblConstr[[#This Row],[Dest Ly]:[Dest Hav]]) +Rezone!M57 + IF("Ch_"&amp; home_land=TblConstr[[#Headers],[Ch_Forest]],TblConstr[[#This Row],[Home Land]])+IF(TblConstr[[#This Row],[Hour]:[Hour]]&gt;12,OFFSET(TblExplore[[#This Row],[Forest Explore]],-12,0),0)</f>
        <v>0</v>
      </c>
      <c r="CS57" s="200" t="n">
        <f aca="false">-SUM(TblConstr[[#This Row],[OM]:[GN]])+SUM(TblConstr[[#This Row],[Dest OM]:[Dest GN]]) +Rezone!N57 + IF("Ch_"&amp; home_land=TblConstr[[#Headers],[Ch_Mountain]],TblConstr[[#This Row],[Home Land]])+IF(TblConstr[[#This Row],[Hour]:[Hour]]&gt;12,OFFSET(TblExplore[[#This Row],[Mountain Explore]],-12,0),0)</f>
        <v>0</v>
      </c>
      <c r="CT57" s="195" t="n">
        <f aca="false">-SUM(TblConstr[[#This Row],[Fac]:[Shr]])+SUM(TblConstr[[#This Row],[Dest Fac]:[Dest Shr]]) +Rezone!O57 + IF("Ch_" &amp; home_land=TblConstr[[#Headers],[Ch_Hill]],TblConstr[[#This Row],[Home Land]])+IF(TblConstr[[#This Row],[Hour]:[Hour]]&gt;12,OFFSET(TblExplore[[#This Row],[Hill Explore]],-12,0),0)</f>
        <v>0</v>
      </c>
      <c r="CU57" s="196" t="n">
        <f aca="false">-SUM(TblConstr[[#This Row],[Tow]:[WG]])+SUM(TblConstr[[#This Row],[Dest Tow]:[Dest WG]]) +Rezone!P57 + IF("Ch_" &amp; home_land=TblConstr[[#Headers],[Ch_Swamp]],TblConstr[[#This Row],[Home Land]])+IF(TblConstr[[#This Row],[Hour]:[Hour]]&gt;12,OFFSET(TblExplore[[#This Row],[Swamp Explore]],-12,0),0)</f>
        <v>0</v>
      </c>
      <c r="CV57" s="197" t="n">
        <f aca="false">- SUM(TblConstr[[#This Row],[DM]:[Sch]])+SUM(TblConstr[[#This Row],[Dest DM]:[Dest Sch]]) +Rezone!Q57 + IF("Ch_" &amp; home_land=TblConstr[[#Headers],[Ch_Cavern]],TblConstr[[#This Row],[Home Land]])+IF(TblConstr[[#This Row],[Hour]:[Hour]]&gt;12,OFFSET(TblExplore[[#This Row],[Cavern Explore]],-12,0),0)</f>
        <v>0</v>
      </c>
      <c r="CW57" s="198" t="n">
        <f aca="false">-TblConstr[[#This Row],[Doc]]+TblConstr[[#This Row],[Dest Doc]] +Rezone!R57 + IF("Ch_" &amp; home_land=TblConstr[[#Headers],[Ch_Water]],TblConstr[[#This Row],[Home Land]])+IF(TblConstr[[#This Row],[Hour]:[Hour]]&gt;12,OFFSET(TblExplore[[#This Row],[Water Explore]],-12,0),0)</f>
        <v>0</v>
      </c>
      <c r="CX57" s="1" t="n">
        <f aca="false">IF(Explore!S57=1,20) - TblConstr[[#This Row],[Hom]] + TblConstr[[#This Row],[Dest Hom]]</f>
        <v>0</v>
      </c>
      <c r="CY57" s="132"/>
      <c r="CZ57" s="69" t="n">
        <f aca="false">G57+SUM(P46:S57)+SUM(AZ57:BC57)</f>
        <v>430</v>
      </c>
      <c r="DA57" s="69" t="n">
        <f aca="false">H57+SUM(T46:U57)+SUM(BD57:BE57)</f>
        <v>25</v>
      </c>
      <c r="DB57" s="1" t="n">
        <f aca="false">I57+SUM(V46:W57)+SUM(BF57:BG57)</f>
        <v>0</v>
      </c>
      <c r="DC57" s="69" t="n">
        <f aca="false">J57+SUM(X46:Y57)+SUM(BH57:BI57)</f>
        <v>67</v>
      </c>
      <c r="DD57" s="69" t="n">
        <f aca="false">K57+SUM(AB46:AD57)+SUM(BL57:BN57)</f>
        <v>72</v>
      </c>
      <c r="DE57" s="1" t="n">
        <f aca="false">L57+SUM(AE46:AE57)+BO57</f>
        <v>0</v>
      </c>
      <c r="DF57" s="69" t="n">
        <f aca="false">M57+SUM(AG46:AG57)+BQ57</f>
        <v>24</v>
      </c>
      <c r="DG57" s="69" t="e">
        <f aca="false" t="array" ref="DG57:DG57">INDEX(TblConstr[[Total Plain]:[Total Water]],ROW()-ROW(TblConstr[#headers]),MATCH("Total "&amp;home_land,TblConstr[[#Headers],[Total Plain]:[Total Water]],0))+TblConstr[[#This Row],[Homes]]</f>
        <v>#VALUE!</v>
      </c>
      <c r="DH57" s="1" t="n">
        <f aca="false">SUM(O46:O57)+AY57</f>
        <v>40</v>
      </c>
      <c r="DI57" s="1" t="n">
        <f aca="false">MAX(BA57-BA56,0)</f>
        <v>0</v>
      </c>
      <c r="DJ57" s="1" t="n">
        <f aca="false">MAX(BQ57-BQ56,0)</f>
        <v>0</v>
      </c>
    </row>
    <row r="58" customFormat="false" ht="12.75" hidden="false" customHeight="false" outlineLevel="0" collapsed="false">
      <c r="A58" s="170" t="n">
        <f aca="false">TblRezone[[#This Row],[Hour]]</f>
        <v>55</v>
      </c>
      <c r="B58" s="171" t="n">
        <f aca="false">SUM(TblConstr[[#This Row],[Plain]:[Water]])</f>
        <v>0</v>
      </c>
      <c r="C58" s="172" t="n">
        <f aca="false">SUM(TblConstr[[#This Row],[Tot Hom]:[Tot Doc]])</f>
        <v>520</v>
      </c>
      <c r="D58" s="172" t="n">
        <f aca="false">SUM(O47:AG58)</f>
        <v>180</v>
      </c>
      <c r="E58" s="173"/>
      <c r="F58" s="33" t="n">
        <f aca="false">TblConstr[[#This Row],[Barren]]+TblConstr[[#This Row],[Buildings]]+TblConstr[[#This Row],[Incoming]]</f>
        <v>700</v>
      </c>
      <c r="G58" s="199" t="n">
        <f aca="false">OFFSET(TblConstr[[#This Row],[Plain]],-1,0)+TblConstr[[#This Row],[Ch_Plain]]</f>
        <v>0</v>
      </c>
      <c r="H58" s="193" t="n">
        <f aca="false">OFFSET(TblConstr[[#This Row],[Forest]],-1,0)+TblConstr[[#This Row],[Ch_Forest]]</f>
        <v>0</v>
      </c>
      <c r="I58" s="200" t="n">
        <f aca="false">OFFSET(TblConstr[[#This Row],[Mountain]],-1,0)+TblConstr[[#This Row],[Ch_Mountain]]</f>
        <v>0</v>
      </c>
      <c r="J58" s="201" t="n">
        <f aca="false">OFFSET(TblConstr[[#This Row],[Hill]],-1,0)+TblConstr[[#This Row],[Ch_Hill]]</f>
        <v>0</v>
      </c>
      <c r="K58" s="202" t="n">
        <f aca="false">OFFSET(TblConstr[[#This Row],[Swamp]],-1,0)+TblConstr[[#This Row],[Ch_Swamp]]</f>
        <v>0</v>
      </c>
      <c r="L58" s="197" t="n">
        <f aca="false">OFFSET(TblConstr[[#This Row],[Cavern]],-1,0)+TblConstr[[#This Row],[Ch_Cavern]]</f>
        <v>0</v>
      </c>
      <c r="M58" s="198" t="n">
        <f aca="false">OFFSET(TblConstr[[#This Row],[Water]],-1,0)+TblConstr[[#This Row],[Ch_Water]]</f>
        <v>0</v>
      </c>
      <c r="N58" s="181" t="n">
        <f aca="false">TblRezone[[#This Row],[Hour]]</f>
        <v>55</v>
      </c>
      <c r="O58" s="182"/>
      <c r="P58" s="182"/>
      <c r="Q58" s="182"/>
      <c r="R58" s="182"/>
      <c r="S58" s="182"/>
      <c r="T58" s="182"/>
      <c r="U58" s="182"/>
      <c r="V58" s="182"/>
      <c r="W58" s="182"/>
      <c r="X58" s="182"/>
      <c r="Y58" s="182"/>
      <c r="Z58" s="182" t="n">
        <v>4</v>
      </c>
      <c r="AA58" s="182"/>
      <c r="AB58" s="182" t="n">
        <v>4</v>
      </c>
      <c r="AC58" s="182"/>
      <c r="AD58" s="182"/>
      <c r="AE58" s="182"/>
      <c r="AF58" s="182"/>
      <c r="AG58" s="182"/>
      <c r="AH58" s="20" t="n">
        <f aca="false">TblImps[[#This Row],[Time]]</f>
        <v>45432</v>
      </c>
      <c r="AI58" s="130" t="n">
        <f aca="false">MIN(25%,(TblConstr[[#This Row],[Tot Fac]]+TblConstr[[#This Row],[Dest Fac]])/(TblConstr[[#This Row],[Land]]-TblExplore[[#This Row],[Land Bonus]]*20))</f>
        <v>0.0957142857142857</v>
      </c>
      <c r="AJ58" s="130" t="n">
        <f aca="false">MIN(25%,(TblConstr[[#This Row],[Tot Fac]]+TblConstr[[#This Row],[Dest Fac]])/TblConstr[[#This Row],[Land]])</f>
        <v>0.0957142857142857</v>
      </c>
      <c r="AK58" s="69" t="n">
        <f aca="false">TblProd[[#This Row],[Platinum]]</f>
        <v>510224</v>
      </c>
      <c r="AL58" s="69" t="n">
        <f aca="false">TblProd[[#This Row],[Lumber]]</f>
        <v>4118</v>
      </c>
      <c r="AM5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595</v>
      </c>
      <c r="AN58" s="69" t="n">
        <f aca="false">ROUNDDOWN( MAX(1 - MIN(facs_constr_factor*TblConstr[[#This Row],[Facs -DB]],facs_constr_max) + tech_1_11*TblTech[[#This Row],[11-1]] + tech_6_3_2*TblTech[[#This Row],[6-3]] + tech_5_2_3*TblTech[[#This Row],[5-2]], 1-global_constr_cap) * TblConstr[[#This Row],[RCPA Lumber]],0)</f>
        <v>112</v>
      </c>
      <c r="AO5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595</v>
      </c>
      <c r="AP58" s="69" t="n">
        <f aca="false">ROUNDDOWN( MAX(1 - MIN(facs_constr_factor*TblConstr[[#This Row],[Facs DB]],facs_constr_max) + tech_1_11*TblTech[[#This Row],[1-11]] + tech_6_3_2*TblTech[[#This Row],[6-3]] + tech_5_2_3*TblTech[[#This Row],[5-2]], 1-global_constr_cap) * ROUND((TblConstr[[#This Row],[Land]]-250)*0.285 + 87.5 + 0/4.25,0),0)</f>
        <v>112</v>
      </c>
      <c r="AQ58" s="1" t="n">
        <f aca="false">TblConstr[[#This Row],[build -db]]*TblConstr[[#This Row],[CPA Platinum -DB]] + TblConstr[[#This Row],[build db]]*TblConstr[[#This Row],[CPA Platinum DB]]</f>
        <v>4760</v>
      </c>
      <c r="AR58" s="1" t="n">
        <f aca="false">TblConstr[[#This Row],[build -db]]*TblConstr[[#This Row],[CPA Lumber -DB]]+TblConstr[[#This Row],[build db]]*TblConstr[[#This Row],[CPA Lumber DB]]</f>
        <v>896</v>
      </c>
      <c r="AS58" s="69" t="n">
        <f aca="false">MIN(SUM(OFFSET(TblConstr[[#This Row],[Plain]:[Water]],-1,0))+SUM(TblConstr[[#This Row],[Dest Hom]:[Dest Doc]])+IF(TblConstr[[#This Row],[Hour]]&gt;12,SUM(OFFSET(TblExplore[[#This Row],[Plains Explore]:[Water Explore]],-12,0)),0),SUM(TblConstr[[#This Row],[Hom]:[Doc]]))</f>
        <v>8</v>
      </c>
      <c r="AT5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32"/>
      <c r="AV58" s="69" t="n">
        <f aca="false">ROUND((TblConstr[[#This Row],[Land]]-250 - IF(TblExplore[[#This Row],[Land Bonus]]&lt;&gt;0,20,0))*1.25 + 850 + 0,0)</f>
        <v>1413</v>
      </c>
      <c r="AW58" s="69" t="n">
        <f aca="false">ROUND((TblConstr[[#This Row],[Land]]-250 - IF(TblExplore[[#This Row],[Land Bonus]]&lt;&gt;0,20,0))*0.285 + 87.5 + 0/4.25,0)</f>
        <v>216</v>
      </c>
      <c r="AX58" s="146"/>
      <c r="AY58" s="203" t="n">
        <f aca="false" t="array" ref="AY58:AY58">IF(TblConstr[[#This Row],[Hour]:[Hour]]&gt;12,OFFSET(TblConstr[[#This Row],[Hom]],-12,0),0)+OFFSET(TblConstr[[#This Row],[Tot Hom]],-1,0)-TblConstr[[#This Row],[Dest Hom]]</f>
        <v>0</v>
      </c>
      <c r="AZ58" s="204" t="n">
        <f aca="false" t="array" ref="AZ58:AZ58">IF(TblConstr[[#This Row],[Hour]:[Hour]]&gt;12,OFFSET(TblConstr[[#This Row],[Alc]],-12,0),0)+OFFSET(TblConstr[[#This Row],[Tot Alc]],-1,0)-TblConstr[[#This Row],[Dest Alc]]</f>
        <v>263</v>
      </c>
      <c r="BA58" s="204" t="n">
        <f aca="false" t="array" ref="BA58:BA58">IF(TblConstr[[#This Row],[Hour]:[Hour]]&gt;12,OFFSET(TblConstr[[#This Row],[Far]],-12,0),0)+OFFSET(TblConstr[[#This Row],[Tot Farm]],-1,0)-TblConstr[[#This Row],[Dest Farm]]</f>
        <v>19</v>
      </c>
      <c r="BB58" s="204" t="n">
        <f aca="false" t="array" ref="BB58:BB58">IF(TblConstr[[#This Row],[Hour]:[Hour]]&gt;12,OFFSET(TblConstr[[#This Row],[Smi]],-12,0),0)+OFFSET(TblConstr[[#This Row],[Tot Smi]],-1,0)-TblConstr[[#This Row],[Dest Smi]]</f>
        <v>64</v>
      </c>
      <c r="BC58" s="204" t="n">
        <f aca="false" t="array" ref="BC58:BC58">IF(TblConstr[[#This Row],[Hour]:[Hour]]&gt;12,OFFSET(TblConstr[[#This Row],[Mas]],-12,0),0)+OFFSET(TblConstr[[#This Row],[Tot Mas]],-1,0)-TblConstr[[#This Row],[Dest Mas]]</f>
        <v>0</v>
      </c>
      <c r="BD58" s="205" t="n">
        <f aca="false" t="array" ref="BD58:BD58">IF(TblConstr[[#This Row],[Hour]:[Hour]]&gt;12,OFFSET(TblConstr[[#This Row],[Ly]],-12,0),0)+OFFSET(TblConstr[[#This Row],[Tot Ly]],-1,0)-TblConstr[[#This Row],[Dest Ly]]</f>
        <v>25</v>
      </c>
      <c r="BE58" s="205" t="n">
        <f aca="false" t="array" ref="BE58:BE58">IF(TblConstr[[#This Row],[Hour]:[Hour]]&gt;12,OFFSET(TblConstr[[#This Row],[Hav]],-12,0),0)+OFFSET(TblConstr[[#This Row],[Tot Hav]],-1,0)-TblConstr[[#This Row],[Dest Hav]]</f>
        <v>0</v>
      </c>
      <c r="BF58" s="194" t="n">
        <f aca="false" t="array" ref="BF58:BF58">IF(TblConstr[[#This Row],[Hour]:[Hour]]&gt;12,OFFSET(TblConstr[[#This Row],[OM]],-12,0),0)+OFFSET(TblConstr[[#This Row],[Tot OM]],-1,0)-TblConstr[[#This Row],[Dest OM]]</f>
        <v>0</v>
      </c>
      <c r="BG58" s="194" t="n">
        <f aca="false" t="array" ref="BG58:BG58">IF(TblConstr[[#This Row],[Hour]:[Hour]]&gt;12,OFFSET(TblConstr[[#This Row],[GN]],-12,0),0)+OFFSET(TblConstr[[#This Row],[Tot GN]],-1,0)-TblConstr[[#This Row],[Dest GN]]</f>
        <v>0</v>
      </c>
      <c r="BH58" s="206" t="n">
        <f aca="false" t="array" ref="BH58:BH58">IF(TblConstr[[#This Row],[Hour]:[Hour]]&gt;12,OFFSET(TblConstr[[#This Row],[Fac]],-12,0),0)+OFFSET(TblConstr[[#This Row],[Tot Fac]],-1,0)-TblConstr[[#This Row],[Dest Fac]]</f>
        <v>67</v>
      </c>
      <c r="BI58" s="206" t="n">
        <f aca="false" t="array" ref="BI58:BI58">IF(TblConstr[[#This Row],[Hour]:[Hour]]&gt;12,OFFSET(TblConstr[[#This Row],[GT]],-12,0),0)+OFFSET(TblConstr[[#This Row],[Tot GT]],-1,0)-TblConstr[[#This Row],[Dest GT]]</f>
        <v>0</v>
      </c>
      <c r="BJ58" s="206" t="n">
        <f aca="false" t="array" ref="BJ58:BJ58">IF(TblConstr[[#This Row],[Hour]:[Hour]]&gt;12,OFFSET(TblConstr[[#This Row],[Bar]],-12,0),0)+OFFSET(TblConstr[[#This Row],[Tot Bar]],-1,0)-TblConstr[[#This Row],[Dest Bar]]</f>
        <v>0</v>
      </c>
      <c r="BK58" s="206" t="n">
        <f aca="false" t="array" ref="BK58:BK58">IF(TblConstr[[#This Row],[Hour]:[Hour]]&gt;12,OFFSET(TblConstr[[#This Row],[Shr]],-12,0),0)+OFFSET(TblConstr[[#This Row],[Tot Shr]],-1,0)-TblConstr[[#This Row],[Dest Shr]]</f>
        <v>0</v>
      </c>
      <c r="BL58" s="207" t="n">
        <f aca="false" t="array" ref="BL58:BL58">IF(TblConstr[[#This Row],[Hour]:[Hour]]&gt;12,OFFSET(TblConstr[[#This Row],[Tow]],-12,0),0)+OFFSET(TblConstr[[#This Row],[Tot Tow]],-1,0)-TblConstr[[#This Row],[Dest Tow]]</f>
        <v>25</v>
      </c>
      <c r="BM58" s="207" t="n">
        <f aca="false" t="array" ref="BM58:BM58">IF(TblConstr[[#This Row],[Hour]:[Hour]]&gt;12,OFFSET(TblConstr[[#This Row],[Tem]],-12,0),0)+OFFSET(TblConstr[[#This Row],[Tot Tem]],-1,0)-TblConstr[[#This Row],[Dest Tem]]</f>
        <v>47</v>
      </c>
      <c r="BN58" s="207" t="n">
        <f aca="false" t="array" ref="BN58:BN58">IF(TblConstr[[#This Row],[Hour]:[Hour]]&gt;12,OFFSET(TblConstr[[#This Row],[WG]],-12,0),0)+OFFSET(TblConstr[[#This Row],[Tot WG]],-1,0)-TblConstr[[#This Row],[Dest WG]]</f>
        <v>0</v>
      </c>
      <c r="BO58" s="208" t="n">
        <f aca="false" t="array" ref="BO58:BO58">IF(TblConstr[[#This Row],[Hour]:[Hour]]&gt;12,OFFSET(TblConstr[[#This Row],[DM]],-12,0),0)+OFFSET(TblConstr[[#This Row],[Tot DM]],-1,0)-TblConstr[[#This Row],[Dest DM]]</f>
        <v>0</v>
      </c>
      <c r="BP58" s="208" t="n">
        <f aca="false" t="array" ref="BP58:BP58">IF(TblConstr[[#This Row],[Hour]:[Hour]]&gt;12,OFFSET(TblConstr[[#This Row],[Sch]],-12,0),0)+OFFSET(TblConstr[[#This Row],[Tot Sch]],-1,0)-TblConstr[[#This Row],[Dest Sch]]</f>
        <v>0</v>
      </c>
      <c r="BQ58" s="209" t="n">
        <f aca="false" t="array" ref="BQ58:BQ58">IF(TblConstr[[#This Row],[Hour]:[Hour]]&gt;12,OFFSET(TblConstr[[#This Row],[Doc]],-12,0),0)+OFFSET(TblConstr[[#This Row],[Tot Doc]],-1,0)-TblConstr[[#This Row],[Dest Doc]]</f>
        <v>10</v>
      </c>
      <c r="BR58" s="132"/>
      <c r="BS58" s="146"/>
      <c r="BT58" s="69" t="n">
        <f aca="false">TblConstr[[#This Row],[Land]]</f>
        <v>700</v>
      </c>
      <c r="BU58" s="153" t="n">
        <f aca="false">TblImps[[#This Row],[Time]]</f>
        <v>45432</v>
      </c>
      <c r="BV58" s="132"/>
      <c r="BW58" s="182"/>
      <c r="BX58" s="182"/>
      <c r="BY58" s="182"/>
      <c r="BZ58" s="182"/>
      <c r="CA58" s="182"/>
      <c r="CB58" s="182"/>
      <c r="CC58" s="182"/>
      <c r="CD58" s="182"/>
      <c r="CE58" s="182"/>
      <c r="CF58" s="182"/>
      <c r="CG58" s="182"/>
      <c r="CH58" s="182"/>
      <c r="CI58" s="182"/>
      <c r="CJ58" s="182"/>
      <c r="CK58" s="182"/>
      <c r="CL58" s="182"/>
      <c r="CM58" s="182"/>
      <c r="CN58" s="182"/>
      <c r="CO58" s="182"/>
      <c r="CP58" s="132"/>
      <c r="CQ58" s="192" t="n">
        <f aca="false">-SUM(TblConstr[[#This Row],[Alc]:[Mas]])+SUM(TblConstr[[#This Row],[Dest Alc]:[Dest Mas]])+Rezone!L58+IF("Ch_"&amp; home_land=TblConstr[[#Headers],[Ch_Plain]],TblConstr[[#This Row],[Home Land]])+IF(TblConstr[[#This Row],[Hour]:[Hour]]&gt;12,OFFSET(TblExplore[[#This Row],[Plains Explore]],-12,0),0)</f>
        <v>0</v>
      </c>
      <c r="CR58" s="193" t="n">
        <f aca="false">-SUM(TblConstr[[#This Row],[Ly]:[Hav]])+SUM(TblConstr[[#This Row],[Dest Ly]:[Dest Hav]]) +Rezone!M58 + IF("Ch_"&amp; home_land=TblConstr[[#Headers],[Ch_Forest]],TblConstr[[#This Row],[Home Land]])+IF(TblConstr[[#This Row],[Hour]:[Hour]]&gt;12,OFFSET(TblExplore[[#This Row],[Forest Explore]],-12,0),0)</f>
        <v>0</v>
      </c>
      <c r="CS58" s="200" t="n">
        <f aca="false">-SUM(TblConstr[[#This Row],[OM]:[GN]])+SUM(TblConstr[[#This Row],[Dest OM]:[Dest GN]]) +Rezone!N58 + IF("Ch_"&amp; home_land=TblConstr[[#Headers],[Ch_Mountain]],TblConstr[[#This Row],[Home Land]])+IF(TblConstr[[#This Row],[Hour]:[Hour]]&gt;12,OFFSET(TblExplore[[#This Row],[Mountain Explore]],-12,0),0)</f>
        <v>0</v>
      </c>
      <c r="CT58" s="195" t="n">
        <f aca="false">-SUM(TblConstr[[#This Row],[Fac]:[Shr]])+SUM(TblConstr[[#This Row],[Dest Fac]:[Dest Shr]]) +Rezone!O58 + IF("Ch_" &amp; home_land=TblConstr[[#Headers],[Ch_Hill]],TblConstr[[#This Row],[Home Land]])+IF(TblConstr[[#This Row],[Hour]:[Hour]]&gt;12,OFFSET(TblExplore[[#This Row],[Hill Explore]],-12,0),0)</f>
        <v>0</v>
      </c>
      <c r="CU58" s="196" t="n">
        <f aca="false">-SUM(TblConstr[[#This Row],[Tow]:[WG]])+SUM(TblConstr[[#This Row],[Dest Tow]:[Dest WG]]) +Rezone!P58 + IF("Ch_" &amp; home_land=TblConstr[[#Headers],[Ch_Swamp]],TblConstr[[#This Row],[Home Land]])+IF(TblConstr[[#This Row],[Hour]:[Hour]]&gt;12,OFFSET(TblExplore[[#This Row],[Swamp Explore]],-12,0),0)</f>
        <v>0</v>
      </c>
      <c r="CV58" s="197" t="n">
        <f aca="false">- SUM(TblConstr[[#This Row],[DM]:[Sch]])+SUM(TblConstr[[#This Row],[Dest DM]:[Dest Sch]]) +Rezone!Q58 + IF("Ch_" &amp; home_land=TblConstr[[#Headers],[Ch_Cavern]],TblConstr[[#This Row],[Home Land]])+IF(TblConstr[[#This Row],[Hour]:[Hour]]&gt;12,OFFSET(TblExplore[[#This Row],[Cavern Explore]],-12,0),0)</f>
        <v>0</v>
      </c>
      <c r="CW58" s="198" t="n">
        <f aca="false">-TblConstr[[#This Row],[Doc]]+TblConstr[[#This Row],[Dest Doc]] +Rezone!R58 + IF("Ch_" &amp; home_land=TblConstr[[#Headers],[Ch_Water]],TblConstr[[#This Row],[Home Land]])+IF(TblConstr[[#This Row],[Hour]:[Hour]]&gt;12,OFFSET(TblExplore[[#This Row],[Water Explore]],-12,0),0)</f>
        <v>0</v>
      </c>
      <c r="CX58" s="1" t="n">
        <f aca="false">IF(Explore!S58=1,20) - TblConstr[[#This Row],[Hom]] + TblConstr[[#This Row],[Dest Hom]]</f>
        <v>0</v>
      </c>
      <c r="CY58" s="132"/>
      <c r="CZ58" s="69" t="n">
        <f aca="false">G58+SUM(P47:S58)+SUM(AZ58:BC58)</f>
        <v>430</v>
      </c>
      <c r="DA58" s="69" t="n">
        <f aca="false">H58+SUM(T47:U58)+SUM(BD58:BE58)</f>
        <v>25</v>
      </c>
      <c r="DB58" s="1" t="n">
        <f aca="false">I58+SUM(V47:W58)+SUM(BF58:BG58)</f>
        <v>0</v>
      </c>
      <c r="DC58" s="69" t="n">
        <f aca="false">J58+SUM(X47:Y58)+SUM(BH58:BI58)</f>
        <v>67</v>
      </c>
      <c r="DD58" s="69" t="n">
        <f aca="false">K58+SUM(AB47:AD58)+SUM(BL58:BN58)</f>
        <v>76</v>
      </c>
      <c r="DE58" s="1" t="n">
        <f aca="false">L58+SUM(AE47:AE58)+BO58</f>
        <v>0</v>
      </c>
      <c r="DF58" s="69" t="n">
        <f aca="false">M58+SUM(AG47:AG58)+BQ58</f>
        <v>24</v>
      </c>
      <c r="DG58" s="69" t="e">
        <f aca="false" t="array" ref="DG58:DG58">INDEX(TblConstr[[Total Plain]:[Total Water]],ROW()-ROW(TblConstr[#headers]),MATCH("Total "&amp;home_land,TblConstr[[#Headers],[Total Plain]:[Total Water]],0))+TblConstr[[#This Row],[Homes]]</f>
        <v>#VALUE!</v>
      </c>
      <c r="DH58" s="1" t="n">
        <f aca="false">SUM(O47:O58)+AY58</f>
        <v>40</v>
      </c>
      <c r="DI58" s="1" t="n">
        <f aca="false">MAX(BA58-BA57,0)</f>
        <v>0</v>
      </c>
      <c r="DJ58" s="1" t="n">
        <f aca="false">MAX(BQ58-BQ57,0)</f>
        <v>0</v>
      </c>
    </row>
    <row r="59" customFormat="false" ht="12.75" hidden="false" customHeight="false" outlineLevel="0" collapsed="false">
      <c r="A59" s="170" t="n">
        <f aca="false">TblRezone[[#This Row],[Hour]]</f>
        <v>56</v>
      </c>
      <c r="B59" s="171" t="n">
        <f aca="false">SUM(TblConstr[[#This Row],[Plain]:[Water]])</f>
        <v>0</v>
      </c>
      <c r="C59" s="172" t="n">
        <f aca="false">SUM(TblConstr[[#This Row],[Tot Hom]:[Tot Doc]])</f>
        <v>529</v>
      </c>
      <c r="D59" s="172" t="n">
        <f aca="false">SUM(O48:AG59)</f>
        <v>171</v>
      </c>
      <c r="E59" s="173"/>
      <c r="F59" s="33" t="n">
        <f aca="false">TblConstr[[#This Row],[Barren]]+TblConstr[[#This Row],[Buildings]]+TblConstr[[#This Row],[Incoming]]</f>
        <v>700</v>
      </c>
      <c r="G59" s="199" t="n">
        <f aca="false">OFFSET(TblConstr[[#This Row],[Plain]],-1,0)+TblConstr[[#This Row],[Ch_Plain]]</f>
        <v>0</v>
      </c>
      <c r="H59" s="193" t="n">
        <f aca="false">OFFSET(TblConstr[[#This Row],[Forest]],-1,0)+TblConstr[[#This Row],[Ch_Forest]]</f>
        <v>0</v>
      </c>
      <c r="I59" s="200" t="n">
        <f aca="false">OFFSET(TblConstr[[#This Row],[Mountain]],-1,0)+TblConstr[[#This Row],[Ch_Mountain]]</f>
        <v>0</v>
      </c>
      <c r="J59" s="201" t="n">
        <f aca="false">OFFSET(TblConstr[[#This Row],[Hill]],-1,0)+TblConstr[[#This Row],[Ch_Hill]]</f>
        <v>0</v>
      </c>
      <c r="K59" s="202" t="n">
        <f aca="false">OFFSET(TblConstr[[#This Row],[Swamp]],-1,0)+TblConstr[[#This Row],[Ch_Swamp]]</f>
        <v>0</v>
      </c>
      <c r="L59" s="197" t="n">
        <f aca="false">OFFSET(TblConstr[[#This Row],[Cavern]],-1,0)+TblConstr[[#This Row],[Ch_Cavern]]</f>
        <v>0</v>
      </c>
      <c r="M59" s="198" t="n">
        <f aca="false">OFFSET(TblConstr[[#This Row],[Water]],-1,0)+TblConstr[[#This Row],[Ch_Water]]</f>
        <v>0</v>
      </c>
      <c r="N59" s="181" t="n">
        <f aca="false">TblRezone[[#This Row],[Hour]]</f>
        <v>56</v>
      </c>
      <c r="O59" s="182"/>
      <c r="P59" s="182"/>
      <c r="Q59" s="182"/>
      <c r="R59" s="182"/>
      <c r="S59" s="182"/>
      <c r="T59" s="182"/>
      <c r="U59" s="182"/>
      <c r="V59" s="182"/>
      <c r="W59" s="182"/>
      <c r="X59" s="182"/>
      <c r="Y59" s="182" t="n">
        <v>1</v>
      </c>
      <c r="Z59" s="182"/>
      <c r="AA59" s="182"/>
      <c r="AB59" s="182"/>
      <c r="AC59" s="182"/>
      <c r="AD59" s="182"/>
      <c r="AE59" s="182"/>
      <c r="AF59" s="182"/>
      <c r="AG59" s="182"/>
      <c r="AH59" s="20" t="n">
        <f aca="false">TblImps[[#This Row],[Time]]</f>
        <v>45432.0416666667</v>
      </c>
      <c r="AI59" s="130" t="n">
        <f aca="false">MIN(25%,(TblConstr[[#This Row],[Tot Fac]]+TblConstr[[#This Row],[Dest Fac]])/(TblConstr[[#This Row],[Land]]-TblExplore[[#This Row],[Land Bonus]]*20))</f>
        <v>0.0957142857142857</v>
      </c>
      <c r="AJ59" s="130" t="n">
        <f aca="false">MIN(25%,(TblConstr[[#This Row],[Tot Fac]]+TblConstr[[#This Row],[Dest Fac]])/TblConstr[[#This Row],[Land]])</f>
        <v>0.0957142857142857</v>
      </c>
      <c r="AK59" s="69" t="n">
        <f aca="false">TblProd[[#This Row],[Platinum]]</f>
        <v>556484</v>
      </c>
      <c r="AL59" s="69" t="n">
        <f aca="false">TblProd[[#This Row],[Lumber]]</f>
        <v>5090</v>
      </c>
      <c r="AM5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595</v>
      </c>
      <c r="AN59" s="69" t="n">
        <f aca="false">ROUNDDOWN( MAX(1 - MIN(facs_constr_factor*TblConstr[[#This Row],[Facs -DB]],facs_constr_max) + tech_1_11*TblTech[[#This Row],[11-1]] + tech_6_3_2*TblTech[[#This Row],[6-3]] + tech_5_2_3*TblTech[[#This Row],[5-2]], 1-global_constr_cap) * TblConstr[[#This Row],[RCPA Lumber]],0)</f>
        <v>112</v>
      </c>
      <c r="AO5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595</v>
      </c>
      <c r="AP59" s="69" t="n">
        <f aca="false">ROUNDDOWN( MAX(1 - MIN(facs_constr_factor*TblConstr[[#This Row],[Facs DB]],facs_constr_max) + tech_1_11*TblTech[[#This Row],[1-11]] + tech_6_3_2*TblTech[[#This Row],[6-3]] + tech_5_2_3*TblTech[[#This Row],[5-2]], 1-global_constr_cap) * ROUND((TblConstr[[#This Row],[Land]]-250)*0.285 + 87.5 + 0/4.25,0),0)</f>
        <v>112</v>
      </c>
      <c r="AQ59" s="1" t="n">
        <f aca="false">TblConstr[[#This Row],[build -db]]*TblConstr[[#This Row],[CPA Platinum -DB]] + TblConstr[[#This Row],[build db]]*TblConstr[[#This Row],[CPA Platinum DB]]</f>
        <v>595</v>
      </c>
      <c r="AR59" s="1" t="n">
        <f aca="false">TblConstr[[#This Row],[build -db]]*TblConstr[[#This Row],[CPA Lumber -DB]]+TblConstr[[#This Row],[build db]]*TblConstr[[#This Row],[CPA Lumber DB]]</f>
        <v>112</v>
      </c>
      <c r="AS59" s="69" t="n">
        <f aca="false">MIN(SUM(OFFSET(TblConstr[[#This Row],[Plain]:[Water]],-1,0))+SUM(TblConstr[[#This Row],[Dest Hom]:[Dest Doc]])+IF(TblConstr[[#This Row],[Hour]]&gt;12,SUM(OFFSET(TblExplore[[#This Row],[Plains Explore]:[Water Explore]],-12,0)),0),SUM(TblConstr[[#This Row],[Hom]:[Doc]]))</f>
        <v>1</v>
      </c>
      <c r="AT5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32"/>
      <c r="AV59" s="69" t="n">
        <f aca="false">ROUND((TblConstr[[#This Row],[Land]]-250 - IF(TblExplore[[#This Row],[Land Bonus]]&lt;&gt;0,20,0))*1.25 + 850 + 0,0)</f>
        <v>1413</v>
      </c>
      <c r="AW59" s="69" t="n">
        <f aca="false">ROUND((TblConstr[[#This Row],[Land]]-250 - IF(TblExplore[[#This Row],[Land Bonus]]&lt;&gt;0,20,0))*0.285 + 87.5 + 0/4.25,0)</f>
        <v>216</v>
      </c>
      <c r="AX59" s="146"/>
      <c r="AY59" s="203" t="n">
        <f aca="false" t="array" ref="AY59:AY59">IF(TblConstr[[#This Row],[Hour]:[Hour]]&gt;12,OFFSET(TblConstr[[#This Row],[Hom]],-12,0),0)+OFFSET(TblConstr[[#This Row],[Tot Hom]],-1,0)-TblConstr[[#This Row],[Dest Hom]]</f>
        <v>0</v>
      </c>
      <c r="AZ59" s="204" t="n">
        <f aca="false" t="array" ref="AZ59:AZ59">IF(TblConstr[[#This Row],[Hour]:[Hour]]&gt;12,OFFSET(TblConstr[[#This Row],[Alc]],-12,0),0)+OFFSET(TblConstr[[#This Row],[Tot Alc]],-1,0)-TblConstr[[#This Row],[Dest Alc]]</f>
        <v>264</v>
      </c>
      <c r="BA59" s="204" t="n">
        <f aca="false" t="array" ref="BA59:BA59">IF(TblConstr[[#This Row],[Hour]:[Hour]]&gt;12,OFFSET(TblConstr[[#This Row],[Far]],-12,0),0)+OFFSET(TblConstr[[#This Row],[Tot Farm]],-1,0)-TblConstr[[#This Row],[Dest Farm]]</f>
        <v>19</v>
      </c>
      <c r="BB59" s="204" t="n">
        <f aca="false" t="array" ref="BB59:BB59">IF(TblConstr[[#This Row],[Hour]:[Hour]]&gt;12,OFFSET(TblConstr[[#This Row],[Smi]],-12,0),0)+OFFSET(TblConstr[[#This Row],[Tot Smi]],-1,0)-TblConstr[[#This Row],[Dest Smi]]</f>
        <v>73</v>
      </c>
      <c r="BC59" s="204" t="n">
        <f aca="false" t="array" ref="BC59:BC59">IF(TblConstr[[#This Row],[Hour]:[Hour]]&gt;12,OFFSET(TblConstr[[#This Row],[Mas]],-12,0),0)+OFFSET(TblConstr[[#This Row],[Tot Mas]],-1,0)-TblConstr[[#This Row],[Dest Mas]]</f>
        <v>0</v>
      </c>
      <c r="BD59" s="205" t="n">
        <f aca="false" t="array" ref="BD59:BD59">IF(TblConstr[[#This Row],[Hour]:[Hour]]&gt;12,OFFSET(TblConstr[[#This Row],[Ly]],-12,0),0)+OFFSET(TblConstr[[#This Row],[Tot Ly]],-1,0)-TblConstr[[#This Row],[Dest Ly]]</f>
        <v>25</v>
      </c>
      <c r="BE59" s="205" t="n">
        <f aca="false" t="array" ref="BE59:BE59">IF(TblConstr[[#This Row],[Hour]:[Hour]]&gt;12,OFFSET(TblConstr[[#This Row],[Hav]],-12,0),0)+OFFSET(TblConstr[[#This Row],[Tot Hav]],-1,0)-TblConstr[[#This Row],[Dest Hav]]</f>
        <v>0</v>
      </c>
      <c r="BF59" s="194" t="n">
        <f aca="false" t="array" ref="BF59:BF59">IF(TblConstr[[#This Row],[Hour]:[Hour]]&gt;12,OFFSET(TblConstr[[#This Row],[OM]],-12,0),0)+OFFSET(TblConstr[[#This Row],[Tot OM]],-1,0)-TblConstr[[#This Row],[Dest OM]]</f>
        <v>0</v>
      </c>
      <c r="BG59" s="194" t="n">
        <f aca="false" t="array" ref="BG59:BG59">IF(TblConstr[[#This Row],[Hour]:[Hour]]&gt;12,OFFSET(TblConstr[[#This Row],[GN]],-12,0),0)+OFFSET(TblConstr[[#This Row],[Tot GN]],-1,0)-TblConstr[[#This Row],[Dest GN]]</f>
        <v>0</v>
      </c>
      <c r="BH59" s="206" t="n">
        <f aca="false" t="array" ref="BH59:BH59">IF(TblConstr[[#This Row],[Hour]:[Hour]]&gt;12,OFFSET(TblConstr[[#This Row],[Fac]],-12,0),0)+OFFSET(TblConstr[[#This Row],[Tot Fac]],-1,0)-TblConstr[[#This Row],[Dest Fac]]</f>
        <v>66</v>
      </c>
      <c r="BI59" s="206" t="n">
        <f aca="false" t="array" ref="BI59:BI59">IF(TblConstr[[#This Row],[Hour]:[Hour]]&gt;12,OFFSET(TblConstr[[#This Row],[GT]],-12,0),0)+OFFSET(TblConstr[[#This Row],[Tot GT]],-1,0)-TblConstr[[#This Row],[Dest GT]]</f>
        <v>0</v>
      </c>
      <c r="BJ59" s="206" t="n">
        <f aca="false" t="array" ref="BJ59:BJ59">IF(TblConstr[[#This Row],[Hour]:[Hour]]&gt;12,OFFSET(TblConstr[[#This Row],[Bar]],-12,0),0)+OFFSET(TblConstr[[#This Row],[Tot Bar]],-1,0)-TblConstr[[#This Row],[Dest Bar]]</f>
        <v>0</v>
      </c>
      <c r="BK59" s="206" t="n">
        <f aca="false" t="array" ref="BK59:BK59">IF(TblConstr[[#This Row],[Hour]:[Hour]]&gt;12,OFFSET(TblConstr[[#This Row],[Shr]],-12,0),0)+OFFSET(TblConstr[[#This Row],[Tot Shr]],-1,0)-TblConstr[[#This Row],[Dest Shr]]</f>
        <v>0</v>
      </c>
      <c r="BL59" s="207" t="n">
        <f aca="false" t="array" ref="BL59:BL59">IF(TblConstr[[#This Row],[Hour]:[Hour]]&gt;12,OFFSET(TblConstr[[#This Row],[Tow]],-12,0),0)+OFFSET(TblConstr[[#This Row],[Tot Tow]],-1,0)-TblConstr[[#This Row],[Dest Tow]]</f>
        <v>25</v>
      </c>
      <c r="BM59" s="207" t="n">
        <f aca="false" t="array" ref="BM59:BM59">IF(TblConstr[[#This Row],[Hour]:[Hour]]&gt;12,OFFSET(TblConstr[[#This Row],[Tem]],-12,0),0)+OFFSET(TblConstr[[#This Row],[Tot Tem]],-1,0)-TblConstr[[#This Row],[Dest Tem]]</f>
        <v>47</v>
      </c>
      <c r="BN59" s="207" t="n">
        <f aca="false" t="array" ref="BN59:BN59">IF(TblConstr[[#This Row],[Hour]:[Hour]]&gt;12,OFFSET(TblConstr[[#This Row],[WG]],-12,0),0)+OFFSET(TblConstr[[#This Row],[Tot WG]],-1,0)-TblConstr[[#This Row],[Dest WG]]</f>
        <v>0</v>
      </c>
      <c r="BO59" s="208" t="n">
        <f aca="false" t="array" ref="BO59:BO59">IF(TblConstr[[#This Row],[Hour]:[Hour]]&gt;12,OFFSET(TblConstr[[#This Row],[DM]],-12,0),0)+OFFSET(TblConstr[[#This Row],[Tot DM]],-1,0)-TblConstr[[#This Row],[Dest DM]]</f>
        <v>0</v>
      </c>
      <c r="BP59" s="208" t="n">
        <f aca="false" t="array" ref="BP59:BP59">IF(TblConstr[[#This Row],[Hour]:[Hour]]&gt;12,OFFSET(TblConstr[[#This Row],[Sch]],-12,0),0)+OFFSET(TblConstr[[#This Row],[Tot Sch]],-1,0)-TblConstr[[#This Row],[Dest Sch]]</f>
        <v>0</v>
      </c>
      <c r="BQ59" s="209" t="n">
        <f aca="false" t="array" ref="BQ59:BQ59">IF(TblConstr[[#This Row],[Hour]:[Hour]]&gt;12,OFFSET(TblConstr[[#This Row],[Doc]],-12,0),0)+OFFSET(TblConstr[[#This Row],[Tot Doc]],-1,0)-TblConstr[[#This Row],[Dest Doc]]</f>
        <v>10</v>
      </c>
      <c r="BR59" s="132"/>
      <c r="BS59" s="146"/>
      <c r="BT59" s="69" t="n">
        <f aca="false">TblConstr[[#This Row],[Land]]</f>
        <v>700</v>
      </c>
      <c r="BU59" s="153" t="n">
        <f aca="false">TblImps[[#This Row],[Time]]</f>
        <v>45432.0416666667</v>
      </c>
      <c r="BV59" s="132"/>
      <c r="BW59" s="182"/>
      <c r="BX59" s="182"/>
      <c r="BY59" s="182"/>
      <c r="BZ59" s="182"/>
      <c r="CA59" s="182"/>
      <c r="CB59" s="182"/>
      <c r="CC59" s="182"/>
      <c r="CD59" s="182"/>
      <c r="CE59" s="182"/>
      <c r="CF59" s="182" t="n">
        <v>1</v>
      </c>
      <c r="CG59" s="182"/>
      <c r="CH59" s="182"/>
      <c r="CI59" s="182"/>
      <c r="CJ59" s="182"/>
      <c r="CK59" s="182"/>
      <c r="CL59" s="182"/>
      <c r="CM59" s="182"/>
      <c r="CN59" s="182"/>
      <c r="CO59" s="182"/>
      <c r="CP59" s="132"/>
      <c r="CQ59" s="192" t="n">
        <f aca="false">-SUM(TblConstr[[#This Row],[Alc]:[Mas]])+SUM(TblConstr[[#This Row],[Dest Alc]:[Dest Mas]])+Rezone!L59+IF("Ch_"&amp; home_land=TblConstr[[#Headers],[Ch_Plain]],TblConstr[[#This Row],[Home Land]])+IF(TblConstr[[#This Row],[Hour]:[Hour]]&gt;12,OFFSET(TblExplore[[#This Row],[Plains Explore]],-12,0),0)</f>
        <v>0</v>
      </c>
      <c r="CR59" s="193" t="n">
        <f aca="false">-SUM(TblConstr[[#This Row],[Ly]:[Hav]])+SUM(TblConstr[[#This Row],[Dest Ly]:[Dest Hav]]) +Rezone!M59 + IF("Ch_"&amp; home_land=TblConstr[[#Headers],[Ch_Forest]],TblConstr[[#This Row],[Home Land]])+IF(TblConstr[[#This Row],[Hour]:[Hour]]&gt;12,OFFSET(TblExplore[[#This Row],[Forest Explore]],-12,0),0)</f>
        <v>0</v>
      </c>
      <c r="CS59" s="200" t="n">
        <f aca="false">-SUM(TblConstr[[#This Row],[OM]:[GN]])+SUM(TblConstr[[#This Row],[Dest OM]:[Dest GN]]) +Rezone!N59 + IF("Ch_"&amp; home_land=TblConstr[[#Headers],[Ch_Mountain]],TblConstr[[#This Row],[Home Land]])+IF(TblConstr[[#This Row],[Hour]:[Hour]]&gt;12,OFFSET(TblExplore[[#This Row],[Mountain Explore]],-12,0),0)</f>
        <v>0</v>
      </c>
      <c r="CT59" s="195" t="n">
        <f aca="false">-SUM(TblConstr[[#This Row],[Fac]:[Shr]])+SUM(TblConstr[[#This Row],[Dest Fac]:[Dest Shr]]) +Rezone!O59 + IF("Ch_" &amp; home_land=TblConstr[[#Headers],[Ch_Hill]],TblConstr[[#This Row],[Home Land]])+IF(TblConstr[[#This Row],[Hour]:[Hour]]&gt;12,OFFSET(TblExplore[[#This Row],[Hill Explore]],-12,0),0)</f>
        <v>0</v>
      </c>
      <c r="CU59" s="196" t="n">
        <f aca="false">-SUM(TblConstr[[#This Row],[Tow]:[WG]])+SUM(TblConstr[[#This Row],[Dest Tow]:[Dest WG]]) +Rezone!P59 + IF("Ch_" &amp; home_land=TblConstr[[#Headers],[Ch_Swamp]],TblConstr[[#This Row],[Home Land]])+IF(TblConstr[[#This Row],[Hour]:[Hour]]&gt;12,OFFSET(TblExplore[[#This Row],[Swamp Explore]],-12,0),0)</f>
        <v>0</v>
      </c>
      <c r="CV59" s="197" t="n">
        <f aca="false">- SUM(TblConstr[[#This Row],[DM]:[Sch]])+SUM(TblConstr[[#This Row],[Dest DM]:[Dest Sch]]) +Rezone!Q59 + IF("Ch_" &amp; home_land=TblConstr[[#Headers],[Ch_Cavern]],TblConstr[[#This Row],[Home Land]])+IF(TblConstr[[#This Row],[Hour]:[Hour]]&gt;12,OFFSET(TblExplore[[#This Row],[Cavern Explore]],-12,0),0)</f>
        <v>0</v>
      </c>
      <c r="CW59" s="198" t="n">
        <f aca="false">-TblConstr[[#This Row],[Doc]]+TblConstr[[#This Row],[Dest Doc]] +Rezone!R59 + IF("Ch_" &amp; home_land=TblConstr[[#Headers],[Ch_Water]],TblConstr[[#This Row],[Home Land]])+IF(TblConstr[[#This Row],[Hour]:[Hour]]&gt;12,OFFSET(TblExplore[[#This Row],[Water Explore]],-12,0),0)</f>
        <v>0</v>
      </c>
      <c r="CX59" s="1" t="n">
        <f aca="false">IF(Explore!S59=1,20) - TblConstr[[#This Row],[Hom]] + TblConstr[[#This Row],[Dest Hom]]</f>
        <v>0</v>
      </c>
      <c r="CY59" s="132"/>
      <c r="CZ59" s="69" t="n">
        <f aca="false">G59+SUM(P48:S59)+SUM(AZ59:BC59)</f>
        <v>430</v>
      </c>
      <c r="DA59" s="69" t="n">
        <f aca="false">H59+SUM(T48:U59)+SUM(BD59:BE59)</f>
        <v>25</v>
      </c>
      <c r="DB59" s="1" t="n">
        <f aca="false">I59+SUM(V48:W59)+SUM(BF59:BG59)</f>
        <v>0</v>
      </c>
      <c r="DC59" s="69" t="n">
        <f aca="false">J59+SUM(X48:Y59)+SUM(BH59:BI59)</f>
        <v>67</v>
      </c>
      <c r="DD59" s="69" t="n">
        <f aca="false">K59+SUM(AB48:AD59)+SUM(BL59:BN59)</f>
        <v>76</v>
      </c>
      <c r="DE59" s="1" t="n">
        <f aca="false">L59+SUM(AE48:AE59)+BO59</f>
        <v>0</v>
      </c>
      <c r="DF59" s="69" t="n">
        <f aca="false">M59+SUM(AG48:AG59)+BQ59</f>
        <v>24</v>
      </c>
      <c r="DG59" s="69" t="e">
        <f aca="false" t="array" ref="DG59:DG59">INDEX(TblConstr[[Total Plain]:[Total Water]],ROW()-ROW(TblConstr[#headers]),MATCH("Total "&amp;home_land,TblConstr[[#Headers],[Total Plain]:[Total Water]],0))+TblConstr[[#This Row],[Homes]]</f>
        <v>#VALUE!</v>
      </c>
      <c r="DH59" s="1" t="n">
        <f aca="false">SUM(O48:O59)+AY59</f>
        <v>40</v>
      </c>
      <c r="DI59" s="1" t="n">
        <f aca="false">MAX(BA59-BA58,0)</f>
        <v>0</v>
      </c>
      <c r="DJ59" s="1" t="n">
        <f aca="false">MAX(BQ59-BQ58,0)</f>
        <v>0</v>
      </c>
    </row>
    <row r="60" customFormat="false" ht="12.75" hidden="false" customHeight="false" outlineLevel="0" collapsed="false">
      <c r="A60" s="170" t="n">
        <f aca="false">TblRezone[[#This Row],[Hour]]</f>
        <v>57</v>
      </c>
      <c r="B60" s="171" t="n">
        <f aca="false">SUM(TblConstr[[#This Row],[Plain]:[Water]])</f>
        <v>0</v>
      </c>
      <c r="C60" s="172" t="n">
        <f aca="false">SUM(TblConstr[[#This Row],[Tot Hom]:[Tot Doc]])</f>
        <v>538</v>
      </c>
      <c r="D60" s="172" t="n">
        <f aca="false">SUM(O49:AG60)</f>
        <v>162</v>
      </c>
      <c r="E60" s="173"/>
      <c r="F60" s="33" t="n">
        <f aca="false">TblConstr[[#This Row],[Barren]]+TblConstr[[#This Row],[Buildings]]+TblConstr[[#This Row],[Incoming]]</f>
        <v>700</v>
      </c>
      <c r="G60" s="199" t="n">
        <f aca="false">OFFSET(TblConstr[[#This Row],[Plain]],-1,0)+TblConstr[[#This Row],[Ch_Plain]]</f>
        <v>0</v>
      </c>
      <c r="H60" s="193" t="n">
        <f aca="false">OFFSET(TblConstr[[#This Row],[Forest]],-1,0)+TblConstr[[#This Row],[Ch_Forest]]</f>
        <v>0</v>
      </c>
      <c r="I60" s="200" t="n">
        <f aca="false">OFFSET(TblConstr[[#This Row],[Mountain]],-1,0)+TblConstr[[#This Row],[Ch_Mountain]]</f>
        <v>0</v>
      </c>
      <c r="J60" s="201" t="n">
        <f aca="false">OFFSET(TblConstr[[#This Row],[Hill]],-1,0)+TblConstr[[#This Row],[Ch_Hill]]</f>
        <v>0</v>
      </c>
      <c r="K60" s="202" t="n">
        <f aca="false">OFFSET(TblConstr[[#This Row],[Swamp]],-1,0)+TblConstr[[#This Row],[Ch_Swamp]]</f>
        <v>0</v>
      </c>
      <c r="L60" s="197" t="n">
        <f aca="false">OFFSET(TblConstr[[#This Row],[Cavern]],-1,0)+TblConstr[[#This Row],[Ch_Cavern]]</f>
        <v>0</v>
      </c>
      <c r="M60" s="198" t="n">
        <f aca="false">OFFSET(TblConstr[[#This Row],[Water]],-1,0)+TblConstr[[#This Row],[Ch_Water]]</f>
        <v>0</v>
      </c>
      <c r="N60" s="181" t="n">
        <f aca="false">TblRezone[[#This Row],[Hour]]</f>
        <v>57</v>
      </c>
      <c r="O60" s="182"/>
      <c r="P60" s="182"/>
      <c r="Q60" s="182"/>
      <c r="R60" s="182"/>
      <c r="S60" s="182"/>
      <c r="T60" s="182"/>
      <c r="U60" s="182"/>
      <c r="V60" s="182"/>
      <c r="W60" s="182"/>
      <c r="X60" s="182"/>
      <c r="Y60" s="182" t="n">
        <v>1</v>
      </c>
      <c r="Z60" s="182"/>
      <c r="AA60" s="182"/>
      <c r="AB60" s="182"/>
      <c r="AC60" s="182"/>
      <c r="AD60" s="182"/>
      <c r="AE60" s="182"/>
      <c r="AF60" s="182"/>
      <c r="AG60" s="182"/>
      <c r="AH60" s="20" t="n">
        <f aca="false">TblImps[[#This Row],[Time]]</f>
        <v>45432.0833333333</v>
      </c>
      <c r="AI60" s="130" t="n">
        <f aca="false">MIN(25%,(TblConstr[[#This Row],[Tot Fac]]+TblConstr[[#This Row],[Dest Fac]])/(TblConstr[[#This Row],[Land]]-TblExplore[[#This Row],[Land Bonus]]*20))</f>
        <v>0.0942857142857143</v>
      </c>
      <c r="AJ60" s="130" t="n">
        <f aca="false">MIN(25%,(TblConstr[[#This Row],[Tot Fac]]+TblConstr[[#This Row],[Dest Fac]])/TblConstr[[#This Row],[Land]])</f>
        <v>0.0942857142857143</v>
      </c>
      <c r="AK60" s="69" t="n">
        <f aca="false">TblProd[[#This Row],[Platinum]]</f>
        <v>602753</v>
      </c>
      <c r="AL60" s="69" t="n">
        <f aca="false">TblProd[[#This Row],[Lumber]]</f>
        <v>6050</v>
      </c>
      <c r="AM6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605</v>
      </c>
      <c r="AN60" s="69" t="n">
        <f aca="false">ROUNDDOWN( MAX(1 - MIN(facs_constr_factor*TblConstr[[#This Row],[Facs -DB]],facs_constr_max) + tech_1_11*TblTech[[#This Row],[11-1]] + tech_6_3_2*TblTech[[#This Row],[6-3]] + tech_5_2_3*TblTech[[#This Row],[5-2]], 1-global_constr_cap) * TblConstr[[#This Row],[RCPA Lumber]],0)</f>
        <v>114</v>
      </c>
      <c r="AO6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605</v>
      </c>
      <c r="AP60" s="69" t="n">
        <f aca="false">ROUNDDOWN( MAX(1 - MIN(facs_constr_factor*TblConstr[[#This Row],[Facs DB]],facs_constr_max) + tech_1_11*TblTech[[#This Row],[1-11]] + tech_6_3_2*TblTech[[#This Row],[6-3]] + tech_5_2_3*TblTech[[#This Row],[5-2]], 1-global_constr_cap) * ROUND((TblConstr[[#This Row],[Land]]-250)*0.285 + 87.5 + 0/4.25,0),0)</f>
        <v>114</v>
      </c>
      <c r="AQ60" s="1" t="n">
        <f aca="false">TblConstr[[#This Row],[build -db]]*TblConstr[[#This Row],[CPA Platinum -DB]] + TblConstr[[#This Row],[build db]]*TblConstr[[#This Row],[CPA Platinum DB]]</f>
        <v>605</v>
      </c>
      <c r="AR60" s="1" t="n">
        <f aca="false">TblConstr[[#This Row],[build -db]]*TblConstr[[#This Row],[CPA Lumber -DB]]+TblConstr[[#This Row],[build db]]*TblConstr[[#This Row],[CPA Lumber DB]]</f>
        <v>114</v>
      </c>
      <c r="AS60" s="69" t="n">
        <f aca="false">MIN(SUM(OFFSET(TblConstr[[#This Row],[Plain]:[Water]],-1,0))+SUM(TblConstr[[#This Row],[Dest Hom]:[Dest Doc]])+IF(TblConstr[[#This Row],[Hour]]&gt;12,SUM(OFFSET(TblExplore[[#This Row],[Plains Explore]:[Water Explore]],-12,0)),0),SUM(TblConstr[[#This Row],[Hom]:[Doc]]))</f>
        <v>1</v>
      </c>
      <c r="AT6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32"/>
      <c r="AV60" s="69" t="n">
        <f aca="false">ROUND((TblConstr[[#This Row],[Land]]-250 - IF(TblExplore[[#This Row],[Land Bonus]]&lt;&gt;0,20,0))*1.25 + 850 + 0,0)</f>
        <v>1413</v>
      </c>
      <c r="AW60" s="69" t="n">
        <f aca="false">ROUND((TblConstr[[#This Row],[Land]]-250 - IF(TblExplore[[#This Row],[Land Bonus]]&lt;&gt;0,20,0))*0.285 + 87.5 + 0/4.25,0)</f>
        <v>216</v>
      </c>
      <c r="AX60" s="146"/>
      <c r="AY60" s="203" t="n">
        <f aca="false" t="array" ref="AY60:AY60">IF(TblConstr[[#This Row],[Hour]:[Hour]]&gt;12,OFFSET(TblConstr[[#This Row],[Hom]],-12,0),0)+OFFSET(TblConstr[[#This Row],[Tot Hom]],-1,0)-TblConstr[[#This Row],[Dest Hom]]</f>
        <v>0</v>
      </c>
      <c r="AZ60" s="204" t="n">
        <f aca="false" t="array" ref="AZ60:AZ60">IF(TblConstr[[#This Row],[Hour]:[Hour]]&gt;12,OFFSET(TblConstr[[#This Row],[Alc]],-12,0),0)+OFFSET(TblConstr[[#This Row],[Tot Alc]],-1,0)-TblConstr[[#This Row],[Dest Alc]]</f>
        <v>265</v>
      </c>
      <c r="BA60" s="204" t="n">
        <f aca="false" t="array" ref="BA60:BA60">IF(TblConstr[[#This Row],[Hour]:[Hour]]&gt;12,OFFSET(TblConstr[[#This Row],[Far]],-12,0),0)+OFFSET(TblConstr[[#This Row],[Tot Farm]],-1,0)-TblConstr[[#This Row],[Dest Farm]]</f>
        <v>19</v>
      </c>
      <c r="BB60" s="204" t="n">
        <f aca="false" t="array" ref="BB60:BB60">IF(TblConstr[[#This Row],[Hour]:[Hour]]&gt;12,OFFSET(TblConstr[[#This Row],[Smi]],-12,0),0)+OFFSET(TblConstr[[#This Row],[Tot Smi]],-1,0)-TblConstr[[#This Row],[Dest Smi]]</f>
        <v>82</v>
      </c>
      <c r="BC60" s="204" t="n">
        <f aca="false" t="array" ref="BC60:BC60">IF(TblConstr[[#This Row],[Hour]:[Hour]]&gt;12,OFFSET(TblConstr[[#This Row],[Mas]],-12,0),0)+OFFSET(TblConstr[[#This Row],[Tot Mas]],-1,0)-TblConstr[[#This Row],[Dest Mas]]</f>
        <v>0</v>
      </c>
      <c r="BD60" s="205" t="n">
        <f aca="false" t="array" ref="BD60:BD60">IF(TblConstr[[#This Row],[Hour]:[Hour]]&gt;12,OFFSET(TblConstr[[#This Row],[Ly]],-12,0),0)+OFFSET(TblConstr[[#This Row],[Tot Ly]],-1,0)-TblConstr[[#This Row],[Dest Ly]]</f>
        <v>25</v>
      </c>
      <c r="BE60" s="205" t="n">
        <f aca="false" t="array" ref="BE60:BE60">IF(TblConstr[[#This Row],[Hour]:[Hour]]&gt;12,OFFSET(TblConstr[[#This Row],[Hav]],-12,0),0)+OFFSET(TblConstr[[#This Row],[Tot Hav]],-1,0)-TblConstr[[#This Row],[Dest Hav]]</f>
        <v>0</v>
      </c>
      <c r="BF60" s="194" t="n">
        <f aca="false" t="array" ref="BF60:BF60">IF(TblConstr[[#This Row],[Hour]:[Hour]]&gt;12,OFFSET(TblConstr[[#This Row],[OM]],-12,0),0)+OFFSET(TblConstr[[#This Row],[Tot OM]],-1,0)-TblConstr[[#This Row],[Dest OM]]</f>
        <v>0</v>
      </c>
      <c r="BG60" s="194" t="n">
        <f aca="false" t="array" ref="BG60:BG60">IF(TblConstr[[#This Row],[Hour]:[Hour]]&gt;12,OFFSET(TblConstr[[#This Row],[GN]],-12,0),0)+OFFSET(TblConstr[[#This Row],[Tot GN]],-1,0)-TblConstr[[#This Row],[Dest GN]]</f>
        <v>0</v>
      </c>
      <c r="BH60" s="206" t="n">
        <f aca="false" t="array" ref="BH60:BH60">IF(TblConstr[[#This Row],[Hour]:[Hour]]&gt;12,OFFSET(TblConstr[[#This Row],[Fac]],-12,0),0)+OFFSET(TblConstr[[#This Row],[Tot Fac]],-1,0)-TblConstr[[#This Row],[Dest Fac]]</f>
        <v>65</v>
      </c>
      <c r="BI60" s="206" t="n">
        <f aca="false" t="array" ref="BI60:BI60">IF(TblConstr[[#This Row],[Hour]:[Hour]]&gt;12,OFFSET(TblConstr[[#This Row],[GT]],-12,0),0)+OFFSET(TblConstr[[#This Row],[Tot GT]],-1,0)-TblConstr[[#This Row],[Dest GT]]</f>
        <v>0</v>
      </c>
      <c r="BJ60" s="206" t="n">
        <f aca="false" t="array" ref="BJ60:BJ60">IF(TblConstr[[#This Row],[Hour]:[Hour]]&gt;12,OFFSET(TblConstr[[#This Row],[Bar]],-12,0),0)+OFFSET(TblConstr[[#This Row],[Tot Bar]],-1,0)-TblConstr[[#This Row],[Dest Bar]]</f>
        <v>0</v>
      </c>
      <c r="BK60" s="206" t="n">
        <f aca="false" t="array" ref="BK60:BK60">IF(TblConstr[[#This Row],[Hour]:[Hour]]&gt;12,OFFSET(TblConstr[[#This Row],[Shr]],-12,0),0)+OFFSET(TblConstr[[#This Row],[Tot Shr]],-1,0)-TblConstr[[#This Row],[Dest Shr]]</f>
        <v>0</v>
      </c>
      <c r="BL60" s="207" t="n">
        <f aca="false" t="array" ref="BL60:BL60">IF(TblConstr[[#This Row],[Hour]:[Hour]]&gt;12,OFFSET(TblConstr[[#This Row],[Tow]],-12,0),0)+OFFSET(TblConstr[[#This Row],[Tot Tow]],-1,0)-TblConstr[[#This Row],[Dest Tow]]</f>
        <v>25</v>
      </c>
      <c r="BM60" s="207" t="n">
        <f aca="false" t="array" ref="BM60:BM60">IF(TblConstr[[#This Row],[Hour]:[Hour]]&gt;12,OFFSET(TblConstr[[#This Row],[Tem]],-12,0),0)+OFFSET(TblConstr[[#This Row],[Tot Tem]],-1,0)-TblConstr[[#This Row],[Dest Tem]]</f>
        <v>47</v>
      </c>
      <c r="BN60" s="207" t="n">
        <f aca="false" t="array" ref="BN60:BN60">IF(TblConstr[[#This Row],[Hour]:[Hour]]&gt;12,OFFSET(TblConstr[[#This Row],[WG]],-12,0),0)+OFFSET(TblConstr[[#This Row],[Tot WG]],-1,0)-TblConstr[[#This Row],[Dest WG]]</f>
        <v>0</v>
      </c>
      <c r="BO60" s="208" t="n">
        <f aca="false" t="array" ref="BO60:BO60">IF(TblConstr[[#This Row],[Hour]:[Hour]]&gt;12,OFFSET(TblConstr[[#This Row],[DM]],-12,0),0)+OFFSET(TblConstr[[#This Row],[Tot DM]],-1,0)-TblConstr[[#This Row],[Dest DM]]</f>
        <v>0</v>
      </c>
      <c r="BP60" s="208" t="n">
        <f aca="false" t="array" ref="BP60:BP60">IF(TblConstr[[#This Row],[Hour]:[Hour]]&gt;12,OFFSET(TblConstr[[#This Row],[Sch]],-12,0),0)+OFFSET(TblConstr[[#This Row],[Tot Sch]],-1,0)-TblConstr[[#This Row],[Dest Sch]]</f>
        <v>0</v>
      </c>
      <c r="BQ60" s="209" t="n">
        <f aca="false" t="array" ref="BQ60:BQ60">IF(TblConstr[[#This Row],[Hour]:[Hour]]&gt;12,OFFSET(TblConstr[[#This Row],[Doc]],-12,0),0)+OFFSET(TblConstr[[#This Row],[Tot Doc]],-1,0)-TblConstr[[#This Row],[Dest Doc]]</f>
        <v>10</v>
      </c>
      <c r="BR60" s="132"/>
      <c r="BS60" s="146"/>
      <c r="BT60" s="69" t="n">
        <f aca="false">TblConstr[[#This Row],[Land]]</f>
        <v>700</v>
      </c>
      <c r="BU60" s="153" t="n">
        <f aca="false">TblImps[[#This Row],[Time]]</f>
        <v>45432.0833333333</v>
      </c>
      <c r="BV60" s="132"/>
      <c r="BW60" s="182"/>
      <c r="BX60" s="182"/>
      <c r="BY60" s="182"/>
      <c r="BZ60" s="182"/>
      <c r="CA60" s="182"/>
      <c r="CB60" s="182"/>
      <c r="CC60" s="182"/>
      <c r="CD60" s="182"/>
      <c r="CE60" s="182"/>
      <c r="CF60" s="182" t="n">
        <v>1</v>
      </c>
      <c r="CG60" s="182"/>
      <c r="CH60" s="182"/>
      <c r="CI60" s="182"/>
      <c r="CJ60" s="182"/>
      <c r="CK60" s="182"/>
      <c r="CL60" s="182"/>
      <c r="CM60" s="182"/>
      <c r="CN60" s="182"/>
      <c r="CO60" s="182"/>
      <c r="CP60" s="132"/>
      <c r="CQ60" s="192" t="n">
        <f aca="false">-SUM(TblConstr[[#This Row],[Alc]:[Mas]])+SUM(TblConstr[[#This Row],[Dest Alc]:[Dest Mas]])+Rezone!L60+IF("Ch_"&amp; home_land=TblConstr[[#Headers],[Ch_Plain]],TblConstr[[#This Row],[Home Land]])+IF(TblConstr[[#This Row],[Hour]:[Hour]]&gt;12,OFFSET(TblExplore[[#This Row],[Plains Explore]],-12,0),0)</f>
        <v>0</v>
      </c>
      <c r="CR60" s="193" t="n">
        <f aca="false">-SUM(TblConstr[[#This Row],[Ly]:[Hav]])+SUM(TblConstr[[#This Row],[Dest Ly]:[Dest Hav]]) +Rezone!M60 + IF("Ch_"&amp; home_land=TblConstr[[#Headers],[Ch_Forest]],TblConstr[[#This Row],[Home Land]])+IF(TblConstr[[#This Row],[Hour]:[Hour]]&gt;12,OFFSET(TblExplore[[#This Row],[Forest Explore]],-12,0),0)</f>
        <v>0</v>
      </c>
      <c r="CS60" s="200" t="n">
        <f aca="false">-SUM(TblConstr[[#This Row],[OM]:[GN]])+SUM(TblConstr[[#This Row],[Dest OM]:[Dest GN]]) +Rezone!N60 + IF("Ch_"&amp; home_land=TblConstr[[#Headers],[Ch_Mountain]],TblConstr[[#This Row],[Home Land]])+IF(TblConstr[[#This Row],[Hour]:[Hour]]&gt;12,OFFSET(TblExplore[[#This Row],[Mountain Explore]],-12,0),0)</f>
        <v>0</v>
      </c>
      <c r="CT60" s="195" t="n">
        <f aca="false">-SUM(TblConstr[[#This Row],[Fac]:[Shr]])+SUM(TblConstr[[#This Row],[Dest Fac]:[Dest Shr]]) +Rezone!O60 + IF("Ch_" &amp; home_land=TblConstr[[#Headers],[Ch_Hill]],TblConstr[[#This Row],[Home Land]])+IF(TblConstr[[#This Row],[Hour]:[Hour]]&gt;12,OFFSET(TblExplore[[#This Row],[Hill Explore]],-12,0),0)</f>
        <v>0</v>
      </c>
      <c r="CU60" s="196" t="n">
        <f aca="false">-SUM(TblConstr[[#This Row],[Tow]:[WG]])+SUM(TblConstr[[#This Row],[Dest Tow]:[Dest WG]]) +Rezone!P60 + IF("Ch_" &amp; home_land=TblConstr[[#Headers],[Ch_Swamp]],TblConstr[[#This Row],[Home Land]])+IF(TblConstr[[#This Row],[Hour]:[Hour]]&gt;12,OFFSET(TblExplore[[#This Row],[Swamp Explore]],-12,0),0)</f>
        <v>0</v>
      </c>
      <c r="CV60" s="197" t="n">
        <f aca="false">- SUM(TblConstr[[#This Row],[DM]:[Sch]])+SUM(TblConstr[[#This Row],[Dest DM]:[Dest Sch]]) +Rezone!Q60 + IF("Ch_" &amp; home_land=TblConstr[[#Headers],[Ch_Cavern]],TblConstr[[#This Row],[Home Land]])+IF(TblConstr[[#This Row],[Hour]:[Hour]]&gt;12,OFFSET(TblExplore[[#This Row],[Cavern Explore]],-12,0),0)</f>
        <v>0</v>
      </c>
      <c r="CW60" s="198" t="n">
        <f aca="false">-TblConstr[[#This Row],[Doc]]+TblConstr[[#This Row],[Dest Doc]] +Rezone!R60 + IF("Ch_" &amp; home_land=TblConstr[[#Headers],[Ch_Water]],TblConstr[[#This Row],[Home Land]])+IF(TblConstr[[#This Row],[Hour]:[Hour]]&gt;12,OFFSET(TblExplore[[#This Row],[Water Explore]],-12,0),0)</f>
        <v>0</v>
      </c>
      <c r="CX60" s="1" t="n">
        <f aca="false">IF(Explore!S60=1,20) - TblConstr[[#This Row],[Hom]] + TblConstr[[#This Row],[Dest Hom]]</f>
        <v>0</v>
      </c>
      <c r="CY60" s="132"/>
      <c r="CZ60" s="69" t="n">
        <f aca="false">G60+SUM(P49:S60)+SUM(AZ60:BC60)</f>
        <v>430</v>
      </c>
      <c r="DA60" s="69" t="n">
        <f aca="false">H60+SUM(T49:U60)+SUM(BD60:BE60)</f>
        <v>25</v>
      </c>
      <c r="DB60" s="1" t="n">
        <f aca="false">I60+SUM(V49:W60)+SUM(BF60:BG60)</f>
        <v>0</v>
      </c>
      <c r="DC60" s="69" t="n">
        <f aca="false">J60+SUM(X49:Y60)+SUM(BH60:BI60)</f>
        <v>67</v>
      </c>
      <c r="DD60" s="69" t="n">
        <f aca="false">K60+SUM(AB49:AD60)+SUM(BL60:BN60)</f>
        <v>76</v>
      </c>
      <c r="DE60" s="1" t="n">
        <f aca="false">L60+SUM(AE49:AE60)+BO60</f>
        <v>0</v>
      </c>
      <c r="DF60" s="69" t="n">
        <f aca="false">M60+SUM(AG49:AG60)+BQ60</f>
        <v>24</v>
      </c>
      <c r="DG60" s="69" t="e">
        <f aca="false" t="array" ref="DG60:DG60">INDEX(TblConstr[[Total Plain]:[Total Water]],ROW()-ROW(TblConstr[#headers]),MATCH("Total "&amp;home_land,TblConstr[[#Headers],[Total Plain]:[Total Water]],0))+TblConstr[[#This Row],[Homes]]</f>
        <v>#VALUE!</v>
      </c>
      <c r="DH60" s="1" t="n">
        <f aca="false">SUM(O49:O60)+AY60</f>
        <v>40</v>
      </c>
      <c r="DI60" s="1" t="n">
        <f aca="false">MAX(BA60-BA59,0)</f>
        <v>0</v>
      </c>
      <c r="DJ60" s="1" t="n">
        <f aca="false">MAX(BQ60-BQ59,0)</f>
        <v>0</v>
      </c>
    </row>
    <row r="61" customFormat="false" ht="12.75" hidden="false" customHeight="false" outlineLevel="0" collapsed="false">
      <c r="A61" s="170" t="n">
        <f aca="false">TblRezone[[#This Row],[Hour]]</f>
        <v>58</v>
      </c>
      <c r="B61" s="171" t="n">
        <f aca="false">SUM(TblConstr[[#This Row],[Plain]:[Water]])</f>
        <v>0</v>
      </c>
      <c r="C61" s="172" t="n">
        <f aca="false">SUM(TblConstr[[#This Row],[Tot Hom]:[Tot Doc]])</f>
        <v>548</v>
      </c>
      <c r="D61" s="172" t="n">
        <f aca="false">SUM(O50:AG61)</f>
        <v>152</v>
      </c>
      <c r="E61" s="173"/>
      <c r="F61" s="33" t="n">
        <f aca="false">TblConstr[[#This Row],[Barren]]+TblConstr[[#This Row],[Buildings]]+TblConstr[[#This Row],[Incoming]]</f>
        <v>700</v>
      </c>
      <c r="G61" s="199" t="n">
        <f aca="false">OFFSET(TblConstr[[#This Row],[Plain]],-1,0)+TblConstr[[#This Row],[Ch_Plain]]</f>
        <v>0</v>
      </c>
      <c r="H61" s="193" t="n">
        <f aca="false">OFFSET(TblConstr[[#This Row],[Forest]],-1,0)+TblConstr[[#This Row],[Ch_Forest]]</f>
        <v>0</v>
      </c>
      <c r="I61" s="200" t="n">
        <f aca="false">OFFSET(TblConstr[[#This Row],[Mountain]],-1,0)+TblConstr[[#This Row],[Ch_Mountain]]</f>
        <v>0</v>
      </c>
      <c r="J61" s="201" t="n">
        <f aca="false">OFFSET(TblConstr[[#This Row],[Hill]],-1,0)+TblConstr[[#This Row],[Ch_Hill]]</f>
        <v>0</v>
      </c>
      <c r="K61" s="202" t="n">
        <f aca="false">OFFSET(TblConstr[[#This Row],[Swamp]],-1,0)+TblConstr[[#This Row],[Ch_Swamp]]</f>
        <v>0</v>
      </c>
      <c r="L61" s="197" t="n">
        <f aca="false">OFFSET(TblConstr[[#This Row],[Cavern]],-1,0)+TblConstr[[#This Row],[Ch_Cavern]]</f>
        <v>0</v>
      </c>
      <c r="M61" s="198" t="n">
        <f aca="false">OFFSET(TblConstr[[#This Row],[Water]],-1,0)+TblConstr[[#This Row],[Ch_Water]]</f>
        <v>0</v>
      </c>
      <c r="N61" s="181" t="n">
        <f aca="false">TblRezone[[#This Row],[Hour]]</f>
        <v>58</v>
      </c>
      <c r="O61" s="182"/>
      <c r="P61" s="182"/>
      <c r="Q61" s="182"/>
      <c r="R61" s="182"/>
      <c r="S61" s="182"/>
      <c r="T61" s="182"/>
      <c r="U61" s="182"/>
      <c r="V61" s="182"/>
      <c r="W61" s="182"/>
      <c r="X61" s="182"/>
      <c r="Y61" s="182" t="n">
        <v>1</v>
      </c>
      <c r="Z61" s="182"/>
      <c r="AA61" s="182"/>
      <c r="AB61" s="182"/>
      <c r="AC61" s="182"/>
      <c r="AD61" s="182"/>
      <c r="AE61" s="182"/>
      <c r="AF61" s="182"/>
      <c r="AG61" s="182"/>
      <c r="AH61" s="20" t="n">
        <f aca="false">TblImps[[#This Row],[Time]]</f>
        <v>45432.125</v>
      </c>
      <c r="AI61" s="130" t="n">
        <f aca="false">MIN(25%,(TblConstr[[#This Row],[Tot Fac]]+TblConstr[[#This Row],[Dest Fac]])/(TblConstr[[#This Row],[Land]]-TblExplore[[#This Row],[Land Bonus]]*20))</f>
        <v>0.0928571428571429</v>
      </c>
      <c r="AJ61" s="130" t="n">
        <f aca="false">MIN(25%,(TblConstr[[#This Row],[Tot Fac]]+TblConstr[[#This Row],[Dest Fac]])/TblConstr[[#This Row],[Land]])</f>
        <v>0.0928571428571429</v>
      </c>
      <c r="AK61" s="69" t="n">
        <f aca="false">TblProd[[#This Row],[Platinum]]</f>
        <v>648776</v>
      </c>
      <c r="AL61" s="69" t="n">
        <f aca="false">TblProd[[#This Row],[Lumber]]</f>
        <v>7000</v>
      </c>
      <c r="AM6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615</v>
      </c>
      <c r="AN61" s="69" t="n">
        <f aca="false">ROUNDDOWN( MAX(1 - MIN(facs_constr_factor*TblConstr[[#This Row],[Facs -DB]],facs_constr_max) + tech_1_11*TblTech[[#This Row],[11-1]] + tech_6_3_2*TblTech[[#This Row],[6-3]] + tech_5_2_3*TblTech[[#This Row],[5-2]], 1-global_constr_cap) * TblConstr[[#This Row],[RCPA Lumber]],0)</f>
        <v>115</v>
      </c>
      <c r="AO6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615</v>
      </c>
      <c r="AP61" s="69" t="n">
        <f aca="false">ROUNDDOWN( MAX(1 - MIN(facs_constr_factor*TblConstr[[#This Row],[Facs DB]],facs_constr_max) + tech_1_11*TblTech[[#This Row],[1-11]] + tech_6_3_2*TblTech[[#This Row],[6-3]] + tech_5_2_3*TblTech[[#This Row],[5-2]], 1-global_constr_cap) * ROUND((TblConstr[[#This Row],[Land]]-250)*0.285 + 87.5 + 0/4.25,0),0)</f>
        <v>115</v>
      </c>
      <c r="AQ61" s="1" t="n">
        <f aca="false">TblConstr[[#This Row],[build -db]]*TblConstr[[#This Row],[CPA Platinum -DB]] + TblConstr[[#This Row],[build db]]*TblConstr[[#This Row],[CPA Platinum DB]]</f>
        <v>615</v>
      </c>
      <c r="AR61" s="1" t="n">
        <f aca="false">TblConstr[[#This Row],[build -db]]*TblConstr[[#This Row],[CPA Lumber -DB]]+TblConstr[[#This Row],[build db]]*TblConstr[[#This Row],[CPA Lumber DB]]</f>
        <v>115</v>
      </c>
      <c r="AS61" s="69" t="n">
        <f aca="false">MIN(SUM(OFFSET(TblConstr[[#This Row],[Plain]:[Water]],-1,0))+SUM(TblConstr[[#This Row],[Dest Hom]:[Dest Doc]])+IF(TblConstr[[#This Row],[Hour]]&gt;12,SUM(OFFSET(TblExplore[[#This Row],[Plains Explore]:[Water Explore]],-12,0)),0),SUM(TblConstr[[#This Row],[Hom]:[Doc]]))</f>
        <v>1</v>
      </c>
      <c r="AT6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32"/>
      <c r="AV61" s="69" t="n">
        <f aca="false">ROUND((TblConstr[[#This Row],[Land]]-250 - IF(TblExplore[[#This Row],[Land Bonus]]&lt;&gt;0,20,0))*1.25 + 850 + 0,0)</f>
        <v>1413</v>
      </c>
      <c r="AW61" s="69" t="n">
        <f aca="false">ROUND((TblConstr[[#This Row],[Land]]-250 - IF(TblExplore[[#This Row],[Land Bonus]]&lt;&gt;0,20,0))*0.285 + 87.5 + 0/4.25,0)</f>
        <v>216</v>
      </c>
      <c r="AX61" s="146"/>
      <c r="AY61" s="203" t="n">
        <f aca="false" t="array" ref="AY61:AY61">IF(TblConstr[[#This Row],[Hour]:[Hour]]&gt;12,OFFSET(TblConstr[[#This Row],[Hom]],-12,0),0)+OFFSET(TblConstr[[#This Row],[Tot Hom]],-1,0)-TblConstr[[#This Row],[Dest Hom]]</f>
        <v>0</v>
      </c>
      <c r="AZ61" s="204" t="n">
        <f aca="false" t="array" ref="AZ61:AZ61">IF(TblConstr[[#This Row],[Hour]:[Hour]]&gt;12,OFFSET(TblConstr[[#This Row],[Alc]],-12,0),0)+OFFSET(TblConstr[[#This Row],[Tot Alc]],-1,0)-TblConstr[[#This Row],[Dest Alc]]</f>
        <v>266</v>
      </c>
      <c r="BA61" s="204" t="n">
        <f aca="false" t="array" ref="BA61:BA61">IF(TblConstr[[#This Row],[Hour]:[Hour]]&gt;12,OFFSET(TblConstr[[#This Row],[Far]],-12,0),0)+OFFSET(TblConstr[[#This Row],[Tot Farm]],-1,0)-TblConstr[[#This Row],[Dest Farm]]</f>
        <v>19</v>
      </c>
      <c r="BB61" s="204" t="n">
        <f aca="false" t="array" ref="BB61:BB61">IF(TblConstr[[#This Row],[Hour]:[Hour]]&gt;12,OFFSET(TblConstr[[#This Row],[Smi]],-12,0),0)+OFFSET(TblConstr[[#This Row],[Tot Smi]],-1,0)-TblConstr[[#This Row],[Dest Smi]]</f>
        <v>92</v>
      </c>
      <c r="BC61" s="204" t="n">
        <f aca="false" t="array" ref="BC61:BC61">IF(TblConstr[[#This Row],[Hour]:[Hour]]&gt;12,OFFSET(TblConstr[[#This Row],[Mas]],-12,0),0)+OFFSET(TblConstr[[#This Row],[Tot Mas]],-1,0)-TblConstr[[#This Row],[Dest Mas]]</f>
        <v>0</v>
      </c>
      <c r="BD61" s="205" t="n">
        <f aca="false" t="array" ref="BD61:BD61">IF(TblConstr[[#This Row],[Hour]:[Hour]]&gt;12,OFFSET(TblConstr[[#This Row],[Ly]],-12,0),0)+OFFSET(TblConstr[[#This Row],[Tot Ly]],-1,0)-TblConstr[[#This Row],[Dest Ly]]</f>
        <v>25</v>
      </c>
      <c r="BE61" s="205" t="n">
        <f aca="false" t="array" ref="BE61:BE61">IF(TblConstr[[#This Row],[Hour]:[Hour]]&gt;12,OFFSET(TblConstr[[#This Row],[Hav]],-12,0),0)+OFFSET(TblConstr[[#This Row],[Tot Hav]],-1,0)-TblConstr[[#This Row],[Dest Hav]]</f>
        <v>0</v>
      </c>
      <c r="BF61" s="194" t="n">
        <f aca="false" t="array" ref="BF61:BF61">IF(TblConstr[[#This Row],[Hour]:[Hour]]&gt;12,OFFSET(TblConstr[[#This Row],[OM]],-12,0),0)+OFFSET(TblConstr[[#This Row],[Tot OM]],-1,0)-TblConstr[[#This Row],[Dest OM]]</f>
        <v>0</v>
      </c>
      <c r="BG61" s="194" t="n">
        <f aca="false" t="array" ref="BG61:BG61">IF(TblConstr[[#This Row],[Hour]:[Hour]]&gt;12,OFFSET(TblConstr[[#This Row],[GN]],-12,0),0)+OFFSET(TblConstr[[#This Row],[Tot GN]],-1,0)-TblConstr[[#This Row],[Dest GN]]</f>
        <v>0</v>
      </c>
      <c r="BH61" s="206" t="n">
        <f aca="false" t="array" ref="BH61:BH61">IF(TblConstr[[#This Row],[Hour]:[Hour]]&gt;12,OFFSET(TblConstr[[#This Row],[Fac]],-12,0),0)+OFFSET(TblConstr[[#This Row],[Tot Fac]],-1,0)-TblConstr[[#This Row],[Dest Fac]]</f>
        <v>64</v>
      </c>
      <c r="BI61" s="206" t="n">
        <f aca="false" t="array" ref="BI61:BI61">IF(TblConstr[[#This Row],[Hour]:[Hour]]&gt;12,OFFSET(TblConstr[[#This Row],[GT]],-12,0),0)+OFFSET(TblConstr[[#This Row],[Tot GT]],-1,0)-TblConstr[[#This Row],[Dest GT]]</f>
        <v>0</v>
      </c>
      <c r="BJ61" s="206" t="n">
        <f aca="false" t="array" ref="BJ61:BJ61">IF(TblConstr[[#This Row],[Hour]:[Hour]]&gt;12,OFFSET(TblConstr[[#This Row],[Bar]],-12,0),0)+OFFSET(TblConstr[[#This Row],[Tot Bar]],-1,0)-TblConstr[[#This Row],[Dest Bar]]</f>
        <v>0</v>
      </c>
      <c r="BK61" s="206" t="n">
        <f aca="false" t="array" ref="BK61:BK61">IF(TblConstr[[#This Row],[Hour]:[Hour]]&gt;12,OFFSET(TblConstr[[#This Row],[Shr]],-12,0),0)+OFFSET(TblConstr[[#This Row],[Tot Shr]],-1,0)-TblConstr[[#This Row],[Dest Shr]]</f>
        <v>0</v>
      </c>
      <c r="BL61" s="207" t="n">
        <f aca="false" t="array" ref="BL61:BL61">IF(TblConstr[[#This Row],[Hour]:[Hour]]&gt;12,OFFSET(TblConstr[[#This Row],[Tow]],-12,0),0)+OFFSET(TblConstr[[#This Row],[Tot Tow]],-1,0)-TblConstr[[#This Row],[Dest Tow]]</f>
        <v>25</v>
      </c>
      <c r="BM61" s="207" t="n">
        <f aca="false" t="array" ref="BM61:BM61">IF(TblConstr[[#This Row],[Hour]:[Hour]]&gt;12,OFFSET(TblConstr[[#This Row],[Tem]],-12,0),0)+OFFSET(TblConstr[[#This Row],[Tot Tem]],-1,0)-TblConstr[[#This Row],[Dest Tem]]</f>
        <v>47</v>
      </c>
      <c r="BN61" s="207" t="n">
        <f aca="false" t="array" ref="BN61:BN61">IF(TblConstr[[#This Row],[Hour]:[Hour]]&gt;12,OFFSET(TblConstr[[#This Row],[WG]],-12,0),0)+OFFSET(TblConstr[[#This Row],[Tot WG]],-1,0)-TblConstr[[#This Row],[Dest WG]]</f>
        <v>0</v>
      </c>
      <c r="BO61" s="208" t="n">
        <f aca="false" t="array" ref="BO61:BO61">IF(TblConstr[[#This Row],[Hour]:[Hour]]&gt;12,OFFSET(TblConstr[[#This Row],[DM]],-12,0),0)+OFFSET(TblConstr[[#This Row],[Tot DM]],-1,0)-TblConstr[[#This Row],[Dest DM]]</f>
        <v>0</v>
      </c>
      <c r="BP61" s="208" t="n">
        <f aca="false" t="array" ref="BP61:BP61">IF(TblConstr[[#This Row],[Hour]:[Hour]]&gt;12,OFFSET(TblConstr[[#This Row],[Sch]],-12,0),0)+OFFSET(TblConstr[[#This Row],[Tot Sch]],-1,0)-TblConstr[[#This Row],[Dest Sch]]</f>
        <v>0</v>
      </c>
      <c r="BQ61" s="209" t="n">
        <f aca="false" t="array" ref="BQ61:BQ61">IF(TblConstr[[#This Row],[Hour]:[Hour]]&gt;12,OFFSET(TblConstr[[#This Row],[Doc]],-12,0),0)+OFFSET(TblConstr[[#This Row],[Tot Doc]],-1,0)-TblConstr[[#This Row],[Dest Doc]]</f>
        <v>10</v>
      </c>
      <c r="BR61" s="132"/>
      <c r="BS61" s="146"/>
      <c r="BT61" s="69" t="n">
        <f aca="false">TblConstr[[#This Row],[Land]]</f>
        <v>700</v>
      </c>
      <c r="BU61" s="153" t="n">
        <f aca="false">TblImps[[#This Row],[Time]]</f>
        <v>45432.125</v>
      </c>
      <c r="BV61" s="132"/>
      <c r="BW61" s="182"/>
      <c r="BX61" s="182"/>
      <c r="BY61" s="182"/>
      <c r="BZ61" s="182"/>
      <c r="CA61" s="182"/>
      <c r="CB61" s="182"/>
      <c r="CC61" s="182"/>
      <c r="CD61" s="182"/>
      <c r="CE61" s="182"/>
      <c r="CF61" s="182" t="n">
        <v>1</v>
      </c>
      <c r="CG61" s="182"/>
      <c r="CH61" s="182"/>
      <c r="CI61" s="182"/>
      <c r="CJ61" s="182"/>
      <c r="CK61" s="182"/>
      <c r="CL61" s="182"/>
      <c r="CM61" s="182"/>
      <c r="CN61" s="182"/>
      <c r="CO61" s="182"/>
      <c r="CP61" s="132"/>
      <c r="CQ61" s="192" t="n">
        <f aca="false">-SUM(TblConstr[[#This Row],[Alc]:[Mas]])+SUM(TblConstr[[#This Row],[Dest Alc]:[Dest Mas]])+Rezone!L61+IF("Ch_"&amp; home_land=TblConstr[[#Headers],[Ch_Plain]],TblConstr[[#This Row],[Home Land]])+IF(TblConstr[[#This Row],[Hour]:[Hour]]&gt;12,OFFSET(TblExplore[[#This Row],[Plains Explore]],-12,0),0)</f>
        <v>0</v>
      </c>
      <c r="CR61" s="193" t="n">
        <f aca="false">-SUM(TblConstr[[#This Row],[Ly]:[Hav]])+SUM(TblConstr[[#This Row],[Dest Ly]:[Dest Hav]]) +Rezone!M61 + IF("Ch_"&amp; home_land=TblConstr[[#Headers],[Ch_Forest]],TblConstr[[#This Row],[Home Land]])+IF(TblConstr[[#This Row],[Hour]:[Hour]]&gt;12,OFFSET(TblExplore[[#This Row],[Forest Explore]],-12,0),0)</f>
        <v>0</v>
      </c>
      <c r="CS61" s="200" t="n">
        <f aca="false">-SUM(TblConstr[[#This Row],[OM]:[GN]])+SUM(TblConstr[[#This Row],[Dest OM]:[Dest GN]]) +Rezone!N61 + IF("Ch_"&amp; home_land=TblConstr[[#Headers],[Ch_Mountain]],TblConstr[[#This Row],[Home Land]])+IF(TblConstr[[#This Row],[Hour]:[Hour]]&gt;12,OFFSET(TblExplore[[#This Row],[Mountain Explore]],-12,0),0)</f>
        <v>0</v>
      </c>
      <c r="CT61" s="195" t="n">
        <f aca="false">-SUM(TblConstr[[#This Row],[Fac]:[Shr]])+SUM(TblConstr[[#This Row],[Dest Fac]:[Dest Shr]]) +Rezone!O61 + IF("Ch_" &amp; home_land=TblConstr[[#Headers],[Ch_Hill]],TblConstr[[#This Row],[Home Land]])+IF(TblConstr[[#This Row],[Hour]:[Hour]]&gt;12,OFFSET(TblExplore[[#This Row],[Hill Explore]],-12,0),0)</f>
        <v>0</v>
      </c>
      <c r="CU61" s="196" t="n">
        <f aca="false">-SUM(TblConstr[[#This Row],[Tow]:[WG]])+SUM(TblConstr[[#This Row],[Dest Tow]:[Dest WG]]) +Rezone!P61 + IF("Ch_" &amp; home_land=TblConstr[[#Headers],[Ch_Swamp]],TblConstr[[#This Row],[Home Land]])+IF(TblConstr[[#This Row],[Hour]:[Hour]]&gt;12,OFFSET(TblExplore[[#This Row],[Swamp Explore]],-12,0),0)</f>
        <v>0</v>
      </c>
      <c r="CV61" s="197" t="n">
        <f aca="false">- SUM(TblConstr[[#This Row],[DM]:[Sch]])+SUM(TblConstr[[#This Row],[Dest DM]:[Dest Sch]]) +Rezone!Q61 + IF("Ch_" &amp; home_land=TblConstr[[#Headers],[Ch_Cavern]],TblConstr[[#This Row],[Home Land]])+IF(TblConstr[[#This Row],[Hour]:[Hour]]&gt;12,OFFSET(TblExplore[[#This Row],[Cavern Explore]],-12,0),0)</f>
        <v>0</v>
      </c>
      <c r="CW61" s="198" t="n">
        <f aca="false">-TblConstr[[#This Row],[Doc]]+TblConstr[[#This Row],[Dest Doc]] +Rezone!R61 + IF("Ch_" &amp; home_land=TblConstr[[#Headers],[Ch_Water]],TblConstr[[#This Row],[Home Land]])+IF(TblConstr[[#This Row],[Hour]:[Hour]]&gt;12,OFFSET(TblExplore[[#This Row],[Water Explore]],-12,0),0)</f>
        <v>0</v>
      </c>
      <c r="CX61" s="1" t="n">
        <f aca="false">IF(Explore!S61=1,20) - TblConstr[[#This Row],[Hom]] + TblConstr[[#This Row],[Dest Hom]]</f>
        <v>0</v>
      </c>
      <c r="CY61" s="132"/>
      <c r="CZ61" s="69" t="n">
        <f aca="false">G61+SUM(P50:S61)+SUM(AZ61:BC61)</f>
        <v>430</v>
      </c>
      <c r="DA61" s="69" t="n">
        <f aca="false">H61+SUM(T50:U61)+SUM(BD61:BE61)</f>
        <v>25</v>
      </c>
      <c r="DB61" s="1" t="n">
        <f aca="false">I61+SUM(V50:W61)+SUM(BF61:BG61)</f>
        <v>0</v>
      </c>
      <c r="DC61" s="69" t="n">
        <f aca="false">J61+SUM(X50:Y61)+SUM(BH61:BI61)</f>
        <v>67</v>
      </c>
      <c r="DD61" s="69" t="n">
        <f aca="false">K61+SUM(AB50:AD61)+SUM(BL61:BN61)</f>
        <v>76</v>
      </c>
      <c r="DE61" s="1" t="n">
        <f aca="false">L61+SUM(AE50:AE61)+BO61</f>
        <v>0</v>
      </c>
      <c r="DF61" s="69" t="n">
        <f aca="false">M61+SUM(AG50:AG61)+BQ61</f>
        <v>24</v>
      </c>
      <c r="DG61" s="69" t="e">
        <f aca="false" t="array" ref="DG61:DG61">INDEX(TblConstr[[Total Plain]:[Total Water]],ROW()-ROW(TblConstr[#headers]),MATCH("Total "&amp;home_land,TblConstr[[#Headers],[Total Plain]:[Total Water]],0))+TblConstr[[#This Row],[Homes]]</f>
        <v>#VALUE!</v>
      </c>
      <c r="DH61" s="1" t="n">
        <f aca="false">SUM(O50:O61)+AY61</f>
        <v>40</v>
      </c>
      <c r="DI61" s="1" t="n">
        <f aca="false">MAX(BA61-BA60,0)</f>
        <v>0</v>
      </c>
      <c r="DJ61" s="1" t="n">
        <f aca="false">MAX(BQ61-BQ60,0)</f>
        <v>0</v>
      </c>
    </row>
    <row r="62" customFormat="false" ht="12.75" hidden="false" customHeight="false" outlineLevel="0" collapsed="false">
      <c r="A62" s="170" t="n">
        <f aca="false">TblRezone[[#This Row],[Hour]]</f>
        <v>59</v>
      </c>
      <c r="B62" s="171" t="n">
        <f aca="false">SUM(TblConstr[[#This Row],[Plain]:[Water]])</f>
        <v>0</v>
      </c>
      <c r="C62" s="172" t="n">
        <f aca="false">SUM(TblConstr[[#This Row],[Tot Hom]:[Tot Doc]])</f>
        <v>559</v>
      </c>
      <c r="D62" s="172" t="n">
        <f aca="false">SUM(O51:AG62)</f>
        <v>141</v>
      </c>
      <c r="E62" s="173"/>
      <c r="F62" s="33" t="n">
        <f aca="false">TblConstr[[#This Row],[Barren]]+TblConstr[[#This Row],[Buildings]]+TblConstr[[#This Row],[Incoming]]</f>
        <v>700</v>
      </c>
      <c r="G62" s="199" t="n">
        <f aca="false">OFFSET(TblConstr[[#This Row],[Plain]],-1,0)+TblConstr[[#This Row],[Ch_Plain]]</f>
        <v>0</v>
      </c>
      <c r="H62" s="193" t="n">
        <f aca="false">OFFSET(TblConstr[[#This Row],[Forest]],-1,0)+TblConstr[[#This Row],[Ch_Forest]]</f>
        <v>0</v>
      </c>
      <c r="I62" s="200" t="n">
        <f aca="false">OFFSET(TblConstr[[#This Row],[Mountain]],-1,0)+TblConstr[[#This Row],[Ch_Mountain]]</f>
        <v>0</v>
      </c>
      <c r="J62" s="201" t="n">
        <f aca="false">OFFSET(TblConstr[[#This Row],[Hill]],-1,0)+TblConstr[[#This Row],[Ch_Hill]]</f>
        <v>0</v>
      </c>
      <c r="K62" s="202" t="n">
        <f aca="false">OFFSET(TblConstr[[#This Row],[Swamp]],-1,0)+TblConstr[[#This Row],[Ch_Swamp]]</f>
        <v>0</v>
      </c>
      <c r="L62" s="197" t="n">
        <f aca="false">OFFSET(TblConstr[[#This Row],[Cavern]],-1,0)+TblConstr[[#This Row],[Ch_Cavern]]</f>
        <v>0</v>
      </c>
      <c r="M62" s="198" t="n">
        <f aca="false">OFFSET(TblConstr[[#This Row],[Water]],-1,0)+TblConstr[[#This Row],[Ch_Water]]</f>
        <v>0</v>
      </c>
      <c r="N62" s="181" t="n">
        <f aca="false">TblRezone[[#This Row],[Hour]]</f>
        <v>59</v>
      </c>
      <c r="O62" s="182"/>
      <c r="P62" s="182"/>
      <c r="Q62" s="182"/>
      <c r="R62" s="182"/>
      <c r="S62" s="182"/>
      <c r="T62" s="182"/>
      <c r="U62" s="182"/>
      <c r="V62" s="182"/>
      <c r="W62" s="182"/>
      <c r="X62" s="182"/>
      <c r="Y62" s="182" t="n">
        <v>1</v>
      </c>
      <c r="Z62" s="182"/>
      <c r="AA62" s="182"/>
      <c r="AB62" s="182"/>
      <c r="AC62" s="182"/>
      <c r="AD62" s="182"/>
      <c r="AE62" s="182"/>
      <c r="AF62" s="182"/>
      <c r="AG62" s="182"/>
      <c r="AH62" s="20" t="n">
        <f aca="false">TblImps[[#This Row],[Time]]</f>
        <v>45432.1666666667</v>
      </c>
      <c r="AI62" s="130" t="n">
        <f aca="false">MIN(25%,(TblConstr[[#This Row],[Tot Fac]]+TblConstr[[#This Row],[Dest Fac]])/(TblConstr[[#This Row],[Land]]-TblExplore[[#This Row],[Land Bonus]]*20))</f>
        <v>0.0914285714285714</v>
      </c>
      <c r="AJ62" s="130" t="n">
        <f aca="false">MIN(25%,(TblConstr[[#This Row],[Tot Fac]]+TblConstr[[#This Row],[Dest Fac]])/TblConstr[[#This Row],[Land]])</f>
        <v>0.0914285714285714</v>
      </c>
      <c r="AK62" s="69" t="n">
        <f aca="false">TblProd[[#This Row],[Platinum]]</f>
        <v>694619</v>
      </c>
      <c r="AL62" s="69" t="n">
        <f aca="false">TblProd[[#This Row],[Lumber]]</f>
        <v>7938</v>
      </c>
      <c r="AM6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625</v>
      </c>
      <c r="AN62" s="69" t="n">
        <f aca="false">ROUNDDOWN( MAX(1 - MIN(facs_constr_factor*TblConstr[[#This Row],[Facs -DB]],facs_constr_max) + tech_1_11*TblTech[[#This Row],[11-1]] + tech_6_3_2*TblTech[[#This Row],[6-3]] + tech_5_2_3*TblTech[[#This Row],[5-2]], 1-global_constr_cap) * TblConstr[[#This Row],[RCPA Lumber]],0)</f>
        <v>117</v>
      </c>
      <c r="AO6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625</v>
      </c>
      <c r="AP62" s="69" t="n">
        <f aca="false">ROUNDDOWN( MAX(1 - MIN(facs_constr_factor*TblConstr[[#This Row],[Facs DB]],facs_constr_max) + tech_1_11*TblTech[[#This Row],[1-11]] + tech_6_3_2*TblTech[[#This Row],[6-3]] + tech_5_2_3*TblTech[[#This Row],[5-2]], 1-global_constr_cap) * ROUND((TblConstr[[#This Row],[Land]]-250)*0.285 + 87.5 + 0/4.25,0),0)</f>
        <v>117</v>
      </c>
      <c r="AQ62" s="1" t="n">
        <f aca="false">TblConstr[[#This Row],[build -db]]*TblConstr[[#This Row],[CPA Platinum -DB]] + TblConstr[[#This Row],[build db]]*TblConstr[[#This Row],[CPA Platinum DB]]</f>
        <v>625</v>
      </c>
      <c r="AR62" s="1" t="n">
        <f aca="false">TblConstr[[#This Row],[build -db]]*TblConstr[[#This Row],[CPA Lumber -DB]]+TblConstr[[#This Row],[build db]]*TblConstr[[#This Row],[CPA Lumber DB]]</f>
        <v>117</v>
      </c>
      <c r="AS62" s="69" t="n">
        <f aca="false">MIN(SUM(OFFSET(TblConstr[[#This Row],[Plain]:[Water]],-1,0))+SUM(TblConstr[[#This Row],[Dest Hom]:[Dest Doc]])+IF(TblConstr[[#This Row],[Hour]]&gt;12,SUM(OFFSET(TblExplore[[#This Row],[Plains Explore]:[Water Explore]],-12,0)),0),SUM(TblConstr[[#This Row],[Hom]:[Doc]]))</f>
        <v>1</v>
      </c>
      <c r="AT6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32"/>
      <c r="AV62" s="69" t="n">
        <f aca="false">ROUND((TblConstr[[#This Row],[Land]]-250 - IF(TblExplore[[#This Row],[Land Bonus]]&lt;&gt;0,20,0))*1.25 + 850 + 0,0)</f>
        <v>1413</v>
      </c>
      <c r="AW62" s="69" t="n">
        <f aca="false">ROUND((TblConstr[[#This Row],[Land]]-250 - IF(TblExplore[[#This Row],[Land Bonus]]&lt;&gt;0,20,0))*0.285 + 87.5 + 0/4.25,0)</f>
        <v>216</v>
      </c>
      <c r="AX62" s="146"/>
      <c r="AY62" s="203" t="n">
        <f aca="false" t="array" ref="AY62:AY62">IF(TblConstr[[#This Row],[Hour]:[Hour]]&gt;12,OFFSET(TblConstr[[#This Row],[Hom]],-12,0),0)+OFFSET(TblConstr[[#This Row],[Tot Hom]],-1,0)-TblConstr[[#This Row],[Dest Hom]]</f>
        <v>0</v>
      </c>
      <c r="AZ62" s="204" t="n">
        <f aca="false" t="array" ref="AZ62:AZ62">IF(TblConstr[[#This Row],[Hour]:[Hour]]&gt;12,OFFSET(TblConstr[[#This Row],[Alc]],-12,0),0)+OFFSET(TblConstr[[#This Row],[Tot Alc]],-1,0)-TblConstr[[#This Row],[Dest Alc]]</f>
        <v>268</v>
      </c>
      <c r="BA62" s="204" t="n">
        <f aca="false" t="array" ref="BA62:BA62">IF(TblConstr[[#This Row],[Hour]:[Hour]]&gt;12,OFFSET(TblConstr[[#This Row],[Far]],-12,0),0)+OFFSET(TblConstr[[#This Row],[Tot Farm]],-1,0)-TblConstr[[#This Row],[Dest Farm]]</f>
        <v>19</v>
      </c>
      <c r="BB62" s="204" t="n">
        <f aca="false" t="array" ref="BB62:BB62">IF(TblConstr[[#This Row],[Hour]:[Hour]]&gt;12,OFFSET(TblConstr[[#This Row],[Smi]],-12,0),0)+OFFSET(TblConstr[[#This Row],[Tot Smi]],-1,0)-TblConstr[[#This Row],[Dest Smi]]</f>
        <v>102</v>
      </c>
      <c r="BC62" s="204" t="n">
        <f aca="false" t="array" ref="BC62:BC62">IF(TblConstr[[#This Row],[Hour]:[Hour]]&gt;12,OFFSET(TblConstr[[#This Row],[Mas]],-12,0),0)+OFFSET(TblConstr[[#This Row],[Tot Mas]],-1,0)-TblConstr[[#This Row],[Dest Mas]]</f>
        <v>0</v>
      </c>
      <c r="BD62" s="205" t="n">
        <f aca="false" t="array" ref="BD62:BD62">IF(TblConstr[[#This Row],[Hour]:[Hour]]&gt;12,OFFSET(TblConstr[[#This Row],[Ly]],-12,0),0)+OFFSET(TblConstr[[#This Row],[Tot Ly]],-1,0)-TblConstr[[#This Row],[Dest Ly]]</f>
        <v>25</v>
      </c>
      <c r="BE62" s="205" t="n">
        <f aca="false" t="array" ref="BE62:BE62">IF(TblConstr[[#This Row],[Hour]:[Hour]]&gt;12,OFFSET(TblConstr[[#This Row],[Hav]],-12,0),0)+OFFSET(TblConstr[[#This Row],[Tot Hav]],-1,0)-TblConstr[[#This Row],[Dest Hav]]</f>
        <v>0</v>
      </c>
      <c r="BF62" s="194" t="n">
        <f aca="false" t="array" ref="BF62:BF62">IF(TblConstr[[#This Row],[Hour]:[Hour]]&gt;12,OFFSET(TblConstr[[#This Row],[OM]],-12,0),0)+OFFSET(TblConstr[[#This Row],[Tot OM]],-1,0)-TblConstr[[#This Row],[Dest OM]]</f>
        <v>0</v>
      </c>
      <c r="BG62" s="194" t="n">
        <f aca="false" t="array" ref="BG62:BG62">IF(TblConstr[[#This Row],[Hour]:[Hour]]&gt;12,OFFSET(TblConstr[[#This Row],[GN]],-12,0),0)+OFFSET(TblConstr[[#This Row],[Tot GN]],-1,0)-TblConstr[[#This Row],[Dest GN]]</f>
        <v>0</v>
      </c>
      <c r="BH62" s="206" t="n">
        <f aca="false" t="array" ref="BH62:BH62">IF(TblConstr[[#This Row],[Hour]:[Hour]]&gt;12,OFFSET(TblConstr[[#This Row],[Fac]],-12,0),0)+OFFSET(TblConstr[[#This Row],[Tot Fac]],-1,0)-TblConstr[[#This Row],[Dest Fac]]</f>
        <v>63</v>
      </c>
      <c r="BI62" s="206" t="n">
        <f aca="false" t="array" ref="BI62:BI62">IF(TblConstr[[#This Row],[Hour]:[Hour]]&gt;12,OFFSET(TblConstr[[#This Row],[GT]],-12,0),0)+OFFSET(TblConstr[[#This Row],[Tot GT]],-1,0)-TblConstr[[#This Row],[Dest GT]]</f>
        <v>0</v>
      </c>
      <c r="BJ62" s="206" t="n">
        <f aca="false" t="array" ref="BJ62:BJ62">IF(TblConstr[[#This Row],[Hour]:[Hour]]&gt;12,OFFSET(TblConstr[[#This Row],[Bar]],-12,0),0)+OFFSET(TblConstr[[#This Row],[Tot Bar]],-1,0)-TblConstr[[#This Row],[Dest Bar]]</f>
        <v>0</v>
      </c>
      <c r="BK62" s="206" t="n">
        <f aca="false" t="array" ref="BK62:BK62">IF(TblConstr[[#This Row],[Hour]:[Hour]]&gt;12,OFFSET(TblConstr[[#This Row],[Shr]],-12,0),0)+OFFSET(TblConstr[[#This Row],[Tot Shr]],-1,0)-TblConstr[[#This Row],[Dest Shr]]</f>
        <v>0</v>
      </c>
      <c r="BL62" s="207" t="n">
        <f aca="false" t="array" ref="BL62:BL62">IF(TblConstr[[#This Row],[Hour]:[Hour]]&gt;12,OFFSET(TblConstr[[#This Row],[Tow]],-12,0),0)+OFFSET(TblConstr[[#This Row],[Tot Tow]],-1,0)-TblConstr[[#This Row],[Dest Tow]]</f>
        <v>25</v>
      </c>
      <c r="BM62" s="207" t="n">
        <f aca="false" t="array" ref="BM62:BM62">IF(TblConstr[[#This Row],[Hour]:[Hour]]&gt;12,OFFSET(TblConstr[[#This Row],[Tem]],-12,0),0)+OFFSET(TblConstr[[#This Row],[Tot Tem]],-1,0)-TblConstr[[#This Row],[Dest Tem]]</f>
        <v>47</v>
      </c>
      <c r="BN62" s="207" t="n">
        <f aca="false" t="array" ref="BN62:BN62">IF(TblConstr[[#This Row],[Hour]:[Hour]]&gt;12,OFFSET(TblConstr[[#This Row],[WG]],-12,0),0)+OFFSET(TblConstr[[#This Row],[Tot WG]],-1,0)-TblConstr[[#This Row],[Dest WG]]</f>
        <v>0</v>
      </c>
      <c r="BO62" s="208" t="n">
        <f aca="false" t="array" ref="BO62:BO62">IF(TblConstr[[#This Row],[Hour]:[Hour]]&gt;12,OFFSET(TblConstr[[#This Row],[DM]],-12,0),0)+OFFSET(TblConstr[[#This Row],[Tot DM]],-1,0)-TblConstr[[#This Row],[Dest DM]]</f>
        <v>0</v>
      </c>
      <c r="BP62" s="208" t="n">
        <f aca="false" t="array" ref="BP62:BP62">IF(TblConstr[[#This Row],[Hour]:[Hour]]&gt;12,OFFSET(TblConstr[[#This Row],[Sch]],-12,0),0)+OFFSET(TblConstr[[#This Row],[Tot Sch]],-1,0)-TblConstr[[#This Row],[Dest Sch]]</f>
        <v>0</v>
      </c>
      <c r="BQ62" s="209" t="n">
        <f aca="false" t="array" ref="BQ62:BQ62">IF(TblConstr[[#This Row],[Hour]:[Hour]]&gt;12,OFFSET(TblConstr[[#This Row],[Doc]],-12,0),0)+OFFSET(TblConstr[[#This Row],[Tot Doc]],-1,0)-TblConstr[[#This Row],[Dest Doc]]</f>
        <v>10</v>
      </c>
      <c r="BR62" s="132"/>
      <c r="BS62" s="146"/>
      <c r="BT62" s="69" t="n">
        <f aca="false">TblConstr[[#This Row],[Land]]</f>
        <v>700</v>
      </c>
      <c r="BU62" s="153" t="n">
        <f aca="false">TblImps[[#This Row],[Time]]</f>
        <v>45432.1666666667</v>
      </c>
      <c r="BV62" s="132"/>
      <c r="BW62" s="182"/>
      <c r="BX62" s="182"/>
      <c r="BY62" s="182"/>
      <c r="BZ62" s="182"/>
      <c r="CA62" s="182"/>
      <c r="CB62" s="182"/>
      <c r="CC62" s="182"/>
      <c r="CD62" s="182"/>
      <c r="CE62" s="182"/>
      <c r="CF62" s="182" t="n">
        <v>1</v>
      </c>
      <c r="CG62" s="182"/>
      <c r="CH62" s="182"/>
      <c r="CI62" s="182"/>
      <c r="CJ62" s="182"/>
      <c r="CK62" s="182"/>
      <c r="CL62" s="182"/>
      <c r="CM62" s="182"/>
      <c r="CN62" s="182"/>
      <c r="CO62" s="182"/>
      <c r="CP62" s="132"/>
      <c r="CQ62" s="192" t="n">
        <f aca="false">-SUM(TblConstr[[#This Row],[Alc]:[Mas]])+SUM(TblConstr[[#This Row],[Dest Alc]:[Dest Mas]])+Rezone!L62+IF("Ch_"&amp; home_land=TblConstr[[#Headers],[Ch_Plain]],TblConstr[[#This Row],[Home Land]])+IF(TblConstr[[#This Row],[Hour]:[Hour]]&gt;12,OFFSET(TblExplore[[#This Row],[Plains Explore]],-12,0),0)</f>
        <v>0</v>
      </c>
      <c r="CR62" s="193" t="n">
        <f aca="false">-SUM(TblConstr[[#This Row],[Ly]:[Hav]])+SUM(TblConstr[[#This Row],[Dest Ly]:[Dest Hav]]) +Rezone!M62 + IF("Ch_"&amp; home_land=TblConstr[[#Headers],[Ch_Forest]],TblConstr[[#This Row],[Home Land]])+IF(TblConstr[[#This Row],[Hour]:[Hour]]&gt;12,OFFSET(TblExplore[[#This Row],[Forest Explore]],-12,0),0)</f>
        <v>0</v>
      </c>
      <c r="CS62" s="200" t="n">
        <f aca="false">-SUM(TblConstr[[#This Row],[OM]:[GN]])+SUM(TblConstr[[#This Row],[Dest OM]:[Dest GN]]) +Rezone!N62 + IF("Ch_"&amp; home_land=TblConstr[[#Headers],[Ch_Mountain]],TblConstr[[#This Row],[Home Land]])+IF(TblConstr[[#This Row],[Hour]:[Hour]]&gt;12,OFFSET(TblExplore[[#This Row],[Mountain Explore]],-12,0),0)</f>
        <v>0</v>
      </c>
      <c r="CT62" s="195" t="n">
        <f aca="false">-SUM(TblConstr[[#This Row],[Fac]:[Shr]])+SUM(TblConstr[[#This Row],[Dest Fac]:[Dest Shr]]) +Rezone!O62 + IF("Ch_" &amp; home_land=TblConstr[[#Headers],[Ch_Hill]],TblConstr[[#This Row],[Home Land]])+IF(TblConstr[[#This Row],[Hour]:[Hour]]&gt;12,OFFSET(TblExplore[[#This Row],[Hill Explore]],-12,0),0)</f>
        <v>0</v>
      </c>
      <c r="CU62" s="196" t="n">
        <f aca="false">-SUM(TblConstr[[#This Row],[Tow]:[WG]])+SUM(TblConstr[[#This Row],[Dest Tow]:[Dest WG]]) +Rezone!P62 + IF("Ch_" &amp; home_land=TblConstr[[#Headers],[Ch_Swamp]],TblConstr[[#This Row],[Home Land]])+IF(TblConstr[[#This Row],[Hour]:[Hour]]&gt;12,OFFSET(TblExplore[[#This Row],[Swamp Explore]],-12,0),0)</f>
        <v>0</v>
      </c>
      <c r="CV62" s="197" t="n">
        <f aca="false">- SUM(TblConstr[[#This Row],[DM]:[Sch]])+SUM(TblConstr[[#This Row],[Dest DM]:[Dest Sch]]) +Rezone!Q62 + IF("Ch_" &amp; home_land=TblConstr[[#Headers],[Ch_Cavern]],TblConstr[[#This Row],[Home Land]])+IF(TblConstr[[#This Row],[Hour]:[Hour]]&gt;12,OFFSET(TblExplore[[#This Row],[Cavern Explore]],-12,0),0)</f>
        <v>0</v>
      </c>
      <c r="CW62" s="198" t="n">
        <f aca="false">-TblConstr[[#This Row],[Doc]]+TblConstr[[#This Row],[Dest Doc]] +Rezone!R62 + IF("Ch_" &amp; home_land=TblConstr[[#Headers],[Ch_Water]],TblConstr[[#This Row],[Home Land]])+IF(TblConstr[[#This Row],[Hour]:[Hour]]&gt;12,OFFSET(TblExplore[[#This Row],[Water Explore]],-12,0),0)</f>
        <v>0</v>
      </c>
      <c r="CX62" s="1" t="n">
        <f aca="false">IF(Explore!S62=1,20) - TblConstr[[#This Row],[Hom]] + TblConstr[[#This Row],[Dest Hom]]</f>
        <v>0</v>
      </c>
      <c r="CY62" s="132"/>
      <c r="CZ62" s="69" t="n">
        <f aca="false">G62+SUM(P51:S62)+SUM(AZ62:BC62)</f>
        <v>430</v>
      </c>
      <c r="DA62" s="69" t="n">
        <f aca="false">H62+SUM(T51:U62)+SUM(BD62:BE62)</f>
        <v>25</v>
      </c>
      <c r="DB62" s="1" t="n">
        <f aca="false">I62+SUM(V51:W62)+SUM(BF62:BG62)</f>
        <v>0</v>
      </c>
      <c r="DC62" s="69" t="n">
        <f aca="false">J62+SUM(X51:Y62)+SUM(BH62:BI62)</f>
        <v>67</v>
      </c>
      <c r="DD62" s="69" t="n">
        <f aca="false">K62+SUM(AB51:AD62)+SUM(BL62:BN62)</f>
        <v>76</v>
      </c>
      <c r="DE62" s="1" t="n">
        <f aca="false">L62+SUM(AE51:AE62)+BO62</f>
        <v>0</v>
      </c>
      <c r="DF62" s="69" t="n">
        <f aca="false">M62+SUM(AG51:AG62)+BQ62</f>
        <v>24</v>
      </c>
      <c r="DG62" s="69" t="e">
        <f aca="false" t="array" ref="DG62:DG62">INDEX(TblConstr[[Total Plain]:[Total Water]],ROW()-ROW(TblConstr[#headers]),MATCH("Total "&amp;home_land,TblConstr[[#Headers],[Total Plain]:[Total Water]],0))+TblConstr[[#This Row],[Homes]]</f>
        <v>#VALUE!</v>
      </c>
      <c r="DH62" s="1" t="n">
        <f aca="false">SUM(O51:O62)+AY62</f>
        <v>40</v>
      </c>
      <c r="DI62" s="1" t="n">
        <f aca="false">MAX(BA62-BA61,0)</f>
        <v>0</v>
      </c>
      <c r="DJ62" s="1" t="n">
        <f aca="false">MAX(BQ62-BQ61,0)</f>
        <v>0</v>
      </c>
    </row>
    <row r="63" customFormat="false" ht="12.75" hidden="false" customHeight="false" outlineLevel="0" collapsed="false">
      <c r="A63" s="170" t="n">
        <f aca="false">TblRezone[[#This Row],[Hour]]</f>
        <v>60</v>
      </c>
      <c r="B63" s="171" t="n">
        <f aca="false">SUM(TblConstr[[#This Row],[Plain]:[Water]])</f>
        <v>0</v>
      </c>
      <c r="C63" s="172" t="n">
        <f aca="false">SUM(TblConstr[[#This Row],[Tot Hom]:[Tot Doc]])</f>
        <v>591</v>
      </c>
      <c r="D63" s="172" t="n">
        <f aca="false">SUM(O52:AG63)</f>
        <v>109</v>
      </c>
      <c r="E63" s="173"/>
      <c r="F63" s="33" t="n">
        <f aca="false">TblConstr[[#This Row],[Barren]]+TblConstr[[#This Row],[Buildings]]+TblConstr[[#This Row],[Incoming]]</f>
        <v>700</v>
      </c>
      <c r="G63" s="199" t="n">
        <f aca="false">OFFSET(TblConstr[[#This Row],[Plain]],-1,0)+TblConstr[[#This Row],[Ch_Plain]]</f>
        <v>0</v>
      </c>
      <c r="H63" s="193" t="n">
        <f aca="false">OFFSET(TblConstr[[#This Row],[Forest]],-1,0)+TblConstr[[#This Row],[Ch_Forest]]</f>
        <v>0</v>
      </c>
      <c r="I63" s="200" t="n">
        <f aca="false">OFFSET(TblConstr[[#This Row],[Mountain]],-1,0)+TblConstr[[#This Row],[Ch_Mountain]]</f>
        <v>0</v>
      </c>
      <c r="J63" s="201" t="n">
        <f aca="false">OFFSET(TblConstr[[#This Row],[Hill]],-1,0)+TblConstr[[#This Row],[Ch_Hill]]</f>
        <v>0</v>
      </c>
      <c r="K63" s="202" t="n">
        <f aca="false">OFFSET(TblConstr[[#This Row],[Swamp]],-1,0)+TblConstr[[#This Row],[Ch_Swamp]]</f>
        <v>0</v>
      </c>
      <c r="L63" s="197" t="n">
        <f aca="false">OFFSET(TblConstr[[#This Row],[Cavern]],-1,0)+TblConstr[[#This Row],[Ch_Cavern]]</f>
        <v>0</v>
      </c>
      <c r="M63" s="198" t="n">
        <f aca="false">OFFSET(TblConstr[[#This Row],[Water]],-1,0)+TblConstr[[#This Row],[Ch_Water]]</f>
        <v>0</v>
      </c>
      <c r="N63" s="181" t="n">
        <f aca="false">TblRezone[[#This Row],[Hour]]</f>
        <v>60</v>
      </c>
      <c r="O63" s="182"/>
      <c r="P63" s="182"/>
      <c r="Q63" s="182"/>
      <c r="R63" s="182"/>
      <c r="S63" s="182"/>
      <c r="T63" s="182"/>
      <c r="U63" s="182"/>
      <c r="V63" s="182"/>
      <c r="W63" s="182"/>
      <c r="X63" s="182"/>
      <c r="Y63" s="182" t="n">
        <v>1</v>
      </c>
      <c r="Z63" s="182"/>
      <c r="AA63" s="182"/>
      <c r="AB63" s="182"/>
      <c r="AC63" s="182"/>
      <c r="AD63" s="182"/>
      <c r="AE63" s="182"/>
      <c r="AF63" s="182"/>
      <c r="AG63" s="182"/>
      <c r="AH63" s="20" t="n">
        <f aca="false">TblImps[[#This Row],[Time]]</f>
        <v>45432.2083333333</v>
      </c>
      <c r="AI63" s="130" t="n">
        <f aca="false">MIN(25%,(TblConstr[[#This Row],[Tot Fac]]+TblConstr[[#This Row],[Dest Fac]])/(TblConstr[[#This Row],[Land]]-TblExplore[[#This Row],[Land Bonus]]*20))</f>
        <v>0.09</v>
      </c>
      <c r="AJ63" s="130" t="n">
        <f aca="false">MIN(25%,(TblConstr[[#This Row],[Tot Fac]]+TblConstr[[#This Row],[Dest Fac]])/TblConstr[[#This Row],[Land]])</f>
        <v>0.09</v>
      </c>
      <c r="AK63" s="69" t="n">
        <f aca="false">TblProd[[#This Row],[Platinum]]</f>
        <v>740222</v>
      </c>
      <c r="AL63" s="69" t="n">
        <f aca="false">TblProd[[#This Row],[Lumber]]</f>
        <v>8866</v>
      </c>
      <c r="AM6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635</v>
      </c>
      <c r="AN63" s="69" t="n">
        <f aca="false">ROUNDDOWN( MAX(1 - MIN(facs_constr_factor*TblConstr[[#This Row],[Facs -DB]],facs_constr_max) + tech_1_11*TblTech[[#This Row],[11-1]] + tech_6_3_2*TblTech[[#This Row],[6-3]] + tech_5_2_3*TblTech[[#This Row],[5-2]], 1-global_constr_cap) * TblConstr[[#This Row],[RCPA Lumber]],0)</f>
        <v>118</v>
      </c>
      <c r="AO6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635</v>
      </c>
      <c r="AP63" s="69" t="n">
        <f aca="false">ROUNDDOWN( MAX(1 - MIN(facs_constr_factor*TblConstr[[#This Row],[Facs DB]],facs_constr_max) + tech_1_11*TblTech[[#This Row],[1-11]] + tech_6_3_2*TblTech[[#This Row],[6-3]] + tech_5_2_3*TblTech[[#This Row],[5-2]], 1-global_constr_cap) * ROUND((TblConstr[[#This Row],[Land]]-250)*0.285 + 87.5 + 0/4.25,0),0)</f>
        <v>118</v>
      </c>
      <c r="AQ63" s="1" t="n">
        <f aca="false">TblConstr[[#This Row],[build -db]]*TblConstr[[#This Row],[CPA Platinum -DB]] + TblConstr[[#This Row],[build db]]*TblConstr[[#This Row],[CPA Platinum DB]]</f>
        <v>635</v>
      </c>
      <c r="AR63" s="1" t="n">
        <f aca="false">TblConstr[[#This Row],[build -db]]*TblConstr[[#This Row],[CPA Lumber -DB]]+TblConstr[[#This Row],[build db]]*TblConstr[[#This Row],[CPA Lumber DB]]</f>
        <v>118</v>
      </c>
      <c r="AS63" s="69" t="n">
        <f aca="false">MIN(SUM(OFFSET(TblConstr[[#This Row],[Plain]:[Water]],-1,0))+SUM(TblConstr[[#This Row],[Dest Hom]:[Dest Doc]])+IF(TblConstr[[#This Row],[Hour]]&gt;12,SUM(OFFSET(TblExplore[[#This Row],[Plains Explore]:[Water Explore]],-12,0)),0),SUM(TblConstr[[#This Row],[Hom]:[Doc]]))</f>
        <v>1</v>
      </c>
      <c r="AT6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32"/>
      <c r="AV63" s="69" t="n">
        <f aca="false">ROUND((TblConstr[[#This Row],[Land]]-250 - IF(TblExplore[[#This Row],[Land Bonus]]&lt;&gt;0,20,0))*1.25 + 850 + 0,0)</f>
        <v>1413</v>
      </c>
      <c r="AW63" s="69" t="n">
        <f aca="false">ROUND((TblConstr[[#This Row],[Land]]-250 - IF(TblExplore[[#This Row],[Land Bonus]]&lt;&gt;0,20,0))*0.285 + 87.5 + 0/4.25,0)</f>
        <v>216</v>
      </c>
      <c r="AX63" s="146"/>
      <c r="AY63" s="203" t="n">
        <f aca="false" t="array" ref="AY63:AY63">IF(TblConstr[[#This Row],[Hour]:[Hour]]&gt;12,OFFSET(TblConstr[[#This Row],[Hom]],-12,0),0)+OFFSET(TblConstr[[#This Row],[Tot Hom]],-1,0)-TblConstr[[#This Row],[Dest Hom]]</f>
        <v>20</v>
      </c>
      <c r="AZ63" s="204" t="n">
        <f aca="false" t="array" ref="AZ63:AZ63">IF(TblConstr[[#This Row],[Hour]:[Hour]]&gt;12,OFFSET(TblConstr[[#This Row],[Alc]],-12,0),0)+OFFSET(TblConstr[[#This Row],[Tot Alc]],-1,0)-TblConstr[[#This Row],[Dest Alc]]</f>
        <v>269</v>
      </c>
      <c r="BA63" s="204" t="n">
        <f aca="false" t="array" ref="BA63:BA63">IF(TblConstr[[#This Row],[Hour]:[Hour]]&gt;12,OFFSET(TblConstr[[#This Row],[Far]],-12,0),0)+OFFSET(TblConstr[[#This Row],[Tot Farm]],-1,0)-TblConstr[[#This Row],[Dest Farm]]</f>
        <v>19</v>
      </c>
      <c r="BB63" s="204" t="n">
        <f aca="false" t="array" ref="BB63:BB63">IF(TblConstr[[#This Row],[Hour]:[Hour]]&gt;12,OFFSET(TblConstr[[#This Row],[Smi]],-12,0),0)+OFFSET(TblConstr[[#This Row],[Tot Smi]],-1,0)-TblConstr[[#This Row],[Dest Smi]]</f>
        <v>114</v>
      </c>
      <c r="BC63" s="204" t="n">
        <f aca="false" t="array" ref="BC63:BC63">IF(TblConstr[[#This Row],[Hour]:[Hour]]&gt;12,OFFSET(TblConstr[[#This Row],[Mas]],-12,0),0)+OFFSET(TblConstr[[#This Row],[Tot Mas]],-1,0)-TblConstr[[#This Row],[Dest Mas]]</f>
        <v>0</v>
      </c>
      <c r="BD63" s="205" t="n">
        <f aca="false" t="array" ref="BD63:BD63">IF(TblConstr[[#This Row],[Hour]:[Hour]]&gt;12,OFFSET(TblConstr[[#This Row],[Ly]],-12,0),0)+OFFSET(TblConstr[[#This Row],[Tot Ly]],-1,0)-TblConstr[[#This Row],[Dest Ly]]</f>
        <v>25</v>
      </c>
      <c r="BE63" s="205" t="n">
        <f aca="false" t="array" ref="BE63:BE63">IF(TblConstr[[#This Row],[Hour]:[Hour]]&gt;12,OFFSET(TblConstr[[#This Row],[Hav]],-12,0),0)+OFFSET(TblConstr[[#This Row],[Tot Hav]],-1,0)-TblConstr[[#This Row],[Dest Hav]]</f>
        <v>0</v>
      </c>
      <c r="BF63" s="194" t="n">
        <f aca="false" t="array" ref="BF63:BF63">IF(TblConstr[[#This Row],[Hour]:[Hour]]&gt;12,OFFSET(TblConstr[[#This Row],[OM]],-12,0),0)+OFFSET(TblConstr[[#This Row],[Tot OM]],-1,0)-TblConstr[[#This Row],[Dest OM]]</f>
        <v>0</v>
      </c>
      <c r="BG63" s="194" t="n">
        <f aca="false" t="array" ref="BG63:BG63">IF(TblConstr[[#This Row],[Hour]:[Hour]]&gt;12,OFFSET(TblConstr[[#This Row],[GN]],-12,0),0)+OFFSET(TblConstr[[#This Row],[Tot GN]],-1,0)-TblConstr[[#This Row],[Dest GN]]</f>
        <v>0</v>
      </c>
      <c r="BH63" s="206" t="n">
        <f aca="false" t="array" ref="BH63:BH63">IF(TblConstr[[#This Row],[Hour]:[Hour]]&gt;12,OFFSET(TblConstr[[#This Row],[Fac]],-12,0),0)+OFFSET(TblConstr[[#This Row],[Tot Fac]],-1,0)-TblConstr[[#This Row],[Dest Fac]]</f>
        <v>62</v>
      </c>
      <c r="BI63" s="206" t="n">
        <f aca="false" t="array" ref="BI63:BI63">IF(TblConstr[[#This Row],[Hour]:[Hour]]&gt;12,OFFSET(TblConstr[[#This Row],[GT]],-12,0),0)+OFFSET(TblConstr[[#This Row],[Tot GT]],-1,0)-TblConstr[[#This Row],[Dest GT]]</f>
        <v>0</v>
      </c>
      <c r="BJ63" s="206" t="n">
        <f aca="false" t="array" ref="BJ63:BJ63">IF(TblConstr[[#This Row],[Hour]:[Hour]]&gt;12,OFFSET(TblConstr[[#This Row],[Bar]],-12,0),0)+OFFSET(TblConstr[[#This Row],[Tot Bar]],-1,0)-TblConstr[[#This Row],[Dest Bar]]</f>
        <v>0</v>
      </c>
      <c r="BK63" s="206" t="n">
        <f aca="false" t="array" ref="BK63:BK63">IF(TblConstr[[#This Row],[Hour]:[Hour]]&gt;12,OFFSET(TblConstr[[#This Row],[Shr]],-12,0),0)+OFFSET(TblConstr[[#This Row],[Tot Shr]],-1,0)-TblConstr[[#This Row],[Dest Shr]]</f>
        <v>0</v>
      </c>
      <c r="BL63" s="207" t="n">
        <f aca="false" t="array" ref="BL63:BL63">IF(TblConstr[[#This Row],[Hour]:[Hour]]&gt;12,OFFSET(TblConstr[[#This Row],[Tow]],-12,0),0)+OFFSET(TblConstr[[#This Row],[Tot Tow]],-1,0)-TblConstr[[#This Row],[Dest Tow]]</f>
        <v>25</v>
      </c>
      <c r="BM63" s="207" t="n">
        <f aca="false" t="array" ref="BM63:BM63">IF(TblConstr[[#This Row],[Hour]:[Hour]]&gt;12,OFFSET(TblConstr[[#This Row],[Tem]],-12,0),0)+OFFSET(TblConstr[[#This Row],[Tot Tem]],-1,0)-TblConstr[[#This Row],[Dest Tem]]</f>
        <v>47</v>
      </c>
      <c r="BN63" s="207" t="n">
        <f aca="false" t="array" ref="BN63:BN63">IF(TblConstr[[#This Row],[Hour]:[Hour]]&gt;12,OFFSET(TblConstr[[#This Row],[WG]],-12,0),0)+OFFSET(TblConstr[[#This Row],[Tot WG]],-1,0)-TblConstr[[#This Row],[Dest WG]]</f>
        <v>0</v>
      </c>
      <c r="BO63" s="208" t="n">
        <f aca="false" t="array" ref="BO63:BO63">IF(TblConstr[[#This Row],[Hour]:[Hour]]&gt;12,OFFSET(TblConstr[[#This Row],[DM]],-12,0),0)+OFFSET(TblConstr[[#This Row],[Tot DM]],-1,0)-TblConstr[[#This Row],[Dest DM]]</f>
        <v>0</v>
      </c>
      <c r="BP63" s="208" t="n">
        <f aca="false" t="array" ref="BP63:BP63">IF(TblConstr[[#This Row],[Hour]:[Hour]]&gt;12,OFFSET(TblConstr[[#This Row],[Sch]],-12,0),0)+OFFSET(TblConstr[[#This Row],[Tot Sch]],-1,0)-TblConstr[[#This Row],[Dest Sch]]</f>
        <v>0</v>
      </c>
      <c r="BQ63" s="209" t="n">
        <f aca="false" t="array" ref="BQ63:BQ63">IF(TblConstr[[#This Row],[Hour]:[Hour]]&gt;12,OFFSET(TblConstr[[#This Row],[Doc]],-12,0),0)+OFFSET(TblConstr[[#This Row],[Tot Doc]],-1,0)-TblConstr[[#This Row],[Dest Doc]]</f>
        <v>10</v>
      </c>
      <c r="BR63" s="132"/>
      <c r="BS63" s="146"/>
      <c r="BT63" s="69" t="n">
        <f aca="false">TblConstr[[#This Row],[Land]]</f>
        <v>700</v>
      </c>
      <c r="BU63" s="153" t="n">
        <f aca="false">TblImps[[#This Row],[Time]]</f>
        <v>45432.2083333333</v>
      </c>
      <c r="BV63" s="132"/>
      <c r="BW63" s="182"/>
      <c r="BX63" s="182"/>
      <c r="BY63" s="182"/>
      <c r="BZ63" s="182"/>
      <c r="CA63" s="182"/>
      <c r="CB63" s="182"/>
      <c r="CC63" s="182"/>
      <c r="CD63" s="182"/>
      <c r="CE63" s="182"/>
      <c r="CF63" s="182" t="n">
        <v>1</v>
      </c>
      <c r="CG63" s="182"/>
      <c r="CH63" s="182"/>
      <c r="CI63" s="182"/>
      <c r="CJ63" s="182"/>
      <c r="CK63" s="182"/>
      <c r="CL63" s="182"/>
      <c r="CM63" s="182"/>
      <c r="CN63" s="182"/>
      <c r="CO63" s="182"/>
      <c r="CP63" s="132"/>
      <c r="CQ63" s="192" t="n">
        <f aca="false">-SUM(TblConstr[[#This Row],[Alc]:[Mas]])+SUM(TblConstr[[#This Row],[Dest Alc]:[Dest Mas]])+Rezone!L63+IF("Ch_"&amp; home_land=TblConstr[[#Headers],[Ch_Plain]],TblConstr[[#This Row],[Home Land]])+IF(TblConstr[[#This Row],[Hour]:[Hour]]&gt;12,OFFSET(TblExplore[[#This Row],[Plains Explore]],-12,0),0)</f>
        <v>0</v>
      </c>
      <c r="CR63" s="193" t="n">
        <f aca="false">-SUM(TblConstr[[#This Row],[Ly]:[Hav]])+SUM(TblConstr[[#This Row],[Dest Ly]:[Dest Hav]]) +Rezone!M63 + IF("Ch_"&amp; home_land=TblConstr[[#Headers],[Ch_Forest]],TblConstr[[#This Row],[Home Land]])+IF(TblConstr[[#This Row],[Hour]:[Hour]]&gt;12,OFFSET(TblExplore[[#This Row],[Forest Explore]],-12,0),0)</f>
        <v>0</v>
      </c>
      <c r="CS63" s="200" t="n">
        <f aca="false">-SUM(TblConstr[[#This Row],[OM]:[GN]])+SUM(TblConstr[[#This Row],[Dest OM]:[Dest GN]]) +Rezone!N63 + IF("Ch_"&amp; home_land=TblConstr[[#Headers],[Ch_Mountain]],TblConstr[[#This Row],[Home Land]])+IF(TblConstr[[#This Row],[Hour]:[Hour]]&gt;12,OFFSET(TblExplore[[#This Row],[Mountain Explore]],-12,0),0)</f>
        <v>0</v>
      </c>
      <c r="CT63" s="195" t="n">
        <f aca="false">-SUM(TblConstr[[#This Row],[Fac]:[Shr]])+SUM(TblConstr[[#This Row],[Dest Fac]:[Dest Shr]]) +Rezone!O63 + IF("Ch_" &amp; home_land=TblConstr[[#Headers],[Ch_Hill]],TblConstr[[#This Row],[Home Land]])+IF(TblConstr[[#This Row],[Hour]:[Hour]]&gt;12,OFFSET(TblExplore[[#This Row],[Hill Explore]],-12,0),0)</f>
        <v>0</v>
      </c>
      <c r="CU63" s="196" t="n">
        <f aca="false">-SUM(TblConstr[[#This Row],[Tow]:[WG]])+SUM(TblConstr[[#This Row],[Dest Tow]:[Dest WG]]) +Rezone!P63 + IF("Ch_" &amp; home_land=TblConstr[[#Headers],[Ch_Swamp]],TblConstr[[#This Row],[Home Land]])+IF(TblConstr[[#This Row],[Hour]:[Hour]]&gt;12,OFFSET(TblExplore[[#This Row],[Swamp Explore]],-12,0),0)</f>
        <v>0</v>
      </c>
      <c r="CV63" s="197" t="n">
        <f aca="false">- SUM(TblConstr[[#This Row],[DM]:[Sch]])+SUM(TblConstr[[#This Row],[Dest DM]:[Dest Sch]]) +Rezone!Q63 + IF("Ch_" &amp; home_land=TblConstr[[#Headers],[Ch_Cavern]],TblConstr[[#This Row],[Home Land]])+IF(TblConstr[[#This Row],[Hour]:[Hour]]&gt;12,OFFSET(TblExplore[[#This Row],[Cavern Explore]],-12,0),0)</f>
        <v>0</v>
      </c>
      <c r="CW63" s="198" t="n">
        <f aca="false">-TblConstr[[#This Row],[Doc]]+TblConstr[[#This Row],[Dest Doc]] +Rezone!R63 + IF("Ch_" &amp; home_land=TblConstr[[#Headers],[Ch_Water]],TblConstr[[#This Row],[Home Land]])+IF(TblConstr[[#This Row],[Hour]:[Hour]]&gt;12,OFFSET(TblExplore[[#This Row],[Water Explore]],-12,0),0)</f>
        <v>0</v>
      </c>
      <c r="CX63" s="1" t="n">
        <f aca="false">IF(Explore!S63=1,20) - TblConstr[[#This Row],[Hom]] + TblConstr[[#This Row],[Dest Hom]]</f>
        <v>0</v>
      </c>
      <c r="CY63" s="132"/>
      <c r="CZ63" s="69" t="n">
        <f aca="false">G63+SUM(P52:S63)+SUM(AZ63:BC63)</f>
        <v>430</v>
      </c>
      <c r="DA63" s="69" t="n">
        <f aca="false">H63+SUM(T52:U63)+SUM(BD63:BE63)</f>
        <v>25</v>
      </c>
      <c r="DB63" s="1" t="n">
        <f aca="false">I63+SUM(V52:W63)+SUM(BF63:BG63)</f>
        <v>0</v>
      </c>
      <c r="DC63" s="69" t="n">
        <f aca="false">J63+SUM(X52:Y63)+SUM(BH63:BI63)</f>
        <v>67</v>
      </c>
      <c r="DD63" s="69" t="n">
        <f aca="false">K63+SUM(AB52:AD63)+SUM(BL63:BN63)</f>
        <v>76</v>
      </c>
      <c r="DE63" s="1" t="n">
        <f aca="false">L63+SUM(AE52:AE63)+BO63</f>
        <v>0</v>
      </c>
      <c r="DF63" s="69" t="n">
        <f aca="false">M63+SUM(AG52:AG63)+BQ63</f>
        <v>24</v>
      </c>
      <c r="DG63" s="69" t="e">
        <f aca="false" t="array" ref="DG63:DG63">INDEX(TblConstr[[Total Plain]:[Total Water]],ROW()-ROW(TblConstr[#headers]),MATCH("Total "&amp;home_land,TblConstr[[#Headers],[Total Plain]:[Total Water]],0))+TblConstr[[#This Row],[Homes]]</f>
        <v>#VALUE!</v>
      </c>
      <c r="DH63" s="1" t="n">
        <f aca="false">SUM(O52:O63)+AY63</f>
        <v>40</v>
      </c>
      <c r="DI63" s="1" t="n">
        <f aca="false">MAX(BA63-BA62,0)</f>
        <v>0</v>
      </c>
      <c r="DJ63" s="1" t="n">
        <f aca="false">MAX(BQ63-BQ62,0)</f>
        <v>0</v>
      </c>
    </row>
    <row r="64" customFormat="false" ht="12.75" hidden="false" customHeight="false" outlineLevel="0" collapsed="false">
      <c r="A64" s="170" t="n">
        <f aca="false">TblRezone[[#This Row],[Hour]]</f>
        <v>61</v>
      </c>
      <c r="B64" s="171" t="n">
        <f aca="false">SUM(TblConstr[[#This Row],[Plain]:[Water]])</f>
        <v>0</v>
      </c>
      <c r="C64" s="172" t="n">
        <f aca="false">SUM(TblConstr[[#This Row],[Tot Hom]:[Tot Doc]])</f>
        <v>574</v>
      </c>
      <c r="D64" s="172" t="n">
        <f aca="false">SUM(O53:AG64)</f>
        <v>126</v>
      </c>
      <c r="E64" s="173"/>
      <c r="F64" s="33" t="n">
        <f aca="false">TblConstr[[#This Row],[Barren]]+TblConstr[[#This Row],[Buildings]]+TblConstr[[#This Row],[Incoming]]</f>
        <v>700</v>
      </c>
      <c r="G64" s="199" t="n">
        <f aca="false">OFFSET(TblConstr[[#This Row],[Plain]],-1,0)+TblConstr[[#This Row],[Ch_Plain]]</f>
        <v>0</v>
      </c>
      <c r="H64" s="193" t="n">
        <f aca="false">OFFSET(TblConstr[[#This Row],[Forest]],-1,0)+TblConstr[[#This Row],[Ch_Forest]]</f>
        <v>0</v>
      </c>
      <c r="I64" s="200" t="n">
        <f aca="false">OFFSET(TblConstr[[#This Row],[Mountain]],-1,0)+TblConstr[[#This Row],[Ch_Mountain]]</f>
        <v>0</v>
      </c>
      <c r="J64" s="201" t="n">
        <f aca="false">OFFSET(TblConstr[[#This Row],[Hill]],-1,0)+TblConstr[[#This Row],[Ch_Hill]]</f>
        <v>0</v>
      </c>
      <c r="K64" s="202" t="n">
        <f aca="false">OFFSET(TblConstr[[#This Row],[Swamp]],-1,0)+TblConstr[[#This Row],[Ch_Swamp]]</f>
        <v>0</v>
      </c>
      <c r="L64" s="197" t="n">
        <f aca="false">OFFSET(TblConstr[[#This Row],[Cavern]],-1,0)+TblConstr[[#This Row],[Ch_Cavern]]</f>
        <v>0</v>
      </c>
      <c r="M64" s="198" t="n">
        <f aca="false">OFFSET(TblConstr[[#This Row],[Water]],-1,0)+TblConstr[[#This Row],[Ch_Water]]</f>
        <v>0</v>
      </c>
      <c r="N64" s="181" t="n">
        <f aca="false">TblRezone[[#This Row],[Hour]]</f>
        <v>61</v>
      </c>
      <c r="O64" s="182"/>
      <c r="P64" s="182"/>
      <c r="Q64" s="182"/>
      <c r="R64" s="182"/>
      <c r="S64" s="182"/>
      <c r="T64" s="182"/>
      <c r="U64" s="182"/>
      <c r="V64" s="182"/>
      <c r="W64" s="182"/>
      <c r="X64" s="182"/>
      <c r="Y64" s="182" t="n">
        <v>50</v>
      </c>
      <c r="Z64" s="182"/>
      <c r="AA64" s="182"/>
      <c r="AB64" s="182"/>
      <c r="AC64" s="182"/>
      <c r="AD64" s="182"/>
      <c r="AE64" s="182"/>
      <c r="AF64" s="182"/>
      <c r="AG64" s="182"/>
      <c r="AH64" s="20" t="n">
        <f aca="false">TblImps[[#This Row],[Time]]</f>
        <v>45432.25</v>
      </c>
      <c r="AI64" s="130" t="n">
        <f aca="false">MIN(25%,(TblConstr[[#This Row],[Tot Fac]]+TblConstr[[#This Row],[Dest Fac]])/(TblConstr[[#This Row],[Land]]-TblExplore[[#This Row],[Land Bonus]]*20))</f>
        <v>0.0885714285714286</v>
      </c>
      <c r="AJ64" s="130" t="n">
        <f aca="false">MIN(25%,(TblConstr[[#This Row],[Tot Fac]]+TblConstr[[#This Row],[Dest Fac]])/TblConstr[[#This Row],[Land]])</f>
        <v>0.0885714285714286</v>
      </c>
      <c r="AK64" s="69" t="n">
        <f aca="false">TblProd[[#This Row],[Platinum]]</f>
        <v>12986</v>
      </c>
      <c r="AL64" s="69" t="n">
        <f aca="false">TblProd[[#This Row],[Lumber]]</f>
        <v>3902</v>
      </c>
      <c r="AM6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645</v>
      </c>
      <c r="AN64" s="69" t="n">
        <f aca="false">ROUNDDOWN( MAX(1 - MIN(facs_constr_factor*TblConstr[[#This Row],[Facs -DB]],facs_constr_max) + tech_1_11*TblTech[[#This Row],[11-1]] + tech_6_3_2*TblTech[[#This Row],[6-3]] + tech_5_2_3*TblTech[[#This Row],[5-2]], 1-global_constr_cap) * TblConstr[[#This Row],[RCPA Lumber]],0)</f>
        <v>120</v>
      </c>
      <c r="AO6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645</v>
      </c>
      <c r="AP64" s="69" t="n">
        <f aca="false">ROUNDDOWN( MAX(1 - MIN(facs_constr_factor*TblConstr[[#This Row],[Facs DB]],facs_constr_max) + tech_1_11*TblTech[[#This Row],[1-11]] + tech_6_3_2*TblTech[[#This Row],[6-3]] + tech_5_2_3*TblTech[[#This Row],[5-2]], 1-global_constr_cap) * ROUND((TblConstr[[#This Row],[Land]]-250)*0.285 + 87.5 + 0/4.25,0),0)</f>
        <v>120</v>
      </c>
      <c r="AQ64" s="1" t="n">
        <f aca="false">TblConstr[[#This Row],[build -db]]*TblConstr[[#This Row],[CPA Platinum -DB]] + TblConstr[[#This Row],[build db]]*TblConstr[[#This Row],[CPA Platinum DB]]</f>
        <v>32250</v>
      </c>
      <c r="AR64" s="1" t="n">
        <f aca="false">TblConstr[[#This Row],[build -db]]*TblConstr[[#This Row],[CPA Lumber -DB]]+TblConstr[[#This Row],[build db]]*TblConstr[[#This Row],[CPA Lumber DB]]</f>
        <v>6000</v>
      </c>
      <c r="AS64" s="69" t="n">
        <f aca="false">MIN(SUM(OFFSET(TblConstr[[#This Row],[Plain]:[Water]],-1,0))+SUM(TblConstr[[#This Row],[Dest Hom]:[Dest Doc]])+IF(TblConstr[[#This Row],[Hour]]&gt;12,SUM(OFFSET(TblExplore[[#This Row],[Plains Explore]:[Water Explore]],-12,0)),0),SUM(TblConstr[[#This Row],[Hom]:[Doc]]))</f>
        <v>50</v>
      </c>
      <c r="AT6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32"/>
      <c r="AV64" s="69" t="n">
        <f aca="false">ROUND((TblConstr[[#This Row],[Land]]-250 - IF(TblExplore[[#This Row],[Land Bonus]]&lt;&gt;0,20,0))*1.25 + 850 + 0,0)</f>
        <v>1413</v>
      </c>
      <c r="AW64" s="69" t="n">
        <f aca="false">ROUND((TblConstr[[#This Row],[Land]]-250 - IF(TblExplore[[#This Row],[Land Bonus]]&lt;&gt;0,20,0))*0.285 + 87.5 + 0/4.25,0)</f>
        <v>216</v>
      </c>
      <c r="AX64" s="146"/>
      <c r="AY64" s="203" t="n">
        <f aca="false" t="array" ref="AY64:AY64">IF(TblConstr[[#This Row],[Hour]:[Hour]]&gt;12,OFFSET(TblConstr[[#This Row],[Hom]],-12,0),0)+OFFSET(TblConstr[[#This Row],[Tot Hom]],-1,0)-TblConstr[[#This Row],[Dest Hom]]</f>
        <v>40</v>
      </c>
      <c r="AZ64" s="204" t="n">
        <f aca="false" t="array" ref="AZ64:AZ64">IF(TblConstr[[#This Row],[Hour]:[Hour]]&gt;12,OFFSET(TblConstr[[#This Row],[Alc]],-12,0),0)+OFFSET(TblConstr[[#This Row],[Tot Alc]],-1,0)-TblConstr[[#This Row],[Dest Alc]]</f>
        <v>270</v>
      </c>
      <c r="BA64" s="204" t="n">
        <f aca="false" t="array" ref="BA64:BA64">IF(TblConstr[[#This Row],[Hour]:[Hour]]&gt;12,OFFSET(TblConstr[[#This Row],[Far]],-12,0),0)+OFFSET(TblConstr[[#This Row],[Tot Farm]],-1,0)-TblConstr[[#This Row],[Dest Farm]]</f>
        <v>19</v>
      </c>
      <c r="BB64" s="204" t="n">
        <f aca="false" t="array" ref="BB64:BB64">IF(TblConstr[[#This Row],[Hour]:[Hour]]&gt;12,OFFSET(TblConstr[[#This Row],[Smi]],-12,0),0)+OFFSET(TblConstr[[#This Row],[Tot Smi]],-1,0)-TblConstr[[#This Row],[Dest Smi]]</f>
        <v>126</v>
      </c>
      <c r="BC64" s="204" t="n">
        <f aca="false" t="array" ref="BC64:BC64">IF(TblConstr[[#This Row],[Hour]:[Hour]]&gt;12,OFFSET(TblConstr[[#This Row],[Mas]],-12,0),0)+OFFSET(TblConstr[[#This Row],[Tot Mas]],-1,0)-TblConstr[[#This Row],[Dest Mas]]</f>
        <v>0</v>
      </c>
      <c r="BD64" s="205" t="n">
        <f aca="false" t="array" ref="BD64:BD64">IF(TblConstr[[#This Row],[Hour]:[Hour]]&gt;12,OFFSET(TblConstr[[#This Row],[Ly]],-12,0),0)+OFFSET(TblConstr[[#This Row],[Tot Ly]],-1,0)-TblConstr[[#This Row],[Dest Ly]]</f>
        <v>25</v>
      </c>
      <c r="BE64" s="205" t="n">
        <f aca="false" t="array" ref="BE64:BE64">IF(TblConstr[[#This Row],[Hour]:[Hour]]&gt;12,OFFSET(TblConstr[[#This Row],[Hav]],-12,0),0)+OFFSET(TblConstr[[#This Row],[Tot Hav]],-1,0)-TblConstr[[#This Row],[Dest Hav]]</f>
        <v>0</v>
      </c>
      <c r="BF64" s="194" t="n">
        <f aca="false" t="array" ref="BF64:BF64">IF(TblConstr[[#This Row],[Hour]:[Hour]]&gt;12,OFFSET(TblConstr[[#This Row],[OM]],-12,0),0)+OFFSET(TblConstr[[#This Row],[Tot OM]],-1,0)-TblConstr[[#This Row],[Dest OM]]</f>
        <v>0</v>
      </c>
      <c r="BG64" s="194" t="n">
        <f aca="false" t="array" ref="BG64:BG64">IF(TblConstr[[#This Row],[Hour]:[Hour]]&gt;12,OFFSET(TblConstr[[#This Row],[GN]],-12,0),0)+OFFSET(TblConstr[[#This Row],[Tot GN]],-1,0)-TblConstr[[#This Row],[Dest GN]]</f>
        <v>0</v>
      </c>
      <c r="BH64" s="206" t="n">
        <f aca="false" t="array" ref="BH64:BH64">IF(TblConstr[[#This Row],[Hour]:[Hour]]&gt;12,OFFSET(TblConstr[[#This Row],[Fac]],-12,0),0)+OFFSET(TblConstr[[#This Row],[Tot Fac]],-1,0)-TblConstr[[#This Row],[Dest Fac]]</f>
        <v>12</v>
      </c>
      <c r="BI64" s="206" t="n">
        <f aca="false" t="array" ref="BI64:BI64">IF(TblConstr[[#This Row],[Hour]:[Hour]]&gt;12,OFFSET(TblConstr[[#This Row],[GT]],-12,0),0)+OFFSET(TblConstr[[#This Row],[Tot GT]],-1,0)-TblConstr[[#This Row],[Dest GT]]</f>
        <v>0</v>
      </c>
      <c r="BJ64" s="206" t="n">
        <f aca="false" t="array" ref="BJ64:BJ64">IF(TblConstr[[#This Row],[Hour]:[Hour]]&gt;12,OFFSET(TblConstr[[#This Row],[Bar]],-12,0),0)+OFFSET(TblConstr[[#This Row],[Tot Bar]],-1,0)-TblConstr[[#This Row],[Dest Bar]]</f>
        <v>0</v>
      </c>
      <c r="BK64" s="206" t="n">
        <f aca="false" t="array" ref="BK64:BK64">IF(TblConstr[[#This Row],[Hour]:[Hour]]&gt;12,OFFSET(TblConstr[[#This Row],[Shr]],-12,0),0)+OFFSET(TblConstr[[#This Row],[Tot Shr]],-1,0)-TblConstr[[#This Row],[Dest Shr]]</f>
        <v>0</v>
      </c>
      <c r="BL64" s="207" t="n">
        <f aca="false" t="array" ref="BL64:BL64">IF(TblConstr[[#This Row],[Hour]:[Hour]]&gt;12,OFFSET(TblConstr[[#This Row],[Tow]],-12,0),0)+OFFSET(TblConstr[[#This Row],[Tot Tow]],-1,0)-TblConstr[[#This Row],[Dest Tow]]</f>
        <v>25</v>
      </c>
      <c r="BM64" s="207" t="n">
        <f aca="false" t="array" ref="BM64:BM64">IF(TblConstr[[#This Row],[Hour]:[Hour]]&gt;12,OFFSET(TblConstr[[#This Row],[Tem]],-12,0),0)+OFFSET(TblConstr[[#This Row],[Tot Tem]],-1,0)-TblConstr[[#This Row],[Dest Tem]]</f>
        <v>47</v>
      </c>
      <c r="BN64" s="207" t="n">
        <f aca="false" t="array" ref="BN64:BN64">IF(TblConstr[[#This Row],[Hour]:[Hour]]&gt;12,OFFSET(TblConstr[[#This Row],[WG]],-12,0),0)+OFFSET(TblConstr[[#This Row],[Tot WG]],-1,0)-TblConstr[[#This Row],[Dest WG]]</f>
        <v>0</v>
      </c>
      <c r="BO64" s="208" t="n">
        <f aca="false" t="array" ref="BO64:BO64">IF(TblConstr[[#This Row],[Hour]:[Hour]]&gt;12,OFFSET(TblConstr[[#This Row],[DM]],-12,0),0)+OFFSET(TblConstr[[#This Row],[Tot DM]],-1,0)-TblConstr[[#This Row],[Dest DM]]</f>
        <v>0</v>
      </c>
      <c r="BP64" s="208" t="n">
        <f aca="false" t="array" ref="BP64:BP64">IF(TblConstr[[#This Row],[Hour]:[Hour]]&gt;12,OFFSET(TblConstr[[#This Row],[Sch]],-12,0),0)+OFFSET(TblConstr[[#This Row],[Tot Sch]],-1,0)-TblConstr[[#This Row],[Dest Sch]]</f>
        <v>0</v>
      </c>
      <c r="BQ64" s="209" t="n">
        <f aca="false" t="array" ref="BQ64:BQ64">IF(TblConstr[[#This Row],[Hour]:[Hour]]&gt;12,OFFSET(TblConstr[[#This Row],[Doc]],-12,0),0)+OFFSET(TblConstr[[#This Row],[Tot Doc]],-1,0)-TblConstr[[#This Row],[Dest Doc]]</f>
        <v>10</v>
      </c>
      <c r="BR64" s="132"/>
      <c r="BS64" s="146"/>
      <c r="BT64" s="69" t="n">
        <f aca="false">TblConstr[[#This Row],[Land]]</f>
        <v>700</v>
      </c>
      <c r="BU64" s="153" t="n">
        <f aca="false">TblImps[[#This Row],[Time]]</f>
        <v>45432.25</v>
      </c>
      <c r="BV64" s="132"/>
      <c r="BW64" s="182"/>
      <c r="BX64" s="182"/>
      <c r="BY64" s="182"/>
      <c r="BZ64" s="182"/>
      <c r="CA64" s="182"/>
      <c r="CB64" s="182"/>
      <c r="CC64" s="182"/>
      <c r="CD64" s="182"/>
      <c r="CE64" s="182"/>
      <c r="CF64" s="182" t="n">
        <v>50</v>
      </c>
      <c r="CG64" s="182"/>
      <c r="CH64" s="182"/>
      <c r="CI64" s="182"/>
      <c r="CJ64" s="182"/>
      <c r="CK64" s="182"/>
      <c r="CL64" s="182"/>
      <c r="CM64" s="182"/>
      <c r="CN64" s="182"/>
      <c r="CO64" s="182"/>
      <c r="CP64" s="132"/>
      <c r="CQ64" s="192" t="n">
        <f aca="false">-SUM(TblConstr[[#This Row],[Alc]:[Mas]])+SUM(TblConstr[[#This Row],[Dest Alc]:[Dest Mas]])+Rezone!L64+IF("Ch_"&amp; home_land=TblConstr[[#Headers],[Ch_Plain]],TblConstr[[#This Row],[Home Land]])+IF(TblConstr[[#This Row],[Hour]:[Hour]]&gt;12,OFFSET(TblExplore[[#This Row],[Plains Explore]],-12,0),0)</f>
        <v>0</v>
      </c>
      <c r="CR64" s="193" t="n">
        <f aca="false">-SUM(TblConstr[[#This Row],[Ly]:[Hav]])+SUM(TblConstr[[#This Row],[Dest Ly]:[Dest Hav]]) +Rezone!M64 + IF("Ch_"&amp; home_land=TblConstr[[#Headers],[Ch_Forest]],TblConstr[[#This Row],[Home Land]])+IF(TblConstr[[#This Row],[Hour]:[Hour]]&gt;12,OFFSET(TblExplore[[#This Row],[Forest Explore]],-12,0),0)</f>
        <v>0</v>
      </c>
      <c r="CS64" s="200" t="n">
        <f aca="false">-SUM(TblConstr[[#This Row],[OM]:[GN]])+SUM(TblConstr[[#This Row],[Dest OM]:[Dest GN]]) +Rezone!N64 + IF("Ch_"&amp; home_land=TblConstr[[#Headers],[Ch_Mountain]],TblConstr[[#This Row],[Home Land]])+IF(TblConstr[[#This Row],[Hour]:[Hour]]&gt;12,OFFSET(TblExplore[[#This Row],[Mountain Explore]],-12,0),0)</f>
        <v>0</v>
      </c>
      <c r="CT64" s="195" t="n">
        <f aca="false">-SUM(TblConstr[[#This Row],[Fac]:[Shr]])+SUM(TblConstr[[#This Row],[Dest Fac]:[Dest Shr]]) +Rezone!O64 + IF("Ch_" &amp; home_land=TblConstr[[#Headers],[Ch_Hill]],TblConstr[[#This Row],[Home Land]])+IF(TblConstr[[#This Row],[Hour]:[Hour]]&gt;12,OFFSET(TblExplore[[#This Row],[Hill Explore]],-12,0),0)</f>
        <v>0</v>
      </c>
      <c r="CU64" s="196" t="n">
        <f aca="false">-SUM(TblConstr[[#This Row],[Tow]:[WG]])+SUM(TblConstr[[#This Row],[Dest Tow]:[Dest WG]]) +Rezone!P64 + IF("Ch_" &amp; home_land=TblConstr[[#Headers],[Ch_Swamp]],TblConstr[[#This Row],[Home Land]])+IF(TblConstr[[#This Row],[Hour]:[Hour]]&gt;12,OFFSET(TblExplore[[#This Row],[Swamp Explore]],-12,0),0)</f>
        <v>0</v>
      </c>
      <c r="CV64" s="197" t="n">
        <f aca="false">- SUM(TblConstr[[#This Row],[DM]:[Sch]])+SUM(TblConstr[[#This Row],[Dest DM]:[Dest Sch]]) +Rezone!Q64 + IF("Ch_" &amp; home_land=TblConstr[[#Headers],[Ch_Cavern]],TblConstr[[#This Row],[Home Land]])+IF(TblConstr[[#This Row],[Hour]:[Hour]]&gt;12,OFFSET(TblExplore[[#This Row],[Cavern Explore]],-12,0),0)</f>
        <v>0</v>
      </c>
      <c r="CW64" s="198" t="n">
        <f aca="false">-TblConstr[[#This Row],[Doc]]+TblConstr[[#This Row],[Dest Doc]] +Rezone!R64 + IF("Ch_" &amp; home_land=TblConstr[[#Headers],[Ch_Water]],TblConstr[[#This Row],[Home Land]])+IF(TblConstr[[#This Row],[Hour]:[Hour]]&gt;12,OFFSET(TblExplore[[#This Row],[Water Explore]],-12,0),0)</f>
        <v>0</v>
      </c>
      <c r="CX64" s="1" t="n">
        <f aca="false">IF(Explore!S64=1,20) - TblConstr[[#This Row],[Hom]] + TblConstr[[#This Row],[Dest Hom]]</f>
        <v>0</v>
      </c>
      <c r="CY64" s="132"/>
      <c r="CZ64" s="69" t="n">
        <f aca="false">G64+SUM(P53:S64)+SUM(AZ64:BC64)</f>
        <v>430</v>
      </c>
      <c r="DA64" s="69" t="n">
        <f aca="false">H64+SUM(T53:U64)+SUM(BD64:BE64)</f>
        <v>25</v>
      </c>
      <c r="DB64" s="1" t="n">
        <f aca="false">I64+SUM(V53:W64)+SUM(BF64:BG64)</f>
        <v>0</v>
      </c>
      <c r="DC64" s="69" t="n">
        <f aca="false">J64+SUM(X53:Y64)+SUM(BH64:BI64)</f>
        <v>67</v>
      </c>
      <c r="DD64" s="69" t="n">
        <f aca="false">K64+SUM(AB53:AD64)+SUM(BL64:BN64)</f>
        <v>76</v>
      </c>
      <c r="DE64" s="1" t="n">
        <f aca="false">L64+SUM(AE53:AE64)+BO64</f>
        <v>0</v>
      </c>
      <c r="DF64" s="69" t="n">
        <f aca="false">M64+SUM(AG53:AG64)+BQ64</f>
        <v>24</v>
      </c>
      <c r="DG64" s="69" t="e">
        <f aca="false" t="array" ref="DG64:DG64">INDEX(TblConstr[[Total Plain]:[Total Water]],ROW()-ROW(TblConstr[#headers]),MATCH("Total "&amp;home_land,TblConstr[[#Headers],[Total Plain]:[Total Water]],0))+TblConstr[[#This Row],[Homes]]</f>
        <v>#VALUE!</v>
      </c>
      <c r="DH64" s="1" t="n">
        <f aca="false">SUM(O53:O64)+AY64</f>
        <v>40</v>
      </c>
      <c r="DI64" s="1" t="n">
        <f aca="false">MAX(BA64-BA63,0)</f>
        <v>0</v>
      </c>
      <c r="DJ64" s="1" t="n">
        <f aca="false">MAX(BQ64-BQ63,0)</f>
        <v>0</v>
      </c>
    </row>
    <row r="65" customFormat="false" ht="12.75" hidden="false" customHeight="false" outlineLevel="0" collapsed="false">
      <c r="A65" s="170" t="n">
        <f aca="false">TblRezone[[#This Row],[Hour]]</f>
        <v>62</v>
      </c>
      <c r="B65" s="171" t="n">
        <f aca="false">SUM(TblConstr[[#This Row],[Plain]:[Water]])</f>
        <v>0</v>
      </c>
      <c r="C65" s="172" t="n">
        <f aca="false">SUM(TblConstr[[#This Row],[Tot Hom]:[Tot Doc]])</f>
        <v>582</v>
      </c>
      <c r="D65" s="172" t="n">
        <f aca="false">SUM(O54:AG65)</f>
        <v>118</v>
      </c>
      <c r="E65" s="173"/>
      <c r="F65" s="33" t="n">
        <f aca="false">TblConstr[[#This Row],[Barren]]+TblConstr[[#This Row],[Buildings]]+TblConstr[[#This Row],[Incoming]]</f>
        <v>700</v>
      </c>
      <c r="G65" s="199" t="n">
        <f aca="false">OFFSET(TblConstr[[#This Row],[Plain]],-1,0)+TblConstr[[#This Row],[Ch_Plain]]</f>
        <v>0</v>
      </c>
      <c r="H65" s="193" t="n">
        <f aca="false">OFFSET(TblConstr[[#This Row],[Forest]],-1,0)+TblConstr[[#This Row],[Ch_Forest]]</f>
        <v>0</v>
      </c>
      <c r="I65" s="200" t="n">
        <f aca="false">OFFSET(TblConstr[[#This Row],[Mountain]],-1,0)+TblConstr[[#This Row],[Ch_Mountain]]</f>
        <v>0</v>
      </c>
      <c r="J65" s="201" t="n">
        <f aca="false">OFFSET(TblConstr[[#This Row],[Hill]],-1,0)+TblConstr[[#This Row],[Ch_Hill]]</f>
        <v>0</v>
      </c>
      <c r="K65" s="202" t="n">
        <f aca="false">OFFSET(TblConstr[[#This Row],[Swamp]],-1,0)+TblConstr[[#This Row],[Ch_Swamp]]</f>
        <v>0</v>
      </c>
      <c r="L65" s="197" t="n">
        <f aca="false">OFFSET(TblConstr[[#This Row],[Cavern]],-1,0)+TblConstr[[#This Row],[Ch_Cavern]]</f>
        <v>0</v>
      </c>
      <c r="M65" s="198" t="n">
        <f aca="false">OFFSET(TblConstr[[#This Row],[Water]],-1,0)+TblConstr[[#This Row],[Ch_Water]]</f>
        <v>0</v>
      </c>
      <c r="N65" s="181" t="n">
        <f aca="false">TblRezone[[#This Row],[Hour]]</f>
        <v>62</v>
      </c>
      <c r="O65" s="182"/>
      <c r="P65" s="182"/>
      <c r="Q65" s="182"/>
      <c r="R65" s="182"/>
      <c r="S65" s="182"/>
      <c r="T65" s="182"/>
      <c r="U65" s="182"/>
      <c r="V65" s="182"/>
      <c r="W65" s="182"/>
      <c r="X65" s="182"/>
      <c r="Y65" s="182"/>
      <c r="Z65" s="182" t="n">
        <v>5</v>
      </c>
      <c r="AA65" s="182"/>
      <c r="AB65" s="182"/>
      <c r="AC65" s="182"/>
      <c r="AD65" s="182"/>
      <c r="AE65" s="182"/>
      <c r="AF65" s="182"/>
      <c r="AG65" s="182"/>
      <c r="AH65" s="20" t="n">
        <f aca="false">TblImps[[#This Row],[Time]]</f>
        <v>45432.2916666667</v>
      </c>
      <c r="AI65" s="130" t="n">
        <f aca="false">MIN(25%,(TblConstr[[#This Row],[Tot Fac]]+TblConstr[[#This Row],[Dest Fac]])/(TblConstr[[#This Row],[Land]]-TblExplore[[#This Row],[Land Bonus]]*20))</f>
        <v>0.0171428571428571</v>
      </c>
      <c r="AJ65" s="130" t="n">
        <f aca="false">MIN(25%,(TblConstr[[#This Row],[Tot Fac]]+TblConstr[[#This Row],[Dest Fac]])/TblConstr[[#This Row],[Land]])</f>
        <v>0.0171428571428571</v>
      </c>
      <c r="AK65" s="69" t="n">
        <f aca="false">TblProd[[#This Row],[Platinum]]</f>
        <v>55184</v>
      </c>
      <c r="AL65" s="69" t="n">
        <f aca="false">TblProd[[#This Row],[Lumber]]</f>
        <v>4003</v>
      </c>
      <c r="AM6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1150</v>
      </c>
      <c r="AN65" s="69" t="n">
        <f aca="false">ROUNDDOWN( MAX(1 - MIN(facs_constr_factor*TblConstr[[#This Row],[Facs -DB]],facs_constr_max) + tech_1_11*TblTech[[#This Row],[11-1]] + tech_6_3_2*TblTech[[#This Row],[6-3]] + tech_5_2_3*TblTech[[#This Row],[5-2]], 1-global_constr_cap) * TblConstr[[#This Row],[RCPA Lumber]],0)</f>
        <v>197</v>
      </c>
      <c r="AO6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1150</v>
      </c>
      <c r="AP65" s="69" t="n">
        <f aca="false">ROUNDDOWN( MAX(1 - MIN(facs_constr_factor*TblConstr[[#This Row],[Facs DB]],facs_constr_max) + tech_1_11*TblTech[[#This Row],[1-11]] + tech_6_3_2*TblTech[[#This Row],[6-3]] + tech_5_2_3*TblTech[[#This Row],[5-2]], 1-global_constr_cap) * ROUND((TblConstr[[#This Row],[Land]]-250)*0.285 + 87.5 + 0/4.25,0),0)</f>
        <v>197</v>
      </c>
      <c r="AQ65" s="1" t="n">
        <f aca="false">TblConstr[[#This Row],[build -db]]*TblConstr[[#This Row],[CPA Platinum -DB]] + TblConstr[[#This Row],[build db]]*TblConstr[[#This Row],[CPA Platinum DB]]</f>
        <v>5750</v>
      </c>
      <c r="AR65" s="1" t="n">
        <f aca="false">TblConstr[[#This Row],[build -db]]*TblConstr[[#This Row],[CPA Lumber -DB]]+TblConstr[[#This Row],[build db]]*TblConstr[[#This Row],[CPA Lumber DB]]</f>
        <v>985</v>
      </c>
      <c r="AS65" s="69" t="n">
        <f aca="false">MIN(SUM(OFFSET(TblConstr[[#This Row],[Plain]:[Water]],-1,0))+SUM(TblConstr[[#This Row],[Dest Hom]:[Dest Doc]])+IF(TblConstr[[#This Row],[Hour]]&gt;12,SUM(OFFSET(TblExplore[[#This Row],[Plains Explore]:[Water Explore]],-12,0)),0),SUM(TblConstr[[#This Row],[Hom]:[Doc]]))</f>
        <v>5</v>
      </c>
      <c r="AT6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32"/>
      <c r="AV65" s="69" t="n">
        <f aca="false">ROUND((TblConstr[[#This Row],[Land]]-250 - IF(TblExplore[[#This Row],[Land Bonus]]&lt;&gt;0,20,0))*1.25 + 850 + 0,0)</f>
        <v>1413</v>
      </c>
      <c r="AW65" s="69" t="n">
        <f aca="false">ROUND((TblConstr[[#This Row],[Land]]-250 - IF(TblExplore[[#This Row],[Land Bonus]]&lt;&gt;0,20,0))*0.285 + 87.5 + 0/4.25,0)</f>
        <v>216</v>
      </c>
      <c r="AX65" s="146"/>
      <c r="AY65" s="203" t="n">
        <f aca="false" t="array" ref="AY65:AY65">IF(TblConstr[[#This Row],[Hour]:[Hour]]&gt;12,OFFSET(TblConstr[[#This Row],[Hom]],-12,0),0)+OFFSET(TblConstr[[#This Row],[Tot Hom]],-1,0)-TblConstr[[#This Row],[Dest Hom]]</f>
        <v>40</v>
      </c>
      <c r="AZ65" s="204" t="n">
        <f aca="false" t="array" ref="AZ65:AZ65">IF(TblConstr[[#This Row],[Hour]:[Hour]]&gt;12,OFFSET(TblConstr[[#This Row],[Alc]],-12,0),0)+OFFSET(TblConstr[[#This Row],[Tot Alc]],-1,0)-TblConstr[[#This Row],[Dest Alc]]</f>
        <v>275</v>
      </c>
      <c r="BA65" s="204" t="n">
        <f aca="false" t="array" ref="BA65:BA65">IF(TblConstr[[#This Row],[Hour]:[Hour]]&gt;12,OFFSET(TblConstr[[#This Row],[Far]],-12,0),0)+OFFSET(TblConstr[[#This Row],[Tot Farm]],-1,0)-TblConstr[[#This Row],[Dest Farm]]</f>
        <v>21</v>
      </c>
      <c r="BB65" s="204" t="n">
        <f aca="false" t="array" ref="BB65:BB65">IF(TblConstr[[#This Row],[Hour]:[Hour]]&gt;12,OFFSET(TblConstr[[#This Row],[Smi]],-12,0),0)+OFFSET(TblConstr[[#This Row],[Tot Smi]],-1,0)-TblConstr[[#This Row],[Dest Smi]]</f>
        <v>126</v>
      </c>
      <c r="BC65" s="204" t="n">
        <f aca="false" t="array" ref="BC65:BC65">IF(TblConstr[[#This Row],[Hour]:[Hour]]&gt;12,OFFSET(TblConstr[[#This Row],[Mas]],-12,0),0)+OFFSET(TblConstr[[#This Row],[Tot Mas]],-1,0)-TblConstr[[#This Row],[Dest Mas]]</f>
        <v>0</v>
      </c>
      <c r="BD65" s="205" t="n">
        <f aca="false" t="array" ref="BD65:BD65">IF(TblConstr[[#This Row],[Hour]:[Hour]]&gt;12,OFFSET(TblConstr[[#This Row],[Ly]],-12,0),0)+OFFSET(TblConstr[[#This Row],[Tot Ly]],-1,0)-TblConstr[[#This Row],[Dest Ly]]</f>
        <v>25</v>
      </c>
      <c r="BE65" s="205" t="n">
        <f aca="false" t="array" ref="BE65:BE65">IF(TblConstr[[#This Row],[Hour]:[Hour]]&gt;12,OFFSET(TblConstr[[#This Row],[Hav]],-12,0),0)+OFFSET(TblConstr[[#This Row],[Tot Hav]],-1,0)-TblConstr[[#This Row],[Dest Hav]]</f>
        <v>0</v>
      </c>
      <c r="BF65" s="194" t="n">
        <f aca="false" t="array" ref="BF65:BF65">IF(TblConstr[[#This Row],[Hour]:[Hour]]&gt;12,OFFSET(TblConstr[[#This Row],[OM]],-12,0),0)+OFFSET(TblConstr[[#This Row],[Tot OM]],-1,0)-TblConstr[[#This Row],[Dest OM]]</f>
        <v>0</v>
      </c>
      <c r="BG65" s="194" t="n">
        <f aca="false" t="array" ref="BG65:BG65">IF(TblConstr[[#This Row],[Hour]:[Hour]]&gt;12,OFFSET(TblConstr[[#This Row],[GN]],-12,0),0)+OFFSET(TblConstr[[#This Row],[Tot GN]],-1,0)-TblConstr[[#This Row],[Dest GN]]</f>
        <v>0</v>
      </c>
      <c r="BH65" s="206" t="n">
        <f aca="false" t="array" ref="BH65:BH65">IF(TblConstr[[#This Row],[Hour]:[Hour]]&gt;12,OFFSET(TblConstr[[#This Row],[Fac]],-12,0),0)+OFFSET(TblConstr[[#This Row],[Tot Fac]],-1,0)-TblConstr[[#This Row],[Dest Fac]]</f>
        <v>7</v>
      </c>
      <c r="BI65" s="206" t="n">
        <f aca="false" t="array" ref="BI65:BI65">IF(TblConstr[[#This Row],[Hour]:[Hour]]&gt;12,OFFSET(TblConstr[[#This Row],[GT]],-12,0),0)+OFFSET(TblConstr[[#This Row],[Tot GT]],-1,0)-TblConstr[[#This Row],[Dest GT]]</f>
        <v>0</v>
      </c>
      <c r="BJ65" s="206" t="n">
        <f aca="false" t="array" ref="BJ65:BJ65">IF(TblConstr[[#This Row],[Hour]:[Hour]]&gt;12,OFFSET(TblConstr[[#This Row],[Bar]],-12,0),0)+OFFSET(TblConstr[[#This Row],[Tot Bar]],-1,0)-TblConstr[[#This Row],[Dest Bar]]</f>
        <v>0</v>
      </c>
      <c r="BK65" s="206" t="n">
        <f aca="false" t="array" ref="BK65:BK65">IF(TblConstr[[#This Row],[Hour]:[Hour]]&gt;12,OFFSET(TblConstr[[#This Row],[Shr]],-12,0),0)+OFFSET(TblConstr[[#This Row],[Tot Shr]],-1,0)-TblConstr[[#This Row],[Dest Shr]]</f>
        <v>0</v>
      </c>
      <c r="BL65" s="207" t="n">
        <f aca="false" t="array" ref="BL65:BL65">IF(TblConstr[[#This Row],[Hour]:[Hour]]&gt;12,OFFSET(TblConstr[[#This Row],[Tow]],-12,0),0)+OFFSET(TblConstr[[#This Row],[Tot Tow]],-1,0)-TblConstr[[#This Row],[Dest Tow]]</f>
        <v>25</v>
      </c>
      <c r="BM65" s="207" t="n">
        <f aca="false" t="array" ref="BM65:BM65">IF(TblConstr[[#This Row],[Hour]:[Hour]]&gt;12,OFFSET(TblConstr[[#This Row],[Tem]],-12,0),0)+OFFSET(TblConstr[[#This Row],[Tot Tem]],-1,0)-TblConstr[[#This Row],[Dest Tem]]</f>
        <v>47</v>
      </c>
      <c r="BN65" s="207" t="n">
        <f aca="false" t="array" ref="BN65:BN65">IF(TblConstr[[#This Row],[Hour]:[Hour]]&gt;12,OFFSET(TblConstr[[#This Row],[WG]],-12,0),0)+OFFSET(TblConstr[[#This Row],[Tot WG]],-1,0)-TblConstr[[#This Row],[Dest WG]]</f>
        <v>0</v>
      </c>
      <c r="BO65" s="208" t="n">
        <f aca="false" t="array" ref="BO65:BO65">IF(TblConstr[[#This Row],[Hour]:[Hour]]&gt;12,OFFSET(TblConstr[[#This Row],[DM]],-12,0),0)+OFFSET(TblConstr[[#This Row],[Tot DM]],-1,0)-TblConstr[[#This Row],[Dest DM]]</f>
        <v>0</v>
      </c>
      <c r="BP65" s="208" t="n">
        <f aca="false" t="array" ref="BP65:BP65">IF(TblConstr[[#This Row],[Hour]:[Hour]]&gt;12,OFFSET(TblConstr[[#This Row],[Sch]],-12,0),0)+OFFSET(TblConstr[[#This Row],[Tot Sch]],-1,0)-TblConstr[[#This Row],[Dest Sch]]</f>
        <v>0</v>
      </c>
      <c r="BQ65" s="209" t="n">
        <f aca="false" t="array" ref="BQ65:BQ65">IF(TblConstr[[#This Row],[Hour]:[Hour]]&gt;12,OFFSET(TblConstr[[#This Row],[Doc]],-12,0),0)+OFFSET(TblConstr[[#This Row],[Tot Doc]],-1,0)-TblConstr[[#This Row],[Dest Doc]]</f>
        <v>16</v>
      </c>
      <c r="BR65" s="132"/>
      <c r="BS65" s="146"/>
      <c r="BT65" s="69" t="n">
        <f aca="false">TblConstr[[#This Row],[Land]]</f>
        <v>700</v>
      </c>
      <c r="BU65" s="153" t="n">
        <f aca="false">TblImps[[#This Row],[Time]]</f>
        <v>45432.2916666667</v>
      </c>
      <c r="BV65" s="132"/>
      <c r="BW65" s="182"/>
      <c r="BX65" s="182"/>
      <c r="BY65" s="182"/>
      <c r="BZ65" s="182"/>
      <c r="CA65" s="182"/>
      <c r="CB65" s="182"/>
      <c r="CC65" s="182"/>
      <c r="CD65" s="182"/>
      <c r="CE65" s="182"/>
      <c r="CF65" s="182" t="n">
        <v>5</v>
      </c>
      <c r="CG65" s="182"/>
      <c r="CH65" s="182"/>
      <c r="CI65" s="182"/>
      <c r="CJ65" s="182"/>
      <c r="CK65" s="182"/>
      <c r="CL65" s="182"/>
      <c r="CM65" s="182"/>
      <c r="CN65" s="182"/>
      <c r="CO65" s="182"/>
      <c r="CP65" s="132"/>
      <c r="CQ65" s="192" t="n">
        <f aca="false">-SUM(TblConstr[[#This Row],[Alc]:[Mas]])+SUM(TblConstr[[#This Row],[Dest Alc]:[Dest Mas]])+Rezone!L65+IF("Ch_"&amp; home_land=TblConstr[[#Headers],[Ch_Plain]],TblConstr[[#This Row],[Home Land]])+IF(TblConstr[[#This Row],[Hour]:[Hour]]&gt;12,OFFSET(TblExplore[[#This Row],[Plains Explore]],-12,0),0)</f>
        <v>0</v>
      </c>
      <c r="CR65" s="193" t="n">
        <f aca="false">-SUM(TblConstr[[#This Row],[Ly]:[Hav]])+SUM(TblConstr[[#This Row],[Dest Ly]:[Dest Hav]]) +Rezone!M65 + IF("Ch_"&amp; home_land=TblConstr[[#Headers],[Ch_Forest]],TblConstr[[#This Row],[Home Land]])+IF(TblConstr[[#This Row],[Hour]:[Hour]]&gt;12,OFFSET(TblExplore[[#This Row],[Forest Explore]],-12,0),0)</f>
        <v>0</v>
      </c>
      <c r="CS65" s="200" t="n">
        <f aca="false">-SUM(TblConstr[[#This Row],[OM]:[GN]])+SUM(TblConstr[[#This Row],[Dest OM]:[Dest GN]]) +Rezone!N65 + IF("Ch_"&amp; home_land=TblConstr[[#Headers],[Ch_Mountain]],TblConstr[[#This Row],[Home Land]])+IF(TblConstr[[#This Row],[Hour]:[Hour]]&gt;12,OFFSET(TblExplore[[#This Row],[Mountain Explore]],-12,0),0)</f>
        <v>0</v>
      </c>
      <c r="CT65" s="195" t="n">
        <f aca="false">-SUM(TblConstr[[#This Row],[Fac]:[Shr]])+SUM(TblConstr[[#This Row],[Dest Fac]:[Dest Shr]]) +Rezone!O65 + IF("Ch_" &amp; home_land=TblConstr[[#Headers],[Ch_Hill]],TblConstr[[#This Row],[Home Land]])+IF(TblConstr[[#This Row],[Hour]:[Hour]]&gt;12,OFFSET(TblExplore[[#This Row],[Hill Explore]],-12,0),0)</f>
        <v>0</v>
      </c>
      <c r="CU65" s="196" t="n">
        <f aca="false">-SUM(TblConstr[[#This Row],[Tow]:[WG]])+SUM(TblConstr[[#This Row],[Dest Tow]:[Dest WG]]) +Rezone!P65 + IF("Ch_" &amp; home_land=TblConstr[[#Headers],[Ch_Swamp]],TblConstr[[#This Row],[Home Land]])+IF(TblConstr[[#This Row],[Hour]:[Hour]]&gt;12,OFFSET(TblExplore[[#This Row],[Swamp Explore]],-12,0),0)</f>
        <v>0</v>
      </c>
      <c r="CV65" s="197" t="n">
        <f aca="false">- SUM(TblConstr[[#This Row],[DM]:[Sch]])+SUM(TblConstr[[#This Row],[Dest DM]:[Dest Sch]]) +Rezone!Q65 + IF("Ch_" &amp; home_land=TblConstr[[#Headers],[Ch_Cavern]],TblConstr[[#This Row],[Home Land]])+IF(TblConstr[[#This Row],[Hour]:[Hour]]&gt;12,OFFSET(TblExplore[[#This Row],[Cavern Explore]],-12,0),0)</f>
        <v>0</v>
      </c>
      <c r="CW65" s="198" t="n">
        <f aca="false">-TblConstr[[#This Row],[Doc]]+TblConstr[[#This Row],[Dest Doc]] +Rezone!R65 + IF("Ch_" &amp; home_land=TblConstr[[#Headers],[Ch_Water]],TblConstr[[#This Row],[Home Land]])+IF(TblConstr[[#This Row],[Hour]:[Hour]]&gt;12,OFFSET(TblExplore[[#This Row],[Water Explore]],-12,0),0)</f>
        <v>0</v>
      </c>
      <c r="CX65" s="1" t="n">
        <f aca="false">IF(Explore!S65=1,20) - TblConstr[[#This Row],[Hom]] + TblConstr[[#This Row],[Dest Hom]]</f>
        <v>0</v>
      </c>
      <c r="CY65" s="132"/>
      <c r="CZ65" s="69" t="n">
        <f aca="false">G65+SUM(P54:S65)+SUM(AZ65:BC65)</f>
        <v>430</v>
      </c>
      <c r="DA65" s="69" t="n">
        <f aca="false">H65+SUM(T54:U65)+SUM(BD65:BE65)</f>
        <v>25</v>
      </c>
      <c r="DB65" s="1" t="n">
        <f aca="false">I65+SUM(V54:W65)+SUM(BF65:BG65)</f>
        <v>0</v>
      </c>
      <c r="DC65" s="69" t="n">
        <f aca="false">J65+SUM(X54:Y65)+SUM(BH65:BI65)</f>
        <v>62</v>
      </c>
      <c r="DD65" s="69" t="n">
        <f aca="false">K65+SUM(AB54:AD65)+SUM(BL65:BN65)</f>
        <v>76</v>
      </c>
      <c r="DE65" s="1" t="n">
        <f aca="false">L65+SUM(AE54:AE65)+BO65</f>
        <v>0</v>
      </c>
      <c r="DF65" s="69" t="n">
        <f aca="false">M65+SUM(AG54:AG65)+BQ65</f>
        <v>24</v>
      </c>
      <c r="DG65" s="69" t="e">
        <f aca="false" t="array" ref="DG65:DG65">INDEX(TblConstr[[Total Plain]:[Total Water]],ROW()-ROW(TblConstr[#headers]),MATCH("Total "&amp;home_land,TblConstr[[#Headers],[Total Plain]:[Total Water]],0))+TblConstr[[#This Row],[Homes]]</f>
        <v>#VALUE!</v>
      </c>
      <c r="DH65" s="1" t="n">
        <f aca="false">SUM(O54:O65)+AY65</f>
        <v>40</v>
      </c>
      <c r="DI65" s="1" t="n">
        <f aca="false">MAX(BA65-BA64,0)</f>
        <v>2</v>
      </c>
      <c r="DJ65" s="1" t="n">
        <f aca="false">MAX(BQ65-BQ64,0)</f>
        <v>6</v>
      </c>
    </row>
    <row r="66" customFormat="false" ht="12.75" hidden="false" customHeight="false" outlineLevel="0" collapsed="false">
      <c r="A66" s="170" t="n">
        <f aca="false">TblRezone[[#This Row],[Hour]]</f>
        <v>63</v>
      </c>
      <c r="B66" s="171" t="n">
        <f aca="false">SUM(TblConstr[[#This Row],[Plain]:[Water]])</f>
        <v>0</v>
      </c>
      <c r="C66" s="172" t="n">
        <f aca="false">SUM(TblConstr[[#This Row],[Tot Hom]:[Tot Doc]])</f>
        <v>591</v>
      </c>
      <c r="D66" s="172" t="n">
        <f aca="false">SUM(O55:AG66)</f>
        <v>109</v>
      </c>
      <c r="E66" s="173"/>
      <c r="F66" s="33" t="n">
        <f aca="false">TblConstr[[#This Row],[Barren]]+TblConstr[[#This Row],[Buildings]]+TblConstr[[#This Row],[Incoming]]</f>
        <v>700</v>
      </c>
      <c r="G66" s="199" t="n">
        <f aca="false">OFFSET(TblConstr[[#This Row],[Plain]],-1,0)+TblConstr[[#This Row],[Ch_Plain]]</f>
        <v>0</v>
      </c>
      <c r="H66" s="193" t="n">
        <f aca="false">OFFSET(TblConstr[[#This Row],[Forest]],-1,0)+TblConstr[[#This Row],[Ch_Forest]]</f>
        <v>0</v>
      </c>
      <c r="I66" s="200" t="n">
        <f aca="false">OFFSET(TblConstr[[#This Row],[Mountain]],-1,0)+TblConstr[[#This Row],[Ch_Mountain]]</f>
        <v>0</v>
      </c>
      <c r="J66" s="201" t="n">
        <f aca="false">OFFSET(TblConstr[[#This Row],[Hill]],-1,0)+TblConstr[[#This Row],[Ch_Hill]]</f>
        <v>0</v>
      </c>
      <c r="K66" s="202" t="n">
        <f aca="false">OFFSET(TblConstr[[#This Row],[Swamp]],-1,0)+TblConstr[[#This Row],[Ch_Swamp]]</f>
        <v>0</v>
      </c>
      <c r="L66" s="197" t="n">
        <f aca="false">OFFSET(TblConstr[[#This Row],[Cavern]],-1,0)+TblConstr[[#This Row],[Ch_Cavern]]</f>
        <v>0</v>
      </c>
      <c r="M66" s="198" t="n">
        <f aca="false">OFFSET(TblConstr[[#This Row],[Water]],-1,0)+TblConstr[[#This Row],[Ch_Water]]</f>
        <v>0</v>
      </c>
      <c r="N66" s="181" t="n">
        <f aca="false">TblRezone[[#This Row],[Hour]]</f>
        <v>63</v>
      </c>
      <c r="O66" s="182"/>
      <c r="P66" s="182"/>
      <c r="Q66" s="182"/>
      <c r="R66" s="182"/>
      <c r="S66" s="182"/>
      <c r="T66" s="182"/>
      <c r="U66" s="182"/>
      <c r="V66" s="182"/>
      <c r="W66" s="182"/>
      <c r="X66" s="182"/>
      <c r="Y66" s="182"/>
      <c r="Z66" s="182" t="n">
        <v>5</v>
      </c>
      <c r="AA66" s="182"/>
      <c r="AB66" s="182"/>
      <c r="AC66" s="182"/>
      <c r="AD66" s="182"/>
      <c r="AE66" s="182"/>
      <c r="AF66" s="182"/>
      <c r="AG66" s="182"/>
      <c r="AH66" s="20" t="n">
        <f aca="false">TblImps[[#This Row],[Time]]</f>
        <v>45432.3333333333</v>
      </c>
      <c r="AI66" s="130" t="n">
        <f aca="false">MIN(25%,(TblConstr[[#This Row],[Tot Fac]]+TblConstr[[#This Row],[Dest Fac]])/(TblConstr[[#This Row],[Land]]-TblExplore[[#This Row],[Land Bonus]]*20))</f>
        <v>0.01</v>
      </c>
      <c r="AJ66" s="130" t="n">
        <f aca="false">MIN(25%,(TblConstr[[#This Row],[Tot Fac]]+TblConstr[[#This Row],[Dest Fac]])/TblConstr[[#This Row],[Land]])</f>
        <v>0.01</v>
      </c>
      <c r="AK66" s="69" t="n">
        <f aca="false">TblProd[[#This Row],[Platinum]]</f>
        <v>96824</v>
      </c>
      <c r="AL66" s="69" t="n">
        <f aca="false">TblProd[[#This Row],[Lumber]]</f>
        <v>4063</v>
      </c>
      <c r="AM6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1201</v>
      </c>
      <c r="AN66" s="69" t="n">
        <f aca="false">ROUNDDOWN( MAX(1 - MIN(facs_constr_factor*TblConstr[[#This Row],[Facs -DB]],facs_constr_max) + tech_1_11*TblTech[[#This Row],[11-1]] + tech_6_3_2*TblTech[[#This Row],[6-3]] + tech_5_2_3*TblTech[[#This Row],[5-2]], 1-global_constr_cap) * TblConstr[[#This Row],[RCPA Lumber]],0)</f>
        <v>205</v>
      </c>
      <c r="AO6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1201</v>
      </c>
      <c r="AP66" s="69" t="n">
        <f aca="false">ROUNDDOWN( MAX(1 - MIN(facs_constr_factor*TblConstr[[#This Row],[Facs DB]],facs_constr_max) + tech_1_11*TblTech[[#This Row],[1-11]] + tech_6_3_2*TblTech[[#This Row],[6-3]] + tech_5_2_3*TblTech[[#This Row],[5-2]], 1-global_constr_cap) * ROUND((TblConstr[[#This Row],[Land]]-250)*0.285 + 87.5 + 0/4.25,0),0)</f>
        <v>205</v>
      </c>
      <c r="AQ66" s="1" t="n">
        <f aca="false">TblConstr[[#This Row],[build -db]]*TblConstr[[#This Row],[CPA Platinum -DB]] + TblConstr[[#This Row],[build db]]*TblConstr[[#This Row],[CPA Platinum DB]]</f>
        <v>6005</v>
      </c>
      <c r="AR66" s="1" t="n">
        <f aca="false">TblConstr[[#This Row],[build -db]]*TblConstr[[#This Row],[CPA Lumber -DB]]+TblConstr[[#This Row],[build db]]*TblConstr[[#This Row],[CPA Lumber DB]]</f>
        <v>1025</v>
      </c>
      <c r="AS66" s="69" t="n">
        <f aca="false">MIN(SUM(OFFSET(TblConstr[[#This Row],[Plain]:[Water]],-1,0))+SUM(TblConstr[[#This Row],[Dest Hom]:[Dest Doc]])+IF(TblConstr[[#This Row],[Hour]]&gt;12,SUM(OFFSET(TblExplore[[#This Row],[Plains Explore]:[Water Explore]],-12,0)),0),SUM(TblConstr[[#This Row],[Hom]:[Doc]]))</f>
        <v>5</v>
      </c>
      <c r="AT6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32"/>
      <c r="AV66" s="69" t="n">
        <f aca="false">ROUND((TblConstr[[#This Row],[Land]]-250 - IF(TblExplore[[#This Row],[Land Bonus]]&lt;&gt;0,20,0))*1.25 + 850 + 0,0)</f>
        <v>1413</v>
      </c>
      <c r="AW66" s="69" t="n">
        <f aca="false">ROUND((TblConstr[[#This Row],[Land]]-250 - IF(TblExplore[[#This Row],[Land Bonus]]&lt;&gt;0,20,0))*0.285 + 87.5 + 0/4.25,0)</f>
        <v>216</v>
      </c>
      <c r="AX66" s="146"/>
      <c r="AY66" s="203" t="n">
        <f aca="false" t="array" ref="AY66:AY66">IF(TblConstr[[#This Row],[Hour]:[Hour]]&gt;12,OFFSET(TblConstr[[#This Row],[Hom]],-12,0),0)+OFFSET(TblConstr[[#This Row],[Tot Hom]],-1,0)-TblConstr[[#This Row],[Dest Hom]]</f>
        <v>40</v>
      </c>
      <c r="AZ66" s="204" t="n">
        <f aca="false" t="array" ref="AZ66:AZ66">IF(TblConstr[[#This Row],[Hour]:[Hour]]&gt;12,OFFSET(TblConstr[[#This Row],[Alc]],-12,0),0)+OFFSET(TblConstr[[#This Row],[Tot Alc]],-1,0)-TblConstr[[#This Row],[Dest Alc]]</f>
        <v>275</v>
      </c>
      <c r="BA66" s="204" t="n">
        <f aca="false" t="array" ref="BA66:BA66">IF(TblConstr[[#This Row],[Hour]:[Hour]]&gt;12,OFFSET(TblConstr[[#This Row],[Far]],-12,0),0)+OFFSET(TblConstr[[#This Row],[Tot Farm]],-1,0)-TblConstr[[#This Row],[Dest Farm]]</f>
        <v>27</v>
      </c>
      <c r="BB66" s="204" t="n">
        <f aca="false" t="array" ref="BB66:BB66">IF(TblConstr[[#This Row],[Hour]:[Hour]]&gt;12,OFFSET(TblConstr[[#This Row],[Smi]],-12,0),0)+OFFSET(TblConstr[[#This Row],[Tot Smi]],-1,0)-TblConstr[[#This Row],[Dest Smi]]</f>
        <v>126</v>
      </c>
      <c r="BC66" s="204" t="n">
        <f aca="false" t="array" ref="BC66:BC66">IF(TblConstr[[#This Row],[Hour]:[Hour]]&gt;12,OFFSET(TblConstr[[#This Row],[Mas]],-12,0),0)+OFFSET(TblConstr[[#This Row],[Tot Mas]],-1,0)-TblConstr[[#This Row],[Dest Mas]]</f>
        <v>0</v>
      </c>
      <c r="BD66" s="205" t="n">
        <f aca="false" t="array" ref="BD66:BD66">IF(TblConstr[[#This Row],[Hour]:[Hour]]&gt;12,OFFSET(TblConstr[[#This Row],[Ly]],-12,0),0)+OFFSET(TblConstr[[#This Row],[Tot Ly]],-1,0)-TblConstr[[#This Row],[Dest Ly]]</f>
        <v>25</v>
      </c>
      <c r="BE66" s="205" t="n">
        <f aca="false" t="array" ref="BE66:BE66">IF(TblConstr[[#This Row],[Hour]:[Hour]]&gt;12,OFFSET(TblConstr[[#This Row],[Hav]],-12,0),0)+OFFSET(TblConstr[[#This Row],[Tot Hav]],-1,0)-TblConstr[[#This Row],[Dest Hav]]</f>
        <v>0</v>
      </c>
      <c r="BF66" s="194" t="n">
        <f aca="false" t="array" ref="BF66:BF66">IF(TblConstr[[#This Row],[Hour]:[Hour]]&gt;12,OFFSET(TblConstr[[#This Row],[OM]],-12,0),0)+OFFSET(TblConstr[[#This Row],[Tot OM]],-1,0)-TblConstr[[#This Row],[Dest OM]]</f>
        <v>0</v>
      </c>
      <c r="BG66" s="194" t="n">
        <f aca="false" t="array" ref="BG66:BG66">IF(TblConstr[[#This Row],[Hour]:[Hour]]&gt;12,OFFSET(TblConstr[[#This Row],[GN]],-12,0),0)+OFFSET(TblConstr[[#This Row],[Tot GN]],-1,0)-TblConstr[[#This Row],[Dest GN]]</f>
        <v>0</v>
      </c>
      <c r="BH66" s="206" t="n">
        <f aca="false" t="array" ref="BH66:BH66">IF(TblConstr[[#This Row],[Hour]:[Hour]]&gt;12,OFFSET(TblConstr[[#This Row],[Fac]],-12,0),0)+OFFSET(TblConstr[[#This Row],[Tot Fac]],-1,0)-TblConstr[[#This Row],[Dest Fac]]</f>
        <v>2</v>
      </c>
      <c r="BI66" s="206" t="n">
        <f aca="false" t="array" ref="BI66:BI66">IF(TblConstr[[#This Row],[Hour]:[Hour]]&gt;12,OFFSET(TblConstr[[#This Row],[GT]],-12,0),0)+OFFSET(TblConstr[[#This Row],[Tot GT]],-1,0)-TblConstr[[#This Row],[Dest GT]]</f>
        <v>0</v>
      </c>
      <c r="BJ66" s="206" t="n">
        <f aca="false" t="array" ref="BJ66:BJ66">IF(TblConstr[[#This Row],[Hour]:[Hour]]&gt;12,OFFSET(TblConstr[[#This Row],[Bar]],-12,0),0)+OFFSET(TblConstr[[#This Row],[Tot Bar]],-1,0)-TblConstr[[#This Row],[Dest Bar]]</f>
        <v>0</v>
      </c>
      <c r="BK66" s="206" t="n">
        <f aca="false" t="array" ref="BK66:BK66">IF(TblConstr[[#This Row],[Hour]:[Hour]]&gt;12,OFFSET(TblConstr[[#This Row],[Shr]],-12,0),0)+OFFSET(TblConstr[[#This Row],[Tot Shr]],-1,0)-TblConstr[[#This Row],[Dest Shr]]</f>
        <v>0</v>
      </c>
      <c r="BL66" s="207" t="n">
        <f aca="false" t="array" ref="BL66:BL66">IF(TblConstr[[#This Row],[Hour]:[Hour]]&gt;12,OFFSET(TblConstr[[#This Row],[Tow]],-12,0),0)+OFFSET(TblConstr[[#This Row],[Tot Tow]],-1,0)-TblConstr[[#This Row],[Dest Tow]]</f>
        <v>25</v>
      </c>
      <c r="BM66" s="207" t="n">
        <f aca="false" t="array" ref="BM66:BM66">IF(TblConstr[[#This Row],[Hour]:[Hour]]&gt;12,OFFSET(TblConstr[[#This Row],[Tem]],-12,0),0)+OFFSET(TblConstr[[#This Row],[Tot Tem]],-1,0)-TblConstr[[#This Row],[Dest Tem]]</f>
        <v>47</v>
      </c>
      <c r="BN66" s="207" t="n">
        <f aca="false" t="array" ref="BN66:BN66">IF(TblConstr[[#This Row],[Hour]:[Hour]]&gt;12,OFFSET(TblConstr[[#This Row],[WG]],-12,0),0)+OFFSET(TblConstr[[#This Row],[Tot WG]],-1,0)-TblConstr[[#This Row],[Dest WG]]</f>
        <v>0</v>
      </c>
      <c r="BO66" s="208" t="n">
        <f aca="false" t="array" ref="BO66:BO66">IF(TblConstr[[#This Row],[Hour]:[Hour]]&gt;12,OFFSET(TblConstr[[#This Row],[DM]],-12,0),0)+OFFSET(TblConstr[[#This Row],[Tot DM]],-1,0)-TblConstr[[#This Row],[Dest DM]]</f>
        <v>0</v>
      </c>
      <c r="BP66" s="208" t="n">
        <f aca="false" t="array" ref="BP66:BP66">IF(TblConstr[[#This Row],[Hour]:[Hour]]&gt;12,OFFSET(TblConstr[[#This Row],[Sch]],-12,0),0)+OFFSET(TblConstr[[#This Row],[Tot Sch]],-1,0)-TblConstr[[#This Row],[Dest Sch]]</f>
        <v>0</v>
      </c>
      <c r="BQ66" s="209" t="n">
        <f aca="false" t="array" ref="BQ66:BQ66">IF(TblConstr[[#This Row],[Hour]:[Hour]]&gt;12,OFFSET(TblConstr[[#This Row],[Doc]],-12,0),0)+OFFSET(TblConstr[[#This Row],[Tot Doc]],-1,0)-TblConstr[[#This Row],[Dest Doc]]</f>
        <v>24</v>
      </c>
      <c r="BR66" s="132"/>
      <c r="BS66" s="146"/>
      <c r="BT66" s="69" t="n">
        <f aca="false">TblConstr[[#This Row],[Land]]</f>
        <v>700</v>
      </c>
      <c r="BU66" s="153" t="n">
        <f aca="false">TblImps[[#This Row],[Time]]</f>
        <v>45432.3333333333</v>
      </c>
      <c r="BV66" s="132"/>
      <c r="BW66" s="182"/>
      <c r="BX66" s="182"/>
      <c r="BY66" s="182"/>
      <c r="BZ66" s="182"/>
      <c r="CA66" s="182"/>
      <c r="CB66" s="182"/>
      <c r="CC66" s="182"/>
      <c r="CD66" s="182"/>
      <c r="CE66" s="182"/>
      <c r="CF66" s="182" t="n">
        <v>5</v>
      </c>
      <c r="CG66" s="182"/>
      <c r="CH66" s="182"/>
      <c r="CI66" s="182"/>
      <c r="CJ66" s="182"/>
      <c r="CK66" s="182"/>
      <c r="CL66" s="182"/>
      <c r="CM66" s="182"/>
      <c r="CN66" s="182"/>
      <c r="CO66" s="182"/>
      <c r="CP66" s="132"/>
      <c r="CQ66" s="192" t="n">
        <f aca="false">-SUM(TblConstr[[#This Row],[Alc]:[Mas]])+SUM(TblConstr[[#This Row],[Dest Alc]:[Dest Mas]])+Rezone!L66+IF("Ch_"&amp; home_land=TblConstr[[#Headers],[Ch_Plain]],TblConstr[[#This Row],[Home Land]])+IF(TblConstr[[#This Row],[Hour]:[Hour]]&gt;12,OFFSET(TblExplore[[#This Row],[Plains Explore]],-12,0),0)</f>
        <v>0</v>
      </c>
      <c r="CR66" s="193" t="n">
        <f aca="false">-SUM(TblConstr[[#This Row],[Ly]:[Hav]])+SUM(TblConstr[[#This Row],[Dest Ly]:[Dest Hav]]) +Rezone!M66 + IF("Ch_"&amp; home_land=TblConstr[[#Headers],[Ch_Forest]],TblConstr[[#This Row],[Home Land]])+IF(TblConstr[[#This Row],[Hour]:[Hour]]&gt;12,OFFSET(TblExplore[[#This Row],[Forest Explore]],-12,0),0)</f>
        <v>0</v>
      </c>
      <c r="CS66" s="200" t="n">
        <f aca="false">-SUM(TblConstr[[#This Row],[OM]:[GN]])+SUM(TblConstr[[#This Row],[Dest OM]:[Dest GN]]) +Rezone!N66 + IF("Ch_"&amp; home_land=TblConstr[[#Headers],[Ch_Mountain]],TblConstr[[#This Row],[Home Land]])+IF(TblConstr[[#This Row],[Hour]:[Hour]]&gt;12,OFFSET(TblExplore[[#This Row],[Mountain Explore]],-12,0),0)</f>
        <v>0</v>
      </c>
      <c r="CT66" s="195" t="n">
        <f aca="false">-SUM(TblConstr[[#This Row],[Fac]:[Shr]])+SUM(TblConstr[[#This Row],[Dest Fac]:[Dest Shr]]) +Rezone!O66 + IF("Ch_" &amp; home_land=TblConstr[[#Headers],[Ch_Hill]],TblConstr[[#This Row],[Home Land]])+IF(TblConstr[[#This Row],[Hour]:[Hour]]&gt;12,OFFSET(TblExplore[[#This Row],[Hill Explore]],-12,0),0)</f>
        <v>0</v>
      </c>
      <c r="CU66" s="196" t="n">
        <f aca="false">-SUM(TblConstr[[#This Row],[Tow]:[WG]])+SUM(TblConstr[[#This Row],[Dest Tow]:[Dest WG]]) +Rezone!P66 + IF("Ch_" &amp; home_land=TblConstr[[#Headers],[Ch_Swamp]],TblConstr[[#This Row],[Home Land]])+IF(TblConstr[[#This Row],[Hour]:[Hour]]&gt;12,OFFSET(TblExplore[[#This Row],[Swamp Explore]],-12,0),0)</f>
        <v>0</v>
      </c>
      <c r="CV66" s="197" t="n">
        <f aca="false">- SUM(TblConstr[[#This Row],[DM]:[Sch]])+SUM(TblConstr[[#This Row],[Dest DM]:[Dest Sch]]) +Rezone!Q66 + IF("Ch_" &amp; home_land=TblConstr[[#Headers],[Ch_Cavern]],TblConstr[[#This Row],[Home Land]])+IF(TblConstr[[#This Row],[Hour]:[Hour]]&gt;12,OFFSET(TblExplore[[#This Row],[Cavern Explore]],-12,0),0)</f>
        <v>0</v>
      </c>
      <c r="CW66" s="198" t="n">
        <f aca="false">-TblConstr[[#This Row],[Doc]]+TblConstr[[#This Row],[Dest Doc]] +Rezone!R66 + IF("Ch_" &amp; home_land=TblConstr[[#Headers],[Ch_Water]],TblConstr[[#This Row],[Home Land]])+IF(TblConstr[[#This Row],[Hour]:[Hour]]&gt;12,OFFSET(TblExplore[[#This Row],[Water Explore]],-12,0),0)</f>
        <v>0</v>
      </c>
      <c r="CX66" s="1" t="n">
        <f aca="false">IF(Explore!S66=1,20) - TblConstr[[#This Row],[Hom]] + TblConstr[[#This Row],[Dest Hom]]</f>
        <v>0</v>
      </c>
      <c r="CY66" s="132"/>
      <c r="CZ66" s="69" t="n">
        <f aca="false">G66+SUM(P55:S66)+SUM(AZ66:BC66)</f>
        <v>430</v>
      </c>
      <c r="DA66" s="69" t="n">
        <f aca="false">H66+SUM(T55:U66)+SUM(BD66:BE66)</f>
        <v>25</v>
      </c>
      <c r="DB66" s="1" t="n">
        <f aca="false">I66+SUM(V55:W66)+SUM(BF66:BG66)</f>
        <v>0</v>
      </c>
      <c r="DC66" s="69" t="n">
        <f aca="false">J66+SUM(X55:Y66)+SUM(BH66:BI66)</f>
        <v>57</v>
      </c>
      <c r="DD66" s="69" t="n">
        <f aca="false">K66+SUM(AB55:AD66)+SUM(BL66:BN66)</f>
        <v>76</v>
      </c>
      <c r="DE66" s="1" t="n">
        <f aca="false">L66+SUM(AE55:AE66)+BO66</f>
        <v>0</v>
      </c>
      <c r="DF66" s="69" t="n">
        <f aca="false">M66+SUM(AG55:AG66)+BQ66</f>
        <v>24</v>
      </c>
      <c r="DG66" s="69" t="e">
        <f aca="false" t="array" ref="DG66:DG66">INDEX(TblConstr[[Total Plain]:[Total Water]],ROW()-ROW(TblConstr[#headers]),MATCH("Total "&amp;home_land,TblConstr[[#Headers],[Total Plain]:[Total Water]],0))+TblConstr[[#This Row],[Homes]]</f>
        <v>#VALUE!</v>
      </c>
      <c r="DH66" s="1" t="n">
        <f aca="false">SUM(O55:O66)+AY66</f>
        <v>40</v>
      </c>
      <c r="DI66" s="1" t="n">
        <f aca="false">MAX(BA66-BA65,0)</f>
        <v>6</v>
      </c>
      <c r="DJ66" s="1" t="n">
        <f aca="false">MAX(BQ66-BQ65,0)</f>
        <v>8</v>
      </c>
    </row>
    <row r="67" customFormat="false" ht="12.75" hidden="false" customHeight="false" outlineLevel="0" collapsed="false">
      <c r="A67" s="170" t="n">
        <f aca="false">TblRezone[[#This Row],[Hour]]</f>
        <v>64</v>
      </c>
      <c r="B67" s="171" t="n">
        <f aca="false">SUM(TblConstr[[#This Row],[Plain]:[Water]])</f>
        <v>0</v>
      </c>
      <c r="C67" s="172" t="n">
        <f aca="false">SUM(TblConstr[[#This Row],[Tot Hom]:[Tot Doc]])</f>
        <v>602</v>
      </c>
      <c r="D67" s="172" t="n">
        <f aca="false">SUM(O56:AG67)</f>
        <v>98</v>
      </c>
      <c r="E67" s="173"/>
      <c r="F67" s="33" t="n">
        <f aca="false">TblConstr[[#This Row],[Barren]]+TblConstr[[#This Row],[Buildings]]+TblConstr[[#This Row],[Incoming]]</f>
        <v>700</v>
      </c>
      <c r="G67" s="199" t="n">
        <f aca="false">OFFSET(TblConstr[[#This Row],[Plain]],-1,0)+TblConstr[[#This Row],[Ch_Plain]]</f>
        <v>0</v>
      </c>
      <c r="H67" s="193" t="n">
        <f aca="false">OFFSET(TblConstr[[#This Row],[Forest]],-1,0)+TblConstr[[#This Row],[Ch_Forest]]</f>
        <v>0</v>
      </c>
      <c r="I67" s="200" t="n">
        <f aca="false">OFFSET(TblConstr[[#This Row],[Mountain]],-1,0)+TblConstr[[#This Row],[Ch_Mountain]]</f>
        <v>0</v>
      </c>
      <c r="J67" s="201" t="n">
        <f aca="false">OFFSET(TblConstr[[#This Row],[Hill]],-1,0)+TblConstr[[#This Row],[Ch_Hill]]</f>
        <v>0</v>
      </c>
      <c r="K67" s="202" t="n">
        <f aca="false">OFFSET(TblConstr[[#This Row],[Swamp]],-1,0)+TblConstr[[#This Row],[Ch_Swamp]]</f>
        <v>0</v>
      </c>
      <c r="L67" s="197" t="n">
        <f aca="false">OFFSET(TblConstr[[#This Row],[Cavern]],-1,0)+TblConstr[[#This Row],[Ch_Cavern]]</f>
        <v>0</v>
      </c>
      <c r="M67" s="198" t="n">
        <f aca="false">OFFSET(TblConstr[[#This Row],[Water]],-1,0)+TblConstr[[#This Row],[Ch_Water]]</f>
        <v>0</v>
      </c>
      <c r="N67" s="181" t="n">
        <f aca="false">TblRezone[[#This Row],[Hour]]</f>
        <v>64</v>
      </c>
      <c r="O67" s="182"/>
      <c r="P67" s="182"/>
      <c r="Q67" s="182"/>
      <c r="R67" s="182"/>
      <c r="S67" s="182"/>
      <c r="T67" s="182"/>
      <c r="U67" s="182"/>
      <c r="V67" s="182"/>
      <c r="W67" s="182"/>
      <c r="X67" s="182"/>
      <c r="Y67" s="182"/>
      <c r="Z67" s="182" t="n">
        <v>2</v>
      </c>
      <c r="AA67" s="182"/>
      <c r="AB67" s="182"/>
      <c r="AC67" s="182"/>
      <c r="AD67" s="182"/>
      <c r="AE67" s="182"/>
      <c r="AF67" s="182"/>
      <c r="AG67" s="182"/>
      <c r="AH67" s="20" t="n">
        <f aca="false">TblImps[[#This Row],[Time]]</f>
        <v>45432.375</v>
      </c>
      <c r="AI67" s="130" t="n">
        <f aca="false">MIN(25%,(TblConstr[[#This Row],[Tot Fac]]+TblConstr[[#This Row],[Dest Fac]])/(TblConstr[[#This Row],[Land]]-TblExplore[[#This Row],[Land Bonus]]*20))</f>
        <v>0.00285714285714286</v>
      </c>
      <c r="AJ67" s="130" t="n">
        <f aca="false">MIN(25%,(TblConstr[[#This Row],[Tot Fac]]+TblConstr[[#This Row],[Dest Fac]])/TblConstr[[#This Row],[Land]])</f>
        <v>0.00285714285714286</v>
      </c>
      <c r="AK67" s="69" t="n">
        <f aca="false">TblProd[[#This Row],[Platinum]]</f>
        <v>7459</v>
      </c>
      <c r="AL67" s="69" t="n">
        <f aca="false">TblProd[[#This Row],[Lumber]]</f>
        <v>4723</v>
      </c>
      <c r="AM6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1251</v>
      </c>
      <c r="AN67" s="69" t="n">
        <f aca="false">ROUNDDOWN( MAX(1 - MIN(facs_constr_factor*TblConstr[[#This Row],[Facs -DB]],facs_constr_max) + tech_1_11*TblTech[[#This Row],[11-1]] + tech_6_3_2*TblTech[[#This Row],[6-3]] + tech_5_2_3*TblTech[[#This Row],[5-2]], 1-global_constr_cap) * TblConstr[[#This Row],[RCPA Lumber]],0)</f>
        <v>212</v>
      </c>
      <c r="AO6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1251</v>
      </c>
      <c r="AP67" s="69" t="n">
        <f aca="false">ROUNDDOWN( MAX(1 - MIN(facs_constr_factor*TblConstr[[#This Row],[Facs DB]],facs_constr_max) + tech_1_11*TblTech[[#This Row],[1-11]] + tech_6_3_2*TblTech[[#This Row],[6-3]] + tech_5_2_3*TblTech[[#This Row],[5-2]], 1-global_constr_cap) * ROUND((TblConstr[[#This Row],[Land]]-250)*0.285 + 87.5 + 0/4.25,0),0)</f>
        <v>212</v>
      </c>
      <c r="AQ67" s="1" t="n">
        <f aca="false">TblConstr[[#This Row],[build -db]]*TblConstr[[#This Row],[CPA Platinum -DB]] + TblConstr[[#This Row],[build db]]*TblConstr[[#This Row],[CPA Platinum DB]]</f>
        <v>2502</v>
      </c>
      <c r="AR67" s="1" t="n">
        <f aca="false">TblConstr[[#This Row],[build -db]]*TblConstr[[#This Row],[CPA Lumber -DB]]+TblConstr[[#This Row],[build db]]*TblConstr[[#This Row],[CPA Lumber DB]]</f>
        <v>424</v>
      </c>
      <c r="AS67" s="69" t="n">
        <f aca="false">MIN(SUM(OFFSET(TblConstr[[#This Row],[Plain]:[Water]],-1,0))+SUM(TblConstr[[#This Row],[Dest Hom]:[Dest Doc]])+IF(TblConstr[[#This Row],[Hour]]&gt;12,SUM(OFFSET(TblExplore[[#This Row],[Plains Explore]:[Water Explore]],-12,0)),0),SUM(TblConstr[[#This Row],[Hom]:[Doc]]))</f>
        <v>2</v>
      </c>
      <c r="AT6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32"/>
      <c r="AV67" s="69" t="n">
        <f aca="false">ROUND((TblConstr[[#This Row],[Land]]-250 - IF(TblExplore[[#This Row],[Land Bonus]]&lt;&gt;0,20,0))*1.25 + 850 + 0,0)</f>
        <v>1413</v>
      </c>
      <c r="AW67" s="69" t="n">
        <f aca="false">ROUND((TblConstr[[#This Row],[Land]]-250 - IF(TblExplore[[#This Row],[Land Bonus]]&lt;&gt;0,20,0))*0.285 + 87.5 + 0/4.25,0)</f>
        <v>216</v>
      </c>
      <c r="AX67" s="146"/>
      <c r="AY67" s="203" t="n">
        <f aca="false" t="array" ref="AY67:AY67">IF(TblConstr[[#This Row],[Hour]:[Hour]]&gt;12,OFFSET(TblConstr[[#This Row],[Hom]],-12,0),0)+OFFSET(TblConstr[[#This Row],[Tot Hom]],-1,0)-TblConstr[[#This Row],[Dest Hom]]</f>
        <v>40</v>
      </c>
      <c r="AZ67" s="204" t="n">
        <f aca="false" t="array" ref="AZ67:AZ67">IF(TblConstr[[#This Row],[Hour]:[Hour]]&gt;12,OFFSET(TblConstr[[#This Row],[Alc]],-12,0),0)+OFFSET(TblConstr[[#This Row],[Tot Alc]],-1,0)-TblConstr[[#This Row],[Dest Alc]]</f>
        <v>275</v>
      </c>
      <c r="BA67" s="204" t="n">
        <f aca="false" t="array" ref="BA67:BA67">IF(TblConstr[[#This Row],[Hour]:[Hour]]&gt;12,OFFSET(TblConstr[[#This Row],[Far]],-12,0),0)+OFFSET(TblConstr[[#This Row],[Tot Farm]],-1,0)-TblConstr[[#This Row],[Dest Farm]]</f>
        <v>29</v>
      </c>
      <c r="BB67" s="204" t="n">
        <f aca="false" t="array" ref="BB67:BB67">IF(TblConstr[[#This Row],[Hour]:[Hour]]&gt;12,OFFSET(TblConstr[[#This Row],[Smi]],-12,0),0)+OFFSET(TblConstr[[#This Row],[Tot Smi]],-1,0)-TblConstr[[#This Row],[Dest Smi]]</f>
        <v>126</v>
      </c>
      <c r="BC67" s="204" t="n">
        <f aca="false" t="array" ref="BC67:BC67">IF(TblConstr[[#This Row],[Hour]:[Hour]]&gt;12,OFFSET(TblConstr[[#This Row],[Mas]],-12,0),0)+OFFSET(TblConstr[[#This Row],[Tot Mas]],-1,0)-TblConstr[[#This Row],[Dest Mas]]</f>
        <v>0</v>
      </c>
      <c r="BD67" s="205" t="n">
        <f aca="false" t="array" ref="BD67:BD67">IF(TblConstr[[#This Row],[Hour]:[Hour]]&gt;12,OFFSET(TblConstr[[#This Row],[Ly]],-12,0),0)+OFFSET(TblConstr[[#This Row],[Tot Ly]],-1,0)-TblConstr[[#This Row],[Dest Ly]]</f>
        <v>25</v>
      </c>
      <c r="BE67" s="205" t="n">
        <f aca="false" t="array" ref="BE67:BE67">IF(TblConstr[[#This Row],[Hour]:[Hour]]&gt;12,OFFSET(TblConstr[[#This Row],[Hav]],-12,0),0)+OFFSET(TblConstr[[#This Row],[Tot Hav]],-1,0)-TblConstr[[#This Row],[Dest Hav]]</f>
        <v>0</v>
      </c>
      <c r="BF67" s="194" t="n">
        <f aca="false" t="array" ref="BF67:BF67">IF(TblConstr[[#This Row],[Hour]:[Hour]]&gt;12,OFFSET(TblConstr[[#This Row],[OM]],-12,0),0)+OFFSET(TblConstr[[#This Row],[Tot OM]],-1,0)-TblConstr[[#This Row],[Dest OM]]</f>
        <v>0</v>
      </c>
      <c r="BG67" s="194" t="n">
        <f aca="false" t="array" ref="BG67:BG67">IF(TblConstr[[#This Row],[Hour]:[Hour]]&gt;12,OFFSET(TblConstr[[#This Row],[GN]],-12,0),0)+OFFSET(TblConstr[[#This Row],[Tot GN]],-1,0)-TblConstr[[#This Row],[Dest GN]]</f>
        <v>0</v>
      </c>
      <c r="BH67" s="206" t="n">
        <f aca="false" t="array" ref="BH67:BH67">IF(TblConstr[[#This Row],[Hour]:[Hour]]&gt;12,OFFSET(TblConstr[[#This Row],[Fac]],-12,0),0)+OFFSET(TblConstr[[#This Row],[Tot Fac]],-1,0)-TblConstr[[#This Row],[Dest Fac]]</f>
        <v>0</v>
      </c>
      <c r="BI67" s="206" t="n">
        <f aca="false" t="array" ref="BI67:BI67">IF(TblConstr[[#This Row],[Hour]:[Hour]]&gt;12,OFFSET(TblConstr[[#This Row],[GT]],-12,0),0)+OFFSET(TblConstr[[#This Row],[Tot GT]],-1,0)-TblConstr[[#This Row],[Dest GT]]</f>
        <v>0</v>
      </c>
      <c r="BJ67" s="206" t="n">
        <f aca="false" t="array" ref="BJ67:BJ67">IF(TblConstr[[#This Row],[Hour]:[Hour]]&gt;12,OFFSET(TblConstr[[#This Row],[Bar]],-12,0),0)+OFFSET(TblConstr[[#This Row],[Tot Bar]],-1,0)-TblConstr[[#This Row],[Dest Bar]]</f>
        <v>11</v>
      </c>
      <c r="BK67" s="206" t="n">
        <f aca="false" t="array" ref="BK67:BK67">IF(TblConstr[[#This Row],[Hour]:[Hour]]&gt;12,OFFSET(TblConstr[[#This Row],[Shr]],-12,0),0)+OFFSET(TblConstr[[#This Row],[Tot Shr]],-1,0)-TblConstr[[#This Row],[Dest Shr]]</f>
        <v>0</v>
      </c>
      <c r="BL67" s="207" t="n">
        <f aca="false" t="array" ref="BL67:BL67">IF(TblConstr[[#This Row],[Hour]:[Hour]]&gt;12,OFFSET(TblConstr[[#This Row],[Tow]],-12,0),0)+OFFSET(TblConstr[[#This Row],[Tot Tow]],-1,0)-TblConstr[[#This Row],[Dest Tow]]</f>
        <v>25</v>
      </c>
      <c r="BM67" s="207" t="n">
        <f aca="false" t="array" ref="BM67:BM67">IF(TblConstr[[#This Row],[Hour]:[Hour]]&gt;12,OFFSET(TblConstr[[#This Row],[Tem]],-12,0),0)+OFFSET(TblConstr[[#This Row],[Tot Tem]],-1,0)-TblConstr[[#This Row],[Dest Tem]]</f>
        <v>47</v>
      </c>
      <c r="BN67" s="207" t="n">
        <f aca="false" t="array" ref="BN67:BN67">IF(TblConstr[[#This Row],[Hour]:[Hour]]&gt;12,OFFSET(TblConstr[[#This Row],[WG]],-12,0),0)+OFFSET(TblConstr[[#This Row],[Tot WG]],-1,0)-TblConstr[[#This Row],[Dest WG]]</f>
        <v>0</v>
      </c>
      <c r="BO67" s="208" t="n">
        <f aca="false" t="array" ref="BO67:BO67">IF(TblConstr[[#This Row],[Hour]:[Hour]]&gt;12,OFFSET(TblConstr[[#This Row],[DM]],-12,0),0)+OFFSET(TblConstr[[#This Row],[Tot DM]],-1,0)-TblConstr[[#This Row],[Dest DM]]</f>
        <v>0</v>
      </c>
      <c r="BP67" s="208" t="n">
        <f aca="false" t="array" ref="BP67:BP67">IF(TblConstr[[#This Row],[Hour]:[Hour]]&gt;12,OFFSET(TblConstr[[#This Row],[Sch]],-12,0),0)+OFFSET(TblConstr[[#This Row],[Tot Sch]],-1,0)-TblConstr[[#This Row],[Dest Sch]]</f>
        <v>0</v>
      </c>
      <c r="BQ67" s="209" t="n">
        <f aca="false" t="array" ref="BQ67:BQ67">IF(TblConstr[[#This Row],[Hour]:[Hour]]&gt;12,OFFSET(TblConstr[[#This Row],[Doc]],-12,0),0)+OFFSET(TblConstr[[#This Row],[Tot Doc]],-1,0)-TblConstr[[#This Row],[Dest Doc]]</f>
        <v>24</v>
      </c>
      <c r="BR67" s="132"/>
      <c r="BS67" s="146"/>
      <c r="BT67" s="69" t="n">
        <f aca="false">TblConstr[[#This Row],[Land]]</f>
        <v>700</v>
      </c>
      <c r="BU67" s="153" t="n">
        <f aca="false">TblImps[[#This Row],[Time]]</f>
        <v>45432.375</v>
      </c>
      <c r="BV67" s="132"/>
      <c r="BW67" s="182"/>
      <c r="BX67" s="182"/>
      <c r="BY67" s="182"/>
      <c r="BZ67" s="182"/>
      <c r="CA67" s="182"/>
      <c r="CB67" s="182"/>
      <c r="CC67" s="182"/>
      <c r="CD67" s="182"/>
      <c r="CE67" s="182"/>
      <c r="CF67" s="182" t="n">
        <v>2</v>
      </c>
      <c r="CG67" s="182"/>
      <c r="CH67" s="182"/>
      <c r="CI67" s="182"/>
      <c r="CJ67" s="182"/>
      <c r="CK67" s="182"/>
      <c r="CL67" s="182"/>
      <c r="CM67" s="182"/>
      <c r="CN67" s="182"/>
      <c r="CO67" s="182"/>
      <c r="CP67" s="132"/>
      <c r="CQ67" s="192" t="n">
        <f aca="false">-SUM(TblConstr[[#This Row],[Alc]:[Mas]])+SUM(TblConstr[[#This Row],[Dest Alc]:[Dest Mas]])+Rezone!L67+IF("Ch_"&amp; home_land=TblConstr[[#Headers],[Ch_Plain]],TblConstr[[#This Row],[Home Land]])+IF(TblConstr[[#This Row],[Hour]:[Hour]]&gt;12,OFFSET(TblExplore[[#This Row],[Plains Explore]],-12,0),0)</f>
        <v>0</v>
      </c>
      <c r="CR67" s="193" t="n">
        <f aca="false">-SUM(TblConstr[[#This Row],[Ly]:[Hav]])+SUM(TblConstr[[#This Row],[Dest Ly]:[Dest Hav]]) +Rezone!M67 + IF("Ch_"&amp; home_land=TblConstr[[#Headers],[Ch_Forest]],TblConstr[[#This Row],[Home Land]])+IF(TblConstr[[#This Row],[Hour]:[Hour]]&gt;12,OFFSET(TblExplore[[#This Row],[Forest Explore]],-12,0),0)</f>
        <v>0</v>
      </c>
      <c r="CS67" s="200" t="n">
        <f aca="false">-SUM(TblConstr[[#This Row],[OM]:[GN]])+SUM(TblConstr[[#This Row],[Dest OM]:[Dest GN]]) +Rezone!N67 + IF("Ch_"&amp; home_land=TblConstr[[#Headers],[Ch_Mountain]],TblConstr[[#This Row],[Home Land]])+IF(TblConstr[[#This Row],[Hour]:[Hour]]&gt;12,OFFSET(TblExplore[[#This Row],[Mountain Explore]],-12,0),0)</f>
        <v>0</v>
      </c>
      <c r="CT67" s="195" t="n">
        <f aca="false">-SUM(TblConstr[[#This Row],[Fac]:[Shr]])+SUM(TblConstr[[#This Row],[Dest Fac]:[Dest Shr]]) +Rezone!O67 + IF("Ch_" &amp; home_land=TblConstr[[#Headers],[Ch_Hill]],TblConstr[[#This Row],[Home Land]])+IF(TblConstr[[#This Row],[Hour]:[Hour]]&gt;12,OFFSET(TblExplore[[#This Row],[Hill Explore]],-12,0),0)</f>
        <v>0</v>
      </c>
      <c r="CU67" s="196" t="n">
        <f aca="false">-SUM(TblConstr[[#This Row],[Tow]:[WG]])+SUM(TblConstr[[#This Row],[Dest Tow]:[Dest WG]]) +Rezone!P67 + IF("Ch_" &amp; home_land=TblConstr[[#Headers],[Ch_Swamp]],TblConstr[[#This Row],[Home Land]])+IF(TblConstr[[#This Row],[Hour]:[Hour]]&gt;12,OFFSET(TblExplore[[#This Row],[Swamp Explore]],-12,0),0)</f>
        <v>0</v>
      </c>
      <c r="CV67" s="197" t="n">
        <f aca="false">- SUM(TblConstr[[#This Row],[DM]:[Sch]])+SUM(TblConstr[[#This Row],[Dest DM]:[Dest Sch]]) +Rezone!Q67 + IF("Ch_" &amp; home_land=TblConstr[[#Headers],[Ch_Cavern]],TblConstr[[#This Row],[Home Land]])+IF(TblConstr[[#This Row],[Hour]:[Hour]]&gt;12,OFFSET(TblExplore[[#This Row],[Cavern Explore]],-12,0),0)</f>
        <v>0</v>
      </c>
      <c r="CW67" s="198" t="n">
        <f aca="false">-TblConstr[[#This Row],[Doc]]+TblConstr[[#This Row],[Dest Doc]] +Rezone!R67 + IF("Ch_" &amp; home_land=TblConstr[[#Headers],[Ch_Water]],TblConstr[[#This Row],[Home Land]])+IF(TblConstr[[#This Row],[Hour]:[Hour]]&gt;12,OFFSET(TblExplore[[#This Row],[Water Explore]],-12,0),0)</f>
        <v>0</v>
      </c>
      <c r="CX67" s="1" t="n">
        <f aca="false">IF(Explore!S67=1,20) - TblConstr[[#This Row],[Hom]] + TblConstr[[#This Row],[Dest Hom]]</f>
        <v>0</v>
      </c>
      <c r="CY67" s="132"/>
      <c r="CZ67" s="69" t="n">
        <f aca="false">G67+SUM(P56:S67)+SUM(AZ67:BC67)</f>
        <v>430</v>
      </c>
      <c r="DA67" s="69" t="n">
        <f aca="false">H67+SUM(T56:U67)+SUM(BD67:BE67)</f>
        <v>25</v>
      </c>
      <c r="DB67" s="1" t="n">
        <f aca="false">I67+SUM(V56:W67)+SUM(BF67:BG67)</f>
        <v>0</v>
      </c>
      <c r="DC67" s="69" t="n">
        <f aca="false">J67+SUM(X56:Y67)+SUM(BH67:BI67)</f>
        <v>55</v>
      </c>
      <c r="DD67" s="69" t="n">
        <f aca="false">K67+SUM(AB56:AD67)+SUM(BL67:BN67)</f>
        <v>76</v>
      </c>
      <c r="DE67" s="1" t="n">
        <f aca="false">L67+SUM(AE56:AE67)+BO67</f>
        <v>0</v>
      </c>
      <c r="DF67" s="69" t="n">
        <f aca="false">M67+SUM(AG56:AG67)+BQ67</f>
        <v>24</v>
      </c>
      <c r="DG67" s="69" t="e">
        <f aca="false" t="array" ref="DG67:DG67">INDEX(TblConstr[[Total Plain]:[Total Water]],ROW()-ROW(TblConstr[#headers]),MATCH("Total "&amp;home_land,TblConstr[[#Headers],[Total Plain]:[Total Water]],0))+TblConstr[[#This Row],[Homes]]</f>
        <v>#VALUE!</v>
      </c>
      <c r="DH67" s="1" t="n">
        <f aca="false">SUM(O56:O67)+AY67</f>
        <v>40</v>
      </c>
      <c r="DI67" s="1" t="n">
        <f aca="false">MAX(BA67-BA66,0)</f>
        <v>2</v>
      </c>
      <c r="DJ67" s="1" t="n">
        <f aca="false">MAX(BQ67-BQ66,0)</f>
        <v>0</v>
      </c>
    </row>
    <row r="68" customFormat="false" ht="12.75" hidden="false" customHeight="false" outlineLevel="0" collapsed="false">
      <c r="A68" s="170" t="n">
        <f aca="false">TblRezone[[#This Row],[Hour]]</f>
        <v>65</v>
      </c>
      <c r="B68" s="171" t="n">
        <f aca="false">SUM(TblConstr[[#This Row],[Plain]:[Water]])</f>
        <v>0</v>
      </c>
      <c r="C68" s="172" t="n">
        <f aca="false">SUM(TblConstr[[#This Row],[Tot Hom]:[Tot Doc]])</f>
        <v>613</v>
      </c>
      <c r="D68" s="172" t="n">
        <f aca="false">SUM(O57:AG68)</f>
        <v>87</v>
      </c>
      <c r="E68" s="173"/>
      <c r="F68" s="33" t="n">
        <f aca="false">TblConstr[[#This Row],[Barren]]+TblConstr[[#This Row],[Buildings]]+TblConstr[[#This Row],[Incoming]]</f>
        <v>700</v>
      </c>
      <c r="G68" s="199" t="n">
        <f aca="false">OFFSET(TblConstr[[#This Row],[Plain]],-1,0)+TblConstr[[#This Row],[Ch_Plain]]</f>
        <v>0</v>
      </c>
      <c r="H68" s="193" t="n">
        <f aca="false">OFFSET(TblConstr[[#This Row],[Forest]],-1,0)+TblConstr[[#This Row],[Ch_Forest]]</f>
        <v>0</v>
      </c>
      <c r="I68" s="200" t="n">
        <f aca="false">OFFSET(TblConstr[[#This Row],[Mountain]],-1,0)+TblConstr[[#This Row],[Ch_Mountain]]</f>
        <v>0</v>
      </c>
      <c r="J68" s="201" t="n">
        <f aca="false">OFFSET(TblConstr[[#This Row],[Hill]],-1,0)+TblConstr[[#This Row],[Ch_Hill]]</f>
        <v>0</v>
      </c>
      <c r="K68" s="202" t="n">
        <f aca="false">OFFSET(TblConstr[[#This Row],[Swamp]],-1,0)+TblConstr[[#This Row],[Ch_Swamp]]</f>
        <v>0</v>
      </c>
      <c r="L68" s="197" t="n">
        <f aca="false">OFFSET(TblConstr[[#This Row],[Cavern]],-1,0)+TblConstr[[#This Row],[Ch_Cavern]]</f>
        <v>0</v>
      </c>
      <c r="M68" s="198" t="n">
        <f aca="false">OFFSET(TblConstr[[#This Row],[Water]],-1,0)+TblConstr[[#This Row],[Ch_Water]]</f>
        <v>0</v>
      </c>
      <c r="N68" s="181" t="n">
        <f aca="false">TblRezone[[#This Row],[Hour]]</f>
        <v>65</v>
      </c>
      <c r="O68" s="182"/>
      <c r="P68" s="182"/>
      <c r="Q68" s="182"/>
      <c r="R68" s="182"/>
      <c r="S68" s="182"/>
      <c r="T68" s="182"/>
      <c r="U68" s="182"/>
      <c r="V68" s="182"/>
      <c r="W68" s="182"/>
      <c r="X68" s="182"/>
      <c r="Y68" s="182"/>
      <c r="Z68" s="182"/>
      <c r="AA68" s="182"/>
      <c r="AB68" s="182"/>
      <c r="AC68" s="182"/>
      <c r="AD68" s="182"/>
      <c r="AE68" s="182"/>
      <c r="AF68" s="182"/>
      <c r="AG68" s="182"/>
      <c r="AH68" s="20" t="n">
        <f aca="false">TblImps[[#This Row],[Time]]</f>
        <v>45432.4166666667</v>
      </c>
      <c r="AI68" s="130" t="n">
        <f aca="false">MIN(25%,(TblConstr[[#This Row],[Tot Fac]]+TblConstr[[#This Row],[Dest Fac]])/(TblConstr[[#This Row],[Land]]-TblExplore[[#This Row],[Land Bonus]]*20))</f>
        <v>0</v>
      </c>
      <c r="AJ68" s="130" t="n">
        <f aca="false">MIN(25%,(TblConstr[[#This Row],[Tot Fac]]+TblConstr[[#This Row],[Dest Fac]])/TblConstr[[#This Row],[Land]])</f>
        <v>0</v>
      </c>
      <c r="AK68" s="69" t="n">
        <f aca="false">TblProd[[#This Row],[Platinum]]</f>
        <v>36150</v>
      </c>
      <c r="AL68" s="69" t="n">
        <f aca="false">TblProd[[#This Row],[Lumber]]</f>
        <v>5801</v>
      </c>
      <c r="AM6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68" s="69" t="n">
        <f aca="false">ROUNDDOWN( MAX(1 - MIN(facs_constr_factor*TblConstr[[#This Row],[Facs -DB]],facs_constr_max) + tech_1_11*TblTech[[#This Row],[11-1]] + tech_6_3_2*TblTech[[#This Row],[6-3]] + tech_5_2_3*TblTech[[#This Row],[5-2]], 1-global_constr_cap) * TblConstr[[#This Row],[RCPA Lumber]],0)</f>
        <v>216</v>
      </c>
      <c r="AO6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68" s="69" t="n">
        <f aca="false">ROUNDDOWN( MAX(1 - MIN(facs_constr_factor*TblConstr[[#This Row],[Facs DB]],facs_constr_max) + tech_1_11*TblTech[[#This Row],[1-11]] + tech_6_3_2*TblTech[[#This Row],[6-3]] + tech_5_2_3*TblTech[[#This Row],[5-2]], 1-global_constr_cap) * ROUND((TblConstr[[#This Row],[Land]]-250)*0.285 + 87.5 + 0/4.25,0),0)</f>
        <v>216</v>
      </c>
      <c r="AQ68" s="1" t="n">
        <f aca="false">TblConstr[[#This Row],[build -db]]*TblConstr[[#This Row],[CPA Platinum -DB]] + TblConstr[[#This Row],[build db]]*TblConstr[[#This Row],[CPA Platinum DB]]</f>
        <v>0</v>
      </c>
      <c r="AR68" s="1" t="n">
        <f aca="false">TblConstr[[#This Row],[build -db]]*TblConstr[[#This Row],[CPA Lumber -DB]]+TblConstr[[#This Row],[build db]]*TblConstr[[#This Row],[CPA Lumber DB]]</f>
        <v>0</v>
      </c>
      <c r="AS68" s="69" t="n">
        <f aca="false">MIN(SUM(OFFSET(TblConstr[[#This Row],[Plain]:[Water]],-1,0))+SUM(TblConstr[[#This Row],[Dest Hom]:[Dest Doc]])+IF(TblConstr[[#This Row],[Hour]]&gt;12,SUM(OFFSET(TblExplore[[#This Row],[Plains Explore]:[Water Explore]],-12,0)),0),SUM(TblConstr[[#This Row],[Hom]:[Doc]]))</f>
        <v>0</v>
      </c>
      <c r="AT6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32"/>
      <c r="AV68" s="69" t="n">
        <f aca="false">ROUND((TblConstr[[#This Row],[Land]]-250 - IF(TblExplore[[#This Row],[Land Bonus]]&lt;&gt;0,20,0))*1.25 + 850 + 0,0)</f>
        <v>1413</v>
      </c>
      <c r="AW68" s="69" t="n">
        <f aca="false">ROUND((TblConstr[[#This Row],[Land]]-250 - IF(TblExplore[[#This Row],[Land Bonus]]&lt;&gt;0,20,0))*0.285 + 87.5 + 0/4.25,0)</f>
        <v>216</v>
      </c>
      <c r="AX68" s="146"/>
      <c r="AY68" s="203" t="n">
        <f aca="false" t="array" ref="AY68:AY68">IF(TblConstr[[#This Row],[Hour]:[Hour]]&gt;12,OFFSET(TblConstr[[#This Row],[Hom]],-12,0),0)+OFFSET(TblConstr[[#This Row],[Tot Hom]],-1,0)-TblConstr[[#This Row],[Dest Hom]]</f>
        <v>40</v>
      </c>
      <c r="AZ68" s="204" t="n">
        <f aca="false" t="array" ref="AZ68:AZ68">IF(TblConstr[[#This Row],[Hour]:[Hour]]&gt;12,OFFSET(TblConstr[[#This Row],[Alc]],-12,0),0)+OFFSET(TblConstr[[#This Row],[Tot Alc]],-1,0)-TblConstr[[#This Row],[Dest Alc]]</f>
        <v>275</v>
      </c>
      <c r="BA68" s="204" t="n">
        <f aca="false" t="array" ref="BA68:BA68">IF(TblConstr[[#This Row],[Hour]:[Hour]]&gt;12,OFFSET(TblConstr[[#This Row],[Far]],-12,0),0)+OFFSET(TblConstr[[#This Row],[Tot Farm]],-1,0)-TblConstr[[#This Row],[Dest Farm]]</f>
        <v>29</v>
      </c>
      <c r="BB68" s="204" t="n">
        <f aca="false" t="array" ref="BB68:BB68">IF(TblConstr[[#This Row],[Hour]:[Hour]]&gt;12,OFFSET(TblConstr[[#This Row],[Smi]],-12,0),0)+OFFSET(TblConstr[[#This Row],[Tot Smi]],-1,0)-TblConstr[[#This Row],[Dest Smi]]</f>
        <v>126</v>
      </c>
      <c r="BC68" s="204" t="n">
        <f aca="false" t="array" ref="BC68:BC68">IF(TblConstr[[#This Row],[Hour]:[Hour]]&gt;12,OFFSET(TblConstr[[#This Row],[Mas]],-12,0),0)+OFFSET(TblConstr[[#This Row],[Tot Mas]],-1,0)-TblConstr[[#This Row],[Dest Mas]]</f>
        <v>0</v>
      </c>
      <c r="BD68" s="205" t="n">
        <f aca="false" t="array" ref="BD68:BD68">IF(TblConstr[[#This Row],[Hour]:[Hour]]&gt;12,OFFSET(TblConstr[[#This Row],[Ly]],-12,0),0)+OFFSET(TblConstr[[#This Row],[Tot Ly]],-1,0)-TblConstr[[#This Row],[Dest Ly]]</f>
        <v>25</v>
      </c>
      <c r="BE68" s="205" t="n">
        <f aca="false" t="array" ref="BE68:BE68">IF(TblConstr[[#This Row],[Hour]:[Hour]]&gt;12,OFFSET(TblConstr[[#This Row],[Hav]],-12,0),0)+OFFSET(TblConstr[[#This Row],[Tot Hav]],-1,0)-TblConstr[[#This Row],[Dest Hav]]</f>
        <v>0</v>
      </c>
      <c r="BF68" s="194" t="n">
        <f aca="false" t="array" ref="BF68:BF68">IF(TblConstr[[#This Row],[Hour]:[Hour]]&gt;12,OFFSET(TblConstr[[#This Row],[OM]],-12,0),0)+OFFSET(TblConstr[[#This Row],[Tot OM]],-1,0)-TblConstr[[#This Row],[Dest OM]]</f>
        <v>0</v>
      </c>
      <c r="BG68" s="194" t="n">
        <f aca="false" t="array" ref="BG68:BG68">IF(TblConstr[[#This Row],[Hour]:[Hour]]&gt;12,OFFSET(TblConstr[[#This Row],[GN]],-12,0),0)+OFFSET(TblConstr[[#This Row],[Tot GN]],-1,0)-TblConstr[[#This Row],[Dest GN]]</f>
        <v>0</v>
      </c>
      <c r="BH68" s="206" t="n">
        <f aca="false" t="array" ref="BH68:BH68">IF(TblConstr[[#This Row],[Hour]:[Hour]]&gt;12,OFFSET(TblConstr[[#This Row],[Fac]],-12,0),0)+OFFSET(TblConstr[[#This Row],[Tot Fac]],-1,0)-TblConstr[[#This Row],[Dest Fac]]</f>
        <v>0</v>
      </c>
      <c r="BI68" s="206" t="n">
        <f aca="false" t="array" ref="BI68:BI68">IF(TblConstr[[#This Row],[Hour]:[Hour]]&gt;12,OFFSET(TblConstr[[#This Row],[GT]],-12,0),0)+OFFSET(TblConstr[[#This Row],[Tot GT]],-1,0)-TblConstr[[#This Row],[Dest GT]]</f>
        <v>0</v>
      </c>
      <c r="BJ68" s="206" t="n">
        <f aca="false" t="array" ref="BJ68:BJ68">IF(TblConstr[[#This Row],[Hour]:[Hour]]&gt;12,OFFSET(TblConstr[[#This Row],[Bar]],-12,0),0)+OFFSET(TblConstr[[#This Row],[Tot Bar]],-1,0)-TblConstr[[#This Row],[Dest Bar]]</f>
        <v>22</v>
      </c>
      <c r="BK68" s="206" t="n">
        <f aca="false" t="array" ref="BK68:BK68">IF(TblConstr[[#This Row],[Hour]:[Hour]]&gt;12,OFFSET(TblConstr[[#This Row],[Shr]],-12,0),0)+OFFSET(TblConstr[[#This Row],[Tot Shr]],-1,0)-TblConstr[[#This Row],[Dest Shr]]</f>
        <v>0</v>
      </c>
      <c r="BL68" s="207" t="n">
        <f aca="false" t="array" ref="BL68:BL68">IF(TblConstr[[#This Row],[Hour]:[Hour]]&gt;12,OFFSET(TblConstr[[#This Row],[Tow]],-12,0),0)+OFFSET(TblConstr[[#This Row],[Tot Tow]],-1,0)-TblConstr[[#This Row],[Dest Tow]]</f>
        <v>25</v>
      </c>
      <c r="BM68" s="207" t="n">
        <f aca="false" t="array" ref="BM68:BM68">IF(TblConstr[[#This Row],[Hour]:[Hour]]&gt;12,OFFSET(TblConstr[[#This Row],[Tem]],-12,0),0)+OFFSET(TblConstr[[#This Row],[Tot Tem]],-1,0)-TblConstr[[#This Row],[Dest Tem]]</f>
        <v>47</v>
      </c>
      <c r="BN68" s="207" t="n">
        <f aca="false" t="array" ref="BN68:BN68">IF(TblConstr[[#This Row],[Hour]:[Hour]]&gt;12,OFFSET(TblConstr[[#This Row],[WG]],-12,0),0)+OFFSET(TblConstr[[#This Row],[Tot WG]],-1,0)-TblConstr[[#This Row],[Dest WG]]</f>
        <v>0</v>
      </c>
      <c r="BO68" s="208" t="n">
        <f aca="false" t="array" ref="BO68:BO68">IF(TblConstr[[#This Row],[Hour]:[Hour]]&gt;12,OFFSET(TblConstr[[#This Row],[DM]],-12,0),0)+OFFSET(TblConstr[[#This Row],[Tot DM]],-1,0)-TblConstr[[#This Row],[Dest DM]]</f>
        <v>0</v>
      </c>
      <c r="BP68" s="208" t="n">
        <f aca="false" t="array" ref="BP68:BP68">IF(TblConstr[[#This Row],[Hour]:[Hour]]&gt;12,OFFSET(TblConstr[[#This Row],[Sch]],-12,0),0)+OFFSET(TblConstr[[#This Row],[Tot Sch]],-1,0)-TblConstr[[#This Row],[Dest Sch]]</f>
        <v>0</v>
      </c>
      <c r="BQ68" s="209" t="n">
        <f aca="false" t="array" ref="BQ68:BQ68">IF(TblConstr[[#This Row],[Hour]:[Hour]]&gt;12,OFFSET(TblConstr[[#This Row],[Doc]],-12,0),0)+OFFSET(TblConstr[[#This Row],[Tot Doc]],-1,0)-TblConstr[[#This Row],[Dest Doc]]</f>
        <v>24</v>
      </c>
      <c r="BR68" s="132"/>
      <c r="BS68" s="146"/>
      <c r="BT68" s="69" t="n">
        <f aca="false">TblConstr[[#This Row],[Land]]</f>
        <v>700</v>
      </c>
      <c r="BU68" s="153" t="n">
        <f aca="false">TblImps[[#This Row],[Time]]</f>
        <v>45432.4166666667</v>
      </c>
      <c r="BV68" s="132"/>
      <c r="BW68" s="182"/>
      <c r="BX68" s="182"/>
      <c r="BY68" s="182"/>
      <c r="BZ68" s="182"/>
      <c r="CA68" s="182"/>
      <c r="CB68" s="182"/>
      <c r="CC68" s="182"/>
      <c r="CD68" s="182"/>
      <c r="CE68" s="182"/>
      <c r="CF68" s="182"/>
      <c r="CG68" s="182"/>
      <c r="CH68" s="182"/>
      <c r="CI68" s="182"/>
      <c r="CJ68" s="182"/>
      <c r="CK68" s="182"/>
      <c r="CL68" s="182"/>
      <c r="CM68" s="182"/>
      <c r="CN68" s="182"/>
      <c r="CO68" s="182"/>
      <c r="CP68" s="132"/>
      <c r="CQ68" s="192" t="n">
        <f aca="false">-SUM(TblConstr[[#This Row],[Alc]:[Mas]])+SUM(TblConstr[[#This Row],[Dest Alc]:[Dest Mas]])+Rezone!L68+IF("Ch_"&amp; home_land=TblConstr[[#Headers],[Ch_Plain]],TblConstr[[#This Row],[Home Land]])+IF(TblConstr[[#This Row],[Hour]:[Hour]]&gt;12,OFFSET(TblExplore[[#This Row],[Plains Explore]],-12,0),0)</f>
        <v>0</v>
      </c>
      <c r="CR68" s="193" t="n">
        <f aca="false">-SUM(TblConstr[[#This Row],[Ly]:[Hav]])+SUM(TblConstr[[#This Row],[Dest Ly]:[Dest Hav]]) +Rezone!M68 + IF("Ch_"&amp; home_land=TblConstr[[#Headers],[Ch_Forest]],TblConstr[[#This Row],[Home Land]])+IF(TblConstr[[#This Row],[Hour]:[Hour]]&gt;12,OFFSET(TblExplore[[#This Row],[Forest Explore]],-12,0),0)</f>
        <v>0</v>
      </c>
      <c r="CS68" s="200" t="n">
        <f aca="false">-SUM(TblConstr[[#This Row],[OM]:[GN]])+SUM(TblConstr[[#This Row],[Dest OM]:[Dest GN]]) +Rezone!N68 + IF("Ch_"&amp; home_land=TblConstr[[#Headers],[Ch_Mountain]],TblConstr[[#This Row],[Home Land]])+IF(TblConstr[[#This Row],[Hour]:[Hour]]&gt;12,OFFSET(TblExplore[[#This Row],[Mountain Explore]],-12,0),0)</f>
        <v>0</v>
      </c>
      <c r="CT68" s="195" t="n">
        <f aca="false">-SUM(TblConstr[[#This Row],[Fac]:[Shr]])+SUM(TblConstr[[#This Row],[Dest Fac]:[Dest Shr]]) +Rezone!O68 + IF("Ch_" &amp; home_land=TblConstr[[#Headers],[Ch_Hill]],TblConstr[[#This Row],[Home Land]])+IF(TblConstr[[#This Row],[Hour]:[Hour]]&gt;12,OFFSET(TblExplore[[#This Row],[Hill Explore]],-12,0),0)</f>
        <v>0</v>
      </c>
      <c r="CU68" s="196" t="n">
        <f aca="false">-SUM(TblConstr[[#This Row],[Tow]:[WG]])+SUM(TblConstr[[#This Row],[Dest Tow]:[Dest WG]]) +Rezone!P68 + IF("Ch_" &amp; home_land=TblConstr[[#Headers],[Ch_Swamp]],TblConstr[[#This Row],[Home Land]])+IF(TblConstr[[#This Row],[Hour]:[Hour]]&gt;12,OFFSET(TblExplore[[#This Row],[Swamp Explore]],-12,0),0)</f>
        <v>0</v>
      </c>
      <c r="CV68" s="197" t="n">
        <f aca="false">- SUM(TblConstr[[#This Row],[DM]:[Sch]])+SUM(TblConstr[[#This Row],[Dest DM]:[Dest Sch]]) +Rezone!Q68 + IF("Ch_" &amp; home_land=TblConstr[[#Headers],[Ch_Cavern]],TblConstr[[#This Row],[Home Land]])+IF(TblConstr[[#This Row],[Hour]:[Hour]]&gt;12,OFFSET(TblExplore[[#This Row],[Cavern Explore]],-12,0),0)</f>
        <v>0</v>
      </c>
      <c r="CW68" s="198" t="n">
        <f aca="false">-TblConstr[[#This Row],[Doc]]+TblConstr[[#This Row],[Dest Doc]] +Rezone!R68 + IF("Ch_" &amp; home_land=TblConstr[[#Headers],[Ch_Water]],TblConstr[[#This Row],[Home Land]])+IF(TblConstr[[#This Row],[Hour]:[Hour]]&gt;12,OFFSET(TblExplore[[#This Row],[Water Explore]],-12,0),0)</f>
        <v>0</v>
      </c>
      <c r="CX68" s="1" t="n">
        <f aca="false">IF(Explore!S68=1,20) - TblConstr[[#This Row],[Hom]] + TblConstr[[#This Row],[Dest Hom]]</f>
        <v>0</v>
      </c>
      <c r="CY68" s="132"/>
      <c r="CZ68" s="69" t="n">
        <f aca="false">G68+SUM(P57:S68)+SUM(AZ68:BC68)</f>
        <v>430</v>
      </c>
      <c r="DA68" s="69" t="n">
        <f aca="false">H68+SUM(T57:U68)+SUM(BD68:BE68)</f>
        <v>25</v>
      </c>
      <c r="DB68" s="1" t="n">
        <f aca="false">I68+SUM(V57:W68)+SUM(BF68:BG68)</f>
        <v>0</v>
      </c>
      <c r="DC68" s="69" t="n">
        <f aca="false">J68+SUM(X57:Y68)+SUM(BH68:BI68)</f>
        <v>55</v>
      </c>
      <c r="DD68" s="69" t="n">
        <f aca="false">K68+SUM(AB57:AD68)+SUM(BL68:BN68)</f>
        <v>76</v>
      </c>
      <c r="DE68" s="1" t="n">
        <f aca="false">L68+SUM(AE57:AE68)+BO68</f>
        <v>0</v>
      </c>
      <c r="DF68" s="69" t="n">
        <f aca="false">M68+SUM(AG57:AG68)+BQ68</f>
        <v>24</v>
      </c>
      <c r="DG68" s="69" t="e">
        <f aca="false" t="array" ref="DG68:DG68">INDEX(TblConstr[[Total Plain]:[Total Water]],ROW()-ROW(TblConstr[#headers]),MATCH("Total "&amp;home_land,TblConstr[[#Headers],[Total Plain]:[Total Water]],0))+TblConstr[[#This Row],[Homes]]</f>
        <v>#VALUE!</v>
      </c>
      <c r="DH68" s="1" t="n">
        <f aca="false">SUM(O57:O68)+AY68</f>
        <v>40</v>
      </c>
      <c r="DI68" s="1" t="n">
        <f aca="false">MAX(BA68-BA67,0)</f>
        <v>0</v>
      </c>
      <c r="DJ68" s="1" t="n">
        <f aca="false">MAX(BQ68-BQ67,0)</f>
        <v>0</v>
      </c>
    </row>
    <row r="69" customFormat="false" ht="12.75" hidden="false" customHeight="false" outlineLevel="0" collapsed="false">
      <c r="A69" s="170" t="n">
        <f aca="false">TblRezone[[#This Row],[Hour]]</f>
        <v>66</v>
      </c>
      <c r="B69" s="171" t="n">
        <f aca="false">SUM(TblConstr[[#This Row],[Plain]:[Water]])</f>
        <v>0</v>
      </c>
      <c r="C69" s="172" t="n">
        <f aca="false">SUM(TblConstr[[#This Row],[Tot Hom]:[Tot Doc]])</f>
        <v>625</v>
      </c>
      <c r="D69" s="172" t="n">
        <f aca="false">SUM(O58:AG69)</f>
        <v>75</v>
      </c>
      <c r="E69" s="173"/>
      <c r="F69" s="33" t="n">
        <f aca="false">TblConstr[[#This Row],[Barren]]+TblConstr[[#This Row],[Buildings]]+TblConstr[[#This Row],[Incoming]]</f>
        <v>700</v>
      </c>
      <c r="G69" s="199" t="n">
        <f aca="false">OFFSET(TblConstr[[#This Row],[Plain]],-1,0)+TblConstr[[#This Row],[Ch_Plain]]</f>
        <v>0</v>
      </c>
      <c r="H69" s="193" t="n">
        <f aca="false">OFFSET(TblConstr[[#This Row],[Forest]],-1,0)+TblConstr[[#This Row],[Ch_Forest]]</f>
        <v>0</v>
      </c>
      <c r="I69" s="200" t="n">
        <f aca="false">OFFSET(TblConstr[[#This Row],[Mountain]],-1,0)+TblConstr[[#This Row],[Ch_Mountain]]</f>
        <v>0</v>
      </c>
      <c r="J69" s="201" t="n">
        <f aca="false">OFFSET(TblConstr[[#This Row],[Hill]],-1,0)+TblConstr[[#This Row],[Ch_Hill]]</f>
        <v>0</v>
      </c>
      <c r="K69" s="202" t="n">
        <f aca="false">OFFSET(TblConstr[[#This Row],[Swamp]],-1,0)+TblConstr[[#This Row],[Ch_Swamp]]</f>
        <v>0</v>
      </c>
      <c r="L69" s="197" t="n">
        <f aca="false">OFFSET(TblConstr[[#This Row],[Cavern]],-1,0)+TblConstr[[#This Row],[Ch_Cavern]]</f>
        <v>0</v>
      </c>
      <c r="M69" s="198" t="n">
        <f aca="false">OFFSET(TblConstr[[#This Row],[Water]],-1,0)+TblConstr[[#This Row],[Ch_Water]]</f>
        <v>0</v>
      </c>
      <c r="N69" s="181" t="n">
        <f aca="false">TblRezone[[#This Row],[Hour]]</f>
        <v>66</v>
      </c>
      <c r="O69" s="182"/>
      <c r="P69" s="182"/>
      <c r="Q69" s="182"/>
      <c r="R69" s="182"/>
      <c r="S69" s="182"/>
      <c r="T69" s="182"/>
      <c r="U69" s="182"/>
      <c r="V69" s="182"/>
      <c r="W69" s="182"/>
      <c r="X69" s="182"/>
      <c r="Y69" s="182"/>
      <c r="Z69" s="182"/>
      <c r="AA69" s="182"/>
      <c r="AB69" s="182"/>
      <c r="AC69" s="182"/>
      <c r="AD69" s="182"/>
      <c r="AE69" s="182"/>
      <c r="AF69" s="182"/>
      <c r="AG69" s="182"/>
      <c r="AH69" s="20" t="n">
        <f aca="false">TblImps[[#This Row],[Time]]</f>
        <v>45432.4583333333</v>
      </c>
      <c r="AI69" s="130" t="n">
        <f aca="false">MIN(25%,(TblConstr[[#This Row],[Tot Fac]]+TblConstr[[#This Row],[Dest Fac]])/(TblConstr[[#This Row],[Land]]-TblExplore[[#This Row],[Land Bonus]]*20))</f>
        <v>0</v>
      </c>
      <c r="AJ69" s="130" t="n">
        <f aca="false">MIN(25%,(TblConstr[[#This Row],[Tot Fac]]+TblConstr[[#This Row],[Dest Fac]])/TblConstr[[#This Row],[Land]])</f>
        <v>0</v>
      </c>
      <c r="AK69" s="69" t="n">
        <f aca="false">TblProd[[#This Row],[Platinum]]</f>
        <v>64993</v>
      </c>
      <c r="AL69" s="69" t="n">
        <f aca="false">TblProd[[#This Row],[Lumber]]</f>
        <v>6868</v>
      </c>
      <c r="AM6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69" s="69" t="n">
        <f aca="false">ROUNDDOWN( MAX(1 - MIN(facs_constr_factor*TblConstr[[#This Row],[Facs -DB]],facs_constr_max) + tech_1_11*TblTech[[#This Row],[11-1]] + tech_6_3_2*TblTech[[#This Row],[6-3]] + tech_5_2_3*TblTech[[#This Row],[5-2]], 1-global_constr_cap) * TblConstr[[#This Row],[RCPA Lumber]],0)</f>
        <v>216</v>
      </c>
      <c r="AO6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69" s="69" t="n">
        <f aca="false">ROUNDDOWN( MAX(1 - MIN(facs_constr_factor*TblConstr[[#This Row],[Facs DB]],facs_constr_max) + tech_1_11*TblTech[[#This Row],[1-11]] + tech_6_3_2*TblTech[[#This Row],[6-3]] + tech_5_2_3*TblTech[[#This Row],[5-2]], 1-global_constr_cap) * ROUND((TblConstr[[#This Row],[Land]]-250)*0.285 + 87.5 + 0/4.25,0),0)</f>
        <v>216</v>
      </c>
      <c r="AQ69" s="1" t="n">
        <f aca="false">TblConstr[[#This Row],[build -db]]*TblConstr[[#This Row],[CPA Platinum -DB]] + TblConstr[[#This Row],[build db]]*TblConstr[[#This Row],[CPA Platinum DB]]</f>
        <v>0</v>
      </c>
      <c r="AR69" s="1" t="n">
        <f aca="false">TblConstr[[#This Row],[build -db]]*TblConstr[[#This Row],[CPA Lumber -DB]]+TblConstr[[#This Row],[build db]]*TblConstr[[#This Row],[CPA Lumber DB]]</f>
        <v>0</v>
      </c>
      <c r="AS69" s="69" t="n">
        <f aca="false">MIN(SUM(OFFSET(TblConstr[[#This Row],[Plain]:[Water]],-1,0))+SUM(TblConstr[[#This Row],[Dest Hom]:[Dest Doc]])+IF(TblConstr[[#This Row],[Hour]]&gt;12,SUM(OFFSET(TblExplore[[#This Row],[Plains Explore]:[Water Explore]],-12,0)),0),SUM(TblConstr[[#This Row],[Hom]:[Doc]]))</f>
        <v>0</v>
      </c>
      <c r="AT6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32"/>
      <c r="AV69" s="69" t="n">
        <f aca="false">ROUND((TblConstr[[#This Row],[Land]]-250 - IF(TblExplore[[#This Row],[Land Bonus]]&lt;&gt;0,20,0))*1.25 + 850 + 0,0)</f>
        <v>1413</v>
      </c>
      <c r="AW69" s="69" t="n">
        <f aca="false">ROUND((TblConstr[[#This Row],[Land]]-250 - IF(TblExplore[[#This Row],[Land Bonus]]&lt;&gt;0,20,0))*0.285 + 87.5 + 0/4.25,0)</f>
        <v>216</v>
      </c>
      <c r="AX69" s="146"/>
      <c r="AY69" s="203" t="n">
        <f aca="false" t="array" ref="AY69:AY69">IF(TblConstr[[#This Row],[Hour]:[Hour]]&gt;12,OFFSET(TblConstr[[#This Row],[Hom]],-12,0),0)+OFFSET(TblConstr[[#This Row],[Tot Hom]],-1,0)-TblConstr[[#This Row],[Dest Hom]]</f>
        <v>40</v>
      </c>
      <c r="AZ69" s="204" t="n">
        <f aca="false" t="array" ref="AZ69:AZ69">IF(TblConstr[[#This Row],[Hour]:[Hour]]&gt;12,OFFSET(TblConstr[[#This Row],[Alc]],-12,0),0)+OFFSET(TblConstr[[#This Row],[Tot Alc]],-1,0)-TblConstr[[#This Row],[Dest Alc]]</f>
        <v>275</v>
      </c>
      <c r="BA69" s="204" t="n">
        <f aca="false" t="array" ref="BA69:BA69">IF(TblConstr[[#This Row],[Hour]:[Hour]]&gt;12,OFFSET(TblConstr[[#This Row],[Far]],-12,0),0)+OFFSET(TblConstr[[#This Row],[Tot Farm]],-1,0)-TblConstr[[#This Row],[Dest Farm]]</f>
        <v>29</v>
      </c>
      <c r="BB69" s="204" t="n">
        <f aca="false" t="array" ref="BB69:BB69">IF(TblConstr[[#This Row],[Hour]:[Hour]]&gt;12,OFFSET(TblConstr[[#This Row],[Smi]],-12,0),0)+OFFSET(TblConstr[[#This Row],[Tot Smi]],-1,0)-TblConstr[[#This Row],[Dest Smi]]</f>
        <v>126</v>
      </c>
      <c r="BC69" s="204" t="n">
        <f aca="false" t="array" ref="BC69:BC69">IF(TblConstr[[#This Row],[Hour]:[Hour]]&gt;12,OFFSET(TblConstr[[#This Row],[Mas]],-12,0),0)+OFFSET(TblConstr[[#This Row],[Tot Mas]],-1,0)-TblConstr[[#This Row],[Dest Mas]]</f>
        <v>0</v>
      </c>
      <c r="BD69" s="205" t="n">
        <f aca="false" t="array" ref="BD69:BD69">IF(TblConstr[[#This Row],[Hour]:[Hour]]&gt;12,OFFSET(TblConstr[[#This Row],[Ly]],-12,0),0)+OFFSET(TblConstr[[#This Row],[Tot Ly]],-1,0)-TblConstr[[#This Row],[Dest Ly]]</f>
        <v>25</v>
      </c>
      <c r="BE69" s="205" t="n">
        <f aca="false" t="array" ref="BE69:BE69">IF(TblConstr[[#This Row],[Hour]:[Hour]]&gt;12,OFFSET(TblConstr[[#This Row],[Hav]],-12,0),0)+OFFSET(TblConstr[[#This Row],[Tot Hav]],-1,0)-TblConstr[[#This Row],[Dest Hav]]</f>
        <v>0</v>
      </c>
      <c r="BF69" s="194" t="n">
        <f aca="false" t="array" ref="BF69:BF69">IF(TblConstr[[#This Row],[Hour]:[Hour]]&gt;12,OFFSET(TblConstr[[#This Row],[OM]],-12,0),0)+OFFSET(TblConstr[[#This Row],[Tot OM]],-1,0)-TblConstr[[#This Row],[Dest OM]]</f>
        <v>0</v>
      </c>
      <c r="BG69" s="194" t="n">
        <f aca="false" t="array" ref="BG69:BG69">IF(TblConstr[[#This Row],[Hour]:[Hour]]&gt;12,OFFSET(TblConstr[[#This Row],[GN]],-12,0),0)+OFFSET(TblConstr[[#This Row],[Tot GN]],-1,0)-TblConstr[[#This Row],[Dest GN]]</f>
        <v>0</v>
      </c>
      <c r="BH69" s="206" t="n">
        <f aca="false" t="array" ref="BH69:BH69">IF(TblConstr[[#This Row],[Hour]:[Hour]]&gt;12,OFFSET(TblConstr[[#This Row],[Fac]],-12,0),0)+OFFSET(TblConstr[[#This Row],[Tot Fac]],-1,0)-TblConstr[[#This Row],[Dest Fac]]</f>
        <v>0</v>
      </c>
      <c r="BI69" s="206" t="n">
        <f aca="false" t="array" ref="BI69:BI69">IF(TblConstr[[#This Row],[Hour]:[Hour]]&gt;12,OFFSET(TblConstr[[#This Row],[GT]],-12,0),0)+OFFSET(TblConstr[[#This Row],[Tot GT]],-1,0)-TblConstr[[#This Row],[Dest GT]]</f>
        <v>0</v>
      </c>
      <c r="BJ69" s="206" t="n">
        <f aca="false" t="array" ref="BJ69:BJ69">IF(TblConstr[[#This Row],[Hour]:[Hour]]&gt;12,OFFSET(TblConstr[[#This Row],[Bar]],-12,0),0)+OFFSET(TblConstr[[#This Row],[Tot Bar]],-1,0)-TblConstr[[#This Row],[Dest Bar]]</f>
        <v>34</v>
      </c>
      <c r="BK69" s="206" t="n">
        <f aca="false" t="array" ref="BK69:BK69">IF(TblConstr[[#This Row],[Hour]:[Hour]]&gt;12,OFFSET(TblConstr[[#This Row],[Shr]],-12,0),0)+OFFSET(TblConstr[[#This Row],[Tot Shr]],-1,0)-TblConstr[[#This Row],[Dest Shr]]</f>
        <v>0</v>
      </c>
      <c r="BL69" s="207" t="n">
        <f aca="false" t="array" ref="BL69:BL69">IF(TblConstr[[#This Row],[Hour]:[Hour]]&gt;12,OFFSET(TblConstr[[#This Row],[Tow]],-12,0),0)+OFFSET(TblConstr[[#This Row],[Tot Tow]],-1,0)-TblConstr[[#This Row],[Dest Tow]]</f>
        <v>25</v>
      </c>
      <c r="BM69" s="207" t="n">
        <f aca="false" t="array" ref="BM69:BM69">IF(TblConstr[[#This Row],[Hour]:[Hour]]&gt;12,OFFSET(TblConstr[[#This Row],[Tem]],-12,0),0)+OFFSET(TblConstr[[#This Row],[Tot Tem]],-1,0)-TblConstr[[#This Row],[Dest Tem]]</f>
        <v>47</v>
      </c>
      <c r="BN69" s="207" t="n">
        <f aca="false" t="array" ref="BN69:BN69">IF(TblConstr[[#This Row],[Hour]:[Hour]]&gt;12,OFFSET(TblConstr[[#This Row],[WG]],-12,0),0)+OFFSET(TblConstr[[#This Row],[Tot WG]],-1,0)-TblConstr[[#This Row],[Dest WG]]</f>
        <v>0</v>
      </c>
      <c r="BO69" s="208" t="n">
        <f aca="false" t="array" ref="BO69:BO69">IF(TblConstr[[#This Row],[Hour]:[Hour]]&gt;12,OFFSET(TblConstr[[#This Row],[DM]],-12,0),0)+OFFSET(TblConstr[[#This Row],[Tot DM]],-1,0)-TblConstr[[#This Row],[Dest DM]]</f>
        <v>0</v>
      </c>
      <c r="BP69" s="208" t="n">
        <f aca="false" t="array" ref="BP69:BP69">IF(TblConstr[[#This Row],[Hour]:[Hour]]&gt;12,OFFSET(TblConstr[[#This Row],[Sch]],-12,0),0)+OFFSET(TblConstr[[#This Row],[Tot Sch]],-1,0)-TblConstr[[#This Row],[Dest Sch]]</f>
        <v>0</v>
      </c>
      <c r="BQ69" s="209" t="n">
        <f aca="false" t="array" ref="BQ69:BQ69">IF(TblConstr[[#This Row],[Hour]:[Hour]]&gt;12,OFFSET(TblConstr[[#This Row],[Doc]],-12,0),0)+OFFSET(TblConstr[[#This Row],[Tot Doc]],-1,0)-TblConstr[[#This Row],[Dest Doc]]</f>
        <v>24</v>
      </c>
      <c r="BR69" s="132"/>
      <c r="BS69" s="146"/>
      <c r="BT69" s="69" t="n">
        <f aca="false">TblConstr[[#This Row],[Land]]</f>
        <v>700</v>
      </c>
      <c r="BU69" s="153" t="n">
        <f aca="false">TblImps[[#This Row],[Time]]</f>
        <v>45432.4583333333</v>
      </c>
      <c r="BV69" s="132"/>
      <c r="BW69" s="182"/>
      <c r="BX69" s="182"/>
      <c r="BY69" s="182"/>
      <c r="BZ69" s="182"/>
      <c r="CA69" s="182"/>
      <c r="CB69" s="182"/>
      <c r="CC69" s="182"/>
      <c r="CD69" s="182"/>
      <c r="CE69" s="182"/>
      <c r="CF69" s="182"/>
      <c r="CG69" s="182"/>
      <c r="CH69" s="182"/>
      <c r="CI69" s="182"/>
      <c r="CJ69" s="182"/>
      <c r="CK69" s="182"/>
      <c r="CL69" s="182"/>
      <c r="CM69" s="182"/>
      <c r="CN69" s="182"/>
      <c r="CO69" s="182"/>
      <c r="CP69" s="132"/>
      <c r="CQ69" s="192" t="n">
        <f aca="false">-SUM(TblConstr[[#This Row],[Alc]:[Mas]])+SUM(TblConstr[[#This Row],[Dest Alc]:[Dest Mas]])+Rezone!L69+IF("Ch_"&amp; home_land=TblConstr[[#Headers],[Ch_Plain]],TblConstr[[#This Row],[Home Land]])+IF(TblConstr[[#This Row],[Hour]:[Hour]]&gt;12,OFFSET(TblExplore[[#This Row],[Plains Explore]],-12,0),0)</f>
        <v>0</v>
      </c>
      <c r="CR69" s="193" t="n">
        <f aca="false">-SUM(TblConstr[[#This Row],[Ly]:[Hav]])+SUM(TblConstr[[#This Row],[Dest Ly]:[Dest Hav]]) +Rezone!M69 + IF("Ch_"&amp; home_land=TblConstr[[#Headers],[Ch_Forest]],TblConstr[[#This Row],[Home Land]])+IF(TblConstr[[#This Row],[Hour]:[Hour]]&gt;12,OFFSET(TblExplore[[#This Row],[Forest Explore]],-12,0),0)</f>
        <v>0</v>
      </c>
      <c r="CS69" s="200" t="n">
        <f aca="false">-SUM(TblConstr[[#This Row],[OM]:[GN]])+SUM(TblConstr[[#This Row],[Dest OM]:[Dest GN]]) +Rezone!N69 + IF("Ch_"&amp; home_land=TblConstr[[#Headers],[Ch_Mountain]],TblConstr[[#This Row],[Home Land]])+IF(TblConstr[[#This Row],[Hour]:[Hour]]&gt;12,OFFSET(TblExplore[[#This Row],[Mountain Explore]],-12,0),0)</f>
        <v>0</v>
      </c>
      <c r="CT69" s="195" t="n">
        <f aca="false">-SUM(TblConstr[[#This Row],[Fac]:[Shr]])+SUM(TblConstr[[#This Row],[Dest Fac]:[Dest Shr]]) +Rezone!O69 + IF("Ch_" &amp; home_land=TblConstr[[#Headers],[Ch_Hill]],TblConstr[[#This Row],[Home Land]])+IF(TblConstr[[#This Row],[Hour]:[Hour]]&gt;12,OFFSET(TblExplore[[#This Row],[Hill Explore]],-12,0),0)</f>
        <v>0</v>
      </c>
      <c r="CU69" s="196" t="n">
        <f aca="false">-SUM(TblConstr[[#This Row],[Tow]:[WG]])+SUM(TblConstr[[#This Row],[Dest Tow]:[Dest WG]]) +Rezone!P69 + IF("Ch_" &amp; home_land=TblConstr[[#Headers],[Ch_Swamp]],TblConstr[[#This Row],[Home Land]])+IF(TblConstr[[#This Row],[Hour]:[Hour]]&gt;12,OFFSET(TblExplore[[#This Row],[Swamp Explore]],-12,0),0)</f>
        <v>0</v>
      </c>
      <c r="CV69" s="197" t="n">
        <f aca="false">- SUM(TblConstr[[#This Row],[DM]:[Sch]])+SUM(TblConstr[[#This Row],[Dest DM]:[Dest Sch]]) +Rezone!Q69 + IF("Ch_" &amp; home_land=TblConstr[[#Headers],[Ch_Cavern]],TblConstr[[#This Row],[Home Land]])+IF(TblConstr[[#This Row],[Hour]:[Hour]]&gt;12,OFFSET(TblExplore[[#This Row],[Cavern Explore]],-12,0),0)</f>
        <v>0</v>
      </c>
      <c r="CW69" s="198" t="n">
        <f aca="false">-TblConstr[[#This Row],[Doc]]+TblConstr[[#This Row],[Dest Doc]] +Rezone!R69 + IF("Ch_" &amp; home_land=TblConstr[[#Headers],[Ch_Water]],TblConstr[[#This Row],[Home Land]])+IF(TblConstr[[#This Row],[Hour]:[Hour]]&gt;12,OFFSET(TblExplore[[#This Row],[Water Explore]],-12,0),0)</f>
        <v>0</v>
      </c>
      <c r="CX69" s="1" t="n">
        <f aca="false">IF(Explore!S69=1,20) - TblConstr[[#This Row],[Hom]] + TblConstr[[#This Row],[Dest Hom]]</f>
        <v>0</v>
      </c>
      <c r="CY69" s="132"/>
      <c r="CZ69" s="69" t="n">
        <f aca="false">G69+SUM(P58:S69)+SUM(AZ69:BC69)</f>
        <v>430</v>
      </c>
      <c r="DA69" s="69" t="n">
        <f aca="false">H69+SUM(T58:U69)+SUM(BD69:BE69)</f>
        <v>25</v>
      </c>
      <c r="DB69" s="1" t="n">
        <f aca="false">I69+SUM(V58:W69)+SUM(BF69:BG69)</f>
        <v>0</v>
      </c>
      <c r="DC69" s="69" t="n">
        <f aca="false">J69+SUM(X58:Y69)+SUM(BH69:BI69)</f>
        <v>55</v>
      </c>
      <c r="DD69" s="69" t="n">
        <f aca="false">K69+SUM(AB58:AD69)+SUM(BL69:BN69)</f>
        <v>76</v>
      </c>
      <c r="DE69" s="1" t="n">
        <f aca="false">L69+SUM(AE58:AE69)+BO69</f>
        <v>0</v>
      </c>
      <c r="DF69" s="69" t="n">
        <f aca="false">M69+SUM(AG58:AG69)+BQ69</f>
        <v>24</v>
      </c>
      <c r="DG69" s="69" t="e">
        <f aca="false" t="array" ref="DG69:DG69">INDEX(TblConstr[[Total Plain]:[Total Water]],ROW()-ROW(TblConstr[#headers]),MATCH("Total "&amp;home_land,TblConstr[[#Headers],[Total Plain]:[Total Water]],0))+TblConstr[[#This Row],[Homes]]</f>
        <v>#VALUE!</v>
      </c>
      <c r="DH69" s="1" t="n">
        <f aca="false">SUM(O58:O69)+AY69</f>
        <v>40</v>
      </c>
      <c r="DI69" s="1" t="n">
        <f aca="false">MAX(BA69-BA68,0)</f>
        <v>0</v>
      </c>
      <c r="DJ69" s="1" t="n">
        <f aca="false">MAX(BQ69-BQ68,0)</f>
        <v>0</v>
      </c>
    </row>
    <row r="70" customFormat="false" ht="12.75" hidden="false" customHeight="false" outlineLevel="0" collapsed="false">
      <c r="A70" s="170" t="n">
        <f aca="false">TblRezone[[#This Row],[Hour]]</f>
        <v>67</v>
      </c>
      <c r="B70" s="171" t="n">
        <f aca="false">SUM(TblConstr[[#This Row],[Plain]:[Water]])</f>
        <v>0</v>
      </c>
      <c r="C70" s="172" t="n">
        <f aca="false">SUM(TblConstr[[#This Row],[Tot Hom]:[Tot Doc]])</f>
        <v>633</v>
      </c>
      <c r="D70" s="172" t="n">
        <f aca="false">SUM(O59:AG70)</f>
        <v>67</v>
      </c>
      <c r="E70" s="173"/>
      <c r="F70" s="33" t="n">
        <f aca="false">TblConstr[[#This Row],[Barren]]+TblConstr[[#This Row],[Buildings]]+TblConstr[[#This Row],[Incoming]]</f>
        <v>700</v>
      </c>
      <c r="G70" s="199" t="n">
        <f aca="false">OFFSET(TblConstr[[#This Row],[Plain]],-1,0)+TblConstr[[#This Row],[Ch_Plain]]</f>
        <v>0</v>
      </c>
      <c r="H70" s="193" t="n">
        <f aca="false">OFFSET(TblConstr[[#This Row],[Forest]],-1,0)+TblConstr[[#This Row],[Ch_Forest]]</f>
        <v>0</v>
      </c>
      <c r="I70" s="200" t="n">
        <f aca="false">OFFSET(TblConstr[[#This Row],[Mountain]],-1,0)+TblConstr[[#This Row],[Ch_Mountain]]</f>
        <v>0</v>
      </c>
      <c r="J70" s="201" t="n">
        <f aca="false">OFFSET(TblConstr[[#This Row],[Hill]],-1,0)+TblConstr[[#This Row],[Ch_Hill]]</f>
        <v>0</v>
      </c>
      <c r="K70" s="202" t="n">
        <f aca="false">OFFSET(TblConstr[[#This Row],[Swamp]],-1,0)+TblConstr[[#This Row],[Ch_Swamp]]</f>
        <v>0</v>
      </c>
      <c r="L70" s="197" t="n">
        <f aca="false">OFFSET(TblConstr[[#This Row],[Cavern]],-1,0)+TblConstr[[#This Row],[Ch_Cavern]]</f>
        <v>0</v>
      </c>
      <c r="M70" s="198" t="n">
        <f aca="false">OFFSET(TblConstr[[#This Row],[Water]],-1,0)+TblConstr[[#This Row],[Ch_Water]]</f>
        <v>0</v>
      </c>
      <c r="N70" s="181" t="n">
        <f aca="false">TblRezone[[#This Row],[Hour]]</f>
        <v>67</v>
      </c>
      <c r="O70" s="182"/>
      <c r="P70" s="182"/>
      <c r="Q70" s="182"/>
      <c r="R70" s="182"/>
      <c r="S70" s="182"/>
      <c r="T70" s="182"/>
      <c r="U70" s="182"/>
      <c r="V70" s="182"/>
      <c r="W70" s="182"/>
      <c r="X70" s="182"/>
      <c r="Y70" s="182"/>
      <c r="Z70" s="182"/>
      <c r="AA70" s="182"/>
      <c r="AB70" s="182"/>
      <c r="AC70" s="182"/>
      <c r="AD70" s="182"/>
      <c r="AE70" s="182"/>
      <c r="AF70" s="182"/>
      <c r="AG70" s="182"/>
      <c r="AH70" s="20" t="n">
        <f aca="false">TblImps[[#This Row],[Time]]</f>
        <v>45432.5</v>
      </c>
      <c r="AI70" s="130" t="n">
        <f aca="false">MIN(25%,(TblConstr[[#This Row],[Tot Fac]]+TblConstr[[#This Row],[Dest Fac]])/(TblConstr[[#This Row],[Land]]-TblExplore[[#This Row],[Land Bonus]]*20))</f>
        <v>0</v>
      </c>
      <c r="AJ70" s="130" t="n">
        <f aca="false">MIN(25%,(TblConstr[[#This Row],[Tot Fac]]+TblConstr[[#This Row],[Dest Fac]])/TblConstr[[#This Row],[Land]])</f>
        <v>0</v>
      </c>
      <c r="AK70" s="69" t="n">
        <f aca="false">TblProd[[#This Row],[Platinum]]</f>
        <v>68189</v>
      </c>
      <c r="AL70" s="69" t="n">
        <f aca="false">TblProd[[#This Row],[Lumber]]</f>
        <v>7924</v>
      </c>
      <c r="AM7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0" s="69" t="n">
        <f aca="false">ROUNDDOWN( MAX(1 - MIN(facs_constr_factor*TblConstr[[#This Row],[Facs -DB]],facs_constr_max) + tech_1_11*TblTech[[#This Row],[11-1]] + tech_6_3_2*TblTech[[#This Row],[6-3]] + tech_5_2_3*TblTech[[#This Row],[5-2]], 1-global_constr_cap) * TblConstr[[#This Row],[RCPA Lumber]],0)</f>
        <v>216</v>
      </c>
      <c r="AO7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0" s="69" t="n">
        <f aca="false">ROUNDDOWN( MAX(1 - MIN(facs_constr_factor*TblConstr[[#This Row],[Facs DB]],facs_constr_max) + tech_1_11*TblTech[[#This Row],[1-11]] + tech_6_3_2*TblTech[[#This Row],[6-3]] + tech_5_2_3*TblTech[[#This Row],[5-2]], 1-global_constr_cap) * ROUND((TblConstr[[#This Row],[Land]]-250)*0.285 + 87.5 + 0/4.25,0),0)</f>
        <v>216</v>
      </c>
      <c r="AQ70" s="1" t="n">
        <f aca="false">TblConstr[[#This Row],[build -db]]*TblConstr[[#This Row],[CPA Platinum -DB]] + TblConstr[[#This Row],[build db]]*TblConstr[[#This Row],[CPA Platinum DB]]</f>
        <v>0</v>
      </c>
      <c r="AR70" s="1" t="n">
        <f aca="false">TblConstr[[#This Row],[build -db]]*TblConstr[[#This Row],[CPA Lumber -DB]]+TblConstr[[#This Row],[build db]]*TblConstr[[#This Row],[CPA Lumber DB]]</f>
        <v>0</v>
      </c>
      <c r="AS70" s="69" t="n">
        <f aca="false">MIN(SUM(OFFSET(TblConstr[[#This Row],[Plain]:[Water]],-1,0))+SUM(TblConstr[[#This Row],[Dest Hom]:[Dest Doc]])+IF(TblConstr[[#This Row],[Hour]]&gt;12,SUM(OFFSET(TblExplore[[#This Row],[Plains Explore]:[Water Explore]],-12,0)),0),SUM(TblConstr[[#This Row],[Hom]:[Doc]]))</f>
        <v>0</v>
      </c>
      <c r="AT7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32"/>
      <c r="AV70" s="69" t="n">
        <f aca="false">ROUND((TblConstr[[#This Row],[Land]]-250 - IF(TblExplore[[#This Row],[Land Bonus]]&lt;&gt;0,20,0))*1.25 + 850 + 0,0)</f>
        <v>1413</v>
      </c>
      <c r="AW70" s="69" t="n">
        <f aca="false">ROUND((TblConstr[[#This Row],[Land]]-250 - IF(TblExplore[[#This Row],[Land Bonus]]&lt;&gt;0,20,0))*0.285 + 87.5 + 0/4.25,0)</f>
        <v>216</v>
      </c>
      <c r="AX70" s="146"/>
      <c r="AY70" s="203" t="n">
        <f aca="false" t="array" ref="AY70:AY70">IF(TblConstr[[#This Row],[Hour]:[Hour]]&gt;12,OFFSET(TblConstr[[#This Row],[Hom]],-12,0),0)+OFFSET(TblConstr[[#This Row],[Tot Hom]],-1,0)-TblConstr[[#This Row],[Dest Hom]]</f>
        <v>40</v>
      </c>
      <c r="AZ70" s="204" t="n">
        <f aca="false" t="array" ref="AZ70:AZ70">IF(TblConstr[[#This Row],[Hour]:[Hour]]&gt;12,OFFSET(TblConstr[[#This Row],[Alc]],-12,0),0)+OFFSET(TblConstr[[#This Row],[Tot Alc]],-1,0)-TblConstr[[#This Row],[Dest Alc]]</f>
        <v>275</v>
      </c>
      <c r="BA70" s="204" t="n">
        <f aca="false" t="array" ref="BA70:BA70">IF(TblConstr[[#This Row],[Hour]:[Hour]]&gt;12,OFFSET(TblConstr[[#This Row],[Far]],-12,0),0)+OFFSET(TblConstr[[#This Row],[Tot Farm]],-1,0)-TblConstr[[#This Row],[Dest Farm]]</f>
        <v>29</v>
      </c>
      <c r="BB70" s="204" t="n">
        <f aca="false" t="array" ref="BB70:BB70">IF(TblConstr[[#This Row],[Hour]:[Hour]]&gt;12,OFFSET(TblConstr[[#This Row],[Smi]],-12,0),0)+OFFSET(TblConstr[[#This Row],[Tot Smi]],-1,0)-TblConstr[[#This Row],[Dest Smi]]</f>
        <v>126</v>
      </c>
      <c r="BC70" s="204" t="n">
        <f aca="false" t="array" ref="BC70:BC70">IF(TblConstr[[#This Row],[Hour]:[Hour]]&gt;12,OFFSET(TblConstr[[#This Row],[Mas]],-12,0),0)+OFFSET(TblConstr[[#This Row],[Tot Mas]],-1,0)-TblConstr[[#This Row],[Dest Mas]]</f>
        <v>0</v>
      </c>
      <c r="BD70" s="205" t="n">
        <f aca="false" t="array" ref="BD70:BD70">IF(TblConstr[[#This Row],[Hour]:[Hour]]&gt;12,OFFSET(TblConstr[[#This Row],[Ly]],-12,0),0)+OFFSET(TblConstr[[#This Row],[Tot Ly]],-1,0)-TblConstr[[#This Row],[Dest Ly]]</f>
        <v>25</v>
      </c>
      <c r="BE70" s="205" t="n">
        <f aca="false" t="array" ref="BE70:BE70">IF(TblConstr[[#This Row],[Hour]:[Hour]]&gt;12,OFFSET(TblConstr[[#This Row],[Hav]],-12,0),0)+OFFSET(TblConstr[[#This Row],[Tot Hav]],-1,0)-TblConstr[[#This Row],[Dest Hav]]</f>
        <v>0</v>
      </c>
      <c r="BF70" s="194" t="n">
        <f aca="false" t="array" ref="BF70:BF70">IF(TblConstr[[#This Row],[Hour]:[Hour]]&gt;12,OFFSET(TblConstr[[#This Row],[OM]],-12,0),0)+OFFSET(TblConstr[[#This Row],[Tot OM]],-1,0)-TblConstr[[#This Row],[Dest OM]]</f>
        <v>0</v>
      </c>
      <c r="BG70" s="194" t="n">
        <f aca="false" t="array" ref="BG70:BG70">IF(TblConstr[[#This Row],[Hour]:[Hour]]&gt;12,OFFSET(TblConstr[[#This Row],[GN]],-12,0),0)+OFFSET(TblConstr[[#This Row],[Tot GN]],-1,0)-TblConstr[[#This Row],[Dest GN]]</f>
        <v>0</v>
      </c>
      <c r="BH70" s="206" t="n">
        <f aca="false" t="array" ref="BH70:BH70">IF(TblConstr[[#This Row],[Hour]:[Hour]]&gt;12,OFFSET(TblConstr[[#This Row],[Fac]],-12,0),0)+OFFSET(TblConstr[[#This Row],[Tot Fac]],-1,0)-TblConstr[[#This Row],[Dest Fac]]</f>
        <v>0</v>
      </c>
      <c r="BI70" s="206" t="n">
        <f aca="false" t="array" ref="BI70:BI70">IF(TblConstr[[#This Row],[Hour]:[Hour]]&gt;12,OFFSET(TblConstr[[#This Row],[GT]],-12,0),0)+OFFSET(TblConstr[[#This Row],[Tot GT]],-1,0)-TblConstr[[#This Row],[Dest GT]]</f>
        <v>0</v>
      </c>
      <c r="BJ70" s="206" t="n">
        <f aca="false" t="array" ref="BJ70:BJ70">IF(TblConstr[[#This Row],[Hour]:[Hour]]&gt;12,OFFSET(TblConstr[[#This Row],[Bar]],-12,0),0)+OFFSET(TblConstr[[#This Row],[Tot Bar]],-1,0)-TblConstr[[#This Row],[Dest Bar]]</f>
        <v>38</v>
      </c>
      <c r="BK70" s="206" t="n">
        <f aca="false" t="array" ref="BK70:BK70">IF(TblConstr[[#This Row],[Hour]:[Hour]]&gt;12,OFFSET(TblConstr[[#This Row],[Shr]],-12,0),0)+OFFSET(TblConstr[[#This Row],[Tot Shr]],-1,0)-TblConstr[[#This Row],[Dest Shr]]</f>
        <v>0</v>
      </c>
      <c r="BL70" s="207" t="n">
        <f aca="false" t="array" ref="BL70:BL70">IF(TblConstr[[#This Row],[Hour]:[Hour]]&gt;12,OFFSET(TblConstr[[#This Row],[Tow]],-12,0),0)+OFFSET(TblConstr[[#This Row],[Tot Tow]],-1,0)-TblConstr[[#This Row],[Dest Tow]]</f>
        <v>29</v>
      </c>
      <c r="BM70" s="207" t="n">
        <f aca="false" t="array" ref="BM70:BM70">IF(TblConstr[[#This Row],[Hour]:[Hour]]&gt;12,OFFSET(TblConstr[[#This Row],[Tem]],-12,0),0)+OFFSET(TblConstr[[#This Row],[Tot Tem]],-1,0)-TblConstr[[#This Row],[Dest Tem]]</f>
        <v>47</v>
      </c>
      <c r="BN70" s="207" t="n">
        <f aca="false" t="array" ref="BN70:BN70">IF(TblConstr[[#This Row],[Hour]:[Hour]]&gt;12,OFFSET(TblConstr[[#This Row],[WG]],-12,0),0)+OFFSET(TblConstr[[#This Row],[Tot WG]],-1,0)-TblConstr[[#This Row],[Dest WG]]</f>
        <v>0</v>
      </c>
      <c r="BO70" s="208" t="n">
        <f aca="false" t="array" ref="BO70:BO70">IF(TblConstr[[#This Row],[Hour]:[Hour]]&gt;12,OFFSET(TblConstr[[#This Row],[DM]],-12,0),0)+OFFSET(TblConstr[[#This Row],[Tot DM]],-1,0)-TblConstr[[#This Row],[Dest DM]]</f>
        <v>0</v>
      </c>
      <c r="BP70" s="208" t="n">
        <f aca="false" t="array" ref="BP70:BP70">IF(TblConstr[[#This Row],[Hour]:[Hour]]&gt;12,OFFSET(TblConstr[[#This Row],[Sch]],-12,0),0)+OFFSET(TblConstr[[#This Row],[Tot Sch]],-1,0)-TblConstr[[#This Row],[Dest Sch]]</f>
        <v>0</v>
      </c>
      <c r="BQ70" s="209" t="n">
        <f aca="false" t="array" ref="BQ70:BQ70">IF(TblConstr[[#This Row],[Hour]:[Hour]]&gt;12,OFFSET(TblConstr[[#This Row],[Doc]],-12,0),0)+OFFSET(TblConstr[[#This Row],[Tot Doc]],-1,0)-TblConstr[[#This Row],[Dest Doc]]</f>
        <v>24</v>
      </c>
      <c r="BR70" s="132"/>
      <c r="BS70" s="146"/>
      <c r="BT70" s="69" t="n">
        <f aca="false">TblConstr[[#This Row],[Land]]</f>
        <v>700</v>
      </c>
      <c r="BU70" s="153" t="n">
        <f aca="false">TblImps[[#This Row],[Time]]</f>
        <v>45432.5</v>
      </c>
      <c r="BV70" s="132"/>
      <c r="BW70" s="182"/>
      <c r="BX70" s="182"/>
      <c r="BY70" s="182"/>
      <c r="BZ70" s="182"/>
      <c r="CA70" s="182"/>
      <c r="CB70" s="182"/>
      <c r="CC70" s="182"/>
      <c r="CD70" s="182"/>
      <c r="CE70" s="182"/>
      <c r="CF70" s="182"/>
      <c r="CG70" s="182"/>
      <c r="CH70" s="182"/>
      <c r="CI70" s="182"/>
      <c r="CJ70" s="182"/>
      <c r="CK70" s="182"/>
      <c r="CL70" s="182"/>
      <c r="CM70" s="182"/>
      <c r="CN70" s="182"/>
      <c r="CO70" s="182"/>
      <c r="CP70" s="132"/>
      <c r="CQ70" s="192" t="n">
        <f aca="false">-SUM(TblConstr[[#This Row],[Alc]:[Mas]])+SUM(TblConstr[[#This Row],[Dest Alc]:[Dest Mas]])+Rezone!L70+IF("Ch_"&amp; home_land=TblConstr[[#Headers],[Ch_Plain]],TblConstr[[#This Row],[Home Land]])+IF(TblConstr[[#This Row],[Hour]:[Hour]]&gt;12,OFFSET(TblExplore[[#This Row],[Plains Explore]],-12,0),0)</f>
        <v>0</v>
      </c>
      <c r="CR70" s="193" t="n">
        <f aca="false">-SUM(TblConstr[[#This Row],[Ly]:[Hav]])+SUM(TblConstr[[#This Row],[Dest Ly]:[Dest Hav]]) +Rezone!M70 + IF("Ch_"&amp; home_land=TblConstr[[#Headers],[Ch_Forest]],TblConstr[[#This Row],[Home Land]])+IF(TblConstr[[#This Row],[Hour]:[Hour]]&gt;12,OFFSET(TblExplore[[#This Row],[Forest Explore]],-12,0),0)</f>
        <v>0</v>
      </c>
      <c r="CS70" s="200" t="n">
        <f aca="false">-SUM(TblConstr[[#This Row],[OM]:[GN]])+SUM(TblConstr[[#This Row],[Dest OM]:[Dest GN]]) +Rezone!N70 + IF("Ch_"&amp; home_land=TblConstr[[#Headers],[Ch_Mountain]],TblConstr[[#This Row],[Home Land]])+IF(TblConstr[[#This Row],[Hour]:[Hour]]&gt;12,OFFSET(TblExplore[[#This Row],[Mountain Explore]],-12,0),0)</f>
        <v>0</v>
      </c>
      <c r="CT70" s="195" t="n">
        <f aca="false">-SUM(TblConstr[[#This Row],[Fac]:[Shr]])+SUM(TblConstr[[#This Row],[Dest Fac]:[Dest Shr]]) +Rezone!O70 + IF("Ch_" &amp; home_land=TblConstr[[#Headers],[Ch_Hill]],TblConstr[[#This Row],[Home Land]])+IF(TblConstr[[#This Row],[Hour]:[Hour]]&gt;12,OFFSET(TblExplore[[#This Row],[Hill Explore]],-12,0),0)</f>
        <v>0</v>
      </c>
      <c r="CU70" s="196" t="n">
        <f aca="false">-SUM(TblConstr[[#This Row],[Tow]:[WG]])+SUM(TblConstr[[#This Row],[Dest Tow]:[Dest WG]]) +Rezone!P70 + IF("Ch_" &amp; home_land=TblConstr[[#Headers],[Ch_Swamp]],TblConstr[[#This Row],[Home Land]])+IF(TblConstr[[#This Row],[Hour]:[Hour]]&gt;12,OFFSET(TblExplore[[#This Row],[Swamp Explore]],-12,0),0)</f>
        <v>0</v>
      </c>
      <c r="CV70" s="197" t="n">
        <f aca="false">- SUM(TblConstr[[#This Row],[DM]:[Sch]])+SUM(TblConstr[[#This Row],[Dest DM]:[Dest Sch]]) +Rezone!Q70 + IF("Ch_" &amp; home_land=TblConstr[[#Headers],[Ch_Cavern]],TblConstr[[#This Row],[Home Land]])+IF(TblConstr[[#This Row],[Hour]:[Hour]]&gt;12,OFFSET(TblExplore[[#This Row],[Cavern Explore]],-12,0),0)</f>
        <v>0</v>
      </c>
      <c r="CW70" s="198" t="n">
        <f aca="false">-TblConstr[[#This Row],[Doc]]+TblConstr[[#This Row],[Dest Doc]] +Rezone!R70 + IF("Ch_" &amp; home_land=TblConstr[[#Headers],[Ch_Water]],TblConstr[[#This Row],[Home Land]])+IF(TblConstr[[#This Row],[Hour]:[Hour]]&gt;12,OFFSET(TblExplore[[#This Row],[Water Explore]],-12,0),0)</f>
        <v>0</v>
      </c>
      <c r="CX70" s="1" t="n">
        <f aca="false">IF(Explore!S70=1,20) - TblConstr[[#This Row],[Hom]] + TblConstr[[#This Row],[Dest Hom]]</f>
        <v>0</v>
      </c>
      <c r="CY70" s="132"/>
      <c r="CZ70" s="69" t="n">
        <f aca="false">G70+SUM(P59:S70)+SUM(AZ70:BC70)</f>
        <v>430</v>
      </c>
      <c r="DA70" s="69" t="n">
        <f aca="false">H70+SUM(T59:U70)+SUM(BD70:BE70)</f>
        <v>25</v>
      </c>
      <c r="DB70" s="1" t="n">
        <f aca="false">I70+SUM(V59:W70)+SUM(BF70:BG70)</f>
        <v>0</v>
      </c>
      <c r="DC70" s="69" t="n">
        <f aca="false">J70+SUM(X59:Y70)+SUM(BH70:BI70)</f>
        <v>55</v>
      </c>
      <c r="DD70" s="69" t="n">
        <f aca="false">K70+SUM(AB59:AD70)+SUM(BL70:BN70)</f>
        <v>76</v>
      </c>
      <c r="DE70" s="1" t="n">
        <f aca="false">L70+SUM(AE59:AE70)+BO70</f>
        <v>0</v>
      </c>
      <c r="DF70" s="69" t="n">
        <f aca="false">M70+SUM(AG59:AG70)+BQ70</f>
        <v>24</v>
      </c>
      <c r="DG70" s="69" t="e">
        <f aca="false" t="array" ref="DG70:DG70">INDEX(TblConstr[[Total Plain]:[Total Water]],ROW()-ROW(TblConstr[#headers]),MATCH("Total "&amp;home_land,TblConstr[[#Headers],[Total Plain]:[Total Water]],0))+TblConstr[[#This Row],[Homes]]</f>
        <v>#VALUE!</v>
      </c>
      <c r="DH70" s="1" t="n">
        <f aca="false">SUM(O59:O70)+AY70</f>
        <v>40</v>
      </c>
      <c r="DI70" s="1" t="n">
        <f aca="false">MAX(BA70-BA69,0)</f>
        <v>0</v>
      </c>
      <c r="DJ70" s="1" t="n">
        <f aca="false">MAX(BQ70-BQ69,0)</f>
        <v>0</v>
      </c>
    </row>
    <row r="71" customFormat="false" ht="12.75" hidden="false" customHeight="false" outlineLevel="0" collapsed="false">
      <c r="A71" s="170" t="n">
        <f aca="false">TblRezone[[#This Row],[Hour]]</f>
        <v>68</v>
      </c>
      <c r="B71" s="171" t="n">
        <f aca="false">SUM(TblConstr[[#This Row],[Plain]:[Water]])</f>
        <v>0</v>
      </c>
      <c r="C71" s="172" t="n">
        <f aca="false">SUM(TblConstr[[#This Row],[Tot Hom]:[Tot Doc]])</f>
        <v>634</v>
      </c>
      <c r="D71" s="172" t="n">
        <f aca="false">SUM(O60:AG71)</f>
        <v>66</v>
      </c>
      <c r="E71" s="173"/>
      <c r="F71" s="33" t="n">
        <f aca="false">TblConstr[[#This Row],[Barren]]+TblConstr[[#This Row],[Buildings]]+TblConstr[[#This Row],[Incoming]]</f>
        <v>700</v>
      </c>
      <c r="G71" s="199" t="n">
        <f aca="false">OFFSET(TblConstr[[#This Row],[Plain]],-1,0)+TblConstr[[#This Row],[Ch_Plain]]</f>
        <v>0</v>
      </c>
      <c r="H71" s="193" t="n">
        <f aca="false">OFFSET(TblConstr[[#This Row],[Forest]],-1,0)+TblConstr[[#This Row],[Ch_Forest]]</f>
        <v>0</v>
      </c>
      <c r="I71" s="200" t="n">
        <f aca="false">OFFSET(TblConstr[[#This Row],[Mountain]],-1,0)+TblConstr[[#This Row],[Ch_Mountain]]</f>
        <v>0</v>
      </c>
      <c r="J71" s="201" t="n">
        <f aca="false">OFFSET(TblConstr[[#This Row],[Hill]],-1,0)+TblConstr[[#This Row],[Ch_Hill]]</f>
        <v>0</v>
      </c>
      <c r="K71" s="202" t="n">
        <f aca="false">OFFSET(TblConstr[[#This Row],[Swamp]],-1,0)+TblConstr[[#This Row],[Ch_Swamp]]</f>
        <v>0</v>
      </c>
      <c r="L71" s="197" t="n">
        <f aca="false">OFFSET(TblConstr[[#This Row],[Cavern]],-1,0)+TblConstr[[#This Row],[Ch_Cavern]]</f>
        <v>0</v>
      </c>
      <c r="M71" s="198" t="n">
        <f aca="false">OFFSET(TblConstr[[#This Row],[Water]],-1,0)+TblConstr[[#This Row],[Ch_Water]]</f>
        <v>0</v>
      </c>
      <c r="N71" s="181" t="n">
        <f aca="false">TblRezone[[#This Row],[Hour]]</f>
        <v>68</v>
      </c>
      <c r="O71" s="182"/>
      <c r="P71" s="182"/>
      <c r="Q71" s="182"/>
      <c r="R71" s="152"/>
      <c r="S71" s="182"/>
      <c r="T71" s="182"/>
      <c r="U71" s="182"/>
      <c r="V71" s="182"/>
      <c r="W71" s="182"/>
      <c r="X71" s="182"/>
      <c r="Y71" s="182"/>
      <c r="Z71" s="182"/>
      <c r="AA71" s="182"/>
      <c r="AB71" s="182"/>
      <c r="AC71" s="182"/>
      <c r="AD71" s="182"/>
      <c r="AE71" s="182"/>
      <c r="AF71" s="182"/>
      <c r="AG71" s="182"/>
      <c r="AH71" s="20" t="n">
        <f aca="false">TblImps[[#This Row],[Time]]</f>
        <v>45432.5416666667</v>
      </c>
      <c r="AI71" s="130" t="n">
        <f aca="false">MIN(25%,(TblConstr[[#This Row],[Tot Fac]]+TblConstr[[#This Row],[Dest Fac]])/(TblConstr[[#This Row],[Land]]-TblExplore[[#This Row],[Land Bonus]]*20))</f>
        <v>0</v>
      </c>
      <c r="AJ71" s="130" t="n">
        <f aca="false">MIN(25%,(TblConstr[[#This Row],[Tot Fac]]+TblConstr[[#This Row],[Dest Fac]])/TblConstr[[#This Row],[Land]])</f>
        <v>0</v>
      </c>
      <c r="AK71" s="69" t="n">
        <f aca="false">TblProd[[#This Row],[Platinum]]</f>
        <v>74962</v>
      </c>
      <c r="AL71" s="69" t="n">
        <f aca="false">TblProd[[#This Row],[Lumber]]</f>
        <v>8970</v>
      </c>
      <c r="AM7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1" s="69" t="n">
        <f aca="false">ROUNDDOWN( MAX(1 - MIN(facs_constr_factor*TblConstr[[#This Row],[Facs -DB]],facs_constr_max) + tech_1_11*TblTech[[#This Row],[11-1]] + tech_6_3_2*TblTech[[#This Row],[6-3]] + tech_5_2_3*TblTech[[#This Row],[5-2]], 1-global_constr_cap) * TblConstr[[#This Row],[RCPA Lumber]],0)</f>
        <v>216</v>
      </c>
      <c r="AO7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1" s="69" t="n">
        <f aca="false">ROUNDDOWN( MAX(1 - MIN(facs_constr_factor*TblConstr[[#This Row],[Facs DB]],facs_constr_max) + tech_1_11*TblTech[[#This Row],[1-11]] + tech_6_3_2*TblTech[[#This Row],[6-3]] + tech_5_2_3*TblTech[[#This Row],[5-2]], 1-global_constr_cap) * ROUND((TblConstr[[#This Row],[Land]]-250)*0.285 + 87.5 + 0/4.25,0),0)</f>
        <v>216</v>
      </c>
      <c r="AQ71" s="1" t="n">
        <f aca="false">TblConstr[[#This Row],[build -db]]*TblConstr[[#This Row],[CPA Platinum -DB]] + TblConstr[[#This Row],[build db]]*TblConstr[[#This Row],[CPA Platinum DB]]</f>
        <v>0</v>
      </c>
      <c r="AR71" s="1" t="n">
        <f aca="false">TblConstr[[#This Row],[build -db]]*TblConstr[[#This Row],[CPA Lumber -DB]]+TblConstr[[#This Row],[build db]]*TblConstr[[#This Row],[CPA Lumber DB]]</f>
        <v>0</v>
      </c>
      <c r="AS71" s="69" t="n">
        <f aca="false">MIN(SUM(OFFSET(TblConstr[[#This Row],[Plain]:[Water]],-1,0))+SUM(TblConstr[[#This Row],[Dest Hom]:[Dest Doc]])+IF(TblConstr[[#This Row],[Hour]]&gt;12,SUM(OFFSET(TblExplore[[#This Row],[Plains Explore]:[Water Explore]],-12,0)),0),SUM(TblConstr[[#This Row],[Hom]:[Doc]]))</f>
        <v>0</v>
      </c>
      <c r="AT7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32"/>
      <c r="AV71" s="69" t="n">
        <f aca="false">ROUND((TblConstr[[#This Row],[Land]]-250 - IF(TblExplore[[#This Row],[Land Bonus]]&lt;&gt;0,20,0))*1.25 + 850 + 0,0)</f>
        <v>1413</v>
      </c>
      <c r="AW71" s="69" t="n">
        <f aca="false">ROUND((TblConstr[[#This Row],[Land]]-250 - IF(TblExplore[[#This Row],[Land Bonus]]&lt;&gt;0,20,0))*0.285 + 87.5 + 0/4.25,0)</f>
        <v>216</v>
      </c>
      <c r="AX71" s="146"/>
      <c r="AY71" s="203" t="n">
        <f aca="false" t="array" ref="AY71:AY71">IF(TblConstr[[#This Row],[Hour]:[Hour]]&gt;12,OFFSET(TblConstr[[#This Row],[Hom]],-12,0),0)+OFFSET(TblConstr[[#This Row],[Tot Hom]],-1,0)-TblConstr[[#This Row],[Dest Hom]]</f>
        <v>40</v>
      </c>
      <c r="AZ71" s="204" t="n">
        <f aca="false" t="array" ref="AZ71:AZ71">IF(TblConstr[[#This Row],[Hour]:[Hour]]&gt;12,OFFSET(TblConstr[[#This Row],[Alc]],-12,0),0)+OFFSET(TblConstr[[#This Row],[Tot Alc]],-1,0)-TblConstr[[#This Row],[Dest Alc]]</f>
        <v>275</v>
      </c>
      <c r="BA71" s="204" t="n">
        <f aca="false" t="array" ref="BA71:BA71">IF(TblConstr[[#This Row],[Hour]:[Hour]]&gt;12,OFFSET(TblConstr[[#This Row],[Far]],-12,0),0)+OFFSET(TblConstr[[#This Row],[Tot Farm]],-1,0)-TblConstr[[#This Row],[Dest Farm]]</f>
        <v>29</v>
      </c>
      <c r="BB71" s="204" t="n">
        <f aca="false" t="array" ref="BB71:BB71">IF(TblConstr[[#This Row],[Hour]:[Hour]]&gt;12,OFFSET(TblConstr[[#This Row],[Smi]],-12,0),0)+OFFSET(TblConstr[[#This Row],[Tot Smi]],-1,0)-TblConstr[[#This Row],[Dest Smi]]</f>
        <v>126</v>
      </c>
      <c r="BC71" s="204" t="n">
        <f aca="false" t="array" ref="BC71:BC71">IF(TblConstr[[#This Row],[Hour]:[Hour]]&gt;12,OFFSET(TblConstr[[#This Row],[Mas]],-12,0),0)+OFFSET(TblConstr[[#This Row],[Tot Mas]],-1,0)-TblConstr[[#This Row],[Dest Mas]]</f>
        <v>0</v>
      </c>
      <c r="BD71" s="205" t="n">
        <f aca="false" t="array" ref="BD71:BD71">IF(TblConstr[[#This Row],[Hour]:[Hour]]&gt;12,OFFSET(TblConstr[[#This Row],[Ly]],-12,0),0)+OFFSET(TblConstr[[#This Row],[Tot Ly]],-1,0)-TblConstr[[#This Row],[Dest Ly]]</f>
        <v>25</v>
      </c>
      <c r="BE71" s="205" t="n">
        <f aca="false" t="array" ref="BE71:BE71">IF(TblConstr[[#This Row],[Hour]:[Hour]]&gt;12,OFFSET(TblConstr[[#This Row],[Hav]],-12,0),0)+OFFSET(TblConstr[[#This Row],[Tot Hav]],-1,0)-TblConstr[[#This Row],[Dest Hav]]</f>
        <v>0</v>
      </c>
      <c r="BF71" s="194" t="n">
        <f aca="false" t="array" ref="BF71:BF71">IF(TblConstr[[#This Row],[Hour]:[Hour]]&gt;12,OFFSET(TblConstr[[#This Row],[OM]],-12,0),0)+OFFSET(TblConstr[[#This Row],[Tot OM]],-1,0)-TblConstr[[#This Row],[Dest OM]]</f>
        <v>0</v>
      </c>
      <c r="BG71" s="194" t="n">
        <f aca="false" t="array" ref="BG71:BG71">IF(TblConstr[[#This Row],[Hour]:[Hour]]&gt;12,OFFSET(TblConstr[[#This Row],[GN]],-12,0),0)+OFFSET(TblConstr[[#This Row],[Tot GN]],-1,0)-TblConstr[[#This Row],[Dest GN]]</f>
        <v>0</v>
      </c>
      <c r="BH71" s="206" t="n">
        <f aca="false" t="array" ref="BH71:BH71">IF(TblConstr[[#This Row],[Hour]:[Hour]]&gt;12,OFFSET(TblConstr[[#This Row],[Fac]],-12,0),0)+OFFSET(TblConstr[[#This Row],[Tot Fac]],-1,0)-TblConstr[[#This Row],[Dest Fac]]</f>
        <v>0</v>
      </c>
      <c r="BI71" s="206" t="n">
        <f aca="false" t="array" ref="BI71:BI71">IF(TblConstr[[#This Row],[Hour]:[Hour]]&gt;12,OFFSET(TblConstr[[#This Row],[GT]],-12,0),0)+OFFSET(TblConstr[[#This Row],[Tot GT]],-1,0)-TblConstr[[#This Row],[Dest GT]]</f>
        <v>1</v>
      </c>
      <c r="BJ71" s="206" t="n">
        <f aca="false" t="array" ref="BJ71:BJ71">IF(TblConstr[[#This Row],[Hour]:[Hour]]&gt;12,OFFSET(TblConstr[[#This Row],[Bar]],-12,0),0)+OFFSET(TblConstr[[#This Row],[Tot Bar]],-1,0)-TblConstr[[#This Row],[Dest Bar]]</f>
        <v>38</v>
      </c>
      <c r="BK71" s="206" t="n">
        <f aca="false" t="array" ref="BK71:BK71">IF(TblConstr[[#This Row],[Hour]:[Hour]]&gt;12,OFFSET(TblConstr[[#This Row],[Shr]],-12,0),0)+OFFSET(TblConstr[[#This Row],[Tot Shr]],-1,0)-TblConstr[[#This Row],[Dest Shr]]</f>
        <v>0</v>
      </c>
      <c r="BL71" s="207" t="n">
        <f aca="false" t="array" ref="BL71:BL71">IF(TblConstr[[#This Row],[Hour]:[Hour]]&gt;12,OFFSET(TblConstr[[#This Row],[Tow]],-12,0),0)+OFFSET(TblConstr[[#This Row],[Tot Tow]],-1,0)-TblConstr[[#This Row],[Dest Tow]]</f>
        <v>29</v>
      </c>
      <c r="BM71" s="207" t="n">
        <f aca="false" t="array" ref="BM71:BM71">IF(TblConstr[[#This Row],[Hour]:[Hour]]&gt;12,OFFSET(TblConstr[[#This Row],[Tem]],-12,0),0)+OFFSET(TblConstr[[#This Row],[Tot Tem]],-1,0)-TblConstr[[#This Row],[Dest Tem]]</f>
        <v>47</v>
      </c>
      <c r="BN71" s="207" t="n">
        <f aca="false" t="array" ref="BN71:BN71">IF(TblConstr[[#This Row],[Hour]:[Hour]]&gt;12,OFFSET(TblConstr[[#This Row],[WG]],-12,0),0)+OFFSET(TblConstr[[#This Row],[Tot WG]],-1,0)-TblConstr[[#This Row],[Dest WG]]</f>
        <v>0</v>
      </c>
      <c r="BO71" s="208" t="n">
        <f aca="false" t="array" ref="BO71:BO71">IF(TblConstr[[#This Row],[Hour]:[Hour]]&gt;12,OFFSET(TblConstr[[#This Row],[DM]],-12,0),0)+OFFSET(TblConstr[[#This Row],[Tot DM]],-1,0)-TblConstr[[#This Row],[Dest DM]]</f>
        <v>0</v>
      </c>
      <c r="BP71" s="208" t="n">
        <f aca="false" t="array" ref="BP71:BP71">IF(TblConstr[[#This Row],[Hour]:[Hour]]&gt;12,OFFSET(TblConstr[[#This Row],[Sch]],-12,0),0)+OFFSET(TblConstr[[#This Row],[Tot Sch]],-1,0)-TblConstr[[#This Row],[Dest Sch]]</f>
        <v>0</v>
      </c>
      <c r="BQ71" s="209" t="n">
        <f aca="false" t="array" ref="BQ71:BQ71">IF(TblConstr[[#This Row],[Hour]:[Hour]]&gt;12,OFFSET(TblConstr[[#This Row],[Doc]],-12,0),0)+OFFSET(TblConstr[[#This Row],[Tot Doc]],-1,0)-TblConstr[[#This Row],[Dest Doc]]</f>
        <v>24</v>
      </c>
      <c r="BR71" s="132"/>
      <c r="BS71" s="146"/>
      <c r="BT71" s="69" t="n">
        <f aca="false">TblConstr[[#This Row],[Land]]</f>
        <v>700</v>
      </c>
      <c r="BU71" s="153" t="n">
        <f aca="false">TblImps[[#This Row],[Time]]</f>
        <v>45432.5416666667</v>
      </c>
      <c r="BV71" s="132"/>
      <c r="BW71" s="182"/>
      <c r="BX71" s="182"/>
      <c r="BY71" s="182"/>
      <c r="BZ71" s="182"/>
      <c r="CA71" s="182"/>
      <c r="CB71" s="182"/>
      <c r="CC71" s="182"/>
      <c r="CD71" s="182"/>
      <c r="CE71" s="182"/>
      <c r="CF71" s="182"/>
      <c r="CG71" s="182"/>
      <c r="CH71" s="182"/>
      <c r="CI71" s="182"/>
      <c r="CJ71" s="182"/>
      <c r="CK71" s="182"/>
      <c r="CL71" s="182"/>
      <c r="CM71" s="182"/>
      <c r="CN71" s="182"/>
      <c r="CO71" s="182"/>
      <c r="CP71" s="132"/>
      <c r="CQ71" s="192" t="n">
        <f aca="false">-SUM(TblConstr[[#This Row],[Alc]:[Mas]])+SUM(TblConstr[[#This Row],[Dest Alc]:[Dest Mas]])+Rezone!L71+IF("Ch_"&amp; home_land=TblConstr[[#Headers],[Ch_Plain]],TblConstr[[#This Row],[Home Land]])+IF(TblConstr[[#This Row],[Hour]:[Hour]]&gt;12,OFFSET(TblExplore[[#This Row],[Plains Explore]],-12,0),0)</f>
        <v>0</v>
      </c>
      <c r="CR71" s="193" t="n">
        <f aca="false">-SUM(TblConstr[[#This Row],[Ly]:[Hav]])+SUM(TblConstr[[#This Row],[Dest Ly]:[Dest Hav]]) +Rezone!M71 + IF("Ch_"&amp; home_land=TblConstr[[#Headers],[Ch_Forest]],TblConstr[[#This Row],[Home Land]])+IF(TblConstr[[#This Row],[Hour]:[Hour]]&gt;12,OFFSET(TblExplore[[#This Row],[Forest Explore]],-12,0),0)</f>
        <v>0</v>
      </c>
      <c r="CS71" s="200" t="n">
        <f aca="false">-SUM(TblConstr[[#This Row],[OM]:[GN]])+SUM(TblConstr[[#This Row],[Dest OM]:[Dest GN]]) +Rezone!N71 + IF("Ch_"&amp; home_land=TblConstr[[#Headers],[Ch_Mountain]],TblConstr[[#This Row],[Home Land]])+IF(TblConstr[[#This Row],[Hour]:[Hour]]&gt;12,OFFSET(TblExplore[[#This Row],[Mountain Explore]],-12,0),0)</f>
        <v>0</v>
      </c>
      <c r="CT71" s="195" t="n">
        <f aca="false">-SUM(TblConstr[[#This Row],[Fac]:[Shr]])+SUM(TblConstr[[#This Row],[Dest Fac]:[Dest Shr]]) +Rezone!O71 + IF("Ch_" &amp; home_land=TblConstr[[#Headers],[Ch_Hill]],TblConstr[[#This Row],[Home Land]])+IF(TblConstr[[#This Row],[Hour]:[Hour]]&gt;12,OFFSET(TblExplore[[#This Row],[Hill Explore]],-12,0),0)</f>
        <v>0</v>
      </c>
      <c r="CU71" s="196" t="n">
        <f aca="false">-SUM(TblConstr[[#This Row],[Tow]:[WG]])+SUM(TblConstr[[#This Row],[Dest Tow]:[Dest WG]]) +Rezone!P71 + IF("Ch_" &amp; home_land=TblConstr[[#Headers],[Ch_Swamp]],TblConstr[[#This Row],[Home Land]])+IF(TblConstr[[#This Row],[Hour]:[Hour]]&gt;12,OFFSET(TblExplore[[#This Row],[Swamp Explore]],-12,0),0)</f>
        <v>0</v>
      </c>
      <c r="CV71" s="197" t="n">
        <f aca="false">- SUM(TblConstr[[#This Row],[DM]:[Sch]])+SUM(TblConstr[[#This Row],[Dest DM]:[Dest Sch]]) +Rezone!Q71 + IF("Ch_" &amp; home_land=TblConstr[[#Headers],[Ch_Cavern]],TblConstr[[#This Row],[Home Land]])+IF(TblConstr[[#This Row],[Hour]:[Hour]]&gt;12,OFFSET(TblExplore[[#This Row],[Cavern Explore]],-12,0),0)</f>
        <v>0</v>
      </c>
      <c r="CW71" s="198" t="n">
        <f aca="false">-TblConstr[[#This Row],[Doc]]+TblConstr[[#This Row],[Dest Doc]] +Rezone!R71 + IF("Ch_" &amp; home_land=TblConstr[[#Headers],[Ch_Water]],TblConstr[[#This Row],[Home Land]])+IF(TblConstr[[#This Row],[Hour]:[Hour]]&gt;12,OFFSET(TblExplore[[#This Row],[Water Explore]],-12,0),0)</f>
        <v>0</v>
      </c>
      <c r="CX71" s="1" t="n">
        <f aca="false">IF(Explore!S71=1,20) - TblConstr[[#This Row],[Hom]] + TblConstr[[#This Row],[Dest Hom]]</f>
        <v>0</v>
      </c>
      <c r="CY71" s="132"/>
      <c r="CZ71" s="69" t="n">
        <f aca="false">G71+SUM(P60:S71)+SUM(AZ71:BC71)</f>
        <v>430</v>
      </c>
      <c r="DA71" s="69" t="n">
        <f aca="false">H71+SUM(T60:U71)+SUM(BD71:BE71)</f>
        <v>25</v>
      </c>
      <c r="DB71" s="1" t="n">
        <f aca="false">I71+SUM(V60:W71)+SUM(BF71:BG71)</f>
        <v>0</v>
      </c>
      <c r="DC71" s="69" t="n">
        <f aca="false">J71+SUM(X60:Y71)+SUM(BH71:BI71)</f>
        <v>55</v>
      </c>
      <c r="DD71" s="69" t="n">
        <f aca="false">K71+SUM(AB60:AD71)+SUM(BL71:BN71)</f>
        <v>76</v>
      </c>
      <c r="DE71" s="1" t="n">
        <f aca="false">L71+SUM(AE60:AE71)+BO71</f>
        <v>0</v>
      </c>
      <c r="DF71" s="69" t="n">
        <f aca="false">M71+SUM(AG60:AG71)+BQ71</f>
        <v>24</v>
      </c>
      <c r="DG71" s="69" t="e">
        <f aca="false" t="array" ref="DG71:DG71">INDEX(TblConstr[[Total Plain]:[Total Water]],ROW()-ROW(TblConstr[#headers]),MATCH("Total "&amp;home_land,TblConstr[[#Headers],[Total Plain]:[Total Water]],0))+TblConstr[[#This Row],[Homes]]</f>
        <v>#VALUE!</v>
      </c>
      <c r="DH71" s="1" t="n">
        <f aca="false">SUM(O60:O71)+AY71</f>
        <v>40</v>
      </c>
      <c r="DI71" s="1" t="n">
        <f aca="false">MAX(BA71-BA70,0)</f>
        <v>0</v>
      </c>
      <c r="DJ71" s="1" t="n">
        <f aca="false">MAX(BQ71-BQ70,0)</f>
        <v>0</v>
      </c>
    </row>
    <row r="72" customFormat="false" ht="12.75" hidden="false" customHeight="false" outlineLevel="0" collapsed="false">
      <c r="A72" s="170" t="n">
        <f aca="false">TblRezone[[#This Row],[Hour]]</f>
        <v>69</v>
      </c>
      <c r="B72" s="171" t="n">
        <f aca="false">SUM(TblConstr[[#This Row],[Plain]:[Water]])</f>
        <v>0</v>
      </c>
      <c r="C72" s="172" t="n">
        <f aca="false">SUM(TblConstr[[#This Row],[Tot Hom]:[Tot Doc]])</f>
        <v>635</v>
      </c>
      <c r="D72" s="172" t="n">
        <f aca="false">SUM(O61:AG72)</f>
        <v>65</v>
      </c>
      <c r="E72" s="173"/>
      <c r="F72" s="33" t="n">
        <f aca="false">TblConstr[[#This Row],[Barren]]+TblConstr[[#This Row],[Buildings]]+TblConstr[[#This Row],[Incoming]]</f>
        <v>700</v>
      </c>
      <c r="G72" s="199" t="n">
        <f aca="false">OFFSET(TblConstr[[#This Row],[Plain]],-1,0)+TblConstr[[#This Row],[Ch_Plain]]</f>
        <v>0</v>
      </c>
      <c r="H72" s="193" t="n">
        <f aca="false">OFFSET(TblConstr[[#This Row],[Forest]],-1,0)+TblConstr[[#This Row],[Ch_Forest]]</f>
        <v>0</v>
      </c>
      <c r="I72" s="200" t="n">
        <f aca="false">OFFSET(TblConstr[[#This Row],[Mountain]],-1,0)+TblConstr[[#This Row],[Ch_Mountain]]</f>
        <v>0</v>
      </c>
      <c r="J72" s="201" t="n">
        <f aca="false">OFFSET(TblConstr[[#This Row],[Hill]],-1,0)+TblConstr[[#This Row],[Ch_Hill]]</f>
        <v>0</v>
      </c>
      <c r="K72" s="202" t="n">
        <f aca="false">OFFSET(TblConstr[[#This Row],[Swamp]],-1,0)+TblConstr[[#This Row],[Ch_Swamp]]</f>
        <v>0</v>
      </c>
      <c r="L72" s="197" t="n">
        <f aca="false">OFFSET(TblConstr[[#This Row],[Cavern]],-1,0)+TblConstr[[#This Row],[Ch_Cavern]]</f>
        <v>0</v>
      </c>
      <c r="M72" s="198" t="n">
        <f aca="false">OFFSET(TblConstr[[#This Row],[Water]],-1,0)+TblConstr[[#This Row],[Ch_Water]]</f>
        <v>0</v>
      </c>
      <c r="N72" s="181" t="n">
        <f aca="false">TblRezone[[#This Row],[Hour]]</f>
        <v>69</v>
      </c>
      <c r="O72" s="182"/>
      <c r="P72" s="182"/>
      <c r="Q72" s="182"/>
      <c r="R72" s="182"/>
      <c r="S72" s="182"/>
      <c r="T72" s="182"/>
      <c r="U72" s="182"/>
      <c r="V72" s="182"/>
      <c r="W72" s="182"/>
      <c r="X72" s="182"/>
      <c r="Y72" s="182"/>
      <c r="Z72" s="182"/>
      <c r="AA72" s="182"/>
      <c r="AB72" s="182"/>
      <c r="AC72" s="182"/>
      <c r="AD72" s="182"/>
      <c r="AE72" s="182"/>
      <c r="AF72" s="182"/>
      <c r="AG72" s="182"/>
      <c r="AH72" s="20" t="n">
        <f aca="false">TblImps[[#This Row],[Time]]</f>
        <v>45432.5833333333</v>
      </c>
      <c r="AI72" s="130" t="n">
        <f aca="false">MIN(25%,(TblConstr[[#This Row],[Tot Fac]]+TblConstr[[#This Row],[Dest Fac]])/(TblConstr[[#This Row],[Land]]-TblExplore[[#This Row],[Land Bonus]]*20))</f>
        <v>0</v>
      </c>
      <c r="AJ72" s="130" t="n">
        <f aca="false">MIN(25%,(TblConstr[[#This Row],[Tot Fac]]+TblConstr[[#This Row],[Dest Fac]])/TblConstr[[#This Row],[Land]])</f>
        <v>0</v>
      </c>
      <c r="AK72" s="69" t="n">
        <f aca="false">TblProd[[#This Row],[Platinum]]</f>
        <v>60402</v>
      </c>
      <c r="AL72" s="69" t="n">
        <f aca="false">TblProd[[#This Row],[Lumber]]</f>
        <v>10005</v>
      </c>
      <c r="AM7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2" s="69" t="n">
        <f aca="false">ROUNDDOWN( MAX(1 - MIN(facs_constr_factor*TblConstr[[#This Row],[Facs -DB]],facs_constr_max) + tech_1_11*TblTech[[#This Row],[11-1]] + tech_6_3_2*TblTech[[#This Row],[6-3]] + tech_5_2_3*TblTech[[#This Row],[5-2]], 1-global_constr_cap) * TblConstr[[#This Row],[RCPA Lumber]],0)</f>
        <v>216</v>
      </c>
      <c r="AO7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2" s="69" t="n">
        <f aca="false">ROUNDDOWN( MAX(1 - MIN(facs_constr_factor*TblConstr[[#This Row],[Facs DB]],facs_constr_max) + tech_1_11*TblTech[[#This Row],[1-11]] + tech_6_3_2*TblTech[[#This Row],[6-3]] + tech_5_2_3*TblTech[[#This Row],[5-2]], 1-global_constr_cap) * ROUND((TblConstr[[#This Row],[Land]]-250)*0.285 + 87.5 + 0/4.25,0),0)</f>
        <v>216</v>
      </c>
      <c r="AQ72" s="1" t="n">
        <f aca="false">TblConstr[[#This Row],[build -db]]*TblConstr[[#This Row],[CPA Platinum -DB]] + TblConstr[[#This Row],[build db]]*TblConstr[[#This Row],[CPA Platinum DB]]</f>
        <v>0</v>
      </c>
      <c r="AR72" s="1" t="n">
        <f aca="false">TblConstr[[#This Row],[build -db]]*TblConstr[[#This Row],[CPA Lumber -DB]]+TblConstr[[#This Row],[build db]]*TblConstr[[#This Row],[CPA Lumber DB]]</f>
        <v>0</v>
      </c>
      <c r="AS72" s="69" t="n">
        <f aca="false">MIN(SUM(OFFSET(TblConstr[[#This Row],[Plain]:[Water]],-1,0))+SUM(TblConstr[[#This Row],[Dest Hom]:[Dest Doc]])+IF(TblConstr[[#This Row],[Hour]]&gt;12,SUM(OFFSET(TblExplore[[#This Row],[Plains Explore]:[Water Explore]],-12,0)),0),SUM(TblConstr[[#This Row],[Hom]:[Doc]]))</f>
        <v>0</v>
      </c>
      <c r="AT7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32"/>
      <c r="AV72" s="69" t="n">
        <f aca="false">ROUND((TblConstr[[#This Row],[Land]]-250 - IF(TblExplore[[#This Row],[Land Bonus]]&lt;&gt;0,20,0))*1.25 + 850 + 0,0)</f>
        <v>1413</v>
      </c>
      <c r="AW72" s="69" t="n">
        <f aca="false">ROUND((TblConstr[[#This Row],[Land]]-250 - IF(TblExplore[[#This Row],[Land Bonus]]&lt;&gt;0,20,0))*0.285 + 87.5 + 0/4.25,0)</f>
        <v>216</v>
      </c>
      <c r="AX72" s="146"/>
      <c r="AY72" s="203" t="n">
        <f aca="false" t="array" ref="AY72:AY72">IF(TblConstr[[#This Row],[Hour]:[Hour]]&gt;12,OFFSET(TblConstr[[#This Row],[Hom]],-12,0),0)+OFFSET(TblConstr[[#This Row],[Tot Hom]],-1,0)-TblConstr[[#This Row],[Dest Hom]]</f>
        <v>40</v>
      </c>
      <c r="AZ72" s="204" t="n">
        <f aca="false" t="array" ref="AZ72:AZ72">IF(TblConstr[[#This Row],[Hour]:[Hour]]&gt;12,OFFSET(TblConstr[[#This Row],[Alc]],-12,0),0)+OFFSET(TblConstr[[#This Row],[Tot Alc]],-1,0)-TblConstr[[#This Row],[Dest Alc]]</f>
        <v>275</v>
      </c>
      <c r="BA72" s="204" t="n">
        <f aca="false" t="array" ref="BA72:BA72">IF(TblConstr[[#This Row],[Hour]:[Hour]]&gt;12,OFFSET(TblConstr[[#This Row],[Far]],-12,0),0)+OFFSET(TblConstr[[#This Row],[Tot Farm]],-1,0)-TblConstr[[#This Row],[Dest Farm]]</f>
        <v>29</v>
      </c>
      <c r="BB72" s="204" t="n">
        <f aca="false" t="array" ref="BB72:BB72">IF(TblConstr[[#This Row],[Hour]:[Hour]]&gt;12,OFFSET(TblConstr[[#This Row],[Smi]],-12,0),0)+OFFSET(TblConstr[[#This Row],[Tot Smi]],-1,0)-TblConstr[[#This Row],[Dest Smi]]</f>
        <v>126</v>
      </c>
      <c r="BC72" s="204" t="n">
        <f aca="false" t="array" ref="BC72:BC72">IF(TblConstr[[#This Row],[Hour]:[Hour]]&gt;12,OFFSET(TblConstr[[#This Row],[Mas]],-12,0),0)+OFFSET(TblConstr[[#This Row],[Tot Mas]],-1,0)-TblConstr[[#This Row],[Dest Mas]]</f>
        <v>0</v>
      </c>
      <c r="BD72" s="205" t="n">
        <f aca="false" t="array" ref="BD72:BD72">IF(TblConstr[[#This Row],[Hour]:[Hour]]&gt;12,OFFSET(TblConstr[[#This Row],[Ly]],-12,0),0)+OFFSET(TblConstr[[#This Row],[Tot Ly]],-1,0)-TblConstr[[#This Row],[Dest Ly]]</f>
        <v>25</v>
      </c>
      <c r="BE72" s="205" t="n">
        <f aca="false" t="array" ref="BE72:BE72">IF(TblConstr[[#This Row],[Hour]:[Hour]]&gt;12,OFFSET(TblConstr[[#This Row],[Hav]],-12,0),0)+OFFSET(TblConstr[[#This Row],[Tot Hav]],-1,0)-TblConstr[[#This Row],[Dest Hav]]</f>
        <v>0</v>
      </c>
      <c r="BF72" s="194" t="n">
        <f aca="false" t="array" ref="BF72:BF72">IF(TblConstr[[#This Row],[Hour]:[Hour]]&gt;12,OFFSET(TblConstr[[#This Row],[OM]],-12,0),0)+OFFSET(TblConstr[[#This Row],[Tot OM]],-1,0)-TblConstr[[#This Row],[Dest OM]]</f>
        <v>0</v>
      </c>
      <c r="BG72" s="194" t="n">
        <f aca="false" t="array" ref="BG72:BG72">IF(TblConstr[[#This Row],[Hour]:[Hour]]&gt;12,OFFSET(TblConstr[[#This Row],[GN]],-12,0),0)+OFFSET(TblConstr[[#This Row],[Tot GN]],-1,0)-TblConstr[[#This Row],[Dest GN]]</f>
        <v>0</v>
      </c>
      <c r="BH72" s="206" t="n">
        <f aca="false" t="array" ref="BH72:BH72">IF(TblConstr[[#This Row],[Hour]:[Hour]]&gt;12,OFFSET(TblConstr[[#This Row],[Fac]],-12,0),0)+OFFSET(TblConstr[[#This Row],[Tot Fac]],-1,0)-TblConstr[[#This Row],[Dest Fac]]</f>
        <v>0</v>
      </c>
      <c r="BI72" s="206" t="n">
        <f aca="false" t="array" ref="BI72:BI72">IF(TblConstr[[#This Row],[Hour]:[Hour]]&gt;12,OFFSET(TblConstr[[#This Row],[GT]],-12,0),0)+OFFSET(TblConstr[[#This Row],[Tot GT]],-1,0)-TblConstr[[#This Row],[Dest GT]]</f>
        <v>2</v>
      </c>
      <c r="BJ72" s="206" t="n">
        <f aca="false" t="array" ref="BJ72:BJ72">IF(TblConstr[[#This Row],[Hour]:[Hour]]&gt;12,OFFSET(TblConstr[[#This Row],[Bar]],-12,0),0)+OFFSET(TblConstr[[#This Row],[Tot Bar]],-1,0)-TblConstr[[#This Row],[Dest Bar]]</f>
        <v>38</v>
      </c>
      <c r="BK72" s="206" t="n">
        <f aca="false" t="array" ref="BK72:BK72">IF(TblConstr[[#This Row],[Hour]:[Hour]]&gt;12,OFFSET(TblConstr[[#This Row],[Shr]],-12,0),0)+OFFSET(TblConstr[[#This Row],[Tot Shr]],-1,0)-TblConstr[[#This Row],[Dest Shr]]</f>
        <v>0</v>
      </c>
      <c r="BL72" s="207" t="n">
        <f aca="false" t="array" ref="BL72:BL72">IF(TblConstr[[#This Row],[Hour]:[Hour]]&gt;12,OFFSET(TblConstr[[#This Row],[Tow]],-12,0),0)+OFFSET(TblConstr[[#This Row],[Tot Tow]],-1,0)-TblConstr[[#This Row],[Dest Tow]]</f>
        <v>29</v>
      </c>
      <c r="BM72" s="207" t="n">
        <f aca="false" t="array" ref="BM72:BM72">IF(TblConstr[[#This Row],[Hour]:[Hour]]&gt;12,OFFSET(TblConstr[[#This Row],[Tem]],-12,0),0)+OFFSET(TblConstr[[#This Row],[Tot Tem]],-1,0)-TblConstr[[#This Row],[Dest Tem]]</f>
        <v>47</v>
      </c>
      <c r="BN72" s="207" t="n">
        <f aca="false" t="array" ref="BN72:BN72">IF(TblConstr[[#This Row],[Hour]:[Hour]]&gt;12,OFFSET(TblConstr[[#This Row],[WG]],-12,0),0)+OFFSET(TblConstr[[#This Row],[Tot WG]],-1,0)-TblConstr[[#This Row],[Dest WG]]</f>
        <v>0</v>
      </c>
      <c r="BO72" s="208" t="n">
        <f aca="false" t="array" ref="BO72:BO72">IF(TblConstr[[#This Row],[Hour]:[Hour]]&gt;12,OFFSET(TblConstr[[#This Row],[DM]],-12,0),0)+OFFSET(TblConstr[[#This Row],[Tot DM]],-1,0)-TblConstr[[#This Row],[Dest DM]]</f>
        <v>0</v>
      </c>
      <c r="BP72" s="208" t="n">
        <f aca="false" t="array" ref="BP72:BP72">IF(TblConstr[[#This Row],[Hour]:[Hour]]&gt;12,OFFSET(TblConstr[[#This Row],[Sch]],-12,0),0)+OFFSET(TblConstr[[#This Row],[Tot Sch]],-1,0)-TblConstr[[#This Row],[Dest Sch]]</f>
        <v>0</v>
      </c>
      <c r="BQ72" s="209" t="n">
        <f aca="false" t="array" ref="BQ72:BQ72">IF(TblConstr[[#This Row],[Hour]:[Hour]]&gt;12,OFFSET(TblConstr[[#This Row],[Doc]],-12,0),0)+OFFSET(TblConstr[[#This Row],[Tot Doc]],-1,0)-TblConstr[[#This Row],[Dest Doc]]</f>
        <v>24</v>
      </c>
      <c r="BR72" s="132"/>
      <c r="BS72" s="146"/>
      <c r="BT72" s="69" t="n">
        <f aca="false">TblConstr[[#This Row],[Land]]</f>
        <v>700</v>
      </c>
      <c r="BU72" s="153" t="n">
        <f aca="false">TblImps[[#This Row],[Time]]</f>
        <v>45432.5833333333</v>
      </c>
      <c r="BV72" s="132"/>
      <c r="BW72" s="182"/>
      <c r="BX72" s="182"/>
      <c r="BY72" s="182"/>
      <c r="BZ72" s="182"/>
      <c r="CA72" s="182"/>
      <c r="CB72" s="182"/>
      <c r="CC72" s="182"/>
      <c r="CD72" s="182"/>
      <c r="CE72" s="182"/>
      <c r="CF72" s="182"/>
      <c r="CG72" s="182"/>
      <c r="CH72" s="182"/>
      <c r="CI72" s="182"/>
      <c r="CJ72" s="182"/>
      <c r="CK72" s="182"/>
      <c r="CL72" s="182"/>
      <c r="CM72" s="182"/>
      <c r="CN72" s="182"/>
      <c r="CO72" s="182"/>
      <c r="CP72" s="132"/>
      <c r="CQ72" s="192" t="n">
        <f aca="false">-SUM(TblConstr[[#This Row],[Alc]:[Mas]])+SUM(TblConstr[[#This Row],[Dest Alc]:[Dest Mas]])+Rezone!L72+IF("Ch_"&amp; home_land=TblConstr[[#Headers],[Ch_Plain]],TblConstr[[#This Row],[Home Land]])+IF(TblConstr[[#This Row],[Hour]:[Hour]]&gt;12,OFFSET(TblExplore[[#This Row],[Plains Explore]],-12,0),0)</f>
        <v>0</v>
      </c>
      <c r="CR72" s="193" t="n">
        <f aca="false">-SUM(TblConstr[[#This Row],[Ly]:[Hav]])+SUM(TblConstr[[#This Row],[Dest Ly]:[Dest Hav]]) +Rezone!M72 + IF("Ch_"&amp; home_land=TblConstr[[#Headers],[Ch_Forest]],TblConstr[[#This Row],[Home Land]])+IF(TblConstr[[#This Row],[Hour]:[Hour]]&gt;12,OFFSET(TblExplore[[#This Row],[Forest Explore]],-12,0),0)</f>
        <v>0</v>
      </c>
      <c r="CS72" s="200" t="n">
        <f aca="false">-SUM(TblConstr[[#This Row],[OM]:[GN]])+SUM(TblConstr[[#This Row],[Dest OM]:[Dest GN]]) +Rezone!N72 + IF("Ch_"&amp; home_land=TblConstr[[#Headers],[Ch_Mountain]],TblConstr[[#This Row],[Home Land]])+IF(TblConstr[[#This Row],[Hour]:[Hour]]&gt;12,OFFSET(TblExplore[[#This Row],[Mountain Explore]],-12,0),0)</f>
        <v>0</v>
      </c>
      <c r="CT72" s="195" t="n">
        <f aca="false">-SUM(TblConstr[[#This Row],[Fac]:[Shr]])+SUM(TblConstr[[#This Row],[Dest Fac]:[Dest Shr]]) +Rezone!O72 + IF("Ch_" &amp; home_land=TblConstr[[#Headers],[Ch_Hill]],TblConstr[[#This Row],[Home Land]])+IF(TblConstr[[#This Row],[Hour]:[Hour]]&gt;12,OFFSET(TblExplore[[#This Row],[Hill Explore]],-12,0),0)</f>
        <v>0</v>
      </c>
      <c r="CU72" s="196" t="n">
        <f aca="false">-SUM(TblConstr[[#This Row],[Tow]:[WG]])+SUM(TblConstr[[#This Row],[Dest Tow]:[Dest WG]]) +Rezone!P72 + IF("Ch_" &amp; home_land=TblConstr[[#Headers],[Ch_Swamp]],TblConstr[[#This Row],[Home Land]])+IF(TblConstr[[#This Row],[Hour]:[Hour]]&gt;12,OFFSET(TblExplore[[#This Row],[Swamp Explore]],-12,0),0)</f>
        <v>0</v>
      </c>
      <c r="CV72" s="197" t="n">
        <f aca="false">- SUM(TblConstr[[#This Row],[DM]:[Sch]])+SUM(TblConstr[[#This Row],[Dest DM]:[Dest Sch]]) +Rezone!Q72 + IF("Ch_" &amp; home_land=TblConstr[[#Headers],[Ch_Cavern]],TblConstr[[#This Row],[Home Land]])+IF(TblConstr[[#This Row],[Hour]:[Hour]]&gt;12,OFFSET(TblExplore[[#This Row],[Cavern Explore]],-12,0),0)</f>
        <v>0</v>
      </c>
      <c r="CW72" s="198" t="n">
        <f aca="false">-TblConstr[[#This Row],[Doc]]+TblConstr[[#This Row],[Dest Doc]] +Rezone!R72 + IF("Ch_" &amp; home_land=TblConstr[[#Headers],[Ch_Water]],TblConstr[[#This Row],[Home Land]])+IF(TblConstr[[#This Row],[Hour]:[Hour]]&gt;12,OFFSET(TblExplore[[#This Row],[Water Explore]],-12,0),0)</f>
        <v>0</v>
      </c>
      <c r="CX72" s="1" t="n">
        <f aca="false">IF(Explore!S72=1,20) - TblConstr[[#This Row],[Hom]] + TblConstr[[#This Row],[Dest Hom]]</f>
        <v>0</v>
      </c>
      <c r="CY72" s="132"/>
      <c r="CZ72" s="69" t="n">
        <f aca="false">G72+SUM(P61:S72)+SUM(AZ72:BC72)</f>
        <v>430</v>
      </c>
      <c r="DA72" s="69" t="n">
        <f aca="false">H72+SUM(T61:U72)+SUM(BD72:BE72)</f>
        <v>25</v>
      </c>
      <c r="DB72" s="1" t="n">
        <f aca="false">I72+SUM(V61:W72)+SUM(BF72:BG72)</f>
        <v>0</v>
      </c>
      <c r="DC72" s="69" t="n">
        <f aca="false">J72+SUM(X61:Y72)+SUM(BH72:BI72)</f>
        <v>55</v>
      </c>
      <c r="DD72" s="69" t="n">
        <f aca="false">K72+SUM(AB61:AD72)+SUM(BL72:BN72)</f>
        <v>76</v>
      </c>
      <c r="DE72" s="1" t="n">
        <f aca="false">L72+SUM(AE61:AE72)+BO72</f>
        <v>0</v>
      </c>
      <c r="DF72" s="69" t="n">
        <f aca="false">M72+SUM(AG61:AG72)+BQ72</f>
        <v>24</v>
      </c>
      <c r="DG72" s="69" t="e">
        <f aca="false" t="array" ref="DG72:DG72">INDEX(TblConstr[[Total Plain]:[Total Water]],ROW()-ROW(TblConstr[#headers]),MATCH("Total "&amp;home_land,TblConstr[[#Headers],[Total Plain]:[Total Water]],0))+TblConstr[[#This Row],[Homes]]</f>
        <v>#VALUE!</v>
      </c>
      <c r="DH72" s="1" t="n">
        <f aca="false">SUM(O61:O72)+AY72</f>
        <v>40</v>
      </c>
      <c r="DI72" s="1" t="n">
        <f aca="false">MAX(BA72-BA71,0)</f>
        <v>0</v>
      </c>
      <c r="DJ72" s="1" t="n">
        <f aca="false">MAX(BQ72-BQ71,0)</f>
        <v>0</v>
      </c>
    </row>
    <row r="73" customFormat="false" ht="12.75" hidden="false" customHeight="false" outlineLevel="0" collapsed="false">
      <c r="A73" s="170" t="n">
        <f aca="false">TblRezone[[#This Row],[Hour]]</f>
        <v>70</v>
      </c>
      <c r="B73" s="171" t="n">
        <f aca="false">SUM(TblConstr[[#This Row],[Plain]:[Water]])</f>
        <v>0</v>
      </c>
      <c r="C73" s="172" t="n">
        <f aca="false">SUM(TblConstr[[#This Row],[Tot Hom]:[Tot Doc]])</f>
        <v>636</v>
      </c>
      <c r="D73" s="172" t="n">
        <f aca="false">SUM(O62:AG73)</f>
        <v>64</v>
      </c>
      <c r="E73" s="173"/>
      <c r="F73" s="33" t="n">
        <f aca="false">TblConstr[[#This Row],[Barren]]+TblConstr[[#This Row],[Buildings]]+TblConstr[[#This Row],[Incoming]]</f>
        <v>700</v>
      </c>
      <c r="G73" s="199" t="n">
        <f aca="false">OFFSET(TblConstr[[#This Row],[Plain]],-1,0)+TblConstr[[#This Row],[Ch_Plain]]</f>
        <v>0</v>
      </c>
      <c r="H73" s="193" t="n">
        <f aca="false">OFFSET(TblConstr[[#This Row],[Forest]],-1,0)+TblConstr[[#This Row],[Ch_Forest]]</f>
        <v>0</v>
      </c>
      <c r="I73" s="200" t="n">
        <f aca="false">OFFSET(TblConstr[[#This Row],[Mountain]],-1,0)+TblConstr[[#This Row],[Ch_Mountain]]</f>
        <v>0</v>
      </c>
      <c r="J73" s="201" t="n">
        <f aca="false">OFFSET(TblConstr[[#This Row],[Hill]],-1,0)+TblConstr[[#This Row],[Ch_Hill]]</f>
        <v>0</v>
      </c>
      <c r="K73" s="202" t="n">
        <f aca="false">OFFSET(TblConstr[[#This Row],[Swamp]],-1,0)+TblConstr[[#This Row],[Ch_Swamp]]</f>
        <v>0</v>
      </c>
      <c r="L73" s="197" t="n">
        <f aca="false">OFFSET(TblConstr[[#This Row],[Cavern]],-1,0)+TblConstr[[#This Row],[Ch_Cavern]]</f>
        <v>0</v>
      </c>
      <c r="M73" s="198" t="n">
        <f aca="false">OFFSET(TblConstr[[#This Row],[Water]],-1,0)+TblConstr[[#This Row],[Ch_Water]]</f>
        <v>0</v>
      </c>
      <c r="N73" s="181" t="n">
        <f aca="false">TblRezone[[#This Row],[Hour]]</f>
        <v>70</v>
      </c>
      <c r="O73" s="182"/>
      <c r="P73" s="182"/>
      <c r="Q73" s="182"/>
      <c r="R73" s="182"/>
      <c r="S73" s="182"/>
      <c r="T73" s="182"/>
      <c r="U73" s="182"/>
      <c r="V73" s="182"/>
      <c r="W73" s="182"/>
      <c r="X73" s="182"/>
      <c r="Y73" s="182"/>
      <c r="Z73" s="182"/>
      <c r="AA73" s="182"/>
      <c r="AB73" s="182"/>
      <c r="AC73" s="182"/>
      <c r="AD73" s="182"/>
      <c r="AE73" s="182"/>
      <c r="AF73" s="182"/>
      <c r="AG73" s="182"/>
      <c r="AH73" s="20" t="n">
        <f aca="false">TblImps[[#This Row],[Time]]</f>
        <v>45432.625</v>
      </c>
      <c r="AI73" s="130" t="n">
        <f aca="false">MIN(25%,(TblConstr[[#This Row],[Tot Fac]]+TblConstr[[#This Row],[Dest Fac]])/(TblConstr[[#This Row],[Land]]-TblExplore[[#This Row],[Land Bonus]]*20))</f>
        <v>0</v>
      </c>
      <c r="AJ73" s="130" t="n">
        <f aca="false">MIN(25%,(TblConstr[[#This Row],[Tot Fac]]+TblConstr[[#This Row],[Dest Fac]])/TblConstr[[#This Row],[Land]])</f>
        <v>0</v>
      </c>
      <c r="AK73" s="69" t="n">
        <f aca="false">TblProd[[#This Row],[Platinum]]</f>
        <v>46144</v>
      </c>
      <c r="AL73" s="69" t="n">
        <f aca="false">TblProd[[#This Row],[Lumber]]</f>
        <v>11030</v>
      </c>
      <c r="AM7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3" s="69" t="n">
        <f aca="false">ROUNDDOWN( MAX(1 - MIN(facs_constr_factor*TblConstr[[#This Row],[Facs -DB]],facs_constr_max) + tech_1_11*TblTech[[#This Row],[11-1]] + tech_6_3_2*TblTech[[#This Row],[6-3]] + tech_5_2_3*TblTech[[#This Row],[5-2]], 1-global_constr_cap) * TblConstr[[#This Row],[RCPA Lumber]],0)</f>
        <v>216</v>
      </c>
      <c r="AO7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3" s="69" t="n">
        <f aca="false">ROUNDDOWN( MAX(1 - MIN(facs_constr_factor*TblConstr[[#This Row],[Facs DB]],facs_constr_max) + tech_1_11*TblTech[[#This Row],[1-11]] + tech_6_3_2*TblTech[[#This Row],[6-3]] + tech_5_2_3*TblTech[[#This Row],[5-2]], 1-global_constr_cap) * ROUND((TblConstr[[#This Row],[Land]]-250)*0.285 + 87.5 + 0/4.25,0),0)</f>
        <v>216</v>
      </c>
      <c r="AQ73" s="1" t="n">
        <f aca="false">TblConstr[[#This Row],[build -db]]*TblConstr[[#This Row],[CPA Platinum -DB]] + TblConstr[[#This Row],[build db]]*TblConstr[[#This Row],[CPA Platinum DB]]</f>
        <v>0</v>
      </c>
      <c r="AR73" s="1" t="n">
        <f aca="false">TblConstr[[#This Row],[build -db]]*TblConstr[[#This Row],[CPA Lumber -DB]]+TblConstr[[#This Row],[build db]]*TblConstr[[#This Row],[CPA Lumber DB]]</f>
        <v>0</v>
      </c>
      <c r="AS73" s="69" t="n">
        <f aca="false">MIN(SUM(OFFSET(TblConstr[[#This Row],[Plain]:[Water]],-1,0))+SUM(TblConstr[[#This Row],[Dest Hom]:[Dest Doc]])+IF(TblConstr[[#This Row],[Hour]]&gt;12,SUM(OFFSET(TblExplore[[#This Row],[Plains Explore]:[Water Explore]],-12,0)),0),SUM(TblConstr[[#This Row],[Hom]:[Doc]]))</f>
        <v>0</v>
      </c>
      <c r="AT7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32"/>
      <c r="AV73" s="69" t="n">
        <f aca="false">ROUND((TblConstr[[#This Row],[Land]]-250 - IF(TblExplore[[#This Row],[Land Bonus]]&lt;&gt;0,20,0))*1.25 + 850 + 0,0)</f>
        <v>1413</v>
      </c>
      <c r="AW73" s="69" t="n">
        <f aca="false">ROUND((TblConstr[[#This Row],[Land]]-250 - IF(TblExplore[[#This Row],[Land Bonus]]&lt;&gt;0,20,0))*0.285 + 87.5 + 0/4.25,0)</f>
        <v>216</v>
      </c>
      <c r="AX73" s="146"/>
      <c r="AY73" s="203" t="n">
        <f aca="false" t="array" ref="AY73:AY73">IF(TblConstr[[#This Row],[Hour]:[Hour]]&gt;12,OFFSET(TblConstr[[#This Row],[Hom]],-12,0),0)+OFFSET(TblConstr[[#This Row],[Tot Hom]],-1,0)-TblConstr[[#This Row],[Dest Hom]]</f>
        <v>40</v>
      </c>
      <c r="AZ73" s="204" t="n">
        <f aca="false" t="array" ref="AZ73:AZ73">IF(TblConstr[[#This Row],[Hour]:[Hour]]&gt;12,OFFSET(TblConstr[[#This Row],[Alc]],-12,0),0)+OFFSET(TblConstr[[#This Row],[Tot Alc]],-1,0)-TblConstr[[#This Row],[Dest Alc]]</f>
        <v>275</v>
      </c>
      <c r="BA73" s="204" t="n">
        <f aca="false" t="array" ref="BA73:BA73">IF(TblConstr[[#This Row],[Hour]:[Hour]]&gt;12,OFFSET(TblConstr[[#This Row],[Far]],-12,0),0)+OFFSET(TblConstr[[#This Row],[Tot Farm]],-1,0)-TblConstr[[#This Row],[Dest Farm]]</f>
        <v>29</v>
      </c>
      <c r="BB73" s="204" t="n">
        <f aca="false" t="array" ref="BB73:BB73">IF(TblConstr[[#This Row],[Hour]:[Hour]]&gt;12,OFFSET(TblConstr[[#This Row],[Smi]],-12,0),0)+OFFSET(TblConstr[[#This Row],[Tot Smi]],-1,0)-TblConstr[[#This Row],[Dest Smi]]</f>
        <v>126</v>
      </c>
      <c r="BC73" s="204" t="n">
        <f aca="false" t="array" ref="BC73:BC73">IF(TblConstr[[#This Row],[Hour]:[Hour]]&gt;12,OFFSET(TblConstr[[#This Row],[Mas]],-12,0),0)+OFFSET(TblConstr[[#This Row],[Tot Mas]],-1,0)-TblConstr[[#This Row],[Dest Mas]]</f>
        <v>0</v>
      </c>
      <c r="BD73" s="205" t="n">
        <f aca="false" t="array" ref="BD73:BD73">IF(TblConstr[[#This Row],[Hour]:[Hour]]&gt;12,OFFSET(TblConstr[[#This Row],[Ly]],-12,0),0)+OFFSET(TblConstr[[#This Row],[Tot Ly]],-1,0)-TblConstr[[#This Row],[Dest Ly]]</f>
        <v>25</v>
      </c>
      <c r="BE73" s="205" t="n">
        <f aca="false" t="array" ref="BE73:BE73">IF(TblConstr[[#This Row],[Hour]:[Hour]]&gt;12,OFFSET(TblConstr[[#This Row],[Hav]],-12,0),0)+OFFSET(TblConstr[[#This Row],[Tot Hav]],-1,0)-TblConstr[[#This Row],[Dest Hav]]</f>
        <v>0</v>
      </c>
      <c r="BF73" s="194" t="n">
        <f aca="false" t="array" ref="BF73:BF73">IF(TblConstr[[#This Row],[Hour]:[Hour]]&gt;12,OFFSET(TblConstr[[#This Row],[OM]],-12,0),0)+OFFSET(TblConstr[[#This Row],[Tot OM]],-1,0)-TblConstr[[#This Row],[Dest OM]]</f>
        <v>0</v>
      </c>
      <c r="BG73" s="194" t="n">
        <f aca="false" t="array" ref="BG73:BG73">IF(TblConstr[[#This Row],[Hour]:[Hour]]&gt;12,OFFSET(TblConstr[[#This Row],[GN]],-12,0),0)+OFFSET(TblConstr[[#This Row],[Tot GN]],-1,0)-TblConstr[[#This Row],[Dest GN]]</f>
        <v>0</v>
      </c>
      <c r="BH73" s="206" t="n">
        <f aca="false" t="array" ref="BH73:BH73">IF(TblConstr[[#This Row],[Hour]:[Hour]]&gt;12,OFFSET(TblConstr[[#This Row],[Fac]],-12,0),0)+OFFSET(TblConstr[[#This Row],[Tot Fac]],-1,0)-TblConstr[[#This Row],[Dest Fac]]</f>
        <v>0</v>
      </c>
      <c r="BI73" s="206" t="n">
        <f aca="false" t="array" ref="BI73:BI73">IF(TblConstr[[#This Row],[Hour]:[Hour]]&gt;12,OFFSET(TblConstr[[#This Row],[GT]],-12,0),0)+OFFSET(TblConstr[[#This Row],[Tot GT]],-1,0)-TblConstr[[#This Row],[Dest GT]]</f>
        <v>3</v>
      </c>
      <c r="BJ73" s="206" t="n">
        <f aca="false" t="array" ref="BJ73:BJ73">IF(TblConstr[[#This Row],[Hour]:[Hour]]&gt;12,OFFSET(TblConstr[[#This Row],[Bar]],-12,0),0)+OFFSET(TblConstr[[#This Row],[Tot Bar]],-1,0)-TblConstr[[#This Row],[Dest Bar]]</f>
        <v>38</v>
      </c>
      <c r="BK73" s="206" t="n">
        <f aca="false" t="array" ref="BK73:BK73">IF(TblConstr[[#This Row],[Hour]:[Hour]]&gt;12,OFFSET(TblConstr[[#This Row],[Shr]],-12,0),0)+OFFSET(TblConstr[[#This Row],[Tot Shr]],-1,0)-TblConstr[[#This Row],[Dest Shr]]</f>
        <v>0</v>
      </c>
      <c r="BL73" s="207" t="n">
        <f aca="false" t="array" ref="BL73:BL73">IF(TblConstr[[#This Row],[Hour]:[Hour]]&gt;12,OFFSET(TblConstr[[#This Row],[Tow]],-12,0),0)+OFFSET(TblConstr[[#This Row],[Tot Tow]],-1,0)-TblConstr[[#This Row],[Dest Tow]]</f>
        <v>29</v>
      </c>
      <c r="BM73" s="207" t="n">
        <f aca="false" t="array" ref="BM73:BM73">IF(TblConstr[[#This Row],[Hour]:[Hour]]&gt;12,OFFSET(TblConstr[[#This Row],[Tem]],-12,0),0)+OFFSET(TblConstr[[#This Row],[Tot Tem]],-1,0)-TblConstr[[#This Row],[Dest Tem]]</f>
        <v>47</v>
      </c>
      <c r="BN73" s="207" t="n">
        <f aca="false" t="array" ref="BN73:BN73">IF(TblConstr[[#This Row],[Hour]:[Hour]]&gt;12,OFFSET(TblConstr[[#This Row],[WG]],-12,0),0)+OFFSET(TblConstr[[#This Row],[Tot WG]],-1,0)-TblConstr[[#This Row],[Dest WG]]</f>
        <v>0</v>
      </c>
      <c r="BO73" s="208" t="n">
        <f aca="false" t="array" ref="BO73:BO73">IF(TblConstr[[#This Row],[Hour]:[Hour]]&gt;12,OFFSET(TblConstr[[#This Row],[DM]],-12,0),0)+OFFSET(TblConstr[[#This Row],[Tot DM]],-1,0)-TblConstr[[#This Row],[Dest DM]]</f>
        <v>0</v>
      </c>
      <c r="BP73" s="208" t="n">
        <f aca="false" t="array" ref="BP73:BP73">IF(TblConstr[[#This Row],[Hour]:[Hour]]&gt;12,OFFSET(TblConstr[[#This Row],[Sch]],-12,0),0)+OFFSET(TblConstr[[#This Row],[Tot Sch]],-1,0)-TblConstr[[#This Row],[Dest Sch]]</f>
        <v>0</v>
      </c>
      <c r="BQ73" s="209" t="n">
        <f aca="false" t="array" ref="BQ73:BQ73">IF(TblConstr[[#This Row],[Hour]:[Hour]]&gt;12,OFFSET(TblConstr[[#This Row],[Doc]],-12,0),0)+OFFSET(TblConstr[[#This Row],[Tot Doc]],-1,0)-TblConstr[[#This Row],[Dest Doc]]</f>
        <v>24</v>
      </c>
      <c r="BR73" s="132"/>
      <c r="BS73" s="146"/>
      <c r="BT73" s="69" t="n">
        <f aca="false">TblConstr[[#This Row],[Land]]</f>
        <v>700</v>
      </c>
      <c r="BU73" s="153" t="n">
        <f aca="false">TblImps[[#This Row],[Time]]</f>
        <v>45432.625</v>
      </c>
      <c r="BV73" s="132"/>
      <c r="BW73" s="182"/>
      <c r="BX73" s="182"/>
      <c r="BY73" s="182"/>
      <c r="BZ73" s="182"/>
      <c r="CA73" s="182"/>
      <c r="CB73" s="182"/>
      <c r="CC73" s="182"/>
      <c r="CD73" s="182"/>
      <c r="CE73" s="182"/>
      <c r="CF73" s="182"/>
      <c r="CG73" s="182"/>
      <c r="CH73" s="182"/>
      <c r="CI73" s="182"/>
      <c r="CJ73" s="182"/>
      <c r="CK73" s="182"/>
      <c r="CL73" s="182"/>
      <c r="CM73" s="182"/>
      <c r="CN73" s="182"/>
      <c r="CO73" s="182"/>
      <c r="CP73" s="132"/>
      <c r="CQ73" s="192" t="n">
        <f aca="false">-SUM(TblConstr[[#This Row],[Alc]:[Mas]])+SUM(TblConstr[[#This Row],[Dest Alc]:[Dest Mas]])+Rezone!L73+IF("Ch_"&amp; home_land=TblConstr[[#Headers],[Ch_Plain]],TblConstr[[#This Row],[Home Land]])+IF(TblConstr[[#This Row],[Hour]:[Hour]]&gt;12,OFFSET(TblExplore[[#This Row],[Plains Explore]],-12,0),0)</f>
        <v>0</v>
      </c>
      <c r="CR73" s="193" t="n">
        <f aca="false">-SUM(TblConstr[[#This Row],[Ly]:[Hav]])+SUM(TblConstr[[#This Row],[Dest Ly]:[Dest Hav]]) +Rezone!M73 + IF("Ch_"&amp; home_land=TblConstr[[#Headers],[Ch_Forest]],TblConstr[[#This Row],[Home Land]])+IF(TblConstr[[#This Row],[Hour]:[Hour]]&gt;12,OFFSET(TblExplore[[#This Row],[Forest Explore]],-12,0),0)</f>
        <v>0</v>
      </c>
      <c r="CS73" s="200" t="n">
        <f aca="false">-SUM(TblConstr[[#This Row],[OM]:[GN]])+SUM(TblConstr[[#This Row],[Dest OM]:[Dest GN]]) +Rezone!N73 + IF("Ch_"&amp; home_land=TblConstr[[#Headers],[Ch_Mountain]],TblConstr[[#This Row],[Home Land]])+IF(TblConstr[[#This Row],[Hour]:[Hour]]&gt;12,OFFSET(TblExplore[[#This Row],[Mountain Explore]],-12,0),0)</f>
        <v>0</v>
      </c>
      <c r="CT73" s="195" t="n">
        <f aca="false">-SUM(TblConstr[[#This Row],[Fac]:[Shr]])+SUM(TblConstr[[#This Row],[Dest Fac]:[Dest Shr]]) +Rezone!O73 + IF("Ch_" &amp; home_land=TblConstr[[#Headers],[Ch_Hill]],TblConstr[[#This Row],[Home Land]])+IF(TblConstr[[#This Row],[Hour]:[Hour]]&gt;12,OFFSET(TblExplore[[#This Row],[Hill Explore]],-12,0),0)</f>
        <v>0</v>
      </c>
      <c r="CU73" s="196" t="n">
        <f aca="false">-SUM(TblConstr[[#This Row],[Tow]:[WG]])+SUM(TblConstr[[#This Row],[Dest Tow]:[Dest WG]]) +Rezone!P73 + IF("Ch_" &amp; home_land=TblConstr[[#Headers],[Ch_Swamp]],TblConstr[[#This Row],[Home Land]])+IF(TblConstr[[#This Row],[Hour]:[Hour]]&gt;12,OFFSET(TblExplore[[#This Row],[Swamp Explore]],-12,0),0)</f>
        <v>0</v>
      </c>
      <c r="CV73" s="197" t="n">
        <f aca="false">- SUM(TblConstr[[#This Row],[DM]:[Sch]])+SUM(TblConstr[[#This Row],[Dest DM]:[Dest Sch]]) +Rezone!Q73 + IF("Ch_" &amp; home_land=TblConstr[[#Headers],[Ch_Cavern]],TblConstr[[#This Row],[Home Land]])+IF(TblConstr[[#This Row],[Hour]:[Hour]]&gt;12,OFFSET(TblExplore[[#This Row],[Cavern Explore]],-12,0),0)</f>
        <v>0</v>
      </c>
      <c r="CW73" s="198" t="n">
        <f aca="false">-TblConstr[[#This Row],[Doc]]+TblConstr[[#This Row],[Dest Doc]] +Rezone!R73 + IF("Ch_" &amp; home_land=TblConstr[[#Headers],[Ch_Water]],TblConstr[[#This Row],[Home Land]])+IF(TblConstr[[#This Row],[Hour]:[Hour]]&gt;12,OFFSET(TblExplore[[#This Row],[Water Explore]],-12,0),0)</f>
        <v>0</v>
      </c>
      <c r="CX73" s="1" t="n">
        <f aca="false">IF(Explore!S73=1,20) - TblConstr[[#This Row],[Hom]] + TblConstr[[#This Row],[Dest Hom]]</f>
        <v>0</v>
      </c>
      <c r="CY73" s="132"/>
      <c r="CZ73" s="69" t="n">
        <f aca="false">G73+SUM(P62:S73)+SUM(AZ73:BC73)</f>
        <v>430</v>
      </c>
      <c r="DA73" s="69" t="n">
        <f aca="false">H73+SUM(T62:U73)+SUM(BD73:BE73)</f>
        <v>25</v>
      </c>
      <c r="DB73" s="1" t="n">
        <f aca="false">I73+SUM(V62:W73)+SUM(BF73:BG73)</f>
        <v>0</v>
      </c>
      <c r="DC73" s="69" t="n">
        <f aca="false">J73+SUM(X62:Y73)+SUM(BH73:BI73)</f>
        <v>55</v>
      </c>
      <c r="DD73" s="69" t="n">
        <f aca="false">K73+SUM(AB62:AD73)+SUM(BL73:BN73)</f>
        <v>76</v>
      </c>
      <c r="DE73" s="1" t="n">
        <f aca="false">L73+SUM(AE62:AE73)+BO73</f>
        <v>0</v>
      </c>
      <c r="DF73" s="69" t="n">
        <f aca="false">M73+SUM(AG62:AG73)+BQ73</f>
        <v>24</v>
      </c>
      <c r="DG73" s="69" t="e">
        <f aca="false" t="array" ref="DG73:DG73">INDEX(TblConstr[[Total Plain]:[Total Water]],ROW()-ROW(TblConstr[#headers]),MATCH("Total "&amp;home_land,TblConstr[[#Headers],[Total Plain]:[Total Water]],0))+TblConstr[[#This Row],[Homes]]</f>
        <v>#VALUE!</v>
      </c>
      <c r="DH73" s="1" t="n">
        <f aca="false">SUM(O62:O73)+AY73</f>
        <v>40</v>
      </c>
      <c r="DI73" s="1" t="n">
        <f aca="false">MAX(BA73-BA72,0)</f>
        <v>0</v>
      </c>
      <c r="DJ73" s="1" t="n">
        <f aca="false">MAX(BQ73-BQ72,0)</f>
        <v>0</v>
      </c>
    </row>
    <row r="74" customFormat="false" ht="12.75" hidden="false" customHeight="false" outlineLevel="0" collapsed="false">
      <c r="A74" s="170" t="n">
        <f aca="false">TblRezone[[#This Row],[Hour]]</f>
        <v>71</v>
      </c>
      <c r="B74" s="171" t="n">
        <f aca="false">SUM(TblConstr[[#This Row],[Plain]:[Water]])</f>
        <v>0</v>
      </c>
      <c r="C74" s="172" t="n">
        <f aca="false">SUM(TblConstr[[#This Row],[Tot Hom]:[Tot Doc]])</f>
        <v>637</v>
      </c>
      <c r="D74" s="172" t="n">
        <f aca="false">SUM(O63:AG74)</f>
        <v>63</v>
      </c>
      <c r="E74" s="173"/>
      <c r="F74" s="33" t="n">
        <f aca="false">TblConstr[[#This Row],[Barren]]+TblConstr[[#This Row],[Buildings]]+TblConstr[[#This Row],[Incoming]]</f>
        <v>700</v>
      </c>
      <c r="G74" s="199" t="n">
        <f aca="false">OFFSET(TblConstr[[#This Row],[Plain]],-1,0)+TblConstr[[#This Row],[Ch_Plain]]</f>
        <v>0</v>
      </c>
      <c r="H74" s="193" t="n">
        <f aca="false">OFFSET(TblConstr[[#This Row],[Forest]],-1,0)+TblConstr[[#This Row],[Ch_Forest]]</f>
        <v>0</v>
      </c>
      <c r="I74" s="200" t="n">
        <f aca="false">OFFSET(TblConstr[[#This Row],[Mountain]],-1,0)+TblConstr[[#This Row],[Ch_Mountain]]</f>
        <v>0</v>
      </c>
      <c r="J74" s="201" t="n">
        <f aca="false">OFFSET(TblConstr[[#This Row],[Hill]],-1,0)+TblConstr[[#This Row],[Ch_Hill]]</f>
        <v>0</v>
      </c>
      <c r="K74" s="202" t="n">
        <f aca="false">OFFSET(TblConstr[[#This Row],[Swamp]],-1,0)+TblConstr[[#This Row],[Ch_Swamp]]</f>
        <v>0</v>
      </c>
      <c r="L74" s="197" t="n">
        <f aca="false">OFFSET(TblConstr[[#This Row],[Cavern]],-1,0)+TblConstr[[#This Row],[Ch_Cavern]]</f>
        <v>0</v>
      </c>
      <c r="M74" s="198" t="n">
        <f aca="false">OFFSET(TblConstr[[#This Row],[Water]],-1,0)+TblConstr[[#This Row],[Ch_Water]]</f>
        <v>0</v>
      </c>
      <c r="N74" s="181" t="n">
        <f aca="false">TblRezone[[#This Row],[Hour]]</f>
        <v>71</v>
      </c>
      <c r="O74" s="182"/>
      <c r="P74" s="182"/>
      <c r="Q74" s="182"/>
      <c r="R74" s="182"/>
      <c r="S74" s="182"/>
      <c r="T74" s="182"/>
      <c r="U74" s="182"/>
      <c r="V74" s="182"/>
      <c r="W74" s="182"/>
      <c r="X74" s="182"/>
      <c r="Y74" s="182"/>
      <c r="Z74" s="182"/>
      <c r="AA74" s="182"/>
      <c r="AB74" s="182"/>
      <c r="AC74" s="182"/>
      <c r="AD74" s="182"/>
      <c r="AE74" s="182"/>
      <c r="AF74" s="182"/>
      <c r="AG74" s="182"/>
      <c r="AH74" s="20" t="n">
        <f aca="false">TblImps[[#This Row],[Time]]</f>
        <v>45432.6666666667</v>
      </c>
      <c r="AI74" s="130" t="n">
        <f aca="false">MIN(25%,(TblConstr[[#This Row],[Tot Fac]]+TblConstr[[#This Row],[Dest Fac]])/(TblConstr[[#This Row],[Land]]-TblExplore[[#This Row],[Land Bonus]]*20))</f>
        <v>0</v>
      </c>
      <c r="AJ74" s="130" t="n">
        <f aca="false">MIN(25%,(TblConstr[[#This Row],[Tot Fac]]+TblConstr[[#This Row],[Dest Fac]])/TblConstr[[#This Row],[Land]])</f>
        <v>0</v>
      </c>
      <c r="AK74" s="69" t="n">
        <f aca="false">TblProd[[#This Row],[Platinum]]</f>
        <v>32191</v>
      </c>
      <c r="AL74" s="69" t="n">
        <f aca="false">TblProd[[#This Row],[Lumber]]</f>
        <v>12045</v>
      </c>
      <c r="AM7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4" s="69" t="n">
        <f aca="false">ROUNDDOWN( MAX(1 - MIN(facs_constr_factor*TblConstr[[#This Row],[Facs -DB]],facs_constr_max) + tech_1_11*TblTech[[#This Row],[11-1]] + tech_6_3_2*TblTech[[#This Row],[6-3]] + tech_5_2_3*TblTech[[#This Row],[5-2]], 1-global_constr_cap) * TblConstr[[#This Row],[RCPA Lumber]],0)</f>
        <v>216</v>
      </c>
      <c r="AO7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4" s="69" t="n">
        <f aca="false">ROUNDDOWN( MAX(1 - MIN(facs_constr_factor*TblConstr[[#This Row],[Facs DB]],facs_constr_max) + tech_1_11*TblTech[[#This Row],[1-11]] + tech_6_3_2*TblTech[[#This Row],[6-3]] + tech_5_2_3*TblTech[[#This Row],[5-2]], 1-global_constr_cap) * ROUND((TblConstr[[#This Row],[Land]]-250)*0.285 + 87.5 + 0/4.25,0),0)</f>
        <v>216</v>
      </c>
      <c r="AQ74" s="1" t="n">
        <f aca="false">TblConstr[[#This Row],[build -db]]*TblConstr[[#This Row],[CPA Platinum -DB]] + TblConstr[[#This Row],[build db]]*TblConstr[[#This Row],[CPA Platinum DB]]</f>
        <v>0</v>
      </c>
      <c r="AR74" s="1" t="n">
        <f aca="false">TblConstr[[#This Row],[build -db]]*TblConstr[[#This Row],[CPA Lumber -DB]]+TblConstr[[#This Row],[build db]]*TblConstr[[#This Row],[CPA Lumber DB]]</f>
        <v>0</v>
      </c>
      <c r="AS74" s="69" t="n">
        <f aca="false">MIN(SUM(OFFSET(TblConstr[[#This Row],[Plain]:[Water]],-1,0))+SUM(TblConstr[[#This Row],[Dest Hom]:[Dest Doc]])+IF(TblConstr[[#This Row],[Hour]]&gt;12,SUM(OFFSET(TblExplore[[#This Row],[Plains Explore]:[Water Explore]],-12,0)),0),SUM(TblConstr[[#This Row],[Hom]:[Doc]]))</f>
        <v>0</v>
      </c>
      <c r="AT7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32"/>
      <c r="AV74" s="69" t="n">
        <f aca="false">ROUND((TblConstr[[#This Row],[Land]]-250 - IF(TblExplore[[#This Row],[Land Bonus]]&lt;&gt;0,20,0))*1.25 + 850 + 0,0)</f>
        <v>1413</v>
      </c>
      <c r="AW74" s="69" t="n">
        <f aca="false">ROUND((TblConstr[[#This Row],[Land]]-250 - IF(TblExplore[[#This Row],[Land Bonus]]&lt;&gt;0,20,0))*0.285 + 87.5 + 0/4.25,0)</f>
        <v>216</v>
      </c>
      <c r="AX74" s="146"/>
      <c r="AY74" s="203" t="n">
        <f aca="false" t="array" ref="AY74:AY74">IF(TblConstr[[#This Row],[Hour]:[Hour]]&gt;12,OFFSET(TblConstr[[#This Row],[Hom]],-12,0),0)+OFFSET(TblConstr[[#This Row],[Tot Hom]],-1,0)-TblConstr[[#This Row],[Dest Hom]]</f>
        <v>40</v>
      </c>
      <c r="AZ74" s="204" t="n">
        <f aca="false" t="array" ref="AZ74:AZ74">IF(TblConstr[[#This Row],[Hour]:[Hour]]&gt;12,OFFSET(TblConstr[[#This Row],[Alc]],-12,0),0)+OFFSET(TblConstr[[#This Row],[Tot Alc]],-1,0)-TblConstr[[#This Row],[Dest Alc]]</f>
        <v>275</v>
      </c>
      <c r="BA74" s="204" t="n">
        <f aca="false" t="array" ref="BA74:BA74">IF(TblConstr[[#This Row],[Hour]:[Hour]]&gt;12,OFFSET(TblConstr[[#This Row],[Far]],-12,0),0)+OFFSET(TblConstr[[#This Row],[Tot Farm]],-1,0)-TblConstr[[#This Row],[Dest Farm]]</f>
        <v>29</v>
      </c>
      <c r="BB74" s="204" t="n">
        <f aca="false" t="array" ref="BB74:BB74">IF(TblConstr[[#This Row],[Hour]:[Hour]]&gt;12,OFFSET(TblConstr[[#This Row],[Smi]],-12,0),0)+OFFSET(TblConstr[[#This Row],[Tot Smi]],-1,0)-TblConstr[[#This Row],[Dest Smi]]</f>
        <v>126</v>
      </c>
      <c r="BC74" s="204" t="n">
        <f aca="false" t="array" ref="BC74:BC74">IF(TblConstr[[#This Row],[Hour]:[Hour]]&gt;12,OFFSET(TblConstr[[#This Row],[Mas]],-12,0),0)+OFFSET(TblConstr[[#This Row],[Tot Mas]],-1,0)-TblConstr[[#This Row],[Dest Mas]]</f>
        <v>0</v>
      </c>
      <c r="BD74" s="205" t="n">
        <f aca="false" t="array" ref="BD74:BD74">IF(TblConstr[[#This Row],[Hour]:[Hour]]&gt;12,OFFSET(TblConstr[[#This Row],[Ly]],-12,0),0)+OFFSET(TblConstr[[#This Row],[Tot Ly]],-1,0)-TblConstr[[#This Row],[Dest Ly]]</f>
        <v>25</v>
      </c>
      <c r="BE74" s="205" t="n">
        <f aca="false" t="array" ref="BE74:BE74">IF(TblConstr[[#This Row],[Hour]:[Hour]]&gt;12,OFFSET(TblConstr[[#This Row],[Hav]],-12,0),0)+OFFSET(TblConstr[[#This Row],[Tot Hav]],-1,0)-TblConstr[[#This Row],[Dest Hav]]</f>
        <v>0</v>
      </c>
      <c r="BF74" s="194" t="n">
        <f aca="false" t="array" ref="BF74:BF74">IF(TblConstr[[#This Row],[Hour]:[Hour]]&gt;12,OFFSET(TblConstr[[#This Row],[OM]],-12,0),0)+OFFSET(TblConstr[[#This Row],[Tot OM]],-1,0)-TblConstr[[#This Row],[Dest OM]]</f>
        <v>0</v>
      </c>
      <c r="BG74" s="194" t="n">
        <f aca="false" t="array" ref="BG74:BG74">IF(TblConstr[[#This Row],[Hour]:[Hour]]&gt;12,OFFSET(TblConstr[[#This Row],[GN]],-12,0),0)+OFFSET(TblConstr[[#This Row],[Tot GN]],-1,0)-TblConstr[[#This Row],[Dest GN]]</f>
        <v>0</v>
      </c>
      <c r="BH74" s="206" t="n">
        <f aca="false" t="array" ref="BH74:BH74">IF(TblConstr[[#This Row],[Hour]:[Hour]]&gt;12,OFFSET(TblConstr[[#This Row],[Fac]],-12,0),0)+OFFSET(TblConstr[[#This Row],[Tot Fac]],-1,0)-TblConstr[[#This Row],[Dest Fac]]</f>
        <v>0</v>
      </c>
      <c r="BI74" s="206" t="n">
        <f aca="false" t="array" ref="BI74:BI74">IF(TblConstr[[#This Row],[Hour]:[Hour]]&gt;12,OFFSET(TblConstr[[#This Row],[GT]],-12,0),0)+OFFSET(TblConstr[[#This Row],[Tot GT]],-1,0)-TblConstr[[#This Row],[Dest GT]]</f>
        <v>4</v>
      </c>
      <c r="BJ74" s="206" t="n">
        <f aca="false" t="array" ref="BJ74:BJ74">IF(TblConstr[[#This Row],[Hour]:[Hour]]&gt;12,OFFSET(TblConstr[[#This Row],[Bar]],-12,0),0)+OFFSET(TblConstr[[#This Row],[Tot Bar]],-1,0)-TblConstr[[#This Row],[Dest Bar]]</f>
        <v>38</v>
      </c>
      <c r="BK74" s="206" t="n">
        <f aca="false" t="array" ref="BK74:BK74">IF(TblConstr[[#This Row],[Hour]:[Hour]]&gt;12,OFFSET(TblConstr[[#This Row],[Shr]],-12,0),0)+OFFSET(TblConstr[[#This Row],[Tot Shr]],-1,0)-TblConstr[[#This Row],[Dest Shr]]</f>
        <v>0</v>
      </c>
      <c r="BL74" s="207" t="n">
        <f aca="false" t="array" ref="BL74:BL74">IF(TblConstr[[#This Row],[Hour]:[Hour]]&gt;12,OFFSET(TblConstr[[#This Row],[Tow]],-12,0),0)+OFFSET(TblConstr[[#This Row],[Tot Tow]],-1,0)-TblConstr[[#This Row],[Dest Tow]]</f>
        <v>29</v>
      </c>
      <c r="BM74" s="207" t="n">
        <f aca="false" t="array" ref="BM74:BM74">IF(TblConstr[[#This Row],[Hour]:[Hour]]&gt;12,OFFSET(TblConstr[[#This Row],[Tem]],-12,0),0)+OFFSET(TblConstr[[#This Row],[Tot Tem]],-1,0)-TblConstr[[#This Row],[Dest Tem]]</f>
        <v>47</v>
      </c>
      <c r="BN74" s="207" t="n">
        <f aca="false" t="array" ref="BN74:BN74">IF(TblConstr[[#This Row],[Hour]:[Hour]]&gt;12,OFFSET(TblConstr[[#This Row],[WG]],-12,0),0)+OFFSET(TblConstr[[#This Row],[Tot WG]],-1,0)-TblConstr[[#This Row],[Dest WG]]</f>
        <v>0</v>
      </c>
      <c r="BO74" s="208" t="n">
        <f aca="false" t="array" ref="BO74:BO74">IF(TblConstr[[#This Row],[Hour]:[Hour]]&gt;12,OFFSET(TblConstr[[#This Row],[DM]],-12,0),0)+OFFSET(TblConstr[[#This Row],[Tot DM]],-1,0)-TblConstr[[#This Row],[Dest DM]]</f>
        <v>0</v>
      </c>
      <c r="BP74" s="208" t="n">
        <f aca="false" t="array" ref="BP74:BP74">IF(TblConstr[[#This Row],[Hour]:[Hour]]&gt;12,OFFSET(TblConstr[[#This Row],[Sch]],-12,0),0)+OFFSET(TblConstr[[#This Row],[Tot Sch]],-1,0)-TblConstr[[#This Row],[Dest Sch]]</f>
        <v>0</v>
      </c>
      <c r="BQ74" s="209" t="n">
        <f aca="false" t="array" ref="BQ74:BQ74">IF(TblConstr[[#This Row],[Hour]:[Hour]]&gt;12,OFFSET(TblConstr[[#This Row],[Doc]],-12,0),0)+OFFSET(TblConstr[[#This Row],[Tot Doc]],-1,0)-TblConstr[[#This Row],[Dest Doc]]</f>
        <v>24</v>
      </c>
      <c r="BR74" s="132"/>
      <c r="BS74" s="146"/>
      <c r="BT74" s="69" t="n">
        <f aca="false">TblConstr[[#This Row],[Land]]</f>
        <v>700</v>
      </c>
      <c r="BU74" s="153" t="n">
        <f aca="false">TblImps[[#This Row],[Time]]</f>
        <v>45432.6666666667</v>
      </c>
      <c r="BV74" s="132"/>
      <c r="BW74" s="182"/>
      <c r="BX74" s="182"/>
      <c r="BY74" s="182"/>
      <c r="BZ74" s="182"/>
      <c r="CA74" s="182"/>
      <c r="CB74" s="182"/>
      <c r="CC74" s="182"/>
      <c r="CD74" s="182"/>
      <c r="CE74" s="182"/>
      <c r="CF74" s="182"/>
      <c r="CG74" s="182"/>
      <c r="CH74" s="182"/>
      <c r="CI74" s="182"/>
      <c r="CJ74" s="182"/>
      <c r="CK74" s="182"/>
      <c r="CL74" s="182"/>
      <c r="CM74" s="182"/>
      <c r="CN74" s="182"/>
      <c r="CO74" s="182"/>
      <c r="CP74" s="132"/>
      <c r="CQ74" s="192" t="n">
        <f aca="false">-SUM(TblConstr[[#This Row],[Alc]:[Mas]])+SUM(TblConstr[[#This Row],[Dest Alc]:[Dest Mas]])+Rezone!L74+IF("Ch_"&amp; home_land=TblConstr[[#Headers],[Ch_Plain]],TblConstr[[#This Row],[Home Land]])+IF(TblConstr[[#This Row],[Hour]:[Hour]]&gt;12,OFFSET(TblExplore[[#This Row],[Plains Explore]],-12,0),0)</f>
        <v>0</v>
      </c>
      <c r="CR74" s="193" t="n">
        <f aca="false">-SUM(TblConstr[[#This Row],[Ly]:[Hav]])+SUM(TblConstr[[#This Row],[Dest Ly]:[Dest Hav]]) +Rezone!M74 + IF("Ch_"&amp; home_land=TblConstr[[#Headers],[Ch_Forest]],TblConstr[[#This Row],[Home Land]])+IF(TblConstr[[#This Row],[Hour]:[Hour]]&gt;12,OFFSET(TblExplore[[#This Row],[Forest Explore]],-12,0),0)</f>
        <v>0</v>
      </c>
      <c r="CS74" s="200" t="n">
        <f aca="false">-SUM(TblConstr[[#This Row],[OM]:[GN]])+SUM(TblConstr[[#This Row],[Dest OM]:[Dest GN]]) +Rezone!N74 + IF("Ch_"&amp; home_land=TblConstr[[#Headers],[Ch_Mountain]],TblConstr[[#This Row],[Home Land]])+IF(TblConstr[[#This Row],[Hour]:[Hour]]&gt;12,OFFSET(TblExplore[[#This Row],[Mountain Explore]],-12,0),0)</f>
        <v>0</v>
      </c>
      <c r="CT74" s="195" t="n">
        <f aca="false">-SUM(TblConstr[[#This Row],[Fac]:[Shr]])+SUM(TblConstr[[#This Row],[Dest Fac]:[Dest Shr]]) +Rezone!O74 + IF("Ch_" &amp; home_land=TblConstr[[#Headers],[Ch_Hill]],TblConstr[[#This Row],[Home Land]])+IF(TblConstr[[#This Row],[Hour]:[Hour]]&gt;12,OFFSET(TblExplore[[#This Row],[Hill Explore]],-12,0),0)</f>
        <v>0</v>
      </c>
      <c r="CU74" s="196" t="n">
        <f aca="false">-SUM(TblConstr[[#This Row],[Tow]:[WG]])+SUM(TblConstr[[#This Row],[Dest Tow]:[Dest WG]]) +Rezone!P74 + IF("Ch_" &amp; home_land=TblConstr[[#Headers],[Ch_Swamp]],TblConstr[[#This Row],[Home Land]])+IF(TblConstr[[#This Row],[Hour]:[Hour]]&gt;12,OFFSET(TblExplore[[#This Row],[Swamp Explore]],-12,0),0)</f>
        <v>0</v>
      </c>
      <c r="CV74" s="197" t="n">
        <f aca="false">- SUM(TblConstr[[#This Row],[DM]:[Sch]])+SUM(TblConstr[[#This Row],[Dest DM]:[Dest Sch]]) +Rezone!Q74 + IF("Ch_" &amp; home_land=TblConstr[[#Headers],[Ch_Cavern]],TblConstr[[#This Row],[Home Land]])+IF(TblConstr[[#This Row],[Hour]:[Hour]]&gt;12,OFFSET(TblExplore[[#This Row],[Cavern Explore]],-12,0),0)</f>
        <v>0</v>
      </c>
      <c r="CW74" s="198" t="n">
        <f aca="false">-TblConstr[[#This Row],[Doc]]+TblConstr[[#This Row],[Dest Doc]] +Rezone!R74 + IF("Ch_" &amp; home_land=TblConstr[[#Headers],[Ch_Water]],TblConstr[[#This Row],[Home Land]])+IF(TblConstr[[#This Row],[Hour]:[Hour]]&gt;12,OFFSET(TblExplore[[#This Row],[Water Explore]],-12,0),0)</f>
        <v>0</v>
      </c>
      <c r="CX74" s="1" t="n">
        <f aca="false">IF(Explore!S74=1,20) - TblConstr[[#This Row],[Hom]] + TblConstr[[#This Row],[Dest Hom]]</f>
        <v>0</v>
      </c>
      <c r="CY74" s="132"/>
      <c r="CZ74" s="69" t="n">
        <f aca="false">G74+SUM(P63:S74)+SUM(AZ74:BC74)</f>
        <v>430</v>
      </c>
      <c r="DA74" s="69" t="n">
        <f aca="false">H74+SUM(T63:U74)+SUM(BD74:BE74)</f>
        <v>25</v>
      </c>
      <c r="DB74" s="1" t="n">
        <f aca="false">I74+SUM(V63:W74)+SUM(BF74:BG74)</f>
        <v>0</v>
      </c>
      <c r="DC74" s="69" t="n">
        <f aca="false">J74+SUM(X63:Y74)+SUM(BH74:BI74)</f>
        <v>55</v>
      </c>
      <c r="DD74" s="69" t="n">
        <f aca="false">K74+SUM(AB63:AD74)+SUM(BL74:BN74)</f>
        <v>76</v>
      </c>
      <c r="DE74" s="1" t="n">
        <f aca="false">L74+SUM(AE63:AE74)+BO74</f>
        <v>0</v>
      </c>
      <c r="DF74" s="69" t="n">
        <f aca="false">M74+SUM(AG63:AG74)+BQ74</f>
        <v>24</v>
      </c>
      <c r="DG74" s="69" t="e">
        <f aca="false" t="array" ref="DG74:DG74">INDEX(TblConstr[[Total Plain]:[Total Water]],ROW()-ROW(TblConstr[#headers]),MATCH("Total "&amp;home_land,TblConstr[[#Headers],[Total Plain]:[Total Water]],0))+TblConstr[[#This Row],[Homes]]</f>
        <v>#VALUE!</v>
      </c>
      <c r="DH74" s="1" t="n">
        <f aca="false">SUM(O63:O74)+AY74</f>
        <v>40</v>
      </c>
      <c r="DI74" s="1" t="n">
        <f aca="false">MAX(BA74-BA73,0)</f>
        <v>0</v>
      </c>
      <c r="DJ74" s="1" t="n">
        <f aca="false">MAX(BQ74-BQ73,0)</f>
        <v>0</v>
      </c>
    </row>
    <row r="75" customFormat="false" ht="12.75" hidden="false" customHeight="false" outlineLevel="0" collapsed="false">
      <c r="A75" s="170" t="n">
        <f aca="false">TblRezone[[#This Row],[Hour]]</f>
        <v>72</v>
      </c>
      <c r="B75" s="171" t="n">
        <f aca="false">SUM(TblConstr[[#This Row],[Plain]:[Water]])</f>
        <v>0</v>
      </c>
      <c r="C75" s="172" t="n">
        <f aca="false">SUM(TblConstr[[#This Row],[Tot Hom]:[Tot Doc]])</f>
        <v>638</v>
      </c>
      <c r="D75" s="172" t="n">
        <f aca="false">SUM(O64:AG75)</f>
        <v>62</v>
      </c>
      <c r="E75" s="173"/>
      <c r="F75" s="33" t="n">
        <f aca="false">TblConstr[[#This Row],[Barren]]+TblConstr[[#This Row],[Buildings]]+TblConstr[[#This Row],[Incoming]]</f>
        <v>700</v>
      </c>
      <c r="G75" s="199" t="n">
        <f aca="false">OFFSET(TblConstr[[#This Row],[Plain]],-1,0)+TblConstr[[#This Row],[Ch_Plain]]</f>
        <v>0</v>
      </c>
      <c r="H75" s="193" t="n">
        <f aca="false">OFFSET(TblConstr[[#This Row],[Forest]],-1,0)+TblConstr[[#This Row],[Ch_Forest]]</f>
        <v>0</v>
      </c>
      <c r="I75" s="200" t="n">
        <f aca="false">OFFSET(TblConstr[[#This Row],[Mountain]],-1,0)+TblConstr[[#This Row],[Ch_Mountain]]</f>
        <v>0</v>
      </c>
      <c r="J75" s="201" t="n">
        <f aca="false">OFFSET(TblConstr[[#This Row],[Hill]],-1,0)+TblConstr[[#This Row],[Ch_Hill]]</f>
        <v>0</v>
      </c>
      <c r="K75" s="202" t="n">
        <f aca="false">OFFSET(TblConstr[[#This Row],[Swamp]],-1,0)+TblConstr[[#This Row],[Ch_Swamp]]</f>
        <v>0</v>
      </c>
      <c r="L75" s="197" t="n">
        <f aca="false">OFFSET(TblConstr[[#This Row],[Cavern]],-1,0)+TblConstr[[#This Row],[Ch_Cavern]]</f>
        <v>0</v>
      </c>
      <c r="M75" s="198" t="n">
        <f aca="false">OFFSET(TblConstr[[#This Row],[Water]],-1,0)+TblConstr[[#This Row],[Ch_Water]]</f>
        <v>0</v>
      </c>
      <c r="N75" s="181" t="n">
        <f aca="false">TblRezone[[#This Row],[Hour]]</f>
        <v>72</v>
      </c>
      <c r="O75" s="182"/>
      <c r="P75" s="182"/>
      <c r="Q75" s="182"/>
      <c r="R75" s="182"/>
      <c r="S75" s="182"/>
      <c r="T75" s="182"/>
      <c r="U75" s="182"/>
      <c r="V75" s="182"/>
      <c r="W75" s="182"/>
      <c r="X75" s="182"/>
      <c r="Y75" s="182"/>
      <c r="Z75" s="182"/>
      <c r="AA75" s="182"/>
      <c r="AB75" s="182"/>
      <c r="AC75" s="182"/>
      <c r="AD75" s="182"/>
      <c r="AE75" s="182"/>
      <c r="AF75" s="182"/>
      <c r="AG75" s="182"/>
      <c r="AH75" s="20" t="n">
        <f aca="false">TblImps[[#This Row],[Time]]</f>
        <v>45432.7083333333</v>
      </c>
      <c r="AI75" s="130" t="n">
        <f aca="false">MIN(25%,(TblConstr[[#This Row],[Tot Fac]]+TblConstr[[#This Row],[Dest Fac]])/(TblConstr[[#This Row],[Land]]-TblExplore[[#This Row],[Land Bonus]]*20))</f>
        <v>0</v>
      </c>
      <c r="AJ75" s="130" t="n">
        <f aca="false">MIN(25%,(TblConstr[[#This Row],[Tot Fac]]+TblConstr[[#This Row],[Dest Fac]])/TblConstr[[#This Row],[Land]])</f>
        <v>0</v>
      </c>
      <c r="AK75" s="69" t="n">
        <f aca="false">TblProd[[#This Row],[Platinum]]</f>
        <v>18546</v>
      </c>
      <c r="AL75" s="69" t="n">
        <f aca="false">TblProd[[#This Row],[Lumber]]</f>
        <v>13050</v>
      </c>
      <c r="AM7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5" s="69" t="n">
        <f aca="false">ROUNDDOWN( MAX(1 - MIN(facs_constr_factor*TblConstr[[#This Row],[Facs -DB]],facs_constr_max) + tech_1_11*TblTech[[#This Row],[11-1]] + tech_6_3_2*TblTech[[#This Row],[6-3]] + tech_5_2_3*TblTech[[#This Row],[5-2]], 1-global_constr_cap) * TblConstr[[#This Row],[RCPA Lumber]],0)</f>
        <v>216</v>
      </c>
      <c r="AO7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5" s="69" t="n">
        <f aca="false">ROUNDDOWN( MAX(1 - MIN(facs_constr_factor*TblConstr[[#This Row],[Facs DB]],facs_constr_max) + tech_1_11*TblTech[[#This Row],[1-11]] + tech_6_3_2*TblTech[[#This Row],[6-3]] + tech_5_2_3*TblTech[[#This Row],[5-2]], 1-global_constr_cap) * ROUND((TblConstr[[#This Row],[Land]]-250)*0.285 + 87.5 + 0/4.25,0),0)</f>
        <v>216</v>
      </c>
      <c r="AQ75" s="1" t="n">
        <f aca="false">TblConstr[[#This Row],[build -db]]*TblConstr[[#This Row],[CPA Platinum -DB]] + TblConstr[[#This Row],[build db]]*TblConstr[[#This Row],[CPA Platinum DB]]</f>
        <v>0</v>
      </c>
      <c r="AR75" s="1" t="n">
        <f aca="false">TblConstr[[#This Row],[build -db]]*TblConstr[[#This Row],[CPA Lumber -DB]]+TblConstr[[#This Row],[build db]]*TblConstr[[#This Row],[CPA Lumber DB]]</f>
        <v>0</v>
      </c>
      <c r="AS75" s="69" t="n">
        <f aca="false">MIN(SUM(OFFSET(TblConstr[[#This Row],[Plain]:[Water]],-1,0))+SUM(TblConstr[[#This Row],[Dest Hom]:[Dest Doc]])+IF(TblConstr[[#This Row],[Hour]]&gt;12,SUM(OFFSET(TblExplore[[#This Row],[Plains Explore]:[Water Explore]],-12,0)),0),SUM(TblConstr[[#This Row],[Hom]:[Doc]]))</f>
        <v>0</v>
      </c>
      <c r="AT7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32"/>
      <c r="AV75" s="69" t="n">
        <f aca="false">ROUND((TblConstr[[#This Row],[Land]]-250 - IF(TblExplore[[#This Row],[Land Bonus]]&lt;&gt;0,20,0))*1.25 + 850 + 0,0)</f>
        <v>1413</v>
      </c>
      <c r="AW75" s="69" t="n">
        <f aca="false">ROUND((TblConstr[[#This Row],[Land]]-250 - IF(TblExplore[[#This Row],[Land Bonus]]&lt;&gt;0,20,0))*0.285 + 87.5 + 0/4.25,0)</f>
        <v>216</v>
      </c>
      <c r="AX75" s="146"/>
      <c r="AY75" s="203" t="n">
        <f aca="false" t="array" ref="AY75:AY75">IF(TblConstr[[#This Row],[Hour]:[Hour]]&gt;12,OFFSET(TblConstr[[#This Row],[Hom]],-12,0),0)+OFFSET(TblConstr[[#This Row],[Tot Hom]],-1,0)-TblConstr[[#This Row],[Dest Hom]]</f>
        <v>40</v>
      </c>
      <c r="AZ75" s="204" t="n">
        <f aca="false" t="array" ref="AZ75:AZ75">IF(TblConstr[[#This Row],[Hour]:[Hour]]&gt;12,OFFSET(TblConstr[[#This Row],[Alc]],-12,0),0)+OFFSET(TblConstr[[#This Row],[Tot Alc]],-1,0)-TblConstr[[#This Row],[Dest Alc]]</f>
        <v>275</v>
      </c>
      <c r="BA75" s="204" t="n">
        <f aca="false" t="array" ref="BA75:BA75">IF(TblConstr[[#This Row],[Hour]:[Hour]]&gt;12,OFFSET(TblConstr[[#This Row],[Far]],-12,0),0)+OFFSET(TblConstr[[#This Row],[Tot Farm]],-1,0)-TblConstr[[#This Row],[Dest Farm]]</f>
        <v>29</v>
      </c>
      <c r="BB75" s="204" t="n">
        <f aca="false" t="array" ref="BB75:BB75">IF(TblConstr[[#This Row],[Hour]:[Hour]]&gt;12,OFFSET(TblConstr[[#This Row],[Smi]],-12,0),0)+OFFSET(TblConstr[[#This Row],[Tot Smi]],-1,0)-TblConstr[[#This Row],[Dest Smi]]</f>
        <v>126</v>
      </c>
      <c r="BC75" s="204" t="n">
        <f aca="false" t="array" ref="BC75:BC75">IF(TblConstr[[#This Row],[Hour]:[Hour]]&gt;12,OFFSET(TblConstr[[#This Row],[Mas]],-12,0),0)+OFFSET(TblConstr[[#This Row],[Tot Mas]],-1,0)-TblConstr[[#This Row],[Dest Mas]]</f>
        <v>0</v>
      </c>
      <c r="BD75" s="205" t="n">
        <f aca="false" t="array" ref="BD75:BD75">IF(TblConstr[[#This Row],[Hour]:[Hour]]&gt;12,OFFSET(TblConstr[[#This Row],[Ly]],-12,0),0)+OFFSET(TblConstr[[#This Row],[Tot Ly]],-1,0)-TblConstr[[#This Row],[Dest Ly]]</f>
        <v>25</v>
      </c>
      <c r="BE75" s="205" t="n">
        <f aca="false" t="array" ref="BE75:BE75">IF(TblConstr[[#This Row],[Hour]:[Hour]]&gt;12,OFFSET(TblConstr[[#This Row],[Hav]],-12,0),0)+OFFSET(TblConstr[[#This Row],[Tot Hav]],-1,0)-TblConstr[[#This Row],[Dest Hav]]</f>
        <v>0</v>
      </c>
      <c r="BF75" s="194" t="n">
        <f aca="false" t="array" ref="BF75:BF75">IF(TblConstr[[#This Row],[Hour]:[Hour]]&gt;12,OFFSET(TblConstr[[#This Row],[OM]],-12,0),0)+OFFSET(TblConstr[[#This Row],[Tot OM]],-1,0)-TblConstr[[#This Row],[Dest OM]]</f>
        <v>0</v>
      </c>
      <c r="BG75" s="194" t="n">
        <f aca="false" t="array" ref="BG75:BG75">IF(TblConstr[[#This Row],[Hour]:[Hour]]&gt;12,OFFSET(TblConstr[[#This Row],[GN]],-12,0),0)+OFFSET(TblConstr[[#This Row],[Tot GN]],-1,0)-TblConstr[[#This Row],[Dest GN]]</f>
        <v>0</v>
      </c>
      <c r="BH75" s="206" t="n">
        <f aca="false" t="array" ref="BH75:BH75">IF(TblConstr[[#This Row],[Hour]:[Hour]]&gt;12,OFFSET(TblConstr[[#This Row],[Fac]],-12,0),0)+OFFSET(TblConstr[[#This Row],[Tot Fac]],-1,0)-TblConstr[[#This Row],[Dest Fac]]</f>
        <v>0</v>
      </c>
      <c r="BI75" s="206" t="n">
        <f aca="false" t="array" ref="BI75:BI75">IF(TblConstr[[#This Row],[Hour]:[Hour]]&gt;12,OFFSET(TblConstr[[#This Row],[GT]],-12,0),0)+OFFSET(TblConstr[[#This Row],[Tot GT]],-1,0)-TblConstr[[#This Row],[Dest GT]]</f>
        <v>5</v>
      </c>
      <c r="BJ75" s="206" t="n">
        <f aca="false" t="array" ref="BJ75:BJ75">IF(TblConstr[[#This Row],[Hour]:[Hour]]&gt;12,OFFSET(TblConstr[[#This Row],[Bar]],-12,0),0)+OFFSET(TblConstr[[#This Row],[Tot Bar]],-1,0)-TblConstr[[#This Row],[Dest Bar]]</f>
        <v>38</v>
      </c>
      <c r="BK75" s="206" t="n">
        <f aca="false" t="array" ref="BK75:BK75">IF(TblConstr[[#This Row],[Hour]:[Hour]]&gt;12,OFFSET(TblConstr[[#This Row],[Shr]],-12,0),0)+OFFSET(TblConstr[[#This Row],[Tot Shr]],-1,0)-TblConstr[[#This Row],[Dest Shr]]</f>
        <v>0</v>
      </c>
      <c r="BL75" s="207" t="n">
        <f aca="false" t="array" ref="BL75:BL75">IF(TblConstr[[#This Row],[Hour]:[Hour]]&gt;12,OFFSET(TblConstr[[#This Row],[Tow]],-12,0),0)+OFFSET(TblConstr[[#This Row],[Tot Tow]],-1,0)-TblConstr[[#This Row],[Dest Tow]]</f>
        <v>29</v>
      </c>
      <c r="BM75" s="207" t="n">
        <f aca="false" t="array" ref="BM75:BM75">IF(TblConstr[[#This Row],[Hour]:[Hour]]&gt;12,OFFSET(TblConstr[[#This Row],[Tem]],-12,0),0)+OFFSET(TblConstr[[#This Row],[Tot Tem]],-1,0)-TblConstr[[#This Row],[Dest Tem]]</f>
        <v>47</v>
      </c>
      <c r="BN75" s="207" t="n">
        <f aca="false" t="array" ref="BN75:BN75">IF(TblConstr[[#This Row],[Hour]:[Hour]]&gt;12,OFFSET(TblConstr[[#This Row],[WG]],-12,0),0)+OFFSET(TblConstr[[#This Row],[Tot WG]],-1,0)-TblConstr[[#This Row],[Dest WG]]</f>
        <v>0</v>
      </c>
      <c r="BO75" s="208" t="n">
        <f aca="false" t="array" ref="BO75:BO75">IF(TblConstr[[#This Row],[Hour]:[Hour]]&gt;12,OFFSET(TblConstr[[#This Row],[DM]],-12,0),0)+OFFSET(TblConstr[[#This Row],[Tot DM]],-1,0)-TblConstr[[#This Row],[Dest DM]]</f>
        <v>0</v>
      </c>
      <c r="BP75" s="208" t="n">
        <f aca="false" t="array" ref="BP75:BP75">IF(TblConstr[[#This Row],[Hour]:[Hour]]&gt;12,OFFSET(TblConstr[[#This Row],[Sch]],-12,0),0)+OFFSET(TblConstr[[#This Row],[Tot Sch]],-1,0)-TblConstr[[#This Row],[Dest Sch]]</f>
        <v>0</v>
      </c>
      <c r="BQ75" s="209" t="n">
        <f aca="false" t="array" ref="BQ75:BQ75">IF(TblConstr[[#This Row],[Hour]:[Hour]]&gt;12,OFFSET(TblConstr[[#This Row],[Doc]],-12,0),0)+OFFSET(TblConstr[[#This Row],[Tot Doc]],-1,0)-TblConstr[[#This Row],[Dest Doc]]</f>
        <v>24</v>
      </c>
      <c r="BR75" s="132"/>
      <c r="BS75" s="146"/>
      <c r="BT75" s="69" t="n">
        <f aca="false">TblConstr[[#This Row],[Land]]</f>
        <v>700</v>
      </c>
      <c r="BU75" s="153" t="n">
        <f aca="false">TblImps[[#This Row],[Time]]</f>
        <v>45432.7083333333</v>
      </c>
      <c r="BV75" s="132"/>
      <c r="BW75" s="182"/>
      <c r="BX75" s="182"/>
      <c r="BY75" s="182"/>
      <c r="BZ75" s="182"/>
      <c r="CA75" s="182"/>
      <c r="CB75" s="182"/>
      <c r="CC75" s="182"/>
      <c r="CD75" s="182"/>
      <c r="CE75" s="182"/>
      <c r="CF75" s="182"/>
      <c r="CG75" s="182"/>
      <c r="CH75" s="182"/>
      <c r="CI75" s="182"/>
      <c r="CJ75" s="182"/>
      <c r="CK75" s="182"/>
      <c r="CL75" s="182"/>
      <c r="CM75" s="182"/>
      <c r="CN75" s="182"/>
      <c r="CO75" s="182"/>
      <c r="CP75" s="132"/>
      <c r="CQ75" s="192" t="n">
        <f aca="false">-SUM(TblConstr[[#This Row],[Alc]:[Mas]])+SUM(TblConstr[[#This Row],[Dest Alc]:[Dest Mas]])+Rezone!L75+IF("Ch_"&amp; home_land=TblConstr[[#Headers],[Ch_Plain]],TblConstr[[#This Row],[Home Land]])+IF(TblConstr[[#This Row],[Hour]:[Hour]]&gt;12,OFFSET(TblExplore[[#This Row],[Plains Explore]],-12,0),0)</f>
        <v>0</v>
      </c>
      <c r="CR75" s="193" t="n">
        <f aca="false">-SUM(TblConstr[[#This Row],[Ly]:[Hav]])+SUM(TblConstr[[#This Row],[Dest Ly]:[Dest Hav]]) +Rezone!M75 + IF("Ch_"&amp; home_land=TblConstr[[#Headers],[Ch_Forest]],TblConstr[[#This Row],[Home Land]])+IF(TblConstr[[#This Row],[Hour]:[Hour]]&gt;12,OFFSET(TblExplore[[#This Row],[Forest Explore]],-12,0),0)</f>
        <v>0</v>
      </c>
      <c r="CS75" s="200" t="n">
        <f aca="false">-SUM(TblConstr[[#This Row],[OM]:[GN]])+SUM(TblConstr[[#This Row],[Dest OM]:[Dest GN]]) +Rezone!N75 + IF("Ch_"&amp; home_land=TblConstr[[#Headers],[Ch_Mountain]],TblConstr[[#This Row],[Home Land]])+IF(TblConstr[[#This Row],[Hour]:[Hour]]&gt;12,OFFSET(TblExplore[[#This Row],[Mountain Explore]],-12,0),0)</f>
        <v>0</v>
      </c>
      <c r="CT75" s="195" t="n">
        <f aca="false">-SUM(TblConstr[[#This Row],[Fac]:[Shr]])+SUM(TblConstr[[#This Row],[Dest Fac]:[Dest Shr]]) +Rezone!O75 + IF("Ch_" &amp; home_land=TblConstr[[#Headers],[Ch_Hill]],TblConstr[[#This Row],[Home Land]])+IF(TblConstr[[#This Row],[Hour]:[Hour]]&gt;12,OFFSET(TblExplore[[#This Row],[Hill Explore]],-12,0),0)</f>
        <v>0</v>
      </c>
      <c r="CU75" s="196" t="n">
        <f aca="false">-SUM(TblConstr[[#This Row],[Tow]:[WG]])+SUM(TblConstr[[#This Row],[Dest Tow]:[Dest WG]]) +Rezone!P75 + IF("Ch_" &amp; home_land=TblConstr[[#Headers],[Ch_Swamp]],TblConstr[[#This Row],[Home Land]])+IF(TblConstr[[#This Row],[Hour]:[Hour]]&gt;12,OFFSET(TblExplore[[#This Row],[Swamp Explore]],-12,0),0)</f>
        <v>0</v>
      </c>
      <c r="CV75" s="197" t="n">
        <f aca="false">- SUM(TblConstr[[#This Row],[DM]:[Sch]])+SUM(TblConstr[[#This Row],[Dest DM]:[Dest Sch]]) +Rezone!Q75 + IF("Ch_" &amp; home_land=TblConstr[[#Headers],[Ch_Cavern]],TblConstr[[#This Row],[Home Land]])+IF(TblConstr[[#This Row],[Hour]:[Hour]]&gt;12,OFFSET(TblExplore[[#This Row],[Cavern Explore]],-12,0),0)</f>
        <v>0</v>
      </c>
      <c r="CW75" s="198" t="n">
        <f aca="false">-TblConstr[[#This Row],[Doc]]+TblConstr[[#This Row],[Dest Doc]] +Rezone!R75 + IF("Ch_" &amp; home_land=TblConstr[[#Headers],[Ch_Water]],TblConstr[[#This Row],[Home Land]])+IF(TblConstr[[#This Row],[Hour]:[Hour]]&gt;12,OFFSET(TblExplore[[#This Row],[Water Explore]],-12,0),0)</f>
        <v>0</v>
      </c>
      <c r="CX75" s="1" t="n">
        <f aca="false">IF(Explore!S75=1,20) - TblConstr[[#This Row],[Hom]] + TblConstr[[#This Row],[Dest Hom]]</f>
        <v>0</v>
      </c>
      <c r="CY75" s="132"/>
      <c r="CZ75" s="69" t="n">
        <f aca="false">G75+SUM(P64:S75)+SUM(AZ75:BC75)</f>
        <v>430</v>
      </c>
      <c r="DA75" s="69" t="n">
        <f aca="false">H75+SUM(T64:U75)+SUM(BD75:BE75)</f>
        <v>25</v>
      </c>
      <c r="DB75" s="1" t="n">
        <f aca="false">I75+SUM(V64:W75)+SUM(BF75:BG75)</f>
        <v>0</v>
      </c>
      <c r="DC75" s="69" t="n">
        <f aca="false">J75+SUM(X64:Y75)+SUM(BH75:BI75)</f>
        <v>55</v>
      </c>
      <c r="DD75" s="69" t="n">
        <f aca="false">K75+SUM(AB64:AD75)+SUM(BL75:BN75)</f>
        <v>76</v>
      </c>
      <c r="DE75" s="1" t="n">
        <f aca="false">L75+SUM(AE64:AE75)+BO75</f>
        <v>0</v>
      </c>
      <c r="DF75" s="69" t="n">
        <f aca="false">M75+SUM(AG64:AG75)+BQ75</f>
        <v>24</v>
      </c>
      <c r="DG75" s="69" t="e">
        <f aca="false" t="array" ref="DG75:DG75">INDEX(TblConstr[[Total Plain]:[Total Water]],ROW()-ROW(TblConstr[#headers]),MATCH("Total "&amp;home_land,TblConstr[[#Headers],[Total Plain]:[Total Water]],0))+TblConstr[[#This Row],[Homes]]</f>
        <v>#VALUE!</v>
      </c>
      <c r="DH75" s="1" t="n">
        <f aca="false">SUM(O64:O75)+AY75</f>
        <v>40</v>
      </c>
      <c r="DI75" s="1" t="n">
        <f aca="false">MAX(BA75-BA74,0)</f>
        <v>0</v>
      </c>
      <c r="DJ75" s="1" t="n">
        <f aca="false">MAX(BQ75-BQ74,0)</f>
        <v>0</v>
      </c>
    </row>
    <row r="76" customFormat="false" ht="12.75" hidden="false" customHeight="false" outlineLevel="0" collapsed="false">
      <c r="A76" s="210" t="n">
        <f aca="false">TblRezone[[#This Row],[Hour]]</f>
        <v>73</v>
      </c>
      <c r="B76" s="211" t="n">
        <f aca="false">SUM(TblConstr[[#This Row],[Plain]:[Water]])</f>
        <v>0</v>
      </c>
      <c r="C76" s="212" t="n">
        <f aca="false">SUM(TblConstr[[#This Row],[Tot Hom]:[Tot Doc]])</f>
        <v>688</v>
      </c>
      <c r="D76" s="212" t="n">
        <f aca="false">SUM(O65:AG76)</f>
        <v>12</v>
      </c>
      <c r="E76" s="213"/>
      <c r="F76" s="214" t="n">
        <f aca="false">TblConstr[[#This Row],[Barren]]+TblConstr[[#This Row],[Buildings]]+TblConstr[[#This Row],[Incoming]]</f>
        <v>700</v>
      </c>
      <c r="G76" s="215" t="n">
        <f aca="false">OFFSET(TblConstr[[#This Row],[Plain]],-1,0)+TblConstr[[#This Row],[Ch_Plain]]</f>
        <v>0</v>
      </c>
      <c r="H76" s="216" t="n">
        <f aca="false">OFFSET(TblConstr[[#This Row],[Forest]],-1,0)+TblConstr[[#This Row],[Ch_Forest]]</f>
        <v>0</v>
      </c>
      <c r="I76" s="217" t="n">
        <f aca="false">OFFSET(TblConstr[[#This Row],[Mountain]],-1,0)+TblConstr[[#This Row],[Ch_Mountain]]</f>
        <v>0</v>
      </c>
      <c r="J76" s="218" t="n">
        <f aca="false">OFFSET(TblConstr[[#This Row],[Hill]],-1,0)+TblConstr[[#This Row],[Ch_Hill]]</f>
        <v>0</v>
      </c>
      <c r="K76" s="219" t="n">
        <f aca="false">OFFSET(TblConstr[[#This Row],[Swamp]],-1,0)+TblConstr[[#This Row],[Ch_Swamp]]</f>
        <v>0</v>
      </c>
      <c r="L76" s="220" t="n">
        <f aca="false">OFFSET(TblConstr[[#This Row],[Cavern]],-1,0)+TblConstr[[#This Row],[Ch_Cavern]]</f>
        <v>0</v>
      </c>
      <c r="M76" s="221" t="n">
        <f aca="false">OFFSET(TblConstr[[#This Row],[Water]],-1,0)+TblConstr[[#This Row],[Ch_Water]]</f>
        <v>0</v>
      </c>
      <c r="N76" s="222" t="n">
        <f aca="false">TblRezone[[#This Row],[Hour]]</f>
        <v>73</v>
      </c>
      <c r="O76" s="223"/>
      <c r="P76" s="223"/>
      <c r="Q76" s="223"/>
      <c r="R76" s="223"/>
      <c r="S76" s="223"/>
      <c r="T76" s="223"/>
      <c r="U76" s="223"/>
      <c r="V76" s="223"/>
      <c r="W76" s="223"/>
      <c r="X76" s="223"/>
      <c r="Y76" s="223"/>
      <c r="Z76" s="223"/>
      <c r="AA76" s="223"/>
      <c r="AB76" s="223"/>
      <c r="AC76" s="223"/>
      <c r="AD76" s="223"/>
      <c r="AE76" s="223"/>
      <c r="AF76" s="223"/>
      <c r="AG76" s="223"/>
      <c r="AH76" s="224" t="n">
        <f aca="false">TblImps[[#This Row],[Time]]</f>
        <v>45432.75</v>
      </c>
      <c r="AI76" s="225" t="n">
        <f aca="false">MIN(25%,(TblConstr[[#This Row],[Tot Fac]]+TblConstr[[#This Row],[Dest Fac]])/(TblConstr[[#This Row],[Land]]-TblExplore[[#This Row],[Land Bonus]]*20))</f>
        <v>0</v>
      </c>
      <c r="AJ76" s="225" t="n">
        <f aca="false">MIN(25%,(TblConstr[[#This Row],[Tot Fac]]+TblConstr[[#This Row],[Dest Fac]])/TblConstr[[#This Row],[Land]])</f>
        <v>0</v>
      </c>
      <c r="AK76" s="226" t="n">
        <f aca="false">TblProd[[#This Row],[Platinum]]</f>
        <v>5612</v>
      </c>
      <c r="AL76" s="226" t="n">
        <f aca="false">TblProd[[#This Row],[Lumber]]</f>
        <v>14045</v>
      </c>
      <c r="AM76" s="226"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6" s="226" t="n">
        <f aca="false">ROUNDDOWN( MAX(1 - MIN(facs_constr_factor*TblConstr[[#This Row],[Facs -DB]],facs_constr_max) + tech_1_11*TblTech[[#This Row],[11-1]] + tech_6_3_2*TblTech[[#This Row],[6-3]] + tech_5_2_3*TblTech[[#This Row],[5-2]], 1-global_constr_cap) * TblConstr[[#This Row],[RCPA Lumber]],0)</f>
        <v>216</v>
      </c>
      <c r="AO76" s="226"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6" s="226" t="n">
        <f aca="false">ROUNDDOWN( MAX(1 - MIN(facs_constr_factor*TblConstr[[#This Row],[Facs DB]],facs_constr_max) + tech_1_11*TblTech[[#This Row],[1-11]] + tech_6_3_2*TblTech[[#This Row],[6-3]] + tech_5_2_3*TblTech[[#This Row],[5-2]], 1-global_constr_cap) * ROUND((TblConstr[[#This Row],[Land]]-250)*0.285 + 87.5 + 0/4.25,0),0)</f>
        <v>216</v>
      </c>
      <c r="AQ76" s="1" t="n">
        <f aca="false">TblConstr[[#This Row],[build -db]]*TblConstr[[#This Row],[CPA Platinum -DB]] + TblConstr[[#This Row],[build db]]*TblConstr[[#This Row],[CPA Platinum DB]]</f>
        <v>0</v>
      </c>
      <c r="AR76" s="1" t="n">
        <f aca="false">TblConstr[[#This Row],[build -db]]*TblConstr[[#This Row],[CPA Lumber -DB]]+TblConstr[[#This Row],[build db]]*TblConstr[[#This Row],[CPA Lumber DB]]</f>
        <v>0</v>
      </c>
      <c r="AS76" s="226" t="n">
        <f aca="false">MIN(SUM(OFFSET(TblConstr[[#This Row],[Plain]:[Water]],-1,0))+SUM(TblConstr[[#This Row],[Dest Hom]:[Dest Doc]])+IF(TblConstr[[#This Row],[Hour]]&gt;12,SUM(OFFSET(TblExplore[[#This Row],[Plains Explore]:[Water Explore]],-12,0)),0),SUM(TblConstr[[#This Row],[Hom]:[Doc]]))</f>
        <v>0</v>
      </c>
      <c r="AT7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38"/>
      <c r="AV76" s="226" t="n">
        <f aca="false">ROUND((TblConstr[[#This Row],[Land]]-250 - IF(TblExplore[[#This Row],[Land Bonus]]&lt;&gt;0,20,0))*1.25 + 850 + 0,0)</f>
        <v>1413</v>
      </c>
      <c r="AW76" s="226" t="n">
        <f aca="false">ROUND((TblConstr[[#This Row],[Land]]-250 - IF(TblExplore[[#This Row],[Land Bonus]]&lt;&gt;0,20,0))*0.285 + 87.5 + 0/4.25,0)</f>
        <v>216</v>
      </c>
      <c r="AX76" s="157"/>
      <c r="AY76" s="227" t="n">
        <f aca="false" t="array" ref="AY76:AY76">IF(TblConstr[[#This Row],[Hour]:[Hour]]&gt;12,OFFSET(TblConstr[[#This Row],[Hom]],-12,0),0)+OFFSET(TblConstr[[#This Row],[Tot Hom]],-1,0)-TblConstr[[#This Row],[Dest Hom]]</f>
        <v>40</v>
      </c>
      <c r="AZ76" s="228" t="n">
        <f aca="false" t="array" ref="AZ76:AZ76">IF(TblConstr[[#This Row],[Hour]:[Hour]]&gt;12,OFFSET(TblConstr[[#This Row],[Alc]],-12,0),0)+OFFSET(TblConstr[[#This Row],[Tot Alc]],-1,0)-TblConstr[[#This Row],[Dest Alc]]</f>
        <v>275</v>
      </c>
      <c r="BA76" s="228" t="n">
        <f aca="false" t="array" ref="BA76:BA76">IF(TblConstr[[#This Row],[Hour]:[Hour]]&gt;12,OFFSET(TblConstr[[#This Row],[Far]],-12,0),0)+OFFSET(TblConstr[[#This Row],[Tot Farm]],-1,0)-TblConstr[[#This Row],[Dest Farm]]</f>
        <v>29</v>
      </c>
      <c r="BB76" s="228" t="n">
        <f aca="false" t="array" ref="BB76:BB76">IF(TblConstr[[#This Row],[Hour]:[Hour]]&gt;12,OFFSET(TblConstr[[#This Row],[Smi]],-12,0),0)+OFFSET(TblConstr[[#This Row],[Tot Smi]],-1,0)-TblConstr[[#This Row],[Dest Smi]]</f>
        <v>126</v>
      </c>
      <c r="BC76" s="228" t="n">
        <f aca="false" t="array" ref="BC76:BC76">IF(TblConstr[[#This Row],[Hour]:[Hour]]&gt;12,OFFSET(TblConstr[[#This Row],[Mas]],-12,0),0)+OFFSET(TblConstr[[#This Row],[Tot Mas]],-1,0)-TblConstr[[#This Row],[Dest Mas]]</f>
        <v>0</v>
      </c>
      <c r="BD76" s="229" t="n">
        <f aca="false" t="array" ref="BD76:BD76">IF(TblConstr[[#This Row],[Hour]:[Hour]]&gt;12,OFFSET(TblConstr[[#This Row],[Ly]],-12,0),0)+OFFSET(TblConstr[[#This Row],[Tot Ly]],-1,0)-TblConstr[[#This Row],[Dest Ly]]</f>
        <v>25</v>
      </c>
      <c r="BE76" s="229" t="n">
        <f aca="false" t="array" ref="BE76:BE76">IF(TblConstr[[#This Row],[Hour]:[Hour]]&gt;12,OFFSET(TblConstr[[#This Row],[Hav]],-12,0),0)+OFFSET(TblConstr[[#This Row],[Tot Hav]],-1,0)-TblConstr[[#This Row],[Dest Hav]]</f>
        <v>0</v>
      </c>
      <c r="BF76" s="230" t="n">
        <f aca="false" t="array" ref="BF76:BF76">IF(TblConstr[[#This Row],[Hour]:[Hour]]&gt;12,OFFSET(TblConstr[[#This Row],[OM]],-12,0),0)+OFFSET(TblConstr[[#This Row],[Tot OM]],-1,0)-TblConstr[[#This Row],[Dest OM]]</f>
        <v>0</v>
      </c>
      <c r="BG76" s="194" t="n">
        <f aca="false" t="array" ref="BG76:BG76">IF(TblConstr[[#This Row],[Hour]:[Hour]]&gt;12,OFFSET(TblConstr[[#This Row],[GN]],-12,0),0)+OFFSET(TblConstr[[#This Row],[Tot GN]],-1,0)-TblConstr[[#This Row],[Dest GN]]</f>
        <v>0</v>
      </c>
      <c r="BH76" s="231" t="n">
        <f aca="false" t="array" ref="BH76:BH76">IF(TblConstr[[#This Row],[Hour]:[Hour]]&gt;12,OFFSET(TblConstr[[#This Row],[Fac]],-12,0),0)+OFFSET(TblConstr[[#This Row],[Tot Fac]],-1,0)-TblConstr[[#This Row],[Dest Fac]]</f>
        <v>0</v>
      </c>
      <c r="BI76" s="231" t="n">
        <f aca="false" t="array" ref="BI76:BI76">IF(TblConstr[[#This Row],[Hour]:[Hour]]&gt;12,OFFSET(TblConstr[[#This Row],[GT]],-12,0),0)+OFFSET(TblConstr[[#This Row],[Tot GT]],-1,0)-TblConstr[[#This Row],[Dest GT]]</f>
        <v>55</v>
      </c>
      <c r="BJ76" s="231" t="n">
        <f aca="false" t="array" ref="BJ76:BJ76">IF(TblConstr[[#This Row],[Hour]:[Hour]]&gt;12,OFFSET(TblConstr[[#This Row],[Bar]],-12,0),0)+OFFSET(TblConstr[[#This Row],[Tot Bar]],-1,0)-TblConstr[[#This Row],[Dest Bar]]</f>
        <v>38</v>
      </c>
      <c r="BK76" s="231" t="n">
        <f aca="false" t="array" ref="BK76:BK76">IF(TblConstr[[#This Row],[Hour]:[Hour]]&gt;12,OFFSET(TblConstr[[#This Row],[Shr]],-12,0),0)+OFFSET(TblConstr[[#This Row],[Tot Shr]],-1,0)-TblConstr[[#This Row],[Dest Shr]]</f>
        <v>0</v>
      </c>
      <c r="BL76" s="232" t="n">
        <f aca="false" t="array" ref="BL76:BL76">IF(TblConstr[[#This Row],[Hour]:[Hour]]&gt;12,OFFSET(TblConstr[[#This Row],[Tow]],-12,0),0)+OFFSET(TblConstr[[#This Row],[Tot Tow]],-1,0)-TblConstr[[#This Row],[Dest Tow]]</f>
        <v>29</v>
      </c>
      <c r="BM76" s="232" t="n">
        <f aca="false" t="array" ref="BM76:BM76">IF(TblConstr[[#This Row],[Hour]:[Hour]]&gt;12,OFFSET(TblConstr[[#This Row],[Tem]],-12,0),0)+OFFSET(TblConstr[[#This Row],[Tot Tem]],-1,0)-TblConstr[[#This Row],[Dest Tem]]</f>
        <v>47</v>
      </c>
      <c r="BN76" s="232" t="n">
        <f aca="false" t="array" ref="BN76:BN76">IF(TblConstr[[#This Row],[Hour]:[Hour]]&gt;12,OFFSET(TblConstr[[#This Row],[WG]],-12,0),0)+OFFSET(TblConstr[[#This Row],[Tot WG]],-1,0)-TblConstr[[#This Row],[Dest WG]]</f>
        <v>0</v>
      </c>
      <c r="BO76" s="233" t="n">
        <f aca="false" t="array" ref="BO76:BO76">IF(TblConstr[[#This Row],[Hour]:[Hour]]&gt;12,OFFSET(TblConstr[[#This Row],[DM]],-12,0),0)+OFFSET(TblConstr[[#This Row],[Tot DM]],-1,0)-TblConstr[[#This Row],[Dest DM]]</f>
        <v>0</v>
      </c>
      <c r="BP76" s="233" t="n">
        <f aca="false" t="array" ref="BP76:BP76">IF(TblConstr[[#This Row],[Hour]:[Hour]]&gt;12,OFFSET(TblConstr[[#This Row],[Sch]],-12,0),0)+OFFSET(TblConstr[[#This Row],[Tot Sch]],-1,0)-TblConstr[[#This Row],[Dest Sch]]</f>
        <v>0</v>
      </c>
      <c r="BQ76" s="234" t="n">
        <f aca="false" t="array" ref="BQ76:BQ76">IF(TblConstr[[#This Row],[Hour]:[Hour]]&gt;12,OFFSET(TblConstr[[#This Row],[Doc]],-12,0),0)+OFFSET(TblConstr[[#This Row],[Tot Doc]],-1,0)-TblConstr[[#This Row],[Dest Doc]]</f>
        <v>24</v>
      </c>
      <c r="BR76" s="138"/>
      <c r="BS76" s="157"/>
      <c r="BT76" s="226" t="n">
        <f aca="false">TblConstr[[#This Row],[Land]]</f>
        <v>700</v>
      </c>
      <c r="BU76" s="235" t="n">
        <f aca="false">TblImps[[#This Row],[Time]]</f>
        <v>45432.75</v>
      </c>
      <c r="BV76" s="138"/>
      <c r="BW76" s="223"/>
      <c r="BX76" s="223"/>
      <c r="BY76" s="223"/>
      <c r="BZ76" s="223"/>
      <c r="CA76" s="223"/>
      <c r="CB76" s="223"/>
      <c r="CC76" s="223"/>
      <c r="CD76" s="223"/>
      <c r="CE76" s="223"/>
      <c r="CF76" s="223"/>
      <c r="CG76" s="223"/>
      <c r="CH76" s="223"/>
      <c r="CI76" s="223"/>
      <c r="CJ76" s="223"/>
      <c r="CK76" s="223"/>
      <c r="CL76" s="223"/>
      <c r="CM76" s="223"/>
      <c r="CN76" s="223"/>
      <c r="CO76" s="223"/>
      <c r="CP76" s="138"/>
      <c r="CQ76" s="236" t="n">
        <f aca="false">-SUM(TblConstr[[#This Row],[Alc]:[Mas]])+SUM(TblConstr[[#This Row],[Dest Alc]:[Dest Mas]])+Rezone!L76+IF("Ch_"&amp; home_land=TblConstr[[#Headers],[Ch_Plain]],TblConstr[[#This Row],[Home Land]])+IF(TblConstr[[#This Row],[Hour]:[Hour]]&gt;12,OFFSET(TblExplore[[#This Row],[Plains Explore]],-12,0),0)</f>
        <v>0</v>
      </c>
      <c r="CR76" s="216" t="n">
        <f aca="false">-SUM(TblConstr[[#This Row],[Ly]:[Hav]])+SUM(TblConstr[[#This Row],[Dest Ly]:[Dest Hav]]) +Rezone!M76 + IF("Ch_"&amp; home_land=TblConstr[[#Headers],[Ch_Forest]],TblConstr[[#This Row],[Home Land]])+IF(TblConstr[[#This Row],[Hour]:[Hour]]&gt;12,OFFSET(TblExplore[[#This Row],[Forest Explore]],-12,0),0)</f>
        <v>0</v>
      </c>
      <c r="CS76" s="217" t="n">
        <f aca="false">-SUM(TblConstr[[#This Row],[OM]:[GN]])+SUM(TblConstr[[#This Row],[Dest OM]:[Dest GN]]) +Rezone!N76 + IF("Ch_"&amp; home_land=TblConstr[[#Headers],[Ch_Mountain]],TblConstr[[#This Row],[Home Land]])+IF(TblConstr[[#This Row],[Hour]:[Hour]]&gt;12,OFFSET(TblExplore[[#This Row],[Mountain Explore]],-12,0),0)</f>
        <v>0</v>
      </c>
      <c r="CT76" s="237" t="n">
        <f aca="false">-SUM(TblConstr[[#This Row],[Fac]:[Shr]])+SUM(TblConstr[[#This Row],[Dest Fac]:[Dest Shr]]) +Rezone!O76 + IF("Ch_" &amp; home_land=TblConstr[[#Headers],[Ch_Hill]],TblConstr[[#This Row],[Home Land]])+IF(TblConstr[[#This Row],[Hour]:[Hour]]&gt;12,OFFSET(TblExplore[[#This Row],[Hill Explore]],-12,0),0)</f>
        <v>0</v>
      </c>
      <c r="CU76" s="238" t="n">
        <f aca="false">-SUM(TblConstr[[#This Row],[Tow]:[WG]])+SUM(TblConstr[[#This Row],[Dest Tow]:[Dest WG]]) +Rezone!P76 + IF("Ch_" &amp; home_land=TblConstr[[#Headers],[Ch_Swamp]],TblConstr[[#This Row],[Home Land]])+IF(TblConstr[[#This Row],[Hour]:[Hour]]&gt;12,OFFSET(TblExplore[[#This Row],[Swamp Explore]],-12,0),0)</f>
        <v>0</v>
      </c>
      <c r="CV76" s="220" t="n">
        <f aca="false">- SUM(TblConstr[[#This Row],[DM]:[Sch]])+SUM(TblConstr[[#This Row],[Dest DM]:[Dest Sch]]) +Rezone!Q76 + IF("Ch_" &amp; home_land=TblConstr[[#Headers],[Ch_Cavern]],TblConstr[[#This Row],[Home Land]])+IF(TblConstr[[#This Row],[Hour]:[Hour]]&gt;12,OFFSET(TblExplore[[#This Row],[Cavern Explore]],-12,0),0)</f>
        <v>0</v>
      </c>
      <c r="CW76" s="221" t="n">
        <f aca="false">-TblConstr[[#This Row],[Doc]]+TblConstr[[#This Row],[Dest Doc]] +Rezone!R76 + IF("Ch_" &amp; home_land=TblConstr[[#Headers],[Ch_Water]],TblConstr[[#This Row],[Home Land]])+IF(TblConstr[[#This Row],[Hour]:[Hour]]&gt;12,OFFSET(TblExplore[[#This Row],[Water Explore]],-12,0),0)</f>
        <v>0</v>
      </c>
      <c r="CX76" s="239" t="n">
        <f aca="false">IF(Explore!S76=1,20) - TblConstr[[#This Row],[Hom]] + TblConstr[[#This Row],[Dest Hom]]</f>
        <v>0</v>
      </c>
      <c r="CY76" s="138"/>
      <c r="CZ76" s="226" t="n">
        <f aca="false">G76+SUM(P65:S76)+SUM(AZ76:BC76)</f>
        <v>430</v>
      </c>
      <c r="DA76" s="226" t="n">
        <f aca="false">H76+SUM(T65:U76)+SUM(BD76:BE76)</f>
        <v>25</v>
      </c>
      <c r="DB76" s="239" t="n">
        <f aca="false">I76+SUM(V65:W76)+SUM(BF76:BG76)</f>
        <v>0</v>
      </c>
      <c r="DC76" s="226" t="n">
        <f aca="false">J76+SUM(X65:Y76)+SUM(BH76:BI76)</f>
        <v>55</v>
      </c>
      <c r="DD76" s="226" t="n">
        <f aca="false">K76+SUM(AB65:AD76)+SUM(BL76:BN76)</f>
        <v>76</v>
      </c>
      <c r="DE76" s="239" t="n">
        <f aca="false">L76+SUM(AE65:AE76)+BO76</f>
        <v>0</v>
      </c>
      <c r="DF76" s="226" t="n">
        <f aca="false">M76+SUM(AG65:AG76)+BQ76</f>
        <v>24</v>
      </c>
      <c r="DG76" s="226" t="e">
        <f aca="false" t="array" ref="DG76:DG76">INDEX(TblConstr[[Total Plain]:[Total Water]],ROW()-ROW(TblConstr[#headers]),MATCH("Total "&amp;home_land,TblConstr[[#Headers],[Total Plain]:[Total Water]],0))+TblConstr[[#This Row],[Homes]]</f>
        <v>#VALUE!</v>
      </c>
      <c r="DH76" s="239" t="n">
        <f aca="false">SUM(O65:O76)+AY76</f>
        <v>40</v>
      </c>
      <c r="DI76" s="239" t="n">
        <f aca="false">MAX(BA76-BA75,0)</f>
        <v>0</v>
      </c>
      <c r="DJ76" s="239" t="n">
        <f aca="false">MAX(BQ76-BQ75,0)</f>
        <v>0</v>
      </c>
    </row>
    <row r="77" customFormat="false" ht="12.75" hidden="false" customHeight="false" outlineLevel="0" collapsed="false">
      <c r="A77" s="170" t="n">
        <f aca="false">TblRezone[[#This Row],[Hour]]</f>
        <v>74</v>
      </c>
      <c r="B77" s="171" t="n">
        <f aca="false">SUM(TblConstr[[#This Row],[Plain]:[Water]])</f>
        <v>0</v>
      </c>
      <c r="C77" s="172" t="n">
        <f aca="false">SUM(TblConstr[[#This Row],[Tot Hom]:[Tot Doc]])</f>
        <v>693</v>
      </c>
      <c r="D77" s="172" t="n">
        <f aca="false">SUM(O66:AG77)</f>
        <v>7</v>
      </c>
      <c r="E77" s="173"/>
      <c r="F77" s="33" t="n">
        <f aca="false">TblConstr[[#This Row],[Barren]]+TblConstr[[#This Row],[Buildings]]+TblConstr[[#This Row],[Incoming]]</f>
        <v>700</v>
      </c>
      <c r="G77" s="199" t="n">
        <f aca="false">OFFSET(TblConstr[[#This Row],[Plain]],-1,0)+TblConstr[[#This Row],[Ch_Plain]]</f>
        <v>0</v>
      </c>
      <c r="H77" s="193" t="n">
        <f aca="false">OFFSET(TblConstr[[#This Row],[Forest]],-1,0)+TblConstr[[#This Row],[Ch_Forest]]</f>
        <v>0</v>
      </c>
      <c r="I77" s="200" t="n">
        <f aca="false">OFFSET(TblConstr[[#This Row],[Mountain]],-1,0)+TblConstr[[#This Row],[Ch_Mountain]]</f>
        <v>0</v>
      </c>
      <c r="J77" s="201" t="n">
        <f aca="false">OFFSET(TblConstr[[#This Row],[Hill]],-1,0)+TblConstr[[#This Row],[Ch_Hill]]</f>
        <v>0</v>
      </c>
      <c r="K77" s="202" t="n">
        <f aca="false">OFFSET(TblConstr[[#This Row],[Swamp]],-1,0)+TblConstr[[#This Row],[Ch_Swamp]]</f>
        <v>0</v>
      </c>
      <c r="L77" s="197" t="n">
        <f aca="false">OFFSET(TblConstr[[#This Row],[Cavern]],-1,0)+TblConstr[[#This Row],[Ch_Cavern]]</f>
        <v>0</v>
      </c>
      <c r="M77" s="198" t="n">
        <f aca="false">OFFSET(TblConstr[[#This Row],[Water]],-1,0)+TblConstr[[#This Row],[Ch_Water]]</f>
        <v>0</v>
      </c>
      <c r="N77" s="181" t="n">
        <f aca="false">TblRezone[[#This Row],[Hour]]</f>
        <v>74</v>
      </c>
      <c r="O77" s="182"/>
      <c r="P77" s="182"/>
      <c r="Q77" s="182"/>
      <c r="R77" s="182"/>
      <c r="S77" s="182"/>
      <c r="T77" s="182"/>
      <c r="U77" s="182"/>
      <c r="V77" s="182"/>
      <c r="W77" s="182"/>
      <c r="X77" s="182"/>
      <c r="Y77" s="182"/>
      <c r="Z77" s="182"/>
      <c r="AA77" s="182"/>
      <c r="AB77" s="182"/>
      <c r="AC77" s="182"/>
      <c r="AD77" s="182"/>
      <c r="AE77" s="182"/>
      <c r="AF77" s="182"/>
      <c r="AG77" s="182"/>
      <c r="AH77" s="20" t="n">
        <f aca="false">TblImps[[#This Row],[Time]]</f>
        <v>45432.7916666667</v>
      </c>
      <c r="AI77" s="130" t="n">
        <f aca="false">MIN(25%,(TblConstr[[#This Row],[Tot Fac]]+TblConstr[[#This Row],[Dest Fac]])/(TblConstr[[#This Row],[Land]]-TblExplore[[#This Row],[Land Bonus]]*20))</f>
        <v>0</v>
      </c>
      <c r="AJ77" s="130" t="n">
        <f aca="false">MIN(25%,(TblConstr[[#This Row],[Tot Fac]]+TblConstr[[#This Row],[Dest Fac]])/TblConstr[[#This Row],[Land]])</f>
        <v>0</v>
      </c>
      <c r="AK77" s="69" t="n">
        <f aca="false">TblProd[[#This Row],[Platinum]]</f>
        <v>13360</v>
      </c>
      <c r="AL77" s="69" t="n">
        <f aca="false">TblProd[[#This Row],[Lumber]]</f>
        <v>15030</v>
      </c>
      <c r="AM7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7" s="69" t="n">
        <f aca="false">ROUNDDOWN( MAX(1 - MIN(facs_constr_factor*TblConstr[[#This Row],[Facs -DB]],facs_constr_max) + tech_1_11*TblTech[[#This Row],[11-1]] + tech_6_3_2*TblTech[[#This Row],[6-3]] + tech_5_2_3*TblTech[[#This Row],[5-2]], 1-global_constr_cap) * TblConstr[[#This Row],[RCPA Lumber]],0)</f>
        <v>216</v>
      </c>
      <c r="AO7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7" s="69" t="n">
        <f aca="false">ROUNDDOWN( MAX(1 - MIN(facs_constr_factor*TblConstr[[#This Row],[Facs DB]],facs_constr_max) + tech_1_11*TblTech[[#This Row],[1-11]] + tech_6_3_2*TblTech[[#This Row],[6-3]] + tech_5_2_3*TblTech[[#This Row],[5-2]], 1-global_constr_cap) * ROUND((TblConstr[[#This Row],[Land]]-250)*0.285 + 87.5 + 0/4.25,0),0)</f>
        <v>216</v>
      </c>
      <c r="AQ77" s="1" t="n">
        <f aca="false">TblConstr[[#This Row],[build -db]]*TblConstr[[#This Row],[CPA Platinum -DB]] + TblConstr[[#This Row],[build db]]*TblConstr[[#This Row],[CPA Platinum DB]]</f>
        <v>0</v>
      </c>
      <c r="AR77" s="1" t="n">
        <f aca="false">TblConstr[[#This Row],[build -db]]*TblConstr[[#This Row],[CPA Lumber -DB]]+TblConstr[[#This Row],[build db]]*TblConstr[[#This Row],[CPA Lumber DB]]</f>
        <v>0</v>
      </c>
      <c r="AS77" s="69" t="n">
        <f aca="false">MIN(SUM(OFFSET(TblConstr[[#This Row],[Plain]:[Water]],-1,0))+SUM(TblConstr[[#This Row],[Dest Hom]:[Dest Doc]])+IF(TblConstr[[#This Row],[Hour]]&gt;12,SUM(OFFSET(TblExplore[[#This Row],[Plains Explore]:[Water Explore]],-12,0)),0),SUM(TblConstr[[#This Row],[Hom]:[Doc]]))</f>
        <v>0</v>
      </c>
      <c r="AT7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32"/>
      <c r="AV77" s="69" t="n">
        <f aca="false">ROUND((TblConstr[[#This Row],[Land]]-250 - IF(TblExplore[[#This Row],[Land Bonus]]&lt;&gt;0,20,0))*1.25 + 850 + 0,0)</f>
        <v>1413</v>
      </c>
      <c r="AW77" s="69" t="n">
        <f aca="false">ROUND((TblConstr[[#This Row],[Land]]-250 - IF(TblExplore[[#This Row],[Land Bonus]]&lt;&gt;0,20,0))*0.285 + 87.5 + 0/4.25,0)</f>
        <v>216</v>
      </c>
      <c r="AX77" s="146"/>
      <c r="AY77" s="203" t="n">
        <f aca="false" t="array" ref="AY77:AY77">IF(TblConstr[[#This Row],[Hour]:[Hour]]&gt;12,OFFSET(TblConstr[[#This Row],[Hom]],-12,0),0)+OFFSET(TblConstr[[#This Row],[Tot Hom]],-1,0)-TblConstr[[#This Row],[Dest Hom]]</f>
        <v>40</v>
      </c>
      <c r="AZ77" s="204" t="n">
        <f aca="false" t="array" ref="AZ77:AZ77">IF(TblConstr[[#This Row],[Hour]:[Hour]]&gt;12,OFFSET(TblConstr[[#This Row],[Alc]],-12,0),0)+OFFSET(TblConstr[[#This Row],[Tot Alc]],-1,0)-TblConstr[[#This Row],[Dest Alc]]</f>
        <v>275</v>
      </c>
      <c r="BA77" s="204" t="n">
        <f aca="false" t="array" ref="BA77:BA77">IF(TblConstr[[#This Row],[Hour]:[Hour]]&gt;12,OFFSET(TblConstr[[#This Row],[Far]],-12,0),0)+OFFSET(TblConstr[[#This Row],[Tot Farm]],-1,0)-TblConstr[[#This Row],[Dest Farm]]</f>
        <v>29</v>
      </c>
      <c r="BB77" s="204" t="n">
        <f aca="false" t="array" ref="BB77:BB77">IF(TblConstr[[#This Row],[Hour]:[Hour]]&gt;12,OFFSET(TblConstr[[#This Row],[Smi]],-12,0),0)+OFFSET(TblConstr[[#This Row],[Tot Smi]],-1,0)-TblConstr[[#This Row],[Dest Smi]]</f>
        <v>126</v>
      </c>
      <c r="BC77" s="204" t="n">
        <f aca="false" t="array" ref="BC77:BC77">IF(TblConstr[[#This Row],[Hour]:[Hour]]&gt;12,OFFSET(TblConstr[[#This Row],[Mas]],-12,0),0)+OFFSET(TblConstr[[#This Row],[Tot Mas]],-1,0)-TblConstr[[#This Row],[Dest Mas]]</f>
        <v>0</v>
      </c>
      <c r="BD77" s="205" t="n">
        <f aca="false" t="array" ref="BD77:BD77">IF(TblConstr[[#This Row],[Hour]:[Hour]]&gt;12,OFFSET(TblConstr[[#This Row],[Ly]],-12,0),0)+OFFSET(TblConstr[[#This Row],[Tot Ly]],-1,0)-TblConstr[[#This Row],[Dest Ly]]</f>
        <v>25</v>
      </c>
      <c r="BE77" s="205" t="n">
        <f aca="false" t="array" ref="BE77:BE77">IF(TblConstr[[#This Row],[Hour]:[Hour]]&gt;12,OFFSET(TblConstr[[#This Row],[Hav]],-12,0),0)+OFFSET(TblConstr[[#This Row],[Tot Hav]],-1,0)-TblConstr[[#This Row],[Dest Hav]]</f>
        <v>0</v>
      </c>
      <c r="BF77" s="194" t="n">
        <f aca="false" t="array" ref="BF77:BF77">IF(TblConstr[[#This Row],[Hour]:[Hour]]&gt;12,OFFSET(TblConstr[[#This Row],[OM]],-12,0),0)+OFFSET(TblConstr[[#This Row],[Tot OM]],-1,0)-TblConstr[[#This Row],[Dest OM]]</f>
        <v>0</v>
      </c>
      <c r="BG77" s="194" t="n">
        <f aca="false" t="array" ref="BG77:BG77">IF(TblConstr[[#This Row],[Hour]:[Hour]]&gt;12,OFFSET(TblConstr[[#This Row],[GN]],-12,0),0)+OFFSET(TblConstr[[#This Row],[Tot GN]],-1,0)-TblConstr[[#This Row],[Dest GN]]</f>
        <v>0</v>
      </c>
      <c r="BH77" s="206" t="n">
        <f aca="false" t="array" ref="BH77:BH77">IF(TblConstr[[#This Row],[Hour]:[Hour]]&gt;12,OFFSET(TblConstr[[#This Row],[Fac]],-12,0),0)+OFFSET(TblConstr[[#This Row],[Tot Fac]],-1,0)-TblConstr[[#This Row],[Dest Fac]]</f>
        <v>0</v>
      </c>
      <c r="BI77" s="206" t="n">
        <f aca="false" t="array" ref="BI77:BI77">IF(TblConstr[[#This Row],[Hour]:[Hour]]&gt;12,OFFSET(TblConstr[[#This Row],[GT]],-12,0),0)+OFFSET(TblConstr[[#This Row],[Tot GT]],-1,0)-TblConstr[[#This Row],[Dest GT]]</f>
        <v>55</v>
      </c>
      <c r="BJ77" s="206" t="n">
        <f aca="false" t="array" ref="BJ77:BJ77">IF(TblConstr[[#This Row],[Hour]:[Hour]]&gt;12,OFFSET(TblConstr[[#This Row],[Bar]],-12,0),0)+OFFSET(TblConstr[[#This Row],[Tot Bar]],-1,0)-TblConstr[[#This Row],[Dest Bar]]</f>
        <v>43</v>
      </c>
      <c r="BK77" s="206" t="n">
        <f aca="false" t="array" ref="BK77:BK77">IF(TblConstr[[#This Row],[Hour]:[Hour]]&gt;12,OFFSET(TblConstr[[#This Row],[Shr]],-12,0),0)+OFFSET(TblConstr[[#This Row],[Tot Shr]],-1,0)-TblConstr[[#This Row],[Dest Shr]]</f>
        <v>0</v>
      </c>
      <c r="BL77" s="207" t="n">
        <f aca="false" t="array" ref="BL77:BL77">IF(TblConstr[[#This Row],[Hour]:[Hour]]&gt;12,OFFSET(TblConstr[[#This Row],[Tow]],-12,0),0)+OFFSET(TblConstr[[#This Row],[Tot Tow]],-1,0)-TblConstr[[#This Row],[Dest Tow]]</f>
        <v>29</v>
      </c>
      <c r="BM77" s="207" t="n">
        <f aca="false" t="array" ref="BM77:BM77">IF(TblConstr[[#This Row],[Hour]:[Hour]]&gt;12,OFFSET(TblConstr[[#This Row],[Tem]],-12,0),0)+OFFSET(TblConstr[[#This Row],[Tot Tem]],-1,0)-TblConstr[[#This Row],[Dest Tem]]</f>
        <v>47</v>
      </c>
      <c r="BN77" s="207" t="n">
        <f aca="false" t="array" ref="BN77:BN77">IF(TblConstr[[#This Row],[Hour]:[Hour]]&gt;12,OFFSET(TblConstr[[#This Row],[WG]],-12,0),0)+OFFSET(TblConstr[[#This Row],[Tot WG]],-1,0)-TblConstr[[#This Row],[Dest WG]]</f>
        <v>0</v>
      </c>
      <c r="BO77" s="208" t="n">
        <f aca="false" t="array" ref="BO77:BO77">IF(TblConstr[[#This Row],[Hour]:[Hour]]&gt;12,OFFSET(TblConstr[[#This Row],[DM]],-12,0),0)+OFFSET(TblConstr[[#This Row],[Tot DM]],-1,0)-TblConstr[[#This Row],[Dest DM]]</f>
        <v>0</v>
      </c>
      <c r="BP77" s="208" t="n">
        <f aca="false" t="array" ref="BP77:BP77">IF(TblConstr[[#This Row],[Hour]:[Hour]]&gt;12,OFFSET(TblConstr[[#This Row],[Sch]],-12,0),0)+OFFSET(TblConstr[[#This Row],[Tot Sch]],-1,0)-TblConstr[[#This Row],[Dest Sch]]</f>
        <v>0</v>
      </c>
      <c r="BQ77" s="209" t="n">
        <f aca="false" t="array" ref="BQ77:BQ77">IF(TblConstr[[#This Row],[Hour]:[Hour]]&gt;12,OFFSET(TblConstr[[#This Row],[Doc]],-12,0),0)+OFFSET(TblConstr[[#This Row],[Tot Doc]],-1,0)-TblConstr[[#This Row],[Dest Doc]]</f>
        <v>24</v>
      </c>
      <c r="BR77" s="132"/>
      <c r="BS77" s="146"/>
      <c r="BT77" s="69" t="n">
        <f aca="false">TblConstr[[#This Row],[Land]]</f>
        <v>700</v>
      </c>
      <c r="BU77" s="153" t="n">
        <f aca="false">TblImps[[#This Row],[Time]]</f>
        <v>45432.7916666667</v>
      </c>
      <c r="BV77" s="132"/>
      <c r="BW77" s="182"/>
      <c r="BX77" s="182"/>
      <c r="BY77" s="182"/>
      <c r="BZ77" s="182"/>
      <c r="CA77" s="182"/>
      <c r="CB77" s="182"/>
      <c r="CC77" s="182"/>
      <c r="CD77" s="182"/>
      <c r="CE77" s="182"/>
      <c r="CF77" s="182"/>
      <c r="CG77" s="182"/>
      <c r="CH77" s="182"/>
      <c r="CI77" s="182"/>
      <c r="CJ77" s="182"/>
      <c r="CK77" s="182"/>
      <c r="CL77" s="182"/>
      <c r="CM77" s="182"/>
      <c r="CN77" s="182"/>
      <c r="CO77" s="182"/>
      <c r="CP77" s="132"/>
      <c r="CQ77" s="192" t="n">
        <f aca="false">-SUM(TblConstr[[#This Row],[Alc]:[Mas]])+SUM(TblConstr[[#This Row],[Dest Alc]:[Dest Mas]])+Rezone!L77+IF("Ch_"&amp; home_land=TblConstr[[#Headers],[Ch_Plain]],TblConstr[[#This Row],[Home Land]])+IF(TblConstr[[#This Row],[Hour]:[Hour]]&gt;12,OFFSET(TblExplore[[#This Row],[Plains Explore]],-12,0),0)</f>
        <v>0</v>
      </c>
      <c r="CR77" s="193" t="n">
        <f aca="false">-SUM(TblConstr[[#This Row],[Ly]:[Hav]])+SUM(TblConstr[[#This Row],[Dest Ly]:[Dest Hav]]) +Rezone!M77 + IF("Ch_"&amp; home_land=TblConstr[[#Headers],[Ch_Forest]],TblConstr[[#This Row],[Home Land]])+IF(TblConstr[[#This Row],[Hour]:[Hour]]&gt;12,OFFSET(TblExplore[[#This Row],[Forest Explore]],-12,0),0)</f>
        <v>0</v>
      </c>
      <c r="CS77" s="200" t="n">
        <f aca="false">-SUM(TblConstr[[#This Row],[OM]:[GN]])+SUM(TblConstr[[#This Row],[Dest OM]:[Dest GN]]) +Rezone!N77 + IF("Ch_"&amp; home_land=TblConstr[[#Headers],[Ch_Mountain]],TblConstr[[#This Row],[Home Land]])+IF(TblConstr[[#This Row],[Hour]:[Hour]]&gt;12,OFFSET(TblExplore[[#This Row],[Mountain Explore]],-12,0),0)</f>
        <v>0</v>
      </c>
      <c r="CT77" s="195" t="n">
        <f aca="false">-SUM(TblConstr[[#This Row],[Fac]:[Shr]])+SUM(TblConstr[[#This Row],[Dest Fac]:[Dest Shr]]) +Rezone!O77 + IF("Ch_" &amp; home_land=TblConstr[[#Headers],[Ch_Hill]],TblConstr[[#This Row],[Home Land]])+IF(TblConstr[[#This Row],[Hour]:[Hour]]&gt;12,OFFSET(TblExplore[[#This Row],[Hill Explore]],-12,0),0)</f>
        <v>0</v>
      </c>
      <c r="CU77" s="196" t="n">
        <f aca="false">-SUM(TblConstr[[#This Row],[Tow]:[WG]])+SUM(TblConstr[[#This Row],[Dest Tow]:[Dest WG]]) +Rezone!P77 + IF("Ch_" &amp; home_land=TblConstr[[#Headers],[Ch_Swamp]],TblConstr[[#This Row],[Home Land]])+IF(TblConstr[[#This Row],[Hour]:[Hour]]&gt;12,OFFSET(TblExplore[[#This Row],[Swamp Explore]],-12,0),0)</f>
        <v>0</v>
      </c>
      <c r="CV77" s="197" t="n">
        <f aca="false">- SUM(TblConstr[[#This Row],[DM]:[Sch]])+SUM(TblConstr[[#This Row],[Dest DM]:[Dest Sch]]) +Rezone!Q77 + IF("Ch_" &amp; home_land=TblConstr[[#Headers],[Ch_Cavern]],TblConstr[[#This Row],[Home Land]])+IF(TblConstr[[#This Row],[Hour]:[Hour]]&gt;12,OFFSET(TblExplore[[#This Row],[Cavern Explore]],-12,0),0)</f>
        <v>0</v>
      </c>
      <c r="CW77" s="198" t="n">
        <f aca="false">-TblConstr[[#This Row],[Doc]]+TblConstr[[#This Row],[Dest Doc]] +Rezone!R77 + IF("Ch_" &amp; home_land=TblConstr[[#Headers],[Ch_Water]],TblConstr[[#This Row],[Home Land]])+IF(TblConstr[[#This Row],[Hour]:[Hour]]&gt;12,OFFSET(TblExplore[[#This Row],[Water Explore]],-12,0),0)</f>
        <v>0</v>
      </c>
      <c r="CX77" s="1" t="n">
        <f aca="false">IF(Explore!S77=1,20) - TblConstr[[#This Row],[Hom]] + TblConstr[[#This Row],[Dest Hom]]</f>
        <v>0</v>
      </c>
      <c r="CY77" s="132"/>
      <c r="CZ77" s="69" t="n">
        <f aca="false">G77+SUM(P66:S77)+SUM(AZ77:BC77)</f>
        <v>430</v>
      </c>
      <c r="DA77" s="69" t="n">
        <f aca="false">H77+SUM(T66:U77)+SUM(BD77:BE77)</f>
        <v>25</v>
      </c>
      <c r="DB77" s="1" t="n">
        <f aca="false">I77+SUM(V66:W77)+SUM(BF77:BG77)</f>
        <v>0</v>
      </c>
      <c r="DC77" s="69" t="n">
        <f aca="false">J77+SUM(X66:Y77)+SUM(BH77:BI77)</f>
        <v>55</v>
      </c>
      <c r="DD77" s="69" t="n">
        <f aca="false">K77+SUM(AB66:AD77)+SUM(BL77:BN77)</f>
        <v>76</v>
      </c>
      <c r="DE77" s="1" t="n">
        <f aca="false">L77+SUM(AE66:AE77)+BO77</f>
        <v>0</v>
      </c>
      <c r="DF77" s="69" t="n">
        <f aca="false">M77+SUM(AG66:AG77)+BQ77</f>
        <v>24</v>
      </c>
      <c r="DG77" s="69" t="e">
        <f aca="false" t="array" ref="DG77:DG77">INDEX(TblConstr[[Total Plain]:[Total Water]],ROW()-ROW(TblConstr[#headers]),MATCH("Total "&amp;home_land,TblConstr[[#Headers],[Total Plain]:[Total Water]],0))+TblConstr[[#This Row],[Homes]]</f>
        <v>#VALUE!</v>
      </c>
      <c r="DH77" s="1" t="n">
        <f aca="false">SUM(O66:O77)+AY77</f>
        <v>40</v>
      </c>
      <c r="DI77" s="69" t="n">
        <f aca="false">MAX(BA77-BA76,0)</f>
        <v>0</v>
      </c>
      <c r="DJ77" s="1" t="n">
        <f aca="false">MAX(BQ77-BQ76,0)</f>
        <v>0</v>
      </c>
    </row>
    <row r="78" customFormat="false" ht="12.75" hidden="false" customHeight="false" outlineLevel="0" collapsed="false">
      <c r="A78" s="170" t="n">
        <f aca="false">TblRezone[[#This Row],[Hour]]</f>
        <v>75</v>
      </c>
      <c r="B78" s="171" t="n">
        <f aca="false">SUM(TblConstr[[#This Row],[Plain]:[Water]])</f>
        <v>0</v>
      </c>
      <c r="C78" s="172" t="n">
        <f aca="false">SUM(TblConstr[[#This Row],[Tot Hom]:[Tot Doc]])</f>
        <v>698</v>
      </c>
      <c r="D78" s="172" t="n">
        <f aca="false">SUM(O67:AG78)</f>
        <v>2</v>
      </c>
      <c r="E78" s="173"/>
      <c r="F78" s="33" t="n">
        <f aca="false">TblConstr[[#This Row],[Barren]]+TblConstr[[#This Row],[Buildings]]+TblConstr[[#This Row],[Incoming]]</f>
        <v>700</v>
      </c>
      <c r="G78" s="199" t="n">
        <f aca="false">OFFSET(TblConstr[[#This Row],[Plain]],-1,0)+TblConstr[[#This Row],[Ch_Plain]]</f>
        <v>0</v>
      </c>
      <c r="H78" s="193" t="n">
        <f aca="false">OFFSET(TblConstr[[#This Row],[Forest]],-1,0)+TblConstr[[#This Row],[Ch_Forest]]</f>
        <v>0</v>
      </c>
      <c r="I78" s="200" t="n">
        <f aca="false">OFFSET(TblConstr[[#This Row],[Mountain]],-1,0)+TblConstr[[#This Row],[Ch_Mountain]]</f>
        <v>0</v>
      </c>
      <c r="J78" s="201" t="n">
        <f aca="false">OFFSET(TblConstr[[#This Row],[Hill]],-1,0)+TblConstr[[#This Row],[Ch_Hill]]</f>
        <v>0</v>
      </c>
      <c r="K78" s="202" t="n">
        <f aca="false">OFFSET(TblConstr[[#This Row],[Swamp]],-1,0)+TblConstr[[#This Row],[Ch_Swamp]]</f>
        <v>0</v>
      </c>
      <c r="L78" s="197" t="n">
        <f aca="false">OFFSET(TblConstr[[#This Row],[Cavern]],-1,0)+TblConstr[[#This Row],[Ch_Cavern]]</f>
        <v>0</v>
      </c>
      <c r="M78" s="198" t="n">
        <f aca="false">OFFSET(TblConstr[[#This Row],[Water]],-1,0)+TblConstr[[#This Row],[Ch_Water]]</f>
        <v>0</v>
      </c>
      <c r="N78" s="181" t="n">
        <f aca="false">TblRezone[[#This Row],[Hour]]</f>
        <v>75</v>
      </c>
      <c r="O78" s="182"/>
      <c r="P78" s="182"/>
      <c r="Q78" s="182"/>
      <c r="R78" s="182"/>
      <c r="S78" s="182"/>
      <c r="T78" s="182"/>
      <c r="U78" s="182"/>
      <c r="V78" s="182"/>
      <c r="W78" s="182"/>
      <c r="X78" s="182"/>
      <c r="Y78" s="182"/>
      <c r="Z78" s="182"/>
      <c r="AA78" s="182"/>
      <c r="AB78" s="182"/>
      <c r="AC78" s="182"/>
      <c r="AD78" s="182"/>
      <c r="AE78" s="182"/>
      <c r="AF78" s="182"/>
      <c r="AG78" s="182"/>
      <c r="AH78" s="20" t="n">
        <f aca="false">TblImps[[#This Row],[Time]]</f>
        <v>45432.8333333333</v>
      </c>
      <c r="AI78" s="130" t="n">
        <f aca="false">MIN(25%,(TblConstr[[#This Row],[Tot Fac]]+TblConstr[[#This Row],[Dest Fac]])/(TblConstr[[#This Row],[Land]]-TblExplore[[#This Row],[Land Bonus]]*20))</f>
        <v>0</v>
      </c>
      <c r="AJ78" s="130" t="n">
        <f aca="false">MIN(25%,(TblConstr[[#This Row],[Tot Fac]]+TblConstr[[#This Row],[Dest Fac]])/TblConstr[[#This Row],[Land]])</f>
        <v>0</v>
      </c>
      <c r="AK78" s="69" t="n">
        <f aca="false">TblProd[[#This Row],[Platinum]]</f>
        <v>41111</v>
      </c>
      <c r="AL78" s="69" t="n">
        <f aca="false">TblProd[[#This Row],[Lumber]]</f>
        <v>16005</v>
      </c>
      <c r="AM7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8" s="69" t="n">
        <f aca="false">ROUNDDOWN( MAX(1 - MIN(facs_constr_factor*TblConstr[[#This Row],[Facs -DB]],facs_constr_max) + tech_1_11*TblTech[[#This Row],[11-1]] + tech_6_3_2*TblTech[[#This Row],[6-3]] + tech_5_2_3*TblTech[[#This Row],[5-2]], 1-global_constr_cap) * TblConstr[[#This Row],[RCPA Lumber]],0)</f>
        <v>216</v>
      </c>
      <c r="AO7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8" s="69" t="n">
        <f aca="false">ROUNDDOWN( MAX(1 - MIN(facs_constr_factor*TblConstr[[#This Row],[Facs DB]],facs_constr_max) + tech_1_11*TblTech[[#This Row],[1-11]] + tech_6_3_2*TblTech[[#This Row],[6-3]] + tech_5_2_3*TblTech[[#This Row],[5-2]], 1-global_constr_cap) * ROUND((TblConstr[[#This Row],[Land]]-250)*0.285 + 87.5 + 0/4.25,0),0)</f>
        <v>216</v>
      </c>
      <c r="AQ78" s="1" t="n">
        <f aca="false">TblConstr[[#This Row],[build -db]]*TblConstr[[#This Row],[CPA Platinum -DB]] + TblConstr[[#This Row],[build db]]*TblConstr[[#This Row],[CPA Platinum DB]]</f>
        <v>0</v>
      </c>
      <c r="AR78" s="1" t="n">
        <f aca="false">TblConstr[[#This Row],[build -db]]*TblConstr[[#This Row],[CPA Lumber -DB]]+TblConstr[[#This Row],[build db]]*TblConstr[[#This Row],[CPA Lumber DB]]</f>
        <v>0</v>
      </c>
      <c r="AS78" s="69" t="n">
        <f aca="false">MIN(SUM(OFFSET(TblConstr[[#This Row],[Plain]:[Water]],-1,0))+SUM(TblConstr[[#This Row],[Dest Hom]:[Dest Doc]])+IF(TblConstr[[#This Row],[Hour]]&gt;12,SUM(OFFSET(TblExplore[[#This Row],[Plains Explore]:[Water Explore]],-12,0)),0),SUM(TblConstr[[#This Row],[Hom]:[Doc]]))</f>
        <v>0</v>
      </c>
      <c r="AT7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32"/>
      <c r="AV78" s="69" t="n">
        <f aca="false">ROUND((TblConstr[[#This Row],[Land]]-250 - IF(TblExplore[[#This Row],[Land Bonus]]&lt;&gt;0,20,0))*1.25 + 850 + 0,0)</f>
        <v>1413</v>
      </c>
      <c r="AW78" s="69" t="n">
        <f aca="false">ROUND((TblConstr[[#This Row],[Land]]-250 - IF(TblExplore[[#This Row],[Land Bonus]]&lt;&gt;0,20,0))*0.285 + 87.5 + 0/4.25,0)</f>
        <v>216</v>
      </c>
      <c r="AX78" s="146"/>
      <c r="AY78" s="203" t="n">
        <f aca="false" t="array" ref="AY78:AY78">IF(TblConstr[[#This Row],[Hour]:[Hour]]&gt;12,OFFSET(TblConstr[[#This Row],[Hom]],-12,0),0)+OFFSET(TblConstr[[#This Row],[Tot Hom]],-1,0)-TblConstr[[#This Row],[Dest Hom]]</f>
        <v>40</v>
      </c>
      <c r="AZ78" s="204" t="n">
        <f aca="false" t="array" ref="AZ78:AZ78">IF(TblConstr[[#This Row],[Hour]:[Hour]]&gt;12,OFFSET(TblConstr[[#This Row],[Alc]],-12,0),0)+OFFSET(TblConstr[[#This Row],[Tot Alc]],-1,0)-TblConstr[[#This Row],[Dest Alc]]</f>
        <v>275</v>
      </c>
      <c r="BA78" s="204" t="n">
        <f aca="false" t="array" ref="BA78:BA78">IF(TblConstr[[#This Row],[Hour]:[Hour]]&gt;12,OFFSET(TblConstr[[#This Row],[Far]],-12,0),0)+OFFSET(TblConstr[[#This Row],[Tot Farm]],-1,0)-TblConstr[[#This Row],[Dest Farm]]</f>
        <v>29</v>
      </c>
      <c r="BB78" s="204" t="n">
        <f aca="false" t="array" ref="BB78:BB78">IF(TblConstr[[#This Row],[Hour]:[Hour]]&gt;12,OFFSET(TblConstr[[#This Row],[Smi]],-12,0),0)+OFFSET(TblConstr[[#This Row],[Tot Smi]],-1,0)-TblConstr[[#This Row],[Dest Smi]]</f>
        <v>126</v>
      </c>
      <c r="BC78" s="204" t="n">
        <f aca="false" t="array" ref="BC78:BC78">IF(TblConstr[[#This Row],[Hour]:[Hour]]&gt;12,OFFSET(TblConstr[[#This Row],[Mas]],-12,0),0)+OFFSET(TblConstr[[#This Row],[Tot Mas]],-1,0)-TblConstr[[#This Row],[Dest Mas]]</f>
        <v>0</v>
      </c>
      <c r="BD78" s="205" t="n">
        <f aca="false" t="array" ref="BD78:BD78">IF(TblConstr[[#This Row],[Hour]:[Hour]]&gt;12,OFFSET(TblConstr[[#This Row],[Ly]],-12,0),0)+OFFSET(TblConstr[[#This Row],[Tot Ly]],-1,0)-TblConstr[[#This Row],[Dest Ly]]</f>
        <v>25</v>
      </c>
      <c r="BE78" s="205" t="n">
        <f aca="false" t="array" ref="BE78:BE78">IF(TblConstr[[#This Row],[Hour]:[Hour]]&gt;12,OFFSET(TblConstr[[#This Row],[Hav]],-12,0),0)+OFFSET(TblConstr[[#This Row],[Tot Hav]],-1,0)-TblConstr[[#This Row],[Dest Hav]]</f>
        <v>0</v>
      </c>
      <c r="BF78" s="194" t="n">
        <f aca="false" t="array" ref="BF78:BF78">IF(TblConstr[[#This Row],[Hour]:[Hour]]&gt;12,OFFSET(TblConstr[[#This Row],[OM]],-12,0),0)+OFFSET(TblConstr[[#This Row],[Tot OM]],-1,0)-TblConstr[[#This Row],[Dest OM]]</f>
        <v>0</v>
      </c>
      <c r="BG78" s="194" t="n">
        <f aca="false" t="array" ref="BG78:BG78">IF(TblConstr[[#This Row],[Hour]:[Hour]]&gt;12,OFFSET(TblConstr[[#This Row],[GN]],-12,0),0)+OFFSET(TblConstr[[#This Row],[Tot GN]],-1,0)-TblConstr[[#This Row],[Dest GN]]</f>
        <v>0</v>
      </c>
      <c r="BH78" s="206" t="n">
        <f aca="false" t="array" ref="BH78:BH78">IF(TblConstr[[#This Row],[Hour]:[Hour]]&gt;12,OFFSET(TblConstr[[#This Row],[Fac]],-12,0),0)+OFFSET(TblConstr[[#This Row],[Tot Fac]],-1,0)-TblConstr[[#This Row],[Dest Fac]]</f>
        <v>0</v>
      </c>
      <c r="BI78" s="206" t="n">
        <f aca="false" t="array" ref="BI78:BI78">IF(TblConstr[[#This Row],[Hour]:[Hour]]&gt;12,OFFSET(TblConstr[[#This Row],[GT]],-12,0),0)+OFFSET(TblConstr[[#This Row],[Tot GT]],-1,0)-TblConstr[[#This Row],[Dest GT]]</f>
        <v>55</v>
      </c>
      <c r="BJ78" s="206" t="n">
        <f aca="false" t="array" ref="BJ78:BJ78">IF(TblConstr[[#This Row],[Hour]:[Hour]]&gt;12,OFFSET(TblConstr[[#This Row],[Bar]],-12,0),0)+OFFSET(TblConstr[[#This Row],[Tot Bar]],-1,0)-TblConstr[[#This Row],[Dest Bar]]</f>
        <v>48</v>
      </c>
      <c r="BK78" s="206" t="n">
        <f aca="false" t="array" ref="BK78:BK78">IF(TblConstr[[#This Row],[Hour]:[Hour]]&gt;12,OFFSET(TblConstr[[#This Row],[Shr]],-12,0),0)+OFFSET(TblConstr[[#This Row],[Tot Shr]],-1,0)-TblConstr[[#This Row],[Dest Shr]]</f>
        <v>0</v>
      </c>
      <c r="BL78" s="207" t="n">
        <f aca="false" t="array" ref="BL78:BL78">IF(TblConstr[[#This Row],[Hour]:[Hour]]&gt;12,OFFSET(TblConstr[[#This Row],[Tow]],-12,0),0)+OFFSET(TblConstr[[#This Row],[Tot Tow]],-1,0)-TblConstr[[#This Row],[Dest Tow]]</f>
        <v>29</v>
      </c>
      <c r="BM78" s="207" t="n">
        <f aca="false" t="array" ref="BM78:BM78">IF(TblConstr[[#This Row],[Hour]:[Hour]]&gt;12,OFFSET(TblConstr[[#This Row],[Tem]],-12,0),0)+OFFSET(TblConstr[[#This Row],[Tot Tem]],-1,0)-TblConstr[[#This Row],[Dest Tem]]</f>
        <v>47</v>
      </c>
      <c r="BN78" s="207" t="n">
        <f aca="false" t="array" ref="BN78:BN78">IF(TblConstr[[#This Row],[Hour]:[Hour]]&gt;12,OFFSET(TblConstr[[#This Row],[WG]],-12,0),0)+OFFSET(TblConstr[[#This Row],[Tot WG]],-1,0)-TblConstr[[#This Row],[Dest WG]]</f>
        <v>0</v>
      </c>
      <c r="BO78" s="208" t="n">
        <f aca="false" t="array" ref="BO78:BO78">IF(TblConstr[[#This Row],[Hour]:[Hour]]&gt;12,OFFSET(TblConstr[[#This Row],[DM]],-12,0),0)+OFFSET(TblConstr[[#This Row],[Tot DM]],-1,0)-TblConstr[[#This Row],[Dest DM]]</f>
        <v>0</v>
      </c>
      <c r="BP78" s="208" t="n">
        <f aca="false" t="array" ref="BP78:BP78">IF(TblConstr[[#This Row],[Hour]:[Hour]]&gt;12,OFFSET(TblConstr[[#This Row],[Sch]],-12,0),0)+OFFSET(TblConstr[[#This Row],[Tot Sch]],-1,0)-TblConstr[[#This Row],[Dest Sch]]</f>
        <v>0</v>
      </c>
      <c r="BQ78" s="209" t="n">
        <f aca="false" t="array" ref="BQ78:BQ78">IF(TblConstr[[#This Row],[Hour]:[Hour]]&gt;12,OFFSET(TblConstr[[#This Row],[Doc]],-12,0),0)+OFFSET(TblConstr[[#This Row],[Tot Doc]],-1,0)-TblConstr[[#This Row],[Dest Doc]]</f>
        <v>24</v>
      </c>
      <c r="BR78" s="132"/>
      <c r="BS78" s="146"/>
      <c r="BT78" s="69" t="n">
        <f aca="false">TblConstr[[#This Row],[Land]]</f>
        <v>700</v>
      </c>
      <c r="BU78" s="153" t="n">
        <f aca="false">TblImps[[#This Row],[Time]]</f>
        <v>45432.8333333333</v>
      </c>
      <c r="BV78" s="132"/>
      <c r="BW78" s="182"/>
      <c r="BX78" s="182"/>
      <c r="BY78" s="182"/>
      <c r="BZ78" s="182"/>
      <c r="CA78" s="182"/>
      <c r="CB78" s="182"/>
      <c r="CC78" s="182"/>
      <c r="CD78" s="182"/>
      <c r="CE78" s="182"/>
      <c r="CF78" s="182"/>
      <c r="CG78" s="182"/>
      <c r="CH78" s="182"/>
      <c r="CI78" s="182"/>
      <c r="CJ78" s="182"/>
      <c r="CK78" s="182"/>
      <c r="CL78" s="182"/>
      <c r="CM78" s="182"/>
      <c r="CN78" s="182"/>
      <c r="CO78" s="182"/>
      <c r="CP78" s="132"/>
      <c r="CQ78" s="192" t="n">
        <f aca="false">-SUM(TblConstr[[#This Row],[Alc]:[Mas]])+SUM(TblConstr[[#This Row],[Dest Alc]:[Dest Mas]])+Rezone!L78+IF("Ch_"&amp; home_land=TblConstr[[#Headers],[Ch_Plain]],TblConstr[[#This Row],[Home Land]])+IF(TblConstr[[#This Row],[Hour]:[Hour]]&gt;12,OFFSET(TblExplore[[#This Row],[Plains Explore]],-12,0),0)</f>
        <v>0</v>
      </c>
      <c r="CR78" s="193" t="n">
        <f aca="false">-SUM(TblConstr[[#This Row],[Ly]:[Hav]])+SUM(TblConstr[[#This Row],[Dest Ly]:[Dest Hav]]) +Rezone!M78 + IF("Ch_"&amp; home_land=TblConstr[[#Headers],[Ch_Forest]],TblConstr[[#This Row],[Home Land]])+IF(TblConstr[[#This Row],[Hour]:[Hour]]&gt;12,OFFSET(TblExplore[[#This Row],[Forest Explore]],-12,0),0)</f>
        <v>0</v>
      </c>
      <c r="CS78" s="200" t="n">
        <f aca="false">-SUM(TblConstr[[#This Row],[OM]:[GN]])+SUM(TblConstr[[#This Row],[Dest OM]:[Dest GN]]) +Rezone!N78 + IF("Ch_"&amp; home_land=TblConstr[[#Headers],[Ch_Mountain]],TblConstr[[#This Row],[Home Land]])+IF(TblConstr[[#This Row],[Hour]:[Hour]]&gt;12,OFFSET(TblExplore[[#This Row],[Mountain Explore]],-12,0),0)</f>
        <v>0</v>
      </c>
      <c r="CT78" s="195" t="n">
        <f aca="false">-SUM(TblConstr[[#This Row],[Fac]:[Shr]])+SUM(TblConstr[[#This Row],[Dest Fac]:[Dest Shr]]) +Rezone!O78 + IF("Ch_" &amp; home_land=TblConstr[[#Headers],[Ch_Hill]],TblConstr[[#This Row],[Home Land]])+IF(TblConstr[[#This Row],[Hour]:[Hour]]&gt;12,OFFSET(TblExplore[[#This Row],[Hill Explore]],-12,0),0)</f>
        <v>0</v>
      </c>
      <c r="CU78" s="196" t="n">
        <f aca="false">-SUM(TblConstr[[#This Row],[Tow]:[WG]])+SUM(TblConstr[[#This Row],[Dest Tow]:[Dest WG]]) +Rezone!P78 + IF("Ch_" &amp; home_land=TblConstr[[#Headers],[Ch_Swamp]],TblConstr[[#This Row],[Home Land]])+IF(TblConstr[[#This Row],[Hour]:[Hour]]&gt;12,OFFSET(TblExplore[[#This Row],[Swamp Explore]],-12,0),0)</f>
        <v>0</v>
      </c>
      <c r="CV78" s="197" t="n">
        <f aca="false">- SUM(TblConstr[[#This Row],[DM]:[Sch]])+SUM(TblConstr[[#This Row],[Dest DM]:[Dest Sch]]) +Rezone!Q78 + IF("Ch_" &amp; home_land=TblConstr[[#Headers],[Ch_Cavern]],TblConstr[[#This Row],[Home Land]])+IF(TblConstr[[#This Row],[Hour]:[Hour]]&gt;12,OFFSET(TblExplore[[#This Row],[Cavern Explore]],-12,0),0)</f>
        <v>0</v>
      </c>
      <c r="CW78" s="198" t="n">
        <f aca="false">-TblConstr[[#This Row],[Doc]]+TblConstr[[#This Row],[Dest Doc]] +Rezone!R78 + IF("Ch_" &amp; home_land=TblConstr[[#Headers],[Ch_Water]],TblConstr[[#This Row],[Home Land]])+IF(TblConstr[[#This Row],[Hour]:[Hour]]&gt;12,OFFSET(TblExplore[[#This Row],[Water Explore]],-12,0),0)</f>
        <v>0</v>
      </c>
      <c r="CX78" s="1" t="n">
        <f aca="false">IF(Explore!S78=1,20) - TblConstr[[#This Row],[Hom]] + TblConstr[[#This Row],[Dest Hom]]</f>
        <v>0</v>
      </c>
      <c r="CY78" s="132"/>
      <c r="CZ78" s="69" t="n">
        <f aca="false">G78+SUM(P67:S78)+SUM(AZ78:BC78)</f>
        <v>430</v>
      </c>
      <c r="DA78" s="69" t="n">
        <f aca="false">H78+SUM(T67:U78)+SUM(BD78:BE78)</f>
        <v>25</v>
      </c>
      <c r="DB78" s="1" t="n">
        <f aca="false">I78+SUM(V67:W78)+SUM(BF78:BG78)</f>
        <v>0</v>
      </c>
      <c r="DC78" s="69" t="n">
        <f aca="false">J78+SUM(X67:Y78)+SUM(BH78:BI78)</f>
        <v>55</v>
      </c>
      <c r="DD78" s="69" t="n">
        <f aca="false">K78+SUM(AB67:AD78)+SUM(BL78:BN78)</f>
        <v>76</v>
      </c>
      <c r="DE78" s="1" t="n">
        <f aca="false">L78+SUM(AE67:AE78)+BO78</f>
        <v>0</v>
      </c>
      <c r="DF78" s="69" t="n">
        <f aca="false">M78+SUM(AG67:AG78)+BQ78</f>
        <v>24</v>
      </c>
      <c r="DG78" s="69" t="e">
        <f aca="false" t="array" ref="DG78:DG78">INDEX(TblConstr[[Total Plain]:[Total Water]],ROW()-ROW(TblConstr[#headers]),MATCH("Total "&amp;home_land,TblConstr[[#Headers],[Total Plain]:[Total Water]],0))+TblConstr[[#This Row],[Homes]]</f>
        <v>#VALUE!</v>
      </c>
      <c r="DH78" s="1" t="n">
        <f aca="false">SUM(O67:O78)+AY78</f>
        <v>40</v>
      </c>
      <c r="DI78" s="1" t="n">
        <f aca="false">MAX(BA78-BA77,0)</f>
        <v>0</v>
      </c>
      <c r="DJ78" s="1" t="n">
        <f aca="false">MAX(BQ78-BQ77,0)</f>
        <v>0</v>
      </c>
    </row>
    <row r="79" customFormat="false" ht="12.75" hidden="false" customHeight="false" outlineLevel="0" collapsed="false">
      <c r="A79" s="170" t="n">
        <f aca="false">TblRezone[[#This Row],[Hour]]</f>
        <v>76</v>
      </c>
      <c r="B79" s="171" t="n">
        <f aca="false">SUM(TblConstr[[#This Row],[Plain]:[Water]])</f>
        <v>0</v>
      </c>
      <c r="C79" s="172" t="n">
        <f aca="false">SUM(TblConstr[[#This Row],[Tot Hom]:[Tot Doc]])</f>
        <v>700</v>
      </c>
      <c r="D79" s="172" t="n">
        <f aca="false">SUM(O68:AG79)</f>
        <v>0</v>
      </c>
      <c r="E79" s="173"/>
      <c r="F79" s="33" t="n">
        <f aca="false">TblConstr[[#This Row],[Barren]]+TblConstr[[#This Row],[Buildings]]+TblConstr[[#This Row],[Incoming]]</f>
        <v>700</v>
      </c>
      <c r="G79" s="199" t="n">
        <f aca="false">OFFSET(TblConstr[[#This Row],[Plain]],-1,0)+TblConstr[[#This Row],[Ch_Plain]]</f>
        <v>0</v>
      </c>
      <c r="H79" s="193" t="n">
        <f aca="false">OFFSET(TblConstr[[#This Row],[Forest]],-1,0)+TblConstr[[#This Row],[Ch_Forest]]</f>
        <v>0</v>
      </c>
      <c r="I79" s="200" t="n">
        <f aca="false">OFFSET(TblConstr[[#This Row],[Mountain]],-1,0)+TblConstr[[#This Row],[Ch_Mountain]]</f>
        <v>0</v>
      </c>
      <c r="J79" s="201" t="n">
        <f aca="false">OFFSET(TblConstr[[#This Row],[Hill]],-1,0)+TblConstr[[#This Row],[Ch_Hill]]</f>
        <v>0</v>
      </c>
      <c r="K79" s="202" t="n">
        <f aca="false">OFFSET(TblConstr[[#This Row],[Swamp]],-1,0)+TblConstr[[#This Row],[Ch_Swamp]]</f>
        <v>0</v>
      </c>
      <c r="L79" s="197" t="n">
        <f aca="false">OFFSET(TblConstr[[#This Row],[Cavern]],-1,0)+TblConstr[[#This Row],[Ch_Cavern]]</f>
        <v>0</v>
      </c>
      <c r="M79" s="198" t="n">
        <f aca="false">OFFSET(TblConstr[[#This Row],[Water]],-1,0)+TblConstr[[#This Row],[Ch_Water]]</f>
        <v>0</v>
      </c>
      <c r="N79" s="181" t="n">
        <f aca="false">TblRezone[[#This Row],[Hour]]</f>
        <v>76</v>
      </c>
      <c r="O79" s="182"/>
      <c r="P79" s="182"/>
      <c r="Q79" s="182"/>
      <c r="R79" s="182"/>
      <c r="S79" s="182"/>
      <c r="T79" s="182"/>
      <c r="U79" s="182"/>
      <c r="V79" s="182"/>
      <c r="W79" s="182"/>
      <c r="X79" s="182"/>
      <c r="Y79" s="182"/>
      <c r="Z79" s="182"/>
      <c r="AA79" s="182"/>
      <c r="AB79" s="182"/>
      <c r="AC79" s="182"/>
      <c r="AD79" s="182"/>
      <c r="AE79" s="182"/>
      <c r="AF79" s="182"/>
      <c r="AG79" s="182"/>
      <c r="AH79" s="20" t="n">
        <f aca="false">TblImps[[#This Row],[Time]]</f>
        <v>45432.875</v>
      </c>
      <c r="AI79" s="130" t="n">
        <f aca="false">MIN(25%,(TblConstr[[#This Row],[Tot Fac]]+TblConstr[[#This Row],[Dest Fac]])/(TblConstr[[#This Row],[Land]]-TblExplore[[#This Row],[Land Bonus]]*20))</f>
        <v>0</v>
      </c>
      <c r="AJ79" s="130" t="n">
        <f aca="false">MIN(25%,(TblConstr[[#This Row],[Tot Fac]]+TblConstr[[#This Row],[Dest Fac]])/TblConstr[[#This Row],[Land]])</f>
        <v>0</v>
      </c>
      <c r="AK79" s="69" t="n">
        <f aca="false">TblProd[[#This Row],[Platinum]]</f>
        <v>68865</v>
      </c>
      <c r="AL79" s="69" t="n">
        <f aca="false">TblProd[[#This Row],[Lumber]]</f>
        <v>16970</v>
      </c>
      <c r="AM7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9" s="69" t="n">
        <f aca="false">ROUNDDOWN( MAX(1 - MIN(facs_constr_factor*TblConstr[[#This Row],[Facs -DB]],facs_constr_max) + tech_1_11*TblTech[[#This Row],[11-1]] + tech_6_3_2*TblTech[[#This Row],[6-3]] + tech_5_2_3*TblTech[[#This Row],[5-2]], 1-global_constr_cap) * TblConstr[[#This Row],[RCPA Lumber]],0)</f>
        <v>216</v>
      </c>
      <c r="AO7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9" s="69" t="n">
        <f aca="false">ROUNDDOWN( MAX(1 - MIN(facs_constr_factor*TblConstr[[#This Row],[Facs DB]],facs_constr_max) + tech_1_11*TblTech[[#This Row],[1-11]] + tech_6_3_2*TblTech[[#This Row],[6-3]] + tech_5_2_3*TblTech[[#This Row],[5-2]], 1-global_constr_cap) * ROUND((TblConstr[[#This Row],[Land]]-250)*0.285 + 87.5 + 0/4.25,0),0)</f>
        <v>216</v>
      </c>
      <c r="AQ79" s="1" t="n">
        <f aca="false">TblConstr[[#This Row],[build -db]]*TblConstr[[#This Row],[CPA Platinum -DB]] + TblConstr[[#This Row],[build db]]*TblConstr[[#This Row],[CPA Platinum DB]]</f>
        <v>0</v>
      </c>
      <c r="AR79" s="1" t="n">
        <f aca="false">TblConstr[[#This Row],[build -db]]*TblConstr[[#This Row],[CPA Lumber -DB]]+TblConstr[[#This Row],[build db]]*TblConstr[[#This Row],[CPA Lumber DB]]</f>
        <v>0</v>
      </c>
      <c r="AS79" s="69" t="n">
        <f aca="false">MIN(SUM(OFFSET(TblConstr[[#This Row],[Plain]:[Water]],-1,0))+SUM(TblConstr[[#This Row],[Dest Hom]:[Dest Doc]])+IF(TblConstr[[#This Row],[Hour]]&gt;12,SUM(OFFSET(TblExplore[[#This Row],[Plains Explore]:[Water Explore]],-12,0)),0),SUM(TblConstr[[#This Row],[Hom]:[Doc]]))</f>
        <v>0</v>
      </c>
      <c r="AT7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32"/>
      <c r="AV79" s="69" t="n">
        <f aca="false">ROUND((TblConstr[[#This Row],[Land]]-250 - IF(TblExplore[[#This Row],[Land Bonus]]&lt;&gt;0,20,0))*1.25 + 850 + 0,0)</f>
        <v>1413</v>
      </c>
      <c r="AW79" s="69" t="n">
        <f aca="false">ROUND((TblConstr[[#This Row],[Land]]-250 - IF(TblExplore[[#This Row],[Land Bonus]]&lt;&gt;0,20,0))*0.285 + 87.5 + 0/4.25,0)</f>
        <v>216</v>
      </c>
      <c r="AX79" s="146"/>
      <c r="AY79" s="203" t="n">
        <f aca="false" t="array" ref="AY79:AY79">IF(TblConstr[[#This Row],[Hour]:[Hour]]&gt;12,OFFSET(TblConstr[[#This Row],[Hom]],-12,0),0)+OFFSET(TblConstr[[#This Row],[Tot Hom]],-1,0)-TblConstr[[#This Row],[Dest Hom]]</f>
        <v>40</v>
      </c>
      <c r="AZ79" s="204" t="n">
        <f aca="false" t="array" ref="AZ79:AZ79">IF(TblConstr[[#This Row],[Hour]:[Hour]]&gt;12,OFFSET(TblConstr[[#This Row],[Alc]],-12,0),0)+OFFSET(TblConstr[[#This Row],[Tot Alc]],-1,0)-TblConstr[[#This Row],[Dest Alc]]</f>
        <v>275</v>
      </c>
      <c r="BA79" s="204" t="n">
        <f aca="false" t="array" ref="BA79:BA79">IF(TblConstr[[#This Row],[Hour]:[Hour]]&gt;12,OFFSET(TblConstr[[#This Row],[Far]],-12,0),0)+OFFSET(TblConstr[[#This Row],[Tot Farm]],-1,0)-TblConstr[[#This Row],[Dest Farm]]</f>
        <v>29</v>
      </c>
      <c r="BB79" s="204" t="n">
        <f aca="false" t="array" ref="BB79:BB79">IF(TblConstr[[#This Row],[Hour]:[Hour]]&gt;12,OFFSET(TblConstr[[#This Row],[Smi]],-12,0),0)+OFFSET(TblConstr[[#This Row],[Tot Smi]],-1,0)-TblConstr[[#This Row],[Dest Smi]]</f>
        <v>126</v>
      </c>
      <c r="BC79" s="204" t="n">
        <f aca="false" t="array" ref="BC79:BC79">IF(TblConstr[[#This Row],[Hour]:[Hour]]&gt;12,OFFSET(TblConstr[[#This Row],[Mas]],-12,0),0)+OFFSET(TblConstr[[#This Row],[Tot Mas]],-1,0)-TblConstr[[#This Row],[Dest Mas]]</f>
        <v>0</v>
      </c>
      <c r="BD79" s="205" t="n">
        <f aca="false" t="array" ref="BD79:BD79">IF(TblConstr[[#This Row],[Hour]:[Hour]]&gt;12,OFFSET(TblConstr[[#This Row],[Ly]],-12,0),0)+OFFSET(TblConstr[[#This Row],[Tot Ly]],-1,0)-TblConstr[[#This Row],[Dest Ly]]</f>
        <v>25</v>
      </c>
      <c r="BE79" s="205" t="n">
        <f aca="false" t="array" ref="BE79:BE79">IF(TblConstr[[#This Row],[Hour]:[Hour]]&gt;12,OFFSET(TblConstr[[#This Row],[Hav]],-12,0),0)+OFFSET(TblConstr[[#This Row],[Tot Hav]],-1,0)-TblConstr[[#This Row],[Dest Hav]]</f>
        <v>0</v>
      </c>
      <c r="BF79" s="194" t="n">
        <f aca="false" t="array" ref="BF79:BF79">IF(TblConstr[[#This Row],[Hour]:[Hour]]&gt;12,OFFSET(TblConstr[[#This Row],[OM]],-12,0),0)+OFFSET(TblConstr[[#This Row],[Tot OM]],-1,0)-TblConstr[[#This Row],[Dest OM]]</f>
        <v>0</v>
      </c>
      <c r="BG79" s="194" t="n">
        <f aca="false" t="array" ref="BG79:BG79">IF(TblConstr[[#This Row],[Hour]:[Hour]]&gt;12,OFFSET(TblConstr[[#This Row],[GN]],-12,0),0)+OFFSET(TblConstr[[#This Row],[Tot GN]],-1,0)-TblConstr[[#This Row],[Dest GN]]</f>
        <v>0</v>
      </c>
      <c r="BH79" s="206" t="n">
        <f aca="false" t="array" ref="BH79:BH79">IF(TblConstr[[#This Row],[Hour]:[Hour]]&gt;12,OFFSET(TblConstr[[#This Row],[Fac]],-12,0),0)+OFFSET(TblConstr[[#This Row],[Tot Fac]],-1,0)-TblConstr[[#This Row],[Dest Fac]]</f>
        <v>0</v>
      </c>
      <c r="BI79" s="206" t="n">
        <f aca="false" t="array" ref="BI79:BI79">IF(TblConstr[[#This Row],[Hour]:[Hour]]&gt;12,OFFSET(TblConstr[[#This Row],[GT]],-12,0),0)+OFFSET(TblConstr[[#This Row],[Tot GT]],-1,0)-TblConstr[[#This Row],[Dest GT]]</f>
        <v>55</v>
      </c>
      <c r="BJ79" s="206" t="n">
        <f aca="false" t="array" ref="BJ79:BJ79">IF(TblConstr[[#This Row],[Hour]:[Hour]]&gt;12,OFFSET(TblConstr[[#This Row],[Bar]],-12,0),0)+OFFSET(TblConstr[[#This Row],[Tot Bar]],-1,0)-TblConstr[[#This Row],[Dest Bar]]</f>
        <v>50</v>
      </c>
      <c r="BK79" s="206" t="n">
        <f aca="false" t="array" ref="BK79:BK79">IF(TblConstr[[#This Row],[Hour]:[Hour]]&gt;12,OFFSET(TblConstr[[#This Row],[Shr]],-12,0),0)+OFFSET(TblConstr[[#This Row],[Tot Shr]],-1,0)-TblConstr[[#This Row],[Dest Shr]]</f>
        <v>0</v>
      </c>
      <c r="BL79" s="207" t="n">
        <f aca="false" t="array" ref="BL79:BL79">IF(TblConstr[[#This Row],[Hour]:[Hour]]&gt;12,OFFSET(TblConstr[[#This Row],[Tow]],-12,0),0)+OFFSET(TblConstr[[#This Row],[Tot Tow]],-1,0)-TblConstr[[#This Row],[Dest Tow]]</f>
        <v>29</v>
      </c>
      <c r="BM79" s="207" t="n">
        <f aca="false" t="array" ref="BM79:BM79">IF(TblConstr[[#This Row],[Hour]:[Hour]]&gt;12,OFFSET(TblConstr[[#This Row],[Tem]],-12,0),0)+OFFSET(TblConstr[[#This Row],[Tot Tem]],-1,0)-TblConstr[[#This Row],[Dest Tem]]</f>
        <v>47</v>
      </c>
      <c r="BN79" s="207" t="n">
        <f aca="false" t="array" ref="BN79:BN79">IF(TblConstr[[#This Row],[Hour]:[Hour]]&gt;12,OFFSET(TblConstr[[#This Row],[WG]],-12,0),0)+OFFSET(TblConstr[[#This Row],[Tot WG]],-1,0)-TblConstr[[#This Row],[Dest WG]]</f>
        <v>0</v>
      </c>
      <c r="BO79" s="208" t="n">
        <f aca="false" t="array" ref="BO79:BO79">IF(TblConstr[[#This Row],[Hour]:[Hour]]&gt;12,OFFSET(TblConstr[[#This Row],[DM]],-12,0),0)+OFFSET(TblConstr[[#This Row],[Tot DM]],-1,0)-TblConstr[[#This Row],[Dest DM]]</f>
        <v>0</v>
      </c>
      <c r="BP79" s="208" t="n">
        <f aca="false" t="array" ref="BP79:BP79">IF(TblConstr[[#This Row],[Hour]:[Hour]]&gt;12,OFFSET(TblConstr[[#This Row],[Sch]],-12,0),0)+OFFSET(TblConstr[[#This Row],[Tot Sch]],-1,0)-TblConstr[[#This Row],[Dest Sch]]</f>
        <v>0</v>
      </c>
      <c r="BQ79" s="209" t="n">
        <f aca="false" t="array" ref="BQ79:BQ79">IF(TblConstr[[#This Row],[Hour]:[Hour]]&gt;12,OFFSET(TblConstr[[#This Row],[Doc]],-12,0),0)+OFFSET(TblConstr[[#This Row],[Tot Doc]],-1,0)-TblConstr[[#This Row],[Dest Doc]]</f>
        <v>24</v>
      </c>
      <c r="BR79" s="132"/>
      <c r="BS79" s="146"/>
      <c r="BT79" s="69" t="n">
        <f aca="false">TblConstr[[#This Row],[Land]]</f>
        <v>700</v>
      </c>
      <c r="BU79" s="153" t="n">
        <f aca="false">TblImps[[#This Row],[Time]]</f>
        <v>45432.875</v>
      </c>
      <c r="BV79" s="132"/>
      <c r="BW79" s="182"/>
      <c r="BX79" s="182"/>
      <c r="BY79" s="182"/>
      <c r="BZ79" s="182"/>
      <c r="CA79" s="182"/>
      <c r="CB79" s="182"/>
      <c r="CC79" s="182"/>
      <c r="CD79" s="182"/>
      <c r="CE79" s="182"/>
      <c r="CF79" s="182"/>
      <c r="CG79" s="182"/>
      <c r="CH79" s="182"/>
      <c r="CI79" s="182"/>
      <c r="CJ79" s="182"/>
      <c r="CK79" s="182"/>
      <c r="CL79" s="182"/>
      <c r="CM79" s="182"/>
      <c r="CN79" s="182"/>
      <c r="CO79" s="182"/>
      <c r="CP79" s="132"/>
      <c r="CQ79" s="192" t="n">
        <f aca="false">-SUM(TblConstr[[#This Row],[Alc]:[Mas]])+SUM(TblConstr[[#This Row],[Dest Alc]:[Dest Mas]])+Rezone!L79+IF("Ch_"&amp; home_land=TblConstr[[#Headers],[Ch_Plain]],TblConstr[[#This Row],[Home Land]])+IF(TblConstr[[#This Row],[Hour]:[Hour]]&gt;12,OFFSET(TblExplore[[#This Row],[Plains Explore]],-12,0),0)</f>
        <v>0</v>
      </c>
      <c r="CR79" s="193" t="n">
        <f aca="false">-SUM(TblConstr[[#This Row],[Ly]:[Hav]])+SUM(TblConstr[[#This Row],[Dest Ly]:[Dest Hav]]) +Rezone!M79 + IF("Ch_"&amp; home_land=TblConstr[[#Headers],[Ch_Forest]],TblConstr[[#This Row],[Home Land]])+IF(TblConstr[[#This Row],[Hour]:[Hour]]&gt;12,OFFSET(TblExplore[[#This Row],[Forest Explore]],-12,0),0)</f>
        <v>0</v>
      </c>
      <c r="CS79" s="200" t="n">
        <f aca="false">-SUM(TblConstr[[#This Row],[OM]:[GN]])+SUM(TblConstr[[#This Row],[Dest OM]:[Dest GN]]) +Rezone!N79 + IF("Ch_"&amp; home_land=TblConstr[[#Headers],[Ch_Mountain]],TblConstr[[#This Row],[Home Land]])+IF(TblConstr[[#This Row],[Hour]:[Hour]]&gt;12,OFFSET(TblExplore[[#This Row],[Mountain Explore]],-12,0),0)</f>
        <v>0</v>
      </c>
      <c r="CT79" s="195" t="n">
        <f aca="false">-SUM(TblConstr[[#This Row],[Fac]:[Shr]])+SUM(TblConstr[[#This Row],[Dest Fac]:[Dest Shr]]) +Rezone!O79 + IF("Ch_" &amp; home_land=TblConstr[[#Headers],[Ch_Hill]],TblConstr[[#This Row],[Home Land]])+IF(TblConstr[[#This Row],[Hour]:[Hour]]&gt;12,OFFSET(TblExplore[[#This Row],[Hill Explore]],-12,0),0)</f>
        <v>0</v>
      </c>
      <c r="CU79" s="196" t="n">
        <f aca="false">-SUM(TblConstr[[#This Row],[Tow]:[WG]])+SUM(TblConstr[[#This Row],[Dest Tow]:[Dest WG]]) +Rezone!P79 + IF("Ch_" &amp; home_land=TblConstr[[#Headers],[Ch_Swamp]],TblConstr[[#This Row],[Home Land]])+IF(TblConstr[[#This Row],[Hour]:[Hour]]&gt;12,OFFSET(TblExplore[[#This Row],[Swamp Explore]],-12,0),0)</f>
        <v>0</v>
      </c>
      <c r="CV79" s="197" t="n">
        <f aca="false">- SUM(TblConstr[[#This Row],[DM]:[Sch]])+SUM(TblConstr[[#This Row],[Dest DM]:[Dest Sch]]) +Rezone!Q79 + IF("Ch_" &amp; home_land=TblConstr[[#Headers],[Ch_Cavern]],TblConstr[[#This Row],[Home Land]])+IF(TblConstr[[#This Row],[Hour]:[Hour]]&gt;12,OFFSET(TblExplore[[#This Row],[Cavern Explore]],-12,0),0)</f>
        <v>0</v>
      </c>
      <c r="CW79" s="198" t="n">
        <f aca="false">-TblConstr[[#This Row],[Doc]]+TblConstr[[#This Row],[Dest Doc]] +Rezone!R79 + IF("Ch_" &amp; home_land=TblConstr[[#Headers],[Ch_Water]],TblConstr[[#This Row],[Home Land]])+IF(TblConstr[[#This Row],[Hour]:[Hour]]&gt;12,OFFSET(TblExplore[[#This Row],[Water Explore]],-12,0),0)</f>
        <v>0</v>
      </c>
      <c r="CX79" s="1" t="n">
        <f aca="false">IF(Explore!S79=1,20) - TblConstr[[#This Row],[Hom]] + TblConstr[[#This Row],[Dest Hom]]</f>
        <v>0</v>
      </c>
      <c r="CY79" s="132"/>
      <c r="CZ79" s="69" t="n">
        <f aca="false">G79+SUM(P68:S79)+SUM(AZ79:BC79)</f>
        <v>430</v>
      </c>
      <c r="DA79" s="69" t="n">
        <f aca="false">H79+SUM(T68:U79)+SUM(BD79:BE79)</f>
        <v>25</v>
      </c>
      <c r="DB79" s="1" t="n">
        <f aca="false">I79+SUM(V68:W79)+SUM(BF79:BG79)</f>
        <v>0</v>
      </c>
      <c r="DC79" s="69" t="n">
        <f aca="false">J79+SUM(X68:Y79)+SUM(BH79:BI79)</f>
        <v>55</v>
      </c>
      <c r="DD79" s="69" t="n">
        <f aca="false">K79+SUM(AB68:AD79)+SUM(BL79:BN79)</f>
        <v>76</v>
      </c>
      <c r="DE79" s="1" t="n">
        <f aca="false">L79+SUM(AE68:AE79)+BO79</f>
        <v>0</v>
      </c>
      <c r="DF79" s="69" t="n">
        <f aca="false">M79+SUM(AG68:AG79)+BQ79</f>
        <v>24</v>
      </c>
      <c r="DG79" s="69" t="e">
        <f aca="false" t="array" ref="DG79:DG79">INDEX(TblConstr[[Total Plain]:[Total Water]],ROW()-ROW(TblConstr[#headers]),MATCH("Total "&amp;home_land,TblConstr[[#Headers],[Total Plain]:[Total Water]],0))+TblConstr[[#This Row],[Homes]]</f>
        <v>#VALUE!</v>
      </c>
      <c r="DH79" s="1" t="n">
        <f aca="false">SUM(O68:O79)+AY79</f>
        <v>40</v>
      </c>
      <c r="DI79" s="1" t="n">
        <f aca="false">MAX(BA79-BA78,0)</f>
        <v>0</v>
      </c>
      <c r="DJ79" s="1" t="n">
        <f aca="false">MAX(BQ79-BQ78,0)</f>
        <v>0</v>
      </c>
    </row>
    <row r="80" customFormat="false" ht="12.75" hidden="false" customHeight="false" outlineLevel="0" collapsed="false">
      <c r="A80" s="170" t="n">
        <f aca="false">TblRezone[[#This Row],[Hour]]</f>
        <v>77</v>
      </c>
      <c r="B80" s="171" t="n">
        <f aca="false">SUM(TblConstr[[#This Row],[Plain]:[Water]])</f>
        <v>0</v>
      </c>
      <c r="C80" s="172" t="n">
        <f aca="false">SUM(TblConstr[[#This Row],[Tot Hom]:[Tot Doc]])</f>
        <v>700</v>
      </c>
      <c r="D80" s="172" t="n">
        <f aca="false">SUM(O69:AG80)</f>
        <v>0</v>
      </c>
      <c r="E80" s="173"/>
      <c r="F80" s="33" t="n">
        <f aca="false">TblConstr[[#This Row],[Barren]]+TblConstr[[#This Row],[Buildings]]+TblConstr[[#This Row],[Incoming]]</f>
        <v>700</v>
      </c>
      <c r="G80" s="199" t="n">
        <f aca="false">OFFSET(TblConstr[[#This Row],[Plain]],-1,0)+TblConstr[[#This Row],[Ch_Plain]]</f>
        <v>0</v>
      </c>
      <c r="H80" s="193" t="n">
        <f aca="false">OFFSET(TblConstr[[#This Row],[Forest]],-1,0)+TblConstr[[#This Row],[Ch_Forest]]</f>
        <v>0</v>
      </c>
      <c r="I80" s="200" t="n">
        <f aca="false">OFFSET(TblConstr[[#This Row],[Mountain]],-1,0)+TblConstr[[#This Row],[Ch_Mountain]]</f>
        <v>0</v>
      </c>
      <c r="J80" s="201" t="n">
        <f aca="false">OFFSET(TblConstr[[#This Row],[Hill]],-1,0)+TblConstr[[#This Row],[Ch_Hill]]</f>
        <v>0</v>
      </c>
      <c r="K80" s="202" t="n">
        <f aca="false">OFFSET(TblConstr[[#This Row],[Swamp]],-1,0)+TblConstr[[#This Row],[Ch_Swamp]]</f>
        <v>0</v>
      </c>
      <c r="L80" s="197" t="n">
        <f aca="false">OFFSET(TblConstr[[#This Row],[Cavern]],-1,0)+TblConstr[[#This Row],[Ch_Cavern]]</f>
        <v>0</v>
      </c>
      <c r="M80" s="198" t="n">
        <f aca="false">OFFSET(TblConstr[[#This Row],[Water]],-1,0)+TblConstr[[#This Row],[Ch_Water]]</f>
        <v>0</v>
      </c>
      <c r="N80" s="181" t="n">
        <f aca="false">TblRezone[[#This Row],[Hour]]</f>
        <v>77</v>
      </c>
      <c r="O80" s="182"/>
      <c r="P80" s="182"/>
      <c r="Q80" s="182"/>
      <c r="R80" s="182"/>
      <c r="S80" s="182"/>
      <c r="T80" s="182"/>
      <c r="U80" s="182"/>
      <c r="V80" s="182"/>
      <c r="W80" s="182"/>
      <c r="X80" s="182"/>
      <c r="Y80" s="182"/>
      <c r="Z80" s="182"/>
      <c r="AA80" s="182"/>
      <c r="AB80" s="182"/>
      <c r="AC80" s="182"/>
      <c r="AD80" s="182"/>
      <c r="AE80" s="182"/>
      <c r="AF80" s="182"/>
      <c r="AG80" s="182"/>
      <c r="AH80" s="20" t="n">
        <f aca="false">TblImps[[#This Row],[Time]]</f>
        <v>45432.9166666667</v>
      </c>
      <c r="AI80" s="130" t="n">
        <f aca="false">MIN(25%,(TblConstr[[#This Row],[Tot Fac]]+TblConstr[[#This Row],[Dest Fac]])/(TblConstr[[#This Row],[Land]]-TblExplore[[#This Row],[Land Bonus]]*20))</f>
        <v>0</v>
      </c>
      <c r="AJ80" s="130" t="n">
        <f aca="false">MIN(25%,(TblConstr[[#This Row],[Tot Fac]]+TblConstr[[#This Row],[Dest Fac]])/TblConstr[[#This Row],[Land]])</f>
        <v>0</v>
      </c>
      <c r="AK80" s="69" t="n">
        <f aca="false">TblProd[[#This Row],[Platinum]]</f>
        <v>153735</v>
      </c>
      <c r="AL80" s="69" t="n">
        <f aca="false">TblProd[[#This Row],[Lumber]]</f>
        <v>17925</v>
      </c>
      <c r="AM8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0" s="69" t="n">
        <f aca="false">ROUNDDOWN( MAX(1 - MIN(facs_constr_factor*TblConstr[[#This Row],[Facs -DB]],facs_constr_max) + tech_1_11*TblTech[[#This Row],[11-1]] + tech_6_3_2*TblTech[[#This Row],[6-3]] + tech_5_2_3*TblTech[[#This Row],[5-2]], 1-global_constr_cap) * TblConstr[[#This Row],[RCPA Lumber]],0)</f>
        <v>216</v>
      </c>
      <c r="AO8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0" s="69" t="n">
        <f aca="false">ROUNDDOWN( MAX(1 - MIN(facs_constr_factor*TblConstr[[#This Row],[Facs DB]],facs_constr_max) + tech_1_11*TblTech[[#This Row],[1-11]] + tech_6_3_2*TblTech[[#This Row],[6-3]] + tech_5_2_3*TblTech[[#This Row],[5-2]], 1-global_constr_cap) * ROUND((TblConstr[[#This Row],[Land]]-250)*0.285 + 87.5 + 0/4.25,0),0)</f>
        <v>216</v>
      </c>
      <c r="AQ80" s="1" t="n">
        <f aca="false">TblConstr[[#This Row],[build -db]]*TblConstr[[#This Row],[CPA Platinum -DB]] + TblConstr[[#This Row],[build db]]*TblConstr[[#This Row],[CPA Platinum DB]]</f>
        <v>0</v>
      </c>
      <c r="AR80" s="1" t="n">
        <f aca="false">TblConstr[[#This Row],[build -db]]*TblConstr[[#This Row],[CPA Lumber -DB]]+TblConstr[[#This Row],[build db]]*TblConstr[[#This Row],[CPA Lumber DB]]</f>
        <v>0</v>
      </c>
      <c r="AS80" s="69" t="n">
        <f aca="false">MIN(SUM(OFFSET(TblConstr[[#This Row],[Plain]:[Water]],-1,0))+SUM(TblConstr[[#This Row],[Dest Hom]:[Dest Doc]])+IF(TblConstr[[#This Row],[Hour]]&gt;12,SUM(OFFSET(TblExplore[[#This Row],[Plains Explore]:[Water Explore]],-12,0)),0),SUM(TblConstr[[#This Row],[Hom]:[Doc]]))</f>
        <v>0</v>
      </c>
      <c r="AT8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32"/>
      <c r="AV80" s="69" t="n">
        <f aca="false">ROUND((TblConstr[[#This Row],[Land]]-250 - IF(TblExplore[[#This Row],[Land Bonus]]&lt;&gt;0,20,0))*1.25 + 850 + 0,0)</f>
        <v>1413</v>
      </c>
      <c r="AW80" s="69" t="n">
        <f aca="false">ROUND((TblConstr[[#This Row],[Land]]-250 - IF(TblExplore[[#This Row],[Land Bonus]]&lt;&gt;0,20,0))*0.285 + 87.5 + 0/4.25,0)</f>
        <v>216</v>
      </c>
      <c r="AX80" s="146"/>
      <c r="AY80" s="203" t="n">
        <f aca="false" t="array" ref="AY80:AY80">IF(TblConstr[[#This Row],[Hour]:[Hour]]&gt;12,OFFSET(TblConstr[[#This Row],[Hom]],-12,0),0)+OFFSET(TblConstr[[#This Row],[Tot Hom]],-1,0)-TblConstr[[#This Row],[Dest Hom]]</f>
        <v>40</v>
      </c>
      <c r="AZ80" s="204" t="n">
        <f aca="false" t="array" ref="AZ80:AZ80">IF(TblConstr[[#This Row],[Hour]:[Hour]]&gt;12,OFFSET(TblConstr[[#This Row],[Alc]],-12,0),0)+OFFSET(TblConstr[[#This Row],[Tot Alc]],-1,0)-TblConstr[[#This Row],[Dest Alc]]</f>
        <v>275</v>
      </c>
      <c r="BA80" s="204" t="n">
        <f aca="false" t="array" ref="BA80:BA80">IF(TblConstr[[#This Row],[Hour]:[Hour]]&gt;12,OFFSET(TblConstr[[#This Row],[Far]],-12,0),0)+OFFSET(TblConstr[[#This Row],[Tot Farm]],-1,0)-TblConstr[[#This Row],[Dest Farm]]</f>
        <v>29</v>
      </c>
      <c r="BB80" s="204" t="n">
        <f aca="false" t="array" ref="BB80:BB80">IF(TblConstr[[#This Row],[Hour]:[Hour]]&gt;12,OFFSET(TblConstr[[#This Row],[Smi]],-12,0),0)+OFFSET(TblConstr[[#This Row],[Tot Smi]],-1,0)-TblConstr[[#This Row],[Dest Smi]]</f>
        <v>126</v>
      </c>
      <c r="BC80" s="204" t="n">
        <f aca="false" t="array" ref="BC80:BC80">IF(TblConstr[[#This Row],[Hour]:[Hour]]&gt;12,OFFSET(TblConstr[[#This Row],[Mas]],-12,0),0)+OFFSET(TblConstr[[#This Row],[Tot Mas]],-1,0)-TblConstr[[#This Row],[Dest Mas]]</f>
        <v>0</v>
      </c>
      <c r="BD80" s="205" t="n">
        <f aca="false" t="array" ref="BD80:BD80">IF(TblConstr[[#This Row],[Hour]:[Hour]]&gt;12,OFFSET(TblConstr[[#This Row],[Ly]],-12,0),0)+OFFSET(TblConstr[[#This Row],[Tot Ly]],-1,0)-TblConstr[[#This Row],[Dest Ly]]</f>
        <v>25</v>
      </c>
      <c r="BE80" s="205" t="n">
        <f aca="false" t="array" ref="BE80:BE80">IF(TblConstr[[#This Row],[Hour]:[Hour]]&gt;12,OFFSET(TblConstr[[#This Row],[Hav]],-12,0),0)+OFFSET(TblConstr[[#This Row],[Tot Hav]],-1,0)-TblConstr[[#This Row],[Dest Hav]]</f>
        <v>0</v>
      </c>
      <c r="BF80" s="194" t="n">
        <f aca="false" t="array" ref="BF80:BF80">IF(TblConstr[[#This Row],[Hour]:[Hour]]&gt;12,OFFSET(TblConstr[[#This Row],[OM]],-12,0),0)+OFFSET(TblConstr[[#This Row],[Tot OM]],-1,0)-TblConstr[[#This Row],[Dest OM]]</f>
        <v>0</v>
      </c>
      <c r="BG80" s="194" t="n">
        <f aca="false" t="array" ref="BG80:BG80">IF(TblConstr[[#This Row],[Hour]:[Hour]]&gt;12,OFFSET(TblConstr[[#This Row],[GN]],-12,0),0)+OFFSET(TblConstr[[#This Row],[Tot GN]],-1,0)-TblConstr[[#This Row],[Dest GN]]</f>
        <v>0</v>
      </c>
      <c r="BH80" s="206" t="n">
        <f aca="false" t="array" ref="BH80:BH80">IF(TblConstr[[#This Row],[Hour]:[Hour]]&gt;12,OFFSET(TblConstr[[#This Row],[Fac]],-12,0),0)+OFFSET(TblConstr[[#This Row],[Tot Fac]],-1,0)-TblConstr[[#This Row],[Dest Fac]]</f>
        <v>0</v>
      </c>
      <c r="BI80" s="206" t="n">
        <f aca="false" t="array" ref="BI80:BI80">IF(TblConstr[[#This Row],[Hour]:[Hour]]&gt;12,OFFSET(TblConstr[[#This Row],[GT]],-12,0),0)+OFFSET(TblConstr[[#This Row],[Tot GT]],-1,0)-TblConstr[[#This Row],[Dest GT]]</f>
        <v>55</v>
      </c>
      <c r="BJ80" s="206" t="n">
        <f aca="false" t="array" ref="BJ80:BJ80">IF(TblConstr[[#This Row],[Hour]:[Hour]]&gt;12,OFFSET(TblConstr[[#This Row],[Bar]],-12,0),0)+OFFSET(TblConstr[[#This Row],[Tot Bar]],-1,0)-TblConstr[[#This Row],[Dest Bar]]</f>
        <v>50</v>
      </c>
      <c r="BK80" s="206" t="n">
        <f aca="false" t="array" ref="BK80:BK80">IF(TblConstr[[#This Row],[Hour]:[Hour]]&gt;12,OFFSET(TblConstr[[#This Row],[Shr]],-12,0),0)+OFFSET(TblConstr[[#This Row],[Tot Shr]],-1,0)-TblConstr[[#This Row],[Dest Shr]]</f>
        <v>0</v>
      </c>
      <c r="BL80" s="207" t="n">
        <f aca="false" t="array" ref="BL80:BL80">IF(TblConstr[[#This Row],[Hour]:[Hour]]&gt;12,OFFSET(TblConstr[[#This Row],[Tow]],-12,0),0)+OFFSET(TblConstr[[#This Row],[Tot Tow]],-1,0)-TblConstr[[#This Row],[Dest Tow]]</f>
        <v>29</v>
      </c>
      <c r="BM80" s="207" t="n">
        <f aca="false" t="array" ref="BM80:BM80">IF(TblConstr[[#This Row],[Hour]:[Hour]]&gt;12,OFFSET(TblConstr[[#This Row],[Tem]],-12,0),0)+OFFSET(TblConstr[[#This Row],[Tot Tem]],-1,0)-TblConstr[[#This Row],[Dest Tem]]</f>
        <v>47</v>
      </c>
      <c r="BN80" s="207" t="n">
        <f aca="false" t="array" ref="BN80:BN80">IF(TblConstr[[#This Row],[Hour]:[Hour]]&gt;12,OFFSET(TblConstr[[#This Row],[WG]],-12,0),0)+OFFSET(TblConstr[[#This Row],[Tot WG]],-1,0)-TblConstr[[#This Row],[Dest WG]]</f>
        <v>0</v>
      </c>
      <c r="BO80" s="208" t="n">
        <f aca="false" t="array" ref="BO80:BO80">IF(TblConstr[[#This Row],[Hour]:[Hour]]&gt;12,OFFSET(TblConstr[[#This Row],[DM]],-12,0),0)+OFFSET(TblConstr[[#This Row],[Tot DM]],-1,0)-TblConstr[[#This Row],[Dest DM]]</f>
        <v>0</v>
      </c>
      <c r="BP80" s="208" t="n">
        <f aca="false" t="array" ref="BP80:BP80">IF(TblConstr[[#This Row],[Hour]:[Hour]]&gt;12,OFFSET(TblConstr[[#This Row],[Sch]],-12,0),0)+OFFSET(TblConstr[[#This Row],[Tot Sch]],-1,0)-TblConstr[[#This Row],[Dest Sch]]</f>
        <v>0</v>
      </c>
      <c r="BQ80" s="209" t="n">
        <f aca="false" t="array" ref="BQ80:BQ80">IF(TblConstr[[#This Row],[Hour]:[Hour]]&gt;12,OFFSET(TblConstr[[#This Row],[Doc]],-12,0),0)+OFFSET(TblConstr[[#This Row],[Tot Doc]],-1,0)-TblConstr[[#This Row],[Dest Doc]]</f>
        <v>24</v>
      </c>
      <c r="BR80" s="132"/>
      <c r="BS80" s="146"/>
      <c r="BT80" s="69" t="n">
        <f aca="false">TblConstr[[#This Row],[Land]]</f>
        <v>700</v>
      </c>
      <c r="BU80" s="153" t="n">
        <f aca="false">TblImps[[#This Row],[Time]]</f>
        <v>45432.9166666667</v>
      </c>
      <c r="BV80" s="132"/>
      <c r="BW80" s="182"/>
      <c r="BX80" s="182"/>
      <c r="BY80" s="182"/>
      <c r="BZ80" s="182"/>
      <c r="CA80" s="182"/>
      <c r="CB80" s="182"/>
      <c r="CC80" s="182"/>
      <c r="CD80" s="182"/>
      <c r="CE80" s="182"/>
      <c r="CF80" s="182"/>
      <c r="CG80" s="182"/>
      <c r="CH80" s="182"/>
      <c r="CI80" s="182"/>
      <c r="CJ80" s="182"/>
      <c r="CK80" s="182"/>
      <c r="CL80" s="182"/>
      <c r="CM80" s="182"/>
      <c r="CN80" s="182"/>
      <c r="CO80" s="182"/>
      <c r="CP80" s="132"/>
      <c r="CQ80" s="192" t="n">
        <f aca="false">-SUM(TblConstr[[#This Row],[Alc]:[Mas]])+SUM(TblConstr[[#This Row],[Dest Alc]:[Dest Mas]])+Rezone!L80+IF("Ch_"&amp; home_land=TblConstr[[#Headers],[Ch_Plain]],TblConstr[[#This Row],[Home Land]])+IF(TblConstr[[#This Row],[Hour]:[Hour]]&gt;12,OFFSET(TblExplore[[#This Row],[Plains Explore]],-12,0),0)</f>
        <v>0</v>
      </c>
      <c r="CR80" s="193" t="n">
        <f aca="false">-SUM(TblConstr[[#This Row],[Ly]:[Hav]])+SUM(TblConstr[[#This Row],[Dest Ly]:[Dest Hav]]) +Rezone!M80 + IF("Ch_"&amp; home_land=TblConstr[[#Headers],[Ch_Forest]],TblConstr[[#This Row],[Home Land]])+IF(TblConstr[[#This Row],[Hour]:[Hour]]&gt;12,OFFSET(TblExplore[[#This Row],[Forest Explore]],-12,0),0)</f>
        <v>0</v>
      </c>
      <c r="CS80" s="200" t="n">
        <f aca="false">-SUM(TblConstr[[#This Row],[OM]:[GN]])+SUM(TblConstr[[#This Row],[Dest OM]:[Dest GN]]) +Rezone!N80 + IF("Ch_"&amp; home_land=TblConstr[[#Headers],[Ch_Mountain]],TblConstr[[#This Row],[Home Land]])+IF(TblConstr[[#This Row],[Hour]:[Hour]]&gt;12,OFFSET(TblExplore[[#This Row],[Mountain Explore]],-12,0),0)</f>
        <v>0</v>
      </c>
      <c r="CT80" s="195" t="n">
        <f aca="false">-SUM(TblConstr[[#This Row],[Fac]:[Shr]])+SUM(TblConstr[[#This Row],[Dest Fac]:[Dest Shr]]) +Rezone!O80 + IF("Ch_" &amp; home_land=TblConstr[[#Headers],[Ch_Hill]],TblConstr[[#This Row],[Home Land]])+IF(TblConstr[[#This Row],[Hour]:[Hour]]&gt;12,OFFSET(TblExplore[[#This Row],[Hill Explore]],-12,0),0)</f>
        <v>0</v>
      </c>
      <c r="CU80" s="196" t="n">
        <f aca="false">-SUM(TblConstr[[#This Row],[Tow]:[WG]])+SUM(TblConstr[[#This Row],[Dest Tow]:[Dest WG]]) +Rezone!P80 + IF("Ch_" &amp; home_land=TblConstr[[#Headers],[Ch_Swamp]],TblConstr[[#This Row],[Home Land]])+IF(TblConstr[[#This Row],[Hour]:[Hour]]&gt;12,OFFSET(TblExplore[[#This Row],[Swamp Explore]],-12,0),0)</f>
        <v>0</v>
      </c>
      <c r="CV80" s="197" t="n">
        <f aca="false">- SUM(TblConstr[[#This Row],[DM]:[Sch]])+SUM(TblConstr[[#This Row],[Dest DM]:[Dest Sch]]) +Rezone!Q80 + IF("Ch_" &amp; home_land=TblConstr[[#Headers],[Ch_Cavern]],TblConstr[[#This Row],[Home Land]])+IF(TblConstr[[#This Row],[Hour]:[Hour]]&gt;12,OFFSET(TblExplore[[#This Row],[Cavern Explore]],-12,0),0)</f>
        <v>0</v>
      </c>
      <c r="CW80" s="198" t="n">
        <f aca="false">-TblConstr[[#This Row],[Doc]]+TblConstr[[#This Row],[Dest Doc]] +Rezone!R80 + IF("Ch_" &amp; home_land=TblConstr[[#Headers],[Ch_Water]],TblConstr[[#This Row],[Home Land]])+IF(TblConstr[[#This Row],[Hour]:[Hour]]&gt;12,OFFSET(TblExplore[[#This Row],[Water Explore]],-12,0),0)</f>
        <v>0</v>
      </c>
      <c r="CX80" s="1" t="n">
        <f aca="false">IF(Explore!S80=1,20) - TblConstr[[#This Row],[Hom]] + TblConstr[[#This Row],[Dest Hom]]</f>
        <v>0</v>
      </c>
      <c r="CY80" s="132"/>
      <c r="CZ80" s="69" t="n">
        <f aca="false">G80+SUM(P69:S80)+SUM(AZ80:BC80)</f>
        <v>430</v>
      </c>
      <c r="DA80" s="69" t="n">
        <f aca="false">H80+SUM(T69:U80)+SUM(BD80:BE80)</f>
        <v>25</v>
      </c>
      <c r="DB80" s="1" t="n">
        <f aca="false">I80+SUM(V69:W80)+SUM(BF80:BG80)</f>
        <v>0</v>
      </c>
      <c r="DC80" s="69" t="n">
        <f aca="false">J80+SUM(X69:Y80)+SUM(BH80:BI80)</f>
        <v>55</v>
      </c>
      <c r="DD80" s="69" t="n">
        <f aca="false">K80+SUM(AB69:AD80)+SUM(BL80:BN80)</f>
        <v>76</v>
      </c>
      <c r="DE80" s="1" t="n">
        <f aca="false">L80+SUM(AE69:AE80)+BO80</f>
        <v>0</v>
      </c>
      <c r="DF80" s="69" t="n">
        <f aca="false">M80+SUM(AG69:AG80)+BQ80</f>
        <v>24</v>
      </c>
      <c r="DG80" s="69" t="e">
        <f aca="false" t="array" ref="DG80:DG80">INDEX(TblConstr[[Total Plain]:[Total Water]],ROW()-ROW(TblConstr[#headers]),MATCH("Total "&amp;home_land,TblConstr[[#Headers],[Total Plain]:[Total Water]],0))+TblConstr[[#This Row],[Homes]]</f>
        <v>#VALUE!</v>
      </c>
      <c r="DH80" s="1" t="n">
        <f aca="false">SUM(O69:O80)+AY80</f>
        <v>40</v>
      </c>
      <c r="DI80" s="1" t="n">
        <f aca="false">MAX(BA80-BA79,0)</f>
        <v>0</v>
      </c>
      <c r="DJ80" s="1" t="n">
        <f aca="false">MAX(BQ80-BQ79,0)</f>
        <v>0</v>
      </c>
    </row>
    <row r="81" customFormat="false" ht="12.75" hidden="false" customHeight="false" outlineLevel="0" collapsed="false">
      <c r="A81" s="170" t="n">
        <f aca="false">TblRezone[[#This Row],[Hour]]</f>
        <v>78</v>
      </c>
      <c r="B81" s="171" t="n">
        <f aca="false">SUM(TblConstr[[#This Row],[Plain]:[Water]])</f>
        <v>0</v>
      </c>
      <c r="C81" s="172" t="n">
        <f aca="false">SUM(TblConstr[[#This Row],[Tot Hom]:[Tot Doc]])</f>
        <v>700</v>
      </c>
      <c r="D81" s="172" t="n">
        <f aca="false">SUM(O70:AG81)</f>
        <v>0</v>
      </c>
      <c r="E81" s="173"/>
      <c r="F81" s="33" t="n">
        <f aca="false">TblConstr[[#This Row],[Barren]]+TblConstr[[#This Row],[Buildings]]+TblConstr[[#This Row],[Incoming]]</f>
        <v>700</v>
      </c>
      <c r="G81" s="199" t="n">
        <f aca="false">OFFSET(TblConstr[[#This Row],[Plain]],-1,0)+TblConstr[[#This Row],[Ch_Plain]]</f>
        <v>0</v>
      </c>
      <c r="H81" s="193" t="n">
        <f aca="false">OFFSET(TblConstr[[#This Row],[Forest]],-1,0)+TblConstr[[#This Row],[Ch_Forest]]</f>
        <v>0</v>
      </c>
      <c r="I81" s="200" t="n">
        <f aca="false">OFFSET(TblConstr[[#This Row],[Mountain]],-1,0)+TblConstr[[#This Row],[Ch_Mountain]]</f>
        <v>0</v>
      </c>
      <c r="J81" s="201" t="n">
        <f aca="false">OFFSET(TblConstr[[#This Row],[Hill]],-1,0)+TblConstr[[#This Row],[Ch_Hill]]</f>
        <v>0</v>
      </c>
      <c r="K81" s="202" t="n">
        <f aca="false">OFFSET(TblConstr[[#This Row],[Swamp]],-1,0)+TblConstr[[#This Row],[Ch_Swamp]]</f>
        <v>0</v>
      </c>
      <c r="L81" s="197" t="n">
        <f aca="false">OFFSET(TblConstr[[#This Row],[Cavern]],-1,0)+TblConstr[[#This Row],[Ch_Cavern]]</f>
        <v>0</v>
      </c>
      <c r="M81" s="198" t="n">
        <f aca="false">OFFSET(TblConstr[[#This Row],[Water]],-1,0)+TblConstr[[#This Row],[Ch_Water]]</f>
        <v>0</v>
      </c>
      <c r="N81" s="181" t="n">
        <f aca="false">TblRezone[[#This Row],[Hour]]</f>
        <v>78</v>
      </c>
      <c r="O81" s="182"/>
      <c r="P81" s="182"/>
      <c r="Q81" s="182"/>
      <c r="R81" s="182"/>
      <c r="S81" s="182"/>
      <c r="T81" s="182"/>
      <c r="U81" s="182"/>
      <c r="V81" s="182"/>
      <c r="W81" s="182"/>
      <c r="X81" s="182"/>
      <c r="Y81" s="182"/>
      <c r="Z81" s="182"/>
      <c r="AA81" s="182"/>
      <c r="AB81" s="182"/>
      <c r="AC81" s="182"/>
      <c r="AD81" s="182"/>
      <c r="AE81" s="182"/>
      <c r="AF81" s="182"/>
      <c r="AG81" s="182"/>
      <c r="AH81" s="20" t="n">
        <f aca="false">TblImps[[#This Row],[Time]]</f>
        <v>45432.9583333333</v>
      </c>
      <c r="AI81" s="130" t="n">
        <f aca="false">MIN(25%,(TblConstr[[#This Row],[Tot Fac]]+TblConstr[[#This Row],[Dest Fac]])/(TblConstr[[#This Row],[Land]]-TblExplore[[#This Row],[Land Bonus]]*20))</f>
        <v>0</v>
      </c>
      <c r="AJ81" s="130" t="n">
        <f aca="false">MIN(25%,(TblConstr[[#This Row],[Tot Fac]]+TblConstr[[#This Row],[Dest Fac]])/TblConstr[[#This Row],[Land]])</f>
        <v>0</v>
      </c>
      <c r="AK81" s="69" t="n">
        <f aca="false">TblProd[[#This Row],[Platinum]]</f>
        <v>199845</v>
      </c>
      <c r="AL81" s="69" t="n">
        <f aca="false">TblProd[[#This Row],[Lumber]]</f>
        <v>18871</v>
      </c>
      <c r="AM8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1" s="69" t="n">
        <f aca="false">ROUNDDOWN( MAX(1 - MIN(facs_constr_factor*TblConstr[[#This Row],[Facs -DB]],facs_constr_max) + tech_1_11*TblTech[[#This Row],[11-1]] + tech_6_3_2*TblTech[[#This Row],[6-3]] + tech_5_2_3*TblTech[[#This Row],[5-2]], 1-global_constr_cap) * TblConstr[[#This Row],[RCPA Lumber]],0)</f>
        <v>216</v>
      </c>
      <c r="AO8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1" s="69" t="n">
        <f aca="false">ROUNDDOWN( MAX(1 - MIN(facs_constr_factor*TblConstr[[#This Row],[Facs DB]],facs_constr_max) + tech_1_11*TblTech[[#This Row],[1-11]] + tech_6_3_2*TblTech[[#This Row],[6-3]] + tech_5_2_3*TblTech[[#This Row],[5-2]], 1-global_constr_cap) * ROUND((TblConstr[[#This Row],[Land]]-250)*0.285 + 87.5 + 0/4.25,0),0)</f>
        <v>216</v>
      </c>
      <c r="AQ81" s="1" t="n">
        <f aca="false">TblConstr[[#This Row],[build -db]]*TblConstr[[#This Row],[CPA Platinum -DB]] + TblConstr[[#This Row],[build db]]*TblConstr[[#This Row],[CPA Platinum DB]]</f>
        <v>0</v>
      </c>
      <c r="AR81" s="1" t="n">
        <f aca="false">TblConstr[[#This Row],[build -db]]*TblConstr[[#This Row],[CPA Lumber -DB]]+TblConstr[[#This Row],[build db]]*TblConstr[[#This Row],[CPA Lumber DB]]</f>
        <v>0</v>
      </c>
      <c r="AS81" s="69" t="n">
        <f aca="false">MIN(SUM(OFFSET(TblConstr[[#This Row],[Plain]:[Water]],-1,0))+SUM(TblConstr[[#This Row],[Dest Hom]:[Dest Doc]])+IF(TblConstr[[#This Row],[Hour]]&gt;12,SUM(OFFSET(TblExplore[[#This Row],[Plains Explore]:[Water Explore]],-12,0)),0),SUM(TblConstr[[#This Row],[Hom]:[Doc]]))</f>
        <v>0</v>
      </c>
      <c r="AT8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32"/>
      <c r="AV81" s="69" t="n">
        <f aca="false">ROUND((TblConstr[[#This Row],[Land]]-250 - IF(TblExplore[[#This Row],[Land Bonus]]&lt;&gt;0,20,0))*1.25 + 850 + 0,0)</f>
        <v>1413</v>
      </c>
      <c r="AW81" s="69" t="n">
        <f aca="false">ROUND((TblConstr[[#This Row],[Land]]-250 - IF(TblExplore[[#This Row],[Land Bonus]]&lt;&gt;0,20,0))*0.285 + 87.5 + 0/4.25,0)</f>
        <v>216</v>
      </c>
      <c r="AX81" s="146"/>
      <c r="AY81" s="203" t="n">
        <f aca="false" t="array" ref="AY81:AY81">IF(TblConstr[[#This Row],[Hour]:[Hour]]&gt;12,OFFSET(TblConstr[[#This Row],[Hom]],-12,0),0)+OFFSET(TblConstr[[#This Row],[Tot Hom]],-1,0)-TblConstr[[#This Row],[Dest Hom]]</f>
        <v>40</v>
      </c>
      <c r="AZ81" s="204" t="n">
        <f aca="false" t="array" ref="AZ81:AZ81">IF(TblConstr[[#This Row],[Hour]:[Hour]]&gt;12,OFFSET(TblConstr[[#This Row],[Alc]],-12,0),0)+OFFSET(TblConstr[[#This Row],[Tot Alc]],-1,0)-TblConstr[[#This Row],[Dest Alc]]</f>
        <v>275</v>
      </c>
      <c r="BA81" s="204" t="n">
        <f aca="false" t="array" ref="BA81:BA81">IF(TblConstr[[#This Row],[Hour]:[Hour]]&gt;12,OFFSET(TblConstr[[#This Row],[Far]],-12,0),0)+OFFSET(TblConstr[[#This Row],[Tot Farm]],-1,0)-TblConstr[[#This Row],[Dest Farm]]</f>
        <v>29</v>
      </c>
      <c r="BB81" s="204" t="n">
        <f aca="false" t="array" ref="BB81:BB81">IF(TblConstr[[#This Row],[Hour]:[Hour]]&gt;12,OFFSET(TblConstr[[#This Row],[Smi]],-12,0),0)+OFFSET(TblConstr[[#This Row],[Tot Smi]],-1,0)-TblConstr[[#This Row],[Dest Smi]]</f>
        <v>126</v>
      </c>
      <c r="BC81" s="204" t="n">
        <f aca="false" t="array" ref="BC81:BC81">IF(TblConstr[[#This Row],[Hour]:[Hour]]&gt;12,OFFSET(TblConstr[[#This Row],[Mas]],-12,0),0)+OFFSET(TblConstr[[#This Row],[Tot Mas]],-1,0)-TblConstr[[#This Row],[Dest Mas]]</f>
        <v>0</v>
      </c>
      <c r="BD81" s="205" t="n">
        <f aca="false" t="array" ref="BD81:BD81">IF(TblConstr[[#This Row],[Hour]:[Hour]]&gt;12,OFFSET(TblConstr[[#This Row],[Ly]],-12,0),0)+OFFSET(TblConstr[[#This Row],[Tot Ly]],-1,0)-TblConstr[[#This Row],[Dest Ly]]</f>
        <v>25</v>
      </c>
      <c r="BE81" s="205" t="n">
        <f aca="false" t="array" ref="BE81:BE81">IF(TblConstr[[#This Row],[Hour]:[Hour]]&gt;12,OFFSET(TblConstr[[#This Row],[Hav]],-12,0),0)+OFFSET(TblConstr[[#This Row],[Tot Hav]],-1,0)-TblConstr[[#This Row],[Dest Hav]]</f>
        <v>0</v>
      </c>
      <c r="BF81" s="194" t="n">
        <f aca="false" t="array" ref="BF81:BF81">IF(TblConstr[[#This Row],[Hour]:[Hour]]&gt;12,OFFSET(TblConstr[[#This Row],[OM]],-12,0),0)+OFFSET(TblConstr[[#This Row],[Tot OM]],-1,0)-TblConstr[[#This Row],[Dest OM]]</f>
        <v>0</v>
      </c>
      <c r="BG81" s="194" t="n">
        <f aca="false" t="array" ref="BG81:BG81">IF(TblConstr[[#This Row],[Hour]:[Hour]]&gt;12,OFFSET(TblConstr[[#This Row],[GN]],-12,0),0)+OFFSET(TblConstr[[#This Row],[Tot GN]],-1,0)-TblConstr[[#This Row],[Dest GN]]</f>
        <v>0</v>
      </c>
      <c r="BH81" s="206" t="n">
        <f aca="false" t="array" ref="BH81:BH81">IF(TblConstr[[#This Row],[Hour]:[Hour]]&gt;12,OFFSET(TblConstr[[#This Row],[Fac]],-12,0),0)+OFFSET(TblConstr[[#This Row],[Tot Fac]],-1,0)-TblConstr[[#This Row],[Dest Fac]]</f>
        <v>0</v>
      </c>
      <c r="BI81" s="206" t="n">
        <f aca="false" t="array" ref="BI81:BI81">IF(TblConstr[[#This Row],[Hour]:[Hour]]&gt;12,OFFSET(TblConstr[[#This Row],[GT]],-12,0),0)+OFFSET(TblConstr[[#This Row],[Tot GT]],-1,0)-TblConstr[[#This Row],[Dest GT]]</f>
        <v>55</v>
      </c>
      <c r="BJ81" s="206" t="n">
        <f aca="false" t="array" ref="BJ81:BJ81">IF(TblConstr[[#This Row],[Hour]:[Hour]]&gt;12,OFFSET(TblConstr[[#This Row],[Bar]],-12,0),0)+OFFSET(TblConstr[[#This Row],[Tot Bar]],-1,0)-TblConstr[[#This Row],[Dest Bar]]</f>
        <v>50</v>
      </c>
      <c r="BK81" s="206" t="n">
        <f aca="false" t="array" ref="BK81:BK81">IF(TblConstr[[#This Row],[Hour]:[Hour]]&gt;12,OFFSET(TblConstr[[#This Row],[Shr]],-12,0),0)+OFFSET(TblConstr[[#This Row],[Tot Shr]],-1,0)-TblConstr[[#This Row],[Dest Shr]]</f>
        <v>0</v>
      </c>
      <c r="BL81" s="207" t="n">
        <f aca="false" t="array" ref="BL81:BL81">IF(TblConstr[[#This Row],[Hour]:[Hour]]&gt;12,OFFSET(TblConstr[[#This Row],[Tow]],-12,0),0)+OFFSET(TblConstr[[#This Row],[Tot Tow]],-1,0)-TblConstr[[#This Row],[Dest Tow]]</f>
        <v>29</v>
      </c>
      <c r="BM81" s="207" t="n">
        <f aca="false" t="array" ref="BM81:BM81">IF(TblConstr[[#This Row],[Hour]:[Hour]]&gt;12,OFFSET(TblConstr[[#This Row],[Tem]],-12,0),0)+OFFSET(TblConstr[[#This Row],[Tot Tem]],-1,0)-TblConstr[[#This Row],[Dest Tem]]</f>
        <v>47</v>
      </c>
      <c r="BN81" s="207" t="n">
        <f aca="false" t="array" ref="BN81:BN81">IF(TblConstr[[#This Row],[Hour]:[Hour]]&gt;12,OFFSET(TblConstr[[#This Row],[WG]],-12,0),0)+OFFSET(TblConstr[[#This Row],[Tot WG]],-1,0)-TblConstr[[#This Row],[Dest WG]]</f>
        <v>0</v>
      </c>
      <c r="BO81" s="208" t="n">
        <f aca="false" t="array" ref="BO81:BO81">IF(TblConstr[[#This Row],[Hour]:[Hour]]&gt;12,OFFSET(TblConstr[[#This Row],[DM]],-12,0),0)+OFFSET(TblConstr[[#This Row],[Tot DM]],-1,0)-TblConstr[[#This Row],[Dest DM]]</f>
        <v>0</v>
      </c>
      <c r="BP81" s="208" t="n">
        <f aca="false" t="array" ref="BP81:BP81">IF(TblConstr[[#This Row],[Hour]:[Hour]]&gt;12,OFFSET(TblConstr[[#This Row],[Sch]],-12,0),0)+OFFSET(TblConstr[[#This Row],[Tot Sch]],-1,0)-TblConstr[[#This Row],[Dest Sch]]</f>
        <v>0</v>
      </c>
      <c r="BQ81" s="209" t="n">
        <f aca="false" t="array" ref="BQ81:BQ81">IF(TblConstr[[#This Row],[Hour]:[Hour]]&gt;12,OFFSET(TblConstr[[#This Row],[Doc]],-12,0),0)+OFFSET(TblConstr[[#This Row],[Tot Doc]],-1,0)-TblConstr[[#This Row],[Dest Doc]]</f>
        <v>24</v>
      </c>
      <c r="BR81" s="132"/>
      <c r="BS81" s="146"/>
      <c r="BT81" s="69" t="n">
        <f aca="false">TblConstr[[#This Row],[Land]]</f>
        <v>700</v>
      </c>
      <c r="BU81" s="153" t="n">
        <f aca="false">TblImps[[#This Row],[Time]]</f>
        <v>45432.9583333333</v>
      </c>
      <c r="BV81" s="132"/>
      <c r="BW81" s="182"/>
      <c r="BX81" s="182"/>
      <c r="BY81" s="182"/>
      <c r="BZ81" s="182"/>
      <c r="CA81" s="182"/>
      <c r="CB81" s="182"/>
      <c r="CC81" s="182"/>
      <c r="CD81" s="182"/>
      <c r="CE81" s="182"/>
      <c r="CF81" s="182"/>
      <c r="CG81" s="182"/>
      <c r="CH81" s="182"/>
      <c r="CI81" s="182"/>
      <c r="CJ81" s="182"/>
      <c r="CK81" s="182"/>
      <c r="CL81" s="182"/>
      <c r="CM81" s="182"/>
      <c r="CN81" s="182"/>
      <c r="CO81" s="182"/>
      <c r="CP81" s="132"/>
      <c r="CQ81" s="192" t="n">
        <f aca="false">-SUM(TblConstr[[#This Row],[Alc]:[Mas]])+SUM(TblConstr[[#This Row],[Dest Alc]:[Dest Mas]])+Rezone!L81+IF("Ch_"&amp; home_land=TblConstr[[#Headers],[Ch_Plain]],TblConstr[[#This Row],[Home Land]])+IF(TblConstr[[#This Row],[Hour]:[Hour]]&gt;12,OFFSET(TblExplore[[#This Row],[Plains Explore]],-12,0),0)</f>
        <v>0</v>
      </c>
      <c r="CR81" s="193" t="n">
        <f aca="false">-SUM(TblConstr[[#This Row],[Ly]:[Hav]])+SUM(TblConstr[[#This Row],[Dest Ly]:[Dest Hav]]) +Rezone!M81 + IF("Ch_"&amp; home_land=TblConstr[[#Headers],[Ch_Forest]],TblConstr[[#This Row],[Home Land]])+IF(TblConstr[[#This Row],[Hour]:[Hour]]&gt;12,OFFSET(TblExplore[[#This Row],[Forest Explore]],-12,0),0)</f>
        <v>0</v>
      </c>
      <c r="CS81" s="200" t="n">
        <f aca="false">-SUM(TblConstr[[#This Row],[OM]:[GN]])+SUM(TblConstr[[#This Row],[Dest OM]:[Dest GN]]) +Rezone!N81 + IF("Ch_"&amp; home_land=TblConstr[[#Headers],[Ch_Mountain]],TblConstr[[#This Row],[Home Land]])+IF(TblConstr[[#This Row],[Hour]:[Hour]]&gt;12,OFFSET(TblExplore[[#This Row],[Mountain Explore]],-12,0),0)</f>
        <v>0</v>
      </c>
      <c r="CT81" s="195" t="n">
        <f aca="false">-SUM(TblConstr[[#This Row],[Fac]:[Shr]])+SUM(TblConstr[[#This Row],[Dest Fac]:[Dest Shr]]) +Rezone!O81 + IF("Ch_" &amp; home_land=TblConstr[[#Headers],[Ch_Hill]],TblConstr[[#This Row],[Home Land]])+IF(TblConstr[[#This Row],[Hour]:[Hour]]&gt;12,OFFSET(TblExplore[[#This Row],[Hill Explore]],-12,0),0)</f>
        <v>0</v>
      </c>
      <c r="CU81" s="196" t="n">
        <f aca="false">-SUM(TblConstr[[#This Row],[Tow]:[WG]])+SUM(TblConstr[[#This Row],[Dest Tow]:[Dest WG]]) +Rezone!P81 + IF("Ch_" &amp; home_land=TblConstr[[#Headers],[Ch_Swamp]],TblConstr[[#This Row],[Home Land]])+IF(TblConstr[[#This Row],[Hour]:[Hour]]&gt;12,OFFSET(TblExplore[[#This Row],[Swamp Explore]],-12,0),0)</f>
        <v>0</v>
      </c>
      <c r="CV81" s="197" t="n">
        <f aca="false">- SUM(TblConstr[[#This Row],[DM]:[Sch]])+SUM(TblConstr[[#This Row],[Dest DM]:[Dest Sch]]) +Rezone!Q81 + IF("Ch_" &amp; home_land=TblConstr[[#Headers],[Ch_Cavern]],TblConstr[[#This Row],[Home Land]])+IF(TblConstr[[#This Row],[Hour]:[Hour]]&gt;12,OFFSET(TblExplore[[#This Row],[Cavern Explore]],-12,0),0)</f>
        <v>0</v>
      </c>
      <c r="CW81" s="198" t="n">
        <f aca="false">-TblConstr[[#This Row],[Doc]]+TblConstr[[#This Row],[Dest Doc]] +Rezone!R81 + IF("Ch_" &amp; home_land=TblConstr[[#Headers],[Ch_Water]],TblConstr[[#This Row],[Home Land]])+IF(TblConstr[[#This Row],[Hour]:[Hour]]&gt;12,OFFSET(TblExplore[[#This Row],[Water Explore]],-12,0),0)</f>
        <v>0</v>
      </c>
      <c r="CX81" s="1" t="n">
        <f aca="false">IF(Explore!S81=1,20) - TblConstr[[#This Row],[Hom]] + TblConstr[[#This Row],[Dest Hom]]</f>
        <v>0</v>
      </c>
      <c r="CY81" s="132"/>
      <c r="CZ81" s="69" t="n">
        <f aca="false">G81+SUM(P70:S81)+SUM(AZ81:BC81)</f>
        <v>430</v>
      </c>
      <c r="DA81" s="69" t="n">
        <f aca="false">H81+SUM(T70:U81)+SUM(BD81:BE81)</f>
        <v>25</v>
      </c>
      <c r="DB81" s="1" t="n">
        <f aca="false">I81+SUM(V70:W81)+SUM(BF81:BG81)</f>
        <v>0</v>
      </c>
      <c r="DC81" s="69" t="n">
        <f aca="false">J81+SUM(X70:Y81)+SUM(BH81:BI81)</f>
        <v>55</v>
      </c>
      <c r="DD81" s="69" t="n">
        <f aca="false">K81+SUM(AB70:AD81)+SUM(BL81:BN81)</f>
        <v>76</v>
      </c>
      <c r="DE81" s="1" t="n">
        <f aca="false">L81+SUM(AE70:AE81)+BO81</f>
        <v>0</v>
      </c>
      <c r="DF81" s="69" t="n">
        <f aca="false">M81+SUM(AG70:AG81)+BQ81</f>
        <v>24</v>
      </c>
      <c r="DG81" s="69" t="e">
        <f aca="false" t="array" ref="DG81:DG81">INDEX(TblConstr[[Total Plain]:[Total Water]],ROW()-ROW(TblConstr[#headers]),MATCH("Total "&amp;home_land,TblConstr[[#Headers],[Total Plain]:[Total Water]],0))+TblConstr[[#This Row],[Homes]]</f>
        <v>#VALUE!</v>
      </c>
      <c r="DH81" s="1" t="n">
        <f aca="false">SUM(O70:O81)+AY81</f>
        <v>40</v>
      </c>
      <c r="DI81" s="1" t="n">
        <f aca="false">MAX(BA81-BA80,0)</f>
        <v>0</v>
      </c>
      <c r="DJ81" s="1" t="n">
        <f aca="false">MAX(BQ81-BQ80,0)</f>
        <v>0</v>
      </c>
    </row>
    <row r="82" customFormat="false" ht="12.75" hidden="false" customHeight="false" outlineLevel="0" collapsed="false">
      <c r="A82" s="170" t="n">
        <f aca="false">TblRezone[[#This Row],[Hour]]</f>
        <v>79</v>
      </c>
      <c r="B82" s="171" t="n">
        <f aca="false">SUM(TblConstr[[#This Row],[Plain]:[Water]])</f>
        <v>0</v>
      </c>
      <c r="C82" s="172" t="n">
        <f aca="false">SUM(TblConstr[[#This Row],[Tot Hom]:[Tot Doc]])</f>
        <v>700</v>
      </c>
      <c r="D82" s="172" t="n">
        <f aca="false">SUM(O71:AG82)</f>
        <v>0</v>
      </c>
      <c r="E82" s="173"/>
      <c r="F82" s="33" t="n">
        <f aca="false">TblConstr[[#This Row],[Barren]]+TblConstr[[#This Row],[Buildings]]+TblConstr[[#This Row],[Incoming]]</f>
        <v>700</v>
      </c>
      <c r="G82" s="199" t="n">
        <f aca="false">OFFSET(TblConstr[[#This Row],[Plain]],-1,0)+TblConstr[[#This Row],[Ch_Plain]]</f>
        <v>0</v>
      </c>
      <c r="H82" s="193" t="n">
        <f aca="false">OFFSET(TblConstr[[#This Row],[Forest]],-1,0)+TblConstr[[#This Row],[Ch_Forest]]</f>
        <v>0</v>
      </c>
      <c r="I82" s="200" t="n">
        <f aca="false">OFFSET(TblConstr[[#This Row],[Mountain]],-1,0)+TblConstr[[#This Row],[Ch_Mountain]]</f>
        <v>0</v>
      </c>
      <c r="J82" s="201" t="n">
        <f aca="false">OFFSET(TblConstr[[#This Row],[Hill]],-1,0)+TblConstr[[#This Row],[Ch_Hill]]</f>
        <v>0</v>
      </c>
      <c r="K82" s="202" t="n">
        <f aca="false">OFFSET(TblConstr[[#This Row],[Swamp]],-1,0)+TblConstr[[#This Row],[Ch_Swamp]]</f>
        <v>0</v>
      </c>
      <c r="L82" s="197" t="n">
        <f aca="false">OFFSET(TblConstr[[#This Row],[Cavern]],-1,0)+TblConstr[[#This Row],[Ch_Cavern]]</f>
        <v>0</v>
      </c>
      <c r="M82" s="198" t="n">
        <f aca="false">OFFSET(TblConstr[[#This Row],[Water]],-1,0)+TblConstr[[#This Row],[Ch_Water]]</f>
        <v>0</v>
      </c>
      <c r="N82" s="181" t="n">
        <f aca="false">TblRezone[[#This Row],[Hour]]</f>
        <v>79</v>
      </c>
      <c r="O82" s="182"/>
      <c r="P82" s="182"/>
      <c r="Q82" s="182"/>
      <c r="R82" s="182"/>
      <c r="S82" s="182"/>
      <c r="T82" s="182"/>
      <c r="U82" s="182"/>
      <c r="V82" s="182"/>
      <c r="W82" s="182"/>
      <c r="X82" s="182"/>
      <c r="Y82" s="182"/>
      <c r="Z82" s="182"/>
      <c r="AA82" s="182"/>
      <c r="AB82" s="182"/>
      <c r="AC82" s="182"/>
      <c r="AD82" s="182"/>
      <c r="AE82" s="182"/>
      <c r="AF82" s="182"/>
      <c r="AG82" s="182"/>
      <c r="AH82" s="20" t="n">
        <f aca="false">TblImps[[#This Row],[Time]]</f>
        <v>45433</v>
      </c>
      <c r="AI82" s="130" t="n">
        <f aca="false">MIN(25%,(TblConstr[[#This Row],[Tot Fac]]+TblConstr[[#This Row],[Dest Fac]])/(TblConstr[[#This Row],[Land]]-TblExplore[[#This Row],[Land Bonus]]*20))</f>
        <v>0</v>
      </c>
      <c r="AJ82" s="130" t="n">
        <f aca="false">MIN(25%,(TblConstr[[#This Row],[Tot Fac]]+TblConstr[[#This Row],[Dest Fac]])/TblConstr[[#This Row],[Land]])</f>
        <v>0</v>
      </c>
      <c r="AK82" s="69" t="n">
        <f aca="false">TblProd[[#This Row],[Platinum]]</f>
        <v>245670</v>
      </c>
      <c r="AL82" s="69" t="n">
        <f aca="false">TblProd[[#This Row],[Lumber]]</f>
        <v>19807</v>
      </c>
      <c r="AM8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2" s="69" t="n">
        <f aca="false">ROUNDDOWN( MAX(1 - MIN(facs_constr_factor*TblConstr[[#This Row],[Facs -DB]],facs_constr_max) + tech_1_11*TblTech[[#This Row],[11-1]] + tech_6_3_2*TblTech[[#This Row],[6-3]] + tech_5_2_3*TblTech[[#This Row],[5-2]], 1-global_constr_cap) * TblConstr[[#This Row],[RCPA Lumber]],0)</f>
        <v>216</v>
      </c>
      <c r="AO8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2" s="69" t="n">
        <f aca="false">ROUNDDOWN( MAX(1 - MIN(facs_constr_factor*TblConstr[[#This Row],[Facs DB]],facs_constr_max) + tech_1_11*TblTech[[#This Row],[1-11]] + tech_6_3_2*TblTech[[#This Row],[6-3]] + tech_5_2_3*TblTech[[#This Row],[5-2]], 1-global_constr_cap) * ROUND((TblConstr[[#This Row],[Land]]-250)*0.285 + 87.5 + 0/4.25,0),0)</f>
        <v>216</v>
      </c>
      <c r="AQ82" s="1" t="n">
        <f aca="false">TblConstr[[#This Row],[build -db]]*TblConstr[[#This Row],[CPA Platinum -DB]] + TblConstr[[#This Row],[build db]]*TblConstr[[#This Row],[CPA Platinum DB]]</f>
        <v>0</v>
      </c>
      <c r="AR82" s="1" t="n">
        <f aca="false">TblConstr[[#This Row],[build -db]]*TblConstr[[#This Row],[CPA Lumber -DB]]+TblConstr[[#This Row],[build db]]*TblConstr[[#This Row],[CPA Lumber DB]]</f>
        <v>0</v>
      </c>
      <c r="AS82" s="69" t="n">
        <f aca="false">MIN(SUM(OFFSET(TblConstr[[#This Row],[Plain]:[Water]],-1,0))+SUM(TblConstr[[#This Row],[Dest Hom]:[Dest Doc]])+IF(TblConstr[[#This Row],[Hour]]&gt;12,SUM(OFFSET(TblExplore[[#This Row],[Plains Explore]:[Water Explore]],-12,0)),0),SUM(TblConstr[[#This Row],[Hom]:[Doc]]))</f>
        <v>0</v>
      </c>
      <c r="AT8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32"/>
      <c r="AV82" s="69" t="n">
        <f aca="false">ROUND((TblConstr[[#This Row],[Land]]-250 - IF(TblExplore[[#This Row],[Land Bonus]]&lt;&gt;0,20,0))*1.25 + 850 + 0,0)</f>
        <v>1413</v>
      </c>
      <c r="AW82" s="69" t="n">
        <f aca="false">ROUND((TblConstr[[#This Row],[Land]]-250 - IF(TblExplore[[#This Row],[Land Bonus]]&lt;&gt;0,20,0))*0.285 + 87.5 + 0/4.25,0)</f>
        <v>216</v>
      </c>
      <c r="AX82" s="146"/>
      <c r="AY82" s="203" t="n">
        <f aca="false" t="array" ref="AY82:AY82">IF(TblConstr[[#This Row],[Hour]:[Hour]]&gt;12,OFFSET(TblConstr[[#This Row],[Hom]],-12,0),0)+OFFSET(TblConstr[[#This Row],[Tot Hom]],-1,0)-TblConstr[[#This Row],[Dest Hom]]</f>
        <v>40</v>
      </c>
      <c r="AZ82" s="204" t="n">
        <f aca="false" t="array" ref="AZ82:AZ82">IF(TblConstr[[#This Row],[Hour]:[Hour]]&gt;12,OFFSET(TblConstr[[#This Row],[Alc]],-12,0),0)+OFFSET(TblConstr[[#This Row],[Tot Alc]],-1,0)-TblConstr[[#This Row],[Dest Alc]]</f>
        <v>275</v>
      </c>
      <c r="BA82" s="204" t="n">
        <f aca="false" t="array" ref="BA82:BA82">IF(TblConstr[[#This Row],[Hour]:[Hour]]&gt;12,OFFSET(TblConstr[[#This Row],[Far]],-12,0),0)+OFFSET(TblConstr[[#This Row],[Tot Farm]],-1,0)-TblConstr[[#This Row],[Dest Farm]]</f>
        <v>29</v>
      </c>
      <c r="BB82" s="204" t="n">
        <f aca="false" t="array" ref="BB82:BB82">IF(TblConstr[[#This Row],[Hour]:[Hour]]&gt;12,OFFSET(TblConstr[[#This Row],[Smi]],-12,0),0)+OFFSET(TblConstr[[#This Row],[Tot Smi]],-1,0)-TblConstr[[#This Row],[Dest Smi]]</f>
        <v>126</v>
      </c>
      <c r="BC82" s="204" t="n">
        <f aca="false" t="array" ref="BC82:BC82">IF(TblConstr[[#This Row],[Hour]:[Hour]]&gt;12,OFFSET(TblConstr[[#This Row],[Mas]],-12,0),0)+OFFSET(TblConstr[[#This Row],[Tot Mas]],-1,0)-TblConstr[[#This Row],[Dest Mas]]</f>
        <v>0</v>
      </c>
      <c r="BD82" s="205" t="n">
        <f aca="false" t="array" ref="BD82:BD82">IF(TblConstr[[#This Row],[Hour]:[Hour]]&gt;12,OFFSET(TblConstr[[#This Row],[Ly]],-12,0),0)+OFFSET(TblConstr[[#This Row],[Tot Ly]],-1,0)-TblConstr[[#This Row],[Dest Ly]]</f>
        <v>25</v>
      </c>
      <c r="BE82" s="205" t="n">
        <f aca="false" t="array" ref="BE82:BE82">IF(TblConstr[[#This Row],[Hour]:[Hour]]&gt;12,OFFSET(TblConstr[[#This Row],[Hav]],-12,0),0)+OFFSET(TblConstr[[#This Row],[Tot Hav]],-1,0)-TblConstr[[#This Row],[Dest Hav]]</f>
        <v>0</v>
      </c>
      <c r="BF82" s="194" t="n">
        <f aca="false" t="array" ref="BF82:BF82">IF(TblConstr[[#This Row],[Hour]:[Hour]]&gt;12,OFFSET(TblConstr[[#This Row],[OM]],-12,0),0)+OFFSET(TblConstr[[#This Row],[Tot OM]],-1,0)-TblConstr[[#This Row],[Dest OM]]</f>
        <v>0</v>
      </c>
      <c r="BG82" s="194" t="n">
        <f aca="false" t="array" ref="BG82:BG82">IF(TblConstr[[#This Row],[Hour]:[Hour]]&gt;12,OFFSET(TblConstr[[#This Row],[GN]],-12,0),0)+OFFSET(TblConstr[[#This Row],[Tot GN]],-1,0)-TblConstr[[#This Row],[Dest GN]]</f>
        <v>0</v>
      </c>
      <c r="BH82" s="206" t="n">
        <f aca="false" t="array" ref="BH82:BH82">IF(TblConstr[[#This Row],[Hour]:[Hour]]&gt;12,OFFSET(TblConstr[[#This Row],[Fac]],-12,0),0)+OFFSET(TblConstr[[#This Row],[Tot Fac]],-1,0)-TblConstr[[#This Row],[Dest Fac]]</f>
        <v>0</v>
      </c>
      <c r="BI82" s="206" t="n">
        <f aca="false" t="array" ref="BI82:BI82">IF(TblConstr[[#This Row],[Hour]:[Hour]]&gt;12,OFFSET(TblConstr[[#This Row],[GT]],-12,0),0)+OFFSET(TblConstr[[#This Row],[Tot GT]],-1,0)-TblConstr[[#This Row],[Dest GT]]</f>
        <v>55</v>
      </c>
      <c r="BJ82" s="206" t="n">
        <f aca="false" t="array" ref="BJ82:BJ82">IF(TblConstr[[#This Row],[Hour]:[Hour]]&gt;12,OFFSET(TblConstr[[#This Row],[Bar]],-12,0),0)+OFFSET(TblConstr[[#This Row],[Tot Bar]],-1,0)-TblConstr[[#This Row],[Dest Bar]]</f>
        <v>50</v>
      </c>
      <c r="BK82" s="206" t="n">
        <f aca="false" t="array" ref="BK82:BK82">IF(TblConstr[[#This Row],[Hour]:[Hour]]&gt;12,OFFSET(TblConstr[[#This Row],[Shr]],-12,0),0)+OFFSET(TblConstr[[#This Row],[Tot Shr]],-1,0)-TblConstr[[#This Row],[Dest Shr]]</f>
        <v>0</v>
      </c>
      <c r="BL82" s="207" t="n">
        <f aca="false" t="array" ref="BL82:BL82">IF(TblConstr[[#This Row],[Hour]:[Hour]]&gt;12,OFFSET(TblConstr[[#This Row],[Tow]],-12,0),0)+OFFSET(TblConstr[[#This Row],[Tot Tow]],-1,0)-TblConstr[[#This Row],[Dest Tow]]</f>
        <v>29</v>
      </c>
      <c r="BM82" s="207" t="n">
        <f aca="false" t="array" ref="BM82:BM82">IF(TblConstr[[#This Row],[Hour]:[Hour]]&gt;12,OFFSET(TblConstr[[#This Row],[Tem]],-12,0),0)+OFFSET(TblConstr[[#This Row],[Tot Tem]],-1,0)-TblConstr[[#This Row],[Dest Tem]]</f>
        <v>47</v>
      </c>
      <c r="BN82" s="207" t="n">
        <f aca="false" t="array" ref="BN82:BN82">IF(TblConstr[[#This Row],[Hour]:[Hour]]&gt;12,OFFSET(TblConstr[[#This Row],[WG]],-12,0),0)+OFFSET(TblConstr[[#This Row],[Tot WG]],-1,0)-TblConstr[[#This Row],[Dest WG]]</f>
        <v>0</v>
      </c>
      <c r="BO82" s="208" t="n">
        <f aca="false" t="array" ref="BO82:BO82">IF(TblConstr[[#This Row],[Hour]:[Hour]]&gt;12,OFFSET(TblConstr[[#This Row],[DM]],-12,0),0)+OFFSET(TblConstr[[#This Row],[Tot DM]],-1,0)-TblConstr[[#This Row],[Dest DM]]</f>
        <v>0</v>
      </c>
      <c r="BP82" s="208" t="n">
        <f aca="false" t="array" ref="BP82:BP82">IF(TblConstr[[#This Row],[Hour]:[Hour]]&gt;12,OFFSET(TblConstr[[#This Row],[Sch]],-12,0),0)+OFFSET(TblConstr[[#This Row],[Tot Sch]],-1,0)-TblConstr[[#This Row],[Dest Sch]]</f>
        <v>0</v>
      </c>
      <c r="BQ82" s="209" t="n">
        <f aca="false" t="array" ref="BQ82:BQ82">IF(TblConstr[[#This Row],[Hour]:[Hour]]&gt;12,OFFSET(TblConstr[[#This Row],[Doc]],-12,0),0)+OFFSET(TblConstr[[#This Row],[Tot Doc]],-1,0)-TblConstr[[#This Row],[Dest Doc]]</f>
        <v>24</v>
      </c>
      <c r="BR82" s="132"/>
      <c r="BS82" s="146"/>
      <c r="BT82" s="69" t="n">
        <f aca="false">TblConstr[[#This Row],[Land]]</f>
        <v>700</v>
      </c>
      <c r="BU82" s="153" t="n">
        <f aca="false">TblImps[[#This Row],[Time]]</f>
        <v>45433</v>
      </c>
      <c r="BV82" s="132"/>
      <c r="BW82" s="182"/>
      <c r="BX82" s="182"/>
      <c r="BY82" s="182"/>
      <c r="BZ82" s="182"/>
      <c r="CA82" s="182"/>
      <c r="CB82" s="182"/>
      <c r="CC82" s="182"/>
      <c r="CD82" s="182"/>
      <c r="CE82" s="182"/>
      <c r="CF82" s="182"/>
      <c r="CG82" s="182"/>
      <c r="CH82" s="182"/>
      <c r="CI82" s="182"/>
      <c r="CJ82" s="182"/>
      <c r="CK82" s="182"/>
      <c r="CL82" s="182"/>
      <c r="CM82" s="182"/>
      <c r="CN82" s="182"/>
      <c r="CO82" s="182"/>
      <c r="CP82" s="132"/>
      <c r="CQ82" s="192" t="n">
        <f aca="false">-SUM(TblConstr[[#This Row],[Alc]:[Mas]])+SUM(TblConstr[[#This Row],[Dest Alc]:[Dest Mas]])+Rezone!L82+IF("Ch_"&amp; home_land=TblConstr[[#Headers],[Ch_Plain]],TblConstr[[#This Row],[Home Land]])+IF(TblConstr[[#This Row],[Hour]:[Hour]]&gt;12,OFFSET(TblExplore[[#This Row],[Plains Explore]],-12,0),0)</f>
        <v>0</v>
      </c>
      <c r="CR82" s="193" t="n">
        <f aca="false">-SUM(TblConstr[[#This Row],[Ly]:[Hav]])+SUM(TblConstr[[#This Row],[Dest Ly]:[Dest Hav]]) +Rezone!M82 + IF("Ch_"&amp; home_land=TblConstr[[#Headers],[Ch_Forest]],TblConstr[[#This Row],[Home Land]])+IF(TblConstr[[#This Row],[Hour]:[Hour]]&gt;12,OFFSET(TblExplore[[#This Row],[Forest Explore]],-12,0),0)</f>
        <v>0</v>
      </c>
      <c r="CS82" s="200" t="n">
        <f aca="false">-SUM(TblConstr[[#This Row],[OM]:[GN]])+SUM(TblConstr[[#This Row],[Dest OM]:[Dest GN]]) +Rezone!N82 + IF("Ch_"&amp; home_land=TblConstr[[#Headers],[Ch_Mountain]],TblConstr[[#This Row],[Home Land]])+IF(TblConstr[[#This Row],[Hour]:[Hour]]&gt;12,OFFSET(TblExplore[[#This Row],[Mountain Explore]],-12,0),0)</f>
        <v>0</v>
      </c>
      <c r="CT82" s="195" t="n">
        <f aca="false">-SUM(TblConstr[[#This Row],[Fac]:[Shr]])+SUM(TblConstr[[#This Row],[Dest Fac]:[Dest Shr]]) +Rezone!O82 + IF("Ch_" &amp; home_land=TblConstr[[#Headers],[Ch_Hill]],TblConstr[[#This Row],[Home Land]])+IF(TblConstr[[#This Row],[Hour]:[Hour]]&gt;12,OFFSET(TblExplore[[#This Row],[Hill Explore]],-12,0),0)</f>
        <v>0</v>
      </c>
      <c r="CU82" s="196" t="n">
        <f aca="false">-SUM(TblConstr[[#This Row],[Tow]:[WG]])+SUM(TblConstr[[#This Row],[Dest Tow]:[Dest WG]]) +Rezone!P82 + IF("Ch_" &amp; home_land=TblConstr[[#Headers],[Ch_Swamp]],TblConstr[[#This Row],[Home Land]])+IF(TblConstr[[#This Row],[Hour]:[Hour]]&gt;12,OFFSET(TblExplore[[#This Row],[Swamp Explore]],-12,0),0)</f>
        <v>0</v>
      </c>
      <c r="CV82" s="197" t="n">
        <f aca="false">- SUM(TblConstr[[#This Row],[DM]:[Sch]])+SUM(TblConstr[[#This Row],[Dest DM]:[Dest Sch]]) +Rezone!Q82 + IF("Ch_" &amp; home_land=TblConstr[[#Headers],[Ch_Cavern]],TblConstr[[#This Row],[Home Land]])+IF(TblConstr[[#This Row],[Hour]:[Hour]]&gt;12,OFFSET(TblExplore[[#This Row],[Cavern Explore]],-12,0),0)</f>
        <v>0</v>
      </c>
      <c r="CW82" s="198" t="n">
        <f aca="false">-TblConstr[[#This Row],[Doc]]+TblConstr[[#This Row],[Dest Doc]] +Rezone!R82 + IF("Ch_" &amp; home_land=TblConstr[[#Headers],[Ch_Water]],TblConstr[[#This Row],[Home Land]])+IF(TblConstr[[#This Row],[Hour]:[Hour]]&gt;12,OFFSET(TblExplore[[#This Row],[Water Explore]],-12,0),0)</f>
        <v>0</v>
      </c>
      <c r="CX82" s="1" t="n">
        <f aca="false">IF(Explore!S82=1,20) - TblConstr[[#This Row],[Hom]] + TblConstr[[#This Row],[Dest Hom]]</f>
        <v>0</v>
      </c>
      <c r="CY82" s="132"/>
      <c r="CZ82" s="69" t="n">
        <f aca="false">G82+SUM(P71:S82)+SUM(AZ82:BC82)</f>
        <v>430</v>
      </c>
      <c r="DA82" s="69" t="n">
        <f aca="false">H82+SUM(T71:U82)+SUM(BD82:BE82)</f>
        <v>25</v>
      </c>
      <c r="DB82" s="1" t="n">
        <f aca="false">I82+SUM(V71:W82)+SUM(BF82:BG82)</f>
        <v>0</v>
      </c>
      <c r="DC82" s="69" t="n">
        <f aca="false">J82+SUM(X71:Y82)+SUM(BH82:BI82)</f>
        <v>55</v>
      </c>
      <c r="DD82" s="69" t="n">
        <f aca="false">K82+SUM(AB71:AD82)+SUM(BL82:BN82)</f>
        <v>76</v>
      </c>
      <c r="DE82" s="1" t="n">
        <f aca="false">L82+SUM(AE71:AE82)+BO82</f>
        <v>0</v>
      </c>
      <c r="DF82" s="69" t="n">
        <f aca="false">M82+SUM(AG71:AG82)+BQ82</f>
        <v>24</v>
      </c>
      <c r="DG82" s="69" t="e">
        <f aca="false" t="array" ref="DG82:DG82">INDEX(TblConstr[[Total Plain]:[Total Water]],ROW()-ROW(TblConstr[#headers]),MATCH("Total "&amp;home_land,TblConstr[[#Headers],[Total Plain]:[Total Water]],0))+TblConstr[[#This Row],[Homes]]</f>
        <v>#VALUE!</v>
      </c>
      <c r="DH82" s="1" t="n">
        <f aca="false">SUM(O71:O82)+AY82</f>
        <v>40</v>
      </c>
      <c r="DI82" s="1" t="n">
        <f aca="false">MAX(BA82-BA81,0)</f>
        <v>0</v>
      </c>
      <c r="DJ82" s="1" t="n">
        <f aca="false">MAX(BQ82-BQ81,0)</f>
        <v>0</v>
      </c>
    </row>
    <row r="83" customFormat="false" ht="12.75" hidden="false" customHeight="false" outlineLevel="0" collapsed="false">
      <c r="A83" s="170" t="n">
        <f aca="false">TblRezone[[#This Row],[Hour]]</f>
        <v>80</v>
      </c>
      <c r="B83" s="171" t="n">
        <f aca="false">SUM(TblConstr[[#This Row],[Plain]:[Water]])</f>
        <v>0</v>
      </c>
      <c r="C83" s="172" t="n">
        <f aca="false">SUM(TblConstr[[#This Row],[Tot Hom]:[Tot Doc]])</f>
        <v>700</v>
      </c>
      <c r="D83" s="172" t="n">
        <f aca="false">SUM(O72:AG83)</f>
        <v>0</v>
      </c>
      <c r="E83" s="173"/>
      <c r="F83" s="33" t="n">
        <f aca="false">TblConstr[[#This Row],[Barren]]+TblConstr[[#This Row],[Buildings]]+TblConstr[[#This Row],[Incoming]]</f>
        <v>700</v>
      </c>
      <c r="G83" s="199" t="n">
        <f aca="false">OFFSET(TblConstr[[#This Row],[Plain]],-1,0)+TblConstr[[#This Row],[Ch_Plain]]</f>
        <v>0</v>
      </c>
      <c r="H83" s="193" t="n">
        <f aca="false">OFFSET(TblConstr[[#This Row],[Forest]],-1,0)+TblConstr[[#This Row],[Ch_Forest]]</f>
        <v>0</v>
      </c>
      <c r="I83" s="200" t="n">
        <f aca="false">OFFSET(TblConstr[[#This Row],[Mountain]],-1,0)+TblConstr[[#This Row],[Ch_Mountain]]</f>
        <v>0</v>
      </c>
      <c r="J83" s="201" t="n">
        <f aca="false">OFFSET(TblConstr[[#This Row],[Hill]],-1,0)+TblConstr[[#This Row],[Ch_Hill]]</f>
        <v>0</v>
      </c>
      <c r="K83" s="202" t="n">
        <f aca="false">OFFSET(TblConstr[[#This Row],[Swamp]],-1,0)+TblConstr[[#This Row],[Ch_Swamp]]</f>
        <v>0</v>
      </c>
      <c r="L83" s="197" t="n">
        <f aca="false">OFFSET(TblConstr[[#This Row],[Cavern]],-1,0)+TblConstr[[#This Row],[Ch_Cavern]]</f>
        <v>0</v>
      </c>
      <c r="M83" s="198" t="n">
        <f aca="false">OFFSET(TblConstr[[#This Row],[Water]],-1,0)+TblConstr[[#This Row],[Ch_Water]]</f>
        <v>0</v>
      </c>
      <c r="N83" s="181" t="n">
        <f aca="false">TblRezone[[#This Row],[Hour]]</f>
        <v>80</v>
      </c>
      <c r="O83" s="182"/>
      <c r="P83" s="182"/>
      <c r="Q83" s="182"/>
      <c r="R83" s="182"/>
      <c r="S83" s="182"/>
      <c r="T83" s="182"/>
      <c r="U83" s="182"/>
      <c r="V83" s="182"/>
      <c r="W83" s="182"/>
      <c r="X83" s="182"/>
      <c r="Y83" s="182"/>
      <c r="Z83" s="182"/>
      <c r="AA83" s="182"/>
      <c r="AB83" s="182"/>
      <c r="AC83" s="182"/>
      <c r="AD83" s="182"/>
      <c r="AE83" s="182"/>
      <c r="AF83" s="182"/>
      <c r="AG83" s="182"/>
      <c r="AH83" s="20" t="n">
        <f aca="false">TblImps[[#This Row],[Time]]</f>
        <v>45433.0416666667</v>
      </c>
      <c r="AI83" s="130" t="n">
        <f aca="false">MIN(25%,(TblConstr[[#This Row],[Tot Fac]]+TblConstr[[#This Row],[Dest Fac]])/(TblConstr[[#This Row],[Land]]-TblExplore[[#This Row],[Land Bonus]]*20))</f>
        <v>0</v>
      </c>
      <c r="AJ83" s="130" t="n">
        <f aca="false">MIN(25%,(TblConstr[[#This Row],[Tot Fac]]+TblConstr[[#This Row],[Dest Fac]])/TblConstr[[#This Row],[Land]])</f>
        <v>0</v>
      </c>
      <c r="AK83" s="69" t="n">
        <f aca="false">TblProd[[#This Row],[Platinum]]</f>
        <v>291213</v>
      </c>
      <c r="AL83" s="69" t="n">
        <f aca="false">TblProd[[#This Row],[Lumber]]</f>
        <v>20734</v>
      </c>
      <c r="AM8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3" s="69" t="n">
        <f aca="false">ROUNDDOWN( MAX(1 - MIN(facs_constr_factor*TblConstr[[#This Row],[Facs -DB]],facs_constr_max) + tech_1_11*TblTech[[#This Row],[11-1]] + tech_6_3_2*TblTech[[#This Row],[6-3]] + tech_5_2_3*TblTech[[#This Row],[5-2]], 1-global_constr_cap) * TblConstr[[#This Row],[RCPA Lumber]],0)</f>
        <v>216</v>
      </c>
      <c r="AO8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3" s="69" t="n">
        <f aca="false">ROUNDDOWN( MAX(1 - MIN(facs_constr_factor*TblConstr[[#This Row],[Facs DB]],facs_constr_max) + tech_1_11*TblTech[[#This Row],[1-11]] + tech_6_3_2*TblTech[[#This Row],[6-3]] + tech_5_2_3*TblTech[[#This Row],[5-2]], 1-global_constr_cap) * ROUND((TblConstr[[#This Row],[Land]]-250)*0.285 + 87.5 + 0/4.25,0),0)</f>
        <v>216</v>
      </c>
      <c r="AQ83" s="1" t="n">
        <f aca="false">TblConstr[[#This Row],[build -db]]*TblConstr[[#This Row],[CPA Platinum -DB]] + TblConstr[[#This Row],[build db]]*TblConstr[[#This Row],[CPA Platinum DB]]</f>
        <v>0</v>
      </c>
      <c r="AR83" s="1" t="n">
        <f aca="false">TblConstr[[#This Row],[build -db]]*TblConstr[[#This Row],[CPA Lumber -DB]]+TblConstr[[#This Row],[build db]]*TblConstr[[#This Row],[CPA Lumber DB]]</f>
        <v>0</v>
      </c>
      <c r="AS83" s="69" t="n">
        <f aca="false">MIN(SUM(OFFSET(TblConstr[[#This Row],[Plain]:[Water]],-1,0))+SUM(TblConstr[[#This Row],[Dest Hom]:[Dest Doc]])+IF(TblConstr[[#This Row],[Hour]]&gt;12,SUM(OFFSET(TblExplore[[#This Row],[Plains Explore]:[Water Explore]],-12,0)),0),SUM(TblConstr[[#This Row],[Hom]:[Doc]]))</f>
        <v>0</v>
      </c>
      <c r="AT8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32"/>
      <c r="AV83" s="69" t="n">
        <f aca="false">ROUND((TblConstr[[#This Row],[Land]]-250 - IF(TblExplore[[#This Row],[Land Bonus]]&lt;&gt;0,20,0))*1.25 + 850 + 0,0)</f>
        <v>1413</v>
      </c>
      <c r="AW83" s="69" t="n">
        <f aca="false">ROUND((TblConstr[[#This Row],[Land]]-250 - IF(TblExplore[[#This Row],[Land Bonus]]&lt;&gt;0,20,0))*0.285 + 87.5 + 0/4.25,0)</f>
        <v>216</v>
      </c>
      <c r="AX83" s="146"/>
      <c r="AY83" s="203" t="n">
        <f aca="false" t="array" ref="AY83:AY83">IF(TblConstr[[#This Row],[Hour]:[Hour]]&gt;12,OFFSET(TblConstr[[#This Row],[Hom]],-12,0),0)+OFFSET(TblConstr[[#This Row],[Tot Hom]],-1,0)-TblConstr[[#This Row],[Dest Hom]]</f>
        <v>40</v>
      </c>
      <c r="AZ83" s="204" t="n">
        <f aca="false" t="array" ref="AZ83:AZ83">IF(TblConstr[[#This Row],[Hour]:[Hour]]&gt;12,OFFSET(TblConstr[[#This Row],[Alc]],-12,0),0)+OFFSET(TblConstr[[#This Row],[Tot Alc]],-1,0)-TblConstr[[#This Row],[Dest Alc]]</f>
        <v>275</v>
      </c>
      <c r="BA83" s="204" t="n">
        <f aca="false" t="array" ref="BA83:BA83">IF(TblConstr[[#This Row],[Hour]:[Hour]]&gt;12,OFFSET(TblConstr[[#This Row],[Far]],-12,0),0)+OFFSET(TblConstr[[#This Row],[Tot Farm]],-1,0)-TblConstr[[#This Row],[Dest Farm]]</f>
        <v>29</v>
      </c>
      <c r="BB83" s="204" t="n">
        <f aca="false" t="array" ref="BB83:BB83">IF(TblConstr[[#This Row],[Hour]:[Hour]]&gt;12,OFFSET(TblConstr[[#This Row],[Smi]],-12,0),0)+OFFSET(TblConstr[[#This Row],[Tot Smi]],-1,0)-TblConstr[[#This Row],[Dest Smi]]</f>
        <v>126</v>
      </c>
      <c r="BC83" s="204" t="n">
        <f aca="false" t="array" ref="BC83:BC83">IF(TblConstr[[#This Row],[Hour]:[Hour]]&gt;12,OFFSET(TblConstr[[#This Row],[Mas]],-12,0),0)+OFFSET(TblConstr[[#This Row],[Tot Mas]],-1,0)-TblConstr[[#This Row],[Dest Mas]]</f>
        <v>0</v>
      </c>
      <c r="BD83" s="205" t="n">
        <f aca="false" t="array" ref="BD83:BD83">IF(TblConstr[[#This Row],[Hour]:[Hour]]&gt;12,OFFSET(TblConstr[[#This Row],[Ly]],-12,0),0)+OFFSET(TblConstr[[#This Row],[Tot Ly]],-1,0)-TblConstr[[#This Row],[Dest Ly]]</f>
        <v>25</v>
      </c>
      <c r="BE83" s="205" t="n">
        <f aca="false" t="array" ref="BE83:BE83">IF(TblConstr[[#This Row],[Hour]:[Hour]]&gt;12,OFFSET(TblConstr[[#This Row],[Hav]],-12,0),0)+OFFSET(TblConstr[[#This Row],[Tot Hav]],-1,0)-TblConstr[[#This Row],[Dest Hav]]</f>
        <v>0</v>
      </c>
      <c r="BF83" s="194" t="n">
        <f aca="false" t="array" ref="BF83:BF83">IF(TblConstr[[#This Row],[Hour]:[Hour]]&gt;12,OFFSET(TblConstr[[#This Row],[OM]],-12,0),0)+OFFSET(TblConstr[[#This Row],[Tot OM]],-1,0)-TblConstr[[#This Row],[Dest OM]]</f>
        <v>0</v>
      </c>
      <c r="BG83" s="194" t="n">
        <f aca="false" t="array" ref="BG83:BG83">IF(TblConstr[[#This Row],[Hour]:[Hour]]&gt;12,OFFSET(TblConstr[[#This Row],[GN]],-12,0),0)+OFFSET(TblConstr[[#This Row],[Tot GN]],-1,0)-TblConstr[[#This Row],[Dest GN]]</f>
        <v>0</v>
      </c>
      <c r="BH83" s="206" t="n">
        <f aca="false" t="array" ref="BH83:BH83">IF(TblConstr[[#This Row],[Hour]:[Hour]]&gt;12,OFFSET(TblConstr[[#This Row],[Fac]],-12,0),0)+OFFSET(TblConstr[[#This Row],[Tot Fac]],-1,0)-TblConstr[[#This Row],[Dest Fac]]</f>
        <v>0</v>
      </c>
      <c r="BI83" s="206" t="n">
        <f aca="false" t="array" ref="BI83:BI83">IF(TblConstr[[#This Row],[Hour]:[Hour]]&gt;12,OFFSET(TblConstr[[#This Row],[GT]],-12,0),0)+OFFSET(TblConstr[[#This Row],[Tot GT]],-1,0)-TblConstr[[#This Row],[Dest GT]]</f>
        <v>55</v>
      </c>
      <c r="BJ83" s="206" t="n">
        <f aca="false" t="array" ref="BJ83:BJ83">IF(TblConstr[[#This Row],[Hour]:[Hour]]&gt;12,OFFSET(TblConstr[[#This Row],[Bar]],-12,0),0)+OFFSET(TblConstr[[#This Row],[Tot Bar]],-1,0)-TblConstr[[#This Row],[Dest Bar]]</f>
        <v>50</v>
      </c>
      <c r="BK83" s="206" t="n">
        <f aca="false" t="array" ref="BK83:BK83">IF(TblConstr[[#This Row],[Hour]:[Hour]]&gt;12,OFFSET(TblConstr[[#This Row],[Shr]],-12,0),0)+OFFSET(TblConstr[[#This Row],[Tot Shr]],-1,0)-TblConstr[[#This Row],[Dest Shr]]</f>
        <v>0</v>
      </c>
      <c r="BL83" s="207" t="n">
        <f aca="false" t="array" ref="BL83:BL83">IF(TblConstr[[#This Row],[Hour]:[Hour]]&gt;12,OFFSET(TblConstr[[#This Row],[Tow]],-12,0),0)+OFFSET(TblConstr[[#This Row],[Tot Tow]],-1,0)-TblConstr[[#This Row],[Dest Tow]]</f>
        <v>29</v>
      </c>
      <c r="BM83" s="207" t="n">
        <f aca="false" t="array" ref="BM83:BM83">IF(TblConstr[[#This Row],[Hour]:[Hour]]&gt;12,OFFSET(TblConstr[[#This Row],[Tem]],-12,0),0)+OFFSET(TblConstr[[#This Row],[Tot Tem]],-1,0)-TblConstr[[#This Row],[Dest Tem]]</f>
        <v>47</v>
      </c>
      <c r="BN83" s="207" t="n">
        <f aca="false" t="array" ref="BN83:BN83">IF(TblConstr[[#This Row],[Hour]:[Hour]]&gt;12,OFFSET(TblConstr[[#This Row],[WG]],-12,0),0)+OFFSET(TblConstr[[#This Row],[Tot WG]],-1,0)-TblConstr[[#This Row],[Dest WG]]</f>
        <v>0</v>
      </c>
      <c r="BO83" s="208" t="n">
        <f aca="false" t="array" ref="BO83:BO83">IF(TblConstr[[#This Row],[Hour]:[Hour]]&gt;12,OFFSET(TblConstr[[#This Row],[DM]],-12,0),0)+OFFSET(TblConstr[[#This Row],[Tot DM]],-1,0)-TblConstr[[#This Row],[Dest DM]]</f>
        <v>0</v>
      </c>
      <c r="BP83" s="208" t="n">
        <f aca="false" t="array" ref="BP83:BP83">IF(TblConstr[[#This Row],[Hour]:[Hour]]&gt;12,OFFSET(TblConstr[[#This Row],[Sch]],-12,0),0)+OFFSET(TblConstr[[#This Row],[Tot Sch]],-1,0)-TblConstr[[#This Row],[Dest Sch]]</f>
        <v>0</v>
      </c>
      <c r="BQ83" s="209" t="n">
        <f aca="false" t="array" ref="BQ83:BQ83">IF(TblConstr[[#This Row],[Hour]:[Hour]]&gt;12,OFFSET(TblConstr[[#This Row],[Doc]],-12,0),0)+OFFSET(TblConstr[[#This Row],[Tot Doc]],-1,0)-TblConstr[[#This Row],[Dest Doc]]</f>
        <v>24</v>
      </c>
      <c r="BR83" s="132"/>
      <c r="BS83" s="146"/>
      <c r="BT83" s="69" t="n">
        <f aca="false">TblConstr[[#This Row],[Land]]</f>
        <v>700</v>
      </c>
      <c r="BU83" s="153" t="n">
        <f aca="false">TblImps[[#This Row],[Time]]</f>
        <v>45433.0416666667</v>
      </c>
      <c r="BV83" s="132"/>
      <c r="BW83" s="182"/>
      <c r="BX83" s="182"/>
      <c r="BY83" s="182"/>
      <c r="BZ83" s="182"/>
      <c r="CA83" s="182"/>
      <c r="CB83" s="182"/>
      <c r="CC83" s="182"/>
      <c r="CD83" s="182"/>
      <c r="CE83" s="182"/>
      <c r="CF83" s="182"/>
      <c r="CG83" s="182"/>
      <c r="CH83" s="182"/>
      <c r="CI83" s="182"/>
      <c r="CJ83" s="182"/>
      <c r="CK83" s="182"/>
      <c r="CL83" s="182"/>
      <c r="CM83" s="182"/>
      <c r="CN83" s="182"/>
      <c r="CO83" s="182"/>
      <c r="CP83" s="132"/>
      <c r="CQ83" s="192" t="n">
        <f aca="false">-SUM(TblConstr[[#This Row],[Alc]:[Mas]])+SUM(TblConstr[[#This Row],[Dest Alc]:[Dest Mas]])+Rezone!L83+IF("Ch_"&amp; home_land=TblConstr[[#Headers],[Ch_Plain]],TblConstr[[#This Row],[Home Land]])+IF(TblConstr[[#This Row],[Hour]:[Hour]]&gt;12,OFFSET(TblExplore[[#This Row],[Plains Explore]],-12,0),0)</f>
        <v>0</v>
      </c>
      <c r="CR83" s="193" t="n">
        <f aca="false">-SUM(TblConstr[[#This Row],[Ly]:[Hav]])+SUM(TblConstr[[#This Row],[Dest Ly]:[Dest Hav]]) +Rezone!M83 + IF("Ch_"&amp; home_land=TblConstr[[#Headers],[Ch_Forest]],TblConstr[[#This Row],[Home Land]])+IF(TblConstr[[#This Row],[Hour]:[Hour]]&gt;12,OFFSET(TblExplore[[#This Row],[Forest Explore]],-12,0),0)</f>
        <v>0</v>
      </c>
      <c r="CS83" s="200" t="n">
        <f aca="false">-SUM(TblConstr[[#This Row],[OM]:[GN]])+SUM(TblConstr[[#This Row],[Dest OM]:[Dest GN]]) +Rezone!N83 + IF("Ch_"&amp; home_land=TblConstr[[#Headers],[Ch_Mountain]],TblConstr[[#This Row],[Home Land]])+IF(TblConstr[[#This Row],[Hour]:[Hour]]&gt;12,OFFSET(TblExplore[[#This Row],[Mountain Explore]],-12,0),0)</f>
        <v>0</v>
      </c>
      <c r="CT83" s="195" t="n">
        <f aca="false">-SUM(TblConstr[[#This Row],[Fac]:[Shr]])+SUM(TblConstr[[#This Row],[Dest Fac]:[Dest Shr]]) +Rezone!O83 + IF("Ch_" &amp; home_land=TblConstr[[#Headers],[Ch_Hill]],TblConstr[[#This Row],[Home Land]])+IF(TblConstr[[#This Row],[Hour]:[Hour]]&gt;12,OFFSET(TblExplore[[#This Row],[Hill Explore]],-12,0),0)</f>
        <v>0</v>
      </c>
      <c r="CU83" s="196" t="n">
        <f aca="false">-SUM(TblConstr[[#This Row],[Tow]:[WG]])+SUM(TblConstr[[#This Row],[Dest Tow]:[Dest WG]]) +Rezone!P83 + IF("Ch_" &amp; home_land=TblConstr[[#Headers],[Ch_Swamp]],TblConstr[[#This Row],[Home Land]])+IF(TblConstr[[#This Row],[Hour]:[Hour]]&gt;12,OFFSET(TblExplore[[#This Row],[Swamp Explore]],-12,0),0)</f>
        <v>0</v>
      </c>
      <c r="CV83" s="197" t="n">
        <f aca="false">- SUM(TblConstr[[#This Row],[DM]:[Sch]])+SUM(TblConstr[[#This Row],[Dest DM]:[Dest Sch]]) +Rezone!Q83 + IF("Ch_" &amp; home_land=TblConstr[[#Headers],[Ch_Cavern]],TblConstr[[#This Row],[Home Land]])+IF(TblConstr[[#This Row],[Hour]:[Hour]]&gt;12,OFFSET(TblExplore[[#This Row],[Cavern Explore]],-12,0),0)</f>
        <v>0</v>
      </c>
      <c r="CW83" s="198" t="n">
        <f aca="false">-TblConstr[[#This Row],[Doc]]+TblConstr[[#This Row],[Dest Doc]] +Rezone!R83 + IF("Ch_" &amp; home_land=TblConstr[[#Headers],[Ch_Water]],TblConstr[[#This Row],[Home Land]])+IF(TblConstr[[#This Row],[Hour]:[Hour]]&gt;12,OFFSET(TblExplore[[#This Row],[Water Explore]],-12,0),0)</f>
        <v>0</v>
      </c>
      <c r="CX83" s="1" t="n">
        <f aca="false">IF(Explore!S83=1,20) - TblConstr[[#This Row],[Hom]] + TblConstr[[#This Row],[Dest Hom]]</f>
        <v>0</v>
      </c>
      <c r="CY83" s="132"/>
      <c r="CZ83" s="69" t="n">
        <f aca="false">G83+SUM(P72:S83)+SUM(AZ83:BC83)</f>
        <v>430</v>
      </c>
      <c r="DA83" s="69" t="n">
        <f aca="false">H83+SUM(T72:U83)+SUM(BD83:BE83)</f>
        <v>25</v>
      </c>
      <c r="DB83" s="1" t="n">
        <f aca="false">I83+SUM(V72:W83)+SUM(BF83:BG83)</f>
        <v>0</v>
      </c>
      <c r="DC83" s="69" t="n">
        <f aca="false">J83+SUM(X72:Y83)+SUM(BH83:BI83)</f>
        <v>55</v>
      </c>
      <c r="DD83" s="69" t="n">
        <f aca="false">K83+SUM(AB72:AD83)+SUM(BL83:BN83)</f>
        <v>76</v>
      </c>
      <c r="DE83" s="1" t="n">
        <f aca="false">L83+SUM(AE72:AE83)+BO83</f>
        <v>0</v>
      </c>
      <c r="DF83" s="69" t="n">
        <f aca="false">M83+SUM(AG72:AG83)+BQ83</f>
        <v>24</v>
      </c>
      <c r="DG83" s="69" t="e">
        <f aca="false" t="array" ref="DG83:DG83">INDEX(TblConstr[[Total Plain]:[Total Water]],ROW()-ROW(TblConstr[#headers]),MATCH("Total "&amp;home_land,TblConstr[[#Headers],[Total Plain]:[Total Water]],0))+TblConstr[[#This Row],[Homes]]</f>
        <v>#VALUE!</v>
      </c>
      <c r="DH83" s="1" t="n">
        <f aca="false">SUM(O72:O83)+AY83</f>
        <v>40</v>
      </c>
      <c r="DI83" s="1" t="n">
        <f aca="false">MAX(BA83-BA82,0)</f>
        <v>0</v>
      </c>
      <c r="DJ83" s="1" t="n">
        <f aca="false">MAX(BQ83-BQ82,0)</f>
        <v>0</v>
      </c>
    </row>
    <row r="84" customFormat="false" ht="12.75" hidden="false" customHeight="false" outlineLevel="0" collapsed="false">
      <c r="A84" s="170" t="n">
        <f aca="false">TblRezone[[#This Row],[Hour]]</f>
        <v>81</v>
      </c>
      <c r="B84" s="171" t="n">
        <f aca="false">SUM(TblConstr[[#This Row],[Plain]:[Water]])</f>
        <v>0</v>
      </c>
      <c r="C84" s="172" t="n">
        <f aca="false">SUM(TblConstr[[#This Row],[Tot Hom]:[Tot Doc]])</f>
        <v>700</v>
      </c>
      <c r="D84" s="172" t="n">
        <f aca="false">SUM(O73:AG84)</f>
        <v>0</v>
      </c>
      <c r="E84" s="173"/>
      <c r="F84" s="33" t="n">
        <f aca="false">TblConstr[[#This Row],[Barren]]+TblConstr[[#This Row],[Buildings]]+TblConstr[[#This Row],[Incoming]]</f>
        <v>700</v>
      </c>
      <c r="G84" s="199" t="n">
        <f aca="false">OFFSET(TblConstr[[#This Row],[Plain]],-1,0)+TblConstr[[#This Row],[Ch_Plain]]</f>
        <v>0</v>
      </c>
      <c r="H84" s="193" t="n">
        <f aca="false">OFFSET(TblConstr[[#This Row],[Forest]],-1,0)+TblConstr[[#This Row],[Ch_Forest]]</f>
        <v>0</v>
      </c>
      <c r="I84" s="200" t="n">
        <f aca="false">OFFSET(TblConstr[[#This Row],[Mountain]],-1,0)+TblConstr[[#This Row],[Ch_Mountain]]</f>
        <v>0</v>
      </c>
      <c r="J84" s="201" t="n">
        <f aca="false">OFFSET(TblConstr[[#This Row],[Hill]],-1,0)+TblConstr[[#This Row],[Ch_Hill]]</f>
        <v>0</v>
      </c>
      <c r="K84" s="202" t="n">
        <f aca="false">OFFSET(TblConstr[[#This Row],[Swamp]],-1,0)+TblConstr[[#This Row],[Ch_Swamp]]</f>
        <v>0</v>
      </c>
      <c r="L84" s="197" t="n">
        <f aca="false">OFFSET(TblConstr[[#This Row],[Cavern]],-1,0)+TblConstr[[#This Row],[Ch_Cavern]]</f>
        <v>0</v>
      </c>
      <c r="M84" s="198" t="n">
        <f aca="false">OFFSET(TblConstr[[#This Row],[Water]],-1,0)+TblConstr[[#This Row],[Ch_Water]]</f>
        <v>0</v>
      </c>
      <c r="N84" s="181" t="n">
        <f aca="false">TblRezone[[#This Row],[Hour]]</f>
        <v>81</v>
      </c>
      <c r="O84" s="182"/>
      <c r="P84" s="182"/>
      <c r="Q84" s="182"/>
      <c r="R84" s="152"/>
      <c r="S84" s="182"/>
      <c r="T84" s="182"/>
      <c r="U84" s="182"/>
      <c r="V84" s="182"/>
      <c r="W84" s="182"/>
      <c r="X84" s="182"/>
      <c r="Y84" s="182"/>
      <c r="Z84" s="182"/>
      <c r="AA84" s="182"/>
      <c r="AB84" s="182"/>
      <c r="AC84" s="182"/>
      <c r="AD84" s="182"/>
      <c r="AE84" s="182"/>
      <c r="AF84" s="182"/>
      <c r="AG84" s="182"/>
      <c r="AH84" s="20" t="n">
        <f aca="false">TblImps[[#This Row],[Time]]</f>
        <v>45433.0833333333</v>
      </c>
      <c r="AI84" s="130" t="n">
        <f aca="false">MIN(25%,(TblConstr[[#This Row],[Tot Fac]]+TblConstr[[#This Row],[Dest Fac]])/(TblConstr[[#This Row],[Land]]-TblExplore[[#This Row],[Land Bonus]]*20))</f>
        <v>0</v>
      </c>
      <c r="AJ84" s="130" t="n">
        <f aca="false">MIN(25%,(TblConstr[[#This Row],[Tot Fac]]+TblConstr[[#This Row],[Dest Fac]])/TblConstr[[#This Row],[Land]])</f>
        <v>0</v>
      </c>
      <c r="AK84" s="69" t="n">
        <f aca="false">TblProd[[#This Row],[Platinum]]</f>
        <v>336477</v>
      </c>
      <c r="AL84" s="69" t="n">
        <f aca="false">TblProd[[#This Row],[Lumber]]</f>
        <v>21652</v>
      </c>
      <c r="AM8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4" s="69" t="n">
        <f aca="false">ROUNDDOWN( MAX(1 - MIN(facs_constr_factor*TblConstr[[#This Row],[Facs -DB]],facs_constr_max) + tech_1_11*TblTech[[#This Row],[11-1]] + tech_6_3_2*TblTech[[#This Row],[6-3]] + tech_5_2_3*TblTech[[#This Row],[5-2]], 1-global_constr_cap) * TblConstr[[#This Row],[RCPA Lumber]],0)</f>
        <v>216</v>
      </c>
      <c r="AO8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4" s="69" t="n">
        <f aca="false">ROUNDDOWN( MAX(1 - MIN(facs_constr_factor*TblConstr[[#This Row],[Facs DB]],facs_constr_max) + tech_1_11*TblTech[[#This Row],[1-11]] + tech_6_3_2*TblTech[[#This Row],[6-3]] + tech_5_2_3*TblTech[[#This Row],[5-2]], 1-global_constr_cap) * ROUND((TblConstr[[#This Row],[Land]]-250)*0.285 + 87.5 + 0/4.25,0),0)</f>
        <v>216</v>
      </c>
      <c r="AQ84" s="1" t="n">
        <f aca="false">TblConstr[[#This Row],[build -db]]*TblConstr[[#This Row],[CPA Platinum -DB]] + TblConstr[[#This Row],[build db]]*TblConstr[[#This Row],[CPA Platinum DB]]</f>
        <v>0</v>
      </c>
      <c r="AR84" s="1" t="n">
        <f aca="false">TblConstr[[#This Row],[build -db]]*TblConstr[[#This Row],[CPA Lumber -DB]]+TblConstr[[#This Row],[build db]]*TblConstr[[#This Row],[CPA Lumber DB]]</f>
        <v>0</v>
      </c>
      <c r="AS84" s="69" t="n">
        <f aca="false">MIN(SUM(OFFSET(TblConstr[[#This Row],[Plain]:[Water]],-1,0))+SUM(TblConstr[[#This Row],[Dest Hom]:[Dest Doc]])+IF(TblConstr[[#This Row],[Hour]]&gt;12,SUM(OFFSET(TblExplore[[#This Row],[Plains Explore]:[Water Explore]],-12,0)),0),SUM(TblConstr[[#This Row],[Hom]:[Doc]]))</f>
        <v>0</v>
      </c>
      <c r="AT8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32"/>
      <c r="AV84" s="69" t="n">
        <f aca="false">ROUND((TblConstr[[#This Row],[Land]]-250 - IF(TblExplore[[#This Row],[Land Bonus]]&lt;&gt;0,20,0))*1.25 + 850 + 0,0)</f>
        <v>1413</v>
      </c>
      <c r="AW84" s="69" t="n">
        <f aca="false">ROUND((TblConstr[[#This Row],[Land]]-250 - IF(TblExplore[[#This Row],[Land Bonus]]&lt;&gt;0,20,0))*0.285 + 87.5 + 0/4.25,0)</f>
        <v>216</v>
      </c>
      <c r="AX84" s="146"/>
      <c r="AY84" s="203" t="n">
        <f aca="false" t="array" ref="AY84:AY84">IF(TblConstr[[#This Row],[Hour]:[Hour]]&gt;12,OFFSET(TblConstr[[#This Row],[Hom]],-12,0),0)+OFFSET(TblConstr[[#This Row],[Tot Hom]],-1,0)-TblConstr[[#This Row],[Dest Hom]]</f>
        <v>40</v>
      </c>
      <c r="AZ84" s="204" t="n">
        <f aca="false" t="array" ref="AZ84:AZ84">IF(TblConstr[[#This Row],[Hour]:[Hour]]&gt;12,OFFSET(TblConstr[[#This Row],[Alc]],-12,0),0)+OFFSET(TblConstr[[#This Row],[Tot Alc]],-1,0)-TblConstr[[#This Row],[Dest Alc]]</f>
        <v>275</v>
      </c>
      <c r="BA84" s="204" t="n">
        <f aca="false" t="array" ref="BA84:BA84">IF(TblConstr[[#This Row],[Hour]:[Hour]]&gt;12,OFFSET(TblConstr[[#This Row],[Far]],-12,0),0)+OFFSET(TblConstr[[#This Row],[Tot Farm]],-1,0)-TblConstr[[#This Row],[Dest Farm]]</f>
        <v>29</v>
      </c>
      <c r="BB84" s="204" t="n">
        <f aca="false" t="array" ref="BB84:BB84">IF(TblConstr[[#This Row],[Hour]:[Hour]]&gt;12,OFFSET(TblConstr[[#This Row],[Smi]],-12,0),0)+OFFSET(TblConstr[[#This Row],[Tot Smi]],-1,0)-TblConstr[[#This Row],[Dest Smi]]</f>
        <v>126</v>
      </c>
      <c r="BC84" s="204" t="n">
        <f aca="false" t="array" ref="BC84:BC84">IF(TblConstr[[#This Row],[Hour]:[Hour]]&gt;12,OFFSET(TblConstr[[#This Row],[Mas]],-12,0),0)+OFFSET(TblConstr[[#This Row],[Tot Mas]],-1,0)-TblConstr[[#This Row],[Dest Mas]]</f>
        <v>0</v>
      </c>
      <c r="BD84" s="205" t="n">
        <f aca="false" t="array" ref="BD84:BD84">IF(TblConstr[[#This Row],[Hour]:[Hour]]&gt;12,OFFSET(TblConstr[[#This Row],[Ly]],-12,0),0)+OFFSET(TblConstr[[#This Row],[Tot Ly]],-1,0)-TblConstr[[#This Row],[Dest Ly]]</f>
        <v>25</v>
      </c>
      <c r="BE84" s="205" t="n">
        <f aca="false" t="array" ref="BE84:BE84">IF(TblConstr[[#This Row],[Hour]:[Hour]]&gt;12,OFFSET(TblConstr[[#This Row],[Hav]],-12,0),0)+OFFSET(TblConstr[[#This Row],[Tot Hav]],-1,0)-TblConstr[[#This Row],[Dest Hav]]</f>
        <v>0</v>
      </c>
      <c r="BF84" s="194" t="n">
        <f aca="false" t="array" ref="BF84:BF84">IF(TblConstr[[#This Row],[Hour]:[Hour]]&gt;12,OFFSET(TblConstr[[#This Row],[OM]],-12,0),0)+OFFSET(TblConstr[[#This Row],[Tot OM]],-1,0)-TblConstr[[#This Row],[Dest OM]]</f>
        <v>0</v>
      </c>
      <c r="BG84" s="194" t="n">
        <f aca="false" t="array" ref="BG84:BG84">IF(TblConstr[[#This Row],[Hour]:[Hour]]&gt;12,OFFSET(TblConstr[[#This Row],[GN]],-12,0),0)+OFFSET(TblConstr[[#This Row],[Tot GN]],-1,0)-TblConstr[[#This Row],[Dest GN]]</f>
        <v>0</v>
      </c>
      <c r="BH84" s="206" t="n">
        <f aca="false" t="array" ref="BH84:BH84">IF(TblConstr[[#This Row],[Hour]:[Hour]]&gt;12,OFFSET(TblConstr[[#This Row],[Fac]],-12,0),0)+OFFSET(TblConstr[[#This Row],[Tot Fac]],-1,0)-TblConstr[[#This Row],[Dest Fac]]</f>
        <v>0</v>
      </c>
      <c r="BI84" s="206" t="n">
        <f aca="false" t="array" ref="BI84:BI84">IF(TblConstr[[#This Row],[Hour]:[Hour]]&gt;12,OFFSET(TblConstr[[#This Row],[GT]],-12,0),0)+OFFSET(TblConstr[[#This Row],[Tot GT]],-1,0)-TblConstr[[#This Row],[Dest GT]]</f>
        <v>55</v>
      </c>
      <c r="BJ84" s="206" t="n">
        <f aca="false" t="array" ref="BJ84:BJ84">IF(TblConstr[[#This Row],[Hour]:[Hour]]&gt;12,OFFSET(TblConstr[[#This Row],[Bar]],-12,0),0)+OFFSET(TblConstr[[#This Row],[Tot Bar]],-1,0)-TblConstr[[#This Row],[Dest Bar]]</f>
        <v>50</v>
      </c>
      <c r="BK84" s="206" t="n">
        <f aca="false" t="array" ref="BK84:BK84">IF(TblConstr[[#This Row],[Hour]:[Hour]]&gt;12,OFFSET(TblConstr[[#This Row],[Shr]],-12,0),0)+OFFSET(TblConstr[[#This Row],[Tot Shr]],-1,0)-TblConstr[[#This Row],[Dest Shr]]</f>
        <v>0</v>
      </c>
      <c r="BL84" s="207" t="n">
        <f aca="false" t="array" ref="BL84:BL84">IF(TblConstr[[#This Row],[Hour]:[Hour]]&gt;12,OFFSET(TblConstr[[#This Row],[Tow]],-12,0),0)+OFFSET(TblConstr[[#This Row],[Tot Tow]],-1,0)-TblConstr[[#This Row],[Dest Tow]]</f>
        <v>29</v>
      </c>
      <c r="BM84" s="207" t="n">
        <f aca="false" t="array" ref="BM84:BM84">IF(TblConstr[[#This Row],[Hour]:[Hour]]&gt;12,OFFSET(TblConstr[[#This Row],[Tem]],-12,0),0)+OFFSET(TblConstr[[#This Row],[Tot Tem]],-1,0)-TblConstr[[#This Row],[Dest Tem]]</f>
        <v>47</v>
      </c>
      <c r="BN84" s="207" t="n">
        <f aca="false" t="array" ref="BN84:BN84">IF(TblConstr[[#This Row],[Hour]:[Hour]]&gt;12,OFFSET(TblConstr[[#This Row],[WG]],-12,0),0)+OFFSET(TblConstr[[#This Row],[Tot WG]],-1,0)-TblConstr[[#This Row],[Dest WG]]</f>
        <v>0</v>
      </c>
      <c r="BO84" s="208" t="n">
        <f aca="false" t="array" ref="BO84:BO84">IF(TblConstr[[#This Row],[Hour]:[Hour]]&gt;12,OFFSET(TblConstr[[#This Row],[DM]],-12,0),0)+OFFSET(TblConstr[[#This Row],[Tot DM]],-1,0)-TblConstr[[#This Row],[Dest DM]]</f>
        <v>0</v>
      </c>
      <c r="BP84" s="208" t="n">
        <f aca="false" t="array" ref="BP84:BP84">IF(TblConstr[[#This Row],[Hour]:[Hour]]&gt;12,OFFSET(TblConstr[[#This Row],[Sch]],-12,0),0)+OFFSET(TblConstr[[#This Row],[Tot Sch]],-1,0)-TblConstr[[#This Row],[Dest Sch]]</f>
        <v>0</v>
      </c>
      <c r="BQ84" s="209" t="n">
        <f aca="false" t="array" ref="BQ84:BQ84">IF(TblConstr[[#This Row],[Hour]:[Hour]]&gt;12,OFFSET(TblConstr[[#This Row],[Doc]],-12,0),0)+OFFSET(TblConstr[[#This Row],[Tot Doc]],-1,0)-TblConstr[[#This Row],[Dest Doc]]</f>
        <v>24</v>
      </c>
      <c r="BR84" s="132"/>
      <c r="BS84" s="146"/>
      <c r="BT84" s="69" t="n">
        <f aca="false">TblConstr[[#This Row],[Land]]</f>
        <v>700</v>
      </c>
      <c r="BU84" s="153" t="n">
        <f aca="false">TblImps[[#This Row],[Time]]</f>
        <v>45433.0833333333</v>
      </c>
      <c r="BV84" s="132"/>
      <c r="BW84" s="182"/>
      <c r="BX84" s="182"/>
      <c r="BY84" s="182"/>
      <c r="BZ84" s="182"/>
      <c r="CA84" s="182"/>
      <c r="CB84" s="182"/>
      <c r="CC84" s="182"/>
      <c r="CD84" s="182"/>
      <c r="CE84" s="182"/>
      <c r="CF84" s="182"/>
      <c r="CG84" s="182"/>
      <c r="CH84" s="182"/>
      <c r="CI84" s="182"/>
      <c r="CJ84" s="182"/>
      <c r="CK84" s="182"/>
      <c r="CL84" s="182"/>
      <c r="CM84" s="182"/>
      <c r="CN84" s="182"/>
      <c r="CO84" s="182"/>
      <c r="CP84" s="132"/>
      <c r="CQ84" s="192" t="n">
        <f aca="false">-SUM(TblConstr[[#This Row],[Alc]:[Mas]])+SUM(TblConstr[[#This Row],[Dest Alc]:[Dest Mas]])+Rezone!L84+IF("Ch_"&amp; home_land=TblConstr[[#Headers],[Ch_Plain]],TblConstr[[#This Row],[Home Land]])+IF(TblConstr[[#This Row],[Hour]:[Hour]]&gt;12,OFFSET(TblExplore[[#This Row],[Plains Explore]],-12,0),0)</f>
        <v>0</v>
      </c>
      <c r="CR84" s="193" t="n">
        <f aca="false">-SUM(TblConstr[[#This Row],[Ly]:[Hav]])+SUM(TblConstr[[#This Row],[Dest Ly]:[Dest Hav]]) +Rezone!M84 + IF("Ch_"&amp; home_land=TblConstr[[#Headers],[Ch_Forest]],TblConstr[[#This Row],[Home Land]])+IF(TblConstr[[#This Row],[Hour]:[Hour]]&gt;12,OFFSET(TblExplore[[#This Row],[Forest Explore]],-12,0),0)</f>
        <v>0</v>
      </c>
      <c r="CS84" s="200" t="n">
        <f aca="false">-SUM(TblConstr[[#This Row],[OM]:[GN]])+SUM(TblConstr[[#This Row],[Dest OM]:[Dest GN]]) +Rezone!N84 + IF("Ch_"&amp; home_land=TblConstr[[#Headers],[Ch_Mountain]],TblConstr[[#This Row],[Home Land]])+IF(TblConstr[[#This Row],[Hour]:[Hour]]&gt;12,OFFSET(TblExplore[[#This Row],[Mountain Explore]],-12,0),0)</f>
        <v>0</v>
      </c>
      <c r="CT84" s="195" t="n">
        <f aca="false">-SUM(TblConstr[[#This Row],[Fac]:[Shr]])+SUM(TblConstr[[#This Row],[Dest Fac]:[Dest Shr]]) +Rezone!O84 + IF("Ch_" &amp; home_land=TblConstr[[#Headers],[Ch_Hill]],TblConstr[[#This Row],[Home Land]])+IF(TblConstr[[#This Row],[Hour]:[Hour]]&gt;12,OFFSET(TblExplore[[#This Row],[Hill Explore]],-12,0),0)</f>
        <v>0</v>
      </c>
      <c r="CU84" s="196" t="n">
        <f aca="false">-SUM(TblConstr[[#This Row],[Tow]:[WG]])+SUM(TblConstr[[#This Row],[Dest Tow]:[Dest WG]]) +Rezone!P84 + IF("Ch_" &amp; home_land=TblConstr[[#Headers],[Ch_Swamp]],TblConstr[[#This Row],[Home Land]])+IF(TblConstr[[#This Row],[Hour]:[Hour]]&gt;12,OFFSET(TblExplore[[#This Row],[Swamp Explore]],-12,0),0)</f>
        <v>0</v>
      </c>
      <c r="CV84" s="197" t="n">
        <f aca="false">- SUM(TblConstr[[#This Row],[DM]:[Sch]])+SUM(TblConstr[[#This Row],[Dest DM]:[Dest Sch]]) +Rezone!Q84 + IF("Ch_" &amp; home_land=TblConstr[[#Headers],[Ch_Cavern]],TblConstr[[#This Row],[Home Land]])+IF(TblConstr[[#This Row],[Hour]:[Hour]]&gt;12,OFFSET(TblExplore[[#This Row],[Cavern Explore]],-12,0),0)</f>
        <v>0</v>
      </c>
      <c r="CW84" s="198" t="n">
        <f aca="false">-TblConstr[[#This Row],[Doc]]+TblConstr[[#This Row],[Dest Doc]] +Rezone!R84 + IF("Ch_" &amp; home_land=TblConstr[[#Headers],[Ch_Water]],TblConstr[[#This Row],[Home Land]])+IF(TblConstr[[#This Row],[Hour]:[Hour]]&gt;12,OFFSET(TblExplore[[#This Row],[Water Explore]],-12,0),0)</f>
        <v>0</v>
      </c>
      <c r="CX84" s="1" t="n">
        <f aca="false">IF(Explore!S84=1,20) - TblConstr[[#This Row],[Hom]] + TblConstr[[#This Row],[Dest Hom]]</f>
        <v>0</v>
      </c>
      <c r="CY84" s="132"/>
      <c r="CZ84" s="69" t="n">
        <f aca="false">G84+SUM(P73:S84)+SUM(AZ84:BC84)</f>
        <v>430</v>
      </c>
      <c r="DA84" s="69" t="n">
        <f aca="false">H84+SUM(T73:U84)+SUM(BD84:BE84)</f>
        <v>25</v>
      </c>
      <c r="DB84" s="1" t="n">
        <f aca="false">I84+SUM(V73:W84)+SUM(BF84:BG84)</f>
        <v>0</v>
      </c>
      <c r="DC84" s="69" t="n">
        <f aca="false">J84+SUM(X73:Y84)+SUM(BH84:BI84)</f>
        <v>55</v>
      </c>
      <c r="DD84" s="69" t="n">
        <f aca="false">K84+SUM(AB73:AD84)+SUM(BL84:BN84)</f>
        <v>76</v>
      </c>
      <c r="DE84" s="1" t="n">
        <f aca="false">L84+SUM(AE73:AE84)+BO84</f>
        <v>0</v>
      </c>
      <c r="DF84" s="69" t="n">
        <f aca="false">M84+SUM(AG73:AG84)+BQ84</f>
        <v>24</v>
      </c>
      <c r="DG84" s="69" t="e">
        <f aca="false" t="array" ref="DG84:DG84">INDEX(TblConstr[[Total Plain]:[Total Water]],ROW()-ROW(TblConstr[#headers]),MATCH("Total "&amp;home_land,TblConstr[[#Headers],[Total Plain]:[Total Water]],0))+TblConstr[[#This Row],[Homes]]</f>
        <v>#VALUE!</v>
      </c>
      <c r="DH84" s="1" t="n">
        <f aca="false">SUM(O73:O84)+AY84</f>
        <v>40</v>
      </c>
      <c r="DI84" s="1" t="n">
        <f aca="false">MAX(BA84-BA83,0)</f>
        <v>0</v>
      </c>
      <c r="DJ84" s="1" t="n">
        <f aca="false">MAX(BQ84-BQ83,0)</f>
        <v>0</v>
      </c>
    </row>
    <row r="85" customFormat="false" ht="12.75" hidden="false" customHeight="false" outlineLevel="0" collapsed="false">
      <c r="A85" s="170" t="n">
        <f aca="false">TblRezone[[#This Row],[Hour]]</f>
        <v>82</v>
      </c>
      <c r="B85" s="171" t="n">
        <f aca="false">SUM(TblConstr[[#This Row],[Plain]:[Water]])</f>
        <v>0</v>
      </c>
      <c r="C85" s="172" t="n">
        <f aca="false">SUM(TblConstr[[#This Row],[Tot Hom]:[Tot Doc]])</f>
        <v>700</v>
      </c>
      <c r="D85" s="172" t="n">
        <f aca="false">SUM(O74:AG85)</f>
        <v>0</v>
      </c>
      <c r="E85" s="173"/>
      <c r="F85" s="33" t="n">
        <f aca="false">TblConstr[[#This Row],[Barren]]+TblConstr[[#This Row],[Buildings]]+TblConstr[[#This Row],[Incoming]]</f>
        <v>700</v>
      </c>
      <c r="G85" s="199" t="n">
        <f aca="false">OFFSET(TblConstr[[#This Row],[Plain]],-1,0)+TblConstr[[#This Row],[Ch_Plain]]</f>
        <v>0</v>
      </c>
      <c r="H85" s="193" t="n">
        <f aca="false">OFFSET(TblConstr[[#This Row],[Forest]],-1,0)+TblConstr[[#This Row],[Ch_Forest]]</f>
        <v>0</v>
      </c>
      <c r="I85" s="200" t="n">
        <f aca="false">OFFSET(TblConstr[[#This Row],[Mountain]],-1,0)+TblConstr[[#This Row],[Ch_Mountain]]</f>
        <v>0</v>
      </c>
      <c r="J85" s="201" t="n">
        <f aca="false">OFFSET(TblConstr[[#This Row],[Hill]],-1,0)+TblConstr[[#This Row],[Ch_Hill]]</f>
        <v>0</v>
      </c>
      <c r="K85" s="202" t="n">
        <f aca="false">OFFSET(TblConstr[[#This Row],[Swamp]],-1,0)+TblConstr[[#This Row],[Ch_Swamp]]</f>
        <v>0</v>
      </c>
      <c r="L85" s="197" t="n">
        <f aca="false">OFFSET(TblConstr[[#This Row],[Cavern]],-1,0)+TblConstr[[#This Row],[Ch_Cavern]]</f>
        <v>0</v>
      </c>
      <c r="M85" s="198" t="n">
        <f aca="false">OFFSET(TblConstr[[#This Row],[Water]],-1,0)+TblConstr[[#This Row],[Ch_Water]]</f>
        <v>0</v>
      </c>
      <c r="N85" s="181" t="n">
        <f aca="false">TblRezone[[#This Row],[Hour]]</f>
        <v>82</v>
      </c>
      <c r="O85" s="182"/>
      <c r="P85" s="182"/>
      <c r="Q85" s="182"/>
      <c r="R85" s="152"/>
      <c r="S85" s="182"/>
      <c r="T85" s="182"/>
      <c r="U85" s="182"/>
      <c r="V85" s="182"/>
      <c r="W85" s="182"/>
      <c r="X85" s="182"/>
      <c r="Y85" s="182"/>
      <c r="Z85" s="182"/>
      <c r="AA85" s="182"/>
      <c r="AB85" s="182"/>
      <c r="AC85" s="182"/>
      <c r="AD85" s="182"/>
      <c r="AE85" s="182"/>
      <c r="AF85" s="182"/>
      <c r="AG85" s="182"/>
      <c r="AH85" s="20" t="n">
        <f aca="false">TblImps[[#This Row],[Time]]</f>
        <v>45433.125</v>
      </c>
      <c r="AI85" s="130" t="n">
        <f aca="false">MIN(25%,(TblConstr[[#This Row],[Tot Fac]]+TblConstr[[#This Row],[Dest Fac]])/(TblConstr[[#This Row],[Land]]-TblExplore[[#This Row],[Land Bonus]]*20))</f>
        <v>0</v>
      </c>
      <c r="AJ85" s="130" t="n">
        <f aca="false">MIN(25%,(TblConstr[[#This Row],[Tot Fac]]+TblConstr[[#This Row],[Dest Fac]])/TblConstr[[#This Row],[Land]])</f>
        <v>0</v>
      </c>
      <c r="AK85" s="69" t="n">
        <f aca="false">TblProd[[#This Row],[Platinum]]</f>
        <v>381464</v>
      </c>
      <c r="AL85" s="69" t="n">
        <f aca="false">TblProd[[#This Row],[Lumber]]</f>
        <v>22560</v>
      </c>
      <c r="AM8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5" s="69" t="n">
        <f aca="false">ROUNDDOWN( MAX(1 - MIN(facs_constr_factor*TblConstr[[#This Row],[Facs -DB]],facs_constr_max) + tech_1_11*TblTech[[#This Row],[11-1]] + tech_6_3_2*TblTech[[#This Row],[6-3]] + tech_5_2_3*TblTech[[#This Row],[5-2]], 1-global_constr_cap) * TblConstr[[#This Row],[RCPA Lumber]],0)</f>
        <v>216</v>
      </c>
      <c r="AO8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5" s="69" t="n">
        <f aca="false">ROUNDDOWN( MAX(1 - MIN(facs_constr_factor*TblConstr[[#This Row],[Facs DB]],facs_constr_max) + tech_1_11*TblTech[[#This Row],[1-11]] + tech_6_3_2*TblTech[[#This Row],[6-3]] + tech_5_2_3*TblTech[[#This Row],[5-2]], 1-global_constr_cap) * ROUND((TblConstr[[#This Row],[Land]]-250)*0.285 + 87.5 + 0/4.25,0),0)</f>
        <v>216</v>
      </c>
      <c r="AQ85" s="1" t="n">
        <f aca="false">TblConstr[[#This Row],[build -db]]*TblConstr[[#This Row],[CPA Platinum -DB]] + TblConstr[[#This Row],[build db]]*TblConstr[[#This Row],[CPA Platinum DB]]</f>
        <v>0</v>
      </c>
      <c r="AR85" s="1" t="n">
        <f aca="false">TblConstr[[#This Row],[build -db]]*TblConstr[[#This Row],[CPA Lumber -DB]]+TblConstr[[#This Row],[build db]]*TblConstr[[#This Row],[CPA Lumber DB]]</f>
        <v>0</v>
      </c>
      <c r="AS85" s="69" t="n">
        <f aca="false">MIN(SUM(OFFSET(TblConstr[[#This Row],[Plain]:[Water]],-1,0))+SUM(TblConstr[[#This Row],[Dest Hom]:[Dest Doc]])+IF(TblConstr[[#This Row],[Hour]]&gt;12,SUM(OFFSET(TblExplore[[#This Row],[Plains Explore]:[Water Explore]],-12,0)),0),SUM(TblConstr[[#This Row],[Hom]:[Doc]]))</f>
        <v>0</v>
      </c>
      <c r="AT8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32"/>
      <c r="AV85" s="69" t="n">
        <f aca="false">ROUND((TblConstr[[#This Row],[Land]]-250 - IF(TblExplore[[#This Row],[Land Bonus]]&lt;&gt;0,20,0))*1.25 + 850 + 0,0)</f>
        <v>1413</v>
      </c>
      <c r="AW85" s="69" t="n">
        <f aca="false">ROUND((TblConstr[[#This Row],[Land]]-250 - IF(TblExplore[[#This Row],[Land Bonus]]&lt;&gt;0,20,0))*0.285 + 87.5 + 0/4.25,0)</f>
        <v>216</v>
      </c>
      <c r="AX85" s="146"/>
      <c r="AY85" s="203" t="n">
        <f aca="false" t="array" ref="AY85:AY85">IF(TblConstr[[#This Row],[Hour]:[Hour]]&gt;12,OFFSET(TblConstr[[#This Row],[Hom]],-12,0),0)+OFFSET(TblConstr[[#This Row],[Tot Hom]],-1,0)-TblConstr[[#This Row],[Dest Hom]]</f>
        <v>40</v>
      </c>
      <c r="AZ85" s="204" t="n">
        <f aca="false" t="array" ref="AZ85:AZ85">IF(TblConstr[[#This Row],[Hour]:[Hour]]&gt;12,OFFSET(TblConstr[[#This Row],[Alc]],-12,0),0)+OFFSET(TblConstr[[#This Row],[Tot Alc]],-1,0)-TblConstr[[#This Row],[Dest Alc]]</f>
        <v>275</v>
      </c>
      <c r="BA85" s="204" t="n">
        <f aca="false" t="array" ref="BA85:BA85">IF(TblConstr[[#This Row],[Hour]:[Hour]]&gt;12,OFFSET(TblConstr[[#This Row],[Far]],-12,0),0)+OFFSET(TblConstr[[#This Row],[Tot Farm]],-1,0)-TblConstr[[#This Row],[Dest Farm]]</f>
        <v>29</v>
      </c>
      <c r="BB85" s="204" t="n">
        <f aca="false" t="array" ref="BB85:BB85">IF(TblConstr[[#This Row],[Hour]:[Hour]]&gt;12,OFFSET(TblConstr[[#This Row],[Smi]],-12,0),0)+OFFSET(TblConstr[[#This Row],[Tot Smi]],-1,0)-TblConstr[[#This Row],[Dest Smi]]</f>
        <v>126</v>
      </c>
      <c r="BC85" s="204" t="n">
        <f aca="false" t="array" ref="BC85:BC85">IF(TblConstr[[#This Row],[Hour]:[Hour]]&gt;12,OFFSET(TblConstr[[#This Row],[Mas]],-12,0),0)+OFFSET(TblConstr[[#This Row],[Tot Mas]],-1,0)-TblConstr[[#This Row],[Dest Mas]]</f>
        <v>0</v>
      </c>
      <c r="BD85" s="205" t="n">
        <f aca="false" t="array" ref="BD85:BD85">IF(TblConstr[[#This Row],[Hour]:[Hour]]&gt;12,OFFSET(TblConstr[[#This Row],[Ly]],-12,0),0)+OFFSET(TblConstr[[#This Row],[Tot Ly]],-1,0)-TblConstr[[#This Row],[Dest Ly]]</f>
        <v>25</v>
      </c>
      <c r="BE85" s="205" t="n">
        <f aca="false" t="array" ref="BE85:BE85">IF(TblConstr[[#This Row],[Hour]:[Hour]]&gt;12,OFFSET(TblConstr[[#This Row],[Hav]],-12,0),0)+OFFSET(TblConstr[[#This Row],[Tot Hav]],-1,0)-TblConstr[[#This Row],[Dest Hav]]</f>
        <v>0</v>
      </c>
      <c r="BF85" s="194" t="n">
        <f aca="false" t="array" ref="BF85:BF85">IF(TblConstr[[#This Row],[Hour]:[Hour]]&gt;12,OFFSET(TblConstr[[#This Row],[OM]],-12,0),0)+OFFSET(TblConstr[[#This Row],[Tot OM]],-1,0)-TblConstr[[#This Row],[Dest OM]]</f>
        <v>0</v>
      </c>
      <c r="BG85" s="194" t="n">
        <f aca="false" t="array" ref="BG85:BG85">IF(TblConstr[[#This Row],[Hour]:[Hour]]&gt;12,OFFSET(TblConstr[[#This Row],[GN]],-12,0),0)+OFFSET(TblConstr[[#This Row],[Tot GN]],-1,0)-TblConstr[[#This Row],[Dest GN]]</f>
        <v>0</v>
      </c>
      <c r="BH85" s="206" t="n">
        <f aca="false" t="array" ref="BH85:BH85">IF(TblConstr[[#This Row],[Hour]:[Hour]]&gt;12,OFFSET(TblConstr[[#This Row],[Fac]],-12,0),0)+OFFSET(TblConstr[[#This Row],[Tot Fac]],-1,0)-TblConstr[[#This Row],[Dest Fac]]</f>
        <v>0</v>
      </c>
      <c r="BI85" s="206" t="n">
        <f aca="false" t="array" ref="BI85:BI85">IF(TblConstr[[#This Row],[Hour]:[Hour]]&gt;12,OFFSET(TblConstr[[#This Row],[GT]],-12,0),0)+OFFSET(TblConstr[[#This Row],[Tot GT]],-1,0)-TblConstr[[#This Row],[Dest GT]]</f>
        <v>55</v>
      </c>
      <c r="BJ85" s="206" t="n">
        <f aca="false" t="array" ref="BJ85:BJ85">IF(TblConstr[[#This Row],[Hour]:[Hour]]&gt;12,OFFSET(TblConstr[[#This Row],[Bar]],-12,0),0)+OFFSET(TblConstr[[#This Row],[Tot Bar]],-1,0)-TblConstr[[#This Row],[Dest Bar]]</f>
        <v>50</v>
      </c>
      <c r="BK85" s="206" t="n">
        <f aca="false" t="array" ref="BK85:BK85">IF(TblConstr[[#This Row],[Hour]:[Hour]]&gt;12,OFFSET(TblConstr[[#This Row],[Shr]],-12,0),0)+OFFSET(TblConstr[[#This Row],[Tot Shr]],-1,0)-TblConstr[[#This Row],[Dest Shr]]</f>
        <v>0</v>
      </c>
      <c r="BL85" s="207" t="n">
        <f aca="false" t="array" ref="BL85:BL85">IF(TblConstr[[#This Row],[Hour]:[Hour]]&gt;12,OFFSET(TblConstr[[#This Row],[Tow]],-12,0),0)+OFFSET(TblConstr[[#This Row],[Tot Tow]],-1,0)-TblConstr[[#This Row],[Dest Tow]]</f>
        <v>29</v>
      </c>
      <c r="BM85" s="207" t="n">
        <f aca="false" t="array" ref="BM85:BM85">IF(TblConstr[[#This Row],[Hour]:[Hour]]&gt;12,OFFSET(TblConstr[[#This Row],[Tem]],-12,0),0)+OFFSET(TblConstr[[#This Row],[Tot Tem]],-1,0)-TblConstr[[#This Row],[Dest Tem]]</f>
        <v>47</v>
      </c>
      <c r="BN85" s="207" t="n">
        <f aca="false" t="array" ref="BN85:BN85">IF(TblConstr[[#This Row],[Hour]:[Hour]]&gt;12,OFFSET(TblConstr[[#This Row],[WG]],-12,0),0)+OFFSET(TblConstr[[#This Row],[Tot WG]],-1,0)-TblConstr[[#This Row],[Dest WG]]</f>
        <v>0</v>
      </c>
      <c r="BO85" s="208" t="n">
        <f aca="false" t="array" ref="BO85:BO85">IF(TblConstr[[#This Row],[Hour]:[Hour]]&gt;12,OFFSET(TblConstr[[#This Row],[DM]],-12,0),0)+OFFSET(TblConstr[[#This Row],[Tot DM]],-1,0)-TblConstr[[#This Row],[Dest DM]]</f>
        <v>0</v>
      </c>
      <c r="BP85" s="208" t="n">
        <f aca="false" t="array" ref="BP85:BP85">IF(TblConstr[[#This Row],[Hour]:[Hour]]&gt;12,OFFSET(TblConstr[[#This Row],[Sch]],-12,0),0)+OFFSET(TblConstr[[#This Row],[Tot Sch]],-1,0)-TblConstr[[#This Row],[Dest Sch]]</f>
        <v>0</v>
      </c>
      <c r="BQ85" s="209" t="n">
        <f aca="false" t="array" ref="BQ85:BQ85">IF(TblConstr[[#This Row],[Hour]:[Hour]]&gt;12,OFFSET(TblConstr[[#This Row],[Doc]],-12,0),0)+OFFSET(TblConstr[[#This Row],[Tot Doc]],-1,0)-TblConstr[[#This Row],[Dest Doc]]</f>
        <v>24</v>
      </c>
      <c r="BR85" s="132"/>
      <c r="BS85" s="146"/>
      <c r="BT85" s="69" t="n">
        <f aca="false">TblConstr[[#This Row],[Land]]</f>
        <v>700</v>
      </c>
      <c r="BU85" s="153" t="n">
        <f aca="false">TblImps[[#This Row],[Time]]</f>
        <v>45433.125</v>
      </c>
      <c r="BV85" s="132"/>
      <c r="BW85" s="182"/>
      <c r="BX85" s="182"/>
      <c r="BY85" s="182"/>
      <c r="BZ85" s="182"/>
      <c r="CA85" s="182"/>
      <c r="CB85" s="182"/>
      <c r="CC85" s="182"/>
      <c r="CD85" s="182"/>
      <c r="CE85" s="182"/>
      <c r="CF85" s="182"/>
      <c r="CG85" s="182"/>
      <c r="CH85" s="182"/>
      <c r="CI85" s="182"/>
      <c r="CJ85" s="182"/>
      <c r="CK85" s="182"/>
      <c r="CL85" s="182"/>
      <c r="CM85" s="182"/>
      <c r="CN85" s="182"/>
      <c r="CO85" s="182"/>
      <c r="CP85" s="132"/>
      <c r="CQ85" s="192" t="n">
        <f aca="false">-SUM(TblConstr[[#This Row],[Alc]:[Mas]])+SUM(TblConstr[[#This Row],[Dest Alc]:[Dest Mas]])+Rezone!L85+IF("Ch_"&amp; home_land=TblConstr[[#Headers],[Ch_Plain]],TblConstr[[#This Row],[Home Land]])+IF(TblConstr[[#This Row],[Hour]:[Hour]]&gt;12,OFFSET(TblExplore[[#This Row],[Plains Explore]],-12,0),0)</f>
        <v>0</v>
      </c>
      <c r="CR85" s="193" t="n">
        <f aca="false">-SUM(TblConstr[[#This Row],[Ly]:[Hav]])+SUM(TblConstr[[#This Row],[Dest Ly]:[Dest Hav]]) +Rezone!M85 + IF("Ch_"&amp; home_land=TblConstr[[#Headers],[Ch_Forest]],TblConstr[[#This Row],[Home Land]])+IF(TblConstr[[#This Row],[Hour]:[Hour]]&gt;12,OFFSET(TblExplore[[#This Row],[Forest Explore]],-12,0),0)</f>
        <v>0</v>
      </c>
      <c r="CS85" s="200" t="n">
        <f aca="false">-SUM(TblConstr[[#This Row],[OM]:[GN]])+SUM(TblConstr[[#This Row],[Dest OM]:[Dest GN]]) +Rezone!N85 + IF("Ch_"&amp; home_land=TblConstr[[#Headers],[Ch_Mountain]],TblConstr[[#This Row],[Home Land]])+IF(TblConstr[[#This Row],[Hour]:[Hour]]&gt;12,OFFSET(TblExplore[[#This Row],[Mountain Explore]],-12,0),0)</f>
        <v>0</v>
      </c>
      <c r="CT85" s="195" t="n">
        <f aca="false">-SUM(TblConstr[[#This Row],[Fac]:[Shr]])+SUM(TblConstr[[#This Row],[Dest Fac]:[Dest Shr]]) +Rezone!O85 + IF("Ch_" &amp; home_land=TblConstr[[#Headers],[Ch_Hill]],TblConstr[[#This Row],[Home Land]])+IF(TblConstr[[#This Row],[Hour]:[Hour]]&gt;12,OFFSET(TblExplore[[#This Row],[Hill Explore]],-12,0),0)</f>
        <v>0</v>
      </c>
      <c r="CU85" s="196" t="n">
        <f aca="false">-SUM(TblConstr[[#This Row],[Tow]:[WG]])+SUM(TblConstr[[#This Row],[Dest Tow]:[Dest WG]]) +Rezone!P85 + IF("Ch_" &amp; home_land=TblConstr[[#Headers],[Ch_Swamp]],TblConstr[[#This Row],[Home Land]])+IF(TblConstr[[#This Row],[Hour]:[Hour]]&gt;12,OFFSET(TblExplore[[#This Row],[Swamp Explore]],-12,0),0)</f>
        <v>0</v>
      </c>
      <c r="CV85" s="197" t="n">
        <f aca="false">- SUM(TblConstr[[#This Row],[DM]:[Sch]])+SUM(TblConstr[[#This Row],[Dest DM]:[Dest Sch]]) +Rezone!Q85 + IF("Ch_" &amp; home_land=TblConstr[[#Headers],[Ch_Cavern]],TblConstr[[#This Row],[Home Land]])+IF(TblConstr[[#This Row],[Hour]:[Hour]]&gt;12,OFFSET(TblExplore[[#This Row],[Cavern Explore]],-12,0),0)</f>
        <v>0</v>
      </c>
      <c r="CW85" s="198" t="n">
        <f aca="false">-TblConstr[[#This Row],[Doc]]+TblConstr[[#This Row],[Dest Doc]] +Rezone!R85 + IF("Ch_" &amp; home_land=TblConstr[[#Headers],[Ch_Water]],TblConstr[[#This Row],[Home Land]])+IF(TblConstr[[#This Row],[Hour]:[Hour]]&gt;12,OFFSET(TblExplore[[#This Row],[Water Explore]],-12,0),0)</f>
        <v>0</v>
      </c>
      <c r="CX85" s="1" t="n">
        <f aca="false">IF(Explore!S85=1,20) - TblConstr[[#This Row],[Hom]] + TblConstr[[#This Row],[Dest Hom]]</f>
        <v>0</v>
      </c>
      <c r="CY85" s="132"/>
      <c r="CZ85" s="69" t="n">
        <f aca="false">G85+SUM(P74:S85)+SUM(AZ85:BC85)</f>
        <v>430</v>
      </c>
      <c r="DA85" s="69" t="n">
        <f aca="false">H85+SUM(T74:U85)+SUM(BD85:BE85)</f>
        <v>25</v>
      </c>
      <c r="DB85" s="1" t="n">
        <f aca="false">I85+SUM(V74:W85)+SUM(BF85:BG85)</f>
        <v>0</v>
      </c>
      <c r="DC85" s="69" t="n">
        <f aca="false">J85+SUM(X74:Y85)+SUM(BH85:BI85)</f>
        <v>55</v>
      </c>
      <c r="DD85" s="69" t="n">
        <f aca="false">K85+SUM(AB74:AD85)+SUM(BL85:BN85)</f>
        <v>76</v>
      </c>
      <c r="DE85" s="1" t="n">
        <f aca="false">L85+SUM(AE74:AE85)+BO85</f>
        <v>0</v>
      </c>
      <c r="DF85" s="69" t="n">
        <f aca="false">M85+SUM(AG74:AG85)+BQ85</f>
        <v>24</v>
      </c>
      <c r="DG85" s="69" t="e">
        <f aca="false" t="array" ref="DG85:DG85">INDEX(TblConstr[[Total Plain]:[Total Water]],ROW()-ROW(TblConstr[#headers]),MATCH("Total "&amp;home_land,TblConstr[[#Headers],[Total Plain]:[Total Water]],0))+TblConstr[[#This Row],[Homes]]</f>
        <v>#VALUE!</v>
      </c>
      <c r="DH85" s="1" t="n">
        <f aca="false">SUM(O74:O85)+AY85</f>
        <v>40</v>
      </c>
      <c r="DI85" s="1" t="n">
        <f aca="false">MAX(BA85-BA84,0)</f>
        <v>0</v>
      </c>
      <c r="DJ85" s="1" t="n">
        <f aca="false">MAX(BQ85-BQ84,0)</f>
        <v>0</v>
      </c>
    </row>
    <row r="86" customFormat="false" ht="12.75" hidden="false" customHeight="false" outlineLevel="0" collapsed="false">
      <c r="A86" s="170" t="n">
        <f aca="false">TblRezone[[#This Row],[Hour]]</f>
        <v>83</v>
      </c>
      <c r="B86" s="171" t="n">
        <f aca="false">SUM(TblConstr[[#This Row],[Plain]:[Water]])</f>
        <v>0</v>
      </c>
      <c r="C86" s="172" t="n">
        <f aca="false">SUM(TblConstr[[#This Row],[Tot Hom]:[Tot Doc]])</f>
        <v>700</v>
      </c>
      <c r="D86" s="172" t="n">
        <f aca="false">SUM(O75:AG86)</f>
        <v>0</v>
      </c>
      <c r="E86" s="173"/>
      <c r="F86" s="33" t="n">
        <f aca="false">TblConstr[[#This Row],[Barren]]+TblConstr[[#This Row],[Buildings]]+TblConstr[[#This Row],[Incoming]]</f>
        <v>700</v>
      </c>
      <c r="G86" s="199" t="n">
        <f aca="false">OFFSET(TblConstr[[#This Row],[Plain]],-1,0)+TblConstr[[#This Row],[Ch_Plain]]</f>
        <v>0</v>
      </c>
      <c r="H86" s="193" t="n">
        <f aca="false">OFFSET(TblConstr[[#This Row],[Forest]],-1,0)+TblConstr[[#This Row],[Ch_Forest]]</f>
        <v>0</v>
      </c>
      <c r="I86" s="200" t="n">
        <f aca="false">OFFSET(TblConstr[[#This Row],[Mountain]],-1,0)+TblConstr[[#This Row],[Ch_Mountain]]</f>
        <v>0</v>
      </c>
      <c r="J86" s="201" t="n">
        <f aca="false">OFFSET(TblConstr[[#This Row],[Hill]],-1,0)+TblConstr[[#This Row],[Ch_Hill]]</f>
        <v>0</v>
      </c>
      <c r="K86" s="202" t="n">
        <f aca="false">OFFSET(TblConstr[[#This Row],[Swamp]],-1,0)+TblConstr[[#This Row],[Ch_Swamp]]</f>
        <v>0</v>
      </c>
      <c r="L86" s="197" t="n">
        <f aca="false">OFFSET(TblConstr[[#This Row],[Cavern]],-1,0)+TblConstr[[#This Row],[Ch_Cavern]]</f>
        <v>0</v>
      </c>
      <c r="M86" s="198" t="n">
        <f aca="false">OFFSET(TblConstr[[#This Row],[Water]],-1,0)+TblConstr[[#This Row],[Ch_Water]]</f>
        <v>0</v>
      </c>
      <c r="N86" s="181" t="n">
        <f aca="false">TblRezone[[#This Row],[Hour]]</f>
        <v>83</v>
      </c>
      <c r="O86" s="182"/>
      <c r="P86" s="182"/>
      <c r="Q86" s="182"/>
      <c r="R86" s="152"/>
      <c r="S86" s="182"/>
      <c r="T86" s="182"/>
      <c r="U86" s="182"/>
      <c r="V86" s="182"/>
      <c r="W86" s="182"/>
      <c r="X86" s="182"/>
      <c r="Y86" s="182"/>
      <c r="Z86" s="182"/>
      <c r="AA86" s="182"/>
      <c r="AB86" s="182"/>
      <c r="AC86" s="182"/>
      <c r="AD86" s="182"/>
      <c r="AE86" s="182"/>
      <c r="AF86" s="182"/>
      <c r="AG86" s="182"/>
      <c r="AH86" s="20" t="n">
        <f aca="false">TblImps[[#This Row],[Time]]</f>
        <v>45433.1666666667</v>
      </c>
      <c r="AI86" s="130" t="n">
        <f aca="false">MIN(25%,(TblConstr[[#This Row],[Tot Fac]]+TblConstr[[#This Row],[Dest Fac]])/(TblConstr[[#This Row],[Land]]-TblExplore[[#This Row],[Land Bonus]]*20))</f>
        <v>0</v>
      </c>
      <c r="AJ86" s="130" t="n">
        <f aca="false">MIN(25%,(TblConstr[[#This Row],[Tot Fac]]+TblConstr[[#This Row],[Dest Fac]])/TblConstr[[#This Row],[Land]])</f>
        <v>0</v>
      </c>
      <c r="AK86" s="69" t="n">
        <f aca="false">TblProd[[#This Row],[Platinum]]</f>
        <v>426178</v>
      </c>
      <c r="AL86" s="69" t="n">
        <f aca="false">TblProd[[#This Row],[Lumber]]</f>
        <v>23459</v>
      </c>
      <c r="AM8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6" s="69" t="n">
        <f aca="false">ROUNDDOWN( MAX(1 - MIN(facs_constr_factor*TblConstr[[#This Row],[Facs -DB]],facs_constr_max) + tech_1_11*TblTech[[#This Row],[11-1]] + tech_6_3_2*TblTech[[#This Row],[6-3]] + tech_5_2_3*TblTech[[#This Row],[5-2]], 1-global_constr_cap) * TblConstr[[#This Row],[RCPA Lumber]],0)</f>
        <v>216</v>
      </c>
      <c r="AO8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6" s="69" t="n">
        <f aca="false">ROUNDDOWN( MAX(1 - MIN(facs_constr_factor*TblConstr[[#This Row],[Facs DB]],facs_constr_max) + tech_1_11*TblTech[[#This Row],[1-11]] + tech_6_3_2*TblTech[[#This Row],[6-3]] + tech_5_2_3*TblTech[[#This Row],[5-2]], 1-global_constr_cap) * ROUND((TblConstr[[#This Row],[Land]]-250)*0.285 + 87.5 + 0/4.25,0),0)</f>
        <v>216</v>
      </c>
      <c r="AQ86" s="1" t="n">
        <f aca="false">TblConstr[[#This Row],[build -db]]*TblConstr[[#This Row],[CPA Platinum -DB]] + TblConstr[[#This Row],[build db]]*TblConstr[[#This Row],[CPA Platinum DB]]</f>
        <v>0</v>
      </c>
      <c r="AR86" s="1" t="n">
        <f aca="false">TblConstr[[#This Row],[build -db]]*TblConstr[[#This Row],[CPA Lumber -DB]]+TblConstr[[#This Row],[build db]]*TblConstr[[#This Row],[CPA Lumber DB]]</f>
        <v>0</v>
      </c>
      <c r="AS86" s="69" t="n">
        <f aca="false">MIN(SUM(OFFSET(TblConstr[[#This Row],[Plain]:[Water]],-1,0))+SUM(TblConstr[[#This Row],[Dest Hom]:[Dest Doc]])+IF(TblConstr[[#This Row],[Hour]]&gt;12,SUM(OFFSET(TblExplore[[#This Row],[Plains Explore]:[Water Explore]],-12,0)),0),SUM(TblConstr[[#This Row],[Hom]:[Doc]]))</f>
        <v>0</v>
      </c>
      <c r="AT8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32"/>
      <c r="AV86" s="69" t="n">
        <f aca="false">ROUND((TblConstr[[#This Row],[Land]]-250 - IF(TblExplore[[#This Row],[Land Bonus]]&lt;&gt;0,20,0))*1.25 + 850 + 0,0)</f>
        <v>1413</v>
      </c>
      <c r="AW86" s="69" t="n">
        <f aca="false">ROUND((TblConstr[[#This Row],[Land]]-250 - IF(TblExplore[[#This Row],[Land Bonus]]&lt;&gt;0,20,0))*0.285 + 87.5 + 0/4.25,0)</f>
        <v>216</v>
      </c>
      <c r="AX86" s="146"/>
      <c r="AY86" s="203" t="n">
        <f aca="false" t="array" ref="AY86:AY86">IF(TblConstr[[#This Row],[Hour]:[Hour]]&gt;12,OFFSET(TblConstr[[#This Row],[Hom]],-12,0),0)+OFFSET(TblConstr[[#This Row],[Tot Hom]],-1,0)-TblConstr[[#This Row],[Dest Hom]]</f>
        <v>40</v>
      </c>
      <c r="AZ86" s="204" t="n">
        <f aca="false" t="array" ref="AZ86:AZ86">IF(TblConstr[[#This Row],[Hour]:[Hour]]&gt;12,OFFSET(TblConstr[[#This Row],[Alc]],-12,0),0)+OFFSET(TblConstr[[#This Row],[Tot Alc]],-1,0)-TblConstr[[#This Row],[Dest Alc]]</f>
        <v>275</v>
      </c>
      <c r="BA86" s="204" t="n">
        <f aca="false" t="array" ref="BA86:BA86">IF(TblConstr[[#This Row],[Hour]:[Hour]]&gt;12,OFFSET(TblConstr[[#This Row],[Far]],-12,0),0)+OFFSET(TblConstr[[#This Row],[Tot Farm]],-1,0)-TblConstr[[#This Row],[Dest Farm]]</f>
        <v>29</v>
      </c>
      <c r="BB86" s="204" t="n">
        <f aca="false" t="array" ref="BB86:BB86">IF(TblConstr[[#This Row],[Hour]:[Hour]]&gt;12,OFFSET(TblConstr[[#This Row],[Smi]],-12,0),0)+OFFSET(TblConstr[[#This Row],[Tot Smi]],-1,0)-TblConstr[[#This Row],[Dest Smi]]</f>
        <v>126</v>
      </c>
      <c r="BC86" s="204" t="n">
        <f aca="false" t="array" ref="BC86:BC86">IF(TblConstr[[#This Row],[Hour]:[Hour]]&gt;12,OFFSET(TblConstr[[#This Row],[Mas]],-12,0),0)+OFFSET(TblConstr[[#This Row],[Tot Mas]],-1,0)-TblConstr[[#This Row],[Dest Mas]]</f>
        <v>0</v>
      </c>
      <c r="BD86" s="205" t="n">
        <f aca="false" t="array" ref="BD86:BD86">IF(TblConstr[[#This Row],[Hour]:[Hour]]&gt;12,OFFSET(TblConstr[[#This Row],[Ly]],-12,0),0)+OFFSET(TblConstr[[#This Row],[Tot Ly]],-1,0)-TblConstr[[#This Row],[Dest Ly]]</f>
        <v>25</v>
      </c>
      <c r="BE86" s="205" t="n">
        <f aca="false" t="array" ref="BE86:BE86">IF(TblConstr[[#This Row],[Hour]:[Hour]]&gt;12,OFFSET(TblConstr[[#This Row],[Hav]],-12,0),0)+OFFSET(TblConstr[[#This Row],[Tot Hav]],-1,0)-TblConstr[[#This Row],[Dest Hav]]</f>
        <v>0</v>
      </c>
      <c r="BF86" s="194" t="n">
        <f aca="false" t="array" ref="BF86:BF86">IF(TblConstr[[#This Row],[Hour]:[Hour]]&gt;12,OFFSET(TblConstr[[#This Row],[OM]],-12,0),0)+OFFSET(TblConstr[[#This Row],[Tot OM]],-1,0)-TblConstr[[#This Row],[Dest OM]]</f>
        <v>0</v>
      </c>
      <c r="BG86" s="194" t="n">
        <f aca="false" t="array" ref="BG86:BG86">IF(TblConstr[[#This Row],[Hour]:[Hour]]&gt;12,OFFSET(TblConstr[[#This Row],[GN]],-12,0),0)+OFFSET(TblConstr[[#This Row],[Tot GN]],-1,0)-TblConstr[[#This Row],[Dest GN]]</f>
        <v>0</v>
      </c>
      <c r="BH86" s="206" t="n">
        <f aca="false" t="array" ref="BH86:BH86">IF(TblConstr[[#This Row],[Hour]:[Hour]]&gt;12,OFFSET(TblConstr[[#This Row],[Fac]],-12,0),0)+OFFSET(TblConstr[[#This Row],[Tot Fac]],-1,0)-TblConstr[[#This Row],[Dest Fac]]</f>
        <v>0</v>
      </c>
      <c r="BI86" s="206" t="n">
        <f aca="false" t="array" ref="BI86:BI86">IF(TblConstr[[#This Row],[Hour]:[Hour]]&gt;12,OFFSET(TblConstr[[#This Row],[GT]],-12,0),0)+OFFSET(TblConstr[[#This Row],[Tot GT]],-1,0)-TblConstr[[#This Row],[Dest GT]]</f>
        <v>55</v>
      </c>
      <c r="BJ86" s="206" t="n">
        <f aca="false" t="array" ref="BJ86:BJ86">IF(TblConstr[[#This Row],[Hour]:[Hour]]&gt;12,OFFSET(TblConstr[[#This Row],[Bar]],-12,0),0)+OFFSET(TblConstr[[#This Row],[Tot Bar]],-1,0)-TblConstr[[#This Row],[Dest Bar]]</f>
        <v>50</v>
      </c>
      <c r="BK86" s="206" t="n">
        <f aca="false" t="array" ref="BK86:BK86">IF(TblConstr[[#This Row],[Hour]:[Hour]]&gt;12,OFFSET(TblConstr[[#This Row],[Shr]],-12,0),0)+OFFSET(TblConstr[[#This Row],[Tot Shr]],-1,0)-TblConstr[[#This Row],[Dest Shr]]</f>
        <v>0</v>
      </c>
      <c r="BL86" s="207" t="n">
        <f aca="false" t="array" ref="BL86:BL86">IF(TblConstr[[#This Row],[Hour]:[Hour]]&gt;12,OFFSET(TblConstr[[#This Row],[Tow]],-12,0),0)+OFFSET(TblConstr[[#This Row],[Tot Tow]],-1,0)-TblConstr[[#This Row],[Dest Tow]]</f>
        <v>29</v>
      </c>
      <c r="BM86" s="207" t="n">
        <f aca="false" t="array" ref="BM86:BM86">IF(TblConstr[[#This Row],[Hour]:[Hour]]&gt;12,OFFSET(TblConstr[[#This Row],[Tem]],-12,0),0)+OFFSET(TblConstr[[#This Row],[Tot Tem]],-1,0)-TblConstr[[#This Row],[Dest Tem]]</f>
        <v>47</v>
      </c>
      <c r="BN86" s="207" t="n">
        <f aca="false" t="array" ref="BN86:BN86">IF(TblConstr[[#This Row],[Hour]:[Hour]]&gt;12,OFFSET(TblConstr[[#This Row],[WG]],-12,0),0)+OFFSET(TblConstr[[#This Row],[Tot WG]],-1,0)-TblConstr[[#This Row],[Dest WG]]</f>
        <v>0</v>
      </c>
      <c r="BO86" s="208" t="n">
        <f aca="false" t="array" ref="BO86:BO86">IF(TblConstr[[#This Row],[Hour]:[Hour]]&gt;12,OFFSET(TblConstr[[#This Row],[DM]],-12,0),0)+OFFSET(TblConstr[[#This Row],[Tot DM]],-1,0)-TblConstr[[#This Row],[Dest DM]]</f>
        <v>0</v>
      </c>
      <c r="BP86" s="208" t="n">
        <f aca="false" t="array" ref="BP86:BP86">IF(TblConstr[[#This Row],[Hour]:[Hour]]&gt;12,OFFSET(TblConstr[[#This Row],[Sch]],-12,0),0)+OFFSET(TblConstr[[#This Row],[Tot Sch]],-1,0)-TblConstr[[#This Row],[Dest Sch]]</f>
        <v>0</v>
      </c>
      <c r="BQ86" s="209" t="n">
        <f aca="false" t="array" ref="BQ86:BQ86">IF(TblConstr[[#This Row],[Hour]:[Hour]]&gt;12,OFFSET(TblConstr[[#This Row],[Doc]],-12,0),0)+OFFSET(TblConstr[[#This Row],[Tot Doc]],-1,0)-TblConstr[[#This Row],[Dest Doc]]</f>
        <v>24</v>
      </c>
      <c r="BR86" s="132"/>
      <c r="BS86" s="146"/>
      <c r="BT86" s="69" t="n">
        <f aca="false">TblConstr[[#This Row],[Land]]</f>
        <v>700</v>
      </c>
      <c r="BU86" s="153" t="n">
        <f aca="false">TblImps[[#This Row],[Time]]</f>
        <v>45433.1666666667</v>
      </c>
      <c r="BV86" s="132"/>
      <c r="BW86" s="182"/>
      <c r="BX86" s="182"/>
      <c r="BY86" s="182"/>
      <c r="BZ86" s="182"/>
      <c r="CA86" s="182"/>
      <c r="CB86" s="182"/>
      <c r="CC86" s="182"/>
      <c r="CD86" s="182"/>
      <c r="CE86" s="182"/>
      <c r="CF86" s="182"/>
      <c r="CG86" s="182"/>
      <c r="CH86" s="182"/>
      <c r="CI86" s="182"/>
      <c r="CJ86" s="182"/>
      <c r="CK86" s="182"/>
      <c r="CL86" s="182"/>
      <c r="CM86" s="182"/>
      <c r="CN86" s="182"/>
      <c r="CO86" s="182"/>
      <c r="CP86" s="132"/>
      <c r="CQ86" s="192" t="n">
        <f aca="false">-SUM(TblConstr[[#This Row],[Alc]:[Mas]])+SUM(TblConstr[[#This Row],[Dest Alc]:[Dest Mas]])+Rezone!L86+IF("Ch_"&amp; home_land=TblConstr[[#Headers],[Ch_Plain]],TblConstr[[#This Row],[Home Land]])+IF(TblConstr[[#This Row],[Hour]:[Hour]]&gt;12,OFFSET(TblExplore[[#This Row],[Plains Explore]],-12,0),0)</f>
        <v>0</v>
      </c>
      <c r="CR86" s="193" t="n">
        <f aca="false">-SUM(TblConstr[[#This Row],[Ly]:[Hav]])+SUM(TblConstr[[#This Row],[Dest Ly]:[Dest Hav]]) +Rezone!M86 + IF("Ch_"&amp; home_land=TblConstr[[#Headers],[Ch_Forest]],TblConstr[[#This Row],[Home Land]])+IF(TblConstr[[#This Row],[Hour]:[Hour]]&gt;12,OFFSET(TblExplore[[#This Row],[Forest Explore]],-12,0),0)</f>
        <v>0</v>
      </c>
      <c r="CS86" s="200" t="n">
        <f aca="false">-SUM(TblConstr[[#This Row],[OM]:[GN]])+SUM(TblConstr[[#This Row],[Dest OM]:[Dest GN]]) +Rezone!N86 + IF("Ch_"&amp; home_land=TblConstr[[#Headers],[Ch_Mountain]],TblConstr[[#This Row],[Home Land]])+IF(TblConstr[[#This Row],[Hour]:[Hour]]&gt;12,OFFSET(TblExplore[[#This Row],[Mountain Explore]],-12,0),0)</f>
        <v>0</v>
      </c>
      <c r="CT86" s="195" t="n">
        <f aca="false">-SUM(TblConstr[[#This Row],[Fac]:[Shr]])+SUM(TblConstr[[#This Row],[Dest Fac]:[Dest Shr]]) +Rezone!O86 + IF("Ch_" &amp; home_land=TblConstr[[#Headers],[Ch_Hill]],TblConstr[[#This Row],[Home Land]])+IF(TblConstr[[#This Row],[Hour]:[Hour]]&gt;12,OFFSET(TblExplore[[#This Row],[Hill Explore]],-12,0),0)</f>
        <v>0</v>
      </c>
      <c r="CU86" s="196" t="n">
        <f aca="false">-SUM(TblConstr[[#This Row],[Tow]:[WG]])+SUM(TblConstr[[#This Row],[Dest Tow]:[Dest WG]]) +Rezone!P86 + IF("Ch_" &amp; home_land=TblConstr[[#Headers],[Ch_Swamp]],TblConstr[[#This Row],[Home Land]])+IF(TblConstr[[#This Row],[Hour]:[Hour]]&gt;12,OFFSET(TblExplore[[#This Row],[Swamp Explore]],-12,0),0)</f>
        <v>0</v>
      </c>
      <c r="CV86" s="197" t="n">
        <f aca="false">- SUM(TblConstr[[#This Row],[DM]:[Sch]])+SUM(TblConstr[[#This Row],[Dest DM]:[Dest Sch]]) +Rezone!Q86 + IF("Ch_" &amp; home_land=TblConstr[[#Headers],[Ch_Cavern]],TblConstr[[#This Row],[Home Land]])+IF(TblConstr[[#This Row],[Hour]:[Hour]]&gt;12,OFFSET(TblExplore[[#This Row],[Cavern Explore]],-12,0),0)</f>
        <v>0</v>
      </c>
      <c r="CW86" s="198" t="n">
        <f aca="false">-TblConstr[[#This Row],[Doc]]+TblConstr[[#This Row],[Dest Doc]] +Rezone!R86 + IF("Ch_" &amp; home_land=TblConstr[[#Headers],[Ch_Water]],TblConstr[[#This Row],[Home Land]])+IF(TblConstr[[#This Row],[Hour]:[Hour]]&gt;12,OFFSET(TblExplore[[#This Row],[Water Explore]],-12,0),0)</f>
        <v>0</v>
      </c>
      <c r="CX86" s="1" t="n">
        <f aca="false">IF(Explore!S86=1,20) - TblConstr[[#This Row],[Hom]] + TblConstr[[#This Row],[Dest Hom]]</f>
        <v>0</v>
      </c>
      <c r="CY86" s="132"/>
      <c r="CZ86" s="69" t="n">
        <f aca="false">G86+SUM(P75:S86)+SUM(AZ86:BC86)</f>
        <v>430</v>
      </c>
      <c r="DA86" s="69" t="n">
        <f aca="false">H86+SUM(T75:U86)+SUM(BD86:BE86)</f>
        <v>25</v>
      </c>
      <c r="DB86" s="1" t="n">
        <f aca="false">I86+SUM(V75:W86)+SUM(BF86:BG86)</f>
        <v>0</v>
      </c>
      <c r="DC86" s="69" t="n">
        <f aca="false">J86+SUM(X75:Y86)+SUM(BH86:BI86)</f>
        <v>55</v>
      </c>
      <c r="DD86" s="69" t="n">
        <f aca="false">K86+SUM(AB75:AD86)+SUM(BL86:BN86)</f>
        <v>76</v>
      </c>
      <c r="DE86" s="1" t="n">
        <f aca="false">L86+SUM(AE75:AE86)+BO86</f>
        <v>0</v>
      </c>
      <c r="DF86" s="69" t="n">
        <f aca="false">M86+SUM(AG75:AG86)+BQ86</f>
        <v>24</v>
      </c>
      <c r="DG86" s="69" t="e">
        <f aca="false" t="array" ref="DG86:DG86">INDEX(TblConstr[[Total Plain]:[Total Water]],ROW()-ROW(TblConstr[#headers]),MATCH("Total "&amp;home_land,TblConstr[[#Headers],[Total Plain]:[Total Water]],0))+TblConstr[[#This Row],[Homes]]</f>
        <v>#VALUE!</v>
      </c>
      <c r="DH86" s="1" t="n">
        <f aca="false">SUM(O75:O86)+AY86</f>
        <v>40</v>
      </c>
      <c r="DI86" s="1" t="n">
        <f aca="false">MAX(BA86-BA85,0)</f>
        <v>0</v>
      </c>
      <c r="DJ86" s="1" t="n">
        <f aca="false">MAX(BQ86-BQ85,0)</f>
        <v>0</v>
      </c>
    </row>
    <row r="87" customFormat="false" ht="12.75" hidden="false" customHeight="false" outlineLevel="0" collapsed="false">
      <c r="A87" s="170" t="n">
        <f aca="false">TblRezone[[#This Row],[Hour]]</f>
        <v>84</v>
      </c>
      <c r="B87" s="171" t="n">
        <f aca="false">SUM(TblConstr[[#This Row],[Plain]:[Water]])</f>
        <v>0</v>
      </c>
      <c r="C87" s="172" t="n">
        <f aca="false">SUM(TblConstr[[#This Row],[Tot Hom]:[Tot Doc]])</f>
        <v>700</v>
      </c>
      <c r="D87" s="172" t="n">
        <f aca="false">SUM(O76:AG87)</f>
        <v>0</v>
      </c>
      <c r="E87" s="173"/>
      <c r="F87" s="33" t="n">
        <f aca="false">TblConstr[[#This Row],[Barren]]+TblConstr[[#This Row],[Buildings]]+TblConstr[[#This Row],[Incoming]]</f>
        <v>700</v>
      </c>
      <c r="G87" s="199" t="n">
        <f aca="false">OFFSET(TblConstr[[#This Row],[Plain]],-1,0)+TblConstr[[#This Row],[Ch_Plain]]</f>
        <v>0</v>
      </c>
      <c r="H87" s="193" t="n">
        <f aca="false">OFFSET(TblConstr[[#This Row],[Forest]],-1,0)+TblConstr[[#This Row],[Ch_Forest]]</f>
        <v>0</v>
      </c>
      <c r="I87" s="200" t="n">
        <f aca="false">OFFSET(TblConstr[[#This Row],[Mountain]],-1,0)+TblConstr[[#This Row],[Ch_Mountain]]</f>
        <v>0</v>
      </c>
      <c r="J87" s="201" t="n">
        <f aca="false">OFFSET(TblConstr[[#This Row],[Hill]],-1,0)+TblConstr[[#This Row],[Ch_Hill]]</f>
        <v>0</v>
      </c>
      <c r="K87" s="202" t="n">
        <f aca="false">OFFSET(TblConstr[[#This Row],[Swamp]],-1,0)+TblConstr[[#This Row],[Ch_Swamp]]</f>
        <v>0</v>
      </c>
      <c r="L87" s="197" t="n">
        <f aca="false">OFFSET(TblConstr[[#This Row],[Cavern]],-1,0)+TblConstr[[#This Row],[Ch_Cavern]]</f>
        <v>0</v>
      </c>
      <c r="M87" s="198" t="n">
        <f aca="false">OFFSET(TblConstr[[#This Row],[Water]],-1,0)+TblConstr[[#This Row],[Ch_Water]]</f>
        <v>0</v>
      </c>
      <c r="N87" s="181" t="n">
        <f aca="false">TblRezone[[#This Row],[Hour]]</f>
        <v>84</v>
      </c>
      <c r="O87" s="182"/>
      <c r="P87" s="182"/>
      <c r="Q87" s="182"/>
      <c r="R87" s="182"/>
      <c r="S87" s="182"/>
      <c r="T87" s="182"/>
      <c r="U87" s="182"/>
      <c r="V87" s="182"/>
      <c r="W87" s="182"/>
      <c r="X87" s="182"/>
      <c r="Y87" s="182"/>
      <c r="Z87" s="182"/>
      <c r="AA87" s="182"/>
      <c r="AB87" s="182"/>
      <c r="AC87" s="182"/>
      <c r="AD87" s="182"/>
      <c r="AE87" s="182"/>
      <c r="AF87" s="182"/>
      <c r="AG87" s="182"/>
      <c r="AH87" s="20" t="n">
        <f aca="false">TblImps[[#This Row],[Time]]</f>
        <v>45433.2083333333</v>
      </c>
      <c r="AI87" s="130" t="n">
        <f aca="false">MIN(25%,(TblConstr[[#This Row],[Tot Fac]]+TblConstr[[#This Row],[Dest Fac]])/(TblConstr[[#This Row],[Land]]-TblExplore[[#This Row],[Land Bonus]]*20))</f>
        <v>0</v>
      </c>
      <c r="AJ87" s="130" t="n">
        <f aca="false">MIN(25%,(TblConstr[[#This Row],[Tot Fac]]+TblConstr[[#This Row],[Dest Fac]])/TblConstr[[#This Row],[Land]])</f>
        <v>0</v>
      </c>
      <c r="AK87" s="69" t="n">
        <f aca="false">TblProd[[#This Row],[Platinum]]</f>
        <v>470622</v>
      </c>
      <c r="AL87" s="69" t="n">
        <f aca="false">TblProd[[#This Row],[Lumber]]</f>
        <v>24349</v>
      </c>
      <c r="AM8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7" s="69" t="n">
        <f aca="false">ROUNDDOWN( MAX(1 - MIN(facs_constr_factor*TblConstr[[#This Row],[Facs -DB]],facs_constr_max) + tech_1_11*TblTech[[#This Row],[11-1]] + tech_6_3_2*TblTech[[#This Row],[6-3]] + tech_5_2_3*TblTech[[#This Row],[5-2]], 1-global_constr_cap) * TblConstr[[#This Row],[RCPA Lumber]],0)</f>
        <v>216</v>
      </c>
      <c r="AO8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7" s="69" t="n">
        <f aca="false">ROUNDDOWN( MAX(1 - MIN(facs_constr_factor*TblConstr[[#This Row],[Facs DB]],facs_constr_max) + tech_1_11*TblTech[[#This Row],[1-11]] + tech_6_3_2*TblTech[[#This Row],[6-3]] + tech_5_2_3*TblTech[[#This Row],[5-2]], 1-global_constr_cap) * ROUND((TblConstr[[#This Row],[Land]]-250)*0.285 + 87.5 + 0/4.25,0),0)</f>
        <v>216</v>
      </c>
      <c r="AQ87" s="1" t="n">
        <f aca="false">TblConstr[[#This Row],[build -db]]*TblConstr[[#This Row],[CPA Platinum -DB]] + TblConstr[[#This Row],[build db]]*TblConstr[[#This Row],[CPA Platinum DB]]</f>
        <v>0</v>
      </c>
      <c r="AR87" s="1" t="n">
        <f aca="false">TblConstr[[#This Row],[build -db]]*TblConstr[[#This Row],[CPA Lumber -DB]]+TblConstr[[#This Row],[build db]]*TblConstr[[#This Row],[CPA Lumber DB]]</f>
        <v>0</v>
      </c>
      <c r="AS87" s="69" t="n">
        <f aca="false">MIN(SUM(OFFSET(TblConstr[[#This Row],[Plain]:[Water]],-1,0))+SUM(TblConstr[[#This Row],[Dest Hom]:[Dest Doc]])+IF(TblConstr[[#This Row],[Hour]]&gt;12,SUM(OFFSET(TblExplore[[#This Row],[Plains Explore]:[Water Explore]],-12,0)),0),SUM(TblConstr[[#This Row],[Hom]:[Doc]]))</f>
        <v>0</v>
      </c>
      <c r="AT8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32"/>
      <c r="AV87" s="69" t="n">
        <f aca="false">ROUND((TblConstr[[#This Row],[Land]]-250 - IF(TblExplore[[#This Row],[Land Bonus]]&lt;&gt;0,20,0))*1.25 + 850 + 0,0)</f>
        <v>1413</v>
      </c>
      <c r="AW87" s="69" t="n">
        <f aca="false">ROUND((TblConstr[[#This Row],[Land]]-250 - IF(TblExplore[[#This Row],[Land Bonus]]&lt;&gt;0,20,0))*0.285 + 87.5 + 0/4.25,0)</f>
        <v>216</v>
      </c>
      <c r="AX87" s="146"/>
      <c r="AY87" s="203" t="n">
        <f aca="false" t="array" ref="AY87:AY87">IF(TblConstr[[#This Row],[Hour]:[Hour]]&gt;12,OFFSET(TblConstr[[#This Row],[Hom]],-12,0),0)+OFFSET(TblConstr[[#This Row],[Tot Hom]],-1,0)-TblConstr[[#This Row],[Dest Hom]]</f>
        <v>40</v>
      </c>
      <c r="AZ87" s="204" t="n">
        <f aca="false" t="array" ref="AZ87:AZ87">IF(TblConstr[[#This Row],[Hour]:[Hour]]&gt;12,OFFSET(TblConstr[[#This Row],[Alc]],-12,0),0)+OFFSET(TblConstr[[#This Row],[Tot Alc]],-1,0)-TblConstr[[#This Row],[Dest Alc]]</f>
        <v>275</v>
      </c>
      <c r="BA87" s="204" t="n">
        <f aca="false" t="array" ref="BA87:BA87">IF(TblConstr[[#This Row],[Hour]:[Hour]]&gt;12,OFFSET(TblConstr[[#This Row],[Far]],-12,0),0)+OFFSET(TblConstr[[#This Row],[Tot Farm]],-1,0)-TblConstr[[#This Row],[Dest Farm]]</f>
        <v>29</v>
      </c>
      <c r="BB87" s="204" t="n">
        <f aca="false" t="array" ref="BB87:BB87">IF(TblConstr[[#This Row],[Hour]:[Hour]]&gt;12,OFFSET(TblConstr[[#This Row],[Smi]],-12,0),0)+OFFSET(TblConstr[[#This Row],[Tot Smi]],-1,0)-TblConstr[[#This Row],[Dest Smi]]</f>
        <v>126</v>
      </c>
      <c r="BC87" s="204" t="n">
        <f aca="false" t="array" ref="BC87:BC87">IF(TblConstr[[#This Row],[Hour]:[Hour]]&gt;12,OFFSET(TblConstr[[#This Row],[Mas]],-12,0),0)+OFFSET(TblConstr[[#This Row],[Tot Mas]],-1,0)-TblConstr[[#This Row],[Dest Mas]]</f>
        <v>0</v>
      </c>
      <c r="BD87" s="205" t="n">
        <f aca="false" t="array" ref="BD87:BD87">IF(TblConstr[[#This Row],[Hour]:[Hour]]&gt;12,OFFSET(TblConstr[[#This Row],[Ly]],-12,0),0)+OFFSET(TblConstr[[#This Row],[Tot Ly]],-1,0)-TblConstr[[#This Row],[Dest Ly]]</f>
        <v>25</v>
      </c>
      <c r="BE87" s="205" t="n">
        <f aca="false" t="array" ref="BE87:BE87">IF(TblConstr[[#This Row],[Hour]:[Hour]]&gt;12,OFFSET(TblConstr[[#This Row],[Hav]],-12,0),0)+OFFSET(TblConstr[[#This Row],[Tot Hav]],-1,0)-TblConstr[[#This Row],[Dest Hav]]</f>
        <v>0</v>
      </c>
      <c r="BF87" s="194" t="n">
        <f aca="false" t="array" ref="BF87:BF87">IF(TblConstr[[#This Row],[Hour]:[Hour]]&gt;12,OFFSET(TblConstr[[#This Row],[OM]],-12,0),0)+OFFSET(TblConstr[[#This Row],[Tot OM]],-1,0)-TblConstr[[#This Row],[Dest OM]]</f>
        <v>0</v>
      </c>
      <c r="BG87" s="194" t="n">
        <f aca="false" t="array" ref="BG87:BG87">IF(TblConstr[[#This Row],[Hour]:[Hour]]&gt;12,OFFSET(TblConstr[[#This Row],[GN]],-12,0),0)+OFFSET(TblConstr[[#This Row],[Tot GN]],-1,0)-TblConstr[[#This Row],[Dest GN]]</f>
        <v>0</v>
      </c>
      <c r="BH87" s="206" t="n">
        <f aca="false" t="array" ref="BH87:BH87">IF(TblConstr[[#This Row],[Hour]:[Hour]]&gt;12,OFFSET(TblConstr[[#This Row],[Fac]],-12,0),0)+OFFSET(TblConstr[[#This Row],[Tot Fac]],-1,0)-TblConstr[[#This Row],[Dest Fac]]</f>
        <v>0</v>
      </c>
      <c r="BI87" s="206" t="n">
        <f aca="false" t="array" ref="BI87:BI87">IF(TblConstr[[#This Row],[Hour]:[Hour]]&gt;12,OFFSET(TblConstr[[#This Row],[GT]],-12,0),0)+OFFSET(TblConstr[[#This Row],[Tot GT]],-1,0)-TblConstr[[#This Row],[Dest GT]]</f>
        <v>55</v>
      </c>
      <c r="BJ87" s="206" t="n">
        <f aca="false" t="array" ref="BJ87:BJ87">IF(TblConstr[[#This Row],[Hour]:[Hour]]&gt;12,OFFSET(TblConstr[[#This Row],[Bar]],-12,0),0)+OFFSET(TblConstr[[#This Row],[Tot Bar]],-1,0)-TblConstr[[#This Row],[Dest Bar]]</f>
        <v>50</v>
      </c>
      <c r="BK87" s="206" t="n">
        <f aca="false" t="array" ref="BK87:BK87">IF(TblConstr[[#This Row],[Hour]:[Hour]]&gt;12,OFFSET(TblConstr[[#This Row],[Shr]],-12,0),0)+OFFSET(TblConstr[[#This Row],[Tot Shr]],-1,0)-TblConstr[[#This Row],[Dest Shr]]</f>
        <v>0</v>
      </c>
      <c r="BL87" s="207" t="n">
        <f aca="false" t="array" ref="BL87:BL87">IF(TblConstr[[#This Row],[Hour]:[Hour]]&gt;12,OFFSET(TblConstr[[#This Row],[Tow]],-12,0),0)+OFFSET(TblConstr[[#This Row],[Tot Tow]],-1,0)-TblConstr[[#This Row],[Dest Tow]]</f>
        <v>29</v>
      </c>
      <c r="BM87" s="207" t="n">
        <f aca="false" t="array" ref="BM87:BM87">IF(TblConstr[[#This Row],[Hour]:[Hour]]&gt;12,OFFSET(TblConstr[[#This Row],[Tem]],-12,0),0)+OFFSET(TblConstr[[#This Row],[Tot Tem]],-1,0)-TblConstr[[#This Row],[Dest Tem]]</f>
        <v>47</v>
      </c>
      <c r="BN87" s="207" t="n">
        <f aca="false" t="array" ref="BN87:BN87">IF(TblConstr[[#This Row],[Hour]:[Hour]]&gt;12,OFFSET(TblConstr[[#This Row],[WG]],-12,0),0)+OFFSET(TblConstr[[#This Row],[Tot WG]],-1,0)-TblConstr[[#This Row],[Dest WG]]</f>
        <v>0</v>
      </c>
      <c r="BO87" s="208" t="n">
        <f aca="false" t="array" ref="BO87:BO87">IF(TblConstr[[#This Row],[Hour]:[Hour]]&gt;12,OFFSET(TblConstr[[#This Row],[DM]],-12,0),0)+OFFSET(TblConstr[[#This Row],[Tot DM]],-1,0)-TblConstr[[#This Row],[Dest DM]]</f>
        <v>0</v>
      </c>
      <c r="BP87" s="208" t="n">
        <f aca="false" t="array" ref="BP87:BP87">IF(TblConstr[[#This Row],[Hour]:[Hour]]&gt;12,OFFSET(TblConstr[[#This Row],[Sch]],-12,0),0)+OFFSET(TblConstr[[#This Row],[Tot Sch]],-1,0)-TblConstr[[#This Row],[Dest Sch]]</f>
        <v>0</v>
      </c>
      <c r="BQ87" s="209" t="n">
        <f aca="false" t="array" ref="BQ87:BQ87">IF(TblConstr[[#This Row],[Hour]:[Hour]]&gt;12,OFFSET(TblConstr[[#This Row],[Doc]],-12,0),0)+OFFSET(TblConstr[[#This Row],[Tot Doc]],-1,0)-TblConstr[[#This Row],[Dest Doc]]</f>
        <v>24</v>
      </c>
      <c r="BR87" s="132"/>
      <c r="BS87" s="146"/>
      <c r="BT87" s="69" t="n">
        <f aca="false">TblConstr[[#This Row],[Land]]</f>
        <v>700</v>
      </c>
      <c r="BU87" s="153" t="n">
        <f aca="false">TblImps[[#This Row],[Time]]</f>
        <v>45433.2083333333</v>
      </c>
      <c r="BV87" s="132"/>
      <c r="BW87" s="182"/>
      <c r="BX87" s="182"/>
      <c r="BY87" s="182"/>
      <c r="BZ87" s="182"/>
      <c r="CA87" s="182"/>
      <c r="CB87" s="182"/>
      <c r="CC87" s="182"/>
      <c r="CD87" s="182"/>
      <c r="CE87" s="182"/>
      <c r="CF87" s="182"/>
      <c r="CG87" s="182"/>
      <c r="CH87" s="182"/>
      <c r="CI87" s="182"/>
      <c r="CJ87" s="182"/>
      <c r="CK87" s="182"/>
      <c r="CL87" s="182"/>
      <c r="CM87" s="182"/>
      <c r="CN87" s="182"/>
      <c r="CO87" s="182"/>
      <c r="CP87" s="132"/>
      <c r="CQ87" s="192" t="n">
        <f aca="false">-SUM(TblConstr[[#This Row],[Alc]:[Mas]])+SUM(TblConstr[[#This Row],[Dest Alc]:[Dest Mas]])+Rezone!L87+IF("Ch_"&amp; home_land=TblConstr[[#Headers],[Ch_Plain]],TblConstr[[#This Row],[Home Land]])+IF(TblConstr[[#This Row],[Hour]:[Hour]]&gt;12,OFFSET(TblExplore[[#This Row],[Plains Explore]],-12,0),0)</f>
        <v>0</v>
      </c>
      <c r="CR87" s="193" t="n">
        <f aca="false">-SUM(TblConstr[[#This Row],[Ly]:[Hav]])+SUM(TblConstr[[#This Row],[Dest Ly]:[Dest Hav]]) +Rezone!M87 + IF("Ch_"&amp; home_land=TblConstr[[#Headers],[Ch_Forest]],TblConstr[[#This Row],[Home Land]])+IF(TblConstr[[#This Row],[Hour]:[Hour]]&gt;12,OFFSET(TblExplore[[#This Row],[Forest Explore]],-12,0),0)</f>
        <v>0</v>
      </c>
      <c r="CS87" s="200" t="n">
        <f aca="false">-SUM(TblConstr[[#This Row],[OM]:[GN]])+SUM(TblConstr[[#This Row],[Dest OM]:[Dest GN]]) +Rezone!N87 + IF("Ch_"&amp; home_land=TblConstr[[#Headers],[Ch_Mountain]],TblConstr[[#This Row],[Home Land]])+IF(TblConstr[[#This Row],[Hour]:[Hour]]&gt;12,OFFSET(TblExplore[[#This Row],[Mountain Explore]],-12,0),0)</f>
        <v>0</v>
      </c>
      <c r="CT87" s="195" t="n">
        <f aca="false">-SUM(TblConstr[[#This Row],[Fac]:[Shr]])+SUM(TblConstr[[#This Row],[Dest Fac]:[Dest Shr]]) +Rezone!O87 + IF("Ch_" &amp; home_land=TblConstr[[#Headers],[Ch_Hill]],TblConstr[[#This Row],[Home Land]])+IF(TblConstr[[#This Row],[Hour]:[Hour]]&gt;12,OFFSET(TblExplore[[#This Row],[Hill Explore]],-12,0),0)</f>
        <v>0</v>
      </c>
      <c r="CU87" s="196" t="n">
        <f aca="false">-SUM(TblConstr[[#This Row],[Tow]:[WG]])+SUM(TblConstr[[#This Row],[Dest Tow]:[Dest WG]]) +Rezone!P87 + IF("Ch_" &amp; home_land=TblConstr[[#Headers],[Ch_Swamp]],TblConstr[[#This Row],[Home Land]])+IF(TblConstr[[#This Row],[Hour]:[Hour]]&gt;12,OFFSET(TblExplore[[#This Row],[Swamp Explore]],-12,0),0)</f>
        <v>0</v>
      </c>
      <c r="CV87" s="197" t="n">
        <f aca="false">- SUM(TblConstr[[#This Row],[DM]:[Sch]])+SUM(TblConstr[[#This Row],[Dest DM]:[Dest Sch]]) +Rezone!Q87 + IF("Ch_" &amp; home_land=TblConstr[[#Headers],[Ch_Cavern]],TblConstr[[#This Row],[Home Land]])+IF(TblConstr[[#This Row],[Hour]:[Hour]]&gt;12,OFFSET(TblExplore[[#This Row],[Cavern Explore]],-12,0),0)</f>
        <v>0</v>
      </c>
      <c r="CW87" s="198" t="n">
        <f aca="false">-TblConstr[[#This Row],[Doc]]+TblConstr[[#This Row],[Dest Doc]] +Rezone!R87 + IF("Ch_" &amp; home_land=TblConstr[[#Headers],[Ch_Water]],TblConstr[[#This Row],[Home Land]])+IF(TblConstr[[#This Row],[Hour]:[Hour]]&gt;12,OFFSET(TblExplore[[#This Row],[Water Explore]],-12,0),0)</f>
        <v>0</v>
      </c>
      <c r="CX87" s="1" t="n">
        <f aca="false">IF(Explore!S87=1,20) - TblConstr[[#This Row],[Hom]] + TblConstr[[#This Row],[Dest Hom]]</f>
        <v>0</v>
      </c>
      <c r="CY87" s="132"/>
      <c r="CZ87" s="69" t="n">
        <f aca="false">G87+SUM(P76:S87)+SUM(AZ87:BC87)</f>
        <v>430</v>
      </c>
      <c r="DA87" s="69" t="n">
        <f aca="false">H87+SUM(T76:U87)+SUM(BD87:BE87)</f>
        <v>25</v>
      </c>
      <c r="DB87" s="1" t="n">
        <f aca="false">I87+SUM(V76:W87)+SUM(BF87:BG87)</f>
        <v>0</v>
      </c>
      <c r="DC87" s="69" t="n">
        <f aca="false">J87+SUM(X76:Y87)+SUM(BH87:BI87)</f>
        <v>55</v>
      </c>
      <c r="DD87" s="69" t="n">
        <f aca="false">K87+SUM(AB76:AD87)+SUM(BL87:BN87)</f>
        <v>76</v>
      </c>
      <c r="DE87" s="1" t="n">
        <f aca="false">L87+SUM(AE76:AE87)+BO87</f>
        <v>0</v>
      </c>
      <c r="DF87" s="69" t="n">
        <f aca="false">M87+SUM(AG76:AG87)+BQ87</f>
        <v>24</v>
      </c>
      <c r="DG87" s="69" t="e">
        <f aca="false" t="array" ref="DG87:DG87">INDEX(TblConstr[[Total Plain]:[Total Water]],ROW()-ROW(TblConstr[#headers]),MATCH("Total "&amp;home_land,TblConstr[[#Headers],[Total Plain]:[Total Water]],0))+TblConstr[[#This Row],[Homes]]</f>
        <v>#VALUE!</v>
      </c>
      <c r="DH87" s="1" t="n">
        <f aca="false">SUM(O76:O87)+AY87</f>
        <v>40</v>
      </c>
      <c r="DI87" s="1" t="n">
        <f aca="false">MAX(BA87-BA86,0)</f>
        <v>0</v>
      </c>
      <c r="DJ87" s="1" t="n">
        <f aca="false">MAX(BQ87-BQ86,0)</f>
        <v>0</v>
      </c>
    </row>
    <row r="88" customFormat="false" ht="12.75" hidden="false" customHeight="false" outlineLevel="0" collapsed="false">
      <c r="A88" s="170" t="n">
        <f aca="false">TblRezone[[#This Row],[Hour]]</f>
        <v>85</v>
      </c>
      <c r="B88" s="171" t="n">
        <f aca="false">SUM(TblConstr[[#This Row],[Plain]:[Water]])</f>
        <v>0</v>
      </c>
      <c r="C88" s="172" t="n">
        <f aca="false">SUM(TblConstr[[#This Row],[Tot Hom]:[Tot Doc]])</f>
        <v>700</v>
      </c>
      <c r="D88" s="172" t="n">
        <f aca="false">SUM(O77:AG88)</f>
        <v>0</v>
      </c>
      <c r="E88" s="173"/>
      <c r="F88" s="33" t="n">
        <f aca="false">TblConstr[[#This Row],[Barren]]+TblConstr[[#This Row],[Buildings]]+TblConstr[[#This Row],[Incoming]]</f>
        <v>700</v>
      </c>
      <c r="G88" s="199" t="n">
        <f aca="false">OFFSET(TblConstr[[#This Row],[Plain]],-1,0)+TblConstr[[#This Row],[Ch_Plain]]</f>
        <v>0</v>
      </c>
      <c r="H88" s="193" t="n">
        <f aca="false">OFFSET(TblConstr[[#This Row],[Forest]],-1,0)+TblConstr[[#This Row],[Ch_Forest]]</f>
        <v>0</v>
      </c>
      <c r="I88" s="200" t="n">
        <f aca="false">OFFSET(TblConstr[[#This Row],[Mountain]],-1,0)+TblConstr[[#This Row],[Ch_Mountain]]</f>
        <v>0</v>
      </c>
      <c r="J88" s="201" t="n">
        <f aca="false">OFFSET(TblConstr[[#This Row],[Hill]],-1,0)+TblConstr[[#This Row],[Ch_Hill]]</f>
        <v>0</v>
      </c>
      <c r="K88" s="202" t="n">
        <f aca="false">OFFSET(TblConstr[[#This Row],[Swamp]],-1,0)+TblConstr[[#This Row],[Ch_Swamp]]</f>
        <v>0</v>
      </c>
      <c r="L88" s="197" t="n">
        <f aca="false">OFFSET(TblConstr[[#This Row],[Cavern]],-1,0)+TblConstr[[#This Row],[Ch_Cavern]]</f>
        <v>0</v>
      </c>
      <c r="M88" s="198" t="n">
        <f aca="false">OFFSET(TblConstr[[#This Row],[Water]],-1,0)+TblConstr[[#This Row],[Ch_Water]]</f>
        <v>0</v>
      </c>
      <c r="N88" s="181" t="n">
        <f aca="false">TblRezone[[#This Row],[Hour]]</f>
        <v>85</v>
      </c>
      <c r="O88" s="182"/>
      <c r="P88" s="152"/>
      <c r="Q88" s="182"/>
      <c r="R88" s="182"/>
      <c r="S88" s="182"/>
      <c r="T88" s="182"/>
      <c r="U88" s="182"/>
      <c r="V88" s="182"/>
      <c r="W88" s="182"/>
      <c r="X88" s="182"/>
      <c r="Y88" s="182"/>
      <c r="Z88" s="182"/>
      <c r="AA88" s="182"/>
      <c r="AB88" s="182"/>
      <c r="AC88" s="182"/>
      <c r="AD88" s="182"/>
      <c r="AE88" s="182"/>
      <c r="AF88" s="182"/>
      <c r="AG88" s="152"/>
      <c r="AH88" s="20" t="n">
        <f aca="false">TblImps[[#This Row],[Time]]</f>
        <v>45433.25</v>
      </c>
      <c r="AI88" s="130" t="n">
        <f aca="false">MIN(25%,(TblConstr[[#This Row],[Tot Fac]]+TblConstr[[#This Row],[Dest Fac]])/(TblConstr[[#This Row],[Land]]-TblExplore[[#This Row],[Land Bonus]]*20))</f>
        <v>0</v>
      </c>
      <c r="AJ88" s="130" t="n">
        <f aca="false">MIN(25%,(TblConstr[[#This Row],[Tot Fac]]+TblConstr[[#This Row],[Dest Fac]])/TblConstr[[#This Row],[Land]])</f>
        <v>0</v>
      </c>
      <c r="AK88" s="69" t="n">
        <f aca="false">TblProd[[#This Row],[Platinum]]</f>
        <v>514796</v>
      </c>
      <c r="AL88" s="69" t="n">
        <f aca="false">TblProd[[#This Row],[Lumber]]</f>
        <v>25231</v>
      </c>
      <c r="AM8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8" s="69" t="n">
        <f aca="false">ROUNDDOWN( MAX(1 - MIN(facs_constr_factor*TblConstr[[#This Row],[Facs -DB]],facs_constr_max) + tech_1_11*TblTech[[#This Row],[11-1]] + tech_6_3_2*TblTech[[#This Row],[6-3]] + tech_5_2_3*TblTech[[#This Row],[5-2]], 1-global_constr_cap) * TblConstr[[#This Row],[RCPA Lumber]],0)</f>
        <v>216</v>
      </c>
      <c r="AO8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8" s="69" t="n">
        <f aca="false">ROUNDDOWN( MAX(1 - MIN(facs_constr_factor*TblConstr[[#This Row],[Facs DB]],facs_constr_max) + tech_1_11*TblTech[[#This Row],[1-11]] + tech_6_3_2*TblTech[[#This Row],[6-3]] + tech_5_2_3*TblTech[[#This Row],[5-2]], 1-global_constr_cap) * ROUND((TblConstr[[#This Row],[Land]]-250)*0.285 + 87.5 + 0/4.25,0),0)</f>
        <v>216</v>
      </c>
      <c r="AQ88" s="1" t="n">
        <f aca="false">TblConstr[[#This Row],[build -db]]*TblConstr[[#This Row],[CPA Platinum -DB]] + TblConstr[[#This Row],[build db]]*TblConstr[[#This Row],[CPA Platinum DB]]</f>
        <v>0</v>
      </c>
      <c r="AR88" s="1" t="n">
        <f aca="false">TblConstr[[#This Row],[build -db]]*TblConstr[[#This Row],[CPA Lumber -DB]]+TblConstr[[#This Row],[build db]]*TblConstr[[#This Row],[CPA Lumber DB]]</f>
        <v>0</v>
      </c>
      <c r="AS88" s="69" t="n">
        <f aca="false">MIN(SUM(OFFSET(TblConstr[[#This Row],[Plain]:[Water]],-1,0))+SUM(TblConstr[[#This Row],[Dest Hom]:[Dest Doc]])+IF(TblConstr[[#This Row],[Hour]]&gt;12,SUM(OFFSET(TblExplore[[#This Row],[Plains Explore]:[Water Explore]],-12,0)),0),SUM(TblConstr[[#This Row],[Hom]:[Doc]]))</f>
        <v>0</v>
      </c>
      <c r="AT8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32"/>
      <c r="AV88" s="69" t="n">
        <f aca="false">ROUND((TblConstr[[#This Row],[Land]]-250 - IF(TblExplore[[#This Row],[Land Bonus]]&lt;&gt;0,20,0))*1.25 + 850 + 0,0)</f>
        <v>1413</v>
      </c>
      <c r="AW88" s="69" t="n">
        <f aca="false">ROUND((TblConstr[[#This Row],[Land]]-250 - IF(TblExplore[[#This Row],[Land Bonus]]&lt;&gt;0,20,0))*0.285 + 87.5 + 0/4.25,0)</f>
        <v>216</v>
      </c>
      <c r="AX88" s="146"/>
      <c r="AY88" s="203" t="n">
        <f aca="false" t="array" ref="AY88:AY88">IF(TblConstr[[#This Row],[Hour]:[Hour]]&gt;12,OFFSET(TblConstr[[#This Row],[Hom]],-12,0),0)+OFFSET(TblConstr[[#This Row],[Tot Hom]],-1,0)-TblConstr[[#This Row],[Dest Hom]]</f>
        <v>40</v>
      </c>
      <c r="AZ88" s="204" t="n">
        <f aca="false" t="array" ref="AZ88:AZ88">IF(TblConstr[[#This Row],[Hour]:[Hour]]&gt;12,OFFSET(TblConstr[[#This Row],[Alc]],-12,0),0)+OFFSET(TblConstr[[#This Row],[Tot Alc]],-1,0)-TblConstr[[#This Row],[Dest Alc]]</f>
        <v>275</v>
      </c>
      <c r="BA88" s="204" t="n">
        <f aca="false" t="array" ref="BA88:BA88">IF(TblConstr[[#This Row],[Hour]:[Hour]]&gt;12,OFFSET(TblConstr[[#This Row],[Far]],-12,0),0)+OFFSET(TblConstr[[#This Row],[Tot Farm]],-1,0)-TblConstr[[#This Row],[Dest Farm]]</f>
        <v>29</v>
      </c>
      <c r="BB88" s="204" t="n">
        <f aca="false" t="array" ref="BB88:BB88">IF(TblConstr[[#This Row],[Hour]:[Hour]]&gt;12,OFFSET(TblConstr[[#This Row],[Smi]],-12,0),0)+OFFSET(TblConstr[[#This Row],[Tot Smi]],-1,0)-TblConstr[[#This Row],[Dest Smi]]</f>
        <v>126</v>
      </c>
      <c r="BC88" s="204" t="n">
        <f aca="false" t="array" ref="BC88:BC88">IF(TblConstr[[#This Row],[Hour]:[Hour]]&gt;12,OFFSET(TblConstr[[#This Row],[Mas]],-12,0),0)+OFFSET(TblConstr[[#This Row],[Tot Mas]],-1,0)-TblConstr[[#This Row],[Dest Mas]]</f>
        <v>0</v>
      </c>
      <c r="BD88" s="205" t="n">
        <f aca="false" t="array" ref="BD88:BD88">IF(TblConstr[[#This Row],[Hour]:[Hour]]&gt;12,OFFSET(TblConstr[[#This Row],[Ly]],-12,0),0)+OFFSET(TblConstr[[#This Row],[Tot Ly]],-1,0)-TblConstr[[#This Row],[Dest Ly]]</f>
        <v>25</v>
      </c>
      <c r="BE88" s="205" t="n">
        <f aca="false" t="array" ref="BE88:BE88">IF(TblConstr[[#This Row],[Hour]:[Hour]]&gt;12,OFFSET(TblConstr[[#This Row],[Hav]],-12,0),0)+OFFSET(TblConstr[[#This Row],[Tot Hav]],-1,0)-TblConstr[[#This Row],[Dest Hav]]</f>
        <v>0</v>
      </c>
      <c r="BF88" s="194" t="n">
        <f aca="false" t="array" ref="BF88:BF88">IF(TblConstr[[#This Row],[Hour]:[Hour]]&gt;12,OFFSET(TblConstr[[#This Row],[OM]],-12,0),0)+OFFSET(TblConstr[[#This Row],[Tot OM]],-1,0)-TblConstr[[#This Row],[Dest OM]]</f>
        <v>0</v>
      </c>
      <c r="BG88" s="194" t="n">
        <f aca="false" t="array" ref="BG88:BG88">IF(TblConstr[[#This Row],[Hour]:[Hour]]&gt;12,OFFSET(TblConstr[[#This Row],[GN]],-12,0),0)+OFFSET(TblConstr[[#This Row],[Tot GN]],-1,0)-TblConstr[[#This Row],[Dest GN]]</f>
        <v>0</v>
      </c>
      <c r="BH88" s="206" t="n">
        <f aca="false" t="array" ref="BH88:BH88">IF(TblConstr[[#This Row],[Hour]:[Hour]]&gt;12,OFFSET(TblConstr[[#This Row],[Fac]],-12,0),0)+OFFSET(TblConstr[[#This Row],[Tot Fac]],-1,0)-TblConstr[[#This Row],[Dest Fac]]</f>
        <v>0</v>
      </c>
      <c r="BI88" s="206" t="n">
        <f aca="false" t="array" ref="BI88:BI88">IF(TblConstr[[#This Row],[Hour]:[Hour]]&gt;12,OFFSET(TblConstr[[#This Row],[GT]],-12,0),0)+OFFSET(TblConstr[[#This Row],[Tot GT]],-1,0)-TblConstr[[#This Row],[Dest GT]]</f>
        <v>55</v>
      </c>
      <c r="BJ88" s="206" t="n">
        <f aca="false" t="array" ref="BJ88:BJ88">IF(TblConstr[[#This Row],[Hour]:[Hour]]&gt;12,OFFSET(TblConstr[[#This Row],[Bar]],-12,0),0)+OFFSET(TblConstr[[#This Row],[Tot Bar]],-1,0)-TblConstr[[#This Row],[Dest Bar]]</f>
        <v>50</v>
      </c>
      <c r="BK88" s="206" t="n">
        <f aca="false" t="array" ref="BK88:BK88">IF(TblConstr[[#This Row],[Hour]:[Hour]]&gt;12,OFFSET(TblConstr[[#This Row],[Shr]],-12,0),0)+OFFSET(TblConstr[[#This Row],[Tot Shr]],-1,0)-TblConstr[[#This Row],[Dest Shr]]</f>
        <v>0</v>
      </c>
      <c r="BL88" s="207" t="n">
        <f aca="false" t="array" ref="BL88:BL88">IF(TblConstr[[#This Row],[Hour]:[Hour]]&gt;12,OFFSET(TblConstr[[#This Row],[Tow]],-12,0),0)+OFFSET(TblConstr[[#This Row],[Tot Tow]],-1,0)-TblConstr[[#This Row],[Dest Tow]]</f>
        <v>29</v>
      </c>
      <c r="BM88" s="207" t="n">
        <f aca="false" t="array" ref="BM88:BM88">IF(TblConstr[[#This Row],[Hour]:[Hour]]&gt;12,OFFSET(TblConstr[[#This Row],[Tem]],-12,0),0)+OFFSET(TblConstr[[#This Row],[Tot Tem]],-1,0)-TblConstr[[#This Row],[Dest Tem]]</f>
        <v>47</v>
      </c>
      <c r="BN88" s="207" t="n">
        <f aca="false" t="array" ref="BN88:BN88">IF(TblConstr[[#This Row],[Hour]:[Hour]]&gt;12,OFFSET(TblConstr[[#This Row],[WG]],-12,0),0)+OFFSET(TblConstr[[#This Row],[Tot WG]],-1,0)-TblConstr[[#This Row],[Dest WG]]</f>
        <v>0</v>
      </c>
      <c r="BO88" s="208" t="n">
        <f aca="false" t="array" ref="BO88:BO88">IF(TblConstr[[#This Row],[Hour]:[Hour]]&gt;12,OFFSET(TblConstr[[#This Row],[DM]],-12,0),0)+OFFSET(TblConstr[[#This Row],[Tot DM]],-1,0)-TblConstr[[#This Row],[Dest DM]]</f>
        <v>0</v>
      </c>
      <c r="BP88" s="208" t="n">
        <f aca="false" t="array" ref="BP88:BP88">IF(TblConstr[[#This Row],[Hour]:[Hour]]&gt;12,OFFSET(TblConstr[[#This Row],[Sch]],-12,0),0)+OFFSET(TblConstr[[#This Row],[Tot Sch]],-1,0)-TblConstr[[#This Row],[Dest Sch]]</f>
        <v>0</v>
      </c>
      <c r="BQ88" s="209" t="n">
        <f aca="false" t="array" ref="BQ88:BQ88">IF(TblConstr[[#This Row],[Hour]:[Hour]]&gt;12,OFFSET(TblConstr[[#This Row],[Doc]],-12,0),0)+OFFSET(TblConstr[[#This Row],[Tot Doc]],-1,0)-TblConstr[[#This Row],[Dest Doc]]</f>
        <v>24</v>
      </c>
      <c r="BR88" s="132"/>
      <c r="BS88" s="146"/>
      <c r="BT88" s="69" t="n">
        <f aca="false">TblConstr[[#This Row],[Land]]</f>
        <v>700</v>
      </c>
      <c r="BU88" s="153" t="n">
        <f aca="false">TblImps[[#This Row],[Time]]</f>
        <v>45433.25</v>
      </c>
      <c r="BV88" s="132"/>
      <c r="BW88" s="182"/>
      <c r="BX88" s="182"/>
      <c r="BY88" s="182"/>
      <c r="BZ88" s="182"/>
      <c r="CA88" s="182"/>
      <c r="CB88" s="182"/>
      <c r="CC88" s="182"/>
      <c r="CD88" s="182"/>
      <c r="CE88" s="182"/>
      <c r="CF88" s="182"/>
      <c r="CG88" s="182"/>
      <c r="CH88" s="182"/>
      <c r="CI88" s="182"/>
      <c r="CJ88" s="182"/>
      <c r="CK88" s="182"/>
      <c r="CL88" s="182"/>
      <c r="CM88" s="182"/>
      <c r="CN88" s="182"/>
      <c r="CO88" s="182"/>
      <c r="CP88" s="132"/>
      <c r="CQ88" s="192" t="n">
        <f aca="false">-SUM(TblConstr[[#This Row],[Alc]:[Mas]])+SUM(TblConstr[[#This Row],[Dest Alc]:[Dest Mas]])+Rezone!L88+IF("Ch_"&amp; home_land=TblConstr[[#Headers],[Ch_Plain]],TblConstr[[#This Row],[Home Land]])+IF(TblConstr[[#This Row],[Hour]:[Hour]]&gt;12,OFFSET(TblExplore[[#This Row],[Plains Explore]],-12,0),0)</f>
        <v>0</v>
      </c>
      <c r="CR88" s="193" t="n">
        <f aca="false">-SUM(TblConstr[[#This Row],[Ly]:[Hav]])+SUM(TblConstr[[#This Row],[Dest Ly]:[Dest Hav]]) +Rezone!M88 + IF("Ch_"&amp; home_land=TblConstr[[#Headers],[Ch_Forest]],TblConstr[[#This Row],[Home Land]])+IF(TblConstr[[#This Row],[Hour]:[Hour]]&gt;12,OFFSET(TblExplore[[#This Row],[Forest Explore]],-12,0),0)</f>
        <v>0</v>
      </c>
      <c r="CS88" s="200" t="n">
        <f aca="false">-SUM(TblConstr[[#This Row],[OM]:[GN]])+SUM(TblConstr[[#This Row],[Dest OM]:[Dest GN]]) +Rezone!N88 + IF("Ch_"&amp; home_land=TblConstr[[#Headers],[Ch_Mountain]],TblConstr[[#This Row],[Home Land]])+IF(TblConstr[[#This Row],[Hour]:[Hour]]&gt;12,OFFSET(TblExplore[[#This Row],[Mountain Explore]],-12,0),0)</f>
        <v>0</v>
      </c>
      <c r="CT88" s="195" t="n">
        <f aca="false">-SUM(TblConstr[[#This Row],[Fac]:[Shr]])+SUM(TblConstr[[#This Row],[Dest Fac]:[Dest Shr]]) +Rezone!O88 + IF("Ch_" &amp; home_land=TblConstr[[#Headers],[Ch_Hill]],TblConstr[[#This Row],[Home Land]])+IF(TblConstr[[#This Row],[Hour]:[Hour]]&gt;12,OFFSET(TblExplore[[#This Row],[Hill Explore]],-12,0),0)</f>
        <v>0</v>
      </c>
      <c r="CU88" s="196" t="n">
        <f aca="false">-SUM(TblConstr[[#This Row],[Tow]:[WG]])+SUM(TblConstr[[#This Row],[Dest Tow]:[Dest WG]]) +Rezone!P88 + IF("Ch_" &amp; home_land=TblConstr[[#Headers],[Ch_Swamp]],TblConstr[[#This Row],[Home Land]])+IF(TblConstr[[#This Row],[Hour]:[Hour]]&gt;12,OFFSET(TblExplore[[#This Row],[Swamp Explore]],-12,0),0)</f>
        <v>0</v>
      </c>
      <c r="CV88" s="197" t="n">
        <f aca="false">- SUM(TblConstr[[#This Row],[DM]:[Sch]])+SUM(TblConstr[[#This Row],[Dest DM]:[Dest Sch]]) +Rezone!Q88 + IF("Ch_" &amp; home_land=TblConstr[[#Headers],[Ch_Cavern]],TblConstr[[#This Row],[Home Land]])+IF(TblConstr[[#This Row],[Hour]:[Hour]]&gt;12,OFFSET(TblExplore[[#This Row],[Cavern Explore]],-12,0),0)</f>
        <v>0</v>
      </c>
      <c r="CW88" s="198" t="n">
        <f aca="false">-TblConstr[[#This Row],[Doc]]+TblConstr[[#This Row],[Dest Doc]] +Rezone!R88 + IF("Ch_" &amp; home_land=TblConstr[[#Headers],[Ch_Water]],TblConstr[[#This Row],[Home Land]])+IF(TblConstr[[#This Row],[Hour]:[Hour]]&gt;12,OFFSET(TblExplore[[#This Row],[Water Explore]],-12,0),0)</f>
        <v>0</v>
      </c>
      <c r="CX88" s="1" t="n">
        <f aca="false">IF(Explore!S88=1,20) - TblConstr[[#This Row],[Hom]] + TblConstr[[#This Row],[Dest Hom]]</f>
        <v>0</v>
      </c>
      <c r="CY88" s="132"/>
      <c r="CZ88" s="69" t="n">
        <f aca="false">G88+SUM(P77:S88)+SUM(AZ88:BC88)</f>
        <v>430</v>
      </c>
      <c r="DA88" s="69" t="n">
        <f aca="false">H88+SUM(T77:U88)+SUM(BD88:BE88)</f>
        <v>25</v>
      </c>
      <c r="DB88" s="1" t="n">
        <f aca="false">I88+SUM(V77:W88)+SUM(BF88:BG88)</f>
        <v>0</v>
      </c>
      <c r="DC88" s="69" t="n">
        <f aca="false">J88+SUM(X77:Y88)+SUM(BH88:BI88)</f>
        <v>55</v>
      </c>
      <c r="DD88" s="69" t="n">
        <f aca="false">K88+SUM(AB77:AD88)+SUM(BL88:BN88)</f>
        <v>76</v>
      </c>
      <c r="DE88" s="1" t="n">
        <f aca="false">L88+SUM(AE77:AE88)+BO88</f>
        <v>0</v>
      </c>
      <c r="DF88" s="69" t="n">
        <f aca="false">M88+SUM(AG77:AG88)+BQ88</f>
        <v>24</v>
      </c>
      <c r="DG88" s="69" t="e">
        <f aca="false" t="array" ref="DG88:DG88">INDEX(TblConstr[[Total Plain]:[Total Water]],ROW()-ROW(TblConstr[#headers]),MATCH("Total "&amp;home_land,TblConstr[[#Headers],[Total Plain]:[Total Water]],0))+TblConstr[[#This Row],[Homes]]</f>
        <v>#VALUE!</v>
      </c>
      <c r="DH88" s="1" t="n">
        <f aca="false">SUM(O77:O88)+AY88</f>
        <v>40</v>
      </c>
      <c r="DI88" s="1" t="n">
        <f aca="false">MAX(BA88-BA87,0)</f>
        <v>0</v>
      </c>
      <c r="DJ88" s="1" t="n">
        <f aca="false">MAX(BQ88-BQ87,0)</f>
        <v>0</v>
      </c>
    </row>
    <row r="89" customFormat="false" ht="12.75" hidden="false" customHeight="false" outlineLevel="0" collapsed="false">
      <c r="A89" s="170" t="n">
        <f aca="false">TblRezone[[#This Row],[Hour]]</f>
        <v>86</v>
      </c>
      <c r="B89" s="171" t="n">
        <f aca="false">SUM(TblConstr[[#This Row],[Plain]:[Water]])</f>
        <v>0</v>
      </c>
      <c r="C89" s="172" t="n">
        <f aca="false">SUM(TblConstr[[#This Row],[Tot Hom]:[Tot Doc]])</f>
        <v>700</v>
      </c>
      <c r="D89" s="172" t="n">
        <f aca="false">SUM(O78:AG89)</f>
        <v>0</v>
      </c>
      <c r="E89" s="173"/>
      <c r="F89" s="33" t="n">
        <f aca="false">TblConstr[[#This Row],[Barren]]+TblConstr[[#This Row],[Buildings]]+TblConstr[[#This Row],[Incoming]]</f>
        <v>700</v>
      </c>
      <c r="G89" s="199" t="n">
        <f aca="false">OFFSET(TblConstr[[#This Row],[Plain]],-1,0)+TblConstr[[#This Row],[Ch_Plain]]</f>
        <v>0</v>
      </c>
      <c r="H89" s="193" t="n">
        <f aca="false">OFFSET(TblConstr[[#This Row],[Forest]],-1,0)+TblConstr[[#This Row],[Ch_Forest]]</f>
        <v>0</v>
      </c>
      <c r="I89" s="200" t="n">
        <f aca="false">OFFSET(TblConstr[[#This Row],[Mountain]],-1,0)+TblConstr[[#This Row],[Ch_Mountain]]</f>
        <v>0</v>
      </c>
      <c r="J89" s="201" t="n">
        <f aca="false">OFFSET(TblConstr[[#This Row],[Hill]],-1,0)+TblConstr[[#This Row],[Ch_Hill]]</f>
        <v>0</v>
      </c>
      <c r="K89" s="202" t="n">
        <f aca="false">OFFSET(TblConstr[[#This Row],[Swamp]],-1,0)+TblConstr[[#This Row],[Ch_Swamp]]</f>
        <v>0</v>
      </c>
      <c r="L89" s="197" t="n">
        <f aca="false">OFFSET(TblConstr[[#This Row],[Cavern]],-1,0)+TblConstr[[#This Row],[Ch_Cavern]]</f>
        <v>0</v>
      </c>
      <c r="M89" s="198" t="n">
        <f aca="false">OFFSET(TblConstr[[#This Row],[Water]],-1,0)+TblConstr[[#This Row],[Ch_Water]]</f>
        <v>0</v>
      </c>
      <c r="N89" s="181" t="n">
        <f aca="false">TblRezone[[#This Row],[Hour]]</f>
        <v>86</v>
      </c>
      <c r="O89" s="182"/>
      <c r="P89" s="182"/>
      <c r="Q89" s="182"/>
      <c r="R89" s="182"/>
      <c r="S89" s="182"/>
      <c r="T89" s="182"/>
      <c r="U89" s="182"/>
      <c r="V89" s="182"/>
      <c r="W89" s="182"/>
      <c r="X89" s="152"/>
      <c r="Y89" s="182"/>
      <c r="Z89" s="182"/>
      <c r="AA89" s="182"/>
      <c r="AB89" s="182"/>
      <c r="AC89" s="182"/>
      <c r="AD89" s="182"/>
      <c r="AE89" s="182"/>
      <c r="AF89" s="182"/>
      <c r="AG89" s="182"/>
      <c r="AH89" s="20" t="n">
        <f aca="false">TblImps[[#This Row],[Time]]</f>
        <v>45433.2916666667</v>
      </c>
      <c r="AI89" s="130" t="n">
        <f aca="false">MIN(25%,(TblConstr[[#This Row],[Tot Fac]]+TblConstr[[#This Row],[Dest Fac]])/(TblConstr[[#This Row],[Land]]-TblExplore[[#This Row],[Land Bonus]]*20))</f>
        <v>0</v>
      </c>
      <c r="AJ89" s="130" t="n">
        <f aca="false">MIN(25%,(TblConstr[[#This Row],[Tot Fac]]+TblConstr[[#This Row],[Dest Fac]])/TblConstr[[#This Row],[Land]])</f>
        <v>0</v>
      </c>
      <c r="AK89" s="69" t="n">
        <f aca="false">TblProd[[#This Row],[Platinum]]</f>
        <v>558702</v>
      </c>
      <c r="AL89" s="69" t="n">
        <f aca="false">TblProd[[#This Row],[Lumber]]</f>
        <v>26104</v>
      </c>
      <c r="AM8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9" s="69" t="n">
        <f aca="false">ROUNDDOWN( MAX(1 - MIN(facs_constr_factor*TblConstr[[#This Row],[Facs -DB]],facs_constr_max) + tech_1_11*TblTech[[#This Row],[11-1]] + tech_6_3_2*TblTech[[#This Row],[6-3]] + tech_5_2_3*TblTech[[#This Row],[5-2]], 1-global_constr_cap) * TblConstr[[#This Row],[RCPA Lumber]],0)</f>
        <v>216</v>
      </c>
      <c r="AO8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9" s="69" t="n">
        <f aca="false">ROUNDDOWN( MAX(1 - MIN(facs_constr_factor*TblConstr[[#This Row],[Facs DB]],facs_constr_max) + tech_1_11*TblTech[[#This Row],[1-11]] + tech_6_3_2*TblTech[[#This Row],[6-3]] + tech_5_2_3*TblTech[[#This Row],[5-2]], 1-global_constr_cap) * ROUND((TblConstr[[#This Row],[Land]]-250)*0.285 + 87.5 + 0/4.25,0),0)</f>
        <v>216</v>
      </c>
      <c r="AQ89" s="1" t="n">
        <f aca="false">TblConstr[[#This Row],[build -db]]*TblConstr[[#This Row],[CPA Platinum -DB]] + TblConstr[[#This Row],[build db]]*TblConstr[[#This Row],[CPA Platinum DB]]</f>
        <v>0</v>
      </c>
      <c r="AR89" s="1" t="n">
        <f aca="false">TblConstr[[#This Row],[build -db]]*TblConstr[[#This Row],[CPA Lumber -DB]]+TblConstr[[#This Row],[build db]]*TblConstr[[#This Row],[CPA Lumber DB]]</f>
        <v>0</v>
      </c>
      <c r="AS89" s="69" t="n">
        <f aca="false">MIN(SUM(OFFSET(TblConstr[[#This Row],[Plain]:[Water]],-1,0))+SUM(TblConstr[[#This Row],[Dest Hom]:[Dest Doc]])+IF(TblConstr[[#This Row],[Hour]]&gt;12,SUM(OFFSET(TblExplore[[#This Row],[Plains Explore]:[Water Explore]],-12,0)),0),SUM(TblConstr[[#This Row],[Hom]:[Doc]]))</f>
        <v>0</v>
      </c>
      <c r="AT8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32"/>
      <c r="AV89" s="69" t="n">
        <f aca="false">ROUND((TblConstr[[#This Row],[Land]]-250 - IF(TblExplore[[#This Row],[Land Bonus]]&lt;&gt;0,20,0))*1.25 + 850 + 0,0)</f>
        <v>1413</v>
      </c>
      <c r="AW89" s="69" t="n">
        <f aca="false">ROUND((TblConstr[[#This Row],[Land]]-250 - IF(TblExplore[[#This Row],[Land Bonus]]&lt;&gt;0,20,0))*0.285 + 87.5 + 0/4.25,0)</f>
        <v>216</v>
      </c>
      <c r="AX89" s="146"/>
      <c r="AY89" s="203" t="n">
        <f aca="false" t="array" ref="AY89:AY89">IF(TblConstr[[#This Row],[Hour]:[Hour]]&gt;12,OFFSET(TblConstr[[#This Row],[Hom]],-12,0),0)+OFFSET(TblConstr[[#This Row],[Tot Hom]],-1,0)-TblConstr[[#This Row],[Dest Hom]]</f>
        <v>40</v>
      </c>
      <c r="AZ89" s="204" t="n">
        <f aca="false" t="array" ref="AZ89:AZ89">IF(TblConstr[[#This Row],[Hour]:[Hour]]&gt;12,OFFSET(TblConstr[[#This Row],[Alc]],-12,0),0)+OFFSET(TblConstr[[#This Row],[Tot Alc]],-1,0)-TblConstr[[#This Row],[Dest Alc]]</f>
        <v>275</v>
      </c>
      <c r="BA89" s="204" t="n">
        <f aca="false" t="array" ref="BA89:BA89">IF(TblConstr[[#This Row],[Hour]:[Hour]]&gt;12,OFFSET(TblConstr[[#This Row],[Far]],-12,0),0)+OFFSET(TblConstr[[#This Row],[Tot Farm]],-1,0)-TblConstr[[#This Row],[Dest Farm]]</f>
        <v>29</v>
      </c>
      <c r="BB89" s="204" t="n">
        <f aca="false" t="array" ref="BB89:BB89">IF(TblConstr[[#This Row],[Hour]:[Hour]]&gt;12,OFFSET(TblConstr[[#This Row],[Smi]],-12,0),0)+OFFSET(TblConstr[[#This Row],[Tot Smi]],-1,0)-TblConstr[[#This Row],[Dest Smi]]</f>
        <v>126</v>
      </c>
      <c r="BC89" s="204" t="n">
        <f aca="false" t="array" ref="BC89:BC89">IF(TblConstr[[#This Row],[Hour]:[Hour]]&gt;12,OFFSET(TblConstr[[#This Row],[Mas]],-12,0),0)+OFFSET(TblConstr[[#This Row],[Tot Mas]],-1,0)-TblConstr[[#This Row],[Dest Mas]]</f>
        <v>0</v>
      </c>
      <c r="BD89" s="205" t="n">
        <f aca="false" t="array" ref="BD89:BD89">IF(TblConstr[[#This Row],[Hour]:[Hour]]&gt;12,OFFSET(TblConstr[[#This Row],[Ly]],-12,0),0)+OFFSET(TblConstr[[#This Row],[Tot Ly]],-1,0)-TblConstr[[#This Row],[Dest Ly]]</f>
        <v>25</v>
      </c>
      <c r="BE89" s="205" t="n">
        <f aca="false" t="array" ref="BE89:BE89">IF(TblConstr[[#This Row],[Hour]:[Hour]]&gt;12,OFFSET(TblConstr[[#This Row],[Hav]],-12,0),0)+OFFSET(TblConstr[[#This Row],[Tot Hav]],-1,0)-TblConstr[[#This Row],[Dest Hav]]</f>
        <v>0</v>
      </c>
      <c r="BF89" s="194" t="n">
        <f aca="false" t="array" ref="BF89:BF89">IF(TblConstr[[#This Row],[Hour]:[Hour]]&gt;12,OFFSET(TblConstr[[#This Row],[OM]],-12,0),0)+OFFSET(TblConstr[[#This Row],[Tot OM]],-1,0)-TblConstr[[#This Row],[Dest OM]]</f>
        <v>0</v>
      </c>
      <c r="BG89" s="194" t="n">
        <f aca="false" t="array" ref="BG89:BG89">IF(TblConstr[[#This Row],[Hour]:[Hour]]&gt;12,OFFSET(TblConstr[[#This Row],[GN]],-12,0),0)+OFFSET(TblConstr[[#This Row],[Tot GN]],-1,0)-TblConstr[[#This Row],[Dest GN]]</f>
        <v>0</v>
      </c>
      <c r="BH89" s="206" t="n">
        <f aca="false" t="array" ref="BH89:BH89">IF(TblConstr[[#This Row],[Hour]:[Hour]]&gt;12,OFFSET(TblConstr[[#This Row],[Fac]],-12,0),0)+OFFSET(TblConstr[[#This Row],[Tot Fac]],-1,0)-TblConstr[[#This Row],[Dest Fac]]</f>
        <v>0</v>
      </c>
      <c r="BI89" s="206" t="n">
        <f aca="false" t="array" ref="BI89:BI89">IF(TblConstr[[#This Row],[Hour]:[Hour]]&gt;12,OFFSET(TblConstr[[#This Row],[GT]],-12,0),0)+OFFSET(TblConstr[[#This Row],[Tot GT]],-1,0)-TblConstr[[#This Row],[Dest GT]]</f>
        <v>55</v>
      </c>
      <c r="BJ89" s="206" t="n">
        <f aca="false" t="array" ref="BJ89:BJ89">IF(TblConstr[[#This Row],[Hour]:[Hour]]&gt;12,OFFSET(TblConstr[[#This Row],[Bar]],-12,0),0)+OFFSET(TblConstr[[#This Row],[Tot Bar]],-1,0)-TblConstr[[#This Row],[Dest Bar]]</f>
        <v>50</v>
      </c>
      <c r="BK89" s="206" t="n">
        <f aca="false" t="array" ref="BK89:BK89">IF(TblConstr[[#This Row],[Hour]:[Hour]]&gt;12,OFFSET(TblConstr[[#This Row],[Shr]],-12,0),0)+OFFSET(TblConstr[[#This Row],[Tot Shr]],-1,0)-TblConstr[[#This Row],[Dest Shr]]</f>
        <v>0</v>
      </c>
      <c r="BL89" s="207" t="n">
        <f aca="false" t="array" ref="BL89:BL89">IF(TblConstr[[#This Row],[Hour]:[Hour]]&gt;12,OFFSET(TblConstr[[#This Row],[Tow]],-12,0),0)+OFFSET(TblConstr[[#This Row],[Tot Tow]],-1,0)-TblConstr[[#This Row],[Dest Tow]]</f>
        <v>29</v>
      </c>
      <c r="BM89" s="207" t="n">
        <f aca="false" t="array" ref="BM89:BM89">IF(TblConstr[[#This Row],[Hour]:[Hour]]&gt;12,OFFSET(TblConstr[[#This Row],[Tem]],-12,0),0)+OFFSET(TblConstr[[#This Row],[Tot Tem]],-1,0)-TblConstr[[#This Row],[Dest Tem]]</f>
        <v>47</v>
      </c>
      <c r="BN89" s="207" t="n">
        <f aca="false" t="array" ref="BN89:BN89">IF(TblConstr[[#This Row],[Hour]:[Hour]]&gt;12,OFFSET(TblConstr[[#This Row],[WG]],-12,0),0)+OFFSET(TblConstr[[#This Row],[Tot WG]],-1,0)-TblConstr[[#This Row],[Dest WG]]</f>
        <v>0</v>
      </c>
      <c r="BO89" s="208" t="n">
        <f aca="false" t="array" ref="BO89:BO89">IF(TblConstr[[#This Row],[Hour]:[Hour]]&gt;12,OFFSET(TblConstr[[#This Row],[DM]],-12,0),0)+OFFSET(TblConstr[[#This Row],[Tot DM]],-1,0)-TblConstr[[#This Row],[Dest DM]]</f>
        <v>0</v>
      </c>
      <c r="BP89" s="208" t="n">
        <f aca="false" t="array" ref="BP89:BP89">IF(TblConstr[[#This Row],[Hour]:[Hour]]&gt;12,OFFSET(TblConstr[[#This Row],[Sch]],-12,0),0)+OFFSET(TblConstr[[#This Row],[Tot Sch]],-1,0)-TblConstr[[#This Row],[Dest Sch]]</f>
        <v>0</v>
      </c>
      <c r="BQ89" s="209" t="n">
        <f aca="false" t="array" ref="BQ89:BQ89">IF(TblConstr[[#This Row],[Hour]:[Hour]]&gt;12,OFFSET(TblConstr[[#This Row],[Doc]],-12,0),0)+OFFSET(TblConstr[[#This Row],[Tot Doc]],-1,0)-TblConstr[[#This Row],[Dest Doc]]</f>
        <v>24</v>
      </c>
      <c r="BR89" s="132"/>
      <c r="BS89" s="146"/>
      <c r="BT89" s="69" t="n">
        <f aca="false">TblConstr[[#This Row],[Land]]</f>
        <v>700</v>
      </c>
      <c r="BU89" s="153" t="n">
        <f aca="false">TblImps[[#This Row],[Time]]</f>
        <v>45433.2916666667</v>
      </c>
      <c r="BV89" s="132"/>
      <c r="BW89" s="182"/>
      <c r="BX89" s="182"/>
      <c r="BY89" s="182"/>
      <c r="BZ89" s="182"/>
      <c r="CA89" s="182"/>
      <c r="CB89" s="182"/>
      <c r="CC89" s="182"/>
      <c r="CD89" s="182"/>
      <c r="CE89" s="182"/>
      <c r="CF89" s="182"/>
      <c r="CG89" s="182"/>
      <c r="CH89" s="182"/>
      <c r="CI89" s="182"/>
      <c r="CJ89" s="182"/>
      <c r="CK89" s="182"/>
      <c r="CL89" s="182"/>
      <c r="CM89" s="182"/>
      <c r="CN89" s="182"/>
      <c r="CO89" s="182"/>
      <c r="CP89" s="132"/>
      <c r="CQ89" s="192" t="n">
        <f aca="false">-SUM(TblConstr[[#This Row],[Alc]:[Mas]])+SUM(TblConstr[[#This Row],[Dest Alc]:[Dest Mas]])+Rezone!L89+IF("Ch_"&amp; home_land=TblConstr[[#Headers],[Ch_Plain]],TblConstr[[#This Row],[Home Land]])+IF(TblConstr[[#This Row],[Hour]:[Hour]]&gt;12,OFFSET(TblExplore[[#This Row],[Plains Explore]],-12,0),0)</f>
        <v>0</v>
      </c>
      <c r="CR89" s="193" t="n">
        <f aca="false">-SUM(TblConstr[[#This Row],[Ly]:[Hav]])+SUM(TblConstr[[#This Row],[Dest Ly]:[Dest Hav]]) +Rezone!M89 + IF("Ch_"&amp; home_land=TblConstr[[#Headers],[Ch_Forest]],TblConstr[[#This Row],[Home Land]])+IF(TblConstr[[#This Row],[Hour]:[Hour]]&gt;12,OFFSET(TblExplore[[#This Row],[Forest Explore]],-12,0),0)</f>
        <v>0</v>
      </c>
      <c r="CS89" s="200" t="n">
        <f aca="false">-SUM(TblConstr[[#This Row],[OM]:[GN]])+SUM(TblConstr[[#This Row],[Dest OM]:[Dest GN]]) +Rezone!N89 + IF("Ch_"&amp; home_land=TblConstr[[#Headers],[Ch_Mountain]],TblConstr[[#This Row],[Home Land]])+IF(TblConstr[[#This Row],[Hour]:[Hour]]&gt;12,OFFSET(TblExplore[[#This Row],[Mountain Explore]],-12,0),0)</f>
        <v>0</v>
      </c>
      <c r="CT89" s="195" t="n">
        <f aca="false">-SUM(TblConstr[[#This Row],[Fac]:[Shr]])+SUM(TblConstr[[#This Row],[Dest Fac]:[Dest Shr]]) +Rezone!O89 + IF("Ch_" &amp; home_land=TblConstr[[#Headers],[Ch_Hill]],TblConstr[[#This Row],[Home Land]])+IF(TblConstr[[#This Row],[Hour]:[Hour]]&gt;12,OFFSET(TblExplore[[#This Row],[Hill Explore]],-12,0),0)</f>
        <v>0</v>
      </c>
      <c r="CU89" s="196" t="n">
        <f aca="false">-SUM(TblConstr[[#This Row],[Tow]:[WG]])+SUM(TblConstr[[#This Row],[Dest Tow]:[Dest WG]]) +Rezone!P89 + IF("Ch_" &amp; home_land=TblConstr[[#Headers],[Ch_Swamp]],TblConstr[[#This Row],[Home Land]])+IF(TblConstr[[#This Row],[Hour]:[Hour]]&gt;12,OFFSET(TblExplore[[#This Row],[Swamp Explore]],-12,0),0)</f>
        <v>0</v>
      </c>
      <c r="CV89" s="197" t="n">
        <f aca="false">- SUM(TblConstr[[#This Row],[DM]:[Sch]])+SUM(TblConstr[[#This Row],[Dest DM]:[Dest Sch]]) +Rezone!Q89 + IF("Ch_" &amp; home_land=TblConstr[[#Headers],[Ch_Cavern]],TblConstr[[#This Row],[Home Land]])+IF(TblConstr[[#This Row],[Hour]:[Hour]]&gt;12,OFFSET(TblExplore[[#This Row],[Cavern Explore]],-12,0),0)</f>
        <v>0</v>
      </c>
      <c r="CW89" s="198" t="n">
        <f aca="false">-TblConstr[[#This Row],[Doc]]+TblConstr[[#This Row],[Dest Doc]] +Rezone!R89 + IF("Ch_" &amp; home_land=TblConstr[[#Headers],[Ch_Water]],TblConstr[[#This Row],[Home Land]])+IF(TblConstr[[#This Row],[Hour]:[Hour]]&gt;12,OFFSET(TblExplore[[#This Row],[Water Explore]],-12,0),0)</f>
        <v>0</v>
      </c>
      <c r="CX89" s="1" t="n">
        <f aca="false">IF(Explore!S89=1,20) - TblConstr[[#This Row],[Hom]] + TblConstr[[#This Row],[Dest Hom]]</f>
        <v>0</v>
      </c>
      <c r="CY89" s="132"/>
      <c r="CZ89" s="69" t="n">
        <f aca="false">G89+SUM(P78:S89)+SUM(AZ89:BC89)</f>
        <v>430</v>
      </c>
      <c r="DA89" s="69" t="n">
        <f aca="false">H89+SUM(T78:U89)+SUM(BD89:BE89)</f>
        <v>25</v>
      </c>
      <c r="DB89" s="1" t="n">
        <f aca="false">I89+SUM(V78:W89)+SUM(BF89:BG89)</f>
        <v>0</v>
      </c>
      <c r="DC89" s="69" t="n">
        <f aca="false">J89+SUM(X78:Y89)+SUM(BH89:BI89)</f>
        <v>55</v>
      </c>
      <c r="DD89" s="69" t="n">
        <f aca="false">K89+SUM(AB78:AD89)+SUM(BL89:BN89)</f>
        <v>76</v>
      </c>
      <c r="DE89" s="1" t="n">
        <f aca="false">L89+SUM(AE78:AE89)+BO89</f>
        <v>0</v>
      </c>
      <c r="DF89" s="69" t="n">
        <f aca="false">M89+SUM(AG78:AG89)+BQ89</f>
        <v>24</v>
      </c>
      <c r="DG89" s="69" t="e">
        <f aca="false" t="array" ref="DG89:DG89">INDEX(TblConstr[[Total Plain]:[Total Water]],ROW()-ROW(TblConstr[#headers]),MATCH("Total "&amp;home_land,TblConstr[[#Headers],[Total Plain]:[Total Water]],0))+TblConstr[[#This Row],[Homes]]</f>
        <v>#VALUE!</v>
      </c>
      <c r="DH89" s="1" t="n">
        <f aca="false">SUM(O78:O89)+AY89</f>
        <v>40</v>
      </c>
      <c r="DI89" s="1" t="n">
        <f aca="false">MAX(BA89-BA88,0)</f>
        <v>0</v>
      </c>
      <c r="DJ89" s="1" t="n">
        <f aca="false">MAX(BQ89-BQ88,0)</f>
        <v>0</v>
      </c>
    </row>
    <row r="90" customFormat="false" ht="12.75" hidden="false" customHeight="false" outlineLevel="0" collapsed="false">
      <c r="A90" s="170" t="n">
        <f aca="false">TblRezone[[#This Row],[Hour]]</f>
        <v>87</v>
      </c>
      <c r="B90" s="171" t="n">
        <f aca="false">SUM(TblConstr[[#This Row],[Plain]:[Water]])</f>
        <v>0</v>
      </c>
      <c r="C90" s="172" t="n">
        <f aca="false">SUM(TblConstr[[#This Row],[Tot Hom]:[Tot Doc]])</f>
        <v>700</v>
      </c>
      <c r="D90" s="172" t="n">
        <f aca="false">SUM(O79:AG90)</f>
        <v>0</v>
      </c>
      <c r="E90" s="173"/>
      <c r="F90" s="33" t="n">
        <f aca="false">TblConstr[[#This Row],[Barren]]+TblConstr[[#This Row],[Buildings]]+TblConstr[[#This Row],[Incoming]]</f>
        <v>700</v>
      </c>
      <c r="G90" s="199" t="n">
        <f aca="false">OFFSET(TblConstr[[#This Row],[Plain]],-1,0)+TblConstr[[#This Row],[Ch_Plain]]</f>
        <v>0</v>
      </c>
      <c r="H90" s="193" t="n">
        <f aca="false">OFFSET(TblConstr[[#This Row],[Forest]],-1,0)+TblConstr[[#This Row],[Ch_Forest]]</f>
        <v>0</v>
      </c>
      <c r="I90" s="200" t="n">
        <f aca="false">OFFSET(TblConstr[[#This Row],[Mountain]],-1,0)+TblConstr[[#This Row],[Ch_Mountain]]</f>
        <v>0</v>
      </c>
      <c r="J90" s="201" t="n">
        <f aca="false">OFFSET(TblConstr[[#This Row],[Hill]],-1,0)+TblConstr[[#This Row],[Ch_Hill]]</f>
        <v>0</v>
      </c>
      <c r="K90" s="202" t="n">
        <f aca="false">OFFSET(TblConstr[[#This Row],[Swamp]],-1,0)+TblConstr[[#This Row],[Ch_Swamp]]</f>
        <v>0</v>
      </c>
      <c r="L90" s="197" t="n">
        <f aca="false">OFFSET(TblConstr[[#This Row],[Cavern]],-1,0)+TblConstr[[#This Row],[Ch_Cavern]]</f>
        <v>0</v>
      </c>
      <c r="M90" s="198" t="n">
        <f aca="false">OFFSET(TblConstr[[#This Row],[Water]],-1,0)+TblConstr[[#This Row],[Ch_Water]]</f>
        <v>0</v>
      </c>
      <c r="N90" s="181" t="n">
        <f aca="false">TblRezone[[#This Row],[Hour]]</f>
        <v>87</v>
      </c>
      <c r="O90" s="182"/>
      <c r="P90" s="182"/>
      <c r="Q90" s="182"/>
      <c r="R90" s="182"/>
      <c r="S90" s="182"/>
      <c r="T90" s="182"/>
      <c r="U90" s="182"/>
      <c r="V90" s="182"/>
      <c r="W90" s="182"/>
      <c r="X90" s="182"/>
      <c r="Y90" s="182"/>
      <c r="Z90" s="182"/>
      <c r="AA90" s="182"/>
      <c r="AB90" s="182"/>
      <c r="AC90" s="182"/>
      <c r="AD90" s="182"/>
      <c r="AE90" s="182"/>
      <c r="AF90" s="182"/>
      <c r="AG90" s="182"/>
      <c r="AH90" s="20" t="n">
        <f aca="false">TblImps[[#This Row],[Time]]</f>
        <v>45433.3333333333</v>
      </c>
      <c r="AI90" s="130" t="n">
        <f aca="false">MIN(25%,(TblConstr[[#This Row],[Tot Fac]]+TblConstr[[#This Row],[Dest Fac]])/(TblConstr[[#This Row],[Land]]-TblExplore[[#This Row],[Land Bonus]]*20))</f>
        <v>0</v>
      </c>
      <c r="AJ90" s="130" t="n">
        <f aca="false">MIN(25%,(TblConstr[[#This Row],[Tot Fac]]+TblConstr[[#This Row],[Dest Fac]])/TblConstr[[#This Row],[Land]])</f>
        <v>0</v>
      </c>
      <c r="AK90" s="69" t="n">
        <f aca="false">TblProd[[#This Row],[Platinum]]</f>
        <v>602344</v>
      </c>
      <c r="AL90" s="69" t="n">
        <f aca="false">TblProd[[#This Row],[Lumber]]</f>
        <v>26968</v>
      </c>
      <c r="AM9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0" s="69" t="n">
        <f aca="false">ROUNDDOWN( MAX(1 - MIN(facs_constr_factor*TblConstr[[#This Row],[Facs -DB]],facs_constr_max) + tech_1_11*TblTech[[#This Row],[11-1]] + tech_6_3_2*TblTech[[#This Row],[6-3]] + tech_5_2_3*TblTech[[#This Row],[5-2]], 1-global_constr_cap) * TblConstr[[#This Row],[RCPA Lumber]],0)</f>
        <v>216</v>
      </c>
      <c r="AO9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0" s="69" t="n">
        <f aca="false">ROUNDDOWN( MAX(1 - MIN(facs_constr_factor*TblConstr[[#This Row],[Facs DB]],facs_constr_max) + tech_1_11*TblTech[[#This Row],[1-11]] + tech_6_3_2*TblTech[[#This Row],[6-3]] + tech_5_2_3*TblTech[[#This Row],[5-2]], 1-global_constr_cap) * ROUND((TblConstr[[#This Row],[Land]]-250)*0.285 + 87.5 + 0/4.25,0),0)</f>
        <v>216</v>
      </c>
      <c r="AQ90" s="1" t="n">
        <f aca="false">TblConstr[[#This Row],[build -db]]*TblConstr[[#This Row],[CPA Platinum -DB]] + TblConstr[[#This Row],[build db]]*TblConstr[[#This Row],[CPA Platinum DB]]</f>
        <v>0</v>
      </c>
      <c r="AR90" s="1" t="n">
        <f aca="false">TblConstr[[#This Row],[build -db]]*TblConstr[[#This Row],[CPA Lumber -DB]]+TblConstr[[#This Row],[build db]]*TblConstr[[#This Row],[CPA Lumber DB]]</f>
        <v>0</v>
      </c>
      <c r="AS90" s="69" t="n">
        <f aca="false">MIN(SUM(OFFSET(TblConstr[[#This Row],[Plain]:[Water]],-1,0))+SUM(TblConstr[[#This Row],[Dest Hom]:[Dest Doc]])+IF(TblConstr[[#This Row],[Hour]]&gt;12,SUM(OFFSET(TblExplore[[#This Row],[Plains Explore]:[Water Explore]],-12,0)),0),SUM(TblConstr[[#This Row],[Hom]:[Doc]]))</f>
        <v>0</v>
      </c>
      <c r="AT9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32"/>
      <c r="AV90" s="69" t="n">
        <f aca="false">ROUND((TblConstr[[#This Row],[Land]]-250 - IF(TblExplore[[#This Row],[Land Bonus]]&lt;&gt;0,20,0))*1.25 + 850 + 0,0)</f>
        <v>1413</v>
      </c>
      <c r="AW90" s="69" t="n">
        <f aca="false">ROUND((TblConstr[[#This Row],[Land]]-250 - IF(TblExplore[[#This Row],[Land Bonus]]&lt;&gt;0,20,0))*0.285 + 87.5 + 0/4.25,0)</f>
        <v>216</v>
      </c>
      <c r="AX90" s="146"/>
      <c r="AY90" s="203" t="n">
        <f aca="false" t="array" ref="AY90:AY90">IF(TblConstr[[#This Row],[Hour]:[Hour]]&gt;12,OFFSET(TblConstr[[#This Row],[Hom]],-12,0),0)+OFFSET(TblConstr[[#This Row],[Tot Hom]],-1,0)-TblConstr[[#This Row],[Dest Hom]]</f>
        <v>40</v>
      </c>
      <c r="AZ90" s="204" t="n">
        <f aca="false" t="array" ref="AZ90:AZ90">IF(TblConstr[[#This Row],[Hour]:[Hour]]&gt;12,OFFSET(TblConstr[[#This Row],[Alc]],-12,0),0)+OFFSET(TblConstr[[#This Row],[Tot Alc]],-1,0)-TblConstr[[#This Row],[Dest Alc]]</f>
        <v>275</v>
      </c>
      <c r="BA90" s="204" t="n">
        <f aca="false" t="array" ref="BA90:BA90">IF(TblConstr[[#This Row],[Hour]:[Hour]]&gt;12,OFFSET(TblConstr[[#This Row],[Far]],-12,0),0)+OFFSET(TblConstr[[#This Row],[Tot Farm]],-1,0)-TblConstr[[#This Row],[Dest Farm]]</f>
        <v>29</v>
      </c>
      <c r="BB90" s="204" t="n">
        <f aca="false" t="array" ref="BB90:BB90">IF(TblConstr[[#This Row],[Hour]:[Hour]]&gt;12,OFFSET(TblConstr[[#This Row],[Smi]],-12,0),0)+OFFSET(TblConstr[[#This Row],[Tot Smi]],-1,0)-TblConstr[[#This Row],[Dest Smi]]</f>
        <v>126</v>
      </c>
      <c r="BC90" s="204" t="n">
        <f aca="false" t="array" ref="BC90:BC90">IF(TblConstr[[#This Row],[Hour]:[Hour]]&gt;12,OFFSET(TblConstr[[#This Row],[Mas]],-12,0),0)+OFFSET(TblConstr[[#This Row],[Tot Mas]],-1,0)-TblConstr[[#This Row],[Dest Mas]]</f>
        <v>0</v>
      </c>
      <c r="BD90" s="205" t="n">
        <f aca="false" t="array" ref="BD90:BD90">IF(TblConstr[[#This Row],[Hour]:[Hour]]&gt;12,OFFSET(TblConstr[[#This Row],[Ly]],-12,0),0)+OFFSET(TblConstr[[#This Row],[Tot Ly]],-1,0)-TblConstr[[#This Row],[Dest Ly]]</f>
        <v>25</v>
      </c>
      <c r="BE90" s="205" t="n">
        <f aca="false" t="array" ref="BE90:BE90">IF(TblConstr[[#This Row],[Hour]:[Hour]]&gt;12,OFFSET(TblConstr[[#This Row],[Hav]],-12,0),0)+OFFSET(TblConstr[[#This Row],[Tot Hav]],-1,0)-TblConstr[[#This Row],[Dest Hav]]</f>
        <v>0</v>
      </c>
      <c r="BF90" s="194" t="n">
        <f aca="false" t="array" ref="BF90:BF90">IF(TblConstr[[#This Row],[Hour]:[Hour]]&gt;12,OFFSET(TblConstr[[#This Row],[OM]],-12,0),0)+OFFSET(TblConstr[[#This Row],[Tot OM]],-1,0)-TblConstr[[#This Row],[Dest OM]]</f>
        <v>0</v>
      </c>
      <c r="BG90" s="194" t="n">
        <f aca="false" t="array" ref="BG90:BG90">IF(TblConstr[[#This Row],[Hour]:[Hour]]&gt;12,OFFSET(TblConstr[[#This Row],[GN]],-12,0),0)+OFFSET(TblConstr[[#This Row],[Tot GN]],-1,0)-TblConstr[[#This Row],[Dest GN]]</f>
        <v>0</v>
      </c>
      <c r="BH90" s="206" t="n">
        <f aca="false" t="array" ref="BH90:BH90">IF(TblConstr[[#This Row],[Hour]:[Hour]]&gt;12,OFFSET(TblConstr[[#This Row],[Fac]],-12,0),0)+OFFSET(TblConstr[[#This Row],[Tot Fac]],-1,0)-TblConstr[[#This Row],[Dest Fac]]</f>
        <v>0</v>
      </c>
      <c r="BI90" s="206" t="n">
        <f aca="false" t="array" ref="BI90:BI90">IF(TblConstr[[#This Row],[Hour]:[Hour]]&gt;12,OFFSET(TblConstr[[#This Row],[GT]],-12,0),0)+OFFSET(TblConstr[[#This Row],[Tot GT]],-1,0)-TblConstr[[#This Row],[Dest GT]]</f>
        <v>55</v>
      </c>
      <c r="BJ90" s="206" t="n">
        <f aca="false" t="array" ref="BJ90:BJ90">IF(TblConstr[[#This Row],[Hour]:[Hour]]&gt;12,OFFSET(TblConstr[[#This Row],[Bar]],-12,0),0)+OFFSET(TblConstr[[#This Row],[Tot Bar]],-1,0)-TblConstr[[#This Row],[Dest Bar]]</f>
        <v>50</v>
      </c>
      <c r="BK90" s="206" t="n">
        <f aca="false" t="array" ref="BK90:BK90">IF(TblConstr[[#This Row],[Hour]:[Hour]]&gt;12,OFFSET(TblConstr[[#This Row],[Shr]],-12,0),0)+OFFSET(TblConstr[[#This Row],[Tot Shr]],-1,0)-TblConstr[[#This Row],[Dest Shr]]</f>
        <v>0</v>
      </c>
      <c r="BL90" s="207" t="n">
        <f aca="false" t="array" ref="BL90:BL90">IF(TblConstr[[#This Row],[Hour]:[Hour]]&gt;12,OFFSET(TblConstr[[#This Row],[Tow]],-12,0),0)+OFFSET(TblConstr[[#This Row],[Tot Tow]],-1,0)-TblConstr[[#This Row],[Dest Tow]]</f>
        <v>29</v>
      </c>
      <c r="BM90" s="207" t="n">
        <f aca="false" t="array" ref="BM90:BM90">IF(TblConstr[[#This Row],[Hour]:[Hour]]&gt;12,OFFSET(TblConstr[[#This Row],[Tem]],-12,0),0)+OFFSET(TblConstr[[#This Row],[Tot Tem]],-1,0)-TblConstr[[#This Row],[Dest Tem]]</f>
        <v>47</v>
      </c>
      <c r="BN90" s="207" t="n">
        <f aca="false" t="array" ref="BN90:BN90">IF(TblConstr[[#This Row],[Hour]:[Hour]]&gt;12,OFFSET(TblConstr[[#This Row],[WG]],-12,0),0)+OFFSET(TblConstr[[#This Row],[Tot WG]],-1,0)-TblConstr[[#This Row],[Dest WG]]</f>
        <v>0</v>
      </c>
      <c r="BO90" s="208" t="n">
        <f aca="false" t="array" ref="BO90:BO90">IF(TblConstr[[#This Row],[Hour]:[Hour]]&gt;12,OFFSET(TblConstr[[#This Row],[DM]],-12,0),0)+OFFSET(TblConstr[[#This Row],[Tot DM]],-1,0)-TblConstr[[#This Row],[Dest DM]]</f>
        <v>0</v>
      </c>
      <c r="BP90" s="208" t="n">
        <f aca="false" t="array" ref="BP90:BP90">IF(TblConstr[[#This Row],[Hour]:[Hour]]&gt;12,OFFSET(TblConstr[[#This Row],[Sch]],-12,0),0)+OFFSET(TblConstr[[#This Row],[Tot Sch]],-1,0)-TblConstr[[#This Row],[Dest Sch]]</f>
        <v>0</v>
      </c>
      <c r="BQ90" s="209" t="n">
        <f aca="false" t="array" ref="BQ90:BQ90">IF(TblConstr[[#This Row],[Hour]:[Hour]]&gt;12,OFFSET(TblConstr[[#This Row],[Doc]],-12,0),0)+OFFSET(TblConstr[[#This Row],[Tot Doc]],-1,0)-TblConstr[[#This Row],[Dest Doc]]</f>
        <v>24</v>
      </c>
      <c r="BR90" s="132"/>
      <c r="BS90" s="146"/>
      <c r="BT90" s="69" t="n">
        <f aca="false">TblConstr[[#This Row],[Land]]</f>
        <v>700</v>
      </c>
      <c r="BU90" s="153" t="n">
        <f aca="false">TblImps[[#This Row],[Time]]</f>
        <v>45433.3333333333</v>
      </c>
      <c r="BV90" s="132"/>
      <c r="BW90" s="182"/>
      <c r="BX90" s="182"/>
      <c r="BY90" s="182"/>
      <c r="BZ90" s="182"/>
      <c r="CA90" s="182"/>
      <c r="CB90" s="182"/>
      <c r="CC90" s="182"/>
      <c r="CD90" s="182"/>
      <c r="CE90" s="182"/>
      <c r="CF90" s="182"/>
      <c r="CG90" s="182"/>
      <c r="CH90" s="182"/>
      <c r="CI90" s="182"/>
      <c r="CJ90" s="182"/>
      <c r="CK90" s="182"/>
      <c r="CL90" s="182"/>
      <c r="CM90" s="182"/>
      <c r="CN90" s="182"/>
      <c r="CO90" s="182"/>
      <c r="CP90" s="132"/>
      <c r="CQ90" s="192" t="n">
        <f aca="false">-SUM(TblConstr[[#This Row],[Alc]:[Mas]])+SUM(TblConstr[[#This Row],[Dest Alc]:[Dest Mas]])+Rezone!L90+IF("Ch_"&amp; home_land=TblConstr[[#Headers],[Ch_Plain]],TblConstr[[#This Row],[Home Land]])+IF(TblConstr[[#This Row],[Hour]:[Hour]]&gt;12,OFFSET(TblExplore[[#This Row],[Plains Explore]],-12,0),0)</f>
        <v>0</v>
      </c>
      <c r="CR90" s="193" t="n">
        <f aca="false">-SUM(TblConstr[[#This Row],[Ly]:[Hav]])+SUM(TblConstr[[#This Row],[Dest Ly]:[Dest Hav]]) +Rezone!M90 + IF("Ch_"&amp; home_land=TblConstr[[#Headers],[Ch_Forest]],TblConstr[[#This Row],[Home Land]])+IF(TblConstr[[#This Row],[Hour]:[Hour]]&gt;12,OFFSET(TblExplore[[#This Row],[Forest Explore]],-12,0),0)</f>
        <v>0</v>
      </c>
      <c r="CS90" s="200" t="n">
        <f aca="false">-SUM(TblConstr[[#This Row],[OM]:[GN]])+SUM(TblConstr[[#This Row],[Dest OM]:[Dest GN]]) +Rezone!N90 + IF("Ch_"&amp; home_land=TblConstr[[#Headers],[Ch_Mountain]],TblConstr[[#This Row],[Home Land]])+IF(TblConstr[[#This Row],[Hour]:[Hour]]&gt;12,OFFSET(TblExplore[[#This Row],[Mountain Explore]],-12,0),0)</f>
        <v>0</v>
      </c>
      <c r="CT90" s="195" t="n">
        <f aca="false">-SUM(TblConstr[[#This Row],[Fac]:[Shr]])+SUM(TblConstr[[#This Row],[Dest Fac]:[Dest Shr]]) +Rezone!O90 + IF("Ch_" &amp; home_land=TblConstr[[#Headers],[Ch_Hill]],TblConstr[[#This Row],[Home Land]])+IF(TblConstr[[#This Row],[Hour]:[Hour]]&gt;12,OFFSET(TblExplore[[#This Row],[Hill Explore]],-12,0),0)</f>
        <v>0</v>
      </c>
      <c r="CU90" s="196" t="n">
        <f aca="false">-SUM(TblConstr[[#This Row],[Tow]:[WG]])+SUM(TblConstr[[#This Row],[Dest Tow]:[Dest WG]]) +Rezone!P90 + IF("Ch_" &amp; home_land=TblConstr[[#Headers],[Ch_Swamp]],TblConstr[[#This Row],[Home Land]])+IF(TblConstr[[#This Row],[Hour]:[Hour]]&gt;12,OFFSET(TblExplore[[#This Row],[Swamp Explore]],-12,0),0)</f>
        <v>0</v>
      </c>
      <c r="CV90" s="197" t="n">
        <f aca="false">- SUM(TblConstr[[#This Row],[DM]:[Sch]])+SUM(TblConstr[[#This Row],[Dest DM]:[Dest Sch]]) +Rezone!Q90 + IF("Ch_" &amp; home_land=TblConstr[[#Headers],[Ch_Cavern]],TblConstr[[#This Row],[Home Land]])+IF(TblConstr[[#This Row],[Hour]:[Hour]]&gt;12,OFFSET(TblExplore[[#This Row],[Cavern Explore]],-12,0),0)</f>
        <v>0</v>
      </c>
      <c r="CW90" s="198" t="n">
        <f aca="false">-TblConstr[[#This Row],[Doc]]+TblConstr[[#This Row],[Dest Doc]] +Rezone!R90 + IF("Ch_" &amp; home_land=TblConstr[[#Headers],[Ch_Water]],TblConstr[[#This Row],[Home Land]])+IF(TblConstr[[#This Row],[Hour]:[Hour]]&gt;12,OFFSET(TblExplore[[#This Row],[Water Explore]],-12,0),0)</f>
        <v>0</v>
      </c>
      <c r="CX90" s="1" t="n">
        <f aca="false">IF(Explore!S90=1,20) - TblConstr[[#This Row],[Hom]] + TblConstr[[#This Row],[Dest Hom]]</f>
        <v>0</v>
      </c>
      <c r="CY90" s="132"/>
      <c r="CZ90" s="69" t="n">
        <f aca="false">G90+SUM(P79:S90)+SUM(AZ90:BC90)</f>
        <v>430</v>
      </c>
      <c r="DA90" s="69" t="n">
        <f aca="false">H90+SUM(T79:U90)+SUM(BD90:BE90)</f>
        <v>25</v>
      </c>
      <c r="DB90" s="1" t="n">
        <f aca="false">I90+SUM(V79:W90)+SUM(BF90:BG90)</f>
        <v>0</v>
      </c>
      <c r="DC90" s="69" t="n">
        <f aca="false">J90+SUM(X79:Y90)+SUM(BH90:BI90)</f>
        <v>55</v>
      </c>
      <c r="DD90" s="69" t="n">
        <f aca="false">K90+SUM(AB79:AD90)+SUM(BL90:BN90)</f>
        <v>76</v>
      </c>
      <c r="DE90" s="1" t="n">
        <f aca="false">L90+SUM(AE79:AE90)+BO90</f>
        <v>0</v>
      </c>
      <c r="DF90" s="69" t="n">
        <f aca="false">M90+SUM(AG79:AG90)+BQ90</f>
        <v>24</v>
      </c>
      <c r="DG90" s="69" t="e">
        <f aca="false" t="array" ref="DG90:DG90">INDEX(TblConstr[[Total Plain]:[Total Water]],ROW()-ROW(TblConstr[#headers]),MATCH("Total "&amp;home_land,TblConstr[[#Headers],[Total Plain]:[Total Water]],0))+TblConstr[[#This Row],[Homes]]</f>
        <v>#VALUE!</v>
      </c>
      <c r="DH90" s="1" t="n">
        <f aca="false">SUM(O79:O90)+AY90</f>
        <v>40</v>
      </c>
      <c r="DI90" s="1" t="n">
        <f aca="false">MAX(BA90-BA89,0)</f>
        <v>0</v>
      </c>
      <c r="DJ90" s="1" t="n">
        <f aca="false">MAX(BQ90-BQ89,0)</f>
        <v>0</v>
      </c>
    </row>
    <row r="91" customFormat="false" ht="12.75" hidden="false" customHeight="false" outlineLevel="0" collapsed="false">
      <c r="A91" s="170" t="n">
        <f aca="false">TblRezone[[#This Row],[Hour]]</f>
        <v>88</v>
      </c>
      <c r="B91" s="171" t="n">
        <f aca="false">SUM(TblConstr[[#This Row],[Plain]:[Water]])</f>
        <v>0</v>
      </c>
      <c r="C91" s="172" t="n">
        <f aca="false">SUM(TblConstr[[#This Row],[Tot Hom]:[Tot Doc]])</f>
        <v>700</v>
      </c>
      <c r="D91" s="172" t="n">
        <f aca="false">SUM(O80:AG91)</f>
        <v>0</v>
      </c>
      <c r="E91" s="173"/>
      <c r="F91" s="33" t="n">
        <f aca="false">TblConstr[[#This Row],[Barren]]+TblConstr[[#This Row],[Buildings]]+TblConstr[[#This Row],[Incoming]]</f>
        <v>700</v>
      </c>
      <c r="G91" s="199" t="n">
        <f aca="false">OFFSET(TblConstr[[#This Row],[Plain]],-1,0)+TblConstr[[#This Row],[Ch_Plain]]</f>
        <v>0</v>
      </c>
      <c r="H91" s="193" t="n">
        <f aca="false">OFFSET(TblConstr[[#This Row],[Forest]],-1,0)+TblConstr[[#This Row],[Ch_Forest]]</f>
        <v>0</v>
      </c>
      <c r="I91" s="200" t="n">
        <f aca="false">OFFSET(TblConstr[[#This Row],[Mountain]],-1,0)+TblConstr[[#This Row],[Ch_Mountain]]</f>
        <v>0</v>
      </c>
      <c r="J91" s="201" t="n">
        <f aca="false">OFFSET(TblConstr[[#This Row],[Hill]],-1,0)+TblConstr[[#This Row],[Ch_Hill]]</f>
        <v>0</v>
      </c>
      <c r="K91" s="202" t="n">
        <f aca="false">OFFSET(TblConstr[[#This Row],[Swamp]],-1,0)+TblConstr[[#This Row],[Ch_Swamp]]</f>
        <v>0</v>
      </c>
      <c r="L91" s="197" t="n">
        <f aca="false">OFFSET(TblConstr[[#This Row],[Cavern]],-1,0)+TblConstr[[#This Row],[Ch_Cavern]]</f>
        <v>0</v>
      </c>
      <c r="M91" s="198" t="n">
        <f aca="false">OFFSET(TblConstr[[#This Row],[Water]],-1,0)+TblConstr[[#This Row],[Ch_Water]]</f>
        <v>0</v>
      </c>
      <c r="N91" s="181" t="n">
        <f aca="false">TblRezone[[#This Row],[Hour]]</f>
        <v>88</v>
      </c>
      <c r="O91" s="182"/>
      <c r="P91" s="182"/>
      <c r="Q91" s="182"/>
      <c r="R91" s="182"/>
      <c r="S91" s="182"/>
      <c r="T91" s="182"/>
      <c r="U91" s="182"/>
      <c r="V91" s="182"/>
      <c r="W91" s="182"/>
      <c r="X91" s="182"/>
      <c r="Y91" s="182"/>
      <c r="Z91" s="182"/>
      <c r="AA91" s="182"/>
      <c r="AB91" s="182"/>
      <c r="AC91" s="182"/>
      <c r="AD91" s="182"/>
      <c r="AE91" s="182"/>
      <c r="AF91" s="182"/>
      <c r="AG91" s="182"/>
      <c r="AH91" s="20" t="n">
        <f aca="false">TblImps[[#This Row],[Time]]</f>
        <v>45433.375</v>
      </c>
      <c r="AI91" s="130" t="n">
        <f aca="false">MIN(25%,(TblConstr[[#This Row],[Tot Fac]]+TblConstr[[#This Row],[Dest Fac]])/(TblConstr[[#This Row],[Land]]-TblExplore[[#This Row],[Land Bonus]]*20))</f>
        <v>0</v>
      </c>
      <c r="AJ91" s="130" t="n">
        <f aca="false">MIN(25%,(TblConstr[[#This Row],[Tot Fac]]+TblConstr[[#This Row],[Dest Fac]])/TblConstr[[#This Row],[Land]])</f>
        <v>0</v>
      </c>
      <c r="AK91" s="69" t="n">
        <f aca="false">TblProd[[#This Row],[Platinum]]</f>
        <v>645725</v>
      </c>
      <c r="AL91" s="69" t="n">
        <f aca="false">TblProd[[#This Row],[Lumber]]</f>
        <v>27823</v>
      </c>
      <c r="AM9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1" s="69" t="n">
        <f aca="false">ROUNDDOWN( MAX(1 - MIN(facs_constr_factor*TblConstr[[#This Row],[Facs -DB]],facs_constr_max) + tech_1_11*TblTech[[#This Row],[11-1]] + tech_6_3_2*TblTech[[#This Row],[6-3]] + tech_5_2_3*TblTech[[#This Row],[5-2]], 1-global_constr_cap) * TblConstr[[#This Row],[RCPA Lumber]],0)</f>
        <v>216</v>
      </c>
      <c r="AO9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1" s="69" t="n">
        <f aca="false">ROUNDDOWN( MAX(1 - MIN(facs_constr_factor*TblConstr[[#This Row],[Facs DB]],facs_constr_max) + tech_1_11*TblTech[[#This Row],[1-11]] + tech_6_3_2*TblTech[[#This Row],[6-3]] + tech_5_2_3*TblTech[[#This Row],[5-2]], 1-global_constr_cap) * ROUND((TblConstr[[#This Row],[Land]]-250)*0.285 + 87.5 + 0/4.25,0),0)</f>
        <v>216</v>
      </c>
      <c r="AQ91" s="1" t="n">
        <f aca="false">TblConstr[[#This Row],[build -db]]*TblConstr[[#This Row],[CPA Platinum -DB]] + TblConstr[[#This Row],[build db]]*TblConstr[[#This Row],[CPA Platinum DB]]</f>
        <v>0</v>
      </c>
      <c r="AR91" s="1" t="n">
        <f aca="false">TblConstr[[#This Row],[build -db]]*TblConstr[[#This Row],[CPA Lumber -DB]]+TblConstr[[#This Row],[build db]]*TblConstr[[#This Row],[CPA Lumber DB]]</f>
        <v>0</v>
      </c>
      <c r="AS91" s="69" t="n">
        <f aca="false">MIN(SUM(OFFSET(TblConstr[[#This Row],[Plain]:[Water]],-1,0))+SUM(TblConstr[[#This Row],[Dest Hom]:[Dest Doc]])+IF(TblConstr[[#This Row],[Hour]]&gt;12,SUM(OFFSET(TblExplore[[#This Row],[Plains Explore]:[Water Explore]],-12,0)),0),SUM(TblConstr[[#This Row],[Hom]:[Doc]]))</f>
        <v>0</v>
      </c>
      <c r="AT9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32"/>
      <c r="AV91" s="69" t="n">
        <f aca="false">ROUND((TblConstr[[#This Row],[Land]]-250 - IF(TblExplore[[#This Row],[Land Bonus]]&lt;&gt;0,20,0))*1.25 + 850 + 0,0)</f>
        <v>1413</v>
      </c>
      <c r="AW91" s="69" t="n">
        <f aca="false">ROUND((TblConstr[[#This Row],[Land]]-250 - IF(TblExplore[[#This Row],[Land Bonus]]&lt;&gt;0,20,0))*0.285 + 87.5 + 0/4.25,0)</f>
        <v>216</v>
      </c>
      <c r="AX91" s="146"/>
      <c r="AY91" s="203" t="n">
        <f aca="false" t="array" ref="AY91:AY91">IF(TblConstr[[#This Row],[Hour]:[Hour]]&gt;12,OFFSET(TblConstr[[#This Row],[Hom]],-12,0),0)+OFFSET(TblConstr[[#This Row],[Tot Hom]],-1,0)-TblConstr[[#This Row],[Dest Hom]]</f>
        <v>40</v>
      </c>
      <c r="AZ91" s="204" t="n">
        <f aca="false" t="array" ref="AZ91:AZ91">IF(TblConstr[[#This Row],[Hour]:[Hour]]&gt;12,OFFSET(TblConstr[[#This Row],[Alc]],-12,0),0)+OFFSET(TblConstr[[#This Row],[Tot Alc]],-1,0)-TblConstr[[#This Row],[Dest Alc]]</f>
        <v>275</v>
      </c>
      <c r="BA91" s="204" t="n">
        <f aca="false" t="array" ref="BA91:BA91">IF(TblConstr[[#This Row],[Hour]:[Hour]]&gt;12,OFFSET(TblConstr[[#This Row],[Far]],-12,0),0)+OFFSET(TblConstr[[#This Row],[Tot Farm]],-1,0)-TblConstr[[#This Row],[Dest Farm]]</f>
        <v>29</v>
      </c>
      <c r="BB91" s="204" t="n">
        <f aca="false" t="array" ref="BB91:BB91">IF(TblConstr[[#This Row],[Hour]:[Hour]]&gt;12,OFFSET(TblConstr[[#This Row],[Smi]],-12,0),0)+OFFSET(TblConstr[[#This Row],[Tot Smi]],-1,0)-TblConstr[[#This Row],[Dest Smi]]</f>
        <v>126</v>
      </c>
      <c r="BC91" s="204" t="n">
        <f aca="false" t="array" ref="BC91:BC91">IF(TblConstr[[#This Row],[Hour]:[Hour]]&gt;12,OFFSET(TblConstr[[#This Row],[Mas]],-12,0),0)+OFFSET(TblConstr[[#This Row],[Tot Mas]],-1,0)-TblConstr[[#This Row],[Dest Mas]]</f>
        <v>0</v>
      </c>
      <c r="BD91" s="205" t="n">
        <f aca="false" t="array" ref="BD91:BD91">IF(TblConstr[[#This Row],[Hour]:[Hour]]&gt;12,OFFSET(TblConstr[[#This Row],[Ly]],-12,0),0)+OFFSET(TblConstr[[#This Row],[Tot Ly]],-1,0)-TblConstr[[#This Row],[Dest Ly]]</f>
        <v>25</v>
      </c>
      <c r="BE91" s="205" t="n">
        <f aca="false" t="array" ref="BE91:BE91">IF(TblConstr[[#This Row],[Hour]:[Hour]]&gt;12,OFFSET(TblConstr[[#This Row],[Hav]],-12,0),0)+OFFSET(TblConstr[[#This Row],[Tot Hav]],-1,0)-TblConstr[[#This Row],[Dest Hav]]</f>
        <v>0</v>
      </c>
      <c r="BF91" s="194" t="n">
        <f aca="false" t="array" ref="BF91:BF91">IF(TblConstr[[#This Row],[Hour]:[Hour]]&gt;12,OFFSET(TblConstr[[#This Row],[OM]],-12,0),0)+OFFSET(TblConstr[[#This Row],[Tot OM]],-1,0)-TblConstr[[#This Row],[Dest OM]]</f>
        <v>0</v>
      </c>
      <c r="BG91" s="194" t="n">
        <f aca="false" t="array" ref="BG91:BG91">IF(TblConstr[[#This Row],[Hour]:[Hour]]&gt;12,OFFSET(TblConstr[[#This Row],[GN]],-12,0),0)+OFFSET(TblConstr[[#This Row],[Tot GN]],-1,0)-TblConstr[[#This Row],[Dest GN]]</f>
        <v>0</v>
      </c>
      <c r="BH91" s="206" t="n">
        <f aca="false" t="array" ref="BH91:BH91">IF(TblConstr[[#This Row],[Hour]:[Hour]]&gt;12,OFFSET(TblConstr[[#This Row],[Fac]],-12,0),0)+OFFSET(TblConstr[[#This Row],[Tot Fac]],-1,0)-TblConstr[[#This Row],[Dest Fac]]</f>
        <v>0</v>
      </c>
      <c r="BI91" s="206" t="n">
        <f aca="false" t="array" ref="BI91:BI91">IF(TblConstr[[#This Row],[Hour]:[Hour]]&gt;12,OFFSET(TblConstr[[#This Row],[GT]],-12,0),0)+OFFSET(TblConstr[[#This Row],[Tot GT]],-1,0)-TblConstr[[#This Row],[Dest GT]]</f>
        <v>55</v>
      </c>
      <c r="BJ91" s="206" t="n">
        <f aca="false" t="array" ref="BJ91:BJ91">IF(TblConstr[[#This Row],[Hour]:[Hour]]&gt;12,OFFSET(TblConstr[[#This Row],[Bar]],-12,0),0)+OFFSET(TblConstr[[#This Row],[Tot Bar]],-1,0)-TblConstr[[#This Row],[Dest Bar]]</f>
        <v>50</v>
      </c>
      <c r="BK91" s="206" t="n">
        <f aca="false" t="array" ref="BK91:BK91">IF(TblConstr[[#This Row],[Hour]:[Hour]]&gt;12,OFFSET(TblConstr[[#This Row],[Shr]],-12,0),0)+OFFSET(TblConstr[[#This Row],[Tot Shr]],-1,0)-TblConstr[[#This Row],[Dest Shr]]</f>
        <v>0</v>
      </c>
      <c r="BL91" s="207" t="n">
        <f aca="false" t="array" ref="BL91:BL91">IF(TblConstr[[#This Row],[Hour]:[Hour]]&gt;12,OFFSET(TblConstr[[#This Row],[Tow]],-12,0),0)+OFFSET(TblConstr[[#This Row],[Tot Tow]],-1,0)-TblConstr[[#This Row],[Dest Tow]]</f>
        <v>29</v>
      </c>
      <c r="BM91" s="207" t="n">
        <f aca="false" t="array" ref="BM91:BM91">IF(TblConstr[[#This Row],[Hour]:[Hour]]&gt;12,OFFSET(TblConstr[[#This Row],[Tem]],-12,0),0)+OFFSET(TblConstr[[#This Row],[Tot Tem]],-1,0)-TblConstr[[#This Row],[Dest Tem]]</f>
        <v>47</v>
      </c>
      <c r="BN91" s="207" t="n">
        <f aca="false" t="array" ref="BN91:BN91">IF(TblConstr[[#This Row],[Hour]:[Hour]]&gt;12,OFFSET(TblConstr[[#This Row],[WG]],-12,0),0)+OFFSET(TblConstr[[#This Row],[Tot WG]],-1,0)-TblConstr[[#This Row],[Dest WG]]</f>
        <v>0</v>
      </c>
      <c r="BO91" s="208" t="n">
        <f aca="false" t="array" ref="BO91:BO91">IF(TblConstr[[#This Row],[Hour]:[Hour]]&gt;12,OFFSET(TblConstr[[#This Row],[DM]],-12,0),0)+OFFSET(TblConstr[[#This Row],[Tot DM]],-1,0)-TblConstr[[#This Row],[Dest DM]]</f>
        <v>0</v>
      </c>
      <c r="BP91" s="208" t="n">
        <f aca="false" t="array" ref="BP91:BP91">IF(TblConstr[[#This Row],[Hour]:[Hour]]&gt;12,OFFSET(TblConstr[[#This Row],[Sch]],-12,0),0)+OFFSET(TblConstr[[#This Row],[Tot Sch]],-1,0)-TblConstr[[#This Row],[Dest Sch]]</f>
        <v>0</v>
      </c>
      <c r="BQ91" s="209" t="n">
        <f aca="false" t="array" ref="BQ91:BQ91">IF(TblConstr[[#This Row],[Hour]:[Hour]]&gt;12,OFFSET(TblConstr[[#This Row],[Doc]],-12,0),0)+OFFSET(TblConstr[[#This Row],[Tot Doc]],-1,0)-TblConstr[[#This Row],[Dest Doc]]</f>
        <v>24</v>
      </c>
      <c r="BR91" s="132"/>
      <c r="BS91" s="146"/>
      <c r="BT91" s="69" t="n">
        <f aca="false">TblConstr[[#This Row],[Land]]</f>
        <v>700</v>
      </c>
      <c r="BU91" s="153" t="n">
        <f aca="false">TblImps[[#This Row],[Time]]</f>
        <v>45433.375</v>
      </c>
      <c r="BV91" s="132"/>
      <c r="BW91" s="182"/>
      <c r="BX91" s="182"/>
      <c r="BY91" s="182"/>
      <c r="BZ91" s="182"/>
      <c r="CA91" s="182"/>
      <c r="CB91" s="182"/>
      <c r="CC91" s="182"/>
      <c r="CD91" s="182"/>
      <c r="CE91" s="182"/>
      <c r="CF91" s="182"/>
      <c r="CG91" s="182"/>
      <c r="CH91" s="182"/>
      <c r="CI91" s="182"/>
      <c r="CJ91" s="182"/>
      <c r="CK91" s="182"/>
      <c r="CL91" s="182"/>
      <c r="CM91" s="182"/>
      <c r="CN91" s="182"/>
      <c r="CO91" s="182"/>
      <c r="CP91" s="132"/>
      <c r="CQ91" s="192" t="n">
        <f aca="false">-SUM(TblConstr[[#This Row],[Alc]:[Mas]])+SUM(TblConstr[[#This Row],[Dest Alc]:[Dest Mas]])+Rezone!L91+IF("Ch_"&amp; home_land=TblConstr[[#Headers],[Ch_Plain]],TblConstr[[#This Row],[Home Land]])+IF(TblConstr[[#This Row],[Hour]:[Hour]]&gt;12,OFFSET(TblExplore[[#This Row],[Plains Explore]],-12,0),0)</f>
        <v>0</v>
      </c>
      <c r="CR91" s="193" t="n">
        <f aca="false">-SUM(TblConstr[[#This Row],[Ly]:[Hav]])+SUM(TblConstr[[#This Row],[Dest Ly]:[Dest Hav]]) +Rezone!M91 + IF("Ch_"&amp; home_land=TblConstr[[#Headers],[Ch_Forest]],TblConstr[[#This Row],[Home Land]])+IF(TblConstr[[#This Row],[Hour]:[Hour]]&gt;12,OFFSET(TblExplore[[#This Row],[Forest Explore]],-12,0),0)</f>
        <v>0</v>
      </c>
      <c r="CS91" s="200" t="n">
        <f aca="false">-SUM(TblConstr[[#This Row],[OM]:[GN]])+SUM(TblConstr[[#This Row],[Dest OM]:[Dest GN]]) +Rezone!N91 + IF("Ch_"&amp; home_land=TblConstr[[#Headers],[Ch_Mountain]],TblConstr[[#This Row],[Home Land]])+IF(TblConstr[[#This Row],[Hour]:[Hour]]&gt;12,OFFSET(TblExplore[[#This Row],[Mountain Explore]],-12,0),0)</f>
        <v>0</v>
      </c>
      <c r="CT91" s="195" t="n">
        <f aca="false">-SUM(TblConstr[[#This Row],[Fac]:[Shr]])+SUM(TblConstr[[#This Row],[Dest Fac]:[Dest Shr]]) +Rezone!O91 + IF("Ch_" &amp; home_land=TblConstr[[#Headers],[Ch_Hill]],TblConstr[[#This Row],[Home Land]])+IF(TblConstr[[#This Row],[Hour]:[Hour]]&gt;12,OFFSET(TblExplore[[#This Row],[Hill Explore]],-12,0),0)</f>
        <v>0</v>
      </c>
      <c r="CU91" s="196" t="n">
        <f aca="false">-SUM(TblConstr[[#This Row],[Tow]:[WG]])+SUM(TblConstr[[#This Row],[Dest Tow]:[Dest WG]]) +Rezone!P91 + IF("Ch_" &amp; home_land=TblConstr[[#Headers],[Ch_Swamp]],TblConstr[[#This Row],[Home Land]])+IF(TblConstr[[#This Row],[Hour]:[Hour]]&gt;12,OFFSET(TblExplore[[#This Row],[Swamp Explore]],-12,0),0)</f>
        <v>0</v>
      </c>
      <c r="CV91" s="197" t="n">
        <f aca="false">- SUM(TblConstr[[#This Row],[DM]:[Sch]])+SUM(TblConstr[[#This Row],[Dest DM]:[Dest Sch]]) +Rezone!Q91 + IF("Ch_" &amp; home_land=TblConstr[[#Headers],[Ch_Cavern]],TblConstr[[#This Row],[Home Land]])+IF(TblConstr[[#This Row],[Hour]:[Hour]]&gt;12,OFFSET(TblExplore[[#This Row],[Cavern Explore]],-12,0),0)</f>
        <v>0</v>
      </c>
      <c r="CW91" s="198" t="n">
        <f aca="false">-TblConstr[[#This Row],[Doc]]+TblConstr[[#This Row],[Dest Doc]] +Rezone!R91 + IF("Ch_" &amp; home_land=TblConstr[[#Headers],[Ch_Water]],TblConstr[[#This Row],[Home Land]])+IF(TblConstr[[#This Row],[Hour]:[Hour]]&gt;12,OFFSET(TblExplore[[#This Row],[Water Explore]],-12,0),0)</f>
        <v>0</v>
      </c>
      <c r="CX91" s="1" t="n">
        <f aca="false">IF(Explore!S91=1,20) - TblConstr[[#This Row],[Hom]] + TblConstr[[#This Row],[Dest Hom]]</f>
        <v>0</v>
      </c>
      <c r="CY91" s="132"/>
      <c r="CZ91" s="69" t="n">
        <f aca="false">G91+SUM(P80:S91)+SUM(AZ91:BC91)</f>
        <v>430</v>
      </c>
      <c r="DA91" s="69" t="n">
        <f aca="false">H91+SUM(T80:U91)+SUM(BD91:BE91)</f>
        <v>25</v>
      </c>
      <c r="DB91" s="1" t="n">
        <f aca="false">I91+SUM(V80:W91)+SUM(BF91:BG91)</f>
        <v>0</v>
      </c>
      <c r="DC91" s="69" t="n">
        <f aca="false">J91+SUM(X80:Y91)+SUM(BH91:BI91)</f>
        <v>55</v>
      </c>
      <c r="DD91" s="69" t="n">
        <f aca="false">K91+SUM(AB80:AD91)+SUM(BL91:BN91)</f>
        <v>76</v>
      </c>
      <c r="DE91" s="1" t="n">
        <f aca="false">L91+SUM(AE80:AE91)+BO91</f>
        <v>0</v>
      </c>
      <c r="DF91" s="69" t="n">
        <f aca="false">M91+SUM(AG80:AG91)+BQ91</f>
        <v>24</v>
      </c>
      <c r="DG91" s="69" t="e">
        <f aca="false" t="array" ref="DG91:DG91">INDEX(TblConstr[[Total Plain]:[Total Water]],ROW()-ROW(TblConstr[#headers]),MATCH("Total "&amp;home_land,TblConstr[[#Headers],[Total Plain]:[Total Water]],0))+TblConstr[[#This Row],[Homes]]</f>
        <v>#VALUE!</v>
      </c>
      <c r="DH91" s="1" t="n">
        <f aca="false">SUM(O80:O91)+AY91</f>
        <v>40</v>
      </c>
      <c r="DI91" s="1" t="n">
        <f aca="false">MAX(BA91-BA90,0)</f>
        <v>0</v>
      </c>
      <c r="DJ91" s="1" t="n">
        <f aca="false">MAX(BQ91-BQ90,0)</f>
        <v>0</v>
      </c>
    </row>
    <row r="92" customFormat="false" ht="12.75" hidden="false" customHeight="false" outlineLevel="0" collapsed="false">
      <c r="A92" s="170" t="n">
        <f aca="false">TblRezone[[#This Row],[Hour]]</f>
        <v>89</v>
      </c>
      <c r="B92" s="171" t="n">
        <f aca="false">SUM(TblConstr[[#This Row],[Plain]:[Water]])</f>
        <v>0</v>
      </c>
      <c r="C92" s="172" t="n">
        <f aca="false">SUM(TblConstr[[#This Row],[Tot Hom]:[Tot Doc]])</f>
        <v>700</v>
      </c>
      <c r="D92" s="172" t="n">
        <f aca="false">SUM(O81:AG92)</f>
        <v>0</v>
      </c>
      <c r="E92" s="173"/>
      <c r="F92" s="33" t="n">
        <f aca="false">TblConstr[[#This Row],[Barren]]+TblConstr[[#This Row],[Buildings]]+TblConstr[[#This Row],[Incoming]]</f>
        <v>700</v>
      </c>
      <c r="G92" s="199" t="n">
        <f aca="false">OFFSET(TblConstr[[#This Row],[Plain]],-1,0)+TblConstr[[#This Row],[Ch_Plain]]</f>
        <v>0</v>
      </c>
      <c r="H92" s="193" t="n">
        <f aca="false">OFFSET(TblConstr[[#This Row],[Forest]],-1,0)+TblConstr[[#This Row],[Ch_Forest]]</f>
        <v>0</v>
      </c>
      <c r="I92" s="200" t="n">
        <f aca="false">OFFSET(TblConstr[[#This Row],[Mountain]],-1,0)+TblConstr[[#This Row],[Ch_Mountain]]</f>
        <v>0</v>
      </c>
      <c r="J92" s="201" t="n">
        <f aca="false">OFFSET(TblConstr[[#This Row],[Hill]],-1,0)+TblConstr[[#This Row],[Ch_Hill]]</f>
        <v>0</v>
      </c>
      <c r="K92" s="202" t="n">
        <f aca="false">OFFSET(TblConstr[[#This Row],[Swamp]],-1,0)+TblConstr[[#This Row],[Ch_Swamp]]</f>
        <v>0</v>
      </c>
      <c r="L92" s="197" t="n">
        <f aca="false">OFFSET(TblConstr[[#This Row],[Cavern]],-1,0)+TblConstr[[#This Row],[Ch_Cavern]]</f>
        <v>0</v>
      </c>
      <c r="M92" s="198" t="n">
        <f aca="false">OFFSET(TblConstr[[#This Row],[Water]],-1,0)+TblConstr[[#This Row],[Ch_Water]]</f>
        <v>0</v>
      </c>
      <c r="N92" s="181" t="n">
        <f aca="false">TblRezone[[#This Row],[Hour]]</f>
        <v>89</v>
      </c>
      <c r="O92" s="182"/>
      <c r="P92" s="182"/>
      <c r="Q92" s="182"/>
      <c r="R92" s="182"/>
      <c r="S92" s="182"/>
      <c r="T92" s="182"/>
      <c r="U92" s="182"/>
      <c r="V92" s="182"/>
      <c r="W92" s="182"/>
      <c r="X92" s="182"/>
      <c r="Y92" s="182"/>
      <c r="Z92" s="182"/>
      <c r="AA92" s="182"/>
      <c r="AB92" s="182"/>
      <c r="AC92" s="182"/>
      <c r="AD92" s="182"/>
      <c r="AE92" s="182"/>
      <c r="AF92" s="182"/>
      <c r="AG92" s="182"/>
      <c r="AH92" s="20" t="n">
        <f aca="false">TblImps[[#This Row],[Time]]</f>
        <v>45433.4166666667</v>
      </c>
      <c r="AI92" s="130" t="n">
        <f aca="false">MIN(25%,(TblConstr[[#This Row],[Tot Fac]]+TblConstr[[#This Row],[Dest Fac]])/(TblConstr[[#This Row],[Land]]-TblExplore[[#This Row],[Land Bonus]]*20))</f>
        <v>0</v>
      </c>
      <c r="AJ92" s="130" t="n">
        <f aca="false">MIN(25%,(TblConstr[[#This Row],[Tot Fac]]+TblConstr[[#This Row],[Dest Fac]])/TblConstr[[#This Row],[Land]])</f>
        <v>0</v>
      </c>
      <c r="AK92" s="69" t="n">
        <f aca="false">TblProd[[#This Row],[Platinum]]</f>
        <v>688847</v>
      </c>
      <c r="AL92" s="69" t="n">
        <f aca="false">TblProd[[#This Row],[Lumber]]</f>
        <v>28670</v>
      </c>
      <c r="AM9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2" s="69" t="n">
        <f aca="false">ROUNDDOWN( MAX(1 - MIN(facs_constr_factor*TblConstr[[#This Row],[Facs -DB]],facs_constr_max) + tech_1_11*TblTech[[#This Row],[11-1]] + tech_6_3_2*TblTech[[#This Row],[6-3]] + tech_5_2_3*TblTech[[#This Row],[5-2]], 1-global_constr_cap) * TblConstr[[#This Row],[RCPA Lumber]],0)</f>
        <v>216</v>
      </c>
      <c r="AO9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2" s="69" t="n">
        <f aca="false">ROUNDDOWN( MAX(1 - MIN(facs_constr_factor*TblConstr[[#This Row],[Facs DB]],facs_constr_max) + tech_1_11*TblTech[[#This Row],[1-11]] + tech_6_3_2*TblTech[[#This Row],[6-3]] + tech_5_2_3*TblTech[[#This Row],[5-2]], 1-global_constr_cap) * ROUND((TblConstr[[#This Row],[Land]]-250)*0.285 + 87.5 + 0/4.25,0),0)</f>
        <v>216</v>
      </c>
      <c r="AQ92" s="1" t="n">
        <f aca="false">TblConstr[[#This Row],[build -db]]*TblConstr[[#This Row],[CPA Platinum -DB]] + TblConstr[[#This Row],[build db]]*TblConstr[[#This Row],[CPA Platinum DB]]</f>
        <v>0</v>
      </c>
      <c r="AR92" s="1" t="n">
        <f aca="false">TblConstr[[#This Row],[build -db]]*TblConstr[[#This Row],[CPA Lumber -DB]]+TblConstr[[#This Row],[build db]]*TblConstr[[#This Row],[CPA Lumber DB]]</f>
        <v>0</v>
      </c>
      <c r="AS92" s="69" t="n">
        <f aca="false">MIN(SUM(OFFSET(TblConstr[[#This Row],[Plain]:[Water]],-1,0))+SUM(TblConstr[[#This Row],[Dest Hom]:[Dest Doc]])+IF(TblConstr[[#This Row],[Hour]]&gt;12,SUM(OFFSET(TblExplore[[#This Row],[Plains Explore]:[Water Explore]],-12,0)),0),SUM(TblConstr[[#This Row],[Hom]:[Doc]]))</f>
        <v>0</v>
      </c>
      <c r="AT9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32"/>
      <c r="AV92" s="69" t="n">
        <f aca="false">ROUND((TblConstr[[#This Row],[Land]]-250 - IF(TblExplore[[#This Row],[Land Bonus]]&lt;&gt;0,20,0))*1.25 + 850 + 0,0)</f>
        <v>1413</v>
      </c>
      <c r="AW92" s="69" t="n">
        <f aca="false">ROUND((TblConstr[[#This Row],[Land]]-250 - IF(TblExplore[[#This Row],[Land Bonus]]&lt;&gt;0,20,0))*0.285 + 87.5 + 0/4.25,0)</f>
        <v>216</v>
      </c>
      <c r="AX92" s="146"/>
      <c r="AY92" s="203" t="n">
        <f aca="false" t="array" ref="AY92:AY92">IF(TblConstr[[#This Row],[Hour]:[Hour]]&gt;12,OFFSET(TblConstr[[#This Row],[Hom]],-12,0),0)+OFFSET(TblConstr[[#This Row],[Tot Hom]],-1,0)-TblConstr[[#This Row],[Dest Hom]]</f>
        <v>40</v>
      </c>
      <c r="AZ92" s="204" t="n">
        <f aca="false" t="array" ref="AZ92:AZ92">IF(TblConstr[[#This Row],[Hour]:[Hour]]&gt;12,OFFSET(TblConstr[[#This Row],[Alc]],-12,0),0)+OFFSET(TblConstr[[#This Row],[Tot Alc]],-1,0)-TblConstr[[#This Row],[Dest Alc]]</f>
        <v>275</v>
      </c>
      <c r="BA92" s="204" t="n">
        <f aca="false" t="array" ref="BA92:BA92">IF(TblConstr[[#This Row],[Hour]:[Hour]]&gt;12,OFFSET(TblConstr[[#This Row],[Far]],-12,0),0)+OFFSET(TblConstr[[#This Row],[Tot Farm]],-1,0)-TblConstr[[#This Row],[Dest Farm]]</f>
        <v>29</v>
      </c>
      <c r="BB92" s="204" t="n">
        <f aca="false" t="array" ref="BB92:BB92">IF(TblConstr[[#This Row],[Hour]:[Hour]]&gt;12,OFFSET(TblConstr[[#This Row],[Smi]],-12,0),0)+OFFSET(TblConstr[[#This Row],[Tot Smi]],-1,0)-TblConstr[[#This Row],[Dest Smi]]</f>
        <v>126</v>
      </c>
      <c r="BC92" s="204" t="n">
        <f aca="false" t="array" ref="BC92:BC92">IF(TblConstr[[#This Row],[Hour]:[Hour]]&gt;12,OFFSET(TblConstr[[#This Row],[Mas]],-12,0),0)+OFFSET(TblConstr[[#This Row],[Tot Mas]],-1,0)-TblConstr[[#This Row],[Dest Mas]]</f>
        <v>0</v>
      </c>
      <c r="BD92" s="205" t="n">
        <f aca="false" t="array" ref="BD92:BD92">IF(TblConstr[[#This Row],[Hour]:[Hour]]&gt;12,OFFSET(TblConstr[[#This Row],[Ly]],-12,0),0)+OFFSET(TblConstr[[#This Row],[Tot Ly]],-1,0)-TblConstr[[#This Row],[Dest Ly]]</f>
        <v>25</v>
      </c>
      <c r="BE92" s="205" t="n">
        <f aca="false" t="array" ref="BE92:BE92">IF(TblConstr[[#This Row],[Hour]:[Hour]]&gt;12,OFFSET(TblConstr[[#This Row],[Hav]],-12,0),0)+OFFSET(TblConstr[[#This Row],[Tot Hav]],-1,0)-TblConstr[[#This Row],[Dest Hav]]</f>
        <v>0</v>
      </c>
      <c r="BF92" s="194" t="n">
        <f aca="false" t="array" ref="BF92:BF92">IF(TblConstr[[#This Row],[Hour]:[Hour]]&gt;12,OFFSET(TblConstr[[#This Row],[OM]],-12,0),0)+OFFSET(TblConstr[[#This Row],[Tot OM]],-1,0)-TblConstr[[#This Row],[Dest OM]]</f>
        <v>0</v>
      </c>
      <c r="BG92" s="194" t="n">
        <f aca="false" t="array" ref="BG92:BG92">IF(TblConstr[[#This Row],[Hour]:[Hour]]&gt;12,OFFSET(TblConstr[[#This Row],[GN]],-12,0),0)+OFFSET(TblConstr[[#This Row],[Tot GN]],-1,0)-TblConstr[[#This Row],[Dest GN]]</f>
        <v>0</v>
      </c>
      <c r="BH92" s="206" t="n">
        <f aca="false" t="array" ref="BH92:BH92">IF(TblConstr[[#This Row],[Hour]:[Hour]]&gt;12,OFFSET(TblConstr[[#This Row],[Fac]],-12,0),0)+OFFSET(TblConstr[[#This Row],[Tot Fac]],-1,0)-TblConstr[[#This Row],[Dest Fac]]</f>
        <v>0</v>
      </c>
      <c r="BI92" s="206" t="n">
        <f aca="false" t="array" ref="BI92:BI92">IF(TblConstr[[#This Row],[Hour]:[Hour]]&gt;12,OFFSET(TblConstr[[#This Row],[GT]],-12,0),0)+OFFSET(TblConstr[[#This Row],[Tot GT]],-1,0)-TblConstr[[#This Row],[Dest GT]]</f>
        <v>55</v>
      </c>
      <c r="BJ92" s="206" t="n">
        <f aca="false" t="array" ref="BJ92:BJ92">IF(TblConstr[[#This Row],[Hour]:[Hour]]&gt;12,OFFSET(TblConstr[[#This Row],[Bar]],-12,0),0)+OFFSET(TblConstr[[#This Row],[Tot Bar]],-1,0)-TblConstr[[#This Row],[Dest Bar]]</f>
        <v>50</v>
      </c>
      <c r="BK92" s="206" t="n">
        <f aca="false" t="array" ref="BK92:BK92">IF(TblConstr[[#This Row],[Hour]:[Hour]]&gt;12,OFFSET(TblConstr[[#This Row],[Shr]],-12,0),0)+OFFSET(TblConstr[[#This Row],[Tot Shr]],-1,0)-TblConstr[[#This Row],[Dest Shr]]</f>
        <v>0</v>
      </c>
      <c r="BL92" s="207" t="n">
        <f aca="false" t="array" ref="BL92:BL92">IF(TblConstr[[#This Row],[Hour]:[Hour]]&gt;12,OFFSET(TblConstr[[#This Row],[Tow]],-12,0),0)+OFFSET(TblConstr[[#This Row],[Tot Tow]],-1,0)-TblConstr[[#This Row],[Dest Tow]]</f>
        <v>29</v>
      </c>
      <c r="BM92" s="207" t="n">
        <f aca="false" t="array" ref="BM92:BM92">IF(TblConstr[[#This Row],[Hour]:[Hour]]&gt;12,OFFSET(TblConstr[[#This Row],[Tem]],-12,0),0)+OFFSET(TblConstr[[#This Row],[Tot Tem]],-1,0)-TblConstr[[#This Row],[Dest Tem]]</f>
        <v>47</v>
      </c>
      <c r="BN92" s="207" t="n">
        <f aca="false" t="array" ref="BN92:BN92">IF(TblConstr[[#This Row],[Hour]:[Hour]]&gt;12,OFFSET(TblConstr[[#This Row],[WG]],-12,0),0)+OFFSET(TblConstr[[#This Row],[Tot WG]],-1,0)-TblConstr[[#This Row],[Dest WG]]</f>
        <v>0</v>
      </c>
      <c r="BO92" s="208" t="n">
        <f aca="false" t="array" ref="BO92:BO92">IF(TblConstr[[#This Row],[Hour]:[Hour]]&gt;12,OFFSET(TblConstr[[#This Row],[DM]],-12,0),0)+OFFSET(TblConstr[[#This Row],[Tot DM]],-1,0)-TblConstr[[#This Row],[Dest DM]]</f>
        <v>0</v>
      </c>
      <c r="BP92" s="208" t="n">
        <f aca="false" t="array" ref="BP92:BP92">IF(TblConstr[[#This Row],[Hour]:[Hour]]&gt;12,OFFSET(TblConstr[[#This Row],[Sch]],-12,0),0)+OFFSET(TblConstr[[#This Row],[Tot Sch]],-1,0)-TblConstr[[#This Row],[Dest Sch]]</f>
        <v>0</v>
      </c>
      <c r="BQ92" s="209" t="n">
        <f aca="false" t="array" ref="BQ92:BQ92">IF(TblConstr[[#This Row],[Hour]:[Hour]]&gt;12,OFFSET(TblConstr[[#This Row],[Doc]],-12,0),0)+OFFSET(TblConstr[[#This Row],[Tot Doc]],-1,0)-TblConstr[[#This Row],[Dest Doc]]</f>
        <v>24</v>
      </c>
      <c r="BR92" s="132"/>
      <c r="BS92" s="146"/>
      <c r="BT92" s="69" t="n">
        <f aca="false">TblConstr[[#This Row],[Land]]</f>
        <v>700</v>
      </c>
      <c r="BU92" s="153" t="n">
        <f aca="false">TblImps[[#This Row],[Time]]</f>
        <v>45433.4166666667</v>
      </c>
      <c r="BV92" s="132"/>
      <c r="BW92" s="182"/>
      <c r="BX92" s="182"/>
      <c r="BY92" s="182"/>
      <c r="BZ92" s="182"/>
      <c r="CA92" s="182"/>
      <c r="CB92" s="182"/>
      <c r="CC92" s="182"/>
      <c r="CD92" s="182"/>
      <c r="CE92" s="182"/>
      <c r="CF92" s="182"/>
      <c r="CG92" s="182"/>
      <c r="CH92" s="182"/>
      <c r="CI92" s="182"/>
      <c r="CJ92" s="182"/>
      <c r="CK92" s="182"/>
      <c r="CL92" s="182"/>
      <c r="CM92" s="182"/>
      <c r="CN92" s="182"/>
      <c r="CO92" s="182"/>
      <c r="CP92" s="132"/>
      <c r="CQ92" s="192" t="n">
        <f aca="false">-SUM(TblConstr[[#This Row],[Alc]:[Mas]])+SUM(TblConstr[[#This Row],[Dest Alc]:[Dest Mas]])+Rezone!L92+IF("Ch_"&amp; home_land=TblConstr[[#Headers],[Ch_Plain]],TblConstr[[#This Row],[Home Land]])+IF(TblConstr[[#This Row],[Hour]:[Hour]]&gt;12,OFFSET(TblExplore[[#This Row],[Plains Explore]],-12,0),0)</f>
        <v>0</v>
      </c>
      <c r="CR92" s="193" t="n">
        <f aca="false">-SUM(TblConstr[[#This Row],[Ly]:[Hav]])+SUM(TblConstr[[#This Row],[Dest Ly]:[Dest Hav]]) +Rezone!M92 + IF("Ch_"&amp; home_land=TblConstr[[#Headers],[Ch_Forest]],TblConstr[[#This Row],[Home Land]])+IF(TblConstr[[#This Row],[Hour]:[Hour]]&gt;12,OFFSET(TblExplore[[#This Row],[Forest Explore]],-12,0),0)</f>
        <v>0</v>
      </c>
      <c r="CS92" s="200" t="n">
        <f aca="false">-SUM(TblConstr[[#This Row],[OM]:[GN]])+SUM(TblConstr[[#This Row],[Dest OM]:[Dest GN]]) +Rezone!N92 + IF("Ch_"&amp; home_land=TblConstr[[#Headers],[Ch_Mountain]],TblConstr[[#This Row],[Home Land]])+IF(TblConstr[[#This Row],[Hour]:[Hour]]&gt;12,OFFSET(TblExplore[[#This Row],[Mountain Explore]],-12,0),0)</f>
        <v>0</v>
      </c>
      <c r="CT92" s="195" t="n">
        <f aca="false">-SUM(TblConstr[[#This Row],[Fac]:[Shr]])+SUM(TblConstr[[#This Row],[Dest Fac]:[Dest Shr]]) +Rezone!O92 + IF("Ch_" &amp; home_land=TblConstr[[#Headers],[Ch_Hill]],TblConstr[[#This Row],[Home Land]])+IF(TblConstr[[#This Row],[Hour]:[Hour]]&gt;12,OFFSET(TblExplore[[#This Row],[Hill Explore]],-12,0),0)</f>
        <v>0</v>
      </c>
      <c r="CU92" s="196" t="n">
        <f aca="false">-SUM(TblConstr[[#This Row],[Tow]:[WG]])+SUM(TblConstr[[#This Row],[Dest Tow]:[Dest WG]]) +Rezone!P92 + IF("Ch_" &amp; home_land=TblConstr[[#Headers],[Ch_Swamp]],TblConstr[[#This Row],[Home Land]])+IF(TblConstr[[#This Row],[Hour]:[Hour]]&gt;12,OFFSET(TblExplore[[#This Row],[Swamp Explore]],-12,0),0)</f>
        <v>0</v>
      </c>
      <c r="CV92" s="197" t="n">
        <f aca="false">- SUM(TblConstr[[#This Row],[DM]:[Sch]])+SUM(TblConstr[[#This Row],[Dest DM]:[Dest Sch]]) +Rezone!Q92 + IF("Ch_" &amp; home_land=TblConstr[[#Headers],[Ch_Cavern]],TblConstr[[#This Row],[Home Land]])+IF(TblConstr[[#This Row],[Hour]:[Hour]]&gt;12,OFFSET(TblExplore[[#This Row],[Cavern Explore]],-12,0),0)</f>
        <v>0</v>
      </c>
      <c r="CW92" s="198" t="n">
        <f aca="false">-TblConstr[[#This Row],[Doc]]+TblConstr[[#This Row],[Dest Doc]] +Rezone!R92 + IF("Ch_" &amp; home_land=TblConstr[[#Headers],[Ch_Water]],TblConstr[[#This Row],[Home Land]])+IF(TblConstr[[#This Row],[Hour]:[Hour]]&gt;12,OFFSET(TblExplore[[#This Row],[Water Explore]],-12,0),0)</f>
        <v>0</v>
      </c>
      <c r="CX92" s="1" t="n">
        <f aca="false">IF(Explore!S92=1,20) - TblConstr[[#This Row],[Hom]] + TblConstr[[#This Row],[Dest Hom]]</f>
        <v>0</v>
      </c>
      <c r="CY92" s="132"/>
      <c r="CZ92" s="69" t="n">
        <f aca="false">G92+SUM(P81:S92)+SUM(AZ92:BC92)</f>
        <v>430</v>
      </c>
      <c r="DA92" s="69" t="n">
        <f aca="false">H92+SUM(T81:U92)+SUM(BD92:BE92)</f>
        <v>25</v>
      </c>
      <c r="DB92" s="1" t="n">
        <f aca="false">I92+SUM(V81:W92)+SUM(BF92:BG92)</f>
        <v>0</v>
      </c>
      <c r="DC92" s="69" t="n">
        <f aca="false">J92+SUM(X81:Y92)+SUM(BH92:BI92)</f>
        <v>55</v>
      </c>
      <c r="DD92" s="69" t="n">
        <f aca="false">K92+SUM(AB81:AD92)+SUM(BL92:BN92)</f>
        <v>76</v>
      </c>
      <c r="DE92" s="1" t="n">
        <f aca="false">L92+SUM(AE81:AE92)+BO92</f>
        <v>0</v>
      </c>
      <c r="DF92" s="69" t="n">
        <f aca="false">M92+SUM(AG81:AG92)+BQ92</f>
        <v>24</v>
      </c>
      <c r="DG92" s="69" t="e">
        <f aca="false" t="array" ref="DG92:DG92">INDEX(TblConstr[[Total Plain]:[Total Water]],ROW()-ROW(TblConstr[#headers]),MATCH("Total "&amp;home_land,TblConstr[[#Headers],[Total Plain]:[Total Water]],0))+TblConstr[[#This Row],[Homes]]</f>
        <v>#VALUE!</v>
      </c>
      <c r="DH92" s="1" t="n">
        <f aca="false">SUM(O81:O92)+AY92</f>
        <v>40</v>
      </c>
      <c r="DI92" s="1" t="n">
        <f aca="false">MAX(BA92-BA91,0)</f>
        <v>0</v>
      </c>
      <c r="DJ92" s="1" t="n">
        <f aca="false">MAX(BQ92-BQ91,0)</f>
        <v>0</v>
      </c>
    </row>
    <row r="93" customFormat="false" ht="12.75" hidden="false" customHeight="false" outlineLevel="0" collapsed="false">
      <c r="A93" s="170" t="n">
        <f aca="false">TblRezone[[#This Row],[Hour]]</f>
        <v>90</v>
      </c>
      <c r="B93" s="171" t="n">
        <f aca="false">SUM(TblConstr[[#This Row],[Plain]:[Water]])</f>
        <v>0</v>
      </c>
      <c r="C93" s="172" t="n">
        <f aca="false">SUM(TblConstr[[#This Row],[Tot Hom]:[Tot Doc]])</f>
        <v>700</v>
      </c>
      <c r="D93" s="172" t="n">
        <f aca="false">SUM(O82:AG93)</f>
        <v>0</v>
      </c>
      <c r="E93" s="173"/>
      <c r="F93" s="33" t="n">
        <f aca="false">TblConstr[[#This Row],[Barren]]+TblConstr[[#This Row],[Buildings]]+TblConstr[[#This Row],[Incoming]]</f>
        <v>700</v>
      </c>
      <c r="G93" s="199" t="n">
        <f aca="false">OFFSET(TblConstr[[#This Row],[Plain]],-1,0)+TblConstr[[#This Row],[Ch_Plain]]</f>
        <v>0</v>
      </c>
      <c r="H93" s="193" t="n">
        <f aca="false">OFFSET(TblConstr[[#This Row],[Forest]],-1,0)+TblConstr[[#This Row],[Ch_Forest]]</f>
        <v>0</v>
      </c>
      <c r="I93" s="200" t="n">
        <f aca="false">OFFSET(TblConstr[[#This Row],[Mountain]],-1,0)+TblConstr[[#This Row],[Ch_Mountain]]</f>
        <v>0</v>
      </c>
      <c r="J93" s="201" t="n">
        <f aca="false">OFFSET(TblConstr[[#This Row],[Hill]],-1,0)+TblConstr[[#This Row],[Ch_Hill]]</f>
        <v>0</v>
      </c>
      <c r="K93" s="202" t="n">
        <f aca="false">OFFSET(TblConstr[[#This Row],[Swamp]],-1,0)+TblConstr[[#This Row],[Ch_Swamp]]</f>
        <v>0</v>
      </c>
      <c r="L93" s="197" t="n">
        <f aca="false">OFFSET(TblConstr[[#This Row],[Cavern]],-1,0)+TblConstr[[#This Row],[Ch_Cavern]]</f>
        <v>0</v>
      </c>
      <c r="M93" s="198" t="n">
        <f aca="false">OFFSET(TblConstr[[#This Row],[Water]],-1,0)+TblConstr[[#This Row],[Ch_Water]]</f>
        <v>0</v>
      </c>
      <c r="N93" s="181" t="n">
        <f aca="false">TblRezone[[#This Row],[Hour]]</f>
        <v>90</v>
      </c>
      <c r="O93" s="182"/>
      <c r="P93" s="182"/>
      <c r="Q93" s="182"/>
      <c r="R93" s="182"/>
      <c r="S93" s="182"/>
      <c r="T93" s="182"/>
      <c r="U93" s="182"/>
      <c r="V93" s="182"/>
      <c r="W93" s="182"/>
      <c r="X93" s="182"/>
      <c r="Y93" s="182"/>
      <c r="Z93" s="182"/>
      <c r="AA93" s="182"/>
      <c r="AB93" s="182"/>
      <c r="AC93" s="182"/>
      <c r="AD93" s="182"/>
      <c r="AE93" s="182"/>
      <c r="AF93" s="182"/>
      <c r="AG93" s="182"/>
      <c r="AH93" s="20" t="n">
        <f aca="false">TblImps[[#This Row],[Time]]</f>
        <v>45433.4583333333</v>
      </c>
      <c r="AI93" s="130" t="n">
        <f aca="false">MIN(25%,(TblConstr[[#This Row],[Tot Fac]]+TblConstr[[#This Row],[Dest Fac]])/(TblConstr[[#This Row],[Land]]-TblExplore[[#This Row],[Land Bonus]]*20))</f>
        <v>0</v>
      </c>
      <c r="AJ93" s="130" t="n">
        <f aca="false">MIN(25%,(TblConstr[[#This Row],[Tot Fac]]+TblConstr[[#This Row],[Dest Fac]])/TblConstr[[#This Row],[Land]])</f>
        <v>0</v>
      </c>
      <c r="AK93" s="69" t="n">
        <f aca="false">TblProd[[#This Row],[Platinum]]</f>
        <v>731714</v>
      </c>
      <c r="AL93" s="69" t="n">
        <f aca="false">TblProd[[#This Row],[Lumber]]</f>
        <v>29508</v>
      </c>
      <c r="AM9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3" s="69" t="n">
        <f aca="false">ROUNDDOWN( MAX(1 - MIN(facs_constr_factor*TblConstr[[#This Row],[Facs -DB]],facs_constr_max) + tech_1_11*TblTech[[#This Row],[11-1]] + tech_6_3_2*TblTech[[#This Row],[6-3]] + tech_5_2_3*TblTech[[#This Row],[5-2]], 1-global_constr_cap) * TblConstr[[#This Row],[RCPA Lumber]],0)</f>
        <v>216</v>
      </c>
      <c r="AO9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3" s="69" t="n">
        <f aca="false">ROUNDDOWN( MAX(1 - MIN(facs_constr_factor*TblConstr[[#This Row],[Facs DB]],facs_constr_max) + tech_1_11*TblTech[[#This Row],[1-11]] + tech_6_3_2*TblTech[[#This Row],[6-3]] + tech_5_2_3*TblTech[[#This Row],[5-2]], 1-global_constr_cap) * ROUND((TblConstr[[#This Row],[Land]]-250)*0.285 + 87.5 + 0/4.25,0),0)</f>
        <v>216</v>
      </c>
      <c r="AQ93" s="1" t="n">
        <f aca="false">TblConstr[[#This Row],[build -db]]*TblConstr[[#This Row],[CPA Platinum -DB]] + TblConstr[[#This Row],[build db]]*TblConstr[[#This Row],[CPA Platinum DB]]</f>
        <v>0</v>
      </c>
      <c r="AR93" s="1" t="n">
        <f aca="false">TblConstr[[#This Row],[build -db]]*TblConstr[[#This Row],[CPA Lumber -DB]]+TblConstr[[#This Row],[build db]]*TblConstr[[#This Row],[CPA Lumber DB]]</f>
        <v>0</v>
      </c>
      <c r="AS93" s="69" t="n">
        <f aca="false">MIN(SUM(OFFSET(TblConstr[[#This Row],[Plain]:[Water]],-1,0))+SUM(TblConstr[[#This Row],[Dest Hom]:[Dest Doc]])+IF(TblConstr[[#This Row],[Hour]]&gt;12,SUM(OFFSET(TblExplore[[#This Row],[Plains Explore]:[Water Explore]],-12,0)),0),SUM(TblConstr[[#This Row],[Hom]:[Doc]]))</f>
        <v>0</v>
      </c>
      <c r="AT9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32"/>
      <c r="AV93" s="69" t="n">
        <f aca="false">ROUND((TblConstr[[#This Row],[Land]]-250 - IF(TblExplore[[#This Row],[Land Bonus]]&lt;&gt;0,20,0))*1.25 + 850 + 0,0)</f>
        <v>1413</v>
      </c>
      <c r="AW93" s="69" t="n">
        <f aca="false">ROUND((TblConstr[[#This Row],[Land]]-250 - IF(TblExplore[[#This Row],[Land Bonus]]&lt;&gt;0,20,0))*0.285 + 87.5 + 0/4.25,0)</f>
        <v>216</v>
      </c>
      <c r="AX93" s="146"/>
      <c r="AY93" s="203" t="n">
        <f aca="false" t="array" ref="AY93:AY93">IF(TblConstr[[#This Row],[Hour]:[Hour]]&gt;12,OFFSET(TblConstr[[#This Row],[Hom]],-12,0),0)+OFFSET(TblConstr[[#This Row],[Tot Hom]],-1,0)-TblConstr[[#This Row],[Dest Hom]]</f>
        <v>40</v>
      </c>
      <c r="AZ93" s="204" t="n">
        <f aca="false" t="array" ref="AZ93:AZ93">IF(TblConstr[[#This Row],[Hour]:[Hour]]&gt;12,OFFSET(TblConstr[[#This Row],[Alc]],-12,0),0)+OFFSET(TblConstr[[#This Row],[Tot Alc]],-1,0)-TblConstr[[#This Row],[Dest Alc]]</f>
        <v>275</v>
      </c>
      <c r="BA93" s="204" t="n">
        <f aca="false" t="array" ref="BA93:BA93">IF(TblConstr[[#This Row],[Hour]:[Hour]]&gt;12,OFFSET(TblConstr[[#This Row],[Far]],-12,0),0)+OFFSET(TblConstr[[#This Row],[Tot Farm]],-1,0)-TblConstr[[#This Row],[Dest Farm]]</f>
        <v>29</v>
      </c>
      <c r="BB93" s="204" t="n">
        <f aca="false" t="array" ref="BB93:BB93">IF(TblConstr[[#This Row],[Hour]:[Hour]]&gt;12,OFFSET(TblConstr[[#This Row],[Smi]],-12,0),0)+OFFSET(TblConstr[[#This Row],[Tot Smi]],-1,0)-TblConstr[[#This Row],[Dest Smi]]</f>
        <v>126</v>
      </c>
      <c r="BC93" s="204" t="n">
        <f aca="false" t="array" ref="BC93:BC93">IF(TblConstr[[#This Row],[Hour]:[Hour]]&gt;12,OFFSET(TblConstr[[#This Row],[Mas]],-12,0),0)+OFFSET(TblConstr[[#This Row],[Tot Mas]],-1,0)-TblConstr[[#This Row],[Dest Mas]]</f>
        <v>0</v>
      </c>
      <c r="BD93" s="205" t="n">
        <f aca="false" t="array" ref="BD93:BD93">IF(TblConstr[[#This Row],[Hour]:[Hour]]&gt;12,OFFSET(TblConstr[[#This Row],[Ly]],-12,0),0)+OFFSET(TblConstr[[#This Row],[Tot Ly]],-1,0)-TblConstr[[#This Row],[Dest Ly]]</f>
        <v>25</v>
      </c>
      <c r="BE93" s="205" t="n">
        <f aca="false" t="array" ref="BE93:BE93">IF(TblConstr[[#This Row],[Hour]:[Hour]]&gt;12,OFFSET(TblConstr[[#This Row],[Hav]],-12,0),0)+OFFSET(TblConstr[[#This Row],[Tot Hav]],-1,0)-TblConstr[[#This Row],[Dest Hav]]</f>
        <v>0</v>
      </c>
      <c r="BF93" s="194" t="n">
        <f aca="false" t="array" ref="BF93:BF93">IF(TblConstr[[#This Row],[Hour]:[Hour]]&gt;12,OFFSET(TblConstr[[#This Row],[OM]],-12,0),0)+OFFSET(TblConstr[[#This Row],[Tot OM]],-1,0)-TblConstr[[#This Row],[Dest OM]]</f>
        <v>0</v>
      </c>
      <c r="BG93" s="194" t="n">
        <f aca="false" t="array" ref="BG93:BG93">IF(TblConstr[[#This Row],[Hour]:[Hour]]&gt;12,OFFSET(TblConstr[[#This Row],[GN]],-12,0),0)+OFFSET(TblConstr[[#This Row],[Tot GN]],-1,0)-TblConstr[[#This Row],[Dest GN]]</f>
        <v>0</v>
      </c>
      <c r="BH93" s="206" t="n">
        <f aca="false" t="array" ref="BH93:BH93">IF(TblConstr[[#This Row],[Hour]:[Hour]]&gt;12,OFFSET(TblConstr[[#This Row],[Fac]],-12,0),0)+OFFSET(TblConstr[[#This Row],[Tot Fac]],-1,0)-TblConstr[[#This Row],[Dest Fac]]</f>
        <v>0</v>
      </c>
      <c r="BI93" s="206" t="n">
        <f aca="false" t="array" ref="BI93:BI93">IF(TblConstr[[#This Row],[Hour]:[Hour]]&gt;12,OFFSET(TblConstr[[#This Row],[GT]],-12,0),0)+OFFSET(TblConstr[[#This Row],[Tot GT]],-1,0)-TblConstr[[#This Row],[Dest GT]]</f>
        <v>55</v>
      </c>
      <c r="BJ93" s="206" t="n">
        <f aca="false" t="array" ref="BJ93:BJ93">IF(TblConstr[[#This Row],[Hour]:[Hour]]&gt;12,OFFSET(TblConstr[[#This Row],[Bar]],-12,0),0)+OFFSET(TblConstr[[#This Row],[Tot Bar]],-1,0)-TblConstr[[#This Row],[Dest Bar]]</f>
        <v>50</v>
      </c>
      <c r="BK93" s="206" t="n">
        <f aca="false" t="array" ref="BK93:BK93">IF(TblConstr[[#This Row],[Hour]:[Hour]]&gt;12,OFFSET(TblConstr[[#This Row],[Shr]],-12,0),0)+OFFSET(TblConstr[[#This Row],[Tot Shr]],-1,0)-TblConstr[[#This Row],[Dest Shr]]</f>
        <v>0</v>
      </c>
      <c r="BL93" s="207" t="n">
        <f aca="false" t="array" ref="BL93:BL93">IF(TblConstr[[#This Row],[Hour]:[Hour]]&gt;12,OFFSET(TblConstr[[#This Row],[Tow]],-12,0),0)+OFFSET(TblConstr[[#This Row],[Tot Tow]],-1,0)-TblConstr[[#This Row],[Dest Tow]]</f>
        <v>29</v>
      </c>
      <c r="BM93" s="207" t="n">
        <f aca="false" t="array" ref="BM93:BM93">IF(TblConstr[[#This Row],[Hour]:[Hour]]&gt;12,OFFSET(TblConstr[[#This Row],[Tem]],-12,0),0)+OFFSET(TblConstr[[#This Row],[Tot Tem]],-1,0)-TblConstr[[#This Row],[Dest Tem]]</f>
        <v>47</v>
      </c>
      <c r="BN93" s="207" t="n">
        <f aca="false" t="array" ref="BN93:BN93">IF(TblConstr[[#This Row],[Hour]:[Hour]]&gt;12,OFFSET(TblConstr[[#This Row],[WG]],-12,0),0)+OFFSET(TblConstr[[#This Row],[Tot WG]],-1,0)-TblConstr[[#This Row],[Dest WG]]</f>
        <v>0</v>
      </c>
      <c r="BO93" s="208" t="n">
        <f aca="false" t="array" ref="BO93:BO93">IF(TblConstr[[#This Row],[Hour]:[Hour]]&gt;12,OFFSET(TblConstr[[#This Row],[DM]],-12,0),0)+OFFSET(TblConstr[[#This Row],[Tot DM]],-1,0)-TblConstr[[#This Row],[Dest DM]]</f>
        <v>0</v>
      </c>
      <c r="BP93" s="208" t="n">
        <f aca="false" t="array" ref="BP93:BP93">IF(TblConstr[[#This Row],[Hour]:[Hour]]&gt;12,OFFSET(TblConstr[[#This Row],[Sch]],-12,0),0)+OFFSET(TblConstr[[#This Row],[Tot Sch]],-1,0)-TblConstr[[#This Row],[Dest Sch]]</f>
        <v>0</v>
      </c>
      <c r="BQ93" s="209" t="n">
        <f aca="false" t="array" ref="BQ93:BQ93">IF(TblConstr[[#This Row],[Hour]:[Hour]]&gt;12,OFFSET(TblConstr[[#This Row],[Doc]],-12,0),0)+OFFSET(TblConstr[[#This Row],[Tot Doc]],-1,0)-TblConstr[[#This Row],[Dest Doc]]</f>
        <v>24</v>
      </c>
      <c r="BR93" s="132"/>
      <c r="BS93" s="146"/>
      <c r="BT93" s="69" t="n">
        <f aca="false">TblConstr[[#This Row],[Land]]</f>
        <v>700</v>
      </c>
      <c r="BU93" s="153" t="n">
        <f aca="false">TblImps[[#This Row],[Time]]</f>
        <v>45433.4583333333</v>
      </c>
      <c r="BV93" s="132"/>
      <c r="BW93" s="182"/>
      <c r="BX93" s="182"/>
      <c r="BY93" s="182"/>
      <c r="BZ93" s="182"/>
      <c r="CA93" s="182"/>
      <c r="CB93" s="182"/>
      <c r="CC93" s="182"/>
      <c r="CD93" s="182"/>
      <c r="CE93" s="182"/>
      <c r="CF93" s="182"/>
      <c r="CG93" s="182"/>
      <c r="CH93" s="182"/>
      <c r="CI93" s="182"/>
      <c r="CJ93" s="182"/>
      <c r="CK93" s="182"/>
      <c r="CL93" s="182"/>
      <c r="CM93" s="182"/>
      <c r="CN93" s="182"/>
      <c r="CO93" s="182"/>
      <c r="CP93" s="132"/>
      <c r="CQ93" s="192" t="n">
        <f aca="false">-SUM(TblConstr[[#This Row],[Alc]:[Mas]])+SUM(TblConstr[[#This Row],[Dest Alc]:[Dest Mas]])+Rezone!L93+IF("Ch_"&amp; home_land=TblConstr[[#Headers],[Ch_Plain]],TblConstr[[#This Row],[Home Land]])+IF(TblConstr[[#This Row],[Hour]:[Hour]]&gt;12,OFFSET(TblExplore[[#This Row],[Plains Explore]],-12,0),0)</f>
        <v>0</v>
      </c>
      <c r="CR93" s="193" t="n">
        <f aca="false">-SUM(TblConstr[[#This Row],[Ly]:[Hav]])+SUM(TblConstr[[#This Row],[Dest Ly]:[Dest Hav]]) +Rezone!M93 + IF("Ch_"&amp; home_land=TblConstr[[#Headers],[Ch_Forest]],TblConstr[[#This Row],[Home Land]])+IF(TblConstr[[#This Row],[Hour]:[Hour]]&gt;12,OFFSET(TblExplore[[#This Row],[Forest Explore]],-12,0),0)</f>
        <v>0</v>
      </c>
      <c r="CS93" s="200" t="n">
        <f aca="false">-SUM(TblConstr[[#This Row],[OM]:[GN]])+SUM(TblConstr[[#This Row],[Dest OM]:[Dest GN]]) +Rezone!N93 + IF("Ch_"&amp; home_land=TblConstr[[#Headers],[Ch_Mountain]],TblConstr[[#This Row],[Home Land]])+IF(TblConstr[[#This Row],[Hour]:[Hour]]&gt;12,OFFSET(TblExplore[[#This Row],[Mountain Explore]],-12,0),0)</f>
        <v>0</v>
      </c>
      <c r="CT93" s="195" t="n">
        <f aca="false">-SUM(TblConstr[[#This Row],[Fac]:[Shr]])+SUM(TblConstr[[#This Row],[Dest Fac]:[Dest Shr]]) +Rezone!O93 + IF("Ch_" &amp; home_land=TblConstr[[#Headers],[Ch_Hill]],TblConstr[[#This Row],[Home Land]])+IF(TblConstr[[#This Row],[Hour]:[Hour]]&gt;12,OFFSET(TblExplore[[#This Row],[Hill Explore]],-12,0),0)</f>
        <v>0</v>
      </c>
      <c r="CU93" s="196" t="n">
        <f aca="false">-SUM(TblConstr[[#This Row],[Tow]:[WG]])+SUM(TblConstr[[#This Row],[Dest Tow]:[Dest WG]]) +Rezone!P93 + IF("Ch_" &amp; home_land=TblConstr[[#Headers],[Ch_Swamp]],TblConstr[[#This Row],[Home Land]])+IF(TblConstr[[#This Row],[Hour]:[Hour]]&gt;12,OFFSET(TblExplore[[#This Row],[Swamp Explore]],-12,0),0)</f>
        <v>0</v>
      </c>
      <c r="CV93" s="197" t="n">
        <f aca="false">- SUM(TblConstr[[#This Row],[DM]:[Sch]])+SUM(TblConstr[[#This Row],[Dest DM]:[Dest Sch]]) +Rezone!Q93 + IF("Ch_" &amp; home_land=TblConstr[[#Headers],[Ch_Cavern]],TblConstr[[#This Row],[Home Land]])+IF(TblConstr[[#This Row],[Hour]:[Hour]]&gt;12,OFFSET(TblExplore[[#This Row],[Cavern Explore]],-12,0),0)</f>
        <v>0</v>
      </c>
      <c r="CW93" s="198" t="n">
        <f aca="false">-TblConstr[[#This Row],[Doc]]+TblConstr[[#This Row],[Dest Doc]] +Rezone!R93 + IF("Ch_" &amp; home_land=TblConstr[[#Headers],[Ch_Water]],TblConstr[[#This Row],[Home Land]])+IF(TblConstr[[#This Row],[Hour]:[Hour]]&gt;12,OFFSET(TblExplore[[#This Row],[Water Explore]],-12,0),0)</f>
        <v>0</v>
      </c>
      <c r="CX93" s="1" t="n">
        <f aca="false">IF(Explore!S93=1,20) - TblConstr[[#This Row],[Hom]] + TblConstr[[#This Row],[Dest Hom]]</f>
        <v>0</v>
      </c>
      <c r="CY93" s="132"/>
      <c r="CZ93" s="69" t="n">
        <f aca="false">G93+SUM(P82:S93)+SUM(AZ93:BC93)</f>
        <v>430</v>
      </c>
      <c r="DA93" s="69" t="n">
        <f aca="false">H93+SUM(T82:U93)+SUM(BD93:BE93)</f>
        <v>25</v>
      </c>
      <c r="DB93" s="1" t="n">
        <f aca="false">I93+SUM(V82:W93)+SUM(BF93:BG93)</f>
        <v>0</v>
      </c>
      <c r="DC93" s="69" t="n">
        <f aca="false">J93+SUM(X82:Y93)+SUM(BH93:BI93)</f>
        <v>55</v>
      </c>
      <c r="DD93" s="69" t="n">
        <f aca="false">K93+SUM(AB82:AD93)+SUM(BL93:BN93)</f>
        <v>76</v>
      </c>
      <c r="DE93" s="1" t="n">
        <f aca="false">L93+SUM(AE82:AE93)+BO93</f>
        <v>0</v>
      </c>
      <c r="DF93" s="69" t="n">
        <f aca="false">M93+SUM(AG82:AG93)+BQ93</f>
        <v>24</v>
      </c>
      <c r="DG93" s="69" t="e">
        <f aca="false" t="array" ref="DG93:DG93">INDEX(TblConstr[[Total Plain]:[Total Water]],ROW()-ROW(TblConstr[#headers]),MATCH("Total "&amp;home_land,TblConstr[[#Headers],[Total Plain]:[Total Water]],0))+TblConstr[[#This Row],[Homes]]</f>
        <v>#VALUE!</v>
      </c>
      <c r="DH93" s="1" t="n">
        <f aca="false">SUM(O82:O93)+AY93</f>
        <v>40</v>
      </c>
      <c r="DI93" s="1" t="n">
        <f aca="false">MAX(BA93-BA92,0)</f>
        <v>0</v>
      </c>
      <c r="DJ93" s="1" t="n">
        <f aca="false">MAX(BQ93-BQ92,0)</f>
        <v>0</v>
      </c>
    </row>
    <row r="94" customFormat="false" ht="12.75" hidden="false" customHeight="false" outlineLevel="0" collapsed="false">
      <c r="A94" s="170" t="n">
        <f aca="false">TblRezone[[#This Row],[Hour]]</f>
        <v>91</v>
      </c>
      <c r="B94" s="171" t="n">
        <f aca="false">SUM(TblConstr[[#This Row],[Plain]:[Water]])</f>
        <v>0</v>
      </c>
      <c r="C94" s="172" t="n">
        <f aca="false">SUM(TblConstr[[#This Row],[Tot Hom]:[Tot Doc]])</f>
        <v>700</v>
      </c>
      <c r="D94" s="172" t="n">
        <f aca="false">SUM(O83:AG94)</f>
        <v>0</v>
      </c>
      <c r="E94" s="173"/>
      <c r="F94" s="33" t="n">
        <f aca="false">TblConstr[[#This Row],[Barren]]+TblConstr[[#This Row],[Buildings]]+TblConstr[[#This Row],[Incoming]]</f>
        <v>700</v>
      </c>
      <c r="G94" s="199" t="n">
        <f aca="false">OFFSET(TblConstr[[#This Row],[Plain]],-1,0)+TblConstr[[#This Row],[Ch_Plain]]</f>
        <v>0</v>
      </c>
      <c r="H94" s="193" t="n">
        <f aca="false">OFFSET(TblConstr[[#This Row],[Forest]],-1,0)+TblConstr[[#This Row],[Ch_Forest]]</f>
        <v>0</v>
      </c>
      <c r="I94" s="200" t="n">
        <f aca="false">OFFSET(TblConstr[[#This Row],[Mountain]],-1,0)+TblConstr[[#This Row],[Ch_Mountain]]</f>
        <v>0</v>
      </c>
      <c r="J94" s="201" t="n">
        <f aca="false">OFFSET(TblConstr[[#This Row],[Hill]],-1,0)+TblConstr[[#This Row],[Ch_Hill]]</f>
        <v>0</v>
      </c>
      <c r="K94" s="202" t="n">
        <f aca="false">OFFSET(TblConstr[[#This Row],[Swamp]],-1,0)+TblConstr[[#This Row],[Ch_Swamp]]</f>
        <v>0</v>
      </c>
      <c r="L94" s="197" t="n">
        <f aca="false">OFFSET(TblConstr[[#This Row],[Cavern]],-1,0)+TblConstr[[#This Row],[Ch_Cavern]]</f>
        <v>0</v>
      </c>
      <c r="M94" s="198" t="n">
        <f aca="false">OFFSET(TblConstr[[#This Row],[Water]],-1,0)+TblConstr[[#This Row],[Ch_Water]]</f>
        <v>0</v>
      </c>
      <c r="N94" s="181" t="n">
        <f aca="false">TblRezone[[#This Row],[Hour]]</f>
        <v>91</v>
      </c>
      <c r="O94" s="182"/>
      <c r="P94" s="182"/>
      <c r="Q94" s="182"/>
      <c r="R94" s="182"/>
      <c r="S94" s="182"/>
      <c r="T94" s="182"/>
      <c r="U94" s="182"/>
      <c r="V94" s="182"/>
      <c r="W94" s="182"/>
      <c r="X94" s="182"/>
      <c r="Y94" s="182"/>
      <c r="Z94" s="182"/>
      <c r="AA94" s="182"/>
      <c r="AB94" s="182"/>
      <c r="AC94" s="182"/>
      <c r="AD94" s="182"/>
      <c r="AE94" s="182"/>
      <c r="AF94" s="182"/>
      <c r="AG94" s="182"/>
      <c r="AH94" s="20" t="n">
        <f aca="false">TblImps[[#This Row],[Time]]</f>
        <v>45433.5</v>
      </c>
      <c r="AI94" s="130" t="n">
        <f aca="false">MIN(25%,(TblConstr[[#This Row],[Tot Fac]]+TblConstr[[#This Row],[Dest Fac]])/(TblConstr[[#This Row],[Land]]-TblExplore[[#This Row],[Land Bonus]]*20))</f>
        <v>0</v>
      </c>
      <c r="AJ94" s="130" t="n">
        <f aca="false">MIN(25%,(TblConstr[[#This Row],[Tot Fac]]+TblConstr[[#This Row],[Dest Fac]])/TblConstr[[#This Row],[Land]])</f>
        <v>0</v>
      </c>
      <c r="AK94" s="69" t="n">
        <f aca="false">TblProd[[#This Row],[Platinum]]</f>
        <v>774328</v>
      </c>
      <c r="AL94" s="69" t="n">
        <f aca="false">TblProd[[#This Row],[Lumber]]</f>
        <v>30338</v>
      </c>
      <c r="AM9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4" s="69" t="n">
        <f aca="false">ROUNDDOWN( MAX(1 - MIN(facs_constr_factor*TblConstr[[#This Row],[Facs -DB]],facs_constr_max) + tech_1_11*TblTech[[#This Row],[11-1]] + tech_6_3_2*TblTech[[#This Row],[6-3]] + tech_5_2_3*TblTech[[#This Row],[5-2]], 1-global_constr_cap) * TblConstr[[#This Row],[RCPA Lumber]],0)</f>
        <v>216</v>
      </c>
      <c r="AO9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4" s="69" t="n">
        <f aca="false">ROUNDDOWN( MAX(1 - MIN(facs_constr_factor*TblConstr[[#This Row],[Facs DB]],facs_constr_max) + tech_1_11*TblTech[[#This Row],[1-11]] + tech_6_3_2*TblTech[[#This Row],[6-3]] + tech_5_2_3*TblTech[[#This Row],[5-2]], 1-global_constr_cap) * ROUND((TblConstr[[#This Row],[Land]]-250)*0.285 + 87.5 + 0/4.25,0),0)</f>
        <v>216</v>
      </c>
      <c r="AQ94" s="1" t="n">
        <f aca="false">TblConstr[[#This Row],[build -db]]*TblConstr[[#This Row],[CPA Platinum -DB]] + TblConstr[[#This Row],[build db]]*TblConstr[[#This Row],[CPA Platinum DB]]</f>
        <v>0</v>
      </c>
      <c r="AR94" s="1" t="n">
        <f aca="false">TblConstr[[#This Row],[build -db]]*TblConstr[[#This Row],[CPA Lumber -DB]]+TblConstr[[#This Row],[build db]]*TblConstr[[#This Row],[CPA Lumber DB]]</f>
        <v>0</v>
      </c>
      <c r="AS94" s="69" t="n">
        <f aca="false">MIN(SUM(OFFSET(TblConstr[[#This Row],[Plain]:[Water]],-1,0))+SUM(TblConstr[[#This Row],[Dest Hom]:[Dest Doc]])+IF(TblConstr[[#This Row],[Hour]]&gt;12,SUM(OFFSET(TblExplore[[#This Row],[Plains Explore]:[Water Explore]],-12,0)),0),SUM(TblConstr[[#This Row],[Hom]:[Doc]]))</f>
        <v>0</v>
      </c>
      <c r="AT9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32"/>
      <c r="AV94" s="69" t="n">
        <f aca="false">ROUND((TblConstr[[#This Row],[Land]]-250 - IF(TblExplore[[#This Row],[Land Bonus]]&lt;&gt;0,20,0))*1.25 + 850 + 0,0)</f>
        <v>1413</v>
      </c>
      <c r="AW94" s="69" t="n">
        <f aca="false">ROUND((TblConstr[[#This Row],[Land]]-250 - IF(TblExplore[[#This Row],[Land Bonus]]&lt;&gt;0,20,0))*0.285 + 87.5 + 0/4.25,0)</f>
        <v>216</v>
      </c>
      <c r="AX94" s="146"/>
      <c r="AY94" s="203" t="n">
        <f aca="false" t="array" ref="AY94:AY94">IF(TblConstr[[#This Row],[Hour]:[Hour]]&gt;12,OFFSET(TblConstr[[#This Row],[Hom]],-12,0),0)+OFFSET(TblConstr[[#This Row],[Tot Hom]],-1,0)-TblConstr[[#This Row],[Dest Hom]]</f>
        <v>40</v>
      </c>
      <c r="AZ94" s="204" t="n">
        <f aca="false" t="array" ref="AZ94:AZ94">IF(TblConstr[[#This Row],[Hour]:[Hour]]&gt;12,OFFSET(TblConstr[[#This Row],[Alc]],-12,0),0)+OFFSET(TblConstr[[#This Row],[Tot Alc]],-1,0)-TblConstr[[#This Row],[Dest Alc]]</f>
        <v>275</v>
      </c>
      <c r="BA94" s="204" t="n">
        <f aca="false" t="array" ref="BA94:BA94">IF(TblConstr[[#This Row],[Hour]:[Hour]]&gt;12,OFFSET(TblConstr[[#This Row],[Far]],-12,0),0)+OFFSET(TblConstr[[#This Row],[Tot Farm]],-1,0)-TblConstr[[#This Row],[Dest Farm]]</f>
        <v>29</v>
      </c>
      <c r="BB94" s="204" t="n">
        <f aca="false" t="array" ref="BB94:BB94">IF(TblConstr[[#This Row],[Hour]:[Hour]]&gt;12,OFFSET(TblConstr[[#This Row],[Smi]],-12,0),0)+OFFSET(TblConstr[[#This Row],[Tot Smi]],-1,0)-TblConstr[[#This Row],[Dest Smi]]</f>
        <v>126</v>
      </c>
      <c r="BC94" s="204" t="n">
        <f aca="false" t="array" ref="BC94:BC94">IF(TblConstr[[#This Row],[Hour]:[Hour]]&gt;12,OFFSET(TblConstr[[#This Row],[Mas]],-12,0),0)+OFFSET(TblConstr[[#This Row],[Tot Mas]],-1,0)-TblConstr[[#This Row],[Dest Mas]]</f>
        <v>0</v>
      </c>
      <c r="BD94" s="205" t="n">
        <f aca="false" t="array" ref="BD94:BD94">IF(TblConstr[[#This Row],[Hour]:[Hour]]&gt;12,OFFSET(TblConstr[[#This Row],[Ly]],-12,0),0)+OFFSET(TblConstr[[#This Row],[Tot Ly]],-1,0)-TblConstr[[#This Row],[Dest Ly]]</f>
        <v>25</v>
      </c>
      <c r="BE94" s="205" t="n">
        <f aca="false" t="array" ref="BE94:BE94">IF(TblConstr[[#This Row],[Hour]:[Hour]]&gt;12,OFFSET(TblConstr[[#This Row],[Hav]],-12,0),0)+OFFSET(TblConstr[[#This Row],[Tot Hav]],-1,0)-TblConstr[[#This Row],[Dest Hav]]</f>
        <v>0</v>
      </c>
      <c r="BF94" s="194" t="n">
        <f aca="false" t="array" ref="BF94:BF94">IF(TblConstr[[#This Row],[Hour]:[Hour]]&gt;12,OFFSET(TblConstr[[#This Row],[OM]],-12,0),0)+OFFSET(TblConstr[[#This Row],[Tot OM]],-1,0)-TblConstr[[#This Row],[Dest OM]]</f>
        <v>0</v>
      </c>
      <c r="BG94" s="194" t="n">
        <f aca="false" t="array" ref="BG94:BG94">IF(TblConstr[[#This Row],[Hour]:[Hour]]&gt;12,OFFSET(TblConstr[[#This Row],[GN]],-12,0),0)+OFFSET(TblConstr[[#This Row],[Tot GN]],-1,0)-TblConstr[[#This Row],[Dest GN]]</f>
        <v>0</v>
      </c>
      <c r="BH94" s="206" t="n">
        <f aca="false" t="array" ref="BH94:BH94">IF(TblConstr[[#This Row],[Hour]:[Hour]]&gt;12,OFFSET(TblConstr[[#This Row],[Fac]],-12,0),0)+OFFSET(TblConstr[[#This Row],[Tot Fac]],-1,0)-TblConstr[[#This Row],[Dest Fac]]</f>
        <v>0</v>
      </c>
      <c r="BI94" s="206" t="n">
        <f aca="false" t="array" ref="BI94:BI94">IF(TblConstr[[#This Row],[Hour]:[Hour]]&gt;12,OFFSET(TblConstr[[#This Row],[GT]],-12,0),0)+OFFSET(TblConstr[[#This Row],[Tot GT]],-1,0)-TblConstr[[#This Row],[Dest GT]]</f>
        <v>55</v>
      </c>
      <c r="BJ94" s="206" t="n">
        <f aca="false" t="array" ref="BJ94:BJ94">IF(TblConstr[[#This Row],[Hour]:[Hour]]&gt;12,OFFSET(TblConstr[[#This Row],[Bar]],-12,0),0)+OFFSET(TblConstr[[#This Row],[Tot Bar]],-1,0)-TblConstr[[#This Row],[Dest Bar]]</f>
        <v>50</v>
      </c>
      <c r="BK94" s="206" t="n">
        <f aca="false" t="array" ref="BK94:BK94">IF(TblConstr[[#This Row],[Hour]:[Hour]]&gt;12,OFFSET(TblConstr[[#This Row],[Shr]],-12,0),0)+OFFSET(TblConstr[[#This Row],[Tot Shr]],-1,0)-TblConstr[[#This Row],[Dest Shr]]</f>
        <v>0</v>
      </c>
      <c r="BL94" s="207" t="n">
        <f aca="false" t="array" ref="BL94:BL94">IF(TblConstr[[#This Row],[Hour]:[Hour]]&gt;12,OFFSET(TblConstr[[#This Row],[Tow]],-12,0),0)+OFFSET(TblConstr[[#This Row],[Tot Tow]],-1,0)-TblConstr[[#This Row],[Dest Tow]]</f>
        <v>29</v>
      </c>
      <c r="BM94" s="207" t="n">
        <f aca="false" t="array" ref="BM94:BM94">IF(TblConstr[[#This Row],[Hour]:[Hour]]&gt;12,OFFSET(TblConstr[[#This Row],[Tem]],-12,0),0)+OFFSET(TblConstr[[#This Row],[Tot Tem]],-1,0)-TblConstr[[#This Row],[Dest Tem]]</f>
        <v>47</v>
      </c>
      <c r="BN94" s="207" t="n">
        <f aca="false" t="array" ref="BN94:BN94">IF(TblConstr[[#This Row],[Hour]:[Hour]]&gt;12,OFFSET(TblConstr[[#This Row],[WG]],-12,0),0)+OFFSET(TblConstr[[#This Row],[Tot WG]],-1,0)-TblConstr[[#This Row],[Dest WG]]</f>
        <v>0</v>
      </c>
      <c r="BO94" s="208" t="n">
        <f aca="false" t="array" ref="BO94:BO94">IF(TblConstr[[#This Row],[Hour]:[Hour]]&gt;12,OFFSET(TblConstr[[#This Row],[DM]],-12,0),0)+OFFSET(TblConstr[[#This Row],[Tot DM]],-1,0)-TblConstr[[#This Row],[Dest DM]]</f>
        <v>0</v>
      </c>
      <c r="BP94" s="208" t="n">
        <f aca="false" t="array" ref="BP94:BP94">IF(TblConstr[[#This Row],[Hour]:[Hour]]&gt;12,OFFSET(TblConstr[[#This Row],[Sch]],-12,0),0)+OFFSET(TblConstr[[#This Row],[Tot Sch]],-1,0)-TblConstr[[#This Row],[Dest Sch]]</f>
        <v>0</v>
      </c>
      <c r="BQ94" s="209" t="n">
        <f aca="false" t="array" ref="BQ94:BQ94">IF(TblConstr[[#This Row],[Hour]:[Hour]]&gt;12,OFFSET(TblConstr[[#This Row],[Doc]],-12,0),0)+OFFSET(TblConstr[[#This Row],[Tot Doc]],-1,0)-TblConstr[[#This Row],[Dest Doc]]</f>
        <v>24</v>
      </c>
      <c r="BR94" s="132"/>
      <c r="BS94" s="146"/>
      <c r="BT94" s="69" t="n">
        <f aca="false">TblConstr[[#This Row],[Land]]</f>
        <v>700</v>
      </c>
      <c r="BU94" s="153" t="n">
        <f aca="false">TblImps[[#This Row],[Time]]</f>
        <v>45433.5</v>
      </c>
      <c r="BV94" s="132"/>
      <c r="BW94" s="182"/>
      <c r="BX94" s="182"/>
      <c r="BY94" s="182"/>
      <c r="BZ94" s="182"/>
      <c r="CA94" s="182"/>
      <c r="CB94" s="182"/>
      <c r="CC94" s="182"/>
      <c r="CD94" s="182"/>
      <c r="CE94" s="182"/>
      <c r="CF94" s="182"/>
      <c r="CG94" s="182"/>
      <c r="CH94" s="182"/>
      <c r="CI94" s="182"/>
      <c r="CJ94" s="182"/>
      <c r="CK94" s="182"/>
      <c r="CL94" s="182"/>
      <c r="CM94" s="182"/>
      <c r="CN94" s="182"/>
      <c r="CO94" s="182"/>
      <c r="CP94" s="132"/>
      <c r="CQ94" s="192" t="n">
        <f aca="false">-SUM(TblConstr[[#This Row],[Alc]:[Mas]])+SUM(TblConstr[[#This Row],[Dest Alc]:[Dest Mas]])+Rezone!L94+IF("Ch_"&amp; home_land=TblConstr[[#Headers],[Ch_Plain]],TblConstr[[#This Row],[Home Land]])+IF(TblConstr[[#This Row],[Hour]:[Hour]]&gt;12,OFFSET(TblExplore[[#This Row],[Plains Explore]],-12,0),0)</f>
        <v>0</v>
      </c>
      <c r="CR94" s="193" t="n">
        <f aca="false">-SUM(TblConstr[[#This Row],[Ly]:[Hav]])+SUM(TblConstr[[#This Row],[Dest Ly]:[Dest Hav]]) +Rezone!M94 + IF("Ch_"&amp; home_land=TblConstr[[#Headers],[Ch_Forest]],TblConstr[[#This Row],[Home Land]])+IF(TblConstr[[#This Row],[Hour]:[Hour]]&gt;12,OFFSET(TblExplore[[#This Row],[Forest Explore]],-12,0),0)</f>
        <v>0</v>
      </c>
      <c r="CS94" s="200" t="n">
        <f aca="false">-SUM(TblConstr[[#This Row],[OM]:[GN]])+SUM(TblConstr[[#This Row],[Dest OM]:[Dest GN]]) +Rezone!N94 + IF("Ch_"&amp; home_land=TblConstr[[#Headers],[Ch_Mountain]],TblConstr[[#This Row],[Home Land]])+IF(TblConstr[[#This Row],[Hour]:[Hour]]&gt;12,OFFSET(TblExplore[[#This Row],[Mountain Explore]],-12,0),0)</f>
        <v>0</v>
      </c>
      <c r="CT94" s="195" t="n">
        <f aca="false">-SUM(TblConstr[[#This Row],[Fac]:[Shr]])+SUM(TblConstr[[#This Row],[Dest Fac]:[Dest Shr]]) +Rezone!O94 + IF("Ch_" &amp; home_land=TblConstr[[#Headers],[Ch_Hill]],TblConstr[[#This Row],[Home Land]])+IF(TblConstr[[#This Row],[Hour]:[Hour]]&gt;12,OFFSET(TblExplore[[#This Row],[Hill Explore]],-12,0),0)</f>
        <v>0</v>
      </c>
      <c r="CU94" s="196" t="n">
        <f aca="false">-SUM(TblConstr[[#This Row],[Tow]:[WG]])+SUM(TblConstr[[#This Row],[Dest Tow]:[Dest WG]]) +Rezone!P94 + IF("Ch_" &amp; home_land=TblConstr[[#Headers],[Ch_Swamp]],TblConstr[[#This Row],[Home Land]])+IF(TblConstr[[#This Row],[Hour]:[Hour]]&gt;12,OFFSET(TblExplore[[#This Row],[Swamp Explore]],-12,0),0)</f>
        <v>0</v>
      </c>
      <c r="CV94" s="197" t="n">
        <f aca="false">- SUM(TblConstr[[#This Row],[DM]:[Sch]])+SUM(TblConstr[[#This Row],[Dest DM]:[Dest Sch]]) +Rezone!Q94 + IF("Ch_" &amp; home_land=TblConstr[[#Headers],[Ch_Cavern]],TblConstr[[#This Row],[Home Land]])+IF(TblConstr[[#This Row],[Hour]:[Hour]]&gt;12,OFFSET(TblExplore[[#This Row],[Cavern Explore]],-12,0),0)</f>
        <v>0</v>
      </c>
      <c r="CW94" s="198" t="n">
        <f aca="false">-TblConstr[[#This Row],[Doc]]+TblConstr[[#This Row],[Dest Doc]] +Rezone!R94 + IF("Ch_" &amp; home_land=TblConstr[[#Headers],[Ch_Water]],TblConstr[[#This Row],[Home Land]])+IF(TblConstr[[#This Row],[Hour]:[Hour]]&gt;12,OFFSET(TblExplore[[#This Row],[Water Explore]],-12,0),0)</f>
        <v>0</v>
      </c>
      <c r="CX94" s="1" t="n">
        <f aca="false">IF(Explore!S94=1,20) - TblConstr[[#This Row],[Hom]] + TblConstr[[#This Row],[Dest Hom]]</f>
        <v>0</v>
      </c>
      <c r="CY94" s="132"/>
      <c r="CZ94" s="69" t="n">
        <f aca="false">G94+SUM(P83:S94)+SUM(AZ94:BC94)</f>
        <v>430</v>
      </c>
      <c r="DA94" s="69" t="n">
        <f aca="false">H94+SUM(T83:U94)+SUM(BD94:BE94)</f>
        <v>25</v>
      </c>
      <c r="DB94" s="1" t="n">
        <f aca="false">I94+SUM(V83:W94)+SUM(BF94:BG94)</f>
        <v>0</v>
      </c>
      <c r="DC94" s="69" t="n">
        <f aca="false">J94+SUM(X83:Y94)+SUM(BH94:BI94)</f>
        <v>55</v>
      </c>
      <c r="DD94" s="69" t="n">
        <f aca="false">K94+SUM(AB83:AD94)+SUM(BL94:BN94)</f>
        <v>76</v>
      </c>
      <c r="DE94" s="1" t="n">
        <f aca="false">L94+SUM(AE83:AE94)+BO94</f>
        <v>0</v>
      </c>
      <c r="DF94" s="69" t="n">
        <f aca="false">M94+SUM(AG83:AG94)+BQ94</f>
        <v>24</v>
      </c>
      <c r="DG94" s="69" t="e">
        <f aca="false" t="array" ref="DG94:DG94">INDEX(TblConstr[[Total Plain]:[Total Water]],ROW()-ROW(TblConstr[#headers]),MATCH("Total "&amp;home_land,TblConstr[[#Headers],[Total Plain]:[Total Water]],0))+TblConstr[[#This Row],[Homes]]</f>
        <v>#VALUE!</v>
      </c>
      <c r="DH94" s="1" t="n">
        <f aca="false">SUM(O83:O94)+AY94</f>
        <v>40</v>
      </c>
      <c r="DI94" s="1" t="n">
        <f aca="false">MAX(BA94-BA93,0)</f>
        <v>0</v>
      </c>
      <c r="DJ94" s="1" t="n">
        <f aca="false">MAX(BQ94-BQ93,0)</f>
        <v>0</v>
      </c>
    </row>
    <row r="95" customFormat="false" ht="12.75" hidden="false" customHeight="false" outlineLevel="0" collapsed="false">
      <c r="A95" s="170" t="n">
        <f aca="false">TblRezone[[#This Row],[Hour]]</f>
        <v>92</v>
      </c>
      <c r="B95" s="171" t="n">
        <f aca="false">SUM(TblConstr[[#This Row],[Plain]:[Water]])</f>
        <v>0</v>
      </c>
      <c r="C95" s="172" t="n">
        <f aca="false">SUM(TblConstr[[#This Row],[Tot Hom]:[Tot Doc]])</f>
        <v>700</v>
      </c>
      <c r="D95" s="172" t="n">
        <f aca="false">SUM(O84:AG95)</f>
        <v>0</v>
      </c>
      <c r="E95" s="173"/>
      <c r="F95" s="33" t="n">
        <f aca="false">TblConstr[[#This Row],[Barren]]+TblConstr[[#This Row],[Buildings]]+TblConstr[[#This Row],[Incoming]]</f>
        <v>700</v>
      </c>
      <c r="G95" s="199" t="n">
        <f aca="false">OFFSET(TblConstr[[#This Row],[Plain]],-1,0)+TblConstr[[#This Row],[Ch_Plain]]</f>
        <v>0</v>
      </c>
      <c r="H95" s="193" t="n">
        <f aca="false">OFFSET(TblConstr[[#This Row],[Forest]],-1,0)+TblConstr[[#This Row],[Ch_Forest]]</f>
        <v>0</v>
      </c>
      <c r="I95" s="200" t="n">
        <f aca="false">OFFSET(TblConstr[[#This Row],[Mountain]],-1,0)+TblConstr[[#This Row],[Ch_Mountain]]</f>
        <v>0</v>
      </c>
      <c r="J95" s="201" t="n">
        <f aca="false">OFFSET(TblConstr[[#This Row],[Hill]],-1,0)+TblConstr[[#This Row],[Ch_Hill]]</f>
        <v>0</v>
      </c>
      <c r="K95" s="202" t="n">
        <f aca="false">OFFSET(TblConstr[[#This Row],[Swamp]],-1,0)+TblConstr[[#This Row],[Ch_Swamp]]</f>
        <v>0</v>
      </c>
      <c r="L95" s="197" t="n">
        <f aca="false">OFFSET(TblConstr[[#This Row],[Cavern]],-1,0)+TblConstr[[#This Row],[Ch_Cavern]]</f>
        <v>0</v>
      </c>
      <c r="M95" s="198" t="n">
        <f aca="false">OFFSET(TblConstr[[#This Row],[Water]],-1,0)+TblConstr[[#This Row],[Ch_Water]]</f>
        <v>0</v>
      </c>
      <c r="N95" s="181" t="n">
        <f aca="false">TblRezone[[#This Row],[Hour]]</f>
        <v>92</v>
      </c>
      <c r="O95" s="182"/>
      <c r="P95" s="182"/>
      <c r="Q95" s="182"/>
      <c r="R95" s="182"/>
      <c r="S95" s="182"/>
      <c r="T95" s="182"/>
      <c r="U95" s="182"/>
      <c r="V95" s="182"/>
      <c r="W95" s="182"/>
      <c r="X95" s="182"/>
      <c r="Y95" s="182"/>
      <c r="Z95" s="182"/>
      <c r="AA95" s="182"/>
      <c r="AB95" s="182"/>
      <c r="AC95" s="182"/>
      <c r="AD95" s="182"/>
      <c r="AE95" s="182"/>
      <c r="AF95" s="182"/>
      <c r="AG95" s="182"/>
      <c r="AH95" s="20" t="n">
        <f aca="false">TblImps[[#This Row],[Time]]</f>
        <v>45433.5416666667</v>
      </c>
      <c r="AI95" s="130" t="n">
        <f aca="false">MIN(25%,(TblConstr[[#This Row],[Tot Fac]]+TblConstr[[#This Row],[Dest Fac]])/(TblConstr[[#This Row],[Land]]-TblExplore[[#This Row],[Land Bonus]]*20))</f>
        <v>0</v>
      </c>
      <c r="AJ95" s="130" t="n">
        <f aca="false">MIN(25%,(TblConstr[[#This Row],[Tot Fac]]+TblConstr[[#This Row],[Dest Fac]])/TblConstr[[#This Row],[Land]])</f>
        <v>0</v>
      </c>
      <c r="AK95" s="69" t="n">
        <f aca="false">TblProd[[#This Row],[Platinum]]</f>
        <v>816693</v>
      </c>
      <c r="AL95" s="69" t="n">
        <f aca="false">TblProd[[#This Row],[Lumber]]</f>
        <v>31160</v>
      </c>
      <c r="AM9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5" s="69" t="n">
        <f aca="false">ROUNDDOWN( MAX(1 - MIN(facs_constr_factor*TblConstr[[#This Row],[Facs -DB]],facs_constr_max) + tech_1_11*TblTech[[#This Row],[11-1]] + tech_6_3_2*TblTech[[#This Row],[6-3]] + tech_5_2_3*TblTech[[#This Row],[5-2]], 1-global_constr_cap) * TblConstr[[#This Row],[RCPA Lumber]],0)</f>
        <v>216</v>
      </c>
      <c r="AO9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5" s="69" t="n">
        <f aca="false">ROUNDDOWN( MAX(1 - MIN(facs_constr_factor*TblConstr[[#This Row],[Facs DB]],facs_constr_max) + tech_1_11*TblTech[[#This Row],[1-11]] + tech_6_3_2*TblTech[[#This Row],[6-3]] + tech_5_2_3*TblTech[[#This Row],[5-2]], 1-global_constr_cap) * ROUND((TblConstr[[#This Row],[Land]]-250)*0.285 + 87.5 + 0/4.25,0),0)</f>
        <v>216</v>
      </c>
      <c r="AQ95" s="1" t="n">
        <f aca="false">TblConstr[[#This Row],[build -db]]*TblConstr[[#This Row],[CPA Platinum -DB]] + TblConstr[[#This Row],[build db]]*TblConstr[[#This Row],[CPA Platinum DB]]</f>
        <v>0</v>
      </c>
      <c r="AR95" s="1" t="n">
        <f aca="false">TblConstr[[#This Row],[build -db]]*TblConstr[[#This Row],[CPA Lumber -DB]]+TblConstr[[#This Row],[build db]]*TblConstr[[#This Row],[CPA Lumber DB]]</f>
        <v>0</v>
      </c>
      <c r="AS95" s="69" t="n">
        <f aca="false">MIN(SUM(OFFSET(TblConstr[[#This Row],[Plain]:[Water]],-1,0))+SUM(TblConstr[[#This Row],[Dest Hom]:[Dest Doc]])+IF(TblConstr[[#This Row],[Hour]]&gt;12,SUM(OFFSET(TblExplore[[#This Row],[Plains Explore]:[Water Explore]],-12,0)),0),SUM(TblConstr[[#This Row],[Hom]:[Doc]]))</f>
        <v>0</v>
      </c>
      <c r="AT9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32"/>
      <c r="AV95" s="69" t="n">
        <f aca="false">ROUND((TblConstr[[#This Row],[Land]]-250 - IF(TblExplore[[#This Row],[Land Bonus]]&lt;&gt;0,20,0))*1.25 + 850 + 0,0)</f>
        <v>1413</v>
      </c>
      <c r="AW95" s="69" t="n">
        <f aca="false">ROUND((TblConstr[[#This Row],[Land]]-250 - IF(TblExplore[[#This Row],[Land Bonus]]&lt;&gt;0,20,0))*0.285 + 87.5 + 0/4.25,0)</f>
        <v>216</v>
      </c>
      <c r="AX95" s="146"/>
      <c r="AY95" s="203" t="n">
        <f aca="false" t="array" ref="AY95:AY95">IF(TblConstr[[#This Row],[Hour]:[Hour]]&gt;12,OFFSET(TblConstr[[#This Row],[Hom]],-12,0),0)+OFFSET(TblConstr[[#This Row],[Tot Hom]],-1,0)-TblConstr[[#This Row],[Dest Hom]]</f>
        <v>40</v>
      </c>
      <c r="AZ95" s="204" t="n">
        <f aca="false" t="array" ref="AZ95:AZ95">IF(TblConstr[[#This Row],[Hour]:[Hour]]&gt;12,OFFSET(TblConstr[[#This Row],[Alc]],-12,0),0)+OFFSET(TblConstr[[#This Row],[Tot Alc]],-1,0)-TblConstr[[#This Row],[Dest Alc]]</f>
        <v>275</v>
      </c>
      <c r="BA95" s="204" t="n">
        <f aca="false" t="array" ref="BA95:BA95">IF(TblConstr[[#This Row],[Hour]:[Hour]]&gt;12,OFFSET(TblConstr[[#This Row],[Far]],-12,0),0)+OFFSET(TblConstr[[#This Row],[Tot Farm]],-1,0)-TblConstr[[#This Row],[Dest Farm]]</f>
        <v>29</v>
      </c>
      <c r="BB95" s="204" t="n">
        <f aca="false" t="array" ref="BB95:BB95">IF(TblConstr[[#This Row],[Hour]:[Hour]]&gt;12,OFFSET(TblConstr[[#This Row],[Smi]],-12,0),0)+OFFSET(TblConstr[[#This Row],[Tot Smi]],-1,0)-TblConstr[[#This Row],[Dest Smi]]</f>
        <v>126</v>
      </c>
      <c r="BC95" s="204" t="n">
        <f aca="false" t="array" ref="BC95:BC95">IF(TblConstr[[#This Row],[Hour]:[Hour]]&gt;12,OFFSET(TblConstr[[#This Row],[Mas]],-12,0),0)+OFFSET(TblConstr[[#This Row],[Tot Mas]],-1,0)-TblConstr[[#This Row],[Dest Mas]]</f>
        <v>0</v>
      </c>
      <c r="BD95" s="205" t="n">
        <f aca="false" t="array" ref="BD95:BD95">IF(TblConstr[[#This Row],[Hour]:[Hour]]&gt;12,OFFSET(TblConstr[[#This Row],[Ly]],-12,0),0)+OFFSET(TblConstr[[#This Row],[Tot Ly]],-1,0)-TblConstr[[#This Row],[Dest Ly]]</f>
        <v>25</v>
      </c>
      <c r="BE95" s="205" t="n">
        <f aca="false" t="array" ref="BE95:BE95">IF(TblConstr[[#This Row],[Hour]:[Hour]]&gt;12,OFFSET(TblConstr[[#This Row],[Hav]],-12,0),0)+OFFSET(TblConstr[[#This Row],[Tot Hav]],-1,0)-TblConstr[[#This Row],[Dest Hav]]</f>
        <v>0</v>
      </c>
      <c r="BF95" s="194" t="n">
        <f aca="false" t="array" ref="BF95:BF95">IF(TblConstr[[#This Row],[Hour]:[Hour]]&gt;12,OFFSET(TblConstr[[#This Row],[OM]],-12,0),0)+OFFSET(TblConstr[[#This Row],[Tot OM]],-1,0)-TblConstr[[#This Row],[Dest OM]]</f>
        <v>0</v>
      </c>
      <c r="BG95" s="194" t="n">
        <f aca="false" t="array" ref="BG95:BG95">IF(TblConstr[[#This Row],[Hour]:[Hour]]&gt;12,OFFSET(TblConstr[[#This Row],[GN]],-12,0),0)+OFFSET(TblConstr[[#This Row],[Tot GN]],-1,0)-TblConstr[[#This Row],[Dest GN]]</f>
        <v>0</v>
      </c>
      <c r="BH95" s="206" t="n">
        <f aca="false" t="array" ref="BH95:BH95">IF(TblConstr[[#This Row],[Hour]:[Hour]]&gt;12,OFFSET(TblConstr[[#This Row],[Fac]],-12,0),0)+OFFSET(TblConstr[[#This Row],[Tot Fac]],-1,0)-TblConstr[[#This Row],[Dest Fac]]</f>
        <v>0</v>
      </c>
      <c r="BI95" s="206" t="n">
        <f aca="false" t="array" ref="BI95:BI95">IF(TblConstr[[#This Row],[Hour]:[Hour]]&gt;12,OFFSET(TblConstr[[#This Row],[GT]],-12,0),0)+OFFSET(TblConstr[[#This Row],[Tot GT]],-1,0)-TblConstr[[#This Row],[Dest GT]]</f>
        <v>55</v>
      </c>
      <c r="BJ95" s="206" t="n">
        <f aca="false" t="array" ref="BJ95:BJ95">IF(TblConstr[[#This Row],[Hour]:[Hour]]&gt;12,OFFSET(TblConstr[[#This Row],[Bar]],-12,0),0)+OFFSET(TblConstr[[#This Row],[Tot Bar]],-1,0)-TblConstr[[#This Row],[Dest Bar]]</f>
        <v>50</v>
      </c>
      <c r="BK95" s="206" t="n">
        <f aca="false" t="array" ref="BK95:BK95">IF(TblConstr[[#This Row],[Hour]:[Hour]]&gt;12,OFFSET(TblConstr[[#This Row],[Shr]],-12,0),0)+OFFSET(TblConstr[[#This Row],[Tot Shr]],-1,0)-TblConstr[[#This Row],[Dest Shr]]</f>
        <v>0</v>
      </c>
      <c r="BL95" s="207" t="n">
        <f aca="false" t="array" ref="BL95:BL95">IF(TblConstr[[#This Row],[Hour]:[Hour]]&gt;12,OFFSET(TblConstr[[#This Row],[Tow]],-12,0),0)+OFFSET(TblConstr[[#This Row],[Tot Tow]],-1,0)-TblConstr[[#This Row],[Dest Tow]]</f>
        <v>29</v>
      </c>
      <c r="BM95" s="207" t="n">
        <f aca="false" t="array" ref="BM95:BM95">IF(TblConstr[[#This Row],[Hour]:[Hour]]&gt;12,OFFSET(TblConstr[[#This Row],[Tem]],-12,0),0)+OFFSET(TblConstr[[#This Row],[Tot Tem]],-1,0)-TblConstr[[#This Row],[Dest Tem]]</f>
        <v>47</v>
      </c>
      <c r="BN95" s="207" t="n">
        <f aca="false" t="array" ref="BN95:BN95">IF(TblConstr[[#This Row],[Hour]:[Hour]]&gt;12,OFFSET(TblConstr[[#This Row],[WG]],-12,0),0)+OFFSET(TblConstr[[#This Row],[Tot WG]],-1,0)-TblConstr[[#This Row],[Dest WG]]</f>
        <v>0</v>
      </c>
      <c r="BO95" s="208" t="n">
        <f aca="false" t="array" ref="BO95:BO95">IF(TblConstr[[#This Row],[Hour]:[Hour]]&gt;12,OFFSET(TblConstr[[#This Row],[DM]],-12,0),0)+OFFSET(TblConstr[[#This Row],[Tot DM]],-1,0)-TblConstr[[#This Row],[Dest DM]]</f>
        <v>0</v>
      </c>
      <c r="BP95" s="208" t="n">
        <f aca="false" t="array" ref="BP95:BP95">IF(TblConstr[[#This Row],[Hour]:[Hour]]&gt;12,OFFSET(TblConstr[[#This Row],[Sch]],-12,0),0)+OFFSET(TblConstr[[#This Row],[Tot Sch]],-1,0)-TblConstr[[#This Row],[Dest Sch]]</f>
        <v>0</v>
      </c>
      <c r="BQ95" s="209" t="n">
        <f aca="false" t="array" ref="BQ95:BQ95">IF(TblConstr[[#This Row],[Hour]:[Hour]]&gt;12,OFFSET(TblConstr[[#This Row],[Doc]],-12,0),0)+OFFSET(TblConstr[[#This Row],[Tot Doc]],-1,0)-TblConstr[[#This Row],[Dest Doc]]</f>
        <v>24</v>
      </c>
      <c r="BR95" s="132"/>
      <c r="BS95" s="146"/>
      <c r="BT95" s="69" t="n">
        <f aca="false">TblConstr[[#This Row],[Land]]</f>
        <v>700</v>
      </c>
      <c r="BU95" s="153" t="n">
        <f aca="false">TblImps[[#This Row],[Time]]</f>
        <v>45433.5416666667</v>
      </c>
      <c r="BV95" s="132"/>
      <c r="BW95" s="182"/>
      <c r="BX95" s="182"/>
      <c r="BY95" s="182"/>
      <c r="BZ95" s="182"/>
      <c r="CA95" s="182"/>
      <c r="CB95" s="182"/>
      <c r="CC95" s="182"/>
      <c r="CD95" s="182"/>
      <c r="CE95" s="182"/>
      <c r="CF95" s="182"/>
      <c r="CG95" s="182"/>
      <c r="CH95" s="182"/>
      <c r="CI95" s="182"/>
      <c r="CJ95" s="182"/>
      <c r="CK95" s="182"/>
      <c r="CL95" s="182"/>
      <c r="CM95" s="182"/>
      <c r="CN95" s="182"/>
      <c r="CO95" s="182"/>
      <c r="CP95" s="132"/>
      <c r="CQ95" s="192" t="n">
        <f aca="false">-SUM(TblConstr[[#This Row],[Alc]:[Mas]])+SUM(TblConstr[[#This Row],[Dest Alc]:[Dest Mas]])+Rezone!L95+IF("Ch_"&amp; home_land=TblConstr[[#Headers],[Ch_Plain]],TblConstr[[#This Row],[Home Land]])+IF(TblConstr[[#This Row],[Hour]:[Hour]]&gt;12,OFFSET(TblExplore[[#This Row],[Plains Explore]],-12,0),0)</f>
        <v>0</v>
      </c>
      <c r="CR95" s="193" t="n">
        <f aca="false">-SUM(TblConstr[[#This Row],[Ly]:[Hav]])+SUM(TblConstr[[#This Row],[Dest Ly]:[Dest Hav]]) +Rezone!M95 + IF("Ch_"&amp; home_land=TblConstr[[#Headers],[Ch_Forest]],TblConstr[[#This Row],[Home Land]])+IF(TblConstr[[#This Row],[Hour]:[Hour]]&gt;12,OFFSET(TblExplore[[#This Row],[Forest Explore]],-12,0),0)</f>
        <v>0</v>
      </c>
      <c r="CS95" s="200" t="n">
        <f aca="false">-SUM(TblConstr[[#This Row],[OM]:[GN]])+SUM(TblConstr[[#This Row],[Dest OM]:[Dest GN]]) +Rezone!N95 + IF("Ch_"&amp; home_land=TblConstr[[#Headers],[Ch_Mountain]],TblConstr[[#This Row],[Home Land]])+IF(TblConstr[[#This Row],[Hour]:[Hour]]&gt;12,OFFSET(TblExplore[[#This Row],[Mountain Explore]],-12,0),0)</f>
        <v>0</v>
      </c>
      <c r="CT95" s="195" t="n">
        <f aca="false">-SUM(TblConstr[[#This Row],[Fac]:[Shr]])+SUM(TblConstr[[#This Row],[Dest Fac]:[Dest Shr]]) +Rezone!O95 + IF("Ch_" &amp; home_land=TblConstr[[#Headers],[Ch_Hill]],TblConstr[[#This Row],[Home Land]])+IF(TblConstr[[#This Row],[Hour]:[Hour]]&gt;12,OFFSET(TblExplore[[#This Row],[Hill Explore]],-12,0),0)</f>
        <v>0</v>
      </c>
      <c r="CU95" s="196" t="n">
        <f aca="false">-SUM(TblConstr[[#This Row],[Tow]:[WG]])+SUM(TblConstr[[#This Row],[Dest Tow]:[Dest WG]]) +Rezone!P95 + IF("Ch_" &amp; home_land=TblConstr[[#Headers],[Ch_Swamp]],TblConstr[[#This Row],[Home Land]])+IF(TblConstr[[#This Row],[Hour]:[Hour]]&gt;12,OFFSET(TblExplore[[#This Row],[Swamp Explore]],-12,0),0)</f>
        <v>0</v>
      </c>
      <c r="CV95" s="197" t="n">
        <f aca="false">- SUM(TblConstr[[#This Row],[DM]:[Sch]])+SUM(TblConstr[[#This Row],[Dest DM]:[Dest Sch]]) +Rezone!Q95 + IF("Ch_" &amp; home_land=TblConstr[[#Headers],[Ch_Cavern]],TblConstr[[#This Row],[Home Land]])+IF(TblConstr[[#This Row],[Hour]:[Hour]]&gt;12,OFFSET(TblExplore[[#This Row],[Cavern Explore]],-12,0),0)</f>
        <v>0</v>
      </c>
      <c r="CW95" s="198" t="n">
        <f aca="false">-TblConstr[[#This Row],[Doc]]+TblConstr[[#This Row],[Dest Doc]] +Rezone!R95 + IF("Ch_" &amp; home_land=TblConstr[[#Headers],[Ch_Water]],TblConstr[[#This Row],[Home Land]])+IF(TblConstr[[#This Row],[Hour]:[Hour]]&gt;12,OFFSET(TblExplore[[#This Row],[Water Explore]],-12,0),0)</f>
        <v>0</v>
      </c>
      <c r="CX95" s="1" t="n">
        <f aca="false">IF(Explore!S95=1,20) - TblConstr[[#This Row],[Hom]] + TblConstr[[#This Row],[Dest Hom]]</f>
        <v>0</v>
      </c>
      <c r="CY95" s="132"/>
      <c r="CZ95" s="69" t="n">
        <f aca="false">G95+SUM(P84:S95)+SUM(AZ95:BC95)</f>
        <v>430</v>
      </c>
      <c r="DA95" s="69" t="n">
        <f aca="false">H95+SUM(T84:U95)+SUM(BD95:BE95)</f>
        <v>25</v>
      </c>
      <c r="DB95" s="1" t="n">
        <f aca="false">I95+SUM(V84:W95)+SUM(BF95:BG95)</f>
        <v>0</v>
      </c>
      <c r="DC95" s="69" t="n">
        <f aca="false">J95+SUM(X84:Y95)+SUM(BH95:BI95)</f>
        <v>55</v>
      </c>
      <c r="DD95" s="69" t="n">
        <f aca="false">K95+SUM(AB84:AD95)+SUM(BL95:BN95)</f>
        <v>76</v>
      </c>
      <c r="DE95" s="1" t="n">
        <f aca="false">L95+SUM(AE84:AE95)+BO95</f>
        <v>0</v>
      </c>
      <c r="DF95" s="69" t="n">
        <f aca="false">M95+SUM(AG84:AG95)+BQ95</f>
        <v>24</v>
      </c>
      <c r="DG95" s="69" t="e">
        <f aca="false" t="array" ref="DG95:DG95">INDEX(TblConstr[[Total Plain]:[Total Water]],ROW()-ROW(TblConstr[#headers]),MATCH("Total "&amp;home_land,TblConstr[[#Headers],[Total Plain]:[Total Water]],0))+TblConstr[[#This Row],[Homes]]</f>
        <v>#VALUE!</v>
      </c>
      <c r="DH95" s="1" t="n">
        <f aca="false">SUM(O84:O95)+AY95</f>
        <v>40</v>
      </c>
      <c r="DI95" s="1" t="n">
        <f aca="false">MAX(BA95-BA94,0)</f>
        <v>0</v>
      </c>
      <c r="DJ95" s="1" t="n">
        <f aca="false">MAX(BQ95-BQ94,0)</f>
        <v>0</v>
      </c>
    </row>
    <row r="96" customFormat="false" ht="12.75" hidden="false" customHeight="false" outlineLevel="0" collapsed="false">
      <c r="A96" s="170" t="n">
        <f aca="false">TblRezone[[#This Row],[Hour]]</f>
        <v>93</v>
      </c>
      <c r="B96" s="171" t="n">
        <f aca="false">SUM(TblConstr[[#This Row],[Plain]:[Water]])</f>
        <v>0</v>
      </c>
      <c r="C96" s="172" t="n">
        <f aca="false">SUM(TblConstr[[#This Row],[Tot Hom]:[Tot Doc]])</f>
        <v>700</v>
      </c>
      <c r="D96" s="172" t="n">
        <f aca="false">SUM(O85:AG96)</f>
        <v>0</v>
      </c>
      <c r="E96" s="173"/>
      <c r="F96" s="33" t="n">
        <f aca="false">TblConstr[[#This Row],[Barren]]+TblConstr[[#This Row],[Buildings]]+TblConstr[[#This Row],[Incoming]]</f>
        <v>700</v>
      </c>
      <c r="G96" s="199" t="n">
        <f aca="false">OFFSET(TblConstr[[#This Row],[Plain]],-1,0)+TblConstr[[#This Row],[Ch_Plain]]</f>
        <v>0</v>
      </c>
      <c r="H96" s="193" t="n">
        <f aca="false">OFFSET(TblConstr[[#This Row],[Forest]],-1,0)+TblConstr[[#This Row],[Ch_Forest]]</f>
        <v>0</v>
      </c>
      <c r="I96" s="200" t="n">
        <f aca="false">OFFSET(TblConstr[[#This Row],[Mountain]],-1,0)+TblConstr[[#This Row],[Ch_Mountain]]</f>
        <v>0</v>
      </c>
      <c r="J96" s="201" t="n">
        <f aca="false">OFFSET(TblConstr[[#This Row],[Hill]],-1,0)+TblConstr[[#This Row],[Ch_Hill]]</f>
        <v>0</v>
      </c>
      <c r="K96" s="202" t="n">
        <f aca="false">OFFSET(TblConstr[[#This Row],[Swamp]],-1,0)+TblConstr[[#This Row],[Ch_Swamp]]</f>
        <v>0</v>
      </c>
      <c r="L96" s="197" t="n">
        <f aca="false">OFFSET(TblConstr[[#This Row],[Cavern]],-1,0)+TblConstr[[#This Row],[Ch_Cavern]]</f>
        <v>0</v>
      </c>
      <c r="M96" s="198" t="n">
        <f aca="false">OFFSET(TblConstr[[#This Row],[Water]],-1,0)+TblConstr[[#This Row],[Ch_Water]]</f>
        <v>0</v>
      </c>
      <c r="N96" s="181" t="n">
        <f aca="false">TblRezone[[#This Row],[Hour]]</f>
        <v>93</v>
      </c>
      <c r="O96" s="182"/>
      <c r="P96" s="182"/>
      <c r="Q96" s="182"/>
      <c r="R96" s="152"/>
      <c r="S96" s="182"/>
      <c r="T96" s="182"/>
      <c r="U96" s="182"/>
      <c r="V96" s="182"/>
      <c r="W96" s="182"/>
      <c r="X96" s="182"/>
      <c r="Y96" s="182"/>
      <c r="Z96" s="182"/>
      <c r="AA96" s="182"/>
      <c r="AB96" s="182"/>
      <c r="AC96" s="182"/>
      <c r="AD96" s="182"/>
      <c r="AE96" s="182"/>
      <c r="AF96" s="182"/>
      <c r="AG96" s="182"/>
      <c r="AH96" s="20" t="n">
        <f aca="false">TblImps[[#This Row],[Time]]</f>
        <v>45433.5833333333</v>
      </c>
      <c r="AI96" s="130" t="n">
        <f aca="false">MIN(25%,(TblConstr[[#This Row],[Tot Fac]]+TblConstr[[#This Row],[Dest Fac]])/(TblConstr[[#This Row],[Land]]-TblExplore[[#This Row],[Land Bonus]]*20))</f>
        <v>0</v>
      </c>
      <c r="AJ96" s="130" t="n">
        <f aca="false">MIN(25%,(TblConstr[[#This Row],[Tot Fac]]+TblConstr[[#This Row],[Dest Fac]])/TblConstr[[#This Row],[Land]])</f>
        <v>0</v>
      </c>
      <c r="AK96" s="69" t="n">
        <f aca="false">TblProd[[#This Row],[Platinum]]</f>
        <v>858808</v>
      </c>
      <c r="AL96" s="69" t="n">
        <f aca="false">TblProd[[#This Row],[Lumber]]</f>
        <v>31973</v>
      </c>
      <c r="AM9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6" s="69" t="n">
        <f aca="false">ROUNDDOWN( MAX(1 - MIN(facs_constr_factor*TblConstr[[#This Row],[Facs -DB]],facs_constr_max) + tech_1_11*TblTech[[#This Row],[11-1]] + tech_6_3_2*TblTech[[#This Row],[6-3]] + tech_5_2_3*TblTech[[#This Row],[5-2]], 1-global_constr_cap) * TblConstr[[#This Row],[RCPA Lumber]],0)</f>
        <v>216</v>
      </c>
      <c r="AO9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6" s="69" t="n">
        <f aca="false">ROUNDDOWN( MAX(1 - MIN(facs_constr_factor*TblConstr[[#This Row],[Facs DB]],facs_constr_max) + tech_1_11*TblTech[[#This Row],[1-11]] + tech_6_3_2*TblTech[[#This Row],[6-3]] + tech_5_2_3*TblTech[[#This Row],[5-2]], 1-global_constr_cap) * ROUND((TblConstr[[#This Row],[Land]]-250)*0.285 + 87.5 + 0/4.25,0),0)</f>
        <v>216</v>
      </c>
      <c r="AQ96" s="1" t="n">
        <f aca="false">TblConstr[[#This Row],[build -db]]*TblConstr[[#This Row],[CPA Platinum -DB]] + TblConstr[[#This Row],[build db]]*TblConstr[[#This Row],[CPA Platinum DB]]</f>
        <v>0</v>
      </c>
      <c r="AR96" s="1" t="n">
        <f aca="false">TblConstr[[#This Row],[build -db]]*TblConstr[[#This Row],[CPA Lumber -DB]]+TblConstr[[#This Row],[build db]]*TblConstr[[#This Row],[CPA Lumber DB]]</f>
        <v>0</v>
      </c>
      <c r="AS96" s="69" t="n">
        <f aca="false">MIN(SUM(OFFSET(TblConstr[[#This Row],[Plain]:[Water]],-1,0))+SUM(TblConstr[[#This Row],[Dest Hom]:[Dest Doc]])+IF(TblConstr[[#This Row],[Hour]]&gt;12,SUM(OFFSET(TblExplore[[#This Row],[Plains Explore]:[Water Explore]],-12,0)),0),SUM(TblConstr[[#This Row],[Hom]:[Doc]]))</f>
        <v>0</v>
      </c>
      <c r="AT9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32"/>
      <c r="AV96" s="69" t="n">
        <f aca="false">ROUND((TblConstr[[#This Row],[Land]]-250 - IF(TblExplore[[#This Row],[Land Bonus]]&lt;&gt;0,20,0))*1.25 + 850 + 0,0)</f>
        <v>1413</v>
      </c>
      <c r="AW96" s="69" t="n">
        <f aca="false">ROUND((TblConstr[[#This Row],[Land]]-250 - IF(TblExplore[[#This Row],[Land Bonus]]&lt;&gt;0,20,0))*0.285 + 87.5 + 0/4.25,0)</f>
        <v>216</v>
      </c>
      <c r="AX96" s="146"/>
      <c r="AY96" s="203" t="n">
        <f aca="false" t="array" ref="AY96:AY96">IF(TblConstr[[#This Row],[Hour]:[Hour]]&gt;12,OFFSET(TblConstr[[#This Row],[Hom]],-12,0),0)+OFFSET(TblConstr[[#This Row],[Tot Hom]],-1,0)-TblConstr[[#This Row],[Dest Hom]]</f>
        <v>40</v>
      </c>
      <c r="AZ96" s="204" t="n">
        <f aca="false" t="array" ref="AZ96:AZ96">IF(TblConstr[[#This Row],[Hour]:[Hour]]&gt;12,OFFSET(TblConstr[[#This Row],[Alc]],-12,0),0)+OFFSET(TblConstr[[#This Row],[Tot Alc]],-1,0)-TblConstr[[#This Row],[Dest Alc]]</f>
        <v>275</v>
      </c>
      <c r="BA96" s="204" t="n">
        <f aca="false" t="array" ref="BA96:BA96">IF(TblConstr[[#This Row],[Hour]:[Hour]]&gt;12,OFFSET(TblConstr[[#This Row],[Far]],-12,0),0)+OFFSET(TblConstr[[#This Row],[Tot Farm]],-1,0)-TblConstr[[#This Row],[Dest Farm]]</f>
        <v>29</v>
      </c>
      <c r="BB96" s="204" t="n">
        <f aca="false" t="array" ref="BB96:BB96">IF(TblConstr[[#This Row],[Hour]:[Hour]]&gt;12,OFFSET(TblConstr[[#This Row],[Smi]],-12,0),0)+OFFSET(TblConstr[[#This Row],[Tot Smi]],-1,0)-TblConstr[[#This Row],[Dest Smi]]</f>
        <v>126</v>
      </c>
      <c r="BC96" s="204" t="n">
        <f aca="false" t="array" ref="BC96:BC96">IF(TblConstr[[#This Row],[Hour]:[Hour]]&gt;12,OFFSET(TblConstr[[#This Row],[Mas]],-12,0),0)+OFFSET(TblConstr[[#This Row],[Tot Mas]],-1,0)-TblConstr[[#This Row],[Dest Mas]]</f>
        <v>0</v>
      </c>
      <c r="BD96" s="205" t="n">
        <f aca="false" t="array" ref="BD96:BD96">IF(TblConstr[[#This Row],[Hour]:[Hour]]&gt;12,OFFSET(TblConstr[[#This Row],[Ly]],-12,0),0)+OFFSET(TblConstr[[#This Row],[Tot Ly]],-1,0)-TblConstr[[#This Row],[Dest Ly]]</f>
        <v>25</v>
      </c>
      <c r="BE96" s="205" t="n">
        <f aca="false" t="array" ref="BE96:BE96">IF(TblConstr[[#This Row],[Hour]:[Hour]]&gt;12,OFFSET(TblConstr[[#This Row],[Hav]],-12,0),0)+OFFSET(TblConstr[[#This Row],[Tot Hav]],-1,0)-TblConstr[[#This Row],[Dest Hav]]</f>
        <v>0</v>
      </c>
      <c r="BF96" s="194" t="n">
        <f aca="false" t="array" ref="BF96:BF96">IF(TblConstr[[#This Row],[Hour]:[Hour]]&gt;12,OFFSET(TblConstr[[#This Row],[OM]],-12,0),0)+OFFSET(TblConstr[[#This Row],[Tot OM]],-1,0)-TblConstr[[#This Row],[Dest OM]]</f>
        <v>0</v>
      </c>
      <c r="BG96" s="194" t="n">
        <f aca="false" t="array" ref="BG96:BG96">IF(TblConstr[[#This Row],[Hour]:[Hour]]&gt;12,OFFSET(TblConstr[[#This Row],[GN]],-12,0),0)+OFFSET(TblConstr[[#This Row],[Tot GN]],-1,0)-TblConstr[[#This Row],[Dest GN]]</f>
        <v>0</v>
      </c>
      <c r="BH96" s="206" t="n">
        <f aca="false" t="array" ref="BH96:BH96">IF(TblConstr[[#This Row],[Hour]:[Hour]]&gt;12,OFFSET(TblConstr[[#This Row],[Fac]],-12,0),0)+OFFSET(TblConstr[[#This Row],[Tot Fac]],-1,0)-TblConstr[[#This Row],[Dest Fac]]</f>
        <v>0</v>
      </c>
      <c r="BI96" s="206" t="n">
        <f aca="false" t="array" ref="BI96:BI96">IF(TblConstr[[#This Row],[Hour]:[Hour]]&gt;12,OFFSET(TblConstr[[#This Row],[GT]],-12,0),0)+OFFSET(TblConstr[[#This Row],[Tot GT]],-1,0)-TblConstr[[#This Row],[Dest GT]]</f>
        <v>55</v>
      </c>
      <c r="BJ96" s="206" t="n">
        <f aca="false" t="array" ref="BJ96:BJ96">IF(TblConstr[[#This Row],[Hour]:[Hour]]&gt;12,OFFSET(TblConstr[[#This Row],[Bar]],-12,0),0)+OFFSET(TblConstr[[#This Row],[Tot Bar]],-1,0)-TblConstr[[#This Row],[Dest Bar]]</f>
        <v>50</v>
      </c>
      <c r="BK96" s="206" t="n">
        <f aca="false" t="array" ref="BK96:BK96">IF(TblConstr[[#This Row],[Hour]:[Hour]]&gt;12,OFFSET(TblConstr[[#This Row],[Shr]],-12,0),0)+OFFSET(TblConstr[[#This Row],[Tot Shr]],-1,0)-TblConstr[[#This Row],[Dest Shr]]</f>
        <v>0</v>
      </c>
      <c r="BL96" s="207" t="n">
        <f aca="false" t="array" ref="BL96:BL96">IF(TblConstr[[#This Row],[Hour]:[Hour]]&gt;12,OFFSET(TblConstr[[#This Row],[Tow]],-12,0),0)+OFFSET(TblConstr[[#This Row],[Tot Tow]],-1,0)-TblConstr[[#This Row],[Dest Tow]]</f>
        <v>29</v>
      </c>
      <c r="BM96" s="207" t="n">
        <f aca="false" t="array" ref="BM96:BM96">IF(TblConstr[[#This Row],[Hour]:[Hour]]&gt;12,OFFSET(TblConstr[[#This Row],[Tem]],-12,0),0)+OFFSET(TblConstr[[#This Row],[Tot Tem]],-1,0)-TblConstr[[#This Row],[Dest Tem]]</f>
        <v>47</v>
      </c>
      <c r="BN96" s="207" t="n">
        <f aca="false" t="array" ref="BN96:BN96">IF(TblConstr[[#This Row],[Hour]:[Hour]]&gt;12,OFFSET(TblConstr[[#This Row],[WG]],-12,0),0)+OFFSET(TblConstr[[#This Row],[Tot WG]],-1,0)-TblConstr[[#This Row],[Dest WG]]</f>
        <v>0</v>
      </c>
      <c r="BO96" s="208" t="n">
        <f aca="false" t="array" ref="BO96:BO96">IF(TblConstr[[#This Row],[Hour]:[Hour]]&gt;12,OFFSET(TblConstr[[#This Row],[DM]],-12,0),0)+OFFSET(TblConstr[[#This Row],[Tot DM]],-1,0)-TblConstr[[#This Row],[Dest DM]]</f>
        <v>0</v>
      </c>
      <c r="BP96" s="208" t="n">
        <f aca="false" t="array" ref="BP96:BP96">IF(TblConstr[[#This Row],[Hour]:[Hour]]&gt;12,OFFSET(TblConstr[[#This Row],[Sch]],-12,0),0)+OFFSET(TblConstr[[#This Row],[Tot Sch]],-1,0)-TblConstr[[#This Row],[Dest Sch]]</f>
        <v>0</v>
      </c>
      <c r="BQ96" s="209" t="n">
        <f aca="false" t="array" ref="BQ96:BQ96">IF(TblConstr[[#This Row],[Hour]:[Hour]]&gt;12,OFFSET(TblConstr[[#This Row],[Doc]],-12,0),0)+OFFSET(TblConstr[[#This Row],[Tot Doc]],-1,0)-TblConstr[[#This Row],[Dest Doc]]</f>
        <v>24</v>
      </c>
      <c r="BR96" s="132"/>
      <c r="BS96" s="146"/>
      <c r="BT96" s="69" t="n">
        <f aca="false">TblConstr[[#This Row],[Land]]</f>
        <v>700</v>
      </c>
      <c r="BU96" s="153" t="n">
        <f aca="false">TblImps[[#This Row],[Time]]</f>
        <v>45433.5833333333</v>
      </c>
      <c r="BV96" s="132"/>
      <c r="BW96" s="182"/>
      <c r="BX96" s="182"/>
      <c r="BY96" s="182"/>
      <c r="BZ96" s="182"/>
      <c r="CA96" s="182"/>
      <c r="CB96" s="182"/>
      <c r="CC96" s="182"/>
      <c r="CD96" s="182"/>
      <c r="CE96" s="182"/>
      <c r="CF96" s="182"/>
      <c r="CG96" s="182"/>
      <c r="CH96" s="182"/>
      <c r="CI96" s="182"/>
      <c r="CJ96" s="182"/>
      <c r="CK96" s="182"/>
      <c r="CL96" s="182"/>
      <c r="CM96" s="182"/>
      <c r="CN96" s="182"/>
      <c r="CO96" s="182"/>
      <c r="CP96" s="132"/>
      <c r="CQ96" s="192" t="n">
        <f aca="false">-SUM(TblConstr[[#This Row],[Alc]:[Mas]])+SUM(TblConstr[[#This Row],[Dest Alc]:[Dest Mas]])+Rezone!L96+IF("Ch_"&amp; home_land=TblConstr[[#Headers],[Ch_Plain]],TblConstr[[#This Row],[Home Land]])+IF(TblConstr[[#This Row],[Hour]:[Hour]]&gt;12,OFFSET(TblExplore[[#This Row],[Plains Explore]],-12,0),0)</f>
        <v>0</v>
      </c>
      <c r="CR96" s="193" t="n">
        <f aca="false">-SUM(TblConstr[[#This Row],[Ly]:[Hav]])+SUM(TblConstr[[#This Row],[Dest Ly]:[Dest Hav]]) +Rezone!M96 + IF("Ch_"&amp; home_land=TblConstr[[#Headers],[Ch_Forest]],TblConstr[[#This Row],[Home Land]])+IF(TblConstr[[#This Row],[Hour]:[Hour]]&gt;12,OFFSET(TblExplore[[#This Row],[Forest Explore]],-12,0),0)</f>
        <v>0</v>
      </c>
      <c r="CS96" s="200" t="n">
        <f aca="false">-SUM(TblConstr[[#This Row],[OM]:[GN]])+SUM(TblConstr[[#This Row],[Dest OM]:[Dest GN]]) +Rezone!N96 + IF("Ch_"&amp; home_land=TblConstr[[#Headers],[Ch_Mountain]],TblConstr[[#This Row],[Home Land]])+IF(TblConstr[[#This Row],[Hour]:[Hour]]&gt;12,OFFSET(TblExplore[[#This Row],[Mountain Explore]],-12,0),0)</f>
        <v>0</v>
      </c>
      <c r="CT96" s="195" t="n">
        <f aca="false">-SUM(TblConstr[[#This Row],[Fac]:[Shr]])+SUM(TblConstr[[#This Row],[Dest Fac]:[Dest Shr]]) +Rezone!O96 + IF("Ch_" &amp; home_land=TblConstr[[#Headers],[Ch_Hill]],TblConstr[[#This Row],[Home Land]])+IF(TblConstr[[#This Row],[Hour]:[Hour]]&gt;12,OFFSET(TblExplore[[#This Row],[Hill Explore]],-12,0),0)</f>
        <v>0</v>
      </c>
      <c r="CU96" s="196" t="n">
        <f aca="false">-SUM(TblConstr[[#This Row],[Tow]:[WG]])+SUM(TblConstr[[#This Row],[Dest Tow]:[Dest WG]]) +Rezone!P96 + IF("Ch_" &amp; home_land=TblConstr[[#Headers],[Ch_Swamp]],TblConstr[[#This Row],[Home Land]])+IF(TblConstr[[#This Row],[Hour]:[Hour]]&gt;12,OFFSET(TblExplore[[#This Row],[Swamp Explore]],-12,0),0)</f>
        <v>0</v>
      </c>
      <c r="CV96" s="197" t="n">
        <f aca="false">- SUM(TblConstr[[#This Row],[DM]:[Sch]])+SUM(TblConstr[[#This Row],[Dest DM]:[Dest Sch]]) +Rezone!Q96 + IF("Ch_" &amp; home_land=TblConstr[[#Headers],[Ch_Cavern]],TblConstr[[#This Row],[Home Land]])+IF(TblConstr[[#This Row],[Hour]:[Hour]]&gt;12,OFFSET(TblExplore[[#This Row],[Cavern Explore]],-12,0),0)</f>
        <v>0</v>
      </c>
      <c r="CW96" s="198" t="n">
        <f aca="false">-TblConstr[[#This Row],[Doc]]+TblConstr[[#This Row],[Dest Doc]] +Rezone!R96 + IF("Ch_" &amp; home_land=TblConstr[[#Headers],[Ch_Water]],TblConstr[[#This Row],[Home Land]])+IF(TblConstr[[#This Row],[Hour]:[Hour]]&gt;12,OFFSET(TblExplore[[#This Row],[Water Explore]],-12,0),0)</f>
        <v>0</v>
      </c>
      <c r="CX96" s="1" t="n">
        <f aca="false">IF(Explore!S96=1,20) - TblConstr[[#This Row],[Hom]] + TblConstr[[#This Row],[Dest Hom]]</f>
        <v>0</v>
      </c>
      <c r="CY96" s="132"/>
      <c r="CZ96" s="69" t="n">
        <f aca="false">G96+SUM(P85:S96)+SUM(AZ96:BC96)</f>
        <v>430</v>
      </c>
      <c r="DA96" s="69" t="n">
        <f aca="false">H96+SUM(T85:U96)+SUM(BD96:BE96)</f>
        <v>25</v>
      </c>
      <c r="DB96" s="1" t="n">
        <f aca="false">I96+SUM(V85:W96)+SUM(BF96:BG96)</f>
        <v>0</v>
      </c>
      <c r="DC96" s="69" t="n">
        <f aca="false">J96+SUM(X85:Y96)+SUM(BH96:BI96)</f>
        <v>55</v>
      </c>
      <c r="DD96" s="69" t="n">
        <f aca="false">K96+SUM(AB85:AD96)+SUM(BL96:BN96)</f>
        <v>76</v>
      </c>
      <c r="DE96" s="1" t="n">
        <f aca="false">L96+SUM(AE85:AE96)+BO96</f>
        <v>0</v>
      </c>
      <c r="DF96" s="69" t="n">
        <f aca="false">M96+SUM(AG85:AG96)+BQ96</f>
        <v>24</v>
      </c>
      <c r="DG96" s="69" t="e">
        <f aca="false" t="array" ref="DG96:DG96">INDEX(TblConstr[[Total Plain]:[Total Water]],ROW()-ROW(TblConstr[#headers]),MATCH("Total "&amp;home_land,TblConstr[[#Headers],[Total Plain]:[Total Water]],0))+TblConstr[[#This Row],[Homes]]</f>
        <v>#VALUE!</v>
      </c>
      <c r="DH96" s="1" t="n">
        <f aca="false">SUM(O85:O96)+AY96</f>
        <v>40</v>
      </c>
      <c r="DI96" s="1" t="n">
        <f aca="false">MAX(BA96-BA95,0)</f>
        <v>0</v>
      </c>
      <c r="DJ96" s="1" t="n">
        <f aca="false">MAX(BQ96-BQ95,0)</f>
        <v>0</v>
      </c>
    </row>
    <row r="97" customFormat="false" ht="12.75" hidden="false" customHeight="false" outlineLevel="0" collapsed="false">
      <c r="A97" s="170" t="n">
        <f aca="false">TblRezone[[#This Row],[Hour]]</f>
        <v>94</v>
      </c>
      <c r="B97" s="171" t="n">
        <f aca="false">SUM(TblConstr[[#This Row],[Plain]:[Water]])</f>
        <v>0</v>
      </c>
      <c r="C97" s="172" t="n">
        <f aca="false">SUM(TblConstr[[#This Row],[Tot Hom]:[Tot Doc]])</f>
        <v>700</v>
      </c>
      <c r="D97" s="172" t="n">
        <f aca="false">SUM(O86:AG97)</f>
        <v>0</v>
      </c>
      <c r="E97" s="173"/>
      <c r="F97" s="33" t="n">
        <f aca="false">TblConstr[[#This Row],[Barren]]+TblConstr[[#This Row],[Buildings]]+TblConstr[[#This Row],[Incoming]]</f>
        <v>700</v>
      </c>
      <c r="G97" s="199" t="n">
        <f aca="false">OFFSET(TblConstr[[#This Row],[Plain]],-1,0)+TblConstr[[#This Row],[Ch_Plain]]</f>
        <v>0</v>
      </c>
      <c r="H97" s="193" t="n">
        <f aca="false">OFFSET(TblConstr[[#This Row],[Forest]],-1,0)+TblConstr[[#This Row],[Ch_Forest]]</f>
        <v>0</v>
      </c>
      <c r="I97" s="200" t="n">
        <f aca="false">OFFSET(TblConstr[[#This Row],[Mountain]],-1,0)+TblConstr[[#This Row],[Ch_Mountain]]</f>
        <v>0</v>
      </c>
      <c r="J97" s="201" t="n">
        <f aca="false">OFFSET(TblConstr[[#This Row],[Hill]],-1,0)+TblConstr[[#This Row],[Ch_Hill]]</f>
        <v>0</v>
      </c>
      <c r="K97" s="202" t="n">
        <f aca="false">OFFSET(TblConstr[[#This Row],[Swamp]],-1,0)+TblConstr[[#This Row],[Ch_Swamp]]</f>
        <v>0</v>
      </c>
      <c r="L97" s="197" t="n">
        <f aca="false">OFFSET(TblConstr[[#This Row],[Cavern]],-1,0)+TblConstr[[#This Row],[Ch_Cavern]]</f>
        <v>0</v>
      </c>
      <c r="M97" s="198" t="n">
        <f aca="false">OFFSET(TblConstr[[#This Row],[Water]],-1,0)+TblConstr[[#This Row],[Ch_Water]]</f>
        <v>0</v>
      </c>
      <c r="N97" s="181" t="n">
        <f aca="false">TblRezone[[#This Row],[Hour]]</f>
        <v>94</v>
      </c>
      <c r="O97" s="182"/>
      <c r="P97" s="182"/>
      <c r="Q97" s="182"/>
      <c r="R97" s="152"/>
      <c r="S97" s="182"/>
      <c r="T97" s="182"/>
      <c r="U97" s="182"/>
      <c r="V97" s="182"/>
      <c r="W97" s="182"/>
      <c r="X97" s="182"/>
      <c r="Y97" s="182"/>
      <c r="Z97" s="182"/>
      <c r="AA97" s="182"/>
      <c r="AB97" s="182"/>
      <c r="AC97" s="182"/>
      <c r="AD97" s="182"/>
      <c r="AE97" s="182"/>
      <c r="AF97" s="182"/>
      <c r="AG97" s="182"/>
      <c r="AH97" s="20" t="n">
        <f aca="false">TblImps[[#This Row],[Time]]</f>
        <v>45433.625</v>
      </c>
      <c r="AI97" s="130" t="n">
        <f aca="false">MIN(25%,(TblConstr[[#This Row],[Tot Fac]]+TblConstr[[#This Row],[Dest Fac]])/(TblConstr[[#This Row],[Land]]-TblExplore[[#This Row],[Land Bonus]]*20))</f>
        <v>0</v>
      </c>
      <c r="AJ97" s="130" t="n">
        <f aca="false">MIN(25%,(TblConstr[[#This Row],[Tot Fac]]+TblConstr[[#This Row],[Dest Fac]])/TblConstr[[#This Row],[Land]])</f>
        <v>0</v>
      </c>
      <c r="AK97" s="69" t="n">
        <f aca="false">TblProd[[#This Row],[Platinum]]</f>
        <v>900677</v>
      </c>
      <c r="AL97" s="69" t="n">
        <f aca="false">TblProd[[#This Row],[Lumber]]</f>
        <v>32778</v>
      </c>
      <c r="AM9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7" s="69" t="n">
        <f aca="false">ROUNDDOWN( MAX(1 - MIN(facs_constr_factor*TblConstr[[#This Row],[Facs -DB]],facs_constr_max) + tech_1_11*TblTech[[#This Row],[11-1]] + tech_6_3_2*TblTech[[#This Row],[6-3]] + tech_5_2_3*TblTech[[#This Row],[5-2]], 1-global_constr_cap) * TblConstr[[#This Row],[RCPA Lumber]],0)</f>
        <v>216</v>
      </c>
      <c r="AO9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7" s="69" t="n">
        <f aca="false">ROUNDDOWN( MAX(1 - MIN(facs_constr_factor*TblConstr[[#This Row],[Facs DB]],facs_constr_max) + tech_1_11*TblTech[[#This Row],[1-11]] + tech_6_3_2*TblTech[[#This Row],[6-3]] + tech_5_2_3*TblTech[[#This Row],[5-2]], 1-global_constr_cap) * ROUND((TblConstr[[#This Row],[Land]]-250)*0.285 + 87.5 + 0/4.25,0),0)</f>
        <v>216</v>
      </c>
      <c r="AQ97" s="1" t="n">
        <f aca="false">TblConstr[[#This Row],[build -db]]*TblConstr[[#This Row],[CPA Platinum -DB]] + TblConstr[[#This Row],[build db]]*TblConstr[[#This Row],[CPA Platinum DB]]</f>
        <v>0</v>
      </c>
      <c r="AR97" s="1" t="n">
        <f aca="false">TblConstr[[#This Row],[build -db]]*TblConstr[[#This Row],[CPA Lumber -DB]]+TblConstr[[#This Row],[build db]]*TblConstr[[#This Row],[CPA Lumber DB]]</f>
        <v>0</v>
      </c>
      <c r="AS97" s="69" t="n">
        <f aca="false">MIN(SUM(OFFSET(TblConstr[[#This Row],[Plain]:[Water]],-1,0))+SUM(TblConstr[[#This Row],[Dest Hom]:[Dest Doc]])+IF(TblConstr[[#This Row],[Hour]]&gt;12,SUM(OFFSET(TblExplore[[#This Row],[Plains Explore]:[Water Explore]],-12,0)),0),SUM(TblConstr[[#This Row],[Hom]:[Doc]]))</f>
        <v>0</v>
      </c>
      <c r="AT9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32"/>
      <c r="AV97" s="69" t="n">
        <f aca="false">ROUND((TblConstr[[#This Row],[Land]]-250 - IF(TblExplore[[#This Row],[Land Bonus]]&lt;&gt;0,20,0))*1.25 + 850 + 0,0)</f>
        <v>1413</v>
      </c>
      <c r="AW97" s="69" t="n">
        <f aca="false">ROUND((TblConstr[[#This Row],[Land]]-250 - IF(TblExplore[[#This Row],[Land Bonus]]&lt;&gt;0,20,0))*0.285 + 87.5 + 0/4.25,0)</f>
        <v>216</v>
      </c>
      <c r="AX97" s="146"/>
      <c r="AY97" s="203" t="n">
        <f aca="false" t="array" ref="AY97:AY97">IF(TblConstr[[#This Row],[Hour]:[Hour]]&gt;12,OFFSET(TblConstr[[#This Row],[Hom]],-12,0),0)+OFFSET(TblConstr[[#This Row],[Tot Hom]],-1,0)-TblConstr[[#This Row],[Dest Hom]]</f>
        <v>40</v>
      </c>
      <c r="AZ97" s="204" t="n">
        <f aca="false" t="array" ref="AZ97:AZ97">IF(TblConstr[[#This Row],[Hour]:[Hour]]&gt;12,OFFSET(TblConstr[[#This Row],[Alc]],-12,0),0)+OFFSET(TblConstr[[#This Row],[Tot Alc]],-1,0)-TblConstr[[#This Row],[Dest Alc]]</f>
        <v>275</v>
      </c>
      <c r="BA97" s="204" t="n">
        <f aca="false" t="array" ref="BA97:BA97">IF(TblConstr[[#This Row],[Hour]:[Hour]]&gt;12,OFFSET(TblConstr[[#This Row],[Far]],-12,0),0)+OFFSET(TblConstr[[#This Row],[Tot Farm]],-1,0)-TblConstr[[#This Row],[Dest Farm]]</f>
        <v>29</v>
      </c>
      <c r="BB97" s="204" t="n">
        <f aca="false" t="array" ref="BB97:BB97">IF(TblConstr[[#This Row],[Hour]:[Hour]]&gt;12,OFFSET(TblConstr[[#This Row],[Smi]],-12,0),0)+OFFSET(TblConstr[[#This Row],[Tot Smi]],-1,0)-TblConstr[[#This Row],[Dest Smi]]</f>
        <v>126</v>
      </c>
      <c r="BC97" s="204" t="n">
        <f aca="false" t="array" ref="BC97:BC97">IF(TblConstr[[#This Row],[Hour]:[Hour]]&gt;12,OFFSET(TblConstr[[#This Row],[Mas]],-12,0),0)+OFFSET(TblConstr[[#This Row],[Tot Mas]],-1,0)-TblConstr[[#This Row],[Dest Mas]]</f>
        <v>0</v>
      </c>
      <c r="BD97" s="205" t="n">
        <f aca="false" t="array" ref="BD97:BD97">IF(TblConstr[[#This Row],[Hour]:[Hour]]&gt;12,OFFSET(TblConstr[[#This Row],[Ly]],-12,0),0)+OFFSET(TblConstr[[#This Row],[Tot Ly]],-1,0)-TblConstr[[#This Row],[Dest Ly]]</f>
        <v>25</v>
      </c>
      <c r="BE97" s="205" t="n">
        <f aca="false" t="array" ref="BE97:BE97">IF(TblConstr[[#This Row],[Hour]:[Hour]]&gt;12,OFFSET(TblConstr[[#This Row],[Hav]],-12,0),0)+OFFSET(TblConstr[[#This Row],[Tot Hav]],-1,0)-TblConstr[[#This Row],[Dest Hav]]</f>
        <v>0</v>
      </c>
      <c r="BF97" s="194" t="n">
        <f aca="false" t="array" ref="BF97:BF97">IF(TblConstr[[#This Row],[Hour]:[Hour]]&gt;12,OFFSET(TblConstr[[#This Row],[OM]],-12,0),0)+OFFSET(TblConstr[[#This Row],[Tot OM]],-1,0)-TblConstr[[#This Row],[Dest OM]]</f>
        <v>0</v>
      </c>
      <c r="BG97" s="194" t="n">
        <f aca="false" t="array" ref="BG97:BG97">IF(TblConstr[[#This Row],[Hour]:[Hour]]&gt;12,OFFSET(TblConstr[[#This Row],[GN]],-12,0),0)+OFFSET(TblConstr[[#This Row],[Tot GN]],-1,0)-TblConstr[[#This Row],[Dest GN]]</f>
        <v>0</v>
      </c>
      <c r="BH97" s="206" t="n">
        <f aca="false" t="array" ref="BH97:BH97">IF(TblConstr[[#This Row],[Hour]:[Hour]]&gt;12,OFFSET(TblConstr[[#This Row],[Fac]],-12,0),0)+OFFSET(TblConstr[[#This Row],[Tot Fac]],-1,0)-TblConstr[[#This Row],[Dest Fac]]</f>
        <v>0</v>
      </c>
      <c r="BI97" s="206" t="n">
        <f aca="false" t="array" ref="BI97:BI97">IF(TblConstr[[#This Row],[Hour]:[Hour]]&gt;12,OFFSET(TblConstr[[#This Row],[GT]],-12,0),0)+OFFSET(TblConstr[[#This Row],[Tot GT]],-1,0)-TblConstr[[#This Row],[Dest GT]]</f>
        <v>55</v>
      </c>
      <c r="BJ97" s="206" t="n">
        <f aca="false" t="array" ref="BJ97:BJ97">IF(TblConstr[[#This Row],[Hour]:[Hour]]&gt;12,OFFSET(TblConstr[[#This Row],[Bar]],-12,0),0)+OFFSET(TblConstr[[#This Row],[Tot Bar]],-1,0)-TblConstr[[#This Row],[Dest Bar]]</f>
        <v>50</v>
      </c>
      <c r="BK97" s="206" t="n">
        <f aca="false" t="array" ref="BK97:BK97">IF(TblConstr[[#This Row],[Hour]:[Hour]]&gt;12,OFFSET(TblConstr[[#This Row],[Shr]],-12,0),0)+OFFSET(TblConstr[[#This Row],[Tot Shr]],-1,0)-TblConstr[[#This Row],[Dest Shr]]</f>
        <v>0</v>
      </c>
      <c r="BL97" s="207" t="n">
        <f aca="false" t="array" ref="BL97:BL97">IF(TblConstr[[#This Row],[Hour]:[Hour]]&gt;12,OFFSET(TblConstr[[#This Row],[Tow]],-12,0),0)+OFFSET(TblConstr[[#This Row],[Tot Tow]],-1,0)-TblConstr[[#This Row],[Dest Tow]]</f>
        <v>29</v>
      </c>
      <c r="BM97" s="207" t="n">
        <f aca="false" t="array" ref="BM97:BM97">IF(TblConstr[[#This Row],[Hour]:[Hour]]&gt;12,OFFSET(TblConstr[[#This Row],[Tem]],-12,0),0)+OFFSET(TblConstr[[#This Row],[Tot Tem]],-1,0)-TblConstr[[#This Row],[Dest Tem]]</f>
        <v>47</v>
      </c>
      <c r="BN97" s="207" t="n">
        <f aca="false" t="array" ref="BN97:BN97">IF(TblConstr[[#This Row],[Hour]:[Hour]]&gt;12,OFFSET(TblConstr[[#This Row],[WG]],-12,0),0)+OFFSET(TblConstr[[#This Row],[Tot WG]],-1,0)-TblConstr[[#This Row],[Dest WG]]</f>
        <v>0</v>
      </c>
      <c r="BO97" s="208" t="n">
        <f aca="false" t="array" ref="BO97:BO97">IF(TblConstr[[#This Row],[Hour]:[Hour]]&gt;12,OFFSET(TblConstr[[#This Row],[DM]],-12,0),0)+OFFSET(TblConstr[[#This Row],[Tot DM]],-1,0)-TblConstr[[#This Row],[Dest DM]]</f>
        <v>0</v>
      </c>
      <c r="BP97" s="208" t="n">
        <f aca="false" t="array" ref="BP97:BP97">IF(TblConstr[[#This Row],[Hour]:[Hour]]&gt;12,OFFSET(TblConstr[[#This Row],[Sch]],-12,0),0)+OFFSET(TblConstr[[#This Row],[Tot Sch]],-1,0)-TblConstr[[#This Row],[Dest Sch]]</f>
        <v>0</v>
      </c>
      <c r="BQ97" s="209" t="n">
        <f aca="false" t="array" ref="BQ97:BQ97">IF(TblConstr[[#This Row],[Hour]:[Hour]]&gt;12,OFFSET(TblConstr[[#This Row],[Doc]],-12,0),0)+OFFSET(TblConstr[[#This Row],[Tot Doc]],-1,0)-TblConstr[[#This Row],[Dest Doc]]</f>
        <v>24</v>
      </c>
      <c r="BR97" s="132"/>
      <c r="BS97" s="146"/>
      <c r="BT97" s="69" t="n">
        <f aca="false">TblConstr[[#This Row],[Land]]</f>
        <v>700</v>
      </c>
      <c r="BU97" s="153" t="n">
        <f aca="false">TblImps[[#This Row],[Time]]</f>
        <v>45433.625</v>
      </c>
      <c r="BV97" s="132"/>
      <c r="BW97" s="182"/>
      <c r="BX97" s="182"/>
      <c r="BY97" s="182"/>
      <c r="BZ97" s="182"/>
      <c r="CA97" s="182"/>
      <c r="CB97" s="182"/>
      <c r="CC97" s="182"/>
      <c r="CD97" s="182"/>
      <c r="CE97" s="182"/>
      <c r="CF97" s="182"/>
      <c r="CG97" s="182"/>
      <c r="CH97" s="182"/>
      <c r="CI97" s="182"/>
      <c r="CJ97" s="182"/>
      <c r="CK97" s="182"/>
      <c r="CL97" s="182"/>
      <c r="CM97" s="182"/>
      <c r="CN97" s="182"/>
      <c r="CO97" s="182"/>
      <c r="CP97" s="132"/>
      <c r="CQ97" s="192" t="n">
        <f aca="false">-SUM(TblConstr[[#This Row],[Alc]:[Mas]])+SUM(TblConstr[[#This Row],[Dest Alc]:[Dest Mas]])+Rezone!L97+IF("Ch_"&amp; home_land=TblConstr[[#Headers],[Ch_Plain]],TblConstr[[#This Row],[Home Land]])+IF(TblConstr[[#This Row],[Hour]:[Hour]]&gt;12,OFFSET(TblExplore[[#This Row],[Plains Explore]],-12,0),0)</f>
        <v>0</v>
      </c>
      <c r="CR97" s="193" t="n">
        <f aca="false">-SUM(TblConstr[[#This Row],[Ly]:[Hav]])+SUM(TblConstr[[#This Row],[Dest Ly]:[Dest Hav]]) +Rezone!M97 + IF("Ch_"&amp; home_land=TblConstr[[#Headers],[Ch_Forest]],TblConstr[[#This Row],[Home Land]])+IF(TblConstr[[#This Row],[Hour]:[Hour]]&gt;12,OFFSET(TblExplore[[#This Row],[Forest Explore]],-12,0),0)</f>
        <v>0</v>
      </c>
      <c r="CS97" s="200" t="n">
        <f aca="false">-SUM(TblConstr[[#This Row],[OM]:[GN]])+SUM(TblConstr[[#This Row],[Dest OM]:[Dest GN]]) +Rezone!N97 + IF("Ch_"&amp; home_land=TblConstr[[#Headers],[Ch_Mountain]],TblConstr[[#This Row],[Home Land]])+IF(TblConstr[[#This Row],[Hour]:[Hour]]&gt;12,OFFSET(TblExplore[[#This Row],[Mountain Explore]],-12,0),0)</f>
        <v>0</v>
      </c>
      <c r="CT97" s="195" t="n">
        <f aca="false">-SUM(TblConstr[[#This Row],[Fac]:[Shr]])+SUM(TblConstr[[#This Row],[Dest Fac]:[Dest Shr]]) +Rezone!O97 + IF("Ch_" &amp; home_land=TblConstr[[#Headers],[Ch_Hill]],TblConstr[[#This Row],[Home Land]])+IF(TblConstr[[#This Row],[Hour]:[Hour]]&gt;12,OFFSET(TblExplore[[#This Row],[Hill Explore]],-12,0),0)</f>
        <v>0</v>
      </c>
      <c r="CU97" s="196" t="n">
        <f aca="false">-SUM(TblConstr[[#This Row],[Tow]:[WG]])+SUM(TblConstr[[#This Row],[Dest Tow]:[Dest WG]]) +Rezone!P97 + IF("Ch_" &amp; home_land=TblConstr[[#Headers],[Ch_Swamp]],TblConstr[[#This Row],[Home Land]])+IF(TblConstr[[#This Row],[Hour]:[Hour]]&gt;12,OFFSET(TblExplore[[#This Row],[Swamp Explore]],-12,0),0)</f>
        <v>0</v>
      </c>
      <c r="CV97" s="197" t="n">
        <f aca="false">- SUM(TblConstr[[#This Row],[DM]:[Sch]])+SUM(TblConstr[[#This Row],[Dest DM]:[Dest Sch]]) +Rezone!Q97 + IF("Ch_" &amp; home_land=TblConstr[[#Headers],[Ch_Cavern]],TblConstr[[#This Row],[Home Land]])+IF(TblConstr[[#This Row],[Hour]:[Hour]]&gt;12,OFFSET(TblExplore[[#This Row],[Cavern Explore]],-12,0),0)</f>
        <v>0</v>
      </c>
      <c r="CW97" s="198" t="n">
        <f aca="false">-TblConstr[[#This Row],[Doc]]+TblConstr[[#This Row],[Dest Doc]] +Rezone!R97 + IF("Ch_" &amp; home_land=TblConstr[[#Headers],[Ch_Water]],TblConstr[[#This Row],[Home Land]])+IF(TblConstr[[#This Row],[Hour]:[Hour]]&gt;12,OFFSET(TblExplore[[#This Row],[Water Explore]],-12,0),0)</f>
        <v>0</v>
      </c>
      <c r="CX97" s="1" t="n">
        <f aca="false">IF(Explore!S97=1,20) - TblConstr[[#This Row],[Hom]] + TblConstr[[#This Row],[Dest Hom]]</f>
        <v>0</v>
      </c>
      <c r="CY97" s="132"/>
      <c r="CZ97" s="69" t="n">
        <f aca="false">G97+SUM(P86:S97)+SUM(AZ97:BC97)</f>
        <v>430</v>
      </c>
      <c r="DA97" s="69" t="n">
        <f aca="false">H97+SUM(T86:U97)+SUM(BD97:BE97)</f>
        <v>25</v>
      </c>
      <c r="DB97" s="1" t="n">
        <f aca="false">I97+SUM(V86:W97)+SUM(BF97:BG97)</f>
        <v>0</v>
      </c>
      <c r="DC97" s="69" t="n">
        <f aca="false">J97+SUM(X86:Y97)+SUM(BH97:BI97)</f>
        <v>55</v>
      </c>
      <c r="DD97" s="69" t="n">
        <f aca="false">K97+SUM(AB86:AD97)+SUM(BL97:BN97)</f>
        <v>76</v>
      </c>
      <c r="DE97" s="1" t="n">
        <f aca="false">L97+SUM(AE86:AE97)+BO97</f>
        <v>0</v>
      </c>
      <c r="DF97" s="69" t="n">
        <f aca="false">M97+SUM(AG86:AG97)+BQ97</f>
        <v>24</v>
      </c>
      <c r="DG97" s="69" t="e">
        <f aca="false" t="array" ref="DG97:DG97">INDEX(TblConstr[[Total Plain]:[Total Water]],ROW()-ROW(TblConstr[#headers]),MATCH("Total "&amp;home_land,TblConstr[[#Headers],[Total Plain]:[Total Water]],0))+TblConstr[[#This Row],[Homes]]</f>
        <v>#VALUE!</v>
      </c>
      <c r="DH97" s="1" t="n">
        <f aca="false">SUM(O86:O97)+AY97</f>
        <v>40</v>
      </c>
      <c r="DI97" s="1" t="n">
        <f aca="false">MAX(BA97-BA96,0)</f>
        <v>0</v>
      </c>
      <c r="DJ97" s="1" t="n">
        <f aca="false">MAX(BQ97-BQ96,0)</f>
        <v>0</v>
      </c>
    </row>
    <row r="98" customFormat="false" ht="12.75" hidden="false" customHeight="false" outlineLevel="0" collapsed="false">
      <c r="A98" s="170" t="n">
        <f aca="false">TblRezone[[#This Row],[Hour]]</f>
        <v>95</v>
      </c>
      <c r="B98" s="171" t="n">
        <f aca="false">SUM(TblConstr[[#This Row],[Plain]:[Water]])</f>
        <v>0</v>
      </c>
      <c r="C98" s="172" t="n">
        <f aca="false">SUM(TblConstr[[#This Row],[Tot Hom]:[Tot Doc]])</f>
        <v>700</v>
      </c>
      <c r="D98" s="172" t="n">
        <f aca="false">SUM(O87:AG98)</f>
        <v>0</v>
      </c>
      <c r="E98" s="173"/>
      <c r="F98" s="33" t="n">
        <f aca="false">TblConstr[[#This Row],[Barren]]+TblConstr[[#This Row],[Buildings]]+TblConstr[[#This Row],[Incoming]]</f>
        <v>700</v>
      </c>
      <c r="G98" s="199" t="n">
        <f aca="false">OFFSET(TblConstr[[#This Row],[Plain]],-1,0)+TblConstr[[#This Row],[Ch_Plain]]</f>
        <v>0</v>
      </c>
      <c r="H98" s="193" t="n">
        <f aca="false">OFFSET(TblConstr[[#This Row],[Forest]],-1,0)+TblConstr[[#This Row],[Ch_Forest]]</f>
        <v>0</v>
      </c>
      <c r="I98" s="200" t="n">
        <f aca="false">OFFSET(TblConstr[[#This Row],[Mountain]],-1,0)+TblConstr[[#This Row],[Ch_Mountain]]</f>
        <v>0</v>
      </c>
      <c r="J98" s="201" t="n">
        <f aca="false">OFFSET(TblConstr[[#This Row],[Hill]],-1,0)+TblConstr[[#This Row],[Ch_Hill]]</f>
        <v>0</v>
      </c>
      <c r="K98" s="202" t="n">
        <f aca="false">OFFSET(TblConstr[[#This Row],[Swamp]],-1,0)+TblConstr[[#This Row],[Ch_Swamp]]</f>
        <v>0</v>
      </c>
      <c r="L98" s="197" t="n">
        <f aca="false">OFFSET(TblConstr[[#This Row],[Cavern]],-1,0)+TblConstr[[#This Row],[Ch_Cavern]]</f>
        <v>0</v>
      </c>
      <c r="M98" s="198" t="n">
        <f aca="false">OFFSET(TblConstr[[#This Row],[Water]],-1,0)+TblConstr[[#This Row],[Ch_Water]]</f>
        <v>0</v>
      </c>
      <c r="N98" s="181" t="n">
        <f aca="false">TblRezone[[#This Row],[Hour]]</f>
        <v>95</v>
      </c>
      <c r="O98" s="182"/>
      <c r="P98" s="182"/>
      <c r="Q98" s="182"/>
      <c r="R98" s="152"/>
      <c r="S98" s="182"/>
      <c r="T98" s="182"/>
      <c r="U98" s="182"/>
      <c r="V98" s="182"/>
      <c r="W98" s="182"/>
      <c r="X98" s="182"/>
      <c r="Y98" s="182"/>
      <c r="Z98" s="182"/>
      <c r="AA98" s="182"/>
      <c r="AB98" s="182"/>
      <c r="AC98" s="182"/>
      <c r="AD98" s="182"/>
      <c r="AE98" s="182"/>
      <c r="AF98" s="182"/>
      <c r="AG98" s="182"/>
      <c r="AH98" s="20" t="n">
        <f aca="false">TblImps[[#This Row],[Time]]</f>
        <v>45433.6666666667</v>
      </c>
      <c r="AI98" s="130" t="n">
        <f aca="false">MIN(25%,(TblConstr[[#This Row],[Tot Fac]]+TblConstr[[#This Row],[Dest Fac]])/(TblConstr[[#This Row],[Land]]-TblExplore[[#This Row],[Land Bonus]]*20))</f>
        <v>0</v>
      </c>
      <c r="AJ98" s="130" t="n">
        <f aca="false">MIN(25%,(TblConstr[[#This Row],[Tot Fac]]+TblConstr[[#This Row],[Dest Fac]])/TblConstr[[#This Row],[Land]])</f>
        <v>0</v>
      </c>
      <c r="AK98" s="69" t="n">
        <f aca="false">TblProd[[#This Row],[Platinum]]</f>
        <v>942302</v>
      </c>
      <c r="AL98" s="69" t="n">
        <f aca="false">TblProd[[#This Row],[Lumber]]</f>
        <v>33575</v>
      </c>
      <c r="AM9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8" s="69" t="n">
        <f aca="false">ROUNDDOWN( MAX(1 - MIN(facs_constr_factor*TblConstr[[#This Row],[Facs -DB]],facs_constr_max) + tech_1_11*TblTech[[#This Row],[11-1]] + tech_6_3_2*TblTech[[#This Row],[6-3]] + tech_5_2_3*TblTech[[#This Row],[5-2]], 1-global_constr_cap) * TblConstr[[#This Row],[RCPA Lumber]],0)</f>
        <v>216</v>
      </c>
      <c r="AO9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8" s="69" t="n">
        <f aca="false">ROUNDDOWN( MAX(1 - MIN(facs_constr_factor*TblConstr[[#This Row],[Facs DB]],facs_constr_max) + tech_1_11*TblTech[[#This Row],[1-11]] + tech_6_3_2*TblTech[[#This Row],[6-3]] + tech_5_2_3*TblTech[[#This Row],[5-2]], 1-global_constr_cap) * ROUND((TblConstr[[#This Row],[Land]]-250)*0.285 + 87.5 + 0/4.25,0),0)</f>
        <v>216</v>
      </c>
      <c r="AQ98" s="1" t="n">
        <f aca="false">TblConstr[[#This Row],[build -db]]*TblConstr[[#This Row],[CPA Platinum -DB]] + TblConstr[[#This Row],[build db]]*TblConstr[[#This Row],[CPA Platinum DB]]</f>
        <v>0</v>
      </c>
      <c r="AR98" s="1" t="n">
        <f aca="false">TblConstr[[#This Row],[build -db]]*TblConstr[[#This Row],[CPA Lumber -DB]]+TblConstr[[#This Row],[build db]]*TblConstr[[#This Row],[CPA Lumber DB]]</f>
        <v>0</v>
      </c>
      <c r="AS98" s="69" t="n">
        <f aca="false">MIN(SUM(OFFSET(TblConstr[[#This Row],[Plain]:[Water]],-1,0))+SUM(TblConstr[[#This Row],[Dest Hom]:[Dest Doc]])+IF(TblConstr[[#This Row],[Hour]]&gt;12,SUM(OFFSET(TblExplore[[#This Row],[Plains Explore]:[Water Explore]],-12,0)),0),SUM(TblConstr[[#This Row],[Hom]:[Doc]]))</f>
        <v>0</v>
      </c>
      <c r="AT9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32"/>
      <c r="AV98" s="69" t="n">
        <f aca="false">ROUND((TblConstr[[#This Row],[Land]]-250 - IF(TblExplore[[#This Row],[Land Bonus]]&lt;&gt;0,20,0))*1.25 + 850 + 0,0)</f>
        <v>1413</v>
      </c>
      <c r="AW98" s="69" t="n">
        <f aca="false">ROUND((TblConstr[[#This Row],[Land]]-250 - IF(TblExplore[[#This Row],[Land Bonus]]&lt;&gt;0,20,0))*0.285 + 87.5 + 0/4.25,0)</f>
        <v>216</v>
      </c>
      <c r="AX98" s="146"/>
      <c r="AY98" s="203" t="n">
        <f aca="false" t="array" ref="AY98:AY98">IF(TblConstr[[#This Row],[Hour]:[Hour]]&gt;12,OFFSET(TblConstr[[#This Row],[Hom]],-12,0),0)+OFFSET(TblConstr[[#This Row],[Tot Hom]],-1,0)-TblConstr[[#This Row],[Dest Hom]]</f>
        <v>40</v>
      </c>
      <c r="AZ98" s="204" t="n">
        <f aca="false" t="array" ref="AZ98:AZ98">IF(TblConstr[[#This Row],[Hour]:[Hour]]&gt;12,OFFSET(TblConstr[[#This Row],[Alc]],-12,0),0)+OFFSET(TblConstr[[#This Row],[Tot Alc]],-1,0)-TblConstr[[#This Row],[Dest Alc]]</f>
        <v>275</v>
      </c>
      <c r="BA98" s="204" t="n">
        <f aca="false" t="array" ref="BA98:BA98">IF(TblConstr[[#This Row],[Hour]:[Hour]]&gt;12,OFFSET(TblConstr[[#This Row],[Far]],-12,0),0)+OFFSET(TblConstr[[#This Row],[Tot Farm]],-1,0)-TblConstr[[#This Row],[Dest Farm]]</f>
        <v>29</v>
      </c>
      <c r="BB98" s="204" t="n">
        <f aca="false" t="array" ref="BB98:BB98">IF(TblConstr[[#This Row],[Hour]:[Hour]]&gt;12,OFFSET(TblConstr[[#This Row],[Smi]],-12,0),0)+OFFSET(TblConstr[[#This Row],[Tot Smi]],-1,0)-TblConstr[[#This Row],[Dest Smi]]</f>
        <v>126</v>
      </c>
      <c r="BC98" s="204" t="n">
        <f aca="false" t="array" ref="BC98:BC98">IF(TblConstr[[#This Row],[Hour]:[Hour]]&gt;12,OFFSET(TblConstr[[#This Row],[Mas]],-12,0),0)+OFFSET(TblConstr[[#This Row],[Tot Mas]],-1,0)-TblConstr[[#This Row],[Dest Mas]]</f>
        <v>0</v>
      </c>
      <c r="BD98" s="205" t="n">
        <f aca="false" t="array" ref="BD98:BD98">IF(TblConstr[[#This Row],[Hour]:[Hour]]&gt;12,OFFSET(TblConstr[[#This Row],[Ly]],-12,0),0)+OFFSET(TblConstr[[#This Row],[Tot Ly]],-1,0)-TblConstr[[#This Row],[Dest Ly]]</f>
        <v>25</v>
      </c>
      <c r="BE98" s="205" t="n">
        <f aca="false" t="array" ref="BE98:BE98">IF(TblConstr[[#This Row],[Hour]:[Hour]]&gt;12,OFFSET(TblConstr[[#This Row],[Hav]],-12,0),0)+OFFSET(TblConstr[[#This Row],[Tot Hav]],-1,0)-TblConstr[[#This Row],[Dest Hav]]</f>
        <v>0</v>
      </c>
      <c r="BF98" s="194" t="n">
        <f aca="false" t="array" ref="BF98:BF98">IF(TblConstr[[#This Row],[Hour]:[Hour]]&gt;12,OFFSET(TblConstr[[#This Row],[OM]],-12,0),0)+OFFSET(TblConstr[[#This Row],[Tot OM]],-1,0)-TblConstr[[#This Row],[Dest OM]]</f>
        <v>0</v>
      </c>
      <c r="BG98" s="194" t="n">
        <f aca="false" t="array" ref="BG98:BG98">IF(TblConstr[[#This Row],[Hour]:[Hour]]&gt;12,OFFSET(TblConstr[[#This Row],[GN]],-12,0),0)+OFFSET(TblConstr[[#This Row],[Tot GN]],-1,0)-TblConstr[[#This Row],[Dest GN]]</f>
        <v>0</v>
      </c>
      <c r="BH98" s="206" t="n">
        <f aca="false" t="array" ref="BH98:BH98">IF(TblConstr[[#This Row],[Hour]:[Hour]]&gt;12,OFFSET(TblConstr[[#This Row],[Fac]],-12,0),0)+OFFSET(TblConstr[[#This Row],[Tot Fac]],-1,0)-TblConstr[[#This Row],[Dest Fac]]</f>
        <v>0</v>
      </c>
      <c r="BI98" s="206" t="n">
        <f aca="false" t="array" ref="BI98:BI98">IF(TblConstr[[#This Row],[Hour]:[Hour]]&gt;12,OFFSET(TblConstr[[#This Row],[GT]],-12,0),0)+OFFSET(TblConstr[[#This Row],[Tot GT]],-1,0)-TblConstr[[#This Row],[Dest GT]]</f>
        <v>55</v>
      </c>
      <c r="BJ98" s="206" t="n">
        <f aca="false" t="array" ref="BJ98:BJ98">IF(TblConstr[[#This Row],[Hour]:[Hour]]&gt;12,OFFSET(TblConstr[[#This Row],[Bar]],-12,0),0)+OFFSET(TblConstr[[#This Row],[Tot Bar]],-1,0)-TblConstr[[#This Row],[Dest Bar]]</f>
        <v>50</v>
      </c>
      <c r="BK98" s="206" t="n">
        <f aca="false" t="array" ref="BK98:BK98">IF(TblConstr[[#This Row],[Hour]:[Hour]]&gt;12,OFFSET(TblConstr[[#This Row],[Shr]],-12,0),0)+OFFSET(TblConstr[[#This Row],[Tot Shr]],-1,0)-TblConstr[[#This Row],[Dest Shr]]</f>
        <v>0</v>
      </c>
      <c r="BL98" s="207" t="n">
        <f aca="false" t="array" ref="BL98:BL98">IF(TblConstr[[#This Row],[Hour]:[Hour]]&gt;12,OFFSET(TblConstr[[#This Row],[Tow]],-12,0),0)+OFFSET(TblConstr[[#This Row],[Tot Tow]],-1,0)-TblConstr[[#This Row],[Dest Tow]]</f>
        <v>29</v>
      </c>
      <c r="BM98" s="207" t="n">
        <f aca="false" t="array" ref="BM98:BM98">IF(TblConstr[[#This Row],[Hour]:[Hour]]&gt;12,OFFSET(TblConstr[[#This Row],[Tem]],-12,0),0)+OFFSET(TblConstr[[#This Row],[Tot Tem]],-1,0)-TblConstr[[#This Row],[Dest Tem]]</f>
        <v>47</v>
      </c>
      <c r="BN98" s="207" t="n">
        <f aca="false" t="array" ref="BN98:BN98">IF(TblConstr[[#This Row],[Hour]:[Hour]]&gt;12,OFFSET(TblConstr[[#This Row],[WG]],-12,0),0)+OFFSET(TblConstr[[#This Row],[Tot WG]],-1,0)-TblConstr[[#This Row],[Dest WG]]</f>
        <v>0</v>
      </c>
      <c r="BO98" s="208" t="n">
        <f aca="false" t="array" ref="BO98:BO98">IF(TblConstr[[#This Row],[Hour]:[Hour]]&gt;12,OFFSET(TblConstr[[#This Row],[DM]],-12,0),0)+OFFSET(TblConstr[[#This Row],[Tot DM]],-1,0)-TblConstr[[#This Row],[Dest DM]]</f>
        <v>0</v>
      </c>
      <c r="BP98" s="208" t="n">
        <f aca="false" t="array" ref="BP98:BP98">IF(TblConstr[[#This Row],[Hour]:[Hour]]&gt;12,OFFSET(TblConstr[[#This Row],[Sch]],-12,0),0)+OFFSET(TblConstr[[#This Row],[Tot Sch]],-1,0)-TblConstr[[#This Row],[Dest Sch]]</f>
        <v>0</v>
      </c>
      <c r="BQ98" s="209" t="n">
        <f aca="false" t="array" ref="BQ98:BQ98">IF(TblConstr[[#This Row],[Hour]:[Hour]]&gt;12,OFFSET(TblConstr[[#This Row],[Doc]],-12,0),0)+OFFSET(TblConstr[[#This Row],[Tot Doc]],-1,0)-TblConstr[[#This Row],[Dest Doc]]</f>
        <v>24</v>
      </c>
      <c r="BR98" s="132"/>
      <c r="BS98" s="146"/>
      <c r="BT98" s="69" t="n">
        <f aca="false">TblConstr[[#This Row],[Land]]</f>
        <v>700</v>
      </c>
      <c r="BU98" s="153" t="n">
        <f aca="false">TblImps[[#This Row],[Time]]</f>
        <v>45433.6666666667</v>
      </c>
      <c r="BV98" s="132"/>
      <c r="BW98" s="182"/>
      <c r="BX98" s="182"/>
      <c r="BY98" s="182"/>
      <c r="BZ98" s="182"/>
      <c r="CA98" s="182"/>
      <c r="CB98" s="182"/>
      <c r="CC98" s="182"/>
      <c r="CD98" s="182"/>
      <c r="CE98" s="182"/>
      <c r="CF98" s="182"/>
      <c r="CG98" s="182"/>
      <c r="CH98" s="182"/>
      <c r="CI98" s="182"/>
      <c r="CJ98" s="182"/>
      <c r="CK98" s="182"/>
      <c r="CL98" s="182"/>
      <c r="CM98" s="182"/>
      <c r="CN98" s="182"/>
      <c r="CO98" s="182"/>
      <c r="CP98" s="132"/>
      <c r="CQ98" s="192" t="n">
        <f aca="false">-SUM(TblConstr[[#This Row],[Alc]:[Mas]])+SUM(TblConstr[[#This Row],[Dest Alc]:[Dest Mas]])+Rezone!L98+IF("Ch_"&amp; home_land=TblConstr[[#Headers],[Ch_Plain]],TblConstr[[#This Row],[Home Land]])+IF(TblConstr[[#This Row],[Hour]:[Hour]]&gt;12,OFFSET(TblExplore[[#This Row],[Plains Explore]],-12,0),0)</f>
        <v>0</v>
      </c>
      <c r="CR98" s="193" t="n">
        <f aca="false">-SUM(TblConstr[[#This Row],[Ly]:[Hav]])+SUM(TblConstr[[#This Row],[Dest Ly]:[Dest Hav]]) +Rezone!M98 + IF("Ch_"&amp; home_land=TblConstr[[#Headers],[Ch_Forest]],TblConstr[[#This Row],[Home Land]])+IF(TblConstr[[#This Row],[Hour]:[Hour]]&gt;12,OFFSET(TblExplore[[#This Row],[Forest Explore]],-12,0),0)</f>
        <v>0</v>
      </c>
      <c r="CS98" s="200" t="n">
        <f aca="false">-SUM(TblConstr[[#This Row],[OM]:[GN]])+SUM(TblConstr[[#This Row],[Dest OM]:[Dest GN]]) +Rezone!N98 + IF("Ch_"&amp; home_land=TblConstr[[#Headers],[Ch_Mountain]],TblConstr[[#This Row],[Home Land]])+IF(TblConstr[[#This Row],[Hour]:[Hour]]&gt;12,OFFSET(TblExplore[[#This Row],[Mountain Explore]],-12,0),0)</f>
        <v>0</v>
      </c>
      <c r="CT98" s="195" t="n">
        <f aca="false">-SUM(TblConstr[[#This Row],[Fac]:[Shr]])+SUM(TblConstr[[#This Row],[Dest Fac]:[Dest Shr]]) +Rezone!O98 + IF("Ch_" &amp; home_land=TblConstr[[#Headers],[Ch_Hill]],TblConstr[[#This Row],[Home Land]])+IF(TblConstr[[#This Row],[Hour]:[Hour]]&gt;12,OFFSET(TblExplore[[#This Row],[Hill Explore]],-12,0),0)</f>
        <v>0</v>
      </c>
      <c r="CU98" s="196" t="n">
        <f aca="false">-SUM(TblConstr[[#This Row],[Tow]:[WG]])+SUM(TblConstr[[#This Row],[Dest Tow]:[Dest WG]]) +Rezone!P98 + IF("Ch_" &amp; home_land=TblConstr[[#Headers],[Ch_Swamp]],TblConstr[[#This Row],[Home Land]])+IF(TblConstr[[#This Row],[Hour]:[Hour]]&gt;12,OFFSET(TblExplore[[#This Row],[Swamp Explore]],-12,0),0)</f>
        <v>0</v>
      </c>
      <c r="CV98" s="197" t="n">
        <f aca="false">- SUM(TblConstr[[#This Row],[DM]:[Sch]])+SUM(TblConstr[[#This Row],[Dest DM]:[Dest Sch]]) +Rezone!Q98 + IF("Ch_" &amp; home_land=TblConstr[[#Headers],[Ch_Cavern]],TblConstr[[#This Row],[Home Land]])+IF(TblConstr[[#This Row],[Hour]:[Hour]]&gt;12,OFFSET(TblExplore[[#This Row],[Cavern Explore]],-12,0),0)</f>
        <v>0</v>
      </c>
      <c r="CW98" s="198" t="n">
        <f aca="false">-TblConstr[[#This Row],[Doc]]+TblConstr[[#This Row],[Dest Doc]] +Rezone!R98 + IF("Ch_" &amp; home_land=TblConstr[[#Headers],[Ch_Water]],TblConstr[[#This Row],[Home Land]])+IF(TblConstr[[#This Row],[Hour]:[Hour]]&gt;12,OFFSET(TblExplore[[#This Row],[Water Explore]],-12,0),0)</f>
        <v>0</v>
      </c>
      <c r="CX98" s="1" t="n">
        <f aca="false">IF(Explore!S98=1,20) - TblConstr[[#This Row],[Hom]] + TblConstr[[#This Row],[Dest Hom]]</f>
        <v>0</v>
      </c>
      <c r="CY98" s="132"/>
      <c r="CZ98" s="69" t="n">
        <f aca="false">G98+SUM(P87:S98)+SUM(AZ98:BC98)</f>
        <v>430</v>
      </c>
      <c r="DA98" s="69" t="n">
        <f aca="false">H98+SUM(T87:U98)+SUM(BD98:BE98)</f>
        <v>25</v>
      </c>
      <c r="DB98" s="1" t="n">
        <f aca="false">I98+SUM(V87:W98)+SUM(BF98:BG98)</f>
        <v>0</v>
      </c>
      <c r="DC98" s="69" t="n">
        <f aca="false">J98+SUM(X87:Y98)+SUM(BH98:BI98)</f>
        <v>55</v>
      </c>
      <c r="DD98" s="69" t="n">
        <f aca="false">K98+SUM(AB87:AD98)+SUM(BL98:BN98)</f>
        <v>76</v>
      </c>
      <c r="DE98" s="1" t="n">
        <f aca="false">L98+SUM(AE87:AE98)+BO98</f>
        <v>0</v>
      </c>
      <c r="DF98" s="69" t="n">
        <f aca="false">M98+SUM(AG87:AG98)+BQ98</f>
        <v>24</v>
      </c>
      <c r="DG98" s="69" t="e">
        <f aca="false" t="array" ref="DG98:DG98">INDEX(TblConstr[[Total Plain]:[Total Water]],ROW()-ROW(TblConstr[#headers]),MATCH("Total "&amp;home_land,TblConstr[[#Headers],[Total Plain]:[Total Water]],0))+TblConstr[[#This Row],[Homes]]</f>
        <v>#VALUE!</v>
      </c>
      <c r="DH98" s="1" t="n">
        <f aca="false">SUM(O87:O98)+AY98</f>
        <v>40</v>
      </c>
      <c r="DI98" s="1" t="n">
        <f aca="false">MAX(BA98-BA97,0)</f>
        <v>0</v>
      </c>
      <c r="DJ98" s="1" t="n">
        <f aca="false">MAX(BQ98-BQ97,0)</f>
        <v>0</v>
      </c>
    </row>
    <row r="99" customFormat="false" ht="12.75" hidden="false" customHeight="false" outlineLevel="0" collapsed="false">
      <c r="A99" s="170" t="n">
        <f aca="false">TblRezone[[#This Row],[Hour]]</f>
        <v>96</v>
      </c>
      <c r="B99" s="171" t="n">
        <f aca="false">SUM(TblConstr[[#This Row],[Plain]:[Water]])</f>
        <v>0</v>
      </c>
      <c r="C99" s="172" t="n">
        <f aca="false">SUM(TblConstr[[#This Row],[Tot Hom]:[Tot Doc]])</f>
        <v>700</v>
      </c>
      <c r="D99" s="172" t="n">
        <f aca="false">SUM(O88:AG99)</f>
        <v>0</v>
      </c>
      <c r="E99" s="173"/>
      <c r="F99" s="33" t="n">
        <f aca="false">TblConstr[[#This Row],[Barren]]+TblConstr[[#This Row],[Buildings]]+TblConstr[[#This Row],[Incoming]]</f>
        <v>700</v>
      </c>
      <c r="G99" s="199" t="n">
        <f aca="false">OFFSET(TblConstr[[#This Row],[Plain]],-1,0)+TblConstr[[#This Row],[Ch_Plain]]</f>
        <v>0</v>
      </c>
      <c r="H99" s="193" t="n">
        <f aca="false">OFFSET(TblConstr[[#This Row],[Forest]],-1,0)+TblConstr[[#This Row],[Ch_Forest]]</f>
        <v>0</v>
      </c>
      <c r="I99" s="200" t="n">
        <f aca="false">OFFSET(TblConstr[[#This Row],[Mountain]],-1,0)+TblConstr[[#This Row],[Ch_Mountain]]</f>
        <v>0</v>
      </c>
      <c r="J99" s="201" t="n">
        <f aca="false">OFFSET(TblConstr[[#This Row],[Hill]],-1,0)+TblConstr[[#This Row],[Ch_Hill]]</f>
        <v>0</v>
      </c>
      <c r="K99" s="202" t="n">
        <f aca="false">OFFSET(TblConstr[[#This Row],[Swamp]],-1,0)+TblConstr[[#This Row],[Ch_Swamp]]</f>
        <v>0</v>
      </c>
      <c r="L99" s="197" t="n">
        <f aca="false">OFFSET(TblConstr[[#This Row],[Cavern]],-1,0)+TblConstr[[#This Row],[Ch_Cavern]]</f>
        <v>0</v>
      </c>
      <c r="M99" s="198" t="n">
        <f aca="false">OFFSET(TblConstr[[#This Row],[Water]],-1,0)+TblConstr[[#This Row],[Ch_Water]]</f>
        <v>0</v>
      </c>
      <c r="N99" s="181" t="n">
        <f aca="false">TblRezone[[#This Row],[Hour]]</f>
        <v>96</v>
      </c>
      <c r="O99" s="182"/>
      <c r="P99" s="152"/>
      <c r="Q99" s="182"/>
      <c r="R99" s="182"/>
      <c r="S99" s="182"/>
      <c r="T99" s="182"/>
      <c r="U99" s="182"/>
      <c r="V99" s="182"/>
      <c r="W99" s="182"/>
      <c r="X99" s="182"/>
      <c r="Y99" s="182"/>
      <c r="Z99" s="182"/>
      <c r="AA99" s="182"/>
      <c r="AB99" s="182"/>
      <c r="AC99" s="182"/>
      <c r="AD99" s="182"/>
      <c r="AE99" s="182"/>
      <c r="AF99" s="182"/>
      <c r="AG99" s="182"/>
      <c r="AH99" s="20" t="n">
        <f aca="false">TblImps[[#This Row],[Time]]</f>
        <v>45433.7083333333</v>
      </c>
      <c r="AI99" s="130" t="n">
        <f aca="false">MIN(25%,(TblConstr[[#This Row],[Tot Fac]]+TblConstr[[#This Row],[Dest Fac]])/(TblConstr[[#This Row],[Land]]-TblExplore[[#This Row],[Land Bonus]]*20))</f>
        <v>0</v>
      </c>
      <c r="AJ99" s="130" t="n">
        <f aca="false">MIN(25%,(TblConstr[[#This Row],[Tot Fac]]+TblConstr[[#This Row],[Dest Fac]])/TblConstr[[#This Row],[Land]])</f>
        <v>0</v>
      </c>
      <c r="AK99" s="69" t="n">
        <f aca="false">TblProd[[#This Row],[Platinum]]</f>
        <v>983687</v>
      </c>
      <c r="AL99" s="69" t="n">
        <f aca="false">TblProd[[#This Row],[Lumber]]</f>
        <v>34364</v>
      </c>
      <c r="AM9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9" s="69" t="n">
        <f aca="false">ROUNDDOWN( MAX(1 - MIN(facs_constr_factor*TblConstr[[#This Row],[Facs -DB]],facs_constr_max) + tech_1_11*TblTech[[#This Row],[11-1]] + tech_6_3_2*TblTech[[#This Row],[6-3]] + tech_5_2_3*TblTech[[#This Row],[5-2]], 1-global_constr_cap) * TblConstr[[#This Row],[RCPA Lumber]],0)</f>
        <v>216</v>
      </c>
      <c r="AO9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9" s="69" t="n">
        <f aca="false">ROUNDDOWN( MAX(1 - MIN(facs_constr_factor*TblConstr[[#This Row],[Facs DB]],facs_constr_max) + tech_1_11*TblTech[[#This Row],[1-11]] + tech_6_3_2*TblTech[[#This Row],[6-3]] + tech_5_2_3*TblTech[[#This Row],[5-2]], 1-global_constr_cap) * ROUND((TblConstr[[#This Row],[Land]]-250)*0.285 + 87.5 + 0/4.25,0),0)</f>
        <v>216</v>
      </c>
      <c r="AQ99" s="1" t="n">
        <f aca="false">TblConstr[[#This Row],[build -db]]*TblConstr[[#This Row],[CPA Platinum -DB]] + TblConstr[[#This Row],[build db]]*TblConstr[[#This Row],[CPA Platinum DB]]</f>
        <v>0</v>
      </c>
      <c r="AR99" s="1" t="n">
        <f aca="false">TblConstr[[#This Row],[build -db]]*TblConstr[[#This Row],[CPA Lumber -DB]]+TblConstr[[#This Row],[build db]]*TblConstr[[#This Row],[CPA Lumber DB]]</f>
        <v>0</v>
      </c>
      <c r="AS99" s="69" t="n">
        <f aca="false">MIN(SUM(OFFSET(TblConstr[[#This Row],[Plain]:[Water]],-1,0))+SUM(TblConstr[[#This Row],[Dest Hom]:[Dest Doc]])+IF(TblConstr[[#This Row],[Hour]]&gt;12,SUM(OFFSET(TblExplore[[#This Row],[Plains Explore]:[Water Explore]],-12,0)),0),SUM(TblConstr[[#This Row],[Hom]:[Doc]]))</f>
        <v>0</v>
      </c>
      <c r="AT9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32"/>
      <c r="AV99" s="69" t="n">
        <f aca="false">ROUND((TblConstr[[#This Row],[Land]]-250 - IF(TblExplore[[#This Row],[Land Bonus]]&lt;&gt;0,20,0))*1.25 + 850 + 0,0)</f>
        <v>1413</v>
      </c>
      <c r="AW99" s="69" t="n">
        <f aca="false">ROUND((TblConstr[[#This Row],[Land]]-250 - IF(TblExplore[[#This Row],[Land Bonus]]&lt;&gt;0,20,0))*0.285 + 87.5 + 0/4.25,0)</f>
        <v>216</v>
      </c>
      <c r="AX99" s="146"/>
      <c r="AY99" s="203" t="n">
        <f aca="false" t="array" ref="AY99:AY99">IF(TblConstr[[#This Row],[Hour]:[Hour]]&gt;12,OFFSET(TblConstr[[#This Row],[Hom]],-12,0),0)+OFFSET(TblConstr[[#This Row],[Tot Hom]],-1,0)-TblConstr[[#This Row],[Dest Hom]]</f>
        <v>40</v>
      </c>
      <c r="AZ99" s="204" t="n">
        <f aca="false" t="array" ref="AZ99:AZ99">IF(TblConstr[[#This Row],[Hour]:[Hour]]&gt;12,OFFSET(TblConstr[[#This Row],[Alc]],-12,0),0)+OFFSET(TblConstr[[#This Row],[Tot Alc]],-1,0)-TblConstr[[#This Row],[Dest Alc]]</f>
        <v>275</v>
      </c>
      <c r="BA99" s="204" t="n">
        <f aca="false" t="array" ref="BA99:BA99">IF(TblConstr[[#This Row],[Hour]:[Hour]]&gt;12,OFFSET(TblConstr[[#This Row],[Far]],-12,0),0)+OFFSET(TblConstr[[#This Row],[Tot Farm]],-1,0)-TblConstr[[#This Row],[Dest Farm]]</f>
        <v>29</v>
      </c>
      <c r="BB99" s="204" t="n">
        <f aca="false" t="array" ref="BB99:BB99">IF(TblConstr[[#This Row],[Hour]:[Hour]]&gt;12,OFFSET(TblConstr[[#This Row],[Smi]],-12,0),0)+OFFSET(TblConstr[[#This Row],[Tot Smi]],-1,0)-TblConstr[[#This Row],[Dest Smi]]</f>
        <v>126</v>
      </c>
      <c r="BC99" s="204" t="n">
        <f aca="false" t="array" ref="BC99:BC99">IF(TblConstr[[#This Row],[Hour]:[Hour]]&gt;12,OFFSET(TblConstr[[#This Row],[Mas]],-12,0),0)+OFFSET(TblConstr[[#This Row],[Tot Mas]],-1,0)-TblConstr[[#This Row],[Dest Mas]]</f>
        <v>0</v>
      </c>
      <c r="BD99" s="205" t="n">
        <f aca="false" t="array" ref="BD99:BD99">IF(TblConstr[[#This Row],[Hour]:[Hour]]&gt;12,OFFSET(TblConstr[[#This Row],[Ly]],-12,0),0)+OFFSET(TblConstr[[#This Row],[Tot Ly]],-1,0)-TblConstr[[#This Row],[Dest Ly]]</f>
        <v>25</v>
      </c>
      <c r="BE99" s="205" t="n">
        <f aca="false" t="array" ref="BE99:BE99">IF(TblConstr[[#This Row],[Hour]:[Hour]]&gt;12,OFFSET(TblConstr[[#This Row],[Hav]],-12,0),0)+OFFSET(TblConstr[[#This Row],[Tot Hav]],-1,0)-TblConstr[[#This Row],[Dest Hav]]</f>
        <v>0</v>
      </c>
      <c r="BF99" s="194" t="n">
        <f aca="false" t="array" ref="BF99:BF99">IF(TblConstr[[#This Row],[Hour]:[Hour]]&gt;12,OFFSET(TblConstr[[#This Row],[OM]],-12,0),0)+OFFSET(TblConstr[[#This Row],[Tot OM]],-1,0)-TblConstr[[#This Row],[Dest OM]]</f>
        <v>0</v>
      </c>
      <c r="BG99" s="194" t="n">
        <f aca="false" t="array" ref="BG99:BG99">IF(TblConstr[[#This Row],[Hour]:[Hour]]&gt;12,OFFSET(TblConstr[[#This Row],[GN]],-12,0),0)+OFFSET(TblConstr[[#This Row],[Tot GN]],-1,0)-TblConstr[[#This Row],[Dest GN]]</f>
        <v>0</v>
      </c>
      <c r="BH99" s="206" t="n">
        <f aca="false" t="array" ref="BH99:BH99">IF(TblConstr[[#This Row],[Hour]:[Hour]]&gt;12,OFFSET(TblConstr[[#This Row],[Fac]],-12,0),0)+OFFSET(TblConstr[[#This Row],[Tot Fac]],-1,0)-TblConstr[[#This Row],[Dest Fac]]</f>
        <v>0</v>
      </c>
      <c r="BI99" s="206" t="n">
        <f aca="false" t="array" ref="BI99:BI99">IF(TblConstr[[#This Row],[Hour]:[Hour]]&gt;12,OFFSET(TblConstr[[#This Row],[GT]],-12,0),0)+OFFSET(TblConstr[[#This Row],[Tot GT]],-1,0)-TblConstr[[#This Row],[Dest GT]]</f>
        <v>55</v>
      </c>
      <c r="BJ99" s="206" t="n">
        <f aca="false" t="array" ref="BJ99:BJ99">IF(TblConstr[[#This Row],[Hour]:[Hour]]&gt;12,OFFSET(TblConstr[[#This Row],[Bar]],-12,0),0)+OFFSET(TblConstr[[#This Row],[Tot Bar]],-1,0)-TblConstr[[#This Row],[Dest Bar]]</f>
        <v>50</v>
      </c>
      <c r="BK99" s="206" t="n">
        <f aca="false" t="array" ref="BK99:BK99">IF(TblConstr[[#This Row],[Hour]:[Hour]]&gt;12,OFFSET(TblConstr[[#This Row],[Shr]],-12,0),0)+OFFSET(TblConstr[[#This Row],[Tot Shr]],-1,0)-TblConstr[[#This Row],[Dest Shr]]</f>
        <v>0</v>
      </c>
      <c r="BL99" s="207" t="n">
        <f aca="false" t="array" ref="BL99:BL99">IF(TblConstr[[#This Row],[Hour]:[Hour]]&gt;12,OFFSET(TblConstr[[#This Row],[Tow]],-12,0),0)+OFFSET(TblConstr[[#This Row],[Tot Tow]],-1,0)-TblConstr[[#This Row],[Dest Tow]]</f>
        <v>29</v>
      </c>
      <c r="BM99" s="207" t="n">
        <f aca="false" t="array" ref="BM99:BM99">IF(TblConstr[[#This Row],[Hour]:[Hour]]&gt;12,OFFSET(TblConstr[[#This Row],[Tem]],-12,0),0)+OFFSET(TblConstr[[#This Row],[Tot Tem]],-1,0)-TblConstr[[#This Row],[Dest Tem]]</f>
        <v>47</v>
      </c>
      <c r="BN99" s="207" t="n">
        <f aca="false" t="array" ref="BN99:BN99">IF(TblConstr[[#This Row],[Hour]:[Hour]]&gt;12,OFFSET(TblConstr[[#This Row],[WG]],-12,0),0)+OFFSET(TblConstr[[#This Row],[Tot WG]],-1,0)-TblConstr[[#This Row],[Dest WG]]</f>
        <v>0</v>
      </c>
      <c r="BO99" s="208" t="n">
        <f aca="false" t="array" ref="BO99:BO99">IF(TblConstr[[#This Row],[Hour]:[Hour]]&gt;12,OFFSET(TblConstr[[#This Row],[DM]],-12,0),0)+OFFSET(TblConstr[[#This Row],[Tot DM]],-1,0)-TblConstr[[#This Row],[Dest DM]]</f>
        <v>0</v>
      </c>
      <c r="BP99" s="208" t="n">
        <f aca="false" t="array" ref="BP99:BP99">IF(TblConstr[[#This Row],[Hour]:[Hour]]&gt;12,OFFSET(TblConstr[[#This Row],[Sch]],-12,0),0)+OFFSET(TblConstr[[#This Row],[Tot Sch]],-1,0)-TblConstr[[#This Row],[Dest Sch]]</f>
        <v>0</v>
      </c>
      <c r="BQ99" s="209" t="n">
        <f aca="false" t="array" ref="BQ99:BQ99">IF(TblConstr[[#This Row],[Hour]:[Hour]]&gt;12,OFFSET(TblConstr[[#This Row],[Doc]],-12,0),0)+OFFSET(TblConstr[[#This Row],[Tot Doc]],-1,0)-TblConstr[[#This Row],[Dest Doc]]</f>
        <v>24</v>
      </c>
      <c r="BR99" s="132"/>
      <c r="BS99" s="146"/>
      <c r="BT99" s="69" t="n">
        <f aca="false">TblConstr[[#This Row],[Land]]</f>
        <v>700</v>
      </c>
      <c r="BU99" s="153" t="n">
        <f aca="false">TblImps[[#This Row],[Time]]</f>
        <v>45433.7083333333</v>
      </c>
      <c r="BV99" s="132"/>
      <c r="BW99" s="182"/>
      <c r="BX99" s="182"/>
      <c r="BY99" s="182"/>
      <c r="BZ99" s="182"/>
      <c r="CA99" s="182"/>
      <c r="CB99" s="182"/>
      <c r="CC99" s="182"/>
      <c r="CD99" s="182"/>
      <c r="CE99" s="182"/>
      <c r="CF99" s="182"/>
      <c r="CG99" s="182"/>
      <c r="CH99" s="182"/>
      <c r="CI99" s="182"/>
      <c r="CJ99" s="182"/>
      <c r="CK99" s="182"/>
      <c r="CL99" s="182"/>
      <c r="CM99" s="182"/>
      <c r="CN99" s="182"/>
      <c r="CO99" s="182"/>
      <c r="CP99" s="132"/>
      <c r="CQ99" s="192" t="n">
        <f aca="false">-SUM(TblConstr[[#This Row],[Alc]:[Mas]])+SUM(TblConstr[[#This Row],[Dest Alc]:[Dest Mas]])+Rezone!L99+IF("Ch_"&amp; home_land=TblConstr[[#Headers],[Ch_Plain]],TblConstr[[#This Row],[Home Land]])+IF(TblConstr[[#This Row],[Hour]:[Hour]]&gt;12,OFFSET(TblExplore[[#This Row],[Plains Explore]],-12,0),0)</f>
        <v>0</v>
      </c>
      <c r="CR99" s="193" t="n">
        <f aca="false">-SUM(TblConstr[[#This Row],[Ly]:[Hav]])+SUM(TblConstr[[#This Row],[Dest Ly]:[Dest Hav]]) +Rezone!M99 + IF("Ch_"&amp; home_land=TblConstr[[#Headers],[Ch_Forest]],TblConstr[[#This Row],[Home Land]])+IF(TblConstr[[#This Row],[Hour]:[Hour]]&gt;12,OFFSET(TblExplore[[#This Row],[Forest Explore]],-12,0),0)</f>
        <v>0</v>
      </c>
      <c r="CS99" s="200" t="n">
        <f aca="false">-SUM(TblConstr[[#This Row],[OM]:[GN]])+SUM(TblConstr[[#This Row],[Dest OM]:[Dest GN]]) +Rezone!N99 + IF("Ch_"&amp; home_land=TblConstr[[#Headers],[Ch_Mountain]],TblConstr[[#This Row],[Home Land]])+IF(TblConstr[[#This Row],[Hour]:[Hour]]&gt;12,OFFSET(TblExplore[[#This Row],[Mountain Explore]],-12,0),0)</f>
        <v>0</v>
      </c>
      <c r="CT99" s="195" t="n">
        <f aca="false">-SUM(TblConstr[[#This Row],[Fac]:[Shr]])+SUM(TblConstr[[#This Row],[Dest Fac]:[Dest Shr]]) +Rezone!O99 + IF("Ch_" &amp; home_land=TblConstr[[#Headers],[Ch_Hill]],TblConstr[[#This Row],[Home Land]])+IF(TblConstr[[#This Row],[Hour]:[Hour]]&gt;12,OFFSET(TblExplore[[#This Row],[Hill Explore]],-12,0),0)</f>
        <v>0</v>
      </c>
      <c r="CU99" s="196" t="n">
        <f aca="false">-SUM(TblConstr[[#This Row],[Tow]:[WG]])+SUM(TblConstr[[#This Row],[Dest Tow]:[Dest WG]]) +Rezone!P99 + IF("Ch_" &amp; home_land=TblConstr[[#Headers],[Ch_Swamp]],TblConstr[[#This Row],[Home Land]])+IF(TblConstr[[#This Row],[Hour]:[Hour]]&gt;12,OFFSET(TblExplore[[#This Row],[Swamp Explore]],-12,0),0)</f>
        <v>0</v>
      </c>
      <c r="CV99" s="197" t="n">
        <f aca="false">- SUM(TblConstr[[#This Row],[DM]:[Sch]])+SUM(TblConstr[[#This Row],[Dest DM]:[Dest Sch]]) +Rezone!Q99 + IF("Ch_" &amp; home_land=TblConstr[[#Headers],[Ch_Cavern]],TblConstr[[#This Row],[Home Land]])+IF(TblConstr[[#This Row],[Hour]:[Hour]]&gt;12,OFFSET(TblExplore[[#This Row],[Cavern Explore]],-12,0),0)</f>
        <v>0</v>
      </c>
      <c r="CW99" s="198" t="n">
        <f aca="false">-TblConstr[[#This Row],[Doc]]+TblConstr[[#This Row],[Dest Doc]] +Rezone!R99 + IF("Ch_" &amp; home_land=TblConstr[[#Headers],[Ch_Water]],TblConstr[[#This Row],[Home Land]])+IF(TblConstr[[#This Row],[Hour]:[Hour]]&gt;12,OFFSET(TblExplore[[#This Row],[Water Explore]],-12,0),0)</f>
        <v>0</v>
      </c>
      <c r="CX99" s="1" t="n">
        <f aca="false">IF(Explore!S99=1,20) - TblConstr[[#This Row],[Hom]] + TblConstr[[#This Row],[Dest Hom]]</f>
        <v>0</v>
      </c>
      <c r="CY99" s="132"/>
      <c r="CZ99" s="69" t="n">
        <f aca="false">G99+SUM(P88:S99)+SUM(AZ99:BC99)</f>
        <v>430</v>
      </c>
      <c r="DA99" s="69" t="n">
        <f aca="false">H99+SUM(T88:U99)+SUM(BD99:BE99)</f>
        <v>25</v>
      </c>
      <c r="DB99" s="1" t="n">
        <f aca="false">I99+SUM(V88:W99)+SUM(BF99:BG99)</f>
        <v>0</v>
      </c>
      <c r="DC99" s="69" t="n">
        <f aca="false">J99+SUM(X88:Y99)+SUM(BH99:BI99)</f>
        <v>55</v>
      </c>
      <c r="DD99" s="69" t="n">
        <f aca="false">K99+SUM(AB88:AD99)+SUM(BL99:BN99)</f>
        <v>76</v>
      </c>
      <c r="DE99" s="1" t="n">
        <f aca="false">L99+SUM(AE88:AE99)+BO99</f>
        <v>0</v>
      </c>
      <c r="DF99" s="69" t="n">
        <f aca="false">M99+SUM(AG88:AG99)+BQ99</f>
        <v>24</v>
      </c>
      <c r="DG99" s="69" t="e">
        <f aca="false" t="array" ref="DG99:DG99">INDEX(TblConstr[[Total Plain]:[Total Water]],ROW()-ROW(TblConstr[#headers]),MATCH("Total "&amp;home_land,TblConstr[[#Headers],[Total Plain]:[Total Water]],0))+TblConstr[[#This Row],[Homes]]</f>
        <v>#VALUE!</v>
      </c>
      <c r="DH99" s="1" t="n">
        <f aca="false">SUM(O88:O99)+AY99</f>
        <v>40</v>
      </c>
      <c r="DI99" s="1" t="n">
        <f aca="false">MAX(BA99-BA98,0)</f>
        <v>0</v>
      </c>
      <c r="DJ99" s="1" t="n">
        <f aca="false">MAX(BQ99-BQ98,0)</f>
        <v>0</v>
      </c>
    </row>
    <row r="100" customFormat="false" ht="12.75" hidden="false" customHeight="false" outlineLevel="0" collapsed="false">
      <c r="A100" s="170" t="n">
        <f aca="false">TblRezone[[#This Row],[Hour]]</f>
        <v>97</v>
      </c>
      <c r="B100" s="171" t="n">
        <f aca="false">SUM(TblConstr[[#This Row],[Plain]:[Water]])</f>
        <v>0</v>
      </c>
      <c r="C100" s="172" t="n">
        <f aca="false">SUM(TblConstr[[#This Row],[Tot Hom]:[Tot Doc]])</f>
        <v>700</v>
      </c>
      <c r="D100" s="172" t="n">
        <f aca="false">SUM(O89:AG100)</f>
        <v>0</v>
      </c>
      <c r="E100" s="173"/>
      <c r="F100" s="33" t="n">
        <f aca="false">TblConstr[[#This Row],[Barren]]+TblConstr[[#This Row],[Buildings]]+TblConstr[[#This Row],[Incoming]]</f>
        <v>700</v>
      </c>
      <c r="G100" s="199" t="n">
        <f aca="false">OFFSET(TblConstr[[#This Row],[Plain]],-1,0)+TblConstr[[#This Row],[Ch_Plain]]</f>
        <v>0</v>
      </c>
      <c r="H100" s="193" t="n">
        <f aca="false">OFFSET(TblConstr[[#This Row],[Forest]],-1,0)+TblConstr[[#This Row],[Ch_Forest]]</f>
        <v>0</v>
      </c>
      <c r="I100" s="200" t="n">
        <f aca="false">OFFSET(TblConstr[[#This Row],[Mountain]],-1,0)+TblConstr[[#This Row],[Ch_Mountain]]</f>
        <v>0</v>
      </c>
      <c r="J100" s="201" t="n">
        <f aca="false">OFFSET(TblConstr[[#This Row],[Hill]],-1,0)+TblConstr[[#This Row],[Ch_Hill]]</f>
        <v>0</v>
      </c>
      <c r="K100" s="202" t="n">
        <f aca="false">OFFSET(TblConstr[[#This Row],[Swamp]],-1,0)+TblConstr[[#This Row],[Ch_Swamp]]</f>
        <v>0</v>
      </c>
      <c r="L100" s="197" t="n">
        <f aca="false">OFFSET(TblConstr[[#This Row],[Cavern]],-1,0)+TblConstr[[#This Row],[Ch_Cavern]]</f>
        <v>0</v>
      </c>
      <c r="M100" s="198" t="n">
        <f aca="false">OFFSET(TblConstr[[#This Row],[Water]],-1,0)+TblConstr[[#This Row],[Ch_Water]]</f>
        <v>0</v>
      </c>
      <c r="N100" s="181" t="n">
        <f aca="false">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20" t="n">
        <f aca="false">TblImps[[#This Row],[Time]]</f>
        <v>45433.75</v>
      </c>
      <c r="AI100" s="130" t="n">
        <f aca="false">MIN(25%,(TblConstr[[#This Row],[Tot Fac]]+TblConstr[[#This Row],[Dest Fac]])/(TblConstr[[#This Row],[Land]]-TblExplore[[#This Row],[Land Bonus]]*20))</f>
        <v>0</v>
      </c>
      <c r="AJ100" s="130" t="n">
        <f aca="false">MIN(25%,(TblConstr[[#This Row],[Tot Fac]]+TblConstr[[#This Row],[Dest Fac]])/TblConstr[[#This Row],[Land]])</f>
        <v>0</v>
      </c>
      <c r="AK100" s="69" t="n">
        <f aca="false">TblProd[[#This Row],[Platinum]]</f>
        <v>1024834</v>
      </c>
      <c r="AL100" s="69" t="n">
        <f aca="false">TblProd[[#This Row],[Lumber]]</f>
        <v>35145</v>
      </c>
      <c r="AM10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0" s="69" t="n">
        <f aca="false">ROUNDDOWN( MAX(1 - MIN(facs_constr_factor*TblConstr[[#This Row],[Facs -DB]],facs_constr_max) + tech_1_11*TblTech[[#This Row],[11-1]] + tech_6_3_2*TblTech[[#This Row],[6-3]] + tech_5_2_3*TblTech[[#This Row],[5-2]], 1-global_constr_cap) * TblConstr[[#This Row],[RCPA Lumber]],0)</f>
        <v>216</v>
      </c>
      <c r="AO10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0" s="69" t="n">
        <f aca="false">ROUNDDOWN( MAX(1 - MIN(facs_constr_factor*TblConstr[[#This Row],[Facs DB]],facs_constr_max) + tech_1_11*TblTech[[#This Row],[1-11]] + tech_6_3_2*TblTech[[#This Row],[6-3]] + tech_5_2_3*TblTech[[#This Row],[5-2]], 1-global_constr_cap) * ROUND((TblConstr[[#This Row],[Land]]-250)*0.285 + 87.5 + 0/4.25,0),0)</f>
        <v>216</v>
      </c>
      <c r="AQ100" s="1" t="n">
        <f aca="false">TblConstr[[#This Row],[build -db]]*TblConstr[[#This Row],[CPA Platinum -DB]] + TblConstr[[#This Row],[build db]]*TblConstr[[#This Row],[CPA Platinum DB]]</f>
        <v>0</v>
      </c>
      <c r="AR100" s="1" t="n">
        <f aca="false">TblConstr[[#This Row],[build -db]]*TblConstr[[#This Row],[CPA Lumber -DB]]+TblConstr[[#This Row],[build db]]*TblConstr[[#This Row],[CPA Lumber DB]]</f>
        <v>0</v>
      </c>
      <c r="AS100" s="69" t="n">
        <f aca="false">MIN(SUM(OFFSET(TblConstr[[#This Row],[Plain]:[Water]],-1,0))+SUM(TblConstr[[#This Row],[Dest Hom]:[Dest Doc]])+IF(TblConstr[[#This Row],[Hour]]&gt;12,SUM(OFFSET(TblExplore[[#This Row],[Plains Explore]:[Water Explore]],-12,0)),0),SUM(TblConstr[[#This Row],[Hom]:[Doc]]))</f>
        <v>0</v>
      </c>
      <c r="AT10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32"/>
      <c r="AV100" s="69" t="n">
        <f aca="false">ROUND((TblConstr[[#This Row],[Land]]-250 - IF(TblExplore[[#This Row],[Land Bonus]]&lt;&gt;0,20,0))*1.25 + 850 + 0,0)</f>
        <v>1413</v>
      </c>
      <c r="AW100" s="69" t="n">
        <f aca="false">ROUND((TblConstr[[#This Row],[Land]]-250 - IF(TblExplore[[#This Row],[Land Bonus]]&lt;&gt;0,20,0))*0.285 + 87.5 + 0/4.25,0)</f>
        <v>216</v>
      </c>
      <c r="AX100" s="146"/>
      <c r="AY100" s="203" t="n">
        <f aca="false" t="array" ref="AY100:AY100">IF(TblConstr[[#This Row],[Hour]:[Hour]]&gt;12,OFFSET(TblConstr[[#This Row],[Hom]],-12,0),0)+OFFSET(TblConstr[[#This Row],[Tot Hom]],-1,0)-TblConstr[[#This Row],[Dest Hom]]</f>
        <v>40</v>
      </c>
      <c r="AZ100" s="204" t="n">
        <f aca="false" t="array" ref="AZ100:AZ100">IF(TblConstr[[#This Row],[Hour]:[Hour]]&gt;12,OFFSET(TblConstr[[#This Row],[Alc]],-12,0),0)+OFFSET(TblConstr[[#This Row],[Tot Alc]],-1,0)-TblConstr[[#This Row],[Dest Alc]]</f>
        <v>275</v>
      </c>
      <c r="BA100" s="204" t="n">
        <f aca="false" t="array" ref="BA100:BA100">IF(TblConstr[[#This Row],[Hour]:[Hour]]&gt;12,OFFSET(TblConstr[[#This Row],[Far]],-12,0),0)+OFFSET(TblConstr[[#This Row],[Tot Farm]],-1,0)-TblConstr[[#This Row],[Dest Farm]]</f>
        <v>29</v>
      </c>
      <c r="BB100" s="204" t="n">
        <f aca="false" t="array" ref="BB100:BB100">IF(TblConstr[[#This Row],[Hour]:[Hour]]&gt;12,OFFSET(TblConstr[[#This Row],[Smi]],-12,0),0)+OFFSET(TblConstr[[#This Row],[Tot Smi]],-1,0)-TblConstr[[#This Row],[Dest Smi]]</f>
        <v>126</v>
      </c>
      <c r="BC100" s="204" t="n">
        <f aca="false" t="array" ref="BC100:BC100">IF(TblConstr[[#This Row],[Hour]:[Hour]]&gt;12,OFFSET(TblConstr[[#This Row],[Mas]],-12,0),0)+OFFSET(TblConstr[[#This Row],[Tot Mas]],-1,0)-TblConstr[[#This Row],[Dest Mas]]</f>
        <v>0</v>
      </c>
      <c r="BD100" s="205" t="n">
        <f aca="false" t="array" ref="BD100:BD100">IF(TblConstr[[#This Row],[Hour]:[Hour]]&gt;12,OFFSET(TblConstr[[#This Row],[Ly]],-12,0),0)+OFFSET(TblConstr[[#This Row],[Tot Ly]],-1,0)-TblConstr[[#This Row],[Dest Ly]]</f>
        <v>25</v>
      </c>
      <c r="BE100" s="205" t="n">
        <f aca="false" t="array" ref="BE100:BE100">IF(TblConstr[[#This Row],[Hour]:[Hour]]&gt;12,OFFSET(TblConstr[[#This Row],[Hav]],-12,0),0)+OFFSET(TblConstr[[#This Row],[Tot Hav]],-1,0)-TblConstr[[#This Row],[Dest Hav]]</f>
        <v>0</v>
      </c>
      <c r="BF100" s="194" t="n">
        <f aca="false" t="array" ref="BF100:BF100">IF(TblConstr[[#This Row],[Hour]:[Hour]]&gt;12,OFFSET(TblConstr[[#This Row],[OM]],-12,0),0)+OFFSET(TblConstr[[#This Row],[Tot OM]],-1,0)-TblConstr[[#This Row],[Dest OM]]</f>
        <v>0</v>
      </c>
      <c r="BG100" s="194" t="n">
        <f aca="false" t="array" ref="BG100:BG100">IF(TblConstr[[#This Row],[Hour]:[Hour]]&gt;12,OFFSET(TblConstr[[#This Row],[GN]],-12,0),0)+OFFSET(TblConstr[[#This Row],[Tot GN]],-1,0)-TblConstr[[#This Row],[Dest GN]]</f>
        <v>0</v>
      </c>
      <c r="BH100" s="206" t="n">
        <f aca="false" t="array" ref="BH100:BH100">IF(TblConstr[[#This Row],[Hour]:[Hour]]&gt;12,OFFSET(TblConstr[[#This Row],[Fac]],-12,0),0)+OFFSET(TblConstr[[#This Row],[Tot Fac]],-1,0)-TblConstr[[#This Row],[Dest Fac]]</f>
        <v>0</v>
      </c>
      <c r="BI100" s="206" t="n">
        <f aca="false" t="array" ref="BI100:BI100">IF(TblConstr[[#This Row],[Hour]:[Hour]]&gt;12,OFFSET(TblConstr[[#This Row],[GT]],-12,0),0)+OFFSET(TblConstr[[#This Row],[Tot GT]],-1,0)-TblConstr[[#This Row],[Dest GT]]</f>
        <v>55</v>
      </c>
      <c r="BJ100" s="206" t="n">
        <f aca="false" t="array" ref="BJ100:BJ100">IF(TblConstr[[#This Row],[Hour]:[Hour]]&gt;12,OFFSET(TblConstr[[#This Row],[Bar]],-12,0),0)+OFFSET(TblConstr[[#This Row],[Tot Bar]],-1,0)-TblConstr[[#This Row],[Dest Bar]]</f>
        <v>50</v>
      </c>
      <c r="BK100" s="206" t="n">
        <f aca="false" t="array" ref="BK100:BK100">IF(TblConstr[[#This Row],[Hour]:[Hour]]&gt;12,OFFSET(TblConstr[[#This Row],[Shr]],-12,0),0)+OFFSET(TblConstr[[#This Row],[Tot Shr]],-1,0)-TblConstr[[#This Row],[Dest Shr]]</f>
        <v>0</v>
      </c>
      <c r="BL100" s="207" t="n">
        <f aca="false" t="array" ref="BL100:BL100">IF(TblConstr[[#This Row],[Hour]:[Hour]]&gt;12,OFFSET(TblConstr[[#This Row],[Tow]],-12,0),0)+OFFSET(TblConstr[[#This Row],[Tot Tow]],-1,0)-TblConstr[[#This Row],[Dest Tow]]</f>
        <v>29</v>
      </c>
      <c r="BM100" s="207" t="n">
        <f aca="false" t="array" ref="BM100:BM100">IF(TblConstr[[#This Row],[Hour]:[Hour]]&gt;12,OFFSET(TblConstr[[#This Row],[Tem]],-12,0),0)+OFFSET(TblConstr[[#This Row],[Tot Tem]],-1,0)-TblConstr[[#This Row],[Dest Tem]]</f>
        <v>47</v>
      </c>
      <c r="BN100" s="207" t="n">
        <f aca="false" t="array" ref="BN100:BN100">IF(TblConstr[[#This Row],[Hour]:[Hour]]&gt;12,OFFSET(TblConstr[[#This Row],[WG]],-12,0),0)+OFFSET(TblConstr[[#This Row],[Tot WG]],-1,0)-TblConstr[[#This Row],[Dest WG]]</f>
        <v>0</v>
      </c>
      <c r="BO100" s="208" t="n">
        <f aca="false" t="array" ref="BO100:BO100">IF(TblConstr[[#This Row],[Hour]:[Hour]]&gt;12,OFFSET(TblConstr[[#This Row],[DM]],-12,0),0)+OFFSET(TblConstr[[#This Row],[Tot DM]],-1,0)-TblConstr[[#This Row],[Dest DM]]</f>
        <v>0</v>
      </c>
      <c r="BP100" s="208" t="n">
        <f aca="false" t="array" ref="BP100:BP100">IF(TblConstr[[#This Row],[Hour]:[Hour]]&gt;12,OFFSET(TblConstr[[#This Row],[Sch]],-12,0),0)+OFFSET(TblConstr[[#This Row],[Tot Sch]],-1,0)-TblConstr[[#This Row],[Dest Sch]]</f>
        <v>0</v>
      </c>
      <c r="BQ100" s="209" t="n">
        <f aca="false" t="array" ref="BQ100:BQ100">IF(TblConstr[[#This Row],[Hour]:[Hour]]&gt;12,OFFSET(TblConstr[[#This Row],[Doc]],-12,0),0)+OFFSET(TblConstr[[#This Row],[Tot Doc]],-1,0)-TblConstr[[#This Row],[Dest Doc]]</f>
        <v>24</v>
      </c>
      <c r="BR100" s="132"/>
      <c r="BS100" s="146"/>
      <c r="BT100" s="69" t="n">
        <f aca="false">TblConstr[[#This Row],[Land]]</f>
        <v>700</v>
      </c>
      <c r="BU100" s="153" t="n">
        <f aca="false">TblImps[[#This Row],[Time]]</f>
        <v>45433.75</v>
      </c>
      <c r="BV100" s="132"/>
      <c r="BW100" s="182"/>
      <c r="BX100" s="182"/>
      <c r="BY100" s="182"/>
      <c r="BZ100" s="182"/>
      <c r="CA100" s="182"/>
      <c r="CB100" s="182"/>
      <c r="CC100" s="182"/>
      <c r="CD100" s="182"/>
      <c r="CE100" s="182"/>
      <c r="CF100" s="182"/>
      <c r="CG100" s="182"/>
      <c r="CH100" s="182"/>
      <c r="CI100" s="182"/>
      <c r="CJ100" s="182"/>
      <c r="CK100" s="182"/>
      <c r="CL100" s="182"/>
      <c r="CM100" s="182"/>
      <c r="CN100" s="182"/>
      <c r="CO100" s="182"/>
      <c r="CP100" s="132"/>
      <c r="CQ100" s="192" t="n">
        <f aca="false">-SUM(TblConstr[[#This Row],[Alc]:[Mas]])+SUM(TblConstr[[#This Row],[Dest Alc]:[Dest Mas]])+Rezone!L100+IF("Ch_"&amp; home_land=TblConstr[[#Headers],[Ch_Plain]],TblConstr[[#This Row],[Home Land]])+IF(TblConstr[[#This Row],[Hour]:[Hour]]&gt;12,OFFSET(TblExplore[[#This Row],[Plains Explore]],-12,0),0)</f>
        <v>0</v>
      </c>
      <c r="CR100" s="193" t="n">
        <f aca="false">-SUM(TblConstr[[#This Row],[Ly]:[Hav]])+SUM(TblConstr[[#This Row],[Dest Ly]:[Dest Hav]]) +Rezone!M100 + IF("Ch_"&amp; home_land=TblConstr[[#Headers],[Ch_Forest]],TblConstr[[#This Row],[Home Land]])+IF(TblConstr[[#This Row],[Hour]:[Hour]]&gt;12,OFFSET(TblExplore[[#This Row],[Forest Explore]],-12,0),0)</f>
        <v>0</v>
      </c>
      <c r="CS100" s="200" t="n">
        <f aca="false">-SUM(TblConstr[[#This Row],[OM]:[GN]])+SUM(TblConstr[[#This Row],[Dest OM]:[Dest GN]]) +Rezone!N100 + IF("Ch_"&amp; home_land=TblConstr[[#Headers],[Ch_Mountain]],TblConstr[[#This Row],[Home Land]])+IF(TblConstr[[#This Row],[Hour]:[Hour]]&gt;12,OFFSET(TblExplore[[#This Row],[Mountain Explore]],-12,0),0)</f>
        <v>0</v>
      </c>
      <c r="CT100" s="195" t="n">
        <f aca="false">-SUM(TblConstr[[#This Row],[Fac]:[Shr]])+SUM(TblConstr[[#This Row],[Dest Fac]:[Dest Shr]]) +Rezone!O100 + IF("Ch_" &amp; home_land=TblConstr[[#Headers],[Ch_Hill]],TblConstr[[#This Row],[Home Land]])+IF(TblConstr[[#This Row],[Hour]:[Hour]]&gt;12,OFFSET(TblExplore[[#This Row],[Hill Explore]],-12,0),0)</f>
        <v>0</v>
      </c>
      <c r="CU100" s="196" t="n">
        <f aca="false">-SUM(TblConstr[[#This Row],[Tow]:[WG]])+SUM(TblConstr[[#This Row],[Dest Tow]:[Dest WG]]) +Rezone!P100 + IF("Ch_" &amp; home_land=TblConstr[[#Headers],[Ch_Swamp]],TblConstr[[#This Row],[Home Land]])+IF(TblConstr[[#This Row],[Hour]:[Hour]]&gt;12,OFFSET(TblExplore[[#This Row],[Swamp Explore]],-12,0),0)</f>
        <v>0</v>
      </c>
      <c r="CV100" s="197" t="n">
        <f aca="false">- SUM(TblConstr[[#This Row],[DM]:[Sch]])+SUM(TblConstr[[#This Row],[Dest DM]:[Dest Sch]]) +Rezone!Q100 + IF("Ch_" &amp; home_land=TblConstr[[#Headers],[Ch_Cavern]],TblConstr[[#This Row],[Home Land]])+IF(TblConstr[[#This Row],[Hour]:[Hour]]&gt;12,OFFSET(TblExplore[[#This Row],[Cavern Explore]],-12,0),0)</f>
        <v>0</v>
      </c>
      <c r="CW100" s="198" t="n">
        <f aca="false">-TblConstr[[#This Row],[Doc]]+TblConstr[[#This Row],[Dest Doc]] +Rezone!R100 + IF("Ch_" &amp; home_land=TblConstr[[#Headers],[Ch_Water]],TblConstr[[#This Row],[Home Land]])+IF(TblConstr[[#This Row],[Hour]:[Hour]]&gt;12,OFFSET(TblExplore[[#This Row],[Water Explore]],-12,0),0)</f>
        <v>0</v>
      </c>
      <c r="CX100" s="1" t="n">
        <f aca="false">IF(Explore!S100=1,20) - TblConstr[[#This Row],[Hom]] + TblConstr[[#This Row],[Dest Hom]]</f>
        <v>0</v>
      </c>
      <c r="CY100" s="132"/>
      <c r="CZ100" s="69" t="n">
        <f aca="false">G100+SUM(P89:S100)+SUM(AZ100:BC100)</f>
        <v>430</v>
      </c>
      <c r="DA100" s="69" t="n">
        <f aca="false">H100+SUM(T89:U100)+SUM(BD100:BE100)</f>
        <v>25</v>
      </c>
      <c r="DB100" s="1" t="n">
        <f aca="false">I100+SUM(V89:W100)+SUM(BF100:BG100)</f>
        <v>0</v>
      </c>
      <c r="DC100" s="69" t="n">
        <f aca="false">J100+SUM(X89:Y100)+SUM(BH100:BI100)</f>
        <v>55</v>
      </c>
      <c r="DD100" s="69" t="n">
        <f aca="false">K100+SUM(AB89:AD100)+SUM(BL100:BN100)</f>
        <v>76</v>
      </c>
      <c r="DE100" s="1" t="n">
        <f aca="false">L100+SUM(AE89:AE100)+BO100</f>
        <v>0</v>
      </c>
      <c r="DF100" s="69" t="n">
        <f aca="false">M100+SUM(AG89:AG100)+BQ100</f>
        <v>24</v>
      </c>
      <c r="DG100" s="69" t="e">
        <f aca="false" t="array" ref="DG100:DG100">INDEX(TblConstr[[Total Plain]:[Total Water]],ROW()-ROW(TblConstr[#headers]),MATCH("Total "&amp;home_land,TblConstr[[#Headers],[Total Plain]:[Total Water]],0))+TblConstr[[#This Row],[Homes]]</f>
        <v>#VALUE!</v>
      </c>
      <c r="DH100" s="1" t="n">
        <f aca="false">SUM(O89:O100)+AY100</f>
        <v>40</v>
      </c>
      <c r="DI100" s="1" t="n">
        <f aca="false">MAX(BA100-BA99,0)</f>
        <v>0</v>
      </c>
      <c r="DJ100" s="1" t="n">
        <f aca="false">MAX(BQ100-BQ99,0)</f>
        <v>0</v>
      </c>
    </row>
    <row r="101" customFormat="false" ht="12.75" hidden="false" customHeight="false" outlineLevel="0" collapsed="false">
      <c r="A101" s="170" t="n">
        <f aca="false">TblRezone[[#This Row],[Hour]]</f>
        <v>98</v>
      </c>
      <c r="B101" s="171" t="n">
        <f aca="false">SUM(TblConstr[[#This Row],[Plain]:[Water]])</f>
        <v>0</v>
      </c>
      <c r="C101" s="172" t="n">
        <f aca="false">SUM(TblConstr[[#This Row],[Tot Hom]:[Tot Doc]])</f>
        <v>700</v>
      </c>
      <c r="D101" s="172" t="n">
        <f aca="false">SUM(O90:AG101)</f>
        <v>0</v>
      </c>
      <c r="E101" s="173"/>
      <c r="F101" s="33" t="n">
        <f aca="false">TblConstr[[#This Row],[Barren]]+TblConstr[[#This Row],[Buildings]]+TblConstr[[#This Row],[Incoming]]</f>
        <v>700</v>
      </c>
      <c r="G101" s="199" t="n">
        <f aca="false">OFFSET(TblConstr[[#This Row],[Plain]],-1,0)+TblConstr[[#This Row],[Ch_Plain]]</f>
        <v>0</v>
      </c>
      <c r="H101" s="193" t="n">
        <f aca="false">OFFSET(TblConstr[[#This Row],[Forest]],-1,0)+TblConstr[[#This Row],[Ch_Forest]]</f>
        <v>0</v>
      </c>
      <c r="I101" s="200" t="n">
        <f aca="false">OFFSET(TblConstr[[#This Row],[Mountain]],-1,0)+TblConstr[[#This Row],[Ch_Mountain]]</f>
        <v>0</v>
      </c>
      <c r="J101" s="201" t="n">
        <f aca="false">OFFSET(TblConstr[[#This Row],[Hill]],-1,0)+TblConstr[[#This Row],[Ch_Hill]]</f>
        <v>0</v>
      </c>
      <c r="K101" s="202" t="n">
        <f aca="false">OFFSET(TblConstr[[#This Row],[Swamp]],-1,0)+TblConstr[[#This Row],[Ch_Swamp]]</f>
        <v>0</v>
      </c>
      <c r="L101" s="197" t="n">
        <f aca="false">OFFSET(TblConstr[[#This Row],[Cavern]],-1,0)+TblConstr[[#This Row],[Ch_Cavern]]</f>
        <v>0</v>
      </c>
      <c r="M101" s="198" t="n">
        <f aca="false">OFFSET(TblConstr[[#This Row],[Water]],-1,0)+TblConstr[[#This Row],[Ch_Water]]</f>
        <v>0</v>
      </c>
      <c r="N101" s="181" t="n">
        <f aca="false">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20" t="n">
        <f aca="false">TblImps[[#This Row],[Time]]</f>
        <v>45433.7916666667</v>
      </c>
      <c r="AI101" s="130" t="n">
        <f aca="false">MIN(25%,(TblConstr[[#This Row],[Tot Fac]]+TblConstr[[#This Row],[Dest Fac]])/(TblConstr[[#This Row],[Land]]-TblExplore[[#This Row],[Land Bonus]]*20))</f>
        <v>0</v>
      </c>
      <c r="AJ101" s="130" t="n">
        <f aca="false">MIN(25%,(TblConstr[[#This Row],[Tot Fac]]+TblConstr[[#This Row],[Dest Fac]])/TblConstr[[#This Row],[Land]])</f>
        <v>0</v>
      </c>
      <c r="AK101" s="69" t="n">
        <f aca="false">TblProd[[#This Row],[Platinum]]</f>
        <v>1065746</v>
      </c>
      <c r="AL101" s="69" t="n">
        <f aca="false">TblProd[[#This Row],[Lumber]]</f>
        <v>35919</v>
      </c>
      <c r="AM10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1" s="69" t="n">
        <f aca="false">ROUNDDOWN( MAX(1 - MIN(facs_constr_factor*TblConstr[[#This Row],[Facs -DB]],facs_constr_max) + tech_1_11*TblTech[[#This Row],[11-1]] + tech_6_3_2*TblTech[[#This Row],[6-3]] + tech_5_2_3*TblTech[[#This Row],[5-2]], 1-global_constr_cap) * TblConstr[[#This Row],[RCPA Lumber]],0)</f>
        <v>216</v>
      </c>
      <c r="AO10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1" s="69" t="n">
        <f aca="false">ROUNDDOWN( MAX(1 - MIN(facs_constr_factor*TblConstr[[#This Row],[Facs DB]],facs_constr_max) + tech_1_11*TblTech[[#This Row],[1-11]] + tech_6_3_2*TblTech[[#This Row],[6-3]] + tech_5_2_3*TblTech[[#This Row],[5-2]], 1-global_constr_cap) * ROUND((TblConstr[[#This Row],[Land]]-250)*0.285 + 87.5 + 0/4.25,0),0)</f>
        <v>216</v>
      </c>
      <c r="AQ101" s="1" t="n">
        <f aca="false">TblConstr[[#This Row],[build -db]]*TblConstr[[#This Row],[CPA Platinum -DB]] + TblConstr[[#This Row],[build db]]*TblConstr[[#This Row],[CPA Platinum DB]]</f>
        <v>0</v>
      </c>
      <c r="AR101" s="1" t="n">
        <f aca="false">TblConstr[[#This Row],[build -db]]*TblConstr[[#This Row],[CPA Lumber -DB]]+TblConstr[[#This Row],[build db]]*TblConstr[[#This Row],[CPA Lumber DB]]</f>
        <v>0</v>
      </c>
      <c r="AS101" s="69" t="n">
        <f aca="false">MIN(SUM(OFFSET(TblConstr[[#This Row],[Plain]:[Water]],-1,0))+SUM(TblConstr[[#This Row],[Dest Hom]:[Dest Doc]])+IF(TblConstr[[#This Row],[Hour]]&gt;12,SUM(OFFSET(TblExplore[[#This Row],[Plains Explore]:[Water Explore]],-12,0)),0),SUM(TblConstr[[#This Row],[Hom]:[Doc]]))</f>
        <v>0</v>
      </c>
      <c r="AT10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32"/>
      <c r="AV101" s="69" t="n">
        <f aca="false">ROUND((TblConstr[[#This Row],[Land]]-250 - IF(TblExplore[[#This Row],[Land Bonus]]&lt;&gt;0,20,0))*1.25 + 850 + 0,0)</f>
        <v>1413</v>
      </c>
      <c r="AW101" s="69" t="n">
        <f aca="false">ROUND((TblConstr[[#This Row],[Land]]-250 - IF(TblExplore[[#This Row],[Land Bonus]]&lt;&gt;0,20,0))*0.285 + 87.5 + 0/4.25,0)</f>
        <v>216</v>
      </c>
      <c r="AX101" s="146"/>
      <c r="AY101" s="203" t="n">
        <f aca="false" t="array" ref="AY101:AY101">IF(TblConstr[[#This Row],[Hour]:[Hour]]&gt;12,OFFSET(TblConstr[[#This Row],[Hom]],-12,0),0)+OFFSET(TblConstr[[#This Row],[Tot Hom]],-1,0)-TblConstr[[#This Row],[Dest Hom]]</f>
        <v>40</v>
      </c>
      <c r="AZ101" s="204" t="n">
        <f aca="false" t="array" ref="AZ101:AZ101">IF(TblConstr[[#This Row],[Hour]:[Hour]]&gt;12,OFFSET(TblConstr[[#This Row],[Alc]],-12,0),0)+OFFSET(TblConstr[[#This Row],[Tot Alc]],-1,0)-TblConstr[[#This Row],[Dest Alc]]</f>
        <v>275</v>
      </c>
      <c r="BA101" s="204" t="n">
        <f aca="false" t="array" ref="BA101:BA101">IF(TblConstr[[#This Row],[Hour]:[Hour]]&gt;12,OFFSET(TblConstr[[#This Row],[Far]],-12,0),0)+OFFSET(TblConstr[[#This Row],[Tot Farm]],-1,0)-TblConstr[[#This Row],[Dest Farm]]</f>
        <v>29</v>
      </c>
      <c r="BB101" s="204" t="n">
        <f aca="false" t="array" ref="BB101:BB101">IF(TblConstr[[#This Row],[Hour]:[Hour]]&gt;12,OFFSET(TblConstr[[#This Row],[Smi]],-12,0),0)+OFFSET(TblConstr[[#This Row],[Tot Smi]],-1,0)-TblConstr[[#This Row],[Dest Smi]]</f>
        <v>126</v>
      </c>
      <c r="BC101" s="204" t="n">
        <f aca="false" t="array" ref="BC101:BC101">IF(TblConstr[[#This Row],[Hour]:[Hour]]&gt;12,OFFSET(TblConstr[[#This Row],[Mas]],-12,0),0)+OFFSET(TblConstr[[#This Row],[Tot Mas]],-1,0)-TblConstr[[#This Row],[Dest Mas]]</f>
        <v>0</v>
      </c>
      <c r="BD101" s="205" t="n">
        <f aca="false" t="array" ref="BD101:BD101">IF(TblConstr[[#This Row],[Hour]:[Hour]]&gt;12,OFFSET(TblConstr[[#This Row],[Ly]],-12,0),0)+OFFSET(TblConstr[[#This Row],[Tot Ly]],-1,0)-TblConstr[[#This Row],[Dest Ly]]</f>
        <v>25</v>
      </c>
      <c r="BE101" s="205" t="n">
        <f aca="false" t="array" ref="BE101:BE101">IF(TblConstr[[#This Row],[Hour]:[Hour]]&gt;12,OFFSET(TblConstr[[#This Row],[Hav]],-12,0),0)+OFFSET(TblConstr[[#This Row],[Tot Hav]],-1,0)-TblConstr[[#This Row],[Dest Hav]]</f>
        <v>0</v>
      </c>
      <c r="BF101" s="194" t="n">
        <f aca="false" t="array" ref="BF101:BF101">IF(TblConstr[[#This Row],[Hour]:[Hour]]&gt;12,OFFSET(TblConstr[[#This Row],[OM]],-12,0),0)+OFFSET(TblConstr[[#This Row],[Tot OM]],-1,0)-TblConstr[[#This Row],[Dest OM]]</f>
        <v>0</v>
      </c>
      <c r="BG101" s="194" t="n">
        <f aca="false" t="array" ref="BG101:BG101">IF(TblConstr[[#This Row],[Hour]:[Hour]]&gt;12,OFFSET(TblConstr[[#This Row],[GN]],-12,0),0)+OFFSET(TblConstr[[#This Row],[Tot GN]],-1,0)-TblConstr[[#This Row],[Dest GN]]</f>
        <v>0</v>
      </c>
      <c r="BH101" s="206" t="n">
        <f aca="false" t="array" ref="BH101:BH101">IF(TblConstr[[#This Row],[Hour]:[Hour]]&gt;12,OFFSET(TblConstr[[#This Row],[Fac]],-12,0),0)+OFFSET(TblConstr[[#This Row],[Tot Fac]],-1,0)-TblConstr[[#This Row],[Dest Fac]]</f>
        <v>0</v>
      </c>
      <c r="BI101" s="206" t="n">
        <f aca="false" t="array" ref="BI101:BI101">IF(TblConstr[[#This Row],[Hour]:[Hour]]&gt;12,OFFSET(TblConstr[[#This Row],[GT]],-12,0),0)+OFFSET(TblConstr[[#This Row],[Tot GT]],-1,0)-TblConstr[[#This Row],[Dest GT]]</f>
        <v>55</v>
      </c>
      <c r="BJ101" s="206" t="n">
        <f aca="false" t="array" ref="BJ101:BJ101">IF(TblConstr[[#This Row],[Hour]:[Hour]]&gt;12,OFFSET(TblConstr[[#This Row],[Bar]],-12,0),0)+OFFSET(TblConstr[[#This Row],[Tot Bar]],-1,0)-TblConstr[[#This Row],[Dest Bar]]</f>
        <v>50</v>
      </c>
      <c r="BK101" s="206" t="n">
        <f aca="false" t="array" ref="BK101:BK101">IF(TblConstr[[#This Row],[Hour]:[Hour]]&gt;12,OFFSET(TblConstr[[#This Row],[Shr]],-12,0),0)+OFFSET(TblConstr[[#This Row],[Tot Shr]],-1,0)-TblConstr[[#This Row],[Dest Shr]]</f>
        <v>0</v>
      </c>
      <c r="BL101" s="207" t="n">
        <f aca="false" t="array" ref="BL101:BL101">IF(TblConstr[[#This Row],[Hour]:[Hour]]&gt;12,OFFSET(TblConstr[[#This Row],[Tow]],-12,0),0)+OFFSET(TblConstr[[#This Row],[Tot Tow]],-1,0)-TblConstr[[#This Row],[Dest Tow]]</f>
        <v>29</v>
      </c>
      <c r="BM101" s="207" t="n">
        <f aca="false" t="array" ref="BM101:BM101">IF(TblConstr[[#This Row],[Hour]:[Hour]]&gt;12,OFFSET(TblConstr[[#This Row],[Tem]],-12,0),0)+OFFSET(TblConstr[[#This Row],[Tot Tem]],-1,0)-TblConstr[[#This Row],[Dest Tem]]</f>
        <v>47</v>
      </c>
      <c r="BN101" s="207" t="n">
        <f aca="false" t="array" ref="BN101:BN101">IF(TblConstr[[#This Row],[Hour]:[Hour]]&gt;12,OFFSET(TblConstr[[#This Row],[WG]],-12,0),0)+OFFSET(TblConstr[[#This Row],[Tot WG]],-1,0)-TblConstr[[#This Row],[Dest WG]]</f>
        <v>0</v>
      </c>
      <c r="BO101" s="208" t="n">
        <f aca="false" t="array" ref="BO101:BO101">IF(TblConstr[[#This Row],[Hour]:[Hour]]&gt;12,OFFSET(TblConstr[[#This Row],[DM]],-12,0),0)+OFFSET(TblConstr[[#This Row],[Tot DM]],-1,0)-TblConstr[[#This Row],[Dest DM]]</f>
        <v>0</v>
      </c>
      <c r="BP101" s="208" t="n">
        <f aca="false" t="array" ref="BP101:BP101">IF(TblConstr[[#This Row],[Hour]:[Hour]]&gt;12,OFFSET(TblConstr[[#This Row],[Sch]],-12,0),0)+OFFSET(TblConstr[[#This Row],[Tot Sch]],-1,0)-TblConstr[[#This Row],[Dest Sch]]</f>
        <v>0</v>
      </c>
      <c r="BQ101" s="209" t="n">
        <f aca="false" t="array" ref="BQ101:BQ101">IF(TblConstr[[#This Row],[Hour]:[Hour]]&gt;12,OFFSET(TblConstr[[#This Row],[Doc]],-12,0),0)+OFFSET(TblConstr[[#This Row],[Tot Doc]],-1,0)-TblConstr[[#This Row],[Dest Doc]]</f>
        <v>24</v>
      </c>
      <c r="BR101" s="132"/>
      <c r="BS101" s="146"/>
      <c r="BT101" s="69" t="n">
        <f aca="false">TblConstr[[#This Row],[Land]]</f>
        <v>700</v>
      </c>
      <c r="BU101" s="153" t="n">
        <f aca="false">TblImps[[#This Row],[Time]]</f>
        <v>45433.7916666667</v>
      </c>
      <c r="BV101" s="132"/>
      <c r="BW101" s="182"/>
      <c r="BX101" s="182"/>
      <c r="BY101" s="182"/>
      <c r="BZ101" s="182"/>
      <c r="CA101" s="182"/>
      <c r="CB101" s="182"/>
      <c r="CC101" s="182"/>
      <c r="CD101" s="182"/>
      <c r="CE101" s="182"/>
      <c r="CF101" s="182"/>
      <c r="CG101" s="182"/>
      <c r="CH101" s="182"/>
      <c r="CI101" s="182"/>
      <c r="CJ101" s="182"/>
      <c r="CK101" s="182"/>
      <c r="CL101" s="182"/>
      <c r="CM101" s="182"/>
      <c r="CN101" s="182"/>
      <c r="CO101" s="182"/>
      <c r="CP101" s="132"/>
      <c r="CQ101" s="192" t="n">
        <f aca="false">-SUM(TblConstr[[#This Row],[Alc]:[Mas]])+SUM(TblConstr[[#This Row],[Dest Alc]:[Dest Mas]])+Rezone!L101+IF("Ch_"&amp; home_land=TblConstr[[#Headers],[Ch_Plain]],TblConstr[[#This Row],[Home Land]])+IF(TblConstr[[#This Row],[Hour]:[Hour]]&gt;12,OFFSET(TblExplore[[#This Row],[Plains Explore]],-12,0),0)</f>
        <v>0</v>
      </c>
      <c r="CR101" s="193" t="n">
        <f aca="false">-SUM(TblConstr[[#This Row],[Ly]:[Hav]])+SUM(TblConstr[[#This Row],[Dest Ly]:[Dest Hav]]) +Rezone!M101 + IF("Ch_"&amp; home_land=TblConstr[[#Headers],[Ch_Forest]],TblConstr[[#This Row],[Home Land]])+IF(TblConstr[[#This Row],[Hour]:[Hour]]&gt;12,OFFSET(TblExplore[[#This Row],[Forest Explore]],-12,0),0)</f>
        <v>0</v>
      </c>
      <c r="CS101" s="200" t="n">
        <f aca="false">-SUM(TblConstr[[#This Row],[OM]:[GN]])+SUM(TblConstr[[#This Row],[Dest OM]:[Dest GN]]) +Rezone!N101 + IF("Ch_"&amp; home_land=TblConstr[[#Headers],[Ch_Mountain]],TblConstr[[#This Row],[Home Land]])+IF(TblConstr[[#This Row],[Hour]:[Hour]]&gt;12,OFFSET(TblExplore[[#This Row],[Mountain Explore]],-12,0),0)</f>
        <v>0</v>
      </c>
      <c r="CT101" s="195" t="n">
        <f aca="false">-SUM(TblConstr[[#This Row],[Fac]:[Shr]])+SUM(TblConstr[[#This Row],[Dest Fac]:[Dest Shr]]) +Rezone!O101 + IF("Ch_" &amp; home_land=TblConstr[[#Headers],[Ch_Hill]],TblConstr[[#This Row],[Home Land]])+IF(TblConstr[[#This Row],[Hour]:[Hour]]&gt;12,OFFSET(TblExplore[[#This Row],[Hill Explore]],-12,0),0)</f>
        <v>0</v>
      </c>
      <c r="CU101" s="196" t="n">
        <f aca="false">-SUM(TblConstr[[#This Row],[Tow]:[WG]])+SUM(TblConstr[[#This Row],[Dest Tow]:[Dest WG]]) +Rezone!P101 + IF("Ch_" &amp; home_land=TblConstr[[#Headers],[Ch_Swamp]],TblConstr[[#This Row],[Home Land]])+IF(TblConstr[[#This Row],[Hour]:[Hour]]&gt;12,OFFSET(TblExplore[[#This Row],[Swamp Explore]],-12,0),0)</f>
        <v>0</v>
      </c>
      <c r="CV101" s="197" t="n">
        <f aca="false">- SUM(TblConstr[[#This Row],[DM]:[Sch]])+SUM(TblConstr[[#This Row],[Dest DM]:[Dest Sch]]) +Rezone!Q101 + IF("Ch_" &amp; home_land=TblConstr[[#Headers],[Ch_Cavern]],TblConstr[[#This Row],[Home Land]])+IF(TblConstr[[#This Row],[Hour]:[Hour]]&gt;12,OFFSET(TblExplore[[#This Row],[Cavern Explore]],-12,0),0)</f>
        <v>0</v>
      </c>
      <c r="CW101" s="198" t="n">
        <f aca="false">-TblConstr[[#This Row],[Doc]]+TblConstr[[#This Row],[Dest Doc]] +Rezone!R101 + IF("Ch_" &amp; home_land=TblConstr[[#Headers],[Ch_Water]],TblConstr[[#This Row],[Home Land]])+IF(TblConstr[[#This Row],[Hour]:[Hour]]&gt;12,OFFSET(TblExplore[[#This Row],[Water Explore]],-12,0),0)</f>
        <v>0</v>
      </c>
      <c r="CX101" s="1" t="n">
        <f aca="false">IF(Explore!S101=1,20) - TblConstr[[#This Row],[Hom]] + TblConstr[[#This Row],[Dest Hom]]</f>
        <v>0</v>
      </c>
      <c r="CY101" s="132"/>
      <c r="CZ101" s="69" t="n">
        <f aca="false">G101+SUM(P90:S101)+SUM(AZ101:BC101)</f>
        <v>430</v>
      </c>
      <c r="DA101" s="69" t="n">
        <f aca="false">H101+SUM(T90:U101)+SUM(BD101:BE101)</f>
        <v>25</v>
      </c>
      <c r="DB101" s="1" t="n">
        <f aca="false">I101+SUM(V90:W101)+SUM(BF101:BG101)</f>
        <v>0</v>
      </c>
      <c r="DC101" s="69" t="n">
        <f aca="false">J101+SUM(X90:Y101)+SUM(BH101:BI101)</f>
        <v>55</v>
      </c>
      <c r="DD101" s="69" t="n">
        <f aca="false">K101+SUM(AB90:AD101)+SUM(BL101:BN101)</f>
        <v>76</v>
      </c>
      <c r="DE101" s="1" t="n">
        <f aca="false">L101+SUM(AE90:AE101)+BO101</f>
        <v>0</v>
      </c>
      <c r="DF101" s="69" t="n">
        <f aca="false">M101+SUM(AG90:AG101)+BQ101</f>
        <v>24</v>
      </c>
      <c r="DG101" s="69" t="e">
        <f aca="false" t="array" ref="DG101:DG101">INDEX(TblConstr[[Total Plain]:[Total Water]],ROW()-ROW(TblConstr[#headers]),MATCH("Total "&amp;home_land,TblConstr[[#Headers],[Total Plain]:[Total Water]],0))+TblConstr[[#This Row],[Homes]]</f>
        <v>#VALUE!</v>
      </c>
      <c r="DH101" s="1" t="n">
        <f aca="false">SUM(O90:O101)+AY101</f>
        <v>40</v>
      </c>
      <c r="DI101" s="1" t="n">
        <f aca="false">MAX(BA101-BA100,0)</f>
        <v>0</v>
      </c>
      <c r="DJ101" s="1" t="n">
        <f aca="false">MAX(BQ101-BQ100,0)</f>
        <v>0</v>
      </c>
    </row>
    <row r="102" customFormat="false" ht="12.75" hidden="false" customHeight="false" outlineLevel="0" collapsed="false">
      <c r="A102" s="170" t="n">
        <f aca="false">TblRezone[[#This Row],[Hour]]</f>
        <v>99</v>
      </c>
      <c r="B102" s="171" t="n">
        <f aca="false">SUM(TblConstr[[#This Row],[Plain]:[Water]])</f>
        <v>0</v>
      </c>
      <c r="C102" s="172" t="n">
        <f aca="false">SUM(TblConstr[[#This Row],[Tot Hom]:[Tot Doc]])</f>
        <v>700</v>
      </c>
      <c r="D102" s="172" t="n">
        <f aca="false">SUM(O91:AG102)</f>
        <v>0</v>
      </c>
      <c r="E102" s="173"/>
      <c r="F102" s="33" t="n">
        <f aca="false">TblConstr[[#This Row],[Barren]]+TblConstr[[#This Row],[Buildings]]+TblConstr[[#This Row],[Incoming]]</f>
        <v>700</v>
      </c>
      <c r="G102" s="199" t="n">
        <f aca="false">OFFSET(TblConstr[[#This Row],[Plain]],-1,0)+TblConstr[[#This Row],[Ch_Plain]]</f>
        <v>0</v>
      </c>
      <c r="H102" s="193" t="n">
        <f aca="false">OFFSET(TblConstr[[#This Row],[Forest]],-1,0)+TblConstr[[#This Row],[Ch_Forest]]</f>
        <v>0</v>
      </c>
      <c r="I102" s="200" t="n">
        <f aca="false">OFFSET(TblConstr[[#This Row],[Mountain]],-1,0)+TblConstr[[#This Row],[Ch_Mountain]]</f>
        <v>0</v>
      </c>
      <c r="J102" s="201" t="n">
        <f aca="false">OFFSET(TblConstr[[#This Row],[Hill]],-1,0)+TblConstr[[#This Row],[Ch_Hill]]</f>
        <v>0</v>
      </c>
      <c r="K102" s="202" t="n">
        <f aca="false">OFFSET(TblConstr[[#This Row],[Swamp]],-1,0)+TblConstr[[#This Row],[Ch_Swamp]]</f>
        <v>0</v>
      </c>
      <c r="L102" s="197" t="n">
        <f aca="false">OFFSET(TblConstr[[#This Row],[Cavern]],-1,0)+TblConstr[[#This Row],[Ch_Cavern]]</f>
        <v>0</v>
      </c>
      <c r="M102" s="198" t="n">
        <f aca="false">OFFSET(TblConstr[[#This Row],[Water]],-1,0)+TblConstr[[#This Row],[Ch_Water]]</f>
        <v>0</v>
      </c>
      <c r="N102" s="181" t="n">
        <f aca="false">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20" t="n">
        <f aca="false">TblImps[[#This Row],[Time]]</f>
        <v>45433.8333333333</v>
      </c>
      <c r="AI102" s="130" t="n">
        <f aca="false">MIN(25%,(TblConstr[[#This Row],[Tot Fac]]+TblConstr[[#This Row],[Dest Fac]])/(TblConstr[[#This Row],[Land]]-TblExplore[[#This Row],[Land Bonus]]*20))</f>
        <v>0</v>
      </c>
      <c r="AJ102" s="130" t="n">
        <f aca="false">MIN(25%,(TblConstr[[#This Row],[Tot Fac]]+TblConstr[[#This Row],[Dest Fac]])/TblConstr[[#This Row],[Land]])</f>
        <v>0</v>
      </c>
      <c r="AK102" s="69" t="n">
        <f aca="false">TblProd[[#This Row],[Platinum]]</f>
        <v>1106424</v>
      </c>
      <c r="AL102" s="69" t="n">
        <f aca="false">TblProd[[#This Row],[Lumber]]</f>
        <v>36685</v>
      </c>
      <c r="AM10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2" s="69" t="n">
        <f aca="false">ROUNDDOWN( MAX(1 - MIN(facs_constr_factor*TblConstr[[#This Row],[Facs -DB]],facs_constr_max) + tech_1_11*TblTech[[#This Row],[11-1]] + tech_6_3_2*TblTech[[#This Row],[6-3]] + tech_5_2_3*TblTech[[#This Row],[5-2]], 1-global_constr_cap) * TblConstr[[#This Row],[RCPA Lumber]],0)</f>
        <v>216</v>
      </c>
      <c r="AO10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2" s="69" t="n">
        <f aca="false">ROUNDDOWN( MAX(1 - MIN(facs_constr_factor*TblConstr[[#This Row],[Facs DB]],facs_constr_max) + tech_1_11*TblTech[[#This Row],[1-11]] + tech_6_3_2*TblTech[[#This Row],[6-3]] + tech_5_2_3*TblTech[[#This Row],[5-2]], 1-global_constr_cap) * ROUND((TblConstr[[#This Row],[Land]]-250)*0.285 + 87.5 + 0/4.25,0),0)</f>
        <v>216</v>
      </c>
      <c r="AQ102" s="1" t="n">
        <f aca="false">TblConstr[[#This Row],[build -db]]*TblConstr[[#This Row],[CPA Platinum -DB]] + TblConstr[[#This Row],[build db]]*TblConstr[[#This Row],[CPA Platinum DB]]</f>
        <v>0</v>
      </c>
      <c r="AR102" s="1" t="n">
        <f aca="false">TblConstr[[#This Row],[build -db]]*TblConstr[[#This Row],[CPA Lumber -DB]]+TblConstr[[#This Row],[build db]]*TblConstr[[#This Row],[CPA Lumber DB]]</f>
        <v>0</v>
      </c>
      <c r="AS102" s="69" t="n">
        <f aca="false">MIN(SUM(OFFSET(TblConstr[[#This Row],[Plain]:[Water]],-1,0))+SUM(TblConstr[[#This Row],[Dest Hom]:[Dest Doc]])+IF(TblConstr[[#This Row],[Hour]]&gt;12,SUM(OFFSET(TblExplore[[#This Row],[Plains Explore]:[Water Explore]],-12,0)),0),SUM(TblConstr[[#This Row],[Hom]:[Doc]]))</f>
        <v>0</v>
      </c>
      <c r="AT10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32"/>
      <c r="AV102" s="69" t="n">
        <f aca="false">ROUND((TblConstr[[#This Row],[Land]]-250 - IF(TblExplore[[#This Row],[Land Bonus]]&lt;&gt;0,20,0))*1.25 + 850 + 0,0)</f>
        <v>1413</v>
      </c>
      <c r="AW102" s="69" t="n">
        <f aca="false">ROUND((TblConstr[[#This Row],[Land]]-250 - IF(TblExplore[[#This Row],[Land Bonus]]&lt;&gt;0,20,0))*0.285 + 87.5 + 0/4.25,0)</f>
        <v>216</v>
      </c>
      <c r="AX102" s="146"/>
      <c r="AY102" s="203" t="n">
        <f aca="false" t="array" ref="AY102:AY102">IF(TblConstr[[#This Row],[Hour]:[Hour]]&gt;12,OFFSET(TblConstr[[#This Row],[Hom]],-12,0),0)+OFFSET(TblConstr[[#This Row],[Tot Hom]],-1,0)-TblConstr[[#This Row],[Dest Hom]]</f>
        <v>40</v>
      </c>
      <c r="AZ102" s="204" t="n">
        <f aca="false" t="array" ref="AZ102:AZ102">IF(TblConstr[[#This Row],[Hour]:[Hour]]&gt;12,OFFSET(TblConstr[[#This Row],[Alc]],-12,0),0)+OFFSET(TblConstr[[#This Row],[Tot Alc]],-1,0)-TblConstr[[#This Row],[Dest Alc]]</f>
        <v>275</v>
      </c>
      <c r="BA102" s="204" t="n">
        <f aca="false" t="array" ref="BA102:BA102">IF(TblConstr[[#This Row],[Hour]:[Hour]]&gt;12,OFFSET(TblConstr[[#This Row],[Far]],-12,0),0)+OFFSET(TblConstr[[#This Row],[Tot Farm]],-1,0)-TblConstr[[#This Row],[Dest Farm]]</f>
        <v>29</v>
      </c>
      <c r="BB102" s="204" t="n">
        <f aca="false" t="array" ref="BB102:BB102">IF(TblConstr[[#This Row],[Hour]:[Hour]]&gt;12,OFFSET(TblConstr[[#This Row],[Smi]],-12,0),0)+OFFSET(TblConstr[[#This Row],[Tot Smi]],-1,0)-TblConstr[[#This Row],[Dest Smi]]</f>
        <v>126</v>
      </c>
      <c r="BC102" s="204" t="n">
        <f aca="false" t="array" ref="BC102:BC102">IF(TblConstr[[#This Row],[Hour]:[Hour]]&gt;12,OFFSET(TblConstr[[#This Row],[Mas]],-12,0),0)+OFFSET(TblConstr[[#This Row],[Tot Mas]],-1,0)-TblConstr[[#This Row],[Dest Mas]]</f>
        <v>0</v>
      </c>
      <c r="BD102" s="205" t="n">
        <f aca="false" t="array" ref="BD102:BD102">IF(TblConstr[[#This Row],[Hour]:[Hour]]&gt;12,OFFSET(TblConstr[[#This Row],[Ly]],-12,0),0)+OFFSET(TblConstr[[#This Row],[Tot Ly]],-1,0)-TblConstr[[#This Row],[Dest Ly]]</f>
        <v>25</v>
      </c>
      <c r="BE102" s="205" t="n">
        <f aca="false" t="array" ref="BE102:BE102">IF(TblConstr[[#This Row],[Hour]:[Hour]]&gt;12,OFFSET(TblConstr[[#This Row],[Hav]],-12,0),0)+OFFSET(TblConstr[[#This Row],[Tot Hav]],-1,0)-TblConstr[[#This Row],[Dest Hav]]</f>
        <v>0</v>
      </c>
      <c r="BF102" s="194" t="n">
        <f aca="false" t="array" ref="BF102:BF102">IF(TblConstr[[#This Row],[Hour]:[Hour]]&gt;12,OFFSET(TblConstr[[#This Row],[OM]],-12,0),0)+OFFSET(TblConstr[[#This Row],[Tot OM]],-1,0)-TblConstr[[#This Row],[Dest OM]]</f>
        <v>0</v>
      </c>
      <c r="BG102" s="194" t="n">
        <f aca="false" t="array" ref="BG102:BG102">IF(TblConstr[[#This Row],[Hour]:[Hour]]&gt;12,OFFSET(TblConstr[[#This Row],[GN]],-12,0),0)+OFFSET(TblConstr[[#This Row],[Tot GN]],-1,0)-TblConstr[[#This Row],[Dest GN]]</f>
        <v>0</v>
      </c>
      <c r="BH102" s="206" t="n">
        <f aca="false" t="array" ref="BH102:BH102">IF(TblConstr[[#This Row],[Hour]:[Hour]]&gt;12,OFFSET(TblConstr[[#This Row],[Fac]],-12,0),0)+OFFSET(TblConstr[[#This Row],[Tot Fac]],-1,0)-TblConstr[[#This Row],[Dest Fac]]</f>
        <v>0</v>
      </c>
      <c r="BI102" s="206" t="n">
        <f aca="false" t="array" ref="BI102:BI102">IF(TblConstr[[#This Row],[Hour]:[Hour]]&gt;12,OFFSET(TblConstr[[#This Row],[GT]],-12,0),0)+OFFSET(TblConstr[[#This Row],[Tot GT]],-1,0)-TblConstr[[#This Row],[Dest GT]]</f>
        <v>55</v>
      </c>
      <c r="BJ102" s="206" t="n">
        <f aca="false" t="array" ref="BJ102:BJ102">IF(TblConstr[[#This Row],[Hour]:[Hour]]&gt;12,OFFSET(TblConstr[[#This Row],[Bar]],-12,0),0)+OFFSET(TblConstr[[#This Row],[Tot Bar]],-1,0)-TblConstr[[#This Row],[Dest Bar]]</f>
        <v>50</v>
      </c>
      <c r="BK102" s="206" t="n">
        <f aca="false" t="array" ref="BK102:BK102">IF(TblConstr[[#This Row],[Hour]:[Hour]]&gt;12,OFFSET(TblConstr[[#This Row],[Shr]],-12,0),0)+OFFSET(TblConstr[[#This Row],[Tot Shr]],-1,0)-TblConstr[[#This Row],[Dest Shr]]</f>
        <v>0</v>
      </c>
      <c r="BL102" s="207" t="n">
        <f aca="false" t="array" ref="BL102:BL102">IF(TblConstr[[#This Row],[Hour]:[Hour]]&gt;12,OFFSET(TblConstr[[#This Row],[Tow]],-12,0),0)+OFFSET(TblConstr[[#This Row],[Tot Tow]],-1,0)-TblConstr[[#This Row],[Dest Tow]]</f>
        <v>29</v>
      </c>
      <c r="BM102" s="207" t="n">
        <f aca="false" t="array" ref="BM102:BM102">IF(TblConstr[[#This Row],[Hour]:[Hour]]&gt;12,OFFSET(TblConstr[[#This Row],[Tem]],-12,0),0)+OFFSET(TblConstr[[#This Row],[Tot Tem]],-1,0)-TblConstr[[#This Row],[Dest Tem]]</f>
        <v>47</v>
      </c>
      <c r="BN102" s="207" t="n">
        <f aca="false" t="array" ref="BN102:BN102">IF(TblConstr[[#This Row],[Hour]:[Hour]]&gt;12,OFFSET(TblConstr[[#This Row],[WG]],-12,0),0)+OFFSET(TblConstr[[#This Row],[Tot WG]],-1,0)-TblConstr[[#This Row],[Dest WG]]</f>
        <v>0</v>
      </c>
      <c r="BO102" s="208" t="n">
        <f aca="false" t="array" ref="BO102:BO102">IF(TblConstr[[#This Row],[Hour]:[Hour]]&gt;12,OFFSET(TblConstr[[#This Row],[DM]],-12,0),0)+OFFSET(TblConstr[[#This Row],[Tot DM]],-1,0)-TblConstr[[#This Row],[Dest DM]]</f>
        <v>0</v>
      </c>
      <c r="BP102" s="208" t="n">
        <f aca="false" t="array" ref="BP102:BP102">IF(TblConstr[[#This Row],[Hour]:[Hour]]&gt;12,OFFSET(TblConstr[[#This Row],[Sch]],-12,0),0)+OFFSET(TblConstr[[#This Row],[Tot Sch]],-1,0)-TblConstr[[#This Row],[Dest Sch]]</f>
        <v>0</v>
      </c>
      <c r="BQ102" s="209" t="n">
        <f aca="false" t="array" ref="BQ102:BQ102">IF(TblConstr[[#This Row],[Hour]:[Hour]]&gt;12,OFFSET(TblConstr[[#This Row],[Doc]],-12,0),0)+OFFSET(TblConstr[[#This Row],[Tot Doc]],-1,0)-TblConstr[[#This Row],[Dest Doc]]</f>
        <v>24</v>
      </c>
      <c r="BR102" s="132"/>
      <c r="BS102" s="146"/>
      <c r="BT102" s="69" t="n">
        <f aca="false">TblConstr[[#This Row],[Land]]</f>
        <v>700</v>
      </c>
      <c r="BU102" s="153" t="n">
        <f aca="false">TblImps[[#This Row],[Time]]</f>
        <v>45433.8333333333</v>
      </c>
      <c r="BV102" s="132"/>
      <c r="BW102" s="182"/>
      <c r="BX102" s="182"/>
      <c r="BY102" s="182"/>
      <c r="BZ102" s="182"/>
      <c r="CA102" s="182"/>
      <c r="CB102" s="182"/>
      <c r="CC102" s="182"/>
      <c r="CD102" s="182"/>
      <c r="CE102" s="182"/>
      <c r="CF102" s="182"/>
      <c r="CG102" s="182"/>
      <c r="CH102" s="182"/>
      <c r="CI102" s="182"/>
      <c r="CJ102" s="182"/>
      <c r="CK102" s="182"/>
      <c r="CL102" s="182"/>
      <c r="CM102" s="182"/>
      <c r="CN102" s="182"/>
      <c r="CO102" s="182"/>
      <c r="CP102" s="132"/>
      <c r="CQ102" s="192" t="n">
        <f aca="false">-SUM(TblConstr[[#This Row],[Alc]:[Mas]])+SUM(TblConstr[[#This Row],[Dest Alc]:[Dest Mas]])+Rezone!L102+IF("Ch_"&amp; home_land=TblConstr[[#Headers],[Ch_Plain]],TblConstr[[#This Row],[Home Land]])+IF(TblConstr[[#This Row],[Hour]:[Hour]]&gt;12,OFFSET(TblExplore[[#This Row],[Plains Explore]],-12,0),0)</f>
        <v>0</v>
      </c>
      <c r="CR102" s="193" t="n">
        <f aca="false">-SUM(TblConstr[[#This Row],[Ly]:[Hav]])+SUM(TblConstr[[#This Row],[Dest Ly]:[Dest Hav]]) +Rezone!M102 + IF("Ch_"&amp; home_land=TblConstr[[#Headers],[Ch_Forest]],TblConstr[[#This Row],[Home Land]])+IF(TblConstr[[#This Row],[Hour]:[Hour]]&gt;12,OFFSET(TblExplore[[#This Row],[Forest Explore]],-12,0),0)</f>
        <v>0</v>
      </c>
      <c r="CS102" s="200" t="n">
        <f aca="false">-SUM(TblConstr[[#This Row],[OM]:[GN]])+SUM(TblConstr[[#This Row],[Dest OM]:[Dest GN]]) +Rezone!N102 + IF("Ch_"&amp; home_land=TblConstr[[#Headers],[Ch_Mountain]],TblConstr[[#This Row],[Home Land]])+IF(TblConstr[[#This Row],[Hour]:[Hour]]&gt;12,OFFSET(TblExplore[[#This Row],[Mountain Explore]],-12,0),0)</f>
        <v>0</v>
      </c>
      <c r="CT102" s="195" t="n">
        <f aca="false">-SUM(TblConstr[[#This Row],[Fac]:[Shr]])+SUM(TblConstr[[#This Row],[Dest Fac]:[Dest Shr]]) +Rezone!O102 + IF("Ch_" &amp; home_land=TblConstr[[#Headers],[Ch_Hill]],TblConstr[[#This Row],[Home Land]])+IF(TblConstr[[#This Row],[Hour]:[Hour]]&gt;12,OFFSET(TblExplore[[#This Row],[Hill Explore]],-12,0),0)</f>
        <v>0</v>
      </c>
      <c r="CU102" s="196" t="n">
        <f aca="false">-SUM(TblConstr[[#This Row],[Tow]:[WG]])+SUM(TblConstr[[#This Row],[Dest Tow]:[Dest WG]]) +Rezone!P102 + IF("Ch_" &amp; home_land=TblConstr[[#Headers],[Ch_Swamp]],TblConstr[[#This Row],[Home Land]])+IF(TblConstr[[#This Row],[Hour]:[Hour]]&gt;12,OFFSET(TblExplore[[#This Row],[Swamp Explore]],-12,0),0)</f>
        <v>0</v>
      </c>
      <c r="CV102" s="197" t="n">
        <f aca="false">- SUM(TblConstr[[#This Row],[DM]:[Sch]])+SUM(TblConstr[[#This Row],[Dest DM]:[Dest Sch]]) +Rezone!Q102 + IF("Ch_" &amp; home_land=TblConstr[[#Headers],[Ch_Cavern]],TblConstr[[#This Row],[Home Land]])+IF(TblConstr[[#This Row],[Hour]:[Hour]]&gt;12,OFFSET(TblExplore[[#This Row],[Cavern Explore]],-12,0),0)</f>
        <v>0</v>
      </c>
      <c r="CW102" s="198" t="n">
        <f aca="false">-TblConstr[[#This Row],[Doc]]+TblConstr[[#This Row],[Dest Doc]] +Rezone!R102 + IF("Ch_" &amp; home_land=TblConstr[[#Headers],[Ch_Water]],TblConstr[[#This Row],[Home Land]])+IF(TblConstr[[#This Row],[Hour]:[Hour]]&gt;12,OFFSET(TblExplore[[#This Row],[Water Explore]],-12,0),0)</f>
        <v>0</v>
      </c>
      <c r="CX102" s="1" t="n">
        <f aca="false">IF(Explore!S102=1,20) - TblConstr[[#This Row],[Hom]] + TblConstr[[#This Row],[Dest Hom]]</f>
        <v>0</v>
      </c>
      <c r="CY102" s="132"/>
      <c r="CZ102" s="69" t="n">
        <f aca="false">G102+SUM(P91:S102)+SUM(AZ102:BC102)</f>
        <v>430</v>
      </c>
      <c r="DA102" s="69" t="n">
        <f aca="false">H102+SUM(T91:U102)+SUM(BD102:BE102)</f>
        <v>25</v>
      </c>
      <c r="DB102" s="1" t="n">
        <f aca="false">I102+SUM(V91:W102)+SUM(BF102:BG102)</f>
        <v>0</v>
      </c>
      <c r="DC102" s="69" t="n">
        <f aca="false">J102+SUM(X91:Y102)+SUM(BH102:BI102)</f>
        <v>55</v>
      </c>
      <c r="DD102" s="69" t="n">
        <f aca="false">K102+SUM(AB91:AD102)+SUM(BL102:BN102)</f>
        <v>76</v>
      </c>
      <c r="DE102" s="1" t="n">
        <f aca="false">L102+SUM(AE91:AE102)+BO102</f>
        <v>0</v>
      </c>
      <c r="DF102" s="69" t="n">
        <f aca="false">M102+SUM(AG91:AG102)+BQ102</f>
        <v>24</v>
      </c>
      <c r="DG102" s="69" t="e">
        <f aca="false" t="array" ref="DG102:DG102">INDEX(TblConstr[[Total Plain]:[Total Water]],ROW()-ROW(TblConstr[#headers]),MATCH("Total "&amp;home_land,TblConstr[[#Headers],[Total Plain]:[Total Water]],0))+TblConstr[[#This Row],[Homes]]</f>
        <v>#VALUE!</v>
      </c>
      <c r="DH102" s="1" t="n">
        <f aca="false">SUM(O91:O102)+AY102</f>
        <v>40</v>
      </c>
      <c r="DI102" s="1" t="n">
        <f aca="false">MAX(BA102-BA101,0)</f>
        <v>0</v>
      </c>
      <c r="DJ102" s="1" t="n">
        <f aca="false">MAX(BQ102-BQ101,0)</f>
        <v>0</v>
      </c>
    </row>
    <row r="103" customFormat="false" ht="12.75" hidden="false" customHeight="false" outlineLevel="0" collapsed="false">
      <c r="A103" s="170" t="n">
        <f aca="false">TblRezone[[#This Row],[Hour]]</f>
        <v>100</v>
      </c>
      <c r="B103" s="171" t="n">
        <f aca="false">SUM(TblConstr[[#This Row],[Plain]:[Water]])</f>
        <v>0</v>
      </c>
      <c r="C103" s="172" t="n">
        <f aca="false">SUM(TblConstr[[#This Row],[Tot Hom]:[Tot Doc]])</f>
        <v>700</v>
      </c>
      <c r="D103" s="172" t="n">
        <f aca="false">SUM(O92:AG103)</f>
        <v>0</v>
      </c>
      <c r="E103" s="173"/>
      <c r="F103" s="33" t="n">
        <f aca="false">TblConstr[[#This Row],[Barren]]+TblConstr[[#This Row],[Buildings]]+TblConstr[[#This Row],[Incoming]]</f>
        <v>700</v>
      </c>
      <c r="G103" s="199" t="n">
        <f aca="false">OFFSET(TblConstr[[#This Row],[Plain]],-1,0)+TblConstr[[#This Row],[Ch_Plain]]</f>
        <v>0</v>
      </c>
      <c r="H103" s="193" t="n">
        <f aca="false">OFFSET(TblConstr[[#This Row],[Forest]],-1,0)+TblConstr[[#This Row],[Ch_Forest]]</f>
        <v>0</v>
      </c>
      <c r="I103" s="200" t="n">
        <f aca="false">OFFSET(TblConstr[[#This Row],[Mountain]],-1,0)+TblConstr[[#This Row],[Ch_Mountain]]</f>
        <v>0</v>
      </c>
      <c r="J103" s="201" t="n">
        <f aca="false">OFFSET(TblConstr[[#This Row],[Hill]],-1,0)+TblConstr[[#This Row],[Ch_Hill]]</f>
        <v>0</v>
      </c>
      <c r="K103" s="202" t="n">
        <f aca="false">OFFSET(TblConstr[[#This Row],[Swamp]],-1,0)+TblConstr[[#This Row],[Ch_Swamp]]</f>
        <v>0</v>
      </c>
      <c r="L103" s="197" t="n">
        <f aca="false">OFFSET(TblConstr[[#This Row],[Cavern]],-1,0)+TblConstr[[#This Row],[Ch_Cavern]]</f>
        <v>0</v>
      </c>
      <c r="M103" s="198" t="n">
        <f aca="false">OFFSET(TblConstr[[#This Row],[Water]],-1,0)+TblConstr[[#This Row],[Ch_Water]]</f>
        <v>0</v>
      </c>
      <c r="N103" s="181" t="n">
        <f aca="false">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20" t="n">
        <f aca="false">TblImps[[#This Row],[Time]]</f>
        <v>45433.875</v>
      </c>
      <c r="AI103" s="130" t="n">
        <f aca="false">MIN(25%,(TblConstr[[#This Row],[Tot Fac]]+TblConstr[[#This Row],[Dest Fac]])/(TblConstr[[#This Row],[Land]]-TblExplore[[#This Row],[Land Bonus]]*20))</f>
        <v>0</v>
      </c>
      <c r="AJ103" s="130" t="n">
        <f aca="false">MIN(25%,(TblConstr[[#This Row],[Tot Fac]]+TblConstr[[#This Row],[Dest Fac]])/TblConstr[[#This Row],[Land]])</f>
        <v>0</v>
      </c>
      <c r="AK103" s="69" t="n">
        <f aca="false">TblProd[[#This Row],[Platinum]]</f>
        <v>1146870</v>
      </c>
      <c r="AL103" s="69" t="n">
        <f aca="false">TblProd[[#This Row],[Lumber]]</f>
        <v>37443</v>
      </c>
      <c r="AM10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3" s="69" t="n">
        <f aca="false">ROUNDDOWN( MAX(1 - MIN(facs_constr_factor*TblConstr[[#This Row],[Facs -DB]],facs_constr_max) + tech_1_11*TblTech[[#This Row],[11-1]] + tech_6_3_2*TblTech[[#This Row],[6-3]] + tech_5_2_3*TblTech[[#This Row],[5-2]], 1-global_constr_cap) * TblConstr[[#This Row],[RCPA Lumber]],0)</f>
        <v>216</v>
      </c>
      <c r="AO10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3" s="69" t="n">
        <f aca="false">ROUNDDOWN( MAX(1 - MIN(facs_constr_factor*TblConstr[[#This Row],[Facs DB]],facs_constr_max) + tech_1_11*TblTech[[#This Row],[1-11]] + tech_6_3_2*TblTech[[#This Row],[6-3]] + tech_5_2_3*TblTech[[#This Row],[5-2]], 1-global_constr_cap) * ROUND((TblConstr[[#This Row],[Land]]-250)*0.285 + 87.5 + 0/4.25,0),0)</f>
        <v>216</v>
      </c>
      <c r="AQ103" s="1" t="n">
        <f aca="false">TblConstr[[#This Row],[build -db]]*TblConstr[[#This Row],[CPA Platinum -DB]] + TblConstr[[#This Row],[build db]]*TblConstr[[#This Row],[CPA Platinum DB]]</f>
        <v>0</v>
      </c>
      <c r="AR103" s="1" t="n">
        <f aca="false">TblConstr[[#This Row],[build -db]]*TblConstr[[#This Row],[CPA Lumber -DB]]+TblConstr[[#This Row],[build db]]*TblConstr[[#This Row],[CPA Lumber DB]]</f>
        <v>0</v>
      </c>
      <c r="AS103" s="69" t="n">
        <f aca="false">MIN(SUM(OFFSET(TblConstr[[#This Row],[Plain]:[Water]],-1,0))+SUM(TblConstr[[#This Row],[Dest Hom]:[Dest Doc]])+IF(TblConstr[[#This Row],[Hour]]&gt;12,SUM(OFFSET(TblExplore[[#This Row],[Plains Explore]:[Water Explore]],-12,0)),0),SUM(TblConstr[[#This Row],[Hom]:[Doc]]))</f>
        <v>0</v>
      </c>
      <c r="AT10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32"/>
      <c r="AV103" s="69" t="n">
        <f aca="false">ROUND((TblConstr[[#This Row],[Land]]-250 - IF(TblExplore[[#This Row],[Land Bonus]]&lt;&gt;0,20,0))*1.25 + 850 + 0,0)</f>
        <v>1413</v>
      </c>
      <c r="AW103" s="69" t="n">
        <f aca="false">ROUND((TblConstr[[#This Row],[Land]]-250 - IF(TblExplore[[#This Row],[Land Bonus]]&lt;&gt;0,20,0))*0.285 + 87.5 + 0/4.25,0)</f>
        <v>216</v>
      </c>
      <c r="AX103" s="146"/>
      <c r="AY103" s="203" t="n">
        <f aca="false" t="array" ref="AY103:AY103">IF(TblConstr[[#This Row],[Hour]:[Hour]]&gt;12,OFFSET(TblConstr[[#This Row],[Hom]],-12,0),0)+OFFSET(TblConstr[[#This Row],[Tot Hom]],-1,0)-TblConstr[[#This Row],[Dest Hom]]</f>
        <v>40</v>
      </c>
      <c r="AZ103" s="204" t="n">
        <f aca="false" t="array" ref="AZ103:AZ103">IF(TblConstr[[#This Row],[Hour]:[Hour]]&gt;12,OFFSET(TblConstr[[#This Row],[Alc]],-12,0),0)+OFFSET(TblConstr[[#This Row],[Tot Alc]],-1,0)-TblConstr[[#This Row],[Dest Alc]]</f>
        <v>275</v>
      </c>
      <c r="BA103" s="204" t="n">
        <f aca="false" t="array" ref="BA103:BA103">IF(TblConstr[[#This Row],[Hour]:[Hour]]&gt;12,OFFSET(TblConstr[[#This Row],[Far]],-12,0),0)+OFFSET(TblConstr[[#This Row],[Tot Farm]],-1,0)-TblConstr[[#This Row],[Dest Farm]]</f>
        <v>29</v>
      </c>
      <c r="BB103" s="204" t="n">
        <f aca="false" t="array" ref="BB103:BB103">IF(TblConstr[[#This Row],[Hour]:[Hour]]&gt;12,OFFSET(TblConstr[[#This Row],[Smi]],-12,0),0)+OFFSET(TblConstr[[#This Row],[Tot Smi]],-1,0)-TblConstr[[#This Row],[Dest Smi]]</f>
        <v>126</v>
      </c>
      <c r="BC103" s="204" t="n">
        <f aca="false" t="array" ref="BC103:BC103">IF(TblConstr[[#This Row],[Hour]:[Hour]]&gt;12,OFFSET(TblConstr[[#This Row],[Mas]],-12,0),0)+OFFSET(TblConstr[[#This Row],[Tot Mas]],-1,0)-TblConstr[[#This Row],[Dest Mas]]</f>
        <v>0</v>
      </c>
      <c r="BD103" s="205" t="n">
        <f aca="false" t="array" ref="BD103:BD103">IF(TblConstr[[#This Row],[Hour]:[Hour]]&gt;12,OFFSET(TblConstr[[#This Row],[Ly]],-12,0),0)+OFFSET(TblConstr[[#This Row],[Tot Ly]],-1,0)-TblConstr[[#This Row],[Dest Ly]]</f>
        <v>25</v>
      </c>
      <c r="BE103" s="205" t="n">
        <f aca="false" t="array" ref="BE103:BE103">IF(TblConstr[[#This Row],[Hour]:[Hour]]&gt;12,OFFSET(TblConstr[[#This Row],[Hav]],-12,0),0)+OFFSET(TblConstr[[#This Row],[Tot Hav]],-1,0)-TblConstr[[#This Row],[Dest Hav]]</f>
        <v>0</v>
      </c>
      <c r="BF103" s="194" t="n">
        <f aca="false" t="array" ref="BF103:BF103">IF(TblConstr[[#This Row],[Hour]:[Hour]]&gt;12,OFFSET(TblConstr[[#This Row],[OM]],-12,0),0)+OFFSET(TblConstr[[#This Row],[Tot OM]],-1,0)-TblConstr[[#This Row],[Dest OM]]</f>
        <v>0</v>
      </c>
      <c r="BG103" s="194" t="n">
        <f aca="false" t="array" ref="BG103:BG103">IF(TblConstr[[#This Row],[Hour]:[Hour]]&gt;12,OFFSET(TblConstr[[#This Row],[GN]],-12,0),0)+OFFSET(TblConstr[[#This Row],[Tot GN]],-1,0)-TblConstr[[#This Row],[Dest GN]]</f>
        <v>0</v>
      </c>
      <c r="BH103" s="206" t="n">
        <f aca="false" t="array" ref="BH103:BH103">IF(TblConstr[[#This Row],[Hour]:[Hour]]&gt;12,OFFSET(TblConstr[[#This Row],[Fac]],-12,0),0)+OFFSET(TblConstr[[#This Row],[Tot Fac]],-1,0)-TblConstr[[#This Row],[Dest Fac]]</f>
        <v>0</v>
      </c>
      <c r="BI103" s="206" t="n">
        <f aca="false" t="array" ref="BI103:BI103">IF(TblConstr[[#This Row],[Hour]:[Hour]]&gt;12,OFFSET(TblConstr[[#This Row],[GT]],-12,0),0)+OFFSET(TblConstr[[#This Row],[Tot GT]],-1,0)-TblConstr[[#This Row],[Dest GT]]</f>
        <v>55</v>
      </c>
      <c r="BJ103" s="206" t="n">
        <f aca="false" t="array" ref="BJ103:BJ103">IF(TblConstr[[#This Row],[Hour]:[Hour]]&gt;12,OFFSET(TblConstr[[#This Row],[Bar]],-12,0),0)+OFFSET(TblConstr[[#This Row],[Tot Bar]],-1,0)-TblConstr[[#This Row],[Dest Bar]]</f>
        <v>50</v>
      </c>
      <c r="BK103" s="206" t="n">
        <f aca="false" t="array" ref="BK103:BK103">IF(TblConstr[[#This Row],[Hour]:[Hour]]&gt;12,OFFSET(TblConstr[[#This Row],[Shr]],-12,0),0)+OFFSET(TblConstr[[#This Row],[Tot Shr]],-1,0)-TblConstr[[#This Row],[Dest Shr]]</f>
        <v>0</v>
      </c>
      <c r="BL103" s="207" t="n">
        <f aca="false" t="array" ref="BL103:BL103">IF(TblConstr[[#This Row],[Hour]:[Hour]]&gt;12,OFFSET(TblConstr[[#This Row],[Tow]],-12,0),0)+OFFSET(TblConstr[[#This Row],[Tot Tow]],-1,0)-TblConstr[[#This Row],[Dest Tow]]</f>
        <v>29</v>
      </c>
      <c r="BM103" s="207" t="n">
        <f aca="false" t="array" ref="BM103:BM103">IF(TblConstr[[#This Row],[Hour]:[Hour]]&gt;12,OFFSET(TblConstr[[#This Row],[Tem]],-12,0),0)+OFFSET(TblConstr[[#This Row],[Tot Tem]],-1,0)-TblConstr[[#This Row],[Dest Tem]]</f>
        <v>47</v>
      </c>
      <c r="BN103" s="207" t="n">
        <f aca="false" t="array" ref="BN103:BN103">IF(TblConstr[[#This Row],[Hour]:[Hour]]&gt;12,OFFSET(TblConstr[[#This Row],[WG]],-12,0),0)+OFFSET(TblConstr[[#This Row],[Tot WG]],-1,0)-TblConstr[[#This Row],[Dest WG]]</f>
        <v>0</v>
      </c>
      <c r="BO103" s="208" t="n">
        <f aca="false" t="array" ref="BO103:BO103">IF(TblConstr[[#This Row],[Hour]:[Hour]]&gt;12,OFFSET(TblConstr[[#This Row],[DM]],-12,0),0)+OFFSET(TblConstr[[#This Row],[Tot DM]],-1,0)-TblConstr[[#This Row],[Dest DM]]</f>
        <v>0</v>
      </c>
      <c r="BP103" s="208" t="n">
        <f aca="false" t="array" ref="BP103:BP103">IF(TblConstr[[#This Row],[Hour]:[Hour]]&gt;12,OFFSET(TblConstr[[#This Row],[Sch]],-12,0),0)+OFFSET(TblConstr[[#This Row],[Tot Sch]],-1,0)-TblConstr[[#This Row],[Dest Sch]]</f>
        <v>0</v>
      </c>
      <c r="BQ103" s="209" t="n">
        <f aca="false" t="array" ref="BQ103:BQ103">IF(TblConstr[[#This Row],[Hour]:[Hour]]&gt;12,OFFSET(TblConstr[[#This Row],[Doc]],-12,0),0)+OFFSET(TblConstr[[#This Row],[Tot Doc]],-1,0)-TblConstr[[#This Row],[Dest Doc]]</f>
        <v>24</v>
      </c>
      <c r="BR103" s="132"/>
      <c r="BS103" s="146"/>
      <c r="BT103" s="69" t="n">
        <f aca="false">TblConstr[[#This Row],[Land]]</f>
        <v>700</v>
      </c>
      <c r="BU103" s="153" t="n">
        <f aca="false">TblImps[[#This Row],[Time]]</f>
        <v>45433.875</v>
      </c>
      <c r="BV103" s="132"/>
      <c r="BW103" s="182"/>
      <c r="BX103" s="182"/>
      <c r="BY103" s="182"/>
      <c r="BZ103" s="182"/>
      <c r="CA103" s="182"/>
      <c r="CB103" s="182"/>
      <c r="CC103" s="182"/>
      <c r="CD103" s="182"/>
      <c r="CE103" s="182"/>
      <c r="CF103" s="182"/>
      <c r="CG103" s="182"/>
      <c r="CH103" s="182"/>
      <c r="CI103" s="182"/>
      <c r="CJ103" s="182"/>
      <c r="CK103" s="182"/>
      <c r="CL103" s="182"/>
      <c r="CM103" s="182"/>
      <c r="CN103" s="182"/>
      <c r="CO103" s="182"/>
      <c r="CP103" s="132"/>
      <c r="CQ103" s="192" t="n">
        <f aca="false">-SUM(TblConstr[[#This Row],[Alc]:[Mas]])+SUM(TblConstr[[#This Row],[Dest Alc]:[Dest Mas]])+Rezone!L103+IF("Ch_"&amp; home_land=TblConstr[[#Headers],[Ch_Plain]],TblConstr[[#This Row],[Home Land]])+IF(TblConstr[[#This Row],[Hour]:[Hour]]&gt;12,OFFSET(TblExplore[[#This Row],[Plains Explore]],-12,0),0)</f>
        <v>0</v>
      </c>
      <c r="CR103" s="193" t="n">
        <f aca="false">-SUM(TblConstr[[#This Row],[Ly]:[Hav]])+SUM(TblConstr[[#This Row],[Dest Ly]:[Dest Hav]]) +Rezone!M103 + IF("Ch_"&amp; home_land=TblConstr[[#Headers],[Ch_Forest]],TblConstr[[#This Row],[Home Land]])+IF(TblConstr[[#This Row],[Hour]:[Hour]]&gt;12,OFFSET(TblExplore[[#This Row],[Forest Explore]],-12,0),0)</f>
        <v>0</v>
      </c>
      <c r="CS103" s="200" t="n">
        <f aca="false">-SUM(TblConstr[[#This Row],[OM]:[GN]])+SUM(TblConstr[[#This Row],[Dest OM]:[Dest GN]]) +Rezone!N103 + IF("Ch_"&amp; home_land=TblConstr[[#Headers],[Ch_Mountain]],TblConstr[[#This Row],[Home Land]])+IF(TblConstr[[#This Row],[Hour]:[Hour]]&gt;12,OFFSET(TblExplore[[#This Row],[Mountain Explore]],-12,0),0)</f>
        <v>0</v>
      </c>
      <c r="CT103" s="195" t="n">
        <f aca="false">-SUM(TblConstr[[#This Row],[Fac]:[Shr]])+SUM(TblConstr[[#This Row],[Dest Fac]:[Dest Shr]]) +Rezone!O103 + IF("Ch_" &amp; home_land=TblConstr[[#Headers],[Ch_Hill]],TblConstr[[#This Row],[Home Land]])+IF(TblConstr[[#This Row],[Hour]:[Hour]]&gt;12,OFFSET(TblExplore[[#This Row],[Hill Explore]],-12,0),0)</f>
        <v>0</v>
      </c>
      <c r="CU103" s="196" t="n">
        <f aca="false">-SUM(TblConstr[[#This Row],[Tow]:[WG]])+SUM(TblConstr[[#This Row],[Dest Tow]:[Dest WG]]) +Rezone!P103 + IF("Ch_" &amp; home_land=TblConstr[[#Headers],[Ch_Swamp]],TblConstr[[#This Row],[Home Land]])+IF(TblConstr[[#This Row],[Hour]:[Hour]]&gt;12,OFFSET(TblExplore[[#This Row],[Swamp Explore]],-12,0),0)</f>
        <v>0</v>
      </c>
      <c r="CV103" s="197" t="n">
        <f aca="false">- SUM(TblConstr[[#This Row],[DM]:[Sch]])+SUM(TblConstr[[#This Row],[Dest DM]:[Dest Sch]]) +Rezone!Q103 + IF("Ch_" &amp; home_land=TblConstr[[#Headers],[Ch_Cavern]],TblConstr[[#This Row],[Home Land]])+IF(TblConstr[[#This Row],[Hour]:[Hour]]&gt;12,OFFSET(TblExplore[[#This Row],[Cavern Explore]],-12,0),0)</f>
        <v>0</v>
      </c>
      <c r="CW103" s="198" t="n">
        <f aca="false">-TblConstr[[#This Row],[Doc]]+TblConstr[[#This Row],[Dest Doc]] +Rezone!R103 + IF("Ch_" &amp; home_land=TblConstr[[#Headers],[Ch_Water]],TblConstr[[#This Row],[Home Land]])+IF(TblConstr[[#This Row],[Hour]:[Hour]]&gt;12,OFFSET(TblExplore[[#This Row],[Water Explore]],-12,0),0)</f>
        <v>0</v>
      </c>
      <c r="CX103" s="1" t="n">
        <f aca="false">IF(Explore!S103=1,20) - TblConstr[[#This Row],[Hom]] + TblConstr[[#This Row],[Dest Hom]]</f>
        <v>0</v>
      </c>
      <c r="CY103" s="132"/>
      <c r="CZ103" s="69" t="n">
        <f aca="false">G103+SUM(P92:S103)+SUM(AZ103:BC103)</f>
        <v>430</v>
      </c>
      <c r="DA103" s="69" t="n">
        <f aca="false">H103+SUM(T92:U103)+SUM(BD103:BE103)</f>
        <v>25</v>
      </c>
      <c r="DB103" s="1" t="n">
        <f aca="false">I103+SUM(V92:W103)+SUM(BF103:BG103)</f>
        <v>0</v>
      </c>
      <c r="DC103" s="69" t="n">
        <f aca="false">J103+SUM(X92:Y103)+SUM(BH103:BI103)</f>
        <v>55</v>
      </c>
      <c r="DD103" s="69" t="n">
        <f aca="false">K103+SUM(AB92:AD103)+SUM(BL103:BN103)</f>
        <v>76</v>
      </c>
      <c r="DE103" s="1" t="n">
        <f aca="false">L103+SUM(AE92:AE103)+BO103</f>
        <v>0</v>
      </c>
      <c r="DF103" s="69" t="n">
        <f aca="false">M103+SUM(AG92:AG103)+BQ103</f>
        <v>24</v>
      </c>
      <c r="DG103" s="69" t="e">
        <f aca="false" t="array" ref="DG103:DG103">INDEX(TblConstr[[Total Plain]:[Total Water]],ROW()-ROW(TblConstr[#headers]),MATCH("Total "&amp;home_land,TblConstr[[#Headers],[Total Plain]:[Total Water]],0))+TblConstr[[#This Row],[Homes]]</f>
        <v>#VALUE!</v>
      </c>
      <c r="DH103" s="1" t="n">
        <f aca="false">SUM(O92:O103)+AY103</f>
        <v>40</v>
      </c>
      <c r="DI103" s="1" t="n">
        <f aca="false">MAX(BA103-BA102,0)</f>
        <v>0</v>
      </c>
      <c r="DJ103" s="1" t="n">
        <f aca="false">MAX(BQ103-BQ102,0)</f>
        <v>0</v>
      </c>
    </row>
    <row r="104" customFormat="false" ht="12.75" hidden="false" customHeight="false" outlineLevel="0" collapsed="false">
      <c r="A104" s="170" t="n">
        <f aca="false">TblRezone[[#This Row],[Hour]]</f>
        <v>101</v>
      </c>
      <c r="B104" s="171" t="n">
        <f aca="false">SUM(TblConstr[[#This Row],[Plain]:[Water]])</f>
        <v>0</v>
      </c>
      <c r="C104" s="172" t="n">
        <f aca="false">SUM(TblConstr[[#This Row],[Tot Hom]:[Tot Doc]])</f>
        <v>700</v>
      </c>
      <c r="D104" s="172" t="n">
        <f aca="false">SUM(O93:AG104)</f>
        <v>0</v>
      </c>
      <c r="E104" s="173"/>
      <c r="F104" s="33" t="n">
        <f aca="false">TblConstr[[#This Row],[Barren]]+TblConstr[[#This Row],[Buildings]]+TblConstr[[#This Row],[Incoming]]</f>
        <v>700</v>
      </c>
      <c r="G104" s="199" t="n">
        <f aca="false">OFFSET(TblConstr[[#This Row],[Plain]],-1,0)+TblConstr[[#This Row],[Ch_Plain]]</f>
        <v>0</v>
      </c>
      <c r="H104" s="193" t="n">
        <f aca="false">OFFSET(TblConstr[[#This Row],[Forest]],-1,0)+TblConstr[[#This Row],[Ch_Forest]]</f>
        <v>0</v>
      </c>
      <c r="I104" s="200" t="n">
        <f aca="false">OFFSET(TblConstr[[#This Row],[Mountain]],-1,0)+TblConstr[[#This Row],[Ch_Mountain]]</f>
        <v>0</v>
      </c>
      <c r="J104" s="201" t="n">
        <f aca="false">OFFSET(TblConstr[[#This Row],[Hill]],-1,0)+TblConstr[[#This Row],[Ch_Hill]]</f>
        <v>0</v>
      </c>
      <c r="K104" s="202" t="n">
        <f aca="false">OFFSET(TblConstr[[#This Row],[Swamp]],-1,0)+TblConstr[[#This Row],[Ch_Swamp]]</f>
        <v>0</v>
      </c>
      <c r="L104" s="197" t="n">
        <f aca="false">OFFSET(TblConstr[[#This Row],[Cavern]],-1,0)+TblConstr[[#This Row],[Ch_Cavern]]</f>
        <v>0</v>
      </c>
      <c r="M104" s="198" t="n">
        <f aca="false">OFFSET(TblConstr[[#This Row],[Water]],-1,0)+TblConstr[[#This Row],[Ch_Water]]</f>
        <v>0</v>
      </c>
      <c r="N104" s="181" t="n">
        <f aca="false">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20" t="n">
        <f aca="false">TblImps[[#This Row],[Time]]</f>
        <v>45433.9166666667</v>
      </c>
      <c r="AI104" s="130" t="n">
        <f aca="false">MIN(25%,(TblConstr[[#This Row],[Tot Fac]]+TblConstr[[#This Row],[Dest Fac]])/(TblConstr[[#This Row],[Land]]-TblExplore[[#This Row],[Land Bonus]]*20))</f>
        <v>0</v>
      </c>
      <c r="AJ104" s="130" t="n">
        <f aca="false">MIN(25%,(TblConstr[[#This Row],[Tot Fac]]+TblConstr[[#This Row],[Dest Fac]])/TblConstr[[#This Row],[Land]])</f>
        <v>0</v>
      </c>
      <c r="AK104" s="69" t="n">
        <f aca="false">TblProd[[#This Row],[Platinum]]</f>
        <v>1187087</v>
      </c>
      <c r="AL104" s="69" t="n">
        <f aca="false">TblProd[[#This Row],[Lumber]]</f>
        <v>38194</v>
      </c>
      <c r="AM10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4" s="69" t="n">
        <f aca="false">ROUNDDOWN( MAX(1 - MIN(facs_constr_factor*TblConstr[[#This Row],[Facs -DB]],facs_constr_max) + tech_1_11*TblTech[[#This Row],[11-1]] + tech_6_3_2*TblTech[[#This Row],[6-3]] + tech_5_2_3*TblTech[[#This Row],[5-2]], 1-global_constr_cap) * TblConstr[[#This Row],[RCPA Lumber]],0)</f>
        <v>216</v>
      </c>
      <c r="AO10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4" s="69" t="n">
        <f aca="false">ROUNDDOWN( MAX(1 - MIN(facs_constr_factor*TblConstr[[#This Row],[Facs DB]],facs_constr_max) + tech_1_11*TblTech[[#This Row],[1-11]] + tech_6_3_2*TblTech[[#This Row],[6-3]] + tech_5_2_3*TblTech[[#This Row],[5-2]], 1-global_constr_cap) * ROUND((TblConstr[[#This Row],[Land]]-250)*0.285 + 87.5 + 0/4.25,0),0)</f>
        <v>216</v>
      </c>
      <c r="AQ104" s="1" t="n">
        <f aca="false">TblConstr[[#This Row],[build -db]]*TblConstr[[#This Row],[CPA Platinum -DB]] + TblConstr[[#This Row],[build db]]*TblConstr[[#This Row],[CPA Platinum DB]]</f>
        <v>0</v>
      </c>
      <c r="AR104" s="1" t="n">
        <f aca="false">TblConstr[[#This Row],[build -db]]*TblConstr[[#This Row],[CPA Lumber -DB]]+TblConstr[[#This Row],[build db]]*TblConstr[[#This Row],[CPA Lumber DB]]</f>
        <v>0</v>
      </c>
      <c r="AS104" s="69" t="n">
        <f aca="false">MIN(SUM(OFFSET(TblConstr[[#This Row],[Plain]:[Water]],-1,0))+SUM(TblConstr[[#This Row],[Dest Hom]:[Dest Doc]])+IF(TblConstr[[#This Row],[Hour]]&gt;12,SUM(OFFSET(TblExplore[[#This Row],[Plains Explore]:[Water Explore]],-12,0)),0),SUM(TblConstr[[#This Row],[Hom]:[Doc]]))</f>
        <v>0</v>
      </c>
      <c r="AT10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32"/>
      <c r="AV104" s="69" t="n">
        <f aca="false">ROUND((TblConstr[[#This Row],[Land]]-250 - IF(TblExplore[[#This Row],[Land Bonus]]&lt;&gt;0,20,0))*1.25 + 850 + 0,0)</f>
        <v>1413</v>
      </c>
      <c r="AW104" s="69" t="n">
        <f aca="false">ROUND((TblConstr[[#This Row],[Land]]-250 - IF(TblExplore[[#This Row],[Land Bonus]]&lt;&gt;0,20,0))*0.285 + 87.5 + 0/4.25,0)</f>
        <v>216</v>
      </c>
      <c r="AX104" s="146"/>
      <c r="AY104" s="203" t="n">
        <f aca="false" t="array" ref="AY104:AY104">IF(TblConstr[[#This Row],[Hour]:[Hour]]&gt;12,OFFSET(TblConstr[[#This Row],[Hom]],-12,0),0)+OFFSET(TblConstr[[#This Row],[Tot Hom]],-1,0)-TblConstr[[#This Row],[Dest Hom]]</f>
        <v>40</v>
      </c>
      <c r="AZ104" s="204" t="n">
        <f aca="false" t="array" ref="AZ104:AZ104">IF(TblConstr[[#This Row],[Hour]:[Hour]]&gt;12,OFFSET(TblConstr[[#This Row],[Alc]],-12,0),0)+OFFSET(TblConstr[[#This Row],[Tot Alc]],-1,0)-TblConstr[[#This Row],[Dest Alc]]</f>
        <v>275</v>
      </c>
      <c r="BA104" s="204" t="n">
        <f aca="false" t="array" ref="BA104:BA104">IF(TblConstr[[#This Row],[Hour]:[Hour]]&gt;12,OFFSET(TblConstr[[#This Row],[Far]],-12,0),0)+OFFSET(TblConstr[[#This Row],[Tot Farm]],-1,0)-TblConstr[[#This Row],[Dest Farm]]</f>
        <v>29</v>
      </c>
      <c r="BB104" s="204" t="n">
        <f aca="false" t="array" ref="BB104:BB104">IF(TblConstr[[#This Row],[Hour]:[Hour]]&gt;12,OFFSET(TblConstr[[#This Row],[Smi]],-12,0),0)+OFFSET(TblConstr[[#This Row],[Tot Smi]],-1,0)-TblConstr[[#This Row],[Dest Smi]]</f>
        <v>126</v>
      </c>
      <c r="BC104" s="204" t="n">
        <f aca="false" t="array" ref="BC104:BC104">IF(TblConstr[[#This Row],[Hour]:[Hour]]&gt;12,OFFSET(TblConstr[[#This Row],[Mas]],-12,0),0)+OFFSET(TblConstr[[#This Row],[Tot Mas]],-1,0)-TblConstr[[#This Row],[Dest Mas]]</f>
        <v>0</v>
      </c>
      <c r="BD104" s="205" t="n">
        <f aca="false" t="array" ref="BD104:BD104">IF(TblConstr[[#This Row],[Hour]:[Hour]]&gt;12,OFFSET(TblConstr[[#This Row],[Ly]],-12,0),0)+OFFSET(TblConstr[[#This Row],[Tot Ly]],-1,0)-TblConstr[[#This Row],[Dest Ly]]</f>
        <v>25</v>
      </c>
      <c r="BE104" s="205" t="n">
        <f aca="false" t="array" ref="BE104:BE104">IF(TblConstr[[#This Row],[Hour]:[Hour]]&gt;12,OFFSET(TblConstr[[#This Row],[Hav]],-12,0),0)+OFFSET(TblConstr[[#This Row],[Tot Hav]],-1,0)-TblConstr[[#This Row],[Dest Hav]]</f>
        <v>0</v>
      </c>
      <c r="BF104" s="194" t="n">
        <f aca="false" t="array" ref="BF104:BF104">IF(TblConstr[[#This Row],[Hour]:[Hour]]&gt;12,OFFSET(TblConstr[[#This Row],[OM]],-12,0),0)+OFFSET(TblConstr[[#This Row],[Tot OM]],-1,0)-TblConstr[[#This Row],[Dest OM]]</f>
        <v>0</v>
      </c>
      <c r="BG104" s="194" t="n">
        <f aca="false" t="array" ref="BG104:BG104">IF(TblConstr[[#This Row],[Hour]:[Hour]]&gt;12,OFFSET(TblConstr[[#This Row],[GN]],-12,0),0)+OFFSET(TblConstr[[#This Row],[Tot GN]],-1,0)-TblConstr[[#This Row],[Dest GN]]</f>
        <v>0</v>
      </c>
      <c r="BH104" s="206" t="n">
        <f aca="false" t="array" ref="BH104:BH104">IF(TblConstr[[#This Row],[Hour]:[Hour]]&gt;12,OFFSET(TblConstr[[#This Row],[Fac]],-12,0),0)+OFFSET(TblConstr[[#This Row],[Tot Fac]],-1,0)-TblConstr[[#This Row],[Dest Fac]]</f>
        <v>0</v>
      </c>
      <c r="BI104" s="206" t="n">
        <f aca="false" t="array" ref="BI104:BI104">IF(TblConstr[[#This Row],[Hour]:[Hour]]&gt;12,OFFSET(TblConstr[[#This Row],[GT]],-12,0),0)+OFFSET(TblConstr[[#This Row],[Tot GT]],-1,0)-TblConstr[[#This Row],[Dest GT]]</f>
        <v>55</v>
      </c>
      <c r="BJ104" s="206" t="n">
        <f aca="false" t="array" ref="BJ104:BJ104">IF(TblConstr[[#This Row],[Hour]:[Hour]]&gt;12,OFFSET(TblConstr[[#This Row],[Bar]],-12,0),0)+OFFSET(TblConstr[[#This Row],[Tot Bar]],-1,0)-TblConstr[[#This Row],[Dest Bar]]</f>
        <v>50</v>
      </c>
      <c r="BK104" s="206" t="n">
        <f aca="false" t="array" ref="BK104:BK104">IF(TblConstr[[#This Row],[Hour]:[Hour]]&gt;12,OFFSET(TblConstr[[#This Row],[Shr]],-12,0),0)+OFFSET(TblConstr[[#This Row],[Tot Shr]],-1,0)-TblConstr[[#This Row],[Dest Shr]]</f>
        <v>0</v>
      </c>
      <c r="BL104" s="207" t="n">
        <f aca="false" t="array" ref="BL104:BL104">IF(TblConstr[[#This Row],[Hour]:[Hour]]&gt;12,OFFSET(TblConstr[[#This Row],[Tow]],-12,0),0)+OFFSET(TblConstr[[#This Row],[Tot Tow]],-1,0)-TblConstr[[#This Row],[Dest Tow]]</f>
        <v>29</v>
      </c>
      <c r="BM104" s="207" t="n">
        <f aca="false" t="array" ref="BM104:BM104">IF(TblConstr[[#This Row],[Hour]:[Hour]]&gt;12,OFFSET(TblConstr[[#This Row],[Tem]],-12,0),0)+OFFSET(TblConstr[[#This Row],[Tot Tem]],-1,0)-TblConstr[[#This Row],[Dest Tem]]</f>
        <v>47</v>
      </c>
      <c r="BN104" s="207" t="n">
        <f aca="false" t="array" ref="BN104:BN104">IF(TblConstr[[#This Row],[Hour]:[Hour]]&gt;12,OFFSET(TblConstr[[#This Row],[WG]],-12,0),0)+OFFSET(TblConstr[[#This Row],[Tot WG]],-1,0)-TblConstr[[#This Row],[Dest WG]]</f>
        <v>0</v>
      </c>
      <c r="BO104" s="208" t="n">
        <f aca="false" t="array" ref="BO104:BO104">IF(TblConstr[[#This Row],[Hour]:[Hour]]&gt;12,OFFSET(TblConstr[[#This Row],[DM]],-12,0),0)+OFFSET(TblConstr[[#This Row],[Tot DM]],-1,0)-TblConstr[[#This Row],[Dest DM]]</f>
        <v>0</v>
      </c>
      <c r="BP104" s="208" t="n">
        <f aca="false" t="array" ref="BP104:BP104">IF(TblConstr[[#This Row],[Hour]:[Hour]]&gt;12,OFFSET(TblConstr[[#This Row],[Sch]],-12,0),0)+OFFSET(TblConstr[[#This Row],[Tot Sch]],-1,0)-TblConstr[[#This Row],[Dest Sch]]</f>
        <v>0</v>
      </c>
      <c r="BQ104" s="209" t="n">
        <f aca="false" t="array" ref="BQ104:BQ104">IF(TblConstr[[#This Row],[Hour]:[Hour]]&gt;12,OFFSET(TblConstr[[#This Row],[Doc]],-12,0),0)+OFFSET(TblConstr[[#This Row],[Tot Doc]],-1,0)-TblConstr[[#This Row],[Dest Doc]]</f>
        <v>24</v>
      </c>
      <c r="BR104" s="132"/>
      <c r="BS104" s="146"/>
      <c r="BT104" s="69" t="n">
        <f aca="false">TblConstr[[#This Row],[Land]]</f>
        <v>700</v>
      </c>
      <c r="BU104" s="153" t="n">
        <f aca="false">TblImps[[#This Row],[Time]]</f>
        <v>45433.9166666667</v>
      </c>
      <c r="BV104" s="132"/>
      <c r="BW104" s="182"/>
      <c r="BX104" s="182"/>
      <c r="BY104" s="182"/>
      <c r="BZ104" s="182"/>
      <c r="CA104" s="182"/>
      <c r="CB104" s="182"/>
      <c r="CC104" s="182"/>
      <c r="CD104" s="182"/>
      <c r="CE104" s="182"/>
      <c r="CF104" s="182"/>
      <c r="CG104" s="182"/>
      <c r="CH104" s="182"/>
      <c r="CI104" s="182"/>
      <c r="CJ104" s="182"/>
      <c r="CK104" s="182"/>
      <c r="CL104" s="182"/>
      <c r="CM104" s="182"/>
      <c r="CN104" s="182"/>
      <c r="CO104" s="182"/>
      <c r="CP104" s="132"/>
      <c r="CQ104" s="192" t="n">
        <f aca="false">-SUM(TblConstr[[#This Row],[Alc]:[Mas]])+SUM(TblConstr[[#This Row],[Dest Alc]:[Dest Mas]])+Rezone!L104+IF("Ch_"&amp; home_land=TblConstr[[#Headers],[Ch_Plain]],TblConstr[[#This Row],[Home Land]])+IF(TblConstr[[#This Row],[Hour]:[Hour]]&gt;12,OFFSET(TblExplore[[#This Row],[Plains Explore]],-12,0),0)</f>
        <v>0</v>
      </c>
      <c r="CR104" s="193" t="n">
        <f aca="false">-SUM(TblConstr[[#This Row],[Ly]:[Hav]])+SUM(TblConstr[[#This Row],[Dest Ly]:[Dest Hav]]) +Rezone!M104 + IF("Ch_"&amp; home_land=TblConstr[[#Headers],[Ch_Forest]],TblConstr[[#This Row],[Home Land]])+IF(TblConstr[[#This Row],[Hour]:[Hour]]&gt;12,OFFSET(TblExplore[[#This Row],[Forest Explore]],-12,0),0)</f>
        <v>0</v>
      </c>
      <c r="CS104" s="200" t="n">
        <f aca="false">-SUM(TblConstr[[#This Row],[OM]:[GN]])+SUM(TblConstr[[#This Row],[Dest OM]:[Dest GN]]) +Rezone!N104 + IF("Ch_"&amp; home_land=TblConstr[[#Headers],[Ch_Mountain]],TblConstr[[#This Row],[Home Land]])+IF(TblConstr[[#This Row],[Hour]:[Hour]]&gt;12,OFFSET(TblExplore[[#This Row],[Mountain Explore]],-12,0),0)</f>
        <v>0</v>
      </c>
      <c r="CT104" s="195" t="n">
        <f aca="false">-SUM(TblConstr[[#This Row],[Fac]:[Shr]])+SUM(TblConstr[[#This Row],[Dest Fac]:[Dest Shr]]) +Rezone!O104 + IF("Ch_" &amp; home_land=TblConstr[[#Headers],[Ch_Hill]],TblConstr[[#This Row],[Home Land]])+IF(TblConstr[[#This Row],[Hour]:[Hour]]&gt;12,OFFSET(TblExplore[[#This Row],[Hill Explore]],-12,0),0)</f>
        <v>0</v>
      </c>
      <c r="CU104" s="196" t="n">
        <f aca="false">-SUM(TblConstr[[#This Row],[Tow]:[WG]])+SUM(TblConstr[[#This Row],[Dest Tow]:[Dest WG]]) +Rezone!P104 + IF("Ch_" &amp; home_land=TblConstr[[#Headers],[Ch_Swamp]],TblConstr[[#This Row],[Home Land]])+IF(TblConstr[[#This Row],[Hour]:[Hour]]&gt;12,OFFSET(TblExplore[[#This Row],[Swamp Explore]],-12,0),0)</f>
        <v>0</v>
      </c>
      <c r="CV104" s="197" t="n">
        <f aca="false">- SUM(TblConstr[[#This Row],[DM]:[Sch]])+SUM(TblConstr[[#This Row],[Dest DM]:[Dest Sch]]) +Rezone!Q104 + IF("Ch_" &amp; home_land=TblConstr[[#Headers],[Ch_Cavern]],TblConstr[[#This Row],[Home Land]])+IF(TblConstr[[#This Row],[Hour]:[Hour]]&gt;12,OFFSET(TblExplore[[#This Row],[Cavern Explore]],-12,0),0)</f>
        <v>0</v>
      </c>
      <c r="CW104" s="198" t="n">
        <f aca="false">-TblConstr[[#This Row],[Doc]]+TblConstr[[#This Row],[Dest Doc]] +Rezone!R104 + IF("Ch_" &amp; home_land=TblConstr[[#Headers],[Ch_Water]],TblConstr[[#This Row],[Home Land]])+IF(TblConstr[[#This Row],[Hour]:[Hour]]&gt;12,OFFSET(TblExplore[[#This Row],[Water Explore]],-12,0),0)</f>
        <v>0</v>
      </c>
      <c r="CX104" s="1" t="n">
        <f aca="false">IF(Explore!S104=1,20) - TblConstr[[#This Row],[Hom]] + TblConstr[[#This Row],[Dest Hom]]</f>
        <v>0</v>
      </c>
      <c r="CY104" s="132"/>
      <c r="CZ104" s="69" t="n">
        <f aca="false">G104+SUM(P93:S104)+SUM(AZ104:BC104)</f>
        <v>430</v>
      </c>
      <c r="DA104" s="69" t="n">
        <f aca="false">H104+SUM(T93:U104)+SUM(BD104:BE104)</f>
        <v>25</v>
      </c>
      <c r="DB104" s="1" t="n">
        <f aca="false">I104+SUM(V93:W104)+SUM(BF104:BG104)</f>
        <v>0</v>
      </c>
      <c r="DC104" s="69" t="n">
        <f aca="false">J104+SUM(X93:Y104)+SUM(BH104:BI104)</f>
        <v>55</v>
      </c>
      <c r="DD104" s="69" t="n">
        <f aca="false">K104+SUM(AB93:AD104)+SUM(BL104:BN104)</f>
        <v>76</v>
      </c>
      <c r="DE104" s="1" t="n">
        <f aca="false">L104+SUM(AE93:AE104)+BO104</f>
        <v>0</v>
      </c>
      <c r="DF104" s="69" t="n">
        <f aca="false">M104+SUM(AG93:AG104)+BQ104</f>
        <v>24</v>
      </c>
      <c r="DG104" s="69" t="e">
        <f aca="false" t="array" ref="DG104:DG104">INDEX(TblConstr[[Total Plain]:[Total Water]],ROW()-ROW(TblConstr[#headers]),MATCH("Total "&amp;home_land,TblConstr[[#Headers],[Total Plain]:[Total Water]],0))+TblConstr[[#This Row],[Homes]]</f>
        <v>#VALUE!</v>
      </c>
      <c r="DH104" s="1" t="n">
        <f aca="false">SUM(O93:O104)+AY104</f>
        <v>40</v>
      </c>
      <c r="DI104" s="1" t="n">
        <f aca="false">MAX(BA104-BA103,0)</f>
        <v>0</v>
      </c>
      <c r="DJ104" s="1" t="n">
        <f aca="false">MAX(BQ104-BQ103,0)</f>
        <v>0</v>
      </c>
    </row>
    <row r="105" customFormat="false" ht="12.75" hidden="false" customHeight="false" outlineLevel="0" collapsed="false">
      <c r="A105" s="170" t="n">
        <f aca="false">TblRezone[[#This Row],[Hour]]</f>
        <v>102</v>
      </c>
      <c r="B105" s="171" t="n">
        <f aca="false">SUM(TblConstr[[#This Row],[Plain]:[Water]])</f>
        <v>0</v>
      </c>
      <c r="C105" s="172" t="n">
        <f aca="false">SUM(TblConstr[[#This Row],[Tot Hom]:[Tot Doc]])</f>
        <v>700</v>
      </c>
      <c r="D105" s="172" t="n">
        <f aca="false">SUM(O94:AG105)</f>
        <v>0</v>
      </c>
      <c r="E105" s="173"/>
      <c r="F105" s="33" t="n">
        <f aca="false">TblConstr[[#This Row],[Barren]]+TblConstr[[#This Row],[Buildings]]+TblConstr[[#This Row],[Incoming]]</f>
        <v>700</v>
      </c>
      <c r="G105" s="199" t="n">
        <f aca="false">OFFSET(TblConstr[[#This Row],[Plain]],-1,0)+TblConstr[[#This Row],[Ch_Plain]]</f>
        <v>0</v>
      </c>
      <c r="H105" s="193" t="n">
        <f aca="false">OFFSET(TblConstr[[#This Row],[Forest]],-1,0)+TblConstr[[#This Row],[Ch_Forest]]</f>
        <v>0</v>
      </c>
      <c r="I105" s="200" t="n">
        <f aca="false">OFFSET(TblConstr[[#This Row],[Mountain]],-1,0)+TblConstr[[#This Row],[Ch_Mountain]]</f>
        <v>0</v>
      </c>
      <c r="J105" s="201" t="n">
        <f aca="false">OFFSET(TblConstr[[#This Row],[Hill]],-1,0)+TblConstr[[#This Row],[Ch_Hill]]</f>
        <v>0</v>
      </c>
      <c r="K105" s="202" t="n">
        <f aca="false">OFFSET(TblConstr[[#This Row],[Swamp]],-1,0)+TblConstr[[#This Row],[Ch_Swamp]]</f>
        <v>0</v>
      </c>
      <c r="L105" s="197" t="n">
        <f aca="false">OFFSET(TblConstr[[#This Row],[Cavern]],-1,0)+TblConstr[[#This Row],[Ch_Cavern]]</f>
        <v>0</v>
      </c>
      <c r="M105" s="198" t="n">
        <f aca="false">OFFSET(TblConstr[[#This Row],[Water]],-1,0)+TblConstr[[#This Row],[Ch_Water]]</f>
        <v>0</v>
      </c>
      <c r="N105" s="181" t="n">
        <f aca="false">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20" t="n">
        <f aca="false">TblImps[[#This Row],[Time]]</f>
        <v>45433.9583333333</v>
      </c>
      <c r="AI105" s="130" t="n">
        <f aca="false">MIN(25%,(TblConstr[[#This Row],[Tot Fac]]+TblConstr[[#This Row],[Dest Fac]])/(TblConstr[[#This Row],[Land]]-TblExplore[[#This Row],[Land Bonus]]*20))</f>
        <v>0</v>
      </c>
      <c r="AJ105" s="130" t="n">
        <f aca="false">MIN(25%,(TblConstr[[#This Row],[Tot Fac]]+TblConstr[[#This Row],[Dest Fac]])/TblConstr[[#This Row],[Land]])</f>
        <v>0</v>
      </c>
      <c r="AK105" s="69" t="n">
        <f aca="false">TblProd[[#This Row],[Platinum]]</f>
        <v>1227079</v>
      </c>
      <c r="AL105" s="69" t="n">
        <f aca="false">TblProd[[#This Row],[Lumber]]</f>
        <v>38937</v>
      </c>
      <c r="AM10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5" s="69" t="n">
        <f aca="false">ROUNDDOWN( MAX(1 - MIN(facs_constr_factor*TblConstr[[#This Row],[Facs -DB]],facs_constr_max) + tech_1_11*TblTech[[#This Row],[11-1]] + tech_6_3_2*TblTech[[#This Row],[6-3]] + tech_5_2_3*TblTech[[#This Row],[5-2]], 1-global_constr_cap) * TblConstr[[#This Row],[RCPA Lumber]],0)</f>
        <v>216</v>
      </c>
      <c r="AO10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5" s="69" t="n">
        <f aca="false">ROUNDDOWN( MAX(1 - MIN(facs_constr_factor*TblConstr[[#This Row],[Facs DB]],facs_constr_max) + tech_1_11*TblTech[[#This Row],[1-11]] + tech_6_3_2*TblTech[[#This Row],[6-3]] + tech_5_2_3*TblTech[[#This Row],[5-2]], 1-global_constr_cap) * ROUND((TblConstr[[#This Row],[Land]]-250)*0.285 + 87.5 + 0/4.25,0),0)</f>
        <v>216</v>
      </c>
      <c r="AQ105" s="1" t="n">
        <f aca="false">TblConstr[[#This Row],[build -db]]*TblConstr[[#This Row],[CPA Platinum -DB]] + TblConstr[[#This Row],[build db]]*TblConstr[[#This Row],[CPA Platinum DB]]</f>
        <v>0</v>
      </c>
      <c r="AR105" s="1" t="n">
        <f aca="false">TblConstr[[#This Row],[build -db]]*TblConstr[[#This Row],[CPA Lumber -DB]]+TblConstr[[#This Row],[build db]]*TblConstr[[#This Row],[CPA Lumber DB]]</f>
        <v>0</v>
      </c>
      <c r="AS105" s="69" t="n">
        <f aca="false">MIN(SUM(OFFSET(TblConstr[[#This Row],[Plain]:[Water]],-1,0))+SUM(TblConstr[[#This Row],[Dest Hom]:[Dest Doc]])+IF(TblConstr[[#This Row],[Hour]]&gt;12,SUM(OFFSET(TblExplore[[#This Row],[Plains Explore]:[Water Explore]],-12,0)),0),SUM(TblConstr[[#This Row],[Hom]:[Doc]]))</f>
        <v>0</v>
      </c>
      <c r="AT10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32"/>
      <c r="AV105" s="69" t="n">
        <f aca="false">ROUND((TblConstr[[#This Row],[Land]]-250 - IF(TblExplore[[#This Row],[Land Bonus]]&lt;&gt;0,20,0))*1.25 + 850 + 0,0)</f>
        <v>1413</v>
      </c>
      <c r="AW105" s="69" t="n">
        <f aca="false">ROUND((TblConstr[[#This Row],[Land]]-250 - IF(TblExplore[[#This Row],[Land Bonus]]&lt;&gt;0,20,0))*0.285 + 87.5 + 0/4.25,0)</f>
        <v>216</v>
      </c>
      <c r="AX105" s="146"/>
      <c r="AY105" s="203" t="n">
        <f aca="false" t="array" ref="AY105:AY105">IF(TblConstr[[#This Row],[Hour]:[Hour]]&gt;12,OFFSET(TblConstr[[#This Row],[Hom]],-12,0),0)+OFFSET(TblConstr[[#This Row],[Tot Hom]],-1,0)-TblConstr[[#This Row],[Dest Hom]]</f>
        <v>40</v>
      </c>
      <c r="AZ105" s="204" t="n">
        <f aca="false" t="array" ref="AZ105:AZ105">IF(TblConstr[[#This Row],[Hour]:[Hour]]&gt;12,OFFSET(TblConstr[[#This Row],[Alc]],-12,0),0)+OFFSET(TblConstr[[#This Row],[Tot Alc]],-1,0)-TblConstr[[#This Row],[Dest Alc]]</f>
        <v>275</v>
      </c>
      <c r="BA105" s="204" t="n">
        <f aca="false" t="array" ref="BA105:BA105">IF(TblConstr[[#This Row],[Hour]:[Hour]]&gt;12,OFFSET(TblConstr[[#This Row],[Far]],-12,0),0)+OFFSET(TblConstr[[#This Row],[Tot Farm]],-1,0)-TblConstr[[#This Row],[Dest Farm]]</f>
        <v>29</v>
      </c>
      <c r="BB105" s="204" t="n">
        <f aca="false" t="array" ref="BB105:BB105">IF(TblConstr[[#This Row],[Hour]:[Hour]]&gt;12,OFFSET(TblConstr[[#This Row],[Smi]],-12,0),0)+OFFSET(TblConstr[[#This Row],[Tot Smi]],-1,0)-TblConstr[[#This Row],[Dest Smi]]</f>
        <v>126</v>
      </c>
      <c r="BC105" s="204" t="n">
        <f aca="false" t="array" ref="BC105:BC105">IF(TblConstr[[#This Row],[Hour]:[Hour]]&gt;12,OFFSET(TblConstr[[#This Row],[Mas]],-12,0),0)+OFFSET(TblConstr[[#This Row],[Tot Mas]],-1,0)-TblConstr[[#This Row],[Dest Mas]]</f>
        <v>0</v>
      </c>
      <c r="BD105" s="205" t="n">
        <f aca="false" t="array" ref="BD105:BD105">IF(TblConstr[[#This Row],[Hour]:[Hour]]&gt;12,OFFSET(TblConstr[[#This Row],[Ly]],-12,0),0)+OFFSET(TblConstr[[#This Row],[Tot Ly]],-1,0)-TblConstr[[#This Row],[Dest Ly]]</f>
        <v>25</v>
      </c>
      <c r="BE105" s="205" t="n">
        <f aca="false" t="array" ref="BE105:BE105">IF(TblConstr[[#This Row],[Hour]:[Hour]]&gt;12,OFFSET(TblConstr[[#This Row],[Hav]],-12,0),0)+OFFSET(TblConstr[[#This Row],[Tot Hav]],-1,0)-TblConstr[[#This Row],[Dest Hav]]</f>
        <v>0</v>
      </c>
      <c r="BF105" s="194" t="n">
        <f aca="false" t="array" ref="BF105:BF105">IF(TblConstr[[#This Row],[Hour]:[Hour]]&gt;12,OFFSET(TblConstr[[#This Row],[OM]],-12,0),0)+OFFSET(TblConstr[[#This Row],[Tot OM]],-1,0)-TblConstr[[#This Row],[Dest OM]]</f>
        <v>0</v>
      </c>
      <c r="BG105" s="194" t="n">
        <f aca="false" t="array" ref="BG105:BG105">IF(TblConstr[[#This Row],[Hour]:[Hour]]&gt;12,OFFSET(TblConstr[[#This Row],[GN]],-12,0),0)+OFFSET(TblConstr[[#This Row],[Tot GN]],-1,0)-TblConstr[[#This Row],[Dest GN]]</f>
        <v>0</v>
      </c>
      <c r="BH105" s="206" t="n">
        <f aca="false" t="array" ref="BH105:BH105">IF(TblConstr[[#This Row],[Hour]:[Hour]]&gt;12,OFFSET(TblConstr[[#This Row],[Fac]],-12,0),0)+OFFSET(TblConstr[[#This Row],[Tot Fac]],-1,0)-TblConstr[[#This Row],[Dest Fac]]</f>
        <v>0</v>
      </c>
      <c r="BI105" s="206" t="n">
        <f aca="false" t="array" ref="BI105:BI105">IF(TblConstr[[#This Row],[Hour]:[Hour]]&gt;12,OFFSET(TblConstr[[#This Row],[GT]],-12,0),0)+OFFSET(TblConstr[[#This Row],[Tot GT]],-1,0)-TblConstr[[#This Row],[Dest GT]]</f>
        <v>55</v>
      </c>
      <c r="BJ105" s="206" t="n">
        <f aca="false" t="array" ref="BJ105:BJ105">IF(TblConstr[[#This Row],[Hour]:[Hour]]&gt;12,OFFSET(TblConstr[[#This Row],[Bar]],-12,0),0)+OFFSET(TblConstr[[#This Row],[Tot Bar]],-1,0)-TblConstr[[#This Row],[Dest Bar]]</f>
        <v>50</v>
      </c>
      <c r="BK105" s="206" t="n">
        <f aca="false" t="array" ref="BK105:BK105">IF(TblConstr[[#This Row],[Hour]:[Hour]]&gt;12,OFFSET(TblConstr[[#This Row],[Shr]],-12,0),0)+OFFSET(TblConstr[[#This Row],[Tot Shr]],-1,0)-TblConstr[[#This Row],[Dest Shr]]</f>
        <v>0</v>
      </c>
      <c r="BL105" s="207" t="n">
        <f aca="false" t="array" ref="BL105:BL105">IF(TblConstr[[#This Row],[Hour]:[Hour]]&gt;12,OFFSET(TblConstr[[#This Row],[Tow]],-12,0),0)+OFFSET(TblConstr[[#This Row],[Tot Tow]],-1,0)-TblConstr[[#This Row],[Dest Tow]]</f>
        <v>29</v>
      </c>
      <c r="BM105" s="207" t="n">
        <f aca="false" t="array" ref="BM105:BM105">IF(TblConstr[[#This Row],[Hour]:[Hour]]&gt;12,OFFSET(TblConstr[[#This Row],[Tem]],-12,0),0)+OFFSET(TblConstr[[#This Row],[Tot Tem]],-1,0)-TblConstr[[#This Row],[Dest Tem]]</f>
        <v>47</v>
      </c>
      <c r="BN105" s="207" t="n">
        <f aca="false" t="array" ref="BN105:BN105">IF(TblConstr[[#This Row],[Hour]:[Hour]]&gt;12,OFFSET(TblConstr[[#This Row],[WG]],-12,0),0)+OFFSET(TblConstr[[#This Row],[Tot WG]],-1,0)-TblConstr[[#This Row],[Dest WG]]</f>
        <v>0</v>
      </c>
      <c r="BO105" s="208" t="n">
        <f aca="false" t="array" ref="BO105:BO105">IF(TblConstr[[#This Row],[Hour]:[Hour]]&gt;12,OFFSET(TblConstr[[#This Row],[DM]],-12,0),0)+OFFSET(TblConstr[[#This Row],[Tot DM]],-1,0)-TblConstr[[#This Row],[Dest DM]]</f>
        <v>0</v>
      </c>
      <c r="BP105" s="208" t="n">
        <f aca="false" t="array" ref="BP105:BP105">IF(TblConstr[[#This Row],[Hour]:[Hour]]&gt;12,OFFSET(TblConstr[[#This Row],[Sch]],-12,0),0)+OFFSET(TblConstr[[#This Row],[Tot Sch]],-1,0)-TblConstr[[#This Row],[Dest Sch]]</f>
        <v>0</v>
      </c>
      <c r="BQ105" s="209" t="n">
        <f aca="false" t="array" ref="BQ105:BQ105">IF(TblConstr[[#This Row],[Hour]:[Hour]]&gt;12,OFFSET(TblConstr[[#This Row],[Doc]],-12,0),0)+OFFSET(TblConstr[[#This Row],[Tot Doc]],-1,0)-TblConstr[[#This Row],[Dest Doc]]</f>
        <v>24</v>
      </c>
      <c r="BR105" s="132"/>
      <c r="BS105" s="146"/>
      <c r="BT105" s="69" t="n">
        <f aca="false">TblConstr[[#This Row],[Land]]</f>
        <v>700</v>
      </c>
      <c r="BU105" s="153" t="n">
        <f aca="false">TblImps[[#This Row],[Time]]</f>
        <v>45433.9583333333</v>
      </c>
      <c r="BV105" s="132"/>
      <c r="BW105" s="182"/>
      <c r="BX105" s="182"/>
      <c r="BY105" s="182"/>
      <c r="BZ105" s="182"/>
      <c r="CA105" s="182"/>
      <c r="CB105" s="182"/>
      <c r="CC105" s="182"/>
      <c r="CD105" s="182"/>
      <c r="CE105" s="182"/>
      <c r="CF105" s="182"/>
      <c r="CG105" s="182"/>
      <c r="CH105" s="182"/>
      <c r="CI105" s="182"/>
      <c r="CJ105" s="182"/>
      <c r="CK105" s="182"/>
      <c r="CL105" s="182"/>
      <c r="CM105" s="182"/>
      <c r="CN105" s="182"/>
      <c r="CO105" s="182"/>
      <c r="CP105" s="132"/>
      <c r="CQ105" s="192" t="n">
        <f aca="false">-SUM(TblConstr[[#This Row],[Alc]:[Mas]])+SUM(TblConstr[[#This Row],[Dest Alc]:[Dest Mas]])+Rezone!L105+IF("Ch_"&amp; home_land=TblConstr[[#Headers],[Ch_Plain]],TblConstr[[#This Row],[Home Land]])+IF(TblConstr[[#This Row],[Hour]:[Hour]]&gt;12,OFFSET(TblExplore[[#This Row],[Plains Explore]],-12,0),0)</f>
        <v>0</v>
      </c>
      <c r="CR105" s="193" t="n">
        <f aca="false">-SUM(TblConstr[[#This Row],[Ly]:[Hav]])+SUM(TblConstr[[#This Row],[Dest Ly]:[Dest Hav]]) +Rezone!M105 + IF("Ch_"&amp; home_land=TblConstr[[#Headers],[Ch_Forest]],TblConstr[[#This Row],[Home Land]])+IF(TblConstr[[#This Row],[Hour]:[Hour]]&gt;12,OFFSET(TblExplore[[#This Row],[Forest Explore]],-12,0),0)</f>
        <v>0</v>
      </c>
      <c r="CS105" s="200" t="n">
        <f aca="false">-SUM(TblConstr[[#This Row],[OM]:[GN]])+SUM(TblConstr[[#This Row],[Dest OM]:[Dest GN]]) +Rezone!N105 + IF("Ch_"&amp; home_land=TblConstr[[#Headers],[Ch_Mountain]],TblConstr[[#This Row],[Home Land]])+IF(TblConstr[[#This Row],[Hour]:[Hour]]&gt;12,OFFSET(TblExplore[[#This Row],[Mountain Explore]],-12,0),0)</f>
        <v>0</v>
      </c>
      <c r="CT105" s="195" t="n">
        <f aca="false">-SUM(TblConstr[[#This Row],[Fac]:[Shr]])+SUM(TblConstr[[#This Row],[Dest Fac]:[Dest Shr]]) +Rezone!O105 + IF("Ch_" &amp; home_land=TblConstr[[#Headers],[Ch_Hill]],TblConstr[[#This Row],[Home Land]])+IF(TblConstr[[#This Row],[Hour]:[Hour]]&gt;12,OFFSET(TblExplore[[#This Row],[Hill Explore]],-12,0),0)</f>
        <v>0</v>
      </c>
      <c r="CU105" s="196" t="n">
        <f aca="false">-SUM(TblConstr[[#This Row],[Tow]:[WG]])+SUM(TblConstr[[#This Row],[Dest Tow]:[Dest WG]]) +Rezone!P105 + IF("Ch_" &amp; home_land=TblConstr[[#Headers],[Ch_Swamp]],TblConstr[[#This Row],[Home Land]])+IF(TblConstr[[#This Row],[Hour]:[Hour]]&gt;12,OFFSET(TblExplore[[#This Row],[Swamp Explore]],-12,0),0)</f>
        <v>0</v>
      </c>
      <c r="CV105" s="197" t="n">
        <f aca="false">- SUM(TblConstr[[#This Row],[DM]:[Sch]])+SUM(TblConstr[[#This Row],[Dest DM]:[Dest Sch]]) +Rezone!Q105 + IF("Ch_" &amp; home_land=TblConstr[[#Headers],[Ch_Cavern]],TblConstr[[#This Row],[Home Land]])+IF(TblConstr[[#This Row],[Hour]:[Hour]]&gt;12,OFFSET(TblExplore[[#This Row],[Cavern Explore]],-12,0),0)</f>
        <v>0</v>
      </c>
      <c r="CW105" s="198" t="n">
        <f aca="false">-TblConstr[[#This Row],[Doc]]+TblConstr[[#This Row],[Dest Doc]] +Rezone!R105 + IF("Ch_" &amp; home_land=TblConstr[[#Headers],[Ch_Water]],TblConstr[[#This Row],[Home Land]])+IF(TblConstr[[#This Row],[Hour]:[Hour]]&gt;12,OFFSET(TblExplore[[#This Row],[Water Explore]],-12,0),0)</f>
        <v>0</v>
      </c>
      <c r="CX105" s="1" t="n">
        <f aca="false">IF(Explore!S105=1,20) - TblConstr[[#This Row],[Hom]] + TblConstr[[#This Row],[Dest Hom]]</f>
        <v>0</v>
      </c>
      <c r="CY105" s="132"/>
      <c r="CZ105" s="69" t="n">
        <f aca="false">G105+SUM(P94:S105)+SUM(AZ105:BC105)</f>
        <v>430</v>
      </c>
      <c r="DA105" s="69" t="n">
        <f aca="false">H105+SUM(T94:U105)+SUM(BD105:BE105)</f>
        <v>25</v>
      </c>
      <c r="DB105" s="1" t="n">
        <f aca="false">I105+SUM(V94:W105)+SUM(BF105:BG105)</f>
        <v>0</v>
      </c>
      <c r="DC105" s="69" t="n">
        <f aca="false">J105+SUM(X94:Y105)+SUM(BH105:BI105)</f>
        <v>55</v>
      </c>
      <c r="DD105" s="69" t="n">
        <f aca="false">K105+SUM(AB94:AD105)+SUM(BL105:BN105)</f>
        <v>76</v>
      </c>
      <c r="DE105" s="1" t="n">
        <f aca="false">L105+SUM(AE94:AE105)+BO105</f>
        <v>0</v>
      </c>
      <c r="DF105" s="69" t="n">
        <f aca="false">M105+SUM(AG94:AG105)+BQ105</f>
        <v>24</v>
      </c>
      <c r="DG105" s="69" t="e">
        <f aca="false" t="array" ref="DG105:DG105">INDEX(TblConstr[[Total Plain]:[Total Water]],ROW()-ROW(TblConstr[#headers]),MATCH("Total "&amp;home_land,TblConstr[[#Headers],[Total Plain]:[Total Water]],0))+TblConstr[[#This Row],[Homes]]</f>
        <v>#VALUE!</v>
      </c>
      <c r="DH105" s="1" t="n">
        <f aca="false">SUM(O94:O105)+AY105</f>
        <v>40</v>
      </c>
      <c r="DI105" s="1" t="n">
        <f aca="false">MAX(BA105-BA104,0)</f>
        <v>0</v>
      </c>
      <c r="DJ105" s="1" t="n">
        <f aca="false">MAX(BQ105-BQ104,0)</f>
        <v>0</v>
      </c>
    </row>
    <row r="106" customFormat="false" ht="12.75" hidden="false" customHeight="false" outlineLevel="0" collapsed="false">
      <c r="A106" s="170" t="n">
        <f aca="false">TblRezone[[#This Row],[Hour]]</f>
        <v>103</v>
      </c>
      <c r="B106" s="171" t="n">
        <f aca="false">SUM(TblConstr[[#This Row],[Plain]:[Water]])</f>
        <v>0</v>
      </c>
      <c r="C106" s="172" t="n">
        <f aca="false">SUM(TblConstr[[#This Row],[Tot Hom]:[Tot Doc]])</f>
        <v>700</v>
      </c>
      <c r="D106" s="172" t="n">
        <f aca="false">SUM(O95:AG106)</f>
        <v>0</v>
      </c>
      <c r="E106" s="173"/>
      <c r="F106" s="33" t="n">
        <f aca="false">TblConstr[[#This Row],[Barren]]+TblConstr[[#This Row],[Buildings]]+TblConstr[[#This Row],[Incoming]]</f>
        <v>700</v>
      </c>
      <c r="G106" s="199" t="n">
        <f aca="false">OFFSET(TblConstr[[#This Row],[Plain]],-1,0)+TblConstr[[#This Row],[Ch_Plain]]</f>
        <v>0</v>
      </c>
      <c r="H106" s="193" t="n">
        <f aca="false">OFFSET(TblConstr[[#This Row],[Forest]],-1,0)+TblConstr[[#This Row],[Ch_Forest]]</f>
        <v>0</v>
      </c>
      <c r="I106" s="200" t="n">
        <f aca="false">OFFSET(TblConstr[[#This Row],[Mountain]],-1,0)+TblConstr[[#This Row],[Ch_Mountain]]</f>
        <v>0</v>
      </c>
      <c r="J106" s="201" t="n">
        <f aca="false">OFFSET(TblConstr[[#This Row],[Hill]],-1,0)+TblConstr[[#This Row],[Ch_Hill]]</f>
        <v>0</v>
      </c>
      <c r="K106" s="202" t="n">
        <f aca="false">OFFSET(TblConstr[[#This Row],[Swamp]],-1,0)+TblConstr[[#This Row],[Ch_Swamp]]</f>
        <v>0</v>
      </c>
      <c r="L106" s="197" t="n">
        <f aca="false">OFFSET(TblConstr[[#This Row],[Cavern]],-1,0)+TblConstr[[#This Row],[Ch_Cavern]]</f>
        <v>0</v>
      </c>
      <c r="M106" s="198" t="n">
        <f aca="false">OFFSET(TblConstr[[#This Row],[Water]],-1,0)+TblConstr[[#This Row],[Ch_Water]]</f>
        <v>0</v>
      </c>
      <c r="N106" s="181" t="n">
        <f aca="false">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20" t="n">
        <f aca="false">TblImps[[#This Row],[Time]]</f>
        <v>45434</v>
      </c>
      <c r="AI106" s="130" t="n">
        <f aca="false">MIN(25%,(TblConstr[[#This Row],[Tot Fac]]+TblConstr[[#This Row],[Dest Fac]])/(TblConstr[[#This Row],[Land]]-TblExplore[[#This Row],[Land Bonus]]*20))</f>
        <v>0</v>
      </c>
      <c r="AJ106" s="130" t="n">
        <f aca="false">MIN(25%,(TblConstr[[#This Row],[Tot Fac]]+TblConstr[[#This Row],[Dest Fac]])/TblConstr[[#This Row],[Land]])</f>
        <v>0</v>
      </c>
      <c r="AK106" s="69" t="n">
        <f aca="false">TblProd[[#This Row],[Platinum]]</f>
        <v>1266845</v>
      </c>
      <c r="AL106" s="69" t="n">
        <f aca="false">TblProd[[#This Row],[Lumber]]</f>
        <v>39673</v>
      </c>
      <c r="AM10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6" s="69" t="n">
        <f aca="false">ROUNDDOWN( MAX(1 - MIN(facs_constr_factor*TblConstr[[#This Row],[Facs -DB]],facs_constr_max) + tech_1_11*TblTech[[#This Row],[11-1]] + tech_6_3_2*TblTech[[#This Row],[6-3]] + tech_5_2_3*TblTech[[#This Row],[5-2]], 1-global_constr_cap) * TblConstr[[#This Row],[RCPA Lumber]],0)</f>
        <v>216</v>
      </c>
      <c r="AO10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6" s="69" t="n">
        <f aca="false">ROUNDDOWN( MAX(1 - MIN(facs_constr_factor*TblConstr[[#This Row],[Facs DB]],facs_constr_max) + tech_1_11*TblTech[[#This Row],[1-11]] + tech_6_3_2*TblTech[[#This Row],[6-3]] + tech_5_2_3*TblTech[[#This Row],[5-2]], 1-global_constr_cap) * ROUND((TblConstr[[#This Row],[Land]]-250)*0.285 + 87.5 + 0/4.25,0),0)</f>
        <v>216</v>
      </c>
      <c r="AQ106" s="1" t="n">
        <f aca="false">TblConstr[[#This Row],[build -db]]*TblConstr[[#This Row],[CPA Platinum -DB]] + TblConstr[[#This Row],[build db]]*TblConstr[[#This Row],[CPA Platinum DB]]</f>
        <v>0</v>
      </c>
      <c r="AR106" s="1" t="n">
        <f aca="false">TblConstr[[#This Row],[build -db]]*TblConstr[[#This Row],[CPA Lumber -DB]]+TblConstr[[#This Row],[build db]]*TblConstr[[#This Row],[CPA Lumber DB]]</f>
        <v>0</v>
      </c>
      <c r="AS106" s="69" t="n">
        <f aca="false">MIN(SUM(OFFSET(TblConstr[[#This Row],[Plain]:[Water]],-1,0))+SUM(TblConstr[[#This Row],[Dest Hom]:[Dest Doc]])+IF(TblConstr[[#This Row],[Hour]]&gt;12,SUM(OFFSET(TblExplore[[#This Row],[Plains Explore]:[Water Explore]],-12,0)),0),SUM(TblConstr[[#This Row],[Hom]:[Doc]]))</f>
        <v>0</v>
      </c>
      <c r="AT10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32"/>
      <c r="AV106" s="69" t="n">
        <f aca="false">ROUND((TblConstr[[#This Row],[Land]]-250 - IF(TblExplore[[#This Row],[Land Bonus]]&lt;&gt;0,20,0))*1.25 + 850 + 0,0)</f>
        <v>1413</v>
      </c>
      <c r="AW106" s="69" t="n">
        <f aca="false">ROUND((TblConstr[[#This Row],[Land]]-250 - IF(TblExplore[[#This Row],[Land Bonus]]&lt;&gt;0,20,0))*0.285 + 87.5 + 0/4.25,0)</f>
        <v>216</v>
      </c>
      <c r="AX106" s="146"/>
      <c r="AY106" s="203" t="n">
        <f aca="false" t="array" ref="AY106:AY106">IF(TblConstr[[#This Row],[Hour]:[Hour]]&gt;12,OFFSET(TblConstr[[#This Row],[Hom]],-12,0),0)+OFFSET(TblConstr[[#This Row],[Tot Hom]],-1,0)-TblConstr[[#This Row],[Dest Hom]]</f>
        <v>40</v>
      </c>
      <c r="AZ106" s="204" t="n">
        <f aca="false" t="array" ref="AZ106:AZ106">IF(TblConstr[[#This Row],[Hour]:[Hour]]&gt;12,OFFSET(TblConstr[[#This Row],[Alc]],-12,0),0)+OFFSET(TblConstr[[#This Row],[Tot Alc]],-1,0)-TblConstr[[#This Row],[Dest Alc]]</f>
        <v>275</v>
      </c>
      <c r="BA106" s="204" t="n">
        <f aca="false" t="array" ref="BA106:BA106">IF(TblConstr[[#This Row],[Hour]:[Hour]]&gt;12,OFFSET(TblConstr[[#This Row],[Far]],-12,0),0)+OFFSET(TblConstr[[#This Row],[Tot Farm]],-1,0)-TblConstr[[#This Row],[Dest Farm]]</f>
        <v>29</v>
      </c>
      <c r="BB106" s="204" t="n">
        <f aca="false" t="array" ref="BB106:BB106">IF(TblConstr[[#This Row],[Hour]:[Hour]]&gt;12,OFFSET(TblConstr[[#This Row],[Smi]],-12,0),0)+OFFSET(TblConstr[[#This Row],[Tot Smi]],-1,0)-TblConstr[[#This Row],[Dest Smi]]</f>
        <v>126</v>
      </c>
      <c r="BC106" s="204" t="n">
        <f aca="false" t="array" ref="BC106:BC106">IF(TblConstr[[#This Row],[Hour]:[Hour]]&gt;12,OFFSET(TblConstr[[#This Row],[Mas]],-12,0),0)+OFFSET(TblConstr[[#This Row],[Tot Mas]],-1,0)-TblConstr[[#This Row],[Dest Mas]]</f>
        <v>0</v>
      </c>
      <c r="BD106" s="205" t="n">
        <f aca="false" t="array" ref="BD106:BD106">IF(TblConstr[[#This Row],[Hour]:[Hour]]&gt;12,OFFSET(TblConstr[[#This Row],[Ly]],-12,0),0)+OFFSET(TblConstr[[#This Row],[Tot Ly]],-1,0)-TblConstr[[#This Row],[Dest Ly]]</f>
        <v>25</v>
      </c>
      <c r="BE106" s="205" t="n">
        <f aca="false" t="array" ref="BE106:BE106">IF(TblConstr[[#This Row],[Hour]:[Hour]]&gt;12,OFFSET(TblConstr[[#This Row],[Hav]],-12,0),0)+OFFSET(TblConstr[[#This Row],[Tot Hav]],-1,0)-TblConstr[[#This Row],[Dest Hav]]</f>
        <v>0</v>
      </c>
      <c r="BF106" s="194" t="n">
        <f aca="false" t="array" ref="BF106:BF106">IF(TblConstr[[#This Row],[Hour]:[Hour]]&gt;12,OFFSET(TblConstr[[#This Row],[OM]],-12,0),0)+OFFSET(TblConstr[[#This Row],[Tot OM]],-1,0)-TblConstr[[#This Row],[Dest OM]]</f>
        <v>0</v>
      </c>
      <c r="BG106" s="194" t="n">
        <f aca="false" t="array" ref="BG106:BG106">IF(TblConstr[[#This Row],[Hour]:[Hour]]&gt;12,OFFSET(TblConstr[[#This Row],[GN]],-12,0),0)+OFFSET(TblConstr[[#This Row],[Tot GN]],-1,0)-TblConstr[[#This Row],[Dest GN]]</f>
        <v>0</v>
      </c>
      <c r="BH106" s="206" t="n">
        <f aca="false" t="array" ref="BH106:BH106">IF(TblConstr[[#This Row],[Hour]:[Hour]]&gt;12,OFFSET(TblConstr[[#This Row],[Fac]],-12,0),0)+OFFSET(TblConstr[[#This Row],[Tot Fac]],-1,0)-TblConstr[[#This Row],[Dest Fac]]</f>
        <v>0</v>
      </c>
      <c r="BI106" s="206" t="n">
        <f aca="false" t="array" ref="BI106:BI106">IF(TblConstr[[#This Row],[Hour]:[Hour]]&gt;12,OFFSET(TblConstr[[#This Row],[GT]],-12,0),0)+OFFSET(TblConstr[[#This Row],[Tot GT]],-1,0)-TblConstr[[#This Row],[Dest GT]]</f>
        <v>55</v>
      </c>
      <c r="BJ106" s="206" t="n">
        <f aca="false" t="array" ref="BJ106:BJ106">IF(TblConstr[[#This Row],[Hour]:[Hour]]&gt;12,OFFSET(TblConstr[[#This Row],[Bar]],-12,0),0)+OFFSET(TblConstr[[#This Row],[Tot Bar]],-1,0)-TblConstr[[#This Row],[Dest Bar]]</f>
        <v>50</v>
      </c>
      <c r="BK106" s="206" t="n">
        <f aca="false" t="array" ref="BK106:BK106">IF(TblConstr[[#This Row],[Hour]:[Hour]]&gt;12,OFFSET(TblConstr[[#This Row],[Shr]],-12,0),0)+OFFSET(TblConstr[[#This Row],[Tot Shr]],-1,0)-TblConstr[[#This Row],[Dest Shr]]</f>
        <v>0</v>
      </c>
      <c r="BL106" s="207" t="n">
        <f aca="false" t="array" ref="BL106:BL106">IF(TblConstr[[#This Row],[Hour]:[Hour]]&gt;12,OFFSET(TblConstr[[#This Row],[Tow]],-12,0),0)+OFFSET(TblConstr[[#This Row],[Tot Tow]],-1,0)-TblConstr[[#This Row],[Dest Tow]]</f>
        <v>29</v>
      </c>
      <c r="BM106" s="207" t="n">
        <f aca="false" t="array" ref="BM106:BM106">IF(TblConstr[[#This Row],[Hour]:[Hour]]&gt;12,OFFSET(TblConstr[[#This Row],[Tem]],-12,0),0)+OFFSET(TblConstr[[#This Row],[Tot Tem]],-1,0)-TblConstr[[#This Row],[Dest Tem]]</f>
        <v>47</v>
      </c>
      <c r="BN106" s="207" t="n">
        <f aca="false" t="array" ref="BN106:BN106">IF(TblConstr[[#This Row],[Hour]:[Hour]]&gt;12,OFFSET(TblConstr[[#This Row],[WG]],-12,0),0)+OFFSET(TblConstr[[#This Row],[Tot WG]],-1,0)-TblConstr[[#This Row],[Dest WG]]</f>
        <v>0</v>
      </c>
      <c r="BO106" s="208" t="n">
        <f aca="false" t="array" ref="BO106:BO106">IF(TblConstr[[#This Row],[Hour]:[Hour]]&gt;12,OFFSET(TblConstr[[#This Row],[DM]],-12,0),0)+OFFSET(TblConstr[[#This Row],[Tot DM]],-1,0)-TblConstr[[#This Row],[Dest DM]]</f>
        <v>0</v>
      </c>
      <c r="BP106" s="208" t="n">
        <f aca="false" t="array" ref="BP106:BP106">IF(TblConstr[[#This Row],[Hour]:[Hour]]&gt;12,OFFSET(TblConstr[[#This Row],[Sch]],-12,0),0)+OFFSET(TblConstr[[#This Row],[Tot Sch]],-1,0)-TblConstr[[#This Row],[Dest Sch]]</f>
        <v>0</v>
      </c>
      <c r="BQ106" s="209" t="n">
        <f aca="false" t="array" ref="BQ106:BQ106">IF(TblConstr[[#This Row],[Hour]:[Hour]]&gt;12,OFFSET(TblConstr[[#This Row],[Doc]],-12,0),0)+OFFSET(TblConstr[[#This Row],[Tot Doc]],-1,0)-TblConstr[[#This Row],[Dest Doc]]</f>
        <v>24</v>
      </c>
      <c r="BR106" s="132"/>
      <c r="BS106" s="146"/>
      <c r="BT106" s="69" t="n">
        <f aca="false">TblConstr[[#This Row],[Land]]</f>
        <v>700</v>
      </c>
      <c r="BU106" s="153" t="n">
        <f aca="false">TblImps[[#This Row],[Time]]</f>
        <v>45434</v>
      </c>
      <c r="BV106" s="132"/>
      <c r="BW106" s="182"/>
      <c r="BX106" s="182"/>
      <c r="BY106" s="182"/>
      <c r="BZ106" s="182"/>
      <c r="CA106" s="182"/>
      <c r="CB106" s="182"/>
      <c r="CC106" s="182"/>
      <c r="CD106" s="182"/>
      <c r="CE106" s="182"/>
      <c r="CF106" s="182"/>
      <c r="CG106" s="182"/>
      <c r="CH106" s="182"/>
      <c r="CI106" s="182"/>
      <c r="CJ106" s="182"/>
      <c r="CK106" s="182"/>
      <c r="CL106" s="182"/>
      <c r="CM106" s="182"/>
      <c r="CN106" s="182"/>
      <c r="CO106" s="182"/>
      <c r="CP106" s="132"/>
      <c r="CQ106" s="192" t="n">
        <f aca="false">-SUM(TblConstr[[#This Row],[Alc]:[Mas]])+SUM(TblConstr[[#This Row],[Dest Alc]:[Dest Mas]])+Rezone!L106+IF("Ch_"&amp; home_land=TblConstr[[#Headers],[Ch_Plain]],TblConstr[[#This Row],[Home Land]])+IF(TblConstr[[#This Row],[Hour]:[Hour]]&gt;12,OFFSET(TblExplore[[#This Row],[Plains Explore]],-12,0),0)</f>
        <v>0</v>
      </c>
      <c r="CR106" s="193" t="n">
        <f aca="false">-SUM(TblConstr[[#This Row],[Ly]:[Hav]])+SUM(TblConstr[[#This Row],[Dest Ly]:[Dest Hav]]) +Rezone!M106 + IF("Ch_"&amp; home_land=TblConstr[[#Headers],[Ch_Forest]],TblConstr[[#This Row],[Home Land]])+IF(TblConstr[[#This Row],[Hour]:[Hour]]&gt;12,OFFSET(TblExplore[[#This Row],[Forest Explore]],-12,0),0)</f>
        <v>0</v>
      </c>
      <c r="CS106" s="200" t="n">
        <f aca="false">-SUM(TblConstr[[#This Row],[OM]:[GN]])+SUM(TblConstr[[#This Row],[Dest OM]:[Dest GN]]) +Rezone!N106 + IF("Ch_"&amp; home_land=TblConstr[[#Headers],[Ch_Mountain]],TblConstr[[#This Row],[Home Land]])+IF(TblConstr[[#This Row],[Hour]:[Hour]]&gt;12,OFFSET(TblExplore[[#This Row],[Mountain Explore]],-12,0),0)</f>
        <v>0</v>
      </c>
      <c r="CT106" s="195" t="n">
        <f aca="false">-SUM(TblConstr[[#This Row],[Fac]:[Shr]])+SUM(TblConstr[[#This Row],[Dest Fac]:[Dest Shr]]) +Rezone!O106 + IF("Ch_" &amp; home_land=TblConstr[[#Headers],[Ch_Hill]],TblConstr[[#This Row],[Home Land]])+IF(TblConstr[[#This Row],[Hour]:[Hour]]&gt;12,OFFSET(TblExplore[[#This Row],[Hill Explore]],-12,0),0)</f>
        <v>0</v>
      </c>
      <c r="CU106" s="196" t="n">
        <f aca="false">-SUM(TblConstr[[#This Row],[Tow]:[WG]])+SUM(TblConstr[[#This Row],[Dest Tow]:[Dest WG]]) +Rezone!P106 + IF("Ch_" &amp; home_land=TblConstr[[#Headers],[Ch_Swamp]],TblConstr[[#This Row],[Home Land]])+IF(TblConstr[[#This Row],[Hour]:[Hour]]&gt;12,OFFSET(TblExplore[[#This Row],[Swamp Explore]],-12,0),0)</f>
        <v>0</v>
      </c>
      <c r="CV106" s="197" t="n">
        <f aca="false">- SUM(TblConstr[[#This Row],[DM]:[Sch]])+SUM(TblConstr[[#This Row],[Dest DM]:[Dest Sch]]) +Rezone!Q106 + IF("Ch_" &amp; home_land=TblConstr[[#Headers],[Ch_Cavern]],TblConstr[[#This Row],[Home Land]])+IF(TblConstr[[#This Row],[Hour]:[Hour]]&gt;12,OFFSET(TblExplore[[#This Row],[Cavern Explore]],-12,0),0)</f>
        <v>0</v>
      </c>
      <c r="CW106" s="198" t="n">
        <f aca="false">-TblConstr[[#This Row],[Doc]]+TblConstr[[#This Row],[Dest Doc]] +Rezone!R106 + IF("Ch_" &amp; home_land=TblConstr[[#Headers],[Ch_Water]],TblConstr[[#This Row],[Home Land]])+IF(TblConstr[[#This Row],[Hour]:[Hour]]&gt;12,OFFSET(TblExplore[[#This Row],[Water Explore]],-12,0),0)</f>
        <v>0</v>
      </c>
      <c r="CX106" s="1" t="n">
        <f aca="false">IF(Explore!S106=1,20) - TblConstr[[#This Row],[Hom]] + TblConstr[[#This Row],[Dest Hom]]</f>
        <v>0</v>
      </c>
      <c r="CY106" s="132"/>
      <c r="CZ106" s="69" t="n">
        <f aca="false">G106+SUM(P95:S106)+SUM(AZ106:BC106)</f>
        <v>430</v>
      </c>
      <c r="DA106" s="69" t="n">
        <f aca="false">H106+SUM(T95:U106)+SUM(BD106:BE106)</f>
        <v>25</v>
      </c>
      <c r="DB106" s="1" t="n">
        <f aca="false">I106+SUM(V95:W106)+SUM(BF106:BG106)</f>
        <v>0</v>
      </c>
      <c r="DC106" s="69" t="n">
        <f aca="false">J106+SUM(X95:Y106)+SUM(BH106:BI106)</f>
        <v>55</v>
      </c>
      <c r="DD106" s="69" t="n">
        <f aca="false">K106+SUM(AB95:AD106)+SUM(BL106:BN106)</f>
        <v>76</v>
      </c>
      <c r="DE106" s="1" t="n">
        <f aca="false">L106+SUM(AE95:AE106)+BO106</f>
        <v>0</v>
      </c>
      <c r="DF106" s="69" t="n">
        <f aca="false">M106+SUM(AG95:AG106)+BQ106</f>
        <v>24</v>
      </c>
      <c r="DG106" s="69" t="e">
        <f aca="false" t="array" ref="DG106:DG106">INDEX(TblConstr[[Total Plain]:[Total Water]],ROW()-ROW(TblConstr[#headers]),MATCH("Total "&amp;home_land,TblConstr[[#Headers],[Total Plain]:[Total Water]],0))+TblConstr[[#This Row],[Homes]]</f>
        <v>#VALUE!</v>
      </c>
      <c r="DH106" s="1" t="n">
        <f aca="false">SUM(O95:O106)+AY106</f>
        <v>40</v>
      </c>
      <c r="DI106" s="1" t="n">
        <f aca="false">MAX(BA106-BA105,0)</f>
        <v>0</v>
      </c>
      <c r="DJ106" s="1" t="n">
        <f aca="false">MAX(BQ106-BQ105,0)</f>
        <v>0</v>
      </c>
    </row>
    <row r="107" customFormat="false" ht="12.75" hidden="false" customHeight="false" outlineLevel="0" collapsed="false">
      <c r="A107" s="170" t="n">
        <f aca="false">TblRezone[[#This Row],[Hour]]</f>
        <v>104</v>
      </c>
      <c r="B107" s="171" t="n">
        <f aca="false">SUM(TblConstr[[#This Row],[Plain]:[Water]])</f>
        <v>0</v>
      </c>
      <c r="C107" s="172" t="n">
        <f aca="false">SUM(TblConstr[[#This Row],[Tot Hom]:[Tot Doc]])</f>
        <v>700</v>
      </c>
      <c r="D107" s="172" t="n">
        <f aca="false">SUM(O96:AG107)</f>
        <v>0</v>
      </c>
      <c r="E107" s="173"/>
      <c r="F107" s="33" t="n">
        <f aca="false">TblConstr[[#This Row],[Barren]]+TblConstr[[#This Row],[Buildings]]+TblConstr[[#This Row],[Incoming]]</f>
        <v>700</v>
      </c>
      <c r="G107" s="199" t="n">
        <f aca="false">OFFSET(TblConstr[[#This Row],[Plain]],-1,0)+TblConstr[[#This Row],[Ch_Plain]]</f>
        <v>0</v>
      </c>
      <c r="H107" s="193" t="n">
        <f aca="false">OFFSET(TblConstr[[#This Row],[Forest]],-1,0)+TblConstr[[#This Row],[Ch_Forest]]</f>
        <v>0</v>
      </c>
      <c r="I107" s="200" t="n">
        <f aca="false">OFFSET(TblConstr[[#This Row],[Mountain]],-1,0)+TblConstr[[#This Row],[Ch_Mountain]]</f>
        <v>0</v>
      </c>
      <c r="J107" s="201" t="n">
        <f aca="false">OFFSET(TblConstr[[#This Row],[Hill]],-1,0)+TblConstr[[#This Row],[Ch_Hill]]</f>
        <v>0</v>
      </c>
      <c r="K107" s="202" t="n">
        <f aca="false">OFFSET(TblConstr[[#This Row],[Swamp]],-1,0)+TblConstr[[#This Row],[Ch_Swamp]]</f>
        <v>0</v>
      </c>
      <c r="L107" s="197" t="n">
        <f aca="false">OFFSET(TblConstr[[#This Row],[Cavern]],-1,0)+TblConstr[[#This Row],[Ch_Cavern]]</f>
        <v>0</v>
      </c>
      <c r="M107" s="198" t="n">
        <f aca="false">OFFSET(TblConstr[[#This Row],[Water]],-1,0)+TblConstr[[#This Row],[Ch_Water]]</f>
        <v>0</v>
      </c>
      <c r="N107" s="181" t="n">
        <f aca="false">TblRezone[[#This Row],[Hour]]</f>
        <v>104</v>
      </c>
      <c r="O107" s="182"/>
      <c r="P107" s="182"/>
      <c r="Q107" s="182"/>
      <c r="R107" s="182"/>
      <c r="S107" s="182"/>
      <c r="T107" s="182"/>
      <c r="U107" s="182"/>
      <c r="V107" s="182"/>
      <c r="W107" s="182"/>
      <c r="X107" s="152"/>
      <c r="Y107" s="182"/>
      <c r="Z107" s="182"/>
      <c r="AA107" s="182"/>
      <c r="AB107" s="182"/>
      <c r="AC107" s="182"/>
      <c r="AD107" s="182"/>
      <c r="AE107" s="182"/>
      <c r="AF107" s="182"/>
      <c r="AG107" s="182"/>
      <c r="AH107" s="20" t="n">
        <f aca="false">TblImps[[#This Row],[Time]]</f>
        <v>45434.0416666667</v>
      </c>
      <c r="AI107" s="130" t="n">
        <f aca="false">MIN(25%,(TblConstr[[#This Row],[Tot Fac]]+TblConstr[[#This Row],[Dest Fac]])/(TblConstr[[#This Row],[Land]]-TblExplore[[#This Row],[Land Bonus]]*20))</f>
        <v>0</v>
      </c>
      <c r="AJ107" s="130" t="n">
        <f aca="false">MIN(25%,(TblConstr[[#This Row],[Tot Fac]]+TblConstr[[#This Row],[Dest Fac]])/TblConstr[[#This Row],[Land]])</f>
        <v>0</v>
      </c>
      <c r="AK107" s="69" t="n">
        <f aca="false">TblProd[[#This Row],[Platinum]]</f>
        <v>1306388</v>
      </c>
      <c r="AL107" s="69" t="n">
        <f aca="false">TblProd[[#This Row],[Lumber]]</f>
        <v>40401</v>
      </c>
      <c r="AM10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7" s="69" t="n">
        <f aca="false">ROUNDDOWN( MAX(1 - MIN(facs_constr_factor*TblConstr[[#This Row],[Facs -DB]],facs_constr_max) + tech_1_11*TblTech[[#This Row],[11-1]] + tech_6_3_2*TblTech[[#This Row],[6-3]] + tech_5_2_3*TblTech[[#This Row],[5-2]], 1-global_constr_cap) * TblConstr[[#This Row],[RCPA Lumber]],0)</f>
        <v>216</v>
      </c>
      <c r="AO10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7" s="69" t="n">
        <f aca="false">ROUNDDOWN( MAX(1 - MIN(facs_constr_factor*TblConstr[[#This Row],[Facs DB]],facs_constr_max) + tech_1_11*TblTech[[#This Row],[1-11]] + tech_6_3_2*TblTech[[#This Row],[6-3]] + tech_5_2_3*TblTech[[#This Row],[5-2]], 1-global_constr_cap) * ROUND((TblConstr[[#This Row],[Land]]-250)*0.285 + 87.5 + 0/4.25,0),0)</f>
        <v>216</v>
      </c>
      <c r="AQ107" s="1" t="n">
        <f aca="false">TblConstr[[#This Row],[build -db]]*TblConstr[[#This Row],[CPA Platinum -DB]] + TblConstr[[#This Row],[build db]]*TblConstr[[#This Row],[CPA Platinum DB]]</f>
        <v>0</v>
      </c>
      <c r="AR107" s="1" t="n">
        <f aca="false">TblConstr[[#This Row],[build -db]]*TblConstr[[#This Row],[CPA Lumber -DB]]+TblConstr[[#This Row],[build db]]*TblConstr[[#This Row],[CPA Lumber DB]]</f>
        <v>0</v>
      </c>
      <c r="AS107" s="69" t="n">
        <f aca="false">MIN(SUM(OFFSET(TblConstr[[#This Row],[Plain]:[Water]],-1,0))+SUM(TblConstr[[#This Row],[Dest Hom]:[Dest Doc]])+IF(TblConstr[[#This Row],[Hour]]&gt;12,SUM(OFFSET(TblExplore[[#This Row],[Plains Explore]:[Water Explore]],-12,0)),0),SUM(TblConstr[[#This Row],[Hom]:[Doc]]))</f>
        <v>0</v>
      </c>
      <c r="AT10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32"/>
      <c r="AV107" s="69" t="n">
        <f aca="false">ROUND((TblConstr[[#This Row],[Land]]-250 - IF(TblExplore[[#This Row],[Land Bonus]]&lt;&gt;0,20,0))*1.25 + 850 + 0,0)</f>
        <v>1413</v>
      </c>
      <c r="AW107" s="69" t="n">
        <f aca="false">ROUND((TblConstr[[#This Row],[Land]]-250 - IF(TblExplore[[#This Row],[Land Bonus]]&lt;&gt;0,20,0))*0.285 + 87.5 + 0/4.25,0)</f>
        <v>216</v>
      </c>
      <c r="AX107" s="146"/>
      <c r="AY107" s="203" t="n">
        <f aca="false" t="array" ref="AY107:AY107">IF(TblConstr[[#This Row],[Hour]:[Hour]]&gt;12,OFFSET(TblConstr[[#This Row],[Hom]],-12,0),0)+OFFSET(TblConstr[[#This Row],[Tot Hom]],-1,0)-TblConstr[[#This Row],[Dest Hom]]</f>
        <v>40</v>
      </c>
      <c r="AZ107" s="204" t="n">
        <f aca="false" t="array" ref="AZ107:AZ107">IF(TblConstr[[#This Row],[Hour]:[Hour]]&gt;12,OFFSET(TblConstr[[#This Row],[Alc]],-12,0),0)+OFFSET(TblConstr[[#This Row],[Tot Alc]],-1,0)-TblConstr[[#This Row],[Dest Alc]]</f>
        <v>275</v>
      </c>
      <c r="BA107" s="204" t="n">
        <f aca="false" t="array" ref="BA107:BA107">IF(TblConstr[[#This Row],[Hour]:[Hour]]&gt;12,OFFSET(TblConstr[[#This Row],[Far]],-12,0),0)+OFFSET(TblConstr[[#This Row],[Tot Farm]],-1,0)-TblConstr[[#This Row],[Dest Farm]]</f>
        <v>29</v>
      </c>
      <c r="BB107" s="204" t="n">
        <f aca="false" t="array" ref="BB107:BB107">IF(TblConstr[[#This Row],[Hour]:[Hour]]&gt;12,OFFSET(TblConstr[[#This Row],[Smi]],-12,0),0)+OFFSET(TblConstr[[#This Row],[Tot Smi]],-1,0)-TblConstr[[#This Row],[Dest Smi]]</f>
        <v>126</v>
      </c>
      <c r="BC107" s="204" t="n">
        <f aca="false" t="array" ref="BC107:BC107">IF(TblConstr[[#This Row],[Hour]:[Hour]]&gt;12,OFFSET(TblConstr[[#This Row],[Mas]],-12,0),0)+OFFSET(TblConstr[[#This Row],[Tot Mas]],-1,0)-TblConstr[[#This Row],[Dest Mas]]</f>
        <v>0</v>
      </c>
      <c r="BD107" s="205" t="n">
        <f aca="false" t="array" ref="BD107:BD107">IF(TblConstr[[#This Row],[Hour]:[Hour]]&gt;12,OFFSET(TblConstr[[#This Row],[Ly]],-12,0),0)+OFFSET(TblConstr[[#This Row],[Tot Ly]],-1,0)-TblConstr[[#This Row],[Dest Ly]]</f>
        <v>25</v>
      </c>
      <c r="BE107" s="205" t="n">
        <f aca="false" t="array" ref="BE107:BE107">IF(TblConstr[[#This Row],[Hour]:[Hour]]&gt;12,OFFSET(TblConstr[[#This Row],[Hav]],-12,0),0)+OFFSET(TblConstr[[#This Row],[Tot Hav]],-1,0)-TblConstr[[#This Row],[Dest Hav]]</f>
        <v>0</v>
      </c>
      <c r="BF107" s="194" t="n">
        <f aca="false" t="array" ref="BF107:BF107">IF(TblConstr[[#This Row],[Hour]:[Hour]]&gt;12,OFFSET(TblConstr[[#This Row],[OM]],-12,0),0)+OFFSET(TblConstr[[#This Row],[Tot OM]],-1,0)-TblConstr[[#This Row],[Dest OM]]</f>
        <v>0</v>
      </c>
      <c r="BG107" s="194" t="n">
        <f aca="false" t="array" ref="BG107:BG107">IF(TblConstr[[#This Row],[Hour]:[Hour]]&gt;12,OFFSET(TblConstr[[#This Row],[GN]],-12,0),0)+OFFSET(TblConstr[[#This Row],[Tot GN]],-1,0)-TblConstr[[#This Row],[Dest GN]]</f>
        <v>0</v>
      </c>
      <c r="BH107" s="206" t="n">
        <f aca="false" t="array" ref="BH107:BH107">IF(TblConstr[[#This Row],[Hour]:[Hour]]&gt;12,OFFSET(TblConstr[[#This Row],[Fac]],-12,0),0)+OFFSET(TblConstr[[#This Row],[Tot Fac]],-1,0)-TblConstr[[#This Row],[Dest Fac]]</f>
        <v>0</v>
      </c>
      <c r="BI107" s="206" t="n">
        <f aca="false" t="array" ref="BI107:BI107">IF(TblConstr[[#This Row],[Hour]:[Hour]]&gt;12,OFFSET(TblConstr[[#This Row],[GT]],-12,0),0)+OFFSET(TblConstr[[#This Row],[Tot GT]],-1,0)-TblConstr[[#This Row],[Dest GT]]</f>
        <v>55</v>
      </c>
      <c r="BJ107" s="206" t="n">
        <f aca="false" t="array" ref="BJ107:BJ107">IF(TblConstr[[#This Row],[Hour]:[Hour]]&gt;12,OFFSET(TblConstr[[#This Row],[Bar]],-12,0),0)+OFFSET(TblConstr[[#This Row],[Tot Bar]],-1,0)-TblConstr[[#This Row],[Dest Bar]]</f>
        <v>50</v>
      </c>
      <c r="BK107" s="206" t="n">
        <f aca="false" t="array" ref="BK107:BK107">IF(TblConstr[[#This Row],[Hour]:[Hour]]&gt;12,OFFSET(TblConstr[[#This Row],[Shr]],-12,0),0)+OFFSET(TblConstr[[#This Row],[Tot Shr]],-1,0)-TblConstr[[#This Row],[Dest Shr]]</f>
        <v>0</v>
      </c>
      <c r="BL107" s="207" t="n">
        <f aca="false" t="array" ref="BL107:BL107">IF(TblConstr[[#This Row],[Hour]:[Hour]]&gt;12,OFFSET(TblConstr[[#This Row],[Tow]],-12,0),0)+OFFSET(TblConstr[[#This Row],[Tot Tow]],-1,0)-TblConstr[[#This Row],[Dest Tow]]</f>
        <v>29</v>
      </c>
      <c r="BM107" s="207" t="n">
        <f aca="false" t="array" ref="BM107:BM107">IF(TblConstr[[#This Row],[Hour]:[Hour]]&gt;12,OFFSET(TblConstr[[#This Row],[Tem]],-12,0),0)+OFFSET(TblConstr[[#This Row],[Tot Tem]],-1,0)-TblConstr[[#This Row],[Dest Tem]]</f>
        <v>47</v>
      </c>
      <c r="BN107" s="207" t="n">
        <f aca="false" t="array" ref="BN107:BN107">IF(TblConstr[[#This Row],[Hour]:[Hour]]&gt;12,OFFSET(TblConstr[[#This Row],[WG]],-12,0),0)+OFFSET(TblConstr[[#This Row],[Tot WG]],-1,0)-TblConstr[[#This Row],[Dest WG]]</f>
        <v>0</v>
      </c>
      <c r="BO107" s="208" t="n">
        <f aca="false" t="array" ref="BO107:BO107">IF(TblConstr[[#This Row],[Hour]:[Hour]]&gt;12,OFFSET(TblConstr[[#This Row],[DM]],-12,0),0)+OFFSET(TblConstr[[#This Row],[Tot DM]],-1,0)-TblConstr[[#This Row],[Dest DM]]</f>
        <v>0</v>
      </c>
      <c r="BP107" s="208" t="n">
        <f aca="false" t="array" ref="BP107:BP107">IF(TblConstr[[#This Row],[Hour]:[Hour]]&gt;12,OFFSET(TblConstr[[#This Row],[Sch]],-12,0),0)+OFFSET(TblConstr[[#This Row],[Tot Sch]],-1,0)-TblConstr[[#This Row],[Dest Sch]]</f>
        <v>0</v>
      </c>
      <c r="BQ107" s="209" t="n">
        <f aca="false" t="array" ref="BQ107:BQ107">IF(TblConstr[[#This Row],[Hour]:[Hour]]&gt;12,OFFSET(TblConstr[[#This Row],[Doc]],-12,0),0)+OFFSET(TblConstr[[#This Row],[Tot Doc]],-1,0)-TblConstr[[#This Row],[Dest Doc]]</f>
        <v>24</v>
      </c>
      <c r="BR107" s="132"/>
      <c r="BS107" s="146"/>
      <c r="BT107" s="69" t="n">
        <f aca="false">TblConstr[[#This Row],[Land]]</f>
        <v>700</v>
      </c>
      <c r="BU107" s="153" t="n">
        <f aca="false">TblImps[[#This Row],[Time]]</f>
        <v>45434.0416666667</v>
      </c>
      <c r="BV107" s="132"/>
      <c r="BW107" s="182"/>
      <c r="BX107" s="182"/>
      <c r="BY107" s="182"/>
      <c r="BZ107" s="182"/>
      <c r="CA107" s="182"/>
      <c r="CB107" s="182"/>
      <c r="CC107" s="182"/>
      <c r="CD107" s="182"/>
      <c r="CE107" s="182"/>
      <c r="CF107" s="182"/>
      <c r="CG107" s="182"/>
      <c r="CH107" s="182"/>
      <c r="CI107" s="182"/>
      <c r="CJ107" s="182"/>
      <c r="CK107" s="182"/>
      <c r="CL107" s="182"/>
      <c r="CM107" s="182"/>
      <c r="CN107" s="182"/>
      <c r="CO107" s="182"/>
      <c r="CP107" s="132"/>
      <c r="CQ107" s="192" t="n">
        <f aca="false">-SUM(TblConstr[[#This Row],[Alc]:[Mas]])+SUM(TblConstr[[#This Row],[Dest Alc]:[Dest Mas]])+Rezone!L107+IF("Ch_"&amp; home_land=TblConstr[[#Headers],[Ch_Plain]],TblConstr[[#This Row],[Home Land]])+IF(TblConstr[[#This Row],[Hour]:[Hour]]&gt;12,OFFSET(TblExplore[[#This Row],[Plains Explore]],-12,0),0)</f>
        <v>0</v>
      </c>
      <c r="CR107" s="193" t="n">
        <f aca="false">-SUM(TblConstr[[#This Row],[Ly]:[Hav]])+SUM(TblConstr[[#This Row],[Dest Ly]:[Dest Hav]]) +Rezone!M107 + IF("Ch_"&amp; home_land=TblConstr[[#Headers],[Ch_Forest]],TblConstr[[#This Row],[Home Land]])+IF(TblConstr[[#This Row],[Hour]:[Hour]]&gt;12,OFFSET(TblExplore[[#This Row],[Forest Explore]],-12,0),0)</f>
        <v>0</v>
      </c>
      <c r="CS107" s="200" t="n">
        <f aca="false">-SUM(TblConstr[[#This Row],[OM]:[GN]])+SUM(TblConstr[[#This Row],[Dest OM]:[Dest GN]]) +Rezone!N107 + IF("Ch_"&amp; home_land=TblConstr[[#Headers],[Ch_Mountain]],TblConstr[[#This Row],[Home Land]])+IF(TblConstr[[#This Row],[Hour]:[Hour]]&gt;12,OFFSET(TblExplore[[#This Row],[Mountain Explore]],-12,0),0)</f>
        <v>0</v>
      </c>
      <c r="CT107" s="195" t="n">
        <f aca="false">-SUM(TblConstr[[#This Row],[Fac]:[Shr]])+SUM(TblConstr[[#This Row],[Dest Fac]:[Dest Shr]]) +Rezone!O107 + IF("Ch_" &amp; home_land=TblConstr[[#Headers],[Ch_Hill]],TblConstr[[#This Row],[Home Land]])+IF(TblConstr[[#This Row],[Hour]:[Hour]]&gt;12,OFFSET(TblExplore[[#This Row],[Hill Explore]],-12,0),0)</f>
        <v>0</v>
      </c>
      <c r="CU107" s="196" t="n">
        <f aca="false">-SUM(TblConstr[[#This Row],[Tow]:[WG]])+SUM(TblConstr[[#This Row],[Dest Tow]:[Dest WG]]) +Rezone!P107 + IF("Ch_" &amp; home_land=TblConstr[[#Headers],[Ch_Swamp]],TblConstr[[#This Row],[Home Land]])+IF(TblConstr[[#This Row],[Hour]:[Hour]]&gt;12,OFFSET(TblExplore[[#This Row],[Swamp Explore]],-12,0),0)</f>
        <v>0</v>
      </c>
      <c r="CV107" s="197" t="n">
        <f aca="false">- SUM(TblConstr[[#This Row],[DM]:[Sch]])+SUM(TblConstr[[#This Row],[Dest DM]:[Dest Sch]]) +Rezone!Q107 + IF("Ch_" &amp; home_land=TblConstr[[#Headers],[Ch_Cavern]],TblConstr[[#This Row],[Home Land]])+IF(TblConstr[[#This Row],[Hour]:[Hour]]&gt;12,OFFSET(TblExplore[[#This Row],[Cavern Explore]],-12,0),0)</f>
        <v>0</v>
      </c>
      <c r="CW107" s="198" t="n">
        <f aca="false">-TblConstr[[#This Row],[Doc]]+TblConstr[[#This Row],[Dest Doc]] +Rezone!R107 + IF("Ch_" &amp; home_land=TblConstr[[#Headers],[Ch_Water]],TblConstr[[#This Row],[Home Land]])+IF(TblConstr[[#This Row],[Hour]:[Hour]]&gt;12,OFFSET(TblExplore[[#This Row],[Water Explore]],-12,0),0)</f>
        <v>0</v>
      </c>
      <c r="CX107" s="1" t="n">
        <f aca="false">IF(Explore!S107=1,20) - TblConstr[[#This Row],[Hom]] + TblConstr[[#This Row],[Dest Hom]]</f>
        <v>0</v>
      </c>
      <c r="CY107" s="132"/>
      <c r="CZ107" s="69" t="n">
        <f aca="false">G107+SUM(P96:S107)+SUM(AZ107:BC107)</f>
        <v>430</v>
      </c>
      <c r="DA107" s="69" t="n">
        <f aca="false">H107+SUM(T96:U107)+SUM(BD107:BE107)</f>
        <v>25</v>
      </c>
      <c r="DB107" s="1" t="n">
        <f aca="false">I107+SUM(V96:W107)+SUM(BF107:BG107)</f>
        <v>0</v>
      </c>
      <c r="DC107" s="69" t="n">
        <f aca="false">J107+SUM(X96:Y107)+SUM(BH107:BI107)</f>
        <v>55</v>
      </c>
      <c r="DD107" s="69" t="n">
        <f aca="false">K107+SUM(AB96:AD107)+SUM(BL107:BN107)</f>
        <v>76</v>
      </c>
      <c r="DE107" s="1" t="n">
        <f aca="false">L107+SUM(AE96:AE107)+BO107</f>
        <v>0</v>
      </c>
      <c r="DF107" s="69" t="n">
        <f aca="false">M107+SUM(AG96:AG107)+BQ107</f>
        <v>24</v>
      </c>
      <c r="DG107" s="69" t="e">
        <f aca="false" t="array" ref="DG107:DG107">INDEX(TblConstr[[Total Plain]:[Total Water]],ROW()-ROW(TblConstr[#headers]),MATCH("Total "&amp;home_land,TblConstr[[#Headers],[Total Plain]:[Total Water]],0))+TblConstr[[#This Row],[Homes]]</f>
        <v>#VALUE!</v>
      </c>
      <c r="DH107" s="1" t="n">
        <f aca="false">SUM(O96:O107)+AY107</f>
        <v>40</v>
      </c>
      <c r="DI107" s="1" t="n">
        <f aca="false">MAX(BA107-BA106,0)</f>
        <v>0</v>
      </c>
      <c r="DJ107" s="1" t="n">
        <f aca="false">MAX(BQ107-BQ106,0)</f>
        <v>0</v>
      </c>
    </row>
    <row r="108" customFormat="false" ht="12.75" hidden="false" customHeight="false" outlineLevel="0" collapsed="false">
      <c r="A108" s="170" t="n">
        <f aca="false">TblRezone[[#This Row],[Hour]]</f>
        <v>105</v>
      </c>
      <c r="B108" s="171" t="n">
        <f aca="false">SUM(TblConstr[[#This Row],[Plain]:[Water]])</f>
        <v>0</v>
      </c>
      <c r="C108" s="172" t="n">
        <f aca="false">SUM(TblConstr[[#This Row],[Tot Hom]:[Tot Doc]])</f>
        <v>700</v>
      </c>
      <c r="D108" s="172" t="n">
        <f aca="false">SUM(O97:AG108)</f>
        <v>0</v>
      </c>
      <c r="E108" s="173"/>
      <c r="F108" s="33" t="n">
        <f aca="false">TblConstr[[#This Row],[Barren]]+TblConstr[[#This Row],[Buildings]]+TblConstr[[#This Row],[Incoming]]</f>
        <v>700</v>
      </c>
      <c r="G108" s="199" t="n">
        <f aca="false">OFFSET(TblConstr[[#This Row],[Plain]],-1,0)+TblConstr[[#This Row],[Ch_Plain]]</f>
        <v>0</v>
      </c>
      <c r="H108" s="193" t="n">
        <f aca="false">OFFSET(TblConstr[[#This Row],[Forest]],-1,0)+TblConstr[[#This Row],[Ch_Forest]]</f>
        <v>0</v>
      </c>
      <c r="I108" s="200" t="n">
        <f aca="false">OFFSET(TblConstr[[#This Row],[Mountain]],-1,0)+TblConstr[[#This Row],[Ch_Mountain]]</f>
        <v>0</v>
      </c>
      <c r="J108" s="201" t="n">
        <f aca="false">OFFSET(TblConstr[[#This Row],[Hill]],-1,0)+TblConstr[[#This Row],[Ch_Hill]]</f>
        <v>0</v>
      </c>
      <c r="K108" s="202" t="n">
        <f aca="false">OFFSET(TblConstr[[#This Row],[Swamp]],-1,0)+TblConstr[[#This Row],[Ch_Swamp]]</f>
        <v>0</v>
      </c>
      <c r="L108" s="197" t="n">
        <f aca="false">OFFSET(TblConstr[[#This Row],[Cavern]],-1,0)+TblConstr[[#This Row],[Ch_Cavern]]</f>
        <v>0</v>
      </c>
      <c r="M108" s="198" t="n">
        <f aca="false">OFFSET(TblConstr[[#This Row],[Water]],-1,0)+TblConstr[[#This Row],[Ch_Water]]</f>
        <v>0</v>
      </c>
      <c r="N108" s="181" t="n">
        <f aca="false">TblRezone[[#This Row],[Hour]]</f>
        <v>105</v>
      </c>
      <c r="O108" s="182"/>
      <c r="P108" s="182"/>
      <c r="Q108" s="182"/>
      <c r="R108" s="152"/>
      <c r="S108" s="182"/>
      <c r="T108" s="182"/>
      <c r="U108" s="182"/>
      <c r="V108" s="182"/>
      <c r="W108" s="182"/>
      <c r="X108" s="182"/>
      <c r="Y108" s="182"/>
      <c r="Z108" s="182"/>
      <c r="AA108" s="182"/>
      <c r="AB108" s="182"/>
      <c r="AC108" s="182"/>
      <c r="AD108" s="182"/>
      <c r="AE108" s="182"/>
      <c r="AF108" s="182"/>
      <c r="AG108" s="182"/>
      <c r="AH108" s="20" t="n">
        <f aca="false">TblImps[[#This Row],[Time]]</f>
        <v>45434.0833333333</v>
      </c>
      <c r="AI108" s="130" t="n">
        <f aca="false">MIN(25%,(TblConstr[[#This Row],[Tot Fac]]+TblConstr[[#This Row],[Dest Fac]])/(TblConstr[[#This Row],[Land]]-TblExplore[[#This Row],[Land Bonus]]*20))</f>
        <v>0</v>
      </c>
      <c r="AJ108" s="130" t="n">
        <f aca="false">MIN(25%,(TblConstr[[#This Row],[Tot Fac]]+TblConstr[[#This Row],[Dest Fac]])/TblConstr[[#This Row],[Land]])</f>
        <v>0</v>
      </c>
      <c r="AK108" s="69" t="n">
        <f aca="false">TblProd[[#This Row],[Platinum]]</f>
        <v>1345712</v>
      </c>
      <c r="AL108" s="69" t="n">
        <f aca="false">TblProd[[#This Row],[Lumber]]</f>
        <v>41122</v>
      </c>
      <c r="AM10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8" s="69" t="n">
        <f aca="false">ROUNDDOWN( MAX(1 - MIN(facs_constr_factor*TblConstr[[#This Row],[Facs -DB]],facs_constr_max) + tech_1_11*TblTech[[#This Row],[11-1]] + tech_6_3_2*TblTech[[#This Row],[6-3]] + tech_5_2_3*TblTech[[#This Row],[5-2]], 1-global_constr_cap) * TblConstr[[#This Row],[RCPA Lumber]],0)</f>
        <v>216</v>
      </c>
      <c r="AO10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8" s="69" t="n">
        <f aca="false">ROUNDDOWN( MAX(1 - MIN(facs_constr_factor*TblConstr[[#This Row],[Facs DB]],facs_constr_max) + tech_1_11*TblTech[[#This Row],[1-11]] + tech_6_3_2*TblTech[[#This Row],[6-3]] + tech_5_2_3*TblTech[[#This Row],[5-2]], 1-global_constr_cap) * ROUND((TblConstr[[#This Row],[Land]]-250)*0.285 + 87.5 + 0/4.25,0),0)</f>
        <v>216</v>
      </c>
      <c r="AQ108" s="1" t="n">
        <f aca="false">TblConstr[[#This Row],[build -db]]*TblConstr[[#This Row],[CPA Platinum -DB]] + TblConstr[[#This Row],[build db]]*TblConstr[[#This Row],[CPA Platinum DB]]</f>
        <v>0</v>
      </c>
      <c r="AR108" s="1" t="n">
        <f aca="false">TblConstr[[#This Row],[build -db]]*TblConstr[[#This Row],[CPA Lumber -DB]]+TblConstr[[#This Row],[build db]]*TblConstr[[#This Row],[CPA Lumber DB]]</f>
        <v>0</v>
      </c>
      <c r="AS108" s="69" t="n">
        <f aca="false">MIN(SUM(OFFSET(TblConstr[[#This Row],[Plain]:[Water]],-1,0))+SUM(TblConstr[[#This Row],[Dest Hom]:[Dest Doc]])+IF(TblConstr[[#This Row],[Hour]]&gt;12,SUM(OFFSET(TblExplore[[#This Row],[Plains Explore]:[Water Explore]],-12,0)),0),SUM(TblConstr[[#This Row],[Hom]:[Doc]]))</f>
        <v>0</v>
      </c>
      <c r="AT10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32"/>
      <c r="AV108" s="69" t="n">
        <f aca="false">ROUND((TblConstr[[#This Row],[Land]]-250 - IF(TblExplore[[#This Row],[Land Bonus]]&lt;&gt;0,20,0))*1.25 + 850 + 0,0)</f>
        <v>1413</v>
      </c>
      <c r="AW108" s="69" t="n">
        <f aca="false">ROUND((TblConstr[[#This Row],[Land]]-250 - IF(TblExplore[[#This Row],[Land Bonus]]&lt;&gt;0,20,0))*0.285 + 87.5 + 0/4.25,0)</f>
        <v>216</v>
      </c>
      <c r="AX108" s="146"/>
      <c r="AY108" s="203" t="n">
        <f aca="false" t="array" ref="AY108:AY108">IF(TblConstr[[#This Row],[Hour]:[Hour]]&gt;12,OFFSET(TblConstr[[#This Row],[Hom]],-12,0),0)+OFFSET(TblConstr[[#This Row],[Tot Hom]],-1,0)-TblConstr[[#This Row],[Dest Hom]]</f>
        <v>40</v>
      </c>
      <c r="AZ108" s="204" t="n">
        <f aca="false" t="array" ref="AZ108:AZ108">IF(TblConstr[[#This Row],[Hour]:[Hour]]&gt;12,OFFSET(TblConstr[[#This Row],[Alc]],-12,0),0)+OFFSET(TblConstr[[#This Row],[Tot Alc]],-1,0)-TblConstr[[#This Row],[Dest Alc]]</f>
        <v>275</v>
      </c>
      <c r="BA108" s="204" t="n">
        <f aca="false" t="array" ref="BA108:BA108">IF(TblConstr[[#This Row],[Hour]:[Hour]]&gt;12,OFFSET(TblConstr[[#This Row],[Far]],-12,0),0)+OFFSET(TblConstr[[#This Row],[Tot Farm]],-1,0)-TblConstr[[#This Row],[Dest Farm]]</f>
        <v>29</v>
      </c>
      <c r="BB108" s="204" t="n">
        <f aca="false" t="array" ref="BB108:BB108">IF(TblConstr[[#This Row],[Hour]:[Hour]]&gt;12,OFFSET(TblConstr[[#This Row],[Smi]],-12,0),0)+OFFSET(TblConstr[[#This Row],[Tot Smi]],-1,0)-TblConstr[[#This Row],[Dest Smi]]</f>
        <v>126</v>
      </c>
      <c r="BC108" s="204" t="n">
        <f aca="false" t="array" ref="BC108:BC108">IF(TblConstr[[#This Row],[Hour]:[Hour]]&gt;12,OFFSET(TblConstr[[#This Row],[Mas]],-12,0),0)+OFFSET(TblConstr[[#This Row],[Tot Mas]],-1,0)-TblConstr[[#This Row],[Dest Mas]]</f>
        <v>0</v>
      </c>
      <c r="BD108" s="205" t="n">
        <f aca="false" t="array" ref="BD108:BD108">IF(TblConstr[[#This Row],[Hour]:[Hour]]&gt;12,OFFSET(TblConstr[[#This Row],[Ly]],-12,0),0)+OFFSET(TblConstr[[#This Row],[Tot Ly]],-1,0)-TblConstr[[#This Row],[Dest Ly]]</f>
        <v>25</v>
      </c>
      <c r="BE108" s="205" t="n">
        <f aca="false" t="array" ref="BE108:BE108">IF(TblConstr[[#This Row],[Hour]:[Hour]]&gt;12,OFFSET(TblConstr[[#This Row],[Hav]],-12,0),0)+OFFSET(TblConstr[[#This Row],[Tot Hav]],-1,0)-TblConstr[[#This Row],[Dest Hav]]</f>
        <v>0</v>
      </c>
      <c r="BF108" s="194" t="n">
        <f aca="false" t="array" ref="BF108:BF108">IF(TblConstr[[#This Row],[Hour]:[Hour]]&gt;12,OFFSET(TblConstr[[#This Row],[OM]],-12,0),0)+OFFSET(TblConstr[[#This Row],[Tot OM]],-1,0)-TblConstr[[#This Row],[Dest OM]]</f>
        <v>0</v>
      </c>
      <c r="BG108" s="194" t="n">
        <f aca="false" t="array" ref="BG108:BG108">IF(TblConstr[[#This Row],[Hour]:[Hour]]&gt;12,OFFSET(TblConstr[[#This Row],[GN]],-12,0),0)+OFFSET(TblConstr[[#This Row],[Tot GN]],-1,0)-TblConstr[[#This Row],[Dest GN]]</f>
        <v>0</v>
      </c>
      <c r="BH108" s="206" t="n">
        <f aca="false" t="array" ref="BH108:BH108">IF(TblConstr[[#This Row],[Hour]:[Hour]]&gt;12,OFFSET(TblConstr[[#This Row],[Fac]],-12,0),0)+OFFSET(TblConstr[[#This Row],[Tot Fac]],-1,0)-TblConstr[[#This Row],[Dest Fac]]</f>
        <v>0</v>
      </c>
      <c r="BI108" s="206" t="n">
        <f aca="false" t="array" ref="BI108:BI108">IF(TblConstr[[#This Row],[Hour]:[Hour]]&gt;12,OFFSET(TblConstr[[#This Row],[GT]],-12,0),0)+OFFSET(TblConstr[[#This Row],[Tot GT]],-1,0)-TblConstr[[#This Row],[Dest GT]]</f>
        <v>55</v>
      </c>
      <c r="BJ108" s="206" t="n">
        <f aca="false" t="array" ref="BJ108:BJ108">IF(TblConstr[[#This Row],[Hour]:[Hour]]&gt;12,OFFSET(TblConstr[[#This Row],[Bar]],-12,0),0)+OFFSET(TblConstr[[#This Row],[Tot Bar]],-1,0)-TblConstr[[#This Row],[Dest Bar]]</f>
        <v>50</v>
      </c>
      <c r="BK108" s="206" t="n">
        <f aca="false" t="array" ref="BK108:BK108">IF(TblConstr[[#This Row],[Hour]:[Hour]]&gt;12,OFFSET(TblConstr[[#This Row],[Shr]],-12,0),0)+OFFSET(TblConstr[[#This Row],[Tot Shr]],-1,0)-TblConstr[[#This Row],[Dest Shr]]</f>
        <v>0</v>
      </c>
      <c r="BL108" s="207" t="n">
        <f aca="false" t="array" ref="BL108:BL108">IF(TblConstr[[#This Row],[Hour]:[Hour]]&gt;12,OFFSET(TblConstr[[#This Row],[Tow]],-12,0),0)+OFFSET(TblConstr[[#This Row],[Tot Tow]],-1,0)-TblConstr[[#This Row],[Dest Tow]]</f>
        <v>29</v>
      </c>
      <c r="BM108" s="207" t="n">
        <f aca="false" t="array" ref="BM108:BM108">IF(TblConstr[[#This Row],[Hour]:[Hour]]&gt;12,OFFSET(TblConstr[[#This Row],[Tem]],-12,0),0)+OFFSET(TblConstr[[#This Row],[Tot Tem]],-1,0)-TblConstr[[#This Row],[Dest Tem]]</f>
        <v>47</v>
      </c>
      <c r="BN108" s="207" t="n">
        <f aca="false" t="array" ref="BN108:BN108">IF(TblConstr[[#This Row],[Hour]:[Hour]]&gt;12,OFFSET(TblConstr[[#This Row],[WG]],-12,0),0)+OFFSET(TblConstr[[#This Row],[Tot WG]],-1,0)-TblConstr[[#This Row],[Dest WG]]</f>
        <v>0</v>
      </c>
      <c r="BO108" s="208" t="n">
        <f aca="false" t="array" ref="BO108:BO108">IF(TblConstr[[#This Row],[Hour]:[Hour]]&gt;12,OFFSET(TblConstr[[#This Row],[DM]],-12,0),0)+OFFSET(TblConstr[[#This Row],[Tot DM]],-1,0)-TblConstr[[#This Row],[Dest DM]]</f>
        <v>0</v>
      </c>
      <c r="BP108" s="208" t="n">
        <f aca="false" t="array" ref="BP108:BP108">IF(TblConstr[[#This Row],[Hour]:[Hour]]&gt;12,OFFSET(TblConstr[[#This Row],[Sch]],-12,0),0)+OFFSET(TblConstr[[#This Row],[Tot Sch]],-1,0)-TblConstr[[#This Row],[Dest Sch]]</f>
        <v>0</v>
      </c>
      <c r="BQ108" s="209" t="n">
        <f aca="false" t="array" ref="BQ108:BQ108">IF(TblConstr[[#This Row],[Hour]:[Hour]]&gt;12,OFFSET(TblConstr[[#This Row],[Doc]],-12,0),0)+OFFSET(TblConstr[[#This Row],[Tot Doc]],-1,0)-TblConstr[[#This Row],[Dest Doc]]</f>
        <v>24</v>
      </c>
      <c r="BR108" s="132"/>
      <c r="BS108" s="146"/>
      <c r="BT108" s="69" t="n">
        <f aca="false">TblConstr[[#This Row],[Land]]</f>
        <v>700</v>
      </c>
      <c r="BU108" s="153" t="n">
        <f aca="false">TblImps[[#This Row],[Time]]</f>
        <v>45434.0833333333</v>
      </c>
      <c r="BV108" s="132"/>
      <c r="BW108" s="182"/>
      <c r="BX108" s="182"/>
      <c r="BY108" s="182"/>
      <c r="BZ108" s="182"/>
      <c r="CA108" s="182"/>
      <c r="CB108" s="182"/>
      <c r="CC108" s="182"/>
      <c r="CD108" s="182"/>
      <c r="CE108" s="182"/>
      <c r="CF108" s="182"/>
      <c r="CG108" s="182"/>
      <c r="CH108" s="182"/>
      <c r="CI108" s="182"/>
      <c r="CJ108" s="182"/>
      <c r="CK108" s="182"/>
      <c r="CL108" s="182"/>
      <c r="CM108" s="182"/>
      <c r="CN108" s="182"/>
      <c r="CO108" s="182"/>
      <c r="CP108" s="132"/>
      <c r="CQ108" s="192" t="n">
        <f aca="false">-SUM(TblConstr[[#This Row],[Alc]:[Mas]])+SUM(TblConstr[[#This Row],[Dest Alc]:[Dest Mas]])+Rezone!L108+IF("Ch_"&amp; home_land=TblConstr[[#Headers],[Ch_Plain]],TblConstr[[#This Row],[Home Land]])+IF(TblConstr[[#This Row],[Hour]:[Hour]]&gt;12,OFFSET(TblExplore[[#This Row],[Plains Explore]],-12,0),0)</f>
        <v>0</v>
      </c>
      <c r="CR108" s="193" t="n">
        <f aca="false">-SUM(TblConstr[[#This Row],[Ly]:[Hav]])+SUM(TblConstr[[#This Row],[Dest Ly]:[Dest Hav]]) +Rezone!M108 + IF("Ch_"&amp; home_land=TblConstr[[#Headers],[Ch_Forest]],TblConstr[[#This Row],[Home Land]])+IF(TblConstr[[#This Row],[Hour]:[Hour]]&gt;12,OFFSET(TblExplore[[#This Row],[Forest Explore]],-12,0),0)</f>
        <v>0</v>
      </c>
      <c r="CS108" s="200" t="n">
        <f aca="false">-SUM(TblConstr[[#This Row],[OM]:[GN]])+SUM(TblConstr[[#This Row],[Dest OM]:[Dest GN]]) +Rezone!N108 + IF("Ch_"&amp; home_land=TblConstr[[#Headers],[Ch_Mountain]],TblConstr[[#This Row],[Home Land]])+IF(TblConstr[[#This Row],[Hour]:[Hour]]&gt;12,OFFSET(TblExplore[[#This Row],[Mountain Explore]],-12,0),0)</f>
        <v>0</v>
      </c>
      <c r="CT108" s="195" t="n">
        <f aca="false">-SUM(TblConstr[[#This Row],[Fac]:[Shr]])+SUM(TblConstr[[#This Row],[Dest Fac]:[Dest Shr]]) +Rezone!O108 + IF("Ch_" &amp; home_land=TblConstr[[#Headers],[Ch_Hill]],TblConstr[[#This Row],[Home Land]])+IF(TblConstr[[#This Row],[Hour]:[Hour]]&gt;12,OFFSET(TblExplore[[#This Row],[Hill Explore]],-12,0),0)</f>
        <v>0</v>
      </c>
      <c r="CU108" s="196" t="n">
        <f aca="false">-SUM(TblConstr[[#This Row],[Tow]:[WG]])+SUM(TblConstr[[#This Row],[Dest Tow]:[Dest WG]]) +Rezone!P108 + IF("Ch_" &amp; home_land=TblConstr[[#Headers],[Ch_Swamp]],TblConstr[[#This Row],[Home Land]])+IF(TblConstr[[#This Row],[Hour]:[Hour]]&gt;12,OFFSET(TblExplore[[#This Row],[Swamp Explore]],-12,0),0)</f>
        <v>0</v>
      </c>
      <c r="CV108" s="197" t="n">
        <f aca="false">- SUM(TblConstr[[#This Row],[DM]:[Sch]])+SUM(TblConstr[[#This Row],[Dest DM]:[Dest Sch]]) +Rezone!Q108 + IF("Ch_" &amp; home_land=TblConstr[[#Headers],[Ch_Cavern]],TblConstr[[#This Row],[Home Land]])+IF(TblConstr[[#This Row],[Hour]:[Hour]]&gt;12,OFFSET(TblExplore[[#This Row],[Cavern Explore]],-12,0),0)</f>
        <v>0</v>
      </c>
      <c r="CW108" s="198" t="n">
        <f aca="false">-TblConstr[[#This Row],[Doc]]+TblConstr[[#This Row],[Dest Doc]] +Rezone!R108 + IF("Ch_" &amp; home_land=TblConstr[[#Headers],[Ch_Water]],TblConstr[[#This Row],[Home Land]])+IF(TblConstr[[#This Row],[Hour]:[Hour]]&gt;12,OFFSET(TblExplore[[#This Row],[Water Explore]],-12,0),0)</f>
        <v>0</v>
      </c>
      <c r="CX108" s="1" t="n">
        <f aca="false">IF(Explore!S108=1,20) - TblConstr[[#This Row],[Hom]] + TblConstr[[#This Row],[Dest Hom]]</f>
        <v>0</v>
      </c>
      <c r="CY108" s="132"/>
      <c r="CZ108" s="69" t="n">
        <f aca="false">G108+SUM(P97:S108)+SUM(AZ108:BC108)</f>
        <v>430</v>
      </c>
      <c r="DA108" s="69" t="n">
        <f aca="false">H108+SUM(T97:U108)+SUM(BD108:BE108)</f>
        <v>25</v>
      </c>
      <c r="DB108" s="1" t="n">
        <f aca="false">I108+SUM(V97:W108)+SUM(BF108:BG108)</f>
        <v>0</v>
      </c>
      <c r="DC108" s="69" t="n">
        <f aca="false">J108+SUM(X97:Y108)+SUM(BH108:BI108)</f>
        <v>55</v>
      </c>
      <c r="DD108" s="69" t="n">
        <f aca="false">K108+SUM(AB97:AD108)+SUM(BL108:BN108)</f>
        <v>76</v>
      </c>
      <c r="DE108" s="1" t="n">
        <f aca="false">L108+SUM(AE97:AE108)+BO108</f>
        <v>0</v>
      </c>
      <c r="DF108" s="69" t="n">
        <f aca="false">M108+SUM(AG97:AG108)+BQ108</f>
        <v>24</v>
      </c>
      <c r="DG108" s="69" t="e">
        <f aca="false" t="array" ref="DG108:DG108">INDEX(TblConstr[[Total Plain]:[Total Water]],ROW()-ROW(TblConstr[#headers]),MATCH("Total "&amp;home_land,TblConstr[[#Headers],[Total Plain]:[Total Water]],0))+TblConstr[[#This Row],[Homes]]</f>
        <v>#VALUE!</v>
      </c>
      <c r="DH108" s="1" t="n">
        <f aca="false">SUM(O97:O108)+AY108</f>
        <v>40</v>
      </c>
      <c r="DI108" s="1" t="n">
        <f aca="false">MAX(BA108-BA107,0)</f>
        <v>0</v>
      </c>
      <c r="DJ108" s="1" t="n">
        <f aca="false">MAX(BQ108-BQ107,0)</f>
        <v>0</v>
      </c>
    </row>
    <row r="109" customFormat="false" ht="12.75" hidden="false" customHeight="false" outlineLevel="0" collapsed="false">
      <c r="A109" s="170" t="n">
        <f aca="false">TblRezone[[#This Row],[Hour]]</f>
        <v>106</v>
      </c>
      <c r="B109" s="171" t="n">
        <f aca="false">SUM(TblConstr[[#This Row],[Plain]:[Water]])</f>
        <v>0</v>
      </c>
      <c r="C109" s="172" t="n">
        <f aca="false">SUM(TblConstr[[#This Row],[Tot Hom]:[Tot Doc]])</f>
        <v>700</v>
      </c>
      <c r="D109" s="172" t="n">
        <f aca="false">SUM(O98:AG109)</f>
        <v>0</v>
      </c>
      <c r="E109" s="173"/>
      <c r="F109" s="33" t="n">
        <f aca="false">TblConstr[[#This Row],[Barren]]+TblConstr[[#This Row],[Buildings]]+TblConstr[[#This Row],[Incoming]]</f>
        <v>700</v>
      </c>
      <c r="G109" s="199" t="n">
        <f aca="false">OFFSET(TblConstr[[#This Row],[Plain]],-1,0)+TblConstr[[#This Row],[Ch_Plain]]</f>
        <v>0</v>
      </c>
      <c r="H109" s="193" t="n">
        <f aca="false">OFFSET(TblConstr[[#This Row],[Forest]],-1,0)+TblConstr[[#This Row],[Ch_Forest]]</f>
        <v>0</v>
      </c>
      <c r="I109" s="200" t="n">
        <f aca="false">OFFSET(TblConstr[[#This Row],[Mountain]],-1,0)+TblConstr[[#This Row],[Ch_Mountain]]</f>
        <v>0</v>
      </c>
      <c r="J109" s="201" t="n">
        <f aca="false">OFFSET(TblConstr[[#This Row],[Hill]],-1,0)+TblConstr[[#This Row],[Ch_Hill]]</f>
        <v>0</v>
      </c>
      <c r="K109" s="202" t="n">
        <f aca="false">OFFSET(TblConstr[[#This Row],[Swamp]],-1,0)+TblConstr[[#This Row],[Ch_Swamp]]</f>
        <v>0</v>
      </c>
      <c r="L109" s="197" t="n">
        <f aca="false">OFFSET(TblConstr[[#This Row],[Cavern]],-1,0)+TblConstr[[#This Row],[Ch_Cavern]]</f>
        <v>0</v>
      </c>
      <c r="M109" s="198" t="n">
        <f aca="false">OFFSET(TblConstr[[#This Row],[Water]],-1,0)+TblConstr[[#This Row],[Ch_Water]]</f>
        <v>0</v>
      </c>
      <c r="N109" s="181" t="n">
        <f aca="false">TblRezone[[#This Row],[Hour]]</f>
        <v>106</v>
      </c>
      <c r="O109" s="182"/>
      <c r="P109" s="182"/>
      <c r="Q109" s="182"/>
      <c r="R109" s="152"/>
      <c r="S109" s="182"/>
      <c r="T109" s="182"/>
      <c r="U109" s="182"/>
      <c r="V109" s="182"/>
      <c r="W109" s="182"/>
      <c r="X109" s="182"/>
      <c r="Y109" s="182"/>
      <c r="Z109" s="182"/>
      <c r="AA109" s="182"/>
      <c r="AB109" s="182"/>
      <c r="AC109" s="182"/>
      <c r="AD109" s="182"/>
      <c r="AE109" s="182"/>
      <c r="AF109" s="182"/>
      <c r="AG109" s="182"/>
      <c r="AH109" s="20" t="n">
        <f aca="false">TblImps[[#This Row],[Time]]</f>
        <v>45434.125</v>
      </c>
      <c r="AI109" s="130" t="n">
        <f aca="false">MIN(25%,(TblConstr[[#This Row],[Tot Fac]]+TblConstr[[#This Row],[Dest Fac]])/(TblConstr[[#This Row],[Land]]-TblExplore[[#This Row],[Land Bonus]]*20))</f>
        <v>0</v>
      </c>
      <c r="AJ109" s="130" t="n">
        <f aca="false">MIN(25%,(TblConstr[[#This Row],[Tot Fac]]+TblConstr[[#This Row],[Dest Fac]])/TblConstr[[#This Row],[Land]])</f>
        <v>0</v>
      </c>
      <c r="AK109" s="69" t="n">
        <f aca="false">TblProd[[#This Row],[Platinum]]</f>
        <v>1384819</v>
      </c>
      <c r="AL109" s="69" t="n">
        <f aca="false">TblProd[[#This Row],[Lumber]]</f>
        <v>41836</v>
      </c>
      <c r="AM10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9" s="69" t="n">
        <f aca="false">ROUNDDOWN( MAX(1 - MIN(facs_constr_factor*TblConstr[[#This Row],[Facs -DB]],facs_constr_max) + tech_1_11*TblTech[[#This Row],[11-1]] + tech_6_3_2*TblTech[[#This Row],[6-3]] + tech_5_2_3*TblTech[[#This Row],[5-2]], 1-global_constr_cap) * TblConstr[[#This Row],[RCPA Lumber]],0)</f>
        <v>216</v>
      </c>
      <c r="AO10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9" s="69" t="n">
        <f aca="false">ROUNDDOWN( MAX(1 - MIN(facs_constr_factor*TblConstr[[#This Row],[Facs DB]],facs_constr_max) + tech_1_11*TblTech[[#This Row],[1-11]] + tech_6_3_2*TblTech[[#This Row],[6-3]] + tech_5_2_3*TblTech[[#This Row],[5-2]], 1-global_constr_cap) * ROUND((TblConstr[[#This Row],[Land]]-250)*0.285 + 87.5 + 0/4.25,0),0)</f>
        <v>216</v>
      </c>
      <c r="AQ109" s="1" t="n">
        <f aca="false">TblConstr[[#This Row],[build -db]]*TblConstr[[#This Row],[CPA Platinum -DB]] + TblConstr[[#This Row],[build db]]*TblConstr[[#This Row],[CPA Platinum DB]]</f>
        <v>0</v>
      </c>
      <c r="AR109" s="1" t="n">
        <f aca="false">TblConstr[[#This Row],[build -db]]*TblConstr[[#This Row],[CPA Lumber -DB]]+TblConstr[[#This Row],[build db]]*TblConstr[[#This Row],[CPA Lumber DB]]</f>
        <v>0</v>
      </c>
      <c r="AS109" s="69" t="n">
        <f aca="false">MIN(SUM(OFFSET(TblConstr[[#This Row],[Plain]:[Water]],-1,0))+SUM(TblConstr[[#This Row],[Dest Hom]:[Dest Doc]])+IF(TblConstr[[#This Row],[Hour]]&gt;12,SUM(OFFSET(TblExplore[[#This Row],[Plains Explore]:[Water Explore]],-12,0)),0),SUM(TblConstr[[#This Row],[Hom]:[Doc]]))</f>
        <v>0</v>
      </c>
      <c r="AT10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32"/>
      <c r="AV109" s="69" t="n">
        <f aca="false">ROUND((TblConstr[[#This Row],[Land]]-250 - IF(TblExplore[[#This Row],[Land Bonus]]&lt;&gt;0,20,0))*1.25 + 850 + 0,0)</f>
        <v>1413</v>
      </c>
      <c r="AW109" s="69" t="n">
        <f aca="false">ROUND((TblConstr[[#This Row],[Land]]-250 - IF(TblExplore[[#This Row],[Land Bonus]]&lt;&gt;0,20,0))*0.285 + 87.5 + 0/4.25,0)</f>
        <v>216</v>
      </c>
      <c r="AX109" s="146"/>
      <c r="AY109" s="203" t="n">
        <f aca="false" t="array" ref="AY109:AY109">IF(TblConstr[[#This Row],[Hour]:[Hour]]&gt;12,OFFSET(TblConstr[[#This Row],[Hom]],-12,0),0)+OFFSET(TblConstr[[#This Row],[Tot Hom]],-1,0)-TblConstr[[#This Row],[Dest Hom]]</f>
        <v>40</v>
      </c>
      <c r="AZ109" s="204" t="n">
        <f aca="false" t="array" ref="AZ109:AZ109">IF(TblConstr[[#This Row],[Hour]:[Hour]]&gt;12,OFFSET(TblConstr[[#This Row],[Alc]],-12,0),0)+OFFSET(TblConstr[[#This Row],[Tot Alc]],-1,0)-TblConstr[[#This Row],[Dest Alc]]</f>
        <v>275</v>
      </c>
      <c r="BA109" s="204" t="n">
        <f aca="false" t="array" ref="BA109:BA109">IF(TblConstr[[#This Row],[Hour]:[Hour]]&gt;12,OFFSET(TblConstr[[#This Row],[Far]],-12,0),0)+OFFSET(TblConstr[[#This Row],[Tot Farm]],-1,0)-TblConstr[[#This Row],[Dest Farm]]</f>
        <v>29</v>
      </c>
      <c r="BB109" s="204" t="n">
        <f aca="false" t="array" ref="BB109:BB109">IF(TblConstr[[#This Row],[Hour]:[Hour]]&gt;12,OFFSET(TblConstr[[#This Row],[Smi]],-12,0),0)+OFFSET(TblConstr[[#This Row],[Tot Smi]],-1,0)-TblConstr[[#This Row],[Dest Smi]]</f>
        <v>126</v>
      </c>
      <c r="BC109" s="204" t="n">
        <f aca="false" t="array" ref="BC109:BC109">IF(TblConstr[[#This Row],[Hour]:[Hour]]&gt;12,OFFSET(TblConstr[[#This Row],[Mas]],-12,0),0)+OFFSET(TblConstr[[#This Row],[Tot Mas]],-1,0)-TblConstr[[#This Row],[Dest Mas]]</f>
        <v>0</v>
      </c>
      <c r="BD109" s="205" t="n">
        <f aca="false" t="array" ref="BD109:BD109">IF(TblConstr[[#This Row],[Hour]:[Hour]]&gt;12,OFFSET(TblConstr[[#This Row],[Ly]],-12,0),0)+OFFSET(TblConstr[[#This Row],[Tot Ly]],-1,0)-TblConstr[[#This Row],[Dest Ly]]</f>
        <v>25</v>
      </c>
      <c r="BE109" s="205" t="n">
        <f aca="false" t="array" ref="BE109:BE109">IF(TblConstr[[#This Row],[Hour]:[Hour]]&gt;12,OFFSET(TblConstr[[#This Row],[Hav]],-12,0),0)+OFFSET(TblConstr[[#This Row],[Tot Hav]],-1,0)-TblConstr[[#This Row],[Dest Hav]]</f>
        <v>0</v>
      </c>
      <c r="BF109" s="194" t="n">
        <f aca="false" t="array" ref="BF109:BF109">IF(TblConstr[[#This Row],[Hour]:[Hour]]&gt;12,OFFSET(TblConstr[[#This Row],[OM]],-12,0),0)+OFFSET(TblConstr[[#This Row],[Tot OM]],-1,0)-TblConstr[[#This Row],[Dest OM]]</f>
        <v>0</v>
      </c>
      <c r="BG109" s="194" t="n">
        <f aca="false" t="array" ref="BG109:BG109">IF(TblConstr[[#This Row],[Hour]:[Hour]]&gt;12,OFFSET(TblConstr[[#This Row],[GN]],-12,0),0)+OFFSET(TblConstr[[#This Row],[Tot GN]],-1,0)-TblConstr[[#This Row],[Dest GN]]</f>
        <v>0</v>
      </c>
      <c r="BH109" s="206" t="n">
        <f aca="false" t="array" ref="BH109:BH109">IF(TblConstr[[#This Row],[Hour]:[Hour]]&gt;12,OFFSET(TblConstr[[#This Row],[Fac]],-12,0),0)+OFFSET(TblConstr[[#This Row],[Tot Fac]],-1,0)-TblConstr[[#This Row],[Dest Fac]]</f>
        <v>0</v>
      </c>
      <c r="BI109" s="206" t="n">
        <f aca="false" t="array" ref="BI109:BI109">IF(TblConstr[[#This Row],[Hour]:[Hour]]&gt;12,OFFSET(TblConstr[[#This Row],[GT]],-12,0),0)+OFFSET(TblConstr[[#This Row],[Tot GT]],-1,0)-TblConstr[[#This Row],[Dest GT]]</f>
        <v>55</v>
      </c>
      <c r="BJ109" s="206" t="n">
        <f aca="false" t="array" ref="BJ109:BJ109">IF(TblConstr[[#This Row],[Hour]:[Hour]]&gt;12,OFFSET(TblConstr[[#This Row],[Bar]],-12,0),0)+OFFSET(TblConstr[[#This Row],[Tot Bar]],-1,0)-TblConstr[[#This Row],[Dest Bar]]</f>
        <v>50</v>
      </c>
      <c r="BK109" s="206" t="n">
        <f aca="false" t="array" ref="BK109:BK109">IF(TblConstr[[#This Row],[Hour]:[Hour]]&gt;12,OFFSET(TblConstr[[#This Row],[Shr]],-12,0),0)+OFFSET(TblConstr[[#This Row],[Tot Shr]],-1,0)-TblConstr[[#This Row],[Dest Shr]]</f>
        <v>0</v>
      </c>
      <c r="BL109" s="207" t="n">
        <f aca="false" t="array" ref="BL109:BL109">IF(TblConstr[[#This Row],[Hour]:[Hour]]&gt;12,OFFSET(TblConstr[[#This Row],[Tow]],-12,0),0)+OFFSET(TblConstr[[#This Row],[Tot Tow]],-1,0)-TblConstr[[#This Row],[Dest Tow]]</f>
        <v>29</v>
      </c>
      <c r="BM109" s="207" t="n">
        <f aca="false" t="array" ref="BM109:BM109">IF(TblConstr[[#This Row],[Hour]:[Hour]]&gt;12,OFFSET(TblConstr[[#This Row],[Tem]],-12,0),0)+OFFSET(TblConstr[[#This Row],[Tot Tem]],-1,0)-TblConstr[[#This Row],[Dest Tem]]</f>
        <v>47</v>
      </c>
      <c r="BN109" s="207" t="n">
        <f aca="false" t="array" ref="BN109:BN109">IF(TblConstr[[#This Row],[Hour]:[Hour]]&gt;12,OFFSET(TblConstr[[#This Row],[WG]],-12,0),0)+OFFSET(TblConstr[[#This Row],[Tot WG]],-1,0)-TblConstr[[#This Row],[Dest WG]]</f>
        <v>0</v>
      </c>
      <c r="BO109" s="208" t="n">
        <f aca="false" t="array" ref="BO109:BO109">IF(TblConstr[[#This Row],[Hour]:[Hour]]&gt;12,OFFSET(TblConstr[[#This Row],[DM]],-12,0),0)+OFFSET(TblConstr[[#This Row],[Tot DM]],-1,0)-TblConstr[[#This Row],[Dest DM]]</f>
        <v>0</v>
      </c>
      <c r="BP109" s="208" t="n">
        <f aca="false" t="array" ref="BP109:BP109">IF(TblConstr[[#This Row],[Hour]:[Hour]]&gt;12,OFFSET(TblConstr[[#This Row],[Sch]],-12,0),0)+OFFSET(TblConstr[[#This Row],[Tot Sch]],-1,0)-TblConstr[[#This Row],[Dest Sch]]</f>
        <v>0</v>
      </c>
      <c r="BQ109" s="209" t="n">
        <f aca="false" t="array" ref="BQ109:BQ109">IF(TblConstr[[#This Row],[Hour]:[Hour]]&gt;12,OFFSET(TblConstr[[#This Row],[Doc]],-12,0),0)+OFFSET(TblConstr[[#This Row],[Tot Doc]],-1,0)-TblConstr[[#This Row],[Dest Doc]]</f>
        <v>24</v>
      </c>
      <c r="BR109" s="132"/>
      <c r="BS109" s="146"/>
      <c r="BT109" s="69" t="n">
        <f aca="false">TblConstr[[#This Row],[Land]]</f>
        <v>700</v>
      </c>
      <c r="BU109" s="153" t="n">
        <f aca="false">TblImps[[#This Row],[Time]]</f>
        <v>45434.125</v>
      </c>
      <c r="BV109" s="132"/>
      <c r="BW109" s="182"/>
      <c r="BX109" s="182"/>
      <c r="BY109" s="182"/>
      <c r="BZ109" s="182"/>
      <c r="CA109" s="182"/>
      <c r="CB109" s="182"/>
      <c r="CC109" s="182"/>
      <c r="CD109" s="182"/>
      <c r="CE109" s="182"/>
      <c r="CF109" s="182"/>
      <c r="CG109" s="182"/>
      <c r="CH109" s="182"/>
      <c r="CI109" s="182"/>
      <c r="CJ109" s="182"/>
      <c r="CK109" s="182"/>
      <c r="CL109" s="182"/>
      <c r="CM109" s="182"/>
      <c r="CN109" s="182"/>
      <c r="CO109" s="182"/>
      <c r="CP109" s="132"/>
      <c r="CQ109" s="192" t="n">
        <f aca="false">-SUM(TblConstr[[#This Row],[Alc]:[Mas]])+SUM(TblConstr[[#This Row],[Dest Alc]:[Dest Mas]])+Rezone!L109+IF("Ch_"&amp; home_land=TblConstr[[#Headers],[Ch_Plain]],TblConstr[[#This Row],[Home Land]])+IF(TblConstr[[#This Row],[Hour]:[Hour]]&gt;12,OFFSET(TblExplore[[#This Row],[Plains Explore]],-12,0),0)</f>
        <v>0</v>
      </c>
      <c r="CR109" s="193" t="n">
        <f aca="false">-SUM(TblConstr[[#This Row],[Ly]:[Hav]])+SUM(TblConstr[[#This Row],[Dest Ly]:[Dest Hav]]) +Rezone!M109 + IF("Ch_"&amp; home_land=TblConstr[[#Headers],[Ch_Forest]],TblConstr[[#This Row],[Home Land]])+IF(TblConstr[[#This Row],[Hour]:[Hour]]&gt;12,OFFSET(TblExplore[[#This Row],[Forest Explore]],-12,0),0)</f>
        <v>0</v>
      </c>
      <c r="CS109" s="200" t="n">
        <f aca="false">-SUM(TblConstr[[#This Row],[OM]:[GN]])+SUM(TblConstr[[#This Row],[Dest OM]:[Dest GN]]) +Rezone!N109 + IF("Ch_"&amp; home_land=TblConstr[[#Headers],[Ch_Mountain]],TblConstr[[#This Row],[Home Land]])+IF(TblConstr[[#This Row],[Hour]:[Hour]]&gt;12,OFFSET(TblExplore[[#This Row],[Mountain Explore]],-12,0),0)</f>
        <v>0</v>
      </c>
      <c r="CT109" s="195" t="n">
        <f aca="false">-SUM(TblConstr[[#This Row],[Fac]:[Shr]])+SUM(TblConstr[[#This Row],[Dest Fac]:[Dest Shr]]) +Rezone!O109 + IF("Ch_" &amp; home_land=TblConstr[[#Headers],[Ch_Hill]],TblConstr[[#This Row],[Home Land]])+IF(TblConstr[[#This Row],[Hour]:[Hour]]&gt;12,OFFSET(TblExplore[[#This Row],[Hill Explore]],-12,0),0)</f>
        <v>0</v>
      </c>
      <c r="CU109" s="196" t="n">
        <f aca="false">-SUM(TblConstr[[#This Row],[Tow]:[WG]])+SUM(TblConstr[[#This Row],[Dest Tow]:[Dest WG]]) +Rezone!P109 + IF("Ch_" &amp; home_land=TblConstr[[#Headers],[Ch_Swamp]],TblConstr[[#This Row],[Home Land]])+IF(TblConstr[[#This Row],[Hour]:[Hour]]&gt;12,OFFSET(TblExplore[[#This Row],[Swamp Explore]],-12,0),0)</f>
        <v>0</v>
      </c>
      <c r="CV109" s="197" t="n">
        <f aca="false">- SUM(TblConstr[[#This Row],[DM]:[Sch]])+SUM(TblConstr[[#This Row],[Dest DM]:[Dest Sch]]) +Rezone!Q109 + IF("Ch_" &amp; home_land=TblConstr[[#Headers],[Ch_Cavern]],TblConstr[[#This Row],[Home Land]])+IF(TblConstr[[#This Row],[Hour]:[Hour]]&gt;12,OFFSET(TblExplore[[#This Row],[Cavern Explore]],-12,0),0)</f>
        <v>0</v>
      </c>
      <c r="CW109" s="198" t="n">
        <f aca="false">-TblConstr[[#This Row],[Doc]]+TblConstr[[#This Row],[Dest Doc]] +Rezone!R109 + IF("Ch_" &amp; home_land=TblConstr[[#Headers],[Ch_Water]],TblConstr[[#This Row],[Home Land]])+IF(TblConstr[[#This Row],[Hour]:[Hour]]&gt;12,OFFSET(TblExplore[[#This Row],[Water Explore]],-12,0),0)</f>
        <v>0</v>
      </c>
      <c r="CX109" s="1" t="n">
        <f aca="false">IF(Explore!S109=1,20) - TblConstr[[#This Row],[Hom]] + TblConstr[[#This Row],[Dest Hom]]</f>
        <v>0</v>
      </c>
      <c r="CY109" s="132"/>
      <c r="CZ109" s="69" t="n">
        <f aca="false">G109+SUM(P98:S109)+SUM(AZ109:BC109)</f>
        <v>430</v>
      </c>
      <c r="DA109" s="69" t="n">
        <f aca="false">H109+SUM(T98:U109)+SUM(BD109:BE109)</f>
        <v>25</v>
      </c>
      <c r="DB109" s="1" t="n">
        <f aca="false">I109+SUM(V98:W109)+SUM(BF109:BG109)</f>
        <v>0</v>
      </c>
      <c r="DC109" s="69" t="n">
        <f aca="false">J109+SUM(X98:Y109)+SUM(BH109:BI109)</f>
        <v>55</v>
      </c>
      <c r="DD109" s="69" t="n">
        <f aca="false">K109+SUM(AB98:AD109)+SUM(BL109:BN109)</f>
        <v>76</v>
      </c>
      <c r="DE109" s="1" t="n">
        <f aca="false">L109+SUM(AE98:AE109)+BO109</f>
        <v>0</v>
      </c>
      <c r="DF109" s="69" t="n">
        <f aca="false">M109+SUM(AG98:AG109)+BQ109</f>
        <v>24</v>
      </c>
      <c r="DG109" s="69" t="e">
        <f aca="false" t="array" ref="DG109:DG109">INDEX(TblConstr[[Total Plain]:[Total Water]],ROW()-ROW(TblConstr[#headers]),MATCH("Total "&amp;home_land,TblConstr[[#Headers],[Total Plain]:[Total Water]],0))+TblConstr[[#This Row],[Homes]]</f>
        <v>#VALUE!</v>
      </c>
      <c r="DH109" s="1" t="n">
        <f aca="false">SUM(O98:O109)+AY109</f>
        <v>40</v>
      </c>
      <c r="DI109" s="1" t="n">
        <f aca="false">MAX(BA109-BA108,0)</f>
        <v>0</v>
      </c>
      <c r="DJ109" s="1" t="n">
        <f aca="false">MAX(BQ109-BQ108,0)</f>
        <v>0</v>
      </c>
    </row>
    <row r="110" customFormat="false" ht="12.75" hidden="false" customHeight="false" outlineLevel="0" collapsed="false">
      <c r="A110" s="170" t="n">
        <f aca="false">TblRezone[[#This Row],[Hour]]</f>
        <v>107</v>
      </c>
      <c r="B110" s="171" t="n">
        <f aca="false">SUM(TblConstr[[#This Row],[Plain]:[Water]])</f>
        <v>0</v>
      </c>
      <c r="C110" s="172" t="n">
        <f aca="false">SUM(TblConstr[[#This Row],[Tot Hom]:[Tot Doc]])</f>
        <v>700</v>
      </c>
      <c r="D110" s="172" t="n">
        <f aca="false">SUM(O99:AG110)</f>
        <v>0</v>
      </c>
      <c r="E110" s="173"/>
      <c r="F110" s="33" t="n">
        <f aca="false">TblConstr[[#This Row],[Barren]]+TblConstr[[#This Row],[Buildings]]+TblConstr[[#This Row],[Incoming]]</f>
        <v>700</v>
      </c>
      <c r="G110" s="199" t="n">
        <f aca="false">OFFSET(TblConstr[[#This Row],[Plain]],-1,0)+TblConstr[[#This Row],[Ch_Plain]]</f>
        <v>0</v>
      </c>
      <c r="H110" s="193" t="n">
        <f aca="false">OFFSET(TblConstr[[#This Row],[Forest]],-1,0)+TblConstr[[#This Row],[Ch_Forest]]</f>
        <v>0</v>
      </c>
      <c r="I110" s="200" t="n">
        <f aca="false">OFFSET(TblConstr[[#This Row],[Mountain]],-1,0)+TblConstr[[#This Row],[Ch_Mountain]]</f>
        <v>0</v>
      </c>
      <c r="J110" s="201" t="n">
        <f aca="false">OFFSET(TblConstr[[#This Row],[Hill]],-1,0)+TblConstr[[#This Row],[Ch_Hill]]</f>
        <v>0</v>
      </c>
      <c r="K110" s="202" t="n">
        <f aca="false">OFFSET(TblConstr[[#This Row],[Swamp]],-1,0)+TblConstr[[#This Row],[Ch_Swamp]]</f>
        <v>0</v>
      </c>
      <c r="L110" s="197" t="n">
        <f aca="false">OFFSET(TblConstr[[#This Row],[Cavern]],-1,0)+TblConstr[[#This Row],[Ch_Cavern]]</f>
        <v>0</v>
      </c>
      <c r="M110" s="198" t="n">
        <f aca="false">OFFSET(TblConstr[[#This Row],[Water]],-1,0)+TblConstr[[#This Row],[Ch_Water]]</f>
        <v>0</v>
      </c>
      <c r="N110" s="181" t="n">
        <f aca="false">TblRezone[[#This Row],[Hour]]</f>
        <v>107</v>
      </c>
      <c r="O110" s="182"/>
      <c r="P110" s="182"/>
      <c r="Q110" s="182"/>
      <c r="R110" s="152"/>
      <c r="S110" s="182"/>
      <c r="T110" s="182"/>
      <c r="U110" s="182"/>
      <c r="V110" s="182"/>
      <c r="W110" s="182"/>
      <c r="X110" s="182"/>
      <c r="Y110" s="182"/>
      <c r="Z110" s="182"/>
      <c r="AA110" s="182"/>
      <c r="AB110" s="182"/>
      <c r="AC110" s="182"/>
      <c r="AD110" s="182"/>
      <c r="AE110" s="182"/>
      <c r="AF110" s="182"/>
      <c r="AG110" s="182"/>
      <c r="AH110" s="20" t="n">
        <f aca="false">TblImps[[#This Row],[Time]]</f>
        <v>45434.1666666667</v>
      </c>
      <c r="AI110" s="130" t="n">
        <f aca="false">MIN(25%,(TblConstr[[#This Row],[Tot Fac]]+TblConstr[[#This Row],[Dest Fac]])/(TblConstr[[#This Row],[Land]]-TblExplore[[#This Row],[Land Bonus]]*20))</f>
        <v>0</v>
      </c>
      <c r="AJ110" s="130" t="n">
        <f aca="false">MIN(25%,(TblConstr[[#This Row],[Tot Fac]]+TblConstr[[#This Row],[Dest Fac]])/TblConstr[[#This Row],[Land]])</f>
        <v>0</v>
      </c>
      <c r="AK110" s="69" t="n">
        <f aca="false">TblProd[[#This Row],[Platinum]]</f>
        <v>1423709</v>
      </c>
      <c r="AL110" s="69" t="n">
        <f aca="false">TblProd[[#This Row],[Lumber]]</f>
        <v>42543</v>
      </c>
      <c r="AM1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0" s="69" t="n">
        <f aca="false">ROUNDDOWN( MAX(1 - MIN(facs_constr_factor*TblConstr[[#This Row],[Facs -DB]],facs_constr_max) + tech_1_11*TblTech[[#This Row],[11-1]] + tech_6_3_2*TblTech[[#This Row],[6-3]] + tech_5_2_3*TblTech[[#This Row],[5-2]], 1-global_constr_cap) * TblConstr[[#This Row],[RCPA Lumber]],0)</f>
        <v>216</v>
      </c>
      <c r="AO1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0" s="69" t="n">
        <f aca="false">ROUNDDOWN( MAX(1 - MIN(facs_constr_factor*TblConstr[[#This Row],[Facs DB]],facs_constr_max) + tech_1_11*TblTech[[#This Row],[1-11]] + tech_6_3_2*TblTech[[#This Row],[6-3]] + tech_5_2_3*TblTech[[#This Row],[5-2]], 1-global_constr_cap) * ROUND((TblConstr[[#This Row],[Land]]-250)*0.285 + 87.5 + 0/4.25,0),0)</f>
        <v>216</v>
      </c>
      <c r="AQ110" s="1" t="n">
        <f aca="false">TblConstr[[#This Row],[build -db]]*TblConstr[[#This Row],[CPA Platinum -DB]] + TblConstr[[#This Row],[build db]]*TblConstr[[#This Row],[CPA Platinum DB]]</f>
        <v>0</v>
      </c>
      <c r="AR110" s="1" t="n">
        <f aca="false">TblConstr[[#This Row],[build -db]]*TblConstr[[#This Row],[CPA Lumber -DB]]+TblConstr[[#This Row],[build db]]*TblConstr[[#This Row],[CPA Lumber DB]]</f>
        <v>0</v>
      </c>
      <c r="AS110" s="69" t="n">
        <f aca="false">MIN(SUM(OFFSET(TblConstr[[#This Row],[Plain]:[Water]],-1,0))+SUM(TblConstr[[#This Row],[Dest Hom]:[Dest Doc]])+IF(TblConstr[[#This Row],[Hour]]&gt;12,SUM(OFFSET(TblExplore[[#This Row],[Plains Explore]:[Water Explore]],-12,0)),0),SUM(TblConstr[[#This Row],[Hom]:[Doc]]))</f>
        <v>0</v>
      </c>
      <c r="AT11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32"/>
      <c r="AV110" s="69" t="n">
        <f aca="false">ROUND((TblConstr[[#This Row],[Land]]-250 - IF(TblExplore[[#This Row],[Land Bonus]]&lt;&gt;0,20,0))*1.25 + 850 + 0,0)</f>
        <v>1413</v>
      </c>
      <c r="AW110" s="69" t="n">
        <f aca="false">ROUND((TblConstr[[#This Row],[Land]]-250 - IF(TblExplore[[#This Row],[Land Bonus]]&lt;&gt;0,20,0))*0.285 + 87.5 + 0/4.25,0)</f>
        <v>216</v>
      </c>
      <c r="AX110" s="146"/>
      <c r="AY110" s="203" t="n">
        <f aca="false" t="array" ref="AY110:AY110">IF(TblConstr[[#This Row],[Hour]:[Hour]]&gt;12,OFFSET(TblConstr[[#This Row],[Hom]],-12,0),0)+OFFSET(TblConstr[[#This Row],[Tot Hom]],-1,0)-TblConstr[[#This Row],[Dest Hom]]</f>
        <v>40</v>
      </c>
      <c r="AZ110" s="204" t="n">
        <f aca="false" t="array" ref="AZ110:AZ110">IF(TblConstr[[#This Row],[Hour]:[Hour]]&gt;12,OFFSET(TblConstr[[#This Row],[Alc]],-12,0),0)+OFFSET(TblConstr[[#This Row],[Tot Alc]],-1,0)-TblConstr[[#This Row],[Dest Alc]]</f>
        <v>275</v>
      </c>
      <c r="BA110" s="204" t="n">
        <f aca="false" t="array" ref="BA110:BA110">IF(TblConstr[[#This Row],[Hour]:[Hour]]&gt;12,OFFSET(TblConstr[[#This Row],[Far]],-12,0),0)+OFFSET(TblConstr[[#This Row],[Tot Farm]],-1,0)-TblConstr[[#This Row],[Dest Farm]]</f>
        <v>29</v>
      </c>
      <c r="BB110" s="204" t="n">
        <f aca="false" t="array" ref="BB110:BB110">IF(TblConstr[[#This Row],[Hour]:[Hour]]&gt;12,OFFSET(TblConstr[[#This Row],[Smi]],-12,0),0)+OFFSET(TblConstr[[#This Row],[Tot Smi]],-1,0)-TblConstr[[#This Row],[Dest Smi]]</f>
        <v>126</v>
      </c>
      <c r="BC110" s="204" t="n">
        <f aca="false" t="array" ref="BC110:BC110">IF(TblConstr[[#This Row],[Hour]:[Hour]]&gt;12,OFFSET(TblConstr[[#This Row],[Mas]],-12,0),0)+OFFSET(TblConstr[[#This Row],[Tot Mas]],-1,0)-TblConstr[[#This Row],[Dest Mas]]</f>
        <v>0</v>
      </c>
      <c r="BD110" s="205" t="n">
        <f aca="false" t="array" ref="BD110:BD110">IF(TblConstr[[#This Row],[Hour]:[Hour]]&gt;12,OFFSET(TblConstr[[#This Row],[Ly]],-12,0),0)+OFFSET(TblConstr[[#This Row],[Tot Ly]],-1,0)-TblConstr[[#This Row],[Dest Ly]]</f>
        <v>25</v>
      </c>
      <c r="BE110" s="205" t="n">
        <f aca="false" t="array" ref="BE110:BE110">IF(TblConstr[[#This Row],[Hour]:[Hour]]&gt;12,OFFSET(TblConstr[[#This Row],[Hav]],-12,0),0)+OFFSET(TblConstr[[#This Row],[Tot Hav]],-1,0)-TblConstr[[#This Row],[Dest Hav]]</f>
        <v>0</v>
      </c>
      <c r="BF110" s="194" t="n">
        <f aca="false" t="array" ref="BF110:BF110">IF(TblConstr[[#This Row],[Hour]:[Hour]]&gt;12,OFFSET(TblConstr[[#This Row],[OM]],-12,0),0)+OFFSET(TblConstr[[#This Row],[Tot OM]],-1,0)-TblConstr[[#This Row],[Dest OM]]</f>
        <v>0</v>
      </c>
      <c r="BG110" s="194" t="n">
        <f aca="false" t="array" ref="BG110:BG110">IF(TblConstr[[#This Row],[Hour]:[Hour]]&gt;12,OFFSET(TblConstr[[#This Row],[GN]],-12,0),0)+OFFSET(TblConstr[[#This Row],[Tot GN]],-1,0)-TblConstr[[#This Row],[Dest GN]]</f>
        <v>0</v>
      </c>
      <c r="BH110" s="206" t="n">
        <f aca="false" t="array" ref="BH110:BH110">IF(TblConstr[[#This Row],[Hour]:[Hour]]&gt;12,OFFSET(TblConstr[[#This Row],[Fac]],-12,0),0)+OFFSET(TblConstr[[#This Row],[Tot Fac]],-1,0)-TblConstr[[#This Row],[Dest Fac]]</f>
        <v>0</v>
      </c>
      <c r="BI110" s="206" t="n">
        <f aca="false" t="array" ref="BI110:BI110">IF(TblConstr[[#This Row],[Hour]:[Hour]]&gt;12,OFFSET(TblConstr[[#This Row],[GT]],-12,0),0)+OFFSET(TblConstr[[#This Row],[Tot GT]],-1,0)-TblConstr[[#This Row],[Dest GT]]</f>
        <v>55</v>
      </c>
      <c r="BJ110" s="206" t="n">
        <f aca="false" t="array" ref="BJ110:BJ110">IF(TblConstr[[#This Row],[Hour]:[Hour]]&gt;12,OFFSET(TblConstr[[#This Row],[Bar]],-12,0),0)+OFFSET(TblConstr[[#This Row],[Tot Bar]],-1,0)-TblConstr[[#This Row],[Dest Bar]]</f>
        <v>50</v>
      </c>
      <c r="BK110" s="206" t="n">
        <f aca="false" t="array" ref="BK110:BK110">IF(TblConstr[[#This Row],[Hour]:[Hour]]&gt;12,OFFSET(TblConstr[[#This Row],[Shr]],-12,0),0)+OFFSET(TblConstr[[#This Row],[Tot Shr]],-1,0)-TblConstr[[#This Row],[Dest Shr]]</f>
        <v>0</v>
      </c>
      <c r="BL110" s="207" t="n">
        <f aca="false" t="array" ref="BL110:BL110">IF(TblConstr[[#This Row],[Hour]:[Hour]]&gt;12,OFFSET(TblConstr[[#This Row],[Tow]],-12,0),0)+OFFSET(TblConstr[[#This Row],[Tot Tow]],-1,0)-TblConstr[[#This Row],[Dest Tow]]</f>
        <v>29</v>
      </c>
      <c r="BM110" s="207" t="n">
        <f aca="false" t="array" ref="BM110:BM110">IF(TblConstr[[#This Row],[Hour]:[Hour]]&gt;12,OFFSET(TblConstr[[#This Row],[Tem]],-12,0),0)+OFFSET(TblConstr[[#This Row],[Tot Tem]],-1,0)-TblConstr[[#This Row],[Dest Tem]]</f>
        <v>47</v>
      </c>
      <c r="BN110" s="207" t="n">
        <f aca="false" t="array" ref="BN110:BN110">IF(TblConstr[[#This Row],[Hour]:[Hour]]&gt;12,OFFSET(TblConstr[[#This Row],[WG]],-12,0),0)+OFFSET(TblConstr[[#This Row],[Tot WG]],-1,0)-TblConstr[[#This Row],[Dest WG]]</f>
        <v>0</v>
      </c>
      <c r="BO110" s="208" t="n">
        <f aca="false" t="array" ref="BO110:BO110">IF(TblConstr[[#This Row],[Hour]:[Hour]]&gt;12,OFFSET(TblConstr[[#This Row],[DM]],-12,0),0)+OFFSET(TblConstr[[#This Row],[Tot DM]],-1,0)-TblConstr[[#This Row],[Dest DM]]</f>
        <v>0</v>
      </c>
      <c r="BP110" s="208" t="n">
        <f aca="false" t="array" ref="BP110:BP110">IF(TblConstr[[#This Row],[Hour]:[Hour]]&gt;12,OFFSET(TblConstr[[#This Row],[Sch]],-12,0),0)+OFFSET(TblConstr[[#This Row],[Tot Sch]],-1,0)-TblConstr[[#This Row],[Dest Sch]]</f>
        <v>0</v>
      </c>
      <c r="BQ110" s="209" t="n">
        <f aca="false" t="array" ref="BQ110:BQ110">IF(TblConstr[[#This Row],[Hour]:[Hour]]&gt;12,OFFSET(TblConstr[[#This Row],[Doc]],-12,0),0)+OFFSET(TblConstr[[#This Row],[Tot Doc]],-1,0)-TblConstr[[#This Row],[Dest Doc]]</f>
        <v>24</v>
      </c>
      <c r="BR110" s="132"/>
      <c r="BS110" s="146"/>
      <c r="BT110" s="69" t="n">
        <f aca="false">TblConstr[[#This Row],[Land]]</f>
        <v>700</v>
      </c>
      <c r="BU110" s="153" t="n">
        <f aca="false">TblImps[[#This Row],[Time]]</f>
        <v>45434.1666666667</v>
      </c>
      <c r="BV110" s="132"/>
      <c r="BW110" s="182"/>
      <c r="BX110" s="182"/>
      <c r="BY110" s="182"/>
      <c r="BZ110" s="182"/>
      <c r="CA110" s="182"/>
      <c r="CB110" s="182"/>
      <c r="CC110" s="182"/>
      <c r="CD110" s="182"/>
      <c r="CE110" s="182"/>
      <c r="CF110" s="182"/>
      <c r="CG110" s="182"/>
      <c r="CH110" s="182"/>
      <c r="CI110" s="182"/>
      <c r="CJ110" s="182"/>
      <c r="CK110" s="182"/>
      <c r="CL110" s="182"/>
      <c r="CM110" s="182"/>
      <c r="CN110" s="182"/>
      <c r="CO110" s="182"/>
      <c r="CP110" s="132"/>
      <c r="CQ110" s="192" t="n">
        <f aca="false">-SUM(TblConstr[[#This Row],[Alc]:[Mas]])+SUM(TblConstr[[#This Row],[Dest Alc]:[Dest Mas]])+Rezone!L110+IF("Ch_"&amp; home_land=TblConstr[[#Headers],[Ch_Plain]],TblConstr[[#This Row],[Home Land]])+IF(TblConstr[[#This Row],[Hour]:[Hour]]&gt;12,OFFSET(TblExplore[[#This Row],[Plains Explore]],-12,0),0)</f>
        <v>0</v>
      </c>
      <c r="CR110" s="193" t="n">
        <f aca="false">-SUM(TblConstr[[#This Row],[Ly]:[Hav]])+SUM(TblConstr[[#This Row],[Dest Ly]:[Dest Hav]]) +Rezone!M110 + IF("Ch_"&amp; home_land=TblConstr[[#Headers],[Ch_Forest]],TblConstr[[#This Row],[Home Land]])+IF(TblConstr[[#This Row],[Hour]:[Hour]]&gt;12,OFFSET(TblExplore[[#This Row],[Forest Explore]],-12,0),0)</f>
        <v>0</v>
      </c>
      <c r="CS110" s="200" t="n">
        <f aca="false">-SUM(TblConstr[[#This Row],[OM]:[GN]])+SUM(TblConstr[[#This Row],[Dest OM]:[Dest GN]]) +Rezone!N110 + IF("Ch_"&amp; home_land=TblConstr[[#Headers],[Ch_Mountain]],TblConstr[[#This Row],[Home Land]])+IF(TblConstr[[#This Row],[Hour]:[Hour]]&gt;12,OFFSET(TblExplore[[#This Row],[Mountain Explore]],-12,0),0)</f>
        <v>0</v>
      </c>
      <c r="CT110" s="195" t="n">
        <f aca="false">-SUM(TblConstr[[#This Row],[Fac]:[Shr]])+SUM(TblConstr[[#This Row],[Dest Fac]:[Dest Shr]]) +Rezone!O110 + IF("Ch_" &amp; home_land=TblConstr[[#Headers],[Ch_Hill]],TblConstr[[#This Row],[Home Land]])+IF(TblConstr[[#This Row],[Hour]:[Hour]]&gt;12,OFFSET(TblExplore[[#This Row],[Hill Explore]],-12,0),0)</f>
        <v>0</v>
      </c>
      <c r="CU110" s="196" t="n">
        <f aca="false">-SUM(TblConstr[[#This Row],[Tow]:[WG]])+SUM(TblConstr[[#This Row],[Dest Tow]:[Dest WG]]) +Rezone!P110 + IF("Ch_" &amp; home_land=TblConstr[[#Headers],[Ch_Swamp]],TblConstr[[#This Row],[Home Land]])+IF(TblConstr[[#This Row],[Hour]:[Hour]]&gt;12,OFFSET(TblExplore[[#This Row],[Swamp Explore]],-12,0),0)</f>
        <v>0</v>
      </c>
      <c r="CV110" s="197" t="n">
        <f aca="false">- SUM(TblConstr[[#This Row],[DM]:[Sch]])+SUM(TblConstr[[#This Row],[Dest DM]:[Dest Sch]]) +Rezone!Q110 + IF("Ch_" &amp; home_land=TblConstr[[#Headers],[Ch_Cavern]],TblConstr[[#This Row],[Home Land]])+IF(TblConstr[[#This Row],[Hour]:[Hour]]&gt;12,OFFSET(TblExplore[[#This Row],[Cavern Explore]],-12,0),0)</f>
        <v>0</v>
      </c>
      <c r="CW110" s="198" t="n">
        <f aca="false">-TblConstr[[#This Row],[Doc]]+TblConstr[[#This Row],[Dest Doc]] +Rezone!R110 + IF("Ch_" &amp; home_land=TblConstr[[#Headers],[Ch_Water]],TblConstr[[#This Row],[Home Land]])+IF(TblConstr[[#This Row],[Hour]:[Hour]]&gt;12,OFFSET(TblExplore[[#This Row],[Water Explore]],-12,0),0)</f>
        <v>0</v>
      </c>
      <c r="CX110" s="1" t="n">
        <f aca="false">IF(Explore!S110=1,20) - TblConstr[[#This Row],[Hom]] + TblConstr[[#This Row],[Dest Hom]]</f>
        <v>0</v>
      </c>
      <c r="CY110" s="132"/>
      <c r="CZ110" s="69" t="n">
        <f aca="false">G110+SUM(P99:S110)+SUM(AZ110:BC110)</f>
        <v>430</v>
      </c>
      <c r="DA110" s="69" t="n">
        <f aca="false">H110+SUM(T99:U110)+SUM(BD110:BE110)</f>
        <v>25</v>
      </c>
      <c r="DB110" s="1" t="n">
        <f aca="false">I110+SUM(V99:W110)+SUM(BF110:BG110)</f>
        <v>0</v>
      </c>
      <c r="DC110" s="69" t="n">
        <f aca="false">J110+SUM(X99:Y110)+SUM(BH110:BI110)</f>
        <v>55</v>
      </c>
      <c r="DD110" s="69" t="n">
        <f aca="false">K110+SUM(AB99:AD110)+SUM(BL110:BN110)</f>
        <v>76</v>
      </c>
      <c r="DE110" s="1" t="n">
        <f aca="false">L110+SUM(AE99:AE110)+BO110</f>
        <v>0</v>
      </c>
      <c r="DF110" s="69" t="n">
        <f aca="false">M110+SUM(AG99:AG110)+BQ110</f>
        <v>24</v>
      </c>
      <c r="DG110" s="69" t="e">
        <f aca="false" t="array" ref="DG110:DG110">INDEX(TblConstr[[Total Plain]:[Total Water]],ROW()-ROW(TblConstr[#headers]),MATCH("Total "&amp;home_land,TblConstr[[#Headers],[Total Plain]:[Total Water]],0))+TblConstr[[#This Row],[Homes]]</f>
        <v>#VALUE!</v>
      </c>
      <c r="DH110" s="1" t="n">
        <f aca="false">SUM(O99:O110)+AY110</f>
        <v>40</v>
      </c>
      <c r="DI110" s="1" t="n">
        <f aca="false">MAX(BA110-BA109,0)</f>
        <v>0</v>
      </c>
      <c r="DJ110" s="1" t="n">
        <f aca="false">MAX(BQ110-BQ109,0)</f>
        <v>0</v>
      </c>
    </row>
    <row r="111" customFormat="false" ht="12.75" hidden="false" customHeight="false" outlineLevel="0" collapsed="false">
      <c r="A111" s="170" t="n">
        <f aca="false">TblRezone[[#This Row],[Hour]]</f>
        <v>108</v>
      </c>
      <c r="B111" s="171" t="n">
        <f aca="false">SUM(TblConstr[[#This Row],[Plain]:[Water]])</f>
        <v>0</v>
      </c>
      <c r="C111" s="172" t="n">
        <f aca="false">SUM(TblConstr[[#This Row],[Tot Hom]:[Tot Doc]])</f>
        <v>700</v>
      </c>
      <c r="D111" s="172" t="n">
        <f aca="false">SUM(O100:AG111)</f>
        <v>0</v>
      </c>
      <c r="E111" s="173"/>
      <c r="F111" s="33" t="n">
        <f aca="false">TblConstr[[#This Row],[Barren]]+TblConstr[[#This Row],[Buildings]]+TblConstr[[#This Row],[Incoming]]</f>
        <v>700</v>
      </c>
      <c r="G111" s="199" t="n">
        <f aca="false">OFFSET(TblConstr[[#This Row],[Plain]],-1,0)+TblConstr[[#This Row],[Ch_Plain]]</f>
        <v>0</v>
      </c>
      <c r="H111" s="193" t="n">
        <f aca="false">OFFSET(TblConstr[[#This Row],[Forest]],-1,0)+TblConstr[[#This Row],[Ch_Forest]]</f>
        <v>0</v>
      </c>
      <c r="I111" s="200" t="n">
        <f aca="false">OFFSET(TblConstr[[#This Row],[Mountain]],-1,0)+TblConstr[[#This Row],[Ch_Mountain]]</f>
        <v>0</v>
      </c>
      <c r="J111" s="201" t="n">
        <f aca="false">OFFSET(TblConstr[[#This Row],[Hill]],-1,0)+TblConstr[[#This Row],[Ch_Hill]]</f>
        <v>0</v>
      </c>
      <c r="K111" s="202" t="n">
        <f aca="false">OFFSET(TblConstr[[#This Row],[Swamp]],-1,0)+TblConstr[[#This Row],[Ch_Swamp]]</f>
        <v>0</v>
      </c>
      <c r="L111" s="197" t="n">
        <f aca="false">OFFSET(TblConstr[[#This Row],[Cavern]],-1,0)+TblConstr[[#This Row],[Ch_Cavern]]</f>
        <v>0</v>
      </c>
      <c r="M111" s="198" t="n">
        <f aca="false">OFFSET(TblConstr[[#This Row],[Water]],-1,0)+TblConstr[[#This Row],[Ch_Water]]</f>
        <v>0</v>
      </c>
      <c r="N111" s="181" t="n">
        <f aca="false">TblRezone[[#This Row],[Hour]]</f>
        <v>108</v>
      </c>
      <c r="O111" s="182"/>
      <c r="P111" s="182"/>
      <c r="Q111" s="182"/>
      <c r="R111" s="152"/>
      <c r="S111" s="182"/>
      <c r="T111" s="182"/>
      <c r="U111" s="182"/>
      <c r="V111" s="182"/>
      <c r="W111" s="182"/>
      <c r="X111" s="182"/>
      <c r="Y111" s="182"/>
      <c r="Z111" s="182"/>
      <c r="AA111" s="182"/>
      <c r="AB111" s="182"/>
      <c r="AC111" s="182"/>
      <c r="AD111" s="182"/>
      <c r="AE111" s="182"/>
      <c r="AF111" s="182"/>
      <c r="AG111" s="182"/>
      <c r="AH111" s="20" t="n">
        <f aca="false">TblImps[[#This Row],[Time]]</f>
        <v>45434.2083333333</v>
      </c>
      <c r="AI111" s="130" t="n">
        <f aca="false">MIN(25%,(TblConstr[[#This Row],[Tot Fac]]+TblConstr[[#This Row],[Dest Fac]])/(TblConstr[[#This Row],[Land]]-TblExplore[[#This Row],[Land Bonus]]*20))</f>
        <v>0</v>
      </c>
      <c r="AJ111" s="130" t="n">
        <f aca="false">MIN(25%,(TblConstr[[#This Row],[Tot Fac]]+TblConstr[[#This Row],[Dest Fac]])/TblConstr[[#This Row],[Land]])</f>
        <v>0</v>
      </c>
      <c r="AK111" s="69" t="n">
        <f aca="false">TblProd[[#This Row],[Platinum]]</f>
        <v>1462385</v>
      </c>
      <c r="AL111" s="69" t="n">
        <f aca="false">TblProd[[#This Row],[Lumber]]</f>
        <v>43243</v>
      </c>
      <c r="AM1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1" s="69" t="n">
        <f aca="false">ROUNDDOWN( MAX(1 - MIN(facs_constr_factor*TblConstr[[#This Row],[Facs -DB]],facs_constr_max) + tech_1_11*TblTech[[#This Row],[11-1]] + tech_6_3_2*TblTech[[#This Row],[6-3]] + tech_5_2_3*TblTech[[#This Row],[5-2]], 1-global_constr_cap) * TblConstr[[#This Row],[RCPA Lumber]],0)</f>
        <v>216</v>
      </c>
      <c r="AO1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1" s="69" t="n">
        <f aca="false">ROUNDDOWN( MAX(1 - MIN(facs_constr_factor*TblConstr[[#This Row],[Facs DB]],facs_constr_max) + tech_1_11*TblTech[[#This Row],[1-11]] + tech_6_3_2*TblTech[[#This Row],[6-3]] + tech_5_2_3*TblTech[[#This Row],[5-2]], 1-global_constr_cap) * ROUND((TblConstr[[#This Row],[Land]]-250)*0.285 + 87.5 + 0/4.25,0),0)</f>
        <v>216</v>
      </c>
      <c r="AQ111" s="1" t="n">
        <f aca="false">TblConstr[[#This Row],[build -db]]*TblConstr[[#This Row],[CPA Platinum -DB]] + TblConstr[[#This Row],[build db]]*TblConstr[[#This Row],[CPA Platinum DB]]</f>
        <v>0</v>
      </c>
      <c r="AR111" s="1" t="n">
        <f aca="false">TblConstr[[#This Row],[build -db]]*TblConstr[[#This Row],[CPA Lumber -DB]]+TblConstr[[#This Row],[build db]]*TblConstr[[#This Row],[CPA Lumber DB]]</f>
        <v>0</v>
      </c>
      <c r="AS111" s="69" t="n">
        <f aca="false">MIN(SUM(OFFSET(TblConstr[[#This Row],[Plain]:[Water]],-1,0))+SUM(TblConstr[[#This Row],[Dest Hom]:[Dest Doc]])+IF(TblConstr[[#This Row],[Hour]]&gt;12,SUM(OFFSET(TblExplore[[#This Row],[Plains Explore]:[Water Explore]],-12,0)),0),SUM(TblConstr[[#This Row],[Hom]:[Doc]]))</f>
        <v>0</v>
      </c>
      <c r="AT11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32"/>
      <c r="AV111" s="69" t="n">
        <f aca="false">ROUND((TblConstr[[#This Row],[Land]]-250 - IF(TblExplore[[#This Row],[Land Bonus]]&lt;&gt;0,20,0))*1.25 + 850 + 0,0)</f>
        <v>1413</v>
      </c>
      <c r="AW111" s="69" t="n">
        <f aca="false">ROUND((TblConstr[[#This Row],[Land]]-250 - IF(TblExplore[[#This Row],[Land Bonus]]&lt;&gt;0,20,0))*0.285 + 87.5 + 0/4.25,0)</f>
        <v>216</v>
      </c>
      <c r="AX111" s="146"/>
      <c r="AY111" s="203" t="n">
        <f aca="false" t="array" ref="AY111:AY111">IF(TblConstr[[#This Row],[Hour]:[Hour]]&gt;12,OFFSET(TblConstr[[#This Row],[Hom]],-12,0),0)+OFFSET(TblConstr[[#This Row],[Tot Hom]],-1,0)-TblConstr[[#This Row],[Dest Hom]]</f>
        <v>40</v>
      </c>
      <c r="AZ111" s="204" t="n">
        <f aca="false" t="array" ref="AZ111:AZ111">IF(TblConstr[[#This Row],[Hour]:[Hour]]&gt;12,OFFSET(TblConstr[[#This Row],[Alc]],-12,0),0)+OFFSET(TblConstr[[#This Row],[Tot Alc]],-1,0)-TblConstr[[#This Row],[Dest Alc]]</f>
        <v>275</v>
      </c>
      <c r="BA111" s="204" t="n">
        <f aca="false" t="array" ref="BA111:BA111">IF(TblConstr[[#This Row],[Hour]:[Hour]]&gt;12,OFFSET(TblConstr[[#This Row],[Far]],-12,0),0)+OFFSET(TblConstr[[#This Row],[Tot Farm]],-1,0)-TblConstr[[#This Row],[Dest Farm]]</f>
        <v>29</v>
      </c>
      <c r="BB111" s="204" t="n">
        <f aca="false" t="array" ref="BB111:BB111">IF(TblConstr[[#This Row],[Hour]:[Hour]]&gt;12,OFFSET(TblConstr[[#This Row],[Smi]],-12,0),0)+OFFSET(TblConstr[[#This Row],[Tot Smi]],-1,0)-TblConstr[[#This Row],[Dest Smi]]</f>
        <v>126</v>
      </c>
      <c r="BC111" s="204" t="n">
        <f aca="false" t="array" ref="BC111:BC111">IF(TblConstr[[#This Row],[Hour]:[Hour]]&gt;12,OFFSET(TblConstr[[#This Row],[Mas]],-12,0),0)+OFFSET(TblConstr[[#This Row],[Tot Mas]],-1,0)-TblConstr[[#This Row],[Dest Mas]]</f>
        <v>0</v>
      </c>
      <c r="BD111" s="205" t="n">
        <f aca="false" t="array" ref="BD111:BD111">IF(TblConstr[[#This Row],[Hour]:[Hour]]&gt;12,OFFSET(TblConstr[[#This Row],[Ly]],-12,0),0)+OFFSET(TblConstr[[#This Row],[Tot Ly]],-1,0)-TblConstr[[#This Row],[Dest Ly]]</f>
        <v>25</v>
      </c>
      <c r="BE111" s="205" t="n">
        <f aca="false" t="array" ref="BE111:BE111">IF(TblConstr[[#This Row],[Hour]:[Hour]]&gt;12,OFFSET(TblConstr[[#This Row],[Hav]],-12,0),0)+OFFSET(TblConstr[[#This Row],[Tot Hav]],-1,0)-TblConstr[[#This Row],[Dest Hav]]</f>
        <v>0</v>
      </c>
      <c r="BF111" s="194" t="n">
        <f aca="false" t="array" ref="BF111:BF111">IF(TblConstr[[#This Row],[Hour]:[Hour]]&gt;12,OFFSET(TblConstr[[#This Row],[OM]],-12,0),0)+OFFSET(TblConstr[[#This Row],[Tot OM]],-1,0)-TblConstr[[#This Row],[Dest OM]]</f>
        <v>0</v>
      </c>
      <c r="BG111" s="194" t="n">
        <f aca="false" t="array" ref="BG111:BG111">IF(TblConstr[[#This Row],[Hour]:[Hour]]&gt;12,OFFSET(TblConstr[[#This Row],[GN]],-12,0),0)+OFFSET(TblConstr[[#This Row],[Tot GN]],-1,0)-TblConstr[[#This Row],[Dest GN]]</f>
        <v>0</v>
      </c>
      <c r="BH111" s="206" t="n">
        <f aca="false" t="array" ref="BH111:BH111">IF(TblConstr[[#This Row],[Hour]:[Hour]]&gt;12,OFFSET(TblConstr[[#This Row],[Fac]],-12,0),0)+OFFSET(TblConstr[[#This Row],[Tot Fac]],-1,0)-TblConstr[[#This Row],[Dest Fac]]</f>
        <v>0</v>
      </c>
      <c r="BI111" s="206" t="n">
        <f aca="false" t="array" ref="BI111:BI111">IF(TblConstr[[#This Row],[Hour]:[Hour]]&gt;12,OFFSET(TblConstr[[#This Row],[GT]],-12,0),0)+OFFSET(TblConstr[[#This Row],[Tot GT]],-1,0)-TblConstr[[#This Row],[Dest GT]]</f>
        <v>55</v>
      </c>
      <c r="BJ111" s="206" t="n">
        <f aca="false" t="array" ref="BJ111:BJ111">IF(TblConstr[[#This Row],[Hour]:[Hour]]&gt;12,OFFSET(TblConstr[[#This Row],[Bar]],-12,0),0)+OFFSET(TblConstr[[#This Row],[Tot Bar]],-1,0)-TblConstr[[#This Row],[Dest Bar]]</f>
        <v>50</v>
      </c>
      <c r="BK111" s="206" t="n">
        <f aca="false" t="array" ref="BK111:BK111">IF(TblConstr[[#This Row],[Hour]:[Hour]]&gt;12,OFFSET(TblConstr[[#This Row],[Shr]],-12,0),0)+OFFSET(TblConstr[[#This Row],[Tot Shr]],-1,0)-TblConstr[[#This Row],[Dest Shr]]</f>
        <v>0</v>
      </c>
      <c r="BL111" s="207" t="n">
        <f aca="false" t="array" ref="BL111:BL111">IF(TblConstr[[#This Row],[Hour]:[Hour]]&gt;12,OFFSET(TblConstr[[#This Row],[Tow]],-12,0),0)+OFFSET(TblConstr[[#This Row],[Tot Tow]],-1,0)-TblConstr[[#This Row],[Dest Tow]]</f>
        <v>29</v>
      </c>
      <c r="BM111" s="207" t="n">
        <f aca="false" t="array" ref="BM111:BM111">IF(TblConstr[[#This Row],[Hour]:[Hour]]&gt;12,OFFSET(TblConstr[[#This Row],[Tem]],-12,0),0)+OFFSET(TblConstr[[#This Row],[Tot Tem]],-1,0)-TblConstr[[#This Row],[Dest Tem]]</f>
        <v>47</v>
      </c>
      <c r="BN111" s="207" t="n">
        <f aca="false" t="array" ref="BN111:BN111">IF(TblConstr[[#This Row],[Hour]:[Hour]]&gt;12,OFFSET(TblConstr[[#This Row],[WG]],-12,0),0)+OFFSET(TblConstr[[#This Row],[Tot WG]],-1,0)-TblConstr[[#This Row],[Dest WG]]</f>
        <v>0</v>
      </c>
      <c r="BO111" s="208" t="n">
        <f aca="false" t="array" ref="BO111:BO111">IF(TblConstr[[#This Row],[Hour]:[Hour]]&gt;12,OFFSET(TblConstr[[#This Row],[DM]],-12,0),0)+OFFSET(TblConstr[[#This Row],[Tot DM]],-1,0)-TblConstr[[#This Row],[Dest DM]]</f>
        <v>0</v>
      </c>
      <c r="BP111" s="208" t="n">
        <f aca="false" t="array" ref="BP111:BP111">IF(TblConstr[[#This Row],[Hour]:[Hour]]&gt;12,OFFSET(TblConstr[[#This Row],[Sch]],-12,0),0)+OFFSET(TblConstr[[#This Row],[Tot Sch]],-1,0)-TblConstr[[#This Row],[Dest Sch]]</f>
        <v>0</v>
      </c>
      <c r="BQ111" s="209" t="n">
        <f aca="false" t="array" ref="BQ111:BQ111">IF(TblConstr[[#This Row],[Hour]:[Hour]]&gt;12,OFFSET(TblConstr[[#This Row],[Doc]],-12,0),0)+OFFSET(TblConstr[[#This Row],[Tot Doc]],-1,0)-TblConstr[[#This Row],[Dest Doc]]</f>
        <v>24</v>
      </c>
      <c r="BR111" s="132"/>
      <c r="BS111" s="146"/>
      <c r="BT111" s="69" t="n">
        <f aca="false">TblConstr[[#This Row],[Land]]</f>
        <v>700</v>
      </c>
      <c r="BU111" s="153" t="n">
        <f aca="false">TblImps[[#This Row],[Time]]</f>
        <v>45434.2083333333</v>
      </c>
      <c r="BV111" s="132"/>
      <c r="BW111" s="182"/>
      <c r="BX111" s="182"/>
      <c r="BY111" s="182"/>
      <c r="BZ111" s="182"/>
      <c r="CA111" s="182"/>
      <c r="CB111" s="182"/>
      <c r="CC111" s="182"/>
      <c r="CD111" s="182"/>
      <c r="CE111" s="182"/>
      <c r="CF111" s="182"/>
      <c r="CG111" s="182"/>
      <c r="CH111" s="182"/>
      <c r="CI111" s="182"/>
      <c r="CJ111" s="182"/>
      <c r="CK111" s="182"/>
      <c r="CL111" s="182"/>
      <c r="CM111" s="182"/>
      <c r="CN111" s="182"/>
      <c r="CO111" s="182"/>
      <c r="CP111" s="132"/>
      <c r="CQ111" s="192" t="n">
        <f aca="false">-SUM(TblConstr[[#This Row],[Alc]:[Mas]])+SUM(TblConstr[[#This Row],[Dest Alc]:[Dest Mas]])+Rezone!L111+IF("Ch_"&amp; home_land=TblConstr[[#Headers],[Ch_Plain]],TblConstr[[#This Row],[Home Land]])+IF(TblConstr[[#This Row],[Hour]:[Hour]]&gt;12,OFFSET(TblExplore[[#This Row],[Plains Explore]],-12,0),0)</f>
        <v>0</v>
      </c>
      <c r="CR111" s="193" t="n">
        <f aca="false">-SUM(TblConstr[[#This Row],[Ly]:[Hav]])+SUM(TblConstr[[#This Row],[Dest Ly]:[Dest Hav]]) +Rezone!M111 + IF("Ch_"&amp; home_land=TblConstr[[#Headers],[Ch_Forest]],TblConstr[[#This Row],[Home Land]])+IF(TblConstr[[#This Row],[Hour]:[Hour]]&gt;12,OFFSET(TblExplore[[#This Row],[Forest Explore]],-12,0),0)</f>
        <v>0</v>
      </c>
      <c r="CS111" s="200" t="n">
        <f aca="false">-SUM(TblConstr[[#This Row],[OM]:[GN]])+SUM(TblConstr[[#This Row],[Dest OM]:[Dest GN]]) +Rezone!N111 + IF("Ch_"&amp; home_land=TblConstr[[#Headers],[Ch_Mountain]],TblConstr[[#This Row],[Home Land]])+IF(TblConstr[[#This Row],[Hour]:[Hour]]&gt;12,OFFSET(TblExplore[[#This Row],[Mountain Explore]],-12,0),0)</f>
        <v>0</v>
      </c>
      <c r="CT111" s="195" t="n">
        <f aca="false">-SUM(TblConstr[[#This Row],[Fac]:[Shr]])+SUM(TblConstr[[#This Row],[Dest Fac]:[Dest Shr]]) +Rezone!O111 + IF("Ch_" &amp; home_land=TblConstr[[#Headers],[Ch_Hill]],TblConstr[[#This Row],[Home Land]])+IF(TblConstr[[#This Row],[Hour]:[Hour]]&gt;12,OFFSET(TblExplore[[#This Row],[Hill Explore]],-12,0),0)</f>
        <v>0</v>
      </c>
      <c r="CU111" s="196" t="n">
        <f aca="false">-SUM(TblConstr[[#This Row],[Tow]:[WG]])+SUM(TblConstr[[#This Row],[Dest Tow]:[Dest WG]]) +Rezone!P111 + IF("Ch_" &amp; home_land=TblConstr[[#Headers],[Ch_Swamp]],TblConstr[[#This Row],[Home Land]])+IF(TblConstr[[#This Row],[Hour]:[Hour]]&gt;12,OFFSET(TblExplore[[#This Row],[Swamp Explore]],-12,0),0)</f>
        <v>0</v>
      </c>
      <c r="CV111" s="197" t="n">
        <f aca="false">- SUM(TblConstr[[#This Row],[DM]:[Sch]])+SUM(TblConstr[[#This Row],[Dest DM]:[Dest Sch]]) +Rezone!Q111 + IF("Ch_" &amp; home_land=TblConstr[[#Headers],[Ch_Cavern]],TblConstr[[#This Row],[Home Land]])+IF(TblConstr[[#This Row],[Hour]:[Hour]]&gt;12,OFFSET(TblExplore[[#This Row],[Cavern Explore]],-12,0),0)</f>
        <v>0</v>
      </c>
      <c r="CW111" s="198" t="n">
        <f aca="false">-TblConstr[[#This Row],[Doc]]+TblConstr[[#This Row],[Dest Doc]] +Rezone!R111 + IF("Ch_" &amp; home_land=TblConstr[[#Headers],[Ch_Water]],TblConstr[[#This Row],[Home Land]])+IF(TblConstr[[#This Row],[Hour]:[Hour]]&gt;12,OFFSET(TblExplore[[#This Row],[Water Explore]],-12,0),0)</f>
        <v>0</v>
      </c>
      <c r="CX111" s="1" t="n">
        <f aca="false">IF(Explore!S111=1,20) - TblConstr[[#This Row],[Hom]] + TblConstr[[#This Row],[Dest Hom]]</f>
        <v>0</v>
      </c>
      <c r="CY111" s="132"/>
      <c r="CZ111" s="69" t="n">
        <f aca="false">G111+SUM(P100:S111)+SUM(AZ111:BC111)</f>
        <v>430</v>
      </c>
      <c r="DA111" s="69" t="n">
        <f aca="false">H111+SUM(T100:U111)+SUM(BD111:BE111)</f>
        <v>25</v>
      </c>
      <c r="DB111" s="1" t="n">
        <f aca="false">I111+SUM(V100:W111)+SUM(BF111:BG111)</f>
        <v>0</v>
      </c>
      <c r="DC111" s="69" t="n">
        <f aca="false">J111+SUM(X100:Y111)+SUM(BH111:BI111)</f>
        <v>55</v>
      </c>
      <c r="DD111" s="69" t="n">
        <f aca="false">K111+SUM(AB100:AD111)+SUM(BL111:BN111)</f>
        <v>76</v>
      </c>
      <c r="DE111" s="1" t="n">
        <f aca="false">L111+SUM(AE100:AE111)+BO111</f>
        <v>0</v>
      </c>
      <c r="DF111" s="69" t="n">
        <f aca="false">M111+SUM(AG100:AG111)+BQ111</f>
        <v>24</v>
      </c>
      <c r="DG111" s="69" t="e">
        <f aca="false" t="array" ref="DG111:DG111">INDEX(TblConstr[[Total Plain]:[Total Water]],ROW()-ROW(TblConstr[#headers]),MATCH("Total "&amp;home_land,TblConstr[[#Headers],[Total Plain]:[Total Water]],0))+TblConstr[[#This Row],[Homes]]</f>
        <v>#VALUE!</v>
      </c>
      <c r="DH111" s="1" t="n">
        <f aca="false">SUM(O100:O111)+AY111</f>
        <v>40</v>
      </c>
      <c r="DI111" s="1" t="n">
        <f aca="false">MAX(BA111-BA110,0)</f>
        <v>0</v>
      </c>
      <c r="DJ111" s="1" t="n">
        <f aca="false">MAX(BQ111-BQ110,0)</f>
        <v>0</v>
      </c>
    </row>
    <row r="112" customFormat="false" ht="12.75" hidden="false" customHeight="false" outlineLevel="0" collapsed="false">
      <c r="A112" s="170" t="n">
        <f aca="false">TblRezone[[#This Row],[Hour]]</f>
        <v>109</v>
      </c>
      <c r="B112" s="171" t="n">
        <f aca="false">SUM(TblConstr[[#This Row],[Plain]:[Water]])</f>
        <v>0</v>
      </c>
      <c r="C112" s="172" t="n">
        <f aca="false">SUM(TblConstr[[#This Row],[Tot Hom]:[Tot Doc]])</f>
        <v>700</v>
      </c>
      <c r="D112" s="172" t="n">
        <f aca="false">SUM(O101:AG112)</f>
        <v>0</v>
      </c>
      <c r="E112" s="173"/>
      <c r="F112" s="33" t="n">
        <f aca="false">TblConstr[[#This Row],[Barren]]+TblConstr[[#This Row],[Buildings]]+TblConstr[[#This Row],[Incoming]]</f>
        <v>700</v>
      </c>
      <c r="G112" s="199" t="n">
        <f aca="false">OFFSET(TblConstr[[#This Row],[Plain]],-1,0)+TblConstr[[#This Row],[Ch_Plain]]</f>
        <v>0</v>
      </c>
      <c r="H112" s="193" t="n">
        <f aca="false">OFFSET(TblConstr[[#This Row],[Forest]],-1,0)+TblConstr[[#This Row],[Ch_Forest]]</f>
        <v>0</v>
      </c>
      <c r="I112" s="200" t="n">
        <f aca="false">OFFSET(TblConstr[[#This Row],[Mountain]],-1,0)+TblConstr[[#This Row],[Ch_Mountain]]</f>
        <v>0</v>
      </c>
      <c r="J112" s="201" t="n">
        <f aca="false">OFFSET(TblConstr[[#This Row],[Hill]],-1,0)+TblConstr[[#This Row],[Ch_Hill]]</f>
        <v>0</v>
      </c>
      <c r="K112" s="202" t="n">
        <f aca="false">OFFSET(TblConstr[[#This Row],[Swamp]],-1,0)+TblConstr[[#This Row],[Ch_Swamp]]</f>
        <v>0</v>
      </c>
      <c r="L112" s="197" t="n">
        <f aca="false">OFFSET(TblConstr[[#This Row],[Cavern]],-1,0)+TblConstr[[#This Row],[Ch_Cavern]]</f>
        <v>0</v>
      </c>
      <c r="M112" s="198" t="n">
        <f aca="false">OFFSET(TblConstr[[#This Row],[Water]],-1,0)+TblConstr[[#This Row],[Ch_Water]]</f>
        <v>0</v>
      </c>
      <c r="N112" s="181" t="n">
        <f aca="false">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20" t="n">
        <f aca="false">TblImps[[#This Row],[Time]]</f>
        <v>45434.25</v>
      </c>
      <c r="AI112" s="130" t="n">
        <f aca="false">MIN(25%,(TblConstr[[#This Row],[Tot Fac]]+TblConstr[[#This Row],[Dest Fac]])/(TblConstr[[#This Row],[Land]]-TblExplore[[#This Row],[Land Bonus]]*20))</f>
        <v>0</v>
      </c>
      <c r="AJ112" s="130" t="n">
        <f aca="false">MIN(25%,(TblConstr[[#This Row],[Tot Fac]]+TblConstr[[#This Row],[Dest Fac]])/TblConstr[[#This Row],[Land]])</f>
        <v>0</v>
      </c>
      <c r="AK112" s="69" t="n">
        <f aca="false">TblProd[[#This Row],[Platinum]]</f>
        <v>1500850</v>
      </c>
      <c r="AL112" s="69" t="n">
        <f aca="false">TblProd[[#This Row],[Lumber]]</f>
        <v>43936</v>
      </c>
      <c r="AM1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2" s="69" t="n">
        <f aca="false">ROUNDDOWN( MAX(1 - MIN(facs_constr_factor*TblConstr[[#This Row],[Facs -DB]],facs_constr_max) + tech_1_11*TblTech[[#This Row],[11-1]] + tech_6_3_2*TblTech[[#This Row],[6-3]] + tech_5_2_3*TblTech[[#This Row],[5-2]], 1-global_constr_cap) * TblConstr[[#This Row],[RCPA Lumber]],0)</f>
        <v>216</v>
      </c>
      <c r="AO1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2" s="69" t="n">
        <f aca="false">ROUNDDOWN( MAX(1 - MIN(facs_constr_factor*TblConstr[[#This Row],[Facs DB]],facs_constr_max) + tech_1_11*TblTech[[#This Row],[1-11]] + tech_6_3_2*TblTech[[#This Row],[6-3]] + tech_5_2_3*TblTech[[#This Row],[5-2]], 1-global_constr_cap) * ROUND((TblConstr[[#This Row],[Land]]-250)*0.285 + 87.5 + 0/4.25,0),0)</f>
        <v>216</v>
      </c>
      <c r="AQ112" s="1" t="n">
        <f aca="false">TblConstr[[#This Row],[build -db]]*TblConstr[[#This Row],[CPA Platinum -DB]] + TblConstr[[#This Row],[build db]]*TblConstr[[#This Row],[CPA Platinum DB]]</f>
        <v>0</v>
      </c>
      <c r="AR112" s="1" t="n">
        <f aca="false">TblConstr[[#This Row],[build -db]]*TblConstr[[#This Row],[CPA Lumber -DB]]+TblConstr[[#This Row],[build db]]*TblConstr[[#This Row],[CPA Lumber DB]]</f>
        <v>0</v>
      </c>
      <c r="AS112" s="69" t="n">
        <f aca="false">MIN(SUM(OFFSET(TblConstr[[#This Row],[Plain]:[Water]],-1,0))+SUM(TblConstr[[#This Row],[Dest Hom]:[Dest Doc]])+IF(TblConstr[[#This Row],[Hour]]&gt;12,SUM(OFFSET(TblExplore[[#This Row],[Plains Explore]:[Water Explore]],-12,0)),0),SUM(TblConstr[[#This Row],[Hom]:[Doc]]))</f>
        <v>0</v>
      </c>
      <c r="AT11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32"/>
      <c r="AV112" s="69" t="n">
        <f aca="false">ROUND((TblConstr[[#This Row],[Land]]-250 - IF(TblExplore[[#This Row],[Land Bonus]]&lt;&gt;0,20,0))*1.25 + 850 + 0,0)</f>
        <v>1413</v>
      </c>
      <c r="AW112" s="69" t="n">
        <f aca="false">ROUND((TblConstr[[#This Row],[Land]]-250 - IF(TblExplore[[#This Row],[Land Bonus]]&lt;&gt;0,20,0))*0.285 + 87.5 + 0/4.25,0)</f>
        <v>216</v>
      </c>
      <c r="AX112" s="146"/>
      <c r="AY112" s="203" t="n">
        <f aca="false" t="array" ref="AY112:AY112">IF(TblConstr[[#This Row],[Hour]:[Hour]]&gt;12,OFFSET(TblConstr[[#This Row],[Hom]],-12,0),0)+OFFSET(TblConstr[[#This Row],[Tot Hom]],-1,0)-TblConstr[[#This Row],[Dest Hom]]</f>
        <v>40</v>
      </c>
      <c r="AZ112" s="204" t="n">
        <f aca="false" t="array" ref="AZ112:AZ112">IF(TblConstr[[#This Row],[Hour]:[Hour]]&gt;12,OFFSET(TblConstr[[#This Row],[Alc]],-12,0),0)+OFFSET(TblConstr[[#This Row],[Tot Alc]],-1,0)-TblConstr[[#This Row],[Dest Alc]]</f>
        <v>275</v>
      </c>
      <c r="BA112" s="204" t="n">
        <f aca="false" t="array" ref="BA112:BA112">IF(TblConstr[[#This Row],[Hour]:[Hour]]&gt;12,OFFSET(TblConstr[[#This Row],[Far]],-12,0),0)+OFFSET(TblConstr[[#This Row],[Tot Farm]],-1,0)-TblConstr[[#This Row],[Dest Farm]]</f>
        <v>29</v>
      </c>
      <c r="BB112" s="204" t="n">
        <f aca="false" t="array" ref="BB112:BB112">IF(TblConstr[[#This Row],[Hour]:[Hour]]&gt;12,OFFSET(TblConstr[[#This Row],[Smi]],-12,0),0)+OFFSET(TblConstr[[#This Row],[Tot Smi]],-1,0)-TblConstr[[#This Row],[Dest Smi]]</f>
        <v>126</v>
      </c>
      <c r="BC112" s="204" t="n">
        <f aca="false" t="array" ref="BC112:BC112">IF(TblConstr[[#This Row],[Hour]:[Hour]]&gt;12,OFFSET(TblConstr[[#This Row],[Mas]],-12,0),0)+OFFSET(TblConstr[[#This Row],[Tot Mas]],-1,0)-TblConstr[[#This Row],[Dest Mas]]</f>
        <v>0</v>
      </c>
      <c r="BD112" s="205" t="n">
        <f aca="false" t="array" ref="BD112:BD112">IF(TblConstr[[#This Row],[Hour]:[Hour]]&gt;12,OFFSET(TblConstr[[#This Row],[Ly]],-12,0),0)+OFFSET(TblConstr[[#This Row],[Tot Ly]],-1,0)-TblConstr[[#This Row],[Dest Ly]]</f>
        <v>25</v>
      </c>
      <c r="BE112" s="205" t="n">
        <f aca="false" t="array" ref="BE112:BE112">IF(TblConstr[[#This Row],[Hour]:[Hour]]&gt;12,OFFSET(TblConstr[[#This Row],[Hav]],-12,0),0)+OFFSET(TblConstr[[#This Row],[Tot Hav]],-1,0)-TblConstr[[#This Row],[Dest Hav]]</f>
        <v>0</v>
      </c>
      <c r="BF112" s="194" t="n">
        <f aca="false" t="array" ref="BF112:BF112">IF(TblConstr[[#This Row],[Hour]:[Hour]]&gt;12,OFFSET(TblConstr[[#This Row],[OM]],-12,0),0)+OFFSET(TblConstr[[#This Row],[Tot OM]],-1,0)-TblConstr[[#This Row],[Dest OM]]</f>
        <v>0</v>
      </c>
      <c r="BG112" s="194" t="n">
        <f aca="false" t="array" ref="BG112:BG112">IF(TblConstr[[#This Row],[Hour]:[Hour]]&gt;12,OFFSET(TblConstr[[#This Row],[GN]],-12,0),0)+OFFSET(TblConstr[[#This Row],[Tot GN]],-1,0)-TblConstr[[#This Row],[Dest GN]]</f>
        <v>0</v>
      </c>
      <c r="BH112" s="206" t="n">
        <f aca="false" t="array" ref="BH112:BH112">IF(TblConstr[[#This Row],[Hour]:[Hour]]&gt;12,OFFSET(TblConstr[[#This Row],[Fac]],-12,0),0)+OFFSET(TblConstr[[#This Row],[Tot Fac]],-1,0)-TblConstr[[#This Row],[Dest Fac]]</f>
        <v>0</v>
      </c>
      <c r="BI112" s="206" t="n">
        <f aca="false" t="array" ref="BI112:BI112">IF(TblConstr[[#This Row],[Hour]:[Hour]]&gt;12,OFFSET(TblConstr[[#This Row],[GT]],-12,0),0)+OFFSET(TblConstr[[#This Row],[Tot GT]],-1,0)-TblConstr[[#This Row],[Dest GT]]</f>
        <v>55</v>
      </c>
      <c r="BJ112" s="206" t="n">
        <f aca="false" t="array" ref="BJ112:BJ112">IF(TblConstr[[#This Row],[Hour]:[Hour]]&gt;12,OFFSET(TblConstr[[#This Row],[Bar]],-12,0),0)+OFFSET(TblConstr[[#This Row],[Tot Bar]],-1,0)-TblConstr[[#This Row],[Dest Bar]]</f>
        <v>50</v>
      </c>
      <c r="BK112" s="206" t="n">
        <f aca="false" t="array" ref="BK112:BK112">IF(TblConstr[[#This Row],[Hour]:[Hour]]&gt;12,OFFSET(TblConstr[[#This Row],[Shr]],-12,0),0)+OFFSET(TblConstr[[#This Row],[Tot Shr]],-1,0)-TblConstr[[#This Row],[Dest Shr]]</f>
        <v>0</v>
      </c>
      <c r="BL112" s="207" t="n">
        <f aca="false" t="array" ref="BL112:BL112">IF(TblConstr[[#This Row],[Hour]:[Hour]]&gt;12,OFFSET(TblConstr[[#This Row],[Tow]],-12,0),0)+OFFSET(TblConstr[[#This Row],[Tot Tow]],-1,0)-TblConstr[[#This Row],[Dest Tow]]</f>
        <v>29</v>
      </c>
      <c r="BM112" s="207" t="n">
        <f aca="false" t="array" ref="BM112:BM112">IF(TblConstr[[#This Row],[Hour]:[Hour]]&gt;12,OFFSET(TblConstr[[#This Row],[Tem]],-12,0),0)+OFFSET(TblConstr[[#This Row],[Tot Tem]],-1,0)-TblConstr[[#This Row],[Dest Tem]]</f>
        <v>47</v>
      </c>
      <c r="BN112" s="207" t="n">
        <f aca="false" t="array" ref="BN112:BN112">IF(TblConstr[[#This Row],[Hour]:[Hour]]&gt;12,OFFSET(TblConstr[[#This Row],[WG]],-12,0),0)+OFFSET(TblConstr[[#This Row],[Tot WG]],-1,0)-TblConstr[[#This Row],[Dest WG]]</f>
        <v>0</v>
      </c>
      <c r="BO112" s="208" t="n">
        <f aca="false" t="array" ref="BO112:BO112">IF(TblConstr[[#This Row],[Hour]:[Hour]]&gt;12,OFFSET(TblConstr[[#This Row],[DM]],-12,0),0)+OFFSET(TblConstr[[#This Row],[Tot DM]],-1,0)-TblConstr[[#This Row],[Dest DM]]</f>
        <v>0</v>
      </c>
      <c r="BP112" s="208" t="n">
        <f aca="false" t="array" ref="BP112:BP112">IF(TblConstr[[#This Row],[Hour]:[Hour]]&gt;12,OFFSET(TblConstr[[#This Row],[Sch]],-12,0),0)+OFFSET(TblConstr[[#This Row],[Tot Sch]],-1,0)-TblConstr[[#This Row],[Dest Sch]]</f>
        <v>0</v>
      </c>
      <c r="BQ112" s="209" t="n">
        <f aca="false" t="array" ref="BQ112:BQ112">IF(TblConstr[[#This Row],[Hour]:[Hour]]&gt;12,OFFSET(TblConstr[[#This Row],[Doc]],-12,0),0)+OFFSET(TblConstr[[#This Row],[Tot Doc]],-1,0)-TblConstr[[#This Row],[Dest Doc]]</f>
        <v>24</v>
      </c>
      <c r="BR112" s="132"/>
      <c r="BS112" s="146"/>
      <c r="BT112" s="69" t="n">
        <f aca="false">TblConstr[[#This Row],[Land]]</f>
        <v>700</v>
      </c>
      <c r="BU112" s="153" t="n">
        <f aca="false">TblImps[[#This Row],[Time]]</f>
        <v>45434.25</v>
      </c>
      <c r="BV112" s="132"/>
      <c r="BW112" s="182"/>
      <c r="BX112" s="182"/>
      <c r="BY112" s="182"/>
      <c r="BZ112" s="182"/>
      <c r="CA112" s="182"/>
      <c r="CB112" s="182"/>
      <c r="CC112" s="182"/>
      <c r="CD112" s="182"/>
      <c r="CE112" s="182"/>
      <c r="CF112" s="182"/>
      <c r="CG112" s="182"/>
      <c r="CH112" s="182"/>
      <c r="CI112" s="182"/>
      <c r="CJ112" s="182"/>
      <c r="CK112" s="182"/>
      <c r="CL112" s="182"/>
      <c r="CM112" s="182"/>
      <c r="CN112" s="182"/>
      <c r="CO112" s="182"/>
      <c r="CP112" s="132"/>
      <c r="CQ112" s="192" t="n">
        <f aca="false">-SUM(TblConstr[[#This Row],[Alc]:[Mas]])+SUM(TblConstr[[#This Row],[Dest Alc]:[Dest Mas]])+Rezone!L112+IF("Ch_"&amp; home_land=TblConstr[[#Headers],[Ch_Plain]],TblConstr[[#This Row],[Home Land]])+IF(TblConstr[[#This Row],[Hour]:[Hour]]&gt;12,OFFSET(TblExplore[[#This Row],[Plains Explore]],-12,0),0)</f>
        <v>0</v>
      </c>
      <c r="CR112" s="193" t="n">
        <f aca="false">-SUM(TblConstr[[#This Row],[Ly]:[Hav]])+SUM(TblConstr[[#This Row],[Dest Ly]:[Dest Hav]]) +Rezone!M112 + IF("Ch_"&amp; home_land=TblConstr[[#Headers],[Ch_Forest]],TblConstr[[#This Row],[Home Land]])+IF(TblConstr[[#This Row],[Hour]:[Hour]]&gt;12,OFFSET(TblExplore[[#This Row],[Forest Explore]],-12,0),0)</f>
        <v>0</v>
      </c>
      <c r="CS112" s="200" t="n">
        <f aca="false">-SUM(TblConstr[[#This Row],[OM]:[GN]])+SUM(TblConstr[[#This Row],[Dest OM]:[Dest GN]]) +Rezone!N112 + IF("Ch_"&amp; home_land=TblConstr[[#Headers],[Ch_Mountain]],TblConstr[[#This Row],[Home Land]])+IF(TblConstr[[#This Row],[Hour]:[Hour]]&gt;12,OFFSET(TblExplore[[#This Row],[Mountain Explore]],-12,0),0)</f>
        <v>0</v>
      </c>
      <c r="CT112" s="195" t="n">
        <f aca="false">-SUM(TblConstr[[#This Row],[Fac]:[Shr]])+SUM(TblConstr[[#This Row],[Dest Fac]:[Dest Shr]]) +Rezone!O112 + IF("Ch_" &amp; home_land=TblConstr[[#Headers],[Ch_Hill]],TblConstr[[#This Row],[Home Land]])+IF(TblConstr[[#This Row],[Hour]:[Hour]]&gt;12,OFFSET(TblExplore[[#This Row],[Hill Explore]],-12,0),0)</f>
        <v>0</v>
      </c>
      <c r="CU112" s="196" t="n">
        <f aca="false">-SUM(TblConstr[[#This Row],[Tow]:[WG]])+SUM(TblConstr[[#This Row],[Dest Tow]:[Dest WG]]) +Rezone!P112 + IF("Ch_" &amp; home_land=TblConstr[[#Headers],[Ch_Swamp]],TblConstr[[#This Row],[Home Land]])+IF(TblConstr[[#This Row],[Hour]:[Hour]]&gt;12,OFFSET(TblExplore[[#This Row],[Swamp Explore]],-12,0),0)</f>
        <v>0</v>
      </c>
      <c r="CV112" s="197" t="n">
        <f aca="false">- SUM(TblConstr[[#This Row],[DM]:[Sch]])+SUM(TblConstr[[#This Row],[Dest DM]:[Dest Sch]]) +Rezone!Q112 + IF("Ch_" &amp; home_land=TblConstr[[#Headers],[Ch_Cavern]],TblConstr[[#This Row],[Home Land]])+IF(TblConstr[[#This Row],[Hour]:[Hour]]&gt;12,OFFSET(TblExplore[[#This Row],[Cavern Explore]],-12,0),0)</f>
        <v>0</v>
      </c>
      <c r="CW112" s="198" t="n">
        <f aca="false">-TblConstr[[#This Row],[Doc]]+TblConstr[[#This Row],[Dest Doc]] +Rezone!R112 + IF("Ch_" &amp; home_land=TblConstr[[#Headers],[Ch_Water]],TblConstr[[#This Row],[Home Land]])+IF(TblConstr[[#This Row],[Hour]:[Hour]]&gt;12,OFFSET(TblExplore[[#This Row],[Water Explore]],-12,0),0)</f>
        <v>0</v>
      </c>
      <c r="CX112" s="1" t="n">
        <f aca="false">IF(Explore!S112=1,20) - TblConstr[[#This Row],[Hom]] + TblConstr[[#This Row],[Dest Hom]]</f>
        <v>0</v>
      </c>
      <c r="CY112" s="132"/>
      <c r="CZ112" s="69" t="n">
        <f aca="false">G112+SUM(P101:S112)+SUM(AZ112:BC112)</f>
        <v>430</v>
      </c>
      <c r="DA112" s="69" t="n">
        <f aca="false">H112+SUM(T101:U112)+SUM(BD112:BE112)</f>
        <v>25</v>
      </c>
      <c r="DB112" s="1" t="n">
        <f aca="false">I112+SUM(V101:W112)+SUM(BF112:BG112)</f>
        <v>0</v>
      </c>
      <c r="DC112" s="69" t="n">
        <f aca="false">J112+SUM(X101:Y112)+SUM(BH112:BI112)</f>
        <v>55</v>
      </c>
      <c r="DD112" s="69" t="n">
        <f aca="false">K112+SUM(AB101:AD112)+SUM(BL112:BN112)</f>
        <v>76</v>
      </c>
      <c r="DE112" s="1" t="n">
        <f aca="false">L112+SUM(AE101:AE112)+BO112</f>
        <v>0</v>
      </c>
      <c r="DF112" s="69" t="n">
        <f aca="false">M112+SUM(AG101:AG112)+BQ112</f>
        <v>24</v>
      </c>
      <c r="DG112" s="69" t="e">
        <f aca="false" t="array" ref="DG112:DG112">INDEX(TblConstr[[Total Plain]:[Total Water]],ROW()-ROW(TblConstr[#headers]),MATCH("Total "&amp;home_land,TblConstr[[#Headers],[Total Plain]:[Total Water]],0))+TblConstr[[#This Row],[Homes]]</f>
        <v>#VALUE!</v>
      </c>
      <c r="DH112" s="1" t="n">
        <f aca="false">SUM(O101:O112)+AY112</f>
        <v>40</v>
      </c>
      <c r="DI112" s="1" t="n">
        <f aca="false">MAX(BA112-BA111,0)</f>
        <v>0</v>
      </c>
      <c r="DJ112" s="1" t="n">
        <f aca="false">MAX(BQ112-BQ111,0)</f>
        <v>0</v>
      </c>
    </row>
    <row r="113" customFormat="false" ht="12.75" hidden="false" customHeight="false" outlineLevel="0" collapsed="false">
      <c r="A113" s="170" t="n">
        <f aca="false">TblRezone[[#This Row],[Hour]]</f>
        <v>110</v>
      </c>
      <c r="B113" s="171" t="n">
        <f aca="false">SUM(TblConstr[[#This Row],[Plain]:[Water]])</f>
        <v>0</v>
      </c>
      <c r="C113" s="172" t="n">
        <f aca="false">SUM(TblConstr[[#This Row],[Tot Hom]:[Tot Doc]])</f>
        <v>700</v>
      </c>
      <c r="D113" s="172" t="n">
        <f aca="false">SUM(O102:AG113)</f>
        <v>0</v>
      </c>
      <c r="E113" s="173"/>
      <c r="F113" s="33" t="n">
        <f aca="false">TblConstr[[#This Row],[Barren]]+TblConstr[[#This Row],[Buildings]]+TblConstr[[#This Row],[Incoming]]</f>
        <v>700</v>
      </c>
      <c r="G113" s="199" t="n">
        <f aca="false">OFFSET(TblConstr[[#This Row],[Plain]],-1,0)+TblConstr[[#This Row],[Ch_Plain]]</f>
        <v>0</v>
      </c>
      <c r="H113" s="193" t="n">
        <f aca="false">OFFSET(TblConstr[[#This Row],[Forest]],-1,0)+TblConstr[[#This Row],[Ch_Forest]]</f>
        <v>0</v>
      </c>
      <c r="I113" s="200" t="n">
        <f aca="false">OFFSET(TblConstr[[#This Row],[Mountain]],-1,0)+TblConstr[[#This Row],[Ch_Mountain]]</f>
        <v>0</v>
      </c>
      <c r="J113" s="201" t="n">
        <f aca="false">OFFSET(TblConstr[[#This Row],[Hill]],-1,0)+TblConstr[[#This Row],[Ch_Hill]]</f>
        <v>0</v>
      </c>
      <c r="K113" s="202" t="n">
        <f aca="false">OFFSET(TblConstr[[#This Row],[Swamp]],-1,0)+TblConstr[[#This Row],[Ch_Swamp]]</f>
        <v>0</v>
      </c>
      <c r="L113" s="197" t="n">
        <f aca="false">OFFSET(TblConstr[[#This Row],[Cavern]],-1,0)+TblConstr[[#This Row],[Ch_Cavern]]</f>
        <v>0</v>
      </c>
      <c r="M113" s="198" t="n">
        <f aca="false">OFFSET(TblConstr[[#This Row],[Water]],-1,0)+TblConstr[[#This Row],[Ch_Water]]</f>
        <v>0</v>
      </c>
      <c r="N113" s="181" t="n">
        <f aca="false">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20" t="n">
        <f aca="false">TblImps[[#This Row],[Time]]</f>
        <v>45434.2916666667</v>
      </c>
      <c r="AI113" s="130" t="n">
        <f aca="false">MIN(25%,(TblConstr[[#This Row],[Tot Fac]]+TblConstr[[#This Row],[Dest Fac]])/(TblConstr[[#This Row],[Land]]-TblExplore[[#This Row],[Land Bonus]]*20))</f>
        <v>0</v>
      </c>
      <c r="AJ113" s="130" t="n">
        <f aca="false">MIN(25%,(TblConstr[[#This Row],[Tot Fac]]+TblConstr[[#This Row],[Dest Fac]])/TblConstr[[#This Row],[Land]])</f>
        <v>0</v>
      </c>
      <c r="AK113" s="69" t="n">
        <f aca="false">TblProd[[#This Row],[Platinum]]</f>
        <v>1532054</v>
      </c>
      <c r="AL113" s="69" t="n">
        <f aca="false">TblProd[[#This Row],[Lumber]]</f>
        <v>44622</v>
      </c>
      <c r="AM1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3" s="69" t="n">
        <f aca="false">ROUNDDOWN( MAX(1 - MIN(facs_constr_factor*TblConstr[[#This Row],[Facs -DB]],facs_constr_max) + tech_1_11*TblTech[[#This Row],[11-1]] + tech_6_3_2*TblTech[[#This Row],[6-3]] + tech_5_2_3*TblTech[[#This Row],[5-2]], 1-global_constr_cap) * TblConstr[[#This Row],[RCPA Lumber]],0)</f>
        <v>216</v>
      </c>
      <c r="AO1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3" s="69" t="n">
        <f aca="false">ROUNDDOWN( MAX(1 - MIN(facs_constr_factor*TblConstr[[#This Row],[Facs DB]],facs_constr_max) + tech_1_11*TblTech[[#This Row],[1-11]] + tech_6_3_2*TblTech[[#This Row],[6-3]] + tech_5_2_3*TblTech[[#This Row],[5-2]], 1-global_constr_cap) * ROUND((TblConstr[[#This Row],[Land]]-250)*0.285 + 87.5 + 0/4.25,0),0)</f>
        <v>216</v>
      </c>
      <c r="AQ113" s="1" t="n">
        <f aca="false">TblConstr[[#This Row],[build -db]]*TblConstr[[#This Row],[CPA Platinum -DB]] + TblConstr[[#This Row],[build db]]*TblConstr[[#This Row],[CPA Platinum DB]]</f>
        <v>0</v>
      </c>
      <c r="AR113" s="1" t="n">
        <f aca="false">TblConstr[[#This Row],[build -db]]*TblConstr[[#This Row],[CPA Lumber -DB]]+TblConstr[[#This Row],[build db]]*TblConstr[[#This Row],[CPA Lumber DB]]</f>
        <v>0</v>
      </c>
      <c r="AS113" s="69" t="n">
        <f aca="false">MIN(SUM(OFFSET(TblConstr[[#This Row],[Plain]:[Water]],-1,0))+SUM(TblConstr[[#This Row],[Dest Hom]:[Dest Doc]])+IF(TblConstr[[#This Row],[Hour]]&gt;12,SUM(OFFSET(TblExplore[[#This Row],[Plains Explore]:[Water Explore]],-12,0)),0),SUM(TblConstr[[#This Row],[Hom]:[Doc]]))</f>
        <v>0</v>
      </c>
      <c r="AT11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32"/>
      <c r="AV113" s="69" t="n">
        <f aca="false">ROUND((TblConstr[[#This Row],[Land]]-250 - IF(TblExplore[[#This Row],[Land Bonus]]&lt;&gt;0,20,0))*1.25 + 850 + 0,0)</f>
        <v>1413</v>
      </c>
      <c r="AW113" s="69" t="n">
        <f aca="false">ROUND((TblConstr[[#This Row],[Land]]-250 - IF(TblExplore[[#This Row],[Land Bonus]]&lt;&gt;0,20,0))*0.285 + 87.5 + 0/4.25,0)</f>
        <v>216</v>
      </c>
      <c r="AX113" s="146"/>
      <c r="AY113" s="203" t="n">
        <f aca="false" t="array" ref="AY113:AY113">IF(TblConstr[[#This Row],[Hour]:[Hour]]&gt;12,OFFSET(TblConstr[[#This Row],[Hom]],-12,0),0)+OFFSET(TblConstr[[#This Row],[Tot Hom]],-1,0)-TblConstr[[#This Row],[Dest Hom]]</f>
        <v>40</v>
      </c>
      <c r="AZ113" s="204" t="n">
        <f aca="false" t="array" ref="AZ113:AZ113">IF(TblConstr[[#This Row],[Hour]:[Hour]]&gt;12,OFFSET(TblConstr[[#This Row],[Alc]],-12,0),0)+OFFSET(TblConstr[[#This Row],[Tot Alc]],-1,0)-TblConstr[[#This Row],[Dest Alc]]</f>
        <v>275</v>
      </c>
      <c r="BA113" s="204" t="n">
        <f aca="false" t="array" ref="BA113:BA113">IF(TblConstr[[#This Row],[Hour]:[Hour]]&gt;12,OFFSET(TblConstr[[#This Row],[Far]],-12,0),0)+OFFSET(TblConstr[[#This Row],[Tot Farm]],-1,0)-TblConstr[[#This Row],[Dest Farm]]</f>
        <v>29</v>
      </c>
      <c r="BB113" s="204" t="n">
        <f aca="false" t="array" ref="BB113:BB113">IF(TblConstr[[#This Row],[Hour]:[Hour]]&gt;12,OFFSET(TblConstr[[#This Row],[Smi]],-12,0),0)+OFFSET(TblConstr[[#This Row],[Tot Smi]],-1,0)-TblConstr[[#This Row],[Dest Smi]]</f>
        <v>126</v>
      </c>
      <c r="BC113" s="204" t="n">
        <f aca="false" t="array" ref="BC113:BC113">IF(TblConstr[[#This Row],[Hour]:[Hour]]&gt;12,OFFSET(TblConstr[[#This Row],[Mas]],-12,0),0)+OFFSET(TblConstr[[#This Row],[Tot Mas]],-1,0)-TblConstr[[#This Row],[Dest Mas]]</f>
        <v>0</v>
      </c>
      <c r="BD113" s="205" t="n">
        <f aca="false" t="array" ref="BD113:BD113">IF(TblConstr[[#This Row],[Hour]:[Hour]]&gt;12,OFFSET(TblConstr[[#This Row],[Ly]],-12,0),0)+OFFSET(TblConstr[[#This Row],[Tot Ly]],-1,0)-TblConstr[[#This Row],[Dest Ly]]</f>
        <v>25</v>
      </c>
      <c r="BE113" s="205" t="n">
        <f aca="false" t="array" ref="BE113:BE113">IF(TblConstr[[#This Row],[Hour]:[Hour]]&gt;12,OFFSET(TblConstr[[#This Row],[Hav]],-12,0),0)+OFFSET(TblConstr[[#This Row],[Tot Hav]],-1,0)-TblConstr[[#This Row],[Dest Hav]]</f>
        <v>0</v>
      </c>
      <c r="BF113" s="194" t="n">
        <f aca="false" t="array" ref="BF113:BF113">IF(TblConstr[[#This Row],[Hour]:[Hour]]&gt;12,OFFSET(TblConstr[[#This Row],[OM]],-12,0),0)+OFFSET(TblConstr[[#This Row],[Tot OM]],-1,0)-TblConstr[[#This Row],[Dest OM]]</f>
        <v>0</v>
      </c>
      <c r="BG113" s="194" t="n">
        <f aca="false" t="array" ref="BG113:BG113">IF(TblConstr[[#This Row],[Hour]:[Hour]]&gt;12,OFFSET(TblConstr[[#This Row],[GN]],-12,0),0)+OFFSET(TblConstr[[#This Row],[Tot GN]],-1,0)-TblConstr[[#This Row],[Dest GN]]</f>
        <v>0</v>
      </c>
      <c r="BH113" s="206" t="n">
        <f aca="false" t="array" ref="BH113:BH113">IF(TblConstr[[#This Row],[Hour]:[Hour]]&gt;12,OFFSET(TblConstr[[#This Row],[Fac]],-12,0),0)+OFFSET(TblConstr[[#This Row],[Tot Fac]],-1,0)-TblConstr[[#This Row],[Dest Fac]]</f>
        <v>0</v>
      </c>
      <c r="BI113" s="206" t="n">
        <f aca="false" t="array" ref="BI113:BI113">IF(TblConstr[[#This Row],[Hour]:[Hour]]&gt;12,OFFSET(TblConstr[[#This Row],[GT]],-12,0),0)+OFFSET(TblConstr[[#This Row],[Tot GT]],-1,0)-TblConstr[[#This Row],[Dest GT]]</f>
        <v>55</v>
      </c>
      <c r="BJ113" s="206" t="n">
        <f aca="false" t="array" ref="BJ113:BJ113">IF(TblConstr[[#This Row],[Hour]:[Hour]]&gt;12,OFFSET(TblConstr[[#This Row],[Bar]],-12,0),0)+OFFSET(TblConstr[[#This Row],[Tot Bar]],-1,0)-TblConstr[[#This Row],[Dest Bar]]</f>
        <v>50</v>
      </c>
      <c r="BK113" s="206" t="n">
        <f aca="false" t="array" ref="BK113:BK113">IF(TblConstr[[#This Row],[Hour]:[Hour]]&gt;12,OFFSET(TblConstr[[#This Row],[Shr]],-12,0),0)+OFFSET(TblConstr[[#This Row],[Tot Shr]],-1,0)-TblConstr[[#This Row],[Dest Shr]]</f>
        <v>0</v>
      </c>
      <c r="BL113" s="207" t="n">
        <f aca="false" t="array" ref="BL113:BL113">IF(TblConstr[[#This Row],[Hour]:[Hour]]&gt;12,OFFSET(TblConstr[[#This Row],[Tow]],-12,0),0)+OFFSET(TblConstr[[#This Row],[Tot Tow]],-1,0)-TblConstr[[#This Row],[Dest Tow]]</f>
        <v>29</v>
      </c>
      <c r="BM113" s="207" t="n">
        <f aca="false" t="array" ref="BM113:BM113">IF(TblConstr[[#This Row],[Hour]:[Hour]]&gt;12,OFFSET(TblConstr[[#This Row],[Tem]],-12,0),0)+OFFSET(TblConstr[[#This Row],[Tot Tem]],-1,0)-TblConstr[[#This Row],[Dest Tem]]</f>
        <v>47</v>
      </c>
      <c r="BN113" s="207" t="n">
        <f aca="false" t="array" ref="BN113:BN113">IF(TblConstr[[#This Row],[Hour]:[Hour]]&gt;12,OFFSET(TblConstr[[#This Row],[WG]],-12,0),0)+OFFSET(TblConstr[[#This Row],[Tot WG]],-1,0)-TblConstr[[#This Row],[Dest WG]]</f>
        <v>0</v>
      </c>
      <c r="BO113" s="208" t="n">
        <f aca="false" t="array" ref="BO113:BO113">IF(TblConstr[[#This Row],[Hour]:[Hour]]&gt;12,OFFSET(TblConstr[[#This Row],[DM]],-12,0),0)+OFFSET(TblConstr[[#This Row],[Tot DM]],-1,0)-TblConstr[[#This Row],[Dest DM]]</f>
        <v>0</v>
      </c>
      <c r="BP113" s="208" t="n">
        <f aca="false" t="array" ref="BP113:BP113">IF(TblConstr[[#This Row],[Hour]:[Hour]]&gt;12,OFFSET(TblConstr[[#This Row],[Sch]],-12,0),0)+OFFSET(TblConstr[[#This Row],[Tot Sch]],-1,0)-TblConstr[[#This Row],[Dest Sch]]</f>
        <v>0</v>
      </c>
      <c r="BQ113" s="209" t="n">
        <f aca="false" t="array" ref="BQ113:BQ113">IF(TblConstr[[#This Row],[Hour]:[Hour]]&gt;12,OFFSET(TblConstr[[#This Row],[Doc]],-12,0),0)+OFFSET(TblConstr[[#This Row],[Tot Doc]],-1,0)-TblConstr[[#This Row],[Dest Doc]]</f>
        <v>24</v>
      </c>
      <c r="BR113" s="132"/>
      <c r="BS113" s="146"/>
      <c r="BT113" s="69" t="n">
        <f aca="false">TblConstr[[#This Row],[Land]]</f>
        <v>700</v>
      </c>
      <c r="BU113" s="153" t="n">
        <f aca="false">TblImps[[#This Row],[Time]]</f>
        <v>45434.2916666667</v>
      </c>
      <c r="BV113" s="132"/>
      <c r="BW113" s="182"/>
      <c r="BX113" s="182"/>
      <c r="BY113" s="182"/>
      <c r="BZ113" s="182"/>
      <c r="CA113" s="182"/>
      <c r="CB113" s="182"/>
      <c r="CC113" s="182"/>
      <c r="CD113" s="182"/>
      <c r="CE113" s="182"/>
      <c r="CF113" s="182"/>
      <c r="CG113" s="182"/>
      <c r="CH113" s="182"/>
      <c r="CI113" s="182"/>
      <c r="CJ113" s="182"/>
      <c r="CK113" s="182"/>
      <c r="CL113" s="182"/>
      <c r="CM113" s="182"/>
      <c r="CN113" s="182"/>
      <c r="CO113" s="182"/>
      <c r="CP113" s="132"/>
      <c r="CQ113" s="192" t="n">
        <f aca="false">-SUM(TblConstr[[#This Row],[Alc]:[Mas]])+SUM(TblConstr[[#This Row],[Dest Alc]:[Dest Mas]])+Rezone!L113+IF("Ch_"&amp; home_land=TblConstr[[#Headers],[Ch_Plain]],TblConstr[[#This Row],[Home Land]])+IF(TblConstr[[#This Row],[Hour]:[Hour]]&gt;12,OFFSET(TblExplore[[#This Row],[Plains Explore]],-12,0),0)</f>
        <v>0</v>
      </c>
      <c r="CR113" s="193" t="n">
        <f aca="false">-SUM(TblConstr[[#This Row],[Ly]:[Hav]])+SUM(TblConstr[[#This Row],[Dest Ly]:[Dest Hav]]) +Rezone!M113 + IF("Ch_"&amp; home_land=TblConstr[[#Headers],[Ch_Forest]],TblConstr[[#This Row],[Home Land]])+IF(TblConstr[[#This Row],[Hour]:[Hour]]&gt;12,OFFSET(TblExplore[[#This Row],[Forest Explore]],-12,0),0)</f>
        <v>0</v>
      </c>
      <c r="CS113" s="200" t="n">
        <f aca="false">-SUM(TblConstr[[#This Row],[OM]:[GN]])+SUM(TblConstr[[#This Row],[Dest OM]:[Dest GN]]) +Rezone!N113 + IF("Ch_"&amp; home_land=TblConstr[[#Headers],[Ch_Mountain]],TblConstr[[#This Row],[Home Land]])+IF(TblConstr[[#This Row],[Hour]:[Hour]]&gt;12,OFFSET(TblExplore[[#This Row],[Mountain Explore]],-12,0),0)</f>
        <v>0</v>
      </c>
      <c r="CT113" s="195" t="n">
        <f aca="false">-SUM(TblConstr[[#This Row],[Fac]:[Shr]])+SUM(TblConstr[[#This Row],[Dest Fac]:[Dest Shr]]) +Rezone!O113 + IF("Ch_" &amp; home_land=TblConstr[[#Headers],[Ch_Hill]],TblConstr[[#This Row],[Home Land]])+IF(TblConstr[[#This Row],[Hour]:[Hour]]&gt;12,OFFSET(TblExplore[[#This Row],[Hill Explore]],-12,0),0)</f>
        <v>0</v>
      </c>
      <c r="CU113" s="196" t="n">
        <f aca="false">-SUM(TblConstr[[#This Row],[Tow]:[WG]])+SUM(TblConstr[[#This Row],[Dest Tow]:[Dest WG]]) +Rezone!P113 + IF("Ch_" &amp; home_land=TblConstr[[#Headers],[Ch_Swamp]],TblConstr[[#This Row],[Home Land]])+IF(TblConstr[[#This Row],[Hour]:[Hour]]&gt;12,OFFSET(TblExplore[[#This Row],[Swamp Explore]],-12,0),0)</f>
        <v>0</v>
      </c>
      <c r="CV113" s="197" t="n">
        <f aca="false">- SUM(TblConstr[[#This Row],[DM]:[Sch]])+SUM(TblConstr[[#This Row],[Dest DM]:[Dest Sch]]) +Rezone!Q113 + IF("Ch_" &amp; home_land=TblConstr[[#Headers],[Ch_Cavern]],TblConstr[[#This Row],[Home Land]])+IF(TblConstr[[#This Row],[Hour]:[Hour]]&gt;12,OFFSET(TblExplore[[#This Row],[Cavern Explore]],-12,0),0)</f>
        <v>0</v>
      </c>
      <c r="CW113" s="198" t="n">
        <f aca="false">-TblConstr[[#This Row],[Doc]]+TblConstr[[#This Row],[Dest Doc]] +Rezone!R113 + IF("Ch_" &amp; home_land=TblConstr[[#Headers],[Ch_Water]],TblConstr[[#This Row],[Home Land]])+IF(TblConstr[[#This Row],[Hour]:[Hour]]&gt;12,OFFSET(TblExplore[[#This Row],[Water Explore]],-12,0),0)</f>
        <v>0</v>
      </c>
      <c r="CX113" s="1" t="n">
        <f aca="false">IF(Explore!S113=1,20) - TblConstr[[#This Row],[Hom]] + TblConstr[[#This Row],[Dest Hom]]</f>
        <v>0</v>
      </c>
      <c r="CY113" s="132"/>
      <c r="CZ113" s="69" t="n">
        <f aca="false">G113+SUM(P102:S113)+SUM(AZ113:BC113)</f>
        <v>430</v>
      </c>
      <c r="DA113" s="69" t="n">
        <f aca="false">H113+SUM(T102:U113)+SUM(BD113:BE113)</f>
        <v>25</v>
      </c>
      <c r="DB113" s="1" t="n">
        <f aca="false">I113+SUM(V102:W113)+SUM(BF113:BG113)</f>
        <v>0</v>
      </c>
      <c r="DC113" s="69" t="n">
        <f aca="false">J113+SUM(X102:Y113)+SUM(BH113:BI113)</f>
        <v>55</v>
      </c>
      <c r="DD113" s="69" t="n">
        <f aca="false">K113+SUM(AB102:AD113)+SUM(BL113:BN113)</f>
        <v>76</v>
      </c>
      <c r="DE113" s="1" t="n">
        <f aca="false">L113+SUM(AE102:AE113)+BO113</f>
        <v>0</v>
      </c>
      <c r="DF113" s="69" t="n">
        <f aca="false">M113+SUM(AG102:AG113)+BQ113</f>
        <v>24</v>
      </c>
      <c r="DG113" s="69" t="e">
        <f aca="false" t="array" ref="DG113:DG113">INDEX(TblConstr[[Total Plain]:[Total Water]],ROW()-ROW(TblConstr[#headers]),MATCH("Total "&amp;home_land,TblConstr[[#Headers],[Total Plain]:[Total Water]],0))+TblConstr[[#This Row],[Homes]]</f>
        <v>#VALUE!</v>
      </c>
      <c r="DH113" s="1" t="n">
        <f aca="false">SUM(O102:O113)+AY113</f>
        <v>40</v>
      </c>
      <c r="DI113" s="1" t="n">
        <f aca="false">MAX(BA113-BA112,0)</f>
        <v>0</v>
      </c>
      <c r="DJ113" s="1" t="n">
        <f aca="false">MAX(BQ113-BQ112,0)</f>
        <v>0</v>
      </c>
    </row>
    <row r="114" customFormat="false" ht="12.75" hidden="false" customHeight="false" outlineLevel="0" collapsed="false">
      <c r="A114" s="170" t="n">
        <f aca="false">TblRezone[[#This Row],[Hour]]</f>
        <v>111</v>
      </c>
      <c r="B114" s="171" t="n">
        <f aca="false">SUM(TblConstr[[#This Row],[Plain]:[Water]])</f>
        <v>0</v>
      </c>
      <c r="C114" s="172" t="n">
        <f aca="false">SUM(TblConstr[[#This Row],[Tot Hom]:[Tot Doc]])</f>
        <v>700</v>
      </c>
      <c r="D114" s="172" t="n">
        <f aca="false">SUM(O103:AG114)</f>
        <v>0</v>
      </c>
      <c r="E114" s="173"/>
      <c r="F114" s="33" t="n">
        <f aca="false">TblConstr[[#This Row],[Barren]]+TblConstr[[#This Row],[Buildings]]+TblConstr[[#This Row],[Incoming]]</f>
        <v>700</v>
      </c>
      <c r="G114" s="199" t="n">
        <f aca="false">OFFSET(TblConstr[[#This Row],[Plain]],-1,0)+TblConstr[[#This Row],[Ch_Plain]]</f>
        <v>0</v>
      </c>
      <c r="H114" s="193" t="n">
        <f aca="false">OFFSET(TblConstr[[#This Row],[Forest]],-1,0)+TblConstr[[#This Row],[Ch_Forest]]</f>
        <v>0</v>
      </c>
      <c r="I114" s="200" t="n">
        <f aca="false">OFFSET(TblConstr[[#This Row],[Mountain]],-1,0)+TblConstr[[#This Row],[Ch_Mountain]]</f>
        <v>0</v>
      </c>
      <c r="J114" s="201" t="n">
        <f aca="false">OFFSET(TblConstr[[#This Row],[Hill]],-1,0)+TblConstr[[#This Row],[Ch_Hill]]</f>
        <v>0</v>
      </c>
      <c r="K114" s="202" t="n">
        <f aca="false">OFFSET(TblConstr[[#This Row],[Swamp]],-1,0)+TblConstr[[#This Row],[Ch_Swamp]]</f>
        <v>0</v>
      </c>
      <c r="L114" s="197" t="n">
        <f aca="false">OFFSET(TblConstr[[#This Row],[Cavern]],-1,0)+TblConstr[[#This Row],[Ch_Cavern]]</f>
        <v>0</v>
      </c>
      <c r="M114" s="198" t="n">
        <f aca="false">OFFSET(TblConstr[[#This Row],[Water]],-1,0)+TblConstr[[#This Row],[Ch_Water]]</f>
        <v>0</v>
      </c>
      <c r="N114" s="181" t="n">
        <f aca="false">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20" t="n">
        <f aca="false">TblImps[[#This Row],[Time]]</f>
        <v>45434.3333333333</v>
      </c>
      <c r="AI114" s="130" t="n">
        <f aca="false">MIN(25%,(TblConstr[[#This Row],[Tot Fac]]+TblConstr[[#This Row],[Dest Fac]])/(TblConstr[[#This Row],[Land]]-TblExplore[[#This Row],[Land Bonus]]*20))</f>
        <v>0</v>
      </c>
      <c r="AJ114" s="130" t="n">
        <f aca="false">MIN(25%,(TblConstr[[#This Row],[Tot Fac]]+TblConstr[[#This Row],[Dest Fac]])/TblConstr[[#This Row],[Land]])</f>
        <v>0</v>
      </c>
      <c r="AK114" s="69" t="n">
        <f aca="false">TblProd[[#This Row],[Platinum]]</f>
        <v>1563069</v>
      </c>
      <c r="AL114" s="69" t="n">
        <f aca="false">TblProd[[#This Row],[Lumber]]</f>
        <v>45301</v>
      </c>
      <c r="AM1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4" s="69" t="n">
        <f aca="false">ROUNDDOWN( MAX(1 - MIN(facs_constr_factor*TblConstr[[#This Row],[Facs -DB]],facs_constr_max) + tech_1_11*TblTech[[#This Row],[11-1]] + tech_6_3_2*TblTech[[#This Row],[6-3]] + tech_5_2_3*TblTech[[#This Row],[5-2]], 1-global_constr_cap) * TblConstr[[#This Row],[RCPA Lumber]],0)</f>
        <v>216</v>
      </c>
      <c r="AO1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4" s="69" t="n">
        <f aca="false">ROUNDDOWN( MAX(1 - MIN(facs_constr_factor*TblConstr[[#This Row],[Facs DB]],facs_constr_max) + tech_1_11*TblTech[[#This Row],[1-11]] + tech_6_3_2*TblTech[[#This Row],[6-3]] + tech_5_2_3*TblTech[[#This Row],[5-2]], 1-global_constr_cap) * ROUND((TblConstr[[#This Row],[Land]]-250)*0.285 + 87.5 + 0/4.25,0),0)</f>
        <v>216</v>
      </c>
      <c r="AQ114" s="1" t="n">
        <f aca="false">TblConstr[[#This Row],[build -db]]*TblConstr[[#This Row],[CPA Platinum -DB]] + TblConstr[[#This Row],[build db]]*TblConstr[[#This Row],[CPA Platinum DB]]</f>
        <v>0</v>
      </c>
      <c r="AR114" s="1" t="n">
        <f aca="false">TblConstr[[#This Row],[build -db]]*TblConstr[[#This Row],[CPA Lumber -DB]]+TblConstr[[#This Row],[build db]]*TblConstr[[#This Row],[CPA Lumber DB]]</f>
        <v>0</v>
      </c>
      <c r="AS114" s="69" t="n">
        <f aca="false">MIN(SUM(OFFSET(TblConstr[[#This Row],[Plain]:[Water]],-1,0))+SUM(TblConstr[[#This Row],[Dest Hom]:[Dest Doc]])+IF(TblConstr[[#This Row],[Hour]]&gt;12,SUM(OFFSET(TblExplore[[#This Row],[Plains Explore]:[Water Explore]],-12,0)),0),SUM(TblConstr[[#This Row],[Hom]:[Doc]]))</f>
        <v>0</v>
      </c>
      <c r="AT11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32"/>
      <c r="AV114" s="69" t="n">
        <f aca="false">ROUND((TblConstr[[#This Row],[Land]]-250 - IF(TblExplore[[#This Row],[Land Bonus]]&lt;&gt;0,20,0))*1.25 + 850 + 0,0)</f>
        <v>1413</v>
      </c>
      <c r="AW114" s="69" t="n">
        <f aca="false">ROUND((TblConstr[[#This Row],[Land]]-250 - IF(TblExplore[[#This Row],[Land Bonus]]&lt;&gt;0,20,0))*0.285 + 87.5 + 0/4.25,0)</f>
        <v>216</v>
      </c>
      <c r="AX114" s="146"/>
      <c r="AY114" s="203" t="n">
        <f aca="false" t="array" ref="AY114:AY114">IF(TblConstr[[#This Row],[Hour]:[Hour]]&gt;12,OFFSET(TblConstr[[#This Row],[Hom]],-12,0),0)+OFFSET(TblConstr[[#This Row],[Tot Hom]],-1,0)-TblConstr[[#This Row],[Dest Hom]]</f>
        <v>40</v>
      </c>
      <c r="AZ114" s="204" t="n">
        <f aca="false" t="array" ref="AZ114:AZ114">IF(TblConstr[[#This Row],[Hour]:[Hour]]&gt;12,OFFSET(TblConstr[[#This Row],[Alc]],-12,0),0)+OFFSET(TblConstr[[#This Row],[Tot Alc]],-1,0)-TblConstr[[#This Row],[Dest Alc]]</f>
        <v>275</v>
      </c>
      <c r="BA114" s="204" t="n">
        <f aca="false" t="array" ref="BA114:BA114">IF(TblConstr[[#This Row],[Hour]:[Hour]]&gt;12,OFFSET(TblConstr[[#This Row],[Far]],-12,0),0)+OFFSET(TblConstr[[#This Row],[Tot Farm]],-1,0)-TblConstr[[#This Row],[Dest Farm]]</f>
        <v>29</v>
      </c>
      <c r="BB114" s="204" t="n">
        <f aca="false" t="array" ref="BB114:BB114">IF(TblConstr[[#This Row],[Hour]:[Hour]]&gt;12,OFFSET(TblConstr[[#This Row],[Smi]],-12,0),0)+OFFSET(TblConstr[[#This Row],[Tot Smi]],-1,0)-TblConstr[[#This Row],[Dest Smi]]</f>
        <v>126</v>
      </c>
      <c r="BC114" s="204" t="n">
        <f aca="false" t="array" ref="BC114:BC114">IF(TblConstr[[#This Row],[Hour]:[Hour]]&gt;12,OFFSET(TblConstr[[#This Row],[Mas]],-12,0),0)+OFFSET(TblConstr[[#This Row],[Tot Mas]],-1,0)-TblConstr[[#This Row],[Dest Mas]]</f>
        <v>0</v>
      </c>
      <c r="BD114" s="205" t="n">
        <f aca="false" t="array" ref="BD114:BD114">IF(TblConstr[[#This Row],[Hour]:[Hour]]&gt;12,OFFSET(TblConstr[[#This Row],[Ly]],-12,0),0)+OFFSET(TblConstr[[#This Row],[Tot Ly]],-1,0)-TblConstr[[#This Row],[Dest Ly]]</f>
        <v>25</v>
      </c>
      <c r="BE114" s="205" t="n">
        <f aca="false" t="array" ref="BE114:BE114">IF(TblConstr[[#This Row],[Hour]:[Hour]]&gt;12,OFFSET(TblConstr[[#This Row],[Hav]],-12,0),0)+OFFSET(TblConstr[[#This Row],[Tot Hav]],-1,0)-TblConstr[[#This Row],[Dest Hav]]</f>
        <v>0</v>
      </c>
      <c r="BF114" s="194" t="n">
        <f aca="false" t="array" ref="BF114:BF114">IF(TblConstr[[#This Row],[Hour]:[Hour]]&gt;12,OFFSET(TblConstr[[#This Row],[OM]],-12,0),0)+OFFSET(TblConstr[[#This Row],[Tot OM]],-1,0)-TblConstr[[#This Row],[Dest OM]]</f>
        <v>0</v>
      </c>
      <c r="BG114" s="194" t="n">
        <f aca="false" t="array" ref="BG114:BG114">IF(TblConstr[[#This Row],[Hour]:[Hour]]&gt;12,OFFSET(TblConstr[[#This Row],[GN]],-12,0),0)+OFFSET(TblConstr[[#This Row],[Tot GN]],-1,0)-TblConstr[[#This Row],[Dest GN]]</f>
        <v>0</v>
      </c>
      <c r="BH114" s="206" t="n">
        <f aca="false" t="array" ref="BH114:BH114">IF(TblConstr[[#This Row],[Hour]:[Hour]]&gt;12,OFFSET(TblConstr[[#This Row],[Fac]],-12,0),0)+OFFSET(TblConstr[[#This Row],[Tot Fac]],-1,0)-TblConstr[[#This Row],[Dest Fac]]</f>
        <v>0</v>
      </c>
      <c r="BI114" s="206" t="n">
        <f aca="false" t="array" ref="BI114:BI114">IF(TblConstr[[#This Row],[Hour]:[Hour]]&gt;12,OFFSET(TblConstr[[#This Row],[GT]],-12,0),0)+OFFSET(TblConstr[[#This Row],[Tot GT]],-1,0)-TblConstr[[#This Row],[Dest GT]]</f>
        <v>55</v>
      </c>
      <c r="BJ114" s="206" t="n">
        <f aca="false" t="array" ref="BJ114:BJ114">IF(TblConstr[[#This Row],[Hour]:[Hour]]&gt;12,OFFSET(TblConstr[[#This Row],[Bar]],-12,0),0)+OFFSET(TblConstr[[#This Row],[Tot Bar]],-1,0)-TblConstr[[#This Row],[Dest Bar]]</f>
        <v>50</v>
      </c>
      <c r="BK114" s="206" t="n">
        <f aca="false" t="array" ref="BK114:BK114">IF(TblConstr[[#This Row],[Hour]:[Hour]]&gt;12,OFFSET(TblConstr[[#This Row],[Shr]],-12,0),0)+OFFSET(TblConstr[[#This Row],[Tot Shr]],-1,0)-TblConstr[[#This Row],[Dest Shr]]</f>
        <v>0</v>
      </c>
      <c r="BL114" s="207" t="n">
        <f aca="false" t="array" ref="BL114:BL114">IF(TblConstr[[#This Row],[Hour]:[Hour]]&gt;12,OFFSET(TblConstr[[#This Row],[Tow]],-12,0),0)+OFFSET(TblConstr[[#This Row],[Tot Tow]],-1,0)-TblConstr[[#This Row],[Dest Tow]]</f>
        <v>29</v>
      </c>
      <c r="BM114" s="207" t="n">
        <f aca="false" t="array" ref="BM114:BM114">IF(TblConstr[[#This Row],[Hour]:[Hour]]&gt;12,OFFSET(TblConstr[[#This Row],[Tem]],-12,0),0)+OFFSET(TblConstr[[#This Row],[Tot Tem]],-1,0)-TblConstr[[#This Row],[Dest Tem]]</f>
        <v>47</v>
      </c>
      <c r="BN114" s="207" t="n">
        <f aca="false" t="array" ref="BN114:BN114">IF(TblConstr[[#This Row],[Hour]:[Hour]]&gt;12,OFFSET(TblConstr[[#This Row],[WG]],-12,0),0)+OFFSET(TblConstr[[#This Row],[Tot WG]],-1,0)-TblConstr[[#This Row],[Dest WG]]</f>
        <v>0</v>
      </c>
      <c r="BO114" s="208" t="n">
        <f aca="false" t="array" ref="BO114:BO114">IF(TblConstr[[#This Row],[Hour]:[Hour]]&gt;12,OFFSET(TblConstr[[#This Row],[DM]],-12,0),0)+OFFSET(TblConstr[[#This Row],[Tot DM]],-1,0)-TblConstr[[#This Row],[Dest DM]]</f>
        <v>0</v>
      </c>
      <c r="BP114" s="208" t="n">
        <f aca="false" t="array" ref="BP114:BP114">IF(TblConstr[[#This Row],[Hour]:[Hour]]&gt;12,OFFSET(TblConstr[[#This Row],[Sch]],-12,0),0)+OFFSET(TblConstr[[#This Row],[Tot Sch]],-1,0)-TblConstr[[#This Row],[Dest Sch]]</f>
        <v>0</v>
      </c>
      <c r="BQ114" s="209" t="n">
        <f aca="false" t="array" ref="BQ114:BQ114">IF(TblConstr[[#This Row],[Hour]:[Hour]]&gt;12,OFFSET(TblConstr[[#This Row],[Doc]],-12,0),0)+OFFSET(TblConstr[[#This Row],[Tot Doc]],-1,0)-TblConstr[[#This Row],[Dest Doc]]</f>
        <v>24</v>
      </c>
      <c r="BR114" s="132"/>
      <c r="BS114" s="146"/>
      <c r="BT114" s="69" t="n">
        <f aca="false">TblConstr[[#This Row],[Land]]</f>
        <v>700</v>
      </c>
      <c r="BU114" s="153" t="n">
        <f aca="false">TblImps[[#This Row],[Time]]</f>
        <v>45434.3333333333</v>
      </c>
      <c r="BV114" s="132"/>
      <c r="BW114" s="182"/>
      <c r="BX114" s="152"/>
      <c r="BY114" s="182"/>
      <c r="BZ114" s="182"/>
      <c r="CA114" s="182"/>
      <c r="CB114" s="182"/>
      <c r="CC114" s="182"/>
      <c r="CD114" s="182"/>
      <c r="CE114" s="182"/>
      <c r="CF114" s="182"/>
      <c r="CG114" s="182"/>
      <c r="CH114" s="182"/>
      <c r="CI114" s="182"/>
      <c r="CJ114" s="182"/>
      <c r="CK114" s="182"/>
      <c r="CL114" s="182"/>
      <c r="CM114" s="182"/>
      <c r="CN114" s="182"/>
      <c r="CO114" s="182"/>
      <c r="CP114" s="132"/>
      <c r="CQ114" s="192" t="n">
        <f aca="false">-SUM(TblConstr[[#This Row],[Alc]:[Mas]])+SUM(TblConstr[[#This Row],[Dest Alc]:[Dest Mas]])+Rezone!L114+IF("Ch_"&amp; home_land=TblConstr[[#Headers],[Ch_Plain]],TblConstr[[#This Row],[Home Land]])+IF(TblConstr[[#This Row],[Hour]:[Hour]]&gt;12,OFFSET(TblExplore[[#This Row],[Plains Explore]],-12,0),0)</f>
        <v>0</v>
      </c>
      <c r="CR114" s="193" t="n">
        <f aca="false">-SUM(TblConstr[[#This Row],[Ly]:[Hav]])+SUM(TblConstr[[#This Row],[Dest Ly]:[Dest Hav]]) +Rezone!M114 + IF("Ch_"&amp; home_land=TblConstr[[#Headers],[Ch_Forest]],TblConstr[[#This Row],[Home Land]])+IF(TblConstr[[#This Row],[Hour]:[Hour]]&gt;12,OFFSET(TblExplore[[#This Row],[Forest Explore]],-12,0),0)</f>
        <v>0</v>
      </c>
      <c r="CS114" s="200" t="n">
        <f aca="false">-SUM(TblConstr[[#This Row],[OM]:[GN]])+SUM(TblConstr[[#This Row],[Dest OM]:[Dest GN]]) +Rezone!N114 + IF("Ch_"&amp; home_land=TblConstr[[#Headers],[Ch_Mountain]],TblConstr[[#This Row],[Home Land]])+IF(TblConstr[[#This Row],[Hour]:[Hour]]&gt;12,OFFSET(TblExplore[[#This Row],[Mountain Explore]],-12,0),0)</f>
        <v>0</v>
      </c>
      <c r="CT114" s="195" t="n">
        <f aca="false">-SUM(TblConstr[[#This Row],[Fac]:[Shr]])+SUM(TblConstr[[#This Row],[Dest Fac]:[Dest Shr]]) +Rezone!O114 + IF("Ch_" &amp; home_land=TblConstr[[#Headers],[Ch_Hill]],TblConstr[[#This Row],[Home Land]])+IF(TblConstr[[#This Row],[Hour]:[Hour]]&gt;12,OFFSET(TblExplore[[#This Row],[Hill Explore]],-12,0),0)</f>
        <v>0</v>
      </c>
      <c r="CU114" s="196" t="n">
        <f aca="false">-SUM(TblConstr[[#This Row],[Tow]:[WG]])+SUM(TblConstr[[#This Row],[Dest Tow]:[Dest WG]]) +Rezone!P114 + IF("Ch_" &amp; home_land=TblConstr[[#Headers],[Ch_Swamp]],TblConstr[[#This Row],[Home Land]])+IF(TblConstr[[#This Row],[Hour]:[Hour]]&gt;12,OFFSET(TblExplore[[#This Row],[Swamp Explore]],-12,0),0)</f>
        <v>0</v>
      </c>
      <c r="CV114" s="197" t="n">
        <f aca="false">- SUM(TblConstr[[#This Row],[DM]:[Sch]])+SUM(TblConstr[[#This Row],[Dest DM]:[Dest Sch]]) +Rezone!Q114 + IF("Ch_" &amp; home_land=TblConstr[[#Headers],[Ch_Cavern]],TblConstr[[#This Row],[Home Land]])+IF(TblConstr[[#This Row],[Hour]:[Hour]]&gt;12,OFFSET(TblExplore[[#This Row],[Cavern Explore]],-12,0),0)</f>
        <v>0</v>
      </c>
      <c r="CW114" s="198" t="n">
        <f aca="false">-TblConstr[[#This Row],[Doc]]+TblConstr[[#This Row],[Dest Doc]] +Rezone!R114 + IF("Ch_" &amp; home_land=TblConstr[[#Headers],[Ch_Water]],TblConstr[[#This Row],[Home Land]])+IF(TblConstr[[#This Row],[Hour]:[Hour]]&gt;12,OFFSET(TblExplore[[#This Row],[Water Explore]],-12,0),0)</f>
        <v>0</v>
      </c>
      <c r="CX114" s="1" t="n">
        <f aca="false">IF(Explore!S114=1,20) - TblConstr[[#This Row],[Hom]] + TblConstr[[#This Row],[Dest Hom]]</f>
        <v>0</v>
      </c>
      <c r="CY114" s="132"/>
      <c r="CZ114" s="69" t="n">
        <f aca="false">G114+SUM(P103:S114)+SUM(AZ114:BC114)</f>
        <v>430</v>
      </c>
      <c r="DA114" s="69" t="n">
        <f aca="false">H114+SUM(T103:U114)+SUM(BD114:BE114)</f>
        <v>25</v>
      </c>
      <c r="DB114" s="1" t="n">
        <f aca="false">I114+SUM(V103:W114)+SUM(BF114:BG114)</f>
        <v>0</v>
      </c>
      <c r="DC114" s="69" t="n">
        <f aca="false">J114+SUM(X103:Y114)+SUM(BH114:BI114)</f>
        <v>55</v>
      </c>
      <c r="DD114" s="69" t="n">
        <f aca="false">K114+SUM(AB103:AD114)+SUM(BL114:BN114)</f>
        <v>76</v>
      </c>
      <c r="DE114" s="1" t="n">
        <f aca="false">L114+SUM(AE103:AE114)+BO114</f>
        <v>0</v>
      </c>
      <c r="DF114" s="69" t="n">
        <f aca="false">M114+SUM(AG103:AG114)+BQ114</f>
        <v>24</v>
      </c>
      <c r="DG114" s="69" t="e">
        <f aca="false" t="array" ref="DG114:DG114">INDEX(TblConstr[[Total Plain]:[Total Water]],ROW()-ROW(TblConstr[#headers]),MATCH("Total "&amp;home_land,TblConstr[[#Headers],[Total Plain]:[Total Water]],0))+TblConstr[[#This Row],[Homes]]</f>
        <v>#VALUE!</v>
      </c>
      <c r="DH114" s="1" t="n">
        <f aca="false">SUM(O103:O114)+AY114</f>
        <v>40</v>
      </c>
      <c r="DI114" s="1" t="n">
        <f aca="false">MAX(BA114-BA113,0)</f>
        <v>0</v>
      </c>
      <c r="DJ114" s="1" t="n">
        <f aca="false">MAX(BQ114-BQ113,0)</f>
        <v>0</v>
      </c>
    </row>
    <row r="115" customFormat="false" ht="12.75" hidden="false" customHeight="false" outlineLevel="0" collapsed="false">
      <c r="A115" s="170" t="n">
        <f aca="false">TblRezone[[#This Row],[Hour]]</f>
        <v>112</v>
      </c>
      <c r="B115" s="171" t="n">
        <f aca="false">SUM(TblConstr[[#This Row],[Plain]:[Water]])</f>
        <v>0</v>
      </c>
      <c r="C115" s="172" t="n">
        <f aca="false">SUM(TblConstr[[#This Row],[Tot Hom]:[Tot Doc]])</f>
        <v>700</v>
      </c>
      <c r="D115" s="172" t="n">
        <f aca="false">SUM(O104:AG115)</f>
        <v>0</v>
      </c>
      <c r="E115" s="173"/>
      <c r="F115" s="33" t="n">
        <f aca="false">TblConstr[[#This Row],[Barren]]+TblConstr[[#This Row],[Buildings]]+TblConstr[[#This Row],[Incoming]]</f>
        <v>700</v>
      </c>
      <c r="G115" s="199" t="n">
        <f aca="false">OFFSET(TblConstr[[#This Row],[Plain]],-1,0)+TblConstr[[#This Row],[Ch_Plain]]</f>
        <v>0</v>
      </c>
      <c r="H115" s="193" t="n">
        <f aca="false">OFFSET(TblConstr[[#This Row],[Forest]],-1,0)+TblConstr[[#This Row],[Ch_Forest]]</f>
        <v>0</v>
      </c>
      <c r="I115" s="200" t="n">
        <f aca="false">OFFSET(TblConstr[[#This Row],[Mountain]],-1,0)+TblConstr[[#This Row],[Ch_Mountain]]</f>
        <v>0</v>
      </c>
      <c r="J115" s="201" t="n">
        <f aca="false">OFFSET(TblConstr[[#This Row],[Hill]],-1,0)+TblConstr[[#This Row],[Ch_Hill]]</f>
        <v>0</v>
      </c>
      <c r="K115" s="202" t="n">
        <f aca="false">OFFSET(TblConstr[[#This Row],[Swamp]],-1,0)+TblConstr[[#This Row],[Ch_Swamp]]</f>
        <v>0</v>
      </c>
      <c r="L115" s="197" t="n">
        <f aca="false">OFFSET(TblConstr[[#This Row],[Cavern]],-1,0)+TblConstr[[#This Row],[Ch_Cavern]]</f>
        <v>0</v>
      </c>
      <c r="M115" s="198" t="n">
        <f aca="false">OFFSET(TblConstr[[#This Row],[Water]],-1,0)+TblConstr[[#This Row],[Ch_Water]]</f>
        <v>0</v>
      </c>
      <c r="N115" s="181" t="n">
        <f aca="false">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20" t="n">
        <f aca="false">TblImps[[#This Row],[Time]]</f>
        <v>45434.375</v>
      </c>
      <c r="AI115" s="130" t="n">
        <f aca="false">MIN(25%,(TblConstr[[#This Row],[Tot Fac]]+TblConstr[[#This Row],[Dest Fac]])/(TblConstr[[#This Row],[Land]]-TblExplore[[#This Row],[Land Bonus]]*20))</f>
        <v>0</v>
      </c>
      <c r="AJ115" s="130" t="n">
        <f aca="false">MIN(25%,(TblConstr[[#This Row],[Tot Fac]]+TblConstr[[#This Row],[Dest Fac]])/TblConstr[[#This Row],[Land]])</f>
        <v>0</v>
      </c>
      <c r="AK115" s="69" t="n">
        <f aca="false">TblProd[[#This Row],[Platinum]]</f>
        <v>1593898</v>
      </c>
      <c r="AL115" s="69" t="n">
        <f aca="false">TblProd[[#This Row],[Lumber]]</f>
        <v>45973</v>
      </c>
      <c r="AM1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5" s="69" t="n">
        <f aca="false">ROUNDDOWN( MAX(1 - MIN(facs_constr_factor*TblConstr[[#This Row],[Facs -DB]],facs_constr_max) + tech_1_11*TblTech[[#This Row],[11-1]] + tech_6_3_2*TblTech[[#This Row],[6-3]] + tech_5_2_3*TblTech[[#This Row],[5-2]], 1-global_constr_cap) * TblConstr[[#This Row],[RCPA Lumber]],0)</f>
        <v>216</v>
      </c>
      <c r="AO1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5" s="69" t="n">
        <f aca="false">ROUNDDOWN( MAX(1 - MIN(facs_constr_factor*TblConstr[[#This Row],[Facs DB]],facs_constr_max) + tech_1_11*TblTech[[#This Row],[1-11]] + tech_6_3_2*TblTech[[#This Row],[6-3]] + tech_5_2_3*TblTech[[#This Row],[5-2]], 1-global_constr_cap) * ROUND((TblConstr[[#This Row],[Land]]-250)*0.285 + 87.5 + 0/4.25,0),0)</f>
        <v>216</v>
      </c>
      <c r="AQ115" s="1" t="n">
        <f aca="false">TblConstr[[#This Row],[build -db]]*TblConstr[[#This Row],[CPA Platinum -DB]] + TblConstr[[#This Row],[build db]]*TblConstr[[#This Row],[CPA Platinum DB]]</f>
        <v>0</v>
      </c>
      <c r="AR115" s="1" t="n">
        <f aca="false">TblConstr[[#This Row],[build -db]]*TblConstr[[#This Row],[CPA Lumber -DB]]+TblConstr[[#This Row],[build db]]*TblConstr[[#This Row],[CPA Lumber DB]]</f>
        <v>0</v>
      </c>
      <c r="AS115" s="69" t="n">
        <f aca="false">MIN(SUM(OFFSET(TblConstr[[#This Row],[Plain]:[Water]],-1,0))+SUM(TblConstr[[#This Row],[Dest Hom]:[Dest Doc]])+IF(TblConstr[[#This Row],[Hour]]&gt;12,SUM(OFFSET(TblExplore[[#This Row],[Plains Explore]:[Water Explore]],-12,0)),0),SUM(TblConstr[[#This Row],[Hom]:[Doc]]))</f>
        <v>0</v>
      </c>
      <c r="AT11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32"/>
      <c r="AV115" s="69" t="n">
        <f aca="false">ROUND((TblConstr[[#This Row],[Land]]-250 - IF(TblExplore[[#This Row],[Land Bonus]]&lt;&gt;0,20,0))*1.25 + 850 + 0,0)</f>
        <v>1413</v>
      </c>
      <c r="AW115" s="69" t="n">
        <f aca="false">ROUND((TblConstr[[#This Row],[Land]]-250 - IF(TblExplore[[#This Row],[Land Bonus]]&lt;&gt;0,20,0))*0.285 + 87.5 + 0/4.25,0)</f>
        <v>216</v>
      </c>
      <c r="AX115" s="146"/>
      <c r="AY115" s="203" t="n">
        <f aca="false" t="array" ref="AY115:AY115">IF(TblConstr[[#This Row],[Hour]:[Hour]]&gt;12,OFFSET(TblConstr[[#This Row],[Hom]],-12,0),0)+OFFSET(TblConstr[[#This Row],[Tot Hom]],-1,0)-TblConstr[[#This Row],[Dest Hom]]</f>
        <v>40</v>
      </c>
      <c r="AZ115" s="204" t="n">
        <f aca="false" t="array" ref="AZ115:AZ115">IF(TblConstr[[#This Row],[Hour]:[Hour]]&gt;12,OFFSET(TblConstr[[#This Row],[Alc]],-12,0),0)+OFFSET(TblConstr[[#This Row],[Tot Alc]],-1,0)-TblConstr[[#This Row],[Dest Alc]]</f>
        <v>275</v>
      </c>
      <c r="BA115" s="204" t="n">
        <f aca="false" t="array" ref="BA115:BA115">IF(TblConstr[[#This Row],[Hour]:[Hour]]&gt;12,OFFSET(TblConstr[[#This Row],[Far]],-12,0),0)+OFFSET(TblConstr[[#This Row],[Tot Farm]],-1,0)-TblConstr[[#This Row],[Dest Farm]]</f>
        <v>29</v>
      </c>
      <c r="BB115" s="204" t="n">
        <f aca="false" t="array" ref="BB115:BB115">IF(TblConstr[[#This Row],[Hour]:[Hour]]&gt;12,OFFSET(TblConstr[[#This Row],[Smi]],-12,0),0)+OFFSET(TblConstr[[#This Row],[Tot Smi]],-1,0)-TblConstr[[#This Row],[Dest Smi]]</f>
        <v>126</v>
      </c>
      <c r="BC115" s="204" t="n">
        <f aca="false" t="array" ref="BC115:BC115">IF(TblConstr[[#This Row],[Hour]:[Hour]]&gt;12,OFFSET(TblConstr[[#This Row],[Mas]],-12,0),0)+OFFSET(TblConstr[[#This Row],[Tot Mas]],-1,0)-TblConstr[[#This Row],[Dest Mas]]</f>
        <v>0</v>
      </c>
      <c r="BD115" s="205" t="n">
        <f aca="false" t="array" ref="BD115:BD115">IF(TblConstr[[#This Row],[Hour]:[Hour]]&gt;12,OFFSET(TblConstr[[#This Row],[Ly]],-12,0),0)+OFFSET(TblConstr[[#This Row],[Tot Ly]],-1,0)-TblConstr[[#This Row],[Dest Ly]]</f>
        <v>25</v>
      </c>
      <c r="BE115" s="205" t="n">
        <f aca="false" t="array" ref="BE115:BE115">IF(TblConstr[[#This Row],[Hour]:[Hour]]&gt;12,OFFSET(TblConstr[[#This Row],[Hav]],-12,0),0)+OFFSET(TblConstr[[#This Row],[Tot Hav]],-1,0)-TblConstr[[#This Row],[Dest Hav]]</f>
        <v>0</v>
      </c>
      <c r="BF115" s="194" t="n">
        <f aca="false" t="array" ref="BF115:BF115">IF(TblConstr[[#This Row],[Hour]:[Hour]]&gt;12,OFFSET(TblConstr[[#This Row],[OM]],-12,0),0)+OFFSET(TblConstr[[#This Row],[Tot OM]],-1,0)-TblConstr[[#This Row],[Dest OM]]</f>
        <v>0</v>
      </c>
      <c r="BG115" s="194" t="n">
        <f aca="false" t="array" ref="BG115:BG115">IF(TblConstr[[#This Row],[Hour]:[Hour]]&gt;12,OFFSET(TblConstr[[#This Row],[GN]],-12,0),0)+OFFSET(TblConstr[[#This Row],[Tot GN]],-1,0)-TblConstr[[#This Row],[Dest GN]]</f>
        <v>0</v>
      </c>
      <c r="BH115" s="206" t="n">
        <f aca="false" t="array" ref="BH115:BH115">IF(TblConstr[[#This Row],[Hour]:[Hour]]&gt;12,OFFSET(TblConstr[[#This Row],[Fac]],-12,0),0)+OFFSET(TblConstr[[#This Row],[Tot Fac]],-1,0)-TblConstr[[#This Row],[Dest Fac]]</f>
        <v>0</v>
      </c>
      <c r="BI115" s="206" t="n">
        <f aca="false" t="array" ref="BI115:BI115">IF(TblConstr[[#This Row],[Hour]:[Hour]]&gt;12,OFFSET(TblConstr[[#This Row],[GT]],-12,0),0)+OFFSET(TblConstr[[#This Row],[Tot GT]],-1,0)-TblConstr[[#This Row],[Dest GT]]</f>
        <v>55</v>
      </c>
      <c r="BJ115" s="206" t="n">
        <f aca="false" t="array" ref="BJ115:BJ115">IF(TblConstr[[#This Row],[Hour]:[Hour]]&gt;12,OFFSET(TblConstr[[#This Row],[Bar]],-12,0),0)+OFFSET(TblConstr[[#This Row],[Tot Bar]],-1,0)-TblConstr[[#This Row],[Dest Bar]]</f>
        <v>50</v>
      </c>
      <c r="BK115" s="206" t="n">
        <f aca="false" t="array" ref="BK115:BK115">IF(TblConstr[[#This Row],[Hour]:[Hour]]&gt;12,OFFSET(TblConstr[[#This Row],[Shr]],-12,0),0)+OFFSET(TblConstr[[#This Row],[Tot Shr]],-1,0)-TblConstr[[#This Row],[Dest Shr]]</f>
        <v>0</v>
      </c>
      <c r="BL115" s="207" t="n">
        <f aca="false" t="array" ref="BL115:BL115">IF(TblConstr[[#This Row],[Hour]:[Hour]]&gt;12,OFFSET(TblConstr[[#This Row],[Tow]],-12,0),0)+OFFSET(TblConstr[[#This Row],[Tot Tow]],-1,0)-TblConstr[[#This Row],[Dest Tow]]</f>
        <v>29</v>
      </c>
      <c r="BM115" s="207" t="n">
        <f aca="false" t="array" ref="BM115:BM115">IF(TblConstr[[#This Row],[Hour]:[Hour]]&gt;12,OFFSET(TblConstr[[#This Row],[Tem]],-12,0),0)+OFFSET(TblConstr[[#This Row],[Tot Tem]],-1,0)-TblConstr[[#This Row],[Dest Tem]]</f>
        <v>47</v>
      </c>
      <c r="BN115" s="207" t="n">
        <f aca="false" t="array" ref="BN115:BN115">IF(TblConstr[[#This Row],[Hour]:[Hour]]&gt;12,OFFSET(TblConstr[[#This Row],[WG]],-12,0),0)+OFFSET(TblConstr[[#This Row],[Tot WG]],-1,0)-TblConstr[[#This Row],[Dest WG]]</f>
        <v>0</v>
      </c>
      <c r="BO115" s="208" t="n">
        <f aca="false" t="array" ref="BO115:BO115">IF(TblConstr[[#This Row],[Hour]:[Hour]]&gt;12,OFFSET(TblConstr[[#This Row],[DM]],-12,0),0)+OFFSET(TblConstr[[#This Row],[Tot DM]],-1,0)-TblConstr[[#This Row],[Dest DM]]</f>
        <v>0</v>
      </c>
      <c r="BP115" s="208" t="n">
        <f aca="false" t="array" ref="BP115:BP115">IF(TblConstr[[#This Row],[Hour]:[Hour]]&gt;12,OFFSET(TblConstr[[#This Row],[Sch]],-12,0),0)+OFFSET(TblConstr[[#This Row],[Tot Sch]],-1,0)-TblConstr[[#This Row],[Dest Sch]]</f>
        <v>0</v>
      </c>
      <c r="BQ115" s="209" t="n">
        <f aca="false" t="array" ref="BQ115:BQ115">IF(TblConstr[[#This Row],[Hour]:[Hour]]&gt;12,OFFSET(TblConstr[[#This Row],[Doc]],-12,0),0)+OFFSET(TblConstr[[#This Row],[Tot Doc]],-1,0)-TblConstr[[#This Row],[Dest Doc]]</f>
        <v>24</v>
      </c>
      <c r="BR115" s="132"/>
      <c r="BS115" s="146"/>
      <c r="BT115" s="69" t="n">
        <f aca="false">TblConstr[[#This Row],[Land]]</f>
        <v>700</v>
      </c>
      <c r="BU115" s="153" t="n">
        <f aca="false">TblImps[[#This Row],[Time]]</f>
        <v>45434.375</v>
      </c>
      <c r="BV115" s="132"/>
      <c r="BW115" s="182"/>
      <c r="BX115" s="182"/>
      <c r="BY115" s="182"/>
      <c r="BZ115" s="182"/>
      <c r="CA115" s="182"/>
      <c r="CB115" s="182"/>
      <c r="CC115" s="182"/>
      <c r="CD115" s="182"/>
      <c r="CE115" s="182"/>
      <c r="CF115" s="182"/>
      <c r="CG115" s="182"/>
      <c r="CH115" s="182"/>
      <c r="CI115" s="182"/>
      <c r="CJ115" s="182"/>
      <c r="CK115" s="182"/>
      <c r="CL115" s="182"/>
      <c r="CM115" s="182"/>
      <c r="CN115" s="182"/>
      <c r="CO115" s="182"/>
      <c r="CP115" s="132"/>
      <c r="CQ115" s="192" t="n">
        <f aca="false">-SUM(TblConstr[[#This Row],[Alc]:[Mas]])+SUM(TblConstr[[#This Row],[Dest Alc]:[Dest Mas]])+Rezone!L115+IF("Ch_"&amp; home_land=TblConstr[[#Headers],[Ch_Plain]],TblConstr[[#This Row],[Home Land]])+IF(TblConstr[[#This Row],[Hour]:[Hour]]&gt;12,OFFSET(TblExplore[[#This Row],[Plains Explore]],-12,0),0)</f>
        <v>0</v>
      </c>
      <c r="CR115" s="193" t="n">
        <f aca="false">-SUM(TblConstr[[#This Row],[Ly]:[Hav]])+SUM(TblConstr[[#This Row],[Dest Ly]:[Dest Hav]]) +Rezone!M115 + IF("Ch_"&amp; home_land=TblConstr[[#Headers],[Ch_Forest]],TblConstr[[#This Row],[Home Land]])+IF(TblConstr[[#This Row],[Hour]:[Hour]]&gt;12,OFFSET(TblExplore[[#This Row],[Forest Explore]],-12,0),0)</f>
        <v>0</v>
      </c>
      <c r="CS115" s="200" t="n">
        <f aca="false">-SUM(TblConstr[[#This Row],[OM]:[GN]])+SUM(TblConstr[[#This Row],[Dest OM]:[Dest GN]]) +Rezone!N115 + IF("Ch_"&amp; home_land=TblConstr[[#Headers],[Ch_Mountain]],TblConstr[[#This Row],[Home Land]])+IF(TblConstr[[#This Row],[Hour]:[Hour]]&gt;12,OFFSET(TblExplore[[#This Row],[Mountain Explore]],-12,0),0)</f>
        <v>0</v>
      </c>
      <c r="CT115" s="195" t="n">
        <f aca="false">-SUM(TblConstr[[#This Row],[Fac]:[Shr]])+SUM(TblConstr[[#This Row],[Dest Fac]:[Dest Shr]]) +Rezone!O115 + IF("Ch_" &amp; home_land=TblConstr[[#Headers],[Ch_Hill]],TblConstr[[#This Row],[Home Land]])+IF(TblConstr[[#This Row],[Hour]:[Hour]]&gt;12,OFFSET(TblExplore[[#This Row],[Hill Explore]],-12,0),0)</f>
        <v>0</v>
      </c>
      <c r="CU115" s="196" t="n">
        <f aca="false">-SUM(TblConstr[[#This Row],[Tow]:[WG]])+SUM(TblConstr[[#This Row],[Dest Tow]:[Dest WG]]) +Rezone!P115 + IF("Ch_" &amp; home_land=TblConstr[[#Headers],[Ch_Swamp]],TblConstr[[#This Row],[Home Land]])+IF(TblConstr[[#This Row],[Hour]:[Hour]]&gt;12,OFFSET(TblExplore[[#This Row],[Swamp Explore]],-12,0),0)</f>
        <v>0</v>
      </c>
      <c r="CV115" s="197" t="n">
        <f aca="false">- SUM(TblConstr[[#This Row],[DM]:[Sch]])+SUM(TblConstr[[#This Row],[Dest DM]:[Dest Sch]]) +Rezone!Q115 + IF("Ch_" &amp; home_land=TblConstr[[#Headers],[Ch_Cavern]],TblConstr[[#This Row],[Home Land]])+IF(TblConstr[[#This Row],[Hour]:[Hour]]&gt;12,OFFSET(TblExplore[[#This Row],[Cavern Explore]],-12,0),0)</f>
        <v>0</v>
      </c>
      <c r="CW115" s="198" t="n">
        <f aca="false">-TblConstr[[#This Row],[Doc]]+TblConstr[[#This Row],[Dest Doc]] +Rezone!R115 + IF("Ch_" &amp; home_land=TblConstr[[#Headers],[Ch_Water]],TblConstr[[#This Row],[Home Land]])+IF(TblConstr[[#This Row],[Hour]:[Hour]]&gt;12,OFFSET(TblExplore[[#This Row],[Water Explore]],-12,0),0)</f>
        <v>0</v>
      </c>
      <c r="CX115" s="1" t="n">
        <f aca="false">IF(Explore!S115=1,20) - TblConstr[[#This Row],[Hom]] + TblConstr[[#This Row],[Dest Hom]]</f>
        <v>0</v>
      </c>
      <c r="CY115" s="132"/>
      <c r="CZ115" s="69" t="n">
        <f aca="false">G115+SUM(P104:S115)+SUM(AZ115:BC115)</f>
        <v>430</v>
      </c>
      <c r="DA115" s="69" t="n">
        <f aca="false">H115+SUM(T104:U115)+SUM(BD115:BE115)</f>
        <v>25</v>
      </c>
      <c r="DB115" s="1" t="n">
        <f aca="false">I115+SUM(V104:W115)+SUM(BF115:BG115)</f>
        <v>0</v>
      </c>
      <c r="DC115" s="69" t="n">
        <f aca="false">J115+SUM(X104:Y115)+SUM(BH115:BI115)</f>
        <v>55</v>
      </c>
      <c r="DD115" s="69" t="n">
        <f aca="false">K115+SUM(AB104:AD115)+SUM(BL115:BN115)</f>
        <v>76</v>
      </c>
      <c r="DE115" s="1" t="n">
        <f aca="false">L115+SUM(AE104:AE115)+BO115</f>
        <v>0</v>
      </c>
      <c r="DF115" s="69" t="n">
        <f aca="false">M115+SUM(AG104:AG115)+BQ115</f>
        <v>24</v>
      </c>
      <c r="DG115" s="69" t="e">
        <f aca="false" t="array" ref="DG115:DG115">INDEX(TblConstr[[Total Plain]:[Total Water]],ROW()-ROW(TblConstr[#headers]),MATCH("Total "&amp;home_land,TblConstr[[#Headers],[Total Plain]:[Total Water]],0))+TblConstr[[#This Row],[Homes]]</f>
        <v>#VALUE!</v>
      </c>
      <c r="DH115" s="1" t="n">
        <f aca="false">SUM(O104:O115)+AY115</f>
        <v>40</v>
      </c>
      <c r="DI115" s="1" t="n">
        <f aca="false">MAX(BA115-BA114,0)</f>
        <v>0</v>
      </c>
      <c r="DJ115" s="1" t="n">
        <f aca="false">MAX(BQ115-BQ114,0)</f>
        <v>0</v>
      </c>
    </row>
    <row r="116" customFormat="false" ht="12.75" hidden="false" customHeight="false" outlineLevel="0" collapsed="false">
      <c r="A116" s="170" t="n">
        <f aca="false">TblRezone[[#This Row],[Hour]]</f>
        <v>113</v>
      </c>
      <c r="B116" s="171" t="n">
        <f aca="false">SUM(TblConstr[[#This Row],[Plain]:[Water]])</f>
        <v>0</v>
      </c>
      <c r="C116" s="172" t="n">
        <f aca="false">SUM(TblConstr[[#This Row],[Tot Hom]:[Tot Doc]])</f>
        <v>700</v>
      </c>
      <c r="D116" s="172" t="n">
        <f aca="false">SUM(O105:AG116)</f>
        <v>0</v>
      </c>
      <c r="E116" s="173"/>
      <c r="F116" s="33" t="n">
        <f aca="false">TblConstr[[#This Row],[Barren]]+TblConstr[[#This Row],[Buildings]]+TblConstr[[#This Row],[Incoming]]</f>
        <v>700</v>
      </c>
      <c r="G116" s="199" t="n">
        <f aca="false">OFFSET(TblConstr[[#This Row],[Plain]],-1,0)+TblConstr[[#This Row],[Ch_Plain]]</f>
        <v>0</v>
      </c>
      <c r="H116" s="193" t="n">
        <f aca="false">OFFSET(TblConstr[[#This Row],[Forest]],-1,0)+TblConstr[[#This Row],[Ch_Forest]]</f>
        <v>0</v>
      </c>
      <c r="I116" s="200" t="n">
        <f aca="false">OFFSET(TblConstr[[#This Row],[Mountain]],-1,0)+TblConstr[[#This Row],[Ch_Mountain]]</f>
        <v>0</v>
      </c>
      <c r="J116" s="201" t="n">
        <f aca="false">OFFSET(TblConstr[[#This Row],[Hill]],-1,0)+TblConstr[[#This Row],[Ch_Hill]]</f>
        <v>0</v>
      </c>
      <c r="K116" s="202" t="n">
        <f aca="false">OFFSET(TblConstr[[#This Row],[Swamp]],-1,0)+TblConstr[[#This Row],[Ch_Swamp]]</f>
        <v>0</v>
      </c>
      <c r="L116" s="197" t="n">
        <f aca="false">OFFSET(TblConstr[[#This Row],[Cavern]],-1,0)+TblConstr[[#This Row],[Ch_Cavern]]</f>
        <v>0</v>
      </c>
      <c r="M116" s="198" t="n">
        <f aca="false">OFFSET(TblConstr[[#This Row],[Water]],-1,0)+TblConstr[[#This Row],[Ch_Water]]</f>
        <v>0</v>
      </c>
      <c r="N116" s="181" t="n">
        <f aca="false">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20" t="n">
        <f aca="false">TblImps[[#This Row],[Time]]</f>
        <v>45434.4166666667</v>
      </c>
      <c r="AI116" s="130" t="n">
        <f aca="false">MIN(25%,(TblConstr[[#This Row],[Tot Fac]]+TblConstr[[#This Row],[Dest Fac]])/(TblConstr[[#This Row],[Land]]-TblExplore[[#This Row],[Land Bonus]]*20))</f>
        <v>0</v>
      </c>
      <c r="AJ116" s="130" t="n">
        <f aca="false">MIN(25%,(TblConstr[[#This Row],[Tot Fac]]+TblConstr[[#This Row],[Dest Fac]])/TblConstr[[#This Row],[Land]])</f>
        <v>0</v>
      </c>
      <c r="AK116" s="69" t="n">
        <f aca="false">TblProd[[#This Row],[Platinum]]</f>
        <v>1624543</v>
      </c>
      <c r="AL116" s="69" t="n">
        <f aca="false">TblProd[[#This Row],[Lumber]]</f>
        <v>46638</v>
      </c>
      <c r="AM1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6" s="69" t="n">
        <f aca="false">ROUNDDOWN( MAX(1 - MIN(facs_constr_factor*TblConstr[[#This Row],[Facs -DB]],facs_constr_max) + tech_1_11*TblTech[[#This Row],[11-1]] + tech_6_3_2*TblTech[[#This Row],[6-3]] + tech_5_2_3*TblTech[[#This Row],[5-2]], 1-global_constr_cap) * TblConstr[[#This Row],[RCPA Lumber]],0)</f>
        <v>216</v>
      </c>
      <c r="AO1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6" s="69" t="n">
        <f aca="false">ROUNDDOWN( MAX(1 - MIN(facs_constr_factor*TblConstr[[#This Row],[Facs DB]],facs_constr_max) + tech_1_11*TblTech[[#This Row],[1-11]] + tech_6_3_2*TblTech[[#This Row],[6-3]] + tech_5_2_3*TblTech[[#This Row],[5-2]], 1-global_constr_cap) * ROUND((TblConstr[[#This Row],[Land]]-250)*0.285 + 87.5 + 0/4.25,0),0)</f>
        <v>216</v>
      </c>
      <c r="AQ116" s="1" t="n">
        <f aca="false">TblConstr[[#This Row],[build -db]]*TblConstr[[#This Row],[CPA Platinum -DB]] + TblConstr[[#This Row],[build db]]*TblConstr[[#This Row],[CPA Platinum DB]]</f>
        <v>0</v>
      </c>
      <c r="AR116" s="1" t="n">
        <f aca="false">TblConstr[[#This Row],[build -db]]*TblConstr[[#This Row],[CPA Lumber -DB]]+TblConstr[[#This Row],[build db]]*TblConstr[[#This Row],[CPA Lumber DB]]</f>
        <v>0</v>
      </c>
      <c r="AS116" s="69" t="n">
        <f aca="false">MIN(SUM(OFFSET(TblConstr[[#This Row],[Plain]:[Water]],-1,0))+SUM(TblConstr[[#This Row],[Dest Hom]:[Dest Doc]])+IF(TblConstr[[#This Row],[Hour]]&gt;12,SUM(OFFSET(TblExplore[[#This Row],[Plains Explore]:[Water Explore]],-12,0)),0),SUM(TblConstr[[#This Row],[Hom]:[Doc]]))</f>
        <v>0</v>
      </c>
      <c r="AT11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32"/>
      <c r="AV116" s="69" t="n">
        <f aca="false">ROUND((TblConstr[[#This Row],[Land]]-250 - IF(TblExplore[[#This Row],[Land Bonus]]&lt;&gt;0,20,0))*1.25 + 850 + 0,0)</f>
        <v>1413</v>
      </c>
      <c r="AW116" s="69" t="n">
        <f aca="false">ROUND((TblConstr[[#This Row],[Land]]-250 - IF(TblExplore[[#This Row],[Land Bonus]]&lt;&gt;0,20,0))*0.285 + 87.5 + 0/4.25,0)</f>
        <v>216</v>
      </c>
      <c r="AX116" s="146"/>
      <c r="AY116" s="203" t="n">
        <f aca="false" t="array" ref="AY116:AY116">IF(TblConstr[[#This Row],[Hour]:[Hour]]&gt;12,OFFSET(TblConstr[[#This Row],[Hom]],-12,0),0)+OFFSET(TblConstr[[#This Row],[Tot Hom]],-1,0)-TblConstr[[#This Row],[Dest Hom]]</f>
        <v>40</v>
      </c>
      <c r="AZ116" s="204" t="n">
        <f aca="false" t="array" ref="AZ116:AZ116">IF(TblConstr[[#This Row],[Hour]:[Hour]]&gt;12,OFFSET(TblConstr[[#This Row],[Alc]],-12,0),0)+OFFSET(TblConstr[[#This Row],[Tot Alc]],-1,0)-TblConstr[[#This Row],[Dest Alc]]</f>
        <v>275</v>
      </c>
      <c r="BA116" s="204" t="n">
        <f aca="false" t="array" ref="BA116:BA116">IF(TblConstr[[#This Row],[Hour]:[Hour]]&gt;12,OFFSET(TblConstr[[#This Row],[Far]],-12,0),0)+OFFSET(TblConstr[[#This Row],[Tot Farm]],-1,0)-TblConstr[[#This Row],[Dest Farm]]</f>
        <v>29</v>
      </c>
      <c r="BB116" s="204" t="n">
        <f aca="false" t="array" ref="BB116:BB116">IF(TblConstr[[#This Row],[Hour]:[Hour]]&gt;12,OFFSET(TblConstr[[#This Row],[Smi]],-12,0),0)+OFFSET(TblConstr[[#This Row],[Tot Smi]],-1,0)-TblConstr[[#This Row],[Dest Smi]]</f>
        <v>126</v>
      </c>
      <c r="BC116" s="204" t="n">
        <f aca="false" t="array" ref="BC116:BC116">IF(TblConstr[[#This Row],[Hour]:[Hour]]&gt;12,OFFSET(TblConstr[[#This Row],[Mas]],-12,0),0)+OFFSET(TblConstr[[#This Row],[Tot Mas]],-1,0)-TblConstr[[#This Row],[Dest Mas]]</f>
        <v>0</v>
      </c>
      <c r="BD116" s="205" t="n">
        <f aca="false" t="array" ref="BD116:BD116">IF(TblConstr[[#This Row],[Hour]:[Hour]]&gt;12,OFFSET(TblConstr[[#This Row],[Ly]],-12,0),0)+OFFSET(TblConstr[[#This Row],[Tot Ly]],-1,0)-TblConstr[[#This Row],[Dest Ly]]</f>
        <v>25</v>
      </c>
      <c r="BE116" s="205" t="n">
        <f aca="false" t="array" ref="BE116:BE116">IF(TblConstr[[#This Row],[Hour]:[Hour]]&gt;12,OFFSET(TblConstr[[#This Row],[Hav]],-12,0),0)+OFFSET(TblConstr[[#This Row],[Tot Hav]],-1,0)-TblConstr[[#This Row],[Dest Hav]]</f>
        <v>0</v>
      </c>
      <c r="BF116" s="194" t="n">
        <f aca="false" t="array" ref="BF116:BF116">IF(TblConstr[[#This Row],[Hour]:[Hour]]&gt;12,OFFSET(TblConstr[[#This Row],[OM]],-12,0),0)+OFFSET(TblConstr[[#This Row],[Tot OM]],-1,0)-TblConstr[[#This Row],[Dest OM]]</f>
        <v>0</v>
      </c>
      <c r="BG116" s="194" t="n">
        <f aca="false" t="array" ref="BG116:BG116">IF(TblConstr[[#This Row],[Hour]:[Hour]]&gt;12,OFFSET(TblConstr[[#This Row],[GN]],-12,0),0)+OFFSET(TblConstr[[#This Row],[Tot GN]],-1,0)-TblConstr[[#This Row],[Dest GN]]</f>
        <v>0</v>
      </c>
      <c r="BH116" s="206" t="n">
        <f aca="false" t="array" ref="BH116:BH116">IF(TblConstr[[#This Row],[Hour]:[Hour]]&gt;12,OFFSET(TblConstr[[#This Row],[Fac]],-12,0),0)+OFFSET(TblConstr[[#This Row],[Tot Fac]],-1,0)-TblConstr[[#This Row],[Dest Fac]]</f>
        <v>0</v>
      </c>
      <c r="BI116" s="206" t="n">
        <f aca="false" t="array" ref="BI116:BI116">IF(TblConstr[[#This Row],[Hour]:[Hour]]&gt;12,OFFSET(TblConstr[[#This Row],[GT]],-12,0),0)+OFFSET(TblConstr[[#This Row],[Tot GT]],-1,0)-TblConstr[[#This Row],[Dest GT]]</f>
        <v>55</v>
      </c>
      <c r="BJ116" s="206" t="n">
        <f aca="false" t="array" ref="BJ116:BJ116">IF(TblConstr[[#This Row],[Hour]:[Hour]]&gt;12,OFFSET(TblConstr[[#This Row],[Bar]],-12,0),0)+OFFSET(TblConstr[[#This Row],[Tot Bar]],-1,0)-TblConstr[[#This Row],[Dest Bar]]</f>
        <v>50</v>
      </c>
      <c r="BK116" s="206" t="n">
        <f aca="false" t="array" ref="BK116:BK116">IF(TblConstr[[#This Row],[Hour]:[Hour]]&gt;12,OFFSET(TblConstr[[#This Row],[Shr]],-12,0),0)+OFFSET(TblConstr[[#This Row],[Tot Shr]],-1,0)-TblConstr[[#This Row],[Dest Shr]]</f>
        <v>0</v>
      </c>
      <c r="BL116" s="207" t="n">
        <f aca="false" t="array" ref="BL116:BL116">IF(TblConstr[[#This Row],[Hour]:[Hour]]&gt;12,OFFSET(TblConstr[[#This Row],[Tow]],-12,0),0)+OFFSET(TblConstr[[#This Row],[Tot Tow]],-1,0)-TblConstr[[#This Row],[Dest Tow]]</f>
        <v>29</v>
      </c>
      <c r="BM116" s="207" t="n">
        <f aca="false" t="array" ref="BM116:BM116">IF(TblConstr[[#This Row],[Hour]:[Hour]]&gt;12,OFFSET(TblConstr[[#This Row],[Tem]],-12,0),0)+OFFSET(TblConstr[[#This Row],[Tot Tem]],-1,0)-TblConstr[[#This Row],[Dest Tem]]</f>
        <v>47</v>
      </c>
      <c r="BN116" s="207" t="n">
        <f aca="false" t="array" ref="BN116:BN116">IF(TblConstr[[#This Row],[Hour]:[Hour]]&gt;12,OFFSET(TblConstr[[#This Row],[WG]],-12,0),0)+OFFSET(TblConstr[[#This Row],[Tot WG]],-1,0)-TblConstr[[#This Row],[Dest WG]]</f>
        <v>0</v>
      </c>
      <c r="BO116" s="208" t="n">
        <f aca="false" t="array" ref="BO116:BO116">IF(TblConstr[[#This Row],[Hour]:[Hour]]&gt;12,OFFSET(TblConstr[[#This Row],[DM]],-12,0),0)+OFFSET(TblConstr[[#This Row],[Tot DM]],-1,0)-TblConstr[[#This Row],[Dest DM]]</f>
        <v>0</v>
      </c>
      <c r="BP116" s="208" t="n">
        <f aca="false" t="array" ref="BP116:BP116">IF(TblConstr[[#This Row],[Hour]:[Hour]]&gt;12,OFFSET(TblConstr[[#This Row],[Sch]],-12,0),0)+OFFSET(TblConstr[[#This Row],[Tot Sch]],-1,0)-TblConstr[[#This Row],[Dest Sch]]</f>
        <v>0</v>
      </c>
      <c r="BQ116" s="209" t="n">
        <f aca="false" t="array" ref="BQ116:BQ116">IF(TblConstr[[#This Row],[Hour]:[Hour]]&gt;12,OFFSET(TblConstr[[#This Row],[Doc]],-12,0),0)+OFFSET(TblConstr[[#This Row],[Tot Doc]],-1,0)-TblConstr[[#This Row],[Dest Doc]]</f>
        <v>24</v>
      </c>
      <c r="BR116" s="132"/>
      <c r="BS116" s="146"/>
      <c r="BT116" s="69" t="n">
        <f aca="false">TblConstr[[#This Row],[Land]]</f>
        <v>700</v>
      </c>
      <c r="BU116" s="153" t="n">
        <f aca="false">TblImps[[#This Row],[Time]]</f>
        <v>45434.4166666667</v>
      </c>
      <c r="BV116" s="132"/>
      <c r="BW116" s="182"/>
      <c r="BX116" s="182"/>
      <c r="BY116" s="182"/>
      <c r="BZ116" s="182"/>
      <c r="CA116" s="182"/>
      <c r="CB116" s="182"/>
      <c r="CC116" s="182"/>
      <c r="CD116" s="182"/>
      <c r="CE116" s="182"/>
      <c r="CF116" s="182"/>
      <c r="CG116" s="182"/>
      <c r="CH116" s="182"/>
      <c r="CI116" s="182"/>
      <c r="CJ116" s="182"/>
      <c r="CK116" s="182"/>
      <c r="CL116" s="182"/>
      <c r="CM116" s="182"/>
      <c r="CN116" s="182"/>
      <c r="CO116" s="182"/>
      <c r="CP116" s="132"/>
      <c r="CQ116" s="192" t="n">
        <f aca="false">-SUM(TblConstr[[#This Row],[Alc]:[Mas]])+SUM(TblConstr[[#This Row],[Dest Alc]:[Dest Mas]])+Rezone!L116+IF("Ch_"&amp; home_land=TblConstr[[#Headers],[Ch_Plain]],TblConstr[[#This Row],[Home Land]])+IF(TblConstr[[#This Row],[Hour]:[Hour]]&gt;12,OFFSET(TblExplore[[#This Row],[Plains Explore]],-12,0),0)</f>
        <v>0</v>
      </c>
      <c r="CR116" s="193" t="n">
        <f aca="false">-SUM(TblConstr[[#This Row],[Ly]:[Hav]])+SUM(TblConstr[[#This Row],[Dest Ly]:[Dest Hav]]) +Rezone!M116 + IF("Ch_"&amp; home_land=TblConstr[[#Headers],[Ch_Forest]],TblConstr[[#This Row],[Home Land]])+IF(TblConstr[[#This Row],[Hour]:[Hour]]&gt;12,OFFSET(TblExplore[[#This Row],[Forest Explore]],-12,0),0)</f>
        <v>0</v>
      </c>
      <c r="CS116" s="200" t="n">
        <f aca="false">-SUM(TblConstr[[#This Row],[OM]:[GN]])+SUM(TblConstr[[#This Row],[Dest OM]:[Dest GN]]) +Rezone!N116 + IF("Ch_"&amp; home_land=TblConstr[[#Headers],[Ch_Mountain]],TblConstr[[#This Row],[Home Land]])+IF(TblConstr[[#This Row],[Hour]:[Hour]]&gt;12,OFFSET(TblExplore[[#This Row],[Mountain Explore]],-12,0),0)</f>
        <v>0</v>
      </c>
      <c r="CT116" s="195" t="n">
        <f aca="false">-SUM(TblConstr[[#This Row],[Fac]:[Shr]])+SUM(TblConstr[[#This Row],[Dest Fac]:[Dest Shr]]) +Rezone!O116 + IF("Ch_" &amp; home_land=TblConstr[[#Headers],[Ch_Hill]],TblConstr[[#This Row],[Home Land]])+IF(TblConstr[[#This Row],[Hour]:[Hour]]&gt;12,OFFSET(TblExplore[[#This Row],[Hill Explore]],-12,0),0)</f>
        <v>0</v>
      </c>
      <c r="CU116" s="196" t="n">
        <f aca="false">-SUM(TblConstr[[#This Row],[Tow]:[WG]])+SUM(TblConstr[[#This Row],[Dest Tow]:[Dest WG]]) +Rezone!P116 + IF("Ch_" &amp; home_land=TblConstr[[#Headers],[Ch_Swamp]],TblConstr[[#This Row],[Home Land]])+IF(TblConstr[[#This Row],[Hour]:[Hour]]&gt;12,OFFSET(TblExplore[[#This Row],[Swamp Explore]],-12,0),0)</f>
        <v>0</v>
      </c>
      <c r="CV116" s="197" t="n">
        <f aca="false">- SUM(TblConstr[[#This Row],[DM]:[Sch]])+SUM(TblConstr[[#This Row],[Dest DM]:[Dest Sch]]) +Rezone!Q116 + IF("Ch_" &amp; home_land=TblConstr[[#Headers],[Ch_Cavern]],TblConstr[[#This Row],[Home Land]])+IF(TblConstr[[#This Row],[Hour]:[Hour]]&gt;12,OFFSET(TblExplore[[#This Row],[Cavern Explore]],-12,0),0)</f>
        <v>0</v>
      </c>
      <c r="CW116" s="198" t="n">
        <f aca="false">-TblConstr[[#This Row],[Doc]]+TblConstr[[#This Row],[Dest Doc]] +Rezone!R116 + IF("Ch_" &amp; home_land=TblConstr[[#Headers],[Ch_Water]],TblConstr[[#This Row],[Home Land]])+IF(TblConstr[[#This Row],[Hour]:[Hour]]&gt;12,OFFSET(TblExplore[[#This Row],[Water Explore]],-12,0),0)</f>
        <v>0</v>
      </c>
      <c r="CX116" s="1" t="n">
        <f aca="false">IF(Explore!S116=1,20) - TblConstr[[#This Row],[Hom]] + TblConstr[[#This Row],[Dest Hom]]</f>
        <v>0</v>
      </c>
      <c r="CY116" s="132"/>
      <c r="CZ116" s="69" t="n">
        <f aca="false">G116+SUM(P105:S116)+SUM(AZ116:BC116)</f>
        <v>430</v>
      </c>
      <c r="DA116" s="69" t="n">
        <f aca="false">H116+SUM(T105:U116)+SUM(BD116:BE116)</f>
        <v>25</v>
      </c>
      <c r="DB116" s="1" t="n">
        <f aca="false">I116+SUM(V105:W116)+SUM(BF116:BG116)</f>
        <v>0</v>
      </c>
      <c r="DC116" s="69" t="n">
        <f aca="false">J116+SUM(X105:Y116)+SUM(BH116:BI116)</f>
        <v>55</v>
      </c>
      <c r="DD116" s="69" t="n">
        <f aca="false">K116+SUM(AB105:AD116)+SUM(BL116:BN116)</f>
        <v>76</v>
      </c>
      <c r="DE116" s="1" t="n">
        <f aca="false">L116+SUM(AE105:AE116)+BO116</f>
        <v>0</v>
      </c>
      <c r="DF116" s="69" t="n">
        <f aca="false">M116+SUM(AG105:AG116)+BQ116</f>
        <v>24</v>
      </c>
      <c r="DG116" s="69" t="e">
        <f aca="false" t="array" ref="DG116:DG116">INDEX(TblConstr[[Total Plain]:[Total Water]],ROW()-ROW(TblConstr[#headers]),MATCH("Total "&amp;home_land,TblConstr[[#Headers],[Total Plain]:[Total Water]],0))+TblConstr[[#This Row],[Homes]]</f>
        <v>#VALUE!</v>
      </c>
      <c r="DH116" s="1" t="n">
        <f aca="false">SUM(O105:O116)+AY116</f>
        <v>40</v>
      </c>
      <c r="DI116" s="1" t="n">
        <f aca="false">MAX(BA116-BA115,0)</f>
        <v>0</v>
      </c>
      <c r="DJ116" s="1" t="n">
        <f aca="false">MAX(BQ116-BQ115,0)</f>
        <v>0</v>
      </c>
    </row>
    <row r="117" customFormat="false" ht="12.75" hidden="false" customHeight="false" outlineLevel="0" collapsed="false">
      <c r="A117" s="170" t="n">
        <f aca="false">TblRezone[[#This Row],[Hour]]</f>
        <v>114</v>
      </c>
      <c r="B117" s="171" t="n">
        <f aca="false">SUM(TblConstr[[#This Row],[Plain]:[Water]])</f>
        <v>0</v>
      </c>
      <c r="C117" s="172" t="n">
        <f aca="false">SUM(TblConstr[[#This Row],[Tot Hom]:[Tot Doc]])</f>
        <v>700</v>
      </c>
      <c r="D117" s="172" t="n">
        <f aca="false">SUM(O106:AG117)</f>
        <v>0</v>
      </c>
      <c r="E117" s="173"/>
      <c r="F117" s="33" t="n">
        <f aca="false">TblConstr[[#This Row],[Barren]]+TblConstr[[#This Row],[Buildings]]+TblConstr[[#This Row],[Incoming]]</f>
        <v>700</v>
      </c>
      <c r="G117" s="199" t="n">
        <f aca="false">OFFSET(TblConstr[[#This Row],[Plain]],-1,0)+TblConstr[[#This Row],[Ch_Plain]]</f>
        <v>0</v>
      </c>
      <c r="H117" s="193" t="n">
        <f aca="false">OFFSET(TblConstr[[#This Row],[Forest]],-1,0)+TblConstr[[#This Row],[Ch_Forest]]</f>
        <v>0</v>
      </c>
      <c r="I117" s="200" t="n">
        <f aca="false">OFFSET(TblConstr[[#This Row],[Mountain]],-1,0)+TblConstr[[#This Row],[Ch_Mountain]]</f>
        <v>0</v>
      </c>
      <c r="J117" s="201" t="n">
        <f aca="false">OFFSET(TblConstr[[#This Row],[Hill]],-1,0)+TblConstr[[#This Row],[Ch_Hill]]</f>
        <v>0</v>
      </c>
      <c r="K117" s="202" t="n">
        <f aca="false">OFFSET(TblConstr[[#This Row],[Swamp]],-1,0)+TblConstr[[#This Row],[Ch_Swamp]]</f>
        <v>0</v>
      </c>
      <c r="L117" s="197" t="n">
        <f aca="false">OFFSET(TblConstr[[#This Row],[Cavern]],-1,0)+TblConstr[[#This Row],[Ch_Cavern]]</f>
        <v>0</v>
      </c>
      <c r="M117" s="198" t="n">
        <f aca="false">OFFSET(TblConstr[[#This Row],[Water]],-1,0)+TblConstr[[#This Row],[Ch_Water]]</f>
        <v>0</v>
      </c>
      <c r="N117" s="181" t="n">
        <f aca="false">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20" t="n">
        <f aca="false">TblImps[[#This Row],[Time]]</f>
        <v>45434.4583333333</v>
      </c>
      <c r="AI117" s="130" t="n">
        <f aca="false">MIN(25%,(TblConstr[[#This Row],[Tot Fac]]+TblConstr[[#This Row],[Dest Fac]])/(TblConstr[[#This Row],[Land]]-TblExplore[[#This Row],[Land Bonus]]*20))</f>
        <v>0</v>
      </c>
      <c r="AJ117" s="130" t="n">
        <f aca="false">MIN(25%,(TblConstr[[#This Row],[Tot Fac]]+TblConstr[[#This Row],[Dest Fac]])/TblConstr[[#This Row],[Land]])</f>
        <v>0</v>
      </c>
      <c r="AK117" s="69" t="n">
        <f aca="false">TblProd[[#This Row],[Platinum]]</f>
        <v>1655005</v>
      </c>
      <c r="AL117" s="69" t="n">
        <f aca="false">TblProd[[#This Row],[Lumber]]</f>
        <v>47297</v>
      </c>
      <c r="AM1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7" s="69" t="n">
        <f aca="false">ROUNDDOWN( MAX(1 - MIN(facs_constr_factor*TblConstr[[#This Row],[Facs -DB]],facs_constr_max) + tech_1_11*TblTech[[#This Row],[11-1]] + tech_6_3_2*TblTech[[#This Row],[6-3]] + tech_5_2_3*TblTech[[#This Row],[5-2]], 1-global_constr_cap) * TblConstr[[#This Row],[RCPA Lumber]],0)</f>
        <v>216</v>
      </c>
      <c r="AO1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7" s="69" t="n">
        <f aca="false">ROUNDDOWN( MAX(1 - MIN(facs_constr_factor*TblConstr[[#This Row],[Facs DB]],facs_constr_max) + tech_1_11*TblTech[[#This Row],[1-11]] + tech_6_3_2*TblTech[[#This Row],[6-3]] + tech_5_2_3*TblTech[[#This Row],[5-2]], 1-global_constr_cap) * ROUND((TblConstr[[#This Row],[Land]]-250)*0.285 + 87.5 + 0/4.25,0),0)</f>
        <v>216</v>
      </c>
      <c r="AQ117" s="1" t="n">
        <f aca="false">TblConstr[[#This Row],[build -db]]*TblConstr[[#This Row],[CPA Platinum -DB]] + TblConstr[[#This Row],[build db]]*TblConstr[[#This Row],[CPA Platinum DB]]</f>
        <v>0</v>
      </c>
      <c r="AR117" s="1" t="n">
        <f aca="false">TblConstr[[#This Row],[build -db]]*TblConstr[[#This Row],[CPA Lumber -DB]]+TblConstr[[#This Row],[build db]]*TblConstr[[#This Row],[CPA Lumber DB]]</f>
        <v>0</v>
      </c>
      <c r="AS117" s="69" t="n">
        <f aca="false">MIN(SUM(OFFSET(TblConstr[[#This Row],[Plain]:[Water]],-1,0))+SUM(TblConstr[[#This Row],[Dest Hom]:[Dest Doc]])+IF(TblConstr[[#This Row],[Hour]]&gt;12,SUM(OFFSET(TblExplore[[#This Row],[Plains Explore]:[Water Explore]],-12,0)),0),SUM(TblConstr[[#This Row],[Hom]:[Doc]]))</f>
        <v>0</v>
      </c>
      <c r="AT11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32"/>
      <c r="AV117" s="69" t="n">
        <f aca="false">ROUND((TblConstr[[#This Row],[Land]]-250 - IF(TblExplore[[#This Row],[Land Bonus]]&lt;&gt;0,20,0))*1.25 + 850 + 0,0)</f>
        <v>1413</v>
      </c>
      <c r="AW117" s="69" t="n">
        <f aca="false">ROUND((TblConstr[[#This Row],[Land]]-250 - IF(TblExplore[[#This Row],[Land Bonus]]&lt;&gt;0,20,0))*0.285 + 87.5 + 0/4.25,0)</f>
        <v>216</v>
      </c>
      <c r="AX117" s="146"/>
      <c r="AY117" s="203" t="n">
        <f aca="false" t="array" ref="AY117:AY117">IF(TblConstr[[#This Row],[Hour]:[Hour]]&gt;12,OFFSET(TblConstr[[#This Row],[Hom]],-12,0),0)+OFFSET(TblConstr[[#This Row],[Tot Hom]],-1,0)-TblConstr[[#This Row],[Dest Hom]]</f>
        <v>40</v>
      </c>
      <c r="AZ117" s="204" t="n">
        <f aca="false" t="array" ref="AZ117:AZ117">IF(TblConstr[[#This Row],[Hour]:[Hour]]&gt;12,OFFSET(TblConstr[[#This Row],[Alc]],-12,0),0)+OFFSET(TblConstr[[#This Row],[Tot Alc]],-1,0)-TblConstr[[#This Row],[Dest Alc]]</f>
        <v>275</v>
      </c>
      <c r="BA117" s="204" t="n">
        <f aca="false" t="array" ref="BA117:BA117">IF(TblConstr[[#This Row],[Hour]:[Hour]]&gt;12,OFFSET(TblConstr[[#This Row],[Far]],-12,0),0)+OFFSET(TblConstr[[#This Row],[Tot Farm]],-1,0)-TblConstr[[#This Row],[Dest Farm]]</f>
        <v>29</v>
      </c>
      <c r="BB117" s="204" t="n">
        <f aca="false" t="array" ref="BB117:BB117">IF(TblConstr[[#This Row],[Hour]:[Hour]]&gt;12,OFFSET(TblConstr[[#This Row],[Smi]],-12,0),0)+OFFSET(TblConstr[[#This Row],[Tot Smi]],-1,0)-TblConstr[[#This Row],[Dest Smi]]</f>
        <v>126</v>
      </c>
      <c r="BC117" s="204" t="n">
        <f aca="false" t="array" ref="BC117:BC117">IF(TblConstr[[#This Row],[Hour]:[Hour]]&gt;12,OFFSET(TblConstr[[#This Row],[Mas]],-12,0),0)+OFFSET(TblConstr[[#This Row],[Tot Mas]],-1,0)-TblConstr[[#This Row],[Dest Mas]]</f>
        <v>0</v>
      </c>
      <c r="BD117" s="205" t="n">
        <f aca="false" t="array" ref="BD117:BD117">IF(TblConstr[[#This Row],[Hour]:[Hour]]&gt;12,OFFSET(TblConstr[[#This Row],[Ly]],-12,0),0)+OFFSET(TblConstr[[#This Row],[Tot Ly]],-1,0)-TblConstr[[#This Row],[Dest Ly]]</f>
        <v>25</v>
      </c>
      <c r="BE117" s="205" t="n">
        <f aca="false" t="array" ref="BE117:BE117">IF(TblConstr[[#This Row],[Hour]:[Hour]]&gt;12,OFFSET(TblConstr[[#This Row],[Hav]],-12,0),0)+OFFSET(TblConstr[[#This Row],[Tot Hav]],-1,0)-TblConstr[[#This Row],[Dest Hav]]</f>
        <v>0</v>
      </c>
      <c r="BF117" s="194" t="n">
        <f aca="false" t="array" ref="BF117:BF117">IF(TblConstr[[#This Row],[Hour]:[Hour]]&gt;12,OFFSET(TblConstr[[#This Row],[OM]],-12,0),0)+OFFSET(TblConstr[[#This Row],[Tot OM]],-1,0)-TblConstr[[#This Row],[Dest OM]]</f>
        <v>0</v>
      </c>
      <c r="BG117" s="194" t="n">
        <f aca="false" t="array" ref="BG117:BG117">IF(TblConstr[[#This Row],[Hour]:[Hour]]&gt;12,OFFSET(TblConstr[[#This Row],[GN]],-12,0),0)+OFFSET(TblConstr[[#This Row],[Tot GN]],-1,0)-TblConstr[[#This Row],[Dest GN]]</f>
        <v>0</v>
      </c>
      <c r="BH117" s="206" t="n">
        <f aca="false" t="array" ref="BH117:BH117">IF(TblConstr[[#This Row],[Hour]:[Hour]]&gt;12,OFFSET(TblConstr[[#This Row],[Fac]],-12,0),0)+OFFSET(TblConstr[[#This Row],[Tot Fac]],-1,0)-TblConstr[[#This Row],[Dest Fac]]</f>
        <v>0</v>
      </c>
      <c r="BI117" s="206" t="n">
        <f aca="false" t="array" ref="BI117:BI117">IF(TblConstr[[#This Row],[Hour]:[Hour]]&gt;12,OFFSET(TblConstr[[#This Row],[GT]],-12,0),0)+OFFSET(TblConstr[[#This Row],[Tot GT]],-1,0)-TblConstr[[#This Row],[Dest GT]]</f>
        <v>55</v>
      </c>
      <c r="BJ117" s="206" t="n">
        <f aca="false" t="array" ref="BJ117:BJ117">IF(TblConstr[[#This Row],[Hour]:[Hour]]&gt;12,OFFSET(TblConstr[[#This Row],[Bar]],-12,0),0)+OFFSET(TblConstr[[#This Row],[Tot Bar]],-1,0)-TblConstr[[#This Row],[Dest Bar]]</f>
        <v>50</v>
      </c>
      <c r="BK117" s="206" t="n">
        <f aca="false" t="array" ref="BK117:BK117">IF(TblConstr[[#This Row],[Hour]:[Hour]]&gt;12,OFFSET(TblConstr[[#This Row],[Shr]],-12,0),0)+OFFSET(TblConstr[[#This Row],[Tot Shr]],-1,0)-TblConstr[[#This Row],[Dest Shr]]</f>
        <v>0</v>
      </c>
      <c r="BL117" s="207" t="n">
        <f aca="false" t="array" ref="BL117:BL117">IF(TblConstr[[#This Row],[Hour]:[Hour]]&gt;12,OFFSET(TblConstr[[#This Row],[Tow]],-12,0),0)+OFFSET(TblConstr[[#This Row],[Tot Tow]],-1,0)-TblConstr[[#This Row],[Dest Tow]]</f>
        <v>29</v>
      </c>
      <c r="BM117" s="207" t="n">
        <f aca="false" t="array" ref="BM117:BM117">IF(TblConstr[[#This Row],[Hour]:[Hour]]&gt;12,OFFSET(TblConstr[[#This Row],[Tem]],-12,0),0)+OFFSET(TblConstr[[#This Row],[Tot Tem]],-1,0)-TblConstr[[#This Row],[Dest Tem]]</f>
        <v>47</v>
      </c>
      <c r="BN117" s="207" t="n">
        <f aca="false" t="array" ref="BN117:BN117">IF(TblConstr[[#This Row],[Hour]:[Hour]]&gt;12,OFFSET(TblConstr[[#This Row],[WG]],-12,0),0)+OFFSET(TblConstr[[#This Row],[Tot WG]],-1,0)-TblConstr[[#This Row],[Dest WG]]</f>
        <v>0</v>
      </c>
      <c r="BO117" s="208" t="n">
        <f aca="false" t="array" ref="BO117:BO117">IF(TblConstr[[#This Row],[Hour]:[Hour]]&gt;12,OFFSET(TblConstr[[#This Row],[DM]],-12,0),0)+OFFSET(TblConstr[[#This Row],[Tot DM]],-1,0)-TblConstr[[#This Row],[Dest DM]]</f>
        <v>0</v>
      </c>
      <c r="BP117" s="208" t="n">
        <f aca="false" t="array" ref="BP117:BP117">IF(TblConstr[[#This Row],[Hour]:[Hour]]&gt;12,OFFSET(TblConstr[[#This Row],[Sch]],-12,0),0)+OFFSET(TblConstr[[#This Row],[Tot Sch]],-1,0)-TblConstr[[#This Row],[Dest Sch]]</f>
        <v>0</v>
      </c>
      <c r="BQ117" s="209" t="n">
        <f aca="false" t="array" ref="BQ117:BQ117">IF(TblConstr[[#This Row],[Hour]:[Hour]]&gt;12,OFFSET(TblConstr[[#This Row],[Doc]],-12,0),0)+OFFSET(TblConstr[[#This Row],[Tot Doc]],-1,0)-TblConstr[[#This Row],[Dest Doc]]</f>
        <v>24</v>
      </c>
      <c r="BR117" s="132"/>
      <c r="BS117" s="146"/>
      <c r="BT117" s="69" t="n">
        <f aca="false">TblConstr[[#This Row],[Land]]</f>
        <v>700</v>
      </c>
      <c r="BU117" s="153" t="n">
        <f aca="false">TblImps[[#This Row],[Time]]</f>
        <v>45434.4583333333</v>
      </c>
      <c r="BV117" s="132"/>
      <c r="BW117" s="182"/>
      <c r="BX117" s="182"/>
      <c r="BY117" s="182"/>
      <c r="BZ117" s="182"/>
      <c r="CA117" s="182"/>
      <c r="CB117" s="182"/>
      <c r="CC117" s="182"/>
      <c r="CD117" s="182"/>
      <c r="CE117" s="182"/>
      <c r="CF117" s="182"/>
      <c r="CG117" s="182"/>
      <c r="CH117" s="182"/>
      <c r="CI117" s="182"/>
      <c r="CJ117" s="182"/>
      <c r="CK117" s="182"/>
      <c r="CL117" s="182"/>
      <c r="CM117" s="182"/>
      <c r="CN117" s="182"/>
      <c r="CO117" s="182"/>
      <c r="CP117" s="132"/>
      <c r="CQ117" s="192" t="n">
        <f aca="false">-SUM(TblConstr[[#This Row],[Alc]:[Mas]])+SUM(TblConstr[[#This Row],[Dest Alc]:[Dest Mas]])+Rezone!L117+IF("Ch_"&amp; home_land=TblConstr[[#Headers],[Ch_Plain]],TblConstr[[#This Row],[Home Land]])+IF(TblConstr[[#This Row],[Hour]:[Hour]]&gt;12,OFFSET(TblExplore[[#This Row],[Plains Explore]],-12,0),0)</f>
        <v>0</v>
      </c>
      <c r="CR117" s="193" t="n">
        <f aca="false">-SUM(TblConstr[[#This Row],[Ly]:[Hav]])+SUM(TblConstr[[#This Row],[Dest Ly]:[Dest Hav]]) +Rezone!M117 + IF("Ch_"&amp; home_land=TblConstr[[#Headers],[Ch_Forest]],TblConstr[[#This Row],[Home Land]])+IF(TblConstr[[#This Row],[Hour]:[Hour]]&gt;12,OFFSET(TblExplore[[#This Row],[Forest Explore]],-12,0),0)</f>
        <v>0</v>
      </c>
      <c r="CS117" s="200" t="n">
        <f aca="false">-SUM(TblConstr[[#This Row],[OM]:[GN]])+SUM(TblConstr[[#This Row],[Dest OM]:[Dest GN]]) +Rezone!N117 + IF("Ch_"&amp; home_land=TblConstr[[#Headers],[Ch_Mountain]],TblConstr[[#This Row],[Home Land]])+IF(TblConstr[[#This Row],[Hour]:[Hour]]&gt;12,OFFSET(TblExplore[[#This Row],[Mountain Explore]],-12,0),0)</f>
        <v>0</v>
      </c>
      <c r="CT117" s="195" t="n">
        <f aca="false">-SUM(TblConstr[[#This Row],[Fac]:[Shr]])+SUM(TblConstr[[#This Row],[Dest Fac]:[Dest Shr]]) +Rezone!O117 + IF("Ch_" &amp; home_land=TblConstr[[#Headers],[Ch_Hill]],TblConstr[[#This Row],[Home Land]])+IF(TblConstr[[#This Row],[Hour]:[Hour]]&gt;12,OFFSET(TblExplore[[#This Row],[Hill Explore]],-12,0),0)</f>
        <v>0</v>
      </c>
      <c r="CU117" s="196" t="n">
        <f aca="false">-SUM(TblConstr[[#This Row],[Tow]:[WG]])+SUM(TblConstr[[#This Row],[Dest Tow]:[Dest WG]]) +Rezone!P117 + IF("Ch_" &amp; home_land=TblConstr[[#Headers],[Ch_Swamp]],TblConstr[[#This Row],[Home Land]])+IF(TblConstr[[#This Row],[Hour]:[Hour]]&gt;12,OFFSET(TblExplore[[#This Row],[Swamp Explore]],-12,0),0)</f>
        <v>0</v>
      </c>
      <c r="CV117" s="197" t="n">
        <f aca="false">- SUM(TblConstr[[#This Row],[DM]:[Sch]])+SUM(TblConstr[[#This Row],[Dest DM]:[Dest Sch]]) +Rezone!Q117 + IF("Ch_" &amp; home_land=TblConstr[[#Headers],[Ch_Cavern]],TblConstr[[#This Row],[Home Land]])+IF(TblConstr[[#This Row],[Hour]:[Hour]]&gt;12,OFFSET(TblExplore[[#This Row],[Cavern Explore]],-12,0),0)</f>
        <v>0</v>
      </c>
      <c r="CW117" s="198" t="n">
        <f aca="false">-TblConstr[[#This Row],[Doc]]+TblConstr[[#This Row],[Dest Doc]] +Rezone!R117 + IF("Ch_" &amp; home_land=TblConstr[[#Headers],[Ch_Water]],TblConstr[[#This Row],[Home Land]])+IF(TblConstr[[#This Row],[Hour]:[Hour]]&gt;12,OFFSET(TblExplore[[#This Row],[Water Explore]],-12,0),0)</f>
        <v>0</v>
      </c>
      <c r="CX117" s="1" t="n">
        <f aca="false">IF(Explore!S117=1,20) - TblConstr[[#This Row],[Hom]] + TblConstr[[#This Row],[Dest Hom]]</f>
        <v>0</v>
      </c>
      <c r="CY117" s="132"/>
      <c r="CZ117" s="69" t="n">
        <f aca="false">G117+SUM(P106:S117)+SUM(AZ117:BC117)</f>
        <v>430</v>
      </c>
      <c r="DA117" s="69" t="n">
        <f aca="false">H117+SUM(T106:U117)+SUM(BD117:BE117)</f>
        <v>25</v>
      </c>
      <c r="DB117" s="1" t="n">
        <f aca="false">I117+SUM(V106:W117)+SUM(BF117:BG117)</f>
        <v>0</v>
      </c>
      <c r="DC117" s="69" t="n">
        <f aca="false">J117+SUM(X106:Y117)+SUM(BH117:BI117)</f>
        <v>55</v>
      </c>
      <c r="DD117" s="69" t="n">
        <f aca="false">K117+SUM(AB106:AD117)+SUM(BL117:BN117)</f>
        <v>76</v>
      </c>
      <c r="DE117" s="1" t="n">
        <f aca="false">L117+SUM(AE106:AE117)+BO117</f>
        <v>0</v>
      </c>
      <c r="DF117" s="69" t="n">
        <f aca="false">M117+SUM(AG106:AG117)+BQ117</f>
        <v>24</v>
      </c>
      <c r="DG117" s="69" t="e">
        <f aca="false" t="array" ref="DG117:DG117">INDEX(TblConstr[[Total Plain]:[Total Water]],ROW()-ROW(TblConstr[#headers]),MATCH("Total "&amp;home_land,TblConstr[[#Headers],[Total Plain]:[Total Water]],0))+TblConstr[[#This Row],[Homes]]</f>
        <v>#VALUE!</v>
      </c>
      <c r="DH117" s="1" t="n">
        <f aca="false">SUM(O106:O117)+AY117</f>
        <v>40</v>
      </c>
      <c r="DI117" s="1" t="n">
        <f aca="false">MAX(BA117-BA116,0)</f>
        <v>0</v>
      </c>
      <c r="DJ117" s="1" t="n">
        <f aca="false">MAX(BQ117-BQ116,0)</f>
        <v>0</v>
      </c>
    </row>
    <row r="118" customFormat="false" ht="12.75" hidden="false" customHeight="false" outlineLevel="0" collapsed="false">
      <c r="A118" s="170" t="n">
        <f aca="false">TblRezone[[#This Row],[Hour]]</f>
        <v>115</v>
      </c>
      <c r="B118" s="171" t="n">
        <f aca="false">SUM(TblConstr[[#This Row],[Plain]:[Water]])</f>
        <v>0</v>
      </c>
      <c r="C118" s="172" t="n">
        <f aca="false">SUM(TblConstr[[#This Row],[Tot Hom]:[Tot Doc]])</f>
        <v>700</v>
      </c>
      <c r="D118" s="172" t="n">
        <f aca="false">SUM(O107:AG118)</f>
        <v>0</v>
      </c>
      <c r="E118" s="173"/>
      <c r="F118" s="33" t="n">
        <f aca="false">TblConstr[[#This Row],[Barren]]+TblConstr[[#This Row],[Buildings]]+TblConstr[[#This Row],[Incoming]]</f>
        <v>700</v>
      </c>
      <c r="G118" s="199" t="n">
        <f aca="false">OFFSET(TblConstr[[#This Row],[Plain]],-1,0)+TblConstr[[#This Row],[Ch_Plain]]</f>
        <v>0</v>
      </c>
      <c r="H118" s="193" t="n">
        <f aca="false">OFFSET(TblConstr[[#This Row],[Forest]],-1,0)+TblConstr[[#This Row],[Ch_Forest]]</f>
        <v>0</v>
      </c>
      <c r="I118" s="200" t="n">
        <f aca="false">OFFSET(TblConstr[[#This Row],[Mountain]],-1,0)+TblConstr[[#This Row],[Ch_Mountain]]</f>
        <v>0</v>
      </c>
      <c r="J118" s="201" t="n">
        <f aca="false">OFFSET(TblConstr[[#This Row],[Hill]],-1,0)+TblConstr[[#This Row],[Ch_Hill]]</f>
        <v>0</v>
      </c>
      <c r="K118" s="202" t="n">
        <f aca="false">OFFSET(TblConstr[[#This Row],[Swamp]],-1,0)+TblConstr[[#This Row],[Ch_Swamp]]</f>
        <v>0</v>
      </c>
      <c r="L118" s="197" t="n">
        <f aca="false">OFFSET(TblConstr[[#This Row],[Cavern]],-1,0)+TblConstr[[#This Row],[Ch_Cavern]]</f>
        <v>0</v>
      </c>
      <c r="M118" s="198" t="n">
        <f aca="false">OFFSET(TblConstr[[#This Row],[Water]],-1,0)+TblConstr[[#This Row],[Ch_Water]]</f>
        <v>0</v>
      </c>
      <c r="N118" s="181" t="n">
        <f aca="false">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20" t="n">
        <f aca="false">TblImps[[#This Row],[Time]]</f>
        <v>45434.5</v>
      </c>
      <c r="AI118" s="130" t="n">
        <f aca="false">MIN(25%,(TblConstr[[#This Row],[Tot Fac]]+TblConstr[[#This Row],[Dest Fac]])/(TblConstr[[#This Row],[Land]]-TblExplore[[#This Row],[Land Bonus]]*20))</f>
        <v>0</v>
      </c>
      <c r="AJ118" s="130" t="n">
        <f aca="false">MIN(25%,(TblConstr[[#This Row],[Tot Fac]]+TblConstr[[#This Row],[Dest Fac]])/TblConstr[[#This Row],[Land]])</f>
        <v>0</v>
      </c>
      <c r="AK118" s="69" t="n">
        <f aca="false">TblProd[[#This Row],[Platinum]]</f>
        <v>1685286</v>
      </c>
      <c r="AL118" s="69" t="n">
        <f aca="false">TblProd[[#This Row],[Lumber]]</f>
        <v>47949</v>
      </c>
      <c r="AM1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8" s="69" t="n">
        <f aca="false">ROUNDDOWN( MAX(1 - MIN(facs_constr_factor*TblConstr[[#This Row],[Facs -DB]],facs_constr_max) + tech_1_11*TblTech[[#This Row],[11-1]] + tech_6_3_2*TblTech[[#This Row],[6-3]] + tech_5_2_3*TblTech[[#This Row],[5-2]], 1-global_constr_cap) * TblConstr[[#This Row],[RCPA Lumber]],0)</f>
        <v>216</v>
      </c>
      <c r="AO1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8" s="69" t="n">
        <f aca="false">ROUNDDOWN( MAX(1 - MIN(facs_constr_factor*TblConstr[[#This Row],[Facs DB]],facs_constr_max) + tech_1_11*TblTech[[#This Row],[1-11]] + tech_6_3_2*TblTech[[#This Row],[6-3]] + tech_5_2_3*TblTech[[#This Row],[5-2]], 1-global_constr_cap) * ROUND((TblConstr[[#This Row],[Land]]-250)*0.285 + 87.5 + 0/4.25,0),0)</f>
        <v>216</v>
      </c>
      <c r="AQ118" s="1" t="n">
        <f aca="false">TblConstr[[#This Row],[build -db]]*TblConstr[[#This Row],[CPA Platinum -DB]] + TblConstr[[#This Row],[build db]]*TblConstr[[#This Row],[CPA Platinum DB]]</f>
        <v>0</v>
      </c>
      <c r="AR118" s="1" t="n">
        <f aca="false">TblConstr[[#This Row],[build -db]]*TblConstr[[#This Row],[CPA Lumber -DB]]+TblConstr[[#This Row],[build db]]*TblConstr[[#This Row],[CPA Lumber DB]]</f>
        <v>0</v>
      </c>
      <c r="AS118" s="69" t="n">
        <f aca="false">MIN(SUM(OFFSET(TblConstr[[#This Row],[Plain]:[Water]],-1,0))+SUM(TblConstr[[#This Row],[Dest Hom]:[Dest Doc]])+IF(TblConstr[[#This Row],[Hour]]&gt;12,SUM(OFFSET(TblExplore[[#This Row],[Plains Explore]:[Water Explore]],-12,0)),0),SUM(TblConstr[[#This Row],[Hom]:[Doc]]))</f>
        <v>0</v>
      </c>
      <c r="AT11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32"/>
      <c r="AV118" s="69" t="n">
        <f aca="false">ROUND((TblConstr[[#This Row],[Land]]-250 - IF(TblExplore[[#This Row],[Land Bonus]]&lt;&gt;0,20,0))*1.25 + 850 + 0,0)</f>
        <v>1413</v>
      </c>
      <c r="AW118" s="69" t="n">
        <f aca="false">ROUND((TblConstr[[#This Row],[Land]]-250 - IF(TblExplore[[#This Row],[Land Bonus]]&lt;&gt;0,20,0))*0.285 + 87.5 + 0/4.25,0)</f>
        <v>216</v>
      </c>
      <c r="AX118" s="146"/>
      <c r="AY118" s="203" t="n">
        <f aca="false" t="array" ref="AY118:AY118">IF(TblConstr[[#This Row],[Hour]:[Hour]]&gt;12,OFFSET(TblConstr[[#This Row],[Hom]],-12,0),0)+OFFSET(TblConstr[[#This Row],[Tot Hom]],-1,0)-TblConstr[[#This Row],[Dest Hom]]</f>
        <v>40</v>
      </c>
      <c r="AZ118" s="204" t="n">
        <f aca="false" t="array" ref="AZ118:AZ118">IF(TblConstr[[#This Row],[Hour]:[Hour]]&gt;12,OFFSET(TblConstr[[#This Row],[Alc]],-12,0),0)+OFFSET(TblConstr[[#This Row],[Tot Alc]],-1,0)-TblConstr[[#This Row],[Dest Alc]]</f>
        <v>275</v>
      </c>
      <c r="BA118" s="204" t="n">
        <f aca="false" t="array" ref="BA118:BA118">IF(TblConstr[[#This Row],[Hour]:[Hour]]&gt;12,OFFSET(TblConstr[[#This Row],[Far]],-12,0),0)+OFFSET(TblConstr[[#This Row],[Tot Farm]],-1,0)-TblConstr[[#This Row],[Dest Farm]]</f>
        <v>29</v>
      </c>
      <c r="BB118" s="204" t="n">
        <f aca="false" t="array" ref="BB118:BB118">IF(TblConstr[[#This Row],[Hour]:[Hour]]&gt;12,OFFSET(TblConstr[[#This Row],[Smi]],-12,0),0)+OFFSET(TblConstr[[#This Row],[Tot Smi]],-1,0)-TblConstr[[#This Row],[Dest Smi]]</f>
        <v>126</v>
      </c>
      <c r="BC118" s="204" t="n">
        <f aca="false" t="array" ref="BC118:BC118">IF(TblConstr[[#This Row],[Hour]:[Hour]]&gt;12,OFFSET(TblConstr[[#This Row],[Mas]],-12,0),0)+OFFSET(TblConstr[[#This Row],[Tot Mas]],-1,0)-TblConstr[[#This Row],[Dest Mas]]</f>
        <v>0</v>
      </c>
      <c r="BD118" s="205" t="n">
        <f aca="false" t="array" ref="BD118:BD118">IF(TblConstr[[#This Row],[Hour]:[Hour]]&gt;12,OFFSET(TblConstr[[#This Row],[Ly]],-12,0),0)+OFFSET(TblConstr[[#This Row],[Tot Ly]],-1,0)-TblConstr[[#This Row],[Dest Ly]]</f>
        <v>25</v>
      </c>
      <c r="BE118" s="205" t="n">
        <f aca="false" t="array" ref="BE118:BE118">IF(TblConstr[[#This Row],[Hour]:[Hour]]&gt;12,OFFSET(TblConstr[[#This Row],[Hav]],-12,0),0)+OFFSET(TblConstr[[#This Row],[Tot Hav]],-1,0)-TblConstr[[#This Row],[Dest Hav]]</f>
        <v>0</v>
      </c>
      <c r="BF118" s="194" t="n">
        <f aca="false" t="array" ref="BF118:BF118">IF(TblConstr[[#This Row],[Hour]:[Hour]]&gt;12,OFFSET(TblConstr[[#This Row],[OM]],-12,0),0)+OFFSET(TblConstr[[#This Row],[Tot OM]],-1,0)-TblConstr[[#This Row],[Dest OM]]</f>
        <v>0</v>
      </c>
      <c r="BG118" s="194" t="n">
        <f aca="false" t="array" ref="BG118:BG118">IF(TblConstr[[#This Row],[Hour]:[Hour]]&gt;12,OFFSET(TblConstr[[#This Row],[GN]],-12,0),0)+OFFSET(TblConstr[[#This Row],[Tot GN]],-1,0)-TblConstr[[#This Row],[Dest GN]]</f>
        <v>0</v>
      </c>
      <c r="BH118" s="206" t="n">
        <f aca="false" t="array" ref="BH118:BH118">IF(TblConstr[[#This Row],[Hour]:[Hour]]&gt;12,OFFSET(TblConstr[[#This Row],[Fac]],-12,0),0)+OFFSET(TblConstr[[#This Row],[Tot Fac]],-1,0)-TblConstr[[#This Row],[Dest Fac]]</f>
        <v>0</v>
      </c>
      <c r="BI118" s="206" t="n">
        <f aca="false" t="array" ref="BI118:BI118">IF(TblConstr[[#This Row],[Hour]:[Hour]]&gt;12,OFFSET(TblConstr[[#This Row],[GT]],-12,0),0)+OFFSET(TblConstr[[#This Row],[Tot GT]],-1,0)-TblConstr[[#This Row],[Dest GT]]</f>
        <v>55</v>
      </c>
      <c r="BJ118" s="206" t="n">
        <f aca="false" t="array" ref="BJ118:BJ118">IF(TblConstr[[#This Row],[Hour]:[Hour]]&gt;12,OFFSET(TblConstr[[#This Row],[Bar]],-12,0),0)+OFFSET(TblConstr[[#This Row],[Tot Bar]],-1,0)-TblConstr[[#This Row],[Dest Bar]]</f>
        <v>50</v>
      </c>
      <c r="BK118" s="206" t="n">
        <f aca="false" t="array" ref="BK118:BK118">IF(TblConstr[[#This Row],[Hour]:[Hour]]&gt;12,OFFSET(TblConstr[[#This Row],[Shr]],-12,0),0)+OFFSET(TblConstr[[#This Row],[Tot Shr]],-1,0)-TblConstr[[#This Row],[Dest Shr]]</f>
        <v>0</v>
      </c>
      <c r="BL118" s="207" t="n">
        <f aca="false" t="array" ref="BL118:BL118">IF(TblConstr[[#This Row],[Hour]:[Hour]]&gt;12,OFFSET(TblConstr[[#This Row],[Tow]],-12,0),0)+OFFSET(TblConstr[[#This Row],[Tot Tow]],-1,0)-TblConstr[[#This Row],[Dest Tow]]</f>
        <v>29</v>
      </c>
      <c r="BM118" s="207" t="n">
        <f aca="false" t="array" ref="BM118:BM118">IF(TblConstr[[#This Row],[Hour]:[Hour]]&gt;12,OFFSET(TblConstr[[#This Row],[Tem]],-12,0),0)+OFFSET(TblConstr[[#This Row],[Tot Tem]],-1,0)-TblConstr[[#This Row],[Dest Tem]]</f>
        <v>47</v>
      </c>
      <c r="BN118" s="207" t="n">
        <f aca="false" t="array" ref="BN118:BN118">IF(TblConstr[[#This Row],[Hour]:[Hour]]&gt;12,OFFSET(TblConstr[[#This Row],[WG]],-12,0),0)+OFFSET(TblConstr[[#This Row],[Tot WG]],-1,0)-TblConstr[[#This Row],[Dest WG]]</f>
        <v>0</v>
      </c>
      <c r="BO118" s="208" t="n">
        <f aca="false" t="array" ref="BO118:BO118">IF(TblConstr[[#This Row],[Hour]:[Hour]]&gt;12,OFFSET(TblConstr[[#This Row],[DM]],-12,0),0)+OFFSET(TblConstr[[#This Row],[Tot DM]],-1,0)-TblConstr[[#This Row],[Dest DM]]</f>
        <v>0</v>
      </c>
      <c r="BP118" s="208" t="n">
        <f aca="false" t="array" ref="BP118:BP118">IF(TblConstr[[#This Row],[Hour]:[Hour]]&gt;12,OFFSET(TblConstr[[#This Row],[Sch]],-12,0),0)+OFFSET(TblConstr[[#This Row],[Tot Sch]],-1,0)-TblConstr[[#This Row],[Dest Sch]]</f>
        <v>0</v>
      </c>
      <c r="BQ118" s="209" t="n">
        <f aca="false" t="array" ref="BQ118:BQ118">IF(TblConstr[[#This Row],[Hour]:[Hour]]&gt;12,OFFSET(TblConstr[[#This Row],[Doc]],-12,0),0)+OFFSET(TblConstr[[#This Row],[Tot Doc]],-1,0)-TblConstr[[#This Row],[Dest Doc]]</f>
        <v>24</v>
      </c>
      <c r="BR118" s="132"/>
      <c r="BS118" s="146"/>
      <c r="BT118" s="69" t="n">
        <f aca="false">TblConstr[[#This Row],[Land]]</f>
        <v>700</v>
      </c>
      <c r="BU118" s="153" t="n">
        <f aca="false">TblImps[[#This Row],[Time]]</f>
        <v>45434.5</v>
      </c>
      <c r="BV118" s="132"/>
      <c r="BW118" s="182"/>
      <c r="BX118" s="182"/>
      <c r="BY118" s="182"/>
      <c r="BZ118" s="182"/>
      <c r="CA118" s="182"/>
      <c r="CB118" s="182"/>
      <c r="CC118" s="182"/>
      <c r="CD118" s="182"/>
      <c r="CE118" s="182"/>
      <c r="CF118" s="182"/>
      <c r="CG118" s="182"/>
      <c r="CH118" s="182"/>
      <c r="CI118" s="182"/>
      <c r="CJ118" s="182"/>
      <c r="CK118" s="182"/>
      <c r="CL118" s="182"/>
      <c r="CM118" s="182"/>
      <c r="CN118" s="182"/>
      <c r="CO118" s="182"/>
      <c r="CP118" s="132"/>
      <c r="CQ118" s="192" t="n">
        <f aca="false">-SUM(TblConstr[[#This Row],[Alc]:[Mas]])+SUM(TblConstr[[#This Row],[Dest Alc]:[Dest Mas]])+Rezone!L118+IF("Ch_"&amp; home_land=TblConstr[[#Headers],[Ch_Plain]],TblConstr[[#This Row],[Home Land]])+IF(TblConstr[[#This Row],[Hour]:[Hour]]&gt;12,OFFSET(TblExplore[[#This Row],[Plains Explore]],-12,0),0)</f>
        <v>0</v>
      </c>
      <c r="CR118" s="193" t="n">
        <f aca="false">-SUM(TblConstr[[#This Row],[Ly]:[Hav]])+SUM(TblConstr[[#This Row],[Dest Ly]:[Dest Hav]]) +Rezone!M118 + IF("Ch_"&amp; home_land=TblConstr[[#Headers],[Ch_Forest]],TblConstr[[#This Row],[Home Land]])+IF(TblConstr[[#This Row],[Hour]:[Hour]]&gt;12,OFFSET(TblExplore[[#This Row],[Forest Explore]],-12,0),0)</f>
        <v>0</v>
      </c>
      <c r="CS118" s="200" t="n">
        <f aca="false">-SUM(TblConstr[[#This Row],[OM]:[GN]])+SUM(TblConstr[[#This Row],[Dest OM]:[Dest GN]]) +Rezone!N118 + IF("Ch_"&amp; home_land=TblConstr[[#Headers],[Ch_Mountain]],TblConstr[[#This Row],[Home Land]])+IF(TblConstr[[#This Row],[Hour]:[Hour]]&gt;12,OFFSET(TblExplore[[#This Row],[Mountain Explore]],-12,0),0)</f>
        <v>0</v>
      </c>
      <c r="CT118" s="195" t="n">
        <f aca="false">-SUM(TblConstr[[#This Row],[Fac]:[Shr]])+SUM(TblConstr[[#This Row],[Dest Fac]:[Dest Shr]]) +Rezone!O118 + IF("Ch_" &amp; home_land=TblConstr[[#Headers],[Ch_Hill]],TblConstr[[#This Row],[Home Land]])+IF(TblConstr[[#This Row],[Hour]:[Hour]]&gt;12,OFFSET(TblExplore[[#This Row],[Hill Explore]],-12,0),0)</f>
        <v>0</v>
      </c>
      <c r="CU118" s="196" t="n">
        <f aca="false">-SUM(TblConstr[[#This Row],[Tow]:[WG]])+SUM(TblConstr[[#This Row],[Dest Tow]:[Dest WG]]) +Rezone!P118 + IF("Ch_" &amp; home_land=TblConstr[[#Headers],[Ch_Swamp]],TblConstr[[#This Row],[Home Land]])+IF(TblConstr[[#This Row],[Hour]:[Hour]]&gt;12,OFFSET(TblExplore[[#This Row],[Swamp Explore]],-12,0),0)</f>
        <v>0</v>
      </c>
      <c r="CV118" s="197" t="n">
        <f aca="false">- SUM(TblConstr[[#This Row],[DM]:[Sch]])+SUM(TblConstr[[#This Row],[Dest DM]:[Dest Sch]]) +Rezone!Q118 + IF("Ch_" &amp; home_land=TblConstr[[#Headers],[Ch_Cavern]],TblConstr[[#This Row],[Home Land]])+IF(TblConstr[[#This Row],[Hour]:[Hour]]&gt;12,OFFSET(TblExplore[[#This Row],[Cavern Explore]],-12,0),0)</f>
        <v>0</v>
      </c>
      <c r="CW118" s="198" t="n">
        <f aca="false">-TblConstr[[#This Row],[Doc]]+TblConstr[[#This Row],[Dest Doc]] +Rezone!R118 + IF("Ch_" &amp; home_land=TblConstr[[#Headers],[Ch_Water]],TblConstr[[#This Row],[Home Land]])+IF(TblConstr[[#This Row],[Hour]:[Hour]]&gt;12,OFFSET(TblExplore[[#This Row],[Water Explore]],-12,0),0)</f>
        <v>0</v>
      </c>
      <c r="CX118" s="1" t="n">
        <f aca="false">IF(Explore!S118=1,20) - TblConstr[[#This Row],[Hom]] + TblConstr[[#This Row],[Dest Hom]]</f>
        <v>0</v>
      </c>
      <c r="CY118" s="132"/>
      <c r="CZ118" s="69" t="n">
        <f aca="false">G118+SUM(P107:S118)+SUM(AZ118:BC118)</f>
        <v>430</v>
      </c>
      <c r="DA118" s="69" t="n">
        <f aca="false">H118+SUM(T107:U118)+SUM(BD118:BE118)</f>
        <v>25</v>
      </c>
      <c r="DB118" s="1" t="n">
        <f aca="false">I118+SUM(V107:W118)+SUM(BF118:BG118)</f>
        <v>0</v>
      </c>
      <c r="DC118" s="69" t="n">
        <f aca="false">J118+SUM(X107:Y118)+SUM(BH118:BI118)</f>
        <v>55</v>
      </c>
      <c r="DD118" s="69" t="n">
        <f aca="false">K118+SUM(AB107:AD118)+SUM(BL118:BN118)</f>
        <v>76</v>
      </c>
      <c r="DE118" s="1" t="n">
        <f aca="false">L118+SUM(AE107:AE118)+BO118</f>
        <v>0</v>
      </c>
      <c r="DF118" s="69" t="n">
        <f aca="false">M118+SUM(AG107:AG118)+BQ118</f>
        <v>24</v>
      </c>
      <c r="DG118" s="69" t="e">
        <f aca="false" t="array" ref="DG118:DG118">INDEX(TblConstr[[Total Plain]:[Total Water]],ROW()-ROW(TblConstr[#headers]),MATCH("Total "&amp;home_land,TblConstr[[#Headers],[Total Plain]:[Total Water]],0))+TblConstr[[#This Row],[Homes]]</f>
        <v>#VALUE!</v>
      </c>
      <c r="DH118" s="1" t="n">
        <f aca="false">SUM(O107:O118)+AY118</f>
        <v>40</v>
      </c>
      <c r="DI118" s="1" t="n">
        <f aca="false">MAX(BA118-BA117,0)</f>
        <v>0</v>
      </c>
      <c r="DJ118" s="1" t="n">
        <f aca="false">MAX(BQ118-BQ117,0)</f>
        <v>0</v>
      </c>
    </row>
    <row r="119" customFormat="false" ht="12.75" hidden="false" customHeight="false" outlineLevel="0" collapsed="false">
      <c r="A119" s="170" t="n">
        <f aca="false">TblRezone[[#This Row],[Hour]]</f>
        <v>116</v>
      </c>
      <c r="B119" s="171" t="n">
        <f aca="false">SUM(TblConstr[[#This Row],[Plain]:[Water]])</f>
        <v>0</v>
      </c>
      <c r="C119" s="172" t="n">
        <f aca="false">SUM(TblConstr[[#This Row],[Tot Hom]:[Tot Doc]])</f>
        <v>700</v>
      </c>
      <c r="D119" s="172" t="n">
        <f aca="false">SUM(O108:AG119)</f>
        <v>0</v>
      </c>
      <c r="E119" s="173"/>
      <c r="F119" s="33" t="n">
        <f aca="false">TblConstr[[#This Row],[Barren]]+TblConstr[[#This Row],[Buildings]]+TblConstr[[#This Row],[Incoming]]</f>
        <v>700</v>
      </c>
      <c r="G119" s="199" t="n">
        <f aca="false">OFFSET(TblConstr[[#This Row],[Plain]],-1,0)+TblConstr[[#This Row],[Ch_Plain]]</f>
        <v>0</v>
      </c>
      <c r="H119" s="193" t="n">
        <f aca="false">OFFSET(TblConstr[[#This Row],[Forest]],-1,0)+TblConstr[[#This Row],[Ch_Forest]]</f>
        <v>0</v>
      </c>
      <c r="I119" s="200" t="n">
        <f aca="false">OFFSET(TblConstr[[#This Row],[Mountain]],-1,0)+TblConstr[[#This Row],[Ch_Mountain]]</f>
        <v>0</v>
      </c>
      <c r="J119" s="201" t="n">
        <f aca="false">OFFSET(TblConstr[[#This Row],[Hill]],-1,0)+TblConstr[[#This Row],[Ch_Hill]]</f>
        <v>0</v>
      </c>
      <c r="K119" s="202" t="n">
        <f aca="false">OFFSET(TblConstr[[#This Row],[Swamp]],-1,0)+TblConstr[[#This Row],[Ch_Swamp]]</f>
        <v>0</v>
      </c>
      <c r="L119" s="197" t="n">
        <f aca="false">OFFSET(TblConstr[[#This Row],[Cavern]],-1,0)+TblConstr[[#This Row],[Ch_Cavern]]</f>
        <v>0</v>
      </c>
      <c r="M119" s="198" t="n">
        <f aca="false">OFFSET(TblConstr[[#This Row],[Water]],-1,0)+TblConstr[[#This Row],[Ch_Water]]</f>
        <v>0</v>
      </c>
      <c r="N119" s="181" t="n">
        <f aca="false">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20" t="n">
        <f aca="false">TblImps[[#This Row],[Time]]</f>
        <v>45434.5416666667</v>
      </c>
      <c r="AI119" s="130" t="n">
        <f aca="false">MIN(25%,(TblConstr[[#This Row],[Tot Fac]]+TblConstr[[#This Row],[Dest Fac]])/(TblConstr[[#This Row],[Land]]-TblExplore[[#This Row],[Land Bonus]]*20))</f>
        <v>0</v>
      </c>
      <c r="AJ119" s="130" t="n">
        <f aca="false">MIN(25%,(TblConstr[[#This Row],[Tot Fac]]+TblConstr[[#This Row],[Dest Fac]])/TblConstr[[#This Row],[Land]])</f>
        <v>0</v>
      </c>
      <c r="AK119" s="69" t="n">
        <f aca="false">TblProd[[#This Row],[Platinum]]</f>
        <v>1715389</v>
      </c>
      <c r="AL119" s="69" t="n">
        <f aca="false">TblProd[[#This Row],[Lumber]]</f>
        <v>48595</v>
      </c>
      <c r="AM1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9" s="69" t="n">
        <f aca="false">ROUNDDOWN( MAX(1 - MIN(facs_constr_factor*TblConstr[[#This Row],[Facs -DB]],facs_constr_max) + tech_1_11*TblTech[[#This Row],[11-1]] + tech_6_3_2*TblTech[[#This Row],[6-3]] + tech_5_2_3*TblTech[[#This Row],[5-2]], 1-global_constr_cap) * TblConstr[[#This Row],[RCPA Lumber]],0)</f>
        <v>216</v>
      </c>
      <c r="AO1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9" s="69" t="n">
        <f aca="false">ROUNDDOWN( MAX(1 - MIN(facs_constr_factor*TblConstr[[#This Row],[Facs DB]],facs_constr_max) + tech_1_11*TblTech[[#This Row],[1-11]] + tech_6_3_2*TblTech[[#This Row],[6-3]] + tech_5_2_3*TblTech[[#This Row],[5-2]], 1-global_constr_cap) * ROUND((TblConstr[[#This Row],[Land]]-250)*0.285 + 87.5 + 0/4.25,0),0)</f>
        <v>216</v>
      </c>
      <c r="AQ119" s="1" t="n">
        <f aca="false">TblConstr[[#This Row],[build -db]]*TblConstr[[#This Row],[CPA Platinum -DB]] + TblConstr[[#This Row],[build db]]*TblConstr[[#This Row],[CPA Platinum DB]]</f>
        <v>0</v>
      </c>
      <c r="AR119" s="1" t="n">
        <f aca="false">TblConstr[[#This Row],[build -db]]*TblConstr[[#This Row],[CPA Lumber -DB]]+TblConstr[[#This Row],[build db]]*TblConstr[[#This Row],[CPA Lumber DB]]</f>
        <v>0</v>
      </c>
      <c r="AS119" s="69" t="n">
        <f aca="false">MIN(SUM(OFFSET(TblConstr[[#This Row],[Plain]:[Water]],-1,0))+SUM(TblConstr[[#This Row],[Dest Hom]:[Dest Doc]])+IF(TblConstr[[#This Row],[Hour]]&gt;12,SUM(OFFSET(TblExplore[[#This Row],[Plains Explore]:[Water Explore]],-12,0)),0),SUM(TblConstr[[#This Row],[Hom]:[Doc]]))</f>
        <v>0</v>
      </c>
      <c r="AT11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32"/>
      <c r="AV119" s="69" t="n">
        <f aca="false">ROUND((TblConstr[[#This Row],[Land]]-250 - IF(TblExplore[[#This Row],[Land Bonus]]&lt;&gt;0,20,0))*1.25 + 850 + 0,0)</f>
        <v>1413</v>
      </c>
      <c r="AW119" s="69" t="n">
        <f aca="false">ROUND((TblConstr[[#This Row],[Land]]-250 - IF(TblExplore[[#This Row],[Land Bonus]]&lt;&gt;0,20,0))*0.285 + 87.5 + 0/4.25,0)</f>
        <v>216</v>
      </c>
      <c r="AX119" s="146"/>
      <c r="AY119" s="203" t="n">
        <f aca="false" t="array" ref="AY119:AY119">IF(TblConstr[[#This Row],[Hour]:[Hour]]&gt;12,OFFSET(TblConstr[[#This Row],[Hom]],-12,0),0)+OFFSET(TblConstr[[#This Row],[Tot Hom]],-1,0)-TblConstr[[#This Row],[Dest Hom]]</f>
        <v>40</v>
      </c>
      <c r="AZ119" s="204" t="n">
        <f aca="false" t="array" ref="AZ119:AZ119">IF(TblConstr[[#This Row],[Hour]:[Hour]]&gt;12,OFFSET(TblConstr[[#This Row],[Alc]],-12,0),0)+OFFSET(TblConstr[[#This Row],[Tot Alc]],-1,0)-TblConstr[[#This Row],[Dest Alc]]</f>
        <v>275</v>
      </c>
      <c r="BA119" s="204" t="n">
        <f aca="false" t="array" ref="BA119:BA119">IF(TblConstr[[#This Row],[Hour]:[Hour]]&gt;12,OFFSET(TblConstr[[#This Row],[Far]],-12,0),0)+OFFSET(TblConstr[[#This Row],[Tot Farm]],-1,0)-TblConstr[[#This Row],[Dest Farm]]</f>
        <v>29</v>
      </c>
      <c r="BB119" s="204" t="n">
        <f aca="false" t="array" ref="BB119:BB119">IF(TblConstr[[#This Row],[Hour]:[Hour]]&gt;12,OFFSET(TblConstr[[#This Row],[Smi]],-12,0),0)+OFFSET(TblConstr[[#This Row],[Tot Smi]],-1,0)-TblConstr[[#This Row],[Dest Smi]]</f>
        <v>126</v>
      </c>
      <c r="BC119" s="204" t="n">
        <f aca="false" t="array" ref="BC119:BC119">IF(TblConstr[[#This Row],[Hour]:[Hour]]&gt;12,OFFSET(TblConstr[[#This Row],[Mas]],-12,0),0)+OFFSET(TblConstr[[#This Row],[Tot Mas]],-1,0)-TblConstr[[#This Row],[Dest Mas]]</f>
        <v>0</v>
      </c>
      <c r="BD119" s="205" t="n">
        <f aca="false" t="array" ref="BD119:BD119">IF(TblConstr[[#This Row],[Hour]:[Hour]]&gt;12,OFFSET(TblConstr[[#This Row],[Ly]],-12,0),0)+OFFSET(TblConstr[[#This Row],[Tot Ly]],-1,0)-TblConstr[[#This Row],[Dest Ly]]</f>
        <v>25</v>
      </c>
      <c r="BE119" s="205" t="n">
        <f aca="false" t="array" ref="BE119:BE119">IF(TblConstr[[#This Row],[Hour]:[Hour]]&gt;12,OFFSET(TblConstr[[#This Row],[Hav]],-12,0),0)+OFFSET(TblConstr[[#This Row],[Tot Hav]],-1,0)-TblConstr[[#This Row],[Dest Hav]]</f>
        <v>0</v>
      </c>
      <c r="BF119" s="194" t="n">
        <f aca="false" t="array" ref="BF119:BF119">IF(TblConstr[[#This Row],[Hour]:[Hour]]&gt;12,OFFSET(TblConstr[[#This Row],[OM]],-12,0),0)+OFFSET(TblConstr[[#This Row],[Tot OM]],-1,0)-TblConstr[[#This Row],[Dest OM]]</f>
        <v>0</v>
      </c>
      <c r="BG119" s="194" t="n">
        <f aca="false" t="array" ref="BG119:BG119">IF(TblConstr[[#This Row],[Hour]:[Hour]]&gt;12,OFFSET(TblConstr[[#This Row],[GN]],-12,0),0)+OFFSET(TblConstr[[#This Row],[Tot GN]],-1,0)-TblConstr[[#This Row],[Dest GN]]</f>
        <v>0</v>
      </c>
      <c r="BH119" s="206" t="n">
        <f aca="false" t="array" ref="BH119:BH119">IF(TblConstr[[#This Row],[Hour]:[Hour]]&gt;12,OFFSET(TblConstr[[#This Row],[Fac]],-12,0),0)+OFFSET(TblConstr[[#This Row],[Tot Fac]],-1,0)-TblConstr[[#This Row],[Dest Fac]]</f>
        <v>0</v>
      </c>
      <c r="BI119" s="206" t="n">
        <f aca="false" t="array" ref="BI119:BI119">IF(TblConstr[[#This Row],[Hour]:[Hour]]&gt;12,OFFSET(TblConstr[[#This Row],[GT]],-12,0),0)+OFFSET(TblConstr[[#This Row],[Tot GT]],-1,0)-TblConstr[[#This Row],[Dest GT]]</f>
        <v>55</v>
      </c>
      <c r="BJ119" s="206" t="n">
        <f aca="false" t="array" ref="BJ119:BJ119">IF(TblConstr[[#This Row],[Hour]:[Hour]]&gt;12,OFFSET(TblConstr[[#This Row],[Bar]],-12,0),0)+OFFSET(TblConstr[[#This Row],[Tot Bar]],-1,0)-TblConstr[[#This Row],[Dest Bar]]</f>
        <v>50</v>
      </c>
      <c r="BK119" s="206" t="n">
        <f aca="false" t="array" ref="BK119:BK119">IF(TblConstr[[#This Row],[Hour]:[Hour]]&gt;12,OFFSET(TblConstr[[#This Row],[Shr]],-12,0),0)+OFFSET(TblConstr[[#This Row],[Tot Shr]],-1,0)-TblConstr[[#This Row],[Dest Shr]]</f>
        <v>0</v>
      </c>
      <c r="BL119" s="207" t="n">
        <f aca="false" t="array" ref="BL119:BL119">IF(TblConstr[[#This Row],[Hour]:[Hour]]&gt;12,OFFSET(TblConstr[[#This Row],[Tow]],-12,0),0)+OFFSET(TblConstr[[#This Row],[Tot Tow]],-1,0)-TblConstr[[#This Row],[Dest Tow]]</f>
        <v>29</v>
      </c>
      <c r="BM119" s="207" t="n">
        <f aca="false" t="array" ref="BM119:BM119">IF(TblConstr[[#This Row],[Hour]:[Hour]]&gt;12,OFFSET(TblConstr[[#This Row],[Tem]],-12,0),0)+OFFSET(TblConstr[[#This Row],[Tot Tem]],-1,0)-TblConstr[[#This Row],[Dest Tem]]</f>
        <v>47</v>
      </c>
      <c r="BN119" s="207" t="n">
        <f aca="false" t="array" ref="BN119:BN119">IF(TblConstr[[#This Row],[Hour]:[Hour]]&gt;12,OFFSET(TblConstr[[#This Row],[WG]],-12,0),0)+OFFSET(TblConstr[[#This Row],[Tot WG]],-1,0)-TblConstr[[#This Row],[Dest WG]]</f>
        <v>0</v>
      </c>
      <c r="BO119" s="208" t="n">
        <f aca="false" t="array" ref="BO119:BO119">IF(TblConstr[[#This Row],[Hour]:[Hour]]&gt;12,OFFSET(TblConstr[[#This Row],[DM]],-12,0),0)+OFFSET(TblConstr[[#This Row],[Tot DM]],-1,0)-TblConstr[[#This Row],[Dest DM]]</f>
        <v>0</v>
      </c>
      <c r="BP119" s="208" t="n">
        <f aca="false" t="array" ref="BP119:BP119">IF(TblConstr[[#This Row],[Hour]:[Hour]]&gt;12,OFFSET(TblConstr[[#This Row],[Sch]],-12,0),0)+OFFSET(TblConstr[[#This Row],[Tot Sch]],-1,0)-TblConstr[[#This Row],[Dest Sch]]</f>
        <v>0</v>
      </c>
      <c r="BQ119" s="209" t="n">
        <f aca="false" t="array" ref="BQ119:BQ119">IF(TblConstr[[#This Row],[Hour]:[Hour]]&gt;12,OFFSET(TblConstr[[#This Row],[Doc]],-12,0),0)+OFFSET(TblConstr[[#This Row],[Tot Doc]],-1,0)-TblConstr[[#This Row],[Dest Doc]]</f>
        <v>24</v>
      </c>
      <c r="BR119" s="132"/>
      <c r="BS119" s="146"/>
      <c r="BT119" s="69" t="n">
        <f aca="false">TblConstr[[#This Row],[Land]]</f>
        <v>700</v>
      </c>
      <c r="BU119" s="153" t="n">
        <f aca="false">TblImps[[#This Row],[Time]]</f>
        <v>45434.5416666667</v>
      </c>
      <c r="BV119" s="132"/>
      <c r="BW119" s="182"/>
      <c r="BX119" s="182"/>
      <c r="BY119" s="182"/>
      <c r="BZ119" s="182"/>
      <c r="CA119" s="182"/>
      <c r="CB119" s="182"/>
      <c r="CC119" s="182"/>
      <c r="CD119" s="182"/>
      <c r="CE119" s="182"/>
      <c r="CF119" s="182"/>
      <c r="CG119" s="182"/>
      <c r="CH119" s="182"/>
      <c r="CI119" s="182"/>
      <c r="CJ119" s="182"/>
      <c r="CK119" s="182"/>
      <c r="CL119" s="182"/>
      <c r="CM119" s="182"/>
      <c r="CN119" s="182"/>
      <c r="CO119" s="182"/>
      <c r="CP119" s="132"/>
      <c r="CQ119" s="192" t="n">
        <f aca="false">-SUM(TblConstr[[#This Row],[Alc]:[Mas]])+SUM(TblConstr[[#This Row],[Dest Alc]:[Dest Mas]])+Rezone!L119+IF("Ch_"&amp; home_land=TblConstr[[#Headers],[Ch_Plain]],TblConstr[[#This Row],[Home Land]])+IF(TblConstr[[#This Row],[Hour]:[Hour]]&gt;12,OFFSET(TblExplore[[#This Row],[Plains Explore]],-12,0),0)</f>
        <v>0</v>
      </c>
      <c r="CR119" s="193" t="n">
        <f aca="false">-SUM(TblConstr[[#This Row],[Ly]:[Hav]])+SUM(TblConstr[[#This Row],[Dest Ly]:[Dest Hav]]) +Rezone!M119 + IF("Ch_"&amp; home_land=TblConstr[[#Headers],[Ch_Forest]],TblConstr[[#This Row],[Home Land]])+IF(TblConstr[[#This Row],[Hour]:[Hour]]&gt;12,OFFSET(TblExplore[[#This Row],[Forest Explore]],-12,0),0)</f>
        <v>0</v>
      </c>
      <c r="CS119" s="200" t="n">
        <f aca="false">-SUM(TblConstr[[#This Row],[OM]:[GN]])+SUM(TblConstr[[#This Row],[Dest OM]:[Dest GN]]) +Rezone!N119 + IF("Ch_"&amp; home_land=TblConstr[[#Headers],[Ch_Mountain]],TblConstr[[#This Row],[Home Land]])+IF(TblConstr[[#This Row],[Hour]:[Hour]]&gt;12,OFFSET(TblExplore[[#This Row],[Mountain Explore]],-12,0),0)</f>
        <v>0</v>
      </c>
      <c r="CT119" s="195" t="n">
        <f aca="false">-SUM(TblConstr[[#This Row],[Fac]:[Shr]])+SUM(TblConstr[[#This Row],[Dest Fac]:[Dest Shr]]) +Rezone!O119 + IF("Ch_" &amp; home_land=TblConstr[[#Headers],[Ch_Hill]],TblConstr[[#This Row],[Home Land]])+IF(TblConstr[[#This Row],[Hour]:[Hour]]&gt;12,OFFSET(TblExplore[[#This Row],[Hill Explore]],-12,0),0)</f>
        <v>0</v>
      </c>
      <c r="CU119" s="196" t="n">
        <f aca="false">-SUM(TblConstr[[#This Row],[Tow]:[WG]])+SUM(TblConstr[[#This Row],[Dest Tow]:[Dest WG]]) +Rezone!P119 + IF("Ch_" &amp; home_land=TblConstr[[#Headers],[Ch_Swamp]],TblConstr[[#This Row],[Home Land]])+IF(TblConstr[[#This Row],[Hour]:[Hour]]&gt;12,OFFSET(TblExplore[[#This Row],[Swamp Explore]],-12,0),0)</f>
        <v>0</v>
      </c>
      <c r="CV119" s="197" t="n">
        <f aca="false">- SUM(TblConstr[[#This Row],[DM]:[Sch]])+SUM(TblConstr[[#This Row],[Dest DM]:[Dest Sch]]) +Rezone!Q119 + IF("Ch_" &amp; home_land=TblConstr[[#Headers],[Ch_Cavern]],TblConstr[[#This Row],[Home Land]])+IF(TblConstr[[#This Row],[Hour]:[Hour]]&gt;12,OFFSET(TblExplore[[#This Row],[Cavern Explore]],-12,0),0)</f>
        <v>0</v>
      </c>
      <c r="CW119" s="198" t="n">
        <f aca="false">-TblConstr[[#This Row],[Doc]]+TblConstr[[#This Row],[Dest Doc]] +Rezone!R119 + IF("Ch_" &amp; home_land=TblConstr[[#Headers],[Ch_Water]],TblConstr[[#This Row],[Home Land]])+IF(TblConstr[[#This Row],[Hour]:[Hour]]&gt;12,OFFSET(TblExplore[[#This Row],[Water Explore]],-12,0),0)</f>
        <v>0</v>
      </c>
      <c r="CX119" s="1" t="n">
        <f aca="false">IF(Explore!S119=1,20) - TblConstr[[#This Row],[Hom]] + TblConstr[[#This Row],[Dest Hom]]</f>
        <v>0</v>
      </c>
      <c r="CY119" s="132"/>
      <c r="CZ119" s="69" t="n">
        <f aca="false">G119+SUM(P108:S119)+SUM(AZ119:BC119)</f>
        <v>430</v>
      </c>
      <c r="DA119" s="69" t="n">
        <f aca="false">H119+SUM(T108:U119)+SUM(BD119:BE119)</f>
        <v>25</v>
      </c>
      <c r="DB119" s="1" t="n">
        <f aca="false">I119+SUM(V108:W119)+SUM(BF119:BG119)</f>
        <v>0</v>
      </c>
      <c r="DC119" s="69" t="n">
        <f aca="false">J119+SUM(X108:Y119)+SUM(BH119:BI119)</f>
        <v>55</v>
      </c>
      <c r="DD119" s="69" t="n">
        <f aca="false">K119+SUM(AB108:AD119)+SUM(BL119:BN119)</f>
        <v>76</v>
      </c>
      <c r="DE119" s="1" t="n">
        <f aca="false">L119+SUM(AE108:AE119)+BO119</f>
        <v>0</v>
      </c>
      <c r="DF119" s="69" t="n">
        <f aca="false">M119+SUM(AG108:AG119)+BQ119</f>
        <v>24</v>
      </c>
      <c r="DG119" s="69" t="e">
        <f aca="false" t="array" ref="DG119:DG119">INDEX(TblConstr[[Total Plain]:[Total Water]],ROW()-ROW(TblConstr[#headers]),MATCH("Total "&amp;home_land,TblConstr[[#Headers],[Total Plain]:[Total Water]],0))+TblConstr[[#This Row],[Homes]]</f>
        <v>#VALUE!</v>
      </c>
      <c r="DH119" s="1" t="n">
        <f aca="false">SUM(O108:O119)+AY119</f>
        <v>40</v>
      </c>
      <c r="DI119" s="1" t="n">
        <f aca="false">MAX(BA119-BA118,0)</f>
        <v>0</v>
      </c>
      <c r="DJ119" s="1" t="n">
        <f aca="false">MAX(BQ119-BQ118,0)</f>
        <v>0</v>
      </c>
    </row>
    <row r="120" customFormat="false" ht="12.75" hidden="false" customHeight="false" outlineLevel="0" collapsed="false">
      <c r="A120" s="170" t="n">
        <f aca="false">TblRezone[[#This Row],[Hour]]</f>
        <v>117</v>
      </c>
      <c r="B120" s="171" t="n">
        <f aca="false">SUM(TblConstr[[#This Row],[Plain]:[Water]])</f>
        <v>0</v>
      </c>
      <c r="C120" s="172" t="n">
        <f aca="false">SUM(TblConstr[[#This Row],[Tot Hom]:[Tot Doc]])</f>
        <v>700</v>
      </c>
      <c r="D120" s="172" t="n">
        <f aca="false">SUM(O109:AG120)</f>
        <v>0</v>
      </c>
      <c r="E120" s="173"/>
      <c r="F120" s="33" t="n">
        <f aca="false">TblConstr[[#This Row],[Barren]]+TblConstr[[#This Row],[Buildings]]+TblConstr[[#This Row],[Incoming]]</f>
        <v>700</v>
      </c>
      <c r="G120" s="199" t="n">
        <f aca="false">OFFSET(TblConstr[[#This Row],[Plain]],-1,0)+TblConstr[[#This Row],[Ch_Plain]]</f>
        <v>0</v>
      </c>
      <c r="H120" s="193" t="n">
        <f aca="false">OFFSET(TblConstr[[#This Row],[Forest]],-1,0)+TblConstr[[#This Row],[Ch_Forest]]</f>
        <v>0</v>
      </c>
      <c r="I120" s="200" t="n">
        <f aca="false">OFFSET(TblConstr[[#This Row],[Mountain]],-1,0)+TblConstr[[#This Row],[Ch_Mountain]]</f>
        <v>0</v>
      </c>
      <c r="J120" s="201" t="n">
        <f aca="false">OFFSET(TblConstr[[#This Row],[Hill]],-1,0)+TblConstr[[#This Row],[Ch_Hill]]</f>
        <v>0</v>
      </c>
      <c r="K120" s="202" t="n">
        <f aca="false">OFFSET(TblConstr[[#This Row],[Swamp]],-1,0)+TblConstr[[#This Row],[Ch_Swamp]]</f>
        <v>0</v>
      </c>
      <c r="L120" s="197" t="n">
        <f aca="false">OFFSET(TblConstr[[#This Row],[Cavern]],-1,0)+TblConstr[[#This Row],[Ch_Cavern]]</f>
        <v>0</v>
      </c>
      <c r="M120" s="198" t="n">
        <f aca="false">OFFSET(TblConstr[[#This Row],[Water]],-1,0)+TblConstr[[#This Row],[Ch_Water]]</f>
        <v>0</v>
      </c>
      <c r="N120" s="181" t="n">
        <f aca="false">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20" t="n">
        <f aca="false">TblImps[[#This Row],[Time]]</f>
        <v>45434.5833333333</v>
      </c>
      <c r="AI120" s="130" t="n">
        <f aca="false">MIN(25%,(TblConstr[[#This Row],[Tot Fac]]+TblConstr[[#This Row],[Dest Fac]])/(TblConstr[[#This Row],[Land]]-TblExplore[[#This Row],[Land Bonus]]*20))</f>
        <v>0</v>
      </c>
      <c r="AJ120" s="130" t="n">
        <f aca="false">MIN(25%,(TblConstr[[#This Row],[Tot Fac]]+TblConstr[[#This Row],[Dest Fac]])/TblConstr[[#This Row],[Land]])</f>
        <v>0</v>
      </c>
      <c r="AK120" s="69" t="n">
        <f aca="false">TblProd[[#This Row],[Platinum]]</f>
        <v>1745314</v>
      </c>
      <c r="AL120" s="69" t="n">
        <f aca="false">TblProd[[#This Row],[Lumber]]</f>
        <v>49234</v>
      </c>
      <c r="AM1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0" s="69" t="n">
        <f aca="false">ROUNDDOWN( MAX(1 - MIN(facs_constr_factor*TblConstr[[#This Row],[Facs -DB]],facs_constr_max) + tech_1_11*TblTech[[#This Row],[11-1]] + tech_6_3_2*TblTech[[#This Row],[6-3]] + tech_5_2_3*TblTech[[#This Row],[5-2]], 1-global_constr_cap) * TblConstr[[#This Row],[RCPA Lumber]],0)</f>
        <v>216</v>
      </c>
      <c r="AO1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0" s="69" t="n">
        <f aca="false">ROUNDDOWN( MAX(1 - MIN(facs_constr_factor*TblConstr[[#This Row],[Facs DB]],facs_constr_max) + tech_1_11*TblTech[[#This Row],[1-11]] + tech_6_3_2*TblTech[[#This Row],[6-3]] + tech_5_2_3*TblTech[[#This Row],[5-2]], 1-global_constr_cap) * ROUND((TblConstr[[#This Row],[Land]]-250)*0.285 + 87.5 + 0/4.25,0),0)</f>
        <v>216</v>
      </c>
      <c r="AQ120" s="1" t="n">
        <f aca="false">TblConstr[[#This Row],[build -db]]*TblConstr[[#This Row],[CPA Platinum -DB]] + TblConstr[[#This Row],[build db]]*TblConstr[[#This Row],[CPA Platinum DB]]</f>
        <v>0</v>
      </c>
      <c r="AR120" s="1" t="n">
        <f aca="false">TblConstr[[#This Row],[build -db]]*TblConstr[[#This Row],[CPA Lumber -DB]]+TblConstr[[#This Row],[build db]]*TblConstr[[#This Row],[CPA Lumber DB]]</f>
        <v>0</v>
      </c>
      <c r="AS120" s="69" t="n">
        <f aca="false">MIN(SUM(OFFSET(TblConstr[[#This Row],[Plain]:[Water]],-1,0))+SUM(TblConstr[[#This Row],[Dest Hom]:[Dest Doc]])+IF(TblConstr[[#This Row],[Hour]]&gt;12,SUM(OFFSET(TblExplore[[#This Row],[Plains Explore]:[Water Explore]],-12,0)),0),SUM(TblConstr[[#This Row],[Hom]:[Doc]]))</f>
        <v>0</v>
      </c>
      <c r="AT12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32"/>
      <c r="AV120" s="69" t="n">
        <f aca="false">ROUND((TblConstr[[#This Row],[Land]]-250 - IF(TblExplore[[#This Row],[Land Bonus]]&lt;&gt;0,20,0))*1.25 + 850 + 0,0)</f>
        <v>1413</v>
      </c>
      <c r="AW120" s="69" t="n">
        <f aca="false">ROUND((TblConstr[[#This Row],[Land]]-250 - IF(TblExplore[[#This Row],[Land Bonus]]&lt;&gt;0,20,0))*0.285 + 87.5 + 0/4.25,0)</f>
        <v>216</v>
      </c>
      <c r="AX120" s="146"/>
      <c r="AY120" s="203" t="n">
        <f aca="false" t="array" ref="AY120:AY120">IF(TblConstr[[#This Row],[Hour]:[Hour]]&gt;12,OFFSET(TblConstr[[#This Row],[Hom]],-12,0),0)+OFFSET(TblConstr[[#This Row],[Tot Hom]],-1,0)-TblConstr[[#This Row],[Dest Hom]]</f>
        <v>40</v>
      </c>
      <c r="AZ120" s="204" t="n">
        <f aca="false" t="array" ref="AZ120:AZ120">IF(TblConstr[[#This Row],[Hour]:[Hour]]&gt;12,OFFSET(TblConstr[[#This Row],[Alc]],-12,0),0)+OFFSET(TblConstr[[#This Row],[Tot Alc]],-1,0)-TblConstr[[#This Row],[Dest Alc]]</f>
        <v>275</v>
      </c>
      <c r="BA120" s="204" t="n">
        <f aca="false" t="array" ref="BA120:BA120">IF(TblConstr[[#This Row],[Hour]:[Hour]]&gt;12,OFFSET(TblConstr[[#This Row],[Far]],-12,0),0)+OFFSET(TblConstr[[#This Row],[Tot Farm]],-1,0)-TblConstr[[#This Row],[Dest Farm]]</f>
        <v>29</v>
      </c>
      <c r="BB120" s="204" t="n">
        <f aca="false" t="array" ref="BB120:BB120">IF(TblConstr[[#This Row],[Hour]:[Hour]]&gt;12,OFFSET(TblConstr[[#This Row],[Smi]],-12,0),0)+OFFSET(TblConstr[[#This Row],[Tot Smi]],-1,0)-TblConstr[[#This Row],[Dest Smi]]</f>
        <v>126</v>
      </c>
      <c r="BC120" s="204" t="n">
        <f aca="false" t="array" ref="BC120:BC120">IF(TblConstr[[#This Row],[Hour]:[Hour]]&gt;12,OFFSET(TblConstr[[#This Row],[Mas]],-12,0),0)+OFFSET(TblConstr[[#This Row],[Tot Mas]],-1,0)-TblConstr[[#This Row],[Dest Mas]]</f>
        <v>0</v>
      </c>
      <c r="BD120" s="205" t="n">
        <f aca="false" t="array" ref="BD120:BD120">IF(TblConstr[[#This Row],[Hour]:[Hour]]&gt;12,OFFSET(TblConstr[[#This Row],[Ly]],-12,0),0)+OFFSET(TblConstr[[#This Row],[Tot Ly]],-1,0)-TblConstr[[#This Row],[Dest Ly]]</f>
        <v>25</v>
      </c>
      <c r="BE120" s="205" t="n">
        <f aca="false" t="array" ref="BE120:BE120">IF(TblConstr[[#This Row],[Hour]:[Hour]]&gt;12,OFFSET(TblConstr[[#This Row],[Hav]],-12,0),0)+OFFSET(TblConstr[[#This Row],[Tot Hav]],-1,0)-TblConstr[[#This Row],[Dest Hav]]</f>
        <v>0</v>
      </c>
      <c r="BF120" s="194" t="n">
        <f aca="false" t="array" ref="BF120:BF120">IF(TblConstr[[#This Row],[Hour]:[Hour]]&gt;12,OFFSET(TblConstr[[#This Row],[OM]],-12,0),0)+OFFSET(TblConstr[[#This Row],[Tot OM]],-1,0)-TblConstr[[#This Row],[Dest OM]]</f>
        <v>0</v>
      </c>
      <c r="BG120" s="194" t="n">
        <f aca="false" t="array" ref="BG120:BG120">IF(TblConstr[[#This Row],[Hour]:[Hour]]&gt;12,OFFSET(TblConstr[[#This Row],[GN]],-12,0),0)+OFFSET(TblConstr[[#This Row],[Tot GN]],-1,0)-TblConstr[[#This Row],[Dest GN]]</f>
        <v>0</v>
      </c>
      <c r="BH120" s="206" t="n">
        <f aca="false" t="array" ref="BH120:BH120">IF(TblConstr[[#This Row],[Hour]:[Hour]]&gt;12,OFFSET(TblConstr[[#This Row],[Fac]],-12,0),0)+OFFSET(TblConstr[[#This Row],[Tot Fac]],-1,0)-TblConstr[[#This Row],[Dest Fac]]</f>
        <v>0</v>
      </c>
      <c r="BI120" s="206" t="n">
        <f aca="false" t="array" ref="BI120:BI120">IF(TblConstr[[#This Row],[Hour]:[Hour]]&gt;12,OFFSET(TblConstr[[#This Row],[GT]],-12,0),0)+OFFSET(TblConstr[[#This Row],[Tot GT]],-1,0)-TblConstr[[#This Row],[Dest GT]]</f>
        <v>55</v>
      </c>
      <c r="BJ120" s="206" t="n">
        <f aca="false" t="array" ref="BJ120:BJ120">IF(TblConstr[[#This Row],[Hour]:[Hour]]&gt;12,OFFSET(TblConstr[[#This Row],[Bar]],-12,0),0)+OFFSET(TblConstr[[#This Row],[Tot Bar]],-1,0)-TblConstr[[#This Row],[Dest Bar]]</f>
        <v>50</v>
      </c>
      <c r="BK120" s="206" t="n">
        <f aca="false" t="array" ref="BK120:BK120">IF(TblConstr[[#This Row],[Hour]:[Hour]]&gt;12,OFFSET(TblConstr[[#This Row],[Shr]],-12,0),0)+OFFSET(TblConstr[[#This Row],[Tot Shr]],-1,0)-TblConstr[[#This Row],[Dest Shr]]</f>
        <v>0</v>
      </c>
      <c r="BL120" s="207" t="n">
        <f aca="false" t="array" ref="BL120:BL120">IF(TblConstr[[#This Row],[Hour]:[Hour]]&gt;12,OFFSET(TblConstr[[#This Row],[Tow]],-12,0),0)+OFFSET(TblConstr[[#This Row],[Tot Tow]],-1,0)-TblConstr[[#This Row],[Dest Tow]]</f>
        <v>29</v>
      </c>
      <c r="BM120" s="207" t="n">
        <f aca="false" t="array" ref="BM120:BM120">IF(TblConstr[[#This Row],[Hour]:[Hour]]&gt;12,OFFSET(TblConstr[[#This Row],[Tem]],-12,0),0)+OFFSET(TblConstr[[#This Row],[Tot Tem]],-1,0)-TblConstr[[#This Row],[Dest Tem]]</f>
        <v>47</v>
      </c>
      <c r="BN120" s="207" t="n">
        <f aca="false" t="array" ref="BN120:BN120">IF(TblConstr[[#This Row],[Hour]:[Hour]]&gt;12,OFFSET(TblConstr[[#This Row],[WG]],-12,0),0)+OFFSET(TblConstr[[#This Row],[Tot WG]],-1,0)-TblConstr[[#This Row],[Dest WG]]</f>
        <v>0</v>
      </c>
      <c r="BO120" s="208" t="n">
        <f aca="false" t="array" ref="BO120:BO120">IF(TblConstr[[#This Row],[Hour]:[Hour]]&gt;12,OFFSET(TblConstr[[#This Row],[DM]],-12,0),0)+OFFSET(TblConstr[[#This Row],[Tot DM]],-1,0)-TblConstr[[#This Row],[Dest DM]]</f>
        <v>0</v>
      </c>
      <c r="BP120" s="208" t="n">
        <f aca="false" t="array" ref="BP120:BP120">IF(TblConstr[[#This Row],[Hour]:[Hour]]&gt;12,OFFSET(TblConstr[[#This Row],[Sch]],-12,0),0)+OFFSET(TblConstr[[#This Row],[Tot Sch]],-1,0)-TblConstr[[#This Row],[Dest Sch]]</f>
        <v>0</v>
      </c>
      <c r="BQ120" s="209" t="n">
        <f aca="false" t="array" ref="BQ120:BQ120">IF(TblConstr[[#This Row],[Hour]:[Hour]]&gt;12,OFFSET(TblConstr[[#This Row],[Doc]],-12,0),0)+OFFSET(TblConstr[[#This Row],[Tot Doc]],-1,0)-TblConstr[[#This Row],[Dest Doc]]</f>
        <v>24</v>
      </c>
      <c r="BR120" s="132"/>
      <c r="BS120" s="146"/>
      <c r="BT120" s="69" t="n">
        <f aca="false">TblConstr[[#This Row],[Land]]</f>
        <v>700</v>
      </c>
      <c r="BU120" s="153" t="n">
        <f aca="false">TblImps[[#This Row],[Time]]</f>
        <v>45434.5833333333</v>
      </c>
      <c r="BV120" s="132"/>
      <c r="BW120" s="182"/>
      <c r="BX120" s="182"/>
      <c r="BY120" s="182"/>
      <c r="BZ120" s="182"/>
      <c r="CA120" s="182"/>
      <c r="CB120" s="182"/>
      <c r="CC120" s="182"/>
      <c r="CD120" s="182"/>
      <c r="CE120" s="182"/>
      <c r="CF120" s="182"/>
      <c r="CG120" s="182"/>
      <c r="CH120" s="182"/>
      <c r="CI120" s="182"/>
      <c r="CJ120" s="182"/>
      <c r="CK120" s="182"/>
      <c r="CL120" s="182"/>
      <c r="CM120" s="182"/>
      <c r="CN120" s="182"/>
      <c r="CO120" s="182"/>
      <c r="CP120" s="132"/>
      <c r="CQ120" s="192" t="n">
        <f aca="false">-SUM(TblConstr[[#This Row],[Alc]:[Mas]])+SUM(TblConstr[[#This Row],[Dest Alc]:[Dest Mas]])+Rezone!L120+IF("Ch_"&amp; home_land=TblConstr[[#Headers],[Ch_Plain]],TblConstr[[#This Row],[Home Land]])+IF(TblConstr[[#This Row],[Hour]:[Hour]]&gt;12,OFFSET(TblExplore[[#This Row],[Plains Explore]],-12,0),0)</f>
        <v>0</v>
      </c>
      <c r="CR120" s="193" t="n">
        <f aca="false">-SUM(TblConstr[[#This Row],[Ly]:[Hav]])+SUM(TblConstr[[#This Row],[Dest Ly]:[Dest Hav]]) +Rezone!M120 + IF("Ch_"&amp; home_land=TblConstr[[#Headers],[Ch_Forest]],TblConstr[[#This Row],[Home Land]])+IF(TblConstr[[#This Row],[Hour]:[Hour]]&gt;12,OFFSET(TblExplore[[#This Row],[Forest Explore]],-12,0),0)</f>
        <v>0</v>
      </c>
      <c r="CS120" s="200" t="n">
        <f aca="false">-SUM(TblConstr[[#This Row],[OM]:[GN]])+SUM(TblConstr[[#This Row],[Dest OM]:[Dest GN]]) +Rezone!N120 + IF("Ch_"&amp; home_land=TblConstr[[#Headers],[Ch_Mountain]],TblConstr[[#This Row],[Home Land]])+IF(TblConstr[[#This Row],[Hour]:[Hour]]&gt;12,OFFSET(TblExplore[[#This Row],[Mountain Explore]],-12,0),0)</f>
        <v>0</v>
      </c>
      <c r="CT120" s="195" t="n">
        <f aca="false">-SUM(TblConstr[[#This Row],[Fac]:[Shr]])+SUM(TblConstr[[#This Row],[Dest Fac]:[Dest Shr]]) +Rezone!O120 + IF("Ch_" &amp; home_land=TblConstr[[#Headers],[Ch_Hill]],TblConstr[[#This Row],[Home Land]])+IF(TblConstr[[#This Row],[Hour]:[Hour]]&gt;12,OFFSET(TblExplore[[#This Row],[Hill Explore]],-12,0),0)</f>
        <v>0</v>
      </c>
      <c r="CU120" s="196" t="n">
        <f aca="false">-SUM(TblConstr[[#This Row],[Tow]:[WG]])+SUM(TblConstr[[#This Row],[Dest Tow]:[Dest WG]]) +Rezone!P120 + IF("Ch_" &amp; home_land=TblConstr[[#Headers],[Ch_Swamp]],TblConstr[[#This Row],[Home Land]])+IF(TblConstr[[#This Row],[Hour]:[Hour]]&gt;12,OFFSET(TblExplore[[#This Row],[Swamp Explore]],-12,0),0)</f>
        <v>0</v>
      </c>
      <c r="CV120" s="197" t="n">
        <f aca="false">- SUM(TblConstr[[#This Row],[DM]:[Sch]])+SUM(TblConstr[[#This Row],[Dest DM]:[Dest Sch]]) +Rezone!Q120 + IF("Ch_" &amp; home_land=TblConstr[[#Headers],[Ch_Cavern]],TblConstr[[#This Row],[Home Land]])+IF(TblConstr[[#This Row],[Hour]:[Hour]]&gt;12,OFFSET(TblExplore[[#This Row],[Cavern Explore]],-12,0),0)</f>
        <v>0</v>
      </c>
      <c r="CW120" s="198" t="n">
        <f aca="false">-TblConstr[[#This Row],[Doc]]+TblConstr[[#This Row],[Dest Doc]] +Rezone!R120 + IF("Ch_" &amp; home_land=TblConstr[[#Headers],[Ch_Water]],TblConstr[[#This Row],[Home Land]])+IF(TblConstr[[#This Row],[Hour]:[Hour]]&gt;12,OFFSET(TblExplore[[#This Row],[Water Explore]],-12,0),0)</f>
        <v>0</v>
      </c>
      <c r="CX120" s="1" t="n">
        <f aca="false">IF(Explore!S120=1,20) - TblConstr[[#This Row],[Hom]] + TblConstr[[#This Row],[Dest Hom]]</f>
        <v>0</v>
      </c>
      <c r="CY120" s="132"/>
      <c r="CZ120" s="69" t="n">
        <f aca="false">G120+SUM(P109:S120)+SUM(AZ120:BC120)</f>
        <v>430</v>
      </c>
      <c r="DA120" s="69" t="n">
        <f aca="false">H120+SUM(T109:U120)+SUM(BD120:BE120)</f>
        <v>25</v>
      </c>
      <c r="DB120" s="1" t="n">
        <f aca="false">I120+SUM(V109:W120)+SUM(BF120:BG120)</f>
        <v>0</v>
      </c>
      <c r="DC120" s="69" t="n">
        <f aca="false">J120+SUM(X109:Y120)+SUM(BH120:BI120)</f>
        <v>55</v>
      </c>
      <c r="DD120" s="69" t="n">
        <f aca="false">K120+SUM(AB109:AD120)+SUM(BL120:BN120)</f>
        <v>76</v>
      </c>
      <c r="DE120" s="1" t="n">
        <f aca="false">L120+SUM(AE109:AE120)+BO120</f>
        <v>0</v>
      </c>
      <c r="DF120" s="69" t="n">
        <f aca="false">M120+SUM(AG109:AG120)+BQ120</f>
        <v>24</v>
      </c>
      <c r="DG120" s="69" t="e">
        <f aca="false" t="array" ref="DG120:DG120">INDEX(TblConstr[[Total Plain]:[Total Water]],ROW()-ROW(TblConstr[#headers]),MATCH("Total "&amp;home_land,TblConstr[[#Headers],[Total Plain]:[Total Water]],0))+TblConstr[[#This Row],[Homes]]</f>
        <v>#VALUE!</v>
      </c>
      <c r="DH120" s="1" t="n">
        <f aca="false">SUM(O109:O120)+AY120</f>
        <v>40</v>
      </c>
      <c r="DI120" s="1" t="n">
        <f aca="false">MAX(BA120-BA119,0)</f>
        <v>0</v>
      </c>
      <c r="DJ120" s="1" t="n">
        <f aca="false">MAX(BQ120-BQ119,0)</f>
        <v>0</v>
      </c>
    </row>
    <row r="121" customFormat="false" ht="12.75" hidden="false" customHeight="false" outlineLevel="0" collapsed="false">
      <c r="A121" s="170" t="n">
        <f aca="false">TblRezone[[#This Row],[Hour]]</f>
        <v>118</v>
      </c>
      <c r="B121" s="171" t="n">
        <f aca="false">SUM(TblConstr[[#This Row],[Plain]:[Water]])</f>
        <v>0</v>
      </c>
      <c r="C121" s="172" t="n">
        <f aca="false">SUM(TblConstr[[#This Row],[Tot Hom]:[Tot Doc]])</f>
        <v>700</v>
      </c>
      <c r="D121" s="172" t="n">
        <f aca="false">SUM(O110:AG121)</f>
        <v>0</v>
      </c>
      <c r="E121" s="173"/>
      <c r="F121" s="33" t="n">
        <f aca="false">TblConstr[[#This Row],[Barren]]+TblConstr[[#This Row],[Buildings]]+TblConstr[[#This Row],[Incoming]]</f>
        <v>700</v>
      </c>
      <c r="G121" s="199" t="n">
        <f aca="false">OFFSET(TblConstr[[#This Row],[Plain]],-1,0)+TblConstr[[#This Row],[Ch_Plain]]</f>
        <v>0</v>
      </c>
      <c r="H121" s="193" t="n">
        <f aca="false">OFFSET(TblConstr[[#This Row],[Forest]],-1,0)+TblConstr[[#This Row],[Ch_Forest]]</f>
        <v>0</v>
      </c>
      <c r="I121" s="200" t="n">
        <f aca="false">OFFSET(TblConstr[[#This Row],[Mountain]],-1,0)+TblConstr[[#This Row],[Ch_Mountain]]</f>
        <v>0</v>
      </c>
      <c r="J121" s="201" t="n">
        <f aca="false">OFFSET(TblConstr[[#This Row],[Hill]],-1,0)+TblConstr[[#This Row],[Ch_Hill]]</f>
        <v>0</v>
      </c>
      <c r="K121" s="202" t="n">
        <f aca="false">OFFSET(TblConstr[[#This Row],[Swamp]],-1,0)+TblConstr[[#This Row],[Ch_Swamp]]</f>
        <v>0</v>
      </c>
      <c r="L121" s="197" t="n">
        <f aca="false">OFFSET(TblConstr[[#This Row],[Cavern]],-1,0)+TblConstr[[#This Row],[Ch_Cavern]]</f>
        <v>0</v>
      </c>
      <c r="M121" s="198" t="n">
        <f aca="false">OFFSET(TblConstr[[#This Row],[Water]],-1,0)+TblConstr[[#This Row],[Ch_Water]]</f>
        <v>0</v>
      </c>
      <c r="N121" s="181" t="n">
        <f aca="false">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20" t="n">
        <f aca="false">TblImps[[#This Row],[Time]]</f>
        <v>45434.625</v>
      </c>
      <c r="AI121" s="130" t="n">
        <f aca="false">MIN(25%,(TblConstr[[#This Row],[Tot Fac]]+TblConstr[[#This Row],[Dest Fac]])/(TblConstr[[#This Row],[Land]]-TblExplore[[#This Row],[Land Bonus]]*20))</f>
        <v>0</v>
      </c>
      <c r="AJ121" s="130" t="n">
        <f aca="false">MIN(25%,(TblConstr[[#This Row],[Tot Fac]]+TblConstr[[#This Row],[Dest Fac]])/TblConstr[[#This Row],[Land]])</f>
        <v>0</v>
      </c>
      <c r="AK121" s="69" t="n">
        <f aca="false">TblProd[[#This Row],[Platinum]]</f>
        <v>1775063</v>
      </c>
      <c r="AL121" s="69" t="n">
        <f aca="false">TblProd[[#This Row],[Lumber]]</f>
        <v>49867</v>
      </c>
      <c r="AM1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1" s="69" t="n">
        <f aca="false">ROUNDDOWN( MAX(1 - MIN(facs_constr_factor*TblConstr[[#This Row],[Facs -DB]],facs_constr_max) + tech_1_11*TblTech[[#This Row],[11-1]] + tech_6_3_2*TblTech[[#This Row],[6-3]] + tech_5_2_3*TblTech[[#This Row],[5-2]], 1-global_constr_cap) * TblConstr[[#This Row],[RCPA Lumber]],0)</f>
        <v>216</v>
      </c>
      <c r="AO1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1" s="69" t="n">
        <f aca="false">ROUNDDOWN( MAX(1 - MIN(facs_constr_factor*TblConstr[[#This Row],[Facs DB]],facs_constr_max) + tech_1_11*TblTech[[#This Row],[1-11]] + tech_6_3_2*TblTech[[#This Row],[6-3]] + tech_5_2_3*TblTech[[#This Row],[5-2]], 1-global_constr_cap) * ROUND((TblConstr[[#This Row],[Land]]-250)*0.285 + 87.5 + 0/4.25,0),0)</f>
        <v>216</v>
      </c>
      <c r="AQ121" s="1" t="n">
        <f aca="false">TblConstr[[#This Row],[build -db]]*TblConstr[[#This Row],[CPA Platinum -DB]] + TblConstr[[#This Row],[build db]]*TblConstr[[#This Row],[CPA Platinum DB]]</f>
        <v>0</v>
      </c>
      <c r="AR121" s="1" t="n">
        <f aca="false">TblConstr[[#This Row],[build -db]]*TblConstr[[#This Row],[CPA Lumber -DB]]+TblConstr[[#This Row],[build db]]*TblConstr[[#This Row],[CPA Lumber DB]]</f>
        <v>0</v>
      </c>
      <c r="AS121" s="69" t="n">
        <f aca="false">MIN(SUM(OFFSET(TblConstr[[#This Row],[Plain]:[Water]],-1,0))+SUM(TblConstr[[#This Row],[Dest Hom]:[Dest Doc]])+IF(TblConstr[[#This Row],[Hour]]&gt;12,SUM(OFFSET(TblExplore[[#This Row],[Plains Explore]:[Water Explore]],-12,0)),0),SUM(TblConstr[[#This Row],[Hom]:[Doc]]))</f>
        <v>0</v>
      </c>
      <c r="AT12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32"/>
      <c r="AV121" s="69" t="n">
        <f aca="false">ROUND((TblConstr[[#This Row],[Land]]-250 - IF(TblExplore[[#This Row],[Land Bonus]]&lt;&gt;0,20,0))*1.25 + 850 + 0,0)</f>
        <v>1413</v>
      </c>
      <c r="AW121" s="69" t="n">
        <f aca="false">ROUND((TblConstr[[#This Row],[Land]]-250 - IF(TblExplore[[#This Row],[Land Bonus]]&lt;&gt;0,20,0))*0.285 + 87.5 + 0/4.25,0)</f>
        <v>216</v>
      </c>
      <c r="AX121" s="146"/>
      <c r="AY121" s="203" t="n">
        <f aca="false" t="array" ref="AY121:AY121">IF(TblConstr[[#This Row],[Hour]:[Hour]]&gt;12,OFFSET(TblConstr[[#This Row],[Hom]],-12,0),0)+OFFSET(TblConstr[[#This Row],[Tot Hom]],-1,0)-TblConstr[[#This Row],[Dest Hom]]</f>
        <v>40</v>
      </c>
      <c r="AZ121" s="204" t="n">
        <f aca="false" t="array" ref="AZ121:AZ121">IF(TblConstr[[#This Row],[Hour]:[Hour]]&gt;12,OFFSET(TblConstr[[#This Row],[Alc]],-12,0),0)+OFFSET(TblConstr[[#This Row],[Tot Alc]],-1,0)-TblConstr[[#This Row],[Dest Alc]]</f>
        <v>275</v>
      </c>
      <c r="BA121" s="204" t="n">
        <f aca="false" t="array" ref="BA121:BA121">IF(TblConstr[[#This Row],[Hour]:[Hour]]&gt;12,OFFSET(TblConstr[[#This Row],[Far]],-12,0),0)+OFFSET(TblConstr[[#This Row],[Tot Farm]],-1,0)-TblConstr[[#This Row],[Dest Farm]]</f>
        <v>29</v>
      </c>
      <c r="BB121" s="204" t="n">
        <f aca="false" t="array" ref="BB121:BB121">IF(TblConstr[[#This Row],[Hour]:[Hour]]&gt;12,OFFSET(TblConstr[[#This Row],[Smi]],-12,0),0)+OFFSET(TblConstr[[#This Row],[Tot Smi]],-1,0)-TblConstr[[#This Row],[Dest Smi]]</f>
        <v>126</v>
      </c>
      <c r="BC121" s="204" t="n">
        <f aca="false" t="array" ref="BC121:BC121">IF(TblConstr[[#This Row],[Hour]:[Hour]]&gt;12,OFFSET(TblConstr[[#This Row],[Mas]],-12,0),0)+OFFSET(TblConstr[[#This Row],[Tot Mas]],-1,0)-TblConstr[[#This Row],[Dest Mas]]</f>
        <v>0</v>
      </c>
      <c r="BD121" s="205" t="n">
        <f aca="false" t="array" ref="BD121:BD121">IF(TblConstr[[#This Row],[Hour]:[Hour]]&gt;12,OFFSET(TblConstr[[#This Row],[Ly]],-12,0),0)+OFFSET(TblConstr[[#This Row],[Tot Ly]],-1,0)-TblConstr[[#This Row],[Dest Ly]]</f>
        <v>25</v>
      </c>
      <c r="BE121" s="205" t="n">
        <f aca="false" t="array" ref="BE121:BE121">IF(TblConstr[[#This Row],[Hour]:[Hour]]&gt;12,OFFSET(TblConstr[[#This Row],[Hav]],-12,0),0)+OFFSET(TblConstr[[#This Row],[Tot Hav]],-1,0)-TblConstr[[#This Row],[Dest Hav]]</f>
        <v>0</v>
      </c>
      <c r="BF121" s="194" t="n">
        <f aca="false" t="array" ref="BF121:BF121">IF(TblConstr[[#This Row],[Hour]:[Hour]]&gt;12,OFFSET(TblConstr[[#This Row],[OM]],-12,0),0)+OFFSET(TblConstr[[#This Row],[Tot OM]],-1,0)-TblConstr[[#This Row],[Dest OM]]</f>
        <v>0</v>
      </c>
      <c r="BG121" s="194" t="n">
        <f aca="false" t="array" ref="BG121:BG121">IF(TblConstr[[#This Row],[Hour]:[Hour]]&gt;12,OFFSET(TblConstr[[#This Row],[GN]],-12,0),0)+OFFSET(TblConstr[[#This Row],[Tot GN]],-1,0)-TblConstr[[#This Row],[Dest GN]]</f>
        <v>0</v>
      </c>
      <c r="BH121" s="206" t="n">
        <f aca="false" t="array" ref="BH121:BH121">IF(TblConstr[[#This Row],[Hour]:[Hour]]&gt;12,OFFSET(TblConstr[[#This Row],[Fac]],-12,0),0)+OFFSET(TblConstr[[#This Row],[Tot Fac]],-1,0)-TblConstr[[#This Row],[Dest Fac]]</f>
        <v>0</v>
      </c>
      <c r="BI121" s="206" t="n">
        <f aca="false" t="array" ref="BI121:BI121">IF(TblConstr[[#This Row],[Hour]:[Hour]]&gt;12,OFFSET(TblConstr[[#This Row],[GT]],-12,0),0)+OFFSET(TblConstr[[#This Row],[Tot GT]],-1,0)-TblConstr[[#This Row],[Dest GT]]</f>
        <v>55</v>
      </c>
      <c r="BJ121" s="206" t="n">
        <f aca="false" t="array" ref="BJ121:BJ121">IF(TblConstr[[#This Row],[Hour]:[Hour]]&gt;12,OFFSET(TblConstr[[#This Row],[Bar]],-12,0),0)+OFFSET(TblConstr[[#This Row],[Tot Bar]],-1,0)-TblConstr[[#This Row],[Dest Bar]]</f>
        <v>50</v>
      </c>
      <c r="BK121" s="206" t="n">
        <f aca="false" t="array" ref="BK121:BK121">IF(TblConstr[[#This Row],[Hour]:[Hour]]&gt;12,OFFSET(TblConstr[[#This Row],[Shr]],-12,0),0)+OFFSET(TblConstr[[#This Row],[Tot Shr]],-1,0)-TblConstr[[#This Row],[Dest Shr]]</f>
        <v>0</v>
      </c>
      <c r="BL121" s="207" t="n">
        <f aca="false" t="array" ref="BL121:BL121">IF(TblConstr[[#This Row],[Hour]:[Hour]]&gt;12,OFFSET(TblConstr[[#This Row],[Tow]],-12,0),0)+OFFSET(TblConstr[[#This Row],[Tot Tow]],-1,0)-TblConstr[[#This Row],[Dest Tow]]</f>
        <v>29</v>
      </c>
      <c r="BM121" s="207" t="n">
        <f aca="false" t="array" ref="BM121:BM121">IF(TblConstr[[#This Row],[Hour]:[Hour]]&gt;12,OFFSET(TblConstr[[#This Row],[Tem]],-12,0),0)+OFFSET(TblConstr[[#This Row],[Tot Tem]],-1,0)-TblConstr[[#This Row],[Dest Tem]]</f>
        <v>47</v>
      </c>
      <c r="BN121" s="207" t="n">
        <f aca="false" t="array" ref="BN121:BN121">IF(TblConstr[[#This Row],[Hour]:[Hour]]&gt;12,OFFSET(TblConstr[[#This Row],[WG]],-12,0),0)+OFFSET(TblConstr[[#This Row],[Tot WG]],-1,0)-TblConstr[[#This Row],[Dest WG]]</f>
        <v>0</v>
      </c>
      <c r="BO121" s="208" t="n">
        <f aca="false" t="array" ref="BO121:BO121">IF(TblConstr[[#This Row],[Hour]:[Hour]]&gt;12,OFFSET(TblConstr[[#This Row],[DM]],-12,0),0)+OFFSET(TblConstr[[#This Row],[Tot DM]],-1,0)-TblConstr[[#This Row],[Dest DM]]</f>
        <v>0</v>
      </c>
      <c r="BP121" s="208" t="n">
        <f aca="false" t="array" ref="BP121:BP121">IF(TblConstr[[#This Row],[Hour]:[Hour]]&gt;12,OFFSET(TblConstr[[#This Row],[Sch]],-12,0),0)+OFFSET(TblConstr[[#This Row],[Tot Sch]],-1,0)-TblConstr[[#This Row],[Dest Sch]]</f>
        <v>0</v>
      </c>
      <c r="BQ121" s="209" t="n">
        <f aca="false" t="array" ref="BQ121:BQ121">IF(TblConstr[[#This Row],[Hour]:[Hour]]&gt;12,OFFSET(TblConstr[[#This Row],[Doc]],-12,0),0)+OFFSET(TblConstr[[#This Row],[Tot Doc]],-1,0)-TblConstr[[#This Row],[Dest Doc]]</f>
        <v>24</v>
      </c>
      <c r="BR121" s="132"/>
      <c r="BS121" s="146"/>
      <c r="BT121" s="69" t="n">
        <f aca="false">TblConstr[[#This Row],[Land]]</f>
        <v>700</v>
      </c>
      <c r="BU121" s="153" t="n">
        <f aca="false">TblImps[[#This Row],[Time]]</f>
        <v>45434.625</v>
      </c>
      <c r="BV121" s="132"/>
      <c r="BW121" s="182"/>
      <c r="BX121" s="182"/>
      <c r="BY121" s="182"/>
      <c r="BZ121" s="182"/>
      <c r="CA121" s="182"/>
      <c r="CB121" s="182"/>
      <c r="CC121" s="182"/>
      <c r="CD121" s="182"/>
      <c r="CE121" s="182"/>
      <c r="CF121" s="182"/>
      <c r="CG121" s="182"/>
      <c r="CH121" s="182"/>
      <c r="CI121" s="182"/>
      <c r="CJ121" s="182"/>
      <c r="CK121" s="182"/>
      <c r="CL121" s="182"/>
      <c r="CM121" s="182"/>
      <c r="CN121" s="182"/>
      <c r="CO121" s="182"/>
      <c r="CP121" s="132"/>
      <c r="CQ121" s="192" t="n">
        <f aca="false">-SUM(TblConstr[[#This Row],[Alc]:[Mas]])+SUM(TblConstr[[#This Row],[Dest Alc]:[Dest Mas]])+Rezone!L121+IF("Ch_"&amp; home_land=TblConstr[[#Headers],[Ch_Plain]],TblConstr[[#This Row],[Home Land]])+IF(TblConstr[[#This Row],[Hour]:[Hour]]&gt;12,OFFSET(TblExplore[[#This Row],[Plains Explore]],-12,0),0)</f>
        <v>0</v>
      </c>
      <c r="CR121" s="193" t="n">
        <f aca="false">-SUM(TblConstr[[#This Row],[Ly]:[Hav]])+SUM(TblConstr[[#This Row],[Dest Ly]:[Dest Hav]]) +Rezone!M121 + IF("Ch_"&amp; home_land=TblConstr[[#Headers],[Ch_Forest]],TblConstr[[#This Row],[Home Land]])+IF(TblConstr[[#This Row],[Hour]:[Hour]]&gt;12,OFFSET(TblExplore[[#This Row],[Forest Explore]],-12,0),0)</f>
        <v>0</v>
      </c>
      <c r="CS121" s="200" t="n">
        <f aca="false">-SUM(TblConstr[[#This Row],[OM]:[GN]])+SUM(TblConstr[[#This Row],[Dest OM]:[Dest GN]]) +Rezone!N121 + IF("Ch_"&amp; home_land=TblConstr[[#Headers],[Ch_Mountain]],TblConstr[[#This Row],[Home Land]])+IF(TblConstr[[#This Row],[Hour]:[Hour]]&gt;12,OFFSET(TblExplore[[#This Row],[Mountain Explore]],-12,0),0)</f>
        <v>0</v>
      </c>
      <c r="CT121" s="195" t="n">
        <f aca="false">-SUM(TblConstr[[#This Row],[Fac]:[Shr]])+SUM(TblConstr[[#This Row],[Dest Fac]:[Dest Shr]]) +Rezone!O121 + IF("Ch_" &amp; home_land=TblConstr[[#Headers],[Ch_Hill]],TblConstr[[#This Row],[Home Land]])+IF(TblConstr[[#This Row],[Hour]:[Hour]]&gt;12,OFFSET(TblExplore[[#This Row],[Hill Explore]],-12,0),0)</f>
        <v>0</v>
      </c>
      <c r="CU121" s="196" t="n">
        <f aca="false">-SUM(TblConstr[[#This Row],[Tow]:[WG]])+SUM(TblConstr[[#This Row],[Dest Tow]:[Dest WG]]) +Rezone!P121 + IF("Ch_" &amp; home_land=TblConstr[[#Headers],[Ch_Swamp]],TblConstr[[#This Row],[Home Land]])+IF(TblConstr[[#This Row],[Hour]:[Hour]]&gt;12,OFFSET(TblExplore[[#This Row],[Swamp Explore]],-12,0),0)</f>
        <v>0</v>
      </c>
      <c r="CV121" s="197" t="n">
        <f aca="false">- SUM(TblConstr[[#This Row],[DM]:[Sch]])+SUM(TblConstr[[#This Row],[Dest DM]:[Dest Sch]]) +Rezone!Q121 + IF("Ch_" &amp; home_land=TblConstr[[#Headers],[Ch_Cavern]],TblConstr[[#This Row],[Home Land]])+IF(TblConstr[[#This Row],[Hour]:[Hour]]&gt;12,OFFSET(TblExplore[[#This Row],[Cavern Explore]],-12,0),0)</f>
        <v>0</v>
      </c>
      <c r="CW121" s="198" t="n">
        <f aca="false">-TblConstr[[#This Row],[Doc]]+TblConstr[[#This Row],[Dest Doc]] +Rezone!R121 + IF("Ch_" &amp; home_land=TblConstr[[#Headers],[Ch_Water]],TblConstr[[#This Row],[Home Land]])+IF(TblConstr[[#This Row],[Hour]:[Hour]]&gt;12,OFFSET(TblExplore[[#This Row],[Water Explore]],-12,0),0)</f>
        <v>0</v>
      </c>
      <c r="CX121" s="1" t="n">
        <f aca="false">IF(Explore!S121=1,20) - TblConstr[[#This Row],[Hom]] + TblConstr[[#This Row],[Dest Hom]]</f>
        <v>0</v>
      </c>
      <c r="CY121" s="132"/>
      <c r="CZ121" s="69" t="n">
        <f aca="false">G121+SUM(P110:S121)+SUM(AZ121:BC121)</f>
        <v>430</v>
      </c>
      <c r="DA121" s="69" t="n">
        <f aca="false">H121+SUM(T110:U121)+SUM(BD121:BE121)</f>
        <v>25</v>
      </c>
      <c r="DB121" s="1" t="n">
        <f aca="false">I121+SUM(V110:W121)+SUM(BF121:BG121)</f>
        <v>0</v>
      </c>
      <c r="DC121" s="69" t="n">
        <f aca="false">J121+SUM(X110:Y121)+SUM(BH121:BI121)</f>
        <v>55</v>
      </c>
      <c r="DD121" s="69" t="n">
        <f aca="false">K121+SUM(AB110:AD121)+SUM(BL121:BN121)</f>
        <v>76</v>
      </c>
      <c r="DE121" s="1" t="n">
        <f aca="false">L121+SUM(AE110:AE121)+BO121</f>
        <v>0</v>
      </c>
      <c r="DF121" s="69" t="n">
        <f aca="false">M121+SUM(AG110:AG121)+BQ121</f>
        <v>24</v>
      </c>
      <c r="DG121" s="69" t="e">
        <f aca="false" t="array" ref="DG121:DG121">INDEX(TblConstr[[Total Plain]:[Total Water]],ROW()-ROW(TblConstr[#headers]),MATCH("Total "&amp;home_land,TblConstr[[#Headers],[Total Plain]:[Total Water]],0))+TblConstr[[#This Row],[Homes]]</f>
        <v>#VALUE!</v>
      </c>
      <c r="DH121" s="1" t="n">
        <f aca="false">SUM(O110:O121)+AY121</f>
        <v>40</v>
      </c>
      <c r="DI121" s="1" t="n">
        <f aca="false">MAX(BA121-BA120,0)</f>
        <v>0</v>
      </c>
      <c r="DJ121" s="1" t="n">
        <f aca="false">MAX(BQ121-BQ120,0)</f>
        <v>0</v>
      </c>
    </row>
    <row r="122" customFormat="false" ht="12.75" hidden="false" customHeight="false" outlineLevel="0" collapsed="false">
      <c r="A122" s="170" t="n">
        <f aca="false">TblRezone[[#This Row],[Hour]]</f>
        <v>119</v>
      </c>
      <c r="B122" s="171" t="n">
        <f aca="false">SUM(TblConstr[[#This Row],[Plain]:[Water]])</f>
        <v>0</v>
      </c>
      <c r="C122" s="172" t="n">
        <f aca="false">SUM(TblConstr[[#This Row],[Tot Hom]:[Tot Doc]])</f>
        <v>700</v>
      </c>
      <c r="D122" s="172" t="n">
        <f aca="false">SUM(O111:AG122)</f>
        <v>0</v>
      </c>
      <c r="E122" s="173"/>
      <c r="F122" s="33" t="n">
        <f aca="false">TblConstr[[#This Row],[Barren]]+TblConstr[[#This Row],[Buildings]]+TblConstr[[#This Row],[Incoming]]</f>
        <v>700</v>
      </c>
      <c r="G122" s="199" t="n">
        <f aca="false">OFFSET(TblConstr[[#This Row],[Plain]],-1,0)+TblConstr[[#This Row],[Ch_Plain]]</f>
        <v>0</v>
      </c>
      <c r="H122" s="193" t="n">
        <f aca="false">OFFSET(TblConstr[[#This Row],[Forest]],-1,0)+TblConstr[[#This Row],[Ch_Forest]]</f>
        <v>0</v>
      </c>
      <c r="I122" s="200" t="n">
        <f aca="false">OFFSET(TblConstr[[#This Row],[Mountain]],-1,0)+TblConstr[[#This Row],[Ch_Mountain]]</f>
        <v>0</v>
      </c>
      <c r="J122" s="201" t="n">
        <f aca="false">OFFSET(TblConstr[[#This Row],[Hill]],-1,0)+TblConstr[[#This Row],[Ch_Hill]]</f>
        <v>0</v>
      </c>
      <c r="K122" s="202" t="n">
        <f aca="false">OFFSET(TblConstr[[#This Row],[Swamp]],-1,0)+TblConstr[[#This Row],[Ch_Swamp]]</f>
        <v>0</v>
      </c>
      <c r="L122" s="197" t="n">
        <f aca="false">OFFSET(TblConstr[[#This Row],[Cavern]],-1,0)+TblConstr[[#This Row],[Ch_Cavern]]</f>
        <v>0</v>
      </c>
      <c r="M122" s="198" t="n">
        <f aca="false">OFFSET(TblConstr[[#This Row],[Water]],-1,0)+TblConstr[[#This Row],[Ch_Water]]</f>
        <v>0</v>
      </c>
      <c r="N122" s="181" t="n">
        <f aca="false">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20" t="n">
        <f aca="false">TblImps[[#This Row],[Time]]</f>
        <v>45434.6666666667</v>
      </c>
      <c r="AI122" s="130" t="n">
        <f aca="false">MIN(25%,(TblConstr[[#This Row],[Tot Fac]]+TblConstr[[#This Row],[Dest Fac]])/(TblConstr[[#This Row],[Land]]-TblExplore[[#This Row],[Land Bonus]]*20))</f>
        <v>0</v>
      </c>
      <c r="AJ122" s="130" t="n">
        <f aca="false">MIN(25%,(TblConstr[[#This Row],[Tot Fac]]+TblConstr[[#This Row],[Dest Fac]])/TblConstr[[#This Row],[Land]])</f>
        <v>0</v>
      </c>
      <c r="AK122" s="69" t="n">
        <f aca="false">TblProd[[#This Row],[Platinum]]</f>
        <v>1804639</v>
      </c>
      <c r="AL122" s="69" t="n">
        <f aca="false">TblProd[[#This Row],[Lumber]]</f>
        <v>50493</v>
      </c>
      <c r="AM1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2" s="69" t="n">
        <f aca="false">ROUNDDOWN( MAX(1 - MIN(facs_constr_factor*TblConstr[[#This Row],[Facs -DB]],facs_constr_max) + tech_1_11*TblTech[[#This Row],[11-1]] + tech_6_3_2*TblTech[[#This Row],[6-3]] + tech_5_2_3*TblTech[[#This Row],[5-2]], 1-global_constr_cap) * TblConstr[[#This Row],[RCPA Lumber]],0)</f>
        <v>216</v>
      </c>
      <c r="AO1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2" s="69" t="n">
        <f aca="false">ROUNDDOWN( MAX(1 - MIN(facs_constr_factor*TblConstr[[#This Row],[Facs DB]],facs_constr_max) + tech_1_11*TblTech[[#This Row],[1-11]] + tech_6_3_2*TblTech[[#This Row],[6-3]] + tech_5_2_3*TblTech[[#This Row],[5-2]], 1-global_constr_cap) * ROUND((TblConstr[[#This Row],[Land]]-250)*0.285 + 87.5 + 0/4.25,0),0)</f>
        <v>216</v>
      </c>
      <c r="AQ122" s="1" t="n">
        <f aca="false">TblConstr[[#This Row],[build -db]]*TblConstr[[#This Row],[CPA Platinum -DB]] + TblConstr[[#This Row],[build db]]*TblConstr[[#This Row],[CPA Platinum DB]]</f>
        <v>0</v>
      </c>
      <c r="AR122" s="1" t="n">
        <f aca="false">TblConstr[[#This Row],[build -db]]*TblConstr[[#This Row],[CPA Lumber -DB]]+TblConstr[[#This Row],[build db]]*TblConstr[[#This Row],[CPA Lumber DB]]</f>
        <v>0</v>
      </c>
      <c r="AS122" s="69" t="n">
        <f aca="false">MIN(SUM(OFFSET(TblConstr[[#This Row],[Plain]:[Water]],-1,0))+SUM(TblConstr[[#This Row],[Dest Hom]:[Dest Doc]])+IF(TblConstr[[#This Row],[Hour]]&gt;12,SUM(OFFSET(TblExplore[[#This Row],[Plains Explore]:[Water Explore]],-12,0)),0),SUM(TblConstr[[#This Row],[Hom]:[Doc]]))</f>
        <v>0</v>
      </c>
      <c r="AT12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32"/>
      <c r="AV122" s="69" t="n">
        <f aca="false">ROUND((TblConstr[[#This Row],[Land]]-250 - IF(TblExplore[[#This Row],[Land Bonus]]&lt;&gt;0,20,0))*1.25 + 850 + 0,0)</f>
        <v>1413</v>
      </c>
      <c r="AW122" s="69" t="n">
        <f aca="false">ROUND((TblConstr[[#This Row],[Land]]-250 - IF(TblExplore[[#This Row],[Land Bonus]]&lt;&gt;0,20,0))*0.285 + 87.5 + 0/4.25,0)</f>
        <v>216</v>
      </c>
      <c r="AX122" s="146"/>
      <c r="AY122" s="203" t="n">
        <f aca="false" t="array" ref="AY122:AY122">IF(TblConstr[[#This Row],[Hour]:[Hour]]&gt;12,OFFSET(TblConstr[[#This Row],[Hom]],-12,0),0)+OFFSET(TblConstr[[#This Row],[Tot Hom]],-1,0)-TblConstr[[#This Row],[Dest Hom]]</f>
        <v>40</v>
      </c>
      <c r="AZ122" s="204" t="n">
        <f aca="false" t="array" ref="AZ122:AZ122">IF(TblConstr[[#This Row],[Hour]:[Hour]]&gt;12,OFFSET(TblConstr[[#This Row],[Alc]],-12,0),0)+OFFSET(TblConstr[[#This Row],[Tot Alc]],-1,0)-TblConstr[[#This Row],[Dest Alc]]</f>
        <v>275</v>
      </c>
      <c r="BA122" s="204" t="n">
        <f aca="false" t="array" ref="BA122:BA122">IF(TblConstr[[#This Row],[Hour]:[Hour]]&gt;12,OFFSET(TblConstr[[#This Row],[Far]],-12,0),0)+OFFSET(TblConstr[[#This Row],[Tot Farm]],-1,0)-TblConstr[[#This Row],[Dest Farm]]</f>
        <v>29</v>
      </c>
      <c r="BB122" s="204" t="n">
        <f aca="false" t="array" ref="BB122:BB122">IF(TblConstr[[#This Row],[Hour]:[Hour]]&gt;12,OFFSET(TblConstr[[#This Row],[Smi]],-12,0),0)+OFFSET(TblConstr[[#This Row],[Tot Smi]],-1,0)-TblConstr[[#This Row],[Dest Smi]]</f>
        <v>126</v>
      </c>
      <c r="BC122" s="204" t="n">
        <f aca="false" t="array" ref="BC122:BC122">IF(TblConstr[[#This Row],[Hour]:[Hour]]&gt;12,OFFSET(TblConstr[[#This Row],[Mas]],-12,0),0)+OFFSET(TblConstr[[#This Row],[Tot Mas]],-1,0)-TblConstr[[#This Row],[Dest Mas]]</f>
        <v>0</v>
      </c>
      <c r="BD122" s="205" t="n">
        <f aca="false" t="array" ref="BD122:BD122">IF(TblConstr[[#This Row],[Hour]:[Hour]]&gt;12,OFFSET(TblConstr[[#This Row],[Ly]],-12,0),0)+OFFSET(TblConstr[[#This Row],[Tot Ly]],-1,0)-TblConstr[[#This Row],[Dest Ly]]</f>
        <v>25</v>
      </c>
      <c r="BE122" s="205" t="n">
        <f aca="false" t="array" ref="BE122:BE122">IF(TblConstr[[#This Row],[Hour]:[Hour]]&gt;12,OFFSET(TblConstr[[#This Row],[Hav]],-12,0),0)+OFFSET(TblConstr[[#This Row],[Tot Hav]],-1,0)-TblConstr[[#This Row],[Dest Hav]]</f>
        <v>0</v>
      </c>
      <c r="BF122" s="194" t="n">
        <f aca="false" t="array" ref="BF122:BF122">IF(TblConstr[[#This Row],[Hour]:[Hour]]&gt;12,OFFSET(TblConstr[[#This Row],[OM]],-12,0),0)+OFFSET(TblConstr[[#This Row],[Tot OM]],-1,0)-TblConstr[[#This Row],[Dest OM]]</f>
        <v>0</v>
      </c>
      <c r="BG122" s="194" t="n">
        <f aca="false" t="array" ref="BG122:BG122">IF(TblConstr[[#This Row],[Hour]:[Hour]]&gt;12,OFFSET(TblConstr[[#This Row],[GN]],-12,0),0)+OFFSET(TblConstr[[#This Row],[Tot GN]],-1,0)-TblConstr[[#This Row],[Dest GN]]</f>
        <v>0</v>
      </c>
      <c r="BH122" s="206" t="n">
        <f aca="false" t="array" ref="BH122:BH122">IF(TblConstr[[#This Row],[Hour]:[Hour]]&gt;12,OFFSET(TblConstr[[#This Row],[Fac]],-12,0),0)+OFFSET(TblConstr[[#This Row],[Tot Fac]],-1,0)-TblConstr[[#This Row],[Dest Fac]]</f>
        <v>0</v>
      </c>
      <c r="BI122" s="206" t="n">
        <f aca="false" t="array" ref="BI122:BI122">IF(TblConstr[[#This Row],[Hour]:[Hour]]&gt;12,OFFSET(TblConstr[[#This Row],[GT]],-12,0),0)+OFFSET(TblConstr[[#This Row],[Tot GT]],-1,0)-TblConstr[[#This Row],[Dest GT]]</f>
        <v>55</v>
      </c>
      <c r="BJ122" s="206" t="n">
        <f aca="false" t="array" ref="BJ122:BJ122">IF(TblConstr[[#This Row],[Hour]:[Hour]]&gt;12,OFFSET(TblConstr[[#This Row],[Bar]],-12,0),0)+OFFSET(TblConstr[[#This Row],[Tot Bar]],-1,0)-TblConstr[[#This Row],[Dest Bar]]</f>
        <v>50</v>
      </c>
      <c r="BK122" s="206" t="n">
        <f aca="false" t="array" ref="BK122:BK122">IF(TblConstr[[#This Row],[Hour]:[Hour]]&gt;12,OFFSET(TblConstr[[#This Row],[Shr]],-12,0),0)+OFFSET(TblConstr[[#This Row],[Tot Shr]],-1,0)-TblConstr[[#This Row],[Dest Shr]]</f>
        <v>0</v>
      </c>
      <c r="BL122" s="207" t="n">
        <f aca="false" t="array" ref="BL122:BL122">IF(TblConstr[[#This Row],[Hour]:[Hour]]&gt;12,OFFSET(TblConstr[[#This Row],[Tow]],-12,0),0)+OFFSET(TblConstr[[#This Row],[Tot Tow]],-1,0)-TblConstr[[#This Row],[Dest Tow]]</f>
        <v>29</v>
      </c>
      <c r="BM122" s="207" t="n">
        <f aca="false" t="array" ref="BM122:BM122">IF(TblConstr[[#This Row],[Hour]:[Hour]]&gt;12,OFFSET(TblConstr[[#This Row],[Tem]],-12,0),0)+OFFSET(TblConstr[[#This Row],[Tot Tem]],-1,0)-TblConstr[[#This Row],[Dest Tem]]</f>
        <v>47</v>
      </c>
      <c r="BN122" s="207" t="n">
        <f aca="false" t="array" ref="BN122:BN122">IF(TblConstr[[#This Row],[Hour]:[Hour]]&gt;12,OFFSET(TblConstr[[#This Row],[WG]],-12,0),0)+OFFSET(TblConstr[[#This Row],[Tot WG]],-1,0)-TblConstr[[#This Row],[Dest WG]]</f>
        <v>0</v>
      </c>
      <c r="BO122" s="208" t="n">
        <f aca="false" t="array" ref="BO122:BO122">IF(TblConstr[[#This Row],[Hour]:[Hour]]&gt;12,OFFSET(TblConstr[[#This Row],[DM]],-12,0),0)+OFFSET(TblConstr[[#This Row],[Tot DM]],-1,0)-TblConstr[[#This Row],[Dest DM]]</f>
        <v>0</v>
      </c>
      <c r="BP122" s="208" t="n">
        <f aca="false" t="array" ref="BP122:BP122">IF(TblConstr[[#This Row],[Hour]:[Hour]]&gt;12,OFFSET(TblConstr[[#This Row],[Sch]],-12,0),0)+OFFSET(TblConstr[[#This Row],[Tot Sch]],-1,0)-TblConstr[[#This Row],[Dest Sch]]</f>
        <v>0</v>
      </c>
      <c r="BQ122" s="209" t="n">
        <f aca="false" t="array" ref="BQ122:BQ122">IF(TblConstr[[#This Row],[Hour]:[Hour]]&gt;12,OFFSET(TblConstr[[#This Row],[Doc]],-12,0),0)+OFFSET(TblConstr[[#This Row],[Tot Doc]],-1,0)-TblConstr[[#This Row],[Dest Doc]]</f>
        <v>24</v>
      </c>
      <c r="BR122" s="132"/>
      <c r="BS122" s="146"/>
      <c r="BT122" s="69" t="n">
        <f aca="false">TblConstr[[#This Row],[Land]]</f>
        <v>700</v>
      </c>
      <c r="BU122" s="153" t="n">
        <f aca="false">TblImps[[#This Row],[Time]]</f>
        <v>45434.6666666667</v>
      </c>
      <c r="BV122" s="132"/>
      <c r="BW122" s="182"/>
      <c r="BX122" s="182"/>
      <c r="BY122" s="182"/>
      <c r="BZ122" s="182"/>
      <c r="CA122" s="182"/>
      <c r="CB122" s="182"/>
      <c r="CC122" s="182"/>
      <c r="CD122" s="182"/>
      <c r="CE122" s="182"/>
      <c r="CF122" s="182"/>
      <c r="CG122" s="182"/>
      <c r="CH122" s="182"/>
      <c r="CI122" s="182"/>
      <c r="CJ122" s="182"/>
      <c r="CK122" s="182"/>
      <c r="CL122" s="182"/>
      <c r="CM122" s="182"/>
      <c r="CN122" s="182"/>
      <c r="CO122" s="182"/>
      <c r="CP122" s="132"/>
      <c r="CQ122" s="192" t="n">
        <f aca="false">-SUM(TblConstr[[#This Row],[Alc]:[Mas]])+SUM(TblConstr[[#This Row],[Dest Alc]:[Dest Mas]])+Rezone!L122+IF("Ch_"&amp; home_land=TblConstr[[#Headers],[Ch_Plain]],TblConstr[[#This Row],[Home Land]])+IF(TblConstr[[#This Row],[Hour]:[Hour]]&gt;12,OFFSET(TblExplore[[#This Row],[Plains Explore]],-12,0),0)</f>
        <v>0</v>
      </c>
      <c r="CR122" s="193" t="n">
        <f aca="false">-SUM(TblConstr[[#This Row],[Ly]:[Hav]])+SUM(TblConstr[[#This Row],[Dest Ly]:[Dest Hav]]) +Rezone!M122 + IF("Ch_"&amp; home_land=TblConstr[[#Headers],[Ch_Forest]],TblConstr[[#This Row],[Home Land]])+IF(TblConstr[[#This Row],[Hour]:[Hour]]&gt;12,OFFSET(TblExplore[[#This Row],[Forest Explore]],-12,0),0)</f>
        <v>0</v>
      </c>
      <c r="CS122" s="200" t="n">
        <f aca="false">-SUM(TblConstr[[#This Row],[OM]:[GN]])+SUM(TblConstr[[#This Row],[Dest OM]:[Dest GN]]) +Rezone!N122 + IF("Ch_"&amp; home_land=TblConstr[[#Headers],[Ch_Mountain]],TblConstr[[#This Row],[Home Land]])+IF(TblConstr[[#This Row],[Hour]:[Hour]]&gt;12,OFFSET(TblExplore[[#This Row],[Mountain Explore]],-12,0),0)</f>
        <v>0</v>
      </c>
      <c r="CT122" s="195" t="n">
        <f aca="false">-SUM(TblConstr[[#This Row],[Fac]:[Shr]])+SUM(TblConstr[[#This Row],[Dest Fac]:[Dest Shr]]) +Rezone!O122 + IF("Ch_" &amp; home_land=TblConstr[[#Headers],[Ch_Hill]],TblConstr[[#This Row],[Home Land]])+IF(TblConstr[[#This Row],[Hour]:[Hour]]&gt;12,OFFSET(TblExplore[[#This Row],[Hill Explore]],-12,0),0)</f>
        <v>0</v>
      </c>
      <c r="CU122" s="196" t="n">
        <f aca="false">-SUM(TblConstr[[#This Row],[Tow]:[WG]])+SUM(TblConstr[[#This Row],[Dest Tow]:[Dest WG]]) +Rezone!P122 + IF("Ch_" &amp; home_land=TblConstr[[#Headers],[Ch_Swamp]],TblConstr[[#This Row],[Home Land]])+IF(TblConstr[[#This Row],[Hour]:[Hour]]&gt;12,OFFSET(TblExplore[[#This Row],[Swamp Explore]],-12,0),0)</f>
        <v>0</v>
      </c>
      <c r="CV122" s="197" t="n">
        <f aca="false">- SUM(TblConstr[[#This Row],[DM]:[Sch]])+SUM(TblConstr[[#This Row],[Dest DM]:[Dest Sch]]) +Rezone!Q122 + IF("Ch_" &amp; home_land=TblConstr[[#Headers],[Ch_Cavern]],TblConstr[[#This Row],[Home Land]])+IF(TblConstr[[#This Row],[Hour]:[Hour]]&gt;12,OFFSET(TblExplore[[#This Row],[Cavern Explore]],-12,0),0)</f>
        <v>0</v>
      </c>
      <c r="CW122" s="198" t="n">
        <f aca="false">-TblConstr[[#This Row],[Doc]]+TblConstr[[#This Row],[Dest Doc]] +Rezone!R122 + IF("Ch_" &amp; home_land=TblConstr[[#Headers],[Ch_Water]],TblConstr[[#This Row],[Home Land]])+IF(TblConstr[[#This Row],[Hour]:[Hour]]&gt;12,OFFSET(TblExplore[[#This Row],[Water Explore]],-12,0),0)</f>
        <v>0</v>
      </c>
      <c r="CX122" s="1" t="n">
        <f aca="false">IF(Explore!S122=1,20) - TblConstr[[#This Row],[Hom]] + TblConstr[[#This Row],[Dest Hom]]</f>
        <v>0</v>
      </c>
      <c r="CY122" s="132"/>
      <c r="CZ122" s="69" t="n">
        <f aca="false">G122+SUM(P111:S122)+SUM(AZ122:BC122)</f>
        <v>430</v>
      </c>
      <c r="DA122" s="69" t="n">
        <f aca="false">H122+SUM(T111:U122)+SUM(BD122:BE122)</f>
        <v>25</v>
      </c>
      <c r="DB122" s="1" t="n">
        <f aca="false">I122+SUM(V111:W122)+SUM(BF122:BG122)</f>
        <v>0</v>
      </c>
      <c r="DC122" s="69" t="n">
        <f aca="false">J122+SUM(X111:Y122)+SUM(BH122:BI122)</f>
        <v>55</v>
      </c>
      <c r="DD122" s="69" t="n">
        <f aca="false">K122+SUM(AB111:AD122)+SUM(BL122:BN122)</f>
        <v>76</v>
      </c>
      <c r="DE122" s="1" t="n">
        <f aca="false">L122+SUM(AE111:AE122)+BO122</f>
        <v>0</v>
      </c>
      <c r="DF122" s="69" t="n">
        <f aca="false">M122+SUM(AG111:AG122)+BQ122</f>
        <v>24</v>
      </c>
      <c r="DG122" s="69" t="e">
        <f aca="false" t="array" ref="DG122:DG122">INDEX(TblConstr[[Total Plain]:[Total Water]],ROW()-ROW(TblConstr[#headers]),MATCH("Total "&amp;home_land,TblConstr[[#Headers],[Total Plain]:[Total Water]],0))+TblConstr[[#This Row],[Homes]]</f>
        <v>#VALUE!</v>
      </c>
      <c r="DH122" s="1" t="n">
        <f aca="false">SUM(O111:O122)+AY122</f>
        <v>40</v>
      </c>
      <c r="DI122" s="1" t="n">
        <f aca="false">MAX(BA122-BA121,0)</f>
        <v>0</v>
      </c>
      <c r="DJ122" s="1" t="n">
        <f aca="false">MAX(BQ122-BQ121,0)</f>
        <v>0</v>
      </c>
    </row>
    <row r="123" customFormat="false" ht="12.75" hidden="false" customHeight="false" outlineLevel="0" collapsed="false">
      <c r="A123" s="170" t="n">
        <f aca="false">TblRezone[[#This Row],[Hour]]</f>
        <v>120</v>
      </c>
      <c r="B123" s="171" t="n">
        <f aca="false">SUM(TblConstr[[#This Row],[Plain]:[Water]])</f>
        <v>0</v>
      </c>
      <c r="C123" s="172" t="n">
        <f aca="false">SUM(TblConstr[[#This Row],[Tot Hom]:[Tot Doc]])</f>
        <v>700</v>
      </c>
      <c r="D123" s="172" t="n">
        <f aca="false">SUM(O112:AG123)</f>
        <v>0</v>
      </c>
      <c r="E123" s="173"/>
      <c r="F123" s="33" t="n">
        <f aca="false">TblConstr[[#This Row],[Barren]]+TblConstr[[#This Row],[Buildings]]+TblConstr[[#This Row],[Incoming]]</f>
        <v>700</v>
      </c>
      <c r="G123" s="199" t="n">
        <f aca="false">OFFSET(TblConstr[[#This Row],[Plain]],-1,0)+TblConstr[[#This Row],[Ch_Plain]]</f>
        <v>0</v>
      </c>
      <c r="H123" s="193" t="n">
        <f aca="false">OFFSET(TblConstr[[#This Row],[Forest]],-1,0)+TblConstr[[#This Row],[Ch_Forest]]</f>
        <v>0</v>
      </c>
      <c r="I123" s="200" t="n">
        <f aca="false">OFFSET(TblConstr[[#This Row],[Mountain]],-1,0)+TblConstr[[#This Row],[Ch_Mountain]]</f>
        <v>0</v>
      </c>
      <c r="J123" s="201" t="n">
        <f aca="false">OFFSET(TblConstr[[#This Row],[Hill]],-1,0)+TblConstr[[#This Row],[Ch_Hill]]</f>
        <v>0</v>
      </c>
      <c r="K123" s="202" t="n">
        <f aca="false">OFFSET(TblConstr[[#This Row],[Swamp]],-1,0)+TblConstr[[#This Row],[Ch_Swamp]]</f>
        <v>0</v>
      </c>
      <c r="L123" s="197" t="n">
        <f aca="false">OFFSET(TblConstr[[#This Row],[Cavern]],-1,0)+TblConstr[[#This Row],[Ch_Cavern]]</f>
        <v>0</v>
      </c>
      <c r="M123" s="198" t="n">
        <f aca="false">OFFSET(TblConstr[[#This Row],[Water]],-1,0)+TblConstr[[#This Row],[Ch_Water]]</f>
        <v>0</v>
      </c>
      <c r="N123" s="181" t="n">
        <f aca="false">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20" t="n">
        <f aca="false">TblImps[[#This Row],[Time]]</f>
        <v>45434.7083333333</v>
      </c>
      <c r="AI123" s="130" t="n">
        <f aca="false">MIN(25%,(TblConstr[[#This Row],[Tot Fac]]+TblConstr[[#This Row],[Dest Fac]])/(TblConstr[[#This Row],[Land]]-TblExplore[[#This Row],[Land Bonus]]*20))</f>
        <v>0</v>
      </c>
      <c r="AJ123" s="130" t="n">
        <f aca="false">MIN(25%,(TblConstr[[#This Row],[Tot Fac]]+TblConstr[[#This Row],[Dest Fac]])/TblConstr[[#This Row],[Land]])</f>
        <v>0</v>
      </c>
      <c r="AK123" s="69" t="n">
        <f aca="false">TblProd[[#This Row],[Platinum]]</f>
        <v>1834042</v>
      </c>
      <c r="AL123" s="69" t="n">
        <f aca="false">TblProd[[#This Row],[Lumber]]</f>
        <v>51113</v>
      </c>
      <c r="AM1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3" s="69" t="n">
        <f aca="false">ROUNDDOWN( MAX(1 - MIN(facs_constr_factor*TblConstr[[#This Row],[Facs -DB]],facs_constr_max) + tech_1_11*TblTech[[#This Row],[11-1]] + tech_6_3_2*TblTech[[#This Row],[6-3]] + tech_5_2_3*TblTech[[#This Row],[5-2]], 1-global_constr_cap) * TblConstr[[#This Row],[RCPA Lumber]],0)</f>
        <v>216</v>
      </c>
      <c r="AO1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3" s="69" t="n">
        <f aca="false">ROUNDDOWN( MAX(1 - MIN(facs_constr_factor*TblConstr[[#This Row],[Facs DB]],facs_constr_max) + tech_1_11*TblTech[[#This Row],[1-11]] + tech_6_3_2*TblTech[[#This Row],[6-3]] + tech_5_2_3*TblTech[[#This Row],[5-2]], 1-global_constr_cap) * ROUND((TblConstr[[#This Row],[Land]]-250)*0.285 + 87.5 + 0/4.25,0),0)</f>
        <v>216</v>
      </c>
      <c r="AQ123" s="1" t="n">
        <f aca="false">TblConstr[[#This Row],[build -db]]*TblConstr[[#This Row],[CPA Platinum -DB]] + TblConstr[[#This Row],[build db]]*TblConstr[[#This Row],[CPA Platinum DB]]</f>
        <v>0</v>
      </c>
      <c r="AR123" s="1" t="n">
        <f aca="false">TblConstr[[#This Row],[build -db]]*TblConstr[[#This Row],[CPA Lumber -DB]]+TblConstr[[#This Row],[build db]]*TblConstr[[#This Row],[CPA Lumber DB]]</f>
        <v>0</v>
      </c>
      <c r="AS123" s="69" t="n">
        <f aca="false">MIN(SUM(OFFSET(TblConstr[[#This Row],[Plain]:[Water]],-1,0))+SUM(TblConstr[[#This Row],[Dest Hom]:[Dest Doc]])+IF(TblConstr[[#This Row],[Hour]]&gt;12,SUM(OFFSET(TblExplore[[#This Row],[Plains Explore]:[Water Explore]],-12,0)),0),SUM(TblConstr[[#This Row],[Hom]:[Doc]]))</f>
        <v>0</v>
      </c>
      <c r="AT12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32"/>
      <c r="AV123" s="69" t="n">
        <f aca="false">ROUND((TblConstr[[#This Row],[Land]]-250 - IF(TblExplore[[#This Row],[Land Bonus]]&lt;&gt;0,20,0))*1.25 + 850 + 0,0)</f>
        <v>1413</v>
      </c>
      <c r="AW123" s="69" t="n">
        <f aca="false">ROUND((TblConstr[[#This Row],[Land]]-250 - IF(TblExplore[[#This Row],[Land Bonus]]&lt;&gt;0,20,0))*0.285 + 87.5 + 0/4.25,0)</f>
        <v>216</v>
      </c>
      <c r="AX123" s="146"/>
      <c r="AY123" s="203" t="n">
        <f aca="false" t="array" ref="AY123:AY123">IF(TblConstr[[#This Row],[Hour]:[Hour]]&gt;12,OFFSET(TblConstr[[#This Row],[Hom]],-12,0),0)+OFFSET(TblConstr[[#This Row],[Tot Hom]],-1,0)-TblConstr[[#This Row],[Dest Hom]]</f>
        <v>40</v>
      </c>
      <c r="AZ123" s="204" t="n">
        <f aca="false" t="array" ref="AZ123:AZ123">IF(TblConstr[[#This Row],[Hour]:[Hour]]&gt;12,OFFSET(TblConstr[[#This Row],[Alc]],-12,0),0)+OFFSET(TblConstr[[#This Row],[Tot Alc]],-1,0)-TblConstr[[#This Row],[Dest Alc]]</f>
        <v>275</v>
      </c>
      <c r="BA123" s="204" t="n">
        <f aca="false" t="array" ref="BA123:BA123">IF(TblConstr[[#This Row],[Hour]:[Hour]]&gt;12,OFFSET(TblConstr[[#This Row],[Far]],-12,0),0)+OFFSET(TblConstr[[#This Row],[Tot Farm]],-1,0)-TblConstr[[#This Row],[Dest Farm]]</f>
        <v>29</v>
      </c>
      <c r="BB123" s="204" t="n">
        <f aca="false" t="array" ref="BB123:BB123">IF(TblConstr[[#This Row],[Hour]:[Hour]]&gt;12,OFFSET(TblConstr[[#This Row],[Smi]],-12,0),0)+OFFSET(TblConstr[[#This Row],[Tot Smi]],-1,0)-TblConstr[[#This Row],[Dest Smi]]</f>
        <v>126</v>
      </c>
      <c r="BC123" s="204" t="n">
        <f aca="false" t="array" ref="BC123:BC123">IF(TblConstr[[#This Row],[Hour]:[Hour]]&gt;12,OFFSET(TblConstr[[#This Row],[Mas]],-12,0),0)+OFFSET(TblConstr[[#This Row],[Tot Mas]],-1,0)-TblConstr[[#This Row],[Dest Mas]]</f>
        <v>0</v>
      </c>
      <c r="BD123" s="205" t="n">
        <f aca="false" t="array" ref="BD123:BD123">IF(TblConstr[[#This Row],[Hour]:[Hour]]&gt;12,OFFSET(TblConstr[[#This Row],[Ly]],-12,0),0)+OFFSET(TblConstr[[#This Row],[Tot Ly]],-1,0)-TblConstr[[#This Row],[Dest Ly]]</f>
        <v>25</v>
      </c>
      <c r="BE123" s="205" t="n">
        <f aca="false" t="array" ref="BE123:BE123">IF(TblConstr[[#This Row],[Hour]:[Hour]]&gt;12,OFFSET(TblConstr[[#This Row],[Hav]],-12,0),0)+OFFSET(TblConstr[[#This Row],[Tot Hav]],-1,0)-TblConstr[[#This Row],[Dest Hav]]</f>
        <v>0</v>
      </c>
      <c r="BF123" s="194" t="n">
        <f aca="false" t="array" ref="BF123:BF123">IF(TblConstr[[#This Row],[Hour]:[Hour]]&gt;12,OFFSET(TblConstr[[#This Row],[OM]],-12,0),0)+OFFSET(TblConstr[[#This Row],[Tot OM]],-1,0)-TblConstr[[#This Row],[Dest OM]]</f>
        <v>0</v>
      </c>
      <c r="BG123" s="194" t="n">
        <f aca="false" t="array" ref="BG123:BG123">IF(TblConstr[[#This Row],[Hour]:[Hour]]&gt;12,OFFSET(TblConstr[[#This Row],[GN]],-12,0),0)+OFFSET(TblConstr[[#This Row],[Tot GN]],-1,0)-TblConstr[[#This Row],[Dest GN]]</f>
        <v>0</v>
      </c>
      <c r="BH123" s="206" t="n">
        <f aca="false" t="array" ref="BH123:BH123">IF(TblConstr[[#This Row],[Hour]:[Hour]]&gt;12,OFFSET(TblConstr[[#This Row],[Fac]],-12,0),0)+OFFSET(TblConstr[[#This Row],[Tot Fac]],-1,0)-TblConstr[[#This Row],[Dest Fac]]</f>
        <v>0</v>
      </c>
      <c r="BI123" s="206" t="n">
        <f aca="false" t="array" ref="BI123:BI123">IF(TblConstr[[#This Row],[Hour]:[Hour]]&gt;12,OFFSET(TblConstr[[#This Row],[GT]],-12,0),0)+OFFSET(TblConstr[[#This Row],[Tot GT]],-1,0)-TblConstr[[#This Row],[Dest GT]]</f>
        <v>55</v>
      </c>
      <c r="BJ123" s="206" t="n">
        <f aca="false" t="array" ref="BJ123:BJ123">IF(TblConstr[[#This Row],[Hour]:[Hour]]&gt;12,OFFSET(TblConstr[[#This Row],[Bar]],-12,0),0)+OFFSET(TblConstr[[#This Row],[Tot Bar]],-1,0)-TblConstr[[#This Row],[Dest Bar]]</f>
        <v>50</v>
      </c>
      <c r="BK123" s="206" t="n">
        <f aca="false" t="array" ref="BK123:BK123">IF(TblConstr[[#This Row],[Hour]:[Hour]]&gt;12,OFFSET(TblConstr[[#This Row],[Shr]],-12,0),0)+OFFSET(TblConstr[[#This Row],[Tot Shr]],-1,0)-TblConstr[[#This Row],[Dest Shr]]</f>
        <v>0</v>
      </c>
      <c r="BL123" s="207" t="n">
        <f aca="false" t="array" ref="BL123:BL123">IF(TblConstr[[#This Row],[Hour]:[Hour]]&gt;12,OFFSET(TblConstr[[#This Row],[Tow]],-12,0),0)+OFFSET(TblConstr[[#This Row],[Tot Tow]],-1,0)-TblConstr[[#This Row],[Dest Tow]]</f>
        <v>29</v>
      </c>
      <c r="BM123" s="207" t="n">
        <f aca="false" t="array" ref="BM123:BM123">IF(TblConstr[[#This Row],[Hour]:[Hour]]&gt;12,OFFSET(TblConstr[[#This Row],[Tem]],-12,0),0)+OFFSET(TblConstr[[#This Row],[Tot Tem]],-1,0)-TblConstr[[#This Row],[Dest Tem]]</f>
        <v>47</v>
      </c>
      <c r="BN123" s="207" t="n">
        <f aca="false" t="array" ref="BN123:BN123">IF(TblConstr[[#This Row],[Hour]:[Hour]]&gt;12,OFFSET(TblConstr[[#This Row],[WG]],-12,0),0)+OFFSET(TblConstr[[#This Row],[Tot WG]],-1,0)-TblConstr[[#This Row],[Dest WG]]</f>
        <v>0</v>
      </c>
      <c r="BO123" s="208" t="n">
        <f aca="false" t="array" ref="BO123:BO123">IF(TblConstr[[#This Row],[Hour]:[Hour]]&gt;12,OFFSET(TblConstr[[#This Row],[DM]],-12,0),0)+OFFSET(TblConstr[[#This Row],[Tot DM]],-1,0)-TblConstr[[#This Row],[Dest DM]]</f>
        <v>0</v>
      </c>
      <c r="BP123" s="208" t="n">
        <f aca="false" t="array" ref="BP123:BP123">IF(TblConstr[[#This Row],[Hour]:[Hour]]&gt;12,OFFSET(TblConstr[[#This Row],[Sch]],-12,0),0)+OFFSET(TblConstr[[#This Row],[Tot Sch]],-1,0)-TblConstr[[#This Row],[Dest Sch]]</f>
        <v>0</v>
      </c>
      <c r="BQ123" s="209" t="n">
        <f aca="false" t="array" ref="BQ123:BQ123">IF(TblConstr[[#This Row],[Hour]:[Hour]]&gt;12,OFFSET(TblConstr[[#This Row],[Doc]],-12,0),0)+OFFSET(TblConstr[[#This Row],[Tot Doc]],-1,0)-TblConstr[[#This Row],[Dest Doc]]</f>
        <v>24</v>
      </c>
      <c r="BR123" s="132"/>
      <c r="BS123" s="146"/>
      <c r="BT123" s="69" t="n">
        <f aca="false">TblConstr[[#This Row],[Land]]</f>
        <v>700</v>
      </c>
      <c r="BU123" s="153" t="n">
        <f aca="false">TblImps[[#This Row],[Time]]</f>
        <v>45434.7083333333</v>
      </c>
      <c r="BV123" s="132"/>
      <c r="BW123" s="182"/>
      <c r="BX123" s="182"/>
      <c r="BY123" s="182"/>
      <c r="BZ123" s="182"/>
      <c r="CA123" s="182"/>
      <c r="CB123" s="182"/>
      <c r="CC123" s="182"/>
      <c r="CD123" s="182"/>
      <c r="CE123" s="182"/>
      <c r="CF123" s="182"/>
      <c r="CG123" s="182"/>
      <c r="CH123" s="182"/>
      <c r="CI123" s="182"/>
      <c r="CJ123" s="182"/>
      <c r="CK123" s="182"/>
      <c r="CL123" s="182"/>
      <c r="CM123" s="182"/>
      <c r="CN123" s="182"/>
      <c r="CO123" s="182"/>
      <c r="CP123" s="132"/>
      <c r="CQ123" s="192" t="n">
        <f aca="false">-SUM(TblConstr[[#This Row],[Alc]:[Mas]])+SUM(TblConstr[[#This Row],[Dest Alc]:[Dest Mas]])+Rezone!L123+IF("Ch_"&amp; home_land=TblConstr[[#Headers],[Ch_Plain]],TblConstr[[#This Row],[Home Land]])+IF(TblConstr[[#This Row],[Hour]:[Hour]]&gt;12,OFFSET(TblExplore[[#This Row],[Plains Explore]],-12,0),0)</f>
        <v>0</v>
      </c>
      <c r="CR123" s="193" t="n">
        <f aca="false">-SUM(TblConstr[[#This Row],[Ly]:[Hav]])+SUM(TblConstr[[#This Row],[Dest Ly]:[Dest Hav]]) +Rezone!M123 + IF("Ch_"&amp; home_land=TblConstr[[#Headers],[Ch_Forest]],TblConstr[[#This Row],[Home Land]])+IF(TblConstr[[#This Row],[Hour]:[Hour]]&gt;12,OFFSET(TblExplore[[#This Row],[Forest Explore]],-12,0),0)</f>
        <v>0</v>
      </c>
      <c r="CS123" s="200" t="n">
        <f aca="false">-SUM(TblConstr[[#This Row],[OM]:[GN]])+SUM(TblConstr[[#This Row],[Dest OM]:[Dest GN]]) +Rezone!N123 + IF("Ch_"&amp; home_land=TblConstr[[#Headers],[Ch_Mountain]],TblConstr[[#This Row],[Home Land]])+IF(TblConstr[[#This Row],[Hour]:[Hour]]&gt;12,OFFSET(TblExplore[[#This Row],[Mountain Explore]],-12,0),0)</f>
        <v>0</v>
      </c>
      <c r="CT123" s="195" t="n">
        <f aca="false">-SUM(TblConstr[[#This Row],[Fac]:[Shr]])+SUM(TblConstr[[#This Row],[Dest Fac]:[Dest Shr]]) +Rezone!O123 + IF("Ch_" &amp; home_land=TblConstr[[#Headers],[Ch_Hill]],TblConstr[[#This Row],[Home Land]])+IF(TblConstr[[#This Row],[Hour]:[Hour]]&gt;12,OFFSET(TblExplore[[#This Row],[Hill Explore]],-12,0),0)</f>
        <v>0</v>
      </c>
      <c r="CU123" s="196" t="n">
        <f aca="false">-SUM(TblConstr[[#This Row],[Tow]:[WG]])+SUM(TblConstr[[#This Row],[Dest Tow]:[Dest WG]]) +Rezone!P123 + IF("Ch_" &amp; home_land=TblConstr[[#Headers],[Ch_Swamp]],TblConstr[[#This Row],[Home Land]])+IF(TblConstr[[#This Row],[Hour]:[Hour]]&gt;12,OFFSET(TblExplore[[#This Row],[Swamp Explore]],-12,0),0)</f>
        <v>0</v>
      </c>
      <c r="CV123" s="197" t="n">
        <f aca="false">- SUM(TblConstr[[#This Row],[DM]:[Sch]])+SUM(TblConstr[[#This Row],[Dest DM]:[Dest Sch]]) +Rezone!Q123 + IF("Ch_" &amp; home_land=TblConstr[[#Headers],[Ch_Cavern]],TblConstr[[#This Row],[Home Land]])+IF(TblConstr[[#This Row],[Hour]:[Hour]]&gt;12,OFFSET(TblExplore[[#This Row],[Cavern Explore]],-12,0),0)</f>
        <v>0</v>
      </c>
      <c r="CW123" s="198" t="n">
        <f aca="false">-TblConstr[[#This Row],[Doc]]+TblConstr[[#This Row],[Dest Doc]] +Rezone!R123 + IF("Ch_" &amp; home_land=TblConstr[[#Headers],[Ch_Water]],TblConstr[[#This Row],[Home Land]])+IF(TblConstr[[#This Row],[Hour]:[Hour]]&gt;12,OFFSET(TblExplore[[#This Row],[Water Explore]],-12,0),0)</f>
        <v>0</v>
      </c>
      <c r="CX123" s="1" t="n">
        <f aca="false">IF(Explore!S123=1,20) - TblConstr[[#This Row],[Hom]] + TblConstr[[#This Row],[Dest Hom]]</f>
        <v>0</v>
      </c>
      <c r="CY123" s="132"/>
      <c r="CZ123" s="69" t="n">
        <f aca="false">G123+SUM(P112:S123)+SUM(AZ123:BC123)</f>
        <v>430</v>
      </c>
      <c r="DA123" s="69" t="n">
        <f aca="false">H123+SUM(T112:U123)+SUM(BD123:BE123)</f>
        <v>25</v>
      </c>
      <c r="DB123" s="1" t="n">
        <f aca="false">I123+SUM(V112:W123)+SUM(BF123:BG123)</f>
        <v>0</v>
      </c>
      <c r="DC123" s="69" t="n">
        <f aca="false">J123+SUM(X112:Y123)+SUM(BH123:BI123)</f>
        <v>55</v>
      </c>
      <c r="DD123" s="69" t="n">
        <f aca="false">K123+SUM(AB112:AD123)+SUM(BL123:BN123)</f>
        <v>76</v>
      </c>
      <c r="DE123" s="1" t="n">
        <f aca="false">L123+SUM(AE112:AE123)+BO123</f>
        <v>0</v>
      </c>
      <c r="DF123" s="69" t="n">
        <f aca="false">M123+SUM(AG112:AG123)+BQ123</f>
        <v>24</v>
      </c>
      <c r="DG123" s="69" t="e">
        <f aca="false" t="array" ref="DG123:DG123">INDEX(TblConstr[[Total Plain]:[Total Water]],ROW()-ROW(TblConstr[#headers]),MATCH("Total "&amp;home_land,TblConstr[[#Headers],[Total Plain]:[Total Water]],0))+TblConstr[[#This Row],[Homes]]</f>
        <v>#VALUE!</v>
      </c>
      <c r="DH123" s="1" t="n">
        <f aca="false">SUM(O112:O123)+AY123</f>
        <v>40</v>
      </c>
      <c r="DI123" s="1" t="n">
        <f aca="false">MAX(BA123-BA122,0)</f>
        <v>0</v>
      </c>
      <c r="DJ123" s="1" t="n">
        <f aca="false">MAX(BQ123-BQ122,0)</f>
        <v>0</v>
      </c>
    </row>
    <row r="124" customFormat="false" ht="12.75" hidden="false" customHeight="false" outlineLevel="0" collapsed="false">
      <c r="A124" s="170" t="n">
        <f aca="false">TblRezone[[#This Row],[Hour]]</f>
        <v>121</v>
      </c>
      <c r="B124" s="171" t="n">
        <f aca="false">SUM(TblConstr[[#This Row],[Plain]:[Water]])</f>
        <v>0</v>
      </c>
      <c r="C124" s="172" t="n">
        <f aca="false">SUM(TblConstr[[#This Row],[Tot Hom]:[Tot Doc]])</f>
        <v>700</v>
      </c>
      <c r="D124" s="172" t="n">
        <f aca="false">SUM(O113:AG124)</f>
        <v>0</v>
      </c>
      <c r="E124" s="173"/>
      <c r="F124" s="33" t="n">
        <f aca="false">TblConstr[[#This Row],[Barren]]+TblConstr[[#This Row],[Buildings]]+TblConstr[[#This Row],[Incoming]]</f>
        <v>700</v>
      </c>
      <c r="G124" s="199" t="n">
        <f aca="false">OFFSET(TblConstr[[#This Row],[Plain]],-1,0)+TblConstr[[#This Row],[Ch_Plain]]</f>
        <v>0</v>
      </c>
      <c r="H124" s="193" t="n">
        <f aca="false">OFFSET(TblConstr[[#This Row],[Forest]],-1,0)+TblConstr[[#This Row],[Ch_Forest]]</f>
        <v>0</v>
      </c>
      <c r="I124" s="200" t="n">
        <f aca="false">OFFSET(TblConstr[[#This Row],[Mountain]],-1,0)+TblConstr[[#This Row],[Ch_Mountain]]</f>
        <v>0</v>
      </c>
      <c r="J124" s="201" t="n">
        <f aca="false">OFFSET(TblConstr[[#This Row],[Hill]],-1,0)+TblConstr[[#This Row],[Ch_Hill]]</f>
        <v>0</v>
      </c>
      <c r="K124" s="202" t="n">
        <f aca="false">OFFSET(TblConstr[[#This Row],[Swamp]],-1,0)+TblConstr[[#This Row],[Ch_Swamp]]</f>
        <v>0</v>
      </c>
      <c r="L124" s="197" t="n">
        <f aca="false">OFFSET(TblConstr[[#This Row],[Cavern]],-1,0)+TblConstr[[#This Row],[Ch_Cavern]]</f>
        <v>0</v>
      </c>
      <c r="M124" s="198" t="n">
        <f aca="false">OFFSET(TblConstr[[#This Row],[Water]],-1,0)+TblConstr[[#This Row],[Ch_Water]]</f>
        <v>0</v>
      </c>
      <c r="N124" s="181" t="n">
        <f aca="false">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20" t="n">
        <f aca="false">TblImps[[#This Row],[Time]]</f>
        <v>45434.75</v>
      </c>
      <c r="AI124" s="130" t="n">
        <f aca="false">MIN(25%,(TblConstr[[#This Row],[Tot Fac]]+TblConstr[[#This Row],[Dest Fac]])/(TblConstr[[#This Row],[Land]]-TblExplore[[#This Row],[Land Bonus]]*20))</f>
        <v>0</v>
      </c>
      <c r="AJ124" s="130" t="n">
        <f aca="false">MIN(25%,(TblConstr[[#This Row],[Tot Fac]]+TblConstr[[#This Row],[Dest Fac]])/TblConstr[[#This Row],[Land]])</f>
        <v>0</v>
      </c>
      <c r="AK124" s="69" t="n">
        <f aca="false">TblProd[[#This Row],[Platinum]]</f>
        <v>1863275</v>
      </c>
      <c r="AL124" s="69" t="n">
        <f aca="false">TblProd[[#This Row],[Lumber]]</f>
        <v>51727</v>
      </c>
      <c r="AM1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4" s="69" t="n">
        <f aca="false">ROUNDDOWN( MAX(1 - MIN(facs_constr_factor*TblConstr[[#This Row],[Facs -DB]],facs_constr_max) + tech_1_11*TblTech[[#This Row],[11-1]] + tech_6_3_2*TblTech[[#This Row],[6-3]] + tech_5_2_3*TblTech[[#This Row],[5-2]], 1-global_constr_cap) * TblConstr[[#This Row],[RCPA Lumber]],0)</f>
        <v>216</v>
      </c>
      <c r="AO1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4" s="69" t="n">
        <f aca="false">ROUNDDOWN( MAX(1 - MIN(facs_constr_factor*TblConstr[[#This Row],[Facs DB]],facs_constr_max) + tech_1_11*TblTech[[#This Row],[1-11]] + tech_6_3_2*TblTech[[#This Row],[6-3]] + tech_5_2_3*TblTech[[#This Row],[5-2]], 1-global_constr_cap) * ROUND((TblConstr[[#This Row],[Land]]-250)*0.285 + 87.5 + 0/4.25,0),0)</f>
        <v>216</v>
      </c>
      <c r="AQ124" s="1" t="n">
        <f aca="false">TblConstr[[#This Row],[build -db]]*TblConstr[[#This Row],[CPA Platinum -DB]] + TblConstr[[#This Row],[build db]]*TblConstr[[#This Row],[CPA Platinum DB]]</f>
        <v>0</v>
      </c>
      <c r="AR124" s="1" t="n">
        <f aca="false">TblConstr[[#This Row],[build -db]]*TblConstr[[#This Row],[CPA Lumber -DB]]+TblConstr[[#This Row],[build db]]*TblConstr[[#This Row],[CPA Lumber DB]]</f>
        <v>0</v>
      </c>
      <c r="AS124" s="69" t="n">
        <f aca="false">MIN(SUM(OFFSET(TblConstr[[#This Row],[Plain]:[Water]],-1,0))+SUM(TblConstr[[#This Row],[Dest Hom]:[Dest Doc]])+IF(TblConstr[[#This Row],[Hour]]&gt;12,SUM(OFFSET(TblExplore[[#This Row],[Plains Explore]:[Water Explore]],-12,0)),0),SUM(TblConstr[[#This Row],[Hom]:[Doc]]))</f>
        <v>0</v>
      </c>
      <c r="AT12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32"/>
      <c r="AV124" s="69" t="n">
        <f aca="false">ROUND((TblConstr[[#This Row],[Land]]-250 - IF(TblExplore[[#This Row],[Land Bonus]]&lt;&gt;0,20,0))*1.25 + 850 + 0,0)</f>
        <v>1413</v>
      </c>
      <c r="AW124" s="69" t="n">
        <f aca="false">ROUND((TblConstr[[#This Row],[Land]]-250 - IF(TblExplore[[#This Row],[Land Bonus]]&lt;&gt;0,20,0))*0.285 + 87.5 + 0/4.25,0)</f>
        <v>216</v>
      </c>
      <c r="AX124" s="146"/>
      <c r="AY124" s="203" t="n">
        <f aca="false" t="array" ref="AY124:AY124">IF(TblConstr[[#This Row],[Hour]:[Hour]]&gt;12,OFFSET(TblConstr[[#This Row],[Hom]],-12,0),0)+OFFSET(TblConstr[[#This Row],[Tot Hom]],-1,0)-TblConstr[[#This Row],[Dest Hom]]</f>
        <v>40</v>
      </c>
      <c r="AZ124" s="204" t="n">
        <f aca="false" t="array" ref="AZ124:AZ124">IF(TblConstr[[#This Row],[Hour]:[Hour]]&gt;12,OFFSET(TblConstr[[#This Row],[Alc]],-12,0),0)+OFFSET(TblConstr[[#This Row],[Tot Alc]],-1,0)-TblConstr[[#This Row],[Dest Alc]]</f>
        <v>275</v>
      </c>
      <c r="BA124" s="204" t="n">
        <f aca="false" t="array" ref="BA124:BA124">IF(TblConstr[[#This Row],[Hour]:[Hour]]&gt;12,OFFSET(TblConstr[[#This Row],[Far]],-12,0),0)+OFFSET(TblConstr[[#This Row],[Tot Farm]],-1,0)-TblConstr[[#This Row],[Dest Farm]]</f>
        <v>29</v>
      </c>
      <c r="BB124" s="204" t="n">
        <f aca="false" t="array" ref="BB124:BB124">IF(TblConstr[[#This Row],[Hour]:[Hour]]&gt;12,OFFSET(TblConstr[[#This Row],[Smi]],-12,0),0)+OFFSET(TblConstr[[#This Row],[Tot Smi]],-1,0)-TblConstr[[#This Row],[Dest Smi]]</f>
        <v>126</v>
      </c>
      <c r="BC124" s="204" t="n">
        <f aca="false" t="array" ref="BC124:BC124">IF(TblConstr[[#This Row],[Hour]:[Hour]]&gt;12,OFFSET(TblConstr[[#This Row],[Mas]],-12,0),0)+OFFSET(TblConstr[[#This Row],[Tot Mas]],-1,0)-TblConstr[[#This Row],[Dest Mas]]</f>
        <v>0</v>
      </c>
      <c r="BD124" s="205" t="n">
        <f aca="false" t="array" ref="BD124:BD124">IF(TblConstr[[#This Row],[Hour]:[Hour]]&gt;12,OFFSET(TblConstr[[#This Row],[Ly]],-12,0),0)+OFFSET(TblConstr[[#This Row],[Tot Ly]],-1,0)-TblConstr[[#This Row],[Dest Ly]]</f>
        <v>25</v>
      </c>
      <c r="BE124" s="205" t="n">
        <f aca="false" t="array" ref="BE124:BE124">IF(TblConstr[[#This Row],[Hour]:[Hour]]&gt;12,OFFSET(TblConstr[[#This Row],[Hav]],-12,0),0)+OFFSET(TblConstr[[#This Row],[Tot Hav]],-1,0)-TblConstr[[#This Row],[Dest Hav]]</f>
        <v>0</v>
      </c>
      <c r="BF124" s="194" t="n">
        <f aca="false" t="array" ref="BF124:BF124">IF(TblConstr[[#This Row],[Hour]:[Hour]]&gt;12,OFFSET(TblConstr[[#This Row],[OM]],-12,0),0)+OFFSET(TblConstr[[#This Row],[Tot OM]],-1,0)-TblConstr[[#This Row],[Dest OM]]</f>
        <v>0</v>
      </c>
      <c r="BG124" s="194" t="n">
        <f aca="false" t="array" ref="BG124:BG124">IF(TblConstr[[#This Row],[Hour]:[Hour]]&gt;12,OFFSET(TblConstr[[#This Row],[GN]],-12,0),0)+OFFSET(TblConstr[[#This Row],[Tot GN]],-1,0)-TblConstr[[#This Row],[Dest GN]]</f>
        <v>0</v>
      </c>
      <c r="BH124" s="206" t="n">
        <f aca="false" t="array" ref="BH124:BH124">IF(TblConstr[[#This Row],[Hour]:[Hour]]&gt;12,OFFSET(TblConstr[[#This Row],[Fac]],-12,0),0)+OFFSET(TblConstr[[#This Row],[Tot Fac]],-1,0)-TblConstr[[#This Row],[Dest Fac]]</f>
        <v>0</v>
      </c>
      <c r="BI124" s="206" t="n">
        <f aca="false" t="array" ref="BI124:BI124">IF(TblConstr[[#This Row],[Hour]:[Hour]]&gt;12,OFFSET(TblConstr[[#This Row],[GT]],-12,0),0)+OFFSET(TblConstr[[#This Row],[Tot GT]],-1,0)-TblConstr[[#This Row],[Dest GT]]</f>
        <v>55</v>
      </c>
      <c r="BJ124" s="206" t="n">
        <f aca="false" t="array" ref="BJ124:BJ124">IF(TblConstr[[#This Row],[Hour]:[Hour]]&gt;12,OFFSET(TblConstr[[#This Row],[Bar]],-12,0),0)+OFFSET(TblConstr[[#This Row],[Tot Bar]],-1,0)-TblConstr[[#This Row],[Dest Bar]]</f>
        <v>50</v>
      </c>
      <c r="BK124" s="206" t="n">
        <f aca="false" t="array" ref="BK124:BK124">IF(TblConstr[[#This Row],[Hour]:[Hour]]&gt;12,OFFSET(TblConstr[[#This Row],[Shr]],-12,0),0)+OFFSET(TblConstr[[#This Row],[Tot Shr]],-1,0)-TblConstr[[#This Row],[Dest Shr]]</f>
        <v>0</v>
      </c>
      <c r="BL124" s="207" t="n">
        <f aca="false" t="array" ref="BL124:BL124">IF(TblConstr[[#This Row],[Hour]:[Hour]]&gt;12,OFFSET(TblConstr[[#This Row],[Tow]],-12,0),0)+OFFSET(TblConstr[[#This Row],[Tot Tow]],-1,0)-TblConstr[[#This Row],[Dest Tow]]</f>
        <v>29</v>
      </c>
      <c r="BM124" s="207" t="n">
        <f aca="false" t="array" ref="BM124:BM124">IF(TblConstr[[#This Row],[Hour]:[Hour]]&gt;12,OFFSET(TblConstr[[#This Row],[Tem]],-12,0),0)+OFFSET(TblConstr[[#This Row],[Tot Tem]],-1,0)-TblConstr[[#This Row],[Dest Tem]]</f>
        <v>47</v>
      </c>
      <c r="BN124" s="207" t="n">
        <f aca="false" t="array" ref="BN124:BN124">IF(TblConstr[[#This Row],[Hour]:[Hour]]&gt;12,OFFSET(TblConstr[[#This Row],[WG]],-12,0),0)+OFFSET(TblConstr[[#This Row],[Tot WG]],-1,0)-TblConstr[[#This Row],[Dest WG]]</f>
        <v>0</v>
      </c>
      <c r="BO124" s="208" t="n">
        <f aca="false" t="array" ref="BO124:BO124">IF(TblConstr[[#This Row],[Hour]:[Hour]]&gt;12,OFFSET(TblConstr[[#This Row],[DM]],-12,0),0)+OFFSET(TblConstr[[#This Row],[Tot DM]],-1,0)-TblConstr[[#This Row],[Dest DM]]</f>
        <v>0</v>
      </c>
      <c r="BP124" s="208" t="n">
        <f aca="false" t="array" ref="BP124:BP124">IF(TblConstr[[#This Row],[Hour]:[Hour]]&gt;12,OFFSET(TblConstr[[#This Row],[Sch]],-12,0),0)+OFFSET(TblConstr[[#This Row],[Tot Sch]],-1,0)-TblConstr[[#This Row],[Dest Sch]]</f>
        <v>0</v>
      </c>
      <c r="BQ124" s="209" t="n">
        <f aca="false" t="array" ref="BQ124:BQ124">IF(TblConstr[[#This Row],[Hour]:[Hour]]&gt;12,OFFSET(TblConstr[[#This Row],[Doc]],-12,0),0)+OFFSET(TblConstr[[#This Row],[Tot Doc]],-1,0)-TblConstr[[#This Row],[Dest Doc]]</f>
        <v>24</v>
      </c>
      <c r="BR124" s="132"/>
      <c r="BS124" s="146"/>
      <c r="BT124" s="69" t="n">
        <f aca="false">TblConstr[[#This Row],[Land]]</f>
        <v>700</v>
      </c>
      <c r="BU124" s="153" t="n">
        <f aca="false">TblImps[[#This Row],[Time]]</f>
        <v>45434.75</v>
      </c>
      <c r="BV124" s="132"/>
      <c r="BW124" s="182"/>
      <c r="BX124" s="182"/>
      <c r="BY124" s="182"/>
      <c r="BZ124" s="182"/>
      <c r="CA124" s="182"/>
      <c r="CB124" s="182"/>
      <c r="CC124" s="182"/>
      <c r="CD124" s="182"/>
      <c r="CE124" s="182"/>
      <c r="CF124" s="182"/>
      <c r="CG124" s="182"/>
      <c r="CH124" s="182"/>
      <c r="CI124" s="182"/>
      <c r="CJ124" s="182"/>
      <c r="CK124" s="182"/>
      <c r="CL124" s="182"/>
      <c r="CM124" s="182"/>
      <c r="CN124" s="182"/>
      <c r="CO124" s="182"/>
      <c r="CP124" s="132"/>
      <c r="CQ124" s="192" t="n">
        <f aca="false">-SUM(TblConstr[[#This Row],[Alc]:[Mas]])+SUM(TblConstr[[#This Row],[Dest Alc]:[Dest Mas]])+Rezone!L124+IF("Ch_"&amp; home_land=TblConstr[[#Headers],[Ch_Plain]],TblConstr[[#This Row],[Home Land]])+IF(TblConstr[[#This Row],[Hour]:[Hour]]&gt;12,OFFSET(TblExplore[[#This Row],[Plains Explore]],-12,0),0)</f>
        <v>0</v>
      </c>
      <c r="CR124" s="193" t="n">
        <f aca="false">-SUM(TblConstr[[#This Row],[Ly]:[Hav]])+SUM(TblConstr[[#This Row],[Dest Ly]:[Dest Hav]]) +Rezone!M124 + IF("Ch_"&amp; home_land=TblConstr[[#Headers],[Ch_Forest]],TblConstr[[#This Row],[Home Land]])+IF(TblConstr[[#This Row],[Hour]:[Hour]]&gt;12,OFFSET(TblExplore[[#This Row],[Forest Explore]],-12,0),0)</f>
        <v>0</v>
      </c>
      <c r="CS124" s="200" t="n">
        <f aca="false">-SUM(TblConstr[[#This Row],[OM]:[GN]])+SUM(TblConstr[[#This Row],[Dest OM]:[Dest GN]]) +Rezone!N124 + IF("Ch_"&amp; home_land=TblConstr[[#Headers],[Ch_Mountain]],TblConstr[[#This Row],[Home Land]])+IF(TblConstr[[#This Row],[Hour]:[Hour]]&gt;12,OFFSET(TblExplore[[#This Row],[Mountain Explore]],-12,0),0)</f>
        <v>0</v>
      </c>
      <c r="CT124" s="195" t="n">
        <f aca="false">-SUM(TblConstr[[#This Row],[Fac]:[Shr]])+SUM(TblConstr[[#This Row],[Dest Fac]:[Dest Shr]]) +Rezone!O124 + IF("Ch_" &amp; home_land=TblConstr[[#Headers],[Ch_Hill]],TblConstr[[#This Row],[Home Land]])+IF(TblConstr[[#This Row],[Hour]:[Hour]]&gt;12,OFFSET(TblExplore[[#This Row],[Hill Explore]],-12,0),0)</f>
        <v>0</v>
      </c>
      <c r="CU124" s="196" t="n">
        <f aca="false">-SUM(TblConstr[[#This Row],[Tow]:[WG]])+SUM(TblConstr[[#This Row],[Dest Tow]:[Dest WG]]) +Rezone!P124 + IF("Ch_" &amp; home_land=TblConstr[[#Headers],[Ch_Swamp]],TblConstr[[#This Row],[Home Land]])+IF(TblConstr[[#This Row],[Hour]:[Hour]]&gt;12,OFFSET(TblExplore[[#This Row],[Swamp Explore]],-12,0),0)</f>
        <v>0</v>
      </c>
      <c r="CV124" s="197" t="n">
        <f aca="false">- SUM(TblConstr[[#This Row],[DM]:[Sch]])+SUM(TblConstr[[#This Row],[Dest DM]:[Dest Sch]]) +Rezone!Q124 + IF("Ch_" &amp; home_land=TblConstr[[#Headers],[Ch_Cavern]],TblConstr[[#This Row],[Home Land]])+IF(TblConstr[[#This Row],[Hour]:[Hour]]&gt;12,OFFSET(TblExplore[[#This Row],[Cavern Explore]],-12,0),0)</f>
        <v>0</v>
      </c>
      <c r="CW124" s="198" t="n">
        <f aca="false">-TblConstr[[#This Row],[Doc]]+TblConstr[[#This Row],[Dest Doc]] +Rezone!R124 + IF("Ch_" &amp; home_land=TblConstr[[#Headers],[Ch_Water]],TblConstr[[#This Row],[Home Land]])+IF(TblConstr[[#This Row],[Hour]:[Hour]]&gt;12,OFFSET(TblExplore[[#This Row],[Water Explore]],-12,0),0)</f>
        <v>0</v>
      </c>
      <c r="CX124" s="1" t="n">
        <f aca="false">IF(Explore!S124=1,20) - TblConstr[[#This Row],[Hom]] + TblConstr[[#This Row],[Dest Hom]]</f>
        <v>0</v>
      </c>
      <c r="CY124" s="132"/>
      <c r="CZ124" s="69" t="n">
        <f aca="false">G124+SUM(P113:S124)+SUM(AZ124:BC124)</f>
        <v>430</v>
      </c>
      <c r="DA124" s="69" t="n">
        <f aca="false">H124+SUM(T113:U124)+SUM(BD124:BE124)</f>
        <v>25</v>
      </c>
      <c r="DB124" s="1" t="n">
        <f aca="false">I124+SUM(V113:W124)+SUM(BF124:BG124)</f>
        <v>0</v>
      </c>
      <c r="DC124" s="69" t="n">
        <f aca="false">J124+SUM(X113:Y124)+SUM(BH124:BI124)</f>
        <v>55</v>
      </c>
      <c r="DD124" s="69" t="n">
        <f aca="false">K124+SUM(AB113:AD124)+SUM(BL124:BN124)</f>
        <v>76</v>
      </c>
      <c r="DE124" s="1" t="n">
        <f aca="false">L124+SUM(AE113:AE124)+BO124</f>
        <v>0</v>
      </c>
      <c r="DF124" s="69" t="n">
        <f aca="false">M124+SUM(AG113:AG124)+BQ124</f>
        <v>24</v>
      </c>
      <c r="DG124" s="69" t="e">
        <f aca="false" t="array" ref="DG124:DG124">INDEX(TblConstr[[Total Plain]:[Total Water]],ROW()-ROW(TblConstr[#headers]),MATCH("Total "&amp;home_land,TblConstr[[#Headers],[Total Plain]:[Total Water]],0))+TblConstr[[#This Row],[Homes]]</f>
        <v>#VALUE!</v>
      </c>
      <c r="DH124" s="1" t="n">
        <f aca="false">SUM(O113:O124)+AY124</f>
        <v>40</v>
      </c>
      <c r="DI124" s="1" t="n">
        <f aca="false">MAX(BA124-BA123,0)</f>
        <v>0</v>
      </c>
      <c r="DJ124" s="1" t="n">
        <f aca="false">MAX(BQ124-BQ123,0)</f>
        <v>0</v>
      </c>
    </row>
    <row r="125" customFormat="false" ht="12.75" hidden="false" customHeight="false" outlineLevel="0" collapsed="false">
      <c r="A125" s="170" t="n">
        <f aca="false">TblRezone[[#This Row],[Hour]]</f>
        <v>122</v>
      </c>
      <c r="B125" s="171" t="n">
        <f aca="false">SUM(TblConstr[[#This Row],[Plain]:[Water]])</f>
        <v>0</v>
      </c>
      <c r="C125" s="172" t="n">
        <f aca="false">SUM(TblConstr[[#This Row],[Tot Hom]:[Tot Doc]])</f>
        <v>700</v>
      </c>
      <c r="D125" s="172" t="n">
        <f aca="false">SUM(O114:AG125)</f>
        <v>0</v>
      </c>
      <c r="E125" s="173"/>
      <c r="F125" s="33" t="n">
        <f aca="false">TblConstr[[#This Row],[Barren]]+TblConstr[[#This Row],[Buildings]]+TblConstr[[#This Row],[Incoming]]</f>
        <v>700</v>
      </c>
      <c r="G125" s="199" t="n">
        <f aca="false">OFFSET(TblConstr[[#This Row],[Plain]],-1,0)+TblConstr[[#This Row],[Ch_Plain]]</f>
        <v>0</v>
      </c>
      <c r="H125" s="193" t="n">
        <f aca="false">OFFSET(TblConstr[[#This Row],[Forest]],-1,0)+TblConstr[[#This Row],[Ch_Forest]]</f>
        <v>0</v>
      </c>
      <c r="I125" s="200" t="n">
        <f aca="false">OFFSET(TblConstr[[#This Row],[Mountain]],-1,0)+TblConstr[[#This Row],[Ch_Mountain]]</f>
        <v>0</v>
      </c>
      <c r="J125" s="201" t="n">
        <f aca="false">OFFSET(TblConstr[[#This Row],[Hill]],-1,0)+TblConstr[[#This Row],[Ch_Hill]]</f>
        <v>0</v>
      </c>
      <c r="K125" s="202" t="n">
        <f aca="false">OFFSET(TblConstr[[#This Row],[Swamp]],-1,0)+TblConstr[[#This Row],[Ch_Swamp]]</f>
        <v>0</v>
      </c>
      <c r="L125" s="197" t="n">
        <f aca="false">OFFSET(TblConstr[[#This Row],[Cavern]],-1,0)+TblConstr[[#This Row],[Ch_Cavern]]</f>
        <v>0</v>
      </c>
      <c r="M125" s="198" t="n">
        <f aca="false">OFFSET(TblConstr[[#This Row],[Water]],-1,0)+TblConstr[[#This Row],[Ch_Water]]</f>
        <v>0</v>
      </c>
      <c r="N125" s="181" t="n">
        <f aca="false">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20" t="n">
        <f aca="false">TblImps[[#This Row],[Time]]</f>
        <v>45434.7916666667</v>
      </c>
      <c r="AI125" s="130" t="n">
        <f aca="false">MIN(25%,(TblConstr[[#This Row],[Tot Fac]]+TblConstr[[#This Row],[Dest Fac]])/(TblConstr[[#This Row],[Land]]-TblExplore[[#This Row],[Land Bonus]]*20))</f>
        <v>0</v>
      </c>
      <c r="AJ125" s="130" t="n">
        <f aca="false">MIN(25%,(TblConstr[[#This Row],[Tot Fac]]+TblConstr[[#This Row],[Dest Fac]])/TblConstr[[#This Row],[Land]])</f>
        <v>0</v>
      </c>
      <c r="AK125" s="69" t="n">
        <f aca="false">TblProd[[#This Row],[Platinum]]</f>
        <v>1892341</v>
      </c>
      <c r="AL125" s="69" t="n">
        <f aca="false">TblProd[[#This Row],[Lumber]]</f>
        <v>52335</v>
      </c>
      <c r="AM1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5" s="69" t="n">
        <f aca="false">ROUNDDOWN( MAX(1 - MIN(facs_constr_factor*TblConstr[[#This Row],[Facs -DB]],facs_constr_max) + tech_1_11*TblTech[[#This Row],[11-1]] + tech_6_3_2*TblTech[[#This Row],[6-3]] + tech_5_2_3*TblTech[[#This Row],[5-2]], 1-global_constr_cap) * TblConstr[[#This Row],[RCPA Lumber]],0)</f>
        <v>216</v>
      </c>
      <c r="AO1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5" s="69" t="n">
        <f aca="false">ROUNDDOWN( MAX(1 - MIN(facs_constr_factor*TblConstr[[#This Row],[Facs DB]],facs_constr_max) + tech_1_11*TblTech[[#This Row],[1-11]] + tech_6_3_2*TblTech[[#This Row],[6-3]] + tech_5_2_3*TblTech[[#This Row],[5-2]], 1-global_constr_cap) * ROUND((TblConstr[[#This Row],[Land]]-250)*0.285 + 87.5 + 0/4.25,0),0)</f>
        <v>216</v>
      </c>
      <c r="AQ125" s="1" t="n">
        <f aca="false">TblConstr[[#This Row],[build -db]]*TblConstr[[#This Row],[CPA Platinum -DB]] + TblConstr[[#This Row],[build db]]*TblConstr[[#This Row],[CPA Platinum DB]]</f>
        <v>0</v>
      </c>
      <c r="AR125" s="1" t="n">
        <f aca="false">TblConstr[[#This Row],[build -db]]*TblConstr[[#This Row],[CPA Lumber -DB]]+TblConstr[[#This Row],[build db]]*TblConstr[[#This Row],[CPA Lumber DB]]</f>
        <v>0</v>
      </c>
      <c r="AS125" s="69" t="n">
        <f aca="false">MIN(SUM(OFFSET(TblConstr[[#This Row],[Plain]:[Water]],-1,0))+SUM(TblConstr[[#This Row],[Dest Hom]:[Dest Doc]])+IF(TblConstr[[#This Row],[Hour]]&gt;12,SUM(OFFSET(TblExplore[[#This Row],[Plains Explore]:[Water Explore]],-12,0)),0),SUM(TblConstr[[#This Row],[Hom]:[Doc]]))</f>
        <v>0</v>
      </c>
      <c r="AT12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32"/>
      <c r="AV125" s="69" t="n">
        <f aca="false">ROUND((TblConstr[[#This Row],[Land]]-250 - IF(TblExplore[[#This Row],[Land Bonus]]&lt;&gt;0,20,0))*1.25 + 850 + 0,0)</f>
        <v>1413</v>
      </c>
      <c r="AW125" s="69" t="n">
        <f aca="false">ROUND((TblConstr[[#This Row],[Land]]-250 - IF(TblExplore[[#This Row],[Land Bonus]]&lt;&gt;0,20,0))*0.285 + 87.5 + 0/4.25,0)</f>
        <v>216</v>
      </c>
      <c r="AX125" s="146"/>
      <c r="AY125" s="203" t="n">
        <f aca="false" t="array" ref="AY125:AY125">IF(TblConstr[[#This Row],[Hour]:[Hour]]&gt;12,OFFSET(TblConstr[[#This Row],[Hom]],-12,0),0)+OFFSET(TblConstr[[#This Row],[Tot Hom]],-1,0)-TblConstr[[#This Row],[Dest Hom]]</f>
        <v>40</v>
      </c>
      <c r="AZ125" s="204" t="n">
        <f aca="false" t="array" ref="AZ125:AZ125">IF(TblConstr[[#This Row],[Hour]:[Hour]]&gt;12,OFFSET(TblConstr[[#This Row],[Alc]],-12,0),0)+OFFSET(TblConstr[[#This Row],[Tot Alc]],-1,0)-TblConstr[[#This Row],[Dest Alc]]</f>
        <v>275</v>
      </c>
      <c r="BA125" s="204" t="n">
        <f aca="false" t="array" ref="BA125:BA125">IF(TblConstr[[#This Row],[Hour]:[Hour]]&gt;12,OFFSET(TblConstr[[#This Row],[Far]],-12,0),0)+OFFSET(TblConstr[[#This Row],[Tot Farm]],-1,0)-TblConstr[[#This Row],[Dest Farm]]</f>
        <v>29</v>
      </c>
      <c r="BB125" s="204" t="n">
        <f aca="false" t="array" ref="BB125:BB125">IF(TblConstr[[#This Row],[Hour]:[Hour]]&gt;12,OFFSET(TblConstr[[#This Row],[Smi]],-12,0),0)+OFFSET(TblConstr[[#This Row],[Tot Smi]],-1,0)-TblConstr[[#This Row],[Dest Smi]]</f>
        <v>126</v>
      </c>
      <c r="BC125" s="204" t="n">
        <f aca="false" t="array" ref="BC125:BC125">IF(TblConstr[[#This Row],[Hour]:[Hour]]&gt;12,OFFSET(TblConstr[[#This Row],[Mas]],-12,0),0)+OFFSET(TblConstr[[#This Row],[Tot Mas]],-1,0)-TblConstr[[#This Row],[Dest Mas]]</f>
        <v>0</v>
      </c>
      <c r="BD125" s="205" t="n">
        <f aca="false" t="array" ref="BD125:BD125">IF(TblConstr[[#This Row],[Hour]:[Hour]]&gt;12,OFFSET(TblConstr[[#This Row],[Ly]],-12,0),0)+OFFSET(TblConstr[[#This Row],[Tot Ly]],-1,0)-TblConstr[[#This Row],[Dest Ly]]</f>
        <v>25</v>
      </c>
      <c r="BE125" s="205" t="n">
        <f aca="false" t="array" ref="BE125:BE125">IF(TblConstr[[#This Row],[Hour]:[Hour]]&gt;12,OFFSET(TblConstr[[#This Row],[Hav]],-12,0),0)+OFFSET(TblConstr[[#This Row],[Tot Hav]],-1,0)-TblConstr[[#This Row],[Dest Hav]]</f>
        <v>0</v>
      </c>
      <c r="BF125" s="194" t="n">
        <f aca="false" t="array" ref="BF125:BF125">IF(TblConstr[[#This Row],[Hour]:[Hour]]&gt;12,OFFSET(TblConstr[[#This Row],[OM]],-12,0),0)+OFFSET(TblConstr[[#This Row],[Tot OM]],-1,0)-TblConstr[[#This Row],[Dest OM]]</f>
        <v>0</v>
      </c>
      <c r="BG125" s="194" t="n">
        <f aca="false" t="array" ref="BG125:BG125">IF(TblConstr[[#This Row],[Hour]:[Hour]]&gt;12,OFFSET(TblConstr[[#This Row],[GN]],-12,0),0)+OFFSET(TblConstr[[#This Row],[Tot GN]],-1,0)-TblConstr[[#This Row],[Dest GN]]</f>
        <v>0</v>
      </c>
      <c r="BH125" s="206" t="n">
        <f aca="false" t="array" ref="BH125:BH125">IF(TblConstr[[#This Row],[Hour]:[Hour]]&gt;12,OFFSET(TblConstr[[#This Row],[Fac]],-12,0),0)+OFFSET(TblConstr[[#This Row],[Tot Fac]],-1,0)-TblConstr[[#This Row],[Dest Fac]]</f>
        <v>0</v>
      </c>
      <c r="BI125" s="206" t="n">
        <f aca="false" t="array" ref="BI125:BI125">IF(TblConstr[[#This Row],[Hour]:[Hour]]&gt;12,OFFSET(TblConstr[[#This Row],[GT]],-12,0),0)+OFFSET(TblConstr[[#This Row],[Tot GT]],-1,0)-TblConstr[[#This Row],[Dest GT]]</f>
        <v>55</v>
      </c>
      <c r="BJ125" s="206" t="n">
        <f aca="false" t="array" ref="BJ125:BJ125">IF(TblConstr[[#This Row],[Hour]:[Hour]]&gt;12,OFFSET(TblConstr[[#This Row],[Bar]],-12,0),0)+OFFSET(TblConstr[[#This Row],[Tot Bar]],-1,0)-TblConstr[[#This Row],[Dest Bar]]</f>
        <v>50</v>
      </c>
      <c r="BK125" s="206" t="n">
        <f aca="false" t="array" ref="BK125:BK125">IF(TblConstr[[#This Row],[Hour]:[Hour]]&gt;12,OFFSET(TblConstr[[#This Row],[Shr]],-12,0),0)+OFFSET(TblConstr[[#This Row],[Tot Shr]],-1,0)-TblConstr[[#This Row],[Dest Shr]]</f>
        <v>0</v>
      </c>
      <c r="BL125" s="207" t="n">
        <f aca="false" t="array" ref="BL125:BL125">IF(TblConstr[[#This Row],[Hour]:[Hour]]&gt;12,OFFSET(TblConstr[[#This Row],[Tow]],-12,0),0)+OFFSET(TblConstr[[#This Row],[Tot Tow]],-1,0)-TblConstr[[#This Row],[Dest Tow]]</f>
        <v>29</v>
      </c>
      <c r="BM125" s="207" t="n">
        <f aca="false" t="array" ref="BM125:BM125">IF(TblConstr[[#This Row],[Hour]:[Hour]]&gt;12,OFFSET(TblConstr[[#This Row],[Tem]],-12,0),0)+OFFSET(TblConstr[[#This Row],[Tot Tem]],-1,0)-TblConstr[[#This Row],[Dest Tem]]</f>
        <v>47</v>
      </c>
      <c r="BN125" s="207" t="n">
        <f aca="false" t="array" ref="BN125:BN125">IF(TblConstr[[#This Row],[Hour]:[Hour]]&gt;12,OFFSET(TblConstr[[#This Row],[WG]],-12,0),0)+OFFSET(TblConstr[[#This Row],[Tot WG]],-1,0)-TblConstr[[#This Row],[Dest WG]]</f>
        <v>0</v>
      </c>
      <c r="BO125" s="208" t="n">
        <f aca="false" t="array" ref="BO125:BO125">IF(TblConstr[[#This Row],[Hour]:[Hour]]&gt;12,OFFSET(TblConstr[[#This Row],[DM]],-12,0),0)+OFFSET(TblConstr[[#This Row],[Tot DM]],-1,0)-TblConstr[[#This Row],[Dest DM]]</f>
        <v>0</v>
      </c>
      <c r="BP125" s="208" t="n">
        <f aca="false" t="array" ref="BP125:BP125">IF(TblConstr[[#This Row],[Hour]:[Hour]]&gt;12,OFFSET(TblConstr[[#This Row],[Sch]],-12,0),0)+OFFSET(TblConstr[[#This Row],[Tot Sch]],-1,0)-TblConstr[[#This Row],[Dest Sch]]</f>
        <v>0</v>
      </c>
      <c r="BQ125" s="209" t="n">
        <f aca="false" t="array" ref="BQ125:BQ125">IF(TblConstr[[#This Row],[Hour]:[Hour]]&gt;12,OFFSET(TblConstr[[#This Row],[Doc]],-12,0),0)+OFFSET(TblConstr[[#This Row],[Tot Doc]],-1,0)-TblConstr[[#This Row],[Dest Doc]]</f>
        <v>24</v>
      </c>
      <c r="BR125" s="132"/>
      <c r="BS125" s="146"/>
      <c r="BT125" s="69" t="n">
        <f aca="false">TblConstr[[#This Row],[Land]]</f>
        <v>700</v>
      </c>
      <c r="BU125" s="153" t="n">
        <f aca="false">TblImps[[#This Row],[Time]]</f>
        <v>45434.7916666667</v>
      </c>
      <c r="BV125" s="132"/>
      <c r="BW125" s="182"/>
      <c r="BX125" s="182"/>
      <c r="BY125" s="182"/>
      <c r="BZ125" s="182"/>
      <c r="CA125" s="182"/>
      <c r="CB125" s="182"/>
      <c r="CC125" s="182"/>
      <c r="CD125" s="182"/>
      <c r="CE125" s="182"/>
      <c r="CF125" s="182"/>
      <c r="CG125" s="182"/>
      <c r="CH125" s="182"/>
      <c r="CI125" s="182"/>
      <c r="CJ125" s="182"/>
      <c r="CK125" s="182"/>
      <c r="CL125" s="182"/>
      <c r="CM125" s="182"/>
      <c r="CN125" s="182"/>
      <c r="CO125" s="182"/>
      <c r="CP125" s="132"/>
      <c r="CQ125" s="192" t="n">
        <f aca="false">-SUM(TblConstr[[#This Row],[Alc]:[Mas]])+SUM(TblConstr[[#This Row],[Dest Alc]:[Dest Mas]])+Rezone!L125+IF("Ch_"&amp; home_land=TblConstr[[#Headers],[Ch_Plain]],TblConstr[[#This Row],[Home Land]])+IF(TblConstr[[#This Row],[Hour]:[Hour]]&gt;12,OFFSET(TblExplore[[#This Row],[Plains Explore]],-12,0),0)</f>
        <v>0</v>
      </c>
      <c r="CR125" s="193" t="n">
        <f aca="false">-SUM(TblConstr[[#This Row],[Ly]:[Hav]])+SUM(TblConstr[[#This Row],[Dest Ly]:[Dest Hav]]) +Rezone!M125 + IF("Ch_"&amp; home_land=TblConstr[[#Headers],[Ch_Forest]],TblConstr[[#This Row],[Home Land]])+IF(TblConstr[[#This Row],[Hour]:[Hour]]&gt;12,OFFSET(TblExplore[[#This Row],[Forest Explore]],-12,0),0)</f>
        <v>0</v>
      </c>
      <c r="CS125" s="200" t="n">
        <f aca="false">-SUM(TblConstr[[#This Row],[OM]:[GN]])+SUM(TblConstr[[#This Row],[Dest OM]:[Dest GN]]) +Rezone!N125 + IF("Ch_"&amp; home_land=TblConstr[[#Headers],[Ch_Mountain]],TblConstr[[#This Row],[Home Land]])+IF(TblConstr[[#This Row],[Hour]:[Hour]]&gt;12,OFFSET(TblExplore[[#This Row],[Mountain Explore]],-12,0),0)</f>
        <v>0</v>
      </c>
      <c r="CT125" s="195" t="n">
        <f aca="false">-SUM(TblConstr[[#This Row],[Fac]:[Shr]])+SUM(TblConstr[[#This Row],[Dest Fac]:[Dest Shr]]) +Rezone!O125 + IF("Ch_" &amp; home_land=TblConstr[[#Headers],[Ch_Hill]],TblConstr[[#This Row],[Home Land]])+IF(TblConstr[[#This Row],[Hour]:[Hour]]&gt;12,OFFSET(TblExplore[[#This Row],[Hill Explore]],-12,0),0)</f>
        <v>0</v>
      </c>
      <c r="CU125" s="196" t="n">
        <f aca="false">-SUM(TblConstr[[#This Row],[Tow]:[WG]])+SUM(TblConstr[[#This Row],[Dest Tow]:[Dest WG]]) +Rezone!P125 + IF("Ch_" &amp; home_land=TblConstr[[#Headers],[Ch_Swamp]],TblConstr[[#This Row],[Home Land]])+IF(TblConstr[[#This Row],[Hour]:[Hour]]&gt;12,OFFSET(TblExplore[[#This Row],[Swamp Explore]],-12,0),0)</f>
        <v>0</v>
      </c>
      <c r="CV125" s="197" t="n">
        <f aca="false">- SUM(TblConstr[[#This Row],[DM]:[Sch]])+SUM(TblConstr[[#This Row],[Dest DM]:[Dest Sch]]) +Rezone!Q125 + IF("Ch_" &amp; home_land=TblConstr[[#Headers],[Ch_Cavern]],TblConstr[[#This Row],[Home Land]])+IF(TblConstr[[#This Row],[Hour]:[Hour]]&gt;12,OFFSET(TblExplore[[#This Row],[Cavern Explore]],-12,0),0)</f>
        <v>0</v>
      </c>
      <c r="CW125" s="198" t="n">
        <f aca="false">-TblConstr[[#This Row],[Doc]]+TblConstr[[#This Row],[Dest Doc]] +Rezone!R125 + IF("Ch_" &amp; home_land=TblConstr[[#Headers],[Ch_Water]],TblConstr[[#This Row],[Home Land]])+IF(TblConstr[[#This Row],[Hour]:[Hour]]&gt;12,OFFSET(TblExplore[[#This Row],[Water Explore]],-12,0),0)</f>
        <v>0</v>
      </c>
      <c r="CX125" s="1" t="n">
        <f aca="false">IF(Explore!S125=1,20) - TblConstr[[#This Row],[Hom]] + TblConstr[[#This Row],[Dest Hom]]</f>
        <v>0</v>
      </c>
      <c r="CY125" s="132"/>
      <c r="CZ125" s="69" t="n">
        <f aca="false">G125+SUM(P114:S125)+SUM(AZ125:BC125)</f>
        <v>430</v>
      </c>
      <c r="DA125" s="69" t="n">
        <f aca="false">H125+SUM(T114:U125)+SUM(BD125:BE125)</f>
        <v>25</v>
      </c>
      <c r="DB125" s="1" t="n">
        <f aca="false">I125+SUM(V114:W125)+SUM(BF125:BG125)</f>
        <v>0</v>
      </c>
      <c r="DC125" s="69" t="n">
        <f aca="false">J125+SUM(X114:Y125)+SUM(BH125:BI125)</f>
        <v>55</v>
      </c>
      <c r="DD125" s="69" t="n">
        <f aca="false">K125+SUM(AB114:AD125)+SUM(BL125:BN125)</f>
        <v>76</v>
      </c>
      <c r="DE125" s="1" t="n">
        <f aca="false">L125+SUM(AE114:AE125)+BO125</f>
        <v>0</v>
      </c>
      <c r="DF125" s="69" t="n">
        <f aca="false">M125+SUM(AG114:AG125)+BQ125</f>
        <v>24</v>
      </c>
      <c r="DG125" s="69" t="e">
        <f aca="false" t="array" ref="DG125:DG125">INDEX(TblConstr[[Total Plain]:[Total Water]],ROW()-ROW(TblConstr[#headers]),MATCH("Total "&amp;home_land,TblConstr[[#Headers],[Total Plain]:[Total Water]],0))+TblConstr[[#This Row],[Homes]]</f>
        <v>#VALUE!</v>
      </c>
      <c r="DH125" s="1" t="n">
        <f aca="false">SUM(O114:O125)+AY125</f>
        <v>40</v>
      </c>
      <c r="DI125" s="1" t="n">
        <f aca="false">MAX(BA125-BA124,0)</f>
        <v>0</v>
      </c>
      <c r="DJ125" s="1" t="n">
        <f aca="false">MAX(BQ125-BQ124,0)</f>
        <v>0</v>
      </c>
    </row>
    <row r="126" customFormat="false" ht="12.75" hidden="false" customHeight="false" outlineLevel="0" collapsed="false">
      <c r="A126" s="170" t="n">
        <f aca="false">TblRezone[[#This Row],[Hour]]</f>
        <v>123</v>
      </c>
      <c r="B126" s="171" t="n">
        <f aca="false">SUM(TblConstr[[#This Row],[Plain]:[Water]])</f>
        <v>0</v>
      </c>
      <c r="C126" s="172" t="n">
        <f aca="false">SUM(TblConstr[[#This Row],[Tot Hom]:[Tot Doc]])</f>
        <v>700</v>
      </c>
      <c r="D126" s="172" t="n">
        <f aca="false">SUM(O115:AG126)</f>
        <v>0</v>
      </c>
      <c r="E126" s="173"/>
      <c r="F126" s="33" t="n">
        <f aca="false">TblConstr[[#This Row],[Barren]]+TblConstr[[#This Row],[Buildings]]+TblConstr[[#This Row],[Incoming]]</f>
        <v>700</v>
      </c>
      <c r="G126" s="199" t="n">
        <f aca="false">OFFSET(TblConstr[[#This Row],[Plain]],-1,0)+TblConstr[[#This Row],[Ch_Plain]]</f>
        <v>0</v>
      </c>
      <c r="H126" s="193" t="n">
        <f aca="false">OFFSET(TblConstr[[#This Row],[Forest]],-1,0)+TblConstr[[#This Row],[Ch_Forest]]</f>
        <v>0</v>
      </c>
      <c r="I126" s="200" t="n">
        <f aca="false">OFFSET(TblConstr[[#This Row],[Mountain]],-1,0)+TblConstr[[#This Row],[Ch_Mountain]]</f>
        <v>0</v>
      </c>
      <c r="J126" s="201" t="n">
        <f aca="false">OFFSET(TblConstr[[#This Row],[Hill]],-1,0)+TblConstr[[#This Row],[Ch_Hill]]</f>
        <v>0</v>
      </c>
      <c r="K126" s="202" t="n">
        <f aca="false">OFFSET(TblConstr[[#This Row],[Swamp]],-1,0)+TblConstr[[#This Row],[Ch_Swamp]]</f>
        <v>0</v>
      </c>
      <c r="L126" s="197" t="n">
        <f aca="false">OFFSET(TblConstr[[#This Row],[Cavern]],-1,0)+TblConstr[[#This Row],[Ch_Cavern]]</f>
        <v>0</v>
      </c>
      <c r="M126" s="198" t="n">
        <f aca="false">OFFSET(TblConstr[[#This Row],[Water]],-1,0)+TblConstr[[#This Row],[Ch_Water]]</f>
        <v>0</v>
      </c>
      <c r="N126" s="181" t="n">
        <f aca="false">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20" t="n">
        <f aca="false">TblImps[[#This Row],[Time]]</f>
        <v>45434.8333333333</v>
      </c>
      <c r="AI126" s="130" t="n">
        <f aca="false">MIN(25%,(TblConstr[[#This Row],[Tot Fac]]+TblConstr[[#This Row],[Dest Fac]])/(TblConstr[[#This Row],[Land]]-TblExplore[[#This Row],[Land Bonus]]*20))</f>
        <v>0</v>
      </c>
      <c r="AJ126" s="130" t="n">
        <f aca="false">MIN(25%,(TblConstr[[#This Row],[Tot Fac]]+TblConstr[[#This Row],[Dest Fac]])/TblConstr[[#This Row],[Land]])</f>
        <v>0</v>
      </c>
      <c r="AK126" s="69" t="n">
        <f aca="false">TblProd[[#This Row],[Platinum]]</f>
        <v>1921240</v>
      </c>
      <c r="AL126" s="69" t="n">
        <f aca="false">TblProd[[#This Row],[Lumber]]</f>
        <v>52937</v>
      </c>
      <c r="AM1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6" s="69" t="n">
        <f aca="false">ROUNDDOWN( MAX(1 - MIN(facs_constr_factor*TblConstr[[#This Row],[Facs -DB]],facs_constr_max) + tech_1_11*TblTech[[#This Row],[11-1]] + tech_6_3_2*TblTech[[#This Row],[6-3]] + tech_5_2_3*TblTech[[#This Row],[5-2]], 1-global_constr_cap) * TblConstr[[#This Row],[RCPA Lumber]],0)</f>
        <v>216</v>
      </c>
      <c r="AO1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6" s="69" t="n">
        <f aca="false">ROUNDDOWN( MAX(1 - MIN(facs_constr_factor*TblConstr[[#This Row],[Facs DB]],facs_constr_max) + tech_1_11*TblTech[[#This Row],[1-11]] + tech_6_3_2*TblTech[[#This Row],[6-3]] + tech_5_2_3*TblTech[[#This Row],[5-2]], 1-global_constr_cap) * ROUND((TblConstr[[#This Row],[Land]]-250)*0.285 + 87.5 + 0/4.25,0),0)</f>
        <v>216</v>
      </c>
      <c r="AQ126" s="1" t="n">
        <f aca="false">TblConstr[[#This Row],[build -db]]*TblConstr[[#This Row],[CPA Platinum -DB]] + TblConstr[[#This Row],[build db]]*TblConstr[[#This Row],[CPA Platinum DB]]</f>
        <v>0</v>
      </c>
      <c r="AR126" s="1" t="n">
        <f aca="false">TblConstr[[#This Row],[build -db]]*TblConstr[[#This Row],[CPA Lumber -DB]]+TblConstr[[#This Row],[build db]]*TblConstr[[#This Row],[CPA Lumber DB]]</f>
        <v>0</v>
      </c>
      <c r="AS126" s="69" t="n">
        <f aca="false">MIN(SUM(OFFSET(TblConstr[[#This Row],[Plain]:[Water]],-1,0))+SUM(TblConstr[[#This Row],[Dest Hom]:[Dest Doc]])+IF(TblConstr[[#This Row],[Hour]]&gt;12,SUM(OFFSET(TblExplore[[#This Row],[Plains Explore]:[Water Explore]],-12,0)),0),SUM(TblConstr[[#This Row],[Hom]:[Doc]]))</f>
        <v>0</v>
      </c>
      <c r="AT12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32"/>
      <c r="AV126" s="69" t="n">
        <f aca="false">ROUND((TblConstr[[#This Row],[Land]]-250 - IF(TblExplore[[#This Row],[Land Bonus]]&lt;&gt;0,20,0))*1.25 + 850 + 0,0)</f>
        <v>1413</v>
      </c>
      <c r="AW126" s="69" t="n">
        <f aca="false">ROUND((TblConstr[[#This Row],[Land]]-250 - IF(TblExplore[[#This Row],[Land Bonus]]&lt;&gt;0,20,0))*0.285 + 87.5 + 0/4.25,0)</f>
        <v>216</v>
      </c>
      <c r="AX126" s="146"/>
      <c r="AY126" s="203" t="n">
        <f aca="false" t="array" ref="AY126:AY126">IF(TblConstr[[#This Row],[Hour]:[Hour]]&gt;12,OFFSET(TblConstr[[#This Row],[Hom]],-12,0),0)+OFFSET(TblConstr[[#This Row],[Tot Hom]],-1,0)-TblConstr[[#This Row],[Dest Hom]]</f>
        <v>40</v>
      </c>
      <c r="AZ126" s="204" t="n">
        <f aca="false" t="array" ref="AZ126:AZ126">IF(TblConstr[[#This Row],[Hour]:[Hour]]&gt;12,OFFSET(TblConstr[[#This Row],[Alc]],-12,0),0)+OFFSET(TblConstr[[#This Row],[Tot Alc]],-1,0)-TblConstr[[#This Row],[Dest Alc]]</f>
        <v>275</v>
      </c>
      <c r="BA126" s="204" t="n">
        <f aca="false" t="array" ref="BA126:BA126">IF(TblConstr[[#This Row],[Hour]:[Hour]]&gt;12,OFFSET(TblConstr[[#This Row],[Far]],-12,0),0)+OFFSET(TblConstr[[#This Row],[Tot Farm]],-1,0)-TblConstr[[#This Row],[Dest Farm]]</f>
        <v>29</v>
      </c>
      <c r="BB126" s="204" t="n">
        <f aca="false" t="array" ref="BB126:BB126">IF(TblConstr[[#This Row],[Hour]:[Hour]]&gt;12,OFFSET(TblConstr[[#This Row],[Smi]],-12,0),0)+OFFSET(TblConstr[[#This Row],[Tot Smi]],-1,0)-TblConstr[[#This Row],[Dest Smi]]</f>
        <v>126</v>
      </c>
      <c r="BC126" s="204" t="n">
        <f aca="false" t="array" ref="BC126:BC126">IF(TblConstr[[#This Row],[Hour]:[Hour]]&gt;12,OFFSET(TblConstr[[#This Row],[Mas]],-12,0),0)+OFFSET(TblConstr[[#This Row],[Tot Mas]],-1,0)-TblConstr[[#This Row],[Dest Mas]]</f>
        <v>0</v>
      </c>
      <c r="BD126" s="205" t="n">
        <f aca="false" t="array" ref="BD126:BD126">IF(TblConstr[[#This Row],[Hour]:[Hour]]&gt;12,OFFSET(TblConstr[[#This Row],[Ly]],-12,0),0)+OFFSET(TblConstr[[#This Row],[Tot Ly]],-1,0)-TblConstr[[#This Row],[Dest Ly]]</f>
        <v>25</v>
      </c>
      <c r="BE126" s="205" t="n">
        <f aca="false" t="array" ref="BE126:BE126">IF(TblConstr[[#This Row],[Hour]:[Hour]]&gt;12,OFFSET(TblConstr[[#This Row],[Hav]],-12,0),0)+OFFSET(TblConstr[[#This Row],[Tot Hav]],-1,0)-TblConstr[[#This Row],[Dest Hav]]</f>
        <v>0</v>
      </c>
      <c r="BF126" s="194" t="n">
        <f aca="false" t="array" ref="BF126:BF126">IF(TblConstr[[#This Row],[Hour]:[Hour]]&gt;12,OFFSET(TblConstr[[#This Row],[OM]],-12,0),0)+OFFSET(TblConstr[[#This Row],[Tot OM]],-1,0)-TblConstr[[#This Row],[Dest OM]]</f>
        <v>0</v>
      </c>
      <c r="BG126" s="194" t="n">
        <f aca="false" t="array" ref="BG126:BG126">IF(TblConstr[[#This Row],[Hour]:[Hour]]&gt;12,OFFSET(TblConstr[[#This Row],[GN]],-12,0),0)+OFFSET(TblConstr[[#This Row],[Tot GN]],-1,0)-TblConstr[[#This Row],[Dest GN]]</f>
        <v>0</v>
      </c>
      <c r="BH126" s="206" t="n">
        <f aca="false" t="array" ref="BH126:BH126">IF(TblConstr[[#This Row],[Hour]:[Hour]]&gt;12,OFFSET(TblConstr[[#This Row],[Fac]],-12,0),0)+OFFSET(TblConstr[[#This Row],[Tot Fac]],-1,0)-TblConstr[[#This Row],[Dest Fac]]</f>
        <v>0</v>
      </c>
      <c r="BI126" s="206" t="n">
        <f aca="false" t="array" ref="BI126:BI126">IF(TblConstr[[#This Row],[Hour]:[Hour]]&gt;12,OFFSET(TblConstr[[#This Row],[GT]],-12,0),0)+OFFSET(TblConstr[[#This Row],[Tot GT]],-1,0)-TblConstr[[#This Row],[Dest GT]]</f>
        <v>55</v>
      </c>
      <c r="BJ126" s="206" t="n">
        <f aca="false" t="array" ref="BJ126:BJ126">IF(TblConstr[[#This Row],[Hour]:[Hour]]&gt;12,OFFSET(TblConstr[[#This Row],[Bar]],-12,0),0)+OFFSET(TblConstr[[#This Row],[Tot Bar]],-1,0)-TblConstr[[#This Row],[Dest Bar]]</f>
        <v>50</v>
      </c>
      <c r="BK126" s="206" t="n">
        <f aca="false" t="array" ref="BK126:BK126">IF(TblConstr[[#This Row],[Hour]:[Hour]]&gt;12,OFFSET(TblConstr[[#This Row],[Shr]],-12,0),0)+OFFSET(TblConstr[[#This Row],[Tot Shr]],-1,0)-TblConstr[[#This Row],[Dest Shr]]</f>
        <v>0</v>
      </c>
      <c r="BL126" s="207" t="n">
        <f aca="false" t="array" ref="BL126:BL126">IF(TblConstr[[#This Row],[Hour]:[Hour]]&gt;12,OFFSET(TblConstr[[#This Row],[Tow]],-12,0),0)+OFFSET(TblConstr[[#This Row],[Tot Tow]],-1,0)-TblConstr[[#This Row],[Dest Tow]]</f>
        <v>29</v>
      </c>
      <c r="BM126" s="207" t="n">
        <f aca="false" t="array" ref="BM126:BM126">IF(TblConstr[[#This Row],[Hour]:[Hour]]&gt;12,OFFSET(TblConstr[[#This Row],[Tem]],-12,0),0)+OFFSET(TblConstr[[#This Row],[Tot Tem]],-1,0)-TblConstr[[#This Row],[Dest Tem]]</f>
        <v>47</v>
      </c>
      <c r="BN126" s="207" t="n">
        <f aca="false" t="array" ref="BN126:BN126">IF(TblConstr[[#This Row],[Hour]:[Hour]]&gt;12,OFFSET(TblConstr[[#This Row],[WG]],-12,0),0)+OFFSET(TblConstr[[#This Row],[Tot WG]],-1,0)-TblConstr[[#This Row],[Dest WG]]</f>
        <v>0</v>
      </c>
      <c r="BO126" s="208" t="n">
        <f aca="false" t="array" ref="BO126:BO126">IF(TblConstr[[#This Row],[Hour]:[Hour]]&gt;12,OFFSET(TblConstr[[#This Row],[DM]],-12,0),0)+OFFSET(TblConstr[[#This Row],[Tot DM]],-1,0)-TblConstr[[#This Row],[Dest DM]]</f>
        <v>0</v>
      </c>
      <c r="BP126" s="208" t="n">
        <f aca="false" t="array" ref="BP126:BP126">IF(TblConstr[[#This Row],[Hour]:[Hour]]&gt;12,OFFSET(TblConstr[[#This Row],[Sch]],-12,0),0)+OFFSET(TblConstr[[#This Row],[Tot Sch]],-1,0)-TblConstr[[#This Row],[Dest Sch]]</f>
        <v>0</v>
      </c>
      <c r="BQ126" s="209" t="n">
        <f aca="false" t="array" ref="BQ126:BQ126">IF(TblConstr[[#This Row],[Hour]:[Hour]]&gt;12,OFFSET(TblConstr[[#This Row],[Doc]],-12,0),0)+OFFSET(TblConstr[[#This Row],[Tot Doc]],-1,0)-TblConstr[[#This Row],[Dest Doc]]</f>
        <v>24</v>
      </c>
      <c r="BR126" s="132"/>
      <c r="BS126" s="146"/>
      <c r="BT126" s="69" t="n">
        <f aca="false">TblConstr[[#This Row],[Land]]</f>
        <v>700</v>
      </c>
      <c r="BU126" s="153" t="n">
        <f aca="false">TblImps[[#This Row],[Time]]</f>
        <v>45434.8333333333</v>
      </c>
      <c r="BV126" s="132"/>
      <c r="BW126" s="182"/>
      <c r="BX126" s="182"/>
      <c r="BY126" s="182"/>
      <c r="BZ126" s="182"/>
      <c r="CA126" s="182"/>
      <c r="CB126" s="182"/>
      <c r="CC126" s="182"/>
      <c r="CD126" s="182"/>
      <c r="CE126" s="182"/>
      <c r="CF126" s="182"/>
      <c r="CG126" s="182"/>
      <c r="CH126" s="182"/>
      <c r="CI126" s="182"/>
      <c r="CJ126" s="182"/>
      <c r="CK126" s="182"/>
      <c r="CL126" s="182"/>
      <c r="CM126" s="182"/>
      <c r="CN126" s="182"/>
      <c r="CO126" s="182"/>
      <c r="CP126" s="132"/>
      <c r="CQ126" s="192" t="n">
        <f aca="false">-SUM(TblConstr[[#This Row],[Alc]:[Mas]])+SUM(TblConstr[[#This Row],[Dest Alc]:[Dest Mas]])+Rezone!L126+IF("Ch_"&amp; home_land=TblConstr[[#Headers],[Ch_Plain]],TblConstr[[#This Row],[Home Land]])+IF(TblConstr[[#This Row],[Hour]:[Hour]]&gt;12,OFFSET(TblExplore[[#This Row],[Plains Explore]],-12,0),0)</f>
        <v>0</v>
      </c>
      <c r="CR126" s="193" t="n">
        <f aca="false">-SUM(TblConstr[[#This Row],[Ly]:[Hav]])+SUM(TblConstr[[#This Row],[Dest Ly]:[Dest Hav]]) +Rezone!M126 + IF("Ch_"&amp; home_land=TblConstr[[#Headers],[Ch_Forest]],TblConstr[[#This Row],[Home Land]])+IF(TblConstr[[#This Row],[Hour]:[Hour]]&gt;12,OFFSET(TblExplore[[#This Row],[Forest Explore]],-12,0),0)</f>
        <v>0</v>
      </c>
      <c r="CS126" s="200" t="n">
        <f aca="false">-SUM(TblConstr[[#This Row],[OM]:[GN]])+SUM(TblConstr[[#This Row],[Dest OM]:[Dest GN]]) +Rezone!N126 + IF("Ch_"&amp; home_land=TblConstr[[#Headers],[Ch_Mountain]],TblConstr[[#This Row],[Home Land]])+IF(TblConstr[[#This Row],[Hour]:[Hour]]&gt;12,OFFSET(TblExplore[[#This Row],[Mountain Explore]],-12,0),0)</f>
        <v>0</v>
      </c>
      <c r="CT126" s="195" t="n">
        <f aca="false">-SUM(TblConstr[[#This Row],[Fac]:[Shr]])+SUM(TblConstr[[#This Row],[Dest Fac]:[Dest Shr]]) +Rezone!O126 + IF("Ch_" &amp; home_land=TblConstr[[#Headers],[Ch_Hill]],TblConstr[[#This Row],[Home Land]])+IF(TblConstr[[#This Row],[Hour]:[Hour]]&gt;12,OFFSET(TblExplore[[#This Row],[Hill Explore]],-12,0),0)</f>
        <v>0</v>
      </c>
      <c r="CU126" s="196" t="n">
        <f aca="false">-SUM(TblConstr[[#This Row],[Tow]:[WG]])+SUM(TblConstr[[#This Row],[Dest Tow]:[Dest WG]]) +Rezone!P126 + IF("Ch_" &amp; home_land=TblConstr[[#Headers],[Ch_Swamp]],TblConstr[[#This Row],[Home Land]])+IF(TblConstr[[#This Row],[Hour]:[Hour]]&gt;12,OFFSET(TblExplore[[#This Row],[Swamp Explore]],-12,0),0)</f>
        <v>0</v>
      </c>
      <c r="CV126" s="197" t="n">
        <f aca="false">- SUM(TblConstr[[#This Row],[DM]:[Sch]])+SUM(TblConstr[[#This Row],[Dest DM]:[Dest Sch]]) +Rezone!Q126 + IF("Ch_" &amp; home_land=TblConstr[[#Headers],[Ch_Cavern]],TblConstr[[#This Row],[Home Land]])+IF(TblConstr[[#This Row],[Hour]:[Hour]]&gt;12,OFFSET(TblExplore[[#This Row],[Cavern Explore]],-12,0),0)</f>
        <v>0</v>
      </c>
      <c r="CW126" s="198" t="n">
        <f aca="false">-TblConstr[[#This Row],[Doc]]+TblConstr[[#This Row],[Dest Doc]] +Rezone!R126 + IF("Ch_" &amp; home_land=TblConstr[[#Headers],[Ch_Water]],TblConstr[[#This Row],[Home Land]])+IF(TblConstr[[#This Row],[Hour]:[Hour]]&gt;12,OFFSET(TblExplore[[#This Row],[Water Explore]],-12,0),0)</f>
        <v>0</v>
      </c>
      <c r="CX126" s="1" t="n">
        <f aca="false">IF(Explore!S126=1,20) - TblConstr[[#This Row],[Hom]] + TblConstr[[#This Row],[Dest Hom]]</f>
        <v>0</v>
      </c>
      <c r="CY126" s="132"/>
      <c r="CZ126" s="69" t="n">
        <f aca="false">G126+SUM(P115:S126)+SUM(AZ126:BC126)</f>
        <v>430</v>
      </c>
      <c r="DA126" s="69" t="n">
        <f aca="false">H126+SUM(T115:U126)+SUM(BD126:BE126)</f>
        <v>25</v>
      </c>
      <c r="DB126" s="1" t="n">
        <f aca="false">I126+SUM(V115:W126)+SUM(BF126:BG126)</f>
        <v>0</v>
      </c>
      <c r="DC126" s="69" t="n">
        <f aca="false">J126+SUM(X115:Y126)+SUM(BH126:BI126)</f>
        <v>55</v>
      </c>
      <c r="DD126" s="69" t="n">
        <f aca="false">K126+SUM(AB115:AD126)+SUM(BL126:BN126)</f>
        <v>76</v>
      </c>
      <c r="DE126" s="1" t="n">
        <f aca="false">L126+SUM(AE115:AE126)+BO126</f>
        <v>0</v>
      </c>
      <c r="DF126" s="69" t="n">
        <f aca="false">M126+SUM(AG115:AG126)+BQ126</f>
        <v>24</v>
      </c>
      <c r="DG126" s="69" t="e">
        <f aca="false" t="array" ref="DG126:DG126">INDEX(TblConstr[[Total Plain]:[Total Water]],ROW()-ROW(TblConstr[#headers]),MATCH("Total "&amp;home_land,TblConstr[[#Headers],[Total Plain]:[Total Water]],0))+TblConstr[[#This Row],[Homes]]</f>
        <v>#VALUE!</v>
      </c>
      <c r="DH126" s="1" t="n">
        <f aca="false">SUM(O115:O126)+AY126</f>
        <v>40</v>
      </c>
      <c r="DI126" s="1" t="n">
        <f aca="false">MAX(BA126-BA125,0)</f>
        <v>0</v>
      </c>
      <c r="DJ126" s="1" t="n">
        <f aca="false">MAX(BQ126-BQ125,0)</f>
        <v>0</v>
      </c>
    </row>
    <row r="127" customFormat="false" ht="12.75" hidden="false" customHeight="false" outlineLevel="0" collapsed="false">
      <c r="A127" s="170" t="n">
        <f aca="false">TblRezone[[#This Row],[Hour]]</f>
        <v>124</v>
      </c>
      <c r="B127" s="171" t="n">
        <f aca="false">SUM(TblConstr[[#This Row],[Plain]:[Water]])</f>
        <v>0</v>
      </c>
      <c r="C127" s="172" t="n">
        <f aca="false">SUM(TblConstr[[#This Row],[Tot Hom]:[Tot Doc]])</f>
        <v>700</v>
      </c>
      <c r="D127" s="172" t="n">
        <f aca="false">SUM(O116:AG127)</f>
        <v>0</v>
      </c>
      <c r="E127" s="173"/>
      <c r="F127" s="33" t="n">
        <f aca="false">TblConstr[[#This Row],[Barren]]+TblConstr[[#This Row],[Buildings]]+TblConstr[[#This Row],[Incoming]]</f>
        <v>700</v>
      </c>
      <c r="G127" s="199" t="n">
        <f aca="false">OFFSET(TblConstr[[#This Row],[Plain]],-1,0)+TblConstr[[#This Row],[Ch_Plain]]</f>
        <v>0</v>
      </c>
      <c r="H127" s="193" t="n">
        <f aca="false">OFFSET(TblConstr[[#This Row],[Forest]],-1,0)+TblConstr[[#This Row],[Ch_Forest]]</f>
        <v>0</v>
      </c>
      <c r="I127" s="200" t="n">
        <f aca="false">OFFSET(TblConstr[[#This Row],[Mountain]],-1,0)+TblConstr[[#This Row],[Ch_Mountain]]</f>
        <v>0</v>
      </c>
      <c r="J127" s="201" t="n">
        <f aca="false">OFFSET(TblConstr[[#This Row],[Hill]],-1,0)+TblConstr[[#This Row],[Ch_Hill]]</f>
        <v>0</v>
      </c>
      <c r="K127" s="202" t="n">
        <f aca="false">OFFSET(TblConstr[[#This Row],[Swamp]],-1,0)+TblConstr[[#This Row],[Ch_Swamp]]</f>
        <v>0</v>
      </c>
      <c r="L127" s="197" t="n">
        <f aca="false">OFFSET(TblConstr[[#This Row],[Cavern]],-1,0)+TblConstr[[#This Row],[Ch_Cavern]]</f>
        <v>0</v>
      </c>
      <c r="M127" s="198" t="n">
        <f aca="false">OFFSET(TblConstr[[#This Row],[Water]],-1,0)+TblConstr[[#This Row],[Ch_Water]]</f>
        <v>0</v>
      </c>
      <c r="N127" s="181" t="n">
        <f aca="false">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20" t="n">
        <f aca="false">TblImps[[#This Row],[Time]]</f>
        <v>45434.875</v>
      </c>
      <c r="AI127" s="130" t="n">
        <f aca="false">MIN(25%,(TblConstr[[#This Row],[Tot Fac]]+TblConstr[[#This Row],[Dest Fac]])/(TblConstr[[#This Row],[Land]]-TblExplore[[#This Row],[Land Bonus]]*20))</f>
        <v>0</v>
      </c>
      <c r="AJ127" s="130" t="n">
        <f aca="false">MIN(25%,(TblConstr[[#This Row],[Tot Fac]]+TblConstr[[#This Row],[Dest Fac]])/TblConstr[[#This Row],[Land]])</f>
        <v>0</v>
      </c>
      <c r="AK127" s="69" t="n">
        <f aca="false">TblProd[[#This Row],[Platinum]]</f>
        <v>1949974</v>
      </c>
      <c r="AL127" s="69" t="n">
        <f aca="false">TblProd[[#This Row],[Lumber]]</f>
        <v>53533</v>
      </c>
      <c r="AM1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7" s="69" t="n">
        <f aca="false">ROUNDDOWN( MAX(1 - MIN(facs_constr_factor*TblConstr[[#This Row],[Facs -DB]],facs_constr_max) + tech_1_11*TblTech[[#This Row],[11-1]] + tech_6_3_2*TblTech[[#This Row],[6-3]] + tech_5_2_3*TblTech[[#This Row],[5-2]], 1-global_constr_cap) * TblConstr[[#This Row],[RCPA Lumber]],0)</f>
        <v>216</v>
      </c>
      <c r="AO1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7" s="69" t="n">
        <f aca="false">ROUNDDOWN( MAX(1 - MIN(facs_constr_factor*TblConstr[[#This Row],[Facs DB]],facs_constr_max) + tech_1_11*TblTech[[#This Row],[1-11]] + tech_6_3_2*TblTech[[#This Row],[6-3]] + tech_5_2_3*TblTech[[#This Row],[5-2]], 1-global_constr_cap) * ROUND((TblConstr[[#This Row],[Land]]-250)*0.285 + 87.5 + 0/4.25,0),0)</f>
        <v>216</v>
      </c>
      <c r="AQ127" s="1" t="n">
        <f aca="false">TblConstr[[#This Row],[build -db]]*TblConstr[[#This Row],[CPA Platinum -DB]] + TblConstr[[#This Row],[build db]]*TblConstr[[#This Row],[CPA Platinum DB]]</f>
        <v>0</v>
      </c>
      <c r="AR127" s="1" t="n">
        <f aca="false">TblConstr[[#This Row],[build -db]]*TblConstr[[#This Row],[CPA Lumber -DB]]+TblConstr[[#This Row],[build db]]*TblConstr[[#This Row],[CPA Lumber DB]]</f>
        <v>0</v>
      </c>
      <c r="AS127" s="69" t="n">
        <f aca="false">MIN(SUM(OFFSET(TblConstr[[#This Row],[Plain]:[Water]],-1,0))+SUM(TblConstr[[#This Row],[Dest Hom]:[Dest Doc]])+IF(TblConstr[[#This Row],[Hour]]&gt;12,SUM(OFFSET(TblExplore[[#This Row],[Plains Explore]:[Water Explore]],-12,0)),0),SUM(TblConstr[[#This Row],[Hom]:[Doc]]))</f>
        <v>0</v>
      </c>
      <c r="AT12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32"/>
      <c r="AV127" s="69" t="n">
        <f aca="false">ROUND((TblConstr[[#This Row],[Land]]-250 - IF(TblExplore[[#This Row],[Land Bonus]]&lt;&gt;0,20,0))*1.25 + 850 + 0,0)</f>
        <v>1413</v>
      </c>
      <c r="AW127" s="69" t="n">
        <f aca="false">ROUND((TblConstr[[#This Row],[Land]]-250 - IF(TblExplore[[#This Row],[Land Bonus]]&lt;&gt;0,20,0))*0.285 + 87.5 + 0/4.25,0)</f>
        <v>216</v>
      </c>
      <c r="AX127" s="146"/>
      <c r="AY127" s="203" t="n">
        <f aca="false" t="array" ref="AY127:AY127">IF(TblConstr[[#This Row],[Hour]:[Hour]]&gt;12,OFFSET(TblConstr[[#This Row],[Hom]],-12,0),0)+OFFSET(TblConstr[[#This Row],[Tot Hom]],-1,0)-TblConstr[[#This Row],[Dest Hom]]</f>
        <v>40</v>
      </c>
      <c r="AZ127" s="204" t="n">
        <f aca="false" t="array" ref="AZ127:AZ127">IF(TblConstr[[#This Row],[Hour]:[Hour]]&gt;12,OFFSET(TblConstr[[#This Row],[Alc]],-12,0),0)+OFFSET(TblConstr[[#This Row],[Tot Alc]],-1,0)-TblConstr[[#This Row],[Dest Alc]]</f>
        <v>275</v>
      </c>
      <c r="BA127" s="204" t="n">
        <f aca="false" t="array" ref="BA127:BA127">IF(TblConstr[[#This Row],[Hour]:[Hour]]&gt;12,OFFSET(TblConstr[[#This Row],[Far]],-12,0),0)+OFFSET(TblConstr[[#This Row],[Tot Farm]],-1,0)-TblConstr[[#This Row],[Dest Farm]]</f>
        <v>29</v>
      </c>
      <c r="BB127" s="204" t="n">
        <f aca="false" t="array" ref="BB127:BB127">IF(TblConstr[[#This Row],[Hour]:[Hour]]&gt;12,OFFSET(TblConstr[[#This Row],[Smi]],-12,0),0)+OFFSET(TblConstr[[#This Row],[Tot Smi]],-1,0)-TblConstr[[#This Row],[Dest Smi]]</f>
        <v>126</v>
      </c>
      <c r="BC127" s="204" t="n">
        <f aca="false" t="array" ref="BC127:BC127">IF(TblConstr[[#This Row],[Hour]:[Hour]]&gt;12,OFFSET(TblConstr[[#This Row],[Mas]],-12,0),0)+OFFSET(TblConstr[[#This Row],[Tot Mas]],-1,0)-TblConstr[[#This Row],[Dest Mas]]</f>
        <v>0</v>
      </c>
      <c r="BD127" s="205" t="n">
        <f aca="false" t="array" ref="BD127:BD127">IF(TblConstr[[#This Row],[Hour]:[Hour]]&gt;12,OFFSET(TblConstr[[#This Row],[Ly]],-12,0),0)+OFFSET(TblConstr[[#This Row],[Tot Ly]],-1,0)-TblConstr[[#This Row],[Dest Ly]]</f>
        <v>25</v>
      </c>
      <c r="BE127" s="205" t="n">
        <f aca="false" t="array" ref="BE127:BE127">IF(TblConstr[[#This Row],[Hour]:[Hour]]&gt;12,OFFSET(TblConstr[[#This Row],[Hav]],-12,0),0)+OFFSET(TblConstr[[#This Row],[Tot Hav]],-1,0)-TblConstr[[#This Row],[Dest Hav]]</f>
        <v>0</v>
      </c>
      <c r="BF127" s="194" t="n">
        <f aca="false" t="array" ref="BF127:BF127">IF(TblConstr[[#This Row],[Hour]:[Hour]]&gt;12,OFFSET(TblConstr[[#This Row],[OM]],-12,0),0)+OFFSET(TblConstr[[#This Row],[Tot OM]],-1,0)-TblConstr[[#This Row],[Dest OM]]</f>
        <v>0</v>
      </c>
      <c r="BG127" s="194" t="n">
        <f aca="false" t="array" ref="BG127:BG127">IF(TblConstr[[#This Row],[Hour]:[Hour]]&gt;12,OFFSET(TblConstr[[#This Row],[GN]],-12,0),0)+OFFSET(TblConstr[[#This Row],[Tot GN]],-1,0)-TblConstr[[#This Row],[Dest GN]]</f>
        <v>0</v>
      </c>
      <c r="BH127" s="206" t="n">
        <f aca="false" t="array" ref="BH127:BH127">IF(TblConstr[[#This Row],[Hour]:[Hour]]&gt;12,OFFSET(TblConstr[[#This Row],[Fac]],-12,0),0)+OFFSET(TblConstr[[#This Row],[Tot Fac]],-1,0)-TblConstr[[#This Row],[Dest Fac]]</f>
        <v>0</v>
      </c>
      <c r="BI127" s="206" t="n">
        <f aca="false" t="array" ref="BI127:BI127">IF(TblConstr[[#This Row],[Hour]:[Hour]]&gt;12,OFFSET(TblConstr[[#This Row],[GT]],-12,0),0)+OFFSET(TblConstr[[#This Row],[Tot GT]],-1,0)-TblConstr[[#This Row],[Dest GT]]</f>
        <v>55</v>
      </c>
      <c r="BJ127" s="206" t="n">
        <f aca="false" t="array" ref="BJ127:BJ127">IF(TblConstr[[#This Row],[Hour]:[Hour]]&gt;12,OFFSET(TblConstr[[#This Row],[Bar]],-12,0),0)+OFFSET(TblConstr[[#This Row],[Tot Bar]],-1,0)-TblConstr[[#This Row],[Dest Bar]]</f>
        <v>50</v>
      </c>
      <c r="BK127" s="206" t="n">
        <f aca="false" t="array" ref="BK127:BK127">IF(TblConstr[[#This Row],[Hour]:[Hour]]&gt;12,OFFSET(TblConstr[[#This Row],[Shr]],-12,0),0)+OFFSET(TblConstr[[#This Row],[Tot Shr]],-1,0)-TblConstr[[#This Row],[Dest Shr]]</f>
        <v>0</v>
      </c>
      <c r="BL127" s="207" t="n">
        <f aca="false" t="array" ref="BL127:BL127">IF(TblConstr[[#This Row],[Hour]:[Hour]]&gt;12,OFFSET(TblConstr[[#This Row],[Tow]],-12,0),0)+OFFSET(TblConstr[[#This Row],[Tot Tow]],-1,0)-TblConstr[[#This Row],[Dest Tow]]</f>
        <v>29</v>
      </c>
      <c r="BM127" s="207" t="n">
        <f aca="false" t="array" ref="BM127:BM127">IF(TblConstr[[#This Row],[Hour]:[Hour]]&gt;12,OFFSET(TblConstr[[#This Row],[Tem]],-12,0),0)+OFFSET(TblConstr[[#This Row],[Tot Tem]],-1,0)-TblConstr[[#This Row],[Dest Tem]]</f>
        <v>47</v>
      </c>
      <c r="BN127" s="207" t="n">
        <f aca="false" t="array" ref="BN127:BN127">IF(TblConstr[[#This Row],[Hour]:[Hour]]&gt;12,OFFSET(TblConstr[[#This Row],[WG]],-12,0),0)+OFFSET(TblConstr[[#This Row],[Tot WG]],-1,0)-TblConstr[[#This Row],[Dest WG]]</f>
        <v>0</v>
      </c>
      <c r="BO127" s="208" t="n">
        <f aca="false" t="array" ref="BO127:BO127">IF(TblConstr[[#This Row],[Hour]:[Hour]]&gt;12,OFFSET(TblConstr[[#This Row],[DM]],-12,0),0)+OFFSET(TblConstr[[#This Row],[Tot DM]],-1,0)-TblConstr[[#This Row],[Dest DM]]</f>
        <v>0</v>
      </c>
      <c r="BP127" s="208" t="n">
        <f aca="false" t="array" ref="BP127:BP127">IF(TblConstr[[#This Row],[Hour]:[Hour]]&gt;12,OFFSET(TblConstr[[#This Row],[Sch]],-12,0),0)+OFFSET(TblConstr[[#This Row],[Tot Sch]],-1,0)-TblConstr[[#This Row],[Dest Sch]]</f>
        <v>0</v>
      </c>
      <c r="BQ127" s="209" t="n">
        <f aca="false" t="array" ref="BQ127:BQ127">IF(TblConstr[[#This Row],[Hour]:[Hour]]&gt;12,OFFSET(TblConstr[[#This Row],[Doc]],-12,0),0)+OFFSET(TblConstr[[#This Row],[Tot Doc]],-1,0)-TblConstr[[#This Row],[Dest Doc]]</f>
        <v>24</v>
      </c>
      <c r="BR127" s="132"/>
      <c r="BS127" s="146"/>
      <c r="BT127" s="69" t="n">
        <f aca="false">TblConstr[[#This Row],[Land]]</f>
        <v>700</v>
      </c>
      <c r="BU127" s="153" t="n">
        <f aca="false">TblImps[[#This Row],[Time]]</f>
        <v>45434.875</v>
      </c>
      <c r="BV127" s="132"/>
      <c r="BW127" s="182"/>
      <c r="BX127" s="182"/>
      <c r="BY127" s="182"/>
      <c r="BZ127" s="182"/>
      <c r="CA127" s="182"/>
      <c r="CB127" s="182"/>
      <c r="CC127" s="182"/>
      <c r="CD127" s="182"/>
      <c r="CE127" s="182"/>
      <c r="CF127" s="182"/>
      <c r="CG127" s="182"/>
      <c r="CH127" s="182"/>
      <c r="CI127" s="182"/>
      <c r="CJ127" s="182"/>
      <c r="CK127" s="182"/>
      <c r="CL127" s="182"/>
      <c r="CM127" s="182"/>
      <c r="CN127" s="182"/>
      <c r="CO127" s="182"/>
      <c r="CP127" s="132"/>
      <c r="CQ127" s="192" t="n">
        <f aca="false">-SUM(TblConstr[[#This Row],[Alc]:[Mas]])+SUM(TblConstr[[#This Row],[Dest Alc]:[Dest Mas]])+Rezone!L127+IF("Ch_"&amp; home_land=TblConstr[[#Headers],[Ch_Plain]],TblConstr[[#This Row],[Home Land]])+IF(TblConstr[[#This Row],[Hour]:[Hour]]&gt;12,OFFSET(TblExplore[[#This Row],[Plains Explore]],-12,0),0)</f>
        <v>0</v>
      </c>
      <c r="CR127" s="193" t="n">
        <f aca="false">-SUM(TblConstr[[#This Row],[Ly]:[Hav]])+SUM(TblConstr[[#This Row],[Dest Ly]:[Dest Hav]]) +Rezone!M127 + IF("Ch_"&amp; home_land=TblConstr[[#Headers],[Ch_Forest]],TblConstr[[#This Row],[Home Land]])+IF(TblConstr[[#This Row],[Hour]:[Hour]]&gt;12,OFFSET(TblExplore[[#This Row],[Forest Explore]],-12,0),0)</f>
        <v>0</v>
      </c>
      <c r="CS127" s="200" t="n">
        <f aca="false">-SUM(TblConstr[[#This Row],[OM]:[GN]])+SUM(TblConstr[[#This Row],[Dest OM]:[Dest GN]]) +Rezone!N127 + IF("Ch_"&amp; home_land=TblConstr[[#Headers],[Ch_Mountain]],TblConstr[[#This Row],[Home Land]])+IF(TblConstr[[#This Row],[Hour]:[Hour]]&gt;12,OFFSET(TblExplore[[#This Row],[Mountain Explore]],-12,0),0)</f>
        <v>0</v>
      </c>
      <c r="CT127" s="195" t="n">
        <f aca="false">-SUM(TblConstr[[#This Row],[Fac]:[Shr]])+SUM(TblConstr[[#This Row],[Dest Fac]:[Dest Shr]]) +Rezone!O127 + IF("Ch_" &amp; home_land=TblConstr[[#Headers],[Ch_Hill]],TblConstr[[#This Row],[Home Land]])+IF(TblConstr[[#This Row],[Hour]:[Hour]]&gt;12,OFFSET(TblExplore[[#This Row],[Hill Explore]],-12,0),0)</f>
        <v>0</v>
      </c>
      <c r="CU127" s="196" t="n">
        <f aca="false">-SUM(TblConstr[[#This Row],[Tow]:[WG]])+SUM(TblConstr[[#This Row],[Dest Tow]:[Dest WG]]) +Rezone!P127 + IF("Ch_" &amp; home_land=TblConstr[[#Headers],[Ch_Swamp]],TblConstr[[#This Row],[Home Land]])+IF(TblConstr[[#This Row],[Hour]:[Hour]]&gt;12,OFFSET(TblExplore[[#This Row],[Swamp Explore]],-12,0),0)</f>
        <v>0</v>
      </c>
      <c r="CV127" s="197" t="n">
        <f aca="false">- SUM(TblConstr[[#This Row],[DM]:[Sch]])+SUM(TblConstr[[#This Row],[Dest DM]:[Dest Sch]]) +Rezone!Q127 + IF("Ch_" &amp; home_land=TblConstr[[#Headers],[Ch_Cavern]],TblConstr[[#This Row],[Home Land]])+IF(TblConstr[[#This Row],[Hour]:[Hour]]&gt;12,OFFSET(TblExplore[[#This Row],[Cavern Explore]],-12,0),0)</f>
        <v>0</v>
      </c>
      <c r="CW127" s="198" t="n">
        <f aca="false">-TblConstr[[#This Row],[Doc]]+TblConstr[[#This Row],[Dest Doc]] +Rezone!R127 + IF("Ch_" &amp; home_land=TblConstr[[#Headers],[Ch_Water]],TblConstr[[#This Row],[Home Land]])+IF(TblConstr[[#This Row],[Hour]:[Hour]]&gt;12,OFFSET(TblExplore[[#This Row],[Water Explore]],-12,0),0)</f>
        <v>0</v>
      </c>
      <c r="CX127" s="1" t="n">
        <f aca="false">IF(Explore!S127=1,20) - TblConstr[[#This Row],[Hom]] + TblConstr[[#This Row],[Dest Hom]]</f>
        <v>0</v>
      </c>
      <c r="CY127" s="132"/>
      <c r="CZ127" s="69" t="n">
        <f aca="false">G127+SUM(P116:S127)+SUM(AZ127:BC127)</f>
        <v>430</v>
      </c>
      <c r="DA127" s="69" t="n">
        <f aca="false">H127+SUM(T116:U127)+SUM(BD127:BE127)</f>
        <v>25</v>
      </c>
      <c r="DB127" s="1" t="n">
        <f aca="false">I127+SUM(V116:W127)+SUM(BF127:BG127)</f>
        <v>0</v>
      </c>
      <c r="DC127" s="69" t="n">
        <f aca="false">J127+SUM(X116:Y127)+SUM(BH127:BI127)</f>
        <v>55</v>
      </c>
      <c r="DD127" s="69" t="n">
        <f aca="false">K127+SUM(AB116:AD127)+SUM(BL127:BN127)</f>
        <v>76</v>
      </c>
      <c r="DE127" s="1" t="n">
        <f aca="false">L127+SUM(AE116:AE127)+BO127</f>
        <v>0</v>
      </c>
      <c r="DF127" s="69" t="n">
        <f aca="false">M127+SUM(AG116:AG127)+BQ127</f>
        <v>24</v>
      </c>
      <c r="DG127" s="69" t="e">
        <f aca="false" t="array" ref="DG127:DG127">INDEX(TblConstr[[Total Plain]:[Total Water]],ROW()-ROW(TblConstr[#headers]),MATCH("Total "&amp;home_land,TblConstr[[#Headers],[Total Plain]:[Total Water]],0))+TblConstr[[#This Row],[Homes]]</f>
        <v>#VALUE!</v>
      </c>
      <c r="DH127" s="1" t="n">
        <f aca="false">SUM(O116:O127)+AY127</f>
        <v>40</v>
      </c>
      <c r="DI127" s="1" t="n">
        <f aca="false">MAX(BA127-BA126,0)</f>
        <v>0</v>
      </c>
      <c r="DJ127" s="1" t="n">
        <f aca="false">MAX(BQ127-BQ126,0)</f>
        <v>0</v>
      </c>
    </row>
    <row r="128" customFormat="false" ht="12.75" hidden="false" customHeight="false" outlineLevel="0" collapsed="false">
      <c r="A128" s="170" t="n">
        <f aca="false">TblRezone[[#This Row],[Hour]]</f>
        <v>125</v>
      </c>
      <c r="B128" s="171" t="n">
        <f aca="false">SUM(TblConstr[[#This Row],[Plain]:[Water]])</f>
        <v>0</v>
      </c>
      <c r="C128" s="172" t="n">
        <f aca="false">SUM(TblConstr[[#This Row],[Tot Hom]:[Tot Doc]])</f>
        <v>700</v>
      </c>
      <c r="D128" s="172" t="n">
        <f aca="false">SUM(O117:AG128)</f>
        <v>0</v>
      </c>
      <c r="E128" s="173"/>
      <c r="F128" s="33" t="n">
        <f aca="false">TblConstr[[#This Row],[Barren]]+TblConstr[[#This Row],[Buildings]]+TblConstr[[#This Row],[Incoming]]</f>
        <v>700</v>
      </c>
      <c r="G128" s="199" t="n">
        <f aca="false">OFFSET(TblConstr[[#This Row],[Plain]],-1,0)+TblConstr[[#This Row],[Ch_Plain]]</f>
        <v>0</v>
      </c>
      <c r="H128" s="193" t="n">
        <f aca="false">OFFSET(TblConstr[[#This Row],[Forest]],-1,0)+TblConstr[[#This Row],[Ch_Forest]]</f>
        <v>0</v>
      </c>
      <c r="I128" s="200" t="n">
        <f aca="false">OFFSET(TblConstr[[#This Row],[Mountain]],-1,0)+TblConstr[[#This Row],[Ch_Mountain]]</f>
        <v>0</v>
      </c>
      <c r="J128" s="201" t="n">
        <f aca="false">OFFSET(TblConstr[[#This Row],[Hill]],-1,0)+TblConstr[[#This Row],[Ch_Hill]]</f>
        <v>0</v>
      </c>
      <c r="K128" s="202" t="n">
        <f aca="false">OFFSET(TblConstr[[#This Row],[Swamp]],-1,0)+TblConstr[[#This Row],[Ch_Swamp]]</f>
        <v>0</v>
      </c>
      <c r="L128" s="197" t="n">
        <f aca="false">OFFSET(TblConstr[[#This Row],[Cavern]],-1,0)+TblConstr[[#This Row],[Ch_Cavern]]</f>
        <v>0</v>
      </c>
      <c r="M128" s="198" t="n">
        <f aca="false">OFFSET(TblConstr[[#This Row],[Water]],-1,0)+TblConstr[[#This Row],[Ch_Water]]</f>
        <v>0</v>
      </c>
      <c r="N128" s="181" t="n">
        <f aca="false">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20" t="n">
        <f aca="false">TblImps[[#This Row],[Time]]</f>
        <v>45434.9166666667</v>
      </c>
      <c r="AI128" s="130" t="n">
        <f aca="false">MIN(25%,(TblConstr[[#This Row],[Tot Fac]]+TblConstr[[#This Row],[Dest Fac]])/(TblConstr[[#This Row],[Land]]-TblExplore[[#This Row],[Land Bonus]]*20))</f>
        <v>0</v>
      </c>
      <c r="AJ128" s="130" t="n">
        <f aca="false">MIN(25%,(TblConstr[[#This Row],[Tot Fac]]+TblConstr[[#This Row],[Dest Fac]])/TblConstr[[#This Row],[Land]])</f>
        <v>0</v>
      </c>
      <c r="AK128" s="69" t="n">
        <f aca="false">TblProd[[#This Row],[Platinum]]</f>
        <v>1978543</v>
      </c>
      <c r="AL128" s="69" t="n">
        <f aca="false">TblProd[[#This Row],[Lumber]]</f>
        <v>54123</v>
      </c>
      <c r="AM1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8" s="69" t="n">
        <f aca="false">ROUNDDOWN( MAX(1 - MIN(facs_constr_factor*TblConstr[[#This Row],[Facs -DB]],facs_constr_max) + tech_1_11*TblTech[[#This Row],[11-1]] + tech_6_3_2*TblTech[[#This Row],[6-3]] + tech_5_2_3*TblTech[[#This Row],[5-2]], 1-global_constr_cap) * TblConstr[[#This Row],[RCPA Lumber]],0)</f>
        <v>216</v>
      </c>
      <c r="AO1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8" s="69" t="n">
        <f aca="false">ROUNDDOWN( MAX(1 - MIN(facs_constr_factor*TblConstr[[#This Row],[Facs DB]],facs_constr_max) + tech_1_11*TblTech[[#This Row],[1-11]] + tech_6_3_2*TblTech[[#This Row],[6-3]] + tech_5_2_3*TblTech[[#This Row],[5-2]], 1-global_constr_cap) * ROUND((TblConstr[[#This Row],[Land]]-250)*0.285 + 87.5 + 0/4.25,0),0)</f>
        <v>216</v>
      </c>
      <c r="AQ128" s="1" t="n">
        <f aca="false">TblConstr[[#This Row],[build -db]]*TblConstr[[#This Row],[CPA Platinum -DB]] + TblConstr[[#This Row],[build db]]*TblConstr[[#This Row],[CPA Platinum DB]]</f>
        <v>0</v>
      </c>
      <c r="AR128" s="1" t="n">
        <f aca="false">TblConstr[[#This Row],[build -db]]*TblConstr[[#This Row],[CPA Lumber -DB]]+TblConstr[[#This Row],[build db]]*TblConstr[[#This Row],[CPA Lumber DB]]</f>
        <v>0</v>
      </c>
      <c r="AS128" s="69" t="n">
        <f aca="false">MIN(SUM(OFFSET(TblConstr[[#This Row],[Plain]:[Water]],-1,0))+SUM(TblConstr[[#This Row],[Dest Hom]:[Dest Doc]])+IF(TblConstr[[#This Row],[Hour]]&gt;12,SUM(OFFSET(TblExplore[[#This Row],[Plains Explore]:[Water Explore]],-12,0)),0),SUM(TblConstr[[#This Row],[Hom]:[Doc]]))</f>
        <v>0</v>
      </c>
      <c r="AT12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32"/>
      <c r="AV128" s="69" t="n">
        <f aca="false">ROUND((TblConstr[[#This Row],[Land]]-250 - IF(TblExplore[[#This Row],[Land Bonus]]&lt;&gt;0,20,0))*1.25 + 850 + 0,0)</f>
        <v>1413</v>
      </c>
      <c r="AW128" s="69" t="n">
        <f aca="false">ROUND((TblConstr[[#This Row],[Land]]-250 - IF(TblExplore[[#This Row],[Land Bonus]]&lt;&gt;0,20,0))*0.285 + 87.5 + 0/4.25,0)</f>
        <v>216</v>
      </c>
      <c r="AX128" s="146"/>
      <c r="AY128" s="203" t="n">
        <f aca="false" t="array" ref="AY128:AY128">IF(TblConstr[[#This Row],[Hour]:[Hour]]&gt;12,OFFSET(TblConstr[[#This Row],[Hom]],-12,0),0)+OFFSET(TblConstr[[#This Row],[Tot Hom]],-1,0)-TblConstr[[#This Row],[Dest Hom]]</f>
        <v>40</v>
      </c>
      <c r="AZ128" s="204" t="n">
        <f aca="false" t="array" ref="AZ128:AZ128">IF(TblConstr[[#This Row],[Hour]:[Hour]]&gt;12,OFFSET(TblConstr[[#This Row],[Alc]],-12,0),0)+OFFSET(TblConstr[[#This Row],[Tot Alc]],-1,0)-TblConstr[[#This Row],[Dest Alc]]</f>
        <v>275</v>
      </c>
      <c r="BA128" s="204" t="n">
        <f aca="false" t="array" ref="BA128:BA128">IF(TblConstr[[#This Row],[Hour]:[Hour]]&gt;12,OFFSET(TblConstr[[#This Row],[Far]],-12,0),0)+OFFSET(TblConstr[[#This Row],[Tot Farm]],-1,0)-TblConstr[[#This Row],[Dest Farm]]</f>
        <v>29</v>
      </c>
      <c r="BB128" s="204" t="n">
        <f aca="false" t="array" ref="BB128:BB128">IF(TblConstr[[#This Row],[Hour]:[Hour]]&gt;12,OFFSET(TblConstr[[#This Row],[Smi]],-12,0),0)+OFFSET(TblConstr[[#This Row],[Tot Smi]],-1,0)-TblConstr[[#This Row],[Dest Smi]]</f>
        <v>126</v>
      </c>
      <c r="BC128" s="204" t="n">
        <f aca="false" t="array" ref="BC128:BC128">IF(TblConstr[[#This Row],[Hour]:[Hour]]&gt;12,OFFSET(TblConstr[[#This Row],[Mas]],-12,0),0)+OFFSET(TblConstr[[#This Row],[Tot Mas]],-1,0)-TblConstr[[#This Row],[Dest Mas]]</f>
        <v>0</v>
      </c>
      <c r="BD128" s="205" t="n">
        <f aca="false" t="array" ref="BD128:BD128">IF(TblConstr[[#This Row],[Hour]:[Hour]]&gt;12,OFFSET(TblConstr[[#This Row],[Ly]],-12,0),0)+OFFSET(TblConstr[[#This Row],[Tot Ly]],-1,0)-TblConstr[[#This Row],[Dest Ly]]</f>
        <v>25</v>
      </c>
      <c r="BE128" s="205" t="n">
        <f aca="false" t="array" ref="BE128:BE128">IF(TblConstr[[#This Row],[Hour]:[Hour]]&gt;12,OFFSET(TblConstr[[#This Row],[Hav]],-12,0),0)+OFFSET(TblConstr[[#This Row],[Tot Hav]],-1,0)-TblConstr[[#This Row],[Dest Hav]]</f>
        <v>0</v>
      </c>
      <c r="BF128" s="194" t="n">
        <f aca="false" t="array" ref="BF128:BF128">IF(TblConstr[[#This Row],[Hour]:[Hour]]&gt;12,OFFSET(TblConstr[[#This Row],[OM]],-12,0),0)+OFFSET(TblConstr[[#This Row],[Tot OM]],-1,0)-TblConstr[[#This Row],[Dest OM]]</f>
        <v>0</v>
      </c>
      <c r="BG128" s="194" t="n">
        <f aca="false" t="array" ref="BG128:BG128">IF(TblConstr[[#This Row],[Hour]:[Hour]]&gt;12,OFFSET(TblConstr[[#This Row],[GN]],-12,0),0)+OFFSET(TblConstr[[#This Row],[Tot GN]],-1,0)-TblConstr[[#This Row],[Dest GN]]</f>
        <v>0</v>
      </c>
      <c r="BH128" s="206" t="n">
        <f aca="false" t="array" ref="BH128:BH128">IF(TblConstr[[#This Row],[Hour]:[Hour]]&gt;12,OFFSET(TblConstr[[#This Row],[Fac]],-12,0),0)+OFFSET(TblConstr[[#This Row],[Tot Fac]],-1,0)-TblConstr[[#This Row],[Dest Fac]]</f>
        <v>0</v>
      </c>
      <c r="BI128" s="206" t="n">
        <f aca="false" t="array" ref="BI128:BI128">IF(TblConstr[[#This Row],[Hour]:[Hour]]&gt;12,OFFSET(TblConstr[[#This Row],[GT]],-12,0),0)+OFFSET(TblConstr[[#This Row],[Tot GT]],-1,0)-TblConstr[[#This Row],[Dest GT]]</f>
        <v>55</v>
      </c>
      <c r="BJ128" s="206" t="n">
        <f aca="false" t="array" ref="BJ128:BJ128">IF(TblConstr[[#This Row],[Hour]:[Hour]]&gt;12,OFFSET(TblConstr[[#This Row],[Bar]],-12,0),0)+OFFSET(TblConstr[[#This Row],[Tot Bar]],-1,0)-TblConstr[[#This Row],[Dest Bar]]</f>
        <v>50</v>
      </c>
      <c r="BK128" s="206" t="n">
        <f aca="false" t="array" ref="BK128:BK128">IF(TblConstr[[#This Row],[Hour]:[Hour]]&gt;12,OFFSET(TblConstr[[#This Row],[Shr]],-12,0),0)+OFFSET(TblConstr[[#This Row],[Tot Shr]],-1,0)-TblConstr[[#This Row],[Dest Shr]]</f>
        <v>0</v>
      </c>
      <c r="BL128" s="207" t="n">
        <f aca="false" t="array" ref="BL128:BL128">IF(TblConstr[[#This Row],[Hour]:[Hour]]&gt;12,OFFSET(TblConstr[[#This Row],[Tow]],-12,0),0)+OFFSET(TblConstr[[#This Row],[Tot Tow]],-1,0)-TblConstr[[#This Row],[Dest Tow]]</f>
        <v>29</v>
      </c>
      <c r="BM128" s="207" t="n">
        <f aca="false" t="array" ref="BM128:BM128">IF(TblConstr[[#This Row],[Hour]:[Hour]]&gt;12,OFFSET(TblConstr[[#This Row],[Tem]],-12,0),0)+OFFSET(TblConstr[[#This Row],[Tot Tem]],-1,0)-TblConstr[[#This Row],[Dest Tem]]</f>
        <v>47</v>
      </c>
      <c r="BN128" s="207" t="n">
        <f aca="false" t="array" ref="BN128:BN128">IF(TblConstr[[#This Row],[Hour]:[Hour]]&gt;12,OFFSET(TblConstr[[#This Row],[WG]],-12,0),0)+OFFSET(TblConstr[[#This Row],[Tot WG]],-1,0)-TblConstr[[#This Row],[Dest WG]]</f>
        <v>0</v>
      </c>
      <c r="BO128" s="208" t="n">
        <f aca="false" t="array" ref="BO128:BO128">IF(TblConstr[[#This Row],[Hour]:[Hour]]&gt;12,OFFSET(TblConstr[[#This Row],[DM]],-12,0),0)+OFFSET(TblConstr[[#This Row],[Tot DM]],-1,0)-TblConstr[[#This Row],[Dest DM]]</f>
        <v>0</v>
      </c>
      <c r="BP128" s="208" t="n">
        <f aca="false" t="array" ref="BP128:BP128">IF(TblConstr[[#This Row],[Hour]:[Hour]]&gt;12,OFFSET(TblConstr[[#This Row],[Sch]],-12,0),0)+OFFSET(TblConstr[[#This Row],[Tot Sch]],-1,0)-TblConstr[[#This Row],[Dest Sch]]</f>
        <v>0</v>
      </c>
      <c r="BQ128" s="209" t="n">
        <f aca="false" t="array" ref="BQ128:BQ128">IF(TblConstr[[#This Row],[Hour]:[Hour]]&gt;12,OFFSET(TblConstr[[#This Row],[Doc]],-12,0),0)+OFFSET(TblConstr[[#This Row],[Tot Doc]],-1,0)-TblConstr[[#This Row],[Dest Doc]]</f>
        <v>24</v>
      </c>
      <c r="BR128" s="132"/>
      <c r="BS128" s="146"/>
      <c r="BT128" s="69" t="n">
        <f aca="false">TblConstr[[#This Row],[Land]]</f>
        <v>700</v>
      </c>
      <c r="BU128" s="153" t="n">
        <f aca="false">TblImps[[#This Row],[Time]]</f>
        <v>45434.9166666667</v>
      </c>
      <c r="BV128" s="132"/>
      <c r="BW128" s="182"/>
      <c r="BX128" s="182"/>
      <c r="BY128" s="182"/>
      <c r="BZ128" s="182"/>
      <c r="CA128" s="182"/>
      <c r="CB128" s="182"/>
      <c r="CC128" s="182"/>
      <c r="CD128" s="182"/>
      <c r="CE128" s="182"/>
      <c r="CF128" s="182"/>
      <c r="CG128" s="182"/>
      <c r="CH128" s="182"/>
      <c r="CI128" s="182"/>
      <c r="CJ128" s="182"/>
      <c r="CK128" s="182"/>
      <c r="CL128" s="182"/>
      <c r="CM128" s="182"/>
      <c r="CN128" s="182"/>
      <c r="CO128" s="182"/>
      <c r="CP128" s="132"/>
      <c r="CQ128" s="192" t="n">
        <f aca="false">-SUM(TblConstr[[#This Row],[Alc]:[Mas]])+SUM(TblConstr[[#This Row],[Dest Alc]:[Dest Mas]])+Rezone!L128+IF("Ch_"&amp; home_land=TblConstr[[#Headers],[Ch_Plain]],TblConstr[[#This Row],[Home Land]])+IF(TblConstr[[#This Row],[Hour]:[Hour]]&gt;12,OFFSET(TblExplore[[#This Row],[Plains Explore]],-12,0),0)</f>
        <v>0</v>
      </c>
      <c r="CR128" s="193" t="n">
        <f aca="false">-SUM(TblConstr[[#This Row],[Ly]:[Hav]])+SUM(TblConstr[[#This Row],[Dest Ly]:[Dest Hav]]) +Rezone!M128 + IF("Ch_"&amp; home_land=TblConstr[[#Headers],[Ch_Forest]],TblConstr[[#This Row],[Home Land]])+IF(TblConstr[[#This Row],[Hour]:[Hour]]&gt;12,OFFSET(TblExplore[[#This Row],[Forest Explore]],-12,0),0)</f>
        <v>0</v>
      </c>
      <c r="CS128" s="200" t="n">
        <f aca="false">-SUM(TblConstr[[#This Row],[OM]:[GN]])+SUM(TblConstr[[#This Row],[Dest OM]:[Dest GN]]) +Rezone!N128 + IF("Ch_"&amp; home_land=TblConstr[[#Headers],[Ch_Mountain]],TblConstr[[#This Row],[Home Land]])+IF(TblConstr[[#This Row],[Hour]:[Hour]]&gt;12,OFFSET(TblExplore[[#This Row],[Mountain Explore]],-12,0),0)</f>
        <v>0</v>
      </c>
      <c r="CT128" s="195" t="n">
        <f aca="false">-SUM(TblConstr[[#This Row],[Fac]:[Shr]])+SUM(TblConstr[[#This Row],[Dest Fac]:[Dest Shr]]) +Rezone!O128 + IF("Ch_" &amp; home_land=TblConstr[[#Headers],[Ch_Hill]],TblConstr[[#This Row],[Home Land]])+IF(TblConstr[[#This Row],[Hour]:[Hour]]&gt;12,OFFSET(TblExplore[[#This Row],[Hill Explore]],-12,0),0)</f>
        <v>0</v>
      </c>
      <c r="CU128" s="196" t="n">
        <f aca="false">-SUM(TblConstr[[#This Row],[Tow]:[WG]])+SUM(TblConstr[[#This Row],[Dest Tow]:[Dest WG]]) +Rezone!P128 + IF("Ch_" &amp; home_land=TblConstr[[#Headers],[Ch_Swamp]],TblConstr[[#This Row],[Home Land]])+IF(TblConstr[[#This Row],[Hour]:[Hour]]&gt;12,OFFSET(TblExplore[[#This Row],[Swamp Explore]],-12,0),0)</f>
        <v>0</v>
      </c>
      <c r="CV128" s="197" t="n">
        <f aca="false">- SUM(TblConstr[[#This Row],[DM]:[Sch]])+SUM(TblConstr[[#This Row],[Dest DM]:[Dest Sch]]) +Rezone!Q128 + IF("Ch_" &amp; home_land=TblConstr[[#Headers],[Ch_Cavern]],TblConstr[[#This Row],[Home Land]])+IF(TblConstr[[#This Row],[Hour]:[Hour]]&gt;12,OFFSET(TblExplore[[#This Row],[Cavern Explore]],-12,0),0)</f>
        <v>0</v>
      </c>
      <c r="CW128" s="198" t="n">
        <f aca="false">-TblConstr[[#This Row],[Doc]]+TblConstr[[#This Row],[Dest Doc]] +Rezone!R128 + IF("Ch_" &amp; home_land=TblConstr[[#Headers],[Ch_Water]],TblConstr[[#This Row],[Home Land]])+IF(TblConstr[[#This Row],[Hour]:[Hour]]&gt;12,OFFSET(TblExplore[[#This Row],[Water Explore]],-12,0),0)</f>
        <v>0</v>
      </c>
      <c r="CX128" s="1" t="n">
        <f aca="false">IF(Explore!S128=1,20) - TblConstr[[#This Row],[Hom]] + TblConstr[[#This Row],[Dest Hom]]</f>
        <v>0</v>
      </c>
      <c r="CY128" s="132"/>
      <c r="CZ128" s="69" t="n">
        <f aca="false">G128+SUM(P117:S128)+SUM(AZ128:BC128)</f>
        <v>430</v>
      </c>
      <c r="DA128" s="69" t="n">
        <f aca="false">H128+SUM(T117:U128)+SUM(BD128:BE128)</f>
        <v>25</v>
      </c>
      <c r="DB128" s="1" t="n">
        <f aca="false">I128+SUM(V117:W128)+SUM(BF128:BG128)</f>
        <v>0</v>
      </c>
      <c r="DC128" s="69" t="n">
        <f aca="false">J128+SUM(X117:Y128)+SUM(BH128:BI128)</f>
        <v>55</v>
      </c>
      <c r="DD128" s="69" t="n">
        <f aca="false">K128+SUM(AB117:AD128)+SUM(BL128:BN128)</f>
        <v>76</v>
      </c>
      <c r="DE128" s="1" t="n">
        <f aca="false">L128+SUM(AE117:AE128)+BO128</f>
        <v>0</v>
      </c>
      <c r="DF128" s="69" t="n">
        <f aca="false">M128+SUM(AG117:AG128)+BQ128</f>
        <v>24</v>
      </c>
      <c r="DG128" s="69" t="e">
        <f aca="false" t="array" ref="DG128:DG128">INDEX(TblConstr[[Total Plain]:[Total Water]],ROW()-ROW(TblConstr[#headers]),MATCH("Total "&amp;home_land,TblConstr[[#Headers],[Total Plain]:[Total Water]],0))+TblConstr[[#This Row],[Homes]]</f>
        <v>#VALUE!</v>
      </c>
      <c r="DH128" s="1" t="n">
        <f aca="false">SUM(O117:O128)+AY128</f>
        <v>40</v>
      </c>
      <c r="DI128" s="1" t="n">
        <f aca="false">MAX(BA128-BA127,0)</f>
        <v>0</v>
      </c>
      <c r="DJ128" s="1" t="n">
        <f aca="false">MAX(BQ128-BQ127,0)</f>
        <v>0</v>
      </c>
    </row>
    <row r="129" customFormat="false" ht="12.75" hidden="false" customHeight="false" outlineLevel="0" collapsed="false">
      <c r="A129" s="170" t="n">
        <f aca="false">TblRezone[[#This Row],[Hour]]</f>
        <v>126</v>
      </c>
      <c r="B129" s="171" t="n">
        <f aca="false">SUM(TblConstr[[#This Row],[Plain]:[Water]])</f>
        <v>0</v>
      </c>
      <c r="C129" s="172" t="n">
        <f aca="false">SUM(TblConstr[[#This Row],[Tot Hom]:[Tot Doc]])</f>
        <v>700</v>
      </c>
      <c r="D129" s="172" t="n">
        <f aca="false">SUM(O118:AG129)</f>
        <v>0</v>
      </c>
      <c r="E129" s="173"/>
      <c r="F129" s="33" t="n">
        <f aca="false">TblConstr[[#This Row],[Barren]]+TblConstr[[#This Row],[Buildings]]+TblConstr[[#This Row],[Incoming]]</f>
        <v>700</v>
      </c>
      <c r="G129" s="199" t="n">
        <f aca="false">OFFSET(TblConstr[[#This Row],[Plain]],-1,0)+TblConstr[[#This Row],[Ch_Plain]]</f>
        <v>0</v>
      </c>
      <c r="H129" s="193" t="n">
        <f aca="false">OFFSET(TblConstr[[#This Row],[Forest]],-1,0)+TblConstr[[#This Row],[Ch_Forest]]</f>
        <v>0</v>
      </c>
      <c r="I129" s="200" t="n">
        <f aca="false">OFFSET(TblConstr[[#This Row],[Mountain]],-1,0)+TblConstr[[#This Row],[Ch_Mountain]]</f>
        <v>0</v>
      </c>
      <c r="J129" s="201" t="n">
        <f aca="false">OFFSET(TblConstr[[#This Row],[Hill]],-1,0)+TblConstr[[#This Row],[Ch_Hill]]</f>
        <v>0</v>
      </c>
      <c r="K129" s="202" t="n">
        <f aca="false">OFFSET(TblConstr[[#This Row],[Swamp]],-1,0)+TblConstr[[#This Row],[Ch_Swamp]]</f>
        <v>0</v>
      </c>
      <c r="L129" s="197" t="n">
        <f aca="false">OFFSET(TblConstr[[#This Row],[Cavern]],-1,0)+TblConstr[[#This Row],[Ch_Cavern]]</f>
        <v>0</v>
      </c>
      <c r="M129" s="198" t="n">
        <f aca="false">OFFSET(TblConstr[[#This Row],[Water]],-1,0)+TblConstr[[#This Row],[Ch_Water]]</f>
        <v>0</v>
      </c>
      <c r="N129" s="181" t="n">
        <f aca="false">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20" t="n">
        <f aca="false">TblImps[[#This Row],[Time]]</f>
        <v>45434.9583333333</v>
      </c>
      <c r="AI129" s="130" t="n">
        <f aca="false">MIN(25%,(TblConstr[[#This Row],[Tot Fac]]+TblConstr[[#This Row],[Dest Fac]])/(TblConstr[[#This Row],[Land]]-TblExplore[[#This Row],[Land Bonus]]*20))</f>
        <v>0</v>
      </c>
      <c r="AJ129" s="130" t="n">
        <f aca="false">MIN(25%,(TblConstr[[#This Row],[Tot Fac]]+TblConstr[[#This Row],[Dest Fac]])/TblConstr[[#This Row],[Land]])</f>
        <v>0</v>
      </c>
      <c r="AK129" s="69" t="n">
        <f aca="false">TblProd[[#This Row],[Platinum]]</f>
        <v>2006950</v>
      </c>
      <c r="AL129" s="69" t="n">
        <f aca="false">TblProd[[#This Row],[Lumber]]</f>
        <v>54707</v>
      </c>
      <c r="AM1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9" s="69" t="n">
        <f aca="false">ROUNDDOWN( MAX(1 - MIN(facs_constr_factor*TblConstr[[#This Row],[Facs -DB]],facs_constr_max) + tech_1_11*TblTech[[#This Row],[11-1]] + tech_6_3_2*TblTech[[#This Row],[6-3]] + tech_5_2_3*TblTech[[#This Row],[5-2]], 1-global_constr_cap) * TblConstr[[#This Row],[RCPA Lumber]],0)</f>
        <v>216</v>
      </c>
      <c r="AO1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9" s="69" t="n">
        <f aca="false">ROUNDDOWN( MAX(1 - MIN(facs_constr_factor*TblConstr[[#This Row],[Facs DB]],facs_constr_max) + tech_1_11*TblTech[[#This Row],[1-11]] + tech_6_3_2*TblTech[[#This Row],[6-3]] + tech_5_2_3*TblTech[[#This Row],[5-2]], 1-global_constr_cap) * ROUND((TblConstr[[#This Row],[Land]]-250)*0.285 + 87.5 + 0/4.25,0),0)</f>
        <v>216</v>
      </c>
      <c r="AQ129" s="1" t="n">
        <f aca="false">TblConstr[[#This Row],[build -db]]*TblConstr[[#This Row],[CPA Platinum -DB]] + TblConstr[[#This Row],[build db]]*TblConstr[[#This Row],[CPA Platinum DB]]</f>
        <v>0</v>
      </c>
      <c r="AR129" s="1" t="n">
        <f aca="false">TblConstr[[#This Row],[build -db]]*TblConstr[[#This Row],[CPA Lumber -DB]]+TblConstr[[#This Row],[build db]]*TblConstr[[#This Row],[CPA Lumber DB]]</f>
        <v>0</v>
      </c>
      <c r="AS129" s="69" t="n">
        <f aca="false">MIN(SUM(OFFSET(TblConstr[[#This Row],[Plain]:[Water]],-1,0))+SUM(TblConstr[[#This Row],[Dest Hom]:[Dest Doc]])+IF(TblConstr[[#This Row],[Hour]]&gt;12,SUM(OFFSET(TblExplore[[#This Row],[Plains Explore]:[Water Explore]],-12,0)),0),SUM(TblConstr[[#This Row],[Hom]:[Doc]]))</f>
        <v>0</v>
      </c>
      <c r="AT12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32"/>
      <c r="AV129" s="69" t="n">
        <f aca="false">ROUND((TblConstr[[#This Row],[Land]]-250 - IF(TblExplore[[#This Row],[Land Bonus]]&lt;&gt;0,20,0))*1.25 + 850 + 0,0)</f>
        <v>1413</v>
      </c>
      <c r="AW129" s="69" t="n">
        <f aca="false">ROUND((TblConstr[[#This Row],[Land]]-250 - IF(TblExplore[[#This Row],[Land Bonus]]&lt;&gt;0,20,0))*0.285 + 87.5 + 0/4.25,0)</f>
        <v>216</v>
      </c>
      <c r="AX129" s="146"/>
      <c r="AY129" s="203" t="n">
        <f aca="false" t="array" ref="AY129:AY129">IF(TblConstr[[#This Row],[Hour]:[Hour]]&gt;12,OFFSET(TblConstr[[#This Row],[Hom]],-12,0),0)+OFFSET(TblConstr[[#This Row],[Tot Hom]],-1,0)-TblConstr[[#This Row],[Dest Hom]]</f>
        <v>40</v>
      </c>
      <c r="AZ129" s="204" t="n">
        <f aca="false" t="array" ref="AZ129:AZ129">IF(TblConstr[[#This Row],[Hour]:[Hour]]&gt;12,OFFSET(TblConstr[[#This Row],[Alc]],-12,0),0)+OFFSET(TblConstr[[#This Row],[Tot Alc]],-1,0)-TblConstr[[#This Row],[Dest Alc]]</f>
        <v>275</v>
      </c>
      <c r="BA129" s="204" t="n">
        <f aca="false" t="array" ref="BA129:BA129">IF(TblConstr[[#This Row],[Hour]:[Hour]]&gt;12,OFFSET(TblConstr[[#This Row],[Far]],-12,0),0)+OFFSET(TblConstr[[#This Row],[Tot Farm]],-1,0)-TblConstr[[#This Row],[Dest Farm]]</f>
        <v>29</v>
      </c>
      <c r="BB129" s="204" t="n">
        <f aca="false" t="array" ref="BB129:BB129">IF(TblConstr[[#This Row],[Hour]:[Hour]]&gt;12,OFFSET(TblConstr[[#This Row],[Smi]],-12,0),0)+OFFSET(TblConstr[[#This Row],[Tot Smi]],-1,0)-TblConstr[[#This Row],[Dest Smi]]</f>
        <v>126</v>
      </c>
      <c r="BC129" s="204" t="n">
        <f aca="false" t="array" ref="BC129:BC129">IF(TblConstr[[#This Row],[Hour]:[Hour]]&gt;12,OFFSET(TblConstr[[#This Row],[Mas]],-12,0),0)+OFFSET(TblConstr[[#This Row],[Tot Mas]],-1,0)-TblConstr[[#This Row],[Dest Mas]]</f>
        <v>0</v>
      </c>
      <c r="BD129" s="205" t="n">
        <f aca="false" t="array" ref="BD129:BD129">IF(TblConstr[[#This Row],[Hour]:[Hour]]&gt;12,OFFSET(TblConstr[[#This Row],[Ly]],-12,0),0)+OFFSET(TblConstr[[#This Row],[Tot Ly]],-1,0)-TblConstr[[#This Row],[Dest Ly]]</f>
        <v>25</v>
      </c>
      <c r="BE129" s="205" t="n">
        <f aca="false" t="array" ref="BE129:BE129">IF(TblConstr[[#This Row],[Hour]:[Hour]]&gt;12,OFFSET(TblConstr[[#This Row],[Hav]],-12,0),0)+OFFSET(TblConstr[[#This Row],[Tot Hav]],-1,0)-TblConstr[[#This Row],[Dest Hav]]</f>
        <v>0</v>
      </c>
      <c r="BF129" s="194" t="n">
        <f aca="false" t="array" ref="BF129:BF129">IF(TblConstr[[#This Row],[Hour]:[Hour]]&gt;12,OFFSET(TblConstr[[#This Row],[OM]],-12,0),0)+OFFSET(TblConstr[[#This Row],[Tot OM]],-1,0)-TblConstr[[#This Row],[Dest OM]]</f>
        <v>0</v>
      </c>
      <c r="BG129" s="194" t="n">
        <f aca="false" t="array" ref="BG129:BG129">IF(TblConstr[[#This Row],[Hour]:[Hour]]&gt;12,OFFSET(TblConstr[[#This Row],[GN]],-12,0),0)+OFFSET(TblConstr[[#This Row],[Tot GN]],-1,0)-TblConstr[[#This Row],[Dest GN]]</f>
        <v>0</v>
      </c>
      <c r="BH129" s="206" t="n">
        <f aca="false" t="array" ref="BH129:BH129">IF(TblConstr[[#This Row],[Hour]:[Hour]]&gt;12,OFFSET(TblConstr[[#This Row],[Fac]],-12,0),0)+OFFSET(TblConstr[[#This Row],[Tot Fac]],-1,0)-TblConstr[[#This Row],[Dest Fac]]</f>
        <v>0</v>
      </c>
      <c r="BI129" s="206" t="n">
        <f aca="false" t="array" ref="BI129:BI129">IF(TblConstr[[#This Row],[Hour]:[Hour]]&gt;12,OFFSET(TblConstr[[#This Row],[GT]],-12,0),0)+OFFSET(TblConstr[[#This Row],[Tot GT]],-1,0)-TblConstr[[#This Row],[Dest GT]]</f>
        <v>55</v>
      </c>
      <c r="BJ129" s="206" t="n">
        <f aca="false" t="array" ref="BJ129:BJ129">IF(TblConstr[[#This Row],[Hour]:[Hour]]&gt;12,OFFSET(TblConstr[[#This Row],[Bar]],-12,0),0)+OFFSET(TblConstr[[#This Row],[Tot Bar]],-1,0)-TblConstr[[#This Row],[Dest Bar]]</f>
        <v>50</v>
      </c>
      <c r="BK129" s="206" t="n">
        <f aca="false" t="array" ref="BK129:BK129">IF(TblConstr[[#This Row],[Hour]:[Hour]]&gt;12,OFFSET(TblConstr[[#This Row],[Shr]],-12,0),0)+OFFSET(TblConstr[[#This Row],[Tot Shr]],-1,0)-TblConstr[[#This Row],[Dest Shr]]</f>
        <v>0</v>
      </c>
      <c r="BL129" s="207" t="n">
        <f aca="false" t="array" ref="BL129:BL129">IF(TblConstr[[#This Row],[Hour]:[Hour]]&gt;12,OFFSET(TblConstr[[#This Row],[Tow]],-12,0),0)+OFFSET(TblConstr[[#This Row],[Tot Tow]],-1,0)-TblConstr[[#This Row],[Dest Tow]]</f>
        <v>29</v>
      </c>
      <c r="BM129" s="207" t="n">
        <f aca="false" t="array" ref="BM129:BM129">IF(TblConstr[[#This Row],[Hour]:[Hour]]&gt;12,OFFSET(TblConstr[[#This Row],[Tem]],-12,0),0)+OFFSET(TblConstr[[#This Row],[Tot Tem]],-1,0)-TblConstr[[#This Row],[Dest Tem]]</f>
        <v>47</v>
      </c>
      <c r="BN129" s="207" t="n">
        <f aca="false" t="array" ref="BN129:BN129">IF(TblConstr[[#This Row],[Hour]:[Hour]]&gt;12,OFFSET(TblConstr[[#This Row],[WG]],-12,0),0)+OFFSET(TblConstr[[#This Row],[Tot WG]],-1,0)-TblConstr[[#This Row],[Dest WG]]</f>
        <v>0</v>
      </c>
      <c r="BO129" s="208" t="n">
        <f aca="false" t="array" ref="BO129:BO129">IF(TblConstr[[#This Row],[Hour]:[Hour]]&gt;12,OFFSET(TblConstr[[#This Row],[DM]],-12,0),0)+OFFSET(TblConstr[[#This Row],[Tot DM]],-1,0)-TblConstr[[#This Row],[Dest DM]]</f>
        <v>0</v>
      </c>
      <c r="BP129" s="208" t="n">
        <f aca="false" t="array" ref="BP129:BP129">IF(TblConstr[[#This Row],[Hour]:[Hour]]&gt;12,OFFSET(TblConstr[[#This Row],[Sch]],-12,0),0)+OFFSET(TblConstr[[#This Row],[Tot Sch]],-1,0)-TblConstr[[#This Row],[Dest Sch]]</f>
        <v>0</v>
      </c>
      <c r="BQ129" s="209" t="n">
        <f aca="false" t="array" ref="BQ129:BQ129">IF(TblConstr[[#This Row],[Hour]:[Hour]]&gt;12,OFFSET(TblConstr[[#This Row],[Doc]],-12,0),0)+OFFSET(TblConstr[[#This Row],[Tot Doc]],-1,0)-TblConstr[[#This Row],[Dest Doc]]</f>
        <v>24</v>
      </c>
      <c r="BR129" s="132"/>
      <c r="BS129" s="146"/>
      <c r="BT129" s="69" t="n">
        <f aca="false">TblConstr[[#This Row],[Land]]</f>
        <v>700</v>
      </c>
      <c r="BU129" s="153" t="n">
        <f aca="false">TblImps[[#This Row],[Time]]</f>
        <v>45434.9583333333</v>
      </c>
      <c r="BV129" s="132"/>
      <c r="BW129" s="182"/>
      <c r="BX129" s="182"/>
      <c r="BY129" s="182"/>
      <c r="BZ129" s="182"/>
      <c r="CA129" s="182"/>
      <c r="CB129" s="182"/>
      <c r="CC129" s="182"/>
      <c r="CD129" s="182"/>
      <c r="CE129" s="182"/>
      <c r="CF129" s="182"/>
      <c r="CG129" s="182"/>
      <c r="CH129" s="182"/>
      <c r="CI129" s="182"/>
      <c r="CJ129" s="182"/>
      <c r="CK129" s="182"/>
      <c r="CL129" s="182"/>
      <c r="CM129" s="182"/>
      <c r="CN129" s="182"/>
      <c r="CO129" s="182"/>
      <c r="CP129" s="132"/>
      <c r="CQ129" s="192" t="n">
        <f aca="false">-SUM(TblConstr[[#This Row],[Alc]:[Mas]])+SUM(TblConstr[[#This Row],[Dest Alc]:[Dest Mas]])+Rezone!L129+IF("Ch_"&amp; home_land=TblConstr[[#Headers],[Ch_Plain]],TblConstr[[#This Row],[Home Land]])+IF(TblConstr[[#This Row],[Hour]:[Hour]]&gt;12,OFFSET(TblExplore[[#This Row],[Plains Explore]],-12,0),0)</f>
        <v>0</v>
      </c>
      <c r="CR129" s="193" t="n">
        <f aca="false">-SUM(TblConstr[[#This Row],[Ly]:[Hav]])+SUM(TblConstr[[#This Row],[Dest Ly]:[Dest Hav]]) +Rezone!M129 + IF("Ch_"&amp; home_land=TblConstr[[#Headers],[Ch_Forest]],TblConstr[[#This Row],[Home Land]])+IF(TblConstr[[#This Row],[Hour]:[Hour]]&gt;12,OFFSET(TblExplore[[#This Row],[Forest Explore]],-12,0),0)</f>
        <v>0</v>
      </c>
      <c r="CS129" s="200" t="n">
        <f aca="false">-SUM(TblConstr[[#This Row],[OM]:[GN]])+SUM(TblConstr[[#This Row],[Dest OM]:[Dest GN]]) +Rezone!N129 + IF("Ch_"&amp; home_land=TblConstr[[#Headers],[Ch_Mountain]],TblConstr[[#This Row],[Home Land]])+IF(TblConstr[[#This Row],[Hour]:[Hour]]&gt;12,OFFSET(TblExplore[[#This Row],[Mountain Explore]],-12,0),0)</f>
        <v>0</v>
      </c>
      <c r="CT129" s="195" t="n">
        <f aca="false">-SUM(TblConstr[[#This Row],[Fac]:[Shr]])+SUM(TblConstr[[#This Row],[Dest Fac]:[Dest Shr]]) +Rezone!O129 + IF("Ch_" &amp; home_land=TblConstr[[#Headers],[Ch_Hill]],TblConstr[[#This Row],[Home Land]])+IF(TblConstr[[#This Row],[Hour]:[Hour]]&gt;12,OFFSET(TblExplore[[#This Row],[Hill Explore]],-12,0),0)</f>
        <v>0</v>
      </c>
      <c r="CU129" s="196" t="n">
        <f aca="false">-SUM(TblConstr[[#This Row],[Tow]:[WG]])+SUM(TblConstr[[#This Row],[Dest Tow]:[Dest WG]]) +Rezone!P129 + IF("Ch_" &amp; home_land=TblConstr[[#Headers],[Ch_Swamp]],TblConstr[[#This Row],[Home Land]])+IF(TblConstr[[#This Row],[Hour]:[Hour]]&gt;12,OFFSET(TblExplore[[#This Row],[Swamp Explore]],-12,0),0)</f>
        <v>0</v>
      </c>
      <c r="CV129" s="197" t="n">
        <f aca="false">- SUM(TblConstr[[#This Row],[DM]:[Sch]])+SUM(TblConstr[[#This Row],[Dest DM]:[Dest Sch]]) +Rezone!Q129 + IF("Ch_" &amp; home_land=TblConstr[[#Headers],[Ch_Cavern]],TblConstr[[#This Row],[Home Land]])+IF(TblConstr[[#This Row],[Hour]:[Hour]]&gt;12,OFFSET(TblExplore[[#This Row],[Cavern Explore]],-12,0),0)</f>
        <v>0</v>
      </c>
      <c r="CW129" s="198" t="n">
        <f aca="false">-TblConstr[[#This Row],[Doc]]+TblConstr[[#This Row],[Dest Doc]] +Rezone!R129 + IF("Ch_" &amp; home_land=TblConstr[[#Headers],[Ch_Water]],TblConstr[[#This Row],[Home Land]])+IF(TblConstr[[#This Row],[Hour]:[Hour]]&gt;12,OFFSET(TblExplore[[#This Row],[Water Explore]],-12,0),0)</f>
        <v>0</v>
      </c>
      <c r="CX129" s="1" t="n">
        <f aca="false">IF(Explore!S129=1,20) - TblConstr[[#This Row],[Hom]] + TblConstr[[#This Row],[Dest Hom]]</f>
        <v>0</v>
      </c>
      <c r="CY129" s="132"/>
      <c r="CZ129" s="69" t="n">
        <f aca="false">G129+SUM(P118:S129)+SUM(AZ129:BC129)</f>
        <v>430</v>
      </c>
      <c r="DA129" s="69" t="n">
        <f aca="false">H129+SUM(T118:U129)+SUM(BD129:BE129)</f>
        <v>25</v>
      </c>
      <c r="DB129" s="1" t="n">
        <f aca="false">I129+SUM(V118:W129)+SUM(BF129:BG129)</f>
        <v>0</v>
      </c>
      <c r="DC129" s="69" t="n">
        <f aca="false">J129+SUM(X118:Y129)+SUM(BH129:BI129)</f>
        <v>55</v>
      </c>
      <c r="DD129" s="69" t="n">
        <f aca="false">K129+SUM(AB118:AD129)+SUM(BL129:BN129)</f>
        <v>76</v>
      </c>
      <c r="DE129" s="1" t="n">
        <f aca="false">L129+SUM(AE118:AE129)+BO129</f>
        <v>0</v>
      </c>
      <c r="DF129" s="69" t="n">
        <f aca="false">M129+SUM(AG118:AG129)+BQ129</f>
        <v>24</v>
      </c>
      <c r="DG129" s="69" t="e">
        <f aca="false" t="array" ref="DG129:DG129">INDEX(TblConstr[[Total Plain]:[Total Water]],ROW()-ROW(TblConstr[#headers]),MATCH("Total "&amp;home_land,TblConstr[[#Headers],[Total Plain]:[Total Water]],0))+TblConstr[[#This Row],[Homes]]</f>
        <v>#VALUE!</v>
      </c>
      <c r="DH129" s="1" t="n">
        <f aca="false">SUM(O118:O129)+AY129</f>
        <v>40</v>
      </c>
      <c r="DI129" s="1" t="n">
        <f aca="false">MAX(BA129-BA128,0)</f>
        <v>0</v>
      </c>
      <c r="DJ129" s="1" t="n">
        <f aca="false">MAX(BQ129-BQ128,0)</f>
        <v>0</v>
      </c>
    </row>
    <row r="130" customFormat="false" ht="12.75" hidden="false" customHeight="false" outlineLevel="0" collapsed="false">
      <c r="A130" s="170" t="n">
        <f aca="false">TblRezone[[#This Row],[Hour]]</f>
        <v>127</v>
      </c>
      <c r="B130" s="171" t="n">
        <f aca="false">SUM(TblConstr[[#This Row],[Plain]:[Water]])</f>
        <v>0</v>
      </c>
      <c r="C130" s="172" t="n">
        <f aca="false">SUM(TblConstr[[#This Row],[Tot Hom]:[Tot Doc]])</f>
        <v>700</v>
      </c>
      <c r="D130" s="172" t="n">
        <f aca="false">SUM(O119:AG130)</f>
        <v>0</v>
      </c>
      <c r="E130" s="173"/>
      <c r="F130" s="33" t="n">
        <f aca="false">TblConstr[[#This Row],[Barren]]+TblConstr[[#This Row],[Buildings]]+TblConstr[[#This Row],[Incoming]]</f>
        <v>700</v>
      </c>
      <c r="G130" s="199" t="n">
        <f aca="false">OFFSET(TblConstr[[#This Row],[Plain]],-1,0)+TblConstr[[#This Row],[Ch_Plain]]</f>
        <v>0</v>
      </c>
      <c r="H130" s="193" t="n">
        <f aca="false">OFFSET(TblConstr[[#This Row],[Forest]],-1,0)+TblConstr[[#This Row],[Ch_Forest]]</f>
        <v>0</v>
      </c>
      <c r="I130" s="200" t="n">
        <f aca="false">OFFSET(TblConstr[[#This Row],[Mountain]],-1,0)+TblConstr[[#This Row],[Ch_Mountain]]</f>
        <v>0</v>
      </c>
      <c r="J130" s="201" t="n">
        <f aca="false">OFFSET(TblConstr[[#This Row],[Hill]],-1,0)+TblConstr[[#This Row],[Ch_Hill]]</f>
        <v>0</v>
      </c>
      <c r="K130" s="202" t="n">
        <f aca="false">OFFSET(TblConstr[[#This Row],[Swamp]],-1,0)+TblConstr[[#This Row],[Ch_Swamp]]</f>
        <v>0</v>
      </c>
      <c r="L130" s="197" t="n">
        <f aca="false">OFFSET(TblConstr[[#This Row],[Cavern]],-1,0)+TblConstr[[#This Row],[Ch_Cavern]]</f>
        <v>0</v>
      </c>
      <c r="M130" s="198" t="n">
        <f aca="false">OFFSET(TblConstr[[#This Row],[Water]],-1,0)+TblConstr[[#This Row],[Ch_Water]]</f>
        <v>0</v>
      </c>
      <c r="N130" s="181" t="n">
        <f aca="false">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20" t="n">
        <f aca="false">TblImps[[#This Row],[Time]]</f>
        <v>45435</v>
      </c>
      <c r="AI130" s="130" t="n">
        <f aca="false">MIN(25%,(TblConstr[[#This Row],[Tot Fac]]+TblConstr[[#This Row],[Dest Fac]])/(TblConstr[[#This Row],[Land]]-TblExplore[[#This Row],[Land Bonus]]*20))</f>
        <v>0</v>
      </c>
      <c r="AJ130" s="130" t="n">
        <f aca="false">MIN(25%,(TblConstr[[#This Row],[Tot Fac]]+TblConstr[[#This Row],[Dest Fac]])/TblConstr[[#This Row],[Land]])</f>
        <v>0</v>
      </c>
      <c r="AK130" s="69" t="n">
        <f aca="false">TblProd[[#This Row],[Platinum]]</f>
        <v>2035198</v>
      </c>
      <c r="AL130" s="69" t="n">
        <f aca="false">TblProd[[#This Row],[Lumber]]</f>
        <v>55285</v>
      </c>
      <c r="AM1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0" s="69" t="n">
        <f aca="false">ROUNDDOWN( MAX(1 - MIN(facs_constr_factor*TblConstr[[#This Row],[Facs -DB]],facs_constr_max) + tech_1_11*TblTech[[#This Row],[11-1]] + tech_6_3_2*TblTech[[#This Row],[6-3]] + tech_5_2_3*TblTech[[#This Row],[5-2]], 1-global_constr_cap) * TblConstr[[#This Row],[RCPA Lumber]],0)</f>
        <v>216</v>
      </c>
      <c r="AO1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0" s="69" t="n">
        <f aca="false">ROUNDDOWN( MAX(1 - MIN(facs_constr_factor*TblConstr[[#This Row],[Facs DB]],facs_constr_max) + tech_1_11*TblTech[[#This Row],[1-11]] + tech_6_3_2*TblTech[[#This Row],[6-3]] + tech_5_2_3*TblTech[[#This Row],[5-2]], 1-global_constr_cap) * ROUND((TblConstr[[#This Row],[Land]]-250)*0.285 + 87.5 + 0/4.25,0),0)</f>
        <v>216</v>
      </c>
      <c r="AQ130" s="1" t="n">
        <f aca="false">TblConstr[[#This Row],[build -db]]*TblConstr[[#This Row],[CPA Platinum -DB]] + TblConstr[[#This Row],[build db]]*TblConstr[[#This Row],[CPA Platinum DB]]</f>
        <v>0</v>
      </c>
      <c r="AR130" s="1" t="n">
        <f aca="false">TblConstr[[#This Row],[build -db]]*TblConstr[[#This Row],[CPA Lumber -DB]]+TblConstr[[#This Row],[build db]]*TblConstr[[#This Row],[CPA Lumber DB]]</f>
        <v>0</v>
      </c>
      <c r="AS130" s="69" t="n">
        <f aca="false">MIN(SUM(OFFSET(TblConstr[[#This Row],[Plain]:[Water]],-1,0))+SUM(TblConstr[[#This Row],[Dest Hom]:[Dest Doc]])+IF(TblConstr[[#This Row],[Hour]]&gt;12,SUM(OFFSET(TblExplore[[#This Row],[Plains Explore]:[Water Explore]],-12,0)),0),SUM(TblConstr[[#This Row],[Hom]:[Doc]]))</f>
        <v>0</v>
      </c>
      <c r="AT13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32"/>
      <c r="AV130" s="69" t="n">
        <f aca="false">ROUND((TblConstr[[#This Row],[Land]]-250 - IF(TblExplore[[#This Row],[Land Bonus]]&lt;&gt;0,20,0))*1.25 + 850 + 0,0)</f>
        <v>1413</v>
      </c>
      <c r="AW130" s="69" t="n">
        <f aca="false">ROUND((TblConstr[[#This Row],[Land]]-250 - IF(TblExplore[[#This Row],[Land Bonus]]&lt;&gt;0,20,0))*0.285 + 87.5 + 0/4.25,0)</f>
        <v>216</v>
      </c>
      <c r="AX130" s="146"/>
      <c r="AY130" s="203" t="n">
        <f aca="false" t="array" ref="AY130:AY130">IF(TblConstr[[#This Row],[Hour]:[Hour]]&gt;12,OFFSET(TblConstr[[#This Row],[Hom]],-12,0),0)+OFFSET(TblConstr[[#This Row],[Tot Hom]],-1,0)-TblConstr[[#This Row],[Dest Hom]]</f>
        <v>40</v>
      </c>
      <c r="AZ130" s="204" t="n">
        <f aca="false" t="array" ref="AZ130:AZ130">IF(TblConstr[[#This Row],[Hour]:[Hour]]&gt;12,OFFSET(TblConstr[[#This Row],[Alc]],-12,0),0)+OFFSET(TblConstr[[#This Row],[Tot Alc]],-1,0)-TblConstr[[#This Row],[Dest Alc]]</f>
        <v>275</v>
      </c>
      <c r="BA130" s="204" t="n">
        <f aca="false" t="array" ref="BA130:BA130">IF(TblConstr[[#This Row],[Hour]:[Hour]]&gt;12,OFFSET(TblConstr[[#This Row],[Far]],-12,0),0)+OFFSET(TblConstr[[#This Row],[Tot Farm]],-1,0)-TblConstr[[#This Row],[Dest Farm]]</f>
        <v>29</v>
      </c>
      <c r="BB130" s="204" t="n">
        <f aca="false" t="array" ref="BB130:BB130">IF(TblConstr[[#This Row],[Hour]:[Hour]]&gt;12,OFFSET(TblConstr[[#This Row],[Smi]],-12,0),0)+OFFSET(TblConstr[[#This Row],[Tot Smi]],-1,0)-TblConstr[[#This Row],[Dest Smi]]</f>
        <v>126</v>
      </c>
      <c r="BC130" s="204" t="n">
        <f aca="false" t="array" ref="BC130:BC130">IF(TblConstr[[#This Row],[Hour]:[Hour]]&gt;12,OFFSET(TblConstr[[#This Row],[Mas]],-12,0),0)+OFFSET(TblConstr[[#This Row],[Tot Mas]],-1,0)-TblConstr[[#This Row],[Dest Mas]]</f>
        <v>0</v>
      </c>
      <c r="BD130" s="205" t="n">
        <f aca="false" t="array" ref="BD130:BD130">IF(TblConstr[[#This Row],[Hour]:[Hour]]&gt;12,OFFSET(TblConstr[[#This Row],[Ly]],-12,0),0)+OFFSET(TblConstr[[#This Row],[Tot Ly]],-1,0)-TblConstr[[#This Row],[Dest Ly]]</f>
        <v>25</v>
      </c>
      <c r="BE130" s="205" t="n">
        <f aca="false" t="array" ref="BE130:BE130">IF(TblConstr[[#This Row],[Hour]:[Hour]]&gt;12,OFFSET(TblConstr[[#This Row],[Hav]],-12,0),0)+OFFSET(TblConstr[[#This Row],[Tot Hav]],-1,0)-TblConstr[[#This Row],[Dest Hav]]</f>
        <v>0</v>
      </c>
      <c r="BF130" s="194" t="n">
        <f aca="false" t="array" ref="BF130:BF130">IF(TblConstr[[#This Row],[Hour]:[Hour]]&gt;12,OFFSET(TblConstr[[#This Row],[OM]],-12,0),0)+OFFSET(TblConstr[[#This Row],[Tot OM]],-1,0)-TblConstr[[#This Row],[Dest OM]]</f>
        <v>0</v>
      </c>
      <c r="BG130" s="194" t="n">
        <f aca="false" t="array" ref="BG130:BG130">IF(TblConstr[[#This Row],[Hour]:[Hour]]&gt;12,OFFSET(TblConstr[[#This Row],[GN]],-12,0),0)+OFFSET(TblConstr[[#This Row],[Tot GN]],-1,0)-TblConstr[[#This Row],[Dest GN]]</f>
        <v>0</v>
      </c>
      <c r="BH130" s="206" t="n">
        <f aca="false" t="array" ref="BH130:BH130">IF(TblConstr[[#This Row],[Hour]:[Hour]]&gt;12,OFFSET(TblConstr[[#This Row],[Fac]],-12,0),0)+OFFSET(TblConstr[[#This Row],[Tot Fac]],-1,0)-TblConstr[[#This Row],[Dest Fac]]</f>
        <v>0</v>
      </c>
      <c r="BI130" s="206" t="n">
        <f aca="false" t="array" ref="BI130:BI130">IF(TblConstr[[#This Row],[Hour]:[Hour]]&gt;12,OFFSET(TblConstr[[#This Row],[GT]],-12,0),0)+OFFSET(TblConstr[[#This Row],[Tot GT]],-1,0)-TblConstr[[#This Row],[Dest GT]]</f>
        <v>55</v>
      </c>
      <c r="BJ130" s="206" t="n">
        <f aca="false" t="array" ref="BJ130:BJ130">IF(TblConstr[[#This Row],[Hour]:[Hour]]&gt;12,OFFSET(TblConstr[[#This Row],[Bar]],-12,0),0)+OFFSET(TblConstr[[#This Row],[Tot Bar]],-1,0)-TblConstr[[#This Row],[Dest Bar]]</f>
        <v>50</v>
      </c>
      <c r="BK130" s="206" t="n">
        <f aca="false" t="array" ref="BK130:BK130">IF(TblConstr[[#This Row],[Hour]:[Hour]]&gt;12,OFFSET(TblConstr[[#This Row],[Shr]],-12,0),0)+OFFSET(TblConstr[[#This Row],[Tot Shr]],-1,0)-TblConstr[[#This Row],[Dest Shr]]</f>
        <v>0</v>
      </c>
      <c r="BL130" s="207" t="n">
        <f aca="false" t="array" ref="BL130:BL130">IF(TblConstr[[#This Row],[Hour]:[Hour]]&gt;12,OFFSET(TblConstr[[#This Row],[Tow]],-12,0),0)+OFFSET(TblConstr[[#This Row],[Tot Tow]],-1,0)-TblConstr[[#This Row],[Dest Tow]]</f>
        <v>29</v>
      </c>
      <c r="BM130" s="207" t="n">
        <f aca="false" t="array" ref="BM130:BM130">IF(TblConstr[[#This Row],[Hour]:[Hour]]&gt;12,OFFSET(TblConstr[[#This Row],[Tem]],-12,0),0)+OFFSET(TblConstr[[#This Row],[Tot Tem]],-1,0)-TblConstr[[#This Row],[Dest Tem]]</f>
        <v>47</v>
      </c>
      <c r="BN130" s="207" t="n">
        <f aca="false" t="array" ref="BN130:BN130">IF(TblConstr[[#This Row],[Hour]:[Hour]]&gt;12,OFFSET(TblConstr[[#This Row],[WG]],-12,0),0)+OFFSET(TblConstr[[#This Row],[Tot WG]],-1,0)-TblConstr[[#This Row],[Dest WG]]</f>
        <v>0</v>
      </c>
      <c r="BO130" s="208" t="n">
        <f aca="false" t="array" ref="BO130:BO130">IF(TblConstr[[#This Row],[Hour]:[Hour]]&gt;12,OFFSET(TblConstr[[#This Row],[DM]],-12,0),0)+OFFSET(TblConstr[[#This Row],[Tot DM]],-1,0)-TblConstr[[#This Row],[Dest DM]]</f>
        <v>0</v>
      </c>
      <c r="BP130" s="208" t="n">
        <f aca="false" t="array" ref="BP130:BP130">IF(TblConstr[[#This Row],[Hour]:[Hour]]&gt;12,OFFSET(TblConstr[[#This Row],[Sch]],-12,0),0)+OFFSET(TblConstr[[#This Row],[Tot Sch]],-1,0)-TblConstr[[#This Row],[Dest Sch]]</f>
        <v>0</v>
      </c>
      <c r="BQ130" s="209" t="n">
        <f aca="false" t="array" ref="BQ130:BQ130">IF(TblConstr[[#This Row],[Hour]:[Hour]]&gt;12,OFFSET(TblConstr[[#This Row],[Doc]],-12,0),0)+OFFSET(TblConstr[[#This Row],[Tot Doc]],-1,0)-TblConstr[[#This Row],[Dest Doc]]</f>
        <v>24</v>
      </c>
      <c r="BR130" s="132"/>
      <c r="BS130" s="146"/>
      <c r="BT130" s="69" t="n">
        <f aca="false">TblConstr[[#This Row],[Land]]</f>
        <v>700</v>
      </c>
      <c r="BU130" s="153" t="n">
        <f aca="false">TblImps[[#This Row],[Time]]</f>
        <v>45435</v>
      </c>
      <c r="BV130" s="132"/>
      <c r="BW130" s="182"/>
      <c r="BX130" s="182"/>
      <c r="BY130" s="182"/>
      <c r="BZ130" s="182"/>
      <c r="CA130" s="182"/>
      <c r="CB130" s="182"/>
      <c r="CC130" s="182"/>
      <c r="CD130" s="182"/>
      <c r="CE130" s="182"/>
      <c r="CF130" s="182"/>
      <c r="CG130" s="182"/>
      <c r="CH130" s="182"/>
      <c r="CI130" s="182"/>
      <c r="CJ130" s="182"/>
      <c r="CK130" s="182"/>
      <c r="CL130" s="182"/>
      <c r="CM130" s="182"/>
      <c r="CN130" s="182"/>
      <c r="CO130" s="182"/>
      <c r="CP130" s="132"/>
      <c r="CQ130" s="192" t="n">
        <f aca="false">-SUM(TblConstr[[#This Row],[Alc]:[Mas]])+SUM(TblConstr[[#This Row],[Dest Alc]:[Dest Mas]])+Rezone!L130+IF("Ch_"&amp; home_land=TblConstr[[#Headers],[Ch_Plain]],TblConstr[[#This Row],[Home Land]])+IF(TblConstr[[#This Row],[Hour]:[Hour]]&gt;12,OFFSET(TblExplore[[#This Row],[Plains Explore]],-12,0),0)</f>
        <v>0</v>
      </c>
      <c r="CR130" s="193" t="n">
        <f aca="false">-SUM(TblConstr[[#This Row],[Ly]:[Hav]])+SUM(TblConstr[[#This Row],[Dest Ly]:[Dest Hav]]) +Rezone!M130 + IF("Ch_"&amp; home_land=TblConstr[[#Headers],[Ch_Forest]],TblConstr[[#This Row],[Home Land]])+IF(TblConstr[[#This Row],[Hour]:[Hour]]&gt;12,OFFSET(TblExplore[[#This Row],[Forest Explore]],-12,0),0)</f>
        <v>0</v>
      </c>
      <c r="CS130" s="200" t="n">
        <f aca="false">-SUM(TblConstr[[#This Row],[OM]:[GN]])+SUM(TblConstr[[#This Row],[Dest OM]:[Dest GN]]) +Rezone!N130 + IF("Ch_"&amp; home_land=TblConstr[[#Headers],[Ch_Mountain]],TblConstr[[#This Row],[Home Land]])+IF(TblConstr[[#This Row],[Hour]:[Hour]]&gt;12,OFFSET(TblExplore[[#This Row],[Mountain Explore]],-12,0),0)</f>
        <v>0</v>
      </c>
      <c r="CT130" s="195" t="n">
        <f aca="false">-SUM(TblConstr[[#This Row],[Fac]:[Shr]])+SUM(TblConstr[[#This Row],[Dest Fac]:[Dest Shr]]) +Rezone!O130 + IF("Ch_" &amp; home_land=TblConstr[[#Headers],[Ch_Hill]],TblConstr[[#This Row],[Home Land]])+IF(TblConstr[[#This Row],[Hour]:[Hour]]&gt;12,OFFSET(TblExplore[[#This Row],[Hill Explore]],-12,0),0)</f>
        <v>0</v>
      </c>
      <c r="CU130" s="196" t="n">
        <f aca="false">-SUM(TblConstr[[#This Row],[Tow]:[WG]])+SUM(TblConstr[[#This Row],[Dest Tow]:[Dest WG]]) +Rezone!P130 + IF("Ch_" &amp; home_land=TblConstr[[#Headers],[Ch_Swamp]],TblConstr[[#This Row],[Home Land]])+IF(TblConstr[[#This Row],[Hour]:[Hour]]&gt;12,OFFSET(TblExplore[[#This Row],[Swamp Explore]],-12,0),0)</f>
        <v>0</v>
      </c>
      <c r="CV130" s="197" t="n">
        <f aca="false">- SUM(TblConstr[[#This Row],[DM]:[Sch]])+SUM(TblConstr[[#This Row],[Dest DM]:[Dest Sch]]) +Rezone!Q130 + IF("Ch_" &amp; home_land=TblConstr[[#Headers],[Ch_Cavern]],TblConstr[[#This Row],[Home Land]])+IF(TblConstr[[#This Row],[Hour]:[Hour]]&gt;12,OFFSET(TblExplore[[#This Row],[Cavern Explore]],-12,0),0)</f>
        <v>0</v>
      </c>
      <c r="CW130" s="198" t="n">
        <f aca="false">-TblConstr[[#This Row],[Doc]]+TblConstr[[#This Row],[Dest Doc]] +Rezone!R130 + IF("Ch_" &amp; home_land=TblConstr[[#Headers],[Ch_Water]],TblConstr[[#This Row],[Home Land]])+IF(TblConstr[[#This Row],[Hour]:[Hour]]&gt;12,OFFSET(TblExplore[[#This Row],[Water Explore]],-12,0),0)</f>
        <v>0</v>
      </c>
      <c r="CX130" s="1" t="n">
        <f aca="false">IF(Explore!S130=1,20) - TblConstr[[#This Row],[Hom]] + TblConstr[[#This Row],[Dest Hom]]</f>
        <v>0</v>
      </c>
      <c r="CY130" s="132"/>
      <c r="CZ130" s="69" t="n">
        <f aca="false">G130+SUM(P119:S130)+SUM(AZ130:BC130)</f>
        <v>430</v>
      </c>
      <c r="DA130" s="69" t="n">
        <f aca="false">H130+SUM(T119:U130)+SUM(BD130:BE130)</f>
        <v>25</v>
      </c>
      <c r="DB130" s="1" t="n">
        <f aca="false">I130+SUM(V119:W130)+SUM(BF130:BG130)</f>
        <v>0</v>
      </c>
      <c r="DC130" s="69" t="n">
        <f aca="false">J130+SUM(X119:Y130)+SUM(BH130:BI130)</f>
        <v>55</v>
      </c>
      <c r="DD130" s="69" t="n">
        <f aca="false">K130+SUM(AB119:AD130)+SUM(BL130:BN130)</f>
        <v>76</v>
      </c>
      <c r="DE130" s="1" t="n">
        <f aca="false">L130+SUM(AE119:AE130)+BO130</f>
        <v>0</v>
      </c>
      <c r="DF130" s="69" t="n">
        <f aca="false">M130+SUM(AG119:AG130)+BQ130</f>
        <v>24</v>
      </c>
      <c r="DG130" s="69" t="e">
        <f aca="false" t="array" ref="DG130:DG130">INDEX(TblConstr[[Total Plain]:[Total Water]],ROW()-ROW(TblConstr[#headers]),MATCH("Total "&amp;home_land,TblConstr[[#Headers],[Total Plain]:[Total Water]],0))+TblConstr[[#This Row],[Homes]]</f>
        <v>#VALUE!</v>
      </c>
      <c r="DH130" s="1" t="n">
        <f aca="false">SUM(O119:O130)+AY130</f>
        <v>40</v>
      </c>
      <c r="DI130" s="1" t="n">
        <f aca="false">MAX(BA130-BA129,0)</f>
        <v>0</v>
      </c>
      <c r="DJ130" s="1" t="n">
        <f aca="false">MAX(BQ130-BQ129,0)</f>
        <v>0</v>
      </c>
    </row>
    <row r="131" customFormat="false" ht="12.75" hidden="false" customHeight="false" outlineLevel="0" collapsed="false">
      <c r="A131" s="170" t="n">
        <f aca="false">TblRezone[[#This Row],[Hour]]</f>
        <v>128</v>
      </c>
      <c r="B131" s="171" t="n">
        <f aca="false">SUM(TblConstr[[#This Row],[Plain]:[Water]])</f>
        <v>0</v>
      </c>
      <c r="C131" s="172" t="n">
        <f aca="false">SUM(TblConstr[[#This Row],[Tot Hom]:[Tot Doc]])</f>
        <v>700</v>
      </c>
      <c r="D131" s="172" t="n">
        <f aca="false">SUM(O120:AG131)</f>
        <v>0</v>
      </c>
      <c r="E131" s="173"/>
      <c r="F131" s="33" t="n">
        <f aca="false">TblConstr[[#This Row],[Barren]]+TblConstr[[#This Row],[Buildings]]+TblConstr[[#This Row],[Incoming]]</f>
        <v>700</v>
      </c>
      <c r="G131" s="199" t="n">
        <f aca="false">OFFSET(TblConstr[[#This Row],[Plain]],-1,0)+TblConstr[[#This Row],[Ch_Plain]]</f>
        <v>0</v>
      </c>
      <c r="H131" s="193" t="n">
        <f aca="false">OFFSET(TblConstr[[#This Row],[Forest]],-1,0)+TblConstr[[#This Row],[Ch_Forest]]</f>
        <v>0</v>
      </c>
      <c r="I131" s="200" t="n">
        <f aca="false">OFFSET(TblConstr[[#This Row],[Mountain]],-1,0)+TblConstr[[#This Row],[Ch_Mountain]]</f>
        <v>0</v>
      </c>
      <c r="J131" s="201" t="n">
        <f aca="false">OFFSET(TblConstr[[#This Row],[Hill]],-1,0)+TblConstr[[#This Row],[Ch_Hill]]</f>
        <v>0</v>
      </c>
      <c r="K131" s="202" t="n">
        <f aca="false">OFFSET(TblConstr[[#This Row],[Swamp]],-1,0)+TblConstr[[#This Row],[Ch_Swamp]]</f>
        <v>0</v>
      </c>
      <c r="L131" s="197" t="n">
        <f aca="false">OFFSET(TblConstr[[#This Row],[Cavern]],-1,0)+TblConstr[[#This Row],[Ch_Cavern]]</f>
        <v>0</v>
      </c>
      <c r="M131" s="198" t="n">
        <f aca="false">OFFSET(TblConstr[[#This Row],[Water]],-1,0)+TblConstr[[#This Row],[Ch_Water]]</f>
        <v>0</v>
      </c>
      <c r="N131" s="181" t="n">
        <f aca="false">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20" t="n">
        <f aca="false">TblImps[[#This Row],[Time]]</f>
        <v>45435.0416666667</v>
      </c>
      <c r="AI131" s="130" t="n">
        <f aca="false">MIN(25%,(TblConstr[[#This Row],[Tot Fac]]+TblConstr[[#This Row],[Dest Fac]])/(TblConstr[[#This Row],[Land]]-TblExplore[[#This Row],[Land Bonus]]*20))</f>
        <v>0</v>
      </c>
      <c r="AJ131" s="130" t="n">
        <f aca="false">MIN(25%,(TblConstr[[#This Row],[Tot Fac]]+TblConstr[[#This Row],[Dest Fac]])/TblConstr[[#This Row],[Land]])</f>
        <v>0</v>
      </c>
      <c r="AK131" s="69" t="n">
        <f aca="false">TblProd[[#This Row],[Platinum]]</f>
        <v>2063287</v>
      </c>
      <c r="AL131" s="69" t="n">
        <f aca="false">TblProd[[#This Row],[Lumber]]</f>
        <v>55857</v>
      </c>
      <c r="AM1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1" s="69" t="n">
        <f aca="false">ROUNDDOWN( MAX(1 - MIN(facs_constr_factor*TblConstr[[#This Row],[Facs -DB]],facs_constr_max) + tech_1_11*TblTech[[#This Row],[11-1]] + tech_6_3_2*TblTech[[#This Row],[6-3]] + tech_5_2_3*TblTech[[#This Row],[5-2]], 1-global_constr_cap) * TblConstr[[#This Row],[RCPA Lumber]],0)</f>
        <v>216</v>
      </c>
      <c r="AO1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1" s="69" t="n">
        <f aca="false">ROUNDDOWN( MAX(1 - MIN(facs_constr_factor*TblConstr[[#This Row],[Facs DB]],facs_constr_max) + tech_1_11*TblTech[[#This Row],[1-11]] + tech_6_3_2*TblTech[[#This Row],[6-3]] + tech_5_2_3*TblTech[[#This Row],[5-2]], 1-global_constr_cap) * ROUND((TblConstr[[#This Row],[Land]]-250)*0.285 + 87.5 + 0/4.25,0),0)</f>
        <v>216</v>
      </c>
      <c r="AQ131" s="1" t="n">
        <f aca="false">TblConstr[[#This Row],[build -db]]*TblConstr[[#This Row],[CPA Platinum -DB]] + TblConstr[[#This Row],[build db]]*TblConstr[[#This Row],[CPA Platinum DB]]</f>
        <v>0</v>
      </c>
      <c r="AR131" s="1" t="n">
        <f aca="false">TblConstr[[#This Row],[build -db]]*TblConstr[[#This Row],[CPA Lumber -DB]]+TblConstr[[#This Row],[build db]]*TblConstr[[#This Row],[CPA Lumber DB]]</f>
        <v>0</v>
      </c>
      <c r="AS131" s="69" t="n">
        <f aca="false">MIN(SUM(OFFSET(TblConstr[[#This Row],[Plain]:[Water]],-1,0))+SUM(TblConstr[[#This Row],[Dest Hom]:[Dest Doc]])+IF(TblConstr[[#This Row],[Hour]]&gt;12,SUM(OFFSET(TblExplore[[#This Row],[Plains Explore]:[Water Explore]],-12,0)),0),SUM(TblConstr[[#This Row],[Hom]:[Doc]]))</f>
        <v>0</v>
      </c>
      <c r="AT13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32"/>
      <c r="AV131" s="69" t="n">
        <f aca="false">ROUND((TblConstr[[#This Row],[Land]]-250 - IF(TblExplore[[#This Row],[Land Bonus]]&lt;&gt;0,20,0))*1.25 + 850 + 0,0)</f>
        <v>1413</v>
      </c>
      <c r="AW131" s="69" t="n">
        <f aca="false">ROUND((TblConstr[[#This Row],[Land]]-250 - IF(TblExplore[[#This Row],[Land Bonus]]&lt;&gt;0,20,0))*0.285 + 87.5 + 0/4.25,0)</f>
        <v>216</v>
      </c>
      <c r="AX131" s="146"/>
      <c r="AY131" s="203" t="n">
        <f aca="false" t="array" ref="AY131:AY131">IF(TblConstr[[#This Row],[Hour]:[Hour]]&gt;12,OFFSET(TblConstr[[#This Row],[Hom]],-12,0),0)+OFFSET(TblConstr[[#This Row],[Tot Hom]],-1,0)-TblConstr[[#This Row],[Dest Hom]]</f>
        <v>40</v>
      </c>
      <c r="AZ131" s="204" t="n">
        <f aca="false" t="array" ref="AZ131:AZ131">IF(TblConstr[[#This Row],[Hour]:[Hour]]&gt;12,OFFSET(TblConstr[[#This Row],[Alc]],-12,0),0)+OFFSET(TblConstr[[#This Row],[Tot Alc]],-1,0)-TblConstr[[#This Row],[Dest Alc]]</f>
        <v>275</v>
      </c>
      <c r="BA131" s="204" t="n">
        <f aca="false" t="array" ref="BA131:BA131">IF(TblConstr[[#This Row],[Hour]:[Hour]]&gt;12,OFFSET(TblConstr[[#This Row],[Far]],-12,0),0)+OFFSET(TblConstr[[#This Row],[Tot Farm]],-1,0)-TblConstr[[#This Row],[Dest Farm]]</f>
        <v>29</v>
      </c>
      <c r="BB131" s="204" t="n">
        <f aca="false" t="array" ref="BB131:BB131">IF(TblConstr[[#This Row],[Hour]:[Hour]]&gt;12,OFFSET(TblConstr[[#This Row],[Smi]],-12,0),0)+OFFSET(TblConstr[[#This Row],[Tot Smi]],-1,0)-TblConstr[[#This Row],[Dest Smi]]</f>
        <v>126</v>
      </c>
      <c r="BC131" s="204" t="n">
        <f aca="false" t="array" ref="BC131:BC131">IF(TblConstr[[#This Row],[Hour]:[Hour]]&gt;12,OFFSET(TblConstr[[#This Row],[Mas]],-12,0),0)+OFFSET(TblConstr[[#This Row],[Tot Mas]],-1,0)-TblConstr[[#This Row],[Dest Mas]]</f>
        <v>0</v>
      </c>
      <c r="BD131" s="205" t="n">
        <f aca="false" t="array" ref="BD131:BD131">IF(TblConstr[[#This Row],[Hour]:[Hour]]&gt;12,OFFSET(TblConstr[[#This Row],[Ly]],-12,0),0)+OFFSET(TblConstr[[#This Row],[Tot Ly]],-1,0)-TblConstr[[#This Row],[Dest Ly]]</f>
        <v>25</v>
      </c>
      <c r="BE131" s="205" t="n">
        <f aca="false" t="array" ref="BE131:BE131">IF(TblConstr[[#This Row],[Hour]:[Hour]]&gt;12,OFFSET(TblConstr[[#This Row],[Hav]],-12,0),0)+OFFSET(TblConstr[[#This Row],[Tot Hav]],-1,0)-TblConstr[[#This Row],[Dest Hav]]</f>
        <v>0</v>
      </c>
      <c r="BF131" s="194" t="n">
        <f aca="false" t="array" ref="BF131:BF131">IF(TblConstr[[#This Row],[Hour]:[Hour]]&gt;12,OFFSET(TblConstr[[#This Row],[OM]],-12,0),0)+OFFSET(TblConstr[[#This Row],[Tot OM]],-1,0)-TblConstr[[#This Row],[Dest OM]]</f>
        <v>0</v>
      </c>
      <c r="BG131" s="194" t="n">
        <f aca="false" t="array" ref="BG131:BG131">IF(TblConstr[[#This Row],[Hour]:[Hour]]&gt;12,OFFSET(TblConstr[[#This Row],[GN]],-12,0),0)+OFFSET(TblConstr[[#This Row],[Tot GN]],-1,0)-TblConstr[[#This Row],[Dest GN]]</f>
        <v>0</v>
      </c>
      <c r="BH131" s="206" t="n">
        <f aca="false" t="array" ref="BH131:BH131">IF(TblConstr[[#This Row],[Hour]:[Hour]]&gt;12,OFFSET(TblConstr[[#This Row],[Fac]],-12,0),0)+OFFSET(TblConstr[[#This Row],[Tot Fac]],-1,0)-TblConstr[[#This Row],[Dest Fac]]</f>
        <v>0</v>
      </c>
      <c r="BI131" s="206" t="n">
        <f aca="false" t="array" ref="BI131:BI131">IF(TblConstr[[#This Row],[Hour]:[Hour]]&gt;12,OFFSET(TblConstr[[#This Row],[GT]],-12,0),0)+OFFSET(TblConstr[[#This Row],[Tot GT]],-1,0)-TblConstr[[#This Row],[Dest GT]]</f>
        <v>55</v>
      </c>
      <c r="BJ131" s="206" t="n">
        <f aca="false" t="array" ref="BJ131:BJ131">IF(TblConstr[[#This Row],[Hour]:[Hour]]&gt;12,OFFSET(TblConstr[[#This Row],[Bar]],-12,0),0)+OFFSET(TblConstr[[#This Row],[Tot Bar]],-1,0)-TblConstr[[#This Row],[Dest Bar]]</f>
        <v>50</v>
      </c>
      <c r="BK131" s="206" t="n">
        <f aca="false" t="array" ref="BK131:BK131">IF(TblConstr[[#This Row],[Hour]:[Hour]]&gt;12,OFFSET(TblConstr[[#This Row],[Shr]],-12,0),0)+OFFSET(TblConstr[[#This Row],[Tot Shr]],-1,0)-TblConstr[[#This Row],[Dest Shr]]</f>
        <v>0</v>
      </c>
      <c r="BL131" s="207" t="n">
        <f aca="false" t="array" ref="BL131:BL131">IF(TblConstr[[#This Row],[Hour]:[Hour]]&gt;12,OFFSET(TblConstr[[#This Row],[Tow]],-12,0),0)+OFFSET(TblConstr[[#This Row],[Tot Tow]],-1,0)-TblConstr[[#This Row],[Dest Tow]]</f>
        <v>29</v>
      </c>
      <c r="BM131" s="207" t="n">
        <f aca="false" t="array" ref="BM131:BM131">IF(TblConstr[[#This Row],[Hour]:[Hour]]&gt;12,OFFSET(TblConstr[[#This Row],[Tem]],-12,0),0)+OFFSET(TblConstr[[#This Row],[Tot Tem]],-1,0)-TblConstr[[#This Row],[Dest Tem]]</f>
        <v>47</v>
      </c>
      <c r="BN131" s="207" t="n">
        <f aca="false" t="array" ref="BN131:BN131">IF(TblConstr[[#This Row],[Hour]:[Hour]]&gt;12,OFFSET(TblConstr[[#This Row],[WG]],-12,0),0)+OFFSET(TblConstr[[#This Row],[Tot WG]],-1,0)-TblConstr[[#This Row],[Dest WG]]</f>
        <v>0</v>
      </c>
      <c r="BO131" s="208" t="n">
        <f aca="false" t="array" ref="BO131:BO131">IF(TblConstr[[#This Row],[Hour]:[Hour]]&gt;12,OFFSET(TblConstr[[#This Row],[DM]],-12,0),0)+OFFSET(TblConstr[[#This Row],[Tot DM]],-1,0)-TblConstr[[#This Row],[Dest DM]]</f>
        <v>0</v>
      </c>
      <c r="BP131" s="208" t="n">
        <f aca="false" t="array" ref="BP131:BP131">IF(TblConstr[[#This Row],[Hour]:[Hour]]&gt;12,OFFSET(TblConstr[[#This Row],[Sch]],-12,0),0)+OFFSET(TblConstr[[#This Row],[Tot Sch]],-1,0)-TblConstr[[#This Row],[Dest Sch]]</f>
        <v>0</v>
      </c>
      <c r="BQ131" s="209" t="n">
        <f aca="false" t="array" ref="BQ131:BQ131">IF(TblConstr[[#This Row],[Hour]:[Hour]]&gt;12,OFFSET(TblConstr[[#This Row],[Doc]],-12,0),0)+OFFSET(TblConstr[[#This Row],[Tot Doc]],-1,0)-TblConstr[[#This Row],[Dest Doc]]</f>
        <v>24</v>
      </c>
      <c r="BR131" s="132"/>
      <c r="BS131" s="146"/>
      <c r="BT131" s="69" t="n">
        <f aca="false">TblConstr[[#This Row],[Land]]</f>
        <v>700</v>
      </c>
      <c r="BU131" s="153" t="n">
        <f aca="false">TblImps[[#This Row],[Time]]</f>
        <v>45435.0416666667</v>
      </c>
      <c r="BV131" s="132"/>
      <c r="BW131" s="182"/>
      <c r="BX131" s="182"/>
      <c r="BY131" s="182"/>
      <c r="BZ131" s="182"/>
      <c r="CA131" s="182"/>
      <c r="CB131" s="182"/>
      <c r="CC131" s="182"/>
      <c r="CD131" s="182"/>
      <c r="CE131" s="182"/>
      <c r="CF131" s="182"/>
      <c r="CG131" s="182"/>
      <c r="CH131" s="182"/>
      <c r="CI131" s="182"/>
      <c r="CJ131" s="182"/>
      <c r="CK131" s="182"/>
      <c r="CL131" s="182"/>
      <c r="CM131" s="182"/>
      <c r="CN131" s="182"/>
      <c r="CO131" s="182"/>
      <c r="CP131" s="132"/>
      <c r="CQ131" s="192" t="n">
        <f aca="false">-SUM(TblConstr[[#This Row],[Alc]:[Mas]])+SUM(TblConstr[[#This Row],[Dest Alc]:[Dest Mas]])+Rezone!L131+IF("Ch_"&amp; home_land=TblConstr[[#Headers],[Ch_Plain]],TblConstr[[#This Row],[Home Land]])+IF(TblConstr[[#This Row],[Hour]:[Hour]]&gt;12,OFFSET(TblExplore[[#This Row],[Plains Explore]],-12,0),0)</f>
        <v>0</v>
      </c>
      <c r="CR131" s="193" t="n">
        <f aca="false">-SUM(TblConstr[[#This Row],[Ly]:[Hav]])+SUM(TblConstr[[#This Row],[Dest Ly]:[Dest Hav]]) +Rezone!M131 + IF("Ch_"&amp; home_land=TblConstr[[#Headers],[Ch_Forest]],TblConstr[[#This Row],[Home Land]])+IF(TblConstr[[#This Row],[Hour]:[Hour]]&gt;12,OFFSET(TblExplore[[#This Row],[Forest Explore]],-12,0),0)</f>
        <v>0</v>
      </c>
      <c r="CS131" s="200" t="n">
        <f aca="false">-SUM(TblConstr[[#This Row],[OM]:[GN]])+SUM(TblConstr[[#This Row],[Dest OM]:[Dest GN]]) +Rezone!N131 + IF("Ch_"&amp; home_land=TblConstr[[#Headers],[Ch_Mountain]],TblConstr[[#This Row],[Home Land]])+IF(TblConstr[[#This Row],[Hour]:[Hour]]&gt;12,OFFSET(TblExplore[[#This Row],[Mountain Explore]],-12,0),0)</f>
        <v>0</v>
      </c>
      <c r="CT131" s="195" t="n">
        <f aca="false">-SUM(TblConstr[[#This Row],[Fac]:[Shr]])+SUM(TblConstr[[#This Row],[Dest Fac]:[Dest Shr]]) +Rezone!O131 + IF("Ch_" &amp; home_land=TblConstr[[#Headers],[Ch_Hill]],TblConstr[[#This Row],[Home Land]])+IF(TblConstr[[#This Row],[Hour]:[Hour]]&gt;12,OFFSET(TblExplore[[#This Row],[Hill Explore]],-12,0),0)</f>
        <v>0</v>
      </c>
      <c r="CU131" s="196" t="n">
        <f aca="false">-SUM(TblConstr[[#This Row],[Tow]:[WG]])+SUM(TblConstr[[#This Row],[Dest Tow]:[Dest WG]]) +Rezone!P131 + IF("Ch_" &amp; home_land=TblConstr[[#Headers],[Ch_Swamp]],TblConstr[[#This Row],[Home Land]])+IF(TblConstr[[#This Row],[Hour]:[Hour]]&gt;12,OFFSET(TblExplore[[#This Row],[Swamp Explore]],-12,0),0)</f>
        <v>0</v>
      </c>
      <c r="CV131" s="197" t="n">
        <f aca="false">- SUM(TblConstr[[#This Row],[DM]:[Sch]])+SUM(TblConstr[[#This Row],[Dest DM]:[Dest Sch]]) +Rezone!Q131 + IF("Ch_" &amp; home_land=TblConstr[[#Headers],[Ch_Cavern]],TblConstr[[#This Row],[Home Land]])+IF(TblConstr[[#This Row],[Hour]:[Hour]]&gt;12,OFFSET(TblExplore[[#This Row],[Cavern Explore]],-12,0),0)</f>
        <v>0</v>
      </c>
      <c r="CW131" s="198" t="n">
        <f aca="false">-TblConstr[[#This Row],[Doc]]+TblConstr[[#This Row],[Dest Doc]] +Rezone!R131 + IF("Ch_" &amp; home_land=TblConstr[[#Headers],[Ch_Water]],TblConstr[[#This Row],[Home Land]])+IF(TblConstr[[#This Row],[Hour]:[Hour]]&gt;12,OFFSET(TblExplore[[#This Row],[Water Explore]],-12,0),0)</f>
        <v>0</v>
      </c>
      <c r="CX131" s="1" t="n">
        <f aca="false">IF(Explore!S131=1,20) - TblConstr[[#This Row],[Hom]] + TblConstr[[#This Row],[Dest Hom]]</f>
        <v>0</v>
      </c>
      <c r="CY131" s="132"/>
      <c r="CZ131" s="69" t="n">
        <f aca="false">G131+SUM(P120:S131)+SUM(AZ131:BC131)</f>
        <v>430</v>
      </c>
      <c r="DA131" s="69" t="n">
        <f aca="false">H131+SUM(T120:U131)+SUM(BD131:BE131)</f>
        <v>25</v>
      </c>
      <c r="DB131" s="1" t="n">
        <f aca="false">I131+SUM(V120:W131)+SUM(BF131:BG131)</f>
        <v>0</v>
      </c>
      <c r="DC131" s="69" t="n">
        <f aca="false">J131+SUM(X120:Y131)+SUM(BH131:BI131)</f>
        <v>55</v>
      </c>
      <c r="DD131" s="69" t="n">
        <f aca="false">K131+SUM(AB120:AD131)+SUM(BL131:BN131)</f>
        <v>76</v>
      </c>
      <c r="DE131" s="1" t="n">
        <f aca="false">L131+SUM(AE120:AE131)+BO131</f>
        <v>0</v>
      </c>
      <c r="DF131" s="69" t="n">
        <f aca="false">M131+SUM(AG120:AG131)+BQ131</f>
        <v>24</v>
      </c>
      <c r="DG131" s="69" t="e">
        <f aca="false" t="array" ref="DG131:DG131">INDEX(TblConstr[[Total Plain]:[Total Water]],ROW()-ROW(TblConstr[#headers]),MATCH("Total "&amp;home_land,TblConstr[[#Headers],[Total Plain]:[Total Water]],0))+TblConstr[[#This Row],[Homes]]</f>
        <v>#VALUE!</v>
      </c>
      <c r="DH131" s="1" t="n">
        <f aca="false">SUM(O120:O131)+AY131</f>
        <v>40</v>
      </c>
      <c r="DI131" s="1" t="n">
        <f aca="false">MAX(BA131-BA130,0)</f>
        <v>0</v>
      </c>
      <c r="DJ131" s="1" t="n">
        <f aca="false">MAX(BQ131-BQ130,0)</f>
        <v>0</v>
      </c>
    </row>
    <row r="132" customFormat="false" ht="12.75" hidden="false" customHeight="false" outlineLevel="0" collapsed="false">
      <c r="A132" s="170" t="n">
        <f aca="false">TblRezone[[#This Row],[Hour]]</f>
        <v>129</v>
      </c>
      <c r="B132" s="171" t="n">
        <f aca="false">SUM(TblConstr[[#This Row],[Plain]:[Water]])</f>
        <v>0</v>
      </c>
      <c r="C132" s="172" t="n">
        <f aca="false">SUM(TblConstr[[#This Row],[Tot Hom]:[Tot Doc]])</f>
        <v>700</v>
      </c>
      <c r="D132" s="172" t="n">
        <f aca="false">SUM(O121:AG132)</f>
        <v>0</v>
      </c>
      <c r="E132" s="173"/>
      <c r="F132" s="33" t="n">
        <f aca="false">TblConstr[[#This Row],[Barren]]+TblConstr[[#This Row],[Buildings]]+TblConstr[[#This Row],[Incoming]]</f>
        <v>700</v>
      </c>
      <c r="G132" s="199" t="n">
        <f aca="false">OFFSET(TblConstr[[#This Row],[Plain]],-1,0)+TblConstr[[#This Row],[Ch_Plain]]</f>
        <v>0</v>
      </c>
      <c r="H132" s="193" t="n">
        <f aca="false">OFFSET(TblConstr[[#This Row],[Forest]],-1,0)+TblConstr[[#This Row],[Ch_Forest]]</f>
        <v>0</v>
      </c>
      <c r="I132" s="200" t="n">
        <f aca="false">OFFSET(TblConstr[[#This Row],[Mountain]],-1,0)+TblConstr[[#This Row],[Ch_Mountain]]</f>
        <v>0</v>
      </c>
      <c r="J132" s="201" t="n">
        <f aca="false">OFFSET(TblConstr[[#This Row],[Hill]],-1,0)+TblConstr[[#This Row],[Ch_Hill]]</f>
        <v>0</v>
      </c>
      <c r="K132" s="202" t="n">
        <f aca="false">OFFSET(TblConstr[[#This Row],[Swamp]],-1,0)+TblConstr[[#This Row],[Ch_Swamp]]</f>
        <v>0</v>
      </c>
      <c r="L132" s="197" t="n">
        <f aca="false">OFFSET(TblConstr[[#This Row],[Cavern]],-1,0)+TblConstr[[#This Row],[Ch_Cavern]]</f>
        <v>0</v>
      </c>
      <c r="M132" s="198" t="n">
        <f aca="false">OFFSET(TblConstr[[#This Row],[Water]],-1,0)+TblConstr[[#This Row],[Ch_Water]]</f>
        <v>0</v>
      </c>
      <c r="N132" s="181" t="n">
        <f aca="false">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20" t="n">
        <f aca="false">TblImps[[#This Row],[Time]]</f>
        <v>45435.0833333333</v>
      </c>
      <c r="AI132" s="130" t="n">
        <f aca="false">MIN(25%,(TblConstr[[#This Row],[Tot Fac]]+TblConstr[[#This Row],[Dest Fac]])/(TblConstr[[#This Row],[Land]]-TblExplore[[#This Row],[Land Bonus]]*20))</f>
        <v>0</v>
      </c>
      <c r="AJ132" s="130" t="n">
        <f aca="false">MIN(25%,(TblConstr[[#This Row],[Tot Fac]]+TblConstr[[#This Row],[Dest Fac]])/TblConstr[[#This Row],[Land]])</f>
        <v>0</v>
      </c>
      <c r="AK132" s="69" t="n">
        <f aca="false">TblProd[[#This Row],[Platinum]]</f>
        <v>2091219</v>
      </c>
      <c r="AL132" s="69" t="n">
        <f aca="false">TblProd[[#This Row],[Lumber]]</f>
        <v>56423</v>
      </c>
      <c r="AM1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2" s="69" t="n">
        <f aca="false">ROUNDDOWN( MAX(1 - MIN(facs_constr_factor*TblConstr[[#This Row],[Facs -DB]],facs_constr_max) + tech_1_11*TblTech[[#This Row],[11-1]] + tech_6_3_2*TblTech[[#This Row],[6-3]] + tech_5_2_3*TblTech[[#This Row],[5-2]], 1-global_constr_cap) * TblConstr[[#This Row],[RCPA Lumber]],0)</f>
        <v>216</v>
      </c>
      <c r="AO1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2" s="69" t="n">
        <f aca="false">ROUNDDOWN( MAX(1 - MIN(facs_constr_factor*TblConstr[[#This Row],[Facs DB]],facs_constr_max) + tech_1_11*TblTech[[#This Row],[1-11]] + tech_6_3_2*TblTech[[#This Row],[6-3]] + tech_5_2_3*TblTech[[#This Row],[5-2]], 1-global_constr_cap) * ROUND((TblConstr[[#This Row],[Land]]-250)*0.285 + 87.5 + 0/4.25,0),0)</f>
        <v>216</v>
      </c>
      <c r="AQ132" s="1" t="n">
        <f aca="false">TblConstr[[#This Row],[build -db]]*TblConstr[[#This Row],[CPA Platinum -DB]] + TblConstr[[#This Row],[build db]]*TblConstr[[#This Row],[CPA Platinum DB]]</f>
        <v>0</v>
      </c>
      <c r="AR132" s="1" t="n">
        <f aca="false">TblConstr[[#This Row],[build -db]]*TblConstr[[#This Row],[CPA Lumber -DB]]+TblConstr[[#This Row],[build db]]*TblConstr[[#This Row],[CPA Lumber DB]]</f>
        <v>0</v>
      </c>
      <c r="AS132" s="69" t="n">
        <f aca="false">MIN(SUM(OFFSET(TblConstr[[#This Row],[Plain]:[Water]],-1,0))+SUM(TblConstr[[#This Row],[Dest Hom]:[Dest Doc]])+IF(TblConstr[[#This Row],[Hour]]&gt;12,SUM(OFFSET(TblExplore[[#This Row],[Plains Explore]:[Water Explore]],-12,0)),0),SUM(TblConstr[[#This Row],[Hom]:[Doc]]))</f>
        <v>0</v>
      </c>
      <c r="AT13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32"/>
      <c r="AV132" s="69" t="n">
        <f aca="false">ROUND((TblConstr[[#This Row],[Land]]-250 - IF(TblExplore[[#This Row],[Land Bonus]]&lt;&gt;0,20,0))*1.25 + 850 + 0,0)</f>
        <v>1413</v>
      </c>
      <c r="AW132" s="69" t="n">
        <f aca="false">ROUND((TblConstr[[#This Row],[Land]]-250 - IF(TblExplore[[#This Row],[Land Bonus]]&lt;&gt;0,20,0))*0.285 + 87.5 + 0/4.25,0)</f>
        <v>216</v>
      </c>
      <c r="AX132" s="146"/>
      <c r="AY132" s="203" t="n">
        <f aca="false" t="array" ref="AY132:AY132">IF(TblConstr[[#This Row],[Hour]:[Hour]]&gt;12,OFFSET(TblConstr[[#This Row],[Hom]],-12,0),0)+OFFSET(TblConstr[[#This Row],[Tot Hom]],-1,0)-TblConstr[[#This Row],[Dest Hom]]</f>
        <v>40</v>
      </c>
      <c r="AZ132" s="204" t="n">
        <f aca="false" t="array" ref="AZ132:AZ132">IF(TblConstr[[#This Row],[Hour]:[Hour]]&gt;12,OFFSET(TblConstr[[#This Row],[Alc]],-12,0),0)+OFFSET(TblConstr[[#This Row],[Tot Alc]],-1,0)-TblConstr[[#This Row],[Dest Alc]]</f>
        <v>275</v>
      </c>
      <c r="BA132" s="204" t="n">
        <f aca="false" t="array" ref="BA132:BA132">IF(TblConstr[[#This Row],[Hour]:[Hour]]&gt;12,OFFSET(TblConstr[[#This Row],[Far]],-12,0),0)+OFFSET(TblConstr[[#This Row],[Tot Farm]],-1,0)-TblConstr[[#This Row],[Dest Farm]]</f>
        <v>29</v>
      </c>
      <c r="BB132" s="204" t="n">
        <f aca="false" t="array" ref="BB132:BB132">IF(TblConstr[[#This Row],[Hour]:[Hour]]&gt;12,OFFSET(TblConstr[[#This Row],[Smi]],-12,0),0)+OFFSET(TblConstr[[#This Row],[Tot Smi]],-1,0)-TblConstr[[#This Row],[Dest Smi]]</f>
        <v>126</v>
      </c>
      <c r="BC132" s="204" t="n">
        <f aca="false" t="array" ref="BC132:BC132">IF(TblConstr[[#This Row],[Hour]:[Hour]]&gt;12,OFFSET(TblConstr[[#This Row],[Mas]],-12,0),0)+OFFSET(TblConstr[[#This Row],[Tot Mas]],-1,0)-TblConstr[[#This Row],[Dest Mas]]</f>
        <v>0</v>
      </c>
      <c r="BD132" s="205" t="n">
        <f aca="false" t="array" ref="BD132:BD132">IF(TblConstr[[#This Row],[Hour]:[Hour]]&gt;12,OFFSET(TblConstr[[#This Row],[Ly]],-12,0),0)+OFFSET(TblConstr[[#This Row],[Tot Ly]],-1,0)-TblConstr[[#This Row],[Dest Ly]]</f>
        <v>25</v>
      </c>
      <c r="BE132" s="205" t="n">
        <f aca="false" t="array" ref="BE132:BE132">IF(TblConstr[[#This Row],[Hour]:[Hour]]&gt;12,OFFSET(TblConstr[[#This Row],[Hav]],-12,0),0)+OFFSET(TblConstr[[#This Row],[Tot Hav]],-1,0)-TblConstr[[#This Row],[Dest Hav]]</f>
        <v>0</v>
      </c>
      <c r="BF132" s="194" t="n">
        <f aca="false" t="array" ref="BF132:BF132">IF(TblConstr[[#This Row],[Hour]:[Hour]]&gt;12,OFFSET(TblConstr[[#This Row],[OM]],-12,0),0)+OFFSET(TblConstr[[#This Row],[Tot OM]],-1,0)-TblConstr[[#This Row],[Dest OM]]</f>
        <v>0</v>
      </c>
      <c r="BG132" s="194" t="n">
        <f aca="false" t="array" ref="BG132:BG132">IF(TblConstr[[#This Row],[Hour]:[Hour]]&gt;12,OFFSET(TblConstr[[#This Row],[GN]],-12,0),0)+OFFSET(TblConstr[[#This Row],[Tot GN]],-1,0)-TblConstr[[#This Row],[Dest GN]]</f>
        <v>0</v>
      </c>
      <c r="BH132" s="206" t="n">
        <f aca="false" t="array" ref="BH132:BH132">IF(TblConstr[[#This Row],[Hour]:[Hour]]&gt;12,OFFSET(TblConstr[[#This Row],[Fac]],-12,0),0)+OFFSET(TblConstr[[#This Row],[Tot Fac]],-1,0)-TblConstr[[#This Row],[Dest Fac]]</f>
        <v>0</v>
      </c>
      <c r="BI132" s="206" t="n">
        <f aca="false" t="array" ref="BI132:BI132">IF(TblConstr[[#This Row],[Hour]:[Hour]]&gt;12,OFFSET(TblConstr[[#This Row],[GT]],-12,0),0)+OFFSET(TblConstr[[#This Row],[Tot GT]],-1,0)-TblConstr[[#This Row],[Dest GT]]</f>
        <v>55</v>
      </c>
      <c r="BJ132" s="206" t="n">
        <f aca="false" t="array" ref="BJ132:BJ132">IF(TblConstr[[#This Row],[Hour]:[Hour]]&gt;12,OFFSET(TblConstr[[#This Row],[Bar]],-12,0),0)+OFFSET(TblConstr[[#This Row],[Tot Bar]],-1,0)-TblConstr[[#This Row],[Dest Bar]]</f>
        <v>50</v>
      </c>
      <c r="BK132" s="206" t="n">
        <f aca="false" t="array" ref="BK132:BK132">IF(TblConstr[[#This Row],[Hour]:[Hour]]&gt;12,OFFSET(TblConstr[[#This Row],[Shr]],-12,0),0)+OFFSET(TblConstr[[#This Row],[Tot Shr]],-1,0)-TblConstr[[#This Row],[Dest Shr]]</f>
        <v>0</v>
      </c>
      <c r="BL132" s="207" t="n">
        <f aca="false" t="array" ref="BL132:BL132">IF(TblConstr[[#This Row],[Hour]:[Hour]]&gt;12,OFFSET(TblConstr[[#This Row],[Tow]],-12,0),0)+OFFSET(TblConstr[[#This Row],[Tot Tow]],-1,0)-TblConstr[[#This Row],[Dest Tow]]</f>
        <v>29</v>
      </c>
      <c r="BM132" s="207" t="n">
        <f aca="false" t="array" ref="BM132:BM132">IF(TblConstr[[#This Row],[Hour]:[Hour]]&gt;12,OFFSET(TblConstr[[#This Row],[Tem]],-12,0),0)+OFFSET(TblConstr[[#This Row],[Tot Tem]],-1,0)-TblConstr[[#This Row],[Dest Tem]]</f>
        <v>47</v>
      </c>
      <c r="BN132" s="207" t="n">
        <f aca="false" t="array" ref="BN132:BN132">IF(TblConstr[[#This Row],[Hour]:[Hour]]&gt;12,OFFSET(TblConstr[[#This Row],[WG]],-12,0),0)+OFFSET(TblConstr[[#This Row],[Tot WG]],-1,0)-TblConstr[[#This Row],[Dest WG]]</f>
        <v>0</v>
      </c>
      <c r="BO132" s="208" t="n">
        <f aca="false" t="array" ref="BO132:BO132">IF(TblConstr[[#This Row],[Hour]:[Hour]]&gt;12,OFFSET(TblConstr[[#This Row],[DM]],-12,0),0)+OFFSET(TblConstr[[#This Row],[Tot DM]],-1,0)-TblConstr[[#This Row],[Dest DM]]</f>
        <v>0</v>
      </c>
      <c r="BP132" s="208" t="n">
        <f aca="false" t="array" ref="BP132:BP132">IF(TblConstr[[#This Row],[Hour]:[Hour]]&gt;12,OFFSET(TblConstr[[#This Row],[Sch]],-12,0),0)+OFFSET(TblConstr[[#This Row],[Tot Sch]],-1,0)-TblConstr[[#This Row],[Dest Sch]]</f>
        <v>0</v>
      </c>
      <c r="BQ132" s="209" t="n">
        <f aca="false" t="array" ref="BQ132:BQ132">IF(TblConstr[[#This Row],[Hour]:[Hour]]&gt;12,OFFSET(TblConstr[[#This Row],[Doc]],-12,0),0)+OFFSET(TblConstr[[#This Row],[Tot Doc]],-1,0)-TblConstr[[#This Row],[Dest Doc]]</f>
        <v>24</v>
      </c>
      <c r="BR132" s="132"/>
      <c r="BS132" s="146"/>
      <c r="BT132" s="69" t="n">
        <f aca="false">TblConstr[[#This Row],[Land]]</f>
        <v>700</v>
      </c>
      <c r="BU132" s="153" t="n">
        <f aca="false">TblImps[[#This Row],[Time]]</f>
        <v>45435.0833333333</v>
      </c>
      <c r="BV132" s="132"/>
      <c r="BW132" s="182"/>
      <c r="BX132" s="182"/>
      <c r="BY132" s="182"/>
      <c r="BZ132" s="182"/>
      <c r="CA132" s="182"/>
      <c r="CB132" s="182"/>
      <c r="CC132" s="182"/>
      <c r="CD132" s="182"/>
      <c r="CE132" s="182"/>
      <c r="CF132" s="182"/>
      <c r="CG132" s="182"/>
      <c r="CH132" s="182"/>
      <c r="CI132" s="182"/>
      <c r="CJ132" s="182"/>
      <c r="CK132" s="182"/>
      <c r="CL132" s="182"/>
      <c r="CM132" s="182"/>
      <c r="CN132" s="182"/>
      <c r="CO132" s="182"/>
      <c r="CP132" s="132"/>
      <c r="CQ132" s="192" t="n">
        <f aca="false">-SUM(TblConstr[[#This Row],[Alc]:[Mas]])+SUM(TblConstr[[#This Row],[Dest Alc]:[Dest Mas]])+Rezone!L132+IF("Ch_"&amp; home_land=TblConstr[[#Headers],[Ch_Plain]],TblConstr[[#This Row],[Home Land]])+IF(TblConstr[[#This Row],[Hour]:[Hour]]&gt;12,OFFSET(TblExplore[[#This Row],[Plains Explore]],-12,0),0)</f>
        <v>0</v>
      </c>
      <c r="CR132" s="193" t="n">
        <f aca="false">-SUM(TblConstr[[#This Row],[Ly]:[Hav]])+SUM(TblConstr[[#This Row],[Dest Ly]:[Dest Hav]]) +Rezone!M132 + IF("Ch_"&amp; home_land=TblConstr[[#Headers],[Ch_Forest]],TblConstr[[#This Row],[Home Land]])+IF(TblConstr[[#This Row],[Hour]:[Hour]]&gt;12,OFFSET(TblExplore[[#This Row],[Forest Explore]],-12,0),0)</f>
        <v>0</v>
      </c>
      <c r="CS132" s="200" t="n">
        <f aca="false">-SUM(TblConstr[[#This Row],[OM]:[GN]])+SUM(TblConstr[[#This Row],[Dest OM]:[Dest GN]]) +Rezone!N132 + IF("Ch_"&amp; home_land=TblConstr[[#Headers],[Ch_Mountain]],TblConstr[[#This Row],[Home Land]])+IF(TblConstr[[#This Row],[Hour]:[Hour]]&gt;12,OFFSET(TblExplore[[#This Row],[Mountain Explore]],-12,0),0)</f>
        <v>0</v>
      </c>
      <c r="CT132" s="195" t="n">
        <f aca="false">-SUM(TblConstr[[#This Row],[Fac]:[Shr]])+SUM(TblConstr[[#This Row],[Dest Fac]:[Dest Shr]]) +Rezone!O132 + IF("Ch_" &amp; home_land=TblConstr[[#Headers],[Ch_Hill]],TblConstr[[#This Row],[Home Land]])+IF(TblConstr[[#This Row],[Hour]:[Hour]]&gt;12,OFFSET(TblExplore[[#This Row],[Hill Explore]],-12,0),0)</f>
        <v>0</v>
      </c>
      <c r="CU132" s="196" t="n">
        <f aca="false">-SUM(TblConstr[[#This Row],[Tow]:[WG]])+SUM(TblConstr[[#This Row],[Dest Tow]:[Dest WG]]) +Rezone!P132 + IF("Ch_" &amp; home_land=TblConstr[[#Headers],[Ch_Swamp]],TblConstr[[#This Row],[Home Land]])+IF(TblConstr[[#This Row],[Hour]:[Hour]]&gt;12,OFFSET(TblExplore[[#This Row],[Swamp Explore]],-12,0),0)</f>
        <v>0</v>
      </c>
      <c r="CV132" s="197" t="n">
        <f aca="false">- SUM(TblConstr[[#This Row],[DM]:[Sch]])+SUM(TblConstr[[#This Row],[Dest DM]:[Dest Sch]]) +Rezone!Q132 + IF("Ch_" &amp; home_land=TblConstr[[#Headers],[Ch_Cavern]],TblConstr[[#This Row],[Home Land]])+IF(TblConstr[[#This Row],[Hour]:[Hour]]&gt;12,OFFSET(TblExplore[[#This Row],[Cavern Explore]],-12,0),0)</f>
        <v>0</v>
      </c>
      <c r="CW132" s="198" t="n">
        <f aca="false">-TblConstr[[#This Row],[Doc]]+TblConstr[[#This Row],[Dest Doc]] +Rezone!R132 + IF("Ch_" &amp; home_land=TblConstr[[#Headers],[Ch_Water]],TblConstr[[#This Row],[Home Land]])+IF(TblConstr[[#This Row],[Hour]:[Hour]]&gt;12,OFFSET(TblExplore[[#This Row],[Water Explore]],-12,0),0)</f>
        <v>0</v>
      </c>
      <c r="CX132" s="1" t="n">
        <f aca="false">IF(Explore!S132=1,20) - TblConstr[[#This Row],[Hom]] + TblConstr[[#This Row],[Dest Hom]]</f>
        <v>0</v>
      </c>
      <c r="CY132" s="132"/>
      <c r="CZ132" s="69" t="n">
        <f aca="false">G132+SUM(P121:S132)+SUM(AZ132:BC132)</f>
        <v>430</v>
      </c>
      <c r="DA132" s="69" t="n">
        <f aca="false">H132+SUM(T121:U132)+SUM(BD132:BE132)</f>
        <v>25</v>
      </c>
      <c r="DB132" s="1" t="n">
        <f aca="false">I132+SUM(V121:W132)+SUM(BF132:BG132)</f>
        <v>0</v>
      </c>
      <c r="DC132" s="69" t="n">
        <f aca="false">J132+SUM(X121:Y132)+SUM(BH132:BI132)</f>
        <v>55</v>
      </c>
      <c r="DD132" s="69" t="n">
        <f aca="false">K132+SUM(AB121:AD132)+SUM(BL132:BN132)</f>
        <v>76</v>
      </c>
      <c r="DE132" s="1" t="n">
        <f aca="false">L132+SUM(AE121:AE132)+BO132</f>
        <v>0</v>
      </c>
      <c r="DF132" s="69" t="n">
        <f aca="false">M132+SUM(AG121:AG132)+BQ132</f>
        <v>24</v>
      </c>
      <c r="DG132" s="69" t="e">
        <f aca="false" t="array" ref="DG132:DG132">INDEX(TblConstr[[Total Plain]:[Total Water]],ROW()-ROW(TblConstr[#headers]),MATCH("Total "&amp;home_land,TblConstr[[#Headers],[Total Plain]:[Total Water]],0))+TblConstr[[#This Row],[Homes]]</f>
        <v>#VALUE!</v>
      </c>
      <c r="DH132" s="1" t="n">
        <f aca="false">SUM(O121:O132)+AY132</f>
        <v>40</v>
      </c>
      <c r="DI132" s="1" t="n">
        <f aca="false">MAX(BA132-BA131,0)</f>
        <v>0</v>
      </c>
      <c r="DJ132" s="1" t="n">
        <f aca="false">MAX(BQ132-BQ131,0)</f>
        <v>0</v>
      </c>
    </row>
    <row r="133" customFormat="false" ht="12.75" hidden="false" customHeight="false" outlineLevel="0" collapsed="false">
      <c r="A133" s="170" t="n">
        <f aca="false">TblRezone[[#This Row],[Hour]]</f>
        <v>130</v>
      </c>
      <c r="B133" s="171" t="n">
        <f aca="false">SUM(TblConstr[[#This Row],[Plain]:[Water]])</f>
        <v>0</v>
      </c>
      <c r="C133" s="172" t="n">
        <f aca="false">SUM(TblConstr[[#This Row],[Tot Hom]:[Tot Doc]])</f>
        <v>700</v>
      </c>
      <c r="D133" s="172" t="n">
        <f aca="false">SUM(O122:AG133)</f>
        <v>0</v>
      </c>
      <c r="E133" s="173"/>
      <c r="F133" s="33" t="n">
        <f aca="false">TblConstr[[#This Row],[Barren]]+TblConstr[[#This Row],[Buildings]]+TblConstr[[#This Row],[Incoming]]</f>
        <v>700</v>
      </c>
      <c r="G133" s="199" t="n">
        <f aca="false">OFFSET(TblConstr[[#This Row],[Plain]],-1,0)+TblConstr[[#This Row],[Ch_Plain]]</f>
        <v>0</v>
      </c>
      <c r="H133" s="193" t="n">
        <f aca="false">OFFSET(TblConstr[[#This Row],[Forest]],-1,0)+TblConstr[[#This Row],[Ch_Forest]]</f>
        <v>0</v>
      </c>
      <c r="I133" s="200" t="n">
        <f aca="false">OFFSET(TblConstr[[#This Row],[Mountain]],-1,0)+TblConstr[[#This Row],[Ch_Mountain]]</f>
        <v>0</v>
      </c>
      <c r="J133" s="201" t="n">
        <f aca="false">OFFSET(TblConstr[[#This Row],[Hill]],-1,0)+TblConstr[[#This Row],[Ch_Hill]]</f>
        <v>0</v>
      </c>
      <c r="K133" s="202" t="n">
        <f aca="false">OFFSET(TblConstr[[#This Row],[Swamp]],-1,0)+TblConstr[[#This Row],[Ch_Swamp]]</f>
        <v>0</v>
      </c>
      <c r="L133" s="197" t="n">
        <f aca="false">OFFSET(TblConstr[[#This Row],[Cavern]],-1,0)+TblConstr[[#This Row],[Ch_Cavern]]</f>
        <v>0</v>
      </c>
      <c r="M133" s="198" t="n">
        <f aca="false">OFFSET(TblConstr[[#This Row],[Water]],-1,0)+TblConstr[[#This Row],[Ch_Water]]</f>
        <v>0</v>
      </c>
      <c r="N133" s="181" t="n">
        <f aca="false">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20" t="n">
        <f aca="false">TblImps[[#This Row],[Time]]</f>
        <v>45435.125</v>
      </c>
      <c r="AI133" s="130" t="n">
        <f aca="false">MIN(25%,(TblConstr[[#This Row],[Tot Fac]]+TblConstr[[#This Row],[Dest Fac]])/(TblConstr[[#This Row],[Land]]-TblExplore[[#This Row],[Land Bonus]]*20))</f>
        <v>0</v>
      </c>
      <c r="AJ133" s="130" t="n">
        <f aca="false">MIN(25%,(TblConstr[[#This Row],[Tot Fac]]+TblConstr[[#This Row],[Dest Fac]])/TblConstr[[#This Row],[Land]])</f>
        <v>0</v>
      </c>
      <c r="AK133" s="69" t="n">
        <f aca="false">TblProd[[#This Row],[Platinum]]</f>
        <v>2118994</v>
      </c>
      <c r="AL133" s="69" t="n">
        <f aca="false">TblProd[[#This Row],[Lumber]]</f>
        <v>56984</v>
      </c>
      <c r="AM1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3" s="69" t="n">
        <f aca="false">ROUNDDOWN( MAX(1 - MIN(facs_constr_factor*TblConstr[[#This Row],[Facs -DB]],facs_constr_max) + tech_1_11*TblTech[[#This Row],[11-1]] + tech_6_3_2*TblTech[[#This Row],[6-3]] + tech_5_2_3*TblTech[[#This Row],[5-2]], 1-global_constr_cap) * TblConstr[[#This Row],[RCPA Lumber]],0)</f>
        <v>216</v>
      </c>
      <c r="AO1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3" s="69" t="n">
        <f aca="false">ROUNDDOWN( MAX(1 - MIN(facs_constr_factor*TblConstr[[#This Row],[Facs DB]],facs_constr_max) + tech_1_11*TblTech[[#This Row],[1-11]] + tech_6_3_2*TblTech[[#This Row],[6-3]] + tech_5_2_3*TblTech[[#This Row],[5-2]], 1-global_constr_cap) * ROUND((TblConstr[[#This Row],[Land]]-250)*0.285 + 87.5 + 0/4.25,0),0)</f>
        <v>216</v>
      </c>
      <c r="AQ133" s="1" t="n">
        <f aca="false">TblConstr[[#This Row],[build -db]]*TblConstr[[#This Row],[CPA Platinum -DB]] + TblConstr[[#This Row],[build db]]*TblConstr[[#This Row],[CPA Platinum DB]]</f>
        <v>0</v>
      </c>
      <c r="AR133" s="1" t="n">
        <f aca="false">TblConstr[[#This Row],[build -db]]*TblConstr[[#This Row],[CPA Lumber -DB]]+TblConstr[[#This Row],[build db]]*TblConstr[[#This Row],[CPA Lumber DB]]</f>
        <v>0</v>
      </c>
      <c r="AS133" s="69" t="n">
        <f aca="false">MIN(SUM(OFFSET(TblConstr[[#This Row],[Plain]:[Water]],-1,0))+SUM(TblConstr[[#This Row],[Dest Hom]:[Dest Doc]])+IF(TblConstr[[#This Row],[Hour]]&gt;12,SUM(OFFSET(TblExplore[[#This Row],[Plains Explore]:[Water Explore]],-12,0)),0),SUM(TblConstr[[#This Row],[Hom]:[Doc]]))</f>
        <v>0</v>
      </c>
      <c r="AT13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32"/>
      <c r="AV133" s="69" t="n">
        <f aca="false">ROUND((TblConstr[[#This Row],[Land]]-250 - IF(TblExplore[[#This Row],[Land Bonus]]&lt;&gt;0,20,0))*1.25 + 850 + 0,0)</f>
        <v>1413</v>
      </c>
      <c r="AW133" s="69" t="n">
        <f aca="false">ROUND((TblConstr[[#This Row],[Land]]-250 - IF(TblExplore[[#This Row],[Land Bonus]]&lt;&gt;0,20,0))*0.285 + 87.5 + 0/4.25,0)</f>
        <v>216</v>
      </c>
      <c r="AX133" s="146"/>
      <c r="AY133" s="203" t="n">
        <f aca="false" t="array" ref="AY133:AY133">IF(TblConstr[[#This Row],[Hour]:[Hour]]&gt;12,OFFSET(TblConstr[[#This Row],[Hom]],-12,0),0)+OFFSET(TblConstr[[#This Row],[Tot Hom]],-1,0)-TblConstr[[#This Row],[Dest Hom]]</f>
        <v>40</v>
      </c>
      <c r="AZ133" s="204" t="n">
        <f aca="false" t="array" ref="AZ133:AZ133">IF(TblConstr[[#This Row],[Hour]:[Hour]]&gt;12,OFFSET(TblConstr[[#This Row],[Alc]],-12,0),0)+OFFSET(TblConstr[[#This Row],[Tot Alc]],-1,0)-TblConstr[[#This Row],[Dest Alc]]</f>
        <v>275</v>
      </c>
      <c r="BA133" s="204" t="n">
        <f aca="false" t="array" ref="BA133:BA133">IF(TblConstr[[#This Row],[Hour]:[Hour]]&gt;12,OFFSET(TblConstr[[#This Row],[Far]],-12,0),0)+OFFSET(TblConstr[[#This Row],[Tot Farm]],-1,0)-TblConstr[[#This Row],[Dest Farm]]</f>
        <v>29</v>
      </c>
      <c r="BB133" s="204" t="n">
        <f aca="false" t="array" ref="BB133:BB133">IF(TblConstr[[#This Row],[Hour]:[Hour]]&gt;12,OFFSET(TblConstr[[#This Row],[Smi]],-12,0),0)+OFFSET(TblConstr[[#This Row],[Tot Smi]],-1,0)-TblConstr[[#This Row],[Dest Smi]]</f>
        <v>126</v>
      </c>
      <c r="BC133" s="204" t="n">
        <f aca="false" t="array" ref="BC133:BC133">IF(TblConstr[[#This Row],[Hour]:[Hour]]&gt;12,OFFSET(TblConstr[[#This Row],[Mas]],-12,0),0)+OFFSET(TblConstr[[#This Row],[Tot Mas]],-1,0)-TblConstr[[#This Row],[Dest Mas]]</f>
        <v>0</v>
      </c>
      <c r="BD133" s="205" t="n">
        <f aca="false" t="array" ref="BD133:BD133">IF(TblConstr[[#This Row],[Hour]:[Hour]]&gt;12,OFFSET(TblConstr[[#This Row],[Ly]],-12,0),0)+OFFSET(TblConstr[[#This Row],[Tot Ly]],-1,0)-TblConstr[[#This Row],[Dest Ly]]</f>
        <v>25</v>
      </c>
      <c r="BE133" s="205" t="n">
        <f aca="false" t="array" ref="BE133:BE133">IF(TblConstr[[#This Row],[Hour]:[Hour]]&gt;12,OFFSET(TblConstr[[#This Row],[Hav]],-12,0),0)+OFFSET(TblConstr[[#This Row],[Tot Hav]],-1,0)-TblConstr[[#This Row],[Dest Hav]]</f>
        <v>0</v>
      </c>
      <c r="BF133" s="194" t="n">
        <f aca="false" t="array" ref="BF133:BF133">IF(TblConstr[[#This Row],[Hour]:[Hour]]&gt;12,OFFSET(TblConstr[[#This Row],[OM]],-12,0),0)+OFFSET(TblConstr[[#This Row],[Tot OM]],-1,0)-TblConstr[[#This Row],[Dest OM]]</f>
        <v>0</v>
      </c>
      <c r="BG133" s="194" t="n">
        <f aca="false" t="array" ref="BG133:BG133">IF(TblConstr[[#This Row],[Hour]:[Hour]]&gt;12,OFFSET(TblConstr[[#This Row],[GN]],-12,0),0)+OFFSET(TblConstr[[#This Row],[Tot GN]],-1,0)-TblConstr[[#This Row],[Dest GN]]</f>
        <v>0</v>
      </c>
      <c r="BH133" s="206" t="n">
        <f aca="false" t="array" ref="BH133:BH133">IF(TblConstr[[#This Row],[Hour]:[Hour]]&gt;12,OFFSET(TblConstr[[#This Row],[Fac]],-12,0),0)+OFFSET(TblConstr[[#This Row],[Tot Fac]],-1,0)-TblConstr[[#This Row],[Dest Fac]]</f>
        <v>0</v>
      </c>
      <c r="BI133" s="206" t="n">
        <f aca="false" t="array" ref="BI133:BI133">IF(TblConstr[[#This Row],[Hour]:[Hour]]&gt;12,OFFSET(TblConstr[[#This Row],[GT]],-12,0),0)+OFFSET(TblConstr[[#This Row],[Tot GT]],-1,0)-TblConstr[[#This Row],[Dest GT]]</f>
        <v>55</v>
      </c>
      <c r="BJ133" s="206" t="n">
        <f aca="false" t="array" ref="BJ133:BJ133">IF(TblConstr[[#This Row],[Hour]:[Hour]]&gt;12,OFFSET(TblConstr[[#This Row],[Bar]],-12,0),0)+OFFSET(TblConstr[[#This Row],[Tot Bar]],-1,0)-TblConstr[[#This Row],[Dest Bar]]</f>
        <v>50</v>
      </c>
      <c r="BK133" s="206" t="n">
        <f aca="false" t="array" ref="BK133:BK133">IF(TblConstr[[#This Row],[Hour]:[Hour]]&gt;12,OFFSET(TblConstr[[#This Row],[Shr]],-12,0),0)+OFFSET(TblConstr[[#This Row],[Tot Shr]],-1,0)-TblConstr[[#This Row],[Dest Shr]]</f>
        <v>0</v>
      </c>
      <c r="BL133" s="207" t="n">
        <f aca="false" t="array" ref="BL133:BL133">IF(TblConstr[[#This Row],[Hour]:[Hour]]&gt;12,OFFSET(TblConstr[[#This Row],[Tow]],-12,0),0)+OFFSET(TblConstr[[#This Row],[Tot Tow]],-1,0)-TblConstr[[#This Row],[Dest Tow]]</f>
        <v>29</v>
      </c>
      <c r="BM133" s="207" t="n">
        <f aca="false" t="array" ref="BM133:BM133">IF(TblConstr[[#This Row],[Hour]:[Hour]]&gt;12,OFFSET(TblConstr[[#This Row],[Tem]],-12,0),0)+OFFSET(TblConstr[[#This Row],[Tot Tem]],-1,0)-TblConstr[[#This Row],[Dest Tem]]</f>
        <v>47</v>
      </c>
      <c r="BN133" s="207" t="n">
        <f aca="false" t="array" ref="BN133:BN133">IF(TblConstr[[#This Row],[Hour]:[Hour]]&gt;12,OFFSET(TblConstr[[#This Row],[WG]],-12,0),0)+OFFSET(TblConstr[[#This Row],[Tot WG]],-1,0)-TblConstr[[#This Row],[Dest WG]]</f>
        <v>0</v>
      </c>
      <c r="BO133" s="208" t="n">
        <f aca="false" t="array" ref="BO133:BO133">IF(TblConstr[[#This Row],[Hour]:[Hour]]&gt;12,OFFSET(TblConstr[[#This Row],[DM]],-12,0),0)+OFFSET(TblConstr[[#This Row],[Tot DM]],-1,0)-TblConstr[[#This Row],[Dest DM]]</f>
        <v>0</v>
      </c>
      <c r="BP133" s="208" t="n">
        <f aca="false" t="array" ref="BP133:BP133">IF(TblConstr[[#This Row],[Hour]:[Hour]]&gt;12,OFFSET(TblConstr[[#This Row],[Sch]],-12,0),0)+OFFSET(TblConstr[[#This Row],[Tot Sch]],-1,0)-TblConstr[[#This Row],[Dest Sch]]</f>
        <v>0</v>
      </c>
      <c r="BQ133" s="209" t="n">
        <f aca="false" t="array" ref="BQ133:BQ133">IF(TblConstr[[#This Row],[Hour]:[Hour]]&gt;12,OFFSET(TblConstr[[#This Row],[Doc]],-12,0),0)+OFFSET(TblConstr[[#This Row],[Tot Doc]],-1,0)-TblConstr[[#This Row],[Dest Doc]]</f>
        <v>24</v>
      </c>
      <c r="BR133" s="132"/>
      <c r="BS133" s="146"/>
      <c r="BT133" s="69" t="n">
        <f aca="false">TblConstr[[#This Row],[Land]]</f>
        <v>700</v>
      </c>
      <c r="BU133" s="153" t="n">
        <f aca="false">TblImps[[#This Row],[Time]]</f>
        <v>45435.125</v>
      </c>
      <c r="BV133" s="132"/>
      <c r="BW133" s="182"/>
      <c r="BX133" s="182"/>
      <c r="BY133" s="182"/>
      <c r="BZ133" s="182"/>
      <c r="CA133" s="182"/>
      <c r="CB133" s="182"/>
      <c r="CC133" s="182"/>
      <c r="CD133" s="182"/>
      <c r="CE133" s="182"/>
      <c r="CF133" s="182"/>
      <c r="CG133" s="182"/>
      <c r="CH133" s="182"/>
      <c r="CI133" s="182"/>
      <c r="CJ133" s="182"/>
      <c r="CK133" s="182"/>
      <c r="CL133" s="182"/>
      <c r="CM133" s="182"/>
      <c r="CN133" s="182"/>
      <c r="CO133" s="182"/>
      <c r="CP133" s="132"/>
      <c r="CQ133" s="192" t="n">
        <f aca="false">-SUM(TblConstr[[#This Row],[Alc]:[Mas]])+SUM(TblConstr[[#This Row],[Dest Alc]:[Dest Mas]])+Rezone!L133+IF("Ch_"&amp; home_land=TblConstr[[#Headers],[Ch_Plain]],TblConstr[[#This Row],[Home Land]])+IF(TblConstr[[#This Row],[Hour]:[Hour]]&gt;12,OFFSET(TblExplore[[#This Row],[Plains Explore]],-12,0),0)</f>
        <v>0</v>
      </c>
      <c r="CR133" s="193" t="n">
        <f aca="false">-SUM(TblConstr[[#This Row],[Ly]:[Hav]])+SUM(TblConstr[[#This Row],[Dest Ly]:[Dest Hav]]) +Rezone!M133 + IF("Ch_"&amp; home_land=TblConstr[[#Headers],[Ch_Forest]],TblConstr[[#This Row],[Home Land]])+IF(TblConstr[[#This Row],[Hour]:[Hour]]&gt;12,OFFSET(TblExplore[[#This Row],[Forest Explore]],-12,0),0)</f>
        <v>0</v>
      </c>
      <c r="CS133" s="200" t="n">
        <f aca="false">-SUM(TblConstr[[#This Row],[OM]:[GN]])+SUM(TblConstr[[#This Row],[Dest OM]:[Dest GN]]) +Rezone!N133 + IF("Ch_"&amp; home_land=TblConstr[[#Headers],[Ch_Mountain]],TblConstr[[#This Row],[Home Land]])+IF(TblConstr[[#This Row],[Hour]:[Hour]]&gt;12,OFFSET(TblExplore[[#This Row],[Mountain Explore]],-12,0),0)</f>
        <v>0</v>
      </c>
      <c r="CT133" s="195" t="n">
        <f aca="false">-SUM(TblConstr[[#This Row],[Fac]:[Shr]])+SUM(TblConstr[[#This Row],[Dest Fac]:[Dest Shr]]) +Rezone!O133 + IF("Ch_" &amp; home_land=TblConstr[[#Headers],[Ch_Hill]],TblConstr[[#This Row],[Home Land]])+IF(TblConstr[[#This Row],[Hour]:[Hour]]&gt;12,OFFSET(TblExplore[[#This Row],[Hill Explore]],-12,0),0)</f>
        <v>0</v>
      </c>
      <c r="CU133" s="196" t="n">
        <f aca="false">-SUM(TblConstr[[#This Row],[Tow]:[WG]])+SUM(TblConstr[[#This Row],[Dest Tow]:[Dest WG]]) +Rezone!P133 + IF("Ch_" &amp; home_land=TblConstr[[#Headers],[Ch_Swamp]],TblConstr[[#This Row],[Home Land]])+IF(TblConstr[[#This Row],[Hour]:[Hour]]&gt;12,OFFSET(TblExplore[[#This Row],[Swamp Explore]],-12,0),0)</f>
        <v>0</v>
      </c>
      <c r="CV133" s="197" t="n">
        <f aca="false">- SUM(TblConstr[[#This Row],[DM]:[Sch]])+SUM(TblConstr[[#This Row],[Dest DM]:[Dest Sch]]) +Rezone!Q133 + IF("Ch_" &amp; home_land=TblConstr[[#Headers],[Ch_Cavern]],TblConstr[[#This Row],[Home Land]])+IF(TblConstr[[#This Row],[Hour]:[Hour]]&gt;12,OFFSET(TblExplore[[#This Row],[Cavern Explore]],-12,0),0)</f>
        <v>0</v>
      </c>
      <c r="CW133" s="198" t="n">
        <f aca="false">-TblConstr[[#This Row],[Doc]]+TblConstr[[#This Row],[Dest Doc]] +Rezone!R133 + IF("Ch_" &amp; home_land=TblConstr[[#Headers],[Ch_Water]],TblConstr[[#This Row],[Home Land]])+IF(TblConstr[[#This Row],[Hour]:[Hour]]&gt;12,OFFSET(TblExplore[[#This Row],[Water Explore]],-12,0),0)</f>
        <v>0</v>
      </c>
      <c r="CX133" s="1" t="n">
        <f aca="false">IF(Explore!S133=1,20) - TblConstr[[#This Row],[Hom]] + TblConstr[[#This Row],[Dest Hom]]</f>
        <v>0</v>
      </c>
      <c r="CY133" s="132"/>
      <c r="CZ133" s="69" t="n">
        <f aca="false">G133+SUM(P122:S133)+SUM(AZ133:BC133)</f>
        <v>430</v>
      </c>
      <c r="DA133" s="69" t="n">
        <f aca="false">H133+SUM(T122:U133)+SUM(BD133:BE133)</f>
        <v>25</v>
      </c>
      <c r="DB133" s="1" t="n">
        <f aca="false">I133+SUM(V122:W133)+SUM(BF133:BG133)</f>
        <v>0</v>
      </c>
      <c r="DC133" s="69" t="n">
        <f aca="false">J133+SUM(X122:Y133)+SUM(BH133:BI133)</f>
        <v>55</v>
      </c>
      <c r="DD133" s="69" t="n">
        <f aca="false">K133+SUM(AB122:AD133)+SUM(BL133:BN133)</f>
        <v>76</v>
      </c>
      <c r="DE133" s="1" t="n">
        <f aca="false">L133+SUM(AE122:AE133)+BO133</f>
        <v>0</v>
      </c>
      <c r="DF133" s="69" t="n">
        <f aca="false">M133+SUM(AG122:AG133)+BQ133</f>
        <v>24</v>
      </c>
      <c r="DG133" s="69" t="e">
        <f aca="false" t="array" ref="DG133:DG133">INDEX(TblConstr[[Total Plain]:[Total Water]],ROW()-ROW(TblConstr[#headers]),MATCH("Total "&amp;home_land,TblConstr[[#Headers],[Total Plain]:[Total Water]],0))+TblConstr[[#This Row],[Homes]]</f>
        <v>#VALUE!</v>
      </c>
      <c r="DH133" s="1" t="n">
        <f aca="false">SUM(O122:O133)+AY133</f>
        <v>40</v>
      </c>
      <c r="DI133" s="1" t="n">
        <f aca="false">MAX(BA133-BA132,0)</f>
        <v>0</v>
      </c>
      <c r="DJ133" s="1" t="n">
        <f aca="false">MAX(BQ133-BQ132,0)</f>
        <v>0</v>
      </c>
    </row>
    <row r="134" customFormat="false" ht="12.75" hidden="false" customHeight="false" outlineLevel="0" collapsed="false">
      <c r="A134" s="170" t="n">
        <f aca="false">TblRezone[[#This Row],[Hour]]</f>
        <v>131</v>
      </c>
      <c r="B134" s="171" t="n">
        <f aca="false">SUM(TblConstr[[#This Row],[Plain]:[Water]])</f>
        <v>0</v>
      </c>
      <c r="C134" s="172" t="n">
        <f aca="false">SUM(TblConstr[[#This Row],[Tot Hom]:[Tot Doc]])</f>
        <v>700</v>
      </c>
      <c r="D134" s="172" t="n">
        <f aca="false">SUM(O123:AG134)</f>
        <v>0</v>
      </c>
      <c r="E134" s="173"/>
      <c r="F134" s="33" t="n">
        <f aca="false">TblConstr[[#This Row],[Barren]]+TblConstr[[#This Row],[Buildings]]+TblConstr[[#This Row],[Incoming]]</f>
        <v>700</v>
      </c>
      <c r="G134" s="199" t="n">
        <f aca="false">OFFSET(TblConstr[[#This Row],[Plain]],-1,0)+TblConstr[[#This Row],[Ch_Plain]]</f>
        <v>0</v>
      </c>
      <c r="H134" s="193" t="n">
        <f aca="false">OFFSET(TblConstr[[#This Row],[Forest]],-1,0)+TblConstr[[#This Row],[Ch_Forest]]</f>
        <v>0</v>
      </c>
      <c r="I134" s="200" t="n">
        <f aca="false">OFFSET(TblConstr[[#This Row],[Mountain]],-1,0)+TblConstr[[#This Row],[Ch_Mountain]]</f>
        <v>0</v>
      </c>
      <c r="J134" s="201" t="n">
        <f aca="false">OFFSET(TblConstr[[#This Row],[Hill]],-1,0)+TblConstr[[#This Row],[Ch_Hill]]</f>
        <v>0</v>
      </c>
      <c r="K134" s="202" t="n">
        <f aca="false">OFFSET(TblConstr[[#This Row],[Swamp]],-1,0)+TblConstr[[#This Row],[Ch_Swamp]]</f>
        <v>0</v>
      </c>
      <c r="L134" s="197" t="n">
        <f aca="false">OFFSET(TblConstr[[#This Row],[Cavern]],-1,0)+TblConstr[[#This Row],[Ch_Cavern]]</f>
        <v>0</v>
      </c>
      <c r="M134" s="198" t="n">
        <f aca="false">OFFSET(TblConstr[[#This Row],[Water]],-1,0)+TblConstr[[#This Row],[Ch_Water]]</f>
        <v>0</v>
      </c>
      <c r="N134" s="181" t="n">
        <f aca="false">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20" t="n">
        <f aca="false">TblImps[[#This Row],[Time]]</f>
        <v>45435.1666666667</v>
      </c>
      <c r="AI134" s="130" t="n">
        <f aca="false">MIN(25%,(TblConstr[[#This Row],[Tot Fac]]+TblConstr[[#This Row],[Dest Fac]])/(TblConstr[[#This Row],[Land]]-TblExplore[[#This Row],[Land Bonus]]*20))</f>
        <v>0</v>
      </c>
      <c r="AJ134" s="130" t="n">
        <f aca="false">MIN(25%,(TblConstr[[#This Row],[Tot Fac]]+TblConstr[[#This Row],[Dest Fac]])/TblConstr[[#This Row],[Land]])</f>
        <v>0</v>
      </c>
      <c r="AK134" s="69" t="n">
        <f aca="false">TblProd[[#This Row],[Platinum]]</f>
        <v>2146615</v>
      </c>
      <c r="AL134" s="69" t="n">
        <f aca="false">TblProd[[#This Row],[Lumber]]</f>
        <v>57539</v>
      </c>
      <c r="AM1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4" s="69" t="n">
        <f aca="false">ROUNDDOWN( MAX(1 - MIN(facs_constr_factor*TblConstr[[#This Row],[Facs -DB]],facs_constr_max) + tech_1_11*TblTech[[#This Row],[11-1]] + tech_6_3_2*TblTech[[#This Row],[6-3]] + tech_5_2_3*TblTech[[#This Row],[5-2]], 1-global_constr_cap) * TblConstr[[#This Row],[RCPA Lumber]],0)</f>
        <v>216</v>
      </c>
      <c r="AO1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4" s="69" t="n">
        <f aca="false">ROUNDDOWN( MAX(1 - MIN(facs_constr_factor*TblConstr[[#This Row],[Facs DB]],facs_constr_max) + tech_1_11*TblTech[[#This Row],[1-11]] + tech_6_3_2*TblTech[[#This Row],[6-3]] + tech_5_2_3*TblTech[[#This Row],[5-2]], 1-global_constr_cap) * ROUND((TblConstr[[#This Row],[Land]]-250)*0.285 + 87.5 + 0/4.25,0),0)</f>
        <v>216</v>
      </c>
      <c r="AQ134" s="1" t="n">
        <f aca="false">TblConstr[[#This Row],[build -db]]*TblConstr[[#This Row],[CPA Platinum -DB]] + TblConstr[[#This Row],[build db]]*TblConstr[[#This Row],[CPA Platinum DB]]</f>
        <v>0</v>
      </c>
      <c r="AR134" s="1" t="n">
        <f aca="false">TblConstr[[#This Row],[build -db]]*TblConstr[[#This Row],[CPA Lumber -DB]]+TblConstr[[#This Row],[build db]]*TblConstr[[#This Row],[CPA Lumber DB]]</f>
        <v>0</v>
      </c>
      <c r="AS134" s="69" t="n">
        <f aca="false">MIN(SUM(OFFSET(TblConstr[[#This Row],[Plain]:[Water]],-1,0))+SUM(TblConstr[[#This Row],[Dest Hom]:[Dest Doc]])+IF(TblConstr[[#This Row],[Hour]]&gt;12,SUM(OFFSET(TblExplore[[#This Row],[Plains Explore]:[Water Explore]],-12,0)),0),SUM(TblConstr[[#This Row],[Hom]:[Doc]]))</f>
        <v>0</v>
      </c>
      <c r="AT13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32"/>
      <c r="AV134" s="69" t="n">
        <f aca="false">ROUND((TblConstr[[#This Row],[Land]]-250 - IF(TblExplore[[#This Row],[Land Bonus]]&lt;&gt;0,20,0))*1.25 + 850 + 0,0)</f>
        <v>1413</v>
      </c>
      <c r="AW134" s="69" t="n">
        <f aca="false">ROUND((TblConstr[[#This Row],[Land]]-250 - IF(TblExplore[[#This Row],[Land Bonus]]&lt;&gt;0,20,0))*0.285 + 87.5 + 0/4.25,0)</f>
        <v>216</v>
      </c>
      <c r="AX134" s="146"/>
      <c r="AY134" s="203" t="n">
        <f aca="false" t="array" ref="AY134:AY134">IF(TblConstr[[#This Row],[Hour]:[Hour]]&gt;12,OFFSET(TblConstr[[#This Row],[Hom]],-12,0),0)+OFFSET(TblConstr[[#This Row],[Tot Hom]],-1,0)-TblConstr[[#This Row],[Dest Hom]]</f>
        <v>40</v>
      </c>
      <c r="AZ134" s="204" t="n">
        <f aca="false" t="array" ref="AZ134:AZ134">IF(TblConstr[[#This Row],[Hour]:[Hour]]&gt;12,OFFSET(TblConstr[[#This Row],[Alc]],-12,0),0)+OFFSET(TblConstr[[#This Row],[Tot Alc]],-1,0)-TblConstr[[#This Row],[Dest Alc]]</f>
        <v>275</v>
      </c>
      <c r="BA134" s="204" t="n">
        <f aca="false" t="array" ref="BA134:BA134">IF(TblConstr[[#This Row],[Hour]:[Hour]]&gt;12,OFFSET(TblConstr[[#This Row],[Far]],-12,0),0)+OFFSET(TblConstr[[#This Row],[Tot Farm]],-1,0)-TblConstr[[#This Row],[Dest Farm]]</f>
        <v>29</v>
      </c>
      <c r="BB134" s="204" t="n">
        <f aca="false" t="array" ref="BB134:BB134">IF(TblConstr[[#This Row],[Hour]:[Hour]]&gt;12,OFFSET(TblConstr[[#This Row],[Smi]],-12,0),0)+OFFSET(TblConstr[[#This Row],[Tot Smi]],-1,0)-TblConstr[[#This Row],[Dest Smi]]</f>
        <v>126</v>
      </c>
      <c r="BC134" s="204" t="n">
        <f aca="false" t="array" ref="BC134:BC134">IF(TblConstr[[#This Row],[Hour]:[Hour]]&gt;12,OFFSET(TblConstr[[#This Row],[Mas]],-12,0),0)+OFFSET(TblConstr[[#This Row],[Tot Mas]],-1,0)-TblConstr[[#This Row],[Dest Mas]]</f>
        <v>0</v>
      </c>
      <c r="BD134" s="205" t="n">
        <f aca="false" t="array" ref="BD134:BD134">IF(TblConstr[[#This Row],[Hour]:[Hour]]&gt;12,OFFSET(TblConstr[[#This Row],[Ly]],-12,0),0)+OFFSET(TblConstr[[#This Row],[Tot Ly]],-1,0)-TblConstr[[#This Row],[Dest Ly]]</f>
        <v>25</v>
      </c>
      <c r="BE134" s="205" t="n">
        <f aca="false" t="array" ref="BE134:BE134">IF(TblConstr[[#This Row],[Hour]:[Hour]]&gt;12,OFFSET(TblConstr[[#This Row],[Hav]],-12,0),0)+OFFSET(TblConstr[[#This Row],[Tot Hav]],-1,0)-TblConstr[[#This Row],[Dest Hav]]</f>
        <v>0</v>
      </c>
      <c r="BF134" s="194" t="n">
        <f aca="false" t="array" ref="BF134:BF134">IF(TblConstr[[#This Row],[Hour]:[Hour]]&gt;12,OFFSET(TblConstr[[#This Row],[OM]],-12,0),0)+OFFSET(TblConstr[[#This Row],[Tot OM]],-1,0)-TblConstr[[#This Row],[Dest OM]]</f>
        <v>0</v>
      </c>
      <c r="BG134" s="194" t="n">
        <f aca="false" t="array" ref="BG134:BG134">IF(TblConstr[[#This Row],[Hour]:[Hour]]&gt;12,OFFSET(TblConstr[[#This Row],[GN]],-12,0),0)+OFFSET(TblConstr[[#This Row],[Tot GN]],-1,0)-TblConstr[[#This Row],[Dest GN]]</f>
        <v>0</v>
      </c>
      <c r="BH134" s="206" t="n">
        <f aca="false" t="array" ref="BH134:BH134">IF(TblConstr[[#This Row],[Hour]:[Hour]]&gt;12,OFFSET(TblConstr[[#This Row],[Fac]],-12,0),0)+OFFSET(TblConstr[[#This Row],[Tot Fac]],-1,0)-TblConstr[[#This Row],[Dest Fac]]</f>
        <v>0</v>
      </c>
      <c r="BI134" s="206" t="n">
        <f aca="false" t="array" ref="BI134:BI134">IF(TblConstr[[#This Row],[Hour]:[Hour]]&gt;12,OFFSET(TblConstr[[#This Row],[GT]],-12,0),0)+OFFSET(TblConstr[[#This Row],[Tot GT]],-1,0)-TblConstr[[#This Row],[Dest GT]]</f>
        <v>55</v>
      </c>
      <c r="BJ134" s="206" t="n">
        <f aca="false" t="array" ref="BJ134:BJ134">IF(TblConstr[[#This Row],[Hour]:[Hour]]&gt;12,OFFSET(TblConstr[[#This Row],[Bar]],-12,0),0)+OFFSET(TblConstr[[#This Row],[Tot Bar]],-1,0)-TblConstr[[#This Row],[Dest Bar]]</f>
        <v>50</v>
      </c>
      <c r="BK134" s="206" t="n">
        <f aca="false" t="array" ref="BK134:BK134">IF(TblConstr[[#This Row],[Hour]:[Hour]]&gt;12,OFFSET(TblConstr[[#This Row],[Shr]],-12,0),0)+OFFSET(TblConstr[[#This Row],[Tot Shr]],-1,0)-TblConstr[[#This Row],[Dest Shr]]</f>
        <v>0</v>
      </c>
      <c r="BL134" s="207" t="n">
        <f aca="false" t="array" ref="BL134:BL134">IF(TblConstr[[#This Row],[Hour]:[Hour]]&gt;12,OFFSET(TblConstr[[#This Row],[Tow]],-12,0),0)+OFFSET(TblConstr[[#This Row],[Tot Tow]],-1,0)-TblConstr[[#This Row],[Dest Tow]]</f>
        <v>29</v>
      </c>
      <c r="BM134" s="207" t="n">
        <f aca="false" t="array" ref="BM134:BM134">IF(TblConstr[[#This Row],[Hour]:[Hour]]&gt;12,OFFSET(TblConstr[[#This Row],[Tem]],-12,0),0)+OFFSET(TblConstr[[#This Row],[Tot Tem]],-1,0)-TblConstr[[#This Row],[Dest Tem]]</f>
        <v>47</v>
      </c>
      <c r="BN134" s="207" t="n">
        <f aca="false" t="array" ref="BN134:BN134">IF(TblConstr[[#This Row],[Hour]:[Hour]]&gt;12,OFFSET(TblConstr[[#This Row],[WG]],-12,0),0)+OFFSET(TblConstr[[#This Row],[Tot WG]],-1,0)-TblConstr[[#This Row],[Dest WG]]</f>
        <v>0</v>
      </c>
      <c r="BO134" s="208" t="n">
        <f aca="false" t="array" ref="BO134:BO134">IF(TblConstr[[#This Row],[Hour]:[Hour]]&gt;12,OFFSET(TblConstr[[#This Row],[DM]],-12,0),0)+OFFSET(TblConstr[[#This Row],[Tot DM]],-1,0)-TblConstr[[#This Row],[Dest DM]]</f>
        <v>0</v>
      </c>
      <c r="BP134" s="208" t="n">
        <f aca="false" t="array" ref="BP134:BP134">IF(TblConstr[[#This Row],[Hour]:[Hour]]&gt;12,OFFSET(TblConstr[[#This Row],[Sch]],-12,0),0)+OFFSET(TblConstr[[#This Row],[Tot Sch]],-1,0)-TblConstr[[#This Row],[Dest Sch]]</f>
        <v>0</v>
      </c>
      <c r="BQ134" s="209" t="n">
        <f aca="false" t="array" ref="BQ134:BQ134">IF(TblConstr[[#This Row],[Hour]:[Hour]]&gt;12,OFFSET(TblConstr[[#This Row],[Doc]],-12,0),0)+OFFSET(TblConstr[[#This Row],[Tot Doc]],-1,0)-TblConstr[[#This Row],[Dest Doc]]</f>
        <v>24</v>
      </c>
      <c r="BR134" s="132"/>
      <c r="BS134" s="146"/>
      <c r="BT134" s="69" t="n">
        <f aca="false">TblConstr[[#This Row],[Land]]</f>
        <v>700</v>
      </c>
      <c r="BU134" s="153" t="n">
        <f aca="false">TblImps[[#This Row],[Time]]</f>
        <v>45435.1666666667</v>
      </c>
      <c r="BV134" s="132"/>
      <c r="BW134" s="182"/>
      <c r="BX134" s="182"/>
      <c r="BY134" s="182"/>
      <c r="BZ134" s="182"/>
      <c r="CA134" s="182"/>
      <c r="CB134" s="182"/>
      <c r="CC134" s="182"/>
      <c r="CD134" s="182"/>
      <c r="CE134" s="182"/>
      <c r="CF134" s="182"/>
      <c r="CG134" s="182"/>
      <c r="CH134" s="182"/>
      <c r="CI134" s="182"/>
      <c r="CJ134" s="182"/>
      <c r="CK134" s="182"/>
      <c r="CL134" s="182"/>
      <c r="CM134" s="182"/>
      <c r="CN134" s="182"/>
      <c r="CO134" s="182"/>
      <c r="CP134" s="132"/>
      <c r="CQ134" s="192" t="n">
        <f aca="false">-SUM(TblConstr[[#This Row],[Alc]:[Mas]])+SUM(TblConstr[[#This Row],[Dest Alc]:[Dest Mas]])+Rezone!L134+IF("Ch_"&amp; home_land=TblConstr[[#Headers],[Ch_Plain]],TblConstr[[#This Row],[Home Land]])+IF(TblConstr[[#This Row],[Hour]:[Hour]]&gt;12,OFFSET(TblExplore[[#This Row],[Plains Explore]],-12,0),0)</f>
        <v>0</v>
      </c>
      <c r="CR134" s="193" t="n">
        <f aca="false">-SUM(TblConstr[[#This Row],[Ly]:[Hav]])+SUM(TblConstr[[#This Row],[Dest Ly]:[Dest Hav]]) +Rezone!M134 + IF("Ch_"&amp; home_land=TblConstr[[#Headers],[Ch_Forest]],TblConstr[[#This Row],[Home Land]])+IF(TblConstr[[#This Row],[Hour]:[Hour]]&gt;12,OFFSET(TblExplore[[#This Row],[Forest Explore]],-12,0),0)</f>
        <v>0</v>
      </c>
      <c r="CS134" s="200" t="n">
        <f aca="false">-SUM(TblConstr[[#This Row],[OM]:[GN]])+SUM(TblConstr[[#This Row],[Dest OM]:[Dest GN]]) +Rezone!N134 + IF("Ch_"&amp; home_land=TblConstr[[#Headers],[Ch_Mountain]],TblConstr[[#This Row],[Home Land]])+IF(TblConstr[[#This Row],[Hour]:[Hour]]&gt;12,OFFSET(TblExplore[[#This Row],[Mountain Explore]],-12,0),0)</f>
        <v>0</v>
      </c>
      <c r="CT134" s="195" t="n">
        <f aca="false">-SUM(TblConstr[[#This Row],[Fac]:[Shr]])+SUM(TblConstr[[#This Row],[Dest Fac]:[Dest Shr]]) +Rezone!O134 + IF("Ch_" &amp; home_land=TblConstr[[#Headers],[Ch_Hill]],TblConstr[[#This Row],[Home Land]])+IF(TblConstr[[#This Row],[Hour]:[Hour]]&gt;12,OFFSET(TblExplore[[#This Row],[Hill Explore]],-12,0),0)</f>
        <v>0</v>
      </c>
      <c r="CU134" s="196" t="n">
        <f aca="false">-SUM(TblConstr[[#This Row],[Tow]:[WG]])+SUM(TblConstr[[#This Row],[Dest Tow]:[Dest WG]]) +Rezone!P134 + IF("Ch_" &amp; home_land=TblConstr[[#Headers],[Ch_Swamp]],TblConstr[[#This Row],[Home Land]])+IF(TblConstr[[#This Row],[Hour]:[Hour]]&gt;12,OFFSET(TblExplore[[#This Row],[Swamp Explore]],-12,0),0)</f>
        <v>0</v>
      </c>
      <c r="CV134" s="197" t="n">
        <f aca="false">- SUM(TblConstr[[#This Row],[DM]:[Sch]])+SUM(TblConstr[[#This Row],[Dest DM]:[Dest Sch]]) +Rezone!Q134 + IF("Ch_" &amp; home_land=TblConstr[[#Headers],[Ch_Cavern]],TblConstr[[#This Row],[Home Land]])+IF(TblConstr[[#This Row],[Hour]:[Hour]]&gt;12,OFFSET(TblExplore[[#This Row],[Cavern Explore]],-12,0),0)</f>
        <v>0</v>
      </c>
      <c r="CW134" s="198" t="n">
        <f aca="false">-TblConstr[[#This Row],[Doc]]+TblConstr[[#This Row],[Dest Doc]] +Rezone!R134 + IF("Ch_" &amp; home_land=TblConstr[[#Headers],[Ch_Water]],TblConstr[[#This Row],[Home Land]])+IF(TblConstr[[#This Row],[Hour]:[Hour]]&gt;12,OFFSET(TblExplore[[#This Row],[Water Explore]],-12,0),0)</f>
        <v>0</v>
      </c>
      <c r="CX134" s="1" t="n">
        <f aca="false">IF(Explore!S134=1,20) - TblConstr[[#This Row],[Hom]] + TblConstr[[#This Row],[Dest Hom]]</f>
        <v>0</v>
      </c>
      <c r="CY134" s="132"/>
      <c r="CZ134" s="69" t="n">
        <f aca="false">G134+SUM(P123:S134)+SUM(AZ134:BC134)</f>
        <v>430</v>
      </c>
      <c r="DA134" s="69" t="n">
        <f aca="false">H134+SUM(T123:U134)+SUM(BD134:BE134)</f>
        <v>25</v>
      </c>
      <c r="DB134" s="1" t="n">
        <f aca="false">I134+SUM(V123:W134)+SUM(BF134:BG134)</f>
        <v>0</v>
      </c>
      <c r="DC134" s="69" t="n">
        <f aca="false">J134+SUM(X123:Y134)+SUM(BH134:BI134)</f>
        <v>55</v>
      </c>
      <c r="DD134" s="69" t="n">
        <f aca="false">K134+SUM(AB123:AD134)+SUM(BL134:BN134)</f>
        <v>76</v>
      </c>
      <c r="DE134" s="1" t="n">
        <f aca="false">L134+SUM(AE123:AE134)+BO134</f>
        <v>0</v>
      </c>
      <c r="DF134" s="69" t="n">
        <f aca="false">M134+SUM(AG123:AG134)+BQ134</f>
        <v>24</v>
      </c>
      <c r="DG134" s="69" t="e">
        <f aca="false" t="array" ref="DG134:DG134">INDEX(TblConstr[[Total Plain]:[Total Water]],ROW()-ROW(TblConstr[#headers]),MATCH("Total "&amp;home_land,TblConstr[[#Headers],[Total Plain]:[Total Water]],0))+TblConstr[[#This Row],[Homes]]</f>
        <v>#VALUE!</v>
      </c>
      <c r="DH134" s="1" t="n">
        <f aca="false">SUM(O123:O134)+AY134</f>
        <v>40</v>
      </c>
      <c r="DI134" s="1" t="n">
        <f aca="false">MAX(BA134-BA133,0)</f>
        <v>0</v>
      </c>
      <c r="DJ134" s="1" t="n">
        <f aca="false">MAX(BQ134-BQ133,0)</f>
        <v>0</v>
      </c>
    </row>
    <row r="135" customFormat="false" ht="12.75" hidden="false" customHeight="false" outlineLevel="0" collapsed="false">
      <c r="A135" s="170" t="n">
        <f aca="false">TblRezone[[#This Row],[Hour]]</f>
        <v>132</v>
      </c>
      <c r="B135" s="171" t="n">
        <f aca="false">SUM(TblConstr[[#This Row],[Plain]:[Water]])</f>
        <v>0</v>
      </c>
      <c r="C135" s="172" t="n">
        <f aca="false">SUM(TblConstr[[#This Row],[Tot Hom]:[Tot Doc]])</f>
        <v>700</v>
      </c>
      <c r="D135" s="172" t="n">
        <f aca="false">SUM(O124:AG135)</f>
        <v>0</v>
      </c>
      <c r="E135" s="173"/>
      <c r="F135" s="33" t="n">
        <f aca="false">TblConstr[[#This Row],[Barren]]+TblConstr[[#This Row],[Buildings]]+TblConstr[[#This Row],[Incoming]]</f>
        <v>700</v>
      </c>
      <c r="G135" s="199" t="n">
        <f aca="false">OFFSET(TblConstr[[#This Row],[Plain]],-1,0)+TblConstr[[#This Row],[Ch_Plain]]</f>
        <v>0</v>
      </c>
      <c r="H135" s="193" t="n">
        <f aca="false">OFFSET(TblConstr[[#This Row],[Forest]],-1,0)+TblConstr[[#This Row],[Ch_Forest]]</f>
        <v>0</v>
      </c>
      <c r="I135" s="200" t="n">
        <f aca="false">OFFSET(TblConstr[[#This Row],[Mountain]],-1,0)+TblConstr[[#This Row],[Ch_Mountain]]</f>
        <v>0</v>
      </c>
      <c r="J135" s="201" t="n">
        <f aca="false">OFFSET(TblConstr[[#This Row],[Hill]],-1,0)+TblConstr[[#This Row],[Ch_Hill]]</f>
        <v>0</v>
      </c>
      <c r="K135" s="202" t="n">
        <f aca="false">OFFSET(TblConstr[[#This Row],[Swamp]],-1,0)+TblConstr[[#This Row],[Ch_Swamp]]</f>
        <v>0</v>
      </c>
      <c r="L135" s="197" t="n">
        <f aca="false">OFFSET(TblConstr[[#This Row],[Cavern]],-1,0)+TblConstr[[#This Row],[Ch_Cavern]]</f>
        <v>0</v>
      </c>
      <c r="M135" s="198" t="n">
        <f aca="false">OFFSET(TblConstr[[#This Row],[Water]],-1,0)+TblConstr[[#This Row],[Ch_Water]]</f>
        <v>0</v>
      </c>
      <c r="N135" s="181" t="n">
        <f aca="false">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20" t="n">
        <f aca="false">TblImps[[#This Row],[Time]]</f>
        <v>45435.2083333333</v>
      </c>
      <c r="AI135" s="130" t="n">
        <f aca="false">MIN(25%,(TblConstr[[#This Row],[Tot Fac]]+TblConstr[[#This Row],[Dest Fac]])/(TblConstr[[#This Row],[Land]]-TblExplore[[#This Row],[Land Bonus]]*20))</f>
        <v>0</v>
      </c>
      <c r="AJ135" s="130" t="n">
        <f aca="false">MIN(25%,(TblConstr[[#This Row],[Tot Fac]]+TblConstr[[#This Row],[Dest Fac]])/TblConstr[[#This Row],[Land]])</f>
        <v>0</v>
      </c>
      <c r="AK135" s="69" t="n">
        <f aca="false">TblProd[[#This Row],[Platinum]]</f>
        <v>2174085</v>
      </c>
      <c r="AL135" s="69" t="n">
        <f aca="false">TblProd[[#This Row],[Lumber]]</f>
        <v>58089</v>
      </c>
      <c r="AM1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5" s="69" t="n">
        <f aca="false">ROUNDDOWN( MAX(1 - MIN(facs_constr_factor*TblConstr[[#This Row],[Facs -DB]],facs_constr_max) + tech_1_11*TblTech[[#This Row],[11-1]] + tech_6_3_2*TblTech[[#This Row],[6-3]] + tech_5_2_3*TblTech[[#This Row],[5-2]], 1-global_constr_cap) * TblConstr[[#This Row],[RCPA Lumber]],0)</f>
        <v>216</v>
      </c>
      <c r="AO1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5" s="69" t="n">
        <f aca="false">ROUNDDOWN( MAX(1 - MIN(facs_constr_factor*TblConstr[[#This Row],[Facs DB]],facs_constr_max) + tech_1_11*TblTech[[#This Row],[1-11]] + tech_6_3_2*TblTech[[#This Row],[6-3]] + tech_5_2_3*TblTech[[#This Row],[5-2]], 1-global_constr_cap) * ROUND((TblConstr[[#This Row],[Land]]-250)*0.285 + 87.5 + 0/4.25,0),0)</f>
        <v>216</v>
      </c>
      <c r="AQ135" s="1" t="n">
        <f aca="false">TblConstr[[#This Row],[build -db]]*TblConstr[[#This Row],[CPA Platinum -DB]] + TblConstr[[#This Row],[build db]]*TblConstr[[#This Row],[CPA Platinum DB]]</f>
        <v>0</v>
      </c>
      <c r="AR135" s="1" t="n">
        <f aca="false">TblConstr[[#This Row],[build -db]]*TblConstr[[#This Row],[CPA Lumber -DB]]+TblConstr[[#This Row],[build db]]*TblConstr[[#This Row],[CPA Lumber DB]]</f>
        <v>0</v>
      </c>
      <c r="AS135" s="69" t="n">
        <f aca="false">MIN(SUM(OFFSET(TblConstr[[#This Row],[Plain]:[Water]],-1,0))+SUM(TblConstr[[#This Row],[Dest Hom]:[Dest Doc]])+IF(TblConstr[[#This Row],[Hour]]&gt;12,SUM(OFFSET(TblExplore[[#This Row],[Plains Explore]:[Water Explore]],-12,0)),0),SUM(TblConstr[[#This Row],[Hom]:[Doc]]))</f>
        <v>0</v>
      </c>
      <c r="AT13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32"/>
      <c r="AV135" s="69" t="n">
        <f aca="false">ROUND((TblConstr[[#This Row],[Land]]-250 - IF(TblExplore[[#This Row],[Land Bonus]]&lt;&gt;0,20,0))*1.25 + 850 + 0,0)</f>
        <v>1413</v>
      </c>
      <c r="AW135" s="69" t="n">
        <f aca="false">ROUND((TblConstr[[#This Row],[Land]]-250 - IF(TblExplore[[#This Row],[Land Bonus]]&lt;&gt;0,20,0))*0.285 + 87.5 + 0/4.25,0)</f>
        <v>216</v>
      </c>
      <c r="AX135" s="146"/>
      <c r="AY135" s="203" t="n">
        <f aca="false" t="array" ref="AY135:AY135">IF(TblConstr[[#This Row],[Hour]:[Hour]]&gt;12,OFFSET(TblConstr[[#This Row],[Hom]],-12,0),0)+OFFSET(TblConstr[[#This Row],[Tot Hom]],-1,0)-TblConstr[[#This Row],[Dest Hom]]</f>
        <v>40</v>
      </c>
      <c r="AZ135" s="204" t="n">
        <f aca="false" t="array" ref="AZ135:AZ135">IF(TblConstr[[#This Row],[Hour]:[Hour]]&gt;12,OFFSET(TblConstr[[#This Row],[Alc]],-12,0),0)+OFFSET(TblConstr[[#This Row],[Tot Alc]],-1,0)-TblConstr[[#This Row],[Dest Alc]]</f>
        <v>275</v>
      </c>
      <c r="BA135" s="204" t="n">
        <f aca="false" t="array" ref="BA135:BA135">IF(TblConstr[[#This Row],[Hour]:[Hour]]&gt;12,OFFSET(TblConstr[[#This Row],[Far]],-12,0),0)+OFFSET(TblConstr[[#This Row],[Tot Farm]],-1,0)-TblConstr[[#This Row],[Dest Farm]]</f>
        <v>29</v>
      </c>
      <c r="BB135" s="204" t="n">
        <f aca="false" t="array" ref="BB135:BB135">IF(TblConstr[[#This Row],[Hour]:[Hour]]&gt;12,OFFSET(TblConstr[[#This Row],[Smi]],-12,0),0)+OFFSET(TblConstr[[#This Row],[Tot Smi]],-1,0)-TblConstr[[#This Row],[Dest Smi]]</f>
        <v>126</v>
      </c>
      <c r="BC135" s="204" t="n">
        <f aca="false" t="array" ref="BC135:BC135">IF(TblConstr[[#This Row],[Hour]:[Hour]]&gt;12,OFFSET(TblConstr[[#This Row],[Mas]],-12,0),0)+OFFSET(TblConstr[[#This Row],[Tot Mas]],-1,0)-TblConstr[[#This Row],[Dest Mas]]</f>
        <v>0</v>
      </c>
      <c r="BD135" s="205" t="n">
        <f aca="false" t="array" ref="BD135:BD135">IF(TblConstr[[#This Row],[Hour]:[Hour]]&gt;12,OFFSET(TblConstr[[#This Row],[Ly]],-12,0),0)+OFFSET(TblConstr[[#This Row],[Tot Ly]],-1,0)-TblConstr[[#This Row],[Dest Ly]]</f>
        <v>25</v>
      </c>
      <c r="BE135" s="205" t="n">
        <f aca="false" t="array" ref="BE135:BE135">IF(TblConstr[[#This Row],[Hour]:[Hour]]&gt;12,OFFSET(TblConstr[[#This Row],[Hav]],-12,0),0)+OFFSET(TblConstr[[#This Row],[Tot Hav]],-1,0)-TblConstr[[#This Row],[Dest Hav]]</f>
        <v>0</v>
      </c>
      <c r="BF135" s="194" t="n">
        <f aca="false" t="array" ref="BF135:BF135">IF(TblConstr[[#This Row],[Hour]:[Hour]]&gt;12,OFFSET(TblConstr[[#This Row],[OM]],-12,0),0)+OFFSET(TblConstr[[#This Row],[Tot OM]],-1,0)-TblConstr[[#This Row],[Dest OM]]</f>
        <v>0</v>
      </c>
      <c r="BG135" s="194" t="n">
        <f aca="false" t="array" ref="BG135:BG135">IF(TblConstr[[#This Row],[Hour]:[Hour]]&gt;12,OFFSET(TblConstr[[#This Row],[GN]],-12,0),0)+OFFSET(TblConstr[[#This Row],[Tot GN]],-1,0)-TblConstr[[#This Row],[Dest GN]]</f>
        <v>0</v>
      </c>
      <c r="BH135" s="206" t="n">
        <f aca="false" t="array" ref="BH135:BH135">IF(TblConstr[[#This Row],[Hour]:[Hour]]&gt;12,OFFSET(TblConstr[[#This Row],[Fac]],-12,0),0)+OFFSET(TblConstr[[#This Row],[Tot Fac]],-1,0)-TblConstr[[#This Row],[Dest Fac]]</f>
        <v>0</v>
      </c>
      <c r="BI135" s="206" t="n">
        <f aca="false" t="array" ref="BI135:BI135">IF(TblConstr[[#This Row],[Hour]:[Hour]]&gt;12,OFFSET(TblConstr[[#This Row],[GT]],-12,0),0)+OFFSET(TblConstr[[#This Row],[Tot GT]],-1,0)-TblConstr[[#This Row],[Dest GT]]</f>
        <v>55</v>
      </c>
      <c r="BJ135" s="206" t="n">
        <f aca="false" t="array" ref="BJ135:BJ135">IF(TblConstr[[#This Row],[Hour]:[Hour]]&gt;12,OFFSET(TblConstr[[#This Row],[Bar]],-12,0),0)+OFFSET(TblConstr[[#This Row],[Tot Bar]],-1,0)-TblConstr[[#This Row],[Dest Bar]]</f>
        <v>50</v>
      </c>
      <c r="BK135" s="206" t="n">
        <f aca="false" t="array" ref="BK135:BK135">IF(TblConstr[[#This Row],[Hour]:[Hour]]&gt;12,OFFSET(TblConstr[[#This Row],[Shr]],-12,0),0)+OFFSET(TblConstr[[#This Row],[Tot Shr]],-1,0)-TblConstr[[#This Row],[Dest Shr]]</f>
        <v>0</v>
      </c>
      <c r="BL135" s="207" t="n">
        <f aca="false" t="array" ref="BL135:BL135">IF(TblConstr[[#This Row],[Hour]:[Hour]]&gt;12,OFFSET(TblConstr[[#This Row],[Tow]],-12,0),0)+OFFSET(TblConstr[[#This Row],[Tot Tow]],-1,0)-TblConstr[[#This Row],[Dest Tow]]</f>
        <v>29</v>
      </c>
      <c r="BM135" s="207" t="n">
        <f aca="false" t="array" ref="BM135:BM135">IF(TblConstr[[#This Row],[Hour]:[Hour]]&gt;12,OFFSET(TblConstr[[#This Row],[Tem]],-12,0),0)+OFFSET(TblConstr[[#This Row],[Tot Tem]],-1,0)-TblConstr[[#This Row],[Dest Tem]]</f>
        <v>47</v>
      </c>
      <c r="BN135" s="207" t="n">
        <f aca="false" t="array" ref="BN135:BN135">IF(TblConstr[[#This Row],[Hour]:[Hour]]&gt;12,OFFSET(TblConstr[[#This Row],[WG]],-12,0),0)+OFFSET(TblConstr[[#This Row],[Tot WG]],-1,0)-TblConstr[[#This Row],[Dest WG]]</f>
        <v>0</v>
      </c>
      <c r="BO135" s="208" t="n">
        <f aca="false" t="array" ref="BO135:BO135">IF(TblConstr[[#This Row],[Hour]:[Hour]]&gt;12,OFFSET(TblConstr[[#This Row],[DM]],-12,0),0)+OFFSET(TblConstr[[#This Row],[Tot DM]],-1,0)-TblConstr[[#This Row],[Dest DM]]</f>
        <v>0</v>
      </c>
      <c r="BP135" s="208" t="n">
        <f aca="false" t="array" ref="BP135:BP135">IF(TblConstr[[#This Row],[Hour]:[Hour]]&gt;12,OFFSET(TblConstr[[#This Row],[Sch]],-12,0),0)+OFFSET(TblConstr[[#This Row],[Tot Sch]],-1,0)-TblConstr[[#This Row],[Dest Sch]]</f>
        <v>0</v>
      </c>
      <c r="BQ135" s="209" t="n">
        <f aca="false" t="array" ref="BQ135:BQ135">IF(TblConstr[[#This Row],[Hour]:[Hour]]&gt;12,OFFSET(TblConstr[[#This Row],[Doc]],-12,0),0)+OFFSET(TblConstr[[#This Row],[Tot Doc]],-1,0)-TblConstr[[#This Row],[Dest Doc]]</f>
        <v>24</v>
      </c>
      <c r="BR135" s="132"/>
      <c r="BS135" s="146"/>
      <c r="BT135" s="69" t="n">
        <f aca="false">TblConstr[[#This Row],[Land]]</f>
        <v>700</v>
      </c>
      <c r="BU135" s="153" t="n">
        <f aca="false">TblImps[[#This Row],[Time]]</f>
        <v>45435.2083333333</v>
      </c>
      <c r="BV135" s="132"/>
      <c r="BW135" s="182"/>
      <c r="BX135" s="182"/>
      <c r="BY135" s="182"/>
      <c r="BZ135" s="182"/>
      <c r="CA135" s="182"/>
      <c r="CB135" s="182"/>
      <c r="CC135" s="182"/>
      <c r="CD135" s="182"/>
      <c r="CE135" s="182"/>
      <c r="CF135" s="182"/>
      <c r="CG135" s="182"/>
      <c r="CH135" s="182"/>
      <c r="CI135" s="182"/>
      <c r="CJ135" s="182"/>
      <c r="CK135" s="182"/>
      <c r="CL135" s="182"/>
      <c r="CM135" s="182"/>
      <c r="CN135" s="182"/>
      <c r="CO135" s="182"/>
      <c r="CP135" s="132"/>
      <c r="CQ135" s="192" t="n">
        <f aca="false">-SUM(TblConstr[[#This Row],[Alc]:[Mas]])+SUM(TblConstr[[#This Row],[Dest Alc]:[Dest Mas]])+Rezone!L135+IF("Ch_"&amp; home_land=TblConstr[[#Headers],[Ch_Plain]],TblConstr[[#This Row],[Home Land]])+IF(TblConstr[[#This Row],[Hour]:[Hour]]&gt;12,OFFSET(TblExplore[[#This Row],[Plains Explore]],-12,0),0)</f>
        <v>0</v>
      </c>
      <c r="CR135" s="193" t="n">
        <f aca="false">-SUM(TblConstr[[#This Row],[Ly]:[Hav]])+SUM(TblConstr[[#This Row],[Dest Ly]:[Dest Hav]]) +Rezone!M135 + IF("Ch_"&amp; home_land=TblConstr[[#Headers],[Ch_Forest]],TblConstr[[#This Row],[Home Land]])+IF(TblConstr[[#This Row],[Hour]:[Hour]]&gt;12,OFFSET(TblExplore[[#This Row],[Forest Explore]],-12,0),0)</f>
        <v>0</v>
      </c>
      <c r="CS135" s="200" t="n">
        <f aca="false">-SUM(TblConstr[[#This Row],[OM]:[GN]])+SUM(TblConstr[[#This Row],[Dest OM]:[Dest GN]]) +Rezone!N135 + IF("Ch_"&amp; home_land=TblConstr[[#Headers],[Ch_Mountain]],TblConstr[[#This Row],[Home Land]])+IF(TblConstr[[#This Row],[Hour]:[Hour]]&gt;12,OFFSET(TblExplore[[#This Row],[Mountain Explore]],-12,0),0)</f>
        <v>0</v>
      </c>
      <c r="CT135" s="195" t="n">
        <f aca="false">-SUM(TblConstr[[#This Row],[Fac]:[Shr]])+SUM(TblConstr[[#This Row],[Dest Fac]:[Dest Shr]]) +Rezone!O135 + IF("Ch_" &amp; home_land=TblConstr[[#Headers],[Ch_Hill]],TblConstr[[#This Row],[Home Land]])+IF(TblConstr[[#This Row],[Hour]:[Hour]]&gt;12,OFFSET(TblExplore[[#This Row],[Hill Explore]],-12,0),0)</f>
        <v>0</v>
      </c>
      <c r="CU135" s="196" t="n">
        <f aca="false">-SUM(TblConstr[[#This Row],[Tow]:[WG]])+SUM(TblConstr[[#This Row],[Dest Tow]:[Dest WG]]) +Rezone!P135 + IF("Ch_" &amp; home_land=TblConstr[[#Headers],[Ch_Swamp]],TblConstr[[#This Row],[Home Land]])+IF(TblConstr[[#This Row],[Hour]:[Hour]]&gt;12,OFFSET(TblExplore[[#This Row],[Swamp Explore]],-12,0),0)</f>
        <v>0</v>
      </c>
      <c r="CV135" s="197" t="n">
        <f aca="false">- SUM(TblConstr[[#This Row],[DM]:[Sch]])+SUM(TblConstr[[#This Row],[Dest DM]:[Dest Sch]]) +Rezone!Q135 + IF("Ch_" &amp; home_land=TblConstr[[#Headers],[Ch_Cavern]],TblConstr[[#This Row],[Home Land]])+IF(TblConstr[[#This Row],[Hour]:[Hour]]&gt;12,OFFSET(TblExplore[[#This Row],[Cavern Explore]],-12,0),0)</f>
        <v>0</v>
      </c>
      <c r="CW135" s="198" t="n">
        <f aca="false">-TblConstr[[#This Row],[Doc]]+TblConstr[[#This Row],[Dest Doc]] +Rezone!R135 + IF("Ch_" &amp; home_land=TblConstr[[#Headers],[Ch_Water]],TblConstr[[#This Row],[Home Land]])+IF(TblConstr[[#This Row],[Hour]:[Hour]]&gt;12,OFFSET(TblExplore[[#This Row],[Water Explore]],-12,0),0)</f>
        <v>0</v>
      </c>
      <c r="CX135" s="1" t="n">
        <f aca="false">IF(Explore!S135=1,20) - TblConstr[[#This Row],[Hom]] + TblConstr[[#This Row],[Dest Hom]]</f>
        <v>0</v>
      </c>
      <c r="CY135" s="132"/>
      <c r="CZ135" s="69" t="n">
        <f aca="false">G135+SUM(P124:S135)+SUM(AZ135:BC135)</f>
        <v>430</v>
      </c>
      <c r="DA135" s="69" t="n">
        <f aca="false">H135+SUM(T124:U135)+SUM(BD135:BE135)</f>
        <v>25</v>
      </c>
      <c r="DB135" s="1" t="n">
        <f aca="false">I135+SUM(V124:W135)+SUM(BF135:BG135)</f>
        <v>0</v>
      </c>
      <c r="DC135" s="69" t="n">
        <f aca="false">J135+SUM(X124:Y135)+SUM(BH135:BI135)</f>
        <v>55</v>
      </c>
      <c r="DD135" s="69" t="n">
        <f aca="false">K135+SUM(AB124:AD135)+SUM(BL135:BN135)</f>
        <v>76</v>
      </c>
      <c r="DE135" s="1" t="n">
        <f aca="false">L135+SUM(AE124:AE135)+BO135</f>
        <v>0</v>
      </c>
      <c r="DF135" s="69" t="n">
        <f aca="false">M135+SUM(AG124:AG135)+BQ135</f>
        <v>24</v>
      </c>
      <c r="DG135" s="69" t="e">
        <f aca="false" t="array" ref="DG135:DG135">INDEX(TblConstr[[Total Plain]:[Total Water]],ROW()-ROW(TblConstr[#headers]),MATCH("Total "&amp;home_land,TblConstr[[#Headers],[Total Plain]:[Total Water]],0))+TblConstr[[#This Row],[Homes]]</f>
        <v>#VALUE!</v>
      </c>
      <c r="DH135" s="1" t="n">
        <f aca="false">SUM(O124:O135)+AY135</f>
        <v>40</v>
      </c>
      <c r="DI135" s="1" t="n">
        <f aca="false">MAX(BA135-BA134,0)</f>
        <v>0</v>
      </c>
      <c r="DJ135" s="1" t="n">
        <f aca="false">MAX(BQ135-BQ134,0)</f>
        <v>0</v>
      </c>
    </row>
    <row r="136" customFormat="false" ht="12.75" hidden="false" customHeight="false" outlineLevel="0" collapsed="false">
      <c r="A136" s="170" t="n">
        <f aca="false">TblRezone[[#This Row],[Hour]]</f>
        <v>133</v>
      </c>
      <c r="B136" s="171" t="n">
        <f aca="false">SUM(TblConstr[[#This Row],[Plain]:[Water]])</f>
        <v>0</v>
      </c>
      <c r="C136" s="172" t="n">
        <f aca="false">SUM(TblConstr[[#This Row],[Tot Hom]:[Tot Doc]])</f>
        <v>700</v>
      </c>
      <c r="D136" s="172" t="n">
        <f aca="false">SUM(O125:AG136)</f>
        <v>0</v>
      </c>
      <c r="E136" s="173"/>
      <c r="F136" s="33" t="n">
        <f aca="false">TblConstr[[#This Row],[Barren]]+TblConstr[[#This Row],[Buildings]]+TblConstr[[#This Row],[Incoming]]</f>
        <v>700</v>
      </c>
      <c r="G136" s="199" t="n">
        <f aca="false">OFFSET(TblConstr[[#This Row],[Plain]],-1,0)+TblConstr[[#This Row],[Ch_Plain]]</f>
        <v>0</v>
      </c>
      <c r="H136" s="193" t="n">
        <f aca="false">OFFSET(TblConstr[[#This Row],[Forest]],-1,0)+TblConstr[[#This Row],[Ch_Forest]]</f>
        <v>0</v>
      </c>
      <c r="I136" s="200" t="n">
        <f aca="false">OFFSET(TblConstr[[#This Row],[Mountain]],-1,0)+TblConstr[[#This Row],[Ch_Mountain]]</f>
        <v>0</v>
      </c>
      <c r="J136" s="201" t="n">
        <f aca="false">OFFSET(TblConstr[[#This Row],[Hill]],-1,0)+TblConstr[[#This Row],[Ch_Hill]]</f>
        <v>0</v>
      </c>
      <c r="K136" s="202" t="n">
        <f aca="false">OFFSET(TblConstr[[#This Row],[Swamp]],-1,0)+TblConstr[[#This Row],[Ch_Swamp]]</f>
        <v>0</v>
      </c>
      <c r="L136" s="197" t="n">
        <f aca="false">OFFSET(TblConstr[[#This Row],[Cavern]],-1,0)+TblConstr[[#This Row],[Ch_Cavern]]</f>
        <v>0</v>
      </c>
      <c r="M136" s="198" t="n">
        <f aca="false">OFFSET(TblConstr[[#This Row],[Water]],-1,0)+TblConstr[[#This Row],[Ch_Water]]</f>
        <v>0</v>
      </c>
      <c r="N136" s="181" t="n">
        <f aca="false">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20" t="n">
        <f aca="false">TblImps[[#This Row],[Time]]</f>
        <v>45435.25</v>
      </c>
      <c r="AI136" s="130" t="n">
        <f aca="false">MIN(25%,(TblConstr[[#This Row],[Tot Fac]]+TblConstr[[#This Row],[Dest Fac]])/(TblConstr[[#This Row],[Land]]-TblExplore[[#This Row],[Land Bonus]]*20))</f>
        <v>0</v>
      </c>
      <c r="AJ136" s="130" t="n">
        <f aca="false">MIN(25%,(TblConstr[[#This Row],[Tot Fac]]+TblConstr[[#This Row],[Dest Fac]])/TblConstr[[#This Row],[Land]])</f>
        <v>0</v>
      </c>
      <c r="AK136" s="69" t="n">
        <f aca="false">TblProd[[#This Row],[Platinum]]</f>
        <v>2201404</v>
      </c>
      <c r="AL136" s="69" t="n">
        <f aca="false">TblProd[[#This Row],[Lumber]]</f>
        <v>58633</v>
      </c>
      <c r="AM1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6" s="69" t="n">
        <f aca="false">ROUNDDOWN( MAX(1 - MIN(facs_constr_factor*TblConstr[[#This Row],[Facs -DB]],facs_constr_max) + tech_1_11*TblTech[[#This Row],[11-1]] + tech_6_3_2*TblTech[[#This Row],[6-3]] + tech_5_2_3*TblTech[[#This Row],[5-2]], 1-global_constr_cap) * TblConstr[[#This Row],[RCPA Lumber]],0)</f>
        <v>216</v>
      </c>
      <c r="AO1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6" s="69" t="n">
        <f aca="false">ROUNDDOWN( MAX(1 - MIN(facs_constr_factor*TblConstr[[#This Row],[Facs DB]],facs_constr_max) + tech_1_11*TblTech[[#This Row],[1-11]] + tech_6_3_2*TblTech[[#This Row],[6-3]] + tech_5_2_3*TblTech[[#This Row],[5-2]], 1-global_constr_cap) * ROUND((TblConstr[[#This Row],[Land]]-250)*0.285 + 87.5 + 0/4.25,0),0)</f>
        <v>216</v>
      </c>
      <c r="AQ136" s="1" t="n">
        <f aca="false">TblConstr[[#This Row],[build -db]]*TblConstr[[#This Row],[CPA Platinum -DB]] + TblConstr[[#This Row],[build db]]*TblConstr[[#This Row],[CPA Platinum DB]]</f>
        <v>0</v>
      </c>
      <c r="AR136" s="1" t="n">
        <f aca="false">TblConstr[[#This Row],[build -db]]*TblConstr[[#This Row],[CPA Lumber -DB]]+TblConstr[[#This Row],[build db]]*TblConstr[[#This Row],[CPA Lumber DB]]</f>
        <v>0</v>
      </c>
      <c r="AS136" s="69" t="n">
        <f aca="false">MIN(SUM(OFFSET(TblConstr[[#This Row],[Plain]:[Water]],-1,0))+SUM(TblConstr[[#This Row],[Dest Hom]:[Dest Doc]])+IF(TblConstr[[#This Row],[Hour]]&gt;12,SUM(OFFSET(TblExplore[[#This Row],[Plains Explore]:[Water Explore]],-12,0)),0),SUM(TblConstr[[#This Row],[Hom]:[Doc]]))</f>
        <v>0</v>
      </c>
      <c r="AT13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32"/>
      <c r="AV136" s="69" t="n">
        <f aca="false">ROUND((TblConstr[[#This Row],[Land]]-250 - IF(TblExplore[[#This Row],[Land Bonus]]&lt;&gt;0,20,0))*1.25 + 850 + 0,0)</f>
        <v>1413</v>
      </c>
      <c r="AW136" s="69" t="n">
        <f aca="false">ROUND((TblConstr[[#This Row],[Land]]-250 - IF(TblExplore[[#This Row],[Land Bonus]]&lt;&gt;0,20,0))*0.285 + 87.5 + 0/4.25,0)</f>
        <v>216</v>
      </c>
      <c r="AX136" s="146"/>
      <c r="AY136" s="203" t="n">
        <f aca="false" t="array" ref="AY136:AY136">IF(TblConstr[[#This Row],[Hour]:[Hour]]&gt;12,OFFSET(TblConstr[[#This Row],[Hom]],-12,0),0)+OFFSET(TblConstr[[#This Row],[Tot Hom]],-1,0)-TblConstr[[#This Row],[Dest Hom]]</f>
        <v>40</v>
      </c>
      <c r="AZ136" s="204" t="n">
        <f aca="false" t="array" ref="AZ136:AZ136">IF(TblConstr[[#This Row],[Hour]:[Hour]]&gt;12,OFFSET(TblConstr[[#This Row],[Alc]],-12,0),0)+OFFSET(TblConstr[[#This Row],[Tot Alc]],-1,0)-TblConstr[[#This Row],[Dest Alc]]</f>
        <v>275</v>
      </c>
      <c r="BA136" s="204" t="n">
        <f aca="false" t="array" ref="BA136:BA136">IF(TblConstr[[#This Row],[Hour]:[Hour]]&gt;12,OFFSET(TblConstr[[#This Row],[Far]],-12,0),0)+OFFSET(TblConstr[[#This Row],[Tot Farm]],-1,0)-TblConstr[[#This Row],[Dest Farm]]</f>
        <v>29</v>
      </c>
      <c r="BB136" s="204" t="n">
        <f aca="false" t="array" ref="BB136:BB136">IF(TblConstr[[#This Row],[Hour]:[Hour]]&gt;12,OFFSET(TblConstr[[#This Row],[Smi]],-12,0),0)+OFFSET(TblConstr[[#This Row],[Tot Smi]],-1,0)-TblConstr[[#This Row],[Dest Smi]]</f>
        <v>126</v>
      </c>
      <c r="BC136" s="204" t="n">
        <f aca="false" t="array" ref="BC136:BC136">IF(TblConstr[[#This Row],[Hour]:[Hour]]&gt;12,OFFSET(TblConstr[[#This Row],[Mas]],-12,0),0)+OFFSET(TblConstr[[#This Row],[Tot Mas]],-1,0)-TblConstr[[#This Row],[Dest Mas]]</f>
        <v>0</v>
      </c>
      <c r="BD136" s="205" t="n">
        <f aca="false" t="array" ref="BD136:BD136">IF(TblConstr[[#This Row],[Hour]:[Hour]]&gt;12,OFFSET(TblConstr[[#This Row],[Ly]],-12,0),0)+OFFSET(TblConstr[[#This Row],[Tot Ly]],-1,0)-TblConstr[[#This Row],[Dest Ly]]</f>
        <v>25</v>
      </c>
      <c r="BE136" s="205" t="n">
        <f aca="false" t="array" ref="BE136:BE136">IF(TblConstr[[#This Row],[Hour]:[Hour]]&gt;12,OFFSET(TblConstr[[#This Row],[Hav]],-12,0),0)+OFFSET(TblConstr[[#This Row],[Tot Hav]],-1,0)-TblConstr[[#This Row],[Dest Hav]]</f>
        <v>0</v>
      </c>
      <c r="BF136" s="194" t="n">
        <f aca="false" t="array" ref="BF136:BF136">IF(TblConstr[[#This Row],[Hour]:[Hour]]&gt;12,OFFSET(TblConstr[[#This Row],[OM]],-12,0),0)+OFFSET(TblConstr[[#This Row],[Tot OM]],-1,0)-TblConstr[[#This Row],[Dest OM]]</f>
        <v>0</v>
      </c>
      <c r="BG136" s="194" t="n">
        <f aca="false" t="array" ref="BG136:BG136">IF(TblConstr[[#This Row],[Hour]:[Hour]]&gt;12,OFFSET(TblConstr[[#This Row],[GN]],-12,0),0)+OFFSET(TblConstr[[#This Row],[Tot GN]],-1,0)-TblConstr[[#This Row],[Dest GN]]</f>
        <v>0</v>
      </c>
      <c r="BH136" s="206" t="n">
        <f aca="false" t="array" ref="BH136:BH136">IF(TblConstr[[#This Row],[Hour]:[Hour]]&gt;12,OFFSET(TblConstr[[#This Row],[Fac]],-12,0),0)+OFFSET(TblConstr[[#This Row],[Tot Fac]],-1,0)-TblConstr[[#This Row],[Dest Fac]]</f>
        <v>0</v>
      </c>
      <c r="BI136" s="206" t="n">
        <f aca="false" t="array" ref="BI136:BI136">IF(TblConstr[[#This Row],[Hour]:[Hour]]&gt;12,OFFSET(TblConstr[[#This Row],[GT]],-12,0),0)+OFFSET(TblConstr[[#This Row],[Tot GT]],-1,0)-TblConstr[[#This Row],[Dest GT]]</f>
        <v>55</v>
      </c>
      <c r="BJ136" s="206" t="n">
        <f aca="false" t="array" ref="BJ136:BJ136">IF(TblConstr[[#This Row],[Hour]:[Hour]]&gt;12,OFFSET(TblConstr[[#This Row],[Bar]],-12,0),0)+OFFSET(TblConstr[[#This Row],[Tot Bar]],-1,0)-TblConstr[[#This Row],[Dest Bar]]</f>
        <v>50</v>
      </c>
      <c r="BK136" s="206" t="n">
        <f aca="false" t="array" ref="BK136:BK136">IF(TblConstr[[#This Row],[Hour]:[Hour]]&gt;12,OFFSET(TblConstr[[#This Row],[Shr]],-12,0),0)+OFFSET(TblConstr[[#This Row],[Tot Shr]],-1,0)-TblConstr[[#This Row],[Dest Shr]]</f>
        <v>0</v>
      </c>
      <c r="BL136" s="207" t="n">
        <f aca="false" t="array" ref="BL136:BL136">IF(TblConstr[[#This Row],[Hour]:[Hour]]&gt;12,OFFSET(TblConstr[[#This Row],[Tow]],-12,0),0)+OFFSET(TblConstr[[#This Row],[Tot Tow]],-1,0)-TblConstr[[#This Row],[Dest Tow]]</f>
        <v>29</v>
      </c>
      <c r="BM136" s="207" t="n">
        <f aca="false" t="array" ref="BM136:BM136">IF(TblConstr[[#This Row],[Hour]:[Hour]]&gt;12,OFFSET(TblConstr[[#This Row],[Tem]],-12,0),0)+OFFSET(TblConstr[[#This Row],[Tot Tem]],-1,0)-TblConstr[[#This Row],[Dest Tem]]</f>
        <v>47</v>
      </c>
      <c r="BN136" s="207" t="n">
        <f aca="false" t="array" ref="BN136:BN136">IF(TblConstr[[#This Row],[Hour]:[Hour]]&gt;12,OFFSET(TblConstr[[#This Row],[WG]],-12,0),0)+OFFSET(TblConstr[[#This Row],[Tot WG]],-1,0)-TblConstr[[#This Row],[Dest WG]]</f>
        <v>0</v>
      </c>
      <c r="BO136" s="208" t="n">
        <f aca="false" t="array" ref="BO136:BO136">IF(TblConstr[[#This Row],[Hour]:[Hour]]&gt;12,OFFSET(TblConstr[[#This Row],[DM]],-12,0),0)+OFFSET(TblConstr[[#This Row],[Tot DM]],-1,0)-TblConstr[[#This Row],[Dest DM]]</f>
        <v>0</v>
      </c>
      <c r="BP136" s="208" t="n">
        <f aca="false" t="array" ref="BP136:BP136">IF(TblConstr[[#This Row],[Hour]:[Hour]]&gt;12,OFFSET(TblConstr[[#This Row],[Sch]],-12,0),0)+OFFSET(TblConstr[[#This Row],[Tot Sch]],-1,0)-TblConstr[[#This Row],[Dest Sch]]</f>
        <v>0</v>
      </c>
      <c r="BQ136" s="209" t="n">
        <f aca="false" t="array" ref="BQ136:BQ136">IF(TblConstr[[#This Row],[Hour]:[Hour]]&gt;12,OFFSET(TblConstr[[#This Row],[Doc]],-12,0),0)+OFFSET(TblConstr[[#This Row],[Tot Doc]],-1,0)-TblConstr[[#This Row],[Dest Doc]]</f>
        <v>24</v>
      </c>
      <c r="BR136" s="132"/>
      <c r="BS136" s="146"/>
      <c r="BT136" s="69" t="n">
        <f aca="false">TblConstr[[#This Row],[Land]]</f>
        <v>700</v>
      </c>
      <c r="BU136" s="153" t="n">
        <f aca="false">TblImps[[#This Row],[Time]]</f>
        <v>45435.25</v>
      </c>
      <c r="BV136" s="132"/>
      <c r="BW136" s="182"/>
      <c r="BX136" s="182"/>
      <c r="BY136" s="182"/>
      <c r="BZ136" s="182"/>
      <c r="CA136" s="182"/>
      <c r="CB136" s="182"/>
      <c r="CC136" s="182"/>
      <c r="CD136" s="182"/>
      <c r="CE136" s="182"/>
      <c r="CF136" s="182"/>
      <c r="CG136" s="182"/>
      <c r="CH136" s="182"/>
      <c r="CI136" s="182"/>
      <c r="CJ136" s="182"/>
      <c r="CK136" s="182"/>
      <c r="CL136" s="182"/>
      <c r="CM136" s="182"/>
      <c r="CN136" s="182"/>
      <c r="CO136" s="182"/>
      <c r="CP136" s="132"/>
      <c r="CQ136" s="192" t="n">
        <f aca="false">-SUM(TblConstr[[#This Row],[Alc]:[Mas]])+SUM(TblConstr[[#This Row],[Dest Alc]:[Dest Mas]])+Rezone!L136+IF("Ch_"&amp; home_land=TblConstr[[#Headers],[Ch_Plain]],TblConstr[[#This Row],[Home Land]])+IF(TblConstr[[#This Row],[Hour]:[Hour]]&gt;12,OFFSET(TblExplore[[#This Row],[Plains Explore]],-12,0),0)</f>
        <v>0</v>
      </c>
      <c r="CR136" s="193" t="n">
        <f aca="false">-SUM(TblConstr[[#This Row],[Ly]:[Hav]])+SUM(TblConstr[[#This Row],[Dest Ly]:[Dest Hav]]) +Rezone!M136 + IF("Ch_"&amp; home_land=TblConstr[[#Headers],[Ch_Forest]],TblConstr[[#This Row],[Home Land]])+IF(TblConstr[[#This Row],[Hour]:[Hour]]&gt;12,OFFSET(TblExplore[[#This Row],[Forest Explore]],-12,0),0)</f>
        <v>0</v>
      </c>
      <c r="CS136" s="200" t="n">
        <f aca="false">-SUM(TblConstr[[#This Row],[OM]:[GN]])+SUM(TblConstr[[#This Row],[Dest OM]:[Dest GN]]) +Rezone!N136 + IF("Ch_"&amp; home_land=TblConstr[[#Headers],[Ch_Mountain]],TblConstr[[#This Row],[Home Land]])+IF(TblConstr[[#This Row],[Hour]:[Hour]]&gt;12,OFFSET(TblExplore[[#This Row],[Mountain Explore]],-12,0),0)</f>
        <v>0</v>
      </c>
      <c r="CT136" s="195" t="n">
        <f aca="false">-SUM(TblConstr[[#This Row],[Fac]:[Shr]])+SUM(TblConstr[[#This Row],[Dest Fac]:[Dest Shr]]) +Rezone!O136 + IF("Ch_" &amp; home_land=TblConstr[[#Headers],[Ch_Hill]],TblConstr[[#This Row],[Home Land]])+IF(TblConstr[[#This Row],[Hour]:[Hour]]&gt;12,OFFSET(TblExplore[[#This Row],[Hill Explore]],-12,0),0)</f>
        <v>0</v>
      </c>
      <c r="CU136" s="196" t="n">
        <f aca="false">-SUM(TblConstr[[#This Row],[Tow]:[WG]])+SUM(TblConstr[[#This Row],[Dest Tow]:[Dest WG]]) +Rezone!P136 + IF("Ch_" &amp; home_land=TblConstr[[#Headers],[Ch_Swamp]],TblConstr[[#This Row],[Home Land]])+IF(TblConstr[[#This Row],[Hour]:[Hour]]&gt;12,OFFSET(TblExplore[[#This Row],[Swamp Explore]],-12,0),0)</f>
        <v>0</v>
      </c>
      <c r="CV136" s="197" t="n">
        <f aca="false">- SUM(TblConstr[[#This Row],[DM]:[Sch]])+SUM(TblConstr[[#This Row],[Dest DM]:[Dest Sch]]) +Rezone!Q136 + IF("Ch_" &amp; home_land=TblConstr[[#Headers],[Ch_Cavern]],TblConstr[[#This Row],[Home Land]])+IF(TblConstr[[#This Row],[Hour]:[Hour]]&gt;12,OFFSET(TblExplore[[#This Row],[Cavern Explore]],-12,0),0)</f>
        <v>0</v>
      </c>
      <c r="CW136" s="198" t="n">
        <f aca="false">-TblConstr[[#This Row],[Doc]]+TblConstr[[#This Row],[Dest Doc]] +Rezone!R136 + IF("Ch_" &amp; home_land=TblConstr[[#Headers],[Ch_Water]],TblConstr[[#This Row],[Home Land]])+IF(TblConstr[[#This Row],[Hour]:[Hour]]&gt;12,OFFSET(TblExplore[[#This Row],[Water Explore]],-12,0),0)</f>
        <v>0</v>
      </c>
      <c r="CX136" s="1" t="n">
        <f aca="false">IF(Explore!S136=1,20) - TblConstr[[#This Row],[Hom]] + TblConstr[[#This Row],[Dest Hom]]</f>
        <v>0</v>
      </c>
      <c r="CY136" s="132"/>
      <c r="CZ136" s="69" t="n">
        <f aca="false">G136+SUM(P125:S136)+SUM(AZ136:BC136)</f>
        <v>430</v>
      </c>
      <c r="DA136" s="69" t="n">
        <f aca="false">H136+SUM(T125:U136)+SUM(BD136:BE136)</f>
        <v>25</v>
      </c>
      <c r="DB136" s="1" t="n">
        <f aca="false">I136+SUM(V125:W136)+SUM(BF136:BG136)</f>
        <v>0</v>
      </c>
      <c r="DC136" s="69" t="n">
        <f aca="false">J136+SUM(X125:Y136)+SUM(BH136:BI136)</f>
        <v>55</v>
      </c>
      <c r="DD136" s="69" t="n">
        <f aca="false">K136+SUM(AB125:AD136)+SUM(BL136:BN136)</f>
        <v>76</v>
      </c>
      <c r="DE136" s="1" t="n">
        <f aca="false">L136+SUM(AE125:AE136)+BO136</f>
        <v>0</v>
      </c>
      <c r="DF136" s="69" t="n">
        <f aca="false">M136+SUM(AG125:AG136)+BQ136</f>
        <v>24</v>
      </c>
      <c r="DG136" s="69" t="e">
        <f aca="false" t="array" ref="DG136:DG136">INDEX(TblConstr[[Total Plain]:[Total Water]],ROW()-ROW(TblConstr[#headers]),MATCH("Total "&amp;home_land,TblConstr[[#Headers],[Total Plain]:[Total Water]],0))+TblConstr[[#This Row],[Homes]]</f>
        <v>#VALUE!</v>
      </c>
      <c r="DH136" s="1" t="n">
        <f aca="false">SUM(O125:O136)+AY136</f>
        <v>40</v>
      </c>
      <c r="DI136" s="1" t="n">
        <f aca="false">MAX(BA136-BA135,0)</f>
        <v>0</v>
      </c>
      <c r="DJ136" s="1" t="n">
        <f aca="false">MAX(BQ136-BQ135,0)</f>
        <v>0</v>
      </c>
    </row>
    <row r="137" customFormat="false" ht="12.75" hidden="false" customHeight="false" outlineLevel="0" collapsed="false">
      <c r="F137" s="86"/>
      <c r="G137" s="86"/>
      <c r="H137" s="86"/>
      <c r="I137" s="86"/>
      <c r="J137" s="86"/>
      <c r="K137" s="86"/>
      <c r="L137" s="86"/>
      <c r="N137" s="86"/>
      <c r="CQ137" s="86"/>
      <c r="CR137" s="86"/>
      <c r="CS137" s="86"/>
      <c r="CT137" s="86"/>
      <c r="CU137" s="86"/>
      <c r="CV137" s="86"/>
      <c r="CW137" s="86"/>
    </row>
    <row r="138" customFormat="false" ht="12.75" hidden="false" customHeight="false" outlineLevel="0" collapsed="false">
      <c r="F138" s="86"/>
      <c r="G138" s="86"/>
      <c r="H138" s="86"/>
      <c r="I138" s="86"/>
      <c r="J138" s="86"/>
      <c r="K138" s="86"/>
      <c r="L138" s="86"/>
      <c r="N138" s="86"/>
      <c r="CQ138" s="86"/>
      <c r="CR138" s="86"/>
      <c r="CS138" s="86"/>
      <c r="CT138" s="86"/>
      <c r="CU138" s="86"/>
      <c r="CV138" s="86"/>
      <c r="CW138" s="86"/>
    </row>
    <row r="139" customFormat="false" ht="12.75" hidden="false" customHeight="false" outlineLevel="0" collapsed="false">
      <c r="F139" s="86"/>
      <c r="G139" s="86"/>
      <c r="H139" s="86"/>
      <c r="I139" s="86"/>
      <c r="J139" s="86"/>
      <c r="K139" s="86"/>
      <c r="L139" s="86"/>
      <c r="N139" s="86"/>
      <c r="CQ139" s="86"/>
      <c r="CR139" s="86"/>
      <c r="CS139" s="86"/>
      <c r="CT139" s="86"/>
      <c r="CU139" s="86"/>
      <c r="CV139" s="86"/>
      <c r="CW139" s="86"/>
    </row>
    <row r="140" customFormat="false" ht="12.75" hidden="false" customHeight="false" outlineLevel="0" collapsed="false">
      <c r="F140" s="86"/>
      <c r="G140" s="86"/>
      <c r="H140" s="86"/>
      <c r="I140" s="86"/>
      <c r="J140" s="86"/>
      <c r="K140" s="86"/>
      <c r="L140" s="86"/>
      <c r="N140" s="86"/>
      <c r="CQ140" s="86"/>
      <c r="CR140" s="86"/>
      <c r="CS140" s="86"/>
      <c r="CT140" s="86"/>
      <c r="CU140" s="86"/>
      <c r="CV140" s="86"/>
      <c r="CW140" s="86"/>
    </row>
    <row r="141" customFormat="false" ht="12.75" hidden="false" customHeight="false" outlineLevel="0" collapsed="false">
      <c r="F141" s="86"/>
      <c r="G141" s="86"/>
      <c r="H141" s="86"/>
      <c r="I141" s="86"/>
      <c r="J141" s="86"/>
      <c r="K141" s="86"/>
      <c r="L141" s="86"/>
      <c r="N141" s="86"/>
      <c r="CQ141" s="86"/>
      <c r="CR141" s="86"/>
      <c r="CS141" s="86"/>
      <c r="CT141" s="86"/>
      <c r="CU141" s="86"/>
      <c r="CV141" s="86"/>
      <c r="CW141" s="86"/>
    </row>
    <row r="142" customFormat="false" ht="12.75" hidden="false" customHeight="false" outlineLevel="0" collapsed="false">
      <c r="F142" s="86"/>
      <c r="G142" s="86"/>
      <c r="H142" s="86"/>
      <c r="I142" s="86"/>
      <c r="J142" s="86"/>
      <c r="K142" s="86"/>
      <c r="L142" s="86"/>
      <c r="N142" s="86"/>
      <c r="CQ142" s="86"/>
      <c r="CR142" s="86"/>
      <c r="CS142" s="86"/>
      <c r="CT142" s="86"/>
      <c r="CU142" s="86"/>
      <c r="CV142" s="86"/>
      <c r="CW142" s="86"/>
    </row>
    <row r="143" customFormat="false" ht="12.75" hidden="false" customHeight="false" outlineLevel="0" collapsed="false">
      <c r="F143" s="86"/>
      <c r="G143" s="86"/>
      <c r="H143" s="86"/>
      <c r="I143" s="86"/>
      <c r="J143" s="86"/>
      <c r="K143" s="86"/>
      <c r="L143" s="86"/>
      <c r="N143" s="86"/>
      <c r="CQ143" s="86"/>
      <c r="CR143" s="86"/>
      <c r="CS143" s="86"/>
      <c r="CT143" s="86"/>
      <c r="CU143" s="86"/>
      <c r="CV143" s="86"/>
      <c r="CW143" s="86"/>
    </row>
    <row r="144" customFormat="false" ht="12.75" hidden="false" customHeight="false" outlineLevel="0" collapsed="false">
      <c r="F144" s="86"/>
      <c r="G144" s="86"/>
      <c r="H144" s="86"/>
      <c r="I144" s="86"/>
      <c r="J144" s="86"/>
      <c r="K144" s="86"/>
      <c r="L144" s="86"/>
      <c r="N144" s="86"/>
      <c r="CQ144" s="86"/>
      <c r="CR144" s="86"/>
      <c r="CS144" s="86"/>
      <c r="CT144" s="86"/>
      <c r="CU144" s="86"/>
      <c r="CV144" s="86"/>
      <c r="CW144" s="86"/>
    </row>
    <row r="145" customFormat="false" ht="12.75" hidden="false" customHeight="false" outlineLevel="0" collapsed="false">
      <c r="F145" s="86"/>
      <c r="G145" s="86"/>
      <c r="H145" s="86"/>
      <c r="I145" s="86"/>
      <c r="J145" s="86"/>
      <c r="K145" s="86"/>
      <c r="L145" s="86"/>
      <c r="N145" s="86"/>
      <c r="CQ145" s="86"/>
      <c r="CR145" s="86"/>
      <c r="CS145" s="86"/>
      <c r="CT145" s="86"/>
      <c r="CU145" s="86"/>
      <c r="CV145" s="86"/>
      <c r="CW145" s="86"/>
    </row>
    <row r="146" customFormat="false" ht="12.75" hidden="false" customHeight="false" outlineLevel="0" collapsed="false">
      <c r="F146" s="86"/>
      <c r="G146" s="86"/>
      <c r="H146" s="86"/>
      <c r="I146" s="86"/>
      <c r="J146" s="86"/>
      <c r="K146" s="86"/>
      <c r="L146" s="86"/>
      <c r="N146" s="86"/>
      <c r="CQ146" s="86"/>
      <c r="CR146" s="86"/>
      <c r="CS146" s="86"/>
      <c r="CT146" s="86"/>
      <c r="CU146" s="86"/>
      <c r="CV146" s="86"/>
      <c r="CW146" s="86"/>
    </row>
    <row r="147" customFormat="false" ht="12.75" hidden="false" customHeight="false" outlineLevel="0" collapsed="false">
      <c r="F147" s="86"/>
      <c r="G147" s="86"/>
      <c r="H147" s="86"/>
      <c r="I147" s="86"/>
      <c r="J147" s="86"/>
      <c r="K147" s="86"/>
      <c r="L147" s="86"/>
      <c r="N147" s="86"/>
      <c r="CQ147" s="86"/>
      <c r="CR147" s="86"/>
      <c r="CS147" s="86"/>
      <c r="CT147" s="86"/>
      <c r="CU147" s="86"/>
      <c r="CV147" s="86"/>
      <c r="CW147" s="86"/>
    </row>
    <row r="148" customFormat="false" ht="12.75" hidden="false" customHeight="false" outlineLevel="0" collapsed="false">
      <c r="F148" s="86"/>
      <c r="G148" s="86"/>
      <c r="H148" s="86"/>
      <c r="I148" s="86"/>
      <c r="J148" s="86"/>
      <c r="K148" s="86"/>
      <c r="L148" s="86"/>
      <c r="N148" s="86"/>
      <c r="CQ148" s="86"/>
      <c r="CR148" s="86"/>
      <c r="CS148" s="86"/>
      <c r="CT148" s="86"/>
      <c r="CU148" s="86"/>
      <c r="CV148" s="86"/>
      <c r="CW148" s="86"/>
    </row>
    <row r="149" customFormat="false" ht="12.75" hidden="false" customHeight="false" outlineLevel="0" collapsed="false">
      <c r="F149" s="86"/>
      <c r="G149" s="86"/>
      <c r="H149" s="86"/>
      <c r="I149" s="86"/>
      <c r="J149" s="86"/>
      <c r="K149" s="86"/>
      <c r="L149" s="86"/>
      <c r="N149" s="86"/>
      <c r="CQ149" s="86"/>
      <c r="CR149" s="86"/>
      <c r="CS149" s="86"/>
      <c r="CT149" s="86"/>
      <c r="CU149" s="86"/>
      <c r="CV149" s="86"/>
      <c r="CW149" s="86"/>
    </row>
    <row r="150" customFormat="false" ht="12.75" hidden="false" customHeight="false" outlineLevel="0" collapsed="false">
      <c r="F150" s="86"/>
      <c r="G150" s="86"/>
      <c r="H150" s="86"/>
      <c r="I150" s="86"/>
      <c r="J150" s="86"/>
      <c r="K150" s="86"/>
      <c r="L150" s="86"/>
      <c r="N150" s="86"/>
      <c r="CQ150" s="86"/>
      <c r="CR150" s="86"/>
      <c r="CS150" s="86"/>
      <c r="CT150" s="86"/>
      <c r="CU150" s="86"/>
      <c r="CV150" s="86"/>
      <c r="CW150" s="86"/>
    </row>
    <row r="151" customFormat="false" ht="12.75" hidden="false" customHeight="false" outlineLevel="0" collapsed="false">
      <c r="F151" s="86"/>
      <c r="G151" s="86"/>
      <c r="H151" s="86"/>
      <c r="I151" s="86"/>
      <c r="J151" s="86"/>
      <c r="K151" s="86"/>
      <c r="L151" s="86"/>
      <c r="N151" s="86"/>
      <c r="CQ151" s="86"/>
      <c r="CR151" s="86"/>
      <c r="CS151" s="86"/>
      <c r="CT151" s="86"/>
      <c r="CU151" s="86"/>
      <c r="CV151" s="86"/>
      <c r="CW151" s="86"/>
    </row>
    <row r="152" customFormat="false" ht="12.75" hidden="false" customHeight="false" outlineLevel="0" collapsed="false">
      <c r="F152" s="86"/>
      <c r="G152" s="86"/>
      <c r="H152" s="86"/>
      <c r="I152" s="86"/>
      <c r="J152" s="86"/>
      <c r="K152" s="86"/>
      <c r="L152" s="86"/>
      <c r="N152" s="86"/>
      <c r="CQ152" s="86"/>
      <c r="CR152" s="86"/>
      <c r="CS152" s="86"/>
      <c r="CT152" s="86"/>
      <c r="CU152" s="86"/>
      <c r="CV152" s="86"/>
      <c r="CW152" s="86"/>
    </row>
    <row r="153" customFormat="false" ht="12.75" hidden="false" customHeight="false" outlineLevel="0" collapsed="false">
      <c r="F153" s="86"/>
      <c r="G153" s="86"/>
      <c r="H153" s="86"/>
      <c r="I153" s="86"/>
      <c r="J153" s="86"/>
      <c r="K153" s="86"/>
      <c r="L153" s="86"/>
      <c r="N153" s="86"/>
      <c r="CQ153" s="86"/>
      <c r="CR153" s="86"/>
      <c r="CS153" s="86"/>
      <c r="CT153" s="86"/>
      <c r="CU153" s="86"/>
      <c r="CV153" s="86"/>
      <c r="CW153" s="86"/>
    </row>
    <row r="154" customFormat="false" ht="12.75" hidden="false" customHeight="false" outlineLevel="0" collapsed="false">
      <c r="F154" s="86"/>
      <c r="G154" s="86"/>
      <c r="H154" s="86"/>
      <c r="I154" s="86"/>
      <c r="J154" s="86"/>
      <c r="K154" s="86"/>
      <c r="L154" s="86"/>
      <c r="N154" s="86"/>
      <c r="CQ154" s="86"/>
      <c r="CR154" s="86"/>
      <c r="CS154" s="86"/>
      <c r="CT154" s="86"/>
      <c r="CU154" s="86"/>
      <c r="CV154" s="86"/>
      <c r="CW154" s="86"/>
    </row>
    <row r="155" customFormat="false" ht="12.75" hidden="false" customHeight="false" outlineLevel="0" collapsed="false">
      <c r="F155" s="86"/>
      <c r="G155" s="86"/>
      <c r="H155" s="86"/>
      <c r="I155" s="86"/>
      <c r="J155" s="86"/>
      <c r="K155" s="86"/>
      <c r="L155" s="86"/>
      <c r="N155" s="86"/>
      <c r="CQ155" s="86"/>
      <c r="CR155" s="86"/>
      <c r="CS155" s="86"/>
      <c r="CT155" s="86"/>
      <c r="CU155" s="86"/>
      <c r="CV155" s="86"/>
      <c r="CW155" s="86"/>
    </row>
    <row r="156" customFormat="false" ht="12.75" hidden="false" customHeight="false" outlineLevel="0" collapsed="false">
      <c r="F156" s="86"/>
      <c r="G156" s="86"/>
      <c r="H156" s="86"/>
      <c r="I156" s="86"/>
      <c r="J156" s="86"/>
      <c r="K156" s="86"/>
      <c r="L156" s="86"/>
      <c r="N156" s="86"/>
      <c r="CQ156" s="86"/>
      <c r="CR156" s="86"/>
      <c r="CS156" s="86"/>
      <c r="CT156" s="86"/>
      <c r="CU156" s="86"/>
      <c r="CV156" s="86"/>
      <c r="CW156" s="86"/>
    </row>
    <row r="157" customFormat="false" ht="12.75" hidden="false" customHeight="false" outlineLevel="0" collapsed="false">
      <c r="F157" s="86"/>
      <c r="G157" s="86"/>
      <c r="H157" s="86"/>
      <c r="I157" s="86"/>
      <c r="J157" s="86"/>
      <c r="K157" s="86"/>
      <c r="L157" s="86"/>
      <c r="N157" s="86"/>
      <c r="CQ157" s="86"/>
      <c r="CR157" s="86"/>
      <c r="CS157" s="86"/>
      <c r="CT157" s="86"/>
      <c r="CU157" s="86"/>
      <c r="CV157" s="86"/>
      <c r="CW157" s="86"/>
    </row>
    <row r="158" customFormat="false" ht="12.75" hidden="false" customHeight="false" outlineLevel="0" collapsed="false">
      <c r="F158" s="86"/>
      <c r="G158" s="86"/>
      <c r="H158" s="86"/>
      <c r="I158" s="86"/>
      <c r="J158" s="86"/>
      <c r="K158" s="86"/>
      <c r="L158" s="86"/>
      <c r="N158" s="86"/>
      <c r="CQ158" s="86"/>
      <c r="CR158" s="86"/>
      <c r="CS158" s="86"/>
      <c r="CT158" s="86"/>
      <c r="CU158" s="86"/>
      <c r="CV158" s="86"/>
      <c r="CW158" s="86"/>
    </row>
    <row r="159" customFormat="false" ht="12.75" hidden="false" customHeight="false" outlineLevel="0" collapsed="false">
      <c r="F159" s="86"/>
      <c r="G159" s="86"/>
      <c r="H159" s="86"/>
      <c r="I159" s="86"/>
      <c r="J159" s="86"/>
      <c r="K159" s="86"/>
      <c r="L159" s="86"/>
      <c r="N159" s="86"/>
      <c r="CQ159" s="86"/>
      <c r="CR159" s="86"/>
      <c r="CS159" s="86"/>
      <c r="CT159" s="86"/>
      <c r="CU159" s="86"/>
      <c r="CV159" s="86"/>
      <c r="CW159" s="86"/>
    </row>
    <row r="160" customFormat="false" ht="12.75" hidden="false" customHeight="false" outlineLevel="0" collapsed="false">
      <c r="F160" s="86"/>
      <c r="G160" s="86"/>
      <c r="H160" s="86"/>
      <c r="I160" s="86"/>
      <c r="J160" s="86"/>
      <c r="K160" s="86"/>
      <c r="L160" s="86"/>
      <c r="N160" s="86"/>
      <c r="CQ160" s="86"/>
      <c r="CR160" s="86"/>
      <c r="CS160" s="86"/>
      <c r="CT160" s="86"/>
      <c r="CU160" s="86"/>
      <c r="CV160" s="86"/>
      <c r="CW160" s="86"/>
    </row>
    <row r="161" customFormat="false" ht="12.75" hidden="false" customHeight="false" outlineLevel="0" collapsed="false">
      <c r="F161" s="86"/>
      <c r="G161" s="86"/>
      <c r="H161" s="86"/>
      <c r="I161" s="86"/>
      <c r="J161" s="86"/>
      <c r="K161" s="86"/>
      <c r="L161" s="86"/>
      <c r="N161" s="86"/>
      <c r="CQ161" s="86"/>
      <c r="CR161" s="86"/>
      <c r="CS161" s="86"/>
      <c r="CT161" s="86"/>
      <c r="CU161" s="86"/>
      <c r="CV161" s="86"/>
      <c r="CW161" s="86"/>
    </row>
    <row r="162" customFormat="false" ht="12.75" hidden="false" customHeight="false" outlineLevel="0" collapsed="false">
      <c r="F162" s="86"/>
      <c r="G162" s="86"/>
      <c r="H162" s="86"/>
      <c r="I162" s="86"/>
      <c r="J162" s="86"/>
      <c r="K162" s="86"/>
      <c r="L162" s="86"/>
      <c r="N162" s="86"/>
      <c r="CQ162" s="86"/>
      <c r="CR162" s="86"/>
      <c r="CS162" s="86"/>
      <c r="CT162" s="86"/>
      <c r="CU162" s="86"/>
      <c r="CV162" s="86"/>
      <c r="CW162" s="86"/>
    </row>
    <row r="163" customFormat="false" ht="12.75" hidden="false" customHeight="false" outlineLevel="0" collapsed="false">
      <c r="F163" s="86"/>
      <c r="G163" s="86"/>
      <c r="H163" s="86"/>
      <c r="I163" s="86"/>
      <c r="J163" s="86"/>
      <c r="K163" s="86"/>
      <c r="L163" s="86"/>
      <c r="N163" s="86"/>
      <c r="CQ163" s="86"/>
      <c r="CR163" s="86"/>
      <c r="CS163" s="86"/>
      <c r="CT163" s="86"/>
      <c r="CU163" s="86"/>
      <c r="CV163" s="86"/>
      <c r="CW163" s="86"/>
    </row>
    <row r="164" customFormat="false" ht="12.75" hidden="false" customHeight="false" outlineLevel="0" collapsed="false">
      <c r="F164" s="86"/>
      <c r="G164" s="86"/>
      <c r="H164" s="86"/>
      <c r="I164" s="86"/>
      <c r="J164" s="86"/>
      <c r="K164" s="86"/>
      <c r="L164" s="86"/>
      <c r="N164" s="86"/>
      <c r="CQ164" s="86"/>
      <c r="CR164" s="86"/>
      <c r="CS164" s="86"/>
      <c r="CT164" s="86"/>
      <c r="CU164" s="86"/>
      <c r="CV164" s="86"/>
      <c r="CW164" s="86"/>
    </row>
    <row r="165" customFormat="false" ht="12.75" hidden="false" customHeight="false" outlineLevel="0" collapsed="false">
      <c r="F165" s="86"/>
      <c r="G165" s="86"/>
      <c r="H165" s="86"/>
      <c r="I165" s="86"/>
      <c r="J165" s="86"/>
      <c r="K165" s="86"/>
      <c r="L165" s="86"/>
      <c r="N165" s="86"/>
      <c r="CQ165" s="86"/>
      <c r="CR165" s="86"/>
      <c r="CS165" s="86"/>
      <c r="CT165" s="86"/>
      <c r="CU165" s="86"/>
      <c r="CV165" s="86"/>
      <c r="CW165" s="86"/>
    </row>
    <row r="166" customFormat="false" ht="12.75" hidden="false" customHeight="false" outlineLevel="0" collapsed="false">
      <c r="F166" s="86"/>
      <c r="G166" s="86"/>
      <c r="H166" s="86"/>
      <c r="I166" s="86"/>
      <c r="J166" s="86"/>
      <c r="K166" s="86"/>
      <c r="L166" s="86"/>
      <c r="N166" s="86"/>
      <c r="CQ166" s="86"/>
      <c r="CR166" s="86"/>
      <c r="CS166" s="86"/>
      <c r="CT166" s="86"/>
      <c r="CU166" s="86"/>
      <c r="CV166" s="86"/>
      <c r="CW166" s="86"/>
    </row>
    <row r="167" customFormat="false" ht="12.75" hidden="false" customHeight="false" outlineLevel="0" collapsed="false">
      <c r="F167" s="86"/>
      <c r="G167" s="86"/>
      <c r="H167" s="86"/>
      <c r="I167" s="86"/>
      <c r="J167" s="86"/>
      <c r="K167" s="86"/>
      <c r="L167" s="86"/>
      <c r="N167" s="86"/>
      <c r="CQ167" s="86"/>
      <c r="CR167" s="86"/>
      <c r="CS167" s="86"/>
      <c r="CT167" s="86"/>
      <c r="CU167" s="86"/>
      <c r="CV167" s="86"/>
      <c r="CW167" s="86"/>
    </row>
    <row r="168" customFormat="false" ht="12.75" hidden="false" customHeight="false" outlineLevel="0" collapsed="false">
      <c r="F168" s="86"/>
      <c r="G168" s="86"/>
      <c r="H168" s="86"/>
      <c r="I168" s="86"/>
      <c r="J168" s="86"/>
      <c r="K168" s="86"/>
      <c r="L168" s="86"/>
      <c r="N168" s="86"/>
      <c r="CQ168" s="86"/>
      <c r="CR168" s="86"/>
      <c r="CS168" s="86"/>
      <c r="CT168" s="86"/>
      <c r="CU168" s="86"/>
      <c r="CV168" s="86"/>
      <c r="CW168" s="86"/>
    </row>
    <row r="169" customFormat="false" ht="12.75" hidden="false" customHeight="false" outlineLevel="0" collapsed="false">
      <c r="F169" s="86"/>
      <c r="G169" s="86"/>
      <c r="H169" s="86"/>
      <c r="I169" s="86"/>
      <c r="J169" s="86"/>
      <c r="K169" s="86"/>
      <c r="L169" s="86"/>
      <c r="N169" s="86"/>
      <c r="CQ169" s="86"/>
      <c r="CR169" s="86"/>
      <c r="CS169" s="86"/>
      <c r="CT169" s="86"/>
      <c r="CU169" s="86"/>
      <c r="CV169" s="86"/>
      <c r="CW169" s="86"/>
    </row>
    <row r="170" customFormat="false" ht="12.75" hidden="false" customHeight="false" outlineLevel="0" collapsed="false">
      <c r="F170" s="86"/>
      <c r="G170" s="86"/>
      <c r="H170" s="86"/>
      <c r="I170" s="86"/>
      <c r="J170" s="86"/>
      <c r="K170" s="86"/>
      <c r="L170" s="86"/>
      <c r="N170" s="86"/>
      <c r="CQ170" s="86"/>
      <c r="CR170" s="86"/>
      <c r="CS170" s="86"/>
      <c r="CT170" s="86"/>
      <c r="CU170" s="86"/>
      <c r="CV170" s="86"/>
      <c r="CW170" s="86"/>
    </row>
    <row r="171" customFormat="false" ht="12.75" hidden="false" customHeight="false" outlineLevel="0" collapsed="false">
      <c r="F171" s="86"/>
      <c r="G171" s="86"/>
      <c r="H171" s="86"/>
      <c r="I171" s="86"/>
      <c r="J171" s="86"/>
      <c r="K171" s="86"/>
      <c r="L171" s="86"/>
      <c r="N171" s="86"/>
      <c r="CQ171" s="86"/>
      <c r="CR171" s="86"/>
      <c r="CS171" s="86"/>
      <c r="CT171" s="86"/>
      <c r="CU171" s="86"/>
      <c r="CV171" s="86"/>
      <c r="CW171" s="86"/>
    </row>
    <row r="172" customFormat="false" ht="12.75" hidden="false" customHeight="false" outlineLevel="0" collapsed="false">
      <c r="F172" s="86"/>
      <c r="G172" s="86"/>
      <c r="H172" s="86"/>
      <c r="I172" s="86"/>
      <c r="J172" s="86"/>
      <c r="K172" s="86"/>
      <c r="L172" s="86"/>
      <c r="N172" s="86"/>
      <c r="CQ172" s="86"/>
      <c r="CR172" s="86"/>
      <c r="CS172" s="86"/>
      <c r="CT172" s="86"/>
      <c r="CU172" s="86"/>
      <c r="CV172" s="86"/>
      <c r="CW172" s="86"/>
    </row>
    <row r="173" customFormat="false" ht="12.75" hidden="false" customHeight="false" outlineLevel="0" collapsed="false">
      <c r="F173" s="86"/>
      <c r="G173" s="86"/>
      <c r="H173" s="86"/>
      <c r="I173" s="86"/>
      <c r="J173" s="86"/>
      <c r="K173" s="86"/>
      <c r="L173" s="86"/>
      <c r="N173" s="86"/>
      <c r="CQ173" s="86"/>
      <c r="CR173" s="86"/>
      <c r="CS173" s="86"/>
      <c r="CT173" s="86"/>
      <c r="CU173" s="86"/>
      <c r="CV173" s="86"/>
      <c r="CW173" s="86"/>
    </row>
    <row r="174" customFormat="false" ht="12.75" hidden="false" customHeight="false" outlineLevel="0" collapsed="false">
      <c r="F174" s="86"/>
      <c r="G174" s="86"/>
      <c r="H174" s="86"/>
      <c r="I174" s="86"/>
      <c r="J174" s="86"/>
      <c r="K174" s="86"/>
      <c r="L174" s="86"/>
      <c r="N174" s="86"/>
      <c r="CQ174" s="86"/>
      <c r="CR174" s="86"/>
      <c r="CS174" s="86"/>
      <c r="CT174" s="86"/>
      <c r="CU174" s="86"/>
      <c r="CV174" s="86"/>
      <c r="CW174" s="86"/>
    </row>
    <row r="175" customFormat="false" ht="12.75" hidden="false" customHeight="false" outlineLevel="0" collapsed="false">
      <c r="F175" s="86"/>
      <c r="G175" s="86"/>
      <c r="H175" s="86"/>
      <c r="I175" s="86"/>
      <c r="J175" s="86"/>
      <c r="K175" s="86"/>
      <c r="L175" s="86"/>
      <c r="N175" s="86"/>
      <c r="CQ175" s="86"/>
      <c r="CR175" s="86"/>
      <c r="CS175" s="86"/>
      <c r="CT175" s="86"/>
      <c r="CU175" s="86"/>
      <c r="CV175" s="86"/>
      <c r="CW175" s="86"/>
    </row>
    <row r="176" customFormat="false" ht="12.75" hidden="false" customHeight="false" outlineLevel="0" collapsed="false">
      <c r="F176" s="86"/>
      <c r="G176" s="86"/>
      <c r="H176" s="86"/>
      <c r="I176" s="86"/>
      <c r="J176" s="86"/>
      <c r="K176" s="86"/>
      <c r="L176" s="86"/>
      <c r="N176" s="86"/>
      <c r="CQ176" s="86"/>
      <c r="CR176" s="86"/>
      <c r="CS176" s="86"/>
      <c r="CT176" s="86"/>
      <c r="CU176" s="86"/>
      <c r="CV176" s="86"/>
      <c r="CW176" s="86"/>
    </row>
    <row r="177" customFormat="false" ht="12.75" hidden="false" customHeight="false" outlineLevel="0" collapsed="false">
      <c r="F177" s="86"/>
      <c r="G177" s="86"/>
      <c r="H177" s="86"/>
      <c r="I177" s="86"/>
      <c r="J177" s="86"/>
      <c r="K177" s="86"/>
      <c r="L177" s="86"/>
      <c r="N177" s="86"/>
      <c r="CQ177" s="86"/>
      <c r="CR177" s="86"/>
      <c r="CS177" s="86"/>
      <c r="CT177" s="86"/>
      <c r="CU177" s="86"/>
      <c r="CV177" s="86"/>
      <c r="CW177" s="86"/>
    </row>
    <row r="178" customFormat="false" ht="12.75" hidden="false" customHeight="false" outlineLevel="0" collapsed="false">
      <c r="F178" s="86"/>
      <c r="G178" s="86"/>
      <c r="H178" s="86"/>
      <c r="I178" s="86"/>
      <c r="J178" s="86"/>
      <c r="K178" s="86"/>
      <c r="L178" s="86"/>
      <c r="N178" s="86"/>
      <c r="CQ178" s="86"/>
      <c r="CR178" s="86"/>
      <c r="CS178" s="86"/>
      <c r="CT178" s="86"/>
      <c r="CU178" s="86"/>
      <c r="CV178" s="86"/>
      <c r="CW178" s="86"/>
    </row>
    <row r="179" customFormat="false" ht="12.75" hidden="false" customHeight="false" outlineLevel="0" collapsed="false">
      <c r="F179" s="86"/>
      <c r="G179" s="86"/>
      <c r="H179" s="86"/>
      <c r="I179" s="86"/>
      <c r="J179" s="86"/>
      <c r="K179" s="86"/>
      <c r="L179" s="86"/>
      <c r="N179" s="86"/>
      <c r="CQ179" s="86"/>
      <c r="CR179" s="86"/>
      <c r="CS179" s="86"/>
      <c r="CT179" s="86"/>
      <c r="CU179" s="86"/>
      <c r="CV179" s="86"/>
      <c r="CW179" s="86"/>
    </row>
    <row r="180" customFormat="false" ht="12.75" hidden="false" customHeight="false" outlineLevel="0" collapsed="false">
      <c r="F180" s="86"/>
      <c r="G180" s="86"/>
      <c r="H180" s="86"/>
      <c r="I180" s="86"/>
      <c r="J180" s="86"/>
      <c r="K180" s="86"/>
      <c r="L180" s="86"/>
      <c r="N180" s="86"/>
      <c r="CQ180" s="86"/>
      <c r="CR180" s="86"/>
      <c r="CS180" s="86"/>
      <c r="CT180" s="86"/>
      <c r="CU180" s="86"/>
      <c r="CV180" s="86"/>
      <c r="CW180" s="86"/>
    </row>
    <row r="181" customFormat="false" ht="12.75" hidden="false" customHeight="false" outlineLevel="0" collapsed="false">
      <c r="F181" s="86"/>
      <c r="G181" s="86"/>
      <c r="H181" s="86"/>
      <c r="I181" s="86"/>
      <c r="J181" s="86"/>
      <c r="K181" s="86"/>
      <c r="L181" s="86"/>
      <c r="N181" s="86"/>
      <c r="CQ181" s="86"/>
      <c r="CR181" s="86"/>
      <c r="CS181" s="86"/>
      <c r="CT181" s="86"/>
      <c r="CU181" s="86"/>
      <c r="CV181" s="86"/>
      <c r="CW181" s="86"/>
    </row>
    <row r="182" customFormat="false" ht="12.75" hidden="false" customHeight="false" outlineLevel="0" collapsed="false">
      <c r="F182" s="86"/>
      <c r="G182" s="86"/>
      <c r="H182" s="86"/>
      <c r="I182" s="86"/>
      <c r="J182" s="86"/>
      <c r="K182" s="86"/>
      <c r="L182" s="86"/>
      <c r="N182" s="86"/>
      <c r="CQ182" s="86"/>
      <c r="CR182" s="86"/>
      <c r="CS182" s="86"/>
      <c r="CT182" s="86"/>
      <c r="CU182" s="86"/>
      <c r="CV182" s="86"/>
      <c r="CW182" s="86"/>
    </row>
    <row r="183" customFormat="false" ht="12.75" hidden="false" customHeight="false" outlineLevel="0" collapsed="false">
      <c r="F183" s="86"/>
      <c r="G183" s="86"/>
      <c r="H183" s="86"/>
      <c r="I183" s="86"/>
      <c r="J183" s="86"/>
      <c r="K183" s="86"/>
      <c r="L183" s="86"/>
      <c r="N183" s="86"/>
      <c r="CQ183" s="86"/>
      <c r="CR183" s="86"/>
      <c r="CS183" s="86"/>
      <c r="CT183" s="86"/>
      <c r="CU183" s="86"/>
      <c r="CV183" s="86"/>
      <c r="CW183" s="86"/>
    </row>
    <row r="184" customFormat="false" ht="12.75" hidden="false" customHeight="false" outlineLevel="0" collapsed="false">
      <c r="F184" s="86"/>
      <c r="G184" s="86"/>
      <c r="H184" s="86"/>
      <c r="I184" s="86"/>
      <c r="J184" s="86"/>
      <c r="K184" s="86"/>
      <c r="L184" s="86"/>
      <c r="N184" s="86"/>
      <c r="CQ184" s="86"/>
      <c r="CR184" s="86"/>
      <c r="CS184" s="86"/>
      <c r="CT184" s="86"/>
      <c r="CU184" s="86"/>
      <c r="CV184" s="86"/>
      <c r="CW184" s="86"/>
    </row>
    <row r="185" customFormat="false" ht="12.75" hidden="false" customHeight="false" outlineLevel="0" collapsed="false">
      <c r="F185" s="86"/>
      <c r="G185" s="86"/>
      <c r="H185" s="86"/>
      <c r="I185" s="86"/>
      <c r="J185" s="86"/>
      <c r="K185" s="86"/>
      <c r="L185" s="86"/>
      <c r="N185" s="86"/>
      <c r="CQ185" s="86"/>
      <c r="CR185" s="86"/>
      <c r="CS185" s="86"/>
      <c r="CT185" s="86"/>
      <c r="CU185" s="86"/>
      <c r="CV185" s="86"/>
      <c r="CW185" s="86"/>
    </row>
    <row r="186" customFormat="false" ht="12.75" hidden="false" customHeight="false" outlineLevel="0" collapsed="false">
      <c r="F186" s="86"/>
      <c r="G186" s="86"/>
      <c r="H186" s="86"/>
      <c r="I186" s="86"/>
      <c r="J186" s="86"/>
      <c r="K186" s="86"/>
      <c r="L186" s="86"/>
      <c r="N186" s="86"/>
      <c r="CQ186" s="86"/>
      <c r="CR186" s="86"/>
      <c r="CS186" s="86"/>
      <c r="CT186" s="86"/>
      <c r="CU186" s="86"/>
      <c r="CV186" s="86"/>
      <c r="CW186" s="86"/>
    </row>
    <row r="187" customFormat="false" ht="12.75" hidden="false" customHeight="false" outlineLevel="0" collapsed="false">
      <c r="F187" s="86"/>
      <c r="G187" s="86"/>
      <c r="H187" s="86"/>
      <c r="I187" s="86"/>
      <c r="J187" s="86"/>
      <c r="K187" s="86"/>
      <c r="L187" s="86"/>
      <c r="N187" s="86"/>
      <c r="CQ187" s="86"/>
      <c r="CR187" s="86"/>
      <c r="CS187" s="86"/>
      <c r="CT187" s="86"/>
      <c r="CU187" s="86"/>
      <c r="CV187" s="86"/>
      <c r="CW187" s="86"/>
    </row>
    <row r="188" customFormat="false" ht="12.75" hidden="false" customHeight="false" outlineLevel="0" collapsed="false">
      <c r="F188" s="86"/>
      <c r="G188" s="86"/>
      <c r="H188" s="86"/>
      <c r="I188" s="86"/>
      <c r="J188" s="86"/>
      <c r="K188" s="86"/>
      <c r="L188" s="86"/>
      <c r="N188" s="86"/>
      <c r="CQ188" s="86"/>
      <c r="CR188" s="86"/>
      <c r="CS188" s="86"/>
      <c r="CT188" s="86"/>
      <c r="CU188" s="86"/>
      <c r="CV188" s="86"/>
      <c r="CW188" s="86"/>
    </row>
    <row r="189" customFormat="false" ht="12.75" hidden="false" customHeight="false" outlineLevel="0" collapsed="false">
      <c r="F189" s="86"/>
      <c r="G189" s="86"/>
      <c r="H189" s="86"/>
      <c r="I189" s="86"/>
      <c r="J189" s="86"/>
      <c r="K189" s="86"/>
      <c r="L189" s="86"/>
      <c r="N189" s="86"/>
      <c r="CQ189" s="86"/>
      <c r="CR189" s="86"/>
      <c r="CS189" s="86"/>
      <c r="CT189" s="86"/>
      <c r="CU189" s="86"/>
      <c r="CV189" s="86"/>
      <c r="CW189" s="86"/>
    </row>
    <row r="190" customFormat="false" ht="12.75" hidden="false" customHeight="false" outlineLevel="0" collapsed="false">
      <c r="F190" s="86"/>
      <c r="G190" s="86"/>
      <c r="H190" s="86"/>
      <c r="I190" s="86"/>
      <c r="J190" s="86"/>
      <c r="K190" s="86"/>
      <c r="L190" s="86"/>
      <c r="N190" s="86"/>
      <c r="CQ190" s="86"/>
      <c r="CR190" s="86"/>
      <c r="CS190" s="86"/>
      <c r="CT190" s="86"/>
      <c r="CU190" s="86"/>
      <c r="CV190" s="86"/>
      <c r="CW190" s="86"/>
    </row>
    <row r="191" customFormat="false" ht="12.75" hidden="false" customHeight="false" outlineLevel="0" collapsed="false">
      <c r="F191" s="86"/>
      <c r="G191" s="86"/>
      <c r="H191" s="86"/>
      <c r="I191" s="86"/>
      <c r="J191" s="86"/>
      <c r="K191" s="86"/>
      <c r="L191" s="86"/>
      <c r="N191" s="86"/>
      <c r="CQ191" s="86"/>
      <c r="CR191" s="86"/>
      <c r="CS191" s="86"/>
      <c r="CT191" s="86"/>
      <c r="CU191" s="86"/>
      <c r="CV191" s="86"/>
      <c r="CW191" s="86"/>
    </row>
    <row r="192" customFormat="false" ht="12.75" hidden="false" customHeight="false" outlineLevel="0" collapsed="false">
      <c r="F192" s="86"/>
      <c r="G192" s="86"/>
      <c r="H192" s="86"/>
      <c r="I192" s="86"/>
      <c r="J192" s="86"/>
      <c r="K192" s="86"/>
      <c r="L192" s="86"/>
      <c r="N192" s="86"/>
      <c r="CQ192" s="86"/>
      <c r="CR192" s="86"/>
      <c r="CS192" s="86"/>
      <c r="CT192" s="86"/>
      <c r="CU192" s="86"/>
      <c r="CV192" s="86"/>
      <c r="CW192" s="86"/>
    </row>
    <row r="193" customFormat="false" ht="12.75" hidden="false" customHeight="false" outlineLevel="0" collapsed="false">
      <c r="F193" s="86"/>
      <c r="G193" s="86"/>
      <c r="H193" s="86"/>
      <c r="I193" s="86"/>
      <c r="J193" s="86"/>
      <c r="K193" s="86"/>
      <c r="L193" s="86"/>
      <c r="N193" s="86"/>
      <c r="CQ193" s="86"/>
      <c r="CR193" s="86"/>
      <c r="CS193" s="86"/>
      <c r="CT193" s="86"/>
      <c r="CU193" s="86"/>
      <c r="CV193" s="86"/>
      <c r="CW193" s="86"/>
    </row>
    <row r="194" customFormat="false" ht="12.75" hidden="false" customHeight="false" outlineLevel="0" collapsed="false">
      <c r="F194" s="86"/>
      <c r="G194" s="86"/>
      <c r="H194" s="86"/>
      <c r="I194" s="86"/>
      <c r="J194" s="86"/>
      <c r="K194" s="86"/>
      <c r="L194" s="86"/>
      <c r="N194" s="86"/>
      <c r="CQ194" s="86"/>
      <c r="CR194" s="86"/>
      <c r="CS194" s="86"/>
      <c r="CT194" s="86"/>
      <c r="CU194" s="86"/>
      <c r="CV194" s="86"/>
      <c r="CW194" s="86"/>
    </row>
    <row r="195" customFormat="false" ht="12.75" hidden="false" customHeight="false" outlineLevel="0" collapsed="false">
      <c r="F195" s="86"/>
      <c r="G195" s="86"/>
      <c r="H195" s="86"/>
      <c r="I195" s="86"/>
      <c r="J195" s="86"/>
      <c r="K195" s="86"/>
      <c r="L195" s="86"/>
      <c r="N195" s="86"/>
      <c r="CQ195" s="86"/>
      <c r="CR195" s="86"/>
      <c r="CS195" s="86"/>
      <c r="CT195" s="86"/>
      <c r="CU195" s="86"/>
      <c r="CV195" s="86"/>
      <c r="CW195" s="86"/>
    </row>
    <row r="196" customFormat="false" ht="12.75" hidden="false" customHeight="false" outlineLevel="0" collapsed="false">
      <c r="F196" s="86"/>
      <c r="G196" s="86"/>
      <c r="H196" s="86"/>
      <c r="I196" s="86"/>
      <c r="J196" s="86"/>
      <c r="K196" s="86"/>
      <c r="L196" s="86"/>
      <c r="N196" s="86"/>
      <c r="CQ196" s="86"/>
      <c r="CR196" s="86"/>
      <c r="CS196" s="86"/>
      <c r="CT196" s="86"/>
      <c r="CU196" s="86"/>
      <c r="CV196" s="86"/>
      <c r="CW196" s="86"/>
    </row>
    <row r="197" customFormat="false" ht="12.75" hidden="false" customHeight="false" outlineLevel="0" collapsed="false">
      <c r="F197" s="86"/>
      <c r="G197" s="86"/>
      <c r="H197" s="86"/>
      <c r="I197" s="86"/>
      <c r="J197" s="86"/>
      <c r="K197" s="86"/>
      <c r="L197" s="86"/>
      <c r="N197" s="86"/>
      <c r="CQ197" s="86"/>
      <c r="CR197" s="86"/>
      <c r="CS197" s="86"/>
      <c r="CT197" s="86"/>
      <c r="CU197" s="86"/>
      <c r="CV197" s="86"/>
      <c r="CW197" s="86"/>
    </row>
    <row r="198" customFormat="false" ht="12.75" hidden="false" customHeight="false" outlineLevel="0" collapsed="false">
      <c r="F198" s="86"/>
      <c r="G198" s="86"/>
      <c r="H198" s="86"/>
      <c r="I198" s="86"/>
      <c r="J198" s="86"/>
      <c r="K198" s="86"/>
      <c r="L198" s="86"/>
      <c r="N198" s="86"/>
      <c r="CQ198" s="86"/>
      <c r="CR198" s="86"/>
      <c r="CS198" s="86"/>
      <c r="CT198" s="86"/>
      <c r="CU198" s="86"/>
      <c r="CV198" s="86"/>
      <c r="CW198" s="86"/>
    </row>
    <row r="199" customFormat="false" ht="12.75" hidden="false" customHeight="false" outlineLevel="0" collapsed="false">
      <c r="F199" s="86"/>
      <c r="G199" s="86"/>
      <c r="H199" s="86"/>
      <c r="I199" s="86"/>
      <c r="J199" s="86"/>
      <c r="K199" s="86"/>
      <c r="L199" s="86"/>
      <c r="N199" s="86"/>
      <c r="CQ199" s="86"/>
      <c r="CR199" s="86"/>
      <c r="CS199" s="86"/>
      <c r="CT199" s="86"/>
      <c r="CU199" s="86"/>
      <c r="CV199" s="86"/>
      <c r="CW199" s="86"/>
    </row>
    <row r="200" customFormat="false" ht="12.75" hidden="false" customHeight="false" outlineLevel="0" collapsed="false">
      <c r="F200" s="86"/>
      <c r="G200" s="86"/>
      <c r="H200" s="86"/>
      <c r="I200" s="86"/>
      <c r="J200" s="86"/>
      <c r="K200" s="86"/>
      <c r="L200" s="86"/>
      <c r="N200" s="86"/>
      <c r="CQ200" s="86"/>
      <c r="CR200" s="86"/>
      <c r="CS200" s="86"/>
      <c r="CT200" s="86"/>
      <c r="CU200" s="86"/>
      <c r="CV200" s="86"/>
      <c r="CW200" s="86"/>
    </row>
    <row r="201" customFormat="false" ht="12.75" hidden="false" customHeight="false" outlineLevel="0" collapsed="false">
      <c r="F201" s="86"/>
      <c r="G201" s="86"/>
      <c r="H201" s="86"/>
      <c r="I201" s="86"/>
      <c r="J201" s="86"/>
      <c r="K201" s="86"/>
      <c r="L201" s="86"/>
      <c r="N201" s="86"/>
      <c r="CQ201" s="86"/>
      <c r="CR201" s="86"/>
      <c r="CS201" s="86"/>
      <c r="CT201" s="86"/>
      <c r="CU201" s="86"/>
      <c r="CV201" s="86"/>
      <c r="CW201" s="86"/>
    </row>
    <row r="202" customFormat="false" ht="12.75" hidden="false" customHeight="false" outlineLevel="0" collapsed="false">
      <c r="F202" s="86"/>
      <c r="G202" s="86"/>
      <c r="H202" s="86"/>
      <c r="I202" s="86"/>
      <c r="J202" s="86"/>
      <c r="K202" s="86"/>
      <c r="L202" s="86"/>
      <c r="N202" s="86"/>
      <c r="CQ202" s="86"/>
      <c r="CR202" s="86"/>
      <c r="CS202" s="86"/>
      <c r="CT202" s="86"/>
      <c r="CU202" s="86"/>
      <c r="CV202" s="86"/>
      <c r="CW202" s="86"/>
    </row>
    <row r="203" customFormat="false" ht="12.75" hidden="false" customHeight="false" outlineLevel="0" collapsed="false">
      <c r="F203" s="86"/>
      <c r="G203" s="86"/>
      <c r="H203" s="86"/>
      <c r="I203" s="86"/>
      <c r="J203" s="86"/>
      <c r="K203" s="86"/>
      <c r="L203" s="86"/>
      <c r="N203" s="86"/>
      <c r="CQ203" s="86"/>
      <c r="CR203" s="86"/>
      <c r="CS203" s="86"/>
      <c r="CT203" s="86"/>
      <c r="CU203" s="86"/>
      <c r="CV203" s="86"/>
      <c r="CW203" s="86"/>
    </row>
    <row r="204" customFormat="false" ht="12.75" hidden="false" customHeight="false" outlineLevel="0" collapsed="false">
      <c r="F204" s="86"/>
      <c r="G204" s="86"/>
      <c r="H204" s="86"/>
      <c r="I204" s="86"/>
      <c r="J204" s="86"/>
      <c r="K204" s="86"/>
      <c r="L204" s="86"/>
      <c r="N204" s="86"/>
      <c r="CQ204" s="86"/>
      <c r="CR204" s="86"/>
      <c r="CS204" s="86"/>
      <c r="CT204" s="86"/>
      <c r="CU204" s="86"/>
      <c r="CV204" s="86"/>
      <c r="CW204" s="86"/>
    </row>
    <row r="205" customFormat="false" ht="12.75" hidden="false" customHeight="false" outlineLevel="0" collapsed="false">
      <c r="F205" s="86"/>
      <c r="G205" s="86"/>
      <c r="H205" s="86"/>
      <c r="I205" s="86"/>
      <c r="J205" s="86"/>
      <c r="K205" s="86"/>
      <c r="L205" s="86"/>
      <c r="N205" s="86"/>
      <c r="CQ205" s="86"/>
      <c r="CR205" s="86"/>
      <c r="CS205" s="86"/>
      <c r="CT205" s="86"/>
      <c r="CU205" s="86"/>
      <c r="CV205" s="86"/>
      <c r="CW205" s="86"/>
    </row>
    <row r="206" customFormat="false" ht="12.75" hidden="false" customHeight="false" outlineLevel="0" collapsed="false">
      <c r="F206" s="86"/>
      <c r="G206" s="86"/>
      <c r="H206" s="86"/>
      <c r="I206" s="86"/>
      <c r="J206" s="86"/>
      <c r="K206" s="86"/>
      <c r="L206" s="86"/>
      <c r="N206" s="86"/>
      <c r="CQ206" s="86"/>
      <c r="CR206" s="86"/>
      <c r="CS206" s="86"/>
      <c r="CT206" s="86"/>
      <c r="CU206" s="86"/>
      <c r="CV206" s="86"/>
      <c r="CW206" s="86"/>
    </row>
    <row r="207" customFormat="false" ht="12.75" hidden="false" customHeight="false" outlineLevel="0" collapsed="false">
      <c r="F207" s="86"/>
      <c r="G207" s="86"/>
      <c r="H207" s="86"/>
      <c r="I207" s="86"/>
      <c r="J207" s="86"/>
      <c r="K207" s="86"/>
      <c r="L207" s="86"/>
      <c r="N207" s="86"/>
      <c r="CQ207" s="86"/>
      <c r="CR207" s="86"/>
      <c r="CS207" s="86"/>
      <c r="CT207" s="86"/>
      <c r="CU207" s="86"/>
      <c r="CV207" s="86"/>
      <c r="CW207" s="86"/>
    </row>
    <row r="208" customFormat="false" ht="12.75" hidden="false" customHeight="false" outlineLevel="0" collapsed="false">
      <c r="F208" s="86"/>
      <c r="G208" s="86"/>
      <c r="H208" s="86"/>
      <c r="I208" s="86"/>
      <c r="J208" s="86"/>
      <c r="K208" s="86"/>
      <c r="L208" s="86"/>
      <c r="N208" s="86"/>
      <c r="CQ208" s="86"/>
      <c r="CR208" s="86"/>
      <c r="CS208" s="86"/>
      <c r="CT208" s="86"/>
      <c r="CU208" s="86"/>
      <c r="CV208" s="86"/>
      <c r="CW208" s="86"/>
    </row>
    <row r="209" customFormat="false" ht="12.75" hidden="false" customHeight="false" outlineLevel="0" collapsed="false">
      <c r="F209" s="86"/>
      <c r="G209" s="86"/>
      <c r="H209" s="86"/>
      <c r="I209" s="86"/>
      <c r="J209" s="86"/>
      <c r="K209" s="86"/>
      <c r="L209" s="86"/>
      <c r="N209" s="86"/>
      <c r="CQ209" s="86"/>
      <c r="CR209" s="86"/>
      <c r="CS209" s="86"/>
      <c r="CT209" s="86"/>
      <c r="CU209" s="86"/>
      <c r="CV209" s="86"/>
      <c r="CW209" s="86"/>
    </row>
    <row r="210" customFormat="false" ht="12.75" hidden="false" customHeight="false" outlineLevel="0" collapsed="false">
      <c r="F210" s="86"/>
      <c r="G210" s="86"/>
      <c r="H210" s="86"/>
      <c r="I210" s="86"/>
      <c r="J210" s="86"/>
      <c r="K210" s="86"/>
      <c r="L210" s="86"/>
      <c r="N210" s="86"/>
      <c r="CQ210" s="86"/>
      <c r="CR210" s="86"/>
      <c r="CS210" s="86"/>
      <c r="CT210" s="86"/>
      <c r="CU210" s="86"/>
      <c r="CV210" s="86"/>
      <c r="CW210" s="86"/>
    </row>
    <row r="211" customFormat="false" ht="12.75" hidden="false" customHeight="false" outlineLevel="0" collapsed="false">
      <c r="F211" s="86"/>
      <c r="G211" s="86"/>
      <c r="H211" s="86"/>
      <c r="I211" s="86"/>
      <c r="J211" s="86"/>
      <c r="K211" s="86"/>
      <c r="L211" s="86"/>
      <c r="N211" s="86"/>
      <c r="CQ211" s="86"/>
      <c r="CR211" s="86"/>
      <c r="CS211" s="86"/>
      <c r="CT211" s="86"/>
      <c r="CU211" s="86"/>
      <c r="CV211" s="86"/>
      <c r="CW211" s="86"/>
    </row>
    <row r="212" customFormat="false" ht="12.75" hidden="false" customHeight="false" outlineLevel="0" collapsed="false">
      <c r="F212" s="86"/>
      <c r="G212" s="86"/>
      <c r="H212" s="86"/>
      <c r="I212" s="86"/>
      <c r="J212" s="86"/>
      <c r="K212" s="86"/>
      <c r="L212" s="86"/>
      <c r="N212" s="86"/>
      <c r="CQ212" s="86"/>
      <c r="CR212" s="86"/>
      <c r="CS212" s="86"/>
      <c r="CT212" s="86"/>
      <c r="CU212" s="86"/>
      <c r="CV212" s="86"/>
      <c r="CW212" s="86"/>
    </row>
    <row r="213" customFormat="false" ht="12.75" hidden="false" customHeight="false" outlineLevel="0" collapsed="false">
      <c r="F213" s="86"/>
      <c r="G213" s="86"/>
      <c r="H213" s="86"/>
      <c r="I213" s="86"/>
      <c r="J213" s="86"/>
      <c r="K213" s="86"/>
      <c r="L213" s="86"/>
      <c r="N213" s="86"/>
      <c r="CQ213" s="86"/>
      <c r="CR213" s="86"/>
      <c r="CS213" s="86"/>
      <c r="CT213" s="86"/>
      <c r="CU213" s="86"/>
      <c r="CV213" s="86"/>
      <c r="CW213" s="86"/>
    </row>
    <row r="214" customFormat="false" ht="12.75" hidden="false" customHeight="false" outlineLevel="0" collapsed="false">
      <c r="F214" s="86"/>
      <c r="G214" s="86"/>
      <c r="H214" s="86"/>
      <c r="I214" s="86"/>
      <c r="J214" s="86"/>
      <c r="K214" s="86"/>
      <c r="L214" s="86"/>
      <c r="N214" s="86"/>
      <c r="CQ214" s="86"/>
      <c r="CR214" s="86"/>
      <c r="CS214" s="86"/>
      <c r="CT214" s="86"/>
      <c r="CU214" s="86"/>
      <c r="CV214" s="86"/>
      <c r="CW214" s="86"/>
    </row>
    <row r="215" customFormat="false" ht="12.75" hidden="false" customHeight="false" outlineLevel="0" collapsed="false">
      <c r="F215" s="86"/>
      <c r="G215" s="86"/>
      <c r="H215" s="86"/>
      <c r="I215" s="86"/>
      <c r="J215" s="86"/>
      <c r="K215" s="86"/>
      <c r="L215" s="86"/>
      <c r="N215" s="86"/>
      <c r="CQ215" s="86"/>
      <c r="CR215" s="86"/>
      <c r="CS215" s="86"/>
      <c r="CT215" s="86"/>
      <c r="CU215" s="86"/>
      <c r="CV215" s="86"/>
      <c r="CW215" s="86"/>
    </row>
    <row r="216" customFormat="false" ht="12.75" hidden="false" customHeight="false" outlineLevel="0" collapsed="false">
      <c r="F216" s="86"/>
      <c r="G216" s="86"/>
      <c r="H216" s="86"/>
      <c r="I216" s="86"/>
      <c r="J216" s="86"/>
      <c r="K216" s="86"/>
      <c r="L216" s="86"/>
      <c r="N216" s="86"/>
      <c r="CQ216" s="86"/>
      <c r="CR216" s="86"/>
      <c r="CS216" s="86"/>
      <c r="CT216" s="86"/>
      <c r="CU216" s="86"/>
      <c r="CV216" s="86"/>
      <c r="CW216" s="86"/>
    </row>
    <row r="217" customFormat="false" ht="12.75" hidden="false" customHeight="false" outlineLevel="0" collapsed="false">
      <c r="F217" s="86"/>
      <c r="G217" s="86"/>
      <c r="H217" s="86"/>
      <c r="I217" s="86"/>
      <c r="J217" s="86"/>
      <c r="K217" s="86"/>
      <c r="L217" s="86"/>
      <c r="N217" s="86"/>
      <c r="CQ217" s="86"/>
      <c r="CR217" s="86"/>
      <c r="CS217" s="86"/>
      <c r="CT217" s="86"/>
      <c r="CU217" s="86"/>
      <c r="CV217" s="86"/>
      <c r="CW217" s="86"/>
    </row>
    <row r="218" customFormat="false" ht="12.75" hidden="false" customHeight="false" outlineLevel="0" collapsed="false">
      <c r="F218" s="86"/>
      <c r="G218" s="86"/>
      <c r="H218" s="86"/>
      <c r="I218" s="86"/>
      <c r="J218" s="86"/>
      <c r="K218" s="86"/>
      <c r="L218" s="86"/>
      <c r="N218" s="86"/>
      <c r="CQ218" s="86"/>
      <c r="CR218" s="86"/>
      <c r="CS218" s="86"/>
      <c r="CT218" s="86"/>
      <c r="CU218" s="86"/>
      <c r="CV218" s="86"/>
      <c r="CW218" s="86"/>
    </row>
    <row r="219" customFormat="false" ht="12.75" hidden="false" customHeight="false" outlineLevel="0" collapsed="false">
      <c r="F219" s="86"/>
      <c r="G219" s="86"/>
      <c r="H219" s="86"/>
      <c r="I219" s="86"/>
      <c r="J219" s="86"/>
      <c r="K219" s="86"/>
      <c r="L219" s="86"/>
      <c r="N219" s="86"/>
      <c r="CQ219" s="86"/>
      <c r="CR219" s="86"/>
      <c r="CS219" s="86"/>
      <c r="CT219" s="86"/>
      <c r="CU219" s="86"/>
      <c r="CV219" s="86"/>
      <c r="CW219" s="86"/>
    </row>
    <row r="220" customFormat="false" ht="12.75" hidden="false" customHeight="false" outlineLevel="0" collapsed="false">
      <c r="F220" s="86"/>
      <c r="G220" s="86"/>
      <c r="H220" s="86"/>
      <c r="I220" s="86"/>
      <c r="J220" s="86"/>
      <c r="K220" s="86"/>
      <c r="L220" s="86"/>
      <c r="N220" s="86"/>
      <c r="CQ220" s="86"/>
      <c r="CR220" s="86"/>
      <c r="CS220" s="86"/>
      <c r="CT220" s="86"/>
      <c r="CU220" s="86"/>
      <c r="CV220" s="86"/>
      <c r="CW220" s="86"/>
    </row>
    <row r="221" customFormat="false" ht="12.75" hidden="false" customHeight="false" outlineLevel="0" collapsed="false">
      <c r="F221" s="86"/>
      <c r="G221" s="86"/>
      <c r="H221" s="86"/>
      <c r="I221" s="86"/>
      <c r="J221" s="86"/>
      <c r="K221" s="86"/>
      <c r="L221" s="86"/>
      <c r="N221" s="86"/>
      <c r="CQ221" s="86"/>
      <c r="CR221" s="86"/>
      <c r="CS221" s="86"/>
      <c r="CT221" s="86"/>
      <c r="CU221" s="86"/>
      <c r="CV221" s="86"/>
      <c r="CW221" s="86"/>
    </row>
    <row r="222" customFormat="false" ht="12.75" hidden="false" customHeight="false" outlineLevel="0" collapsed="false">
      <c r="F222" s="86"/>
      <c r="G222" s="86"/>
      <c r="H222" s="86"/>
      <c r="I222" s="86"/>
      <c r="J222" s="86"/>
      <c r="K222" s="86"/>
      <c r="L222" s="86"/>
      <c r="N222" s="86"/>
      <c r="CQ222" s="86"/>
      <c r="CR222" s="86"/>
      <c r="CS222" s="86"/>
      <c r="CT222" s="86"/>
      <c r="CU222" s="86"/>
      <c r="CV222" s="86"/>
      <c r="CW222" s="86"/>
    </row>
    <row r="223" customFormat="false" ht="12.75" hidden="false" customHeight="false" outlineLevel="0" collapsed="false">
      <c r="F223" s="86"/>
      <c r="G223" s="86"/>
      <c r="H223" s="86"/>
      <c r="I223" s="86"/>
      <c r="J223" s="86"/>
      <c r="K223" s="86"/>
      <c r="L223" s="86"/>
      <c r="N223" s="86"/>
      <c r="CQ223" s="86"/>
      <c r="CR223" s="86"/>
      <c r="CS223" s="86"/>
      <c r="CT223" s="86"/>
      <c r="CU223" s="86"/>
      <c r="CV223" s="86"/>
      <c r="CW223" s="86"/>
    </row>
    <row r="224" customFormat="false" ht="12.75" hidden="false" customHeight="false" outlineLevel="0" collapsed="false">
      <c r="F224" s="86"/>
      <c r="G224" s="86"/>
      <c r="H224" s="86"/>
      <c r="I224" s="86"/>
      <c r="J224" s="86"/>
      <c r="K224" s="86"/>
      <c r="L224" s="86"/>
      <c r="N224" s="86"/>
      <c r="CQ224" s="86"/>
      <c r="CR224" s="86"/>
      <c r="CS224" s="86"/>
      <c r="CT224" s="86"/>
      <c r="CU224" s="86"/>
      <c r="CV224" s="86"/>
      <c r="CW224" s="86"/>
    </row>
    <row r="225" customFormat="false" ht="12.75" hidden="false" customHeight="false" outlineLevel="0" collapsed="false">
      <c r="F225" s="86"/>
      <c r="G225" s="86"/>
      <c r="H225" s="86"/>
      <c r="I225" s="86"/>
      <c r="J225" s="86"/>
      <c r="K225" s="86"/>
      <c r="L225" s="86"/>
      <c r="N225" s="86"/>
      <c r="CQ225" s="86"/>
      <c r="CR225" s="86"/>
      <c r="CS225" s="86"/>
      <c r="CT225" s="86"/>
      <c r="CU225" s="86"/>
      <c r="CV225" s="86"/>
      <c r="CW225" s="86"/>
    </row>
    <row r="226" customFormat="false" ht="12.75" hidden="false" customHeight="false" outlineLevel="0" collapsed="false">
      <c r="F226" s="86"/>
      <c r="G226" s="86"/>
      <c r="H226" s="86"/>
      <c r="I226" s="86"/>
      <c r="J226" s="86"/>
      <c r="K226" s="86"/>
      <c r="L226" s="86"/>
      <c r="N226" s="86"/>
      <c r="CQ226" s="86"/>
      <c r="CR226" s="86"/>
      <c r="CS226" s="86"/>
      <c r="CT226" s="86"/>
      <c r="CU226" s="86"/>
      <c r="CV226" s="86"/>
      <c r="CW226" s="86"/>
    </row>
    <row r="227" customFormat="false" ht="12.75" hidden="false" customHeight="false" outlineLevel="0" collapsed="false">
      <c r="F227" s="86"/>
      <c r="G227" s="86"/>
      <c r="H227" s="86"/>
      <c r="I227" s="86"/>
      <c r="J227" s="86"/>
      <c r="K227" s="86"/>
      <c r="L227" s="86"/>
      <c r="N227" s="86"/>
      <c r="CQ227" s="86"/>
      <c r="CR227" s="86"/>
      <c r="CS227" s="86"/>
      <c r="CT227" s="86"/>
      <c r="CU227" s="86"/>
      <c r="CV227" s="86"/>
      <c r="CW227" s="86"/>
    </row>
    <row r="228" customFormat="false" ht="12.75" hidden="false" customHeight="false" outlineLevel="0" collapsed="false">
      <c r="F228" s="86"/>
      <c r="G228" s="86"/>
      <c r="H228" s="86"/>
      <c r="I228" s="86"/>
      <c r="J228" s="86"/>
      <c r="K228" s="86"/>
      <c r="L228" s="86"/>
      <c r="N228" s="86"/>
      <c r="CQ228" s="86"/>
      <c r="CR228" s="86"/>
      <c r="CS228" s="86"/>
      <c r="CT228" s="86"/>
      <c r="CU228" s="86"/>
      <c r="CV228" s="86"/>
      <c r="CW228" s="86"/>
    </row>
    <row r="229" customFormat="false" ht="12.75" hidden="false" customHeight="false" outlineLevel="0" collapsed="false">
      <c r="F229" s="86"/>
      <c r="G229" s="86"/>
      <c r="H229" s="86"/>
      <c r="I229" s="86"/>
      <c r="J229" s="86"/>
      <c r="K229" s="86"/>
      <c r="L229" s="86"/>
      <c r="N229" s="86"/>
      <c r="CQ229" s="86"/>
      <c r="CR229" s="86"/>
      <c r="CS229" s="86"/>
      <c r="CT229" s="86"/>
      <c r="CU229" s="86"/>
      <c r="CV229" s="86"/>
      <c r="CW229" s="86"/>
    </row>
    <row r="230" customFormat="false" ht="12.75" hidden="false" customHeight="false" outlineLevel="0" collapsed="false">
      <c r="F230" s="86"/>
      <c r="G230" s="86"/>
      <c r="H230" s="86"/>
      <c r="I230" s="86"/>
      <c r="J230" s="86"/>
      <c r="K230" s="86"/>
      <c r="L230" s="86"/>
      <c r="N230" s="86"/>
      <c r="CQ230" s="86"/>
      <c r="CR230" s="86"/>
      <c r="CS230" s="86"/>
      <c r="CT230" s="86"/>
      <c r="CU230" s="86"/>
      <c r="CV230" s="86"/>
      <c r="CW230" s="86"/>
    </row>
    <row r="231" customFormat="false" ht="12.75" hidden="false" customHeight="false" outlineLevel="0" collapsed="false">
      <c r="F231" s="86"/>
      <c r="G231" s="86"/>
      <c r="H231" s="86"/>
      <c r="I231" s="86"/>
      <c r="J231" s="86"/>
      <c r="K231" s="86"/>
      <c r="L231" s="86"/>
      <c r="N231" s="86"/>
      <c r="CQ231" s="86"/>
      <c r="CR231" s="86"/>
      <c r="CS231" s="86"/>
      <c r="CT231" s="86"/>
      <c r="CU231" s="86"/>
      <c r="CV231" s="86"/>
      <c r="CW231" s="86"/>
    </row>
    <row r="232" customFormat="false" ht="12.75" hidden="false" customHeight="false" outlineLevel="0" collapsed="false">
      <c r="F232" s="86"/>
      <c r="G232" s="86"/>
      <c r="H232" s="86"/>
      <c r="I232" s="86"/>
      <c r="J232" s="86"/>
      <c r="K232" s="86"/>
      <c r="L232" s="86"/>
      <c r="N232" s="86"/>
      <c r="CQ232" s="86"/>
      <c r="CR232" s="86"/>
      <c r="CS232" s="86"/>
      <c r="CT232" s="86"/>
      <c r="CU232" s="86"/>
      <c r="CV232" s="86"/>
      <c r="CW232" s="86"/>
    </row>
    <row r="233" customFormat="false" ht="12.75" hidden="false" customHeight="false" outlineLevel="0" collapsed="false">
      <c r="F233" s="86"/>
      <c r="G233" s="86"/>
      <c r="H233" s="86"/>
      <c r="I233" s="86"/>
      <c r="J233" s="86"/>
      <c r="K233" s="86"/>
      <c r="L233" s="86"/>
      <c r="N233" s="86"/>
      <c r="CQ233" s="86"/>
      <c r="CR233" s="86"/>
      <c r="CS233" s="86"/>
      <c r="CT233" s="86"/>
      <c r="CU233" s="86"/>
      <c r="CV233" s="86"/>
      <c r="CW233" s="86"/>
    </row>
    <row r="234" customFormat="false" ht="12.75" hidden="false" customHeight="false" outlineLevel="0" collapsed="false">
      <c r="F234" s="86"/>
      <c r="G234" s="86"/>
      <c r="H234" s="86"/>
      <c r="I234" s="86"/>
      <c r="J234" s="86"/>
      <c r="K234" s="86"/>
      <c r="L234" s="86"/>
      <c r="N234" s="86"/>
      <c r="CQ234" s="86"/>
      <c r="CR234" s="86"/>
      <c r="CS234" s="86"/>
      <c r="CT234" s="86"/>
      <c r="CU234" s="86"/>
      <c r="CV234" s="86"/>
      <c r="CW234" s="86"/>
    </row>
    <row r="235" customFormat="false" ht="12.75" hidden="false" customHeight="false" outlineLevel="0" collapsed="false">
      <c r="F235" s="86"/>
      <c r="G235" s="86"/>
      <c r="H235" s="86"/>
      <c r="I235" s="86"/>
      <c r="J235" s="86"/>
      <c r="K235" s="86"/>
      <c r="L235" s="86"/>
      <c r="N235" s="86"/>
      <c r="CQ235" s="86"/>
      <c r="CR235" s="86"/>
      <c r="CS235" s="86"/>
      <c r="CT235" s="86"/>
      <c r="CU235" s="86"/>
      <c r="CV235" s="86"/>
      <c r="CW235" s="86"/>
    </row>
    <row r="236" customFormat="false" ht="12.75" hidden="false" customHeight="false" outlineLevel="0" collapsed="false">
      <c r="F236" s="86"/>
      <c r="G236" s="86"/>
      <c r="H236" s="86"/>
      <c r="I236" s="86"/>
      <c r="J236" s="86"/>
      <c r="K236" s="86"/>
      <c r="L236" s="86"/>
      <c r="N236" s="86"/>
      <c r="CQ236" s="86"/>
      <c r="CR236" s="86"/>
      <c r="CS236" s="86"/>
      <c r="CT236" s="86"/>
      <c r="CU236" s="86"/>
      <c r="CV236" s="86"/>
      <c r="CW236" s="86"/>
    </row>
    <row r="237" customFormat="false" ht="12.75" hidden="false" customHeight="false" outlineLevel="0" collapsed="false">
      <c r="F237" s="86"/>
      <c r="G237" s="86"/>
      <c r="H237" s="86"/>
      <c r="I237" s="86"/>
      <c r="J237" s="86"/>
      <c r="K237" s="86"/>
      <c r="L237" s="86"/>
      <c r="N237" s="86"/>
      <c r="CQ237" s="86"/>
      <c r="CR237" s="86"/>
      <c r="CS237" s="86"/>
      <c r="CT237" s="86"/>
      <c r="CU237" s="86"/>
      <c r="CV237" s="86"/>
      <c r="CW237" s="86"/>
    </row>
    <row r="238" customFormat="false" ht="12.75" hidden="false" customHeight="false" outlineLevel="0" collapsed="false">
      <c r="F238" s="86"/>
      <c r="G238" s="86"/>
      <c r="H238" s="86"/>
      <c r="I238" s="86"/>
      <c r="J238" s="86"/>
      <c r="K238" s="86"/>
      <c r="L238" s="86"/>
      <c r="N238" s="86"/>
      <c r="CQ238" s="86"/>
      <c r="CR238" s="86"/>
      <c r="CS238" s="86"/>
      <c r="CT238" s="86"/>
      <c r="CU238" s="86"/>
      <c r="CV238" s="86"/>
      <c r="CW238" s="86"/>
    </row>
    <row r="239" customFormat="false" ht="12.75" hidden="false" customHeight="false" outlineLevel="0" collapsed="false">
      <c r="F239" s="86"/>
      <c r="G239" s="86"/>
      <c r="H239" s="86"/>
      <c r="I239" s="86"/>
      <c r="J239" s="86"/>
      <c r="K239" s="86"/>
      <c r="L239" s="86"/>
      <c r="N239" s="86"/>
      <c r="CQ239" s="86"/>
      <c r="CR239" s="86"/>
      <c r="CS239" s="86"/>
      <c r="CT239" s="86"/>
      <c r="CU239" s="86"/>
      <c r="CV239" s="86"/>
      <c r="CW239" s="86"/>
    </row>
    <row r="240" customFormat="false" ht="12.75" hidden="false" customHeight="false" outlineLevel="0" collapsed="false">
      <c r="F240" s="86"/>
      <c r="G240" s="86"/>
      <c r="H240" s="86"/>
      <c r="I240" s="86"/>
      <c r="J240" s="86"/>
      <c r="K240" s="86"/>
      <c r="L240" s="86"/>
      <c r="N240" s="86"/>
      <c r="CQ240" s="86"/>
      <c r="CR240" s="86"/>
      <c r="CS240" s="86"/>
      <c r="CT240" s="86"/>
      <c r="CU240" s="86"/>
      <c r="CV240" s="86"/>
      <c r="CW240" s="86"/>
    </row>
    <row r="241" customFormat="false" ht="12.75" hidden="false" customHeight="false" outlineLevel="0" collapsed="false">
      <c r="F241" s="86"/>
      <c r="G241" s="86"/>
      <c r="H241" s="86"/>
      <c r="I241" s="86"/>
      <c r="J241" s="86"/>
      <c r="K241" s="86"/>
      <c r="L241" s="86"/>
      <c r="N241" s="86"/>
      <c r="CQ241" s="86"/>
      <c r="CR241" s="86"/>
      <c r="CS241" s="86"/>
      <c r="CT241" s="86"/>
      <c r="CU241" s="86"/>
      <c r="CV241" s="86"/>
      <c r="CW241" s="86"/>
    </row>
    <row r="242" customFormat="false" ht="12.75" hidden="false" customHeight="false" outlineLevel="0" collapsed="false">
      <c r="F242" s="86"/>
      <c r="G242" s="86"/>
      <c r="H242" s="86"/>
      <c r="I242" s="86"/>
      <c r="J242" s="86"/>
      <c r="K242" s="86"/>
      <c r="L242" s="86"/>
      <c r="N242" s="86"/>
      <c r="CQ242" s="86"/>
      <c r="CR242" s="86"/>
      <c r="CS242" s="86"/>
      <c r="CT242" s="86"/>
      <c r="CU242" s="86"/>
      <c r="CV242" s="86"/>
      <c r="CW242" s="86"/>
    </row>
    <row r="243" customFormat="false" ht="12.75" hidden="false" customHeight="false" outlineLevel="0" collapsed="false">
      <c r="F243" s="86"/>
      <c r="G243" s="86"/>
      <c r="H243" s="86"/>
      <c r="I243" s="86"/>
      <c r="J243" s="86"/>
      <c r="K243" s="86"/>
      <c r="L243" s="86"/>
      <c r="N243" s="86"/>
      <c r="CQ243" s="86"/>
      <c r="CR243" s="86"/>
      <c r="CS243" s="86"/>
      <c r="CT243" s="86"/>
      <c r="CU243" s="86"/>
      <c r="CV243" s="86"/>
      <c r="CW243" s="86"/>
    </row>
    <row r="244" customFormat="false" ht="12.75" hidden="false" customHeight="false" outlineLevel="0" collapsed="false">
      <c r="F244" s="86"/>
      <c r="G244" s="86"/>
      <c r="H244" s="86"/>
      <c r="I244" s="86"/>
      <c r="J244" s="86"/>
      <c r="K244" s="86"/>
      <c r="L244" s="86"/>
      <c r="N244" s="86"/>
      <c r="CQ244" s="86"/>
      <c r="CR244" s="86"/>
      <c r="CS244" s="86"/>
      <c r="CT244" s="86"/>
      <c r="CU244" s="86"/>
      <c r="CV244" s="86"/>
      <c r="CW244" s="86"/>
    </row>
    <row r="245" customFormat="false" ht="12.75" hidden="false" customHeight="false" outlineLevel="0" collapsed="false">
      <c r="F245" s="86"/>
      <c r="G245" s="86"/>
      <c r="H245" s="86"/>
      <c r="I245" s="86"/>
      <c r="J245" s="86"/>
      <c r="K245" s="86"/>
      <c r="L245" s="86"/>
      <c r="N245" s="86"/>
      <c r="CQ245" s="86"/>
      <c r="CR245" s="86"/>
      <c r="CS245" s="86"/>
      <c r="CT245" s="86"/>
      <c r="CU245" s="86"/>
      <c r="CV245" s="86"/>
      <c r="CW245" s="86"/>
    </row>
    <row r="246" customFormat="false" ht="12.75" hidden="false" customHeight="false" outlineLevel="0" collapsed="false">
      <c r="F246" s="86"/>
      <c r="G246" s="86"/>
      <c r="H246" s="86"/>
      <c r="I246" s="86"/>
      <c r="J246" s="86"/>
      <c r="K246" s="86"/>
      <c r="L246" s="86"/>
      <c r="N246" s="86"/>
      <c r="CQ246" s="86"/>
      <c r="CR246" s="86"/>
      <c r="CS246" s="86"/>
      <c r="CT246" s="86"/>
      <c r="CU246" s="86"/>
      <c r="CV246" s="86"/>
      <c r="CW246" s="86"/>
    </row>
    <row r="247" customFormat="false" ht="12.75" hidden="false" customHeight="false" outlineLevel="0" collapsed="false">
      <c r="F247" s="86"/>
      <c r="G247" s="86"/>
      <c r="H247" s="86"/>
      <c r="I247" s="86"/>
      <c r="J247" s="86"/>
      <c r="K247" s="86"/>
      <c r="L247" s="86"/>
      <c r="N247" s="86"/>
      <c r="CQ247" s="86"/>
      <c r="CR247" s="86"/>
      <c r="CS247" s="86"/>
      <c r="CT247" s="86"/>
      <c r="CU247" s="86"/>
      <c r="CV247" s="86"/>
      <c r="CW247" s="86"/>
    </row>
    <row r="248" customFormat="false" ht="12.75" hidden="false" customHeight="false" outlineLevel="0" collapsed="false">
      <c r="F248" s="86"/>
      <c r="G248" s="86"/>
      <c r="H248" s="86"/>
      <c r="I248" s="86"/>
      <c r="J248" s="86"/>
      <c r="K248" s="86"/>
      <c r="L248" s="86"/>
      <c r="N248" s="86"/>
      <c r="CQ248" s="86"/>
      <c r="CR248" s="86"/>
      <c r="CS248" s="86"/>
      <c r="CT248" s="86"/>
      <c r="CU248" s="86"/>
      <c r="CV248" s="86"/>
      <c r="CW248" s="86"/>
    </row>
    <row r="249" customFormat="false" ht="12.75" hidden="false" customHeight="false" outlineLevel="0" collapsed="false">
      <c r="F249" s="86"/>
      <c r="G249" s="86"/>
      <c r="H249" s="86"/>
      <c r="I249" s="86"/>
      <c r="J249" s="86"/>
      <c r="K249" s="86"/>
      <c r="L249" s="86"/>
      <c r="N249" s="86"/>
      <c r="CQ249" s="86"/>
      <c r="CR249" s="86"/>
      <c r="CS249" s="86"/>
      <c r="CT249" s="86"/>
      <c r="CU249" s="86"/>
      <c r="CV249" s="86"/>
      <c r="CW249" s="86"/>
    </row>
    <row r="250" customFormat="false" ht="12.75" hidden="false" customHeight="false" outlineLevel="0" collapsed="false">
      <c r="F250" s="86"/>
      <c r="G250" s="86"/>
      <c r="H250" s="86"/>
      <c r="I250" s="86"/>
      <c r="J250" s="86"/>
      <c r="K250" s="86"/>
      <c r="L250" s="86"/>
      <c r="N250" s="86"/>
      <c r="CQ250" s="86"/>
      <c r="CR250" s="86"/>
      <c r="CS250" s="86"/>
      <c r="CT250" s="86"/>
      <c r="CU250" s="86"/>
      <c r="CV250" s="86"/>
      <c r="CW250" s="86"/>
    </row>
    <row r="251" customFormat="false" ht="12.75" hidden="false" customHeight="false" outlineLevel="0" collapsed="false">
      <c r="F251" s="86"/>
      <c r="G251" s="86"/>
      <c r="H251" s="86"/>
      <c r="I251" s="86"/>
      <c r="J251" s="86"/>
      <c r="K251" s="86"/>
      <c r="L251" s="86"/>
      <c r="N251" s="86"/>
      <c r="CQ251" s="86"/>
      <c r="CR251" s="86"/>
      <c r="CS251" s="86"/>
      <c r="CT251" s="86"/>
      <c r="CU251" s="86"/>
      <c r="CV251" s="86"/>
      <c r="CW251" s="86"/>
    </row>
    <row r="252" customFormat="false" ht="12.75" hidden="false" customHeight="false" outlineLevel="0" collapsed="false">
      <c r="F252" s="86"/>
      <c r="G252" s="86"/>
      <c r="H252" s="86"/>
      <c r="I252" s="86"/>
      <c r="J252" s="86"/>
      <c r="K252" s="86"/>
      <c r="L252" s="86"/>
      <c r="N252" s="86"/>
      <c r="CQ252" s="86"/>
      <c r="CR252" s="86"/>
      <c r="CS252" s="86"/>
      <c r="CT252" s="86"/>
      <c r="CU252" s="86"/>
      <c r="CV252" s="86"/>
      <c r="CW252" s="86"/>
    </row>
    <row r="253" customFormat="false" ht="12.75" hidden="false" customHeight="false" outlineLevel="0" collapsed="false">
      <c r="F253" s="86"/>
      <c r="G253" s="86"/>
      <c r="H253" s="86"/>
      <c r="I253" s="86"/>
      <c r="J253" s="86"/>
      <c r="K253" s="86"/>
      <c r="L253" s="86"/>
      <c r="N253" s="86"/>
      <c r="CQ253" s="86"/>
      <c r="CR253" s="86"/>
      <c r="CS253" s="86"/>
      <c r="CT253" s="86"/>
      <c r="CU253" s="86"/>
      <c r="CV253" s="86"/>
      <c r="CW253" s="86"/>
    </row>
    <row r="254" customFormat="false" ht="12.75" hidden="false" customHeight="false" outlineLevel="0" collapsed="false">
      <c r="F254" s="86"/>
      <c r="G254" s="86"/>
      <c r="H254" s="86"/>
      <c r="I254" s="86"/>
      <c r="J254" s="86"/>
      <c r="K254" s="86"/>
      <c r="L254" s="86"/>
      <c r="N254" s="86"/>
      <c r="CQ254" s="86"/>
      <c r="CR254" s="86"/>
      <c r="CS254" s="86"/>
      <c r="CT254" s="86"/>
      <c r="CU254" s="86"/>
      <c r="CV254" s="86"/>
      <c r="CW254" s="86"/>
    </row>
    <row r="255" customFormat="false" ht="12.75" hidden="false" customHeight="false" outlineLevel="0" collapsed="false">
      <c r="F255" s="86"/>
      <c r="G255" s="86"/>
      <c r="H255" s="86"/>
      <c r="I255" s="86"/>
      <c r="J255" s="86"/>
      <c r="K255" s="86"/>
      <c r="L255" s="86"/>
      <c r="N255" s="86"/>
      <c r="CQ255" s="86"/>
      <c r="CR255" s="86"/>
      <c r="CS255" s="86"/>
      <c r="CT255" s="86"/>
      <c r="CU255" s="86"/>
      <c r="CV255" s="86"/>
      <c r="CW255" s="86"/>
    </row>
    <row r="256" customFormat="false" ht="12.75" hidden="false" customHeight="false" outlineLevel="0" collapsed="false">
      <c r="F256" s="86"/>
      <c r="G256" s="86"/>
      <c r="H256" s="86"/>
      <c r="I256" s="86"/>
      <c r="J256" s="86"/>
      <c r="K256" s="86"/>
      <c r="L256" s="86"/>
      <c r="N256" s="86"/>
      <c r="CQ256" s="86"/>
      <c r="CR256" s="86"/>
      <c r="CS256" s="86"/>
      <c r="CT256" s="86"/>
      <c r="CU256" s="86"/>
      <c r="CV256" s="86"/>
      <c r="CW256" s="86"/>
    </row>
    <row r="257" customFormat="false" ht="12.75" hidden="false" customHeight="false" outlineLevel="0" collapsed="false">
      <c r="F257" s="86"/>
      <c r="G257" s="86"/>
      <c r="H257" s="86"/>
      <c r="I257" s="86"/>
      <c r="J257" s="86"/>
      <c r="K257" s="86"/>
      <c r="L257" s="86"/>
      <c r="N257" s="86"/>
      <c r="CQ257" s="86"/>
      <c r="CR257" s="86"/>
      <c r="CS257" s="86"/>
      <c r="CT257" s="86"/>
      <c r="CU257" s="86"/>
      <c r="CV257" s="86"/>
      <c r="CW257" s="86"/>
    </row>
    <row r="258" customFormat="false" ht="12.75" hidden="false" customHeight="false" outlineLevel="0" collapsed="false">
      <c r="F258" s="86"/>
      <c r="G258" s="86"/>
      <c r="H258" s="86"/>
      <c r="I258" s="86"/>
      <c r="J258" s="86"/>
      <c r="K258" s="86"/>
      <c r="L258" s="86"/>
      <c r="N258" s="86"/>
      <c r="CQ258" s="86"/>
      <c r="CR258" s="86"/>
      <c r="CS258" s="86"/>
      <c r="CT258" s="86"/>
      <c r="CU258" s="86"/>
      <c r="CV258" s="86"/>
      <c r="CW258" s="86"/>
    </row>
    <row r="259" customFormat="false" ht="12.75" hidden="false" customHeight="false" outlineLevel="0" collapsed="false">
      <c r="F259" s="86"/>
      <c r="G259" s="86"/>
      <c r="H259" s="86"/>
      <c r="I259" s="86"/>
      <c r="J259" s="86"/>
      <c r="K259" s="86"/>
      <c r="L259" s="86"/>
      <c r="N259" s="86"/>
      <c r="CQ259" s="86"/>
      <c r="CR259" s="86"/>
      <c r="CS259" s="86"/>
      <c r="CT259" s="86"/>
      <c r="CU259" s="86"/>
      <c r="CV259" s="86"/>
      <c r="CW259" s="86"/>
    </row>
    <row r="260" customFormat="false" ht="12.75" hidden="false" customHeight="false" outlineLevel="0" collapsed="false">
      <c r="F260" s="86"/>
      <c r="G260" s="86"/>
      <c r="H260" s="86"/>
      <c r="I260" s="86"/>
      <c r="J260" s="86"/>
      <c r="K260" s="86"/>
      <c r="L260" s="86"/>
      <c r="N260" s="86"/>
      <c r="CQ260" s="86"/>
      <c r="CR260" s="86"/>
      <c r="CS260" s="86"/>
      <c r="CT260" s="86"/>
      <c r="CU260" s="86"/>
      <c r="CV260" s="86"/>
      <c r="CW260" s="86"/>
    </row>
    <row r="261" customFormat="false" ht="12.75" hidden="false" customHeight="false" outlineLevel="0" collapsed="false">
      <c r="F261" s="86"/>
      <c r="G261" s="86"/>
      <c r="H261" s="86"/>
      <c r="I261" s="86"/>
      <c r="J261" s="86"/>
      <c r="K261" s="86"/>
      <c r="L261" s="86"/>
      <c r="N261" s="86"/>
      <c r="CQ261" s="86"/>
      <c r="CR261" s="86"/>
      <c r="CS261" s="86"/>
      <c r="CT261" s="86"/>
      <c r="CU261" s="86"/>
      <c r="CV261" s="86"/>
      <c r="CW261" s="86"/>
    </row>
    <row r="262" customFormat="false" ht="12.75" hidden="false" customHeight="false" outlineLevel="0" collapsed="false">
      <c r="F262" s="86"/>
      <c r="G262" s="86"/>
      <c r="H262" s="86"/>
      <c r="I262" s="86"/>
      <c r="J262" s="86"/>
      <c r="K262" s="86"/>
      <c r="L262" s="86"/>
      <c r="N262" s="86"/>
      <c r="CQ262" s="86"/>
      <c r="CR262" s="86"/>
      <c r="CS262" s="86"/>
      <c r="CT262" s="86"/>
      <c r="CU262" s="86"/>
      <c r="CV262" s="86"/>
      <c r="CW262" s="86"/>
    </row>
    <row r="263" customFormat="false" ht="12.75" hidden="false" customHeight="false" outlineLevel="0" collapsed="false">
      <c r="F263" s="86"/>
      <c r="G263" s="86"/>
      <c r="H263" s="86"/>
      <c r="I263" s="86"/>
      <c r="J263" s="86"/>
      <c r="K263" s="86"/>
      <c r="L263" s="86"/>
      <c r="N263" s="86"/>
      <c r="CQ263" s="86"/>
      <c r="CR263" s="86"/>
      <c r="CS263" s="86"/>
      <c r="CT263" s="86"/>
      <c r="CU263" s="86"/>
      <c r="CV263" s="86"/>
      <c r="CW263" s="86"/>
    </row>
    <row r="264" customFormat="false" ht="12.75" hidden="false" customHeight="false" outlineLevel="0" collapsed="false">
      <c r="F264" s="86"/>
      <c r="G264" s="86"/>
      <c r="H264" s="86"/>
      <c r="I264" s="86"/>
      <c r="J264" s="86"/>
      <c r="K264" s="86"/>
      <c r="L264" s="86"/>
      <c r="N264" s="86"/>
      <c r="CQ264" s="86"/>
      <c r="CR264" s="86"/>
      <c r="CS264" s="86"/>
      <c r="CT264" s="86"/>
      <c r="CU264" s="86"/>
      <c r="CV264" s="86"/>
      <c r="CW264" s="86"/>
    </row>
    <row r="265" customFormat="false" ht="12.75" hidden="false" customHeight="false" outlineLevel="0" collapsed="false">
      <c r="F265" s="86"/>
      <c r="G265" s="86"/>
      <c r="H265" s="86"/>
      <c r="I265" s="86"/>
      <c r="J265" s="86"/>
      <c r="K265" s="86"/>
      <c r="L265" s="86"/>
      <c r="N265" s="86"/>
      <c r="CQ265" s="86"/>
      <c r="CR265" s="86"/>
      <c r="CS265" s="86"/>
      <c r="CT265" s="86"/>
      <c r="CU265" s="86"/>
      <c r="CV265" s="86"/>
      <c r="CW265" s="86"/>
    </row>
    <row r="266" customFormat="false" ht="12.75" hidden="false" customHeight="false" outlineLevel="0" collapsed="false">
      <c r="F266" s="86"/>
      <c r="G266" s="86"/>
      <c r="H266" s="86"/>
      <c r="I266" s="86"/>
      <c r="J266" s="86"/>
      <c r="K266" s="86"/>
      <c r="L266" s="86"/>
      <c r="N266" s="86"/>
      <c r="CQ266" s="86"/>
      <c r="CR266" s="86"/>
      <c r="CS266" s="86"/>
      <c r="CT266" s="86"/>
      <c r="CU266" s="86"/>
      <c r="CV266" s="86"/>
      <c r="CW266" s="86"/>
    </row>
    <row r="267" customFormat="false" ht="12.75" hidden="false" customHeight="false" outlineLevel="0" collapsed="false">
      <c r="F267" s="86"/>
      <c r="G267" s="86"/>
      <c r="H267" s="86"/>
      <c r="I267" s="86"/>
      <c r="J267" s="86"/>
      <c r="K267" s="86"/>
      <c r="L267" s="86"/>
      <c r="N267" s="86"/>
      <c r="CQ267" s="86"/>
      <c r="CR267" s="86"/>
      <c r="CS267" s="86"/>
      <c r="CT267" s="86"/>
      <c r="CU267" s="86"/>
      <c r="CV267" s="86"/>
      <c r="CW267" s="86"/>
    </row>
    <row r="268" customFormat="false" ht="12.75" hidden="false" customHeight="false" outlineLevel="0" collapsed="false">
      <c r="F268" s="86"/>
      <c r="G268" s="86"/>
      <c r="H268" s="86"/>
      <c r="I268" s="86"/>
      <c r="J268" s="86"/>
      <c r="K268" s="86"/>
      <c r="L268" s="86"/>
      <c r="N268" s="86"/>
      <c r="CQ268" s="86"/>
      <c r="CR268" s="86"/>
      <c r="CS268" s="86"/>
      <c r="CT268" s="86"/>
      <c r="CU268" s="86"/>
      <c r="CV268" s="86"/>
      <c r="CW268" s="86"/>
    </row>
    <row r="269" customFormat="false" ht="12.75" hidden="false" customHeight="false" outlineLevel="0" collapsed="false">
      <c r="F269" s="86"/>
      <c r="G269" s="86"/>
      <c r="H269" s="86"/>
      <c r="I269" s="86"/>
      <c r="J269" s="86"/>
      <c r="K269" s="86"/>
      <c r="L269" s="86"/>
      <c r="N269" s="86"/>
      <c r="CQ269" s="86"/>
      <c r="CR269" s="86"/>
      <c r="CS269" s="86"/>
      <c r="CT269" s="86"/>
      <c r="CU269" s="86"/>
      <c r="CV269" s="86"/>
      <c r="CW269" s="86"/>
    </row>
    <row r="270" customFormat="false" ht="12.75" hidden="false" customHeight="false" outlineLevel="0" collapsed="false">
      <c r="F270" s="86"/>
      <c r="G270" s="86"/>
      <c r="H270" s="86"/>
      <c r="I270" s="86"/>
      <c r="J270" s="86"/>
      <c r="K270" s="86"/>
      <c r="L270" s="86"/>
      <c r="N270" s="86"/>
      <c r="CQ270" s="86"/>
      <c r="CR270" s="86"/>
      <c r="CS270" s="86"/>
      <c r="CT270" s="86"/>
      <c r="CU270" s="86"/>
      <c r="CV270" s="86"/>
      <c r="CW270" s="86"/>
    </row>
    <row r="271" customFormat="false" ht="12.75" hidden="false" customHeight="false" outlineLevel="0" collapsed="false">
      <c r="F271" s="86"/>
      <c r="G271" s="86"/>
      <c r="H271" s="86"/>
      <c r="I271" s="86"/>
      <c r="J271" s="86"/>
      <c r="K271" s="86"/>
      <c r="L271" s="86"/>
      <c r="N271" s="86"/>
      <c r="CQ271" s="86"/>
      <c r="CR271" s="86"/>
      <c r="CS271" s="86"/>
      <c r="CT271" s="86"/>
      <c r="CU271" s="86"/>
      <c r="CV271" s="86"/>
      <c r="CW271" s="86"/>
    </row>
    <row r="272" customFormat="false" ht="12.75" hidden="false" customHeight="false" outlineLevel="0" collapsed="false">
      <c r="F272" s="86"/>
      <c r="G272" s="86"/>
      <c r="H272" s="86"/>
      <c r="I272" s="86"/>
      <c r="J272" s="86"/>
      <c r="K272" s="86"/>
      <c r="L272" s="86"/>
      <c r="N272" s="86"/>
      <c r="CQ272" s="86"/>
      <c r="CR272" s="86"/>
      <c r="CS272" s="86"/>
      <c r="CT272" s="86"/>
      <c r="CU272" s="86"/>
      <c r="CV272" s="86"/>
      <c r="CW272" s="86"/>
    </row>
    <row r="273" customFormat="false" ht="12.75" hidden="false" customHeight="false" outlineLevel="0" collapsed="false">
      <c r="F273" s="86"/>
      <c r="G273" s="86"/>
      <c r="H273" s="86"/>
      <c r="I273" s="86"/>
      <c r="J273" s="86"/>
      <c r="K273" s="86"/>
      <c r="L273" s="86"/>
      <c r="N273" s="86"/>
      <c r="CQ273" s="86"/>
      <c r="CR273" s="86"/>
      <c r="CS273" s="86"/>
      <c r="CT273" s="86"/>
      <c r="CU273" s="86"/>
      <c r="CV273" s="86"/>
      <c r="CW273" s="86"/>
    </row>
    <row r="274" customFormat="false" ht="12.75" hidden="false" customHeight="false" outlineLevel="0" collapsed="false">
      <c r="F274" s="86"/>
      <c r="G274" s="86"/>
      <c r="H274" s="86"/>
      <c r="I274" s="86"/>
      <c r="J274" s="86"/>
      <c r="K274" s="86"/>
      <c r="L274" s="86"/>
      <c r="N274" s="86"/>
      <c r="CQ274" s="86"/>
      <c r="CR274" s="86"/>
      <c r="CS274" s="86"/>
      <c r="CT274" s="86"/>
      <c r="CU274" s="86"/>
      <c r="CV274" s="86"/>
      <c r="CW274" s="86"/>
    </row>
    <row r="275" customFormat="false" ht="12.75" hidden="false" customHeight="false" outlineLevel="0" collapsed="false">
      <c r="F275" s="86"/>
      <c r="G275" s="86"/>
      <c r="H275" s="86"/>
      <c r="I275" s="86"/>
      <c r="J275" s="86"/>
      <c r="K275" s="86"/>
      <c r="L275" s="86"/>
      <c r="N275" s="86"/>
      <c r="CQ275" s="86"/>
      <c r="CR275" s="86"/>
      <c r="CS275" s="86"/>
      <c r="CT275" s="86"/>
      <c r="CU275" s="86"/>
      <c r="CV275" s="86"/>
      <c r="CW275" s="86"/>
    </row>
    <row r="276" customFormat="false" ht="12.75" hidden="false" customHeight="false" outlineLevel="0" collapsed="false">
      <c r="F276" s="86"/>
      <c r="G276" s="86"/>
      <c r="H276" s="86"/>
      <c r="I276" s="86"/>
      <c r="J276" s="86"/>
      <c r="K276" s="86"/>
      <c r="L276" s="86"/>
      <c r="N276" s="86"/>
      <c r="CQ276" s="86"/>
      <c r="CR276" s="86"/>
      <c r="CS276" s="86"/>
      <c r="CT276" s="86"/>
      <c r="CU276" s="86"/>
      <c r="CV276" s="86"/>
      <c r="CW276" s="86"/>
    </row>
    <row r="277" customFormat="false" ht="12.75" hidden="false" customHeight="false" outlineLevel="0" collapsed="false">
      <c r="F277" s="86"/>
      <c r="G277" s="86"/>
      <c r="H277" s="86"/>
      <c r="I277" s="86"/>
      <c r="J277" s="86"/>
      <c r="K277" s="86"/>
      <c r="L277" s="86"/>
      <c r="N277" s="86"/>
      <c r="CQ277" s="86"/>
      <c r="CR277" s="86"/>
      <c r="CS277" s="86"/>
      <c r="CT277" s="86"/>
      <c r="CU277" s="86"/>
      <c r="CV277" s="86"/>
      <c r="CW277" s="86"/>
    </row>
    <row r="278" customFormat="false" ht="12.75" hidden="false" customHeight="false" outlineLevel="0" collapsed="false">
      <c r="F278" s="86"/>
      <c r="G278" s="86"/>
      <c r="H278" s="86"/>
      <c r="I278" s="86"/>
      <c r="J278" s="86"/>
      <c r="K278" s="86"/>
      <c r="L278" s="86"/>
      <c r="N278" s="86"/>
      <c r="CQ278" s="86"/>
      <c r="CR278" s="86"/>
      <c r="CS278" s="86"/>
      <c r="CT278" s="86"/>
      <c r="CU278" s="86"/>
      <c r="CV278" s="86"/>
      <c r="CW278" s="86"/>
    </row>
    <row r="279" customFormat="false" ht="12.75" hidden="false" customHeight="false" outlineLevel="0" collapsed="false">
      <c r="F279" s="86"/>
      <c r="G279" s="86"/>
      <c r="H279" s="86"/>
      <c r="I279" s="86"/>
      <c r="J279" s="86"/>
      <c r="K279" s="86"/>
      <c r="L279" s="86"/>
      <c r="N279" s="86"/>
      <c r="CQ279" s="86"/>
      <c r="CR279" s="86"/>
      <c r="CS279" s="86"/>
      <c r="CT279" s="86"/>
      <c r="CU279" s="86"/>
      <c r="CV279" s="86"/>
      <c r="CW279" s="86"/>
    </row>
    <row r="280" customFormat="false" ht="12.75" hidden="false" customHeight="false" outlineLevel="0" collapsed="false">
      <c r="F280" s="86"/>
      <c r="G280" s="86"/>
      <c r="H280" s="86"/>
      <c r="I280" s="86"/>
      <c r="J280" s="86"/>
      <c r="K280" s="86"/>
      <c r="L280" s="86"/>
      <c r="N280" s="86"/>
      <c r="CQ280" s="86"/>
      <c r="CR280" s="86"/>
      <c r="CS280" s="86"/>
      <c r="CT280" s="86"/>
      <c r="CU280" s="86"/>
      <c r="CV280" s="86"/>
      <c r="CW280" s="86"/>
    </row>
    <row r="281" customFormat="false" ht="12.75" hidden="false" customHeight="false" outlineLevel="0" collapsed="false">
      <c r="F281" s="86"/>
      <c r="G281" s="86"/>
      <c r="H281" s="86"/>
      <c r="I281" s="86"/>
      <c r="J281" s="86"/>
      <c r="K281" s="86"/>
      <c r="L281" s="86"/>
      <c r="N281" s="86"/>
      <c r="CQ281" s="86"/>
      <c r="CR281" s="86"/>
      <c r="CS281" s="86"/>
      <c r="CT281" s="86"/>
      <c r="CU281" s="86"/>
      <c r="CV281" s="86"/>
      <c r="CW281" s="86"/>
    </row>
    <row r="282" customFormat="false" ht="12.75" hidden="false" customHeight="false" outlineLevel="0" collapsed="false">
      <c r="F282" s="86"/>
      <c r="G282" s="86"/>
      <c r="H282" s="86"/>
      <c r="I282" s="86"/>
      <c r="J282" s="86"/>
      <c r="K282" s="86"/>
      <c r="L282" s="86"/>
      <c r="N282" s="86"/>
      <c r="CQ282" s="86"/>
      <c r="CR282" s="86"/>
      <c r="CS282" s="86"/>
      <c r="CT282" s="86"/>
      <c r="CU282" s="86"/>
      <c r="CV282" s="86"/>
      <c r="CW282" s="86"/>
    </row>
    <row r="283" customFormat="false" ht="12.75" hidden="false" customHeight="false" outlineLevel="0" collapsed="false">
      <c r="F283" s="86"/>
      <c r="G283" s="86"/>
      <c r="H283" s="86"/>
      <c r="I283" s="86"/>
      <c r="J283" s="86"/>
      <c r="K283" s="86"/>
      <c r="L283" s="86"/>
      <c r="N283" s="86"/>
      <c r="CQ283" s="86"/>
      <c r="CR283" s="86"/>
      <c r="CS283" s="86"/>
      <c r="CT283" s="86"/>
      <c r="CU283" s="86"/>
      <c r="CV283" s="86"/>
      <c r="CW283" s="86"/>
    </row>
    <row r="284" customFormat="false" ht="12.75" hidden="false" customHeight="false" outlineLevel="0" collapsed="false">
      <c r="F284" s="86"/>
      <c r="G284" s="86"/>
      <c r="H284" s="86"/>
      <c r="I284" s="86"/>
      <c r="J284" s="86"/>
      <c r="K284" s="86"/>
      <c r="L284" s="86"/>
      <c r="N284" s="86"/>
      <c r="CQ284" s="86"/>
      <c r="CR284" s="86"/>
      <c r="CS284" s="86"/>
      <c r="CT284" s="86"/>
      <c r="CU284" s="86"/>
      <c r="CV284" s="86"/>
      <c r="CW284" s="86"/>
    </row>
    <row r="285" customFormat="false" ht="12.75" hidden="false" customHeight="false" outlineLevel="0" collapsed="false">
      <c r="F285" s="86"/>
      <c r="G285" s="86"/>
      <c r="H285" s="86"/>
      <c r="I285" s="86"/>
      <c r="J285" s="86"/>
      <c r="K285" s="86"/>
      <c r="L285" s="86"/>
      <c r="N285" s="86"/>
      <c r="CQ285" s="86"/>
      <c r="CR285" s="86"/>
      <c r="CS285" s="86"/>
      <c r="CT285" s="86"/>
      <c r="CU285" s="86"/>
      <c r="CV285" s="86"/>
      <c r="CW285" s="86"/>
    </row>
    <row r="286" customFormat="false" ht="12.75" hidden="false" customHeight="false" outlineLevel="0" collapsed="false">
      <c r="F286" s="86"/>
      <c r="G286" s="86"/>
      <c r="H286" s="86"/>
      <c r="I286" s="86"/>
      <c r="J286" s="86"/>
      <c r="K286" s="86"/>
      <c r="L286" s="86"/>
      <c r="N286" s="86"/>
      <c r="CQ286" s="86"/>
      <c r="CR286" s="86"/>
      <c r="CS286" s="86"/>
      <c r="CT286" s="86"/>
      <c r="CU286" s="86"/>
      <c r="CV286" s="86"/>
      <c r="CW286" s="86"/>
    </row>
    <row r="287" customFormat="false" ht="12.75" hidden="false" customHeight="false" outlineLevel="0" collapsed="false">
      <c r="F287" s="86"/>
      <c r="G287" s="86"/>
      <c r="H287" s="86"/>
      <c r="I287" s="86"/>
      <c r="J287" s="86"/>
      <c r="K287" s="86"/>
      <c r="L287" s="86"/>
      <c r="N287" s="86"/>
      <c r="CQ287" s="86"/>
      <c r="CR287" s="86"/>
      <c r="CS287" s="86"/>
      <c r="CT287" s="86"/>
      <c r="CU287" s="86"/>
      <c r="CV287" s="86"/>
      <c r="CW287" s="86"/>
    </row>
    <row r="288" customFormat="false" ht="12.75" hidden="false" customHeight="false" outlineLevel="0" collapsed="false">
      <c r="F288" s="86"/>
      <c r="G288" s="86"/>
      <c r="H288" s="86"/>
      <c r="I288" s="86"/>
      <c r="J288" s="86"/>
      <c r="K288" s="86"/>
      <c r="L288" s="86"/>
      <c r="N288" s="86"/>
      <c r="CQ288" s="86"/>
      <c r="CR288" s="86"/>
      <c r="CS288" s="86"/>
      <c r="CT288" s="86"/>
      <c r="CU288" s="86"/>
      <c r="CV288" s="86"/>
      <c r="CW288" s="86"/>
    </row>
    <row r="289" customFormat="false" ht="12.75" hidden="false" customHeight="false" outlineLevel="0" collapsed="false">
      <c r="F289" s="86"/>
      <c r="G289" s="86"/>
      <c r="H289" s="86"/>
      <c r="I289" s="86"/>
      <c r="J289" s="86"/>
      <c r="K289" s="86"/>
      <c r="L289" s="86"/>
      <c r="N289" s="86"/>
      <c r="CQ289" s="86"/>
      <c r="CR289" s="86"/>
      <c r="CS289" s="86"/>
      <c r="CT289" s="86"/>
      <c r="CU289" s="86"/>
      <c r="CV289" s="86"/>
      <c r="CW289" s="86"/>
    </row>
    <row r="290" customFormat="false" ht="12.75" hidden="false" customHeight="false" outlineLevel="0" collapsed="false">
      <c r="F290" s="86"/>
      <c r="G290" s="86"/>
      <c r="H290" s="86"/>
      <c r="I290" s="86"/>
      <c r="J290" s="86"/>
      <c r="K290" s="86"/>
      <c r="L290" s="86"/>
      <c r="N290" s="86"/>
      <c r="CQ290" s="86"/>
      <c r="CR290" s="86"/>
      <c r="CS290" s="86"/>
      <c r="CT290" s="86"/>
      <c r="CU290" s="86"/>
      <c r="CV290" s="86"/>
      <c r="CW290" s="86"/>
    </row>
    <row r="291" customFormat="false" ht="12.75" hidden="false" customHeight="false" outlineLevel="0" collapsed="false">
      <c r="F291" s="86"/>
      <c r="G291" s="86"/>
      <c r="H291" s="86"/>
      <c r="I291" s="86"/>
      <c r="J291" s="86"/>
      <c r="K291" s="86"/>
      <c r="L291" s="86"/>
      <c r="N291" s="86"/>
      <c r="CQ291" s="86"/>
      <c r="CR291" s="86"/>
      <c r="CS291" s="86"/>
      <c r="CT291" s="86"/>
      <c r="CU291" s="86"/>
      <c r="CV291" s="86"/>
      <c r="CW291" s="86"/>
    </row>
    <row r="292" customFormat="false" ht="12.75" hidden="false" customHeight="false" outlineLevel="0" collapsed="false">
      <c r="F292" s="86"/>
      <c r="G292" s="86"/>
      <c r="H292" s="86"/>
      <c r="I292" s="86"/>
      <c r="J292" s="86"/>
      <c r="K292" s="86"/>
      <c r="L292" s="86"/>
      <c r="N292" s="86"/>
      <c r="CQ292" s="86"/>
      <c r="CR292" s="86"/>
      <c r="CS292" s="86"/>
      <c r="CT292" s="86"/>
      <c r="CU292" s="86"/>
      <c r="CV292" s="86"/>
      <c r="CW292" s="86"/>
    </row>
    <row r="293" customFormat="false" ht="12.75" hidden="false" customHeight="false" outlineLevel="0" collapsed="false">
      <c r="F293" s="86"/>
      <c r="G293" s="86"/>
      <c r="H293" s="86"/>
      <c r="I293" s="86"/>
      <c r="J293" s="86"/>
      <c r="K293" s="86"/>
      <c r="L293" s="86"/>
      <c r="N293" s="86"/>
      <c r="CQ293" s="86"/>
      <c r="CR293" s="86"/>
      <c r="CS293" s="86"/>
      <c r="CT293" s="86"/>
      <c r="CU293" s="86"/>
      <c r="CV293" s="86"/>
      <c r="CW293" s="86"/>
    </row>
    <row r="294" customFormat="false" ht="12.75" hidden="false" customHeight="false" outlineLevel="0" collapsed="false">
      <c r="F294" s="86"/>
      <c r="G294" s="86"/>
      <c r="H294" s="86"/>
      <c r="I294" s="86"/>
      <c r="J294" s="86"/>
      <c r="K294" s="86"/>
      <c r="L294" s="86"/>
      <c r="N294" s="86"/>
      <c r="CQ294" s="86"/>
      <c r="CR294" s="86"/>
      <c r="CS294" s="86"/>
      <c r="CT294" s="86"/>
      <c r="CU294" s="86"/>
      <c r="CV294" s="86"/>
      <c r="CW294" s="86"/>
    </row>
    <row r="295" customFormat="false" ht="12.75" hidden="false" customHeight="false" outlineLevel="0" collapsed="false">
      <c r="F295" s="86"/>
      <c r="G295" s="86"/>
      <c r="H295" s="86"/>
      <c r="I295" s="86"/>
      <c r="J295" s="86"/>
      <c r="K295" s="86"/>
      <c r="L295" s="86"/>
      <c r="N295" s="86"/>
      <c r="CQ295" s="86"/>
      <c r="CR295" s="86"/>
      <c r="CS295" s="86"/>
      <c r="CT295" s="86"/>
      <c r="CU295" s="86"/>
      <c r="CV295" s="86"/>
      <c r="CW295" s="86"/>
    </row>
    <row r="296" customFormat="false" ht="12.75" hidden="false" customHeight="false" outlineLevel="0" collapsed="false">
      <c r="F296" s="86"/>
      <c r="G296" s="86"/>
      <c r="H296" s="86"/>
      <c r="I296" s="86"/>
      <c r="J296" s="86"/>
      <c r="K296" s="86"/>
      <c r="L296" s="86"/>
      <c r="N296" s="86"/>
      <c r="CQ296" s="86"/>
      <c r="CR296" s="86"/>
      <c r="CS296" s="86"/>
      <c r="CT296" s="86"/>
      <c r="CU296" s="86"/>
      <c r="CV296" s="86"/>
      <c r="CW296" s="86"/>
    </row>
    <row r="297" customFormat="false" ht="12.75" hidden="false" customHeight="false" outlineLevel="0" collapsed="false">
      <c r="F297" s="86"/>
      <c r="G297" s="86"/>
      <c r="H297" s="86"/>
      <c r="I297" s="86"/>
      <c r="J297" s="86"/>
      <c r="K297" s="86"/>
      <c r="L297" s="86"/>
      <c r="N297" s="86"/>
      <c r="CQ297" s="86"/>
      <c r="CR297" s="86"/>
      <c r="CS297" s="86"/>
      <c r="CT297" s="86"/>
      <c r="CU297" s="86"/>
      <c r="CV297" s="86"/>
      <c r="CW297" s="86"/>
    </row>
    <row r="298" customFormat="false" ht="12.75" hidden="false" customHeight="false" outlineLevel="0" collapsed="false">
      <c r="F298" s="86"/>
      <c r="G298" s="86"/>
      <c r="H298" s="86"/>
      <c r="I298" s="86"/>
      <c r="J298" s="86"/>
      <c r="K298" s="86"/>
      <c r="L298" s="86"/>
      <c r="N298" s="86"/>
      <c r="CQ298" s="86"/>
      <c r="CR298" s="86"/>
      <c r="CS298" s="86"/>
      <c r="CT298" s="86"/>
      <c r="CU298" s="86"/>
      <c r="CV298" s="86"/>
      <c r="CW298" s="86"/>
    </row>
    <row r="299" customFormat="false" ht="12.75" hidden="false" customHeight="false" outlineLevel="0" collapsed="false">
      <c r="F299" s="86"/>
      <c r="G299" s="86"/>
      <c r="H299" s="86"/>
      <c r="I299" s="86"/>
      <c r="J299" s="86"/>
      <c r="K299" s="86"/>
      <c r="L299" s="86"/>
      <c r="N299" s="86"/>
      <c r="CQ299" s="86"/>
      <c r="CR299" s="86"/>
      <c r="CS299" s="86"/>
      <c r="CT299" s="86"/>
      <c r="CU299" s="86"/>
      <c r="CV299" s="86"/>
      <c r="CW299" s="86"/>
    </row>
    <row r="300" customFormat="false" ht="12.75" hidden="false" customHeight="false" outlineLevel="0" collapsed="false">
      <c r="F300" s="86"/>
      <c r="G300" s="86"/>
      <c r="H300" s="86"/>
      <c r="I300" s="86"/>
      <c r="J300" s="86"/>
      <c r="K300" s="86"/>
      <c r="L300" s="86"/>
      <c r="N300" s="86"/>
      <c r="CQ300" s="86"/>
      <c r="CR300" s="86"/>
      <c r="CS300" s="86"/>
      <c r="CT300" s="86"/>
      <c r="CU300" s="86"/>
      <c r="CV300" s="86"/>
      <c r="CW300" s="86"/>
    </row>
    <row r="301" customFormat="false" ht="12.75" hidden="false" customHeight="false" outlineLevel="0" collapsed="false">
      <c r="F301" s="86"/>
      <c r="G301" s="86"/>
      <c r="H301" s="86"/>
      <c r="I301" s="86"/>
      <c r="J301" s="86"/>
      <c r="K301" s="86"/>
      <c r="L301" s="86"/>
      <c r="N301" s="86"/>
      <c r="CQ301" s="86"/>
      <c r="CR301" s="86"/>
      <c r="CS301" s="86"/>
      <c r="CT301" s="86"/>
      <c r="CU301" s="86"/>
      <c r="CV301" s="86"/>
      <c r="CW301" s="86"/>
    </row>
    <row r="302" customFormat="false" ht="12.75" hidden="false" customHeight="false" outlineLevel="0" collapsed="false">
      <c r="F302" s="86"/>
      <c r="G302" s="86"/>
      <c r="H302" s="86"/>
      <c r="I302" s="86"/>
      <c r="J302" s="86"/>
      <c r="K302" s="86"/>
      <c r="L302" s="86"/>
      <c r="N302" s="86"/>
      <c r="CQ302" s="86"/>
      <c r="CR302" s="86"/>
      <c r="CS302" s="86"/>
      <c r="CT302" s="86"/>
      <c r="CU302" s="86"/>
      <c r="CV302" s="86"/>
      <c r="CW302" s="86"/>
    </row>
    <row r="303" customFormat="false" ht="12.75" hidden="false" customHeight="false" outlineLevel="0" collapsed="false">
      <c r="F303" s="86"/>
      <c r="G303" s="86"/>
      <c r="H303" s="86"/>
      <c r="I303" s="86"/>
      <c r="J303" s="86"/>
      <c r="K303" s="86"/>
      <c r="L303" s="86"/>
      <c r="N303" s="86"/>
      <c r="CQ303" s="86"/>
      <c r="CR303" s="86"/>
      <c r="CS303" s="86"/>
      <c r="CT303" s="86"/>
      <c r="CU303" s="86"/>
      <c r="CV303" s="86"/>
      <c r="CW303" s="86"/>
    </row>
    <row r="304" customFormat="false" ht="12.75" hidden="false" customHeight="false" outlineLevel="0" collapsed="false">
      <c r="F304" s="86"/>
      <c r="G304" s="86"/>
      <c r="H304" s="86"/>
      <c r="I304" s="86"/>
      <c r="J304" s="86"/>
      <c r="K304" s="86"/>
      <c r="L304" s="86"/>
      <c r="N304" s="86"/>
      <c r="CQ304" s="86"/>
      <c r="CR304" s="86"/>
      <c r="CS304" s="86"/>
      <c r="CT304" s="86"/>
      <c r="CU304" s="86"/>
      <c r="CV304" s="86"/>
      <c r="CW304" s="86"/>
    </row>
    <row r="305" customFormat="false" ht="12.75" hidden="false" customHeight="false" outlineLevel="0" collapsed="false">
      <c r="F305" s="86"/>
      <c r="G305" s="86"/>
      <c r="H305" s="86"/>
      <c r="I305" s="86"/>
      <c r="J305" s="86"/>
      <c r="K305" s="86"/>
      <c r="L305" s="86"/>
      <c r="N305" s="86"/>
      <c r="CQ305" s="86"/>
      <c r="CR305" s="86"/>
      <c r="CS305" s="86"/>
      <c r="CT305" s="86"/>
      <c r="CU305" s="86"/>
      <c r="CV305" s="86"/>
      <c r="CW305" s="86"/>
    </row>
    <row r="306" customFormat="false" ht="12.75" hidden="false" customHeight="false" outlineLevel="0" collapsed="false">
      <c r="F306" s="86"/>
      <c r="G306" s="86"/>
      <c r="H306" s="86"/>
      <c r="I306" s="86"/>
      <c r="J306" s="86"/>
      <c r="K306" s="86"/>
      <c r="L306" s="86"/>
      <c r="N306" s="86"/>
      <c r="CQ306" s="86"/>
      <c r="CR306" s="86"/>
      <c r="CS306" s="86"/>
      <c r="CT306" s="86"/>
      <c r="CU306" s="86"/>
      <c r="CV306" s="86"/>
      <c r="CW306" s="86"/>
    </row>
    <row r="307" customFormat="false" ht="12.75" hidden="false" customHeight="false" outlineLevel="0" collapsed="false">
      <c r="F307" s="86"/>
      <c r="G307" s="86"/>
      <c r="H307" s="86"/>
      <c r="I307" s="86"/>
      <c r="J307" s="86"/>
      <c r="K307" s="86"/>
      <c r="L307" s="86"/>
      <c r="N307" s="86"/>
      <c r="CQ307" s="86"/>
      <c r="CR307" s="86"/>
      <c r="CS307" s="86"/>
      <c r="CT307" s="86"/>
      <c r="CU307" s="86"/>
      <c r="CV307" s="86"/>
      <c r="CW307" s="86"/>
    </row>
    <row r="308" customFormat="false" ht="12.75" hidden="false" customHeight="false" outlineLevel="0" collapsed="false">
      <c r="F308" s="86"/>
      <c r="G308" s="86"/>
      <c r="H308" s="86"/>
      <c r="I308" s="86"/>
      <c r="J308" s="86"/>
      <c r="K308" s="86"/>
      <c r="L308" s="86"/>
      <c r="N308" s="86"/>
      <c r="CQ308" s="86"/>
      <c r="CR308" s="86"/>
      <c r="CS308" s="86"/>
      <c r="CT308" s="86"/>
      <c r="CU308" s="86"/>
      <c r="CV308" s="86"/>
      <c r="CW308" s="86"/>
    </row>
    <row r="309" customFormat="false" ht="12.75" hidden="false" customHeight="false" outlineLevel="0" collapsed="false">
      <c r="F309" s="86"/>
      <c r="G309" s="86"/>
      <c r="H309" s="86"/>
      <c r="I309" s="86"/>
      <c r="J309" s="86"/>
      <c r="K309" s="86"/>
      <c r="L309" s="86"/>
      <c r="N309" s="86"/>
      <c r="CQ309" s="86"/>
      <c r="CR309" s="86"/>
      <c r="CS309" s="86"/>
      <c r="CT309" s="86"/>
      <c r="CU309" s="86"/>
      <c r="CV309" s="86"/>
      <c r="CW309" s="86"/>
    </row>
    <row r="310" customFormat="false" ht="12.75" hidden="false" customHeight="false" outlineLevel="0" collapsed="false">
      <c r="F310" s="86"/>
      <c r="G310" s="86"/>
      <c r="H310" s="86"/>
      <c r="I310" s="86"/>
      <c r="J310" s="86"/>
      <c r="K310" s="86"/>
      <c r="L310" s="86"/>
      <c r="N310" s="86"/>
      <c r="CQ310" s="86"/>
      <c r="CR310" s="86"/>
      <c r="CS310" s="86"/>
      <c r="CT310" s="86"/>
      <c r="CU310" s="86"/>
      <c r="CV310" s="86"/>
      <c r="CW310" s="86"/>
    </row>
    <row r="311" customFormat="false" ht="12.75" hidden="false" customHeight="false" outlineLevel="0" collapsed="false">
      <c r="F311" s="86"/>
      <c r="G311" s="86"/>
      <c r="H311" s="86"/>
      <c r="I311" s="86"/>
      <c r="J311" s="86"/>
      <c r="K311" s="86"/>
      <c r="L311" s="86"/>
      <c r="N311" s="86"/>
      <c r="CQ311" s="86"/>
      <c r="CR311" s="86"/>
      <c r="CS311" s="86"/>
      <c r="CT311" s="86"/>
      <c r="CU311" s="86"/>
      <c r="CV311" s="86"/>
      <c r="CW311" s="86"/>
    </row>
    <row r="312" customFormat="false" ht="12.75" hidden="false" customHeight="false" outlineLevel="0" collapsed="false">
      <c r="F312" s="86"/>
      <c r="G312" s="86"/>
      <c r="H312" s="86"/>
      <c r="I312" s="86"/>
      <c r="J312" s="86"/>
      <c r="K312" s="86"/>
      <c r="L312" s="86"/>
      <c r="N312" s="86"/>
      <c r="CQ312" s="86"/>
      <c r="CR312" s="86"/>
      <c r="CS312" s="86"/>
      <c r="CT312" s="86"/>
      <c r="CU312" s="86"/>
      <c r="CV312" s="86"/>
      <c r="CW312" s="86"/>
    </row>
    <row r="313" customFormat="false" ht="12.75" hidden="false" customHeight="false" outlineLevel="0" collapsed="false">
      <c r="F313" s="86"/>
      <c r="G313" s="86"/>
      <c r="H313" s="86"/>
      <c r="I313" s="86"/>
      <c r="J313" s="86"/>
      <c r="K313" s="86"/>
      <c r="L313" s="86"/>
      <c r="N313" s="86"/>
      <c r="CQ313" s="86"/>
      <c r="CR313" s="86"/>
      <c r="CS313" s="86"/>
      <c r="CT313" s="86"/>
      <c r="CU313" s="86"/>
      <c r="CV313" s="86"/>
      <c r="CW313" s="86"/>
    </row>
    <row r="314" customFormat="false" ht="12.75" hidden="false" customHeight="false" outlineLevel="0" collapsed="false">
      <c r="F314" s="86"/>
      <c r="G314" s="86"/>
      <c r="H314" s="86"/>
      <c r="I314" s="86"/>
      <c r="J314" s="86"/>
      <c r="K314" s="86"/>
      <c r="L314" s="86"/>
      <c r="N314" s="86"/>
      <c r="CQ314" s="86"/>
      <c r="CR314" s="86"/>
      <c r="CS314" s="86"/>
      <c r="CT314" s="86"/>
      <c r="CU314" s="86"/>
      <c r="CV314" s="86"/>
      <c r="CW314" s="86"/>
    </row>
    <row r="315" customFormat="false" ht="12.75" hidden="false" customHeight="false" outlineLevel="0" collapsed="false">
      <c r="F315" s="86"/>
      <c r="G315" s="86"/>
      <c r="H315" s="86"/>
      <c r="I315" s="86"/>
      <c r="J315" s="86"/>
      <c r="K315" s="86"/>
      <c r="L315" s="86"/>
      <c r="N315" s="86"/>
      <c r="CQ315" s="86"/>
      <c r="CR315" s="86"/>
      <c r="CS315" s="86"/>
      <c r="CT315" s="86"/>
      <c r="CU315" s="86"/>
      <c r="CV315" s="86"/>
      <c r="CW315" s="86"/>
    </row>
    <row r="316" customFormat="false" ht="12.75" hidden="false" customHeight="false" outlineLevel="0" collapsed="false">
      <c r="F316" s="86"/>
      <c r="G316" s="86"/>
      <c r="H316" s="86"/>
      <c r="I316" s="86"/>
      <c r="J316" s="86"/>
      <c r="K316" s="86"/>
      <c r="L316" s="86"/>
      <c r="N316" s="86"/>
      <c r="CQ316" s="86"/>
      <c r="CR316" s="86"/>
      <c r="CS316" s="86"/>
      <c r="CT316" s="86"/>
      <c r="CU316" s="86"/>
      <c r="CV316" s="86"/>
      <c r="CW316" s="86"/>
    </row>
    <row r="317" customFormat="false" ht="12.75" hidden="false" customHeight="false" outlineLevel="0" collapsed="false">
      <c r="F317" s="86"/>
      <c r="G317" s="86"/>
      <c r="H317" s="86"/>
      <c r="I317" s="86"/>
      <c r="J317" s="86"/>
      <c r="K317" s="86"/>
      <c r="L317" s="86"/>
      <c r="N317" s="86"/>
      <c r="CQ317" s="86"/>
      <c r="CR317" s="86"/>
      <c r="CS317" s="86"/>
      <c r="CT317" s="86"/>
      <c r="CU317" s="86"/>
      <c r="CV317" s="86"/>
      <c r="CW317" s="86"/>
    </row>
    <row r="318" customFormat="false" ht="12.75" hidden="false" customHeight="false" outlineLevel="0" collapsed="false">
      <c r="F318" s="86"/>
      <c r="G318" s="86"/>
      <c r="H318" s="86"/>
      <c r="I318" s="86"/>
      <c r="J318" s="86"/>
      <c r="K318" s="86"/>
      <c r="L318" s="86"/>
      <c r="N318" s="86"/>
      <c r="CQ318" s="86"/>
      <c r="CR318" s="86"/>
      <c r="CS318" s="86"/>
      <c r="CT318" s="86"/>
      <c r="CU318" s="86"/>
      <c r="CV318" s="86"/>
      <c r="CW318" s="86"/>
    </row>
    <row r="319" customFormat="false" ht="12.75" hidden="false" customHeight="false" outlineLevel="0" collapsed="false">
      <c r="F319" s="86"/>
      <c r="G319" s="86"/>
      <c r="H319" s="86"/>
      <c r="I319" s="86"/>
      <c r="J319" s="86"/>
      <c r="K319" s="86"/>
      <c r="L319" s="86"/>
      <c r="N319" s="86"/>
      <c r="CQ319" s="86"/>
      <c r="CR319" s="86"/>
      <c r="CS319" s="86"/>
      <c r="CT319" s="86"/>
      <c r="CU319" s="86"/>
      <c r="CV319" s="86"/>
      <c r="CW319" s="86"/>
    </row>
    <row r="320" customFormat="false" ht="12.75" hidden="false" customHeight="false" outlineLevel="0" collapsed="false">
      <c r="F320" s="86"/>
      <c r="G320" s="86"/>
      <c r="H320" s="86"/>
      <c r="I320" s="86"/>
      <c r="J320" s="86"/>
      <c r="K320" s="86"/>
      <c r="L320" s="86"/>
      <c r="N320" s="86"/>
      <c r="CQ320" s="86"/>
      <c r="CR320" s="86"/>
      <c r="CS320" s="86"/>
      <c r="CT320" s="86"/>
      <c r="CU320" s="86"/>
      <c r="CV320" s="86"/>
      <c r="CW320" s="86"/>
    </row>
    <row r="321" customFormat="false" ht="12.75" hidden="false" customHeight="false" outlineLevel="0" collapsed="false">
      <c r="F321" s="86"/>
      <c r="G321" s="86"/>
      <c r="H321" s="86"/>
      <c r="I321" s="86"/>
      <c r="J321" s="86"/>
      <c r="K321" s="86"/>
      <c r="L321" s="86"/>
      <c r="N321" s="86"/>
      <c r="CQ321" s="86"/>
      <c r="CR321" s="86"/>
      <c r="CS321" s="86"/>
      <c r="CT321" s="86"/>
      <c r="CU321" s="86"/>
      <c r="CV321" s="86"/>
      <c r="CW321" s="86"/>
    </row>
    <row r="322" customFormat="false" ht="12.75" hidden="false" customHeight="false" outlineLevel="0" collapsed="false">
      <c r="F322" s="86"/>
      <c r="G322" s="86"/>
      <c r="H322" s="86"/>
      <c r="I322" s="86"/>
      <c r="J322" s="86"/>
      <c r="K322" s="86"/>
      <c r="L322" s="86"/>
      <c r="N322" s="86"/>
      <c r="CQ322" s="86"/>
      <c r="CR322" s="86"/>
      <c r="CS322" s="86"/>
      <c r="CT322" s="86"/>
      <c r="CU322" s="86"/>
      <c r="CV322" s="86"/>
      <c r="CW322" s="86"/>
    </row>
    <row r="323" customFormat="false" ht="12.75" hidden="false" customHeight="false" outlineLevel="0" collapsed="false">
      <c r="F323" s="86"/>
      <c r="G323" s="86"/>
      <c r="H323" s="86"/>
      <c r="I323" s="86"/>
      <c r="J323" s="86"/>
      <c r="K323" s="86"/>
      <c r="L323" s="86"/>
      <c r="N323" s="86"/>
      <c r="CQ323" s="86"/>
      <c r="CR323" s="86"/>
      <c r="CS323" s="86"/>
      <c r="CT323" s="86"/>
      <c r="CU323" s="86"/>
      <c r="CV323" s="86"/>
      <c r="CW323" s="86"/>
    </row>
    <row r="324" customFormat="false" ht="12.75" hidden="false" customHeight="false" outlineLevel="0" collapsed="false">
      <c r="F324" s="86"/>
      <c r="G324" s="86"/>
      <c r="H324" s="86"/>
      <c r="I324" s="86"/>
      <c r="J324" s="86"/>
      <c r="K324" s="86"/>
      <c r="L324" s="86"/>
      <c r="N324" s="86"/>
      <c r="CQ324" s="86"/>
      <c r="CR324" s="86"/>
      <c r="CS324" s="86"/>
      <c r="CT324" s="86"/>
      <c r="CU324" s="86"/>
      <c r="CV324" s="86"/>
      <c r="CW324" s="86"/>
    </row>
    <row r="325" customFormat="false" ht="12.75" hidden="false" customHeight="false" outlineLevel="0" collapsed="false">
      <c r="F325" s="86"/>
      <c r="G325" s="86"/>
      <c r="H325" s="86"/>
      <c r="I325" s="86"/>
      <c r="J325" s="86"/>
      <c r="K325" s="86"/>
      <c r="L325" s="86"/>
      <c r="N325" s="86"/>
      <c r="CQ325" s="86"/>
      <c r="CR325" s="86"/>
      <c r="CS325" s="86"/>
      <c r="CT325" s="86"/>
      <c r="CU325" s="86"/>
      <c r="CV325" s="86"/>
      <c r="CW325" s="86"/>
    </row>
    <row r="326" customFormat="false" ht="12.75" hidden="false" customHeight="false" outlineLevel="0" collapsed="false">
      <c r="F326" s="86"/>
      <c r="G326" s="86"/>
      <c r="H326" s="86"/>
      <c r="I326" s="86"/>
      <c r="J326" s="86"/>
      <c r="K326" s="86"/>
      <c r="L326" s="86"/>
      <c r="N326" s="86"/>
      <c r="CQ326" s="86"/>
      <c r="CR326" s="86"/>
      <c r="CS326" s="86"/>
      <c r="CT326" s="86"/>
      <c r="CU326" s="86"/>
      <c r="CV326" s="86"/>
      <c r="CW326" s="86"/>
    </row>
    <row r="327" customFormat="false" ht="12.75" hidden="false" customHeight="false" outlineLevel="0" collapsed="false">
      <c r="F327" s="86"/>
      <c r="G327" s="86"/>
      <c r="H327" s="86"/>
      <c r="I327" s="86"/>
      <c r="J327" s="86"/>
      <c r="K327" s="86"/>
      <c r="L327" s="86"/>
      <c r="N327" s="86"/>
      <c r="CQ327" s="86"/>
      <c r="CR327" s="86"/>
      <c r="CS327" s="86"/>
      <c r="CT327" s="86"/>
      <c r="CU327" s="86"/>
      <c r="CV327" s="86"/>
      <c r="CW327" s="86"/>
    </row>
    <row r="328" customFormat="false" ht="12.75" hidden="false" customHeight="false" outlineLevel="0" collapsed="false">
      <c r="F328" s="86"/>
      <c r="G328" s="86"/>
      <c r="H328" s="86"/>
      <c r="I328" s="86"/>
      <c r="J328" s="86"/>
      <c r="K328" s="86"/>
      <c r="L328" s="86"/>
      <c r="N328" s="86"/>
      <c r="CQ328" s="86"/>
      <c r="CR328" s="86"/>
      <c r="CS328" s="86"/>
      <c r="CT328" s="86"/>
      <c r="CU328" s="86"/>
      <c r="CV328" s="86"/>
      <c r="CW328" s="86"/>
    </row>
    <row r="329" customFormat="false" ht="12.75" hidden="false" customHeight="false" outlineLevel="0" collapsed="false">
      <c r="F329" s="86"/>
      <c r="G329" s="86"/>
      <c r="H329" s="86"/>
      <c r="I329" s="86"/>
      <c r="J329" s="86"/>
      <c r="K329" s="86"/>
      <c r="L329" s="86"/>
      <c r="N329" s="86"/>
      <c r="CQ329" s="86"/>
      <c r="CR329" s="86"/>
      <c r="CS329" s="86"/>
      <c r="CT329" s="86"/>
      <c r="CU329" s="86"/>
      <c r="CV329" s="86"/>
      <c r="CW329" s="86"/>
    </row>
    <row r="330" customFormat="false" ht="12.75" hidden="false" customHeight="false" outlineLevel="0" collapsed="false">
      <c r="F330" s="86"/>
      <c r="G330" s="86"/>
      <c r="H330" s="86"/>
      <c r="I330" s="86"/>
      <c r="J330" s="86"/>
      <c r="K330" s="86"/>
      <c r="L330" s="86"/>
      <c r="N330" s="86"/>
      <c r="CQ330" s="86"/>
      <c r="CR330" s="86"/>
      <c r="CS330" s="86"/>
      <c r="CT330" s="86"/>
      <c r="CU330" s="86"/>
      <c r="CV330" s="86"/>
      <c r="CW330" s="86"/>
    </row>
    <row r="331" customFormat="false" ht="12.75" hidden="false" customHeight="false" outlineLevel="0" collapsed="false">
      <c r="F331" s="86"/>
      <c r="G331" s="86"/>
      <c r="H331" s="86"/>
      <c r="I331" s="86"/>
      <c r="J331" s="86"/>
      <c r="K331" s="86"/>
      <c r="L331" s="86"/>
      <c r="N331" s="86"/>
      <c r="CQ331" s="86"/>
      <c r="CR331" s="86"/>
      <c r="CS331" s="86"/>
      <c r="CT331" s="86"/>
      <c r="CU331" s="86"/>
      <c r="CV331" s="86"/>
      <c r="CW331" s="86"/>
    </row>
    <row r="332" customFormat="false" ht="12.75" hidden="false" customHeight="false" outlineLevel="0" collapsed="false">
      <c r="F332" s="86"/>
      <c r="G332" s="86"/>
      <c r="H332" s="86"/>
      <c r="I332" s="86"/>
      <c r="J332" s="86"/>
      <c r="K332" s="86"/>
      <c r="L332" s="86"/>
      <c r="N332" s="86"/>
      <c r="CQ332" s="86"/>
      <c r="CR332" s="86"/>
      <c r="CS332" s="86"/>
      <c r="CT332" s="86"/>
      <c r="CU332" s="86"/>
      <c r="CV332" s="86"/>
      <c r="CW332" s="86"/>
    </row>
    <row r="333" customFormat="false" ht="12.75" hidden="false" customHeight="false" outlineLevel="0" collapsed="false">
      <c r="F333" s="86"/>
      <c r="G333" s="86"/>
      <c r="H333" s="86"/>
      <c r="I333" s="86"/>
      <c r="J333" s="86"/>
      <c r="K333" s="86"/>
      <c r="L333" s="86"/>
      <c r="N333" s="86"/>
      <c r="CQ333" s="86"/>
      <c r="CR333" s="86"/>
      <c r="CS333" s="86"/>
      <c r="CT333" s="86"/>
      <c r="CU333" s="86"/>
      <c r="CV333" s="86"/>
      <c r="CW333" s="86"/>
    </row>
    <row r="334" customFormat="false" ht="12.75" hidden="false" customHeight="false" outlineLevel="0" collapsed="false">
      <c r="F334" s="86"/>
      <c r="G334" s="86"/>
      <c r="H334" s="86"/>
      <c r="I334" s="86"/>
      <c r="J334" s="86"/>
      <c r="K334" s="86"/>
      <c r="L334" s="86"/>
      <c r="N334" s="86"/>
      <c r="CQ334" s="86"/>
      <c r="CR334" s="86"/>
      <c r="CS334" s="86"/>
      <c r="CT334" s="86"/>
      <c r="CU334" s="86"/>
      <c r="CV334" s="86"/>
      <c r="CW334" s="86"/>
    </row>
    <row r="335" customFormat="false" ht="12.75" hidden="false" customHeight="false" outlineLevel="0" collapsed="false">
      <c r="F335" s="86"/>
      <c r="G335" s="86"/>
      <c r="H335" s="86"/>
      <c r="I335" s="86"/>
      <c r="J335" s="86"/>
      <c r="K335" s="86"/>
      <c r="L335" s="86"/>
      <c r="N335" s="86"/>
      <c r="CQ335" s="86"/>
      <c r="CR335" s="86"/>
      <c r="CS335" s="86"/>
      <c r="CT335" s="86"/>
      <c r="CU335" s="86"/>
      <c r="CV335" s="86"/>
      <c r="CW335" s="86"/>
    </row>
    <row r="336" customFormat="false" ht="12.75" hidden="false" customHeight="false" outlineLevel="0" collapsed="false">
      <c r="F336" s="86"/>
      <c r="G336" s="86"/>
      <c r="H336" s="86"/>
      <c r="I336" s="86"/>
      <c r="J336" s="86"/>
      <c r="K336" s="86"/>
      <c r="L336" s="86"/>
      <c r="N336" s="86"/>
      <c r="CQ336" s="86"/>
      <c r="CR336" s="86"/>
      <c r="CS336" s="86"/>
      <c r="CT336" s="86"/>
      <c r="CU336" s="86"/>
      <c r="CV336" s="86"/>
      <c r="CW336" s="86"/>
    </row>
    <row r="337" customFormat="false" ht="12.75" hidden="false" customHeight="false" outlineLevel="0" collapsed="false">
      <c r="F337" s="86"/>
      <c r="G337" s="86"/>
      <c r="H337" s="86"/>
      <c r="I337" s="86"/>
      <c r="J337" s="86"/>
      <c r="K337" s="86"/>
      <c r="L337" s="86"/>
      <c r="N337" s="86"/>
      <c r="CQ337" s="86"/>
      <c r="CR337" s="86"/>
      <c r="CS337" s="86"/>
      <c r="CT337" s="86"/>
      <c r="CU337" s="86"/>
      <c r="CV337" s="86"/>
      <c r="CW337" s="86"/>
    </row>
    <row r="338" customFormat="false" ht="12.75" hidden="false" customHeight="false" outlineLevel="0" collapsed="false">
      <c r="F338" s="86"/>
      <c r="G338" s="86"/>
      <c r="H338" s="86"/>
      <c r="I338" s="86"/>
      <c r="J338" s="86"/>
      <c r="K338" s="86"/>
      <c r="L338" s="86"/>
      <c r="N338" s="86"/>
      <c r="CQ338" s="86"/>
      <c r="CR338" s="86"/>
      <c r="CS338" s="86"/>
      <c r="CT338" s="86"/>
      <c r="CU338" s="86"/>
      <c r="CV338" s="86"/>
      <c r="CW338" s="86"/>
    </row>
    <row r="339" customFormat="false" ht="12.75" hidden="false" customHeight="false" outlineLevel="0" collapsed="false">
      <c r="F339" s="86"/>
      <c r="G339" s="86"/>
      <c r="H339" s="86"/>
      <c r="I339" s="86"/>
      <c r="J339" s="86"/>
      <c r="K339" s="86"/>
      <c r="L339" s="86"/>
      <c r="N339" s="86"/>
      <c r="CQ339" s="86"/>
      <c r="CR339" s="86"/>
      <c r="CS339" s="86"/>
      <c r="CT339" s="86"/>
      <c r="CU339" s="86"/>
      <c r="CV339" s="86"/>
      <c r="CW339" s="86"/>
    </row>
    <row r="340" customFormat="false" ht="12.75" hidden="false" customHeight="false" outlineLevel="0" collapsed="false">
      <c r="F340" s="86"/>
      <c r="G340" s="86"/>
      <c r="H340" s="86"/>
      <c r="I340" s="86"/>
      <c r="J340" s="86"/>
      <c r="K340" s="86"/>
      <c r="L340" s="86"/>
      <c r="N340" s="86"/>
      <c r="CQ340" s="86"/>
      <c r="CR340" s="86"/>
      <c r="CS340" s="86"/>
      <c r="CT340" s="86"/>
      <c r="CU340" s="86"/>
      <c r="CV340" s="86"/>
      <c r="CW340" s="86"/>
    </row>
    <row r="341" customFormat="false" ht="12.75" hidden="false" customHeight="false" outlineLevel="0" collapsed="false">
      <c r="F341" s="86"/>
      <c r="G341" s="86"/>
      <c r="H341" s="86"/>
      <c r="I341" s="86"/>
      <c r="J341" s="86"/>
      <c r="K341" s="86"/>
      <c r="L341" s="86"/>
      <c r="N341" s="86"/>
      <c r="CQ341" s="86"/>
      <c r="CR341" s="86"/>
      <c r="CS341" s="86"/>
      <c r="CT341" s="86"/>
      <c r="CU341" s="86"/>
      <c r="CV341" s="86"/>
      <c r="CW341" s="86"/>
    </row>
    <row r="342" customFormat="false" ht="12.75" hidden="false" customHeight="false" outlineLevel="0" collapsed="false">
      <c r="F342" s="86"/>
      <c r="G342" s="86"/>
      <c r="H342" s="86"/>
      <c r="I342" s="86"/>
      <c r="J342" s="86"/>
      <c r="K342" s="86"/>
      <c r="L342" s="86"/>
      <c r="N342" s="86"/>
      <c r="CQ342" s="86"/>
      <c r="CR342" s="86"/>
      <c r="CS342" s="86"/>
      <c r="CT342" s="86"/>
      <c r="CU342" s="86"/>
      <c r="CV342" s="86"/>
      <c r="CW342" s="86"/>
    </row>
    <row r="343" customFormat="false" ht="12.75" hidden="false" customHeight="false" outlineLevel="0" collapsed="false">
      <c r="F343" s="86"/>
      <c r="G343" s="86"/>
      <c r="H343" s="86"/>
      <c r="I343" s="86"/>
      <c r="J343" s="86"/>
      <c r="K343" s="86"/>
      <c r="L343" s="86"/>
      <c r="N343" s="86"/>
      <c r="CQ343" s="86"/>
      <c r="CR343" s="86"/>
      <c r="CS343" s="86"/>
      <c r="CT343" s="86"/>
      <c r="CU343" s="86"/>
      <c r="CV343" s="86"/>
      <c r="CW343" s="86"/>
    </row>
    <row r="344" customFormat="false" ht="12.75" hidden="false" customHeight="false" outlineLevel="0" collapsed="false">
      <c r="F344" s="86"/>
      <c r="G344" s="86"/>
      <c r="H344" s="86"/>
      <c r="I344" s="86"/>
      <c r="J344" s="86"/>
      <c r="K344" s="86"/>
      <c r="L344" s="86"/>
      <c r="N344" s="86"/>
      <c r="CQ344" s="86"/>
      <c r="CR344" s="86"/>
      <c r="CS344" s="86"/>
      <c r="CT344" s="86"/>
      <c r="CU344" s="86"/>
      <c r="CV344" s="86"/>
      <c r="CW344" s="86"/>
    </row>
    <row r="345" customFormat="false" ht="12.75" hidden="false" customHeight="false" outlineLevel="0" collapsed="false">
      <c r="F345" s="86"/>
      <c r="G345" s="86"/>
      <c r="H345" s="86"/>
      <c r="I345" s="86"/>
      <c r="J345" s="86"/>
      <c r="K345" s="86"/>
      <c r="L345" s="86"/>
      <c r="N345" s="86"/>
      <c r="CQ345" s="86"/>
      <c r="CR345" s="86"/>
      <c r="CS345" s="86"/>
      <c r="CT345" s="86"/>
      <c r="CU345" s="86"/>
      <c r="CV345" s="86"/>
      <c r="CW345" s="86"/>
    </row>
    <row r="346" customFormat="false" ht="12.75" hidden="false" customHeight="false" outlineLevel="0" collapsed="false">
      <c r="F346" s="86"/>
      <c r="G346" s="86"/>
      <c r="H346" s="86"/>
      <c r="I346" s="86"/>
      <c r="J346" s="86"/>
      <c r="K346" s="86"/>
      <c r="L346" s="86"/>
      <c r="N346" s="86"/>
      <c r="CQ346" s="86"/>
      <c r="CR346" s="86"/>
      <c r="CS346" s="86"/>
      <c r="CT346" s="86"/>
      <c r="CU346" s="86"/>
      <c r="CV346" s="86"/>
      <c r="CW346" s="86"/>
    </row>
    <row r="347" customFormat="false" ht="12.75" hidden="false" customHeight="false" outlineLevel="0" collapsed="false">
      <c r="F347" s="86"/>
      <c r="G347" s="86"/>
      <c r="H347" s="86"/>
      <c r="I347" s="86"/>
      <c r="J347" s="86"/>
      <c r="K347" s="86"/>
      <c r="L347" s="86"/>
      <c r="N347" s="86"/>
      <c r="CQ347" s="86"/>
      <c r="CR347" s="86"/>
      <c r="CS347" s="86"/>
      <c r="CT347" s="86"/>
      <c r="CU347" s="86"/>
      <c r="CV347" s="86"/>
      <c r="CW347" s="86"/>
    </row>
    <row r="348" customFormat="false" ht="12.75" hidden="false" customHeight="false" outlineLevel="0" collapsed="false">
      <c r="F348" s="86"/>
      <c r="G348" s="86"/>
      <c r="H348" s="86"/>
      <c r="I348" s="86"/>
      <c r="J348" s="86"/>
      <c r="K348" s="86"/>
      <c r="L348" s="86"/>
      <c r="N348" s="86"/>
      <c r="CQ348" s="86"/>
      <c r="CR348" s="86"/>
      <c r="CS348" s="86"/>
      <c r="CT348" s="86"/>
      <c r="CU348" s="86"/>
      <c r="CV348" s="86"/>
      <c r="CW348" s="86"/>
    </row>
    <row r="349" customFormat="false" ht="12.75" hidden="false" customHeight="false" outlineLevel="0" collapsed="false">
      <c r="F349" s="86"/>
      <c r="G349" s="86"/>
      <c r="H349" s="86"/>
      <c r="I349" s="86"/>
      <c r="J349" s="86"/>
      <c r="K349" s="86"/>
      <c r="L349" s="86"/>
      <c r="N349" s="86"/>
      <c r="CQ349" s="86"/>
      <c r="CR349" s="86"/>
      <c r="CS349" s="86"/>
      <c r="CT349" s="86"/>
      <c r="CU349" s="86"/>
      <c r="CV349" s="86"/>
      <c r="CW349" s="86"/>
    </row>
    <row r="350" customFormat="false" ht="12.75" hidden="false" customHeight="false" outlineLevel="0" collapsed="false">
      <c r="F350" s="86"/>
      <c r="G350" s="86"/>
      <c r="H350" s="86"/>
      <c r="I350" s="86"/>
      <c r="J350" s="86"/>
      <c r="K350" s="86"/>
      <c r="L350" s="86"/>
      <c r="N350" s="86"/>
      <c r="CQ350" s="86"/>
      <c r="CR350" s="86"/>
      <c r="CS350" s="86"/>
      <c r="CT350" s="86"/>
      <c r="CU350" s="86"/>
      <c r="CV350" s="86"/>
      <c r="CW350" s="86"/>
    </row>
    <row r="351" customFormat="false" ht="12.75" hidden="false" customHeight="false" outlineLevel="0" collapsed="false">
      <c r="F351" s="86"/>
      <c r="G351" s="86"/>
      <c r="H351" s="86"/>
      <c r="I351" s="86"/>
      <c r="J351" s="86"/>
      <c r="K351" s="86"/>
      <c r="L351" s="86"/>
      <c r="N351" s="86"/>
      <c r="CQ351" s="86"/>
      <c r="CR351" s="86"/>
      <c r="CS351" s="86"/>
      <c r="CT351" s="86"/>
      <c r="CU351" s="86"/>
      <c r="CV351" s="86"/>
      <c r="CW351" s="86"/>
    </row>
    <row r="352" customFormat="false" ht="12.75" hidden="false" customHeight="false" outlineLevel="0" collapsed="false">
      <c r="F352" s="86"/>
      <c r="G352" s="86"/>
      <c r="H352" s="86"/>
      <c r="I352" s="86"/>
      <c r="J352" s="86"/>
      <c r="K352" s="86"/>
      <c r="L352" s="86"/>
      <c r="N352" s="86"/>
      <c r="CQ352" s="86"/>
      <c r="CR352" s="86"/>
      <c r="CS352" s="86"/>
      <c r="CT352" s="86"/>
      <c r="CU352" s="86"/>
      <c r="CV352" s="86"/>
      <c r="CW352" s="86"/>
    </row>
    <row r="353" customFormat="false" ht="12.75" hidden="false" customHeight="false" outlineLevel="0" collapsed="false">
      <c r="F353" s="86"/>
      <c r="G353" s="86"/>
      <c r="H353" s="86"/>
      <c r="I353" s="86"/>
      <c r="J353" s="86"/>
      <c r="K353" s="86"/>
      <c r="L353" s="86"/>
      <c r="N353" s="86"/>
      <c r="CQ353" s="86"/>
      <c r="CR353" s="86"/>
      <c r="CS353" s="86"/>
      <c r="CT353" s="86"/>
      <c r="CU353" s="86"/>
      <c r="CV353" s="86"/>
      <c r="CW353" s="86"/>
    </row>
    <row r="354" customFormat="false" ht="12.75" hidden="false" customHeight="false" outlineLevel="0" collapsed="false">
      <c r="F354" s="86"/>
      <c r="G354" s="86"/>
      <c r="H354" s="86"/>
      <c r="I354" s="86"/>
      <c r="J354" s="86"/>
      <c r="K354" s="86"/>
      <c r="L354" s="86"/>
      <c r="N354" s="86"/>
      <c r="CQ354" s="86"/>
      <c r="CR354" s="86"/>
      <c r="CS354" s="86"/>
      <c r="CT354" s="86"/>
      <c r="CU354" s="86"/>
      <c r="CV354" s="86"/>
      <c r="CW354" s="86"/>
    </row>
    <row r="355" customFormat="false" ht="12.75" hidden="false" customHeight="false" outlineLevel="0" collapsed="false">
      <c r="F355" s="86"/>
      <c r="G355" s="86"/>
      <c r="H355" s="86"/>
      <c r="I355" s="86"/>
      <c r="J355" s="86"/>
      <c r="K355" s="86"/>
      <c r="L355" s="86"/>
      <c r="N355" s="86"/>
      <c r="CQ355" s="86"/>
      <c r="CR355" s="86"/>
      <c r="CS355" s="86"/>
      <c r="CT355" s="86"/>
      <c r="CU355" s="86"/>
      <c r="CV355" s="86"/>
      <c r="CW355" s="86"/>
    </row>
    <row r="356" customFormat="false" ht="12.75" hidden="false" customHeight="false" outlineLevel="0" collapsed="false">
      <c r="F356" s="86"/>
      <c r="G356" s="86"/>
      <c r="H356" s="86"/>
      <c r="I356" s="86"/>
      <c r="J356" s="86"/>
      <c r="K356" s="86"/>
      <c r="L356" s="86"/>
      <c r="N356" s="86"/>
      <c r="CQ356" s="86"/>
      <c r="CR356" s="86"/>
      <c r="CS356" s="86"/>
      <c r="CT356" s="86"/>
      <c r="CU356" s="86"/>
      <c r="CV356" s="86"/>
      <c r="CW356" s="86"/>
    </row>
    <row r="357" customFormat="false" ht="12.75" hidden="false" customHeight="false" outlineLevel="0" collapsed="false">
      <c r="F357" s="86"/>
      <c r="G357" s="86"/>
      <c r="H357" s="86"/>
      <c r="I357" s="86"/>
      <c r="J357" s="86"/>
      <c r="K357" s="86"/>
      <c r="L357" s="86"/>
      <c r="N357" s="86"/>
      <c r="CQ357" s="86"/>
      <c r="CR357" s="86"/>
      <c r="CS357" s="86"/>
      <c r="CT357" s="86"/>
      <c r="CU357" s="86"/>
      <c r="CV357" s="86"/>
      <c r="CW357" s="86"/>
    </row>
    <row r="358" customFormat="false" ht="12.75" hidden="false" customHeight="false" outlineLevel="0" collapsed="false">
      <c r="F358" s="86"/>
      <c r="G358" s="86"/>
      <c r="H358" s="86"/>
      <c r="I358" s="86"/>
      <c r="J358" s="86"/>
      <c r="K358" s="86"/>
      <c r="L358" s="86"/>
      <c r="N358" s="86"/>
      <c r="CQ358" s="86"/>
      <c r="CR358" s="86"/>
      <c r="CS358" s="86"/>
      <c r="CT358" s="86"/>
      <c r="CU358" s="86"/>
      <c r="CV358" s="86"/>
      <c r="CW358" s="86"/>
    </row>
    <row r="359" customFormat="false" ht="12.75" hidden="false" customHeight="false" outlineLevel="0" collapsed="false">
      <c r="F359" s="86"/>
      <c r="G359" s="86"/>
      <c r="H359" s="86"/>
      <c r="I359" s="86"/>
      <c r="J359" s="86"/>
      <c r="K359" s="86"/>
      <c r="L359" s="86"/>
      <c r="N359" s="86"/>
      <c r="CQ359" s="86"/>
      <c r="CR359" s="86"/>
      <c r="CS359" s="86"/>
      <c r="CT359" s="86"/>
      <c r="CU359" s="86"/>
      <c r="CV359" s="86"/>
      <c r="CW359" s="86"/>
    </row>
    <row r="360" customFormat="false" ht="12.75" hidden="false" customHeight="false" outlineLevel="0" collapsed="false">
      <c r="F360" s="86"/>
      <c r="G360" s="86"/>
      <c r="H360" s="86"/>
      <c r="I360" s="86"/>
      <c r="J360" s="86"/>
      <c r="K360" s="86"/>
      <c r="L360" s="86"/>
      <c r="N360" s="86"/>
      <c r="CQ360" s="86"/>
      <c r="CR360" s="86"/>
      <c r="CS360" s="86"/>
      <c r="CT360" s="86"/>
      <c r="CU360" s="86"/>
      <c r="CV360" s="86"/>
      <c r="CW360" s="86"/>
    </row>
    <row r="361" customFormat="false" ht="12.75" hidden="false" customHeight="false" outlineLevel="0" collapsed="false">
      <c r="F361" s="86"/>
      <c r="G361" s="86"/>
      <c r="H361" s="86"/>
      <c r="I361" s="86"/>
      <c r="J361" s="86"/>
      <c r="K361" s="86"/>
      <c r="L361" s="86"/>
      <c r="N361" s="86"/>
      <c r="CQ361" s="86"/>
      <c r="CR361" s="86"/>
      <c r="CS361" s="86"/>
      <c r="CT361" s="86"/>
      <c r="CU361" s="86"/>
      <c r="CV361" s="86"/>
      <c r="CW361" s="86"/>
    </row>
    <row r="362" customFormat="false" ht="12.75" hidden="false" customHeight="false" outlineLevel="0" collapsed="false">
      <c r="F362" s="86"/>
      <c r="G362" s="86"/>
      <c r="H362" s="86"/>
      <c r="I362" s="86"/>
      <c r="J362" s="86"/>
      <c r="K362" s="86"/>
      <c r="L362" s="86"/>
      <c r="N362" s="86"/>
      <c r="CQ362" s="86"/>
      <c r="CR362" s="86"/>
      <c r="CS362" s="86"/>
      <c r="CT362" s="86"/>
      <c r="CU362" s="86"/>
      <c r="CV362" s="86"/>
      <c r="CW362" s="86"/>
    </row>
    <row r="363" customFormat="false" ht="12.75" hidden="false" customHeight="false" outlineLevel="0" collapsed="false">
      <c r="F363" s="86"/>
      <c r="G363" s="86"/>
      <c r="H363" s="86"/>
      <c r="I363" s="86"/>
      <c r="J363" s="86"/>
      <c r="K363" s="86"/>
      <c r="L363" s="86"/>
      <c r="N363" s="86"/>
      <c r="CQ363" s="86"/>
      <c r="CR363" s="86"/>
      <c r="CS363" s="86"/>
      <c r="CT363" s="86"/>
      <c r="CU363" s="86"/>
      <c r="CV363" s="86"/>
      <c r="CW363" s="86"/>
    </row>
    <row r="364" customFormat="false" ht="12.75" hidden="false" customHeight="false" outlineLevel="0" collapsed="false">
      <c r="F364" s="86"/>
      <c r="G364" s="86"/>
      <c r="H364" s="86"/>
      <c r="I364" s="86"/>
      <c r="J364" s="86"/>
      <c r="K364" s="86"/>
      <c r="L364" s="86"/>
      <c r="N364" s="86"/>
      <c r="CQ364" s="86"/>
      <c r="CR364" s="86"/>
      <c r="CS364" s="86"/>
      <c r="CT364" s="86"/>
      <c r="CU364" s="86"/>
      <c r="CV364" s="86"/>
      <c r="CW364" s="86"/>
    </row>
    <row r="365" customFormat="false" ht="12.75" hidden="false" customHeight="false" outlineLevel="0" collapsed="false">
      <c r="F365" s="86"/>
      <c r="G365" s="86"/>
      <c r="H365" s="86"/>
      <c r="I365" s="86"/>
      <c r="J365" s="86"/>
      <c r="K365" s="86"/>
      <c r="L365" s="86"/>
      <c r="N365" s="86"/>
      <c r="CQ365" s="86"/>
      <c r="CR365" s="86"/>
      <c r="CS365" s="86"/>
      <c r="CT365" s="86"/>
      <c r="CU365" s="86"/>
      <c r="CV365" s="86"/>
      <c r="CW365" s="86"/>
    </row>
    <row r="366" customFormat="false" ht="12.75" hidden="false" customHeight="false" outlineLevel="0" collapsed="false">
      <c r="F366" s="86"/>
      <c r="G366" s="86"/>
      <c r="H366" s="86"/>
      <c r="I366" s="86"/>
      <c r="J366" s="86"/>
      <c r="K366" s="86"/>
      <c r="L366" s="86"/>
      <c r="N366" s="86"/>
      <c r="CQ366" s="86"/>
      <c r="CR366" s="86"/>
      <c r="CS366" s="86"/>
      <c r="CT366" s="86"/>
      <c r="CU366" s="86"/>
      <c r="CV366" s="86"/>
      <c r="CW366" s="86"/>
    </row>
    <row r="367" customFormat="false" ht="12.75" hidden="false" customHeight="false" outlineLevel="0" collapsed="false">
      <c r="F367" s="86"/>
      <c r="G367" s="86"/>
      <c r="H367" s="86"/>
      <c r="I367" s="86"/>
      <c r="J367" s="86"/>
      <c r="K367" s="86"/>
      <c r="L367" s="86"/>
      <c r="N367" s="86"/>
      <c r="CQ367" s="86"/>
      <c r="CR367" s="86"/>
      <c r="CS367" s="86"/>
      <c r="CT367" s="86"/>
      <c r="CU367" s="86"/>
      <c r="CV367" s="86"/>
      <c r="CW367" s="86"/>
    </row>
    <row r="368" customFormat="false" ht="12.75" hidden="false" customHeight="false" outlineLevel="0" collapsed="false">
      <c r="F368" s="86"/>
      <c r="G368" s="86"/>
      <c r="H368" s="86"/>
      <c r="I368" s="86"/>
      <c r="J368" s="86"/>
      <c r="K368" s="86"/>
      <c r="L368" s="86"/>
      <c r="N368" s="86"/>
      <c r="CQ368" s="86"/>
      <c r="CR368" s="86"/>
      <c r="CS368" s="86"/>
      <c r="CT368" s="86"/>
      <c r="CU368" s="86"/>
      <c r="CV368" s="86"/>
      <c r="CW368" s="86"/>
    </row>
    <row r="369" customFormat="false" ht="12.75" hidden="false" customHeight="false" outlineLevel="0" collapsed="false">
      <c r="F369" s="86"/>
      <c r="G369" s="86"/>
      <c r="H369" s="86"/>
      <c r="I369" s="86"/>
      <c r="J369" s="86"/>
      <c r="K369" s="86"/>
      <c r="L369" s="86"/>
      <c r="N369" s="86"/>
      <c r="CQ369" s="86"/>
      <c r="CR369" s="86"/>
      <c r="CS369" s="86"/>
      <c r="CT369" s="86"/>
      <c r="CU369" s="86"/>
      <c r="CV369" s="86"/>
      <c r="CW369" s="86"/>
    </row>
    <row r="370" customFormat="false" ht="12.75" hidden="false" customHeight="false" outlineLevel="0" collapsed="false">
      <c r="F370" s="86"/>
      <c r="G370" s="86"/>
      <c r="H370" s="86"/>
      <c r="I370" s="86"/>
      <c r="J370" s="86"/>
      <c r="K370" s="86"/>
      <c r="L370" s="86"/>
      <c r="N370" s="86"/>
      <c r="CQ370" s="86"/>
      <c r="CR370" s="86"/>
      <c r="CS370" s="86"/>
      <c r="CT370" s="86"/>
      <c r="CU370" s="86"/>
      <c r="CV370" s="86"/>
      <c r="CW370" s="86"/>
    </row>
    <row r="371" customFormat="false" ht="12.75" hidden="false" customHeight="false" outlineLevel="0" collapsed="false">
      <c r="F371" s="86"/>
      <c r="G371" s="86"/>
      <c r="H371" s="86"/>
      <c r="I371" s="86"/>
      <c r="J371" s="86"/>
      <c r="K371" s="86"/>
      <c r="L371" s="86"/>
      <c r="N371" s="86"/>
      <c r="CQ371" s="86"/>
      <c r="CR371" s="86"/>
      <c r="CS371" s="86"/>
      <c r="CT371" s="86"/>
      <c r="CU371" s="86"/>
      <c r="CV371" s="86"/>
      <c r="CW371" s="86"/>
    </row>
    <row r="372" customFormat="false" ht="12.75" hidden="false" customHeight="false" outlineLevel="0" collapsed="false">
      <c r="F372" s="86"/>
      <c r="G372" s="86"/>
      <c r="H372" s="86"/>
      <c r="I372" s="86"/>
      <c r="J372" s="86"/>
      <c r="K372" s="86"/>
      <c r="L372" s="86"/>
      <c r="N372" s="86"/>
      <c r="CQ372" s="86"/>
      <c r="CR372" s="86"/>
      <c r="CS372" s="86"/>
      <c r="CT372" s="86"/>
      <c r="CU372" s="86"/>
      <c r="CV372" s="86"/>
      <c r="CW372" s="86"/>
    </row>
    <row r="373" customFormat="false" ht="12.75" hidden="false" customHeight="false" outlineLevel="0" collapsed="false">
      <c r="F373" s="86"/>
      <c r="G373" s="86"/>
      <c r="H373" s="86"/>
      <c r="I373" s="86"/>
      <c r="J373" s="86"/>
      <c r="K373" s="86"/>
      <c r="L373" s="86"/>
      <c r="N373" s="86"/>
      <c r="CQ373" s="86"/>
      <c r="CR373" s="86"/>
      <c r="CS373" s="86"/>
      <c r="CT373" s="86"/>
      <c r="CU373" s="86"/>
      <c r="CV373" s="86"/>
      <c r="CW373" s="86"/>
    </row>
    <row r="374" customFormat="false" ht="12.75" hidden="false" customHeight="false" outlineLevel="0" collapsed="false">
      <c r="F374" s="86"/>
      <c r="G374" s="86"/>
      <c r="H374" s="86"/>
      <c r="I374" s="86"/>
      <c r="J374" s="86"/>
      <c r="K374" s="86"/>
      <c r="L374" s="86"/>
      <c r="N374" s="86"/>
      <c r="CQ374" s="86"/>
      <c r="CR374" s="86"/>
      <c r="CS374" s="86"/>
      <c r="CT374" s="86"/>
      <c r="CU374" s="86"/>
      <c r="CV374" s="86"/>
      <c r="CW374" s="86"/>
    </row>
    <row r="375" customFormat="false" ht="12.75" hidden="false" customHeight="false" outlineLevel="0" collapsed="false">
      <c r="F375" s="86"/>
      <c r="G375" s="86"/>
      <c r="H375" s="86"/>
      <c r="I375" s="86"/>
      <c r="J375" s="86"/>
      <c r="K375" s="86"/>
      <c r="L375" s="86"/>
      <c r="N375" s="86"/>
      <c r="CQ375" s="86"/>
      <c r="CR375" s="86"/>
      <c r="CS375" s="86"/>
      <c r="CT375" s="86"/>
      <c r="CU375" s="86"/>
      <c r="CV375" s="86"/>
      <c r="CW375" s="86"/>
    </row>
    <row r="376" customFormat="false" ht="12.75" hidden="false" customHeight="false" outlineLevel="0" collapsed="false">
      <c r="F376" s="86"/>
      <c r="G376" s="86"/>
      <c r="H376" s="86"/>
      <c r="I376" s="86"/>
      <c r="J376" s="86"/>
      <c r="K376" s="86"/>
      <c r="L376" s="86"/>
      <c r="N376" s="86"/>
      <c r="CQ376" s="86"/>
      <c r="CR376" s="86"/>
      <c r="CS376" s="86"/>
      <c r="CT376" s="86"/>
      <c r="CU376" s="86"/>
      <c r="CV376" s="86"/>
      <c r="CW376" s="86"/>
    </row>
    <row r="377" customFormat="false" ht="12.75" hidden="false" customHeight="false" outlineLevel="0" collapsed="false">
      <c r="F377" s="86"/>
      <c r="G377" s="86"/>
      <c r="H377" s="86"/>
      <c r="I377" s="86"/>
      <c r="J377" s="86"/>
      <c r="K377" s="86"/>
      <c r="L377" s="86"/>
      <c r="N377" s="86"/>
      <c r="CQ377" s="86"/>
      <c r="CR377" s="86"/>
      <c r="CS377" s="86"/>
      <c r="CT377" s="86"/>
      <c r="CU377" s="86"/>
      <c r="CV377" s="86"/>
      <c r="CW377" s="86"/>
    </row>
    <row r="378" customFormat="false" ht="12.75" hidden="false" customHeight="false" outlineLevel="0" collapsed="false">
      <c r="F378" s="86"/>
      <c r="G378" s="86"/>
      <c r="H378" s="86"/>
      <c r="I378" s="86"/>
      <c r="J378" s="86"/>
      <c r="K378" s="86"/>
      <c r="L378" s="86"/>
      <c r="N378" s="86"/>
      <c r="CQ378" s="86"/>
      <c r="CR378" s="86"/>
      <c r="CS378" s="86"/>
      <c r="CT378" s="86"/>
      <c r="CU378" s="86"/>
      <c r="CV378" s="86"/>
      <c r="CW378" s="86"/>
    </row>
    <row r="379" customFormat="false" ht="12.75" hidden="false" customHeight="false" outlineLevel="0" collapsed="false">
      <c r="F379" s="86"/>
      <c r="G379" s="86"/>
      <c r="H379" s="86"/>
      <c r="I379" s="86"/>
      <c r="J379" s="86"/>
      <c r="K379" s="86"/>
      <c r="L379" s="86"/>
      <c r="N379" s="86"/>
      <c r="CQ379" s="86"/>
      <c r="CR379" s="86"/>
      <c r="CS379" s="86"/>
      <c r="CT379" s="86"/>
      <c r="CU379" s="86"/>
      <c r="CV379" s="86"/>
      <c r="CW379" s="86"/>
    </row>
    <row r="380" customFormat="false" ht="12.75" hidden="false" customHeight="false" outlineLevel="0" collapsed="false">
      <c r="F380" s="86"/>
      <c r="G380" s="86"/>
      <c r="H380" s="86"/>
      <c r="I380" s="86"/>
      <c r="J380" s="86"/>
      <c r="K380" s="86"/>
      <c r="L380" s="86"/>
      <c r="N380" s="86"/>
      <c r="CQ380" s="86"/>
      <c r="CR380" s="86"/>
      <c r="CS380" s="86"/>
      <c r="CT380" s="86"/>
      <c r="CU380" s="86"/>
      <c r="CV380" s="86"/>
      <c r="CW380" s="86"/>
    </row>
    <row r="381" customFormat="false" ht="12.75" hidden="false" customHeight="false" outlineLevel="0" collapsed="false">
      <c r="F381" s="86"/>
      <c r="G381" s="86"/>
      <c r="H381" s="86"/>
      <c r="I381" s="86"/>
      <c r="J381" s="86"/>
      <c r="K381" s="86"/>
      <c r="L381" s="86"/>
      <c r="N381" s="86"/>
      <c r="CQ381" s="86"/>
      <c r="CR381" s="86"/>
      <c r="CS381" s="86"/>
      <c r="CT381" s="86"/>
      <c r="CU381" s="86"/>
      <c r="CV381" s="86"/>
      <c r="CW381" s="86"/>
    </row>
    <row r="382" customFormat="false" ht="12.75" hidden="false" customHeight="false" outlineLevel="0" collapsed="false">
      <c r="F382" s="86"/>
      <c r="G382" s="86"/>
      <c r="H382" s="86"/>
      <c r="I382" s="86"/>
      <c r="J382" s="86"/>
      <c r="K382" s="86"/>
      <c r="L382" s="86"/>
      <c r="N382" s="86"/>
      <c r="CQ382" s="86"/>
      <c r="CR382" s="86"/>
      <c r="CS382" s="86"/>
      <c r="CT382" s="86"/>
      <c r="CU382" s="86"/>
      <c r="CV382" s="86"/>
      <c r="CW382" s="86"/>
    </row>
    <row r="383" customFormat="false" ht="12.75" hidden="false" customHeight="false" outlineLevel="0" collapsed="false">
      <c r="F383" s="86"/>
      <c r="G383" s="86"/>
      <c r="H383" s="86"/>
      <c r="I383" s="86"/>
      <c r="J383" s="86"/>
      <c r="K383" s="86"/>
      <c r="L383" s="86"/>
      <c r="N383" s="86"/>
      <c r="CQ383" s="86"/>
      <c r="CR383" s="86"/>
      <c r="CS383" s="86"/>
      <c r="CT383" s="86"/>
      <c r="CU383" s="86"/>
      <c r="CV383" s="86"/>
      <c r="CW383" s="86"/>
    </row>
    <row r="384" customFormat="false" ht="12.75" hidden="false" customHeight="false" outlineLevel="0" collapsed="false">
      <c r="F384" s="86"/>
      <c r="G384" s="86"/>
      <c r="H384" s="86"/>
      <c r="I384" s="86"/>
      <c r="J384" s="86"/>
      <c r="K384" s="86"/>
      <c r="L384" s="86"/>
      <c r="N384" s="86"/>
      <c r="CQ384" s="86"/>
      <c r="CR384" s="86"/>
      <c r="CS384" s="86"/>
      <c r="CT384" s="86"/>
      <c r="CU384" s="86"/>
      <c r="CV384" s="86"/>
      <c r="CW384" s="86"/>
    </row>
    <row r="385" customFormat="false" ht="12.75" hidden="false" customHeight="false" outlineLevel="0" collapsed="false">
      <c r="F385" s="86"/>
      <c r="G385" s="86"/>
      <c r="H385" s="86"/>
      <c r="I385" s="86"/>
      <c r="J385" s="86"/>
      <c r="K385" s="86"/>
      <c r="L385" s="86"/>
      <c r="N385" s="86"/>
      <c r="CQ385" s="86"/>
      <c r="CR385" s="86"/>
      <c r="CS385" s="86"/>
      <c r="CT385" s="86"/>
      <c r="CU385" s="86"/>
      <c r="CV385" s="86"/>
      <c r="CW385" s="86"/>
    </row>
    <row r="386" customFormat="false" ht="12.75" hidden="false" customHeight="false" outlineLevel="0" collapsed="false">
      <c r="F386" s="86"/>
      <c r="G386" s="86"/>
      <c r="H386" s="86"/>
      <c r="I386" s="86"/>
      <c r="J386" s="86"/>
      <c r="K386" s="86"/>
      <c r="L386" s="86"/>
      <c r="N386" s="86"/>
      <c r="CQ386" s="86"/>
      <c r="CR386" s="86"/>
      <c r="CS386" s="86"/>
      <c r="CT386" s="86"/>
      <c r="CU386" s="86"/>
      <c r="CV386" s="86"/>
      <c r="CW386" s="86"/>
    </row>
    <row r="387" customFormat="false" ht="12.75" hidden="false" customHeight="false" outlineLevel="0" collapsed="false">
      <c r="F387" s="86"/>
      <c r="G387" s="86"/>
      <c r="H387" s="86"/>
      <c r="I387" s="86"/>
      <c r="J387" s="86"/>
      <c r="K387" s="86"/>
      <c r="L387" s="86"/>
      <c r="N387" s="86"/>
      <c r="CQ387" s="86"/>
      <c r="CR387" s="86"/>
      <c r="CS387" s="86"/>
      <c r="CT387" s="86"/>
      <c r="CU387" s="86"/>
      <c r="CV387" s="86"/>
      <c r="CW387" s="86"/>
    </row>
    <row r="388" customFormat="false" ht="12.75" hidden="false" customHeight="false" outlineLevel="0" collapsed="false">
      <c r="F388" s="86"/>
      <c r="G388" s="86"/>
      <c r="H388" s="86"/>
      <c r="I388" s="86"/>
      <c r="J388" s="86"/>
      <c r="K388" s="86"/>
      <c r="L388" s="86"/>
      <c r="N388" s="86"/>
      <c r="CQ388" s="86"/>
      <c r="CR388" s="86"/>
      <c r="CS388" s="86"/>
      <c r="CT388" s="86"/>
      <c r="CU388" s="86"/>
      <c r="CV388" s="86"/>
      <c r="CW388" s="86"/>
    </row>
    <row r="389" customFormat="false" ht="12.75" hidden="false" customHeight="false" outlineLevel="0" collapsed="false">
      <c r="F389" s="86"/>
      <c r="G389" s="86"/>
      <c r="H389" s="86"/>
      <c r="I389" s="86"/>
      <c r="J389" s="86"/>
      <c r="K389" s="86"/>
      <c r="L389" s="86"/>
      <c r="N389" s="86"/>
      <c r="CQ389" s="86"/>
      <c r="CR389" s="86"/>
      <c r="CS389" s="86"/>
      <c r="CT389" s="86"/>
      <c r="CU389" s="86"/>
      <c r="CV389" s="86"/>
      <c r="CW389" s="86"/>
    </row>
    <row r="390" customFormat="false" ht="12.75" hidden="false" customHeight="false" outlineLevel="0" collapsed="false">
      <c r="F390" s="86"/>
      <c r="G390" s="86"/>
      <c r="H390" s="86"/>
      <c r="I390" s="86"/>
      <c r="J390" s="86"/>
      <c r="K390" s="86"/>
      <c r="L390" s="86"/>
      <c r="N390" s="86"/>
      <c r="CQ390" s="86"/>
      <c r="CR390" s="86"/>
      <c r="CS390" s="86"/>
      <c r="CT390" s="86"/>
      <c r="CU390" s="86"/>
      <c r="CV390" s="86"/>
      <c r="CW390" s="86"/>
    </row>
    <row r="391" customFormat="false" ht="12.75" hidden="false" customHeight="false" outlineLevel="0" collapsed="false">
      <c r="F391" s="86"/>
      <c r="G391" s="86"/>
      <c r="H391" s="86"/>
      <c r="I391" s="86"/>
      <c r="J391" s="86"/>
      <c r="K391" s="86"/>
      <c r="L391" s="86"/>
      <c r="N391" s="86"/>
      <c r="CQ391" s="86"/>
      <c r="CR391" s="86"/>
      <c r="CS391" s="86"/>
      <c r="CT391" s="86"/>
      <c r="CU391" s="86"/>
      <c r="CV391" s="86"/>
      <c r="CW391" s="86"/>
    </row>
    <row r="392" customFormat="false" ht="12.75" hidden="false" customHeight="false" outlineLevel="0" collapsed="false">
      <c r="F392" s="86"/>
      <c r="G392" s="86"/>
      <c r="H392" s="86"/>
      <c r="I392" s="86"/>
      <c r="J392" s="86"/>
      <c r="K392" s="86"/>
      <c r="L392" s="86"/>
      <c r="N392" s="86"/>
      <c r="CQ392" s="86"/>
      <c r="CR392" s="86"/>
      <c r="CS392" s="86"/>
      <c r="CT392" s="86"/>
      <c r="CU392" s="86"/>
      <c r="CV392" s="86"/>
      <c r="CW392" s="86"/>
    </row>
    <row r="393" customFormat="false" ht="12.75" hidden="false" customHeight="false" outlineLevel="0" collapsed="false">
      <c r="F393" s="86"/>
      <c r="G393" s="86"/>
      <c r="H393" s="86"/>
      <c r="I393" s="86"/>
      <c r="J393" s="86"/>
      <c r="K393" s="86"/>
      <c r="L393" s="86"/>
      <c r="N393" s="86"/>
      <c r="CQ393" s="86"/>
      <c r="CR393" s="86"/>
      <c r="CS393" s="86"/>
      <c r="CT393" s="86"/>
      <c r="CU393" s="86"/>
      <c r="CV393" s="86"/>
      <c r="CW393" s="86"/>
    </row>
    <row r="394" customFormat="false" ht="12.75" hidden="false" customHeight="false" outlineLevel="0" collapsed="false">
      <c r="F394" s="86"/>
      <c r="G394" s="86"/>
      <c r="H394" s="86"/>
      <c r="I394" s="86"/>
      <c r="J394" s="86"/>
      <c r="K394" s="86"/>
      <c r="L394" s="86"/>
      <c r="N394" s="86"/>
      <c r="CQ394" s="86"/>
      <c r="CR394" s="86"/>
      <c r="CS394" s="86"/>
      <c r="CT394" s="86"/>
      <c r="CU394" s="86"/>
      <c r="CV394" s="86"/>
      <c r="CW394" s="86"/>
    </row>
    <row r="395" customFormat="false" ht="12.75" hidden="false" customHeight="false" outlineLevel="0" collapsed="false">
      <c r="F395" s="86"/>
      <c r="G395" s="86"/>
      <c r="H395" s="86"/>
      <c r="I395" s="86"/>
      <c r="J395" s="86"/>
      <c r="K395" s="86"/>
      <c r="L395" s="86"/>
      <c r="N395" s="86"/>
      <c r="CQ395" s="86"/>
      <c r="CR395" s="86"/>
      <c r="CS395" s="86"/>
      <c r="CT395" s="86"/>
      <c r="CU395" s="86"/>
      <c r="CV395" s="86"/>
      <c r="CW395" s="86"/>
    </row>
    <row r="396" customFormat="false" ht="12.75" hidden="false" customHeight="false" outlineLevel="0" collapsed="false">
      <c r="F396" s="86"/>
      <c r="G396" s="86"/>
      <c r="H396" s="86"/>
      <c r="I396" s="86"/>
      <c r="J396" s="86"/>
      <c r="K396" s="86"/>
      <c r="L396" s="86"/>
      <c r="N396" s="86"/>
      <c r="CQ396" s="86"/>
      <c r="CR396" s="86"/>
      <c r="CS396" s="86"/>
      <c r="CT396" s="86"/>
      <c r="CU396" s="86"/>
      <c r="CV396" s="86"/>
      <c r="CW396" s="86"/>
    </row>
    <row r="397" customFormat="false" ht="12.75" hidden="false" customHeight="false" outlineLevel="0" collapsed="false">
      <c r="F397" s="86"/>
      <c r="G397" s="86"/>
      <c r="H397" s="86"/>
      <c r="I397" s="86"/>
      <c r="J397" s="86"/>
      <c r="K397" s="86"/>
      <c r="L397" s="86"/>
      <c r="N397" s="86"/>
      <c r="CQ397" s="86"/>
      <c r="CR397" s="86"/>
      <c r="CS397" s="86"/>
      <c r="CT397" s="86"/>
      <c r="CU397" s="86"/>
      <c r="CV397" s="86"/>
      <c r="CW397" s="86"/>
    </row>
    <row r="398" customFormat="false" ht="12.75" hidden="false" customHeight="false" outlineLevel="0" collapsed="false">
      <c r="F398" s="86"/>
      <c r="G398" s="86"/>
      <c r="H398" s="86"/>
      <c r="I398" s="86"/>
      <c r="J398" s="86"/>
      <c r="K398" s="86"/>
      <c r="L398" s="86"/>
      <c r="N398" s="86"/>
      <c r="CQ398" s="86"/>
      <c r="CR398" s="86"/>
      <c r="CS398" s="86"/>
      <c r="CT398" s="86"/>
      <c r="CU398" s="86"/>
      <c r="CV398" s="86"/>
      <c r="CW398" s="86"/>
    </row>
    <row r="399" customFormat="false" ht="12.75" hidden="false" customHeight="false" outlineLevel="0" collapsed="false">
      <c r="F399" s="86"/>
      <c r="G399" s="86"/>
      <c r="H399" s="86"/>
      <c r="I399" s="86"/>
      <c r="J399" s="86"/>
      <c r="K399" s="86"/>
      <c r="L399" s="86"/>
      <c r="N399" s="86"/>
      <c r="CQ399" s="86"/>
      <c r="CR399" s="86"/>
      <c r="CS399" s="86"/>
      <c r="CT399" s="86"/>
      <c r="CU399" s="86"/>
      <c r="CV399" s="86"/>
      <c r="CW399" s="86"/>
    </row>
    <row r="400" customFormat="false" ht="12.75" hidden="false" customHeight="false" outlineLevel="0" collapsed="false">
      <c r="F400" s="86"/>
      <c r="G400" s="86"/>
      <c r="H400" s="86"/>
      <c r="I400" s="86"/>
      <c r="J400" s="86"/>
      <c r="K400" s="86"/>
      <c r="L400" s="86"/>
      <c r="N400" s="86"/>
      <c r="CQ400" s="86"/>
      <c r="CR400" s="86"/>
      <c r="CS400" s="86"/>
      <c r="CT400" s="86"/>
      <c r="CU400" s="86"/>
      <c r="CV400" s="86"/>
      <c r="CW400" s="86"/>
    </row>
    <row r="401" customFormat="false" ht="12.75" hidden="false" customHeight="false" outlineLevel="0" collapsed="false">
      <c r="F401" s="86"/>
      <c r="G401" s="86"/>
      <c r="H401" s="86"/>
      <c r="I401" s="86"/>
      <c r="J401" s="86"/>
      <c r="K401" s="86"/>
      <c r="L401" s="86"/>
      <c r="N401" s="86"/>
      <c r="CQ401" s="86"/>
      <c r="CR401" s="86"/>
      <c r="CS401" s="86"/>
      <c r="CT401" s="86"/>
      <c r="CU401" s="86"/>
      <c r="CV401" s="86"/>
      <c r="CW401" s="86"/>
    </row>
    <row r="402" customFormat="false" ht="12.75" hidden="false" customHeight="false" outlineLevel="0" collapsed="false">
      <c r="F402" s="86"/>
      <c r="G402" s="86"/>
      <c r="H402" s="86"/>
      <c r="I402" s="86"/>
      <c r="J402" s="86"/>
      <c r="K402" s="86"/>
      <c r="L402" s="86"/>
      <c r="N402" s="86"/>
      <c r="CQ402" s="86"/>
      <c r="CR402" s="86"/>
      <c r="CS402" s="86"/>
      <c r="CT402" s="86"/>
      <c r="CU402" s="86"/>
      <c r="CV402" s="86"/>
      <c r="CW402" s="86"/>
    </row>
    <row r="403" customFormat="false" ht="12.75" hidden="false" customHeight="false" outlineLevel="0" collapsed="false">
      <c r="F403" s="86"/>
      <c r="G403" s="86"/>
      <c r="H403" s="86"/>
      <c r="I403" s="86"/>
      <c r="J403" s="86"/>
      <c r="K403" s="86"/>
      <c r="L403" s="86"/>
      <c r="N403" s="86"/>
      <c r="CQ403" s="86"/>
      <c r="CR403" s="86"/>
      <c r="CS403" s="86"/>
      <c r="CT403" s="86"/>
      <c r="CU403" s="86"/>
      <c r="CV403" s="86"/>
      <c r="CW403" s="86"/>
    </row>
    <row r="404" customFormat="false" ht="12.75" hidden="false" customHeight="false" outlineLevel="0" collapsed="false">
      <c r="F404" s="86"/>
      <c r="G404" s="86"/>
      <c r="H404" s="86"/>
      <c r="I404" s="86"/>
      <c r="J404" s="86"/>
      <c r="K404" s="86"/>
      <c r="L404" s="86"/>
      <c r="N404" s="86"/>
      <c r="CQ404" s="86"/>
      <c r="CR404" s="86"/>
      <c r="CS404" s="86"/>
      <c r="CT404" s="86"/>
      <c r="CU404" s="86"/>
      <c r="CV404" s="86"/>
      <c r="CW404" s="86"/>
    </row>
    <row r="405" customFormat="false" ht="12.75" hidden="false" customHeight="false" outlineLevel="0" collapsed="false">
      <c r="F405" s="86"/>
      <c r="G405" s="86"/>
      <c r="H405" s="86"/>
      <c r="I405" s="86"/>
      <c r="J405" s="86"/>
      <c r="K405" s="86"/>
      <c r="L405" s="86"/>
      <c r="N405" s="86"/>
      <c r="CQ405" s="86"/>
      <c r="CR405" s="86"/>
      <c r="CS405" s="86"/>
      <c r="CT405" s="86"/>
      <c r="CU405" s="86"/>
      <c r="CV405" s="86"/>
      <c r="CW405" s="86"/>
    </row>
    <row r="406" customFormat="false" ht="12.75" hidden="false" customHeight="false" outlineLevel="0" collapsed="false">
      <c r="F406" s="86"/>
      <c r="G406" s="86"/>
      <c r="H406" s="86"/>
      <c r="I406" s="86"/>
      <c r="J406" s="86"/>
      <c r="K406" s="86"/>
      <c r="L406" s="86"/>
      <c r="N406" s="86"/>
      <c r="CQ406" s="86"/>
      <c r="CR406" s="86"/>
      <c r="CS406" s="86"/>
      <c r="CT406" s="86"/>
      <c r="CU406" s="86"/>
      <c r="CV406" s="86"/>
      <c r="CW406" s="86"/>
    </row>
    <row r="407" customFormat="false" ht="12.75" hidden="false" customHeight="false" outlineLevel="0" collapsed="false">
      <c r="F407" s="86"/>
      <c r="G407" s="86"/>
      <c r="H407" s="86"/>
      <c r="I407" s="86"/>
      <c r="J407" s="86"/>
      <c r="K407" s="86"/>
      <c r="L407" s="86"/>
      <c r="N407" s="86"/>
      <c r="CQ407" s="86"/>
      <c r="CR407" s="86"/>
      <c r="CS407" s="86"/>
      <c r="CT407" s="86"/>
      <c r="CU407" s="86"/>
      <c r="CV407" s="86"/>
      <c r="CW407" s="86"/>
    </row>
    <row r="408" customFormat="false" ht="12.75" hidden="false" customHeight="false" outlineLevel="0" collapsed="false">
      <c r="F408" s="86"/>
      <c r="G408" s="86"/>
      <c r="H408" s="86"/>
      <c r="I408" s="86"/>
      <c r="J408" s="86"/>
      <c r="K408" s="86"/>
      <c r="L408" s="86"/>
      <c r="N408" s="86"/>
      <c r="CQ408" s="86"/>
      <c r="CR408" s="86"/>
      <c r="CS408" s="86"/>
      <c r="CT408" s="86"/>
      <c r="CU408" s="86"/>
      <c r="CV408" s="86"/>
      <c r="CW408" s="86"/>
    </row>
    <row r="409" customFormat="false" ht="12.75" hidden="false" customHeight="false" outlineLevel="0" collapsed="false">
      <c r="F409" s="86"/>
      <c r="G409" s="86"/>
      <c r="H409" s="86"/>
      <c r="I409" s="86"/>
      <c r="J409" s="86"/>
      <c r="K409" s="86"/>
      <c r="L409" s="86"/>
      <c r="N409" s="86"/>
      <c r="CQ409" s="86"/>
      <c r="CR409" s="86"/>
      <c r="CS409" s="86"/>
      <c r="CT409" s="86"/>
      <c r="CU409" s="86"/>
      <c r="CV409" s="86"/>
      <c r="CW409" s="86"/>
    </row>
    <row r="410" customFormat="false" ht="12.75" hidden="false" customHeight="false" outlineLevel="0" collapsed="false">
      <c r="F410" s="86"/>
      <c r="G410" s="86"/>
      <c r="H410" s="86"/>
      <c r="I410" s="86"/>
      <c r="J410" s="86"/>
      <c r="K410" s="86"/>
      <c r="L410" s="86"/>
      <c r="N410" s="86"/>
      <c r="CQ410" s="86"/>
      <c r="CR410" s="86"/>
      <c r="CS410" s="86"/>
      <c r="CT410" s="86"/>
      <c r="CU410" s="86"/>
      <c r="CV410" s="86"/>
      <c r="CW410" s="86"/>
    </row>
    <row r="411" customFormat="false" ht="12.75" hidden="false" customHeight="false" outlineLevel="0" collapsed="false">
      <c r="F411" s="86"/>
      <c r="G411" s="86"/>
      <c r="H411" s="86"/>
      <c r="I411" s="86"/>
      <c r="J411" s="86"/>
      <c r="K411" s="86"/>
      <c r="L411" s="86"/>
      <c r="N411" s="86"/>
      <c r="CQ411" s="86"/>
      <c r="CR411" s="86"/>
      <c r="CS411" s="86"/>
      <c r="CT411" s="86"/>
      <c r="CU411" s="86"/>
      <c r="CV411" s="86"/>
      <c r="CW411" s="86"/>
    </row>
    <row r="412" customFormat="false" ht="12.75" hidden="false" customHeight="false" outlineLevel="0" collapsed="false">
      <c r="F412" s="86"/>
      <c r="G412" s="86"/>
      <c r="H412" s="86"/>
      <c r="I412" s="86"/>
      <c r="J412" s="86"/>
      <c r="K412" s="86"/>
      <c r="L412" s="86"/>
      <c r="N412" s="86"/>
      <c r="CQ412" s="86"/>
      <c r="CR412" s="86"/>
      <c r="CS412" s="86"/>
      <c r="CT412" s="86"/>
      <c r="CU412" s="86"/>
      <c r="CV412" s="86"/>
      <c r="CW412" s="86"/>
    </row>
    <row r="413" customFormat="false" ht="12.75" hidden="false" customHeight="false" outlineLevel="0" collapsed="false">
      <c r="F413" s="86"/>
      <c r="G413" s="86"/>
      <c r="H413" s="86"/>
      <c r="I413" s="86"/>
      <c r="J413" s="86"/>
      <c r="K413" s="86"/>
      <c r="L413" s="86"/>
      <c r="N413" s="86"/>
      <c r="CQ413" s="86"/>
      <c r="CR413" s="86"/>
      <c r="CS413" s="86"/>
      <c r="CT413" s="86"/>
      <c r="CU413" s="86"/>
      <c r="CV413" s="86"/>
      <c r="CW413" s="86"/>
    </row>
    <row r="414" customFormat="false" ht="12.75" hidden="false" customHeight="false" outlineLevel="0" collapsed="false">
      <c r="F414" s="86"/>
      <c r="G414" s="86"/>
      <c r="H414" s="86"/>
      <c r="I414" s="86"/>
      <c r="J414" s="86"/>
      <c r="K414" s="86"/>
      <c r="L414" s="86"/>
      <c r="N414" s="86"/>
      <c r="CQ414" s="86"/>
      <c r="CR414" s="86"/>
      <c r="CS414" s="86"/>
      <c r="CT414" s="86"/>
      <c r="CU414" s="86"/>
      <c r="CV414" s="86"/>
      <c r="CW414" s="86"/>
    </row>
    <row r="415" customFormat="false" ht="12.75" hidden="false" customHeight="false" outlineLevel="0" collapsed="false">
      <c r="F415" s="86"/>
      <c r="G415" s="86"/>
      <c r="H415" s="86"/>
      <c r="I415" s="86"/>
      <c r="J415" s="86"/>
      <c r="K415" s="86"/>
      <c r="L415" s="86"/>
      <c r="N415" s="86"/>
      <c r="CQ415" s="86"/>
      <c r="CR415" s="86"/>
      <c r="CS415" s="86"/>
      <c r="CT415" s="86"/>
      <c r="CU415" s="86"/>
      <c r="CV415" s="86"/>
      <c r="CW415" s="86"/>
    </row>
    <row r="416" customFormat="false" ht="12.75" hidden="false" customHeight="false" outlineLevel="0" collapsed="false">
      <c r="F416" s="86"/>
      <c r="G416" s="86"/>
      <c r="H416" s="86"/>
      <c r="I416" s="86"/>
      <c r="J416" s="86"/>
      <c r="K416" s="86"/>
      <c r="L416" s="86"/>
      <c r="N416" s="86"/>
      <c r="CQ416" s="86"/>
      <c r="CR416" s="86"/>
      <c r="CS416" s="86"/>
      <c r="CT416" s="86"/>
      <c r="CU416" s="86"/>
      <c r="CV416" s="86"/>
      <c r="CW416" s="86"/>
    </row>
    <row r="417" customFormat="false" ht="12.75" hidden="false" customHeight="false" outlineLevel="0" collapsed="false">
      <c r="F417" s="86"/>
      <c r="G417" s="86"/>
      <c r="H417" s="86"/>
      <c r="I417" s="86"/>
      <c r="J417" s="86"/>
      <c r="K417" s="86"/>
      <c r="L417" s="86"/>
      <c r="N417" s="86"/>
      <c r="CQ417" s="86"/>
      <c r="CR417" s="86"/>
      <c r="CS417" s="86"/>
      <c r="CT417" s="86"/>
      <c r="CU417" s="86"/>
      <c r="CV417" s="86"/>
      <c r="CW417" s="86"/>
    </row>
    <row r="418" customFormat="false" ht="12.75" hidden="false" customHeight="false" outlineLevel="0" collapsed="false">
      <c r="F418" s="86"/>
      <c r="G418" s="86"/>
      <c r="H418" s="86"/>
      <c r="I418" s="86"/>
      <c r="J418" s="86"/>
      <c r="K418" s="86"/>
      <c r="L418" s="86"/>
      <c r="N418" s="86"/>
      <c r="CQ418" s="86"/>
      <c r="CR418" s="86"/>
      <c r="CS418" s="86"/>
      <c r="CT418" s="86"/>
      <c r="CU418" s="86"/>
      <c r="CV418" s="86"/>
      <c r="CW418" s="86"/>
    </row>
    <row r="419" customFormat="false" ht="12.75" hidden="false" customHeight="false" outlineLevel="0" collapsed="false">
      <c r="F419" s="86"/>
      <c r="G419" s="86"/>
      <c r="H419" s="86"/>
      <c r="I419" s="86"/>
      <c r="J419" s="86"/>
      <c r="K419" s="86"/>
      <c r="L419" s="86"/>
      <c r="N419" s="86"/>
      <c r="CQ419" s="86"/>
      <c r="CR419" s="86"/>
      <c r="CS419" s="86"/>
      <c r="CT419" s="86"/>
      <c r="CU419" s="86"/>
      <c r="CV419" s="86"/>
      <c r="CW419" s="86"/>
    </row>
    <row r="420" customFormat="false" ht="12.75" hidden="false" customHeight="false" outlineLevel="0" collapsed="false">
      <c r="F420" s="86"/>
      <c r="G420" s="86"/>
      <c r="H420" s="86"/>
      <c r="I420" s="86"/>
      <c r="J420" s="86"/>
      <c r="K420" s="86"/>
      <c r="L420" s="86"/>
      <c r="N420" s="86"/>
      <c r="CQ420" s="86"/>
      <c r="CR420" s="86"/>
      <c r="CS420" s="86"/>
      <c r="CT420" s="86"/>
      <c r="CU420" s="86"/>
      <c r="CV420" s="86"/>
      <c r="CW420" s="86"/>
    </row>
    <row r="421" customFormat="false" ht="12.75" hidden="false" customHeight="false" outlineLevel="0" collapsed="false">
      <c r="F421" s="86"/>
      <c r="G421" s="86"/>
      <c r="H421" s="86"/>
      <c r="I421" s="86"/>
      <c r="J421" s="86"/>
      <c r="K421" s="86"/>
      <c r="L421" s="86"/>
      <c r="N421" s="86"/>
      <c r="CQ421" s="86"/>
      <c r="CR421" s="86"/>
      <c r="CS421" s="86"/>
      <c r="CT421" s="86"/>
      <c r="CU421" s="86"/>
      <c r="CV421" s="86"/>
      <c r="CW421" s="86"/>
    </row>
    <row r="422" customFormat="false" ht="12.75" hidden="false" customHeight="false" outlineLevel="0" collapsed="false">
      <c r="F422" s="86"/>
      <c r="G422" s="86"/>
      <c r="H422" s="86"/>
      <c r="I422" s="86"/>
      <c r="J422" s="86"/>
      <c r="K422" s="86"/>
      <c r="L422" s="86"/>
      <c r="N422" s="86"/>
      <c r="CQ422" s="86"/>
      <c r="CR422" s="86"/>
      <c r="CS422" s="86"/>
      <c r="CT422" s="86"/>
      <c r="CU422" s="86"/>
      <c r="CV422" s="86"/>
      <c r="CW422" s="86"/>
    </row>
    <row r="423" customFormat="false" ht="12.75" hidden="false" customHeight="false" outlineLevel="0" collapsed="false">
      <c r="F423" s="86"/>
      <c r="G423" s="86"/>
      <c r="H423" s="86"/>
      <c r="I423" s="86"/>
      <c r="J423" s="86"/>
      <c r="K423" s="86"/>
      <c r="L423" s="86"/>
      <c r="N423" s="86"/>
      <c r="CQ423" s="86"/>
      <c r="CR423" s="86"/>
      <c r="CS423" s="86"/>
      <c r="CT423" s="86"/>
      <c r="CU423" s="86"/>
      <c r="CV423" s="86"/>
      <c r="CW423" s="86"/>
    </row>
    <row r="424" customFormat="false" ht="12.75" hidden="false" customHeight="false" outlineLevel="0" collapsed="false">
      <c r="F424" s="86"/>
      <c r="G424" s="86"/>
      <c r="H424" s="86"/>
      <c r="I424" s="86"/>
      <c r="J424" s="86"/>
      <c r="K424" s="86"/>
      <c r="L424" s="86"/>
      <c r="N424" s="86"/>
      <c r="CQ424" s="86"/>
      <c r="CR424" s="86"/>
      <c r="CS424" s="86"/>
      <c r="CT424" s="86"/>
      <c r="CU424" s="86"/>
      <c r="CV424" s="86"/>
      <c r="CW424" s="86"/>
    </row>
    <row r="425" customFormat="false" ht="12.75" hidden="false" customHeight="false" outlineLevel="0" collapsed="false">
      <c r="F425" s="86"/>
      <c r="G425" s="86"/>
      <c r="H425" s="86"/>
      <c r="I425" s="86"/>
      <c r="J425" s="86"/>
      <c r="K425" s="86"/>
      <c r="L425" s="86"/>
      <c r="N425" s="86"/>
      <c r="CQ425" s="86"/>
      <c r="CR425" s="86"/>
      <c r="CS425" s="86"/>
      <c r="CT425" s="86"/>
      <c r="CU425" s="86"/>
      <c r="CV425" s="86"/>
      <c r="CW425" s="86"/>
    </row>
    <row r="426" customFormat="false" ht="12.75" hidden="false" customHeight="false" outlineLevel="0" collapsed="false">
      <c r="F426" s="86"/>
      <c r="G426" s="86"/>
      <c r="H426" s="86"/>
      <c r="I426" s="86"/>
      <c r="J426" s="86"/>
      <c r="K426" s="86"/>
      <c r="L426" s="86"/>
      <c r="N426" s="86"/>
      <c r="CQ426" s="86"/>
      <c r="CR426" s="86"/>
      <c r="CS426" s="86"/>
      <c r="CT426" s="86"/>
      <c r="CU426" s="86"/>
      <c r="CV426" s="86"/>
      <c r="CW426" s="86"/>
    </row>
    <row r="427" customFormat="false" ht="12.75" hidden="false" customHeight="false" outlineLevel="0" collapsed="false">
      <c r="F427" s="86"/>
      <c r="G427" s="86"/>
      <c r="H427" s="86"/>
      <c r="I427" s="86"/>
      <c r="J427" s="86"/>
      <c r="K427" s="86"/>
      <c r="L427" s="86"/>
      <c r="N427" s="86"/>
      <c r="CQ427" s="86"/>
      <c r="CR427" s="86"/>
      <c r="CS427" s="86"/>
      <c r="CT427" s="86"/>
      <c r="CU427" s="86"/>
      <c r="CV427" s="86"/>
      <c r="CW427" s="86"/>
    </row>
    <row r="428" customFormat="false" ht="12.75" hidden="false" customHeight="false" outlineLevel="0" collapsed="false">
      <c r="F428" s="86"/>
      <c r="G428" s="86"/>
      <c r="H428" s="86"/>
      <c r="I428" s="86"/>
      <c r="J428" s="86"/>
      <c r="K428" s="86"/>
      <c r="L428" s="86"/>
      <c r="N428" s="86"/>
      <c r="CQ428" s="86"/>
      <c r="CR428" s="86"/>
      <c r="CS428" s="86"/>
      <c r="CT428" s="86"/>
      <c r="CU428" s="86"/>
      <c r="CV428" s="86"/>
      <c r="CW428" s="86"/>
    </row>
    <row r="429" customFormat="false" ht="12.75" hidden="false" customHeight="false" outlineLevel="0" collapsed="false">
      <c r="F429" s="86"/>
      <c r="G429" s="86"/>
      <c r="H429" s="86"/>
      <c r="I429" s="86"/>
      <c r="J429" s="86"/>
      <c r="K429" s="86"/>
      <c r="L429" s="86"/>
      <c r="N429" s="86"/>
      <c r="CQ429" s="86"/>
      <c r="CR429" s="86"/>
      <c r="CS429" s="86"/>
      <c r="CT429" s="86"/>
      <c r="CU429" s="86"/>
      <c r="CV429" s="86"/>
      <c r="CW429" s="86"/>
    </row>
    <row r="430" customFormat="false" ht="12.75" hidden="false" customHeight="false" outlineLevel="0" collapsed="false">
      <c r="F430" s="86"/>
      <c r="G430" s="86"/>
      <c r="H430" s="86"/>
      <c r="I430" s="86"/>
      <c r="J430" s="86"/>
      <c r="K430" s="86"/>
      <c r="L430" s="86"/>
      <c r="N430" s="86"/>
      <c r="CQ430" s="86"/>
      <c r="CR430" s="86"/>
      <c r="CS430" s="86"/>
      <c r="CT430" s="86"/>
      <c r="CU430" s="86"/>
      <c r="CV430" s="86"/>
      <c r="CW430" s="86"/>
    </row>
    <row r="431" customFormat="false" ht="12.75" hidden="false" customHeight="false" outlineLevel="0" collapsed="false">
      <c r="F431" s="86"/>
      <c r="G431" s="86"/>
      <c r="H431" s="86"/>
      <c r="I431" s="86"/>
      <c r="J431" s="86"/>
      <c r="K431" s="86"/>
      <c r="L431" s="86"/>
      <c r="N431" s="86"/>
      <c r="CQ431" s="86"/>
      <c r="CR431" s="86"/>
      <c r="CS431" s="86"/>
      <c r="CT431" s="86"/>
      <c r="CU431" s="86"/>
      <c r="CV431" s="86"/>
      <c r="CW431" s="86"/>
    </row>
    <row r="432" customFormat="false" ht="12.75" hidden="false" customHeight="false" outlineLevel="0" collapsed="false">
      <c r="F432" s="86"/>
      <c r="G432" s="86"/>
      <c r="H432" s="86"/>
      <c r="I432" s="86"/>
      <c r="J432" s="86"/>
      <c r="K432" s="86"/>
      <c r="L432" s="86"/>
      <c r="N432" s="86"/>
      <c r="CQ432" s="86"/>
      <c r="CR432" s="86"/>
      <c r="CS432" s="86"/>
      <c r="CT432" s="86"/>
      <c r="CU432" s="86"/>
      <c r="CV432" s="86"/>
      <c r="CW432" s="86"/>
    </row>
    <row r="433" customFormat="false" ht="12.75" hidden="false" customHeight="false" outlineLevel="0" collapsed="false">
      <c r="F433" s="86"/>
      <c r="G433" s="86"/>
      <c r="H433" s="86"/>
      <c r="I433" s="86"/>
      <c r="J433" s="86"/>
      <c r="K433" s="86"/>
      <c r="L433" s="86"/>
      <c r="N433" s="86"/>
      <c r="CQ433" s="86"/>
      <c r="CR433" s="86"/>
      <c r="CS433" s="86"/>
      <c r="CT433" s="86"/>
      <c r="CU433" s="86"/>
      <c r="CV433" s="86"/>
      <c r="CW433" s="86"/>
    </row>
    <row r="434" customFormat="false" ht="12.75" hidden="false" customHeight="false" outlineLevel="0" collapsed="false">
      <c r="F434" s="86"/>
      <c r="G434" s="86"/>
      <c r="H434" s="86"/>
      <c r="I434" s="86"/>
      <c r="J434" s="86"/>
      <c r="K434" s="86"/>
      <c r="L434" s="86"/>
      <c r="N434" s="86"/>
      <c r="CQ434" s="86"/>
      <c r="CR434" s="86"/>
      <c r="CS434" s="86"/>
      <c r="CT434" s="86"/>
      <c r="CU434" s="86"/>
      <c r="CV434" s="86"/>
      <c r="CW434" s="86"/>
    </row>
    <row r="435" customFormat="false" ht="12.75" hidden="false" customHeight="false" outlineLevel="0" collapsed="false">
      <c r="F435" s="86"/>
      <c r="G435" s="86"/>
      <c r="H435" s="86"/>
      <c r="I435" s="86"/>
      <c r="J435" s="86"/>
      <c r="K435" s="86"/>
      <c r="L435" s="86"/>
      <c r="N435" s="86"/>
      <c r="CQ435" s="86"/>
      <c r="CR435" s="86"/>
      <c r="CS435" s="86"/>
      <c r="CT435" s="86"/>
      <c r="CU435" s="86"/>
      <c r="CV435" s="86"/>
      <c r="CW435" s="86"/>
    </row>
    <row r="436" customFormat="false" ht="12.75" hidden="false" customHeight="false" outlineLevel="0" collapsed="false">
      <c r="F436" s="86"/>
      <c r="G436" s="86"/>
      <c r="H436" s="86"/>
      <c r="I436" s="86"/>
      <c r="J436" s="86"/>
      <c r="K436" s="86"/>
      <c r="L436" s="86"/>
      <c r="N436" s="86"/>
      <c r="CQ436" s="86"/>
      <c r="CR436" s="86"/>
      <c r="CS436" s="86"/>
      <c r="CT436" s="86"/>
      <c r="CU436" s="86"/>
      <c r="CV436" s="86"/>
      <c r="CW436" s="86"/>
    </row>
    <row r="437" customFormat="false" ht="12.75" hidden="false" customHeight="false" outlineLevel="0" collapsed="false">
      <c r="F437" s="86"/>
      <c r="G437" s="86"/>
      <c r="H437" s="86"/>
      <c r="I437" s="86"/>
      <c r="J437" s="86"/>
      <c r="K437" s="86"/>
      <c r="L437" s="86"/>
      <c r="N437" s="86"/>
      <c r="CQ437" s="86"/>
      <c r="CR437" s="86"/>
      <c r="CS437" s="86"/>
      <c r="CT437" s="86"/>
      <c r="CU437" s="86"/>
      <c r="CV437" s="86"/>
      <c r="CW437" s="86"/>
    </row>
    <row r="438" customFormat="false" ht="12.75" hidden="false" customHeight="false" outlineLevel="0" collapsed="false">
      <c r="F438" s="86"/>
      <c r="G438" s="86"/>
      <c r="H438" s="86"/>
      <c r="I438" s="86"/>
      <c r="J438" s="86"/>
      <c r="K438" s="86"/>
      <c r="L438" s="86"/>
      <c r="N438" s="86"/>
      <c r="CQ438" s="86"/>
      <c r="CR438" s="86"/>
      <c r="CS438" s="86"/>
      <c r="CT438" s="86"/>
      <c r="CU438" s="86"/>
      <c r="CV438" s="86"/>
      <c r="CW438" s="86"/>
    </row>
    <row r="439" customFormat="false" ht="12.75" hidden="false" customHeight="false" outlineLevel="0" collapsed="false">
      <c r="F439" s="86"/>
      <c r="G439" s="86"/>
      <c r="H439" s="86"/>
      <c r="I439" s="86"/>
      <c r="J439" s="86"/>
      <c r="K439" s="86"/>
      <c r="L439" s="86"/>
      <c r="N439" s="86"/>
      <c r="CQ439" s="86"/>
      <c r="CR439" s="86"/>
      <c r="CS439" s="86"/>
      <c r="CT439" s="86"/>
      <c r="CU439" s="86"/>
      <c r="CV439" s="86"/>
      <c r="CW439" s="86"/>
    </row>
    <row r="440" customFormat="false" ht="12.75" hidden="false" customHeight="false" outlineLevel="0" collapsed="false">
      <c r="F440" s="86"/>
      <c r="G440" s="86"/>
      <c r="H440" s="86"/>
      <c r="I440" s="86"/>
      <c r="J440" s="86"/>
      <c r="K440" s="86"/>
      <c r="L440" s="86"/>
      <c r="N440" s="86"/>
      <c r="CQ440" s="86"/>
      <c r="CR440" s="86"/>
      <c r="CS440" s="86"/>
      <c r="CT440" s="86"/>
      <c r="CU440" s="86"/>
      <c r="CV440" s="86"/>
      <c r="CW440" s="86"/>
    </row>
    <row r="441" customFormat="false" ht="12.75" hidden="false" customHeight="false" outlineLevel="0" collapsed="false">
      <c r="F441" s="86"/>
      <c r="G441" s="86"/>
      <c r="H441" s="86"/>
      <c r="I441" s="86"/>
      <c r="J441" s="86"/>
      <c r="K441" s="86"/>
      <c r="L441" s="86"/>
      <c r="N441" s="86"/>
      <c r="CQ441" s="86"/>
      <c r="CR441" s="86"/>
      <c r="CS441" s="86"/>
      <c r="CT441" s="86"/>
      <c r="CU441" s="86"/>
      <c r="CV441" s="86"/>
      <c r="CW441" s="86"/>
    </row>
    <row r="442" customFormat="false" ht="12.75" hidden="false" customHeight="false" outlineLevel="0" collapsed="false">
      <c r="F442" s="86"/>
      <c r="G442" s="86"/>
      <c r="H442" s="86"/>
      <c r="I442" s="86"/>
      <c r="J442" s="86"/>
      <c r="K442" s="86"/>
      <c r="L442" s="86"/>
      <c r="N442" s="86"/>
      <c r="CQ442" s="86"/>
      <c r="CR442" s="86"/>
      <c r="CS442" s="86"/>
      <c r="CT442" s="86"/>
      <c r="CU442" s="86"/>
      <c r="CV442" s="86"/>
      <c r="CW442" s="86"/>
    </row>
    <row r="443" customFormat="false" ht="12.75" hidden="false" customHeight="false" outlineLevel="0" collapsed="false">
      <c r="F443" s="86"/>
      <c r="G443" s="86"/>
      <c r="H443" s="86"/>
      <c r="I443" s="86"/>
      <c r="J443" s="86"/>
      <c r="K443" s="86"/>
      <c r="L443" s="86"/>
      <c r="N443" s="86"/>
      <c r="CQ443" s="86"/>
      <c r="CR443" s="86"/>
      <c r="CS443" s="86"/>
      <c r="CT443" s="86"/>
      <c r="CU443" s="86"/>
      <c r="CV443" s="86"/>
      <c r="CW443" s="86"/>
    </row>
    <row r="444" customFormat="false" ht="12.75" hidden="false" customHeight="false" outlineLevel="0" collapsed="false">
      <c r="F444" s="86"/>
      <c r="G444" s="86"/>
      <c r="H444" s="86"/>
      <c r="I444" s="86"/>
      <c r="J444" s="86"/>
      <c r="K444" s="86"/>
      <c r="L444" s="86"/>
      <c r="N444" s="86"/>
      <c r="CQ444" s="86"/>
      <c r="CR444" s="86"/>
      <c r="CS444" s="86"/>
      <c r="CT444" s="86"/>
      <c r="CU444" s="86"/>
      <c r="CV444" s="86"/>
      <c r="CW444" s="86"/>
    </row>
    <row r="445" customFormat="false" ht="12.75" hidden="false" customHeight="false" outlineLevel="0" collapsed="false">
      <c r="F445" s="86"/>
      <c r="G445" s="86"/>
      <c r="H445" s="86"/>
      <c r="I445" s="86"/>
      <c r="J445" s="86"/>
      <c r="K445" s="86"/>
      <c r="L445" s="86"/>
      <c r="N445" s="86"/>
      <c r="CQ445" s="86"/>
      <c r="CR445" s="86"/>
      <c r="CS445" s="86"/>
      <c r="CT445" s="86"/>
      <c r="CU445" s="86"/>
      <c r="CV445" s="86"/>
      <c r="CW445" s="86"/>
    </row>
    <row r="446" customFormat="false" ht="12.75" hidden="false" customHeight="false" outlineLevel="0" collapsed="false">
      <c r="F446" s="86"/>
      <c r="G446" s="86"/>
      <c r="H446" s="86"/>
      <c r="I446" s="86"/>
      <c r="J446" s="86"/>
      <c r="K446" s="86"/>
      <c r="L446" s="86"/>
      <c r="N446" s="86"/>
      <c r="CQ446" s="86"/>
      <c r="CR446" s="86"/>
      <c r="CS446" s="86"/>
      <c r="CT446" s="86"/>
      <c r="CU446" s="86"/>
      <c r="CV446" s="86"/>
      <c r="CW446" s="86"/>
    </row>
    <row r="447" customFormat="false" ht="12.75" hidden="false" customHeight="false" outlineLevel="0" collapsed="false">
      <c r="F447" s="86"/>
      <c r="G447" s="86"/>
      <c r="H447" s="86"/>
      <c r="I447" s="86"/>
      <c r="J447" s="86"/>
      <c r="K447" s="86"/>
      <c r="L447" s="86"/>
      <c r="N447" s="86"/>
      <c r="CQ447" s="86"/>
      <c r="CR447" s="86"/>
      <c r="CS447" s="86"/>
      <c r="CT447" s="86"/>
      <c r="CU447" s="86"/>
      <c r="CV447" s="86"/>
      <c r="CW447" s="86"/>
    </row>
    <row r="448" customFormat="false" ht="12.75" hidden="false" customHeight="false" outlineLevel="0" collapsed="false">
      <c r="F448" s="86"/>
      <c r="G448" s="86"/>
      <c r="H448" s="86"/>
      <c r="I448" s="86"/>
      <c r="J448" s="86"/>
      <c r="K448" s="86"/>
      <c r="L448" s="86"/>
      <c r="N448" s="86"/>
      <c r="CQ448" s="86"/>
      <c r="CR448" s="86"/>
      <c r="CS448" s="86"/>
      <c r="CT448" s="86"/>
      <c r="CU448" s="86"/>
      <c r="CV448" s="86"/>
      <c r="CW448" s="86"/>
    </row>
    <row r="449" customFormat="false" ht="12.75" hidden="false" customHeight="false" outlineLevel="0" collapsed="false">
      <c r="F449" s="86"/>
      <c r="G449" s="86"/>
      <c r="H449" s="86"/>
      <c r="I449" s="86"/>
      <c r="J449" s="86"/>
      <c r="K449" s="86"/>
      <c r="L449" s="86"/>
      <c r="N449" s="86"/>
      <c r="CQ449" s="86"/>
      <c r="CR449" s="86"/>
      <c r="CS449" s="86"/>
      <c r="CT449" s="86"/>
      <c r="CU449" s="86"/>
      <c r="CV449" s="86"/>
      <c r="CW449" s="86"/>
    </row>
    <row r="450" customFormat="false" ht="12.75" hidden="false" customHeight="false" outlineLevel="0" collapsed="false">
      <c r="F450" s="86"/>
      <c r="G450" s="86"/>
      <c r="H450" s="86"/>
      <c r="I450" s="86"/>
      <c r="J450" s="86"/>
      <c r="K450" s="86"/>
      <c r="L450" s="86"/>
      <c r="N450" s="86"/>
      <c r="CQ450" s="86"/>
      <c r="CR450" s="86"/>
      <c r="CS450" s="86"/>
      <c r="CT450" s="86"/>
      <c r="CU450" s="86"/>
      <c r="CV450" s="86"/>
      <c r="CW450" s="86"/>
    </row>
    <row r="451" customFormat="false" ht="12.75" hidden="false" customHeight="false" outlineLevel="0" collapsed="false">
      <c r="F451" s="86"/>
      <c r="G451" s="86"/>
      <c r="H451" s="86"/>
      <c r="I451" s="86"/>
      <c r="J451" s="86"/>
      <c r="K451" s="86"/>
      <c r="L451" s="86"/>
      <c r="N451" s="86"/>
      <c r="CQ451" s="86"/>
      <c r="CR451" s="86"/>
      <c r="CS451" s="86"/>
      <c r="CT451" s="86"/>
      <c r="CU451" s="86"/>
      <c r="CV451" s="86"/>
      <c r="CW451" s="86"/>
    </row>
    <row r="452" customFormat="false" ht="12.75" hidden="false" customHeight="false" outlineLevel="0" collapsed="false">
      <c r="F452" s="86"/>
      <c r="G452" s="86"/>
      <c r="H452" s="86"/>
      <c r="I452" s="86"/>
      <c r="J452" s="86"/>
      <c r="K452" s="86"/>
      <c r="L452" s="86"/>
      <c r="N452" s="86"/>
      <c r="CQ452" s="86"/>
      <c r="CR452" s="86"/>
      <c r="CS452" s="86"/>
      <c r="CT452" s="86"/>
      <c r="CU452" s="86"/>
      <c r="CV452" s="86"/>
      <c r="CW452" s="86"/>
    </row>
    <row r="453" customFormat="false" ht="12.75" hidden="false" customHeight="false" outlineLevel="0" collapsed="false">
      <c r="F453" s="86"/>
      <c r="G453" s="86"/>
      <c r="H453" s="86"/>
      <c r="I453" s="86"/>
      <c r="J453" s="86"/>
      <c r="K453" s="86"/>
      <c r="L453" s="86"/>
      <c r="N453" s="86"/>
      <c r="CQ453" s="86"/>
      <c r="CR453" s="86"/>
      <c r="CS453" s="86"/>
      <c r="CT453" s="86"/>
      <c r="CU453" s="86"/>
      <c r="CV453" s="86"/>
      <c r="CW453" s="86"/>
    </row>
    <row r="454" customFormat="false" ht="12.75" hidden="false" customHeight="false" outlineLevel="0" collapsed="false">
      <c r="F454" s="86"/>
      <c r="G454" s="86"/>
      <c r="H454" s="86"/>
      <c r="I454" s="86"/>
      <c r="J454" s="86"/>
      <c r="K454" s="86"/>
      <c r="L454" s="86"/>
      <c r="N454" s="86"/>
      <c r="CQ454" s="86"/>
      <c r="CR454" s="86"/>
      <c r="CS454" s="86"/>
      <c r="CT454" s="86"/>
      <c r="CU454" s="86"/>
      <c r="CV454" s="86"/>
      <c r="CW454" s="86"/>
    </row>
    <row r="455" customFormat="false" ht="12.75" hidden="false" customHeight="false" outlineLevel="0" collapsed="false">
      <c r="F455" s="86"/>
      <c r="G455" s="86"/>
      <c r="H455" s="86"/>
      <c r="I455" s="86"/>
      <c r="J455" s="86"/>
      <c r="K455" s="86"/>
      <c r="L455" s="86"/>
      <c r="N455" s="86"/>
      <c r="CQ455" s="86"/>
      <c r="CR455" s="86"/>
      <c r="CS455" s="86"/>
      <c r="CT455" s="86"/>
      <c r="CU455" s="86"/>
      <c r="CV455" s="86"/>
      <c r="CW455" s="86"/>
    </row>
    <row r="456" customFormat="false" ht="12.75" hidden="false" customHeight="false" outlineLevel="0" collapsed="false">
      <c r="F456" s="86"/>
      <c r="G456" s="86"/>
      <c r="H456" s="86"/>
      <c r="I456" s="86"/>
      <c r="J456" s="86"/>
      <c r="K456" s="86"/>
      <c r="L456" s="86"/>
      <c r="N456" s="86"/>
      <c r="CQ456" s="86"/>
      <c r="CR456" s="86"/>
      <c r="CS456" s="86"/>
      <c r="CT456" s="86"/>
      <c r="CU456" s="86"/>
      <c r="CV456" s="86"/>
      <c r="CW456" s="86"/>
    </row>
    <row r="457" customFormat="false" ht="12.75" hidden="false" customHeight="false" outlineLevel="0" collapsed="false">
      <c r="F457" s="86"/>
      <c r="G457" s="86"/>
      <c r="H457" s="86"/>
      <c r="I457" s="86"/>
      <c r="J457" s="86"/>
      <c r="K457" s="86"/>
      <c r="L457" s="86"/>
      <c r="N457" s="86"/>
      <c r="CQ457" s="86"/>
      <c r="CR457" s="86"/>
      <c r="CS457" s="86"/>
      <c r="CT457" s="86"/>
      <c r="CU457" s="86"/>
      <c r="CV457" s="86"/>
      <c r="CW457" s="86"/>
    </row>
    <row r="458" customFormat="false" ht="12.75" hidden="false" customHeight="false" outlineLevel="0" collapsed="false">
      <c r="F458" s="86"/>
      <c r="G458" s="86"/>
      <c r="H458" s="86"/>
      <c r="I458" s="86"/>
      <c r="J458" s="86"/>
      <c r="K458" s="86"/>
      <c r="L458" s="86"/>
      <c r="N458" s="86"/>
      <c r="CQ458" s="86"/>
      <c r="CR458" s="86"/>
      <c r="CS458" s="86"/>
      <c r="CT458" s="86"/>
      <c r="CU458" s="86"/>
      <c r="CV458" s="86"/>
      <c r="CW458" s="86"/>
    </row>
    <row r="459" customFormat="false" ht="12.75" hidden="false" customHeight="false" outlineLevel="0" collapsed="false">
      <c r="F459" s="86"/>
      <c r="G459" s="86"/>
      <c r="H459" s="86"/>
      <c r="I459" s="86"/>
      <c r="J459" s="86"/>
      <c r="K459" s="86"/>
      <c r="L459" s="86"/>
      <c r="N459" s="86"/>
      <c r="CQ459" s="86"/>
      <c r="CR459" s="86"/>
      <c r="CS459" s="86"/>
      <c r="CT459" s="86"/>
      <c r="CU459" s="86"/>
      <c r="CV459" s="86"/>
      <c r="CW459" s="86"/>
    </row>
    <row r="460" customFormat="false" ht="12.75" hidden="false" customHeight="false" outlineLevel="0" collapsed="false">
      <c r="F460" s="86"/>
      <c r="G460" s="86"/>
      <c r="H460" s="86"/>
      <c r="I460" s="86"/>
      <c r="J460" s="86"/>
      <c r="K460" s="86"/>
      <c r="L460" s="86"/>
      <c r="N460" s="86"/>
      <c r="CQ460" s="86"/>
      <c r="CR460" s="86"/>
      <c r="CS460" s="86"/>
      <c r="CT460" s="86"/>
      <c r="CU460" s="86"/>
      <c r="CV460" s="86"/>
      <c r="CW460" s="86"/>
    </row>
    <row r="461" customFormat="false" ht="12.75" hidden="false" customHeight="false" outlineLevel="0" collapsed="false">
      <c r="F461" s="86"/>
      <c r="G461" s="86"/>
      <c r="H461" s="86"/>
      <c r="I461" s="86"/>
      <c r="J461" s="86"/>
      <c r="K461" s="86"/>
      <c r="L461" s="86"/>
      <c r="N461" s="86"/>
      <c r="CQ461" s="86"/>
      <c r="CR461" s="86"/>
      <c r="CS461" s="86"/>
      <c r="CT461" s="86"/>
      <c r="CU461" s="86"/>
      <c r="CV461" s="86"/>
      <c r="CW461" s="86"/>
    </row>
    <row r="462" customFormat="false" ht="12.75" hidden="false" customHeight="false" outlineLevel="0" collapsed="false">
      <c r="F462" s="86"/>
      <c r="G462" s="86"/>
      <c r="H462" s="86"/>
      <c r="I462" s="86"/>
      <c r="J462" s="86"/>
      <c r="K462" s="86"/>
      <c r="L462" s="86"/>
      <c r="N462" s="86"/>
      <c r="CQ462" s="86"/>
      <c r="CR462" s="86"/>
      <c r="CS462" s="86"/>
      <c r="CT462" s="86"/>
      <c r="CU462" s="86"/>
      <c r="CV462" s="86"/>
      <c r="CW462" s="86"/>
    </row>
    <row r="463" customFormat="false" ht="12.75" hidden="false" customHeight="false" outlineLevel="0" collapsed="false">
      <c r="F463" s="86"/>
      <c r="G463" s="86"/>
      <c r="H463" s="86"/>
      <c r="I463" s="86"/>
      <c r="J463" s="86"/>
      <c r="K463" s="86"/>
      <c r="L463" s="86"/>
      <c r="N463" s="86"/>
      <c r="CQ463" s="86"/>
      <c r="CR463" s="86"/>
      <c r="CS463" s="86"/>
      <c r="CT463" s="86"/>
      <c r="CU463" s="86"/>
      <c r="CV463" s="86"/>
      <c r="CW463" s="86"/>
    </row>
    <row r="464" customFormat="false" ht="12.75" hidden="false" customHeight="false" outlineLevel="0" collapsed="false">
      <c r="F464" s="86"/>
      <c r="G464" s="86"/>
      <c r="H464" s="86"/>
      <c r="I464" s="86"/>
      <c r="J464" s="86"/>
      <c r="K464" s="86"/>
      <c r="L464" s="86"/>
      <c r="N464" s="86"/>
      <c r="CQ464" s="86"/>
      <c r="CR464" s="86"/>
      <c r="CS464" s="86"/>
      <c r="CT464" s="86"/>
      <c r="CU464" s="86"/>
      <c r="CV464" s="86"/>
      <c r="CW464" s="86"/>
    </row>
    <row r="465" customFormat="false" ht="12.75" hidden="false" customHeight="false" outlineLevel="0" collapsed="false">
      <c r="F465" s="86"/>
      <c r="G465" s="86"/>
      <c r="H465" s="86"/>
      <c r="I465" s="86"/>
      <c r="J465" s="86"/>
      <c r="K465" s="86"/>
      <c r="L465" s="86"/>
      <c r="N465" s="86"/>
      <c r="CQ465" s="86"/>
      <c r="CR465" s="86"/>
      <c r="CS465" s="86"/>
      <c r="CT465" s="86"/>
      <c r="CU465" s="86"/>
      <c r="CV465" s="86"/>
      <c r="CW465" s="86"/>
    </row>
    <row r="466" customFormat="false" ht="12.75" hidden="false" customHeight="false" outlineLevel="0" collapsed="false">
      <c r="F466" s="86"/>
      <c r="G466" s="86"/>
      <c r="H466" s="86"/>
      <c r="I466" s="86"/>
      <c r="J466" s="86"/>
      <c r="K466" s="86"/>
      <c r="L466" s="86"/>
      <c r="N466" s="86"/>
      <c r="CQ466" s="86"/>
      <c r="CR466" s="86"/>
      <c r="CS466" s="86"/>
      <c r="CT466" s="86"/>
      <c r="CU466" s="86"/>
      <c r="CV466" s="86"/>
      <c r="CW466" s="86"/>
    </row>
    <row r="467" customFormat="false" ht="12.75" hidden="false" customHeight="false" outlineLevel="0" collapsed="false">
      <c r="F467" s="86"/>
      <c r="G467" s="86"/>
      <c r="H467" s="86"/>
      <c r="I467" s="86"/>
      <c r="J467" s="86"/>
      <c r="K467" s="86"/>
      <c r="L467" s="86"/>
      <c r="N467" s="86"/>
      <c r="CQ467" s="86"/>
      <c r="CR467" s="86"/>
      <c r="CS467" s="86"/>
      <c r="CT467" s="86"/>
      <c r="CU467" s="86"/>
      <c r="CV467" s="86"/>
      <c r="CW467" s="86"/>
    </row>
    <row r="468" customFormat="false" ht="12.75" hidden="false" customHeight="false" outlineLevel="0" collapsed="false">
      <c r="F468" s="86"/>
      <c r="G468" s="86"/>
      <c r="H468" s="86"/>
      <c r="I468" s="86"/>
      <c r="J468" s="86"/>
      <c r="K468" s="86"/>
      <c r="L468" s="86"/>
      <c r="N468" s="86"/>
      <c r="CQ468" s="86"/>
      <c r="CR468" s="86"/>
      <c r="CS468" s="86"/>
      <c r="CT468" s="86"/>
      <c r="CU468" s="86"/>
      <c r="CV468" s="86"/>
      <c r="CW468" s="86"/>
    </row>
    <row r="469" customFormat="false" ht="12.75" hidden="false" customHeight="false" outlineLevel="0" collapsed="false">
      <c r="F469" s="86"/>
      <c r="G469" s="86"/>
      <c r="H469" s="86"/>
      <c r="I469" s="86"/>
      <c r="J469" s="86"/>
      <c r="K469" s="86"/>
      <c r="L469" s="86"/>
      <c r="N469" s="86"/>
      <c r="CQ469" s="86"/>
      <c r="CR469" s="86"/>
      <c r="CS469" s="86"/>
      <c r="CT469" s="86"/>
      <c r="CU469" s="86"/>
      <c r="CV469" s="86"/>
      <c r="CW469" s="86"/>
    </row>
    <row r="470" customFormat="false" ht="12.75" hidden="false" customHeight="false" outlineLevel="0" collapsed="false">
      <c r="F470" s="86"/>
      <c r="G470" s="86"/>
      <c r="H470" s="86"/>
      <c r="I470" s="86"/>
      <c r="J470" s="86"/>
      <c r="K470" s="86"/>
      <c r="L470" s="86"/>
      <c r="N470" s="86"/>
      <c r="CQ470" s="86"/>
      <c r="CR470" s="86"/>
      <c r="CS470" s="86"/>
      <c r="CT470" s="86"/>
      <c r="CU470" s="86"/>
      <c r="CV470" s="86"/>
      <c r="CW470" s="86"/>
    </row>
    <row r="471" customFormat="false" ht="12.75" hidden="false" customHeight="false" outlineLevel="0" collapsed="false">
      <c r="F471" s="86"/>
      <c r="G471" s="86"/>
      <c r="H471" s="86"/>
      <c r="I471" s="86"/>
      <c r="J471" s="86"/>
      <c r="K471" s="86"/>
      <c r="L471" s="86"/>
      <c r="N471" s="86"/>
      <c r="CQ471" s="86"/>
      <c r="CR471" s="86"/>
      <c r="CS471" s="86"/>
      <c r="CT471" s="86"/>
      <c r="CU471" s="86"/>
      <c r="CV471" s="86"/>
      <c r="CW471" s="86"/>
    </row>
    <row r="472" customFormat="false" ht="12.75" hidden="false" customHeight="false" outlineLevel="0" collapsed="false">
      <c r="F472" s="86"/>
      <c r="G472" s="86"/>
      <c r="H472" s="86"/>
      <c r="I472" s="86"/>
      <c r="J472" s="86"/>
      <c r="K472" s="86"/>
      <c r="L472" s="86"/>
      <c r="N472" s="86"/>
      <c r="CQ472" s="86"/>
      <c r="CR472" s="86"/>
      <c r="CS472" s="86"/>
      <c r="CT472" s="86"/>
      <c r="CU472" s="86"/>
      <c r="CV472" s="86"/>
      <c r="CW472" s="86"/>
    </row>
    <row r="473" customFormat="false" ht="12.75" hidden="false" customHeight="false" outlineLevel="0" collapsed="false">
      <c r="F473" s="86"/>
      <c r="G473" s="86"/>
      <c r="H473" s="86"/>
      <c r="I473" s="86"/>
      <c r="J473" s="86"/>
      <c r="K473" s="86"/>
      <c r="L473" s="86"/>
      <c r="N473" s="86"/>
      <c r="CQ473" s="86"/>
      <c r="CR473" s="86"/>
      <c r="CS473" s="86"/>
      <c r="CT473" s="86"/>
      <c r="CU473" s="86"/>
      <c r="CV473" s="86"/>
      <c r="CW473" s="86"/>
    </row>
    <row r="474" customFormat="false" ht="12.75" hidden="false" customHeight="false" outlineLevel="0" collapsed="false">
      <c r="F474" s="86"/>
      <c r="G474" s="86"/>
      <c r="H474" s="86"/>
      <c r="I474" s="86"/>
      <c r="J474" s="86"/>
      <c r="K474" s="86"/>
      <c r="L474" s="86"/>
      <c r="N474" s="86"/>
      <c r="CQ474" s="86"/>
      <c r="CR474" s="86"/>
      <c r="CS474" s="86"/>
      <c r="CT474" s="86"/>
      <c r="CU474" s="86"/>
      <c r="CV474" s="86"/>
      <c r="CW474" s="86"/>
    </row>
    <row r="475" customFormat="false" ht="12.75" hidden="false" customHeight="false" outlineLevel="0" collapsed="false">
      <c r="F475" s="86"/>
      <c r="G475" s="86"/>
      <c r="H475" s="86"/>
      <c r="I475" s="86"/>
      <c r="J475" s="86"/>
      <c r="K475" s="86"/>
      <c r="L475" s="86"/>
      <c r="N475" s="86"/>
      <c r="CQ475" s="86"/>
      <c r="CR475" s="86"/>
      <c r="CS475" s="86"/>
      <c r="CT475" s="86"/>
      <c r="CU475" s="86"/>
      <c r="CV475" s="86"/>
      <c r="CW475" s="86"/>
    </row>
    <row r="476" customFormat="false" ht="12.75" hidden="false" customHeight="false" outlineLevel="0" collapsed="false">
      <c r="F476" s="86"/>
      <c r="G476" s="86"/>
      <c r="H476" s="86"/>
      <c r="I476" s="86"/>
      <c r="J476" s="86"/>
      <c r="K476" s="86"/>
      <c r="L476" s="86"/>
      <c r="N476" s="86"/>
      <c r="CQ476" s="86"/>
      <c r="CR476" s="86"/>
      <c r="CS476" s="86"/>
      <c r="CT476" s="86"/>
      <c r="CU476" s="86"/>
      <c r="CV476" s="86"/>
      <c r="CW476" s="86"/>
    </row>
    <row r="477" customFormat="false" ht="12.75" hidden="false" customHeight="false" outlineLevel="0" collapsed="false">
      <c r="F477" s="86"/>
      <c r="G477" s="86"/>
      <c r="H477" s="86"/>
      <c r="I477" s="86"/>
      <c r="J477" s="86"/>
      <c r="K477" s="86"/>
      <c r="L477" s="86"/>
      <c r="N477" s="86"/>
      <c r="CQ477" s="86"/>
      <c r="CR477" s="86"/>
      <c r="CS477" s="86"/>
      <c r="CT477" s="86"/>
      <c r="CU477" s="86"/>
      <c r="CV477" s="86"/>
      <c r="CW477" s="86"/>
    </row>
    <row r="478" customFormat="false" ht="12.75" hidden="false" customHeight="false" outlineLevel="0" collapsed="false">
      <c r="F478" s="86"/>
      <c r="G478" s="86"/>
      <c r="H478" s="86"/>
      <c r="I478" s="86"/>
      <c r="J478" s="86"/>
      <c r="K478" s="86"/>
      <c r="L478" s="86"/>
      <c r="N478" s="86"/>
      <c r="CQ478" s="86"/>
      <c r="CR478" s="86"/>
      <c r="CS478" s="86"/>
      <c r="CT478" s="86"/>
      <c r="CU478" s="86"/>
      <c r="CV478" s="86"/>
      <c r="CW478" s="86"/>
    </row>
    <row r="479" customFormat="false" ht="12.75" hidden="false" customHeight="false" outlineLevel="0" collapsed="false">
      <c r="F479" s="86"/>
      <c r="G479" s="86"/>
      <c r="H479" s="86"/>
      <c r="I479" s="86"/>
      <c r="J479" s="86"/>
      <c r="K479" s="86"/>
      <c r="L479" s="86"/>
      <c r="N479" s="86"/>
      <c r="CQ479" s="86"/>
      <c r="CR479" s="86"/>
      <c r="CS479" s="86"/>
      <c r="CT479" s="86"/>
      <c r="CU479" s="86"/>
      <c r="CV479" s="86"/>
      <c r="CW479" s="86"/>
    </row>
    <row r="480" customFormat="false" ht="12.75" hidden="false" customHeight="false" outlineLevel="0" collapsed="false">
      <c r="F480" s="86"/>
      <c r="G480" s="86"/>
      <c r="H480" s="86"/>
      <c r="I480" s="86"/>
      <c r="J480" s="86"/>
      <c r="K480" s="86"/>
      <c r="L480" s="86"/>
      <c r="N480" s="86"/>
      <c r="CQ480" s="86"/>
      <c r="CR480" s="86"/>
      <c r="CS480" s="86"/>
      <c r="CT480" s="86"/>
      <c r="CU480" s="86"/>
      <c r="CV480" s="86"/>
      <c r="CW480" s="86"/>
    </row>
    <row r="481" customFormat="false" ht="12.75" hidden="false" customHeight="false" outlineLevel="0" collapsed="false">
      <c r="F481" s="86"/>
      <c r="G481" s="86"/>
      <c r="H481" s="86"/>
      <c r="I481" s="86"/>
      <c r="J481" s="86"/>
      <c r="K481" s="86"/>
      <c r="L481" s="86"/>
      <c r="N481" s="86"/>
      <c r="CQ481" s="86"/>
      <c r="CR481" s="86"/>
      <c r="CS481" s="86"/>
      <c r="CT481" s="86"/>
      <c r="CU481" s="86"/>
      <c r="CV481" s="86"/>
      <c r="CW481" s="86"/>
    </row>
    <row r="482" customFormat="false" ht="12.75" hidden="false" customHeight="false" outlineLevel="0" collapsed="false">
      <c r="F482" s="86"/>
      <c r="G482" s="86"/>
      <c r="H482" s="86"/>
      <c r="I482" s="86"/>
      <c r="J482" s="86"/>
      <c r="K482" s="86"/>
      <c r="L482" s="86"/>
      <c r="N482" s="86"/>
      <c r="CQ482" s="86"/>
      <c r="CR482" s="86"/>
      <c r="CS482" s="86"/>
      <c r="CT482" s="86"/>
      <c r="CU482" s="86"/>
      <c r="CV482" s="86"/>
      <c r="CW482" s="86"/>
    </row>
    <row r="483" customFormat="false" ht="12.75" hidden="false" customHeight="false" outlineLevel="0" collapsed="false">
      <c r="F483" s="86"/>
      <c r="G483" s="86"/>
      <c r="H483" s="86"/>
      <c r="I483" s="86"/>
      <c r="J483" s="86"/>
      <c r="K483" s="86"/>
      <c r="L483" s="86"/>
      <c r="N483" s="86"/>
      <c r="CQ483" s="86"/>
      <c r="CR483" s="86"/>
      <c r="CS483" s="86"/>
      <c r="CT483" s="86"/>
      <c r="CU483" s="86"/>
      <c r="CV483" s="86"/>
      <c r="CW483" s="86"/>
    </row>
    <row r="484" customFormat="false" ht="12.75" hidden="false" customHeight="false" outlineLevel="0" collapsed="false">
      <c r="F484" s="86"/>
      <c r="G484" s="86"/>
      <c r="H484" s="86"/>
      <c r="I484" s="86"/>
      <c r="J484" s="86"/>
      <c r="K484" s="86"/>
      <c r="L484" s="86"/>
      <c r="N484" s="86"/>
      <c r="CQ484" s="86"/>
      <c r="CR484" s="86"/>
      <c r="CS484" s="86"/>
      <c r="CT484" s="86"/>
      <c r="CU484" s="86"/>
      <c r="CV484" s="86"/>
      <c r="CW484" s="86"/>
    </row>
    <row r="485" customFormat="false" ht="12.75" hidden="false" customHeight="false" outlineLevel="0" collapsed="false">
      <c r="F485" s="86"/>
      <c r="G485" s="86"/>
      <c r="H485" s="86"/>
      <c r="I485" s="86"/>
      <c r="J485" s="86"/>
      <c r="K485" s="86"/>
      <c r="L485" s="86"/>
      <c r="N485" s="86"/>
      <c r="CQ485" s="86"/>
      <c r="CR485" s="86"/>
      <c r="CS485" s="86"/>
      <c r="CT485" s="86"/>
      <c r="CU485" s="86"/>
      <c r="CV485" s="86"/>
      <c r="CW485" s="86"/>
    </row>
    <row r="486" customFormat="false" ht="12.75" hidden="false" customHeight="false" outlineLevel="0" collapsed="false">
      <c r="F486" s="86"/>
      <c r="G486" s="86"/>
      <c r="H486" s="86"/>
      <c r="I486" s="86"/>
      <c r="J486" s="86"/>
      <c r="K486" s="86"/>
      <c r="L486" s="86"/>
      <c r="N486" s="86"/>
      <c r="CQ486" s="86"/>
      <c r="CR486" s="86"/>
      <c r="CS486" s="86"/>
      <c r="CT486" s="86"/>
      <c r="CU486" s="86"/>
      <c r="CV486" s="86"/>
      <c r="CW486" s="86"/>
    </row>
    <row r="487" customFormat="false" ht="12.75" hidden="false" customHeight="false" outlineLevel="0" collapsed="false">
      <c r="F487" s="86"/>
      <c r="G487" s="86"/>
      <c r="H487" s="86"/>
      <c r="I487" s="86"/>
      <c r="J487" s="86"/>
      <c r="K487" s="86"/>
      <c r="L487" s="86"/>
      <c r="N487" s="86"/>
      <c r="CQ487" s="86"/>
      <c r="CR487" s="86"/>
      <c r="CS487" s="86"/>
      <c r="CT487" s="86"/>
      <c r="CU487" s="86"/>
      <c r="CV487" s="86"/>
      <c r="CW487" s="86"/>
    </row>
    <row r="488" customFormat="false" ht="12.75" hidden="false" customHeight="false" outlineLevel="0" collapsed="false">
      <c r="F488" s="86"/>
      <c r="G488" s="86"/>
      <c r="H488" s="86"/>
      <c r="I488" s="86"/>
      <c r="J488" s="86"/>
      <c r="K488" s="86"/>
      <c r="L488" s="86"/>
      <c r="N488" s="86"/>
      <c r="CQ488" s="86"/>
      <c r="CR488" s="86"/>
      <c r="CS488" s="86"/>
      <c r="CT488" s="86"/>
      <c r="CU488" s="86"/>
      <c r="CV488" s="86"/>
      <c r="CW488" s="86"/>
    </row>
    <row r="489" customFormat="false" ht="12.75" hidden="false" customHeight="false" outlineLevel="0" collapsed="false">
      <c r="F489" s="86"/>
      <c r="G489" s="86"/>
      <c r="H489" s="86"/>
      <c r="I489" s="86"/>
      <c r="J489" s="86"/>
      <c r="K489" s="86"/>
      <c r="L489" s="86"/>
      <c r="N489" s="86"/>
      <c r="CQ489" s="86"/>
      <c r="CR489" s="86"/>
      <c r="CS489" s="86"/>
      <c r="CT489" s="86"/>
      <c r="CU489" s="86"/>
      <c r="CV489" s="86"/>
      <c r="CW489" s="86"/>
    </row>
    <row r="490" customFormat="false" ht="12.75" hidden="false" customHeight="false" outlineLevel="0" collapsed="false">
      <c r="F490" s="86"/>
      <c r="G490" s="86"/>
      <c r="H490" s="86"/>
      <c r="I490" s="86"/>
      <c r="J490" s="86"/>
      <c r="K490" s="86"/>
      <c r="L490" s="86"/>
      <c r="N490" s="86"/>
      <c r="CQ490" s="86"/>
      <c r="CR490" s="86"/>
      <c r="CS490" s="86"/>
      <c r="CT490" s="86"/>
      <c r="CU490" s="86"/>
      <c r="CV490" s="86"/>
      <c r="CW490" s="86"/>
    </row>
    <row r="491" customFormat="false" ht="12.75" hidden="false" customHeight="false" outlineLevel="0" collapsed="false">
      <c r="F491" s="86"/>
      <c r="G491" s="86"/>
      <c r="H491" s="86"/>
      <c r="I491" s="86"/>
      <c r="J491" s="86"/>
      <c r="K491" s="86"/>
      <c r="L491" s="86"/>
      <c r="N491" s="86"/>
      <c r="CQ491" s="86"/>
      <c r="CR491" s="86"/>
      <c r="CS491" s="86"/>
      <c r="CT491" s="86"/>
      <c r="CU491" s="86"/>
      <c r="CV491" s="86"/>
      <c r="CW491" s="86"/>
    </row>
    <row r="492" customFormat="false" ht="12.75" hidden="false" customHeight="false" outlineLevel="0" collapsed="false">
      <c r="F492" s="86"/>
      <c r="G492" s="86"/>
      <c r="H492" s="86"/>
      <c r="I492" s="86"/>
      <c r="J492" s="86"/>
      <c r="K492" s="86"/>
      <c r="L492" s="86"/>
      <c r="N492" s="86"/>
      <c r="CQ492" s="86"/>
      <c r="CR492" s="86"/>
      <c r="CS492" s="86"/>
      <c r="CT492" s="86"/>
      <c r="CU492" s="86"/>
      <c r="CV492" s="86"/>
      <c r="CW492" s="86"/>
    </row>
    <row r="493" customFormat="false" ht="12.75" hidden="false" customHeight="false" outlineLevel="0" collapsed="false">
      <c r="F493" s="86"/>
      <c r="G493" s="86"/>
      <c r="H493" s="86"/>
      <c r="I493" s="86"/>
      <c r="J493" s="86"/>
      <c r="K493" s="86"/>
      <c r="L493" s="86"/>
      <c r="N493" s="86"/>
      <c r="CQ493" s="86"/>
      <c r="CR493" s="86"/>
      <c r="CS493" s="86"/>
      <c r="CT493" s="86"/>
      <c r="CU493" s="86"/>
      <c r="CV493" s="86"/>
      <c r="CW493" s="86"/>
    </row>
    <row r="494" customFormat="false" ht="12.75" hidden="false" customHeight="false" outlineLevel="0" collapsed="false">
      <c r="F494" s="86"/>
      <c r="G494" s="86"/>
      <c r="H494" s="86"/>
      <c r="I494" s="86"/>
      <c r="J494" s="86"/>
      <c r="K494" s="86"/>
      <c r="L494" s="86"/>
      <c r="N494" s="86"/>
      <c r="CQ494" s="86"/>
      <c r="CR494" s="86"/>
      <c r="CS494" s="86"/>
      <c r="CT494" s="86"/>
      <c r="CU494" s="86"/>
      <c r="CV494" s="86"/>
      <c r="CW494" s="86"/>
    </row>
    <row r="495" customFormat="false" ht="12.75" hidden="false" customHeight="false" outlineLevel="0" collapsed="false">
      <c r="F495" s="86"/>
      <c r="G495" s="86"/>
      <c r="H495" s="86"/>
      <c r="I495" s="86"/>
      <c r="J495" s="86"/>
      <c r="K495" s="86"/>
      <c r="L495" s="86"/>
      <c r="N495" s="86"/>
      <c r="CQ495" s="86"/>
      <c r="CR495" s="86"/>
      <c r="CS495" s="86"/>
      <c r="CT495" s="86"/>
      <c r="CU495" s="86"/>
      <c r="CV495" s="86"/>
      <c r="CW495" s="86"/>
    </row>
    <row r="496" customFormat="false" ht="12.75" hidden="false" customHeight="false" outlineLevel="0" collapsed="false">
      <c r="F496" s="86"/>
      <c r="G496" s="86"/>
      <c r="H496" s="86"/>
      <c r="I496" s="86"/>
      <c r="J496" s="86"/>
      <c r="K496" s="86"/>
      <c r="L496" s="86"/>
      <c r="N496" s="86"/>
      <c r="CQ496" s="86"/>
      <c r="CR496" s="86"/>
      <c r="CS496" s="86"/>
      <c r="CT496" s="86"/>
      <c r="CU496" s="86"/>
      <c r="CV496" s="86"/>
      <c r="CW496" s="86"/>
    </row>
    <row r="497" customFormat="false" ht="12.75" hidden="false" customHeight="false" outlineLevel="0" collapsed="false">
      <c r="F497" s="86"/>
      <c r="G497" s="86"/>
      <c r="H497" s="86"/>
      <c r="I497" s="86"/>
      <c r="J497" s="86"/>
      <c r="K497" s="86"/>
      <c r="L497" s="86"/>
      <c r="N497" s="86"/>
      <c r="CQ497" s="86"/>
      <c r="CR497" s="86"/>
      <c r="CS497" s="86"/>
      <c r="CT497" s="86"/>
      <c r="CU497" s="86"/>
      <c r="CV497" s="86"/>
      <c r="CW497" s="86"/>
    </row>
    <row r="498" customFormat="false" ht="12.75" hidden="false" customHeight="false" outlineLevel="0" collapsed="false">
      <c r="F498" s="86"/>
      <c r="G498" s="86"/>
      <c r="H498" s="86"/>
      <c r="I498" s="86"/>
      <c r="J498" s="86"/>
      <c r="K498" s="86"/>
      <c r="L498" s="86"/>
      <c r="N498" s="86"/>
      <c r="CQ498" s="86"/>
      <c r="CR498" s="86"/>
      <c r="CS498" s="86"/>
      <c r="CT498" s="86"/>
      <c r="CU498" s="86"/>
      <c r="CV498" s="86"/>
      <c r="CW498" s="86"/>
    </row>
    <row r="499" customFormat="false" ht="12.75" hidden="false" customHeight="false" outlineLevel="0" collapsed="false">
      <c r="F499" s="86"/>
      <c r="G499" s="86"/>
      <c r="H499" s="86"/>
      <c r="I499" s="86"/>
      <c r="J499" s="86"/>
      <c r="K499" s="86"/>
      <c r="L499" s="86"/>
      <c r="N499" s="86"/>
      <c r="CQ499" s="86"/>
      <c r="CR499" s="86"/>
      <c r="CS499" s="86"/>
      <c r="CT499" s="86"/>
      <c r="CU499" s="86"/>
      <c r="CV499" s="86"/>
      <c r="CW499" s="86"/>
    </row>
    <row r="500" customFormat="false" ht="12.75" hidden="false" customHeight="false" outlineLevel="0" collapsed="false">
      <c r="F500" s="86"/>
      <c r="G500" s="86"/>
      <c r="H500" s="86"/>
      <c r="I500" s="86"/>
      <c r="J500" s="86"/>
      <c r="K500" s="86"/>
      <c r="L500" s="86"/>
      <c r="N500" s="86"/>
      <c r="CQ500" s="86"/>
      <c r="CR500" s="86"/>
      <c r="CS500" s="86"/>
      <c r="CT500" s="86"/>
      <c r="CU500" s="86"/>
      <c r="CV500" s="86"/>
      <c r="CW500" s="86"/>
    </row>
    <row r="501" customFormat="false" ht="12.75" hidden="false" customHeight="false" outlineLevel="0" collapsed="false">
      <c r="F501" s="86"/>
      <c r="G501" s="86"/>
      <c r="H501" s="86"/>
      <c r="I501" s="86"/>
      <c r="J501" s="86"/>
      <c r="K501" s="86"/>
      <c r="L501" s="86"/>
      <c r="N501" s="86"/>
      <c r="CQ501" s="86"/>
      <c r="CR501" s="86"/>
      <c r="CS501" s="86"/>
      <c r="CT501" s="86"/>
      <c r="CU501" s="86"/>
      <c r="CV501" s="86"/>
      <c r="CW501" s="86"/>
    </row>
    <row r="502" customFormat="false" ht="12.75" hidden="false" customHeight="false" outlineLevel="0" collapsed="false">
      <c r="F502" s="86"/>
      <c r="G502" s="86"/>
      <c r="H502" s="86"/>
      <c r="I502" s="86"/>
      <c r="J502" s="86"/>
      <c r="K502" s="86"/>
      <c r="L502" s="86"/>
      <c r="N502" s="86"/>
      <c r="CQ502" s="86"/>
      <c r="CR502" s="86"/>
      <c r="CS502" s="86"/>
      <c r="CT502" s="86"/>
      <c r="CU502" s="86"/>
      <c r="CV502" s="86"/>
      <c r="CW502" s="86"/>
    </row>
    <row r="503" customFormat="false" ht="12.75" hidden="false" customHeight="false" outlineLevel="0" collapsed="false">
      <c r="F503" s="86"/>
      <c r="G503" s="86"/>
      <c r="H503" s="86"/>
      <c r="I503" s="86"/>
      <c r="J503" s="86"/>
      <c r="K503" s="86"/>
      <c r="L503" s="86"/>
      <c r="N503" s="86"/>
      <c r="CQ503" s="86"/>
      <c r="CR503" s="86"/>
      <c r="CS503" s="86"/>
      <c r="CT503" s="86"/>
      <c r="CU503" s="86"/>
      <c r="CV503" s="86"/>
      <c r="CW503" s="86"/>
    </row>
    <row r="504" customFormat="false" ht="12.75" hidden="false" customHeight="false" outlineLevel="0" collapsed="false">
      <c r="F504" s="86"/>
      <c r="G504" s="86"/>
      <c r="H504" s="86"/>
      <c r="I504" s="86"/>
      <c r="J504" s="86"/>
      <c r="K504" s="86"/>
      <c r="L504" s="86"/>
      <c r="N504" s="86"/>
      <c r="CQ504" s="86"/>
      <c r="CR504" s="86"/>
      <c r="CS504" s="86"/>
      <c r="CT504" s="86"/>
      <c r="CU504" s="86"/>
      <c r="CV504" s="86"/>
      <c r="CW504" s="86"/>
    </row>
    <row r="505" customFormat="false" ht="12.75" hidden="false" customHeight="false" outlineLevel="0" collapsed="false">
      <c r="F505" s="86"/>
      <c r="G505" s="86"/>
      <c r="H505" s="86"/>
      <c r="I505" s="86"/>
      <c r="J505" s="86"/>
      <c r="K505" s="86"/>
      <c r="L505" s="86"/>
      <c r="N505" s="86"/>
      <c r="CQ505" s="86"/>
      <c r="CR505" s="86"/>
      <c r="CS505" s="86"/>
      <c r="CT505" s="86"/>
      <c r="CU505" s="86"/>
      <c r="CV505" s="86"/>
      <c r="CW505" s="86"/>
    </row>
    <row r="506" customFormat="false" ht="12.75" hidden="false" customHeight="false" outlineLevel="0" collapsed="false">
      <c r="F506" s="86"/>
      <c r="G506" s="86"/>
      <c r="H506" s="86"/>
      <c r="I506" s="86"/>
      <c r="J506" s="86"/>
      <c r="K506" s="86"/>
      <c r="L506" s="86"/>
      <c r="N506" s="86"/>
      <c r="CQ506" s="86"/>
      <c r="CR506" s="86"/>
      <c r="CS506" s="86"/>
      <c r="CT506" s="86"/>
      <c r="CU506" s="86"/>
      <c r="CV506" s="86"/>
      <c r="CW506" s="86"/>
    </row>
    <row r="507" customFormat="false" ht="12.75" hidden="false" customHeight="false" outlineLevel="0" collapsed="false">
      <c r="F507" s="86"/>
      <c r="G507" s="86"/>
      <c r="H507" s="86"/>
      <c r="I507" s="86"/>
      <c r="J507" s="86"/>
      <c r="K507" s="86"/>
      <c r="L507" s="86"/>
      <c r="N507" s="86"/>
      <c r="CQ507" s="86"/>
      <c r="CR507" s="86"/>
      <c r="CS507" s="86"/>
      <c r="CT507" s="86"/>
      <c r="CU507" s="86"/>
      <c r="CV507" s="86"/>
      <c r="CW507" s="86"/>
    </row>
    <row r="508" customFormat="false" ht="12.75" hidden="false" customHeight="false" outlineLevel="0" collapsed="false">
      <c r="F508" s="86"/>
      <c r="G508" s="86"/>
      <c r="H508" s="86"/>
      <c r="I508" s="86"/>
      <c r="J508" s="86"/>
      <c r="K508" s="86"/>
      <c r="L508" s="86"/>
      <c r="N508" s="86"/>
      <c r="CQ508" s="86"/>
      <c r="CR508" s="86"/>
      <c r="CS508" s="86"/>
      <c r="CT508" s="86"/>
      <c r="CU508" s="86"/>
      <c r="CV508" s="86"/>
      <c r="CW508" s="86"/>
    </row>
    <row r="509" customFormat="false" ht="12.75" hidden="false" customHeight="false" outlineLevel="0" collapsed="false">
      <c r="F509" s="86"/>
      <c r="G509" s="86"/>
      <c r="H509" s="86"/>
      <c r="I509" s="86"/>
      <c r="J509" s="86"/>
      <c r="K509" s="86"/>
      <c r="L509" s="86"/>
      <c r="N509" s="86"/>
      <c r="CQ509" s="86"/>
      <c r="CR509" s="86"/>
      <c r="CS509" s="86"/>
      <c r="CT509" s="86"/>
      <c r="CU509" s="86"/>
      <c r="CV509" s="86"/>
      <c r="CW509" s="86"/>
    </row>
    <row r="510" customFormat="false" ht="12.75" hidden="false" customHeight="false" outlineLevel="0" collapsed="false">
      <c r="F510" s="86"/>
      <c r="G510" s="86"/>
      <c r="H510" s="86"/>
      <c r="I510" s="86"/>
      <c r="J510" s="86"/>
      <c r="K510" s="86"/>
      <c r="L510" s="86"/>
      <c r="N510" s="86"/>
      <c r="CQ510" s="86"/>
      <c r="CR510" s="86"/>
      <c r="CS510" s="86"/>
      <c r="CT510" s="86"/>
      <c r="CU510" s="86"/>
      <c r="CV510" s="86"/>
      <c r="CW510" s="86"/>
    </row>
    <row r="511" customFormat="false" ht="12.75" hidden="false" customHeight="false" outlineLevel="0" collapsed="false">
      <c r="F511" s="86"/>
      <c r="G511" s="86"/>
      <c r="H511" s="86"/>
      <c r="I511" s="86"/>
      <c r="J511" s="86"/>
      <c r="K511" s="86"/>
      <c r="L511" s="86"/>
      <c r="N511" s="86"/>
      <c r="CQ511" s="86"/>
      <c r="CR511" s="86"/>
      <c r="CS511" s="86"/>
      <c r="CT511" s="86"/>
      <c r="CU511" s="86"/>
      <c r="CV511" s="86"/>
      <c r="CW511" s="86"/>
    </row>
    <row r="512" customFormat="false" ht="12.75" hidden="false" customHeight="false" outlineLevel="0" collapsed="false">
      <c r="F512" s="86"/>
      <c r="G512" s="86"/>
      <c r="H512" s="86"/>
      <c r="I512" s="86"/>
      <c r="J512" s="86"/>
      <c r="K512" s="86"/>
      <c r="L512" s="86"/>
      <c r="N512" s="86"/>
      <c r="CQ512" s="86"/>
      <c r="CR512" s="86"/>
      <c r="CS512" s="86"/>
      <c r="CT512" s="86"/>
      <c r="CU512" s="86"/>
      <c r="CV512" s="86"/>
      <c r="CW512" s="86"/>
    </row>
    <row r="513" customFormat="false" ht="12.75" hidden="false" customHeight="false" outlineLevel="0" collapsed="false">
      <c r="F513" s="86"/>
      <c r="G513" s="86"/>
      <c r="H513" s="86"/>
      <c r="I513" s="86"/>
      <c r="J513" s="86"/>
      <c r="K513" s="86"/>
      <c r="L513" s="86"/>
      <c r="N513" s="86"/>
      <c r="CQ513" s="86"/>
      <c r="CR513" s="86"/>
      <c r="CS513" s="86"/>
      <c r="CT513" s="86"/>
      <c r="CU513" s="86"/>
      <c r="CV513" s="86"/>
      <c r="CW513" s="86"/>
    </row>
    <row r="514" customFormat="false" ht="12.75" hidden="false" customHeight="false" outlineLevel="0" collapsed="false">
      <c r="F514" s="86"/>
      <c r="G514" s="86"/>
      <c r="H514" s="86"/>
      <c r="I514" s="86"/>
      <c r="J514" s="86"/>
      <c r="K514" s="86"/>
      <c r="L514" s="86"/>
      <c r="N514" s="86"/>
      <c r="CQ514" s="86"/>
      <c r="CR514" s="86"/>
      <c r="CS514" s="86"/>
      <c r="CT514" s="86"/>
      <c r="CU514" s="86"/>
      <c r="CV514" s="86"/>
      <c r="CW514" s="86"/>
    </row>
    <row r="515" customFormat="false" ht="12.75" hidden="false" customHeight="false" outlineLevel="0" collapsed="false">
      <c r="F515" s="86"/>
      <c r="G515" s="86"/>
      <c r="H515" s="86"/>
      <c r="I515" s="86"/>
      <c r="J515" s="86"/>
      <c r="K515" s="86"/>
      <c r="L515" s="86"/>
      <c r="N515" s="86"/>
      <c r="CQ515" s="86"/>
      <c r="CR515" s="86"/>
      <c r="CS515" s="86"/>
      <c r="CT515" s="86"/>
      <c r="CU515" s="86"/>
      <c r="CV515" s="86"/>
      <c r="CW515" s="86"/>
    </row>
    <row r="516" customFormat="false" ht="12.75" hidden="false" customHeight="false" outlineLevel="0" collapsed="false">
      <c r="F516" s="86"/>
      <c r="G516" s="86"/>
      <c r="H516" s="86"/>
      <c r="I516" s="86"/>
      <c r="J516" s="86"/>
      <c r="K516" s="86"/>
      <c r="L516" s="86"/>
      <c r="N516" s="86"/>
      <c r="CQ516" s="86"/>
      <c r="CR516" s="86"/>
      <c r="CS516" s="86"/>
      <c r="CT516" s="86"/>
      <c r="CU516" s="86"/>
      <c r="CV516" s="86"/>
      <c r="CW516" s="86"/>
    </row>
    <row r="517" customFormat="false" ht="12.75" hidden="false" customHeight="false" outlineLevel="0" collapsed="false">
      <c r="F517" s="86"/>
      <c r="G517" s="86"/>
      <c r="H517" s="86"/>
      <c r="I517" s="86"/>
      <c r="J517" s="86"/>
      <c r="K517" s="86"/>
      <c r="L517" s="86"/>
      <c r="N517" s="86"/>
      <c r="CQ517" s="86"/>
      <c r="CR517" s="86"/>
      <c r="CS517" s="86"/>
      <c r="CT517" s="86"/>
      <c r="CU517" s="86"/>
      <c r="CV517" s="86"/>
      <c r="CW517" s="86"/>
    </row>
    <row r="518" customFormat="false" ht="12.75" hidden="false" customHeight="false" outlineLevel="0" collapsed="false">
      <c r="F518" s="86"/>
      <c r="G518" s="86"/>
      <c r="H518" s="86"/>
      <c r="I518" s="86"/>
      <c r="J518" s="86"/>
      <c r="K518" s="86"/>
      <c r="L518" s="86"/>
      <c r="N518" s="86"/>
      <c r="CQ518" s="86"/>
      <c r="CR518" s="86"/>
      <c r="CS518" s="86"/>
      <c r="CT518" s="86"/>
      <c r="CU518" s="86"/>
      <c r="CV518" s="86"/>
      <c r="CW518" s="86"/>
    </row>
    <row r="519" customFormat="false" ht="12.75" hidden="false" customHeight="false" outlineLevel="0" collapsed="false">
      <c r="F519" s="86"/>
      <c r="G519" s="86"/>
      <c r="H519" s="86"/>
      <c r="I519" s="86"/>
      <c r="J519" s="86"/>
      <c r="K519" s="86"/>
      <c r="L519" s="86"/>
      <c r="N519" s="86"/>
      <c r="CQ519" s="86"/>
      <c r="CR519" s="86"/>
      <c r="CS519" s="86"/>
      <c r="CT519" s="86"/>
      <c r="CU519" s="86"/>
      <c r="CV519" s="86"/>
      <c r="CW519" s="86"/>
    </row>
    <row r="520" customFormat="false" ht="12.75" hidden="false" customHeight="false" outlineLevel="0" collapsed="false">
      <c r="F520" s="86"/>
      <c r="G520" s="86"/>
      <c r="H520" s="86"/>
      <c r="I520" s="86"/>
      <c r="J520" s="86"/>
      <c r="K520" s="86"/>
      <c r="L520" s="86"/>
      <c r="N520" s="86"/>
      <c r="CQ520" s="86"/>
      <c r="CR520" s="86"/>
      <c r="CS520" s="86"/>
      <c r="CT520" s="86"/>
      <c r="CU520" s="86"/>
      <c r="CV520" s="86"/>
      <c r="CW520" s="86"/>
    </row>
    <row r="521" customFormat="false" ht="12.75" hidden="false" customHeight="false" outlineLevel="0" collapsed="false">
      <c r="F521" s="86"/>
      <c r="G521" s="86"/>
      <c r="H521" s="86"/>
      <c r="I521" s="86"/>
      <c r="J521" s="86"/>
      <c r="K521" s="86"/>
      <c r="L521" s="86"/>
      <c r="N521" s="86"/>
      <c r="CQ521" s="86"/>
      <c r="CR521" s="86"/>
      <c r="CS521" s="86"/>
      <c r="CT521" s="86"/>
      <c r="CU521" s="86"/>
      <c r="CV521" s="86"/>
      <c r="CW521" s="86"/>
    </row>
    <row r="522" customFormat="false" ht="12.75" hidden="false" customHeight="false" outlineLevel="0" collapsed="false">
      <c r="F522" s="86"/>
      <c r="G522" s="86"/>
      <c r="H522" s="86"/>
      <c r="I522" s="86"/>
      <c r="J522" s="86"/>
      <c r="K522" s="86"/>
      <c r="L522" s="86"/>
      <c r="N522" s="86"/>
      <c r="CQ522" s="86"/>
      <c r="CR522" s="86"/>
      <c r="CS522" s="86"/>
      <c r="CT522" s="86"/>
      <c r="CU522" s="86"/>
      <c r="CV522" s="86"/>
      <c r="CW522" s="86"/>
    </row>
    <row r="523" customFormat="false" ht="12.75" hidden="false" customHeight="false" outlineLevel="0" collapsed="false">
      <c r="F523" s="86"/>
      <c r="G523" s="86"/>
      <c r="H523" s="86"/>
      <c r="I523" s="86"/>
      <c r="J523" s="86"/>
      <c r="K523" s="86"/>
      <c r="L523" s="86"/>
      <c r="N523" s="86"/>
      <c r="CQ523" s="86"/>
      <c r="CR523" s="86"/>
      <c r="CS523" s="86"/>
      <c r="CT523" s="86"/>
      <c r="CU523" s="86"/>
      <c r="CV523" s="86"/>
      <c r="CW523" s="86"/>
    </row>
    <row r="524" customFormat="false" ht="12.75" hidden="false" customHeight="false" outlineLevel="0" collapsed="false">
      <c r="F524" s="86"/>
      <c r="G524" s="86"/>
      <c r="H524" s="86"/>
      <c r="I524" s="86"/>
      <c r="J524" s="86"/>
      <c r="K524" s="86"/>
      <c r="L524" s="86"/>
      <c r="N524" s="86"/>
      <c r="CQ524" s="86"/>
      <c r="CR524" s="86"/>
      <c r="CS524" s="86"/>
      <c r="CT524" s="86"/>
      <c r="CU524" s="86"/>
      <c r="CV524" s="86"/>
      <c r="CW524" s="86"/>
    </row>
    <row r="525" customFormat="false" ht="12.75" hidden="false" customHeight="false" outlineLevel="0" collapsed="false">
      <c r="F525" s="86"/>
      <c r="G525" s="86"/>
      <c r="H525" s="86"/>
      <c r="I525" s="86"/>
      <c r="J525" s="86"/>
      <c r="K525" s="86"/>
      <c r="L525" s="86"/>
      <c r="N525" s="86"/>
      <c r="CQ525" s="86"/>
      <c r="CR525" s="86"/>
      <c r="CS525" s="86"/>
      <c r="CT525" s="86"/>
      <c r="CU525" s="86"/>
      <c r="CV525" s="86"/>
      <c r="CW525" s="86"/>
    </row>
    <row r="526" customFormat="false" ht="12.75" hidden="false" customHeight="false" outlineLevel="0" collapsed="false">
      <c r="F526" s="86"/>
      <c r="G526" s="86"/>
      <c r="H526" s="86"/>
      <c r="I526" s="86"/>
      <c r="J526" s="86"/>
      <c r="K526" s="86"/>
      <c r="L526" s="86"/>
      <c r="N526" s="86"/>
      <c r="CQ526" s="86"/>
      <c r="CR526" s="86"/>
      <c r="CS526" s="86"/>
      <c r="CT526" s="86"/>
      <c r="CU526" s="86"/>
      <c r="CV526" s="86"/>
      <c r="CW526" s="86"/>
    </row>
    <row r="527" customFormat="false" ht="12.75" hidden="false" customHeight="false" outlineLevel="0" collapsed="false">
      <c r="F527" s="86"/>
      <c r="G527" s="86"/>
      <c r="H527" s="86"/>
      <c r="I527" s="86"/>
      <c r="J527" s="86"/>
      <c r="K527" s="86"/>
      <c r="L527" s="86"/>
      <c r="N527" s="86"/>
      <c r="CQ527" s="86"/>
      <c r="CR527" s="86"/>
      <c r="CS527" s="86"/>
      <c r="CT527" s="86"/>
      <c r="CU527" s="86"/>
      <c r="CV527" s="86"/>
      <c r="CW527" s="86"/>
    </row>
    <row r="528" customFormat="false" ht="12.75" hidden="false" customHeight="false" outlineLevel="0" collapsed="false">
      <c r="F528" s="86"/>
      <c r="G528" s="86"/>
      <c r="H528" s="86"/>
      <c r="I528" s="86"/>
      <c r="J528" s="86"/>
      <c r="K528" s="86"/>
      <c r="L528" s="86"/>
      <c r="N528" s="86"/>
      <c r="CQ528" s="86"/>
      <c r="CR528" s="86"/>
      <c r="CS528" s="86"/>
      <c r="CT528" s="86"/>
      <c r="CU528" s="86"/>
      <c r="CV528" s="86"/>
      <c r="CW528" s="86"/>
    </row>
    <row r="529" customFormat="false" ht="12.75" hidden="false" customHeight="false" outlineLevel="0" collapsed="false">
      <c r="F529" s="86"/>
      <c r="G529" s="86"/>
      <c r="H529" s="86"/>
      <c r="I529" s="86"/>
      <c r="J529" s="86"/>
      <c r="K529" s="86"/>
      <c r="L529" s="86"/>
      <c r="N529" s="86"/>
      <c r="CQ529" s="86"/>
      <c r="CR529" s="86"/>
      <c r="CS529" s="86"/>
      <c r="CT529" s="86"/>
      <c r="CU529" s="86"/>
      <c r="CV529" s="86"/>
      <c r="CW529" s="86"/>
    </row>
    <row r="530" customFormat="false" ht="12.75" hidden="false" customHeight="false" outlineLevel="0" collapsed="false">
      <c r="F530" s="86"/>
      <c r="G530" s="86"/>
      <c r="H530" s="86"/>
      <c r="I530" s="86"/>
      <c r="J530" s="86"/>
      <c r="K530" s="86"/>
      <c r="L530" s="86"/>
      <c r="N530" s="86"/>
      <c r="CQ530" s="86"/>
      <c r="CR530" s="86"/>
      <c r="CS530" s="86"/>
      <c r="CT530" s="86"/>
      <c r="CU530" s="86"/>
      <c r="CV530" s="86"/>
      <c r="CW530" s="86"/>
    </row>
    <row r="531" customFormat="false" ht="12.75" hidden="false" customHeight="false" outlineLevel="0" collapsed="false">
      <c r="F531" s="86"/>
      <c r="G531" s="86"/>
      <c r="H531" s="86"/>
      <c r="I531" s="86"/>
      <c r="J531" s="86"/>
      <c r="K531" s="86"/>
      <c r="L531" s="86"/>
      <c r="N531" s="86"/>
      <c r="CQ531" s="86"/>
      <c r="CR531" s="86"/>
      <c r="CS531" s="86"/>
      <c r="CT531" s="86"/>
      <c r="CU531" s="86"/>
      <c r="CV531" s="86"/>
      <c r="CW531" s="86"/>
    </row>
    <row r="532" customFormat="false" ht="12.75" hidden="false" customHeight="false" outlineLevel="0" collapsed="false">
      <c r="F532" s="86"/>
      <c r="G532" s="86"/>
      <c r="H532" s="86"/>
      <c r="I532" s="86"/>
      <c r="J532" s="86"/>
      <c r="K532" s="86"/>
      <c r="L532" s="86"/>
      <c r="N532" s="86"/>
      <c r="CQ532" s="86"/>
      <c r="CR532" s="86"/>
      <c r="CS532" s="86"/>
      <c r="CT532" s="86"/>
      <c r="CU532" s="86"/>
      <c r="CV532" s="86"/>
      <c r="CW532" s="86"/>
    </row>
    <row r="533" customFormat="false" ht="12.75" hidden="false" customHeight="false" outlineLevel="0" collapsed="false">
      <c r="F533" s="86"/>
      <c r="G533" s="86"/>
      <c r="H533" s="86"/>
      <c r="I533" s="86"/>
      <c r="J533" s="86"/>
      <c r="K533" s="86"/>
      <c r="L533" s="86"/>
      <c r="N533" s="86"/>
      <c r="CQ533" s="86"/>
      <c r="CR533" s="86"/>
      <c r="CS533" s="86"/>
      <c r="CT533" s="86"/>
      <c r="CU533" s="86"/>
      <c r="CV533" s="86"/>
      <c r="CW533" s="86"/>
    </row>
    <row r="534" customFormat="false" ht="12.75" hidden="false" customHeight="false" outlineLevel="0" collapsed="false">
      <c r="F534" s="86"/>
      <c r="G534" s="86"/>
      <c r="H534" s="86"/>
      <c r="I534" s="86"/>
      <c r="J534" s="86"/>
      <c r="K534" s="86"/>
      <c r="L534" s="86"/>
      <c r="N534" s="86"/>
      <c r="CQ534" s="86"/>
      <c r="CR534" s="86"/>
      <c r="CS534" s="86"/>
      <c r="CT534" s="86"/>
      <c r="CU534" s="86"/>
      <c r="CV534" s="86"/>
      <c r="CW534" s="86"/>
    </row>
    <row r="535" customFormat="false" ht="12.75" hidden="false" customHeight="false" outlineLevel="0" collapsed="false">
      <c r="F535" s="86"/>
      <c r="G535" s="86"/>
      <c r="H535" s="86"/>
      <c r="I535" s="86"/>
      <c r="J535" s="86"/>
      <c r="K535" s="86"/>
      <c r="L535" s="86"/>
      <c r="N535" s="86"/>
      <c r="CQ535" s="86"/>
      <c r="CR535" s="86"/>
      <c r="CS535" s="86"/>
      <c r="CT535" s="86"/>
      <c r="CU535" s="86"/>
      <c r="CV535" s="86"/>
      <c r="CW535" s="86"/>
    </row>
    <row r="536" customFormat="false" ht="12.75" hidden="false" customHeight="false" outlineLevel="0" collapsed="false">
      <c r="F536" s="86"/>
      <c r="G536" s="86"/>
      <c r="H536" s="86"/>
      <c r="I536" s="86"/>
      <c r="J536" s="86"/>
      <c r="K536" s="86"/>
      <c r="L536" s="86"/>
      <c r="N536" s="86"/>
      <c r="CQ536" s="86"/>
      <c r="CR536" s="86"/>
      <c r="CS536" s="86"/>
      <c r="CT536" s="86"/>
      <c r="CU536" s="86"/>
      <c r="CV536" s="86"/>
      <c r="CW536" s="86"/>
    </row>
    <row r="537" customFormat="false" ht="12.75" hidden="false" customHeight="false" outlineLevel="0" collapsed="false">
      <c r="F537" s="86"/>
      <c r="G537" s="86"/>
      <c r="H537" s="86"/>
      <c r="I537" s="86"/>
      <c r="J537" s="86"/>
      <c r="K537" s="86"/>
      <c r="L537" s="86"/>
      <c r="N537" s="86"/>
      <c r="CQ537" s="86"/>
      <c r="CR537" s="86"/>
      <c r="CS537" s="86"/>
      <c r="CT537" s="86"/>
      <c r="CU537" s="86"/>
      <c r="CV537" s="86"/>
      <c r="CW537" s="86"/>
    </row>
    <row r="538" customFormat="false" ht="12.75" hidden="false" customHeight="false" outlineLevel="0" collapsed="false">
      <c r="F538" s="86"/>
      <c r="G538" s="86"/>
      <c r="H538" s="86"/>
      <c r="I538" s="86"/>
      <c r="J538" s="86"/>
      <c r="K538" s="86"/>
      <c r="L538" s="86"/>
      <c r="N538" s="86"/>
      <c r="CQ538" s="86"/>
      <c r="CR538" s="86"/>
      <c r="CS538" s="86"/>
      <c r="CT538" s="86"/>
      <c r="CU538" s="86"/>
      <c r="CV538" s="86"/>
      <c r="CW538" s="86"/>
    </row>
    <row r="539" customFormat="false" ht="12.75" hidden="false" customHeight="false" outlineLevel="0" collapsed="false">
      <c r="F539" s="86"/>
      <c r="G539" s="86"/>
      <c r="H539" s="86"/>
      <c r="I539" s="86"/>
      <c r="J539" s="86"/>
      <c r="K539" s="86"/>
      <c r="L539" s="86"/>
      <c r="N539" s="86"/>
      <c r="CQ539" s="86"/>
      <c r="CR539" s="86"/>
      <c r="CS539" s="86"/>
      <c r="CT539" s="86"/>
      <c r="CU539" s="86"/>
      <c r="CV539" s="86"/>
      <c r="CW539" s="86"/>
    </row>
    <row r="540" customFormat="false" ht="12.75" hidden="false" customHeight="false" outlineLevel="0" collapsed="false">
      <c r="F540" s="86"/>
      <c r="G540" s="86"/>
      <c r="H540" s="86"/>
      <c r="I540" s="86"/>
      <c r="J540" s="86"/>
      <c r="K540" s="86"/>
      <c r="L540" s="86"/>
      <c r="N540" s="86"/>
      <c r="CQ540" s="86"/>
      <c r="CR540" s="86"/>
      <c r="CS540" s="86"/>
      <c r="CT540" s="86"/>
      <c r="CU540" s="86"/>
      <c r="CV540" s="86"/>
      <c r="CW540" s="86"/>
    </row>
    <row r="541" customFormat="false" ht="12.75" hidden="false" customHeight="false" outlineLevel="0" collapsed="false">
      <c r="F541" s="86"/>
      <c r="G541" s="86"/>
      <c r="H541" s="86"/>
      <c r="I541" s="86"/>
      <c r="J541" s="86"/>
      <c r="K541" s="86"/>
      <c r="L541" s="86"/>
      <c r="N541" s="86"/>
      <c r="CQ541" s="86"/>
      <c r="CR541" s="86"/>
      <c r="CS541" s="86"/>
      <c r="CT541" s="86"/>
      <c r="CU541" s="86"/>
      <c r="CV541" s="86"/>
      <c r="CW541" s="86"/>
    </row>
    <row r="542" customFormat="false" ht="12.75" hidden="false" customHeight="false" outlineLevel="0" collapsed="false">
      <c r="F542" s="86"/>
      <c r="G542" s="86"/>
      <c r="H542" s="86"/>
      <c r="I542" s="86"/>
      <c r="J542" s="86"/>
      <c r="K542" s="86"/>
      <c r="L542" s="86"/>
      <c r="N542" s="86"/>
      <c r="CQ542" s="86"/>
      <c r="CR542" s="86"/>
      <c r="CS542" s="86"/>
      <c r="CT542" s="86"/>
      <c r="CU542" s="86"/>
      <c r="CV542" s="86"/>
      <c r="CW542" s="86"/>
    </row>
    <row r="543" customFormat="false" ht="12.75" hidden="false" customHeight="false" outlineLevel="0" collapsed="false">
      <c r="F543" s="86"/>
      <c r="G543" s="86"/>
      <c r="H543" s="86"/>
      <c r="I543" s="86"/>
      <c r="J543" s="86"/>
      <c r="K543" s="86"/>
      <c r="L543" s="86"/>
      <c r="N543" s="86"/>
      <c r="CQ543" s="86"/>
      <c r="CR543" s="86"/>
      <c r="CS543" s="86"/>
      <c r="CT543" s="86"/>
      <c r="CU543" s="86"/>
      <c r="CV543" s="86"/>
      <c r="CW543" s="86"/>
    </row>
    <row r="544" customFormat="false" ht="12.75" hidden="false" customHeight="false" outlineLevel="0" collapsed="false">
      <c r="F544" s="86"/>
      <c r="G544" s="86"/>
      <c r="H544" s="86"/>
      <c r="I544" s="86"/>
      <c r="J544" s="86"/>
      <c r="K544" s="86"/>
      <c r="L544" s="86"/>
      <c r="N544" s="86"/>
      <c r="CQ544" s="86"/>
      <c r="CR544" s="86"/>
      <c r="CS544" s="86"/>
      <c r="CT544" s="86"/>
      <c r="CU544" s="86"/>
      <c r="CV544" s="86"/>
      <c r="CW544" s="86"/>
    </row>
    <row r="545" customFormat="false" ht="12.75" hidden="false" customHeight="false" outlineLevel="0" collapsed="false">
      <c r="F545" s="86"/>
      <c r="G545" s="86"/>
      <c r="H545" s="86"/>
      <c r="I545" s="86"/>
      <c r="J545" s="86"/>
      <c r="K545" s="86"/>
      <c r="L545" s="86"/>
      <c r="N545" s="86"/>
      <c r="CQ545" s="86"/>
      <c r="CR545" s="86"/>
      <c r="CS545" s="86"/>
      <c r="CT545" s="86"/>
      <c r="CU545" s="86"/>
      <c r="CV545" s="86"/>
      <c r="CW545" s="86"/>
    </row>
    <row r="546" customFormat="false" ht="12.75" hidden="false" customHeight="false" outlineLevel="0" collapsed="false">
      <c r="F546" s="86"/>
      <c r="G546" s="86"/>
      <c r="H546" s="86"/>
      <c r="I546" s="86"/>
      <c r="J546" s="86"/>
      <c r="K546" s="86"/>
      <c r="L546" s="86"/>
      <c r="N546" s="86"/>
      <c r="CQ546" s="86"/>
      <c r="CR546" s="86"/>
      <c r="CS546" s="86"/>
      <c r="CT546" s="86"/>
      <c r="CU546" s="86"/>
      <c r="CV546" s="86"/>
      <c r="CW546" s="86"/>
    </row>
    <row r="547" customFormat="false" ht="12.75" hidden="false" customHeight="false" outlineLevel="0" collapsed="false">
      <c r="F547" s="86"/>
      <c r="G547" s="86"/>
      <c r="H547" s="86"/>
      <c r="I547" s="86"/>
      <c r="J547" s="86"/>
      <c r="K547" s="86"/>
      <c r="L547" s="86"/>
      <c r="N547" s="86"/>
      <c r="CQ547" s="86"/>
      <c r="CR547" s="86"/>
      <c r="CS547" s="86"/>
      <c r="CT547" s="86"/>
      <c r="CU547" s="86"/>
      <c r="CV547" s="86"/>
      <c r="CW547" s="86"/>
    </row>
    <row r="548" customFormat="false" ht="12.75" hidden="false" customHeight="false" outlineLevel="0" collapsed="false">
      <c r="F548" s="86"/>
      <c r="G548" s="86"/>
      <c r="H548" s="86"/>
      <c r="I548" s="86"/>
      <c r="J548" s="86"/>
      <c r="K548" s="86"/>
      <c r="L548" s="86"/>
      <c r="N548" s="86"/>
      <c r="CQ548" s="86"/>
      <c r="CR548" s="86"/>
      <c r="CS548" s="86"/>
      <c r="CT548" s="86"/>
      <c r="CU548" s="86"/>
      <c r="CV548" s="86"/>
      <c r="CW548" s="86"/>
    </row>
    <row r="549" customFormat="false" ht="12.75" hidden="false" customHeight="false" outlineLevel="0" collapsed="false">
      <c r="F549" s="86"/>
      <c r="G549" s="86"/>
      <c r="H549" s="86"/>
      <c r="I549" s="86"/>
      <c r="J549" s="86"/>
      <c r="K549" s="86"/>
      <c r="L549" s="86"/>
      <c r="N549" s="86"/>
      <c r="CQ549" s="86"/>
      <c r="CR549" s="86"/>
      <c r="CS549" s="86"/>
      <c r="CT549" s="86"/>
      <c r="CU549" s="86"/>
      <c r="CV549" s="86"/>
      <c r="CW549" s="86"/>
    </row>
    <row r="550" customFormat="false" ht="12.75" hidden="false" customHeight="false" outlineLevel="0" collapsed="false">
      <c r="F550" s="86"/>
      <c r="G550" s="86"/>
      <c r="H550" s="86"/>
      <c r="I550" s="86"/>
      <c r="J550" s="86"/>
      <c r="K550" s="86"/>
      <c r="L550" s="86"/>
      <c r="N550" s="86"/>
      <c r="CQ550" s="86"/>
      <c r="CR550" s="86"/>
      <c r="CS550" s="86"/>
      <c r="CT550" s="86"/>
      <c r="CU550" s="86"/>
      <c r="CV550" s="86"/>
      <c r="CW550" s="86"/>
    </row>
    <row r="551" customFormat="false" ht="12.75" hidden="false" customHeight="false" outlineLevel="0" collapsed="false">
      <c r="F551" s="86"/>
      <c r="G551" s="86"/>
      <c r="H551" s="86"/>
      <c r="I551" s="86"/>
      <c r="J551" s="86"/>
      <c r="K551" s="86"/>
      <c r="L551" s="86"/>
      <c r="N551" s="86"/>
      <c r="CQ551" s="86"/>
      <c r="CR551" s="86"/>
      <c r="CS551" s="86"/>
      <c r="CT551" s="86"/>
      <c r="CU551" s="86"/>
      <c r="CV551" s="86"/>
      <c r="CW551" s="86"/>
    </row>
    <row r="552" customFormat="false" ht="12.75" hidden="false" customHeight="false" outlineLevel="0" collapsed="false">
      <c r="F552" s="86"/>
      <c r="G552" s="86"/>
      <c r="H552" s="86"/>
      <c r="I552" s="86"/>
      <c r="J552" s="86"/>
      <c r="K552" s="86"/>
      <c r="L552" s="86"/>
      <c r="N552" s="86"/>
      <c r="CQ552" s="86"/>
      <c r="CR552" s="86"/>
      <c r="CS552" s="86"/>
      <c r="CT552" s="86"/>
      <c r="CU552" s="86"/>
      <c r="CV552" s="86"/>
      <c r="CW552" s="86"/>
    </row>
    <row r="553" customFormat="false" ht="12.75" hidden="false" customHeight="false" outlineLevel="0" collapsed="false">
      <c r="F553" s="86"/>
      <c r="G553" s="86"/>
      <c r="H553" s="86"/>
      <c r="I553" s="86"/>
      <c r="J553" s="86"/>
      <c r="K553" s="86"/>
      <c r="L553" s="86"/>
      <c r="N553" s="86"/>
      <c r="CQ553" s="86"/>
      <c r="CR553" s="86"/>
      <c r="CS553" s="86"/>
      <c r="CT553" s="86"/>
      <c r="CU553" s="86"/>
      <c r="CV553" s="86"/>
      <c r="CW553" s="86"/>
    </row>
    <row r="554" customFormat="false" ht="12.75" hidden="false" customHeight="false" outlineLevel="0" collapsed="false">
      <c r="F554" s="86"/>
      <c r="G554" s="86"/>
      <c r="H554" s="86"/>
      <c r="I554" s="86"/>
      <c r="J554" s="86"/>
      <c r="K554" s="86"/>
      <c r="L554" s="86"/>
      <c r="N554" s="86"/>
      <c r="CQ554" s="86"/>
      <c r="CR554" s="86"/>
      <c r="CS554" s="86"/>
      <c r="CT554" s="86"/>
      <c r="CU554" s="86"/>
      <c r="CV554" s="86"/>
      <c r="CW554" s="86"/>
    </row>
    <row r="555" customFormat="false" ht="12.75" hidden="false" customHeight="false" outlineLevel="0" collapsed="false">
      <c r="F555" s="86"/>
      <c r="G555" s="86"/>
      <c r="H555" s="86"/>
      <c r="I555" s="86"/>
      <c r="J555" s="86"/>
      <c r="K555" s="86"/>
      <c r="L555" s="86"/>
      <c r="N555" s="86"/>
      <c r="CQ555" s="86"/>
      <c r="CR555" s="86"/>
      <c r="CS555" s="86"/>
      <c r="CT555" s="86"/>
      <c r="CU555" s="86"/>
      <c r="CV555" s="86"/>
      <c r="CW555" s="86"/>
    </row>
    <row r="556" customFormat="false" ht="12.75" hidden="false" customHeight="false" outlineLevel="0" collapsed="false">
      <c r="F556" s="86"/>
      <c r="G556" s="86"/>
      <c r="H556" s="86"/>
      <c r="I556" s="86"/>
      <c r="J556" s="86"/>
      <c r="K556" s="86"/>
      <c r="L556" s="86"/>
      <c r="N556" s="86"/>
      <c r="CQ556" s="86"/>
      <c r="CR556" s="86"/>
      <c r="CS556" s="86"/>
      <c r="CT556" s="86"/>
      <c r="CU556" s="86"/>
      <c r="CV556" s="86"/>
      <c r="CW556" s="86"/>
    </row>
    <row r="557" customFormat="false" ht="12.75" hidden="false" customHeight="false" outlineLevel="0" collapsed="false">
      <c r="F557" s="86"/>
      <c r="G557" s="86"/>
      <c r="H557" s="86"/>
      <c r="I557" s="86"/>
      <c r="J557" s="86"/>
      <c r="K557" s="86"/>
      <c r="L557" s="86"/>
      <c r="N557" s="86"/>
      <c r="CQ557" s="86"/>
      <c r="CR557" s="86"/>
      <c r="CS557" s="86"/>
      <c r="CT557" s="86"/>
      <c r="CU557" s="86"/>
      <c r="CV557" s="86"/>
      <c r="CW557" s="86"/>
    </row>
    <row r="558" customFormat="false" ht="12.75" hidden="false" customHeight="false" outlineLevel="0" collapsed="false">
      <c r="F558" s="86"/>
      <c r="G558" s="86"/>
      <c r="H558" s="86"/>
      <c r="I558" s="86"/>
      <c r="J558" s="86"/>
      <c r="K558" s="86"/>
      <c r="L558" s="86"/>
      <c r="N558" s="86"/>
      <c r="CQ558" s="86"/>
      <c r="CR558" s="86"/>
      <c r="CS558" s="86"/>
      <c r="CT558" s="86"/>
      <c r="CU558" s="86"/>
      <c r="CV558" s="86"/>
      <c r="CW558" s="86"/>
    </row>
    <row r="559" customFormat="false" ht="12.75" hidden="false" customHeight="false" outlineLevel="0" collapsed="false">
      <c r="F559" s="86"/>
      <c r="G559" s="86"/>
      <c r="H559" s="86"/>
      <c r="I559" s="86"/>
      <c r="J559" s="86"/>
      <c r="K559" s="86"/>
      <c r="L559" s="86"/>
      <c r="N559" s="86"/>
      <c r="CQ559" s="86"/>
      <c r="CR559" s="86"/>
      <c r="CS559" s="86"/>
      <c r="CT559" s="86"/>
      <c r="CU559" s="86"/>
      <c r="CV559" s="86"/>
      <c r="CW559" s="86"/>
    </row>
    <row r="560" customFormat="false" ht="12.75" hidden="false" customHeight="false" outlineLevel="0" collapsed="false">
      <c r="F560" s="86"/>
      <c r="G560" s="86"/>
      <c r="H560" s="86"/>
      <c r="I560" s="86"/>
      <c r="J560" s="86"/>
      <c r="K560" s="86"/>
      <c r="L560" s="86"/>
      <c r="N560" s="86"/>
      <c r="CQ560" s="86"/>
      <c r="CR560" s="86"/>
      <c r="CS560" s="86"/>
      <c r="CT560" s="86"/>
      <c r="CU560" s="86"/>
      <c r="CV560" s="86"/>
      <c r="CW560" s="86"/>
    </row>
    <row r="561" customFormat="false" ht="12.75" hidden="false" customHeight="false" outlineLevel="0" collapsed="false">
      <c r="F561" s="86"/>
      <c r="G561" s="86"/>
      <c r="H561" s="86"/>
      <c r="I561" s="86"/>
      <c r="J561" s="86"/>
      <c r="K561" s="86"/>
      <c r="L561" s="86"/>
      <c r="N561" s="86"/>
      <c r="CQ561" s="86"/>
      <c r="CR561" s="86"/>
      <c r="CS561" s="86"/>
      <c r="CT561" s="86"/>
      <c r="CU561" s="86"/>
      <c r="CV561" s="86"/>
      <c r="CW561" s="86"/>
    </row>
    <row r="562" customFormat="false" ht="12.75" hidden="false" customHeight="false" outlineLevel="0" collapsed="false">
      <c r="F562" s="86"/>
      <c r="G562" s="86"/>
      <c r="H562" s="86"/>
      <c r="I562" s="86"/>
      <c r="J562" s="86"/>
      <c r="K562" s="86"/>
      <c r="L562" s="86"/>
      <c r="N562" s="86"/>
      <c r="CQ562" s="86"/>
      <c r="CR562" s="86"/>
      <c r="CS562" s="86"/>
      <c r="CT562" s="86"/>
      <c r="CU562" s="86"/>
      <c r="CV562" s="86"/>
      <c r="CW562" s="86"/>
    </row>
    <row r="563" customFormat="false" ht="12.75" hidden="false" customHeight="false" outlineLevel="0" collapsed="false">
      <c r="F563" s="86"/>
      <c r="G563" s="86"/>
      <c r="H563" s="86"/>
      <c r="I563" s="86"/>
      <c r="J563" s="86"/>
      <c r="K563" s="86"/>
      <c r="L563" s="86"/>
      <c r="N563" s="86"/>
      <c r="CQ563" s="86"/>
      <c r="CR563" s="86"/>
      <c r="CS563" s="86"/>
      <c r="CT563" s="86"/>
      <c r="CU563" s="86"/>
      <c r="CV563" s="86"/>
      <c r="CW563" s="86"/>
    </row>
    <row r="564" customFormat="false" ht="12.75" hidden="false" customHeight="false" outlineLevel="0" collapsed="false">
      <c r="F564" s="86"/>
      <c r="G564" s="86"/>
      <c r="H564" s="86"/>
      <c r="I564" s="86"/>
      <c r="J564" s="86"/>
      <c r="K564" s="86"/>
      <c r="L564" s="86"/>
      <c r="N564" s="86"/>
      <c r="CQ564" s="86"/>
      <c r="CR564" s="86"/>
      <c r="CS564" s="86"/>
      <c r="CT564" s="86"/>
      <c r="CU564" s="86"/>
      <c r="CV564" s="86"/>
      <c r="CW564" s="86"/>
    </row>
    <row r="565" customFormat="false" ht="12.75" hidden="false" customHeight="false" outlineLevel="0" collapsed="false">
      <c r="F565" s="86"/>
      <c r="G565" s="86"/>
      <c r="H565" s="86"/>
      <c r="I565" s="86"/>
      <c r="J565" s="86"/>
      <c r="K565" s="86"/>
      <c r="L565" s="86"/>
      <c r="N565" s="86"/>
      <c r="CQ565" s="86"/>
      <c r="CR565" s="86"/>
      <c r="CS565" s="86"/>
      <c r="CT565" s="86"/>
      <c r="CU565" s="86"/>
      <c r="CV565" s="86"/>
      <c r="CW565" s="86"/>
    </row>
    <row r="566" customFormat="false" ht="12.75" hidden="false" customHeight="false" outlineLevel="0" collapsed="false">
      <c r="F566" s="86"/>
      <c r="G566" s="86"/>
      <c r="H566" s="86"/>
      <c r="I566" s="86"/>
      <c r="J566" s="86"/>
      <c r="K566" s="86"/>
      <c r="L566" s="86"/>
      <c r="N566" s="86"/>
      <c r="CQ566" s="86"/>
      <c r="CR566" s="86"/>
      <c r="CS566" s="86"/>
      <c r="CT566" s="86"/>
      <c r="CU566" s="86"/>
      <c r="CV566" s="86"/>
      <c r="CW566" s="86"/>
    </row>
    <row r="567" customFormat="false" ht="12.75" hidden="false" customHeight="false" outlineLevel="0" collapsed="false">
      <c r="F567" s="86"/>
      <c r="G567" s="86"/>
      <c r="H567" s="86"/>
      <c r="I567" s="86"/>
      <c r="J567" s="86"/>
      <c r="K567" s="86"/>
      <c r="L567" s="86"/>
      <c r="N567" s="86"/>
      <c r="CQ567" s="86"/>
      <c r="CR567" s="86"/>
      <c r="CS567" s="86"/>
      <c r="CT567" s="86"/>
      <c r="CU567" s="86"/>
      <c r="CV567" s="86"/>
      <c r="CW567" s="86"/>
    </row>
    <row r="568" customFormat="false" ht="12.75" hidden="false" customHeight="false" outlineLevel="0" collapsed="false">
      <c r="F568" s="86"/>
      <c r="G568" s="86"/>
      <c r="H568" s="86"/>
      <c r="I568" s="86"/>
      <c r="J568" s="86"/>
      <c r="K568" s="86"/>
      <c r="L568" s="86"/>
      <c r="N568" s="86"/>
      <c r="CQ568" s="86"/>
      <c r="CR568" s="86"/>
      <c r="CS568" s="86"/>
      <c r="CT568" s="86"/>
      <c r="CU568" s="86"/>
      <c r="CV568" s="86"/>
      <c r="CW568" s="86"/>
    </row>
    <row r="569" customFormat="false" ht="12.75" hidden="false" customHeight="false" outlineLevel="0" collapsed="false">
      <c r="F569" s="86"/>
      <c r="G569" s="86"/>
      <c r="H569" s="86"/>
      <c r="I569" s="86"/>
      <c r="J569" s="86"/>
      <c r="K569" s="86"/>
      <c r="L569" s="86"/>
      <c r="N569" s="86"/>
      <c r="CQ569" s="86"/>
      <c r="CR569" s="86"/>
      <c r="CS569" s="86"/>
      <c r="CT569" s="86"/>
      <c r="CU569" s="86"/>
      <c r="CV569" s="86"/>
      <c r="CW569" s="86"/>
    </row>
    <row r="570" customFormat="false" ht="12.75" hidden="false" customHeight="false" outlineLevel="0" collapsed="false">
      <c r="F570" s="86"/>
      <c r="G570" s="86"/>
      <c r="H570" s="86"/>
      <c r="I570" s="86"/>
      <c r="J570" s="86"/>
      <c r="K570" s="86"/>
      <c r="L570" s="86"/>
      <c r="N570" s="86"/>
      <c r="CQ570" s="86"/>
      <c r="CR570" s="86"/>
      <c r="CS570" s="86"/>
      <c r="CT570" s="86"/>
      <c r="CU570" s="86"/>
      <c r="CV570" s="86"/>
      <c r="CW570" s="86"/>
    </row>
    <row r="571" customFormat="false" ht="12.75" hidden="false" customHeight="false" outlineLevel="0" collapsed="false">
      <c r="F571" s="86"/>
      <c r="G571" s="86"/>
      <c r="H571" s="86"/>
      <c r="I571" s="86"/>
      <c r="J571" s="86"/>
      <c r="K571" s="86"/>
      <c r="L571" s="86"/>
      <c r="N571" s="86"/>
      <c r="CQ571" s="86"/>
      <c r="CR571" s="86"/>
      <c r="CS571" s="86"/>
      <c r="CT571" s="86"/>
      <c r="CU571" s="86"/>
      <c r="CV571" s="86"/>
      <c r="CW571" s="86"/>
    </row>
    <row r="572" customFormat="false" ht="12.75" hidden="false" customHeight="false" outlineLevel="0" collapsed="false">
      <c r="F572" s="86"/>
      <c r="G572" s="86"/>
      <c r="H572" s="86"/>
      <c r="I572" s="86"/>
      <c r="J572" s="86"/>
      <c r="K572" s="86"/>
      <c r="L572" s="86"/>
      <c r="N572" s="86"/>
      <c r="CQ572" s="86"/>
      <c r="CR572" s="86"/>
      <c r="CS572" s="86"/>
      <c r="CT572" s="86"/>
      <c r="CU572" s="86"/>
      <c r="CV572" s="86"/>
      <c r="CW572" s="86"/>
    </row>
    <row r="573" customFormat="false" ht="12.75" hidden="false" customHeight="false" outlineLevel="0" collapsed="false">
      <c r="F573" s="86"/>
      <c r="G573" s="86"/>
      <c r="H573" s="86"/>
      <c r="I573" s="86"/>
      <c r="J573" s="86"/>
      <c r="K573" s="86"/>
      <c r="L573" s="86"/>
      <c r="N573" s="86"/>
      <c r="CQ573" s="86"/>
      <c r="CR573" s="86"/>
      <c r="CS573" s="86"/>
      <c r="CT573" s="86"/>
      <c r="CU573" s="86"/>
      <c r="CV573" s="86"/>
      <c r="CW573" s="86"/>
    </row>
    <row r="574" customFormat="false" ht="12.75" hidden="false" customHeight="false" outlineLevel="0" collapsed="false">
      <c r="F574" s="86"/>
      <c r="G574" s="86"/>
      <c r="H574" s="86"/>
      <c r="I574" s="86"/>
      <c r="J574" s="86"/>
      <c r="K574" s="86"/>
      <c r="L574" s="86"/>
      <c r="N574" s="86"/>
      <c r="CQ574" s="86"/>
      <c r="CR574" s="86"/>
      <c r="CS574" s="86"/>
      <c r="CT574" s="86"/>
      <c r="CU574" s="86"/>
      <c r="CV574" s="86"/>
      <c r="CW574" s="86"/>
    </row>
    <row r="575" customFormat="false" ht="12.75" hidden="false" customHeight="false" outlineLevel="0" collapsed="false">
      <c r="F575" s="86"/>
      <c r="G575" s="86"/>
      <c r="H575" s="86"/>
      <c r="I575" s="86"/>
      <c r="J575" s="86"/>
      <c r="K575" s="86"/>
      <c r="L575" s="86"/>
      <c r="N575" s="86"/>
      <c r="CQ575" s="86"/>
      <c r="CR575" s="86"/>
      <c r="CS575" s="86"/>
      <c r="CT575" s="86"/>
      <c r="CU575" s="86"/>
      <c r="CV575" s="86"/>
      <c r="CW575" s="86"/>
    </row>
    <row r="576" customFormat="false" ht="12.75" hidden="false" customHeight="false" outlineLevel="0" collapsed="false">
      <c r="F576" s="86"/>
      <c r="G576" s="86"/>
      <c r="H576" s="86"/>
      <c r="I576" s="86"/>
      <c r="J576" s="86"/>
      <c r="K576" s="86"/>
      <c r="L576" s="86"/>
      <c r="N576" s="86"/>
      <c r="CQ576" s="86"/>
      <c r="CR576" s="86"/>
      <c r="CS576" s="86"/>
      <c r="CT576" s="86"/>
      <c r="CU576" s="86"/>
      <c r="CV576" s="86"/>
      <c r="CW576" s="86"/>
    </row>
    <row r="577" customFormat="false" ht="12.75" hidden="false" customHeight="false" outlineLevel="0" collapsed="false">
      <c r="F577" s="86"/>
      <c r="G577" s="86"/>
      <c r="H577" s="86"/>
      <c r="I577" s="86"/>
      <c r="J577" s="86"/>
      <c r="K577" s="86"/>
      <c r="L577" s="86"/>
      <c r="N577" s="86"/>
      <c r="CQ577" s="86"/>
      <c r="CR577" s="86"/>
      <c r="CS577" s="86"/>
      <c r="CT577" s="86"/>
      <c r="CU577" s="86"/>
      <c r="CV577" s="86"/>
      <c r="CW577" s="86"/>
    </row>
    <row r="578" customFormat="false" ht="12.75" hidden="false" customHeight="false" outlineLevel="0" collapsed="false">
      <c r="F578" s="86"/>
      <c r="G578" s="86"/>
      <c r="H578" s="86"/>
      <c r="I578" s="86"/>
      <c r="J578" s="86"/>
      <c r="K578" s="86"/>
      <c r="L578" s="86"/>
      <c r="N578" s="86"/>
      <c r="CQ578" s="86"/>
      <c r="CR578" s="86"/>
      <c r="CS578" s="86"/>
      <c r="CT578" s="86"/>
      <c r="CU578" s="86"/>
      <c r="CV578" s="86"/>
      <c r="CW578" s="86"/>
    </row>
    <row r="579" customFormat="false" ht="12.75" hidden="false" customHeight="false" outlineLevel="0" collapsed="false">
      <c r="F579" s="86"/>
      <c r="G579" s="86"/>
      <c r="H579" s="86"/>
      <c r="I579" s="86"/>
      <c r="J579" s="86"/>
      <c r="K579" s="86"/>
      <c r="L579" s="86"/>
      <c r="N579" s="86"/>
      <c r="CQ579" s="86"/>
      <c r="CR579" s="86"/>
      <c r="CS579" s="86"/>
      <c r="CT579" s="86"/>
      <c r="CU579" s="86"/>
      <c r="CV579" s="86"/>
      <c r="CW579" s="86"/>
    </row>
    <row r="580" customFormat="false" ht="12.75" hidden="false" customHeight="false" outlineLevel="0" collapsed="false">
      <c r="F580" s="86"/>
      <c r="G580" s="86"/>
      <c r="H580" s="86"/>
      <c r="I580" s="86"/>
      <c r="J580" s="86"/>
      <c r="K580" s="86"/>
      <c r="L580" s="86"/>
      <c r="N580" s="86"/>
      <c r="CQ580" s="86"/>
      <c r="CR580" s="86"/>
      <c r="CS580" s="86"/>
      <c r="CT580" s="86"/>
      <c r="CU580" s="86"/>
      <c r="CV580" s="86"/>
      <c r="CW580" s="86"/>
    </row>
    <row r="581" customFormat="false" ht="12.75" hidden="false" customHeight="false" outlineLevel="0" collapsed="false">
      <c r="F581" s="86"/>
      <c r="G581" s="86"/>
      <c r="H581" s="86"/>
      <c r="I581" s="86"/>
      <c r="J581" s="86"/>
      <c r="K581" s="86"/>
      <c r="L581" s="86"/>
      <c r="N581" s="86"/>
      <c r="CQ581" s="86"/>
      <c r="CR581" s="86"/>
      <c r="CS581" s="86"/>
      <c r="CT581" s="86"/>
      <c r="CU581" s="86"/>
      <c r="CV581" s="86"/>
      <c r="CW581" s="86"/>
    </row>
    <row r="582" customFormat="false" ht="12.75" hidden="false" customHeight="false" outlineLevel="0" collapsed="false">
      <c r="F582" s="86"/>
      <c r="G582" s="86"/>
      <c r="H582" s="86"/>
      <c r="I582" s="86"/>
      <c r="J582" s="86"/>
      <c r="K582" s="86"/>
      <c r="L582" s="86"/>
      <c r="N582" s="86"/>
      <c r="CQ582" s="86"/>
      <c r="CR582" s="86"/>
      <c r="CS582" s="86"/>
      <c r="CT582" s="86"/>
      <c r="CU582" s="86"/>
      <c r="CV582" s="86"/>
      <c r="CW582" s="86"/>
    </row>
    <row r="583" customFormat="false" ht="12.75" hidden="false" customHeight="false" outlineLevel="0" collapsed="false">
      <c r="F583" s="86"/>
      <c r="G583" s="86"/>
      <c r="H583" s="86"/>
      <c r="I583" s="86"/>
      <c r="J583" s="86"/>
      <c r="K583" s="86"/>
      <c r="L583" s="86"/>
      <c r="N583" s="86"/>
      <c r="CQ583" s="86"/>
      <c r="CR583" s="86"/>
      <c r="CS583" s="86"/>
      <c r="CT583" s="86"/>
      <c r="CU583" s="86"/>
      <c r="CV583" s="86"/>
      <c r="CW583" s="86"/>
    </row>
    <row r="584" customFormat="false" ht="12.75" hidden="false" customHeight="false" outlineLevel="0" collapsed="false">
      <c r="F584" s="86"/>
      <c r="G584" s="86"/>
      <c r="H584" s="86"/>
      <c r="I584" s="86"/>
      <c r="J584" s="86"/>
      <c r="K584" s="86"/>
      <c r="L584" s="86"/>
      <c r="N584" s="86"/>
      <c r="CQ584" s="86"/>
      <c r="CR584" s="86"/>
      <c r="CS584" s="86"/>
      <c r="CT584" s="86"/>
      <c r="CU584" s="86"/>
      <c r="CV584" s="86"/>
      <c r="CW584" s="86"/>
    </row>
    <row r="585" customFormat="false" ht="12.75" hidden="false" customHeight="false" outlineLevel="0" collapsed="false">
      <c r="F585" s="86"/>
      <c r="G585" s="86"/>
      <c r="H585" s="86"/>
      <c r="I585" s="86"/>
      <c r="J585" s="86"/>
      <c r="K585" s="86"/>
      <c r="L585" s="86"/>
      <c r="N585" s="86"/>
      <c r="CQ585" s="86"/>
      <c r="CR585" s="86"/>
      <c r="CS585" s="86"/>
      <c r="CT585" s="86"/>
      <c r="CU585" s="86"/>
      <c r="CV585" s="86"/>
      <c r="CW585" s="86"/>
    </row>
    <row r="586" customFormat="false" ht="12.75" hidden="false" customHeight="false" outlineLevel="0" collapsed="false">
      <c r="F586" s="86"/>
      <c r="G586" s="86"/>
      <c r="H586" s="86"/>
      <c r="I586" s="86"/>
      <c r="J586" s="86"/>
      <c r="K586" s="86"/>
      <c r="L586" s="86"/>
      <c r="N586" s="86"/>
      <c r="CQ586" s="86"/>
      <c r="CR586" s="86"/>
      <c r="CS586" s="86"/>
      <c r="CT586" s="86"/>
      <c r="CU586" s="86"/>
      <c r="CV586" s="86"/>
      <c r="CW586" s="86"/>
    </row>
    <row r="587" customFormat="false" ht="12.75" hidden="false" customHeight="false" outlineLevel="0" collapsed="false">
      <c r="F587" s="86"/>
      <c r="G587" s="86"/>
      <c r="H587" s="86"/>
      <c r="I587" s="86"/>
      <c r="J587" s="86"/>
      <c r="K587" s="86"/>
      <c r="L587" s="86"/>
      <c r="N587" s="86"/>
      <c r="CQ587" s="86"/>
      <c r="CR587" s="86"/>
      <c r="CS587" s="86"/>
      <c r="CT587" s="86"/>
      <c r="CU587" s="86"/>
      <c r="CV587" s="86"/>
      <c r="CW587" s="86"/>
    </row>
    <row r="588" customFormat="false" ht="12.75" hidden="false" customHeight="false" outlineLevel="0" collapsed="false">
      <c r="F588" s="86"/>
      <c r="G588" s="86"/>
      <c r="H588" s="86"/>
      <c r="I588" s="86"/>
      <c r="J588" s="86"/>
      <c r="K588" s="86"/>
      <c r="L588" s="86"/>
      <c r="N588" s="86"/>
      <c r="CQ588" s="86"/>
      <c r="CR588" s="86"/>
      <c r="CS588" s="86"/>
      <c r="CT588" s="86"/>
      <c r="CU588" s="86"/>
      <c r="CV588" s="86"/>
      <c r="CW588" s="86"/>
    </row>
    <row r="589" customFormat="false" ht="12.75" hidden="false" customHeight="false" outlineLevel="0" collapsed="false">
      <c r="F589" s="86"/>
      <c r="G589" s="86"/>
      <c r="H589" s="86"/>
      <c r="I589" s="86"/>
      <c r="J589" s="86"/>
      <c r="K589" s="86"/>
      <c r="L589" s="86"/>
      <c r="N589" s="86"/>
      <c r="CQ589" s="86"/>
      <c r="CR589" s="86"/>
      <c r="CS589" s="86"/>
      <c r="CT589" s="86"/>
      <c r="CU589" s="86"/>
      <c r="CV589" s="86"/>
      <c r="CW589" s="86"/>
    </row>
    <row r="590" customFormat="false" ht="12.75" hidden="false" customHeight="false" outlineLevel="0" collapsed="false">
      <c r="F590" s="86"/>
      <c r="G590" s="86"/>
      <c r="H590" s="86"/>
      <c r="I590" s="86"/>
      <c r="J590" s="86"/>
      <c r="K590" s="86"/>
      <c r="L590" s="86"/>
      <c r="N590" s="86"/>
      <c r="CQ590" s="86"/>
      <c r="CR590" s="86"/>
      <c r="CS590" s="86"/>
      <c r="CT590" s="86"/>
      <c r="CU590" s="86"/>
      <c r="CV590" s="86"/>
      <c r="CW590" s="86"/>
    </row>
    <row r="591" customFormat="false" ht="12.75" hidden="false" customHeight="false" outlineLevel="0" collapsed="false">
      <c r="F591" s="86"/>
      <c r="G591" s="86"/>
      <c r="H591" s="86"/>
      <c r="I591" s="86"/>
      <c r="J591" s="86"/>
      <c r="K591" s="86"/>
      <c r="L591" s="86"/>
      <c r="N591" s="86"/>
      <c r="CQ591" s="86"/>
      <c r="CR591" s="86"/>
      <c r="CS591" s="86"/>
      <c r="CT591" s="86"/>
      <c r="CU591" s="86"/>
      <c r="CV591" s="86"/>
      <c r="CW591" s="86"/>
    </row>
    <row r="592" customFormat="false" ht="12.75" hidden="false" customHeight="false" outlineLevel="0" collapsed="false">
      <c r="F592" s="86"/>
      <c r="G592" s="86"/>
      <c r="H592" s="86"/>
      <c r="I592" s="86"/>
      <c r="J592" s="86"/>
      <c r="K592" s="86"/>
      <c r="L592" s="86"/>
      <c r="N592" s="86"/>
      <c r="CQ592" s="86"/>
      <c r="CR592" s="86"/>
      <c r="CS592" s="86"/>
      <c r="CT592" s="86"/>
      <c r="CU592" s="86"/>
      <c r="CV592" s="86"/>
      <c r="CW592" s="86"/>
    </row>
    <row r="593" customFormat="false" ht="12.75" hidden="false" customHeight="false" outlineLevel="0" collapsed="false">
      <c r="F593" s="86"/>
      <c r="G593" s="86"/>
      <c r="H593" s="86"/>
      <c r="I593" s="86"/>
      <c r="J593" s="86"/>
      <c r="K593" s="86"/>
      <c r="L593" s="86"/>
      <c r="N593" s="86"/>
      <c r="CQ593" s="86"/>
      <c r="CR593" s="86"/>
      <c r="CS593" s="86"/>
      <c r="CT593" s="86"/>
      <c r="CU593" s="86"/>
      <c r="CV593" s="86"/>
      <c r="CW593" s="86"/>
    </row>
    <row r="594" customFormat="false" ht="12.75" hidden="false" customHeight="false" outlineLevel="0" collapsed="false">
      <c r="F594" s="86"/>
      <c r="G594" s="86"/>
      <c r="H594" s="86"/>
      <c r="I594" s="86"/>
      <c r="J594" s="86"/>
      <c r="K594" s="86"/>
      <c r="L594" s="86"/>
      <c r="N594" s="86"/>
      <c r="CQ594" s="86"/>
      <c r="CR594" s="86"/>
      <c r="CS594" s="86"/>
      <c r="CT594" s="86"/>
      <c r="CU594" s="86"/>
      <c r="CV594" s="86"/>
      <c r="CW594" s="86"/>
    </row>
    <row r="595" customFormat="false" ht="12.75" hidden="false" customHeight="false" outlineLevel="0" collapsed="false">
      <c r="F595" s="86"/>
      <c r="G595" s="86"/>
      <c r="H595" s="86"/>
      <c r="I595" s="86"/>
      <c r="J595" s="86"/>
      <c r="K595" s="86"/>
      <c r="L595" s="86"/>
      <c r="N595" s="86"/>
      <c r="CQ595" s="86"/>
      <c r="CR595" s="86"/>
      <c r="CS595" s="86"/>
      <c r="CT595" s="86"/>
      <c r="CU595" s="86"/>
      <c r="CV595" s="86"/>
      <c r="CW595" s="86"/>
    </row>
    <row r="596" customFormat="false" ht="12.75" hidden="false" customHeight="false" outlineLevel="0" collapsed="false">
      <c r="F596" s="86"/>
      <c r="G596" s="86"/>
      <c r="H596" s="86"/>
      <c r="I596" s="86"/>
      <c r="J596" s="86"/>
      <c r="K596" s="86"/>
      <c r="L596" s="86"/>
      <c r="N596" s="86"/>
      <c r="CQ596" s="86"/>
      <c r="CR596" s="86"/>
      <c r="CS596" s="86"/>
      <c r="CT596" s="86"/>
      <c r="CU596" s="86"/>
      <c r="CV596" s="86"/>
      <c r="CW596" s="86"/>
    </row>
    <row r="597" customFormat="false" ht="12.75" hidden="false" customHeight="false" outlineLevel="0" collapsed="false">
      <c r="F597" s="86"/>
      <c r="G597" s="86"/>
      <c r="H597" s="86"/>
      <c r="I597" s="86"/>
      <c r="J597" s="86"/>
      <c r="K597" s="86"/>
      <c r="L597" s="86"/>
      <c r="N597" s="86"/>
      <c r="CQ597" s="86"/>
      <c r="CR597" s="86"/>
      <c r="CS597" s="86"/>
      <c r="CT597" s="86"/>
      <c r="CU597" s="86"/>
      <c r="CV597" s="86"/>
      <c r="CW597" s="86"/>
    </row>
    <row r="598" customFormat="false" ht="12.75" hidden="false" customHeight="false" outlineLevel="0" collapsed="false">
      <c r="F598" s="86"/>
      <c r="G598" s="86"/>
      <c r="H598" s="86"/>
      <c r="I598" s="86"/>
      <c r="J598" s="86"/>
      <c r="K598" s="86"/>
      <c r="L598" s="86"/>
      <c r="N598" s="86"/>
      <c r="CQ598" s="86"/>
      <c r="CR598" s="86"/>
      <c r="CS598" s="86"/>
      <c r="CT598" s="86"/>
      <c r="CU598" s="86"/>
      <c r="CV598" s="86"/>
      <c r="CW598" s="86"/>
    </row>
    <row r="599" customFormat="false" ht="12.75" hidden="false" customHeight="false" outlineLevel="0" collapsed="false">
      <c r="F599" s="86"/>
      <c r="G599" s="86"/>
      <c r="H599" s="86"/>
      <c r="I599" s="86"/>
      <c r="J599" s="86"/>
      <c r="K599" s="86"/>
      <c r="L599" s="86"/>
      <c r="N599" s="86"/>
      <c r="CQ599" s="86"/>
      <c r="CR599" s="86"/>
      <c r="CS599" s="86"/>
      <c r="CT599" s="86"/>
      <c r="CU599" s="86"/>
      <c r="CV599" s="86"/>
      <c r="CW599" s="86"/>
    </row>
    <row r="600" customFormat="false" ht="12.75" hidden="false" customHeight="false" outlineLevel="0" collapsed="false">
      <c r="F600" s="86"/>
      <c r="G600" s="86"/>
      <c r="H600" s="86"/>
      <c r="I600" s="86"/>
      <c r="J600" s="86"/>
      <c r="K600" s="86"/>
      <c r="L600" s="86"/>
      <c r="N600" s="86"/>
      <c r="CQ600" s="86"/>
      <c r="CR600" s="86"/>
      <c r="CS600" s="86"/>
      <c r="CT600" s="86"/>
      <c r="CU600" s="86"/>
      <c r="CV600" s="86"/>
      <c r="CW600" s="86"/>
    </row>
    <row r="601" customFormat="false" ht="12.75" hidden="false" customHeight="false" outlineLevel="0" collapsed="false">
      <c r="F601" s="86"/>
      <c r="G601" s="86"/>
      <c r="H601" s="86"/>
      <c r="I601" s="86"/>
      <c r="J601" s="86"/>
      <c r="K601" s="86"/>
      <c r="L601" s="86"/>
      <c r="N601" s="86"/>
      <c r="CQ601" s="86"/>
      <c r="CR601" s="86"/>
      <c r="CS601" s="86"/>
      <c r="CT601" s="86"/>
      <c r="CU601" s="86"/>
      <c r="CV601" s="86"/>
      <c r="CW601" s="86"/>
    </row>
    <row r="602" customFormat="false" ht="12.75" hidden="false" customHeight="false" outlineLevel="0" collapsed="false">
      <c r="F602" s="86"/>
      <c r="G602" s="86"/>
      <c r="H602" s="86"/>
      <c r="I602" s="86"/>
      <c r="J602" s="86"/>
      <c r="K602" s="86"/>
      <c r="L602" s="86"/>
      <c r="N602" s="86"/>
      <c r="CQ602" s="86"/>
      <c r="CR602" s="86"/>
      <c r="CS602" s="86"/>
      <c r="CT602" s="86"/>
      <c r="CU602" s="86"/>
      <c r="CV602" s="86"/>
      <c r="CW602" s="86"/>
    </row>
    <row r="603" customFormat="false" ht="12.75" hidden="false" customHeight="false" outlineLevel="0" collapsed="false">
      <c r="F603" s="86"/>
      <c r="G603" s="86"/>
      <c r="H603" s="86"/>
      <c r="I603" s="86"/>
      <c r="J603" s="86"/>
      <c r="K603" s="86"/>
      <c r="L603" s="86"/>
      <c r="N603" s="86"/>
      <c r="CQ603" s="86"/>
      <c r="CR603" s="86"/>
      <c r="CS603" s="86"/>
      <c r="CT603" s="86"/>
      <c r="CU603" s="86"/>
      <c r="CV603" s="86"/>
      <c r="CW603" s="86"/>
    </row>
    <row r="604" customFormat="false" ht="12.75" hidden="false" customHeight="false" outlineLevel="0" collapsed="false">
      <c r="F604" s="86"/>
      <c r="G604" s="86"/>
      <c r="H604" s="86"/>
      <c r="I604" s="86"/>
      <c r="J604" s="86"/>
      <c r="K604" s="86"/>
      <c r="L604" s="86"/>
      <c r="N604" s="86"/>
      <c r="CQ604" s="86"/>
      <c r="CR604" s="86"/>
      <c r="CS604" s="86"/>
      <c r="CT604" s="86"/>
      <c r="CU604" s="86"/>
      <c r="CV604" s="86"/>
      <c r="CW604" s="86"/>
    </row>
    <row r="605" customFormat="false" ht="12.75" hidden="false" customHeight="false" outlineLevel="0" collapsed="false">
      <c r="F605" s="86"/>
      <c r="G605" s="86"/>
      <c r="H605" s="86"/>
      <c r="I605" s="86"/>
      <c r="J605" s="86"/>
      <c r="K605" s="86"/>
      <c r="L605" s="86"/>
      <c r="N605" s="86"/>
      <c r="CQ605" s="86"/>
      <c r="CR605" s="86"/>
      <c r="CS605" s="86"/>
      <c r="CT605" s="86"/>
      <c r="CU605" s="86"/>
      <c r="CV605" s="86"/>
      <c r="CW605" s="86"/>
    </row>
    <row r="606" customFormat="false" ht="12.75" hidden="false" customHeight="false" outlineLevel="0" collapsed="false">
      <c r="F606" s="86"/>
      <c r="G606" s="86"/>
      <c r="H606" s="86"/>
      <c r="I606" s="86"/>
      <c r="J606" s="86"/>
      <c r="K606" s="86"/>
      <c r="L606" s="86"/>
      <c r="N606" s="86"/>
      <c r="CQ606" s="86"/>
      <c r="CR606" s="86"/>
      <c r="CS606" s="86"/>
      <c r="CT606" s="86"/>
      <c r="CU606" s="86"/>
      <c r="CV606" s="86"/>
      <c r="CW606" s="86"/>
    </row>
    <row r="607" customFormat="false" ht="12.75" hidden="false" customHeight="false" outlineLevel="0" collapsed="false">
      <c r="F607" s="86"/>
      <c r="G607" s="86"/>
      <c r="H607" s="86"/>
      <c r="I607" s="86"/>
      <c r="J607" s="86"/>
      <c r="K607" s="86"/>
      <c r="L607" s="86"/>
      <c r="N607" s="86"/>
      <c r="CQ607" s="86"/>
      <c r="CR607" s="86"/>
      <c r="CS607" s="86"/>
      <c r="CT607" s="86"/>
      <c r="CU607" s="86"/>
      <c r="CV607" s="86"/>
      <c r="CW607" s="86"/>
    </row>
    <row r="608" customFormat="false" ht="12.75" hidden="false" customHeight="false" outlineLevel="0" collapsed="false">
      <c r="F608" s="86"/>
      <c r="G608" s="86"/>
      <c r="H608" s="86"/>
      <c r="I608" s="86"/>
      <c r="J608" s="86"/>
      <c r="K608" s="86"/>
      <c r="L608" s="86"/>
      <c r="N608" s="86"/>
      <c r="CQ608" s="86"/>
      <c r="CR608" s="86"/>
      <c r="CS608" s="86"/>
      <c r="CT608" s="86"/>
      <c r="CU608" s="86"/>
      <c r="CV608" s="86"/>
      <c r="CW608" s="86"/>
    </row>
    <row r="609" customFormat="false" ht="12.75" hidden="false" customHeight="false" outlineLevel="0" collapsed="false">
      <c r="F609" s="86"/>
      <c r="G609" s="86"/>
      <c r="H609" s="86"/>
      <c r="I609" s="86"/>
      <c r="J609" s="86"/>
      <c r="K609" s="86"/>
      <c r="L609" s="86"/>
      <c r="N609" s="86"/>
      <c r="CQ609" s="86"/>
      <c r="CR609" s="86"/>
      <c r="CS609" s="86"/>
      <c r="CT609" s="86"/>
      <c r="CU609" s="86"/>
      <c r="CV609" s="86"/>
      <c r="CW609" s="86"/>
    </row>
    <row r="610" customFormat="false" ht="12.75" hidden="false" customHeight="false" outlineLevel="0" collapsed="false">
      <c r="F610" s="86"/>
      <c r="G610" s="86"/>
      <c r="H610" s="86"/>
      <c r="I610" s="86"/>
      <c r="J610" s="86"/>
      <c r="K610" s="86"/>
      <c r="L610" s="86"/>
      <c r="N610" s="86"/>
      <c r="CQ610" s="86"/>
      <c r="CR610" s="86"/>
      <c r="CS610" s="86"/>
      <c r="CT610" s="86"/>
      <c r="CU610" s="86"/>
      <c r="CV610" s="86"/>
      <c r="CW610" s="86"/>
    </row>
    <row r="611" customFormat="false" ht="12.75" hidden="false" customHeight="false" outlineLevel="0" collapsed="false">
      <c r="F611" s="86"/>
      <c r="G611" s="86"/>
      <c r="H611" s="86"/>
      <c r="I611" s="86"/>
      <c r="J611" s="86"/>
      <c r="K611" s="86"/>
      <c r="L611" s="86"/>
      <c r="N611" s="86"/>
      <c r="CQ611" s="86"/>
      <c r="CR611" s="86"/>
      <c r="CS611" s="86"/>
      <c r="CT611" s="86"/>
      <c r="CU611" s="86"/>
      <c r="CV611" s="86"/>
      <c r="CW611" s="86"/>
    </row>
    <row r="612" customFormat="false" ht="12.75" hidden="false" customHeight="false" outlineLevel="0" collapsed="false">
      <c r="F612" s="86"/>
      <c r="G612" s="86"/>
      <c r="H612" s="86"/>
      <c r="I612" s="86"/>
      <c r="J612" s="86"/>
      <c r="K612" s="86"/>
      <c r="L612" s="86"/>
      <c r="N612" s="86"/>
      <c r="CQ612" s="86"/>
      <c r="CR612" s="86"/>
      <c r="CS612" s="86"/>
      <c r="CT612" s="86"/>
      <c r="CU612" s="86"/>
      <c r="CV612" s="86"/>
      <c r="CW612" s="86"/>
    </row>
    <row r="613" customFormat="false" ht="12.75" hidden="false" customHeight="false" outlineLevel="0" collapsed="false">
      <c r="F613" s="86"/>
      <c r="G613" s="86"/>
      <c r="H613" s="86"/>
      <c r="I613" s="86"/>
      <c r="J613" s="86"/>
      <c r="K613" s="86"/>
      <c r="L613" s="86"/>
      <c r="N613" s="86"/>
      <c r="CQ613" s="86"/>
      <c r="CR613" s="86"/>
      <c r="CS613" s="86"/>
      <c r="CT613" s="86"/>
      <c r="CU613" s="86"/>
      <c r="CV613" s="86"/>
      <c r="CW613" s="86"/>
    </row>
    <row r="614" customFormat="false" ht="12.75" hidden="false" customHeight="false" outlineLevel="0" collapsed="false">
      <c r="F614" s="86"/>
      <c r="G614" s="86"/>
      <c r="H614" s="86"/>
      <c r="I614" s="86"/>
      <c r="J614" s="86"/>
      <c r="K614" s="86"/>
      <c r="L614" s="86"/>
      <c r="N614" s="86"/>
      <c r="CQ614" s="86"/>
      <c r="CR614" s="86"/>
      <c r="CS614" s="86"/>
      <c r="CT614" s="86"/>
      <c r="CU614" s="86"/>
      <c r="CV614" s="86"/>
      <c r="CW614" s="86"/>
    </row>
    <row r="615" customFormat="false" ht="12.75" hidden="false" customHeight="false" outlineLevel="0" collapsed="false">
      <c r="F615" s="86"/>
      <c r="G615" s="86"/>
      <c r="H615" s="86"/>
      <c r="I615" s="86"/>
      <c r="J615" s="86"/>
      <c r="K615" s="86"/>
      <c r="L615" s="86"/>
      <c r="N615" s="86"/>
      <c r="CQ615" s="86"/>
      <c r="CR615" s="86"/>
      <c r="CS615" s="86"/>
      <c r="CT615" s="86"/>
      <c r="CU615" s="86"/>
      <c r="CV615" s="86"/>
      <c r="CW615" s="86"/>
    </row>
    <row r="616" customFormat="false" ht="12.75" hidden="false" customHeight="false" outlineLevel="0" collapsed="false">
      <c r="F616" s="86"/>
      <c r="G616" s="86"/>
      <c r="H616" s="86"/>
      <c r="I616" s="86"/>
      <c r="J616" s="86"/>
      <c r="K616" s="86"/>
      <c r="L616" s="86"/>
      <c r="N616" s="86"/>
      <c r="CQ616" s="86"/>
      <c r="CR616" s="86"/>
      <c r="CS616" s="86"/>
      <c r="CT616" s="86"/>
      <c r="CU616" s="86"/>
      <c r="CV616" s="86"/>
      <c r="CW616" s="86"/>
    </row>
    <row r="617" customFormat="false" ht="12.75" hidden="false" customHeight="false" outlineLevel="0" collapsed="false">
      <c r="F617" s="86"/>
      <c r="G617" s="86"/>
      <c r="H617" s="86"/>
      <c r="I617" s="86"/>
      <c r="J617" s="86"/>
      <c r="K617" s="86"/>
      <c r="L617" s="86"/>
      <c r="N617" s="86"/>
      <c r="CQ617" s="86"/>
      <c r="CR617" s="86"/>
      <c r="CS617" s="86"/>
      <c r="CT617" s="86"/>
      <c r="CU617" s="86"/>
      <c r="CV617" s="86"/>
      <c r="CW617" s="86"/>
    </row>
    <row r="618" customFormat="false" ht="12.75" hidden="false" customHeight="false" outlineLevel="0" collapsed="false">
      <c r="F618" s="86"/>
      <c r="G618" s="86"/>
      <c r="H618" s="86"/>
      <c r="I618" s="86"/>
      <c r="J618" s="86"/>
      <c r="K618" s="86"/>
      <c r="L618" s="86"/>
      <c r="N618" s="86"/>
      <c r="CQ618" s="86"/>
      <c r="CR618" s="86"/>
      <c r="CS618" s="86"/>
      <c r="CT618" s="86"/>
      <c r="CU618" s="86"/>
      <c r="CV618" s="86"/>
      <c r="CW618" s="86"/>
    </row>
    <row r="619" customFormat="false" ht="12.75" hidden="false" customHeight="false" outlineLevel="0" collapsed="false">
      <c r="F619" s="86"/>
      <c r="G619" s="86"/>
      <c r="H619" s="86"/>
      <c r="I619" s="86"/>
      <c r="J619" s="86"/>
      <c r="K619" s="86"/>
      <c r="L619" s="86"/>
      <c r="N619" s="86"/>
      <c r="CQ619" s="86"/>
      <c r="CR619" s="86"/>
      <c r="CS619" s="86"/>
      <c r="CT619" s="86"/>
      <c r="CU619" s="86"/>
      <c r="CV619" s="86"/>
      <c r="CW619" s="86"/>
    </row>
    <row r="620" customFormat="false" ht="12.75" hidden="false" customHeight="false" outlineLevel="0" collapsed="false">
      <c r="F620" s="86"/>
      <c r="G620" s="86"/>
      <c r="H620" s="86"/>
      <c r="I620" s="86"/>
      <c r="J620" s="86"/>
      <c r="K620" s="86"/>
      <c r="L620" s="86"/>
      <c r="N620" s="86"/>
      <c r="CQ620" s="86"/>
      <c r="CR620" s="86"/>
      <c r="CS620" s="86"/>
      <c r="CT620" s="86"/>
      <c r="CU620" s="86"/>
      <c r="CV620" s="86"/>
      <c r="CW620" s="86"/>
    </row>
    <row r="621" customFormat="false" ht="12.75" hidden="false" customHeight="false" outlineLevel="0" collapsed="false">
      <c r="F621" s="86"/>
      <c r="G621" s="86"/>
      <c r="H621" s="86"/>
      <c r="I621" s="86"/>
      <c r="J621" s="86"/>
      <c r="K621" s="86"/>
      <c r="L621" s="86"/>
      <c r="N621" s="86"/>
      <c r="CQ621" s="86"/>
      <c r="CR621" s="86"/>
      <c r="CS621" s="86"/>
      <c r="CT621" s="86"/>
      <c r="CU621" s="86"/>
      <c r="CV621" s="86"/>
      <c r="CW621" s="86"/>
    </row>
    <row r="622" customFormat="false" ht="12.75" hidden="false" customHeight="false" outlineLevel="0" collapsed="false">
      <c r="F622" s="86"/>
      <c r="G622" s="86"/>
      <c r="H622" s="86"/>
      <c r="I622" s="86"/>
      <c r="J622" s="86"/>
      <c r="K622" s="86"/>
      <c r="L622" s="86"/>
      <c r="N622" s="86"/>
      <c r="CQ622" s="86"/>
      <c r="CR622" s="86"/>
      <c r="CS622" s="86"/>
      <c r="CT622" s="86"/>
      <c r="CU622" s="86"/>
      <c r="CV622" s="86"/>
      <c r="CW622" s="86"/>
    </row>
    <row r="623" customFormat="false" ht="12.75" hidden="false" customHeight="false" outlineLevel="0" collapsed="false">
      <c r="F623" s="86"/>
      <c r="G623" s="86"/>
      <c r="H623" s="86"/>
      <c r="I623" s="86"/>
      <c r="J623" s="86"/>
      <c r="K623" s="86"/>
      <c r="L623" s="86"/>
      <c r="N623" s="86"/>
      <c r="CQ623" s="86"/>
      <c r="CR623" s="86"/>
      <c r="CS623" s="86"/>
      <c r="CT623" s="86"/>
      <c r="CU623" s="86"/>
      <c r="CV623" s="86"/>
      <c r="CW623" s="86"/>
    </row>
    <row r="624" customFormat="false" ht="12.75" hidden="false" customHeight="false" outlineLevel="0" collapsed="false">
      <c r="F624" s="86"/>
      <c r="G624" s="86"/>
      <c r="H624" s="86"/>
      <c r="I624" s="86"/>
      <c r="J624" s="86"/>
      <c r="K624" s="86"/>
      <c r="L624" s="86"/>
      <c r="N624" s="86"/>
      <c r="CQ624" s="86"/>
      <c r="CR624" s="86"/>
      <c r="CS624" s="86"/>
      <c r="CT624" s="86"/>
      <c r="CU624" s="86"/>
      <c r="CV624" s="86"/>
      <c r="CW624" s="86"/>
    </row>
    <row r="625" customFormat="false" ht="12.75" hidden="false" customHeight="false" outlineLevel="0" collapsed="false">
      <c r="F625" s="86"/>
      <c r="G625" s="86"/>
      <c r="H625" s="86"/>
      <c r="I625" s="86"/>
      <c r="J625" s="86"/>
      <c r="K625" s="86"/>
      <c r="L625" s="86"/>
      <c r="N625" s="86"/>
      <c r="CQ625" s="86"/>
      <c r="CR625" s="86"/>
      <c r="CS625" s="86"/>
      <c r="CT625" s="86"/>
      <c r="CU625" s="86"/>
      <c r="CV625" s="86"/>
      <c r="CW625" s="86"/>
    </row>
    <row r="626" customFormat="false" ht="12.75" hidden="false" customHeight="false" outlineLevel="0" collapsed="false">
      <c r="F626" s="86"/>
      <c r="G626" s="86"/>
      <c r="H626" s="86"/>
      <c r="I626" s="86"/>
      <c r="J626" s="86"/>
      <c r="K626" s="86"/>
      <c r="L626" s="86"/>
      <c r="N626" s="86"/>
      <c r="CQ626" s="86"/>
      <c r="CR626" s="86"/>
      <c r="CS626" s="86"/>
      <c r="CT626" s="86"/>
      <c r="CU626" s="86"/>
      <c r="CV626" s="86"/>
      <c r="CW626" s="86"/>
    </row>
    <row r="627" customFormat="false" ht="12.75" hidden="false" customHeight="false" outlineLevel="0" collapsed="false">
      <c r="F627" s="86"/>
      <c r="G627" s="86"/>
      <c r="H627" s="86"/>
      <c r="I627" s="86"/>
      <c r="J627" s="86"/>
      <c r="K627" s="86"/>
      <c r="L627" s="86"/>
      <c r="N627" s="86"/>
      <c r="CQ627" s="86"/>
      <c r="CR627" s="86"/>
      <c r="CS627" s="86"/>
      <c r="CT627" s="86"/>
      <c r="CU627" s="86"/>
      <c r="CV627" s="86"/>
      <c r="CW627" s="86"/>
    </row>
    <row r="628" customFormat="false" ht="12.75" hidden="false" customHeight="false" outlineLevel="0" collapsed="false">
      <c r="F628" s="86"/>
      <c r="G628" s="86"/>
      <c r="H628" s="86"/>
      <c r="I628" s="86"/>
      <c r="J628" s="86"/>
      <c r="K628" s="86"/>
      <c r="L628" s="86"/>
      <c r="N628" s="86"/>
      <c r="CQ628" s="86"/>
      <c r="CR628" s="86"/>
      <c r="CS628" s="86"/>
      <c r="CT628" s="86"/>
      <c r="CU628" s="86"/>
      <c r="CV628" s="86"/>
      <c r="CW628" s="86"/>
    </row>
    <row r="629" customFormat="false" ht="12.75" hidden="false" customHeight="false" outlineLevel="0" collapsed="false">
      <c r="F629" s="86"/>
      <c r="G629" s="86"/>
      <c r="H629" s="86"/>
      <c r="I629" s="86"/>
      <c r="J629" s="86"/>
      <c r="K629" s="86"/>
      <c r="L629" s="86"/>
      <c r="N629" s="86"/>
      <c r="CQ629" s="86"/>
      <c r="CR629" s="86"/>
      <c r="CS629" s="86"/>
      <c r="CT629" s="86"/>
      <c r="CU629" s="86"/>
      <c r="CV629" s="86"/>
      <c r="CW629" s="86"/>
    </row>
    <row r="630" customFormat="false" ht="12.75" hidden="false" customHeight="false" outlineLevel="0" collapsed="false">
      <c r="F630" s="86"/>
      <c r="G630" s="86"/>
      <c r="H630" s="86"/>
      <c r="I630" s="86"/>
      <c r="J630" s="86"/>
      <c r="K630" s="86"/>
      <c r="L630" s="86"/>
      <c r="N630" s="86"/>
      <c r="CQ630" s="86"/>
      <c r="CR630" s="86"/>
      <c r="CS630" s="86"/>
      <c r="CT630" s="86"/>
      <c r="CU630" s="86"/>
      <c r="CV630" s="86"/>
      <c r="CW630" s="86"/>
    </row>
    <row r="631" customFormat="false" ht="12.75" hidden="false" customHeight="false" outlineLevel="0" collapsed="false">
      <c r="F631" s="86"/>
      <c r="G631" s="86"/>
      <c r="H631" s="86"/>
      <c r="I631" s="86"/>
      <c r="J631" s="86"/>
      <c r="K631" s="86"/>
      <c r="L631" s="86"/>
      <c r="N631" s="86"/>
      <c r="CQ631" s="86"/>
      <c r="CR631" s="86"/>
      <c r="CS631" s="86"/>
      <c r="CT631" s="86"/>
      <c r="CU631" s="86"/>
      <c r="CV631" s="86"/>
      <c r="CW631" s="86"/>
    </row>
    <row r="632" customFormat="false" ht="12.75" hidden="false" customHeight="false" outlineLevel="0" collapsed="false">
      <c r="F632" s="86"/>
      <c r="G632" s="86"/>
      <c r="H632" s="86"/>
      <c r="I632" s="86"/>
      <c r="J632" s="86"/>
      <c r="K632" s="86"/>
      <c r="L632" s="86"/>
      <c r="N632" s="86"/>
      <c r="CQ632" s="86"/>
      <c r="CR632" s="86"/>
      <c r="CS632" s="86"/>
      <c r="CT632" s="86"/>
      <c r="CU632" s="86"/>
      <c r="CV632" s="86"/>
      <c r="CW632" s="86"/>
    </row>
    <row r="633" customFormat="false" ht="12.75" hidden="false" customHeight="false" outlineLevel="0" collapsed="false">
      <c r="F633" s="86"/>
      <c r="G633" s="86"/>
      <c r="H633" s="86"/>
      <c r="I633" s="86"/>
      <c r="J633" s="86"/>
      <c r="K633" s="86"/>
      <c r="L633" s="86"/>
      <c r="N633" s="86"/>
      <c r="CQ633" s="86"/>
      <c r="CR633" s="86"/>
      <c r="CS633" s="86"/>
      <c r="CT633" s="86"/>
      <c r="CU633" s="86"/>
      <c r="CV633" s="86"/>
      <c r="CW633" s="86"/>
    </row>
    <row r="634" customFormat="false" ht="12.75" hidden="false" customHeight="false" outlineLevel="0" collapsed="false">
      <c r="F634" s="86"/>
      <c r="G634" s="86"/>
      <c r="H634" s="86"/>
      <c r="I634" s="86"/>
      <c r="J634" s="86"/>
      <c r="K634" s="86"/>
      <c r="L634" s="86"/>
      <c r="N634" s="86"/>
      <c r="CQ634" s="86"/>
      <c r="CR634" s="86"/>
      <c r="CS634" s="86"/>
      <c r="CT634" s="86"/>
      <c r="CU634" s="86"/>
      <c r="CV634" s="86"/>
      <c r="CW634" s="86"/>
    </row>
    <row r="635" customFormat="false" ht="12.75" hidden="false" customHeight="false" outlineLevel="0" collapsed="false">
      <c r="F635" s="86"/>
      <c r="G635" s="86"/>
      <c r="H635" s="86"/>
      <c r="I635" s="86"/>
      <c r="J635" s="86"/>
      <c r="K635" s="86"/>
      <c r="L635" s="86"/>
      <c r="N635" s="86"/>
      <c r="CQ635" s="86"/>
      <c r="CR635" s="86"/>
      <c r="CS635" s="86"/>
      <c r="CT635" s="86"/>
      <c r="CU635" s="86"/>
      <c r="CV635" s="86"/>
      <c r="CW635" s="86"/>
    </row>
    <row r="636" customFormat="false" ht="12.75" hidden="false" customHeight="false" outlineLevel="0" collapsed="false">
      <c r="F636" s="86"/>
      <c r="G636" s="86"/>
      <c r="H636" s="86"/>
      <c r="I636" s="86"/>
      <c r="J636" s="86"/>
      <c r="K636" s="86"/>
      <c r="L636" s="86"/>
      <c r="N636" s="86"/>
      <c r="CQ636" s="86"/>
      <c r="CR636" s="86"/>
      <c r="CS636" s="86"/>
      <c r="CT636" s="86"/>
      <c r="CU636" s="86"/>
      <c r="CV636" s="86"/>
      <c r="CW636" s="86"/>
    </row>
    <row r="637" customFormat="false" ht="12.75" hidden="false" customHeight="false" outlineLevel="0" collapsed="false">
      <c r="F637" s="86"/>
      <c r="G637" s="86"/>
      <c r="H637" s="86"/>
      <c r="I637" s="86"/>
      <c r="J637" s="86"/>
      <c r="K637" s="86"/>
      <c r="L637" s="86"/>
      <c r="N637" s="86"/>
      <c r="CQ637" s="86"/>
      <c r="CR637" s="86"/>
      <c r="CS637" s="86"/>
      <c r="CT637" s="86"/>
      <c r="CU637" s="86"/>
      <c r="CV637" s="86"/>
      <c r="CW637" s="86"/>
    </row>
    <row r="638" customFormat="false" ht="12.75" hidden="false" customHeight="false" outlineLevel="0" collapsed="false">
      <c r="F638" s="86"/>
      <c r="G638" s="86"/>
      <c r="H638" s="86"/>
      <c r="I638" s="86"/>
      <c r="J638" s="86"/>
      <c r="K638" s="86"/>
      <c r="L638" s="86"/>
      <c r="N638" s="86"/>
      <c r="CQ638" s="86"/>
      <c r="CR638" s="86"/>
      <c r="CS638" s="86"/>
      <c r="CT638" s="86"/>
      <c r="CU638" s="86"/>
      <c r="CV638" s="86"/>
      <c r="CW638" s="86"/>
    </row>
    <row r="639" customFormat="false" ht="12.75" hidden="false" customHeight="false" outlineLevel="0" collapsed="false">
      <c r="F639" s="86"/>
      <c r="G639" s="86"/>
      <c r="H639" s="86"/>
      <c r="I639" s="86"/>
      <c r="J639" s="86"/>
      <c r="K639" s="86"/>
      <c r="L639" s="86"/>
      <c r="N639" s="86"/>
      <c r="CQ639" s="86"/>
      <c r="CR639" s="86"/>
      <c r="CS639" s="86"/>
      <c r="CT639" s="86"/>
      <c r="CU639" s="86"/>
      <c r="CV639" s="86"/>
      <c r="CW639" s="86"/>
    </row>
    <row r="640" customFormat="false" ht="12.75" hidden="false" customHeight="false" outlineLevel="0" collapsed="false">
      <c r="F640" s="86"/>
      <c r="G640" s="86"/>
      <c r="H640" s="86"/>
      <c r="I640" s="86"/>
      <c r="J640" s="86"/>
      <c r="K640" s="86"/>
      <c r="L640" s="86"/>
      <c r="N640" s="86"/>
      <c r="CQ640" s="86"/>
      <c r="CR640" s="86"/>
      <c r="CS640" s="86"/>
      <c r="CT640" s="86"/>
      <c r="CU640" s="86"/>
      <c r="CV640" s="86"/>
      <c r="CW640" s="86"/>
    </row>
    <row r="641" customFormat="false" ht="12.75" hidden="false" customHeight="false" outlineLevel="0" collapsed="false">
      <c r="F641" s="86"/>
      <c r="G641" s="86"/>
      <c r="H641" s="86"/>
      <c r="I641" s="86"/>
      <c r="J641" s="86"/>
      <c r="K641" s="86"/>
      <c r="L641" s="86"/>
      <c r="N641" s="86"/>
      <c r="CQ641" s="86"/>
      <c r="CR641" s="86"/>
      <c r="CS641" s="86"/>
      <c r="CT641" s="86"/>
      <c r="CU641" s="86"/>
      <c r="CV641" s="86"/>
      <c r="CW641" s="86"/>
    </row>
    <row r="642" customFormat="false" ht="12.75" hidden="false" customHeight="false" outlineLevel="0" collapsed="false">
      <c r="F642" s="86"/>
      <c r="G642" s="86"/>
      <c r="H642" s="86"/>
      <c r="I642" s="86"/>
      <c r="J642" s="86"/>
      <c r="K642" s="86"/>
      <c r="L642" s="86"/>
      <c r="N642" s="86"/>
      <c r="CQ642" s="86"/>
      <c r="CR642" s="86"/>
      <c r="CS642" s="86"/>
      <c r="CT642" s="86"/>
      <c r="CU642" s="86"/>
      <c r="CV642" s="86"/>
      <c r="CW642" s="86"/>
    </row>
    <row r="643" customFormat="false" ht="12.75" hidden="false" customHeight="false" outlineLevel="0" collapsed="false">
      <c r="F643" s="86"/>
      <c r="G643" s="86"/>
      <c r="H643" s="86"/>
      <c r="I643" s="86"/>
      <c r="J643" s="86"/>
      <c r="K643" s="86"/>
      <c r="L643" s="86"/>
      <c r="N643" s="86"/>
      <c r="CQ643" s="86"/>
      <c r="CR643" s="86"/>
      <c r="CS643" s="86"/>
      <c r="CT643" s="86"/>
      <c r="CU643" s="86"/>
      <c r="CV643" s="86"/>
      <c r="CW643" s="86"/>
    </row>
    <row r="644" customFormat="false" ht="12.75" hidden="false" customHeight="false" outlineLevel="0" collapsed="false">
      <c r="F644" s="86"/>
      <c r="G644" s="86"/>
      <c r="H644" s="86"/>
      <c r="I644" s="86"/>
      <c r="J644" s="86"/>
      <c r="K644" s="86"/>
      <c r="L644" s="86"/>
      <c r="N644" s="86"/>
      <c r="CQ644" s="86"/>
      <c r="CR644" s="86"/>
      <c r="CS644" s="86"/>
      <c r="CT644" s="86"/>
      <c r="CU644" s="86"/>
      <c r="CV644" s="86"/>
      <c r="CW644" s="86"/>
    </row>
    <row r="645" customFormat="false" ht="12.75" hidden="false" customHeight="false" outlineLevel="0" collapsed="false">
      <c r="F645" s="86"/>
      <c r="G645" s="86"/>
      <c r="H645" s="86"/>
      <c r="I645" s="86"/>
      <c r="J645" s="86"/>
      <c r="K645" s="86"/>
      <c r="L645" s="86"/>
      <c r="N645" s="86"/>
      <c r="CQ645" s="86"/>
      <c r="CR645" s="86"/>
      <c r="CS645" s="86"/>
      <c r="CT645" s="86"/>
      <c r="CU645" s="86"/>
      <c r="CV645" s="86"/>
      <c r="CW645" s="86"/>
    </row>
    <row r="646" customFormat="false" ht="12.75" hidden="false" customHeight="false" outlineLevel="0" collapsed="false">
      <c r="F646" s="86"/>
      <c r="G646" s="86"/>
      <c r="H646" s="86"/>
      <c r="I646" s="86"/>
      <c r="J646" s="86"/>
      <c r="K646" s="86"/>
      <c r="L646" s="86"/>
      <c r="N646" s="86"/>
      <c r="CQ646" s="86"/>
      <c r="CR646" s="86"/>
      <c r="CS646" s="86"/>
      <c r="CT646" s="86"/>
      <c r="CU646" s="86"/>
      <c r="CV646" s="86"/>
      <c r="CW646" s="86"/>
    </row>
    <row r="647" customFormat="false" ht="12.75" hidden="false" customHeight="false" outlineLevel="0" collapsed="false">
      <c r="F647" s="86"/>
      <c r="G647" s="86"/>
      <c r="H647" s="86"/>
      <c r="I647" s="86"/>
      <c r="J647" s="86"/>
      <c r="K647" s="86"/>
      <c r="L647" s="86"/>
      <c r="N647" s="86"/>
      <c r="CQ647" s="86"/>
      <c r="CR647" s="86"/>
      <c r="CS647" s="86"/>
      <c r="CT647" s="86"/>
      <c r="CU647" s="86"/>
      <c r="CV647" s="86"/>
      <c r="CW647" s="86"/>
    </row>
    <row r="648" customFormat="false" ht="12.75" hidden="false" customHeight="false" outlineLevel="0" collapsed="false">
      <c r="F648" s="86"/>
      <c r="G648" s="86"/>
      <c r="H648" s="86"/>
      <c r="I648" s="86"/>
      <c r="J648" s="86"/>
      <c r="K648" s="86"/>
      <c r="L648" s="86"/>
      <c r="N648" s="86"/>
      <c r="CQ648" s="86"/>
      <c r="CR648" s="86"/>
      <c r="CS648" s="86"/>
      <c r="CT648" s="86"/>
      <c r="CU648" s="86"/>
      <c r="CV648" s="86"/>
      <c r="CW648" s="86"/>
    </row>
    <row r="649" customFormat="false" ht="12.75" hidden="false" customHeight="false" outlineLevel="0" collapsed="false">
      <c r="F649" s="86"/>
      <c r="G649" s="86"/>
      <c r="H649" s="86"/>
      <c r="I649" s="86"/>
      <c r="J649" s="86"/>
      <c r="K649" s="86"/>
      <c r="L649" s="86"/>
      <c r="N649" s="86"/>
      <c r="CQ649" s="86"/>
      <c r="CR649" s="86"/>
      <c r="CS649" s="86"/>
      <c r="CT649" s="86"/>
      <c r="CU649" s="86"/>
      <c r="CV649" s="86"/>
      <c r="CW649" s="86"/>
    </row>
    <row r="650" customFormat="false" ht="12.75" hidden="false" customHeight="false" outlineLevel="0" collapsed="false">
      <c r="F650" s="86"/>
      <c r="G650" s="86"/>
      <c r="H650" s="86"/>
      <c r="I650" s="86"/>
      <c r="J650" s="86"/>
      <c r="K650" s="86"/>
      <c r="L650" s="86"/>
      <c r="N650" s="86"/>
      <c r="CQ650" s="86"/>
      <c r="CR650" s="86"/>
      <c r="CS650" s="86"/>
      <c r="CT650" s="86"/>
      <c r="CU650" s="86"/>
      <c r="CV650" s="86"/>
      <c r="CW650" s="86"/>
    </row>
    <row r="651" customFormat="false" ht="12.75" hidden="false" customHeight="false" outlineLevel="0" collapsed="false">
      <c r="F651" s="86"/>
      <c r="G651" s="86"/>
      <c r="H651" s="86"/>
      <c r="I651" s="86"/>
      <c r="J651" s="86"/>
      <c r="K651" s="86"/>
      <c r="L651" s="86"/>
      <c r="N651" s="86"/>
      <c r="CQ651" s="86"/>
      <c r="CR651" s="86"/>
      <c r="CS651" s="86"/>
      <c r="CT651" s="86"/>
      <c r="CU651" s="86"/>
      <c r="CV651" s="86"/>
      <c r="CW651" s="86"/>
    </row>
    <row r="652" customFormat="false" ht="12.75" hidden="false" customHeight="false" outlineLevel="0" collapsed="false">
      <c r="F652" s="86"/>
      <c r="G652" s="86"/>
      <c r="H652" s="86"/>
      <c r="I652" s="86"/>
      <c r="J652" s="86"/>
      <c r="K652" s="86"/>
      <c r="L652" s="86"/>
      <c r="N652" s="86"/>
      <c r="CQ652" s="86"/>
      <c r="CR652" s="86"/>
      <c r="CS652" s="86"/>
      <c r="CT652" s="86"/>
      <c r="CU652" s="86"/>
      <c r="CV652" s="86"/>
      <c r="CW652" s="86"/>
    </row>
    <row r="653" customFormat="false" ht="12.75" hidden="false" customHeight="false" outlineLevel="0" collapsed="false">
      <c r="F653" s="86"/>
      <c r="G653" s="86"/>
      <c r="H653" s="86"/>
      <c r="I653" s="86"/>
      <c r="J653" s="86"/>
      <c r="K653" s="86"/>
      <c r="L653" s="86"/>
      <c r="N653" s="86"/>
      <c r="CQ653" s="86"/>
      <c r="CR653" s="86"/>
      <c r="CS653" s="86"/>
      <c r="CT653" s="86"/>
      <c r="CU653" s="86"/>
      <c r="CV653" s="86"/>
      <c r="CW653" s="86"/>
    </row>
    <row r="654" customFormat="false" ht="12.75" hidden="false" customHeight="false" outlineLevel="0" collapsed="false">
      <c r="F654" s="86"/>
      <c r="G654" s="86"/>
      <c r="H654" s="86"/>
      <c r="I654" s="86"/>
      <c r="J654" s="86"/>
      <c r="K654" s="86"/>
      <c r="L654" s="86"/>
      <c r="N654" s="86"/>
      <c r="CQ654" s="86"/>
      <c r="CR654" s="86"/>
      <c r="CS654" s="86"/>
      <c r="CT654" s="86"/>
      <c r="CU654" s="86"/>
      <c r="CV654" s="86"/>
      <c r="CW654" s="86"/>
    </row>
    <row r="655" customFormat="false" ht="12.75" hidden="false" customHeight="false" outlineLevel="0" collapsed="false">
      <c r="F655" s="86"/>
      <c r="G655" s="86"/>
      <c r="H655" s="86"/>
      <c r="I655" s="86"/>
      <c r="J655" s="86"/>
      <c r="K655" s="86"/>
      <c r="L655" s="86"/>
      <c r="N655" s="86"/>
      <c r="CQ655" s="86"/>
      <c r="CR655" s="86"/>
      <c r="CS655" s="86"/>
      <c r="CT655" s="86"/>
      <c r="CU655" s="86"/>
      <c r="CV655" s="86"/>
      <c r="CW655" s="86"/>
    </row>
    <row r="656" customFormat="false" ht="12.75" hidden="false" customHeight="false" outlineLevel="0" collapsed="false">
      <c r="F656" s="86"/>
      <c r="G656" s="86"/>
      <c r="H656" s="86"/>
      <c r="I656" s="86"/>
      <c r="J656" s="86"/>
      <c r="K656" s="86"/>
      <c r="L656" s="86"/>
      <c r="N656" s="86"/>
      <c r="CQ656" s="86"/>
      <c r="CR656" s="86"/>
      <c r="CS656" s="86"/>
      <c r="CT656" s="86"/>
      <c r="CU656" s="86"/>
      <c r="CV656" s="86"/>
      <c r="CW656" s="86"/>
    </row>
    <row r="657" customFormat="false" ht="12.75" hidden="false" customHeight="false" outlineLevel="0" collapsed="false">
      <c r="F657" s="86"/>
      <c r="G657" s="86"/>
      <c r="H657" s="86"/>
      <c r="I657" s="86"/>
      <c r="J657" s="86"/>
      <c r="K657" s="86"/>
      <c r="L657" s="86"/>
      <c r="N657" s="86"/>
      <c r="CQ657" s="86"/>
      <c r="CR657" s="86"/>
      <c r="CS657" s="86"/>
      <c r="CT657" s="86"/>
      <c r="CU657" s="86"/>
      <c r="CV657" s="86"/>
      <c r="CW657" s="86"/>
    </row>
    <row r="658" customFormat="false" ht="12.75" hidden="false" customHeight="false" outlineLevel="0" collapsed="false">
      <c r="F658" s="86"/>
      <c r="G658" s="86"/>
      <c r="H658" s="86"/>
      <c r="I658" s="86"/>
      <c r="J658" s="86"/>
      <c r="K658" s="86"/>
      <c r="L658" s="86"/>
      <c r="N658" s="86"/>
      <c r="CQ658" s="86"/>
      <c r="CR658" s="86"/>
      <c r="CS658" s="86"/>
      <c r="CT658" s="86"/>
      <c r="CU658" s="86"/>
      <c r="CV658" s="86"/>
      <c r="CW658" s="86"/>
    </row>
    <row r="659" customFormat="false" ht="12.75" hidden="false" customHeight="false" outlineLevel="0" collapsed="false">
      <c r="F659" s="86"/>
      <c r="G659" s="86"/>
      <c r="H659" s="86"/>
      <c r="I659" s="86"/>
      <c r="J659" s="86"/>
      <c r="K659" s="86"/>
      <c r="L659" s="86"/>
      <c r="N659" s="86"/>
      <c r="CQ659" s="86"/>
      <c r="CR659" s="86"/>
      <c r="CS659" s="86"/>
      <c r="CT659" s="86"/>
      <c r="CU659" s="86"/>
      <c r="CV659" s="86"/>
      <c r="CW659" s="86"/>
    </row>
    <row r="660" customFormat="false" ht="12.75" hidden="false" customHeight="false" outlineLevel="0" collapsed="false">
      <c r="F660" s="86"/>
      <c r="G660" s="86"/>
      <c r="H660" s="86"/>
      <c r="I660" s="86"/>
      <c r="J660" s="86"/>
      <c r="K660" s="86"/>
      <c r="L660" s="86"/>
      <c r="N660" s="86"/>
      <c r="CQ660" s="86"/>
      <c r="CR660" s="86"/>
      <c r="CS660" s="86"/>
      <c r="CT660" s="86"/>
      <c r="CU660" s="86"/>
      <c r="CV660" s="86"/>
      <c r="CW660" s="86"/>
    </row>
    <row r="661" customFormat="false" ht="12.75" hidden="false" customHeight="false" outlineLevel="0" collapsed="false">
      <c r="F661" s="86"/>
      <c r="G661" s="86"/>
      <c r="H661" s="86"/>
      <c r="I661" s="86"/>
      <c r="J661" s="86"/>
      <c r="K661" s="86"/>
      <c r="L661" s="86"/>
      <c r="N661" s="86"/>
      <c r="CQ661" s="86"/>
      <c r="CR661" s="86"/>
      <c r="CS661" s="86"/>
      <c r="CT661" s="86"/>
      <c r="CU661" s="86"/>
      <c r="CV661" s="86"/>
      <c r="CW661" s="86"/>
    </row>
    <row r="662" customFormat="false" ht="12.75" hidden="false" customHeight="false" outlineLevel="0" collapsed="false">
      <c r="F662" s="86"/>
      <c r="G662" s="86"/>
      <c r="H662" s="86"/>
      <c r="I662" s="86"/>
      <c r="J662" s="86"/>
      <c r="K662" s="86"/>
      <c r="L662" s="86"/>
      <c r="N662" s="86"/>
      <c r="CQ662" s="86"/>
      <c r="CR662" s="86"/>
      <c r="CS662" s="86"/>
      <c r="CT662" s="86"/>
      <c r="CU662" s="86"/>
      <c r="CV662" s="86"/>
      <c r="CW662" s="86"/>
    </row>
    <row r="663" customFormat="false" ht="12.75" hidden="false" customHeight="false" outlineLevel="0" collapsed="false">
      <c r="F663" s="86"/>
      <c r="G663" s="86"/>
      <c r="H663" s="86"/>
      <c r="I663" s="86"/>
      <c r="J663" s="86"/>
      <c r="K663" s="86"/>
      <c r="L663" s="86"/>
      <c r="N663" s="86"/>
      <c r="CQ663" s="86"/>
      <c r="CR663" s="86"/>
      <c r="CS663" s="86"/>
      <c r="CT663" s="86"/>
      <c r="CU663" s="86"/>
      <c r="CV663" s="86"/>
      <c r="CW663" s="86"/>
    </row>
    <row r="664" customFormat="false" ht="12.75" hidden="false" customHeight="false" outlineLevel="0" collapsed="false">
      <c r="F664" s="86"/>
      <c r="G664" s="86"/>
      <c r="H664" s="86"/>
      <c r="I664" s="86"/>
      <c r="J664" s="86"/>
      <c r="K664" s="86"/>
      <c r="L664" s="86"/>
      <c r="N664" s="86"/>
      <c r="CQ664" s="86"/>
      <c r="CR664" s="86"/>
      <c r="CS664" s="86"/>
      <c r="CT664" s="86"/>
      <c r="CU664" s="86"/>
      <c r="CV664" s="86"/>
      <c r="CW664" s="86"/>
    </row>
    <row r="665" customFormat="false" ht="12.75" hidden="false" customHeight="false" outlineLevel="0" collapsed="false">
      <c r="F665" s="86"/>
      <c r="G665" s="86"/>
      <c r="H665" s="86"/>
      <c r="I665" s="86"/>
      <c r="J665" s="86"/>
      <c r="K665" s="86"/>
      <c r="L665" s="86"/>
      <c r="N665" s="86"/>
      <c r="CQ665" s="86"/>
      <c r="CR665" s="86"/>
      <c r="CS665" s="86"/>
      <c r="CT665" s="86"/>
      <c r="CU665" s="86"/>
      <c r="CV665" s="86"/>
      <c r="CW665" s="86"/>
    </row>
    <row r="666" customFormat="false" ht="12.75" hidden="false" customHeight="false" outlineLevel="0" collapsed="false">
      <c r="F666" s="86"/>
      <c r="G666" s="86"/>
      <c r="H666" s="86"/>
      <c r="I666" s="86"/>
      <c r="J666" s="86"/>
      <c r="K666" s="86"/>
      <c r="L666" s="86"/>
      <c r="N666" s="86"/>
      <c r="CQ666" s="86"/>
      <c r="CR666" s="86"/>
      <c r="CS666" s="86"/>
      <c r="CT666" s="86"/>
      <c r="CU666" s="86"/>
      <c r="CV666" s="86"/>
      <c r="CW666" s="86"/>
    </row>
    <row r="667" customFormat="false" ht="12.75" hidden="false" customHeight="false" outlineLevel="0" collapsed="false">
      <c r="F667" s="86"/>
      <c r="G667" s="86"/>
      <c r="H667" s="86"/>
      <c r="I667" s="86"/>
      <c r="J667" s="86"/>
      <c r="K667" s="86"/>
      <c r="L667" s="86"/>
      <c r="N667" s="86"/>
      <c r="CQ667" s="86"/>
      <c r="CR667" s="86"/>
      <c r="CS667" s="86"/>
      <c r="CT667" s="86"/>
      <c r="CU667" s="86"/>
      <c r="CV667" s="86"/>
      <c r="CW667" s="86"/>
    </row>
    <row r="668" customFormat="false" ht="12.75" hidden="false" customHeight="false" outlineLevel="0" collapsed="false">
      <c r="F668" s="86"/>
      <c r="G668" s="86"/>
      <c r="H668" s="86"/>
      <c r="I668" s="86"/>
      <c r="J668" s="86"/>
      <c r="K668" s="86"/>
      <c r="L668" s="86"/>
      <c r="N668" s="86"/>
      <c r="CQ668" s="86"/>
      <c r="CR668" s="86"/>
      <c r="CS668" s="86"/>
      <c r="CT668" s="86"/>
      <c r="CU668" s="86"/>
      <c r="CV668" s="86"/>
      <c r="CW668" s="86"/>
    </row>
    <row r="669" customFormat="false" ht="12.75" hidden="false" customHeight="false" outlineLevel="0" collapsed="false">
      <c r="F669" s="86"/>
      <c r="G669" s="86"/>
      <c r="H669" s="86"/>
      <c r="I669" s="86"/>
      <c r="J669" s="86"/>
      <c r="K669" s="86"/>
      <c r="L669" s="86"/>
      <c r="N669" s="86"/>
      <c r="CQ669" s="86"/>
      <c r="CR669" s="86"/>
      <c r="CS669" s="86"/>
      <c r="CT669" s="86"/>
      <c r="CU669" s="86"/>
      <c r="CV669" s="86"/>
      <c r="CW669" s="86"/>
    </row>
    <row r="670" customFormat="false" ht="12.75" hidden="false" customHeight="false" outlineLevel="0" collapsed="false">
      <c r="F670" s="86"/>
      <c r="G670" s="86"/>
      <c r="H670" s="86"/>
      <c r="I670" s="86"/>
      <c r="J670" s="86"/>
      <c r="K670" s="86"/>
      <c r="L670" s="86"/>
      <c r="N670" s="86"/>
      <c r="CQ670" s="86"/>
      <c r="CR670" s="86"/>
      <c r="CS670" s="86"/>
      <c r="CT670" s="86"/>
      <c r="CU670" s="86"/>
      <c r="CV670" s="86"/>
      <c r="CW670" s="86"/>
    </row>
    <row r="671" customFormat="false" ht="12.75" hidden="false" customHeight="false" outlineLevel="0" collapsed="false">
      <c r="F671" s="86"/>
      <c r="G671" s="86"/>
      <c r="H671" s="86"/>
      <c r="I671" s="86"/>
      <c r="J671" s="86"/>
      <c r="K671" s="86"/>
      <c r="L671" s="86"/>
      <c r="N671" s="86"/>
      <c r="CQ671" s="86"/>
      <c r="CR671" s="86"/>
      <c r="CS671" s="86"/>
      <c r="CT671" s="86"/>
      <c r="CU671" s="86"/>
      <c r="CV671" s="86"/>
      <c r="CW671" s="86"/>
    </row>
    <row r="672" customFormat="false" ht="12.75" hidden="false" customHeight="false" outlineLevel="0" collapsed="false">
      <c r="F672" s="86"/>
      <c r="G672" s="86"/>
      <c r="H672" s="86"/>
      <c r="I672" s="86"/>
      <c r="J672" s="86"/>
      <c r="K672" s="86"/>
      <c r="L672" s="86"/>
      <c r="N672" s="86"/>
      <c r="CQ672" s="86"/>
      <c r="CR672" s="86"/>
      <c r="CS672" s="86"/>
      <c r="CT672" s="86"/>
      <c r="CU672" s="86"/>
      <c r="CV672" s="86"/>
      <c r="CW672" s="86"/>
    </row>
    <row r="673" customFormat="false" ht="12.75" hidden="false" customHeight="false" outlineLevel="0" collapsed="false">
      <c r="F673" s="86"/>
      <c r="G673" s="86"/>
      <c r="H673" s="86"/>
      <c r="I673" s="86"/>
      <c r="J673" s="86"/>
      <c r="K673" s="86"/>
      <c r="L673" s="86"/>
      <c r="N673" s="86"/>
      <c r="CQ673" s="86"/>
      <c r="CR673" s="86"/>
      <c r="CS673" s="86"/>
      <c r="CT673" s="86"/>
      <c r="CU673" s="86"/>
      <c r="CV673" s="86"/>
      <c r="CW673" s="86"/>
    </row>
    <row r="674" customFormat="false" ht="12.75" hidden="false" customHeight="false" outlineLevel="0" collapsed="false">
      <c r="F674" s="86"/>
      <c r="G674" s="86"/>
      <c r="H674" s="86"/>
      <c r="I674" s="86"/>
      <c r="J674" s="86"/>
      <c r="K674" s="86"/>
      <c r="L674" s="86"/>
      <c r="N674" s="86"/>
      <c r="CQ674" s="86"/>
      <c r="CR674" s="86"/>
      <c r="CS674" s="86"/>
      <c r="CT674" s="86"/>
      <c r="CU674" s="86"/>
      <c r="CV674" s="86"/>
      <c r="CW674" s="86"/>
    </row>
    <row r="675" customFormat="false" ht="12.75" hidden="false" customHeight="false" outlineLevel="0" collapsed="false">
      <c r="F675" s="86"/>
      <c r="G675" s="86"/>
      <c r="H675" s="86"/>
      <c r="I675" s="86"/>
      <c r="J675" s="86"/>
      <c r="K675" s="86"/>
      <c r="L675" s="86"/>
      <c r="N675" s="86"/>
      <c r="CQ675" s="86"/>
      <c r="CR675" s="86"/>
      <c r="CS675" s="86"/>
      <c r="CT675" s="86"/>
      <c r="CU675" s="86"/>
      <c r="CV675" s="86"/>
      <c r="CW675" s="86"/>
    </row>
    <row r="676" customFormat="false" ht="12.75" hidden="false" customHeight="false" outlineLevel="0" collapsed="false">
      <c r="F676" s="86"/>
      <c r="G676" s="86"/>
      <c r="H676" s="86"/>
      <c r="I676" s="86"/>
      <c r="J676" s="86"/>
      <c r="K676" s="86"/>
      <c r="L676" s="86"/>
      <c r="N676" s="86"/>
      <c r="CQ676" s="86"/>
      <c r="CR676" s="86"/>
      <c r="CS676" s="86"/>
      <c r="CT676" s="86"/>
      <c r="CU676" s="86"/>
      <c r="CV676" s="86"/>
      <c r="CW676" s="86"/>
    </row>
    <row r="677" customFormat="false" ht="12.75" hidden="false" customHeight="false" outlineLevel="0" collapsed="false">
      <c r="F677" s="86"/>
      <c r="G677" s="86"/>
      <c r="H677" s="86"/>
      <c r="I677" s="86"/>
      <c r="J677" s="86"/>
      <c r="K677" s="86"/>
      <c r="L677" s="86"/>
      <c r="N677" s="86"/>
      <c r="CQ677" s="86"/>
      <c r="CR677" s="86"/>
      <c r="CS677" s="86"/>
      <c r="CT677" s="86"/>
      <c r="CU677" s="86"/>
      <c r="CV677" s="86"/>
      <c r="CW677" s="86"/>
    </row>
    <row r="678" customFormat="false" ht="12.75" hidden="false" customHeight="false" outlineLevel="0" collapsed="false">
      <c r="F678" s="86"/>
      <c r="G678" s="86"/>
      <c r="H678" s="86"/>
      <c r="I678" s="86"/>
      <c r="J678" s="86"/>
      <c r="K678" s="86"/>
      <c r="L678" s="86"/>
      <c r="N678" s="86"/>
      <c r="CQ678" s="86"/>
      <c r="CR678" s="86"/>
      <c r="CS678" s="86"/>
      <c r="CT678" s="86"/>
      <c r="CU678" s="86"/>
      <c r="CV678" s="86"/>
      <c r="CW678" s="86"/>
    </row>
    <row r="679" customFormat="false" ht="12.75" hidden="false" customHeight="false" outlineLevel="0" collapsed="false">
      <c r="F679" s="86"/>
      <c r="G679" s="86"/>
      <c r="H679" s="86"/>
      <c r="I679" s="86"/>
      <c r="J679" s="86"/>
      <c r="K679" s="86"/>
      <c r="L679" s="86"/>
      <c r="N679" s="86"/>
      <c r="CQ679" s="86"/>
      <c r="CR679" s="86"/>
      <c r="CS679" s="86"/>
      <c r="CT679" s="86"/>
      <c r="CU679" s="86"/>
      <c r="CV679" s="86"/>
      <c r="CW679" s="86"/>
    </row>
    <row r="680" customFormat="false" ht="12.75" hidden="false" customHeight="false" outlineLevel="0" collapsed="false">
      <c r="F680" s="86"/>
      <c r="G680" s="86"/>
      <c r="H680" s="86"/>
      <c r="I680" s="86"/>
      <c r="J680" s="86"/>
      <c r="K680" s="86"/>
      <c r="L680" s="86"/>
      <c r="N680" s="86"/>
      <c r="CQ680" s="86"/>
      <c r="CR680" s="86"/>
      <c r="CS680" s="86"/>
      <c r="CT680" s="86"/>
      <c r="CU680" s="86"/>
      <c r="CV680" s="86"/>
      <c r="CW680" s="86"/>
    </row>
    <row r="681" customFormat="false" ht="12.75" hidden="false" customHeight="false" outlineLevel="0" collapsed="false">
      <c r="F681" s="86"/>
      <c r="G681" s="86"/>
      <c r="H681" s="86"/>
      <c r="I681" s="86"/>
      <c r="J681" s="86"/>
      <c r="K681" s="86"/>
      <c r="L681" s="86"/>
      <c r="N681" s="86"/>
      <c r="CQ681" s="86"/>
      <c r="CR681" s="86"/>
      <c r="CS681" s="86"/>
      <c r="CT681" s="86"/>
      <c r="CU681" s="86"/>
      <c r="CV681" s="86"/>
      <c r="CW681" s="86"/>
    </row>
    <row r="682" customFormat="false" ht="12.75" hidden="false" customHeight="false" outlineLevel="0" collapsed="false">
      <c r="F682" s="86"/>
      <c r="G682" s="86"/>
      <c r="H682" s="86"/>
      <c r="I682" s="86"/>
      <c r="J682" s="86"/>
      <c r="K682" s="86"/>
      <c r="L682" s="86"/>
      <c r="N682" s="86"/>
      <c r="CQ682" s="86"/>
      <c r="CR682" s="86"/>
      <c r="CS682" s="86"/>
      <c r="CT682" s="86"/>
      <c r="CU682" s="86"/>
      <c r="CV682" s="86"/>
      <c r="CW682" s="86"/>
    </row>
    <row r="683" customFormat="false" ht="12.75" hidden="false" customHeight="false" outlineLevel="0" collapsed="false">
      <c r="F683" s="86"/>
      <c r="G683" s="86"/>
      <c r="H683" s="86"/>
      <c r="I683" s="86"/>
      <c r="J683" s="86"/>
      <c r="K683" s="86"/>
      <c r="L683" s="86"/>
      <c r="N683" s="86"/>
      <c r="CQ683" s="86"/>
      <c r="CR683" s="86"/>
      <c r="CS683" s="86"/>
      <c r="CT683" s="86"/>
      <c r="CU683" s="86"/>
      <c r="CV683" s="86"/>
      <c r="CW683" s="86"/>
    </row>
    <row r="684" customFormat="false" ht="12.75" hidden="false" customHeight="false" outlineLevel="0" collapsed="false">
      <c r="F684" s="86"/>
      <c r="G684" s="86"/>
      <c r="H684" s="86"/>
      <c r="I684" s="86"/>
      <c r="J684" s="86"/>
      <c r="K684" s="86"/>
      <c r="L684" s="86"/>
      <c r="N684" s="86"/>
      <c r="CQ684" s="86"/>
      <c r="CR684" s="86"/>
      <c r="CS684" s="86"/>
      <c r="CT684" s="86"/>
      <c r="CU684" s="86"/>
      <c r="CV684" s="86"/>
      <c r="CW684" s="86"/>
    </row>
    <row r="685" customFormat="false" ht="12.75" hidden="false" customHeight="false" outlineLevel="0" collapsed="false">
      <c r="F685" s="86"/>
      <c r="G685" s="86"/>
      <c r="H685" s="86"/>
      <c r="I685" s="86"/>
      <c r="J685" s="86"/>
      <c r="K685" s="86"/>
      <c r="L685" s="86"/>
      <c r="N685" s="86"/>
      <c r="CQ685" s="86"/>
      <c r="CR685" s="86"/>
      <c r="CS685" s="86"/>
      <c r="CT685" s="86"/>
      <c r="CU685" s="86"/>
      <c r="CV685" s="86"/>
      <c r="CW685" s="86"/>
    </row>
    <row r="686" customFormat="false" ht="12.75" hidden="false" customHeight="false" outlineLevel="0" collapsed="false">
      <c r="F686" s="86"/>
      <c r="G686" s="86"/>
      <c r="H686" s="86"/>
      <c r="I686" s="86"/>
      <c r="J686" s="86"/>
      <c r="K686" s="86"/>
      <c r="L686" s="86"/>
      <c r="N686" s="86"/>
      <c r="CQ686" s="86"/>
      <c r="CR686" s="86"/>
      <c r="CS686" s="86"/>
      <c r="CT686" s="86"/>
      <c r="CU686" s="86"/>
      <c r="CV686" s="86"/>
      <c r="CW686" s="86"/>
    </row>
    <row r="687" customFormat="false" ht="12.75" hidden="false" customHeight="false" outlineLevel="0" collapsed="false">
      <c r="F687" s="86"/>
      <c r="G687" s="86"/>
      <c r="H687" s="86"/>
      <c r="I687" s="86"/>
      <c r="J687" s="86"/>
      <c r="K687" s="86"/>
      <c r="L687" s="86"/>
      <c r="N687" s="86"/>
      <c r="CQ687" s="86"/>
      <c r="CR687" s="86"/>
      <c r="CS687" s="86"/>
      <c r="CT687" s="86"/>
      <c r="CU687" s="86"/>
      <c r="CV687" s="86"/>
      <c r="CW687" s="86"/>
    </row>
    <row r="688" customFormat="false" ht="12.75" hidden="false" customHeight="false" outlineLevel="0" collapsed="false">
      <c r="F688" s="86"/>
      <c r="G688" s="86"/>
      <c r="H688" s="86"/>
      <c r="I688" s="86"/>
      <c r="J688" s="86"/>
      <c r="K688" s="86"/>
      <c r="L688" s="86"/>
      <c r="N688" s="86"/>
      <c r="CQ688" s="86"/>
      <c r="CR688" s="86"/>
      <c r="CS688" s="86"/>
      <c r="CT688" s="86"/>
      <c r="CU688" s="86"/>
      <c r="CV688" s="86"/>
      <c r="CW688" s="86"/>
    </row>
    <row r="689" customFormat="false" ht="12.75" hidden="false" customHeight="false" outlineLevel="0" collapsed="false">
      <c r="F689" s="86"/>
      <c r="G689" s="86"/>
      <c r="H689" s="86"/>
      <c r="I689" s="86"/>
      <c r="J689" s="86"/>
      <c r="K689" s="86"/>
      <c r="L689" s="86"/>
      <c r="N689" s="86"/>
      <c r="CQ689" s="86"/>
      <c r="CR689" s="86"/>
      <c r="CS689" s="86"/>
      <c r="CT689" s="86"/>
      <c r="CU689" s="86"/>
      <c r="CV689" s="86"/>
      <c r="CW689" s="86"/>
    </row>
    <row r="690" customFormat="false" ht="12.75" hidden="false" customHeight="false" outlineLevel="0" collapsed="false">
      <c r="F690" s="86"/>
      <c r="G690" s="86"/>
      <c r="H690" s="86"/>
      <c r="I690" s="86"/>
      <c r="J690" s="86"/>
      <c r="K690" s="86"/>
      <c r="L690" s="86"/>
      <c r="N690" s="86"/>
      <c r="CQ690" s="86"/>
      <c r="CR690" s="86"/>
      <c r="CS690" s="86"/>
      <c r="CT690" s="86"/>
      <c r="CU690" s="86"/>
      <c r="CV690" s="86"/>
      <c r="CW690" s="86"/>
    </row>
    <row r="691" customFormat="false" ht="12.75" hidden="false" customHeight="false" outlineLevel="0" collapsed="false">
      <c r="F691" s="86"/>
      <c r="G691" s="86"/>
      <c r="H691" s="86"/>
      <c r="I691" s="86"/>
      <c r="J691" s="86"/>
      <c r="K691" s="86"/>
      <c r="L691" s="86"/>
      <c r="N691" s="86"/>
      <c r="CQ691" s="86"/>
      <c r="CR691" s="86"/>
      <c r="CS691" s="86"/>
      <c r="CT691" s="86"/>
      <c r="CU691" s="86"/>
      <c r="CV691" s="86"/>
      <c r="CW691" s="86"/>
    </row>
    <row r="692" customFormat="false" ht="12.75" hidden="false" customHeight="false" outlineLevel="0" collapsed="false">
      <c r="F692" s="86"/>
      <c r="G692" s="86"/>
      <c r="H692" s="86"/>
      <c r="I692" s="86"/>
      <c r="J692" s="86"/>
      <c r="K692" s="86"/>
      <c r="L692" s="86"/>
      <c r="N692" s="86"/>
      <c r="CQ692" s="86"/>
      <c r="CR692" s="86"/>
      <c r="CS692" s="86"/>
      <c r="CT692" s="86"/>
      <c r="CU692" s="86"/>
      <c r="CV692" s="86"/>
      <c r="CW692" s="86"/>
    </row>
    <row r="693" customFormat="false" ht="12.75" hidden="false" customHeight="false" outlineLevel="0" collapsed="false">
      <c r="F693" s="86"/>
      <c r="G693" s="86"/>
      <c r="H693" s="86"/>
      <c r="I693" s="86"/>
      <c r="J693" s="86"/>
      <c r="K693" s="86"/>
      <c r="L693" s="86"/>
      <c r="N693" s="86"/>
      <c r="CQ693" s="86"/>
      <c r="CR693" s="86"/>
      <c r="CS693" s="86"/>
      <c r="CT693" s="86"/>
      <c r="CU693" s="86"/>
      <c r="CV693" s="86"/>
      <c r="CW693" s="86"/>
    </row>
    <row r="694" customFormat="false" ht="12.75" hidden="false" customHeight="false" outlineLevel="0" collapsed="false">
      <c r="F694" s="86"/>
      <c r="G694" s="86"/>
      <c r="H694" s="86"/>
      <c r="I694" s="86"/>
      <c r="J694" s="86"/>
      <c r="K694" s="86"/>
      <c r="L694" s="86"/>
      <c r="N694" s="86"/>
      <c r="CQ694" s="86"/>
      <c r="CR694" s="86"/>
      <c r="CS694" s="86"/>
      <c r="CT694" s="86"/>
      <c r="CU694" s="86"/>
      <c r="CV694" s="86"/>
      <c r="CW694" s="86"/>
    </row>
    <row r="695" customFormat="false" ht="12.75" hidden="false" customHeight="false" outlineLevel="0" collapsed="false">
      <c r="F695" s="86"/>
      <c r="G695" s="86"/>
      <c r="H695" s="86"/>
      <c r="I695" s="86"/>
      <c r="J695" s="86"/>
      <c r="K695" s="86"/>
      <c r="L695" s="86"/>
      <c r="N695" s="86"/>
      <c r="CQ695" s="86"/>
      <c r="CR695" s="86"/>
      <c r="CS695" s="86"/>
      <c r="CT695" s="86"/>
      <c r="CU695" s="86"/>
      <c r="CV695" s="86"/>
      <c r="CW695" s="86"/>
    </row>
    <row r="696" customFormat="false" ht="12.75" hidden="false" customHeight="false" outlineLevel="0" collapsed="false">
      <c r="F696" s="86"/>
      <c r="G696" s="86"/>
      <c r="H696" s="86"/>
      <c r="I696" s="86"/>
      <c r="J696" s="86"/>
      <c r="K696" s="86"/>
      <c r="L696" s="86"/>
      <c r="N696" s="86"/>
      <c r="CQ696" s="86"/>
      <c r="CR696" s="86"/>
      <c r="CS696" s="86"/>
      <c r="CT696" s="86"/>
      <c r="CU696" s="86"/>
      <c r="CV696" s="86"/>
      <c r="CW696" s="86"/>
    </row>
    <row r="697" customFormat="false" ht="12.75" hidden="false" customHeight="false" outlineLevel="0" collapsed="false">
      <c r="F697" s="86"/>
      <c r="G697" s="86"/>
      <c r="H697" s="86"/>
      <c r="I697" s="86"/>
      <c r="J697" s="86"/>
      <c r="K697" s="86"/>
      <c r="L697" s="86"/>
      <c r="N697" s="86"/>
      <c r="CQ697" s="86"/>
      <c r="CR697" s="86"/>
      <c r="CS697" s="86"/>
      <c r="CT697" s="86"/>
      <c r="CU697" s="86"/>
      <c r="CV697" s="86"/>
      <c r="CW697" s="86"/>
    </row>
    <row r="698" customFormat="false" ht="12.75" hidden="false" customHeight="false" outlineLevel="0" collapsed="false">
      <c r="F698" s="86"/>
      <c r="G698" s="86"/>
      <c r="H698" s="86"/>
      <c r="I698" s="86"/>
      <c r="J698" s="86"/>
      <c r="K698" s="86"/>
      <c r="L698" s="86"/>
      <c r="N698" s="86"/>
      <c r="CQ698" s="86"/>
      <c r="CR698" s="86"/>
      <c r="CS698" s="86"/>
      <c r="CT698" s="86"/>
      <c r="CU698" s="86"/>
      <c r="CV698" s="86"/>
      <c r="CW698" s="86"/>
    </row>
    <row r="699" customFormat="false" ht="12.75" hidden="false" customHeight="false" outlineLevel="0" collapsed="false">
      <c r="F699" s="86"/>
      <c r="G699" s="86"/>
      <c r="H699" s="86"/>
      <c r="I699" s="86"/>
      <c r="J699" s="86"/>
      <c r="K699" s="86"/>
      <c r="L699" s="86"/>
      <c r="N699" s="86"/>
      <c r="CQ699" s="86"/>
      <c r="CR699" s="86"/>
      <c r="CS699" s="86"/>
      <c r="CT699" s="86"/>
      <c r="CU699" s="86"/>
      <c r="CV699" s="86"/>
      <c r="CW699" s="86"/>
    </row>
    <row r="700" customFormat="false" ht="12.75" hidden="false" customHeight="false" outlineLevel="0" collapsed="false">
      <c r="F700" s="86"/>
      <c r="G700" s="86"/>
      <c r="H700" s="86"/>
      <c r="I700" s="86"/>
      <c r="J700" s="86"/>
      <c r="K700" s="86"/>
      <c r="L700" s="86"/>
      <c r="N700" s="86"/>
      <c r="CQ700" s="86"/>
      <c r="CR700" s="86"/>
      <c r="CS700" s="86"/>
      <c r="CT700" s="86"/>
      <c r="CU700" s="86"/>
      <c r="CV700" s="86"/>
      <c r="CW700" s="86"/>
    </row>
    <row r="701" customFormat="false" ht="12.75" hidden="false" customHeight="false" outlineLevel="0" collapsed="false">
      <c r="F701" s="86"/>
      <c r="G701" s="86"/>
      <c r="H701" s="86"/>
      <c r="I701" s="86"/>
      <c r="J701" s="86"/>
      <c r="K701" s="86"/>
      <c r="L701" s="86"/>
      <c r="N701" s="86"/>
      <c r="CQ701" s="86"/>
      <c r="CR701" s="86"/>
      <c r="CS701" s="86"/>
      <c r="CT701" s="86"/>
      <c r="CU701" s="86"/>
      <c r="CV701" s="86"/>
      <c r="CW701" s="86"/>
    </row>
    <row r="702" customFormat="false" ht="12.75" hidden="false" customHeight="false" outlineLevel="0" collapsed="false">
      <c r="F702" s="86"/>
      <c r="G702" s="86"/>
      <c r="H702" s="86"/>
      <c r="I702" s="86"/>
      <c r="J702" s="86"/>
      <c r="K702" s="86"/>
      <c r="L702" s="86"/>
      <c r="N702" s="86"/>
      <c r="CQ702" s="86"/>
      <c r="CR702" s="86"/>
      <c r="CS702" s="86"/>
      <c r="CT702" s="86"/>
      <c r="CU702" s="86"/>
      <c r="CV702" s="86"/>
      <c r="CW702" s="86"/>
    </row>
    <row r="703" customFormat="false" ht="12.75" hidden="false" customHeight="false" outlineLevel="0" collapsed="false">
      <c r="F703" s="86"/>
      <c r="G703" s="86"/>
      <c r="H703" s="86"/>
      <c r="I703" s="86"/>
      <c r="J703" s="86"/>
      <c r="K703" s="86"/>
      <c r="L703" s="86"/>
      <c r="N703" s="86"/>
      <c r="CQ703" s="86"/>
      <c r="CR703" s="86"/>
      <c r="CS703" s="86"/>
      <c r="CT703" s="86"/>
      <c r="CU703" s="86"/>
      <c r="CV703" s="86"/>
      <c r="CW703" s="86"/>
    </row>
    <row r="704" customFormat="false" ht="12.75" hidden="false" customHeight="false" outlineLevel="0" collapsed="false">
      <c r="F704" s="86"/>
      <c r="G704" s="86"/>
      <c r="H704" s="86"/>
      <c r="I704" s="86"/>
      <c r="J704" s="86"/>
      <c r="K704" s="86"/>
      <c r="L704" s="86"/>
      <c r="N704" s="86"/>
      <c r="CQ704" s="86"/>
      <c r="CR704" s="86"/>
      <c r="CS704" s="86"/>
      <c r="CT704" s="86"/>
      <c r="CU704" s="86"/>
      <c r="CV704" s="86"/>
      <c r="CW704" s="86"/>
    </row>
    <row r="705" customFormat="false" ht="12.75" hidden="false" customHeight="false" outlineLevel="0" collapsed="false">
      <c r="F705" s="86"/>
      <c r="G705" s="86"/>
      <c r="H705" s="86"/>
      <c r="I705" s="86"/>
      <c r="J705" s="86"/>
      <c r="K705" s="86"/>
      <c r="L705" s="86"/>
      <c r="N705" s="86"/>
      <c r="CQ705" s="86"/>
      <c r="CR705" s="86"/>
      <c r="CS705" s="86"/>
      <c r="CT705" s="86"/>
      <c r="CU705" s="86"/>
      <c r="CV705" s="86"/>
      <c r="CW705" s="86"/>
    </row>
    <row r="706" customFormat="false" ht="12.75" hidden="false" customHeight="false" outlineLevel="0" collapsed="false">
      <c r="F706" s="86"/>
      <c r="G706" s="86"/>
      <c r="H706" s="86"/>
      <c r="I706" s="86"/>
      <c r="J706" s="86"/>
      <c r="K706" s="86"/>
      <c r="L706" s="86"/>
      <c r="N706" s="86"/>
      <c r="CQ706" s="86"/>
      <c r="CR706" s="86"/>
      <c r="CS706" s="86"/>
      <c r="CT706" s="86"/>
      <c r="CU706" s="86"/>
      <c r="CV706" s="86"/>
      <c r="CW706" s="86"/>
    </row>
    <row r="707" customFormat="false" ht="12.75" hidden="false" customHeight="false" outlineLevel="0" collapsed="false">
      <c r="F707" s="86"/>
      <c r="G707" s="86"/>
      <c r="H707" s="86"/>
      <c r="I707" s="86"/>
      <c r="J707" s="86"/>
      <c r="K707" s="86"/>
      <c r="L707" s="86"/>
      <c r="N707" s="86"/>
      <c r="CQ707" s="86"/>
      <c r="CR707" s="86"/>
      <c r="CS707" s="86"/>
      <c r="CT707" s="86"/>
      <c r="CU707" s="86"/>
      <c r="CV707" s="86"/>
      <c r="CW707" s="86"/>
    </row>
    <row r="708" customFormat="false" ht="12.75" hidden="false" customHeight="false" outlineLevel="0" collapsed="false">
      <c r="F708" s="86"/>
      <c r="G708" s="86"/>
      <c r="H708" s="86"/>
      <c r="I708" s="86"/>
      <c r="J708" s="86"/>
      <c r="K708" s="86"/>
      <c r="L708" s="86"/>
      <c r="N708" s="86"/>
      <c r="CQ708" s="86"/>
      <c r="CR708" s="86"/>
      <c r="CS708" s="86"/>
      <c r="CT708" s="86"/>
      <c r="CU708" s="86"/>
      <c r="CV708" s="86"/>
      <c r="CW708" s="86"/>
    </row>
    <row r="709" customFormat="false" ht="12.75" hidden="false" customHeight="false" outlineLevel="0" collapsed="false">
      <c r="F709" s="86"/>
      <c r="G709" s="86"/>
      <c r="H709" s="86"/>
      <c r="I709" s="86"/>
      <c r="J709" s="86"/>
      <c r="K709" s="86"/>
      <c r="L709" s="86"/>
      <c r="N709" s="86"/>
      <c r="CQ709" s="86"/>
      <c r="CR709" s="86"/>
      <c r="CS709" s="86"/>
      <c r="CT709" s="86"/>
      <c r="CU709" s="86"/>
      <c r="CV709" s="86"/>
      <c r="CW709" s="86"/>
    </row>
    <row r="710" customFormat="false" ht="12.75" hidden="false" customHeight="false" outlineLevel="0" collapsed="false">
      <c r="F710" s="86"/>
      <c r="G710" s="86"/>
      <c r="H710" s="86"/>
      <c r="I710" s="86"/>
      <c r="J710" s="86"/>
      <c r="K710" s="86"/>
      <c r="L710" s="86"/>
      <c r="N710" s="86"/>
      <c r="CQ710" s="86"/>
      <c r="CR710" s="86"/>
      <c r="CS710" s="86"/>
      <c r="CT710" s="86"/>
      <c r="CU710" s="86"/>
      <c r="CV710" s="86"/>
      <c r="CW710" s="86"/>
    </row>
    <row r="711" customFormat="false" ht="12.75" hidden="false" customHeight="false" outlineLevel="0" collapsed="false">
      <c r="F711" s="86"/>
      <c r="G711" s="86"/>
      <c r="H711" s="86"/>
      <c r="I711" s="86"/>
      <c r="J711" s="86"/>
      <c r="K711" s="86"/>
      <c r="L711" s="86"/>
      <c r="N711" s="86"/>
      <c r="CQ711" s="86"/>
      <c r="CR711" s="86"/>
      <c r="CS711" s="86"/>
      <c r="CT711" s="86"/>
      <c r="CU711" s="86"/>
      <c r="CV711" s="86"/>
      <c r="CW711" s="86"/>
    </row>
    <row r="712" customFormat="false" ht="12.75" hidden="false" customHeight="false" outlineLevel="0" collapsed="false">
      <c r="F712" s="86"/>
      <c r="G712" s="86"/>
      <c r="H712" s="86"/>
      <c r="I712" s="86"/>
      <c r="J712" s="86"/>
      <c r="K712" s="86"/>
      <c r="L712" s="86"/>
      <c r="N712" s="86"/>
      <c r="CQ712" s="86"/>
      <c r="CR712" s="86"/>
      <c r="CS712" s="86"/>
      <c r="CT712" s="86"/>
      <c r="CU712" s="86"/>
      <c r="CV712" s="86"/>
      <c r="CW712" s="86"/>
    </row>
    <row r="713" customFormat="false" ht="12.75" hidden="false" customHeight="false" outlineLevel="0" collapsed="false">
      <c r="F713" s="86"/>
      <c r="G713" s="86"/>
      <c r="H713" s="86"/>
      <c r="I713" s="86"/>
      <c r="J713" s="86"/>
      <c r="K713" s="86"/>
      <c r="L713" s="86"/>
      <c r="N713" s="86"/>
      <c r="CQ713" s="86"/>
      <c r="CR713" s="86"/>
      <c r="CS713" s="86"/>
      <c r="CT713" s="86"/>
      <c r="CU713" s="86"/>
      <c r="CV713" s="86"/>
      <c r="CW713" s="86"/>
    </row>
    <row r="714" customFormat="false" ht="12.75" hidden="false" customHeight="false" outlineLevel="0" collapsed="false">
      <c r="F714" s="86"/>
      <c r="G714" s="86"/>
      <c r="H714" s="86"/>
      <c r="I714" s="86"/>
      <c r="J714" s="86"/>
      <c r="K714" s="86"/>
      <c r="L714" s="86"/>
      <c r="N714" s="86"/>
      <c r="CQ714" s="86"/>
      <c r="CR714" s="86"/>
      <c r="CS714" s="86"/>
      <c r="CT714" s="86"/>
      <c r="CU714" s="86"/>
      <c r="CV714" s="86"/>
      <c r="CW714" s="86"/>
    </row>
    <row r="715" customFormat="false" ht="12.75" hidden="false" customHeight="false" outlineLevel="0" collapsed="false">
      <c r="F715" s="86"/>
      <c r="G715" s="86"/>
      <c r="H715" s="86"/>
      <c r="I715" s="86"/>
      <c r="J715" s="86"/>
      <c r="K715" s="86"/>
      <c r="L715" s="86"/>
      <c r="N715" s="86"/>
      <c r="CQ715" s="86"/>
      <c r="CR715" s="86"/>
      <c r="CS715" s="86"/>
      <c r="CT715" s="86"/>
      <c r="CU715" s="86"/>
      <c r="CV715" s="86"/>
      <c r="CW715" s="86"/>
    </row>
    <row r="716" customFormat="false" ht="12.75" hidden="false" customHeight="false" outlineLevel="0" collapsed="false">
      <c r="F716" s="86"/>
      <c r="G716" s="86"/>
      <c r="H716" s="86"/>
      <c r="I716" s="86"/>
      <c r="J716" s="86"/>
      <c r="K716" s="86"/>
      <c r="L716" s="86"/>
      <c r="N716" s="86"/>
      <c r="CQ716" s="86"/>
      <c r="CR716" s="86"/>
      <c r="CS716" s="86"/>
      <c r="CT716" s="86"/>
      <c r="CU716" s="86"/>
      <c r="CV716" s="86"/>
      <c r="CW716" s="86"/>
    </row>
    <row r="717" customFormat="false" ht="12.75" hidden="false" customHeight="false" outlineLevel="0" collapsed="false">
      <c r="F717" s="86"/>
      <c r="G717" s="86"/>
      <c r="H717" s="86"/>
      <c r="I717" s="86"/>
      <c r="J717" s="86"/>
      <c r="K717" s="86"/>
      <c r="L717" s="86"/>
      <c r="N717" s="86"/>
      <c r="CQ717" s="86"/>
      <c r="CR717" s="86"/>
      <c r="CS717" s="86"/>
      <c r="CT717" s="86"/>
      <c r="CU717" s="86"/>
      <c r="CV717" s="86"/>
      <c r="CW717" s="86"/>
    </row>
    <row r="718" customFormat="false" ht="12.75" hidden="false" customHeight="false" outlineLevel="0" collapsed="false">
      <c r="F718" s="86"/>
      <c r="G718" s="86"/>
      <c r="H718" s="86"/>
      <c r="I718" s="86"/>
      <c r="J718" s="86"/>
      <c r="K718" s="86"/>
      <c r="L718" s="86"/>
      <c r="N718" s="86"/>
      <c r="CQ718" s="86"/>
      <c r="CR718" s="86"/>
      <c r="CS718" s="86"/>
      <c r="CT718" s="86"/>
      <c r="CU718" s="86"/>
      <c r="CV718" s="86"/>
      <c r="CW718" s="86"/>
    </row>
    <row r="719" customFormat="false" ht="12.75" hidden="false" customHeight="false" outlineLevel="0" collapsed="false">
      <c r="F719" s="86"/>
      <c r="G719" s="86"/>
      <c r="H719" s="86"/>
      <c r="I719" s="86"/>
      <c r="J719" s="86"/>
      <c r="K719" s="86"/>
      <c r="L719" s="86"/>
      <c r="N719" s="86"/>
      <c r="CQ719" s="86"/>
      <c r="CR719" s="86"/>
      <c r="CS719" s="86"/>
      <c r="CT719" s="86"/>
      <c r="CU719" s="86"/>
      <c r="CV719" s="86"/>
      <c r="CW719" s="86"/>
    </row>
    <row r="720" customFormat="false" ht="12.75" hidden="false" customHeight="false" outlineLevel="0" collapsed="false">
      <c r="F720" s="86"/>
      <c r="G720" s="86"/>
      <c r="H720" s="86"/>
      <c r="I720" s="86"/>
      <c r="J720" s="86"/>
      <c r="K720" s="86"/>
      <c r="L720" s="86"/>
      <c r="N720" s="86"/>
      <c r="CQ720" s="86"/>
      <c r="CR720" s="86"/>
      <c r="CS720" s="86"/>
      <c r="CT720" s="86"/>
      <c r="CU720" s="86"/>
      <c r="CV720" s="86"/>
      <c r="CW720" s="86"/>
    </row>
    <row r="721" customFormat="false" ht="12.75" hidden="false" customHeight="false" outlineLevel="0" collapsed="false">
      <c r="F721" s="86"/>
      <c r="G721" s="86"/>
      <c r="H721" s="86"/>
      <c r="I721" s="86"/>
      <c r="J721" s="86"/>
      <c r="K721" s="86"/>
      <c r="L721" s="86"/>
      <c r="N721" s="86"/>
      <c r="CQ721" s="86"/>
      <c r="CR721" s="86"/>
      <c r="CS721" s="86"/>
      <c r="CT721" s="86"/>
      <c r="CU721" s="86"/>
      <c r="CV721" s="86"/>
      <c r="CW721" s="86"/>
    </row>
    <row r="722" customFormat="false" ht="12.75" hidden="false" customHeight="false" outlineLevel="0" collapsed="false">
      <c r="F722" s="86"/>
      <c r="G722" s="86"/>
      <c r="H722" s="86"/>
      <c r="I722" s="86"/>
      <c r="J722" s="86"/>
      <c r="K722" s="86"/>
      <c r="L722" s="86"/>
      <c r="N722" s="86"/>
      <c r="CQ722" s="86"/>
      <c r="CR722" s="86"/>
      <c r="CS722" s="86"/>
      <c r="CT722" s="86"/>
      <c r="CU722" s="86"/>
      <c r="CV722" s="86"/>
      <c r="CW722" s="86"/>
    </row>
    <row r="723" customFormat="false" ht="12.75" hidden="false" customHeight="false" outlineLevel="0" collapsed="false">
      <c r="F723" s="86"/>
      <c r="G723" s="86"/>
      <c r="H723" s="86"/>
      <c r="I723" s="86"/>
      <c r="J723" s="86"/>
      <c r="K723" s="86"/>
      <c r="L723" s="86"/>
      <c r="N723" s="86"/>
      <c r="CQ723" s="86"/>
      <c r="CR723" s="86"/>
      <c r="CS723" s="86"/>
      <c r="CT723" s="86"/>
      <c r="CU723" s="86"/>
      <c r="CV723" s="86"/>
      <c r="CW723" s="86"/>
    </row>
    <row r="724" customFormat="false" ht="12.75" hidden="false" customHeight="false" outlineLevel="0" collapsed="false">
      <c r="F724" s="86"/>
      <c r="G724" s="86"/>
      <c r="H724" s="86"/>
      <c r="I724" s="86"/>
      <c r="J724" s="86"/>
      <c r="K724" s="86"/>
      <c r="L724" s="86"/>
      <c r="N724" s="86"/>
      <c r="CQ724" s="86"/>
      <c r="CR724" s="86"/>
      <c r="CS724" s="86"/>
      <c r="CT724" s="86"/>
      <c r="CU724" s="86"/>
      <c r="CV724" s="86"/>
      <c r="CW724" s="86"/>
    </row>
    <row r="725" customFormat="false" ht="12.75" hidden="false" customHeight="false" outlineLevel="0" collapsed="false">
      <c r="F725" s="86"/>
      <c r="G725" s="86"/>
      <c r="H725" s="86"/>
      <c r="I725" s="86"/>
      <c r="J725" s="86"/>
      <c r="K725" s="86"/>
      <c r="L725" s="86"/>
      <c r="N725" s="86"/>
      <c r="CQ725" s="86"/>
      <c r="CR725" s="86"/>
      <c r="CS725" s="86"/>
      <c r="CT725" s="86"/>
      <c r="CU725" s="86"/>
      <c r="CV725" s="86"/>
      <c r="CW725" s="86"/>
    </row>
    <row r="726" customFormat="false" ht="12.75" hidden="false" customHeight="false" outlineLevel="0" collapsed="false">
      <c r="F726" s="86"/>
      <c r="G726" s="86"/>
      <c r="H726" s="86"/>
      <c r="I726" s="86"/>
      <c r="J726" s="86"/>
      <c r="K726" s="86"/>
      <c r="L726" s="86"/>
      <c r="N726" s="86"/>
      <c r="CQ726" s="86"/>
      <c r="CR726" s="86"/>
      <c r="CS726" s="86"/>
      <c r="CT726" s="86"/>
      <c r="CU726" s="86"/>
      <c r="CV726" s="86"/>
      <c r="CW726" s="86"/>
    </row>
    <row r="727" customFormat="false" ht="12.75" hidden="false" customHeight="false" outlineLevel="0" collapsed="false">
      <c r="F727" s="86"/>
      <c r="G727" s="86"/>
      <c r="H727" s="86"/>
      <c r="I727" s="86"/>
      <c r="J727" s="86"/>
      <c r="K727" s="86"/>
      <c r="L727" s="86"/>
      <c r="N727" s="86"/>
      <c r="CQ727" s="86"/>
      <c r="CR727" s="86"/>
      <c r="CS727" s="86"/>
      <c r="CT727" s="86"/>
      <c r="CU727" s="86"/>
      <c r="CV727" s="86"/>
      <c r="CW727" s="86"/>
    </row>
    <row r="728" customFormat="false" ht="12.75" hidden="false" customHeight="false" outlineLevel="0" collapsed="false">
      <c r="F728" s="86"/>
      <c r="G728" s="86"/>
      <c r="H728" s="86"/>
      <c r="I728" s="86"/>
      <c r="J728" s="86"/>
      <c r="K728" s="86"/>
      <c r="L728" s="86"/>
      <c r="N728" s="86"/>
      <c r="CQ728" s="86"/>
      <c r="CR728" s="86"/>
      <c r="CS728" s="86"/>
      <c r="CT728" s="86"/>
      <c r="CU728" s="86"/>
      <c r="CV728" s="86"/>
      <c r="CW728" s="86"/>
    </row>
    <row r="729" customFormat="false" ht="12.75" hidden="false" customHeight="false" outlineLevel="0" collapsed="false">
      <c r="F729" s="86"/>
      <c r="G729" s="86"/>
      <c r="H729" s="86"/>
      <c r="I729" s="86"/>
      <c r="J729" s="86"/>
      <c r="K729" s="86"/>
      <c r="L729" s="86"/>
      <c r="N729" s="86"/>
      <c r="CQ729" s="86"/>
      <c r="CR729" s="86"/>
      <c r="CS729" s="86"/>
      <c r="CT729" s="86"/>
      <c r="CU729" s="86"/>
      <c r="CV729" s="86"/>
      <c r="CW729" s="86"/>
    </row>
    <row r="730" customFormat="false" ht="12.75" hidden="false" customHeight="false" outlineLevel="0" collapsed="false">
      <c r="F730" s="86"/>
      <c r="G730" s="86"/>
      <c r="H730" s="86"/>
      <c r="I730" s="86"/>
      <c r="J730" s="86"/>
      <c r="K730" s="86"/>
      <c r="L730" s="86"/>
      <c r="N730" s="86"/>
      <c r="CQ730" s="86"/>
      <c r="CR730" s="86"/>
      <c r="CS730" s="86"/>
      <c r="CT730" s="86"/>
      <c r="CU730" s="86"/>
      <c r="CV730" s="86"/>
      <c r="CW730" s="86"/>
    </row>
    <row r="731" customFormat="false" ht="12.75" hidden="false" customHeight="false" outlineLevel="0" collapsed="false">
      <c r="F731" s="86"/>
      <c r="G731" s="86"/>
      <c r="H731" s="86"/>
      <c r="I731" s="86"/>
      <c r="J731" s="86"/>
      <c r="K731" s="86"/>
      <c r="L731" s="86"/>
      <c r="N731" s="86"/>
      <c r="CQ731" s="86"/>
      <c r="CR731" s="86"/>
      <c r="CS731" s="86"/>
      <c r="CT731" s="86"/>
      <c r="CU731" s="86"/>
      <c r="CV731" s="86"/>
      <c r="CW731" s="86"/>
    </row>
    <row r="732" customFormat="false" ht="12.75" hidden="false" customHeight="false" outlineLevel="0" collapsed="false">
      <c r="F732" s="86"/>
      <c r="G732" s="86"/>
      <c r="H732" s="86"/>
      <c r="I732" s="86"/>
      <c r="J732" s="86"/>
      <c r="K732" s="86"/>
      <c r="L732" s="86"/>
      <c r="N732" s="86"/>
      <c r="CQ732" s="86"/>
      <c r="CR732" s="86"/>
      <c r="CS732" s="86"/>
      <c r="CT732" s="86"/>
      <c r="CU732" s="86"/>
      <c r="CV732" s="86"/>
      <c r="CW732" s="86"/>
    </row>
    <row r="733" customFormat="false" ht="12.75" hidden="false" customHeight="false" outlineLevel="0" collapsed="false">
      <c r="F733" s="86"/>
      <c r="G733" s="86"/>
      <c r="H733" s="86"/>
      <c r="I733" s="86"/>
      <c r="J733" s="86"/>
      <c r="K733" s="86"/>
      <c r="L733" s="86"/>
      <c r="N733" s="86"/>
      <c r="CQ733" s="86"/>
      <c r="CR733" s="86"/>
      <c r="CS733" s="86"/>
      <c r="CT733" s="86"/>
      <c r="CU733" s="86"/>
      <c r="CV733" s="86"/>
      <c r="CW733" s="86"/>
    </row>
    <row r="734" customFormat="false" ht="12.75" hidden="false" customHeight="false" outlineLevel="0" collapsed="false">
      <c r="F734" s="86"/>
      <c r="G734" s="86"/>
      <c r="H734" s="86"/>
      <c r="I734" s="86"/>
      <c r="J734" s="86"/>
      <c r="K734" s="86"/>
      <c r="L734" s="86"/>
      <c r="N734" s="86"/>
      <c r="CQ734" s="86"/>
      <c r="CR734" s="86"/>
      <c r="CS734" s="86"/>
      <c r="CT734" s="86"/>
      <c r="CU734" s="86"/>
      <c r="CV734" s="86"/>
      <c r="CW734" s="86"/>
    </row>
    <row r="735" customFormat="false" ht="12.75" hidden="false" customHeight="false" outlineLevel="0" collapsed="false">
      <c r="F735" s="86"/>
      <c r="G735" s="86"/>
      <c r="H735" s="86"/>
      <c r="I735" s="86"/>
      <c r="J735" s="86"/>
      <c r="K735" s="86"/>
      <c r="L735" s="86"/>
      <c r="N735" s="86"/>
      <c r="CQ735" s="86"/>
      <c r="CR735" s="86"/>
      <c r="CS735" s="86"/>
      <c r="CT735" s="86"/>
      <c r="CU735" s="86"/>
      <c r="CV735" s="86"/>
      <c r="CW735" s="86"/>
    </row>
    <row r="736" customFormat="false" ht="12.75" hidden="false" customHeight="false" outlineLevel="0" collapsed="false">
      <c r="F736" s="86"/>
      <c r="G736" s="86"/>
      <c r="H736" s="86"/>
      <c r="I736" s="86"/>
      <c r="J736" s="86"/>
      <c r="K736" s="86"/>
      <c r="L736" s="86"/>
      <c r="N736" s="86"/>
      <c r="CQ736" s="86"/>
      <c r="CR736" s="86"/>
      <c r="CS736" s="86"/>
      <c r="CT736" s="86"/>
      <c r="CU736" s="86"/>
      <c r="CV736" s="86"/>
      <c r="CW736" s="86"/>
    </row>
    <row r="737" customFormat="false" ht="12.75" hidden="false" customHeight="false" outlineLevel="0" collapsed="false">
      <c r="F737" s="86"/>
      <c r="G737" s="86"/>
      <c r="H737" s="86"/>
      <c r="I737" s="86"/>
      <c r="J737" s="86"/>
      <c r="K737" s="86"/>
      <c r="L737" s="86"/>
      <c r="N737" s="86"/>
      <c r="CQ737" s="86"/>
      <c r="CR737" s="86"/>
      <c r="CS737" s="86"/>
      <c r="CT737" s="86"/>
      <c r="CU737" s="86"/>
      <c r="CV737" s="86"/>
      <c r="CW737" s="86"/>
    </row>
    <row r="738" customFormat="false" ht="12.75" hidden="false" customHeight="false" outlineLevel="0" collapsed="false">
      <c r="F738" s="86"/>
      <c r="G738" s="86"/>
      <c r="H738" s="86"/>
      <c r="I738" s="86"/>
      <c r="J738" s="86"/>
      <c r="K738" s="86"/>
      <c r="L738" s="86"/>
      <c r="N738" s="86"/>
      <c r="CQ738" s="86"/>
      <c r="CR738" s="86"/>
      <c r="CS738" s="86"/>
      <c r="CT738" s="86"/>
      <c r="CU738" s="86"/>
      <c r="CV738" s="86"/>
      <c r="CW738" s="86"/>
    </row>
    <row r="739" customFormat="false" ht="12.75" hidden="false" customHeight="false" outlineLevel="0" collapsed="false">
      <c r="F739" s="86"/>
      <c r="G739" s="86"/>
      <c r="H739" s="86"/>
      <c r="I739" s="86"/>
      <c r="J739" s="86"/>
      <c r="K739" s="86"/>
      <c r="L739" s="86"/>
      <c r="N739" s="86"/>
      <c r="CQ739" s="86"/>
      <c r="CR739" s="86"/>
      <c r="CS739" s="86"/>
      <c r="CT739" s="86"/>
      <c r="CU739" s="86"/>
      <c r="CV739" s="86"/>
      <c r="CW739" s="86"/>
    </row>
    <row r="740" customFormat="false" ht="12.75" hidden="false" customHeight="false" outlineLevel="0" collapsed="false">
      <c r="F740" s="86"/>
      <c r="G740" s="86"/>
      <c r="H740" s="86"/>
      <c r="I740" s="86"/>
      <c r="J740" s="86"/>
      <c r="K740" s="86"/>
      <c r="L740" s="86"/>
      <c r="N740" s="86"/>
      <c r="CQ740" s="86"/>
      <c r="CR740" s="86"/>
      <c r="CS740" s="86"/>
      <c r="CT740" s="86"/>
      <c r="CU740" s="86"/>
      <c r="CV740" s="86"/>
      <c r="CW740" s="86"/>
    </row>
    <row r="741" customFormat="false" ht="12.75" hidden="false" customHeight="false" outlineLevel="0" collapsed="false">
      <c r="F741" s="86"/>
      <c r="G741" s="86"/>
      <c r="H741" s="86"/>
      <c r="I741" s="86"/>
      <c r="J741" s="86"/>
      <c r="K741" s="86"/>
      <c r="L741" s="86"/>
      <c r="N741" s="86"/>
      <c r="CQ741" s="86"/>
      <c r="CR741" s="86"/>
      <c r="CS741" s="86"/>
      <c r="CT741" s="86"/>
      <c r="CU741" s="86"/>
      <c r="CV741" s="86"/>
      <c r="CW741" s="86"/>
    </row>
    <row r="742" customFormat="false" ht="12.75" hidden="false" customHeight="false" outlineLevel="0" collapsed="false">
      <c r="F742" s="86"/>
      <c r="G742" s="86"/>
      <c r="H742" s="86"/>
      <c r="I742" s="86"/>
      <c r="J742" s="86"/>
      <c r="K742" s="86"/>
      <c r="L742" s="86"/>
      <c r="N742" s="86"/>
      <c r="CQ742" s="86"/>
      <c r="CR742" s="86"/>
      <c r="CS742" s="86"/>
      <c r="CT742" s="86"/>
      <c r="CU742" s="86"/>
      <c r="CV742" s="86"/>
      <c r="CW742" s="86"/>
    </row>
    <row r="743" customFormat="false" ht="12.75" hidden="false" customHeight="false" outlineLevel="0" collapsed="false">
      <c r="F743" s="86"/>
      <c r="G743" s="86"/>
      <c r="H743" s="86"/>
      <c r="I743" s="86"/>
      <c r="J743" s="86"/>
      <c r="K743" s="86"/>
      <c r="L743" s="86"/>
      <c r="N743" s="86"/>
      <c r="CQ743" s="86"/>
      <c r="CR743" s="86"/>
      <c r="CS743" s="86"/>
      <c r="CT743" s="86"/>
      <c r="CU743" s="86"/>
      <c r="CV743" s="86"/>
      <c r="CW743" s="86"/>
    </row>
    <row r="744" customFormat="false" ht="12.75" hidden="false" customHeight="false" outlineLevel="0" collapsed="false">
      <c r="F744" s="86"/>
      <c r="G744" s="86"/>
      <c r="H744" s="86"/>
      <c r="I744" s="86"/>
      <c r="J744" s="86"/>
      <c r="K744" s="86"/>
      <c r="L744" s="86"/>
      <c r="N744" s="86"/>
      <c r="CQ744" s="86"/>
      <c r="CR744" s="86"/>
      <c r="CS744" s="86"/>
      <c r="CT744" s="86"/>
      <c r="CU744" s="86"/>
      <c r="CV744" s="86"/>
      <c r="CW744" s="86"/>
    </row>
    <row r="745" customFormat="false" ht="12.75" hidden="false" customHeight="false" outlineLevel="0" collapsed="false">
      <c r="F745" s="86"/>
      <c r="G745" s="86"/>
      <c r="H745" s="86"/>
      <c r="I745" s="86"/>
      <c r="J745" s="86"/>
      <c r="K745" s="86"/>
      <c r="L745" s="86"/>
      <c r="N745" s="86"/>
      <c r="CQ745" s="86"/>
      <c r="CR745" s="86"/>
      <c r="CS745" s="86"/>
      <c r="CT745" s="86"/>
      <c r="CU745" s="86"/>
      <c r="CV745" s="86"/>
      <c r="CW745" s="86"/>
    </row>
    <row r="746" customFormat="false" ht="12.75" hidden="false" customHeight="false" outlineLevel="0" collapsed="false">
      <c r="F746" s="86"/>
      <c r="G746" s="86"/>
      <c r="H746" s="86"/>
      <c r="I746" s="86"/>
      <c r="J746" s="86"/>
      <c r="K746" s="86"/>
      <c r="L746" s="86"/>
      <c r="N746" s="86"/>
      <c r="CQ746" s="86"/>
      <c r="CR746" s="86"/>
      <c r="CS746" s="86"/>
      <c r="CT746" s="86"/>
      <c r="CU746" s="86"/>
      <c r="CV746" s="86"/>
      <c r="CW746" s="86"/>
    </row>
    <row r="747" customFormat="false" ht="12.75" hidden="false" customHeight="false" outlineLevel="0" collapsed="false">
      <c r="F747" s="86"/>
      <c r="G747" s="86"/>
      <c r="H747" s="86"/>
      <c r="I747" s="86"/>
      <c r="J747" s="86"/>
      <c r="K747" s="86"/>
      <c r="L747" s="86"/>
      <c r="N747" s="86"/>
      <c r="CQ747" s="86"/>
      <c r="CR747" s="86"/>
      <c r="CS747" s="86"/>
      <c r="CT747" s="86"/>
      <c r="CU747" s="86"/>
      <c r="CV747" s="86"/>
      <c r="CW747" s="86"/>
    </row>
    <row r="748" customFormat="false" ht="12.75" hidden="false" customHeight="false" outlineLevel="0" collapsed="false">
      <c r="F748" s="86"/>
      <c r="G748" s="86"/>
      <c r="H748" s="86"/>
      <c r="I748" s="86"/>
      <c r="J748" s="86"/>
      <c r="K748" s="86"/>
      <c r="L748" s="86"/>
      <c r="N748" s="86"/>
      <c r="CQ748" s="86"/>
      <c r="CR748" s="86"/>
      <c r="CS748" s="86"/>
      <c r="CT748" s="86"/>
      <c r="CU748" s="86"/>
      <c r="CV748" s="86"/>
      <c r="CW748" s="86"/>
    </row>
    <row r="749" customFormat="false" ht="12.75" hidden="false" customHeight="false" outlineLevel="0" collapsed="false">
      <c r="F749" s="86"/>
      <c r="G749" s="86"/>
      <c r="H749" s="86"/>
      <c r="I749" s="86"/>
      <c r="J749" s="86"/>
      <c r="K749" s="86"/>
      <c r="L749" s="86"/>
      <c r="N749" s="86"/>
      <c r="CQ749" s="86"/>
      <c r="CR749" s="86"/>
      <c r="CS749" s="86"/>
      <c r="CT749" s="86"/>
      <c r="CU749" s="86"/>
      <c r="CV749" s="86"/>
      <c r="CW749" s="86"/>
    </row>
    <row r="750" customFormat="false" ht="12.75" hidden="false" customHeight="false" outlineLevel="0" collapsed="false">
      <c r="F750" s="86"/>
      <c r="G750" s="86"/>
      <c r="H750" s="86"/>
      <c r="I750" s="86"/>
      <c r="J750" s="86"/>
      <c r="K750" s="86"/>
      <c r="L750" s="86"/>
      <c r="N750" s="86"/>
      <c r="CQ750" s="86"/>
      <c r="CR750" s="86"/>
      <c r="CS750" s="86"/>
      <c r="CT750" s="86"/>
      <c r="CU750" s="86"/>
      <c r="CV750" s="86"/>
      <c r="CW750" s="86"/>
    </row>
    <row r="751" customFormat="false" ht="12.75" hidden="false" customHeight="false" outlineLevel="0" collapsed="false">
      <c r="F751" s="86"/>
      <c r="G751" s="86"/>
      <c r="H751" s="86"/>
      <c r="I751" s="86"/>
      <c r="J751" s="86"/>
      <c r="K751" s="86"/>
      <c r="L751" s="86"/>
      <c r="N751" s="86"/>
      <c r="CQ751" s="86"/>
      <c r="CR751" s="86"/>
      <c r="CS751" s="86"/>
      <c r="CT751" s="86"/>
      <c r="CU751" s="86"/>
      <c r="CV751" s="86"/>
      <c r="CW751" s="86"/>
    </row>
    <row r="752" customFormat="false" ht="12.75" hidden="false" customHeight="false" outlineLevel="0" collapsed="false">
      <c r="F752" s="86"/>
      <c r="G752" s="86"/>
      <c r="H752" s="86"/>
      <c r="I752" s="86"/>
      <c r="J752" s="86"/>
      <c r="K752" s="86"/>
      <c r="L752" s="86"/>
      <c r="N752" s="86"/>
      <c r="CQ752" s="86"/>
      <c r="CR752" s="86"/>
      <c r="CS752" s="86"/>
      <c r="CT752" s="86"/>
      <c r="CU752" s="86"/>
      <c r="CV752" s="86"/>
      <c r="CW752" s="86"/>
    </row>
    <row r="753" customFormat="false" ht="12.75" hidden="false" customHeight="false" outlineLevel="0" collapsed="false">
      <c r="F753" s="86"/>
      <c r="G753" s="86"/>
      <c r="H753" s="86"/>
      <c r="I753" s="86"/>
      <c r="J753" s="86"/>
      <c r="K753" s="86"/>
      <c r="L753" s="86"/>
      <c r="N753" s="86"/>
      <c r="CQ753" s="86"/>
      <c r="CR753" s="86"/>
      <c r="CS753" s="86"/>
      <c r="CT753" s="86"/>
      <c r="CU753" s="86"/>
      <c r="CV753" s="86"/>
      <c r="CW753" s="86"/>
    </row>
    <row r="754" customFormat="false" ht="12.75" hidden="false" customHeight="false" outlineLevel="0" collapsed="false">
      <c r="F754" s="86"/>
      <c r="G754" s="86"/>
      <c r="H754" s="86"/>
      <c r="I754" s="86"/>
      <c r="J754" s="86"/>
      <c r="K754" s="86"/>
      <c r="L754" s="86"/>
      <c r="N754" s="86"/>
      <c r="CQ754" s="86"/>
      <c r="CR754" s="86"/>
      <c r="CS754" s="86"/>
      <c r="CT754" s="86"/>
      <c r="CU754" s="86"/>
      <c r="CV754" s="86"/>
      <c r="CW754" s="86"/>
    </row>
    <row r="755" customFormat="false" ht="12.75" hidden="false" customHeight="false" outlineLevel="0" collapsed="false">
      <c r="F755" s="86"/>
      <c r="G755" s="86"/>
      <c r="H755" s="86"/>
      <c r="I755" s="86"/>
      <c r="J755" s="86"/>
      <c r="K755" s="86"/>
      <c r="L755" s="86"/>
      <c r="N755" s="86"/>
      <c r="CQ755" s="86"/>
      <c r="CR755" s="86"/>
      <c r="CS755" s="86"/>
      <c r="CT755" s="86"/>
      <c r="CU755" s="86"/>
      <c r="CV755" s="86"/>
      <c r="CW755" s="86"/>
    </row>
    <row r="756" customFormat="false" ht="12.75" hidden="false" customHeight="false" outlineLevel="0" collapsed="false">
      <c r="F756" s="86"/>
      <c r="G756" s="86"/>
      <c r="H756" s="86"/>
      <c r="I756" s="86"/>
      <c r="J756" s="86"/>
      <c r="K756" s="86"/>
      <c r="L756" s="86"/>
      <c r="N756" s="86"/>
      <c r="CQ756" s="86"/>
      <c r="CR756" s="86"/>
      <c r="CS756" s="86"/>
      <c r="CT756" s="86"/>
      <c r="CU756" s="86"/>
      <c r="CV756" s="86"/>
      <c r="CW756" s="86"/>
    </row>
    <row r="757" customFormat="false" ht="12.75" hidden="false" customHeight="false" outlineLevel="0" collapsed="false">
      <c r="F757" s="86"/>
      <c r="G757" s="86"/>
      <c r="H757" s="86"/>
      <c r="I757" s="86"/>
      <c r="J757" s="86"/>
      <c r="K757" s="86"/>
      <c r="L757" s="86"/>
      <c r="N757" s="86"/>
      <c r="CQ757" s="86"/>
      <c r="CR757" s="86"/>
      <c r="CS757" s="86"/>
      <c r="CT757" s="86"/>
      <c r="CU757" s="86"/>
      <c r="CV757" s="86"/>
      <c r="CW757" s="86"/>
    </row>
    <row r="758" customFormat="false" ht="12.75" hidden="false" customHeight="false" outlineLevel="0" collapsed="false">
      <c r="F758" s="86"/>
      <c r="G758" s="86"/>
      <c r="H758" s="86"/>
      <c r="I758" s="86"/>
      <c r="J758" s="86"/>
      <c r="K758" s="86"/>
      <c r="L758" s="86"/>
      <c r="N758" s="86"/>
      <c r="CQ758" s="86"/>
      <c r="CR758" s="86"/>
      <c r="CS758" s="86"/>
      <c r="CT758" s="86"/>
      <c r="CU758" s="86"/>
      <c r="CV758" s="86"/>
      <c r="CW758" s="86"/>
    </row>
    <row r="759" customFormat="false" ht="12.75" hidden="false" customHeight="false" outlineLevel="0" collapsed="false">
      <c r="F759" s="86"/>
      <c r="G759" s="86"/>
      <c r="H759" s="86"/>
      <c r="I759" s="86"/>
      <c r="J759" s="86"/>
      <c r="K759" s="86"/>
      <c r="L759" s="86"/>
      <c r="N759" s="86"/>
      <c r="CQ759" s="86"/>
      <c r="CR759" s="86"/>
      <c r="CS759" s="86"/>
      <c r="CT759" s="86"/>
      <c r="CU759" s="86"/>
      <c r="CV759" s="86"/>
      <c r="CW759" s="86"/>
    </row>
    <row r="760" customFormat="false" ht="12.75" hidden="false" customHeight="false" outlineLevel="0" collapsed="false">
      <c r="F760" s="86"/>
      <c r="G760" s="86"/>
      <c r="H760" s="86"/>
      <c r="I760" s="86"/>
      <c r="J760" s="86"/>
      <c r="K760" s="86"/>
      <c r="L760" s="86"/>
      <c r="N760" s="86"/>
      <c r="CQ760" s="86"/>
      <c r="CR760" s="86"/>
      <c r="CS760" s="86"/>
      <c r="CT760" s="86"/>
      <c r="CU760" s="86"/>
      <c r="CV760" s="86"/>
      <c r="CW760" s="86"/>
    </row>
    <row r="761" customFormat="false" ht="12.75" hidden="false" customHeight="false" outlineLevel="0" collapsed="false">
      <c r="F761" s="86"/>
      <c r="G761" s="86"/>
      <c r="H761" s="86"/>
      <c r="I761" s="86"/>
      <c r="J761" s="86"/>
      <c r="K761" s="86"/>
      <c r="L761" s="86"/>
      <c r="N761" s="86"/>
      <c r="CQ761" s="86"/>
      <c r="CR761" s="86"/>
      <c r="CS761" s="86"/>
      <c r="CT761" s="86"/>
      <c r="CU761" s="86"/>
      <c r="CV761" s="86"/>
      <c r="CW761" s="86"/>
    </row>
    <row r="762" customFormat="false" ht="12.75" hidden="false" customHeight="false" outlineLevel="0" collapsed="false">
      <c r="F762" s="86"/>
      <c r="G762" s="86"/>
      <c r="H762" s="86"/>
      <c r="I762" s="86"/>
      <c r="J762" s="86"/>
      <c r="K762" s="86"/>
      <c r="L762" s="86"/>
      <c r="N762" s="86"/>
      <c r="CQ762" s="86"/>
      <c r="CR762" s="86"/>
      <c r="CS762" s="86"/>
      <c r="CT762" s="86"/>
      <c r="CU762" s="86"/>
      <c r="CV762" s="86"/>
      <c r="CW762" s="86"/>
    </row>
    <row r="763" customFormat="false" ht="12.75" hidden="false" customHeight="false" outlineLevel="0" collapsed="false">
      <c r="F763" s="86"/>
      <c r="G763" s="86"/>
      <c r="H763" s="86"/>
      <c r="I763" s="86"/>
      <c r="J763" s="86"/>
      <c r="K763" s="86"/>
      <c r="L763" s="86"/>
      <c r="N763" s="86"/>
      <c r="CQ763" s="86"/>
      <c r="CR763" s="86"/>
      <c r="CS763" s="86"/>
      <c r="CT763" s="86"/>
      <c r="CU763" s="86"/>
      <c r="CV763" s="86"/>
      <c r="CW763" s="86"/>
    </row>
    <row r="764" customFormat="false" ht="12.75" hidden="false" customHeight="false" outlineLevel="0" collapsed="false">
      <c r="F764" s="86"/>
      <c r="G764" s="86"/>
      <c r="H764" s="86"/>
      <c r="I764" s="86"/>
      <c r="J764" s="86"/>
      <c r="K764" s="86"/>
      <c r="L764" s="86"/>
      <c r="N764" s="86"/>
      <c r="CQ764" s="86"/>
      <c r="CR764" s="86"/>
      <c r="CS764" s="86"/>
      <c r="CT764" s="86"/>
      <c r="CU764" s="86"/>
      <c r="CV764" s="86"/>
      <c r="CW764" s="86"/>
    </row>
    <row r="765" customFormat="false" ht="12.75" hidden="false" customHeight="false" outlineLevel="0" collapsed="false">
      <c r="F765" s="86"/>
      <c r="G765" s="86"/>
      <c r="H765" s="86"/>
      <c r="I765" s="86"/>
      <c r="J765" s="86"/>
      <c r="K765" s="86"/>
      <c r="L765" s="86"/>
      <c r="N765" s="86"/>
      <c r="CQ765" s="86"/>
      <c r="CR765" s="86"/>
      <c r="CS765" s="86"/>
      <c r="CT765" s="86"/>
      <c r="CU765" s="86"/>
      <c r="CV765" s="86"/>
      <c r="CW765" s="86"/>
    </row>
    <row r="766" customFormat="false" ht="12.75" hidden="false" customHeight="false" outlineLevel="0" collapsed="false">
      <c r="F766" s="86"/>
      <c r="G766" s="86"/>
      <c r="H766" s="86"/>
      <c r="I766" s="86"/>
      <c r="J766" s="86"/>
      <c r="K766" s="86"/>
      <c r="L766" s="86"/>
      <c r="N766" s="86"/>
      <c r="CQ766" s="86"/>
      <c r="CR766" s="86"/>
      <c r="CS766" s="86"/>
      <c r="CT766" s="86"/>
      <c r="CU766" s="86"/>
      <c r="CV766" s="86"/>
      <c r="CW766" s="86"/>
    </row>
    <row r="767" customFormat="false" ht="12.75" hidden="false" customHeight="false" outlineLevel="0" collapsed="false">
      <c r="F767" s="86"/>
      <c r="G767" s="86"/>
      <c r="H767" s="86"/>
      <c r="I767" s="86"/>
      <c r="J767" s="86"/>
      <c r="K767" s="86"/>
      <c r="L767" s="86"/>
      <c r="N767" s="86"/>
      <c r="CQ767" s="86"/>
      <c r="CR767" s="86"/>
      <c r="CS767" s="86"/>
      <c r="CT767" s="86"/>
      <c r="CU767" s="86"/>
      <c r="CV767" s="86"/>
      <c r="CW767" s="86"/>
    </row>
    <row r="768" customFormat="false" ht="12.75" hidden="false" customHeight="false" outlineLevel="0" collapsed="false">
      <c r="F768" s="86"/>
      <c r="G768" s="86"/>
      <c r="H768" s="86"/>
      <c r="I768" s="86"/>
      <c r="J768" s="86"/>
      <c r="K768" s="86"/>
      <c r="L768" s="86"/>
      <c r="N768" s="86"/>
      <c r="CQ768" s="86"/>
      <c r="CR768" s="86"/>
      <c r="CS768" s="86"/>
      <c r="CT768" s="86"/>
      <c r="CU768" s="86"/>
      <c r="CV768" s="86"/>
      <c r="CW768" s="86"/>
    </row>
    <row r="769" customFormat="false" ht="12.75" hidden="false" customHeight="false" outlineLevel="0" collapsed="false">
      <c r="F769" s="86"/>
      <c r="G769" s="86"/>
      <c r="H769" s="86"/>
      <c r="I769" s="86"/>
      <c r="J769" s="86"/>
      <c r="K769" s="86"/>
      <c r="L769" s="86"/>
      <c r="N769" s="86"/>
      <c r="CQ769" s="86"/>
      <c r="CR769" s="86"/>
      <c r="CS769" s="86"/>
      <c r="CT769" s="86"/>
      <c r="CU769" s="86"/>
      <c r="CV769" s="86"/>
      <c r="CW769" s="86"/>
    </row>
    <row r="770" customFormat="false" ht="12.75" hidden="false" customHeight="false" outlineLevel="0" collapsed="false">
      <c r="F770" s="86"/>
      <c r="G770" s="86"/>
      <c r="H770" s="86"/>
      <c r="I770" s="86"/>
      <c r="J770" s="86"/>
      <c r="K770" s="86"/>
      <c r="L770" s="86"/>
      <c r="N770" s="86"/>
      <c r="CQ770" s="86"/>
      <c r="CR770" s="86"/>
      <c r="CS770" s="86"/>
      <c r="CT770" s="86"/>
      <c r="CU770" s="86"/>
      <c r="CV770" s="86"/>
      <c r="CW770" s="86"/>
    </row>
    <row r="771" customFormat="false" ht="12.75" hidden="false" customHeight="false" outlineLevel="0" collapsed="false">
      <c r="F771" s="86"/>
      <c r="G771" s="86"/>
      <c r="H771" s="86"/>
      <c r="I771" s="86"/>
      <c r="J771" s="86"/>
      <c r="K771" s="86"/>
      <c r="L771" s="86"/>
      <c r="N771" s="86"/>
      <c r="CQ771" s="86"/>
      <c r="CR771" s="86"/>
      <c r="CS771" s="86"/>
      <c r="CT771" s="86"/>
      <c r="CU771" s="86"/>
      <c r="CV771" s="86"/>
      <c r="CW771" s="86"/>
    </row>
    <row r="772" customFormat="false" ht="12.75" hidden="false" customHeight="false" outlineLevel="0" collapsed="false">
      <c r="F772" s="86"/>
      <c r="G772" s="86"/>
      <c r="H772" s="86"/>
      <c r="I772" s="86"/>
      <c r="J772" s="86"/>
      <c r="K772" s="86"/>
      <c r="L772" s="86"/>
      <c r="N772" s="86"/>
      <c r="CQ772" s="86"/>
      <c r="CR772" s="86"/>
      <c r="CS772" s="86"/>
      <c r="CT772" s="86"/>
      <c r="CU772" s="86"/>
      <c r="CV772" s="86"/>
      <c r="CW772" s="86"/>
    </row>
    <row r="773" customFormat="false" ht="12.75" hidden="false" customHeight="false" outlineLevel="0" collapsed="false">
      <c r="F773" s="86"/>
      <c r="G773" s="86"/>
      <c r="H773" s="86"/>
      <c r="I773" s="86"/>
      <c r="J773" s="86"/>
      <c r="K773" s="86"/>
      <c r="L773" s="86"/>
      <c r="N773" s="86"/>
      <c r="CQ773" s="86"/>
      <c r="CR773" s="86"/>
      <c r="CS773" s="86"/>
      <c r="CT773" s="86"/>
      <c r="CU773" s="86"/>
      <c r="CV773" s="86"/>
      <c r="CW773" s="86"/>
    </row>
    <row r="774" customFormat="false" ht="12.75" hidden="false" customHeight="false" outlineLevel="0" collapsed="false">
      <c r="F774" s="86"/>
      <c r="G774" s="86"/>
      <c r="H774" s="86"/>
      <c r="I774" s="86"/>
      <c r="J774" s="86"/>
      <c r="K774" s="86"/>
      <c r="L774" s="86"/>
      <c r="N774" s="86"/>
      <c r="CQ774" s="86"/>
      <c r="CR774" s="86"/>
      <c r="CS774" s="86"/>
      <c r="CT774" s="86"/>
      <c r="CU774" s="86"/>
      <c r="CV774" s="86"/>
      <c r="CW774" s="86"/>
    </row>
    <row r="775" customFormat="false" ht="12.75" hidden="false" customHeight="false" outlineLevel="0" collapsed="false">
      <c r="F775" s="86"/>
      <c r="G775" s="86"/>
      <c r="H775" s="86"/>
      <c r="I775" s="86"/>
      <c r="J775" s="86"/>
      <c r="K775" s="86"/>
      <c r="L775" s="86"/>
      <c r="N775" s="86"/>
      <c r="CQ775" s="86"/>
      <c r="CR775" s="86"/>
      <c r="CS775" s="86"/>
      <c r="CT775" s="86"/>
      <c r="CU775" s="86"/>
      <c r="CV775" s="86"/>
      <c r="CW775" s="86"/>
    </row>
    <row r="776" customFormat="false" ht="12.75" hidden="false" customHeight="false" outlineLevel="0" collapsed="false">
      <c r="F776" s="86"/>
      <c r="G776" s="86"/>
      <c r="H776" s="86"/>
      <c r="I776" s="86"/>
      <c r="J776" s="86"/>
      <c r="K776" s="86"/>
      <c r="L776" s="86"/>
      <c r="N776" s="86"/>
      <c r="CQ776" s="86"/>
      <c r="CR776" s="86"/>
      <c r="CS776" s="86"/>
      <c r="CT776" s="86"/>
      <c r="CU776" s="86"/>
      <c r="CV776" s="86"/>
      <c r="CW776" s="86"/>
    </row>
    <row r="777" customFormat="false" ht="12.75" hidden="false" customHeight="false" outlineLevel="0" collapsed="false">
      <c r="F777" s="86"/>
      <c r="G777" s="86"/>
      <c r="H777" s="86"/>
      <c r="I777" s="86"/>
      <c r="J777" s="86"/>
      <c r="K777" s="86"/>
      <c r="L777" s="86"/>
      <c r="N777" s="86"/>
      <c r="CQ777" s="86"/>
      <c r="CR777" s="86"/>
      <c r="CS777" s="86"/>
      <c r="CT777" s="86"/>
      <c r="CU777" s="86"/>
      <c r="CV777" s="86"/>
      <c r="CW777" s="86"/>
    </row>
    <row r="778" customFormat="false" ht="12.75" hidden="false" customHeight="false" outlineLevel="0" collapsed="false">
      <c r="F778" s="86"/>
      <c r="G778" s="86"/>
      <c r="H778" s="86"/>
      <c r="I778" s="86"/>
      <c r="J778" s="86"/>
      <c r="K778" s="86"/>
      <c r="L778" s="86"/>
      <c r="N778" s="86"/>
      <c r="CQ778" s="86"/>
      <c r="CR778" s="86"/>
      <c r="CS778" s="86"/>
      <c r="CT778" s="86"/>
      <c r="CU778" s="86"/>
      <c r="CV778" s="86"/>
      <c r="CW778" s="86"/>
    </row>
    <row r="779" customFormat="false" ht="12.75" hidden="false" customHeight="false" outlineLevel="0" collapsed="false">
      <c r="F779" s="86"/>
      <c r="G779" s="86"/>
      <c r="H779" s="86"/>
      <c r="I779" s="86"/>
      <c r="J779" s="86"/>
      <c r="K779" s="86"/>
      <c r="L779" s="86"/>
      <c r="N779" s="86"/>
      <c r="CQ779" s="86"/>
      <c r="CR779" s="86"/>
      <c r="CS779" s="86"/>
      <c r="CT779" s="86"/>
      <c r="CU779" s="86"/>
      <c r="CV779" s="86"/>
      <c r="CW779" s="86"/>
    </row>
    <row r="780" customFormat="false" ht="12.75" hidden="false" customHeight="false" outlineLevel="0" collapsed="false">
      <c r="F780" s="86"/>
      <c r="G780" s="86"/>
      <c r="H780" s="86"/>
      <c r="I780" s="86"/>
      <c r="J780" s="86"/>
      <c r="K780" s="86"/>
      <c r="L780" s="86"/>
      <c r="N780" s="86"/>
      <c r="CQ780" s="86"/>
      <c r="CR780" s="86"/>
      <c r="CS780" s="86"/>
      <c r="CT780" s="86"/>
      <c r="CU780" s="86"/>
      <c r="CV780" s="86"/>
      <c r="CW780" s="86"/>
    </row>
    <row r="781" customFormat="false" ht="12.75" hidden="false" customHeight="false" outlineLevel="0" collapsed="false">
      <c r="F781" s="86"/>
      <c r="G781" s="86"/>
      <c r="H781" s="86"/>
      <c r="I781" s="86"/>
      <c r="J781" s="86"/>
      <c r="K781" s="86"/>
      <c r="L781" s="86"/>
      <c r="N781" s="86"/>
      <c r="CQ781" s="86"/>
      <c r="CR781" s="86"/>
      <c r="CS781" s="86"/>
      <c r="CT781" s="86"/>
      <c r="CU781" s="86"/>
      <c r="CV781" s="86"/>
      <c r="CW781" s="86"/>
    </row>
    <row r="782" customFormat="false" ht="12.75" hidden="false" customHeight="false" outlineLevel="0" collapsed="false">
      <c r="F782" s="86"/>
      <c r="G782" s="86"/>
      <c r="H782" s="86"/>
      <c r="I782" s="86"/>
      <c r="J782" s="86"/>
      <c r="K782" s="86"/>
      <c r="L782" s="86"/>
      <c r="N782" s="86"/>
      <c r="CQ782" s="86"/>
      <c r="CR782" s="86"/>
      <c r="CS782" s="86"/>
      <c r="CT782" s="86"/>
      <c r="CU782" s="86"/>
      <c r="CV782" s="86"/>
      <c r="CW782" s="86"/>
    </row>
    <row r="783" customFormat="false" ht="12.75" hidden="false" customHeight="false" outlineLevel="0" collapsed="false">
      <c r="F783" s="86"/>
      <c r="G783" s="86"/>
      <c r="H783" s="86"/>
      <c r="I783" s="86"/>
      <c r="J783" s="86"/>
      <c r="K783" s="86"/>
      <c r="L783" s="86"/>
      <c r="N783" s="86"/>
      <c r="CQ783" s="86"/>
      <c r="CR783" s="86"/>
      <c r="CS783" s="86"/>
      <c r="CT783" s="86"/>
      <c r="CU783" s="86"/>
      <c r="CV783" s="86"/>
      <c r="CW783" s="86"/>
    </row>
    <row r="784" customFormat="false" ht="12.75" hidden="false" customHeight="false" outlineLevel="0" collapsed="false">
      <c r="F784" s="86"/>
      <c r="G784" s="86"/>
      <c r="H784" s="86"/>
      <c r="I784" s="86"/>
      <c r="J784" s="86"/>
      <c r="K784" s="86"/>
      <c r="L784" s="86"/>
      <c r="N784" s="86"/>
      <c r="CQ784" s="86"/>
      <c r="CR784" s="86"/>
      <c r="CS784" s="86"/>
      <c r="CT784" s="86"/>
      <c r="CU784" s="86"/>
      <c r="CV784" s="86"/>
      <c r="CW784" s="86"/>
    </row>
    <row r="785" customFormat="false" ht="12.75" hidden="false" customHeight="false" outlineLevel="0" collapsed="false">
      <c r="F785" s="86"/>
      <c r="G785" s="86"/>
      <c r="H785" s="86"/>
      <c r="I785" s="86"/>
      <c r="J785" s="86"/>
      <c r="K785" s="86"/>
      <c r="L785" s="86"/>
      <c r="N785" s="86"/>
      <c r="CQ785" s="86"/>
      <c r="CR785" s="86"/>
      <c r="CS785" s="86"/>
      <c r="CT785" s="86"/>
      <c r="CU785" s="86"/>
      <c r="CV785" s="86"/>
      <c r="CW785" s="86"/>
    </row>
    <row r="786" customFormat="false" ht="12.75" hidden="false" customHeight="false" outlineLevel="0" collapsed="false">
      <c r="F786" s="86"/>
      <c r="G786" s="86"/>
      <c r="H786" s="86"/>
      <c r="I786" s="86"/>
      <c r="J786" s="86"/>
      <c r="K786" s="86"/>
      <c r="L786" s="86"/>
      <c r="N786" s="86"/>
      <c r="CQ786" s="86"/>
      <c r="CR786" s="86"/>
      <c r="CS786" s="86"/>
      <c r="CT786" s="86"/>
      <c r="CU786" s="86"/>
      <c r="CV786" s="86"/>
      <c r="CW786" s="86"/>
    </row>
    <row r="787" customFormat="false" ht="12.75" hidden="false" customHeight="false" outlineLevel="0" collapsed="false">
      <c r="F787" s="86"/>
      <c r="G787" s="86"/>
      <c r="H787" s="86"/>
      <c r="I787" s="86"/>
      <c r="J787" s="86"/>
      <c r="K787" s="86"/>
      <c r="L787" s="86"/>
      <c r="N787" s="86"/>
      <c r="CQ787" s="86"/>
      <c r="CR787" s="86"/>
      <c r="CS787" s="86"/>
      <c r="CT787" s="86"/>
      <c r="CU787" s="86"/>
      <c r="CV787" s="86"/>
      <c r="CW787" s="86"/>
    </row>
    <row r="788" customFormat="false" ht="12.75" hidden="false" customHeight="false" outlineLevel="0" collapsed="false">
      <c r="F788" s="86"/>
      <c r="G788" s="86"/>
      <c r="H788" s="86"/>
      <c r="I788" s="86"/>
      <c r="J788" s="86"/>
      <c r="K788" s="86"/>
      <c r="L788" s="86"/>
      <c r="N788" s="86"/>
      <c r="CQ788" s="86"/>
      <c r="CR788" s="86"/>
      <c r="CS788" s="86"/>
      <c r="CT788" s="86"/>
      <c r="CU788" s="86"/>
      <c r="CV788" s="86"/>
      <c r="CW788" s="86"/>
    </row>
    <row r="789" customFormat="false" ht="12.75" hidden="false" customHeight="false" outlineLevel="0" collapsed="false">
      <c r="F789" s="86"/>
      <c r="G789" s="86"/>
      <c r="H789" s="86"/>
      <c r="I789" s="86"/>
      <c r="J789" s="86"/>
      <c r="K789" s="86"/>
      <c r="L789" s="86"/>
      <c r="N789" s="86"/>
      <c r="CQ789" s="86"/>
      <c r="CR789" s="86"/>
      <c r="CS789" s="86"/>
      <c r="CT789" s="86"/>
      <c r="CU789" s="86"/>
      <c r="CV789" s="86"/>
      <c r="CW789" s="86"/>
    </row>
    <row r="790" customFormat="false" ht="12.75" hidden="false" customHeight="false" outlineLevel="0" collapsed="false">
      <c r="F790" s="86"/>
      <c r="G790" s="86"/>
      <c r="H790" s="86"/>
      <c r="I790" s="86"/>
      <c r="J790" s="86"/>
      <c r="K790" s="86"/>
      <c r="L790" s="86"/>
      <c r="N790" s="86"/>
      <c r="CQ790" s="86"/>
      <c r="CR790" s="86"/>
      <c r="CS790" s="86"/>
      <c r="CT790" s="86"/>
      <c r="CU790" s="86"/>
      <c r="CV790" s="86"/>
      <c r="CW790" s="86"/>
    </row>
    <row r="791" customFormat="false" ht="12.75" hidden="false" customHeight="false" outlineLevel="0" collapsed="false">
      <c r="F791" s="86"/>
      <c r="G791" s="86"/>
      <c r="H791" s="86"/>
      <c r="I791" s="86"/>
      <c r="J791" s="86"/>
      <c r="K791" s="86"/>
      <c r="L791" s="86"/>
      <c r="N791" s="86"/>
      <c r="CQ791" s="86"/>
      <c r="CR791" s="86"/>
      <c r="CS791" s="86"/>
      <c r="CT791" s="86"/>
      <c r="CU791" s="86"/>
      <c r="CV791" s="86"/>
      <c r="CW791" s="86"/>
    </row>
    <row r="792" customFormat="false" ht="12.75" hidden="false" customHeight="false" outlineLevel="0" collapsed="false">
      <c r="F792" s="86"/>
      <c r="G792" s="86"/>
      <c r="H792" s="86"/>
      <c r="I792" s="86"/>
      <c r="J792" s="86"/>
      <c r="K792" s="86"/>
      <c r="L792" s="86"/>
      <c r="N792" s="86"/>
      <c r="CQ792" s="86"/>
      <c r="CR792" s="86"/>
      <c r="CS792" s="86"/>
      <c r="CT792" s="86"/>
      <c r="CU792" s="86"/>
      <c r="CV792" s="86"/>
      <c r="CW792" s="86"/>
    </row>
    <row r="793" customFormat="false" ht="12.75" hidden="false" customHeight="false" outlineLevel="0" collapsed="false">
      <c r="F793" s="86"/>
      <c r="G793" s="86"/>
      <c r="H793" s="86"/>
      <c r="I793" s="86"/>
      <c r="J793" s="86"/>
      <c r="K793" s="86"/>
      <c r="L793" s="86"/>
      <c r="N793" s="86"/>
      <c r="CQ793" s="86"/>
      <c r="CR793" s="86"/>
      <c r="CS793" s="86"/>
      <c r="CT793" s="86"/>
      <c r="CU793" s="86"/>
      <c r="CV793" s="86"/>
      <c r="CW793" s="86"/>
    </row>
    <row r="794" customFormat="false" ht="12.75" hidden="false" customHeight="false" outlineLevel="0" collapsed="false">
      <c r="F794" s="86"/>
      <c r="G794" s="86"/>
      <c r="H794" s="86"/>
      <c r="I794" s="86"/>
      <c r="J794" s="86"/>
      <c r="K794" s="86"/>
      <c r="L794" s="86"/>
      <c r="N794" s="86"/>
      <c r="CQ794" s="86"/>
      <c r="CR794" s="86"/>
      <c r="CS794" s="86"/>
      <c r="CT794" s="86"/>
      <c r="CU794" s="86"/>
      <c r="CV794" s="86"/>
      <c r="CW794" s="86"/>
    </row>
    <row r="795" customFormat="false" ht="12.75" hidden="false" customHeight="false" outlineLevel="0" collapsed="false">
      <c r="F795" s="86"/>
      <c r="G795" s="86"/>
      <c r="H795" s="86"/>
      <c r="I795" s="86"/>
      <c r="J795" s="86"/>
      <c r="K795" s="86"/>
      <c r="L795" s="86"/>
      <c r="N795" s="86"/>
      <c r="CQ795" s="86"/>
      <c r="CR795" s="86"/>
      <c r="CS795" s="86"/>
      <c r="CT795" s="86"/>
      <c r="CU795" s="86"/>
      <c r="CV795" s="86"/>
      <c r="CW795" s="86"/>
    </row>
    <row r="796" customFormat="false" ht="12.75" hidden="false" customHeight="false" outlineLevel="0" collapsed="false">
      <c r="F796" s="86"/>
      <c r="G796" s="86"/>
      <c r="H796" s="86"/>
      <c r="I796" s="86"/>
      <c r="J796" s="86"/>
      <c r="K796" s="86"/>
      <c r="L796" s="86"/>
      <c r="N796" s="86"/>
      <c r="CQ796" s="86"/>
      <c r="CR796" s="86"/>
      <c r="CS796" s="86"/>
      <c r="CT796" s="86"/>
      <c r="CU796" s="86"/>
      <c r="CV796" s="86"/>
      <c r="CW796" s="86"/>
    </row>
    <row r="797" customFormat="false" ht="12.75" hidden="false" customHeight="false" outlineLevel="0" collapsed="false">
      <c r="F797" s="86"/>
      <c r="G797" s="86"/>
      <c r="H797" s="86"/>
      <c r="I797" s="86"/>
      <c r="J797" s="86"/>
      <c r="K797" s="86"/>
      <c r="L797" s="86"/>
      <c r="N797" s="86"/>
      <c r="CQ797" s="86"/>
      <c r="CR797" s="86"/>
      <c r="CS797" s="86"/>
      <c r="CT797" s="86"/>
      <c r="CU797" s="86"/>
      <c r="CV797" s="86"/>
      <c r="CW797" s="86"/>
    </row>
    <row r="798" customFormat="false" ht="12.75" hidden="false" customHeight="false" outlineLevel="0" collapsed="false">
      <c r="F798" s="86"/>
      <c r="G798" s="86"/>
      <c r="H798" s="86"/>
      <c r="I798" s="86"/>
      <c r="J798" s="86"/>
      <c r="K798" s="86"/>
      <c r="L798" s="86"/>
      <c r="N798" s="86"/>
      <c r="CQ798" s="86"/>
      <c r="CR798" s="86"/>
      <c r="CS798" s="86"/>
      <c r="CT798" s="86"/>
      <c r="CU798" s="86"/>
      <c r="CV798" s="86"/>
      <c r="CW798" s="86"/>
    </row>
    <row r="799" customFormat="false" ht="12.75" hidden="false" customHeight="false" outlineLevel="0" collapsed="false">
      <c r="F799" s="86"/>
      <c r="G799" s="86"/>
      <c r="H799" s="86"/>
      <c r="I799" s="86"/>
      <c r="J799" s="86"/>
      <c r="K799" s="86"/>
      <c r="L799" s="86"/>
      <c r="N799" s="86"/>
      <c r="CQ799" s="86"/>
      <c r="CR799" s="86"/>
      <c r="CS799" s="86"/>
      <c r="CT799" s="86"/>
      <c r="CU799" s="86"/>
      <c r="CV799" s="86"/>
      <c r="CW799" s="86"/>
    </row>
    <row r="800" customFormat="false" ht="12.75" hidden="false" customHeight="false" outlineLevel="0" collapsed="false">
      <c r="F800" s="86"/>
      <c r="G800" s="86"/>
      <c r="H800" s="86"/>
      <c r="I800" s="86"/>
      <c r="J800" s="86"/>
      <c r="K800" s="86"/>
      <c r="L800" s="86"/>
      <c r="N800" s="86"/>
      <c r="CQ800" s="86"/>
      <c r="CR800" s="86"/>
      <c r="CS800" s="86"/>
      <c r="CT800" s="86"/>
      <c r="CU800" s="86"/>
      <c r="CV800" s="86"/>
      <c r="CW800" s="86"/>
    </row>
    <row r="801" customFormat="false" ht="12.75" hidden="false" customHeight="false" outlineLevel="0" collapsed="false">
      <c r="F801" s="86"/>
      <c r="G801" s="86"/>
      <c r="H801" s="86"/>
      <c r="I801" s="86"/>
      <c r="J801" s="86"/>
      <c r="K801" s="86"/>
      <c r="L801" s="86"/>
      <c r="N801" s="86"/>
      <c r="CQ801" s="86"/>
      <c r="CR801" s="86"/>
      <c r="CS801" s="86"/>
      <c r="CT801" s="86"/>
      <c r="CU801" s="86"/>
      <c r="CV801" s="86"/>
      <c r="CW801" s="86"/>
    </row>
    <row r="802" customFormat="false" ht="12.75" hidden="false" customHeight="false" outlineLevel="0" collapsed="false">
      <c r="F802" s="86"/>
      <c r="G802" s="86"/>
      <c r="H802" s="86"/>
      <c r="I802" s="86"/>
      <c r="J802" s="86"/>
      <c r="K802" s="86"/>
      <c r="L802" s="86"/>
      <c r="N802" s="86"/>
      <c r="CQ802" s="86"/>
      <c r="CR802" s="86"/>
      <c r="CS802" s="86"/>
      <c r="CT802" s="86"/>
      <c r="CU802" s="86"/>
      <c r="CV802" s="86"/>
      <c r="CW802" s="86"/>
    </row>
    <row r="803" customFormat="false" ht="12.75" hidden="false" customHeight="false" outlineLevel="0" collapsed="false">
      <c r="F803" s="86"/>
      <c r="G803" s="86"/>
      <c r="H803" s="86"/>
      <c r="I803" s="86"/>
      <c r="J803" s="86"/>
      <c r="K803" s="86"/>
      <c r="L803" s="86"/>
      <c r="N803" s="86"/>
      <c r="CQ803" s="86"/>
      <c r="CR803" s="86"/>
      <c r="CS803" s="86"/>
      <c r="CT803" s="86"/>
      <c r="CU803" s="86"/>
      <c r="CV803" s="86"/>
      <c r="CW803" s="86"/>
    </row>
    <row r="804" customFormat="false" ht="12.75" hidden="false" customHeight="false" outlineLevel="0" collapsed="false">
      <c r="F804" s="86"/>
      <c r="G804" s="86"/>
      <c r="H804" s="86"/>
      <c r="I804" s="86"/>
      <c r="J804" s="86"/>
      <c r="K804" s="86"/>
      <c r="L804" s="86"/>
      <c r="N804" s="86"/>
      <c r="CQ804" s="86"/>
      <c r="CR804" s="86"/>
      <c r="CS804" s="86"/>
      <c r="CT804" s="86"/>
      <c r="CU804" s="86"/>
      <c r="CV804" s="86"/>
      <c r="CW804" s="86"/>
    </row>
    <row r="805" customFormat="false" ht="12.75" hidden="false" customHeight="false" outlineLevel="0" collapsed="false">
      <c r="F805" s="86"/>
      <c r="G805" s="86"/>
      <c r="H805" s="86"/>
      <c r="I805" s="86"/>
      <c r="J805" s="86"/>
      <c r="K805" s="86"/>
      <c r="L805" s="86"/>
      <c r="N805" s="86"/>
      <c r="CQ805" s="86"/>
      <c r="CR805" s="86"/>
      <c r="CS805" s="86"/>
      <c r="CT805" s="86"/>
      <c r="CU805" s="86"/>
      <c r="CV805" s="86"/>
      <c r="CW805" s="86"/>
    </row>
    <row r="806" customFormat="false" ht="12.75" hidden="false" customHeight="false" outlineLevel="0" collapsed="false">
      <c r="F806" s="86"/>
      <c r="G806" s="86"/>
      <c r="H806" s="86"/>
      <c r="I806" s="86"/>
      <c r="J806" s="86"/>
      <c r="K806" s="86"/>
      <c r="L806" s="86"/>
      <c r="N806" s="86"/>
      <c r="CQ806" s="86"/>
      <c r="CR806" s="86"/>
      <c r="CS806" s="86"/>
      <c r="CT806" s="86"/>
      <c r="CU806" s="86"/>
      <c r="CV806" s="86"/>
      <c r="CW806" s="86"/>
    </row>
    <row r="807" customFormat="false" ht="12.75" hidden="false" customHeight="false" outlineLevel="0" collapsed="false">
      <c r="F807" s="86"/>
      <c r="G807" s="86"/>
      <c r="H807" s="86"/>
      <c r="I807" s="86"/>
      <c r="J807" s="86"/>
      <c r="K807" s="86"/>
      <c r="L807" s="86"/>
      <c r="N807" s="86"/>
      <c r="CQ807" s="86"/>
      <c r="CR807" s="86"/>
      <c r="CS807" s="86"/>
      <c r="CT807" s="86"/>
      <c r="CU807" s="86"/>
      <c r="CV807" s="86"/>
      <c r="CW807" s="86"/>
    </row>
    <row r="808" customFormat="false" ht="12.75" hidden="false" customHeight="false" outlineLevel="0" collapsed="false">
      <c r="F808" s="86"/>
      <c r="G808" s="86"/>
      <c r="H808" s="86"/>
      <c r="I808" s="86"/>
      <c r="J808" s="86"/>
      <c r="K808" s="86"/>
      <c r="L808" s="86"/>
      <c r="N808" s="86"/>
      <c r="CQ808" s="86"/>
      <c r="CR808" s="86"/>
      <c r="CS808" s="86"/>
      <c r="CT808" s="86"/>
      <c r="CU808" s="86"/>
      <c r="CV808" s="86"/>
      <c r="CW808" s="86"/>
    </row>
    <row r="809" customFormat="false" ht="12.75" hidden="false" customHeight="false" outlineLevel="0" collapsed="false">
      <c r="F809" s="86"/>
      <c r="G809" s="86"/>
      <c r="H809" s="86"/>
      <c r="I809" s="86"/>
      <c r="J809" s="86"/>
      <c r="K809" s="86"/>
      <c r="L809" s="86"/>
      <c r="N809" s="86"/>
      <c r="CQ809" s="86"/>
      <c r="CR809" s="86"/>
      <c r="CS809" s="86"/>
      <c r="CT809" s="86"/>
      <c r="CU809" s="86"/>
      <c r="CV809" s="86"/>
      <c r="CW809" s="86"/>
    </row>
    <row r="810" customFormat="false" ht="12.75" hidden="false" customHeight="false" outlineLevel="0" collapsed="false">
      <c r="F810" s="86"/>
      <c r="G810" s="86"/>
      <c r="H810" s="86"/>
      <c r="I810" s="86"/>
      <c r="J810" s="86"/>
      <c r="K810" s="86"/>
      <c r="L810" s="86"/>
      <c r="N810" s="86"/>
      <c r="CQ810" s="86"/>
      <c r="CR810" s="86"/>
      <c r="CS810" s="86"/>
      <c r="CT810" s="86"/>
      <c r="CU810" s="86"/>
      <c r="CV810" s="86"/>
      <c r="CW810" s="86"/>
    </row>
    <row r="811" customFormat="false" ht="12.75" hidden="false" customHeight="false" outlineLevel="0" collapsed="false">
      <c r="F811" s="86"/>
      <c r="G811" s="86"/>
      <c r="H811" s="86"/>
      <c r="I811" s="86"/>
      <c r="J811" s="86"/>
      <c r="K811" s="86"/>
      <c r="L811" s="86"/>
      <c r="N811" s="86"/>
      <c r="CQ811" s="86"/>
      <c r="CR811" s="86"/>
      <c r="CS811" s="86"/>
      <c r="CT811" s="86"/>
      <c r="CU811" s="86"/>
      <c r="CV811" s="86"/>
      <c r="CW811" s="86"/>
    </row>
    <row r="812" customFormat="false" ht="12.75" hidden="false" customHeight="false" outlineLevel="0" collapsed="false">
      <c r="F812" s="86"/>
      <c r="G812" s="86"/>
      <c r="H812" s="86"/>
      <c r="I812" s="86"/>
      <c r="J812" s="86"/>
      <c r="K812" s="86"/>
      <c r="L812" s="86"/>
      <c r="N812" s="86"/>
      <c r="CQ812" s="86"/>
      <c r="CR812" s="86"/>
      <c r="CS812" s="86"/>
      <c r="CT812" s="86"/>
      <c r="CU812" s="86"/>
      <c r="CV812" s="86"/>
      <c r="CW812" s="86"/>
    </row>
    <row r="813" customFormat="false" ht="12.75" hidden="false" customHeight="false" outlineLevel="0" collapsed="false">
      <c r="F813" s="86"/>
      <c r="G813" s="86"/>
      <c r="H813" s="86"/>
      <c r="I813" s="86"/>
      <c r="J813" s="86"/>
      <c r="K813" s="86"/>
      <c r="L813" s="86"/>
      <c r="N813" s="86"/>
      <c r="CQ813" s="86"/>
      <c r="CR813" s="86"/>
      <c r="CS813" s="86"/>
      <c r="CT813" s="86"/>
      <c r="CU813" s="86"/>
      <c r="CV813" s="86"/>
      <c r="CW813" s="86"/>
    </row>
    <row r="814" customFormat="false" ht="12.75" hidden="false" customHeight="false" outlineLevel="0" collapsed="false">
      <c r="F814" s="86"/>
      <c r="G814" s="86"/>
      <c r="H814" s="86"/>
      <c r="I814" s="86"/>
      <c r="J814" s="86"/>
      <c r="K814" s="86"/>
      <c r="L814" s="86"/>
      <c r="N814" s="86"/>
      <c r="CQ814" s="86"/>
      <c r="CR814" s="86"/>
      <c r="CS814" s="86"/>
      <c r="CT814" s="86"/>
      <c r="CU814" s="86"/>
      <c r="CV814" s="86"/>
      <c r="CW814" s="86"/>
    </row>
    <row r="815" customFormat="false" ht="12.75" hidden="false" customHeight="false" outlineLevel="0" collapsed="false">
      <c r="F815" s="86"/>
      <c r="G815" s="86"/>
      <c r="H815" s="86"/>
      <c r="I815" s="86"/>
      <c r="J815" s="86"/>
      <c r="K815" s="86"/>
      <c r="L815" s="86"/>
      <c r="N815" s="86"/>
      <c r="CQ815" s="86"/>
      <c r="CR815" s="86"/>
      <c r="CS815" s="86"/>
      <c r="CT815" s="86"/>
      <c r="CU815" s="86"/>
      <c r="CV815" s="86"/>
      <c r="CW815" s="86"/>
    </row>
    <row r="816" customFormat="false" ht="12.75" hidden="false" customHeight="false" outlineLevel="0" collapsed="false">
      <c r="F816" s="86"/>
      <c r="G816" s="86"/>
      <c r="H816" s="86"/>
      <c r="I816" s="86"/>
      <c r="J816" s="86"/>
      <c r="K816" s="86"/>
      <c r="L816" s="86"/>
      <c r="N816" s="86"/>
      <c r="CQ816" s="86"/>
      <c r="CR816" s="86"/>
      <c r="CS816" s="86"/>
      <c r="CT816" s="86"/>
      <c r="CU816" s="86"/>
      <c r="CV816" s="86"/>
      <c r="CW816" s="86"/>
    </row>
    <row r="817" customFormat="false" ht="12.75" hidden="false" customHeight="false" outlineLevel="0" collapsed="false">
      <c r="F817" s="86"/>
      <c r="G817" s="86"/>
      <c r="H817" s="86"/>
      <c r="I817" s="86"/>
      <c r="J817" s="86"/>
      <c r="K817" s="86"/>
      <c r="L817" s="86"/>
      <c r="N817" s="86"/>
      <c r="CQ817" s="86"/>
      <c r="CR817" s="86"/>
      <c r="CS817" s="86"/>
      <c r="CT817" s="86"/>
      <c r="CU817" s="86"/>
      <c r="CV817" s="86"/>
      <c r="CW817" s="86"/>
    </row>
    <row r="818" customFormat="false" ht="12.75" hidden="false" customHeight="false" outlineLevel="0" collapsed="false">
      <c r="F818" s="86"/>
      <c r="G818" s="86"/>
      <c r="H818" s="86"/>
      <c r="I818" s="86"/>
      <c r="J818" s="86"/>
      <c r="K818" s="86"/>
      <c r="L818" s="86"/>
      <c r="N818" s="86"/>
      <c r="CQ818" s="86"/>
      <c r="CR818" s="86"/>
      <c r="CS818" s="86"/>
      <c r="CT818" s="86"/>
      <c r="CU818" s="86"/>
      <c r="CV818" s="86"/>
      <c r="CW818" s="86"/>
    </row>
    <row r="819" customFormat="false" ht="12.75" hidden="false" customHeight="false" outlineLevel="0" collapsed="false">
      <c r="F819" s="86"/>
      <c r="G819" s="86"/>
      <c r="H819" s="86"/>
      <c r="I819" s="86"/>
      <c r="J819" s="86"/>
      <c r="K819" s="86"/>
      <c r="L819" s="86"/>
      <c r="N819" s="86"/>
      <c r="CQ819" s="86"/>
      <c r="CR819" s="86"/>
      <c r="CS819" s="86"/>
      <c r="CT819" s="86"/>
      <c r="CU819" s="86"/>
      <c r="CV819" s="86"/>
      <c r="CW819" s="86"/>
    </row>
    <row r="820" customFormat="false" ht="12.75" hidden="false" customHeight="false" outlineLevel="0" collapsed="false">
      <c r="F820" s="86"/>
      <c r="G820" s="86"/>
      <c r="H820" s="86"/>
      <c r="I820" s="86"/>
      <c r="J820" s="86"/>
      <c r="K820" s="86"/>
      <c r="L820" s="86"/>
      <c r="N820" s="86"/>
      <c r="CQ820" s="86"/>
      <c r="CR820" s="86"/>
      <c r="CS820" s="86"/>
      <c r="CT820" s="86"/>
      <c r="CU820" s="86"/>
      <c r="CV820" s="86"/>
      <c r="CW820" s="86"/>
    </row>
    <row r="821" customFormat="false" ht="12.75" hidden="false" customHeight="false" outlineLevel="0" collapsed="false">
      <c r="F821" s="86"/>
      <c r="G821" s="86"/>
      <c r="H821" s="86"/>
      <c r="I821" s="86"/>
      <c r="J821" s="86"/>
      <c r="K821" s="86"/>
      <c r="L821" s="86"/>
      <c r="N821" s="86"/>
      <c r="CQ821" s="86"/>
      <c r="CR821" s="86"/>
      <c r="CS821" s="86"/>
      <c r="CT821" s="86"/>
      <c r="CU821" s="86"/>
      <c r="CV821" s="86"/>
      <c r="CW821" s="86"/>
    </row>
    <row r="822" customFormat="false" ht="12.75" hidden="false" customHeight="false" outlineLevel="0" collapsed="false">
      <c r="F822" s="86"/>
      <c r="G822" s="86"/>
      <c r="H822" s="86"/>
      <c r="I822" s="86"/>
      <c r="J822" s="86"/>
      <c r="K822" s="86"/>
      <c r="L822" s="86"/>
      <c r="N822" s="86"/>
      <c r="CQ822" s="86"/>
      <c r="CR822" s="86"/>
      <c r="CS822" s="86"/>
      <c r="CT822" s="86"/>
      <c r="CU822" s="86"/>
      <c r="CV822" s="86"/>
      <c r="CW822" s="86"/>
    </row>
    <row r="823" customFormat="false" ht="12.75" hidden="false" customHeight="false" outlineLevel="0" collapsed="false">
      <c r="F823" s="86"/>
      <c r="G823" s="86"/>
      <c r="H823" s="86"/>
      <c r="I823" s="86"/>
      <c r="J823" s="86"/>
      <c r="K823" s="86"/>
      <c r="L823" s="86"/>
      <c r="N823" s="86"/>
      <c r="CQ823" s="86"/>
      <c r="CR823" s="86"/>
      <c r="CS823" s="86"/>
      <c r="CT823" s="86"/>
      <c r="CU823" s="86"/>
      <c r="CV823" s="86"/>
      <c r="CW823" s="86"/>
    </row>
    <row r="824" customFormat="false" ht="12.75" hidden="false" customHeight="false" outlineLevel="0" collapsed="false">
      <c r="F824" s="86"/>
      <c r="G824" s="86"/>
      <c r="H824" s="86"/>
      <c r="I824" s="86"/>
      <c r="J824" s="86"/>
      <c r="K824" s="86"/>
      <c r="L824" s="86"/>
      <c r="N824" s="86"/>
      <c r="CQ824" s="86"/>
      <c r="CR824" s="86"/>
      <c r="CS824" s="86"/>
      <c r="CT824" s="86"/>
      <c r="CU824" s="86"/>
      <c r="CV824" s="86"/>
      <c r="CW824" s="86"/>
    </row>
    <row r="825" customFormat="false" ht="12.75" hidden="false" customHeight="false" outlineLevel="0" collapsed="false">
      <c r="F825" s="86"/>
      <c r="G825" s="86"/>
      <c r="H825" s="86"/>
      <c r="I825" s="86"/>
      <c r="J825" s="86"/>
      <c r="K825" s="86"/>
      <c r="L825" s="86"/>
      <c r="N825" s="86"/>
      <c r="CQ825" s="86"/>
      <c r="CR825" s="86"/>
      <c r="CS825" s="86"/>
      <c r="CT825" s="86"/>
      <c r="CU825" s="86"/>
      <c r="CV825" s="86"/>
      <c r="CW825" s="86"/>
    </row>
    <row r="826" customFormat="false" ht="12.75" hidden="false" customHeight="false" outlineLevel="0" collapsed="false">
      <c r="F826" s="86"/>
      <c r="G826" s="86"/>
      <c r="H826" s="86"/>
      <c r="I826" s="86"/>
      <c r="J826" s="86"/>
      <c r="K826" s="86"/>
      <c r="L826" s="86"/>
      <c r="N826" s="86"/>
      <c r="CQ826" s="86"/>
      <c r="CR826" s="86"/>
      <c r="CS826" s="86"/>
      <c r="CT826" s="86"/>
      <c r="CU826" s="86"/>
      <c r="CV826" s="86"/>
      <c r="CW826" s="86"/>
    </row>
    <row r="827" customFormat="false" ht="12.75" hidden="false" customHeight="false" outlineLevel="0" collapsed="false">
      <c r="F827" s="86"/>
      <c r="G827" s="86"/>
      <c r="H827" s="86"/>
      <c r="I827" s="86"/>
      <c r="J827" s="86"/>
      <c r="K827" s="86"/>
      <c r="L827" s="86"/>
      <c r="N827" s="86"/>
      <c r="CQ827" s="86"/>
      <c r="CR827" s="86"/>
      <c r="CS827" s="86"/>
      <c r="CT827" s="86"/>
      <c r="CU827" s="86"/>
      <c r="CV827" s="86"/>
      <c r="CW827" s="86"/>
    </row>
    <row r="828" customFormat="false" ht="12.75" hidden="false" customHeight="false" outlineLevel="0" collapsed="false">
      <c r="F828" s="86"/>
      <c r="G828" s="86"/>
      <c r="H828" s="86"/>
      <c r="I828" s="86"/>
      <c r="J828" s="86"/>
      <c r="K828" s="86"/>
      <c r="L828" s="86"/>
      <c r="N828" s="86"/>
      <c r="CQ828" s="86"/>
      <c r="CR828" s="86"/>
      <c r="CS828" s="86"/>
      <c r="CT828" s="86"/>
      <c r="CU828" s="86"/>
      <c r="CV828" s="86"/>
      <c r="CW828" s="86"/>
    </row>
    <row r="829" customFormat="false" ht="12.75" hidden="false" customHeight="false" outlineLevel="0" collapsed="false">
      <c r="F829" s="86"/>
      <c r="G829" s="86"/>
      <c r="H829" s="86"/>
      <c r="I829" s="86"/>
      <c r="J829" s="86"/>
      <c r="K829" s="86"/>
      <c r="L829" s="86"/>
      <c r="N829" s="86"/>
      <c r="CQ829" s="86"/>
      <c r="CR829" s="86"/>
      <c r="CS829" s="86"/>
      <c r="CT829" s="86"/>
      <c r="CU829" s="86"/>
      <c r="CV829" s="86"/>
      <c r="CW829" s="86"/>
    </row>
    <row r="830" customFormat="false" ht="12.75" hidden="false" customHeight="false" outlineLevel="0" collapsed="false">
      <c r="F830" s="86"/>
      <c r="G830" s="86"/>
      <c r="H830" s="86"/>
      <c r="I830" s="86"/>
      <c r="J830" s="86"/>
      <c r="K830" s="86"/>
      <c r="L830" s="86"/>
      <c r="N830" s="86"/>
      <c r="CQ830" s="86"/>
      <c r="CR830" s="86"/>
      <c r="CS830" s="86"/>
      <c r="CT830" s="86"/>
      <c r="CU830" s="86"/>
      <c r="CV830" s="86"/>
      <c r="CW830" s="86"/>
    </row>
    <row r="831" customFormat="false" ht="12.75" hidden="false" customHeight="false" outlineLevel="0" collapsed="false">
      <c r="F831" s="86"/>
      <c r="G831" s="86"/>
      <c r="H831" s="86"/>
      <c r="I831" s="86"/>
      <c r="J831" s="86"/>
      <c r="K831" s="86"/>
      <c r="L831" s="86"/>
      <c r="N831" s="86"/>
      <c r="CQ831" s="86"/>
      <c r="CR831" s="86"/>
      <c r="CS831" s="86"/>
      <c r="CT831" s="86"/>
      <c r="CU831" s="86"/>
      <c r="CV831" s="86"/>
      <c r="CW831" s="86"/>
    </row>
    <row r="832" customFormat="false" ht="12.75" hidden="false" customHeight="false" outlineLevel="0" collapsed="false">
      <c r="F832" s="86"/>
      <c r="G832" s="86"/>
      <c r="H832" s="86"/>
      <c r="I832" s="86"/>
      <c r="J832" s="86"/>
      <c r="K832" s="86"/>
      <c r="L832" s="86"/>
      <c r="N832" s="86"/>
      <c r="CQ832" s="86"/>
      <c r="CR832" s="86"/>
      <c r="CS832" s="86"/>
      <c r="CT832" s="86"/>
      <c r="CU832" s="86"/>
      <c r="CV832" s="86"/>
      <c r="CW832" s="86"/>
    </row>
    <row r="833" customFormat="false" ht="12.75" hidden="false" customHeight="false" outlineLevel="0" collapsed="false">
      <c r="F833" s="86"/>
      <c r="G833" s="86"/>
      <c r="H833" s="86"/>
      <c r="I833" s="86"/>
      <c r="J833" s="86"/>
      <c r="K833" s="86"/>
      <c r="L833" s="86"/>
      <c r="N833" s="86"/>
      <c r="CQ833" s="86"/>
      <c r="CR833" s="86"/>
      <c r="CS833" s="86"/>
      <c r="CT833" s="86"/>
      <c r="CU833" s="86"/>
      <c r="CV833" s="86"/>
      <c r="CW833" s="86"/>
    </row>
    <row r="834" customFormat="false" ht="12.75" hidden="false" customHeight="false" outlineLevel="0" collapsed="false">
      <c r="F834" s="86"/>
      <c r="G834" s="86"/>
      <c r="H834" s="86"/>
      <c r="I834" s="86"/>
      <c r="J834" s="86"/>
      <c r="K834" s="86"/>
      <c r="L834" s="86"/>
      <c r="N834" s="86"/>
      <c r="CQ834" s="86"/>
      <c r="CR834" s="86"/>
      <c r="CS834" s="86"/>
      <c r="CT834" s="86"/>
      <c r="CU834" s="86"/>
      <c r="CV834" s="86"/>
      <c r="CW834" s="86"/>
    </row>
    <row r="835" customFormat="false" ht="12.75" hidden="false" customHeight="false" outlineLevel="0" collapsed="false">
      <c r="F835" s="86"/>
      <c r="G835" s="86"/>
      <c r="H835" s="86"/>
      <c r="I835" s="86"/>
      <c r="J835" s="86"/>
      <c r="K835" s="86"/>
      <c r="L835" s="86"/>
      <c r="N835" s="86"/>
      <c r="CQ835" s="86"/>
      <c r="CR835" s="86"/>
      <c r="CS835" s="86"/>
      <c r="CT835" s="86"/>
      <c r="CU835" s="86"/>
      <c r="CV835" s="86"/>
      <c r="CW835" s="86"/>
    </row>
    <row r="836" customFormat="false" ht="12.75" hidden="false" customHeight="false" outlineLevel="0" collapsed="false">
      <c r="F836" s="86"/>
      <c r="G836" s="86"/>
      <c r="H836" s="86"/>
      <c r="I836" s="86"/>
      <c r="J836" s="86"/>
      <c r="K836" s="86"/>
      <c r="L836" s="86"/>
      <c r="N836" s="86"/>
      <c r="CQ836" s="86"/>
      <c r="CR836" s="86"/>
      <c r="CS836" s="86"/>
      <c r="CT836" s="86"/>
      <c r="CU836" s="86"/>
      <c r="CV836" s="86"/>
      <c r="CW836" s="86"/>
    </row>
    <row r="837" customFormat="false" ht="12.75" hidden="false" customHeight="false" outlineLevel="0" collapsed="false">
      <c r="F837" s="86"/>
      <c r="G837" s="86"/>
      <c r="H837" s="86"/>
      <c r="I837" s="86"/>
      <c r="J837" s="86"/>
      <c r="K837" s="86"/>
      <c r="L837" s="86"/>
      <c r="N837" s="86"/>
      <c r="CQ837" s="86"/>
      <c r="CR837" s="86"/>
      <c r="CS837" s="86"/>
      <c r="CT837" s="86"/>
      <c r="CU837" s="86"/>
      <c r="CV837" s="86"/>
      <c r="CW837" s="86"/>
    </row>
    <row r="838" customFormat="false" ht="12.75" hidden="false" customHeight="false" outlineLevel="0" collapsed="false">
      <c r="F838" s="86"/>
      <c r="G838" s="86"/>
      <c r="H838" s="86"/>
      <c r="I838" s="86"/>
      <c r="J838" s="86"/>
      <c r="K838" s="86"/>
      <c r="L838" s="86"/>
      <c r="N838" s="86"/>
      <c r="CQ838" s="86"/>
      <c r="CR838" s="86"/>
      <c r="CS838" s="86"/>
      <c r="CT838" s="86"/>
      <c r="CU838" s="86"/>
      <c r="CV838" s="86"/>
      <c r="CW838" s="86"/>
    </row>
    <row r="839" customFormat="false" ht="12.75" hidden="false" customHeight="false" outlineLevel="0" collapsed="false">
      <c r="F839" s="86"/>
      <c r="G839" s="86"/>
      <c r="H839" s="86"/>
      <c r="I839" s="86"/>
      <c r="J839" s="86"/>
      <c r="K839" s="86"/>
      <c r="L839" s="86"/>
      <c r="N839" s="86"/>
      <c r="CQ839" s="86"/>
      <c r="CR839" s="86"/>
      <c r="CS839" s="86"/>
      <c r="CT839" s="86"/>
      <c r="CU839" s="86"/>
      <c r="CV839" s="86"/>
      <c r="CW839" s="86"/>
    </row>
    <row r="840" customFormat="false" ht="12.75" hidden="false" customHeight="false" outlineLevel="0" collapsed="false">
      <c r="F840" s="86"/>
      <c r="G840" s="86"/>
      <c r="H840" s="86"/>
      <c r="I840" s="86"/>
      <c r="J840" s="86"/>
      <c r="K840" s="86"/>
      <c r="L840" s="86"/>
      <c r="N840" s="86"/>
      <c r="CQ840" s="86"/>
      <c r="CR840" s="86"/>
      <c r="CS840" s="86"/>
      <c r="CT840" s="86"/>
      <c r="CU840" s="86"/>
      <c r="CV840" s="86"/>
      <c r="CW840" s="86"/>
    </row>
    <row r="841" customFormat="false" ht="12.75" hidden="false" customHeight="false" outlineLevel="0" collapsed="false">
      <c r="F841" s="86"/>
      <c r="G841" s="86"/>
      <c r="H841" s="86"/>
      <c r="I841" s="86"/>
      <c r="J841" s="86"/>
      <c r="K841" s="86"/>
      <c r="L841" s="86"/>
      <c r="N841" s="86"/>
      <c r="CQ841" s="86"/>
      <c r="CR841" s="86"/>
      <c r="CS841" s="86"/>
      <c r="CT841" s="86"/>
      <c r="CU841" s="86"/>
      <c r="CV841" s="86"/>
      <c r="CW841" s="86"/>
    </row>
    <row r="842" customFormat="false" ht="12.75" hidden="false" customHeight="false" outlineLevel="0" collapsed="false">
      <c r="F842" s="86"/>
      <c r="G842" s="86"/>
      <c r="H842" s="86"/>
      <c r="I842" s="86"/>
      <c r="J842" s="86"/>
      <c r="K842" s="86"/>
      <c r="L842" s="86"/>
      <c r="N842" s="86"/>
      <c r="CQ842" s="86"/>
      <c r="CR842" s="86"/>
      <c r="CS842" s="86"/>
      <c r="CT842" s="86"/>
      <c r="CU842" s="86"/>
      <c r="CV842" s="86"/>
      <c r="CW842" s="86"/>
    </row>
    <row r="843" customFormat="false" ht="12.75" hidden="false" customHeight="false" outlineLevel="0" collapsed="false">
      <c r="F843" s="86"/>
      <c r="G843" s="86"/>
      <c r="H843" s="86"/>
      <c r="I843" s="86"/>
      <c r="J843" s="86"/>
      <c r="K843" s="86"/>
      <c r="L843" s="86"/>
      <c r="N843" s="86"/>
      <c r="CQ843" s="86"/>
      <c r="CR843" s="86"/>
      <c r="CS843" s="86"/>
      <c r="CT843" s="86"/>
      <c r="CU843" s="86"/>
      <c r="CV843" s="86"/>
      <c r="CW843" s="86"/>
    </row>
    <row r="844" customFormat="false" ht="12.75" hidden="false" customHeight="false" outlineLevel="0" collapsed="false">
      <c r="F844" s="86"/>
      <c r="G844" s="86"/>
      <c r="H844" s="86"/>
      <c r="I844" s="86"/>
      <c r="J844" s="86"/>
      <c r="K844" s="86"/>
      <c r="L844" s="86"/>
      <c r="N844" s="86"/>
      <c r="CQ844" s="86"/>
      <c r="CR844" s="86"/>
      <c r="CS844" s="86"/>
      <c r="CT844" s="86"/>
      <c r="CU844" s="86"/>
      <c r="CV844" s="86"/>
      <c r="CW844" s="86"/>
    </row>
    <row r="845" customFormat="false" ht="12.75" hidden="false" customHeight="false" outlineLevel="0" collapsed="false">
      <c r="F845" s="86"/>
      <c r="G845" s="86"/>
      <c r="H845" s="86"/>
      <c r="I845" s="86"/>
      <c r="J845" s="86"/>
      <c r="K845" s="86"/>
      <c r="L845" s="86"/>
      <c r="N845" s="86"/>
      <c r="CQ845" s="86"/>
      <c r="CR845" s="86"/>
      <c r="CS845" s="86"/>
      <c r="CT845" s="86"/>
      <c r="CU845" s="86"/>
      <c r="CV845" s="86"/>
      <c r="CW845" s="86"/>
    </row>
    <row r="846" customFormat="false" ht="12.75" hidden="false" customHeight="false" outlineLevel="0" collapsed="false">
      <c r="F846" s="86"/>
      <c r="G846" s="86"/>
      <c r="H846" s="86"/>
      <c r="I846" s="86"/>
      <c r="J846" s="86"/>
      <c r="K846" s="86"/>
      <c r="L846" s="86"/>
      <c r="N846" s="86"/>
      <c r="CQ846" s="86"/>
      <c r="CR846" s="86"/>
      <c r="CS846" s="86"/>
      <c r="CT846" s="86"/>
      <c r="CU846" s="86"/>
      <c r="CV846" s="86"/>
      <c r="CW846" s="86"/>
    </row>
    <row r="847" customFormat="false" ht="12.75" hidden="false" customHeight="false" outlineLevel="0" collapsed="false">
      <c r="F847" s="86"/>
      <c r="G847" s="86"/>
      <c r="H847" s="86"/>
      <c r="I847" s="86"/>
      <c r="J847" s="86"/>
      <c r="K847" s="86"/>
      <c r="L847" s="86"/>
      <c r="N847" s="86"/>
      <c r="CQ847" s="86"/>
      <c r="CR847" s="86"/>
      <c r="CS847" s="86"/>
      <c r="CT847" s="86"/>
      <c r="CU847" s="86"/>
      <c r="CV847" s="86"/>
      <c r="CW847" s="86"/>
    </row>
    <row r="848" customFormat="false" ht="12.75" hidden="false" customHeight="false" outlineLevel="0" collapsed="false">
      <c r="F848" s="86"/>
      <c r="G848" s="86"/>
      <c r="H848" s="86"/>
      <c r="I848" s="86"/>
      <c r="J848" s="86"/>
      <c r="K848" s="86"/>
      <c r="L848" s="86"/>
      <c r="N848" s="86"/>
      <c r="CQ848" s="86"/>
      <c r="CR848" s="86"/>
      <c r="CS848" s="86"/>
      <c r="CT848" s="86"/>
      <c r="CU848" s="86"/>
      <c r="CV848" s="86"/>
      <c r="CW848" s="86"/>
    </row>
    <row r="849" customFormat="false" ht="12.75" hidden="false" customHeight="false" outlineLevel="0" collapsed="false">
      <c r="F849" s="86"/>
      <c r="G849" s="86"/>
      <c r="H849" s="86"/>
      <c r="I849" s="86"/>
      <c r="J849" s="86"/>
      <c r="K849" s="86"/>
      <c r="L849" s="86"/>
      <c r="N849" s="86"/>
      <c r="CQ849" s="86"/>
      <c r="CR849" s="86"/>
      <c r="CS849" s="86"/>
      <c r="CT849" s="86"/>
      <c r="CU849" s="86"/>
      <c r="CV849" s="86"/>
      <c r="CW849" s="86"/>
    </row>
    <row r="850" customFormat="false" ht="12.75" hidden="false" customHeight="false" outlineLevel="0" collapsed="false">
      <c r="F850" s="86"/>
      <c r="G850" s="86"/>
      <c r="H850" s="86"/>
      <c r="I850" s="86"/>
      <c r="J850" s="86"/>
      <c r="K850" s="86"/>
      <c r="L850" s="86"/>
      <c r="N850" s="86"/>
      <c r="CQ850" s="86"/>
      <c r="CR850" s="86"/>
      <c r="CS850" s="86"/>
      <c r="CT850" s="86"/>
      <c r="CU850" s="86"/>
      <c r="CV850" s="86"/>
      <c r="CW850" s="86"/>
    </row>
    <row r="851" customFormat="false" ht="12.75" hidden="false" customHeight="false" outlineLevel="0" collapsed="false">
      <c r="F851" s="86"/>
      <c r="G851" s="86"/>
      <c r="H851" s="86"/>
      <c r="I851" s="86"/>
      <c r="J851" s="86"/>
      <c r="K851" s="86"/>
      <c r="L851" s="86"/>
      <c r="N851" s="86"/>
      <c r="CQ851" s="86"/>
      <c r="CR851" s="86"/>
      <c r="CS851" s="86"/>
      <c r="CT851" s="86"/>
      <c r="CU851" s="86"/>
      <c r="CV851" s="86"/>
      <c r="CW851" s="86"/>
    </row>
    <row r="852" customFormat="false" ht="12.75" hidden="false" customHeight="false" outlineLevel="0" collapsed="false">
      <c r="F852" s="86"/>
      <c r="G852" s="86"/>
      <c r="H852" s="86"/>
      <c r="I852" s="86"/>
      <c r="J852" s="86"/>
      <c r="K852" s="86"/>
      <c r="L852" s="86"/>
      <c r="N852" s="86"/>
      <c r="CQ852" s="86"/>
      <c r="CR852" s="86"/>
      <c r="CS852" s="86"/>
      <c r="CT852" s="86"/>
      <c r="CU852" s="86"/>
      <c r="CV852" s="86"/>
      <c r="CW852" s="86"/>
    </row>
    <row r="853" customFormat="false" ht="12.75" hidden="false" customHeight="false" outlineLevel="0" collapsed="false">
      <c r="F853" s="86"/>
      <c r="G853" s="86"/>
      <c r="H853" s="86"/>
      <c r="I853" s="86"/>
      <c r="J853" s="86"/>
      <c r="K853" s="86"/>
      <c r="L853" s="86"/>
      <c r="N853" s="86"/>
      <c r="CQ853" s="86"/>
      <c r="CR853" s="86"/>
      <c r="CS853" s="86"/>
      <c r="CT853" s="86"/>
      <c r="CU853" s="86"/>
      <c r="CV853" s="86"/>
      <c r="CW853" s="86"/>
    </row>
    <row r="854" customFormat="false" ht="12.75" hidden="false" customHeight="false" outlineLevel="0" collapsed="false">
      <c r="F854" s="86"/>
      <c r="G854" s="86"/>
      <c r="H854" s="86"/>
      <c r="I854" s="86"/>
      <c r="J854" s="86"/>
      <c r="K854" s="86"/>
      <c r="L854" s="86"/>
      <c r="N854" s="86"/>
      <c r="CQ854" s="86"/>
      <c r="CR854" s="86"/>
      <c r="CS854" s="86"/>
      <c r="CT854" s="86"/>
      <c r="CU854" s="86"/>
      <c r="CV854" s="86"/>
      <c r="CW854" s="86"/>
    </row>
    <row r="855" customFormat="false" ht="12.75" hidden="false" customHeight="false" outlineLevel="0" collapsed="false">
      <c r="F855" s="86"/>
      <c r="G855" s="86"/>
      <c r="H855" s="86"/>
      <c r="I855" s="86"/>
      <c r="J855" s="86"/>
      <c r="K855" s="86"/>
      <c r="L855" s="86"/>
      <c r="N855" s="86"/>
      <c r="CQ855" s="86"/>
      <c r="CR855" s="86"/>
      <c r="CS855" s="86"/>
      <c r="CT855" s="86"/>
      <c r="CU855" s="86"/>
      <c r="CV855" s="86"/>
      <c r="CW855" s="86"/>
    </row>
    <row r="856" customFormat="false" ht="12.75" hidden="false" customHeight="false" outlineLevel="0" collapsed="false">
      <c r="F856" s="86"/>
      <c r="G856" s="86"/>
      <c r="H856" s="86"/>
      <c r="I856" s="86"/>
      <c r="J856" s="86"/>
      <c r="K856" s="86"/>
      <c r="L856" s="86"/>
      <c r="N856" s="86"/>
      <c r="CQ856" s="86"/>
      <c r="CR856" s="86"/>
      <c r="CS856" s="86"/>
      <c r="CT856" s="86"/>
      <c r="CU856" s="86"/>
      <c r="CV856" s="86"/>
      <c r="CW856" s="86"/>
    </row>
    <row r="857" customFormat="false" ht="12.75" hidden="false" customHeight="false" outlineLevel="0" collapsed="false">
      <c r="F857" s="86"/>
      <c r="G857" s="86"/>
      <c r="H857" s="86"/>
      <c r="I857" s="86"/>
      <c r="J857" s="86"/>
      <c r="K857" s="86"/>
      <c r="L857" s="86"/>
      <c r="N857" s="86"/>
      <c r="CQ857" s="86"/>
      <c r="CR857" s="86"/>
      <c r="CS857" s="86"/>
      <c r="CT857" s="86"/>
      <c r="CU857" s="86"/>
      <c r="CV857" s="86"/>
      <c r="CW857" s="86"/>
    </row>
    <row r="858" customFormat="false" ht="12.75" hidden="false" customHeight="false" outlineLevel="0" collapsed="false">
      <c r="F858" s="86"/>
      <c r="G858" s="86"/>
      <c r="H858" s="86"/>
      <c r="I858" s="86"/>
      <c r="J858" s="86"/>
      <c r="K858" s="86"/>
      <c r="L858" s="86"/>
      <c r="N858" s="86"/>
      <c r="CQ858" s="86"/>
      <c r="CR858" s="86"/>
      <c r="CS858" s="86"/>
      <c r="CT858" s="86"/>
      <c r="CU858" s="86"/>
      <c r="CV858" s="86"/>
      <c r="CW858" s="86"/>
    </row>
    <row r="859" customFormat="false" ht="12.75" hidden="false" customHeight="false" outlineLevel="0" collapsed="false">
      <c r="F859" s="86"/>
      <c r="G859" s="86"/>
      <c r="H859" s="86"/>
      <c r="I859" s="86"/>
      <c r="J859" s="86"/>
      <c r="K859" s="86"/>
      <c r="L859" s="86"/>
      <c r="N859" s="86"/>
      <c r="CQ859" s="86"/>
      <c r="CR859" s="86"/>
      <c r="CS859" s="86"/>
      <c r="CT859" s="86"/>
      <c r="CU859" s="86"/>
      <c r="CV859" s="86"/>
      <c r="CW859" s="86"/>
    </row>
    <row r="860" customFormat="false" ht="12.75" hidden="false" customHeight="false" outlineLevel="0" collapsed="false">
      <c r="F860" s="86"/>
      <c r="G860" s="86"/>
      <c r="H860" s="86"/>
      <c r="I860" s="86"/>
      <c r="J860" s="86"/>
      <c r="K860" s="86"/>
      <c r="L860" s="86"/>
      <c r="N860" s="86"/>
      <c r="CQ860" s="86"/>
      <c r="CR860" s="86"/>
      <c r="CS860" s="86"/>
      <c r="CT860" s="86"/>
      <c r="CU860" s="86"/>
      <c r="CV860" s="86"/>
      <c r="CW860" s="86"/>
    </row>
    <row r="861" customFormat="false" ht="12.75" hidden="false" customHeight="false" outlineLevel="0" collapsed="false">
      <c r="F861" s="86"/>
      <c r="G861" s="86"/>
      <c r="H861" s="86"/>
      <c r="I861" s="86"/>
      <c r="J861" s="86"/>
      <c r="K861" s="86"/>
      <c r="L861" s="86"/>
      <c r="N861" s="86"/>
      <c r="CQ861" s="86"/>
      <c r="CR861" s="86"/>
      <c r="CS861" s="86"/>
      <c r="CT861" s="86"/>
      <c r="CU861" s="86"/>
      <c r="CV861" s="86"/>
      <c r="CW861" s="86"/>
    </row>
    <row r="862" customFormat="false" ht="12.75" hidden="false" customHeight="false" outlineLevel="0" collapsed="false">
      <c r="F862" s="86"/>
      <c r="G862" s="86"/>
      <c r="H862" s="86"/>
      <c r="I862" s="86"/>
      <c r="J862" s="86"/>
      <c r="K862" s="86"/>
      <c r="L862" s="86"/>
      <c r="N862" s="86"/>
      <c r="CQ862" s="86"/>
      <c r="CR862" s="86"/>
      <c r="CS862" s="86"/>
      <c r="CT862" s="86"/>
      <c r="CU862" s="86"/>
      <c r="CV862" s="86"/>
      <c r="CW862" s="86"/>
    </row>
    <row r="863" customFormat="false" ht="12.75" hidden="false" customHeight="false" outlineLevel="0" collapsed="false">
      <c r="F863" s="86"/>
      <c r="G863" s="86"/>
      <c r="H863" s="86"/>
      <c r="I863" s="86"/>
      <c r="J863" s="86"/>
      <c r="K863" s="86"/>
      <c r="L863" s="86"/>
      <c r="N863" s="86"/>
      <c r="CQ863" s="86"/>
      <c r="CR863" s="86"/>
      <c r="CS863" s="86"/>
      <c r="CT863" s="86"/>
      <c r="CU863" s="86"/>
      <c r="CV863" s="86"/>
      <c r="CW863" s="86"/>
    </row>
    <row r="864" customFormat="false" ht="12.75" hidden="false" customHeight="false" outlineLevel="0" collapsed="false">
      <c r="F864" s="86"/>
      <c r="G864" s="86"/>
      <c r="H864" s="86"/>
      <c r="I864" s="86"/>
      <c r="J864" s="86"/>
      <c r="K864" s="86"/>
      <c r="L864" s="86"/>
      <c r="N864" s="86"/>
      <c r="CQ864" s="86"/>
      <c r="CR864" s="86"/>
      <c r="CS864" s="86"/>
      <c r="CT864" s="86"/>
      <c r="CU864" s="86"/>
      <c r="CV864" s="86"/>
      <c r="CW864" s="86"/>
    </row>
    <row r="865" customFormat="false" ht="12.75" hidden="false" customHeight="false" outlineLevel="0" collapsed="false">
      <c r="F865" s="86"/>
      <c r="G865" s="86"/>
      <c r="H865" s="86"/>
      <c r="I865" s="86"/>
      <c r="J865" s="86"/>
      <c r="K865" s="86"/>
      <c r="L865" s="86"/>
      <c r="N865" s="86"/>
      <c r="CQ865" s="86"/>
      <c r="CR865" s="86"/>
      <c r="CS865" s="86"/>
      <c r="CT865" s="86"/>
      <c r="CU865" s="86"/>
      <c r="CV865" s="86"/>
      <c r="CW865" s="86"/>
    </row>
    <row r="866" customFormat="false" ht="12.75" hidden="false" customHeight="false" outlineLevel="0" collapsed="false">
      <c r="F866" s="86"/>
      <c r="G866" s="86"/>
      <c r="H866" s="86"/>
      <c r="I866" s="86"/>
      <c r="J866" s="86"/>
      <c r="K866" s="86"/>
      <c r="L866" s="86"/>
      <c r="N866" s="86"/>
      <c r="CQ866" s="86"/>
      <c r="CR866" s="86"/>
      <c r="CS866" s="86"/>
      <c r="CT866" s="86"/>
      <c r="CU866" s="86"/>
      <c r="CV866" s="86"/>
      <c r="CW866" s="86"/>
    </row>
    <row r="867" customFormat="false" ht="12.75" hidden="false" customHeight="false" outlineLevel="0" collapsed="false">
      <c r="F867" s="86"/>
      <c r="G867" s="86"/>
      <c r="H867" s="86"/>
      <c r="I867" s="86"/>
      <c r="J867" s="86"/>
      <c r="K867" s="86"/>
      <c r="L867" s="86"/>
      <c r="N867" s="86"/>
      <c r="CQ867" s="86"/>
      <c r="CR867" s="86"/>
      <c r="CS867" s="86"/>
      <c r="CT867" s="86"/>
      <c r="CU867" s="86"/>
      <c r="CV867" s="86"/>
      <c r="CW867" s="86"/>
    </row>
    <row r="868" customFormat="false" ht="12.75" hidden="false" customHeight="false" outlineLevel="0" collapsed="false">
      <c r="F868" s="86"/>
      <c r="G868" s="86"/>
      <c r="H868" s="86"/>
      <c r="I868" s="86"/>
      <c r="J868" s="86"/>
      <c r="K868" s="86"/>
      <c r="L868" s="86"/>
      <c r="N868" s="86"/>
      <c r="CQ868" s="86"/>
      <c r="CR868" s="86"/>
      <c r="CS868" s="86"/>
      <c r="CT868" s="86"/>
      <c r="CU868" s="86"/>
      <c r="CV868" s="86"/>
      <c r="CW868" s="86"/>
    </row>
    <row r="869" customFormat="false" ht="12.75" hidden="false" customHeight="false" outlineLevel="0" collapsed="false">
      <c r="F869" s="86"/>
      <c r="G869" s="86"/>
      <c r="H869" s="86"/>
      <c r="I869" s="86"/>
      <c r="J869" s="86"/>
      <c r="K869" s="86"/>
      <c r="L869" s="86"/>
      <c r="N869" s="86"/>
      <c r="CQ869" s="86"/>
      <c r="CR869" s="86"/>
      <c r="CS869" s="86"/>
      <c r="CT869" s="86"/>
      <c r="CU869" s="86"/>
      <c r="CV869" s="86"/>
      <c r="CW869" s="86"/>
    </row>
    <row r="870" customFormat="false" ht="12.75" hidden="false" customHeight="false" outlineLevel="0" collapsed="false">
      <c r="F870" s="86"/>
      <c r="G870" s="86"/>
      <c r="H870" s="86"/>
      <c r="I870" s="86"/>
      <c r="J870" s="86"/>
      <c r="K870" s="86"/>
      <c r="L870" s="86"/>
      <c r="N870" s="86"/>
      <c r="CQ870" s="86"/>
      <c r="CR870" s="86"/>
      <c r="CS870" s="86"/>
      <c r="CT870" s="86"/>
      <c r="CU870" s="86"/>
      <c r="CV870" s="86"/>
      <c r="CW870" s="86"/>
    </row>
    <row r="871" customFormat="false" ht="12.75" hidden="false" customHeight="false" outlineLevel="0" collapsed="false">
      <c r="F871" s="86"/>
      <c r="G871" s="86"/>
      <c r="H871" s="86"/>
      <c r="I871" s="86"/>
      <c r="J871" s="86"/>
      <c r="K871" s="86"/>
      <c r="L871" s="86"/>
      <c r="N871" s="86"/>
      <c r="CQ871" s="86"/>
      <c r="CR871" s="86"/>
      <c r="CS871" s="86"/>
      <c r="CT871" s="86"/>
      <c r="CU871" s="86"/>
      <c r="CV871" s="86"/>
      <c r="CW871" s="86"/>
    </row>
    <row r="872" customFormat="false" ht="12.75" hidden="false" customHeight="false" outlineLevel="0" collapsed="false">
      <c r="F872" s="86"/>
      <c r="G872" s="86"/>
      <c r="H872" s="86"/>
      <c r="I872" s="86"/>
      <c r="J872" s="86"/>
      <c r="K872" s="86"/>
      <c r="L872" s="86"/>
      <c r="N872" s="86"/>
      <c r="CQ872" s="86"/>
      <c r="CR872" s="86"/>
      <c r="CS872" s="86"/>
      <c r="CT872" s="86"/>
      <c r="CU872" s="86"/>
      <c r="CV872" s="86"/>
      <c r="CW872" s="86"/>
    </row>
    <row r="873" customFormat="false" ht="12.75" hidden="false" customHeight="false" outlineLevel="0" collapsed="false">
      <c r="F873" s="86"/>
      <c r="G873" s="86"/>
      <c r="H873" s="86"/>
      <c r="I873" s="86"/>
      <c r="J873" s="86"/>
      <c r="K873" s="86"/>
      <c r="L873" s="86"/>
      <c r="N873" s="86"/>
      <c r="CQ873" s="86"/>
      <c r="CR873" s="86"/>
      <c r="CS873" s="86"/>
      <c r="CT873" s="86"/>
      <c r="CU873" s="86"/>
      <c r="CV873" s="86"/>
      <c r="CW873" s="86"/>
    </row>
    <row r="874" customFormat="false" ht="12.75" hidden="false" customHeight="false" outlineLevel="0" collapsed="false">
      <c r="F874" s="86"/>
      <c r="G874" s="86"/>
      <c r="H874" s="86"/>
      <c r="I874" s="86"/>
      <c r="J874" s="86"/>
      <c r="K874" s="86"/>
      <c r="L874" s="86"/>
      <c r="N874" s="86"/>
      <c r="CQ874" s="86"/>
      <c r="CR874" s="86"/>
      <c r="CS874" s="86"/>
      <c r="CT874" s="86"/>
      <c r="CU874" s="86"/>
      <c r="CV874" s="86"/>
      <c r="CW874" s="86"/>
    </row>
    <row r="875" customFormat="false" ht="12.75" hidden="false" customHeight="false" outlineLevel="0" collapsed="false">
      <c r="F875" s="86"/>
      <c r="G875" s="86"/>
      <c r="H875" s="86"/>
      <c r="I875" s="86"/>
      <c r="J875" s="86"/>
      <c r="K875" s="86"/>
      <c r="L875" s="86"/>
      <c r="N875" s="86"/>
      <c r="CQ875" s="86"/>
      <c r="CR875" s="86"/>
      <c r="CS875" s="86"/>
      <c r="CT875" s="86"/>
      <c r="CU875" s="86"/>
      <c r="CV875" s="86"/>
      <c r="CW875" s="86"/>
    </row>
    <row r="876" customFormat="false" ht="12.75" hidden="false" customHeight="false" outlineLevel="0" collapsed="false">
      <c r="F876" s="86"/>
      <c r="G876" s="86"/>
      <c r="H876" s="86"/>
      <c r="I876" s="86"/>
      <c r="J876" s="86"/>
      <c r="K876" s="86"/>
      <c r="L876" s="86"/>
      <c r="N876" s="86"/>
      <c r="CQ876" s="86"/>
      <c r="CR876" s="86"/>
      <c r="CS876" s="86"/>
      <c r="CT876" s="86"/>
      <c r="CU876" s="86"/>
      <c r="CV876" s="86"/>
      <c r="CW876" s="86"/>
    </row>
    <row r="877" customFormat="false" ht="12.75" hidden="false" customHeight="false" outlineLevel="0" collapsed="false">
      <c r="F877" s="86"/>
      <c r="G877" s="86"/>
      <c r="H877" s="86"/>
      <c r="I877" s="86"/>
      <c r="J877" s="86"/>
      <c r="K877" s="86"/>
      <c r="L877" s="86"/>
      <c r="N877" s="86"/>
      <c r="CQ877" s="86"/>
      <c r="CR877" s="86"/>
      <c r="CS877" s="86"/>
      <c r="CT877" s="86"/>
      <c r="CU877" s="86"/>
      <c r="CV877" s="86"/>
      <c r="CW877" s="86"/>
    </row>
    <row r="878" customFormat="false" ht="12.75" hidden="false" customHeight="false" outlineLevel="0" collapsed="false">
      <c r="F878" s="86"/>
      <c r="G878" s="86"/>
      <c r="H878" s="86"/>
      <c r="I878" s="86"/>
      <c r="J878" s="86"/>
      <c r="K878" s="86"/>
      <c r="L878" s="86"/>
      <c r="N878" s="86"/>
      <c r="CQ878" s="86"/>
      <c r="CR878" s="86"/>
      <c r="CS878" s="86"/>
      <c r="CT878" s="86"/>
      <c r="CU878" s="86"/>
      <c r="CV878" s="86"/>
      <c r="CW878" s="86"/>
    </row>
    <row r="879" customFormat="false" ht="12.75" hidden="false" customHeight="false" outlineLevel="0" collapsed="false">
      <c r="F879" s="86"/>
      <c r="G879" s="86"/>
      <c r="H879" s="86"/>
      <c r="I879" s="86"/>
      <c r="J879" s="86"/>
      <c r="K879" s="86"/>
      <c r="L879" s="86"/>
      <c r="N879" s="86"/>
      <c r="CQ879" s="86"/>
      <c r="CR879" s="86"/>
      <c r="CS879" s="86"/>
      <c r="CT879" s="86"/>
      <c r="CU879" s="86"/>
      <c r="CV879" s="86"/>
      <c r="CW879" s="86"/>
    </row>
    <row r="880" customFormat="false" ht="12.75" hidden="false" customHeight="false" outlineLevel="0" collapsed="false">
      <c r="F880" s="86"/>
      <c r="G880" s="86"/>
      <c r="H880" s="86"/>
      <c r="I880" s="86"/>
      <c r="J880" s="86"/>
      <c r="K880" s="86"/>
      <c r="L880" s="86"/>
      <c r="N880" s="86"/>
      <c r="CQ880" s="86"/>
      <c r="CR880" s="86"/>
      <c r="CS880" s="86"/>
      <c r="CT880" s="86"/>
      <c r="CU880" s="86"/>
      <c r="CV880" s="86"/>
      <c r="CW880" s="86"/>
    </row>
    <row r="881" customFormat="false" ht="12.75" hidden="false" customHeight="false" outlineLevel="0" collapsed="false">
      <c r="F881" s="86"/>
      <c r="G881" s="86"/>
      <c r="H881" s="86"/>
      <c r="I881" s="86"/>
      <c r="J881" s="86"/>
      <c r="K881" s="86"/>
      <c r="L881" s="86"/>
      <c r="N881" s="86"/>
      <c r="CQ881" s="86"/>
      <c r="CR881" s="86"/>
      <c r="CS881" s="86"/>
      <c r="CT881" s="86"/>
      <c r="CU881" s="86"/>
      <c r="CV881" s="86"/>
      <c r="CW881" s="86"/>
    </row>
    <row r="882" customFormat="false" ht="12.75" hidden="false" customHeight="false" outlineLevel="0" collapsed="false">
      <c r="F882" s="86"/>
      <c r="G882" s="86"/>
      <c r="H882" s="86"/>
      <c r="I882" s="86"/>
      <c r="J882" s="86"/>
      <c r="K882" s="86"/>
      <c r="L882" s="86"/>
      <c r="N882" s="86"/>
      <c r="CQ882" s="86"/>
      <c r="CR882" s="86"/>
      <c r="CS882" s="86"/>
      <c r="CT882" s="86"/>
      <c r="CU882" s="86"/>
      <c r="CV882" s="86"/>
      <c r="CW882" s="86"/>
    </row>
    <row r="883" customFormat="false" ht="12.75" hidden="false" customHeight="false" outlineLevel="0" collapsed="false">
      <c r="F883" s="86"/>
      <c r="G883" s="86"/>
      <c r="H883" s="86"/>
      <c r="I883" s="86"/>
      <c r="J883" s="86"/>
      <c r="K883" s="86"/>
      <c r="L883" s="86"/>
      <c r="N883" s="86"/>
      <c r="CQ883" s="86"/>
      <c r="CR883" s="86"/>
      <c r="CS883" s="86"/>
      <c r="CT883" s="86"/>
      <c r="CU883" s="86"/>
      <c r="CV883" s="86"/>
      <c r="CW883" s="86"/>
    </row>
    <row r="884" customFormat="false" ht="12.75" hidden="false" customHeight="false" outlineLevel="0" collapsed="false">
      <c r="F884" s="86"/>
      <c r="G884" s="86"/>
      <c r="H884" s="86"/>
      <c r="I884" s="86"/>
      <c r="J884" s="86"/>
      <c r="K884" s="86"/>
      <c r="L884" s="86"/>
      <c r="N884" s="86"/>
      <c r="CQ884" s="86"/>
      <c r="CR884" s="86"/>
      <c r="CS884" s="86"/>
      <c r="CT884" s="86"/>
      <c r="CU884" s="86"/>
      <c r="CV884" s="86"/>
      <c r="CW884" s="86"/>
    </row>
    <row r="885" customFormat="false" ht="12.75" hidden="false" customHeight="false" outlineLevel="0" collapsed="false">
      <c r="F885" s="86"/>
      <c r="G885" s="86"/>
      <c r="H885" s="86"/>
      <c r="I885" s="86"/>
      <c r="J885" s="86"/>
      <c r="K885" s="86"/>
      <c r="L885" s="86"/>
      <c r="N885" s="86"/>
      <c r="CQ885" s="86"/>
      <c r="CR885" s="86"/>
      <c r="CS885" s="86"/>
      <c r="CT885" s="86"/>
      <c r="CU885" s="86"/>
      <c r="CV885" s="86"/>
      <c r="CW885" s="86"/>
    </row>
    <row r="886" customFormat="false" ht="12.75" hidden="false" customHeight="false" outlineLevel="0" collapsed="false">
      <c r="F886" s="86"/>
      <c r="G886" s="86"/>
      <c r="H886" s="86"/>
      <c r="I886" s="86"/>
      <c r="J886" s="86"/>
      <c r="K886" s="86"/>
      <c r="L886" s="86"/>
      <c r="N886" s="86"/>
      <c r="CQ886" s="86"/>
      <c r="CR886" s="86"/>
      <c r="CS886" s="86"/>
      <c r="CT886" s="86"/>
      <c r="CU886" s="86"/>
      <c r="CV886" s="86"/>
      <c r="CW886" s="86"/>
    </row>
    <row r="887" customFormat="false" ht="12.75" hidden="false" customHeight="false" outlineLevel="0" collapsed="false">
      <c r="F887" s="86"/>
      <c r="G887" s="86"/>
      <c r="H887" s="86"/>
      <c r="I887" s="86"/>
      <c r="J887" s="86"/>
      <c r="K887" s="86"/>
      <c r="L887" s="86"/>
      <c r="N887" s="86"/>
      <c r="CQ887" s="86"/>
      <c r="CR887" s="86"/>
      <c r="CS887" s="86"/>
      <c r="CT887" s="86"/>
      <c r="CU887" s="86"/>
      <c r="CV887" s="86"/>
      <c r="CW887" s="86"/>
    </row>
    <row r="888" customFormat="false" ht="12.75" hidden="false" customHeight="false" outlineLevel="0" collapsed="false">
      <c r="F888" s="86"/>
      <c r="G888" s="86"/>
      <c r="H888" s="86"/>
      <c r="I888" s="86"/>
      <c r="J888" s="86"/>
      <c r="K888" s="86"/>
      <c r="L888" s="86"/>
      <c r="N888" s="86"/>
      <c r="CQ888" s="86"/>
      <c r="CR888" s="86"/>
      <c r="CS888" s="86"/>
      <c r="CT888" s="86"/>
      <c r="CU888" s="86"/>
      <c r="CV888" s="86"/>
      <c r="CW888" s="86"/>
    </row>
    <row r="889" customFormat="false" ht="12.75" hidden="false" customHeight="false" outlineLevel="0" collapsed="false">
      <c r="F889" s="86"/>
      <c r="G889" s="86"/>
      <c r="H889" s="86"/>
      <c r="I889" s="86"/>
      <c r="J889" s="86"/>
      <c r="K889" s="86"/>
      <c r="L889" s="86"/>
      <c r="N889" s="86"/>
      <c r="CQ889" s="86"/>
      <c r="CR889" s="86"/>
      <c r="CS889" s="86"/>
      <c r="CT889" s="86"/>
      <c r="CU889" s="86"/>
      <c r="CV889" s="86"/>
      <c r="CW889" s="86"/>
    </row>
    <row r="890" customFormat="false" ht="12.75" hidden="false" customHeight="false" outlineLevel="0" collapsed="false">
      <c r="F890" s="86"/>
      <c r="G890" s="86"/>
      <c r="H890" s="86"/>
      <c r="I890" s="86"/>
      <c r="J890" s="86"/>
      <c r="K890" s="86"/>
      <c r="L890" s="86"/>
      <c r="N890" s="86"/>
      <c r="CQ890" s="86"/>
      <c r="CR890" s="86"/>
      <c r="CS890" s="86"/>
      <c r="CT890" s="86"/>
      <c r="CU890" s="86"/>
      <c r="CV890" s="86"/>
      <c r="CW890" s="86"/>
    </row>
    <row r="891" customFormat="false" ht="12.75" hidden="false" customHeight="false" outlineLevel="0" collapsed="false">
      <c r="F891" s="86"/>
      <c r="G891" s="86"/>
      <c r="H891" s="86"/>
      <c r="I891" s="86"/>
      <c r="J891" s="86"/>
      <c r="K891" s="86"/>
      <c r="L891" s="86"/>
      <c r="N891" s="86"/>
      <c r="CQ891" s="86"/>
      <c r="CR891" s="86"/>
      <c r="CS891" s="86"/>
      <c r="CT891" s="86"/>
      <c r="CU891" s="86"/>
      <c r="CV891" s="86"/>
      <c r="CW891" s="86"/>
    </row>
    <row r="892" customFormat="false" ht="12.75" hidden="false" customHeight="false" outlineLevel="0" collapsed="false">
      <c r="F892" s="86"/>
      <c r="G892" s="86"/>
      <c r="H892" s="86"/>
      <c r="I892" s="86"/>
      <c r="J892" s="86"/>
      <c r="K892" s="86"/>
      <c r="L892" s="86"/>
      <c r="N892" s="86"/>
      <c r="CQ892" s="86"/>
      <c r="CR892" s="86"/>
      <c r="CS892" s="86"/>
      <c r="CT892" s="86"/>
      <c r="CU892" s="86"/>
      <c r="CV892" s="86"/>
      <c r="CW892" s="86"/>
    </row>
    <row r="893" customFormat="false" ht="12.75" hidden="false" customHeight="false" outlineLevel="0" collapsed="false">
      <c r="F893" s="86"/>
      <c r="G893" s="86"/>
      <c r="H893" s="86"/>
      <c r="I893" s="86"/>
      <c r="J893" s="86"/>
      <c r="K893" s="86"/>
      <c r="L893" s="86"/>
      <c r="N893" s="86"/>
      <c r="CQ893" s="86"/>
      <c r="CR893" s="86"/>
      <c r="CS893" s="86"/>
      <c r="CT893" s="86"/>
      <c r="CU893" s="86"/>
      <c r="CV893" s="86"/>
      <c r="CW893" s="86"/>
    </row>
    <row r="894" customFormat="false" ht="12.75" hidden="false" customHeight="false" outlineLevel="0" collapsed="false">
      <c r="F894" s="86"/>
      <c r="G894" s="86"/>
      <c r="H894" s="86"/>
      <c r="I894" s="86"/>
      <c r="J894" s="86"/>
      <c r="K894" s="86"/>
      <c r="L894" s="86"/>
      <c r="N894" s="86"/>
      <c r="CQ894" s="86"/>
      <c r="CR894" s="86"/>
      <c r="CS894" s="86"/>
      <c r="CT894" s="86"/>
      <c r="CU894" s="86"/>
      <c r="CV894" s="86"/>
      <c r="CW894" s="86"/>
    </row>
    <row r="895" customFormat="false" ht="12.75" hidden="false" customHeight="false" outlineLevel="0" collapsed="false">
      <c r="F895" s="86"/>
      <c r="G895" s="86"/>
      <c r="H895" s="86"/>
      <c r="I895" s="86"/>
      <c r="J895" s="86"/>
      <c r="K895" s="86"/>
      <c r="L895" s="86"/>
      <c r="N895" s="86"/>
      <c r="CQ895" s="86"/>
      <c r="CR895" s="86"/>
      <c r="CS895" s="86"/>
      <c r="CT895" s="86"/>
      <c r="CU895" s="86"/>
      <c r="CV895" s="86"/>
      <c r="CW895" s="86"/>
    </row>
    <row r="896" customFormat="false" ht="12.75" hidden="false" customHeight="false" outlineLevel="0" collapsed="false">
      <c r="F896" s="86"/>
      <c r="G896" s="86"/>
      <c r="H896" s="86"/>
      <c r="I896" s="86"/>
      <c r="J896" s="86"/>
      <c r="K896" s="86"/>
      <c r="L896" s="86"/>
      <c r="N896" s="86"/>
      <c r="CQ896" s="86"/>
      <c r="CR896" s="86"/>
      <c r="CS896" s="86"/>
      <c r="CT896" s="86"/>
      <c r="CU896" s="86"/>
      <c r="CV896" s="86"/>
      <c r="CW896" s="86"/>
    </row>
    <row r="897" customFormat="false" ht="12.75" hidden="false" customHeight="false" outlineLevel="0" collapsed="false">
      <c r="F897" s="86"/>
      <c r="G897" s="86"/>
      <c r="H897" s="86"/>
      <c r="I897" s="86"/>
      <c r="J897" s="86"/>
      <c r="K897" s="86"/>
      <c r="L897" s="86"/>
      <c r="N897" s="86"/>
      <c r="CQ897" s="86"/>
      <c r="CR897" s="86"/>
      <c r="CS897" s="86"/>
      <c r="CT897" s="86"/>
      <c r="CU897" s="86"/>
      <c r="CV897" s="86"/>
      <c r="CW897" s="86"/>
    </row>
    <row r="898" customFormat="false" ht="12.75" hidden="false" customHeight="false" outlineLevel="0" collapsed="false">
      <c r="F898" s="86"/>
      <c r="G898" s="86"/>
      <c r="H898" s="86"/>
      <c r="I898" s="86"/>
      <c r="J898" s="86"/>
      <c r="K898" s="86"/>
      <c r="L898" s="86"/>
      <c r="N898" s="86"/>
      <c r="CQ898" s="86"/>
      <c r="CR898" s="86"/>
      <c r="CS898" s="86"/>
      <c r="CT898" s="86"/>
      <c r="CU898" s="86"/>
      <c r="CV898" s="86"/>
      <c r="CW898" s="86"/>
    </row>
    <row r="899" customFormat="false" ht="12.75" hidden="false" customHeight="false" outlineLevel="0" collapsed="false">
      <c r="F899" s="86"/>
      <c r="G899" s="86"/>
      <c r="H899" s="86"/>
      <c r="I899" s="86"/>
      <c r="J899" s="86"/>
      <c r="K899" s="86"/>
      <c r="L899" s="86"/>
      <c r="N899" s="86"/>
      <c r="CQ899" s="86"/>
      <c r="CR899" s="86"/>
      <c r="CS899" s="86"/>
      <c r="CT899" s="86"/>
      <c r="CU899" s="86"/>
      <c r="CV899" s="86"/>
      <c r="CW899" s="86"/>
    </row>
    <row r="900" customFormat="false" ht="12.75" hidden="false" customHeight="false" outlineLevel="0" collapsed="false">
      <c r="F900" s="86"/>
      <c r="G900" s="86"/>
      <c r="H900" s="86"/>
      <c r="I900" s="86"/>
      <c r="J900" s="86"/>
      <c r="K900" s="86"/>
      <c r="L900" s="86"/>
      <c r="N900" s="86"/>
      <c r="CQ900" s="86"/>
      <c r="CR900" s="86"/>
      <c r="CS900" s="86"/>
      <c r="CT900" s="86"/>
      <c r="CU900" s="86"/>
      <c r="CV900" s="86"/>
      <c r="CW900" s="86"/>
    </row>
    <row r="901" customFormat="false" ht="12.75" hidden="false" customHeight="false" outlineLevel="0" collapsed="false">
      <c r="F901" s="86"/>
      <c r="G901" s="86"/>
      <c r="H901" s="86"/>
      <c r="I901" s="86"/>
      <c r="J901" s="86"/>
      <c r="K901" s="86"/>
      <c r="L901" s="86"/>
      <c r="N901" s="86"/>
      <c r="CQ901" s="86"/>
      <c r="CR901" s="86"/>
      <c r="CS901" s="86"/>
      <c r="CT901" s="86"/>
      <c r="CU901" s="86"/>
      <c r="CV901" s="86"/>
      <c r="CW901" s="86"/>
    </row>
    <row r="902" customFormat="false" ht="12.75" hidden="false" customHeight="false" outlineLevel="0" collapsed="false">
      <c r="F902" s="86"/>
      <c r="G902" s="86"/>
      <c r="H902" s="86"/>
      <c r="I902" s="86"/>
      <c r="J902" s="86"/>
      <c r="K902" s="86"/>
      <c r="L902" s="86"/>
      <c r="N902" s="86"/>
      <c r="CQ902" s="86"/>
      <c r="CR902" s="86"/>
      <c r="CS902" s="86"/>
      <c r="CT902" s="86"/>
      <c r="CU902" s="86"/>
      <c r="CV902" s="86"/>
      <c r="CW902" s="86"/>
    </row>
    <row r="903" customFormat="false" ht="12.75" hidden="false" customHeight="false" outlineLevel="0" collapsed="false">
      <c r="F903" s="86"/>
      <c r="G903" s="86"/>
      <c r="H903" s="86"/>
      <c r="I903" s="86"/>
      <c r="J903" s="86"/>
      <c r="K903" s="86"/>
      <c r="L903" s="86"/>
      <c r="N903" s="86"/>
      <c r="CQ903" s="86"/>
      <c r="CR903" s="86"/>
      <c r="CS903" s="86"/>
      <c r="CT903" s="86"/>
      <c r="CU903" s="86"/>
      <c r="CV903" s="86"/>
      <c r="CW903" s="86"/>
    </row>
    <row r="904" customFormat="false" ht="12.75" hidden="false" customHeight="false" outlineLevel="0" collapsed="false">
      <c r="F904" s="86"/>
      <c r="G904" s="86"/>
      <c r="H904" s="86"/>
      <c r="I904" s="86"/>
      <c r="J904" s="86"/>
      <c r="K904" s="86"/>
      <c r="L904" s="86"/>
      <c r="N904" s="86"/>
      <c r="CQ904" s="86"/>
      <c r="CR904" s="86"/>
      <c r="CS904" s="86"/>
      <c r="CT904" s="86"/>
      <c r="CU904" s="86"/>
      <c r="CV904" s="86"/>
      <c r="CW904" s="86"/>
    </row>
    <row r="905" customFormat="false" ht="12.75" hidden="false" customHeight="false" outlineLevel="0" collapsed="false">
      <c r="F905" s="86"/>
      <c r="G905" s="86"/>
      <c r="H905" s="86"/>
      <c r="I905" s="86"/>
      <c r="J905" s="86"/>
      <c r="K905" s="86"/>
      <c r="L905" s="86"/>
      <c r="N905" s="86"/>
      <c r="CQ905" s="86"/>
      <c r="CR905" s="86"/>
      <c r="CS905" s="86"/>
      <c r="CT905" s="86"/>
      <c r="CU905" s="86"/>
      <c r="CV905" s="86"/>
      <c r="CW905" s="86"/>
    </row>
    <row r="906" customFormat="false" ht="12.75" hidden="false" customHeight="false" outlineLevel="0" collapsed="false">
      <c r="F906" s="86"/>
      <c r="G906" s="86"/>
      <c r="H906" s="86"/>
      <c r="I906" s="86"/>
      <c r="J906" s="86"/>
      <c r="K906" s="86"/>
      <c r="L906" s="86"/>
      <c r="N906" s="86"/>
      <c r="CQ906" s="86"/>
      <c r="CR906" s="86"/>
      <c r="CS906" s="86"/>
      <c r="CT906" s="86"/>
      <c r="CU906" s="86"/>
      <c r="CV906" s="86"/>
      <c r="CW906" s="86"/>
    </row>
    <row r="907" customFormat="false" ht="12.75" hidden="false" customHeight="false" outlineLevel="0" collapsed="false">
      <c r="F907" s="86"/>
      <c r="G907" s="86"/>
      <c r="H907" s="86"/>
      <c r="I907" s="86"/>
      <c r="J907" s="86"/>
      <c r="K907" s="86"/>
      <c r="L907" s="86"/>
      <c r="N907" s="86"/>
      <c r="CQ907" s="86"/>
      <c r="CR907" s="86"/>
      <c r="CS907" s="86"/>
      <c r="CT907" s="86"/>
      <c r="CU907" s="86"/>
      <c r="CV907" s="86"/>
      <c r="CW907" s="86"/>
    </row>
    <row r="908" customFormat="false" ht="12.75" hidden="false" customHeight="false" outlineLevel="0" collapsed="false">
      <c r="F908" s="86"/>
      <c r="G908" s="86"/>
      <c r="H908" s="86"/>
      <c r="I908" s="86"/>
      <c r="J908" s="86"/>
      <c r="K908" s="86"/>
      <c r="L908" s="86"/>
      <c r="N908" s="86"/>
      <c r="CQ908" s="86"/>
      <c r="CR908" s="86"/>
      <c r="CS908" s="86"/>
      <c r="CT908" s="86"/>
      <c r="CU908" s="86"/>
      <c r="CV908" s="86"/>
      <c r="CW908" s="86"/>
    </row>
    <row r="909" customFormat="false" ht="12.75" hidden="false" customHeight="false" outlineLevel="0" collapsed="false">
      <c r="F909" s="86"/>
      <c r="G909" s="86"/>
      <c r="H909" s="86"/>
      <c r="I909" s="86"/>
      <c r="J909" s="86"/>
      <c r="K909" s="86"/>
      <c r="L909" s="86"/>
      <c r="N909" s="86"/>
      <c r="CQ909" s="86"/>
      <c r="CR909" s="86"/>
      <c r="CS909" s="86"/>
      <c r="CT909" s="86"/>
      <c r="CU909" s="86"/>
      <c r="CV909" s="86"/>
      <c r="CW909" s="86"/>
    </row>
    <row r="910" customFormat="false" ht="12.75" hidden="false" customHeight="false" outlineLevel="0" collapsed="false">
      <c r="F910" s="86"/>
      <c r="G910" s="86"/>
      <c r="H910" s="86"/>
      <c r="I910" s="86"/>
      <c r="J910" s="86"/>
      <c r="K910" s="86"/>
      <c r="L910" s="86"/>
      <c r="N910" s="86"/>
      <c r="CQ910" s="86"/>
      <c r="CR910" s="86"/>
      <c r="CS910" s="86"/>
      <c r="CT910" s="86"/>
      <c r="CU910" s="86"/>
      <c r="CV910" s="86"/>
      <c r="CW910" s="86"/>
    </row>
    <row r="911" customFormat="false" ht="12.75" hidden="false" customHeight="false" outlineLevel="0" collapsed="false">
      <c r="F911" s="86"/>
      <c r="G911" s="86"/>
      <c r="H911" s="86"/>
      <c r="I911" s="86"/>
      <c r="J911" s="86"/>
      <c r="K911" s="86"/>
      <c r="L911" s="86"/>
      <c r="N911" s="86"/>
      <c r="CQ911" s="86"/>
      <c r="CR911" s="86"/>
      <c r="CS911" s="86"/>
      <c r="CT911" s="86"/>
      <c r="CU911" s="86"/>
      <c r="CV911" s="86"/>
      <c r="CW911" s="86"/>
    </row>
    <row r="912" customFormat="false" ht="12.75" hidden="false" customHeight="false" outlineLevel="0" collapsed="false">
      <c r="F912" s="86"/>
      <c r="G912" s="86"/>
      <c r="H912" s="86"/>
      <c r="I912" s="86"/>
      <c r="J912" s="86"/>
      <c r="K912" s="86"/>
      <c r="L912" s="86"/>
      <c r="N912" s="86"/>
      <c r="CQ912" s="86"/>
      <c r="CR912" s="86"/>
      <c r="CS912" s="86"/>
      <c r="CT912" s="86"/>
      <c r="CU912" s="86"/>
      <c r="CV912" s="86"/>
      <c r="CW912" s="86"/>
    </row>
    <row r="913" customFormat="false" ht="12.75" hidden="false" customHeight="false" outlineLevel="0" collapsed="false">
      <c r="F913" s="86"/>
      <c r="G913" s="86"/>
      <c r="H913" s="86"/>
      <c r="I913" s="86"/>
      <c r="J913" s="86"/>
      <c r="K913" s="86"/>
      <c r="L913" s="86"/>
      <c r="N913" s="86"/>
      <c r="CQ913" s="86"/>
      <c r="CR913" s="86"/>
      <c r="CS913" s="86"/>
      <c r="CT913" s="86"/>
      <c r="CU913" s="86"/>
      <c r="CV913" s="86"/>
      <c r="CW913" s="86"/>
    </row>
    <row r="914" customFormat="false" ht="12.75" hidden="false" customHeight="false" outlineLevel="0" collapsed="false">
      <c r="F914" s="86"/>
      <c r="G914" s="86"/>
      <c r="H914" s="86"/>
      <c r="I914" s="86"/>
      <c r="J914" s="86"/>
      <c r="K914" s="86"/>
      <c r="L914" s="86"/>
      <c r="N914" s="86"/>
      <c r="CQ914" s="86"/>
      <c r="CR914" s="86"/>
      <c r="CS914" s="86"/>
      <c r="CT914" s="86"/>
      <c r="CU914" s="86"/>
      <c r="CV914" s="86"/>
      <c r="CW914" s="86"/>
    </row>
    <row r="915" customFormat="false" ht="12.75" hidden="false" customHeight="false" outlineLevel="0" collapsed="false">
      <c r="F915" s="86"/>
      <c r="G915" s="86"/>
      <c r="H915" s="86"/>
      <c r="I915" s="86"/>
      <c r="J915" s="86"/>
      <c r="K915" s="86"/>
      <c r="L915" s="86"/>
      <c r="N915" s="86"/>
      <c r="CQ915" s="86"/>
      <c r="CR915" s="86"/>
      <c r="CS915" s="86"/>
      <c r="CT915" s="86"/>
      <c r="CU915" s="86"/>
      <c r="CV915" s="86"/>
      <c r="CW915" s="86"/>
    </row>
    <row r="916" customFormat="false" ht="12.75" hidden="false" customHeight="false" outlineLevel="0" collapsed="false">
      <c r="F916" s="86"/>
      <c r="G916" s="86"/>
      <c r="H916" s="86"/>
      <c r="I916" s="86"/>
      <c r="J916" s="86"/>
      <c r="K916" s="86"/>
      <c r="L916" s="86"/>
      <c r="N916" s="86"/>
      <c r="CQ916" s="86"/>
      <c r="CR916" s="86"/>
      <c r="CS916" s="86"/>
      <c r="CT916" s="86"/>
      <c r="CU916" s="86"/>
      <c r="CV916" s="86"/>
      <c r="CW916" s="86"/>
    </row>
    <row r="917" customFormat="false" ht="12.75" hidden="false" customHeight="false" outlineLevel="0" collapsed="false">
      <c r="F917" s="86"/>
      <c r="G917" s="86"/>
      <c r="H917" s="86"/>
      <c r="I917" s="86"/>
      <c r="J917" s="86"/>
      <c r="K917" s="86"/>
      <c r="L917" s="86"/>
      <c r="N917" s="86"/>
      <c r="CQ917" s="86"/>
      <c r="CR917" s="86"/>
      <c r="CS917" s="86"/>
      <c r="CT917" s="86"/>
      <c r="CU917" s="86"/>
      <c r="CV917" s="86"/>
      <c r="CW917" s="86"/>
    </row>
    <row r="918" customFormat="false" ht="12.75" hidden="false" customHeight="false" outlineLevel="0" collapsed="false">
      <c r="F918" s="86"/>
      <c r="G918" s="86"/>
      <c r="H918" s="86"/>
      <c r="I918" s="86"/>
      <c r="J918" s="86"/>
      <c r="K918" s="86"/>
      <c r="L918" s="86"/>
      <c r="N918" s="86"/>
      <c r="CQ918" s="86"/>
      <c r="CR918" s="86"/>
      <c r="CS918" s="86"/>
      <c r="CT918" s="86"/>
      <c r="CU918" s="86"/>
      <c r="CV918" s="86"/>
      <c r="CW918" s="86"/>
    </row>
    <row r="919" customFormat="false" ht="12.75" hidden="false" customHeight="false" outlineLevel="0" collapsed="false">
      <c r="F919" s="86"/>
      <c r="G919" s="86"/>
      <c r="H919" s="86"/>
      <c r="I919" s="86"/>
      <c r="J919" s="86"/>
      <c r="K919" s="86"/>
      <c r="L919" s="86"/>
      <c r="N919" s="86"/>
      <c r="CQ919" s="86"/>
      <c r="CR919" s="86"/>
      <c r="CS919" s="86"/>
      <c r="CT919" s="86"/>
      <c r="CU919" s="86"/>
      <c r="CV919" s="86"/>
      <c r="CW919" s="86"/>
    </row>
    <row r="920" customFormat="false" ht="12.75" hidden="false" customHeight="false" outlineLevel="0" collapsed="false">
      <c r="F920" s="86"/>
      <c r="G920" s="86"/>
      <c r="H920" s="86"/>
      <c r="I920" s="86"/>
      <c r="J920" s="86"/>
      <c r="K920" s="86"/>
      <c r="L920" s="86"/>
      <c r="N920" s="86"/>
      <c r="CQ920" s="86"/>
      <c r="CR920" s="86"/>
      <c r="CS920" s="86"/>
      <c r="CT920" s="86"/>
      <c r="CU920" s="86"/>
      <c r="CV920" s="86"/>
      <c r="CW920" s="86"/>
    </row>
    <row r="921" customFormat="false" ht="12.75" hidden="false" customHeight="false" outlineLevel="0" collapsed="false">
      <c r="F921" s="86"/>
      <c r="G921" s="86"/>
      <c r="H921" s="86"/>
      <c r="I921" s="86"/>
      <c r="J921" s="86"/>
      <c r="K921" s="86"/>
      <c r="L921" s="86"/>
      <c r="N921" s="86"/>
      <c r="CQ921" s="86"/>
      <c r="CR921" s="86"/>
      <c r="CS921" s="86"/>
      <c r="CT921" s="86"/>
      <c r="CU921" s="86"/>
      <c r="CV921" s="86"/>
      <c r="CW921" s="86"/>
    </row>
    <row r="922" customFormat="false" ht="12.75" hidden="false" customHeight="false" outlineLevel="0" collapsed="false">
      <c r="F922" s="86"/>
      <c r="G922" s="86"/>
      <c r="H922" s="86"/>
      <c r="I922" s="86"/>
      <c r="J922" s="86"/>
      <c r="K922" s="86"/>
      <c r="L922" s="86"/>
      <c r="N922" s="86"/>
      <c r="CQ922" s="86"/>
      <c r="CR922" s="86"/>
      <c r="CS922" s="86"/>
      <c r="CT922" s="86"/>
      <c r="CU922" s="86"/>
      <c r="CV922" s="86"/>
      <c r="CW922" s="86"/>
    </row>
    <row r="923" customFormat="false" ht="12.75" hidden="false" customHeight="false" outlineLevel="0" collapsed="false">
      <c r="F923" s="86"/>
      <c r="G923" s="86"/>
      <c r="H923" s="86"/>
      <c r="I923" s="86"/>
      <c r="J923" s="86"/>
      <c r="K923" s="86"/>
      <c r="L923" s="86"/>
      <c r="N923" s="86"/>
      <c r="CQ923" s="86"/>
      <c r="CR923" s="86"/>
      <c r="CS923" s="86"/>
      <c r="CT923" s="86"/>
      <c r="CU923" s="86"/>
      <c r="CV923" s="86"/>
      <c r="CW923" s="86"/>
    </row>
    <row r="924" customFormat="false" ht="12.75" hidden="false" customHeight="false" outlineLevel="0" collapsed="false">
      <c r="F924" s="86"/>
      <c r="G924" s="86"/>
      <c r="H924" s="86"/>
      <c r="I924" s="86"/>
      <c r="J924" s="86"/>
      <c r="K924" s="86"/>
      <c r="L924" s="86"/>
      <c r="N924" s="86"/>
      <c r="CQ924" s="86"/>
      <c r="CR924" s="86"/>
      <c r="CS924" s="86"/>
      <c r="CT924" s="86"/>
      <c r="CU924" s="86"/>
      <c r="CV924" s="86"/>
      <c r="CW924" s="86"/>
    </row>
    <row r="925" customFormat="false" ht="12.75" hidden="false" customHeight="false" outlineLevel="0" collapsed="false">
      <c r="F925" s="86"/>
      <c r="G925" s="86"/>
      <c r="H925" s="86"/>
      <c r="I925" s="86"/>
      <c r="J925" s="86"/>
      <c r="K925" s="86"/>
      <c r="L925" s="86"/>
      <c r="N925" s="86"/>
      <c r="CQ925" s="86"/>
      <c r="CR925" s="86"/>
      <c r="CS925" s="86"/>
      <c r="CT925" s="86"/>
      <c r="CU925" s="86"/>
      <c r="CV925" s="86"/>
      <c r="CW925" s="86"/>
    </row>
    <row r="926" customFormat="false" ht="12.75" hidden="false" customHeight="false" outlineLevel="0" collapsed="false">
      <c r="F926" s="86"/>
      <c r="G926" s="86"/>
      <c r="H926" s="86"/>
      <c r="I926" s="86"/>
      <c r="J926" s="86"/>
      <c r="K926" s="86"/>
      <c r="L926" s="86"/>
      <c r="N926" s="86"/>
      <c r="CQ926" s="86"/>
      <c r="CR926" s="86"/>
      <c r="CS926" s="86"/>
      <c r="CT926" s="86"/>
      <c r="CU926" s="86"/>
      <c r="CV926" s="86"/>
      <c r="CW926" s="86"/>
    </row>
    <row r="927" customFormat="false" ht="12.75" hidden="false" customHeight="false" outlineLevel="0" collapsed="false">
      <c r="F927" s="86"/>
      <c r="G927" s="86"/>
      <c r="H927" s="86"/>
      <c r="I927" s="86"/>
      <c r="J927" s="86"/>
      <c r="K927" s="86"/>
      <c r="L927" s="86"/>
      <c r="N927" s="86"/>
      <c r="CQ927" s="86"/>
      <c r="CR927" s="86"/>
      <c r="CS927" s="86"/>
      <c r="CT927" s="86"/>
      <c r="CU927" s="86"/>
      <c r="CV927" s="86"/>
      <c r="CW927" s="86"/>
    </row>
    <row r="928" customFormat="false" ht="12.75" hidden="false" customHeight="false" outlineLevel="0" collapsed="false">
      <c r="F928" s="86"/>
      <c r="G928" s="86"/>
      <c r="H928" s="86"/>
      <c r="I928" s="86"/>
      <c r="J928" s="86"/>
      <c r="K928" s="86"/>
      <c r="L928" s="86"/>
      <c r="N928" s="86"/>
      <c r="CQ928" s="86"/>
      <c r="CR928" s="86"/>
      <c r="CS928" s="86"/>
      <c r="CT928" s="86"/>
      <c r="CU928" s="86"/>
      <c r="CV928" s="86"/>
      <c r="CW928" s="86"/>
    </row>
    <row r="929" customFormat="false" ht="12.75" hidden="false" customHeight="false" outlineLevel="0" collapsed="false">
      <c r="F929" s="86"/>
      <c r="G929" s="86"/>
      <c r="H929" s="86"/>
      <c r="I929" s="86"/>
      <c r="J929" s="86"/>
      <c r="K929" s="86"/>
      <c r="L929" s="86"/>
      <c r="N929" s="86"/>
      <c r="CQ929" s="86"/>
      <c r="CR929" s="86"/>
      <c r="CS929" s="86"/>
      <c r="CT929" s="86"/>
      <c r="CU929" s="86"/>
      <c r="CV929" s="86"/>
      <c r="CW929" s="86"/>
    </row>
    <row r="930" customFormat="false" ht="12.75" hidden="false" customHeight="false" outlineLevel="0" collapsed="false">
      <c r="F930" s="86"/>
      <c r="G930" s="86"/>
      <c r="H930" s="86"/>
      <c r="I930" s="86"/>
      <c r="J930" s="86"/>
      <c r="K930" s="86"/>
      <c r="L930" s="86"/>
      <c r="N930" s="86"/>
      <c r="CQ930" s="86"/>
      <c r="CR930" s="86"/>
      <c r="CS930" s="86"/>
      <c r="CT930" s="86"/>
      <c r="CU930" s="86"/>
      <c r="CV930" s="86"/>
      <c r="CW930" s="86"/>
    </row>
    <row r="931" customFormat="false" ht="12.75" hidden="false" customHeight="false" outlineLevel="0" collapsed="false">
      <c r="F931" s="86"/>
      <c r="G931" s="86"/>
      <c r="H931" s="86"/>
      <c r="I931" s="86"/>
      <c r="J931" s="86"/>
      <c r="K931" s="86"/>
      <c r="L931" s="86"/>
      <c r="N931" s="86"/>
      <c r="CQ931" s="86"/>
      <c r="CR931" s="86"/>
      <c r="CS931" s="86"/>
      <c r="CT931" s="86"/>
      <c r="CU931" s="86"/>
      <c r="CV931" s="86"/>
      <c r="CW931" s="86"/>
    </row>
    <row r="932" customFormat="false" ht="12.75" hidden="false" customHeight="false" outlineLevel="0" collapsed="false">
      <c r="F932" s="86"/>
      <c r="G932" s="86"/>
      <c r="H932" s="86"/>
      <c r="I932" s="86"/>
      <c r="J932" s="86"/>
      <c r="K932" s="86"/>
      <c r="L932" s="86"/>
      <c r="N932" s="86"/>
      <c r="CQ932" s="86"/>
      <c r="CR932" s="86"/>
      <c r="CS932" s="86"/>
      <c r="CT932" s="86"/>
      <c r="CU932" s="86"/>
      <c r="CV932" s="86"/>
      <c r="CW932" s="86"/>
    </row>
    <row r="933" customFormat="false" ht="12.75" hidden="false" customHeight="false" outlineLevel="0" collapsed="false">
      <c r="F933" s="86"/>
      <c r="G933" s="86"/>
      <c r="H933" s="86"/>
      <c r="I933" s="86"/>
      <c r="J933" s="86"/>
      <c r="K933" s="86"/>
      <c r="L933" s="86"/>
      <c r="N933" s="86"/>
      <c r="CQ933" s="86"/>
      <c r="CR933" s="86"/>
      <c r="CS933" s="86"/>
      <c r="CT933" s="86"/>
      <c r="CU933" s="86"/>
      <c r="CV933" s="86"/>
      <c r="CW933" s="86"/>
    </row>
    <row r="934" customFormat="false" ht="12.75" hidden="false" customHeight="false" outlineLevel="0" collapsed="false">
      <c r="F934" s="86"/>
      <c r="G934" s="86"/>
      <c r="H934" s="86"/>
      <c r="I934" s="86"/>
      <c r="J934" s="86"/>
      <c r="K934" s="86"/>
      <c r="L934" s="86"/>
      <c r="N934" s="86"/>
      <c r="CQ934" s="86"/>
      <c r="CR934" s="86"/>
      <c r="CS934" s="86"/>
      <c r="CT934" s="86"/>
      <c r="CU934" s="86"/>
      <c r="CV934" s="86"/>
      <c r="CW934" s="86"/>
    </row>
    <row r="935" customFormat="false" ht="12.75" hidden="false" customHeight="false" outlineLevel="0" collapsed="false">
      <c r="F935" s="86"/>
      <c r="G935" s="86"/>
      <c r="H935" s="86"/>
      <c r="I935" s="86"/>
      <c r="J935" s="86"/>
      <c r="K935" s="86"/>
      <c r="L935" s="86"/>
      <c r="N935" s="86"/>
      <c r="CQ935" s="86"/>
      <c r="CR935" s="86"/>
      <c r="CS935" s="86"/>
      <c r="CT935" s="86"/>
      <c r="CU935" s="86"/>
      <c r="CV935" s="86"/>
      <c r="CW935" s="86"/>
    </row>
    <row r="936" customFormat="false" ht="12.75" hidden="false" customHeight="false" outlineLevel="0" collapsed="false">
      <c r="F936" s="86"/>
      <c r="G936" s="86"/>
      <c r="H936" s="86"/>
      <c r="I936" s="86"/>
      <c r="J936" s="86"/>
      <c r="K936" s="86"/>
      <c r="L936" s="86"/>
      <c r="N936" s="86"/>
      <c r="CQ936" s="86"/>
      <c r="CR936" s="86"/>
      <c r="CS936" s="86"/>
      <c r="CT936" s="86"/>
      <c r="CU936" s="86"/>
      <c r="CV936" s="86"/>
      <c r="CW936" s="86"/>
    </row>
    <row r="937" customFormat="false" ht="12.75" hidden="false" customHeight="false" outlineLevel="0" collapsed="false">
      <c r="F937" s="86"/>
      <c r="G937" s="86"/>
      <c r="H937" s="86"/>
      <c r="I937" s="86"/>
      <c r="J937" s="86"/>
      <c r="K937" s="86"/>
      <c r="L937" s="86"/>
      <c r="N937" s="86"/>
      <c r="CQ937" s="86"/>
      <c r="CR937" s="86"/>
      <c r="CS937" s="86"/>
      <c r="CT937" s="86"/>
      <c r="CU937" s="86"/>
      <c r="CV937" s="86"/>
      <c r="CW937" s="86"/>
    </row>
    <row r="938" customFormat="false" ht="12.75" hidden="false" customHeight="false" outlineLevel="0" collapsed="false">
      <c r="F938" s="86"/>
      <c r="G938" s="86"/>
      <c r="H938" s="86"/>
      <c r="I938" s="86"/>
      <c r="J938" s="86"/>
      <c r="K938" s="86"/>
      <c r="L938" s="86"/>
      <c r="N938" s="86"/>
      <c r="CQ938" s="86"/>
      <c r="CR938" s="86"/>
      <c r="CS938" s="86"/>
      <c r="CT938" s="86"/>
      <c r="CU938" s="86"/>
      <c r="CV938" s="86"/>
      <c r="CW938" s="86"/>
    </row>
    <row r="939" customFormat="false" ht="12.75" hidden="false" customHeight="false" outlineLevel="0" collapsed="false">
      <c r="F939" s="86"/>
      <c r="G939" s="86"/>
      <c r="H939" s="86"/>
      <c r="I939" s="86"/>
      <c r="J939" s="86"/>
      <c r="K939" s="86"/>
      <c r="L939" s="86"/>
      <c r="N939" s="86"/>
      <c r="CQ939" s="86"/>
      <c r="CR939" s="86"/>
      <c r="CS939" s="86"/>
      <c r="CT939" s="86"/>
      <c r="CU939" s="86"/>
      <c r="CV939" s="86"/>
      <c r="CW939" s="86"/>
    </row>
    <row r="940" customFormat="false" ht="12.75" hidden="false" customHeight="false" outlineLevel="0" collapsed="false">
      <c r="F940" s="86"/>
      <c r="G940" s="86"/>
      <c r="H940" s="86"/>
      <c r="I940" s="86"/>
      <c r="J940" s="86"/>
      <c r="K940" s="86"/>
      <c r="L940" s="86"/>
      <c r="N940" s="86"/>
      <c r="CQ940" s="86"/>
      <c r="CR940" s="86"/>
      <c r="CS940" s="86"/>
      <c r="CT940" s="86"/>
      <c r="CU940" s="86"/>
      <c r="CV940" s="86"/>
      <c r="CW940" s="86"/>
    </row>
    <row r="941" customFormat="false" ht="12.75" hidden="false" customHeight="false" outlineLevel="0" collapsed="false">
      <c r="F941" s="86"/>
      <c r="G941" s="86"/>
      <c r="H941" s="86"/>
      <c r="I941" s="86"/>
      <c r="J941" s="86"/>
      <c r="K941" s="86"/>
      <c r="L941" s="86"/>
      <c r="N941" s="86"/>
      <c r="CQ941" s="86"/>
      <c r="CR941" s="86"/>
      <c r="CS941" s="86"/>
      <c r="CT941" s="86"/>
      <c r="CU941" s="86"/>
      <c r="CV941" s="86"/>
      <c r="CW941" s="86"/>
    </row>
    <row r="942" customFormat="false" ht="12.75" hidden="false" customHeight="false" outlineLevel="0" collapsed="false">
      <c r="F942" s="86"/>
      <c r="G942" s="86"/>
      <c r="H942" s="86"/>
      <c r="I942" s="86"/>
      <c r="J942" s="86"/>
      <c r="K942" s="86"/>
      <c r="L942" s="86"/>
      <c r="N942" s="86"/>
      <c r="CQ942" s="86"/>
      <c r="CR942" s="86"/>
      <c r="CS942" s="86"/>
      <c r="CT942" s="86"/>
      <c r="CU942" s="86"/>
      <c r="CV942" s="86"/>
      <c r="CW942" s="86"/>
    </row>
    <row r="943" customFormat="false" ht="12.75" hidden="false" customHeight="false" outlineLevel="0" collapsed="false">
      <c r="F943" s="86"/>
      <c r="G943" s="86"/>
      <c r="H943" s="86"/>
      <c r="I943" s="86"/>
      <c r="J943" s="86"/>
      <c r="K943" s="86"/>
      <c r="L943" s="86"/>
      <c r="N943" s="86"/>
      <c r="CQ943" s="86"/>
      <c r="CR943" s="86"/>
      <c r="CS943" s="86"/>
      <c r="CT943" s="86"/>
      <c r="CU943" s="86"/>
      <c r="CV943" s="86"/>
      <c r="CW943" s="86"/>
    </row>
    <row r="944" customFormat="false" ht="12.75" hidden="false" customHeight="false" outlineLevel="0" collapsed="false">
      <c r="F944" s="86"/>
      <c r="G944" s="86"/>
      <c r="H944" s="86"/>
      <c r="I944" s="86"/>
      <c r="J944" s="86"/>
      <c r="K944" s="86"/>
      <c r="L944" s="86"/>
      <c r="N944" s="86"/>
      <c r="CQ944" s="86"/>
      <c r="CR944" s="86"/>
      <c r="CS944" s="86"/>
      <c r="CT944" s="86"/>
      <c r="CU944" s="86"/>
      <c r="CV944" s="86"/>
      <c r="CW944" s="86"/>
    </row>
    <row r="945" customFormat="false" ht="12.75" hidden="false" customHeight="false" outlineLevel="0" collapsed="false">
      <c r="F945" s="86"/>
      <c r="G945" s="86"/>
      <c r="H945" s="86"/>
      <c r="I945" s="86"/>
      <c r="J945" s="86"/>
      <c r="K945" s="86"/>
      <c r="L945" s="86"/>
      <c r="N945" s="86"/>
      <c r="CQ945" s="86"/>
      <c r="CR945" s="86"/>
      <c r="CS945" s="86"/>
      <c r="CT945" s="86"/>
      <c r="CU945" s="86"/>
      <c r="CV945" s="86"/>
      <c r="CW945" s="86"/>
    </row>
    <row r="946" customFormat="false" ht="12.75" hidden="false" customHeight="false" outlineLevel="0" collapsed="false">
      <c r="F946" s="86"/>
      <c r="G946" s="86"/>
      <c r="H946" s="86"/>
      <c r="I946" s="86"/>
      <c r="J946" s="86"/>
      <c r="K946" s="86"/>
      <c r="L946" s="86"/>
      <c r="N946" s="86"/>
      <c r="CQ946" s="86"/>
      <c r="CR946" s="86"/>
      <c r="CS946" s="86"/>
      <c r="CT946" s="86"/>
      <c r="CU946" s="86"/>
      <c r="CV946" s="86"/>
      <c r="CW946" s="86"/>
    </row>
    <row r="947" customFormat="false" ht="12.75" hidden="false" customHeight="false" outlineLevel="0" collapsed="false">
      <c r="F947" s="86"/>
      <c r="G947" s="86"/>
      <c r="H947" s="86"/>
      <c r="I947" s="86"/>
      <c r="J947" s="86"/>
      <c r="K947" s="86"/>
      <c r="L947" s="86"/>
      <c r="N947" s="86"/>
      <c r="CQ947" s="86"/>
      <c r="CR947" s="86"/>
      <c r="CS947" s="86"/>
      <c r="CT947" s="86"/>
      <c r="CU947" s="86"/>
      <c r="CV947" s="86"/>
      <c r="CW947" s="86"/>
    </row>
    <row r="948" customFormat="false" ht="12.75" hidden="false" customHeight="false" outlineLevel="0" collapsed="false">
      <c r="F948" s="86"/>
      <c r="G948" s="86"/>
      <c r="H948" s="86"/>
      <c r="I948" s="86"/>
      <c r="J948" s="86"/>
      <c r="K948" s="86"/>
      <c r="L948" s="86"/>
      <c r="N948" s="86"/>
      <c r="CQ948" s="86"/>
      <c r="CR948" s="86"/>
      <c r="CS948" s="86"/>
      <c r="CT948" s="86"/>
      <c r="CU948" s="86"/>
      <c r="CV948" s="86"/>
      <c r="CW948" s="86"/>
    </row>
    <row r="949" customFormat="false" ht="12.75" hidden="false" customHeight="false" outlineLevel="0" collapsed="false">
      <c r="F949" s="86"/>
      <c r="G949" s="86"/>
      <c r="H949" s="86"/>
      <c r="I949" s="86"/>
      <c r="J949" s="86"/>
      <c r="K949" s="86"/>
      <c r="L949" s="86"/>
      <c r="N949" s="86"/>
      <c r="CQ949" s="86"/>
      <c r="CR949" s="86"/>
      <c r="CS949" s="86"/>
      <c r="CT949" s="86"/>
      <c r="CU949" s="86"/>
      <c r="CV949" s="86"/>
      <c r="CW949" s="86"/>
    </row>
    <row r="950" customFormat="false" ht="12.75" hidden="false" customHeight="false" outlineLevel="0" collapsed="false">
      <c r="F950" s="86"/>
      <c r="G950" s="86"/>
      <c r="H950" s="86"/>
      <c r="I950" s="86"/>
      <c r="J950" s="86"/>
      <c r="K950" s="86"/>
      <c r="L950" s="86"/>
      <c r="N950" s="86"/>
      <c r="CQ950" s="86"/>
      <c r="CR950" s="86"/>
      <c r="CS950" s="86"/>
      <c r="CT950" s="86"/>
      <c r="CU950" s="86"/>
      <c r="CV950" s="86"/>
      <c r="CW950" s="86"/>
    </row>
    <row r="951" customFormat="false" ht="12.75" hidden="false" customHeight="false" outlineLevel="0" collapsed="false">
      <c r="F951" s="86"/>
      <c r="G951" s="86"/>
      <c r="H951" s="86"/>
      <c r="I951" s="86"/>
      <c r="J951" s="86"/>
      <c r="K951" s="86"/>
      <c r="L951" s="86"/>
      <c r="N951" s="86"/>
      <c r="CQ951" s="86"/>
      <c r="CR951" s="86"/>
      <c r="CS951" s="86"/>
      <c r="CT951" s="86"/>
      <c r="CU951" s="86"/>
      <c r="CV951" s="86"/>
      <c r="CW951" s="86"/>
    </row>
    <row r="952" customFormat="false" ht="12.75" hidden="false" customHeight="false" outlineLevel="0" collapsed="false">
      <c r="F952" s="86"/>
      <c r="G952" s="86"/>
      <c r="H952" s="86"/>
      <c r="I952" s="86"/>
      <c r="J952" s="86"/>
      <c r="K952" s="86"/>
      <c r="L952" s="86"/>
      <c r="N952" s="86"/>
      <c r="CQ952" s="86"/>
      <c r="CR952" s="86"/>
      <c r="CS952" s="86"/>
      <c r="CT952" s="86"/>
      <c r="CU952" s="86"/>
      <c r="CV952" s="86"/>
      <c r="CW952" s="86"/>
    </row>
    <row r="953" customFormat="false" ht="12.75" hidden="false" customHeight="false" outlineLevel="0" collapsed="false">
      <c r="F953" s="86"/>
      <c r="G953" s="86"/>
      <c r="H953" s="86"/>
      <c r="I953" s="86"/>
      <c r="J953" s="86"/>
      <c r="K953" s="86"/>
      <c r="L953" s="86"/>
      <c r="N953" s="86"/>
      <c r="CQ953" s="86"/>
      <c r="CR953" s="86"/>
      <c r="CS953" s="86"/>
      <c r="CT953" s="86"/>
      <c r="CU953" s="86"/>
      <c r="CV953" s="86"/>
      <c r="CW953" s="86"/>
    </row>
    <row r="954" customFormat="false" ht="12.75" hidden="false" customHeight="false" outlineLevel="0" collapsed="false">
      <c r="F954" s="86"/>
      <c r="G954" s="86"/>
      <c r="H954" s="86"/>
      <c r="I954" s="86"/>
      <c r="J954" s="86"/>
      <c r="K954" s="86"/>
      <c r="L954" s="86"/>
      <c r="N954" s="86"/>
      <c r="CQ954" s="86"/>
      <c r="CR954" s="86"/>
      <c r="CS954" s="86"/>
      <c r="CT954" s="86"/>
      <c r="CU954" s="86"/>
      <c r="CV954" s="86"/>
      <c r="CW954" s="86"/>
    </row>
    <row r="955" customFormat="false" ht="12.75" hidden="false" customHeight="false" outlineLevel="0" collapsed="false">
      <c r="F955" s="86"/>
      <c r="G955" s="86"/>
      <c r="H955" s="86"/>
      <c r="I955" s="86"/>
      <c r="J955" s="86"/>
      <c r="K955" s="86"/>
      <c r="L955" s="86"/>
      <c r="N955" s="86"/>
      <c r="CQ955" s="86"/>
      <c r="CR955" s="86"/>
      <c r="CS955" s="86"/>
      <c r="CT955" s="86"/>
      <c r="CU955" s="86"/>
      <c r="CV955" s="86"/>
      <c r="CW955" s="86"/>
    </row>
    <row r="956" customFormat="false" ht="12.75" hidden="false" customHeight="false" outlineLevel="0" collapsed="false">
      <c r="F956" s="86"/>
      <c r="G956" s="86"/>
      <c r="H956" s="86"/>
      <c r="I956" s="86"/>
      <c r="J956" s="86"/>
      <c r="K956" s="86"/>
      <c r="L956" s="86"/>
      <c r="N956" s="86"/>
      <c r="CQ956" s="86"/>
      <c r="CR956" s="86"/>
      <c r="CS956" s="86"/>
      <c r="CT956" s="86"/>
      <c r="CU956" s="86"/>
      <c r="CV956" s="86"/>
      <c r="CW956" s="86"/>
    </row>
    <row r="957" customFormat="false" ht="12.75" hidden="false" customHeight="false" outlineLevel="0" collapsed="false">
      <c r="F957" s="86"/>
      <c r="G957" s="86"/>
      <c r="H957" s="86"/>
      <c r="I957" s="86"/>
      <c r="J957" s="86"/>
      <c r="K957" s="86"/>
      <c r="L957" s="86"/>
      <c r="N957" s="86"/>
      <c r="CQ957" s="86"/>
      <c r="CR957" s="86"/>
      <c r="CS957" s="86"/>
      <c r="CT957" s="86"/>
      <c r="CU957" s="86"/>
      <c r="CV957" s="86"/>
      <c r="CW957" s="86"/>
    </row>
    <row r="958" customFormat="false" ht="12.75" hidden="false" customHeight="false" outlineLevel="0" collapsed="false">
      <c r="F958" s="86"/>
      <c r="G958" s="86"/>
      <c r="H958" s="86"/>
      <c r="I958" s="86"/>
      <c r="J958" s="86"/>
      <c r="K958" s="86"/>
      <c r="L958" s="86"/>
      <c r="N958" s="86"/>
      <c r="CQ958" s="86"/>
      <c r="CR958" s="86"/>
      <c r="CS958" s="86"/>
      <c r="CT958" s="86"/>
      <c r="CU958" s="86"/>
      <c r="CV958" s="86"/>
      <c r="CW958" s="86"/>
    </row>
    <row r="959" customFormat="false" ht="12.75" hidden="false" customHeight="false" outlineLevel="0" collapsed="false">
      <c r="F959" s="86"/>
      <c r="G959" s="86"/>
      <c r="H959" s="86"/>
      <c r="I959" s="86"/>
      <c r="J959" s="86"/>
      <c r="K959" s="86"/>
      <c r="L959" s="86"/>
      <c r="N959" s="86"/>
      <c r="CQ959" s="86"/>
      <c r="CR959" s="86"/>
      <c r="CS959" s="86"/>
      <c r="CT959" s="86"/>
      <c r="CU959" s="86"/>
      <c r="CV959" s="86"/>
      <c r="CW959" s="86"/>
    </row>
    <row r="960" customFormat="false" ht="12.75" hidden="false" customHeight="false" outlineLevel="0" collapsed="false">
      <c r="F960" s="86"/>
      <c r="G960" s="86"/>
      <c r="H960" s="86"/>
      <c r="I960" s="86"/>
      <c r="J960" s="86"/>
      <c r="K960" s="86"/>
      <c r="L960" s="86"/>
      <c r="N960" s="86"/>
      <c r="CQ960" s="86"/>
      <c r="CR960" s="86"/>
      <c r="CS960" s="86"/>
      <c r="CT960" s="86"/>
      <c r="CU960" s="86"/>
      <c r="CV960" s="86"/>
      <c r="CW960" s="86"/>
    </row>
    <row r="961" customFormat="false" ht="12.75" hidden="false" customHeight="false" outlineLevel="0" collapsed="false">
      <c r="F961" s="86"/>
      <c r="G961" s="86"/>
      <c r="H961" s="86"/>
      <c r="I961" s="86"/>
      <c r="J961" s="86"/>
      <c r="K961" s="86"/>
      <c r="L961" s="86"/>
      <c r="N961" s="86"/>
      <c r="CQ961" s="86"/>
      <c r="CR961" s="86"/>
      <c r="CS961" s="86"/>
      <c r="CT961" s="86"/>
      <c r="CU961" s="86"/>
      <c r="CV961" s="86"/>
      <c r="CW961" s="86"/>
    </row>
    <row r="962" customFormat="false" ht="12.75" hidden="false" customHeight="false" outlineLevel="0" collapsed="false">
      <c r="F962" s="86"/>
      <c r="G962" s="86"/>
      <c r="H962" s="86"/>
      <c r="I962" s="86"/>
      <c r="J962" s="86"/>
      <c r="K962" s="86"/>
      <c r="L962" s="86"/>
      <c r="N962" s="86"/>
      <c r="CQ962" s="86"/>
      <c r="CR962" s="86"/>
      <c r="CS962" s="86"/>
      <c r="CT962" s="86"/>
      <c r="CU962" s="86"/>
      <c r="CV962" s="86"/>
      <c r="CW962" s="86"/>
    </row>
    <row r="963" customFormat="false" ht="12.75" hidden="false" customHeight="false" outlineLevel="0" collapsed="false">
      <c r="F963" s="86"/>
      <c r="G963" s="86"/>
      <c r="H963" s="86"/>
      <c r="I963" s="86"/>
      <c r="J963" s="86"/>
      <c r="K963" s="86"/>
      <c r="L963" s="86"/>
      <c r="N963" s="86"/>
      <c r="CQ963" s="86"/>
      <c r="CR963" s="86"/>
      <c r="CS963" s="86"/>
      <c r="CT963" s="86"/>
      <c r="CU963" s="86"/>
      <c r="CV963" s="86"/>
      <c r="CW963" s="86"/>
    </row>
    <row r="964" customFormat="false" ht="12.75" hidden="false" customHeight="false" outlineLevel="0" collapsed="false">
      <c r="F964" s="86"/>
      <c r="G964" s="86"/>
      <c r="H964" s="86"/>
      <c r="I964" s="86"/>
      <c r="J964" s="86"/>
      <c r="K964" s="86"/>
      <c r="L964" s="86"/>
      <c r="N964" s="86"/>
      <c r="CQ964" s="86"/>
      <c r="CR964" s="86"/>
      <c r="CS964" s="86"/>
      <c r="CT964" s="86"/>
      <c r="CU964" s="86"/>
      <c r="CV964" s="86"/>
      <c r="CW964" s="86"/>
    </row>
    <row r="965" customFormat="false" ht="12.75" hidden="false" customHeight="false" outlineLevel="0" collapsed="false">
      <c r="F965" s="86"/>
      <c r="G965" s="86"/>
      <c r="H965" s="86"/>
      <c r="I965" s="86"/>
      <c r="J965" s="86"/>
      <c r="K965" s="86"/>
      <c r="L965" s="86"/>
      <c r="N965" s="86"/>
      <c r="CQ965" s="86"/>
      <c r="CR965" s="86"/>
      <c r="CS965" s="86"/>
      <c r="CT965" s="86"/>
      <c r="CU965" s="86"/>
      <c r="CV965" s="86"/>
      <c r="CW965" s="86"/>
    </row>
    <row r="966" customFormat="false" ht="12.75" hidden="false" customHeight="false" outlineLevel="0" collapsed="false">
      <c r="F966" s="86"/>
      <c r="G966" s="86"/>
      <c r="H966" s="86"/>
      <c r="I966" s="86"/>
      <c r="J966" s="86"/>
      <c r="K966" s="86"/>
      <c r="L966" s="86"/>
      <c r="N966" s="86"/>
      <c r="CQ966" s="86"/>
      <c r="CR966" s="86"/>
      <c r="CS966" s="86"/>
      <c r="CT966" s="86"/>
      <c r="CU966" s="86"/>
      <c r="CV966" s="86"/>
      <c r="CW966" s="86"/>
    </row>
    <row r="967" customFormat="false" ht="12.75" hidden="false" customHeight="false" outlineLevel="0" collapsed="false">
      <c r="F967" s="86"/>
      <c r="G967" s="86"/>
      <c r="H967" s="86"/>
      <c r="I967" s="86"/>
      <c r="J967" s="86"/>
      <c r="K967" s="86"/>
      <c r="L967" s="86"/>
      <c r="N967" s="86"/>
      <c r="CQ967" s="86"/>
      <c r="CR967" s="86"/>
      <c r="CS967" s="86"/>
      <c r="CT967" s="86"/>
      <c r="CU967" s="86"/>
      <c r="CV967" s="86"/>
      <c r="CW967" s="86"/>
    </row>
    <row r="968" customFormat="false" ht="12.75" hidden="false" customHeight="false" outlineLevel="0" collapsed="false">
      <c r="F968" s="86"/>
      <c r="G968" s="86"/>
      <c r="H968" s="86"/>
      <c r="I968" s="86"/>
      <c r="J968" s="86"/>
      <c r="K968" s="86"/>
      <c r="L968" s="86"/>
      <c r="N968" s="86"/>
      <c r="CQ968" s="86"/>
      <c r="CR968" s="86"/>
      <c r="CS968" s="86"/>
      <c r="CT968" s="86"/>
      <c r="CU968" s="86"/>
      <c r="CV968" s="86"/>
      <c r="CW968" s="86"/>
    </row>
    <row r="969" customFormat="false" ht="12.75" hidden="false" customHeight="false" outlineLevel="0" collapsed="false">
      <c r="F969" s="86"/>
      <c r="G969" s="86"/>
      <c r="H969" s="86"/>
      <c r="I969" s="86"/>
      <c r="J969" s="86"/>
      <c r="K969" s="86"/>
      <c r="L969" s="86"/>
      <c r="N969" s="86"/>
      <c r="CQ969" s="86"/>
      <c r="CR969" s="86"/>
      <c r="CS969" s="86"/>
      <c r="CT969" s="86"/>
      <c r="CU969" s="86"/>
      <c r="CV969" s="86"/>
      <c r="CW969" s="86"/>
    </row>
    <row r="970" customFormat="false" ht="12.75" hidden="false" customHeight="false" outlineLevel="0" collapsed="false">
      <c r="F970" s="86"/>
      <c r="G970" s="86"/>
      <c r="H970" s="86"/>
      <c r="I970" s="86"/>
      <c r="J970" s="86"/>
      <c r="K970" s="86"/>
      <c r="L970" s="86"/>
      <c r="N970" s="86"/>
      <c r="CQ970" s="86"/>
      <c r="CR970" s="86"/>
      <c r="CS970" s="86"/>
      <c r="CT970" s="86"/>
      <c r="CU970" s="86"/>
      <c r="CV970" s="86"/>
      <c r="CW970" s="86"/>
    </row>
    <row r="971" customFormat="false" ht="12.75" hidden="false" customHeight="false" outlineLevel="0" collapsed="false">
      <c r="F971" s="86"/>
      <c r="G971" s="86"/>
      <c r="H971" s="86"/>
      <c r="I971" s="86"/>
      <c r="J971" s="86"/>
      <c r="K971" s="86"/>
      <c r="L971" s="86"/>
      <c r="N971" s="86"/>
      <c r="CQ971" s="86"/>
      <c r="CR971" s="86"/>
      <c r="CS971" s="86"/>
      <c r="CT971" s="86"/>
      <c r="CU971" s="86"/>
      <c r="CV971" s="86"/>
      <c r="CW971" s="86"/>
    </row>
    <row r="972" customFormat="false" ht="12.75" hidden="false" customHeight="false" outlineLevel="0" collapsed="false">
      <c r="F972" s="86"/>
      <c r="G972" s="86"/>
      <c r="H972" s="86"/>
      <c r="I972" s="86"/>
      <c r="J972" s="86"/>
      <c r="K972" s="86"/>
      <c r="L972" s="86"/>
      <c r="N972" s="86"/>
      <c r="CQ972" s="86"/>
      <c r="CR972" s="86"/>
      <c r="CS972" s="86"/>
      <c r="CT972" s="86"/>
      <c r="CU972" s="86"/>
      <c r="CV972" s="86"/>
      <c r="CW972" s="86"/>
    </row>
    <row r="973" customFormat="false" ht="12.75" hidden="false" customHeight="false" outlineLevel="0" collapsed="false">
      <c r="F973" s="86"/>
      <c r="G973" s="86"/>
      <c r="H973" s="86"/>
      <c r="I973" s="86"/>
      <c r="J973" s="86"/>
      <c r="K973" s="86"/>
      <c r="L973" s="86"/>
      <c r="N973" s="86"/>
      <c r="CQ973" s="86"/>
      <c r="CR973" s="86"/>
      <c r="CS973" s="86"/>
      <c r="CT973" s="86"/>
      <c r="CU973" s="86"/>
      <c r="CV973" s="86"/>
      <c r="CW973" s="86"/>
    </row>
    <row r="974" customFormat="false" ht="12.75" hidden="false" customHeight="false" outlineLevel="0" collapsed="false">
      <c r="F974" s="86"/>
      <c r="G974" s="86"/>
      <c r="H974" s="86"/>
      <c r="I974" s="86"/>
      <c r="J974" s="86"/>
      <c r="K974" s="86"/>
      <c r="L974" s="86"/>
      <c r="N974" s="86"/>
      <c r="CQ974" s="86"/>
      <c r="CR974" s="86"/>
      <c r="CS974" s="86"/>
      <c r="CT974" s="86"/>
      <c r="CU974" s="86"/>
      <c r="CV974" s="86"/>
      <c r="CW974" s="86"/>
    </row>
    <row r="975" customFormat="false" ht="12.75" hidden="false" customHeight="false" outlineLevel="0" collapsed="false">
      <c r="F975" s="86"/>
      <c r="G975" s="86"/>
      <c r="H975" s="86"/>
      <c r="I975" s="86"/>
      <c r="J975" s="86"/>
      <c r="K975" s="86"/>
      <c r="L975" s="86"/>
      <c r="N975" s="86"/>
      <c r="CQ975" s="86"/>
      <c r="CR975" s="86"/>
      <c r="CS975" s="86"/>
      <c r="CT975" s="86"/>
      <c r="CU975" s="86"/>
      <c r="CV975" s="86"/>
      <c r="CW975" s="86"/>
    </row>
    <row r="976" customFormat="false" ht="12.75" hidden="false" customHeight="false" outlineLevel="0" collapsed="false">
      <c r="F976" s="86"/>
      <c r="G976" s="86"/>
      <c r="H976" s="86"/>
      <c r="I976" s="86"/>
      <c r="J976" s="86"/>
      <c r="K976" s="86"/>
      <c r="L976" s="86"/>
      <c r="N976" s="86"/>
      <c r="CQ976" s="86"/>
      <c r="CR976" s="86"/>
      <c r="CS976" s="86"/>
      <c r="CT976" s="86"/>
      <c r="CU976" s="86"/>
      <c r="CV976" s="86"/>
      <c r="CW976" s="86"/>
    </row>
    <row r="977" customFormat="false" ht="12.75" hidden="false" customHeight="false" outlineLevel="0" collapsed="false">
      <c r="F977" s="86"/>
      <c r="G977" s="86"/>
      <c r="H977" s="86"/>
      <c r="I977" s="86"/>
      <c r="J977" s="86"/>
      <c r="K977" s="86"/>
      <c r="L977" s="86"/>
      <c r="N977" s="86"/>
      <c r="CQ977" s="86"/>
      <c r="CR977" s="86"/>
      <c r="CS977" s="86"/>
      <c r="CT977" s="86"/>
      <c r="CU977" s="86"/>
      <c r="CV977" s="86"/>
      <c r="CW977" s="86"/>
    </row>
    <row r="978" customFormat="false" ht="12.75" hidden="false" customHeight="false" outlineLevel="0" collapsed="false">
      <c r="F978" s="86"/>
      <c r="G978" s="86"/>
      <c r="H978" s="86"/>
      <c r="I978" s="86"/>
      <c r="J978" s="86"/>
      <c r="K978" s="86"/>
      <c r="L978" s="86"/>
      <c r="N978" s="86"/>
      <c r="CQ978" s="86"/>
      <c r="CR978" s="86"/>
      <c r="CS978" s="86"/>
      <c r="CT978" s="86"/>
      <c r="CU978" s="86"/>
      <c r="CV978" s="86"/>
      <c r="CW978" s="86"/>
    </row>
    <row r="979" customFormat="false" ht="12.75" hidden="false" customHeight="false" outlineLevel="0" collapsed="false">
      <c r="F979" s="86"/>
      <c r="G979" s="86"/>
      <c r="H979" s="86"/>
      <c r="I979" s="86"/>
      <c r="J979" s="86"/>
      <c r="K979" s="86"/>
      <c r="L979" s="86"/>
      <c r="N979" s="86"/>
      <c r="CQ979" s="86"/>
      <c r="CR979" s="86"/>
      <c r="CS979" s="86"/>
      <c r="CT979" s="86"/>
      <c r="CU979" s="86"/>
      <c r="CV979" s="86"/>
      <c r="CW979" s="86"/>
    </row>
    <row r="980" customFormat="false" ht="12.75" hidden="false" customHeight="false" outlineLevel="0" collapsed="false">
      <c r="F980" s="86"/>
      <c r="G980" s="86"/>
      <c r="H980" s="86"/>
      <c r="I980" s="86"/>
      <c r="J980" s="86"/>
      <c r="K980" s="86"/>
      <c r="L980" s="86"/>
      <c r="N980" s="86"/>
      <c r="CQ980" s="86"/>
      <c r="CR980" s="86"/>
      <c r="CS980" s="86"/>
      <c r="CT980" s="86"/>
      <c r="CU980" s="86"/>
      <c r="CV980" s="86"/>
      <c r="CW980" s="86"/>
    </row>
    <row r="981" customFormat="false" ht="12.75" hidden="false" customHeight="false" outlineLevel="0" collapsed="false">
      <c r="F981" s="86"/>
      <c r="G981" s="86"/>
      <c r="H981" s="86"/>
      <c r="I981" s="86"/>
      <c r="J981" s="86"/>
      <c r="K981" s="86"/>
      <c r="L981" s="86"/>
      <c r="N981" s="86"/>
      <c r="CQ981" s="86"/>
      <c r="CR981" s="86"/>
      <c r="CS981" s="86"/>
      <c r="CT981" s="86"/>
      <c r="CU981" s="86"/>
      <c r="CV981" s="86"/>
      <c r="CW981" s="86"/>
    </row>
    <row r="982" customFormat="false" ht="12.75" hidden="false" customHeight="false" outlineLevel="0" collapsed="false">
      <c r="F982" s="86"/>
      <c r="G982" s="86"/>
      <c r="H982" s="86"/>
      <c r="I982" s="86"/>
      <c r="J982" s="86"/>
      <c r="K982" s="86"/>
      <c r="L982" s="86"/>
      <c r="N982" s="86"/>
      <c r="CQ982" s="86"/>
      <c r="CR982" s="86"/>
      <c r="CS982" s="86"/>
      <c r="CT982" s="86"/>
      <c r="CU982" s="86"/>
      <c r="CV982" s="86"/>
      <c r="CW982" s="86"/>
    </row>
    <row r="983" customFormat="false" ht="12.75" hidden="false" customHeight="false" outlineLevel="0" collapsed="false">
      <c r="F983" s="86"/>
      <c r="G983" s="86"/>
      <c r="H983" s="86"/>
      <c r="I983" s="86"/>
      <c r="J983" s="86"/>
      <c r="K983" s="86"/>
      <c r="L983" s="86"/>
      <c r="N983" s="86"/>
      <c r="CQ983" s="86"/>
      <c r="CR983" s="86"/>
      <c r="CS983" s="86"/>
      <c r="CT983" s="86"/>
      <c r="CU983" s="86"/>
      <c r="CV983" s="86"/>
      <c r="CW983" s="86"/>
    </row>
    <row r="984" customFormat="false" ht="12.75" hidden="false" customHeight="false" outlineLevel="0" collapsed="false">
      <c r="F984" s="86"/>
      <c r="G984" s="86"/>
      <c r="H984" s="86"/>
      <c r="I984" s="86"/>
      <c r="J984" s="86"/>
      <c r="K984" s="86"/>
      <c r="L984" s="86"/>
      <c r="N984" s="86"/>
      <c r="CQ984" s="86"/>
      <c r="CR984" s="86"/>
      <c r="CS984" s="86"/>
      <c r="CT984" s="86"/>
      <c r="CU984" s="86"/>
      <c r="CV984" s="86"/>
      <c r="CW984" s="86"/>
    </row>
    <row r="985" customFormat="false" ht="12.75" hidden="false" customHeight="false" outlineLevel="0" collapsed="false">
      <c r="F985" s="86"/>
      <c r="G985" s="86"/>
      <c r="H985" s="86"/>
      <c r="I985" s="86"/>
      <c r="J985" s="86"/>
      <c r="K985" s="86"/>
      <c r="L985" s="86"/>
      <c r="N985" s="86"/>
      <c r="CQ985" s="86"/>
      <c r="CR985" s="86"/>
      <c r="CS985" s="86"/>
      <c r="CT985" s="86"/>
      <c r="CU985" s="86"/>
      <c r="CV985" s="86"/>
      <c r="CW985" s="86"/>
    </row>
    <row r="986" customFormat="false" ht="12.75" hidden="false" customHeight="false" outlineLevel="0" collapsed="false">
      <c r="F986" s="86"/>
      <c r="G986" s="86"/>
      <c r="H986" s="86"/>
      <c r="I986" s="86"/>
      <c r="J986" s="86"/>
      <c r="K986" s="86"/>
      <c r="L986" s="86"/>
      <c r="N986" s="86"/>
      <c r="CQ986" s="86"/>
      <c r="CR986" s="86"/>
      <c r="CS986" s="86"/>
      <c r="CT986" s="86"/>
      <c r="CU986" s="86"/>
      <c r="CV986" s="86"/>
      <c r="CW986" s="86"/>
    </row>
    <row r="987" customFormat="false" ht="12.75" hidden="false" customHeight="false" outlineLevel="0" collapsed="false">
      <c r="F987" s="86"/>
      <c r="G987" s="86"/>
      <c r="H987" s="86"/>
      <c r="I987" s="86"/>
      <c r="J987" s="86"/>
      <c r="K987" s="86"/>
      <c r="L987" s="86"/>
      <c r="N987" s="86"/>
      <c r="CQ987" s="86"/>
      <c r="CR987" s="86"/>
      <c r="CS987" s="86"/>
      <c r="CT987" s="86"/>
      <c r="CU987" s="86"/>
      <c r="CV987" s="86"/>
      <c r="CW987" s="86"/>
    </row>
    <row r="988" customFormat="false" ht="12.75" hidden="false" customHeight="false" outlineLevel="0" collapsed="false">
      <c r="F988" s="86"/>
      <c r="G988" s="86"/>
      <c r="H988" s="86"/>
      <c r="I988" s="86"/>
      <c r="J988" s="86"/>
      <c r="K988" s="86"/>
      <c r="L988" s="86"/>
      <c r="N988" s="86"/>
      <c r="CQ988" s="86"/>
      <c r="CR988" s="86"/>
      <c r="CS988" s="86"/>
      <c r="CT988" s="86"/>
      <c r="CU988" s="86"/>
      <c r="CV988" s="86"/>
      <c r="CW988" s="86"/>
    </row>
    <row r="989" customFormat="false" ht="12.75" hidden="false" customHeight="false" outlineLevel="0" collapsed="false">
      <c r="F989" s="86"/>
      <c r="G989" s="86"/>
      <c r="H989" s="86"/>
      <c r="I989" s="86"/>
      <c r="J989" s="86"/>
      <c r="K989" s="86"/>
      <c r="L989" s="86"/>
      <c r="N989" s="86"/>
      <c r="CQ989" s="86"/>
      <c r="CR989" s="86"/>
      <c r="CS989" s="86"/>
      <c r="CT989" s="86"/>
      <c r="CU989" s="86"/>
      <c r="CV989" s="86"/>
      <c r="CW989" s="86"/>
    </row>
    <row r="990" customFormat="false" ht="12.75" hidden="false" customHeight="false" outlineLevel="0" collapsed="false">
      <c r="F990" s="86"/>
      <c r="G990" s="86"/>
      <c r="H990" s="86"/>
      <c r="I990" s="86"/>
      <c r="J990" s="86"/>
      <c r="K990" s="86"/>
      <c r="L990" s="86"/>
      <c r="N990" s="86"/>
      <c r="CQ990" s="86"/>
      <c r="CR990" s="86"/>
      <c r="CS990" s="86"/>
      <c r="CT990" s="86"/>
      <c r="CU990" s="86"/>
      <c r="CV990" s="86"/>
      <c r="CW990" s="86"/>
    </row>
    <row r="991" customFormat="false" ht="12.75" hidden="false" customHeight="false" outlineLevel="0" collapsed="false">
      <c r="F991" s="86"/>
      <c r="G991" s="86"/>
      <c r="H991" s="86"/>
      <c r="I991" s="86"/>
      <c r="J991" s="86"/>
      <c r="K991" s="86"/>
      <c r="L991" s="86"/>
      <c r="N991" s="86"/>
      <c r="CQ991" s="86"/>
      <c r="CR991" s="86"/>
      <c r="CS991" s="86"/>
      <c r="CT991" s="86"/>
      <c r="CU991" s="86"/>
      <c r="CV991" s="86"/>
      <c r="CW991" s="86"/>
    </row>
    <row r="992" customFormat="false" ht="12.75" hidden="false" customHeight="false" outlineLevel="0" collapsed="false">
      <c r="F992" s="86"/>
      <c r="G992" s="86"/>
      <c r="H992" s="86"/>
      <c r="I992" s="86"/>
      <c r="J992" s="86"/>
      <c r="K992" s="86"/>
      <c r="L992" s="86"/>
      <c r="N992" s="86"/>
      <c r="CQ992" s="86"/>
      <c r="CR992" s="86"/>
      <c r="CS992" s="86"/>
      <c r="CT992" s="86"/>
      <c r="CU992" s="86"/>
      <c r="CV992" s="86"/>
      <c r="CW992" s="86"/>
    </row>
    <row r="993" customFormat="false" ht="12.75" hidden="false" customHeight="false" outlineLevel="0" collapsed="false">
      <c r="F993" s="86"/>
      <c r="G993" s="86"/>
      <c r="H993" s="86"/>
      <c r="I993" s="86"/>
      <c r="J993" s="86"/>
      <c r="K993" s="86"/>
      <c r="L993" s="86"/>
      <c r="N993" s="86"/>
      <c r="CQ993" s="86"/>
      <c r="CR993" s="86"/>
      <c r="CS993" s="86"/>
      <c r="CT993" s="86"/>
      <c r="CU993" s="86"/>
      <c r="CV993" s="86"/>
      <c r="CW993" s="86"/>
    </row>
    <row r="994" customFormat="false" ht="12.75" hidden="false" customHeight="false" outlineLevel="0" collapsed="false">
      <c r="F994" s="86"/>
      <c r="G994" s="86"/>
      <c r="H994" s="86"/>
      <c r="I994" s="86"/>
      <c r="J994" s="86"/>
      <c r="K994" s="86"/>
      <c r="L994" s="86"/>
      <c r="N994" s="86"/>
      <c r="CQ994" s="86"/>
      <c r="CR994" s="86"/>
      <c r="CS994" s="86"/>
      <c r="CT994" s="86"/>
      <c r="CU994" s="86"/>
      <c r="CV994" s="86"/>
      <c r="CW994" s="86"/>
    </row>
    <row r="995" customFormat="false" ht="12.75" hidden="false" customHeight="false" outlineLevel="0" collapsed="false">
      <c r="F995" s="86"/>
      <c r="G995" s="86"/>
      <c r="H995" s="86"/>
      <c r="I995" s="86"/>
      <c r="J995" s="86"/>
      <c r="K995" s="86"/>
      <c r="L995" s="86"/>
      <c r="N995" s="86"/>
      <c r="CQ995" s="86"/>
      <c r="CR995" s="86"/>
      <c r="CS995" s="86"/>
      <c r="CT995" s="86"/>
      <c r="CU995" s="86"/>
      <c r="CV995" s="86"/>
      <c r="CW995" s="86"/>
    </row>
    <row r="996" customFormat="false" ht="12.75" hidden="false" customHeight="false" outlineLevel="0" collapsed="false">
      <c r="F996" s="86"/>
      <c r="G996" s="86"/>
      <c r="H996" s="86"/>
      <c r="I996" s="86"/>
      <c r="J996" s="86"/>
      <c r="K996" s="86"/>
      <c r="L996" s="86"/>
      <c r="N996" s="86"/>
      <c r="CQ996" s="86"/>
      <c r="CR996" s="86"/>
      <c r="CS996" s="86"/>
      <c r="CT996" s="86"/>
      <c r="CU996" s="86"/>
      <c r="CV996" s="86"/>
      <c r="CW996" s="86"/>
    </row>
    <row r="997" customFormat="false" ht="12.75" hidden="false" customHeight="false" outlineLevel="0" collapsed="false">
      <c r="F997" s="86"/>
      <c r="G997" s="86"/>
      <c r="H997" s="86"/>
      <c r="I997" s="86"/>
      <c r="J997" s="86"/>
      <c r="K997" s="86"/>
      <c r="L997" s="86"/>
      <c r="N997" s="86"/>
      <c r="CQ997" s="86"/>
      <c r="CR997" s="86"/>
      <c r="CS997" s="86"/>
      <c r="CT997" s="86"/>
      <c r="CU997" s="86"/>
      <c r="CV997" s="86"/>
      <c r="CW997" s="86"/>
    </row>
    <row r="998" customFormat="false" ht="12.75" hidden="false" customHeight="false" outlineLevel="0" collapsed="false">
      <c r="F998" s="86"/>
      <c r="G998" s="86"/>
      <c r="H998" s="86"/>
      <c r="I998" s="86"/>
      <c r="J998" s="86"/>
      <c r="K998" s="86"/>
      <c r="L998" s="86"/>
      <c r="N998" s="86"/>
      <c r="CQ998" s="86"/>
      <c r="CR998" s="86"/>
      <c r="CS998" s="86"/>
      <c r="CT998" s="86"/>
      <c r="CU998" s="86"/>
      <c r="CV998" s="86"/>
      <c r="CW998" s="86"/>
    </row>
    <row r="999" customFormat="false" ht="12.75" hidden="false" customHeight="false" outlineLevel="0" collapsed="false">
      <c r="F999" s="86"/>
      <c r="G999" s="86"/>
      <c r="H999" s="86"/>
      <c r="I999" s="86"/>
      <c r="J999" s="86"/>
      <c r="K999" s="86"/>
      <c r="L999" s="86"/>
      <c r="N999" s="86"/>
      <c r="CQ999" s="86"/>
      <c r="CR999" s="86"/>
      <c r="CS999" s="86"/>
      <c r="CT999" s="86"/>
      <c r="CU999" s="86"/>
      <c r="CV999" s="86"/>
      <c r="CW999" s="86"/>
    </row>
    <row r="1000" customFormat="false" ht="12.75" hidden="false" customHeight="false" outlineLevel="0" collapsed="false">
      <c r="F1000" s="86"/>
      <c r="G1000" s="86"/>
      <c r="H1000" s="86"/>
      <c r="I1000" s="86"/>
      <c r="J1000" s="86"/>
      <c r="K1000" s="86"/>
      <c r="L1000" s="86"/>
      <c r="N1000" s="86"/>
      <c r="CQ1000" s="86"/>
      <c r="CR1000" s="86"/>
      <c r="CS1000" s="86"/>
      <c r="CT1000" s="86"/>
      <c r="CU1000" s="86"/>
      <c r="CV1000" s="86"/>
      <c r="CW1000" s="86"/>
    </row>
    <row r="1001" customFormat="false" ht="12.75" hidden="false" customHeight="false" outlineLevel="0" collapsed="false">
      <c r="F1001" s="86"/>
      <c r="G1001" s="86"/>
      <c r="H1001" s="86"/>
      <c r="I1001" s="86"/>
      <c r="J1001" s="86"/>
      <c r="K1001" s="86"/>
      <c r="L1001" s="86"/>
      <c r="N1001" s="86"/>
      <c r="CQ1001" s="86"/>
      <c r="CR1001" s="86"/>
      <c r="CS1001" s="86"/>
      <c r="CT1001" s="86"/>
      <c r="CU1001" s="86"/>
      <c r="CV1001" s="86"/>
      <c r="CW1001" s="86"/>
    </row>
    <row r="1002" customFormat="false" ht="12.75" hidden="false" customHeight="false" outlineLevel="0" collapsed="false">
      <c r="F1002" s="86"/>
      <c r="G1002" s="86"/>
      <c r="H1002" s="86"/>
      <c r="I1002" s="86"/>
      <c r="J1002" s="86"/>
      <c r="K1002" s="86"/>
      <c r="L1002" s="86"/>
      <c r="N1002" s="86"/>
      <c r="CQ1002" s="86"/>
      <c r="CR1002" s="86"/>
      <c r="CS1002" s="86"/>
      <c r="CT1002" s="86"/>
      <c r="CU1002" s="86"/>
      <c r="CV1002" s="86"/>
      <c r="CW1002" s="86"/>
    </row>
    <row r="1003" customFormat="false" ht="12.75" hidden="false" customHeight="false" outlineLevel="0" collapsed="false">
      <c r="F1003" s="86"/>
      <c r="G1003" s="86"/>
      <c r="H1003" s="86"/>
      <c r="I1003" s="86"/>
      <c r="J1003" s="86"/>
      <c r="K1003" s="86"/>
      <c r="L1003" s="86"/>
      <c r="N1003" s="86"/>
      <c r="CQ1003" s="86"/>
      <c r="CR1003" s="86"/>
      <c r="CS1003" s="86"/>
      <c r="CT1003" s="86"/>
      <c r="CU1003" s="86"/>
      <c r="CV1003" s="86"/>
      <c r="CW1003" s="86"/>
    </row>
    <row r="1004" customFormat="false" ht="12.75" hidden="false" customHeight="false" outlineLevel="0" collapsed="false">
      <c r="F1004" s="86"/>
      <c r="G1004" s="86"/>
      <c r="H1004" s="86"/>
      <c r="I1004" s="86"/>
      <c r="J1004" s="86"/>
      <c r="K1004" s="86"/>
      <c r="L1004" s="86"/>
      <c r="N1004" s="86"/>
      <c r="CQ1004" s="86"/>
      <c r="CR1004" s="86"/>
      <c r="CS1004" s="86"/>
      <c r="CT1004" s="86"/>
      <c r="CU1004" s="86"/>
      <c r="CV1004" s="86"/>
      <c r="CW1004" s="86"/>
    </row>
    <row r="1005" customFormat="false" ht="12.75" hidden="false" customHeight="false" outlineLevel="0" collapsed="false">
      <c r="F1005" s="86"/>
      <c r="G1005" s="86"/>
      <c r="H1005" s="86"/>
      <c r="I1005" s="86"/>
      <c r="J1005" s="86"/>
      <c r="K1005" s="86"/>
      <c r="L1005" s="86"/>
      <c r="N1005" s="86"/>
      <c r="CQ1005" s="86"/>
      <c r="CR1005" s="86"/>
      <c r="CS1005" s="86"/>
      <c r="CT1005" s="86"/>
      <c r="CU1005" s="86"/>
      <c r="CV1005" s="86"/>
      <c r="CW1005" s="86"/>
    </row>
    <row r="1006" customFormat="false" ht="12.75" hidden="false" customHeight="false" outlineLevel="0" collapsed="false">
      <c r="F1006" s="86"/>
      <c r="G1006" s="86"/>
      <c r="H1006" s="86"/>
      <c r="I1006" s="86"/>
      <c r="J1006" s="86"/>
      <c r="K1006" s="86"/>
      <c r="L1006" s="86"/>
      <c r="N1006" s="86"/>
      <c r="CQ1006" s="86"/>
      <c r="CR1006" s="86"/>
      <c r="CS1006" s="86"/>
      <c r="CT1006" s="86"/>
      <c r="CU1006" s="86"/>
      <c r="CV1006" s="86"/>
      <c r="CW1006" s="86"/>
    </row>
    <row r="1007" customFormat="false" ht="12.75" hidden="false" customHeight="false" outlineLevel="0" collapsed="false">
      <c r="F1007" s="86"/>
      <c r="G1007" s="86"/>
      <c r="H1007" s="86"/>
      <c r="I1007" s="86"/>
      <c r="J1007" s="86"/>
      <c r="K1007" s="86"/>
      <c r="L1007" s="86"/>
      <c r="N1007" s="86"/>
      <c r="CQ1007" s="86"/>
      <c r="CR1007" s="86"/>
      <c r="CS1007" s="86"/>
      <c r="CT1007" s="86"/>
      <c r="CU1007" s="86"/>
      <c r="CV1007" s="86"/>
      <c r="CW1007" s="86"/>
    </row>
    <row r="1008" customFormat="false" ht="12.75" hidden="false" customHeight="false" outlineLevel="0" collapsed="false">
      <c r="F1008" s="86"/>
      <c r="G1008" s="86"/>
      <c r="H1008" s="86"/>
      <c r="I1008" s="86"/>
      <c r="J1008" s="86"/>
      <c r="K1008" s="86"/>
      <c r="L1008" s="86"/>
      <c r="N1008" s="86"/>
      <c r="CQ1008" s="86"/>
      <c r="CR1008" s="86"/>
      <c r="CS1008" s="86"/>
      <c r="CT1008" s="86"/>
      <c r="CU1008" s="86"/>
      <c r="CV1008" s="86"/>
      <c r="CW1008" s="86"/>
    </row>
    <row r="1009" customFormat="false" ht="12.75" hidden="false" customHeight="false" outlineLevel="0" collapsed="false">
      <c r="F1009" s="86"/>
      <c r="G1009" s="86"/>
      <c r="H1009" s="86"/>
      <c r="I1009" s="86"/>
      <c r="J1009" s="86"/>
      <c r="K1009" s="86"/>
      <c r="L1009" s="86"/>
      <c r="N1009" s="86"/>
      <c r="CQ1009" s="86"/>
      <c r="CR1009" s="86"/>
      <c r="CS1009" s="86"/>
      <c r="CT1009" s="86"/>
      <c r="CU1009" s="86"/>
      <c r="CV1009" s="86"/>
      <c r="CW1009" s="86"/>
    </row>
    <row r="1010" customFormat="false" ht="12.75" hidden="false" customHeight="false" outlineLevel="0" collapsed="false">
      <c r="F1010" s="86"/>
      <c r="G1010" s="86"/>
      <c r="H1010" s="86"/>
      <c r="I1010" s="86"/>
      <c r="J1010" s="86"/>
      <c r="K1010" s="86"/>
      <c r="L1010" s="86"/>
      <c r="N1010" s="86"/>
      <c r="CQ1010" s="86"/>
      <c r="CR1010" s="86"/>
      <c r="CS1010" s="86"/>
      <c r="CT1010" s="86"/>
      <c r="CU1010" s="86"/>
      <c r="CV1010" s="86"/>
      <c r="CW1010" s="86"/>
    </row>
    <row r="1011" customFormat="false" ht="12.75" hidden="false" customHeight="false" outlineLevel="0" collapsed="false">
      <c r="F1011" s="86"/>
      <c r="G1011" s="86"/>
      <c r="H1011" s="86"/>
      <c r="I1011" s="86"/>
      <c r="J1011" s="86"/>
      <c r="K1011" s="86"/>
      <c r="L1011" s="86"/>
      <c r="N1011" s="86"/>
      <c r="CQ1011" s="86"/>
      <c r="CR1011" s="86"/>
      <c r="CS1011" s="86"/>
      <c r="CT1011" s="86"/>
      <c r="CU1011" s="86"/>
      <c r="CV1011" s="86"/>
      <c r="CW1011" s="86"/>
    </row>
    <row r="1012" customFormat="false" ht="12.75" hidden="false" customHeight="false" outlineLevel="0" collapsed="false">
      <c r="F1012" s="86"/>
      <c r="G1012" s="86"/>
      <c r="H1012" s="86"/>
      <c r="I1012" s="86"/>
      <c r="J1012" s="86"/>
      <c r="K1012" s="86"/>
      <c r="L1012" s="86"/>
      <c r="N1012" s="86"/>
      <c r="CQ1012" s="86"/>
      <c r="CR1012" s="86"/>
      <c r="CS1012" s="86"/>
      <c r="CT1012" s="86"/>
      <c r="CU1012" s="86"/>
      <c r="CV1012" s="86"/>
      <c r="CW1012" s="86"/>
    </row>
    <row r="1013" customFormat="false" ht="12.75" hidden="false" customHeight="false" outlineLevel="0" collapsed="false">
      <c r="F1013" s="86"/>
      <c r="G1013" s="86"/>
      <c r="H1013" s="86"/>
      <c r="I1013" s="86"/>
      <c r="J1013" s="86"/>
      <c r="K1013" s="86"/>
      <c r="L1013" s="86"/>
      <c r="N1013" s="86"/>
      <c r="CQ1013" s="86"/>
      <c r="CR1013" s="86"/>
      <c r="CS1013" s="86"/>
      <c r="CT1013" s="86"/>
      <c r="CU1013" s="86"/>
      <c r="CV1013" s="86"/>
      <c r="CW1013" s="86"/>
    </row>
    <row r="1014" customFormat="false" ht="12.75" hidden="false" customHeight="false" outlineLevel="0" collapsed="false">
      <c r="F1014" s="86"/>
      <c r="G1014" s="86"/>
      <c r="H1014" s="86"/>
      <c r="I1014" s="86"/>
      <c r="J1014" s="86"/>
      <c r="K1014" s="86"/>
      <c r="L1014" s="86"/>
      <c r="N1014" s="86"/>
      <c r="CQ1014" s="86"/>
      <c r="CR1014" s="86"/>
      <c r="CS1014" s="86"/>
      <c r="CT1014" s="86"/>
      <c r="CU1014" s="86"/>
      <c r="CV1014" s="86"/>
      <c r="CW1014" s="86"/>
    </row>
    <row r="1015" customFormat="false" ht="12.75" hidden="false" customHeight="false" outlineLevel="0" collapsed="false">
      <c r="F1015" s="86"/>
      <c r="G1015" s="86"/>
      <c r="H1015" s="86"/>
      <c r="I1015" s="86"/>
      <c r="J1015" s="86"/>
      <c r="K1015" s="86"/>
      <c r="L1015" s="86"/>
      <c r="N1015" s="86"/>
      <c r="CQ1015" s="86"/>
      <c r="CR1015" s="86"/>
      <c r="CS1015" s="86"/>
      <c r="CT1015" s="86"/>
      <c r="CU1015" s="86"/>
      <c r="CV1015" s="86"/>
      <c r="CW1015" s="86"/>
    </row>
    <row r="1016" customFormat="false" ht="12.75" hidden="false" customHeight="false" outlineLevel="0" collapsed="false">
      <c r="F1016" s="86"/>
      <c r="G1016" s="86"/>
      <c r="H1016" s="86"/>
      <c r="I1016" s="86"/>
      <c r="J1016" s="86"/>
      <c r="K1016" s="86"/>
      <c r="L1016" s="86"/>
      <c r="N1016" s="86"/>
      <c r="CQ1016" s="86"/>
      <c r="CR1016" s="86"/>
      <c r="CS1016" s="86"/>
      <c r="CT1016" s="86"/>
      <c r="CU1016" s="86"/>
      <c r="CV1016" s="86"/>
      <c r="CW1016" s="86"/>
    </row>
    <row r="1017" customFormat="false" ht="12.75" hidden="false" customHeight="false" outlineLevel="0" collapsed="false">
      <c r="F1017" s="86"/>
      <c r="G1017" s="86"/>
      <c r="H1017" s="86"/>
      <c r="I1017" s="86"/>
      <c r="J1017" s="86"/>
      <c r="K1017" s="86"/>
      <c r="L1017" s="86"/>
      <c r="N1017" s="86"/>
      <c r="CQ1017" s="86"/>
      <c r="CR1017" s="86"/>
      <c r="CS1017" s="86"/>
      <c r="CT1017" s="86"/>
      <c r="CU1017" s="86"/>
      <c r="CV1017" s="86"/>
      <c r="CW1017" s="86"/>
    </row>
    <row r="1018" customFormat="false" ht="12.75" hidden="false" customHeight="false" outlineLevel="0" collapsed="false">
      <c r="F1018" s="86"/>
      <c r="G1018" s="86"/>
      <c r="H1018" s="86"/>
      <c r="I1018" s="86"/>
      <c r="J1018" s="86"/>
      <c r="K1018" s="86"/>
      <c r="L1018" s="86"/>
      <c r="N1018" s="86"/>
      <c r="CQ1018" s="86"/>
      <c r="CR1018" s="86"/>
      <c r="CS1018" s="86"/>
      <c r="CT1018" s="86"/>
      <c r="CU1018" s="86"/>
      <c r="CV1018" s="86"/>
      <c r="CW1018" s="86"/>
    </row>
    <row r="1019" customFormat="false" ht="12.75" hidden="false" customHeight="false" outlineLevel="0" collapsed="false">
      <c r="F1019" s="86"/>
      <c r="G1019" s="86"/>
      <c r="H1019" s="86"/>
      <c r="I1019" s="86"/>
      <c r="J1019" s="86"/>
      <c r="K1019" s="86"/>
      <c r="L1019" s="86"/>
      <c r="N1019" s="86"/>
      <c r="CQ1019" s="86"/>
      <c r="CR1019" s="86"/>
      <c r="CS1019" s="86"/>
      <c r="CT1019" s="86"/>
      <c r="CU1019" s="86"/>
      <c r="CV1019" s="86"/>
      <c r="CW1019" s="86"/>
    </row>
    <row r="1020" customFormat="false" ht="12.75" hidden="false" customHeight="false" outlineLevel="0" collapsed="false">
      <c r="F1020" s="86"/>
      <c r="G1020" s="86"/>
      <c r="H1020" s="86"/>
      <c r="I1020" s="86"/>
      <c r="J1020" s="86"/>
      <c r="K1020" s="86"/>
      <c r="L1020" s="86"/>
      <c r="N1020" s="86"/>
      <c r="CQ1020" s="86"/>
      <c r="CR1020" s="86"/>
      <c r="CS1020" s="86"/>
      <c r="CT1020" s="86"/>
      <c r="CU1020" s="86"/>
      <c r="CV1020" s="86"/>
      <c r="CW1020" s="86"/>
    </row>
    <row r="1021" customFormat="false" ht="12.75" hidden="false" customHeight="false" outlineLevel="0" collapsed="false">
      <c r="F1021" s="86"/>
      <c r="G1021" s="86"/>
      <c r="H1021" s="86"/>
      <c r="I1021" s="86"/>
      <c r="J1021" s="86"/>
      <c r="K1021" s="86"/>
      <c r="L1021" s="86"/>
      <c r="N1021" s="86"/>
      <c r="CQ1021" s="86"/>
      <c r="CR1021" s="86"/>
      <c r="CS1021" s="86"/>
      <c r="CT1021" s="86"/>
      <c r="CU1021" s="86"/>
      <c r="CV1021" s="86"/>
      <c r="CW1021" s="86"/>
    </row>
    <row r="1022" customFormat="false" ht="12.75" hidden="false" customHeight="false" outlineLevel="0" collapsed="false">
      <c r="F1022" s="86"/>
      <c r="G1022" s="86"/>
      <c r="H1022" s="86"/>
      <c r="I1022" s="86"/>
      <c r="J1022" s="86"/>
      <c r="K1022" s="86"/>
      <c r="L1022" s="86"/>
      <c r="N1022" s="86"/>
      <c r="CQ1022" s="86"/>
      <c r="CR1022" s="86"/>
      <c r="CS1022" s="86"/>
      <c r="CT1022" s="86"/>
      <c r="CU1022" s="86"/>
      <c r="CV1022" s="86"/>
      <c r="CW1022" s="86"/>
    </row>
    <row r="1023" customFormat="false" ht="12.75" hidden="false" customHeight="false" outlineLevel="0" collapsed="false">
      <c r="F1023" s="86"/>
      <c r="G1023" s="86"/>
      <c r="H1023" s="86"/>
      <c r="I1023" s="86"/>
      <c r="J1023" s="86"/>
      <c r="K1023" s="86"/>
      <c r="L1023" s="86"/>
      <c r="N1023" s="86"/>
      <c r="CQ1023" s="86"/>
      <c r="CR1023" s="86"/>
      <c r="CS1023" s="86"/>
      <c r="CT1023" s="86"/>
      <c r="CU1023" s="86"/>
      <c r="CV1023" s="86"/>
      <c r="CW1023" s="86"/>
    </row>
    <row r="1024" customFormat="false" ht="12.75" hidden="false" customHeight="false" outlineLevel="0" collapsed="false">
      <c r="F1024" s="86"/>
      <c r="G1024" s="86"/>
      <c r="H1024" s="86"/>
      <c r="I1024" s="86"/>
      <c r="J1024" s="86"/>
      <c r="K1024" s="86"/>
      <c r="L1024" s="86"/>
      <c r="N1024" s="86"/>
      <c r="CQ1024" s="86"/>
      <c r="CR1024" s="86"/>
      <c r="CS1024" s="86"/>
      <c r="CT1024" s="86"/>
      <c r="CU1024" s="86"/>
      <c r="CV1024" s="86"/>
      <c r="CW1024" s="86"/>
    </row>
    <row r="1025" customFormat="false" ht="12.75" hidden="false" customHeight="false" outlineLevel="0" collapsed="false">
      <c r="F1025" s="86"/>
      <c r="G1025" s="86"/>
      <c r="H1025" s="86"/>
      <c r="I1025" s="86"/>
      <c r="J1025" s="86"/>
      <c r="K1025" s="86"/>
      <c r="L1025" s="86"/>
      <c r="N1025" s="86"/>
      <c r="CQ1025" s="86"/>
      <c r="CR1025" s="86"/>
      <c r="CS1025" s="86"/>
      <c r="CT1025" s="86"/>
      <c r="CU1025" s="86"/>
      <c r="CV1025" s="86"/>
      <c r="CW1025" s="86"/>
    </row>
    <row r="1026" customFormat="false" ht="12.75" hidden="false" customHeight="false" outlineLevel="0" collapsed="false">
      <c r="F1026" s="86"/>
      <c r="G1026" s="86"/>
      <c r="H1026" s="86"/>
      <c r="I1026" s="86"/>
      <c r="J1026" s="86"/>
      <c r="K1026" s="86"/>
      <c r="L1026" s="86"/>
      <c r="N1026" s="86"/>
      <c r="CQ1026" s="86"/>
      <c r="CR1026" s="86"/>
      <c r="CS1026" s="86"/>
      <c r="CT1026" s="86"/>
      <c r="CU1026" s="86"/>
      <c r="CV1026" s="86"/>
      <c r="CW1026" s="86"/>
    </row>
    <row r="1027" customFormat="false" ht="12.75" hidden="false" customHeight="false" outlineLevel="0" collapsed="false">
      <c r="F1027" s="86"/>
      <c r="G1027" s="86"/>
      <c r="H1027" s="86"/>
      <c r="I1027" s="86"/>
      <c r="J1027" s="86"/>
      <c r="K1027" s="86"/>
      <c r="L1027" s="86"/>
      <c r="N1027" s="86"/>
      <c r="CQ1027" s="86"/>
      <c r="CR1027" s="86"/>
      <c r="CS1027" s="86"/>
      <c r="CT1027" s="86"/>
      <c r="CU1027" s="86"/>
      <c r="CV1027" s="86"/>
      <c r="CW1027" s="86"/>
    </row>
    <row r="1028" customFormat="false" ht="12.75" hidden="false" customHeight="false" outlineLevel="0" collapsed="false">
      <c r="F1028" s="86"/>
      <c r="G1028" s="86"/>
      <c r="H1028" s="86"/>
      <c r="I1028" s="86"/>
      <c r="J1028" s="86"/>
      <c r="K1028" s="86"/>
      <c r="L1028" s="86"/>
      <c r="N1028" s="86"/>
      <c r="CQ1028" s="86"/>
      <c r="CR1028" s="86"/>
      <c r="CS1028" s="86"/>
      <c r="CT1028" s="86"/>
      <c r="CU1028" s="86"/>
      <c r="CV1028" s="86"/>
      <c r="CW1028" s="86"/>
    </row>
    <row r="1029" customFormat="false" ht="12.75" hidden="false" customHeight="false" outlineLevel="0" collapsed="false">
      <c r="F1029" s="86"/>
      <c r="G1029" s="86"/>
      <c r="H1029" s="86"/>
      <c r="I1029" s="86"/>
      <c r="J1029" s="86"/>
      <c r="K1029" s="86"/>
      <c r="L1029" s="86"/>
      <c r="N1029" s="86"/>
      <c r="CQ1029" s="86"/>
      <c r="CR1029" s="86"/>
      <c r="CS1029" s="86"/>
      <c r="CT1029" s="86"/>
      <c r="CU1029" s="86"/>
      <c r="CV1029" s="86"/>
      <c r="CW1029" s="86"/>
    </row>
    <row r="1030" customFormat="false" ht="12.75" hidden="false" customHeight="false" outlineLevel="0" collapsed="false">
      <c r="F1030" s="86"/>
      <c r="G1030" s="86"/>
      <c r="H1030" s="86"/>
      <c r="I1030" s="86"/>
      <c r="J1030" s="86"/>
      <c r="K1030" s="86"/>
      <c r="L1030" s="86"/>
      <c r="N1030" s="86"/>
      <c r="CQ1030" s="86"/>
      <c r="CR1030" s="86"/>
      <c r="CS1030" s="86"/>
      <c r="CT1030" s="86"/>
      <c r="CU1030" s="86"/>
      <c r="CV1030" s="86"/>
      <c r="CW1030" s="86"/>
    </row>
    <row r="1031" customFormat="false" ht="12.75" hidden="false" customHeight="false" outlineLevel="0" collapsed="false">
      <c r="F1031" s="86"/>
      <c r="G1031" s="86"/>
      <c r="H1031" s="86"/>
      <c r="I1031" s="86"/>
      <c r="J1031" s="86"/>
      <c r="K1031" s="86"/>
      <c r="L1031" s="86"/>
      <c r="N1031" s="86"/>
      <c r="CQ1031" s="86"/>
      <c r="CR1031" s="86"/>
      <c r="CS1031" s="86"/>
      <c r="CT1031" s="86"/>
      <c r="CU1031" s="86"/>
      <c r="CV1031" s="86"/>
      <c r="CW1031" s="86"/>
    </row>
    <row r="1032" customFormat="false" ht="12.75" hidden="false" customHeight="false" outlineLevel="0" collapsed="false">
      <c r="F1032" s="86"/>
      <c r="G1032" s="86"/>
      <c r="H1032" s="86"/>
      <c r="I1032" s="86"/>
      <c r="J1032" s="86"/>
      <c r="K1032" s="86"/>
      <c r="L1032" s="86"/>
      <c r="N1032" s="86"/>
      <c r="CQ1032" s="86"/>
      <c r="CR1032" s="86"/>
      <c r="CS1032" s="86"/>
      <c r="CT1032" s="86"/>
      <c r="CU1032" s="86"/>
      <c r="CV1032" s="86"/>
      <c r="CW1032" s="86"/>
    </row>
    <row r="1033" customFormat="false" ht="12.75" hidden="false" customHeight="false" outlineLevel="0" collapsed="false">
      <c r="F1033" s="86"/>
      <c r="G1033" s="86"/>
      <c r="H1033" s="86"/>
      <c r="I1033" s="86"/>
      <c r="J1033" s="86"/>
      <c r="K1033" s="86"/>
      <c r="L1033" s="86"/>
      <c r="N1033" s="86"/>
      <c r="CQ1033" s="86"/>
      <c r="CR1033" s="86"/>
      <c r="CS1033" s="86"/>
      <c r="CT1033" s="86"/>
      <c r="CU1033" s="86"/>
      <c r="CV1033" s="86"/>
      <c r="CW1033" s="86"/>
    </row>
    <row r="1034" customFormat="false" ht="12.75" hidden="false" customHeight="false" outlineLevel="0" collapsed="false">
      <c r="F1034" s="86"/>
      <c r="G1034" s="86"/>
      <c r="H1034" s="86"/>
      <c r="I1034" s="86"/>
      <c r="J1034" s="86"/>
      <c r="K1034" s="86"/>
      <c r="L1034" s="86"/>
      <c r="N1034" s="86"/>
      <c r="CQ1034" s="86"/>
      <c r="CR1034" s="86"/>
      <c r="CS1034" s="86"/>
      <c r="CT1034" s="86"/>
      <c r="CU1034" s="86"/>
      <c r="CV1034" s="86"/>
      <c r="CW1034" s="86"/>
    </row>
    <row r="1035" customFormat="false" ht="12.75" hidden="false" customHeight="false" outlineLevel="0" collapsed="false">
      <c r="F1035" s="86"/>
      <c r="G1035" s="86"/>
      <c r="H1035" s="86"/>
      <c r="I1035" s="86"/>
      <c r="J1035" s="86"/>
      <c r="K1035" s="86"/>
      <c r="L1035" s="86"/>
      <c r="N1035" s="86"/>
      <c r="CQ1035" s="86"/>
      <c r="CR1035" s="86"/>
      <c r="CS1035" s="86"/>
      <c r="CT1035" s="86"/>
      <c r="CU1035" s="86"/>
      <c r="CV1035" s="86"/>
      <c r="CW1035" s="86"/>
    </row>
    <row r="1036" customFormat="false" ht="12.75" hidden="false" customHeight="false" outlineLevel="0" collapsed="false">
      <c r="F1036" s="86"/>
      <c r="G1036" s="86"/>
      <c r="H1036" s="86"/>
      <c r="I1036" s="86"/>
      <c r="J1036" s="86"/>
      <c r="K1036" s="86"/>
      <c r="L1036" s="86"/>
      <c r="N1036" s="86"/>
      <c r="CQ1036" s="86"/>
      <c r="CR1036" s="86"/>
      <c r="CS1036" s="86"/>
      <c r="CT1036" s="86"/>
      <c r="CU1036" s="86"/>
      <c r="CV1036" s="86"/>
      <c r="CW1036" s="86"/>
    </row>
    <row r="1037" customFormat="false" ht="12.75" hidden="false" customHeight="false" outlineLevel="0" collapsed="false">
      <c r="F1037" s="86"/>
      <c r="G1037" s="86"/>
      <c r="H1037" s="86"/>
      <c r="I1037" s="86"/>
      <c r="J1037" s="86"/>
      <c r="K1037" s="86"/>
      <c r="L1037" s="86"/>
      <c r="N1037" s="86"/>
      <c r="CQ1037" s="86"/>
      <c r="CR1037" s="86"/>
      <c r="CS1037" s="86"/>
      <c r="CT1037" s="86"/>
      <c r="CU1037" s="86"/>
      <c r="CV1037" s="86"/>
      <c r="CW1037" s="86"/>
    </row>
    <row r="1038" customFormat="false" ht="12.75" hidden="false" customHeight="false" outlineLevel="0" collapsed="false">
      <c r="F1038" s="86"/>
      <c r="G1038" s="86"/>
      <c r="H1038" s="86"/>
      <c r="I1038" s="86"/>
      <c r="J1038" s="86"/>
      <c r="K1038" s="86"/>
      <c r="L1038" s="86"/>
      <c r="N1038" s="86"/>
      <c r="CQ1038" s="86"/>
      <c r="CR1038" s="86"/>
      <c r="CS1038" s="86"/>
      <c r="CT1038" s="86"/>
      <c r="CU1038" s="86"/>
      <c r="CV1038" s="86"/>
      <c r="CW1038" s="86"/>
    </row>
    <row r="1039" customFormat="false" ht="12.75" hidden="false" customHeight="false" outlineLevel="0" collapsed="false">
      <c r="F1039" s="86"/>
      <c r="G1039" s="86"/>
      <c r="H1039" s="86"/>
      <c r="I1039" s="86"/>
      <c r="J1039" s="86"/>
      <c r="K1039" s="86"/>
      <c r="L1039" s="86"/>
      <c r="N1039" s="86"/>
      <c r="CQ1039" s="86"/>
      <c r="CR1039" s="86"/>
      <c r="CS1039" s="86"/>
      <c r="CT1039" s="86"/>
      <c r="CU1039" s="86"/>
      <c r="CV1039" s="86"/>
      <c r="CW1039" s="86"/>
    </row>
    <row r="1040" customFormat="false" ht="12.75" hidden="false" customHeight="false" outlineLevel="0" collapsed="false">
      <c r="F1040" s="86"/>
      <c r="G1040" s="86"/>
      <c r="H1040" s="86"/>
      <c r="I1040" s="86"/>
      <c r="J1040" s="86"/>
      <c r="K1040" s="86"/>
      <c r="L1040" s="86"/>
      <c r="N1040" s="86"/>
      <c r="CQ1040" s="86"/>
      <c r="CR1040" s="86"/>
      <c r="CS1040" s="86"/>
      <c r="CT1040" s="86"/>
      <c r="CU1040" s="86"/>
      <c r="CV1040" s="86"/>
      <c r="CW1040" s="86"/>
    </row>
    <row r="1041" customFormat="false" ht="12.75" hidden="false" customHeight="false" outlineLevel="0" collapsed="false">
      <c r="F1041" s="86"/>
      <c r="G1041" s="86"/>
      <c r="H1041" s="86"/>
      <c r="I1041" s="86"/>
      <c r="J1041" s="86"/>
      <c r="K1041" s="86"/>
      <c r="L1041" s="86"/>
      <c r="N1041" s="86"/>
      <c r="CQ1041" s="86"/>
      <c r="CR1041" s="86"/>
      <c r="CS1041" s="86"/>
      <c r="CT1041" s="86"/>
      <c r="CU1041" s="86"/>
      <c r="CV1041" s="86"/>
      <c r="CW1041" s="86"/>
    </row>
    <row r="1042" customFormat="false" ht="12.75" hidden="false" customHeight="false" outlineLevel="0" collapsed="false">
      <c r="F1042" s="86"/>
      <c r="G1042" s="86"/>
      <c r="H1042" s="86"/>
      <c r="I1042" s="86"/>
      <c r="J1042" s="86"/>
      <c r="K1042" s="86"/>
      <c r="L1042" s="86"/>
      <c r="N1042" s="86"/>
      <c r="CQ1042" s="86"/>
      <c r="CR1042" s="86"/>
      <c r="CS1042" s="86"/>
      <c r="CT1042" s="86"/>
      <c r="CU1042" s="86"/>
      <c r="CV1042" s="86"/>
      <c r="CW1042" s="86"/>
    </row>
    <row r="1043" customFormat="false" ht="12.75" hidden="false" customHeight="false" outlineLevel="0" collapsed="false">
      <c r="F1043" s="86"/>
      <c r="G1043" s="86"/>
      <c r="H1043" s="86"/>
      <c r="I1043" s="86"/>
      <c r="J1043" s="86"/>
      <c r="K1043" s="86"/>
      <c r="L1043" s="86"/>
      <c r="N1043" s="86"/>
      <c r="CQ1043" s="86"/>
      <c r="CR1043" s="86"/>
      <c r="CS1043" s="86"/>
      <c r="CT1043" s="86"/>
      <c r="CU1043" s="86"/>
      <c r="CV1043" s="86"/>
      <c r="CW1043" s="86"/>
    </row>
    <row r="1044" customFormat="false" ht="12.75" hidden="false" customHeight="false" outlineLevel="0" collapsed="false">
      <c r="F1044" s="86"/>
      <c r="G1044" s="86"/>
      <c r="H1044" s="86"/>
      <c r="I1044" s="86"/>
      <c r="J1044" s="86"/>
      <c r="K1044" s="86"/>
      <c r="L1044" s="86"/>
      <c r="N1044" s="86"/>
      <c r="CQ1044" s="86"/>
      <c r="CR1044" s="86"/>
      <c r="CS1044" s="86"/>
      <c r="CT1044" s="86"/>
      <c r="CU1044" s="86"/>
      <c r="CV1044" s="86"/>
      <c r="CW1044" s="86"/>
    </row>
    <row r="1045" customFormat="false" ht="12.75" hidden="false" customHeight="false" outlineLevel="0" collapsed="false">
      <c r="F1045" s="86"/>
      <c r="G1045" s="86"/>
      <c r="H1045" s="86"/>
      <c r="I1045" s="86"/>
      <c r="J1045" s="86"/>
      <c r="K1045" s="86"/>
      <c r="L1045" s="86"/>
      <c r="N1045" s="86"/>
      <c r="CQ1045" s="86"/>
      <c r="CR1045" s="86"/>
      <c r="CS1045" s="86"/>
      <c r="CT1045" s="86"/>
      <c r="CU1045" s="86"/>
      <c r="CV1045" s="86"/>
      <c r="CW1045" s="86"/>
    </row>
    <row r="1046" customFormat="false" ht="12.75" hidden="false" customHeight="false" outlineLevel="0" collapsed="false">
      <c r="F1046" s="86"/>
      <c r="G1046" s="86"/>
      <c r="H1046" s="86"/>
      <c r="I1046" s="86"/>
      <c r="J1046" s="86"/>
      <c r="K1046" s="86"/>
      <c r="L1046" s="86"/>
      <c r="N1046" s="86"/>
      <c r="CQ1046" s="86"/>
      <c r="CR1046" s="86"/>
      <c r="CS1046" s="86"/>
      <c r="CT1046" s="86"/>
      <c r="CU1046" s="86"/>
      <c r="CV1046" s="86"/>
      <c r="CW1046" s="86"/>
    </row>
    <row r="1047" customFormat="false" ht="12.75" hidden="false" customHeight="false" outlineLevel="0" collapsed="false">
      <c r="F1047" s="86"/>
      <c r="G1047" s="86"/>
      <c r="H1047" s="86"/>
      <c r="I1047" s="86"/>
      <c r="J1047" s="86"/>
      <c r="K1047" s="86"/>
      <c r="L1047" s="86"/>
      <c r="N1047" s="86"/>
      <c r="CQ1047" s="86"/>
      <c r="CR1047" s="86"/>
      <c r="CS1047" s="86"/>
      <c r="CT1047" s="86"/>
      <c r="CU1047" s="86"/>
      <c r="CV1047" s="86"/>
      <c r="CW1047" s="86"/>
    </row>
    <row r="1048" customFormat="false" ht="12.75" hidden="false" customHeight="false" outlineLevel="0" collapsed="false">
      <c r="F1048" s="86"/>
      <c r="G1048" s="86"/>
      <c r="H1048" s="86"/>
      <c r="I1048" s="86"/>
      <c r="J1048" s="86"/>
      <c r="K1048" s="86"/>
      <c r="L1048" s="86"/>
      <c r="N1048" s="86"/>
      <c r="CQ1048" s="86"/>
      <c r="CR1048" s="86"/>
      <c r="CS1048" s="86"/>
      <c r="CT1048" s="86"/>
      <c r="CU1048" s="86"/>
      <c r="CV1048" s="86"/>
      <c r="CW1048" s="86"/>
    </row>
    <row r="1049" customFormat="false" ht="12.75" hidden="false" customHeight="false" outlineLevel="0" collapsed="false">
      <c r="F1049" s="86"/>
      <c r="G1049" s="86"/>
      <c r="H1049" s="86"/>
      <c r="I1049" s="86"/>
      <c r="J1049" s="86"/>
      <c r="K1049" s="86"/>
      <c r="L1049" s="86"/>
      <c r="N1049" s="86"/>
      <c r="CQ1049" s="86"/>
      <c r="CR1049" s="86"/>
      <c r="CS1049" s="86"/>
      <c r="CT1049" s="86"/>
      <c r="CU1049" s="86"/>
      <c r="CV1049" s="86"/>
      <c r="CW1049" s="86"/>
    </row>
    <row r="1050" customFormat="false" ht="12.75" hidden="false" customHeight="false" outlineLevel="0" collapsed="false">
      <c r="F1050" s="86"/>
      <c r="G1050" s="86"/>
      <c r="H1050" s="86"/>
      <c r="I1050" s="86"/>
      <c r="J1050" s="86"/>
      <c r="K1050" s="86"/>
      <c r="L1050" s="86"/>
      <c r="N1050" s="86"/>
      <c r="CQ1050" s="86"/>
      <c r="CR1050" s="86"/>
      <c r="CS1050" s="86"/>
      <c r="CT1050" s="86"/>
      <c r="CU1050" s="86"/>
      <c r="CV1050" s="86"/>
      <c r="CW1050" s="86"/>
    </row>
    <row r="1051" customFormat="false" ht="12.75" hidden="false" customHeight="false" outlineLevel="0" collapsed="false">
      <c r="F1051" s="86"/>
      <c r="G1051" s="86"/>
      <c r="H1051" s="86"/>
      <c r="I1051" s="86"/>
      <c r="J1051" s="86"/>
      <c r="K1051" s="86"/>
      <c r="L1051" s="86"/>
      <c r="N1051" s="86"/>
      <c r="CQ1051" s="86"/>
      <c r="CR1051" s="86"/>
      <c r="CS1051" s="86"/>
      <c r="CT1051" s="86"/>
      <c r="CU1051" s="86"/>
      <c r="CV1051" s="86"/>
      <c r="CW1051" s="86"/>
    </row>
    <row r="1052" customFormat="false" ht="12.75" hidden="false" customHeight="false" outlineLevel="0" collapsed="false">
      <c r="F1052" s="86"/>
      <c r="G1052" s="86"/>
      <c r="H1052" s="86"/>
      <c r="I1052" s="86"/>
      <c r="J1052" s="86"/>
      <c r="K1052" s="86"/>
      <c r="L1052" s="86"/>
      <c r="N1052" s="86"/>
      <c r="CQ1052" s="86"/>
      <c r="CR1052" s="86"/>
      <c r="CS1052" s="86"/>
      <c r="CT1052" s="86"/>
      <c r="CU1052" s="86"/>
      <c r="CV1052" s="86"/>
      <c r="CW1052" s="86"/>
    </row>
    <row r="1053" customFormat="false" ht="12.75" hidden="false" customHeight="false" outlineLevel="0" collapsed="false">
      <c r="F1053" s="86"/>
      <c r="G1053" s="86"/>
      <c r="H1053" s="86"/>
      <c r="I1053" s="86"/>
      <c r="J1053" s="86"/>
      <c r="K1053" s="86"/>
      <c r="L1053" s="86"/>
      <c r="N1053" s="86"/>
      <c r="CQ1053" s="86"/>
      <c r="CR1053" s="86"/>
      <c r="CS1053" s="86"/>
      <c r="CT1053" s="86"/>
      <c r="CU1053" s="86"/>
      <c r="CV1053" s="86"/>
      <c r="CW1053" s="86"/>
    </row>
    <row r="1054" customFormat="false" ht="12.75" hidden="false" customHeight="false" outlineLevel="0" collapsed="false">
      <c r="F1054" s="86"/>
      <c r="G1054" s="86"/>
      <c r="H1054" s="86"/>
      <c r="I1054" s="86"/>
      <c r="J1054" s="86"/>
      <c r="K1054" s="86"/>
      <c r="L1054" s="86"/>
      <c r="N1054" s="86"/>
      <c r="CQ1054" s="86"/>
      <c r="CR1054" s="86"/>
      <c r="CS1054" s="86"/>
      <c r="CT1054" s="86"/>
      <c r="CU1054" s="86"/>
      <c r="CV1054" s="86"/>
      <c r="CW1054" s="86"/>
    </row>
    <row r="1055" customFormat="false" ht="12.75" hidden="false" customHeight="false" outlineLevel="0" collapsed="false">
      <c r="F1055" s="86"/>
      <c r="G1055" s="86"/>
      <c r="H1055" s="86"/>
      <c r="I1055" s="86"/>
      <c r="J1055" s="86"/>
      <c r="K1055" s="86"/>
      <c r="L1055" s="86"/>
      <c r="N1055" s="86"/>
      <c r="CQ1055" s="86"/>
      <c r="CR1055" s="86"/>
      <c r="CS1055" s="86"/>
      <c r="CT1055" s="86"/>
      <c r="CU1055" s="86"/>
      <c r="CV1055" s="86"/>
      <c r="CW1055" s="86"/>
    </row>
    <row r="1056" customFormat="false" ht="12.75" hidden="false" customHeight="false" outlineLevel="0" collapsed="false">
      <c r="F1056" s="86"/>
      <c r="G1056" s="86"/>
      <c r="H1056" s="86"/>
      <c r="I1056" s="86"/>
      <c r="J1056" s="86"/>
      <c r="K1056" s="86"/>
      <c r="L1056" s="86"/>
      <c r="N1056" s="86"/>
      <c r="CQ1056" s="86"/>
      <c r="CR1056" s="86"/>
      <c r="CS1056" s="86"/>
      <c r="CT1056" s="86"/>
      <c r="CU1056" s="86"/>
      <c r="CV1056" s="86"/>
      <c r="CW1056" s="86"/>
    </row>
    <row r="1057" customFormat="false" ht="12.75" hidden="false" customHeight="false" outlineLevel="0" collapsed="false">
      <c r="F1057" s="86"/>
      <c r="G1057" s="86"/>
      <c r="H1057" s="86"/>
      <c r="I1057" s="86"/>
      <c r="J1057" s="86"/>
      <c r="K1057" s="86"/>
      <c r="L1057" s="86"/>
      <c r="N1057" s="86"/>
      <c r="CQ1057" s="86"/>
      <c r="CR1057" s="86"/>
      <c r="CS1057" s="86"/>
      <c r="CT1057" s="86"/>
      <c r="CU1057" s="86"/>
      <c r="CV1057" s="86"/>
      <c r="CW1057" s="86"/>
    </row>
    <row r="1058" customFormat="false" ht="12.75" hidden="false" customHeight="false" outlineLevel="0" collapsed="false">
      <c r="F1058" s="86"/>
      <c r="G1058" s="86"/>
      <c r="H1058" s="86"/>
      <c r="I1058" s="86"/>
      <c r="J1058" s="86"/>
      <c r="K1058" s="86"/>
      <c r="L1058" s="86"/>
      <c r="N1058" s="86"/>
      <c r="CQ1058" s="86"/>
      <c r="CR1058" s="86"/>
      <c r="CS1058" s="86"/>
      <c r="CT1058" s="86"/>
      <c r="CU1058" s="86"/>
      <c r="CV1058" s="86"/>
      <c r="CW1058" s="86"/>
    </row>
    <row r="1059" customFormat="false" ht="12.75" hidden="false" customHeight="false" outlineLevel="0" collapsed="false">
      <c r="F1059" s="86"/>
      <c r="G1059" s="86"/>
      <c r="H1059" s="86"/>
      <c r="I1059" s="86"/>
      <c r="J1059" s="86"/>
      <c r="K1059" s="86"/>
      <c r="L1059" s="86"/>
      <c r="N1059" s="86"/>
      <c r="CQ1059" s="86"/>
      <c r="CR1059" s="86"/>
      <c r="CS1059" s="86"/>
      <c r="CT1059" s="86"/>
      <c r="CU1059" s="86"/>
      <c r="CV1059" s="86"/>
      <c r="CW1059" s="86"/>
    </row>
    <row r="1060" customFormat="false" ht="12.75" hidden="false" customHeight="false" outlineLevel="0" collapsed="false">
      <c r="F1060" s="86"/>
      <c r="G1060" s="86"/>
      <c r="H1060" s="86"/>
      <c r="I1060" s="86"/>
      <c r="J1060" s="86"/>
      <c r="K1060" s="86"/>
      <c r="L1060" s="86"/>
      <c r="N1060" s="86"/>
      <c r="CQ1060" s="86"/>
      <c r="CR1060" s="86"/>
      <c r="CS1060" s="86"/>
      <c r="CT1060" s="86"/>
      <c r="CU1060" s="86"/>
      <c r="CV1060" s="86"/>
      <c r="CW1060" s="86"/>
    </row>
    <row r="1061" customFormat="false" ht="12.75" hidden="false" customHeight="false" outlineLevel="0" collapsed="false">
      <c r="F1061" s="86"/>
      <c r="G1061" s="86"/>
      <c r="H1061" s="86"/>
      <c r="I1061" s="86"/>
      <c r="J1061" s="86"/>
      <c r="K1061" s="86"/>
      <c r="L1061" s="86"/>
      <c r="N1061" s="86"/>
      <c r="CQ1061" s="86"/>
      <c r="CR1061" s="86"/>
      <c r="CS1061" s="86"/>
      <c r="CT1061" s="86"/>
      <c r="CU1061" s="86"/>
      <c r="CV1061" s="86"/>
      <c r="CW1061" s="86"/>
    </row>
    <row r="1062" customFormat="false" ht="12.75" hidden="false" customHeight="false" outlineLevel="0" collapsed="false">
      <c r="F1062" s="86"/>
      <c r="G1062" s="86"/>
      <c r="H1062" s="86"/>
      <c r="I1062" s="86"/>
      <c r="J1062" s="86"/>
      <c r="K1062" s="86"/>
      <c r="L1062" s="86"/>
      <c r="N1062" s="86"/>
      <c r="CQ1062" s="86"/>
      <c r="CR1062" s="86"/>
      <c r="CS1062" s="86"/>
      <c r="CT1062" s="86"/>
      <c r="CU1062" s="86"/>
      <c r="CV1062" s="86"/>
      <c r="CW1062" s="86"/>
    </row>
    <row r="1063" customFormat="false" ht="12.75" hidden="false" customHeight="false" outlineLevel="0" collapsed="false">
      <c r="F1063" s="86"/>
      <c r="G1063" s="86"/>
      <c r="H1063" s="86"/>
      <c r="I1063" s="86"/>
      <c r="J1063" s="86"/>
      <c r="K1063" s="86"/>
      <c r="L1063" s="86"/>
      <c r="N1063" s="86"/>
      <c r="CQ1063" s="86"/>
      <c r="CR1063" s="86"/>
      <c r="CS1063" s="86"/>
      <c r="CT1063" s="86"/>
      <c r="CU1063" s="86"/>
      <c r="CV1063" s="86"/>
      <c r="CW1063" s="86"/>
    </row>
    <row r="1064" customFormat="false" ht="12.75" hidden="false" customHeight="false" outlineLevel="0" collapsed="false">
      <c r="F1064" s="86"/>
      <c r="G1064" s="86"/>
      <c r="H1064" s="86"/>
      <c r="I1064" s="86"/>
      <c r="J1064" s="86"/>
      <c r="K1064" s="86"/>
      <c r="L1064" s="86"/>
      <c r="N1064" s="86"/>
      <c r="CQ1064" s="86"/>
      <c r="CR1064" s="86"/>
      <c r="CS1064" s="86"/>
      <c r="CT1064" s="86"/>
      <c r="CU1064" s="86"/>
      <c r="CV1064" s="86"/>
      <c r="CW1064" s="86"/>
    </row>
    <row r="1065" customFormat="false" ht="12.75" hidden="false" customHeight="false" outlineLevel="0" collapsed="false">
      <c r="F1065" s="86"/>
      <c r="G1065" s="86"/>
      <c r="H1065" s="86"/>
      <c r="I1065" s="86"/>
      <c r="J1065" s="86"/>
      <c r="K1065" s="86"/>
      <c r="L1065" s="86"/>
      <c r="N1065" s="86"/>
      <c r="CQ1065" s="86"/>
      <c r="CR1065" s="86"/>
      <c r="CS1065" s="86"/>
      <c r="CT1065" s="86"/>
      <c r="CU1065" s="86"/>
      <c r="CV1065" s="86"/>
      <c r="CW1065" s="86"/>
    </row>
    <row r="1066" customFormat="false" ht="12.75" hidden="false" customHeight="false" outlineLevel="0" collapsed="false">
      <c r="F1066" s="86"/>
      <c r="G1066" s="86"/>
      <c r="H1066" s="86"/>
      <c r="I1066" s="86"/>
      <c r="J1066" s="86"/>
      <c r="K1066" s="86"/>
      <c r="L1066" s="86"/>
      <c r="N1066" s="86"/>
      <c r="CQ1066" s="86"/>
      <c r="CR1066" s="86"/>
      <c r="CS1066" s="86"/>
      <c r="CT1066" s="86"/>
      <c r="CU1066" s="86"/>
      <c r="CV1066" s="86"/>
      <c r="CW1066" s="86"/>
    </row>
    <row r="1067" customFormat="false" ht="12.75" hidden="false" customHeight="false" outlineLevel="0" collapsed="false">
      <c r="F1067" s="86"/>
      <c r="G1067" s="86"/>
      <c r="H1067" s="86"/>
      <c r="I1067" s="86"/>
      <c r="J1067" s="86"/>
      <c r="K1067" s="86"/>
      <c r="L1067" s="86"/>
      <c r="N1067" s="86"/>
      <c r="CQ1067" s="86"/>
      <c r="CR1067" s="86"/>
      <c r="CS1067" s="86"/>
      <c r="CT1067" s="86"/>
      <c r="CU1067" s="86"/>
      <c r="CV1067" s="86"/>
      <c r="CW1067" s="86"/>
    </row>
    <row r="1068" customFormat="false" ht="12.75" hidden="false" customHeight="false" outlineLevel="0" collapsed="false">
      <c r="F1068" s="86"/>
      <c r="G1068" s="86"/>
      <c r="H1068" s="86"/>
      <c r="I1068" s="86"/>
      <c r="J1068" s="86"/>
      <c r="K1068" s="86"/>
      <c r="L1068" s="86"/>
      <c r="N1068" s="86"/>
      <c r="CQ1068" s="86"/>
      <c r="CR1068" s="86"/>
      <c r="CS1068" s="86"/>
      <c r="CT1068" s="86"/>
      <c r="CU1068" s="86"/>
      <c r="CV1068" s="86"/>
      <c r="CW1068" s="86"/>
    </row>
    <row r="1069" customFormat="false" ht="12.75" hidden="false" customHeight="false" outlineLevel="0" collapsed="false">
      <c r="F1069" s="86"/>
      <c r="G1069" s="86"/>
      <c r="H1069" s="86"/>
      <c r="I1069" s="86"/>
      <c r="J1069" s="86"/>
      <c r="K1069" s="86"/>
      <c r="L1069" s="86"/>
      <c r="N1069" s="86"/>
      <c r="CQ1069" s="86"/>
      <c r="CR1069" s="86"/>
      <c r="CS1069" s="86"/>
      <c r="CT1069" s="86"/>
      <c r="CU1069" s="86"/>
      <c r="CV1069" s="86"/>
      <c r="CW1069" s="86"/>
    </row>
    <row r="1070" customFormat="false" ht="12.75" hidden="false" customHeight="false" outlineLevel="0" collapsed="false">
      <c r="F1070" s="86"/>
      <c r="G1070" s="86"/>
      <c r="H1070" s="86"/>
      <c r="I1070" s="86"/>
      <c r="J1070" s="86"/>
      <c r="K1070" s="86"/>
      <c r="L1070" s="86"/>
      <c r="N1070" s="86"/>
      <c r="CQ1070" s="86"/>
      <c r="CR1070" s="86"/>
      <c r="CS1070" s="86"/>
      <c r="CT1070" s="86"/>
      <c r="CU1070" s="86"/>
      <c r="CV1070" s="86"/>
      <c r="CW1070" s="86"/>
    </row>
    <row r="1071" customFormat="false" ht="12.75" hidden="false" customHeight="false" outlineLevel="0" collapsed="false">
      <c r="F1071" s="86"/>
      <c r="G1071" s="86"/>
      <c r="H1071" s="86"/>
      <c r="I1071" s="86"/>
      <c r="J1071" s="86"/>
      <c r="K1071" s="86"/>
      <c r="L1071" s="86"/>
      <c r="N1071" s="86"/>
      <c r="CQ1071" s="86"/>
      <c r="CR1071" s="86"/>
      <c r="CS1071" s="86"/>
      <c r="CT1071" s="86"/>
      <c r="CU1071" s="86"/>
      <c r="CV1071" s="86"/>
      <c r="CW1071" s="86"/>
    </row>
    <row r="1072" customFormat="false" ht="12.75" hidden="false" customHeight="false" outlineLevel="0" collapsed="false">
      <c r="F1072" s="86"/>
      <c r="G1072" s="86"/>
      <c r="H1072" s="86"/>
      <c r="I1072" s="86"/>
      <c r="J1072" s="86"/>
      <c r="K1072" s="86"/>
      <c r="L1072" s="86"/>
      <c r="N1072" s="86"/>
      <c r="CQ1072" s="86"/>
      <c r="CR1072" s="86"/>
      <c r="CS1072" s="86"/>
      <c r="CT1072" s="86"/>
      <c r="CU1072" s="86"/>
      <c r="CV1072" s="86"/>
      <c r="CW1072" s="86"/>
    </row>
    <row r="1073" customFormat="false" ht="12.75" hidden="false" customHeight="false" outlineLevel="0" collapsed="false">
      <c r="F1073" s="86"/>
      <c r="G1073" s="86"/>
      <c r="H1073" s="86"/>
      <c r="I1073" s="86"/>
      <c r="J1073" s="86"/>
      <c r="K1073" s="86"/>
      <c r="L1073" s="86"/>
      <c r="N1073" s="86"/>
      <c r="CQ1073" s="86"/>
      <c r="CR1073" s="86"/>
      <c r="CS1073" s="86"/>
      <c r="CT1073" s="86"/>
      <c r="CU1073" s="86"/>
      <c r="CV1073" s="86"/>
      <c r="CW1073" s="86"/>
    </row>
    <row r="1074" customFormat="false" ht="12.75" hidden="false" customHeight="false" outlineLevel="0" collapsed="false">
      <c r="F1074" s="86"/>
      <c r="G1074" s="86"/>
      <c r="H1074" s="86"/>
      <c r="I1074" s="86"/>
      <c r="J1074" s="86"/>
      <c r="K1074" s="86"/>
      <c r="L1074" s="86"/>
      <c r="N1074" s="86"/>
      <c r="CQ1074" s="86"/>
      <c r="CR1074" s="86"/>
      <c r="CS1074" s="86"/>
      <c r="CT1074" s="86"/>
      <c r="CU1074" s="86"/>
      <c r="CV1074" s="86"/>
      <c r="CW1074" s="86"/>
    </row>
    <row r="1075" customFormat="false" ht="12.75" hidden="false" customHeight="false" outlineLevel="0" collapsed="false">
      <c r="F1075" s="86"/>
      <c r="G1075" s="86"/>
      <c r="H1075" s="86"/>
      <c r="I1075" s="86"/>
      <c r="J1075" s="86"/>
      <c r="K1075" s="86"/>
      <c r="L1075" s="86"/>
      <c r="N1075" s="86"/>
      <c r="CQ1075" s="86"/>
      <c r="CR1075" s="86"/>
      <c r="CS1075" s="86"/>
      <c r="CT1075" s="86"/>
      <c r="CU1075" s="86"/>
      <c r="CV1075" s="86"/>
      <c r="CW1075" s="86"/>
    </row>
    <row r="1076" customFormat="false" ht="12.75" hidden="false" customHeight="false" outlineLevel="0" collapsed="false">
      <c r="F1076" s="86"/>
      <c r="G1076" s="86"/>
      <c r="H1076" s="86"/>
      <c r="I1076" s="86"/>
      <c r="J1076" s="86"/>
      <c r="K1076" s="86"/>
      <c r="L1076" s="86"/>
      <c r="N1076" s="86"/>
      <c r="CQ1076" s="86"/>
      <c r="CR1076" s="86"/>
      <c r="CS1076" s="86"/>
      <c r="CT1076" s="86"/>
      <c r="CU1076" s="86"/>
      <c r="CV1076" s="86"/>
      <c r="CW1076" s="86"/>
    </row>
    <row r="1077" customFormat="false" ht="12.75" hidden="false" customHeight="false" outlineLevel="0" collapsed="false">
      <c r="F1077" s="86"/>
      <c r="G1077" s="86"/>
      <c r="H1077" s="86"/>
      <c r="I1077" s="86"/>
      <c r="J1077" s="86"/>
      <c r="K1077" s="86"/>
      <c r="L1077" s="86"/>
      <c r="N1077" s="86"/>
      <c r="CQ1077" s="86"/>
      <c r="CR1077" s="86"/>
      <c r="CS1077" s="86"/>
      <c r="CT1077" s="86"/>
      <c r="CU1077" s="86"/>
      <c r="CV1077" s="86"/>
      <c r="CW1077" s="86"/>
    </row>
    <row r="1078" customFormat="false" ht="12.75" hidden="false" customHeight="false" outlineLevel="0" collapsed="false">
      <c r="F1078" s="86"/>
      <c r="G1078" s="86"/>
      <c r="H1078" s="86"/>
      <c r="I1078" s="86"/>
      <c r="J1078" s="86"/>
      <c r="K1078" s="86"/>
      <c r="L1078" s="86"/>
      <c r="N1078" s="86"/>
      <c r="CQ1078" s="86"/>
      <c r="CR1078" s="86"/>
      <c r="CS1078" s="86"/>
      <c r="CT1078" s="86"/>
      <c r="CU1078" s="86"/>
      <c r="CV1078" s="86"/>
      <c r="CW1078" s="86"/>
    </row>
    <row r="1079" customFormat="false" ht="12.75" hidden="false" customHeight="false" outlineLevel="0" collapsed="false">
      <c r="F1079" s="86"/>
      <c r="G1079" s="86"/>
      <c r="H1079" s="86"/>
      <c r="I1079" s="86"/>
      <c r="J1079" s="86"/>
      <c r="K1079" s="86"/>
      <c r="L1079" s="86"/>
      <c r="N1079" s="86"/>
      <c r="CQ1079" s="86"/>
      <c r="CR1079" s="86"/>
      <c r="CS1079" s="86"/>
      <c r="CT1079" s="86"/>
      <c r="CU1079" s="86"/>
      <c r="CV1079" s="86"/>
      <c r="CW1079" s="86"/>
    </row>
    <row r="1080" customFormat="false" ht="12.75" hidden="false" customHeight="false" outlineLevel="0" collapsed="false">
      <c r="F1080" s="86"/>
      <c r="G1080" s="86"/>
      <c r="H1080" s="86"/>
      <c r="I1080" s="86"/>
      <c r="J1080" s="86"/>
      <c r="K1080" s="86"/>
      <c r="L1080" s="86"/>
      <c r="N1080" s="86"/>
      <c r="CQ1080" s="86"/>
      <c r="CR1080" s="86"/>
      <c r="CS1080" s="86"/>
      <c r="CT1080" s="86"/>
      <c r="CU1080" s="86"/>
      <c r="CV1080" s="86"/>
      <c r="CW1080" s="86"/>
    </row>
    <row r="1081" customFormat="false" ht="12.75" hidden="false" customHeight="false" outlineLevel="0" collapsed="false">
      <c r="F1081" s="86"/>
      <c r="G1081" s="86"/>
      <c r="H1081" s="86"/>
      <c r="I1081" s="86"/>
      <c r="J1081" s="86"/>
      <c r="K1081" s="86"/>
      <c r="L1081" s="86"/>
      <c r="N1081" s="86"/>
      <c r="CQ1081" s="86"/>
      <c r="CR1081" s="86"/>
      <c r="CS1081" s="86"/>
      <c r="CT1081" s="86"/>
      <c r="CU1081" s="86"/>
      <c r="CV1081" s="86"/>
      <c r="CW1081" s="86"/>
    </row>
    <row r="1082" customFormat="false" ht="12.75" hidden="false" customHeight="false" outlineLevel="0" collapsed="false">
      <c r="F1082" s="86"/>
      <c r="G1082" s="86"/>
      <c r="H1082" s="86"/>
      <c r="I1082" s="86"/>
      <c r="J1082" s="86"/>
      <c r="K1082" s="86"/>
      <c r="L1082" s="86"/>
      <c r="N1082" s="86"/>
      <c r="CQ1082" s="86"/>
      <c r="CR1082" s="86"/>
      <c r="CS1082" s="86"/>
      <c r="CT1082" s="86"/>
      <c r="CU1082" s="86"/>
      <c r="CV1082" s="86"/>
      <c r="CW1082" s="86"/>
    </row>
    <row r="1083" customFormat="false" ht="12.75" hidden="false" customHeight="false" outlineLevel="0" collapsed="false">
      <c r="F1083" s="86"/>
      <c r="G1083" s="86"/>
      <c r="H1083" s="86"/>
      <c r="I1083" s="86"/>
      <c r="J1083" s="86"/>
      <c r="K1083" s="86"/>
      <c r="L1083" s="86"/>
      <c r="N1083" s="86"/>
      <c r="CQ1083" s="86"/>
      <c r="CR1083" s="86"/>
      <c r="CS1083" s="86"/>
      <c r="CT1083" s="86"/>
      <c r="CU1083" s="86"/>
      <c r="CV1083" s="86"/>
      <c r="CW1083" s="86"/>
    </row>
    <row r="1084" customFormat="false" ht="12.75" hidden="false" customHeight="false" outlineLevel="0" collapsed="false">
      <c r="F1084" s="86"/>
      <c r="G1084" s="86"/>
      <c r="H1084" s="86"/>
      <c r="I1084" s="86"/>
      <c r="J1084" s="86"/>
      <c r="K1084" s="86"/>
      <c r="L1084" s="86"/>
      <c r="N1084" s="86"/>
      <c r="CQ1084" s="86"/>
      <c r="CR1084" s="86"/>
      <c r="CS1084" s="86"/>
      <c r="CT1084" s="86"/>
      <c r="CU1084" s="86"/>
      <c r="CV1084" s="86"/>
      <c r="CW1084" s="86"/>
    </row>
    <row r="1085" customFormat="false" ht="12.75" hidden="false" customHeight="false" outlineLevel="0" collapsed="false">
      <c r="F1085" s="86"/>
      <c r="G1085" s="86"/>
      <c r="H1085" s="86"/>
      <c r="I1085" s="86"/>
      <c r="J1085" s="86"/>
      <c r="K1085" s="86"/>
      <c r="L1085" s="86"/>
      <c r="N1085" s="86"/>
      <c r="CQ1085" s="86"/>
      <c r="CR1085" s="86"/>
      <c r="CS1085" s="86"/>
      <c r="CT1085" s="86"/>
      <c r="CU1085" s="86"/>
      <c r="CV1085" s="86"/>
      <c r="CW1085" s="86"/>
    </row>
    <row r="1086" customFormat="false" ht="12.75" hidden="false" customHeight="false" outlineLevel="0" collapsed="false">
      <c r="F1086" s="86"/>
      <c r="G1086" s="86"/>
      <c r="H1086" s="86"/>
      <c r="I1086" s="86"/>
      <c r="J1086" s="86"/>
      <c r="K1086" s="86"/>
      <c r="L1086" s="86"/>
      <c r="N1086" s="86"/>
      <c r="CQ1086" s="86"/>
      <c r="CR1086" s="86"/>
      <c r="CS1086" s="86"/>
      <c r="CT1086" s="86"/>
      <c r="CU1086" s="86"/>
      <c r="CV1086" s="86"/>
      <c r="CW1086" s="86"/>
    </row>
    <row r="1087" customFormat="false" ht="12.75" hidden="false" customHeight="false" outlineLevel="0" collapsed="false">
      <c r="F1087" s="86"/>
      <c r="G1087" s="86"/>
      <c r="H1087" s="86"/>
      <c r="I1087" s="86"/>
      <c r="J1087" s="86"/>
      <c r="K1087" s="86"/>
      <c r="L1087" s="86"/>
      <c r="N1087" s="86"/>
      <c r="CQ1087" s="86"/>
      <c r="CR1087" s="86"/>
      <c r="CS1087" s="86"/>
      <c r="CT1087" s="86"/>
      <c r="CU1087" s="86"/>
      <c r="CV1087" s="86"/>
      <c r="CW1087" s="86"/>
    </row>
    <row r="1088" customFormat="false" ht="12.75" hidden="false" customHeight="false" outlineLevel="0" collapsed="false">
      <c r="F1088" s="86"/>
      <c r="G1088" s="86"/>
      <c r="H1088" s="86"/>
      <c r="I1088" s="86"/>
      <c r="J1088" s="86"/>
      <c r="K1088" s="86"/>
      <c r="L1088" s="86"/>
      <c r="N1088" s="86"/>
      <c r="CQ1088" s="86"/>
      <c r="CR1088" s="86"/>
      <c r="CS1088" s="86"/>
      <c r="CT1088" s="86"/>
      <c r="CU1088" s="86"/>
      <c r="CV1088" s="86"/>
      <c r="CW1088" s="86"/>
    </row>
    <row r="1089" customFormat="false" ht="12.75" hidden="false" customHeight="false" outlineLevel="0" collapsed="false">
      <c r="F1089" s="86"/>
      <c r="G1089" s="86"/>
      <c r="H1089" s="86"/>
      <c r="I1089" s="86"/>
      <c r="J1089" s="86"/>
      <c r="K1089" s="86"/>
      <c r="L1089" s="86"/>
      <c r="N1089" s="86"/>
      <c r="CQ1089" s="86"/>
      <c r="CR1089" s="86"/>
      <c r="CS1089" s="86"/>
      <c r="CT1089" s="86"/>
      <c r="CU1089" s="86"/>
      <c r="CV1089" s="86"/>
      <c r="CW1089" s="86"/>
    </row>
    <row r="1090" customFormat="false" ht="12.75" hidden="false" customHeight="false" outlineLevel="0" collapsed="false">
      <c r="F1090" s="86"/>
      <c r="G1090" s="86"/>
      <c r="H1090" s="86"/>
      <c r="I1090" s="86"/>
      <c r="J1090" s="86"/>
      <c r="K1090" s="86"/>
      <c r="L1090" s="86"/>
      <c r="N1090" s="86"/>
      <c r="CQ1090" s="86"/>
      <c r="CR1090" s="86"/>
      <c r="CS1090" s="86"/>
      <c r="CT1090" s="86"/>
      <c r="CU1090" s="86"/>
      <c r="CV1090" s="86"/>
      <c r="CW1090" s="86"/>
    </row>
    <row r="1091" customFormat="false" ht="12.75" hidden="false" customHeight="false" outlineLevel="0" collapsed="false">
      <c r="F1091" s="86"/>
      <c r="G1091" s="86"/>
      <c r="H1091" s="86"/>
      <c r="I1091" s="86"/>
      <c r="J1091" s="86"/>
      <c r="K1091" s="86"/>
      <c r="L1091" s="86"/>
      <c r="N1091" s="86"/>
      <c r="CQ1091" s="86"/>
      <c r="CR1091" s="86"/>
      <c r="CS1091" s="86"/>
      <c r="CT1091" s="86"/>
      <c r="CU1091" s="86"/>
      <c r="CV1091" s="86"/>
      <c r="CW1091" s="86"/>
    </row>
    <row r="1092" customFormat="false" ht="12.75" hidden="false" customHeight="false" outlineLevel="0" collapsed="false">
      <c r="F1092" s="86"/>
      <c r="G1092" s="86"/>
      <c r="H1092" s="86"/>
      <c r="I1092" s="86"/>
      <c r="J1092" s="86"/>
      <c r="K1092" s="86"/>
      <c r="L1092" s="86"/>
      <c r="N1092" s="86"/>
      <c r="CQ1092" s="86"/>
      <c r="CR1092" s="86"/>
      <c r="CS1092" s="86"/>
      <c r="CT1092" s="86"/>
      <c r="CU1092" s="86"/>
      <c r="CV1092" s="86"/>
      <c r="CW1092" s="86"/>
    </row>
    <row r="1093" customFormat="false" ht="12.75" hidden="false" customHeight="false" outlineLevel="0" collapsed="false">
      <c r="F1093" s="86"/>
      <c r="G1093" s="86"/>
      <c r="H1093" s="86"/>
      <c r="I1093" s="86"/>
      <c r="J1093" s="86"/>
      <c r="K1093" s="86"/>
      <c r="L1093" s="86"/>
      <c r="N1093" s="86"/>
      <c r="CQ1093" s="86"/>
      <c r="CR1093" s="86"/>
      <c r="CS1093" s="86"/>
      <c r="CT1093" s="86"/>
      <c r="CU1093" s="86"/>
      <c r="CV1093" s="86"/>
      <c r="CW1093" s="86"/>
    </row>
    <row r="1094" customFormat="false" ht="12.75" hidden="false" customHeight="false" outlineLevel="0" collapsed="false">
      <c r="F1094" s="86"/>
      <c r="G1094" s="86"/>
      <c r="H1094" s="86"/>
      <c r="I1094" s="86"/>
      <c r="J1094" s="86"/>
      <c r="K1094" s="86"/>
      <c r="L1094" s="86"/>
      <c r="N1094" s="86"/>
      <c r="CQ1094" s="86"/>
      <c r="CR1094" s="86"/>
      <c r="CS1094" s="86"/>
      <c r="CT1094" s="86"/>
      <c r="CU1094" s="86"/>
      <c r="CV1094" s="86"/>
      <c r="CW1094" s="86"/>
    </row>
    <row r="1095" customFormat="false" ht="12.75" hidden="false" customHeight="false" outlineLevel="0" collapsed="false">
      <c r="F1095" s="86"/>
      <c r="G1095" s="86"/>
      <c r="H1095" s="86"/>
      <c r="I1095" s="86"/>
      <c r="J1095" s="86"/>
      <c r="K1095" s="86"/>
      <c r="L1095" s="86"/>
      <c r="N1095" s="86"/>
      <c r="CQ1095" s="86"/>
      <c r="CR1095" s="86"/>
      <c r="CS1095" s="86"/>
      <c r="CT1095" s="86"/>
      <c r="CU1095" s="86"/>
      <c r="CV1095" s="86"/>
      <c r="CW1095" s="86"/>
    </row>
    <row r="1096" customFormat="false" ht="12.75" hidden="false" customHeight="false" outlineLevel="0" collapsed="false">
      <c r="F1096" s="86"/>
      <c r="G1096" s="86"/>
      <c r="H1096" s="86"/>
      <c r="I1096" s="86"/>
      <c r="J1096" s="86"/>
      <c r="K1096" s="86"/>
      <c r="L1096" s="86"/>
      <c r="N1096" s="86"/>
      <c r="CQ1096" s="86"/>
      <c r="CR1096" s="86"/>
      <c r="CS1096" s="86"/>
      <c r="CT1096" s="86"/>
      <c r="CU1096" s="86"/>
      <c r="CV1096" s="86"/>
      <c r="CW1096" s="86"/>
    </row>
    <row r="1097" customFormat="false" ht="12.75" hidden="false" customHeight="false" outlineLevel="0" collapsed="false">
      <c r="F1097" s="86"/>
      <c r="G1097" s="86"/>
      <c r="H1097" s="86"/>
      <c r="I1097" s="86"/>
      <c r="J1097" s="86"/>
      <c r="K1097" s="86"/>
      <c r="L1097" s="86"/>
      <c r="N1097" s="86"/>
      <c r="CQ1097" s="86"/>
      <c r="CR1097" s="86"/>
      <c r="CS1097" s="86"/>
      <c r="CT1097" s="86"/>
      <c r="CU1097" s="86"/>
      <c r="CV1097" s="86"/>
      <c r="CW1097" s="86"/>
    </row>
    <row r="1098" customFormat="false" ht="12.75" hidden="false" customHeight="false" outlineLevel="0" collapsed="false">
      <c r="F1098" s="86"/>
      <c r="G1098" s="86"/>
      <c r="H1098" s="86"/>
      <c r="I1098" s="86"/>
      <c r="J1098" s="86"/>
      <c r="K1098" s="86"/>
      <c r="L1098" s="86"/>
      <c r="N1098" s="86"/>
      <c r="CQ1098" s="86"/>
      <c r="CR1098" s="86"/>
      <c r="CS1098" s="86"/>
      <c r="CT1098" s="86"/>
      <c r="CU1098" s="86"/>
      <c r="CV1098" s="86"/>
      <c r="CW1098" s="86"/>
    </row>
    <row r="1099" customFormat="false" ht="12.75" hidden="false" customHeight="false" outlineLevel="0" collapsed="false">
      <c r="F1099" s="86"/>
      <c r="G1099" s="86"/>
      <c r="H1099" s="86"/>
      <c r="I1099" s="86"/>
      <c r="J1099" s="86"/>
      <c r="K1099" s="86"/>
      <c r="L1099" s="86"/>
      <c r="N1099" s="86"/>
      <c r="CQ1099" s="86"/>
      <c r="CR1099" s="86"/>
      <c r="CS1099" s="86"/>
      <c r="CT1099" s="86"/>
      <c r="CU1099" s="86"/>
      <c r="CV1099" s="86"/>
      <c r="CW1099" s="86"/>
    </row>
    <row r="1100" customFormat="false" ht="12.75" hidden="false" customHeight="false" outlineLevel="0" collapsed="false">
      <c r="F1100" s="86"/>
      <c r="G1100" s="86"/>
      <c r="H1100" s="86"/>
      <c r="I1100" s="86"/>
      <c r="J1100" s="86"/>
      <c r="K1100" s="86"/>
      <c r="L1100" s="86"/>
      <c r="N1100" s="86"/>
      <c r="CQ1100" s="86"/>
      <c r="CR1100" s="86"/>
      <c r="CS1100" s="86"/>
      <c r="CT1100" s="86"/>
      <c r="CU1100" s="86"/>
      <c r="CV1100" s="86"/>
      <c r="CW1100" s="86"/>
    </row>
    <row r="1101" customFormat="false" ht="12.75" hidden="false" customHeight="false" outlineLevel="0" collapsed="false">
      <c r="F1101" s="86"/>
      <c r="G1101" s="86"/>
      <c r="H1101" s="86"/>
      <c r="I1101" s="86"/>
      <c r="J1101" s="86"/>
      <c r="K1101" s="86"/>
      <c r="L1101" s="86"/>
      <c r="N1101" s="86"/>
      <c r="CQ1101" s="86"/>
      <c r="CR1101" s="86"/>
      <c r="CS1101" s="86"/>
      <c r="CT1101" s="86"/>
      <c r="CU1101" s="86"/>
      <c r="CV1101" s="86"/>
      <c r="CW1101" s="86"/>
    </row>
    <row r="1102" customFormat="false" ht="12.75" hidden="false" customHeight="false" outlineLevel="0" collapsed="false">
      <c r="F1102" s="86"/>
      <c r="G1102" s="86"/>
      <c r="H1102" s="86"/>
      <c r="I1102" s="86"/>
      <c r="J1102" s="86"/>
      <c r="K1102" s="86"/>
      <c r="L1102" s="86"/>
      <c r="N1102" s="86"/>
      <c r="CQ1102" s="86"/>
      <c r="CR1102" s="86"/>
      <c r="CS1102" s="86"/>
      <c r="CT1102" s="86"/>
      <c r="CU1102" s="86"/>
      <c r="CV1102" s="86"/>
      <c r="CW1102" s="86"/>
    </row>
    <row r="1103" customFormat="false" ht="12.75" hidden="false" customHeight="false" outlineLevel="0" collapsed="false">
      <c r="F1103" s="86"/>
      <c r="G1103" s="86"/>
      <c r="H1103" s="86"/>
      <c r="I1103" s="86"/>
      <c r="J1103" s="86"/>
      <c r="K1103" s="86"/>
      <c r="L1103" s="86"/>
      <c r="N1103" s="86"/>
      <c r="CQ1103" s="86"/>
      <c r="CR1103" s="86"/>
      <c r="CS1103" s="86"/>
      <c r="CT1103" s="86"/>
      <c r="CU1103" s="86"/>
      <c r="CV1103" s="86"/>
      <c r="CW1103" s="86"/>
    </row>
    <row r="1104" customFormat="false" ht="12.75" hidden="false" customHeight="false" outlineLevel="0" collapsed="false">
      <c r="F1104" s="86"/>
      <c r="G1104" s="86"/>
      <c r="H1104" s="86"/>
      <c r="I1104" s="86"/>
      <c r="J1104" s="86"/>
      <c r="K1104" s="86"/>
      <c r="L1104" s="86"/>
      <c r="N1104" s="86"/>
      <c r="CQ1104" s="86"/>
      <c r="CR1104" s="86"/>
      <c r="CS1104" s="86"/>
      <c r="CT1104" s="86"/>
      <c r="CU1104" s="86"/>
      <c r="CV1104" s="86"/>
      <c r="CW1104" s="86"/>
    </row>
    <row r="1105" customFormat="false" ht="12.75" hidden="false" customHeight="false" outlineLevel="0" collapsed="false">
      <c r="F1105" s="86"/>
      <c r="G1105" s="86"/>
      <c r="H1105" s="86"/>
      <c r="I1105" s="86"/>
      <c r="J1105" s="86"/>
      <c r="K1105" s="86"/>
      <c r="L1105" s="86"/>
      <c r="N1105" s="86"/>
      <c r="CQ1105" s="86"/>
      <c r="CR1105" s="86"/>
      <c r="CS1105" s="86"/>
      <c r="CT1105" s="86"/>
      <c r="CU1105" s="86"/>
      <c r="CV1105" s="86"/>
      <c r="CW1105" s="86"/>
    </row>
    <row r="1106" customFormat="false" ht="12.75" hidden="false" customHeight="false" outlineLevel="0" collapsed="false">
      <c r="F1106" s="86"/>
      <c r="G1106" s="86"/>
      <c r="H1106" s="86"/>
      <c r="I1106" s="86"/>
      <c r="J1106" s="86"/>
      <c r="K1106" s="86"/>
      <c r="L1106" s="86"/>
      <c r="N1106" s="86"/>
      <c r="CQ1106" s="86"/>
      <c r="CR1106" s="86"/>
      <c r="CS1106" s="86"/>
      <c r="CT1106" s="86"/>
      <c r="CU1106" s="86"/>
      <c r="CV1106" s="86"/>
      <c r="CW1106" s="86"/>
    </row>
    <row r="1107" customFormat="false" ht="12.75" hidden="false" customHeight="false" outlineLevel="0" collapsed="false">
      <c r="F1107" s="86"/>
      <c r="G1107" s="86"/>
      <c r="H1107" s="86"/>
      <c r="I1107" s="86"/>
      <c r="J1107" s="86"/>
      <c r="K1107" s="86"/>
      <c r="L1107" s="86"/>
      <c r="N1107" s="86"/>
      <c r="CQ1107" s="86"/>
      <c r="CR1107" s="86"/>
      <c r="CS1107" s="86"/>
      <c r="CT1107" s="86"/>
      <c r="CU1107" s="86"/>
      <c r="CV1107" s="86"/>
      <c r="CW1107" s="86"/>
    </row>
    <row r="1108" customFormat="false" ht="12.75" hidden="false" customHeight="false" outlineLevel="0" collapsed="false">
      <c r="F1108" s="86"/>
      <c r="G1108" s="86"/>
      <c r="H1108" s="86"/>
      <c r="I1108" s="86"/>
      <c r="J1108" s="86"/>
      <c r="K1108" s="86"/>
      <c r="L1108" s="86"/>
      <c r="N1108" s="86"/>
      <c r="CQ1108" s="86"/>
      <c r="CR1108" s="86"/>
      <c r="CS1108" s="86"/>
      <c r="CT1108" s="86"/>
      <c r="CU1108" s="86"/>
      <c r="CV1108" s="86"/>
      <c r="CW1108" s="86"/>
    </row>
    <row r="1109" customFormat="false" ht="12.75" hidden="false" customHeight="false" outlineLevel="0" collapsed="false">
      <c r="F1109" s="86"/>
      <c r="G1109" s="86"/>
      <c r="H1109" s="86"/>
      <c r="I1109" s="86"/>
      <c r="J1109" s="86"/>
      <c r="K1109" s="86"/>
      <c r="L1109" s="86"/>
      <c r="N1109" s="86"/>
      <c r="CQ1109" s="86"/>
      <c r="CR1109" s="86"/>
      <c r="CS1109" s="86"/>
      <c r="CT1109" s="86"/>
      <c r="CU1109" s="86"/>
      <c r="CV1109" s="86"/>
      <c r="CW1109" s="86"/>
    </row>
    <row r="1110" customFormat="false" ht="12.75" hidden="false" customHeight="false" outlineLevel="0" collapsed="false">
      <c r="F1110" s="86"/>
      <c r="G1110" s="86"/>
      <c r="H1110" s="86"/>
      <c r="I1110" s="86"/>
      <c r="J1110" s="86"/>
      <c r="K1110" s="86"/>
      <c r="L1110" s="86"/>
      <c r="N1110" s="86"/>
      <c r="CQ1110" s="86"/>
      <c r="CR1110" s="86"/>
      <c r="CS1110" s="86"/>
      <c r="CT1110" s="86"/>
      <c r="CU1110" s="86"/>
      <c r="CV1110" s="86"/>
      <c r="CW1110" s="86"/>
    </row>
    <row r="1111" customFormat="false" ht="12.75" hidden="false" customHeight="false" outlineLevel="0" collapsed="false">
      <c r="F1111" s="86"/>
      <c r="G1111" s="86"/>
      <c r="H1111" s="86"/>
      <c r="I1111" s="86"/>
      <c r="J1111" s="86"/>
      <c r="K1111" s="86"/>
      <c r="L1111" s="86"/>
      <c r="N1111" s="86"/>
      <c r="CQ1111" s="86"/>
      <c r="CR1111" s="86"/>
      <c r="CS1111" s="86"/>
      <c r="CT1111" s="86"/>
      <c r="CU1111" s="86"/>
      <c r="CV1111" s="86"/>
      <c r="CW1111" s="86"/>
    </row>
    <row r="1112" customFormat="false" ht="12.75" hidden="false" customHeight="false" outlineLevel="0" collapsed="false">
      <c r="F1112" s="86"/>
      <c r="G1112" s="86"/>
      <c r="H1112" s="86"/>
      <c r="I1112" s="86"/>
      <c r="J1112" s="86"/>
      <c r="K1112" s="86"/>
      <c r="L1112" s="86"/>
      <c r="N1112" s="86"/>
      <c r="CQ1112" s="86"/>
      <c r="CR1112" s="86"/>
      <c r="CS1112" s="86"/>
      <c r="CT1112" s="86"/>
      <c r="CU1112" s="86"/>
      <c r="CV1112" s="86"/>
      <c r="CW1112" s="86"/>
    </row>
    <row r="1113" customFormat="false" ht="12.75" hidden="false" customHeight="false" outlineLevel="0" collapsed="false">
      <c r="F1113" s="86"/>
      <c r="G1113" s="86"/>
      <c r="H1113" s="86"/>
      <c r="I1113" s="86"/>
      <c r="J1113" s="86"/>
      <c r="K1113" s="86"/>
      <c r="L1113" s="86"/>
      <c r="N1113" s="86"/>
      <c r="CQ1113" s="86"/>
      <c r="CR1113" s="86"/>
      <c r="CS1113" s="86"/>
      <c r="CT1113" s="86"/>
      <c r="CU1113" s="86"/>
      <c r="CV1113" s="86"/>
      <c r="CW1113" s="86"/>
    </row>
    <row r="1114" customFormat="false" ht="12.75" hidden="false" customHeight="false" outlineLevel="0" collapsed="false">
      <c r="F1114" s="86"/>
      <c r="G1114" s="86"/>
      <c r="H1114" s="86"/>
      <c r="I1114" s="86"/>
      <c r="J1114" s="86"/>
      <c r="K1114" s="86"/>
      <c r="L1114" s="86"/>
      <c r="N1114" s="86"/>
      <c r="CQ1114" s="86"/>
      <c r="CR1114" s="86"/>
      <c r="CS1114" s="86"/>
      <c r="CT1114" s="86"/>
      <c r="CU1114" s="86"/>
      <c r="CV1114" s="86"/>
      <c r="CW1114" s="86"/>
    </row>
    <row r="1115" customFormat="false" ht="12.75" hidden="false" customHeight="false" outlineLevel="0" collapsed="false">
      <c r="F1115" s="86"/>
      <c r="G1115" s="86"/>
      <c r="H1115" s="86"/>
      <c r="I1115" s="86"/>
      <c r="J1115" s="86"/>
      <c r="K1115" s="86"/>
      <c r="L1115" s="86"/>
      <c r="N1115" s="86"/>
      <c r="CQ1115" s="86"/>
      <c r="CR1115" s="86"/>
      <c r="CS1115" s="86"/>
      <c r="CT1115" s="86"/>
      <c r="CU1115" s="86"/>
      <c r="CV1115" s="86"/>
      <c r="CW1115" s="86"/>
    </row>
    <row r="1116" customFormat="false" ht="12.75" hidden="false" customHeight="false" outlineLevel="0" collapsed="false">
      <c r="F1116" s="86"/>
      <c r="G1116" s="86"/>
      <c r="H1116" s="86"/>
      <c r="I1116" s="86"/>
      <c r="J1116" s="86"/>
      <c r="K1116" s="86"/>
      <c r="L1116" s="86"/>
      <c r="N1116" s="86"/>
      <c r="CQ1116" s="86"/>
      <c r="CR1116" s="86"/>
      <c r="CS1116" s="86"/>
      <c r="CT1116" s="86"/>
      <c r="CU1116" s="86"/>
      <c r="CV1116" s="86"/>
      <c r="CW1116" s="86"/>
    </row>
    <row r="1117" customFormat="false" ht="12.75" hidden="false" customHeight="false" outlineLevel="0" collapsed="false">
      <c r="F1117" s="86"/>
      <c r="G1117" s="86"/>
      <c r="H1117" s="86"/>
      <c r="I1117" s="86"/>
      <c r="J1117" s="86"/>
      <c r="K1117" s="86"/>
      <c r="L1117" s="86"/>
      <c r="N1117" s="86"/>
      <c r="CQ1117" s="86"/>
      <c r="CR1117" s="86"/>
      <c r="CS1117" s="86"/>
      <c r="CT1117" s="86"/>
      <c r="CU1117" s="86"/>
      <c r="CV1117" s="86"/>
      <c r="CW1117" s="86"/>
    </row>
    <row r="1118" customFormat="false" ht="12.75" hidden="false" customHeight="false" outlineLevel="0" collapsed="false">
      <c r="F1118" s="86"/>
      <c r="G1118" s="86"/>
      <c r="H1118" s="86"/>
      <c r="I1118" s="86"/>
      <c r="J1118" s="86"/>
      <c r="K1118" s="86"/>
      <c r="L1118" s="86"/>
      <c r="N1118" s="86"/>
      <c r="CQ1118" s="86"/>
      <c r="CR1118" s="86"/>
      <c r="CS1118" s="86"/>
      <c r="CT1118" s="86"/>
      <c r="CU1118" s="86"/>
      <c r="CV1118" s="86"/>
      <c r="CW1118" s="86"/>
    </row>
    <row r="1119" customFormat="false" ht="12.75" hidden="false" customHeight="false" outlineLevel="0" collapsed="false">
      <c r="F1119" s="86"/>
      <c r="G1119" s="86"/>
      <c r="H1119" s="86"/>
      <c r="I1119" s="86"/>
      <c r="J1119" s="86"/>
      <c r="K1119" s="86"/>
      <c r="L1119" s="86"/>
      <c r="N1119" s="86"/>
      <c r="CQ1119" s="86"/>
      <c r="CR1119" s="86"/>
      <c r="CS1119" s="86"/>
      <c r="CT1119" s="86"/>
      <c r="CU1119" s="86"/>
      <c r="CV1119" s="86"/>
      <c r="CW1119" s="86"/>
    </row>
    <row r="1120" customFormat="false" ht="12.75" hidden="false" customHeight="false" outlineLevel="0" collapsed="false">
      <c r="F1120" s="86"/>
      <c r="G1120" s="86"/>
      <c r="H1120" s="86"/>
      <c r="I1120" s="86"/>
      <c r="J1120" s="86"/>
      <c r="K1120" s="86"/>
      <c r="L1120" s="86"/>
      <c r="N1120" s="86"/>
      <c r="CQ1120" s="86"/>
      <c r="CR1120" s="86"/>
      <c r="CS1120" s="86"/>
      <c r="CT1120" s="86"/>
      <c r="CU1120" s="86"/>
      <c r="CV1120" s="86"/>
      <c r="CW1120" s="86"/>
    </row>
    <row r="1121" customFormat="false" ht="12.75" hidden="false" customHeight="false" outlineLevel="0" collapsed="false">
      <c r="F1121" s="86"/>
      <c r="G1121" s="86"/>
      <c r="H1121" s="86"/>
      <c r="I1121" s="86"/>
      <c r="J1121" s="86"/>
      <c r="K1121" s="86"/>
      <c r="L1121" s="86"/>
      <c r="N1121" s="86"/>
      <c r="CQ1121" s="86"/>
      <c r="CR1121" s="86"/>
      <c r="CS1121" s="86"/>
      <c r="CT1121" s="86"/>
      <c r="CU1121" s="86"/>
      <c r="CV1121" s="86"/>
      <c r="CW1121" s="86"/>
    </row>
    <row r="1122" customFormat="false" ht="12.75" hidden="false" customHeight="false" outlineLevel="0" collapsed="false">
      <c r="F1122" s="86"/>
      <c r="G1122" s="86"/>
      <c r="H1122" s="86"/>
      <c r="I1122" s="86"/>
      <c r="J1122" s="86"/>
      <c r="K1122" s="86"/>
      <c r="L1122" s="86"/>
      <c r="N1122" s="86"/>
      <c r="CQ1122" s="86"/>
      <c r="CR1122" s="86"/>
      <c r="CS1122" s="86"/>
      <c r="CT1122" s="86"/>
      <c r="CU1122" s="86"/>
      <c r="CV1122" s="86"/>
      <c r="CW1122" s="86"/>
    </row>
    <row r="1123" customFormat="false" ht="12.75" hidden="false" customHeight="false" outlineLevel="0" collapsed="false">
      <c r="F1123" s="86"/>
      <c r="G1123" s="86"/>
      <c r="H1123" s="86"/>
      <c r="I1123" s="86"/>
      <c r="J1123" s="86"/>
      <c r="K1123" s="86"/>
      <c r="L1123" s="86"/>
      <c r="N1123" s="86"/>
      <c r="CQ1123" s="86"/>
      <c r="CR1123" s="86"/>
      <c r="CS1123" s="86"/>
      <c r="CT1123" s="86"/>
      <c r="CU1123" s="86"/>
      <c r="CV1123" s="86"/>
      <c r="CW1123" s="86"/>
    </row>
    <row r="1124" customFormat="false" ht="12.75" hidden="false" customHeight="false" outlineLevel="0" collapsed="false">
      <c r="F1124" s="86"/>
      <c r="G1124" s="86"/>
      <c r="H1124" s="86"/>
      <c r="I1124" s="86"/>
      <c r="J1124" s="86"/>
      <c r="K1124" s="86"/>
      <c r="L1124" s="86"/>
      <c r="N1124" s="86"/>
      <c r="CQ1124" s="86"/>
      <c r="CR1124" s="86"/>
      <c r="CS1124" s="86"/>
      <c r="CT1124" s="86"/>
      <c r="CU1124" s="86"/>
      <c r="CV1124" s="86"/>
      <c r="CW1124" s="86"/>
    </row>
    <row r="1125" customFormat="false" ht="12.75" hidden="false" customHeight="false" outlineLevel="0" collapsed="false">
      <c r="F1125" s="86"/>
      <c r="G1125" s="86"/>
      <c r="H1125" s="86"/>
      <c r="I1125" s="86"/>
      <c r="J1125" s="86"/>
      <c r="K1125" s="86"/>
      <c r="L1125" s="86"/>
      <c r="N1125" s="86"/>
      <c r="CQ1125" s="86"/>
      <c r="CR1125" s="86"/>
      <c r="CS1125" s="86"/>
      <c r="CT1125" s="86"/>
      <c r="CU1125" s="86"/>
      <c r="CV1125" s="86"/>
      <c r="CW1125" s="86"/>
    </row>
    <row r="1126" customFormat="false" ht="12.75" hidden="false" customHeight="false" outlineLevel="0" collapsed="false">
      <c r="F1126" s="86"/>
      <c r="G1126" s="86"/>
      <c r="H1126" s="86"/>
      <c r="I1126" s="86"/>
      <c r="J1126" s="86"/>
      <c r="K1126" s="86"/>
      <c r="L1126" s="86"/>
      <c r="N1126" s="86"/>
      <c r="CQ1126" s="86"/>
      <c r="CR1126" s="86"/>
      <c r="CS1126" s="86"/>
      <c r="CT1126" s="86"/>
      <c r="CU1126" s="86"/>
      <c r="CV1126" s="86"/>
      <c r="CW1126" s="86"/>
    </row>
    <row r="1127" customFormat="false" ht="12.75" hidden="false" customHeight="false" outlineLevel="0" collapsed="false">
      <c r="F1127" s="86"/>
      <c r="G1127" s="86"/>
      <c r="H1127" s="86"/>
      <c r="I1127" s="86"/>
      <c r="J1127" s="86"/>
      <c r="K1127" s="86"/>
      <c r="L1127" s="86"/>
      <c r="N1127" s="86"/>
      <c r="CQ1127" s="86"/>
      <c r="CR1127" s="86"/>
      <c r="CS1127" s="86"/>
      <c r="CT1127" s="86"/>
      <c r="CU1127" s="86"/>
      <c r="CV1127" s="86"/>
      <c r="CW1127" s="86"/>
    </row>
    <row r="1128" customFormat="false" ht="12.75" hidden="false" customHeight="false" outlineLevel="0" collapsed="false">
      <c r="F1128" s="86"/>
      <c r="G1128" s="86"/>
      <c r="H1128" s="86"/>
      <c r="I1128" s="86"/>
      <c r="J1128" s="86"/>
      <c r="K1128" s="86"/>
      <c r="L1128" s="86"/>
      <c r="N1128" s="86"/>
      <c r="CQ1128" s="86"/>
      <c r="CR1128" s="86"/>
      <c r="CS1128" s="86"/>
      <c r="CT1128" s="86"/>
      <c r="CU1128" s="86"/>
      <c r="CV1128" s="86"/>
      <c r="CW1128" s="86"/>
    </row>
    <row r="1129" customFormat="false" ht="12.75" hidden="false" customHeight="false" outlineLevel="0" collapsed="false">
      <c r="F1129" s="86"/>
      <c r="G1129" s="86"/>
      <c r="H1129" s="86"/>
      <c r="I1129" s="86"/>
      <c r="J1129" s="86"/>
      <c r="K1129" s="86"/>
      <c r="L1129" s="86"/>
      <c r="N1129" s="86"/>
      <c r="CQ1129" s="86"/>
      <c r="CR1129" s="86"/>
      <c r="CS1129" s="86"/>
      <c r="CT1129" s="86"/>
      <c r="CU1129" s="86"/>
      <c r="CV1129" s="86"/>
      <c r="CW1129" s="86"/>
    </row>
    <row r="1130" customFormat="false" ht="12.75" hidden="false" customHeight="false" outlineLevel="0" collapsed="false">
      <c r="F1130" s="86"/>
      <c r="G1130" s="86"/>
      <c r="H1130" s="86"/>
      <c r="I1130" s="86"/>
      <c r="J1130" s="86"/>
      <c r="K1130" s="86"/>
      <c r="L1130" s="86"/>
      <c r="N1130" s="86"/>
      <c r="CQ1130" s="86"/>
      <c r="CR1130" s="86"/>
      <c r="CS1130" s="86"/>
      <c r="CT1130" s="86"/>
      <c r="CU1130" s="86"/>
      <c r="CV1130" s="86"/>
      <c r="CW1130" s="86"/>
    </row>
    <row r="1131" customFormat="false" ht="12.75" hidden="false" customHeight="false" outlineLevel="0" collapsed="false">
      <c r="F1131" s="86"/>
      <c r="G1131" s="86"/>
      <c r="H1131" s="86"/>
      <c r="I1131" s="86"/>
      <c r="J1131" s="86"/>
      <c r="K1131" s="86"/>
      <c r="L1131" s="86"/>
      <c r="N1131" s="86"/>
      <c r="CQ1131" s="86"/>
      <c r="CR1131" s="86"/>
      <c r="CS1131" s="86"/>
      <c r="CT1131" s="86"/>
      <c r="CU1131" s="86"/>
      <c r="CV1131" s="86"/>
      <c r="CW1131" s="86"/>
    </row>
    <row r="1132" customFormat="false" ht="12.75" hidden="false" customHeight="false" outlineLevel="0" collapsed="false">
      <c r="F1132" s="86"/>
      <c r="G1132" s="86"/>
      <c r="H1132" s="86"/>
      <c r="I1132" s="86"/>
      <c r="J1132" s="86"/>
      <c r="K1132" s="86"/>
      <c r="L1132" s="86"/>
      <c r="N1132" s="86"/>
      <c r="CQ1132" s="86"/>
      <c r="CR1132" s="86"/>
      <c r="CS1132" s="86"/>
      <c r="CT1132" s="86"/>
      <c r="CU1132" s="86"/>
      <c r="CV1132" s="86"/>
      <c r="CW1132" s="86"/>
    </row>
    <row r="1133" customFormat="false" ht="12.75" hidden="false" customHeight="false" outlineLevel="0" collapsed="false">
      <c r="F1133" s="86"/>
      <c r="G1133" s="86"/>
      <c r="H1133" s="86"/>
      <c r="I1133" s="86"/>
      <c r="J1133" s="86"/>
      <c r="K1133" s="86"/>
      <c r="L1133" s="86"/>
      <c r="N1133" s="86"/>
      <c r="CQ1133" s="86"/>
      <c r="CR1133" s="86"/>
      <c r="CS1133" s="86"/>
      <c r="CT1133" s="86"/>
      <c r="CU1133" s="86"/>
      <c r="CV1133" s="86"/>
      <c r="CW1133" s="86"/>
    </row>
    <row r="1134" customFormat="false" ht="12.75" hidden="false" customHeight="false" outlineLevel="0" collapsed="false">
      <c r="F1134" s="86"/>
      <c r="G1134" s="86"/>
      <c r="H1134" s="86"/>
      <c r="I1134" s="86"/>
      <c r="J1134" s="86"/>
      <c r="K1134" s="86"/>
      <c r="L1134" s="86"/>
      <c r="N1134" s="86"/>
      <c r="CQ1134" s="86"/>
      <c r="CR1134" s="86"/>
      <c r="CS1134" s="86"/>
      <c r="CT1134" s="86"/>
      <c r="CU1134" s="86"/>
      <c r="CV1134" s="86"/>
      <c r="CW1134" s="86"/>
    </row>
    <row r="1135" customFormat="false" ht="12.75" hidden="false" customHeight="false" outlineLevel="0" collapsed="false">
      <c r="F1135" s="86"/>
      <c r="G1135" s="86"/>
      <c r="H1135" s="86"/>
      <c r="I1135" s="86"/>
      <c r="J1135" s="86"/>
      <c r="K1135" s="86"/>
      <c r="L1135" s="86"/>
      <c r="N1135" s="86"/>
      <c r="CQ1135" s="86"/>
      <c r="CR1135" s="86"/>
      <c r="CS1135" s="86"/>
      <c r="CT1135" s="86"/>
      <c r="CU1135" s="86"/>
      <c r="CV1135" s="86"/>
      <c r="CW1135" s="86"/>
    </row>
    <row r="1136" customFormat="false" ht="12.75" hidden="false" customHeight="false" outlineLevel="0" collapsed="false">
      <c r="F1136" s="86"/>
      <c r="G1136" s="86"/>
      <c r="H1136" s="86"/>
      <c r="I1136" s="86"/>
      <c r="J1136" s="86"/>
      <c r="K1136" s="86"/>
      <c r="L1136" s="86"/>
      <c r="N1136" s="86"/>
      <c r="CQ1136" s="86"/>
      <c r="CR1136" s="86"/>
      <c r="CS1136" s="86"/>
      <c r="CT1136" s="86"/>
      <c r="CU1136" s="86"/>
      <c r="CV1136" s="86"/>
      <c r="CW1136" s="86"/>
    </row>
    <row r="1137" customFormat="false" ht="12.75" hidden="false" customHeight="false" outlineLevel="0" collapsed="false">
      <c r="F1137" s="86"/>
      <c r="G1137" s="86"/>
      <c r="H1137" s="86"/>
      <c r="I1137" s="86"/>
      <c r="J1137" s="86"/>
      <c r="K1137" s="86"/>
      <c r="L1137" s="86"/>
      <c r="N1137" s="86"/>
      <c r="CQ1137" s="86"/>
      <c r="CR1137" s="86"/>
      <c r="CS1137" s="86"/>
      <c r="CT1137" s="86"/>
      <c r="CU1137" s="86"/>
      <c r="CV1137" s="86"/>
      <c r="CW1137" s="86"/>
    </row>
    <row r="1138" customFormat="false" ht="12.75" hidden="false" customHeight="false" outlineLevel="0" collapsed="false">
      <c r="F1138" s="86"/>
      <c r="G1138" s="86"/>
      <c r="H1138" s="86"/>
      <c r="I1138" s="86"/>
      <c r="J1138" s="86"/>
      <c r="K1138" s="86"/>
      <c r="L1138" s="86"/>
      <c r="N1138" s="86"/>
      <c r="CQ1138" s="86"/>
      <c r="CR1138" s="86"/>
      <c r="CS1138" s="86"/>
      <c r="CT1138" s="86"/>
      <c r="CU1138" s="86"/>
      <c r="CV1138" s="86"/>
      <c r="CW1138" s="86"/>
    </row>
    <row r="1139" customFormat="false" ht="12.75" hidden="false" customHeight="false" outlineLevel="0" collapsed="false">
      <c r="F1139" s="86"/>
      <c r="G1139" s="86"/>
      <c r="H1139" s="86"/>
      <c r="I1139" s="86"/>
      <c r="J1139" s="86"/>
      <c r="K1139" s="86"/>
      <c r="L1139" s="86"/>
      <c r="N1139" s="86"/>
      <c r="CQ1139" s="86"/>
      <c r="CR1139" s="86"/>
      <c r="CS1139" s="86"/>
      <c r="CT1139" s="86"/>
      <c r="CU1139" s="86"/>
      <c r="CV1139" s="86"/>
      <c r="CW1139" s="86"/>
    </row>
    <row r="1140" customFormat="false" ht="12.75" hidden="false" customHeight="false" outlineLevel="0" collapsed="false">
      <c r="F1140" s="86"/>
      <c r="G1140" s="86"/>
      <c r="H1140" s="86"/>
      <c r="I1140" s="86"/>
      <c r="J1140" s="86"/>
      <c r="K1140" s="86"/>
      <c r="L1140" s="86"/>
      <c r="N1140" s="86"/>
      <c r="CQ1140" s="86"/>
      <c r="CR1140" s="86"/>
      <c r="CS1140" s="86"/>
      <c r="CT1140" s="86"/>
      <c r="CU1140" s="86"/>
      <c r="CV1140" s="86"/>
      <c r="CW1140" s="86"/>
    </row>
    <row r="1141" customFormat="false" ht="12.75" hidden="false" customHeight="false" outlineLevel="0" collapsed="false">
      <c r="F1141" s="86"/>
      <c r="G1141" s="86"/>
      <c r="H1141" s="86"/>
      <c r="I1141" s="86"/>
      <c r="J1141" s="86"/>
      <c r="K1141" s="86"/>
      <c r="L1141" s="86"/>
      <c r="N1141" s="86"/>
      <c r="CQ1141" s="86"/>
      <c r="CR1141" s="86"/>
      <c r="CS1141" s="86"/>
      <c r="CT1141" s="86"/>
      <c r="CU1141" s="86"/>
      <c r="CV1141" s="86"/>
      <c r="CW1141" s="86"/>
    </row>
    <row r="1142" customFormat="false" ht="12.75" hidden="false" customHeight="false" outlineLevel="0" collapsed="false">
      <c r="F1142" s="86"/>
      <c r="G1142" s="86"/>
      <c r="H1142" s="86"/>
      <c r="I1142" s="86"/>
      <c r="J1142" s="86"/>
      <c r="K1142" s="86"/>
      <c r="L1142" s="86"/>
      <c r="N1142" s="86"/>
      <c r="CQ1142" s="86"/>
      <c r="CR1142" s="86"/>
      <c r="CS1142" s="86"/>
      <c r="CT1142" s="86"/>
      <c r="CU1142" s="86"/>
      <c r="CV1142" s="86"/>
      <c r="CW1142" s="86"/>
    </row>
    <row r="1143" customFormat="false" ht="12.75" hidden="false" customHeight="false" outlineLevel="0" collapsed="false">
      <c r="F1143" s="86"/>
      <c r="G1143" s="86"/>
      <c r="H1143" s="86"/>
      <c r="I1143" s="86"/>
      <c r="J1143" s="86"/>
      <c r="K1143" s="86"/>
      <c r="L1143" s="86"/>
      <c r="N1143" s="86"/>
      <c r="CQ1143" s="86"/>
      <c r="CR1143" s="86"/>
      <c r="CS1143" s="86"/>
      <c r="CT1143" s="86"/>
      <c r="CU1143" s="86"/>
      <c r="CV1143" s="86"/>
      <c r="CW1143" s="86"/>
    </row>
    <row r="1144" customFormat="false" ht="12.75" hidden="false" customHeight="false" outlineLevel="0" collapsed="false">
      <c r="F1144" s="86"/>
      <c r="G1144" s="86"/>
      <c r="H1144" s="86"/>
      <c r="I1144" s="86"/>
      <c r="J1144" s="86"/>
      <c r="K1144" s="86"/>
      <c r="L1144" s="86"/>
      <c r="N1144" s="86"/>
      <c r="CQ1144" s="86"/>
      <c r="CR1144" s="86"/>
      <c r="CS1144" s="86"/>
      <c r="CT1144" s="86"/>
      <c r="CU1144" s="86"/>
      <c r="CV1144" s="86"/>
      <c r="CW1144" s="86"/>
    </row>
    <row r="1145" customFormat="false" ht="12.75" hidden="false" customHeight="false" outlineLevel="0" collapsed="false">
      <c r="F1145" s="86"/>
      <c r="G1145" s="86"/>
      <c r="H1145" s="86"/>
      <c r="I1145" s="86"/>
      <c r="J1145" s="86"/>
      <c r="K1145" s="86"/>
      <c r="L1145" s="86"/>
      <c r="N1145" s="86"/>
      <c r="CQ1145" s="86"/>
      <c r="CR1145" s="86"/>
      <c r="CS1145" s="86"/>
      <c r="CT1145" s="86"/>
      <c r="CU1145" s="86"/>
      <c r="CV1145" s="86"/>
      <c r="CW1145" s="86"/>
    </row>
    <row r="1146" customFormat="false" ht="12.75" hidden="false" customHeight="false" outlineLevel="0" collapsed="false">
      <c r="F1146" s="86"/>
      <c r="G1146" s="86"/>
      <c r="H1146" s="86"/>
      <c r="I1146" s="86"/>
      <c r="J1146" s="86"/>
      <c r="K1146" s="86"/>
      <c r="L1146" s="86"/>
      <c r="N1146" s="86"/>
      <c r="CQ1146" s="86"/>
      <c r="CR1146" s="86"/>
      <c r="CS1146" s="86"/>
      <c r="CT1146" s="86"/>
      <c r="CU1146" s="86"/>
      <c r="CV1146" s="86"/>
      <c r="CW1146" s="86"/>
    </row>
    <row r="1147" customFormat="false" ht="12.75" hidden="false" customHeight="false" outlineLevel="0" collapsed="false">
      <c r="F1147" s="86"/>
      <c r="G1147" s="86"/>
      <c r="H1147" s="86"/>
      <c r="I1147" s="86"/>
      <c r="J1147" s="86"/>
      <c r="K1147" s="86"/>
      <c r="L1147" s="86"/>
      <c r="N1147" s="86"/>
      <c r="CQ1147" s="86"/>
      <c r="CR1147" s="86"/>
      <c r="CS1147" s="86"/>
      <c r="CT1147" s="86"/>
      <c r="CU1147" s="86"/>
      <c r="CV1147" s="86"/>
      <c r="CW1147" s="86"/>
    </row>
    <row r="1148" customFormat="false" ht="12.75" hidden="false" customHeight="false" outlineLevel="0" collapsed="false">
      <c r="F1148" s="86"/>
      <c r="G1148" s="86"/>
      <c r="H1148" s="86"/>
      <c r="I1148" s="86"/>
      <c r="J1148" s="86"/>
      <c r="K1148" s="86"/>
      <c r="L1148" s="86"/>
      <c r="N1148" s="86"/>
      <c r="CQ1148" s="86"/>
      <c r="CR1148" s="86"/>
      <c r="CS1148" s="86"/>
      <c r="CT1148" s="86"/>
      <c r="CU1148" s="86"/>
      <c r="CV1148" s="86"/>
      <c r="CW1148" s="86"/>
    </row>
    <row r="1149" customFormat="false" ht="12.75" hidden="false" customHeight="false" outlineLevel="0" collapsed="false">
      <c r="F1149" s="86"/>
      <c r="G1149" s="86"/>
      <c r="H1149" s="86"/>
      <c r="I1149" s="86"/>
      <c r="J1149" s="86"/>
      <c r="K1149" s="86"/>
      <c r="L1149" s="86"/>
      <c r="N1149" s="86"/>
      <c r="CQ1149" s="86"/>
      <c r="CR1149" s="86"/>
      <c r="CS1149" s="86"/>
      <c r="CT1149" s="86"/>
      <c r="CU1149" s="86"/>
      <c r="CV1149" s="86"/>
      <c r="CW1149" s="86"/>
    </row>
    <row r="1150" customFormat="false" ht="12.75" hidden="false" customHeight="false" outlineLevel="0" collapsed="false">
      <c r="F1150" s="86"/>
      <c r="G1150" s="86"/>
      <c r="H1150" s="86"/>
      <c r="I1150" s="86"/>
      <c r="J1150" s="86"/>
      <c r="K1150" s="86"/>
      <c r="L1150" s="86"/>
      <c r="N1150" s="86"/>
      <c r="CQ1150" s="86"/>
      <c r="CR1150" s="86"/>
      <c r="CS1150" s="86"/>
      <c r="CT1150" s="86"/>
      <c r="CU1150" s="86"/>
      <c r="CV1150" s="86"/>
      <c r="CW1150" s="86"/>
    </row>
    <row r="1151" customFormat="false" ht="12.75" hidden="false" customHeight="false" outlineLevel="0" collapsed="false">
      <c r="F1151" s="86"/>
      <c r="G1151" s="86"/>
      <c r="H1151" s="86"/>
      <c r="I1151" s="86"/>
      <c r="J1151" s="86"/>
      <c r="K1151" s="86"/>
      <c r="L1151" s="86"/>
      <c r="N1151" s="86"/>
      <c r="CQ1151" s="86"/>
      <c r="CR1151" s="86"/>
      <c r="CS1151" s="86"/>
      <c r="CT1151" s="86"/>
      <c r="CU1151" s="86"/>
      <c r="CV1151" s="86"/>
      <c r="CW1151" s="86"/>
    </row>
    <row r="1152" customFormat="false" ht="12.75" hidden="false" customHeight="false" outlineLevel="0" collapsed="false">
      <c r="F1152" s="86"/>
      <c r="G1152" s="86"/>
      <c r="H1152" s="86"/>
      <c r="I1152" s="86"/>
      <c r="J1152" s="86"/>
      <c r="K1152" s="86"/>
      <c r="L1152" s="86"/>
      <c r="N1152" s="86"/>
      <c r="CQ1152" s="86"/>
      <c r="CR1152" s="86"/>
      <c r="CS1152" s="86"/>
      <c r="CT1152" s="86"/>
      <c r="CU1152" s="86"/>
      <c r="CV1152" s="86"/>
      <c r="CW1152" s="86"/>
    </row>
    <row r="1153" customFormat="false" ht="12.75" hidden="false" customHeight="false" outlineLevel="0" collapsed="false">
      <c r="F1153" s="86"/>
      <c r="G1153" s="86"/>
      <c r="H1153" s="86"/>
      <c r="I1153" s="86"/>
      <c r="J1153" s="86"/>
      <c r="K1153" s="86"/>
      <c r="L1153" s="86"/>
      <c r="N1153" s="86"/>
      <c r="CQ1153" s="86"/>
      <c r="CR1153" s="86"/>
      <c r="CS1153" s="86"/>
      <c r="CT1153" s="86"/>
      <c r="CU1153" s="86"/>
      <c r="CV1153" s="86"/>
      <c r="CW1153" s="86"/>
    </row>
    <row r="1154" customFormat="false" ht="12.75" hidden="false" customHeight="false" outlineLevel="0" collapsed="false">
      <c r="F1154" s="86"/>
      <c r="G1154" s="86"/>
      <c r="H1154" s="86"/>
      <c r="I1154" s="86"/>
      <c r="J1154" s="86"/>
      <c r="K1154" s="86"/>
      <c r="L1154" s="86"/>
      <c r="N1154" s="86"/>
      <c r="CQ1154" s="86"/>
      <c r="CR1154" s="86"/>
      <c r="CS1154" s="86"/>
      <c r="CT1154" s="86"/>
      <c r="CU1154" s="86"/>
      <c r="CV1154" s="86"/>
      <c r="CW1154" s="86"/>
    </row>
    <row r="1155" customFormat="false" ht="12.75" hidden="false" customHeight="false" outlineLevel="0" collapsed="false">
      <c r="F1155" s="86"/>
      <c r="G1155" s="86"/>
      <c r="H1155" s="86"/>
      <c r="I1155" s="86"/>
      <c r="J1155" s="86"/>
      <c r="K1155" s="86"/>
      <c r="L1155" s="86"/>
      <c r="N1155" s="86"/>
      <c r="CQ1155" s="86"/>
      <c r="CR1155" s="86"/>
      <c r="CS1155" s="86"/>
      <c r="CT1155" s="86"/>
      <c r="CU1155" s="86"/>
      <c r="CV1155" s="86"/>
      <c r="CW1155" s="86"/>
    </row>
    <row r="1156" customFormat="false" ht="12.75" hidden="false" customHeight="false" outlineLevel="0" collapsed="false">
      <c r="F1156" s="86"/>
      <c r="G1156" s="86"/>
      <c r="H1156" s="86"/>
      <c r="I1156" s="86"/>
      <c r="J1156" s="86"/>
      <c r="K1156" s="86"/>
      <c r="L1156" s="86"/>
      <c r="N1156" s="86"/>
      <c r="CQ1156" s="86"/>
      <c r="CR1156" s="86"/>
      <c r="CS1156" s="86"/>
      <c r="CT1156" s="86"/>
      <c r="CU1156" s="86"/>
      <c r="CV1156" s="86"/>
      <c r="CW1156" s="86"/>
    </row>
    <row r="1157" customFormat="false" ht="12.75" hidden="false" customHeight="false" outlineLevel="0" collapsed="false">
      <c r="F1157" s="86"/>
      <c r="G1157" s="86"/>
      <c r="H1157" s="86"/>
      <c r="I1157" s="86"/>
      <c r="J1157" s="86"/>
      <c r="K1157" s="86"/>
      <c r="L1157" s="86"/>
      <c r="N1157" s="86"/>
      <c r="CQ1157" s="86"/>
      <c r="CR1157" s="86"/>
      <c r="CS1157" s="86"/>
      <c r="CT1157" s="86"/>
      <c r="CU1157" s="86"/>
      <c r="CV1157" s="86"/>
      <c r="CW1157" s="86"/>
    </row>
    <row r="1158" customFormat="false" ht="12.75" hidden="false" customHeight="false" outlineLevel="0" collapsed="false">
      <c r="F1158" s="86"/>
      <c r="G1158" s="86"/>
      <c r="H1158" s="86"/>
      <c r="I1158" s="86"/>
      <c r="J1158" s="86"/>
      <c r="K1158" s="86"/>
      <c r="L1158" s="86"/>
      <c r="N1158" s="86"/>
      <c r="CQ1158" s="86"/>
      <c r="CR1158" s="86"/>
      <c r="CS1158" s="86"/>
      <c r="CT1158" s="86"/>
      <c r="CU1158" s="86"/>
      <c r="CV1158" s="86"/>
      <c r="CW1158" s="86"/>
    </row>
    <row r="1159" customFormat="false" ht="12.75" hidden="false" customHeight="false" outlineLevel="0" collapsed="false">
      <c r="F1159" s="86"/>
      <c r="G1159" s="86"/>
      <c r="H1159" s="86"/>
      <c r="I1159" s="86"/>
      <c r="J1159" s="86"/>
      <c r="K1159" s="86"/>
      <c r="L1159" s="86"/>
      <c r="N1159" s="86"/>
      <c r="CQ1159" s="86"/>
      <c r="CR1159" s="86"/>
      <c r="CS1159" s="86"/>
      <c r="CT1159" s="86"/>
      <c r="CU1159" s="86"/>
      <c r="CV1159" s="86"/>
      <c r="CW1159" s="86"/>
    </row>
    <row r="1160" customFormat="false" ht="12.75" hidden="false" customHeight="false" outlineLevel="0" collapsed="false">
      <c r="F1160" s="86"/>
      <c r="G1160" s="86"/>
      <c r="H1160" s="86"/>
      <c r="I1160" s="86"/>
      <c r="J1160" s="86"/>
      <c r="K1160" s="86"/>
      <c r="L1160" s="86"/>
      <c r="N1160" s="86"/>
      <c r="CQ1160" s="86"/>
      <c r="CR1160" s="86"/>
      <c r="CS1160" s="86"/>
      <c r="CT1160" s="86"/>
      <c r="CU1160" s="86"/>
      <c r="CV1160" s="86"/>
      <c r="CW1160" s="86"/>
    </row>
    <row r="1161" customFormat="false" ht="12.75" hidden="false" customHeight="false" outlineLevel="0" collapsed="false">
      <c r="F1161" s="86"/>
      <c r="G1161" s="86"/>
      <c r="H1161" s="86"/>
      <c r="I1161" s="86"/>
      <c r="J1161" s="86"/>
      <c r="K1161" s="86"/>
      <c r="L1161" s="86"/>
      <c r="N1161" s="86"/>
      <c r="CQ1161" s="86"/>
      <c r="CR1161" s="86"/>
      <c r="CS1161" s="86"/>
      <c r="CT1161" s="86"/>
      <c r="CU1161" s="86"/>
      <c r="CV1161" s="86"/>
      <c r="CW1161" s="86"/>
    </row>
    <row r="1162" customFormat="false" ht="12.75" hidden="false" customHeight="false" outlineLevel="0" collapsed="false">
      <c r="F1162" s="86"/>
      <c r="G1162" s="86"/>
      <c r="H1162" s="86"/>
      <c r="I1162" s="86"/>
      <c r="J1162" s="86"/>
      <c r="K1162" s="86"/>
      <c r="L1162" s="86"/>
      <c r="N1162" s="86"/>
      <c r="CQ1162" s="86"/>
      <c r="CR1162" s="86"/>
      <c r="CS1162" s="86"/>
      <c r="CT1162" s="86"/>
      <c r="CU1162" s="86"/>
      <c r="CV1162" s="86"/>
      <c r="CW1162" s="86"/>
    </row>
    <row r="1163" customFormat="false" ht="12.75" hidden="false" customHeight="false" outlineLevel="0" collapsed="false">
      <c r="F1163" s="86"/>
      <c r="G1163" s="86"/>
      <c r="H1163" s="86"/>
      <c r="I1163" s="86"/>
      <c r="J1163" s="86"/>
      <c r="K1163" s="86"/>
      <c r="L1163" s="86"/>
      <c r="N1163" s="86"/>
      <c r="CQ1163" s="86"/>
      <c r="CR1163" s="86"/>
      <c r="CS1163" s="86"/>
      <c r="CT1163" s="86"/>
      <c r="CU1163" s="86"/>
      <c r="CV1163" s="86"/>
      <c r="CW1163" s="86"/>
    </row>
    <row r="1164" customFormat="false" ht="12.75" hidden="false" customHeight="false" outlineLevel="0" collapsed="false">
      <c r="F1164" s="86"/>
      <c r="G1164" s="86"/>
      <c r="H1164" s="86"/>
      <c r="I1164" s="86"/>
      <c r="J1164" s="86"/>
      <c r="K1164" s="86"/>
      <c r="L1164" s="86"/>
      <c r="N1164" s="86"/>
      <c r="CQ1164" s="86"/>
      <c r="CR1164" s="86"/>
      <c r="CS1164" s="86"/>
      <c r="CT1164" s="86"/>
      <c r="CU1164" s="86"/>
      <c r="CV1164" s="86"/>
      <c r="CW1164" s="86"/>
    </row>
    <row r="1165" customFormat="false" ht="12.75" hidden="false" customHeight="false" outlineLevel="0" collapsed="false">
      <c r="F1165" s="86"/>
      <c r="G1165" s="86"/>
      <c r="H1165" s="86"/>
      <c r="I1165" s="86"/>
      <c r="J1165" s="86"/>
      <c r="K1165" s="86"/>
      <c r="L1165" s="86"/>
      <c r="N1165" s="86"/>
      <c r="CQ1165" s="86"/>
      <c r="CR1165" s="86"/>
      <c r="CS1165" s="86"/>
      <c r="CT1165" s="86"/>
      <c r="CU1165" s="86"/>
      <c r="CV1165" s="86"/>
      <c r="CW1165" s="86"/>
    </row>
    <row r="1166" customFormat="false" ht="12.75" hidden="false" customHeight="false" outlineLevel="0" collapsed="false">
      <c r="F1166" s="86"/>
      <c r="G1166" s="86"/>
      <c r="H1166" s="86"/>
      <c r="I1166" s="86"/>
      <c r="J1166" s="86"/>
      <c r="K1166" s="86"/>
      <c r="L1166" s="86"/>
      <c r="N1166" s="86"/>
      <c r="CQ1166" s="86"/>
      <c r="CR1166" s="86"/>
      <c r="CS1166" s="86"/>
      <c r="CT1166" s="86"/>
      <c r="CU1166" s="86"/>
      <c r="CV1166" s="86"/>
      <c r="CW1166" s="86"/>
    </row>
    <row r="1167" customFormat="false" ht="12.75" hidden="false" customHeight="false" outlineLevel="0" collapsed="false">
      <c r="F1167" s="86"/>
      <c r="G1167" s="86"/>
      <c r="H1167" s="86"/>
      <c r="I1167" s="86"/>
      <c r="J1167" s="86"/>
      <c r="K1167" s="86"/>
      <c r="L1167" s="86"/>
      <c r="N1167" s="86"/>
      <c r="CQ1167" s="86"/>
      <c r="CR1167" s="86"/>
      <c r="CS1167" s="86"/>
      <c r="CT1167" s="86"/>
      <c r="CU1167" s="86"/>
      <c r="CV1167" s="86"/>
      <c r="CW1167" s="86"/>
    </row>
    <row r="1168" customFormat="false" ht="12.75" hidden="false" customHeight="false" outlineLevel="0" collapsed="false">
      <c r="F1168" s="86"/>
      <c r="G1168" s="86"/>
      <c r="H1168" s="86"/>
      <c r="I1168" s="86"/>
      <c r="J1168" s="86"/>
      <c r="K1168" s="86"/>
      <c r="L1168" s="86"/>
      <c r="N1168" s="86"/>
      <c r="CQ1168" s="86"/>
      <c r="CR1168" s="86"/>
      <c r="CS1168" s="86"/>
      <c r="CT1168" s="86"/>
      <c r="CU1168" s="86"/>
      <c r="CV1168" s="86"/>
      <c r="CW1168" s="86"/>
    </row>
    <row r="1169" customFormat="false" ht="12.75" hidden="false" customHeight="false" outlineLevel="0" collapsed="false">
      <c r="F1169" s="86"/>
      <c r="G1169" s="86"/>
      <c r="H1169" s="86"/>
      <c r="I1169" s="86"/>
      <c r="J1169" s="86"/>
      <c r="K1169" s="86"/>
      <c r="L1169" s="86"/>
      <c r="N1169" s="86"/>
      <c r="CQ1169" s="86"/>
      <c r="CR1169" s="86"/>
      <c r="CS1169" s="86"/>
      <c r="CT1169" s="86"/>
      <c r="CU1169" s="86"/>
      <c r="CV1169" s="86"/>
      <c r="CW1169" s="86"/>
    </row>
    <row r="1170" customFormat="false" ht="12.75" hidden="false" customHeight="false" outlineLevel="0" collapsed="false">
      <c r="F1170" s="86"/>
      <c r="G1170" s="86"/>
      <c r="H1170" s="86"/>
      <c r="I1170" s="86"/>
      <c r="J1170" s="86"/>
      <c r="K1170" s="86"/>
      <c r="L1170" s="86"/>
      <c r="N1170" s="86"/>
      <c r="CQ1170" s="86"/>
      <c r="CR1170" s="86"/>
      <c r="CS1170" s="86"/>
      <c r="CT1170" s="86"/>
      <c r="CU1170" s="86"/>
      <c r="CV1170" s="86"/>
      <c r="CW1170" s="86"/>
    </row>
    <row r="1171" customFormat="false" ht="12.75" hidden="false" customHeight="false" outlineLevel="0" collapsed="false">
      <c r="F1171" s="86"/>
      <c r="G1171" s="86"/>
      <c r="H1171" s="86"/>
      <c r="I1171" s="86"/>
      <c r="J1171" s="86"/>
      <c r="K1171" s="86"/>
      <c r="L1171" s="86"/>
      <c r="N1171" s="86"/>
      <c r="CQ1171" s="86"/>
      <c r="CR1171" s="86"/>
      <c r="CS1171" s="86"/>
      <c r="CT1171" s="86"/>
      <c r="CU1171" s="86"/>
      <c r="CV1171" s="86"/>
      <c r="CW1171" s="86"/>
    </row>
    <row r="1172" customFormat="false" ht="12.75" hidden="false" customHeight="false" outlineLevel="0" collapsed="false">
      <c r="F1172" s="86"/>
      <c r="G1172" s="86"/>
      <c r="H1172" s="86"/>
      <c r="I1172" s="86"/>
      <c r="J1172" s="86"/>
      <c r="K1172" s="86"/>
      <c r="L1172" s="86"/>
      <c r="N1172" s="86"/>
      <c r="CQ1172" s="86"/>
      <c r="CR1172" s="86"/>
      <c r="CS1172" s="86"/>
      <c r="CT1172" s="86"/>
      <c r="CU1172" s="86"/>
      <c r="CV1172" s="86"/>
      <c r="CW1172" s="86"/>
    </row>
    <row r="1173" customFormat="false" ht="12.75" hidden="false" customHeight="false" outlineLevel="0" collapsed="false">
      <c r="F1173" s="86"/>
      <c r="G1173" s="86"/>
      <c r="H1173" s="86"/>
      <c r="I1173" s="86"/>
      <c r="J1173" s="86"/>
      <c r="K1173" s="86"/>
      <c r="L1173" s="86"/>
      <c r="N1173" s="86"/>
      <c r="CQ1173" s="86"/>
      <c r="CR1173" s="86"/>
      <c r="CS1173" s="86"/>
      <c r="CT1173" s="86"/>
      <c r="CU1173" s="86"/>
      <c r="CV1173" s="86"/>
      <c r="CW1173" s="86"/>
    </row>
    <row r="1174" customFormat="false" ht="12.75" hidden="false" customHeight="false" outlineLevel="0" collapsed="false">
      <c r="F1174" s="86"/>
      <c r="G1174" s="86"/>
      <c r="H1174" s="86"/>
      <c r="I1174" s="86"/>
      <c r="J1174" s="86"/>
      <c r="K1174" s="86"/>
      <c r="L1174" s="86"/>
      <c r="N1174" s="86"/>
      <c r="CQ1174" s="86"/>
      <c r="CR1174" s="86"/>
      <c r="CS1174" s="86"/>
      <c r="CT1174" s="86"/>
      <c r="CU1174" s="86"/>
      <c r="CV1174" s="86"/>
      <c r="CW1174" s="86"/>
    </row>
    <row r="1175" customFormat="false" ht="12.75" hidden="false" customHeight="false" outlineLevel="0" collapsed="false">
      <c r="F1175" s="86"/>
      <c r="G1175" s="86"/>
      <c r="H1175" s="86"/>
      <c r="I1175" s="86"/>
      <c r="J1175" s="86"/>
      <c r="K1175" s="86"/>
      <c r="L1175" s="86"/>
      <c r="N1175" s="86"/>
      <c r="CQ1175" s="86"/>
      <c r="CR1175" s="86"/>
      <c r="CS1175" s="86"/>
      <c r="CT1175" s="86"/>
      <c r="CU1175" s="86"/>
      <c r="CV1175" s="86"/>
      <c r="CW1175" s="86"/>
    </row>
    <row r="1176" customFormat="false" ht="12.75" hidden="false" customHeight="false" outlineLevel="0" collapsed="false">
      <c r="F1176" s="86"/>
      <c r="G1176" s="86"/>
      <c r="H1176" s="86"/>
      <c r="I1176" s="86"/>
      <c r="J1176" s="86"/>
      <c r="K1176" s="86"/>
      <c r="L1176" s="86"/>
      <c r="N1176" s="86"/>
      <c r="CQ1176" s="86"/>
      <c r="CR1176" s="86"/>
      <c r="CS1176" s="86"/>
      <c r="CT1176" s="86"/>
      <c r="CU1176" s="86"/>
      <c r="CV1176" s="86"/>
      <c r="CW1176" s="86"/>
    </row>
    <row r="1177" customFormat="false" ht="12.75" hidden="false" customHeight="false" outlineLevel="0" collapsed="false">
      <c r="F1177" s="86"/>
      <c r="G1177" s="86"/>
      <c r="H1177" s="86"/>
      <c r="I1177" s="86"/>
      <c r="J1177" s="86"/>
      <c r="K1177" s="86"/>
      <c r="L1177" s="86"/>
      <c r="N1177" s="86"/>
      <c r="CQ1177" s="86"/>
      <c r="CR1177" s="86"/>
      <c r="CS1177" s="86"/>
      <c r="CT1177" s="86"/>
      <c r="CU1177" s="86"/>
      <c r="CV1177" s="86"/>
      <c r="CW1177" s="86"/>
    </row>
    <row r="1178" customFormat="false" ht="12.75" hidden="false" customHeight="false" outlineLevel="0" collapsed="false">
      <c r="F1178" s="86"/>
      <c r="G1178" s="86"/>
      <c r="H1178" s="86"/>
      <c r="I1178" s="86"/>
      <c r="J1178" s="86"/>
      <c r="K1178" s="86"/>
      <c r="L1178" s="86"/>
      <c r="N1178" s="86"/>
      <c r="CQ1178" s="86"/>
      <c r="CR1178" s="86"/>
      <c r="CS1178" s="86"/>
      <c r="CT1178" s="86"/>
      <c r="CU1178" s="86"/>
      <c r="CV1178" s="86"/>
      <c r="CW1178" s="86"/>
    </row>
    <row r="1179" customFormat="false" ht="12.75" hidden="false" customHeight="false" outlineLevel="0" collapsed="false">
      <c r="F1179" s="86"/>
      <c r="G1179" s="86"/>
      <c r="H1179" s="86"/>
      <c r="I1179" s="86"/>
      <c r="J1179" s="86"/>
      <c r="K1179" s="86"/>
      <c r="L1179" s="86"/>
      <c r="N1179" s="86"/>
      <c r="CQ1179" s="86"/>
      <c r="CR1179" s="86"/>
      <c r="CS1179" s="86"/>
      <c r="CT1179" s="86"/>
      <c r="CU1179" s="86"/>
      <c r="CV1179" s="86"/>
      <c r="CW1179" s="86"/>
    </row>
    <row r="1180" customFormat="false" ht="12.75" hidden="false" customHeight="false" outlineLevel="0" collapsed="false">
      <c r="F1180" s="86"/>
      <c r="G1180" s="86"/>
      <c r="H1180" s="86"/>
      <c r="I1180" s="86"/>
      <c r="J1180" s="86"/>
      <c r="K1180" s="86"/>
      <c r="L1180" s="86"/>
      <c r="N1180" s="86"/>
      <c r="CQ1180" s="86"/>
      <c r="CR1180" s="86"/>
      <c r="CS1180" s="86"/>
      <c r="CT1180" s="86"/>
      <c r="CU1180" s="86"/>
      <c r="CV1180" s="86"/>
      <c r="CW1180" s="86"/>
    </row>
    <row r="1181" customFormat="false" ht="12.75" hidden="false" customHeight="false" outlineLevel="0" collapsed="false">
      <c r="F1181" s="86"/>
      <c r="G1181" s="86"/>
      <c r="H1181" s="86"/>
      <c r="I1181" s="86"/>
      <c r="J1181" s="86"/>
      <c r="K1181" s="86"/>
      <c r="L1181" s="86"/>
      <c r="N1181" s="86"/>
      <c r="CQ1181" s="86"/>
      <c r="CR1181" s="86"/>
      <c r="CS1181" s="86"/>
      <c r="CT1181" s="86"/>
      <c r="CU1181" s="86"/>
      <c r="CV1181" s="86"/>
      <c r="CW1181" s="86"/>
    </row>
    <row r="1182" customFormat="false" ht="12.75" hidden="false" customHeight="false" outlineLevel="0" collapsed="false">
      <c r="F1182" s="86"/>
      <c r="G1182" s="86"/>
      <c r="H1182" s="86"/>
      <c r="I1182" s="86"/>
      <c r="J1182" s="86"/>
      <c r="K1182" s="86"/>
      <c r="L1182" s="86"/>
      <c r="N1182" s="86"/>
      <c r="CQ1182" s="86"/>
      <c r="CR1182" s="86"/>
      <c r="CS1182" s="86"/>
      <c r="CT1182" s="86"/>
      <c r="CU1182" s="86"/>
      <c r="CV1182" s="86"/>
      <c r="CW1182" s="86"/>
    </row>
    <row r="1183" customFormat="false" ht="12.75" hidden="false" customHeight="false" outlineLevel="0" collapsed="false">
      <c r="F1183" s="86"/>
      <c r="G1183" s="86"/>
      <c r="H1183" s="86"/>
      <c r="I1183" s="86"/>
      <c r="J1183" s="86"/>
      <c r="K1183" s="86"/>
      <c r="L1183" s="86"/>
      <c r="N1183" s="86"/>
      <c r="CQ1183" s="86"/>
      <c r="CR1183" s="86"/>
      <c r="CS1183" s="86"/>
      <c r="CT1183" s="86"/>
      <c r="CU1183" s="86"/>
      <c r="CV1183" s="86"/>
      <c r="CW1183" s="86"/>
    </row>
    <row r="1184" customFormat="false" ht="12.75" hidden="false" customHeight="false" outlineLevel="0" collapsed="false">
      <c r="F1184" s="86"/>
      <c r="G1184" s="86"/>
      <c r="H1184" s="86"/>
      <c r="I1184" s="86"/>
      <c r="J1184" s="86"/>
      <c r="K1184" s="86"/>
      <c r="L1184" s="86"/>
      <c r="N1184" s="86"/>
      <c r="CQ1184" s="86"/>
      <c r="CR1184" s="86"/>
      <c r="CS1184" s="86"/>
      <c r="CT1184" s="86"/>
      <c r="CU1184" s="86"/>
      <c r="CV1184" s="86"/>
      <c r="CW1184" s="86"/>
    </row>
    <row r="1185" customFormat="false" ht="12.75" hidden="false" customHeight="false" outlineLevel="0" collapsed="false">
      <c r="F1185" s="86"/>
      <c r="G1185" s="86"/>
      <c r="H1185" s="86"/>
      <c r="I1185" s="86"/>
      <c r="J1185" s="86"/>
      <c r="K1185" s="86"/>
      <c r="L1185" s="86"/>
      <c r="N1185" s="86"/>
      <c r="CQ1185" s="86"/>
      <c r="CR1185" s="86"/>
      <c r="CS1185" s="86"/>
      <c r="CT1185" s="86"/>
      <c r="CU1185" s="86"/>
      <c r="CV1185" s="86"/>
      <c r="CW1185" s="86"/>
    </row>
    <row r="1186" customFormat="false" ht="12.75" hidden="false" customHeight="false" outlineLevel="0" collapsed="false">
      <c r="F1186" s="86"/>
      <c r="G1186" s="86"/>
      <c r="H1186" s="86"/>
      <c r="I1186" s="86"/>
      <c r="J1186" s="86"/>
      <c r="K1186" s="86"/>
      <c r="L1186" s="86"/>
      <c r="N1186" s="86"/>
      <c r="CQ1186" s="86"/>
      <c r="CR1186" s="86"/>
      <c r="CS1186" s="86"/>
      <c r="CT1186" s="86"/>
      <c r="CU1186" s="86"/>
      <c r="CV1186" s="86"/>
      <c r="CW1186" s="86"/>
    </row>
    <row r="1187" customFormat="false" ht="12.75" hidden="false" customHeight="false" outlineLevel="0" collapsed="false">
      <c r="F1187" s="86"/>
      <c r="G1187" s="86"/>
      <c r="H1187" s="86"/>
      <c r="I1187" s="86"/>
      <c r="J1187" s="86"/>
      <c r="K1187" s="86"/>
      <c r="L1187" s="86"/>
      <c r="N1187" s="86"/>
      <c r="CQ1187" s="86"/>
      <c r="CR1187" s="86"/>
      <c r="CS1187" s="86"/>
      <c r="CT1187" s="86"/>
      <c r="CU1187" s="86"/>
      <c r="CV1187" s="86"/>
      <c r="CW1187" s="86"/>
    </row>
    <row r="1188" customFormat="false" ht="12.75" hidden="false" customHeight="false" outlineLevel="0" collapsed="false">
      <c r="F1188" s="86"/>
      <c r="G1188" s="86"/>
      <c r="H1188" s="86"/>
      <c r="I1188" s="86"/>
      <c r="J1188" s="86"/>
      <c r="K1188" s="86"/>
      <c r="L1188" s="86"/>
      <c r="N1188" s="86"/>
      <c r="CQ1188" s="86"/>
      <c r="CR1188" s="86"/>
      <c r="CS1188" s="86"/>
      <c r="CT1188" s="86"/>
      <c r="CU1188" s="86"/>
      <c r="CV1188" s="86"/>
      <c r="CW1188" s="86"/>
    </row>
    <row r="1189" customFormat="false" ht="12.75" hidden="false" customHeight="false" outlineLevel="0" collapsed="false">
      <c r="F1189" s="86"/>
      <c r="G1189" s="86"/>
      <c r="H1189" s="86"/>
      <c r="I1189" s="86"/>
      <c r="J1189" s="86"/>
      <c r="K1189" s="86"/>
      <c r="L1189" s="86"/>
      <c r="N1189" s="86"/>
      <c r="CQ1189" s="86"/>
      <c r="CR1189" s="86"/>
      <c r="CS1189" s="86"/>
      <c r="CT1189" s="86"/>
      <c r="CU1189" s="86"/>
      <c r="CV1189" s="86"/>
      <c r="CW1189" s="86"/>
    </row>
    <row r="1190" customFormat="false" ht="12.75" hidden="false" customHeight="false" outlineLevel="0" collapsed="false">
      <c r="F1190" s="86"/>
      <c r="G1190" s="86"/>
      <c r="H1190" s="86"/>
      <c r="I1190" s="86"/>
      <c r="J1190" s="86"/>
      <c r="K1190" s="86"/>
      <c r="L1190" s="86"/>
      <c r="N1190" s="86"/>
      <c r="CQ1190" s="86"/>
      <c r="CR1190" s="86"/>
      <c r="CS1190" s="86"/>
      <c r="CT1190" s="86"/>
      <c r="CU1190" s="86"/>
      <c r="CV1190" s="86"/>
      <c r="CW1190" s="86"/>
    </row>
    <row r="1191" customFormat="false" ht="12.75" hidden="false" customHeight="false" outlineLevel="0" collapsed="false">
      <c r="F1191" s="86"/>
      <c r="G1191" s="86"/>
      <c r="H1191" s="86"/>
      <c r="I1191" s="86"/>
      <c r="J1191" s="86"/>
      <c r="K1191" s="86"/>
      <c r="L1191" s="86"/>
      <c r="N1191" s="86"/>
      <c r="CQ1191" s="86"/>
      <c r="CR1191" s="86"/>
      <c r="CS1191" s="86"/>
      <c r="CT1191" s="86"/>
      <c r="CU1191" s="86"/>
      <c r="CV1191" s="86"/>
      <c r="CW1191" s="86"/>
    </row>
    <row r="1192" customFormat="false" ht="12.75" hidden="false" customHeight="false" outlineLevel="0" collapsed="false">
      <c r="F1192" s="86"/>
      <c r="G1192" s="86"/>
      <c r="H1192" s="86"/>
      <c r="I1192" s="86"/>
      <c r="J1192" s="86"/>
      <c r="K1192" s="86"/>
      <c r="L1192" s="86"/>
      <c r="N1192" s="86"/>
      <c r="CQ1192" s="86"/>
      <c r="CR1192" s="86"/>
      <c r="CS1192" s="86"/>
      <c r="CT1192" s="86"/>
      <c r="CU1192" s="86"/>
      <c r="CV1192" s="86"/>
      <c r="CW1192" s="86"/>
    </row>
    <row r="1193" customFormat="false" ht="12.75" hidden="false" customHeight="false" outlineLevel="0" collapsed="false">
      <c r="F1193" s="86"/>
      <c r="G1193" s="86"/>
      <c r="H1193" s="86"/>
      <c r="I1193" s="86"/>
      <c r="J1193" s="86"/>
      <c r="K1193" s="86"/>
      <c r="L1193" s="86"/>
      <c r="N1193" s="86"/>
      <c r="CQ1193" s="86"/>
      <c r="CR1193" s="86"/>
      <c r="CS1193" s="86"/>
      <c r="CT1193" s="86"/>
      <c r="CU1193" s="86"/>
      <c r="CV1193" s="86"/>
      <c r="CW1193" s="86"/>
    </row>
    <row r="1194" customFormat="false" ht="12.75" hidden="false" customHeight="false" outlineLevel="0" collapsed="false">
      <c r="F1194" s="86"/>
      <c r="G1194" s="86"/>
      <c r="H1194" s="86"/>
      <c r="I1194" s="86"/>
      <c r="J1194" s="86"/>
      <c r="K1194" s="86"/>
      <c r="L1194" s="86"/>
      <c r="N1194" s="86"/>
      <c r="CQ1194" s="86"/>
      <c r="CR1194" s="86"/>
      <c r="CS1194" s="86"/>
      <c r="CT1194" s="86"/>
      <c r="CU1194" s="86"/>
      <c r="CV1194" s="86"/>
      <c r="CW1194" s="86"/>
    </row>
    <row r="1195" customFormat="false" ht="12.75" hidden="false" customHeight="false" outlineLevel="0" collapsed="false">
      <c r="F1195" s="86"/>
      <c r="G1195" s="86"/>
      <c r="H1195" s="86"/>
      <c r="I1195" s="86"/>
      <c r="J1195" s="86"/>
      <c r="K1195" s="86"/>
      <c r="L1195" s="86"/>
      <c r="N1195" s="86"/>
      <c r="CQ1195" s="86"/>
      <c r="CR1195" s="86"/>
      <c r="CS1195" s="86"/>
      <c r="CT1195" s="86"/>
      <c r="CU1195" s="86"/>
      <c r="CV1195" s="86"/>
      <c r="CW1195" s="86"/>
    </row>
    <row r="1196" customFormat="false" ht="12.75" hidden="false" customHeight="false" outlineLevel="0" collapsed="false">
      <c r="F1196" s="86"/>
      <c r="G1196" s="86"/>
      <c r="H1196" s="86"/>
      <c r="I1196" s="86"/>
      <c r="J1196" s="86"/>
      <c r="K1196" s="86"/>
      <c r="L1196" s="86"/>
      <c r="N1196" s="86"/>
      <c r="CQ1196" s="86"/>
      <c r="CR1196" s="86"/>
      <c r="CS1196" s="86"/>
      <c r="CT1196" s="86"/>
      <c r="CU1196" s="86"/>
      <c r="CV1196" s="86"/>
      <c r="CW1196" s="86"/>
    </row>
    <row r="1197" customFormat="false" ht="12.75" hidden="false" customHeight="false" outlineLevel="0" collapsed="false">
      <c r="F1197" s="86"/>
      <c r="G1197" s="86"/>
      <c r="H1197" s="86"/>
      <c r="I1197" s="86"/>
      <c r="J1197" s="86"/>
      <c r="K1197" s="86"/>
      <c r="L1197" s="86"/>
      <c r="N1197" s="86"/>
      <c r="CQ1197" s="86"/>
      <c r="CR1197" s="86"/>
      <c r="CS1197" s="86"/>
      <c r="CT1197" s="86"/>
      <c r="CU1197" s="86"/>
      <c r="CV1197" s="86"/>
      <c r="CW1197" s="86"/>
    </row>
    <row r="1198" customFormat="false" ht="12.75" hidden="false" customHeight="false" outlineLevel="0" collapsed="false">
      <c r="F1198" s="86"/>
      <c r="G1198" s="86"/>
      <c r="H1198" s="86"/>
      <c r="I1198" s="86"/>
      <c r="J1198" s="86"/>
      <c r="K1198" s="86"/>
      <c r="L1198" s="86"/>
      <c r="N1198" s="86"/>
      <c r="CQ1198" s="86"/>
      <c r="CR1198" s="86"/>
      <c r="CS1198" s="86"/>
      <c r="CT1198" s="86"/>
      <c r="CU1198" s="86"/>
      <c r="CV1198" s="86"/>
      <c r="CW1198" s="86"/>
    </row>
    <row r="1199" customFormat="false" ht="12.75" hidden="false" customHeight="false" outlineLevel="0" collapsed="false">
      <c r="F1199" s="86"/>
      <c r="G1199" s="86"/>
      <c r="H1199" s="86"/>
      <c r="I1199" s="86"/>
      <c r="J1199" s="86"/>
      <c r="K1199" s="86"/>
      <c r="L1199" s="86"/>
      <c r="N1199" s="86"/>
      <c r="CQ1199" s="86"/>
      <c r="CR1199" s="86"/>
      <c r="CS1199" s="86"/>
      <c r="CT1199" s="86"/>
      <c r="CU1199" s="86"/>
      <c r="CV1199" s="86"/>
      <c r="CW1199" s="86"/>
    </row>
    <row r="1200" customFormat="false" ht="12.75" hidden="false" customHeight="false" outlineLevel="0" collapsed="false">
      <c r="F1200" s="86"/>
      <c r="G1200" s="86"/>
      <c r="H1200" s="86"/>
      <c r="I1200" s="86"/>
      <c r="J1200" s="86"/>
      <c r="K1200" s="86"/>
      <c r="L1200" s="86"/>
      <c r="N1200" s="86"/>
      <c r="CQ1200" s="86"/>
      <c r="CR1200" s="86"/>
      <c r="CS1200" s="86"/>
      <c r="CT1200" s="86"/>
      <c r="CU1200" s="86"/>
      <c r="CV1200" s="86"/>
      <c r="CW1200" s="86"/>
    </row>
    <row r="1201" customFormat="false" ht="12.75" hidden="false" customHeight="false" outlineLevel="0" collapsed="false">
      <c r="F1201" s="86"/>
      <c r="G1201" s="86"/>
      <c r="H1201" s="86"/>
      <c r="I1201" s="86"/>
      <c r="J1201" s="86"/>
      <c r="K1201" s="86"/>
      <c r="L1201" s="86"/>
      <c r="N1201" s="86"/>
      <c r="CQ1201" s="86"/>
      <c r="CR1201" s="86"/>
      <c r="CS1201" s="86"/>
      <c r="CT1201" s="86"/>
      <c r="CU1201" s="86"/>
      <c r="CV1201" s="86"/>
      <c r="CW1201" s="86"/>
    </row>
    <row r="1202" customFormat="false" ht="12.75" hidden="false" customHeight="false" outlineLevel="0" collapsed="false">
      <c r="F1202" s="86"/>
      <c r="G1202" s="86"/>
      <c r="H1202" s="86"/>
      <c r="I1202" s="86"/>
      <c r="J1202" s="86"/>
      <c r="K1202" s="86"/>
      <c r="L1202" s="86"/>
      <c r="N1202" s="86"/>
      <c r="CQ1202" s="86"/>
      <c r="CR1202" s="86"/>
      <c r="CS1202" s="86"/>
      <c r="CT1202" s="86"/>
      <c r="CU1202" s="86"/>
      <c r="CV1202" s="86"/>
      <c r="CW1202" s="86"/>
    </row>
    <row r="1203" customFormat="false" ht="12.75" hidden="false" customHeight="false" outlineLevel="0" collapsed="false">
      <c r="F1203" s="86"/>
      <c r="G1203" s="86"/>
      <c r="H1203" s="86"/>
      <c r="I1203" s="86"/>
      <c r="J1203" s="86"/>
      <c r="K1203" s="86"/>
      <c r="L1203" s="86"/>
      <c r="N1203" s="86"/>
      <c r="CQ1203" s="86"/>
      <c r="CR1203" s="86"/>
      <c r="CS1203" s="86"/>
      <c r="CT1203" s="86"/>
      <c r="CU1203" s="86"/>
      <c r="CV1203" s="86"/>
      <c r="CW1203" s="86"/>
    </row>
    <row r="1204" customFormat="false" ht="12.75" hidden="false" customHeight="false" outlineLevel="0" collapsed="false">
      <c r="F1204" s="86"/>
      <c r="G1204" s="86"/>
      <c r="H1204" s="86"/>
      <c r="I1204" s="86"/>
      <c r="J1204" s="86"/>
      <c r="K1204" s="86"/>
      <c r="L1204" s="86"/>
      <c r="N1204" s="86"/>
      <c r="CQ1204" s="86"/>
      <c r="CR1204" s="86"/>
      <c r="CS1204" s="86"/>
      <c r="CT1204" s="86"/>
      <c r="CU1204" s="86"/>
      <c r="CV1204" s="86"/>
      <c r="CW1204" s="86"/>
    </row>
    <row r="1205" customFormat="false" ht="12.75" hidden="false" customHeight="false" outlineLevel="0" collapsed="false">
      <c r="F1205" s="86"/>
      <c r="G1205" s="86"/>
      <c r="H1205" s="86"/>
      <c r="I1205" s="86"/>
      <c r="J1205" s="86"/>
      <c r="K1205" s="86"/>
      <c r="L1205" s="86"/>
      <c r="N1205" s="86"/>
      <c r="CQ1205" s="86"/>
      <c r="CR1205" s="86"/>
      <c r="CS1205" s="86"/>
      <c r="CT1205" s="86"/>
      <c r="CU1205" s="86"/>
      <c r="CV1205" s="86"/>
      <c r="CW1205" s="86"/>
    </row>
    <row r="1206" customFormat="false" ht="12.75" hidden="false" customHeight="false" outlineLevel="0" collapsed="false">
      <c r="F1206" s="86"/>
      <c r="G1206" s="86"/>
      <c r="H1206" s="86"/>
      <c r="I1206" s="86"/>
      <c r="J1206" s="86"/>
      <c r="K1206" s="86"/>
      <c r="L1206" s="86"/>
      <c r="N1206" s="86"/>
      <c r="CQ1206" s="86"/>
      <c r="CR1206" s="86"/>
      <c r="CS1206" s="86"/>
      <c r="CT1206" s="86"/>
      <c r="CU1206" s="86"/>
      <c r="CV1206" s="86"/>
      <c r="CW1206" s="86"/>
    </row>
    <row r="1207" customFormat="false" ht="12.75" hidden="false" customHeight="false" outlineLevel="0" collapsed="false">
      <c r="F1207" s="86"/>
      <c r="G1207" s="86"/>
      <c r="H1207" s="86"/>
      <c r="I1207" s="86"/>
      <c r="J1207" s="86"/>
      <c r="K1207" s="86"/>
      <c r="L1207" s="86"/>
      <c r="N1207" s="86"/>
      <c r="CQ1207" s="86"/>
      <c r="CR1207" s="86"/>
      <c r="CS1207" s="86"/>
      <c r="CT1207" s="86"/>
      <c r="CU1207" s="86"/>
      <c r="CV1207" s="86"/>
      <c r="CW1207" s="86"/>
    </row>
    <row r="1208" customFormat="false" ht="12.75" hidden="false" customHeight="false" outlineLevel="0" collapsed="false">
      <c r="F1208" s="86"/>
      <c r="G1208" s="86"/>
      <c r="H1208" s="86"/>
      <c r="I1208" s="86"/>
      <c r="J1208" s="86"/>
      <c r="K1208" s="86"/>
      <c r="L1208" s="86"/>
      <c r="N1208" s="86"/>
      <c r="CQ1208" s="86"/>
      <c r="CR1208" s="86"/>
      <c r="CS1208" s="86"/>
      <c r="CT1208" s="86"/>
      <c r="CU1208" s="86"/>
      <c r="CV1208" s="86"/>
      <c r="CW1208" s="86"/>
    </row>
    <row r="1209" customFormat="false" ht="12.75" hidden="false" customHeight="false" outlineLevel="0" collapsed="false">
      <c r="F1209" s="86"/>
      <c r="G1209" s="86"/>
      <c r="H1209" s="86"/>
      <c r="I1209" s="86"/>
      <c r="J1209" s="86"/>
      <c r="K1209" s="86"/>
      <c r="L1209" s="86"/>
      <c r="N1209" s="86"/>
      <c r="CQ1209" s="86"/>
      <c r="CR1209" s="86"/>
      <c r="CS1209" s="86"/>
      <c r="CT1209" s="86"/>
      <c r="CU1209" s="86"/>
      <c r="CV1209" s="86"/>
      <c r="CW1209" s="86"/>
    </row>
    <row r="1210" customFormat="false" ht="12.75" hidden="false" customHeight="false" outlineLevel="0" collapsed="false">
      <c r="F1210" s="86"/>
      <c r="G1210" s="86"/>
      <c r="H1210" s="86"/>
      <c r="I1210" s="86"/>
      <c r="J1210" s="86"/>
      <c r="K1210" s="86"/>
      <c r="L1210" s="86"/>
      <c r="N1210" s="86"/>
      <c r="CQ1210" s="86"/>
      <c r="CR1210" s="86"/>
      <c r="CS1210" s="86"/>
      <c r="CT1210" s="86"/>
      <c r="CU1210" s="86"/>
      <c r="CV1210" s="86"/>
      <c r="CW1210" s="86"/>
    </row>
    <row r="1211" customFormat="false" ht="12.75" hidden="false" customHeight="false" outlineLevel="0" collapsed="false">
      <c r="F1211" s="86"/>
      <c r="G1211" s="86"/>
      <c r="H1211" s="86"/>
      <c r="I1211" s="86"/>
      <c r="J1211" s="86"/>
      <c r="K1211" s="86"/>
      <c r="L1211" s="86"/>
      <c r="N1211" s="86"/>
      <c r="CQ1211" s="86"/>
      <c r="CR1211" s="86"/>
      <c r="CS1211" s="86"/>
      <c r="CT1211" s="86"/>
      <c r="CU1211" s="86"/>
      <c r="CV1211" s="86"/>
      <c r="CW1211" s="86"/>
    </row>
    <row r="1212" customFormat="false" ht="12.75" hidden="false" customHeight="false" outlineLevel="0" collapsed="false">
      <c r="F1212" s="86"/>
      <c r="G1212" s="86"/>
      <c r="H1212" s="86"/>
      <c r="I1212" s="86"/>
      <c r="J1212" s="86"/>
      <c r="K1212" s="86"/>
      <c r="L1212" s="86"/>
      <c r="N1212" s="86"/>
      <c r="CQ1212" s="86"/>
      <c r="CR1212" s="86"/>
      <c r="CS1212" s="86"/>
      <c r="CT1212" s="86"/>
      <c r="CU1212" s="86"/>
      <c r="CV1212" s="86"/>
      <c r="CW1212" s="86"/>
    </row>
    <row r="1213" customFormat="false" ht="12.75" hidden="false" customHeight="false" outlineLevel="0" collapsed="false">
      <c r="F1213" s="86"/>
      <c r="G1213" s="86"/>
      <c r="H1213" s="86"/>
      <c r="I1213" s="86"/>
      <c r="J1213" s="86"/>
      <c r="K1213" s="86"/>
      <c r="L1213" s="86"/>
      <c r="N1213" s="86"/>
      <c r="CQ1213" s="86"/>
      <c r="CR1213" s="86"/>
      <c r="CS1213" s="86"/>
      <c r="CT1213" s="86"/>
      <c r="CU1213" s="86"/>
      <c r="CV1213" s="86"/>
      <c r="CW1213" s="86"/>
    </row>
    <row r="1214" customFormat="false" ht="12.75" hidden="false" customHeight="false" outlineLevel="0" collapsed="false">
      <c r="F1214" s="86"/>
      <c r="G1214" s="86"/>
      <c r="H1214" s="86"/>
      <c r="I1214" s="86"/>
      <c r="J1214" s="86"/>
      <c r="K1214" s="86"/>
      <c r="L1214" s="86"/>
      <c r="N1214" s="86"/>
      <c r="CQ1214" s="86"/>
      <c r="CR1214" s="86"/>
      <c r="CS1214" s="86"/>
      <c r="CT1214" s="86"/>
      <c r="CU1214" s="86"/>
      <c r="CV1214" s="86"/>
      <c r="CW1214" s="86"/>
    </row>
    <row r="1215" customFormat="false" ht="12.75" hidden="false" customHeight="false" outlineLevel="0" collapsed="false">
      <c r="F1215" s="86"/>
      <c r="G1215" s="86"/>
      <c r="H1215" s="86"/>
      <c r="I1215" s="86"/>
      <c r="J1215" s="86"/>
      <c r="K1215" s="86"/>
      <c r="L1215" s="86"/>
      <c r="N1215" s="86"/>
      <c r="CQ1215" s="86"/>
      <c r="CR1215" s="86"/>
      <c r="CS1215" s="86"/>
      <c r="CT1215" s="86"/>
      <c r="CU1215" s="86"/>
      <c r="CV1215" s="86"/>
      <c r="CW1215" s="86"/>
    </row>
    <row r="1216" customFormat="false" ht="12.75" hidden="false" customHeight="false" outlineLevel="0" collapsed="false">
      <c r="F1216" s="86"/>
      <c r="G1216" s="86"/>
      <c r="H1216" s="86"/>
      <c r="I1216" s="86"/>
      <c r="J1216" s="86"/>
      <c r="K1216" s="86"/>
      <c r="L1216" s="86"/>
      <c r="N1216" s="86"/>
      <c r="CQ1216" s="86"/>
      <c r="CR1216" s="86"/>
      <c r="CS1216" s="86"/>
      <c r="CT1216" s="86"/>
      <c r="CU1216" s="86"/>
      <c r="CV1216" s="86"/>
      <c r="CW1216" s="86"/>
    </row>
    <row r="1217" customFormat="false" ht="12.75" hidden="false" customHeight="false" outlineLevel="0" collapsed="false">
      <c r="F1217" s="86"/>
      <c r="G1217" s="86"/>
      <c r="H1217" s="86"/>
      <c r="I1217" s="86"/>
      <c r="J1217" s="86"/>
      <c r="K1217" s="86"/>
      <c r="L1217" s="86"/>
      <c r="N1217" s="86"/>
      <c r="CQ1217" s="86"/>
      <c r="CR1217" s="86"/>
      <c r="CS1217" s="86"/>
      <c r="CT1217" s="86"/>
      <c r="CU1217" s="86"/>
      <c r="CV1217" s="86"/>
      <c r="CW1217" s="86"/>
    </row>
    <row r="1218" customFormat="false" ht="12.75" hidden="false" customHeight="false" outlineLevel="0" collapsed="false">
      <c r="F1218" s="86"/>
      <c r="G1218" s="86"/>
      <c r="H1218" s="86"/>
      <c r="I1218" s="86"/>
      <c r="J1218" s="86"/>
      <c r="K1218" s="86"/>
      <c r="L1218" s="86"/>
      <c r="N1218" s="86"/>
      <c r="CQ1218" s="86"/>
      <c r="CR1218" s="86"/>
      <c r="CS1218" s="86"/>
      <c r="CT1218" s="86"/>
      <c r="CU1218" s="86"/>
      <c r="CV1218" s="86"/>
      <c r="CW1218" s="86"/>
    </row>
    <row r="1219" customFormat="false" ht="12.75" hidden="false" customHeight="false" outlineLevel="0" collapsed="false">
      <c r="F1219" s="86"/>
      <c r="G1219" s="86"/>
      <c r="H1219" s="86"/>
      <c r="I1219" s="86"/>
      <c r="J1219" s="86"/>
      <c r="K1219" s="86"/>
      <c r="L1219" s="86"/>
      <c r="N1219" s="86"/>
      <c r="CQ1219" s="86"/>
      <c r="CR1219" s="86"/>
      <c r="CS1219" s="86"/>
      <c r="CT1219" s="86"/>
      <c r="CU1219" s="86"/>
      <c r="CV1219" s="86"/>
      <c r="CW1219" s="86"/>
    </row>
    <row r="1220" customFormat="false" ht="12.75" hidden="false" customHeight="false" outlineLevel="0" collapsed="false">
      <c r="F1220" s="86"/>
      <c r="G1220" s="86"/>
      <c r="H1220" s="86"/>
      <c r="I1220" s="86"/>
      <c r="J1220" s="86"/>
      <c r="K1220" s="86"/>
      <c r="L1220" s="86"/>
      <c r="N1220" s="86"/>
      <c r="CQ1220" s="86"/>
      <c r="CR1220" s="86"/>
      <c r="CS1220" s="86"/>
      <c r="CT1220" s="86"/>
      <c r="CU1220" s="86"/>
      <c r="CV1220" s="86"/>
      <c r="CW1220" s="86"/>
    </row>
    <row r="1221" customFormat="false" ht="12.75" hidden="false" customHeight="false" outlineLevel="0" collapsed="false">
      <c r="F1221" s="86"/>
      <c r="G1221" s="86"/>
      <c r="H1221" s="86"/>
      <c r="I1221" s="86"/>
      <c r="J1221" s="86"/>
      <c r="K1221" s="86"/>
      <c r="L1221" s="86"/>
      <c r="N1221" s="86"/>
      <c r="CQ1221" s="86"/>
      <c r="CR1221" s="86"/>
      <c r="CS1221" s="86"/>
      <c r="CT1221" s="86"/>
      <c r="CU1221" s="86"/>
      <c r="CV1221" s="86"/>
      <c r="CW1221" s="86"/>
    </row>
    <row r="1222" customFormat="false" ht="12.75" hidden="false" customHeight="false" outlineLevel="0" collapsed="false">
      <c r="F1222" s="86"/>
      <c r="G1222" s="86"/>
      <c r="H1222" s="86"/>
      <c r="I1222" s="86"/>
      <c r="J1222" s="86"/>
      <c r="K1222" s="86"/>
      <c r="L1222" s="86"/>
      <c r="N1222" s="86"/>
      <c r="CQ1222" s="86"/>
      <c r="CR1222" s="86"/>
      <c r="CS1222" s="86"/>
      <c r="CT1222" s="86"/>
      <c r="CU1222" s="86"/>
      <c r="CV1222" s="86"/>
      <c r="CW1222" s="86"/>
    </row>
    <row r="1223" customFormat="false" ht="12.75" hidden="false" customHeight="false" outlineLevel="0" collapsed="false">
      <c r="F1223" s="86"/>
      <c r="G1223" s="86"/>
      <c r="H1223" s="86"/>
      <c r="I1223" s="86"/>
      <c r="J1223" s="86"/>
      <c r="K1223" s="86"/>
      <c r="L1223" s="86"/>
      <c r="N1223" s="86"/>
      <c r="CQ1223" s="86"/>
      <c r="CR1223" s="86"/>
      <c r="CS1223" s="86"/>
      <c r="CT1223" s="86"/>
      <c r="CU1223" s="86"/>
      <c r="CV1223" s="86"/>
      <c r="CW1223" s="86"/>
    </row>
    <row r="1224" customFormat="false" ht="12.75" hidden="false" customHeight="false" outlineLevel="0" collapsed="false">
      <c r="F1224" s="86"/>
      <c r="G1224" s="86"/>
      <c r="H1224" s="86"/>
      <c r="I1224" s="86"/>
      <c r="J1224" s="86"/>
      <c r="K1224" s="86"/>
      <c r="L1224" s="86"/>
      <c r="N1224" s="86"/>
      <c r="CQ1224" s="86"/>
      <c r="CR1224" s="86"/>
      <c r="CS1224" s="86"/>
      <c r="CT1224" s="86"/>
      <c r="CU1224" s="86"/>
      <c r="CV1224" s="86"/>
      <c r="CW1224" s="86"/>
    </row>
    <row r="1225" customFormat="false" ht="12.75" hidden="false" customHeight="false" outlineLevel="0" collapsed="false">
      <c r="F1225" s="86"/>
      <c r="G1225" s="86"/>
      <c r="H1225" s="86"/>
      <c r="I1225" s="86"/>
      <c r="J1225" s="86"/>
      <c r="K1225" s="86"/>
      <c r="L1225" s="86"/>
      <c r="N1225" s="86"/>
      <c r="CQ1225" s="86"/>
      <c r="CR1225" s="86"/>
      <c r="CS1225" s="86"/>
      <c r="CT1225" s="86"/>
      <c r="CU1225" s="86"/>
      <c r="CV1225" s="86"/>
      <c r="CW1225" s="86"/>
    </row>
    <row r="1226" customFormat="false" ht="12.75" hidden="false" customHeight="false" outlineLevel="0" collapsed="false">
      <c r="F1226" s="86"/>
      <c r="G1226" s="86"/>
      <c r="H1226" s="86"/>
      <c r="I1226" s="86"/>
      <c r="J1226" s="86"/>
      <c r="K1226" s="86"/>
      <c r="L1226" s="86"/>
      <c r="N1226" s="86"/>
      <c r="CQ1226" s="86"/>
      <c r="CR1226" s="86"/>
      <c r="CS1226" s="86"/>
      <c r="CT1226" s="86"/>
      <c r="CU1226" s="86"/>
      <c r="CV1226" s="86"/>
      <c r="CW1226" s="86"/>
    </row>
    <row r="1227" customFormat="false" ht="12.75" hidden="false" customHeight="false" outlineLevel="0" collapsed="false">
      <c r="F1227" s="86"/>
      <c r="G1227" s="86"/>
      <c r="H1227" s="86"/>
      <c r="I1227" s="86"/>
      <c r="J1227" s="86"/>
      <c r="K1227" s="86"/>
      <c r="L1227" s="86"/>
      <c r="N1227" s="86"/>
      <c r="CQ1227" s="86"/>
      <c r="CR1227" s="86"/>
      <c r="CS1227" s="86"/>
      <c r="CT1227" s="86"/>
      <c r="CU1227" s="86"/>
      <c r="CV1227" s="86"/>
      <c r="CW1227" s="86"/>
    </row>
    <row r="1228" customFormat="false" ht="12.75" hidden="false" customHeight="false" outlineLevel="0" collapsed="false">
      <c r="F1228" s="86"/>
      <c r="G1228" s="86"/>
      <c r="H1228" s="86"/>
      <c r="I1228" s="86"/>
      <c r="J1228" s="86"/>
      <c r="K1228" s="86"/>
      <c r="L1228" s="86"/>
      <c r="N1228" s="86"/>
      <c r="CQ1228" s="86"/>
      <c r="CR1228" s="86"/>
      <c r="CS1228" s="86"/>
      <c r="CT1228" s="86"/>
      <c r="CU1228" s="86"/>
      <c r="CV1228" s="86"/>
      <c r="CW1228" s="86"/>
    </row>
    <row r="1229" customFormat="false" ht="12.75" hidden="false" customHeight="false" outlineLevel="0" collapsed="false">
      <c r="F1229" s="86"/>
      <c r="G1229" s="86"/>
      <c r="H1229" s="86"/>
      <c r="I1229" s="86"/>
      <c r="J1229" s="86"/>
      <c r="K1229" s="86"/>
      <c r="L1229" s="86"/>
      <c r="N1229" s="86"/>
      <c r="CQ1229" s="86"/>
      <c r="CR1229" s="86"/>
      <c r="CS1229" s="86"/>
      <c r="CT1229" s="86"/>
      <c r="CU1229" s="86"/>
      <c r="CV1229" s="86"/>
      <c r="CW1229" s="86"/>
    </row>
    <row r="1230" customFormat="false" ht="12.75" hidden="false" customHeight="false" outlineLevel="0" collapsed="false">
      <c r="F1230" s="86"/>
      <c r="G1230" s="86"/>
      <c r="H1230" s="86"/>
      <c r="I1230" s="86"/>
      <c r="J1230" s="86"/>
      <c r="K1230" s="86"/>
      <c r="L1230" s="86"/>
      <c r="N1230" s="86"/>
      <c r="CQ1230" s="86"/>
      <c r="CR1230" s="86"/>
      <c r="CS1230" s="86"/>
      <c r="CT1230" s="86"/>
      <c r="CU1230" s="86"/>
      <c r="CV1230" s="86"/>
      <c r="CW1230" s="86"/>
    </row>
    <row r="1231" customFormat="false" ht="12.75" hidden="false" customHeight="false" outlineLevel="0" collapsed="false">
      <c r="F1231" s="86"/>
      <c r="G1231" s="86"/>
      <c r="H1231" s="86"/>
      <c r="I1231" s="86"/>
      <c r="J1231" s="86"/>
      <c r="K1231" s="86"/>
      <c r="L1231" s="86"/>
      <c r="N1231" s="86"/>
      <c r="CQ1231" s="86"/>
      <c r="CR1231" s="86"/>
      <c r="CS1231" s="86"/>
      <c r="CT1231" s="86"/>
      <c r="CU1231" s="86"/>
      <c r="CV1231" s="86"/>
      <c r="CW1231" s="86"/>
    </row>
    <row r="1232" customFormat="false" ht="12.75" hidden="false" customHeight="false" outlineLevel="0" collapsed="false">
      <c r="F1232" s="86"/>
      <c r="G1232" s="86"/>
      <c r="H1232" s="86"/>
      <c r="I1232" s="86"/>
      <c r="J1232" s="86"/>
      <c r="K1232" s="86"/>
      <c r="L1232" s="86"/>
      <c r="N1232" s="86"/>
      <c r="CQ1232" s="86"/>
      <c r="CR1232" s="86"/>
      <c r="CS1232" s="86"/>
      <c r="CT1232" s="86"/>
      <c r="CU1232" s="86"/>
      <c r="CV1232" s="86"/>
      <c r="CW1232" s="86"/>
    </row>
    <row r="1233" customFormat="false" ht="12.75" hidden="false" customHeight="false" outlineLevel="0" collapsed="false">
      <c r="F1233" s="86"/>
      <c r="G1233" s="86"/>
      <c r="H1233" s="86"/>
      <c r="I1233" s="86"/>
      <c r="J1233" s="86"/>
      <c r="K1233" s="86"/>
      <c r="L1233" s="86"/>
      <c r="N1233" s="86"/>
      <c r="CQ1233" s="86"/>
      <c r="CR1233" s="86"/>
      <c r="CS1233" s="86"/>
      <c r="CT1233" s="86"/>
      <c r="CU1233" s="86"/>
      <c r="CV1233" s="86"/>
      <c r="CW1233" s="86"/>
    </row>
    <row r="1234" customFormat="false" ht="12.75" hidden="false" customHeight="false" outlineLevel="0" collapsed="false">
      <c r="F1234" s="86"/>
      <c r="G1234" s="86"/>
      <c r="H1234" s="86"/>
      <c r="I1234" s="86"/>
      <c r="J1234" s="86"/>
      <c r="K1234" s="86"/>
      <c r="L1234" s="86"/>
      <c r="N1234" s="86"/>
      <c r="CQ1234" s="86"/>
      <c r="CR1234" s="86"/>
      <c r="CS1234" s="86"/>
      <c r="CT1234" s="86"/>
      <c r="CU1234" s="86"/>
      <c r="CV1234" s="86"/>
      <c r="CW1234" s="86"/>
    </row>
    <row r="1235" customFormat="false" ht="12.75" hidden="false" customHeight="false" outlineLevel="0" collapsed="false">
      <c r="F1235" s="86"/>
      <c r="G1235" s="86"/>
      <c r="H1235" s="86"/>
      <c r="I1235" s="86"/>
      <c r="J1235" s="86"/>
      <c r="K1235" s="86"/>
      <c r="L1235" s="86"/>
      <c r="N1235" s="86"/>
      <c r="CQ1235" s="86"/>
      <c r="CR1235" s="86"/>
      <c r="CS1235" s="86"/>
      <c r="CT1235" s="86"/>
      <c r="CU1235" s="86"/>
      <c r="CV1235" s="86"/>
      <c r="CW1235" s="86"/>
    </row>
    <row r="1236" customFormat="false" ht="12.75" hidden="false" customHeight="false" outlineLevel="0" collapsed="false">
      <c r="F1236" s="86"/>
      <c r="G1236" s="86"/>
      <c r="H1236" s="86"/>
      <c r="I1236" s="86"/>
      <c r="J1236" s="86"/>
      <c r="K1236" s="86"/>
      <c r="L1236" s="86"/>
      <c r="N1236" s="86"/>
      <c r="CQ1236" s="86"/>
      <c r="CR1236" s="86"/>
      <c r="CS1236" s="86"/>
      <c r="CT1236" s="86"/>
      <c r="CU1236" s="86"/>
      <c r="CV1236" s="86"/>
      <c r="CW1236" s="86"/>
    </row>
    <row r="1237" customFormat="false" ht="12.75" hidden="false" customHeight="false" outlineLevel="0" collapsed="false">
      <c r="F1237" s="86"/>
      <c r="G1237" s="86"/>
      <c r="H1237" s="86"/>
      <c r="I1237" s="86"/>
      <c r="J1237" s="86"/>
      <c r="K1237" s="86"/>
      <c r="L1237" s="86"/>
      <c r="N1237" s="86"/>
      <c r="CQ1237" s="86"/>
      <c r="CR1237" s="86"/>
      <c r="CS1237" s="86"/>
      <c r="CT1237" s="86"/>
      <c r="CU1237" s="86"/>
      <c r="CV1237" s="86"/>
      <c r="CW1237" s="86"/>
    </row>
    <row r="1238" customFormat="false" ht="12.75" hidden="false" customHeight="false" outlineLevel="0" collapsed="false">
      <c r="F1238" s="86"/>
      <c r="G1238" s="86"/>
      <c r="H1238" s="86"/>
      <c r="I1238" s="86"/>
      <c r="J1238" s="86"/>
      <c r="K1238" s="86"/>
      <c r="L1238" s="86"/>
      <c r="N1238" s="86"/>
      <c r="CQ1238" s="86"/>
      <c r="CR1238" s="86"/>
      <c r="CS1238" s="86"/>
      <c r="CT1238" s="86"/>
      <c r="CU1238" s="86"/>
      <c r="CV1238" s="86"/>
      <c r="CW1238" s="86"/>
    </row>
    <row r="1239" customFormat="false" ht="12.75" hidden="false" customHeight="false" outlineLevel="0" collapsed="false">
      <c r="F1239" s="86"/>
      <c r="G1239" s="86"/>
      <c r="H1239" s="86"/>
      <c r="I1239" s="86"/>
      <c r="J1239" s="86"/>
      <c r="K1239" s="86"/>
      <c r="L1239" s="86"/>
      <c r="N1239" s="86"/>
      <c r="CQ1239" s="86"/>
      <c r="CR1239" s="86"/>
      <c r="CS1239" s="86"/>
      <c r="CT1239" s="86"/>
      <c r="CU1239" s="86"/>
      <c r="CV1239" s="86"/>
      <c r="CW1239" s="86"/>
    </row>
    <row r="1240" customFormat="false" ht="12.75" hidden="false" customHeight="false" outlineLevel="0" collapsed="false">
      <c r="F1240" s="86"/>
      <c r="G1240" s="86"/>
      <c r="H1240" s="86"/>
      <c r="I1240" s="86"/>
      <c r="J1240" s="86"/>
      <c r="K1240" s="86"/>
      <c r="L1240" s="86"/>
      <c r="N1240" s="86"/>
      <c r="CQ1240" s="86"/>
      <c r="CR1240" s="86"/>
      <c r="CS1240" s="86"/>
      <c r="CT1240" s="86"/>
      <c r="CU1240" s="86"/>
      <c r="CV1240" s="86"/>
      <c r="CW1240" s="86"/>
    </row>
    <row r="1241" customFormat="false" ht="12.75" hidden="false" customHeight="false" outlineLevel="0" collapsed="false">
      <c r="F1241" s="86"/>
      <c r="G1241" s="86"/>
      <c r="H1241" s="86"/>
      <c r="I1241" s="86"/>
      <c r="J1241" s="86"/>
      <c r="K1241" s="86"/>
      <c r="L1241" s="86"/>
      <c r="N1241" s="86"/>
      <c r="CQ1241" s="86"/>
      <c r="CR1241" s="86"/>
      <c r="CS1241" s="86"/>
      <c r="CT1241" s="86"/>
      <c r="CU1241" s="86"/>
      <c r="CV1241" s="86"/>
      <c r="CW1241" s="86"/>
    </row>
    <row r="1242" customFormat="false" ht="12.75" hidden="false" customHeight="false" outlineLevel="0" collapsed="false">
      <c r="F1242" s="86"/>
      <c r="G1242" s="86"/>
      <c r="H1242" s="86"/>
      <c r="I1242" s="86"/>
      <c r="J1242" s="86"/>
      <c r="K1242" s="86"/>
      <c r="L1242" s="86"/>
      <c r="N1242" s="86"/>
      <c r="CQ1242" s="86"/>
      <c r="CR1242" s="86"/>
      <c r="CS1242" s="86"/>
      <c r="CT1242" s="86"/>
      <c r="CU1242" s="86"/>
      <c r="CV1242" s="86"/>
      <c r="CW1242" s="86"/>
    </row>
    <row r="1243" customFormat="false" ht="12.75" hidden="false" customHeight="false" outlineLevel="0" collapsed="false">
      <c r="F1243" s="86"/>
      <c r="G1243" s="86"/>
      <c r="H1243" s="86"/>
      <c r="I1243" s="86"/>
      <c r="J1243" s="86"/>
      <c r="K1243" s="86"/>
      <c r="L1243" s="86"/>
      <c r="N1243" s="86"/>
      <c r="CQ1243" s="86"/>
      <c r="CR1243" s="86"/>
      <c r="CS1243" s="86"/>
      <c r="CT1243" s="86"/>
      <c r="CU1243" s="86"/>
      <c r="CV1243" s="86"/>
      <c r="CW1243" s="86"/>
    </row>
    <row r="1244" customFormat="false" ht="12.75" hidden="false" customHeight="false" outlineLevel="0" collapsed="false">
      <c r="F1244" s="86"/>
      <c r="G1244" s="86"/>
      <c r="H1244" s="86"/>
      <c r="I1244" s="86"/>
      <c r="J1244" s="86"/>
      <c r="K1244" s="86"/>
      <c r="L1244" s="86"/>
      <c r="N1244" s="86"/>
      <c r="CQ1244" s="86"/>
      <c r="CR1244" s="86"/>
      <c r="CS1244" s="86"/>
      <c r="CT1244" s="86"/>
      <c r="CU1244" s="86"/>
      <c r="CV1244" s="86"/>
      <c r="CW1244" s="86"/>
    </row>
    <row r="1245" customFormat="false" ht="12.75" hidden="false" customHeight="false" outlineLevel="0" collapsed="false">
      <c r="F1245" s="86"/>
      <c r="G1245" s="86"/>
      <c r="H1245" s="86"/>
      <c r="I1245" s="86"/>
      <c r="J1245" s="86"/>
      <c r="K1245" s="86"/>
      <c r="L1245" s="86"/>
      <c r="N1245" s="86"/>
      <c r="CQ1245" s="86"/>
      <c r="CR1245" s="86"/>
      <c r="CS1245" s="86"/>
      <c r="CT1245" s="86"/>
      <c r="CU1245" s="86"/>
      <c r="CV1245" s="86"/>
      <c r="CW1245" s="86"/>
    </row>
    <row r="1246" customFormat="false" ht="12.75" hidden="false" customHeight="false" outlineLevel="0" collapsed="false">
      <c r="F1246" s="86"/>
      <c r="G1246" s="86"/>
      <c r="H1246" s="86"/>
      <c r="I1246" s="86"/>
      <c r="J1246" s="86"/>
      <c r="K1246" s="86"/>
      <c r="L1246" s="86"/>
      <c r="N1246" s="86"/>
      <c r="CQ1246" s="86"/>
      <c r="CR1246" s="86"/>
      <c r="CS1246" s="86"/>
      <c r="CT1246" s="86"/>
      <c r="CU1246" s="86"/>
      <c r="CV1246" s="86"/>
      <c r="CW1246" s="86"/>
    </row>
    <row r="1247" customFormat="false" ht="12.75" hidden="false" customHeight="false" outlineLevel="0" collapsed="false">
      <c r="F1247" s="86"/>
      <c r="G1247" s="86"/>
      <c r="H1247" s="86"/>
      <c r="I1247" s="86"/>
      <c r="J1247" s="86"/>
      <c r="K1247" s="86"/>
      <c r="L1247" s="86"/>
      <c r="N1247" s="86"/>
      <c r="CQ1247" s="86"/>
      <c r="CR1247" s="86"/>
      <c r="CS1247" s="86"/>
      <c r="CT1247" s="86"/>
      <c r="CU1247" s="86"/>
      <c r="CV1247" s="86"/>
      <c r="CW1247" s="86"/>
    </row>
    <row r="1248" customFormat="false" ht="12.75" hidden="false" customHeight="false" outlineLevel="0" collapsed="false">
      <c r="F1248" s="86"/>
      <c r="G1248" s="86"/>
      <c r="H1248" s="86"/>
      <c r="I1248" s="86"/>
      <c r="J1248" s="86"/>
      <c r="K1248" s="86"/>
      <c r="L1248" s="86"/>
      <c r="N1248" s="86"/>
      <c r="CQ1248" s="86"/>
      <c r="CR1248" s="86"/>
      <c r="CS1248" s="86"/>
      <c r="CT1248" s="86"/>
      <c r="CU1248" s="86"/>
      <c r="CV1248" s="86"/>
      <c r="CW1248" s="86"/>
    </row>
    <row r="1249" customFormat="false" ht="12.75" hidden="false" customHeight="false" outlineLevel="0" collapsed="false">
      <c r="F1249" s="86"/>
      <c r="G1249" s="86"/>
      <c r="H1249" s="86"/>
      <c r="I1249" s="86"/>
      <c r="J1249" s="86"/>
      <c r="K1249" s="86"/>
      <c r="L1249" s="86"/>
      <c r="N1249" s="86"/>
      <c r="CQ1249" s="86"/>
      <c r="CR1249" s="86"/>
      <c r="CS1249" s="86"/>
      <c r="CT1249" s="86"/>
      <c r="CU1249" s="86"/>
      <c r="CV1249" s="86"/>
      <c r="CW1249" s="86"/>
    </row>
    <row r="1250" customFormat="false" ht="12.75" hidden="false" customHeight="false" outlineLevel="0" collapsed="false">
      <c r="F1250" s="86"/>
      <c r="G1250" s="86"/>
      <c r="H1250" s="86"/>
      <c r="I1250" s="86"/>
      <c r="J1250" s="86"/>
      <c r="K1250" s="86"/>
      <c r="L1250" s="86"/>
      <c r="N1250" s="86"/>
      <c r="CQ1250" s="86"/>
      <c r="CR1250" s="86"/>
      <c r="CS1250" s="86"/>
      <c r="CT1250" s="86"/>
      <c r="CU1250" s="86"/>
      <c r="CV1250" s="86"/>
      <c r="CW1250" s="86"/>
    </row>
    <row r="1251" customFormat="false" ht="12.75" hidden="false" customHeight="false" outlineLevel="0" collapsed="false">
      <c r="F1251" s="86"/>
      <c r="G1251" s="86"/>
      <c r="H1251" s="86"/>
      <c r="I1251" s="86"/>
      <c r="J1251" s="86"/>
      <c r="K1251" s="86"/>
      <c r="L1251" s="86"/>
      <c r="N1251" s="86"/>
      <c r="CQ1251" s="86"/>
      <c r="CR1251" s="86"/>
      <c r="CS1251" s="86"/>
      <c r="CT1251" s="86"/>
      <c r="CU1251" s="86"/>
      <c r="CV1251" s="86"/>
      <c r="CW1251" s="86"/>
    </row>
    <row r="1252" customFormat="false" ht="12.75" hidden="false" customHeight="false" outlineLevel="0" collapsed="false">
      <c r="F1252" s="86"/>
      <c r="G1252" s="86"/>
      <c r="H1252" s="86"/>
      <c r="I1252" s="86"/>
      <c r="J1252" s="86"/>
      <c r="K1252" s="86"/>
      <c r="L1252" s="86"/>
      <c r="N1252" s="86"/>
      <c r="CQ1252" s="86"/>
      <c r="CR1252" s="86"/>
      <c r="CS1252" s="86"/>
      <c r="CT1252" s="86"/>
      <c r="CU1252" s="86"/>
      <c r="CV1252" s="86"/>
      <c r="CW1252" s="86"/>
    </row>
    <row r="1253" customFormat="false" ht="12.75" hidden="false" customHeight="false" outlineLevel="0" collapsed="false">
      <c r="F1253" s="86"/>
      <c r="G1253" s="86"/>
      <c r="H1253" s="86"/>
      <c r="I1253" s="86"/>
      <c r="J1253" s="86"/>
      <c r="K1253" s="86"/>
      <c r="L1253" s="86"/>
      <c r="N1253" s="86"/>
      <c r="CQ1253" s="86"/>
      <c r="CR1253" s="86"/>
      <c r="CS1253" s="86"/>
      <c r="CT1253" s="86"/>
      <c r="CU1253" s="86"/>
      <c r="CV1253" s="86"/>
      <c r="CW1253" s="86"/>
    </row>
    <row r="1254" customFormat="false" ht="12.75" hidden="false" customHeight="false" outlineLevel="0" collapsed="false">
      <c r="F1254" s="86"/>
      <c r="G1254" s="86"/>
      <c r="H1254" s="86"/>
      <c r="I1254" s="86"/>
      <c r="J1254" s="86"/>
      <c r="K1254" s="86"/>
      <c r="L1254" s="86"/>
      <c r="N1254" s="86"/>
      <c r="CQ1254" s="86"/>
      <c r="CR1254" s="86"/>
      <c r="CS1254" s="86"/>
      <c r="CT1254" s="86"/>
      <c r="CU1254" s="86"/>
      <c r="CV1254" s="86"/>
      <c r="CW1254" s="86"/>
    </row>
    <row r="1255" customFormat="false" ht="12.75" hidden="false" customHeight="false" outlineLevel="0" collapsed="false">
      <c r="F1255" s="86"/>
      <c r="G1255" s="86"/>
      <c r="H1255" s="86"/>
      <c r="I1255" s="86"/>
      <c r="J1255" s="86"/>
      <c r="K1255" s="86"/>
      <c r="L1255" s="86"/>
      <c r="N1255" s="86"/>
      <c r="CQ1255" s="86"/>
      <c r="CR1255" s="86"/>
      <c r="CS1255" s="86"/>
      <c r="CT1255" s="86"/>
      <c r="CU1255" s="86"/>
      <c r="CV1255" s="86"/>
      <c r="CW1255" s="86"/>
    </row>
    <row r="1256" customFormat="false" ht="12.75" hidden="false" customHeight="false" outlineLevel="0" collapsed="false">
      <c r="F1256" s="86"/>
      <c r="G1256" s="86"/>
      <c r="H1256" s="86"/>
      <c r="I1256" s="86"/>
      <c r="J1256" s="86"/>
      <c r="K1256" s="86"/>
      <c r="L1256" s="86"/>
      <c r="N1256" s="86"/>
      <c r="CQ1256" s="86"/>
      <c r="CR1256" s="86"/>
      <c r="CS1256" s="86"/>
      <c r="CT1256" s="86"/>
      <c r="CU1256" s="86"/>
      <c r="CV1256" s="86"/>
      <c r="CW1256" s="86"/>
    </row>
    <row r="1257" customFormat="false" ht="12.75" hidden="false" customHeight="false" outlineLevel="0" collapsed="false">
      <c r="F1257" s="86"/>
      <c r="G1257" s="86"/>
      <c r="H1257" s="86"/>
      <c r="I1257" s="86"/>
      <c r="J1257" s="86"/>
      <c r="K1257" s="86"/>
      <c r="L1257" s="86"/>
      <c r="N1257" s="86"/>
      <c r="CQ1257" s="86"/>
      <c r="CR1257" s="86"/>
      <c r="CS1257" s="86"/>
      <c r="CT1257" s="86"/>
      <c r="CU1257" s="86"/>
      <c r="CV1257" s="86"/>
      <c r="CW1257" s="86"/>
    </row>
    <row r="1258" customFormat="false" ht="12.75" hidden="false" customHeight="false" outlineLevel="0" collapsed="false">
      <c r="F1258" s="86"/>
      <c r="G1258" s="86"/>
      <c r="H1258" s="86"/>
      <c r="I1258" s="86"/>
      <c r="J1258" s="86"/>
      <c r="K1258" s="86"/>
      <c r="L1258" s="86"/>
      <c r="N1258" s="86"/>
      <c r="CQ1258" s="86"/>
      <c r="CR1258" s="86"/>
      <c r="CS1258" s="86"/>
      <c r="CT1258" s="86"/>
      <c r="CU1258" s="86"/>
      <c r="CV1258" s="86"/>
      <c r="CW1258" s="86"/>
    </row>
    <row r="1259" customFormat="false" ht="12.75" hidden="false" customHeight="false" outlineLevel="0" collapsed="false">
      <c r="F1259" s="86"/>
      <c r="G1259" s="86"/>
      <c r="H1259" s="86"/>
      <c r="I1259" s="86"/>
      <c r="J1259" s="86"/>
      <c r="K1259" s="86"/>
      <c r="L1259" s="86"/>
      <c r="N1259" s="86"/>
      <c r="CQ1259" s="86"/>
      <c r="CR1259" s="86"/>
      <c r="CS1259" s="86"/>
      <c r="CT1259" s="86"/>
      <c r="CU1259" s="86"/>
      <c r="CV1259" s="86"/>
      <c r="CW1259" s="86"/>
    </row>
    <row r="1260" customFormat="false" ht="12.75" hidden="false" customHeight="false" outlineLevel="0" collapsed="false">
      <c r="F1260" s="86"/>
      <c r="G1260" s="86"/>
      <c r="H1260" s="86"/>
      <c r="I1260" s="86"/>
      <c r="J1260" s="86"/>
      <c r="K1260" s="86"/>
      <c r="L1260" s="86"/>
      <c r="N1260" s="86"/>
      <c r="CQ1260" s="86"/>
      <c r="CR1260" s="86"/>
      <c r="CS1260" s="86"/>
      <c r="CT1260" s="86"/>
      <c r="CU1260" s="86"/>
      <c r="CV1260" s="86"/>
      <c r="CW1260" s="86"/>
    </row>
    <row r="1261" customFormat="false" ht="12.75" hidden="false" customHeight="false" outlineLevel="0" collapsed="false">
      <c r="F1261" s="86"/>
      <c r="G1261" s="86"/>
      <c r="H1261" s="86"/>
      <c r="I1261" s="86"/>
      <c r="J1261" s="86"/>
      <c r="K1261" s="86"/>
      <c r="L1261" s="86"/>
      <c r="N1261" s="86"/>
      <c r="CQ1261" s="86"/>
      <c r="CR1261" s="86"/>
      <c r="CS1261" s="86"/>
      <c r="CT1261" s="86"/>
      <c r="CU1261" s="86"/>
      <c r="CV1261" s="86"/>
      <c r="CW1261" s="86"/>
    </row>
    <row r="1262" customFormat="false" ht="12.75" hidden="false" customHeight="false" outlineLevel="0" collapsed="false">
      <c r="F1262" s="86"/>
      <c r="G1262" s="86"/>
      <c r="H1262" s="86"/>
      <c r="I1262" s="86"/>
      <c r="J1262" s="86"/>
      <c r="K1262" s="86"/>
      <c r="L1262" s="86"/>
      <c r="N1262" s="86"/>
      <c r="CQ1262" s="86"/>
      <c r="CR1262" s="86"/>
      <c r="CS1262" s="86"/>
      <c r="CT1262" s="86"/>
      <c r="CU1262" s="86"/>
      <c r="CV1262" s="86"/>
      <c r="CW1262" s="86"/>
    </row>
    <row r="1263" customFormat="false" ht="12.75" hidden="false" customHeight="false" outlineLevel="0" collapsed="false">
      <c r="F1263" s="86"/>
      <c r="G1263" s="86"/>
      <c r="H1263" s="86"/>
      <c r="I1263" s="86"/>
      <c r="J1263" s="86"/>
      <c r="K1263" s="86"/>
      <c r="L1263" s="86"/>
      <c r="N1263" s="86"/>
      <c r="CQ1263" s="86"/>
      <c r="CR1263" s="86"/>
      <c r="CS1263" s="86"/>
      <c r="CT1263" s="86"/>
      <c r="CU1263" s="86"/>
      <c r="CV1263" s="86"/>
      <c r="CW1263" s="86"/>
    </row>
    <row r="1264" customFormat="false" ht="12.75" hidden="false" customHeight="false" outlineLevel="0" collapsed="false">
      <c r="F1264" s="86"/>
      <c r="G1264" s="86"/>
      <c r="H1264" s="86"/>
      <c r="I1264" s="86"/>
      <c r="J1264" s="86"/>
      <c r="K1264" s="86"/>
      <c r="L1264" s="86"/>
      <c r="N1264" s="86"/>
      <c r="CQ1264" s="86"/>
      <c r="CR1264" s="86"/>
      <c r="CS1264" s="86"/>
      <c r="CT1264" s="86"/>
      <c r="CU1264" s="86"/>
      <c r="CV1264" s="86"/>
      <c r="CW1264" s="86"/>
    </row>
    <row r="1265" customFormat="false" ht="12.75" hidden="false" customHeight="false" outlineLevel="0" collapsed="false">
      <c r="F1265" s="86"/>
      <c r="G1265" s="86"/>
      <c r="H1265" s="86"/>
      <c r="I1265" s="86"/>
      <c r="J1265" s="86"/>
      <c r="K1265" s="86"/>
      <c r="L1265" s="86"/>
      <c r="N1265" s="86"/>
      <c r="CQ1265" s="86"/>
      <c r="CR1265" s="86"/>
      <c r="CS1265" s="86"/>
      <c r="CT1265" s="86"/>
      <c r="CU1265" s="86"/>
      <c r="CV1265" s="86"/>
      <c r="CW1265" s="86"/>
    </row>
    <row r="1266" customFormat="false" ht="12.75" hidden="false" customHeight="false" outlineLevel="0" collapsed="false">
      <c r="F1266" s="86"/>
      <c r="G1266" s="86"/>
      <c r="H1266" s="86"/>
      <c r="I1266" s="86"/>
      <c r="J1266" s="86"/>
      <c r="K1266" s="86"/>
      <c r="L1266" s="86"/>
      <c r="N1266" s="86"/>
      <c r="CQ1266" s="86"/>
      <c r="CR1266" s="86"/>
      <c r="CS1266" s="86"/>
      <c r="CT1266" s="86"/>
      <c r="CU1266" s="86"/>
      <c r="CV1266" s="86"/>
      <c r="CW1266" s="86"/>
    </row>
    <row r="1267" customFormat="false" ht="12.75" hidden="false" customHeight="false" outlineLevel="0" collapsed="false">
      <c r="F1267" s="86"/>
      <c r="G1267" s="86"/>
      <c r="H1267" s="86"/>
      <c r="I1267" s="86"/>
      <c r="J1267" s="86"/>
      <c r="K1267" s="86"/>
      <c r="L1267" s="86"/>
      <c r="N1267" s="86"/>
      <c r="CQ1267" s="86"/>
      <c r="CR1267" s="86"/>
      <c r="CS1267" s="86"/>
      <c r="CT1267" s="86"/>
      <c r="CU1267" s="86"/>
      <c r="CV1267" s="86"/>
      <c r="CW1267" s="86"/>
    </row>
    <row r="1268" customFormat="false" ht="12.75" hidden="false" customHeight="false" outlineLevel="0" collapsed="false">
      <c r="F1268" s="86"/>
      <c r="G1268" s="86"/>
      <c r="H1268" s="86"/>
      <c r="I1268" s="86"/>
      <c r="J1268" s="86"/>
      <c r="K1268" s="86"/>
      <c r="L1268" s="86"/>
      <c r="N1268" s="86"/>
      <c r="CQ1268" s="86"/>
      <c r="CR1268" s="86"/>
      <c r="CS1268" s="86"/>
      <c r="CT1268" s="86"/>
      <c r="CU1268" s="86"/>
      <c r="CV1268" s="86"/>
      <c r="CW1268" s="86"/>
    </row>
    <row r="1269" customFormat="false" ht="12.75" hidden="false" customHeight="false" outlineLevel="0" collapsed="false">
      <c r="A1269" s="140" t="s">
        <v>24</v>
      </c>
      <c r="B1269" s="140"/>
      <c r="F1269" s="86"/>
      <c r="G1269" s="86"/>
      <c r="H1269" s="86"/>
      <c r="I1269" s="86"/>
      <c r="J1269" s="86"/>
      <c r="K1269" s="86"/>
      <c r="L1269" s="86"/>
      <c r="N1269" s="86"/>
      <c r="CQ1269" s="86"/>
      <c r="CR1269" s="86"/>
      <c r="CS1269" s="86"/>
      <c r="CT1269" s="86"/>
      <c r="CU1269" s="86"/>
      <c r="CV1269" s="86"/>
      <c r="CW1269" s="86"/>
    </row>
    <row r="1270" customFormat="false" ht="12.75" hidden="false" customHeight="false" outlineLevel="0" collapsed="false">
      <c r="A1270" s="141" t="n">
        <f aca="false">Overview!E17</f>
        <v>0</v>
      </c>
      <c r="B1270" s="141"/>
      <c r="F1270" s="86"/>
      <c r="G1270" s="86"/>
      <c r="H1270" s="86"/>
      <c r="I1270" s="86"/>
      <c r="J1270" s="86"/>
      <c r="K1270" s="86"/>
      <c r="L1270" s="86"/>
      <c r="N1270" s="86"/>
      <c r="CQ1270" s="86"/>
      <c r="CR1270" s="86"/>
      <c r="CS1270" s="86"/>
      <c r="CT1270" s="86"/>
      <c r="CU1270" s="86"/>
      <c r="CV1270" s="86"/>
      <c r="CW1270" s="86"/>
    </row>
    <row r="1271" customFormat="false" ht="12.75" hidden="false" customHeight="false" outlineLevel="0" collapsed="false">
      <c r="F1271" s="86"/>
      <c r="G1271" s="86"/>
      <c r="H1271" s="86"/>
      <c r="I1271" s="86"/>
      <c r="J1271" s="86"/>
      <c r="K1271" s="86"/>
      <c r="L1271" s="86"/>
      <c r="N1271" s="86"/>
      <c r="CQ1271" s="86"/>
      <c r="CR1271" s="86"/>
      <c r="CS1271" s="86"/>
      <c r="CT1271" s="86"/>
      <c r="CU1271" s="86"/>
      <c r="CV1271" s="86"/>
      <c r="CW1271" s="86"/>
    </row>
    <row r="1272" customFormat="false" ht="12.75" hidden="false" customHeight="false" outlineLevel="0" collapsed="false">
      <c r="F1272" s="86"/>
      <c r="G1272" s="86"/>
      <c r="H1272" s="86"/>
      <c r="I1272" s="86"/>
      <c r="J1272" s="86"/>
      <c r="K1272" s="86"/>
      <c r="L1272" s="86"/>
      <c r="N1272" s="86"/>
      <c r="CQ1272" s="86"/>
      <c r="CR1272" s="86"/>
      <c r="CS1272" s="86"/>
      <c r="CT1272" s="86"/>
      <c r="CU1272" s="86"/>
      <c r="CV1272" s="86"/>
      <c r="CW1272" s="86"/>
    </row>
    <row r="1273" customFormat="false" ht="12.75" hidden="false" customHeight="false" outlineLevel="0" collapsed="false">
      <c r="F1273" s="86"/>
      <c r="G1273" s="86"/>
      <c r="H1273" s="86"/>
      <c r="I1273" s="86"/>
      <c r="J1273" s="86"/>
      <c r="K1273" s="86"/>
      <c r="L1273" s="86"/>
      <c r="N1273" s="86"/>
      <c r="CQ1273" s="86"/>
      <c r="CR1273" s="86"/>
      <c r="CS1273" s="86"/>
      <c r="CT1273" s="86"/>
      <c r="CU1273" s="86"/>
      <c r="CV1273" s="86"/>
      <c r="CW1273" s="86"/>
    </row>
    <row r="1274" customFormat="false" ht="12.75" hidden="false" customHeight="false" outlineLevel="0" collapsed="false">
      <c r="F1274" s="86"/>
      <c r="G1274" s="86"/>
      <c r="H1274" s="86"/>
      <c r="I1274" s="86"/>
      <c r="J1274" s="86"/>
      <c r="K1274" s="86"/>
      <c r="L1274" s="86"/>
      <c r="N1274" s="86"/>
      <c r="CQ1274" s="86"/>
      <c r="CR1274" s="86"/>
      <c r="CS1274" s="86"/>
      <c r="CT1274" s="86"/>
      <c r="CU1274" s="86"/>
      <c r="CV1274" s="86"/>
      <c r="CW1274" s="86"/>
    </row>
    <row r="1275" customFormat="false" ht="12.75" hidden="false" customHeight="false" outlineLevel="0" collapsed="false">
      <c r="F1275" s="86"/>
      <c r="G1275" s="86"/>
      <c r="H1275" s="86"/>
      <c r="I1275" s="86"/>
      <c r="J1275" s="86"/>
      <c r="K1275" s="86"/>
      <c r="L1275" s="86"/>
      <c r="N1275" s="86"/>
      <c r="CQ1275" s="86"/>
      <c r="CR1275" s="86"/>
      <c r="CS1275" s="86"/>
      <c r="CT1275" s="86"/>
      <c r="CU1275" s="86"/>
      <c r="CV1275" s="86"/>
      <c r="CW1275" s="86"/>
    </row>
    <row r="1276" customFormat="false" ht="12.75" hidden="false" customHeight="false" outlineLevel="0" collapsed="false">
      <c r="F1276" s="86"/>
      <c r="G1276" s="86"/>
      <c r="H1276" s="86"/>
      <c r="I1276" s="86"/>
      <c r="J1276" s="86"/>
      <c r="K1276" s="86"/>
      <c r="L1276" s="86"/>
      <c r="N1276" s="86"/>
      <c r="CQ1276" s="86"/>
      <c r="CR1276" s="86"/>
      <c r="CS1276" s="86"/>
      <c r="CT1276" s="86"/>
      <c r="CU1276" s="86"/>
      <c r="CV1276" s="86"/>
      <c r="CW1276" s="86"/>
    </row>
    <row r="1277" customFormat="false" ht="12.75" hidden="false" customHeight="false" outlineLevel="0" collapsed="false">
      <c r="F1277" s="86"/>
      <c r="G1277" s="86"/>
      <c r="H1277" s="86"/>
      <c r="I1277" s="86"/>
      <c r="J1277" s="86"/>
      <c r="K1277" s="86"/>
      <c r="L1277" s="86"/>
      <c r="N1277" s="86"/>
      <c r="CQ1277" s="86"/>
      <c r="CR1277" s="86"/>
      <c r="CS1277" s="86"/>
      <c r="CT1277" s="86"/>
      <c r="CU1277" s="86"/>
      <c r="CV1277" s="86"/>
      <c r="CW1277" s="86"/>
    </row>
    <row r="1278" customFormat="false" ht="12.75" hidden="false" customHeight="false" outlineLevel="0" collapsed="false">
      <c r="F1278" s="86"/>
      <c r="G1278" s="86"/>
      <c r="H1278" s="86"/>
      <c r="I1278" s="86"/>
      <c r="J1278" s="86"/>
      <c r="K1278" s="86"/>
      <c r="L1278" s="86"/>
      <c r="N1278" s="86"/>
      <c r="CQ1278" s="86"/>
      <c r="CR1278" s="86"/>
      <c r="CS1278" s="86"/>
      <c r="CT1278" s="86"/>
      <c r="CU1278" s="86"/>
      <c r="CV1278" s="86"/>
      <c r="CW1278" s="86"/>
    </row>
    <row r="1279" customFormat="false" ht="12.75" hidden="false" customHeight="false" outlineLevel="0" collapsed="false">
      <c r="F1279" s="86"/>
      <c r="G1279" s="86"/>
      <c r="H1279" s="86"/>
      <c r="I1279" s="86"/>
      <c r="J1279" s="86"/>
      <c r="K1279" s="86"/>
      <c r="L1279" s="86"/>
      <c r="N1279" s="86"/>
      <c r="CQ1279" s="86"/>
      <c r="CR1279" s="86"/>
      <c r="CS1279" s="86"/>
      <c r="CT1279" s="86"/>
      <c r="CU1279" s="86"/>
      <c r="CV1279" s="86"/>
      <c r="CW1279" s="86"/>
    </row>
    <row r="1280" customFormat="false" ht="12.75" hidden="false" customHeight="false" outlineLevel="0" collapsed="false">
      <c r="F1280" s="86"/>
      <c r="G1280" s="86"/>
      <c r="H1280" s="86"/>
      <c r="I1280" s="86"/>
      <c r="J1280" s="86"/>
      <c r="K1280" s="86"/>
      <c r="L1280" s="86"/>
      <c r="N1280" s="86"/>
      <c r="CQ1280" s="86"/>
      <c r="CR1280" s="86"/>
      <c r="CS1280" s="86"/>
      <c r="CT1280" s="86"/>
      <c r="CU1280" s="86"/>
      <c r="CV1280" s="86"/>
      <c r="CW1280" s="86"/>
    </row>
    <row r="1281" customFormat="false" ht="12.75" hidden="false" customHeight="false" outlineLevel="0" collapsed="false">
      <c r="F1281" s="86"/>
      <c r="G1281" s="86"/>
      <c r="H1281" s="86"/>
      <c r="I1281" s="86"/>
      <c r="J1281" s="86"/>
      <c r="K1281" s="86"/>
      <c r="L1281" s="86"/>
      <c r="N1281" s="86"/>
      <c r="CQ1281" s="86"/>
      <c r="CR1281" s="86"/>
      <c r="CS1281" s="86"/>
      <c r="CT1281" s="86"/>
      <c r="CU1281" s="86"/>
      <c r="CV1281" s="86"/>
      <c r="CW1281" s="86"/>
    </row>
    <row r="1282" customFormat="false" ht="12.75" hidden="false" customHeight="false" outlineLevel="0" collapsed="false">
      <c r="F1282" s="86"/>
      <c r="G1282" s="86"/>
      <c r="H1282" s="86"/>
      <c r="I1282" s="86"/>
      <c r="J1282" s="86"/>
      <c r="K1282" s="86"/>
      <c r="L1282" s="86"/>
      <c r="N1282" s="86"/>
      <c r="CQ1282" s="86"/>
      <c r="CR1282" s="86"/>
      <c r="CS1282" s="86"/>
      <c r="CT1282" s="86"/>
      <c r="CU1282" s="86"/>
      <c r="CV1282" s="86"/>
      <c r="CW1282" s="86"/>
    </row>
    <row r="1283" customFormat="false" ht="12.75" hidden="false" customHeight="false" outlineLevel="0" collapsed="false">
      <c r="F1283" s="86"/>
      <c r="G1283" s="86"/>
      <c r="H1283" s="86"/>
      <c r="I1283" s="86"/>
      <c r="J1283" s="86"/>
      <c r="K1283" s="86"/>
      <c r="L1283" s="86"/>
      <c r="N1283" s="86"/>
      <c r="CQ1283" s="86"/>
      <c r="CR1283" s="86"/>
      <c r="CS1283" s="86"/>
      <c r="CT1283" s="86"/>
      <c r="CU1283" s="86"/>
      <c r="CV1283" s="86"/>
      <c r="CW1283" s="86"/>
    </row>
    <row r="1284" customFormat="false" ht="12.75" hidden="false" customHeight="false" outlineLevel="0" collapsed="false">
      <c r="F1284" s="86"/>
      <c r="G1284" s="86"/>
      <c r="H1284" s="86"/>
      <c r="I1284" s="86"/>
      <c r="J1284" s="86"/>
      <c r="K1284" s="86"/>
      <c r="L1284" s="86"/>
      <c r="N1284" s="86"/>
      <c r="CQ1284" s="86"/>
      <c r="CR1284" s="86"/>
      <c r="CS1284" s="86"/>
      <c r="CT1284" s="86"/>
      <c r="CU1284" s="86"/>
      <c r="CV1284" s="86"/>
      <c r="CW1284" s="86"/>
    </row>
    <row r="1285" customFormat="false" ht="12.75" hidden="false" customHeight="false" outlineLevel="0" collapsed="false">
      <c r="F1285" s="86"/>
      <c r="G1285" s="86"/>
      <c r="H1285" s="86"/>
      <c r="I1285" s="86"/>
      <c r="J1285" s="86"/>
      <c r="K1285" s="86"/>
      <c r="L1285" s="86"/>
      <c r="N1285" s="86"/>
      <c r="CQ1285" s="86"/>
      <c r="CR1285" s="86"/>
      <c r="CS1285" s="86"/>
      <c r="CT1285" s="86"/>
      <c r="CU1285" s="86"/>
      <c r="CV1285" s="86"/>
      <c r="CW1285" s="86"/>
    </row>
    <row r="1286" customFormat="false" ht="12.75" hidden="false" customHeight="false" outlineLevel="0" collapsed="false">
      <c r="F1286" s="86"/>
      <c r="G1286" s="86"/>
      <c r="H1286" s="86"/>
      <c r="I1286" s="86"/>
      <c r="J1286" s="86"/>
      <c r="K1286" s="86"/>
      <c r="L1286" s="86"/>
      <c r="N1286" s="86"/>
      <c r="CQ1286" s="86"/>
      <c r="CR1286" s="86"/>
      <c r="CS1286" s="86"/>
      <c r="CT1286" s="86"/>
      <c r="CU1286" s="86"/>
      <c r="CV1286" s="86"/>
      <c r="CW1286" s="86"/>
    </row>
    <row r="1287" customFormat="false" ht="12.75" hidden="false" customHeight="false" outlineLevel="0" collapsed="false">
      <c r="F1287" s="86"/>
      <c r="G1287" s="86"/>
      <c r="H1287" s="86"/>
      <c r="I1287" s="86"/>
      <c r="J1287" s="86"/>
      <c r="K1287" s="86"/>
      <c r="L1287" s="86"/>
      <c r="N1287" s="86"/>
      <c r="CQ1287" s="86"/>
      <c r="CR1287" s="86"/>
      <c r="CS1287" s="86"/>
      <c r="CT1287" s="86"/>
      <c r="CU1287" s="86"/>
      <c r="CV1287" s="86"/>
      <c r="CW1287" s="86"/>
    </row>
    <row r="1288" customFormat="false" ht="12.75" hidden="false" customHeight="false" outlineLevel="0" collapsed="false">
      <c r="F1288" s="86"/>
      <c r="G1288" s="86"/>
      <c r="H1288" s="86"/>
      <c r="I1288" s="86"/>
      <c r="J1288" s="86"/>
      <c r="K1288" s="86"/>
      <c r="L1288" s="86"/>
      <c r="N1288" s="86"/>
      <c r="CQ1288" s="86"/>
      <c r="CR1288" s="86"/>
      <c r="CS1288" s="86"/>
      <c r="CT1288" s="86"/>
      <c r="CU1288" s="86"/>
      <c r="CV1288" s="86"/>
      <c r="CW1288" s="86"/>
    </row>
    <row r="1289" customFormat="false" ht="12.75" hidden="false" customHeight="false" outlineLevel="0" collapsed="false">
      <c r="F1289" s="86"/>
      <c r="G1289" s="86"/>
      <c r="H1289" s="86"/>
      <c r="I1289" s="86"/>
      <c r="J1289" s="86"/>
      <c r="K1289" s="86"/>
      <c r="L1289" s="86"/>
      <c r="N1289" s="86"/>
      <c r="CQ1289" s="86"/>
      <c r="CR1289" s="86"/>
      <c r="CS1289" s="86"/>
      <c r="CT1289" s="86"/>
      <c r="CU1289" s="86"/>
      <c r="CV1289" s="86"/>
      <c r="CW1289" s="86"/>
    </row>
    <row r="1290" customFormat="false" ht="12.75" hidden="false" customHeight="false" outlineLevel="0" collapsed="false">
      <c r="F1290" s="86"/>
      <c r="G1290" s="86"/>
      <c r="H1290" s="86"/>
      <c r="I1290" s="86"/>
      <c r="J1290" s="86"/>
      <c r="K1290" s="86"/>
      <c r="L1290" s="86"/>
      <c r="N1290" s="86"/>
      <c r="CQ1290" s="86"/>
      <c r="CR1290" s="86"/>
      <c r="CS1290" s="86"/>
      <c r="CT1290" s="86"/>
      <c r="CU1290" s="86"/>
      <c r="CV1290" s="86"/>
      <c r="CW1290" s="86"/>
    </row>
    <row r="1291" customFormat="false" ht="12.75" hidden="false" customHeight="false" outlineLevel="0" collapsed="false">
      <c r="F1291" s="86"/>
      <c r="G1291" s="86"/>
      <c r="H1291" s="86"/>
      <c r="I1291" s="86"/>
      <c r="J1291" s="86"/>
      <c r="K1291" s="86"/>
      <c r="L1291" s="86"/>
      <c r="N1291" s="86"/>
      <c r="CQ1291" s="86"/>
      <c r="CR1291" s="86"/>
      <c r="CS1291" s="86"/>
      <c r="CT1291" s="86"/>
      <c r="CU1291" s="86"/>
      <c r="CV1291" s="86"/>
      <c r="CW1291" s="86"/>
    </row>
    <row r="1292" customFormat="false" ht="12.75" hidden="false" customHeight="false" outlineLevel="0" collapsed="false">
      <c r="F1292" s="86"/>
      <c r="G1292" s="86"/>
      <c r="H1292" s="86"/>
      <c r="I1292" s="86"/>
      <c r="J1292" s="86"/>
      <c r="K1292" s="86"/>
      <c r="L1292" s="86"/>
      <c r="N1292" s="86"/>
      <c r="CQ1292" s="86"/>
      <c r="CR1292" s="86"/>
      <c r="CS1292" s="86"/>
      <c r="CT1292" s="86"/>
      <c r="CU1292" s="86"/>
      <c r="CV1292" s="86"/>
      <c r="CW1292" s="86"/>
    </row>
    <row r="1293" customFormat="false" ht="12.75" hidden="false" customHeight="false" outlineLevel="0" collapsed="false">
      <c r="F1293" s="86"/>
      <c r="G1293" s="86"/>
      <c r="H1293" s="86"/>
      <c r="I1293" s="86"/>
      <c r="J1293" s="86"/>
      <c r="K1293" s="86"/>
      <c r="L1293" s="86"/>
      <c r="N1293" s="86"/>
      <c r="CQ1293" s="86"/>
      <c r="CR1293" s="86"/>
      <c r="CS1293" s="86"/>
      <c r="CT1293" s="86"/>
      <c r="CU1293" s="86"/>
      <c r="CV1293" s="86"/>
      <c r="CW1293" s="86"/>
    </row>
    <row r="1294" customFormat="false" ht="12.75" hidden="false" customHeight="false" outlineLevel="0" collapsed="false">
      <c r="F1294" s="86"/>
      <c r="G1294" s="86"/>
      <c r="H1294" s="86"/>
      <c r="I1294" s="86"/>
      <c r="J1294" s="86"/>
      <c r="K1294" s="86"/>
      <c r="L1294" s="86"/>
      <c r="N1294" s="86"/>
      <c r="CQ1294" s="86"/>
      <c r="CR1294" s="86"/>
      <c r="CS1294" s="86"/>
      <c r="CT1294" s="86"/>
      <c r="CU1294" s="86"/>
      <c r="CV1294" s="86"/>
      <c r="CW1294" s="86"/>
    </row>
    <row r="1295" customFormat="false" ht="12.75" hidden="false" customHeight="false" outlineLevel="0" collapsed="false">
      <c r="F1295" s="86"/>
      <c r="G1295" s="86"/>
      <c r="H1295" s="86"/>
      <c r="I1295" s="86"/>
      <c r="J1295" s="86"/>
      <c r="K1295" s="86"/>
      <c r="L1295" s="86"/>
      <c r="N1295" s="86"/>
      <c r="CQ1295" s="86"/>
      <c r="CR1295" s="86"/>
      <c r="CS1295" s="86"/>
      <c r="CT1295" s="86"/>
      <c r="CU1295" s="86"/>
      <c r="CV1295" s="86"/>
      <c r="CW1295" s="86"/>
    </row>
    <row r="1296" customFormat="false" ht="12.75" hidden="false" customHeight="false" outlineLevel="0" collapsed="false">
      <c r="F1296" s="86"/>
      <c r="G1296" s="86"/>
      <c r="H1296" s="86"/>
      <c r="I1296" s="86"/>
      <c r="J1296" s="86"/>
      <c r="K1296" s="86"/>
      <c r="L1296" s="86"/>
      <c r="N1296" s="86"/>
      <c r="CQ1296" s="86"/>
      <c r="CR1296" s="86"/>
      <c r="CS1296" s="86"/>
      <c r="CT1296" s="86"/>
      <c r="CU1296" s="86"/>
      <c r="CV1296" s="86"/>
      <c r="CW1296" s="86"/>
    </row>
    <row r="1297" customFormat="false" ht="12.75" hidden="false" customHeight="false" outlineLevel="0" collapsed="false">
      <c r="F1297" s="86"/>
      <c r="G1297" s="86"/>
      <c r="H1297" s="86"/>
      <c r="I1297" s="86"/>
      <c r="J1297" s="86"/>
      <c r="K1297" s="86"/>
      <c r="L1297" s="86"/>
      <c r="N1297" s="86"/>
      <c r="CQ1297" s="86"/>
      <c r="CR1297" s="86"/>
      <c r="CS1297" s="86"/>
      <c r="CT1297" s="86"/>
      <c r="CU1297" s="86"/>
      <c r="CV1297" s="86"/>
      <c r="CW1297" s="86"/>
    </row>
    <row r="1298" customFormat="false" ht="12.75" hidden="false" customHeight="false" outlineLevel="0" collapsed="false">
      <c r="F1298" s="86"/>
      <c r="G1298" s="86"/>
      <c r="H1298" s="86"/>
      <c r="I1298" s="86"/>
      <c r="J1298" s="86"/>
      <c r="K1298" s="86"/>
      <c r="L1298" s="86"/>
      <c r="N1298" s="86"/>
      <c r="CQ1298" s="86"/>
      <c r="CR1298" s="86"/>
      <c r="CS1298" s="86"/>
      <c r="CT1298" s="86"/>
      <c r="CU1298" s="86"/>
      <c r="CV1298" s="86"/>
      <c r="CW1298" s="86"/>
    </row>
    <row r="1299" customFormat="false" ht="12.75" hidden="false" customHeight="false" outlineLevel="0" collapsed="false">
      <c r="F1299" s="86"/>
      <c r="G1299" s="86"/>
      <c r="H1299" s="86"/>
      <c r="I1299" s="86"/>
      <c r="J1299" s="86"/>
      <c r="K1299" s="86"/>
      <c r="L1299" s="86"/>
      <c r="N1299" s="86"/>
      <c r="CQ1299" s="86"/>
      <c r="CR1299" s="86"/>
      <c r="CS1299" s="86"/>
      <c r="CT1299" s="86"/>
      <c r="CU1299" s="86"/>
      <c r="CV1299" s="86"/>
      <c r="CW1299" s="86"/>
    </row>
    <row r="1300" customFormat="false" ht="12.75" hidden="false" customHeight="false" outlineLevel="0" collapsed="false">
      <c r="F1300" s="86"/>
      <c r="G1300" s="86"/>
      <c r="H1300" s="86"/>
      <c r="I1300" s="86"/>
      <c r="J1300" s="86"/>
      <c r="K1300" s="86"/>
      <c r="L1300" s="86"/>
      <c r="N1300" s="86"/>
      <c r="CQ1300" s="86"/>
      <c r="CR1300" s="86"/>
      <c r="CS1300" s="86"/>
      <c r="CT1300" s="86"/>
      <c r="CU1300" s="86"/>
      <c r="CV1300" s="86"/>
      <c r="CW1300" s="86"/>
    </row>
    <row r="1301" customFormat="false" ht="12.75" hidden="false" customHeight="false" outlineLevel="0" collapsed="false">
      <c r="F1301" s="86"/>
      <c r="G1301" s="86"/>
      <c r="H1301" s="86"/>
      <c r="I1301" s="86"/>
      <c r="J1301" s="86"/>
      <c r="K1301" s="86"/>
      <c r="L1301" s="86"/>
      <c r="N1301" s="86"/>
      <c r="CQ1301" s="86"/>
      <c r="CR1301" s="86"/>
      <c r="CS1301" s="86"/>
      <c r="CT1301" s="86"/>
      <c r="CU1301" s="86"/>
      <c r="CV1301" s="86"/>
      <c r="CW1301" s="86"/>
    </row>
    <row r="1302" customFormat="false" ht="12.75" hidden="false" customHeight="false" outlineLevel="0" collapsed="false">
      <c r="F1302" s="86"/>
      <c r="G1302" s="86"/>
      <c r="H1302" s="86"/>
      <c r="I1302" s="86"/>
      <c r="J1302" s="86"/>
      <c r="K1302" s="86"/>
      <c r="L1302" s="86"/>
      <c r="N1302" s="86"/>
      <c r="CQ1302" s="86"/>
      <c r="CR1302" s="86"/>
      <c r="CS1302" s="86"/>
      <c r="CT1302" s="86"/>
      <c r="CU1302" s="86"/>
      <c r="CV1302" s="86"/>
      <c r="CW1302" s="86"/>
    </row>
    <row r="1303" customFormat="false" ht="12.75" hidden="false" customHeight="false" outlineLevel="0" collapsed="false">
      <c r="F1303" s="86"/>
      <c r="G1303" s="86"/>
      <c r="H1303" s="86"/>
      <c r="I1303" s="86"/>
      <c r="J1303" s="86"/>
      <c r="K1303" s="86"/>
      <c r="L1303" s="86"/>
      <c r="N1303" s="86"/>
      <c r="CQ1303" s="86"/>
      <c r="CR1303" s="86"/>
      <c r="CS1303" s="86"/>
      <c r="CT1303" s="86"/>
      <c r="CU1303" s="86"/>
      <c r="CV1303" s="86"/>
      <c r="CW1303" s="86"/>
    </row>
    <row r="1304" customFormat="false" ht="12.75" hidden="false" customHeight="false" outlineLevel="0" collapsed="false">
      <c r="F1304" s="86"/>
      <c r="G1304" s="86"/>
      <c r="H1304" s="86"/>
      <c r="I1304" s="86"/>
      <c r="J1304" s="86"/>
      <c r="K1304" s="86"/>
      <c r="L1304" s="86"/>
      <c r="N1304" s="86"/>
      <c r="CQ1304" s="86"/>
      <c r="CR1304" s="86"/>
      <c r="CS1304" s="86"/>
      <c r="CT1304" s="86"/>
      <c r="CU1304" s="86"/>
      <c r="CV1304" s="86"/>
      <c r="CW1304" s="86"/>
    </row>
    <row r="1305" customFormat="false" ht="12.75" hidden="false" customHeight="false" outlineLevel="0" collapsed="false">
      <c r="F1305" s="86"/>
      <c r="G1305" s="86"/>
      <c r="H1305" s="86"/>
      <c r="I1305" s="86"/>
      <c r="J1305" s="86"/>
      <c r="K1305" s="86"/>
      <c r="L1305" s="86"/>
      <c r="N1305" s="86"/>
      <c r="CQ1305" s="86"/>
      <c r="CR1305" s="86"/>
      <c r="CS1305" s="86"/>
      <c r="CT1305" s="86"/>
      <c r="CU1305" s="86"/>
      <c r="CV1305" s="86"/>
      <c r="CW1305" s="86"/>
    </row>
    <row r="1306" customFormat="false" ht="12.75" hidden="false" customHeight="false" outlineLevel="0" collapsed="false">
      <c r="F1306" s="86"/>
      <c r="G1306" s="86"/>
      <c r="H1306" s="86"/>
      <c r="I1306" s="86"/>
      <c r="J1306" s="86"/>
      <c r="K1306" s="86"/>
      <c r="L1306" s="86"/>
      <c r="N1306" s="86"/>
      <c r="CQ1306" s="86"/>
      <c r="CR1306" s="86"/>
      <c r="CS1306" s="86"/>
      <c r="CT1306" s="86"/>
      <c r="CU1306" s="86"/>
      <c r="CV1306" s="86"/>
      <c r="CW1306" s="86"/>
    </row>
    <row r="1307" customFormat="false" ht="12.75" hidden="false" customHeight="false" outlineLevel="0" collapsed="false">
      <c r="F1307" s="86"/>
      <c r="G1307" s="86"/>
      <c r="H1307" s="86"/>
      <c r="I1307" s="86"/>
      <c r="J1307" s="86"/>
      <c r="K1307" s="86"/>
      <c r="L1307" s="86"/>
      <c r="N1307" s="86"/>
      <c r="CQ1307" s="86"/>
      <c r="CR1307" s="86"/>
      <c r="CS1307" s="86"/>
      <c r="CT1307" s="86"/>
      <c r="CU1307" s="86"/>
      <c r="CV1307" s="86"/>
      <c r="CW1307" s="86"/>
    </row>
    <row r="1308" customFormat="false" ht="12.75" hidden="false" customHeight="false" outlineLevel="0" collapsed="false">
      <c r="F1308" s="86"/>
      <c r="G1308" s="86"/>
      <c r="H1308" s="86"/>
      <c r="I1308" s="86"/>
      <c r="J1308" s="86"/>
      <c r="K1308" s="86"/>
      <c r="L1308" s="86"/>
      <c r="N1308" s="86"/>
      <c r="CQ1308" s="86"/>
      <c r="CR1308" s="86"/>
      <c r="CS1308" s="86"/>
      <c r="CT1308" s="86"/>
      <c r="CU1308" s="86"/>
      <c r="CV1308" s="86"/>
      <c r="CW1308" s="86"/>
    </row>
    <row r="1309" customFormat="false" ht="12.75" hidden="false" customHeight="false" outlineLevel="0" collapsed="false">
      <c r="F1309" s="86"/>
      <c r="G1309" s="86"/>
      <c r="H1309" s="86"/>
      <c r="I1309" s="86"/>
      <c r="J1309" s="86"/>
      <c r="K1309" s="86"/>
      <c r="L1309" s="86"/>
      <c r="N1309" s="86"/>
      <c r="CQ1309" s="86"/>
      <c r="CR1309" s="86"/>
      <c r="CS1309" s="86"/>
      <c r="CT1309" s="86"/>
      <c r="CU1309" s="86"/>
      <c r="CV1309" s="86"/>
      <c r="CW1309" s="86"/>
    </row>
    <row r="1310" customFormat="false" ht="12.75" hidden="false" customHeight="false" outlineLevel="0" collapsed="false">
      <c r="F1310" s="86"/>
      <c r="G1310" s="86"/>
      <c r="H1310" s="86"/>
      <c r="I1310" s="86"/>
      <c r="J1310" s="86"/>
      <c r="K1310" s="86"/>
      <c r="L1310" s="86"/>
      <c r="N1310" s="86"/>
      <c r="CQ1310" s="86"/>
      <c r="CR1310" s="86"/>
      <c r="CS1310" s="86"/>
      <c r="CT1310" s="86"/>
      <c r="CU1310" s="86"/>
      <c r="CV1310" s="86"/>
      <c r="CW1310" s="86"/>
    </row>
    <row r="1311" customFormat="false" ht="12.75" hidden="false" customHeight="false" outlineLevel="0" collapsed="false">
      <c r="F1311" s="86"/>
      <c r="G1311" s="86"/>
      <c r="H1311" s="86"/>
      <c r="I1311" s="86"/>
      <c r="J1311" s="86"/>
      <c r="K1311" s="86"/>
      <c r="L1311" s="86"/>
      <c r="N1311" s="86"/>
      <c r="CQ1311" s="86"/>
      <c r="CR1311" s="86"/>
      <c r="CS1311" s="86"/>
      <c r="CT1311" s="86"/>
      <c r="CU1311" s="86"/>
      <c r="CV1311" s="86"/>
      <c r="CW1311" s="86"/>
    </row>
    <row r="1312" customFormat="false" ht="12.75" hidden="false" customHeight="false" outlineLevel="0" collapsed="false">
      <c r="F1312" s="86"/>
      <c r="G1312" s="86"/>
      <c r="H1312" s="86"/>
      <c r="I1312" s="86"/>
      <c r="J1312" s="86"/>
      <c r="K1312" s="86"/>
      <c r="L1312" s="86"/>
      <c r="N1312" s="86"/>
      <c r="CQ1312" s="86"/>
      <c r="CR1312" s="86"/>
      <c r="CS1312" s="86"/>
      <c r="CT1312" s="86"/>
      <c r="CU1312" s="86"/>
      <c r="CV1312" s="86"/>
      <c r="CW1312" s="86"/>
    </row>
    <row r="1313" customFormat="false" ht="12.75" hidden="false" customHeight="false" outlineLevel="0" collapsed="false">
      <c r="F1313" s="86"/>
      <c r="G1313" s="86"/>
      <c r="H1313" s="86"/>
      <c r="I1313" s="86"/>
      <c r="J1313" s="86"/>
      <c r="K1313" s="86"/>
      <c r="L1313" s="86"/>
      <c r="N1313" s="86"/>
      <c r="CQ1313" s="86"/>
      <c r="CR1313" s="86"/>
      <c r="CS1313" s="86"/>
      <c r="CT1313" s="86"/>
      <c r="CU1313" s="86"/>
      <c r="CV1313" s="86"/>
      <c r="CW1313" s="86"/>
    </row>
    <row r="1314" customFormat="false" ht="12.75" hidden="false" customHeight="false" outlineLevel="0" collapsed="false">
      <c r="F1314" s="86"/>
      <c r="G1314" s="86"/>
      <c r="H1314" s="86"/>
      <c r="I1314" s="86"/>
      <c r="J1314" s="86"/>
      <c r="K1314" s="86"/>
      <c r="L1314" s="86"/>
      <c r="N1314" s="86"/>
      <c r="CQ1314" s="86"/>
      <c r="CR1314" s="86"/>
      <c r="CS1314" s="86"/>
      <c r="CT1314" s="86"/>
      <c r="CU1314" s="86"/>
      <c r="CV1314" s="86"/>
      <c r="CW1314" s="86"/>
    </row>
    <row r="1315" customFormat="false" ht="12.75" hidden="false" customHeight="false" outlineLevel="0" collapsed="false">
      <c r="F1315" s="86"/>
      <c r="G1315" s="86"/>
      <c r="H1315" s="86"/>
      <c r="I1315" s="86"/>
      <c r="J1315" s="86"/>
      <c r="K1315" s="86"/>
      <c r="L1315" s="86"/>
      <c r="N1315" s="86"/>
      <c r="CQ1315" s="86"/>
      <c r="CR1315" s="86"/>
      <c r="CS1315" s="86"/>
      <c r="CT1315" s="86"/>
      <c r="CU1315" s="86"/>
      <c r="CV1315" s="86"/>
      <c r="CW1315" s="86"/>
    </row>
    <row r="1316" customFormat="false" ht="12.75" hidden="false" customHeight="false" outlineLevel="0" collapsed="false">
      <c r="F1316" s="86"/>
      <c r="G1316" s="86"/>
      <c r="H1316" s="86"/>
      <c r="I1316" s="86"/>
      <c r="J1316" s="86"/>
      <c r="K1316" s="86"/>
      <c r="L1316" s="86"/>
      <c r="N1316" s="86"/>
      <c r="CQ1316" s="86"/>
      <c r="CR1316" s="86"/>
      <c r="CS1316" s="86"/>
      <c r="CT1316" s="86"/>
      <c r="CU1316" s="86"/>
      <c r="CV1316" s="86"/>
      <c r="CW1316" s="86"/>
    </row>
    <row r="1317" customFormat="false" ht="12.75" hidden="false" customHeight="false" outlineLevel="0" collapsed="false">
      <c r="F1317" s="86"/>
      <c r="G1317" s="86"/>
      <c r="H1317" s="86"/>
      <c r="I1317" s="86"/>
      <c r="J1317" s="86"/>
      <c r="K1317" s="86"/>
      <c r="L1317" s="86"/>
      <c r="N1317" s="86"/>
      <c r="CQ1317" s="86"/>
      <c r="CR1317" s="86"/>
      <c r="CS1317" s="86"/>
      <c r="CT1317" s="86"/>
      <c r="CU1317" s="86"/>
      <c r="CV1317" s="86"/>
      <c r="CW1317" s="86"/>
    </row>
    <row r="1318" customFormat="false" ht="12.75" hidden="false" customHeight="false" outlineLevel="0" collapsed="false">
      <c r="F1318" s="86"/>
      <c r="G1318" s="86"/>
      <c r="H1318" s="86"/>
      <c r="I1318" s="86"/>
      <c r="J1318" s="86"/>
      <c r="K1318" s="86"/>
      <c r="L1318" s="86"/>
      <c r="N1318" s="86"/>
      <c r="CQ1318" s="86"/>
      <c r="CR1318" s="86"/>
      <c r="CS1318" s="86"/>
      <c r="CT1318" s="86"/>
      <c r="CU1318" s="86"/>
      <c r="CV1318" s="86"/>
      <c r="CW1318" s="86"/>
    </row>
    <row r="1319" customFormat="false" ht="12.75" hidden="false" customHeight="false" outlineLevel="0" collapsed="false">
      <c r="F1319" s="86"/>
      <c r="G1319" s="86"/>
      <c r="H1319" s="86"/>
      <c r="I1319" s="86"/>
      <c r="J1319" s="86"/>
      <c r="K1319" s="86"/>
      <c r="L1319" s="86"/>
      <c r="N1319" s="86"/>
      <c r="CQ1319" s="86"/>
      <c r="CR1319" s="86"/>
      <c r="CS1319" s="86"/>
      <c r="CT1319" s="86"/>
      <c r="CU1319" s="86"/>
      <c r="CV1319" s="86"/>
      <c r="CW1319" s="86"/>
    </row>
    <row r="1320" customFormat="false" ht="12.75" hidden="false" customHeight="false" outlineLevel="0" collapsed="false">
      <c r="F1320" s="86"/>
      <c r="G1320" s="86"/>
      <c r="H1320" s="86"/>
      <c r="I1320" s="86"/>
      <c r="J1320" s="86"/>
      <c r="K1320" s="86"/>
      <c r="L1320" s="86"/>
      <c r="N1320" s="86"/>
      <c r="CQ1320" s="86"/>
      <c r="CR1320" s="86"/>
      <c r="CS1320" s="86"/>
      <c r="CT1320" s="86"/>
      <c r="CU1320" s="86"/>
      <c r="CV1320" s="86"/>
      <c r="CW1320" s="86"/>
    </row>
    <row r="1321" customFormat="false" ht="12.75" hidden="false" customHeight="false" outlineLevel="0" collapsed="false">
      <c r="F1321" s="86"/>
      <c r="G1321" s="86"/>
      <c r="H1321" s="86"/>
      <c r="I1321" s="86"/>
      <c r="J1321" s="86"/>
      <c r="K1321" s="86"/>
      <c r="L1321" s="86"/>
      <c r="N1321" s="86"/>
      <c r="CQ1321" s="86"/>
      <c r="CR1321" s="86"/>
      <c r="CS1321" s="86"/>
      <c r="CT1321" s="86"/>
      <c r="CU1321" s="86"/>
      <c r="CV1321" s="86"/>
      <c r="CW1321" s="86"/>
    </row>
    <row r="1322" customFormat="false" ht="12.75" hidden="false" customHeight="false" outlineLevel="0" collapsed="false">
      <c r="F1322" s="86"/>
      <c r="G1322" s="86"/>
      <c r="H1322" s="86"/>
      <c r="I1322" s="86"/>
      <c r="J1322" s="86"/>
      <c r="K1322" s="86"/>
      <c r="L1322" s="86"/>
      <c r="N1322" s="86"/>
      <c r="CQ1322" s="86"/>
      <c r="CR1322" s="86"/>
      <c r="CS1322" s="86"/>
      <c r="CT1322" s="86"/>
      <c r="CU1322" s="86"/>
      <c r="CV1322" s="86"/>
      <c r="CW1322" s="86"/>
    </row>
    <row r="1323" customFormat="false" ht="12.75" hidden="false" customHeight="false" outlineLevel="0" collapsed="false">
      <c r="F1323" s="86"/>
      <c r="G1323" s="86"/>
      <c r="H1323" s="86"/>
      <c r="I1323" s="86"/>
      <c r="J1323" s="86"/>
      <c r="K1323" s="86"/>
      <c r="L1323" s="86"/>
      <c r="N1323" s="86"/>
      <c r="CQ1323" s="86"/>
      <c r="CR1323" s="86"/>
      <c r="CS1323" s="86"/>
      <c r="CT1323" s="86"/>
      <c r="CU1323" s="86"/>
      <c r="CV1323" s="86"/>
      <c r="CW1323" s="86"/>
    </row>
    <row r="1324" customFormat="false" ht="12.75" hidden="false" customHeight="false" outlineLevel="0" collapsed="false">
      <c r="F1324" s="86"/>
      <c r="G1324" s="86"/>
      <c r="H1324" s="86"/>
      <c r="I1324" s="86"/>
      <c r="J1324" s="86"/>
      <c r="K1324" s="86"/>
      <c r="L1324" s="86"/>
      <c r="N1324" s="86"/>
      <c r="CQ1324" s="86"/>
      <c r="CR1324" s="86"/>
      <c r="CS1324" s="86"/>
      <c r="CT1324" s="86"/>
      <c r="CU1324" s="86"/>
      <c r="CV1324" s="86"/>
      <c r="CW1324" s="86"/>
    </row>
    <row r="1325" customFormat="false" ht="12.75" hidden="false" customHeight="false" outlineLevel="0" collapsed="false">
      <c r="F1325" s="86"/>
      <c r="G1325" s="86"/>
      <c r="H1325" s="86"/>
      <c r="I1325" s="86"/>
      <c r="J1325" s="86"/>
      <c r="K1325" s="86"/>
      <c r="L1325" s="86"/>
      <c r="N1325" s="86"/>
      <c r="CQ1325" s="86"/>
      <c r="CR1325" s="86"/>
      <c r="CS1325" s="86"/>
      <c r="CT1325" s="86"/>
      <c r="CU1325" s="86"/>
      <c r="CV1325" s="86"/>
      <c r="CW1325" s="86"/>
    </row>
    <row r="1326" customFormat="false" ht="12.75" hidden="false" customHeight="false" outlineLevel="0" collapsed="false">
      <c r="F1326" s="86"/>
      <c r="G1326" s="86"/>
      <c r="H1326" s="86"/>
      <c r="I1326" s="86"/>
      <c r="J1326" s="86"/>
      <c r="K1326" s="86"/>
      <c r="L1326" s="86"/>
      <c r="N1326" s="86"/>
      <c r="CQ1326" s="86"/>
      <c r="CR1326" s="86"/>
      <c r="CS1326" s="86"/>
      <c r="CT1326" s="86"/>
      <c r="CU1326" s="86"/>
      <c r="CV1326" s="86"/>
      <c r="CW1326" s="86"/>
    </row>
    <row r="1327" customFormat="false" ht="12.75" hidden="false" customHeight="false" outlineLevel="0" collapsed="false">
      <c r="F1327" s="86"/>
      <c r="G1327" s="86"/>
      <c r="H1327" s="86"/>
      <c r="I1327" s="86"/>
      <c r="J1327" s="86"/>
      <c r="K1327" s="86"/>
      <c r="L1327" s="86"/>
      <c r="N1327" s="86"/>
      <c r="CQ1327" s="86"/>
      <c r="CR1327" s="86"/>
      <c r="CS1327" s="86"/>
      <c r="CT1327" s="86"/>
      <c r="CU1327" s="86"/>
      <c r="CV1327" s="86"/>
      <c r="CW1327" s="86"/>
    </row>
    <row r="1328" customFormat="false" ht="12.75" hidden="false" customHeight="false" outlineLevel="0" collapsed="false">
      <c r="F1328" s="86"/>
      <c r="G1328" s="86"/>
      <c r="H1328" s="86"/>
      <c r="I1328" s="86"/>
      <c r="J1328" s="86"/>
      <c r="K1328" s="86"/>
      <c r="L1328" s="86"/>
      <c r="N1328" s="86"/>
      <c r="CQ1328" s="86"/>
      <c r="CR1328" s="86"/>
      <c r="CS1328" s="86"/>
      <c r="CT1328" s="86"/>
      <c r="CU1328" s="86"/>
      <c r="CV1328" s="86"/>
      <c r="CW1328" s="86"/>
    </row>
    <row r="1329" customFormat="false" ht="12.75" hidden="false" customHeight="false" outlineLevel="0" collapsed="false">
      <c r="F1329" s="86"/>
      <c r="G1329" s="86"/>
      <c r="H1329" s="86"/>
      <c r="I1329" s="86"/>
      <c r="J1329" s="86"/>
      <c r="K1329" s="86"/>
      <c r="L1329" s="86"/>
      <c r="N1329" s="86"/>
      <c r="CQ1329" s="86"/>
      <c r="CR1329" s="86"/>
      <c r="CS1329" s="86"/>
      <c r="CT1329" s="86"/>
      <c r="CU1329" s="86"/>
      <c r="CV1329" s="86"/>
      <c r="CW1329" s="86"/>
    </row>
    <row r="1330" customFormat="false" ht="12.75" hidden="false" customHeight="false" outlineLevel="0" collapsed="false">
      <c r="F1330" s="86"/>
      <c r="G1330" s="86"/>
      <c r="H1330" s="86"/>
      <c r="I1330" s="86"/>
      <c r="J1330" s="86"/>
      <c r="K1330" s="86"/>
      <c r="L1330" s="86"/>
      <c r="N1330" s="86"/>
      <c r="CQ1330" s="86"/>
      <c r="CR1330" s="86"/>
      <c r="CS1330" s="86"/>
      <c r="CT1330" s="86"/>
      <c r="CU1330" s="86"/>
      <c r="CV1330" s="86"/>
      <c r="CW1330" s="86"/>
    </row>
    <row r="1331" customFormat="false" ht="12.75" hidden="false" customHeight="false" outlineLevel="0" collapsed="false">
      <c r="F1331" s="86"/>
      <c r="G1331" s="86"/>
      <c r="H1331" s="86"/>
      <c r="I1331" s="86"/>
      <c r="J1331" s="86"/>
      <c r="K1331" s="86"/>
      <c r="L1331" s="86"/>
      <c r="N1331" s="86"/>
      <c r="CQ1331" s="86"/>
      <c r="CR1331" s="86"/>
      <c r="CS1331" s="86"/>
      <c r="CT1331" s="86"/>
      <c r="CU1331" s="86"/>
      <c r="CV1331" s="86"/>
      <c r="CW1331" s="86"/>
    </row>
    <row r="1332" customFormat="false" ht="12.75" hidden="false" customHeight="false" outlineLevel="0" collapsed="false">
      <c r="F1332" s="86"/>
      <c r="G1332" s="86"/>
      <c r="H1332" s="86"/>
      <c r="I1332" s="86"/>
      <c r="J1332" s="86"/>
      <c r="K1332" s="86"/>
      <c r="L1332" s="86"/>
      <c r="N1332" s="86"/>
      <c r="CQ1332" s="86"/>
      <c r="CR1332" s="86"/>
      <c r="CS1332" s="86"/>
      <c r="CT1332" s="86"/>
      <c r="CU1332" s="86"/>
      <c r="CV1332" s="86"/>
      <c r="CW1332" s="86"/>
    </row>
    <row r="1333" customFormat="false" ht="12.75" hidden="false" customHeight="false" outlineLevel="0" collapsed="false">
      <c r="F1333" s="86"/>
      <c r="G1333" s="86"/>
      <c r="H1333" s="86"/>
      <c r="I1333" s="86"/>
      <c r="J1333" s="86"/>
      <c r="K1333" s="86"/>
      <c r="L1333" s="86"/>
      <c r="N1333" s="86"/>
      <c r="CQ1333" s="86"/>
      <c r="CR1333" s="86"/>
      <c r="CS1333" s="86"/>
      <c r="CT1333" s="86"/>
      <c r="CU1333" s="86"/>
      <c r="CV1333" s="86"/>
      <c r="CW1333" s="86"/>
    </row>
    <row r="1334" customFormat="false" ht="12.75" hidden="false" customHeight="false" outlineLevel="0" collapsed="false">
      <c r="F1334" s="86"/>
      <c r="G1334" s="86"/>
      <c r="H1334" s="86"/>
      <c r="I1334" s="86"/>
      <c r="J1334" s="86"/>
      <c r="K1334" s="86"/>
      <c r="L1334" s="86"/>
      <c r="N1334" s="86"/>
      <c r="CQ1334" s="86"/>
      <c r="CR1334" s="86"/>
      <c r="CS1334" s="86"/>
      <c r="CT1334" s="86"/>
      <c r="CU1334" s="86"/>
      <c r="CV1334" s="86"/>
      <c r="CW1334" s="86"/>
    </row>
    <row r="1335" customFormat="false" ht="12.75" hidden="false" customHeight="false" outlineLevel="0" collapsed="false">
      <c r="F1335" s="86"/>
      <c r="G1335" s="86"/>
      <c r="H1335" s="86"/>
      <c r="I1335" s="86"/>
      <c r="J1335" s="86"/>
      <c r="K1335" s="86"/>
      <c r="L1335" s="86"/>
      <c r="N1335" s="86"/>
      <c r="CQ1335" s="86"/>
      <c r="CR1335" s="86"/>
      <c r="CS1335" s="86"/>
      <c r="CT1335" s="86"/>
      <c r="CU1335" s="86"/>
      <c r="CV1335" s="86"/>
      <c r="CW1335" s="86"/>
    </row>
    <row r="1336" customFormat="false" ht="12.75" hidden="false" customHeight="false" outlineLevel="0" collapsed="false">
      <c r="F1336" s="86"/>
      <c r="G1336" s="86"/>
      <c r="H1336" s="86"/>
      <c r="I1336" s="86"/>
      <c r="J1336" s="86"/>
      <c r="K1336" s="86"/>
      <c r="L1336" s="86"/>
      <c r="N1336" s="86"/>
      <c r="CQ1336" s="86"/>
      <c r="CR1336" s="86"/>
      <c r="CS1336" s="86"/>
      <c r="CT1336" s="86"/>
      <c r="CU1336" s="86"/>
      <c r="CV1336" s="86"/>
      <c r="CW1336" s="86"/>
    </row>
    <row r="1337" customFormat="false" ht="12.75" hidden="false" customHeight="false" outlineLevel="0" collapsed="false">
      <c r="F1337" s="86"/>
      <c r="G1337" s="86"/>
      <c r="H1337" s="86"/>
      <c r="I1337" s="86"/>
      <c r="J1337" s="86"/>
      <c r="K1337" s="86"/>
      <c r="L1337" s="86"/>
      <c r="N1337" s="86"/>
      <c r="CQ1337" s="86"/>
      <c r="CR1337" s="86"/>
      <c r="CS1337" s="86"/>
      <c r="CT1337" s="86"/>
      <c r="CU1337" s="86"/>
      <c r="CV1337" s="86"/>
      <c r="CW1337" s="86"/>
    </row>
    <row r="1338" customFormat="false" ht="12.75" hidden="false" customHeight="false" outlineLevel="0" collapsed="false">
      <c r="F1338" s="86"/>
      <c r="G1338" s="86"/>
      <c r="H1338" s="86"/>
      <c r="I1338" s="86"/>
      <c r="J1338" s="86"/>
      <c r="K1338" s="86"/>
      <c r="L1338" s="86"/>
      <c r="N1338" s="86"/>
      <c r="CQ1338" s="86"/>
      <c r="CR1338" s="86"/>
      <c r="CS1338" s="86"/>
      <c r="CT1338" s="86"/>
      <c r="CU1338" s="86"/>
      <c r="CV1338" s="86"/>
      <c r="CW1338" s="86"/>
    </row>
    <row r="1339" customFormat="false" ht="12.75" hidden="false" customHeight="false" outlineLevel="0" collapsed="false">
      <c r="F1339" s="86"/>
      <c r="G1339" s="86"/>
      <c r="H1339" s="86"/>
      <c r="I1339" s="86"/>
      <c r="J1339" s="86"/>
      <c r="K1339" s="86"/>
      <c r="L1339" s="86"/>
      <c r="N1339" s="86"/>
      <c r="CQ1339" s="86"/>
      <c r="CR1339" s="86"/>
      <c r="CS1339" s="86"/>
      <c r="CT1339" s="86"/>
      <c r="CU1339" s="86"/>
      <c r="CV1339" s="86"/>
      <c r="CW1339" s="86"/>
    </row>
    <row r="1340" customFormat="false" ht="12.75" hidden="false" customHeight="false" outlineLevel="0" collapsed="false">
      <c r="F1340" s="86"/>
      <c r="G1340" s="86"/>
      <c r="H1340" s="86"/>
      <c r="I1340" s="86"/>
      <c r="J1340" s="86"/>
      <c r="K1340" s="86"/>
      <c r="L1340" s="86"/>
      <c r="N1340" s="86"/>
      <c r="CQ1340" s="86"/>
      <c r="CR1340" s="86"/>
      <c r="CS1340" s="86"/>
      <c r="CT1340" s="86"/>
      <c r="CU1340" s="86"/>
      <c r="CV1340" s="86"/>
      <c r="CW1340" s="86"/>
    </row>
    <row r="1341" customFormat="false" ht="12.75" hidden="false" customHeight="false" outlineLevel="0" collapsed="false">
      <c r="F1341" s="86"/>
      <c r="G1341" s="86"/>
      <c r="H1341" s="86"/>
      <c r="I1341" s="86"/>
      <c r="J1341" s="86"/>
      <c r="K1341" s="86"/>
      <c r="L1341" s="86"/>
      <c r="N1341" s="86"/>
      <c r="CQ1341" s="86"/>
      <c r="CR1341" s="86"/>
      <c r="CS1341" s="86"/>
      <c r="CT1341" s="86"/>
      <c r="CU1341" s="86"/>
      <c r="CV1341" s="86"/>
      <c r="CW1341" s="86"/>
    </row>
    <row r="1342" customFormat="false" ht="12.75" hidden="false" customHeight="false" outlineLevel="0" collapsed="false">
      <c r="F1342" s="86"/>
      <c r="G1342" s="86"/>
      <c r="H1342" s="86"/>
      <c r="I1342" s="86"/>
      <c r="J1342" s="86"/>
      <c r="K1342" s="86"/>
      <c r="L1342" s="86"/>
      <c r="N1342" s="86"/>
      <c r="CQ1342" s="86"/>
      <c r="CR1342" s="86"/>
      <c r="CS1342" s="86"/>
      <c r="CT1342" s="86"/>
      <c r="CU1342" s="86"/>
      <c r="CV1342" s="86"/>
      <c r="CW1342" s="86"/>
    </row>
    <row r="1343" customFormat="false" ht="12.75" hidden="false" customHeight="false" outlineLevel="0" collapsed="false">
      <c r="F1343" s="86"/>
      <c r="G1343" s="86"/>
      <c r="H1343" s="86"/>
      <c r="I1343" s="86"/>
      <c r="J1343" s="86"/>
      <c r="K1343" s="86"/>
      <c r="L1343" s="86"/>
      <c r="N1343" s="86"/>
      <c r="CQ1343" s="86"/>
      <c r="CR1343" s="86"/>
      <c r="CS1343" s="86"/>
      <c r="CT1343" s="86"/>
      <c r="CU1343" s="86"/>
      <c r="CV1343" s="86"/>
      <c r="CW1343" s="86"/>
    </row>
    <row r="1344" customFormat="false" ht="12.75" hidden="false" customHeight="false" outlineLevel="0" collapsed="false">
      <c r="F1344" s="86"/>
      <c r="G1344" s="86"/>
      <c r="H1344" s="86"/>
      <c r="I1344" s="86"/>
      <c r="J1344" s="86"/>
      <c r="K1344" s="86"/>
      <c r="L1344" s="86"/>
      <c r="N1344" s="86"/>
      <c r="CQ1344" s="86"/>
      <c r="CR1344" s="86"/>
      <c r="CS1344" s="86"/>
      <c r="CT1344" s="86"/>
      <c r="CU1344" s="86"/>
      <c r="CV1344" s="86"/>
      <c r="CW1344" s="86"/>
    </row>
    <row r="1345" customFormat="false" ht="12.75" hidden="false" customHeight="false" outlineLevel="0" collapsed="false">
      <c r="F1345" s="86"/>
      <c r="G1345" s="86"/>
      <c r="H1345" s="86"/>
      <c r="I1345" s="86"/>
      <c r="J1345" s="86"/>
      <c r="K1345" s="86"/>
      <c r="L1345" s="86"/>
      <c r="N1345" s="86"/>
      <c r="CQ1345" s="86"/>
      <c r="CR1345" s="86"/>
      <c r="CS1345" s="86"/>
      <c r="CT1345" s="86"/>
      <c r="CU1345" s="86"/>
      <c r="CV1345" s="86"/>
      <c r="CW1345" s="86"/>
    </row>
    <row r="1346" customFormat="false" ht="12.75" hidden="false" customHeight="false" outlineLevel="0" collapsed="false">
      <c r="F1346" s="86"/>
      <c r="G1346" s="86"/>
      <c r="H1346" s="86"/>
      <c r="I1346" s="86"/>
      <c r="J1346" s="86"/>
      <c r="K1346" s="86"/>
      <c r="L1346" s="86"/>
      <c r="N1346" s="86"/>
      <c r="CQ1346" s="86"/>
      <c r="CR1346" s="86"/>
      <c r="CS1346" s="86"/>
      <c r="CT1346" s="86"/>
      <c r="CU1346" s="86"/>
      <c r="CV1346" s="86"/>
      <c r="CW1346" s="86"/>
    </row>
    <row r="1347" customFormat="false" ht="12.75" hidden="false" customHeight="false" outlineLevel="0" collapsed="false">
      <c r="F1347" s="86"/>
      <c r="G1347" s="86"/>
      <c r="H1347" s="86"/>
      <c r="I1347" s="86"/>
      <c r="J1347" s="86"/>
      <c r="K1347" s="86"/>
      <c r="L1347" s="86"/>
      <c r="N1347" s="86"/>
      <c r="CQ1347" s="86"/>
      <c r="CR1347" s="86"/>
      <c r="CS1347" s="86"/>
      <c r="CT1347" s="86"/>
      <c r="CU1347" s="86"/>
      <c r="CV1347" s="86"/>
      <c r="CW1347" s="86"/>
    </row>
    <row r="1348" customFormat="false" ht="12.75" hidden="false" customHeight="false" outlineLevel="0" collapsed="false">
      <c r="F1348" s="86"/>
      <c r="G1348" s="86"/>
      <c r="H1348" s="86"/>
      <c r="I1348" s="86"/>
      <c r="J1348" s="86"/>
      <c r="K1348" s="86"/>
      <c r="L1348" s="86"/>
      <c r="N1348" s="86"/>
      <c r="CQ1348" s="86"/>
      <c r="CR1348" s="86"/>
      <c r="CS1348" s="86"/>
      <c r="CT1348" s="86"/>
      <c r="CU1348" s="86"/>
      <c r="CV1348" s="86"/>
      <c r="CW1348" s="86"/>
    </row>
    <row r="1349" customFormat="false" ht="12.75" hidden="false" customHeight="false" outlineLevel="0" collapsed="false">
      <c r="F1349" s="86"/>
      <c r="G1349" s="86"/>
      <c r="H1349" s="86"/>
      <c r="I1349" s="86"/>
      <c r="J1349" s="86"/>
      <c r="K1349" s="86"/>
      <c r="L1349" s="86"/>
      <c r="N1349" s="86"/>
      <c r="CQ1349" s="86"/>
      <c r="CR1349" s="86"/>
      <c r="CS1349" s="86"/>
      <c r="CT1349" s="86"/>
      <c r="CU1349" s="86"/>
      <c r="CV1349" s="86"/>
      <c r="CW1349" s="86"/>
    </row>
    <row r="1350" customFormat="false" ht="12.75" hidden="false" customHeight="false" outlineLevel="0" collapsed="false">
      <c r="F1350" s="86"/>
      <c r="G1350" s="86"/>
      <c r="H1350" s="86"/>
      <c r="I1350" s="86"/>
      <c r="J1350" s="86"/>
      <c r="K1350" s="86"/>
      <c r="L1350" s="86"/>
      <c r="N1350" s="86"/>
      <c r="CQ1350" s="86"/>
      <c r="CR1350" s="86"/>
      <c r="CS1350" s="86"/>
      <c r="CT1350" s="86"/>
      <c r="CU1350" s="86"/>
      <c r="CV1350" s="86"/>
      <c r="CW1350" s="86"/>
    </row>
    <row r="1351" customFormat="false" ht="12.75" hidden="false" customHeight="false" outlineLevel="0" collapsed="false">
      <c r="F1351" s="86"/>
      <c r="G1351" s="86"/>
      <c r="H1351" s="86"/>
      <c r="I1351" s="86"/>
      <c r="J1351" s="86"/>
      <c r="K1351" s="86"/>
      <c r="L1351" s="86"/>
      <c r="N1351" s="86"/>
      <c r="CQ1351" s="86"/>
      <c r="CR1351" s="86"/>
      <c r="CS1351" s="86"/>
      <c r="CT1351" s="86"/>
      <c r="CU1351" s="86"/>
      <c r="CV1351" s="86"/>
      <c r="CW1351" s="86"/>
    </row>
    <row r="1352" customFormat="false" ht="12.75" hidden="false" customHeight="false" outlineLevel="0" collapsed="false">
      <c r="F1352" s="86"/>
      <c r="G1352" s="86"/>
      <c r="H1352" s="86"/>
      <c r="I1352" s="86"/>
      <c r="J1352" s="86"/>
      <c r="K1352" s="86"/>
      <c r="L1352" s="86"/>
      <c r="N1352" s="86"/>
      <c r="CQ1352" s="86"/>
      <c r="CR1352" s="86"/>
      <c r="CS1352" s="86"/>
      <c r="CT1352" s="86"/>
      <c r="CU1352" s="86"/>
      <c r="CV1352" s="86"/>
      <c r="CW1352" s="86"/>
    </row>
    <row r="1353" customFormat="false" ht="12.75" hidden="false" customHeight="false" outlineLevel="0" collapsed="false">
      <c r="F1353" s="86"/>
      <c r="G1353" s="86"/>
      <c r="H1353" s="86"/>
      <c r="I1353" s="86"/>
      <c r="J1353" s="86"/>
      <c r="K1353" s="86"/>
      <c r="L1353" s="86"/>
      <c r="N1353" s="86"/>
      <c r="CQ1353" s="86"/>
      <c r="CR1353" s="86"/>
      <c r="CS1353" s="86"/>
      <c r="CT1353" s="86"/>
      <c r="CU1353" s="86"/>
      <c r="CV1353" s="86"/>
      <c r="CW1353" s="86"/>
    </row>
    <row r="1354" customFormat="false" ht="12.75" hidden="false" customHeight="false" outlineLevel="0" collapsed="false">
      <c r="F1354" s="86"/>
      <c r="G1354" s="86"/>
      <c r="H1354" s="86"/>
      <c r="I1354" s="86"/>
      <c r="J1354" s="86"/>
      <c r="K1354" s="86"/>
      <c r="L1354" s="86"/>
      <c r="N1354" s="86"/>
      <c r="CQ1354" s="86"/>
      <c r="CR1354" s="86"/>
      <c r="CS1354" s="86"/>
      <c r="CT1354" s="86"/>
      <c r="CU1354" s="86"/>
      <c r="CV1354" s="86"/>
      <c r="CW1354" s="86"/>
    </row>
    <row r="1355" customFormat="false" ht="12.75" hidden="false" customHeight="false" outlineLevel="0" collapsed="false">
      <c r="F1355" s="86"/>
      <c r="G1355" s="86"/>
      <c r="H1355" s="86"/>
      <c r="I1355" s="86"/>
      <c r="J1355" s="86"/>
      <c r="K1355" s="86"/>
      <c r="L1355" s="86"/>
      <c r="N1355" s="86"/>
      <c r="CQ1355" s="86"/>
      <c r="CR1355" s="86"/>
      <c r="CS1355" s="86"/>
      <c r="CT1355" s="86"/>
      <c r="CU1355" s="86"/>
      <c r="CV1355" s="86"/>
      <c r="CW1355" s="86"/>
    </row>
    <row r="1356" customFormat="false" ht="12.75" hidden="false" customHeight="false" outlineLevel="0" collapsed="false">
      <c r="F1356" s="86"/>
      <c r="G1356" s="86"/>
      <c r="H1356" s="86"/>
      <c r="I1356" s="86"/>
      <c r="J1356" s="86"/>
      <c r="K1356" s="86"/>
      <c r="L1356" s="86"/>
      <c r="N1356" s="86"/>
      <c r="CQ1356" s="86"/>
      <c r="CR1356" s="86"/>
      <c r="CS1356" s="86"/>
      <c r="CT1356" s="86"/>
      <c r="CU1356" s="86"/>
      <c r="CV1356" s="86"/>
      <c r="CW1356" s="86"/>
    </row>
    <row r="1357" customFormat="false" ht="12.75" hidden="false" customHeight="false" outlineLevel="0" collapsed="false">
      <c r="F1357" s="86"/>
      <c r="G1357" s="86"/>
      <c r="H1357" s="86"/>
      <c r="I1357" s="86"/>
      <c r="J1357" s="86"/>
      <c r="K1357" s="86"/>
      <c r="L1357" s="86"/>
      <c r="N1357" s="86"/>
      <c r="CQ1357" s="86"/>
      <c r="CR1357" s="86"/>
      <c r="CS1357" s="86"/>
      <c r="CT1357" s="86"/>
      <c r="CU1357" s="86"/>
      <c r="CV1357" s="86"/>
      <c r="CW1357" s="86"/>
    </row>
    <row r="1358" customFormat="false" ht="12.75" hidden="false" customHeight="false" outlineLevel="0" collapsed="false">
      <c r="F1358" s="86"/>
      <c r="G1358" s="86"/>
      <c r="H1358" s="86"/>
      <c r="I1358" s="86"/>
      <c r="J1358" s="86"/>
      <c r="K1358" s="86"/>
      <c r="L1358" s="86"/>
      <c r="N1358" s="86"/>
      <c r="CQ1358" s="86"/>
      <c r="CR1358" s="86"/>
      <c r="CS1358" s="86"/>
      <c r="CT1358" s="86"/>
      <c r="CU1358" s="86"/>
      <c r="CV1358" s="86"/>
      <c r="CW1358" s="86"/>
    </row>
    <row r="1359" customFormat="false" ht="12.75" hidden="false" customHeight="false" outlineLevel="0" collapsed="false">
      <c r="F1359" s="86"/>
      <c r="G1359" s="86"/>
      <c r="H1359" s="86"/>
      <c r="I1359" s="86"/>
      <c r="J1359" s="86"/>
      <c r="K1359" s="86"/>
      <c r="L1359" s="86"/>
      <c r="N1359" s="86"/>
      <c r="CQ1359" s="86"/>
      <c r="CR1359" s="86"/>
      <c r="CS1359" s="86"/>
      <c r="CT1359" s="86"/>
      <c r="CU1359" s="86"/>
      <c r="CV1359" s="86"/>
      <c r="CW1359" s="86"/>
    </row>
    <row r="1360" customFormat="false" ht="12.75" hidden="false" customHeight="false" outlineLevel="0" collapsed="false">
      <c r="F1360" s="86"/>
      <c r="G1360" s="86"/>
      <c r="H1360" s="86"/>
      <c r="I1360" s="86"/>
      <c r="J1360" s="86"/>
      <c r="K1360" s="86"/>
      <c r="L1360" s="86"/>
      <c r="N1360" s="86"/>
      <c r="CQ1360" s="86"/>
      <c r="CR1360" s="86"/>
      <c r="CS1360" s="86"/>
      <c r="CT1360" s="86"/>
      <c r="CU1360" s="86"/>
      <c r="CV1360" s="86"/>
      <c r="CW1360" s="86"/>
    </row>
    <row r="1361" customFormat="false" ht="12.75" hidden="false" customHeight="false" outlineLevel="0" collapsed="false">
      <c r="F1361" s="86"/>
      <c r="G1361" s="86"/>
      <c r="H1361" s="86"/>
      <c r="I1361" s="86"/>
      <c r="J1361" s="86"/>
      <c r="K1361" s="86"/>
      <c r="L1361" s="86"/>
      <c r="N1361" s="86"/>
      <c r="CQ1361" s="86"/>
      <c r="CR1361" s="86"/>
      <c r="CS1361" s="86"/>
      <c r="CT1361" s="86"/>
      <c r="CU1361" s="86"/>
      <c r="CV1361" s="86"/>
      <c r="CW1361" s="86"/>
    </row>
    <row r="1362" customFormat="false" ht="12.75" hidden="false" customHeight="false" outlineLevel="0" collapsed="false">
      <c r="F1362" s="86"/>
      <c r="G1362" s="86"/>
      <c r="H1362" s="86"/>
      <c r="I1362" s="86"/>
      <c r="J1362" s="86"/>
      <c r="K1362" s="86"/>
      <c r="L1362" s="86"/>
      <c r="N1362" s="86"/>
      <c r="CQ1362" s="86"/>
      <c r="CR1362" s="86"/>
      <c r="CS1362" s="86"/>
      <c r="CT1362" s="86"/>
      <c r="CU1362" s="86"/>
      <c r="CV1362" s="86"/>
      <c r="CW1362" s="86"/>
    </row>
    <row r="1363" customFormat="false" ht="12.75" hidden="false" customHeight="false" outlineLevel="0" collapsed="false">
      <c r="F1363" s="86"/>
      <c r="G1363" s="86"/>
      <c r="H1363" s="86"/>
      <c r="I1363" s="86"/>
      <c r="J1363" s="86"/>
      <c r="K1363" s="86"/>
      <c r="L1363" s="86"/>
      <c r="N1363" s="86"/>
      <c r="CQ1363" s="86"/>
      <c r="CR1363" s="86"/>
      <c r="CS1363" s="86"/>
      <c r="CT1363" s="86"/>
      <c r="CU1363" s="86"/>
      <c r="CV1363" s="86"/>
      <c r="CW1363" s="86"/>
    </row>
    <row r="1364" customFormat="false" ht="12.75" hidden="false" customHeight="false" outlineLevel="0" collapsed="false">
      <c r="F1364" s="86"/>
      <c r="G1364" s="86"/>
      <c r="H1364" s="86"/>
      <c r="I1364" s="86"/>
      <c r="J1364" s="86"/>
      <c r="K1364" s="86"/>
      <c r="L1364" s="86"/>
      <c r="N1364" s="86"/>
      <c r="CQ1364" s="86"/>
      <c r="CR1364" s="86"/>
      <c r="CS1364" s="86"/>
      <c r="CT1364" s="86"/>
      <c r="CU1364" s="86"/>
      <c r="CV1364" s="86"/>
      <c r="CW1364" s="86"/>
    </row>
    <row r="1365" customFormat="false" ht="12.75" hidden="false" customHeight="false" outlineLevel="0" collapsed="false">
      <c r="F1365" s="86"/>
      <c r="G1365" s="86"/>
      <c r="H1365" s="86"/>
      <c r="I1365" s="86"/>
      <c r="J1365" s="86"/>
      <c r="K1365" s="86"/>
      <c r="L1365" s="86"/>
      <c r="N1365" s="86"/>
      <c r="CQ1365" s="86"/>
      <c r="CR1365" s="86"/>
      <c r="CS1365" s="86"/>
      <c r="CT1365" s="86"/>
      <c r="CU1365" s="86"/>
      <c r="CV1365" s="86"/>
      <c r="CW1365" s="86"/>
    </row>
    <row r="1366" customFormat="false" ht="12.75" hidden="false" customHeight="false" outlineLevel="0" collapsed="false">
      <c r="F1366" s="86"/>
      <c r="G1366" s="86"/>
      <c r="H1366" s="86"/>
      <c r="I1366" s="86"/>
      <c r="J1366" s="86"/>
      <c r="K1366" s="86"/>
      <c r="L1366" s="86"/>
      <c r="N1366" s="86"/>
      <c r="CQ1366" s="86"/>
      <c r="CR1366" s="86"/>
      <c r="CS1366" s="86"/>
      <c r="CT1366" s="86"/>
      <c r="CU1366" s="86"/>
      <c r="CV1366" s="86"/>
      <c r="CW1366" s="86"/>
    </row>
    <row r="1367" customFormat="false" ht="12.75" hidden="false" customHeight="false" outlineLevel="0" collapsed="false">
      <c r="F1367" s="86"/>
      <c r="G1367" s="86"/>
      <c r="H1367" s="86"/>
      <c r="I1367" s="86"/>
      <c r="J1367" s="86"/>
      <c r="K1367" s="86"/>
      <c r="L1367" s="86"/>
      <c r="N1367" s="86"/>
      <c r="CQ1367" s="86"/>
      <c r="CR1367" s="86"/>
      <c r="CS1367" s="86"/>
      <c r="CT1367" s="86"/>
      <c r="CU1367" s="86"/>
      <c r="CV1367" s="86"/>
      <c r="CW1367" s="86"/>
    </row>
    <row r="1368" customFormat="false" ht="12.75" hidden="false" customHeight="false" outlineLevel="0" collapsed="false">
      <c r="F1368" s="86"/>
      <c r="G1368" s="86"/>
      <c r="H1368" s="86"/>
      <c r="I1368" s="86"/>
      <c r="J1368" s="86"/>
      <c r="K1368" s="86"/>
      <c r="L1368" s="86"/>
      <c r="N1368" s="86"/>
      <c r="CQ1368" s="86"/>
      <c r="CR1368" s="86"/>
      <c r="CS1368" s="86"/>
      <c r="CT1368" s="86"/>
      <c r="CU1368" s="86"/>
      <c r="CV1368" s="86"/>
      <c r="CW1368" s="86"/>
    </row>
    <row r="1369" customFormat="false" ht="12.75" hidden="false" customHeight="false" outlineLevel="0" collapsed="false">
      <c r="F1369" s="86"/>
      <c r="G1369" s="86"/>
      <c r="H1369" s="86"/>
      <c r="I1369" s="86"/>
      <c r="J1369" s="86"/>
      <c r="K1369" s="86"/>
      <c r="L1369" s="86"/>
      <c r="N1369" s="86"/>
      <c r="CQ1369" s="86"/>
      <c r="CR1369" s="86"/>
      <c r="CS1369" s="86"/>
      <c r="CT1369" s="86"/>
      <c r="CU1369" s="86"/>
      <c r="CV1369" s="86"/>
      <c r="CW1369" s="86"/>
    </row>
    <row r="1370" customFormat="false" ht="12.75" hidden="false" customHeight="false" outlineLevel="0" collapsed="false">
      <c r="F1370" s="86"/>
      <c r="G1370" s="86"/>
      <c r="H1370" s="86"/>
      <c r="I1370" s="86"/>
      <c r="J1370" s="86"/>
      <c r="K1370" s="86"/>
      <c r="L1370" s="86"/>
      <c r="N1370" s="86"/>
      <c r="CQ1370" s="86"/>
      <c r="CR1370" s="86"/>
      <c r="CS1370" s="86"/>
      <c r="CT1370" s="86"/>
      <c r="CU1370" s="86"/>
      <c r="CV1370" s="86"/>
      <c r="CW1370" s="86"/>
    </row>
    <row r="1371" customFormat="false" ht="12.75" hidden="false" customHeight="false" outlineLevel="0" collapsed="false">
      <c r="F1371" s="86"/>
      <c r="G1371" s="86"/>
      <c r="H1371" s="86"/>
      <c r="I1371" s="86"/>
      <c r="J1371" s="86"/>
      <c r="K1371" s="86"/>
      <c r="L1371" s="86"/>
      <c r="N1371" s="86"/>
      <c r="CQ1371" s="86"/>
      <c r="CR1371" s="86"/>
      <c r="CS1371" s="86"/>
      <c r="CT1371" s="86"/>
      <c r="CU1371" s="86"/>
      <c r="CV1371" s="86"/>
      <c r="CW1371" s="86"/>
    </row>
    <row r="1372" customFormat="false" ht="12.75" hidden="false" customHeight="false" outlineLevel="0" collapsed="false">
      <c r="F1372" s="86"/>
      <c r="G1372" s="86"/>
      <c r="H1372" s="86"/>
      <c r="I1372" s="86"/>
      <c r="J1372" s="86"/>
      <c r="K1372" s="86"/>
      <c r="L1372" s="86"/>
      <c r="N1372" s="86"/>
      <c r="CQ1372" s="86"/>
      <c r="CR1372" s="86"/>
      <c r="CS1372" s="86"/>
      <c r="CT1372" s="86"/>
      <c r="CU1372" s="86"/>
      <c r="CV1372" s="86"/>
      <c r="CW1372" s="86"/>
    </row>
    <row r="1373" customFormat="false" ht="12.75" hidden="false" customHeight="false" outlineLevel="0" collapsed="false">
      <c r="F1373" s="86"/>
      <c r="G1373" s="86"/>
      <c r="H1373" s="86"/>
      <c r="I1373" s="86"/>
      <c r="J1373" s="86"/>
      <c r="K1373" s="86"/>
      <c r="L1373" s="86"/>
      <c r="N1373" s="86"/>
      <c r="CQ1373" s="86"/>
      <c r="CR1373" s="86"/>
      <c r="CS1373" s="86"/>
      <c r="CT1373" s="86"/>
      <c r="CU1373" s="86"/>
      <c r="CV1373" s="86"/>
      <c r="CW1373" s="86"/>
    </row>
    <row r="1374" customFormat="false" ht="12.75" hidden="false" customHeight="false" outlineLevel="0" collapsed="false">
      <c r="F1374" s="86"/>
      <c r="G1374" s="86"/>
      <c r="H1374" s="86"/>
      <c r="I1374" s="86"/>
      <c r="J1374" s="86"/>
      <c r="K1374" s="86"/>
      <c r="L1374" s="86"/>
      <c r="N1374" s="86"/>
      <c r="CQ1374" s="86"/>
      <c r="CR1374" s="86"/>
      <c r="CS1374" s="86"/>
      <c r="CT1374" s="86"/>
      <c r="CU1374" s="86"/>
      <c r="CV1374" s="86"/>
      <c r="CW1374" s="86"/>
    </row>
    <row r="1375" customFormat="false" ht="12.75" hidden="false" customHeight="false" outlineLevel="0" collapsed="false">
      <c r="F1375" s="86"/>
      <c r="G1375" s="86"/>
      <c r="H1375" s="86"/>
      <c r="I1375" s="86"/>
      <c r="J1375" s="86"/>
      <c r="K1375" s="86"/>
      <c r="L1375" s="86"/>
      <c r="N1375" s="86"/>
      <c r="CQ1375" s="86"/>
      <c r="CR1375" s="86"/>
      <c r="CS1375" s="86"/>
      <c r="CT1375" s="86"/>
      <c r="CU1375" s="86"/>
      <c r="CV1375" s="86"/>
      <c r="CW1375" s="86"/>
    </row>
    <row r="1376" customFormat="false" ht="12.75" hidden="false" customHeight="false" outlineLevel="0" collapsed="false">
      <c r="F1376" s="86"/>
      <c r="G1376" s="86"/>
      <c r="H1376" s="86"/>
      <c r="I1376" s="86"/>
      <c r="J1376" s="86"/>
      <c r="K1376" s="86"/>
      <c r="L1376" s="86"/>
      <c r="N1376" s="86"/>
      <c r="CQ1376" s="86"/>
      <c r="CR1376" s="86"/>
      <c r="CS1376" s="86"/>
      <c r="CT1376" s="86"/>
      <c r="CU1376" s="86"/>
      <c r="CV1376" s="86"/>
      <c r="CW1376" s="86"/>
    </row>
    <row r="1377" customFormat="false" ht="12.75" hidden="false" customHeight="false" outlineLevel="0" collapsed="false">
      <c r="F1377" s="86"/>
      <c r="G1377" s="86"/>
      <c r="H1377" s="86"/>
      <c r="I1377" s="86"/>
      <c r="J1377" s="86"/>
      <c r="K1377" s="86"/>
      <c r="L1377" s="86"/>
      <c r="N1377" s="86"/>
      <c r="CQ1377" s="86"/>
      <c r="CR1377" s="86"/>
      <c r="CS1377" s="86"/>
      <c r="CT1377" s="86"/>
      <c r="CU1377" s="86"/>
      <c r="CV1377" s="86"/>
      <c r="CW1377" s="86"/>
    </row>
    <row r="1378" customFormat="false" ht="12.75" hidden="false" customHeight="false" outlineLevel="0" collapsed="false">
      <c r="F1378" s="86"/>
      <c r="G1378" s="86"/>
      <c r="H1378" s="86"/>
      <c r="I1378" s="86"/>
      <c r="J1378" s="86"/>
      <c r="K1378" s="86"/>
      <c r="L1378" s="86"/>
      <c r="N1378" s="86"/>
      <c r="CQ1378" s="86"/>
      <c r="CR1378" s="86"/>
      <c r="CS1378" s="86"/>
      <c r="CT1378" s="86"/>
      <c r="CU1378" s="86"/>
      <c r="CV1378" s="86"/>
      <c r="CW1378" s="86"/>
    </row>
    <row r="1379" customFormat="false" ht="12.75" hidden="false" customHeight="false" outlineLevel="0" collapsed="false">
      <c r="F1379" s="86"/>
      <c r="G1379" s="86"/>
      <c r="H1379" s="86"/>
      <c r="I1379" s="86"/>
      <c r="J1379" s="86"/>
      <c r="K1379" s="86"/>
      <c r="L1379" s="86"/>
      <c r="N1379" s="86"/>
      <c r="CQ1379" s="86"/>
      <c r="CR1379" s="86"/>
      <c r="CS1379" s="86"/>
      <c r="CT1379" s="86"/>
      <c r="CU1379" s="86"/>
      <c r="CV1379" s="86"/>
      <c r="CW1379" s="86"/>
    </row>
    <row r="1380" customFormat="false" ht="12.75" hidden="false" customHeight="false" outlineLevel="0" collapsed="false">
      <c r="F1380" s="86"/>
      <c r="G1380" s="86"/>
      <c r="H1380" s="86"/>
      <c r="I1380" s="86"/>
      <c r="J1380" s="86"/>
      <c r="K1380" s="86"/>
      <c r="L1380" s="86"/>
      <c r="N1380" s="86"/>
      <c r="CQ1380" s="86"/>
      <c r="CR1380" s="86"/>
      <c r="CS1380" s="86"/>
      <c r="CT1380" s="86"/>
      <c r="CU1380" s="86"/>
      <c r="CV1380" s="86"/>
      <c r="CW1380" s="86"/>
    </row>
    <row r="1381" customFormat="false" ht="12.75" hidden="false" customHeight="false" outlineLevel="0" collapsed="false">
      <c r="F1381" s="86"/>
      <c r="G1381" s="86"/>
      <c r="H1381" s="86"/>
      <c r="I1381" s="86"/>
      <c r="J1381" s="86"/>
      <c r="K1381" s="86"/>
      <c r="L1381" s="86"/>
      <c r="N1381" s="86"/>
      <c r="CQ1381" s="86"/>
      <c r="CR1381" s="86"/>
      <c r="CS1381" s="86"/>
      <c r="CT1381" s="86"/>
      <c r="CU1381" s="86"/>
      <c r="CV1381" s="86"/>
      <c r="CW1381" s="86"/>
    </row>
    <row r="1382" customFormat="false" ht="12.75" hidden="false" customHeight="false" outlineLevel="0" collapsed="false">
      <c r="F1382" s="86"/>
      <c r="G1382" s="86"/>
      <c r="H1382" s="86"/>
      <c r="I1382" s="86"/>
      <c r="J1382" s="86"/>
      <c r="K1382" s="86"/>
      <c r="L1382" s="86"/>
      <c r="N1382" s="86"/>
      <c r="CQ1382" s="86"/>
      <c r="CR1382" s="86"/>
      <c r="CS1382" s="86"/>
      <c r="CT1382" s="86"/>
      <c r="CU1382" s="86"/>
      <c r="CV1382" s="86"/>
      <c r="CW1382" s="86"/>
    </row>
    <row r="1383" customFormat="false" ht="12.75" hidden="false" customHeight="false" outlineLevel="0" collapsed="false">
      <c r="F1383" s="86"/>
      <c r="G1383" s="86"/>
      <c r="H1383" s="86"/>
      <c r="I1383" s="86"/>
      <c r="J1383" s="86"/>
      <c r="K1383" s="86"/>
      <c r="L1383" s="86"/>
      <c r="N1383" s="86"/>
      <c r="CQ1383" s="86"/>
      <c r="CR1383" s="86"/>
      <c r="CS1383" s="86"/>
      <c r="CT1383" s="86"/>
      <c r="CU1383" s="86"/>
      <c r="CV1383" s="86"/>
      <c r="CW1383" s="86"/>
    </row>
    <row r="1384" customFormat="false" ht="12.75" hidden="false" customHeight="false" outlineLevel="0" collapsed="false">
      <c r="F1384" s="86"/>
      <c r="G1384" s="86"/>
      <c r="H1384" s="86"/>
      <c r="I1384" s="86"/>
      <c r="J1384" s="86"/>
      <c r="K1384" s="86"/>
      <c r="L1384" s="86"/>
      <c r="N1384" s="86"/>
      <c r="CQ1384" s="86"/>
      <c r="CR1384" s="86"/>
      <c r="CS1384" s="86"/>
      <c r="CT1384" s="86"/>
      <c r="CU1384" s="86"/>
      <c r="CV1384" s="86"/>
      <c r="CW1384" s="86"/>
    </row>
    <row r="1385" customFormat="false" ht="12.75" hidden="false" customHeight="false" outlineLevel="0" collapsed="false">
      <c r="F1385" s="86"/>
      <c r="G1385" s="86"/>
      <c r="H1385" s="86"/>
      <c r="I1385" s="86"/>
      <c r="J1385" s="86"/>
      <c r="K1385" s="86"/>
      <c r="L1385" s="86"/>
      <c r="N1385" s="86"/>
      <c r="CQ1385" s="86"/>
      <c r="CR1385" s="86"/>
      <c r="CS1385" s="86"/>
      <c r="CT1385" s="86"/>
      <c r="CU1385" s="86"/>
      <c r="CV1385" s="86"/>
      <c r="CW1385" s="86"/>
    </row>
    <row r="1386" customFormat="false" ht="12.75" hidden="false" customHeight="false" outlineLevel="0" collapsed="false">
      <c r="F1386" s="86"/>
      <c r="G1386" s="86"/>
      <c r="H1386" s="86"/>
      <c r="I1386" s="86"/>
      <c r="J1386" s="86"/>
      <c r="K1386" s="86"/>
      <c r="L1386" s="86"/>
      <c r="N1386" s="86"/>
      <c r="CQ1386" s="86"/>
      <c r="CR1386" s="86"/>
      <c r="CS1386" s="86"/>
      <c r="CT1386" s="86"/>
      <c r="CU1386" s="86"/>
      <c r="CV1386" s="86"/>
      <c r="CW1386" s="86"/>
    </row>
    <row r="1387" customFormat="false" ht="12.75" hidden="false" customHeight="false" outlineLevel="0" collapsed="false">
      <c r="F1387" s="86"/>
      <c r="G1387" s="86"/>
      <c r="H1387" s="86"/>
      <c r="I1387" s="86"/>
      <c r="J1387" s="86"/>
      <c r="K1387" s="86"/>
      <c r="L1387" s="86"/>
      <c r="N1387" s="86"/>
      <c r="CQ1387" s="86"/>
      <c r="CR1387" s="86"/>
      <c r="CS1387" s="86"/>
      <c r="CT1387" s="86"/>
      <c r="CU1387" s="86"/>
      <c r="CV1387" s="86"/>
      <c r="CW1387" s="86"/>
    </row>
    <row r="1388" customFormat="false" ht="12.75" hidden="false" customHeight="false" outlineLevel="0" collapsed="false">
      <c r="F1388" s="86"/>
      <c r="G1388" s="86"/>
      <c r="H1388" s="86"/>
      <c r="I1388" s="86"/>
      <c r="J1388" s="86"/>
      <c r="K1388" s="86"/>
      <c r="L1388" s="86"/>
      <c r="N1388" s="86"/>
      <c r="CQ1388" s="86"/>
      <c r="CR1388" s="86"/>
      <c r="CS1388" s="86"/>
      <c r="CT1388" s="86"/>
      <c r="CU1388" s="86"/>
      <c r="CV1388" s="86"/>
      <c r="CW1388" s="86"/>
    </row>
    <row r="1389" customFormat="false" ht="12.75" hidden="false" customHeight="false" outlineLevel="0" collapsed="false">
      <c r="F1389" s="86"/>
      <c r="G1389" s="86"/>
      <c r="H1389" s="86"/>
      <c r="I1389" s="86"/>
      <c r="J1389" s="86"/>
      <c r="K1389" s="86"/>
      <c r="L1389" s="86"/>
      <c r="N1389" s="86"/>
      <c r="CQ1389" s="86"/>
      <c r="CR1389" s="86"/>
      <c r="CS1389" s="86"/>
      <c r="CT1389" s="86"/>
      <c r="CU1389" s="86"/>
      <c r="CV1389" s="86"/>
      <c r="CW1389" s="86"/>
    </row>
    <row r="1390" customFormat="false" ht="12.75" hidden="false" customHeight="false" outlineLevel="0" collapsed="false">
      <c r="F1390" s="86"/>
      <c r="G1390" s="86"/>
      <c r="H1390" s="86"/>
      <c r="I1390" s="86"/>
      <c r="J1390" s="86"/>
      <c r="K1390" s="86"/>
      <c r="L1390" s="86"/>
      <c r="N1390" s="86"/>
      <c r="CQ1390" s="86"/>
      <c r="CR1390" s="86"/>
      <c r="CS1390" s="86"/>
      <c r="CT1390" s="86"/>
      <c r="CU1390" s="86"/>
      <c r="CV1390" s="86"/>
      <c r="CW1390" s="86"/>
    </row>
    <row r="1391" customFormat="false" ht="12.75" hidden="false" customHeight="false" outlineLevel="0" collapsed="false">
      <c r="F1391" s="86"/>
      <c r="G1391" s="86"/>
      <c r="H1391" s="86"/>
      <c r="I1391" s="86"/>
      <c r="J1391" s="86"/>
      <c r="K1391" s="86"/>
      <c r="L1391" s="86"/>
      <c r="N1391" s="86"/>
      <c r="CQ1391" s="86"/>
      <c r="CR1391" s="86"/>
      <c r="CS1391" s="86"/>
      <c r="CT1391" s="86"/>
      <c r="CU1391" s="86"/>
      <c r="CV1391" s="86"/>
      <c r="CW1391" s="86"/>
    </row>
    <row r="1392" customFormat="false" ht="12.75" hidden="false" customHeight="false" outlineLevel="0" collapsed="false">
      <c r="F1392" s="86"/>
      <c r="G1392" s="86"/>
      <c r="H1392" s="86"/>
      <c r="I1392" s="86"/>
      <c r="J1392" s="86"/>
      <c r="K1392" s="86"/>
      <c r="L1392" s="86"/>
      <c r="N1392" s="86"/>
      <c r="CQ1392" s="86"/>
      <c r="CR1392" s="86"/>
      <c r="CS1392" s="86"/>
      <c r="CT1392" s="86"/>
      <c r="CU1392" s="86"/>
      <c r="CV1392" s="86"/>
      <c r="CW1392" s="86"/>
    </row>
    <row r="1393" customFormat="false" ht="12.75" hidden="false" customHeight="false" outlineLevel="0" collapsed="false">
      <c r="F1393" s="86"/>
      <c r="G1393" s="86"/>
      <c r="H1393" s="86"/>
      <c r="I1393" s="86"/>
      <c r="J1393" s="86"/>
      <c r="K1393" s="86"/>
      <c r="L1393" s="86"/>
      <c r="N1393" s="86"/>
      <c r="CQ1393" s="86"/>
      <c r="CR1393" s="86"/>
      <c r="CS1393" s="86"/>
      <c r="CT1393" s="86"/>
      <c r="CU1393" s="86"/>
      <c r="CV1393" s="86"/>
      <c r="CW1393" s="86"/>
    </row>
    <row r="1394" customFormat="false" ht="12.75" hidden="false" customHeight="false" outlineLevel="0" collapsed="false">
      <c r="F1394" s="86"/>
      <c r="G1394" s="86"/>
      <c r="H1394" s="86"/>
      <c r="I1394" s="86"/>
      <c r="J1394" s="86"/>
      <c r="K1394" s="86"/>
      <c r="L1394" s="86"/>
      <c r="N1394" s="86"/>
      <c r="CQ1394" s="86"/>
      <c r="CR1394" s="86"/>
      <c r="CS1394" s="86"/>
      <c r="CT1394" s="86"/>
      <c r="CU1394" s="86"/>
      <c r="CV1394" s="86"/>
      <c r="CW1394" s="86"/>
    </row>
    <row r="1395" customFormat="false" ht="12.75" hidden="false" customHeight="false" outlineLevel="0" collapsed="false">
      <c r="F1395" s="86"/>
      <c r="G1395" s="86"/>
      <c r="H1395" s="86"/>
      <c r="I1395" s="86"/>
      <c r="J1395" s="86"/>
      <c r="K1395" s="86"/>
      <c r="L1395" s="86"/>
      <c r="N1395" s="86"/>
      <c r="CQ1395" s="86"/>
      <c r="CR1395" s="86"/>
      <c r="CS1395" s="86"/>
      <c r="CT1395" s="86"/>
      <c r="CU1395" s="86"/>
      <c r="CV1395" s="86"/>
      <c r="CW1395" s="86"/>
    </row>
    <row r="1396" customFormat="false" ht="12.75" hidden="false" customHeight="false" outlineLevel="0" collapsed="false">
      <c r="F1396" s="86"/>
      <c r="G1396" s="86"/>
      <c r="H1396" s="86"/>
      <c r="I1396" s="86"/>
      <c r="J1396" s="86"/>
      <c r="K1396" s="86"/>
      <c r="L1396" s="86"/>
      <c r="N1396" s="86"/>
      <c r="CQ1396" s="86"/>
      <c r="CR1396" s="86"/>
      <c r="CS1396" s="86"/>
      <c r="CT1396" s="86"/>
      <c r="CU1396" s="86"/>
      <c r="CV1396" s="86"/>
      <c r="CW1396" s="86"/>
    </row>
    <row r="1397" customFormat="false" ht="12.75" hidden="false" customHeight="false" outlineLevel="0" collapsed="false">
      <c r="F1397" s="86"/>
      <c r="G1397" s="86"/>
      <c r="H1397" s="86"/>
      <c r="I1397" s="86"/>
      <c r="J1397" s="86"/>
      <c r="K1397" s="86"/>
      <c r="L1397" s="86"/>
      <c r="N1397" s="86"/>
      <c r="CQ1397" s="86"/>
      <c r="CR1397" s="86"/>
      <c r="CS1397" s="86"/>
      <c r="CT1397" s="86"/>
      <c r="CU1397" s="86"/>
      <c r="CV1397" s="86"/>
      <c r="CW1397" s="86"/>
    </row>
    <row r="1398" customFormat="false" ht="12.75" hidden="false" customHeight="false" outlineLevel="0" collapsed="false">
      <c r="F1398" s="86"/>
      <c r="G1398" s="86"/>
      <c r="H1398" s="86"/>
      <c r="I1398" s="86"/>
      <c r="J1398" s="86"/>
      <c r="K1398" s="86"/>
      <c r="L1398" s="86"/>
      <c r="N1398" s="86"/>
      <c r="CQ1398" s="86"/>
      <c r="CR1398" s="86"/>
      <c r="CS1398" s="86"/>
      <c r="CT1398" s="86"/>
      <c r="CU1398" s="86"/>
      <c r="CV1398" s="86"/>
      <c r="CW1398" s="86"/>
    </row>
    <row r="1399" customFormat="false" ht="12.75" hidden="false" customHeight="false" outlineLevel="0" collapsed="false">
      <c r="F1399" s="86"/>
      <c r="G1399" s="86"/>
      <c r="H1399" s="86"/>
      <c r="I1399" s="86"/>
      <c r="J1399" s="86"/>
      <c r="K1399" s="86"/>
      <c r="L1399" s="86"/>
      <c r="N1399" s="86"/>
      <c r="CQ1399" s="86"/>
      <c r="CR1399" s="86"/>
      <c r="CS1399" s="86"/>
      <c r="CT1399" s="86"/>
      <c r="CU1399" s="86"/>
      <c r="CV1399" s="86"/>
      <c r="CW1399" s="86"/>
    </row>
    <row r="1400" customFormat="false" ht="12.75" hidden="false" customHeight="false" outlineLevel="0" collapsed="false">
      <c r="F1400" s="86"/>
      <c r="G1400" s="86"/>
      <c r="H1400" s="86"/>
      <c r="I1400" s="86"/>
      <c r="J1400" s="86"/>
      <c r="K1400" s="86"/>
      <c r="L1400" s="86"/>
      <c r="N1400" s="86"/>
      <c r="CQ1400" s="86"/>
      <c r="CR1400" s="86"/>
      <c r="CS1400" s="86"/>
      <c r="CT1400" s="86"/>
      <c r="CU1400" s="86"/>
      <c r="CV1400" s="86"/>
      <c r="CW1400" s="86"/>
    </row>
    <row r="1401" customFormat="false" ht="12.75" hidden="false" customHeight="false" outlineLevel="0" collapsed="false">
      <c r="F1401" s="86"/>
      <c r="G1401" s="86"/>
      <c r="H1401" s="86"/>
      <c r="I1401" s="86"/>
      <c r="J1401" s="86"/>
      <c r="K1401" s="86"/>
      <c r="L1401" s="86"/>
      <c r="N1401" s="86"/>
      <c r="CQ1401" s="86"/>
      <c r="CR1401" s="86"/>
      <c r="CS1401" s="86"/>
      <c r="CT1401" s="86"/>
      <c r="CU1401" s="86"/>
      <c r="CV1401" s="86"/>
      <c r="CW1401" s="86"/>
    </row>
    <row r="1402" customFormat="false" ht="12.75" hidden="false" customHeight="false" outlineLevel="0" collapsed="false">
      <c r="F1402" s="86"/>
      <c r="G1402" s="86"/>
      <c r="H1402" s="86"/>
      <c r="I1402" s="86"/>
      <c r="J1402" s="86"/>
      <c r="K1402" s="86"/>
      <c r="L1402" s="86"/>
      <c r="N1402" s="86"/>
      <c r="CQ1402" s="86"/>
      <c r="CR1402" s="86"/>
      <c r="CS1402" s="86"/>
      <c r="CT1402" s="86"/>
      <c r="CU1402" s="86"/>
      <c r="CV1402" s="86"/>
      <c r="CW1402" s="86"/>
    </row>
    <row r="1403" customFormat="false" ht="12.75" hidden="false" customHeight="false" outlineLevel="0" collapsed="false">
      <c r="F1403" s="86"/>
      <c r="G1403" s="86"/>
      <c r="H1403" s="86"/>
      <c r="I1403" s="86"/>
      <c r="J1403" s="86"/>
      <c r="K1403" s="86"/>
      <c r="L1403" s="86"/>
      <c r="N1403" s="86"/>
      <c r="CQ1403" s="86"/>
      <c r="CR1403" s="86"/>
      <c r="CS1403" s="86"/>
      <c r="CT1403" s="86"/>
      <c r="CU1403" s="86"/>
      <c r="CV1403" s="86"/>
      <c r="CW1403" s="86"/>
    </row>
    <row r="1404" customFormat="false" ht="12.75" hidden="false" customHeight="false" outlineLevel="0" collapsed="false">
      <c r="F1404" s="86"/>
      <c r="G1404" s="86"/>
      <c r="H1404" s="86"/>
      <c r="I1404" s="86"/>
      <c r="J1404" s="86"/>
      <c r="K1404" s="86"/>
      <c r="L1404" s="86"/>
      <c r="N1404" s="86"/>
      <c r="CQ1404" s="86"/>
      <c r="CR1404" s="86"/>
      <c r="CS1404" s="86"/>
      <c r="CT1404" s="86"/>
      <c r="CU1404" s="86"/>
      <c r="CV1404" s="86"/>
      <c r="CW1404" s="86"/>
    </row>
    <row r="1405" customFormat="false" ht="12.75" hidden="false" customHeight="false" outlineLevel="0" collapsed="false">
      <c r="F1405" s="86"/>
      <c r="G1405" s="86"/>
      <c r="H1405" s="86"/>
      <c r="I1405" s="86"/>
      <c r="J1405" s="86"/>
      <c r="K1405" s="86"/>
      <c r="L1405" s="86"/>
      <c r="N1405" s="86"/>
      <c r="CQ1405" s="86"/>
      <c r="CR1405" s="86"/>
      <c r="CS1405" s="86"/>
      <c r="CT1405" s="86"/>
      <c r="CU1405" s="86"/>
      <c r="CV1405" s="86"/>
      <c r="CW1405" s="86"/>
    </row>
    <row r="1406" customFormat="false" ht="12.75" hidden="false" customHeight="false" outlineLevel="0" collapsed="false">
      <c r="F1406" s="86"/>
      <c r="G1406" s="86"/>
      <c r="H1406" s="86"/>
      <c r="I1406" s="86"/>
      <c r="J1406" s="86"/>
      <c r="K1406" s="86"/>
      <c r="L1406" s="86"/>
      <c r="N1406" s="86"/>
      <c r="CQ1406" s="86"/>
      <c r="CR1406" s="86"/>
      <c r="CS1406" s="86"/>
      <c r="CT1406" s="86"/>
      <c r="CU1406" s="86"/>
      <c r="CV1406" s="86"/>
      <c r="CW1406" s="86"/>
    </row>
    <row r="1407" customFormat="false" ht="12.75" hidden="false" customHeight="false" outlineLevel="0" collapsed="false">
      <c r="F1407" s="86"/>
      <c r="G1407" s="86"/>
      <c r="H1407" s="86"/>
      <c r="I1407" s="86"/>
      <c r="J1407" s="86"/>
      <c r="K1407" s="86"/>
      <c r="L1407" s="86"/>
      <c r="N1407" s="86"/>
      <c r="CQ1407" s="86"/>
      <c r="CR1407" s="86"/>
      <c r="CS1407" s="86"/>
      <c r="CT1407" s="86"/>
      <c r="CU1407" s="86"/>
      <c r="CV1407" s="86"/>
      <c r="CW1407" s="86"/>
    </row>
    <row r="1408" customFormat="false" ht="12.75" hidden="false" customHeight="false" outlineLevel="0" collapsed="false">
      <c r="F1408" s="86"/>
      <c r="G1408" s="86"/>
      <c r="H1408" s="86"/>
      <c r="I1408" s="86"/>
      <c r="J1408" s="86"/>
      <c r="K1408" s="86"/>
      <c r="L1408" s="86"/>
      <c r="N1408" s="86"/>
      <c r="CQ1408" s="86"/>
      <c r="CR1408" s="86"/>
      <c r="CS1408" s="86"/>
      <c r="CT1408" s="86"/>
      <c r="CU1408" s="86"/>
      <c r="CV1408" s="86"/>
      <c r="CW1408" s="86"/>
    </row>
    <row r="1409" customFormat="false" ht="12.75" hidden="false" customHeight="false" outlineLevel="0" collapsed="false">
      <c r="F1409" s="86"/>
      <c r="G1409" s="86"/>
      <c r="H1409" s="86"/>
      <c r="I1409" s="86"/>
      <c r="J1409" s="86"/>
      <c r="K1409" s="86"/>
      <c r="L1409" s="86"/>
      <c r="N1409" s="86"/>
      <c r="CQ1409" s="86"/>
      <c r="CR1409" s="86"/>
      <c r="CS1409" s="86"/>
      <c r="CT1409" s="86"/>
      <c r="CU1409" s="86"/>
      <c r="CV1409" s="86"/>
      <c r="CW1409" s="86"/>
    </row>
    <row r="1410" customFormat="false" ht="12.75" hidden="false" customHeight="false" outlineLevel="0" collapsed="false">
      <c r="F1410" s="86"/>
      <c r="G1410" s="86"/>
      <c r="H1410" s="86"/>
      <c r="I1410" s="86"/>
      <c r="J1410" s="86"/>
      <c r="K1410" s="86"/>
      <c r="L1410" s="86"/>
      <c r="N1410" s="86"/>
      <c r="CQ1410" s="86"/>
      <c r="CR1410" s="86"/>
      <c r="CS1410" s="86"/>
      <c r="CT1410" s="86"/>
      <c r="CU1410" s="86"/>
      <c r="CV1410" s="86"/>
      <c r="CW1410" s="86"/>
    </row>
    <row r="1411" customFormat="false" ht="12.75" hidden="false" customHeight="false" outlineLevel="0" collapsed="false">
      <c r="F1411" s="86"/>
      <c r="G1411" s="86"/>
      <c r="H1411" s="86"/>
      <c r="I1411" s="86"/>
      <c r="J1411" s="86"/>
      <c r="K1411" s="86"/>
      <c r="L1411" s="86"/>
      <c r="N1411" s="86"/>
      <c r="CQ1411" s="86"/>
      <c r="CR1411" s="86"/>
      <c r="CS1411" s="86"/>
      <c r="CT1411" s="86"/>
      <c r="CU1411" s="86"/>
      <c r="CV1411" s="86"/>
      <c r="CW1411" s="86"/>
    </row>
    <row r="1412" customFormat="false" ht="12.75" hidden="false" customHeight="false" outlineLevel="0" collapsed="false">
      <c r="F1412" s="86"/>
      <c r="G1412" s="86"/>
      <c r="H1412" s="86"/>
      <c r="I1412" s="86"/>
      <c r="J1412" s="86"/>
      <c r="K1412" s="86"/>
      <c r="L1412" s="86"/>
      <c r="N1412" s="86"/>
      <c r="CQ1412" s="86"/>
      <c r="CR1412" s="86"/>
      <c r="CS1412" s="86"/>
      <c r="CT1412" s="86"/>
      <c r="CU1412" s="86"/>
      <c r="CV1412" s="86"/>
      <c r="CW1412" s="86"/>
    </row>
    <row r="1413" customFormat="false" ht="12.75" hidden="false" customHeight="false" outlineLevel="0" collapsed="false">
      <c r="F1413" s="86"/>
      <c r="G1413" s="86"/>
      <c r="H1413" s="86"/>
      <c r="I1413" s="86"/>
      <c r="J1413" s="86"/>
      <c r="K1413" s="86"/>
      <c r="L1413" s="86"/>
      <c r="N1413" s="86"/>
      <c r="CQ1413" s="86"/>
      <c r="CR1413" s="86"/>
      <c r="CS1413" s="86"/>
      <c r="CT1413" s="86"/>
      <c r="CU1413" s="86"/>
      <c r="CV1413" s="86"/>
      <c r="CW1413" s="86"/>
    </row>
    <row r="1414" customFormat="false" ht="12.75" hidden="false" customHeight="false" outlineLevel="0" collapsed="false">
      <c r="F1414" s="86"/>
      <c r="G1414" s="86"/>
      <c r="H1414" s="86"/>
      <c r="I1414" s="86"/>
      <c r="J1414" s="86"/>
      <c r="K1414" s="86"/>
      <c r="L1414" s="86"/>
      <c r="N1414" s="86"/>
      <c r="CQ1414" s="86"/>
      <c r="CR1414" s="86"/>
      <c r="CS1414" s="86"/>
      <c r="CT1414" s="86"/>
      <c r="CU1414" s="86"/>
      <c r="CV1414" s="86"/>
      <c r="CW1414" s="86"/>
    </row>
    <row r="1415" customFormat="false" ht="12.75" hidden="false" customHeight="false" outlineLevel="0" collapsed="false">
      <c r="F1415" s="86"/>
      <c r="G1415" s="86"/>
      <c r="H1415" s="86"/>
      <c r="I1415" s="86"/>
      <c r="J1415" s="86"/>
      <c r="K1415" s="86"/>
      <c r="L1415" s="86"/>
      <c r="N1415" s="86"/>
      <c r="CQ1415" s="86"/>
      <c r="CR1415" s="86"/>
      <c r="CS1415" s="86"/>
      <c r="CT1415" s="86"/>
      <c r="CU1415" s="86"/>
      <c r="CV1415" s="86"/>
      <c r="CW1415" s="86"/>
    </row>
    <row r="1416" customFormat="false" ht="12.75" hidden="false" customHeight="false" outlineLevel="0" collapsed="false">
      <c r="F1416" s="86"/>
      <c r="G1416" s="86"/>
      <c r="H1416" s="86"/>
      <c r="I1416" s="86"/>
      <c r="J1416" s="86"/>
      <c r="K1416" s="86"/>
      <c r="L1416" s="86"/>
      <c r="N1416" s="86"/>
      <c r="CQ1416" s="86"/>
      <c r="CR1416" s="86"/>
      <c r="CS1416" s="86"/>
      <c r="CT1416" s="86"/>
      <c r="CU1416" s="86"/>
      <c r="CV1416" s="86"/>
      <c r="CW1416" s="86"/>
    </row>
    <row r="1417" customFormat="false" ht="12.75" hidden="false" customHeight="false" outlineLevel="0" collapsed="false">
      <c r="F1417" s="86"/>
      <c r="G1417" s="86"/>
      <c r="H1417" s="86"/>
      <c r="I1417" s="86"/>
      <c r="J1417" s="86"/>
      <c r="K1417" s="86"/>
      <c r="L1417" s="86"/>
      <c r="N1417" s="86"/>
      <c r="CQ1417" s="86"/>
      <c r="CR1417" s="86"/>
      <c r="CS1417" s="86"/>
      <c r="CT1417" s="86"/>
      <c r="CU1417" s="86"/>
      <c r="CV1417" s="86"/>
      <c r="CW1417" s="86"/>
    </row>
    <row r="1418" customFormat="false" ht="12.75" hidden="false" customHeight="false" outlineLevel="0" collapsed="false">
      <c r="F1418" s="86"/>
      <c r="G1418" s="86"/>
      <c r="H1418" s="86"/>
      <c r="I1418" s="86"/>
      <c r="J1418" s="86"/>
      <c r="K1418" s="86"/>
      <c r="L1418" s="86"/>
      <c r="N1418" s="86"/>
      <c r="CQ1418" s="86"/>
      <c r="CR1418" s="86"/>
      <c r="CS1418" s="86"/>
      <c r="CT1418" s="86"/>
      <c r="CU1418" s="86"/>
      <c r="CV1418" s="86"/>
      <c r="CW1418" s="86"/>
    </row>
    <row r="1419" customFormat="false" ht="12.75" hidden="false" customHeight="false" outlineLevel="0" collapsed="false">
      <c r="F1419" s="86"/>
      <c r="G1419" s="86"/>
      <c r="H1419" s="86"/>
      <c r="I1419" s="86"/>
      <c r="J1419" s="86"/>
      <c r="K1419" s="86"/>
      <c r="L1419" s="86"/>
      <c r="N1419" s="86"/>
      <c r="CQ1419" s="86"/>
      <c r="CR1419" s="86"/>
      <c r="CS1419" s="86"/>
      <c r="CT1419" s="86"/>
      <c r="CU1419" s="86"/>
      <c r="CV1419" s="86"/>
      <c r="CW1419" s="86"/>
    </row>
    <row r="1420" customFormat="false" ht="12.75" hidden="false" customHeight="false" outlineLevel="0" collapsed="false">
      <c r="F1420" s="86"/>
      <c r="G1420" s="86"/>
      <c r="H1420" s="86"/>
      <c r="I1420" s="86"/>
      <c r="J1420" s="86"/>
      <c r="K1420" s="86"/>
      <c r="L1420" s="86"/>
      <c r="N1420" s="86"/>
      <c r="CQ1420" s="86"/>
      <c r="CR1420" s="86"/>
      <c r="CS1420" s="86"/>
      <c r="CT1420" s="86"/>
      <c r="CU1420" s="86"/>
      <c r="CV1420" s="86"/>
      <c r="CW1420" s="86"/>
    </row>
    <row r="1421" customFormat="false" ht="12.75" hidden="false" customHeight="false" outlineLevel="0" collapsed="false">
      <c r="F1421" s="86"/>
      <c r="G1421" s="86"/>
      <c r="H1421" s="86"/>
      <c r="I1421" s="86"/>
      <c r="J1421" s="86"/>
      <c r="K1421" s="86"/>
      <c r="L1421" s="86"/>
      <c r="N1421" s="86"/>
      <c r="CQ1421" s="86"/>
      <c r="CR1421" s="86"/>
      <c r="CS1421" s="86"/>
      <c r="CT1421" s="86"/>
      <c r="CU1421" s="86"/>
      <c r="CV1421" s="86"/>
      <c r="CW1421" s="86"/>
    </row>
    <row r="1422" customFormat="false" ht="12.75" hidden="false" customHeight="false" outlineLevel="0" collapsed="false">
      <c r="F1422" s="86"/>
      <c r="G1422" s="86"/>
      <c r="H1422" s="86"/>
      <c r="I1422" s="86"/>
      <c r="J1422" s="86"/>
      <c r="K1422" s="86"/>
      <c r="L1422" s="86"/>
      <c r="N1422" s="86"/>
      <c r="CQ1422" s="86"/>
      <c r="CR1422" s="86"/>
      <c r="CS1422" s="86"/>
      <c r="CT1422" s="86"/>
      <c r="CU1422" s="86"/>
      <c r="CV1422" s="86"/>
      <c r="CW1422" s="86"/>
    </row>
    <row r="1423" customFormat="false" ht="12.75" hidden="false" customHeight="false" outlineLevel="0" collapsed="false">
      <c r="F1423" s="86"/>
      <c r="G1423" s="86"/>
      <c r="H1423" s="86"/>
      <c r="I1423" s="86"/>
      <c r="J1423" s="86"/>
      <c r="K1423" s="86"/>
      <c r="L1423" s="86"/>
      <c r="N1423" s="86"/>
      <c r="CQ1423" s="86"/>
      <c r="CR1423" s="86"/>
      <c r="CS1423" s="86"/>
      <c r="CT1423" s="86"/>
      <c r="CU1423" s="86"/>
      <c r="CV1423" s="86"/>
      <c r="CW1423" s="86"/>
    </row>
    <row r="1424" customFormat="false" ht="12.75" hidden="false" customHeight="false" outlineLevel="0" collapsed="false">
      <c r="F1424" s="86"/>
      <c r="G1424" s="86"/>
      <c r="H1424" s="86"/>
      <c r="I1424" s="86"/>
      <c r="J1424" s="86"/>
      <c r="K1424" s="86"/>
      <c r="L1424" s="86"/>
      <c r="N1424" s="86"/>
      <c r="CQ1424" s="86"/>
      <c r="CR1424" s="86"/>
      <c r="CS1424" s="86"/>
      <c r="CT1424" s="86"/>
      <c r="CU1424" s="86"/>
      <c r="CV1424" s="86"/>
      <c r="CW1424" s="86"/>
    </row>
    <row r="1425" customFormat="false" ht="12.75" hidden="false" customHeight="false" outlineLevel="0" collapsed="false">
      <c r="F1425" s="86"/>
      <c r="G1425" s="86"/>
      <c r="H1425" s="86"/>
      <c r="I1425" s="86"/>
      <c r="J1425" s="86"/>
      <c r="K1425" s="86"/>
      <c r="L1425" s="86"/>
      <c r="N1425" s="86"/>
      <c r="CQ1425" s="86"/>
      <c r="CR1425" s="86"/>
      <c r="CS1425" s="86"/>
      <c r="CT1425" s="86"/>
      <c r="CU1425" s="86"/>
      <c r="CV1425" s="86"/>
      <c r="CW1425" s="86"/>
    </row>
    <row r="1426" customFormat="false" ht="12.75" hidden="false" customHeight="false" outlineLevel="0" collapsed="false">
      <c r="F1426" s="86"/>
      <c r="G1426" s="86"/>
      <c r="H1426" s="86"/>
      <c r="I1426" s="86"/>
      <c r="J1426" s="86"/>
      <c r="K1426" s="86"/>
      <c r="L1426" s="86"/>
      <c r="N1426" s="86"/>
      <c r="CQ1426" s="86"/>
      <c r="CR1426" s="86"/>
      <c r="CS1426" s="86"/>
      <c r="CT1426" s="86"/>
      <c r="CU1426" s="86"/>
      <c r="CV1426" s="86"/>
      <c r="CW1426" s="86"/>
    </row>
    <row r="1427" customFormat="false" ht="12.75" hidden="false" customHeight="false" outlineLevel="0" collapsed="false">
      <c r="F1427" s="86"/>
      <c r="G1427" s="86"/>
      <c r="H1427" s="86"/>
      <c r="I1427" s="86"/>
      <c r="J1427" s="86"/>
      <c r="K1427" s="86"/>
      <c r="L1427" s="86"/>
      <c r="N1427" s="86"/>
      <c r="CQ1427" s="86"/>
      <c r="CR1427" s="86"/>
      <c r="CS1427" s="86"/>
      <c r="CT1427" s="86"/>
      <c r="CU1427" s="86"/>
      <c r="CV1427" s="86"/>
      <c r="CW1427" s="86"/>
    </row>
    <row r="1428" customFormat="false" ht="12.75" hidden="false" customHeight="false" outlineLevel="0" collapsed="false">
      <c r="F1428" s="86"/>
      <c r="G1428" s="86"/>
      <c r="H1428" s="86"/>
      <c r="I1428" s="86"/>
      <c r="J1428" s="86"/>
      <c r="K1428" s="86"/>
      <c r="L1428" s="86"/>
      <c r="N1428" s="86"/>
      <c r="CQ1428" s="86"/>
      <c r="CR1428" s="86"/>
      <c r="CS1428" s="86"/>
      <c r="CT1428" s="86"/>
      <c r="CU1428" s="86"/>
      <c r="CV1428" s="86"/>
      <c r="CW1428" s="86"/>
    </row>
    <row r="1429" customFormat="false" ht="12.75" hidden="false" customHeight="false" outlineLevel="0" collapsed="false">
      <c r="F1429" s="86"/>
      <c r="G1429" s="86"/>
      <c r="H1429" s="86"/>
      <c r="I1429" s="86"/>
      <c r="J1429" s="86"/>
      <c r="K1429" s="86"/>
      <c r="L1429" s="86"/>
      <c r="N1429" s="86"/>
      <c r="CQ1429" s="86"/>
      <c r="CR1429" s="86"/>
      <c r="CS1429" s="86"/>
      <c r="CT1429" s="86"/>
      <c r="CU1429" s="86"/>
      <c r="CV1429" s="86"/>
      <c r="CW1429" s="86"/>
    </row>
    <row r="1430" customFormat="false" ht="12.75" hidden="false" customHeight="false" outlineLevel="0" collapsed="false">
      <c r="F1430" s="86"/>
      <c r="G1430" s="86"/>
      <c r="H1430" s="86"/>
      <c r="I1430" s="86"/>
      <c r="J1430" s="86"/>
      <c r="K1430" s="86"/>
      <c r="L1430" s="86"/>
      <c r="N1430" s="86"/>
      <c r="CQ1430" s="86"/>
      <c r="CR1430" s="86"/>
      <c r="CS1430" s="86"/>
      <c r="CT1430" s="86"/>
      <c r="CU1430" s="86"/>
      <c r="CV1430" s="86"/>
      <c r="CW1430" s="86"/>
    </row>
    <row r="1431" customFormat="false" ht="12.75" hidden="false" customHeight="false" outlineLevel="0" collapsed="false">
      <c r="F1431" s="86"/>
      <c r="G1431" s="86"/>
      <c r="H1431" s="86"/>
      <c r="I1431" s="86"/>
      <c r="J1431" s="86"/>
      <c r="K1431" s="86"/>
      <c r="L1431" s="86"/>
      <c r="N1431" s="86"/>
      <c r="CQ1431" s="86"/>
      <c r="CR1431" s="86"/>
      <c r="CS1431" s="86"/>
      <c r="CT1431" s="86"/>
      <c r="CU1431" s="86"/>
      <c r="CV1431" s="86"/>
      <c r="CW1431" s="86"/>
    </row>
    <row r="1432" customFormat="false" ht="12.75" hidden="false" customHeight="false" outlineLevel="0" collapsed="false">
      <c r="F1432" s="86"/>
      <c r="G1432" s="86"/>
      <c r="H1432" s="86"/>
      <c r="I1432" s="86"/>
      <c r="J1432" s="86"/>
      <c r="K1432" s="86"/>
      <c r="L1432" s="86"/>
      <c r="N1432" s="86"/>
      <c r="CQ1432" s="86"/>
      <c r="CR1432" s="86"/>
      <c r="CS1432" s="86"/>
      <c r="CT1432" s="86"/>
      <c r="CU1432" s="86"/>
      <c r="CV1432" s="86"/>
      <c r="CW1432" s="86"/>
    </row>
    <row r="1433" customFormat="false" ht="12.75" hidden="false" customHeight="false" outlineLevel="0" collapsed="false">
      <c r="F1433" s="86"/>
      <c r="G1433" s="86"/>
      <c r="H1433" s="86"/>
      <c r="I1433" s="86"/>
      <c r="J1433" s="86"/>
      <c r="K1433" s="86"/>
      <c r="L1433" s="86"/>
      <c r="N1433" s="86"/>
      <c r="CQ1433" s="86"/>
      <c r="CR1433" s="86"/>
      <c r="CS1433" s="86"/>
      <c r="CT1433" s="86"/>
      <c r="CU1433" s="86"/>
      <c r="CV1433" s="86"/>
      <c r="CW1433" s="86"/>
    </row>
    <row r="1434" customFormat="false" ht="12.75" hidden="false" customHeight="false" outlineLevel="0" collapsed="false">
      <c r="F1434" s="86"/>
      <c r="G1434" s="86"/>
      <c r="H1434" s="86"/>
      <c r="I1434" s="86"/>
      <c r="J1434" s="86"/>
      <c r="K1434" s="86"/>
      <c r="L1434" s="86"/>
      <c r="N1434" s="86"/>
      <c r="CQ1434" s="86"/>
      <c r="CR1434" s="86"/>
      <c r="CS1434" s="86"/>
      <c r="CT1434" s="86"/>
      <c r="CU1434" s="86"/>
      <c r="CV1434" s="86"/>
      <c r="CW1434" s="86"/>
    </row>
    <row r="1435" customFormat="false" ht="12.75" hidden="false" customHeight="false" outlineLevel="0" collapsed="false">
      <c r="F1435" s="86"/>
      <c r="G1435" s="86"/>
      <c r="H1435" s="86"/>
      <c r="I1435" s="86"/>
      <c r="J1435" s="86"/>
      <c r="K1435" s="86"/>
      <c r="L1435" s="86"/>
      <c r="N1435" s="86"/>
      <c r="CQ1435" s="86"/>
      <c r="CR1435" s="86"/>
      <c r="CS1435" s="86"/>
      <c r="CT1435" s="86"/>
      <c r="CU1435" s="86"/>
      <c r="CV1435" s="86"/>
      <c r="CW1435" s="86"/>
    </row>
    <row r="1436" customFormat="false" ht="12.75" hidden="false" customHeight="false" outlineLevel="0" collapsed="false">
      <c r="F1436" s="86"/>
      <c r="G1436" s="86"/>
      <c r="H1436" s="86"/>
      <c r="I1436" s="86"/>
      <c r="J1436" s="86"/>
      <c r="K1436" s="86"/>
      <c r="L1436" s="86"/>
      <c r="N1436" s="86"/>
      <c r="CQ1436" s="86"/>
      <c r="CR1436" s="86"/>
      <c r="CS1436" s="86"/>
      <c r="CT1436" s="86"/>
      <c r="CU1436" s="86"/>
      <c r="CV1436" s="86"/>
      <c r="CW1436" s="86"/>
    </row>
    <row r="1437" customFormat="false" ht="12.75" hidden="false" customHeight="false" outlineLevel="0" collapsed="false">
      <c r="F1437" s="86"/>
      <c r="G1437" s="86"/>
      <c r="H1437" s="86"/>
      <c r="I1437" s="86"/>
      <c r="J1437" s="86"/>
      <c r="K1437" s="86"/>
      <c r="L1437" s="86"/>
      <c r="N1437" s="86"/>
      <c r="CQ1437" s="86"/>
      <c r="CR1437" s="86"/>
      <c r="CS1437" s="86"/>
      <c r="CT1437" s="86"/>
      <c r="CU1437" s="86"/>
      <c r="CV1437" s="86"/>
      <c r="CW1437" s="86"/>
    </row>
    <row r="1438" customFormat="false" ht="12.75" hidden="false" customHeight="false" outlineLevel="0" collapsed="false">
      <c r="F1438" s="86"/>
      <c r="G1438" s="86"/>
      <c r="H1438" s="86"/>
      <c r="I1438" s="86"/>
      <c r="J1438" s="86"/>
      <c r="K1438" s="86"/>
      <c r="L1438" s="86"/>
      <c r="N1438" s="86"/>
      <c r="CQ1438" s="86"/>
      <c r="CR1438" s="86"/>
      <c r="CS1438" s="86"/>
      <c r="CT1438" s="86"/>
      <c r="CU1438" s="86"/>
      <c r="CV1438" s="86"/>
      <c r="CW1438" s="86"/>
    </row>
    <row r="1439" customFormat="false" ht="12.75" hidden="false" customHeight="false" outlineLevel="0" collapsed="false">
      <c r="F1439" s="86"/>
      <c r="G1439" s="86"/>
      <c r="H1439" s="86"/>
      <c r="I1439" s="86"/>
      <c r="J1439" s="86"/>
      <c r="K1439" s="86"/>
      <c r="L1439" s="86"/>
      <c r="N1439" s="86"/>
      <c r="CQ1439" s="86"/>
      <c r="CR1439" s="86"/>
      <c r="CS1439" s="86"/>
      <c r="CT1439" s="86"/>
      <c r="CU1439" s="86"/>
      <c r="CV1439" s="86"/>
      <c r="CW1439" s="86"/>
    </row>
    <row r="1440" customFormat="false" ht="12.75" hidden="false" customHeight="false" outlineLevel="0" collapsed="false">
      <c r="F1440" s="86"/>
      <c r="G1440" s="86"/>
      <c r="H1440" s="86"/>
      <c r="I1440" s="86"/>
      <c r="J1440" s="86"/>
      <c r="K1440" s="86"/>
      <c r="L1440" s="86"/>
      <c r="N1440" s="86"/>
      <c r="CQ1440" s="86"/>
      <c r="CR1440" s="86"/>
      <c r="CS1440" s="86"/>
      <c r="CT1440" s="86"/>
      <c r="CU1440" s="86"/>
      <c r="CV1440" s="86"/>
      <c r="CW1440" s="86"/>
    </row>
    <row r="1441" customFormat="false" ht="12.75" hidden="false" customHeight="false" outlineLevel="0" collapsed="false">
      <c r="F1441" s="86"/>
      <c r="G1441" s="86"/>
      <c r="H1441" s="86"/>
      <c r="I1441" s="86"/>
      <c r="J1441" s="86"/>
      <c r="K1441" s="86"/>
      <c r="L1441" s="86"/>
      <c r="N1441" s="86"/>
      <c r="CQ1441" s="86"/>
      <c r="CR1441" s="86"/>
      <c r="CS1441" s="86"/>
      <c r="CT1441" s="86"/>
      <c r="CU1441" s="86"/>
      <c r="CV1441" s="86"/>
      <c r="CW1441" s="86"/>
    </row>
    <row r="1442" customFormat="false" ht="12.75" hidden="false" customHeight="false" outlineLevel="0" collapsed="false">
      <c r="F1442" s="86"/>
      <c r="G1442" s="86"/>
      <c r="H1442" s="86"/>
      <c r="I1442" s="86"/>
      <c r="J1442" s="86"/>
      <c r="K1442" s="86"/>
      <c r="L1442" s="86"/>
      <c r="N1442" s="86"/>
      <c r="CQ1442" s="86"/>
      <c r="CR1442" s="86"/>
      <c r="CS1442" s="86"/>
      <c r="CT1442" s="86"/>
      <c r="CU1442" s="86"/>
      <c r="CV1442" s="86"/>
      <c r="CW1442" s="86"/>
    </row>
    <row r="1443" customFormat="false" ht="12.75" hidden="false" customHeight="false" outlineLevel="0" collapsed="false">
      <c r="F1443" s="86"/>
      <c r="G1443" s="86"/>
      <c r="H1443" s="86"/>
      <c r="I1443" s="86"/>
      <c r="J1443" s="86"/>
      <c r="K1443" s="86"/>
      <c r="L1443" s="86"/>
      <c r="N1443" s="86"/>
      <c r="CQ1443" s="86"/>
      <c r="CR1443" s="86"/>
      <c r="CS1443" s="86"/>
      <c r="CT1443" s="86"/>
      <c r="CU1443" s="86"/>
      <c r="CV1443" s="86"/>
      <c r="CW1443" s="86"/>
    </row>
    <row r="1444" customFormat="false" ht="12.75" hidden="false" customHeight="false" outlineLevel="0" collapsed="false">
      <c r="F1444" s="86"/>
      <c r="G1444" s="86"/>
      <c r="H1444" s="86"/>
      <c r="I1444" s="86"/>
      <c r="J1444" s="86"/>
      <c r="K1444" s="86"/>
      <c r="L1444" s="86"/>
      <c r="N1444" s="86"/>
      <c r="CQ1444" s="86"/>
      <c r="CR1444" s="86"/>
      <c r="CS1444" s="86"/>
      <c r="CT1444" s="86"/>
      <c r="CU1444" s="86"/>
      <c r="CV1444" s="86"/>
      <c r="CW1444" s="86"/>
    </row>
    <row r="1445" customFormat="false" ht="12.75" hidden="false" customHeight="false" outlineLevel="0" collapsed="false">
      <c r="F1445" s="86"/>
      <c r="G1445" s="86"/>
      <c r="H1445" s="86"/>
      <c r="I1445" s="86"/>
      <c r="J1445" s="86"/>
      <c r="K1445" s="86"/>
      <c r="L1445" s="86"/>
      <c r="N1445" s="86"/>
      <c r="CQ1445" s="86"/>
      <c r="CR1445" s="86"/>
      <c r="CS1445" s="86"/>
      <c r="CT1445" s="86"/>
      <c r="CU1445" s="86"/>
      <c r="CV1445" s="86"/>
      <c r="CW1445" s="86"/>
    </row>
    <row r="1446" customFormat="false" ht="12.75" hidden="false" customHeight="false" outlineLevel="0" collapsed="false">
      <c r="F1446" s="86"/>
      <c r="G1446" s="86"/>
      <c r="H1446" s="86"/>
      <c r="I1446" s="86"/>
      <c r="J1446" s="86"/>
      <c r="K1446" s="86"/>
      <c r="L1446" s="86"/>
      <c r="N1446" s="86"/>
      <c r="CQ1446" s="86"/>
      <c r="CR1446" s="86"/>
      <c r="CS1446" s="86"/>
      <c r="CT1446" s="86"/>
      <c r="CU1446" s="86"/>
      <c r="CV1446" s="86"/>
      <c r="CW1446" s="86"/>
    </row>
    <row r="1447" customFormat="false" ht="12.75" hidden="false" customHeight="false" outlineLevel="0" collapsed="false">
      <c r="F1447" s="86"/>
      <c r="G1447" s="86"/>
      <c r="H1447" s="86"/>
      <c r="I1447" s="86"/>
      <c r="J1447" s="86"/>
      <c r="K1447" s="86"/>
      <c r="L1447" s="86"/>
      <c r="N1447" s="86"/>
      <c r="CQ1447" s="86"/>
      <c r="CR1447" s="86"/>
      <c r="CS1447" s="86"/>
      <c r="CT1447" s="86"/>
      <c r="CU1447" s="86"/>
      <c r="CV1447" s="86"/>
      <c r="CW1447" s="86"/>
    </row>
    <row r="1448" customFormat="false" ht="12.75" hidden="false" customHeight="false" outlineLevel="0" collapsed="false">
      <c r="F1448" s="86"/>
      <c r="G1448" s="86"/>
      <c r="H1448" s="86"/>
      <c r="I1448" s="86"/>
      <c r="J1448" s="86"/>
      <c r="K1448" s="86"/>
      <c r="L1448" s="86"/>
      <c r="N1448" s="86"/>
      <c r="CQ1448" s="86"/>
      <c r="CR1448" s="86"/>
      <c r="CS1448" s="86"/>
      <c r="CT1448" s="86"/>
      <c r="CU1448" s="86"/>
      <c r="CV1448" s="86"/>
      <c r="CW1448" s="86"/>
    </row>
    <row r="1449" customFormat="false" ht="12.75" hidden="false" customHeight="false" outlineLevel="0" collapsed="false">
      <c r="F1449" s="86"/>
      <c r="G1449" s="86"/>
      <c r="H1449" s="86"/>
      <c r="I1449" s="86"/>
      <c r="J1449" s="86"/>
      <c r="K1449" s="86"/>
      <c r="L1449" s="86"/>
      <c r="N1449" s="86"/>
      <c r="CQ1449" s="86"/>
      <c r="CR1449" s="86"/>
      <c r="CS1449" s="86"/>
      <c r="CT1449" s="86"/>
      <c r="CU1449" s="86"/>
      <c r="CV1449" s="86"/>
      <c r="CW1449" s="86"/>
    </row>
    <row r="1450" customFormat="false" ht="12.75" hidden="false" customHeight="false" outlineLevel="0" collapsed="false">
      <c r="F1450" s="86"/>
      <c r="G1450" s="86"/>
      <c r="H1450" s="86"/>
      <c r="I1450" s="86"/>
      <c r="J1450" s="86"/>
      <c r="K1450" s="86"/>
      <c r="L1450" s="86"/>
      <c r="N1450" s="86"/>
      <c r="CQ1450" s="86"/>
      <c r="CR1450" s="86"/>
      <c r="CS1450" s="86"/>
      <c r="CT1450" s="86"/>
      <c r="CU1450" s="86"/>
      <c r="CV1450" s="86"/>
      <c r="CW1450" s="86"/>
    </row>
    <row r="1451" customFormat="false" ht="12.75" hidden="false" customHeight="false" outlineLevel="0" collapsed="false">
      <c r="F1451" s="86"/>
      <c r="G1451" s="86"/>
      <c r="H1451" s="86"/>
      <c r="I1451" s="86"/>
      <c r="J1451" s="86"/>
      <c r="K1451" s="86"/>
      <c r="L1451" s="86"/>
      <c r="N1451" s="86"/>
      <c r="CQ1451" s="86"/>
      <c r="CR1451" s="86"/>
      <c r="CS1451" s="86"/>
      <c r="CT1451" s="86"/>
      <c r="CU1451" s="86"/>
      <c r="CV1451" s="86"/>
      <c r="CW1451" s="86"/>
    </row>
    <row r="1452" customFormat="false" ht="12.75" hidden="false" customHeight="false" outlineLevel="0" collapsed="false">
      <c r="F1452" s="86"/>
      <c r="G1452" s="86"/>
      <c r="H1452" s="86"/>
      <c r="I1452" s="86"/>
      <c r="J1452" s="86"/>
      <c r="K1452" s="86"/>
      <c r="L1452" s="86"/>
      <c r="N1452" s="86"/>
      <c r="CQ1452" s="86"/>
      <c r="CR1452" s="86"/>
      <c r="CS1452" s="86"/>
      <c r="CT1452" s="86"/>
      <c r="CU1452" s="86"/>
      <c r="CV1452" s="86"/>
      <c r="CW1452" s="86"/>
    </row>
    <row r="1453" customFormat="false" ht="12.75" hidden="false" customHeight="false" outlineLevel="0" collapsed="false">
      <c r="F1453" s="86"/>
      <c r="G1453" s="86"/>
      <c r="H1453" s="86"/>
      <c r="I1453" s="86"/>
      <c r="J1453" s="86"/>
      <c r="K1453" s="86"/>
      <c r="L1453" s="86"/>
      <c r="N1453" s="86"/>
      <c r="CQ1453" s="86"/>
      <c r="CR1453" s="86"/>
      <c r="CS1453" s="86"/>
      <c r="CT1453" s="86"/>
      <c r="CU1453" s="86"/>
      <c r="CV1453" s="86"/>
      <c r="CW1453" s="86"/>
    </row>
    <row r="1454" customFormat="false" ht="12.75" hidden="false" customHeight="false" outlineLevel="0" collapsed="false">
      <c r="F1454" s="86"/>
      <c r="G1454" s="86"/>
      <c r="H1454" s="86"/>
      <c r="I1454" s="86"/>
      <c r="J1454" s="86"/>
      <c r="K1454" s="86"/>
      <c r="L1454" s="86"/>
      <c r="N1454" s="86"/>
      <c r="CQ1454" s="86"/>
      <c r="CR1454" s="86"/>
      <c r="CS1454" s="86"/>
      <c r="CT1454" s="86"/>
      <c r="CU1454" s="86"/>
      <c r="CV1454" s="86"/>
      <c r="CW1454" s="86"/>
    </row>
    <row r="1455" customFormat="false" ht="12.75" hidden="false" customHeight="false" outlineLevel="0" collapsed="false">
      <c r="F1455" s="86"/>
      <c r="G1455" s="86"/>
      <c r="H1455" s="86"/>
      <c r="I1455" s="86"/>
      <c r="J1455" s="86"/>
      <c r="K1455" s="86"/>
      <c r="L1455" s="86"/>
      <c r="N1455" s="86"/>
      <c r="CQ1455" s="86"/>
      <c r="CR1455" s="86"/>
      <c r="CS1455" s="86"/>
      <c r="CT1455" s="86"/>
      <c r="CU1455" s="86"/>
      <c r="CV1455" s="86"/>
      <c r="CW1455" s="86"/>
    </row>
    <row r="1456" customFormat="false" ht="12.75" hidden="false" customHeight="false" outlineLevel="0" collapsed="false">
      <c r="F1456" s="86"/>
      <c r="G1456" s="86"/>
      <c r="H1456" s="86"/>
      <c r="I1456" s="86"/>
      <c r="J1456" s="86"/>
      <c r="K1456" s="86"/>
      <c r="L1456" s="86"/>
      <c r="N1456" s="86"/>
      <c r="CQ1456" s="86"/>
      <c r="CR1456" s="86"/>
      <c r="CS1456" s="86"/>
      <c r="CT1456" s="86"/>
      <c r="CU1456" s="86"/>
      <c r="CV1456" s="86"/>
      <c r="CW1456" s="86"/>
    </row>
    <row r="1457" customFormat="false" ht="12.75" hidden="false" customHeight="false" outlineLevel="0" collapsed="false">
      <c r="F1457" s="86"/>
      <c r="G1457" s="86"/>
      <c r="H1457" s="86"/>
      <c r="I1457" s="86"/>
      <c r="J1457" s="86"/>
      <c r="K1457" s="86"/>
      <c r="L1457" s="86"/>
      <c r="N1457" s="86"/>
      <c r="CQ1457" s="86"/>
      <c r="CR1457" s="86"/>
      <c r="CS1457" s="86"/>
      <c r="CT1457" s="86"/>
      <c r="CU1457" s="86"/>
      <c r="CV1457" s="86"/>
      <c r="CW1457" s="86"/>
    </row>
    <row r="1458" customFormat="false" ht="12.75" hidden="false" customHeight="false" outlineLevel="0" collapsed="false">
      <c r="F1458" s="86"/>
      <c r="G1458" s="86"/>
      <c r="H1458" s="86"/>
      <c r="I1458" s="86"/>
      <c r="J1458" s="86"/>
      <c r="K1458" s="86"/>
      <c r="L1458" s="86"/>
      <c r="N1458" s="86"/>
      <c r="CQ1458" s="86"/>
      <c r="CR1458" s="86"/>
      <c r="CS1458" s="86"/>
      <c r="CT1458" s="86"/>
      <c r="CU1458" s="86"/>
      <c r="CV1458" s="86"/>
      <c r="CW1458" s="86"/>
    </row>
    <row r="1459" customFormat="false" ht="12.75" hidden="false" customHeight="false" outlineLevel="0" collapsed="false">
      <c r="F1459" s="86"/>
      <c r="G1459" s="86"/>
      <c r="H1459" s="86"/>
      <c r="I1459" s="86"/>
      <c r="J1459" s="86"/>
      <c r="K1459" s="86"/>
      <c r="L1459" s="86"/>
      <c r="N1459" s="86"/>
      <c r="CQ1459" s="86"/>
      <c r="CR1459" s="86"/>
      <c r="CS1459" s="86"/>
      <c r="CT1459" s="86"/>
      <c r="CU1459" s="86"/>
      <c r="CV1459" s="86"/>
      <c r="CW1459" s="86"/>
    </row>
    <row r="1460" customFormat="false" ht="12.75" hidden="false" customHeight="false" outlineLevel="0" collapsed="false">
      <c r="F1460" s="86"/>
      <c r="G1460" s="86"/>
      <c r="H1460" s="86"/>
      <c r="I1460" s="86"/>
      <c r="J1460" s="86"/>
      <c r="K1460" s="86"/>
      <c r="L1460" s="86"/>
      <c r="N1460" s="86"/>
      <c r="CQ1460" s="86"/>
      <c r="CR1460" s="86"/>
      <c r="CS1460" s="86"/>
      <c r="CT1460" s="86"/>
      <c r="CU1460" s="86"/>
      <c r="CV1460" s="86"/>
      <c r="CW1460" s="86"/>
    </row>
    <row r="1461" customFormat="false" ht="12.75" hidden="false" customHeight="false" outlineLevel="0" collapsed="false">
      <c r="F1461" s="86"/>
      <c r="G1461" s="86"/>
      <c r="H1461" s="86"/>
      <c r="I1461" s="86"/>
      <c r="J1461" s="86"/>
      <c r="K1461" s="86"/>
      <c r="L1461" s="86"/>
      <c r="N1461" s="86"/>
      <c r="CQ1461" s="86"/>
      <c r="CR1461" s="86"/>
      <c r="CS1461" s="86"/>
      <c r="CT1461" s="86"/>
      <c r="CU1461" s="86"/>
      <c r="CV1461" s="86"/>
      <c r="CW1461" s="86"/>
    </row>
    <row r="1462" customFormat="false" ht="12.75" hidden="false" customHeight="false" outlineLevel="0" collapsed="false">
      <c r="F1462" s="86"/>
      <c r="G1462" s="86"/>
      <c r="H1462" s="86"/>
      <c r="I1462" s="86"/>
      <c r="J1462" s="86"/>
      <c r="K1462" s="86"/>
      <c r="L1462" s="86"/>
      <c r="N1462" s="86"/>
      <c r="CQ1462" s="86"/>
      <c r="CR1462" s="86"/>
      <c r="CS1462" s="86"/>
      <c r="CT1462" s="86"/>
      <c r="CU1462" s="86"/>
      <c r="CV1462" s="86"/>
      <c r="CW1462" s="86"/>
    </row>
    <row r="1463" customFormat="false" ht="12.75" hidden="false" customHeight="false" outlineLevel="0" collapsed="false">
      <c r="F1463" s="86"/>
      <c r="G1463" s="86"/>
      <c r="H1463" s="86"/>
      <c r="I1463" s="86"/>
      <c r="J1463" s="86"/>
      <c r="K1463" s="86"/>
      <c r="L1463" s="86"/>
      <c r="N1463" s="86"/>
      <c r="CQ1463" s="86"/>
      <c r="CR1463" s="86"/>
      <c r="CS1463" s="86"/>
      <c r="CT1463" s="86"/>
      <c r="CU1463" s="86"/>
      <c r="CV1463" s="86"/>
      <c r="CW1463" s="86"/>
    </row>
    <row r="1464" customFormat="false" ht="12.75" hidden="false" customHeight="false" outlineLevel="0" collapsed="false">
      <c r="F1464" s="86"/>
      <c r="G1464" s="86"/>
      <c r="H1464" s="86"/>
      <c r="I1464" s="86"/>
      <c r="J1464" s="86"/>
      <c r="K1464" s="86"/>
      <c r="L1464" s="86"/>
      <c r="N1464" s="86"/>
      <c r="CQ1464" s="86"/>
      <c r="CR1464" s="86"/>
      <c r="CS1464" s="86"/>
      <c r="CT1464" s="86"/>
      <c r="CU1464" s="86"/>
      <c r="CV1464" s="86"/>
      <c r="CW1464" s="86"/>
    </row>
    <row r="1465" customFormat="false" ht="12.75" hidden="false" customHeight="false" outlineLevel="0" collapsed="false">
      <c r="F1465" s="86"/>
      <c r="G1465" s="86"/>
      <c r="H1465" s="86"/>
      <c r="I1465" s="86"/>
      <c r="J1465" s="86"/>
      <c r="K1465" s="86"/>
      <c r="L1465" s="86"/>
      <c r="N1465" s="86"/>
      <c r="CQ1465" s="86"/>
      <c r="CR1465" s="86"/>
      <c r="CS1465" s="86"/>
      <c r="CT1465" s="86"/>
      <c r="CU1465" s="86"/>
      <c r="CV1465" s="86"/>
      <c r="CW1465" s="86"/>
    </row>
    <row r="1466" customFormat="false" ht="12.75" hidden="false" customHeight="false" outlineLevel="0" collapsed="false">
      <c r="F1466" s="86"/>
      <c r="G1466" s="86"/>
      <c r="H1466" s="86"/>
      <c r="I1466" s="86"/>
      <c r="J1466" s="86"/>
      <c r="K1466" s="86"/>
      <c r="L1466" s="86"/>
      <c r="N1466" s="86"/>
      <c r="CQ1466" s="86"/>
      <c r="CR1466" s="86"/>
      <c r="CS1466" s="86"/>
      <c r="CT1466" s="86"/>
      <c r="CU1466" s="86"/>
      <c r="CV1466" s="86"/>
      <c r="CW1466" s="86"/>
    </row>
    <row r="1467" customFormat="false" ht="12.75" hidden="false" customHeight="false" outlineLevel="0" collapsed="false">
      <c r="F1467" s="86"/>
      <c r="G1467" s="86"/>
      <c r="H1467" s="86"/>
      <c r="I1467" s="86"/>
      <c r="J1467" s="86"/>
      <c r="K1467" s="86"/>
      <c r="L1467" s="86"/>
      <c r="N1467" s="86"/>
      <c r="CQ1467" s="86"/>
      <c r="CR1467" s="86"/>
      <c r="CS1467" s="86"/>
      <c r="CT1467" s="86"/>
      <c r="CU1467" s="86"/>
      <c r="CV1467" s="86"/>
      <c r="CW1467" s="86"/>
    </row>
    <row r="1468" customFormat="false" ht="12.75" hidden="false" customHeight="false" outlineLevel="0" collapsed="false">
      <c r="F1468" s="86"/>
      <c r="G1468" s="86"/>
      <c r="H1468" s="86"/>
      <c r="I1468" s="86"/>
      <c r="J1468" s="86"/>
      <c r="K1468" s="86"/>
      <c r="L1468" s="86"/>
      <c r="N1468" s="86"/>
      <c r="CQ1468" s="86"/>
      <c r="CR1468" s="86"/>
      <c r="CS1468" s="86"/>
      <c r="CT1468" s="86"/>
      <c r="CU1468" s="86"/>
      <c r="CV1468" s="86"/>
      <c r="CW1468" s="86"/>
    </row>
    <row r="1469" customFormat="false" ht="12.75" hidden="false" customHeight="false" outlineLevel="0" collapsed="false">
      <c r="F1469" s="86"/>
      <c r="G1469" s="86"/>
      <c r="H1469" s="86"/>
      <c r="I1469" s="86"/>
      <c r="J1469" s="86"/>
      <c r="K1469" s="86"/>
      <c r="L1469" s="86"/>
      <c r="N1469" s="86"/>
      <c r="CQ1469" s="86"/>
      <c r="CR1469" s="86"/>
      <c r="CS1469" s="86"/>
      <c r="CT1469" s="86"/>
      <c r="CU1469" s="86"/>
      <c r="CV1469" s="86"/>
      <c r="CW1469" s="86"/>
    </row>
    <row r="1470" customFormat="false" ht="12.75" hidden="false" customHeight="false" outlineLevel="0" collapsed="false">
      <c r="F1470" s="86"/>
      <c r="G1470" s="86"/>
      <c r="H1470" s="86"/>
      <c r="I1470" s="86"/>
      <c r="J1470" s="86"/>
      <c r="K1470" s="86"/>
      <c r="L1470" s="86"/>
      <c r="N1470" s="86"/>
      <c r="CQ1470" s="86"/>
      <c r="CR1470" s="86"/>
      <c r="CS1470" s="86"/>
      <c r="CT1470" s="86"/>
      <c r="CU1470" s="86"/>
      <c r="CV1470" s="86"/>
      <c r="CW1470" s="86"/>
    </row>
    <row r="1471" customFormat="false" ht="12.75" hidden="false" customHeight="false" outlineLevel="0" collapsed="false">
      <c r="F1471" s="86"/>
      <c r="G1471" s="86"/>
      <c r="H1471" s="86"/>
      <c r="I1471" s="86"/>
      <c r="J1471" s="86"/>
      <c r="K1471" s="86"/>
      <c r="L1471" s="86"/>
      <c r="N1471" s="86"/>
      <c r="CQ1471" s="86"/>
      <c r="CR1471" s="86"/>
      <c r="CS1471" s="86"/>
      <c r="CT1471" s="86"/>
      <c r="CU1471" s="86"/>
      <c r="CV1471" s="86"/>
      <c r="CW1471" s="86"/>
    </row>
    <row r="1472" customFormat="false" ht="12.75" hidden="false" customHeight="false" outlineLevel="0" collapsed="false">
      <c r="F1472" s="86"/>
      <c r="G1472" s="86"/>
      <c r="H1472" s="86"/>
      <c r="I1472" s="86"/>
      <c r="J1472" s="86"/>
      <c r="K1472" s="86"/>
      <c r="L1472" s="86"/>
      <c r="N1472" s="86"/>
      <c r="CQ1472" s="86"/>
      <c r="CR1472" s="86"/>
      <c r="CS1472" s="86"/>
      <c r="CT1472" s="86"/>
      <c r="CU1472" s="86"/>
      <c r="CV1472" s="86"/>
      <c r="CW1472" s="86"/>
    </row>
    <row r="1473" customFormat="false" ht="12.75" hidden="false" customHeight="false" outlineLevel="0" collapsed="false">
      <c r="F1473" s="86"/>
      <c r="G1473" s="86"/>
      <c r="H1473" s="86"/>
      <c r="I1473" s="86"/>
      <c r="J1473" s="86"/>
      <c r="K1473" s="86"/>
      <c r="L1473" s="86"/>
      <c r="N1473" s="86"/>
      <c r="CQ1473" s="86"/>
      <c r="CR1473" s="86"/>
      <c r="CS1473" s="86"/>
      <c r="CT1473" s="86"/>
      <c r="CU1473" s="86"/>
      <c r="CV1473" s="86"/>
      <c r="CW1473" s="86"/>
    </row>
    <row r="1474" customFormat="false" ht="12.75" hidden="false" customHeight="false" outlineLevel="0" collapsed="false">
      <c r="F1474" s="86"/>
      <c r="G1474" s="86"/>
      <c r="H1474" s="86"/>
      <c r="I1474" s="86"/>
      <c r="J1474" s="86"/>
      <c r="K1474" s="86"/>
      <c r="L1474" s="86"/>
      <c r="N1474" s="86"/>
      <c r="CQ1474" s="86"/>
      <c r="CR1474" s="86"/>
      <c r="CS1474" s="86"/>
      <c r="CT1474" s="86"/>
      <c r="CU1474" s="86"/>
      <c r="CV1474" s="86"/>
      <c r="CW1474" s="86"/>
    </row>
    <row r="1475" customFormat="false" ht="12.75" hidden="false" customHeight="false" outlineLevel="0" collapsed="false">
      <c r="F1475" s="86"/>
      <c r="G1475" s="86"/>
      <c r="H1475" s="86"/>
      <c r="I1475" s="86"/>
      <c r="J1475" s="86"/>
      <c r="K1475" s="86"/>
      <c r="L1475" s="86"/>
      <c r="N1475" s="86"/>
      <c r="CQ1475" s="86"/>
      <c r="CR1475" s="86"/>
      <c r="CS1475" s="86"/>
      <c r="CT1475" s="86"/>
      <c r="CU1475" s="86"/>
      <c r="CV1475" s="86"/>
      <c r="CW1475" s="86"/>
    </row>
    <row r="1476" customFormat="false" ht="12.75" hidden="false" customHeight="false" outlineLevel="0" collapsed="false">
      <c r="F1476" s="86"/>
      <c r="G1476" s="86"/>
      <c r="H1476" s="86"/>
      <c r="I1476" s="86"/>
      <c r="J1476" s="86"/>
      <c r="K1476" s="86"/>
      <c r="L1476" s="86"/>
      <c r="N1476" s="86"/>
      <c r="CQ1476" s="86"/>
      <c r="CR1476" s="86"/>
      <c r="CS1476" s="86"/>
      <c r="CT1476" s="86"/>
      <c r="CU1476" s="86"/>
      <c r="CV1476" s="86"/>
      <c r="CW1476" s="86"/>
    </row>
    <row r="1477" customFormat="false" ht="12.75" hidden="false" customHeight="false" outlineLevel="0" collapsed="false">
      <c r="F1477" s="86"/>
      <c r="G1477" s="86"/>
      <c r="H1477" s="86"/>
      <c r="I1477" s="86"/>
      <c r="J1477" s="86"/>
      <c r="K1477" s="86"/>
      <c r="L1477" s="86"/>
      <c r="N1477" s="86"/>
      <c r="CQ1477" s="86"/>
      <c r="CR1477" s="86"/>
      <c r="CS1477" s="86"/>
      <c r="CT1477" s="86"/>
      <c r="CU1477" s="86"/>
      <c r="CV1477" s="86"/>
      <c r="CW1477" s="86"/>
    </row>
    <row r="1478" customFormat="false" ht="12.75" hidden="false" customHeight="false" outlineLevel="0" collapsed="false">
      <c r="F1478" s="86"/>
      <c r="G1478" s="86"/>
      <c r="H1478" s="86"/>
      <c r="I1478" s="86"/>
      <c r="J1478" s="86"/>
      <c r="K1478" s="86"/>
      <c r="L1478" s="86"/>
      <c r="N1478" s="86"/>
      <c r="CQ1478" s="86"/>
      <c r="CR1478" s="86"/>
      <c r="CS1478" s="86"/>
      <c r="CT1478" s="86"/>
      <c r="CU1478" s="86"/>
      <c r="CV1478" s="86"/>
      <c r="CW1478" s="86"/>
    </row>
    <row r="1479" customFormat="false" ht="12.75" hidden="false" customHeight="false" outlineLevel="0" collapsed="false">
      <c r="F1479" s="86"/>
      <c r="G1479" s="86"/>
      <c r="H1479" s="86"/>
      <c r="I1479" s="86"/>
      <c r="J1479" s="86"/>
      <c r="K1479" s="86"/>
      <c r="L1479" s="86"/>
      <c r="N1479" s="86"/>
      <c r="CQ1479" s="86"/>
      <c r="CR1479" s="86"/>
      <c r="CS1479" s="86"/>
      <c r="CT1479" s="86"/>
      <c r="CU1479" s="86"/>
      <c r="CV1479" s="86"/>
      <c r="CW1479" s="86"/>
    </row>
    <row r="1480" customFormat="false" ht="12.75" hidden="false" customHeight="false" outlineLevel="0" collapsed="false">
      <c r="F1480" s="86"/>
      <c r="G1480" s="86"/>
      <c r="H1480" s="86"/>
      <c r="I1480" s="86"/>
      <c r="J1480" s="86"/>
      <c r="K1480" s="86"/>
      <c r="L1480" s="86"/>
      <c r="N1480" s="86"/>
      <c r="CQ1480" s="86"/>
      <c r="CR1480" s="86"/>
      <c r="CS1480" s="86"/>
      <c r="CT1480" s="86"/>
      <c r="CU1480" s="86"/>
      <c r="CV1480" s="86"/>
      <c r="CW1480" s="86"/>
    </row>
    <row r="1481" customFormat="false" ht="12.75" hidden="false" customHeight="false" outlineLevel="0" collapsed="false">
      <c r="F1481" s="86"/>
      <c r="G1481" s="86"/>
      <c r="H1481" s="86"/>
      <c r="I1481" s="86"/>
      <c r="J1481" s="86"/>
      <c r="K1481" s="86"/>
      <c r="L1481" s="86"/>
      <c r="N1481" s="86"/>
      <c r="CQ1481" s="86"/>
      <c r="CR1481" s="86"/>
      <c r="CS1481" s="86"/>
      <c r="CT1481" s="86"/>
      <c r="CU1481" s="86"/>
      <c r="CV1481" s="86"/>
      <c r="CW1481" s="86"/>
    </row>
    <row r="1482" customFormat="false" ht="12.75" hidden="false" customHeight="false" outlineLevel="0" collapsed="false">
      <c r="F1482" s="86"/>
      <c r="G1482" s="86"/>
      <c r="H1482" s="86"/>
      <c r="I1482" s="86"/>
      <c r="J1482" s="86"/>
      <c r="K1482" s="86"/>
      <c r="L1482" s="86"/>
      <c r="N1482" s="86"/>
      <c r="CQ1482" s="86"/>
      <c r="CR1482" s="86"/>
      <c r="CS1482" s="86"/>
      <c r="CT1482" s="86"/>
      <c r="CU1482" s="86"/>
      <c r="CV1482" s="86"/>
      <c r="CW1482" s="86"/>
    </row>
    <row r="1483" customFormat="false" ht="12.75" hidden="false" customHeight="false" outlineLevel="0" collapsed="false">
      <c r="F1483" s="86"/>
      <c r="G1483" s="86"/>
      <c r="H1483" s="86"/>
      <c r="I1483" s="86"/>
      <c r="J1483" s="86"/>
      <c r="K1483" s="86"/>
      <c r="L1483" s="86"/>
      <c r="N1483" s="86"/>
      <c r="CQ1483" s="86"/>
      <c r="CR1483" s="86"/>
      <c r="CS1483" s="86"/>
      <c r="CT1483" s="86"/>
      <c r="CU1483" s="86"/>
      <c r="CV1483" s="86"/>
      <c r="CW1483" s="86"/>
    </row>
    <row r="1484" customFormat="false" ht="12.75" hidden="false" customHeight="false" outlineLevel="0" collapsed="false">
      <c r="F1484" s="86"/>
      <c r="G1484" s="86"/>
      <c r="H1484" s="86"/>
      <c r="I1484" s="86"/>
      <c r="J1484" s="86"/>
      <c r="K1484" s="86"/>
      <c r="L1484" s="86"/>
      <c r="N1484" s="86"/>
      <c r="CQ1484" s="86"/>
      <c r="CR1484" s="86"/>
      <c r="CS1484" s="86"/>
      <c r="CT1484" s="86"/>
      <c r="CU1484" s="86"/>
      <c r="CV1484" s="86"/>
      <c r="CW1484" s="86"/>
    </row>
    <row r="1485" customFormat="false" ht="12.75" hidden="false" customHeight="false" outlineLevel="0" collapsed="false">
      <c r="F1485" s="86"/>
      <c r="G1485" s="86"/>
      <c r="H1485" s="86"/>
      <c r="I1485" s="86"/>
      <c r="J1485" s="86"/>
      <c r="K1485" s="86"/>
      <c r="L1485" s="86"/>
      <c r="N1485" s="86"/>
      <c r="CQ1485" s="86"/>
      <c r="CR1485" s="86"/>
      <c r="CS1485" s="86"/>
      <c r="CT1485" s="86"/>
      <c r="CU1485" s="86"/>
      <c r="CV1485" s="86"/>
      <c r="CW1485" s="86"/>
    </row>
    <row r="1486" customFormat="false" ht="12.75" hidden="false" customHeight="false" outlineLevel="0" collapsed="false">
      <c r="F1486" s="86"/>
      <c r="G1486" s="86"/>
      <c r="H1486" s="86"/>
      <c r="I1486" s="86"/>
      <c r="J1486" s="86"/>
      <c r="K1486" s="86"/>
      <c r="L1486" s="86"/>
      <c r="N1486" s="86"/>
      <c r="CQ1486" s="86"/>
      <c r="CR1486" s="86"/>
      <c r="CS1486" s="86"/>
      <c r="CT1486" s="86"/>
      <c r="CU1486" s="86"/>
      <c r="CV1486" s="86"/>
      <c r="CW1486" s="86"/>
    </row>
    <row r="1487" customFormat="false" ht="12.75" hidden="false" customHeight="false" outlineLevel="0" collapsed="false">
      <c r="F1487" s="86"/>
      <c r="G1487" s="86"/>
      <c r="H1487" s="86"/>
      <c r="I1487" s="86"/>
      <c r="J1487" s="86"/>
      <c r="K1487" s="86"/>
      <c r="L1487" s="86"/>
      <c r="N1487" s="86"/>
      <c r="CQ1487" s="86"/>
      <c r="CR1487" s="86"/>
      <c r="CS1487" s="86"/>
      <c r="CT1487" s="86"/>
      <c r="CU1487" s="86"/>
      <c r="CV1487" s="86"/>
      <c r="CW1487" s="86"/>
    </row>
    <row r="1488" customFormat="false" ht="12.75" hidden="false" customHeight="false" outlineLevel="0" collapsed="false">
      <c r="F1488" s="86"/>
      <c r="G1488" s="86"/>
      <c r="H1488" s="86"/>
      <c r="I1488" s="86"/>
      <c r="J1488" s="86"/>
      <c r="K1488" s="86"/>
      <c r="L1488" s="86"/>
      <c r="N1488" s="86"/>
      <c r="CQ1488" s="86"/>
      <c r="CR1488" s="86"/>
      <c r="CS1488" s="86"/>
      <c r="CT1488" s="86"/>
      <c r="CU1488" s="86"/>
      <c r="CV1488" s="86"/>
      <c r="CW1488" s="86"/>
    </row>
    <row r="1489" customFormat="false" ht="12.75" hidden="false" customHeight="false" outlineLevel="0" collapsed="false">
      <c r="F1489" s="86"/>
      <c r="G1489" s="86"/>
      <c r="H1489" s="86"/>
      <c r="I1489" s="86"/>
      <c r="J1489" s="86"/>
      <c r="K1489" s="86"/>
      <c r="L1489" s="86"/>
      <c r="N1489" s="86"/>
      <c r="CQ1489" s="86"/>
      <c r="CR1489" s="86"/>
      <c r="CS1489" s="86"/>
      <c r="CT1489" s="86"/>
      <c r="CU1489" s="86"/>
      <c r="CV1489" s="86"/>
      <c r="CW1489" s="86"/>
    </row>
    <row r="1490" customFormat="false" ht="12.75" hidden="false" customHeight="false" outlineLevel="0" collapsed="false">
      <c r="F1490" s="86"/>
      <c r="G1490" s="86"/>
      <c r="H1490" s="86"/>
      <c r="I1490" s="86"/>
      <c r="J1490" s="86"/>
      <c r="K1490" s="86"/>
      <c r="L1490" s="86"/>
      <c r="N1490" s="86"/>
      <c r="CQ1490" s="86"/>
      <c r="CR1490" s="86"/>
      <c r="CS1490" s="86"/>
      <c r="CT1490" s="86"/>
      <c r="CU1490" s="86"/>
      <c r="CV1490" s="86"/>
      <c r="CW1490" s="86"/>
    </row>
    <row r="1491" customFormat="false" ht="12.75" hidden="false" customHeight="false" outlineLevel="0" collapsed="false">
      <c r="F1491" s="86"/>
      <c r="G1491" s="86"/>
      <c r="H1491" s="86"/>
      <c r="I1491" s="86"/>
      <c r="J1491" s="86"/>
      <c r="K1491" s="86"/>
      <c r="L1491" s="86"/>
      <c r="N1491" s="86"/>
      <c r="CQ1491" s="86"/>
      <c r="CR1491" s="86"/>
      <c r="CS1491" s="86"/>
      <c r="CT1491" s="86"/>
      <c r="CU1491" s="86"/>
      <c r="CV1491" s="86"/>
      <c r="CW1491" s="86"/>
    </row>
    <row r="1492" customFormat="false" ht="12.75" hidden="false" customHeight="false" outlineLevel="0" collapsed="false">
      <c r="F1492" s="86"/>
      <c r="G1492" s="86"/>
      <c r="H1492" s="86"/>
      <c r="I1492" s="86"/>
      <c r="J1492" s="86"/>
      <c r="K1492" s="86"/>
      <c r="L1492" s="86"/>
      <c r="N1492" s="86"/>
      <c r="CQ1492" s="86"/>
      <c r="CR1492" s="86"/>
      <c r="CS1492" s="86"/>
      <c r="CT1492" s="86"/>
      <c r="CU1492" s="86"/>
      <c r="CV1492" s="86"/>
      <c r="CW1492" s="86"/>
    </row>
    <row r="1493" customFormat="false" ht="12.75" hidden="false" customHeight="false" outlineLevel="0" collapsed="false">
      <c r="F1493" s="86"/>
      <c r="G1493" s="86"/>
      <c r="H1493" s="86"/>
      <c r="I1493" s="86"/>
      <c r="J1493" s="86"/>
      <c r="K1493" s="86"/>
      <c r="L1493" s="86"/>
      <c r="N1493" s="86"/>
      <c r="CQ1493" s="86"/>
      <c r="CR1493" s="86"/>
      <c r="CS1493" s="86"/>
      <c r="CT1493" s="86"/>
      <c r="CU1493" s="86"/>
      <c r="CV1493" s="86"/>
      <c r="CW1493" s="86"/>
    </row>
    <row r="1494" customFormat="false" ht="12.75" hidden="false" customHeight="false" outlineLevel="0" collapsed="false">
      <c r="F1494" s="86"/>
      <c r="G1494" s="86"/>
      <c r="H1494" s="86"/>
      <c r="I1494" s="86"/>
      <c r="J1494" s="86"/>
      <c r="K1494" s="86"/>
      <c r="L1494" s="86"/>
      <c r="N1494" s="86"/>
      <c r="CQ1494" s="86"/>
      <c r="CR1494" s="86"/>
      <c r="CS1494" s="86"/>
      <c r="CT1494" s="86"/>
      <c r="CU1494" s="86"/>
      <c r="CV1494" s="86"/>
      <c r="CW1494" s="86"/>
    </row>
    <row r="1495" customFormat="false" ht="12.75" hidden="false" customHeight="false" outlineLevel="0" collapsed="false">
      <c r="F1495" s="86"/>
      <c r="G1495" s="86"/>
      <c r="H1495" s="86"/>
      <c r="I1495" s="86"/>
      <c r="J1495" s="86"/>
      <c r="K1495" s="86"/>
      <c r="L1495" s="86"/>
      <c r="N1495" s="86"/>
      <c r="CQ1495" s="86"/>
      <c r="CR1495" s="86"/>
      <c r="CS1495" s="86"/>
      <c r="CT1495" s="86"/>
      <c r="CU1495" s="86"/>
      <c r="CV1495" s="86"/>
      <c r="CW1495" s="86"/>
    </row>
    <row r="1496" customFormat="false" ht="12.75" hidden="false" customHeight="false" outlineLevel="0" collapsed="false">
      <c r="F1496" s="86"/>
      <c r="G1496" s="86"/>
      <c r="H1496" s="86"/>
      <c r="I1496" s="86"/>
      <c r="J1496" s="86"/>
      <c r="K1496" s="86"/>
      <c r="L1496" s="86"/>
      <c r="N1496" s="86"/>
      <c r="CQ1496" s="86"/>
      <c r="CR1496" s="86"/>
      <c r="CS1496" s="86"/>
      <c r="CT1496" s="86"/>
      <c r="CU1496" s="86"/>
      <c r="CV1496" s="86"/>
      <c r="CW1496" s="86"/>
    </row>
    <row r="1497" customFormat="false" ht="12.75" hidden="false" customHeight="false" outlineLevel="0" collapsed="false">
      <c r="F1497" s="86"/>
      <c r="G1497" s="86"/>
      <c r="H1497" s="86"/>
      <c r="I1497" s="86"/>
      <c r="J1497" s="86"/>
      <c r="K1497" s="86"/>
      <c r="L1497" s="86"/>
      <c r="N1497" s="86"/>
      <c r="CQ1497" s="86"/>
      <c r="CR1497" s="86"/>
      <c r="CS1497" s="86"/>
      <c r="CT1497" s="86"/>
      <c r="CU1497" s="86"/>
      <c r="CV1497" s="86"/>
      <c r="CW1497" s="86"/>
    </row>
    <row r="1498" customFormat="false" ht="12.75" hidden="false" customHeight="false" outlineLevel="0" collapsed="false">
      <c r="F1498" s="86"/>
      <c r="G1498" s="86"/>
      <c r="H1498" s="86"/>
      <c r="I1498" s="86"/>
      <c r="J1498" s="86"/>
      <c r="K1498" s="86"/>
      <c r="L1498" s="86"/>
      <c r="N1498" s="86"/>
      <c r="CQ1498" s="86"/>
      <c r="CR1498" s="86"/>
      <c r="CS1498" s="86"/>
      <c r="CT1498" s="86"/>
      <c r="CU1498" s="86"/>
      <c r="CV1498" s="86"/>
      <c r="CW1498" s="86"/>
    </row>
    <row r="1499" customFormat="false" ht="12.75" hidden="false" customHeight="false" outlineLevel="0" collapsed="false">
      <c r="F1499" s="86"/>
      <c r="G1499" s="86"/>
      <c r="H1499" s="86"/>
      <c r="I1499" s="86"/>
      <c r="J1499" s="86"/>
      <c r="K1499" s="86"/>
      <c r="L1499" s="86"/>
      <c r="N1499" s="86"/>
      <c r="CQ1499" s="86"/>
      <c r="CR1499" s="86"/>
      <c r="CS1499" s="86"/>
      <c r="CT1499" s="86"/>
      <c r="CU1499" s="86"/>
      <c r="CV1499" s="86"/>
      <c r="CW1499" s="86"/>
    </row>
    <row r="1500" customFormat="false" ht="12.75" hidden="false" customHeight="false" outlineLevel="0" collapsed="false">
      <c r="F1500" s="86"/>
      <c r="G1500" s="86"/>
      <c r="H1500" s="86"/>
      <c r="I1500" s="86"/>
      <c r="J1500" s="86"/>
      <c r="K1500" s="86"/>
      <c r="L1500" s="86"/>
      <c r="N1500" s="86"/>
      <c r="CQ1500" s="86"/>
      <c r="CR1500" s="86"/>
      <c r="CS1500" s="86"/>
      <c r="CT1500" s="86"/>
      <c r="CU1500" s="86"/>
      <c r="CV1500" s="86"/>
      <c r="CW1500" s="86"/>
    </row>
    <row r="1501" customFormat="false" ht="12.75" hidden="false" customHeight="false" outlineLevel="0" collapsed="false">
      <c r="F1501" s="86"/>
      <c r="G1501" s="86"/>
      <c r="H1501" s="86"/>
      <c r="I1501" s="86"/>
      <c r="J1501" s="86"/>
      <c r="K1501" s="86"/>
      <c r="L1501" s="86"/>
      <c r="N1501" s="86"/>
      <c r="CQ1501" s="86"/>
      <c r="CR1501" s="86"/>
      <c r="CS1501" s="86"/>
      <c r="CT1501" s="86"/>
      <c r="CU1501" s="86"/>
      <c r="CV1501" s="86"/>
      <c r="CW1501" s="86"/>
    </row>
    <row r="1502" customFormat="false" ht="12.75" hidden="false" customHeight="false" outlineLevel="0" collapsed="false">
      <c r="F1502" s="86"/>
      <c r="G1502" s="86"/>
      <c r="H1502" s="86"/>
      <c r="I1502" s="86"/>
      <c r="J1502" s="86"/>
      <c r="K1502" s="86"/>
      <c r="L1502" s="86"/>
      <c r="N1502" s="86"/>
      <c r="CQ1502" s="86"/>
      <c r="CR1502" s="86"/>
      <c r="CS1502" s="86"/>
      <c r="CT1502" s="86"/>
      <c r="CU1502" s="86"/>
      <c r="CV1502" s="86"/>
      <c r="CW1502" s="86"/>
    </row>
    <row r="1503" customFormat="false" ht="12.75" hidden="false" customHeight="false" outlineLevel="0" collapsed="false">
      <c r="F1503" s="86"/>
      <c r="G1503" s="86"/>
      <c r="H1503" s="86"/>
      <c r="I1503" s="86"/>
      <c r="J1503" s="86"/>
      <c r="K1503" s="86"/>
      <c r="L1503" s="86"/>
      <c r="N1503" s="86"/>
      <c r="CQ1503" s="86"/>
      <c r="CR1503" s="86"/>
      <c r="CS1503" s="86"/>
      <c r="CT1503" s="86"/>
      <c r="CU1503" s="86"/>
      <c r="CV1503" s="86"/>
      <c r="CW1503" s="86"/>
    </row>
    <row r="1504" customFormat="false" ht="12.75" hidden="false" customHeight="false" outlineLevel="0" collapsed="false">
      <c r="F1504" s="86"/>
      <c r="G1504" s="86"/>
      <c r="H1504" s="86"/>
      <c r="I1504" s="86"/>
      <c r="J1504" s="86"/>
      <c r="K1504" s="86"/>
      <c r="L1504" s="86"/>
      <c r="N1504" s="86"/>
      <c r="CQ1504" s="86"/>
      <c r="CR1504" s="86"/>
      <c r="CS1504" s="86"/>
      <c r="CT1504" s="86"/>
      <c r="CU1504" s="86"/>
      <c r="CV1504" s="86"/>
      <c r="CW1504" s="86"/>
    </row>
    <row r="1505" customFormat="false" ht="12.75" hidden="false" customHeight="false" outlineLevel="0" collapsed="false">
      <c r="F1505" s="86"/>
      <c r="G1505" s="86"/>
      <c r="H1505" s="86"/>
      <c r="I1505" s="86"/>
      <c r="J1505" s="86"/>
      <c r="K1505" s="86"/>
      <c r="L1505" s="86"/>
      <c r="N1505" s="86"/>
      <c r="CQ1505" s="86"/>
      <c r="CR1505" s="86"/>
      <c r="CS1505" s="86"/>
      <c r="CT1505" s="86"/>
      <c r="CU1505" s="86"/>
      <c r="CV1505" s="86"/>
      <c r="CW1505" s="86"/>
    </row>
    <row r="1506" customFormat="false" ht="12.75" hidden="false" customHeight="false" outlineLevel="0" collapsed="false">
      <c r="F1506" s="86"/>
      <c r="G1506" s="86"/>
      <c r="H1506" s="86"/>
      <c r="I1506" s="86"/>
      <c r="J1506" s="86"/>
      <c r="K1506" s="86"/>
      <c r="L1506" s="86"/>
      <c r="N1506" s="86"/>
      <c r="CQ1506" s="86"/>
      <c r="CR1506" s="86"/>
      <c r="CS1506" s="86"/>
      <c r="CT1506" s="86"/>
      <c r="CU1506" s="86"/>
      <c r="CV1506" s="86"/>
      <c r="CW1506" s="86"/>
    </row>
    <row r="1507" customFormat="false" ht="12.75" hidden="false" customHeight="false" outlineLevel="0" collapsed="false">
      <c r="F1507" s="86"/>
      <c r="G1507" s="86"/>
      <c r="H1507" s="86"/>
      <c r="I1507" s="86"/>
      <c r="J1507" s="86"/>
      <c r="K1507" s="86"/>
      <c r="L1507" s="86"/>
      <c r="N1507" s="86"/>
      <c r="CQ1507" s="86"/>
      <c r="CR1507" s="86"/>
      <c r="CS1507" s="86"/>
      <c r="CT1507" s="86"/>
      <c r="CU1507" s="86"/>
      <c r="CV1507" s="86"/>
      <c r="CW1507" s="86"/>
    </row>
    <row r="1508" customFormat="false" ht="12.75" hidden="false" customHeight="false" outlineLevel="0" collapsed="false">
      <c r="F1508" s="86"/>
      <c r="G1508" s="86"/>
      <c r="H1508" s="86"/>
      <c r="I1508" s="86"/>
      <c r="J1508" s="86"/>
      <c r="K1508" s="86"/>
      <c r="L1508" s="86"/>
      <c r="N1508" s="86"/>
      <c r="CQ1508" s="86"/>
      <c r="CR1508" s="86"/>
      <c r="CS1508" s="86"/>
      <c r="CT1508" s="86"/>
      <c r="CU1508" s="86"/>
      <c r="CV1508" s="86"/>
      <c r="CW1508" s="86"/>
    </row>
    <row r="1509" customFormat="false" ht="12.75" hidden="false" customHeight="false" outlineLevel="0" collapsed="false">
      <c r="F1509" s="86"/>
      <c r="G1509" s="86"/>
      <c r="H1509" s="86"/>
      <c r="I1509" s="86"/>
      <c r="J1509" s="86"/>
      <c r="K1509" s="86"/>
      <c r="L1509" s="86"/>
      <c r="N1509" s="86"/>
      <c r="CQ1509" s="86"/>
      <c r="CR1509" s="86"/>
      <c r="CS1509" s="86"/>
      <c r="CT1509" s="86"/>
      <c r="CU1509" s="86"/>
      <c r="CV1509" s="86"/>
      <c r="CW1509" s="86"/>
    </row>
    <row r="1510" customFormat="false" ht="12.75" hidden="false" customHeight="false" outlineLevel="0" collapsed="false">
      <c r="F1510" s="86"/>
      <c r="G1510" s="86"/>
      <c r="H1510" s="86"/>
      <c r="I1510" s="86"/>
      <c r="J1510" s="86"/>
      <c r="K1510" s="86"/>
      <c r="L1510" s="86"/>
      <c r="N1510" s="86"/>
      <c r="CQ1510" s="86"/>
      <c r="CR1510" s="86"/>
      <c r="CS1510" s="86"/>
      <c r="CT1510" s="86"/>
      <c r="CU1510" s="86"/>
      <c r="CV1510" s="86"/>
      <c r="CW1510" s="86"/>
    </row>
    <row r="1511" customFormat="false" ht="12.75" hidden="false" customHeight="false" outlineLevel="0" collapsed="false">
      <c r="F1511" s="86"/>
      <c r="G1511" s="86"/>
      <c r="H1511" s="86"/>
      <c r="I1511" s="86"/>
      <c r="J1511" s="86"/>
      <c r="K1511" s="86"/>
      <c r="L1511" s="86"/>
      <c r="N1511" s="86"/>
      <c r="CQ1511" s="86"/>
      <c r="CR1511" s="86"/>
      <c r="CS1511" s="86"/>
      <c r="CT1511" s="86"/>
      <c r="CU1511" s="86"/>
      <c r="CV1511" s="86"/>
      <c r="CW1511" s="86"/>
    </row>
    <row r="1512" customFormat="false" ht="12.75" hidden="false" customHeight="false" outlineLevel="0" collapsed="false">
      <c r="F1512" s="86"/>
      <c r="G1512" s="86"/>
      <c r="H1512" s="86"/>
      <c r="I1512" s="86"/>
      <c r="J1512" s="86"/>
      <c r="K1512" s="86"/>
      <c r="L1512" s="86"/>
      <c r="N1512" s="86"/>
      <c r="CQ1512" s="86"/>
      <c r="CR1512" s="86"/>
      <c r="CS1512" s="86"/>
      <c r="CT1512" s="86"/>
      <c r="CU1512" s="86"/>
      <c r="CV1512" s="86"/>
      <c r="CW1512" s="86"/>
    </row>
    <row r="1513" customFormat="false" ht="12.75" hidden="false" customHeight="false" outlineLevel="0" collapsed="false">
      <c r="F1513" s="86"/>
      <c r="G1513" s="86"/>
      <c r="H1513" s="86"/>
      <c r="I1513" s="86"/>
      <c r="J1513" s="86"/>
      <c r="K1513" s="86"/>
      <c r="L1513" s="86"/>
      <c r="N1513" s="86"/>
      <c r="CQ1513" s="86"/>
      <c r="CR1513" s="86"/>
      <c r="CS1513" s="86"/>
      <c r="CT1513" s="86"/>
      <c r="CU1513" s="86"/>
      <c r="CV1513" s="86"/>
      <c r="CW1513" s="86"/>
    </row>
    <row r="1514" customFormat="false" ht="12.75" hidden="false" customHeight="false" outlineLevel="0" collapsed="false">
      <c r="F1514" s="86"/>
      <c r="G1514" s="86"/>
      <c r="H1514" s="86"/>
      <c r="I1514" s="86"/>
      <c r="J1514" s="86"/>
      <c r="K1514" s="86"/>
      <c r="L1514" s="86"/>
      <c r="N1514" s="86"/>
      <c r="CQ1514" s="86"/>
      <c r="CR1514" s="86"/>
      <c r="CS1514" s="86"/>
      <c r="CT1514" s="86"/>
      <c r="CU1514" s="86"/>
      <c r="CV1514" s="86"/>
      <c r="CW1514" s="86"/>
    </row>
    <row r="1515" customFormat="false" ht="12.75" hidden="false" customHeight="false" outlineLevel="0" collapsed="false">
      <c r="F1515" s="86"/>
      <c r="G1515" s="86"/>
      <c r="H1515" s="86"/>
      <c r="I1515" s="86"/>
      <c r="J1515" s="86"/>
      <c r="K1515" s="86"/>
      <c r="L1515" s="86"/>
      <c r="N1515" s="86"/>
      <c r="CQ1515" s="86"/>
      <c r="CR1515" s="86"/>
      <c r="CS1515" s="86"/>
      <c r="CT1515" s="86"/>
      <c r="CU1515" s="86"/>
      <c r="CV1515" s="86"/>
      <c r="CW1515" s="86"/>
    </row>
    <row r="1516" customFormat="false" ht="12.75" hidden="false" customHeight="false" outlineLevel="0" collapsed="false">
      <c r="F1516" s="86"/>
      <c r="G1516" s="86"/>
      <c r="H1516" s="86"/>
      <c r="I1516" s="86"/>
      <c r="J1516" s="86"/>
      <c r="K1516" s="86"/>
      <c r="L1516" s="86"/>
      <c r="N1516" s="86"/>
      <c r="CQ1516" s="86"/>
      <c r="CR1516" s="86"/>
      <c r="CS1516" s="86"/>
      <c r="CT1516" s="86"/>
      <c r="CU1516" s="86"/>
      <c r="CV1516" s="86"/>
      <c r="CW1516" s="86"/>
    </row>
    <row r="1517" customFormat="false" ht="12.75" hidden="false" customHeight="false" outlineLevel="0" collapsed="false">
      <c r="F1517" s="86"/>
      <c r="G1517" s="86"/>
      <c r="H1517" s="86"/>
      <c r="I1517" s="86"/>
      <c r="J1517" s="86"/>
      <c r="K1517" s="86"/>
      <c r="L1517" s="86"/>
      <c r="N1517" s="86"/>
      <c r="CQ1517" s="86"/>
      <c r="CR1517" s="86"/>
      <c r="CS1517" s="86"/>
      <c r="CT1517" s="86"/>
      <c r="CU1517" s="86"/>
      <c r="CV1517" s="86"/>
      <c r="CW1517" s="86"/>
    </row>
    <row r="1518" customFormat="false" ht="12.75" hidden="false" customHeight="false" outlineLevel="0" collapsed="false">
      <c r="F1518" s="86"/>
      <c r="G1518" s="86"/>
      <c r="H1518" s="86"/>
      <c r="I1518" s="86"/>
      <c r="J1518" s="86"/>
      <c r="K1518" s="86"/>
      <c r="L1518" s="86"/>
      <c r="N1518" s="86"/>
      <c r="CQ1518" s="86"/>
      <c r="CR1518" s="86"/>
      <c r="CS1518" s="86"/>
      <c r="CT1518" s="86"/>
      <c r="CU1518" s="86"/>
      <c r="CV1518" s="86"/>
      <c r="CW1518" s="86"/>
    </row>
    <row r="1519" customFormat="false" ht="12.75" hidden="false" customHeight="false" outlineLevel="0" collapsed="false">
      <c r="F1519" s="86"/>
      <c r="G1519" s="86"/>
      <c r="H1519" s="86"/>
      <c r="I1519" s="86"/>
      <c r="J1519" s="86"/>
      <c r="K1519" s="86"/>
      <c r="L1519" s="86"/>
      <c r="N1519" s="86"/>
      <c r="CQ1519" s="86"/>
      <c r="CR1519" s="86"/>
      <c r="CS1519" s="86"/>
      <c r="CT1519" s="86"/>
      <c r="CU1519" s="86"/>
      <c r="CV1519" s="86"/>
      <c r="CW1519" s="86"/>
    </row>
    <row r="1520" customFormat="false" ht="12.75" hidden="false" customHeight="false" outlineLevel="0" collapsed="false">
      <c r="F1520" s="86"/>
      <c r="G1520" s="86"/>
      <c r="H1520" s="86"/>
      <c r="I1520" s="86"/>
      <c r="J1520" s="86"/>
      <c r="K1520" s="86"/>
      <c r="L1520" s="86"/>
      <c r="N1520" s="86"/>
      <c r="CQ1520" s="86"/>
      <c r="CR1520" s="86"/>
      <c r="CS1520" s="86"/>
      <c r="CT1520" s="86"/>
      <c r="CU1520" s="86"/>
      <c r="CV1520" s="86"/>
      <c r="CW1520" s="86"/>
    </row>
    <row r="1521" customFormat="false" ht="12.75" hidden="false" customHeight="false" outlineLevel="0" collapsed="false">
      <c r="F1521" s="86"/>
      <c r="G1521" s="86"/>
      <c r="H1521" s="86"/>
      <c r="I1521" s="86"/>
      <c r="J1521" s="86"/>
      <c r="K1521" s="86"/>
      <c r="L1521" s="86"/>
      <c r="N1521" s="86"/>
      <c r="CQ1521" s="86"/>
      <c r="CR1521" s="86"/>
      <c r="CS1521" s="86"/>
      <c r="CT1521" s="86"/>
      <c r="CU1521" s="86"/>
      <c r="CV1521" s="86"/>
      <c r="CW1521" s="86"/>
    </row>
    <row r="1522" customFormat="false" ht="12.75" hidden="false" customHeight="false" outlineLevel="0" collapsed="false">
      <c r="F1522" s="86"/>
      <c r="G1522" s="86"/>
      <c r="H1522" s="86"/>
      <c r="I1522" s="86"/>
      <c r="J1522" s="86"/>
      <c r="K1522" s="86"/>
      <c r="L1522" s="86"/>
      <c r="N1522" s="86"/>
      <c r="CQ1522" s="86"/>
      <c r="CR1522" s="86"/>
      <c r="CS1522" s="86"/>
      <c r="CT1522" s="86"/>
      <c r="CU1522" s="86"/>
      <c r="CV1522" s="86"/>
      <c r="CW1522" s="86"/>
    </row>
    <row r="1523" customFormat="false" ht="12.75" hidden="false" customHeight="false" outlineLevel="0" collapsed="false">
      <c r="F1523" s="86"/>
      <c r="G1523" s="86"/>
      <c r="H1523" s="86"/>
      <c r="I1523" s="86"/>
      <c r="J1523" s="86"/>
      <c r="K1523" s="86"/>
      <c r="L1523" s="86"/>
      <c r="N1523" s="86"/>
      <c r="CQ1523" s="86"/>
      <c r="CR1523" s="86"/>
      <c r="CS1523" s="86"/>
      <c r="CT1523" s="86"/>
      <c r="CU1523" s="86"/>
      <c r="CV1523" s="86"/>
      <c r="CW1523" s="86"/>
    </row>
    <row r="1524" customFormat="false" ht="12.75" hidden="false" customHeight="false" outlineLevel="0" collapsed="false">
      <c r="F1524" s="86"/>
      <c r="G1524" s="86"/>
      <c r="H1524" s="86"/>
      <c r="I1524" s="86"/>
      <c r="J1524" s="86"/>
      <c r="K1524" s="86"/>
      <c r="L1524" s="86"/>
      <c r="N1524" s="86"/>
      <c r="CQ1524" s="86"/>
      <c r="CR1524" s="86"/>
      <c r="CS1524" s="86"/>
      <c r="CT1524" s="86"/>
      <c r="CU1524" s="86"/>
      <c r="CV1524" s="86"/>
      <c r="CW1524" s="86"/>
    </row>
    <row r="1525" customFormat="false" ht="12.75" hidden="false" customHeight="false" outlineLevel="0" collapsed="false">
      <c r="F1525" s="86"/>
      <c r="G1525" s="86"/>
      <c r="H1525" s="86"/>
      <c r="I1525" s="86"/>
      <c r="J1525" s="86"/>
      <c r="K1525" s="86"/>
      <c r="L1525" s="86"/>
      <c r="N1525" s="86"/>
      <c r="CQ1525" s="86"/>
      <c r="CR1525" s="86"/>
      <c r="CS1525" s="86"/>
      <c r="CT1525" s="86"/>
      <c r="CU1525" s="86"/>
      <c r="CV1525" s="86"/>
      <c r="CW1525" s="86"/>
    </row>
    <row r="1526" customFormat="false" ht="12.75" hidden="false" customHeight="false" outlineLevel="0" collapsed="false">
      <c r="F1526" s="86"/>
      <c r="G1526" s="86"/>
      <c r="H1526" s="86"/>
      <c r="I1526" s="86"/>
      <c r="J1526" s="86"/>
      <c r="K1526" s="86"/>
      <c r="L1526" s="86"/>
      <c r="N1526" s="86"/>
      <c r="CQ1526" s="86"/>
      <c r="CR1526" s="86"/>
      <c r="CS1526" s="86"/>
      <c r="CT1526" s="86"/>
      <c r="CU1526" s="86"/>
      <c r="CV1526" s="86"/>
      <c r="CW1526" s="86"/>
    </row>
    <row r="1527" customFormat="false" ht="12.75" hidden="false" customHeight="false" outlineLevel="0" collapsed="false">
      <c r="F1527" s="86"/>
      <c r="G1527" s="86"/>
      <c r="H1527" s="86"/>
      <c r="I1527" s="86"/>
      <c r="J1527" s="86"/>
      <c r="K1527" s="86"/>
      <c r="L1527" s="86"/>
      <c r="N1527" s="86"/>
      <c r="CQ1527" s="86"/>
      <c r="CR1527" s="86"/>
      <c r="CS1527" s="86"/>
      <c r="CT1527" s="86"/>
      <c r="CU1527" s="86"/>
      <c r="CV1527" s="86"/>
      <c r="CW1527" s="86"/>
    </row>
    <row r="1528" customFormat="false" ht="12.75" hidden="false" customHeight="false" outlineLevel="0" collapsed="false">
      <c r="F1528" s="86"/>
      <c r="G1528" s="86"/>
      <c r="H1528" s="86"/>
      <c r="I1528" s="86"/>
      <c r="J1528" s="86"/>
      <c r="K1528" s="86"/>
      <c r="L1528" s="86"/>
      <c r="N1528" s="86"/>
      <c r="CQ1528" s="86"/>
      <c r="CR1528" s="86"/>
      <c r="CS1528" s="86"/>
      <c r="CT1528" s="86"/>
      <c r="CU1528" s="86"/>
      <c r="CV1528" s="86"/>
      <c r="CW1528" s="86"/>
    </row>
    <row r="1529" customFormat="false" ht="12.75" hidden="false" customHeight="false" outlineLevel="0" collapsed="false">
      <c r="F1529" s="86"/>
      <c r="G1529" s="86"/>
      <c r="H1529" s="86"/>
      <c r="I1529" s="86"/>
      <c r="J1529" s="86"/>
      <c r="K1529" s="86"/>
      <c r="L1529" s="86"/>
      <c r="N1529" s="86"/>
      <c r="CQ1529" s="86"/>
      <c r="CR1529" s="86"/>
      <c r="CS1529" s="86"/>
      <c r="CT1529" s="86"/>
      <c r="CU1529" s="86"/>
      <c r="CV1529" s="86"/>
      <c r="CW1529" s="86"/>
    </row>
    <row r="1530" customFormat="false" ht="12.75" hidden="false" customHeight="false" outlineLevel="0" collapsed="false">
      <c r="F1530" s="86"/>
      <c r="G1530" s="86"/>
      <c r="H1530" s="86"/>
      <c r="I1530" s="86"/>
      <c r="J1530" s="86"/>
      <c r="K1530" s="86"/>
      <c r="L1530" s="86"/>
      <c r="N1530" s="86"/>
      <c r="CQ1530" s="86"/>
      <c r="CR1530" s="86"/>
      <c r="CS1530" s="86"/>
      <c r="CT1530" s="86"/>
      <c r="CU1530" s="86"/>
      <c r="CV1530" s="86"/>
      <c r="CW1530" s="86"/>
    </row>
    <row r="1531" customFormat="false" ht="12.75" hidden="false" customHeight="false" outlineLevel="0" collapsed="false">
      <c r="F1531" s="86"/>
      <c r="G1531" s="86"/>
      <c r="H1531" s="86"/>
      <c r="I1531" s="86"/>
      <c r="J1531" s="86"/>
      <c r="K1531" s="86"/>
      <c r="L1531" s="86"/>
      <c r="N1531" s="86"/>
      <c r="CQ1531" s="86"/>
      <c r="CR1531" s="86"/>
      <c r="CS1531" s="86"/>
      <c r="CT1531" s="86"/>
      <c r="CU1531" s="86"/>
      <c r="CV1531" s="86"/>
      <c r="CW1531" s="86"/>
    </row>
    <row r="1532" customFormat="false" ht="12.75" hidden="false" customHeight="false" outlineLevel="0" collapsed="false">
      <c r="F1532" s="86"/>
      <c r="G1532" s="86"/>
      <c r="H1532" s="86"/>
      <c r="I1532" s="86"/>
      <c r="J1532" s="86"/>
      <c r="K1532" s="86"/>
      <c r="L1532" s="86"/>
      <c r="N1532" s="86"/>
      <c r="CQ1532" s="86"/>
      <c r="CR1532" s="86"/>
      <c r="CS1532" s="86"/>
      <c r="CT1532" s="86"/>
      <c r="CU1532" s="86"/>
      <c r="CV1532" s="86"/>
      <c r="CW1532" s="86"/>
    </row>
    <row r="1533" customFormat="false" ht="12.75" hidden="false" customHeight="false" outlineLevel="0" collapsed="false">
      <c r="F1533" s="86"/>
      <c r="G1533" s="86"/>
      <c r="H1533" s="86"/>
      <c r="I1533" s="86"/>
      <c r="J1533" s="86"/>
      <c r="K1533" s="86"/>
      <c r="L1533" s="86"/>
      <c r="N1533" s="86"/>
      <c r="CQ1533" s="86"/>
      <c r="CR1533" s="86"/>
      <c r="CS1533" s="86"/>
      <c r="CT1533" s="86"/>
      <c r="CU1533" s="86"/>
      <c r="CV1533" s="86"/>
      <c r="CW1533" s="86"/>
    </row>
    <row r="1534" customFormat="false" ht="12.75" hidden="false" customHeight="false" outlineLevel="0" collapsed="false">
      <c r="F1534" s="86"/>
      <c r="G1534" s="86"/>
      <c r="H1534" s="86"/>
      <c r="I1534" s="86"/>
      <c r="J1534" s="86"/>
      <c r="K1534" s="86"/>
      <c r="L1534" s="86"/>
      <c r="N1534" s="86"/>
      <c r="CQ1534" s="86"/>
      <c r="CR1534" s="86"/>
      <c r="CS1534" s="86"/>
      <c r="CT1534" s="86"/>
      <c r="CU1534" s="86"/>
      <c r="CV1534" s="86"/>
      <c r="CW1534" s="86"/>
    </row>
    <row r="1535" customFormat="false" ht="12.75" hidden="false" customHeight="false" outlineLevel="0" collapsed="false">
      <c r="F1535" s="86"/>
      <c r="G1535" s="86"/>
      <c r="H1535" s="86"/>
      <c r="I1535" s="86"/>
      <c r="J1535" s="86"/>
      <c r="K1535" s="86"/>
      <c r="L1535" s="86"/>
      <c r="N1535" s="86"/>
      <c r="CQ1535" s="86"/>
      <c r="CR1535" s="86"/>
      <c r="CS1535" s="86"/>
      <c r="CT1535" s="86"/>
      <c r="CU1535" s="86"/>
      <c r="CV1535" s="86"/>
      <c r="CW1535" s="86"/>
    </row>
    <row r="1536" customFormat="false" ht="12.75" hidden="false" customHeight="false" outlineLevel="0" collapsed="false">
      <c r="F1536" s="86"/>
      <c r="G1536" s="86"/>
      <c r="H1536" s="86"/>
      <c r="I1536" s="86"/>
      <c r="J1536" s="86"/>
      <c r="K1536" s="86"/>
      <c r="L1536" s="86"/>
      <c r="N1536" s="86"/>
      <c r="CQ1536" s="86"/>
      <c r="CR1536" s="86"/>
      <c r="CS1536" s="86"/>
      <c r="CT1536" s="86"/>
      <c r="CU1536" s="86"/>
      <c r="CV1536" s="86"/>
      <c r="CW1536" s="86"/>
    </row>
    <row r="1537" customFormat="false" ht="12.75" hidden="false" customHeight="false" outlineLevel="0" collapsed="false">
      <c r="F1537" s="86"/>
      <c r="G1537" s="86"/>
      <c r="H1537" s="86"/>
      <c r="I1537" s="86"/>
      <c r="J1537" s="86"/>
      <c r="K1537" s="86"/>
      <c r="L1537" s="86"/>
      <c r="N1537" s="86"/>
      <c r="CQ1537" s="86"/>
      <c r="CR1537" s="86"/>
      <c r="CS1537" s="86"/>
      <c r="CT1537" s="86"/>
      <c r="CU1537" s="86"/>
      <c r="CV1537" s="86"/>
      <c r="CW1537" s="86"/>
    </row>
    <row r="1538" customFormat="false" ht="12.75" hidden="false" customHeight="false" outlineLevel="0" collapsed="false">
      <c r="F1538" s="86"/>
      <c r="G1538" s="86"/>
      <c r="H1538" s="86"/>
      <c r="I1538" s="86"/>
      <c r="J1538" s="86"/>
      <c r="K1538" s="86"/>
      <c r="L1538" s="86"/>
      <c r="N1538" s="86"/>
      <c r="CQ1538" s="86"/>
      <c r="CR1538" s="86"/>
      <c r="CS1538" s="86"/>
      <c r="CT1538" s="86"/>
      <c r="CU1538" s="86"/>
      <c r="CV1538" s="86"/>
      <c r="CW1538" s="86"/>
    </row>
    <row r="1539" customFormat="false" ht="12.75" hidden="false" customHeight="false" outlineLevel="0" collapsed="false">
      <c r="F1539" s="86"/>
      <c r="G1539" s="86"/>
      <c r="H1539" s="86"/>
      <c r="I1539" s="86"/>
      <c r="J1539" s="86"/>
      <c r="K1539" s="86"/>
      <c r="L1539" s="86"/>
      <c r="N1539" s="86"/>
      <c r="CQ1539" s="86"/>
      <c r="CR1539" s="86"/>
      <c r="CS1539" s="86"/>
      <c r="CT1539" s="86"/>
      <c r="CU1539" s="86"/>
      <c r="CV1539" s="86"/>
      <c r="CW1539" s="86"/>
    </row>
    <row r="1540" customFormat="false" ht="12.75" hidden="false" customHeight="false" outlineLevel="0" collapsed="false">
      <c r="F1540" s="86"/>
      <c r="G1540" s="86"/>
      <c r="H1540" s="86"/>
      <c r="I1540" s="86"/>
      <c r="J1540" s="86"/>
      <c r="K1540" s="86"/>
      <c r="L1540" s="86"/>
      <c r="N1540" s="86"/>
      <c r="CQ1540" s="86"/>
      <c r="CR1540" s="86"/>
      <c r="CS1540" s="86"/>
      <c r="CT1540" s="86"/>
      <c r="CU1540" s="86"/>
      <c r="CV1540" s="86"/>
      <c r="CW1540" s="86"/>
    </row>
    <row r="1541" customFormat="false" ht="12.75" hidden="false" customHeight="false" outlineLevel="0" collapsed="false">
      <c r="F1541" s="86"/>
      <c r="G1541" s="86"/>
      <c r="H1541" s="86"/>
      <c r="I1541" s="86"/>
      <c r="J1541" s="86"/>
      <c r="K1541" s="86"/>
      <c r="L1541" s="86"/>
      <c r="N1541" s="86"/>
      <c r="CQ1541" s="86"/>
      <c r="CR1541" s="86"/>
      <c r="CS1541" s="86"/>
      <c r="CT1541" s="86"/>
      <c r="CU1541" s="86"/>
      <c r="CV1541" s="86"/>
      <c r="CW1541" s="86"/>
    </row>
    <row r="1542" customFormat="false" ht="12.75" hidden="false" customHeight="false" outlineLevel="0" collapsed="false">
      <c r="F1542" s="86"/>
      <c r="G1542" s="86"/>
      <c r="H1542" s="86"/>
      <c r="I1542" s="86"/>
      <c r="J1542" s="86"/>
      <c r="K1542" s="86"/>
      <c r="L1542" s="86"/>
      <c r="N1542" s="86"/>
      <c r="CQ1542" s="86"/>
      <c r="CR1542" s="86"/>
      <c r="CS1542" s="86"/>
      <c r="CT1542" s="86"/>
      <c r="CU1542" s="86"/>
      <c r="CV1542" s="86"/>
      <c r="CW1542" s="86"/>
    </row>
    <row r="1543" customFormat="false" ht="12.75" hidden="false" customHeight="false" outlineLevel="0" collapsed="false">
      <c r="F1543" s="86"/>
      <c r="G1543" s="86"/>
      <c r="H1543" s="86"/>
      <c r="I1543" s="86"/>
      <c r="J1543" s="86"/>
      <c r="K1543" s="86"/>
      <c r="L1543" s="86"/>
      <c r="N1543" s="86"/>
      <c r="CQ1543" s="86"/>
      <c r="CR1543" s="86"/>
      <c r="CS1543" s="86"/>
      <c r="CT1543" s="86"/>
      <c r="CU1543" s="86"/>
      <c r="CV1543" s="86"/>
      <c r="CW1543" s="86"/>
    </row>
    <row r="1544" customFormat="false" ht="12.75" hidden="false" customHeight="false" outlineLevel="0" collapsed="false">
      <c r="F1544" s="86"/>
      <c r="G1544" s="86"/>
      <c r="H1544" s="86"/>
      <c r="I1544" s="86"/>
      <c r="J1544" s="86"/>
      <c r="K1544" s="86"/>
      <c r="L1544" s="86"/>
      <c r="N1544" s="86"/>
      <c r="CQ1544" s="86"/>
      <c r="CR1544" s="86"/>
      <c r="CS1544" s="86"/>
      <c r="CT1544" s="86"/>
      <c r="CU1544" s="86"/>
      <c r="CV1544" s="86"/>
      <c r="CW1544" s="86"/>
    </row>
    <row r="1545" customFormat="false" ht="12.75" hidden="false" customHeight="false" outlineLevel="0" collapsed="false">
      <c r="F1545" s="86"/>
      <c r="G1545" s="86"/>
      <c r="H1545" s="86"/>
      <c r="I1545" s="86"/>
      <c r="J1545" s="86"/>
      <c r="K1545" s="86"/>
      <c r="L1545" s="86"/>
      <c r="N1545" s="86"/>
      <c r="CQ1545" s="86"/>
      <c r="CR1545" s="86"/>
      <c r="CS1545" s="86"/>
      <c r="CT1545" s="86"/>
      <c r="CU1545" s="86"/>
      <c r="CV1545" s="86"/>
      <c r="CW1545" s="86"/>
    </row>
    <row r="1546" customFormat="false" ht="12.75" hidden="false" customHeight="false" outlineLevel="0" collapsed="false">
      <c r="F1546" s="86"/>
      <c r="G1546" s="86"/>
      <c r="H1546" s="86"/>
      <c r="I1546" s="86"/>
      <c r="J1546" s="86"/>
      <c r="K1546" s="86"/>
      <c r="L1546" s="86"/>
      <c r="N1546" s="86"/>
      <c r="CQ1546" s="86"/>
      <c r="CR1546" s="86"/>
      <c r="CS1546" s="86"/>
      <c r="CT1546" s="86"/>
      <c r="CU1546" s="86"/>
      <c r="CV1546" s="86"/>
      <c r="CW1546" s="86"/>
    </row>
    <row r="1547" customFormat="false" ht="12.75" hidden="false" customHeight="false" outlineLevel="0" collapsed="false">
      <c r="F1547" s="86"/>
      <c r="G1547" s="86"/>
      <c r="H1547" s="86"/>
      <c r="I1547" s="86"/>
      <c r="J1547" s="86"/>
      <c r="K1547" s="86"/>
      <c r="L1547" s="86"/>
      <c r="N1547" s="86"/>
      <c r="CQ1547" s="86"/>
      <c r="CR1547" s="86"/>
      <c r="CS1547" s="86"/>
      <c r="CT1547" s="86"/>
      <c r="CU1547" s="86"/>
      <c r="CV1547" s="86"/>
      <c r="CW1547" s="86"/>
    </row>
    <row r="1548" customFormat="false" ht="12.75" hidden="false" customHeight="false" outlineLevel="0" collapsed="false">
      <c r="F1548" s="86"/>
      <c r="G1548" s="86"/>
      <c r="H1548" s="86"/>
      <c r="I1548" s="86"/>
      <c r="J1548" s="86"/>
      <c r="K1548" s="86"/>
      <c r="L1548" s="86"/>
      <c r="N1548" s="86"/>
      <c r="CQ1548" s="86"/>
      <c r="CR1548" s="86"/>
      <c r="CS1548" s="86"/>
      <c r="CT1548" s="86"/>
      <c r="CU1548" s="86"/>
      <c r="CV1548" s="86"/>
      <c r="CW1548" s="86"/>
    </row>
    <row r="1549" customFormat="false" ht="12.75" hidden="false" customHeight="false" outlineLevel="0" collapsed="false">
      <c r="F1549" s="86"/>
      <c r="G1549" s="86"/>
      <c r="H1549" s="86"/>
      <c r="I1549" s="86"/>
      <c r="J1549" s="86"/>
      <c r="K1549" s="86"/>
      <c r="L1549" s="86"/>
      <c r="N1549" s="86"/>
      <c r="CQ1549" s="86"/>
      <c r="CR1549" s="86"/>
      <c r="CS1549" s="86"/>
      <c r="CT1549" s="86"/>
      <c r="CU1549" s="86"/>
      <c r="CV1549" s="86"/>
      <c r="CW1549" s="86"/>
    </row>
    <row r="1550" customFormat="false" ht="12.75" hidden="false" customHeight="false" outlineLevel="0" collapsed="false">
      <c r="F1550" s="86"/>
      <c r="G1550" s="86"/>
      <c r="H1550" s="86"/>
      <c r="I1550" s="86"/>
      <c r="J1550" s="86"/>
      <c r="K1550" s="86"/>
      <c r="L1550" s="86"/>
      <c r="N1550" s="86"/>
      <c r="CQ1550" s="86"/>
      <c r="CR1550" s="86"/>
      <c r="CS1550" s="86"/>
      <c r="CT1550" s="86"/>
      <c r="CU1550" s="86"/>
      <c r="CV1550" s="86"/>
      <c r="CW1550" s="86"/>
    </row>
    <row r="1551" customFormat="false" ht="12.75" hidden="false" customHeight="false" outlineLevel="0" collapsed="false">
      <c r="F1551" s="86"/>
      <c r="G1551" s="86"/>
      <c r="H1551" s="86"/>
      <c r="I1551" s="86"/>
      <c r="J1551" s="86"/>
      <c r="K1551" s="86"/>
      <c r="L1551" s="86"/>
      <c r="N1551" s="86"/>
      <c r="CQ1551" s="86"/>
      <c r="CR1551" s="86"/>
      <c r="CS1551" s="86"/>
      <c r="CT1551" s="86"/>
      <c r="CU1551" s="86"/>
      <c r="CV1551" s="86"/>
      <c r="CW1551" s="86"/>
    </row>
    <row r="1552" customFormat="false" ht="12.75" hidden="false" customHeight="false" outlineLevel="0" collapsed="false">
      <c r="F1552" s="86"/>
      <c r="G1552" s="86"/>
      <c r="H1552" s="86"/>
      <c r="I1552" s="86"/>
      <c r="J1552" s="86"/>
      <c r="K1552" s="86"/>
      <c r="L1552" s="86"/>
      <c r="N1552" s="86"/>
      <c r="CQ1552" s="86"/>
      <c r="CR1552" s="86"/>
      <c r="CS1552" s="86"/>
      <c r="CT1552" s="86"/>
      <c r="CU1552" s="86"/>
      <c r="CV1552" s="86"/>
      <c r="CW1552" s="86"/>
    </row>
    <row r="1553" customFormat="false" ht="12.75" hidden="false" customHeight="false" outlineLevel="0" collapsed="false">
      <c r="F1553" s="86"/>
      <c r="G1553" s="86"/>
      <c r="H1553" s="86"/>
      <c r="I1553" s="86"/>
      <c r="J1553" s="86"/>
      <c r="K1553" s="86"/>
      <c r="L1553" s="86"/>
      <c r="N1553" s="86"/>
      <c r="CQ1553" s="86"/>
      <c r="CR1553" s="86"/>
      <c r="CS1553" s="86"/>
      <c r="CT1553" s="86"/>
      <c r="CU1553" s="86"/>
      <c r="CV1553" s="86"/>
      <c r="CW1553" s="86"/>
    </row>
    <row r="1554" customFormat="false" ht="12.75" hidden="false" customHeight="false" outlineLevel="0" collapsed="false">
      <c r="F1554" s="86"/>
      <c r="G1554" s="86"/>
      <c r="H1554" s="86"/>
      <c r="I1554" s="86"/>
      <c r="J1554" s="86"/>
      <c r="K1554" s="86"/>
      <c r="L1554" s="86"/>
      <c r="N1554" s="86"/>
      <c r="CQ1554" s="86"/>
      <c r="CR1554" s="86"/>
      <c r="CS1554" s="86"/>
      <c r="CT1554" s="86"/>
      <c r="CU1554" s="86"/>
      <c r="CV1554" s="86"/>
      <c r="CW1554" s="86"/>
    </row>
    <row r="1555" customFormat="false" ht="12.75" hidden="false" customHeight="false" outlineLevel="0" collapsed="false">
      <c r="F1555" s="86"/>
      <c r="G1555" s="86"/>
      <c r="H1555" s="86"/>
      <c r="I1555" s="86"/>
      <c r="J1555" s="86"/>
      <c r="K1555" s="86"/>
      <c r="L1555" s="86"/>
      <c r="N1555" s="86"/>
      <c r="CQ1555" s="86"/>
      <c r="CR1555" s="86"/>
      <c r="CS1555" s="86"/>
      <c r="CT1555" s="86"/>
      <c r="CU1555" s="86"/>
      <c r="CV1555" s="86"/>
      <c r="CW1555" s="86"/>
    </row>
    <row r="1556" customFormat="false" ht="12.75" hidden="false" customHeight="false" outlineLevel="0" collapsed="false">
      <c r="F1556" s="86"/>
      <c r="G1556" s="86"/>
      <c r="H1556" s="86"/>
      <c r="I1556" s="86"/>
      <c r="J1556" s="86"/>
      <c r="K1556" s="86"/>
      <c r="L1556" s="86"/>
      <c r="N1556" s="86"/>
      <c r="CQ1556" s="86"/>
      <c r="CR1556" s="86"/>
      <c r="CS1556" s="86"/>
      <c r="CT1556" s="86"/>
      <c r="CU1556" s="86"/>
      <c r="CV1556" s="86"/>
      <c r="CW1556" s="86"/>
    </row>
    <row r="1557" customFormat="false" ht="12.75" hidden="false" customHeight="false" outlineLevel="0" collapsed="false">
      <c r="F1557" s="86"/>
      <c r="G1557" s="86"/>
      <c r="H1557" s="86"/>
      <c r="I1557" s="86"/>
      <c r="J1557" s="86"/>
      <c r="K1557" s="86"/>
      <c r="L1557" s="86"/>
      <c r="N1557" s="86"/>
      <c r="CQ1557" s="86"/>
      <c r="CR1557" s="86"/>
      <c r="CS1557" s="86"/>
      <c r="CT1557" s="86"/>
      <c r="CU1557" s="86"/>
      <c r="CV1557" s="86"/>
      <c r="CW1557" s="86"/>
    </row>
    <row r="1558" customFormat="false" ht="12.75" hidden="false" customHeight="false" outlineLevel="0" collapsed="false">
      <c r="F1558" s="86"/>
      <c r="G1558" s="86"/>
      <c r="H1558" s="86"/>
      <c r="I1558" s="86"/>
      <c r="J1558" s="86"/>
      <c r="K1558" s="86"/>
      <c r="L1558" s="86"/>
      <c r="N1558" s="86"/>
      <c r="CQ1558" s="86"/>
      <c r="CR1558" s="86"/>
      <c r="CS1558" s="86"/>
      <c r="CT1558" s="86"/>
      <c r="CU1558" s="86"/>
      <c r="CV1558" s="86"/>
      <c r="CW1558" s="86"/>
    </row>
    <row r="1559" customFormat="false" ht="12.75" hidden="false" customHeight="false" outlineLevel="0" collapsed="false">
      <c r="F1559" s="86"/>
      <c r="G1559" s="86"/>
      <c r="H1559" s="86"/>
      <c r="I1559" s="86"/>
      <c r="J1559" s="86"/>
      <c r="K1559" s="86"/>
      <c r="L1559" s="86"/>
      <c r="N1559" s="86"/>
      <c r="CQ1559" s="86"/>
      <c r="CR1559" s="86"/>
      <c r="CS1559" s="86"/>
      <c r="CT1559" s="86"/>
      <c r="CU1559" s="86"/>
      <c r="CV1559" s="86"/>
      <c r="CW1559" s="86"/>
    </row>
    <row r="1560" customFormat="false" ht="12.75" hidden="false" customHeight="false" outlineLevel="0" collapsed="false">
      <c r="F1560" s="86"/>
      <c r="G1560" s="86"/>
      <c r="H1560" s="86"/>
      <c r="I1560" s="86"/>
      <c r="J1560" s="86"/>
      <c r="K1560" s="86"/>
      <c r="L1560" s="86"/>
      <c r="N1560" s="86"/>
      <c r="CQ1560" s="86"/>
      <c r="CR1560" s="86"/>
      <c r="CS1560" s="86"/>
      <c r="CT1560" s="86"/>
      <c r="CU1560" s="86"/>
      <c r="CV1560" s="86"/>
      <c r="CW1560" s="86"/>
    </row>
    <row r="1561" customFormat="false" ht="12.75" hidden="false" customHeight="false" outlineLevel="0" collapsed="false">
      <c r="F1561" s="86"/>
      <c r="G1561" s="86"/>
      <c r="H1561" s="86"/>
      <c r="I1561" s="86"/>
      <c r="J1561" s="86"/>
      <c r="K1561" s="86"/>
      <c r="L1561" s="86"/>
      <c r="N1561" s="86"/>
      <c r="CQ1561" s="86"/>
      <c r="CR1561" s="86"/>
      <c r="CS1561" s="86"/>
      <c r="CT1561" s="86"/>
      <c r="CU1561" s="86"/>
      <c r="CV1561" s="86"/>
      <c r="CW1561" s="86"/>
    </row>
    <row r="1562" customFormat="false" ht="12.75" hidden="false" customHeight="false" outlineLevel="0" collapsed="false">
      <c r="F1562" s="86"/>
      <c r="G1562" s="86"/>
      <c r="H1562" s="86"/>
      <c r="I1562" s="86"/>
      <c r="J1562" s="86"/>
      <c r="K1562" s="86"/>
      <c r="L1562" s="86"/>
      <c r="N1562" s="86"/>
      <c r="CQ1562" s="86"/>
      <c r="CR1562" s="86"/>
      <c r="CS1562" s="86"/>
      <c r="CT1562" s="86"/>
      <c r="CU1562" s="86"/>
      <c r="CV1562" s="86"/>
      <c r="CW1562" s="86"/>
    </row>
    <row r="1563" customFormat="false" ht="12.75" hidden="false" customHeight="false" outlineLevel="0" collapsed="false">
      <c r="F1563" s="86"/>
      <c r="G1563" s="86"/>
      <c r="H1563" s="86"/>
      <c r="I1563" s="86"/>
      <c r="J1563" s="86"/>
      <c r="K1563" s="86"/>
      <c r="L1563" s="86"/>
      <c r="N1563" s="86"/>
      <c r="CQ1563" s="86"/>
      <c r="CR1563" s="86"/>
      <c r="CS1563" s="86"/>
      <c r="CT1563" s="86"/>
      <c r="CU1563" s="86"/>
      <c r="CV1563" s="86"/>
      <c r="CW1563" s="86"/>
    </row>
    <row r="1564" customFormat="false" ht="12.75" hidden="false" customHeight="false" outlineLevel="0" collapsed="false">
      <c r="F1564" s="86"/>
      <c r="G1564" s="86"/>
      <c r="H1564" s="86"/>
      <c r="I1564" s="86"/>
      <c r="J1564" s="86"/>
      <c r="K1564" s="86"/>
      <c r="L1564" s="86"/>
      <c r="N1564" s="86"/>
      <c r="CQ1564" s="86"/>
      <c r="CR1564" s="86"/>
      <c r="CS1564" s="86"/>
      <c r="CT1564" s="86"/>
      <c r="CU1564" s="86"/>
      <c r="CV1564" s="86"/>
      <c r="CW1564" s="86"/>
    </row>
    <row r="1565" customFormat="false" ht="12.75" hidden="false" customHeight="false" outlineLevel="0" collapsed="false">
      <c r="F1565" s="86"/>
      <c r="G1565" s="86"/>
      <c r="H1565" s="86"/>
      <c r="I1565" s="86"/>
      <c r="J1565" s="86"/>
      <c r="K1565" s="86"/>
      <c r="L1565" s="86"/>
      <c r="N1565" s="86"/>
      <c r="CQ1565" s="86"/>
      <c r="CR1565" s="86"/>
      <c r="CS1565" s="86"/>
      <c r="CT1565" s="86"/>
      <c r="CU1565" s="86"/>
      <c r="CV1565" s="86"/>
      <c r="CW1565" s="86"/>
    </row>
    <row r="1566" customFormat="false" ht="12.75" hidden="false" customHeight="false" outlineLevel="0" collapsed="false">
      <c r="F1566" s="86"/>
      <c r="G1566" s="86"/>
      <c r="H1566" s="86"/>
      <c r="I1566" s="86"/>
      <c r="J1566" s="86"/>
      <c r="K1566" s="86"/>
      <c r="L1566" s="86"/>
      <c r="N1566" s="86"/>
      <c r="CQ1566" s="86"/>
      <c r="CR1566" s="86"/>
      <c r="CS1566" s="86"/>
      <c r="CT1566" s="86"/>
      <c r="CU1566" s="86"/>
      <c r="CV1566" s="86"/>
      <c r="CW1566" s="86"/>
    </row>
    <row r="1567" customFormat="false" ht="12.75" hidden="false" customHeight="false" outlineLevel="0" collapsed="false">
      <c r="F1567" s="86"/>
      <c r="G1567" s="86"/>
      <c r="H1567" s="86"/>
      <c r="I1567" s="86"/>
      <c r="J1567" s="86"/>
      <c r="K1567" s="86"/>
      <c r="L1567" s="86"/>
      <c r="N1567" s="86"/>
      <c r="CQ1567" s="86"/>
      <c r="CR1567" s="86"/>
      <c r="CS1567" s="86"/>
      <c r="CT1567" s="86"/>
      <c r="CU1567" s="86"/>
      <c r="CV1567" s="86"/>
      <c r="CW1567" s="86"/>
    </row>
    <row r="1568" customFormat="false" ht="12.75" hidden="false" customHeight="false" outlineLevel="0" collapsed="false">
      <c r="F1568" s="86"/>
      <c r="G1568" s="86"/>
      <c r="H1568" s="86"/>
      <c r="I1568" s="86"/>
      <c r="J1568" s="86"/>
      <c r="K1568" s="86"/>
      <c r="L1568" s="86"/>
      <c r="N1568" s="86"/>
      <c r="CQ1568" s="86"/>
      <c r="CR1568" s="86"/>
      <c r="CS1568" s="86"/>
      <c r="CT1568" s="86"/>
      <c r="CU1568" s="86"/>
      <c r="CV1568" s="86"/>
      <c r="CW1568" s="86"/>
    </row>
    <row r="1569" customFormat="false" ht="12.75" hidden="false" customHeight="false" outlineLevel="0" collapsed="false">
      <c r="F1569" s="86"/>
      <c r="G1569" s="86"/>
      <c r="H1569" s="86"/>
      <c r="I1569" s="86"/>
      <c r="J1569" s="86"/>
      <c r="K1569" s="86"/>
      <c r="L1569" s="86"/>
      <c r="N1569" s="86"/>
      <c r="CQ1569" s="86"/>
      <c r="CR1569" s="86"/>
      <c r="CS1569" s="86"/>
      <c r="CT1569" s="86"/>
      <c r="CU1569" s="86"/>
      <c r="CV1569" s="86"/>
      <c r="CW1569" s="86"/>
    </row>
    <row r="1570" customFormat="false" ht="12.75" hidden="false" customHeight="false" outlineLevel="0" collapsed="false">
      <c r="F1570" s="86"/>
      <c r="G1570" s="86"/>
      <c r="H1570" s="86"/>
      <c r="I1570" s="86"/>
      <c r="J1570" s="86"/>
      <c r="K1570" s="86"/>
      <c r="L1570" s="86"/>
      <c r="N1570" s="86"/>
      <c r="CQ1570" s="86"/>
      <c r="CR1570" s="86"/>
      <c r="CS1570" s="86"/>
      <c r="CT1570" s="86"/>
      <c r="CU1570" s="86"/>
      <c r="CV1570" s="86"/>
      <c r="CW1570" s="86"/>
    </row>
    <row r="1571" customFormat="false" ht="12.75" hidden="false" customHeight="false" outlineLevel="0" collapsed="false">
      <c r="F1571" s="86"/>
      <c r="G1571" s="86"/>
      <c r="H1571" s="86"/>
      <c r="I1571" s="86"/>
      <c r="J1571" s="86"/>
      <c r="K1571" s="86"/>
      <c r="L1571" s="86"/>
      <c r="N1571" s="86"/>
      <c r="CQ1571" s="86"/>
      <c r="CR1571" s="86"/>
      <c r="CS1571" s="86"/>
      <c r="CT1571" s="86"/>
      <c r="CU1571" s="86"/>
      <c r="CV1571" s="86"/>
      <c r="CW1571" s="86"/>
    </row>
    <row r="1572" customFormat="false" ht="12.75" hidden="false" customHeight="false" outlineLevel="0" collapsed="false">
      <c r="F1572" s="86"/>
      <c r="G1572" s="86"/>
      <c r="H1572" s="86"/>
      <c r="I1572" s="86"/>
      <c r="J1572" s="86"/>
      <c r="K1572" s="86"/>
      <c r="L1572" s="86"/>
      <c r="N1572" s="86"/>
      <c r="CQ1572" s="86"/>
      <c r="CR1572" s="86"/>
      <c r="CS1572" s="86"/>
      <c r="CT1572" s="86"/>
      <c r="CU1572" s="86"/>
      <c r="CV1572" s="86"/>
      <c r="CW1572" s="86"/>
    </row>
    <row r="1573" customFormat="false" ht="12.75" hidden="false" customHeight="false" outlineLevel="0" collapsed="false">
      <c r="F1573" s="86"/>
      <c r="G1573" s="86"/>
      <c r="H1573" s="86"/>
      <c r="I1573" s="86"/>
      <c r="J1573" s="86"/>
      <c r="K1573" s="86"/>
      <c r="L1573" s="86"/>
      <c r="N1573" s="86"/>
      <c r="CQ1573" s="86"/>
      <c r="CR1573" s="86"/>
      <c r="CS1573" s="86"/>
      <c r="CT1573" s="86"/>
      <c r="CU1573" s="86"/>
      <c r="CV1573" s="86"/>
      <c r="CW1573" s="86"/>
    </row>
    <row r="1574" customFormat="false" ht="12.75" hidden="false" customHeight="false" outlineLevel="0" collapsed="false">
      <c r="F1574" s="86"/>
      <c r="G1574" s="86"/>
      <c r="H1574" s="86"/>
      <c r="I1574" s="86"/>
      <c r="J1574" s="86"/>
      <c r="K1574" s="86"/>
      <c r="L1574" s="86"/>
      <c r="N1574" s="86"/>
      <c r="CQ1574" s="86"/>
      <c r="CR1574" s="86"/>
      <c r="CS1574" s="86"/>
      <c r="CT1574" s="86"/>
      <c r="CU1574" s="86"/>
      <c r="CV1574" s="86"/>
      <c r="CW1574" s="86"/>
    </row>
    <row r="1575" customFormat="false" ht="12.75" hidden="false" customHeight="false" outlineLevel="0" collapsed="false">
      <c r="F1575" s="86"/>
      <c r="G1575" s="86"/>
      <c r="H1575" s="86"/>
      <c r="I1575" s="86"/>
      <c r="J1575" s="86"/>
      <c r="K1575" s="86"/>
      <c r="L1575" s="86"/>
      <c r="N1575" s="86"/>
      <c r="CQ1575" s="86"/>
      <c r="CR1575" s="86"/>
      <c r="CS1575" s="86"/>
      <c r="CT1575" s="86"/>
      <c r="CU1575" s="86"/>
      <c r="CV1575" s="86"/>
      <c r="CW1575" s="86"/>
    </row>
    <row r="1576" customFormat="false" ht="12.75" hidden="false" customHeight="false" outlineLevel="0" collapsed="false">
      <c r="F1576" s="86"/>
      <c r="G1576" s="86"/>
      <c r="H1576" s="86"/>
      <c r="I1576" s="86"/>
      <c r="J1576" s="86"/>
      <c r="K1576" s="86"/>
      <c r="L1576" s="86"/>
      <c r="N1576" s="86"/>
      <c r="CQ1576" s="86"/>
      <c r="CR1576" s="86"/>
      <c r="CS1576" s="86"/>
      <c r="CT1576" s="86"/>
      <c r="CU1576" s="86"/>
      <c r="CV1576" s="86"/>
      <c r="CW1576" s="86"/>
    </row>
    <row r="1577" customFormat="false" ht="12.75" hidden="false" customHeight="false" outlineLevel="0" collapsed="false">
      <c r="F1577" s="86"/>
      <c r="G1577" s="86"/>
      <c r="H1577" s="86"/>
      <c r="I1577" s="86"/>
      <c r="J1577" s="86"/>
      <c r="K1577" s="86"/>
      <c r="L1577" s="86"/>
      <c r="N1577" s="86"/>
      <c r="CQ1577" s="86"/>
      <c r="CR1577" s="86"/>
      <c r="CS1577" s="86"/>
      <c r="CT1577" s="86"/>
      <c r="CU1577" s="86"/>
      <c r="CV1577" s="86"/>
      <c r="CW1577" s="86"/>
    </row>
    <row r="1578" customFormat="false" ht="12.75" hidden="false" customHeight="false" outlineLevel="0" collapsed="false">
      <c r="F1578" s="86"/>
      <c r="G1578" s="86"/>
      <c r="H1578" s="86"/>
      <c r="I1578" s="86"/>
      <c r="J1578" s="86"/>
      <c r="K1578" s="86"/>
      <c r="L1578" s="86"/>
      <c r="N1578" s="86"/>
      <c r="CQ1578" s="86"/>
      <c r="CR1578" s="86"/>
      <c r="CS1578" s="86"/>
      <c r="CT1578" s="86"/>
      <c r="CU1578" s="86"/>
      <c r="CV1578" s="86"/>
      <c r="CW1578" s="86"/>
    </row>
    <row r="1579" customFormat="false" ht="12.75" hidden="false" customHeight="false" outlineLevel="0" collapsed="false">
      <c r="F1579" s="86"/>
      <c r="G1579" s="86"/>
      <c r="H1579" s="86"/>
      <c r="I1579" s="86"/>
      <c r="J1579" s="86"/>
      <c r="K1579" s="86"/>
      <c r="L1579" s="86"/>
      <c r="N1579" s="86"/>
      <c r="CQ1579" s="86"/>
      <c r="CR1579" s="86"/>
      <c r="CS1579" s="86"/>
      <c r="CT1579" s="86"/>
      <c r="CU1579" s="86"/>
      <c r="CV1579" s="86"/>
      <c r="CW1579" s="86"/>
    </row>
    <row r="1580" customFormat="false" ht="12.75" hidden="false" customHeight="false" outlineLevel="0" collapsed="false">
      <c r="F1580" s="86"/>
      <c r="G1580" s="86"/>
      <c r="H1580" s="86"/>
      <c r="I1580" s="86"/>
      <c r="J1580" s="86"/>
      <c r="K1580" s="86"/>
      <c r="L1580" s="86"/>
      <c r="N1580" s="86"/>
      <c r="CQ1580" s="86"/>
      <c r="CR1580" s="86"/>
      <c r="CS1580" s="86"/>
      <c r="CT1580" s="86"/>
      <c r="CU1580" s="86"/>
      <c r="CV1580" s="86"/>
      <c r="CW1580" s="86"/>
    </row>
    <row r="1581" customFormat="false" ht="12.75" hidden="false" customHeight="false" outlineLevel="0" collapsed="false">
      <c r="F1581" s="86"/>
      <c r="G1581" s="86"/>
      <c r="H1581" s="86"/>
      <c r="I1581" s="86"/>
      <c r="J1581" s="86"/>
      <c r="K1581" s="86"/>
      <c r="L1581" s="86"/>
      <c r="N1581" s="86"/>
      <c r="CQ1581" s="86"/>
      <c r="CR1581" s="86"/>
      <c r="CS1581" s="86"/>
      <c r="CT1581" s="86"/>
      <c r="CU1581" s="86"/>
      <c r="CV1581" s="86"/>
      <c r="CW1581" s="86"/>
    </row>
    <row r="1582" customFormat="false" ht="12.75" hidden="false" customHeight="false" outlineLevel="0" collapsed="false">
      <c r="F1582" s="86"/>
      <c r="G1582" s="86"/>
      <c r="H1582" s="86"/>
      <c r="I1582" s="86"/>
      <c r="J1582" s="86"/>
      <c r="K1582" s="86"/>
      <c r="L1582" s="86"/>
      <c r="N1582" s="86"/>
      <c r="CQ1582" s="86"/>
      <c r="CR1582" s="86"/>
      <c r="CS1582" s="86"/>
      <c r="CT1582" s="86"/>
      <c r="CU1582" s="86"/>
      <c r="CV1582" s="86"/>
      <c r="CW1582" s="86"/>
    </row>
    <row r="1583" customFormat="false" ht="12.75" hidden="false" customHeight="false" outlineLevel="0" collapsed="false">
      <c r="F1583" s="86"/>
      <c r="G1583" s="86"/>
      <c r="H1583" s="86"/>
      <c r="I1583" s="86"/>
      <c r="J1583" s="86"/>
      <c r="K1583" s="86"/>
      <c r="L1583" s="86"/>
      <c r="N1583" s="86"/>
      <c r="CQ1583" s="86"/>
      <c r="CR1583" s="86"/>
      <c r="CS1583" s="86"/>
      <c r="CT1583" s="86"/>
      <c r="CU1583" s="86"/>
      <c r="CV1583" s="86"/>
      <c r="CW1583" s="86"/>
    </row>
    <row r="1584" customFormat="false" ht="12.75" hidden="false" customHeight="false" outlineLevel="0" collapsed="false">
      <c r="F1584" s="86"/>
      <c r="G1584" s="86"/>
      <c r="H1584" s="86"/>
      <c r="I1584" s="86"/>
      <c r="J1584" s="86"/>
      <c r="K1584" s="86"/>
      <c r="L1584" s="86"/>
      <c r="N1584" s="86"/>
      <c r="CQ1584" s="86"/>
      <c r="CR1584" s="86"/>
      <c r="CS1584" s="86"/>
      <c r="CT1584" s="86"/>
      <c r="CU1584" s="86"/>
      <c r="CV1584" s="86"/>
      <c r="CW1584" s="86"/>
    </row>
    <row r="1585" customFormat="false" ht="12.75" hidden="false" customHeight="false" outlineLevel="0" collapsed="false">
      <c r="F1585" s="86"/>
      <c r="G1585" s="86"/>
      <c r="H1585" s="86"/>
      <c r="I1585" s="86"/>
      <c r="J1585" s="86"/>
      <c r="K1585" s="86"/>
      <c r="L1585" s="86"/>
      <c r="N1585" s="86"/>
      <c r="CQ1585" s="86"/>
      <c r="CR1585" s="86"/>
      <c r="CS1585" s="86"/>
      <c r="CT1585" s="86"/>
      <c r="CU1585" s="86"/>
      <c r="CV1585" s="86"/>
      <c r="CW1585" s="86"/>
    </row>
    <row r="1586" customFormat="false" ht="12.75" hidden="false" customHeight="false" outlineLevel="0" collapsed="false">
      <c r="F1586" s="86"/>
      <c r="G1586" s="86"/>
      <c r="H1586" s="86"/>
      <c r="I1586" s="86"/>
      <c r="J1586" s="86"/>
      <c r="K1586" s="86"/>
      <c r="L1586" s="86"/>
      <c r="N1586" s="86"/>
      <c r="CQ1586" s="86"/>
      <c r="CR1586" s="86"/>
      <c r="CS1586" s="86"/>
      <c r="CT1586" s="86"/>
      <c r="CU1586" s="86"/>
      <c r="CV1586" s="86"/>
      <c r="CW1586" s="86"/>
    </row>
    <row r="1587" customFormat="false" ht="12.75" hidden="false" customHeight="false" outlineLevel="0" collapsed="false">
      <c r="F1587" s="86"/>
      <c r="G1587" s="86"/>
      <c r="H1587" s="86"/>
      <c r="I1587" s="86"/>
      <c r="J1587" s="86"/>
      <c r="K1587" s="86"/>
      <c r="L1587" s="86"/>
      <c r="N1587" s="86"/>
      <c r="CQ1587" s="86"/>
      <c r="CR1587" s="86"/>
      <c r="CS1587" s="86"/>
      <c r="CT1587" s="86"/>
      <c r="CU1587" s="86"/>
      <c r="CV1587" s="86"/>
      <c r="CW1587" s="86"/>
    </row>
    <row r="1588" customFormat="false" ht="12.75" hidden="false" customHeight="false" outlineLevel="0" collapsed="false">
      <c r="F1588" s="86"/>
      <c r="G1588" s="86"/>
      <c r="H1588" s="86"/>
      <c r="I1588" s="86"/>
      <c r="J1588" s="86"/>
      <c r="K1588" s="86"/>
      <c r="L1588" s="86"/>
      <c r="N1588" s="86"/>
      <c r="CQ1588" s="86"/>
      <c r="CR1588" s="86"/>
      <c r="CS1588" s="86"/>
      <c r="CT1588" s="86"/>
      <c r="CU1588" s="86"/>
      <c r="CV1588" s="86"/>
      <c r="CW1588" s="86"/>
    </row>
    <row r="1589" customFormat="false" ht="12.75" hidden="false" customHeight="false" outlineLevel="0" collapsed="false">
      <c r="F1589" s="86"/>
      <c r="G1589" s="86"/>
      <c r="H1589" s="86"/>
      <c r="I1589" s="86"/>
      <c r="J1589" s="86"/>
      <c r="K1589" s="86"/>
      <c r="L1589" s="86"/>
      <c r="N1589" s="86"/>
      <c r="CQ1589" s="86"/>
      <c r="CR1589" s="86"/>
      <c r="CS1589" s="86"/>
      <c r="CT1589" s="86"/>
      <c r="CU1589" s="86"/>
      <c r="CV1589" s="86"/>
      <c r="CW1589" s="86"/>
    </row>
    <row r="1590" customFormat="false" ht="12.75" hidden="false" customHeight="false" outlineLevel="0" collapsed="false">
      <c r="F1590" s="86"/>
      <c r="G1590" s="86"/>
      <c r="H1590" s="86"/>
      <c r="I1590" s="86"/>
      <c r="J1590" s="86"/>
      <c r="K1590" s="86"/>
      <c r="L1590" s="86"/>
      <c r="N1590" s="86"/>
      <c r="CQ1590" s="86"/>
      <c r="CR1590" s="86"/>
      <c r="CS1590" s="86"/>
      <c r="CT1590" s="86"/>
      <c r="CU1590" s="86"/>
      <c r="CV1590" s="86"/>
      <c r="CW1590" s="86"/>
    </row>
    <row r="1591" customFormat="false" ht="12.75" hidden="false" customHeight="false" outlineLevel="0" collapsed="false">
      <c r="F1591" s="86"/>
      <c r="G1591" s="86"/>
      <c r="H1591" s="86"/>
      <c r="I1591" s="86"/>
      <c r="J1591" s="86"/>
      <c r="K1591" s="86"/>
      <c r="L1591" s="86"/>
      <c r="N1591" s="86"/>
      <c r="CQ1591" s="86"/>
      <c r="CR1591" s="86"/>
      <c r="CS1591" s="86"/>
      <c r="CT1591" s="86"/>
      <c r="CU1591" s="86"/>
      <c r="CV1591" s="86"/>
      <c r="CW1591" s="86"/>
    </row>
    <row r="1592" customFormat="false" ht="12.75" hidden="false" customHeight="false" outlineLevel="0" collapsed="false">
      <c r="F1592" s="86"/>
      <c r="G1592" s="86"/>
      <c r="H1592" s="86"/>
      <c r="I1592" s="86"/>
      <c r="J1592" s="86"/>
      <c r="K1592" s="86"/>
      <c r="L1592" s="86"/>
      <c r="N1592" s="86"/>
      <c r="CQ1592" s="86"/>
      <c r="CR1592" s="86"/>
      <c r="CS1592" s="86"/>
      <c r="CT1592" s="86"/>
      <c r="CU1592" s="86"/>
      <c r="CV1592" s="86"/>
      <c r="CW1592" s="86"/>
    </row>
    <row r="1593" customFormat="false" ht="12.75" hidden="false" customHeight="false" outlineLevel="0" collapsed="false">
      <c r="F1593" s="86"/>
      <c r="G1593" s="86"/>
      <c r="H1593" s="86"/>
      <c r="I1593" s="86"/>
      <c r="J1593" s="86"/>
      <c r="K1593" s="86"/>
      <c r="L1593" s="86"/>
      <c r="N1593" s="86"/>
      <c r="CQ1593" s="86"/>
      <c r="CR1593" s="86"/>
      <c r="CS1593" s="86"/>
      <c r="CT1593" s="86"/>
      <c r="CU1593" s="86"/>
      <c r="CV1593" s="86"/>
      <c r="CW1593" s="86"/>
    </row>
    <row r="1594" customFormat="false" ht="12.75" hidden="false" customHeight="false" outlineLevel="0" collapsed="false">
      <c r="F1594" s="86"/>
      <c r="G1594" s="86"/>
      <c r="H1594" s="86"/>
      <c r="I1594" s="86"/>
      <c r="J1594" s="86"/>
      <c r="K1594" s="86"/>
      <c r="L1594" s="86"/>
      <c r="N1594" s="86"/>
      <c r="CQ1594" s="86"/>
      <c r="CR1594" s="86"/>
      <c r="CS1594" s="86"/>
      <c r="CT1594" s="86"/>
      <c r="CU1594" s="86"/>
      <c r="CV1594" s="86"/>
      <c r="CW1594" s="86"/>
    </row>
    <row r="1595" customFormat="false" ht="12.75" hidden="false" customHeight="false" outlineLevel="0" collapsed="false">
      <c r="F1595" s="86"/>
      <c r="G1595" s="86"/>
      <c r="H1595" s="86"/>
      <c r="I1595" s="86"/>
      <c r="J1595" s="86"/>
      <c r="K1595" s="86"/>
      <c r="L1595" s="86"/>
      <c r="N1595" s="86"/>
      <c r="CQ1595" s="86"/>
      <c r="CR1595" s="86"/>
      <c r="CS1595" s="86"/>
      <c r="CT1595" s="86"/>
      <c r="CU1595" s="86"/>
      <c r="CV1595" s="86"/>
      <c r="CW1595" s="86"/>
    </row>
    <row r="1596" customFormat="false" ht="12.75" hidden="false" customHeight="false" outlineLevel="0" collapsed="false">
      <c r="F1596" s="86"/>
      <c r="G1596" s="86"/>
      <c r="H1596" s="86"/>
      <c r="I1596" s="86"/>
      <c r="J1596" s="86"/>
      <c r="K1596" s="86"/>
      <c r="L1596" s="86"/>
      <c r="N1596" s="86"/>
      <c r="CQ1596" s="86"/>
      <c r="CR1596" s="86"/>
      <c r="CS1596" s="86"/>
      <c r="CT1596" s="86"/>
      <c r="CU1596" s="86"/>
      <c r="CV1596" s="86"/>
      <c r="CW1596" s="86"/>
    </row>
    <row r="1597" customFormat="false" ht="12.75" hidden="false" customHeight="false" outlineLevel="0" collapsed="false">
      <c r="F1597" s="86"/>
      <c r="G1597" s="86"/>
      <c r="H1597" s="86"/>
      <c r="I1597" s="86"/>
      <c r="J1597" s="86"/>
      <c r="K1597" s="86"/>
      <c r="L1597" s="86"/>
      <c r="N1597" s="86"/>
      <c r="CQ1597" s="86"/>
      <c r="CR1597" s="86"/>
      <c r="CS1597" s="86"/>
      <c r="CT1597" s="86"/>
      <c r="CU1597" s="86"/>
      <c r="CV1597" s="86"/>
      <c r="CW1597" s="86"/>
    </row>
    <row r="1598" customFormat="false" ht="12.75" hidden="false" customHeight="false" outlineLevel="0" collapsed="false">
      <c r="F1598" s="86"/>
      <c r="G1598" s="86"/>
      <c r="H1598" s="86"/>
      <c r="I1598" s="86"/>
      <c r="J1598" s="86"/>
      <c r="K1598" s="86"/>
      <c r="L1598" s="86"/>
      <c r="N1598" s="86"/>
      <c r="CQ1598" s="86"/>
      <c r="CR1598" s="86"/>
      <c r="CS1598" s="86"/>
      <c r="CT1598" s="86"/>
      <c r="CU1598" s="86"/>
      <c r="CV1598" s="86"/>
      <c r="CW1598" s="86"/>
    </row>
    <row r="1599" customFormat="false" ht="12.75" hidden="false" customHeight="false" outlineLevel="0" collapsed="false">
      <c r="F1599" s="86"/>
      <c r="G1599" s="86"/>
      <c r="H1599" s="86"/>
      <c r="I1599" s="86"/>
      <c r="J1599" s="86"/>
      <c r="K1599" s="86"/>
      <c r="L1599" s="86"/>
      <c r="N1599" s="86"/>
      <c r="CQ1599" s="86"/>
      <c r="CR1599" s="86"/>
      <c r="CS1599" s="86"/>
      <c r="CT1599" s="86"/>
      <c r="CU1599" s="86"/>
      <c r="CV1599" s="86"/>
      <c r="CW1599" s="86"/>
    </row>
    <row r="1600" customFormat="false" ht="12.75" hidden="false" customHeight="false" outlineLevel="0" collapsed="false">
      <c r="F1600" s="86"/>
      <c r="G1600" s="86"/>
      <c r="H1600" s="86"/>
      <c r="I1600" s="86"/>
      <c r="J1600" s="86"/>
      <c r="K1600" s="86"/>
      <c r="L1600" s="86"/>
      <c r="N1600" s="86"/>
      <c r="CQ1600" s="86"/>
      <c r="CR1600" s="86"/>
      <c r="CS1600" s="86"/>
      <c r="CT1600" s="86"/>
      <c r="CU1600" s="86"/>
      <c r="CV1600" s="86"/>
      <c r="CW1600" s="86"/>
    </row>
    <row r="1601" customFormat="false" ht="12.75" hidden="false" customHeight="false" outlineLevel="0" collapsed="false">
      <c r="F1601" s="86"/>
      <c r="G1601" s="86"/>
      <c r="H1601" s="86"/>
      <c r="I1601" s="86"/>
      <c r="J1601" s="86"/>
      <c r="K1601" s="86"/>
      <c r="L1601" s="86"/>
      <c r="N1601" s="86"/>
      <c r="CQ1601" s="86"/>
      <c r="CR1601" s="86"/>
      <c r="CS1601" s="86"/>
      <c r="CT1601" s="86"/>
      <c r="CU1601" s="86"/>
      <c r="CV1601" s="86"/>
      <c r="CW1601" s="86"/>
    </row>
    <row r="1602" customFormat="false" ht="12.75" hidden="false" customHeight="false" outlineLevel="0" collapsed="false">
      <c r="F1602" s="86"/>
      <c r="G1602" s="86"/>
      <c r="H1602" s="86"/>
      <c r="I1602" s="86"/>
      <c r="J1602" s="86"/>
      <c r="K1602" s="86"/>
      <c r="L1602" s="86"/>
      <c r="N1602" s="86"/>
      <c r="CQ1602" s="86"/>
      <c r="CR1602" s="86"/>
      <c r="CS1602" s="86"/>
      <c r="CT1602" s="86"/>
      <c r="CU1602" s="86"/>
      <c r="CV1602" s="86"/>
      <c r="CW1602" s="86"/>
    </row>
    <row r="1603" customFormat="false" ht="12.75" hidden="false" customHeight="false" outlineLevel="0" collapsed="false">
      <c r="F1603" s="86"/>
      <c r="G1603" s="86"/>
      <c r="H1603" s="86"/>
      <c r="I1603" s="86"/>
      <c r="J1603" s="86"/>
      <c r="K1603" s="86"/>
      <c r="L1603" s="86"/>
      <c r="N1603" s="86"/>
      <c r="CQ1603" s="86"/>
      <c r="CR1603" s="86"/>
      <c r="CS1603" s="86"/>
      <c r="CT1603" s="86"/>
      <c r="CU1603" s="86"/>
      <c r="CV1603" s="86"/>
      <c r="CW1603" s="86"/>
    </row>
    <row r="1604" customFormat="false" ht="12.75" hidden="false" customHeight="false" outlineLevel="0" collapsed="false">
      <c r="F1604" s="86"/>
      <c r="G1604" s="86"/>
      <c r="H1604" s="86"/>
      <c r="I1604" s="86"/>
      <c r="J1604" s="86"/>
      <c r="K1604" s="86"/>
      <c r="L1604" s="86"/>
      <c r="N1604" s="86"/>
      <c r="CQ1604" s="86"/>
      <c r="CR1604" s="86"/>
      <c r="CS1604" s="86"/>
      <c r="CT1604" s="86"/>
      <c r="CU1604" s="86"/>
      <c r="CV1604" s="86"/>
      <c r="CW1604" s="86"/>
    </row>
    <row r="1605" customFormat="false" ht="12.75" hidden="false" customHeight="false" outlineLevel="0" collapsed="false">
      <c r="F1605" s="86"/>
      <c r="G1605" s="86"/>
      <c r="H1605" s="86"/>
      <c r="I1605" s="86"/>
      <c r="J1605" s="86"/>
      <c r="K1605" s="86"/>
      <c r="L1605" s="86"/>
      <c r="N1605" s="86"/>
      <c r="CQ1605" s="86"/>
      <c r="CR1605" s="86"/>
      <c r="CS1605" s="86"/>
      <c r="CT1605" s="86"/>
      <c r="CU1605" s="86"/>
      <c r="CV1605" s="86"/>
      <c r="CW1605" s="86"/>
    </row>
    <row r="1606" customFormat="false" ht="12.75" hidden="false" customHeight="false" outlineLevel="0" collapsed="false">
      <c r="F1606" s="86"/>
      <c r="G1606" s="86"/>
      <c r="H1606" s="86"/>
      <c r="I1606" s="86"/>
      <c r="J1606" s="86"/>
      <c r="K1606" s="86"/>
      <c r="L1606" s="86"/>
      <c r="N1606" s="86"/>
      <c r="CQ1606" s="86"/>
      <c r="CR1606" s="86"/>
      <c r="CS1606" s="86"/>
      <c r="CT1606" s="86"/>
      <c r="CU1606" s="86"/>
      <c r="CV1606" s="86"/>
      <c r="CW1606" s="86"/>
    </row>
    <row r="1607" customFormat="false" ht="12.75" hidden="false" customHeight="false" outlineLevel="0" collapsed="false">
      <c r="F1607" s="86"/>
      <c r="G1607" s="86"/>
      <c r="H1607" s="86"/>
      <c r="I1607" s="86"/>
      <c r="J1607" s="86"/>
      <c r="K1607" s="86"/>
      <c r="L1607" s="86"/>
      <c r="N1607" s="86"/>
      <c r="CQ1607" s="86"/>
      <c r="CR1607" s="86"/>
      <c r="CS1607" s="86"/>
      <c r="CT1607" s="86"/>
      <c r="CU1607" s="86"/>
      <c r="CV1607" s="86"/>
      <c r="CW1607" s="86"/>
    </row>
    <row r="1608" customFormat="false" ht="12.75" hidden="false" customHeight="false" outlineLevel="0" collapsed="false">
      <c r="F1608" s="86"/>
      <c r="G1608" s="86"/>
      <c r="H1608" s="86"/>
      <c r="I1608" s="86"/>
      <c r="J1608" s="86"/>
      <c r="K1608" s="86"/>
      <c r="L1608" s="86"/>
      <c r="N1608" s="86"/>
      <c r="CQ1608" s="86"/>
      <c r="CR1608" s="86"/>
      <c r="CS1608" s="86"/>
      <c r="CT1608" s="86"/>
      <c r="CU1608" s="86"/>
      <c r="CV1608" s="86"/>
      <c r="CW1608" s="86"/>
    </row>
    <row r="1609" customFormat="false" ht="12.75" hidden="false" customHeight="false" outlineLevel="0" collapsed="false">
      <c r="F1609" s="86"/>
      <c r="G1609" s="86"/>
      <c r="H1609" s="86"/>
      <c r="I1609" s="86"/>
      <c r="J1609" s="86"/>
      <c r="K1609" s="86"/>
      <c r="L1609" s="86"/>
      <c r="N1609" s="86"/>
      <c r="CQ1609" s="86"/>
      <c r="CR1609" s="86"/>
      <c r="CS1609" s="86"/>
      <c r="CT1609" s="86"/>
      <c r="CU1609" s="86"/>
      <c r="CV1609" s="86"/>
      <c r="CW1609" s="86"/>
    </row>
    <row r="1610" customFormat="false" ht="12.75" hidden="false" customHeight="false" outlineLevel="0" collapsed="false">
      <c r="F1610" s="86"/>
      <c r="G1610" s="86"/>
      <c r="H1610" s="86"/>
      <c r="I1610" s="86"/>
      <c r="J1610" s="86"/>
      <c r="K1610" s="86"/>
      <c r="L1610" s="86"/>
      <c r="N1610" s="86"/>
      <c r="CQ1610" s="86"/>
      <c r="CR1610" s="86"/>
      <c r="CS1610" s="86"/>
      <c r="CT1610" s="86"/>
      <c r="CU1610" s="86"/>
      <c r="CV1610" s="86"/>
      <c r="CW1610" s="86"/>
    </row>
    <row r="1611" customFormat="false" ht="12.75" hidden="false" customHeight="false" outlineLevel="0" collapsed="false">
      <c r="F1611" s="86"/>
      <c r="G1611" s="86"/>
      <c r="H1611" s="86"/>
      <c r="I1611" s="86"/>
      <c r="J1611" s="86"/>
      <c r="K1611" s="86"/>
      <c r="L1611" s="86"/>
      <c r="N1611" s="86"/>
      <c r="CQ1611" s="86"/>
      <c r="CR1611" s="86"/>
      <c r="CS1611" s="86"/>
      <c r="CT1611" s="86"/>
      <c r="CU1611" s="86"/>
      <c r="CV1611" s="86"/>
      <c r="CW1611" s="86"/>
    </row>
    <row r="1612" customFormat="false" ht="12.75" hidden="false" customHeight="false" outlineLevel="0" collapsed="false">
      <c r="F1612" s="86"/>
      <c r="G1612" s="86"/>
      <c r="H1612" s="86"/>
      <c r="I1612" s="86"/>
      <c r="J1612" s="86"/>
      <c r="K1612" s="86"/>
      <c r="L1612" s="86"/>
      <c r="N1612" s="86"/>
      <c r="CQ1612" s="86"/>
      <c r="CR1612" s="86"/>
      <c r="CS1612" s="86"/>
      <c r="CT1612" s="86"/>
      <c r="CU1612" s="86"/>
      <c r="CV1612" s="86"/>
      <c r="CW1612" s="86"/>
    </row>
    <row r="1613" customFormat="false" ht="12.75" hidden="false" customHeight="false" outlineLevel="0" collapsed="false">
      <c r="F1613" s="86"/>
      <c r="G1613" s="86"/>
      <c r="H1613" s="86"/>
      <c r="I1613" s="86"/>
      <c r="J1613" s="86"/>
      <c r="K1613" s="86"/>
      <c r="L1613" s="86"/>
      <c r="N1613" s="86"/>
      <c r="CQ1613" s="86"/>
      <c r="CR1613" s="86"/>
      <c r="CS1613" s="86"/>
      <c r="CT1613" s="86"/>
      <c r="CU1613" s="86"/>
      <c r="CV1613" s="86"/>
      <c r="CW1613" s="86"/>
    </row>
    <row r="1614" customFormat="false" ht="12.75" hidden="false" customHeight="false" outlineLevel="0" collapsed="false">
      <c r="F1614" s="86"/>
      <c r="G1614" s="86"/>
      <c r="H1614" s="86"/>
      <c r="I1614" s="86"/>
      <c r="J1614" s="86"/>
      <c r="K1614" s="86"/>
      <c r="L1614" s="86"/>
      <c r="N1614" s="86"/>
      <c r="CQ1614" s="86"/>
      <c r="CR1614" s="86"/>
      <c r="CS1614" s="86"/>
      <c r="CT1614" s="86"/>
      <c r="CU1614" s="86"/>
      <c r="CV1614" s="86"/>
      <c r="CW1614" s="86"/>
    </row>
    <row r="1615" customFormat="false" ht="12.75" hidden="false" customHeight="false" outlineLevel="0" collapsed="false">
      <c r="F1615" s="86"/>
      <c r="G1615" s="86"/>
      <c r="H1615" s="86"/>
      <c r="I1615" s="86"/>
      <c r="J1615" s="86"/>
      <c r="K1615" s="86"/>
      <c r="L1615" s="86"/>
      <c r="N1615" s="86"/>
      <c r="CQ1615" s="86"/>
      <c r="CR1615" s="86"/>
      <c r="CS1615" s="86"/>
      <c r="CT1615" s="86"/>
      <c r="CU1615" s="86"/>
      <c r="CV1615" s="86"/>
      <c r="CW1615" s="86"/>
    </row>
    <row r="1616" customFormat="false" ht="12.75" hidden="false" customHeight="false" outlineLevel="0" collapsed="false">
      <c r="F1616" s="86"/>
      <c r="G1616" s="86"/>
      <c r="H1616" s="86"/>
      <c r="I1616" s="86"/>
      <c r="J1616" s="86"/>
      <c r="K1616" s="86"/>
      <c r="L1616" s="86"/>
      <c r="N1616" s="86"/>
      <c r="CQ1616" s="86"/>
      <c r="CR1616" s="86"/>
      <c r="CS1616" s="86"/>
      <c r="CT1616" s="86"/>
      <c r="CU1616" s="86"/>
      <c r="CV1616" s="86"/>
      <c r="CW1616" s="86"/>
    </row>
    <row r="1617" customFormat="false" ht="12.75" hidden="false" customHeight="false" outlineLevel="0" collapsed="false">
      <c r="F1617" s="86"/>
      <c r="G1617" s="86"/>
      <c r="H1617" s="86"/>
      <c r="I1617" s="86"/>
      <c r="J1617" s="86"/>
      <c r="K1617" s="86"/>
      <c r="L1617" s="86"/>
      <c r="N1617" s="86"/>
      <c r="CQ1617" s="86"/>
      <c r="CR1617" s="86"/>
      <c r="CS1617" s="86"/>
      <c r="CT1617" s="86"/>
      <c r="CU1617" s="86"/>
      <c r="CV1617" s="86"/>
      <c r="CW1617" s="86"/>
    </row>
    <row r="1618" customFormat="false" ht="12.75" hidden="false" customHeight="false" outlineLevel="0" collapsed="false">
      <c r="F1618" s="86"/>
      <c r="G1618" s="86"/>
      <c r="H1618" s="86"/>
      <c r="I1618" s="86"/>
      <c r="J1618" s="86"/>
      <c r="K1618" s="86"/>
      <c r="L1618" s="86"/>
      <c r="N1618" s="86"/>
      <c r="CQ1618" s="86"/>
      <c r="CR1618" s="86"/>
      <c r="CS1618" s="86"/>
      <c r="CT1618" s="86"/>
      <c r="CU1618" s="86"/>
      <c r="CV1618" s="86"/>
      <c r="CW1618" s="86"/>
    </row>
    <row r="1619" customFormat="false" ht="12.75" hidden="false" customHeight="false" outlineLevel="0" collapsed="false">
      <c r="F1619" s="86"/>
      <c r="G1619" s="86"/>
      <c r="H1619" s="86"/>
      <c r="I1619" s="86"/>
      <c r="J1619" s="86"/>
      <c r="K1619" s="86"/>
      <c r="L1619" s="86"/>
      <c r="N1619" s="86"/>
      <c r="CQ1619" s="86"/>
      <c r="CR1619" s="86"/>
      <c r="CS1619" s="86"/>
      <c r="CT1619" s="86"/>
      <c r="CU1619" s="86"/>
      <c r="CV1619" s="86"/>
      <c r="CW1619" s="86"/>
    </row>
    <row r="1620" customFormat="false" ht="12.75" hidden="false" customHeight="false" outlineLevel="0" collapsed="false">
      <c r="F1620" s="86"/>
      <c r="G1620" s="86"/>
      <c r="H1620" s="86"/>
      <c r="I1620" s="86"/>
      <c r="J1620" s="86"/>
      <c r="K1620" s="86"/>
      <c r="L1620" s="86"/>
      <c r="N1620" s="86"/>
      <c r="CQ1620" s="86"/>
      <c r="CR1620" s="86"/>
      <c r="CS1620" s="86"/>
      <c r="CT1620" s="86"/>
      <c r="CU1620" s="86"/>
      <c r="CV1620" s="86"/>
      <c r="CW1620" s="86"/>
    </row>
    <row r="1621" customFormat="false" ht="12.75" hidden="false" customHeight="false" outlineLevel="0" collapsed="false">
      <c r="F1621" s="86"/>
      <c r="G1621" s="86"/>
      <c r="H1621" s="86"/>
      <c r="I1621" s="86"/>
      <c r="J1621" s="86"/>
      <c r="K1621" s="86"/>
      <c r="L1621" s="86"/>
      <c r="N1621" s="86"/>
      <c r="CQ1621" s="86"/>
      <c r="CR1621" s="86"/>
      <c r="CS1621" s="86"/>
      <c r="CT1621" s="86"/>
      <c r="CU1621" s="86"/>
      <c r="CV1621" s="86"/>
      <c r="CW1621" s="86"/>
    </row>
    <row r="1622" customFormat="false" ht="12.75" hidden="false" customHeight="false" outlineLevel="0" collapsed="false">
      <c r="F1622" s="86"/>
      <c r="G1622" s="86"/>
      <c r="H1622" s="86"/>
      <c r="I1622" s="86"/>
      <c r="J1622" s="86"/>
      <c r="K1622" s="86"/>
      <c r="L1622" s="86"/>
      <c r="N1622" s="86"/>
      <c r="CQ1622" s="86"/>
      <c r="CR1622" s="86"/>
      <c r="CS1622" s="86"/>
      <c r="CT1622" s="86"/>
      <c r="CU1622" s="86"/>
      <c r="CV1622" s="86"/>
      <c r="CW1622" s="86"/>
    </row>
    <row r="1623" customFormat="false" ht="12.75" hidden="false" customHeight="false" outlineLevel="0" collapsed="false">
      <c r="F1623" s="86"/>
      <c r="G1623" s="86"/>
      <c r="H1623" s="86"/>
      <c r="I1623" s="86"/>
      <c r="J1623" s="86"/>
      <c r="K1623" s="86"/>
      <c r="L1623" s="86"/>
      <c r="N1623" s="86"/>
      <c r="CQ1623" s="86"/>
      <c r="CR1623" s="86"/>
      <c r="CS1623" s="86"/>
      <c r="CT1623" s="86"/>
      <c r="CU1623" s="86"/>
      <c r="CV1623" s="86"/>
      <c r="CW1623" s="86"/>
    </row>
    <row r="1624" customFormat="false" ht="12.75" hidden="false" customHeight="false" outlineLevel="0" collapsed="false">
      <c r="F1624" s="86"/>
      <c r="G1624" s="86"/>
      <c r="H1624" s="86"/>
      <c r="I1624" s="86"/>
      <c r="J1624" s="86"/>
      <c r="K1624" s="86"/>
      <c r="L1624" s="86"/>
      <c r="N1624" s="86"/>
      <c r="CQ1624" s="86"/>
      <c r="CR1624" s="86"/>
      <c r="CS1624" s="86"/>
      <c r="CT1624" s="86"/>
      <c r="CU1624" s="86"/>
      <c r="CV1624" s="86"/>
      <c r="CW1624" s="86"/>
    </row>
    <row r="1625" customFormat="false" ht="12.75" hidden="false" customHeight="false" outlineLevel="0" collapsed="false">
      <c r="F1625" s="86"/>
      <c r="G1625" s="86"/>
      <c r="H1625" s="86"/>
      <c r="I1625" s="86"/>
      <c r="J1625" s="86"/>
      <c r="K1625" s="86"/>
      <c r="L1625" s="86"/>
      <c r="N1625" s="86"/>
      <c r="CQ1625" s="86"/>
      <c r="CR1625" s="86"/>
      <c r="CS1625" s="86"/>
      <c r="CT1625" s="86"/>
      <c r="CU1625" s="86"/>
      <c r="CV1625" s="86"/>
      <c r="CW1625" s="86"/>
    </row>
    <row r="1626" customFormat="false" ht="12.75" hidden="false" customHeight="false" outlineLevel="0" collapsed="false">
      <c r="F1626" s="86"/>
      <c r="G1626" s="86"/>
      <c r="H1626" s="86"/>
      <c r="I1626" s="86"/>
      <c r="J1626" s="86"/>
      <c r="K1626" s="86"/>
      <c r="L1626" s="86"/>
      <c r="N1626" s="86"/>
      <c r="CQ1626" s="86"/>
      <c r="CR1626" s="86"/>
      <c r="CS1626" s="86"/>
      <c r="CT1626" s="86"/>
      <c r="CU1626" s="86"/>
      <c r="CV1626" s="86"/>
      <c r="CW1626" s="86"/>
    </row>
    <row r="1627" customFormat="false" ht="12.75" hidden="false" customHeight="false" outlineLevel="0" collapsed="false">
      <c r="F1627" s="86"/>
      <c r="G1627" s="86"/>
      <c r="H1627" s="86"/>
      <c r="I1627" s="86"/>
      <c r="J1627" s="86"/>
      <c r="K1627" s="86"/>
      <c r="L1627" s="86"/>
      <c r="N1627" s="86"/>
      <c r="CQ1627" s="86"/>
      <c r="CR1627" s="86"/>
      <c r="CS1627" s="86"/>
      <c r="CT1627" s="86"/>
      <c r="CU1627" s="86"/>
      <c r="CV1627" s="86"/>
      <c r="CW1627" s="86"/>
    </row>
    <row r="1628" customFormat="false" ht="12.75" hidden="false" customHeight="false" outlineLevel="0" collapsed="false">
      <c r="F1628" s="86"/>
      <c r="G1628" s="86"/>
      <c r="H1628" s="86"/>
      <c r="I1628" s="86"/>
      <c r="J1628" s="86"/>
      <c r="K1628" s="86"/>
      <c r="L1628" s="86"/>
      <c r="N1628" s="86"/>
      <c r="CQ1628" s="86"/>
      <c r="CR1628" s="86"/>
      <c r="CS1628" s="86"/>
      <c r="CT1628" s="86"/>
      <c r="CU1628" s="86"/>
      <c r="CV1628" s="86"/>
      <c r="CW1628" s="86"/>
    </row>
    <row r="1629" customFormat="false" ht="12.75" hidden="false" customHeight="false" outlineLevel="0" collapsed="false">
      <c r="F1629" s="86"/>
      <c r="G1629" s="86"/>
      <c r="H1629" s="86"/>
      <c r="I1629" s="86"/>
      <c r="J1629" s="86"/>
      <c r="K1629" s="86"/>
      <c r="L1629" s="86"/>
      <c r="N1629" s="86"/>
      <c r="CQ1629" s="86"/>
      <c r="CR1629" s="86"/>
      <c r="CS1629" s="86"/>
      <c r="CT1629" s="86"/>
      <c r="CU1629" s="86"/>
      <c r="CV1629" s="86"/>
      <c r="CW1629" s="86"/>
    </row>
    <row r="1630" customFormat="false" ht="12.75" hidden="false" customHeight="false" outlineLevel="0" collapsed="false">
      <c r="F1630" s="86"/>
      <c r="G1630" s="86"/>
      <c r="H1630" s="86"/>
      <c r="I1630" s="86"/>
      <c r="J1630" s="86"/>
      <c r="K1630" s="86"/>
      <c r="L1630" s="86"/>
      <c r="N1630" s="86"/>
      <c r="CQ1630" s="86"/>
      <c r="CR1630" s="86"/>
      <c r="CS1630" s="86"/>
      <c r="CT1630" s="86"/>
      <c r="CU1630" s="86"/>
      <c r="CV1630" s="86"/>
      <c r="CW1630" s="86"/>
    </row>
    <row r="1631" customFormat="false" ht="12.75" hidden="false" customHeight="false" outlineLevel="0" collapsed="false">
      <c r="F1631" s="86"/>
      <c r="G1631" s="86"/>
      <c r="H1631" s="86"/>
      <c r="I1631" s="86"/>
      <c r="J1631" s="86"/>
      <c r="K1631" s="86"/>
      <c r="L1631" s="86"/>
      <c r="N1631" s="86"/>
      <c r="CQ1631" s="86"/>
      <c r="CR1631" s="86"/>
      <c r="CS1631" s="86"/>
      <c r="CT1631" s="86"/>
      <c r="CU1631" s="86"/>
      <c r="CV1631" s="86"/>
      <c r="CW1631" s="86"/>
    </row>
    <row r="1632" customFormat="false" ht="12.75" hidden="false" customHeight="false" outlineLevel="0" collapsed="false">
      <c r="F1632" s="86"/>
      <c r="G1632" s="86"/>
      <c r="H1632" s="86"/>
      <c r="I1632" s="86"/>
      <c r="J1632" s="86"/>
      <c r="K1632" s="86"/>
      <c r="L1632" s="86"/>
      <c r="N1632" s="86"/>
      <c r="CQ1632" s="86"/>
      <c r="CR1632" s="86"/>
      <c r="CS1632" s="86"/>
      <c r="CT1632" s="86"/>
      <c r="CU1632" s="86"/>
      <c r="CV1632" s="86"/>
      <c r="CW1632" s="86"/>
    </row>
    <row r="1633" customFormat="false" ht="12.75" hidden="false" customHeight="false" outlineLevel="0" collapsed="false">
      <c r="F1633" s="86"/>
      <c r="G1633" s="86"/>
      <c r="H1633" s="86"/>
      <c r="I1633" s="86"/>
      <c r="J1633" s="86"/>
      <c r="K1633" s="86"/>
      <c r="L1633" s="86"/>
      <c r="N1633" s="86"/>
      <c r="CQ1633" s="86"/>
      <c r="CR1633" s="86"/>
      <c r="CS1633" s="86"/>
      <c r="CT1633" s="86"/>
      <c r="CU1633" s="86"/>
      <c r="CV1633" s="86"/>
      <c r="CW1633" s="86"/>
    </row>
    <row r="1634" customFormat="false" ht="12.75" hidden="false" customHeight="false" outlineLevel="0" collapsed="false">
      <c r="F1634" s="86"/>
      <c r="G1634" s="86"/>
      <c r="H1634" s="86"/>
      <c r="I1634" s="86"/>
      <c r="J1634" s="86"/>
      <c r="K1634" s="86"/>
      <c r="L1634" s="86"/>
      <c r="N1634" s="86"/>
      <c r="CQ1634" s="86"/>
      <c r="CR1634" s="86"/>
      <c r="CS1634" s="86"/>
      <c r="CT1634" s="86"/>
      <c r="CU1634" s="86"/>
      <c r="CV1634" s="86"/>
      <c r="CW1634" s="86"/>
    </row>
    <row r="1635" customFormat="false" ht="12.75" hidden="false" customHeight="false" outlineLevel="0" collapsed="false">
      <c r="F1635" s="86"/>
      <c r="G1635" s="86"/>
      <c r="H1635" s="86"/>
      <c r="I1635" s="86"/>
      <c r="J1635" s="86"/>
      <c r="K1635" s="86"/>
      <c r="L1635" s="86"/>
      <c r="N1635" s="86"/>
      <c r="CQ1635" s="86"/>
      <c r="CR1635" s="86"/>
      <c r="CS1635" s="86"/>
      <c r="CT1635" s="86"/>
      <c r="CU1635" s="86"/>
      <c r="CV1635" s="86"/>
      <c r="CW1635" s="86"/>
    </row>
    <row r="1636" customFormat="false" ht="12.75" hidden="false" customHeight="false" outlineLevel="0" collapsed="false">
      <c r="F1636" s="86"/>
      <c r="G1636" s="86"/>
      <c r="H1636" s="86"/>
      <c r="I1636" s="86"/>
      <c r="J1636" s="86"/>
      <c r="K1636" s="86"/>
      <c r="L1636" s="86"/>
      <c r="N1636" s="86"/>
      <c r="CQ1636" s="86"/>
      <c r="CR1636" s="86"/>
      <c r="CS1636" s="86"/>
      <c r="CT1636" s="86"/>
      <c r="CU1636" s="86"/>
      <c r="CV1636" s="86"/>
      <c r="CW1636" s="86"/>
    </row>
    <row r="1637" customFormat="false" ht="12.75" hidden="false" customHeight="false" outlineLevel="0" collapsed="false">
      <c r="F1637" s="86"/>
      <c r="G1637" s="86"/>
      <c r="H1637" s="86"/>
      <c r="I1637" s="86"/>
      <c r="J1637" s="86"/>
      <c r="K1637" s="86"/>
      <c r="L1637" s="86"/>
      <c r="N1637" s="86"/>
      <c r="CQ1637" s="86"/>
      <c r="CR1637" s="86"/>
      <c r="CS1637" s="86"/>
      <c r="CT1637" s="86"/>
      <c r="CU1637" s="86"/>
      <c r="CV1637" s="86"/>
      <c r="CW1637" s="86"/>
    </row>
    <row r="1638" customFormat="false" ht="12.75" hidden="false" customHeight="false" outlineLevel="0" collapsed="false">
      <c r="F1638" s="86"/>
      <c r="G1638" s="86"/>
      <c r="H1638" s="86"/>
      <c r="I1638" s="86"/>
      <c r="J1638" s="86"/>
      <c r="K1638" s="86"/>
      <c r="L1638" s="86"/>
      <c r="N1638" s="86"/>
      <c r="CQ1638" s="86"/>
      <c r="CR1638" s="86"/>
      <c r="CS1638" s="86"/>
      <c r="CT1638" s="86"/>
      <c r="CU1638" s="86"/>
      <c r="CV1638" s="86"/>
      <c r="CW1638" s="86"/>
    </row>
    <row r="1639" customFormat="false" ht="12.75" hidden="false" customHeight="false" outlineLevel="0" collapsed="false">
      <c r="F1639" s="86"/>
      <c r="G1639" s="86"/>
      <c r="H1639" s="86"/>
      <c r="I1639" s="86"/>
      <c r="J1639" s="86"/>
      <c r="K1639" s="86"/>
      <c r="L1639" s="86"/>
      <c r="N1639" s="86"/>
      <c r="CQ1639" s="86"/>
      <c r="CR1639" s="86"/>
      <c r="CS1639" s="86"/>
      <c r="CT1639" s="86"/>
      <c r="CU1639" s="86"/>
      <c r="CV1639" s="86"/>
      <c r="CW1639" s="86"/>
    </row>
    <row r="1640" customFormat="false" ht="12.75" hidden="false" customHeight="false" outlineLevel="0" collapsed="false">
      <c r="F1640" s="86"/>
      <c r="G1640" s="86"/>
      <c r="H1640" s="86"/>
      <c r="I1640" s="86"/>
      <c r="J1640" s="86"/>
      <c r="K1640" s="86"/>
      <c r="L1640" s="86"/>
      <c r="N1640" s="86"/>
      <c r="CQ1640" s="86"/>
      <c r="CR1640" s="86"/>
      <c r="CS1640" s="86"/>
      <c r="CT1640" s="86"/>
      <c r="CU1640" s="86"/>
      <c r="CV1640" s="86"/>
      <c r="CW1640" s="86"/>
    </row>
    <row r="1641" customFormat="false" ht="12.75" hidden="false" customHeight="false" outlineLevel="0" collapsed="false">
      <c r="F1641" s="86"/>
      <c r="G1641" s="86"/>
      <c r="H1641" s="86"/>
      <c r="I1641" s="86"/>
      <c r="J1641" s="86"/>
      <c r="K1641" s="86"/>
      <c r="L1641" s="86"/>
      <c r="N1641" s="86"/>
      <c r="CQ1641" s="86"/>
      <c r="CR1641" s="86"/>
      <c r="CS1641" s="86"/>
      <c r="CT1641" s="86"/>
      <c r="CU1641" s="86"/>
      <c r="CV1641" s="86"/>
      <c r="CW1641" s="86"/>
    </row>
    <row r="1642" customFormat="false" ht="12.75" hidden="false" customHeight="false" outlineLevel="0" collapsed="false">
      <c r="F1642" s="86"/>
      <c r="G1642" s="86"/>
      <c r="H1642" s="86"/>
      <c r="I1642" s="86"/>
      <c r="J1642" s="86"/>
      <c r="K1642" s="86"/>
      <c r="L1642" s="86"/>
      <c r="N1642" s="86"/>
      <c r="CQ1642" s="86"/>
      <c r="CR1642" s="86"/>
      <c r="CS1642" s="86"/>
      <c r="CT1642" s="86"/>
      <c r="CU1642" s="86"/>
      <c r="CV1642" s="86"/>
      <c r="CW1642" s="86"/>
    </row>
    <row r="1643" customFormat="false" ht="12.75" hidden="false" customHeight="false" outlineLevel="0" collapsed="false">
      <c r="F1643" s="86"/>
      <c r="G1643" s="86"/>
      <c r="H1643" s="86"/>
      <c r="I1643" s="86"/>
      <c r="J1643" s="86"/>
      <c r="K1643" s="86"/>
      <c r="L1643" s="86"/>
      <c r="N1643" s="86"/>
      <c r="CQ1643" s="86"/>
      <c r="CR1643" s="86"/>
      <c r="CS1643" s="86"/>
      <c r="CT1643" s="86"/>
      <c r="CU1643" s="86"/>
      <c r="CV1643" s="86"/>
      <c r="CW1643" s="86"/>
    </row>
    <row r="1644" customFormat="false" ht="12.75" hidden="false" customHeight="false" outlineLevel="0" collapsed="false">
      <c r="F1644" s="86"/>
      <c r="G1644" s="86"/>
      <c r="H1644" s="86"/>
      <c r="I1644" s="86"/>
      <c r="J1644" s="86"/>
      <c r="K1644" s="86"/>
      <c r="L1644" s="86"/>
      <c r="N1644" s="86"/>
      <c r="CQ1644" s="86"/>
      <c r="CR1644" s="86"/>
      <c r="CS1644" s="86"/>
      <c r="CT1644" s="86"/>
      <c r="CU1644" s="86"/>
      <c r="CV1644" s="86"/>
      <c r="CW1644" s="86"/>
    </row>
    <row r="1645" customFormat="false" ht="12.75" hidden="false" customHeight="false" outlineLevel="0" collapsed="false">
      <c r="F1645" s="86"/>
      <c r="G1645" s="86"/>
      <c r="H1645" s="86"/>
      <c r="I1645" s="86"/>
      <c r="J1645" s="86"/>
      <c r="K1645" s="86"/>
      <c r="L1645" s="86"/>
      <c r="N1645" s="86"/>
      <c r="CQ1645" s="86"/>
      <c r="CR1645" s="86"/>
      <c r="CS1645" s="86"/>
      <c r="CT1645" s="86"/>
      <c r="CU1645" s="86"/>
      <c r="CV1645" s="86"/>
      <c r="CW1645" s="86"/>
    </row>
    <row r="1646" customFormat="false" ht="12.75" hidden="false" customHeight="false" outlineLevel="0" collapsed="false">
      <c r="F1646" s="86"/>
      <c r="G1646" s="86"/>
      <c r="H1646" s="86"/>
      <c r="I1646" s="86"/>
      <c r="J1646" s="86"/>
      <c r="K1646" s="86"/>
      <c r="L1646" s="86"/>
      <c r="N1646" s="86"/>
      <c r="CQ1646" s="86"/>
      <c r="CR1646" s="86"/>
      <c r="CS1646" s="86"/>
      <c r="CT1646" s="86"/>
      <c r="CU1646" s="86"/>
      <c r="CV1646" s="86"/>
      <c r="CW1646" s="86"/>
    </row>
    <row r="1647" customFormat="false" ht="12.75" hidden="false" customHeight="false" outlineLevel="0" collapsed="false">
      <c r="F1647" s="86"/>
      <c r="G1647" s="86"/>
      <c r="H1647" s="86"/>
      <c r="I1647" s="86"/>
      <c r="J1647" s="86"/>
      <c r="K1647" s="86"/>
      <c r="L1647" s="86"/>
      <c r="N1647" s="86"/>
      <c r="CQ1647" s="86"/>
      <c r="CR1647" s="86"/>
      <c r="CS1647" s="86"/>
      <c r="CT1647" s="86"/>
      <c r="CU1647" s="86"/>
      <c r="CV1647" s="86"/>
      <c r="CW1647" s="86"/>
    </row>
    <row r="1648" customFormat="false" ht="12.75" hidden="false" customHeight="false" outlineLevel="0" collapsed="false">
      <c r="F1648" s="86"/>
      <c r="G1648" s="86"/>
      <c r="H1648" s="86"/>
      <c r="I1648" s="86"/>
      <c r="J1648" s="86"/>
      <c r="K1648" s="86"/>
      <c r="L1648" s="86"/>
      <c r="N1648" s="86"/>
      <c r="CQ1648" s="86"/>
      <c r="CR1648" s="86"/>
      <c r="CS1648" s="86"/>
      <c r="CT1648" s="86"/>
      <c r="CU1648" s="86"/>
      <c r="CV1648" s="86"/>
      <c r="CW1648" s="86"/>
    </row>
    <row r="1649" customFormat="false" ht="12.75" hidden="false" customHeight="false" outlineLevel="0" collapsed="false">
      <c r="F1649" s="86"/>
      <c r="G1649" s="86"/>
      <c r="H1649" s="86"/>
      <c r="I1649" s="86"/>
      <c r="J1649" s="86"/>
      <c r="K1649" s="86"/>
      <c r="L1649" s="86"/>
      <c r="N1649" s="86"/>
      <c r="CQ1649" s="86"/>
      <c r="CR1649" s="86"/>
      <c r="CS1649" s="86"/>
      <c r="CT1649" s="86"/>
      <c r="CU1649" s="86"/>
      <c r="CV1649" s="86"/>
      <c r="CW1649" s="86"/>
    </row>
    <row r="1650" customFormat="false" ht="12.75" hidden="false" customHeight="false" outlineLevel="0" collapsed="false">
      <c r="F1650" s="86"/>
      <c r="G1650" s="86"/>
      <c r="H1650" s="86"/>
      <c r="I1650" s="86"/>
      <c r="J1650" s="86"/>
      <c r="K1650" s="86"/>
      <c r="L1650" s="86"/>
      <c r="N1650" s="86"/>
      <c r="CQ1650" s="86"/>
      <c r="CR1650" s="86"/>
      <c r="CS1650" s="86"/>
      <c r="CT1650" s="86"/>
      <c r="CU1650" s="86"/>
      <c r="CV1650" s="86"/>
      <c r="CW1650" s="86"/>
    </row>
    <row r="1651" customFormat="false" ht="12.75" hidden="false" customHeight="false" outlineLevel="0" collapsed="false">
      <c r="F1651" s="86"/>
      <c r="G1651" s="86"/>
      <c r="H1651" s="86"/>
      <c r="I1651" s="86"/>
      <c r="J1651" s="86"/>
      <c r="K1651" s="86"/>
      <c r="L1651" s="86"/>
      <c r="N1651" s="86"/>
      <c r="CQ1651" s="86"/>
      <c r="CR1651" s="86"/>
      <c r="CS1651" s="86"/>
      <c r="CT1651" s="86"/>
      <c r="CU1651" s="86"/>
      <c r="CV1651" s="86"/>
      <c r="CW1651" s="86"/>
    </row>
    <row r="1652" customFormat="false" ht="12.75" hidden="false" customHeight="false" outlineLevel="0" collapsed="false">
      <c r="F1652" s="86"/>
      <c r="G1652" s="86"/>
      <c r="H1652" s="86"/>
      <c r="I1652" s="86"/>
      <c r="J1652" s="86"/>
      <c r="K1652" s="86"/>
      <c r="L1652" s="86"/>
      <c r="N1652" s="86"/>
      <c r="CQ1652" s="86"/>
      <c r="CR1652" s="86"/>
      <c r="CS1652" s="86"/>
      <c r="CT1652" s="86"/>
      <c r="CU1652" s="86"/>
      <c r="CV1652" s="86"/>
      <c r="CW1652" s="86"/>
    </row>
    <row r="1653" customFormat="false" ht="12.75" hidden="false" customHeight="false" outlineLevel="0" collapsed="false">
      <c r="F1653" s="86"/>
      <c r="G1653" s="86"/>
      <c r="H1653" s="86"/>
      <c r="I1653" s="86"/>
      <c r="J1653" s="86"/>
      <c r="K1653" s="86"/>
      <c r="L1653" s="86"/>
      <c r="N1653" s="86"/>
      <c r="CQ1653" s="86"/>
      <c r="CR1653" s="86"/>
      <c r="CS1653" s="86"/>
      <c r="CT1653" s="86"/>
      <c r="CU1653" s="86"/>
      <c r="CV1653" s="86"/>
      <c r="CW1653" s="86"/>
    </row>
    <row r="1654" customFormat="false" ht="12.75" hidden="false" customHeight="false" outlineLevel="0" collapsed="false">
      <c r="F1654" s="86"/>
      <c r="G1654" s="86"/>
      <c r="H1654" s="86"/>
      <c r="I1654" s="86"/>
      <c r="J1654" s="86"/>
      <c r="K1654" s="86"/>
      <c r="L1654" s="86"/>
      <c r="N1654" s="86"/>
      <c r="CQ1654" s="86"/>
      <c r="CR1654" s="86"/>
      <c r="CS1654" s="86"/>
      <c r="CT1654" s="86"/>
      <c r="CU1654" s="86"/>
      <c r="CV1654" s="86"/>
      <c r="CW1654" s="86"/>
    </row>
    <row r="1655" customFormat="false" ht="12.75" hidden="false" customHeight="false" outlineLevel="0" collapsed="false">
      <c r="F1655" s="86"/>
      <c r="G1655" s="86"/>
      <c r="H1655" s="86"/>
      <c r="I1655" s="86"/>
      <c r="J1655" s="86"/>
      <c r="K1655" s="86"/>
      <c r="L1655" s="86"/>
      <c r="N1655" s="86"/>
      <c r="CQ1655" s="86"/>
      <c r="CR1655" s="86"/>
      <c r="CS1655" s="86"/>
      <c r="CT1655" s="86"/>
      <c r="CU1655" s="86"/>
      <c r="CV1655" s="86"/>
      <c r="CW1655" s="86"/>
    </row>
    <row r="1656" customFormat="false" ht="12.75" hidden="false" customHeight="false" outlineLevel="0" collapsed="false">
      <c r="F1656" s="86"/>
      <c r="G1656" s="86"/>
      <c r="H1656" s="86"/>
      <c r="I1656" s="86"/>
      <c r="J1656" s="86"/>
      <c r="K1656" s="86"/>
      <c r="L1656" s="86"/>
      <c r="N1656" s="86"/>
      <c r="CQ1656" s="86"/>
      <c r="CR1656" s="86"/>
      <c r="CS1656" s="86"/>
      <c r="CT1656" s="86"/>
      <c r="CU1656" s="86"/>
      <c r="CV1656" s="86"/>
      <c r="CW1656" s="86"/>
    </row>
    <row r="1657" customFormat="false" ht="12.75" hidden="false" customHeight="false" outlineLevel="0" collapsed="false">
      <c r="F1657" s="86"/>
      <c r="G1657" s="86"/>
      <c r="H1657" s="86"/>
      <c r="I1657" s="86"/>
      <c r="J1657" s="86"/>
      <c r="K1657" s="86"/>
      <c r="L1657" s="86"/>
      <c r="N1657" s="86"/>
      <c r="CQ1657" s="86"/>
      <c r="CR1657" s="86"/>
      <c r="CS1657" s="86"/>
      <c r="CT1657" s="86"/>
      <c r="CU1657" s="86"/>
      <c r="CV1657" s="86"/>
      <c r="CW1657" s="86"/>
    </row>
    <row r="1658" customFormat="false" ht="12.75" hidden="false" customHeight="false" outlineLevel="0" collapsed="false">
      <c r="F1658" s="86"/>
      <c r="G1658" s="86"/>
      <c r="H1658" s="86"/>
      <c r="I1658" s="86"/>
      <c r="J1658" s="86"/>
      <c r="K1658" s="86"/>
      <c r="L1658" s="86"/>
      <c r="N1658" s="86"/>
      <c r="CQ1658" s="86"/>
      <c r="CR1658" s="86"/>
      <c r="CS1658" s="86"/>
      <c r="CT1658" s="86"/>
      <c r="CU1658" s="86"/>
      <c r="CV1658" s="86"/>
      <c r="CW1658" s="86"/>
    </row>
    <row r="1659" customFormat="false" ht="12.75" hidden="false" customHeight="false" outlineLevel="0" collapsed="false">
      <c r="F1659" s="86"/>
      <c r="G1659" s="86"/>
      <c r="H1659" s="86"/>
      <c r="I1659" s="86"/>
      <c r="J1659" s="86"/>
      <c r="K1659" s="86"/>
      <c r="L1659" s="86"/>
      <c r="N1659" s="86"/>
      <c r="CQ1659" s="86"/>
      <c r="CR1659" s="86"/>
      <c r="CS1659" s="86"/>
      <c r="CT1659" s="86"/>
      <c r="CU1659" s="86"/>
      <c r="CV1659" s="86"/>
      <c r="CW1659" s="86"/>
    </row>
    <row r="1660" customFormat="false" ht="12.75" hidden="false" customHeight="false" outlineLevel="0" collapsed="false">
      <c r="F1660" s="86"/>
      <c r="G1660" s="86"/>
      <c r="H1660" s="86"/>
      <c r="I1660" s="86"/>
      <c r="J1660" s="86"/>
      <c r="K1660" s="86"/>
      <c r="L1660" s="86"/>
      <c r="N1660" s="86"/>
      <c r="CQ1660" s="86"/>
      <c r="CR1660" s="86"/>
      <c r="CS1660" s="86"/>
      <c r="CT1660" s="86"/>
      <c r="CU1660" s="86"/>
      <c r="CV1660" s="86"/>
      <c r="CW1660" s="86"/>
    </row>
    <row r="1661" customFormat="false" ht="12.75" hidden="false" customHeight="false" outlineLevel="0" collapsed="false">
      <c r="F1661" s="86"/>
      <c r="G1661" s="86"/>
      <c r="H1661" s="86"/>
      <c r="I1661" s="86"/>
      <c r="J1661" s="86"/>
      <c r="K1661" s="86"/>
      <c r="L1661" s="86"/>
      <c r="N1661" s="86"/>
      <c r="CQ1661" s="86"/>
      <c r="CR1661" s="86"/>
      <c r="CS1661" s="86"/>
      <c r="CT1661" s="86"/>
      <c r="CU1661" s="86"/>
      <c r="CV1661" s="86"/>
      <c r="CW1661" s="86"/>
    </row>
    <row r="1662" customFormat="false" ht="12.75" hidden="false" customHeight="false" outlineLevel="0" collapsed="false">
      <c r="F1662" s="86"/>
      <c r="G1662" s="86"/>
      <c r="H1662" s="86"/>
      <c r="I1662" s="86"/>
      <c r="J1662" s="86"/>
      <c r="K1662" s="86"/>
      <c r="L1662" s="86"/>
      <c r="N1662" s="86"/>
      <c r="CQ1662" s="86"/>
      <c r="CR1662" s="86"/>
      <c r="CS1662" s="86"/>
      <c r="CT1662" s="86"/>
      <c r="CU1662" s="86"/>
      <c r="CV1662" s="86"/>
      <c r="CW1662" s="86"/>
    </row>
    <row r="1663" customFormat="false" ht="12.75" hidden="false" customHeight="false" outlineLevel="0" collapsed="false">
      <c r="F1663" s="86"/>
      <c r="G1663" s="86"/>
      <c r="H1663" s="86"/>
      <c r="I1663" s="86"/>
      <c r="J1663" s="86"/>
      <c r="K1663" s="86"/>
      <c r="L1663" s="86"/>
      <c r="N1663" s="86"/>
      <c r="CQ1663" s="86"/>
      <c r="CR1663" s="86"/>
      <c r="CS1663" s="86"/>
      <c r="CT1663" s="86"/>
      <c r="CU1663" s="86"/>
      <c r="CV1663" s="86"/>
      <c r="CW1663" s="86"/>
    </row>
    <row r="1664" customFormat="false" ht="12.75" hidden="false" customHeight="false" outlineLevel="0" collapsed="false">
      <c r="F1664" s="86"/>
      <c r="G1664" s="86"/>
      <c r="H1664" s="86"/>
      <c r="I1664" s="86"/>
      <c r="J1664" s="86"/>
      <c r="K1664" s="86"/>
      <c r="L1664" s="86"/>
      <c r="N1664" s="86"/>
      <c r="CQ1664" s="86"/>
      <c r="CR1664" s="86"/>
      <c r="CS1664" s="86"/>
      <c r="CT1664" s="86"/>
      <c r="CU1664" s="86"/>
      <c r="CV1664" s="86"/>
      <c r="CW1664" s="86"/>
    </row>
    <row r="1665" customFormat="false" ht="12.75" hidden="false" customHeight="false" outlineLevel="0" collapsed="false">
      <c r="F1665" s="86"/>
      <c r="G1665" s="86"/>
      <c r="H1665" s="86"/>
      <c r="I1665" s="86"/>
      <c r="J1665" s="86"/>
      <c r="K1665" s="86"/>
      <c r="L1665" s="86"/>
      <c r="N1665" s="86"/>
      <c r="CQ1665" s="86"/>
      <c r="CR1665" s="86"/>
      <c r="CS1665" s="86"/>
      <c r="CT1665" s="86"/>
      <c r="CU1665" s="86"/>
      <c r="CV1665" s="86"/>
      <c r="CW1665" s="86"/>
    </row>
    <row r="1666" customFormat="false" ht="12.75" hidden="false" customHeight="false" outlineLevel="0" collapsed="false">
      <c r="F1666" s="86"/>
      <c r="G1666" s="86"/>
      <c r="H1666" s="86"/>
      <c r="I1666" s="86"/>
      <c r="J1666" s="86"/>
      <c r="K1666" s="86"/>
      <c r="L1666" s="86"/>
      <c r="N1666" s="86"/>
      <c r="CQ1666" s="86"/>
      <c r="CR1666" s="86"/>
      <c r="CS1666" s="86"/>
      <c r="CT1666" s="86"/>
      <c r="CU1666" s="86"/>
      <c r="CV1666" s="86"/>
      <c r="CW1666" s="86"/>
    </row>
    <row r="1667" customFormat="false" ht="12.75" hidden="false" customHeight="false" outlineLevel="0" collapsed="false">
      <c r="F1667" s="86"/>
      <c r="G1667" s="86"/>
      <c r="H1667" s="86"/>
      <c r="I1667" s="86"/>
      <c r="J1667" s="86"/>
      <c r="K1667" s="86"/>
      <c r="L1667" s="86"/>
      <c r="N1667" s="86"/>
      <c r="CQ1667" s="86"/>
      <c r="CR1667" s="86"/>
      <c r="CS1667" s="86"/>
      <c r="CT1667" s="86"/>
      <c r="CU1667" s="86"/>
      <c r="CV1667" s="86"/>
      <c r="CW1667" s="86"/>
    </row>
    <row r="1668" customFormat="false" ht="12.75" hidden="false" customHeight="false" outlineLevel="0" collapsed="false">
      <c r="F1668" s="86"/>
      <c r="G1668" s="86"/>
      <c r="H1668" s="86"/>
      <c r="I1668" s="86"/>
      <c r="J1668" s="86"/>
      <c r="K1668" s="86"/>
      <c r="L1668" s="86"/>
      <c r="N1668" s="86"/>
      <c r="CQ1668" s="86"/>
      <c r="CR1668" s="86"/>
      <c r="CS1668" s="86"/>
      <c r="CT1668" s="86"/>
      <c r="CU1668" s="86"/>
      <c r="CV1668" s="86"/>
      <c r="CW1668" s="86"/>
    </row>
    <row r="1669" customFormat="false" ht="12.75" hidden="false" customHeight="false" outlineLevel="0" collapsed="false">
      <c r="F1669" s="86"/>
      <c r="G1669" s="86"/>
      <c r="H1669" s="86"/>
      <c r="I1669" s="86"/>
      <c r="J1669" s="86"/>
      <c r="K1669" s="86"/>
      <c r="L1669" s="86"/>
      <c r="N1669" s="86"/>
      <c r="CQ1669" s="86"/>
      <c r="CR1669" s="86"/>
      <c r="CS1669" s="86"/>
      <c r="CT1669" s="86"/>
      <c r="CU1669" s="86"/>
      <c r="CV1669" s="86"/>
      <c r="CW1669" s="86"/>
    </row>
    <row r="1670" customFormat="false" ht="12.75" hidden="false" customHeight="false" outlineLevel="0" collapsed="false">
      <c r="F1670" s="86"/>
      <c r="G1670" s="86"/>
      <c r="H1670" s="86"/>
      <c r="I1670" s="86"/>
      <c r="J1670" s="86"/>
      <c r="K1670" s="86"/>
      <c r="L1670" s="86"/>
      <c r="N1670" s="86"/>
      <c r="CQ1670" s="86"/>
      <c r="CR1670" s="86"/>
      <c r="CS1670" s="86"/>
      <c r="CT1670" s="86"/>
      <c r="CU1670" s="86"/>
      <c r="CV1670" s="86"/>
      <c r="CW1670" s="86"/>
    </row>
    <row r="1671" customFormat="false" ht="12.75" hidden="false" customHeight="false" outlineLevel="0" collapsed="false">
      <c r="F1671" s="86"/>
      <c r="G1671" s="86"/>
      <c r="H1671" s="86"/>
      <c r="I1671" s="86"/>
      <c r="J1671" s="86"/>
      <c r="K1671" s="86"/>
      <c r="L1671" s="86"/>
      <c r="N1671" s="86"/>
      <c r="CQ1671" s="86"/>
      <c r="CR1671" s="86"/>
      <c r="CS1671" s="86"/>
      <c r="CT1671" s="86"/>
      <c r="CU1671" s="86"/>
      <c r="CV1671" s="86"/>
      <c r="CW1671" s="86"/>
    </row>
    <row r="1672" customFormat="false" ht="12.75" hidden="false" customHeight="false" outlineLevel="0" collapsed="false">
      <c r="F1672" s="86"/>
      <c r="G1672" s="86"/>
      <c r="H1672" s="86"/>
      <c r="I1672" s="86"/>
      <c r="J1672" s="86"/>
      <c r="K1672" s="86"/>
      <c r="L1672" s="86"/>
      <c r="N1672" s="86"/>
      <c r="CQ1672" s="86"/>
      <c r="CR1672" s="86"/>
      <c r="CS1672" s="86"/>
      <c r="CT1672" s="86"/>
      <c r="CU1672" s="86"/>
      <c r="CV1672" s="86"/>
      <c r="CW1672" s="86"/>
    </row>
    <row r="1673" customFormat="false" ht="12.75" hidden="false" customHeight="false" outlineLevel="0" collapsed="false">
      <c r="F1673" s="86"/>
      <c r="G1673" s="86"/>
      <c r="H1673" s="86"/>
      <c r="I1673" s="86"/>
      <c r="J1673" s="86"/>
      <c r="K1673" s="86"/>
      <c r="L1673" s="86"/>
      <c r="N1673" s="86"/>
      <c r="CQ1673" s="86"/>
      <c r="CR1673" s="86"/>
      <c r="CS1673" s="86"/>
      <c r="CT1673" s="86"/>
      <c r="CU1673" s="86"/>
      <c r="CV1673" s="86"/>
      <c r="CW1673" s="86"/>
    </row>
    <row r="1674" customFormat="false" ht="12.75" hidden="false" customHeight="false" outlineLevel="0" collapsed="false">
      <c r="F1674" s="86"/>
      <c r="G1674" s="86"/>
      <c r="H1674" s="86"/>
      <c r="I1674" s="86"/>
      <c r="J1674" s="86"/>
      <c r="K1674" s="86"/>
      <c r="L1674" s="86"/>
      <c r="N1674" s="86"/>
      <c r="CQ1674" s="86"/>
      <c r="CR1674" s="86"/>
      <c r="CS1674" s="86"/>
      <c r="CT1674" s="86"/>
      <c r="CU1674" s="86"/>
      <c r="CV1674" s="86"/>
      <c r="CW1674" s="86"/>
    </row>
    <row r="1675" customFormat="false" ht="12.75" hidden="false" customHeight="false" outlineLevel="0" collapsed="false">
      <c r="F1675" s="86"/>
      <c r="G1675" s="86"/>
      <c r="H1675" s="86"/>
      <c r="I1675" s="86"/>
      <c r="J1675" s="86"/>
      <c r="K1675" s="86"/>
      <c r="L1675" s="86"/>
      <c r="N1675" s="86"/>
      <c r="CQ1675" s="86"/>
      <c r="CR1675" s="86"/>
      <c r="CS1675" s="86"/>
      <c r="CT1675" s="86"/>
      <c r="CU1675" s="86"/>
      <c r="CV1675" s="86"/>
      <c r="CW1675" s="86"/>
    </row>
    <row r="1676" customFormat="false" ht="12.75" hidden="false" customHeight="false" outlineLevel="0" collapsed="false">
      <c r="F1676" s="86"/>
      <c r="G1676" s="86"/>
      <c r="H1676" s="86"/>
      <c r="I1676" s="86"/>
      <c r="J1676" s="86"/>
      <c r="K1676" s="86"/>
      <c r="L1676" s="86"/>
      <c r="N1676" s="86"/>
      <c r="CQ1676" s="86"/>
      <c r="CR1676" s="86"/>
      <c r="CS1676" s="86"/>
      <c r="CT1676" s="86"/>
      <c r="CU1676" s="86"/>
      <c r="CV1676" s="86"/>
      <c r="CW1676" s="86"/>
    </row>
    <row r="1677" customFormat="false" ht="12.75" hidden="false" customHeight="false" outlineLevel="0" collapsed="false">
      <c r="F1677" s="86"/>
      <c r="G1677" s="86"/>
      <c r="H1677" s="86"/>
      <c r="I1677" s="86"/>
      <c r="J1677" s="86"/>
      <c r="K1677" s="86"/>
      <c r="L1677" s="86"/>
      <c r="N1677" s="86"/>
      <c r="CQ1677" s="86"/>
      <c r="CR1677" s="86"/>
      <c r="CS1677" s="86"/>
      <c r="CT1677" s="86"/>
      <c r="CU1677" s="86"/>
      <c r="CV1677" s="86"/>
      <c r="CW1677" s="86"/>
    </row>
    <row r="1678" customFormat="false" ht="12.75" hidden="false" customHeight="false" outlineLevel="0" collapsed="false">
      <c r="F1678" s="86"/>
      <c r="G1678" s="86"/>
      <c r="H1678" s="86"/>
      <c r="I1678" s="86"/>
      <c r="J1678" s="86"/>
      <c r="K1678" s="86"/>
      <c r="L1678" s="86"/>
      <c r="N1678" s="86"/>
      <c r="CQ1678" s="86"/>
      <c r="CR1678" s="86"/>
      <c r="CS1678" s="86"/>
      <c r="CT1678" s="86"/>
      <c r="CU1678" s="86"/>
      <c r="CV1678" s="86"/>
      <c r="CW1678" s="86"/>
    </row>
    <row r="1679" customFormat="false" ht="12.75" hidden="false" customHeight="false" outlineLevel="0" collapsed="false">
      <c r="F1679" s="86"/>
      <c r="G1679" s="86"/>
      <c r="H1679" s="86"/>
      <c r="I1679" s="86"/>
      <c r="J1679" s="86"/>
      <c r="K1679" s="86"/>
      <c r="L1679" s="86"/>
      <c r="N1679" s="86"/>
      <c r="CQ1679" s="86"/>
      <c r="CR1679" s="86"/>
      <c r="CS1679" s="86"/>
      <c r="CT1679" s="86"/>
      <c r="CU1679" s="86"/>
      <c r="CV1679" s="86"/>
      <c r="CW1679" s="86"/>
    </row>
    <row r="1680" customFormat="false" ht="12.75" hidden="false" customHeight="false" outlineLevel="0" collapsed="false">
      <c r="F1680" s="86"/>
      <c r="G1680" s="86"/>
      <c r="H1680" s="86"/>
      <c r="I1680" s="86"/>
      <c r="J1680" s="86"/>
      <c r="K1680" s="86"/>
      <c r="L1680" s="86"/>
      <c r="N1680" s="86"/>
      <c r="CQ1680" s="86"/>
      <c r="CR1680" s="86"/>
      <c r="CS1680" s="86"/>
      <c r="CT1680" s="86"/>
      <c r="CU1680" s="86"/>
      <c r="CV1680" s="86"/>
      <c r="CW1680" s="86"/>
    </row>
    <row r="1681" customFormat="false" ht="12.75" hidden="false" customHeight="false" outlineLevel="0" collapsed="false">
      <c r="F1681" s="86"/>
      <c r="G1681" s="86"/>
      <c r="H1681" s="86"/>
      <c r="I1681" s="86"/>
      <c r="J1681" s="86"/>
      <c r="K1681" s="86"/>
      <c r="L1681" s="86"/>
      <c r="N1681" s="86"/>
      <c r="CQ1681" s="86"/>
      <c r="CR1681" s="86"/>
      <c r="CS1681" s="86"/>
      <c r="CT1681" s="86"/>
      <c r="CU1681" s="86"/>
      <c r="CV1681" s="86"/>
      <c r="CW1681" s="86"/>
    </row>
    <row r="1682" customFormat="false" ht="12.75" hidden="false" customHeight="false" outlineLevel="0" collapsed="false">
      <c r="F1682" s="86"/>
      <c r="G1682" s="86"/>
      <c r="H1682" s="86"/>
      <c r="I1682" s="86"/>
      <c r="J1682" s="86"/>
      <c r="K1682" s="86"/>
      <c r="L1682" s="86"/>
      <c r="N1682" s="86"/>
      <c r="CQ1682" s="86"/>
      <c r="CR1682" s="86"/>
      <c r="CS1682" s="86"/>
      <c r="CT1682" s="86"/>
      <c r="CU1682" s="86"/>
      <c r="CV1682" s="86"/>
      <c r="CW1682" s="86"/>
    </row>
    <row r="1683" customFormat="false" ht="12.75" hidden="false" customHeight="false" outlineLevel="0" collapsed="false">
      <c r="F1683" s="86"/>
      <c r="G1683" s="86"/>
      <c r="H1683" s="86"/>
      <c r="I1683" s="86"/>
      <c r="J1683" s="86"/>
      <c r="K1683" s="86"/>
      <c r="L1683" s="86"/>
      <c r="N1683" s="86"/>
      <c r="CQ1683" s="86"/>
      <c r="CR1683" s="86"/>
      <c r="CS1683" s="86"/>
      <c r="CT1683" s="86"/>
      <c r="CU1683" s="86"/>
      <c r="CV1683" s="86"/>
      <c r="CW1683" s="86"/>
    </row>
    <row r="1684" customFormat="false" ht="12.75" hidden="false" customHeight="false" outlineLevel="0" collapsed="false">
      <c r="F1684" s="86"/>
      <c r="G1684" s="86"/>
      <c r="H1684" s="86"/>
      <c r="I1684" s="86"/>
      <c r="J1684" s="86"/>
      <c r="K1684" s="86"/>
      <c r="L1684" s="86"/>
      <c r="N1684" s="86"/>
      <c r="CQ1684" s="86"/>
      <c r="CR1684" s="86"/>
      <c r="CS1684" s="86"/>
      <c r="CT1684" s="86"/>
      <c r="CU1684" s="86"/>
      <c r="CV1684" s="86"/>
      <c r="CW1684" s="86"/>
    </row>
    <row r="1685" customFormat="false" ht="12.75" hidden="false" customHeight="false" outlineLevel="0" collapsed="false">
      <c r="F1685" s="86"/>
      <c r="G1685" s="86"/>
      <c r="H1685" s="86"/>
      <c r="I1685" s="86"/>
      <c r="J1685" s="86"/>
      <c r="K1685" s="86"/>
      <c r="L1685" s="86"/>
      <c r="N1685" s="86"/>
      <c r="CQ1685" s="86"/>
      <c r="CR1685" s="86"/>
      <c r="CS1685" s="86"/>
      <c r="CT1685" s="86"/>
      <c r="CU1685" s="86"/>
      <c r="CV1685" s="86"/>
      <c r="CW1685" s="86"/>
    </row>
    <row r="1686" customFormat="false" ht="12.75" hidden="false" customHeight="false" outlineLevel="0" collapsed="false">
      <c r="F1686" s="86"/>
      <c r="G1686" s="86"/>
      <c r="H1686" s="86"/>
      <c r="I1686" s="86"/>
      <c r="J1686" s="86"/>
      <c r="K1686" s="86"/>
      <c r="L1686" s="86"/>
      <c r="N1686" s="86"/>
      <c r="CQ1686" s="86"/>
      <c r="CR1686" s="86"/>
      <c r="CS1686" s="86"/>
      <c r="CT1686" s="86"/>
      <c r="CU1686" s="86"/>
      <c r="CV1686" s="86"/>
      <c r="CW1686" s="86"/>
    </row>
    <row r="1687" customFormat="false" ht="12.75" hidden="false" customHeight="false" outlineLevel="0" collapsed="false">
      <c r="F1687" s="86"/>
      <c r="G1687" s="86"/>
      <c r="H1687" s="86"/>
      <c r="I1687" s="86"/>
      <c r="J1687" s="86"/>
      <c r="K1687" s="86"/>
      <c r="L1687" s="86"/>
      <c r="N1687" s="86"/>
      <c r="CQ1687" s="86"/>
      <c r="CR1687" s="86"/>
      <c r="CS1687" s="86"/>
      <c r="CT1687" s="86"/>
      <c r="CU1687" s="86"/>
      <c r="CV1687" s="86"/>
      <c r="CW1687" s="86"/>
    </row>
    <row r="1688" customFormat="false" ht="12.75" hidden="false" customHeight="false" outlineLevel="0" collapsed="false">
      <c r="F1688" s="86"/>
      <c r="G1688" s="86"/>
      <c r="H1688" s="86"/>
      <c r="I1688" s="86"/>
      <c r="J1688" s="86"/>
      <c r="K1688" s="86"/>
      <c r="L1688" s="86"/>
      <c r="N1688" s="86"/>
      <c r="CQ1688" s="86"/>
      <c r="CR1688" s="86"/>
      <c r="CS1688" s="86"/>
      <c r="CT1688" s="86"/>
      <c r="CU1688" s="86"/>
      <c r="CV1688" s="86"/>
      <c r="CW1688" s="86"/>
    </row>
    <row r="1689" customFormat="false" ht="12.75" hidden="false" customHeight="false" outlineLevel="0" collapsed="false">
      <c r="F1689" s="86"/>
      <c r="G1689" s="86"/>
      <c r="H1689" s="86"/>
      <c r="I1689" s="86"/>
      <c r="J1689" s="86"/>
      <c r="K1689" s="86"/>
      <c r="L1689" s="86"/>
      <c r="N1689" s="86"/>
      <c r="CQ1689" s="86"/>
      <c r="CR1689" s="86"/>
      <c r="CS1689" s="86"/>
      <c r="CT1689" s="86"/>
      <c r="CU1689" s="86"/>
      <c r="CV1689" s="86"/>
      <c r="CW1689" s="86"/>
    </row>
    <row r="1690" customFormat="false" ht="12.75" hidden="false" customHeight="false" outlineLevel="0" collapsed="false">
      <c r="F1690" s="86"/>
      <c r="G1690" s="86"/>
      <c r="H1690" s="86"/>
      <c r="I1690" s="86"/>
      <c r="J1690" s="86"/>
      <c r="K1690" s="86"/>
      <c r="L1690" s="86"/>
      <c r="N1690" s="86"/>
      <c r="CQ1690" s="86"/>
      <c r="CR1690" s="86"/>
      <c r="CS1690" s="86"/>
      <c r="CT1690" s="86"/>
      <c r="CU1690" s="86"/>
      <c r="CV1690" s="86"/>
      <c r="CW1690" s="86"/>
    </row>
    <row r="1691" customFormat="false" ht="12.75" hidden="false" customHeight="false" outlineLevel="0" collapsed="false">
      <c r="F1691" s="86"/>
      <c r="G1691" s="86"/>
      <c r="H1691" s="86"/>
      <c r="I1691" s="86"/>
      <c r="J1691" s="86"/>
      <c r="K1691" s="86"/>
      <c r="L1691" s="86"/>
      <c r="N1691" s="86"/>
      <c r="CQ1691" s="86"/>
      <c r="CR1691" s="86"/>
      <c r="CS1691" s="86"/>
      <c r="CT1691" s="86"/>
      <c r="CU1691" s="86"/>
      <c r="CV1691" s="86"/>
      <c r="CW1691" s="86"/>
    </row>
    <row r="1692" customFormat="false" ht="12.75" hidden="false" customHeight="false" outlineLevel="0" collapsed="false">
      <c r="F1692" s="86"/>
      <c r="G1692" s="86"/>
      <c r="H1692" s="86"/>
      <c r="I1692" s="86"/>
      <c r="J1692" s="86"/>
      <c r="K1692" s="86"/>
      <c r="L1692" s="86"/>
      <c r="N1692" s="86"/>
      <c r="CQ1692" s="86"/>
      <c r="CR1692" s="86"/>
      <c r="CS1692" s="86"/>
      <c r="CT1692" s="86"/>
      <c r="CU1692" s="86"/>
      <c r="CV1692" s="86"/>
      <c r="CW1692" s="86"/>
    </row>
    <row r="1693" customFormat="false" ht="12.75" hidden="false" customHeight="false" outlineLevel="0" collapsed="false">
      <c r="F1693" s="86"/>
      <c r="G1693" s="86"/>
      <c r="H1693" s="86"/>
      <c r="I1693" s="86"/>
      <c r="J1693" s="86"/>
      <c r="K1693" s="86"/>
      <c r="L1693" s="86"/>
      <c r="N1693" s="86"/>
      <c r="CQ1693" s="86"/>
      <c r="CR1693" s="86"/>
      <c r="CS1693" s="86"/>
      <c r="CT1693" s="86"/>
      <c r="CU1693" s="86"/>
      <c r="CV1693" s="86"/>
      <c r="CW1693" s="86"/>
    </row>
    <row r="1694" customFormat="false" ht="12.75" hidden="false" customHeight="false" outlineLevel="0" collapsed="false">
      <c r="F1694" s="86"/>
      <c r="G1694" s="86"/>
      <c r="H1694" s="86"/>
      <c r="I1694" s="86"/>
      <c r="J1694" s="86"/>
      <c r="K1694" s="86"/>
      <c r="L1694" s="86"/>
      <c r="N1694" s="86"/>
      <c r="CQ1694" s="86"/>
      <c r="CR1694" s="86"/>
      <c r="CS1694" s="86"/>
      <c r="CT1694" s="86"/>
      <c r="CU1694" s="86"/>
      <c r="CV1694" s="86"/>
      <c r="CW1694" s="86"/>
    </row>
    <row r="1695" customFormat="false" ht="12.75" hidden="false" customHeight="false" outlineLevel="0" collapsed="false">
      <c r="F1695" s="86"/>
      <c r="G1695" s="86"/>
      <c r="H1695" s="86"/>
      <c r="I1695" s="86"/>
      <c r="J1695" s="86"/>
      <c r="K1695" s="86"/>
      <c r="L1695" s="86"/>
      <c r="N1695" s="86"/>
      <c r="CQ1695" s="86"/>
      <c r="CR1695" s="86"/>
      <c r="CS1695" s="86"/>
      <c r="CT1695" s="86"/>
      <c r="CU1695" s="86"/>
      <c r="CV1695" s="86"/>
      <c r="CW1695" s="86"/>
    </row>
    <row r="1696" customFormat="false" ht="12.75" hidden="false" customHeight="false" outlineLevel="0" collapsed="false">
      <c r="F1696" s="86"/>
      <c r="G1696" s="86"/>
      <c r="H1696" s="86"/>
      <c r="I1696" s="86"/>
      <c r="J1696" s="86"/>
      <c r="K1696" s="86"/>
      <c r="L1696" s="86"/>
      <c r="N1696" s="86"/>
      <c r="CQ1696" s="86"/>
      <c r="CR1696" s="86"/>
      <c r="CS1696" s="86"/>
      <c r="CT1696" s="86"/>
      <c r="CU1696" s="86"/>
      <c r="CV1696" s="86"/>
      <c r="CW1696" s="86"/>
    </row>
    <row r="1697" customFormat="false" ht="12.75" hidden="false" customHeight="false" outlineLevel="0" collapsed="false">
      <c r="F1697" s="86"/>
      <c r="G1697" s="86"/>
      <c r="H1697" s="86"/>
      <c r="I1697" s="86"/>
      <c r="J1697" s="86"/>
      <c r="K1697" s="86"/>
      <c r="L1697" s="86"/>
      <c r="N1697" s="86"/>
      <c r="CQ1697" s="86"/>
      <c r="CR1697" s="86"/>
      <c r="CS1697" s="86"/>
      <c r="CT1697" s="86"/>
      <c r="CU1697" s="86"/>
      <c r="CV1697" s="86"/>
      <c r="CW1697" s="86"/>
    </row>
    <row r="1698" customFormat="false" ht="12.75" hidden="false" customHeight="false" outlineLevel="0" collapsed="false">
      <c r="F1698" s="86"/>
      <c r="G1698" s="86"/>
      <c r="H1698" s="86"/>
      <c r="I1698" s="86"/>
      <c r="J1698" s="86"/>
      <c r="K1698" s="86"/>
      <c r="L1698" s="86"/>
      <c r="N1698" s="86"/>
      <c r="CQ1698" s="86"/>
      <c r="CR1698" s="86"/>
      <c r="CS1698" s="86"/>
      <c r="CT1698" s="86"/>
      <c r="CU1698" s="86"/>
      <c r="CV1698" s="86"/>
      <c r="CW1698" s="86"/>
    </row>
    <row r="1699" customFormat="false" ht="12.75" hidden="false" customHeight="false" outlineLevel="0" collapsed="false">
      <c r="F1699" s="86"/>
      <c r="G1699" s="86"/>
      <c r="H1699" s="86"/>
      <c r="I1699" s="86"/>
      <c r="J1699" s="86"/>
      <c r="K1699" s="86"/>
      <c r="L1699" s="86"/>
      <c r="N1699" s="86"/>
      <c r="CQ1699" s="86"/>
      <c r="CR1699" s="86"/>
      <c r="CS1699" s="86"/>
      <c r="CT1699" s="86"/>
      <c r="CU1699" s="86"/>
      <c r="CV1699" s="86"/>
      <c r="CW1699" s="86"/>
    </row>
    <row r="1700" customFormat="false" ht="12.75" hidden="false" customHeight="false" outlineLevel="0" collapsed="false">
      <c r="F1700" s="86"/>
      <c r="G1700" s="86"/>
      <c r="H1700" s="86"/>
      <c r="I1700" s="86"/>
      <c r="J1700" s="86"/>
      <c r="K1700" s="86"/>
      <c r="L1700" s="86"/>
      <c r="N1700" s="86"/>
      <c r="CQ1700" s="86"/>
      <c r="CR1700" s="86"/>
      <c r="CS1700" s="86"/>
      <c r="CT1700" s="86"/>
      <c r="CU1700" s="86"/>
      <c r="CV1700" s="86"/>
      <c r="CW1700" s="86"/>
    </row>
    <row r="1701" customFormat="false" ht="12.75" hidden="false" customHeight="false" outlineLevel="0" collapsed="false">
      <c r="F1701" s="86"/>
      <c r="G1701" s="86"/>
      <c r="H1701" s="86"/>
      <c r="I1701" s="86"/>
      <c r="J1701" s="86"/>
      <c r="K1701" s="86"/>
      <c r="L1701" s="86"/>
      <c r="N1701" s="86"/>
      <c r="CQ1701" s="86"/>
      <c r="CR1701" s="86"/>
      <c r="CS1701" s="86"/>
      <c r="CT1701" s="86"/>
      <c r="CU1701" s="86"/>
      <c r="CV1701" s="86"/>
      <c r="CW1701" s="86"/>
    </row>
    <row r="1702" customFormat="false" ht="12.75" hidden="false" customHeight="false" outlineLevel="0" collapsed="false">
      <c r="F1702" s="86"/>
      <c r="G1702" s="86"/>
      <c r="H1702" s="86"/>
      <c r="I1702" s="86"/>
      <c r="J1702" s="86"/>
      <c r="K1702" s="86"/>
      <c r="L1702" s="86"/>
      <c r="N1702" s="86"/>
      <c r="CQ1702" s="86"/>
      <c r="CR1702" s="86"/>
      <c r="CS1702" s="86"/>
      <c r="CT1702" s="86"/>
      <c r="CU1702" s="86"/>
      <c r="CV1702" s="86"/>
      <c r="CW1702" s="86"/>
    </row>
    <row r="1703" customFormat="false" ht="12.75" hidden="false" customHeight="false" outlineLevel="0" collapsed="false">
      <c r="F1703" s="86"/>
      <c r="G1703" s="86"/>
      <c r="H1703" s="86"/>
      <c r="I1703" s="86"/>
      <c r="J1703" s="86"/>
      <c r="K1703" s="86"/>
      <c r="L1703" s="86"/>
      <c r="N1703" s="86"/>
      <c r="CQ1703" s="86"/>
      <c r="CR1703" s="86"/>
      <c r="CS1703" s="86"/>
      <c r="CT1703" s="86"/>
      <c r="CU1703" s="86"/>
      <c r="CV1703" s="86"/>
      <c r="CW1703" s="86"/>
    </row>
    <row r="1704" customFormat="false" ht="12.75" hidden="false" customHeight="false" outlineLevel="0" collapsed="false">
      <c r="F1704" s="86"/>
      <c r="G1704" s="86"/>
      <c r="H1704" s="86"/>
      <c r="I1704" s="86"/>
      <c r="J1704" s="86"/>
      <c r="K1704" s="86"/>
      <c r="L1704" s="86"/>
      <c r="N1704" s="86"/>
      <c r="CQ1704" s="86"/>
      <c r="CR1704" s="86"/>
      <c r="CS1704" s="86"/>
      <c r="CT1704" s="86"/>
      <c r="CU1704" s="86"/>
      <c r="CV1704" s="86"/>
      <c r="CW1704" s="86"/>
    </row>
    <row r="1705" customFormat="false" ht="12.75" hidden="false" customHeight="false" outlineLevel="0" collapsed="false">
      <c r="F1705" s="86"/>
      <c r="G1705" s="86"/>
      <c r="H1705" s="86"/>
      <c r="I1705" s="86"/>
      <c r="J1705" s="86"/>
      <c r="K1705" s="86"/>
      <c r="L1705" s="86"/>
      <c r="N1705" s="86"/>
      <c r="CQ1705" s="86"/>
      <c r="CR1705" s="86"/>
      <c r="CS1705" s="86"/>
      <c r="CT1705" s="86"/>
      <c r="CU1705" s="86"/>
      <c r="CV1705" s="86"/>
      <c r="CW1705" s="86"/>
    </row>
    <row r="1706" customFormat="false" ht="12.75" hidden="false" customHeight="false" outlineLevel="0" collapsed="false">
      <c r="F1706" s="86"/>
      <c r="G1706" s="86"/>
      <c r="H1706" s="86"/>
      <c r="I1706" s="86"/>
      <c r="J1706" s="86"/>
      <c r="K1706" s="86"/>
      <c r="L1706" s="86"/>
      <c r="N1706" s="86"/>
      <c r="CQ1706" s="86"/>
      <c r="CR1706" s="86"/>
      <c r="CS1706" s="86"/>
      <c r="CT1706" s="86"/>
      <c r="CU1706" s="86"/>
      <c r="CV1706" s="86"/>
      <c r="CW1706" s="86"/>
    </row>
    <row r="1707" customFormat="false" ht="12.75" hidden="false" customHeight="false" outlineLevel="0" collapsed="false">
      <c r="F1707" s="86"/>
      <c r="G1707" s="86"/>
      <c r="H1707" s="86"/>
      <c r="I1707" s="86"/>
      <c r="J1707" s="86"/>
      <c r="K1707" s="86"/>
      <c r="L1707" s="86"/>
      <c r="N1707" s="86"/>
      <c r="CQ1707" s="86"/>
      <c r="CR1707" s="86"/>
      <c r="CS1707" s="86"/>
      <c r="CT1707" s="86"/>
      <c r="CU1707" s="86"/>
      <c r="CV1707" s="86"/>
      <c r="CW1707" s="86"/>
    </row>
    <row r="1708" customFormat="false" ht="12.75" hidden="false" customHeight="false" outlineLevel="0" collapsed="false">
      <c r="F1708" s="86"/>
      <c r="G1708" s="86"/>
      <c r="H1708" s="86"/>
      <c r="I1708" s="86"/>
      <c r="J1708" s="86"/>
      <c r="K1708" s="86"/>
      <c r="L1708" s="86"/>
      <c r="N1708" s="86"/>
      <c r="CQ1708" s="86"/>
      <c r="CR1708" s="86"/>
      <c r="CS1708" s="86"/>
      <c r="CT1708" s="86"/>
      <c r="CU1708" s="86"/>
      <c r="CV1708" s="86"/>
      <c r="CW1708" s="86"/>
    </row>
    <row r="1709" customFormat="false" ht="12.75" hidden="false" customHeight="false" outlineLevel="0" collapsed="false">
      <c r="F1709" s="86"/>
      <c r="G1709" s="86"/>
      <c r="H1709" s="86"/>
      <c r="I1709" s="86"/>
      <c r="J1709" s="86"/>
      <c r="K1709" s="86"/>
      <c r="L1709" s="86"/>
      <c r="N1709" s="86"/>
      <c r="CQ1709" s="86"/>
      <c r="CR1709" s="86"/>
      <c r="CS1709" s="86"/>
      <c r="CT1709" s="86"/>
      <c r="CU1709" s="86"/>
      <c r="CV1709" s="86"/>
      <c r="CW1709" s="86"/>
    </row>
    <row r="1710" customFormat="false" ht="12.75" hidden="false" customHeight="false" outlineLevel="0" collapsed="false">
      <c r="F1710" s="86"/>
      <c r="G1710" s="86"/>
      <c r="H1710" s="86"/>
      <c r="I1710" s="86"/>
      <c r="J1710" s="86"/>
      <c r="K1710" s="86"/>
      <c r="L1710" s="86"/>
      <c r="N1710" s="86"/>
      <c r="CQ1710" s="86"/>
      <c r="CR1710" s="86"/>
      <c r="CS1710" s="86"/>
      <c r="CT1710" s="86"/>
      <c r="CU1710" s="86"/>
      <c r="CV1710" s="86"/>
      <c r="CW1710" s="86"/>
    </row>
    <row r="1711" customFormat="false" ht="12.75" hidden="false" customHeight="false" outlineLevel="0" collapsed="false">
      <c r="F1711" s="86"/>
      <c r="G1711" s="86"/>
      <c r="H1711" s="86"/>
      <c r="I1711" s="86"/>
      <c r="J1711" s="86"/>
      <c r="K1711" s="86"/>
      <c r="L1711" s="86"/>
      <c r="N1711" s="86"/>
      <c r="CQ1711" s="86"/>
      <c r="CR1711" s="86"/>
      <c r="CS1711" s="86"/>
      <c r="CT1711" s="86"/>
      <c r="CU1711" s="86"/>
      <c r="CV1711" s="86"/>
      <c r="CW1711" s="86"/>
    </row>
    <row r="1712" customFormat="false" ht="12.75" hidden="false" customHeight="false" outlineLevel="0" collapsed="false">
      <c r="F1712" s="86"/>
      <c r="G1712" s="86"/>
      <c r="H1712" s="86"/>
      <c r="I1712" s="86"/>
      <c r="J1712" s="86"/>
      <c r="K1712" s="86"/>
      <c r="L1712" s="86"/>
      <c r="N1712" s="86"/>
      <c r="CQ1712" s="86"/>
      <c r="CR1712" s="86"/>
      <c r="CS1712" s="86"/>
      <c r="CT1712" s="86"/>
      <c r="CU1712" s="86"/>
      <c r="CV1712" s="86"/>
      <c r="CW1712" s="86"/>
    </row>
    <row r="1713" customFormat="false" ht="12.75" hidden="false" customHeight="false" outlineLevel="0" collapsed="false">
      <c r="F1713" s="86"/>
      <c r="G1713" s="86"/>
      <c r="H1713" s="86"/>
      <c r="I1713" s="86"/>
      <c r="J1713" s="86"/>
      <c r="K1713" s="86"/>
      <c r="L1713" s="86"/>
      <c r="N1713" s="86"/>
      <c r="CQ1713" s="86"/>
      <c r="CR1713" s="86"/>
      <c r="CS1713" s="86"/>
      <c r="CT1713" s="86"/>
      <c r="CU1713" s="86"/>
      <c r="CV1713" s="86"/>
      <c r="CW1713" s="86"/>
    </row>
    <row r="1714" customFormat="false" ht="12.75" hidden="false" customHeight="false" outlineLevel="0" collapsed="false">
      <c r="F1714" s="86"/>
      <c r="G1714" s="86"/>
      <c r="H1714" s="86"/>
      <c r="I1714" s="86"/>
      <c r="J1714" s="86"/>
      <c r="K1714" s="86"/>
      <c r="L1714" s="86"/>
      <c r="N1714" s="86"/>
      <c r="CQ1714" s="86"/>
      <c r="CR1714" s="86"/>
      <c r="CS1714" s="86"/>
      <c r="CT1714" s="86"/>
      <c r="CU1714" s="86"/>
      <c r="CV1714" s="86"/>
      <c r="CW1714" s="86"/>
    </row>
    <row r="1715" customFormat="false" ht="12.75" hidden="false" customHeight="false" outlineLevel="0" collapsed="false">
      <c r="F1715" s="86"/>
      <c r="G1715" s="86"/>
      <c r="H1715" s="86"/>
      <c r="I1715" s="86"/>
      <c r="J1715" s="86"/>
      <c r="K1715" s="86"/>
      <c r="L1715" s="86"/>
      <c r="N1715" s="86"/>
      <c r="CQ1715" s="86"/>
      <c r="CR1715" s="86"/>
      <c r="CS1715" s="86"/>
      <c r="CT1715" s="86"/>
      <c r="CU1715" s="86"/>
      <c r="CV1715" s="86"/>
      <c r="CW1715" s="86"/>
    </row>
    <row r="1716" customFormat="false" ht="12.75" hidden="false" customHeight="false" outlineLevel="0" collapsed="false">
      <c r="F1716" s="86"/>
      <c r="G1716" s="86"/>
      <c r="H1716" s="86"/>
      <c r="I1716" s="86"/>
      <c r="J1716" s="86"/>
      <c r="K1716" s="86"/>
      <c r="L1716" s="86"/>
      <c r="N1716" s="86"/>
      <c r="CQ1716" s="86"/>
      <c r="CR1716" s="86"/>
      <c r="CS1716" s="86"/>
      <c r="CT1716" s="86"/>
      <c r="CU1716" s="86"/>
      <c r="CV1716" s="86"/>
      <c r="CW1716" s="86"/>
    </row>
    <row r="1717" customFormat="false" ht="12.75" hidden="false" customHeight="false" outlineLevel="0" collapsed="false">
      <c r="F1717" s="86"/>
      <c r="G1717" s="86"/>
      <c r="H1717" s="86"/>
      <c r="I1717" s="86"/>
      <c r="J1717" s="86"/>
      <c r="K1717" s="86"/>
      <c r="L1717" s="86"/>
      <c r="N1717" s="86"/>
      <c r="CQ1717" s="86"/>
      <c r="CR1717" s="86"/>
      <c r="CS1717" s="86"/>
      <c r="CT1717" s="86"/>
      <c r="CU1717" s="86"/>
      <c r="CV1717" s="86"/>
      <c r="CW1717" s="86"/>
    </row>
    <row r="1718" customFormat="false" ht="12.75" hidden="false" customHeight="false" outlineLevel="0" collapsed="false">
      <c r="F1718" s="86"/>
      <c r="G1718" s="86"/>
      <c r="H1718" s="86"/>
      <c r="I1718" s="86"/>
      <c r="J1718" s="86"/>
      <c r="K1718" s="86"/>
      <c r="L1718" s="86"/>
      <c r="N1718" s="86"/>
      <c r="CQ1718" s="86"/>
      <c r="CR1718" s="86"/>
      <c r="CS1718" s="86"/>
      <c r="CT1718" s="86"/>
      <c r="CU1718" s="86"/>
      <c r="CV1718" s="86"/>
      <c r="CW1718" s="86"/>
    </row>
    <row r="1719" customFormat="false" ht="12.75" hidden="false" customHeight="false" outlineLevel="0" collapsed="false">
      <c r="F1719" s="86"/>
      <c r="G1719" s="86"/>
      <c r="H1719" s="86"/>
      <c r="I1719" s="86"/>
      <c r="J1719" s="86"/>
      <c r="K1719" s="86"/>
      <c r="L1719" s="86"/>
      <c r="N1719" s="86"/>
      <c r="CQ1719" s="86"/>
      <c r="CR1719" s="86"/>
      <c r="CS1719" s="86"/>
      <c r="CT1719" s="86"/>
      <c r="CU1719" s="86"/>
      <c r="CV1719" s="86"/>
      <c r="CW1719" s="86"/>
    </row>
    <row r="1720" customFormat="false" ht="12.75" hidden="false" customHeight="false" outlineLevel="0" collapsed="false">
      <c r="F1720" s="86"/>
      <c r="G1720" s="86"/>
      <c r="H1720" s="86"/>
      <c r="I1720" s="86"/>
      <c r="J1720" s="86"/>
      <c r="K1720" s="86"/>
      <c r="L1720" s="86"/>
      <c r="N1720" s="86"/>
      <c r="CQ1720" s="86"/>
      <c r="CR1720" s="86"/>
      <c r="CS1720" s="86"/>
      <c r="CT1720" s="86"/>
      <c r="CU1720" s="86"/>
      <c r="CV1720" s="86"/>
      <c r="CW1720" s="86"/>
    </row>
    <row r="1721" customFormat="false" ht="12.75" hidden="false" customHeight="false" outlineLevel="0" collapsed="false">
      <c r="F1721" s="86"/>
      <c r="G1721" s="86"/>
      <c r="H1721" s="86"/>
      <c r="I1721" s="86"/>
      <c r="J1721" s="86"/>
      <c r="K1721" s="86"/>
      <c r="L1721" s="86"/>
      <c r="N1721" s="86"/>
      <c r="CQ1721" s="86"/>
      <c r="CR1721" s="86"/>
      <c r="CS1721" s="86"/>
      <c r="CT1721" s="86"/>
      <c r="CU1721" s="86"/>
      <c r="CV1721" s="86"/>
      <c r="CW1721" s="86"/>
    </row>
    <row r="1722" customFormat="false" ht="12.75" hidden="false" customHeight="false" outlineLevel="0" collapsed="false">
      <c r="F1722" s="86"/>
      <c r="G1722" s="86"/>
      <c r="H1722" s="86"/>
      <c r="I1722" s="86"/>
      <c r="J1722" s="86"/>
      <c r="K1722" s="86"/>
      <c r="L1722" s="86"/>
      <c r="N1722" s="86"/>
      <c r="CQ1722" s="86"/>
      <c r="CR1722" s="86"/>
      <c r="CS1722" s="86"/>
      <c r="CT1722" s="86"/>
      <c r="CU1722" s="86"/>
      <c r="CV1722" s="86"/>
      <c r="CW1722" s="86"/>
    </row>
    <row r="1723" customFormat="false" ht="12.75" hidden="false" customHeight="false" outlineLevel="0" collapsed="false">
      <c r="F1723" s="86"/>
      <c r="G1723" s="86"/>
      <c r="H1723" s="86"/>
      <c r="I1723" s="86"/>
      <c r="J1723" s="86"/>
      <c r="K1723" s="86"/>
      <c r="L1723" s="86"/>
      <c r="N1723" s="86"/>
      <c r="CQ1723" s="86"/>
      <c r="CR1723" s="86"/>
      <c r="CS1723" s="86"/>
      <c r="CT1723" s="86"/>
      <c r="CU1723" s="86"/>
      <c r="CV1723" s="86"/>
      <c r="CW1723" s="86"/>
    </row>
    <row r="1724" customFormat="false" ht="12.75" hidden="false" customHeight="false" outlineLevel="0" collapsed="false">
      <c r="F1724" s="86"/>
      <c r="G1724" s="86"/>
      <c r="H1724" s="86"/>
      <c r="I1724" s="86"/>
      <c r="J1724" s="86"/>
      <c r="K1724" s="86"/>
      <c r="L1724" s="86"/>
      <c r="N1724" s="86"/>
      <c r="CQ1724" s="86"/>
      <c r="CR1724" s="86"/>
      <c r="CS1724" s="86"/>
      <c r="CT1724" s="86"/>
      <c r="CU1724" s="86"/>
      <c r="CV1724" s="86"/>
      <c r="CW1724" s="86"/>
    </row>
    <row r="1725" customFormat="false" ht="12.75" hidden="false" customHeight="false" outlineLevel="0" collapsed="false">
      <c r="F1725" s="86"/>
      <c r="G1725" s="86"/>
      <c r="H1725" s="86"/>
      <c r="I1725" s="86"/>
      <c r="J1725" s="86"/>
      <c r="K1725" s="86"/>
      <c r="L1725" s="86"/>
      <c r="N1725" s="86"/>
      <c r="CQ1725" s="86"/>
      <c r="CR1725" s="86"/>
      <c r="CS1725" s="86"/>
      <c r="CT1725" s="86"/>
      <c r="CU1725" s="86"/>
      <c r="CV1725" s="86"/>
      <c r="CW1725" s="86"/>
    </row>
    <row r="1726" customFormat="false" ht="12.75" hidden="false" customHeight="false" outlineLevel="0" collapsed="false">
      <c r="F1726" s="86"/>
      <c r="G1726" s="86"/>
      <c r="H1726" s="86"/>
      <c r="I1726" s="86"/>
      <c r="J1726" s="86"/>
      <c r="K1726" s="86"/>
      <c r="L1726" s="86"/>
      <c r="N1726" s="86"/>
      <c r="CQ1726" s="86"/>
      <c r="CR1726" s="86"/>
      <c r="CS1726" s="86"/>
      <c r="CT1726" s="86"/>
      <c r="CU1726" s="86"/>
      <c r="CV1726" s="86"/>
      <c r="CW1726" s="86"/>
    </row>
    <row r="1727" customFormat="false" ht="12.75" hidden="false" customHeight="false" outlineLevel="0" collapsed="false">
      <c r="F1727" s="86"/>
      <c r="G1727" s="86"/>
      <c r="H1727" s="86"/>
      <c r="I1727" s="86"/>
      <c r="J1727" s="86"/>
      <c r="K1727" s="86"/>
      <c r="L1727" s="86"/>
      <c r="N1727" s="86"/>
      <c r="CQ1727" s="86"/>
      <c r="CR1727" s="86"/>
      <c r="CS1727" s="86"/>
      <c r="CT1727" s="86"/>
      <c r="CU1727" s="86"/>
      <c r="CV1727" s="86"/>
      <c r="CW1727" s="86"/>
    </row>
    <row r="1728" customFormat="false" ht="12.75" hidden="false" customHeight="false" outlineLevel="0" collapsed="false">
      <c r="F1728" s="86"/>
      <c r="G1728" s="86"/>
      <c r="H1728" s="86"/>
      <c r="I1728" s="86"/>
      <c r="J1728" s="86"/>
      <c r="K1728" s="86"/>
      <c r="L1728" s="86"/>
      <c r="N1728" s="86"/>
      <c r="CQ1728" s="86"/>
      <c r="CR1728" s="86"/>
      <c r="CS1728" s="86"/>
      <c r="CT1728" s="86"/>
      <c r="CU1728" s="86"/>
      <c r="CV1728" s="86"/>
      <c r="CW1728" s="86"/>
    </row>
    <row r="1729" customFormat="false" ht="12.75" hidden="false" customHeight="false" outlineLevel="0" collapsed="false">
      <c r="F1729" s="86"/>
      <c r="G1729" s="86"/>
      <c r="H1729" s="86"/>
      <c r="I1729" s="86"/>
      <c r="J1729" s="86"/>
      <c r="K1729" s="86"/>
      <c r="L1729" s="86"/>
      <c r="N1729" s="86"/>
      <c r="CQ1729" s="86"/>
      <c r="CR1729" s="86"/>
      <c r="CS1729" s="86"/>
      <c r="CT1729" s="86"/>
      <c r="CU1729" s="86"/>
      <c r="CV1729" s="86"/>
      <c r="CW1729" s="86"/>
    </row>
    <row r="1730" customFormat="false" ht="12.75" hidden="false" customHeight="false" outlineLevel="0" collapsed="false">
      <c r="F1730" s="86"/>
      <c r="G1730" s="86"/>
      <c r="H1730" s="86"/>
      <c r="I1730" s="86"/>
      <c r="J1730" s="86"/>
      <c r="K1730" s="86"/>
      <c r="L1730" s="86"/>
      <c r="N1730" s="86"/>
      <c r="CQ1730" s="86"/>
      <c r="CR1730" s="86"/>
      <c r="CS1730" s="86"/>
      <c r="CT1730" s="86"/>
      <c r="CU1730" s="86"/>
      <c r="CV1730" s="86"/>
      <c r="CW1730" s="86"/>
    </row>
    <row r="1731" customFormat="false" ht="12.75" hidden="false" customHeight="false" outlineLevel="0" collapsed="false">
      <c r="F1731" s="86"/>
      <c r="G1731" s="86"/>
      <c r="H1731" s="86"/>
      <c r="I1731" s="86"/>
      <c r="J1731" s="86"/>
      <c r="K1731" s="86"/>
      <c r="L1731" s="86"/>
      <c r="N1731" s="86"/>
      <c r="CQ1731" s="86"/>
      <c r="CR1731" s="86"/>
      <c r="CS1731" s="86"/>
      <c r="CT1731" s="86"/>
      <c r="CU1731" s="86"/>
      <c r="CV1731" s="86"/>
      <c r="CW1731" s="86"/>
    </row>
    <row r="1732" customFormat="false" ht="12.75" hidden="false" customHeight="false" outlineLevel="0" collapsed="false">
      <c r="F1732" s="86"/>
      <c r="G1732" s="86"/>
      <c r="H1732" s="86"/>
      <c r="I1732" s="86"/>
      <c r="J1732" s="86"/>
      <c r="K1732" s="86"/>
      <c r="L1732" s="86"/>
      <c r="N1732" s="86"/>
      <c r="CQ1732" s="86"/>
      <c r="CR1732" s="86"/>
      <c r="CS1732" s="86"/>
      <c r="CT1732" s="86"/>
      <c r="CU1732" s="86"/>
      <c r="CV1732" s="86"/>
      <c r="CW1732" s="86"/>
    </row>
    <row r="1733" customFormat="false" ht="12.75" hidden="false" customHeight="false" outlineLevel="0" collapsed="false">
      <c r="F1733" s="86"/>
      <c r="G1733" s="86"/>
      <c r="H1733" s="86"/>
      <c r="I1733" s="86"/>
      <c r="J1733" s="86"/>
      <c r="K1733" s="86"/>
      <c r="L1733" s="86"/>
      <c r="N1733" s="86"/>
      <c r="CQ1733" s="86"/>
      <c r="CR1733" s="86"/>
      <c r="CS1733" s="86"/>
      <c r="CT1733" s="86"/>
      <c r="CU1733" s="86"/>
      <c r="CV1733" s="86"/>
      <c r="CW1733" s="86"/>
    </row>
    <row r="1734" customFormat="false" ht="12.75" hidden="false" customHeight="false" outlineLevel="0" collapsed="false">
      <c r="F1734" s="86"/>
      <c r="G1734" s="86"/>
      <c r="H1734" s="86"/>
      <c r="I1734" s="86"/>
      <c r="J1734" s="86"/>
      <c r="K1734" s="86"/>
      <c r="L1734" s="86"/>
      <c r="N1734" s="86"/>
      <c r="CQ1734" s="86"/>
      <c r="CR1734" s="86"/>
      <c r="CS1734" s="86"/>
      <c r="CT1734" s="86"/>
      <c r="CU1734" s="86"/>
      <c r="CV1734" s="86"/>
      <c r="CW1734" s="86"/>
    </row>
    <row r="1735" customFormat="false" ht="12.75" hidden="false" customHeight="false" outlineLevel="0" collapsed="false">
      <c r="F1735" s="86"/>
      <c r="G1735" s="86"/>
      <c r="H1735" s="86"/>
      <c r="I1735" s="86"/>
      <c r="J1735" s="86"/>
      <c r="K1735" s="86"/>
      <c r="L1735" s="86"/>
      <c r="N1735" s="86"/>
      <c r="CQ1735" s="86"/>
      <c r="CR1735" s="86"/>
      <c r="CS1735" s="86"/>
      <c r="CT1735" s="86"/>
      <c r="CU1735" s="86"/>
      <c r="CV1735" s="86"/>
      <c r="CW1735" s="86"/>
    </row>
    <row r="1736" customFormat="false" ht="12.75" hidden="false" customHeight="false" outlineLevel="0" collapsed="false">
      <c r="F1736" s="86"/>
      <c r="G1736" s="86"/>
      <c r="H1736" s="86"/>
      <c r="I1736" s="86"/>
      <c r="J1736" s="86"/>
      <c r="K1736" s="86"/>
      <c r="L1736" s="86"/>
      <c r="N1736" s="86"/>
      <c r="CQ1736" s="86"/>
      <c r="CR1736" s="86"/>
      <c r="CS1736" s="86"/>
      <c r="CT1736" s="86"/>
      <c r="CU1736" s="86"/>
      <c r="CV1736" s="86"/>
      <c r="CW1736" s="86"/>
    </row>
    <row r="1737" customFormat="false" ht="12.75" hidden="false" customHeight="false" outlineLevel="0" collapsed="false">
      <c r="F1737" s="86"/>
      <c r="G1737" s="86"/>
      <c r="H1737" s="86"/>
      <c r="I1737" s="86"/>
      <c r="J1737" s="86"/>
      <c r="K1737" s="86"/>
      <c r="L1737" s="86"/>
      <c r="N1737" s="86"/>
      <c r="CQ1737" s="86"/>
      <c r="CR1737" s="86"/>
      <c r="CS1737" s="86"/>
      <c r="CT1737" s="86"/>
      <c r="CU1737" s="86"/>
      <c r="CV1737" s="86"/>
      <c r="CW1737" s="86"/>
    </row>
    <row r="1738" customFormat="false" ht="12.75" hidden="false" customHeight="false" outlineLevel="0" collapsed="false">
      <c r="F1738" s="86"/>
      <c r="G1738" s="86"/>
      <c r="H1738" s="86"/>
      <c r="I1738" s="86"/>
      <c r="J1738" s="86"/>
      <c r="K1738" s="86"/>
      <c r="L1738" s="86"/>
      <c r="N1738" s="86"/>
      <c r="CQ1738" s="86"/>
      <c r="CR1738" s="86"/>
      <c r="CS1738" s="86"/>
      <c r="CT1738" s="86"/>
      <c r="CU1738" s="86"/>
      <c r="CV1738" s="86"/>
      <c r="CW1738" s="86"/>
    </row>
    <row r="1739" customFormat="false" ht="12.75" hidden="false" customHeight="false" outlineLevel="0" collapsed="false">
      <c r="F1739" s="86"/>
      <c r="G1739" s="86"/>
      <c r="H1739" s="86"/>
      <c r="I1739" s="86"/>
      <c r="J1739" s="86"/>
      <c r="K1739" s="86"/>
      <c r="L1739" s="86"/>
      <c r="N1739" s="86"/>
      <c r="CQ1739" s="86"/>
      <c r="CR1739" s="86"/>
      <c r="CS1739" s="86"/>
      <c r="CT1739" s="86"/>
      <c r="CU1739" s="86"/>
      <c r="CV1739" s="86"/>
      <c r="CW1739" s="86"/>
    </row>
    <row r="1740" customFormat="false" ht="12.75" hidden="false" customHeight="false" outlineLevel="0" collapsed="false">
      <c r="F1740" s="86"/>
      <c r="G1740" s="86"/>
      <c r="H1740" s="86"/>
      <c r="I1740" s="86"/>
      <c r="J1740" s="86"/>
      <c r="K1740" s="86"/>
      <c r="L1740" s="86"/>
      <c r="N1740" s="86"/>
      <c r="CQ1740" s="86"/>
      <c r="CR1740" s="86"/>
      <c r="CS1740" s="86"/>
      <c r="CT1740" s="86"/>
      <c r="CU1740" s="86"/>
      <c r="CV1740" s="86"/>
      <c r="CW1740" s="86"/>
    </row>
    <row r="1741" customFormat="false" ht="12.75" hidden="false" customHeight="false" outlineLevel="0" collapsed="false">
      <c r="F1741" s="86"/>
      <c r="G1741" s="86"/>
      <c r="H1741" s="86"/>
      <c r="I1741" s="86"/>
      <c r="J1741" s="86"/>
      <c r="K1741" s="86"/>
      <c r="L1741" s="86"/>
      <c r="N1741" s="86"/>
      <c r="CQ1741" s="86"/>
      <c r="CR1741" s="86"/>
      <c r="CS1741" s="86"/>
      <c r="CT1741" s="86"/>
      <c r="CU1741" s="86"/>
      <c r="CV1741" s="86"/>
      <c r="CW1741" s="86"/>
    </row>
    <row r="1742" customFormat="false" ht="12.75" hidden="false" customHeight="false" outlineLevel="0" collapsed="false">
      <c r="F1742" s="86"/>
      <c r="G1742" s="86"/>
      <c r="H1742" s="86"/>
      <c r="I1742" s="86"/>
      <c r="J1742" s="86"/>
      <c r="K1742" s="86"/>
      <c r="L1742" s="86"/>
      <c r="N1742" s="86"/>
      <c r="CQ1742" s="86"/>
      <c r="CR1742" s="86"/>
      <c r="CS1742" s="86"/>
      <c r="CT1742" s="86"/>
      <c r="CU1742" s="86"/>
      <c r="CV1742" s="86"/>
      <c r="CW1742" s="86"/>
    </row>
    <row r="1743" customFormat="false" ht="12.75" hidden="false" customHeight="false" outlineLevel="0" collapsed="false">
      <c r="F1743" s="86"/>
      <c r="G1743" s="86"/>
      <c r="H1743" s="86"/>
      <c r="I1743" s="86"/>
      <c r="J1743" s="86"/>
      <c r="K1743" s="86"/>
      <c r="L1743" s="86"/>
      <c r="N1743" s="86"/>
      <c r="CQ1743" s="86"/>
      <c r="CR1743" s="86"/>
      <c r="CS1743" s="86"/>
      <c r="CT1743" s="86"/>
      <c r="CU1743" s="86"/>
      <c r="CV1743" s="86"/>
      <c r="CW1743" s="86"/>
    </row>
    <row r="1744" customFormat="false" ht="12.75" hidden="false" customHeight="false" outlineLevel="0" collapsed="false">
      <c r="F1744" s="86"/>
      <c r="G1744" s="86"/>
      <c r="H1744" s="86"/>
      <c r="I1744" s="86"/>
      <c r="J1744" s="86"/>
      <c r="K1744" s="86"/>
      <c r="L1744" s="86"/>
      <c r="N1744" s="86"/>
      <c r="CQ1744" s="86"/>
      <c r="CR1744" s="86"/>
      <c r="CS1744" s="86"/>
      <c r="CT1744" s="86"/>
      <c r="CU1744" s="86"/>
      <c r="CV1744" s="86"/>
      <c r="CW1744" s="86"/>
    </row>
    <row r="1745" customFormat="false" ht="12.75" hidden="false" customHeight="false" outlineLevel="0" collapsed="false">
      <c r="F1745" s="86"/>
      <c r="G1745" s="86"/>
      <c r="H1745" s="86"/>
      <c r="I1745" s="86"/>
      <c r="J1745" s="86"/>
      <c r="K1745" s="86"/>
      <c r="L1745" s="86"/>
      <c r="N1745" s="86"/>
      <c r="CQ1745" s="86"/>
      <c r="CR1745" s="86"/>
      <c r="CS1745" s="86"/>
      <c r="CT1745" s="86"/>
      <c r="CU1745" s="86"/>
      <c r="CV1745" s="86"/>
      <c r="CW1745" s="86"/>
    </row>
    <row r="1746" customFormat="false" ht="12.75" hidden="false" customHeight="false" outlineLevel="0" collapsed="false">
      <c r="F1746" s="86"/>
      <c r="G1746" s="86"/>
      <c r="H1746" s="86"/>
      <c r="I1746" s="86"/>
      <c r="J1746" s="86"/>
      <c r="K1746" s="86"/>
      <c r="L1746" s="86"/>
      <c r="N1746" s="86"/>
      <c r="CQ1746" s="86"/>
      <c r="CR1746" s="86"/>
      <c r="CS1746" s="86"/>
      <c r="CT1746" s="86"/>
      <c r="CU1746" s="86"/>
      <c r="CV1746" s="86"/>
      <c r="CW1746" s="86"/>
    </row>
    <row r="1747" customFormat="false" ht="12.75" hidden="false" customHeight="false" outlineLevel="0" collapsed="false">
      <c r="F1747" s="86"/>
      <c r="G1747" s="86"/>
      <c r="H1747" s="86"/>
      <c r="I1747" s="86"/>
      <c r="J1747" s="86"/>
      <c r="K1747" s="86"/>
      <c r="L1747" s="86"/>
      <c r="N1747" s="86"/>
      <c r="CQ1747" s="86"/>
      <c r="CR1747" s="86"/>
      <c r="CS1747" s="86"/>
      <c r="CT1747" s="86"/>
      <c r="CU1747" s="86"/>
      <c r="CV1747" s="86"/>
      <c r="CW1747" s="86"/>
    </row>
    <row r="1748" customFormat="false" ht="12.75" hidden="false" customHeight="false" outlineLevel="0" collapsed="false">
      <c r="F1748" s="86"/>
      <c r="G1748" s="86"/>
      <c r="H1748" s="86"/>
      <c r="I1748" s="86"/>
      <c r="J1748" s="86"/>
      <c r="K1748" s="86"/>
      <c r="L1748" s="86"/>
      <c r="N1748" s="86"/>
      <c r="CQ1748" s="86"/>
      <c r="CR1748" s="86"/>
      <c r="CS1748" s="86"/>
      <c r="CT1748" s="86"/>
      <c r="CU1748" s="86"/>
      <c r="CV1748" s="86"/>
      <c r="CW1748" s="86"/>
    </row>
    <row r="1749" customFormat="false" ht="12.75" hidden="false" customHeight="false" outlineLevel="0" collapsed="false">
      <c r="F1749" s="86"/>
      <c r="G1749" s="86"/>
      <c r="H1749" s="86"/>
      <c r="I1749" s="86"/>
      <c r="J1749" s="86"/>
      <c r="K1749" s="86"/>
      <c r="L1749" s="86"/>
      <c r="N1749" s="86"/>
      <c r="CQ1749" s="86"/>
      <c r="CR1749" s="86"/>
      <c r="CS1749" s="86"/>
      <c r="CT1749" s="86"/>
      <c r="CU1749" s="86"/>
      <c r="CV1749" s="86"/>
      <c r="CW1749" s="86"/>
    </row>
    <row r="1750" customFormat="false" ht="12.75" hidden="false" customHeight="false" outlineLevel="0" collapsed="false">
      <c r="F1750" s="86"/>
      <c r="G1750" s="86"/>
      <c r="H1750" s="86"/>
      <c r="I1750" s="86"/>
      <c r="J1750" s="86"/>
      <c r="K1750" s="86"/>
      <c r="L1750" s="86"/>
      <c r="N1750" s="86"/>
      <c r="CQ1750" s="86"/>
      <c r="CR1750" s="86"/>
      <c r="CS1750" s="86"/>
      <c r="CT1750" s="86"/>
      <c r="CU1750" s="86"/>
      <c r="CV1750" s="86"/>
      <c r="CW1750" s="86"/>
    </row>
    <row r="1751" customFormat="false" ht="12.75" hidden="false" customHeight="false" outlineLevel="0" collapsed="false">
      <c r="F1751" s="86"/>
      <c r="G1751" s="86"/>
      <c r="H1751" s="86"/>
      <c r="I1751" s="86"/>
      <c r="J1751" s="86"/>
      <c r="K1751" s="86"/>
      <c r="L1751" s="86"/>
      <c r="N1751" s="86"/>
      <c r="CQ1751" s="86"/>
      <c r="CR1751" s="86"/>
      <c r="CS1751" s="86"/>
      <c r="CT1751" s="86"/>
      <c r="CU1751" s="86"/>
      <c r="CV1751" s="86"/>
      <c r="CW1751" s="86"/>
    </row>
    <row r="1752" customFormat="false" ht="12.75" hidden="false" customHeight="false" outlineLevel="0" collapsed="false">
      <c r="F1752" s="86"/>
      <c r="G1752" s="86"/>
      <c r="H1752" s="86"/>
      <c r="I1752" s="86"/>
      <c r="J1752" s="86"/>
      <c r="K1752" s="86"/>
      <c r="L1752" s="86"/>
      <c r="N1752" s="86"/>
      <c r="CQ1752" s="86"/>
      <c r="CR1752" s="86"/>
      <c r="CS1752" s="86"/>
      <c r="CT1752" s="86"/>
      <c r="CU1752" s="86"/>
      <c r="CV1752" s="86"/>
      <c r="CW1752" s="86"/>
    </row>
    <row r="1753" customFormat="false" ht="12.75" hidden="false" customHeight="false" outlineLevel="0" collapsed="false">
      <c r="F1753" s="86"/>
      <c r="G1753" s="86"/>
      <c r="H1753" s="86"/>
      <c r="I1753" s="86"/>
      <c r="J1753" s="86"/>
      <c r="K1753" s="86"/>
      <c r="L1753" s="86"/>
      <c r="N1753" s="86"/>
      <c r="CQ1753" s="86"/>
      <c r="CR1753" s="86"/>
      <c r="CS1753" s="86"/>
      <c r="CT1753" s="86"/>
      <c r="CU1753" s="86"/>
      <c r="CV1753" s="86"/>
      <c r="CW1753" s="86"/>
    </row>
    <row r="1754" customFormat="false" ht="12.75" hidden="false" customHeight="false" outlineLevel="0" collapsed="false">
      <c r="F1754" s="86"/>
      <c r="G1754" s="86"/>
      <c r="H1754" s="86"/>
      <c r="I1754" s="86"/>
      <c r="J1754" s="86"/>
      <c r="K1754" s="86"/>
      <c r="L1754" s="86"/>
      <c r="N1754" s="86"/>
      <c r="CQ1754" s="86"/>
      <c r="CR1754" s="86"/>
      <c r="CS1754" s="86"/>
      <c r="CT1754" s="86"/>
      <c r="CU1754" s="86"/>
      <c r="CV1754" s="86"/>
      <c r="CW1754" s="86"/>
    </row>
    <row r="1755" customFormat="false" ht="12.75" hidden="false" customHeight="false" outlineLevel="0" collapsed="false">
      <c r="F1755" s="86"/>
      <c r="G1755" s="86"/>
      <c r="H1755" s="86"/>
      <c r="I1755" s="86"/>
      <c r="J1755" s="86"/>
      <c r="K1755" s="86"/>
      <c r="L1755" s="86"/>
      <c r="N1755" s="86"/>
      <c r="CQ1755" s="86"/>
      <c r="CR1755" s="86"/>
      <c r="CS1755" s="86"/>
      <c r="CT1755" s="86"/>
      <c r="CU1755" s="86"/>
      <c r="CV1755" s="86"/>
      <c r="CW1755" s="86"/>
    </row>
    <row r="1756" customFormat="false" ht="12.75" hidden="false" customHeight="false" outlineLevel="0" collapsed="false">
      <c r="F1756" s="86"/>
      <c r="G1756" s="86"/>
      <c r="H1756" s="86"/>
      <c r="I1756" s="86"/>
      <c r="J1756" s="86"/>
      <c r="K1756" s="86"/>
      <c r="L1756" s="86"/>
      <c r="N1756" s="86"/>
      <c r="CQ1756" s="86"/>
      <c r="CR1756" s="86"/>
      <c r="CS1756" s="86"/>
      <c r="CT1756" s="86"/>
      <c r="CU1756" s="86"/>
      <c r="CV1756" s="86"/>
      <c r="CW1756" s="86"/>
    </row>
    <row r="1757" customFormat="false" ht="12.75" hidden="false" customHeight="false" outlineLevel="0" collapsed="false">
      <c r="F1757" s="86"/>
      <c r="G1757" s="86"/>
      <c r="H1757" s="86"/>
      <c r="I1757" s="86"/>
      <c r="J1757" s="86"/>
      <c r="K1757" s="86"/>
      <c r="L1757" s="86"/>
      <c r="N1757" s="86"/>
      <c r="CQ1757" s="86"/>
      <c r="CR1757" s="86"/>
      <c r="CS1757" s="86"/>
      <c r="CT1757" s="86"/>
      <c r="CU1757" s="86"/>
      <c r="CV1757" s="86"/>
      <c r="CW1757" s="86"/>
    </row>
    <row r="1758" customFormat="false" ht="12.75" hidden="false" customHeight="false" outlineLevel="0" collapsed="false">
      <c r="F1758" s="86"/>
      <c r="G1758" s="86"/>
      <c r="H1758" s="86"/>
      <c r="I1758" s="86"/>
      <c r="J1758" s="86"/>
      <c r="K1758" s="86"/>
      <c r="L1758" s="86"/>
      <c r="N1758" s="86"/>
      <c r="CQ1758" s="86"/>
      <c r="CR1758" s="86"/>
      <c r="CS1758" s="86"/>
      <c r="CT1758" s="86"/>
      <c r="CU1758" s="86"/>
      <c r="CV1758" s="86"/>
      <c r="CW1758" s="86"/>
    </row>
    <row r="1759" customFormat="false" ht="12.75" hidden="false" customHeight="false" outlineLevel="0" collapsed="false">
      <c r="F1759" s="86"/>
      <c r="G1759" s="86"/>
      <c r="H1759" s="86"/>
      <c r="I1759" s="86"/>
      <c r="J1759" s="86"/>
      <c r="K1759" s="86"/>
      <c r="L1759" s="86"/>
      <c r="N1759" s="86"/>
      <c r="CQ1759" s="86"/>
      <c r="CR1759" s="86"/>
      <c r="CS1759" s="86"/>
      <c r="CT1759" s="86"/>
      <c r="CU1759" s="86"/>
      <c r="CV1759" s="86"/>
      <c r="CW1759" s="86"/>
    </row>
    <row r="1760" customFormat="false" ht="12.75" hidden="false" customHeight="false" outlineLevel="0" collapsed="false">
      <c r="F1760" s="86"/>
      <c r="G1760" s="86"/>
      <c r="H1760" s="86"/>
      <c r="I1760" s="86"/>
      <c r="J1760" s="86"/>
      <c r="K1760" s="86"/>
      <c r="L1760" s="86"/>
      <c r="N1760" s="86"/>
      <c r="CQ1760" s="86"/>
      <c r="CR1760" s="86"/>
      <c r="CS1760" s="86"/>
      <c r="CT1760" s="86"/>
      <c r="CU1760" s="86"/>
      <c r="CV1760" s="86"/>
      <c r="CW1760" s="86"/>
    </row>
    <row r="1761" customFormat="false" ht="12.75" hidden="false" customHeight="false" outlineLevel="0" collapsed="false">
      <c r="F1761" s="86"/>
      <c r="G1761" s="86"/>
      <c r="H1761" s="86"/>
      <c r="I1761" s="86"/>
      <c r="J1761" s="86"/>
      <c r="K1761" s="86"/>
      <c r="L1761" s="86"/>
      <c r="N1761" s="86"/>
      <c r="CQ1761" s="86"/>
      <c r="CR1761" s="86"/>
      <c r="CS1761" s="86"/>
      <c r="CT1761" s="86"/>
      <c r="CU1761" s="86"/>
      <c r="CV1761" s="86"/>
      <c r="CW1761" s="86"/>
    </row>
    <row r="1762" customFormat="false" ht="12.75" hidden="false" customHeight="false" outlineLevel="0" collapsed="false">
      <c r="F1762" s="86"/>
      <c r="G1762" s="86"/>
      <c r="H1762" s="86"/>
      <c r="I1762" s="86"/>
      <c r="J1762" s="86"/>
      <c r="K1762" s="86"/>
      <c r="L1762" s="86"/>
      <c r="N1762" s="86"/>
      <c r="CQ1762" s="86"/>
      <c r="CR1762" s="86"/>
      <c r="CS1762" s="86"/>
      <c r="CT1762" s="86"/>
      <c r="CU1762" s="86"/>
      <c r="CV1762" s="86"/>
      <c r="CW1762" s="86"/>
    </row>
    <row r="1763" customFormat="false" ht="12.75" hidden="false" customHeight="false" outlineLevel="0" collapsed="false">
      <c r="F1763" s="86"/>
      <c r="G1763" s="86"/>
      <c r="H1763" s="86"/>
      <c r="I1763" s="86"/>
      <c r="J1763" s="86"/>
      <c r="K1763" s="86"/>
      <c r="L1763" s="86"/>
      <c r="N1763" s="86"/>
      <c r="CQ1763" s="86"/>
      <c r="CR1763" s="86"/>
      <c r="CS1763" s="86"/>
      <c r="CT1763" s="86"/>
      <c r="CU1763" s="86"/>
      <c r="CV1763" s="86"/>
      <c r="CW1763" s="86"/>
    </row>
    <row r="1764" customFormat="false" ht="12.75" hidden="false" customHeight="false" outlineLevel="0" collapsed="false">
      <c r="F1764" s="86"/>
      <c r="G1764" s="86"/>
      <c r="H1764" s="86"/>
      <c r="I1764" s="86"/>
      <c r="J1764" s="86"/>
      <c r="K1764" s="86"/>
      <c r="L1764" s="86"/>
      <c r="N1764" s="86"/>
      <c r="CQ1764" s="86"/>
      <c r="CR1764" s="86"/>
      <c r="CS1764" s="86"/>
      <c r="CT1764" s="86"/>
      <c r="CU1764" s="86"/>
      <c r="CV1764" s="86"/>
      <c r="CW1764" s="86"/>
    </row>
    <row r="1765" customFormat="false" ht="12.75" hidden="false" customHeight="false" outlineLevel="0" collapsed="false">
      <c r="F1765" s="86"/>
      <c r="G1765" s="86"/>
      <c r="H1765" s="86"/>
      <c r="I1765" s="86"/>
      <c r="J1765" s="86"/>
      <c r="K1765" s="86"/>
      <c r="L1765" s="86"/>
      <c r="N1765" s="86"/>
      <c r="CQ1765" s="86"/>
      <c r="CR1765" s="86"/>
      <c r="CS1765" s="86"/>
      <c r="CT1765" s="86"/>
      <c r="CU1765" s="86"/>
      <c r="CV1765" s="86"/>
      <c r="CW1765" s="86"/>
    </row>
    <row r="1766" customFormat="false" ht="12.75" hidden="false" customHeight="false" outlineLevel="0" collapsed="false">
      <c r="F1766" s="86"/>
      <c r="G1766" s="86"/>
      <c r="H1766" s="86"/>
      <c r="I1766" s="86"/>
      <c r="J1766" s="86"/>
      <c r="K1766" s="86"/>
      <c r="L1766" s="86"/>
      <c r="N1766" s="86"/>
      <c r="CQ1766" s="86"/>
      <c r="CR1766" s="86"/>
      <c r="CS1766" s="86"/>
      <c r="CT1766" s="86"/>
      <c r="CU1766" s="86"/>
      <c r="CV1766" s="86"/>
      <c r="CW1766" s="86"/>
    </row>
    <row r="1767" customFormat="false" ht="12.75" hidden="false" customHeight="false" outlineLevel="0" collapsed="false">
      <c r="F1767" s="86"/>
      <c r="G1767" s="86"/>
      <c r="H1767" s="86"/>
      <c r="I1767" s="86"/>
      <c r="J1767" s="86"/>
      <c r="K1767" s="86"/>
      <c r="L1767" s="86"/>
      <c r="N1767" s="86"/>
      <c r="CQ1767" s="86"/>
      <c r="CR1767" s="86"/>
      <c r="CS1767" s="86"/>
      <c r="CT1767" s="86"/>
      <c r="CU1767" s="86"/>
      <c r="CV1767" s="86"/>
      <c r="CW1767" s="86"/>
    </row>
    <row r="1768" customFormat="false" ht="12.75" hidden="false" customHeight="false" outlineLevel="0" collapsed="false">
      <c r="F1768" s="86"/>
      <c r="G1768" s="86"/>
      <c r="H1768" s="86"/>
      <c r="I1768" s="86"/>
      <c r="J1768" s="86"/>
      <c r="K1768" s="86"/>
      <c r="L1768" s="86"/>
      <c r="N1768" s="86"/>
      <c r="CQ1768" s="86"/>
      <c r="CR1768" s="86"/>
      <c r="CS1768" s="86"/>
      <c r="CT1768" s="86"/>
      <c r="CU1768" s="86"/>
      <c r="CV1768" s="86"/>
      <c r="CW1768" s="86"/>
    </row>
    <row r="1769" customFormat="false" ht="12.75" hidden="false" customHeight="false" outlineLevel="0" collapsed="false">
      <c r="F1769" s="86"/>
      <c r="G1769" s="86"/>
      <c r="H1769" s="86"/>
      <c r="I1769" s="86"/>
      <c r="J1769" s="86"/>
      <c r="K1769" s="86"/>
      <c r="L1769" s="86"/>
      <c r="N1769" s="86"/>
      <c r="CQ1769" s="86"/>
      <c r="CR1769" s="86"/>
      <c r="CS1769" s="86"/>
      <c r="CT1769" s="86"/>
      <c r="CU1769" s="86"/>
      <c r="CV1769" s="86"/>
      <c r="CW1769" s="86"/>
    </row>
    <row r="1770" customFormat="false" ht="12.75" hidden="false" customHeight="false" outlineLevel="0" collapsed="false">
      <c r="F1770" s="86"/>
      <c r="G1770" s="86"/>
      <c r="H1770" s="86"/>
      <c r="I1770" s="86"/>
      <c r="J1770" s="86"/>
      <c r="K1770" s="86"/>
      <c r="L1770" s="86"/>
      <c r="N1770" s="86"/>
      <c r="CQ1770" s="86"/>
      <c r="CR1770" s="86"/>
      <c r="CS1770" s="86"/>
      <c r="CT1770" s="86"/>
      <c r="CU1770" s="86"/>
      <c r="CV1770" s="86"/>
      <c r="CW1770" s="86"/>
    </row>
    <row r="1771" customFormat="false" ht="12.75" hidden="false" customHeight="false" outlineLevel="0" collapsed="false">
      <c r="F1771" s="86"/>
      <c r="G1771" s="86"/>
      <c r="H1771" s="86"/>
      <c r="I1771" s="86"/>
      <c r="J1771" s="86"/>
      <c r="K1771" s="86"/>
      <c r="L1771" s="86"/>
      <c r="N1771" s="86"/>
      <c r="CQ1771" s="86"/>
      <c r="CR1771" s="86"/>
      <c r="CS1771" s="86"/>
      <c r="CT1771" s="86"/>
      <c r="CU1771" s="86"/>
      <c r="CV1771" s="86"/>
      <c r="CW1771" s="86"/>
    </row>
    <row r="1772" customFormat="false" ht="12.75" hidden="false" customHeight="false" outlineLevel="0" collapsed="false">
      <c r="F1772" s="86"/>
      <c r="G1772" s="86"/>
      <c r="H1772" s="86"/>
      <c r="I1772" s="86"/>
      <c r="J1772" s="86"/>
      <c r="K1772" s="86"/>
      <c r="L1772" s="86"/>
      <c r="N1772" s="86"/>
      <c r="CQ1772" s="86"/>
      <c r="CR1772" s="86"/>
      <c r="CS1772" s="86"/>
      <c r="CT1772" s="86"/>
      <c r="CU1772" s="86"/>
      <c r="CV1772" s="86"/>
      <c r="CW1772" s="86"/>
    </row>
    <row r="1773" customFormat="false" ht="12.75" hidden="false" customHeight="false" outlineLevel="0" collapsed="false">
      <c r="F1773" s="86"/>
      <c r="G1773" s="86"/>
      <c r="H1773" s="86"/>
      <c r="I1773" s="86"/>
      <c r="J1773" s="86"/>
      <c r="K1773" s="86"/>
      <c r="L1773" s="86"/>
      <c r="N1773" s="86"/>
      <c r="CQ1773" s="86"/>
      <c r="CR1773" s="86"/>
      <c r="CS1773" s="86"/>
      <c r="CT1773" s="86"/>
      <c r="CU1773" s="86"/>
      <c r="CV1773" s="86"/>
      <c r="CW1773" s="86"/>
    </row>
    <row r="1774" customFormat="false" ht="12.75" hidden="false" customHeight="false" outlineLevel="0" collapsed="false">
      <c r="F1774" s="86"/>
      <c r="G1774" s="86"/>
      <c r="H1774" s="86"/>
      <c r="I1774" s="86"/>
      <c r="J1774" s="86"/>
      <c r="K1774" s="86"/>
      <c r="L1774" s="86"/>
      <c r="N1774" s="86"/>
      <c r="CQ1774" s="86"/>
      <c r="CR1774" s="86"/>
      <c r="CS1774" s="86"/>
      <c r="CT1774" s="86"/>
      <c r="CU1774" s="86"/>
      <c r="CV1774" s="86"/>
      <c r="CW1774" s="86"/>
    </row>
    <row r="1775" customFormat="false" ht="12.75" hidden="false" customHeight="false" outlineLevel="0" collapsed="false">
      <c r="F1775" s="86"/>
      <c r="G1775" s="86"/>
      <c r="H1775" s="86"/>
      <c r="I1775" s="86"/>
      <c r="J1775" s="86"/>
      <c r="K1775" s="86"/>
      <c r="L1775" s="86"/>
      <c r="N1775" s="86"/>
      <c r="CQ1775" s="86"/>
      <c r="CR1775" s="86"/>
      <c r="CS1775" s="86"/>
      <c r="CT1775" s="86"/>
      <c r="CU1775" s="86"/>
      <c r="CV1775" s="86"/>
      <c r="CW1775" s="86"/>
    </row>
    <row r="1776" customFormat="false" ht="12.75" hidden="false" customHeight="false" outlineLevel="0" collapsed="false">
      <c r="F1776" s="86"/>
      <c r="G1776" s="86"/>
      <c r="H1776" s="86"/>
      <c r="I1776" s="86"/>
      <c r="J1776" s="86"/>
      <c r="K1776" s="86"/>
      <c r="L1776" s="86"/>
      <c r="N1776" s="86"/>
      <c r="CQ1776" s="86"/>
      <c r="CR1776" s="86"/>
      <c r="CS1776" s="86"/>
      <c r="CT1776" s="86"/>
      <c r="CU1776" s="86"/>
      <c r="CV1776" s="86"/>
      <c r="CW1776" s="86"/>
    </row>
    <row r="1777" customFormat="false" ht="12.75" hidden="false" customHeight="false" outlineLevel="0" collapsed="false">
      <c r="F1777" s="86"/>
      <c r="G1777" s="86"/>
      <c r="H1777" s="86"/>
      <c r="I1777" s="86"/>
      <c r="J1777" s="86"/>
      <c r="K1777" s="86"/>
      <c r="L1777" s="86"/>
      <c r="N1777" s="86"/>
      <c r="CQ1777" s="86"/>
      <c r="CR1777" s="86"/>
      <c r="CS1777" s="86"/>
      <c r="CT1777" s="86"/>
      <c r="CU1777" s="86"/>
      <c r="CV1777" s="86"/>
      <c r="CW1777" s="86"/>
    </row>
    <row r="1778" customFormat="false" ht="12.75" hidden="false" customHeight="false" outlineLevel="0" collapsed="false">
      <c r="F1778" s="86"/>
      <c r="G1778" s="86"/>
      <c r="H1778" s="86"/>
      <c r="I1778" s="86"/>
      <c r="J1778" s="86"/>
      <c r="K1778" s="86"/>
      <c r="L1778" s="86"/>
      <c r="N1778" s="86"/>
      <c r="CQ1778" s="86"/>
      <c r="CR1778" s="86"/>
      <c r="CS1778" s="86"/>
      <c r="CT1778" s="86"/>
      <c r="CU1778" s="86"/>
      <c r="CV1778" s="86"/>
      <c r="CW1778" s="86"/>
    </row>
    <row r="1779" customFormat="false" ht="12.75" hidden="false" customHeight="false" outlineLevel="0" collapsed="false">
      <c r="F1779" s="86"/>
      <c r="G1779" s="86"/>
      <c r="H1779" s="86"/>
      <c r="I1779" s="86"/>
      <c r="J1779" s="86"/>
      <c r="K1779" s="86"/>
      <c r="L1779" s="86"/>
      <c r="N1779" s="86"/>
      <c r="CQ1779" s="86"/>
      <c r="CR1779" s="86"/>
      <c r="CS1779" s="86"/>
      <c r="CT1779" s="86"/>
      <c r="CU1779" s="86"/>
      <c r="CV1779" s="86"/>
      <c r="CW1779" s="86"/>
    </row>
    <row r="1780" customFormat="false" ht="12.75" hidden="false" customHeight="false" outlineLevel="0" collapsed="false">
      <c r="F1780" s="86"/>
      <c r="G1780" s="86"/>
      <c r="H1780" s="86"/>
      <c r="I1780" s="86"/>
      <c r="J1780" s="86"/>
      <c r="K1780" s="86"/>
      <c r="L1780" s="86"/>
      <c r="N1780" s="86"/>
      <c r="CQ1780" s="86"/>
      <c r="CR1780" s="86"/>
      <c r="CS1780" s="86"/>
      <c r="CT1780" s="86"/>
      <c r="CU1780" s="86"/>
      <c r="CV1780" s="86"/>
      <c r="CW1780" s="86"/>
    </row>
    <row r="1781" customFormat="false" ht="12.75" hidden="false" customHeight="false" outlineLevel="0" collapsed="false">
      <c r="F1781" s="86"/>
      <c r="G1781" s="86"/>
      <c r="H1781" s="86"/>
      <c r="I1781" s="86"/>
      <c r="J1781" s="86"/>
      <c r="K1781" s="86"/>
      <c r="L1781" s="86"/>
      <c r="N1781" s="86"/>
      <c r="CQ1781" s="86"/>
      <c r="CR1781" s="86"/>
      <c r="CS1781" s="86"/>
      <c r="CT1781" s="86"/>
      <c r="CU1781" s="86"/>
      <c r="CV1781" s="86"/>
      <c r="CW1781" s="86"/>
    </row>
    <row r="1782" customFormat="false" ht="12.75" hidden="false" customHeight="false" outlineLevel="0" collapsed="false">
      <c r="F1782" s="86"/>
      <c r="G1782" s="86"/>
      <c r="H1782" s="86"/>
      <c r="I1782" s="86"/>
      <c r="J1782" s="86"/>
      <c r="K1782" s="86"/>
      <c r="L1782" s="86"/>
      <c r="N1782" s="86"/>
      <c r="CQ1782" s="86"/>
      <c r="CR1782" s="86"/>
      <c r="CS1782" s="86"/>
      <c r="CT1782" s="86"/>
      <c r="CU1782" s="86"/>
      <c r="CV1782" s="86"/>
      <c r="CW1782" s="86"/>
    </row>
    <row r="1783" customFormat="false" ht="12.75" hidden="false" customHeight="false" outlineLevel="0" collapsed="false">
      <c r="F1783" s="86"/>
      <c r="G1783" s="86"/>
      <c r="H1783" s="86"/>
      <c r="I1783" s="86"/>
      <c r="J1783" s="86"/>
      <c r="K1783" s="86"/>
      <c r="L1783" s="86"/>
      <c r="N1783" s="86"/>
      <c r="CQ1783" s="86"/>
      <c r="CR1783" s="86"/>
      <c r="CS1783" s="86"/>
      <c r="CT1783" s="86"/>
      <c r="CU1783" s="86"/>
      <c r="CV1783" s="86"/>
      <c r="CW1783" s="86"/>
    </row>
    <row r="1784" customFormat="false" ht="12.75" hidden="false" customHeight="false" outlineLevel="0" collapsed="false">
      <c r="F1784" s="86"/>
      <c r="G1784" s="86"/>
      <c r="H1784" s="86"/>
      <c r="I1784" s="86"/>
      <c r="J1784" s="86"/>
      <c r="K1784" s="86"/>
      <c r="L1784" s="86"/>
      <c r="N1784" s="86"/>
      <c r="CQ1784" s="86"/>
      <c r="CR1784" s="86"/>
      <c r="CS1784" s="86"/>
      <c r="CT1784" s="86"/>
      <c r="CU1784" s="86"/>
      <c r="CV1784" s="86"/>
      <c r="CW1784" s="86"/>
    </row>
    <row r="1785" customFormat="false" ht="12.75" hidden="false" customHeight="false" outlineLevel="0" collapsed="false">
      <c r="F1785" s="86"/>
      <c r="G1785" s="86"/>
      <c r="H1785" s="86"/>
      <c r="I1785" s="86"/>
      <c r="J1785" s="86"/>
      <c r="K1785" s="86"/>
      <c r="L1785" s="86"/>
      <c r="N1785" s="86"/>
      <c r="CQ1785" s="86"/>
      <c r="CR1785" s="86"/>
      <c r="CS1785" s="86"/>
      <c r="CT1785" s="86"/>
      <c r="CU1785" s="86"/>
      <c r="CV1785" s="86"/>
      <c r="CW1785" s="86"/>
    </row>
    <row r="1786" customFormat="false" ht="12.75" hidden="false" customHeight="false" outlineLevel="0" collapsed="false">
      <c r="F1786" s="86"/>
      <c r="G1786" s="86"/>
      <c r="H1786" s="86"/>
      <c r="I1786" s="86"/>
      <c r="J1786" s="86"/>
      <c r="K1786" s="86"/>
      <c r="L1786" s="86"/>
      <c r="N1786" s="86"/>
      <c r="CQ1786" s="86"/>
      <c r="CR1786" s="86"/>
      <c r="CS1786" s="86"/>
      <c r="CT1786" s="86"/>
      <c r="CU1786" s="86"/>
      <c r="CV1786" s="86"/>
      <c r="CW1786" s="86"/>
    </row>
    <row r="1787" customFormat="false" ht="12.75" hidden="false" customHeight="false" outlineLevel="0" collapsed="false">
      <c r="F1787" s="86"/>
      <c r="G1787" s="86"/>
      <c r="H1787" s="86"/>
      <c r="I1787" s="86"/>
      <c r="J1787" s="86"/>
      <c r="K1787" s="86"/>
      <c r="L1787" s="86"/>
      <c r="N1787" s="86"/>
      <c r="CQ1787" s="86"/>
      <c r="CR1787" s="86"/>
      <c r="CS1787" s="86"/>
      <c r="CT1787" s="86"/>
      <c r="CU1787" s="86"/>
      <c r="CV1787" s="86"/>
      <c r="CW1787" s="86"/>
    </row>
    <row r="1788" customFormat="false" ht="12.75" hidden="false" customHeight="false" outlineLevel="0" collapsed="false">
      <c r="F1788" s="86"/>
      <c r="G1788" s="86"/>
      <c r="H1788" s="86"/>
      <c r="I1788" s="86"/>
      <c r="J1788" s="86"/>
      <c r="K1788" s="86"/>
      <c r="L1788" s="86"/>
      <c r="N1788" s="86"/>
      <c r="CQ1788" s="86"/>
      <c r="CR1788" s="86"/>
      <c r="CS1788" s="86"/>
      <c r="CT1788" s="86"/>
      <c r="CU1788" s="86"/>
      <c r="CV1788" s="86"/>
      <c r="CW1788" s="86"/>
    </row>
    <row r="1789" customFormat="false" ht="12.75" hidden="false" customHeight="false" outlineLevel="0" collapsed="false">
      <c r="F1789" s="86"/>
      <c r="G1789" s="86"/>
      <c r="H1789" s="86"/>
      <c r="I1789" s="86"/>
      <c r="J1789" s="86"/>
      <c r="K1789" s="86"/>
      <c r="L1789" s="86"/>
      <c r="N1789" s="86"/>
      <c r="CQ1789" s="86"/>
      <c r="CR1789" s="86"/>
      <c r="CS1789" s="86"/>
      <c r="CT1789" s="86"/>
      <c r="CU1789" s="86"/>
      <c r="CV1789" s="86"/>
      <c r="CW1789" s="86"/>
    </row>
    <row r="1790" customFormat="false" ht="12.75" hidden="false" customHeight="false" outlineLevel="0" collapsed="false">
      <c r="F1790" s="86"/>
      <c r="G1790" s="86"/>
      <c r="H1790" s="86"/>
      <c r="I1790" s="86"/>
      <c r="J1790" s="86"/>
      <c r="K1790" s="86"/>
      <c r="L1790" s="86"/>
      <c r="N1790" s="86"/>
      <c r="CQ1790" s="86"/>
      <c r="CR1790" s="86"/>
      <c r="CS1790" s="86"/>
      <c r="CT1790" s="86"/>
      <c r="CU1790" s="86"/>
      <c r="CV1790" s="86"/>
      <c r="CW1790" s="86"/>
    </row>
    <row r="1791" customFormat="false" ht="12.75" hidden="false" customHeight="false" outlineLevel="0" collapsed="false">
      <c r="F1791" s="86"/>
      <c r="G1791" s="86"/>
      <c r="H1791" s="86"/>
      <c r="I1791" s="86"/>
      <c r="J1791" s="86"/>
      <c r="K1791" s="86"/>
      <c r="L1791" s="86"/>
      <c r="N1791" s="86"/>
      <c r="CQ1791" s="86"/>
      <c r="CR1791" s="86"/>
      <c r="CS1791" s="86"/>
      <c r="CT1791" s="86"/>
      <c r="CU1791" s="86"/>
      <c r="CV1791" s="86"/>
      <c r="CW1791" s="86"/>
    </row>
    <row r="1792" customFormat="false" ht="12.75" hidden="false" customHeight="false" outlineLevel="0" collapsed="false">
      <c r="F1792" s="86"/>
      <c r="G1792" s="86"/>
      <c r="H1792" s="86"/>
      <c r="I1792" s="86"/>
      <c r="J1792" s="86"/>
      <c r="K1792" s="86"/>
      <c r="L1792" s="86"/>
      <c r="N1792" s="86"/>
      <c r="CQ1792" s="86"/>
      <c r="CR1792" s="86"/>
      <c r="CS1792" s="86"/>
      <c r="CT1792" s="86"/>
      <c r="CU1792" s="86"/>
      <c r="CV1792" s="86"/>
      <c r="CW1792" s="86"/>
    </row>
    <row r="1793" customFormat="false" ht="12.75" hidden="false" customHeight="false" outlineLevel="0" collapsed="false">
      <c r="F1793" s="86"/>
      <c r="G1793" s="86"/>
      <c r="H1793" s="86"/>
      <c r="I1793" s="86"/>
      <c r="J1793" s="86"/>
      <c r="K1793" s="86"/>
      <c r="L1793" s="86"/>
      <c r="N1793" s="86"/>
      <c r="CQ1793" s="86"/>
      <c r="CR1793" s="86"/>
      <c r="CS1793" s="86"/>
      <c r="CT1793" s="86"/>
      <c r="CU1793" s="86"/>
      <c r="CV1793" s="86"/>
      <c r="CW1793" s="86"/>
    </row>
    <row r="1794" customFormat="false" ht="12.75" hidden="false" customHeight="false" outlineLevel="0" collapsed="false">
      <c r="F1794" s="86"/>
      <c r="G1794" s="86"/>
      <c r="H1794" s="86"/>
      <c r="I1794" s="86"/>
      <c r="J1794" s="86"/>
      <c r="K1794" s="86"/>
      <c r="L1794" s="86"/>
      <c r="N1794" s="86"/>
      <c r="CQ1794" s="86"/>
      <c r="CR1794" s="86"/>
      <c r="CS1794" s="86"/>
      <c r="CT1794" s="86"/>
      <c r="CU1794" s="86"/>
      <c r="CV1794" s="86"/>
      <c r="CW1794" s="86"/>
    </row>
    <row r="1795" customFormat="false" ht="12.75" hidden="false" customHeight="false" outlineLevel="0" collapsed="false">
      <c r="F1795" s="86"/>
      <c r="G1795" s="86"/>
      <c r="H1795" s="86"/>
      <c r="I1795" s="86"/>
      <c r="J1795" s="86"/>
      <c r="K1795" s="86"/>
      <c r="L1795" s="86"/>
      <c r="N1795" s="86"/>
      <c r="CQ1795" s="86"/>
      <c r="CR1795" s="86"/>
      <c r="CS1795" s="86"/>
      <c r="CT1795" s="86"/>
      <c r="CU1795" s="86"/>
      <c r="CV1795" s="86"/>
      <c r="CW1795" s="86"/>
    </row>
    <row r="1796" customFormat="false" ht="12.75" hidden="false" customHeight="false" outlineLevel="0" collapsed="false">
      <c r="F1796" s="86"/>
      <c r="G1796" s="86"/>
      <c r="H1796" s="86"/>
      <c r="I1796" s="86"/>
      <c r="J1796" s="86"/>
      <c r="K1796" s="86"/>
      <c r="L1796" s="86"/>
      <c r="N1796" s="86"/>
      <c r="CQ1796" s="86"/>
      <c r="CR1796" s="86"/>
      <c r="CS1796" s="86"/>
      <c r="CT1796" s="86"/>
      <c r="CU1796" s="86"/>
      <c r="CV1796" s="86"/>
      <c r="CW1796" s="86"/>
    </row>
    <row r="1797" customFormat="false" ht="12.75" hidden="false" customHeight="false" outlineLevel="0" collapsed="false">
      <c r="F1797" s="86"/>
      <c r="G1797" s="86"/>
      <c r="H1797" s="86"/>
      <c r="I1797" s="86"/>
      <c r="J1797" s="86"/>
      <c r="K1797" s="86"/>
      <c r="L1797" s="86"/>
      <c r="N1797" s="86"/>
      <c r="CQ1797" s="86"/>
      <c r="CR1797" s="86"/>
      <c r="CS1797" s="86"/>
      <c r="CT1797" s="86"/>
      <c r="CU1797" s="86"/>
      <c r="CV1797" s="86"/>
      <c r="CW1797" s="86"/>
    </row>
    <row r="1798" customFormat="false" ht="12.75" hidden="false" customHeight="false" outlineLevel="0" collapsed="false">
      <c r="F1798" s="86"/>
      <c r="G1798" s="86"/>
      <c r="H1798" s="86"/>
      <c r="I1798" s="86"/>
      <c r="J1798" s="86"/>
      <c r="K1798" s="86"/>
      <c r="L1798" s="86"/>
      <c r="N1798" s="86"/>
      <c r="CQ1798" s="86"/>
      <c r="CR1798" s="86"/>
      <c r="CS1798" s="86"/>
      <c r="CT1798" s="86"/>
      <c r="CU1798" s="86"/>
      <c r="CV1798" s="86"/>
      <c r="CW1798" s="86"/>
    </row>
    <row r="1799" customFormat="false" ht="12.75" hidden="false" customHeight="false" outlineLevel="0" collapsed="false">
      <c r="F1799" s="86"/>
      <c r="G1799" s="86"/>
      <c r="H1799" s="86"/>
      <c r="I1799" s="86"/>
      <c r="J1799" s="86"/>
      <c r="K1799" s="86"/>
      <c r="L1799" s="86"/>
      <c r="N1799" s="86"/>
      <c r="CQ1799" s="86"/>
      <c r="CR1799" s="86"/>
      <c r="CS1799" s="86"/>
      <c r="CT1799" s="86"/>
      <c r="CU1799" s="86"/>
      <c r="CV1799" s="86"/>
      <c r="CW1799" s="86"/>
    </row>
    <row r="1800" customFormat="false" ht="12.75" hidden="false" customHeight="false" outlineLevel="0" collapsed="false">
      <c r="F1800" s="86"/>
      <c r="G1800" s="86"/>
      <c r="H1800" s="86"/>
      <c r="I1800" s="86"/>
      <c r="J1800" s="86"/>
      <c r="K1800" s="86"/>
      <c r="L1800" s="86"/>
      <c r="N1800" s="86"/>
      <c r="CQ1800" s="86"/>
      <c r="CR1800" s="86"/>
      <c r="CS1800" s="86"/>
      <c r="CT1800" s="86"/>
      <c r="CU1800" s="86"/>
      <c r="CV1800" s="86"/>
      <c r="CW1800" s="86"/>
    </row>
    <row r="1801" customFormat="false" ht="12.75" hidden="false" customHeight="false" outlineLevel="0" collapsed="false">
      <c r="F1801" s="86"/>
      <c r="G1801" s="86"/>
      <c r="H1801" s="86"/>
      <c r="I1801" s="86"/>
      <c r="J1801" s="86"/>
      <c r="K1801" s="86"/>
      <c r="L1801" s="86"/>
      <c r="N1801" s="86"/>
      <c r="CQ1801" s="86"/>
      <c r="CR1801" s="86"/>
      <c r="CS1801" s="86"/>
      <c r="CT1801" s="86"/>
      <c r="CU1801" s="86"/>
      <c r="CV1801" s="86"/>
      <c r="CW1801" s="86"/>
    </row>
    <row r="1802" customFormat="false" ht="12.75" hidden="false" customHeight="false" outlineLevel="0" collapsed="false">
      <c r="F1802" s="86"/>
      <c r="G1802" s="86"/>
      <c r="H1802" s="86"/>
      <c r="I1802" s="86"/>
      <c r="J1802" s="86"/>
      <c r="K1802" s="86"/>
      <c r="L1802" s="86"/>
      <c r="N1802" s="86"/>
      <c r="CQ1802" s="86"/>
      <c r="CR1802" s="86"/>
      <c r="CS1802" s="86"/>
      <c r="CT1802" s="86"/>
      <c r="CU1802" s="86"/>
      <c r="CV1802" s="86"/>
      <c r="CW1802" s="86"/>
    </row>
    <row r="1803" customFormat="false" ht="12.75" hidden="false" customHeight="false" outlineLevel="0" collapsed="false">
      <c r="F1803" s="86"/>
      <c r="G1803" s="86"/>
      <c r="H1803" s="86"/>
      <c r="I1803" s="86"/>
      <c r="J1803" s="86"/>
      <c r="K1803" s="86"/>
      <c r="L1803" s="86"/>
      <c r="N1803" s="86"/>
      <c r="CQ1803" s="86"/>
      <c r="CR1803" s="86"/>
      <c r="CS1803" s="86"/>
      <c r="CT1803" s="86"/>
      <c r="CU1803" s="86"/>
      <c r="CV1803" s="86"/>
      <c r="CW1803" s="86"/>
    </row>
    <row r="1804" customFormat="false" ht="12.75" hidden="false" customHeight="false" outlineLevel="0" collapsed="false">
      <c r="F1804" s="86"/>
      <c r="G1804" s="86"/>
      <c r="H1804" s="86"/>
      <c r="I1804" s="86"/>
      <c r="J1804" s="86"/>
      <c r="K1804" s="86"/>
      <c r="L1804" s="86"/>
      <c r="N1804" s="86"/>
      <c r="CQ1804" s="86"/>
      <c r="CR1804" s="86"/>
      <c r="CS1804" s="86"/>
      <c r="CT1804" s="86"/>
      <c r="CU1804" s="86"/>
      <c r="CV1804" s="86"/>
      <c r="CW1804" s="86"/>
    </row>
    <row r="1805" customFormat="false" ht="12.75" hidden="false" customHeight="false" outlineLevel="0" collapsed="false">
      <c r="F1805" s="86"/>
      <c r="G1805" s="86"/>
      <c r="H1805" s="86"/>
      <c r="I1805" s="86"/>
      <c r="J1805" s="86"/>
      <c r="K1805" s="86"/>
      <c r="L1805" s="86"/>
      <c r="N1805" s="86"/>
      <c r="CQ1805" s="86"/>
      <c r="CR1805" s="86"/>
      <c r="CS1805" s="86"/>
      <c r="CT1805" s="86"/>
      <c r="CU1805" s="86"/>
      <c r="CV1805" s="86"/>
      <c r="CW1805" s="86"/>
    </row>
    <row r="1806" customFormat="false" ht="12.75" hidden="false" customHeight="false" outlineLevel="0" collapsed="false">
      <c r="F1806" s="86"/>
      <c r="G1806" s="86"/>
      <c r="H1806" s="86"/>
      <c r="I1806" s="86"/>
      <c r="J1806" s="86"/>
      <c r="K1806" s="86"/>
      <c r="L1806" s="86"/>
      <c r="N1806" s="86"/>
      <c r="CQ1806" s="86"/>
      <c r="CR1806" s="86"/>
      <c r="CS1806" s="86"/>
      <c r="CT1806" s="86"/>
      <c r="CU1806" s="86"/>
      <c r="CV1806" s="86"/>
      <c r="CW1806" s="86"/>
    </row>
    <row r="1807" customFormat="false" ht="12.75" hidden="false" customHeight="false" outlineLevel="0" collapsed="false">
      <c r="F1807" s="86"/>
      <c r="G1807" s="86"/>
      <c r="H1807" s="86"/>
      <c r="I1807" s="86"/>
      <c r="J1807" s="86"/>
      <c r="K1807" s="86"/>
      <c r="L1807" s="86"/>
      <c r="N1807" s="86"/>
      <c r="CQ1807" s="86"/>
      <c r="CR1807" s="86"/>
      <c r="CS1807" s="86"/>
      <c r="CT1807" s="86"/>
      <c r="CU1807" s="86"/>
      <c r="CV1807" s="86"/>
      <c r="CW1807" s="86"/>
    </row>
    <row r="1808" customFormat="false" ht="12.75" hidden="false" customHeight="false" outlineLevel="0" collapsed="false">
      <c r="F1808" s="86"/>
      <c r="G1808" s="86"/>
      <c r="H1808" s="86"/>
      <c r="I1808" s="86"/>
      <c r="J1808" s="86"/>
      <c r="K1808" s="86"/>
      <c r="L1808" s="86"/>
      <c r="N1808" s="86"/>
      <c r="CQ1808" s="86"/>
      <c r="CR1808" s="86"/>
      <c r="CS1808" s="86"/>
      <c r="CT1808" s="86"/>
      <c r="CU1808" s="86"/>
      <c r="CV1808" s="86"/>
      <c r="CW1808" s="86"/>
    </row>
    <row r="1809" customFormat="false" ht="12.75" hidden="false" customHeight="false" outlineLevel="0" collapsed="false">
      <c r="F1809" s="86"/>
      <c r="G1809" s="86"/>
      <c r="H1809" s="86"/>
      <c r="I1809" s="86"/>
      <c r="J1809" s="86"/>
      <c r="K1809" s="86"/>
      <c r="L1809" s="86"/>
      <c r="N1809" s="86"/>
      <c r="CQ1809" s="86"/>
      <c r="CR1809" s="86"/>
      <c r="CS1809" s="86"/>
      <c r="CT1809" s="86"/>
      <c r="CU1809" s="86"/>
      <c r="CV1809" s="86"/>
      <c r="CW1809" s="86"/>
    </row>
    <row r="1810" customFormat="false" ht="12.75" hidden="false" customHeight="false" outlineLevel="0" collapsed="false">
      <c r="F1810" s="86"/>
      <c r="G1810" s="86"/>
      <c r="H1810" s="86"/>
      <c r="I1810" s="86"/>
      <c r="J1810" s="86"/>
      <c r="K1810" s="86"/>
      <c r="L1810" s="86"/>
      <c r="N1810" s="86"/>
      <c r="CQ1810" s="86"/>
      <c r="CR1810" s="86"/>
      <c r="CS1810" s="86"/>
      <c r="CT1810" s="86"/>
      <c r="CU1810" s="86"/>
      <c r="CV1810" s="86"/>
      <c r="CW1810" s="86"/>
    </row>
    <row r="1811" customFormat="false" ht="12.75" hidden="false" customHeight="false" outlineLevel="0" collapsed="false">
      <c r="F1811" s="86"/>
      <c r="G1811" s="86"/>
      <c r="H1811" s="86"/>
      <c r="I1811" s="86"/>
      <c r="J1811" s="86"/>
      <c r="K1811" s="86"/>
      <c r="L1811" s="86"/>
      <c r="N1811" s="86"/>
      <c r="CQ1811" s="86"/>
      <c r="CR1811" s="86"/>
      <c r="CS1811" s="86"/>
      <c r="CT1811" s="86"/>
      <c r="CU1811" s="86"/>
      <c r="CV1811" s="86"/>
      <c r="CW1811" s="86"/>
    </row>
    <row r="1812" customFormat="false" ht="12.75" hidden="false" customHeight="false" outlineLevel="0" collapsed="false">
      <c r="F1812" s="86"/>
      <c r="G1812" s="86"/>
      <c r="H1812" s="86"/>
      <c r="I1812" s="86"/>
      <c r="J1812" s="86"/>
      <c r="K1812" s="86"/>
      <c r="L1812" s="86"/>
      <c r="N1812" s="86"/>
      <c r="CQ1812" s="86"/>
      <c r="CR1812" s="86"/>
      <c r="CS1812" s="86"/>
      <c r="CT1812" s="86"/>
      <c r="CU1812" s="86"/>
      <c r="CV1812" s="86"/>
      <c r="CW1812" s="86"/>
    </row>
    <row r="1813" customFormat="false" ht="12.75" hidden="false" customHeight="false" outlineLevel="0" collapsed="false">
      <c r="F1813" s="86"/>
      <c r="G1813" s="86"/>
      <c r="H1813" s="86"/>
      <c r="I1813" s="86"/>
      <c r="J1813" s="86"/>
      <c r="K1813" s="86"/>
      <c r="L1813" s="86"/>
      <c r="N1813" s="86"/>
      <c r="CQ1813" s="86"/>
      <c r="CR1813" s="86"/>
      <c r="CS1813" s="86"/>
      <c r="CT1813" s="86"/>
      <c r="CU1813" s="86"/>
      <c r="CV1813" s="86"/>
      <c r="CW1813" s="86"/>
    </row>
    <row r="1814" customFormat="false" ht="12.75" hidden="false" customHeight="false" outlineLevel="0" collapsed="false">
      <c r="F1814" s="86"/>
      <c r="G1814" s="86"/>
      <c r="H1814" s="86"/>
      <c r="I1814" s="86"/>
      <c r="J1814" s="86"/>
      <c r="K1814" s="86"/>
      <c r="L1814" s="86"/>
      <c r="N1814" s="86"/>
      <c r="CQ1814" s="86"/>
      <c r="CR1814" s="86"/>
      <c r="CS1814" s="86"/>
      <c r="CT1814" s="86"/>
      <c r="CU1814" s="86"/>
      <c r="CV1814" s="86"/>
      <c r="CW1814" s="86"/>
    </row>
    <row r="1815" customFormat="false" ht="12.75" hidden="false" customHeight="false" outlineLevel="0" collapsed="false">
      <c r="F1815" s="86"/>
      <c r="G1815" s="86"/>
      <c r="H1815" s="86"/>
      <c r="I1815" s="86"/>
      <c r="J1815" s="86"/>
      <c r="K1815" s="86"/>
      <c r="L1815" s="86"/>
      <c r="N1815" s="86"/>
      <c r="CQ1815" s="86"/>
      <c r="CR1815" s="86"/>
      <c r="CS1815" s="86"/>
      <c r="CT1815" s="86"/>
      <c r="CU1815" s="86"/>
      <c r="CV1815" s="86"/>
      <c r="CW1815" s="86"/>
    </row>
    <row r="1816" customFormat="false" ht="12.75" hidden="false" customHeight="false" outlineLevel="0" collapsed="false">
      <c r="F1816" s="86"/>
      <c r="G1816" s="86"/>
      <c r="H1816" s="86"/>
      <c r="I1816" s="86"/>
      <c r="J1816" s="86"/>
      <c r="K1816" s="86"/>
      <c r="L1816" s="86"/>
      <c r="N1816" s="86"/>
      <c r="CQ1816" s="86"/>
      <c r="CR1816" s="86"/>
      <c r="CS1816" s="86"/>
      <c r="CT1816" s="86"/>
      <c r="CU1816" s="86"/>
      <c r="CV1816" s="86"/>
      <c r="CW1816" s="86"/>
    </row>
    <row r="1817" customFormat="false" ht="12.75" hidden="false" customHeight="false" outlineLevel="0" collapsed="false">
      <c r="F1817" s="86"/>
      <c r="G1817" s="86"/>
      <c r="H1817" s="86"/>
      <c r="I1817" s="86"/>
      <c r="J1817" s="86"/>
      <c r="K1817" s="86"/>
      <c r="L1817" s="86"/>
      <c r="N1817" s="86"/>
      <c r="CQ1817" s="86"/>
      <c r="CR1817" s="86"/>
      <c r="CS1817" s="86"/>
      <c r="CT1817" s="86"/>
      <c r="CU1817" s="86"/>
      <c r="CV1817" s="86"/>
      <c r="CW1817" s="86"/>
    </row>
    <row r="1818" customFormat="false" ht="12.75" hidden="false" customHeight="false" outlineLevel="0" collapsed="false">
      <c r="F1818" s="86"/>
      <c r="G1818" s="86"/>
      <c r="H1818" s="86"/>
      <c r="I1818" s="86"/>
      <c r="J1818" s="86"/>
      <c r="K1818" s="86"/>
      <c r="L1818" s="86"/>
      <c r="N1818" s="86"/>
      <c r="CQ1818" s="86"/>
      <c r="CR1818" s="86"/>
      <c r="CS1818" s="86"/>
      <c r="CT1818" s="86"/>
      <c r="CU1818" s="86"/>
      <c r="CV1818" s="86"/>
      <c r="CW1818" s="86"/>
    </row>
    <row r="1819" customFormat="false" ht="12.75" hidden="false" customHeight="false" outlineLevel="0" collapsed="false">
      <c r="F1819" s="86"/>
      <c r="G1819" s="86"/>
      <c r="H1819" s="86"/>
      <c r="I1819" s="86"/>
      <c r="J1819" s="86"/>
      <c r="K1819" s="86"/>
      <c r="L1819" s="86"/>
      <c r="N1819" s="86"/>
      <c r="CQ1819" s="86"/>
      <c r="CR1819" s="86"/>
      <c r="CS1819" s="86"/>
      <c r="CT1819" s="86"/>
      <c r="CU1819" s="86"/>
      <c r="CV1819" s="86"/>
      <c r="CW1819" s="86"/>
    </row>
    <row r="1820" customFormat="false" ht="12.75" hidden="false" customHeight="false" outlineLevel="0" collapsed="false">
      <c r="F1820" s="86"/>
      <c r="G1820" s="86"/>
      <c r="H1820" s="86"/>
      <c r="I1820" s="86"/>
      <c r="J1820" s="86"/>
      <c r="K1820" s="86"/>
      <c r="L1820" s="86"/>
      <c r="N1820" s="86"/>
      <c r="CQ1820" s="86"/>
      <c r="CR1820" s="86"/>
      <c r="CS1820" s="86"/>
      <c r="CT1820" s="86"/>
      <c r="CU1820" s="86"/>
      <c r="CV1820" s="86"/>
      <c r="CW1820" s="86"/>
    </row>
    <row r="1821" customFormat="false" ht="12.75" hidden="false" customHeight="false" outlineLevel="0" collapsed="false">
      <c r="F1821" s="86"/>
      <c r="G1821" s="86"/>
      <c r="H1821" s="86"/>
      <c r="I1821" s="86"/>
      <c r="J1821" s="86"/>
      <c r="K1821" s="86"/>
      <c r="L1821" s="86"/>
      <c r="N1821" s="86"/>
      <c r="CQ1821" s="86"/>
      <c r="CR1821" s="86"/>
      <c r="CS1821" s="86"/>
      <c r="CT1821" s="86"/>
      <c r="CU1821" s="86"/>
      <c r="CV1821" s="86"/>
      <c r="CW1821" s="86"/>
    </row>
    <row r="1822" customFormat="false" ht="12.75" hidden="false" customHeight="false" outlineLevel="0" collapsed="false">
      <c r="F1822" s="86"/>
      <c r="G1822" s="86"/>
      <c r="H1822" s="86"/>
      <c r="I1822" s="86"/>
      <c r="J1822" s="86"/>
      <c r="K1822" s="86"/>
      <c r="L1822" s="86"/>
      <c r="N1822" s="86"/>
      <c r="CQ1822" s="86"/>
      <c r="CR1822" s="86"/>
      <c r="CS1822" s="86"/>
      <c r="CT1822" s="86"/>
      <c r="CU1822" s="86"/>
      <c r="CV1822" s="86"/>
      <c r="CW1822" s="86"/>
    </row>
    <row r="1823" customFormat="false" ht="12.75" hidden="false" customHeight="false" outlineLevel="0" collapsed="false">
      <c r="F1823" s="86"/>
      <c r="G1823" s="86"/>
      <c r="H1823" s="86"/>
      <c r="I1823" s="86"/>
      <c r="J1823" s="86"/>
      <c r="K1823" s="86"/>
      <c r="L1823" s="86"/>
      <c r="N1823" s="86"/>
      <c r="CQ1823" s="86"/>
      <c r="CR1823" s="86"/>
      <c r="CS1823" s="86"/>
      <c r="CT1823" s="86"/>
      <c r="CU1823" s="86"/>
      <c r="CV1823" s="86"/>
      <c r="CW1823" s="86"/>
    </row>
    <row r="1824" customFormat="false" ht="12.75" hidden="false" customHeight="false" outlineLevel="0" collapsed="false">
      <c r="F1824" s="86"/>
      <c r="G1824" s="86"/>
      <c r="H1824" s="86"/>
      <c r="I1824" s="86"/>
      <c r="J1824" s="86"/>
      <c r="K1824" s="86"/>
      <c r="L1824" s="86"/>
      <c r="N1824" s="86"/>
      <c r="CQ1824" s="86"/>
      <c r="CR1824" s="86"/>
      <c r="CS1824" s="86"/>
      <c r="CT1824" s="86"/>
      <c r="CU1824" s="86"/>
      <c r="CV1824" s="86"/>
      <c r="CW1824" s="86"/>
    </row>
    <row r="1825" customFormat="false" ht="12.75" hidden="false" customHeight="false" outlineLevel="0" collapsed="false">
      <c r="F1825" s="86"/>
      <c r="G1825" s="86"/>
      <c r="H1825" s="86"/>
      <c r="I1825" s="86"/>
      <c r="J1825" s="86"/>
      <c r="K1825" s="86"/>
      <c r="L1825" s="86"/>
      <c r="N1825" s="86"/>
      <c r="CQ1825" s="86"/>
      <c r="CR1825" s="86"/>
      <c r="CS1825" s="86"/>
      <c r="CT1825" s="86"/>
      <c r="CU1825" s="86"/>
      <c r="CV1825" s="86"/>
      <c r="CW1825" s="86"/>
    </row>
    <row r="1826" customFormat="false" ht="12.75" hidden="false" customHeight="false" outlineLevel="0" collapsed="false">
      <c r="F1826" s="86"/>
      <c r="G1826" s="86"/>
      <c r="H1826" s="86"/>
      <c r="I1826" s="86"/>
      <c r="J1826" s="86"/>
      <c r="K1826" s="86"/>
      <c r="L1826" s="86"/>
      <c r="N1826" s="86"/>
      <c r="CQ1826" s="86"/>
      <c r="CR1826" s="86"/>
      <c r="CS1826" s="86"/>
      <c r="CT1826" s="86"/>
      <c r="CU1826" s="86"/>
      <c r="CV1826" s="86"/>
      <c r="CW1826" s="86"/>
    </row>
    <row r="1827" customFormat="false" ht="12.75" hidden="false" customHeight="false" outlineLevel="0" collapsed="false">
      <c r="F1827" s="86"/>
      <c r="G1827" s="86"/>
      <c r="H1827" s="86"/>
      <c r="I1827" s="86"/>
      <c r="J1827" s="86"/>
      <c r="K1827" s="86"/>
      <c r="L1827" s="86"/>
      <c r="N1827" s="86"/>
      <c r="CQ1827" s="86"/>
      <c r="CR1827" s="86"/>
      <c r="CS1827" s="86"/>
      <c r="CT1827" s="86"/>
      <c r="CU1827" s="86"/>
      <c r="CV1827" s="86"/>
      <c r="CW1827" s="86"/>
    </row>
    <row r="1828" customFormat="false" ht="12.75" hidden="false" customHeight="false" outlineLevel="0" collapsed="false">
      <c r="F1828" s="86"/>
      <c r="G1828" s="86"/>
      <c r="H1828" s="86"/>
      <c r="I1828" s="86"/>
      <c r="J1828" s="86"/>
      <c r="K1828" s="86"/>
      <c r="L1828" s="86"/>
      <c r="N1828" s="86"/>
      <c r="CQ1828" s="86"/>
      <c r="CR1828" s="86"/>
      <c r="CS1828" s="86"/>
      <c r="CT1828" s="86"/>
      <c r="CU1828" s="86"/>
      <c r="CV1828" s="86"/>
      <c r="CW1828" s="86"/>
    </row>
    <row r="1829" customFormat="false" ht="12.75" hidden="false" customHeight="false" outlineLevel="0" collapsed="false">
      <c r="F1829" s="86"/>
      <c r="G1829" s="86"/>
      <c r="H1829" s="86"/>
      <c r="I1829" s="86"/>
      <c r="J1829" s="86"/>
      <c r="K1829" s="86"/>
      <c r="L1829" s="86"/>
      <c r="N1829" s="86"/>
      <c r="CQ1829" s="86"/>
      <c r="CR1829" s="86"/>
      <c r="CS1829" s="86"/>
      <c r="CT1829" s="86"/>
      <c r="CU1829" s="86"/>
      <c r="CV1829" s="86"/>
      <c r="CW1829" s="86"/>
    </row>
    <row r="1830" customFormat="false" ht="12.75" hidden="false" customHeight="false" outlineLevel="0" collapsed="false">
      <c r="F1830" s="86"/>
      <c r="G1830" s="86"/>
      <c r="H1830" s="86"/>
      <c r="I1830" s="86"/>
      <c r="J1830" s="86"/>
      <c r="K1830" s="86"/>
      <c r="L1830" s="86"/>
      <c r="N1830" s="86"/>
      <c r="CQ1830" s="86"/>
      <c r="CR1830" s="86"/>
      <c r="CS1830" s="86"/>
      <c r="CT1830" s="86"/>
      <c r="CU1830" s="86"/>
      <c r="CV1830" s="86"/>
      <c r="CW1830" s="86"/>
    </row>
    <row r="1831" customFormat="false" ht="12.75" hidden="false" customHeight="false" outlineLevel="0" collapsed="false">
      <c r="F1831" s="86"/>
      <c r="G1831" s="86"/>
      <c r="H1831" s="86"/>
      <c r="I1831" s="86"/>
      <c r="J1831" s="86"/>
      <c r="K1831" s="86"/>
      <c r="L1831" s="86"/>
      <c r="N1831" s="86"/>
      <c r="CQ1831" s="86"/>
      <c r="CR1831" s="86"/>
      <c r="CS1831" s="86"/>
      <c r="CT1831" s="86"/>
      <c r="CU1831" s="86"/>
      <c r="CV1831" s="86"/>
      <c r="CW1831" s="86"/>
    </row>
    <row r="1832" customFormat="false" ht="12.75" hidden="false" customHeight="false" outlineLevel="0" collapsed="false">
      <c r="F1832" s="86"/>
      <c r="G1832" s="86"/>
      <c r="H1832" s="86"/>
      <c r="I1832" s="86"/>
      <c r="J1832" s="86"/>
      <c r="K1832" s="86"/>
      <c r="L1832" s="86"/>
      <c r="N1832" s="86"/>
      <c r="CQ1832" s="86"/>
      <c r="CR1832" s="86"/>
      <c r="CS1832" s="86"/>
      <c r="CT1832" s="86"/>
      <c r="CU1832" s="86"/>
      <c r="CV1832" s="86"/>
      <c r="CW1832" s="86"/>
    </row>
    <row r="1833" customFormat="false" ht="12.75" hidden="false" customHeight="false" outlineLevel="0" collapsed="false">
      <c r="F1833" s="86"/>
      <c r="G1833" s="86"/>
      <c r="H1833" s="86"/>
      <c r="I1833" s="86"/>
      <c r="J1833" s="86"/>
      <c r="K1833" s="86"/>
      <c r="L1833" s="86"/>
      <c r="N1833" s="86"/>
      <c r="CQ1833" s="86"/>
      <c r="CR1833" s="86"/>
      <c r="CS1833" s="86"/>
      <c r="CT1833" s="86"/>
      <c r="CU1833" s="86"/>
      <c r="CV1833" s="86"/>
      <c r="CW1833" s="86"/>
    </row>
    <row r="1834" customFormat="false" ht="12.75" hidden="false" customHeight="false" outlineLevel="0" collapsed="false">
      <c r="F1834" s="86"/>
      <c r="G1834" s="86"/>
      <c r="H1834" s="86"/>
      <c r="I1834" s="86"/>
      <c r="J1834" s="86"/>
      <c r="K1834" s="86"/>
      <c r="L1834" s="86"/>
      <c r="N1834" s="86"/>
      <c r="CQ1834" s="86"/>
      <c r="CR1834" s="86"/>
      <c r="CS1834" s="86"/>
      <c r="CT1834" s="86"/>
      <c r="CU1834" s="86"/>
      <c r="CV1834" s="86"/>
      <c r="CW1834" s="86"/>
    </row>
    <row r="1835" customFormat="false" ht="12.75" hidden="false" customHeight="false" outlineLevel="0" collapsed="false">
      <c r="F1835" s="86"/>
      <c r="G1835" s="86"/>
      <c r="H1835" s="86"/>
      <c r="I1835" s="86"/>
      <c r="J1835" s="86"/>
      <c r="K1835" s="86"/>
      <c r="L1835" s="86"/>
      <c r="N1835" s="86"/>
      <c r="CQ1835" s="86"/>
      <c r="CR1835" s="86"/>
      <c r="CS1835" s="86"/>
      <c r="CT1835" s="86"/>
      <c r="CU1835" s="86"/>
      <c r="CV1835" s="86"/>
      <c r="CW1835" s="86"/>
    </row>
    <row r="1836" customFormat="false" ht="12.75" hidden="false" customHeight="false" outlineLevel="0" collapsed="false">
      <c r="F1836" s="86"/>
      <c r="G1836" s="86"/>
      <c r="H1836" s="86"/>
      <c r="I1836" s="86"/>
      <c r="J1836" s="86"/>
      <c r="K1836" s="86"/>
      <c r="L1836" s="86"/>
      <c r="N1836" s="86"/>
      <c r="CQ1836" s="86"/>
      <c r="CR1836" s="86"/>
      <c r="CS1836" s="86"/>
      <c r="CT1836" s="86"/>
      <c r="CU1836" s="86"/>
      <c r="CV1836" s="86"/>
      <c r="CW1836" s="86"/>
    </row>
    <row r="1837" customFormat="false" ht="12.75" hidden="false" customHeight="false" outlineLevel="0" collapsed="false">
      <c r="F1837" s="86"/>
      <c r="G1837" s="86"/>
      <c r="H1837" s="86"/>
      <c r="I1837" s="86"/>
      <c r="J1837" s="86"/>
      <c r="K1837" s="86"/>
      <c r="L1837" s="86"/>
      <c r="N1837" s="86"/>
      <c r="CQ1837" s="86"/>
      <c r="CR1837" s="86"/>
      <c r="CS1837" s="86"/>
      <c r="CT1837" s="86"/>
      <c r="CU1837" s="86"/>
      <c r="CV1837" s="86"/>
      <c r="CW1837" s="86"/>
    </row>
    <row r="1838" customFormat="false" ht="12.75" hidden="false" customHeight="false" outlineLevel="0" collapsed="false">
      <c r="F1838" s="86"/>
      <c r="G1838" s="86"/>
      <c r="H1838" s="86"/>
      <c r="I1838" s="86"/>
      <c r="J1838" s="86"/>
      <c r="K1838" s="86"/>
      <c r="L1838" s="86"/>
      <c r="N1838" s="86"/>
      <c r="CQ1838" s="86"/>
      <c r="CR1838" s="86"/>
      <c r="CS1838" s="86"/>
      <c r="CT1838" s="86"/>
      <c r="CU1838" s="86"/>
      <c r="CV1838" s="86"/>
      <c r="CW1838" s="86"/>
    </row>
    <row r="1839" customFormat="false" ht="12.75" hidden="false" customHeight="false" outlineLevel="0" collapsed="false">
      <c r="F1839" s="86"/>
      <c r="G1839" s="86"/>
      <c r="H1839" s="86"/>
      <c r="I1839" s="86"/>
      <c r="J1839" s="86"/>
      <c r="K1839" s="86"/>
      <c r="L1839" s="86"/>
      <c r="N1839" s="86"/>
      <c r="CQ1839" s="86"/>
      <c r="CR1839" s="86"/>
      <c r="CS1839" s="86"/>
      <c r="CT1839" s="86"/>
      <c r="CU1839" s="86"/>
      <c r="CV1839" s="86"/>
      <c r="CW1839" s="86"/>
    </row>
    <row r="1840" customFormat="false" ht="12.75" hidden="false" customHeight="false" outlineLevel="0" collapsed="false">
      <c r="F1840" s="86"/>
      <c r="G1840" s="86"/>
      <c r="H1840" s="86"/>
      <c r="I1840" s="86"/>
      <c r="J1840" s="86"/>
      <c r="K1840" s="86"/>
      <c r="L1840" s="86"/>
      <c r="N1840" s="86"/>
      <c r="CQ1840" s="86"/>
      <c r="CR1840" s="86"/>
      <c r="CS1840" s="86"/>
      <c r="CT1840" s="86"/>
      <c r="CU1840" s="86"/>
      <c r="CV1840" s="86"/>
      <c r="CW1840" s="86"/>
    </row>
    <row r="1841" customFormat="false" ht="12.75" hidden="false" customHeight="false" outlineLevel="0" collapsed="false">
      <c r="F1841" s="86"/>
      <c r="G1841" s="86"/>
      <c r="H1841" s="86"/>
      <c r="I1841" s="86"/>
      <c r="J1841" s="86"/>
      <c r="K1841" s="86"/>
      <c r="L1841" s="86"/>
      <c r="N1841" s="86"/>
      <c r="CQ1841" s="86"/>
      <c r="CR1841" s="86"/>
      <c r="CS1841" s="86"/>
      <c r="CT1841" s="86"/>
      <c r="CU1841" s="86"/>
      <c r="CV1841" s="86"/>
      <c r="CW1841" s="86"/>
    </row>
    <row r="1842" customFormat="false" ht="12.75" hidden="false" customHeight="false" outlineLevel="0" collapsed="false">
      <c r="F1842" s="86"/>
      <c r="G1842" s="86"/>
      <c r="H1842" s="86"/>
      <c r="I1842" s="86"/>
      <c r="J1842" s="86"/>
      <c r="K1842" s="86"/>
      <c r="L1842" s="86"/>
      <c r="N1842" s="86"/>
      <c r="CQ1842" s="86"/>
      <c r="CR1842" s="86"/>
      <c r="CS1842" s="86"/>
      <c r="CT1842" s="86"/>
      <c r="CU1842" s="86"/>
      <c r="CV1842" s="86"/>
      <c r="CW1842" s="86"/>
    </row>
    <row r="1843" customFormat="false" ht="12.75" hidden="false" customHeight="false" outlineLevel="0" collapsed="false">
      <c r="F1843" s="86"/>
      <c r="G1843" s="86"/>
      <c r="H1843" s="86"/>
      <c r="I1843" s="86"/>
      <c r="J1843" s="86"/>
      <c r="K1843" s="86"/>
      <c r="L1843" s="86"/>
      <c r="N1843" s="86"/>
      <c r="CQ1843" s="86"/>
      <c r="CR1843" s="86"/>
      <c r="CS1843" s="86"/>
      <c r="CT1843" s="86"/>
      <c r="CU1843" s="86"/>
      <c r="CV1843" s="86"/>
      <c r="CW1843" s="86"/>
    </row>
    <row r="1844" customFormat="false" ht="12.75" hidden="false" customHeight="false" outlineLevel="0" collapsed="false">
      <c r="F1844" s="86"/>
      <c r="G1844" s="86"/>
      <c r="H1844" s="86"/>
      <c r="I1844" s="86"/>
      <c r="J1844" s="86"/>
      <c r="K1844" s="86"/>
      <c r="L1844" s="86"/>
      <c r="N1844" s="86"/>
      <c r="CQ1844" s="86"/>
      <c r="CR1844" s="86"/>
      <c r="CS1844" s="86"/>
      <c r="CT1844" s="86"/>
      <c r="CU1844" s="86"/>
      <c r="CV1844" s="86"/>
      <c r="CW1844" s="86"/>
    </row>
    <row r="1845" customFormat="false" ht="12.75" hidden="false" customHeight="false" outlineLevel="0" collapsed="false">
      <c r="F1845" s="86"/>
      <c r="G1845" s="86"/>
      <c r="H1845" s="86"/>
      <c r="I1845" s="86"/>
      <c r="J1845" s="86"/>
      <c r="K1845" s="86"/>
      <c r="L1845" s="86"/>
      <c r="N1845" s="86"/>
      <c r="CQ1845" s="86"/>
      <c r="CR1845" s="86"/>
      <c r="CS1845" s="86"/>
      <c r="CT1845" s="86"/>
      <c r="CU1845" s="86"/>
      <c r="CV1845" s="86"/>
      <c r="CW1845" s="86"/>
    </row>
    <row r="1846" customFormat="false" ht="12.75" hidden="false" customHeight="false" outlineLevel="0" collapsed="false">
      <c r="F1846" s="86"/>
      <c r="G1846" s="86"/>
      <c r="H1846" s="86"/>
      <c r="I1846" s="86"/>
      <c r="J1846" s="86"/>
      <c r="K1846" s="86"/>
      <c r="L1846" s="86"/>
      <c r="N1846" s="86"/>
      <c r="CQ1846" s="86"/>
      <c r="CR1846" s="86"/>
      <c r="CS1846" s="86"/>
      <c r="CT1846" s="86"/>
      <c r="CU1846" s="86"/>
      <c r="CV1846" s="86"/>
      <c r="CW1846" s="86"/>
    </row>
    <row r="1847" customFormat="false" ht="12.75" hidden="false" customHeight="false" outlineLevel="0" collapsed="false">
      <c r="F1847" s="86"/>
      <c r="G1847" s="86"/>
      <c r="H1847" s="86"/>
      <c r="I1847" s="86"/>
      <c r="J1847" s="86"/>
      <c r="K1847" s="86"/>
      <c r="L1847" s="86"/>
      <c r="N1847" s="86"/>
      <c r="CQ1847" s="86"/>
      <c r="CR1847" s="86"/>
      <c r="CS1847" s="86"/>
      <c r="CT1847" s="86"/>
      <c r="CU1847" s="86"/>
      <c r="CV1847" s="86"/>
      <c r="CW1847" s="86"/>
    </row>
    <row r="1848" customFormat="false" ht="12.75" hidden="false" customHeight="false" outlineLevel="0" collapsed="false">
      <c r="F1848" s="86"/>
      <c r="G1848" s="86"/>
      <c r="H1848" s="86"/>
      <c r="I1848" s="86"/>
      <c r="J1848" s="86"/>
      <c r="K1848" s="86"/>
      <c r="L1848" s="86"/>
      <c r="N1848" s="86"/>
      <c r="CQ1848" s="86"/>
      <c r="CR1848" s="86"/>
      <c r="CS1848" s="86"/>
      <c r="CT1848" s="86"/>
      <c r="CU1848" s="86"/>
      <c r="CV1848" s="86"/>
      <c r="CW1848" s="86"/>
    </row>
    <row r="1849" customFormat="false" ht="12.75" hidden="false" customHeight="false" outlineLevel="0" collapsed="false">
      <c r="F1849" s="86"/>
      <c r="G1849" s="86"/>
      <c r="H1849" s="86"/>
      <c r="I1849" s="86"/>
      <c r="J1849" s="86"/>
      <c r="K1849" s="86"/>
      <c r="L1849" s="86"/>
      <c r="N1849" s="86"/>
      <c r="CQ1849" s="86"/>
      <c r="CR1849" s="86"/>
      <c r="CS1849" s="86"/>
      <c r="CT1849" s="86"/>
      <c r="CU1849" s="86"/>
      <c r="CV1849" s="86"/>
      <c r="CW1849" s="86"/>
    </row>
    <row r="1850" customFormat="false" ht="12.75" hidden="false" customHeight="false" outlineLevel="0" collapsed="false">
      <c r="F1850" s="86"/>
      <c r="G1850" s="86"/>
      <c r="H1850" s="86"/>
      <c r="I1850" s="86"/>
      <c r="J1850" s="86"/>
      <c r="K1850" s="86"/>
      <c r="L1850" s="86"/>
      <c r="N1850" s="86"/>
      <c r="CQ1850" s="86"/>
      <c r="CR1850" s="86"/>
      <c r="CS1850" s="86"/>
      <c r="CT1850" s="86"/>
      <c r="CU1850" s="86"/>
      <c r="CV1850" s="86"/>
      <c r="CW1850" s="86"/>
    </row>
    <row r="1851" customFormat="false" ht="12.75" hidden="false" customHeight="false" outlineLevel="0" collapsed="false">
      <c r="F1851" s="86"/>
      <c r="G1851" s="86"/>
      <c r="H1851" s="86"/>
      <c r="I1851" s="86"/>
      <c r="J1851" s="86"/>
      <c r="K1851" s="86"/>
      <c r="L1851" s="86"/>
      <c r="N1851" s="86"/>
      <c r="CQ1851" s="86"/>
      <c r="CR1851" s="86"/>
      <c r="CS1851" s="86"/>
      <c r="CT1851" s="86"/>
      <c r="CU1851" s="86"/>
      <c r="CV1851" s="86"/>
      <c r="CW1851" s="86"/>
    </row>
    <row r="1852" customFormat="false" ht="12.75" hidden="false" customHeight="false" outlineLevel="0" collapsed="false">
      <c r="F1852" s="86"/>
      <c r="G1852" s="86"/>
      <c r="H1852" s="86"/>
      <c r="I1852" s="86"/>
      <c r="J1852" s="86"/>
      <c r="K1852" s="86"/>
      <c r="L1852" s="86"/>
      <c r="N1852" s="86"/>
      <c r="CQ1852" s="86"/>
      <c r="CR1852" s="86"/>
      <c r="CS1852" s="86"/>
      <c r="CT1852" s="86"/>
      <c r="CU1852" s="86"/>
      <c r="CV1852" s="86"/>
      <c r="CW1852" s="86"/>
    </row>
    <row r="1853" customFormat="false" ht="12.75" hidden="false" customHeight="false" outlineLevel="0" collapsed="false">
      <c r="F1853" s="86"/>
      <c r="G1853" s="86"/>
      <c r="H1853" s="86"/>
      <c r="I1853" s="86"/>
      <c r="J1853" s="86"/>
      <c r="K1853" s="86"/>
      <c r="L1853" s="86"/>
      <c r="N1853" s="86"/>
      <c r="CQ1853" s="86"/>
      <c r="CR1853" s="86"/>
      <c r="CS1853" s="86"/>
      <c r="CT1853" s="86"/>
      <c r="CU1853" s="86"/>
      <c r="CV1853" s="86"/>
      <c r="CW1853" s="86"/>
    </row>
    <row r="1854" customFormat="false" ht="12.75" hidden="false" customHeight="false" outlineLevel="0" collapsed="false">
      <c r="F1854" s="86"/>
      <c r="G1854" s="86"/>
      <c r="H1854" s="86"/>
      <c r="I1854" s="86"/>
      <c r="J1854" s="86"/>
      <c r="K1854" s="86"/>
      <c r="L1854" s="86"/>
      <c r="N1854" s="86"/>
      <c r="CQ1854" s="86"/>
      <c r="CR1854" s="86"/>
      <c r="CS1854" s="86"/>
      <c r="CT1854" s="86"/>
      <c r="CU1854" s="86"/>
      <c r="CV1854" s="86"/>
      <c r="CW1854" s="86"/>
    </row>
    <row r="1855" customFormat="false" ht="12.75" hidden="false" customHeight="false" outlineLevel="0" collapsed="false">
      <c r="F1855" s="86"/>
      <c r="G1855" s="86"/>
      <c r="H1855" s="86"/>
      <c r="I1855" s="86"/>
      <c r="J1855" s="86"/>
      <c r="K1855" s="86"/>
      <c r="L1855" s="86"/>
      <c r="N1855" s="86"/>
      <c r="CQ1855" s="86"/>
      <c r="CR1855" s="86"/>
      <c r="CS1855" s="86"/>
      <c r="CT1855" s="86"/>
      <c r="CU1855" s="86"/>
      <c r="CV1855" s="86"/>
      <c r="CW1855" s="86"/>
    </row>
    <row r="1856" customFormat="false" ht="12.75" hidden="false" customHeight="false" outlineLevel="0" collapsed="false">
      <c r="F1856" s="86"/>
      <c r="G1856" s="86"/>
      <c r="H1856" s="86"/>
      <c r="I1856" s="86"/>
      <c r="J1856" s="86"/>
      <c r="K1856" s="86"/>
      <c r="L1856" s="86"/>
      <c r="N1856" s="86"/>
      <c r="CQ1856" s="86"/>
      <c r="CR1856" s="86"/>
      <c r="CS1856" s="86"/>
      <c r="CT1856" s="86"/>
      <c r="CU1856" s="86"/>
      <c r="CV1856" s="86"/>
      <c r="CW1856" s="86"/>
    </row>
    <row r="1857" customFormat="false" ht="12.75" hidden="false" customHeight="false" outlineLevel="0" collapsed="false">
      <c r="F1857" s="86"/>
      <c r="G1857" s="86"/>
      <c r="H1857" s="86"/>
      <c r="I1857" s="86"/>
      <c r="J1857" s="86"/>
      <c r="K1857" s="86"/>
      <c r="L1857" s="86"/>
      <c r="N1857" s="86"/>
      <c r="CQ1857" s="86"/>
      <c r="CR1857" s="86"/>
      <c r="CS1857" s="86"/>
      <c r="CT1857" s="86"/>
      <c r="CU1857" s="86"/>
      <c r="CV1857" s="86"/>
      <c r="CW1857" s="86"/>
    </row>
    <row r="1858" customFormat="false" ht="12.75" hidden="false" customHeight="false" outlineLevel="0" collapsed="false">
      <c r="F1858" s="86"/>
      <c r="G1858" s="86"/>
      <c r="H1858" s="86"/>
      <c r="I1858" s="86"/>
      <c r="J1858" s="86"/>
      <c r="K1858" s="86"/>
      <c r="L1858" s="86"/>
      <c r="N1858" s="86"/>
      <c r="CQ1858" s="86"/>
      <c r="CR1858" s="86"/>
      <c r="CS1858" s="86"/>
      <c r="CT1858" s="86"/>
      <c r="CU1858" s="86"/>
      <c r="CV1858" s="86"/>
      <c r="CW1858" s="86"/>
    </row>
    <row r="1859" customFormat="false" ht="12.75" hidden="false" customHeight="false" outlineLevel="0" collapsed="false">
      <c r="F1859" s="86"/>
      <c r="G1859" s="86"/>
      <c r="H1859" s="86"/>
      <c r="I1859" s="86"/>
      <c r="J1859" s="86"/>
      <c r="K1859" s="86"/>
      <c r="L1859" s="86"/>
      <c r="N1859" s="86"/>
      <c r="CQ1859" s="86"/>
      <c r="CR1859" s="86"/>
      <c r="CS1859" s="86"/>
      <c r="CT1859" s="86"/>
      <c r="CU1859" s="86"/>
      <c r="CV1859" s="86"/>
      <c r="CW1859" s="86"/>
    </row>
    <row r="1860" customFormat="false" ht="12.75" hidden="false" customHeight="false" outlineLevel="0" collapsed="false">
      <c r="F1860" s="86"/>
      <c r="G1860" s="86"/>
      <c r="H1860" s="86"/>
      <c r="I1860" s="86"/>
      <c r="J1860" s="86"/>
      <c r="K1860" s="86"/>
      <c r="L1860" s="86"/>
      <c r="N1860" s="86"/>
      <c r="CQ1860" s="86"/>
      <c r="CR1860" s="86"/>
      <c r="CS1860" s="86"/>
      <c r="CT1860" s="86"/>
      <c r="CU1860" s="86"/>
      <c r="CV1860" s="86"/>
      <c r="CW1860" s="86"/>
    </row>
    <row r="1861" customFormat="false" ht="12.75" hidden="false" customHeight="false" outlineLevel="0" collapsed="false">
      <c r="F1861" s="86"/>
      <c r="G1861" s="86"/>
      <c r="H1861" s="86"/>
      <c r="I1861" s="86"/>
      <c r="J1861" s="86"/>
      <c r="K1861" s="86"/>
      <c r="L1861" s="86"/>
      <c r="N1861" s="86"/>
      <c r="CQ1861" s="86"/>
      <c r="CR1861" s="86"/>
      <c r="CS1861" s="86"/>
      <c r="CT1861" s="86"/>
      <c r="CU1861" s="86"/>
      <c r="CV1861" s="86"/>
      <c r="CW1861" s="86"/>
    </row>
    <row r="1862" customFormat="false" ht="12.75" hidden="false" customHeight="false" outlineLevel="0" collapsed="false">
      <c r="F1862" s="86"/>
      <c r="G1862" s="86"/>
      <c r="H1862" s="86"/>
      <c r="I1862" s="86"/>
      <c r="J1862" s="86"/>
      <c r="K1862" s="86"/>
      <c r="L1862" s="86"/>
      <c r="N1862" s="86"/>
      <c r="CQ1862" s="86"/>
      <c r="CR1862" s="86"/>
      <c r="CS1862" s="86"/>
      <c r="CT1862" s="86"/>
      <c r="CU1862" s="86"/>
      <c r="CV1862" s="86"/>
      <c r="CW1862" s="86"/>
    </row>
    <row r="1863" customFormat="false" ht="12.75" hidden="false" customHeight="false" outlineLevel="0" collapsed="false">
      <c r="F1863" s="86"/>
      <c r="G1863" s="86"/>
      <c r="H1863" s="86"/>
      <c r="I1863" s="86"/>
      <c r="J1863" s="86"/>
      <c r="K1863" s="86"/>
      <c r="L1863" s="86"/>
      <c r="N1863" s="86"/>
      <c r="CQ1863" s="86"/>
      <c r="CR1863" s="86"/>
      <c r="CS1863" s="86"/>
      <c r="CT1863" s="86"/>
      <c r="CU1863" s="86"/>
      <c r="CV1863" s="86"/>
      <c r="CW1863" s="86"/>
    </row>
    <row r="1864" customFormat="false" ht="12.75" hidden="false" customHeight="false" outlineLevel="0" collapsed="false">
      <c r="F1864" s="86"/>
      <c r="G1864" s="86"/>
      <c r="H1864" s="86"/>
      <c r="I1864" s="86"/>
      <c r="J1864" s="86"/>
      <c r="K1864" s="86"/>
      <c r="L1864" s="86"/>
      <c r="N1864" s="86"/>
      <c r="CQ1864" s="86"/>
      <c r="CR1864" s="86"/>
      <c r="CS1864" s="86"/>
      <c r="CT1864" s="86"/>
      <c r="CU1864" s="86"/>
      <c r="CV1864" s="86"/>
      <c r="CW1864" s="86"/>
    </row>
    <row r="1865" customFormat="false" ht="12.75" hidden="false" customHeight="false" outlineLevel="0" collapsed="false">
      <c r="F1865" s="86"/>
      <c r="G1865" s="86"/>
      <c r="H1865" s="86"/>
      <c r="I1865" s="86"/>
      <c r="J1865" s="86"/>
      <c r="K1865" s="86"/>
      <c r="L1865" s="86"/>
      <c r="N1865" s="86"/>
      <c r="CQ1865" s="86"/>
      <c r="CR1865" s="86"/>
      <c r="CS1865" s="86"/>
      <c r="CT1865" s="86"/>
      <c r="CU1865" s="86"/>
      <c r="CV1865" s="86"/>
      <c r="CW1865" s="86"/>
    </row>
    <row r="1866" customFormat="false" ht="12.75" hidden="false" customHeight="false" outlineLevel="0" collapsed="false">
      <c r="F1866" s="86"/>
      <c r="G1866" s="86"/>
      <c r="H1866" s="86"/>
      <c r="I1866" s="86"/>
      <c r="J1866" s="86"/>
      <c r="K1866" s="86"/>
      <c r="L1866" s="86"/>
      <c r="N1866" s="86"/>
      <c r="CQ1866" s="86"/>
      <c r="CR1866" s="86"/>
      <c r="CS1866" s="86"/>
      <c r="CT1866" s="86"/>
      <c r="CU1866" s="86"/>
      <c r="CV1866" s="86"/>
      <c r="CW1866" s="86"/>
    </row>
    <row r="1867" customFormat="false" ht="12.75" hidden="false" customHeight="false" outlineLevel="0" collapsed="false">
      <c r="F1867" s="86"/>
      <c r="G1867" s="86"/>
      <c r="H1867" s="86"/>
      <c r="I1867" s="86"/>
      <c r="J1867" s="86"/>
      <c r="K1867" s="86"/>
      <c r="L1867" s="86"/>
      <c r="N1867" s="86"/>
      <c r="CQ1867" s="86"/>
      <c r="CR1867" s="86"/>
      <c r="CS1867" s="86"/>
      <c r="CT1867" s="86"/>
      <c r="CU1867" s="86"/>
      <c r="CV1867" s="86"/>
      <c r="CW1867" s="86"/>
    </row>
    <row r="1868" customFormat="false" ht="12.75" hidden="false" customHeight="false" outlineLevel="0" collapsed="false">
      <c r="F1868" s="86"/>
      <c r="G1868" s="86"/>
      <c r="H1868" s="86"/>
      <c r="I1868" s="86"/>
      <c r="J1868" s="86"/>
      <c r="K1868" s="86"/>
      <c r="L1868" s="86"/>
      <c r="N1868" s="86"/>
      <c r="CQ1868" s="86"/>
      <c r="CR1868" s="86"/>
      <c r="CS1868" s="86"/>
      <c r="CT1868" s="86"/>
      <c r="CU1868" s="86"/>
      <c r="CV1868" s="86"/>
      <c r="CW1868" s="86"/>
    </row>
    <row r="1869" customFormat="false" ht="12.75" hidden="false" customHeight="false" outlineLevel="0" collapsed="false">
      <c r="F1869" s="86"/>
      <c r="G1869" s="86"/>
      <c r="H1869" s="86"/>
      <c r="I1869" s="86"/>
      <c r="J1869" s="86"/>
      <c r="K1869" s="86"/>
      <c r="L1869" s="86"/>
      <c r="N1869" s="86"/>
      <c r="CQ1869" s="86"/>
      <c r="CR1869" s="86"/>
      <c r="CS1869" s="86"/>
      <c r="CT1869" s="86"/>
      <c r="CU1869" s="86"/>
      <c r="CV1869" s="86"/>
      <c r="CW1869" s="86"/>
    </row>
    <row r="1870" customFormat="false" ht="12.75" hidden="false" customHeight="false" outlineLevel="0" collapsed="false">
      <c r="F1870" s="86"/>
      <c r="G1870" s="86"/>
      <c r="H1870" s="86"/>
      <c r="I1870" s="86"/>
      <c r="J1870" s="86"/>
      <c r="K1870" s="86"/>
      <c r="L1870" s="86"/>
      <c r="N1870" s="86"/>
      <c r="CQ1870" s="86"/>
      <c r="CR1870" s="86"/>
      <c r="CS1870" s="86"/>
      <c r="CT1870" s="86"/>
      <c r="CU1870" s="86"/>
      <c r="CV1870" s="86"/>
      <c r="CW1870" s="86"/>
    </row>
    <row r="1871" customFormat="false" ht="12.75" hidden="false" customHeight="false" outlineLevel="0" collapsed="false">
      <c r="F1871" s="86"/>
      <c r="G1871" s="86"/>
      <c r="H1871" s="86"/>
      <c r="I1871" s="86"/>
      <c r="J1871" s="86"/>
      <c r="K1871" s="86"/>
      <c r="L1871" s="86"/>
      <c r="N1871" s="86"/>
      <c r="CQ1871" s="86"/>
      <c r="CR1871" s="86"/>
      <c r="CS1871" s="86"/>
      <c r="CT1871" s="86"/>
      <c r="CU1871" s="86"/>
      <c r="CV1871" s="86"/>
      <c r="CW1871" s="86"/>
    </row>
    <row r="1872" customFormat="false" ht="12.75" hidden="false" customHeight="false" outlineLevel="0" collapsed="false">
      <c r="F1872" s="86"/>
      <c r="G1872" s="86"/>
      <c r="H1872" s="86"/>
      <c r="I1872" s="86"/>
      <c r="J1872" s="86"/>
      <c r="K1872" s="86"/>
      <c r="L1872" s="86"/>
      <c r="N1872" s="86"/>
      <c r="CQ1872" s="86"/>
      <c r="CR1872" s="86"/>
      <c r="CS1872" s="86"/>
      <c r="CT1872" s="86"/>
      <c r="CU1872" s="86"/>
      <c r="CV1872" s="86"/>
      <c r="CW1872" s="86"/>
    </row>
    <row r="1873" customFormat="false" ht="12.75" hidden="false" customHeight="false" outlineLevel="0" collapsed="false">
      <c r="F1873" s="86"/>
      <c r="G1873" s="86"/>
      <c r="H1873" s="86"/>
      <c r="I1873" s="86"/>
      <c r="J1873" s="86"/>
      <c r="K1873" s="86"/>
      <c r="L1873" s="86"/>
      <c r="N1873" s="86"/>
      <c r="CQ1873" s="86"/>
      <c r="CR1873" s="86"/>
      <c r="CS1873" s="86"/>
      <c r="CT1873" s="86"/>
      <c r="CU1873" s="86"/>
      <c r="CV1873" s="86"/>
      <c r="CW1873" s="86"/>
    </row>
    <row r="1874" customFormat="false" ht="12.75" hidden="false" customHeight="false" outlineLevel="0" collapsed="false">
      <c r="F1874" s="86"/>
      <c r="G1874" s="86"/>
      <c r="H1874" s="86"/>
      <c r="I1874" s="86"/>
      <c r="J1874" s="86"/>
      <c r="K1874" s="86"/>
      <c r="L1874" s="86"/>
      <c r="N1874" s="86"/>
      <c r="CQ1874" s="86"/>
      <c r="CR1874" s="86"/>
      <c r="CS1874" s="86"/>
      <c r="CT1874" s="86"/>
      <c r="CU1874" s="86"/>
      <c r="CV1874" s="86"/>
      <c r="CW1874" s="86"/>
    </row>
    <row r="1875" customFormat="false" ht="12.75" hidden="false" customHeight="false" outlineLevel="0" collapsed="false">
      <c r="F1875" s="86"/>
      <c r="G1875" s="86"/>
      <c r="H1875" s="86"/>
      <c r="I1875" s="86"/>
      <c r="J1875" s="86"/>
      <c r="K1875" s="86"/>
      <c r="L1875" s="86"/>
      <c r="N1875" s="86"/>
      <c r="CQ1875" s="86"/>
      <c r="CR1875" s="86"/>
      <c r="CS1875" s="86"/>
      <c r="CT1875" s="86"/>
      <c r="CU1875" s="86"/>
      <c r="CV1875" s="86"/>
      <c r="CW1875" s="86"/>
    </row>
    <row r="1876" customFormat="false" ht="12.75" hidden="false" customHeight="false" outlineLevel="0" collapsed="false">
      <c r="F1876" s="86"/>
      <c r="G1876" s="86"/>
      <c r="H1876" s="86"/>
      <c r="I1876" s="86"/>
      <c r="J1876" s="86"/>
      <c r="K1876" s="86"/>
      <c r="L1876" s="86"/>
      <c r="N1876" s="86"/>
      <c r="CQ1876" s="86"/>
      <c r="CR1876" s="86"/>
      <c r="CS1876" s="86"/>
      <c r="CT1876" s="86"/>
      <c r="CU1876" s="86"/>
      <c r="CV1876" s="86"/>
      <c r="CW1876" s="86"/>
    </row>
    <row r="1877" customFormat="false" ht="12.75" hidden="false" customHeight="false" outlineLevel="0" collapsed="false">
      <c r="F1877" s="86"/>
      <c r="G1877" s="86"/>
      <c r="H1877" s="86"/>
      <c r="I1877" s="86"/>
      <c r="J1877" s="86"/>
      <c r="K1877" s="86"/>
      <c r="L1877" s="86"/>
      <c r="N1877" s="86"/>
      <c r="CQ1877" s="86"/>
      <c r="CR1877" s="86"/>
      <c r="CS1877" s="86"/>
      <c r="CT1877" s="86"/>
      <c r="CU1877" s="86"/>
      <c r="CV1877" s="86"/>
      <c r="CW1877" s="86"/>
    </row>
    <row r="1878" customFormat="false" ht="12.75" hidden="false" customHeight="false" outlineLevel="0" collapsed="false">
      <c r="F1878" s="86"/>
      <c r="G1878" s="86"/>
      <c r="H1878" s="86"/>
      <c r="I1878" s="86"/>
      <c r="J1878" s="86"/>
      <c r="K1878" s="86"/>
      <c r="L1878" s="86"/>
      <c r="N1878" s="86"/>
      <c r="CQ1878" s="86"/>
      <c r="CR1878" s="86"/>
      <c r="CS1878" s="86"/>
      <c r="CT1878" s="86"/>
      <c r="CU1878" s="86"/>
      <c r="CV1878" s="86"/>
      <c r="CW1878" s="86"/>
    </row>
    <row r="1879" customFormat="false" ht="12.75" hidden="false" customHeight="false" outlineLevel="0" collapsed="false">
      <c r="F1879" s="86"/>
      <c r="G1879" s="86"/>
      <c r="H1879" s="86"/>
      <c r="I1879" s="86"/>
      <c r="J1879" s="86"/>
      <c r="K1879" s="86"/>
      <c r="L1879" s="86"/>
      <c r="N1879" s="86"/>
      <c r="CQ1879" s="86"/>
      <c r="CR1879" s="86"/>
      <c r="CS1879" s="86"/>
      <c r="CT1879" s="86"/>
      <c r="CU1879" s="86"/>
      <c r="CV1879" s="86"/>
      <c r="CW1879" s="86"/>
    </row>
    <row r="1880" customFormat="false" ht="12.75" hidden="false" customHeight="false" outlineLevel="0" collapsed="false">
      <c r="F1880" s="86"/>
      <c r="G1880" s="86"/>
      <c r="H1880" s="86"/>
      <c r="I1880" s="86"/>
      <c r="J1880" s="86"/>
      <c r="K1880" s="86"/>
      <c r="L1880" s="86"/>
      <c r="N1880" s="86"/>
      <c r="CQ1880" s="86"/>
      <c r="CR1880" s="86"/>
      <c r="CS1880" s="86"/>
      <c r="CT1880" s="86"/>
      <c r="CU1880" s="86"/>
      <c r="CV1880" s="86"/>
      <c r="CW1880" s="86"/>
    </row>
    <row r="1881" customFormat="false" ht="12.75" hidden="false" customHeight="false" outlineLevel="0" collapsed="false">
      <c r="F1881" s="86"/>
      <c r="G1881" s="86"/>
      <c r="H1881" s="86"/>
      <c r="I1881" s="86"/>
      <c r="J1881" s="86"/>
      <c r="K1881" s="86"/>
      <c r="L1881" s="86"/>
      <c r="N1881" s="86"/>
      <c r="CQ1881" s="86"/>
      <c r="CR1881" s="86"/>
      <c r="CS1881" s="86"/>
      <c r="CT1881" s="86"/>
      <c r="CU1881" s="86"/>
      <c r="CV1881" s="86"/>
      <c r="CW1881" s="86"/>
    </row>
    <row r="1882" customFormat="false" ht="12.75" hidden="false" customHeight="false" outlineLevel="0" collapsed="false">
      <c r="F1882" s="86"/>
      <c r="G1882" s="86"/>
      <c r="H1882" s="86"/>
      <c r="I1882" s="86"/>
      <c r="J1882" s="86"/>
      <c r="K1882" s="86"/>
      <c r="L1882" s="86"/>
      <c r="N1882" s="86"/>
      <c r="CQ1882" s="86"/>
      <c r="CR1882" s="86"/>
      <c r="CS1882" s="86"/>
      <c r="CT1882" s="86"/>
      <c r="CU1882" s="86"/>
      <c r="CV1882" s="86"/>
      <c r="CW1882" s="86"/>
    </row>
    <row r="1883" customFormat="false" ht="12.75" hidden="false" customHeight="false" outlineLevel="0" collapsed="false">
      <c r="F1883" s="86"/>
      <c r="G1883" s="86"/>
      <c r="H1883" s="86"/>
      <c r="I1883" s="86"/>
      <c r="J1883" s="86"/>
      <c r="K1883" s="86"/>
      <c r="L1883" s="86"/>
      <c r="N1883" s="86"/>
      <c r="CQ1883" s="86"/>
      <c r="CR1883" s="86"/>
      <c r="CS1883" s="86"/>
      <c r="CT1883" s="86"/>
      <c r="CU1883" s="86"/>
      <c r="CV1883" s="86"/>
      <c r="CW1883" s="86"/>
    </row>
    <row r="1884" customFormat="false" ht="12.75" hidden="false" customHeight="false" outlineLevel="0" collapsed="false">
      <c r="F1884" s="86"/>
      <c r="G1884" s="86"/>
      <c r="H1884" s="86"/>
      <c r="I1884" s="86"/>
      <c r="J1884" s="86"/>
      <c r="K1884" s="86"/>
      <c r="L1884" s="86"/>
      <c r="N1884" s="86"/>
      <c r="CQ1884" s="86"/>
      <c r="CR1884" s="86"/>
      <c r="CS1884" s="86"/>
      <c r="CT1884" s="86"/>
      <c r="CU1884" s="86"/>
      <c r="CV1884" s="86"/>
      <c r="CW1884" s="86"/>
    </row>
    <row r="1885" customFormat="false" ht="12.75" hidden="false" customHeight="false" outlineLevel="0" collapsed="false">
      <c r="F1885" s="86"/>
      <c r="G1885" s="86"/>
      <c r="H1885" s="86"/>
      <c r="I1885" s="86"/>
      <c r="J1885" s="86"/>
      <c r="K1885" s="86"/>
      <c r="L1885" s="86"/>
      <c r="N1885" s="86"/>
      <c r="CQ1885" s="86"/>
      <c r="CR1885" s="86"/>
      <c r="CS1885" s="86"/>
      <c r="CT1885" s="86"/>
      <c r="CU1885" s="86"/>
      <c r="CV1885" s="86"/>
      <c r="CW1885" s="86"/>
    </row>
    <row r="1886" customFormat="false" ht="12.75" hidden="false" customHeight="false" outlineLevel="0" collapsed="false">
      <c r="F1886" s="86"/>
      <c r="G1886" s="86"/>
      <c r="H1886" s="86"/>
      <c r="I1886" s="86"/>
      <c r="J1886" s="86"/>
      <c r="K1886" s="86"/>
      <c r="L1886" s="86"/>
      <c r="N1886" s="86"/>
      <c r="CQ1886" s="86"/>
      <c r="CR1886" s="86"/>
      <c r="CS1886" s="86"/>
      <c r="CT1886" s="86"/>
      <c r="CU1886" s="86"/>
      <c r="CV1886" s="86"/>
      <c r="CW1886" s="86"/>
    </row>
    <row r="1887" customFormat="false" ht="12.75" hidden="false" customHeight="false" outlineLevel="0" collapsed="false">
      <c r="F1887" s="86"/>
      <c r="G1887" s="86"/>
      <c r="H1887" s="86"/>
      <c r="I1887" s="86"/>
      <c r="J1887" s="86"/>
      <c r="K1887" s="86"/>
      <c r="L1887" s="86"/>
      <c r="N1887" s="86"/>
      <c r="CQ1887" s="86"/>
      <c r="CR1887" s="86"/>
      <c r="CS1887" s="86"/>
      <c r="CT1887" s="86"/>
      <c r="CU1887" s="86"/>
      <c r="CV1887" s="86"/>
      <c r="CW1887" s="86"/>
    </row>
    <row r="1888" customFormat="false" ht="12.75" hidden="false" customHeight="false" outlineLevel="0" collapsed="false">
      <c r="F1888" s="86"/>
      <c r="G1888" s="86"/>
      <c r="H1888" s="86"/>
      <c r="I1888" s="86"/>
      <c r="J1888" s="86"/>
      <c r="K1888" s="86"/>
      <c r="L1888" s="86"/>
      <c r="N1888" s="86"/>
      <c r="CQ1888" s="86"/>
      <c r="CR1888" s="86"/>
      <c r="CS1888" s="86"/>
      <c r="CT1888" s="86"/>
      <c r="CU1888" s="86"/>
      <c r="CV1888" s="86"/>
      <c r="CW1888" s="86"/>
    </row>
    <row r="1889" customFormat="false" ht="12.75" hidden="false" customHeight="false" outlineLevel="0" collapsed="false">
      <c r="F1889" s="86"/>
      <c r="G1889" s="86"/>
      <c r="H1889" s="86"/>
      <c r="I1889" s="86"/>
      <c r="J1889" s="86"/>
      <c r="K1889" s="86"/>
      <c r="L1889" s="86"/>
      <c r="N1889" s="86"/>
      <c r="CQ1889" s="86"/>
      <c r="CR1889" s="86"/>
      <c r="CS1889" s="86"/>
      <c r="CT1889" s="86"/>
      <c r="CU1889" s="86"/>
      <c r="CV1889" s="86"/>
      <c r="CW1889" s="86"/>
    </row>
    <row r="1890" customFormat="false" ht="12.75" hidden="false" customHeight="false" outlineLevel="0" collapsed="false">
      <c r="F1890" s="86"/>
      <c r="G1890" s="86"/>
      <c r="H1890" s="86"/>
      <c r="I1890" s="86"/>
      <c r="J1890" s="86"/>
      <c r="K1890" s="86"/>
      <c r="L1890" s="86"/>
      <c r="N1890" s="86"/>
      <c r="CQ1890" s="86"/>
      <c r="CR1890" s="86"/>
      <c r="CS1890" s="86"/>
      <c r="CT1890" s="86"/>
      <c r="CU1890" s="86"/>
      <c r="CV1890" s="86"/>
      <c r="CW1890" s="86"/>
    </row>
    <row r="1891" customFormat="false" ht="12.75" hidden="false" customHeight="false" outlineLevel="0" collapsed="false">
      <c r="F1891" s="86"/>
      <c r="G1891" s="86"/>
      <c r="H1891" s="86"/>
      <c r="I1891" s="86"/>
      <c r="J1891" s="86"/>
      <c r="K1891" s="86"/>
      <c r="L1891" s="86"/>
      <c r="N1891" s="86"/>
      <c r="CQ1891" s="86"/>
      <c r="CR1891" s="86"/>
      <c r="CS1891" s="86"/>
      <c r="CT1891" s="86"/>
      <c r="CU1891" s="86"/>
      <c r="CV1891" s="86"/>
      <c r="CW1891" s="86"/>
    </row>
    <row r="1892" customFormat="false" ht="12.75" hidden="false" customHeight="false" outlineLevel="0" collapsed="false">
      <c r="F1892" s="86"/>
      <c r="G1892" s="86"/>
      <c r="H1892" s="86"/>
      <c r="I1892" s="86"/>
      <c r="J1892" s="86"/>
      <c r="K1892" s="86"/>
      <c r="L1892" s="86"/>
      <c r="N1892" s="86"/>
      <c r="CQ1892" s="86"/>
      <c r="CR1892" s="86"/>
      <c r="CS1892" s="86"/>
      <c r="CT1892" s="86"/>
      <c r="CU1892" s="86"/>
      <c r="CV1892" s="86"/>
      <c r="CW1892" s="86"/>
    </row>
    <row r="1893" customFormat="false" ht="12.75" hidden="false" customHeight="false" outlineLevel="0" collapsed="false">
      <c r="F1893" s="86"/>
      <c r="G1893" s="86"/>
      <c r="H1893" s="86"/>
      <c r="I1893" s="86"/>
      <c r="J1893" s="86"/>
      <c r="K1893" s="86"/>
      <c r="L1893" s="86"/>
      <c r="N1893" s="86"/>
      <c r="CQ1893" s="86"/>
      <c r="CR1893" s="86"/>
      <c r="CS1893" s="86"/>
      <c r="CT1893" s="86"/>
      <c r="CU1893" s="86"/>
      <c r="CV1893" s="86"/>
      <c r="CW1893" s="86"/>
    </row>
    <row r="1894" customFormat="false" ht="12.75" hidden="false" customHeight="false" outlineLevel="0" collapsed="false">
      <c r="F1894" s="86"/>
      <c r="G1894" s="86"/>
      <c r="H1894" s="86"/>
      <c r="I1894" s="86"/>
      <c r="J1894" s="86"/>
      <c r="K1894" s="86"/>
      <c r="L1894" s="86"/>
      <c r="N1894" s="86"/>
      <c r="CQ1894" s="86"/>
      <c r="CR1894" s="86"/>
      <c r="CS1894" s="86"/>
      <c r="CT1894" s="86"/>
      <c r="CU1894" s="86"/>
      <c r="CV1894" s="86"/>
      <c r="CW1894" s="86"/>
    </row>
    <row r="1895" customFormat="false" ht="12.75" hidden="false" customHeight="false" outlineLevel="0" collapsed="false">
      <c r="F1895" s="86"/>
      <c r="G1895" s="86"/>
      <c r="H1895" s="86"/>
      <c r="I1895" s="86"/>
      <c r="J1895" s="86"/>
      <c r="K1895" s="86"/>
      <c r="L1895" s="86"/>
      <c r="N1895" s="86"/>
      <c r="CQ1895" s="86"/>
      <c r="CR1895" s="86"/>
      <c r="CS1895" s="86"/>
      <c r="CT1895" s="86"/>
      <c r="CU1895" s="86"/>
      <c r="CV1895" s="86"/>
      <c r="CW1895" s="86"/>
    </row>
    <row r="1896" customFormat="false" ht="12.75" hidden="false" customHeight="false" outlineLevel="0" collapsed="false">
      <c r="F1896" s="86"/>
      <c r="G1896" s="86"/>
      <c r="H1896" s="86"/>
      <c r="I1896" s="86"/>
      <c r="J1896" s="86"/>
      <c r="K1896" s="86"/>
      <c r="L1896" s="86"/>
      <c r="N1896" s="86"/>
      <c r="CQ1896" s="86"/>
      <c r="CR1896" s="86"/>
      <c r="CS1896" s="86"/>
      <c r="CT1896" s="86"/>
      <c r="CU1896" s="86"/>
      <c r="CV1896" s="86"/>
      <c r="CW1896" s="86"/>
    </row>
    <row r="1897" customFormat="false" ht="12.75" hidden="false" customHeight="false" outlineLevel="0" collapsed="false">
      <c r="F1897" s="86"/>
      <c r="G1897" s="86"/>
      <c r="H1897" s="86"/>
      <c r="I1897" s="86"/>
      <c r="J1897" s="86"/>
      <c r="K1897" s="86"/>
      <c r="L1897" s="86"/>
      <c r="N1897" s="86"/>
      <c r="CQ1897" s="86"/>
      <c r="CR1897" s="86"/>
      <c r="CS1897" s="86"/>
      <c r="CT1897" s="86"/>
      <c r="CU1897" s="86"/>
      <c r="CV1897" s="86"/>
      <c r="CW1897" s="86"/>
    </row>
    <row r="1898" customFormat="false" ht="12.75" hidden="false" customHeight="false" outlineLevel="0" collapsed="false">
      <c r="F1898" s="86"/>
      <c r="G1898" s="86"/>
      <c r="H1898" s="86"/>
      <c r="I1898" s="86"/>
      <c r="J1898" s="86"/>
      <c r="K1898" s="86"/>
      <c r="L1898" s="86"/>
      <c r="N1898" s="86"/>
      <c r="CQ1898" s="86"/>
      <c r="CR1898" s="86"/>
      <c r="CS1898" s="86"/>
      <c r="CT1898" s="86"/>
      <c r="CU1898" s="86"/>
      <c r="CV1898" s="86"/>
      <c r="CW1898" s="86"/>
    </row>
    <row r="1899" customFormat="false" ht="12.75" hidden="false" customHeight="false" outlineLevel="0" collapsed="false">
      <c r="F1899" s="86"/>
      <c r="G1899" s="86"/>
      <c r="H1899" s="86"/>
      <c r="I1899" s="86"/>
      <c r="J1899" s="86"/>
      <c r="K1899" s="86"/>
      <c r="L1899" s="86"/>
      <c r="N1899" s="86"/>
      <c r="CQ1899" s="86"/>
      <c r="CR1899" s="86"/>
      <c r="CS1899" s="86"/>
      <c r="CT1899" s="86"/>
      <c r="CU1899" s="86"/>
      <c r="CV1899" s="86"/>
      <c r="CW1899" s="86"/>
    </row>
    <row r="1900" customFormat="false" ht="12.75" hidden="false" customHeight="false" outlineLevel="0" collapsed="false">
      <c r="F1900" s="86"/>
      <c r="G1900" s="86"/>
      <c r="H1900" s="86"/>
      <c r="I1900" s="86"/>
      <c r="J1900" s="86"/>
      <c r="K1900" s="86"/>
      <c r="L1900" s="86"/>
      <c r="N1900" s="86"/>
      <c r="CQ1900" s="86"/>
      <c r="CR1900" s="86"/>
      <c r="CS1900" s="86"/>
      <c r="CT1900" s="86"/>
      <c r="CU1900" s="86"/>
      <c r="CV1900" s="86"/>
      <c r="CW1900" s="86"/>
    </row>
    <row r="1901" customFormat="false" ht="12.75" hidden="false" customHeight="false" outlineLevel="0" collapsed="false">
      <c r="F1901" s="86"/>
      <c r="G1901" s="86"/>
      <c r="H1901" s="86"/>
      <c r="I1901" s="86"/>
      <c r="J1901" s="86"/>
      <c r="K1901" s="86"/>
      <c r="L1901" s="86"/>
      <c r="N1901" s="86"/>
      <c r="CQ1901" s="86"/>
      <c r="CR1901" s="86"/>
      <c r="CS1901" s="86"/>
      <c r="CT1901" s="86"/>
      <c r="CU1901" s="86"/>
      <c r="CV1901" s="86"/>
      <c r="CW1901" s="86"/>
    </row>
    <row r="1902" customFormat="false" ht="12.75" hidden="false" customHeight="false" outlineLevel="0" collapsed="false">
      <c r="F1902" s="86"/>
      <c r="G1902" s="86"/>
      <c r="H1902" s="86"/>
      <c r="I1902" s="86"/>
      <c r="J1902" s="86"/>
      <c r="K1902" s="86"/>
      <c r="L1902" s="86"/>
      <c r="N1902" s="86"/>
      <c r="CQ1902" s="86"/>
      <c r="CR1902" s="86"/>
      <c r="CS1902" s="86"/>
      <c r="CT1902" s="86"/>
      <c r="CU1902" s="86"/>
      <c r="CV1902" s="86"/>
      <c r="CW1902" s="86"/>
    </row>
    <row r="1903" customFormat="false" ht="12.75" hidden="false" customHeight="false" outlineLevel="0" collapsed="false">
      <c r="F1903" s="86"/>
      <c r="G1903" s="86"/>
      <c r="H1903" s="86"/>
      <c r="I1903" s="86"/>
      <c r="J1903" s="86"/>
      <c r="K1903" s="86"/>
      <c r="L1903" s="86"/>
      <c r="N1903" s="86"/>
      <c r="CQ1903" s="86"/>
      <c r="CR1903" s="86"/>
      <c r="CS1903" s="86"/>
      <c r="CT1903" s="86"/>
      <c r="CU1903" s="86"/>
      <c r="CV1903" s="86"/>
      <c r="CW1903" s="86"/>
    </row>
    <row r="1904" customFormat="false" ht="12.75" hidden="false" customHeight="false" outlineLevel="0" collapsed="false">
      <c r="F1904" s="86"/>
      <c r="G1904" s="86"/>
      <c r="H1904" s="86"/>
      <c r="I1904" s="86"/>
      <c r="J1904" s="86"/>
      <c r="K1904" s="86"/>
      <c r="L1904" s="86"/>
      <c r="N1904" s="86"/>
      <c r="CQ1904" s="86"/>
      <c r="CR1904" s="86"/>
      <c r="CS1904" s="86"/>
      <c r="CT1904" s="86"/>
      <c r="CU1904" s="86"/>
      <c r="CV1904" s="86"/>
      <c r="CW1904" s="86"/>
    </row>
    <row r="1905" customFormat="false" ht="12.75" hidden="false" customHeight="false" outlineLevel="0" collapsed="false">
      <c r="F1905" s="86"/>
      <c r="G1905" s="86"/>
      <c r="H1905" s="86"/>
      <c r="I1905" s="86"/>
      <c r="J1905" s="86"/>
      <c r="K1905" s="86"/>
      <c r="L1905" s="86"/>
      <c r="N1905" s="86"/>
      <c r="CQ1905" s="86"/>
      <c r="CR1905" s="86"/>
      <c r="CS1905" s="86"/>
      <c r="CT1905" s="86"/>
      <c r="CU1905" s="86"/>
      <c r="CV1905" s="86"/>
      <c r="CW1905" s="86"/>
    </row>
    <row r="1906" customFormat="false" ht="12.75" hidden="false" customHeight="false" outlineLevel="0" collapsed="false">
      <c r="F1906" s="86"/>
      <c r="G1906" s="86"/>
      <c r="H1906" s="86"/>
      <c r="I1906" s="86"/>
      <c r="J1906" s="86"/>
      <c r="K1906" s="86"/>
      <c r="L1906" s="86"/>
      <c r="N1906" s="86"/>
      <c r="CQ1906" s="86"/>
      <c r="CR1906" s="86"/>
      <c r="CS1906" s="86"/>
      <c r="CT1906" s="86"/>
      <c r="CU1906" s="86"/>
      <c r="CV1906" s="86"/>
      <c r="CW1906" s="86"/>
    </row>
    <row r="1907" customFormat="false" ht="12.75" hidden="false" customHeight="false" outlineLevel="0" collapsed="false">
      <c r="F1907" s="86"/>
      <c r="G1907" s="86"/>
      <c r="H1907" s="86"/>
      <c r="I1907" s="86"/>
      <c r="J1907" s="86"/>
      <c r="K1907" s="86"/>
      <c r="L1907" s="86"/>
      <c r="N1907" s="86"/>
      <c r="CQ1907" s="86"/>
      <c r="CR1907" s="86"/>
      <c r="CS1907" s="86"/>
      <c r="CT1907" s="86"/>
      <c r="CU1907" s="86"/>
      <c r="CV1907" s="86"/>
      <c r="CW1907" s="86"/>
    </row>
    <row r="1908" customFormat="false" ht="12.75" hidden="false" customHeight="false" outlineLevel="0" collapsed="false">
      <c r="F1908" s="86"/>
      <c r="G1908" s="86"/>
      <c r="H1908" s="86"/>
      <c r="I1908" s="86"/>
      <c r="J1908" s="86"/>
      <c r="K1908" s="86"/>
      <c r="L1908" s="86"/>
      <c r="N1908" s="86"/>
      <c r="CQ1908" s="86"/>
      <c r="CR1908" s="86"/>
      <c r="CS1908" s="86"/>
      <c r="CT1908" s="86"/>
      <c r="CU1908" s="86"/>
      <c r="CV1908" s="86"/>
      <c r="CW1908" s="86"/>
    </row>
    <row r="1909" customFormat="false" ht="12.75" hidden="false" customHeight="false" outlineLevel="0" collapsed="false">
      <c r="F1909" s="86"/>
      <c r="G1909" s="86"/>
      <c r="H1909" s="86"/>
      <c r="I1909" s="86"/>
      <c r="J1909" s="86"/>
      <c r="K1909" s="86"/>
      <c r="L1909" s="86"/>
      <c r="N1909" s="86"/>
      <c r="CQ1909" s="86"/>
      <c r="CR1909" s="86"/>
      <c r="CS1909" s="86"/>
      <c r="CT1909" s="86"/>
      <c r="CU1909" s="86"/>
      <c r="CV1909" s="86"/>
      <c r="CW1909" s="86"/>
    </row>
    <row r="1910" customFormat="false" ht="12.75" hidden="false" customHeight="false" outlineLevel="0" collapsed="false">
      <c r="F1910" s="86"/>
      <c r="G1910" s="86"/>
      <c r="H1910" s="86"/>
      <c r="I1910" s="86"/>
      <c r="J1910" s="86"/>
      <c r="K1910" s="86"/>
      <c r="L1910" s="86"/>
      <c r="N1910" s="86"/>
      <c r="CQ1910" s="86"/>
      <c r="CR1910" s="86"/>
      <c r="CS1910" s="86"/>
      <c r="CT1910" s="86"/>
      <c r="CU1910" s="86"/>
      <c r="CV1910" s="86"/>
      <c r="CW1910" s="86"/>
    </row>
    <row r="1911" customFormat="false" ht="12.75" hidden="false" customHeight="false" outlineLevel="0" collapsed="false">
      <c r="F1911" s="86"/>
      <c r="G1911" s="86"/>
      <c r="H1911" s="86"/>
      <c r="I1911" s="86"/>
      <c r="J1911" s="86"/>
      <c r="K1911" s="86"/>
      <c r="L1911" s="86"/>
      <c r="N1911" s="86"/>
      <c r="CQ1911" s="86"/>
      <c r="CR1911" s="86"/>
      <c r="CS1911" s="86"/>
      <c r="CT1911" s="86"/>
      <c r="CU1911" s="86"/>
      <c r="CV1911" s="86"/>
      <c r="CW1911" s="86"/>
    </row>
    <row r="1912" customFormat="false" ht="12.75" hidden="false" customHeight="false" outlineLevel="0" collapsed="false">
      <c r="F1912" s="86"/>
      <c r="G1912" s="86"/>
      <c r="H1912" s="86"/>
      <c r="I1912" s="86"/>
      <c r="J1912" s="86"/>
      <c r="K1912" s="86"/>
      <c r="L1912" s="86"/>
      <c r="N1912" s="86"/>
      <c r="CQ1912" s="86"/>
      <c r="CR1912" s="86"/>
      <c r="CS1912" s="86"/>
      <c r="CT1912" s="86"/>
      <c r="CU1912" s="86"/>
      <c r="CV1912" s="86"/>
      <c r="CW1912" s="86"/>
    </row>
    <row r="1913" customFormat="false" ht="12.75" hidden="false" customHeight="false" outlineLevel="0" collapsed="false">
      <c r="F1913" s="86"/>
      <c r="G1913" s="86"/>
      <c r="H1913" s="86"/>
      <c r="I1913" s="86"/>
      <c r="J1913" s="86"/>
      <c r="K1913" s="86"/>
      <c r="L1913" s="86"/>
      <c r="N1913" s="86"/>
      <c r="CQ1913" s="86"/>
      <c r="CR1913" s="86"/>
      <c r="CS1913" s="86"/>
      <c r="CT1913" s="86"/>
      <c r="CU1913" s="86"/>
      <c r="CV1913" s="86"/>
      <c r="CW1913" s="86"/>
    </row>
    <row r="1914" customFormat="false" ht="12.75" hidden="false" customHeight="false" outlineLevel="0" collapsed="false">
      <c r="F1914" s="86"/>
      <c r="G1914" s="86"/>
      <c r="H1914" s="86"/>
      <c r="I1914" s="86"/>
      <c r="J1914" s="86"/>
      <c r="K1914" s="86"/>
      <c r="L1914" s="86"/>
      <c r="N1914" s="86"/>
      <c r="CQ1914" s="86"/>
      <c r="CR1914" s="86"/>
      <c r="CS1914" s="86"/>
      <c r="CT1914" s="86"/>
      <c r="CU1914" s="86"/>
      <c r="CV1914" s="86"/>
      <c r="CW1914" s="86"/>
    </row>
    <row r="1915" customFormat="false" ht="12.75" hidden="false" customHeight="false" outlineLevel="0" collapsed="false">
      <c r="F1915" s="86"/>
      <c r="G1915" s="86"/>
      <c r="H1915" s="86"/>
      <c r="I1915" s="86"/>
      <c r="J1915" s="86"/>
      <c r="K1915" s="86"/>
      <c r="L1915" s="86"/>
      <c r="N1915" s="86"/>
      <c r="CQ1915" s="86"/>
      <c r="CR1915" s="86"/>
      <c r="CS1915" s="86"/>
      <c r="CT1915" s="86"/>
      <c r="CU1915" s="86"/>
      <c r="CV1915" s="86"/>
      <c r="CW1915" s="86"/>
    </row>
    <row r="1916" customFormat="false" ht="12.75" hidden="false" customHeight="false" outlineLevel="0" collapsed="false">
      <c r="F1916" s="86"/>
      <c r="G1916" s="86"/>
      <c r="H1916" s="86"/>
      <c r="I1916" s="86"/>
      <c r="J1916" s="86"/>
      <c r="K1916" s="86"/>
      <c r="L1916" s="86"/>
      <c r="N1916" s="86"/>
      <c r="CQ1916" s="86"/>
      <c r="CR1916" s="86"/>
      <c r="CS1916" s="86"/>
      <c r="CT1916" s="86"/>
      <c r="CU1916" s="86"/>
      <c r="CV1916" s="86"/>
      <c r="CW1916" s="86"/>
    </row>
    <row r="1917" customFormat="false" ht="12.75" hidden="false" customHeight="false" outlineLevel="0" collapsed="false">
      <c r="F1917" s="86"/>
      <c r="G1917" s="86"/>
      <c r="H1917" s="86"/>
      <c r="I1917" s="86"/>
      <c r="J1917" s="86"/>
      <c r="K1917" s="86"/>
      <c r="L1917" s="86"/>
      <c r="N1917" s="86"/>
      <c r="CQ1917" s="86"/>
      <c r="CR1917" s="86"/>
      <c r="CS1917" s="86"/>
      <c r="CT1917" s="86"/>
      <c r="CU1917" s="86"/>
      <c r="CV1917" s="86"/>
      <c r="CW1917" s="86"/>
    </row>
    <row r="1918" customFormat="false" ht="12.75" hidden="false" customHeight="false" outlineLevel="0" collapsed="false">
      <c r="F1918" s="86"/>
      <c r="G1918" s="86"/>
      <c r="H1918" s="86"/>
      <c r="I1918" s="86"/>
      <c r="J1918" s="86"/>
      <c r="K1918" s="86"/>
      <c r="L1918" s="86"/>
      <c r="N1918" s="86"/>
      <c r="CQ1918" s="86"/>
      <c r="CR1918" s="86"/>
      <c r="CS1918" s="86"/>
      <c r="CT1918" s="86"/>
      <c r="CU1918" s="86"/>
      <c r="CV1918" s="86"/>
      <c r="CW1918" s="86"/>
    </row>
    <row r="1919" customFormat="false" ht="12.75" hidden="false" customHeight="false" outlineLevel="0" collapsed="false">
      <c r="F1919" s="86"/>
      <c r="G1919" s="86"/>
      <c r="H1919" s="86"/>
      <c r="I1919" s="86"/>
      <c r="J1919" s="86"/>
      <c r="K1919" s="86"/>
      <c r="L1919" s="86"/>
      <c r="N1919" s="86"/>
      <c r="CQ1919" s="86"/>
      <c r="CR1919" s="86"/>
      <c r="CS1919" s="86"/>
      <c r="CT1919" s="86"/>
      <c r="CU1919" s="86"/>
      <c r="CV1919" s="86"/>
      <c r="CW1919" s="86"/>
    </row>
    <row r="1920" customFormat="false" ht="12.75" hidden="false" customHeight="false" outlineLevel="0" collapsed="false">
      <c r="F1920" s="86"/>
      <c r="G1920" s="86"/>
      <c r="H1920" s="86"/>
      <c r="I1920" s="86"/>
      <c r="J1920" s="86"/>
      <c r="K1920" s="86"/>
      <c r="L1920" s="86"/>
      <c r="N1920" s="86"/>
      <c r="CQ1920" s="86"/>
      <c r="CR1920" s="86"/>
      <c r="CS1920" s="86"/>
      <c r="CT1920" s="86"/>
      <c r="CU1920" s="86"/>
      <c r="CV1920" s="86"/>
      <c r="CW1920" s="86"/>
    </row>
    <row r="1921" customFormat="false" ht="12.75" hidden="false" customHeight="false" outlineLevel="0" collapsed="false">
      <c r="F1921" s="86"/>
      <c r="G1921" s="86"/>
      <c r="H1921" s="86"/>
      <c r="I1921" s="86"/>
      <c r="J1921" s="86"/>
      <c r="K1921" s="86"/>
      <c r="L1921" s="86"/>
      <c r="N1921" s="86"/>
      <c r="CQ1921" s="86"/>
      <c r="CR1921" s="86"/>
      <c r="CS1921" s="86"/>
      <c r="CT1921" s="86"/>
      <c r="CU1921" s="86"/>
      <c r="CV1921" s="86"/>
      <c r="CW1921" s="86"/>
    </row>
    <row r="1922" customFormat="false" ht="12.75" hidden="false" customHeight="false" outlineLevel="0" collapsed="false">
      <c r="F1922" s="86"/>
      <c r="G1922" s="86"/>
      <c r="H1922" s="86"/>
      <c r="I1922" s="86"/>
      <c r="J1922" s="86"/>
      <c r="K1922" s="86"/>
      <c r="L1922" s="86"/>
      <c r="N1922" s="86"/>
      <c r="CQ1922" s="86"/>
      <c r="CR1922" s="86"/>
      <c r="CS1922" s="86"/>
      <c r="CT1922" s="86"/>
      <c r="CU1922" s="86"/>
      <c r="CV1922" s="86"/>
      <c r="CW1922" s="86"/>
    </row>
    <row r="1923" customFormat="false" ht="12.75" hidden="false" customHeight="false" outlineLevel="0" collapsed="false">
      <c r="F1923" s="86"/>
      <c r="G1923" s="86"/>
      <c r="H1923" s="86"/>
      <c r="I1923" s="86"/>
      <c r="J1923" s="86"/>
      <c r="K1923" s="86"/>
      <c r="L1923" s="86"/>
      <c r="N1923" s="86"/>
      <c r="CQ1923" s="86"/>
      <c r="CR1923" s="86"/>
      <c r="CS1923" s="86"/>
      <c r="CT1923" s="86"/>
      <c r="CU1923" s="86"/>
      <c r="CV1923" s="86"/>
      <c r="CW1923" s="86"/>
    </row>
    <row r="1924" customFormat="false" ht="12.75" hidden="false" customHeight="false" outlineLevel="0" collapsed="false">
      <c r="F1924" s="86"/>
      <c r="G1924" s="86"/>
      <c r="H1924" s="86"/>
      <c r="I1924" s="86"/>
      <c r="J1924" s="86"/>
      <c r="K1924" s="86"/>
      <c r="L1924" s="86"/>
      <c r="N1924" s="86"/>
      <c r="CQ1924" s="86"/>
      <c r="CR1924" s="86"/>
      <c r="CS1924" s="86"/>
      <c r="CT1924" s="86"/>
      <c r="CU1924" s="86"/>
      <c r="CV1924" s="86"/>
      <c r="CW1924" s="86"/>
    </row>
    <row r="1925" customFormat="false" ht="12.75" hidden="false" customHeight="false" outlineLevel="0" collapsed="false">
      <c r="F1925" s="86"/>
      <c r="G1925" s="86"/>
      <c r="H1925" s="86"/>
      <c r="I1925" s="86"/>
      <c r="J1925" s="86"/>
      <c r="K1925" s="86"/>
      <c r="L1925" s="86"/>
      <c r="N1925" s="86"/>
      <c r="CQ1925" s="86"/>
      <c r="CR1925" s="86"/>
      <c r="CS1925" s="86"/>
      <c r="CT1925" s="86"/>
      <c r="CU1925" s="86"/>
      <c r="CV1925" s="86"/>
      <c r="CW1925" s="86"/>
    </row>
    <row r="1926" customFormat="false" ht="12.75" hidden="false" customHeight="false" outlineLevel="0" collapsed="false">
      <c r="F1926" s="86"/>
      <c r="G1926" s="86"/>
      <c r="H1926" s="86"/>
      <c r="I1926" s="86"/>
      <c r="J1926" s="86"/>
      <c r="K1926" s="86"/>
      <c r="L1926" s="86"/>
      <c r="N1926" s="86"/>
      <c r="CQ1926" s="86"/>
      <c r="CR1926" s="86"/>
      <c r="CS1926" s="86"/>
      <c r="CT1926" s="86"/>
      <c r="CU1926" s="86"/>
      <c r="CV1926" s="86"/>
      <c r="CW1926" s="86"/>
    </row>
    <row r="1927" customFormat="false" ht="12.75" hidden="false" customHeight="false" outlineLevel="0" collapsed="false">
      <c r="F1927" s="86"/>
      <c r="G1927" s="86"/>
      <c r="H1927" s="86"/>
      <c r="I1927" s="86"/>
      <c r="J1927" s="86"/>
      <c r="K1927" s="86"/>
      <c r="L1927" s="86"/>
      <c r="N1927" s="86"/>
      <c r="CQ1927" s="86"/>
      <c r="CR1927" s="86"/>
      <c r="CS1927" s="86"/>
      <c r="CT1927" s="86"/>
      <c r="CU1927" s="86"/>
      <c r="CV1927" s="86"/>
      <c r="CW1927" s="86"/>
    </row>
    <row r="1928" customFormat="false" ht="12.75" hidden="false" customHeight="false" outlineLevel="0" collapsed="false">
      <c r="F1928" s="86"/>
      <c r="G1928" s="86"/>
      <c r="H1928" s="86"/>
      <c r="I1928" s="86"/>
      <c r="J1928" s="86"/>
      <c r="K1928" s="86"/>
      <c r="L1928" s="86"/>
      <c r="N1928" s="86"/>
      <c r="CQ1928" s="86"/>
      <c r="CR1928" s="86"/>
      <c r="CS1928" s="86"/>
      <c r="CT1928" s="86"/>
      <c r="CU1928" s="86"/>
      <c r="CV1928" s="86"/>
      <c r="CW1928" s="86"/>
    </row>
    <row r="1929" customFormat="false" ht="12.75" hidden="false" customHeight="false" outlineLevel="0" collapsed="false">
      <c r="F1929" s="86"/>
      <c r="G1929" s="86"/>
      <c r="H1929" s="86"/>
      <c r="I1929" s="86"/>
      <c r="J1929" s="86"/>
      <c r="K1929" s="86"/>
      <c r="L1929" s="86"/>
      <c r="N1929" s="86"/>
      <c r="CQ1929" s="86"/>
      <c r="CR1929" s="86"/>
      <c r="CS1929" s="86"/>
      <c r="CT1929" s="86"/>
      <c r="CU1929" s="86"/>
      <c r="CV1929" s="86"/>
      <c r="CW1929" s="86"/>
    </row>
    <row r="1930" customFormat="false" ht="12.75" hidden="false" customHeight="false" outlineLevel="0" collapsed="false">
      <c r="F1930" s="86"/>
      <c r="G1930" s="86"/>
      <c r="H1930" s="86"/>
      <c r="I1930" s="86"/>
      <c r="J1930" s="86"/>
      <c r="K1930" s="86"/>
      <c r="L1930" s="86"/>
      <c r="N1930" s="86"/>
      <c r="CQ1930" s="86"/>
      <c r="CR1930" s="86"/>
      <c r="CS1930" s="86"/>
      <c r="CT1930" s="86"/>
      <c r="CU1930" s="86"/>
      <c r="CV1930" s="86"/>
      <c r="CW1930" s="86"/>
    </row>
    <row r="1931" customFormat="false" ht="12.75" hidden="false" customHeight="false" outlineLevel="0" collapsed="false">
      <c r="F1931" s="86"/>
      <c r="G1931" s="86"/>
      <c r="H1931" s="86"/>
      <c r="I1931" s="86"/>
      <c r="J1931" s="86"/>
      <c r="K1931" s="86"/>
      <c r="L1931" s="86"/>
      <c r="N1931" s="86"/>
      <c r="CQ1931" s="86"/>
      <c r="CR1931" s="86"/>
      <c r="CS1931" s="86"/>
      <c r="CT1931" s="86"/>
      <c r="CU1931" s="86"/>
      <c r="CV1931" s="86"/>
      <c r="CW1931" s="86"/>
    </row>
    <row r="1932" customFormat="false" ht="12.75" hidden="false" customHeight="false" outlineLevel="0" collapsed="false">
      <c r="F1932" s="86"/>
      <c r="G1932" s="86"/>
      <c r="H1932" s="86"/>
      <c r="I1932" s="86"/>
      <c r="J1932" s="86"/>
      <c r="K1932" s="86"/>
      <c r="L1932" s="86"/>
      <c r="N1932" s="86"/>
      <c r="CQ1932" s="86"/>
      <c r="CR1932" s="86"/>
      <c r="CS1932" s="86"/>
      <c r="CT1932" s="86"/>
      <c r="CU1932" s="86"/>
      <c r="CV1932" s="86"/>
      <c r="CW1932" s="86"/>
    </row>
    <row r="1933" customFormat="false" ht="12.75" hidden="false" customHeight="false" outlineLevel="0" collapsed="false">
      <c r="F1933" s="86"/>
      <c r="G1933" s="86"/>
      <c r="H1933" s="86"/>
      <c r="I1933" s="86"/>
      <c r="J1933" s="86"/>
      <c r="K1933" s="86"/>
      <c r="L1933" s="86"/>
      <c r="N1933" s="86"/>
      <c r="CQ1933" s="86"/>
      <c r="CR1933" s="86"/>
      <c r="CS1933" s="86"/>
      <c r="CT1933" s="86"/>
      <c r="CU1933" s="86"/>
      <c r="CV1933" s="86"/>
      <c r="CW1933" s="86"/>
    </row>
    <row r="1934" customFormat="false" ht="12.75" hidden="false" customHeight="false" outlineLevel="0" collapsed="false">
      <c r="F1934" s="86"/>
      <c r="G1934" s="86"/>
      <c r="H1934" s="86"/>
      <c r="I1934" s="86"/>
      <c r="J1934" s="86"/>
      <c r="K1934" s="86"/>
      <c r="L1934" s="86"/>
      <c r="N1934" s="86"/>
      <c r="CQ1934" s="86"/>
      <c r="CR1934" s="86"/>
      <c r="CS1934" s="86"/>
      <c r="CT1934" s="86"/>
      <c r="CU1934" s="86"/>
      <c r="CV1934" s="86"/>
      <c r="CW1934" s="86"/>
    </row>
    <row r="1935" customFormat="false" ht="12.75" hidden="false" customHeight="false" outlineLevel="0" collapsed="false">
      <c r="F1935" s="86"/>
      <c r="G1935" s="86"/>
      <c r="H1935" s="86"/>
      <c r="I1935" s="86"/>
      <c r="J1935" s="86"/>
      <c r="K1935" s="86"/>
      <c r="L1935" s="86"/>
      <c r="N1935" s="86"/>
      <c r="CQ1935" s="86"/>
      <c r="CR1935" s="86"/>
      <c r="CS1935" s="86"/>
      <c r="CT1935" s="86"/>
      <c r="CU1935" s="86"/>
      <c r="CV1935" s="86"/>
      <c r="CW1935" s="86"/>
    </row>
    <row r="1936" customFormat="false" ht="12.75" hidden="false" customHeight="false" outlineLevel="0" collapsed="false">
      <c r="F1936" s="86"/>
      <c r="G1936" s="86"/>
      <c r="H1936" s="86"/>
      <c r="I1936" s="86"/>
      <c r="J1936" s="86"/>
      <c r="K1936" s="86"/>
      <c r="L1936" s="86"/>
      <c r="N1936" s="86"/>
      <c r="CQ1936" s="86"/>
      <c r="CR1936" s="86"/>
      <c r="CS1936" s="86"/>
      <c r="CT1936" s="86"/>
      <c r="CU1936" s="86"/>
      <c r="CV1936" s="86"/>
      <c r="CW1936" s="86"/>
    </row>
    <row r="1937" customFormat="false" ht="12.75" hidden="false" customHeight="false" outlineLevel="0" collapsed="false">
      <c r="F1937" s="86"/>
      <c r="G1937" s="86"/>
      <c r="H1937" s="86"/>
      <c r="I1937" s="86"/>
      <c r="J1937" s="86"/>
      <c r="K1937" s="86"/>
      <c r="L1937" s="86"/>
      <c r="N1937" s="86"/>
      <c r="CQ1937" s="86"/>
      <c r="CR1937" s="86"/>
      <c r="CS1937" s="86"/>
      <c r="CT1937" s="86"/>
      <c r="CU1937" s="86"/>
      <c r="CV1937" s="86"/>
      <c r="CW1937" s="86"/>
    </row>
    <row r="1938" customFormat="false" ht="12.75" hidden="false" customHeight="false" outlineLevel="0" collapsed="false">
      <c r="F1938" s="86"/>
      <c r="G1938" s="86"/>
      <c r="H1938" s="86"/>
      <c r="I1938" s="86"/>
      <c r="J1938" s="86"/>
      <c r="K1938" s="86"/>
      <c r="L1938" s="86"/>
      <c r="N1938" s="86"/>
      <c r="CQ1938" s="86"/>
      <c r="CR1938" s="86"/>
      <c r="CS1938" s="86"/>
      <c r="CT1938" s="86"/>
      <c r="CU1938" s="86"/>
      <c r="CV1938" s="86"/>
      <c r="CW1938" s="86"/>
    </row>
    <row r="1939" customFormat="false" ht="12.75" hidden="false" customHeight="false" outlineLevel="0" collapsed="false">
      <c r="F1939" s="86"/>
      <c r="G1939" s="86"/>
      <c r="H1939" s="86"/>
      <c r="I1939" s="86"/>
      <c r="J1939" s="86"/>
      <c r="K1939" s="86"/>
      <c r="L1939" s="86"/>
      <c r="N1939" s="86"/>
      <c r="CQ1939" s="86"/>
      <c r="CR1939" s="86"/>
      <c r="CS1939" s="86"/>
      <c r="CT1939" s="86"/>
      <c r="CU1939" s="86"/>
      <c r="CV1939" s="86"/>
      <c r="CW1939" s="86"/>
    </row>
    <row r="1940" customFormat="false" ht="12.75" hidden="false" customHeight="false" outlineLevel="0" collapsed="false">
      <c r="F1940" s="86"/>
      <c r="G1940" s="86"/>
      <c r="H1940" s="86"/>
      <c r="I1940" s="86"/>
      <c r="J1940" s="86"/>
      <c r="K1940" s="86"/>
      <c r="L1940" s="86"/>
      <c r="N1940" s="86"/>
      <c r="CQ1940" s="86"/>
      <c r="CR1940" s="86"/>
      <c r="CS1940" s="86"/>
      <c r="CT1940" s="86"/>
      <c r="CU1940" s="86"/>
      <c r="CV1940" s="86"/>
      <c r="CW1940" s="86"/>
    </row>
    <row r="1941" customFormat="false" ht="12.75" hidden="false" customHeight="false" outlineLevel="0" collapsed="false">
      <c r="F1941" s="86"/>
      <c r="G1941" s="86"/>
      <c r="H1941" s="86"/>
      <c r="I1941" s="86"/>
      <c r="J1941" s="86"/>
      <c r="K1941" s="86"/>
      <c r="L1941" s="86"/>
      <c r="N1941" s="86"/>
      <c r="CQ1941" s="86"/>
      <c r="CR1941" s="86"/>
      <c r="CS1941" s="86"/>
      <c r="CT1941" s="86"/>
      <c r="CU1941" s="86"/>
      <c r="CV1941" s="86"/>
      <c r="CW1941" s="86"/>
    </row>
    <row r="1942" customFormat="false" ht="12.75" hidden="false" customHeight="false" outlineLevel="0" collapsed="false">
      <c r="F1942" s="86"/>
      <c r="G1942" s="86"/>
      <c r="H1942" s="86"/>
      <c r="I1942" s="86"/>
      <c r="J1942" s="86"/>
      <c r="K1942" s="86"/>
      <c r="L1942" s="86"/>
      <c r="N1942" s="86"/>
      <c r="CQ1942" s="86"/>
      <c r="CR1942" s="86"/>
      <c r="CS1942" s="86"/>
      <c r="CT1942" s="86"/>
      <c r="CU1942" s="86"/>
      <c r="CV1942" s="86"/>
      <c r="CW1942" s="86"/>
    </row>
    <row r="1943" customFormat="false" ht="12.75" hidden="false" customHeight="false" outlineLevel="0" collapsed="false">
      <c r="F1943" s="86"/>
      <c r="G1943" s="86"/>
      <c r="H1943" s="86"/>
      <c r="I1943" s="86"/>
      <c r="J1943" s="86"/>
      <c r="K1943" s="86"/>
      <c r="L1943" s="86"/>
      <c r="N1943" s="86"/>
      <c r="CQ1943" s="86"/>
      <c r="CR1943" s="86"/>
      <c r="CS1943" s="86"/>
      <c r="CT1943" s="86"/>
      <c r="CU1943" s="86"/>
      <c r="CV1943" s="86"/>
      <c r="CW1943" s="86"/>
    </row>
    <row r="1944" customFormat="false" ht="12.75" hidden="false" customHeight="false" outlineLevel="0" collapsed="false">
      <c r="F1944" s="86"/>
      <c r="G1944" s="86"/>
      <c r="H1944" s="86"/>
      <c r="I1944" s="86"/>
      <c r="J1944" s="86"/>
      <c r="K1944" s="86"/>
      <c r="L1944" s="86"/>
      <c r="N1944" s="86"/>
      <c r="CQ1944" s="86"/>
      <c r="CR1944" s="86"/>
      <c r="CS1944" s="86"/>
      <c r="CT1944" s="86"/>
      <c r="CU1944" s="86"/>
      <c r="CV1944" s="86"/>
      <c r="CW1944" s="86"/>
    </row>
    <row r="1945" customFormat="false" ht="12.75" hidden="false" customHeight="false" outlineLevel="0" collapsed="false">
      <c r="F1945" s="86"/>
      <c r="G1945" s="86"/>
      <c r="H1945" s="86"/>
      <c r="I1945" s="86"/>
      <c r="J1945" s="86"/>
      <c r="K1945" s="86"/>
      <c r="L1945" s="86"/>
      <c r="N1945" s="86"/>
      <c r="CQ1945" s="86"/>
      <c r="CR1945" s="86"/>
      <c r="CS1945" s="86"/>
      <c r="CT1945" s="86"/>
      <c r="CU1945" s="86"/>
      <c r="CV1945" s="86"/>
      <c r="CW1945" s="86"/>
    </row>
    <row r="1946" customFormat="false" ht="12.75" hidden="false" customHeight="false" outlineLevel="0" collapsed="false">
      <c r="F1946" s="86"/>
      <c r="G1946" s="86"/>
      <c r="H1946" s="86"/>
      <c r="I1946" s="86"/>
      <c r="J1946" s="86"/>
      <c r="K1946" s="86"/>
      <c r="L1946" s="86"/>
      <c r="N1946" s="86"/>
      <c r="CQ1946" s="86"/>
      <c r="CR1946" s="86"/>
      <c r="CS1946" s="86"/>
      <c r="CT1946" s="86"/>
      <c r="CU1946" s="86"/>
      <c r="CV1946" s="86"/>
      <c r="CW1946" s="86"/>
    </row>
    <row r="1947" customFormat="false" ht="12.75" hidden="false" customHeight="false" outlineLevel="0" collapsed="false">
      <c r="F1947" s="86"/>
      <c r="G1947" s="86"/>
      <c r="H1947" s="86"/>
      <c r="I1947" s="86"/>
      <c r="J1947" s="86"/>
      <c r="K1947" s="86"/>
      <c r="L1947" s="86"/>
      <c r="N1947" s="86"/>
      <c r="CQ1947" s="86"/>
      <c r="CR1947" s="86"/>
      <c r="CS1947" s="86"/>
      <c r="CT1947" s="86"/>
      <c r="CU1947" s="86"/>
      <c r="CV1947" s="86"/>
      <c r="CW1947" s="86"/>
    </row>
    <row r="1948" customFormat="false" ht="12.75" hidden="false" customHeight="false" outlineLevel="0" collapsed="false">
      <c r="F1948" s="86"/>
      <c r="G1948" s="86"/>
      <c r="H1948" s="86"/>
      <c r="I1948" s="86"/>
      <c r="J1948" s="86"/>
      <c r="K1948" s="86"/>
      <c r="L1948" s="86"/>
      <c r="N1948" s="86"/>
      <c r="CQ1948" s="86"/>
      <c r="CR1948" s="86"/>
      <c r="CS1948" s="86"/>
      <c r="CT1948" s="86"/>
      <c r="CU1948" s="86"/>
      <c r="CV1948" s="86"/>
      <c r="CW1948" s="86"/>
    </row>
    <row r="1949" customFormat="false" ht="12.75" hidden="false" customHeight="false" outlineLevel="0" collapsed="false">
      <c r="F1949" s="86"/>
      <c r="G1949" s="86"/>
      <c r="H1949" s="86"/>
      <c r="I1949" s="86"/>
      <c r="J1949" s="86"/>
      <c r="K1949" s="86"/>
      <c r="L1949" s="86"/>
      <c r="N1949" s="86"/>
      <c r="CQ1949" s="86"/>
      <c r="CR1949" s="86"/>
      <c r="CS1949" s="86"/>
      <c r="CT1949" s="86"/>
      <c r="CU1949" s="86"/>
      <c r="CV1949" s="86"/>
      <c r="CW1949" s="86"/>
    </row>
    <row r="1950" customFormat="false" ht="12.75" hidden="false" customHeight="false" outlineLevel="0" collapsed="false">
      <c r="F1950" s="86"/>
      <c r="G1950" s="86"/>
      <c r="H1950" s="86"/>
      <c r="I1950" s="86"/>
      <c r="J1950" s="86"/>
      <c r="K1950" s="86"/>
      <c r="L1950" s="86"/>
      <c r="N1950" s="86"/>
      <c r="CQ1950" s="86"/>
      <c r="CR1950" s="86"/>
      <c r="CS1950" s="86"/>
      <c r="CT1950" s="86"/>
      <c r="CU1950" s="86"/>
      <c r="CV1950" s="86"/>
      <c r="CW1950" s="86"/>
    </row>
    <row r="1951" customFormat="false" ht="12.75" hidden="false" customHeight="false" outlineLevel="0" collapsed="false">
      <c r="F1951" s="86"/>
      <c r="G1951" s="86"/>
      <c r="H1951" s="86"/>
      <c r="I1951" s="86"/>
      <c r="J1951" s="86"/>
      <c r="K1951" s="86"/>
      <c r="L1951" s="86"/>
      <c r="N1951" s="86"/>
      <c r="CQ1951" s="86"/>
      <c r="CR1951" s="86"/>
      <c r="CS1951" s="86"/>
      <c r="CT1951" s="86"/>
      <c r="CU1951" s="86"/>
      <c r="CV1951" s="86"/>
      <c r="CW1951" s="86"/>
    </row>
    <row r="1952" customFormat="false" ht="12.75" hidden="false" customHeight="false" outlineLevel="0" collapsed="false">
      <c r="F1952" s="86"/>
      <c r="G1952" s="86"/>
      <c r="H1952" s="86"/>
      <c r="I1952" s="86"/>
      <c r="J1952" s="86"/>
      <c r="K1952" s="86"/>
      <c r="L1952" s="86"/>
      <c r="N1952" s="86"/>
      <c r="CQ1952" s="86"/>
      <c r="CR1952" s="86"/>
      <c r="CS1952" s="86"/>
      <c r="CT1952" s="86"/>
      <c r="CU1952" s="86"/>
      <c r="CV1952" s="86"/>
      <c r="CW1952" s="86"/>
    </row>
    <row r="1953" customFormat="false" ht="12.75" hidden="false" customHeight="false" outlineLevel="0" collapsed="false">
      <c r="F1953" s="86"/>
      <c r="G1953" s="86"/>
      <c r="H1953" s="86"/>
      <c r="I1953" s="86"/>
      <c r="J1953" s="86"/>
      <c r="K1953" s="86"/>
      <c r="L1953" s="86"/>
      <c r="N1953" s="86"/>
      <c r="CQ1953" s="86"/>
      <c r="CR1953" s="86"/>
      <c r="CS1953" s="86"/>
      <c r="CT1953" s="86"/>
      <c r="CU1953" s="86"/>
      <c r="CV1953" s="86"/>
      <c r="CW1953" s="86"/>
    </row>
    <row r="1954" customFormat="false" ht="12.75" hidden="false" customHeight="false" outlineLevel="0" collapsed="false">
      <c r="F1954" s="86"/>
      <c r="G1954" s="86"/>
      <c r="H1954" s="86"/>
      <c r="I1954" s="86"/>
      <c r="J1954" s="86"/>
      <c r="K1954" s="86"/>
      <c r="L1954" s="86"/>
      <c r="N1954" s="86"/>
      <c r="CQ1954" s="86"/>
      <c r="CR1954" s="86"/>
      <c r="CS1954" s="86"/>
      <c r="CT1954" s="86"/>
      <c r="CU1954" s="86"/>
      <c r="CV1954" s="86"/>
      <c r="CW1954" s="86"/>
    </row>
    <row r="1955" customFormat="false" ht="12.75" hidden="false" customHeight="false" outlineLevel="0" collapsed="false">
      <c r="F1955" s="86"/>
      <c r="G1955" s="86"/>
      <c r="H1955" s="86"/>
      <c r="I1955" s="86"/>
      <c r="J1955" s="86"/>
      <c r="K1955" s="86"/>
      <c r="L1955" s="86"/>
      <c r="N1955" s="86"/>
      <c r="CQ1955" s="86"/>
      <c r="CR1955" s="86"/>
      <c r="CS1955" s="86"/>
      <c r="CT1955" s="86"/>
      <c r="CU1955" s="86"/>
      <c r="CV1955" s="86"/>
      <c r="CW1955" s="86"/>
    </row>
    <row r="1956" customFormat="false" ht="12.75" hidden="false" customHeight="false" outlineLevel="0" collapsed="false">
      <c r="F1956" s="86"/>
      <c r="G1956" s="86"/>
      <c r="H1956" s="86"/>
      <c r="I1956" s="86"/>
      <c r="J1956" s="86"/>
      <c r="K1956" s="86"/>
      <c r="L1956" s="86"/>
      <c r="N1956" s="86"/>
      <c r="CQ1956" s="86"/>
      <c r="CR1956" s="86"/>
      <c r="CS1956" s="86"/>
      <c r="CT1956" s="86"/>
      <c r="CU1956" s="86"/>
      <c r="CV1956" s="86"/>
      <c r="CW1956" s="86"/>
    </row>
    <row r="1957" customFormat="false" ht="12.75" hidden="false" customHeight="false" outlineLevel="0" collapsed="false">
      <c r="F1957" s="86"/>
      <c r="G1957" s="86"/>
      <c r="H1957" s="86"/>
      <c r="I1957" s="86"/>
      <c r="J1957" s="86"/>
      <c r="K1957" s="86"/>
      <c r="L1957" s="86"/>
      <c r="N1957" s="86"/>
      <c r="CQ1957" s="86"/>
      <c r="CR1957" s="86"/>
      <c r="CS1957" s="86"/>
      <c r="CT1957" s="86"/>
      <c r="CU1957" s="86"/>
      <c r="CV1957" s="86"/>
      <c r="CW1957" s="86"/>
    </row>
    <row r="1958" customFormat="false" ht="12.75" hidden="false" customHeight="false" outlineLevel="0" collapsed="false">
      <c r="F1958" s="86"/>
      <c r="G1958" s="86"/>
      <c r="H1958" s="86"/>
      <c r="I1958" s="86"/>
      <c r="J1958" s="86"/>
      <c r="K1958" s="86"/>
      <c r="L1958" s="86"/>
      <c r="N1958" s="86"/>
      <c r="CQ1958" s="86"/>
      <c r="CR1958" s="86"/>
      <c r="CS1958" s="86"/>
      <c r="CT1958" s="86"/>
      <c r="CU1958" s="86"/>
      <c r="CV1958" s="86"/>
      <c r="CW1958" s="86"/>
    </row>
    <row r="1959" customFormat="false" ht="12.75" hidden="false" customHeight="false" outlineLevel="0" collapsed="false">
      <c r="F1959" s="86"/>
      <c r="G1959" s="86"/>
      <c r="H1959" s="86"/>
      <c r="I1959" s="86"/>
      <c r="J1959" s="86"/>
      <c r="K1959" s="86"/>
      <c r="L1959" s="86"/>
      <c r="N1959" s="86"/>
      <c r="CQ1959" s="86"/>
      <c r="CR1959" s="86"/>
      <c r="CS1959" s="86"/>
      <c r="CT1959" s="86"/>
      <c r="CU1959" s="86"/>
      <c r="CV1959" s="86"/>
      <c r="CW1959" s="86"/>
    </row>
    <row r="1960" customFormat="false" ht="12.75" hidden="false" customHeight="false" outlineLevel="0" collapsed="false">
      <c r="F1960" s="86"/>
      <c r="G1960" s="86"/>
      <c r="H1960" s="86"/>
      <c r="I1960" s="86"/>
      <c r="J1960" s="86"/>
      <c r="K1960" s="86"/>
      <c r="L1960" s="86"/>
      <c r="N1960" s="86"/>
      <c r="CQ1960" s="86"/>
      <c r="CR1960" s="86"/>
      <c r="CS1960" s="86"/>
      <c r="CT1960" s="86"/>
      <c r="CU1960" s="86"/>
      <c r="CV1960" s="86"/>
      <c r="CW1960" s="86"/>
    </row>
    <row r="1961" customFormat="false" ht="12.75" hidden="false" customHeight="false" outlineLevel="0" collapsed="false">
      <c r="F1961" s="86"/>
      <c r="G1961" s="86"/>
      <c r="H1961" s="86"/>
      <c r="I1961" s="86"/>
      <c r="J1961" s="86"/>
      <c r="K1961" s="86"/>
      <c r="L1961" s="86"/>
      <c r="N1961" s="86"/>
      <c r="CQ1961" s="86"/>
      <c r="CR1961" s="86"/>
      <c r="CS1961" s="86"/>
      <c r="CT1961" s="86"/>
      <c r="CU1961" s="86"/>
      <c r="CV1961" s="86"/>
      <c r="CW1961" s="86"/>
    </row>
    <row r="1962" customFormat="false" ht="12.75" hidden="false" customHeight="false" outlineLevel="0" collapsed="false">
      <c r="F1962" s="86"/>
      <c r="G1962" s="86"/>
      <c r="H1962" s="86"/>
      <c r="I1962" s="86"/>
      <c r="J1962" s="86"/>
      <c r="K1962" s="86"/>
      <c r="L1962" s="86"/>
      <c r="N1962" s="86"/>
      <c r="CQ1962" s="86"/>
      <c r="CR1962" s="86"/>
      <c r="CS1962" s="86"/>
      <c r="CT1962" s="86"/>
      <c r="CU1962" s="86"/>
      <c r="CV1962" s="86"/>
      <c r="CW1962" s="86"/>
    </row>
    <row r="1963" customFormat="false" ht="12.75" hidden="false" customHeight="false" outlineLevel="0" collapsed="false">
      <c r="F1963" s="86"/>
      <c r="G1963" s="86"/>
      <c r="H1963" s="86"/>
      <c r="I1963" s="86"/>
      <c r="J1963" s="86"/>
      <c r="K1963" s="86"/>
      <c r="L1963" s="86"/>
      <c r="N1963" s="86"/>
      <c r="CQ1963" s="86"/>
      <c r="CR1963" s="86"/>
      <c r="CS1963" s="86"/>
      <c r="CT1963" s="86"/>
      <c r="CU1963" s="86"/>
      <c r="CV1963" s="86"/>
      <c r="CW1963" s="86"/>
    </row>
    <row r="1964" customFormat="false" ht="12.75" hidden="false" customHeight="false" outlineLevel="0" collapsed="false">
      <c r="F1964" s="86"/>
      <c r="G1964" s="86"/>
      <c r="H1964" s="86"/>
      <c r="I1964" s="86"/>
      <c r="J1964" s="86"/>
      <c r="K1964" s="86"/>
      <c r="L1964" s="86"/>
      <c r="N1964" s="86"/>
      <c r="CQ1964" s="86"/>
      <c r="CR1964" s="86"/>
      <c r="CS1964" s="86"/>
      <c r="CT1964" s="86"/>
      <c r="CU1964" s="86"/>
      <c r="CV1964" s="86"/>
      <c r="CW1964" s="86"/>
    </row>
    <row r="1965" customFormat="false" ht="12.75" hidden="false" customHeight="false" outlineLevel="0" collapsed="false">
      <c r="F1965" s="86"/>
      <c r="G1965" s="86"/>
      <c r="H1965" s="86"/>
      <c r="I1965" s="86"/>
      <c r="J1965" s="86"/>
      <c r="K1965" s="86"/>
      <c r="L1965" s="86"/>
      <c r="N1965" s="86"/>
      <c r="CQ1965" s="86"/>
      <c r="CR1965" s="86"/>
      <c r="CS1965" s="86"/>
      <c r="CT1965" s="86"/>
      <c r="CU1965" s="86"/>
      <c r="CV1965" s="86"/>
      <c r="CW1965" s="86"/>
    </row>
    <row r="1966" customFormat="false" ht="12.75" hidden="false" customHeight="false" outlineLevel="0" collapsed="false">
      <c r="F1966" s="86"/>
      <c r="G1966" s="86"/>
      <c r="H1966" s="86"/>
      <c r="I1966" s="86"/>
      <c r="J1966" s="86"/>
      <c r="K1966" s="86"/>
      <c r="L1966" s="86"/>
      <c r="N1966" s="86"/>
      <c r="CQ1966" s="86"/>
      <c r="CR1966" s="86"/>
      <c r="CS1966" s="86"/>
      <c r="CT1966" s="86"/>
      <c r="CU1966" s="86"/>
      <c r="CV1966" s="86"/>
      <c r="CW1966" s="86"/>
    </row>
    <row r="1967" customFormat="false" ht="12.75" hidden="false" customHeight="false" outlineLevel="0" collapsed="false">
      <c r="F1967" s="86"/>
      <c r="G1967" s="86"/>
      <c r="H1967" s="86"/>
      <c r="I1967" s="86"/>
      <c r="J1967" s="86"/>
      <c r="K1967" s="86"/>
      <c r="L1967" s="86"/>
      <c r="N1967" s="86"/>
      <c r="CQ1967" s="86"/>
      <c r="CR1967" s="86"/>
      <c r="CS1967" s="86"/>
      <c r="CT1967" s="86"/>
      <c r="CU1967" s="86"/>
      <c r="CV1967" s="86"/>
      <c r="CW1967" s="86"/>
    </row>
    <row r="1968" customFormat="false" ht="12.75" hidden="false" customHeight="false" outlineLevel="0" collapsed="false">
      <c r="F1968" s="86"/>
      <c r="G1968" s="86"/>
      <c r="H1968" s="86"/>
      <c r="I1968" s="86"/>
      <c r="J1968" s="86"/>
      <c r="K1968" s="86"/>
      <c r="L1968" s="86"/>
      <c r="N1968" s="86"/>
      <c r="CQ1968" s="86"/>
      <c r="CR1968" s="86"/>
      <c r="CS1968" s="86"/>
      <c r="CT1968" s="86"/>
      <c r="CU1968" s="86"/>
      <c r="CV1968" s="86"/>
      <c r="CW1968" s="86"/>
    </row>
    <row r="1969" customFormat="false" ht="12.75" hidden="false" customHeight="false" outlineLevel="0" collapsed="false">
      <c r="F1969" s="86"/>
      <c r="G1969" s="86"/>
      <c r="H1969" s="86"/>
      <c r="I1969" s="86"/>
      <c r="J1969" s="86"/>
      <c r="K1969" s="86"/>
      <c r="L1969" s="86"/>
      <c r="N1969" s="86"/>
      <c r="CQ1969" s="86"/>
      <c r="CR1969" s="86"/>
      <c r="CS1969" s="86"/>
      <c r="CT1969" s="86"/>
      <c r="CU1969" s="86"/>
      <c r="CV1969" s="86"/>
      <c r="CW1969" s="86"/>
    </row>
    <row r="1970" customFormat="false" ht="12.75" hidden="false" customHeight="false" outlineLevel="0" collapsed="false">
      <c r="F1970" s="86"/>
      <c r="G1970" s="86"/>
      <c r="H1970" s="86"/>
      <c r="I1970" s="86"/>
      <c r="J1970" s="86"/>
      <c r="K1970" s="86"/>
      <c r="L1970" s="86"/>
      <c r="N1970" s="86"/>
      <c r="CQ1970" s="86"/>
      <c r="CR1970" s="86"/>
      <c r="CS1970" s="86"/>
      <c r="CT1970" s="86"/>
      <c r="CU1970" s="86"/>
      <c r="CV1970" s="86"/>
      <c r="CW1970" s="86"/>
    </row>
    <row r="1971" customFormat="false" ht="12.75" hidden="false" customHeight="false" outlineLevel="0" collapsed="false">
      <c r="F1971" s="86"/>
      <c r="G1971" s="86"/>
      <c r="H1971" s="86"/>
      <c r="I1971" s="86"/>
      <c r="J1971" s="86"/>
      <c r="K1971" s="86"/>
      <c r="L1971" s="86"/>
      <c r="N1971" s="86"/>
      <c r="CQ1971" s="86"/>
      <c r="CR1971" s="86"/>
      <c r="CS1971" s="86"/>
      <c r="CT1971" s="86"/>
      <c r="CU1971" s="86"/>
      <c r="CV1971" s="86"/>
      <c r="CW1971" s="86"/>
    </row>
    <row r="1972" customFormat="false" ht="12.75" hidden="false" customHeight="false" outlineLevel="0" collapsed="false">
      <c r="F1972" s="86"/>
      <c r="G1972" s="86"/>
      <c r="H1972" s="86"/>
      <c r="I1972" s="86"/>
      <c r="J1972" s="86"/>
      <c r="K1972" s="86"/>
      <c r="L1972" s="86"/>
      <c r="N1972" s="86"/>
      <c r="CQ1972" s="86"/>
      <c r="CR1972" s="86"/>
      <c r="CS1972" s="86"/>
      <c r="CT1972" s="86"/>
      <c r="CU1972" s="86"/>
      <c r="CV1972" s="86"/>
      <c r="CW1972" s="86"/>
    </row>
    <row r="1973" customFormat="false" ht="12.75" hidden="false" customHeight="false" outlineLevel="0" collapsed="false">
      <c r="F1973" s="86"/>
      <c r="G1973" s="86"/>
      <c r="H1973" s="86"/>
      <c r="I1973" s="86"/>
      <c r="J1973" s="86"/>
      <c r="K1973" s="86"/>
      <c r="L1973" s="86"/>
      <c r="N1973" s="86"/>
      <c r="CQ1973" s="86"/>
      <c r="CR1973" s="86"/>
      <c r="CS1973" s="86"/>
      <c r="CT1973" s="86"/>
      <c r="CU1973" s="86"/>
      <c r="CV1973" s="86"/>
      <c r="CW1973" s="86"/>
    </row>
    <row r="1974" customFormat="false" ht="12.75" hidden="false" customHeight="false" outlineLevel="0" collapsed="false">
      <c r="F1974" s="86"/>
      <c r="G1974" s="86"/>
      <c r="H1974" s="86"/>
      <c r="I1974" s="86"/>
      <c r="J1974" s="86"/>
      <c r="K1974" s="86"/>
      <c r="L1974" s="86"/>
      <c r="N1974" s="86"/>
      <c r="CQ1974" s="86"/>
      <c r="CR1974" s="86"/>
      <c r="CS1974" s="86"/>
      <c r="CT1974" s="86"/>
      <c r="CU1974" s="86"/>
      <c r="CV1974" s="86"/>
      <c r="CW1974" s="86"/>
    </row>
    <row r="1975" customFormat="false" ht="12.75" hidden="false" customHeight="false" outlineLevel="0" collapsed="false">
      <c r="F1975" s="86"/>
      <c r="G1975" s="86"/>
      <c r="H1975" s="86"/>
      <c r="I1975" s="86"/>
      <c r="J1975" s="86"/>
      <c r="K1975" s="86"/>
      <c r="L1975" s="86"/>
      <c r="N1975" s="86"/>
      <c r="CQ1975" s="86"/>
      <c r="CR1975" s="86"/>
      <c r="CS1975" s="86"/>
      <c r="CT1975" s="86"/>
      <c r="CU1975" s="86"/>
      <c r="CV1975" s="86"/>
      <c r="CW1975" s="86"/>
    </row>
    <row r="1976" customFormat="false" ht="12.75" hidden="false" customHeight="false" outlineLevel="0" collapsed="false">
      <c r="F1976" s="86"/>
      <c r="G1976" s="86"/>
      <c r="H1976" s="86"/>
      <c r="I1976" s="86"/>
      <c r="J1976" s="86"/>
      <c r="K1976" s="86"/>
      <c r="L1976" s="86"/>
      <c r="N1976" s="86"/>
      <c r="CQ1976" s="86"/>
      <c r="CR1976" s="86"/>
      <c r="CS1976" s="86"/>
      <c r="CT1976" s="86"/>
      <c r="CU1976" s="86"/>
      <c r="CV1976" s="86"/>
      <c r="CW1976" s="86"/>
    </row>
    <row r="1977" customFormat="false" ht="12.75" hidden="false" customHeight="false" outlineLevel="0" collapsed="false">
      <c r="F1977" s="86"/>
      <c r="G1977" s="86"/>
      <c r="H1977" s="86"/>
      <c r="I1977" s="86"/>
      <c r="J1977" s="86"/>
      <c r="K1977" s="86"/>
      <c r="L1977" s="86"/>
      <c r="N1977" s="86"/>
      <c r="CQ1977" s="86"/>
      <c r="CR1977" s="86"/>
      <c r="CS1977" s="86"/>
      <c r="CT1977" s="86"/>
      <c r="CU1977" s="86"/>
      <c r="CV1977" s="86"/>
      <c r="CW1977" s="86"/>
    </row>
    <row r="1978" customFormat="false" ht="12.75" hidden="false" customHeight="false" outlineLevel="0" collapsed="false">
      <c r="F1978" s="86"/>
      <c r="G1978" s="86"/>
      <c r="H1978" s="86"/>
      <c r="I1978" s="86"/>
      <c r="J1978" s="86"/>
      <c r="K1978" s="86"/>
      <c r="L1978" s="86"/>
      <c r="N1978" s="86"/>
      <c r="CQ1978" s="86"/>
      <c r="CR1978" s="86"/>
      <c r="CS1978" s="86"/>
      <c r="CT1978" s="86"/>
      <c r="CU1978" s="86"/>
      <c r="CV1978" s="86"/>
      <c r="CW1978" s="86"/>
    </row>
    <row r="1979" customFormat="false" ht="12.75" hidden="false" customHeight="false" outlineLevel="0" collapsed="false">
      <c r="F1979" s="86"/>
      <c r="G1979" s="86"/>
      <c r="H1979" s="86"/>
      <c r="I1979" s="86"/>
      <c r="J1979" s="86"/>
      <c r="K1979" s="86"/>
      <c r="L1979" s="86"/>
      <c r="N1979" s="86"/>
      <c r="CQ1979" s="86"/>
      <c r="CR1979" s="86"/>
      <c r="CS1979" s="86"/>
      <c r="CT1979" s="86"/>
      <c r="CU1979" s="86"/>
      <c r="CV1979" s="86"/>
      <c r="CW1979" s="86"/>
    </row>
    <row r="1980" customFormat="false" ht="12.75" hidden="false" customHeight="false" outlineLevel="0" collapsed="false">
      <c r="F1980" s="86"/>
      <c r="G1980" s="86"/>
      <c r="H1980" s="86"/>
      <c r="I1980" s="86"/>
      <c r="J1980" s="86"/>
      <c r="K1980" s="86"/>
      <c r="L1980" s="86"/>
      <c r="N1980" s="86"/>
      <c r="CQ1980" s="86"/>
      <c r="CR1980" s="86"/>
      <c r="CS1980" s="86"/>
      <c r="CT1980" s="86"/>
      <c r="CU1980" s="86"/>
      <c r="CV1980" s="86"/>
      <c r="CW1980" s="86"/>
    </row>
    <row r="1981" customFormat="false" ht="12.75" hidden="false" customHeight="false" outlineLevel="0" collapsed="false">
      <c r="F1981" s="86"/>
      <c r="G1981" s="86"/>
      <c r="H1981" s="86"/>
      <c r="I1981" s="86"/>
      <c r="J1981" s="86"/>
      <c r="K1981" s="86"/>
      <c r="L1981" s="86"/>
      <c r="N1981" s="86"/>
      <c r="CQ1981" s="86"/>
      <c r="CR1981" s="86"/>
      <c r="CS1981" s="86"/>
      <c r="CT1981" s="86"/>
      <c r="CU1981" s="86"/>
      <c r="CV1981" s="86"/>
      <c r="CW1981" s="86"/>
    </row>
    <row r="1982" customFormat="false" ht="12.75" hidden="false" customHeight="false" outlineLevel="0" collapsed="false">
      <c r="F1982" s="86"/>
      <c r="G1982" s="86"/>
      <c r="H1982" s="86"/>
      <c r="I1982" s="86"/>
      <c r="J1982" s="86"/>
      <c r="K1982" s="86"/>
      <c r="L1982" s="86"/>
      <c r="N1982" s="86"/>
      <c r="CQ1982" s="86"/>
      <c r="CR1982" s="86"/>
      <c r="CS1982" s="86"/>
      <c r="CT1982" s="86"/>
      <c r="CU1982" s="86"/>
      <c r="CV1982" s="86"/>
      <c r="CW1982" s="86"/>
    </row>
    <row r="1983" customFormat="false" ht="12.75" hidden="false" customHeight="false" outlineLevel="0" collapsed="false">
      <c r="F1983" s="86"/>
      <c r="G1983" s="86"/>
      <c r="H1983" s="86"/>
      <c r="I1983" s="86"/>
      <c r="J1983" s="86"/>
      <c r="K1983" s="86"/>
      <c r="L1983" s="86"/>
      <c r="N1983" s="86"/>
      <c r="CQ1983" s="86"/>
      <c r="CR1983" s="86"/>
      <c r="CS1983" s="86"/>
      <c r="CT1983" s="86"/>
      <c r="CU1983" s="86"/>
      <c r="CV1983" s="86"/>
      <c r="CW1983" s="86"/>
    </row>
    <row r="1984" customFormat="false" ht="12.75" hidden="false" customHeight="false" outlineLevel="0" collapsed="false">
      <c r="F1984" s="86"/>
      <c r="G1984" s="86"/>
      <c r="H1984" s="86"/>
      <c r="I1984" s="86"/>
      <c r="J1984" s="86"/>
      <c r="K1984" s="86"/>
      <c r="L1984" s="86"/>
      <c r="N1984" s="86"/>
      <c r="CQ1984" s="86"/>
      <c r="CR1984" s="86"/>
      <c r="CS1984" s="86"/>
      <c r="CT1984" s="86"/>
      <c r="CU1984" s="86"/>
      <c r="CV1984" s="86"/>
      <c r="CW1984" s="86"/>
    </row>
    <row r="1985" customFormat="false" ht="12.75" hidden="false" customHeight="false" outlineLevel="0" collapsed="false">
      <c r="F1985" s="86"/>
      <c r="G1985" s="86"/>
      <c r="H1985" s="86"/>
      <c r="I1985" s="86"/>
      <c r="J1985" s="86"/>
      <c r="K1985" s="86"/>
      <c r="L1985" s="86"/>
      <c r="N1985" s="86"/>
      <c r="CQ1985" s="86"/>
      <c r="CR1985" s="86"/>
      <c r="CS1985" s="86"/>
      <c r="CT1985" s="86"/>
      <c r="CU1985" s="86"/>
      <c r="CV1985" s="86"/>
      <c r="CW1985" s="86"/>
    </row>
    <row r="1986" customFormat="false" ht="12.75" hidden="false" customHeight="false" outlineLevel="0" collapsed="false">
      <c r="F1986" s="86"/>
      <c r="G1986" s="86"/>
      <c r="H1986" s="86"/>
      <c r="I1986" s="86"/>
      <c r="J1986" s="86"/>
      <c r="K1986" s="86"/>
      <c r="L1986" s="86"/>
      <c r="N1986" s="86"/>
      <c r="CQ1986" s="86"/>
      <c r="CR1986" s="86"/>
      <c r="CS1986" s="86"/>
      <c r="CT1986" s="86"/>
      <c r="CU1986" s="86"/>
      <c r="CV1986" s="86"/>
      <c r="CW1986" s="86"/>
    </row>
    <row r="1987" customFormat="false" ht="12.75" hidden="false" customHeight="false" outlineLevel="0" collapsed="false">
      <c r="F1987" s="86"/>
      <c r="G1987" s="86"/>
      <c r="H1987" s="86"/>
      <c r="I1987" s="86"/>
      <c r="J1987" s="86"/>
      <c r="K1987" s="86"/>
      <c r="L1987" s="86"/>
      <c r="N1987" s="86"/>
      <c r="CQ1987" s="86"/>
      <c r="CR1987" s="86"/>
      <c r="CS1987" s="86"/>
      <c r="CT1987" s="86"/>
      <c r="CU1987" s="86"/>
      <c r="CV1987" s="86"/>
      <c r="CW1987" s="86"/>
    </row>
    <row r="1988" customFormat="false" ht="12.75" hidden="false" customHeight="false" outlineLevel="0" collapsed="false">
      <c r="F1988" s="86"/>
      <c r="G1988" s="86"/>
      <c r="H1988" s="86"/>
      <c r="I1988" s="86"/>
      <c r="J1988" s="86"/>
      <c r="K1988" s="86"/>
      <c r="L1988" s="86"/>
      <c r="N1988" s="86"/>
      <c r="CQ1988" s="86"/>
      <c r="CR1988" s="86"/>
      <c r="CS1988" s="86"/>
      <c r="CT1988" s="86"/>
      <c r="CU1988" s="86"/>
      <c r="CV1988" s="86"/>
      <c r="CW1988" s="86"/>
    </row>
    <row r="1989" customFormat="false" ht="12.75" hidden="false" customHeight="false" outlineLevel="0" collapsed="false">
      <c r="F1989" s="86"/>
      <c r="G1989" s="86"/>
      <c r="H1989" s="86"/>
      <c r="I1989" s="86"/>
      <c r="J1989" s="86"/>
      <c r="K1989" s="86"/>
      <c r="L1989" s="86"/>
      <c r="N1989" s="86"/>
      <c r="CQ1989" s="86"/>
      <c r="CR1989" s="86"/>
      <c r="CS1989" s="86"/>
      <c r="CT1989" s="86"/>
      <c r="CU1989" s="86"/>
      <c r="CV1989" s="86"/>
      <c r="CW1989" s="86"/>
    </row>
    <row r="1990" customFormat="false" ht="12.75" hidden="false" customHeight="false" outlineLevel="0" collapsed="false">
      <c r="F1990" s="86"/>
      <c r="G1990" s="86"/>
      <c r="H1990" s="86"/>
      <c r="I1990" s="86"/>
      <c r="J1990" s="86"/>
      <c r="K1990" s="86"/>
      <c r="L1990" s="86"/>
      <c r="N1990" s="86"/>
      <c r="CQ1990" s="86"/>
      <c r="CR1990" s="86"/>
      <c r="CS1990" s="86"/>
      <c r="CT1990" s="86"/>
      <c r="CU1990" s="86"/>
      <c r="CV1990" s="86"/>
      <c r="CW1990" s="86"/>
    </row>
    <row r="1991" customFormat="false" ht="12.75" hidden="false" customHeight="false" outlineLevel="0" collapsed="false">
      <c r="F1991" s="86"/>
      <c r="G1991" s="86"/>
      <c r="H1991" s="86"/>
      <c r="I1991" s="86"/>
      <c r="J1991" s="86"/>
      <c r="K1991" s="86"/>
      <c r="L1991" s="86"/>
      <c r="N1991" s="86"/>
      <c r="CQ1991" s="86"/>
      <c r="CR1991" s="86"/>
      <c r="CS1991" s="86"/>
      <c r="CT1991" s="86"/>
      <c r="CU1991" s="86"/>
      <c r="CV1991" s="86"/>
      <c r="CW1991" s="86"/>
    </row>
    <row r="1992" customFormat="false" ht="12.75" hidden="false" customHeight="false" outlineLevel="0" collapsed="false">
      <c r="F1992" s="86"/>
      <c r="G1992" s="86"/>
      <c r="H1992" s="86"/>
      <c r="I1992" s="86"/>
      <c r="J1992" s="86"/>
      <c r="K1992" s="86"/>
      <c r="L1992" s="86"/>
      <c r="N1992" s="86"/>
      <c r="CQ1992" s="86"/>
      <c r="CR1992" s="86"/>
      <c r="CS1992" s="86"/>
      <c r="CT1992" s="86"/>
      <c r="CU1992" s="86"/>
      <c r="CV1992" s="86"/>
      <c r="CW1992" s="86"/>
    </row>
    <row r="1993" customFormat="false" ht="12.75" hidden="false" customHeight="false" outlineLevel="0" collapsed="false">
      <c r="F1993" s="86"/>
      <c r="G1993" s="86"/>
      <c r="H1993" s="86"/>
      <c r="I1993" s="86"/>
      <c r="J1993" s="86"/>
      <c r="K1993" s="86"/>
      <c r="L1993" s="86"/>
      <c r="N1993" s="86"/>
      <c r="CQ1993" s="86"/>
      <c r="CR1993" s="86"/>
      <c r="CS1993" s="86"/>
      <c r="CT1993" s="86"/>
      <c r="CU1993" s="86"/>
      <c r="CV1993" s="86"/>
      <c r="CW1993" s="86"/>
    </row>
    <row r="1994" customFormat="false" ht="12.75" hidden="false" customHeight="false" outlineLevel="0" collapsed="false">
      <c r="F1994" s="86"/>
      <c r="G1994" s="86"/>
      <c r="H1994" s="86"/>
      <c r="I1994" s="86"/>
      <c r="J1994" s="86"/>
      <c r="K1994" s="86"/>
      <c r="L1994" s="86"/>
      <c r="N1994" s="86"/>
      <c r="CQ1994" s="86"/>
      <c r="CR1994" s="86"/>
      <c r="CS1994" s="86"/>
      <c r="CT1994" s="86"/>
      <c r="CU1994" s="86"/>
      <c r="CV1994" s="86"/>
      <c r="CW1994" s="86"/>
    </row>
    <row r="1995" customFormat="false" ht="12.75" hidden="false" customHeight="false" outlineLevel="0" collapsed="false">
      <c r="F1995" s="86"/>
      <c r="G1995" s="86"/>
      <c r="H1995" s="86"/>
      <c r="I1995" s="86"/>
      <c r="J1995" s="86"/>
      <c r="K1995" s="86"/>
      <c r="L1995" s="86"/>
      <c r="N1995" s="86"/>
      <c r="CQ1995" s="86"/>
      <c r="CR1995" s="86"/>
      <c r="CS1995" s="86"/>
      <c r="CT1995" s="86"/>
      <c r="CU1995" s="86"/>
      <c r="CV1995" s="86"/>
      <c r="CW1995" s="86"/>
    </row>
    <row r="1996" customFormat="false" ht="12.75" hidden="false" customHeight="false" outlineLevel="0" collapsed="false">
      <c r="F1996" s="86"/>
      <c r="G1996" s="86"/>
      <c r="H1996" s="86"/>
      <c r="I1996" s="86"/>
      <c r="J1996" s="86"/>
      <c r="K1996" s="86"/>
      <c r="L1996" s="86"/>
      <c r="N1996" s="86"/>
      <c r="CQ1996" s="86"/>
      <c r="CR1996" s="86"/>
      <c r="CS1996" s="86"/>
      <c r="CT1996" s="86"/>
      <c r="CU1996" s="86"/>
      <c r="CV1996" s="86"/>
      <c r="CW1996" s="86"/>
    </row>
    <row r="1997" customFormat="false" ht="12.75" hidden="false" customHeight="false" outlineLevel="0" collapsed="false">
      <c r="F1997" s="86"/>
      <c r="G1997" s="86"/>
      <c r="H1997" s="86"/>
      <c r="I1997" s="86"/>
      <c r="J1997" s="86"/>
      <c r="K1997" s="86"/>
      <c r="L1997" s="86"/>
      <c r="N1997" s="86"/>
      <c r="CQ1997" s="86"/>
      <c r="CR1997" s="86"/>
      <c r="CS1997" s="86"/>
      <c r="CT1997" s="86"/>
      <c r="CU1997" s="86"/>
      <c r="CV1997" s="86"/>
      <c r="CW1997" s="86"/>
    </row>
    <row r="1998" customFormat="false" ht="12.75" hidden="false" customHeight="false" outlineLevel="0" collapsed="false">
      <c r="F1998" s="86"/>
      <c r="G1998" s="86"/>
      <c r="H1998" s="86"/>
      <c r="I1998" s="86"/>
      <c r="J1998" s="86"/>
      <c r="K1998" s="86"/>
      <c r="L1998" s="86"/>
      <c r="N1998" s="86"/>
      <c r="CQ1998" s="86"/>
      <c r="CR1998" s="86"/>
      <c r="CS1998" s="86"/>
      <c r="CT1998" s="86"/>
      <c r="CU1998" s="86"/>
      <c r="CV1998" s="86"/>
      <c r="CW1998" s="86"/>
    </row>
    <row r="1999" customFormat="false" ht="12.75" hidden="false" customHeight="false" outlineLevel="0" collapsed="false">
      <c r="F1999" s="86"/>
      <c r="G1999" s="86"/>
      <c r="H1999" s="86"/>
      <c r="I1999" s="86"/>
      <c r="J1999" s="86"/>
      <c r="K1999" s="86"/>
      <c r="L1999" s="86"/>
      <c r="N1999" s="86"/>
      <c r="CQ1999" s="86"/>
      <c r="CR1999" s="86"/>
      <c r="CS1999" s="86"/>
      <c r="CT1999" s="86"/>
      <c r="CU1999" s="86"/>
      <c r="CV1999" s="86"/>
      <c r="CW1999" s="86"/>
    </row>
    <row r="2000" customFormat="false" ht="12.75" hidden="false" customHeight="false" outlineLevel="0" collapsed="false">
      <c r="F2000" s="86"/>
      <c r="G2000" s="86"/>
      <c r="H2000" s="86"/>
      <c r="I2000" s="86"/>
      <c r="J2000" s="86"/>
      <c r="K2000" s="86"/>
      <c r="L2000" s="86"/>
      <c r="N2000" s="86"/>
      <c r="CQ2000" s="86"/>
      <c r="CR2000" s="86"/>
      <c r="CS2000" s="86"/>
      <c r="CT2000" s="86"/>
      <c r="CU2000" s="86"/>
      <c r="CV2000" s="86"/>
      <c r="CW2000" s="86"/>
    </row>
    <row r="2001" customFormat="false" ht="12.75" hidden="false" customHeight="false" outlineLevel="0" collapsed="false">
      <c r="F2001" s="86"/>
      <c r="G2001" s="86"/>
      <c r="H2001" s="86"/>
      <c r="I2001" s="86"/>
      <c r="J2001" s="86"/>
      <c r="K2001" s="86"/>
      <c r="L2001" s="86"/>
      <c r="N2001" s="86"/>
      <c r="CQ2001" s="86"/>
      <c r="CR2001" s="86"/>
      <c r="CS2001" s="86"/>
      <c r="CT2001" s="86"/>
      <c r="CU2001" s="86"/>
      <c r="CV2001" s="86"/>
      <c r="CW2001" s="86"/>
    </row>
    <row r="2002" customFormat="false" ht="12.75" hidden="false" customHeight="false" outlineLevel="0" collapsed="false">
      <c r="F2002" s="86"/>
      <c r="G2002" s="86"/>
      <c r="H2002" s="86"/>
      <c r="I2002" s="86"/>
      <c r="J2002" s="86"/>
      <c r="K2002" s="86"/>
      <c r="L2002" s="86"/>
      <c r="N2002" s="86"/>
      <c r="CQ2002" s="86"/>
      <c r="CR2002" s="86"/>
      <c r="CS2002" s="86"/>
      <c r="CT2002" s="86"/>
      <c r="CU2002" s="86"/>
      <c r="CV2002" s="86"/>
      <c r="CW2002" s="86"/>
    </row>
    <row r="2003" customFormat="false" ht="12.75" hidden="false" customHeight="false" outlineLevel="0" collapsed="false">
      <c r="F2003" s="86"/>
      <c r="G2003" s="86"/>
      <c r="H2003" s="86"/>
      <c r="I2003" s="86"/>
      <c r="J2003" s="86"/>
      <c r="K2003" s="86"/>
      <c r="L2003" s="86"/>
      <c r="N2003" s="86"/>
      <c r="CQ2003" s="86"/>
      <c r="CR2003" s="86"/>
      <c r="CS2003" s="86"/>
      <c r="CT2003" s="86"/>
      <c r="CU2003" s="86"/>
      <c r="CV2003" s="86"/>
      <c r="CW2003" s="86"/>
    </row>
    <row r="2004" customFormat="false" ht="12.75" hidden="false" customHeight="false" outlineLevel="0" collapsed="false">
      <c r="F2004" s="86"/>
      <c r="G2004" s="86"/>
      <c r="H2004" s="86"/>
      <c r="I2004" s="86"/>
      <c r="J2004" s="86"/>
      <c r="K2004" s="86"/>
      <c r="L2004" s="86"/>
      <c r="N2004" s="86"/>
      <c r="CQ2004" s="86"/>
      <c r="CR2004" s="86"/>
      <c r="CS2004" s="86"/>
      <c r="CT2004" s="86"/>
      <c r="CU2004" s="86"/>
      <c r="CV2004" s="86"/>
      <c r="CW2004" s="86"/>
    </row>
    <row r="2005" customFormat="false" ht="12.75" hidden="false" customHeight="false" outlineLevel="0" collapsed="false">
      <c r="F2005" s="86"/>
      <c r="G2005" s="86"/>
      <c r="H2005" s="86"/>
      <c r="I2005" s="86"/>
      <c r="J2005" s="86"/>
      <c r="K2005" s="86"/>
      <c r="L2005" s="86"/>
      <c r="N2005" s="86"/>
      <c r="CQ2005" s="86"/>
      <c r="CR2005" s="86"/>
      <c r="CS2005" s="86"/>
      <c r="CT2005" s="86"/>
      <c r="CU2005" s="86"/>
      <c r="CV2005" s="86"/>
      <c r="CW2005" s="86"/>
    </row>
    <row r="2006" customFormat="false" ht="12.75" hidden="false" customHeight="false" outlineLevel="0" collapsed="false">
      <c r="F2006" s="86"/>
      <c r="G2006" s="86"/>
      <c r="H2006" s="86"/>
      <c r="I2006" s="86"/>
      <c r="J2006" s="86"/>
      <c r="K2006" s="86"/>
      <c r="L2006" s="86"/>
      <c r="N2006" s="86"/>
      <c r="CQ2006" s="86"/>
      <c r="CR2006" s="86"/>
      <c r="CS2006" s="86"/>
      <c r="CT2006" s="86"/>
      <c r="CU2006" s="86"/>
      <c r="CV2006" s="86"/>
      <c r="CW2006" s="86"/>
    </row>
    <row r="2007" customFormat="false" ht="12.75" hidden="false" customHeight="false" outlineLevel="0" collapsed="false">
      <c r="F2007" s="86"/>
      <c r="G2007" s="86"/>
      <c r="H2007" s="86"/>
      <c r="I2007" s="86"/>
      <c r="J2007" s="86"/>
      <c r="K2007" s="86"/>
      <c r="L2007" s="86"/>
      <c r="N2007" s="86"/>
      <c r="CQ2007" s="86"/>
      <c r="CR2007" s="86"/>
      <c r="CS2007" s="86"/>
      <c r="CT2007" s="86"/>
      <c r="CU2007" s="86"/>
      <c r="CV2007" s="86"/>
      <c r="CW2007" s="86"/>
    </row>
    <row r="2008" customFormat="false" ht="12.75" hidden="false" customHeight="false" outlineLevel="0" collapsed="false">
      <c r="F2008" s="86"/>
      <c r="G2008" s="86"/>
      <c r="H2008" s="86"/>
      <c r="I2008" s="86"/>
      <c r="J2008" s="86"/>
      <c r="K2008" s="86"/>
      <c r="L2008" s="86"/>
      <c r="N2008" s="86"/>
      <c r="CQ2008" s="86"/>
      <c r="CR2008" s="86"/>
      <c r="CS2008" s="86"/>
      <c r="CT2008" s="86"/>
      <c r="CU2008" s="86"/>
      <c r="CV2008" s="86"/>
      <c r="CW2008" s="86"/>
    </row>
    <row r="2009" customFormat="false" ht="12.75" hidden="false" customHeight="false" outlineLevel="0" collapsed="false">
      <c r="F2009" s="86"/>
      <c r="G2009" s="86"/>
      <c r="H2009" s="86"/>
      <c r="I2009" s="86"/>
      <c r="J2009" s="86"/>
      <c r="K2009" s="86"/>
      <c r="L2009" s="86"/>
      <c r="N2009" s="86"/>
      <c r="CQ2009" s="86"/>
      <c r="CR2009" s="86"/>
      <c r="CS2009" s="86"/>
      <c r="CT2009" s="86"/>
      <c r="CU2009" s="86"/>
      <c r="CV2009" s="86"/>
      <c r="CW2009" s="86"/>
    </row>
    <row r="2010" customFormat="false" ht="12.75" hidden="false" customHeight="false" outlineLevel="0" collapsed="false">
      <c r="F2010" s="86"/>
      <c r="G2010" s="86"/>
      <c r="H2010" s="86"/>
      <c r="I2010" s="86"/>
      <c r="J2010" s="86"/>
      <c r="K2010" s="86"/>
      <c r="L2010" s="86"/>
      <c r="N2010" s="86"/>
      <c r="CQ2010" s="86"/>
      <c r="CR2010" s="86"/>
      <c r="CS2010" s="86"/>
      <c r="CT2010" s="86"/>
      <c r="CU2010" s="86"/>
      <c r="CV2010" s="86"/>
      <c r="CW2010" s="86"/>
    </row>
    <row r="2011" customFormat="false" ht="12.75" hidden="false" customHeight="false" outlineLevel="0" collapsed="false">
      <c r="F2011" s="86"/>
      <c r="G2011" s="86"/>
      <c r="H2011" s="86"/>
      <c r="I2011" s="86"/>
      <c r="J2011" s="86"/>
      <c r="K2011" s="86"/>
      <c r="L2011" s="86"/>
      <c r="N2011" s="86"/>
      <c r="CQ2011" s="86"/>
      <c r="CR2011" s="86"/>
      <c r="CS2011" s="86"/>
      <c r="CT2011" s="86"/>
      <c r="CU2011" s="86"/>
      <c r="CV2011" s="86"/>
      <c r="CW2011" s="86"/>
    </row>
    <row r="2012" customFormat="false" ht="12.75" hidden="false" customHeight="false" outlineLevel="0" collapsed="false">
      <c r="F2012" s="86"/>
      <c r="G2012" s="86"/>
      <c r="H2012" s="86"/>
      <c r="I2012" s="86"/>
      <c r="J2012" s="86"/>
      <c r="K2012" s="86"/>
      <c r="L2012" s="86"/>
      <c r="N2012" s="86"/>
      <c r="CQ2012" s="86"/>
      <c r="CR2012" s="86"/>
      <c r="CS2012" s="86"/>
      <c r="CT2012" s="86"/>
      <c r="CU2012" s="86"/>
      <c r="CV2012" s="86"/>
      <c r="CW2012" s="86"/>
    </row>
    <row r="2013" customFormat="false" ht="12.75" hidden="false" customHeight="false" outlineLevel="0" collapsed="false">
      <c r="F2013" s="86"/>
      <c r="G2013" s="86"/>
      <c r="H2013" s="86"/>
      <c r="I2013" s="86"/>
      <c r="J2013" s="86"/>
      <c r="K2013" s="86"/>
      <c r="L2013" s="86"/>
      <c r="N2013" s="86"/>
      <c r="CQ2013" s="86"/>
      <c r="CR2013" s="86"/>
      <c r="CS2013" s="86"/>
      <c r="CT2013" s="86"/>
      <c r="CU2013" s="86"/>
      <c r="CV2013" s="86"/>
      <c r="CW2013" s="86"/>
    </row>
    <row r="2014" customFormat="false" ht="12.75" hidden="false" customHeight="false" outlineLevel="0" collapsed="false">
      <c r="F2014" s="86"/>
      <c r="G2014" s="86"/>
      <c r="H2014" s="86"/>
      <c r="I2014" s="86"/>
      <c r="J2014" s="86"/>
      <c r="K2014" s="86"/>
      <c r="L2014" s="86"/>
      <c r="N2014" s="86"/>
      <c r="CQ2014" s="86"/>
      <c r="CR2014" s="86"/>
      <c r="CS2014" s="86"/>
      <c r="CT2014" s="86"/>
      <c r="CU2014" s="86"/>
      <c r="CV2014" s="86"/>
      <c r="CW2014" s="86"/>
    </row>
    <row r="2015" customFormat="false" ht="12.75" hidden="false" customHeight="false" outlineLevel="0" collapsed="false">
      <c r="F2015" s="86"/>
      <c r="G2015" s="86"/>
      <c r="H2015" s="86"/>
      <c r="I2015" s="86"/>
      <c r="J2015" s="86"/>
      <c r="K2015" s="86"/>
      <c r="L2015" s="86"/>
      <c r="N2015" s="86"/>
      <c r="CQ2015" s="86"/>
      <c r="CR2015" s="86"/>
      <c r="CS2015" s="86"/>
      <c r="CT2015" s="86"/>
      <c r="CU2015" s="86"/>
      <c r="CV2015" s="86"/>
      <c r="CW2015" s="86"/>
    </row>
    <row r="2016" customFormat="false" ht="12.75" hidden="false" customHeight="false" outlineLevel="0" collapsed="false">
      <c r="F2016" s="86"/>
      <c r="G2016" s="86"/>
      <c r="H2016" s="86"/>
      <c r="I2016" s="86"/>
      <c r="J2016" s="86"/>
      <c r="K2016" s="86"/>
      <c r="L2016" s="86"/>
      <c r="N2016" s="86"/>
      <c r="CQ2016" s="86"/>
      <c r="CR2016" s="86"/>
      <c r="CS2016" s="86"/>
      <c r="CT2016" s="86"/>
      <c r="CU2016" s="86"/>
      <c r="CV2016" s="86"/>
      <c r="CW2016" s="86"/>
    </row>
    <row r="2017" customFormat="false" ht="12.75" hidden="false" customHeight="false" outlineLevel="0" collapsed="false">
      <c r="F2017" s="86"/>
      <c r="G2017" s="86"/>
      <c r="H2017" s="86"/>
      <c r="I2017" s="86"/>
      <c r="J2017" s="86"/>
      <c r="K2017" s="86"/>
      <c r="L2017" s="86"/>
      <c r="N2017" s="86"/>
      <c r="CQ2017" s="86"/>
      <c r="CR2017" s="86"/>
      <c r="CS2017" s="86"/>
      <c r="CT2017" s="86"/>
      <c r="CU2017" s="86"/>
      <c r="CV2017" s="86"/>
      <c r="CW2017" s="86"/>
    </row>
    <row r="2018" customFormat="false" ht="12.75" hidden="false" customHeight="false" outlineLevel="0" collapsed="false">
      <c r="F2018" s="86"/>
      <c r="G2018" s="86"/>
      <c r="H2018" s="86"/>
      <c r="I2018" s="86"/>
      <c r="J2018" s="86"/>
      <c r="K2018" s="86"/>
      <c r="L2018" s="86"/>
      <c r="N2018" s="86"/>
      <c r="CQ2018" s="86"/>
      <c r="CR2018" s="86"/>
      <c r="CS2018" s="86"/>
      <c r="CT2018" s="86"/>
      <c r="CU2018" s="86"/>
      <c r="CV2018" s="86"/>
      <c r="CW2018" s="86"/>
    </row>
    <row r="2019" customFormat="false" ht="12.75" hidden="false" customHeight="false" outlineLevel="0" collapsed="false">
      <c r="F2019" s="86"/>
      <c r="G2019" s="86"/>
      <c r="H2019" s="86"/>
      <c r="I2019" s="86"/>
      <c r="J2019" s="86"/>
      <c r="K2019" s="86"/>
      <c r="L2019" s="86"/>
      <c r="N2019" s="86"/>
      <c r="CQ2019" s="86"/>
      <c r="CR2019" s="86"/>
      <c r="CS2019" s="86"/>
      <c r="CT2019" s="86"/>
      <c r="CU2019" s="86"/>
      <c r="CV2019" s="86"/>
      <c r="CW2019" s="86"/>
    </row>
    <row r="2020" customFormat="false" ht="12.75" hidden="false" customHeight="false" outlineLevel="0" collapsed="false">
      <c r="F2020" s="86"/>
      <c r="G2020" s="86"/>
      <c r="H2020" s="86"/>
      <c r="I2020" s="86"/>
      <c r="J2020" s="86"/>
      <c r="K2020" s="86"/>
      <c r="L2020" s="86"/>
      <c r="N2020" s="86"/>
      <c r="CQ2020" s="86"/>
      <c r="CR2020" s="86"/>
      <c r="CS2020" s="86"/>
      <c r="CT2020" s="86"/>
      <c r="CU2020" s="86"/>
      <c r="CV2020" s="86"/>
      <c r="CW2020" s="86"/>
    </row>
    <row r="2021" customFormat="false" ht="12.75" hidden="false" customHeight="false" outlineLevel="0" collapsed="false">
      <c r="F2021" s="86"/>
      <c r="G2021" s="86"/>
      <c r="H2021" s="86"/>
      <c r="I2021" s="86"/>
      <c r="J2021" s="86"/>
      <c r="K2021" s="86"/>
      <c r="L2021" s="86"/>
      <c r="N2021" s="86"/>
      <c r="CQ2021" s="86"/>
      <c r="CR2021" s="86"/>
      <c r="CS2021" s="86"/>
      <c r="CT2021" s="86"/>
      <c r="CU2021" s="86"/>
      <c r="CV2021" s="86"/>
      <c r="CW2021" s="86"/>
    </row>
    <row r="2022" customFormat="false" ht="12.75" hidden="false" customHeight="false" outlineLevel="0" collapsed="false">
      <c r="F2022" s="86"/>
      <c r="G2022" s="86"/>
      <c r="H2022" s="86"/>
      <c r="I2022" s="86"/>
      <c r="J2022" s="86"/>
      <c r="K2022" s="86"/>
      <c r="L2022" s="86"/>
      <c r="N2022" s="86"/>
      <c r="CQ2022" s="86"/>
      <c r="CR2022" s="86"/>
      <c r="CS2022" s="86"/>
      <c r="CT2022" s="86"/>
      <c r="CU2022" s="86"/>
      <c r="CV2022" s="86"/>
      <c r="CW2022" s="86"/>
    </row>
    <row r="2023" customFormat="false" ht="12.75" hidden="false" customHeight="false" outlineLevel="0" collapsed="false">
      <c r="F2023" s="86"/>
      <c r="G2023" s="86"/>
      <c r="H2023" s="86"/>
      <c r="I2023" s="86"/>
      <c r="J2023" s="86"/>
      <c r="K2023" s="86"/>
      <c r="L2023" s="86"/>
      <c r="N2023" s="86"/>
      <c r="CQ2023" s="86"/>
      <c r="CR2023" s="86"/>
      <c r="CS2023" s="86"/>
      <c r="CT2023" s="86"/>
      <c r="CU2023" s="86"/>
      <c r="CV2023" s="86"/>
      <c r="CW2023" s="86"/>
    </row>
    <row r="2024" customFormat="false" ht="12.75" hidden="false" customHeight="false" outlineLevel="0" collapsed="false">
      <c r="F2024" s="86"/>
      <c r="G2024" s="86"/>
      <c r="H2024" s="86"/>
      <c r="I2024" s="86"/>
      <c r="J2024" s="86"/>
      <c r="K2024" s="86"/>
      <c r="L2024" s="86"/>
      <c r="N2024" s="86"/>
      <c r="CQ2024" s="86"/>
      <c r="CR2024" s="86"/>
      <c r="CS2024" s="86"/>
      <c r="CT2024" s="86"/>
      <c r="CU2024" s="86"/>
      <c r="CV2024" s="86"/>
      <c r="CW2024" s="86"/>
    </row>
    <row r="2025" customFormat="false" ht="12.75" hidden="false" customHeight="false" outlineLevel="0" collapsed="false">
      <c r="F2025" s="86"/>
      <c r="G2025" s="86"/>
      <c r="H2025" s="86"/>
      <c r="I2025" s="86"/>
      <c r="J2025" s="86"/>
      <c r="K2025" s="86"/>
      <c r="L2025" s="86"/>
      <c r="N2025" s="86"/>
      <c r="CQ2025" s="86"/>
      <c r="CR2025" s="86"/>
      <c r="CS2025" s="86"/>
      <c r="CT2025" s="86"/>
      <c r="CU2025" s="86"/>
      <c r="CV2025" s="86"/>
      <c r="CW2025" s="86"/>
    </row>
    <row r="2026" customFormat="false" ht="12.75" hidden="false" customHeight="false" outlineLevel="0" collapsed="false">
      <c r="F2026" s="86"/>
      <c r="G2026" s="86"/>
      <c r="H2026" s="86"/>
      <c r="I2026" s="86"/>
      <c r="J2026" s="86"/>
      <c r="K2026" s="86"/>
      <c r="L2026" s="86"/>
      <c r="N2026" s="86"/>
      <c r="CQ2026" s="86"/>
      <c r="CR2026" s="86"/>
      <c r="CS2026" s="86"/>
      <c r="CT2026" s="86"/>
      <c r="CU2026" s="86"/>
      <c r="CV2026" s="86"/>
      <c r="CW2026" s="86"/>
    </row>
    <row r="2027" customFormat="false" ht="12.75" hidden="false" customHeight="false" outlineLevel="0" collapsed="false">
      <c r="F2027" s="86"/>
      <c r="G2027" s="86"/>
      <c r="H2027" s="86"/>
      <c r="I2027" s="86"/>
      <c r="J2027" s="86"/>
      <c r="K2027" s="86"/>
      <c r="L2027" s="86"/>
      <c r="N2027" s="86"/>
      <c r="CQ2027" s="86"/>
      <c r="CR2027" s="86"/>
      <c r="CS2027" s="86"/>
      <c r="CT2027" s="86"/>
      <c r="CU2027" s="86"/>
      <c r="CV2027" s="86"/>
      <c r="CW2027" s="86"/>
    </row>
    <row r="2028" customFormat="false" ht="12.75" hidden="false" customHeight="false" outlineLevel="0" collapsed="false">
      <c r="F2028" s="86"/>
      <c r="G2028" s="86"/>
      <c r="H2028" s="86"/>
      <c r="I2028" s="86"/>
      <c r="J2028" s="86"/>
      <c r="K2028" s="86"/>
      <c r="L2028" s="86"/>
      <c r="N2028" s="86"/>
      <c r="CQ2028" s="86"/>
      <c r="CR2028" s="86"/>
      <c r="CS2028" s="86"/>
      <c r="CT2028" s="86"/>
      <c r="CU2028" s="86"/>
      <c r="CV2028" s="86"/>
      <c r="CW2028" s="86"/>
    </row>
    <row r="2029" customFormat="false" ht="12.75" hidden="false" customHeight="false" outlineLevel="0" collapsed="false">
      <c r="F2029" s="86"/>
      <c r="G2029" s="86"/>
      <c r="H2029" s="86"/>
      <c r="I2029" s="86"/>
      <c r="J2029" s="86"/>
      <c r="K2029" s="86"/>
      <c r="L2029" s="86"/>
      <c r="N2029" s="86"/>
      <c r="CQ2029" s="86"/>
      <c r="CR2029" s="86"/>
      <c r="CS2029" s="86"/>
      <c r="CT2029" s="86"/>
      <c r="CU2029" s="86"/>
      <c r="CV2029" s="86"/>
      <c r="CW2029" s="86"/>
    </row>
    <row r="2030" customFormat="false" ht="12.75" hidden="false" customHeight="false" outlineLevel="0" collapsed="false">
      <c r="F2030" s="86"/>
      <c r="G2030" s="86"/>
      <c r="H2030" s="86"/>
      <c r="I2030" s="86"/>
      <c r="J2030" s="86"/>
      <c r="K2030" s="86"/>
      <c r="L2030" s="86"/>
      <c r="N2030" s="86"/>
      <c r="CQ2030" s="86"/>
      <c r="CR2030" s="86"/>
      <c r="CS2030" s="86"/>
      <c r="CT2030" s="86"/>
      <c r="CU2030" s="86"/>
      <c r="CV2030" s="86"/>
      <c r="CW2030" s="86"/>
    </row>
    <row r="2031" customFormat="false" ht="12.75" hidden="false" customHeight="false" outlineLevel="0" collapsed="false">
      <c r="F2031" s="86"/>
      <c r="G2031" s="86"/>
      <c r="H2031" s="86"/>
      <c r="I2031" s="86"/>
      <c r="J2031" s="86"/>
      <c r="K2031" s="86"/>
      <c r="L2031" s="86"/>
      <c r="N2031" s="86"/>
      <c r="CQ2031" s="86"/>
      <c r="CR2031" s="86"/>
      <c r="CS2031" s="86"/>
      <c r="CT2031" s="86"/>
      <c r="CU2031" s="86"/>
      <c r="CV2031" s="86"/>
      <c r="CW2031" s="86"/>
    </row>
    <row r="2032" customFormat="false" ht="12.75" hidden="false" customHeight="false" outlineLevel="0" collapsed="false">
      <c r="F2032" s="86"/>
      <c r="G2032" s="86"/>
      <c r="H2032" s="86"/>
      <c r="I2032" s="86"/>
      <c r="J2032" s="86"/>
      <c r="K2032" s="86"/>
      <c r="L2032" s="86"/>
      <c r="N2032" s="86"/>
      <c r="CQ2032" s="86"/>
      <c r="CR2032" s="86"/>
      <c r="CS2032" s="86"/>
      <c r="CT2032" s="86"/>
      <c r="CU2032" s="86"/>
      <c r="CV2032" s="86"/>
      <c r="CW2032" s="86"/>
    </row>
    <row r="2033" customFormat="false" ht="12.75" hidden="false" customHeight="false" outlineLevel="0" collapsed="false">
      <c r="F2033" s="86"/>
      <c r="G2033" s="86"/>
      <c r="H2033" s="86"/>
      <c r="I2033" s="86"/>
      <c r="J2033" s="86"/>
      <c r="K2033" s="86"/>
      <c r="L2033" s="86"/>
      <c r="N2033" s="86"/>
      <c r="CQ2033" s="86"/>
      <c r="CR2033" s="86"/>
      <c r="CS2033" s="86"/>
      <c r="CT2033" s="86"/>
      <c r="CU2033" s="86"/>
      <c r="CV2033" s="86"/>
      <c r="CW2033" s="86"/>
    </row>
    <row r="2034" customFormat="false" ht="12.75" hidden="false" customHeight="false" outlineLevel="0" collapsed="false">
      <c r="F2034" s="86"/>
      <c r="G2034" s="86"/>
      <c r="H2034" s="86"/>
      <c r="I2034" s="86"/>
      <c r="J2034" s="86"/>
      <c r="K2034" s="86"/>
      <c r="L2034" s="86"/>
      <c r="N2034" s="86"/>
      <c r="CQ2034" s="86"/>
      <c r="CR2034" s="86"/>
      <c r="CS2034" s="86"/>
      <c r="CT2034" s="86"/>
      <c r="CU2034" s="86"/>
      <c r="CV2034" s="86"/>
      <c r="CW2034" s="86"/>
    </row>
    <row r="2035" customFormat="false" ht="12.75" hidden="false" customHeight="false" outlineLevel="0" collapsed="false">
      <c r="F2035" s="86"/>
      <c r="G2035" s="86"/>
      <c r="H2035" s="86"/>
      <c r="I2035" s="86"/>
      <c r="J2035" s="86"/>
      <c r="K2035" s="86"/>
      <c r="L2035" s="86"/>
      <c r="N2035" s="86"/>
      <c r="CQ2035" s="86"/>
      <c r="CR2035" s="86"/>
      <c r="CS2035" s="86"/>
      <c r="CT2035" s="86"/>
      <c r="CU2035" s="86"/>
      <c r="CV2035" s="86"/>
      <c r="CW2035" s="86"/>
    </row>
    <row r="2036" customFormat="false" ht="12.75" hidden="false" customHeight="false" outlineLevel="0" collapsed="false">
      <c r="F2036" s="86"/>
      <c r="G2036" s="86"/>
      <c r="H2036" s="86"/>
      <c r="I2036" s="86"/>
      <c r="J2036" s="86"/>
      <c r="K2036" s="86"/>
      <c r="L2036" s="86"/>
      <c r="N2036" s="86"/>
      <c r="CQ2036" s="86"/>
      <c r="CR2036" s="86"/>
      <c r="CS2036" s="86"/>
      <c r="CT2036" s="86"/>
      <c r="CU2036" s="86"/>
      <c r="CV2036" s="86"/>
      <c r="CW2036" s="86"/>
    </row>
    <row r="2037" customFormat="false" ht="12.75" hidden="false" customHeight="false" outlineLevel="0" collapsed="false">
      <c r="F2037" s="86"/>
      <c r="G2037" s="86"/>
      <c r="H2037" s="86"/>
      <c r="I2037" s="86"/>
      <c r="J2037" s="86"/>
      <c r="K2037" s="86"/>
      <c r="L2037" s="86"/>
      <c r="N2037" s="86"/>
      <c r="CQ2037" s="86"/>
      <c r="CR2037" s="86"/>
      <c r="CS2037" s="86"/>
      <c r="CT2037" s="86"/>
      <c r="CU2037" s="86"/>
      <c r="CV2037" s="86"/>
      <c r="CW2037" s="86"/>
    </row>
    <row r="2038" customFormat="false" ht="12.75" hidden="false" customHeight="false" outlineLevel="0" collapsed="false">
      <c r="F2038" s="86"/>
      <c r="G2038" s="86"/>
      <c r="H2038" s="86"/>
      <c r="I2038" s="86"/>
      <c r="J2038" s="86"/>
      <c r="K2038" s="86"/>
      <c r="L2038" s="86"/>
      <c r="N2038" s="86"/>
      <c r="CQ2038" s="86"/>
      <c r="CR2038" s="86"/>
      <c r="CS2038" s="86"/>
      <c r="CT2038" s="86"/>
      <c r="CU2038" s="86"/>
      <c r="CV2038" s="86"/>
      <c r="CW2038" s="86"/>
    </row>
    <row r="2039" customFormat="false" ht="12.75" hidden="false" customHeight="false" outlineLevel="0" collapsed="false">
      <c r="F2039" s="86"/>
      <c r="G2039" s="86"/>
      <c r="H2039" s="86"/>
      <c r="I2039" s="86"/>
      <c r="J2039" s="86"/>
      <c r="K2039" s="86"/>
      <c r="L2039" s="86"/>
      <c r="N2039" s="86"/>
      <c r="CQ2039" s="86"/>
      <c r="CR2039" s="86"/>
      <c r="CS2039" s="86"/>
      <c r="CT2039" s="86"/>
      <c r="CU2039" s="86"/>
      <c r="CV2039" s="86"/>
      <c r="CW2039" s="86"/>
    </row>
    <row r="2040" customFormat="false" ht="12.75" hidden="false" customHeight="false" outlineLevel="0" collapsed="false">
      <c r="F2040" s="86"/>
      <c r="G2040" s="86"/>
      <c r="H2040" s="86"/>
      <c r="I2040" s="86"/>
      <c r="J2040" s="86"/>
      <c r="K2040" s="86"/>
      <c r="L2040" s="86"/>
      <c r="N2040" s="86"/>
      <c r="CQ2040" s="86"/>
      <c r="CR2040" s="86"/>
      <c r="CS2040" s="86"/>
      <c r="CT2040" s="86"/>
      <c r="CU2040" s="86"/>
      <c r="CV2040" s="86"/>
      <c r="CW2040" s="86"/>
    </row>
    <row r="2041" customFormat="false" ht="12.75" hidden="false" customHeight="false" outlineLevel="0" collapsed="false">
      <c r="F2041" s="86"/>
      <c r="G2041" s="86"/>
      <c r="H2041" s="86"/>
      <c r="I2041" s="86"/>
      <c r="J2041" s="86"/>
      <c r="K2041" s="86"/>
      <c r="L2041" s="86"/>
      <c r="N2041" s="86"/>
      <c r="CQ2041" s="86"/>
      <c r="CR2041" s="86"/>
      <c r="CS2041" s="86"/>
      <c r="CT2041" s="86"/>
      <c r="CU2041" s="86"/>
      <c r="CV2041" s="86"/>
      <c r="CW2041" s="86"/>
    </row>
    <row r="2042" customFormat="false" ht="12.75" hidden="false" customHeight="false" outlineLevel="0" collapsed="false">
      <c r="F2042" s="86"/>
      <c r="G2042" s="86"/>
      <c r="H2042" s="86"/>
      <c r="I2042" s="86"/>
      <c r="J2042" s="86"/>
      <c r="K2042" s="86"/>
      <c r="L2042" s="86"/>
      <c r="N2042" s="86"/>
      <c r="CQ2042" s="86"/>
      <c r="CR2042" s="86"/>
      <c r="CS2042" s="86"/>
      <c r="CT2042" s="86"/>
      <c r="CU2042" s="86"/>
      <c r="CV2042" s="86"/>
      <c r="CW2042" s="86"/>
    </row>
    <row r="2043" customFormat="false" ht="12.75" hidden="false" customHeight="false" outlineLevel="0" collapsed="false">
      <c r="F2043" s="86"/>
      <c r="G2043" s="86"/>
      <c r="H2043" s="86"/>
      <c r="I2043" s="86"/>
      <c r="J2043" s="86"/>
      <c r="K2043" s="86"/>
      <c r="L2043" s="86"/>
      <c r="N2043" s="86"/>
      <c r="CQ2043" s="86"/>
      <c r="CR2043" s="86"/>
      <c r="CS2043" s="86"/>
      <c r="CT2043" s="86"/>
      <c r="CU2043" s="86"/>
      <c r="CV2043" s="86"/>
      <c r="CW2043" s="86"/>
    </row>
    <row r="2044" customFormat="false" ht="12.75" hidden="false" customHeight="false" outlineLevel="0" collapsed="false">
      <c r="F2044" s="86"/>
      <c r="G2044" s="86"/>
      <c r="H2044" s="86"/>
      <c r="I2044" s="86"/>
      <c r="J2044" s="86"/>
      <c r="K2044" s="86"/>
      <c r="L2044" s="86"/>
      <c r="N2044" s="86"/>
      <c r="CQ2044" s="86"/>
      <c r="CR2044" s="86"/>
      <c r="CS2044" s="86"/>
      <c r="CT2044" s="86"/>
      <c r="CU2044" s="86"/>
      <c r="CV2044" s="86"/>
      <c r="CW2044" s="86"/>
    </row>
    <row r="2045" customFormat="false" ht="12.75" hidden="false" customHeight="false" outlineLevel="0" collapsed="false">
      <c r="F2045" s="86"/>
      <c r="G2045" s="86"/>
      <c r="H2045" s="86"/>
      <c r="I2045" s="86"/>
      <c r="J2045" s="86"/>
      <c r="K2045" s="86"/>
      <c r="L2045" s="86"/>
      <c r="N2045" s="86"/>
      <c r="CQ2045" s="86"/>
      <c r="CR2045" s="86"/>
      <c r="CS2045" s="86"/>
      <c r="CT2045" s="86"/>
      <c r="CU2045" s="86"/>
      <c r="CV2045" s="86"/>
      <c r="CW2045" s="86"/>
    </row>
    <row r="2046" customFormat="false" ht="12.75" hidden="false" customHeight="false" outlineLevel="0" collapsed="false">
      <c r="F2046" s="86"/>
      <c r="G2046" s="86"/>
      <c r="H2046" s="86"/>
      <c r="I2046" s="86"/>
      <c r="J2046" s="86"/>
      <c r="K2046" s="86"/>
      <c r="L2046" s="86"/>
      <c r="N2046" s="86"/>
      <c r="CQ2046" s="86"/>
      <c r="CR2046" s="86"/>
      <c r="CS2046" s="86"/>
      <c r="CT2046" s="86"/>
      <c r="CU2046" s="86"/>
      <c r="CV2046" s="86"/>
      <c r="CW2046" s="86"/>
    </row>
    <row r="2047" customFormat="false" ht="12.75" hidden="false" customHeight="false" outlineLevel="0" collapsed="false">
      <c r="F2047" s="86"/>
      <c r="G2047" s="86"/>
      <c r="H2047" s="86"/>
      <c r="I2047" s="86"/>
      <c r="J2047" s="86"/>
      <c r="K2047" s="86"/>
      <c r="L2047" s="86"/>
      <c r="N2047" s="86"/>
      <c r="CQ2047" s="86"/>
      <c r="CR2047" s="86"/>
      <c r="CS2047" s="86"/>
      <c r="CT2047" s="86"/>
      <c r="CU2047" s="86"/>
      <c r="CV2047" s="86"/>
      <c r="CW2047" s="86"/>
    </row>
    <row r="2048" customFormat="false" ht="12.75" hidden="false" customHeight="false" outlineLevel="0" collapsed="false">
      <c r="F2048" s="86"/>
      <c r="G2048" s="86"/>
      <c r="H2048" s="86"/>
      <c r="I2048" s="86"/>
      <c r="J2048" s="86"/>
      <c r="K2048" s="86"/>
      <c r="L2048" s="86"/>
      <c r="N2048" s="86"/>
      <c r="CQ2048" s="86"/>
      <c r="CR2048" s="86"/>
      <c r="CS2048" s="86"/>
      <c r="CT2048" s="86"/>
      <c r="CU2048" s="86"/>
      <c r="CV2048" s="86"/>
      <c r="CW2048" s="86"/>
    </row>
    <row r="2049" customFormat="false" ht="12.75" hidden="false" customHeight="false" outlineLevel="0" collapsed="false">
      <c r="F2049" s="86"/>
      <c r="G2049" s="86"/>
      <c r="H2049" s="86"/>
      <c r="I2049" s="86"/>
      <c r="J2049" s="86"/>
      <c r="K2049" s="86"/>
      <c r="L2049" s="86"/>
      <c r="N2049" s="86"/>
      <c r="CQ2049" s="86"/>
      <c r="CR2049" s="86"/>
      <c r="CS2049" s="86"/>
      <c r="CT2049" s="86"/>
      <c r="CU2049" s="86"/>
      <c r="CV2049" s="86"/>
      <c r="CW2049" s="86"/>
    </row>
    <row r="2050" customFormat="false" ht="12.75" hidden="false" customHeight="false" outlineLevel="0" collapsed="false">
      <c r="F2050" s="86"/>
      <c r="G2050" s="86"/>
      <c r="H2050" s="86"/>
      <c r="I2050" s="86"/>
      <c r="J2050" s="86"/>
      <c r="K2050" s="86"/>
      <c r="L2050" s="86"/>
      <c r="N2050" s="86"/>
      <c r="CQ2050" s="86"/>
      <c r="CR2050" s="86"/>
      <c r="CS2050" s="86"/>
      <c r="CT2050" s="86"/>
      <c r="CU2050" s="86"/>
      <c r="CV2050" s="86"/>
      <c r="CW2050" s="86"/>
    </row>
    <row r="2051" customFormat="false" ht="12.75" hidden="false" customHeight="false" outlineLevel="0" collapsed="false">
      <c r="F2051" s="86"/>
      <c r="G2051" s="86"/>
      <c r="H2051" s="86"/>
      <c r="I2051" s="86"/>
      <c r="J2051" s="86"/>
      <c r="K2051" s="86"/>
      <c r="L2051" s="86"/>
      <c r="N2051" s="86"/>
      <c r="CQ2051" s="86"/>
      <c r="CR2051" s="86"/>
      <c r="CS2051" s="86"/>
      <c r="CT2051" s="86"/>
      <c r="CU2051" s="86"/>
      <c r="CV2051" s="86"/>
      <c r="CW2051" s="86"/>
    </row>
    <row r="2052" customFormat="false" ht="12.75" hidden="false" customHeight="false" outlineLevel="0" collapsed="false">
      <c r="F2052" s="86"/>
      <c r="G2052" s="86"/>
      <c r="H2052" s="86"/>
      <c r="I2052" s="86"/>
      <c r="J2052" s="86"/>
      <c r="K2052" s="86"/>
      <c r="L2052" s="86"/>
      <c r="N2052" s="86"/>
      <c r="CQ2052" s="86"/>
      <c r="CR2052" s="86"/>
      <c r="CS2052" s="86"/>
      <c r="CT2052" s="86"/>
      <c r="CU2052" s="86"/>
      <c r="CV2052" s="86"/>
      <c r="CW2052" s="86"/>
    </row>
    <row r="2053" customFormat="false" ht="12.75" hidden="false" customHeight="false" outlineLevel="0" collapsed="false">
      <c r="F2053" s="86"/>
      <c r="G2053" s="86"/>
      <c r="H2053" s="86"/>
      <c r="I2053" s="86"/>
      <c r="J2053" s="86"/>
      <c r="K2053" s="86"/>
      <c r="L2053" s="86"/>
      <c r="N2053" s="86"/>
      <c r="CQ2053" s="86"/>
      <c r="CR2053" s="86"/>
      <c r="CS2053" s="86"/>
      <c r="CT2053" s="86"/>
      <c r="CU2053" s="86"/>
      <c r="CV2053" s="86"/>
      <c r="CW2053" s="86"/>
    </row>
    <row r="2054" customFormat="false" ht="12.75" hidden="false" customHeight="false" outlineLevel="0" collapsed="false">
      <c r="F2054" s="86"/>
      <c r="G2054" s="86"/>
      <c r="H2054" s="86"/>
      <c r="I2054" s="86"/>
      <c r="J2054" s="86"/>
      <c r="K2054" s="86"/>
      <c r="L2054" s="86"/>
      <c r="N2054" s="86"/>
      <c r="CQ2054" s="86"/>
      <c r="CR2054" s="86"/>
      <c r="CS2054" s="86"/>
      <c r="CT2054" s="86"/>
      <c r="CU2054" s="86"/>
      <c r="CV2054" s="86"/>
      <c r="CW2054" s="86"/>
    </row>
    <row r="2055" customFormat="false" ht="12.75" hidden="false" customHeight="false" outlineLevel="0" collapsed="false">
      <c r="F2055" s="86"/>
      <c r="G2055" s="86"/>
      <c r="H2055" s="86"/>
      <c r="I2055" s="86"/>
      <c r="J2055" s="86"/>
      <c r="K2055" s="86"/>
      <c r="L2055" s="86"/>
      <c r="N2055" s="86"/>
      <c r="CQ2055" s="86"/>
      <c r="CR2055" s="86"/>
      <c r="CS2055" s="86"/>
      <c r="CT2055" s="86"/>
      <c r="CU2055" s="86"/>
      <c r="CV2055" s="86"/>
      <c r="CW2055" s="86"/>
    </row>
    <row r="2056" customFormat="false" ht="12.75" hidden="false" customHeight="false" outlineLevel="0" collapsed="false">
      <c r="F2056" s="86"/>
      <c r="G2056" s="86"/>
      <c r="H2056" s="86"/>
      <c r="I2056" s="86"/>
      <c r="J2056" s="86"/>
      <c r="K2056" s="86"/>
      <c r="L2056" s="86"/>
      <c r="N2056" s="86"/>
      <c r="CQ2056" s="86"/>
      <c r="CR2056" s="86"/>
      <c r="CS2056" s="86"/>
      <c r="CT2056" s="86"/>
      <c r="CU2056" s="86"/>
      <c r="CV2056" s="86"/>
      <c r="CW2056" s="86"/>
    </row>
    <row r="2057" customFormat="false" ht="12.75" hidden="false" customHeight="false" outlineLevel="0" collapsed="false">
      <c r="F2057" s="86"/>
      <c r="G2057" s="86"/>
      <c r="H2057" s="86"/>
      <c r="I2057" s="86"/>
      <c r="J2057" s="86"/>
      <c r="K2057" s="86"/>
      <c r="L2057" s="86"/>
      <c r="N2057" s="86"/>
      <c r="CQ2057" s="86"/>
      <c r="CR2057" s="86"/>
      <c r="CS2057" s="86"/>
      <c r="CT2057" s="86"/>
      <c r="CU2057" s="86"/>
      <c r="CV2057" s="86"/>
      <c r="CW2057" s="86"/>
    </row>
    <row r="2058" customFormat="false" ht="12.75" hidden="false" customHeight="false" outlineLevel="0" collapsed="false">
      <c r="F2058" s="86"/>
      <c r="G2058" s="86"/>
      <c r="H2058" s="86"/>
      <c r="I2058" s="86"/>
      <c r="J2058" s="86"/>
      <c r="K2058" s="86"/>
      <c r="L2058" s="86"/>
      <c r="N2058" s="86"/>
      <c r="CQ2058" s="86"/>
      <c r="CR2058" s="86"/>
      <c r="CS2058" s="86"/>
      <c r="CT2058" s="86"/>
      <c r="CU2058" s="86"/>
      <c r="CV2058" s="86"/>
      <c r="CW2058" s="86"/>
    </row>
    <row r="2059" customFormat="false" ht="12.75" hidden="false" customHeight="false" outlineLevel="0" collapsed="false">
      <c r="F2059" s="86"/>
      <c r="G2059" s="86"/>
      <c r="H2059" s="86"/>
      <c r="I2059" s="86"/>
      <c r="J2059" s="86"/>
      <c r="K2059" s="86"/>
      <c r="L2059" s="86"/>
      <c r="N2059" s="86"/>
      <c r="CQ2059" s="86"/>
      <c r="CR2059" s="86"/>
      <c r="CS2059" s="86"/>
      <c r="CT2059" s="86"/>
      <c r="CU2059" s="86"/>
      <c r="CV2059" s="86"/>
      <c r="CW2059" s="86"/>
    </row>
    <row r="2060" customFormat="false" ht="12.75" hidden="false" customHeight="false" outlineLevel="0" collapsed="false">
      <c r="F2060" s="86"/>
      <c r="G2060" s="86"/>
      <c r="H2060" s="86"/>
      <c r="I2060" s="86"/>
      <c r="J2060" s="86"/>
      <c r="K2060" s="86"/>
      <c r="L2060" s="86"/>
      <c r="N2060" s="86"/>
      <c r="CQ2060" s="86"/>
      <c r="CR2060" s="86"/>
      <c r="CS2060" s="86"/>
      <c r="CT2060" s="86"/>
      <c r="CU2060" s="86"/>
      <c r="CV2060" s="86"/>
      <c r="CW2060" s="86"/>
    </row>
    <row r="2061" customFormat="false" ht="12.75" hidden="false" customHeight="false" outlineLevel="0" collapsed="false">
      <c r="F2061" s="86"/>
      <c r="G2061" s="86"/>
      <c r="H2061" s="86"/>
      <c r="I2061" s="86"/>
      <c r="J2061" s="86"/>
      <c r="K2061" s="86"/>
      <c r="L2061" s="86"/>
      <c r="N2061" s="86"/>
      <c r="CQ2061" s="86"/>
      <c r="CR2061" s="86"/>
      <c r="CS2061" s="86"/>
      <c r="CT2061" s="86"/>
      <c r="CU2061" s="86"/>
      <c r="CV2061" s="86"/>
      <c r="CW2061" s="86"/>
    </row>
    <row r="2062" customFormat="false" ht="12.75" hidden="false" customHeight="false" outlineLevel="0" collapsed="false">
      <c r="F2062" s="86"/>
      <c r="G2062" s="86"/>
      <c r="H2062" s="86"/>
      <c r="I2062" s="86"/>
      <c r="J2062" s="86"/>
      <c r="K2062" s="86"/>
      <c r="L2062" s="86"/>
      <c r="N2062" s="86"/>
      <c r="CQ2062" s="86"/>
      <c r="CR2062" s="86"/>
      <c r="CS2062" s="86"/>
      <c r="CT2062" s="86"/>
      <c r="CU2062" s="86"/>
      <c r="CV2062" s="86"/>
      <c r="CW2062" s="86"/>
    </row>
    <row r="2063" customFormat="false" ht="12.75" hidden="false" customHeight="false" outlineLevel="0" collapsed="false">
      <c r="F2063" s="86"/>
      <c r="G2063" s="86"/>
      <c r="H2063" s="86"/>
      <c r="I2063" s="86"/>
      <c r="J2063" s="86"/>
      <c r="K2063" s="86"/>
      <c r="L2063" s="86"/>
      <c r="N2063" s="86"/>
      <c r="CQ2063" s="86"/>
      <c r="CR2063" s="86"/>
      <c r="CS2063" s="86"/>
      <c r="CT2063" s="86"/>
      <c r="CU2063" s="86"/>
      <c r="CV2063" s="86"/>
      <c r="CW2063" s="86"/>
    </row>
    <row r="2064" customFormat="false" ht="12.75" hidden="false" customHeight="false" outlineLevel="0" collapsed="false">
      <c r="F2064" s="86"/>
      <c r="G2064" s="86"/>
      <c r="H2064" s="86"/>
      <c r="I2064" s="86"/>
      <c r="J2064" s="86"/>
      <c r="K2064" s="86"/>
      <c r="L2064" s="86"/>
      <c r="N2064" s="86"/>
      <c r="CQ2064" s="86"/>
      <c r="CR2064" s="86"/>
      <c r="CS2064" s="86"/>
      <c r="CT2064" s="86"/>
      <c r="CU2064" s="86"/>
      <c r="CV2064" s="86"/>
      <c r="CW2064" s="86"/>
    </row>
    <row r="2065" customFormat="false" ht="12.75" hidden="false" customHeight="false" outlineLevel="0" collapsed="false">
      <c r="F2065" s="86"/>
      <c r="G2065" s="86"/>
      <c r="H2065" s="86"/>
      <c r="I2065" s="86"/>
      <c r="J2065" s="86"/>
      <c r="K2065" s="86"/>
      <c r="L2065" s="86"/>
      <c r="N2065" s="86"/>
      <c r="CQ2065" s="86"/>
      <c r="CR2065" s="86"/>
      <c r="CS2065" s="86"/>
      <c r="CT2065" s="86"/>
      <c r="CU2065" s="86"/>
      <c r="CV2065" s="86"/>
      <c r="CW2065" s="86"/>
    </row>
    <row r="2066" customFormat="false" ht="12.75" hidden="false" customHeight="false" outlineLevel="0" collapsed="false">
      <c r="F2066" s="86"/>
      <c r="G2066" s="86"/>
      <c r="H2066" s="86"/>
      <c r="I2066" s="86"/>
      <c r="J2066" s="86"/>
      <c r="K2066" s="86"/>
      <c r="L2066" s="86"/>
      <c r="N2066" s="86"/>
      <c r="CQ2066" s="86"/>
      <c r="CR2066" s="86"/>
      <c r="CS2066" s="86"/>
      <c r="CT2066" s="86"/>
      <c r="CU2066" s="86"/>
      <c r="CV2066" s="86"/>
      <c r="CW2066" s="86"/>
    </row>
    <row r="2067" customFormat="false" ht="12.75" hidden="false" customHeight="false" outlineLevel="0" collapsed="false">
      <c r="F2067" s="86"/>
      <c r="G2067" s="86"/>
      <c r="H2067" s="86"/>
      <c r="I2067" s="86"/>
      <c r="J2067" s="86"/>
      <c r="K2067" s="86"/>
      <c r="L2067" s="86"/>
      <c r="N2067" s="86"/>
      <c r="CQ2067" s="86"/>
      <c r="CR2067" s="86"/>
      <c r="CS2067" s="86"/>
      <c r="CT2067" s="86"/>
      <c r="CU2067" s="86"/>
      <c r="CV2067" s="86"/>
      <c r="CW2067" s="86"/>
    </row>
    <row r="2068" customFormat="false" ht="12.75" hidden="false" customHeight="false" outlineLevel="0" collapsed="false">
      <c r="F2068" s="86"/>
      <c r="G2068" s="86"/>
      <c r="H2068" s="86"/>
      <c r="I2068" s="86"/>
      <c r="J2068" s="86"/>
      <c r="K2068" s="86"/>
      <c r="L2068" s="86"/>
      <c r="N2068" s="86"/>
      <c r="CQ2068" s="86"/>
      <c r="CR2068" s="86"/>
      <c r="CS2068" s="86"/>
      <c r="CT2068" s="86"/>
      <c r="CU2068" s="86"/>
      <c r="CV2068" s="86"/>
      <c r="CW2068" s="86"/>
    </row>
    <row r="2069" customFormat="false" ht="12.75" hidden="false" customHeight="false" outlineLevel="0" collapsed="false">
      <c r="F2069" s="86"/>
      <c r="G2069" s="86"/>
      <c r="H2069" s="86"/>
      <c r="I2069" s="86"/>
      <c r="J2069" s="86"/>
      <c r="K2069" s="86"/>
      <c r="L2069" s="86"/>
      <c r="N2069" s="86"/>
      <c r="CQ2069" s="86"/>
      <c r="CR2069" s="86"/>
      <c r="CS2069" s="86"/>
      <c r="CT2069" s="86"/>
      <c r="CU2069" s="86"/>
      <c r="CV2069" s="86"/>
      <c r="CW2069" s="86"/>
    </row>
    <row r="2070" customFormat="false" ht="12.75" hidden="false" customHeight="false" outlineLevel="0" collapsed="false">
      <c r="F2070" s="86"/>
      <c r="G2070" s="86"/>
      <c r="H2070" s="86"/>
      <c r="I2070" s="86"/>
      <c r="J2070" s="86"/>
      <c r="K2070" s="86"/>
      <c r="L2070" s="86"/>
      <c r="N2070" s="86"/>
      <c r="CQ2070" s="86"/>
      <c r="CR2070" s="86"/>
      <c r="CS2070" s="86"/>
      <c r="CT2070" s="86"/>
      <c r="CU2070" s="86"/>
      <c r="CV2070" s="86"/>
      <c r="CW2070" s="86"/>
    </row>
    <row r="2071" customFormat="false" ht="12.75" hidden="false" customHeight="false" outlineLevel="0" collapsed="false">
      <c r="F2071" s="86"/>
      <c r="G2071" s="86"/>
      <c r="H2071" s="86"/>
      <c r="I2071" s="86"/>
      <c r="J2071" s="86"/>
      <c r="K2071" s="86"/>
      <c r="L2071" s="86"/>
      <c r="N2071" s="86"/>
      <c r="CQ2071" s="86"/>
      <c r="CR2071" s="86"/>
      <c r="CS2071" s="86"/>
      <c r="CT2071" s="86"/>
      <c r="CU2071" s="86"/>
      <c r="CV2071" s="86"/>
      <c r="CW2071" s="86"/>
    </row>
    <row r="2072" customFormat="false" ht="12.75" hidden="false" customHeight="false" outlineLevel="0" collapsed="false">
      <c r="F2072" s="86"/>
      <c r="G2072" s="86"/>
      <c r="H2072" s="86"/>
      <c r="I2072" s="86"/>
      <c r="J2072" s="86"/>
      <c r="K2072" s="86"/>
      <c r="L2072" s="86"/>
      <c r="N2072" s="86"/>
      <c r="CQ2072" s="86"/>
      <c r="CR2072" s="86"/>
      <c r="CS2072" s="86"/>
      <c r="CT2072" s="86"/>
      <c r="CU2072" s="86"/>
      <c r="CV2072" s="86"/>
      <c r="CW2072" s="86"/>
    </row>
    <row r="2073" customFormat="false" ht="12.75" hidden="false" customHeight="false" outlineLevel="0" collapsed="false">
      <c r="F2073" s="86"/>
      <c r="G2073" s="86"/>
      <c r="H2073" s="86"/>
      <c r="I2073" s="86"/>
      <c r="J2073" s="86"/>
      <c r="K2073" s="86"/>
      <c r="L2073" s="86"/>
      <c r="N2073" s="86"/>
      <c r="CQ2073" s="86"/>
      <c r="CR2073" s="86"/>
      <c r="CS2073" s="86"/>
      <c r="CT2073" s="86"/>
      <c r="CU2073" s="86"/>
      <c r="CV2073" s="86"/>
      <c r="CW2073" s="86"/>
    </row>
    <row r="2074" customFormat="false" ht="12.75" hidden="false" customHeight="false" outlineLevel="0" collapsed="false">
      <c r="F2074" s="86"/>
      <c r="G2074" s="86"/>
      <c r="H2074" s="86"/>
      <c r="I2074" s="86"/>
      <c r="J2074" s="86"/>
      <c r="K2074" s="86"/>
      <c r="L2074" s="86"/>
      <c r="N2074" s="86"/>
      <c r="CQ2074" s="86"/>
      <c r="CR2074" s="86"/>
      <c r="CS2074" s="86"/>
      <c r="CT2074" s="86"/>
      <c r="CU2074" s="86"/>
      <c r="CV2074" s="86"/>
      <c r="CW2074" s="86"/>
    </row>
    <row r="2075" customFormat="false" ht="12.75" hidden="false" customHeight="false" outlineLevel="0" collapsed="false">
      <c r="F2075" s="86"/>
      <c r="G2075" s="86"/>
      <c r="H2075" s="86"/>
      <c r="I2075" s="86"/>
      <c r="J2075" s="86"/>
      <c r="K2075" s="86"/>
      <c r="L2075" s="86"/>
      <c r="N2075" s="86"/>
      <c r="CQ2075" s="86"/>
      <c r="CR2075" s="86"/>
      <c r="CS2075" s="86"/>
      <c r="CT2075" s="86"/>
      <c r="CU2075" s="86"/>
      <c r="CV2075" s="86"/>
      <c r="CW2075" s="86"/>
    </row>
    <row r="2076" customFormat="false" ht="12.75" hidden="false" customHeight="false" outlineLevel="0" collapsed="false">
      <c r="F2076" s="86"/>
      <c r="G2076" s="86"/>
      <c r="H2076" s="86"/>
      <c r="I2076" s="86"/>
      <c r="J2076" s="86"/>
      <c r="K2076" s="86"/>
      <c r="L2076" s="86"/>
      <c r="N2076" s="86"/>
      <c r="CQ2076" s="86"/>
      <c r="CR2076" s="86"/>
      <c r="CS2076" s="86"/>
      <c r="CT2076" s="86"/>
      <c r="CU2076" s="86"/>
      <c r="CV2076" s="86"/>
      <c r="CW2076" s="86"/>
    </row>
    <row r="2077" customFormat="false" ht="12.75" hidden="false" customHeight="false" outlineLevel="0" collapsed="false">
      <c r="F2077" s="86"/>
      <c r="G2077" s="86"/>
      <c r="H2077" s="86"/>
      <c r="I2077" s="86"/>
      <c r="J2077" s="86"/>
      <c r="K2077" s="86"/>
      <c r="L2077" s="86"/>
      <c r="N2077" s="86"/>
      <c r="CQ2077" s="86"/>
      <c r="CR2077" s="86"/>
      <c r="CS2077" s="86"/>
      <c r="CT2077" s="86"/>
      <c r="CU2077" s="86"/>
      <c r="CV2077" s="86"/>
      <c r="CW2077" s="86"/>
    </row>
    <row r="2078" customFormat="false" ht="12.75" hidden="false" customHeight="false" outlineLevel="0" collapsed="false">
      <c r="F2078" s="86"/>
      <c r="G2078" s="86"/>
      <c r="H2078" s="86"/>
      <c r="I2078" s="86"/>
      <c r="J2078" s="86"/>
      <c r="K2078" s="86"/>
      <c r="L2078" s="86"/>
      <c r="N2078" s="86"/>
      <c r="CQ2078" s="86"/>
      <c r="CR2078" s="86"/>
      <c r="CS2078" s="86"/>
      <c r="CT2078" s="86"/>
      <c r="CU2078" s="86"/>
      <c r="CV2078" s="86"/>
      <c r="CW2078" s="86"/>
    </row>
    <row r="2079" customFormat="false" ht="12.75" hidden="false" customHeight="false" outlineLevel="0" collapsed="false">
      <c r="F2079" s="86"/>
      <c r="G2079" s="86"/>
      <c r="H2079" s="86"/>
      <c r="I2079" s="86"/>
      <c r="J2079" s="86"/>
      <c r="K2079" s="86"/>
      <c r="L2079" s="86"/>
      <c r="N2079" s="86"/>
      <c r="CQ2079" s="86"/>
      <c r="CR2079" s="86"/>
      <c r="CS2079" s="86"/>
      <c r="CT2079" s="86"/>
      <c r="CU2079" s="86"/>
      <c r="CV2079" s="86"/>
      <c r="CW2079" s="86"/>
    </row>
    <row r="2080" customFormat="false" ht="12.75" hidden="false" customHeight="false" outlineLevel="0" collapsed="false">
      <c r="F2080" s="86"/>
      <c r="G2080" s="86"/>
      <c r="H2080" s="86"/>
      <c r="I2080" s="86"/>
      <c r="J2080" s="86"/>
      <c r="K2080" s="86"/>
      <c r="L2080" s="86"/>
      <c r="N2080" s="86"/>
      <c r="CQ2080" s="86"/>
      <c r="CR2080" s="86"/>
      <c r="CS2080" s="86"/>
      <c r="CT2080" s="86"/>
      <c r="CU2080" s="86"/>
      <c r="CV2080" s="86"/>
      <c r="CW2080" s="86"/>
    </row>
    <row r="2081" customFormat="false" ht="12.75" hidden="false" customHeight="false" outlineLevel="0" collapsed="false">
      <c r="F2081" s="86"/>
      <c r="G2081" s="86"/>
      <c r="H2081" s="86"/>
      <c r="I2081" s="86"/>
      <c r="J2081" s="86"/>
      <c r="K2081" s="86"/>
      <c r="L2081" s="86"/>
      <c r="N2081" s="86"/>
      <c r="CQ2081" s="86"/>
      <c r="CR2081" s="86"/>
      <c r="CS2081" s="86"/>
      <c r="CT2081" s="86"/>
      <c r="CU2081" s="86"/>
      <c r="CV2081" s="86"/>
      <c r="CW2081" s="86"/>
    </row>
    <row r="2082" customFormat="false" ht="12.75" hidden="false" customHeight="false" outlineLevel="0" collapsed="false">
      <c r="F2082" s="86"/>
      <c r="G2082" s="86"/>
      <c r="H2082" s="86"/>
      <c r="I2082" s="86"/>
      <c r="J2082" s="86"/>
      <c r="K2082" s="86"/>
      <c r="L2082" s="86"/>
      <c r="N2082" s="86"/>
      <c r="CQ2082" s="86"/>
      <c r="CR2082" s="86"/>
      <c r="CS2082" s="86"/>
      <c r="CT2082" s="86"/>
      <c r="CU2082" s="86"/>
      <c r="CV2082" s="86"/>
      <c r="CW2082" s="86"/>
    </row>
    <row r="2083" customFormat="false" ht="12.75" hidden="false" customHeight="false" outlineLevel="0" collapsed="false">
      <c r="F2083" s="86"/>
      <c r="G2083" s="86"/>
      <c r="H2083" s="86"/>
      <c r="I2083" s="86"/>
      <c r="J2083" s="86"/>
      <c r="K2083" s="86"/>
      <c r="L2083" s="86"/>
      <c r="N2083" s="86"/>
      <c r="CQ2083" s="86"/>
      <c r="CR2083" s="86"/>
      <c r="CS2083" s="86"/>
      <c r="CT2083" s="86"/>
      <c r="CU2083" s="86"/>
      <c r="CV2083" s="86"/>
      <c r="CW2083" s="86"/>
    </row>
    <row r="2084" customFormat="false" ht="12.75" hidden="false" customHeight="false" outlineLevel="0" collapsed="false">
      <c r="F2084" s="86"/>
      <c r="G2084" s="86"/>
      <c r="H2084" s="86"/>
      <c r="I2084" s="86"/>
      <c r="J2084" s="86"/>
      <c r="K2084" s="86"/>
      <c r="L2084" s="86"/>
      <c r="N2084" s="86"/>
      <c r="CQ2084" s="86"/>
      <c r="CR2084" s="86"/>
      <c r="CS2084" s="86"/>
      <c r="CT2084" s="86"/>
      <c r="CU2084" s="86"/>
      <c r="CV2084" s="86"/>
      <c r="CW2084" s="86"/>
    </row>
    <row r="2085" customFormat="false" ht="12.75" hidden="false" customHeight="false" outlineLevel="0" collapsed="false">
      <c r="F2085" s="86"/>
      <c r="G2085" s="86"/>
      <c r="H2085" s="86"/>
      <c r="I2085" s="86"/>
      <c r="J2085" s="86"/>
      <c r="K2085" s="86"/>
      <c r="L2085" s="86"/>
      <c r="N2085" s="86"/>
      <c r="CQ2085" s="86"/>
      <c r="CR2085" s="86"/>
      <c r="CS2085" s="86"/>
      <c r="CT2085" s="86"/>
      <c r="CU2085" s="86"/>
      <c r="CV2085" s="86"/>
      <c r="CW2085" s="86"/>
    </row>
    <row r="2086" customFormat="false" ht="12.75" hidden="false" customHeight="false" outlineLevel="0" collapsed="false">
      <c r="F2086" s="86"/>
      <c r="G2086" s="86"/>
      <c r="H2086" s="86"/>
      <c r="I2086" s="86"/>
      <c r="J2086" s="86"/>
      <c r="K2086" s="86"/>
      <c r="L2086" s="86"/>
      <c r="N2086" s="86"/>
      <c r="CQ2086" s="86"/>
      <c r="CR2086" s="86"/>
      <c r="CS2086" s="86"/>
      <c r="CT2086" s="86"/>
      <c r="CU2086" s="86"/>
      <c r="CV2086" s="86"/>
      <c r="CW2086" s="86"/>
    </row>
    <row r="2087" customFormat="false" ht="12.75" hidden="false" customHeight="false" outlineLevel="0" collapsed="false">
      <c r="F2087" s="86"/>
      <c r="G2087" s="86"/>
      <c r="H2087" s="86"/>
      <c r="I2087" s="86"/>
      <c r="J2087" s="86"/>
      <c r="K2087" s="86"/>
      <c r="L2087" s="86"/>
      <c r="N2087" s="86"/>
      <c r="CQ2087" s="86"/>
      <c r="CR2087" s="86"/>
      <c r="CS2087" s="86"/>
      <c r="CT2087" s="86"/>
      <c r="CU2087" s="86"/>
      <c r="CV2087" s="86"/>
      <c r="CW2087" s="86"/>
    </row>
    <row r="2088" customFormat="false" ht="12.75" hidden="false" customHeight="false" outlineLevel="0" collapsed="false">
      <c r="F2088" s="86"/>
      <c r="G2088" s="86"/>
      <c r="H2088" s="86"/>
      <c r="I2088" s="86"/>
      <c r="J2088" s="86"/>
      <c r="K2088" s="86"/>
      <c r="L2088" s="86"/>
      <c r="N2088" s="86"/>
      <c r="CQ2088" s="86"/>
      <c r="CR2088" s="86"/>
      <c r="CS2088" s="86"/>
      <c r="CT2088" s="86"/>
      <c r="CU2088" s="86"/>
      <c r="CV2088" s="86"/>
      <c r="CW2088" s="86"/>
    </row>
    <row r="2089" customFormat="false" ht="12.75" hidden="false" customHeight="false" outlineLevel="0" collapsed="false">
      <c r="F2089" s="86"/>
      <c r="G2089" s="86"/>
      <c r="H2089" s="86"/>
      <c r="I2089" s="86"/>
      <c r="J2089" s="86"/>
      <c r="K2089" s="86"/>
      <c r="L2089" s="86"/>
      <c r="N2089" s="86"/>
      <c r="CQ2089" s="86"/>
      <c r="CR2089" s="86"/>
      <c r="CS2089" s="86"/>
      <c r="CT2089" s="86"/>
      <c r="CU2089" s="86"/>
      <c r="CV2089" s="86"/>
      <c r="CW2089" s="86"/>
    </row>
    <row r="2090" customFormat="false" ht="12.75" hidden="false" customHeight="false" outlineLevel="0" collapsed="false">
      <c r="F2090" s="86"/>
      <c r="G2090" s="86"/>
      <c r="H2090" s="86"/>
      <c r="I2090" s="86"/>
      <c r="J2090" s="86"/>
      <c r="K2090" s="86"/>
      <c r="L2090" s="86"/>
      <c r="N2090" s="86"/>
      <c r="CQ2090" s="86"/>
      <c r="CR2090" s="86"/>
      <c r="CS2090" s="86"/>
      <c r="CT2090" s="86"/>
      <c r="CU2090" s="86"/>
      <c r="CV2090" s="86"/>
      <c r="CW2090" s="86"/>
    </row>
    <row r="2091" customFormat="false" ht="12.75" hidden="false" customHeight="false" outlineLevel="0" collapsed="false">
      <c r="F2091" s="86"/>
      <c r="G2091" s="86"/>
      <c r="H2091" s="86"/>
      <c r="I2091" s="86"/>
      <c r="J2091" s="86"/>
      <c r="K2091" s="86"/>
      <c r="L2091" s="86"/>
      <c r="N2091" s="86"/>
      <c r="CQ2091" s="86"/>
      <c r="CR2091" s="86"/>
      <c r="CS2091" s="86"/>
      <c r="CT2091" s="86"/>
      <c r="CU2091" s="86"/>
      <c r="CV2091" s="86"/>
      <c r="CW2091" s="86"/>
    </row>
    <row r="2092" customFormat="false" ht="12.75" hidden="false" customHeight="false" outlineLevel="0" collapsed="false">
      <c r="F2092" s="86"/>
      <c r="G2092" s="86"/>
      <c r="H2092" s="86"/>
      <c r="I2092" s="86"/>
      <c r="J2092" s="86"/>
      <c r="K2092" s="86"/>
      <c r="L2092" s="86"/>
      <c r="N2092" s="86"/>
      <c r="CQ2092" s="86"/>
      <c r="CR2092" s="86"/>
      <c r="CS2092" s="86"/>
      <c r="CT2092" s="86"/>
      <c r="CU2092" s="86"/>
      <c r="CV2092" s="86"/>
      <c r="CW2092" s="86"/>
    </row>
    <row r="2093" customFormat="false" ht="12.75" hidden="false" customHeight="false" outlineLevel="0" collapsed="false">
      <c r="F2093" s="86"/>
      <c r="G2093" s="86"/>
      <c r="H2093" s="86"/>
      <c r="I2093" s="86"/>
      <c r="J2093" s="86"/>
      <c r="K2093" s="86"/>
      <c r="L2093" s="86"/>
      <c r="N2093" s="86"/>
      <c r="CQ2093" s="86"/>
      <c r="CR2093" s="86"/>
      <c r="CS2093" s="86"/>
      <c r="CT2093" s="86"/>
      <c r="CU2093" s="86"/>
      <c r="CV2093" s="86"/>
      <c r="CW2093" s="86"/>
    </row>
    <row r="2094" customFormat="false" ht="12.75" hidden="false" customHeight="false" outlineLevel="0" collapsed="false">
      <c r="F2094" s="86"/>
      <c r="G2094" s="86"/>
      <c r="H2094" s="86"/>
      <c r="I2094" s="86"/>
      <c r="J2094" s="86"/>
      <c r="K2094" s="86"/>
      <c r="L2094" s="86"/>
      <c r="N2094" s="86"/>
      <c r="CQ2094" s="86"/>
      <c r="CR2094" s="86"/>
      <c r="CS2094" s="86"/>
      <c r="CT2094" s="86"/>
      <c r="CU2094" s="86"/>
      <c r="CV2094" s="86"/>
      <c r="CW2094" s="86"/>
    </row>
    <row r="2095" customFormat="false" ht="12.75" hidden="false" customHeight="false" outlineLevel="0" collapsed="false">
      <c r="F2095" s="86"/>
      <c r="G2095" s="86"/>
      <c r="H2095" s="86"/>
      <c r="I2095" s="86"/>
      <c r="J2095" s="86"/>
      <c r="K2095" s="86"/>
      <c r="L2095" s="86"/>
      <c r="N2095" s="86"/>
      <c r="CQ2095" s="86"/>
      <c r="CR2095" s="86"/>
      <c r="CS2095" s="86"/>
      <c r="CT2095" s="86"/>
      <c r="CU2095" s="86"/>
      <c r="CV2095" s="86"/>
      <c r="CW2095" s="86"/>
    </row>
    <row r="2096" customFormat="false" ht="12.75" hidden="false" customHeight="false" outlineLevel="0" collapsed="false">
      <c r="F2096" s="86"/>
      <c r="G2096" s="86"/>
      <c r="H2096" s="86"/>
      <c r="I2096" s="86"/>
      <c r="J2096" s="86"/>
      <c r="K2096" s="86"/>
      <c r="L2096" s="86"/>
      <c r="N2096" s="86"/>
      <c r="CQ2096" s="86"/>
      <c r="CR2096" s="86"/>
      <c r="CS2096" s="86"/>
      <c r="CT2096" s="86"/>
      <c r="CU2096" s="86"/>
      <c r="CV2096" s="86"/>
      <c r="CW2096" s="86"/>
    </row>
    <row r="2097" customFormat="false" ht="12.75" hidden="false" customHeight="false" outlineLevel="0" collapsed="false">
      <c r="F2097" s="86"/>
      <c r="G2097" s="86"/>
      <c r="H2097" s="86"/>
      <c r="I2097" s="86"/>
      <c r="J2097" s="86"/>
      <c r="K2097" s="86"/>
      <c r="L2097" s="86"/>
      <c r="N2097" s="86"/>
      <c r="CQ2097" s="86"/>
      <c r="CR2097" s="86"/>
      <c r="CS2097" s="86"/>
      <c r="CT2097" s="86"/>
      <c r="CU2097" s="86"/>
      <c r="CV2097" s="86"/>
      <c r="CW2097" s="86"/>
    </row>
    <row r="2098" customFormat="false" ht="12.75" hidden="false" customHeight="false" outlineLevel="0" collapsed="false">
      <c r="F2098" s="86"/>
      <c r="G2098" s="86"/>
      <c r="H2098" s="86"/>
      <c r="I2098" s="86"/>
      <c r="J2098" s="86"/>
      <c r="K2098" s="86"/>
      <c r="L2098" s="86"/>
      <c r="N2098" s="86"/>
      <c r="CQ2098" s="86"/>
      <c r="CR2098" s="86"/>
      <c r="CS2098" s="86"/>
      <c r="CT2098" s="86"/>
      <c r="CU2098" s="86"/>
      <c r="CV2098" s="86"/>
      <c r="CW2098" s="86"/>
    </row>
    <row r="2099" customFormat="false" ht="12.75" hidden="false" customHeight="false" outlineLevel="0" collapsed="false">
      <c r="F2099" s="86"/>
      <c r="G2099" s="86"/>
      <c r="H2099" s="86"/>
      <c r="I2099" s="86"/>
      <c r="J2099" s="86"/>
      <c r="K2099" s="86"/>
      <c r="L2099" s="86"/>
      <c r="N2099" s="86"/>
      <c r="CQ2099" s="86"/>
      <c r="CR2099" s="86"/>
      <c r="CS2099" s="86"/>
      <c r="CT2099" s="86"/>
      <c r="CU2099" s="86"/>
      <c r="CV2099" s="86"/>
      <c r="CW2099" s="86"/>
    </row>
    <row r="2100" customFormat="false" ht="12.75" hidden="false" customHeight="false" outlineLevel="0" collapsed="false">
      <c r="F2100" s="86"/>
      <c r="G2100" s="86"/>
      <c r="H2100" s="86"/>
      <c r="I2100" s="86"/>
      <c r="J2100" s="86"/>
      <c r="K2100" s="86"/>
      <c r="L2100" s="86"/>
      <c r="N2100" s="86"/>
      <c r="CQ2100" s="86"/>
      <c r="CR2100" s="86"/>
      <c r="CS2100" s="86"/>
      <c r="CT2100" s="86"/>
      <c r="CU2100" s="86"/>
      <c r="CV2100" s="86"/>
      <c r="CW2100" s="86"/>
    </row>
    <row r="2101" customFormat="false" ht="12.75" hidden="false" customHeight="false" outlineLevel="0" collapsed="false">
      <c r="F2101" s="86"/>
      <c r="G2101" s="86"/>
      <c r="H2101" s="86"/>
      <c r="I2101" s="86"/>
      <c r="J2101" s="86"/>
      <c r="K2101" s="86"/>
      <c r="L2101" s="86"/>
      <c r="N2101" s="86"/>
      <c r="CQ2101" s="86"/>
      <c r="CR2101" s="86"/>
      <c r="CS2101" s="86"/>
      <c r="CT2101" s="86"/>
      <c r="CU2101" s="86"/>
      <c r="CV2101" s="86"/>
      <c r="CW2101" s="86"/>
    </row>
    <row r="2102" customFormat="false" ht="12.75" hidden="false" customHeight="false" outlineLevel="0" collapsed="false">
      <c r="F2102" s="86"/>
      <c r="G2102" s="86"/>
      <c r="H2102" s="86"/>
      <c r="I2102" s="86"/>
      <c r="J2102" s="86"/>
      <c r="K2102" s="86"/>
      <c r="L2102" s="86"/>
      <c r="N2102" s="86"/>
      <c r="CQ2102" s="86"/>
      <c r="CR2102" s="86"/>
      <c r="CS2102" s="86"/>
      <c r="CT2102" s="86"/>
      <c r="CU2102" s="86"/>
      <c r="CV2102" s="86"/>
      <c r="CW2102" s="86"/>
    </row>
    <row r="2103" customFormat="false" ht="12.75" hidden="false" customHeight="false" outlineLevel="0" collapsed="false">
      <c r="F2103" s="86"/>
      <c r="G2103" s="86"/>
      <c r="H2103" s="86"/>
      <c r="I2103" s="86"/>
      <c r="J2103" s="86"/>
      <c r="K2103" s="86"/>
      <c r="L2103" s="86"/>
      <c r="N2103" s="86"/>
      <c r="CQ2103" s="86"/>
      <c r="CR2103" s="86"/>
      <c r="CS2103" s="86"/>
      <c r="CT2103" s="86"/>
      <c r="CU2103" s="86"/>
      <c r="CV2103" s="86"/>
      <c r="CW2103" s="86"/>
    </row>
    <row r="2104" customFormat="false" ht="12.75" hidden="false" customHeight="false" outlineLevel="0" collapsed="false">
      <c r="F2104" s="86"/>
      <c r="G2104" s="86"/>
      <c r="H2104" s="86"/>
      <c r="I2104" s="86"/>
      <c r="J2104" s="86"/>
      <c r="K2104" s="86"/>
      <c r="L2104" s="86"/>
      <c r="N2104" s="86"/>
      <c r="CQ2104" s="86"/>
      <c r="CR2104" s="86"/>
      <c r="CS2104" s="86"/>
      <c r="CT2104" s="86"/>
      <c r="CU2104" s="86"/>
      <c r="CV2104" s="86"/>
      <c r="CW2104" s="86"/>
    </row>
    <row r="2105" customFormat="false" ht="12.75" hidden="false" customHeight="false" outlineLevel="0" collapsed="false">
      <c r="F2105" s="86"/>
      <c r="G2105" s="86"/>
      <c r="H2105" s="86"/>
      <c r="I2105" s="86"/>
      <c r="J2105" s="86"/>
      <c r="K2105" s="86"/>
      <c r="L2105" s="86"/>
      <c r="N2105" s="86"/>
      <c r="CQ2105" s="86"/>
      <c r="CR2105" s="86"/>
      <c r="CS2105" s="86"/>
      <c r="CT2105" s="86"/>
      <c r="CU2105" s="86"/>
      <c r="CV2105" s="86"/>
      <c r="CW2105" s="86"/>
    </row>
    <row r="2106" customFormat="false" ht="12.75" hidden="false" customHeight="false" outlineLevel="0" collapsed="false">
      <c r="F2106" s="86"/>
      <c r="G2106" s="86"/>
      <c r="H2106" s="86"/>
      <c r="I2106" s="86"/>
      <c r="J2106" s="86"/>
      <c r="K2106" s="86"/>
      <c r="L2106" s="86"/>
      <c r="N2106" s="86"/>
      <c r="CQ2106" s="86"/>
      <c r="CR2106" s="86"/>
      <c r="CS2106" s="86"/>
      <c r="CT2106" s="86"/>
      <c r="CU2106" s="86"/>
      <c r="CV2106" s="86"/>
      <c r="CW2106" s="86"/>
    </row>
    <row r="2107" customFormat="false" ht="12.75" hidden="false" customHeight="false" outlineLevel="0" collapsed="false">
      <c r="F2107" s="86"/>
      <c r="G2107" s="86"/>
      <c r="H2107" s="86"/>
      <c r="I2107" s="86"/>
      <c r="J2107" s="86"/>
      <c r="K2107" s="86"/>
      <c r="L2107" s="86"/>
      <c r="N2107" s="86"/>
      <c r="CQ2107" s="86"/>
      <c r="CR2107" s="86"/>
      <c r="CS2107" s="86"/>
      <c r="CT2107" s="86"/>
      <c r="CU2107" s="86"/>
      <c r="CV2107" s="86"/>
      <c r="CW2107" s="86"/>
    </row>
    <row r="2108" customFormat="false" ht="12.75" hidden="false" customHeight="false" outlineLevel="0" collapsed="false">
      <c r="F2108" s="86"/>
      <c r="G2108" s="86"/>
      <c r="H2108" s="86"/>
      <c r="I2108" s="86"/>
      <c r="J2108" s="86"/>
      <c r="K2108" s="86"/>
      <c r="L2108" s="86"/>
      <c r="N2108" s="86"/>
      <c r="CQ2108" s="86"/>
      <c r="CR2108" s="86"/>
      <c r="CS2108" s="86"/>
      <c r="CT2108" s="86"/>
      <c r="CU2108" s="86"/>
      <c r="CV2108" s="86"/>
      <c r="CW2108" s="86"/>
    </row>
    <row r="2109" customFormat="false" ht="12.75" hidden="false" customHeight="false" outlineLevel="0" collapsed="false">
      <c r="F2109" s="86"/>
      <c r="G2109" s="86"/>
      <c r="H2109" s="86"/>
      <c r="I2109" s="86"/>
      <c r="J2109" s="86"/>
      <c r="K2109" s="86"/>
      <c r="L2109" s="86"/>
      <c r="N2109" s="86"/>
      <c r="CQ2109" s="86"/>
      <c r="CR2109" s="86"/>
      <c r="CS2109" s="86"/>
      <c r="CT2109" s="86"/>
      <c r="CU2109" s="86"/>
      <c r="CV2109" s="86"/>
      <c r="CW2109" s="86"/>
    </row>
    <row r="2110" customFormat="false" ht="12.75" hidden="false" customHeight="false" outlineLevel="0" collapsed="false">
      <c r="F2110" s="86"/>
      <c r="G2110" s="86"/>
      <c r="H2110" s="86"/>
      <c r="I2110" s="86"/>
      <c r="J2110" s="86"/>
      <c r="K2110" s="86"/>
      <c r="L2110" s="86"/>
      <c r="N2110" s="86"/>
      <c r="CQ2110" s="86"/>
      <c r="CR2110" s="86"/>
      <c r="CS2110" s="86"/>
      <c r="CT2110" s="86"/>
      <c r="CU2110" s="86"/>
      <c r="CV2110" s="86"/>
      <c r="CW2110" s="86"/>
    </row>
    <row r="2111" customFormat="false" ht="12.75" hidden="false" customHeight="false" outlineLevel="0" collapsed="false">
      <c r="F2111" s="86"/>
      <c r="G2111" s="86"/>
      <c r="H2111" s="86"/>
      <c r="I2111" s="86"/>
      <c r="J2111" s="86"/>
      <c r="K2111" s="86"/>
      <c r="L2111" s="86"/>
      <c r="N2111" s="86"/>
      <c r="CQ2111" s="86"/>
      <c r="CR2111" s="86"/>
      <c r="CS2111" s="86"/>
      <c r="CT2111" s="86"/>
      <c r="CU2111" s="86"/>
      <c r="CV2111" s="86"/>
      <c r="CW2111" s="86"/>
    </row>
    <row r="2112" customFormat="false" ht="12.75" hidden="false" customHeight="false" outlineLevel="0" collapsed="false">
      <c r="F2112" s="86"/>
      <c r="G2112" s="86"/>
      <c r="H2112" s="86"/>
      <c r="I2112" s="86"/>
      <c r="J2112" s="86"/>
      <c r="K2112" s="86"/>
      <c r="L2112" s="86"/>
      <c r="N2112" s="86"/>
      <c r="CQ2112" s="86"/>
      <c r="CR2112" s="86"/>
      <c r="CS2112" s="86"/>
      <c r="CT2112" s="86"/>
      <c r="CU2112" s="86"/>
      <c r="CV2112" s="86"/>
      <c r="CW2112" s="86"/>
    </row>
    <row r="2113" customFormat="false" ht="12.75" hidden="false" customHeight="false" outlineLevel="0" collapsed="false">
      <c r="F2113" s="86"/>
      <c r="G2113" s="86"/>
      <c r="H2113" s="86"/>
      <c r="I2113" s="86"/>
      <c r="J2113" s="86"/>
      <c r="K2113" s="86"/>
      <c r="L2113" s="86"/>
      <c r="N2113" s="86"/>
      <c r="CQ2113" s="86"/>
      <c r="CR2113" s="86"/>
      <c r="CS2113" s="86"/>
      <c r="CT2113" s="86"/>
      <c r="CU2113" s="86"/>
      <c r="CV2113" s="86"/>
      <c r="CW2113" s="86"/>
    </row>
    <row r="2114" customFormat="false" ht="12.75" hidden="false" customHeight="false" outlineLevel="0" collapsed="false">
      <c r="F2114" s="86"/>
      <c r="G2114" s="86"/>
      <c r="H2114" s="86"/>
      <c r="I2114" s="86"/>
      <c r="J2114" s="86"/>
      <c r="K2114" s="86"/>
      <c r="L2114" s="86"/>
      <c r="N2114" s="86"/>
      <c r="CQ2114" s="86"/>
      <c r="CR2114" s="86"/>
      <c r="CS2114" s="86"/>
      <c r="CT2114" s="86"/>
      <c r="CU2114" s="86"/>
      <c r="CV2114" s="86"/>
      <c r="CW2114" s="86"/>
    </row>
    <row r="2115" customFormat="false" ht="12.75" hidden="false" customHeight="false" outlineLevel="0" collapsed="false">
      <c r="F2115" s="86"/>
      <c r="G2115" s="86"/>
      <c r="H2115" s="86"/>
      <c r="I2115" s="86"/>
      <c r="J2115" s="86"/>
      <c r="K2115" s="86"/>
      <c r="L2115" s="86"/>
      <c r="N2115" s="86"/>
      <c r="CQ2115" s="86"/>
      <c r="CR2115" s="86"/>
      <c r="CS2115" s="86"/>
      <c r="CT2115" s="86"/>
      <c r="CU2115" s="86"/>
      <c r="CV2115" s="86"/>
      <c r="CW2115" s="86"/>
    </row>
    <row r="2116" customFormat="false" ht="12.75" hidden="false" customHeight="false" outlineLevel="0" collapsed="false">
      <c r="F2116" s="86"/>
      <c r="G2116" s="86"/>
      <c r="H2116" s="86"/>
      <c r="I2116" s="86"/>
      <c r="J2116" s="86"/>
      <c r="K2116" s="86"/>
      <c r="L2116" s="86"/>
      <c r="N2116" s="86"/>
      <c r="CQ2116" s="86"/>
      <c r="CR2116" s="86"/>
      <c r="CS2116" s="86"/>
      <c r="CT2116" s="86"/>
      <c r="CU2116" s="86"/>
      <c r="CV2116" s="86"/>
      <c r="CW2116" s="86"/>
    </row>
    <row r="2117" customFormat="false" ht="12.75" hidden="false" customHeight="false" outlineLevel="0" collapsed="false">
      <c r="F2117" s="86"/>
      <c r="G2117" s="86"/>
      <c r="H2117" s="86"/>
      <c r="I2117" s="86"/>
      <c r="J2117" s="86"/>
      <c r="K2117" s="86"/>
      <c r="L2117" s="86"/>
      <c r="N2117" s="86"/>
      <c r="CQ2117" s="86"/>
      <c r="CR2117" s="86"/>
      <c r="CS2117" s="86"/>
      <c r="CT2117" s="86"/>
      <c r="CU2117" s="86"/>
      <c r="CV2117" s="86"/>
      <c r="CW2117" s="86"/>
    </row>
    <row r="2118" customFormat="false" ht="12.75" hidden="false" customHeight="false" outlineLevel="0" collapsed="false">
      <c r="F2118" s="86"/>
      <c r="G2118" s="86"/>
      <c r="H2118" s="86"/>
      <c r="I2118" s="86"/>
      <c r="J2118" s="86"/>
      <c r="K2118" s="86"/>
      <c r="L2118" s="86"/>
      <c r="N2118" s="86"/>
      <c r="CQ2118" s="86"/>
      <c r="CR2118" s="86"/>
      <c r="CS2118" s="86"/>
      <c r="CT2118" s="86"/>
      <c r="CU2118" s="86"/>
      <c r="CV2118" s="86"/>
      <c r="CW2118" s="86"/>
    </row>
    <row r="2119" customFormat="false" ht="12.75" hidden="false" customHeight="false" outlineLevel="0" collapsed="false">
      <c r="F2119" s="86"/>
      <c r="G2119" s="86"/>
      <c r="H2119" s="86"/>
      <c r="I2119" s="86"/>
      <c r="J2119" s="86"/>
      <c r="K2119" s="86"/>
      <c r="L2119" s="86"/>
      <c r="N2119" s="86"/>
      <c r="CQ2119" s="86"/>
      <c r="CR2119" s="86"/>
      <c r="CS2119" s="86"/>
      <c r="CT2119" s="86"/>
      <c r="CU2119" s="86"/>
      <c r="CV2119" s="86"/>
      <c r="CW2119" s="86"/>
    </row>
    <row r="2120" customFormat="false" ht="12.75" hidden="false" customHeight="false" outlineLevel="0" collapsed="false">
      <c r="F2120" s="86"/>
      <c r="G2120" s="86"/>
      <c r="H2120" s="86"/>
      <c r="I2120" s="86"/>
      <c r="J2120" s="86"/>
      <c r="K2120" s="86"/>
      <c r="L2120" s="86"/>
      <c r="N2120" s="86"/>
      <c r="CQ2120" s="86"/>
      <c r="CR2120" s="86"/>
      <c r="CS2120" s="86"/>
      <c r="CT2120" s="86"/>
      <c r="CU2120" s="86"/>
      <c r="CV2120" s="86"/>
      <c r="CW2120" s="86"/>
    </row>
    <row r="2121" customFormat="false" ht="12.75" hidden="false" customHeight="false" outlineLevel="0" collapsed="false">
      <c r="F2121" s="86"/>
      <c r="G2121" s="86"/>
      <c r="H2121" s="86"/>
      <c r="I2121" s="86"/>
      <c r="J2121" s="86"/>
      <c r="K2121" s="86"/>
      <c r="L2121" s="86"/>
      <c r="N2121" s="86"/>
      <c r="CQ2121" s="86"/>
      <c r="CR2121" s="86"/>
      <c r="CS2121" s="86"/>
      <c r="CT2121" s="86"/>
      <c r="CU2121" s="86"/>
      <c r="CV2121" s="86"/>
      <c r="CW2121" s="86"/>
    </row>
    <row r="2122" customFormat="false" ht="12.75" hidden="false" customHeight="false" outlineLevel="0" collapsed="false">
      <c r="F2122" s="86"/>
      <c r="G2122" s="86"/>
      <c r="H2122" s="86"/>
      <c r="I2122" s="86"/>
      <c r="J2122" s="86"/>
      <c r="K2122" s="86"/>
      <c r="L2122" s="86"/>
      <c r="N2122" s="86"/>
      <c r="CQ2122" s="86"/>
      <c r="CR2122" s="86"/>
      <c r="CS2122" s="86"/>
      <c r="CT2122" s="86"/>
      <c r="CU2122" s="86"/>
      <c r="CV2122" s="86"/>
      <c r="CW2122" s="86"/>
    </row>
    <row r="2123" customFormat="false" ht="12.75" hidden="false" customHeight="false" outlineLevel="0" collapsed="false">
      <c r="F2123" s="86"/>
      <c r="G2123" s="86"/>
      <c r="H2123" s="86"/>
      <c r="I2123" s="86"/>
      <c r="J2123" s="86"/>
      <c r="K2123" s="86"/>
      <c r="L2123" s="86"/>
      <c r="N2123" s="86"/>
      <c r="CQ2123" s="86"/>
      <c r="CR2123" s="86"/>
      <c r="CS2123" s="86"/>
      <c r="CT2123" s="86"/>
      <c r="CU2123" s="86"/>
      <c r="CV2123" s="86"/>
      <c r="CW2123" s="86"/>
    </row>
    <row r="2124" customFormat="false" ht="12.75" hidden="false" customHeight="false" outlineLevel="0" collapsed="false">
      <c r="F2124" s="86"/>
      <c r="G2124" s="86"/>
      <c r="H2124" s="86"/>
      <c r="I2124" s="86"/>
      <c r="J2124" s="86"/>
      <c r="K2124" s="86"/>
      <c r="L2124" s="86"/>
      <c r="N2124" s="86"/>
      <c r="CQ2124" s="86"/>
      <c r="CR2124" s="86"/>
      <c r="CS2124" s="86"/>
      <c r="CT2124" s="86"/>
      <c r="CU2124" s="86"/>
      <c r="CV2124" s="86"/>
      <c r="CW2124" s="86"/>
    </row>
    <row r="2125" customFormat="false" ht="12.75" hidden="false" customHeight="false" outlineLevel="0" collapsed="false">
      <c r="F2125" s="86"/>
      <c r="G2125" s="86"/>
      <c r="H2125" s="86"/>
      <c r="I2125" s="86"/>
      <c r="J2125" s="86"/>
      <c r="K2125" s="86"/>
      <c r="L2125" s="86"/>
      <c r="N2125" s="86"/>
      <c r="CQ2125" s="86"/>
      <c r="CR2125" s="86"/>
      <c r="CS2125" s="86"/>
      <c r="CT2125" s="86"/>
      <c r="CU2125" s="86"/>
      <c r="CV2125" s="86"/>
      <c r="CW2125" s="86"/>
    </row>
    <row r="2126" customFormat="false" ht="12.75" hidden="false" customHeight="false" outlineLevel="0" collapsed="false">
      <c r="F2126" s="86"/>
      <c r="G2126" s="86"/>
      <c r="H2126" s="86"/>
      <c r="I2126" s="86"/>
      <c r="J2126" s="86"/>
      <c r="K2126" s="86"/>
      <c r="L2126" s="86"/>
      <c r="N2126" s="86"/>
      <c r="CQ2126" s="86"/>
      <c r="CR2126" s="86"/>
      <c r="CS2126" s="86"/>
      <c r="CT2126" s="86"/>
      <c r="CU2126" s="86"/>
      <c r="CV2126" s="86"/>
      <c r="CW2126" s="86"/>
    </row>
    <row r="2127" customFormat="false" ht="12.75" hidden="false" customHeight="false" outlineLevel="0" collapsed="false">
      <c r="F2127" s="86"/>
      <c r="G2127" s="86"/>
      <c r="H2127" s="86"/>
      <c r="I2127" s="86"/>
      <c r="J2127" s="86"/>
      <c r="K2127" s="86"/>
      <c r="L2127" s="86"/>
      <c r="N2127" s="86"/>
      <c r="CQ2127" s="86"/>
      <c r="CR2127" s="86"/>
      <c r="CS2127" s="86"/>
      <c r="CT2127" s="86"/>
      <c r="CU2127" s="86"/>
      <c r="CV2127" s="86"/>
      <c r="CW2127" s="86"/>
    </row>
    <row r="2128" customFormat="false" ht="12.75" hidden="false" customHeight="false" outlineLevel="0" collapsed="false">
      <c r="F2128" s="86"/>
      <c r="G2128" s="86"/>
      <c r="H2128" s="86"/>
      <c r="I2128" s="86"/>
      <c r="J2128" s="86"/>
      <c r="K2128" s="86"/>
      <c r="L2128" s="86"/>
      <c r="N2128" s="86"/>
      <c r="CQ2128" s="86"/>
      <c r="CR2128" s="86"/>
      <c r="CS2128" s="86"/>
      <c r="CT2128" s="86"/>
      <c r="CU2128" s="86"/>
      <c r="CV2128" s="86"/>
      <c r="CW2128" s="86"/>
    </row>
    <row r="2129" customFormat="false" ht="12.75" hidden="false" customHeight="false" outlineLevel="0" collapsed="false">
      <c r="F2129" s="86"/>
      <c r="G2129" s="86"/>
      <c r="H2129" s="86"/>
      <c r="I2129" s="86"/>
      <c r="J2129" s="86"/>
      <c r="K2129" s="86"/>
      <c r="L2129" s="86"/>
      <c r="N2129" s="86"/>
      <c r="CQ2129" s="86"/>
      <c r="CR2129" s="86"/>
      <c r="CS2129" s="86"/>
      <c r="CT2129" s="86"/>
      <c r="CU2129" s="86"/>
      <c r="CV2129" s="86"/>
      <c r="CW2129" s="86"/>
    </row>
    <row r="2130" customFormat="false" ht="12.75" hidden="false" customHeight="false" outlineLevel="0" collapsed="false">
      <c r="F2130" s="86"/>
      <c r="G2130" s="86"/>
      <c r="H2130" s="86"/>
      <c r="I2130" s="86"/>
      <c r="J2130" s="86"/>
      <c r="K2130" s="86"/>
      <c r="L2130" s="86"/>
      <c r="N2130" s="86"/>
      <c r="CQ2130" s="86"/>
      <c r="CR2130" s="86"/>
      <c r="CS2130" s="86"/>
      <c r="CT2130" s="86"/>
      <c r="CU2130" s="86"/>
      <c r="CV2130" s="86"/>
      <c r="CW2130" s="86"/>
    </row>
    <row r="2131" customFormat="false" ht="12.75" hidden="false" customHeight="false" outlineLevel="0" collapsed="false">
      <c r="F2131" s="86"/>
      <c r="G2131" s="86"/>
      <c r="H2131" s="86"/>
      <c r="I2131" s="86"/>
      <c r="J2131" s="86"/>
      <c r="K2131" s="86"/>
      <c r="L2131" s="86"/>
      <c r="N2131" s="86"/>
      <c r="CQ2131" s="86"/>
      <c r="CR2131" s="86"/>
      <c r="CS2131" s="86"/>
      <c r="CT2131" s="86"/>
      <c r="CU2131" s="86"/>
      <c r="CV2131" s="86"/>
      <c r="CW2131" s="86"/>
    </row>
    <row r="2132" customFormat="false" ht="12.75" hidden="false" customHeight="false" outlineLevel="0" collapsed="false">
      <c r="F2132" s="86"/>
      <c r="G2132" s="86"/>
      <c r="H2132" s="86"/>
      <c r="I2132" s="86"/>
      <c r="J2132" s="86"/>
      <c r="K2132" s="86"/>
      <c r="L2132" s="86"/>
      <c r="N2132" s="86"/>
      <c r="CQ2132" s="86"/>
      <c r="CR2132" s="86"/>
      <c r="CS2132" s="86"/>
      <c r="CT2132" s="86"/>
      <c r="CU2132" s="86"/>
      <c r="CV2132" s="86"/>
      <c r="CW2132" s="86"/>
    </row>
    <row r="2133" customFormat="false" ht="12.75" hidden="false" customHeight="false" outlineLevel="0" collapsed="false">
      <c r="F2133" s="86"/>
      <c r="G2133" s="86"/>
      <c r="H2133" s="86"/>
      <c r="I2133" s="86"/>
      <c r="J2133" s="86"/>
      <c r="K2133" s="86"/>
      <c r="L2133" s="86"/>
      <c r="N2133" s="86"/>
      <c r="CQ2133" s="86"/>
      <c r="CR2133" s="86"/>
      <c r="CS2133" s="86"/>
      <c r="CT2133" s="86"/>
      <c r="CU2133" s="86"/>
      <c r="CV2133" s="86"/>
      <c r="CW2133" s="86"/>
    </row>
    <row r="2134" customFormat="false" ht="12.75" hidden="false" customHeight="false" outlineLevel="0" collapsed="false">
      <c r="F2134" s="86"/>
      <c r="G2134" s="86"/>
      <c r="H2134" s="86"/>
      <c r="I2134" s="86"/>
      <c r="J2134" s="86"/>
      <c r="K2134" s="86"/>
      <c r="L2134" s="86"/>
      <c r="N2134" s="86"/>
      <c r="CQ2134" s="86"/>
      <c r="CR2134" s="86"/>
      <c r="CS2134" s="86"/>
      <c r="CT2134" s="86"/>
      <c r="CU2134" s="86"/>
      <c r="CV2134" s="86"/>
      <c r="CW2134" s="86"/>
    </row>
    <row r="2135" customFormat="false" ht="12.75" hidden="false" customHeight="false" outlineLevel="0" collapsed="false">
      <c r="F2135" s="86"/>
      <c r="G2135" s="86"/>
      <c r="H2135" s="86"/>
      <c r="I2135" s="86"/>
      <c r="J2135" s="86"/>
      <c r="K2135" s="86"/>
      <c r="L2135" s="86"/>
      <c r="N2135" s="86"/>
      <c r="CQ2135" s="86"/>
      <c r="CR2135" s="86"/>
      <c r="CS2135" s="86"/>
      <c r="CT2135" s="86"/>
      <c r="CU2135" s="86"/>
      <c r="CV2135" s="86"/>
      <c r="CW2135" s="86"/>
    </row>
    <row r="2136" customFormat="false" ht="12.75" hidden="false" customHeight="false" outlineLevel="0" collapsed="false">
      <c r="F2136" s="86"/>
      <c r="G2136" s="86"/>
      <c r="H2136" s="86"/>
      <c r="I2136" s="86"/>
      <c r="J2136" s="86"/>
      <c r="K2136" s="86"/>
      <c r="L2136" s="86"/>
      <c r="N2136" s="86"/>
      <c r="CQ2136" s="86"/>
      <c r="CR2136" s="86"/>
      <c r="CS2136" s="86"/>
      <c r="CT2136" s="86"/>
      <c r="CU2136" s="86"/>
      <c r="CV2136" s="86"/>
      <c r="CW2136" s="86"/>
    </row>
    <row r="2137" customFormat="false" ht="12.75" hidden="false" customHeight="false" outlineLevel="0" collapsed="false">
      <c r="F2137" s="86"/>
      <c r="G2137" s="86"/>
      <c r="H2137" s="86"/>
      <c r="I2137" s="86"/>
      <c r="J2137" s="86"/>
      <c r="K2137" s="86"/>
      <c r="L2137" s="86"/>
      <c r="N2137" s="86"/>
      <c r="CQ2137" s="86"/>
      <c r="CR2137" s="86"/>
      <c r="CS2137" s="86"/>
      <c r="CT2137" s="86"/>
      <c r="CU2137" s="86"/>
      <c r="CV2137" s="86"/>
      <c r="CW2137" s="86"/>
    </row>
    <row r="2138" customFormat="false" ht="12.75" hidden="false" customHeight="false" outlineLevel="0" collapsed="false">
      <c r="F2138" s="86"/>
      <c r="G2138" s="86"/>
      <c r="H2138" s="86"/>
      <c r="I2138" s="86"/>
      <c r="J2138" s="86"/>
      <c r="K2138" s="86"/>
      <c r="L2138" s="86"/>
      <c r="N2138" s="86"/>
      <c r="CQ2138" s="86"/>
      <c r="CR2138" s="86"/>
      <c r="CS2138" s="86"/>
      <c r="CT2138" s="86"/>
      <c r="CU2138" s="86"/>
      <c r="CV2138" s="86"/>
      <c r="CW2138" s="86"/>
    </row>
    <row r="2139" customFormat="false" ht="12.75" hidden="false" customHeight="false" outlineLevel="0" collapsed="false">
      <c r="F2139" s="86"/>
      <c r="G2139" s="86"/>
      <c r="H2139" s="86"/>
      <c r="I2139" s="86"/>
      <c r="J2139" s="86"/>
      <c r="K2139" s="86"/>
      <c r="L2139" s="86"/>
      <c r="N2139" s="86"/>
      <c r="CQ2139" s="86"/>
      <c r="CR2139" s="86"/>
      <c r="CS2139" s="86"/>
      <c r="CT2139" s="86"/>
      <c r="CU2139" s="86"/>
      <c r="CV2139" s="86"/>
      <c r="CW2139" s="86"/>
    </row>
    <row r="2140" customFormat="false" ht="12.75" hidden="false" customHeight="false" outlineLevel="0" collapsed="false">
      <c r="F2140" s="86"/>
      <c r="G2140" s="86"/>
      <c r="H2140" s="86"/>
      <c r="I2140" s="86"/>
      <c r="J2140" s="86"/>
      <c r="K2140" s="86"/>
      <c r="L2140" s="86"/>
      <c r="N2140" s="86"/>
      <c r="CQ2140" s="86"/>
      <c r="CR2140" s="86"/>
      <c r="CS2140" s="86"/>
      <c r="CT2140" s="86"/>
      <c r="CU2140" s="86"/>
      <c r="CV2140" s="86"/>
      <c r="CW2140" s="86"/>
    </row>
    <row r="2141" customFormat="false" ht="12.75" hidden="false" customHeight="false" outlineLevel="0" collapsed="false">
      <c r="F2141" s="86"/>
      <c r="G2141" s="86"/>
      <c r="H2141" s="86"/>
      <c r="I2141" s="86"/>
      <c r="J2141" s="86"/>
      <c r="K2141" s="86"/>
      <c r="L2141" s="86"/>
      <c r="N2141" s="86"/>
      <c r="CQ2141" s="86"/>
      <c r="CR2141" s="86"/>
      <c r="CS2141" s="86"/>
      <c r="CT2141" s="86"/>
      <c r="CU2141" s="86"/>
      <c r="CV2141" s="86"/>
      <c r="CW2141" s="86"/>
    </row>
    <row r="2142" customFormat="false" ht="12.75" hidden="false" customHeight="false" outlineLevel="0" collapsed="false">
      <c r="F2142" s="86"/>
      <c r="G2142" s="86"/>
      <c r="H2142" s="86"/>
      <c r="I2142" s="86"/>
      <c r="J2142" s="86"/>
      <c r="K2142" s="86"/>
      <c r="L2142" s="86"/>
      <c r="N2142" s="86"/>
      <c r="CQ2142" s="86"/>
      <c r="CR2142" s="86"/>
      <c r="CS2142" s="86"/>
      <c r="CT2142" s="86"/>
      <c r="CU2142" s="86"/>
      <c r="CV2142" s="86"/>
      <c r="CW2142" s="86"/>
    </row>
    <row r="2143" customFormat="false" ht="12.75" hidden="false" customHeight="false" outlineLevel="0" collapsed="false">
      <c r="F2143" s="86"/>
      <c r="G2143" s="86"/>
      <c r="H2143" s="86"/>
      <c r="I2143" s="86"/>
      <c r="J2143" s="86"/>
      <c r="K2143" s="86"/>
      <c r="L2143" s="86"/>
      <c r="N2143" s="86"/>
      <c r="CQ2143" s="86"/>
      <c r="CR2143" s="86"/>
      <c r="CS2143" s="86"/>
      <c r="CT2143" s="86"/>
      <c r="CU2143" s="86"/>
      <c r="CV2143" s="86"/>
      <c r="CW2143" s="86"/>
    </row>
    <row r="2144" customFormat="false" ht="12.75" hidden="false" customHeight="false" outlineLevel="0" collapsed="false">
      <c r="F2144" s="86"/>
      <c r="G2144" s="86"/>
      <c r="H2144" s="86"/>
      <c r="I2144" s="86"/>
      <c r="J2144" s="86"/>
      <c r="K2144" s="86"/>
      <c r="L2144" s="86"/>
      <c r="N2144" s="86"/>
      <c r="CQ2144" s="86"/>
      <c r="CR2144" s="86"/>
      <c r="CS2144" s="86"/>
      <c r="CT2144" s="86"/>
      <c r="CU2144" s="86"/>
      <c r="CV2144" s="86"/>
      <c r="CW2144" s="86"/>
    </row>
    <row r="2145" customFormat="false" ht="12.75" hidden="false" customHeight="false" outlineLevel="0" collapsed="false">
      <c r="F2145" s="86"/>
      <c r="G2145" s="86"/>
      <c r="H2145" s="86"/>
      <c r="I2145" s="86"/>
      <c r="J2145" s="86"/>
      <c r="K2145" s="86"/>
      <c r="L2145" s="86"/>
      <c r="N2145" s="86"/>
      <c r="CQ2145" s="86"/>
      <c r="CR2145" s="86"/>
      <c r="CS2145" s="86"/>
      <c r="CT2145" s="86"/>
      <c r="CU2145" s="86"/>
      <c r="CV2145" s="86"/>
      <c r="CW2145" s="86"/>
    </row>
    <row r="2146" customFormat="false" ht="12.75" hidden="false" customHeight="false" outlineLevel="0" collapsed="false">
      <c r="F2146" s="86"/>
      <c r="G2146" s="86"/>
      <c r="H2146" s="86"/>
      <c r="I2146" s="86"/>
      <c r="J2146" s="86"/>
      <c r="K2146" s="86"/>
      <c r="L2146" s="86"/>
      <c r="N2146" s="86"/>
      <c r="CQ2146" s="86"/>
      <c r="CR2146" s="86"/>
      <c r="CS2146" s="86"/>
      <c r="CT2146" s="86"/>
      <c r="CU2146" s="86"/>
      <c r="CV2146" s="86"/>
      <c r="CW2146" s="86"/>
    </row>
    <row r="2147" customFormat="false" ht="12.75" hidden="false" customHeight="false" outlineLevel="0" collapsed="false">
      <c r="F2147" s="86"/>
      <c r="G2147" s="86"/>
      <c r="H2147" s="86"/>
      <c r="I2147" s="86"/>
      <c r="J2147" s="86"/>
      <c r="K2147" s="86"/>
      <c r="L2147" s="86"/>
      <c r="N2147" s="86"/>
      <c r="CQ2147" s="86"/>
      <c r="CR2147" s="86"/>
      <c r="CS2147" s="86"/>
      <c r="CT2147" s="86"/>
      <c r="CU2147" s="86"/>
      <c r="CV2147" s="86"/>
      <c r="CW2147" s="86"/>
    </row>
    <row r="2148" customFormat="false" ht="12.75" hidden="false" customHeight="false" outlineLevel="0" collapsed="false">
      <c r="F2148" s="86"/>
      <c r="G2148" s="86"/>
      <c r="H2148" s="86"/>
      <c r="I2148" s="86"/>
      <c r="J2148" s="86"/>
      <c r="K2148" s="86"/>
      <c r="L2148" s="86"/>
      <c r="N2148" s="86"/>
      <c r="CQ2148" s="86"/>
      <c r="CR2148" s="86"/>
      <c r="CS2148" s="86"/>
      <c r="CT2148" s="86"/>
      <c r="CU2148" s="86"/>
      <c r="CV2148" s="86"/>
      <c r="CW2148" s="86"/>
    </row>
    <row r="2149" customFormat="false" ht="12.75" hidden="false" customHeight="false" outlineLevel="0" collapsed="false">
      <c r="F2149" s="86"/>
      <c r="G2149" s="86"/>
      <c r="H2149" s="86"/>
      <c r="I2149" s="86"/>
      <c r="J2149" s="86"/>
      <c r="K2149" s="86"/>
      <c r="L2149" s="86"/>
      <c r="N2149" s="86"/>
      <c r="CQ2149" s="86"/>
      <c r="CR2149" s="86"/>
      <c r="CS2149" s="86"/>
      <c r="CT2149" s="86"/>
      <c r="CU2149" s="86"/>
      <c r="CV2149" s="86"/>
      <c r="CW2149" s="86"/>
    </row>
    <row r="2150" customFormat="false" ht="12.75" hidden="false" customHeight="false" outlineLevel="0" collapsed="false">
      <c r="F2150" s="86"/>
      <c r="G2150" s="86"/>
      <c r="H2150" s="86"/>
      <c r="I2150" s="86"/>
      <c r="J2150" s="86"/>
      <c r="K2150" s="86"/>
      <c r="L2150" s="86"/>
      <c r="N2150" s="86"/>
      <c r="CQ2150" s="86"/>
      <c r="CR2150" s="86"/>
      <c r="CS2150" s="86"/>
      <c r="CT2150" s="86"/>
      <c r="CU2150" s="86"/>
      <c r="CV2150" s="86"/>
      <c r="CW2150" s="86"/>
    </row>
    <row r="2151" customFormat="false" ht="12.75" hidden="false" customHeight="false" outlineLevel="0" collapsed="false">
      <c r="F2151" s="86"/>
      <c r="G2151" s="86"/>
      <c r="H2151" s="86"/>
      <c r="I2151" s="86"/>
      <c r="J2151" s="86"/>
      <c r="K2151" s="86"/>
      <c r="L2151" s="86"/>
      <c r="N2151" s="86"/>
      <c r="CQ2151" s="86"/>
      <c r="CR2151" s="86"/>
      <c r="CS2151" s="86"/>
      <c r="CT2151" s="86"/>
      <c r="CU2151" s="86"/>
      <c r="CV2151" s="86"/>
      <c r="CW2151" s="86"/>
    </row>
    <row r="2152" customFormat="false" ht="12.75" hidden="false" customHeight="false" outlineLevel="0" collapsed="false">
      <c r="F2152" s="86"/>
      <c r="G2152" s="86"/>
      <c r="H2152" s="86"/>
      <c r="I2152" s="86"/>
      <c r="J2152" s="86"/>
      <c r="K2152" s="86"/>
      <c r="L2152" s="86"/>
      <c r="N2152" s="86"/>
      <c r="CQ2152" s="86"/>
      <c r="CR2152" s="86"/>
      <c r="CS2152" s="86"/>
      <c r="CT2152" s="86"/>
      <c r="CU2152" s="86"/>
      <c r="CV2152" s="86"/>
      <c r="CW2152" s="86"/>
    </row>
    <row r="2153" customFormat="false" ht="12.75" hidden="false" customHeight="false" outlineLevel="0" collapsed="false">
      <c r="F2153" s="86"/>
      <c r="G2153" s="86"/>
      <c r="H2153" s="86"/>
      <c r="I2153" s="86"/>
      <c r="J2153" s="86"/>
      <c r="K2153" s="86"/>
      <c r="L2153" s="86"/>
      <c r="N2153" s="86"/>
      <c r="CQ2153" s="86"/>
      <c r="CR2153" s="86"/>
      <c r="CS2153" s="86"/>
      <c r="CT2153" s="86"/>
      <c r="CU2153" s="86"/>
      <c r="CV2153" s="86"/>
      <c r="CW2153" s="86"/>
    </row>
    <row r="2154" customFormat="false" ht="12.75" hidden="false" customHeight="false" outlineLevel="0" collapsed="false">
      <c r="F2154" s="86"/>
      <c r="G2154" s="86"/>
      <c r="H2154" s="86"/>
      <c r="I2154" s="86"/>
      <c r="J2154" s="86"/>
      <c r="K2154" s="86"/>
      <c r="L2154" s="86"/>
      <c r="N2154" s="86"/>
      <c r="CQ2154" s="86"/>
      <c r="CR2154" s="86"/>
      <c r="CS2154" s="86"/>
      <c r="CT2154" s="86"/>
      <c r="CU2154" s="86"/>
      <c r="CV2154" s="86"/>
      <c r="CW2154" s="86"/>
    </row>
    <row r="2155" customFormat="false" ht="12.75" hidden="false" customHeight="false" outlineLevel="0" collapsed="false">
      <c r="F2155" s="86"/>
      <c r="G2155" s="86"/>
      <c r="H2155" s="86"/>
      <c r="I2155" s="86"/>
      <c r="J2155" s="86"/>
      <c r="K2155" s="86"/>
      <c r="L2155" s="86"/>
      <c r="N2155" s="86"/>
      <c r="CQ2155" s="86"/>
      <c r="CR2155" s="86"/>
      <c r="CS2155" s="86"/>
      <c r="CT2155" s="86"/>
      <c r="CU2155" s="86"/>
      <c r="CV2155" s="86"/>
      <c r="CW2155" s="86"/>
    </row>
    <row r="2156" customFormat="false" ht="12.75" hidden="false" customHeight="false" outlineLevel="0" collapsed="false">
      <c r="F2156" s="86"/>
      <c r="G2156" s="86"/>
      <c r="H2156" s="86"/>
      <c r="I2156" s="86"/>
      <c r="J2156" s="86"/>
      <c r="K2156" s="86"/>
      <c r="L2156" s="86"/>
      <c r="N2156" s="86"/>
      <c r="CQ2156" s="86"/>
      <c r="CR2156" s="86"/>
      <c r="CS2156" s="86"/>
      <c r="CT2156" s="86"/>
      <c r="CU2156" s="86"/>
      <c r="CV2156" s="86"/>
      <c r="CW2156" s="86"/>
    </row>
    <row r="2157" customFormat="false" ht="12.75" hidden="false" customHeight="false" outlineLevel="0" collapsed="false">
      <c r="F2157" s="86"/>
      <c r="G2157" s="86"/>
      <c r="H2157" s="86"/>
      <c r="I2157" s="86"/>
      <c r="J2157" s="86"/>
      <c r="K2157" s="86"/>
      <c r="L2157" s="86"/>
      <c r="N2157" s="86"/>
      <c r="CQ2157" s="86"/>
      <c r="CR2157" s="86"/>
      <c r="CS2157" s="86"/>
      <c r="CT2157" s="86"/>
      <c r="CU2157" s="86"/>
      <c r="CV2157" s="86"/>
      <c r="CW2157" s="86"/>
    </row>
    <row r="2158" customFormat="false" ht="12.75" hidden="false" customHeight="false" outlineLevel="0" collapsed="false">
      <c r="F2158" s="86"/>
      <c r="G2158" s="86"/>
      <c r="H2158" s="86"/>
      <c r="I2158" s="86"/>
      <c r="J2158" s="86"/>
      <c r="K2158" s="86"/>
      <c r="L2158" s="86"/>
      <c r="N2158" s="86"/>
      <c r="CQ2158" s="86"/>
      <c r="CR2158" s="86"/>
      <c r="CS2158" s="86"/>
      <c r="CT2158" s="86"/>
      <c r="CU2158" s="86"/>
      <c r="CV2158" s="86"/>
      <c r="CW2158" s="86"/>
    </row>
    <row r="2159" customFormat="false" ht="12.75" hidden="false" customHeight="false" outlineLevel="0" collapsed="false">
      <c r="F2159" s="86"/>
      <c r="G2159" s="86"/>
      <c r="H2159" s="86"/>
      <c r="I2159" s="86"/>
      <c r="J2159" s="86"/>
      <c r="K2159" s="86"/>
      <c r="L2159" s="86"/>
      <c r="N2159" s="86"/>
      <c r="CQ2159" s="86"/>
      <c r="CR2159" s="86"/>
      <c r="CS2159" s="86"/>
      <c r="CT2159" s="86"/>
      <c r="CU2159" s="86"/>
      <c r="CV2159" s="86"/>
      <c r="CW2159" s="86"/>
    </row>
    <row r="2160" customFormat="false" ht="12.75" hidden="false" customHeight="false" outlineLevel="0" collapsed="false">
      <c r="F2160" s="86"/>
      <c r="G2160" s="86"/>
      <c r="H2160" s="86"/>
      <c r="I2160" s="86"/>
      <c r="J2160" s="86"/>
      <c r="K2160" s="86"/>
      <c r="L2160" s="86"/>
      <c r="N2160" s="86"/>
      <c r="CQ2160" s="86"/>
      <c r="CR2160" s="86"/>
      <c r="CS2160" s="86"/>
      <c r="CT2160" s="86"/>
      <c r="CU2160" s="86"/>
      <c r="CV2160" s="86"/>
      <c r="CW2160" s="86"/>
    </row>
    <row r="2161" customFormat="false" ht="12.75" hidden="false" customHeight="false" outlineLevel="0" collapsed="false">
      <c r="F2161" s="86"/>
      <c r="G2161" s="86"/>
      <c r="H2161" s="86"/>
      <c r="I2161" s="86"/>
      <c r="J2161" s="86"/>
      <c r="K2161" s="86"/>
      <c r="L2161" s="86"/>
      <c r="N2161" s="86"/>
      <c r="CQ2161" s="86"/>
      <c r="CR2161" s="86"/>
      <c r="CS2161" s="86"/>
      <c r="CT2161" s="86"/>
      <c r="CU2161" s="86"/>
      <c r="CV2161" s="86"/>
      <c r="CW2161" s="86"/>
    </row>
    <row r="2162" customFormat="false" ht="12.75" hidden="false" customHeight="false" outlineLevel="0" collapsed="false">
      <c r="F2162" s="86"/>
      <c r="G2162" s="86"/>
      <c r="H2162" s="86"/>
      <c r="I2162" s="86"/>
      <c r="J2162" s="86"/>
      <c r="K2162" s="86"/>
      <c r="L2162" s="86"/>
      <c r="N2162" s="86"/>
      <c r="CQ2162" s="86"/>
      <c r="CR2162" s="86"/>
      <c r="CS2162" s="86"/>
      <c r="CT2162" s="86"/>
      <c r="CU2162" s="86"/>
      <c r="CV2162" s="86"/>
      <c r="CW2162" s="86"/>
    </row>
    <row r="2163" customFormat="false" ht="12.75" hidden="false" customHeight="false" outlineLevel="0" collapsed="false">
      <c r="F2163" s="86"/>
      <c r="G2163" s="86"/>
      <c r="H2163" s="86"/>
      <c r="I2163" s="86"/>
      <c r="J2163" s="86"/>
      <c r="K2163" s="86"/>
      <c r="L2163" s="86"/>
      <c r="N2163" s="86"/>
      <c r="CQ2163" s="86"/>
      <c r="CR2163" s="86"/>
      <c r="CS2163" s="86"/>
      <c r="CT2163" s="86"/>
      <c r="CU2163" s="86"/>
      <c r="CV2163" s="86"/>
      <c r="CW2163" s="86"/>
    </row>
    <row r="2164" customFormat="false" ht="12.75" hidden="false" customHeight="false" outlineLevel="0" collapsed="false">
      <c r="F2164" s="86"/>
      <c r="G2164" s="86"/>
      <c r="H2164" s="86"/>
      <c r="I2164" s="86"/>
      <c r="J2164" s="86"/>
      <c r="K2164" s="86"/>
      <c r="L2164" s="86"/>
      <c r="N2164" s="86"/>
      <c r="CQ2164" s="86"/>
      <c r="CR2164" s="86"/>
      <c r="CS2164" s="86"/>
      <c r="CT2164" s="86"/>
      <c r="CU2164" s="86"/>
      <c r="CV2164" s="86"/>
      <c r="CW2164" s="86"/>
    </row>
    <row r="2165" customFormat="false" ht="12.75" hidden="false" customHeight="false" outlineLevel="0" collapsed="false">
      <c r="F2165" s="86"/>
      <c r="G2165" s="86"/>
      <c r="H2165" s="86"/>
      <c r="I2165" s="86"/>
      <c r="J2165" s="86"/>
      <c r="K2165" s="86"/>
      <c r="L2165" s="86"/>
      <c r="N2165" s="86"/>
      <c r="CQ2165" s="86"/>
      <c r="CR2165" s="86"/>
      <c r="CS2165" s="86"/>
      <c r="CT2165" s="86"/>
      <c r="CU2165" s="86"/>
      <c r="CV2165" s="86"/>
      <c r="CW2165" s="86"/>
    </row>
    <row r="2166" customFormat="false" ht="12.75" hidden="false" customHeight="false" outlineLevel="0" collapsed="false">
      <c r="F2166" s="86"/>
      <c r="G2166" s="86"/>
      <c r="H2166" s="86"/>
      <c r="I2166" s="86"/>
      <c r="J2166" s="86"/>
      <c r="K2166" s="86"/>
      <c r="L2166" s="86"/>
      <c r="N2166" s="86"/>
      <c r="CQ2166" s="86"/>
      <c r="CR2166" s="86"/>
      <c r="CS2166" s="86"/>
      <c r="CT2166" s="86"/>
      <c r="CU2166" s="86"/>
      <c r="CV2166" s="86"/>
      <c r="CW2166" s="86"/>
    </row>
    <row r="2167" customFormat="false" ht="12.75" hidden="false" customHeight="false" outlineLevel="0" collapsed="false">
      <c r="F2167" s="86"/>
      <c r="G2167" s="86"/>
      <c r="H2167" s="86"/>
      <c r="I2167" s="86"/>
      <c r="J2167" s="86"/>
      <c r="K2167" s="86"/>
      <c r="L2167" s="86"/>
      <c r="N2167" s="86"/>
      <c r="CQ2167" s="86"/>
      <c r="CR2167" s="86"/>
      <c r="CS2167" s="86"/>
      <c r="CT2167" s="86"/>
      <c r="CU2167" s="86"/>
      <c r="CV2167" s="86"/>
      <c r="CW2167" s="86"/>
    </row>
    <row r="2168" customFormat="false" ht="12.75" hidden="false" customHeight="false" outlineLevel="0" collapsed="false">
      <c r="F2168" s="86"/>
      <c r="G2168" s="86"/>
      <c r="H2168" s="86"/>
      <c r="I2168" s="86"/>
      <c r="J2168" s="86"/>
      <c r="K2168" s="86"/>
      <c r="L2168" s="86"/>
      <c r="N2168" s="86"/>
      <c r="CQ2168" s="86"/>
      <c r="CR2168" s="86"/>
      <c r="CS2168" s="86"/>
      <c r="CT2168" s="86"/>
      <c r="CU2168" s="86"/>
      <c r="CV2168" s="86"/>
      <c r="CW2168" s="86"/>
    </row>
    <row r="2169" customFormat="false" ht="12.75" hidden="false" customHeight="false" outlineLevel="0" collapsed="false">
      <c r="F2169" s="86"/>
      <c r="G2169" s="86"/>
      <c r="H2169" s="86"/>
      <c r="I2169" s="86"/>
      <c r="J2169" s="86"/>
      <c r="K2169" s="86"/>
      <c r="L2169" s="86"/>
      <c r="N2169" s="86"/>
      <c r="CQ2169" s="86"/>
      <c r="CR2169" s="86"/>
      <c r="CS2169" s="86"/>
      <c r="CT2169" s="86"/>
      <c r="CU2169" s="86"/>
      <c r="CV2169" s="86"/>
      <c r="CW2169" s="86"/>
    </row>
    <row r="2170" customFormat="false" ht="12.75" hidden="false" customHeight="false" outlineLevel="0" collapsed="false">
      <c r="F2170" s="86"/>
      <c r="G2170" s="86"/>
      <c r="H2170" s="86"/>
      <c r="I2170" s="86"/>
      <c r="J2170" s="86"/>
      <c r="K2170" s="86"/>
      <c r="L2170" s="86"/>
      <c r="N2170" s="86"/>
      <c r="CQ2170" s="86"/>
      <c r="CR2170" s="86"/>
      <c r="CS2170" s="86"/>
      <c r="CT2170" s="86"/>
      <c r="CU2170" s="86"/>
      <c r="CV2170" s="86"/>
      <c r="CW2170" s="86"/>
    </row>
    <row r="2171" customFormat="false" ht="12.75" hidden="false" customHeight="false" outlineLevel="0" collapsed="false">
      <c r="F2171" s="86"/>
      <c r="G2171" s="86"/>
      <c r="H2171" s="86"/>
      <c r="I2171" s="86"/>
      <c r="J2171" s="86"/>
      <c r="K2171" s="86"/>
      <c r="L2171" s="86"/>
      <c r="N2171" s="86"/>
      <c r="CQ2171" s="86"/>
      <c r="CR2171" s="86"/>
      <c r="CS2171" s="86"/>
      <c r="CT2171" s="86"/>
      <c r="CU2171" s="86"/>
      <c r="CV2171" s="86"/>
      <c r="CW2171" s="86"/>
    </row>
    <row r="2172" customFormat="false" ht="12.75" hidden="false" customHeight="false" outlineLevel="0" collapsed="false">
      <c r="F2172" s="86"/>
      <c r="G2172" s="86"/>
      <c r="H2172" s="86"/>
      <c r="I2172" s="86"/>
      <c r="J2172" s="86"/>
      <c r="K2172" s="86"/>
      <c r="L2172" s="86"/>
      <c r="N2172" s="86"/>
      <c r="CQ2172" s="86"/>
      <c r="CR2172" s="86"/>
      <c r="CS2172" s="86"/>
      <c r="CT2172" s="86"/>
      <c r="CU2172" s="86"/>
      <c r="CV2172" s="86"/>
      <c r="CW2172" s="86"/>
    </row>
    <row r="2173" customFormat="false" ht="12.75" hidden="false" customHeight="false" outlineLevel="0" collapsed="false">
      <c r="F2173" s="86"/>
      <c r="G2173" s="86"/>
      <c r="H2173" s="86"/>
      <c r="I2173" s="86"/>
      <c r="J2173" s="86"/>
      <c r="K2173" s="86"/>
      <c r="L2173" s="86"/>
      <c r="N2173" s="86"/>
      <c r="CQ2173" s="86"/>
      <c r="CR2173" s="86"/>
      <c r="CS2173" s="86"/>
      <c r="CT2173" s="86"/>
      <c r="CU2173" s="86"/>
      <c r="CV2173" s="86"/>
      <c r="CW2173" s="86"/>
    </row>
    <row r="2174" customFormat="false" ht="12.75" hidden="false" customHeight="false" outlineLevel="0" collapsed="false">
      <c r="F2174" s="86"/>
      <c r="G2174" s="86"/>
      <c r="H2174" s="86"/>
      <c r="I2174" s="86"/>
      <c r="J2174" s="86"/>
      <c r="K2174" s="86"/>
      <c r="L2174" s="86"/>
      <c r="N2174" s="86"/>
      <c r="CQ2174" s="86"/>
      <c r="CR2174" s="86"/>
      <c r="CS2174" s="86"/>
      <c r="CT2174" s="86"/>
      <c r="CU2174" s="86"/>
      <c r="CV2174" s="86"/>
      <c r="CW2174" s="86"/>
    </row>
    <row r="2175" customFormat="false" ht="12.75" hidden="false" customHeight="false" outlineLevel="0" collapsed="false">
      <c r="F2175" s="86"/>
      <c r="G2175" s="86"/>
      <c r="H2175" s="86"/>
      <c r="I2175" s="86"/>
      <c r="J2175" s="86"/>
      <c r="K2175" s="86"/>
      <c r="L2175" s="86"/>
      <c r="N2175" s="86"/>
      <c r="CQ2175" s="86"/>
      <c r="CR2175" s="86"/>
      <c r="CS2175" s="86"/>
      <c r="CT2175" s="86"/>
      <c r="CU2175" s="86"/>
      <c r="CV2175" s="86"/>
      <c r="CW2175" s="86"/>
    </row>
    <row r="2176" customFormat="false" ht="12.75" hidden="false" customHeight="false" outlineLevel="0" collapsed="false">
      <c r="F2176" s="86"/>
      <c r="G2176" s="86"/>
      <c r="H2176" s="86"/>
      <c r="I2176" s="86"/>
      <c r="J2176" s="86"/>
      <c r="K2176" s="86"/>
      <c r="L2176" s="86"/>
      <c r="N2176" s="86"/>
      <c r="CQ2176" s="86"/>
      <c r="CR2176" s="86"/>
      <c r="CS2176" s="86"/>
      <c r="CT2176" s="86"/>
      <c r="CU2176" s="86"/>
      <c r="CV2176" s="86"/>
      <c r="CW2176" s="86"/>
    </row>
    <row r="2177" customFormat="false" ht="12.75" hidden="false" customHeight="false" outlineLevel="0" collapsed="false">
      <c r="F2177" s="86"/>
      <c r="G2177" s="86"/>
      <c r="H2177" s="86"/>
      <c r="I2177" s="86"/>
      <c r="J2177" s="86"/>
      <c r="K2177" s="86"/>
      <c r="L2177" s="86"/>
      <c r="N2177" s="86"/>
      <c r="CQ2177" s="86"/>
      <c r="CR2177" s="86"/>
      <c r="CS2177" s="86"/>
      <c r="CT2177" s="86"/>
      <c r="CU2177" s="86"/>
      <c r="CV2177" s="86"/>
      <c r="CW2177" s="86"/>
    </row>
    <row r="2178" customFormat="false" ht="12.75" hidden="false" customHeight="false" outlineLevel="0" collapsed="false">
      <c r="F2178" s="86"/>
      <c r="G2178" s="86"/>
      <c r="H2178" s="86"/>
      <c r="I2178" s="86"/>
      <c r="J2178" s="86"/>
      <c r="K2178" s="86"/>
      <c r="L2178" s="86"/>
      <c r="N2178" s="86"/>
      <c r="CQ2178" s="86"/>
      <c r="CR2178" s="86"/>
      <c r="CS2178" s="86"/>
      <c r="CT2178" s="86"/>
      <c r="CU2178" s="86"/>
      <c r="CV2178" s="86"/>
      <c r="CW2178" s="86"/>
    </row>
    <row r="2179" customFormat="false" ht="12.75" hidden="false" customHeight="false" outlineLevel="0" collapsed="false">
      <c r="F2179" s="86"/>
      <c r="G2179" s="86"/>
      <c r="H2179" s="86"/>
      <c r="I2179" s="86"/>
      <c r="J2179" s="86"/>
      <c r="K2179" s="86"/>
      <c r="L2179" s="86"/>
      <c r="N2179" s="86"/>
      <c r="CQ2179" s="86"/>
      <c r="CR2179" s="86"/>
      <c r="CS2179" s="86"/>
      <c r="CT2179" s="86"/>
      <c r="CU2179" s="86"/>
      <c r="CV2179" s="86"/>
      <c r="CW2179" s="86"/>
    </row>
    <row r="2180" customFormat="false" ht="12.75" hidden="false" customHeight="false" outlineLevel="0" collapsed="false">
      <c r="F2180" s="86"/>
      <c r="G2180" s="86"/>
      <c r="H2180" s="86"/>
      <c r="I2180" s="86"/>
      <c r="J2180" s="86"/>
      <c r="K2180" s="86"/>
      <c r="L2180" s="86"/>
      <c r="N2180" s="86"/>
      <c r="CQ2180" s="86"/>
      <c r="CR2180" s="86"/>
      <c r="CS2180" s="86"/>
      <c r="CT2180" s="86"/>
      <c r="CU2180" s="86"/>
      <c r="CV2180" s="86"/>
      <c r="CW2180" s="86"/>
    </row>
    <row r="2181" customFormat="false" ht="12.75" hidden="false" customHeight="false" outlineLevel="0" collapsed="false">
      <c r="F2181" s="86"/>
      <c r="G2181" s="86"/>
      <c r="H2181" s="86"/>
      <c r="I2181" s="86"/>
      <c r="J2181" s="86"/>
      <c r="K2181" s="86"/>
      <c r="L2181" s="86"/>
      <c r="N2181" s="86"/>
      <c r="CQ2181" s="86"/>
      <c r="CR2181" s="86"/>
      <c r="CS2181" s="86"/>
      <c r="CT2181" s="86"/>
      <c r="CU2181" s="86"/>
      <c r="CV2181" s="86"/>
      <c r="CW2181" s="86"/>
    </row>
    <row r="2182" customFormat="false" ht="12.75" hidden="false" customHeight="false" outlineLevel="0" collapsed="false">
      <c r="F2182" s="86"/>
      <c r="G2182" s="86"/>
      <c r="H2182" s="86"/>
      <c r="I2182" s="86"/>
      <c r="J2182" s="86"/>
      <c r="K2182" s="86"/>
      <c r="L2182" s="86"/>
      <c r="N2182" s="86"/>
      <c r="CQ2182" s="86"/>
      <c r="CR2182" s="86"/>
      <c r="CS2182" s="86"/>
      <c r="CT2182" s="86"/>
      <c r="CU2182" s="86"/>
      <c r="CV2182" s="86"/>
      <c r="CW2182" s="86"/>
    </row>
    <row r="2183" customFormat="false" ht="12.75" hidden="false" customHeight="false" outlineLevel="0" collapsed="false">
      <c r="F2183" s="86"/>
      <c r="G2183" s="86"/>
      <c r="H2183" s="86"/>
      <c r="I2183" s="86"/>
      <c r="J2183" s="86"/>
      <c r="K2183" s="86"/>
      <c r="L2183" s="86"/>
      <c r="N2183" s="86"/>
      <c r="CQ2183" s="86"/>
      <c r="CR2183" s="86"/>
      <c r="CS2183" s="86"/>
      <c r="CT2183" s="86"/>
      <c r="CU2183" s="86"/>
      <c r="CV2183" s="86"/>
      <c r="CW2183" s="86"/>
    </row>
    <row r="2184" customFormat="false" ht="12.75" hidden="false" customHeight="false" outlineLevel="0" collapsed="false">
      <c r="F2184" s="86"/>
      <c r="G2184" s="86"/>
      <c r="H2184" s="86"/>
      <c r="I2184" s="86"/>
      <c r="J2184" s="86"/>
      <c r="K2184" s="86"/>
      <c r="L2184" s="86"/>
      <c r="N2184" s="86"/>
      <c r="CQ2184" s="86"/>
      <c r="CR2184" s="86"/>
      <c r="CS2184" s="86"/>
      <c r="CT2184" s="86"/>
      <c r="CU2184" s="86"/>
      <c r="CV2184" s="86"/>
      <c r="CW2184" s="86"/>
    </row>
    <row r="2185" customFormat="false" ht="12.75" hidden="false" customHeight="false" outlineLevel="0" collapsed="false">
      <c r="F2185" s="86"/>
      <c r="G2185" s="86"/>
      <c r="H2185" s="86"/>
      <c r="I2185" s="86"/>
      <c r="J2185" s="86"/>
      <c r="K2185" s="86"/>
      <c r="L2185" s="86"/>
      <c r="N2185" s="86"/>
      <c r="CQ2185" s="86"/>
      <c r="CR2185" s="86"/>
      <c r="CS2185" s="86"/>
      <c r="CT2185" s="86"/>
      <c r="CU2185" s="86"/>
      <c r="CV2185" s="86"/>
      <c r="CW2185" s="86"/>
    </row>
    <row r="2186" customFormat="false" ht="12.75" hidden="false" customHeight="false" outlineLevel="0" collapsed="false">
      <c r="F2186" s="86"/>
      <c r="G2186" s="86"/>
      <c r="H2186" s="86"/>
      <c r="I2186" s="86"/>
      <c r="J2186" s="86"/>
      <c r="K2186" s="86"/>
      <c r="L2186" s="86"/>
      <c r="N2186" s="86"/>
      <c r="CQ2186" s="86"/>
      <c r="CR2186" s="86"/>
      <c r="CS2186" s="86"/>
      <c r="CT2186" s="86"/>
      <c r="CU2186" s="86"/>
      <c r="CV2186" s="86"/>
      <c r="CW2186" s="86"/>
    </row>
    <row r="2187" customFormat="false" ht="12.75" hidden="false" customHeight="false" outlineLevel="0" collapsed="false">
      <c r="F2187" s="86"/>
      <c r="G2187" s="86"/>
      <c r="H2187" s="86"/>
      <c r="I2187" s="86"/>
      <c r="J2187" s="86"/>
      <c r="K2187" s="86"/>
      <c r="L2187" s="86"/>
      <c r="N2187" s="86"/>
      <c r="CQ2187" s="86"/>
      <c r="CR2187" s="86"/>
      <c r="CS2187" s="86"/>
      <c r="CT2187" s="86"/>
      <c r="CU2187" s="86"/>
      <c r="CV2187" s="86"/>
      <c r="CW2187" s="86"/>
    </row>
    <row r="2188" customFormat="false" ht="12.75" hidden="false" customHeight="false" outlineLevel="0" collapsed="false">
      <c r="F2188" s="86"/>
      <c r="G2188" s="86"/>
      <c r="H2188" s="86"/>
      <c r="I2188" s="86"/>
      <c r="J2188" s="86"/>
      <c r="K2188" s="86"/>
      <c r="L2188" s="86"/>
      <c r="N2188" s="86"/>
      <c r="CQ2188" s="86"/>
      <c r="CR2188" s="86"/>
      <c r="CS2188" s="86"/>
      <c r="CT2188" s="86"/>
      <c r="CU2188" s="86"/>
      <c r="CV2188" s="86"/>
      <c r="CW2188" s="86"/>
    </row>
    <row r="2189" customFormat="false" ht="12.75" hidden="false" customHeight="false" outlineLevel="0" collapsed="false">
      <c r="F2189" s="86"/>
      <c r="G2189" s="86"/>
      <c r="H2189" s="86"/>
      <c r="I2189" s="86"/>
      <c r="J2189" s="86"/>
      <c r="K2189" s="86"/>
      <c r="L2189" s="86"/>
      <c r="N2189" s="86"/>
      <c r="CQ2189" s="86"/>
      <c r="CR2189" s="86"/>
      <c r="CS2189" s="86"/>
      <c r="CT2189" s="86"/>
      <c r="CU2189" s="86"/>
      <c r="CV2189" s="86"/>
      <c r="CW2189" s="86"/>
    </row>
    <row r="2190" customFormat="false" ht="12.75" hidden="false" customHeight="false" outlineLevel="0" collapsed="false">
      <c r="F2190" s="86"/>
      <c r="G2190" s="86"/>
      <c r="H2190" s="86"/>
      <c r="I2190" s="86"/>
      <c r="J2190" s="86"/>
      <c r="K2190" s="86"/>
      <c r="L2190" s="86"/>
      <c r="N2190" s="86"/>
      <c r="CQ2190" s="86"/>
      <c r="CR2190" s="86"/>
      <c r="CS2190" s="86"/>
      <c r="CT2190" s="86"/>
      <c r="CU2190" s="86"/>
      <c r="CV2190" s="86"/>
      <c r="CW2190" s="86"/>
    </row>
    <row r="2191" customFormat="false" ht="12.75" hidden="false" customHeight="false" outlineLevel="0" collapsed="false">
      <c r="F2191" s="86"/>
      <c r="G2191" s="86"/>
      <c r="H2191" s="86"/>
      <c r="I2191" s="86"/>
      <c r="J2191" s="86"/>
      <c r="K2191" s="86"/>
      <c r="L2191" s="86"/>
      <c r="N2191" s="86"/>
      <c r="CQ2191" s="86"/>
      <c r="CR2191" s="86"/>
      <c r="CS2191" s="86"/>
      <c r="CT2191" s="86"/>
      <c r="CU2191" s="86"/>
      <c r="CV2191" s="86"/>
      <c r="CW2191" s="86"/>
    </row>
    <row r="2192" customFormat="false" ht="12.75" hidden="false" customHeight="false" outlineLevel="0" collapsed="false">
      <c r="F2192" s="86"/>
      <c r="G2192" s="86"/>
      <c r="H2192" s="86"/>
      <c r="I2192" s="86"/>
      <c r="J2192" s="86"/>
      <c r="K2192" s="86"/>
      <c r="L2192" s="86"/>
      <c r="N2192" s="86"/>
      <c r="CQ2192" s="86"/>
      <c r="CR2192" s="86"/>
      <c r="CS2192" s="86"/>
      <c r="CT2192" s="86"/>
      <c r="CU2192" s="86"/>
      <c r="CV2192" s="86"/>
      <c r="CW2192" s="86"/>
    </row>
    <row r="2193" customFormat="false" ht="12.75" hidden="false" customHeight="false" outlineLevel="0" collapsed="false">
      <c r="F2193" s="86"/>
      <c r="G2193" s="86"/>
      <c r="H2193" s="86"/>
      <c r="I2193" s="86"/>
      <c r="J2193" s="86"/>
      <c r="K2193" s="86"/>
      <c r="L2193" s="86"/>
      <c r="N2193" s="86"/>
      <c r="CQ2193" s="86"/>
      <c r="CR2193" s="86"/>
      <c r="CS2193" s="86"/>
      <c r="CT2193" s="86"/>
      <c r="CU2193" s="86"/>
      <c r="CV2193" s="86"/>
      <c r="CW2193" s="86"/>
    </row>
    <row r="2194" customFormat="false" ht="12.75" hidden="false" customHeight="false" outlineLevel="0" collapsed="false">
      <c r="F2194" s="86"/>
      <c r="G2194" s="86"/>
      <c r="H2194" s="86"/>
      <c r="I2194" s="86"/>
      <c r="J2194" s="86"/>
      <c r="K2194" s="86"/>
      <c r="L2194" s="86"/>
      <c r="N2194" s="86"/>
      <c r="CQ2194" s="86"/>
      <c r="CR2194" s="86"/>
      <c r="CS2194" s="86"/>
      <c r="CT2194" s="86"/>
      <c r="CU2194" s="86"/>
      <c r="CV2194" s="86"/>
      <c r="CW2194" s="86"/>
    </row>
    <row r="2195" customFormat="false" ht="12.75" hidden="false" customHeight="false" outlineLevel="0" collapsed="false">
      <c r="F2195" s="86"/>
      <c r="G2195" s="86"/>
      <c r="H2195" s="86"/>
      <c r="I2195" s="86"/>
      <c r="J2195" s="86"/>
      <c r="K2195" s="86"/>
      <c r="L2195" s="86"/>
      <c r="N2195" s="86"/>
      <c r="CQ2195" s="86"/>
      <c r="CR2195" s="86"/>
      <c r="CS2195" s="86"/>
      <c r="CT2195" s="86"/>
      <c r="CU2195" s="86"/>
      <c r="CV2195" s="86"/>
      <c r="CW2195" s="86"/>
    </row>
    <row r="2196" customFormat="false" ht="12.75" hidden="false" customHeight="false" outlineLevel="0" collapsed="false">
      <c r="F2196" s="86"/>
      <c r="G2196" s="86"/>
      <c r="H2196" s="86"/>
      <c r="I2196" s="86"/>
      <c r="J2196" s="86"/>
      <c r="K2196" s="86"/>
      <c r="L2196" s="86"/>
      <c r="N2196" s="86"/>
      <c r="CQ2196" s="86"/>
      <c r="CR2196" s="86"/>
      <c r="CS2196" s="86"/>
      <c r="CT2196" s="86"/>
      <c r="CU2196" s="86"/>
      <c r="CV2196" s="86"/>
      <c r="CW2196" s="86"/>
    </row>
    <row r="2197" customFormat="false" ht="12.75" hidden="false" customHeight="false" outlineLevel="0" collapsed="false">
      <c r="F2197" s="86"/>
      <c r="G2197" s="86"/>
      <c r="H2197" s="86"/>
      <c r="I2197" s="86"/>
      <c r="J2197" s="86"/>
      <c r="K2197" s="86"/>
      <c r="L2197" s="86"/>
      <c r="N2197" s="86"/>
      <c r="CQ2197" s="86"/>
      <c r="CR2197" s="86"/>
      <c r="CS2197" s="86"/>
      <c r="CT2197" s="86"/>
      <c r="CU2197" s="86"/>
      <c r="CV2197" s="86"/>
      <c r="CW2197" s="86"/>
    </row>
    <row r="2198" customFormat="false" ht="12.75" hidden="false" customHeight="false" outlineLevel="0" collapsed="false">
      <c r="F2198" s="86"/>
      <c r="G2198" s="86"/>
      <c r="H2198" s="86"/>
      <c r="I2198" s="86"/>
      <c r="J2198" s="86"/>
      <c r="K2198" s="86"/>
      <c r="L2198" s="86"/>
      <c r="N2198" s="86"/>
      <c r="CQ2198" s="86"/>
      <c r="CR2198" s="86"/>
      <c r="CS2198" s="86"/>
      <c r="CT2198" s="86"/>
      <c r="CU2198" s="86"/>
      <c r="CV2198" s="86"/>
      <c r="CW2198" s="86"/>
    </row>
    <row r="2199" customFormat="false" ht="12.75" hidden="false" customHeight="false" outlineLevel="0" collapsed="false">
      <c r="F2199" s="86"/>
      <c r="G2199" s="86"/>
      <c r="H2199" s="86"/>
      <c r="I2199" s="86"/>
      <c r="J2199" s="86"/>
      <c r="K2199" s="86"/>
      <c r="L2199" s="86"/>
      <c r="N2199" s="86"/>
      <c r="CQ2199" s="86"/>
      <c r="CR2199" s="86"/>
      <c r="CS2199" s="86"/>
      <c r="CT2199" s="86"/>
      <c r="CU2199" s="86"/>
      <c r="CV2199" s="86"/>
      <c r="CW2199" s="86"/>
    </row>
    <row r="2200" customFormat="false" ht="12.75" hidden="false" customHeight="false" outlineLevel="0" collapsed="false">
      <c r="F2200" s="86"/>
      <c r="G2200" s="86"/>
      <c r="H2200" s="86"/>
      <c r="I2200" s="86"/>
      <c r="J2200" s="86"/>
      <c r="K2200" s="86"/>
      <c r="L2200" s="86"/>
      <c r="N2200" s="86"/>
      <c r="CQ2200" s="86"/>
      <c r="CR2200" s="86"/>
      <c r="CS2200" s="86"/>
      <c r="CT2200" s="86"/>
      <c r="CU2200" s="86"/>
      <c r="CV2200" s="86"/>
      <c r="CW2200" s="86"/>
    </row>
    <row r="2201" customFormat="false" ht="12.75" hidden="false" customHeight="false" outlineLevel="0" collapsed="false">
      <c r="F2201" s="86"/>
      <c r="G2201" s="86"/>
      <c r="H2201" s="86"/>
      <c r="I2201" s="86"/>
      <c r="J2201" s="86"/>
      <c r="K2201" s="86"/>
      <c r="L2201" s="86"/>
      <c r="N2201" s="86"/>
      <c r="CQ2201" s="86"/>
      <c r="CR2201" s="86"/>
      <c r="CS2201" s="86"/>
      <c r="CT2201" s="86"/>
      <c r="CU2201" s="86"/>
      <c r="CV2201" s="86"/>
      <c r="CW2201" s="86"/>
    </row>
    <row r="2202" customFormat="false" ht="12.75" hidden="false" customHeight="false" outlineLevel="0" collapsed="false">
      <c r="F2202" s="86"/>
      <c r="G2202" s="86"/>
      <c r="H2202" s="86"/>
      <c r="I2202" s="86"/>
      <c r="J2202" s="86"/>
      <c r="K2202" s="86"/>
      <c r="L2202" s="86"/>
      <c r="N2202" s="86"/>
      <c r="CQ2202" s="86"/>
      <c r="CR2202" s="86"/>
      <c r="CS2202" s="86"/>
      <c r="CT2202" s="86"/>
      <c r="CU2202" s="86"/>
      <c r="CV2202" s="86"/>
      <c r="CW2202" s="86"/>
    </row>
    <row r="2203" customFormat="false" ht="12.75" hidden="false" customHeight="false" outlineLevel="0" collapsed="false">
      <c r="F2203" s="86"/>
      <c r="G2203" s="86"/>
      <c r="H2203" s="86"/>
      <c r="I2203" s="86"/>
      <c r="J2203" s="86"/>
      <c r="K2203" s="86"/>
      <c r="L2203" s="86"/>
      <c r="N2203" s="86"/>
      <c r="CQ2203" s="86"/>
      <c r="CR2203" s="86"/>
      <c r="CS2203" s="86"/>
      <c r="CT2203" s="86"/>
      <c r="CU2203" s="86"/>
      <c r="CV2203" s="86"/>
      <c r="CW2203" s="86"/>
    </row>
    <row r="2204" customFormat="false" ht="12.75" hidden="false" customHeight="false" outlineLevel="0" collapsed="false">
      <c r="F2204" s="86"/>
      <c r="G2204" s="86"/>
      <c r="H2204" s="86"/>
      <c r="I2204" s="86"/>
      <c r="J2204" s="86"/>
      <c r="K2204" s="86"/>
      <c r="L2204" s="86"/>
      <c r="N2204" s="86"/>
      <c r="CQ2204" s="86"/>
      <c r="CR2204" s="86"/>
      <c r="CS2204" s="86"/>
      <c r="CT2204" s="86"/>
      <c r="CU2204" s="86"/>
      <c r="CV2204" s="86"/>
      <c r="CW2204" s="86"/>
    </row>
    <row r="2205" customFormat="false" ht="12.75" hidden="false" customHeight="false" outlineLevel="0" collapsed="false">
      <c r="F2205" s="86"/>
      <c r="G2205" s="86"/>
      <c r="H2205" s="86"/>
      <c r="I2205" s="86"/>
      <c r="J2205" s="86"/>
      <c r="K2205" s="86"/>
      <c r="L2205" s="86"/>
      <c r="N2205" s="86"/>
      <c r="CQ2205" s="86"/>
      <c r="CR2205" s="86"/>
      <c r="CS2205" s="86"/>
      <c r="CT2205" s="86"/>
      <c r="CU2205" s="86"/>
      <c r="CV2205" s="86"/>
      <c r="CW2205" s="86"/>
    </row>
    <row r="2206" customFormat="false" ht="12.75" hidden="false" customHeight="false" outlineLevel="0" collapsed="false">
      <c r="F2206" s="86"/>
      <c r="G2206" s="86"/>
      <c r="H2206" s="86"/>
      <c r="I2206" s="86"/>
      <c r="J2206" s="86"/>
      <c r="K2206" s="86"/>
      <c r="L2206" s="86"/>
      <c r="N2206" s="86"/>
      <c r="CQ2206" s="86"/>
      <c r="CR2206" s="86"/>
      <c r="CS2206" s="86"/>
      <c r="CT2206" s="86"/>
      <c r="CU2206" s="86"/>
      <c r="CV2206" s="86"/>
      <c r="CW2206" s="86"/>
    </row>
    <row r="2207" customFormat="false" ht="12.75" hidden="false" customHeight="false" outlineLevel="0" collapsed="false">
      <c r="F2207" s="86"/>
      <c r="G2207" s="86"/>
      <c r="H2207" s="86"/>
      <c r="I2207" s="86"/>
      <c r="J2207" s="86"/>
      <c r="K2207" s="86"/>
      <c r="L2207" s="86"/>
      <c r="N2207" s="86"/>
      <c r="CQ2207" s="86"/>
      <c r="CR2207" s="86"/>
      <c r="CS2207" s="86"/>
      <c r="CT2207" s="86"/>
      <c r="CU2207" s="86"/>
      <c r="CV2207" s="86"/>
      <c r="CW2207" s="86"/>
    </row>
    <row r="2208" customFormat="false" ht="12.75" hidden="false" customHeight="false" outlineLevel="0" collapsed="false">
      <c r="F2208" s="86"/>
      <c r="G2208" s="86"/>
      <c r="H2208" s="86"/>
      <c r="I2208" s="86"/>
      <c r="J2208" s="86"/>
      <c r="K2208" s="86"/>
      <c r="L2208" s="86"/>
      <c r="N2208" s="86"/>
      <c r="CQ2208" s="86"/>
      <c r="CR2208" s="86"/>
      <c r="CS2208" s="86"/>
      <c r="CT2208" s="86"/>
      <c r="CU2208" s="86"/>
      <c r="CV2208" s="86"/>
      <c r="CW2208" s="86"/>
    </row>
    <row r="2209" customFormat="false" ht="12.75" hidden="false" customHeight="false" outlineLevel="0" collapsed="false">
      <c r="F2209" s="86"/>
      <c r="G2209" s="86"/>
      <c r="H2209" s="86"/>
      <c r="I2209" s="86"/>
      <c r="J2209" s="86"/>
      <c r="K2209" s="86"/>
      <c r="L2209" s="86"/>
      <c r="N2209" s="86"/>
      <c r="CQ2209" s="86"/>
      <c r="CR2209" s="86"/>
      <c r="CS2209" s="86"/>
      <c r="CT2209" s="86"/>
      <c r="CU2209" s="86"/>
      <c r="CV2209" s="86"/>
      <c r="CW2209" s="86"/>
    </row>
    <row r="2210" customFormat="false" ht="12.75" hidden="false" customHeight="false" outlineLevel="0" collapsed="false">
      <c r="F2210" s="86"/>
      <c r="G2210" s="86"/>
      <c r="H2210" s="86"/>
      <c r="I2210" s="86"/>
      <c r="J2210" s="86"/>
      <c r="K2210" s="86"/>
      <c r="L2210" s="86"/>
      <c r="N2210" s="86"/>
      <c r="CQ2210" s="86"/>
      <c r="CR2210" s="86"/>
      <c r="CS2210" s="86"/>
      <c r="CT2210" s="86"/>
      <c r="CU2210" s="86"/>
      <c r="CV2210" s="86"/>
      <c r="CW2210" s="86"/>
    </row>
    <row r="2211" customFormat="false" ht="12.75" hidden="false" customHeight="false" outlineLevel="0" collapsed="false">
      <c r="F2211" s="86"/>
      <c r="G2211" s="86"/>
      <c r="H2211" s="86"/>
      <c r="I2211" s="86"/>
      <c r="J2211" s="86"/>
      <c r="K2211" s="86"/>
      <c r="L2211" s="86"/>
      <c r="N2211" s="86"/>
      <c r="CQ2211" s="86"/>
      <c r="CR2211" s="86"/>
      <c r="CS2211" s="86"/>
      <c r="CT2211" s="86"/>
      <c r="CU2211" s="86"/>
      <c r="CV2211" s="86"/>
      <c r="CW2211" s="86"/>
    </row>
    <row r="2212" customFormat="false" ht="12.75" hidden="false" customHeight="false" outlineLevel="0" collapsed="false">
      <c r="F2212" s="86"/>
      <c r="G2212" s="86"/>
      <c r="H2212" s="86"/>
      <c r="I2212" s="86"/>
      <c r="J2212" s="86"/>
      <c r="K2212" s="86"/>
      <c r="L2212" s="86"/>
      <c r="N2212" s="86"/>
      <c r="CQ2212" s="86"/>
      <c r="CR2212" s="86"/>
      <c r="CS2212" s="86"/>
      <c r="CT2212" s="86"/>
      <c r="CU2212" s="86"/>
      <c r="CV2212" s="86"/>
      <c r="CW2212" s="86"/>
    </row>
    <row r="2213" customFormat="false" ht="12.75" hidden="false" customHeight="false" outlineLevel="0" collapsed="false">
      <c r="F2213" s="86"/>
      <c r="G2213" s="86"/>
      <c r="H2213" s="86"/>
      <c r="I2213" s="86"/>
      <c r="J2213" s="86"/>
      <c r="K2213" s="86"/>
      <c r="L2213" s="86"/>
      <c r="N2213" s="86"/>
      <c r="CQ2213" s="86"/>
      <c r="CR2213" s="86"/>
      <c r="CS2213" s="86"/>
      <c r="CT2213" s="86"/>
      <c r="CU2213" s="86"/>
      <c r="CV2213" s="86"/>
      <c r="CW2213" s="86"/>
    </row>
    <row r="2214" customFormat="false" ht="12.75" hidden="false" customHeight="false" outlineLevel="0" collapsed="false">
      <c r="F2214" s="86"/>
      <c r="G2214" s="86"/>
      <c r="H2214" s="86"/>
      <c r="I2214" s="86"/>
      <c r="J2214" s="86"/>
      <c r="K2214" s="86"/>
      <c r="L2214" s="86"/>
      <c r="N2214" s="86"/>
      <c r="CQ2214" s="86"/>
      <c r="CR2214" s="86"/>
      <c r="CS2214" s="86"/>
      <c r="CT2214" s="86"/>
      <c r="CU2214" s="86"/>
      <c r="CV2214" s="86"/>
      <c r="CW2214" s="86"/>
    </row>
    <row r="2215" customFormat="false" ht="12.75" hidden="false" customHeight="false" outlineLevel="0" collapsed="false">
      <c r="F2215" s="86"/>
      <c r="G2215" s="86"/>
      <c r="H2215" s="86"/>
      <c r="I2215" s="86"/>
      <c r="J2215" s="86"/>
      <c r="K2215" s="86"/>
      <c r="L2215" s="86"/>
      <c r="N2215" s="86"/>
      <c r="CQ2215" s="86"/>
      <c r="CR2215" s="86"/>
      <c r="CS2215" s="86"/>
      <c r="CT2215" s="86"/>
      <c r="CU2215" s="86"/>
      <c r="CV2215" s="86"/>
      <c r="CW2215" s="86"/>
    </row>
    <row r="2216" customFormat="false" ht="12.75" hidden="false" customHeight="false" outlineLevel="0" collapsed="false">
      <c r="F2216" s="86"/>
      <c r="G2216" s="86"/>
      <c r="H2216" s="86"/>
      <c r="I2216" s="86"/>
      <c r="J2216" s="86"/>
      <c r="K2216" s="86"/>
      <c r="L2216" s="86"/>
      <c r="N2216" s="86"/>
      <c r="CQ2216" s="86"/>
      <c r="CR2216" s="86"/>
      <c r="CS2216" s="86"/>
      <c r="CT2216" s="86"/>
      <c r="CU2216" s="86"/>
      <c r="CV2216" s="86"/>
      <c r="CW2216" s="86"/>
    </row>
    <row r="2217" customFormat="false" ht="12.75" hidden="false" customHeight="false" outlineLevel="0" collapsed="false">
      <c r="F2217" s="86"/>
      <c r="G2217" s="86"/>
      <c r="H2217" s="86"/>
      <c r="I2217" s="86"/>
      <c r="J2217" s="86"/>
      <c r="K2217" s="86"/>
      <c r="L2217" s="86"/>
      <c r="N2217" s="86"/>
      <c r="CQ2217" s="86"/>
      <c r="CR2217" s="86"/>
      <c r="CS2217" s="86"/>
      <c r="CT2217" s="86"/>
      <c r="CU2217" s="86"/>
      <c r="CV2217" s="86"/>
      <c r="CW2217" s="86"/>
    </row>
    <row r="2218" customFormat="false" ht="12.75" hidden="false" customHeight="false" outlineLevel="0" collapsed="false">
      <c r="F2218" s="86"/>
      <c r="G2218" s="86"/>
      <c r="H2218" s="86"/>
      <c r="I2218" s="86"/>
      <c r="J2218" s="86"/>
      <c r="K2218" s="86"/>
      <c r="L2218" s="86"/>
      <c r="N2218" s="86"/>
      <c r="CQ2218" s="86"/>
      <c r="CR2218" s="86"/>
      <c r="CS2218" s="86"/>
      <c r="CT2218" s="86"/>
      <c r="CU2218" s="86"/>
      <c r="CV2218" s="86"/>
      <c r="CW2218" s="86"/>
    </row>
    <row r="2219" customFormat="false" ht="12.75" hidden="false" customHeight="false" outlineLevel="0" collapsed="false">
      <c r="F2219" s="86"/>
      <c r="G2219" s="86"/>
      <c r="H2219" s="86"/>
      <c r="I2219" s="86"/>
      <c r="J2219" s="86"/>
      <c r="K2219" s="86"/>
      <c r="L2219" s="86"/>
      <c r="N2219" s="86"/>
      <c r="CQ2219" s="86"/>
      <c r="CR2219" s="86"/>
      <c r="CS2219" s="86"/>
      <c r="CT2219" s="86"/>
      <c r="CU2219" s="86"/>
      <c r="CV2219" s="86"/>
      <c r="CW2219" s="86"/>
    </row>
    <row r="2220" customFormat="false" ht="12.75" hidden="false" customHeight="false" outlineLevel="0" collapsed="false">
      <c r="F2220" s="86"/>
      <c r="G2220" s="86"/>
      <c r="H2220" s="86"/>
      <c r="I2220" s="86"/>
      <c r="J2220" s="86"/>
      <c r="K2220" s="86"/>
      <c r="L2220" s="86"/>
      <c r="N2220" s="86"/>
      <c r="CQ2220" s="86"/>
      <c r="CR2220" s="86"/>
      <c r="CS2220" s="86"/>
      <c r="CT2220" s="86"/>
      <c r="CU2220" s="86"/>
      <c r="CV2220" s="86"/>
      <c r="CW2220" s="86"/>
    </row>
    <row r="2221" customFormat="false" ht="12.75" hidden="false" customHeight="false" outlineLevel="0" collapsed="false">
      <c r="F2221" s="86"/>
      <c r="G2221" s="86"/>
      <c r="H2221" s="86"/>
      <c r="I2221" s="86"/>
      <c r="J2221" s="86"/>
      <c r="K2221" s="86"/>
      <c r="L2221" s="86"/>
      <c r="N2221" s="86"/>
      <c r="CQ2221" s="86"/>
      <c r="CR2221" s="86"/>
      <c r="CS2221" s="86"/>
      <c r="CT2221" s="86"/>
      <c r="CU2221" s="86"/>
      <c r="CV2221" s="86"/>
      <c r="CW2221" s="86"/>
    </row>
    <row r="2222" customFormat="false" ht="12.75" hidden="false" customHeight="false" outlineLevel="0" collapsed="false">
      <c r="F2222" s="86"/>
      <c r="G2222" s="86"/>
      <c r="H2222" s="86"/>
      <c r="I2222" s="86"/>
      <c r="J2222" s="86"/>
      <c r="K2222" s="86"/>
      <c r="L2222" s="86"/>
      <c r="N2222" s="86"/>
      <c r="CQ2222" s="86"/>
      <c r="CR2222" s="86"/>
      <c r="CS2222" s="86"/>
      <c r="CT2222" s="86"/>
      <c r="CU2222" s="86"/>
      <c r="CV2222" s="86"/>
      <c r="CW2222" s="86"/>
    </row>
    <row r="2223" customFormat="false" ht="12.75" hidden="false" customHeight="false" outlineLevel="0" collapsed="false">
      <c r="F2223" s="86"/>
      <c r="G2223" s="86"/>
      <c r="H2223" s="86"/>
      <c r="I2223" s="86"/>
      <c r="J2223" s="86"/>
      <c r="K2223" s="86"/>
      <c r="L2223" s="86"/>
      <c r="N2223" s="86"/>
      <c r="CQ2223" s="86"/>
      <c r="CR2223" s="86"/>
      <c r="CS2223" s="86"/>
      <c r="CT2223" s="86"/>
      <c r="CU2223" s="86"/>
      <c r="CV2223" s="86"/>
      <c r="CW2223" s="86"/>
    </row>
    <row r="2224" customFormat="false" ht="12.75" hidden="false" customHeight="false" outlineLevel="0" collapsed="false">
      <c r="F2224" s="86"/>
      <c r="G2224" s="86"/>
      <c r="H2224" s="86"/>
      <c r="I2224" s="86"/>
      <c r="J2224" s="86"/>
      <c r="K2224" s="86"/>
      <c r="L2224" s="86"/>
      <c r="N2224" s="86"/>
      <c r="CQ2224" s="86"/>
      <c r="CR2224" s="86"/>
      <c r="CS2224" s="86"/>
      <c r="CT2224" s="86"/>
      <c r="CU2224" s="86"/>
      <c r="CV2224" s="86"/>
      <c r="CW2224" s="86"/>
    </row>
    <row r="2225" customFormat="false" ht="12.75" hidden="false" customHeight="false" outlineLevel="0" collapsed="false">
      <c r="F2225" s="86"/>
      <c r="G2225" s="86"/>
      <c r="H2225" s="86"/>
      <c r="I2225" s="86"/>
      <c r="J2225" s="86"/>
      <c r="K2225" s="86"/>
      <c r="L2225" s="86"/>
      <c r="N2225" s="86"/>
      <c r="CQ2225" s="86"/>
      <c r="CR2225" s="86"/>
      <c r="CS2225" s="86"/>
      <c r="CT2225" s="86"/>
      <c r="CU2225" s="86"/>
      <c r="CV2225" s="86"/>
      <c r="CW2225" s="86"/>
    </row>
    <row r="2226" customFormat="false" ht="12.75" hidden="false" customHeight="false" outlineLevel="0" collapsed="false">
      <c r="F2226" s="86"/>
      <c r="G2226" s="86"/>
      <c r="H2226" s="86"/>
      <c r="I2226" s="86"/>
      <c r="J2226" s="86"/>
      <c r="K2226" s="86"/>
      <c r="L2226" s="86"/>
      <c r="N2226" s="86"/>
      <c r="CQ2226" s="86"/>
      <c r="CR2226" s="86"/>
      <c r="CS2226" s="86"/>
      <c r="CT2226" s="86"/>
      <c r="CU2226" s="86"/>
      <c r="CV2226" s="86"/>
      <c r="CW2226" s="86"/>
    </row>
    <row r="2227" customFormat="false" ht="12.75" hidden="false" customHeight="false" outlineLevel="0" collapsed="false">
      <c r="F2227" s="86"/>
      <c r="G2227" s="86"/>
      <c r="H2227" s="86"/>
      <c r="I2227" s="86"/>
      <c r="J2227" s="86"/>
      <c r="K2227" s="86"/>
      <c r="L2227" s="86"/>
      <c r="N2227" s="86"/>
      <c r="CQ2227" s="86"/>
      <c r="CR2227" s="86"/>
      <c r="CS2227" s="86"/>
      <c r="CT2227" s="86"/>
      <c r="CU2227" s="86"/>
      <c r="CV2227" s="86"/>
      <c r="CW2227" s="86"/>
    </row>
    <row r="2228" customFormat="false" ht="12.75" hidden="false" customHeight="false" outlineLevel="0" collapsed="false">
      <c r="F2228" s="86"/>
      <c r="G2228" s="86"/>
      <c r="H2228" s="86"/>
      <c r="I2228" s="86"/>
      <c r="J2228" s="86"/>
      <c r="K2228" s="86"/>
      <c r="L2228" s="86"/>
      <c r="N2228" s="86"/>
      <c r="CQ2228" s="86"/>
      <c r="CR2228" s="86"/>
      <c r="CS2228" s="86"/>
      <c r="CT2228" s="86"/>
      <c r="CU2228" s="86"/>
      <c r="CV2228" s="86"/>
      <c r="CW2228" s="86"/>
    </row>
    <row r="2229" customFormat="false" ht="12.75" hidden="false" customHeight="false" outlineLevel="0" collapsed="false">
      <c r="F2229" s="86"/>
      <c r="G2229" s="86"/>
      <c r="H2229" s="86"/>
      <c r="I2229" s="86"/>
      <c r="J2229" s="86"/>
      <c r="K2229" s="86"/>
      <c r="L2229" s="86"/>
      <c r="N2229" s="86"/>
      <c r="CQ2229" s="86"/>
      <c r="CR2229" s="86"/>
      <c r="CS2229" s="86"/>
      <c r="CT2229" s="86"/>
      <c r="CU2229" s="86"/>
      <c r="CV2229" s="86"/>
      <c r="CW2229" s="86"/>
    </row>
    <row r="2230" customFormat="false" ht="12.75" hidden="false" customHeight="false" outlineLevel="0" collapsed="false">
      <c r="F2230" s="86"/>
      <c r="G2230" s="86"/>
      <c r="H2230" s="86"/>
      <c r="I2230" s="86"/>
      <c r="J2230" s="86"/>
      <c r="K2230" s="86"/>
      <c r="L2230" s="86"/>
      <c r="N2230" s="86"/>
      <c r="CQ2230" s="86"/>
      <c r="CR2230" s="86"/>
      <c r="CS2230" s="86"/>
      <c r="CT2230" s="86"/>
      <c r="CU2230" s="86"/>
      <c r="CV2230" s="86"/>
      <c r="CW2230" s="86"/>
    </row>
    <row r="2231" customFormat="false" ht="12.75" hidden="false" customHeight="false" outlineLevel="0" collapsed="false">
      <c r="F2231" s="86"/>
      <c r="G2231" s="86"/>
      <c r="H2231" s="86"/>
      <c r="I2231" s="86"/>
      <c r="J2231" s="86"/>
      <c r="K2231" s="86"/>
      <c r="L2231" s="86"/>
      <c r="N2231" s="86"/>
      <c r="CQ2231" s="86"/>
      <c r="CR2231" s="86"/>
      <c r="CS2231" s="86"/>
      <c r="CT2231" s="86"/>
      <c r="CU2231" s="86"/>
      <c r="CV2231" s="86"/>
      <c r="CW2231" s="86"/>
    </row>
    <row r="2232" customFormat="false" ht="12.75" hidden="false" customHeight="false" outlineLevel="0" collapsed="false">
      <c r="F2232" s="86"/>
      <c r="G2232" s="86"/>
      <c r="H2232" s="86"/>
      <c r="I2232" s="86"/>
      <c r="J2232" s="86"/>
      <c r="K2232" s="86"/>
      <c r="L2232" s="86"/>
      <c r="N2232" s="86"/>
      <c r="CQ2232" s="86"/>
      <c r="CR2232" s="86"/>
      <c r="CS2232" s="86"/>
      <c r="CT2232" s="86"/>
      <c r="CU2232" s="86"/>
      <c r="CV2232" s="86"/>
      <c r="CW2232" s="86"/>
    </row>
    <row r="2233" customFormat="false" ht="12.75" hidden="false" customHeight="false" outlineLevel="0" collapsed="false">
      <c r="F2233" s="86"/>
      <c r="G2233" s="86"/>
      <c r="H2233" s="86"/>
      <c r="I2233" s="86"/>
      <c r="J2233" s="86"/>
      <c r="K2233" s="86"/>
      <c r="L2233" s="86"/>
      <c r="N2233" s="86"/>
      <c r="CQ2233" s="86"/>
      <c r="CR2233" s="86"/>
      <c r="CS2233" s="86"/>
      <c r="CT2233" s="86"/>
      <c r="CU2233" s="86"/>
      <c r="CV2233" s="86"/>
      <c r="CW2233" s="86"/>
    </row>
    <row r="2234" customFormat="false" ht="12.75" hidden="false" customHeight="false" outlineLevel="0" collapsed="false">
      <c r="F2234" s="86"/>
      <c r="G2234" s="86"/>
      <c r="H2234" s="86"/>
      <c r="I2234" s="86"/>
      <c r="J2234" s="86"/>
      <c r="K2234" s="86"/>
      <c r="L2234" s="86"/>
      <c r="N2234" s="86"/>
      <c r="CQ2234" s="86"/>
      <c r="CR2234" s="86"/>
      <c r="CS2234" s="86"/>
      <c r="CT2234" s="86"/>
      <c r="CU2234" s="86"/>
      <c r="CV2234" s="86"/>
      <c r="CW2234" s="86"/>
    </row>
    <row r="2235" customFormat="false" ht="12.75" hidden="false" customHeight="false" outlineLevel="0" collapsed="false">
      <c r="F2235" s="86"/>
      <c r="G2235" s="86"/>
      <c r="H2235" s="86"/>
      <c r="I2235" s="86"/>
      <c r="J2235" s="86"/>
      <c r="K2235" s="86"/>
      <c r="L2235" s="86"/>
      <c r="N2235" s="86"/>
      <c r="CQ2235" s="86"/>
      <c r="CR2235" s="86"/>
      <c r="CS2235" s="86"/>
      <c r="CT2235" s="86"/>
      <c r="CU2235" s="86"/>
      <c r="CV2235" s="86"/>
      <c r="CW2235" s="86"/>
    </row>
    <row r="2236" customFormat="false" ht="12.75" hidden="false" customHeight="false" outlineLevel="0" collapsed="false">
      <c r="F2236" s="86"/>
      <c r="G2236" s="86"/>
      <c r="H2236" s="86"/>
      <c r="I2236" s="86"/>
      <c r="J2236" s="86"/>
      <c r="K2236" s="86"/>
      <c r="L2236" s="86"/>
      <c r="N2236" s="86"/>
      <c r="CQ2236" s="86"/>
      <c r="CR2236" s="86"/>
      <c r="CS2236" s="86"/>
      <c r="CT2236" s="86"/>
      <c r="CU2236" s="86"/>
      <c r="CV2236" s="86"/>
      <c r="CW2236" s="86"/>
    </row>
    <row r="2237" customFormat="false" ht="12.75" hidden="false" customHeight="false" outlineLevel="0" collapsed="false">
      <c r="F2237" s="86"/>
      <c r="G2237" s="86"/>
      <c r="H2237" s="86"/>
      <c r="I2237" s="86"/>
      <c r="J2237" s="86"/>
      <c r="K2237" s="86"/>
      <c r="L2237" s="86"/>
      <c r="N2237" s="86"/>
      <c r="CQ2237" s="86"/>
      <c r="CR2237" s="86"/>
      <c r="CS2237" s="86"/>
      <c r="CT2237" s="86"/>
      <c r="CU2237" s="86"/>
      <c r="CV2237" s="86"/>
      <c r="CW2237" s="86"/>
    </row>
    <row r="2238" customFormat="false" ht="12.75" hidden="false" customHeight="false" outlineLevel="0" collapsed="false">
      <c r="F2238" s="86"/>
      <c r="G2238" s="86"/>
      <c r="H2238" s="86"/>
      <c r="I2238" s="86"/>
      <c r="J2238" s="86"/>
      <c r="K2238" s="86"/>
      <c r="L2238" s="86"/>
      <c r="N2238" s="86"/>
      <c r="CQ2238" s="86"/>
      <c r="CR2238" s="86"/>
      <c r="CS2238" s="86"/>
      <c r="CT2238" s="86"/>
      <c r="CU2238" s="86"/>
      <c r="CV2238" s="86"/>
      <c r="CW2238" s="86"/>
    </row>
    <row r="2239" customFormat="false" ht="12.75" hidden="false" customHeight="false" outlineLevel="0" collapsed="false">
      <c r="F2239" s="86"/>
      <c r="G2239" s="86"/>
      <c r="H2239" s="86"/>
      <c r="I2239" s="86"/>
      <c r="J2239" s="86"/>
      <c r="K2239" s="86"/>
      <c r="L2239" s="86"/>
      <c r="N2239" s="86"/>
      <c r="CQ2239" s="86"/>
      <c r="CR2239" s="86"/>
      <c r="CS2239" s="86"/>
      <c r="CT2239" s="86"/>
      <c r="CU2239" s="86"/>
      <c r="CV2239" s="86"/>
      <c r="CW2239" s="86"/>
    </row>
    <row r="2240" customFormat="false" ht="12.75" hidden="false" customHeight="false" outlineLevel="0" collapsed="false">
      <c r="F2240" s="86"/>
      <c r="G2240" s="86"/>
      <c r="H2240" s="86"/>
      <c r="I2240" s="86"/>
      <c r="J2240" s="86"/>
      <c r="K2240" s="86"/>
      <c r="L2240" s="86"/>
      <c r="N2240" s="86"/>
      <c r="CQ2240" s="86"/>
      <c r="CR2240" s="86"/>
      <c r="CS2240" s="86"/>
      <c r="CT2240" s="86"/>
      <c r="CU2240" s="86"/>
      <c r="CV2240" s="86"/>
      <c r="CW2240" s="86"/>
    </row>
    <row r="2241" customFormat="false" ht="12.75" hidden="false" customHeight="false" outlineLevel="0" collapsed="false">
      <c r="F2241" s="86"/>
      <c r="G2241" s="86"/>
      <c r="H2241" s="86"/>
      <c r="I2241" s="86"/>
      <c r="J2241" s="86"/>
      <c r="K2241" s="86"/>
      <c r="L2241" s="86"/>
      <c r="N2241" s="86"/>
      <c r="CQ2241" s="86"/>
      <c r="CR2241" s="86"/>
      <c r="CS2241" s="86"/>
      <c r="CT2241" s="86"/>
      <c r="CU2241" s="86"/>
      <c r="CV2241" s="86"/>
      <c r="CW2241" s="86"/>
    </row>
    <row r="2242" customFormat="false" ht="12.75" hidden="false" customHeight="false" outlineLevel="0" collapsed="false">
      <c r="F2242" s="86"/>
      <c r="G2242" s="86"/>
      <c r="H2242" s="86"/>
      <c r="I2242" s="86"/>
      <c r="J2242" s="86"/>
      <c r="K2242" s="86"/>
      <c r="L2242" s="86"/>
      <c r="N2242" s="86"/>
      <c r="CQ2242" s="86"/>
      <c r="CR2242" s="86"/>
      <c r="CS2242" s="86"/>
      <c r="CT2242" s="86"/>
      <c r="CU2242" s="86"/>
      <c r="CV2242" s="86"/>
      <c r="CW2242" s="86"/>
    </row>
    <row r="2243" customFormat="false" ht="12.75" hidden="false" customHeight="false" outlineLevel="0" collapsed="false">
      <c r="F2243" s="86"/>
      <c r="G2243" s="86"/>
      <c r="H2243" s="86"/>
      <c r="I2243" s="86"/>
      <c r="J2243" s="86"/>
      <c r="K2243" s="86"/>
      <c r="L2243" s="86"/>
      <c r="N2243" s="86"/>
      <c r="CQ2243" s="86"/>
      <c r="CR2243" s="86"/>
      <c r="CS2243" s="86"/>
      <c r="CT2243" s="86"/>
      <c r="CU2243" s="86"/>
      <c r="CV2243" s="86"/>
      <c r="CW2243" s="86"/>
    </row>
    <row r="2244" customFormat="false" ht="12.75" hidden="false" customHeight="false" outlineLevel="0" collapsed="false">
      <c r="F2244" s="86"/>
      <c r="G2244" s="86"/>
      <c r="H2244" s="86"/>
      <c r="I2244" s="86"/>
      <c r="J2244" s="86"/>
      <c r="K2244" s="86"/>
      <c r="L2244" s="86"/>
      <c r="N2244" s="86"/>
      <c r="CQ2244" s="86"/>
      <c r="CR2244" s="86"/>
      <c r="CS2244" s="86"/>
      <c r="CT2244" s="86"/>
      <c r="CU2244" s="86"/>
      <c r="CV2244" s="86"/>
      <c r="CW2244" s="86"/>
    </row>
    <row r="2245" customFormat="false" ht="12.75" hidden="false" customHeight="false" outlineLevel="0" collapsed="false">
      <c r="F2245" s="86"/>
      <c r="G2245" s="86"/>
      <c r="H2245" s="86"/>
      <c r="I2245" s="86"/>
      <c r="J2245" s="86"/>
      <c r="K2245" s="86"/>
      <c r="L2245" s="86"/>
      <c r="N2245" s="86"/>
      <c r="CQ2245" s="86"/>
      <c r="CR2245" s="86"/>
      <c r="CS2245" s="86"/>
      <c r="CT2245" s="86"/>
      <c r="CU2245" s="86"/>
      <c r="CV2245" s="86"/>
      <c r="CW2245" s="86"/>
    </row>
    <row r="2246" customFormat="false" ht="12.75" hidden="false" customHeight="false" outlineLevel="0" collapsed="false">
      <c r="F2246" s="86"/>
      <c r="G2246" s="86"/>
      <c r="H2246" s="86"/>
      <c r="I2246" s="86"/>
      <c r="J2246" s="86"/>
      <c r="K2246" s="86"/>
      <c r="L2246" s="86"/>
      <c r="N2246" s="86"/>
      <c r="CQ2246" s="86"/>
      <c r="CR2246" s="86"/>
      <c r="CS2246" s="86"/>
      <c r="CT2246" s="86"/>
      <c r="CU2246" s="86"/>
      <c r="CV2246" s="86"/>
      <c r="CW2246" s="86"/>
    </row>
    <row r="2247" customFormat="false" ht="12.75" hidden="false" customHeight="false" outlineLevel="0" collapsed="false">
      <c r="F2247" s="86"/>
      <c r="G2247" s="86"/>
      <c r="H2247" s="86"/>
      <c r="I2247" s="86"/>
      <c r="J2247" s="86"/>
      <c r="K2247" s="86"/>
      <c r="L2247" s="86"/>
      <c r="N2247" s="86"/>
      <c r="CQ2247" s="86"/>
      <c r="CR2247" s="86"/>
      <c r="CS2247" s="86"/>
      <c r="CT2247" s="86"/>
      <c r="CU2247" s="86"/>
      <c r="CV2247" s="86"/>
      <c r="CW2247" s="86"/>
    </row>
    <row r="2248" customFormat="false" ht="12.75" hidden="false" customHeight="false" outlineLevel="0" collapsed="false">
      <c r="F2248" s="86"/>
      <c r="G2248" s="86"/>
      <c r="H2248" s="86"/>
      <c r="I2248" s="86"/>
      <c r="J2248" s="86"/>
      <c r="K2248" s="86"/>
      <c r="L2248" s="86"/>
      <c r="N2248" s="86"/>
      <c r="CQ2248" s="86"/>
      <c r="CR2248" s="86"/>
      <c r="CS2248" s="86"/>
      <c r="CT2248" s="86"/>
      <c r="CU2248" s="86"/>
      <c r="CV2248" s="86"/>
      <c r="CW2248" s="86"/>
    </row>
    <row r="2249" customFormat="false" ht="12.75" hidden="false" customHeight="false" outlineLevel="0" collapsed="false">
      <c r="F2249" s="86"/>
      <c r="G2249" s="86"/>
      <c r="H2249" s="86"/>
      <c r="I2249" s="86"/>
      <c r="J2249" s="86"/>
      <c r="K2249" s="86"/>
      <c r="L2249" s="86"/>
      <c r="N2249" s="86"/>
      <c r="CQ2249" s="86"/>
      <c r="CR2249" s="86"/>
      <c r="CS2249" s="86"/>
      <c r="CT2249" s="86"/>
      <c r="CU2249" s="86"/>
      <c r="CV2249" s="86"/>
      <c r="CW2249" s="86"/>
    </row>
    <row r="2250" customFormat="false" ht="12.75" hidden="false" customHeight="false" outlineLevel="0" collapsed="false">
      <c r="F2250" s="86"/>
      <c r="G2250" s="86"/>
      <c r="H2250" s="86"/>
      <c r="I2250" s="86"/>
      <c r="J2250" s="86"/>
      <c r="K2250" s="86"/>
      <c r="L2250" s="86"/>
      <c r="N2250" s="86"/>
      <c r="CQ2250" s="86"/>
      <c r="CR2250" s="86"/>
      <c r="CS2250" s="86"/>
      <c r="CT2250" s="86"/>
      <c r="CU2250" s="86"/>
      <c r="CV2250" s="86"/>
      <c r="CW2250" s="86"/>
    </row>
    <row r="2251" customFormat="false" ht="12.75" hidden="false" customHeight="false" outlineLevel="0" collapsed="false">
      <c r="F2251" s="86"/>
      <c r="G2251" s="86"/>
      <c r="H2251" s="86"/>
      <c r="I2251" s="86"/>
      <c r="J2251" s="86"/>
      <c r="K2251" s="86"/>
      <c r="L2251" s="86"/>
      <c r="N2251" s="86"/>
      <c r="CQ2251" s="86"/>
      <c r="CR2251" s="86"/>
      <c r="CS2251" s="86"/>
      <c r="CT2251" s="86"/>
      <c r="CU2251" s="86"/>
      <c r="CV2251" s="86"/>
      <c r="CW2251" s="86"/>
    </row>
    <row r="2252" customFormat="false" ht="12.75" hidden="false" customHeight="false" outlineLevel="0" collapsed="false">
      <c r="F2252" s="86"/>
      <c r="G2252" s="86"/>
      <c r="H2252" s="86"/>
      <c r="I2252" s="86"/>
      <c r="J2252" s="86"/>
      <c r="K2252" s="86"/>
      <c r="L2252" s="86"/>
      <c r="N2252" s="86"/>
      <c r="CQ2252" s="86"/>
      <c r="CR2252" s="86"/>
      <c r="CS2252" s="86"/>
      <c r="CT2252" s="86"/>
      <c r="CU2252" s="86"/>
      <c r="CV2252" s="86"/>
      <c r="CW2252" s="86"/>
    </row>
    <row r="2253" customFormat="false" ht="12.75" hidden="false" customHeight="false" outlineLevel="0" collapsed="false">
      <c r="F2253" s="86"/>
      <c r="G2253" s="86"/>
      <c r="H2253" s="86"/>
      <c r="I2253" s="86"/>
      <c r="J2253" s="86"/>
      <c r="K2253" s="86"/>
      <c r="L2253" s="86"/>
      <c r="N2253" s="86"/>
      <c r="CQ2253" s="86"/>
      <c r="CR2253" s="86"/>
      <c r="CS2253" s="86"/>
      <c r="CT2253" s="86"/>
      <c r="CU2253" s="86"/>
      <c r="CV2253" s="86"/>
      <c r="CW2253" s="86"/>
    </row>
    <row r="2254" customFormat="false" ht="12.75" hidden="false" customHeight="false" outlineLevel="0" collapsed="false">
      <c r="F2254" s="86"/>
      <c r="G2254" s="86"/>
      <c r="H2254" s="86"/>
      <c r="I2254" s="86"/>
      <c r="J2254" s="86"/>
      <c r="K2254" s="86"/>
      <c r="L2254" s="86"/>
      <c r="N2254" s="86"/>
      <c r="CQ2254" s="86"/>
      <c r="CR2254" s="86"/>
      <c r="CS2254" s="86"/>
      <c r="CT2254" s="86"/>
      <c r="CU2254" s="86"/>
      <c r="CV2254" s="86"/>
      <c r="CW2254" s="86"/>
    </row>
    <row r="2255" customFormat="false" ht="12.75" hidden="false" customHeight="false" outlineLevel="0" collapsed="false">
      <c r="F2255" s="86"/>
      <c r="G2255" s="86"/>
      <c r="H2255" s="86"/>
      <c r="I2255" s="86"/>
      <c r="J2255" s="86"/>
      <c r="K2255" s="86"/>
      <c r="L2255" s="86"/>
      <c r="N2255" s="86"/>
      <c r="CQ2255" s="86"/>
      <c r="CR2255" s="86"/>
      <c r="CS2255" s="86"/>
      <c r="CT2255" s="86"/>
      <c r="CU2255" s="86"/>
      <c r="CV2255" s="86"/>
      <c r="CW2255" s="86"/>
    </row>
    <row r="2256" customFormat="false" ht="12.75" hidden="false" customHeight="false" outlineLevel="0" collapsed="false">
      <c r="F2256" s="86"/>
      <c r="G2256" s="86"/>
      <c r="H2256" s="86"/>
      <c r="I2256" s="86"/>
      <c r="J2256" s="86"/>
      <c r="K2256" s="86"/>
      <c r="L2256" s="86"/>
      <c r="N2256" s="86"/>
      <c r="CQ2256" s="86"/>
      <c r="CR2256" s="86"/>
      <c r="CS2256" s="86"/>
      <c r="CT2256" s="86"/>
      <c r="CU2256" s="86"/>
      <c r="CV2256" s="86"/>
      <c r="CW2256" s="86"/>
    </row>
    <row r="2257" customFormat="false" ht="12.75" hidden="false" customHeight="false" outlineLevel="0" collapsed="false">
      <c r="F2257" s="86"/>
      <c r="G2257" s="86"/>
      <c r="H2257" s="86"/>
      <c r="I2257" s="86"/>
      <c r="J2257" s="86"/>
      <c r="K2257" s="86"/>
      <c r="L2257" s="86"/>
      <c r="N2257" s="86"/>
      <c r="CQ2257" s="86"/>
      <c r="CR2257" s="86"/>
      <c r="CS2257" s="86"/>
      <c r="CT2257" s="86"/>
      <c r="CU2257" s="86"/>
      <c r="CV2257" s="86"/>
      <c r="CW2257" s="86"/>
    </row>
    <row r="2258" customFormat="false" ht="12.75" hidden="false" customHeight="false" outlineLevel="0" collapsed="false">
      <c r="F2258" s="86"/>
      <c r="G2258" s="86"/>
      <c r="H2258" s="86"/>
      <c r="I2258" s="86"/>
      <c r="J2258" s="86"/>
      <c r="K2258" s="86"/>
      <c r="L2258" s="86"/>
      <c r="N2258" s="86"/>
      <c r="CQ2258" s="86"/>
      <c r="CR2258" s="86"/>
      <c r="CS2258" s="86"/>
      <c r="CT2258" s="86"/>
      <c r="CU2258" s="86"/>
      <c r="CV2258" s="86"/>
      <c r="CW2258" s="86"/>
    </row>
    <row r="2259" customFormat="false" ht="12.75" hidden="false" customHeight="false" outlineLevel="0" collapsed="false">
      <c r="F2259" s="86"/>
      <c r="G2259" s="86"/>
      <c r="H2259" s="86"/>
      <c r="I2259" s="86"/>
      <c r="J2259" s="86"/>
      <c r="K2259" s="86"/>
      <c r="L2259" s="86"/>
      <c r="N2259" s="86"/>
      <c r="CQ2259" s="86"/>
      <c r="CR2259" s="86"/>
      <c r="CS2259" s="86"/>
      <c r="CT2259" s="86"/>
      <c r="CU2259" s="86"/>
      <c r="CV2259" s="86"/>
      <c r="CW2259" s="86"/>
    </row>
    <row r="2260" customFormat="false" ht="12.75" hidden="false" customHeight="false" outlineLevel="0" collapsed="false">
      <c r="F2260" s="86"/>
      <c r="G2260" s="86"/>
      <c r="H2260" s="86"/>
      <c r="I2260" s="86"/>
      <c r="J2260" s="86"/>
      <c r="K2260" s="86"/>
      <c r="L2260" s="86"/>
      <c r="N2260" s="86"/>
      <c r="CQ2260" s="86"/>
      <c r="CR2260" s="86"/>
      <c r="CS2260" s="86"/>
      <c r="CT2260" s="86"/>
      <c r="CU2260" s="86"/>
      <c r="CV2260" s="86"/>
      <c r="CW2260" s="86"/>
    </row>
    <row r="2261" customFormat="false" ht="12.75" hidden="false" customHeight="false" outlineLevel="0" collapsed="false">
      <c r="F2261" s="86"/>
      <c r="G2261" s="86"/>
      <c r="H2261" s="86"/>
      <c r="I2261" s="86"/>
      <c r="J2261" s="86"/>
      <c r="K2261" s="86"/>
      <c r="L2261" s="86"/>
      <c r="N2261" s="86"/>
      <c r="CQ2261" s="86"/>
      <c r="CR2261" s="86"/>
      <c r="CS2261" s="86"/>
      <c r="CT2261" s="86"/>
      <c r="CU2261" s="86"/>
      <c r="CV2261" s="86"/>
      <c r="CW2261" s="86"/>
    </row>
    <row r="2262" customFormat="false" ht="12.75" hidden="false" customHeight="false" outlineLevel="0" collapsed="false">
      <c r="F2262" s="86"/>
      <c r="G2262" s="86"/>
      <c r="H2262" s="86"/>
      <c r="I2262" s="86"/>
      <c r="J2262" s="86"/>
      <c r="K2262" s="86"/>
      <c r="L2262" s="86"/>
      <c r="N2262" s="86"/>
      <c r="CQ2262" s="86"/>
      <c r="CR2262" s="86"/>
      <c r="CS2262" s="86"/>
      <c r="CT2262" s="86"/>
      <c r="CU2262" s="86"/>
      <c r="CV2262" s="86"/>
      <c r="CW2262" s="86"/>
    </row>
    <row r="2263" customFormat="false" ht="12.75" hidden="false" customHeight="false" outlineLevel="0" collapsed="false">
      <c r="F2263" s="86"/>
      <c r="G2263" s="86"/>
      <c r="H2263" s="86"/>
      <c r="I2263" s="86"/>
      <c r="J2263" s="86"/>
      <c r="K2263" s="86"/>
      <c r="L2263" s="86"/>
      <c r="N2263" s="86"/>
      <c r="CQ2263" s="86"/>
      <c r="CR2263" s="86"/>
      <c r="CS2263" s="86"/>
      <c r="CT2263" s="86"/>
      <c r="CU2263" s="86"/>
      <c r="CV2263" s="86"/>
      <c r="CW2263" s="86"/>
    </row>
    <row r="2264" customFormat="false" ht="12.75" hidden="false" customHeight="false" outlineLevel="0" collapsed="false">
      <c r="F2264" s="86"/>
      <c r="G2264" s="86"/>
      <c r="H2264" s="86"/>
      <c r="I2264" s="86"/>
      <c r="J2264" s="86"/>
      <c r="K2264" s="86"/>
      <c r="L2264" s="86"/>
      <c r="N2264" s="86"/>
      <c r="CQ2264" s="86"/>
      <c r="CR2264" s="86"/>
      <c r="CS2264" s="86"/>
      <c r="CT2264" s="86"/>
      <c r="CU2264" s="86"/>
      <c r="CV2264" s="86"/>
      <c r="CW2264" s="86"/>
    </row>
    <row r="2265" customFormat="false" ht="12.75" hidden="false" customHeight="false" outlineLevel="0" collapsed="false">
      <c r="F2265" s="86"/>
      <c r="G2265" s="86"/>
      <c r="H2265" s="86"/>
      <c r="I2265" s="86"/>
      <c r="J2265" s="86"/>
      <c r="K2265" s="86"/>
      <c r="L2265" s="86"/>
      <c r="N2265" s="86"/>
      <c r="CQ2265" s="86"/>
      <c r="CR2265" s="86"/>
      <c r="CS2265" s="86"/>
      <c r="CT2265" s="86"/>
      <c r="CU2265" s="86"/>
      <c r="CV2265" s="86"/>
      <c r="CW2265" s="86"/>
    </row>
    <row r="2266" customFormat="false" ht="12.75" hidden="false" customHeight="false" outlineLevel="0" collapsed="false">
      <c r="F2266" s="86"/>
      <c r="G2266" s="86"/>
      <c r="H2266" s="86"/>
      <c r="I2266" s="86"/>
      <c r="J2266" s="86"/>
      <c r="K2266" s="86"/>
      <c r="L2266" s="86"/>
      <c r="N2266" s="86"/>
      <c r="CQ2266" s="86"/>
      <c r="CR2266" s="86"/>
      <c r="CS2266" s="86"/>
      <c r="CT2266" s="86"/>
      <c r="CU2266" s="86"/>
      <c r="CV2266" s="86"/>
      <c r="CW2266" s="86"/>
    </row>
    <row r="2267" customFormat="false" ht="12.75" hidden="false" customHeight="false" outlineLevel="0" collapsed="false">
      <c r="F2267" s="86"/>
      <c r="G2267" s="86"/>
      <c r="H2267" s="86"/>
      <c r="I2267" s="86"/>
      <c r="J2267" s="86"/>
      <c r="K2267" s="86"/>
      <c r="L2267" s="86"/>
      <c r="N2267" s="86"/>
      <c r="CQ2267" s="86"/>
      <c r="CR2267" s="86"/>
      <c r="CS2267" s="86"/>
      <c r="CT2267" s="86"/>
      <c r="CU2267" s="86"/>
      <c r="CV2267" s="86"/>
      <c r="CW2267" s="86"/>
    </row>
    <row r="2268" customFormat="false" ht="12.75" hidden="false" customHeight="false" outlineLevel="0" collapsed="false">
      <c r="F2268" s="86"/>
      <c r="G2268" s="86"/>
      <c r="H2268" s="86"/>
      <c r="I2268" s="86"/>
      <c r="J2268" s="86"/>
      <c r="K2268" s="86"/>
      <c r="L2268" s="86"/>
      <c r="N2268" s="86"/>
      <c r="CQ2268" s="86"/>
      <c r="CR2268" s="86"/>
      <c r="CS2268" s="86"/>
      <c r="CT2268" s="86"/>
      <c r="CU2268" s="86"/>
      <c r="CV2268" s="86"/>
      <c r="CW2268" s="86"/>
    </row>
    <row r="2269" customFormat="false" ht="12.75" hidden="false" customHeight="false" outlineLevel="0" collapsed="false">
      <c r="F2269" s="86"/>
      <c r="G2269" s="86"/>
      <c r="H2269" s="86"/>
      <c r="I2269" s="86"/>
      <c r="J2269" s="86"/>
      <c r="K2269" s="86"/>
      <c r="L2269" s="86"/>
      <c r="N2269" s="86"/>
      <c r="CQ2269" s="86"/>
      <c r="CR2269" s="86"/>
      <c r="CS2269" s="86"/>
      <c r="CT2269" s="86"/>
      <c r="CU2269" s="86"/>
      <c r="CV2269" s="86"/>
      <c r="CW2269" s="86"/>
    </row>
    <row r="2270" customFormat="false" ht="12.75" hidden="false" customHeight="false" outlineLevel="0" collapsed="false">
      <c r="F2270" s="86"/>
      <c r="G2270" s="86"/>
      <c r="H2270" s="86"/>
      <c r="I2270" s="86"/>
      <c r="J2270" s="86"/>
      <c r="K2270" s="86"/>
      <c r="L2270" s="86"/>
      <c r="N2270" s="86"/>
      <c r="CQ2270" s="86"/>
      <c r="CR2270" s="86"/>
      <c r="CS2270" s="86"/>
      <c r="CT2270" s="86"/>
      <c r="CU2270" s="86"/>
      <c r="CV2270" s="86"/>
      <c r="CW2270" s="86"/>
    </row>
  </sheetData>
  <mergeCells count="11">
    <mergeCell ref="O1:Q1"/>
    <mergeCell ref="AK1:AL1"/>
    <mergeCell ref="AM1:AN1"/>
    <mergeCell ref="AO1:AP1"/>
    <mergeCell ref="AQ1:AR1"/>
    <mergeCell ref="AY1:BA1"/>
    <mergeCell ref="BW1:BX1"/>
    <mergeCell ref="CQ1:CR1"/>
    <mergeCell ref="CZ1:DD1"/>
    <mergeCell ref="DG1:DH1"/>
    <mergeCell ref="A1269:B1269"/>
  </mergeCells>
  <conditionalFormatting sqref="X36:X39">
    <cfRule type="expression" priority="2" aboveAverage="0" equalAverage="0" bottom="0" percent="0" rank="0" text="" dxfId="42">
      <formula>ROW()-3=$B$1270</formula>
    </cfRule>
    <cfRule type="expression" priority="3" aboveAverage="0" equalAverage="0" bottom="0" percent="0" rank="0" text="" dxfId="43">
      <formula>$A36=73</formula>
    </cfRule>
    <cfRule type="expression" priority="4" aboveAverage="0" equalAverage="0" bottom="0" percent="0" rank="0" text="" dxfId="44">
      <formula>ROUND(($A36-1)/12,0)=INT($A36-1)/12</formula>
    </cfRule>
  </conditionalFormatting>
  <conditionalFormatting sqref="P36:P38">
    <cfRule type="expression" priority="5" aboveAverage="0" equalAverage="0" bottom="0" percent="0" rank="0" text="" dxfId="45">
      <formula>ROW()-3=$B$1270</formula>
    </cfRule>
    <cfRule type="expression" priority="6" aboveAverage="0" equalAverage="0" bottom="0" percent="0" rank="0" text="" dxfId="46">
      <formula>$A36=73</formula>
    </cfRule>
    <cfRule type="expression" priority="7" aboveAverage="0" equalAverage="0" bottom="0" percent="0" rank="0" text="" dxfId="47">
      <formula>ROUND(($A36-1)/12,0)=INT($A36-1)/12</formula>
    </cfRule>
  </conditionalFormatting>
  <conditionalFormatting sqref="AY4:BQ136">
    <cfRule type="expression" priority="8" aboveAverage="0" equalAverage="0" bottom="0" percent="0" rank="0" text="" dxfId="48">
      <formula>OR(AY4&lt;0,ROW()-3=$A$1270)</formula>
    </cfRule>
  </conditionalFormatting>
  <conditionalFormatting sqref="A4:DJ35 A36:O38 Q36:W38 A39:W39 Y36:DJ39 A40:DJ52 A60:DJ136 A53:Q59 S53:X59 Z53:DJ59">
    <cfRule type="expression" priority="9" aboveAverage="0" equalAverage="0" bottom="0" percent="0" rank="0" text="" dxfId="49">
      <formula>ROW()-3=$A$1270</formula>
    </cfRule>
    <cfRule type="expression" priority="10" aboveAverage="0" equalAverage="0" bottom="0" percent="0" rank="0" text="" dxfId="50">
      <formula>$A4=73</formula>
    </cfRule>
    <cfRule type="expression" priority="11" aboveAverage="0" equalAverage="0" bottom="0" percent="0" rank="0" text="" dxfId="51">
      <formula>ROUND(($A4-1)/12,0)=INT($A4-1)/12</formula>
    </cfRule>
  </conditionalFormatting>
  <conditionalFormatting sqref="M1271:N65537 M137:N1268">
    <cfRule type="expression" priority="12" aboveAverage="0" equalAverage="0" bottom="0" percent="0" rank="0" text="" dxfId="52">
      <formula>XEZ137&lt;0</formula>
    </cfRule>
  </conditionalFormatting>
  <conditionalFormatting sqref="A137:D1268 A1271:D65537 F1271:H65537 F137:H1268">
    <cfRule type="expression" priority="13" aboveAverage="0" equalAverage="0" bottom="0" percent="0" rank="0" text="" dxfId="53">
      <formula>XEV137&lt;0</formula>
    </cfRule>
  </conditionalFormatting>
  <conditionalFormatting sqref="E1271:E65537 E137:E1268">
    <cfRule type="expression" priority="14" aboveAverage="0" equalAverage="0" bottom="0" percent="0" rank="0" text="" dxfId="54">
      <formula>XEU137&lt;0</formula>
    </cfRule>
  </conditionalFormatting>
  <conditionalFormatting sqref="DI1271:DJ52023 O1271:AG52052 O137:AG1268 BV1271:DH52052 BV137:DJ1268">
    <cfRule type="expression" priority="15" aboveAverage="0" equalAverage="0" bottom="0" percent="0" rank="0" text="" dxfId="55">
      <formula>ROW(-2=#ref!</formula>
    </cfRule>
  </conditionalFormatting>
  <conditionalFormatting sqref="A1269:AG1270 BV1269:DJ1270">
    <cfRule type="expression" priority="16" aboveAverage="0" equalAverage="0" bottom="0" percent="0" rank="0" text="" dxfId="56">
      <formula>$A$1270&gt;144</formula>
    </cfRule>
  </conditionalFormatting>
  <conditionalFormatting sqref="K1271:L65537 K137:L1268">
    <cfRule type="expression" priority="17" aboveAverage="0" equalAverage="0" bottom="0" percent="0" rank="0" text="" dxfId="57">
      <formula>A137&lt;0</formula>
    </cfRule>
  </conditionalFormatting>
  <conditionalFormatting sqref="I1271:J65537 I137:J1268">
    <cfRule type="expression" priority="18" aboveAverage="0" equalAverage="0" bottom="0" percent="0" rank="0" text="" dxfId="58">
      <formula>A137&lt;0</formula>
    </cfRule>
  </conditionalFormatting>
  <conditionalFormatting sqref="A1:XFD3">
    <cfRule type="expression" priority="19" aboveAverage="0" equalAverage="0" bottom="0" percent="0" rank="0" text="" dxfId="59">
      <formula>$A$1270&lt;0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J1270"/>
  <sheetViews>
    <sheetView showFormulas="false" showGridLines="true" showRowColHeaders="true" showZeros="true" rightToLeft="false" tabSelected="false" showOutlineSymbols="true" defaultGridColor="true" view="normal" topLeftCell="K1" colorId="64" zoomScale="85" zoomScaleNormal="85" zoomScalePageLayoutView="100" workbookViewId="0">
      <pane xSplit="0" ySplit="3" topLeftCell="A13" activePane="bottomLeft" state="frozen"/>
      <selection pane="topLeft" activeCell="K1" activeCellId="0" sqref="K1"/>
      <selection pane="bottomLeft" activeCell="W45" activeCellId="0" sqref="W45"/>
    </sheetView>
  </sheetViews>
  <sheetFormatPr defaultColWidth="3.42578125" defaultRowHeight="12.75" zeroHeight="false" outlineLevelRow="0" outlineLevelCol="0"/>
  <cols>
    <col collapsed="false" customWidth="true" hidden="false" outlineLevel="0" max="2" min="1" style="26" width="7.15"/>
    <col collapsed="false" customWidth="true" hidden="false" outlineLevel="0" max="3" min="3" style="1" width="3"/>
    <col collapsed="false" customWidth="true" hidden="false" outlineLevel="0" max="10" min="4" style="1" width="8.57"/>
    <col collapsed="false" customWidth="true" hidden="false" outlineLevel="0" max="11" min="11" style="1" width="11.43"/>
    <col collapsed="false" customWidth="true" hidden="false" outlineLevel="0" max="12" min="12" style="1" width="12.86"/>
    <col collapsed="false" customWidth="true" hidden="false" outlineLevel="0" max="16" min="13" style="1" width="11.43"/>
    <col collapsed="false" customWidth="true" hidden="false" outlineLevel="0" max="17" min="17" style="26" width="7.15"/>
    <col collapsed="false" customWidth="true" hidden="false" outlineLevel="0" max="18" min="18" style="124" width="7.15"/>
    <col collapsed="false" customWidth="true" hidden="false" outlineLevel="0" max="19" min="19" style="1" width="5.71"/>
    <col collapsed="false" customWidth="true" hidden="false" outlineLevel="0" max="20" min="20" style="1" width="6.85"/>
    <col collapsed="false" customWidth="true" hidden="false" outlineLevel="0" max="21" min="21" style="1" width="7"/>
    <col collapsed="false" customWidth="true" hidden="false" outlineLevel="0" max="22" min="22" style="1" width="9.57"/>
    <col collapsed="false" customWidth="true" hidden="false" outlineLevel="0" max="23" min="23" style="1" width="4.42"/>
    <col collapsed="false" customWidth="true" hidden="false" outlineLevel="0" max="24" min="24" style="1" width="8.42"/>
    <col collapsed="false" customWidth="true" hidden="false" outlineLevel="0" max="25" min="25" style="1" width="7.42"/>
    <col collapsed="false" customWidth="true" hidden="false" outlineLevel="0" max="26" min="26" style="1" width="6.57"/>
    <col collapsed="false" customWidth="true" hidden="false" outlineLevel="0" max="29" min="27" style="1" width="11.43"/>
    <col collapsed="false" customWidth="true" hidden="false" outlineLevel="0" max="30" min="30" style="1" width="3.29"/>
    <col collapsed="false" customWidth="true" hidden="false" outlineLevel="0" max="32" min="31" style="1" width="11.43"/>
    <col collapsed="false" customWidth="true" hidden="false" outlineLevel="0" max="33" min="33" style="1" width="13.71"/>
    <col collapsed="false" customWidth="true" hidden="false" outlineLevel="0" max="36" min="34" style="1" width="11.43"/>
    <col collapsed="false" customWidth="false" hidden="false" outlineLevel="0" max="37" min="37" style="1" width="3.42"/>
    <col collapsed="false" customWidth="true" hidden="false" outlineLevel="0" max="38" min="38" style="1" width="8.42"/>
    <col collapsed="false" customWidth="false" hidden="false" outlineLevel="0" max="16384" min="39" style="1" width="3.42"/>
  </cols>
  <sheetData>
    <row r="1" s="31" customFormat="true" ht="12.75" hidden="false" customHeight="false" outlineLevel="0" collapsed="false">
      <c r="A1" s="124"/>
      <c r="B1" s="124"/>
      <c r="D1" s="31" t="s">
        <v>220</v>
      </c>
      <c r="K1" s="16"/>
      <c r="L1" s="240" t="s">
        <v>335</v>
      </c>
      <c r="M1" s="240"/>
      <c r="N1" s="240"/>
      <c r="O1" s="240"/>
      <c r="P1" s="240"/>
      <c r="Q1" s="240"/>
      <c r="R1" s="124"/>
      <c r="S1" s="31" t="s">
        <v>54</v>
      </c>
      <c r="T1" s="31" t="s">
        <v>336</v>
      </c>
      <c r="AB1" s="142" t="s">
        <v>224</v>
      </c>
      <c r="AC1" s="142"/>
      <c r="AF1" s="31" t="s">
        <v>337</v>
      </c>
    </row>
    <row r="2" s="31" customFormat="true" ht="12.75" hidden="false" customHeight="false" outlineLevel="0" collapsed="false">
      <c r="A2" s="124"/>
      <c r="B2" s="124"/>
      <c r="K2" s="16"/>
      <c r="L2" s="241"/>
      <c r="M2" s="4"/>
      <c r="N2" s="1"/>
      <c r="O2" s="1"/>
      <c r="P2" s="1"/>
      <c r="Q2" s="86"/>
      <c r="R2" s="124"/>
    </row>
    <row r="3" s="143" customFormat="true" ht="15" hidden="false" customHeight="true" outlineLevel="0" collapsed="false">
      <c r="A3" s="127" t="s">
        <v>82</v>
      </c>
      <c r="B3" s="127" t="s">
        <v>73</v>
      </c>
      <c r="C3" s="127" t="s">
        <v>11</v>
      </c>
      <c r="D3" s="127" t="s">
        <v>338</v>
      </c>
      <c r="E3" s="127" t="s">
        <v>237</v>
      </c>
      <c r="F3" s="127" t="s">
        <v>339</v>
      </c>
      <c r="G3" s="127" t="s">
        <v>340</v>
      </c>
      <c r="H3" s="127" t="s">
        <v>240</v>
      </c>
      <c r="I3" s="127" t="s">
        <v>341</v>
      </c>
      <c r="J3" s="127" t="s">
        <v>242</v>
      </c>
      <c r="K3" s="242" t="s">
        <v>342</v>
      </c>
      <c r="L3" s="242" t="s">
        <v>343</v>
      </c>
      <c r="M3" s="242" t="s">
        <v>344</v>
      </c>
      <c r="N3" s="243" t="s">
        <v>345</v>
      </c>
      <c r="O3" s="243" t="s">
        <v>346</v>
      </c>
      <c r="P3" s="243" t="s">
        <v>347</v>
      </c>
      <c r="Q3" s="127" t="s">
        <v>295</v>
      </c>
      <c r="R3" s="127" t="s">
        <v>208</v>
      </c>
      <c r="S3" s="127" t="s">
        <v>348</v>
      </c>
      <c r="T3" s="127" t="s">
        <v>349</v>
      </c>
      <c r="U3" s="127" t="s">
        <v>350</v>
      </c>
      <c r="V3" s="127" t="s">
        <v>351</v>
      </c>
      <c r="W3" s="127" t="s">
        <v>352</v>
      </c>
      <c r="X3" s="127" t="s">
        <v>353</v>
      </c>
      <c r="Y3" s="127" t="s">
        <v>354</v>
      </c>
      <c r="Z3" s="127" t="s">
        <v>355</v>
      </c>
      <c r="AA3" s="127" t="s">
        <v>144</v>
      </c>
      <c r="AB3" s="127" t="s">
        <v>65</v>
      </c>
      <c r="AC3" s="127" t="s">
        <v>34</v>
      </c>
      <c r="AD3" s="127" t="s">
        <v>154</v>
      </c>
      <c r="AE3" s="127" t="s">
        <v>356</v>
      </c>
      <c r="AF3" s="127" t="s">
        <v>357</v>
      </c>
      <c r="AG3" s="127" t="s">
        <v>358</v>
      </c>
      <c r="AH3" s="127" t="s">
        <v>359</v>
      </c>
      <c r="AI3" s="127" t="s">
        <v>360</v>
      </c>
      <c r="AJ3" s="244" t="s">
        <v>361</v>
      </c>
    </row>
    <row r="4" customFormat="false" ht="12.75" hidden="false" customHeight="false" outlineLevel="0" collapsed="false">
      <c r="A4" s="170" t="n">
        <f aca="false">TblRezone[[#This Row],[Hour]]</f>
        <v>1</v>
      </c>
      <c r="B4" s="181" t="n">
        <f aca="false">TblConstr[[#This Row],[Land]]</f>
        <v>250</v>
      </c>
      <c r="C4" s="245"/>
      <c r="D4" s="246" t="n">
        <f aca="false">TblConstr[[#This Row],[Plain]]</f>
        <v>0</v>
      </c>
      <c r="E4" s="193" t="n">
        <f aca="false">TblConstr[[#This Row],[Forest]]</f>
        <v>0</v>
      </c>
      <c r="F4" s="200" t="n">
        <f aca="false">TblConstr[[#This Row],[Mountain]]</f>
        <v>0</v>
      </c>
      <c r="G4" s="201" t="n">
        <f aca="false">TblConstr[[#This Row],[Hill]]</f>
        <v>0</v>
      </c>
      <c r="H4" s="202" t="n">
        <f aca="false">TblConstr[[#This Row],[Swamp]]</f>
        <v>0</v>
      </c>
      <c r="I4" s="197" t="n">
        <f aca="false">TblConstr[[#This Row],[Cavern]]</f>
        <v>20</v>
      </c>
      <c r="J4" s="198" t="n">
        <f aca="false">TblConstr[[#This Row],[Water]]</f>
        <v>10</v>
      </c>
      <c r="K4" s="4"/>
      <c r="L4" s="4"/>
      <c r="M4" s="4"/>
      <c r="N4" s="247" t="n">
        <f aca="false">TblMili[[#This Row],[Smithies]]</f>
        <v>0</v>
      </c>
      <c r="O4" s="247" t="n">
        <f aca="false">TblPop[[#This Row],[Employment]]</f>
        <v>1</v>
      </c>
      <c r="P4" s="247" t="n">
        <f aca="false">TblImps[[#This Row],[Population]]</f>
        <v>0.646464646464647</v>
      </c>
      <c r="Q4" s="181" t="n">
        <f aca="false">TblExplore[[#This Row],[Land]]</f>
        <v>250</v>
      </c>
      <c r="R4" s="170" t="n">
        <f aca="false">TblExplore[[#This Row],[Hour]]</f>
        <v>1</v>
      </c>
      <c r="S4" s="248"/>
      <c r="T4" s="182"/>
      <c r="U4" s="182"/>
      <c r="V4" s="182"/>
      <c r="W4" s="182"/>
      <c r="X4" s="182"/>
      <c r="Y4" s="182"/>
      <c r="Z4" s="182"/>
      <c r="AA4" s="153" t="n">
        <f aca="false">TblImps[[#This Row],[Real time]]</f>
        <v>45429.75</v>
      </c>
      <c r="AB4" s="69" t="n">
        <f aca="false">TblMili[[#This Row],[Draftees]]</f>
        <v>300</v>
      </c>
      <c r="AC4" s="69" t="n">
        <f aca="false">TblProd[[#This Row],[Platinum]]</f>
        <v>9830</v>
      </c>
      <c r="AD4" s="245"/>
      <c r="AE4" s="151" t="n">
        <f aca="false">TblExplore[[#This Row],[Land]]-TblExplore[[#This Row],[Land Bonus]]*20</f>
        <v>250</v>
      </c>
      <c r="AF4" s="69" t="n">
        <f aca="false">ROUND(MAX(0.6*TblExplore[[#This Row],[Land-DB]]^1.299,850)*(1+ tech_2_6*Techs!AC4 + tech_2_9*Techs!AF4 + tech_3_7*Techs!AN4 + Overview!$I$32),0)</f>
        <v>850</v>
      </c>
      <c r="AG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69" t="n">
        <f aca="false">SUM(TblExplore[[#This Row],[Plains Explore]:[Water Explore]])*TblExplore[[#This Row],[Plat/acre]]</f>
        <v>0</v>
      </c>
      <c r="AI4" s="69" t="n">
        <f aca="false">SUM(TblExplore[[#This Row],[Plains Explore]:[Water Explore]])*TblExplore[[#This Row],[Draftees/acre]]</f>
        <v>0</v>
      </c>
      <c r="AJ4" s="151" t="n">
        <f aca="false">_xlfn.FLOOR.MATH(MIN(TblExplore[[#This Row],[Platinum]]/TblExplore[[#This Row],[Plat/acre]],TblExplore[[#This Row],[Draftees]]/TblExplore[[#This Row],[Draftees/acre]]))</f>
        <v>11</v>
      </c>
    </row>
    <row r="5" customFormat="false" ht="12.75" hidden="false" customHeight="false" outlineLevel="0" collapsed="false">
      <c r="A5" s="170" t="n">
        <f aca="false">TblRezone[[#This Row],[Hour]]</f>
        <v>2</v>
      </c>
      <c r="B5" s="181" t="n">
        <f aca="false">TblConstr[[#This Row],[Land]]</f>
        <v>250</v>
      </c>
      <c r="C5" s="245"/>
      <c r="D5" s="246" t="n">
        <f aca="false">TblConstr[[#This Row],[Plain]]</f>
        <v>0</v>
      </c>
      <c r="E5" s="193" t="n">
        <f aca="false">TblConstr[[#This Row],[Forest]]</f>
        <v>0</v>
      </c>
      <c r="F5" s="200" t="n">
        <f aca="false">TblConstr[[#This Row],[Mountain]]</f>
        <v>0</v>
      </c>
      <c r="G5" s="201" t="n">
        <f aca="false">TblConstr[[#This Row],[Hill]]</f>
        <v>0</v>
      </c>
      <c r="H5" s="202" t="n">
        <f aca="false">TblConstr[[#This Row],[Swamp]]</f>
        <v>0</v>
      </c>
      <c r="I5" s="197" t="n">
        <f aca="false">TblConstr[[#This Row],[Cavern]]</f>
        <v>20</v>
      </c>
      <c r="J5" s="198" t="n">
        <f aca="false">TblConstr[[#This Row],[Water]]</f>
        <v>10</v>
      </c>
      <c r="K5" s="4"/>
      <c r="L5" s="4"/>
      <c r="M5" s="4"/>
      <c r="N5" s="247" t="n">
        <f aca="false">TblMili[[#This Row],[Smithies]]</f>
        <v>0</v>
      </c>
      <c r="O5" s="247" t="n">
        <f aca="false">TblPop[[#This Row],[Employment]]</f>
        <v>1</v>
      </c>
      <c r="P5" s="247" t="n">
        <f aca="false">TblImps[[#This Row],[Population]]</f>
        <v>0.423076923076923</v>
      </c>
      <c r="Q5" s="181" t="n">
        <f aca="false">TblExplore[[#This Row],[Land]]</f>
        <v>250</v>
      </c>
      <c r="R5" s="170" t="n">
        <f aca="false">TblExplore[[#This Row],[Hour]]</f>
        <v>2</v>
      </c>
      <c r="S5" s="248"/>
      <c r="T5" s="182"/>
      <c r="U5" s="182"/>
      <c r="V5" s="182"/>
      <c r="W5" s="182"/>
      <c r="X5" s="182"/>
      <c r="Y5" s="182"/>
      <c r="Z5" s="182"/>
      <c r="AA5" s="153" t="n">
        <f aca="false">TblImps[[#This Row],[Real time]]</f>
        <v>45429.7916666667</v>
      </c>
      <c r="AB5" s="69" t="n">
        <f aca="false">TblMili[[#This Row],[Draftees]]</f>
        <v>313</v>
      </c>
      <c r="AC5" s="69" t="n">
        <f aca="false">TblProd[[#This Row],[Platinum]]</f>
        <v>15140</v>
      </c>
      <c r="AD5" s="245"/>
      <c r="AE5" s="151" t="n">
        <f aca="false">TblExplore[[#This Row],[Land]]-TblExplore[[#This Row],[Land Bonus]]*20</f>
        <v>250</v>
      </c>
      <c r="AF5" s="69" t="n">
        <f aca="false">ROUND(MAX(0.6*TblExplore[[#This Row],[Land-DB]]^1.299,850)*(1+ tech_2_6*Techs!AC5 + tech_2_9*Techs!AF5 + tech_3_7*Techs!AN5 + Overview!$I$32),0)</f>
        <v>850</v>
      </c>
      <c r="AG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69" t="n">
        <f aca="false">SUM(TblExplore[[#This Row],[Plains Explore]:[Water Explore]])*TblExplore[[#This Row],[Plat/acre]]</f>
        <v>0</v>
      </c>
      <c r="AI5" s="69" t="n">
        <f aca="false">SUM(TblExplore[[#This Row],[Plains Explore]:[Water Explore]])*TblExplore[[#This Row],[Draftees/acre]]</f>
        <v>0</v>
      </c>
      <c r="AJ5" s="151" t="n">
        <f aca="false">_xlfn.FLOOR.MATH(MIN(TblExplore[[#This Row],[Platinum]]/TblExplore[[#This Row],[Plat/acre]],TblExplore[[#This Row],[Draftees]]/TblExplore[[#This Row],[Draftees/acre]]))</f>
        <v>17</v>
      </c>
    </row>
    <row r="6" customFormat="false" ht="12.75" hidden="false" customHeight="false" outlineLevel="0" collapsed="false">
      <c r="A6" s="170" t="n">
        <f aca="false">TblRezone[[#This Row],[Hour]]</f>
        <v>3</v>
      </c>
      <c r="B6" s="181" t="n">
        <f aca="false">TblConstr[[#This Row],[Land]]</f>
        <v>250</v>
      </c>
      <c r="C6" s="245"/>
      <c r="D6" s="246" t="n">
        <f aca="false">TblConstr[[#This Row],[Plain]]</f>
        <v>0</v>
      </c>
      <c r="E6" s="193" t="n">
        <f aca="false">TblConstr[[#This Row],[Forest]]</f>
        <v>0</v>
      </c>
      <c r="F6" s="200" t="n">
        <f aca="false">TblConstr[[#This Row],[Mountain]]</f>
        <v>0</v>
      </c>
      <c r="G6" s="201" t="n">
        <f aca="false">TblConstr[[#This Row],[Hill]]</f>
        <v>0</v>
      </c>
      <c r="H6" s="202" t="n">
        <f aca="false">TblConstr[[#This Row],[Swamp]]</f>
        <v>0</v>
      </c>
      <c r="I6" s="197" t="n">
        <f aca="false">TblConstr[[#This Row],[Cavern]]</f>
        <v>20</v>
      </c>
      <c r="J6" s="198" t="n">
        <f aca="false">TblConstr[[#This Row],[Water]]</f>
        <v>10</v>
      </c>
      <c r="K6" s="4"/>
      <c r="L6" s="4"/>
      <c r="M6" s="4"/>
      <c r="N6" s="247" t="n">
        <f aca="false">TblMili[[#This Row],[Smithies]]</f>
        <v>0</v>
      </c>
      <c r="O6" s="247" t="n">
        <f aca="false">TblPop[[#This Row],[Employment]]</f>
        <v>1</v>
      </c>
      <c r="P6" s="247" t="n">
        <f aca="false">TblImps[[#This Row],[Population]]</f>
        <v>0.433144037170883</v>
      </c>
      <c r="Q6" s="181" t="n">
        <f aca="false">TblExplore[[#This Row],[Land]]</f>
        <v>250</v>
      </c>
      <c r="R6" s="170" t="n">
        <f aca="false">TblExplore[[#This Row],[Hour]]</f>
        <v>3</v>
      </c>
      <c r="S6" s="248"/>
      <c r="T6" s="182"/>
      <c r="U6" s="182"/>
      <c r="V6" s="182"/>
      <c r="W6" s="182"/>
      <c r="X6" s="182"/>
      <c r="Y6" s="182"/>
      <c r="Z6" s="182"/>
      <c r="AA6" s="153" t="n">
        <f aca="false">TblImps[[#This Row],[Real time]]</f>
        <v>45429.8333333333</v>
      </c>
      <c r="AB6" s="69" t="n">
        <f aca="false">TblMili[[#This Row],[Draftees]]</f>
        <v>326</v>
      </c>
      <c r="AC6" s="69" t="n">
        <f aca="false">TblProd[[#This Row],[Platinum]]</f>
        <v>20520</v>
      </c>
      <c r="AD6" s="245"/>
      <c r="AE6" s="151" t="n">
        <f aca="false">TblExplore[[#This Row],[Land]]-TblExplore[[#This Row],[Land Bonus]]*20</f>
        <v>250</v>
      </c>
      <c r="AF6" s="69" t="n">
        <f aca="false">ROUND(MAX(0.6*TblExplore[[#This Row],[Land-DB]]^1.299,850)*(1+ tech_2_6*Techs!AC6 + tech_2_9*Techs!AF6 + tech_3_7*Techs!AN6 + Overview!$I$32),0)</f>
        <v>850</v>
      </c>
      <c r="AG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69" t="n">
        <f aca="false">SUM(TblExplore[[#This Row],[Plains Explore]:[Water Explore]])*TblExplore[[#This Row],[Plat/acre]]</f>
        <v>0</v>
      </c>
      <c r="AI6" s="69" t="n">
        <f aca="false">SUM(TblExplore[[#This Row],[Plains Explore]:[Water Explore]])*TblExplore[[#This Row],[Draftees/acre]]</f>
        <v>0</v>
      </c>
      <c r="AJ6" s="151" t="n">
        <f aca="false">_xlfn.FLOOR.MATH(MIN(TblExplore[[#This Row],[Platinum]]/TblExplore[[#This Row],[Plat/acre]],TblExplore[[#This Row],[Draftees]]/TblExplore[[#This Row],[Draftees/acre]]))</f>
        <v>24</v>
      </c>
    </row>
    <row r="7" customFormat="false" ht="12.75" hidden="false" customHeight="false" outlineLevel="0" collapsed="false">
      <c r="A7" s="170" t="n">
        <f aca="false">TblRezone[[#This Row],[Hour]]</f>
        <v>4</v>
      </c>
      <c r="B7" s="181" t="n">
        <f aca="false">TblConstr[[#This Row],[Land]]</f>
        <v>250</v>
      </c>
      <c r="C7" s="245"/>
      <c r="D7" s="246" t="n">
        <f aca="false">TblConstr[[#This Row],[Plain]]</f>
        <v>0</v>
      </c>
      <c r="E7" s="193" t="n">
        <f aca="false">TblConstr[[#This Row],[Forest]]</f>
        <v>0</v>
      </c>
      <c r="F7" s="200" t="n">
        <f aca="false">TblConstr[[#This Row],[Mountain]]</f>
        <v>0</v>
      </c>
      <c r="G7" s="201" t="n">
        <f aca="false">TblConstr[[#This Row],[Hill]]</f>
        <v>0</v>
      </c>
      <c r="H7" s="202" t="n">
        <f aca="false">TblConstr[[#This Row],[Swamp]]</f>
        <v>0</v>
      </c>
      <c r="I7" s="197" t="n">
        <f aca="false">TblConstr[[#This Row],[Cavern]]</f>
        <v>20</v>
      </c>
      <c r="J7" s="198" t="n">
        <f aca="false">TblConstr[[#This Row],[Water]]</f>
        <v>10</v>
      </c>
      <c r="K7" s="4"/>
      <c r="L7" s="4"/>
      <c r="M7" s="4"/>
      <c r="N7" s="247" t="n">
        <f aca="false">TblMili[[#This Row],[Smithies]]</f>
        <v>0</v>
      </c>
      <c r="O7" s="247" t="n">
        <f aca="false">TblPop[[#This Row],[Employment]]</f>
        <v>1</v>
      </c>
      <c r="P7" s="247" t="n">
        <f aca="false">TblImps[[#This Row],[Population]]</f>
        <v>0.443469282395457</v>
      </c>
      <c r="Q7" s="181" t="n">
        <f aca="false">TblExplore[[#This Row],[Land]]</f>
        <v>250</v>
      </c>
      <c r="R7" s="170" t="n">
        <f aca="false">TblExplore[[#This Row],[Hour]]</f>
        <v>4</v>
      </c>
      <c r="S7" s="248"/>
      <c r="T7" s="152"/>
      <c r="U7" s="182"/>
      <c r="V7" s="182"/>
      <c r="W7" s="182"/>
      <c r="X7" s="182"/>
      <c r="Y7" s="182"/>
      <c r="Z7" s="182"/>
      <c r="AA7" s="153" t="n">
        <f aca="false">TblImps[[#This Row],[Real time]]</f>
        <v>45429.875</v>
      </c>
      <c r="AB7" s="69" t="n">
        <f aca="false">TblMili[[#This Row],[Draftees]]</f>
        <v>340</v>
      </c>
      <c r="AC7" s="69" t="n">
        <f aca="false">TblProd[[#This Row],[Platinum]]</f>
        <v>25970</v>
      </c>
      <c r="AD7" s="245"/>
      <c r="AE7" s="151" t="n">
        <f aca="false">TblExplore[[#This Row],[Land]]-TblExplore[[#This Row],[Land Bonus]]*20</f>
        <v>250</v>
      </c>
      <c r="AF7" s="69" t="n">
        <f aca="false">ROUND(MAX(0.6*TblExplore[[#This Row],[Land-DB]]^1.299,850)*(1+ tech_2_6*Techs!AC7 + tech_2_9*Techs!AF7 + tech_3_7*Techs!AN7 + Overview!$I$32),0)</f>
        <v>850</v>
      </c>
      <c r="AG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69" t="n">
        <f aca="false">SUM(TblExplore[[#This Row],[Plains Explore]:[Water Explore]])*TblExplore[[#This Row],[Plat/acre]]</f>
        <v>0</v>
      </c>
      <c r="AI7" s="69" t="n">
        <f aca="false">SUM(TblExplore[[#This Row],[Plains Explore]:[Water Explore]])*TblExplore[[#This Row],[Draftees/acre]]</f>
        <v>0</v>
      </c>
      <c r="AJ7" s="151" t="n">
        <f aca="false">_xlfn.FLOOR.MATH(MIN(TblExplore[[#This Row],[Platinum]]/TblExplore[[#This Row],[Plat/acre]],TblExplore[[#This Row],[Draftees]]/TblExplore[[#This Row],[Draftees/acre]]))</f>
        <v>30</v>
      </c>
    </row>
    <row r="8" customFormat="false" ht="12.75" hidden="false" customHeight="false" outlineLevel="0" collapsed="false">
      <c r="A8" s="170" t="n">
        <f aca="false">TblRezone[[#This Row],[Hour]]</f>
        <v>5</v>
      </c>
      <c r="B8" s="181" t="n">
        <f aca="false">TblConstr[[#This Row],[Land]]</f>
        <v>250</v>
      </c>
      <c r="C8" s="245"/>
      <c r="D8" s="246" t="n">
        <f aca="false">TblConstr[[#This Row],[Plain]]</f>
        <v>0</v>
      </c>
      <c r="E8" s="193" t="n">
        <f aca="false">TblConstr[[#This Row],[Forest]]</f>
        <v>0</v>
      </c>
      <c r="F8" s="200" t="n">
        <f aca="false">TblConstr[[#This Row],[Mountain]]</f>
        <v>0</v>
      </c>
      <c r="G8" s="201" t="n">
        <f aca="false">TblConstr[[#This Row],[Hill]]</f>
        <v>0</v>
      </c>
      <c r="H8" s="202" t="n">
        <f aca="false">TblConstr[[#This Row],[Swamp]]</f>
        <v>0</v>
      </c>
      <c r="I8" s="197" t="n">
        <f aca="false">TblConstr[[#This Row],[Cavern]]</f>
        <v>20</v>
      </c>
      <c r="J8" s="198" t="n">
        <f aca="false">TblConstr[[#This Row],[Water]]</f>
        <v>10</v>
      </c>
      <c r="K8" s="4"/>
      <c r="L8" s="4"/>
      <c r="M8" s="4"/>
      <c r="N8" s="247" t="n">
        <f aca="false">TblMili[[#This Row],[Smithies]]</f>
        <v>0</v>
      </c>
      <c r="O8" s="247" t="n">
        <f aca="false">TblPop[[#This Row],[Employment]]</f>
        <v>1</v>
      </c>
      <c r="P8" s="247" t="n">
        <f aca="false">TblImps[[#This Row],[Population]]</f>
        <v>0.454052658750645</v>
      </c>
      <c r="Q8" s="181" t="n">
        <f aca="false">TblExplore[[#This Row],[Land]]</f>
        <v>250</v>
      </c>
      <c r="R8" s="170" t="n">
        <f aca="false">TblExplore[[#This Row],[Hour]]</f>
        <v>5</v>
      </c>
      <c r="S8" s="248"/>
      <c r="T8" s="152"/>
      <c r="U8" s="182"/>
      <c r="V8" s="182"/>
      <c r="W8" s="182"/>
      <c r="X8" s="182"/>
      <c r="Y8" s="182"/>
      <c r="Z8" s="182"/>
      <c r="AA8" s="153" t="n">
        <f aca="false">TblImps[[#This Row],[Real time]]</f>
        <v>45429.9166666667</v>
      </c>
      <c r="AB8" s="69" t="n">
        <f aca="false">TblMili[[#This Row],[Draftees]]</f>
        <v>354</v>
      </c>
      <c r="AC8" s="69" t="n">
        <f aca="false">TblProd[[#This Row],[Platinum]]</f>
        <v>31490</v>
      </c>
      <c r="AD8" s="245"/>
      <c r="AE8" s="151" t="n">
        <f aca="false">TblExplore[[#This Row],[Land]]-TblExplore[[#This Row],[Land Bonus]]*20</f>
        <v>250</v>
      </c>
      <c r="AF8" s="69" t="n">
        <f aca="false">ROUND(MAX(0.6*TblExplore[[#This Row],[Land-DB]]^1.299,850)*(1+ tech_2_6*Techs!AC8 + tech_2_9*Techs!AF8 + tech_3_7*Techs!AN8 + Overview!$I$32),0)</f>
        <v>850</v>
      </c>
      <c r="AG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69" t="n">
        <f aca="false">SUM(TblExplore[[#This Row],[Plains Explore]:[Water Explore]])*TblExplore[[#This Row],[Plat/acre]]</f>
        <v>0</v>
      </c>
      <c r="AI8" s="69" t="n">
        <f aca="false">SUM(TblExplore[[#This Row],[Plains Explore]:[Water Explore]])*TblExplore[[#This Row],[Draftees/acre]]</f>
        <v>0</v>
      </c>
      <c r="AJ8" s="151" t="n">
        <f aca="false">_xlfn.FLOOR.MATH(MIN(TblExplore[[#This Row],[Platinum]]/TblExplore[[#This Row],[Plat/acre]],TblExplore[[#This Row],[Draftees]]/TblExplore[[#This Row],[Draftees/acre]]))</f>
        <v>37</v>
      </c>
    </row>
    <row r="9" customFormat="false" ht="12.75" hidden="false" customHeight="false" outlineLevel="0" collapsed="false">
      <c r="A9" s="170" t="n">
        <f aca="false">TblRezone[[#This Row],[Hour]]</f>
        <v>6</v>
      </c>
      <c r="B9" s="181" t="n">
        <f aca="false">TblConstr[[#This Row],[Land]]</f>
        <v>250</v>
      </c>
      <c r="C9" s="245"/>
      <c r="D9" s="246" t="n">
        <f aca="false">TblConstr[[#This Row],[Plain]]</f>
        <v>0</v>
      </c>
      <c r="E9" s="193" t="n">
        <f aca="false">TblConstr[[#This Row],[Forest]]</f>
        <v>0</v>
      </c>
      <c r="F9" s="200" t="n">
        <f aca="false">TblConstr[[#This Row],[Mountain]]</f>
        <v>0</v>
      </c>
      <c r="G9" s="201" t="n">
        <f aca="false">TblConstr[[#This Row],[Hill]]</f>
        <v>0</v>
      </c>
      <c r="H9" s="202" t="n">
        <f aca="false">TblConstr[[#This Row],[Swamp]]</f>
        <v>0</v>
      </c>
      <c r="I9" s="197" t="n">
        <f aca="false">TblConstr[[#This Row],[Cavern]]</f>
        <v>20</v>
      </c>
      <c r="J9" s="198" t="n">
        <f aca="false">TblConstr[[#This Row],[Water]]</f>
        <v>10</v>
      </c>
      <c r="K9" s="4"/>
      <c r="L9" s="4"/>
      <c r="M9" s="4"/>
      <c r="N9" s="247" t="n">
        <f aca="false">TblMili[[#This Row],[Smithies]]</f>
        <v>0</v>
      </c>
      <c r="O9" s="247" t="n">
        <f aca="false">TblPop[[#This Row],[Employment]]</f>
        <v>1</v>
      </c>
      <c r="P9" s="247" t="n">
        <f aca="false">TblImps[[#This Row],[Population]]</f>
        <v>0.44011357769747</v>
      </c>
      <c r="Q9" s="181" t="n">
        <f aca="false">TblExplore[[#This Row],[Land]]</f>
        <v>250</v>
      </c>
      <c r="R9" s="170" t="n">
        <f aca="false">TblExplore[[#This Row],[Hour]]</f>
        <v>6</v>
      </c>
      <c r="S9" s="248"/>
      <c r="T9" s="182" t="n">
        <v>13</v>
      </c>
      <c r="U9" s="182" t="n">
        <v>3</v>
      </c>
      <c r="V9" s="182"/>
      <c r="W9" s="182" t="n">
        <v>8</v>
      </c>
      <c r="X9" s="182"/>
      <c r="Y9" s="182"/>
      <c r="Z9" s="182"/>
      <c r="AA9" s="153" t="n">
        <f aca="false">TblImps[[#This Row],[Real time]]</f>
        <v>45429.9583333333</v>
      </c>
      <c r="AB9" s="69" t="n">
        <f aca="false">TblMili[[#This Row],[Draftees]]</f>
        <v>272</v>
      </c>
      <c r="AC9" s="69" t="n">
        <f aca="false">TblProd[[#This Row],[Platinum]]</f>
        <v>16683</v>
      </c>
      <c r="AD9" s="245"/>
      <c r="AE9" s="151" t="n">
        <f aca="false">TblExplore[[#This Row],[Land]]-TblExplore[[#This Row],[Land Bonus]]*20</f>
        <v>250</v>
      </c>
      <c r="AF9" s="69" t="n">
        <f aca="false">ROUND(MAX(0.6*TblExplore[[#This Row],[Land-DB]]^1.299,850)*(1+ tech_2_6*Techs!AC9 + tech_2_9*Techs!AF9 + tech_3_7*Techs!AN9 + Overview!$I$32),0)</f>
        <v>850</v>
      </c>
      <c r="AG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69" t="n">
        <f aca="false">SUM(TblExplore[[#This Row],[Plains Explore]:[Water Explore]])*TblExplore[[#This Row],[Plat/acre]]</f>
        <v>20400</v>
      </c>
      <c r="AI9" s="69" t="n">
        <f aca="false">SUM(TblExplore[[#This Row],[Plains Explore]:[Water Explore]])*TblExplore[[#This Row],[Draftees/acre]]</f>
        <v>96</v>
      </c>
      <c r="AJ9" s="151" t="n">
        <f aca="false">_xlfn.FLOOR.MATH(MIN(TblExplore[[#This Row],[Platinum]]/TblExplore[[#This Row],[Plat/acre]],TblExplore[[#This Row],[Draftees]]/TblExplore[[#This Row],[Draftees/acre]]))</f>
        <v>19</v>
      </c>
    </row>
    <row r="10" customFormat="false" ht="12.75" hidden="false" customHeight="false" outlineLevel="0" collapsed="false">
      <c r="A10" s="170" t="n">
        <f aca="false">TblRezone[[#This Row],[Hour]]</f>
        <v>7</v>
      </c>
      <c r="B10" s="181" t="n">
        <f aca="false">TblConstr[[#This Row],[Land]]</f>
        <v>250</v>
      </c>
      <c r="C10" s="245"/>
      <c r="D10" s="246" t="n">
        <f aca="false">TblConstr[[#This Row],[Plain]]</f>
        <v>0</v>
      </c>
      <c r="E10" s="193" t="n">
        <f aca="false">TblConstr[[#This Row],[Forest]]</f>
        <v>0</v>
      </c>
      <c r="F10" s="200" t="n">
        <f aca="false">TblConstr[[#This Row],[Mountain]]</f>
        <v>0</v>
      </c>
      <c r="G10" s="201" t="n">
        <f aca="false">TblConstr[[#This Row],[Hill]]</f>
        <v>0</v>
      </c>
      <c r="H10" s="202" t="n">
        <f aca="false">TblConstr[[#This Row],[Swamp]]</f>
        <v>0</v>
      </c>
      <c r="I10" s="197" t="n">
        <f aca="false">TblConstr[[#This Row],[Cavern]]</f>
        <v>20</v>
      </c>
      <c r="J10" s="198" t="n">
        <f aca="false">TblConstr[[#This Row],[Water]]</f>
        <v>10</v>
      </c>
      <c r="K10" s="4"/>
      <c r="L10" s="4"/>
      <c r="M10" s="4"/>
      <c r="N10" s="247" t="n">
        <f aca="false">TblMili[[#This Row],[Smithies]]</f>
        <v>0</v>
      </c>
      <c r="O10" s="247" t="n">
        <f aca="false">TblPop[[#This Row],[Employment]]</f>
        <v>1</v>
      </c>
      <c r="P10" s="247" t="n">
        <f aca="false">TblImps[[#This Row],[Population]]</f>
        <v>0.45018069179143</v>
      </c>
      <c r="Q10" s="181" t="n">
        <f aca="false">TblExplore[[#This Row],[Land]]</f>
        <v>250</v>
      </c>
      <c r="R10" s="170" t="n">
        <f aca="false">TblExplore[[#This Row],[Hour]]</f>
        <v>7</v>
      </c>
      <c r="S10" s="248"/>
      <c r="T10" s="182"/>
      <c r="U10" s="182"/>
      <c r="V10" s="182"/>
      <c r="W10" s="182" t="n">
        <v>1</v>
      </c>
      <c r="X10" s="182"/>
      <c r="Y10" s="182"/>
      <c r="Z10" s="182"/>
      <c r="AA10" s="153" t="n">
        <f aca="false">TblImps[[#This Row],[Real time]]</f>
        <v>45430</v>
      </c>
      <c r="AB10" s="69" t="n">
        <f aca="false">TblMili[[#This Row],[Draftees]]</f>
        <v>282</v>
      </c>
      <c r="AC10" s="69" t="n">
        <f aca="false">TblProd[[#This Row],[Platinum]]</f>
        <v>21502</v>
      </c>
      <c r="AD10" s="245"/>
      <c r="AE10" s="151" t="n">
        <f aca="false">TblExplore[[#This Row],[Land]]-TblExplore[[#This Row],[Land Bonus]]*20</f>
        <v>250</v>
      </c>
      <c r="AF10" s="69" t="n">
        <f aca="false">ROUND(MAX(0.6*TblExplore[[#This Row],[Land-DB]]^1.299,850)*(1+ tech_2_6*Techs!AC10 + tech_2_9*Techs!AF10 + tech_3_7*Techs!AN10 + Overview!$I$32),0)</f>
        <v>850</v>
      </c>
      <c r="AG1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69" t="n">
        <f aca="false">SUM(TblExplore[[#This Row],[Plains Explore]:[Water Explore]])*TblExplore[[#This Row],[Plat/acre]]</f>
        <v>850</v>
      </c>
      <c r="AI10" s="69" t="n">
        <f aca="false">SUM(TblExplore[[#This Row],[Plains Explore]:[Water Explore]])*TblExplore[[#This Row],[Draftees/acre]]</f>
        <v>4</v>
      </c>
      <c r="AJ10" s="151" t="n">
        <f aca="false">_xlfn.FLOOR.MATH(MIN(TblExplore[[#This Row],[Platinum]]/TblExplore[[#This Row],[Plat/acre]],TblExplore[[#This Row],[Draftees]]/TblExplore[[#This Row],[Draftees/acre]]))</f>
        <v>25</v>
      </c>
    </row>
    <row r="11" customFormat="false" ht="12.75" hidden="false" customHeight="false" outlineLevel="0" collapsed="false">
      <c r="A11" s="170" t="n">
        <f aca="false">TblRezone[[#This Row],[Hour]]</f>
        <v>8</v>
      </c>
      <c r="B11" s="181" t="n">
        <f aca="false">TblConstr[[#This Row],[Land]]</f>
        <v>250</v>
      </c>
      <c r="C11" s="245"/>
      <c r="D11" s="246" t="n">
        <f aca="false">TblConstr[[#This Row],[Plain]]</f>
        <v>0</v>
      </c>
      <c r="E11" s="193" t="n">
        <f aca="false">TblConstr[[#This Row],[Forest]]</f>
        <v>0</v>
      </c>
      <c r="F11" s="200" t="n">
        <f aca="false">TblConstr[[#This Row],[Mountain]]</f>
        <v>0</v>
      </c>
      <c r="G11" s="201" t="n">
        <f aca="false">TblConstr[[#This Row],[Hill]]</f>
        <v>0</v>
      </c>
      <c r="H11" s="202" t="n">
        <f aca="false">TblConstr[[#This Row],[Swamp]]</f>
        <v>0</v>
      </c>
      <c r="I11" s="197" t="n">
        <f aca="false">TblConstr[[#This Row],[Cavern]]</f>
        <v>20</v>
      </c>
      <c r="J11" s="198" t="n">
        <f aca="false">TblConstr[[#This Row],[Water]]</f>
        <v>10</v>
      </c>
      <c r="K11" s="4"/>
      <c r="L11" s="4"/>
      <c r="M11" s="4"/>
      <c r="N11" s="247" t="n">
        <f aca="false">TblMili[[#This Row],[Smithies]]</f>
        <v>0</v>
      </c>
      <c r="O11" s="247" t="n">
        <f aca="false">TblPop[[#This Row],[Employment]]</f>
        <v>1</v>
      </c>
      <c r="P11" s="247" t="n">
        <f aca="false">TblImps[[#This Row],[Population]]</f>
        <v>0.46024780588539</v>
      </c>
      <c r="Q11" s="181" t="n">
        <f aca="false">TblExplore[[#This Row],[Land]]</f>
        <v>250</v>
      </c>
      <c r="R11" s="170" t="n">
        <f aca="false">TblExplore[[#This Row],[Hour]]</f>
        <v>8</v>
      </c>
      <c r="S11" s="248"/>
      <c r="T11" s="182"/>
      <c r="U11" s="182"/>
      <c r="V11" s="182"/>
      <c r="W11" s="182" t="n">
        <v>1</v>
      </c>
      <c r="X11" s="182"/>
      <c r="Y11" s="182"/>
      <c r="Z11" s="182"/>
      <c r="AA11" s="153" t="n">
        <f aca="false">TblImps[[#This Row],[Real time]]</f>
        <v>45430.0416666667</v>
      </c>
      <c r="AB11" s="69" t="n">
        <f aca="false">TblMili[[#This Row],[Draftees]]</f>
        <v>293</v>
      </c>
      <c r="AC11" s="69" t="n">
        <f aca="false">TblProd[[#This Row],[Platinum]]</f>
        <v>26399</v>
      </c>
      <c r="AD11" s="245"/>
      <c r="AE11" s="151" t="n">
        <f aca="false">TblExplore[[#This Row],[Land]]-TblExplore[[#This Row],[Land Bonus]]*20</f>
        <v>250</v>
      </c>
      <c r="AF11" s="69" t="n">
        <f aca="false">ROUND(MAX(0.6*TblExplore[[#This Row],[Land-DB]]^1.299,850)*(1+ tech_2_6*Techs!AC11 + tech_2_9*Techs!AF11 + tech_3_7*Techs!AN11 + Overview!$I$32),0)</f>
        <v>850</v>
      </c>
      <c r="AG1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69" t="n">
        <f aca="false">SUM(TblExplore[[#This Row],[Plains Explore]:[Water Explore]])*TblExplore[[#This Row],[Plat/acre]]</f>
        <v>850</v>
      </c>
      <c r="AI11" s="69" t="n">
        <f aca="false">SUM(TblExplore[[#This Row],[Plains Explore]:[Water Explore]])*TblExplore[[#This Row],[Draftees/acre]]</f>
        <v>4</v>
      </c>
      <c r="AJ11" s="151" t="n">
        <f aca="false">_xlfn.FLOOR.MATH(MIN(TblExplore[[#This Row],[Platinum]]/TblExplore[[#This Row],[Plat/acre]],TblExplore[[#This Row],[Draftees]]/TblExplore[[#This Row],[Draftees/acre]]))</f>
        <v>31</v>
      </c>
    </row>
    <row r="12" customFormat="false" ht="12.75" hidden="false" customHeight="false" outlineLevel="0" collapsed="false">
      <c r="A12" s="170" t="n">
        <f aca="false">TblRezone[[#This Row],[Hour]]</f>
        <v>9</v>
      </c>
      <c r="B12" s="181" t="n">
        <f aca="false">TblConstr[[#This Row],[Land]]</f>
        <v>250</v>
      </c>
      <c r="C12" s="245"/>
      <c r="D12" s="246" t="n">
        <f aca="false">TblConstr[[#This Row],[Plain]]</f>
        <v>0</v>
      </c>
      <c r="E12" s="193" t="n">
        <f aca="false">TblConstr[[#This Row],[Forest]]</f>
        <v>0</v>
      </c>
      <c r="F12" s="200" t="n">
        <f aca="false">TblConstr[[#This Row],[Mountain]]</f>
        <v>0</v>
      </c>
      <c r="G12" s="201" t="n">
        <f aca="false">TblConstr[[#This Row],[Hill]]</f>
        <v>0</v>
      </c>
      <c r="H12" s="202" t="n">
        <f aca="false">TblConstr[[#This Row],[Swamp]]</f>
        <v>0</v>
      </c>
      <c r="I12" s="197" t="n">
        <f aca="false">TblConstr[[#This Row],[Cavern]]</f>
        <v>20</v>
      </c>
      <c r="J12" s="198" t="n">
        <f aca="false">TblConstr[[#This Row],[Water]]</f>
        <v>10</v>
      </c>
      <c r="K12" s="4"/>
      <c r="L12" s="4"/>
      <c r="M12" s="4"/>
      <c r="N12" s="247" t="n">
        <f aca="false">TblMili[[#This Row],[Smithies]]</f>
        <v>0</v>
      </c>
      <c r="O12" s="247" t="n">
        <f aca="false">TblPop[[#This Row],[Employment]]</f>
        <v>1</v>
      </c>
      <c r="P12" s="247" t="n">
        <f aca="false">TblImps[[#This Row],[Population]]</f>
        <v>0.470573051109964</v>
      </c>
      <c r="Q12" s="181" t="n">
        <f aca="false">TblExplore[[#This Row],[Land]]</f>
        <v>250</v>
      </c>
      <c r="R12" s="170" t="n">
        <f aca="false">TblExplore[[#This Row],[Hour]]</f>
        <v>9</v>
      </c>
      <c r="S12" s="248"/>
      <c r="T12" s="182"/>
      <c r="U12" s="182"/>
      <c r="V12" s="182"/>
      <c r="W12" s="182" t="n">
        <v>1</v>
      </c>
      <c r="X12" s="182"/>
      <c r="Y12" s="182"/>
      <c r="Z12" s="182"/>
      <c r="AA12" s="153" t="n">
        <f aca="false">TblImps[[#This Row],[Real time]]</f>
        <v>45430.0833333333</v>
      </c>
      <c r="AB12" s="69" t="n">
        <f aca="false">TblMili[[#This Row],[Draftees]]</f>
        <v>304</v>
      </c>
      <c r="AC12" s="69" t="n">
        <f aca="false">TblProd[[#This Row],[Platinum]]</f>
        <v>31372</v>
      </c>
      <c r="AD12" s="245"/>
      <c r="AE12" s="151" t="n">
        <f aca="false">TblExplore[[#This Row],[Land]]-TblExplore[[#This Row],[Land Bonus]]*20</f>
        <v>250</v>
      </c>
      <c r="AF12" s="69" t="n">
        <f aca="false">ROUND(MAX(0.6*TblExplore[[#This Row],[Land-DB]]^1.299,850)*(1+ tech_2_6*Techs!AC12 + tech_2_9*Techs!AF12 + tech_3_7*Techs!AN12 + Overview!$I$32),0)</f>
        <v>850</v>
      </c>
      <c r="AG1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69" t="n">
        <f aca="false">SUM(TblExplore[[#This Row],[Plains Explore]:[Water Explore]])*TblExplore[[#This Row],[Plat/acre]]</f>
        <v>850</v>
      </c>
      <c r="AI12" s="69" t="n">
        <f aca="false">SUM(TblExplore[[#This Row],[Plains Explore]:[Water Explore]])*TblExplore[[#This Row],[Draftees/acre]]</f>
        <v>4</v>
      </c>
      <c r="AJ12" s="151" t="n">
        <f aca="false">_xlfn.FLOOR.MATH(MIN(TblExplore[[#This Row],[Platinum]]/TblExplore[[#This Row],[Plat/acre]],TblExplore[[#This Row],[Draftees]]/TblExplore[[#This Row],[Draftees/acre]]))</f>
        <v>36</v>
      </c>
    </row>
    <row r="13" customFormat="false" ht="12.75" hidden="false" customHeight="false" outlineLevel="0" collapsed="false">
      <c r="A13" s="170" t="n">
        <f aca="false">TblRezone[[#This Row],[Hour]]</f>
        <v>10</v>
      </c>
      <c r="B13" s="181" t="n">
        <f aca="false">TblConstr[[#This Row],[Land]]</f>
        <v>250</v>
      </c>
      <c r="C13" s="245"/>
      <c r="D13" s="246" t="n">
        <f aca="false">TblConstr[[#This Row],[Plain]]</f>
        <v>0</v>
      </c>
      <c r="E13" s="193" t="n">
        <f aca="false">TblConstr[[#This Row],[Forest]]</f>
        <v>0</v>
      </c>
      <c r="F13" s="200" t="n">
        <f aca="false">TblConstr[[#This Row],[Mountain]]</f>
        <v>0</v>
      </c>
      <c r="G13" s="201" t="n">
        <f aca="false">TblConstr[[#This Row],[Hill]]</f>
        <v>0</v>
      </c>
      <c r="H13" s="202" t="n">
        <f aca="false">TblConstr[[#This Row],[Swamp]]</f>
        <v>0</v>
      </c>
      <c r="I13" s="197" t="n">
        <f aca="false">TblConstr[[#This Row],[Cavern]]</f>
        <v>20</v>
      </c>
      <c r="J13" s="198" t="n">
        <f aca="false">TblConstr[[#This Row],[Water]]</f>
        <v>10</v>
      </c>
      <c r="K13" s="4"/>
      <c r="L13" s="4"/>
      <c r="M13" s="4"/>
      <c r="N13" s="247" t="n">
        <f aca="false">TblMili[[#This Row],[Smithies]]</f>
        <v>0</v>
      </c>
      <c r="O13" s="247" t="n">
        <f aca="false">TblPop[[#This Row],[Employment]]</f>
        <v>1</v>
      </c>
      <c r="P13" s="247" t="n">
        <f aca="false">TblImps[[#This Row],[Population]]</f>
        <v>0.481156427465152</v>
      </c>
      <c r="Q13" s="181" t="n">
        <f aca="false">TblExplore[[#This Row],[Land]]</f>
        <v>250</v>
      </c>
      <c r="R13" s="170" t="n">
        <f aca="false">TblExplore[[#This Row],[Hour]]</f>
        <v>10</v>
      </c>
      <c r="S13" s="248"/>
      <c r="T13" s="182"/>
      <c r="U13" s="182"/>
      <c r="V13" s="182"/>
      <c r="W13" s="182" t="n">
        <v>1</v>
      </c>
      <c r="X13" s="182"/>
      <c r="Y13" s="182"/>
      <c r="Z13" s="182"/>
      <c r="AA13" s="153" t="n">
        <f aca="false">TblImps[[#This Row],[Real time]]</f>
        <v>45430.125</v>
      </c>
      <c r="AB13" s="69" t="n">
        <f aca="false">TblMili[[#This Row],[Draftees]]</f>
        <v>315</v>
      </c>
      <c r="AC13" s="69" t="n">
        <f aca="false">TblProd[[#This Row],[Platinum]]</f>
        <v>36323</v>
      </c>
      <c r="AD13" s="245"/>
      <c r="AE13" s="151" t="n">
        <f aca="false">TblExplore[[#This Row],[Land]]-TblExplore[[#This Row],[Land Bonus]]*20</f>
        <v>250</v>
      </c>
      <c r="AF13" s="69" t="n">
        <f aca="false">ROUND(MAX(0.6*TblExplore[[#This Row],[Land-DB]]^1.299,850)*(1+ tech_2_6*Techs!AC13 + tech_2_9*Techs!AF13 + tech_3_7*Techs!AN13 + Overview!$I$32),0)</f>
        <v>850</v>
      </c>
      <c r="AG1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69" t="n">
        <f aca="false">SUM(TblExplore[[#This Row],[Plains Explore]:[Water Explore]])*TblExplore[[#This Row],[Plat/acre]]</f>
        <v>850</v>
      </c>
      <c r="AI13" s="69" t="n">
        <f aca="false">SUM(TblExplore[[#This Row],[Plains Explore]:[Water Explore]])*TblExplore[[#This Row],[Draftees/acre]]</f>
        <v>4</v>
      </c>
      <c r="AJ13" s="151" t="n">
        <f aca="false">_xlfn.FLOOR.MATH(MIN(TblExplore[[#This Row],[Platinum]]/TblExplore[[#This Row],[Plat/acre]],TblExplore[[#This Row],[Draftees]]/TblExplore[[#This Row],[Draftees/acre]]))</f>
        <v>42</v>
      </c>
    </row>
    <row r="14" customFormat="false" ht="12.75" hidden="false" customHeight="false" outlineLevel="0" collapsed="false">
      <c r="A14" s="170" t="n">
        <f aca="false">TblRezone[[#This Row],[Hour]]</f>
        <v>11</v>
      </c>
      <c r="B14" s="181" t="n">
        <f aca="false">TblConstr[[#This Row],[Land]]</f>
        <v>250</v>
      </c>
      <c r="C14" s="245"/>
      <c r="D14" s="246" t="n">
        <f aca="false">TblConstr[[#This Row],[Plain]]</f>
        <v>0</v>
      </c>
      <c r="E14" s="193" t="n">
        <f aca="false">TblConstr[[#This Row],[Forest]]</f>
        <v>0</v>
      </c>
      <c r="F14" s="200" t="n">
        <f aca="false">TblConstr[[#This Row],[Mountain]]</f>
        <v>0</v>
      </c>
      <c r="G14" s="201" t="n">
        <f aca="false">TblConstr[[#This Row],[Hill]]</f>
        <v>0</v>
      </c>
      <c r="H14" s="202" t="n">
        <f aca="false">TblConstr[[#This Row],[Swamp]]</f>
        <v>0</v>
      </c>
      <c r="I14" s="197" t="n">
        <f aca="false">TblConstr[[#This Row],[Cavern]]</f>
        <v>20</v>
      </c>
      <c r="J14" s="198" t="n">
        <f aca="false">TblConstr[[#This Row],[Water]]</f>
        <v>10</v>
      </c>
      <c r="K14" s="4"/>
      <c r="L14" s="4"/>
      <c r="M14" s="4"/>
      <c r="N14" s="247" t="n">
        <f aca="false">TblMili[[#This Row],[Smithies]]</f>
        <v>0</v>
      </c>
      <c r="O14" s="247" t="n">
        <f aca="false">TblPop[[#This Row],[Employment]]</f>
        <v>1</v>
      </c>
      <c r="P14" s="247" t="n">
        <f aca="false">TblImps[[#This Row],[Population]]</f>
        <v>0.491997934950955</v>
      </c>
      <c r="Q14" s="181" t="n">
        <f aca="false">TblExplore[[#This Row],[Land]]</f>
        <v>250</v>
      </c>
      <c r="R14" s="170" t="n">
        <f aca="false">TblExplore[[#This Row],[Hour]]</f>
        <v>11</v>
      </c>
      <c r="S14" s="248"/>
      <c r="T14" s="182"/>
      <c r="U14" s="182"/>
      <c r="V14" s="182"/>
      <c r="W14" s="182" t="n">
        <v>1</v>
      </c>
      <c r="X14" s="182"/>
      <c r="Y14" s="182"/>
      <c r="Z14" s="182"/>
      <c r="AA14" s="153" t="n">
        <f aca="false">TblImps[[#This Row],[Real time]]</f>
        <v>45430.1666666667</v>
      </c>
      <c r="AB14" s="69" t="n">
        <f aca="false">TblMili[[#This Row],[Draftees]]</f>
        <v>326</v>
      </c>
      <c r="AC14" s="69" t="n">
        <f aca="false">TblProd[[#This Row],[Platinum]]</f>
        <v>41005</v>
      </c>
      <c r="AD14" s="245"/>
      <c r="AE14" s="151" t="n">
        <f aca="false">TblExplore[[#This Row],[Land]]-TblExplore[[#This Row],[Land Bonus]]*20</f>
        <v>250</v>
      </c>
      <c r="AF14" s="69" t="n">
        <f aca="false">ROUND(MAX(0.6*TblExplore[[#This Row],[Land-DB]]^1.299,850)*(1+ tech_2_6*Techs!AC14 + tech_2_9*Techs!AF14 + tech_3_7*Techs!AN14 + Overview!$I$32),0)</f>
        <v>850</v>
      </c>
      <c r="AG1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69" t="n">
        <f aca="false">SUM(TblExplore[[#This Row],[Plains Explore]:[Water Explore]])*TblExplore[[#This Row],[Plat/acre]]</f>
        <v>850</v>
      </c>
      <c r="AI14" s="69" t="n">
        <f aca="false">SUM(TblExplore[[#This Row],[Plains Explore]:[Water Explore]])*TblExplore[[#This Row],[Draftees/acre]]</f>
        <v>4</v>
      </c>
      <c r="AJ14" s="151" t="n">
        <f aca="false">_xlfn.FLOOR.MATH(MIN(TblExplore[[#This Row],[Platinum]]/TblExplore[[#This Row],[Plat/acre]],TblExplore[[#This Row],[Draftees]]/TblExplore[[#This Row],[Draftees/acre]]))</f>
        <v>48</v>
      </c>
    </row>
    <row r="15" customFormat="false" ht="12.75" hidden="false" customHeight="false" outlineLevel="0" collapsed="false">
      <c r="A15" s="170" t="n">
        <f aca="false">TblRezone[[#This Row],[Hour]]</f>
        <v>12</v>
      </c>
      <c r="B15" s="181" t="n">
        <f aca="false">TblConstr[[#This Row],[Land]]</f>
        <v>250</v>
      </c>
      <c r="C15" s="245"/>
      <c r="D15" s="246" t="n">
        <f aca="false">TblConstr[[#This Row],[Plain]]</f>
        <v>0</v>
      </c>
      <c r="E15" s="193" t="n">
        <f aca="false">TblConstr[[#This Row],[Forest]]</f>
        <v>0</v>
      </c>
      <c r="F15" s="200" t="n">
        <f aca="false">TblConstr[[#This Row],[Mountain]]</f>
        <v>0</v>
      </c>
      <c r="G15" s="201" t="n">
        <f aca="false">TblConstr[[#This Row],[Hill]]</f>
        <v>0</v>
      </c>
      <c r="H15" s="202" t="n">
        <f aca="false">TblConstr[[#This Row],[Swamp]]</f>
        <v>0</v>
      </c>
      <c r="I15" s="197" t="n">
        <f aca="false">TblConstr[[#This Row],[Cavern]]</f>
        <v>20</v>
      </c>
      <c r="J15" s="198" t="n">
        <f aca="false">TblConstr[[#This Row],[Water]]</f>
        <v>10</v>
      </c>
      <c r="K15" s="4"/>
      <c r="L15" s="4"/>
      <c r="M15" s="249"/>
      <c r="N15" s="247" t="n">
        <f aca="false">TblMili[[#This Row],[Smithies]]</f>
        <v>0</v>
      </c>
      <c r="O15" s="247" t="n">
        <f aca="false">TblPop[[#This Row],[Employment]]</f>
        <v>1</v>
      </c>
      <c r="P15" s="247" t="n">
        <f aca="false">TblImps[[#This Row],[Population]]</f>
        <v>0.50413009808983</v>
      </c>
      <c r="Q15" s="181" t="n">
        <f aca="false">TblExplore[[#This Row],[Land]]</f>
        <v>250</v>
      </c>
      <c r="R15" s="170" t="n">
        <f aca="false">TblExplore[[#This Row],[Hour]]</f>
        <v>12</v>
      </c>
      <c r="S15" s="248"/>
      <c r="T15" s="152"/>
      <c r="U15" s="182"/>
      <c r="V15" s="182"/>
      <c r="W15" s="182"/>
      <c r="X15" s="182"/>
      <c r="Y15" s="182"/>
      <c r="Z15" s="182"/>
      <c r="AA15" s="153" t="n">
        <f aca="false">TblImps[[#This Row],[Real time]]</f>
        <v>45430.2083333333</v>
      </c>
      <c r="AB15" s="69" t="n">
        <f aca="false">TblMili[[#This Row],[Draftees]]</f>
        <v>342</v>
      </c>
      <c r="AC15" s="69" t="n">
        <f aca="false">TblProd[[#This Row],[Platinum]]</f>
        <v>46621</v>
      </c>
      <c r="AD15" s="245"/>
      <c r="AE15" s="151" t="n">
        <f aca="false">TblExplore[[#This Row],[Land]]-TblExplore[[#This Row],[Land Bonus]]*20</f>
        <v>250</v>
      </c>
      <c r="AF15" s="69" t="n">
        <f aca="false">ROUND(MAX(0.6*TblExplore[[#This Row],[Land-DB]]^1.299,850)*(1+ tech_2_6*Techs!AC15 + tech_2_9*Techs!AF15 + tech_3_7*Techs!AN15 + Overview!$I$32),0)</f>
        <v>850</v>
      </c>
      <c r="AG1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69" t="n">
        <f aca="false">SUM(TblExplore[[#This Row],[Plains Explore]:[Water Explore]])*TblExplore[[#This Row],[Plat/acre]]</f>
        <v>0</v>
      </c>
      <c r="AI15" s="69" t="n">
        <f aca="false">SUM(TblExplore[[#This Row],[Plains Explore]:[Water Explore]])*TblExplore[[#This Row],[Draftees/acre]]</f>
        <v>0</v>
      </c>
      <c r="AJ15" s="151" t="n">
        <f aca="false">_xlfn.FLOOR.MATH(MIN(TblExplore[[#This Row],[Platinum]]/TblExplore[[#This Row],[Plat/acre]],TblExplore[[#This Row],[Draftees]]/TblExplore[[#This Row],[Draftees/acre]]))</f>
        <v>54</v>
      </c>
    </row>
    <row r="16" customFormat="false" ht="12.75" hidden="false" customHeight="false" outlineLevel="0" collapsed="false">
      <c r="A16" s="170" t="n">
        <f aca="false">TblRezone[[#This Row],[Hour]]</f>
        <v>13</v>
      </c>
      <c r="B16" s="181" t="n">
        <f aca="false">TblConstr[[#This Row],[Land]]</f>
        <v>250</v>
      </c>
      <c r="C16" s="245"/>
      <c r="D16" s="246" t="n">
        <f aca="false">TblConstr[[#This Row],[Plain]]</f>
        <v>0</v>
      </c>
      <c r="E16" s="193" t="n">
        <f aca="false">TblConstr[[#This Row],[Forest]]</f>
        <v>0</v>
      </c>
      <c r="F16" s="200" t="n">
        <f aca="false">TblConstr[[#This Row],[Mountain]]</f>
        <v>0</v>
      </c>
      <c r="G16" s="201" t="n">
        <f aca="false">TblConstr[[#This Row],[Hill]]</f>
        <v>0</v>
      </c>
      <c r="H16" s="202" t="n">
        <f aca="false">TblConstr[[#This Row],[Swamp]]</f>
        <v>0</v>
      </c>
      <c r="I16" s="197" t="n">
        <f aca="false">TblConstr[[#This Row],[Cavern]]</f>
        <v>0</v>
      </c>
      <c r="J16" s="198" t="n">
        <f aca="false">TblConstr[[#This Row],[Water]]</f>
        <v>0</v>
      </c>
      <c r="K16" s="4"/>
      <c r="L16" s="250" t="s">
        <v>362</v>
      </c>
      <c r="M16" s="250"/>
      <c r="N16" s="247" t="n">
        <f aca="false">TblMili[[#This Row],[Smithies]]</f>
        <v>0</v>
      </c>
      <c r="O16" s="247" t="n">
        <f aca="false">TblPop[[#This Row],[Employment]]</f>
        <v>1</v>
      </c>
      <c r="P16" s="247" t="n">
        <f aca="false">TblImps[[#This Row],[Population]]</f>
        <v>0.530459473412494</v>
      </c>
      <c r="Q16" s="181" t="n">
        <f aca="false">TblExplore[[#This Row],[Land]]</f>
        <v>250</v>
      </c>
      <c r="R16" s="170" t="n">
        <f aca="false">TblExplore[[#This Row],[Hour]]</f>
        <v>13</v>
      </c>
      <c r="S16" s="248"/>
      <c r="T16" s="182"/>
      <c r="U16" s="182"/>
      <c r="V16" s="182"/>
      <c r="W16" s="182"/>
      <c r="X16" s="182"/>
      <c r="Y16" s="182"/>
      <c r="Z16" s="182"/>
      <c r="AA16" s="153" t="n">
        <f aca="false">TblImps[[#This Row],[Real time]]</f>
        <v>45430.25</v>
      </c>
      <c r="AB16" s="69" t="n">
        <f aca="false">TblMili[[#This Row],[Draftees]]</f>
        <v>358</v>
      </c>
      <c r="AC16" s="69" t="n">
        <f aca="false">TblProd[[#This Row],[Platinum]]</f>
        <v>27645</v>
      </c>
      <c r="AD16" s="245"/>
      <c r="AE16" s="151" t="n">
        <f aca="false">TblExplore[[#This Row],[Land]]-TblExplore[[#This Row],[Land Bonus]]*20</f>
        <v>250</v>
      </c>
      <c r="AF16" s="69" t="n">
        <f aca="false">ROUND(MAX(0.6*TblExplore[[#This Row],[Land-DB]]^1.299,850)*(1+ tech_2_6*Techs!AC16 + tech_2_9*Techs!AF16 + tech_3_7*Techs!AN16 + Overview!$I$32),0)</f>
        <v>850</v>
      </c>
      <c r="AG1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69" t="n">
        <f aca="false">SUM(TblExplore[[#This Row],[Plains Explore]:[Water Explore]])*TblExplore[[#This Row],[Plat/acre]]</f>
        <v>0</v>
      </c>
      <c r="AI16" s="69" t="n">
        <f aca="false">SUM(TblExplore[[#This Row],[Plains Explore]:[Water Explore]])*TblExplore[[#This Row],[Draftees/acre]]</f>
        <v>0</v>
      </c>
      <c r="AJ16" s="151" t="n">
        <f aca="false">_xlfn.FLOOR.MATH(MIN(TblExplore[[#This Row],[Platinum]]/TblExplore[[#This Row],[Plat/acre]],TblExplore[[#This Row],[Draftees]]/TblExplore[[#This Row],[Draftees/acre]]))</f>
        <v>32</v>
      </c>
    </row>
    <row r="17" customFormat="false" ht="12.75" hidden="false" customHeight="false" outlineLevel="0" collapsed="false">
      <c r="A17" s="170" t="n">
        <f aca="false">TblRezone[[#This Row],[Hour]]</f>
        <v>14</v>
      </c>
      <c r="B17" s="181" t="n">
        <f aca="false">TblConstr[[#This Row],[Land]]</f>
        <v>250</v>
      </c>
      <c r="C17" s="245"/>
      <c r="D17" s="246" t="n">
        <f aca="false">TblConstr[[#This Row],[Plain]]</f>
        <v>0</v>
      </c>
      <c r="E17" s="193" t="n">
        <f aca="false">TblConstr[[#This Row],[Forest]]</f>
        <v>0</v>
      </c>
      <c r="F17" s="200" t="n">
        <f aca="false">TblConstr[[#This Row],[Mountain]]</f>
        <v>0</v>
      </c>
      <c r="G17" s="201" t="n">
        <f aca="false">TblConstr[[#This Row],[Hill]]</f>
        <v>0</v>
      </c>
      <c r="H17" s="202" t="n">
        <f aca="false">TblConstr[[#This Row],[Swamp]]</f>
        <v>0</v>
      </c>
      <c r="I17" s="197" t="n">
        <f aca="false">TblConstr[[#This Row],[Cavern]]</f>
        <v>0</v>
      </c>
      <c r="J17" s="198" t="n">
        <f aca="false">TblConstr[[#This Row],[Water]]</f>
        <v>0</v>
      </c>
      <c r="K17" s="4"/>
      <c r="L17" s="251" t="s">
        <v>363</v>
      </c>
      <c r="M17" s="252"/>
      <c r="N17" s="247" t="n">
        <f aca="false">TblMili[[#This Row],[Smithies]]</f>
        <v>0</v>
      </c>
      <c r="O17" s="247" t="n">
        <f aca="false">TblPop[[#This Row],[Employment]]</f>
        <v>1</v>
      </c>
      <c r="P17" s="247" t="n">
        <f aca="false">TblImps[[#This Row],[Population]]</f>
        <v>0.535678889990089</v>
      </c>
      <c r="Q17" s="181" t="n">
        <f aca="false">TblExplore[[#This Row],[Land]]</f>
        <v>250</v>
      </c>
      <c r="R17" s="170" t="n">
        <f aca="false">TblExplore[[#This Row],[Hour]]</f>
        <v>14</v>
      </c>
      <c r="S17" s="248"/>
      <c r="T17" s="182"/>
      <c r="U17" s="182"/>
      <c r="V17" s="182"/>
      <c r="W17" s="182"/>
      <c r="X17" s="182"/>
      <c r="Y17" s="182"/>
      <c r="Z17" s="182"/>
      <c r="AA17" s="153" t="n">
        <f aca="false">TblImps[[#This Row],[Real time]]</f>
        <v>45430.2916666667</v>
      </c>
      <c r="AB17" s="69" t="n">
        <f aca="false">TblMili[[#This Row],[Draftees]]</f>
        <v>375</v>
      </c>
      <c r="AC17" s="69" t="n">
        <f aca="false">TblProd[[#This Row],[Platinum]]</f>
        <v>35376</v>
      </c>
      <c r="AD17" s="245"/>
      <c r="AE17" s="151" t="n">
        <f aca="false">TblExplore[[#This Row],[Land]]-TblExplore[[#This Row],[Land Bonus]]*20</f>
        <v>250</v>
      </c>
      <c r="AF17" s="69" t="n">
        <f aca="false">ROUND(MAX(0.6*TblExplore[[#This Row],[Land-DB]]^1.299,850)*(1+ tech_2_6*Techs!AC17 + tech_2_9*Techs!AF17 + tech_3_7*Techs!AN17 + Overview!$I$32),0)</f>
        <v>850</v>
      </c>
      <c r="AG1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69" t="n">
        <f aca="false">SUM(TblExplore[[#This Row],[Plains Explore]:[Water Explore]])*TblExplore[[#This Row],[Plat/acre]]</f>
        <v>0</v>
      </c>
      <c r="AI17" s="69" t="n">
        <f aca="false">SUM(TblExplore[[#This Row],[Plains Explore]:[Water Explore]])*TblExplore[[#This Row],[Draftees/acre]]</f>
        <v>0</v>
      </c>
      <c r="AJ17" s="151" t="n">
        <f aca="false">_xlfn.FLOOR.MATH(MIN(TblExplore[[#This Row],[Platinum]]/TblExplore[[#This Row],[Plat/acre]],TblExplore[[#This Row],[Draftees]]/TblExplore[[#This Row],[Draftees/acre]]))</f>
        <v>41</v>
      </c>
    </row>
    <row r="18" customFormat="false" ht="12.75" hidden="false" customHeight="false" outlineLevel="0" collapsed="false">
      <c r="A18" s="170" t="n">
        <f aca="false">TblRezone[[#This Row],[Hour]]</f>
        <v>15</v>
      </c>
      <c r="B18" s="181" t="n">
        <f aca="false">TblConstr[[#This Row],[Land]]</f>
        <v>250</v>
      </c>
      <c r="C18" s="245"/>
      <c r="D18" s="246" t="n">
        <f aca="false">TblConstr[[#This Row],[Plain]]</f>
        <v>0</v>
      </c>
      <c r="E18" s="193" t="n">
        <f aca="false">TblConstr[[#This Row],[Forest]]</f>
        <v>0</v>
      </c>
      <c r="F18" s="200" t="n">
        <f aca="false">TblConstr[[#This Row],[Mountain]]</f>
        <v>0</v>
      </c>
      <c r="G18" s="201" t="n">
        <f aca="false">TblConstr[[#This Row],[Hill]]</f>
        <v>0</v>
      </c>
      <c r="H18" s="202" t="n">
        <f aca="false">TblConstr[[#This Row],[Swamp]]</f>
        <v>0</v>
      </c>
      <c r="I18" s="197" t="n">
        <f aca="false">TblConstr[[#This Row],[Cavern]]</f>
        <v>0</v>
      </c>
      <c r="J18" s="198" t="n">
        <f aca="false">TblConstr[[#This Row],[Water]]</f>
        <v>0</v>
      </c>
      <c r="K18" s="4"/>
      <c r="L18" s="251" t="s">
        <v>364</v>
      </c>
      <c r="M18" s="252"/>
      <c r="N18" s="247" t="n">
        <f aca="false">TblMili[[#This Row],[Smithies]]</f>
        <v>0</v>
      </c>
      <c r="O18" s="247" t="n">
        <f aca="false">TblPop[[#This Row],[Employment]]</f>
        <v>1</v>
      </c>
      <c r="P18" s="247" t="n">
        <f aca="false">TblImps[[#This Row],[Population]]</f>
        <v>0.5701189296333</v>
      </c>
      <c r="Q18" s="181" t="n">
        <f aca="false">TblExplore[[#This Row],[Land]]</f>
        <v>250</v>
      </c>
      <c r="R18" s="170" t="n">
        <f aca="false">TblExplore[[#This Row],[Hour]]</f>
        <v>15</v>
      </c>
      <c r="S18" s="248"/>
      <c r="T18" s="182"/>
      <c r="U18" s="182"/>
      <c r="V18" s="182"/>
      <c r="W18" s="182"/>
      <c r="X18" s="182"/>
      <c r="Y18" s="182"/>
      <c r="Z18" s="182"/>
      <c r="AA18" s="153" t="n">
        <f aca="false">TblImps[[#This Row],[Real time]]</f>
        <v>45430.3333333333</v>
      </c>
      <c r="AB18" s="69" t="n">
        <f aca="false">TblMili[[#This Row],[Draftees]]</f>
        <v>393</v>
      </c>
      <c r="AC18" s="69" t="n">
        <f aca="false">TblProd[[#This Row],[Platinum]]</f>
        <v>43350</v>
      </c>
      <c r="AD18" s="245"/>
      <c r="AE18" s="151" t="n">
        <f aca="false">TblExplore[[#This Row],[Land]]-TblExplore[[#This Row],[Land Bonus]]*20</f>
        <v>250</v>
      </c>
      <c r="AF18" s="69" t="n">
        <f aca="false">ROUND(MAX(0.6*TblExplore[[#This Row],[Land-DB]]^1.299,850)*(1+ tech_2_6*Techs!AC18 + tech_2_9*Techs!AF18 + tech_3_7*Techs!AN18 + Overview!$I$32),0)</f>
        <v>850</v>
      </c>
      <c r="AG1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69" t="n">
        <f aca="false">SUM(TblExplore[[#This Row],[Plains Explore]:[Water Explore]])*TblExplore[[#This Row],[Plat/acre]]</f>
        <v>0</v>
      </c>
      <c r="AI18" s="69" t="n">
        <f aca="false">SUM(TblExplore[[#This Row],[Plains Explore]:[Water Explore]])*TblExplore[[#This Row],[Draftees/acre]]</f>
        <v>0</v>
      </c>
      <c r="AJ18" s="151" t="n">
        <f aca="false">_xlfn.FLOOR.MATH(MIN(TblExplore[[#This Row],[Platinum]]/TblExplore[[#This Row],[Plat/acre]],TblExplore[[#This Row],[Draftees]]/TblExplore[[#This Row],[Draftees/acre]]))</f>
        <v>51</v>
      </c>
    </row>
    <row r="19" customFormat="false" ht="12.75" hidden="false" customHeight="false" outlineLevel="0" collapsed="false">
      <c r="A19" s="170" t="n">
        <f aca="false">TblRezone[[#This Row],[Hour]]</f>
        <v>16</v>
      </c>
      <c r="B19" s="181" t="n">
        <f aca="false">TblConstr[[#This Row],[Land]]</f>
        <v>250</v>
      </c>
      <c r="C19" s="245"/>
      <c r="D19" s="246" t="n">
        <f aca="false">TblConstr[[#This Row],[Plain]]</f>
        <v>0</v>
      </c>
      <c r="E19" s="193" t="n">
        <f aca="false">TblConstr[[#This Row],[Forest]]</f>
        <v>0</v>
      </c>
      <c r="F19" s="200" t="n">
        <f aca="false">TblConstr[[#This Row],[Mountain]]</f>
        <v>0</v>
      </c>
      <c r="G19" s="201" t="n">
        <f aca="false">TblConstr[[#This Row],[Hill]]</f>
        <v>0</v>
      </c>
      <c r="H19" s="202" t="n">
        <f aca="false">TblConstr[[#This Row],[Swamp]]</f>
        <v>0</v>
      </c>
      <c r="I19" s="197" t="n">
        <f aca="false">TblConstr[[#This Row],[Cavern]]</f>
        <v>0</v>
      </c>
      <c r="J19" s="198" t="n">
        <f aca="false">TblConstr[[#This Row],[Water]]</f>
        <v>0</v>
      </c>
      <c r="K19" s="4"/>
      <c r="L19" s="251" t="s">
        <v>365</v>
      </c>
      <c r="M19" s="252"/>
      <c r="N19" s="247" t="n">
        <f aca="false">TblMili[[#This Row],[Smithies]]</f>
        <v>0</v>
      </c>
      <c r="O19" s="247" t="n">
        <f aca="false">TblPop[[#This Row],[Employment]]</f>
        <v>1</v>
      </c>
      <c r="P19" s="247" t="n">
        <f aca="false">TblImps[[#This Row],[Population]]</f>
        <v>0.607036669970268</v>
      </c>
      <c r="Q19" s="181" t="n">
        <f aca="false">TblExplore[[#This Row],[Land]]</f>
        <v>250</v>
      </c>
      <c r="R19" s="170" t="n">
        <f aca="false">TblExplore[[#This Row],[Hour]]</f>
        <v>16</v>
      </c>
      <c r="S19" s="248"/>
      <c r="T19" s="152"/>
      <c r="U19" s="182"/>
      <c r="V19" s="182"/>
      <c r="W19" s="182"/>
      <c r="X19" s="182"/>
      <c r="Y19" s="182"/>
      <c r="Z19" s="182"/>
      <c r="AA19" s="153" t="n">
        <f aca="false">TblImps[[#This Row],[Real time]]</f>
        <v>45430.375</v>
      </c>
      <c r="AB19" s="69" t="n">
        <f aca="false">TblMili[[#This Row],[Draftees]]</f>
        <v>412</v>
      </c>
      <c r="AC19" s="69" t="n">
        <f aca="false">TblProd[[#This Row],[Platinum]]</f>
        <v>51651</v>
      </c>
      <c r="AD19" s="245"/>
      <c r="AE19" s="151" t="n">
        <f aca="false">TblExplore[[#This Row],[Land]]-TblExplore[[#This Row],[Land Bonus]]*20</f>
        <v>250</v>
      </c>
      <c r="AF19" s="69" t="n">
        <f aca="false">ROUND(MAX(0.6*TblExplore[[#This Row],[Land-DB]]^1.299,850)*(1+ tech_2_6*Techs!AC19 + tech_2_9*Techs!AF19 + tech_3_7*Techs!AN19 + Overview!$I$32),0)</f>
        <v>850</v>
      </c>
      <c r="AG1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69" t="n">
        <f aca="false">SUM(TblExplore[[#This Row],[Plains Explore]:[Water Explore]])*TblExplore[[#This Row],[Plat/acre]]</f>
        <v>0</v>
      </c>
      <c r="AI19" s="69" t="n">
        <f aca="false">SUM(TblExplore[[#This Row],[Plains Explore]:[Water Explore]])*TblExplore[[#This Row],[Draftees/acre]]</f>
        <v>0</v>
      </c>
      <c r="AJ19" s="151" t="n">
        <f aca="false">_xlfn.FLOOR.MATH(MIN(TblExplore[[#This Row],[Platinum]]/TblExplore[[#This Row],[Plat/acre]],TblExplore[[#This Row],[Draftees]]/TblExplore[[#This Row],[Draftees/acre]]))</f>
        <v>60</v>
      </c>
    </row>
    <row r="20" customFormat="false" ht="12.75" hidden="false" customHeight="false" outlineLevel="0" collapsed="false">
      <c r="A20" s="170" t="n">
        <f aca="false">TblRezone[[#This Row],[Hour]]</f>
        <v>17</v>
      </c>
      <c r="B20" s="181" t="n">
        <f aca="false">TblConstr[[#This Row],[Land]]</f>
        <v>250</v>
      </c>
      <c r="C20" s="245"/>
      <c r="D20" s="246" t="n">
        <f aca="false">TblConstr[[#This Row],[Plain]]</f>
        <v>0</v>
      </c>
      <c r="E20" s="193" t="n">
        <f aca="false">TblConstr[[#This Row],[Forest]]</f>
        <v>0</v>
      </c>
      <c r="F20" s="200" t="n">
        <f aca="false">TblConstr[[#This Row],[Mountain]]</f>
        <v>0</v>
      </c>
      <c r="G20" s="201" t="n">
        <f aca="false">TblConstr[[#This Row],[Hill]]</f>
        <v>0</v>
      </c>
      <c r="H20" s="202" t="n">
        <f aca="false">TblConstr[[#This Row],[Swamp]]</f>
        <v>0</v>
      </c>
      <c r="I20" s="197" t="n">
        <f aca="false">TblConstr[[#This Row],[Cavern]]</f>
        <v>0</v>
      </c>
      <c r="J20" s="198" t="n">
        <f aca="false">TblConstr[[#This Row],[Water]]</f>
        <v>0</v>
      </c>
      <c r="K20" s="4"/>
      <c r="L20" s="251" t="s">
        <v>366</v>
      </c>
      <c r="M20" s="252"/>
      <c r="N20" s="247" t="n">
        <f aca="false">TblMili[[#This Row],[Smithies]]</f>
        <v>0</v>
      </c>
      <c r="O20" s="247" t="n">
        <f aca="false">TblPop[[#This Row],[Employment]]</f>
        <v>1</v>
      </c>
      <c r="P20" s="247" t="n">
        <f aca="false">TblImps[[#This Row],[Population]]</f>
        <v>0.646432111000991</v>
      </c>
      <c r="Q20" s="181" t="n">
        <f aca="false">TblExplore[[#This Row],[Land]]</f>
        <v>250</v>
      </c>
      <c r="R20" s="170" t="n">
        <f aca="false">TblExplore[[#This Row],[Hour]]</f>
        <v>17</v>
      </c>
      <c r="S20" s="248"/>
      <c r="T20" s="152"/>
      <c r="U20" s="182"/>
      <c r="V20" s="182"/>
      <c r="W20" s="182"/>
      <c r="X20" s="182"/>
      <c r="Y20" s="182"/>
      <c r="Z20" s="182"/>
      <c r="AA20" s="153" t="n">
        <f aca="false">TblImps[[#This Row],[Real time]]</f>
        <v>45430.4166666667</v>
      </c>
      <c r="AB20" s="69" t="n">
        <f aca="false">TblMili[[#This Row],[Draftees]]</f>
        <v>432</v>
      </c>
      <c r="AC20" s="69" t="n">
        <f aca="false">TblProd[[#This Row],[Platinum]]</f>
        <v>61168</v>
      </c>
      <c r="AD20" s="245"/>
      <c r="AE20" s="151" t="n">
        <f aca="false">TblExplore[[#This Row],[Land]]-TblExplore[[#This Row],[Land Bonus]]*20</f>
        <v>250</v>
      </c>
      <c r="AF20" s="69" t="n">
        <f aca="false">ROUND(MAX(0.6*TblExplore[[#This Row],[Land-DB]]^1.299,850)*(1+ tech_2_6*Techs!AC20 + tech_2_9*Techs!AF20 + tech_3_7*Techs!AN20 + Overview!$I$32),0)</f>
        <v>850</v>
      </c>
      <c r="AG2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69" t="n">
        <f aca="false">SUM(TblExplore[[#This Row],[Plains Explore]:[Water Explore]])*TblExplore[[#This Row],[Plat/acre]]</f>
        <v>0</v>
      </c>
      <c r="AI20" s="69" t="n">
        <f aca="false">SUM(TblExplore[[#This Row],[Plains Explore]:[Water Explore]])*TblExplore[[#This Row],[Draftees/acre]]</f>
        <v>0</v>
      </c>
      <c r="AJ20" s="151" t="n">
        <f aca="false">_xlfn.FLOOR.MATH(MIN(TblExplore[[#This Row],[Platinum]]/TblExplore[[#This Row],[Plat/acre]],TblExplore[[#This Row],[Draftees]]/TblExplore[[#This Row],[Draftees/acre]]))</f>
        <v>71</v>
      </c>
    </row>
    <row r="21" customFormat="false" ht="12.75" hidden="false" customHeight="false" outlineLevel="0" collapsed="false">
      <c r="A21" s="170" t="n">
        <f aca="false">TblRezone[[#This Row],[Hour]]</f>
        <v>18</v>
      </c>
      <c r="B21" s="181" t="n">
        <f aca="false">TblConstr[[#This Row],[Land]]</f>
        <v>274</v>
      </c>
      <c r="C21" s="245"/>
      <c r="D21" s="246" t="n">
        <f aca="false">TblConstr[[#This Row],[Plain]]</f>
        <v>0</v>
      </c>
      <c r="E21" s="193" t="n">
        <f aca="false">TblConstr[[#This Row],[Forest]]</f>
        <v>0</v>
      </c>
      <c r="F21" s="200" t="n">
        <f aca="false">TblConstr[[#This Row],[Mountain]]</f>
        <v>0</v>
      </c>
      <c r="G21" s="201" t="n">
        <f aca="false">TblConstr[[#This Row],[Hill]]</f>
        <v>0</v>
      </c>
      <c r="H21" s="202" t="n">
        <f aca="false">TblConstr[[#This Row],[Swamp]]</f>
        <v>0</v>
      </c>
      <c r="I21" s="197" t="n">
        <f aca="false">TblConstr[[#This Row],[Cavern]]</f>
        <v>0</v>
      </c>
      <c r="J21" s="198" t="n">
        <f aca="false">TblConstr[[#This Row],[Water]]</f>
        <v>0</v>
      </c>
      <c r="K21" s="4"/>
      <c r="L21" s="4"/>
      <c r="M21" s="12"/>
      <c r="N21" s="247" t="n">
        <f aca="false">TblMili[[#This Row],[Smithies]]</f>
        <v>0</v>
      </c>
      <c r="O21" s="247" t="n">
        <f aca="false">TblPop[[#This Row],[Employment]]</f>
        <v>1</v>
      </c>
      <c r="P21" s="247" t="n">
        <f aca="false">TblImps[[#This Row],[Population]]</f>
        <v>0.598559423769508</v>
      </c>
      <c r="Q21" s="181" t="n">
        <f aca="false">TblExplore[[#This Row],[Land]]</f>
        <v>274</v>
      </c>
      <c r="R21" s="170" t="n">
        <f aca="false">TblExplore[[#This Row],[Hour]]</f>
        <v>18</v>
      </c>
      <c r="S21" s="248"/>
      <c r="T21" s="182" t="n">
        <v>62</v>
      </c>
      <c r="U21" s="182" t="n">
        <v>2</v>
      </c>
      <c r="V21" s="182"/>
      <c r="W21" s="182" t="n">
        <v>1</v>
      </c>
      <c r="X21" s="182"/>
      <c r="Y21" s="182"/>
      <c r="Z21" s="182" t="n">
        <v>5</v>
      </c>
      <c r="AA21" s="153" t="n">
        <f aca="false">TblImps[[#This Row],[Real time]]</f>
        <v>45430.4583333333</v>
      </c>
      <c r="AB21" s="69" t="n">
        <f aca="false">TblMili[[#This Row],[Draftees]]</f>
        <v>174</v>
      </c>
      <c r="AC21" s="69" t="n">
        <f aca="false">TblProd[[#This Row],[Platinum]]</f>
        <v>980</v>
      </c>
      <c r="AD21" s="245"/>
      <c r="AE21" s="151" t="n">
        <f aca="false">TblExplore[[#This Row],[Land]]-TblExplore[[#This Row],[Land Bonus]]*20</f>
        <v>274</v>
      </c>
      <c r="AF21" s="69" t="n">
        <f aca="false">ROUND(MAX(0.6*TblExplore[[#This Row],[Land-DB]]^1.299,850)*(1+ tech_2_6*Techs!AC21 + tech_2_9*Techs!AF21 + tech_3_7*Techs!AN21 + Overview!$I$32),0)</f>
        <v>881</v>
      </c>
      <c r="AG2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69" t="n">
        <f aca="false">SUM(TblExplore[[#This Row],[Plains Explore]:[Water Explore]])*TblExplore[[#This Row],[Plat/acre]]</f>
        <v>61670</v>
      </c>
      <c r="AI21" s="69" t="n">
        <f aca="false">SUM(TblExplore[[#This Row],[Plains Explore]:[Water Explore]])*TblExplore[[#This Row],[Draftees/acre]]</f>
        <v>280</v>
      </c>
      <c r="AJ21" s="151" t="n">
        <f aca="false">_xlfn.FLOOR.MATH(MIN(TblExplore[[#This Row],[Platinum]]/TblExplore[[#This Row],[Plat/acre]],TblExplore[[#This Row],[Draftees]]/TblExplore[[#This Row],[Draftees/acre]]))</f>
        <v>1</v>
      </c>
    </row>
    <row r="22" customFormat="false" ht="12.75" hidden="false" customHeight="false" outlineLevel="0" collapsed="false">
      <c r="A22" s="170" t="n">
        <f aca="false">TblRezone[[#This Row],[Hour]]</f>
        <v>19</v>
      </c>
      <c r="B22" s="181" t="n">
        <f aca="false">TblConstr[[#This Row],[Land]]</f>
        <v>275</v>
      </c>
      <c r="C22" s="245"/>
      <c r="D22" s="246" t="n">
        <f aca="false">TblConstr[[#This Row],[Plain]]</f>
        <v>0</v>
      </c>
      <c r="E22" s="193" t="n">
        <f aca="false">TblConstr[[#This Row],[Forest]]</f>
        <v>0</v>
      </c>
      <c r="F22" s="200" t="n">
        <f aca="false">TblConstr[[#This Row],[Mountain]]</f>
        <v>0</v>
      </c>
      <c r="G22" s="201" t="n">
        <f aca="false">TblConstr[[#This Row],[Hill]]</f>
        <v>0</v>
      </c>
      <c r="H22" s="202" t="n">
        <f aca="false">TblConstr[[#This Row],[Swamp]]</f>
        <v>0</v>
      </c>
      <c r="I22" s="197" t="n">
        <f aca="false">TblConstr[[#This Row],[Cavern]]</f>
        <v>0</v>
      </c>
      <c r="J22" s="198" t="n">
        <f aca="false">TblConstr[[#This Row],[Water]]</f>
        <v>0</v>
      </c>
      <c r="K22" s="4"/>
      <c r="L22" s="4"/>
      <c r="M22" s="12"/>
      <c r="N22" s="247" t="n">
        <f aca="false">TblMili[[#This Row],[Smithies]]</f>
        <v>0</v>
      </c>
      <c r="O22" s="247" t="n">
        <f aca="false">TblPop[[#This Row],[Employment]]</f>
        <v>1</v>
      </c>
      <c r="P22" s="247" t="n">
        <f aca="false">TblImps[[#This Row],[Population]]</f>
        <v>0.592233009708738</v>
      </c>
      <c r="Q22" s="181" t="n">
        <f aca="false">TblExplore[[#This Row],[Land]]</f>
        <v>275</v>
      </c>
      <c r="R22" s="170" t="n">
        <f aca="false">TblExplore[[#This Row],[Hour]]</f>
        <v>19</v>
      </c>
      <c r="S22" s="248"/>
      <c r="T22" s="182" t="n">
        <v>10</v>
      </c>
      <c r="U22" s="182"/>
      <c r="V22" s="182"/>
      <c r="W22" s="182" t="n">
        <v>1</v>
      </c>
      <c r="X22" s="182"/>
      <c r="Y22" s="182"/>
      <c r="Z22" s="182"/>
      <c r="AA22" s="153" t="n">
        <f aca="false">TblImps[[#This Row],[Real time]]</f>
        <v>45430.5</v>
      </c>
      <c r="AB22" s="69" t="n">
        <f aca="false">TblMili[[#This Row],[Draftees]]</f>
        <v>153</v>
      </c>
      <c r="AC22" s="69" t="n">
        <f aca="false">TblProd[[#This Row],[Platinum]]</f>
        <v>1245</v>
      </c>
      <c r="AD22" s="245"/>
      <c r="AE22" s="151" t="n">
        <f aca="false">TblExplore[[#This Row],[Land]]-TblExplore[[#This Row],[Land Bonus]]*20</f>
        <v>275</v>
      </c>
      <c r="AF22" s="69" t="n">
        <f aca="false">ROUND(MAX(0.6*TblExplore[[#This Row],[Land-DB]]^1.299,850)*(1+ tech_2_6*Techs!AC22 + tech_2_9*Techs!AF22 + tech_3_7*Techs!AN22 + Overview!$I$32),0)</f>
        <v>885</v>
      </c>
      <c r="AG2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69" t="n">
        <f aca="false">SUM(TblExplore[[#This Row],[Plains Explore]:[Water Explore]])*TblExplore[[#This Row],[Plat/acre]]</f>
        <v>9735</v>
      </c>
      <c r="AI22" s="69" t="n">
        <f aca="false">SUM(TblExplore[[#This Row],[Plains Explore]:[Water Explore]])*TblExplore[[#This Row],[Draftees/acre]]</f>
        <v>44</v>
      </c>
      <c r="AJ22" s="151" t="n">
        <f aca="false">_xlfn.FLOOR.MATH(MIN(TblExplore[[#This Row],[Platinum]]/TblExplore[[#This Row],[Plat/acre]],TblExplore[[#This Row],[Draftees]]/TblExplore[[#This Row],[Draftees/acre]]))</f>
        <v>1</v>
      </c>
    </row>
    <row r="23" customFormat="false" ht="12.75" hidden="false" customHeight="false" outlineLevel="0" collapsed="false">
      <c r="A23" s="170" t="n">
        <f aca="false">TblRezone[[#This Row],[Hour]]</f>
        <v>20</v>
      </c>
      <c r="B23" s="181" t="n">
        <f aca="false">TblConstr[[#This Row],[Land]]</f>
        <v>276</v>
      </c>
      <c r="C23" s="245"/>
      <c r="D23" s="246" t="n">
        <f aca="false">TblConstr[[#This Row],[Plain]]</f>
        <v>0</v>
      </c>
      <c r="E23" s="193" t="n">
        <f aca="false">TblConstr[[#This Row],[Forest]]</f>
        <v>0</v>
      </c>
      <c r="F23" s="200" t="n">
        <f aca="false">TblConstr[[#This Row],[Mountain]]</f>
        <v>0</v>
      </c>
      <c r="G23" s="201" t="n">
        <f aca="false">TblConstr[[#This Row],[Hill]]</f>
        <v>0</v>
      </c>
      <c r="H23" s="202" t="n">
        <f aca="false">TblConstr[[#This Row],[Swamp]]</f>
        <v>0</v>
      </c>
      <c r="I23" s="197" t="n">
        <f aca="false">TblConstr[[#This Row],[Cavern]]</f>
        <v>0</v>
      </c>
      <c r="J23" s="198" t="n">
        <f aca="false">TblConstr[[#This Row],[Water]]</f>
        <v>0</v>
      </c>
      <c r="K23" s="4"/>
      <c r="L23" s="4"/>
      <c r="M23" s="12"/>
      <c r="N23" s="247" t="n">
        <f aca="false">TblMili[[#This Row],[Smithies]]</f>
        <v>0</v>
      </c>
      <c r="O23" s="247" t="n">
        <f aca="false">TblPop[[#This Row],[Employment]]</f>
        <v>1</v>
      </c>
      <c r="P23" s="247" t="n">
        <f aca="false">TblImps[[#This Row],[Population]]</f>
        <v>0.620922384701912</v>
      </c>
      <c r="Q23" s="181" t="n">
        <f aca="false">TblExplore[[#This Row],[Land]]</f>
        <v>276</v>
      </c>
      <c r="R23" s="170" t="n">
        <f aca="false">TblExplore[[#This Row],[Hour]]</f>
        <v>20</v>
      </c>
      <c r="S23" s="248"/>
      <c r="T23" s="182" t="n">
        <v>10</v>
      </c>
      <c r="U23" s="182"/>
      <c r="V23" s="182"/>
      <c r="W23" s="182" t="n">
        <v>1</v>
      </c>
      <c r="X23" s="182" t="n">
        <v>1</v>
      </c>
      <c r="Y23" s="182"/>
      <c r="Z23" s="182"/>
      <c r="AA23" s="153" t="n">
        <f aca="false">TblImps[[#This Row],[Real time]]</f>
        <v>45430.5416666667</v>
      </c>
      <c r="AB23" s="69" t="n">
        <f aca="false">TblMili[[#This Row],[Draftees]]</f>
        <v>130</v>
      </c>
      <c r="AC23" s="69" t="n">
        <f aca="false">TblProd[[#This Row],[Platinum]]</f>
        <v>1024</v>
      </c>
      <c r="AD23" s="245"/>
      <c r="AE23" s="151" t="n">
        <f aca="false">TblExplore[[#This Row],[Land]]-TblExplore[[#This Row],[Land Bonus]]*20</f>
        <v>276</v>
      </c>
      <c r="AF23" s="69" t="n">
        <f aca="false">ROUND(MAX(0.6*TblExplore[[#This Row],[Land-DB]]^1.299,850)*(1+ tech_2_6*Techs!AC23 + tech_2_9*Techs!AF23 + tech_3_7*Techs!AN23 + Overview!$I$32),0)</f>
        <v>889</v>
      </c>
      <c r="AG2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69" t="n">
        <f aca="false">SUM(TblExplore[[#This Row],[Plains Explore]:[Water Explore]])*TblExplore[[#This Row],[Plat/acre]]</f>
        <v>10668</v>
      </c>
      <c r="AI23" s="69" t="n">
        <f aca="false">SUM(TblExplore[[#This Row],[Plains Explore]:[Water Explore]])*TblExplore[[#This Row],[Draftees/acre]]</f>
        <v>48</v>
      </c>
      <c r="AJ23" s="151" t="n">
        <f aca="false">_xlfn.FLOOR.MATH(MIN(TblExplore[[#This Row],[Platinum]]/TblExplore[[#This Row],[Plat/acre]],TblExplore[[#This Row],[Draftees]]/TblExplore[[#This Row],[Draftees/acre]]))</f>
        <v>1</v>
      </c>
    </row>
    <row r="24" customFormat="false" ht="12.75" hidden="false" customHeight="false" outlineLevel="0" collapsed="false">
      <c r="A24" s="170" t="n">
        <f aca="false">TblRezone[[#This Row],[Hour]]</f>
        <v>21</v>
      </c>
      <c r="B24" s="181" t="n">
        <f aca="false">TblConstr[[#This Row],[Land]]</f>
        <v>277</v>
      </c>
      <c r="C24" s="245"/>
      <c r="D24" s="246" t="n">
        <f aca="false">TblConstr[[#This Row],[Plain]]</f>
        <v>0</v>
      </c>
      <c r="E24" s="193" t="n">
        <f aca="false">TblConstr[[#This Row],[Forest]]</f>
        <v>0</v>
      </c>
      <c r="F24" s="200" t="n">
        <f aca="false">TblConstr[[#This Row],[Mountain]]</f>
        <v>0</v>
      </c>
      <c r="G24" s="201" t="n">
        <f aca="false">TblConstr[[#This Row],[Hill]]</f>
        <v>0</v>
      </c>
      <c r="H24" s="202" t="n">
        <f aca="false">TblConstr[[#This Row],[Swamp]]</f>
        <v>0</v>
      </c>
      <c r="I24" s="197" t="n">
        <f aca="false">TblConstr[[#This Row],[Cavern]]</f>
        <v>0</v>
      </c>
      <c r="J24" s="198" t="n">
        <f aca="false">TblConstr[[#This Row],[Water]]</f>
        <v>0</v>
      </c>
      <c r="K24" s="4"/>
      <c r="L24" s="4"/>
      <c r="M24" s="4"/>
      <c r="N24" s="247" t="n">
        <f aca="false">TblMili[[#This Row],[Smithies]]</f>
        <v>0</v>
      </c>
      <c r="O24" s="247" t="n">
        <f aca="false">TblPop[[#This Row],[Employment]]</f>
        <v>1</v>
      </c>
      <c r="P24" s="247" t="n">
        <f aca="false">TblImps[[#This Row],[Population]]</f>
        <v>0.652095942613764</v>
      </c>
      <c r="Q24" s="181" t="n">
        <f aca="false">TblExplore[[#This Row],[Land]]</f>
        <v>277</v>
      </c>
      <c r="R24" s="181" t="n">
        <f aca="false">TblExplore[[#This Row],[Hour]]</f>
        <v>21</v>
      </c>
      <c r="S24" s="248"/>
      <c r="T24" s="182" t="n">
        <v>5</v>
      </c>
      <c r="U24" s="182"/>
      <c r="V24" s="182"/>
      <c r="W24" s="182" t="n">
        <v>1</v>
      </c>
      <c r="X24" s="182" t="n">
        <v>6</v>
      </c>
      <c r="Y24" s="182"/>
      <c r="Z24" s="182"/>
      <c r="AA24" s="153" t="n">
        <f aca="false">TblImps[[#This Row],[Real time]]</f>
        <v>45430.5833333333</v>
      </c>
      <c r="AB24" s="69" t="n">
        <f aca="false">TblMili[[#This Row],[Draftees]]</f>
        <v>108</v>
      </c>
      <c r="AC24" s="69" t="n">
        <f aca="false">TblProd[[#This Row],[Platinum]]</f>
        <v>1231</v>
      </c>
      <c r="AD24" s="245"/>
      <c r="AE24" s="151" t="n">
        <f aca="false">TblExplore[[#This Row],[Land]]-TblExplore[[#This Row],[Land Bonus]]*20</f>
        <v>277</v>
      </c>
      <c r="AF24" s="69" t="n">
        <f aca="false">ROUND(MAX(0.6*TblExplore[[#This Row],[Land-DB]]^1.299,850)*(1+ tech_2_6*Techs!AC24 + tech_2_9*Techs!AF24 + tech_3_7*Techs!AN24 + Overview!$I$32),0)</f>
        <v>893</v>
      </c>
      <c r="AG2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69" t="n">
        <f aca="false">SUM(TblExplore[[#This Row],[Plains Explore]:[Water Explore]])*TblExplore[[#This Row],[Plat/acre]]</f>
        <v>10716</v>
      </c>
      <c r="AI24" s="69" t="n">
        <f aca="false">SUM(TblExplore[[#This Row],[Plains Explore]:[Water Explore]])*TblExplore[[#This Row],[Draftees/acre]]</f>
        <v>48</v>
      </c>
      <c r="AJ24" s="151" t="n">
        <f aca="false">_xlfn.FLOOR.MATH(MIN(TblExplore[[#This Row],[Platinum]]/TblExplore[[#This Row],[Plat/acre]],TblExplore[[#This Row],[Draftees]]/TblExplore[[#This Row],[Draftees/acre]]))</f>
        <v>1</v>
      </c>
    </row>
    <row r="25" customFormat="false" ht="12.75" hidden="false" customHeight="false" outlineLevel="0" collapsed="false">
      <c r="A25" s="170" t="n">
        <f aca="false">TblRezone[[#This Row],[Hour]]</f>
        <v>22</v>
      </c>
      <c r="B25" s="181" t="n">
        <f aca="false">TblConstr[[#This Row],[Land]]</f>
        <v>278</v>
      </c>
      <c r="C25" s="245"/>
      <c r="D25" s="246" t="n">
        <f aca="false">TblConstr[[#This Row],[Plain]]</f>
        <v>0</v>
      </c>
      <c r="E25" s="193" t="n">
        <f aca="false">TblConstr[[#This Row],[Forest]]</f>
        <v>0</v>
      </c>
      <c r="F25" s="200" t="n">
        <f aca="false">TblConstr[[#This Row],[Mountain]]</f>
        <v>0</v>
      </c>
      <c r="G25" s="201" t="n">
        <f aca="false">TblConstr[[#This Row],[Hill]]</f>
        <v>0</v>
      </c>
      <c r="H25" s="202" t="n">
        <f aca="false">TblConstr[[#This Row],[Swamp]]</f>
        <v>0</v>
      </c>
      <c r="I25" s="197" t="n">
        <f aca="false">TblConstr[[#This Row],[Cavern]]</f>
        <v>0</v>
      </c>
      <c r="J25" s="198" t="n">
        <f aca="false">TblConstr[[#This Row],[Water]]</f>
        <v>0</v>
      </c>
      <c r="K25" s="4"/>
      <c r="L25" s="253" t="s">
        <v>367</v>
      </c>
      <c r="M25" s="253"/>
      <c r="N25" s="247" t="n">
        <f aca="false">TblMili[[#This Row],[Smithies]]</f>
        <v>0</v>
      </c>
      <c r="O25" s="247" t="n">
        <f aca="false">TblPop[[#This Row],[Employment]]</f>
        <v>1</v>
      </c>
      <c r="P25" s="247" t="n">
        <f aca="false">TblImps[[#This Row],[Population]]</f>
        <v>0.693768148313603</v>
      </c>
      <c r="Q25" s="181" t="n">
        <f aca="false">TblExplore[[#This Row],[Land]]</f>
        <v>278</v>
      </c>
      <c r="R25" s="181" t="n">
        <f aca="false">TblExplore[[#This Row],[Hour]]</f>
        <v>22</v>
      </c>
      <c r="S25" s="248"/>
      <c r="T25" s="182" t="n">
        <v>2</v>
      </c>
      <c r="U25" s="182"/>
      <c r="V25" s="182"/>
      <c r="W25" s="182" t="n">
        <v>1</v>
      </c>
      <c r="X25" s="182"/>
      <c r="Y25" s="182"/>
      <c r="Z25" s="182"/>
      <c r="AA25" s="153" t="n">
        <f aca="false">TblImps[[#This Row],[Real time]]</f>
        <v>45430.625</v>
      </c>
      <c r="AB25" s="69" t="n">
        <f aca="false">TblMili[[#This Row],[Draftees]]</f>
        <v>124</v>
      </c>
      <c r="AC25" s="69" t="n">
        <f aca="false">TblProd[[#This Row],[Platinum]]</f>
        <v>9969</v>
      </c>
      <c r="AD25" s="245"/>
      <c r="AE25" s="151" t="n">
        <f aca="false">TblExplore[[#This Row],[Land]]-TblExplore[[#This Row],[Land Bonus]]*20</f>
        <v>278</v>
      </c>
      <c r="AF25" s="69" t="n">
        <f aca="false">ROUND(MAX(0.6*TblExplore[[#This Row],[Land-DB]]^1.299,850)*(1+ tech_2_6*Techs!AC25 + tech_2_9*Techs!AF25 + tech_3_7*Techs!AN25 + Overview!$I$32),0)</f>
        <v>897</v>
      </c>
      <c r="AG2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69" t="n">
        <f aca="false">SUM(TblExplore[[#This Row],[Plains Explore]:[Water Explore]])*TblExplore[[#This Row],[Plat/acre]]</f>
        <v>2691</v>
      </c>
      <c r="AI25" s="69" t="n">
        <f aca="false">SUM(TblExplore[[#This Row],[Plains Explore]:[Water Explore]])*TblExplore[[#This Row],[Draftees/acre]]</f>
        <v>12</v>
      </c>
      <c r="AJ25" s="151" t="n">
        <f aca="false">_xlfn.FLOOR.MATH(MIN(TblExplore[[#This Row],[Platinum]]/TblExplore[[#This Row],[Plat/acre]],TblExplore[[#This Row],[Draftees]]/TblExplore[[#This Row],[Draftees/acre]]))</f>
        <v>11</v>
      </c>
    </row>
    <row r="26" customFormat="false" ht="12.75" hidden="false" customHeight="false" outlineLevel="0" collapsed="false">
      <c r="A26" s="170" t="n">
        <f aca="false">TblRezone[[#This Row],[Hour]]</f>
        <v>23</v>
      </c>
      <c r="B26" s="181" t="n">
        <f aca="false">TblConstr[[#This Row],[Land]]</f>
        <v>279</v>
      </c>
      <c r="C26" s="245"/>
      <c r="D26" s="246" t="n">
        <f aca="false">TblConstr[[#This Row],[Plain]]</f>
        <v>0</v>
      </c>
      <c r="E26" s="193" t="n">
        <f aca="false">TblConstr[[#This Row],[Forest]]</f>
        <v>0</v>
      </c>
      <c r="F26" s="200" t="n">
        <f aca="false">TblConstr[[#This Row],[Mountain]]</f>
        <v>0</v>
      </c>
      <c r="G26" s="201" t="n">
        <f aca="false">TblConstr[[#This Row],[Hill]]</f>
        <v>0</v>
      </c>
      <c r="H26" s="202" t="n">
        <f aca="false">TblConstr[[#This Row],[Swamp]]</f>
        <v>0</v>
      </c>
      <c r="I26" s="197" t="n">
        <f aca="false">TblConstr[[#This Row],[Cavern]]</f>
        <v>0</v>
      </c>
      <c r="J26" s="198" t="n">
        <f aca="false">TblConstr[[#This Row],[Water]]</f>
        <v>0</v>
      </c>
      <c r="K26" s="4"/>
      <c r="L26" s="253" t="s">
        <v>363</v>
      </c>
      <c r="M26" s="254" t="n">
        <f aca="false">Military!AP67</f>
        <v>7459</v>
      </c>
      <c r="N26" s="247" t="n">
        <f aca="false">TblMili[[#This Row],[Smithies]]</f>
        <v>0</v>
      </c>
      <c r="O26" s="247" t="n">
        <f aca="false">TblPop[[#This Row],[Employment]]</f>
        <v>1</v>
      </c>
      <c r="P26" s="247" t="n">
        <f aca="false">TblImps[[#This Row],[Population]]</f>
        <v>0.738927220120187</v>
      </c>
      <c r="Q26" s="181" t="n">
        <f aca="false">TblExplore[[#This Row],[Land]]</f>
        <v>279</v>
      </c>
      <c r="R26" s="170" t="n">
        <f aca="false">TblExplore[[#This Row],[Hour]]</f>
        <v>23</v>
      </c>
      <c r="S26" s="248"/>
      <c r="T26" s="182" t="n">
        <v>1</v>
      </c>
      <c r="U26" s="182"/>
      <c r="V26" s="182"/>
      <c r="W26" s="182" t="n">
        <v>1</v>
      </c>
      <c r="X26" s="182"/>
      <c r="Y26" s="182"/>
      <c r="Z26" s="182"/>
      <c r="AA26" s="153" t="n">
        <f aca="false">TblImps[[#This Row],[Real time]]</f>
        <v>45430.6666666667</v>
      </c>
      <c r="AB26" s="69" t="n">
        <f aca="false">TblMili[[#This Row],[Draftees]]</f>
        <v>146</v>
      </c>
      <c r="AC26" s="69" t="n">
        <f aca="false">TblProd[[#This Row],[Platinum]]</f>
        <v>20132</v>
      </c>
      <c r="AD26" s="245"/>
      <c r="AE26" s="151" t="n">
        <f aca="false">TblExplore[[#This Row],[Land]]-TblExplore[[#This Row],[Land Bonus]]*20</f>
        <v>279</v>
      </c>
      <c r="AF26" s="69" t="n">
        <f aca="false">ROUND(MAX(0.6*TblExplore[[#This Row],[Land-DB]]^1.299,850)*(1+ tech_2_6*Techs!AC26 + tech_2_9*Techs!AF26 + tech_3_7*Techs!AN26 + Overview!$I$32),0)</f>
        <v>902</v>
      </c>
      <c r="AG2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69" t="n">
        <f aca="false">SUM(TblExplore[[#This Row],[Plains Explore]:[Water Explore]])*TblExplore[[#This Row],[Plat/acre]]</f>
        <v>1804</v>
      </c>
      <c r="AI26" s="69" t="n">
        <f aca="false">SUM(TblExplore[[#This Row],[Plains Explore]:[Water Explore]])*TblExplore[[#This Row],[Draftees/acre]]</f>
        <v>8</v>
      </c>
      <c r="AJ26" s="151" t="n">
        <f aca="false">_xlfn.FLOOR.MATH(MIN(TblExplore[[#This Row],[Platinum]]/TblExplore[[#This Row],[Plat/acre]],TblExplore[[#This Row],[Draftees]]/TblExplore[[#This Row],[Draftees/acre]]))</f>
        <v>22</v>
      </c>
    </row>
    <row r="27" customFormat="false" ht="12.75" hidden="false" customHeight="false" outlineLevel="0" collapsed="false">
      <c r="A27" s="170" t="n">
        <f aca="false">TblRezone[[#This Row],[Hour]]</f>
        <v>24</v>
      </c>
      <c r="B27" s="181" t="n">
        <f aca="false">TblConstr[[#This Row],[Land]]</f>
        <v>299</v>
      </c>
      <c r="C27" s="245"/>
      <c r="D27" s="246" t="n">
        <f aca="false">TblConstr[[#This Row],[Plain]]</f>
        <v>0</v>
      </c>
      <c r="E27" s="193" t="n">
        <f aca="false">TblConstr[[#This Row],[Forest]]</f>
        <v>0</v>
      </c>
      <c r="F27" s="200" t="n">
        <f aca="false">TblConstr[[#This Row],[Mountain]]</f>
        <v>0</v>
      </c>
      <c r="G27" s="201" t="n">
        <f aca="false">TblConstr[[#This Row],[Hill]]</f>
        <v>0</v>
      </c>
      <c r="H27" s="202" t="n">
        <f aca="false">TblConstr[[#This Row],[Swamp]]</f>
        <v>0</v>
      </c>
      <c r="I27" s="197" t="n">
        <f aca="false">TblConstr[[#This Row],[Cavern]]</f>
        <v>0</v>
      </c>
      <c r="J27" s="198" t="n">
        <f aca="false">TblConstr[[#This Row],[Water]]</f>
        <v>0</v>
      </c>
      <c r="K27" s="4"/>
      <c r="L27" s="253" t="s">
        <v>364</v>
      </c>
      <c r="M27" s="254" t="n">
        <f aca="false">Production!S76</f>
        <v>46564</v>
      </c>
      <c r="N27" s="247" t="n">
        <f aca="false">TblMili[[#This Row],[Smithies]]</f>
        <v>0</v>
      </c>
      <c r="O27" s="247" t="n">
        <f aca="false">TblPop[[#This Row],[Employment]]</f>
        <v>1</v>
      </c>
      <c r="P27" s="247" t="n">
        <f aca="false">TblImps[[#This Row],[Population]]</f>
        <v>0.780861456483126</v>
      </c>
      <c r="Q27" s="181" t="n">
        <f aca="false">TblExplore[[#This Row],[Land]]</f>
        <v>299</v>
      </c>
      <c r="R27" s="170" t="n">
        <f aca="false">TblExplore[[#This Row],[Hour]]</f>
        <v>24</v>
      </c>
      <c r="S27" s="248" t="n">
        <v>1</v>
      </c>
      <c r="T27" s="152"/>
      <c r="U27" s="182"/>
      <c r="V27" s="182"/>
      <c r="W27" s="182" t="n">
        <v>10</v>
      </c>
      <c r="X27" s="182"/>
      <c r="Y27" s="182"/>
      <c r="Z27" s="182"/>
      <c r="AA27" s="153" t="n">
        <f aca="false">TblImps[[#This Row],[Real time]]</f>
        <v>45430.7083333333</v>
      </c>
      <c r="AB27" s="69" t="n">
        <f aca="false">TblMili[[#This Row],[Draftees]]</f>
        <v>138</v>
      </c>
      <c r="AC27" s="69" t="n">
        <f aca="false">TblProd[[#This Row],[Platinum]]</f>
        <v>26679</v>
      </c>
      <c r="AD27" s="245"/>
      <c r="AE27" s="151" t="n">
        <f aca="false">TblExplore[[#This Row],[Land]]-TblExplore[[#This Row],[Land Bonus]]*20</f>
        <v>279</v>
      </c>
      <c r="AF27" s="69" t="n">
        <f aca="false">ROUND(MAX(0.6*TblExplore[[#This Row],[Land-DB]]^1.299,850)*(1+ tech_2_6*Techs!AC27 + tech_2_9*Techs!AF27 + tech_3_7*Techs!AN27 + Overview!$I$32),0)</f>
        <v>902</v>
      </c>
      <c r="AG2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69" t="n">
        <f aca="false">SUM(TblExplore[[#This Row],[Plains Explore]:[Water Explore]])*TblExplore[[#This Row],[Plat/acre]]</f>
        <v>9020</v>
      </c>
      <c r="AI27" s="69" t="n">
        <f aca="false">SUM(TblExplore[[#This Row],[Plains Explore]:[Water Explore]])*TblExplore[[#This Row],[Draftees/acre]]</f>
        <v>40</v>
      </c>
      <c r="AJ27" s="151" t="n">
        <f aca="false">_xlfn.FLOOR.MATH(MIN(TblExplore[[#This Row],[Platinum]]/TblExplore[[#This Row],[Plat/acre]],TblExplore[[#This Row],[Draftees]]/TblExplore[[#This Row],[Draftees/acre]]))</f>
        <v>29</v>
      </c>
    </row>
    <row r="28" customFormat="false" ht="12.75" hidden="false" customHeight="false" outlineLevel="0" collapsed="false">
      <c r="A28" s="170" t="n">
        <f aca="false">TblRezone[[#This Row],[Hour]]</f>
        <v>25</v>
      </c>
      <c r="B28" s="181" t="n">
        <f aca="false">TblConstr[[#This Row],[Land]]</f>
        <v>299</v>
      </c>
      <c r="C28" s="245"/>
      <c r="D28" s="246" t="n">
        <f aca="false">TblConstr[[#This Row],[Plain]]</f>
        <v>0</v>
      </c>
      <c r="E28" s="193" t="n">
        <f aca="false">TblConstr[[#This Row],[Forest]]</f>
        <v>0</v>
      </c>
      <c r="F28" s="200" t="n">
        <f aca="false">TblConstr[[#This Row],[Mountain]]</f>
        <v>0</v>
      </c>
      <c r="G28" s="201" t="n">
        <f aca="false">TblConstr[[#This Row],[Hill]]</f>
        <v>0</v>
      </c>
      <c r="H28" s="202" t="n">
        <f aca="false">TblConstr[[#This Row],[Swamp]]</f>
        <v>0</v>
      </c>
      <c r="I28" s="197" t="n">
        <f aca="false">TblConstr[[#This Row],[Cavern]]</f>
        <v>0</v>
      </c>
      <c r="J28" s="198" t="n">
        <f aca="false">TblConstr[[#This Row],[Water]]</f>
        <v>0</v>
      </c>
      <c r="K28" s="4"/>
      <c r="L28" s="253" t="s">
        <v>365</v>
      </c>
      <c r="M28" s="254" t="n">
        <f aca="false">Military!AA64</f>
        <v>396</v>
      </c>
      <c r="N28" s="247" t="n">
        <f aca="false">TblMili[[#This Row],[Smithies]]</f>
        <v>0</v>
      </c>
      <c r="O28" s="247" t="n">
        <f aca="false">TblPop[[#This Row],[Employment]]</f>
        <v>1</v>
      </c>
      <c r="P28" s="247" t="n">
        <f aca="false">TblImps[[#This Row],[Population]]</f>
        <v>0.779366065879428</v>
      </c>
      <c r="Q28" s="181" t="n">
        <f aca="false">TblExplore[[#This Row],[Land]]</f>
        <v>299</v>
      </c>
      <c r="R28" s="170" t="n">
        <f aca="false">TblExplore[[#This Row],[Hour]]</f>
        <v>25</v>
      </c>
      <c r="S28" s="248"/>
      <c r="T28" s="182"/>
      <c r="U28" s="182"/>
      <c r="V28" s="182"/>
      <c r="W28" s="182"/>
      <c r="X28" s="182"/>
      <c r="Y28" s="182"/>
      <c r="Z28" s="182"/>
      <c r="AA28" s="153" t="n">
        <f aca="false">TblImps[[#This Row],[Real time]]</f>
        <v>45430.75</v>
      </c>
      <c r="AB28" s="69" t="n">
        <f aca="false">TblMili[[#This Row],[Draftees]]</f>
        <v>172</v>
      </c>
      <c r="AC28" s="69" t="n">
        <f aca="false">TblProd[[#This Row],[Platinum]]</f>
        <v>42902</v>
      </c>
      <c r="AD28" s="245"/>
      <c r="AE28" s="151" t="n">
        <f aca="false">TblExplore[[#This Row],[Land]]-TblExplore[[#This Row],[Land Bonus]]*20</f>
        <v>299</v>
      </c>
      <c r="AF28" s="69" t="n">
        <f aca="false">ROUND(MAX(0.6*TblExplore[[#This Row],[Land-DB]]^1.299,850)*(1+ tech_2_6*Techs!AC28 + tech_2_9*Techs!AF28 + tech_3_7*Techs!AN28 + Overview!$I$32),0)</f>
        <v>986</v>
      </c>
      <c r="AG2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69" t="n">
        <f aca="false">SUM(TblExplore[[#This Row],[Plains Explore]:[Water Explore]])*TblExplore[[#This Row],[Plat/acre]]</f>
        <v>0</v>
      </c>
      <c r="AI28" s="69" t="n">
        <f aca="false">SUM(TblExplore[[#This Row],[Plains Explore]:[Water Explore]])*TblExplore[[#This Row],[Draftees/acre]]</f>
        <v>0</v>
      </c>
      <c r="AJ28" s="151" t="n">
        <f aca="false">_xlfn.FLOOR.MATH(MIN(TblExplore[[#This Row],[Platinum]]/TblExplore[[#This Row],[Plat/acre]],TblExplore[[#This Row],[Draftees]]/TblExplore[[#This Row],[Draftees/acre]]))</f>
        <v>43</v>
      </c>
    </row>
    <row r="29" customFormat="false" ht="12.75" hidden="false" customHeight="false" outlineLevel="0" collapsed="false">
      <c r="A29" s="170" t="n">
        <f aca="false">TblRezone[[#This Row],[Hour]]</f>
        <v>26</v>
      </c>
      <c r="B29" s="181" t="n">
        <f aca="false">TblConstr[[#This Row],[Land]]</f>
        <v>299</v>
      </c>
      <c r="C29" s="245"/>
      <c r="D29" s="246" t="n">
        <f aca="false">TblConstr[[#This Row],[Plain]]</f>
        <v>0</v>
      </c>
      <c r="E29" s="193" t="n">
        <f aca="false">TblConstr[[#This Row],[Forest]]</f>
        <v>0</v>
      </c>
      <c r="F29" s="200" t="n">
        <f aca="false">TblConstr[[#This Row],[Mountain]]</f>
        <v>0</v>
      </c>
      <c r="G29" s="201" t="n">
        <f aca="false">TblConstr[[#This Row],[Hill]]</f>
        <v>0</v>
      </c>
      <c r="H29" s="202" t="n">
        <f aca="false">TblConstr[[#This Row],[Swamp]]</f>
        <v>0</v>
      </c>
      <c r="I29" s="197" t="n">
        <f aca="false">TblConstr[[#This Row],[Cavern]]</f>
        <v>0</v>
      </c>
      <c r="J29" s="198" t="n">
        <f aca="false">TblConstr[[#This Row],[Water]]</f>
        <v>0</v>
      </c>
      <c r="K29" s="4"/>
      <c r="L29" s="253" t="s">
        <v>366</v>
      </c>
      <c r="M29" s="255" t="n">
        <f aca="false">Q76</f>
        <v>700</v>
      </c>
      <c r="N29" s="247" t="n">
        <f aca="false">TblMili[[#This Row],[Smithies]]</f>
        <v>0</v>
      </c>
      <c r="O29" s="247" t="n">
        <f aca="false">TblPop[[#This Row],[Employment]]</f>
        <v>1</v>
      </c>
      <c r="P29" s="247" t="n">
        <f aca="false">TblImps[[#This Row],[Population]]</f>
        <v>0.833229749326704</v>
      </c>
      <c r="Q29" s="181" t="n">
        <f aca="false">TblExplore[[#This Row],[Land]]</f>
        <v>299</v>
      </c>
      <c r="R29" s="170" t="n">
        <f aca="false">TblExplore[[#This Row],[Hour]]</f>
        <v>26</v>
      </c>
      <c r="S29" s="248"/>
      <c r="T29" s="152"/>
      <c r="U29" s="182"/>
      <c r="V29" s="182"/>
      <c r="W29" s="182"/>
      <c r="X29" s="182"/>
      <c r="Y29" s="182"/>
      <c r="Z29" s="182"/>
      <c r="AA29" s="153" t="n">
        <f aca="false">TblImps[[#This Row],[Real time]]</f>
        <v>45430.7916666667</v>
      </c>
      <c r="AB29" s="69" t="n">
        <f aca="false">TblMili[[#This Row],[Draftees]]</f>
        <v>208</v>
      </c>
      <c r="AC29" s="69" t="n">
        <f aca="false">TblProd[[#This Row],[Platinum]]</f>
        <v>59751</v>
      </c>
      <c r="AD29" s="245"/>
      <c r="AE29" s="151" t="n">
        <f aca="false">TblExplore[[#This Row],[Land]]-TblExplore[[#This Row],[Land Bonus]]*20</f>
        <v>299</v>
      </c>
      <c r="AF29" s="69" t="n">
        <f aca="false">ROUND(MAX(0.6*TblExplore[[#This Row],[Land-DB]]^1.299,850)*(1+ tech_2_6*Techs!AC29 + tech_2_9*Techs!AF29 + tech_3_7*Techs!AN29 + Overview!$I$32),0)</f>
        <v>986</v>
      </c>
      <c r="AG2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69" t="n">
        <f aca="false">SUM(TblExplore[[#This Row],[Plains Explore]:[Water Explore]])*TblExplore[[#This Row],[Plat/acre]]</f>
        <v>0</v>
      </c>
      <c r="AI29" s="69" t="n">
        <f aca="false">SUM(TblExplore[[#This Row],[Plains Explore]:[Water Explore]])*TblExplore[[#This Row],[Draftees/acre]]</f>
        <v>0</v>
      </c>
      <c r="AJ29" s="151" t="n">
        <f aca="false">_xlfn.FLOOR.MATH(MIN(TblExplore[[#This Row],[Platinum]]/TblExplore[[#This Row],[Plat/acre]],TblExplore[[#This Row],[Draftees]]/TblExplore[[#This Row],[Draftees/acre]]))</f>
        <v>52</v>
      </c>
    </row>
    <row r="30" customFormat="false" ht="12.75" hidden="false" customHeight="false" outlineLevel="0" collapsed="false">
      <c r="A30" s="170" t="n">
        <f aca="false">TblRezone[[#This Row],[Hour]]</f>
        <v>27</v>
      </c>
      <c r="B30" s="181" t="n">
        <f aca="false">TblConstr[[#This Row],[Land]]</f>
        <v>299</v>
      </c>
      <c r="C30" s="245"/>
      <c r="D30" s="246" t="n">
        <f aca="false">TblConstr[[#This Row],[Plain]]</f>
        <v>0</v>
      </c>
      <c r="E30" s="193" t="n">
        <f aca="false">TblConstr[[#This Row],[Forest]]</f>
        <v>0</v>
      </c>
      <c r="F30" s="200" t="n">
        <f aca="false">TblConstr[[#This Row],[Mountain]]</f>
        <v>0</v>
      </c>
      <c r="G30" s="201" t="n">
        <f aca="false">TblConstr[[#This Row],[Hill]]</f>
        <v>0</v>
      </c>
      <c r="H30" s="202" t="n">
        <f aca="false">TblConstr[[#This Row],[Swamp]]</f>
        <v>0</v>
      </c>
      <c r="I30" s="197" t="n">
        <f aca="false">TblConstr[[#This Row],[Cavern]]</f>
        <v>0</v>
      </c>
      <c r="J30" s="198" t="n">
        <f aca="false">TblConstr[[#This Row],[Water]]</f>
        <v>0</v>
      </c>
      <c r="K30" s="4"/>
      <c r="L30" s="4"/>
      <c r="M30" s="12"/>
      <c r="N30" s="247" t="n">
        <f aca="false">TblMili[[#This Row],[Smithies]]</f>
        <v>0</v>
      </c>
      <c r="O30" s="247" t="n">
        <f aca="false">TblPop[[#This Row],[Employment]]</f>
        <v>1</v>
      </c>
      <c r="P30" s="247" t="n">
        <f aca="false">TblImps[[#This Row],[Population]]</f>
        <v>0.890615288999379</v>
      </c>
      <c r="Q30" s="181" t="n">
        <f aca="false">TblExplore[[#This Row],[Land]]</f>
        <v>299</v>
      </c>
      <c r="R30" s="170" t="n">
        <f aca="false">TblExplore[[#This Row],[Hour]]</f>
        <v>27</v>
      </c>
      <c r="S30" s="248"/>
      <c r="T30" s="152"/>
      <c r="U30" s="182"/>
      <c r="V30" s="182"/>
      <c r="W30" s="182"/>
      <c r="X30" s="182"/>
      <c r="Y30" s="182"/>
      <c r="Z30" s="182"/>
      <c r="AA30" s="153" t="n">
        <f aca="false">TblImps[[#This Row],[Real time]]</f>
        <v>45430.8333333333</v>
      </c>
      <c r="AB30" s="69" t="n">
        <f aca="false">TblMili[[#This Row],[Draftees]]</f>
        <v>246</v>
      </c>
      <c r="AC30" s="69" t="n">
        <f aca="false">TblProd[[#This Row],[Platinum]]</f>
        <v>79053</v>
      </c>
      <c r="AD30" s="245"/>
      <c r="AE30" s="151" t="n">
        <f aca="false">TblExplore[[#This Row],[Land]]-TblExplore[[#This Row],[Land Bonus]]*20</f>
        <v>299</v>
      </c>
      <c r="AF30" s="69" t="n">
        <f aca="false">ROUND(MAX(0.6*TblExplore[[#This Row],[Land-DB]]^1.299,850)*(1+ tech_2_6*Techs!AC30 + tech_2_9*Techs!AF30 + tech_3_7*Techs!AN30 + Overview!$I$32),0)</f>
        <v>986</v>
      </c>
      <c r="AG3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69" t="n">
        <f aca="false">SUM(TblExplore[[#This Row],[Plains Explore]:[Water Explore]])*TblExplore[[#This Row],[Plat/acre]]</f>
        <v>0</v>
      </c>
      <c r="AI30" s="69" t="n">
        <f aca="false">SUM(TblExplore[[#This Row],[Plains Explore]:[Water Explore]])*TblExplore[[#This Row],[Draftees/acre]]</f>
        <v>0</v>
      </c>
      <c r="AJ30" s="151" t="n">
        <f aca="false">_xlfn.FLOOR.MATH(MIN(TblExplore[[#This Row],[Platinum]]/TblExplore[[#This Row],[Plat/acre]],TblExplore[[#This Row],[Draftees]]/TblExplore[[#This Row],[Draftees/acre]]))</f>
        <v>61</v>
      </c>
    </row>
    <row r="31" customFormat="false" ht="12.75" hidden="false" customHeight="false" outlineLevel="0" collapsed="false">
      <c r="A31" s="170" t="n">
        <f aca="false">TblRezone[[#This Row],[Hour]]</f>
        <v>28</v>
      </c>
      <c r="B31" s="181" t="n">
        <f aca="false">TblConstr[[#This Row],[Land]]</f>
        <v>299</v>
      </c>
      <c r="C31" s="245"/>
      <c r="D31" s="246" t="n">
        <f aca="false">TblConstr[[#This Row],[Plain]]</f>
        <v>0</v>
      </c>
      <c r="E31" s="193" t="n">
        <f aca="false">TblConstr[[#This Row],[Forest]]</f>
        <v>0</v>
      </c>
      <c r="F31" s="200" t="n">
        <f aca="false">TblConstr[[#This Row],[Mountain]]</f>
        <v>0</v>
      </c>
      <c r="G31" s="201" t="n">
        <f aca="false">TblConstr[[#This Row],[Hill]]</f>
        <v>0</v>
      </c>
      <c r="H31" s="202" t="n">
        <f aca="false">TblConstr[[#This Row],[Swamp]]</f>
        <v>0</v>
      </c>
      <c r="I31" s="197" t="n">
        <f aca="false">TblConstr[[#This Row],[Cavern]]</f>
        <v>0</v>
      </c>
      <c r="J31" s="198" t="n">
        <f aca="false">TblConstr[[#This Row],[Water]]</f>
        <v>0</v>
      </c>
      <c r="K31" s="4"/>
      <c r="L31" s="4"/>
      <c r="M31" s="12"/>
      <c r="N31" s="247" t="n">
        <f aca="false">TblMili[[#This Row],[Smithies]]</f>
        <v>0</v>
      </c>
      <c r="O31" s="247" t="n">
        <f aca="false">TblPop[[#This Row],[Employment]]</f>
        <v>1</v>
      </c>
      <c r="P31" s="247" t="n">
        <f aca="false">TblImps[[#This Row],[Population]]</f>
        <v>0.951522684897452</v>
      </c>
      <c r="Q31" s="181" t="n">
        <f aca="false">TblExplore[[#This Row],[Land]]</f>
        <v>299</v>
      </c>
      <c r="R31" s="170" t="n">
        <f aca="false">TblExplore[[#This Row],[Hour]]</f>
        <v>28</v>
      </c>
      <c r="S31" s="248"/>
      <c r="T31" s="152"/>
      <c r="U31" s="182"/>
      <c r="V31" s="182"/>
      <c r="W31" s="182"/>
      <c r="X31" s="182"/>
      <c r="Y31" s="182"/>
      <c r="Z31" s="182"/>
      <c r="AA31" s="153" t="n">
        <f aca="false">TblImps[[#This Row],[Real time]]</f>
        <v>45430.875</v>
      </c>
      <c r="AB31" s="69" t="n">
        <f aca="false">TblMili[[#This Row],[Draftees]]</f>
        <v>287</v>
      </c>
      <c r="AC31" s="69" t="n">
        <f aca="false">TblProd[[#This Row],[Platinum]]</f>
        <v>99065</v>
      </c>
      <c r="AD31" s="245"/>
      <c r="AE31" s="151" t="n">
        <f aca="false">TblExplore[[#This Row],[Land]]-TblExplore[[#This Row],[Land Bonus]]*20</f>
        <v>299</v>
      </c>
      <c r="AF31" s="69" t="n">
        <f aca="false">ROUND(MAX(0.6*TblExplore[[#This Row],[Land-DB]]^1.299,850)*(1+ tech_2_6*Techs!AC31 + tech_2_9*Techs!AF31 + tech_3_7*Techs!AN31 + Overview!$I$32),0)</f>
        <v>986</v>
      </c>
      <c r="AG3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69" t="n">
        <f aca="false">SUM(TblExplore[[#This Row],[Plains Explore]:[Water Explore]])*TblExplore[[#This Row],[Plat/acre]]</f>
        <v>0</v>
      </c>
      <c r="AI31" s="69" t="n">
        <f aca="false">SUM(TblExplore[[#This Row],[Plains Explore]:[Water Explore]])*TblExplore[[#This Row],[Draftees/acre]]</f>
        <v>0</v>
      </c>
      <c r="AJ31" s="151" t="n">
        <f aca="false">_xlfn.FLOOR.MATH(MIN(TblExplore[[#This Row],[Platinum]]/TblExplore[[#This Row],[Plat/acre]],TblExplore[[#This Row],[Draftees]]/TblExplore[[#This Row],[Draftees/acre]]))</f>
        <v>71</v>
      </c>
    </row>
    <row r="32" customFormat="false" ht="12.75" hidden="false" customHeight="false" outlineLevel="0" collapsed="false">
      <c r="A32" s="170" t="n">
        <f aca="false">TblRezone[[#This Row],[Hour]]</f>
        <v>29</v>
      </c>
      <c r="B32" s="181" t="n">
        <f aca="false">TblConstr[[#This Row],[Land]]</f>
        <v>299</v>
      </c>
      <c r="C32" s="245"/>
      <c r="D32" s="246" t="n">
        <f aca="false">TblConstr[[#This Row],[Plain]]</f>
        <v>0</v>
      </c>
      <c r="E32" s="193" t="n">
        <f aca="false">TblConstr[[#This Row],[Forest]]</f>
        <v>0</v>
      </c>
      <c r="F32" s="200" t="n">
        <f aca="false">TblConstr[[#This Row],[Mountain]]</f>
        <v>0</v>
      </c>
      <c r="G32" s="201" t="n">
        <f aca="false">TblConstr[[#This Row],[Hill]]</f>
        <v>0</v>
      </c>
      <c r="H32" s="202" t="n">
        <f aca="false">TblConstr[[#This Row],[Swamp]]</f>
        <v>0</v>
      </c>
      <c r="I32" s="197" t="n">
        <f aca="false">TblConstr[[#This Row],[Cavern]]</f>
        <v>0</v>
      </c>
      <c r="J32" s="198" t="n">
        <f aca="false">TblConstr[[#This Row],[Water]]</f>
        <v>0</v>
      </c>
      <c r="K32" s="4"/>
      <c r="L32" s="4"/>
      <c r="M32" s="12"/>
      <c r="N32" s="247" t="n">
        <f aca="false">TblMili[[#This Row],[Smithies]]</f>
        <v>0</v>
      </c>
      <c r="O32" s="247" t="n">
        <f aca="false">TblPop[[#This Row],[Employment]]</f>
        <v>1</v>
      </c>
      <c r="P32" s="247" t="n">
        <f aca="false">TblImps[[#This Row],[Population]]</f>
        <v>0.932048891651129</v>
      </c>
      <c r="Q32" s="181" t="n">
        <f aca="false">TblExplore[[#This Row],[Land]]</f>
        <v>299</v>
      </c>
      <c r="R32" s="170" t="n">
        <f aca="false">TblExplore[[#This Row],[Hour]]</f>
        <v>29</v>
      </c>
      <c r="S32" s="248"/>
      <c r="T32" s="152" t="n">
        <v>82</v>
      </c>
      <c r="U32" s="182"/>
      <c r="V32" s="182"/>
      <c r="W32" s="182"/>
      <c r="X32" s="182"/>
      <c r="Y32" s="182"/>
      <c r="Z32" s="182"/>
      <c r="AA32" s="153" t="n">
        <f aca="false">TblImps[[#This Row],[Real time]]</f>
        <v>45430.9166666667</v>
      </c>
      <c r="AB32" s="69" t="n">
        <f aca="false">TblMili[[#This Row],[Draftees]]</f>
        <v>2</v>
      </c>
      <c r="AC32" s="69" t="n">
        <f aca="false">TblProd[[#This Row],[Platinum]]</f>
        <v>38976</v>
      </c>
      <c r="AD32" s="245"/>
      <c r="AE32" s="151" t="n">
        <f aca="false">TblExplore[[#This Row],[Land]]-TblExplore[[#This Row],[Land Bonus]]*20</f>
        <v>299</v>
      </c>
      <c r="AF32" s="69" t="n">
        <f aca="false">ROUND(MAX(0.6*TblExplore[[#This Row],[Land-DB]]^1.299,850)*(1+ tech_2_6*Techs!AC32 + tech_2_9*Techs!AF32 + tech_3_7*Techs!AN32 + Overview!$I$32),0)</f>
        <v>986</v>
      </c>
      <c r="AG3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69" t="n">
        <f aca="false">SUM(TblExplore[[#This Row],[Plains Explore]:[Water Explore]])*TblExplore[[#This Row],[Plat/acre]]</f>
        <v>80852</v>
      </c>
      <c r="AI32" s="69" t="n">
        <f aca="false">SUM(TblExplore[[#This Row],[Plains Explore]:[Water Explore]])*TblExplore[[#This Row],[Draftees/acre]]</f>
        <v>328</v>
      </c>
      <c r="AJ32" s="151" t="n">
        <f aca="false">_xlfn.FLOOR.MATH(MIN(TblExplore[[#This Row],[Platinum]]/TblExplore[[#This Row],[Plat/acre]],TblExplore[[#This Row],[Draftees]]/TblExplore[[#This Row],[Draftees/acre]]))</f>
        <v>0</v>
      </c>
    </row>
    <row r="33" customFormat="false" ht="12.75" hidden="false" customHeight="false" outlineLevel="0" collapsed="false">
      <c r="A33" s="170" t="n">
        <f aca="false">TblRezone[[#This Row],[Hour]]</f>
        <v>30</v>
      </c>
      <c r="B33" s="181" t="n">
        <f aca="false">TblConstr[[#This Row],[Land]]</f>
        <v>369</v>
      </c>
      <c r="C33" s="245"/>
      <c r="D33" s="246" t="n">
        <f aca="false">TblConstr[[#This Row],[Plain]]</f>
        <v>0</v>
      </c>
      <c r="E33" s="193" t="n">
        <f aca="false">TblConstr[[#This Row],[Forest]]</f>
        <v>0</v>
      </c>
      <c r="F33" s="200" t="n">
        <f aca="false">TblConstr[[#This Row],[Mountain]]</f>
        <v>0</v>
      </c>
      <c r="G33" s="201" t="n">
        <f aca="false">TblConstr[[#This Row],[Hill]]</f>
        <v>0</v>
      </c>
      <c r="H33" s="202" t="n">
        <f aca="false">TblConstr[[#This Row],[Swamp]]</f>
        <v>0</v>
      </c>
      <c r="I33" s="197" t="n">
        <f aca="false">TblConstr[[#This Row],[Cavern]]</f>
        <v>0</v>
      </c>
      <c r="J33" s="198" t="n">
        <f aca="false">TblConstr[[#This Row],[Water]]</f>
        <v>0</v>
      </c>
      <c r="K33" s="4"/>
      <c r="L33" s="4"/>
      <c r="M33" s="4"/>
      <c r="N33" s="247" t="n">
        <f aca="false">TblMili[[#This Row],[Smithies]]</f>
        <v>0</v>
      </c>
      <c r="O33" s="247" t="n">
        <f aca="false">TblPop[[#This Row],[Employment]]</f>
        <v>1</v>
      </c>
      <c r="P33" s="247" t="n">
        <f aca="false">TblImps[[#This Row],[Population]]</f>
        <v>0.91391237509608</v>
      </c>
      <c r="Q33" s="181" t="n">
        <f aca="false">TblExplore[[#This Row],[Land]]</f>
        <v>369</v>
      </c>
      <c r="R33" s="170" t="n">
        <f aca="false">TblExplore[[#This Row],[Hour]]</f>
        <v>30</v>
      </c>
      <c r="S33" s="248"/>
      <c r="T33" s="152" t="n">
        <v>9</v>
      </c>
      <c r="U33" s="182"/>
      <c r="V33" s="182"/>
      <c r="W33" s="182"/>
      <c r="X33" s="182"/>
      <c r="Y33" s="182"/>
      <c r="Z33" s="182"/>
      <c r="AA33" s="153" t="n">
        <f aca="false">TblImps[[#This Row],[Real time]]</f>
        <v>45430.9583333333</v>
      </c>
      <c r="AB33" s="69" t="n">
        <f aca="false">TblMili[[#This Row],[Draftees]]</f>
        <v>2</v>
      </c>
      <c r="AC33" s="69" t="n">
        <f aca="false">TblProd[[#This Row],[Platinum]]</f>
        <v>21478</v>
      </c>
      <c r="AD33" s="245"/>
      <c r="AE33" s="151" t="n">
        <f aca="false">TblExplore[[#This Row],[Land]]-TblExplore[[#This Row],[Land Bonus]]*20</f>
        <v>369</v>
      </c>
      <c r="AF33" s="69" t="n">
        <f aca="false">ROUND(MAX(0.6*TblExplore[[#This Row],[Land-DB]]^1.299,850)*(1+ tech_2_6*Techs!AC33 + tech_2_9*Techs!AF33 + tech_3_7*Techs!AN33 + Overview!$I$32),0)</f>
        <v>1296</v>
      </c>
      <c r="AG3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3" s="69" t="n">
        <f aca="false">SUM(TblExplore[[#This Row],[Plains Explore]:[Water Explore]])*TblExplore[[#This Row],[Plat/acre]]</f>
        <v>11664</v>
      </c>
      <c r="AI33" s="69" t="n">
        <f aca="false">SUM(TblExplore[[#This Row],[Plains Explore]:[Water Explore]])*TblExplore[[#This Row],[Draftees/acre]]</f>
        <v>45</v>
      </c>
      <c r="AJ33" s="151" t="n">
        <f aca="false">_xlfn.FLOOR.MATH(MIN(TblExplore[[#This Row],[Platinum]]/TblExplore[[#This Row],[Plat/acre]],TblExplore[[#This Row],[Draftees]]/TblExplore[[#This Row],[Draftees/acre]]))</f>
        <v>0</v>
      </c>
    </row>
    <row r="34" customFormat="false" ht="12.75" hidden="false" customHeight="false" outlineLevel="0" collapsed="false">
      <c r="A34" s="170" t="n">
        <f aca="false">TblRezone[[#This Row],[Hour]]</f>
        <v>31</v>
      </c>
      <c r="B34" s="181" t="n">
        <f aca="false">TblConstr[[#This Row],[Land]]</f>
        <v>380</v>
      </c>
      <c r="C34" s="245"/>
      <c r="D34" s="246" t="n">
        <f aca="false">TblConstr[[#This Row],[Plain]]</f>
        <v>0</v>
      </c>
      <c r="E34" s="193" t="n">
        <f aca="false">TblConstr[[#This Row],[Forest]]</f>
        <v>0</v>
      </c>
      <c r="F34" s="200" t="n">
        <f aca="false">TblConstr[[#This Row],[Mountain]]</f>
        <v>0</v>
      </c>
      <c r="G34" s="201" t="n">
        <f aca="false">TblConstr[[#This Row],[Hill]]</f>
        <v>0</v>
      </c>
      <c r="H34" s="202" t="n">
        <f aca="false">TblConstr[[#This Row],[Swamp]]</f>
        <v>0</v>
      </c>
      <c r="I34" s="197" t="n">
        <f aca="false">TblConstr[[#This Row],[Cavern]]</f>
        <v>0</v>
      </c>
      <c r="J34" s="198" t="n">
        <f aca="false">TblConstr[[#This Row],[Water]]</f>
        <v>0</v>
      </c>
      <c r="K34" s="4"/>
      <c r="L34" s="4"/>
      <c r="M34" s="256"/>
      <c r="N34" s="247" t="n">
        <f aca="false">TblMili[[#This Row],[Smithies]]</f>
        <v>0</v>
      </c>
      <c r="O34" s="247" t="n">
        <f aca="false">TblPop[[#This Row],[Employment]]</f>
        <v>1</v>
      </c>
      <c r="P34" s="247" t="n">
        <f aca="false">TblImps[[#This Row],[Population]]</f>
        <v>0.834940159574468</v>
      </c>
      <c r="Q34" s="181" t="n">
        <f aca="false">TblExplore[[#This Row],[Land]]</f>
        <v>380</v>
      </c>
      <c r="R34" s="170" t="n">
        <f aca="false">TblExplore[[#This Row],[Hour]]</f>
        <v>31</v>
      </c>
      <c r="S34" s="248"/>
      <c r="T34" s="182" t="n">
        <v>10</v>
      </c>
      <c r="U34" s="182"/>
      <c r="V34" s="182"/>
      <c r="W34" s="182"/>
      <c r="X34" s="182"/>
      <c r="Y34" s="182"/>
      <c r="Z34" s="182"/>
      <c r="AA34" s="153" t="n">
        <f aca="false">TblImps[[#This Row],[Real time]]</f>
        <v>45431</v>
      </c>
      <c r="AB34" s="69" t="n">
        <f aca="false">TblMili[[#This Row],[Draftees]]</f>
        <v>0</v>
      </c>
      <c r="AC34" s="69" t="n">
        <f aca="false">TblProd[[#This Row],[Platinum]]</f>
        <v>26412</v>
      </c>
      <c r="AD34" s="245"/>
      <c r="AE34" s="151" t="n">
        <f aca="false">TblExplore[[#This Row],[Land]]-TblExplore[[#This Row],[Land Bonus]]*20</f>
        <v>380</v>
      </c>
      <c r="AF34" s="69" t="n">
        <f aca="false">ROUND(MAX(0.6*TblExplore[[#This Row],[Land-DB]]^1.299,850)*(1+ tech_2_6*Techs!AC34 + tech_2_9*Techs!AF34 + tech_3_7*Techs!AN34 + Overview!$I$32),0)</f>
        <v>1347</v>
      </c>
      <c r="AG3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4" s="69" t="n">
        <f aca="false">SUM(TblExplore[[#This Row],[Plains Explore]:[Water Explore]])*TblExplore[[#This Row],[Plat/acre]]</f>
        <v>13470</v>
      </c>
      <c r="AI34" s="69" t="n">
        <f aca="false">SUM(TblExplore[[#This Row],[Plains Explore]:[Water Explore]])*TblExplore[[#This Row],[Draftees/acre]]</f>
        <v>50</v>
      </c>
      <c r="AJ34" s="151" t="n">
        <f aca="false">_xlfn.FLOOR.MATH(MIN(TblExplore[[#This Row],[Platinum]]/TblExplore[[#This Row],[Plat/acre]],TblExplore[[#This Row],[Draftees]]/TblExplore[[#This Row],[Draftees/acre]]))</f>
        <v>0</v>
      </c>
    </row>
    <row r="35" customFormat="false" ht="12.75" hidden="false" customHeight="false" outlineLevel="0" collapsed="false">
      <c r="A35" s="170" t="n">
        <f aca="false">TblRezone[[#This Row],[Hour]]</f>
        <v>32</v>
      </c>
      <c r="B35" s="181" t="n">
        <f aca="false">TblConstr[[#This Row],[Land]]</f>
        <v>392</v>
      </c>
      <c r="C35" s="245"/>
      <c r="D35" s="246" t="n">
        <f aca="false">TblConstr[[#This Row],[Plain]]</f>
        <v>0</v>
      </c>
      <c r="E35" s="193" t="n">
        <f aca="false">TblConstr[[#This Row],[Forest]]</f>
        <v>0</v>
      </c>
      <c r="F35" s="200" t="n">
        <f aca="false">TblConstr[[#This Row],[Mountain]]</f>
        <v>0</v>
      </c>
      <c r="G35" s="201" t="n">
        <f aca="false">TblConstr[[#This Row],[Hill]]</f>
        <v>0</v>
      </c>
      <c r="H35" s="202" t="n">
        <f aca="false">TblConstr[[#This Row],[Swamp]]</f>
        <v>0</v>
      </c>
      <c r="I35" s="197" t="n">
        <f aca="false">TblConstr[[#This Row],[Cavern]]</f>
        <v>0</v>
      </c>
      <c r="J35" s="198" t="n">
        <f aca="false">TblConstr[[#This Row],[Water]]</f>
        <v>0</v>
      </c>
      <c r="K35" s="4"/>
      <c r="L35" s="4"/>
      <c r="M35" s="256"/>
      <c r="N35" s="247" t="n">
        <f aca="false">TblMili[[#This Row],[Smithies]]</f>
        <v>0</v>
      </c>
      <c r="O35" s="247" t="n">
        <f aca="false">TblPop[[#This Row],[Employment]]</f>
        <v>1</v>
      </c>
      <c r="P35" s="247" t="n">
        <f aca="false">TblImps[[#This Row],[Population]]</f>
        <v>0.855621874495886</v>
      </c>
      <c r="Q35" s="181" t="n">
        <f aca="false">TblExplore[[#This Row],[Land]]</f>
        <v>392</v>
      </c>
      <c r="R35" s="170" t="n">
        <f aca="false">TblExplore[[#This Row],[Hour]]</f>
        <v>32</v>
      </c>
      <c r="S35" s="248"/>
      <c r="T35" s="182" t="n">
        <v>10</v>
      </c>
      <c r="U35" s="182"/>
      <c r="V35" s="182"/>
      <c r="W35" s="182"/>
      <c r="X35" s="182"/>
      <c r="Y35" s="182"/>
      <c r="Z35" s="182"/>
      <c r="AA35" s="153" t="n">
        <f aca="false">TblImps[[#This Row],[Real time]]</f>
        <v>45431.0416666667</v>
      </c>
      <c r="AB35" s="69" t="n">
        <f aca="false">TblMili[[#This Row],[Draftees]]</f>
        <v>0</v>
      </c>
      <c r="AC35" s="69" t="n">
        <f aca="false">TblProd[[#This Row],[Platinum]]</f>
        <v>31118</v>
      </c>
      <c r="AD35" s="245"/>
      <c r="AE35" s="151" t="n">
        <f aca="false">TblExplore[[#This Row],[Land]]-TblExplore[[#This Row],[Land Bonus]]*20</f>
        <v>392</v>
      </c>
      <c r="AF35" s="69" t="n">
        <f aca="false">ROUND(MAX(0.6*TblExplore[[#This Row],[Land-DB]]^1.299,850)*(1+ tech_2_6*Techs!AC35 + tech_2_9*Techs!AF35 + tech_3_7*Techs!AN35 + Overview!$I$32),0)</f>
        <v>1402</v>
      </c>
      <c r="AG3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5" s="69" t="n">
        <f aca="false">SUM(TblExplore[[#This Row],[Plains Explore]:[Water Explore]])*TblExplore[[#This Row],[Plat/acre]]</f>
        <v>14020</v>
      </c>
      <c r="AI35" s="69" t="n">
        <f aca="false">SUM(TblExplore[[#This Row],[Plains Explore]:[Water Explore]])*TblExplore[[#This Row],[Draftees/acre]]</f>
        <v>50</v>
      </c>
      <c r="AJ35" s="151" t="n">
        <f aca="false">_xlfn.FLOOR.MATH(MIN(TblExplore[[#This Row],[Platinum]]/TblExplore[[#This Row],[Plat/acre]],TblExplore[[#This Row],[Draftees]]/TblExplore[[#This Row],[Draftees/acre]]))</f>
        <v>0</v>
      </c>
    </row>
    <row r="36" customFormat="false" ht="12.75" hidden="false" customHeight="false" outlineLevel="0" collapsed="false">
      <c r="A36" s="170" t="n">
        <f aca="false">TblRezone[[#This Row],[Hour]]</f>
        <v>33</v>
      </c>
      <c r="B36" s="181" t="n">
        <f aca="false">TblConstr[[#This Row],[Land]]</f>
        <v>404</v>
      </c>
      <c r="C36" s="245"/>
      <c r="D36" s="246" t="n">
        <f aca="false">TblConstr[[#This Row],[Plain]]</f>
        <v>0</v>
      </c>
      <c r="E36" s="193" t="n">
        <f aca="false">TblConstr[[#This Row],[Forest]]</f>
        <v>0</v>
      </c>
      <c r="F36" s="200" t="n">
        <f aca="false">TblConstr[[#This Row],[Mountain]]</f>
        <v>0</v>
      </c>
      <c r="G36" s="201" t="n">
        <f aca="false">TblConstr[[#This Row],[Hill]]</f>
        <v>0</v>
      </c>
      <c r="H36" s="202" t="n">
        <f aca="false">TblConstr[[#This Row],[Swamp]]</f>
        <v>0</v>
      </c>
      <c r="I36" s="197" t="n">
        <f aca="false">TblConstr[[#This Row],[Cavern]]</f>
        <v>0</v>
      </c>
      <c r="J36" s="198" t="n">
        <f aca="false">TblConstr[[#This Row],[Water]]</f>
        <v>0</v>
      </c>
      <c r="K36" s="4"/>
      <c r="L36" s="4"/>
      <c r="M36" s="4"/>
      <c r="N36" s="247" t="n">
        <f aca="false">TblMili[[#This Row],[Smithies]]</f>
        <v>0</v>
      </c>
      <c r="O36" s="247" t="n">
        <f aca="false">TblPop[[#This Row],[Employment]]</f>
        <v>1</v>
      </c>
      <c r="P36" s="247" t="n">
        <f aca="false">TblImps[[#This Row],[Population]]</f>
        <v>0.875958079149069</v>
      </c>
      <c r="Q36" s="181" t="n">
        <f aca="false">TblExplore[[#This Row],[Land]]</f>
        <v>404</v>
      </c>
      <c r="R36" s="170" t="n">
        <f aca="false">TblExplore[[#This Row],[Hour]]</f>
        <v>33</v>
      </c>
      <c r="S36" s="248"/>
      <c r="T36" s="182" t="n">
        <v>10</v>
      </c>
      <c r="U36" s="182"/>
      <c r="V36" s="182"/>
      <c r="W36" s="182"/>
      <c r="X36" s="182"/>
      <c r="Y36" s="182"/>
      <c r="Z36" s="182"/>
      <c r="AA36" s="153" t="n">
        <f aca="false">TblImps[[#This Row],[Real time]]</f>
        <v>45431.0833333333</v>
      </c>
      <c r="AB36" s="69" t="n">
        <f aca="false">TblMili[[#This Row],[Draftees]]</f>
        <v>3</v>
      </c>
      <c r="AC36" s="69" t="n">
        <f aca="false">TblProd[[#This Row],[Platinum]]</f>
        <v>36027</v>
      </c>
      <c r="AD36" s="245"/>
      <c r="AE36" s="151" t="n">
        <f aca="false">TblExplore[[#This Row],[Land]]-TblExplore[[#This Row],[Land Bonus]]*20</f>
        <v>404</v>
      </c>
      <c r="AF36" s="69" t="n">
        <f aca="false">ROUND(MAX(0.6*TblExplore[[#This Row],[Land-DB]]^1.299,850)*(1+ tech_2_6*Techs!AC36 + tech_2_9*Techs!AF36 + tech_3_7*Techs!AN36 + Overview!$I$32),0)</f>
        <v>1458</v>
      </c>
      <c r="AG3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6" s="69" t="n">
        <f aca="false">SUM(TblExplore[[#This Row],[Plains Explore]:[Water Explore]])*TblExplore[[#This Row],[Plat/acre]]</f>
        <v>14580</v>
      </c>
      <c r="AI36" s="69" t="n">
        <f aca="false">SUM(TblExplore[[#This Row],[Plains Explore]:[Water Explore]])*TblExplore[[#This Row],[Draftees/acre]]</f>
        <v>50</v>
      </c>
      <c r="AJ36" s="151" t="n">
        <f aca="false">_xlfn.FLOOR.MATH(MIN(TblExplore[[#This Row],[Platinum]]/TblExplore[[#This Row],[Plat/acre]],TblExplore[[#This Row],[Draftees]]/TblExplore[[#This Row],[Draftees/acre]]))</f>
        <v>0</v>
      </c>
    </row>
    <row r="37" customFormat="false" ht="12.75" hidden="false" customHeight="false" outlineLevel="0" collapsed="false">
      <c r="A37" s="170" t="n">
        <f aca="false">TblRezone[[#This Row],[Hour]]</f>
        <v>34</v>
      </c>
      <c r="B37" s="181" t="n">
        <f aca="false">TblConstr[[#This Row],[Land]]</f>
        <v>407</v>
      </c>
      <c r="C37" s="245"/>
      <c r="D37" s="246" t="n">
        <f aca="false">TblConstr[[#This Row],[Plain]]</f>
        <v>0</v>
      </c>
      <c r="E37" s="193" t="n">
        <f aca="false">TblConstr[[#This Row],[Forest]]</f>
        <v>0</v>
      </c>
      <c r="F37" s="200" t="n">
        <f aca="false">TblConstr[[#This Row],[Mountain]]</f>
        <v>0</v>
      </c>
      <c r="G37" s="201" t="n">
        <f aca="false">TblConstr[[#This Row],[Hill]]</f>
        <v>0</v>
      </c>
      <c r="H37" s="202" t="n">
        <f aca="false">TblConstr[[#This Row],[Swamp]]</f>
        <v>0</v>
      </c>
      <c r="I37" s="197" t="n">
        <f aca="false">TblConstr[[#This Row],[Cavern]]</f>
        <v>0</v>
      </c>
      <c r="J37" s="198" t="n">
        <f aca="false">TblConstr[[#This Row],[Water]]</f>
        <v>0</v>
      </c>
      <c r="K37" s="4"/>
      <c r="L37" s="4"/>
      <c r="M37" s="4"/>
      <c r="N37" s="247" t="n">
        <f aca="false">TblMili[[#This Row],[Smithies]]</f>
        <v>0</v>
      </c>
      <c r="O37" s="247" t="n">
        <f aca="false">TblPop[[#This Row],[Employment]]</f>
        <v>0.98120555367423</v>
      </c>
      <c r="P37" s="247" t="n">
        <f aca="false">TblImps[[#This Row],[Population]]</f>
        <v>0.903946160905476</v>
      </c>
      <c r="Q37" s="181" t="n">
        <f aca="false">TblExplore[[#This Row],[Land]]</f>
        <v>407</v>
      </c>
      <c r="R37" s="170" t="n">
        <f aca="false">TblExplore[[#This Row],[Hour]]</f>
        <v>34</v>
      </c>
      <c r="S37" s="248"/>
      <c r="T37" s="182" t="n">
        <v>11</v>
      </c>
      <c r="U37" s="182"/>
      <c r="V37" s="182"/>
      <c r="W37" s="182"/>
      <c r="X37" s="182"/>
      <c r="Y37" s="182"/>
      <c r="Z37" s="182"/>
      <c r="AA37" s="153" t="n">
        <f aca="false">TblImps[[#This Row],[Real time]]</f>
        <v>45431.125</v>
      </c>
      <c r="AB37" s="69" t="n">
        <f aca="false">TblMili[[#This Row],[Draftees]]</f>
        <v>4</v>
      </c>
      <c r="AC37" s="69" t="n">
        <f aca="false">TblProd[[#This Row],[Platinum]]</f>
        <v>43944</v>
      </c>
      <c r="AD37" s="245"/>
      <c r="AE37" s="151" t="n">
        <f aca="false">TblExplore[[#This Row],[Land]]-TblExplore[[#This Row],[Land Bonus]]*20</f>
        <v>407</v>
      </c>
      <c r="AF37" s="69" t="n">
        <f aca="false">ROUND(MAX(0.6*TblExplore[[#This Row],[Land-DB]]^1.299,850)*(1+ tech_2_6*Techs!AC37 + tech_2_9*Techs!AF37 + tech_3_7*Techs!AN37 + Overview!$I$32),0)</f>
        <v>1472</v>
      </c>
      <c r="AG3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7" s="69" t="n">
        <f aca="false">SUM(TblExplore[[#This Row],[Plains Explore]:[Water Explore]])*TblExplore[[#This Row],[Plat/acre]]</f>
        <v>16192</v>
      </c>
      <c r="AI37" s="69" t="n">
        <f aca="false">SUM(TblExplore[[#This Row],[Plains Explore]:[Water Explore]])*TblExplore[[#This Row],[Draftees/acre]]</f>
        <v>55</v>
      </c>
      <c r="AJ37" s="151" t="n">
        <f aca="false">_xlfn.FLOOR.MATH(MIN(TblExplore[[#This Row],[Platinum]]/TblExplore[[#This Row],[Plat/acre]],TblExplore[[#This Row],[Draftees]]/TblExplore[[#This Row],[Draftees/acre]]))</f>
        <v>0</v>
      </c>
    </row>
    <row r="38" customFormat="false" ht="12.75" hidden="false" customHeight="false" outlineLevel="0" collapsed="false">
      <c r="A38" s="170" t="n">
        <f aca="false">TblRezone[[#This Row],[Hour]]</f>
        <v>35</v>
      </c>
      <c r="B38" s="181" t="n">
        <f aca="false">TblConstr[[#This Row],[Land]]</f>
        <v>409</v>
      </c>
      <c r="C38" s="245"/>
      <c r="D38" s="246" t="n">
        <f aca="false">TblConstr[[#This Row],[Plain]]</f>
        <v>0</v>
      </c>
      <c r="E38" s="193" t="n">
        <f aca="false">TblConstr[[#This Row],[Forest]]</f>
        <v>0</v>
      </c>
      <c r="F38" s="200" t="n">
        <f aca="false">TblConstr[[#This Row],[Mountain]]</f>
        <v>0</v>
      </c>
      <c r="G38" s="201" t="n">
        <f aca="false">TblConstr[[#This Row],[Hill]]</f>
        <v>0</v>
      </c>
      <c r="H38" s="202" t="n">
        <f aca="false">TblConstr[[#This Row],[Swamp]]</f>
        <v>0</v>
      </c>
      <c r="I38" s="197" t="n">
        <f aca="false">TblConstr[[#This Row],[Cavern]]</f>
        <v>0</v>
      </c>
      <c r="J38" s="198" t="n">
        <f aca="false">TblConstr[[#This Row],[Water]]</f>
        <v>0</v>
      </c>
      <c r="K38" s="4"/>
      <c r="L38" s="4"/>
      <c r="M38" s="4"/>
      <c r="N38" s="247" t="n">
        <f aca="false">TblMili[[#This Row],[Smithies]]</f>
        <v>0</v>
      </c>
      <c r="O38" s="247" t="n">
        <f aca="false">TblPop[[#This Row],[Employment]]</f>
        <v>1</v>
      </c>
      <c r="P38" s="247" t="n">
        <f aca="false">TblImps[[#This Row],[Population]]</f>
        <v>0.94727245099529</v>
      </c>
      <c r="Q38" s="181" t="n">
        <f aca="false">TblExplore[[#This Row],[Land]]</f>
        <v>409</v>
      </c>
      <c r="R38" s="170" t="n">
        <f aca="false">TblExplore[[#This Row],[Hour]]</f>
        <v>35</v>
      </c>
      <c r="S38" s="248"/>
      <c r="T38" s="152" t="n">
        <v>12</v>
      </c>
      <c r="U38" s="182"/>
      <c r="V38" s="182"/>
      <c r="W38" s="182"/>
      <c r="X38" s="182"/>
      <c r="Y38" s="182"/>
      <c r="Z38" s="182"/>
      <c r="AA38" s="153" t="n">
        <f aca="false">TblImps[[#This Row],[Real time]]</f>
        <v>45431.1666666667</v>
      </c>
      <c r="AB38" s="69" t="n">
        <f aca="false">TblMili[[#This Row],[Draftees]]</f>
        <v>3</v>
      </c>
      <c r="AC38" s="69" t="n">
        <f aca="false">TblProd[[#This Row],[Platinum]]</f>
        <v>51273</v>
      </c>
      <c r="AD38" s="245"/>
      <c r="AE38" s="151" t="n">
        <f aca="false">TblExplore[[#This Row],[Land]]-TblExplore[[#This Row],[Land Bonus]]*20</f>
        <v>409</v>
      </c>
      <c r="AF38" s="69" t="n">
        <f aca="false">ROUND(MAX(0.6*TblExplore[[#This Row],[Land-DB]]^1.299,850)*(1+ tech_2_6*Techs!AC38 + tech_2_9*Techs!AF38 + tech_3_7*Techs!AN38 + Overview!$I$32),0)</f>
        <v>1482</v>
      </c>
      <c r="AG3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8" s="69" t="n">
        <f aca="false">SUM(TblExplore[[#This Row],[Plains Explore]:[Water Explore]])*TblExplore[[#This Row],[Plat/acre]]</f>
        <v>17784</v>
      </c>
      <c r="AI38" s="69" t="n">
        <f aca="false">SUM(TblExplore[[#This Row],[Plains Explore]:[Water Explore]])*TblExplore[[#This Row],[Draftees/acre]]</f>
        <v>60</v>
      </c>
      <c r="AJ38" s="151" t="n">
        <f aca="false">_xlfn.FLOOR.MATH(MIN(TblExplore[[#This Row],[Platinum]]/TblExplore[[#This Row],[Plat/acre]],TblExplore[[#This Row],[Draftees]]/TblExplore[[#This Row],[Draftees/acre]]))</f>
        <v>0</v>
      </c>
    </row>
    <row r="39" customFormat="false" ht="12.75" hidden="false" customHeight="false" outlineLevel="0" collapsed="false">
      <c r="A39" s="170" t="n">
        <f aca="false">TblRezone[[#This Row],[Hour]]</f>
        <v>36</v>
      </c>
      <c r="B39" s="181" t="n">
        <f aca="false">TblConstr[[#This Row],[Land]]</f>
        <v>419</v>
      </c>
      <c r="C39" s="245"/>
      <c r="D39" s="246" t="n">
        <f aca="false">TblConstr[[#This Row],[Plain]]</f>
        <v>0</v>
      </c>
      <c r="E39" s="193" t="n">
        <f aca="false">TblConstr[[#This Row],[Forest]]</f>
        <v>0</v>
      </c>
      <c r="F39" s="200" t="n">
        <f aca="false">TblConstr[[#This Row],[Mountain]]</f>
        <v>0</v>
      </c>
      <c r="G39" s="201" t="n">
        <f aca="false">TblConstr[[#This Row],[Hill]]</f>
        <v>0</v>
      </c>
      <c r="H39" s="202" t="n">
        <f aca="false">TblConstr[[#This Row],[Swamp]]</f>
        <v>0</v>
      </c>
      <c r="I39" s="197" t="n">
        <f aca="false">TblConstr[[#This Row],[Cavern]]</f>
        <v>0</v>
      </c>
      <c r="J39" s="198" t="n">
        <f aca="false">TblConstr[[#This Row],[Water]]</f>
        <v>0</v>
      </c>
      <c r="K39" s="4"/>
      <c r="L39" s="4"/>
      <c r="M39" s="4"/>
      <c r="N39" s="247" t="n">
        <f aca="false">TblMili[[#This Row],[Smithies]]</f>
        <v>0</v>
      </c>
      <c r="O39" s="247" t="n">
        <f aca="false">TblPop[[#This Row],[Employment]]</f>
        <v>0.948866230406331</v>
      </c>
      <c r="P39" s="247" t="n">
        <f aca="false">TblImps[[#This Row],[Population]]</f>
        <v>0.987081267838366</v>
      </c>
      <c r="Q39" s="181" t="n">
        <f aca="false">TblExplore[[#This Row],[Land]]</f>
        <v>419</v>
      </c>
      <c r="R39" s="170" t="n">
        <f aca="false">TblExplore[[#This Row],[Hour]]</f>
        <v>36</v>
      </c>
      <c r="S39" s="248"/>
      <c r="T39" s="182" t="n">
        <v>13</v>
      </c>
      <c r="U39" s="182"/>
      <c r="V39" s="182"/>
      <c r="W39" s="182"/>
      <c r="X39" s="182"/>
      <c r="Y39" s="182"/>
      <c r="Z39" s="182"/>
      <c r="AA39" s="153" t="n">
        <f aca="false">TblImps[[#This Row],[Real time]]</f>
        <v>45431.2083333333</v>
      </c>
      <c r="AB39" s="69" t="n">
        <f aca="false">TblMili[[#This Row],[Draftees]]</f>
        <v>0</v>
      </c>
      <c r="AC39" s="69" t="n">
        <f aca="false">TblProd[[#This Row],[Platinum]]</f>
        <v>55040</v>
      </c>
      <c r="AD39" s="245"/>
      <c r="AE39" s="151" t="n">
        <f aca="false">TblExplore[[#This Row],[Land]]-TblExplore[[#This Row],[Land Bonus]]*20</f>
        <v>419</v>
      </c>
      <c r="AF39" s="69" t="n">
        <f aca="false">ROUND(MAX(0.6*TblExplore[[#This Row],[Land-DB]]^1.299,850)*(1+ tech_2_6*Techs!AC39 + tech_2_9*Techs!AF39 + tech_3_7*Techs!AN39 + Overview!$I$32),0)</f>
        <v>1529</v>
      </c>
      <c r="AG3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9" s="69" t="n">
        <f aca="false">SUM(TblExplore[[#This Row],[Plains Explore]:[Water Explore]])*TblExplore[[#This Row],[Plat/acre]]</f>
        <v>19877</v>
      </c>
      <c r="AI39" s="69" t="n">
        <f aca="false">SUM(TblExplore[[#This Row],[Plains Explore]:[Water Explore]])*TblExplore[[#This Row],[Draftees/acre]]</f>
        <v>65</v>
      </c>
      <c r="AJ39" s="151" t="n">
        <f aca="false">_xlfn.FLOOR.MATH(MIN(TblExplore[[#This Row],[Platinum]]/TblExplore[[#This Row],[Plat/acre]],TblExplore[[#This Row],[Draftees]]/TblExplore[[#This Row],[Draftees/acre]]))</f>
        <v>0</v>
      </c>
    </row>
    <row r="40" customFormat="false" ht="12.75" hidden="false" customHeight="true" outlineLevel="0" collapsed="false">
      <c r="A40" s="170" t="n">
        <f aca="false">TblRezone[[#This Row],[Hour]]</f>
        <v>37</v>
      </c>
      <c r="B40" s="181" t="n">
        <f aca="false">TblConstr[[#This Row],[Land]]</f>
        <v>419</v>
      </c>
      <c r="C40" s="245"/>
      <c r="D40" s="246" t="n">
        <f aca="false">TblConstr[[#This Row],[Plain]]</f>
        <v>0</v>
      </c>
      <c r="E40" s="193" t="n">
        <f aca="false">TblConstr[[#This Row],[Forest]]</f>
        <v>0</v>
      </c>
      <c r="F40" s="200" t="n">
        <f aca="false">TblConstr[[#This Row],[Mountain]]</f>
        <v>0</v>
      </c>
      <c r="G40" s="201" t="n">
        <f aca="false">TblConstr[[#This Row],[Hill]]</f>
        <v>0</v>
      </c>
      <c r="H40" s="202" t="n">
        <f aca="false">TblConstr[[#This Row],[Swamp]]</f>
        <v>0</v>
      </c>
      <c r="I40" s="197" t="n">
        <f aca="false">TblConstr[[#This Row],[Cavern]]</f>
        <v>0</v>
      </c>
      <c r="J40" s="198" t="n">
        <f aca="false">TblConstr[[#This Row],[Water]]</f>
        <v>0</v>
      </c>
      <c r="K40" s="4"/>
      <c r="L40" s="4"/>
      <c r="M40" s="4"/>
      <c r="N40" s="247" t="n">
        <f aca="false">TblMili[[#This Row],[Smithies]]</f>
        <v>0</v>
      </c>
      <c r="O40" s="247" t="n">
        <f aca="false">TblPop[[#This Row],[Employment]]</f>
        <v>0.930874888026277</v>
      </c>
      <c r="P40" s="247" t="n">
        <f aca="false">TblImps[[#This Row],[Population]]</f>
        <v>0.990390301596688</v>
      </c>
      <c r="Q40" s="181" t="n">
        <f aca="false">TblExplore[[#This Row],[Land]]</f>
        <v>419</v>
      </c>
      <c r="R40" s="170" t="n">
        <f aca="false">TblExplore[[#This Row],[Hour]]</f>
        <v>37</v>
      </c>
      <c r="S40" s="248"/>
      <c r="T40" s="182" t="n">
        <v>13</v>
      </c>
      <c r="U40" s="182"/>
      <c r="V40" s="182"/>
      <c r="W40" s="182"/>
      <c r="X40" s="182"/>
      <c r="Y40" s="182"/>
      <c r="Z40" s="182"/>
      <c r="AA40" s="153" t="n">
        <f aca="false">TblImps[[#This Row],[Real time]]</f>
        <v>45431.25</v>
      </c>
      <c r="AB40" s="69" t="n">
        <f aca="false">TblMili[[#This Row],[Draftees]]</f>
        <v>1</v>
      </c>
      <c r="AC40" s="69" t="n">
        <f aca="false">TblProd[[#This Row],[Platinum]]</f>
        <v>63059</v>
      </c>
      <c r="AD40" s="245"/>
      <c r="AE40" s="151" t="n">
        <f aca="false">TblExplore[[#This Row],[Land]]-TblExplore[[#This Row],[Land Bonus]]*20</f>
        <v>419</v>
      </c>
      <c r="AF40" s="69" t="n">
        <f aca="false">ROUND(MAX(0.6*TblExplore[[#This Row],[Land-DB]]^1.299,850)*(1+ tech_2_6*Techs!AC40 + tech_2_9*Techs!AF40 + tech_3_7*Techs!AN40 + Overview!$I$32),0)</f>
        <v>1529</v>
      </c>
      <c r="AG4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0" s="69" t="n">
        <f aca="false">SUM(TblExplore[[#This Row],[Plains Explore]:[Water Explore]])*TblExplore[[#This Row],[Plat/acre]]</f>
        <v>19877</v>
      </c>
      <c r="AI40" s="69" t="n">
        <f aca="false">SUM(TblExplore[[#This Row],[Plains Explore]:[Water Explore]])*TblExplore[[#This Row],[Draftees/acre]]</f>
        <v>65</v>
      </c>
      <c r="AJ40" s="151" t="n">
        <f aca="false">_xlfn.FLOOR.MATH(MIN(TblExplore[[#This Row],[Platinum]]/TblExplore[[#This Row],[Plat/acre]],TblExplore[[#This Row],[Draftees]]/TblExplore[[#This Row],[Draftees/acre]]))</f>
        <v>0</v>
      </c>
    </row>
    <row r="41" customFormat="false" ht="12.75" hidden="false" customHeight="false" outlineLevel="0" collapsed="false">
      <c r="A41" s="170" t="n">
        <f aca="false">TblRezone[[#This Row],[Hour]]</f>
        <v>38</v>
      </c>
      <c r="B41" s="181" t="n">
        <f aca="false">TblConstr[[#This Row],[Land]]</f>
        <v>419</v>
      </c>
      <c r="C41" s="245"/>
      <c r="D41" s="246" t="n">
        <f aca="false">TblConstr[[#This Row],[Plain]]</f>
        <v>0</v>
      </c>
      <c r="E41" s="193" t="n">
        <f aca="false">TblConstr[[#This Row],[Forest]]</f>
        <v>0</v>
      </c>
      <c r="F41" s="200" t="n">
        <f aca="false">TblConstr[[#This Row],[Mountain]]</f>
        <v>0</v>
      </c>
      <c r="G41" s="201" t="n">
        <f aca="false">TblConstr[[#This Row],[Hill]]</f>
        <v>0</v>
      </c>
      <c r="H41" s="202" t="n">
        <f aca="false">TblConstr[[#This Row],[Swamp]]</f>
        <v>0</v>
      </c>
      <c r="I41" s="197" t="n">
        <f aca="false">TblConstr[[#This Row],[Cavern]]</f>
        <v>0</v>
      </c>
      <c r="J41" s="198" t="n">
        <f aca="false">TblConstr[[#This Row],[Water]]</f>
        <v>0</v>
      </c>
      <c r="K41" s="4"/>
      <c r="L41" s="4"/>
      <c r="M41" s="4"/>
      <c r="N41" s="247" t="n">
        <f aca="false">TblMili[[#This Row],[Smithies]]</f>
        <v>0</v>
      </c>
      <c r="O41" s="247" t="n">
        <f aca="false">TblPop[[#This Row],[Employment]]</f>
        <v>0.931152927120669</v>
      </c>
      <c r="P41" s="247" t="n">
        <f aca="false">TblImps[[#This Row],[Population]]</f>
        <v>0.990390301596688</v>
      </c>
      <c r="Q41" s="181" t="n">
        <f aca="false">TblExplore[[#This Row],[Land]]</f>
        <v>419</v>
      </c>
      <c r="R41" s="170" t="n">
        <f aca="false">TblExplore[[#This Row],[Hour]]</f>
        <v>38</v>
      </c>
      <c r="S41" s="248"/>
      <c r="T41" s="182" t="n">
        <v>7</v>
      </c>
      <c r="U41" s="182"/>
      <c r="V41" s="182"/>
      <c r="W41" s="182"/>
      <c r="X41" s="182"/>
      <c r="Y41" s="182"/>
      <c r="Z41" s="182" t="n">
        <v>6</v>
      </c>
      <c r="AA41" s="153" t="n">
        <f aca="false">TblImps[[#This Row],[Real time]]</f>
        <v>45431.2916666667</v>
      </c>
      <c r="AB41" s="69" t="n">
        <f aca="false">TblMili[[#This Row],[Draftees]]</f>
        <v>3</v>
      </c>
      <c r="AC41" s="69" t="n">
        <f aca="false">TblProd[[#This Row],[Platinum]]</f>
        <v>71078</v>
      </c>
      <c r="AD41" s="245"/>
      <c r="AE41" s="151" t="n">
        <f aca="false">TblExplore[[#This Row],[Land]]-TblExplore[[#This Row],[Land Bonus]]*20</f>
        <v>419</v>
      </c>
      <c r="AF41" s="69" t="n">
        <f aca="false">ROUND(MAX(0.6*TblExplore[[#This Row],[Land-DB]]^1.299,850)*(1+ tech_2_6*Techs!AC41 + tech_2_9*Techs!AF41 + tech_3_7*Techs!AN41 + Overview!$I$32),0)</f>
        <v>1529</v>
      </c>
      <c r="AG4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1" s="69" t="n">
        <f aca="false">SUM(TblExplore[[#This Row],[Plains Explore]:[Water Explore]])*TblExplore[[#This Row],[Plat/acre]]</f>
        <v>19877</v>
      </c>
      <c r="AI41" s="69" t="n">
        <f aca="false">SUM(TblExplore[[#This Row],[Plains Explore]:[Water Explore]])*TblExplore[[#This Row],[Draftees/acre]]</f>
        <v>65</v>
      </c>
      <c r="AJ41" s="151" t="n">
        <f aca="false">_xlfn.FLOOR.MATH(MIN(TblExplore[[#This Row],[Platinum]]/TblExplore[[#This Row],[Plat/acre]],TblExplore[[#This Row],[Draftees]]/TblExplore[[#This Row],[Draftees/acre]]))</f>
        <v>0</v>
      </c>
    </row>
    <row r="42" customFormat="false" ht="12.75" hidden="false" customHeight="false" outlineLevel="0" collapsed="false">
      <c r="A42" s="170" t="n">
        <f aca="false">TblRezone[[#This Row],[Hour]]</f>
        <v>39</v>
      </c>
      <c r="B42" s="181" t="n">
        <f aca="false">TblConstr[[#This Row],[Land]]</f>
        <v>419</v>
      </c>
      <c r="C42" s="245"/>
      <c r="D42" s="246" t="n">
        <f aca="false">TblConstr[[#This Row],[Plain]]</f>
        <v>0</v>
      </c>
      <c r="E42" s="193" t="n">
        <f aca="false">TblConstr[[#This Row],[Forest]]</f>
        <v>0</v>
      </c>
      <c r="F42" s="200" t="n">
        <f aca="false">TblConstr[[#This Row],[Mountain]]</f>
        <v>0</v>
      </c>
      <c r="G42" s="201" t="n">
        <f aca="false">TblConstr[[#This Row],[Hill]]</f>
        <v>0</v>
      </c>
      <c r="H42" s="202" t="n">
        <f aca="false">TblConstr[[#This Row],[Swamp]]</f>
        <v>0</v>
      </c>
      <c r="I42" s="197" t="n">
        <f aca="false">TblConstr[[#This Row],[Cavern]]</f>
        <v>0</v>
      </c>
      <c r="J42" s="198" t="n">
        <f aca="false">TblConstr[[#This Row],[Water]]</f>
        <v>0</v>
      </c>
      <c r="K42" s="4"/>
      <c r="L42" s="4"/>
      <c r="M42" s="4"/>
      <c r="N42" s="247" t="n">
        <f aca="false">TblMili[[#This Row],[Smithies]]</f>
        <v>0</v>
      </c>
      <c r="O42" s="247" t="n">
        <f aca="false">TblPop[[#This Row],[Employment]]</f>
        <v>0.931431132357335</v>
      </c>
      <c r="P42" s="247" t="n">
        <f aca="false">TblImps[[#This Row],[Population]]</f>
        <v>0.989651094027203</v>
      </c>
      <c r="Q42" s="181" t="n">
        <f aca="false">TblExplore[[#This Row],[Land]]</f>
        <v>419</v>
      </c>
      <c r="R42" s="170" t="n">
        <f aca="false">TblExplore[[#This Row],[Hour]]</f>
        <v>39</v>
      </c>
      <c r="S42" s="248"/>
      <c r="T42" s="182" t="n">
        <v>6</v>
      </c>
      <c r="U42" s="182"/>
      <c r="V42" s="182"/>
      <c r="W42" s="182"/>
      <c r="X42" s="182"/>
      <c r="Y42" s="182"/>
      <c r="Z42" s="182" t="n">
        <v>8</v>
      </c>
      <c r="AA42" s="153" t="n">
        <f aca="false">TblImps[[#This Row],[Real time]]</f>
        <v>45431.3333333333</v>
      </c>
      <c r="AB42" s="69" t="n">
        <f aca="false">TblMili[[#This Row],[Draftees]]</f>
        <v>0</v>
      </c>
      <c r="AC42" s="69" t="n">
        <f aca="false">TblProd[[#This Row],[Platinum]]</f>
        <v>77568</v>
      </c>
      <c r="AD42" s="245"/>
      <c r="AE42" s="151" t="n">
        <f aca="false">TblExplore[[#This Row],[Land]]-TblExplore[[#This Row],[Land Bonus]]*20</f>
        <v>419</v>
      </c>
      <c r="AF42" s="69" t="n">
        <f aca="false">ROUND(MAX(0.6*TblExplore[[#This Row],[Land-DB]]^1.299,850)*(1+ tech_2_6*Techs!AC42 + tech_2_9*Techs!AF42 + tech_3_7*Techs!AN42 + Overview!$I$32),0)</f>
        <v>1529</v>
      </c>
      <c r="AG4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2" s="69" t="n">
        <f aca="false">SUM(TblExplore[[#This Row],[Plains Explore]:[Water Explore]])*TblExplore[[#This Row],[Plat/acre]]</f>
        <v>21406</v>
      </c>
      <c r="AI42" s="69" t="n">
        <f aca="false">SUM(TblExplore[[#This Row],[Plains Explore]:[Water Explore]])*TblExplore[[#This Row],[Draftees/acre]]</f>
        <v>70</v>
      </c>
      <c r="AJ42" s="151" t="n">
        <f aca="false">_xlfn.FLOOR.MATH(MIN(TblExplore[[#This Row],[Platinum]]/TblExplore[[#This Row],[Plat/acre]],TblExplore[[#This Row],[Draftees]]/TblExplore[[#This Row],[Draftees/acre]]))</f>
        <v>0</v>
      </c>
    </row>
    <row r="43" customFormat="false" ht="12.75" hidden="false" customHeight="false" outlineLevel="0" collapsed="false">
      <c r="A43" s="170" t="n">
        <f aca="false">TblRezone[[#This Row],[Hour]]</f>
        <v>40</v>
      </c>
      <c r="B43" s="181" t="n">
        <f aca="false">TblConstr[[#This Row],[Land]]</f>
        <v>419</v>
      </c>
      <c r="C43" s="245"/>
      <c r="D43" s="246" t="n">
        <f aca="false">TblConstr[[#This Row],[Plain]]</f>
        <v>0</v>
      </c>
      <c r="E43" s="193" t="n">
        <f aca="false">TblConstr[[#This Row],[Forest]]</f>
        <v>0</v>
      </c>
      <c r="F43" s="200" t="n">
        <f aca="false">TblConstr[[#This Row],[Mountain]]</f>
        <v>0</v>
      </c>
      <c r="G43" s="201" t="n">
        <f aca="false">TblConstr[[#This Row],[Hill]]</f>
        <v>0</v>
      </c>
      <c r="H43" s="202" t="n">
        <f aca="false">TblConstr[[#This Row],[Swamp]]</f>
        <v>0</v>
      </c>
      <c r="I43" s="197" t="n">
        <f aca="false">TblConstr[[#This Row],[Cavern]]</f>
        <v>0</v>
      </c>
      <c r="J43" s="198" t="n">
        <f aca="false">TblConstr[[#This Row],[Water]]</f>
        <v>0</v>
      </c>
      <c r="K43" s="4"/>
      <c r="L43" s="4"/>
      <c r="M43" s="4"/>
      <c r="N43" s="247" t="n">
        <f aca="false">TblMili[[#This Row],[Smithies]]</f>
        <v>0</v>
      </c>
      <c r="O43" s="247" t="n">
        <f aca="false">TblPop[[#This Row],[Employment]]</f>
        <v>0.931013886814992</v>
      </c>
      <c r="P43" s="247" t="n">
        <f aca="false">TblImps[[#This Row],[Population]]</f>
        <v>0.990390301596688</v>
      </c>
      <c r="Q43" s="181" t="n">
        <f aca="false">TblExplore[[#This Row],[Land]]</f>
        <v>419</v>
      </c>
      <c r="R43" s="170" t="n">
        <f aca="false">TblExplore[[#This Row],[Hour]]</f>
        <v>40</v>
      </c>
      <c r="S43" s="248"/>
      <c r="T43" s="182" t="n">
        <v>2</v>
      </c>
      <c r="U43" s="182"/>
      <c r="V43" s="182"/>
      <c r="W43" s="182" t="n">
        <v>11</v>
      </c>
      <c r="X43" s="182"/>
      <c r="Y43" s="182"/>
      <c r="Z43" s="182"/>
      <c r="AA43" s="153" t="n">
        <f aca="false">TblImps[[#This Row],[Real time]]</f>
        <v>45431.375</v>
      </c>
      <c r="AB43" s="69" t="n">
        <f aca="false">TblMili[[#This Row],[Draftees]]</f>
        <v>2</v>
      </c>
      <c r="AC43" s="69" t="n">
        <f aca="false">TblProd[[#This Row],[Platinum]]</f>
        <v>85587</v>
      </c>
      <c r="AD43" s="245"/>
      <c r="AE43" s="151" t="n">
        <f aca="false">TblExplore[[#This Row],[Land]]-TblExplore[[#This Row],[Land Bonus]]*20</f>
        <v>419</v>
      </c>
      <c r="AF43" s="69" t="n">
        <f aca="false">ROUND(MAX(0.6*TblExplore[[#This Row],[Land-DB]]^1.299,850)*(1+ tech_2_6*Techs!AC43 + tech_2_9*Techs!AF43 + tech_3_7*Techs!AN43 + Overview!$I$32),0)</f>
        <v>1529</v>
      </c>
      <c r="AG4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3" s="69" t="n">
        <f aca="false">SUM(TblExplore[[#This Row],[Plains Explore]:[Water Explore]])*TblExplore[[#This Row],[Plat/acre]]</f>
        <v>19877</v>
      </c>
      <c r="AI43" s="69" t="n">
        <f aca="false">SUM(TblExplore[[#This Row],[Plains Explore]:[Water Explore]])*TblExplore[[#This Row],[Draftees/acre]]</f>
        <v>65</v>
      </c>
      <c r="AJ43" s="151" t="n">
        <f aca="false">_xlfn.FLOOR.MATH(MIN(TblExplore[[#This Row],[Platinum]]/TblExplore[[#This Row],[Plat/acre]],TblExplore[[#This Row],[Draftees]]/TblExplore[[#This Row],[Draftees/acre]]))</f>
        <v>0</v>
      </c>
    </row>
    <row r="44" customFormat="false" ht="12.75" hidden="false" customHeight="false" outlineLevel="0" collapsed="false">
      <c r="A44" s="170" t="n">
        <f aca="false">TblRezone[[#This Row],[Hour]]</f>
        <v>41</v>
      </c>
      <c r="B44" s="181" t="n">
        <f aca="false">TblConstr[[#This Row],[Land]]</f>
        <v>501</v>
      </c>
      <c r="C44" s="245"/>
      <c r="D44" s="246" t="n">
        <f aca="false">TblConstr[[#This Row],[Plain]]</f>
        <v>0</v>
      </c>
      <c r="E44" s="193" t="n">
        <f aca="false">TblConstr[[#This Row],[Forest]]</f>
        <v>0</v>
      </c>
      <c r="F44" s="200" t="n">
        <f aca="false">TblConstr[[#This Row],[Mountain]]</f>
        <v>0</v>
      </c>
      <c r="G44" s="201" t="n">
        <f aca="false">TblConstr[[#This Row],[Hill]]</f>
        <v>0</v>
      </c>
      <c r="H44" s="202" t="n">
        <f aca="false">TblConstr[[#This Row],[Swamp]]</f>
        <v>0</v>
      </c>
      <c r="I44" s="197" t="n">
        <f aca="false">TblConstr[[#This Row],[Cavern]]</f>
        <v>0</v>
      </c>
      <c r="J44" s="198" t="n">
        <f aca="false">TblConstr[[#This Row],[Water]]</f>
        <v>0</v>
      </c>
      <c r="K44" s="4"/>
      <c r="L44" s="4"/>
      <c r="M44" s="4"/>
      <c r="N44" s="247" t="n">
        <f aca="false">TblMili[[#This Row],[Smithies]]</f>
        <v>0</v>
      </c>
      <c r="O44" s="247" t="n">
        <f aca="false">TblPop[[#This Row],[Employment]]</f>
        <v>1</v>
      </c>
      <c r="P44" s="247" t="n">
        <f aca="false">TblImps[[#This Row],[Population]]</f>
        <v>0.977515614156836</v>
      </c>
      <c r="Q44" s="181" t="n">
        <f aca="false">TblExplore[[#This Row],[Land]]</f>
        <v>501</v>
      </c>
      <c r="R44" s="170" t="n">
        <f aca="false">TblExplore[[#This Row],[Hour]]</f>
        <v>41</v>
      </c>
      <c r="S44" s="248"/>
      <c r="T44" s="182"/>
      <c r="U44" s="182"/>
      <c r="V44" s="182"/>
      <c r="W44" s="182" t="n">
        <v>11</v>
      </c>
      <c r="X44" s="182"/>
      <c r="Y44" s="182"/>
      <c r="Z44" s="182"/>
      <c r="AA44" s="153" t="n">
        <f aca="false">TblImps[[#This Row],[Real time]]</f>
        <v>45431.4166666667</v>
      </c>
      <c r="AB44" s="69" t="n">
        <f aca="false">TblMili[[#This Row],[Draftees]]</f>
        <v>3</v>
      </c>
      <c r="AC44" s="69" t="n">
        <f aca="false">TblProd[[#This Row],[Platinum]]</f>
        <v>54134</v>
      </c>
      <c r="AD44" s="245"/>
      <c r="AE44" s="151" t="n">
        <f aca="false">TblExplore[[#This Row],[Land]]-TblExplore[[#This Row],[Land Bonus]]*20</f>
        <v>501</v>
      </c>
      <c r="AF44" s="69" t="n">
        <f aca="false">ROUND(MAX(0.6*TblExplore[[#This Row],[Land-DB]]^1.299,850)*(1+ tech_2_6*Techs!AC44 + tech_2_9*Techs!AF44 + tech_3_7*Techs!AN44 + Overview!$I$32),0)</f>
        <v>1929</v>
      </c>
      <c r="AG4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4" s="69" t="n">
        <f aca="false">SUM(TblExplore[[#This Row],[Plains Explore]:[Water Explore]])*TblExplore[[#This Row],[Plat/acre]]</f>
        <v>21219</v>
      </c>
      <c r="AI44" s="69" t="n">
        <f aca="false">SUM(TblExplore[[#This Row],[Plains Explore]:[Water Explore]])*TblExplore[[#This Row],[Draftees/acre]]</f>
        <v>66</v>
      </c>
      <c r="AJ44" s="151" t="n">
        <f aca="false">_xlfn.FLOOR.MATH(MIN(TblExplore[[#This Row],[Platinum]]/TblExplore[[#This Row],[Plat/acre]],TblExplore[[#This Row],[Draftees]]/TblExplore[[#This Row],[Draftees/acre]]))</f>
        <v>0</v>
      </c>
    </row>
    <row r="45" customFormat="false" ht="12.75" hidden="false" customHeight="false" outlineLevel="0" collapsed="false">
      <c r="A45" s="170" t="n">
        <f aca="false">TblRezone[[#This Row],[Hour]]</f>
        <v>42</v>
      </c>
      <c r="B45" s="181" t="n">
        <f aca="false">TblConstr[[#This Row],[Land]]</f>
        <v>510</v>
      </c>
      <c r="C45" s="245"/>
      <c r="D45" s="246" t="n">
        <f aca="false">TblConstr[[#This Row],[Plain]]</f>
        <v>0</v>
      </c>
      <c r="E45" s="193" t="n">
        <f aca="false">TblConstr[[#This Row],[Forest]]</f>
        <v>0</v>
      </c>
      <c r="F45" s="200" t="n">
        <f aca="false">TblConstr[[#This Row],[Mountain]]</f>
        <v>0</v>
      </c>
      <c r="G45" s="201" t="n">
        <f aca="false">TblConstr[[#This Row],[Hill]]</f>
        <v>0</v>
      </c>
      <c r="H45" s="202" t="n">
        <f aca="false">TblConstr[[#This Row],[Swamp]]</f>
        <v>0</v>
      </c>
      <c r="I45" s="197" t="n">
        <f aca="false">TblConstr[[#This Row],[Cavern]]</f>
        <v>0</v>
      </c>
      <c r="J45" s="198" t="n">
        <f aca="false">TblConstr[[#This Row],[Water]]</f>
        <v>0</v>
      </c>
      <c r="K45" s="4"/>
      <c r="L45" s="4"/>
      <c r="M45" s="4"/>
      <c r="N45" s="247" t="n">
        <f aca="false">TblMili[[#This Row],[Smithies]]</f>
        <v>0</v>
      </c>
      <c r="O45" s="247" t="n">
        <f aca="false">TblPop[[#This Row],[Employment]]</f>
        <v>1</v>
      </c>
      <c r="P45" s="247" t="n">
        <f aca="false">TblImps[[#This Row],[Population]]</f>
        <v>0.909537856440511</v>
      </c>
      <c r="Q45" s="181" t="n">
        <f aca="false">TblExplore[[#This Row],[Land]]</f>
        <v>510</v>
      </c>
      <c r="R45" s="170" t="n">
        <f aca="false">TblExplore[[#This Row],[Hour]]</f>
        <v>42</v>
      </c>
      <c r="S45" s="248"/>
      <c r="T45" s="182"/>
      <c r="U45" s="182"/>
      <c r="V45" s="182"/>
      <c r="W45" s="182" t="n">
        <v>12</v>
      </c>
      <c r="X45" s="182"/>
      <c r="Y45" s="182"/>
      <c r="Z45" s="182"/>
      <c r="AA45" s="153" t="n">
        <f aca="false">TblImps[[#This Row],[Real time]]</f>
        <v>45431.4583333333</v>
      </c>
      <c r="AB45" s="69" t="n">
        <f aca="false">TblMili[[#This Row],[Draftees]]</f>
        <v>1</v>
      </c>
      <c r="AC45" s="69" t="n">
        <f aca="false">TblProd[[#This Row],[Platinum]]</f>
        <v>60267</v>
      </c>
      <c r="AD45" s="245"/>
      <c r="AE45" s="151" t="n">
        <f aca="false">TblExplore[[#This Row],[Land]]-TblExplore[[#This Row],[Land Bonus]]*20</f>
        <v>510</v>
      </c>
      <c r="AF45" s="69" t="n">
        <f aca="false">ROUND(MAX(0.6*TblExplore[[#This Row],[Land-DB]]^1.299,850)*(1+ tech_2_6*Techs!AC45 + tech_2_9*Techs!AF45 + tech_3_7*Techs!AN45 + Overview!$I$32),0)</f>
        <v>1974</v>
      </c>
      <c r="AG4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5" s="69" t="n">
        <f aca="false">SUM(TblExplore[[#This Row],[Plains Explore]:[Water Explore]])*TblExplore[[#This Row],[Plat/acre]]</f>
        <v>23688</v>
      </c>
      <c r="AI45" s="69" t="n">
        <f aca="false">SUM(TblExplore[[#This Row],[Plains Explore]:[Water Explore]])*TblExplore[[#This Row],[Draftees/acre]]</f>
        <v>72</v>
      </c>
      <c r="AJ45" s="151" t="n">
        <f aca="false">_xlfn.FLOOR.MATH(MIN(TblExplore[[#This Row],[Platinum]]/TblExplore[[#This Row],[Plat/acre]],TblExplore[[#This Row],[Draftees]]/TblExplore[[#This Row],[Draftees/acre]]))</f>
        <v>0</v>
      </c>
    </row>
    <row r="46" customFormat="false" ht="12.75" hidden="false" customHeight="false" outlineLevel="0" collapsed="false">
      <c r="A46" s="170" t="n">
        <f aca="false">TblRezone[[#This Row],[Hour]]</f>
        <v>43</v>
      </c>
      <c r="B46" s="181" t="n">
        <f aca="false">TblConstr[[#This Row],[Land]]</f>
        <v>520</v>
      </c>
      <c r="C46" s="245"/>
      <c r="D46" s="246" t="n">
        <f aca="false">TblConstr[[#This Row],[Plain]]</f>
        <v>0</v>
      </c>
      <c r="E46" s="193" t="n">
        <f aca="false">TblConstr[[#This Row],[Forest]]</f>
        <v>0</v>
      </c>
      <c r="F46" s="200" t="n">
        <f aca="false">TblConstr[[#This Row],[Mountain]]</f>
        <v>0</v>
      </c>
      <c r="G46" s="201" t="n">
        <f aca="false">TblConstr[[#This Row],[Hill]]</f>
        <v>0</v>
      </c>
      <c r="H46" s="202" t="n">
        <f aca="false">TblConstr[[#This Row],[Swamp]]</f>
        <v>0</v>
      </c>
      <c r="I46" s="197" t="n">
        <f aca="false">TblConstr[[#This Row],[Cavern]]</f>
        <v>0</v>
      </c>
      <c r="J46" s="198" t="n">
        <f aca="false">TblConstr[[#This Row],[Water]]</f>
        <v>0</v>
      </c>
      <c r="K46" s="4"/>
      <c r="L46" s="4"/>
      <c r="M46" s="4"/>
      <c r="N46" s="247" t="n">
        <f aca="false">TblMili[[#This Row],[Smithies]]</f>
        <v>0</v>
      </c>
      <c r="O46" s="247" t="n">
        <f aca="false">TblPop[[#This Row],[Employment]]</f>
        <v>1</v>
      </c>
      <c r="P46" s="247" t="n">
        <f aca="false">TblImps[[#This Row],[Population]]</f>
        <v>0.941353927838784</v>
      </c>
      <c r="Q46" s="181" t="n">
        <f aca="false">TblExplore[[#This Row],[Land]]</f>
        <v>520</v>
      </c>
      <c r="R46" s="170" t="n">
        <f aca="false">TblExplore[[#This Row],[Hour]]</f>
        <v>43</v>
      </c>
      <c r="S46" s="248"/>
      <c r="T46" s="182"/>
      <c r="U46" s="182"/>
      <c r="V46" s="182"/>
      <c r="W46" s="182" t="n">
        <v>4</v>
      </c>
      <c r="X46" s="182" t="n">
        <v>4</v>
      </c>
      <c r="Y46" s="182"/>
      <c r="Z46" s="182"/>
      <c r="AA46" s="153" t="n">
        <f aca="false">TblImps[[#This Row],[Real time]]</f>
        <v>45431.5</v>
      </c>
      <c r="AB46" s="69" t="n">
        <f aca="false">TblMili[[#This Row],[Draftees]]</f>
        <v>27</v>
      </c>
      <c r="AC46" s="69" t="n">
        <f aca="false">TblProd[[#This Row],[Platinum]]</f>
        <v>75080</v>
      </c>
      <c r="AD46" s="245"/>
      <c r="AE46" s="151" t="n">
        <f aca="false">TblExplore[[#This Row],[Land]]-TblExplore[[#This Row],[Land Bonus]]*20</f>
        <v>520</v>
      </c>
      <c r="AF46" s="69" t="n">
        <f aca="false">ROUND(MAX(0.6*TblExplore[[#This Row],[Land-DB]]^1.299,850)*(1+ tech_2_6*Techs!AC46 + tech_2_9*Techs!AF46 + tech_3_7*Techs!AN46 + Overview!$I$32),0)</f>
        <v>2024</v>
      </c>
      <c r="AG4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6" s="69" t="n">
        <f aca="false">SUM(TblExplore[[#This Row],[Plains Explore]:[Water Explore]])*TblExplore[[#This Row],[Plat/acre]]</f>
        <v>16192</v>
      </c>
      <c r="AI46" s="69" t="n">
        <f aca="false">SUM(TblExplore[[#This Row],[Plains Explore]:[Water Explore]])*TblExplore[[#This Row],[Draftees/acre]]</f>
        <v>48</v>
      </c>
      <c r="AJ46" s="151" t="n">
        <f aca="false">_xlfn.FLOOR.MATH(MIN(TblExplore[[#This Row],[Platinum]]/TblExplore[[#This Row],[Plat/acre]],TblExplore[[#This Row],[Draftees]]/TblExplore[[#This Row],[Draftees/acre]]))</f>
        <v>4</v>
      </c>
    </row>
    <row r="47" customFormat="false" ht="12.75" hidden="false" customHeight="false" outlineLevel="0" collapsed="false">
      <c r="A47" s="170" t="n">
        <f aca="false">TblRezone[[#This Row],[Hour]]</f>
        <v>44</v>
      </c>
      <c r="B47" s="181" t="n">
        <f aca="false">TblConstr[[#This Row],[Land]]</f>
        <v>530</v>
      </c>
      <c r="C47" s="245"/>
      <c r="D47" s="246" t="n">
        <f aca="false">TblConstr[[#This Row],[Plain]]</f>
        <v>0</v>
      </c>
      <c r="E47" s="193" t="n">
        <f aca="false">TblConstr[[#This Row],[Forest]]</f>
        <v>0</v>
      </c>
      <c r="F47" s="200" t="n">
        <f aca="false">TblConstr[[#This Row],[Mountain]]</f>
        <v>0</v>
      </c>
      <c r="G47" s="201" t="n">
        <f aca="false">TblConstr[[#This Row],[Hill]]</f>
        <v>0</v>
      </c>
      <c r="H47" s="202" t="n">
        <f aca="false">TblConstr[[#This Row],[Swamp]]</f>
        <v>0</v>
      </c>
      <c r="I47" s="197" t="n">
        <f aca="false">TblConstr[[#This Row],[Cavern]]</f>
        <v>0</v>
      </c>
      <c r="J47" s="198" t="n">
        <f aca="false">TblConstr[[#This Row],[Water]]</f>
        <v>0</v>
      </c>
      <c r="K47" s="4"/>
      <c r="L47" s="4"/>
      <c r="M47" s="4"/>
      <c r="N47" s="247" t="n">
        <f aca="false">TblMili[[#This Row],[Smithies]]</f>
        <v>0</v>
      </c>
      <c r="O47" s="247" t="n">
        <f aca="false">TblPop[[#This Row],[Employment]]</f>
        <v>1</v>
      </c>
      <c r="P47" s="247" t="n">
        <f aca="false">TblImps[[#This Row],[Population]]</f>
        <v>0.978814060835602</v>
      </c>
      <c r="Q47" s="181" t="n">
        <f aca="false">TblExplore[[#This Row],[Land]]</f>
        <v>530</v>
      </c>
      <c r="R47" s="170" t="n">
        <f aca="false">TblExplore[[#This Row],[Hour]]</f>
        <v>44</v>
      </c>
      <c r="S47" s="248"/>
      <c r="T47" s="182"/>
      <c r="U47" s="182"/>
      <c r="V47" s="182"/>
      <c r="W47" s="182"/>
      <c r="X47" s="182"/>
      <c r="Y47" s="182"/>
      <c r="Z47" s="182"/>
      <c r="AA47" s="153" t="n">
        <f aca="false">TblImps[[#This Row],[Real time]]</f>
        <v>45431.5416666667</v>
      </c>
      <c r="AB47" s="69" t="n">
        <f aca="false">TblMili[[#This Row],[Draftees]]</f>
        <v>105</v>
      </c>
      <c r="AC47" s="69" t="n">
        <f aca="false">TblProd[[#This Row],[Platinum]]</f>
        <v>107787</v>
      </c>
      <c r="AD47" s="245"/>
      <c r="AE47" s="151" t="n">
        <f aca="false">TblExplore[[#This Row],[Land]]-TblExplore[[#This Row],[Land Bonus]]*20</f>
        <v>530</v>
      </c>
      <c r="AF47" s="69" t="n">
        <f aca="false">ROUND(MAX(0.6*TblExplore[[#This Row],[Land-DB]]^1.299,850)*(1+ tech_2_6*Techs!AC47 + tech_2_9*Techs!AF47 + tech_3_7*Techs!AN47 + Overview!$I$32),0)</f>
        <v>2075</v>
      </c>
      <c r="AG4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7" s="69" t="n">
        <f aca="false">SUM(TblExplore[[#This Row],[Plains Explore]:[Water Explore]])*TblExplore[[#This Row],[Plat/acre]]</f>
        <v>0</v>
      </c>
      <c r="AI47" s="69" t="n">
        <f aca="false">SUM(TblExplore[[#This Row],[Plains Explore]:[Water Explore]])*TblExplore[[#This Row],[Draftees/acre]]</f>
        <v>0</v>
      </c>
      <c r="AJ47" s="151" t="n">
        <f aca="false">_xlfn.FLOOR.MATH(MIN(TblExplore[[#This Row],[Platinum]]/TblExplore[[#This Row],[Plat/acre]],TblExplore[[#This Row],[Draftees]]/TblExplore[[#This Row],[Draftees/acre]]))</f>
        <v>17</v>
      </c>
    </row>
    <row r="48" customFormat="false" ht="12.75" hidden="false" customHeight="false" outlineLevel="0" collapsed="false">
      <c r="A48" s="170" t="n">
        <f aca="false">TblRezone[[#This Row],[Hour]]</f>
        <v>45</v>
      </c>
      <c r="B48" s="181" t="n">
        <f aca="false">TblConstr[[#This Row],[Land]]</f>
        <v>540</v>
      </c>
      <c r="C48" s="245"/>
      <c r="D48" s="246" t="n">
        <f aca="false">TblConstr[[#This Row],[Plain]]</f>
        <v>0</v>
      </c>
      <c r="E48" s="193" t="n">
        <f aca="false">TblConstr[[#This Row],[Forest]]</f>
        <v>0</v>
      </c>
      <c r="F48" s="200" t="n">
        <f aca="false">TblConstr[[#This Row],[Mountain]]</f>
        <v>0</v>
      </c>
      <c r="G48" s="201" t="n">
        <f aca="false">TblConstr[[#This Row],[Hill]]</f>
        <v>0</v>
      </c>
      <c r="H48" s="202" t="n">
        <f aca="false">TblConstr[[#This Row],[Swamp]]</f>
        <v>0</v>
      </c>
      <c r="I48" s="197" t="n">
        <f aca="false">TblConstr[[#This Row],[Cavern]]</f>
        <v>0</v>
      </c>
      <c r="J48" s="198" t="n">
        <f aca="false">TblConstr[[#This Row],[Water]]</f>
        <v>0</v>
      </c>
      <c r="K48" s="4"/>
      <c r="L48" s="4"/>
      <c r="M48" s="4"/>
      <c r="N48" s="247" t="n">
        <f aca="false">TblMili[[#This Row],[Smithies]]</f>
        <v>0</v>
      </c>
      <c r="O48" s="247" t="n">
        <f aca="false">TblPop[[#This Row],[Employment]]</f>
        <v>0.999643832363766</v>
      </c>
      <c r="P48" s="247" t="n">
        <f aca="false">TblImps[[#This Row],[Population]]</f>
        <v>1</v>
      </c>
      <c r="Q48" s="181" t="n">
        <f aca="false">TblExplore[[#This Row],[Land]]</f>
        <v>540</v>
      </c>
      <c r="R48" s="170" t="n">
        <f aca="false">TblExplore[[#This Row],[Hour]]</f>
        <v>45</v>
      </c>
      <c r="S48" s="248"/>
      <c r="T48" s="182"/>
      <c r="U48" s="182"/>
      <c r="V48" s="182"/>
      <c r="W48" s="182"/>
      <c r="X48" s="182"/>
      <c r="Y48" s="182"/>
      <c r="Z48" s="182"/>
      <c r="AA48" s="153" t="n">
        <f aca="false">TblImps[[#This Row],[Real time]]</f>
        <v>45431.5833333333</v>
      </c>
      <c r="AB48" s="69" t="n">
        <f aca="false">TblMili[[#This Row],[Draftees]]</f>
        <v>187</v>
      </c>
      <c r="AC48" s="69" t="n">
        <f aca="false">TblProd[[#This Row],[Platinum]]</f>
        <v>141605</v>
      </c>
      <c r="AD48" s="245"/>
      <c r="AE48" s="151" t="n">
        <f aca="false">TblExplore[[#This Row],[Land]]-TblExplore[[#This Row],[Land Bonus]]*20</f>
        <v>540</v>
      </c>
      <c r="AF48" s="69" t="n">
        <f aca="false">ROUND(MAX(0.6*TblExplore[[#This Row],[Land-DB]]^1.299,850)*(1+ tech_2_6*Techs!AC48 + tech_2_9*Techs!AF48 + tech_3_7*Techs!AN48 + Overview!$I$32),0)</f>
        <v>2126</v>
      </c>
      <c r="AG4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8" s="69" t="n">
        <f aca="false">SUM(TblExplore[[#This Row],[Plains Explore]:[Water Explore]])*TblExplore[[#This Row],[Plat/acre]]</f>
        <v>0</v>
      </c>
      <c r="AI48" s="69" t="n">
        <f aca="false">SUM(TblExplore[[#This Row],[Plains Explore]:[Water Explore]])*TblExplore[[#This Row],[Draftees/acre]]</f>
        <v>0</v>
      </c>
      <c r="AJ48" s="151" t="n">
        <f aca="false">_xlfn.FLOOR.MATH(MIN(TblExplore[[#This Row],[Platinum]]/TblExplore[[#This Row],[Plat/acre]],TblExplore[[#This Row],[Draftees]]/TblExplore[[#This Row],[Draftees/acre]]))</f>
        <v>31</v>
      </c>
    </row>
    <row r="49" customFormat="false" ht="12.75" hidden="false" customHeight="false" outlineLevel="0" collapsed="false">
      <c r="A49" s="170" t="n">
        <f aca="false">TblRezone[[#This Row],[Hour]]</f>
        <v>46</v>
      </c>
      <c r="B49" s="181" t="n">
        <f aca="false">TblConstr[[#This Row],[Land]]</f>
        <v>551</v>
      </c>
      <c r="C49" s="245"/>
      <c r="D49" s="246" t="n">
        <f aca="false">TblConstr[[#This Row],[Plain]]</f>
        <v>0</v>
      </c>
      <c r="E49" s="193" t="n">
        <f aca="false">TblConstr[[#This Row],[Forest]]</f>
        <v>0</v>
      </c>
      <c r="F49" s="200" t="n">
        <f aca="false">TblConstr[[#This Row],[Mountain]]</f>
        <v>0</v>
      </c>
      <c r="G49" s="201" t="n">
        <f aca="false">TblConstr[[#This Row],[Hill]]</f>
        <v>0</v>
      </c>
      <c r="H49" s="202" t="n">
        <f aca="false">TblConstr[[#This Row],[Swamp]]</f>
        <v>0</v>
      </c>
      <c r="I49" s="197" t="n">
        <f aca="false">TblConstr[[#This Row],[Cavern]]</f>
        <v>0</v>
      </c>
      <c r="J49" s="198" t="n">
        <f aca="false">TblConstr[[#This Row],[Water]]</f>
        <v>0</v>
      </c>
      <c r="K49" s="4"/>
      <c r="L49" s="4"/>
      <c r="M49" s="4"/>
      <c r="N49" s="247" t="n">
        <f aca="false">TblMili[[#This Row],[Smithies]]</f>
        <v>0</v>
      </c>
      <c r="O49" s="247" t="n">
        <f aca="false">TblPop[[#This Row],[Employment]]</f>
        <v>0.995179873030802</v>
      </c>
      <c r="P49" s="247" t="n">
        <f aca="false">TblImps[[#This Row],[Population]]</f>
        <v>1</v>
      </c>
      <c r="Q49" s="181" t="n">
        <f aca="false">TblExplore[[#This Row],[Land]]</f>
        <v>551</v>
      </c>
      <c r="R49" s="170" t="n">
        <f aca="false">TblExplore[[#This Row],[Hour]]</f>
        <v>46</v>
      </c>
      <c r="S49" s="248"/>
      <c r="T49" s="182"/>
      <c r="U49" s="182"/>
      <c r="V49" s="182"/>
      <c r="W49" s="182"/>
      <c r="X49" s="182"/>
      <c r="Y49" s="182"/>
      <c r="Z49" s="182"/>
      <c r="AA49" s="153" t="n">
        <f aca="false">TblImps[[#This Row],[Real time]]</f>
        <v>45431.625</v>
      </c>
      <c r="AB49" s="69" t="n">
        <f aca="false">TblMili[[#This Row],[Draftees]]</f>
        <v>271</v>
      </c>
      <c r="AC49" s="69" t="n">
        <f aca="false">TblProd[[#This Row],[Platinum]]</f>
        <v>175641</v>
      </c>
      <c r="AD49" s="245"/>
      <c r="AE49" s="151" t="n">
        <f aca="false">TblExplore[[#This Row],[Land]]-TblExplore[[#This Row],[Land Bonus]]*20</f>
        <v>551</v>
      </c>
      <c r="AF49" s="69" t="n">
        <f aca="false">ROUND(MAX(0.6*TblExplore[[#This Row],[Land-DB]]^1.299,850)*(1+ tech_2_6*Techs!AC49 + tech_2_9*Techs!AF49 + tech_3_7*Techs!AN49 + Overview!$I$32),0)</f>
        <v>2182</v>
      </c>
      <c r="AG4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9" s="69" t="n">
        <f aca="false">SUM(TblExplore[[#This Row],[Plains Explore]:[Water Explore]])*TblExplore[[#This Row],[Plat/acre]]</f>
        <v>0</v>
      </c>
      <c r="AI49" s="69" t="n">
        <f aca="false">SUM(TblExplore[[#This Row],[Plains Explore]:[Water Explore]])*TblExplore[[#This Row],[Draftees/acre]]</f>
        <v>0</v>
      </c>
      <c r="AJ49" s="151" t="n">
        <f aca="false">_xlfn.FLOOR.MATH(MIN(TblExplore[[#This Row],[Platinum]]/TblExplore[[#This Row],[Plat/acre]],TblExplore[[#This Row],[Draftees]]/TblExplore[[#This Row],[Draftees/acre]]))</f>
        <v>45</v>
      </c>
    </row>
    <row r="50" customFormat="false" ht="12.75" hidden="false" customHeight="false" outlineLevel="0" collapsed="false">
      <c r="A50" s="170" t="n">
        <f aca="false">TblRezone[[#This Row],[Hour]]</f>
        <v>47</v>
      </c>
      <c r="B50" s="181" t="n">
        <f aca="false">TblConstr[[#This Row],[Land]]</f>
        <v>563</v>
      </c>
      <c r="C50" s="245"/>
      <c r="D50" s="246" t="n">
        <f aca="false">TblConstr[[#This Row],[Plain]]</f>
        <v>0</v>
      </c>
      <c r="E50" s="193" t="n">
        <f aca="false">TblConstr[[#This Row],[Forest]]</f>
        <v>0</v>
      </c>
      <c r="F50" s="200" t="n">
        <f aca="false">TblConstr[[#This Row],[Mountain]]</f>
        <v>0</v>
      </c>
      <c r="G50" s="201" t="n">
        <f aca="false">TblConstr[[#This Row],[Hill]]</f>
        <v>0</v>
      </c>
      <c r="H50" s="202" t="n">
        <f aca="false">TblConstr[[#This Row],[Swamp]]</f>
        <v>0</v>
      </c>
      <c r="I50" s="197" t="n">
        <f aca="false">TblConstr[[#This Row],[Cavern]]</f>
        <v>0</v>
      </c>
      <c r="J50" s="198" t="n">
        <f aca="false">TblConstr[[#This Row],[Water]]</f>
        <v>0</v>
      </c>
      <c r="K50" s="4"/>
      <c r="L50" s="4"/>
      <c r="M50" s="4"/>
      <c r="N50" s="247" t="n">
        <f aca="false">TblMili[[#This Row],[Smithies]]</f>
        <v>0</v>
      </c>
      <c r="O50" s="247" t="n">
        <f aca="false">TblPop[[#This Row],[Employment]]</f>
        <v>1</v>
      </c>
      <c r="P50" s="247" t="n">
        <f aca="false">TblImps[[#This Row],[Population]]</f>
        <v>1</v>
      </c>
      <c r="Q50" s="181" t="n">
        <f aca="false">TblExplore[[#This Row],[Land]]</f>
        <v>563</v>
      </c>
      <c r="R50" s="170" t="n">
        <f aca="false">TblExplore[[#This Row],[Hour]]</f>
        <v>47</v>
      </c>
      <c r="S50" s="248"/>
      <c r="T50" s="182"/>
      <c r="U50" s="182"/>
      <c r="V50" s="182"/>
      <c r="W50" s="182"/>
      <c r="X50" s="182"/>
      <c r="Y50" s="182"/>
      <c r="Z50" s="182"/>
      <c r="AA50" s="153" t="n">
        <f aca="false">TblImps[[#This Row],[Real time]]</f>
        <v>45431.6666666667</v>
      </c>
      <c r="AB50" s="69" t="n">
        <f aca="false">TblMili[[#This Row],[Draftees]]</f>
        <v>356</v>
      </c>
      <c r="AC50" s="69" t="n">
        <f aca="false">TblProd[[#This Row],[Platinum]]</f>
        <v>209248</v>
      </c>
      <c r="AD50" s="245"/>
      <c r="AE50" s="151" t="n">
        <f aca="false">TblExplore[[#This Row],[Land]]-TblExplore[[#This Row],[Land Bonus]]*20</f>
        <v>563</v>
      </c>
      <c r="AF50" s="69" t="n">
        <f aca="false">ROUND(MAX(0.6*TblExplore[[#This Row],[Land-DB]]^1.299,850)*(1+ tech_2_6*Techs!AC50 + tech_2_9*Techs!AF50 + tech_3_7*Techs!AN50 + Overview!$I$32),0)</f>
        <v>2244</v>
      </c>
      <c r="AG5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0" s="69" t="n">
        <f aca="false">SUM(TblExplore[[#This Row],[Plains Explore]:[Water Explore]])*TblExplore[[#This Row],[Plat/acre]]</f>
        <v>0</v>
      </c>
      <c r="AI50" s="69" t="n">
        <f aca="false">SUM(TblExplore[[#This Row],[Plains Explore]:[Water Explore]])*TblExplore[[#This Row],[Draftees/acre]]</f>
        <v>0</v>
      </c>
      <c r="AJ50" s="151" t="n">
        <f aca="false">_xlfn.FLOOR.MATH(MIN(TblExplore[[#This Row],[Platinum]]/TblExplore[[#This Row],[Plat/acre]],TblExplore[[#This Row],[Draftees]]/TblExplore[[#This Row],[Draftees/acre]]))</f>
        <v>59</v>
      </c>
    </row>
    <row r="51" customFormat="false" ht="12.75" hidden="false" customHeight="false" outlineLevel="0" collapsed="false">
      <c r="A51" s="170" t="n">
        <f aca="false">TblRezone[[#This Row],[Hour]]</f>
        <v>48</v>
      </c>
      <c r="B51" s="181" t="n">
        <f aca="false">TblConstr[[#This Row],[Land]]</f>
        <v>596</v>
      </c>
      <c r="C51" s="245"/>
      <c r="D51" s="246" t="n">
        <f aca="false">TblConstr[[#This Row],[Plain]]</f>
        <v>0</v>
      </c>
      <c r="E51" s="193" t="n">
        <f aca="false">TblConstr[[#This Row],[Forest]]</f>
        <v>0</v>
      </c>
      <c r="F51" s="200" t="n">
        <f aca="false">TblConstr[[#This Row],[Mountain]]</f>
        <v>0</v>
      </c>
      <c r="G51" s="201" t="n">
        <f aca="false">TblConstr[[#This Row],[Hill]]</f>
        <v>0</v>
      </c>
      <c r="H51" s="202" t="n">
        <f aca="false">TblConstr[[#This Row],[Swamp]]</f>
        <v>0</v>
      </c>
      <c r="I51" s="197" t="n">
        <f aca="false">TblConstr[[#This Row],[Cavern]]</f>
        <v>0</v>
      </c>
      <c r="J51" s="198" t="n">
        <f aca="false">TblConstr[[#This Row],[Water]]</f>
        <v>0</v>
      </c>
      <c r="K51" s="4"/>
      <c r="L51" s="4"/>
      <c r="M51" s="4"/>
      <c r="N51" s="247" t="n">
        <f aca="false">TblMili[[#This Row],[Smithies]]</f>
        <v>0</v>
      </c>
      <c r="O51" s="247" t="n">
        <f aca="false">TblPop[[#This Row],[Employment]]</f>
        <v>0.999770563267179</v>
      </c>
      <c r="P51" s="247" t="n">
        <f aca="false">TblImps[[#This Row],[Population]]</f>
        <v>1</v>
      </c>
      <c r="Q51" s="181" t="n">
        <f aca="false">TblExplore[[#This Row],[Land]]</f>
        <v>596</v>
      </c>
      <c r="R51" s="170" t="n">
        <f aca="false">TblExplore[[#This Row],[Hour]]</f>
        <v>48</v>
      </c>
      <c r="S51" s="248" t="n">
        <v>1</v>
      </c>
      <c r="T51" s="182"/>
      <c r="U51" s="182"/>
      <c r="V51" s="182"/>
      <c r="W51" s="182"/>
      <c r="X51" s="182"/>
      <c r="Y51" s="182"/>
      <c r="Z51" s="182"/>
      <c r="AA51" s="153" t="n">
        <f aca="false">TblImps[[#This Row],[Real time]]</f>
        <v>45431.7083333333</v>
      </c>
      <c r="AB51" s="69" t="n">
        <f aca="false">TblMili[[#This Row],[Draftees]]</f>
        <v>442</v>
      </c>
      <c r="AC51" s="69" t="n">
        <f aca="false">TblProd[[#This Row],[Platinum]]</f>
        <v>267289</v>
      </c>
      <c r="AD51" s="245"/>
      <c r="AE51" s="151" t="n">
        <f aca="false">TblExplore[[#This Row],[Land]]-TblExplore[[#This Row],[Land Bonus]]*20</f>
        <v>576</v>
      </c>
      <c r="AF51" s="69" t="n">
        <f aca="false">ROUND(MAX(0.6*TblExplore[[#This Row],[Land-DB]]^1.299,850)*(1+ tech_2_6*Techs!AC51 + tech_2_9*Techs!AF51 + tech_3_7*Techs!AN51 + Overview!$I$32),0)</f>
        <v>2312</v>
      </c>
      <c r="AG5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1" s="69" t="n">
        <f aca="false">SUM(TblExplore[[#This Row],[Plains Explore]:[Water Explore]])*TblExplore[[#This Row],[Plat/acre]]</f>
        <v>0</v>
      </c>
      <c r="AI51" s="69" t="n">
        <f aca="false">SUM(TblExplore[[#This Row],[Plains Explore]:[Water Explore]])*TblExplore[[#This Row],[Draftees/acre]]</f>
        <v>0</v>
      </c>
      <c r="AJ51" s="151" t="n">
        <f aca="false">_xlfn.FLOOR.MATH(MIN(TblExplore[[#This Row],[Platinum]]/TblExplore[[#This Row],[Plat/acre]],TblExplore[[#This Row],[Draftees]]/TblExplore[[#This Row],[Draftees/acre]]))</f>
        <v>73</v>
      </c>
    </row>
    <row r="52" customFormat="false" ht="12.75" hidden="false" customHeight="false" outlineLevel="0" collapsed="false">
      <c r="A52" s="170" t="n">
        <f aca="false">TblRezone[[#This Row],[Hour]]</f>
        <v>49</v>
      </c>
      <c r="B52" s="181" t="n">
        <f aca="false">TblConstr[[#This Row],[Land]]</f>
        <v>629</v>
      </c>
      <c r="C52" s="245"/>
      <c r="D52" s="246" t="n">
        <f aca="false">TblConstr[[#This Row],[Plain]]</f>
        <v>0</v>
      </c>
      <c r="E52" s="193" t="n">
        <f aca="false">TblConstr[[#This Row],[Forest]]</f>
        <v>0</v>
      </c>
      <c r="F52" s="200" t="n">
        <f aca="false">TblConstr[[#This Row],[Mountain]]</f>
        <v>0</v>
      </c>
      <c r="G52" s="201" t="n">
        <f aca="false">TblConstr[[#This Row],[Hill]]</f>
        <v>0</v>
      </c>
      <c r="H52" s="202" t="n">
        <f aca="false">TblConstr[[#This Row],[Swamp]]</f>
        <v>0</v>
      </c>
      <c r="I52" s="197" t="n">
        <f aca="false">TblConstr[[#This Row],[Cavern]]</f>
        <v>0</v>
      </c>
      <c r="J52" s="198" t="n">
        <f aca="false">TblConstr[[#This Row],[Water]]</f>
        <v>0</v>
      </c>
      <c r="K52" s="4"/>
      <c r="L52" s="257"/>
      <c r="M52" s="258"/>
      <c r="N52" s="247" t="n">
        <f aca="false">TblMili[[#This Row],[Smithies]]</f>
        <v>0</v>
      </c>
      <c r="O52" s="247" t="n">
        <f aca="false">TblPop[[#This Row],[Employment]]</f>
        <v>0.95370978332239</v>
      </c>
      <c r="P52" s="247" t="n">
        <f aca="false">TblImps[[#This Row],[Population]]</f>
        <v>0.99742055303343</v>
      </c>
      <c r="Q52" s="181" t="n">
        <f aca="false">TblExplore[[#This Row],[Land]]</f>
        <v>629</v>
      </c>
      <c r="R52" s="170" t="n">
        <f aca="false">TblExplore[[#This Row],[Hour]]</f>
        <v>49</v>
      </c>
      <c r="S52" s="248" t="n">
        <v>1</v>
      </c>
      <c r="T52" s="182"/>
      <c r="U52" s="182"/>
      <c r="V52" s="182"/>
      <c r="W52" s="182"/>
      <c r="X52" s="182"/>
      <c r="Y52" s="182"/>
      <c r="Z52" s="182"/>
      <c r="AA52" s="153" t="n">
        <f aca="false">TblImps[[#This Row],[Real time]]</f>
        <v>45431.75</v>
      </c>
      <c r="AB52" s="69" t="n">
        <f aca="false">TblMili[[#This Row],[Draftees]]</f>
        <v>529</v>
      </c>
      <c r="AC52" s="69" t="n">
        <f aca="false">TblProd[[#This Row],[Platinum]]</f>
        <v>290264</v>
      </c>
      <c r="AD52" s="245"/>
      <c r="AE52" s="151" t="n">
        <f aca="false">TblExplore[[#This Row],[Land]]-TblExplore[[#This Row],[Land Bonus]]*20</f>
        <v>609</v>
      </c>
      <c r="AF52" s="69" t="n">
        <f aca="false">ROUND(MAX(0.6*TblExplore[[#This Row],[Land-DB]]^1.299,850)*(1+ tech_2_6*Techs!AC52 + tech_2_9*Techs!AF52 + tech_3_7*Techs!AN52 + Overview!$I$32),0)</f>
        <v>2485</v>
      </c>
      <c r="AG5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2" s="69" t="n">
        <f aca="false">SUM(TblExplore[[#This Row],[Plains Explore]:[Water Explore]])*TblExplore[[#This Row],[Plat/acre]]</f>
        <v>0</v>
      </c>
      <c r="AI52" s="69" t="n">
        <f aca="false">SUM(TblExplore[[#This Row],[Plains Explore]:[Water Explore]])*TblExplore[[#This Row],[Draftees/acre]]</f>
        <v>0</v>
      </c>
      <c r="AJ52" s="151" t="n">
        <f aca="false">_xlfn.FLOOR.MATH(MIN(TblExplore[[#This Row],[Platinum]]/TblExplore[[#This Row],[Plat/acre]],TblExplore[[#This Row],[Draftees]]/TblExplore[[#This Row],[Draftees/acre]]))</f>
        <v>88</v>
      </c>
    </row>
    <row r="53" customFormat="false" ht="12.75" hidden="false" customHeight="false" outlineLevel="0" collapsed="false">
      <c r="A53" s="170" t="n">
        <f aca="false">TblRezone[[#This Row],[Hour]]</f>
        <v>50</v>
      </c>
      <c r="B53" s="181" t="n">
        <f aca="false">TblConstr[[#This Row],[Land]]</f>
        <v>642</v>
      </c>
      <c r="C53" s="245"/>
      <c r="D53" s="246" t="n">
        <f aca="false">TblConstr[[#This Row],[Plain]]</f>
        <v>0</v>
      </c>
      <c r="E53" s="193" t="n">
        <f aca="false">TblConstr[[#This Row],[Forest]]</f>
        <v>0</v>
      </c>
      <c r="F53" s="200" t="n">
        <f aca="false">TblConstr[[#This Row],[Mountain]]</f>
        <v>0</v>
      </c>
      <c r="G53" s="201" t="n">
        <f aca="false">TblConstr[[#This Row],[Hill]]</f>
        <v>0</v>
      </c>
      <c r="H53" s="202" t="n">
        <f aca="false">TblConstr[[#This Row],[Swamp]]</f>
        <v>0</v>
      </c>
      <c r="I53" s="197" t="n">
        <f aca="false">TblConstr[[#This Row],[Cavern]]</f>
        <v>0</v>
      </c>
      <c r="J53" s="198" t="n">
        <f aca="false">TblConstr[[#This Row],[Water]]</f>
        <v>0</v>
      </c>
      <c r="K53" s="4"/>
      <c r="L53" s="259"/>
      <c r="M53" s="258"/>
      <c r="N53" s="247" t="n">
        <f aca="false">TblMili[[#This Row],[Smithies]]</f>
        <v>0</v>
      </c>
      <c r="O53" s="247" t="n">
        <f aca="false">TblPop[[#This Row],[Employment]]</f>
        <v>0.910372923848323</v>
      </c>
      <c r="P53" s="247" t="n">
        <f aca="false">TblImps[[#This Row],[Population]]</f>
        <v>0.996967918622848</v>
      </c>
      <c r="Q53" s="181" t="n">
        <f aca="false">TblExplore[[#This Row],[Land]]</f>
        <v>642</v>
      </c>
      <c r="R53" s="170" t="n">
        <f aca="false">TblExplore[[#This Row],[Hour]]</f>
        <v>50</v>
      </c>
      <c r="S53" s="248"/>
      <c r="T53" s="182"/>
      <c r="U53" s="182"/>
      <c r="V53" s="182"/>
      <c r="W53" s="182"/>
      <c r="X53" s="182"/>
      <c r="Y53" s="182"/>
      <c r="Z53" s="182"/>
      <c r="AA53" s="153" t="n">
        <f aca="false">TblImps[[#This Row],[Real time]]</f>
        <v>45431.7916666667</v>
      </c>
      <c r="AB53" s="69" t="n">
        <f aca="false">TblMili[[#This Row],[Draftees]]</f>
        <v>620</v>
      </c>
      <c r="AC53" s="69" t="n">
        <f aca="false">TblProd[[#This Row],[Platinum]]</f>
        <v>323598</v>
      </c>
      <c r="AD53" s="245"/>
      <c r="AE53" s="151" t="n">
        <f aca="false">TblExplore[[#This Row],[Land]]-TblExplore[[#This Row],[Land Bonus]]*20</f>
        <v>642</v>
      </c>
      <c r="AF53" s="69" t="n">
        <f aca="false">ROUND(MAX(0.6*TblExplore[[#This Row],[Land-DB]]^1.299,850)*(1+ tech_2_6*Techs!AC53 + tech_2_9*Techs!AF53 + tech_3_7*Techs!AN53 + Overview!$I$32),0)</f>
        <v>2662</v>
      </c>
      <c r="AG5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3" s="69" t="n">
        <f aca="false">SUM(TblExplore[[#This Row],[Plains Explore]:[Water Explore]])*TblExplore[[#This Row],[Plat/acre]]</f>
        <v>0</v>
      </c>
      <c r="AI53" s="69" t="n">
        <f aca="false">SUM(TblExplore[[#This Row],[Plains Explore]:[Water Explore]])*TblExplore[[#This Row],[Draftees/acre]]</f>
        <v>0</v>
      </c>
      <c r="AJ53" s="151" t="n">
        <f aca="false">_xlfn.FLOOR.MATH(MIN(TblExplore[[#This Row],[Platinum]]/TblExplore[[#This Row],[Plat/acre]],TblExplore[[#This Row],[Draftees]]/TblExplore[[#This Row],[Draftees/acre]]))</f>
        <v>88</v>
      </c>
    </row>
    <row r="54" customFormat="false" ht="12.75" hidden="false" customHeight="false" outlineLevel="0" collapsed="false">
      <c r="A54" s="170" t="n">
        <f aca="false">TblRezone[[#This Row],[Hour]]</f>
        <v>51</v>
      </c>
      <c r="B54" s="181" t="n">
        <f aca="false">TblConstr[[#This Row],[Land]]</f>
        <v>656</v>
      </c>
      <c r="C54" s="245"/>
      <c r="D54" s="246" t="n">
        <f aca="false">TblConstr[[#This Row],[Plain]]</f>
        <v>0</v>
      </c>
      <c r="E54" s="193" t="n">
        <f aca="false">TblConstr[[#This Row],[Forest]]</f>
        <v>0</v>
      </c>
      <c r="F54" s="200" t="n">
        <f aca="false">TblConstr[[#This Row],[Mountain]]</f>
        <v>0</v>
      </c>
      <c r="G54" s="201" t="n">
        <f aca="false">TblConstr[[#This Row],[Hill]]</f>
        <v>0</v>
      </c>
      <c r="H54" s="202" t="n">
        <f aca="false">TblConstr[[#This Row],[Swamp]]</f>
        <v>0</v>
      </c>
      <c r="I54" s="197" t="n">
        <f aca="false">TblConstr[[#This Row],[Cavern]]</f>
        <v>0</v>
      </c>
      <c r="J54" s="198" t="n">
        <f aca="false">TblConstr[[#This Row],[Water]]</f>
        <v>0</v>
      </c>
      <c r="K54" s="4"/>
      <c r="L54" s="260" t="s">
        <v>368</v>
      </c>
      <c r="M54" s="261" t="s">
        <v>369</v>
      </c>
      <c r="N54" s="247" t="n">
        <f aca="false">TblMili[[#This Row],[Smithies]]</f>
        <v>0</v>
      </c>
      <c r="O54" s="247" t="n">
        <f aca="false">TblPop[[#This Row],[Employment]]</f>
        <v>0.896236116824352</v>
      </c>
      <c r="P54" s="247" t="n">
        <f aca="false">TblImps[[#This Row],[Population]]</f>
        <v>1</v>
      </c>
      <c r="Q54" s="181" t="n">
        <f aca="false">TblExplore[[#This Row],[Land]]</f>
        <v>656</v>
      </c>
      <c r="R54" s="170" t="n">
        <f aca="false">TblExplore[[#This Row],[Hour]]</f>
        <v>51</v>
      </c>
      <c r="S54" s="248"/>
      <c r="T54" s="182"/>
      <c r="U54" s="182"/>
      <c r="V54" s="182"/>
      <c r="W54" s="182"/>
      <c r="X54" s="182"/>
      <c r="Y54" s="182"/>
      <c r="Z54" s="182"/>
      <c r="AA54" s="153" t="n">
        <f aca="false">TblImps[[#This Row],[Real time]]</f>
        <v>45431.8333333333</v>
      </c>
      <c r="AB54" s="69" t="n">
        <f aca="false">TblMili[[#This Row],[Draftees]]</f>
        <v>716</v>
      </c>
      <c r="AC54" s="69" t="n">
        <f aca="false">TblProd[[#This Row],[Platinum]]</f>
        <v>356298</v>
      </c>
      <c r="AD54" s="245"/>
      <c r="AE54" s="151" t="n">
        <f aca="false">TblExplore[[#This Row],[Land]]-TblExplore[[#This Row],[Land Bonus]]*20</f>
        <v>656</v>
      </c>
      <c r="AF54" s="69" t="n">
        <f aca="false">ROUND(MAX(0.6*TblExplore[[#This Row],[Land-DB]]^1.299,850)*(1+ tech_2_6*Techs!AC54 + tech_2_9*Techs!AF54 + tech_3_7*Techs!AN54 + Overview!$I$32),0)</f>
        <v>2737</v>
      </c>
      <c r="AG5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4" s="69" t="n">
        <f aca="false">SUM(TblExplore[[#This Row],[Plains Explore]:[Water Explore]])*TblExplore[[#This Row],[Plat/acre]]</f>
        <v>0</v>
      </c>
      <c r="AI54" s="69" t="n">
        <f aca="false">SUM(TblExplore[[#This Row],[Plains Explore]:[Water Explore]])*TblExplore[[#This Row],[Draftees/acre]]</f>
        <v>0</v>
      </c>
      <c r="AJ54" s="151" t="n">
        <f aca="false">_xlfn.FLOOR.MATH(MIN(TblExplore[[#This Row],[Platinum]]/TblExplore[[#This Row],[Plat/acre]],TblExplore[[#This Row],[Draftees]]/TblExplore[[#This Row],[Draftees/acre]]))</f>
        <v>102</v>
      </c>
    </row>
    <row r="55" customFormat="false" ht="12.75" hidden="false" customHeight="false" outlineLevel="0" collapsed="false">
      <c r="A55" s="170" t="n">
        <f aca="false">TblRezone[[#This Row],[Hour]]</f>
        <v>52</v>
      </c>
      <c r="B55" s="181" t="n">
        <f aca="false">TblConstr[[#This Row],[Land]]</f>
        <v>669</v>
      </c>
      <c r="C55" s="245"/>
      <c r="D55" s="246" t="n">
        <f aca="false">TblConstr[[#This Row],[Plain]]</f>
        <v>0</v>
      </c>
      <c r="E55" s="193" t="n">
        <f aca="false">TblConstr[[#This Row],[Forest]]</f>
        <v>0</v>
      </c>
      <c r="F55" s="200" t="n">
        <f aca="false">TblConstr[[#This Row],[Mountain]]</f>
        <v>0</v>
      </c>
      <c r="G55" s="201" t="n">
        <f aca="false">TblConstr[[#This Row],[Hill]]</f>
        <v>0</v>
      </c>
      <c r="H55" s="202" t="n">
        <f aca="false">TblConstr[[#This Row],[Swamp]]</f>
        <v>0</v>
      </c>
      <c r="I55" s="197" t="n">
        <f aca="false">TblConstr[[#This Row],[Cavern]]</f>
        <v>0</v>
      </c>
      <c r="J55" s="198" t="n">
        <f aca="false">TblConstr[[#This Row],[Water]]</f>
        <v>0</v>
      </c>
      <c r="K55" s="4"/>
      <c r="L55" s="15" t="n">
        <v>4</v>
      </c>
      <c r="M55" s="17" t="n">
        <v>299</v>
      </c>
      <c r="N55" s="247" t="n">
        <f aca="false">TblMili[[#This Row],[Smithies]]</f>
        <v>0</v>
      </c>
      <c r="O55" s="247" t="n">
        <f aca="false">TblPop[[#This Row],[Employment]]</f>
        <v>1</v>
      </c>
      <c r="P55" s="247" t="n">
        <f aca="false">TblImps[[#This Row],[Population]]</f>
        <v>1</v>
      </c>
      <c r="Q55" s="181" t="n">
        <f aca="false">TblExplore[[#This Row],[Land]]</f>
        <v>669</v>
      </c>
      <c r="R55" s="170" t="n">
        <f aca="false">TblExplore[[#This Row],[Hour]]</f>
        <v>52</v>
      </c>
      <c r="S55" s="248"/>
      <c r="T55" s="182"/>
      <c r="U55" s="182"/>
      <c r="V55" s="182"/>
      <c r="W55" s="182"/>
      <c r="X55" s="182"/>
      <c r="Y55" s="182"/>
      <c r="Z55" s="182"/>
      <c r="AA55" s="153" t="n">
        <f aca="false">TblImps[[#This Row],[Real time]]</f>
        <v>45431.875</v>
      </c>
      <c r="AB55" s="69" t="n">
        <f aca="false">TblMili[[#This Row],[Draftees]]</f>
        <v>813</v>
      </c>
      <c r="AC55" s="69" t="n">
        <f aca="false">TblProd[[#This Row],[Platinum]]</f>
        <v>389463</v>
      </c>
      <c r="AD55" s="245"/>
      <c r="AE55" s="151" t="n">
        <f aca="false">TblExplore[[#This Row],[Land]]-TblExplore[[#This Row],[Land Bonus]]*20</f>
        <v>669</v>
      </c>
      <c r="AF55" s="69" t="n">
        <f aca="false">ROUND(MAX(0.6*TblExplore[[#This Row],[Land-DB]]^1.299,850)*(1+ tech_2_6*Techs!AC55 + tech_2_9*Techs!AF55 + tech_3_7*Techs!AN55 + Overview!$I$32),0)</f>
        <v>2808</v>
      </c>
      <c r="AG5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5" s="69" t="n">
        <f aca="false">SUM(TblExplore[[#This Row],[Plains Explore]:[Water Explore]])*TblExplore[[#This Row],[Plat/acre]]</f>
        <v>0</v>
      </c>
      <c r="AI55" s="69" t="n">
        <f aca="false">SUM(TblExplore[[#This Row],[Plains Explore]:[Water Explore]])*TblExplore[[#This Row],[Draftees/acre]]</f>
        <v>0</v>
      </c>
      <c r="AJ55" s="151" t="n">
        <f aca="false">_xlfn.FLOOR.MATH(MIN(TblExplore[[#This Row],[Platinum]]/TblExplore[[#This Row],[Plat/acre]],TblExplore[[#This Row],[Draftees]]/TblExplore[[#This Row],[Draftees/acre]]))</f>
        <v>116</v>
      </c>
    </row>
    <row r="56" customFormat="false" ht="12.75" hidden="false" customHeight="false" outlineLevel="0" collapsed="false">
      <c r="A56" s="170" t="n">
        <f aca="false">TblRezone[[#This Row],[Hour]]</f>
        <v>53</v>
      </c>
      <c r="B56" s="181" t="n">
        <f aca="false">TblConstr[[#This Row],[Land]]</f>
        <v>680</v>
      </c>
      <c r="C56" s="245"/>
      <c r="D56" s="246" t="n">
        <f aca="false">TblConstr[[#This Row],[Plain]]</f>
        <v>0</v>
      </c>
      <c r="E56" s="193" t="n">
        <f aca="false">TblConstr[[#This Row],[Forest]]</f>
        <v>0</v>
      </c>
      <c r="F56" s="200" t="n">
        <f aca="false">TblConstr[[#This Row],[Mountain]]</f>
        <v>0</v>
      </c>
      <c r="G56" s="201" t="n">
        <f aca="false">TblConstr[[#This Row],[Hill]]</f>
        <v>0</v>
      </c>
      <c r="H56" s="202" t="n">
        <f aca="false">TblConstr[[#This Row],[Swamp]]</f>
        <v>0</v>
      </c>
      <c r="I56" s="197" t="n">
        <f aca="false">TblConstr[[#This Row],[Cavern]]</f>
        <v>0</v>
      </c>
      <c r="J56" s="198" t="n">
        <f aca="false">TblConstr[[#This Row],[Water]]</f>
        <v>0</v>
      </c>
      <c r="K56" s="4"/>
      <c r="L56" s="15" t="n">
        <v>5</v>
      </c>
      <c r="M56" s="17" t="n">
        <f aca="false">ROUNDDOWN(227.945*(L56+0.5 - 5)^0.934579 + 300,0)</f>
        <v>419</v>
      </c>
      <c r="N56" s="247" t="n">
        <f aca="false">TblMili[[#This Row],[Smithies]]</f>
        <v>0.0691176470588235</v>
      </c>
      <c r="O56" s="247" t="n">
        <f aca="false">TblPop[[#This Row],[Employment]]</f>
        <v>1</v>
      </c>
      <c r="P56" s="247" t="n">
        <f aca="false">TblImps[[#This Row],[Population]]</f>
        <v>1</v>
      </c>
      <c r="Q56" s="181" t="n">
        <f aca="false">TblExplore[[#This Row],[Land]]</f>
        <v>680</v>
      </c>
      <c r="R56" s="170" t="n">
        <f aca="false">TblExplore[[#This Row],[Hour]]</f>
        <v>53</v>
      </c>
      <c r="S56" s="248"/>
      <c r="T56" s="182"/>
      <c r="U56" s="182"/>
      <c r="V56" s="182"/>
      <c r="W56" s="182"/>
      <c r="X56" s="182"/>
      <c r="Y56" s="182"/>
      <c r="Z56" s="182"/>
      <c r="AA56" s="153" t="n">
        <f aca="false">TblImps[[#This Row],[Real time]]</f>
        <v>45431.9166666667</v>
      </c>
      <c r="AB56" s="69" t="n">
        <f aca="false">TblMili[[#This Row],[Draftees]]</f>
        <v>911</v>
      </c>
      <c r="AC56" s="69" t="n">
        <f aca="false">TblProd[[#This Row],[Platinum]]</f>
        <v>429145</v>
      </c>
      <c r="AD56" s="245"/>
      <c r="AE56" s="151" t="n">
        <f aca="false">TblExplore[[#This Row],[Land]]-TblExplore[[#This Row],[Land Bonus]]*20</f>
        <v>680</v>
      </c>
      <c r="AF56" s="69" t="n">
        <f aca="false">ROUND(MAX(0.6*TblExplore[[#This Row],[Land-DB]]^1.299,850)*(1+ tech_2_6*Techs!AC56 + tech_2_9*Techs!AF56 + tech_3_7*Techs!AN56 + Overview!$I$32),0)</f>
        <v>2868</v>
      </c>
      <c r="AG5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6" s="69" t="n">
        <f aca="false">SUM(TblExplore[[#This Row],[Plains Explore]:[Water Explore]])*TblExplore[[#This Row],[Plat/acre]]</f>
        <v>0</v>
      </c>
      <c r="AI56" s="69" t="n">
        <f aca="false">SUM(TblExplore[[#This Row],[Plains Explore]:[Water Explore]])*TblExplore[[#This Row],[Draftees/acre]]</f>
        <v>0</v>
      </c>
      <c r="AJ56" s="151" t="n">
        <f aca="false">_xlfn.FLOOR.MATH(MIN(TblExplore[[#This Row],[Platinum]]/TblExplore[[#This Row],[Plat/acre]],TblExplore[[#This Row],[Draftees]]/TblExplore[[#This Row],[Draftees/acre]]))</f>
        <v>130</v>
      </c>
    </row>
    <row r="57" customFormat="false" ht="12.75" hidden="false" customHeight="false" outlineLevel="0" collapsed="false">
      <c r="A57" s="170" t="n">
        <f aca="false">TblRezone[[#This Row],[Hour]]</f>
        <v>54</v>
      </c>
      <c r="B57" s="181" t="n">
        <f aca="false">TblConstr[[#This Row],[Land]]</f>
        <v>692</v>
      </c>
      <c r="C57" s="245"/>
      <c r="D57" s="246" t="n">
        <f aca="false">TblConstr[[#This Row],[Plain]]</f>
        <v>0</v>
      </c>
      <c r="E57" s="193" t="n">
        <f aca="false">TblConstr[[#This Row],[Forest]]</f>
        <v>0</v>
      </c>
      <c r="F57" s="200" t="n">
        <f aca="false">TblConstr[[#This Row],[Mountain]]</f>
        <v>0</v>
      </c>
      <c r="G57" s="201" t="n">
        <f aca="false">TblConstr[[#This Row],[Hill]]</f>
        <v>0</v>
      </c>
      <c r="H57" s="202" t="n">
        <f aca="false">TblConstr[[#This Row],[Swamp]]</f>
        <v>0</v>
      </c>
      <c r="I57" s="197" t="n">
        <f aca="false">TblConstr[[#This Row],[Cavern]]</f>
        <v>0</v>
      </c>
      <c r="J57" s="198" t="n">
        <f aca="false">TblConstr[[#This Row],[Water]]</f>
        <v>0</v>
      </c>
      <c r="K57" s="4"/>
      <c r="L57" s="15" t="n">
        <v>6</v>
      </c>
      <c r="M57" s="17" t="n">
        <f aca="false">ROUNDDOWN(227.945*(L57+0.5 - 5)^0.934579 + 300,0)</f>
        <v>632</v>
      </c>
      <c r="N57" s="247" t="n">
        <f aca="false">TblMili[[#This Row],[Smithies]]</f>
        <v>0.0794797687861272</v>
      </c>
      <c r="O57" s="247" t="n">
        <f aca="false">TblPop[[#This Row],[Employment]]</f>
        <v>1</v>
      </c>
      <c r="P57" s="247" t="n">
        <f aca="false">TblImps[[#This Row],[Population]]</f>
        <v>1</v>
      </c>
      <c r="Q57" s="181" t="n">
        <f aca="false">TblExplore[[#This Row],[Land]]</f>
        <v>692</v>
      </c>
      <c r="R57" s="170" t="n">
        <f aca="false">TblExplore[[#This Row],[Hour]]</f>
        <v>54</v>
      </c>
      <c r="S57" s="248"/>
      <c r="T57" s="182"/>
      <c r="U57" s="182"/>
      <c r="V57" s="182"/>
      <c r="W57" s="182"/>
      <c r="X57" s="182"/>
      <c r="Y57" s="182"/>
      <c r="Z57" s="182"/>
      <c r="AA57" s="153" t="n">
        <f aca="false">TblImps[[#This Row],[Real time]]</f>
        <v>45431.9583333333</v>
      </c>
      <c r="AB57" s="69" t="n">
        <f aca="false">TblMili[[#This Row],[Draftees]]</f>
        <v>1010</v>
      </c>
      <c r="AC57" s="69" t="n">
        <f aca="false">TblProd[[#This Row],[Platinum]]</f>
        <v>468410</v>
      </c>
      <c r="AD57" s="245"/>
      <c r="AE57" s="151" t="n">
        <f aca="false">TblExplore[[#This Row],[Land]]-TblExplore[[#This Row],[Land Bonus]]*20</f>
        <v>692</v>
      </c>
      <c r="AF57" s="69" t="n">
        <f aca="false">ROUND(MAX(0.6*TblExplore[[#This Row],[Land-DB]]^1.299,850)*(1+ tech_2_6*Techs!AC57 + tech_2_9*Techs!AF57 + tech_3_7*Techs!AN57 + Overview!$I$32),0)</f>
        <v>2934</v>
      </c>
      <c r="AG5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7" s="69" t="n">
        <f aca="false">SUM(TblExplore[[#This Row],[Plains Explore]:[Water Explore]])*TblExplore[[#This Row],[Plat/acre]]</f>
        <v>0</v>
      </c>
      <c r="AI57" s="69" t="n">
        <f aca="false">SUM(TblExplore[[#This Row],[Plains Explore]:[Water Explore]])*TblExplore[[#This Row],[Draftees/acre]]</f>
        <v>0</v>
      </c>
      <c r="AJ57" s="151" t="n">
        <f aca="false">_xlfn.FLOOR.MATH(MIN(TblExplore[[#This Row],[Platinum]]/TblExplore[[#This Row],[Plat/acre]],TblExplore[[#This Row],[Draftees]]/TblExplore[[#This Row],[Draftees/acre]]))</f>
        <v>144</v>
      </c>
    </row>
    <row r="58" customFormat="false" ht="12.75" hidden="false" customHeight="false" outlineLevel="0" collapsed="false">
      <c r="A58" s="170" t="n">
        <f aca="false">TblRezone[[#This Row],[Hour]]</f>
        <v>55</v>
      </c>
      <c r="B58" s="181" t="n">
        <f aca="false">TblConstr[[#This Row],[Land]]</f>
        <v>700</v>
      </c>
      <c r="C58" s="245"/>
      <c r="D58" s="246" t="n">
        <f aca="false">TblConstr[[#This Row],[Plain]]</f>
        <v>0</v>
      </c>
      <c r="E58" s="193" t="n">
        <f aca="false">TblConstr[[#This Row],[Forest]]</f>
        <v>0</v>
      </c>
      <c r="F58" s="200" t="n">
        <f aca="false">TblConstr[[#This Row],[Mountain]]</f>
        <v>0</v>
      </c>
      <c r="G58" s="201" t="n">
        <f aca="false">TblConstr[[#This Row],[Hill]]</f>
        <v>0</v>
      </c>
      <c r="H58" s="202" t="n">
        <f aca="false">TblConstr[[#This Row],[Swamp]]</f>
        <v>0</v>
      </c>
      <c r="I58" s="197" t="n">
        <f aca="false">TblConstr[[#This Row],[Cavern]]</f>
        <v>0</v>
      </c>
      <c r="J58" s="198" t="n">
        <f aca="false">TblConstr[[#This Row],[Water]]</f>
        <v>0</v>
      </c>
      <c r="K58" s="4"/>
      <c r="L58" s="15" t="n">
        <v>7</v>
      </c>
      <c r="M58" s="17" t="n">
        <f aca="false">ROUNDDOWN(227.945*(L58+0.5 - 5)^0.934579 + 300,0)</f>
        <v>836</v>
      </c>
      <c r="N58" s="247" t="n">
        <f aca="false">TblMili[[#This Row],[Smithies]]</f>
        <v>0.0914285714285714</v>
      </c>
      <c r="O58" s="247" t="n">
        <f aca="false">TblPop[[#This Row],[Employment]]</f>
        <v>1</v>
      </c>
      <c r="P58" s="247" t="n">
        <f aca="false">TblImps[[#This Row],[Population]]</f>
        <v>1</v>
      </c>
      <c r="Q58" s="181" t="n">
        <f aca="false">TblExplore[[#This Row],[Land]]</f>
        <v>700</v>
      </c>
      <c r="R58" s="170" t="n">
        <f aca="false">TblExplore[[#This Row],[Hour]]</f>
        <v>55</v>
      </c>
      <c r="S58" s="248"/>
      <c r="T58" s="182"/>
      <c r="U58" s="182"/>
      <c r="V58" s="182"/>
      <c r="W58" s="182"/>
      <c r="X58" s="182"/>
      <c r="Y58" s="182"/>
      <c r="Z58" s="182"/>
      <c r="AA58" s="153" t="n">
        <f aca="false">TblImps[[#This Row],[Real time]]</f>
        <v>45432</v>
      </c>
      <c r="AB58" s="69" t="n">
        <f aca="false">TblMili[[#This Row],[Draftees]]</f>
        <v>1110</v>
      </c>
      <c r="AC58" s="69" t="n">
        <f aca="false">TblProd[[#This Row],[Platinum]]</f>
        <v>510224</v>
      </c>
      <c r="AD58" s="245"/>
      <c r="AE58" s="151" t="n">
        <f aca="false">TblExplore[[#This Row],[Land]]-TblExplore[[#This Row],[Land Bonus]]*20</f>
        <v>700</v>
      </c>
      <c r="AF58" s="69" t="n">
        <f aca="false">ROUND(MAX(0.6*TblExplore[[#This Row],[Land-DB]]^1.299,850)*(1+ tech_2_6*Techs!AC58 + tech_2_9*Techs!AF58 + tech_3_7*Techs!AN58 + Overview!$I$32),0)</f>
        <v>2978</v>
      </c>
      <c r="AG5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8" s="69" t="n">
        <f aca="false">SUM(TblExplore[[#This Row],[Plains Explore]:[Water Explore]])*TblExplore[[#This Row],[Plat/acre]]</f>
        <v>0</v>
      </c>
      <c r="AI58" s="69" t="n">
        <f aca="false">SUM(TblExplore[[#This Row],[Plains Explore]:[Water Explore]])*TblExplore[[#This Row],[Draftees/acre]]</f>
        <v>0</v>
      </c>
      <c r="AJ58" s="151" t="n">
        <f aca="false">_xlfn.FLOOR.MATH(MIN(TblExplore[[#This Row],[Platinum]]/TblExplore[[#This Row],[Plat/acre]],TblExplore[[#This Row],[Draftees]]/TblExplore[[#This Row],[Draftees/acre]]))</f>
        <v>158</v>
      </c>
    </row>
    <row r="59" customFormat="false" ht="12.75" hidden="false" customHeight="false" outlineLevel="0" collapsed="false">
      <c r="A59" s="170" t="n">
        <f aca="false">TblRezone[[#This Row],[Hour]]</f>
        <v>56</v>
      </c>
      <c r="B59" s="181" t="n">
        <f aca="false">TblConstr[[#This Row],[Land]]</f>
        <v>700</v>
      </c>
      <c r="C59" s="245"/>
      <c r="D59" s="246" t="n">
        <f aca="false">TblConstr[[#This Row],[Plain]]</f>
        <v>0</v>
      </c>
      <c r="E59" s="193" t="n">
        <f aca="false">TblConstr[[#This Row],[Forest]]</f>
        <v>0</v>
      </c>
      <c r="F59" s="200" t="n">
        <f aca="false">TblConstr[[#This Row],[Mountain]]</f>
        <v>0</v>
      </c>
      <c r="G59" s="201" t="n">
        <f aca="false">TblConstr[[#This Row],[Hill]]</f>
        <v>0</v>
      </c>
      <c r="H59" s="202" t="n">
        <f aca="false">TblConstr[[#This Row],[Swamp]]</f>
        <v>0</v>
      </c>
      <c r="I59" s="197" t="n">
        <f aca="false">TblConstr[[#This Row],[Cavern]]</f>
        <v>0</v>
      </c>
      <c r="J59" s="198" t="n">
        <f aca="false">TblConstr[[#This Row],[Water]]</f>
        <v>0</v>
      </c>
      <c r="K59" s="4"/>
      <c r="L59" s="15" t="n">
        <v>8</v>
      </c>
      <c r="M59" s="17" t="n">
        <f aca="false">ROUNDDOWN(227.945*(L59+0.5 - 5)^0.934579 + 300,0)</f>
        <v>1035</v>
      </c>
      <c r="N59" s="247" t="n">
        <f aca="false">TblMili[[#This Row],[Smithies]]</f>
        <v>0.104285714285714</v>
      </c>
      <c r="O59" s="247" t="n">
        <f aca="false">TblPop[[#This Row],[Employment]]</f>
        <v>1</v>
      </c>
      <c r="P59" s="247" t="n">
        <f aca="false">TblImps[[#This Row],[Population]]</f>
        <v>1</v>
      </c>
      <c r="Q59" s="181" t="n">
        <f aca="false">TblExplore[[#This Row],[Land]]</f>
        <v>700</v>
      </c>
      <c r="R59" s="170" t="n">
        <f aca="false">TblExplore[[#This Row],[Hour]]</f>
        <v>56</v>
      </c>
      <c r="S59" s="248"/>
      <c r="T59" s="182"/>
      <c r="U59" s="182"/>
      <c r="V59" s="182"/>
      <c r="W59" s="182"/>
      <c r="X59" s="182"/>
      <c r="Y59" s="182"/>
      <c r="Z59" s="182"/>
      <c r="AA59" s="153" t="n">
        <f aca="false">TblImps[[#This Row],[Real time]]</f>
        <v>45432.0416666667</v>
      </c>
      <c r="AB59" s="69" t="n">
        <f aca="false">TblMili[[#This Row],[Draftees]]</f>
        <v>1211</v>
      </c>
      <c r="AC59" s="69" t="n">
        <f aca="false">TblProd[[#This Row],[Platinum]]</f>
        <v>556484</v>
      </c>
      <c r="AD59" s="245"/>
      <c r="AE59" s="151" t="n">
        <f aca="false">TblExplore[[#This Row],[Land]]-TblExplore[[#This Row],[Land Bonus]]*20</f>
        <v>700</v>
      </c>
      <c r="AF59" s="69" t="n">
        <f aca="false">ROUND(MAX(0.6*TblExplore[[#This Row],[Land-DB]]^1.299,850)*(1+ tech_2_6*Techs!AC59 + tech_2_9*Techs!AF59 + tech_3_7*Techs!AN59 + Overview!$I$32),0)</f>
        <v>2978</v>
      </c>
      <c r="AG5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9" s="69" t="n">
        <f aca="false">SUM(TblExplore[[#This Row],[Plains Explore]:[Water Explore]])*TblExplore[[#This Row],[Plat/acre]]</f>
        <v>0</v>
      </c>
      <c r="AI59" s="69" t="n">
        <f aca="false">SUM(TblExplore[[#This Row],[Plains Explore]:[Water Explore]])*TblExplore[[#This Row],[Draftees/acre]]</f>
        <v>0</v>
      </c>
      <c r="AJ59" s="151" t="n">
        <f aca="false">_xlfn.FLOOR.MATH(MIN(TblExplore[[#This Row],[Platinum]]/TblExplore[[#This Row],[Plat/acre]],TblExplore[[#This Row],[Draftees]]/TblExplore[[#This Row],[Draftees/acre]]))</f>
        <v>173</v>
      </c>
    </row>
    <row r="60" customFormat="false" ht="12.75" hidden="false" customHeight="false" outlineLevel="0" collapsed="false">
      <c r="A60" s="170" t="n">
        <f aca="false">TblRezone[[#This Row],[Hour]]</f>
        <v>57</v>
      </c>
      <c r="B60" s="181" t="n">
        <f aca="false">TblConstr[[#This Row],[Land]]</f>
        <v>700</v>
      </c>
      <c r="C60" s="245"/>
      <c r="D60" s="246" t="n">
        <f aca="false">TblConstr[[#This Row],[Plain]]</f>
        <v>0</v>
      </c>
      <c r="E60" s="193" t="n">
        <f aca="false">TblConstr[[#This Row],[Forest]]</f>
        <v>0</v>
      </c>
      <c r="F60" s="200" t="n">
        <f aca="false">TblConstr[[#This Row],[Mountain]]</f>
        <v>0</v>
      </c>
      <c r="G60" s="201" t="n">
        <f aca="false">TblConstr[[#This Row],[Hill]]</f>
        <v>0</v>
      </c>
      <c r="H60" s="202" t="n">
        <f aca="false">TblConstr[[#This Row],[Swamp]]</f>
        <v>0</v>
      </c>
      <c r="I60" s="197" t="n">
        <f aca="false">TblConstr[[#This Row],[Cavern]]</f>
        <v>0</v>
      </c>
      <c r="J60" s="198" t="n">
        <f aca="false">TblConstr[[#This Row],[Water]]</f>
        <v>0</v>
      </c>
      <c r="K60" s="4"/>
      <c r="L60" s="15" t="n">
        <v>9</v>
      </c>
      <c r="M60" s="17" t="n">
        <f aca="false">ROUNDDOWN(227.945*(L60+0.5 - 5)^0.934579 + 300,0)</f>
        <v>1229</v>
      </c>
      <c r="N60" s="247" t="n">
        <f aca="false">TblMili[[#This Row],[Smithies]]</f>
        <v>0.117142857142857</v>
      </c>
      <c r="O60" s="247" t="n">
        <f aca="false">TblPop[[#This Row],[Employment]]</f>
        <v>1</v>
      </c>
      <c r="P60" s="247" t="n">
        <f aca="false">TblImps[[#This Row],[Population]]</f>
        <v>1</v>
      </c>
      <c r="Q60" s="181" t="n">
        <f aca="false">TblExplore[[#This Row],[Land]]</f>
        <v>700</v>
      </c>
      <c r="R60" s="170" t="n">
        <f aca="false">TblExplore[[#This Row],[Hour]]</f>
        <v>57</v>
      </c>
      <c r="S60" s="248"/>
      <c r="T60" s="182"/>
      <c r="U60" s="182"/>
      <c r="V60" s="182"/>
      <c r="W60" s="182"/>
      <c r="X60" s="182"/>
      <c r="Y60" s="182"/>
      <c r="Z60" s="182"/>
      <c r="AA60" s="153" t="n">
        <f aca="false">TblImps[[#This Row],[Real time]]</f>
        <v>45432.0833333333</v>
      </c>
      <c r="AB60" s="69" t="n">
        <f aca="false">TblMili[[#This Row],[Draftees]]</f>
        <v>1312</v>
      </c>
      <c r="AC60" s="69" t="n">
        <f aca="false">TblProd[[#This Row],[Platinum]]</f>
        <v>602753</v>
      </c>
      <c r="AD60" s="245"/>
      <c r="AE60" s="151" t="n">
        <f aca="false">TblExplore[[#This Row],[Land]]-TblExplore[[#This Row],[Land Bonus]]*20</f>
        <v>700</v>
      </c>
      <c r="AF60" s="69" t="n">
        <f aca="false">ROUND(MAX(0.6*TblExplore[[#This Row],[Land-DB]]^1.299,850)*(1+ tech_2_6*Techs!AC60 + tech_2_9*Techs!AF60 + tech_3_7*Techs!AN60 + Overview!$I$32),0)</f>
        <v>2978</v>
      </c>
      <c r="AG6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0" s="69" t="n">
        <f aca="false">SUM(TblExplore[[#This Row],[Plains Explore]:[Water Explore]])*TblExplore[[#This Row],[Plat/acre]]</f>
        <v>0</v>
      </c>
      <c r="AI60" s="69" t="n">
        <f aca="false">SUM(TblExplore[[#This Row],[Plains Explore]:[Water Explore]])*TblExplore[[#This Row],[Draftees/acre]]</f>
        <v>0</v>
      </c>
      <c r="AJ60" s="151" t="n">
        <f aca="false">_xlfn.FLOOR.MATH(MIN(TblExplore[[#This Row],[Platinum]]/TblExplore[[#This Row],[Plat/acre]],TblExplore[[#This Row],[Draftees]]/TblExplore[[#This Row],[Draftees/acre]]))</f>
        <v>187</v>
      </c>
    </row>
    <row r="61" customFormat="false" ht="12.75" hidden="false" customHeight="false" outlineLevel="0" collapsed="false">
      <c r="A61" s="170" t="n">
        <f aca="false">TblRezone[[#This Row],[Hour]]</f>
        <v>58</v>
      </c>
      <c r="B61" s="181" t="n">
        <f aca="false">TblConstr[[#This Row],[Land]]</f>
        <v>700</v>
      </c>
      <c r="C61" s="245"/>
      <c r="D61" s="246" t="n">
        <f aca="false">TblConstr[[#This Row],[Plain]]</f>
        <v>0</v>
      </c>
      <c r="E61" s="193" t="n">
        <f aca="false">TblConstr[[#This Row],[Forest]]</f>
        <v>0</v>
      </c>
      <c r="F61" s="200" t="n">
        <f aca="false">TblConstr[[#This Row],[Mountain]]</f>
        <v>0</v>
      </c>
      <c r="G61" s="201" t="n">
        <f aca="false">TblConstr[[#This Row],[Hill]]</f>
        <v>0</v>
      </c>
      <c r="H61" s="202" t="n">
        <f aca="false">TblConstr[[#This Row],[Swamp]]</f>
        <v>0</v>
      </c>
      <c r="I61" s="197" t="n">
        <f aca="false">TblConstr[[#This Row],[Cavern]]</f>
        <v>0</v>
      </c>
      <c r="J61" s="198" t="n">
        <f aca="false">TblConstr[[#This Row],[Water]]</f>
        <v>0</v>
      </c>
      <c r="K61" s="4"/>
      <c r="L61" s="15" t="n">
        <v>10</v>
      </c>
      <c r="M61" s="17" t="n">
        <f aca="false">ROUNDDOWN(227.945*(L61+0.5 - 5)^0.934579 + 300,0)</f>
        <v>1421</v>
      </c>
      <c r="N61" s="247" t="n">
        <f aca="false">TblMili[[#This Row],[Smithies]]</f>
        <v>0.131428571428571</v>
      </c>
      <c r="O61" s="247" t="n">
        <f aca="false">TblPop[[#This Row],[Employment]]</f>
        <v>1</v>
      </c>
      <c r="P61" s="247" t="n">
        <f aca="false">TblImps[[#This Row],[Population]]</f>
        <v>1</v>
      </c>
      <c r="Q61" s="181" t="n">
        <f aca="false">TblExplore[[#This Row],[Land]]</f>
        <v>700</v>
      </c>
      <c r="R61" s="170" t="n">
        <f aca="false">TblExplore[[#This Row],[Hour]]</f>
        <v>58</v>
      </c>
      <c r="S61" s="248"/>
      <c r="T61" s="182"/>
      <c r="U61" s="182"/>
      <c r="V61" s="182"/>
      <c r="W61" s="182"/>
      <c r="X61" s="182"/>
      <c r="Y61" s="182"/>
      <c r="Z61" s="182"/>
      <c r="AA61" s="153" t="n">
        <f aca="false">TblImps[[#This Row],[Real time]]</f>
        <v>45432.125</v>
      </c>
      <c r="AB61" s="69" t="n">
        <f aca="false">TblMili[[#This Row],[Draftees]]</f>
        <v>1412</v>
      </c>
      <c r="AC61" s="69" t="n">
        <f aca="false">TblProd[[#This Row],[Platinum]]</f>
        <v>648776</v>
      </c>
      <c r="AD61" s="245"/>
      <c r="AE61" s="151" t="n">
        <f aca="false">TblExplore[[#This Row],[Land]]-TblExplore[[#This Row],[Land Bonus]]*20</f>
        <v>700</v>
      </c>
      <c r="AF61" s="69" t="n">
        <f aca="false">ROUND(MAX(0.6*TblExplore[[#This Row],[Land-DB]]^1.299,850)*(1+ tech_2_6*Techs!AC61 + tech_2_9*Techs!AF61 + tech_3_7*Techs!AN61 + Overview!$I$32),0)</f>
        <v>2978</v>
      </c>
      <c r="AG6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1" s="69" t="n">
        <f aca="false">SUM(TblExplore[[#This Row],[Plains Explore]:[Water Explore]])*TblExplore[[#This Row],[Plat/acre]]</f>
        <v>0</v>
      </c>
      <c r="AI61" s="69" t="n">
        <f aca="false">SUM(TblExplore[[#This Row],[Plains Explore]:[Water Explore]])*TblExplore[[#This Row],[Draftees/acre]]</f>
        <v>0</v>
      </c>
      <c r="AJ61" s="151" t="n">
        <f aca="false">_xlfn.FLOOR.MATH(MIN(TblExplore[[#This Row],[Platinum]]/TblExplore[[#This Row],[Plat/acre]],TblExplore[[#This Row],[Draftees]]/TblExplore[[#This Row],[Draftees/acre]]))</f>
        <v>201</v>
      </c>
    </row>
    <row r="62" customFormat="false" ht="12.75" hidden="false" customHeight="false" outlineLevel="0" collapsed="false">
      <c r="A62" s="170" t="n">
        <f aca="false">TblRezone[[#This Row],[Hour]]</f>
        <v>59</v>
      </c>
      <c r="B62" s="181" t="n">
        <f aca="false">TblConstr[[#This Row],[Land]]</f>
        <v>700</v>
      </c>
      <c r="C62" s="245"/>
      <c r="D62" s="246" t="n">
        <f aca="false">TblConstr[[#This Row],[Plain]]</f>
        <v>0</v>
      </c>
      <c r="E62" s="193" t="n">
        <f aca="false">TblConstr[[#This Row],[Forest]]</f>
        <v>0</v>
      </c>
      <c r="F62" s="200" t="n">
        <f aca="false">TblConstr[[#This Row],[Mountain]]</f>
        <v>0</v>
      </c>
      <c r="G62" s="201" t="n">
        <f aca="false">TblConstr[[#This Row],[Hill]]</f>
        <v>0</v>
      </c>
      <c r="H62" s="202" t="n">
        <f aca="false">TblConstr[[#This Row],[Swamp]]</f>
        <v>0</v>
      </c>
      <c r="I62" s="197" t="n">
        <f aca="false">TblConstr[[#This Row],[Cavern]]</f>
        <v>0</v>
      </c>
      <c r="J62" s="198" t="n">
        <f aca="false">TblConstr[[#This Row],[Water]]</f>
        <v>0</v>
      </c>
      <c r="K62" s="4"/>
      <c r="L62" s="15" t="n">
        <v>11</v>
      </c>
      <c r="M62" s="17" t="n">
        <f aca="false">ROUNDDOWN(227.945*(L62+0.5 - 5)^0.934579 + 300,0)</f>
        <v>1610</v>
      </c>
      <c r="N62" s="247" t="n">
        <f aca="false">TblMili[[#This Row],[Smithies]]</f>
        <v>0.145714285714286</v>
      </c>
      <c r="O62" s="247" t="n">
        <f aca="false">TblPop[[#This Row],[Employment]]</f>
        <v>1</v>
      </c>
      <c r="P62" s="247" t="n">
        <f aca="false">TblImps[[#This Row],[Population]]</f>
        <v>1</v>
      </c>
      <c r="Q62" s="181" t="n">
        <f aca="false">TblExplore[[#This Row],[Land]]</f>
        <v>700</v>
      </c>
      <c r="R62" s="170" t="n">
        <f aca="false">TblExplore[[#This Row],[Hour]]</f>
        <v>59</v>
      </c>
      <c r="S62" s="248"/>
      <c r="T62" s="182"/>
      <c r="U62" s="182"/>
      <c r="V62" s="182"/>
      <c r="W62" s="182"/>
      <c r="X62" s="182"/>
      <c r="Y62" s="182"/>
      <c r="Z62" s="182"/>
      <c r="AA62" s="153" t="n">
        <f aca="false">TblImps[[#This Row],[Real time]]</f>
        <v>45432.1666666667</v>
      </c>
      <c r="AB62" s="69" t="n">
        <f aca="false">TblMili[[#This Row],[Draftees]]</f>
        <v>1511</v>
      </c>
      <c r="AC62" s="69" t="n">
        <f aca="false">TblProd[[#This Row],[Platinum]]</f>
        <v>694619</v>
      </c>
      <c r="AD62" s="245"/>
      <c r="AE62" s="151" t="n">
        <f aca="false">TblExplore[[#This Row],[Land]]-TblExplore[[#This Row],[Land Bonus]]*20</f>
        <v>700</v>
      </c>
      <c r="AF62" s="69" t="n">
        <f aca="false">ROUND(MAX(0.6*TblExplore[[#This Row],[Land-DB]]^1.299,850)*(1+ tech_2_6*Techs!AC62 + tech_2_9*Techs!AF62 + tech_3_7*Techs!AN62 + Overview!$I$32),0)</f>
        <v>2978</v>
      </c>
      <c r="AG6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2" s="69" t="n">
        <f aca="false">SUM(TblExplore[[#This Row],[Plains Explore]:[Water Explore]])*TblExplore[[#This Row],[Plat/acre]]</f>
        <v>0</v>
      </c>
      <c r="AI62" s="69" t="n">
        <f aca="false">SUM(TblExplore[[#This Row],[Plains Explore]:[Water Explore]])*TblExplore[[#This Row],[Draftees/acre]]</f>
        <v>0</v>
      </c>
      <c r="AJ62" s="151" t="n">
        <f aca="false">_xlfn.FLOOR.MATH(MIN(TblExplore[[#This Row],[Platinum]]/TblExplore[[#This Row],[Plat/acre]],TblExplore[[#This Row],[Draftees]]/TblExplore[[#This Row],[Draftees/acre]]))</f>
        <v>215</v>
      </c>
    </row>
    <row r="63" customFormat="false" ht="12.75" hidden="false" customHeight="false" outlineLevel="0" collapsed="false">
      <c r="A63" s="170" t="n">
        <f aca="false">TblRezone[[#This Row],[Hour]]</f>
        <v>60</v>
      </c>
      <c r="B63" s="181" t="n">
        <f aca="false">TblConstr[[#This Row],[Land]]</f>
        <v>700</v>
      </c>
      <c r="C63" s="245"/>
      <c r="D63" s="246" t="n">
        <f aca="false">TblConstr[[#This Row],[Plain]]</f>
        <v>0</v>
      </c>
      <c r="E63" s="193" t="n">
        <f aca="false">TblConstr[[#This Row],[Forest]]</f>
        <v>0</v>
      </c>
      <c r="F63" s="200" t="n">
        <f aca="false">TblConstr[[#This Row],[Mountain]]</f>
        <v>0</v>
      </c>
      <c r="G63" s="201" t="n">
        <f aca="false">TblConstr[[#This Row],[Hill]]</f>
        <v>0</v>
      </c>
      <c r="H63" s="202" t="n">
        <f aca="false">TblConstr[[#This Row],[Swamp]]</f>
        <v>0</v>
      </c>
      <c r="I63" s="197" t="n">
        <f aca="false">TblConstr[[#This Row],[Cavern]]</f>
        <v>0</v>
      </c>
      <c r="J63" s="198" t="n">
        <f aca="false">TblConstr[[#This Row],[Water]]</f>
        <v>0</v>
      </c>
      <c r="K63" s="4"/>
      <c r="L63" s="15" t="n">
        <v>12</v>
      </c>
      <c r="M63" s="17" t="n">
        <f aca="false">ROUNDDOWN(227.945*(L63+0.5 - 5)^0.934579 + 300,0)</f>
        <v>1798</v>
      </c>
      <c r="N63" s="247" t="n">
        <f aca="false">TblMili[[#This Row],[Smithies]]</f>
        <v>0.162857142857143</v>
      </c>
      <c r="O63" s="247" t="n">
        <f aca="false">TblPop[[#This Row],[Employment]]</f>
        <v>1</v>
      </c>
      <c r="P63" s="247" t="n">
        <f aca="false">TblImps[[#This Row],[Population]]</f>
        <v>1</v>
      </c>
      <c r="Q63" s="181" t="n">
        <f aca="false">TblExplore[[#This Row],[Land]]</f>
        <v>700</v>
      </c>
      <c r="R63" s="170" t="n">
        <f aca="false">TblExplore[[#This Row],[Hour]]</f>
        <v>60</v>
      </c>
      <c r="S63" s="248"/>
      <c r="T63" s="182"/>
      <c r="U63" s="182"/>
      <c r="V63" s="182"/>
      <c r="W63" s="182"/>
      <c r="X63" s="182"/>
      <c r="Y63" s="182"/>
      <c r="Z63" s="182"/>
      <c r="AA63" s="153" t="n">
        <f aca="false">TblImps[[#This Row],[Real time]]</f>
        <v>45432.2083333333</v>
      </c>
      <c r="AB63" s="69" t="n">
        <f aca="false">TblMili[[#This Row],[Draftees]]</f>
        <v>1609</v>
      </c>
      <c r="AC63" s="69" t="n">
        <f aca="false">TblProd[[#This Row],[Platinum]]</f>
        <v>740222</v>
      </c>
      <c r="AD63" s="245"/>
      <c r="AE63" s="151" t="n">
        <f aca="false">TblExplore[[#This Row],[Land]]-TblExplore[[#This Row],[Land Bonus]]*20</f>
        <v>700</v>
      </c>
      <c r="AF63" s="69" t="n">
        <f aca="false">ROUND(MAX(0.6*TblExplore[[#This Row],[Land-DB]]^1.299,850)*(1+ tech_2_6*Techs!AC63 + tech_2_9*Techs!AF63 + tech_3_7*Techs!AN63 + Overview!$I$32),0)</f>
        <v>2978</v>
      </c>
      <c r="AG6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3" s="69" t="n">
        <f aca="false">SUM(TblExplore[[#This Row],[Plains Explore]:[Water Explore]])*TblExplore[[#This Row],[Plat/acre]]</f>
        <v>0</v>
      </c>
      <c r="AI63" s="69" t="n">
        <f aca="false">SUM(TblExplore[[#This Row],[Plains Explore]:[Water Explore]])*TblExplore[[#This Row],[Draftees/acre]]</f>
        <v>0</v>
      </c>
      <c r="AJ63" s="151" t="n">
        <f aca="false">_xlfn.FLOOR.MATH(MIN(TblExplore[[#This Row],[Platinum]]/TblExplore[[#This Row],[Plat/acre]],TblExplore[[#This Row],[Draftees]]/TblExplore[[#This Row],[Draftees/acre]]))</f>
        <v>229</v>
      </c>
    </row>
    <row r="64" customFormat="false" ht="12.75" hidden="false" customHeight="false" outlineLevel="0" collapsed="false">
      <c r="A64" s="170" t="n">
        <f aca="false">TblRezone[[#This Row],[Hour]]</f>
        <v>61</v>
      </c>
      <c r="B64" s="181" t="n">
        <f aca="false">TblConstr[[#This Row],[Land]]</f>
        <v>700</v>
      </c>
      <c r="C64" s="245"/>
      <c r="D64" s="246" t="n">
        <f aca="false">TblConstr[[#This Row],[Plain]]</f>
        <v>0</v>
      </c>
      <c r="E64" s="193" t="n">
        <f aca="false">TblConstr[[#This Row],[Forest]]</f>
        <v>0</v>
      </c>
      <c r="F64" s="200" t="n">
        <f aca="false">TblConstr[[#This Row],[Mountain]]</f>
        <v>0</v>
      </c>
      <c r="G64" s="201" t="n">
        <f aca="false">TblConstr[[#This Row],[Hill]]</f>
        <v>0</v>
      </c>
      <c r="H64" s="202" t="n">
        <f aca="false">TblConstr[[#This Row],[Swamp]]</f>
        <v>0</v>
      </c>
      <c r="I64" s="197" t="n">
        <f aca="false">TblConstr[[#This Row],[Cavern]]</f>
        <v>0</v>
      </c>
      <c r="J64" s="198" t="n">
        <f aca="false">TblConstr[[#This Row],[Water]]</f>
        <v>0</v>
      </c>
      <c r="K64" s="4"/>
      <c r="L64" s="15" t="n">
        <v>13</v>
      </c>
      <c r="M64" s="17" t="n">
        <f aca="false">ROUNDDOWN(227.945*(L64+0.5 - 5)^0.934579 + 300,0)</f>
        <v>1984</v>
      </c>
      <c r="N64" s="247" t="n">
        <f aca="false">TblMili[[#This Row],[Smithies]]</f>
        <v>0.18</v>
      </c>
      <c r="O64" s="247" t="n">
        <f aca="false">TblPop[[#This Row],[Employment]]</f>
        <v>1</v>
      </c>
      <c r="P64" s="247" t="n">
        <f aca="false">TblImps[[#This Row],[Population]]</f>
        <v>1</v>
      </c>
      <c r="Q64" s="181" t="n">
        <f aca="false">TblExplore[[#This Row],[Land]]</f>
        <v>700</v>
      </c>
      <c r="R64" s="170" t="n">
        <f aca="false">TblExplore[[#This Row],[Hour]]</f>
        <v>61</v>
      </c>
      <c r="S64" s="248"/>
      <c r="T64" s="182"/>
      <c r="U64" s="182"/>
      <c r="V64" s="182"/>
      <c r="W64" s="182"/>
      <c r="X64" s="182"/>
      <c r="Y64" s="182"/>
      <c r="Z64" s="182"/>
      <c r="AA64" s="153" t="n">
        <f aca="false">TblImps[[#This Row],[Real time]]</f>
        <v>45432.25</v>
      </c>
      <c r="AB64" s="69" t="n">
        <f aca="false">TblMili[[#This Row],[Draftees]]</f>
        <v>396</v>
      </c>
      <c r="AC64" s="69" t="n">
        <f aca="false">TblProd[[#This Row],[Platinum]]</f>
        <v>12986</v>
      </c>
      <c r="AD64" s="245"/>
      <c r="AE64" s="151" t="n">
        <f aca="false">TblExplore[[#This Row],[Land]]-TblExplore[[#This Row],[Land Bonus]]*20</f>
        <v>700</v>
      </c>
      <c r="AF64" s="69" t="n">
        <f aca="false">ROUND(MAX(0.6*TblExplore[[#This Row],[Land-DB]]^1.299,850)*(1+ tech_2_6*Techs!AC64 + tech_2_9*Techs!AF64 + tech_3_7*Techs!AN64 + Overview!$I$32),0)</f>
        <v>2978</v>
      </c>
      <c r="AG6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4" s="69" t="n">
        <f aca="false">SUM(TblExplore[[#This Row],[Plains Explore]:[Water Explore]])*TblExplore[[#This Row],[Plat/acre]]</f>
        <v>0</v>
      </c>
      <c r="AI64" s="69" t="n">
        <f aca="false">SUM(TblExplore[[#This Row],[Plains Explore]:[Water Explore]])*TblExplore[[#This Row],[Draftees/acre]]</f>
        <v>0</v>
      </c>
      <c r="AJ64" s="151" t="n">
        <f aca="false">_xlfn.FLOOR.MATH(MIN(TblExplore[[#This Row],[Platinum]]/TblExplore[[#This Row],[Plat/acre]],TblExplore[[#This Row],[Draftees]]/TblExplore[[#This Row],[Draftees/acre]]))</f>
        <v>4</v>
      </c>
    </row>
    <row r="65" customFormat="false" ht="12.75" hidden="false" customHeight="false" outlineLevel="0" collapsed="false">
      <c r="A65" s="170" t="n">
        <f aca="false">TblRezone[[#This Row],[Hour]]</f>
        <v>62</v>
      </c>
      <c r="B65" s="181" t="n">
        <f aca="false">TblConstr[[#This Row],[Land]]</f>
        <v>700</v>
      </c>
      <c r="C65" s="245"/>
      <c r="D65" s="246" t="n">
        <f aca="false">TblConstr[[#This Row],[Plain]]</f>
        <v>0</v>
      </c>
      <c r="E65" s="193" t="n">
        <f aca="false">TblConstr[[#This Row],[Forest]]</f>
        <v>0</v>
      </c>
      <c r="F65" s="200" t="n">
        <f aca="false">TblConstr[[#This Row],[Mountain]]</f>
        <v>0</v>
      </c>
      <c r="G65" s="201" t="n">
        <f aca="false">TblConstr[[#This Row],[Hill]]</f>
        <v>0</v>
      </c>
      <c r="H65" s="202" t="n">
        <f aca="false">TblConstr[[#This Row],[Swamp]]</f>
        <v>0</v>
      </c>
      <c r="I65" s="197" t="n">
        <f aca="false">TblConstr[[#This Row],[Cavern]]</f>
        <v>0</v>
      </c>
      <c r="J65" s="198" t="n">
        <f aca="false">TblConstr[[#This Row],[Water]]</f>
        <v>0</v>
      </c>
      <c r="K65" s="4"/>
      <c r="L65" s="15" t="n">
        <v>14</v>
      </c>
      <c r="M65" s="17" t="n">
        <f aca="false">ROUNDDOWN(227.945*(L65+0.5 - 5)^0.934579 + 300,0)</f>
        <v>2168</v>
      </c>
      <c r="N65" s="247" t="n">
        <f aca="false">TblMili[[#This Row],[Smithies]]</f>
        <v>0.18</v>
      </c>
      <c r="O65" s="247" t="n">
        <f aca="false">TblPop[[#This Row],[Employment]]</f>
        <v>1</v>
      </c>
      <c r="P65" s="247" t="n">
        <f aca="false">TblImps[[#This Row],[Population]]</f>
        <v>1</v>
      </c>
      <c r="Q65" s="181" t="n">
        <f aca="false">TblExplore[[#This Row],[Land]]</f>
        <v>700</v>
      </c>
      <c r="R65" s="170" t="n">
        <f aca="false">TblExplore[[#This Row],[Hour]]</f>
        <v>62</v>
      </c>
      <c r="S65" s="248"/>
      <c r="T65" s="182"/>
      <c r="U65" s="182"/>
      <c r="V65" s="182"/>
      <c r="W65" s="182"/>
      <c r="X65" s="182"/>
      <c r="Y65" s="182"/>
      <c r="Z65" s="182"/>
      <c r="AA65" s="153" t="n">
        <f aca="false">TblImps[[#This Row],[Real time]]</f>
        <v>45432.2916666667</v>
      </c>
      <c r="AB65" s="69" t="n">
        <f aca="false">TblMili[[#This Row],[Draftees]]</f>
        <v>498</v>
      </c>
      <c r="AC65" s="69" t="n">
        <f aca="false">TblProd[[#This Row],[Platinum]]</f>
        <v>55184</v>
      </c>
      <c r="AD65" s="245"/>
      <c r="AE65" s="151" t="n">
        <f aca="false">TblExplore[[#This Row],[Land]]-TblExplore[[#This Row],[Land Bonus]]*20</f>
        <v>700</v>
      </c>
      <c r="AF65" s="69" t="n">
        <f aca="false">ROUND(MAX(0.6*TblExplore[[#This Row],[Land-DB]]^1.299,850)*(1+ tech_2_6*Techs!AC65 + tech_2_9*Techs!AF65 + tech_3_7*Techs!AN65 + Overview!$I$32),0)</f>
        <v>2978</v>
      </c>
      <c r="AG6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5" s="69" t="n">
        <f aca="false">SUM(TblExplore[[#This Row],[Plains Explore]:[Water Explore]])*TblExplore[[#This Row],[Plat/acre]]</f>
        <v>0</v>
      </c>
      <c r="AI65" s="69" t="n">
        <f aca="false">SUM(TblExplore[[#This Row],[Plains Explore]:[Water Explore]])*TblExplore[[#This Row],[Draftees/acre]]</f>
        <v>0</v>
      </c>
      <c r="AJ65" s="151" t="n">
        <f aca="false">_xlfn.FLOOR.MATH(MIN(TblExplore[[#This Row],[Platinum]]/TblExplore[[#This Row],[Plat/acre]],TblExplore[[#This Row],[Draftees]]/TblExplore[[#This Row],[Draftees/acre]]))</f>
        <v>18</v>
      </c>
    </row>
    <row r="66" customFormat="false" ht="12.75" hidden="false" customHeight="false" outlineLevel="0" collapsed="false">
      <c r="A66" s="170" t="n">
        <f aca="false">TblRezone[[#This Row],[Hour]]</f>
        <v>63</v>
      </c>
      <c r="B66" s="181" t="n">
        <f aca="false">TblConstr[[#This Row],[Land]]</f>
        <v>700</v>
      </c>
      <c r="C66" s="245"/>
      <c r="D66" s="246" t="n">
        <f aca="false">TblConstr[[#This Row],[Plain]]</f>
        <v>0</v>
      </c>
      <c r="E66" s="193" t="n">
        <f aca="false">TblConstr[[#This Row],[Forest]]</f>
        <v>0</v>
      </c>
      <c r="F66" s="200" t="n">
        <f aca="false">TblConstr[[#This Row],[Mountain]]</f>
        <v>0</v>
      </c>
      <c r="G66" s="201" t="n">
        <f aca="false">TblConstr[[#This Row],[Hill]]</f>
        <v>0</v>
      </c>
      <c r="H66" s="202" t="n">
        <f aca="false">TblConstr[[#This Row],[Swamp]]</f>
        <v>0</v>
      </c>
      <c r="I66" s="197" t="n">
        <f aca="false">TblConstr[[#This Row],[Cavern]]</f>
        <v>0</v>
      </c>
      <c r="J66" s="198" t="n">
        <f aca="false">TblConstr[[#This Row],[Water]]</f>
        <v>0</v>
      </c>
      <c r="K66" s="4"/>
      <c r="L66" s="15" t="n">
        <v>15</v>
      </c>
      <c r="M66" s="17" t="n">
        <f aca="false">ROUNDDOWN(227.945*(L66+0.5 - 5)^0.934579 + 300,0)</f>
        <v>2352</v>
      </c>
      <c r="N66" s="247" t="n">
        <f aca="false">TblMili[[#This Row],[Smithies]]</f>
        <v>0.18</v>
      </c>
      <c r="O66" s="247" t="n">
        <f aca="false">TblPop[[#This Row],[Employment]]</f>
        <v>1</v>
      </c>
      <c r="P66" s="247" t="n">
        <f aca="false">TblImps[[#This Row],[Population]]</f>
        <v>1</v>
      </c>
      <c r="Q66" s="181" t="n">
        <f aca="false">TblExplore[[#This Row],[Land]]</f>
        <v>700</v>
      </c>
      <c r="R66" s="170" t="n">
        <f aca="false">TblExplore[[#This Row],[Hour]]</f>
        <v>63</v>
      </c>
      <c r="S66" s="248"/>
      <c r="T66" s="182"/>
      <c r="U66" s="182"/>
      <c r="V66" s="182"/>
      <c r="W66" s="182"/>
      <c r="X66" s="182"/>
      <c r="Y66" s="182"/>
      <c r="Z66" s="182"/>
      <c r="AA66" s="153" t="n">
        <f aca="false">TblImps[[#This Row],[Real time]]</f>
        <v>45432.3333333333</v>
      </c>
      <c r="AB66" s="69" t="n">
        <f aca="false">TblMili[[#This Row],[Draftees]]</f>
        <v>599</v>
      </c>
      <c r="AC66" s="69" t="n">
        <f aca="false">TblProd[[#This Row],[Platinum]]</f>
        <v>96824</v>
      </c>
      <c r="AD66" s="245"/>
      <c r="AE66" s="151" t="n">
        <f aca="false">TblExplore[[#This Row],[Land]]-TblExplore[[#This Row],[Land Bonus]]*20</f>
        <v>700</v>
      </c>
      <c r="AF66" s="69" t="n">
        <f aca="false">ROUND(MAX(0.6*TblExplore[[#This Row],[Land-DB]]^1.299,850)*(1+ tech_2_6*Techs!AC66 + tech_2_9*Techs!AF66 + tech_3_7*Techs!AN66 + Overview!$I$32),0)</f>
        <v>2978</v>
      </c>
      <c r="AG6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6" s="69" t="n">
        <f aca="false">SUM(TblExplore[[#This Row],[Plains Explore]:[Water Explore]])*TblExplore[[#This Row],[Plat/acre]]</f>
        <v>0</v>
      </c>
      <c r="AI66" s="69" t="n">
        <f aca="false">SUM(TblExplore[[#This Row],[Plains Explore]:[Water Explore]])*TblExplore[[#This Row],[Draftees/acre]]</f>
        <v>0</v>
      </c>
      <c r="AJ66" s="151" t="n">
        <f aca="false">_xlfn.FLOOR.MATH(MIN(TblExplore[[#This Row],[Platinum]]/TblExplore[[#This Row],[Plat/acre]],TblExplore[[#This Row],[Draftees]]/TblExplore[[#This Row],[Draftees/acre]]))</f>
        <v>32</v>
      </c>
    </row>
    <row r="67" customFormat="false" ht="12.75" hidden="false" customHeight="false" outlineLevel="0" collapsed="false">
      <c r="A67" s="170" t="n">
        <f aca="false">TblRezone[[#This Row],[Hour]]</f>
        <v>64</v>
      </c>
      <c r="B67" s="181" t="n">
        <f aca="false">TblConstr[[#This Row],[Land]]</f>
        <v>700</v>
      </c>
      <c r="C67" s="245"/>
      <c r="D67" s="246" t="n">
        <f aca="false">TblConstr[[#This Row],[Plain]]</f>
        <v>0</v>
      </c>
      <c r="E67" s="193" t="n">
        <f aca="false">TblConstr[[#This Row],[Forest]]</f>
        <v>0</v>
      </c>
      <c r="F67" s="200" t="n">
        <f aca="false">TblConstr[[#This Row],[Mountain]]</f>
        <v>0</v>
      </c>
      <c r="G67" s="201" t="n">
        <f aca="false">TblConstr[[#This Row],[Hill]]</f>
        <v>0</v>
      </c>
      <c r="H67" s="202" t="n">
        <f aca="false">TblConstr[[#This Row],[Swamp]]</f>
        <v>0</v>
      </c>
      <c r="I67" s="197" t="n">
        <f aca="false">TblConstr[[#This Row],[Cavern]]</f>
        <v>0</v>
      </c>
      <c r="J67" s="198" t="n">
        <f aca="false">TblConstr[[#This Row],[Water]]</f>
        <v>0</v>
      </c>
      <c r="K67" s="4"/>
      <c r="L67" s="15" t="n">
        <v>16</v>
      </c>
      <c r="M67" s="17" t="n">
        <f aca="false">ROUNDDOWN(227.945*(L67+0.5 - 5)^0.934579 + 300,0)</f>
        <v>2534</v>
      </c>
      <c r="N67" s="247" t="n">
        <f aca="false">TblMili[[#This Row],[Smithies]]</f>
        <v>0.18</v>
      </c>
      <c r="O67" s="247" t="n">
        <f aca="false">TblPop[[#This Row],[Employment]]</f>
        <v>1</v>
      </c>
      <c r="P67" s="247" t="n">
        <f aca="false">TblImps[[#This Row],[Population]]</f>
        <v>1</v>
      </c>
      <c r="Q67" s="181" t="n">
        <f aca="false">TblExplore[[#This Row],[Land]]</f>
        <v>700</v>
      </c>
      <c r="R67" s="170" t="n">
        <f aca="false">TblExplore[[#This Row],[Hour]]</f>
        <v>64</v>
      </c>
      <c r="S67" s="248"/>
      <c r="T67" s="182"/>
      <c r="U67" s="182"/>
      <c r="V67" s="182"/>
      <c r="W67" s="182"/>
      <c r="X67" s="182"/>
      <c r="Y67" s="182"/>
      <c r="Z67" s="182"/>
      <c r="AA67" s="153" t="n">
        <f aca="false">TblImps[[#This Row],[Real time]]</f>
        <v>45432.375</v>
      </c>
      <c r="AB67" s="69" t="n">
        <f aca="false">TblMili[[#This Row],[Draftees]]</f>
        <v>0</v>
      </c>
      <c r="AC67" s="69" t="n">
        <f aca="false">TblProd[[#This Row],[Platinum]]</f>
        <v>7459</v>
      </c>
      <c r="AD67" s="245"/>
      <c r="AE67" s="151" t="n">
        <f aca="false">TblExplore[[#This Row],[Land]]-TblExplore[[#This Row],[Land Bonus]]*20</f>
        <v>700</v>
      </c>
      <c r="AF67" s="69" t="n">
        <f aca="false">ROUND(MAX(0.6*TblExplore[[#This Row],[Land-DB]]^1.299,850)*(1+ tech_2_6*Techs!AC67 + tech_2_9*Techs!AF67 + tech_3_7*Techs!AN67 + Overview!$I$32),0)</f>
        <v>2978</v>
      </c>
      <c r="AG6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7" s="69" t="n">
        <f aca="false">SUM(TblExplore[[#This Row],[Plains Explore]:[Water Explore]])*TblExplore[[#This Row],[Plat/acre]]</f>
        <v>0</v>
      </c>
      <c r="AI67" s="69" t="n">
        <f aca="false">SUM(TblExplore[[#This Row],[Plains Explore]:[Water Explore]])*TblExplore[[#This Row],[Draftees/acre]]</f>
        <v>0</v>
      </c>
      <c r="AJ67" s="151" t="n">
        <f aca="false">_xlfn.FLOOR.MATH(MIN(TblExplore[[#This Row],[Platinum]]/TblExplore[[#This Row],[Plat/acre]],TblExplore[[#This Row],[Draftees]]/TblExplore[[#This Row],[Draftees/acre]]))</f>
        <v>0</v>
      </c>
    </row>
    <row r="68" customFormat="false" ht="12.75" hidden="false" customHeight="false" outlineLevel="0" collapsed="false">
      <c r="A68" s="170" t="n">
        <f aca="false">TblRezone[[#This Row],[Hour]]</f>
        <v>65</v>
      </c>
      <c r="B68" s="181" t="n">
        <f aca="false">TblConstr[[#This Row],[Land]]</f>
        <v>700</v>
      </c>
      <c r="C68" s="245"/>
      <c r="D68" s="246" t="n">
        <f aca="false">TblConstr[[#This Row],[Plain]]</f>
        <v>0</v>
      </c>
      <c r="E68" s="193" t="n">
        <f aca="false">TblConstr[[#This Row],[Forest]]</f>
        <v>0</v>
      </c>
      <c r="F68" s="200" t="n">
        <f aca="false">TblConstr[[#This Row],[Mountain]]</f>
        <v>0</v>
      </c>
      <c r="G68" s="201" t="n">
        <f aca="false">TblConstr[[#This Row],[Hill]]</f>
        <v>0</v>
      </c>
      <c r="H68" s="202" t="n">
        <f aca="false">TblConstr[[#This Row],[Swamp]]</f>
        <v>0</v>
      </c>
      <c r="I68" s="197" t="n">
        <f aca="false">TblConstr[[#This Row],[Cavern]]</f>
        <v>0</v>
      </c>
      <c r="J68" s="198" t="n">
        <f aca="false">TblConstr[[#This Row],[Water]]</f>
        <v>0</v>
      </c>
      <c r="K68" s="4"/>
      <c r="L68" s="15" t="n">
        <v>17</v>
      </c>
      <c r="M68" s="17" t="n">
        <f aca="false">ROUNDDOWN(227.945*(L68+0.5 - 5)^0.934579 + 300,0)</f>
        <v>2715</v>
      </c>
      <c r="N68" s="247" t="n">
        <f aca="false">TblMili[[#This Row],[Smithies]]</f>
        <v>0.18</v>
      </c>
      <c r="O68" s="247" t="n">
        <f aca="false">TblPop[[#This Row],[Employment]]</f>
        <v>1</v>
      </c>
      <c r="P68" s="247" t="n">
        <f aca="false">TblImps[[#This Row],[Population]]</f>
        <v>1</v>
      </c>
      <c r="Q68" s="181" t="n">
        <f aca="false">TblExplore[[#This Row],[Land]]</f>
        <v>700</v>
      </c>
      <c r="R68" s="170" t="n">
        <f aca="false">TblExplore[[#This Row],[Hour]]</f>
        <v>65</v>
      </c>
      <c r="S68" s="248"/>
      <c r="T68" s="182"/>
      <c r="U68" s="182"/>
      <c r="V68" s="182"/>
      <c r="W68" s="182"/>
      <c r="X68" s="182"/>
      <c r="Y68" s="182"/>
      <c r="Z68" s="182"/>
      <c r="AA68" s="153" t="n">
        <f aca="false">TblImps[[#This Row],[Real time]]</f>
        <v>45432.4166666667</v>
      </c>
      <c r="AB68" s="69" t="n">
        <f aca="false">TblMili[[#This Row],[Draftees]]</f>
        <v>3</v>
      </c>
      <c r="AC68" s="69" t="n">
        <f aca="false">TblProd[[#This Row],[Platinum]]</f>
        <v>36150</v>
      </c>
      <c r="AD68" s="245"/>
      <c r="AE68" s="151" t="n">
        <f aca="false">TblExplore[[#This Row],[Land]]-TblExplore[[#This Row],[Land Bonus]]*20</f>
        <v>700</v>
      </c>
      <c r="AF68" s="69" t="n">
        <f aca="false">ROUND(MAX(0.6*TblExplore[[#This Row],[Land-DB]]^1.299,850)*(1+ tech_2_6*Techs!AC68 + tech_2_9*Techs!AF68 + tech_3_7*Techs!AN68 + Overview!$I$32),0)</f>
        <v>2978</v>
      </c>
      <c r="AG6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8" s="69" t="n">
        <f aca="false">SUM(TblExplore[[#This Row],[Plains Explore]:[Water Explore]])*TblExplore[[#This Row],[Plat/acre]]</f>
        <v>0</v>
      </c>
      <c r="AI68" s="69" t="n">
        <f aca="false">SUM(TblExplore[[#This Row],[Plains Explore]:[Water Explore]])*TblExplore[[#This Row],[Draftees/acre]]</f>
        <v>0</v>
      </c>
      <c r="AJ68" s="151" t="n">
        <f aca="false">_xlfn.FLOOR.MATH(MIN(TblExplore[[#This Row],[Platinum]]/TblExplore[[#This Row],[Plat/acre]],TblExplore[[#This Row],[Draftees]]/TblExplore[[#This Row],[Draftees/acre]]))</f>
        <v>0</v>
      </c>
    </row>
    <row r="69" customFormat="false" ht="12.75" hidden="false" customHeight="false" outlineLevel="0" collapsed="false">
      <c r="A69" s="170" t="n">
        <f aca="false">TblRezone[[#This Row],[Hour]]</f>
        <v>66</v>
      </c>
      <c r="B69" s="181" t="n">
        <f aca="false">TblConstr[[#This Row],[Land]]</f>
        <v>700</v>
      </c>
      <c r="C69" s="245"/>
      <c r="D69" s="246" t="n">
        <f aca="false">TblConstr[[#This Row],[Plain]]</f>
        <v>0</v>
      </c>
      <c r="E69" s="193" t="n">
        <f aca="false">TblConstr[[#This Row],[Forest]]</f>
        <v>0</v>
      </c>
      <c r="F69" s="200" t="n">
        <f aca="false">TblConstr[[#This Row],[Mountain]]</f>
        <v>0</v>
      </c>
      <c r="G69" s="201" t="n">
        <f aca="false">TblConstr[[#This Row],[Hill]]</f>
        <v>0</v>
      </c>
      <c r="H69" s="202" t="n">
        <f aca="false">TblConstr[[#This Row],[Swamp]]</f>
        <v>0</v>
      </c>
      <c r="I69" s="197" t="n">
        <f aca="false">TblConstr[[#This Row],[Cavern]]</f>
        <v>0</v>
      </c>
      <c r="J69" s="198" t="n">
        <f aca="false">TblConstr[[#This Row],[Water]]</f>
        <v>0</v>
      </c>
      <c r="K69" s="4"/>
      <c r="L69" s="262" t="n">
        <v>18</v>
      </c>
      <c r="M69" s="263" t="n">
        <f aca="false">ROUNDDOWN(227.945*(L69+0.5 - 5)^0.934579 + 300,0)</f>
        <v>2895</v>
      </c>
      <c r="N69" s="247" t="n">
        <f aca="false">TblMili[[#This Row],[Smithies]]</f>
        <v>0.18</v>
      </c>
      <c r="O69" s="247" t="n">
        <f aca="false">TblPop[[#This Row],[Employment]]</f>
        <v>1</v>
      </c>
      <c r="P69" s="247" t="n">
        <f aca="false">TblImps[[#This Row],[Population]]</f>
        <v>1</v>
      </c>
      <c r="Q69" s="181" t="n">
        <f aca="false">TblExplore[[#This Row],[Land]]</f>
        <v>700</v>
      </c>
      <c r="R69" s="170" t="n">
        <f aca="false">TblExplore[[#This Row],[Hour]]</f>
        <v>66</v>
      </c>
      <c r="S69" s="248"/>
      <c r="T69" s="182"/>
      <c r="U69" s="182"/>
      <c r="V69" s="182"/>
      <c r="W69" s="182"/>
      <c r="X69" s="182"/>
      <c r="Y69" s="182"/>
      <c r="Z69" s="182"/>
      <c r="AA69" s="153" t="n">
        <f aca="false">TblImps[[#This Row],[Real time]]</f>
        <v>45432.4583333333</v>
      </c>
      <c r="AB69" s="69" t="n">
        <f aca="false">TblMili[[#This Row],[Draftees]]</f>
        <v>6</v>
      </c>
      <c r="AC69" s="69" t="n">
        <f aca="false">TblProd[[#This Row],[Platinum]]</f>
        <v>64993</v>
      </c>
      <c r="AD69" s="245"/>
      <c r="AE69" s="151" t="n">
        <f aca="false">TblExplore[[#This Row],[Land]]-TblExplore[[#This Row],[Land Bonus]]*20</f>
        <v>700</v>
      </c>
      <c r="AF69" s="69" t="n">
        <f aca="false">ROUND(MAX(0.6*TblExplore[[#This Row],[Land-DB]]^1.299,850)*(1+ tech_2_6*Techs!AC69 + tech_2_9*Techs!AF69 + tech_3_7*Techs!AN69 + Overview!$I$32),0)</f>
        <v>2978</v>
      </c>
      <c r="AG6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9" s="69" t="n">
        <f aca="false">SUM(TblExplore[[#This Row],[Plains Explore]:[Water Explore]])*TblExplore[[#This Row],[Plat/acre]]</f>
        <v>0</v>
      </c>
      <c r="AI69" s="69" t="n">
        <f aca="false">SUM(TblExplore[[#This Row],[Plains Explore]:[Water Explore]])*TblExplore[[#This Row],[Draftees/acre]]</f>
        <v>0</v>
      </c>
      <c r="AJ69" s="151" t="n">
        <f aca="false">_xlfn.FLOOR.MATH(MIN(TblExplore[[#This Row],[Platinum]]/TblExplore[[#This Row],[Plat/acre]],TblExplore[[#This Row],[Draftees]]/TblExplore[[#This Row],[Draftees/acre]]))</f>
        <v>0</v>
      </c>
    </row>
    <row r="70" customFormat="false" ht="12.75" hidden="false" customHeight="false" outlineLevel="0" collapsed="false">
      <c r="A70" s="170" t="n">
        <f aca="false">TblRezone[[#This Row],[Hour]]</f>
        <v>67</v>
      </c>
      <c r="B70" s="181" t="n">
        <f aca="false">TblConstr[[#This Row],[Land]]</f>
        <v>700</v>
      </c>
      <c r="C70" s="245"/>
      <c r="D70" s="246" t="n">
        <f aca="false">TblConstr[[#This Row],[Plain]]</f>
        <v>0</v>
      </c>
      <c r="E70" s="193" t="n">
        <f aca="false">TblConstr[[#This Row],[Forest]]</f>
        <v>0</v>
      </c>
      <c r="F70" s="200" t="n">
        <f aca="false">TblConstr[[#This Row],[Mountain]]</f>
        <v>0</v>
      </c>
      <c r="G70" s="201" t="n">
        <f aca="false">TblConstr[[#This Row],[Hill]]</f>
        <v>0</v>
      </c>
      <c r="H70" s="202" t="n">
        <f aca="false">TblConstr[[#This Row],[Swamp]]</f>
        <v>0</v>
      </c>
      <c r="I70" s="197" t="n">
        <f aca="false">TblConstr[[#This Row],[Cavern]]</f>
        <v>0</v>
      </c>
      <c r="J70" s="198" t="n">
        <f aca="false">TblConstr[[#This Row],[Water]]</f>
        <v>0</v>
      </c>
      <c r="K70" s="4"/>
      <c r="L70" s="4"/>
      <c r="M70" s="4"/>
      <c r="N70" s="247" t="n">
        <f aca="false">TblMili[[#This Row],[Smithies]]</f>
        <v>0.18</v>
      </c>
      <c r="O70" s="247" t="n">
        <f aca="false">TblPop[[#This Row],[Employment]]</f>
        <v>1</v>
      </c>
      <c r="P70" s="247" t="n">
        <f aca="false">TblImps[[#This Row],[Population]]</f>
        <v>1</v>
      </c>
      <c r="Q70" s="181" t="n">
        <f aca="false">TblExplore[[#This Row],[Land]]</f>
        <v>700</v>
      </c>
      <c r="R70" s="170" t="n">
        <f aca="false">TblExplore[[#This Row],[Hour]]</f>
        <v>67</v>
      </c>
      <c r="S70" s="248"/>
      <c r="T70" s="182"/>
      <c r="U70" s="182"/>
      <c r="V70" s="182"/>
      <c r="W70" s="182"/>
      <c r="X70" s="182"/>
      <c r="Y70" s="182"/>
      <c r="Z70" s="182"/>
      <c r="AA70" s="153" t="n">
        <f aca="false">TblImps[[#This Row],[Real time]]</f>
        <v>45432.5</v>
      </c>
      <c r="AB70" s="69" t="n">
        <f aca="false">TblMili[[#This Row],[Draftees]]</f>
        <v>0</v>
      </c>
      <c r="AC70" s="69" t="n">
        <f aca="false">TblProd[[#This Row],[Platinum]]</f>
        <v>68189</v>
      </c>
      <c r="AD70" s="245"/>
      <c r="AE70" s="151" t="n">
        <f aca="false">TblExplore[[#This Row],[Land]]-TblExplore[[#This Row],[Land Bonus]]*20</f>
        <v>700</v>
      </c>
      <c r="AF70" s="69" t="n">
        <f aca="false">ROUND(MAX(0.6*TblExplore[[#This Row],[Land-DB]]^1.299,850)*(1+ tech_2_6*Techs!AC70 + tech_2_9*Techs!AF70 + tech_3_7*Techs!AN70 + Overview!$I$32),0)</f>
        <v>2978</v>
      </c>
      <c r="AG7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0" s="69" t="n">
        <f aca="false">SUM(TblExplore[[#This Row],[Plains Explore]:[Water Explore]])*TblExplore[[#This Row],[Plat/acre]]</f>
        <v>0</v>
      </c>
      <c r="AI70" s="69" t="n">
        <f aca="false">SUM(TblExplore[[#This Row],[Plains Explore]:[Water Explore]])*TblExplore[[#This Row],[Draftees/acre]]</f>
        <v>0</v>
      </c>
      <c r="AJ70" s="151" t="n">
        <f aca="false">_xlfn.FLOOR.MATH(MIN(TblExplore[[#This Row],[Platinum]]/TblExplore[[#This Row],[Plat/acre]],TblExplore[[#This Row],[Draftees]]/TblExplore[[#This Row],[Draftees/acre]]))</f>
        <v>0</v>
      </c>
    </row>
    <row r="71" customFormat="false" ht="12.75" hidden="false" customHeight="false" outlineLevel="0" collapsed="false">
      <c r="A71" s="170" t="n">
        <f aca="false">TblRezone[[#This Row],[Hour]]</f>
        <v>68</v>
      </c>
      <c r="B71" s="181" t="n">
        <f aca="false">TblConstr[[#This Row],[Land]]</f>
        <v>700</v>
      </c>
      <c r="C71" s="245"/>
      <c r="D71" s="246" t="n">
        <f aca="false">TblConstr[[#This Row],[Plain]]</f>
        <v>0</v>
      </c>
      <c r="E71" s="193" t="n">
        <f aca="false">TblConstr[[#This Row],[Forest]]</f>
        <v>0</v>
      </c>
      <c r="F71" s="200" t="n">
        <f aca="false">TblConstr[[#This Row],[Mountain]]</f>
        <v>0</v>
      </c>
      <c r="G71" s="201" t="n">
        <f aca="false">TblConstr[[#This Row],[Hill]]</f>
        <v>0</v>
      </c>
      <c r="H71" s="202" t="n">
        <f aca="false">TblConstr[[#This Row],[Swamp]]</f>
        <v>0</v>
      </c>
      <c r="I71" s="197" t="n">
        <f aca="false">TblConstr[[#This Row],[Cavern]]</f>
        <v>0</v>
      </c>
      <c r="J71" s="198" t="n">
        <f aca="false">TblConstr[[#This Row],[Water]]</f>
        <v>0</v>
      </c>
      <c r="K71" s="4"/>
      <c r="L71" s="4"/>
      <c r="M71" s="4"/>
      <c r="N71" s="247" t="n">
        <f aca="false">TblMili[[#This Row],[Smithies]]</f>
        <v>0.18</v>
      </c>
      <c r="O71" s="247" t="n">
        <f aca="false">TblPop[[#This Row],[Employment]]</f>
        <v>1</v>
      </c>
      <c r="P71" s="247" t="n">
        <f aca="false">TblImps[[#This Row],[Population]]</f>
        <v>1</v>
      </c>
      <c r="Q71" s="181" t="n">
        <f aca="false">TblExplore[[#This Row],[Land]]</f>
        <v>700</v>
      </c>
      <c r="R71" s="170" t="n">
        <f aca="false">TblExplore[[#This Row],[Hour]]</f>
        <v>68</v>
      </c>
      <c r="S71" s="248"/>
      <c r="T71" s="182"/>
      <c r="U71" s="182"/>
      <c r="V71" s="182"/>
      <c r="W71" s="182"/>
      <c r="X71" s="182"/>
      <c r="Y71" s="182"/>
      <c r="Z71" s="182"/>
      <c r="AA71" s="153" t="n">
        <f aca="false">TblImps[[#This Row],[Real time]]</f>
        <v>45432.5416666667</v>
      </c>
      <c r="AB71" s="69" t="n">
        <f aca="false">TblMili[[#This Row],[Draftees]]</f>
        <v>0</v>
      </c>
      <c r="AC71" s="69" t="n">
        <f aca="false">TblProd[[#This Row],[Platinum]]</f>
        <v>74962</v>
      </c>
      <c r="AD71" s="245"/>
      <c r="AE71" s="151" t="n">
        <f aca="false">TblExplore[[#This Row],[Land]]-TblExplore[[#This Row],[Land Bonus]]*20</f>
        <v>700</v>
      </c>
      <c r="AF71" s="69" t="n">
        <f aca="false">ROUND(MAX(0.6*TblExplore[[#This Row],[Land-DB]]^1.299,850)*(1+ tech_2_6*Techs!AC71 + tech_2_9*Techs!AF71 + tech_3_7*Techs!AN71 + Overview!$I$32),0)</f>
        <v>2978</v>
      </c>
      <c r="AG7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1" s="69" t="n">
        <f aca="false">SUM(TblExplore[[#This Row],[Plains Explore]:[Water Explore]])*TblExplore[[#This Row],[Plat/acre]]</f>
        <v>0</v>
      </c>
      <c r="AI71" s="69" t="n">
        <f aca="false">SUM(TblExplore[[#This Row],[Plains Explore]:[Water Explore]])*TblExplore[[#This Row],[Draftees/acre]]</f>
        <v>0</v>
      </c>
      <c r="AJ71" s="151" t="n">
        <f aca="false">_xlfn.FLOOR.MATH(MIN(TblExplore[[#This Row],[Platinum]]/TblExplore[[#This Row],[Plat/acre]],TblExplore[[#This Row],[Draftees]]/TblExplore[[#This Row],[Draftees/acre]]))</f>
        <v>0</v>
      </c>
    </row>
    <row r="72" customFormat="false" ht="12.75" hidden="false" customHeight="false" outlineLevel="0" collapsed="false">
      <c r="A72" s="170" t="n">
        <f aca="false">TblRezone[[#This Row],[Hour]]</f>
        <v>69</v>
      </c>
      <c r="B72" s="181" t="n">
        <f aca="false">TblConstr[[#This Row],[Land]]</f>
        <v>700</v>
      </c>
      <c r="C72" s="245"/>
      <c r="D72" s="246" t="n">
        <f aca="false">TblConstr[[#This Row],[Plain]]</f>
        <v>0</v>
      </c>
      <c r="E72" s="193" t="n">
        <f aca="false">TblConstr[[#This Row],[Forest]]</f>
        <v>0</v>
      </c>
      <c r="F72" s="200" t="n">
        <f aca="false">TblConstr[[#This Row],[Mountain]]</f>
        <v>0</v>
      </c>
      <c r="G72" s="201" t="n">
        <f aca="false">TblConstr[[#This Row],[Hill]]</f>
        <v>0</v>
      </c>
      <c r="H72" s="202" t="n">
        <f aca="false">TblConstr[[#This Row],[Swamp]]</f>
        <v>0</v>
      </c>
      <c r="I72" s="197" t="n">
        <f aca="false">TblConstr[[#This Row],[Cavern]]</f>
        <v>0</v>
      </c>
      <c r="J72" s="198" t="n">
        <f aca="false">TblConstr[[#This Row],[Water]]</f>
        <v>0</v>
      </c>
      <c r="K72" s="4"/>
      <c r="L72" s="4"/>
      <c r="M72" s="4"/>
      <c r="N72" s="247" t="n">
        <f aca="false">TblMili[[#This Row],[Smithies]]</f>
        <v>0.18</v>
      </c>
      <c r="O72" s="247" t="n">
        <f aca="false">TblPop[[#This Row],[Employment]]</f>
        <v>1</v>
      </c>
      <c r="P72" s="247" t="n">
        <f aca="false">TblImps[[#This Row],[Population]]</f>
        <v>1</v>
      </c>
      <c r="Q72" s="181" t="n">
        <f aca="false">TblExplore[[#This Row],[Land]]</f>
        <v>700</v>
      </c>
      <c r="R72" s="170" t="n">
        <f aca="false">TblExplore[[#This Row],[Hour]]</f>
        <v>69</v>
      </c>
      <c r="S72" s="248"/>
      <c r="T72" s="182"/>
      <c r="U72" s="182"/>
      <c r="V72" s="182"/>
      <c r="W72" s="182"/>
      <c r="X72" s="182"/>
      <c r="Y72" s="182"/>
      <c r="Z72" s="182"/>
      <c r="AA72" s="153" t="n">
        <f aca="false">TblImps[[#This Row],[Real time]]</f>
        <v>45432.5833333333</v>
      </c>
      <c r="AB72" s="69" t="n">
        <f aca="false">TblMili[[#This Row],[Draftees]]</f>
        <v>0</v>
      </c>
      <c r="AC72" s="69" t="n">
        <f aca="false">TblProd[[#This Row],[Platinum]]</f>
        <v>60402</v>
      </c>
      <c r="AD72" s="245"/>
      <c r="AE72" s="151" t="n">
        <f aca="false">TblExplore[[#This Row],[Land]]-TblExplore[[#This Row],[Land Bonus]]*20</f>
        <v>700</v>
      </c>
      <c r="AF72" s="69" t="n">
        <f aca="false">ROUND(MAX(0.6*TblExplore[[#This Row],[Land-DB]]^1.299,850)*(1+ tech_2_6*Techs!AC72 + tech_2_9*Techs!AF72 + tech_3_7*Techs!AN72 + Overview!$I$32),0)</f>
        <v>2978</v>
      </c>
      <c r="AG7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2" s="69" t="n">
        <f aca="false">SUM(TblExplore[[#This Row],[Plains Explore]:[Water Explore]])*TblExplore[[#This Row],[Plat/acre]]</f>
        <v>0</v>
      </c>
      <c r="AI72" s="69" t="n">
        <f aca="false">SUM(TblExplore[[#This Row],[Plains Explore]:[Water Explore]])*TblExplore[[#This Row],[Draftees/acre]]</f>
        <v>0</v>
      </c>
      <c r="AJ72" s="151" t="n">
        <f aca="false">_xlfn.FLOOR.MATH(MIN(TblExplore[[#This Row],[Platinum]]/TblExplore[[#This Row],[Plat/acre]],TblExplore[[#This Row],[Draftees]]/TblExplore[[#This Row],[Draftees/acre]]))</f>
        <v>0</v>
      </c>
    </row>
    <row r="73" customFormat="false" ht="12.75" hidden="false" customHeight="false" outlineLevel="0" collapsed="false">
      <c r="A73" s="170" t="n">
        <f aca="false">TblRezone[[#This Row],[Hour]]</f>
        <v>70</v>
      </c>
      <c r="B73" s="181" t="n">
        <f aca="false">TblConstr[[#This Row],[Land]]</f>
        <v>700</v>
      </c>
      <c r="C73" s="245"/>
      <c r="D73" s="246" t="n">
        <f aca="false">TblConstr[[#This Row],[Plain]]</f>
        <v>0</v>
      </c>
      <c r="E73" s="193" t="n">
        <f aca="false">TblConstr[[#This Row],[Forest]]</f>
        <v>0</v>
      </c>
      <c r="F73" s="200" t="n">
        <f aca="false">TblConstr[[#This Row],[Mountain]]</f>
        <v>0</v>
      </c>
      <c r="G73" s="201" t="n">
        <f aca="false">TblConstr[[#This Row],[Hill]]</f>
        <v>0</v>
      </c>
      <c r="H73" s="202" t="n">
        <f aca="false">TblConstr[[#This Row],[Swamp]]</f>
        <v>0</v>
      </c>
      <c r="I73" s="197" t="n">
        <f aca="false">TblConstr[[#This Row],[Cavern]]</f>
        <v>0</v>
      </c>
      <c r="J73" s="198" t="n">
        <f aca="false">TblConstr[[#This Row],[Water]]</f>
        <v>0</v>
      </c>
      <c r="K73" s="4"/>
      <c r="L73" s="4"/>
      <c r="M73" s="4"/>
      <c r="N73" s="247" t="n">
        <f aca="false">TblMili[[#This Row],[Smithies]]</f>
        <v>0.18</v>
      </c>
      <c r="O73" s="247" t="n">
        <f aca="false">TblPop[[#This Row],[Employment]]</f>
        <v>1</v>
      </c>
      <c r="P73" s="247" t="n">
        <f aca="false">TblImps[[#This Row],[Population]]</f>
        <v>1</v>
      </c>
      <c r="Q73" s="181" t="n">
        <f aca="false">TblExplore[[#This Row],[Land]]</f>
        <v>700</v>
      </c>
      <c r="R73" s="170" t="n">
        <f aca="false">TblExplore[[#This Row],[Hour]]</f>
        <v>70</v>
      </c>
      <c r="S73" s="248"/>
      <c r="T73" s="182"/>
      <c r="U73" s="182"/>
      <c r="V73" s="182"/>
      <c r="W73" s="182"/>
      <c r="X73" s="182"/>
      <c r="Y73" s="182"/>
      <c r="Z73" s="182"/>
      <c r="AA73" s="153" t="n">
        <f aca="false">TblImps[[#This Row],[Real time]]</f>
        <v>45432.625</v>
      </c>
      <c r="AB73" s="69" t="n">
        <f aca="false">TblMili[[#This Row],[Draftees]]</f>
        <v>0</v>
      </c>
      <c r="AC73" s="69" t="n">
        <f aca="false">TblProd[[#This Row],[Platinum]]</f>
        <v>46144</v>
      </c>
      <c r="AD73" s="245"/>
      <c r="AE73" s="151" t="n">
        <f aca="false">TblExplore[[#This Row],[Land]]-TblExplore[[#This Row],[Land Bonus]]*20</f>
        <v>700</v>
      </c>
      <c r="AF73" s="69" t="n">
        <f aca="false">ROUND(MAX(0.6*TblExplore[[#This Row],[Land-DB]]^1.299,850)*(1+ tech_2_6*Techs!AC73 + tech_2_9*Techs!AF73 + tech_3_7*Techs!AN73 + Overview!$I$32),0)</f>
        <v>2978</v>
      </c>
      <c r="AG7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3" s="69" t="n">
        <f aca="false">SUM(TblExplore[[#This Row],[Plains Explore]:[Water Explore]])*TblExplore[[#This Row],[Plat/acre]]</f>
        <v>0</v>
      </c>
      <c r="AI73" s="69" t="n">
        <f aca="false">SUM(TblExplore[[#This Row],[Plains Explore]:[Water Explore]])*TblExplore[[#This Row],[Draftees/acre]]</f>
        <v>0</v>
      </c>
      <c r="AJ73" s="151" t="n">
        <f aca="false">_xlfn.FLOOR.MATH(MIN(TblExplore[[#This Row],[Platinum]]/TblExplore[[#This Row],[Plat/acre]],TblExplore[[#This Row],[Draftees]]/TblExplore[[#This Row],[Draftees/acre]]))</f>
        <v>0</v>
      </c>
    </row>
    <row r="74" customFormat="false" ht="12.75" hidden="false" customHeight="false" outlineLevel="0" collapsed="false">
      <c r="A74" s="170" t="n">
        <f aca="false">TblRezone[[#This Row],[Hour]]</f>
        <v>71</v>
      </c>
      <c r="B74" s="181" t="n">
        <f aca="false">TblConstr[[#This Row],[Land]]</f>
        <v>700</v>
      </c>
      <c r="C74" s="245"/>
      <c r="D74" s="246" t="n">
        <f aca="false">TblConstr[[#This Row],[Plain]]</f>
        <v>0</v>
      </c>
      <c r="E74" s="193" t="n">
        <f aca="false">TblConstr[[#This Row],[Forest]]</f>
        <v>0</v>
      </c>
      <c r="F74" s="200" t="n">
        <f aca="false">TblConstr[[#This Row],[Mountain]]</f>
        <v>0</v>
      </c>
      <c r="G74" s="201" t="n">
        <f aca="false">TblConstr[[#This Row],[Hill]]</f>
        <v>0</v>
      </c>
      <c r="H74" s="202" t="n">
        <f aca="false">TblConstr[[#This Row],[Swamp]]</f>
        <v>0</v>
      </c>
      <c r="I74" s="197" t="n">
        <f aca="false">TblConstr[[#This Row],[Cavern]]</f>
        <v>0</v>
      </c>
      <c r="J74" s="198" t="n">
        <f aca="false">TblConstr[[#This Row],[Water]]</f>
        <v>0</v>
      </c>
      <c r="K74" s="4"/>
      <c r="L74" s="4"/>
      <c r="M74" s="4"/>
      <c r="N74" s="247" t="n">
        <f aca="false">TblMili[[#This Row],[Smithies]]</f>
        <v>0.18</v>
      </c>
      <c r="O74" s="247" t="n">
        <f aca="false">TblPop[[#This Row],[Employment]]</f>
        <v>1</v>
      </c>
      <c r="P74" s="247" t="n">
        <f aca="false">TblImps[[#This Row],[Population]]</f>
        <v>1</v>
      </c>
      <c r="Q74" s="181" t="n">
        <f aca="false">TblExplore[[#This Row],[Land]]</f>
        <v>700</v>
      </c>
      <c r="R74" s="170" t="n">
        <f aca="false">TblExplore[[#This Row],[Hour]]</f>
        <v>71</v>
      </c>
      <c r="S74" s="248"/>
      <c r="T74" s="182"/>
      <c r="U74" s="182"/>
      <c r="V74" s="182"/>
      <c r="W74" s="182"/>
      <c r="X74" s="182"/>
      <c r="Y74" s="182"/>
      <c r="Z74" s="182"/>
      <c r="AA74" s="153" t="n">
        <f aca="false">TblImps[[#This Row],[Real time]]</f>
        <v>45432.6666666667</v>
      </c>
      <c r="AB74" s="69" t="n">
        <f aca="false">TblMili[[#This Row],[Draftees]]</f>
        <v>0</v>
      </c>
      <c r="AC74" s="69" t="n">
        <f aca="false">TblProd[[#This Row],[Platinum]]</f>
        <v>32191</v>
      </c>
      <c r="AD74" s="245"/>
      <c r="AE74" s="151" t="n">
        <f aca="false">TblExplore[[#This Row],[Land]]-TblExplore[[#This Row],[Land Bonus]]*20</f>
        <v>700</v>
      </c>
      <c r="AF74" s="69" t="n">
        <f aca="false">ROUND(MAX(0.6*TblExplore[[#This Row],[Land-DB]]^1.299,850)*(1+ tech_2_6*Techs!AC74 + tech_2_9*Techs!AF74 + tech_3_7*Techs!AN74 + Overview!$I$32),0)</f>
        <v>2978</v>
      </c>
      <c r="AG7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4" s="69" t="n">
        <f aca="false">SUM(TblExplore[[#This Row],[Plains Explore]:[Water Explore]])*TblExplore[[#This Row],[Plat/acre]]</f>
        <v>0</v>
      </c>
      <c r="AI74" s="69" t="n">
        <f aca="false">SUM(TblExplore[[#This Row],[Plains Explore]:[Water Explore]])*TblExplore[[#This Row],[Draftees/acre]]</f>
        <v>0</v>
      </c>
      <c r="AJ74" s="151" t="n">
        <f aca="false">_xlfn.FLOOR.MATH(MIN(TblExplore[[#This Row],[Platinum]]/TblExplore[[#This Row],[Plat/acre]],TblExplore[[#This Row],[Draftees]]/TblExplore[[#This Row],[Draftees/acre]]))</f>
        <v>0</v>
      </c>
    </row>
    <row r="75" customFormat="false" ht="12.75" hidden="false" customHeight="false" outlineLevel="0" collapsed="false">
      <c r="A75" s="170" t="n">
        <f aca="false">TblRezone[[#This Row],[Hour]]</f>
        <v>72</v>
      </c>
      <c r="B75" s="181" t="n">
        <f aca="false">TblConstr[[#This Row],[Land]]</f>
        <v>700</v>
      </c>
      <c r="C75" s="245"/>
      <c r="D75" s="246" t="n">
        <f aca="false">TblConstr[[#This Row],[Plain]]</f>
        <v>0</v>
      </c>
      <c r="E75" s="193" t="n">
        <f aca="false">TblConstr[[#This Row],[Forest]]</f>
        <v>0</v>
      </c>
      <c r="F75" s="200" t="n">
        <f aca="false">TblConstr[[#This Row],[Mountain]]</f>
        <v>0</v>
      </c>
      <c r="G75" s="201" t="n">
        <f aca="false">TblConstr[[#This Row],[Hill]]</f>
        <v>0</v>
      </c>
      <c r="H75" s="202" t="n">
        <f aca="false">TblConstr[[#This Row],[Swamp]]</f>
        <v>0</v>
      </c>
      <c r="I75" s="197" t="n">
        <f aca="false">TblConstr[[#This Row],[Cavern]]</f>
        <v>0</v>
      </c>
      <c r="J75" s="198" t="n">
        <f aca="false">TblConstr[[#This Row],[Water]]</f>
        <v>0</v>
      </c>
      <c r="K75" s="4"/>
      <c r="L75" s="4"/>
      <c r="M75" s="4"/>
      <c r="N75" s="247" t="n">
        <f aca="false">TblMili[[#This Row],[Smithies]]</f>
        <v>0.18</v>
      </c>
      <c r="O75" s="247" t="n">
        <f aca="false">TblPop[[#This Row],[Employment]]</f>
        <v>1</v>
      </c>
      <c r="P75" s="247" t="n">
        <f aca="false">TblImps[[#This Row],[Population]]</f>
        <v>1</v>
      </c>
      <c r="Q75" s="181" t="n">
        <f aca="false">TblExplore[[#This Row],[Land]]</f>
        <v>700</v>
      </c>
      <c r="R75" s="170" t="n">
        <f aca="false">TblExplore[[#This Row],[Hour]]</f>
        <v>72</v>
      </c>
      <c r="S75" s="248"/>
      <c r="T75" s="182"/>
      <c r="U75" s="182"/>
      <c r="V75" s="182"/>
      <c r="W75" s="182"/>
      <c r="X75" s="182"/>
      <c r="Y75" s="182"/>
      <c r="Z75" s="182"/>
      <c r="AA75" s="153" t="n">
        <f aca="false">TblImps[[#This Row],[Real time]]</f>
        <v>45432.7083333333</v>
      </c>
      <c r="AB75" s="69" t="n">
        <f aca="false">TblMili[[#This Row],[Draftees]]</f>
        <v>0</v>
      </c>
      <c r="AC75" s="69" t="n">
        <f aca="false">TblProd[[#This Row],[Platinum]]</f>
        <v>18546</v>
      </c>
      <c r="AD75" s="245"/>
      <c r="AE75" s="151" t="n">
        <f aca="false">TblExplore[[#This Row],[Land]]-TblExplore[[#This Row],[Land Bonus]]*20</f>
        <v>700</v>
      </c>
      <c r="AF75" s="69" t="n">
        <f aca="false">ROUND(MAX(0.6*TblExplore[[#This Row],[Land-DB]]^1.299,850)*(1+ tech_2_6*Techs!AC75 + tech_2_9*Techs!AF75 + tech_3_7*Techs!AN75 + Overview!$I$32),0)</f>
        <v>2978</v>
      </c>
      <c r="AG7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5" s="69" t="n">
        <f aca="false">SUM(TblExplore[[#This Row],[Plains Explore]:[Water Explore]])*TblExplore[[#This Row],[Plat/acre]]</f>
        <v>0</v>
      </c>
      <c r="AI75" s="69" t="n">
        <f aca="false">SUM(TblExplore[[#This Row],[Plains Explore]:[Water Explore]])*TblExplore[[#This Row],[Draftees/acre]]</f>
        <v>0</v>
      </c>
      <c r="AJ75" s="151" t="n">
        <f aca="false">_xlfn.FLOOR.MATH(MIN(TblExplore[[#This Row],[Platinum]]/TblExplore[[#This Row],[Plat/acre]],TblExplore[[#This Row],[Draftees]]/TblExplore[[#This Row],[Draftees/acre]]))</f>
        <v>0</v>
      </c>
    </row>
    <row r="76" s="268" customFormat="true" ht="12.75" hidden="false" customHeight="false" outlineLevel="0" collapsed="false">
      <c r="A76" s="210" t="n">
        <f aca="false">TblRezone[[#This Row],[Hour]]</f>
        <v>73</v>
      </c>
      <c r="B76" s="222" t="n">
        <f aca="false">TblConstr[[#This Row],[Land]]</f>
        <v>700</v>
      </c>
      <c r="C76" s="264"/>
      <c r="D76" s="265" t="n">
        <f aca="false">TblConstr[[#This Row],[Plain]]</f>
        <v>0</v>
      </c>
      <c r="E76" s="216" t="n">
        <f aca="false">TblConstr[[#This Row],[Forest]]</f>
        <v>0</v>
      </c>
      <c r="F76" s="217" t="n">
        <f aca="false">TblConstr[[#This Row],[Mountain]]</f>
        <v>0</v>
      </c>
      <c r="G76" s="218" t="n">
        <f aca="false">TblConstr[[#This Row],[Hill]]</f>
        <v>0</v>
      </c>
      <c r="H76" s="219" t="n">
        <f aca="false">TblConstr[[#This Row],[Swamp]]</f>
        <v>0</v>
      </c>
      <c r="I76" s="220" t="n">
        <f aca="false">TblConstr[[#This Row],[Cavern]]</f>
        <v>0</v>
      </c>
      <c r="J76" s="221" t="n">
        <f aca="false">TblConstr[[#This Row],[Water]]</f>
        <v>0</v>
      </c>
      <c r="K76" s="16"/>
      <c r="L76" s="16"/>
      <c r="M76" s="16"/>
      <c r="N76" s="266" t="n">
        <f aca="false">TblMili[[#This Row],[Smithies]]</f>
        <v>0.18</v>
      </c>
      <c r="O76" s="266" t="n">
        <f aca="false">TblPop[[#This Row],[Employment]]</f>
        <v>1</v>
      </c>
      <c r="P76" s="266" t="n">
        <f aca="false">TblImps[[#This Row],[Population]]</f>
        <v>1</v>
      </c>
      <c r="Q76" s="222" t="n">
        <f aca="false">TblExplore[[#This Row],[Land]]</f>
        <v>700</v>
      </c>
      <c r="R76" s="170" t="n">
        <f aca="false">TblExplore[[#This Row],[Hour]]</f>
        <v>73</v>
      </c>
      <c r="S76" s="267"/>
      <c r="T76" s="223"/>
      <c r="U76" s="223"/>
      <c r="V76" s="223"/>
      <c r="W76" s="223"/>
      <c r="X76" s="223"/>
      <c r="Y76" s="223"/>
      <c r="Z76" s="223"/>
      <c r="AA76" s="235" t="n">
        <f aca="false">TblImps[[#This Row],[Real time]]</f>
        <v>45432.75</v>
      </c>
      <c r="AB76" s="226" t="n">
        <f aca="false">TblMili[[#This Row],[Draftees]]</f>
        <v>0</v>
      </c>
      <c r="AC76" s="226" t="n">
        <f aca="false">TblProd[[#This Row],[Platinum]]</f>
        <v>5612</v>
      </c>
      <c r="AD76" s="264"/>
      <c r="AE76" s="239" t="n">
        <f aca="false">TblExplore[[#This Row],[Land]]-TblExplore[[#This Row],[Land Bonus]]*20</f>
        <v>700</v>
      </c>
      <c r="AF76" s="226" t="n">
        <f aca="false">ROUND(MAX(0.6*TblExplore[[#This Row],[Land-DB]]^1.299,850)*(1+ tech_2_6*Techs!AC76 + tech_2_9*Techs!AF76 + tech_3_7*Techs!AN76 + Overview!$I$32),0)</f>
        <v>2978</v>
      </c>
      <c r="AG76" s="226"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6" s="226" t="n">
        <f aca="false">SUM(TblExplore[[#This Row],[Plains Explore]:[Water Explore]])*TblExplore[[#This Row],[Plat/acre]]</f>
        <v>0</v>
      </c>
      <c r="AI76" s="226" t="n">
        <f aca="false">SUM(TblExplore[[#This Row],[Plains Explore]:[Water Explore]])*TblExplore[[#This Row],[Draftees/acre]]</f>
        <v>0</v>
      </c>
      <c r="AJ76" s="239" t="n">
        <f aca="false">_xlfn.FLOOR.MATH(MIN(TblExplore[[#This Row],[Platinum]]/TblExplore[[#This Row],[Plat/acre]],TblExplore[[#This Row],[Draftees]]/TblExplore[[#This Row],[Draftees/acre]]))</f>
        <v>0</v>
      </c>
    </row>
    <row r="77" customFormat="false" ht="12.75" hidden="false" customHeight="false" outlineLevel="0" collapsed="false">
      <c r="A77" s="170" t="n">
        <f aca="false">TblRezone[[#This Row],[Hour]]</f>
        <v>74</v>
      </c>
      <c r="B77" s="181" t="n">
        <f aca="false">TblConstr[[#This Row],[Land]]</f>
        <v>700</v>
      </c>
      <c r="C77" s="245"/>
      <c r="D77" s="246" t="n">
        <f aca="false">TblConstr[[#This Row],[Plain]]</f>
        <v>0</v>
      </c>
      <c r="E77" s="193" t="n">
        <f aca="false">TblConstr[[#This Row],[Forest]]</f>
        <v>0</v>
      </c>
      <c r="F77" s="200" t="n">
        <f aca="false">TblConstr[[#This Row],[Mountain]]</f>
        <v>0</v>
      </c>
      <c r="G77" s="201" t="n">
        <f aca="false">TblConstr[[#This Row],[Hill]]</f>
        <v>0</v>
      </c>
      <c r="H77" s="202" t="n">
        <f aca="false">TblConstr[[#This Row],[Swamp]]</f>
        <v>0</v>
      </c>
      <c r="I77" s="197" t="n">
        <f aca="false">TblConstr[[#This Row],[Cavern]]</f>
        <v>0</v>
      </c>
      <c r="J77" s="198" t="n">
        <f aca="false">TblConstr[[#This Row],[Water]]</f>
        <v>0</v>
      </c>
      <c r="K77" s="4"/>
      <c r="L77" s="4"/>
      <c r="M77" s="4"/>
      <c r="N77" s="247" t="n">
        <f aca="false">TblMili[[#This Row],[Smithies]]</f>
        <v>0.18</v>
      </c>
      <c r="O77" s="247" t="n">
        <f aca="false">TblPop[[#This Row],[Employment]]</f>
        <v>1</v>
      </c>
      <c r="P77" s="247" t="n">
        <f aca="false">TblImps[[#This Row],[Population]]</f>
        <v>1</v>
      </c>
      <c r="Q77" s="181" t="n">
        <f aca="false">TblExplore[[#This Row],[Land]]</f>
        <v>700</v>
      </c>
      <c r="R77" s="170" t="n">
        <f aca="false">TblExplore[[#This Row],[Hour]]</f>
        <v>74</v>
      </c>
      <c r="S77" s="248"/>
      <c r="T77" s="182"/>
      <c r="U77" s="182"/>
      <c r="V77" s="182"/>
      <c r="W77" s="182"/>
      <c r="X77" s="182"/>
      <c r="Y77" s="182"/>
      <c r="Z77" s="182"/>
      <c r="AA77" s="153" t="n">
        <f aca="false">TblImps[[#This Row],[Real time]]</f>
        <v>45432.7916666667</v>
      </c>
      <c r="AB77" s="69" t="n">
        <f aca="false">TblMili[[#This Row],[Draftees]]</f>
        <v>0</v>
      </c>
      <c r="AC77" s="69" t="n">
        <f aca="false">TblProd[[#This Row],[Platinum]]</f>
        <v>13360</v>
      </c>
      <c r="AD77" s="245"/>
      <c r="AE77" s="151" t="n">
        <f aca="false">TblExplore[[#This Row],[Land]]-TblExplore[[#This Row],[Land Bonus]]*20</f>
        <v>700</v>
      </c>
      <c r="AF77" s="69" t="n">
        <f aca="false">ROUND(MAX(0.6*TblExplore[[#This Row],[Land-DB]]^1.299,850)*(1+ tech_2_6*Techs!AC77 + tech_2_9*Techs!AF77 + tech_3_7*Techs!AN77 + Overview!$I$32),0)</f>
        <v>2978</v>
      </c>
      <c r="AG7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7" s="69" t="n">
        <f aca="false">SUM(TblExplore[[#This Row],[Plains Explore]:[Water Explore]])*TblExplore[[#This Row],[Plat/acre]]</f>
        <v>0</v>
      </c>
      <c r="AI77" s="69" t="n">
        <f aca="false">SUM(TblExplore[[#This Row],[Plains Explore]:[Water Explore]])*TblExplore[[#This Row],[Draftees/acre]]</f>
        <v>0</v>
      </c>
      <c r="AJ77" s="151" t="n">
        <f aca="false">_xlfn.FLOOR.MATH(MIN(TblExplore[[#This Row],[Platinum]]/TblExplore[[#This Row],[Plat/acre]],TblExplore[[#This Row],[Draftees]]/TblExplore[[#This Row],[Draftees/acre]]))</f>
        <v>0</v>
      </c>
    </row>
    <row r="78" customFormat="false" ht="12.75" hidden="false" customHeight="false" outlineLevel="0" collapsed="false">
      <c r="A78" s="170" t="n">
        <f aca="false">TblRezone[[#This Row],[Hour]]</f>
        <v>75</v>
      </c>
      <c r="B78" s="181" t="n">
        <f aca="false">TblConstr[[#This Row],[Land]]</f>
        <v>700</v>
      </c>
      <c r="C78" s="245"/>
      <c r="D78" s="246" t="n">
        <f aca="false">TblConstr[[#This Row],[Plain]]</f>
        <v>0</v>
      </c>
      <c r="E78" s="193" t="n">
        <f aca="false">TblConstr[[#This Row],[Forest]]</f>
        <v>0</v>
      </c>
      <c r="F78" s="200" t="n">
        <f aca="false">TblConstr[[#This Row],[Mountain]]</f>
        <v>0</v>
      </c>
      <c r="G78" s="201" t="n">
        <f aca="false">TblConstr[[#This Row],[Hill]]</f>
        <v>0</v>
      </c>
      <c r="H78" s="202" t="n">
        <f aca="false">TblConstr[[#This Row],[Swamp]]</f>
        <v>0</v>
      </c>
      <c r="I78" s="197" t="n">
        <f aca="false">TblConstr[[#This Row],[Cavern]]</f>
        <v>0</v>
      </c>
      <c r="J78" s="198" t="n">
        <f aca="false">TblConstr[[#This Row],[Water]]</f>
        <v>0</v>
      </c>
      <c r="K78" s="4"/>
      <c r="L78" s="4"/>
      <c r="M78" s="4"/>
      <c r="N78" s="247" t="n">
        <f aca="false">TblMili[[#This Row],[Smithies]]</f>
        <v>0.18</v>
      </c>
      <c r="O78" s="247" t="n">
        <f aca="false">TblPop[[#This Row],[Employment]]</f>
        <v>1</v>
      </c>
      <c r="P78" s="247" t="n">
        <f aca="false">TblImps[[#This Row],[Population]]</f>
        <v>1</v>
      </c>
      <c r="Q78" s="181" t="n">
        <f aca="false">TblExplore[[#This Row],[Land]]</f>
        <v>700</v>
      </c>
      <c r="R78" s="170" t="n">
        <f aca="false">TblExplore[[#This Row],[Hour]]</f>
        <v>75</v>
      </c>
      <c r="S78" s="248"/>
      <c r="T78" s="182"/>
      <c r="U78" s="182"/>
      <c r="V78" s="182"/>
      <c r="W78" s="182"/>
      <c r="X78" s="182"/>
      <c r="Y78" s="182"/>
      <c r="Z78" s="182"/>
      <c r="AA78" s="153" t="n">
        <f aca="false">TblImps[[#This Row],[Real time]]</f>
        <v>45432.8333333333</v>
      </c>
      <c r="AB78" s="69" t="n">
        <f aca="false">TblMili[[#This Row],[Draftees]]</f>
        <v>0</v>
      </c>
      <c r="AC78" s="69" t="n">
        <f aca="false">TblProd[[#This Row],[Platinum]]</f>
        <v>41111</v>
      </c>
      <c r="AD78" s="245"/>
      <c r="AE78" s="151" t="n">
        <f aca="false">TblExplore[[#This Row],[Land]]-TblExplore[[#This Row],[Land Bonus]]*20</f>
        <v>700</v>
      </c>
      <c r="AF78" s="69" t="n">
        <f aca="false">ROUND(MAX(0.6*TblExplore[[#This Row],[Land-DB]]^1.299,850)*(1+ tech_2_6*Techs!AC78 + tech_2_9*Techs!AF78 + tech_3_7*Techs!AN78 + Overview!$I$32),0)</f>
        <v>2978</v>
      </c>
      <c r="AG7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8" s="69" t="n">
        <f aca="false">SUM(TblExplore[[#This Row],[Plains Explore]:[Water Explore]])*TblExplore[[#This Row],[Plat/acre]]</f>
        <v>0</v>
      </c>
      <c r="AI78" s="69" t="n">
        <f aca="false">SUM(TblExplore[[#This Row],[Plains Explore]:[Water Explore]])*TblExplore[[#This Row],[Draftees/acre]]</f>
        <v>0</v>
      </c>
      <c r="AJ78" s="151" t="n">
        <f aca="false">_xlfn.FLOOR.MATH(MIN(TblExplore[[#This Row],[Platinum]]/TblExplore[[#This Row],[Plat/acre]],TblExplore[[#This Row],[Draftees]]/TblExplore[[#This Row],[Draftees/acre]]))</f>
        <v>0</v>
      </c>
    </row>
    <row r="79" customFormat="false" ht="12.75" hidden="false" customHeight="false" outlineLevel="0" collapsed="false">
      <c r="A79" s="170" t="n">
        <f aca="false">TblRezone[[#This Row],[Hour]]</f>
        <v>76</v>
      </c>
      <c r="B79" s="181" t="n">
        <f aca="false">TblConstr[[#This Row],[Land]]</f>
        <v>700</v>
      </c>
      <c r="C79" s="245"/>
      <c r="D79" s="246" t="n">
        <f aca="false">TblConstr[[#This Row],[Plain]]</f>
        <v>0</v>
      </c>
      <c r="E79" s="193" t="n">
        <f aca="false">TblConstr[[#This Row],[Forest]]</f>
        <v>0</v>
      </c>
      <c r="F79" s="200" t="n">
        <f aca="false">TblConstr[[#This Row],[Mountain]]</f>
        <v>0</v>
      </c>
      <c r="G79" s="201" t="n">
        <f aca="false">TblConstr[[#This Row],[Hill]]</f>
        <v>0</v>
      </c>
      <c r="H79" s="202" t="n">
        <f aca="false">TblConstr[[#This Row],[Swamp]]</f>
        <v>0</v>
      </c>
      <c r="I79" s="197" t="n">
        <f aca="false">TblConstr[[#This Row],[Cavern]]</f>
        <v>0</v>
      </c>
      <c r="J79" s="198" t="n">
        <f aca="false">TblConstr[[#This Row],[Water]]</f>
        <v>0</v>
      </c>
      <c r="K79" s="4"/>
      <c r="L79" s="4"/>
      <c r="M79" s="4"/>
      <c r="N79" s="247" t="n">
        <f aca="false">TblMili[[#This Row],[Smithies]]</f>
        <v>0.18</v>
      </c>
      <c r="O79" s="247" t="n">
        <f aca="false">TblPop[[#This Row],[Employment]]</f>
        <v>1</v>
      </c>
      <c r="P79" s="247" t="n">
        <f aca="false">TblImps[[#This Row],[Population]]</f>
        <v>1</v>
      </c>
      <c r="Q79" s="181" t="n">
        <f aca="false">TblExplore[[#This Row],[Land]]</f>
        <v>700</v>
      </c>
      <c r="R79" s="170" t="n">
        <f aca="false">TblExplore[[#This Row],[Hour]]</f>
        <v>76</v>
      </c>
      <c r="S79" s="248"/>
      <c r="T79" s="152"/>
      <c r="U79" s="182"/>
      <c r="V79" s="182"/>
      <c r="W79" s="182"/>
      <c r="X79" s="182"/>
      <c r="Y79" s="182"/>
      <c r="Z79" s="182"/>
      <c r="AA79" s="153" t="n">
        <f aca="false">TblImps[[#This Row],[Real time]]</f>
        <v>45432.875</v>
      </c>
      <c r="AB79" s="69" t="n">
        <f aca="false">TblMili[[#This Row],[Draftees]]</f>
        <v>0</v>
      </c>
      <c r="AC79" s="69" t="n">
        <f aca="false">TblProd[[#This Row],[Platinum]]</f>
        <v>68865</v>
      </c>
      <c r="AD79" s="245"/>
      <c r="AE79" s="151" t="n">
        <f aca="false">TblExplore[[#This Row],[Land]]-TblExplore[[#This Row],[Land Bonus]]*20</f>
        <v>700</v>
      </c>
      <c r="AF79" s="69" t="n">
        <f aca="false">ROUND(MAX(0.6*TblExplore[[#This Row],[Land-DB]]^1.299,850)*(1+ tech_2_6*Techs!AC79 + tech_2_9*Techs!AF79 + tech_3_7*Techs!AN79 + Overview!$I$32),0)</f>
        <v>2978</v>
      </c>
      <c r="AG7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9" s="69" t="n">
        <f aca="false">SUM(TblExplore[[#This Row],[Plains Explore]:[Water Explore]])*TblExplore[[#This Row],[Plat/acre]]</f>
        <v>0</v>
      </c>
      <c r="AI79" s="69" t="n">
        <f aca="false">SUM(TblExplore[[#This Row],[Plains Explore]:[Water Explore]])*TblExplore[[#This Row],[Draftees/acre]]</f>
        <v>0</v>
      </c>
      <c r="AJ79" s="151" t="n">
        <f aca="false">_xlfn.FLOOR.MATH(MIN(TblExplore[[#This Row],[Platinum]]/TblExplore[[#This Row],[Plat/acre]],TblExplore[[#This Row],[Draftees]]/TblExplore[[#This Row],[Draftees/acre]]))</f>
        <v>0</v>
      </c>
    </row>
    <row r="80" customFormat="false" ht="12.75" hidden="false" customHeight="false" outlineLevel="0" collapsed="false">
      <c r="A80" s="170" t="n">
        <f aca="false">TblRezone[[#This Row],[Hour]]</f>
        <v>77</v>
      </c>
      <c r="B80" s="181" t="n">
        <f aca="false">TblConstr[[#This Row],[Land]]</f>
        <v>700</v>
      </c>
      <c r="C80" s="245"/>
      <c r="D80" s="246" t="n">
        <f aca="false">TblConstr[[#This Row],[Plain]]</f>
        <v>0</v>
      </c>
      <c r="E80" s="193" t="n">
        <f aca="false">TblConstr[[#This Row],[Forest]]</f>
        <v>0</v>
      </c>
      <c r="F80" s="200" t="n">
        <f aca="false">TblConstr[[#This Row],[Mountain]]</f>
        <v>0</v>
      </c>
      <c r="G80" s="201" t="n">
        <f aca="false">TblConstr[[#This Row],[Hill]]</f>
        <v>0</v>
      </c>
      <c r="H80" s="202" t="n">
        <f aca="false">TblConstr[[#This Row],[Swamp]]</f>
        <v>0</v>
      </c>
      <c r="I80" s="197" t="n">
        <f aca="false">TblConstr[[#This Row],[Cavern]]</f>
        <v>0</v>
      </c>
      <c r="J80" s="198" t="n">
        <f aca="false">TblConstr[[#This Row],[Water]]</f>
        <v>0</v>
      </c>
      <c r="K80" s="4"/>
      <c r="L80" s="4"/>
      <c r="M80" s="4"/>
      <c r="N80" s="247" t="n">
        <f aca="false">TblMili[[#This Row],[Smithies]]</f>
        <v>0.18</v>
      </c>
      <c r="O80" s="247" t="n">
        <f aca="false">TblPop[[#This Row],[Employment]]</f>
        <v>1</v>
      </c>
      <c r="P80" s="247" t="n">
        <f aca="false">TblImps[[#This Row],[Population]]</f>
        <v>1</v>
      </c>
      <c r="Q80" s="181" t="n">
        <f aca="false">TblExplore[[#This Row],[Land]]</f>
        <v>700</v>
      </c>
      <c r="R80" s="170" t="n">
        <f aca="false">TblExplore[[#This Row],[Hour]]</f>
        <v>77</v>
      </c>
      <c r="S80" s="248"/>
      <c r="T80" s="152"/>
      <c r="U80" s="182"/>
      <c r="V80" s="182"/>
      <c r="W80" s="182"/>
      <c r="X80" s="182"/>
      <c r="Y80" s="182"/>
      <c r="Z80" s="182"/>
      <c r="AA80" s="153" t="n">
        <f aca="false">TblImps[[#This Row],[Real time]]</f>
        <v>45432.9166666667</v>
      </c>
      <c r="AB80" s="69" t="n">
        <f aca="false">TblMili[[#This Row],[Draftees]]</f>
        <v>97</v>
      </c>
      <c r="AC80" s="69" t="n">
        <f aca="false">TblProd[[#This Row],[Platinum]]</f>
        <v>153735</v>
      </c>
      <c r="AD80" s="245"/>
      <c r="AE80" s="151" t="n">
        <f aca="false">TblExplore[[#This Row],[Land]]-TblExplore[[#This Row],[Land Bonus]]*20</f>
        <v>700</v>
      </c>
      <c r="AF80" s="69" t="n">
        <f aca="false">ROUND(MAX(0.6*TblExplore[[#This Row],[Land-DB]]^1.299,850)*(1+ tech_2_6*Techs!AC80 + tech_2_9*Techs!AF80 + tech_3_7*Techs!AN80 + Overview!$I$32),0)</f>
        <v>2978</v>
      </c>
      <c r="AG8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0" s="69" t="n">
        <f aca="false">SUM(TblExplore[[#This Row],[Plains Explore]:[Water Explore]])*TblExplore[[#This Row],[Plat/acre]]</f>
        <v>0</v>
      </c>
      <c r="AI80" s="69" t="n">
        <f aca="false">SUM(TblExplore[[#This Row],[Plains Explore]:[Water Explore]])*TblExplore[[#This Row],[Draftees/acre]]</f>
        <v>0</v>
      </c>
      <c r="AJ80" s="151" t="n">
        <f aca="false">_xlfn.FLOOR.MATH(MIN(TblExplore[[#This Row],[Platinum]]/TblExplore[[#This Row],[Plat/acre]],TblExplore[[#This Row],[Draftees]]/TblExplore[[#This Row],[Draftees/acre]]))</f>
        <v>13</v>
      </c>
    </row>
    <row r="81" customFormat="false" ht="12.75" hidden="false" customHeight="false" outlineLevel="0" collapsed="false">
      <c r="A81" s="170" t="n">
        <f aca="false">TblRezone[[#This Row],[Hour]]</f>
        <v>78</v>
      </c>
      <c r="B81" s="181" t="n">
        <f aca="false">TblConstr[[#This Row],[Land]]</f>
        <v>700</v>
      </c>
      <c r="C81" s="245"/>
      <c r="D81" s="246" t="n">
        <f aca="false">TblConstr[[#This Row],[Plain]]</f>
        <v>0</v>
      </c>
      <c r="E81" s="193" t="n">
        <f aca="false">TblConstr[[#This Row],[Forest]]</f>
        <v>0</v>
      </c>
      <c r="F81" s="200" t="n">
        <f aca="false">TblConstr[[#This Row],[Mountain]]</f>
        <v>0</v>
      </c>
      <c r="G81" s="201" t="n">
        <f aca="false">TblConstr[[#This Row],[Hill]]</f>
        <v>0</v>
      </c>
      <c r="H81" s="202" t="n">
        <f aca="false">TblConstr[[#This Row],[Swamp]]</f>
        <v>0</v>
      </c>
      <c r="I81" s="197" t="n">
        <f aca="false">TblConstr[[#This Row],[Cavern]]</f>
        <v>0</v>
      </c>
      <c r="J81" s="198" t="n">
        <f aca="false">TblConstr[[#This Row],[Water]]</f>
        <v>0</v>
      </c>
      <c r="K81" s="4"/>
      <c r="L81" s="4"/>
      <c r="M81" s="4"/>
      <c r="N81" s="247" t="n">
        <f aca="false">TblMili[[#This Row],[Smithies]]</f>
        <v>0.18</v>
      </c>
      <c r="O81" s="247" t="n">
        <f aca="false">TblPop[[#This Row],[Employment]]</f>
        <v>1</v>
      </c>
      <c r="P81" s="247" t="n">
        <f aca="false">TblImps[[#This Row],[Population]]</f>
        <v>1</v>
      </c>
      <c r="Q81" s="181" t="n">
        <f aca="false">TblExplore[[#This Row],[Land]]</f>
        <v>700</v>
      </c>
      <c r="R81" s="170" t="n">
        <f aca="false">TblExplore[[#This Row],[Hour]]</f>
        <v>78</v>
      </c>
      <c r="S81" s="248"/>
      <c r="T81" s="182"/>
      <c r="U81" s="182"/>
      <c r="V81" s="182"/>
      <c r="W81" s="182"/>
      <c r="X81" s="182"/>
      <c r="Y81" s="182"/>
      <c r="Z81" s="182"/>
      <c r="AA81" s="153" t="n">
        <f aca="false">TblImps[[#This Row],[Real time]]</f>
        <v>45432.9583333333</v>
      </c>
      <c r="AB81" s="69" t="n">
        <f aca="false">TblMili[[#This Row],[Draftees]]</f>
        <v>193</v>
      </c>
      <c r="AC81" s="69" t="n">
        <f aca="false">TblProd[[#This Row],[Platinum]]</f>
        <v>199845</v>
      </c>
      <c r="AD81" s="245"/>
      <c r="AE81" s="151" t="n">
        <f aca="false">TblExplore[[#This Row],[Land]]-TblExplore[[#This Row],[Land Bonus]]*20</f>
        <v>700</v>
      </c>
      <c r="AF81" s="69" t="n">
        <f aca="false">ROUND(MAX(0.6*TblExplore[[#This Row],[Land-DB]]^1.299,850)*(1+ tech_2_6*Techs!AC81 + tech_2_9*Techs!AF81 + tech_3_7*Techs!AN81 + Overview!$I$32),0)</f>
        <v>2978</v>
      </c>
      <c r="AG8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1" s="69" t="n">
        <f aca="false">SUM(TblExplore[[#This Row],[Plains Explore]:[Water Explore]])*TblExplore[[#This Row],[Plat/acre]]</f>
        <v>0</v>
      </c>
      <c r="AI81" s="69" t="n">
        <f aca="false">SUM(TblExplore[[#This Row],[Plains Explore]:[Water Explore]])*TblExplore[[#This Row],[Draftees/acre]]</f>
        <v>0</v>
      </c>
      <c r="AJ81" s="151" t="n">
        <f aca="false">_xlfn.FLOOR.MATH(MIN(TblExplore[[#This Row],[Platinum]]/TblExplore[[#This Row],[Plat/acre]],TblExplore[[#This Row],[Draftees]]/TblExplore[[#This Row],[Draftees/acre]]))</f>
        <v>27</v>
      </c>
    </row>
    <row r="82" customFormat="false" ht="12.75" hidden="false" customHeight="false" outlineLevel="0" collapsed="false">
      <c r="A82" s="170" t="n">
        <f aca="false">TblRezone[[#This Row],[Hour]]</f>
        <v>79</v>
      </c>
      <c r="B82" s="181" t="n">
        <f aca="false">TblConstr[[#This Row],[Land]]</f>
        <v>700</v>
      </c>
      <c r="C82" s="245"/>
      <c r="D82" s="246" t="n">
        <f aca="false">TblConstr[[#This Row],[Plain]]</f>
        <v>0</v>
      </c>
      <c r="E82" s="193" t="n">
        <f aca="false">TblConstr[[#This Row],[Forest]]</f>
        <v>0</v>
      </c>
      <c r="F82" s="200" t="n">
        <f aca="false">TblConstr[[#This Row],[Mountain]]</f>
        <v>0</v>
      </c>
      <c r="G82" s="201" t="n">
        <f aca="false">TblConstr[[#This Row],[Hill]]</f>
        <v>0</v>
      </c>
      <c r="H82" s="202" t="n">
        <f aca="false">TblConstr[[#This Row],[Swamp]]</f>
        <v>0</v>
      </c>
      <c r="I82" s="197" t="n">
        <f aca="false">TblConstr[[#This Row],[Cavern]]</f>
        <v>0</v>
      </c>
      <c r="J82" s="198" t="n">
        <f aca="false">TblConstr[[#This Row],[Water]]</f>
        <v>0</v>
      </c>
      <c r="K82" s="4"/>
      <c r="L82" s="4"/>
      <c r="M82" s="4"/>
      <c r="N82" s="247" t="n">
        <f aca="false">TblMili[[#This Row],[Smithies]]</f>
        <v>0.18</v>
      </c>
      <c r="O82" s="247" t="n">
        <f aca="false">TblPop[[#This Row],[Employment]]</f>
        <v>1</v>
      </c>
      <c r="P82" s="247" t="n">
        <f aca="false">TblImps[[#This Row],[Population]]</f>
        <v>1</v>
      </c>
      <c r="Q82" s="181" t="n">
        <f aca="false">TblExplore[[#This Row],[Land]]</f>
        <v>700</v>
      </c>
      <c r="R82" s="170" t="n">
        <f aca="false">TblExplore[[#This Row],[Hour]]</f>
        <v>79</v>
      </c>
      <c r="S82" s="248"/>
      <c r="T82" s="182"/>
      <c r="U82" s="182"/>
      <c r="V82" s="182"/>
      <c r="W82" s="182"/>
      <c r="X82" s="182"/>
      <c r="Y82" s="182"/>
      <c r="Z82" s="182"/>
      <c r="AA82" s="153" t="n">
        <f aca="false">TblImps[[#This Row],[Real time]]</f>
        <v>45433</v>
      </c>
      <c r="AB82" s="69" t="n">
        <f aca="false">TblMili[[#This Row],[Draftees]]</f>
        <v>288</v>
      </c>
      <c r="AC82" s="69" t="n">
        <f aca="false">TblProd[[#This Row],[Platinum]]</f>
        <v>245670</v>
      </c>
      <c r="AD82" s="245"/>
      <c r="AE82" s="151" t="n">
        <f aca="false">TblExplore[[#This Row],[Land]]-TblExplore[[#This Row],[Land Bonus]]*20</f>
        <v>700</v>
      </c>
      <c r="AF82" s="69" t="n">
        <f aca="false">ROUND(MAX(0.6*TblExplore[[#This Row],[Land-DB]]^1.299,850)*(1+ tech_2_6*Techs!AC82 + tech_2_9*Techs!AF82 + tech_3_7*Techs!AN82 + Overview!$I$32),0)</f>
        <v>2978</v>
      </c>
      <c r="AG8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2" s="69" t="n">
        <f aca="false">SUM(TblExplore[[#This Row],[Plains Explore]:[Water Explore]])*TblExplore[[#This Row],[Plat/acre]]</f>
        <v>0</v>
      </c>
      <c r="AI82" s="69" t="n">
        <f aca="false">SUM(TblExplore[[#This Row],[Plains Explore]:[Water Explore]])*TblExplore[[#This Row],[Draftees/acre]]</f>
        <v>0</v>
      </c>
      <c r="AJ82" s="151" t="n">
        <f aca="false">_xlfn.FLOOR.MATH(MIN(TblExplore[[#This Row],[Platinum]]/TblExplore[[#This Row],[Plat/acre]],TblExplore[[#This Row],[Draftees]]/TblExplore[[#This Row],[Draftees/acre]]))</f>
        <v>41</v>
      </c>
    </row>
    <row r="83" customFormat="false" ht="12.75" hidden="false" customHeight="false" outlineLevel="0" collapsed="false">
      <c r="A83" s="170" t="n">
        <f aca="false">TblRezone[[#This Row],[Hour]]</f>
        <v>80</v>
      </c>
      <c r="B83" s="181" t="n">
        <f aca="false">TblConstr[[#This Row],[Land]]</f>
        <v>700</v>
      </c>
      <c r="C83" s="245"/>
      <c r="D83" s="246" t="n">
        <f aca="false">TblConstr[[#This Row],[Plain]]</f>
        <v>0</v>
      </c>
      <c r="E83" s="193" t="n">
        <f aca="false">TblConstr[[#This Row],[Forest]]</f>
        <v>0</v>
      </c>
      <c r="F83" s="200" t="n">
        <f aca="false">TblConstr[[#This Row],[Mountain]]</f>
        <v>0</v>
      </c>
      <c r="G83" s="201" t="n">
        <f aca="false">TblConstr[[#This Row],[Hill]]</f>
        <v>0</v>
      </c>
      <c r="H83" s="202" t="n">
        <f aca="false">TblConstr[[#This Row],[Swamp]]</f>
        <v>0</v>
      </c>
      <c r="I83" s="197" t="n">
        <f aca="false">TblConstr[[#This Row],[Cavern]]</f>
        <v>0</v>
      </c>
      <c r="J83" s="198" t="n">
        <f aca="false">TblConstr[[#This Row],[Water]]</f>
        <v>0</v>
      </c>
      <c r="K83" s="4"/>
      <c r="L83" s="4"/>
      <c r="M83" s="4"/>
      <c r="N83" s="247" t="n">
        <f aca="false">TblMili[[#This Row],[Smithies]]</f>
        <v>0.18</v>
      </c>
      <c r="O83" s="247" t="n">
        <f aca="false">TblPop[[#This Row],[Employment]]</f>
        <v>1</v>
      </c>
      <c r="P83" s="247" t="n">
        <f aca="false">TblImps[[#This Row],[Population]]</f>
        <v>1</v>
      </c>
      <c r="Q83" s="181" t="n">
        <f aca="false">TblExplore[[#This Row],[Land]]</f>
        <v>700</v>
      </c>
      <c r="R83" s="170" t="n">
        <f aca="false">TblExplore[[#This Row],[Hour]]</f>
        <v>80</v>
      </c>
      <c r="S83" s="248"/>
      <c r="T83" s="182"/>
      <c r="U83" s="182"/>
      <c r="V83" s="182"/>
      <c r="W83" s="182"/>
      <c r="X83" s="182"/>
      <c r="Y83" s="182"/>
      <c r="Z83" s="182"/>
      <c r="AA83" s="153" t="n">
        <f aca="false">TblImps[[#This Row],[Real time]]</f>
        <v>45433.0416666667</v>
      </c>
      <c r="AB83" s="69" t="n">
        <f aca="false">TblMili[[#This Row],[Draftees]]</f>
        <v>382</v>
      </c>
      <c r="AC83" s="69" t="n">
        <f aca="false">TblProd[[#This Row],[Platinum]]</f>
        <v>291213</v>
      </c>
      <c r="AD83" s="245"/>
      <c r="AE83" s="151" t="n">
        <f aca="false">TblExplore[[#This Row],[Land]]-TblExplore[[#This Row],[Land Bonus]]*20</f>
        <v>700</v>
      </c>
      <c r="AF83" s="69" t="n">
        <f aca="false">ROUND(MAX(0.6*TblExplore[[#This Row],[Land-DB]]^1.299,850)*(1+ tech_2_6*Techs!AC83 + tech_2_9*Techs!AF83 + tech_3_7*Techs!AN83 + Overview!$I$32),0)</f>
        <v>2978</v>
      </c>
      <c r="AG8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3" s="69" t="n">
        <f aca="false">SUM(TblExplore[[#This Row],[Plains Explore]:[Water Explore]])*TblExplore[[#This Row],[Plat/acre]]</f>
        <v>0</v>
      </c>
      <c r="AI83" s="69" t="n">
        <f aca="false">SUM(TblExplore[[#This Row],[Plains Explore]:[Water Explore]])*TblExplore[[#This Row],[Draftees/acre]]</f>
        <v>0</v>
      </c>
      <c r="AJ83" s="151" t="n">
        <f aca="false">_xlfn.FLOOR.MATH(MIN(TblExplore[[#This Row],[Platinum]]/TblExplore[[#This Row],[Plat/acre]],TblExplore[[#This Row],[Draftees]]/TblExplore[[#This Row],[Draftees/acre]]))</f>
        <v>54</v>
      </c>
    </row>
    <row r="84" customFormat="false" ht="12.75" hidden="false" customHeight="false" outlineLevel="0" collapsed="false">
      <c r="A84" s="170" t="n">
        <f aca="false">TblRezone[[#This Row],[Hour]]</f>
        <v>81</v>
      </c>
      <c r="B84" s="181" t="n">
        <f aca="false">TblConstr[[#This Row],[Land]]</f>
        <v>700</v>
      </c>
      <c r="C84" s="245"/>
      <c r="D84" s="246" t="n">
        <f aca="false">TblConstr[[#This Row],[Plain]]</f>
        <v>0</v>
      </c>
      <c r="E84" s="193" t="n">
        <f aca="false">TblConstr[[#This Row],[Forest]]</f>
        <v>0</v>
      </c>
      <c r="F84" s="200" t="n">
        <f aca="false">TblConstr[[#This Row],[Mountain]]</f>
        <v>0</v>
      </c>
      <c r="G84" s="201" t="n">
        <f aca="false">TblConstr[[#This Row],[Hill]]</f>
        <v>0</v>
      </c>
      <c r="H84" s="202" t="n">
        <f aca="false">TblConstr[[#This Row],[Swamp]]</f>
        <v>0</v>
      </c>
      <c r="I84" s="197" t="n">
        <f aca="false">TblConstr[[#This Row],[Cavern]]</f>
        <v>0</v>
      </c>
      <c r="J84" s="198" t="n">
        <f aca="false">TblConstr[[#This Row],[Water]]</f>
        <v>0</v>
      </c>
      <c r="K84" s="4"/>
      <c r="L84" s="4"/>
      <c r="M84" s="4"/>
      <c r="N84" s="247" t="n">
        <f aca="false">TblMili[[#This Row],[Smithies]]</f>
        <v>0.18</v>
      </c>
      <c r="O84" s="247" t="n">
        <f aca="false">TblPop[[#This Row],[Employment]]</f>
        <v>1</v>
      </c>
      <c r="P84" s="247" t="n">
        <f aca="false">TblImps[[#This Row],[Population]]</f>
        <v>1</v>
      </c>
      <c r="Q84" s="181" t="n">
        <f aca="false">TblExplore[[#This Row],[Land]]</f>
        <v>700</v>
      </c>
      <c r="R84" s="170" t="n">
        <f aca="false">TblExplore[[#This Row],[Hour]]</f>
        <v>81</v>
      </c>
      <c r="S84" s="248"/>
      <c r="T84" s="182"/>
      <c r="U84" s="182"/>
      <c r="V84" s="182"/>
      <c r="W84" s="182"/>
      <c r="X84" s="182"/>
      <c r="Y84" s="182"/>
      <c r="Z84" s="182"/>
      <c r="AA84" s="153" t="n">
        <f aca="false">TblImps[[#This Row],[Real time]]</f>
        <v>45433.0833333333</v>
      </c>
      <c r="AB84" s="69" t="n">
        <f aca="false">TblMili[[#This Row],[Draftees]]</f>
        <v>475</v>
      </c>
      <c r="AC84" s="69" t="n">
        <f aca="false">TblProd[[#This Row],[Platinum]]</f>
        <v>336477</v>
      </c>
      <c r="AD84" s="245"/>
      <c r="AE84" s="151" t="n">
        <f aca="false">TblExplore[[#This Row],[Land]]-TblExplore[[#This Row],[Land Bonus]]*20</f>
        <v>700</v>
      </c>
      <c r="AF84" s="69" t="n">
        <f aca="false">ROUND(MAX(0.6*TblExplore[[#This Row],[Land-DB]]^1.299,850)*(1+ tech_2_6*Techs!AC84 + tech_2_9*Techs!AF84 + tech_3_7*Techs!AN84 + Overview!$I$32),0)</f>
        <v>2978</v>
      </c>
      <c r="AG8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4" s="69" t="n">
        <f aca="false">SUM(TblExplore[[#This Row],[Plains Explore]:[Water Explore]])*TblExplore[[#This Row],[Plat/acre]]</f>
        <v>0</v>
      </c>
      <c r="AI84" s="69" t="n">
        <f aca="false">SUM(TblExplore[[#This Row],[Plains Explore]:[Water Explore]])*TblExplore[[#This Row],[Draftees/acre]]</f>
        <v>0</v>
      </c>
      <c r="AJ84" s="151" t="n">
        <f aca="false">_xlfn.FLOOR.MATH(MIN(TblExplore[[#This Row],[Platinum]]/TblExplore[[#This Row],[Plat/acre]],TblExplore[[#This Row],[Draftees]]/TblExplore[[#This Row],[Draftees/acre]]))</f>
        <v>67</v>
      </c>
    </row>
    <row r="85" customFormat="false" ht="12.75" hidden="false" customHeight="false" outlineLevel="0" collapsed="false">
      <c r="A85" s="170" t="n">
        <f aca="false">TblRezone[[#This Row],[Hour]]</f>
        <v>82</v>
      </c>
      <c r="B85" s="181" t="n">
        <f aca="false">TblConstr[[#This Row],[Land]]</f>
        <v>700</v>
      </c>
      <c r="C85" s="245"/>
      <c r="D85" s="246" t="n">
        <f aca="false">TblConstr[[#This Row],[Plain]]</f>
        <v>0</v>
      </c>
      <c r="E85" s="193" t="n">
        <f aca="false">TblConstr[[#This Row],[Forest]]</f>
        <v>0</v>
      </c>
      <c r="F85" s="200" t="n">
        <f aca="false">TblConstr[[#This Row],[Mountain]]</f>
        <v>0</v>
      </c>
      <c r="G85" s="201" t="n">
        <f aca="false">TblConstr[[#This Row],[Hill]]</f>
        <v>0</v>
      </c>
      <c r="H85" s="202" t="n">
        <f aca="false">TblConstr[[#This Row],[Swamp]]</f>
        <v>0</v>
      </c>
      <c r="I85" s="197" t="n">
        <f aca="false">TblConstr[[#This Row],[Cavern]]</f>
        <v>0</v>
      </c>
      <c r="J85" s="198" t="n">
        <f aca="false">TblConstr[[#This Row],[Water]]</f>
        <v>0</v>
      </c>
      <c r="K85" s="4"/>
      <c r="L85" s="4"/>
      <c r="M85" s="4"/>
      <c r="N85" s="247" t="n">
        <f aca="false">TblMili[[#This Row],[Smithies]]</f>
        <v>0.18</v>
      </c>
      <c r="O85" s="247" t="n">
        <f aca="false">TblPop[[#This Row],[Employment]]</f>
        <v>1</v>
      </c>
      <c r="P85" s="247" t="n">
        <f aca="false">TblImps[[#This Row],[Population]]</f>
        <v>1</v>
      </c>
      <c r="Q85" s="181" t="n">
        <f aca="false">TblExplore[[#This Row],[Land]]</f>
        <v>700</v>
      </c>
      <c r="R85" s="170" t="n">
        <f aca="false">TblExplore[[#This Row],[Hour]]</f>
        <v>82</v>
      </c>
      <c r="S85" s="248"/>
      <c r="T85" s="182"/>
      <c r="U85" s="182"/>
      <c r="V85" s="182"/>
      <c r="W85" s="182"/>
      <c r="X85" s="182"/>
      <c r="Y85" s="182"/>
      <c r="Z85" s="182"/>
      <c r="AA85" s="153" t="n">
        <f aca="false">TblImps[[#This Row],[Real time]]</f>
        <v>45433.125</v>
      </c>
      <c r="AB85" s="69" t="n">
        <f aca="false">TblMili[[#This Row],[Draftees]]</f>
        <v>567</v>
      </c>
      <c r="AC85" s="69" t="n">
        <f aca="false">TblProd[[#This Row],[Platinum]]</f>
        <v>381464</v>
      </c>
      <c r="AD85" s="245"/>
      <c r="AE85" s="151" t="n">
        <f aca="false">TblExplore[[#This Row],[Land]]-TblExplore[[#This Row],[Land Bonus]]*20</f>
        <v>700</v>
      </c>
      <c r="AF85" s="69" t="n">
        <f aca="false">ROUND(MAX(0.6*TblExplore[[#This Row],[Land-DB]]^1.299,850)*(1+ tech_2_6*Techs!AC85 + tech_2_9*Techs!AF85 + tech_3_7*Techs!AN85 + Overview!$I$32),0)</f>
        <v>2978</v>
      </c>
      <c r="AG8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5" s="69" t="n">
        <f aca="false">SUM(TblExplore[[#This Row],[Plains Explore]:[Water Explore]])*TblExplore[[#This Row],[Plat/acre]]</f>
        <v>0</v>
      </c>
      <c r="AI85" s="69" t="n">
        <f aca="false">SUM(TblExplore[[#This Row],[Plains Explore]:[Water Explore]])*TblExplore[[#This Row],[Draftees/acre]]</f>
        <v>0</v>
      </c>
      <c r="AJ85" s="151" t="n">
        <f aca="false">_xlfn.FLOOR.MATH(MIN(TblExplore[[#This Row],[Platinum]]/TblExplore[[#This Row],[Plat/acre]],TblExplore[[#This Row],[Draftees]]/TblExplore[[#This Row],[Draftees/acre]]))</f>
        <v>81</v>
      </c>
    </row>
    <row r="86" customFormat="false" ht="12.75" hidden="false" customHeight="false" outlineLevel="0" collapsed="false">
      <c r="A86" s="170" t="n">
        <f aca="false">TblRezone[[#This Row],[Hour]]</f>
        <v>83</v>
      </c>
      <c r="B86" s="181" t="n">
        <f aca="false">TblConstr[[#This Row],[Land]]</f>
        <v>700</v>
      </c>
      <c r="C86" s="245"/>
      <c r="D86" s="246" t="n">
        <f aca="false">TblConstr[[#This Row],[Plain]]</f>
        <v>0</v>
      </c>
      <c r="E86" s="193" t="n">
        <f aca="false">TblConstr[[#This Row],[Forest]]</f>
        <v>0</v>
      </c>
      <c r="F86" s="200" t="n">
        <f aca="false">TblConstr[[#This Row],[Mountain]]</f>
        <v>0</v>
      </c>
      <c r="G86" s="201" t="n">
        <f aca="false">TblConstr[[#This Row],[Hill]]</f>
        <v>0</v>
      </c>
      <c r="H86" s="202" t="n">
        <f aca="false">TblConstr[[#This Row],[Swamp]]</f>
        <v>0</v>
      </c>
      <c r="I86" s="197" t="n">
        <f aca="false">TblConstr[[#This Row],[Cavern]]</f>
        <v>0</v>
      </c>
      <c r="J86" s="198" t="n">
        <f aca="false">TblConstr[[#This Row],[Water]]</f>
        <v>0</v>
      </c>
      <c r="K86" s="4"/>
      <c r="L86" s="4"/>
      <c r="M86" s="4"/>
      <c r="N86" s="247" t="n">
        <f aca="false">TblMili[[#This Row],[Smithies]]</f>
        <v>0.18</v>
      </c>
      <c r="O86" s="247" t="n">
        <f aca="false">TblPop[[#This Row],[Employment]]</f>
        <v>1</v>
      </c>
      <c r="P86" s="247" t="n">
        <f aca="false">TblImps[[#This Row],[Population]]</f>
        <v>1</v>
      </c>
      <c r="Q86" s="181" t="n">
        <f aca="false">TblExplore[[#This Row],[Land]]</f>
        <v>700</v>
      </c>
      <c r="R86" s="170" t="n">
        <f aca="false">TblExplore[[#This Row],[Hour]]</f>
        <v>83</v>
      </c>
      <c r="S86" s="248"/>
      <c r="T86" s="182"/>
      <c r="U86" s="182"/>
      <c r="V86" s="182"/>
      <c r="W86" s="182"/>
      <c r="X86" s="182"/>
      <c r="Y86" s="182"/>
      <c r="Z86" s="182"/>
      <c r="AA86" s="153" t="n">
        <f aca="false">TblImps[[#This Row],[Real time]]</f>
        <v>45433.1666666667</v>
      </c>
      <c r="AB86" s="69" t="n">
        <f aca="false">TblMili[[#This Row],[Draftees]]</f>
        <v>658</v>
      </c>
      <c r="AC86" s="69" t="n">
        <f aca="false">TblProd[[#This Row],[Platinum]]</f>
        <v>426178</v>
      </c>
      <c r="AD86" s="245"/>
      <c r="AE86" s="151" t="n">
        <f aca="false">TblExplore[[#This Row],[Land]]-TblExplore[[#This Row],[Land Bonus]]*20</f>
        <v>700</v>
      </c>
      <c r="AF86" s="69" t="n">
        <f aca="false">ROUND(MAX(0.6*TblExplore[[#This Row],[Land-DB]]^1.299,850)*(1+ tech_2_6*Techs!AC86 + tech_2_9*Techs!AF86 + tech_3_7*Techs!AN86 + Overview!$I$32),0)</f>
        <v>2978</v>
      </c>
      <c r="AG8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6" s="69" t="n">
        <f aca="false">SUM(TblExplore[[#This Row],[Plains Explore]:[Water Explore]])*TblExplore[[#This Row],[Plat/acre]]</f>
        <v>0</v>
      </c>
      <c r="AI86" s="69" t="n">
        <f aca="false">SUM(TblExplore[[#This Row],[Plains Explore]:[Water Explore]])*TblExplore[[#This Row],[Draftees/acre]]</f>
        <v>0</v>
      </c>
      <c r="AJ86" s="151" t="n">
        <f aca="false">_xlfn.FLOOR.MATH(MIN(TblExplore[[#This Row],[Platinum]]/TblExplore[[#This Row],[Plat/acre]],TblExplore[[#This Row],[Draftees]]/TblExplore[[#This Row],[Draftees/acre]]))</f>
        <v>94</v>
      </c>
    </row>
    <row r="87" customFormat="false" ht="12.75" hidden="false" customHeight="false" outlineLevel="0" collapsed="false">
      <c r="A87" s="170" t="n">
        <f aca="false">TblRezone[[#This Row],[Hour]]</f>
        <v>84</v>
      </c>
      <c r="B87" s="181" t="n">
        <f aca="false">TblConstr[[#This Row],[Land]]</f>
        <v>700</v>
      </c>
      <c r="C87" s="245"/>
      <c r="D87" s="246" t="n">
        <f aca="false">TblConstr[[#This Row],[Plain]]</f>
        <v>0</v>
      </c>
      <c r="E87" s="193" t="n">
        <f aca="false">TblConstr[[#This Row],[Forest]]</f>
        <v>0</v>
      </c>
      <c r="F87" s="200" t="n">
        <f aca="false">TblConstr[[#This Row],[Mountain]]</f>
        <v>0</v>
      </c>
      <c r="G87" s="201" t="n">
        <f aca="false">TblConstr[[#This Row],[Hill]]</f>
        <v>0</v>
      </c>
      <c r="H87" s="202" t="n">
        <f aca="false">TblConstr[[#This Row],[Swamp]]</f>
        <v>0</v>
      </c>
      <c r="I87" s="197" t="n">
        <f aca="false">TblConstr[[#This Row],[Cavern]]</f>
        <v>0</v>
      </c>
      <c r="J87" s="198" t="n">
        <f aca="false">TblConstr[[#This Row],[Water]]</f>
        <v>0</v>
      </c>
      <c r="K87" s="4"/>
      <c r="L87" s="4"/>
      <c r="M87" s="249"/>
      <c r="N87" s="247" t="n">
        <f aca="false">TblMili[[#This Row],[Smithies]]</f>
        <v>0.18</v>
      </c>
      <c r="O87" s="247" t="n">
        <f aca="false">TblPop[[#This Row],[Employment]]</f>
        <v>1</v>
      </c>
      <c r="P87" s="247" t="n">
        <f aca="false">TblImps[[#This Row],[Population]]</f>
        <v>1</v>
      </c>
      <c r="Q87" s="181" t="n">
        <f aca="false">TblExplore[[#This Row],[Land]]</f>
        <v>700</v>
      </c>
      <c r="R87" s="170" t="n">
        <f aca="false">TblExplore[[#This Row],[Hour]]</f>
        <v>84</v>
      </c>
      <c r="S87" s="248"/>
      <c r="T87" s="152"/>
      <c r="U87" s="182"/>
      <c r="V87" s="182"/>
      <c r="W87" s="182"/>
      <c r="X87" s="182"/>
      <c r="Y87" s="182"/>
      <c r="Z87" s="182"/>
      <c r="AA87" s="153" t="n">
        <f aca="false">TblImps[[#This Row],[Real time]]</f>
        <v>45433.2083333333</v>
      </c>
      <c r="AB87" s="69" t="n">
        <f aca="false">TblMili[[#This Row],[Draftees]]</f>
        <v>749</v>
      </c>
      <c r="AC87" s="69" t="n">
        <f aca="false">TblProd[[#This Row],[Platinum]]</f>
        <v>470622</v>
      </c>
      <c r="AD87" s="245"/>
      <c r="AE87" s="151" t="n">
        <f aca="false">TblExplore[[#This Row],[Land]]-TblExplore[[#This Row],[Land Bonus]]*20</f>
        <v>700</v>
      </c>
      <c r="AF87" s="69" t="n">
        <f aca="false">ROUND(MAX(0.6*TblExplore[[#This Row],[Land-DB]]^1.299,850)*(1+ tech_2_6*Techs!AC87 + tech_2_9*Techs!AF87 + tech_3_7*Techs!AN87 + Overview!$I$32),0)</f>
        <v>2978</v>
      </c>
      <c r="AG8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7" s="69" t="n">
        <f aca="false">SUM(TblExplore[[#This Row],[Plains Explore]:[Water Explore]])*TblExplore[[#This Row],[Plat/acre]]</f>
        <v>0</v>
      </c>
      <c r="AI87" s="69" t="n">
        <f aca="false">SUM(TblExplore[[#This Row],[Plains Explore]:[Water Explore]])*TblExplore[[#This Row],[Draftees/acre]]</f>
        <v>0</v>
      </c>
      <c r="AJ87" s="151" t="n">
        <f aca="false">_xlfn.FLOOR.MATH(MIN(TblExplore[[#This Row],[Platinum]]/TblExplore[[#This Row],[Plat/acre]],TblExplore[[#This Row],[Draftees]]/TblExplore[[#This Row],[Draftees/acre]]))</f>
        <v>107</v>
      </c>
    </row>
    <row r="88" customFormat="false" ht="12.75" hidden="false" customHeight="false" outlineLevel="0" collapsed="false">
      <c r="A88" s="170" t="n">
        <f aca="false">TblRezone[[#This Row],[Hour]]</f>
        <v>85</v>
      </c>
      <c r="B88" s="181" t="n">
        <f aca="false">TblConstr[[#This Row],[Land]]</f>
        <v>700</v>
      </c>
      <c r="C88" s="245"/>
      <c r="D88" s="246" t="n">
        <f aca="false">TblConstr[[#This Row],[Plain]]</f>
        <v>0</v>
      </c>
      <c r="E88" s="193" t="n">
        <f aca="false">TblConstr[[#This Row],[Forest]]</f>
        <v>0</v>
      </c>
      <c r="F88" s="200" t="n">
        <f aca="false">TblConstr[[#This Row],[Mountain]]</f>
        <v>0</v>
      </c>
      <c r="G88" s="201" t="n">
        <f aca="false">TblConstr[[#This Row],[Hill]]</f>
        <v>0</v>
      </c>
      <c r="H88" s="202" t="n">
        <f aca="false">TblConstr[[#This Row],[Swamp]]</f>
        <v>0</v>
      </c>
      <c r="I88" s="197" t="n">
        <f aca="false">TblConstr[[#This Row],[Cavern]]</f>
        <v>0</v>
      </c>
      <c r="J88" s="198" t="n">
        <f aca="false">TblConstr[[#This Row],[Water]]</f>
        <v>0</v>
      </c>
      <c r="K88" s="4"/>
      <c r="L88" s="4"/>
      <c r="M88" s="4"/>
      <c r="N88" s="247" t="n">
        <f aca="false">TblMili[[#This Row],[Smithies]]</f>
        <v>0.18</v>
      </c>
      <c r="O88" s="247" t="n">
        <f aca="false">TblPop[[#This Row],[Employment]]</f>
        <v>1</v>
      </c>
      <c r="P88" s="247" t="n">
        <f aca="false">TblImps[[#This Row],[Population]]</f>
        <v>1</v>
      </c>
      <c r="Q88" s="181" t="n">
        <f aca="false">TblExplore[[#This Row],[Land]]</f>
        <v>700</v>
      </c>
      <c r="R88" s="170" t="n">
        <f aca="false">TblExplore[[#This Row],[Hour]]</f>
        <v>85</v>
      </c>
      <c r="S88" s="248"/>
      <c r="T88" s="182"/>
      <c r="U88" s="182"/>
      <c r="V88" s="182"/>
      <c r="W88" s="182"/>
      <c r="X88" s="182"/>
      <c r="Y88" s="182"/>
      <c r="Z88" s="182"/>
      <c r="AA88" s="153" t="n">
        <f aca="false">TblImps[[#This Row],[Real time]]</f>
        <v>45433.25</v>
      </c>
      <c r="AB88" s="69" t="n">
        <f aca="false">TblMili[[#This Row],[Draftees]]</f>
        <v>839</v>
      </c>
      <c r="AC88" s="69" t="n">
        <f aca="false">TblProd[[#This Row],[Platinum]]</f>
        <v>514796</v>
      </c>
      <c r="AD88" s="245"/>
      <c r="AE88" s="151" t="n">
        <f aca="false">TblExplore[[#This Row],[Land]]-TblExplore[[#This Row],[Land Bonus]]*20</f>
        <v>700</v>
      </c>
      <c r="AF88" s="69" t="n">
        <f aca="false">ROUND(MAX(0.6*TblExplore[[#This Row],[Land-DB]]^1.299,850)*(1+ tech_2_6*Techs!AC88 + tech_2_9*Techs!AF88 + tech_3_7*Techs!AN88 + Overview!$I$32),0)</f>
        <v>2978</v>
      </c>
      <c r="AG8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8" s="69" t="n">
        <f aca="false">SUM(TblExplore[[#This Row],[Plains Explore]:[Water Explore]])*TblExplore[[#This Row],[Plat/acre]]</f>
        <v>0</v>
      </c>
      <c r="AI88" s="69" t="n">
        <f aca="false">SUM(TblExplore[[#This Row],[Plains Explore]:[Water Explore]])*TblExplore[[#This Row],[Draftees/acre]]</f>
        <v>0</v>
      </c>
      <c r="AJ88" s="151" t="n">
        <f aca="false">_xlfn.FLOOR.MATH(MIN(TblExplore[[#This Row],[Platinum]]/TblExplore[[#This Row],[Plat/acre]],TblExplore[[#This Row],[Draftees]]/TblExplore[[#This Row],[Draftees/acre]]))</f>
        <v>119</v>
      </c>
    </row>
    <row r="89" customFormat="false" ht="12.75" hidden="false" customHeight="false" outlineLevel="0" collapsed="false">
      <c r="A89" s="170" t="n">
        <f aca="false">TblRezone[[#This Row],[Hour]]</f>
        <v>86</v>
      </c>
      <c r="B89" s="181" t="n">
        <f aca="false">TblConstr[[#This Row],[Land]]</f>
        <v>700</v>
      </c>
      <c r="C89" s="245"/>
      <c r="D89" s="246" t="n">
        <f aca="false">TblConstr[[#This Row],[Plain]]</f>
        <v>0</v>
      </c>
      <c r="E89" s="193" t="n">
        <f aca="false">TblConstr[[#This Row],[Forest]]</f>
        <v>0</v>
      </c>
      <c r="F89" s="200" t="n">
        <f aca="false">TblConstr[[#This Row],[Mountain]]</f>
        <v>0</v>
      </c>
      <c r="G89" s="201" t="n">
        <f aca="false">TblConstr[[#This Row],[Hill]]</f>
        <v>0</v>
      </c>
      <c r="H89" s="202" t="n">
        <f aca="false">TblConstr[[#This Row],[Swamp]]</f>
        <v>0</v>
      </c>
      <c r="I89" s="197" t="n">
        <f aca="false">TblConstr[[#This Row],[Cavern]]</f>
        <v>0</v>
      </c>
      <c r="J89" s="198" t="n">
        <f aca="false">TblConstr[[#This Row],[Water]]</f>
        <v>0</v>
      </c>
      <c r="K89" s="4"/>
      <c r="L89" s="4"/>
      <c r="M89" s="12"/>
      <c r="N89" s="247" t="n">
        <f aca="false">TblMili[[#This Row],[Smithies]]</f>
        <v>0.18</v>
      </c>
      <c r="O89" s="247" t="n">
        <f aca="false">TblPop[[#This Row],[Employment]]</f>
        <v>1</v>
      </c>
      <c r="P89" s="247" t="n">
        <f aca="false">TblImps[[#This Row],[Population]]</f>
        <v>1</v>
      </c>
      <c r="Q89" s="181" t="n">
        <f aca="false">TblExplore[[#This Row],[Land]]</f>
        <v>700</v>
      </c>
      <c r="R89" s="170" t="n">
        <f aca="false">TblExplore[[#This Row],[Hour]]</f>
        <v>86</v>
      </c>
      <c r="S89" s="248"/>
      <c r="T89" s="182"/>
      <c r="U89" s="182"/>
      <c r="V89" s="182"/>
      <c r="W89" s="182"/>
      <c r="X89" s="182"/>
      <c r="Y89" s="182"/>
      <c r="Z89" s="182"/>
      <c r="AA89" s="153" t="n">
        <f aca="false">TblImps[[#This Row],[Real time]]</f>
        <v>45433.2916666667</v>
      </c>
      <c r="AB89" s="69" t="n">
        <f aca="false">TblMili[[#This Row],[Draftees]]</f>
        <v>928</v>
      </c>
      <c r="AC89" s="69" t="n">
        <f aca="false">TblProd[[#This Row],[Platinum]]</f>
        <v>558702</v>
      </c>
      <c r="AD89" s="245"/>
      <c r="AE89" s="151" t="n">
        <f aca="false">TblExplore[[#This Row],[Land]]-TblExplore[[#This Row],[Land Bonus]]*20</f>
        <v>700</v>
      </c>
      <c r="AF89" s="69" t="n">
        <f aca="false">ROUND(MAX(0.6*TblExplore[[#This Row],[Land-DB]]^1.299,850)*(1+ tech_2_6*Techs!AC89 + tech_2_9*Techs!AF89 + tech_3_7*Techs!AN89 + Overview!$I$32),0)</f>
        <v>2978</v>
      </c>
      <c r="AG8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9" s="69" t="n">
        <f aca="false">SUM(TblExplore[[#This Row],[Plains Explore]:[Water Explore]])*TblExplore[[#This Row],[Plat/acre]]</f>
        <v>0</v>
      </c>
      <c r="AI89" s="69" t="n">
        <f aca="false">SUM(TblExplore[[#This Row],[Plains Explore]:[Water Explore]])*TblExplore[[#This Row],[Draftees/acre]]</f>
        <v>0</v>
      </c>
      <c r="AJ89" s="151" t="n">
        <f aca="false">_xlfn.FLOOR.MATH(MIN(TblExplore[[#This Row],[Platinum]]/TblExplore[[#This Row],[Plat/acre]],TblExplore[[#This Row],[Draftees]]/TblExplore[[#This Row],[Draftees/acre]]))</f>
        <v>132</v>
      </c>
    </row>
    <row r="90" customFormat="false" ht="12.75" hidden="false" customHeight="false" outlineLevel="0" collapsed="false">
      <c r="A90" s="170" t="n">
        <f aca="false">TblRezone[[#This Row],[Hour]]</f>
        <v>87</v>
      </c>
      <c r="B90" s="181" t="n">
        <f aca="false">TblConstr[[#This Row],[Land]]</f>
        <v>700</v>
      </c>
      <c r="C90" s="245"/>
      <c r="D90" s="246" t="n">
        <f aca="false">TblConstr[[#This Row],[Plain]]</f>
        <v>0</v>
      </c>
      <c r="E90" s="193" t="n">
        <f aca="false">TblConstr[[#This Row],[Forest]]</f>
        <v>0</v>
      </c>
      <c r="F90" s="200" t="n">
        <f aca="false">TblConstr[[#This Row],[Mountain]]</f>
        <v>0</v>
      </c>
      <c r="G90" s="201" t="n">
        <f aca="false">TblConstr[[#This Row],[Hill]]</f>
        <v>0</v>
      </c>
      <c r="H90" s="202" t="n">
        <f aca="false">TblConstr[[#This Row],[Swamp]]</f>
        <v>0</v>
      </c>
      <c r="I90" s="197" t="n">
        <f aca="false">TblConstr[[#This Row],[Cavern]]</f>
        <v>0</v>
      </c>
      <c r="J90" s="198" t="n">
        <f aca="false">TblConstr[[#This Row],[Water]]</f>
        <v>0</v>
      </c>
      <c r="K90" s="4"/>
      <c r="L90" s="4"/>
      <c r="M90" s="12"/>
      <c r="N90" s="247" t="n">
        <f aca="false">TblMili[[#This Row],[Smithies]]</f>
        <v>0.18</v>
      </c>
      <c r="O90" s="247" t="n">
        <f aca="false">TblPop[[#This Row],[Employment]]</f>
        <v>1</v>
      </c>
      <c r="P90" s="247" t="n">
        <f aca="false">TblImps[[#This Row],[Population]]</f>
        <v>1</v>
      </c>
      <c r="Q90" s="181" t="n">
        <f aca="false">TblExplore[[#This Row],[Land]]</f>
        <v>700</v>
      </c>
      <c r="R90" s="170" t="n">
        <f aca="false">TblExplore[[#This Row],[Hour]]</f>
        <v>87</v>
      </c>
      <c r="S90" s="248"/>
      <c r="T90" s="182"/>
      <c r="U90" s="182"/>
      <c r="V90" s="182"/>
      <c r="W90" s="182"/>
      <c r="X90" s="182"/>
      <c r="Y90" s="182"/>
      <c r="Z90" s="182"/>
      <c r="AA90" s="153" t="n">
        <f aca="false">TblImps[[#This Row],[Real time]]</f>
        <v>45433.3333333333</v>
      </c>
      <c r="AB90" s="69" t="n">
        <f aca="false">TblMili[[#This Row],[Draftees]]</f>
        <v>1016</v>
      </c>
      <c r="AC90" s="69" t="n">
        <f aca="false">TblProd[[#This Row],[Platinum]]</f>
        <v>602344</v>
      </c>
      <c r="AD90" s="245"/>
      <c r="AE90" s="151" t="n">
        <f aca="false">TblExplore[[#This Row],[Land]]-TblExplore[[#This Row],[Land Bonus]]*20</f>
        <v>700</v>
      </c>
      <c r="AF90" s="69" t="n">
        <f aca="false">ROUND(MAX(0.6*TblExplore[[#This Row],[Land-DB]]^1.299,850)*(1+ tech_2_6*Techs!AC90 + tech_2_9*Techs!AF90 + tech_3_7*Techs!AN90 + Overview!$I$32),0)</f>
        <v>2978</v>
      </c>
      <c r="AG9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0" s="69" t="n">
        <f aca="false">SUM(TblExplore[[#This Row],[Plains Explore]:[Water Explore]])*TblExplore[[#This Row],[Plat/acre]]</f>
        <v>0</v>
      </c>
      <c r="AI90" s="69" t="n">
        <f aca="false">SUM(TblExplore[[#This Row],[Plains Explore]:[Water Explore]])*TblExplore[[#This Row],[Draftees/acre]]</f>
        <v>0</v>
      </c>
      <c r="AJ90" s="151" t="n">
        <f aca="false">_xlfn.FLOOR.MATH(MIN(TblExplore[[#This Row],[Platinum]]/TblExplore[[#This Row],[Plat/acre]],TblExplore[[#This Row],[Draftees]]/TblExplore[[#This Row],[Draftees/acre]]))</f>
        <v>145</v>
      </c>
    </row>
    <row r="91" customFormat="false" ht="12.75" hidden="false" customHeight="false" outlineLevel="0" collapsed="false">
      <c r="A91" s="170" t="n">
        <f aca="false">TblRezone[[#This Row],[Hour]]</f>
        <v>88</v>
      </c>
      <c r="B91" s="181" t="n">
        <f aca="false">TblConstr[[#This Row],[Land]]</f>
        <v>700</v>
      </c>
      <c r="C91" s="245"/>
      <c r="D91" s="246" t="n">
        <f aca="false">TblConstr[[#This Row],[Plain]]</f>
        <v>0</v>
      </c>
      <c r="E91" s="193" t="n">
        <f aca="false">TblConstr[[#This Row],[Forest]]</f>
        <v>0</v>
      </c>
      <c r="F91" s="200" t="n">
        <f aca="false">TblConstr[[#This Row],[Mountain]]</f>
        <v>0</v>
      </c>
      <c r="G91" s="201" t="n">
        <f aca="false">TblConstr[[#This Row],[Hill]]</f>
        <v>0</v>
      </c>
      <c r="H91" s="202" t="n">
        <f aca="false">TblConstr[[#This Row],[Swamp]]</f>
        <v>0</v>
      </c>
      <c r="I91" s="197" t="n">
        <f aca="false">TblConstr[[#This Row],[Cavern]]</f>
        <v>0</v>
      </c>
      <c r="J91" s="198" t="n">
        <f aca="false">TblConstr[[#This Row],[Water]]</f>
        <v>0</v>
      </c>
      <c r="K91" s="4"/>
      <c r="L91" s="4"/>
      <c r="M91" s="12"/>
      <c r="N91" s="247" t="n">
        <f aca="false">TblMili[[#This Row],[Smithies]]</f>
        <v>0.18</v>
      </c>
      <c r="O91" s="247" t="n">
        <f aca="false">TblPop[[#This Row],[Employment]]</f>
        <v>1</v>
      </c>
      <c r="P91" s="247" t="n">
        <f aca="false">TblImps[[#This Row],[Population]]</f>
        <v>1</v>
      </c>
      <c r="Q91" s="181" t="n">
        <f aca="false">TblExplore[[#This Row],[Land]]</f>
        <v>700</v>
      </c>
      <c r="R91" s="170" t="n">
        <f aca="false">TblExplore[[#This Row],[Hour]]</f>
        <v>88</v>
      </c>
      <c r="S91" s="248"/>
      <c r="T91" s="152"/>
      <c r="U91" s="182"/>
      <c r="V91" s="182"/>
      <c r="W91" s="182"/>
      <c r="X91" s="182"/>
      <c r="Y91" s="182"/>
      <c r="Z91" s="182"/>
      <c r="AA91" s="153" t="n">
        <f aca="false">TblImps[[#This Row],[Real time]]</f>
        <v>45433.375</v>
      </c>
      <c r="AB91" s="69" t="n">
        <f aca="false">TblMili[[#This Row],[Draftees]]</f>
        <v>1103</v>
      </c>
      <c r="AC91" s="69" t="n">
        <f aca="false">TblProd[[#This Row],[Platinum]]</f>
        <v>645725</v>
      </c>
      <c r="AD91" s="245"/>
      <c r="AE91" s="151" t="n">
        <f aca="false">TblExplore[[#This Row],[Land]]-TblExplore[[#This Row],[Land Bonus]]*20</f>
        <v>700</v>
      </c>
      <c r="AF91" s="69" t="n">
        <f aca="false">ROUND(MAX(0.6*TblExplore[[#This Row],[Land-DB]]^1.299,850)*(1+ tech_2_6*Techs!AC91 + tech_2_9*Techs!AF91 + tech_3_7*Techs!AN91 + Overview!$I$32),0)</f>
        <v>2978</v>
      </c>
      <c r="AG9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1" s="69" t="n">
        <f aca="false">SUM(TblExplore[[#This Row],[Plains Explore]:[Water Explore]])*TblExplore[[#This Row],[Plat/acre]]</f>
        <v>0</v>
      </c>
      <c r="AI91" s="69" t="n">
        <f aca="false">SUM(TblExplore[[#This Row],[Plains Explore]:[Water Explore]])*TblExplore[[#This Row],[Draftees/acre]]</f>
        <v>0</v>
      </c>
      <c r="AJ91" s="151" t="n">
        <f aca="false">_xlfn.FLOOR.MATH(MIN(TblExplore[[#This Row],[Platinum]]/TblExplore[[#This Row],[Plat/acre]],TblExplore[[#This Row],[Draftees]]/TblExplore[[#This Row],[Draftees/acre]]))</f>
        <v>157</v>
      </c>
    </row>
    <row r="92" customFormat="false" ht="12.75" hidden="false" customHeight="false" outlineLevel="0" collapsed="false">
      <c r="A92" s="170" t="n">
        <f aca="false">TblRezone[[#This Row],[Hour]]</f>
        <v>89</v>
      </c>
      <c r="B92" s="181" t="n">
        <f aca="false">TblConstr[[#This Row],[Land]]</f>
        <v>700</v>
      </c>
      <c r="C92" s="245"/>
      <c r="D92" s="246" t="n">
        <f aca="false">TblConstr[[#This Row],[Plain]]</f>
        <v>0</v>
      </c>
      <c r="E92" s="193" t="n">
        <f aca="false">TblConstr[[#This Row],[Forest]]</f>
        <v>0</v>
      </c>
      <c r="F92" s="200" t="n">
        <f aca="false">TblConstr[[#This Row],[Mountain]]</f>
        <v>0</v>
      </c>
      <c r="G92" s="201" t="n">
        <f aca="false">TblConstr[[#This Row],[Hill]]</f>
        <v>0</v>
      </c>
      <c r="H92" s="202" t="n">
        <f aca="false">TblConstr[[#This Row],[Swamp]]</f>
        <v>0</v>
      </c>
      <c r="I92" s="197" t="n">
        <f aca="false">TblConstr[[#This Row],[Cavern]]</f>
        <v>0</v>
      </c>
      <c r="J92" s="198" t="n">
        <f aca="false">TblConstr[[#This Row],[Water]]</f>
        <v>0</v>
      </c>
      <c r="K92" s="4"/>
      <c r="L92" s="4"/>
      <c r="M92" s="12"/>
      <c r="N92" s="247" t="n">
        <f aca="false">TblMili[[#This Row],[Smithies]]</f>
        <v>0.18</v>
      </c>
      <c r="O92" s="247" t="n">
        <f aca="false">TblPop[[#This Row],[Employment]]</f>
        <v>1</v>
      </c>
      <c r="P92" s="247" t="n">
        <f aca="false">TblImps[[#This Row],[Population]]</f>
        <v>1</v>
      </c>
      <c r="Q92" s="181" t="n">
        <f aca="false">TblExplore[[#This Row],[Land]]</f>
        <v>700</v>
      </c>
      <c r="R92" s="170" t="n">
        <f aca="false">TblExplore[[#This Row],[Hour]]</f>
        <v>89</v>
      </c>
      <c r="S92" s="248"/>
      <c r="T92" s="152"/>
      <c r="U92" s="182"/>
      <c r="V92" s="182"/>
      <c r="W92" s="182"/>
      <c r="X92" s="182"/>
      <c r="Y92" s="182"/>
      <c r="Z92" s="182"/>
      <c r="AA92" s="153" t="n">
        <f aca="false">TblImps[[#This Row],[Real time]]</f>
        <v>45433.4166666667</v>
      </c>
      <c r="AB92" s="69" t="n">
        <f aca="false">TblMili[[#This Row],[Draftees]]</f>
        <v>1189</v>
      </c>
      <c r="AC92" s="69" t="n">
        <f aca="false">TblProd[[#This Row],[Platinum]]</f>
        <v>688847</v>
      </c>
      <c r="AD92" s="245"/>
      <c r="AE92" s="151" t="n">
        <f aca="false">TblExplore[[#This Row],[Land]]-TblExplore[[#This Row],[Land Bonus]]*20</f>
        <v>700</v>
      </c>
      <c r="AF92" s="69" t="n">
        <f aca="false">ROUND(MAX(0.6*TblExplore[[#This Row],[Land-DB]]^1.299,850)*(1+ tech_2_6*Techs!AC92 + tech_2_9*Techs!AF92 + tech_3_7*Techs!AN92 + Overview!$I$32),0)</f>
        <v>2978</v>
      </c>
      <c r="AG9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2" s="69" t="n">
        <f aca="false">SUM(TblExplore[[#This Row],[Plains Explore]:[Water Explore]])*TblExplore[[#This Row],[Plat/acre]]</f>
        <v>0</v>
      </c>
      <c r="AI92" s="69" t="n">
        <f aca="false">SUM(TblExplore[[#This Row],[Plains Explore]:[Water Explore]])*TblExplore[[#This Row],[Draftees/acre]]</f>
        <v>0</v>
      </c>
      <c r="AJ92" s="151" t="n">
        <f aca="false">_xlfn.FLOOR.MATH(MIN(TblExplore[[#This Row],[Platinum]]/TblExplore[[#This Row],[Plat/acre]],TblExplore[[#This Row],[Draftees]]/TblExplore[[#This Row],[Draftees/acre]]))</f>
        <v>169</v>
      </c>
    </row>
    <row r="93" customFormat="false" ht="12.75" hidden="false" customHeight="false" outlineLevel="0" collapsed="false">
      <c r="A93" s="170" t="n">
        <f aca="false">TblRezone[[#This Row],[Hour]]</f>
        <v>90</v>
      </c>
      <c r="B93" s="181" t="n">
        <f aca="false">TblConstr[[#This Row],[Land]]</f>
        <v>700</v>
      </c>
      <c r="C93" s="245"/>
      <c r="D93" s="246" t="n">
        <f aca="false">TblConstr[[#This Row],[Plain]]</f>
        <v>0</v>
      </c>
      <c r="E93" s="193" t="n">
        <f aca="false">TblConstr[[#This Row],[Forest]]</f>
        <v>0</v>
      </c>
      <c r="F93" s="200" t="n">
        <f aca="false">TblConstr[[#This Row],[Mountain]]</f>
        <v>0</v>
      </c>
      <c r="G93" s="201" t="n">
        <f aca="false">TblConstr[[#This Row],[Hill]]</f>
        <v>0</v>
      </c>
      <c r="H93" s="202" t="n">
        <f aca="false">TblConstr[[#This Row],[Swamp]]</f>
        <v>0</v>
      </c>
      <c r="I93" s="197" t="n">
        <f aca="false">TblConstr[[#This Row],[Cavern]]</f>
        <v>0</v>
      </c>
      <c r="J93" s="198" t="n">
        <f aca="false">TblConstr[[#This Row],[Water]]</f>
        <v>0</v>
      </c>
      <c r="K93" s="4"/>
      <c r="L93" s="4"/>
      <c r="M93" s="12"/>
      <c r="N93" s="247" t="n">
        <f aca="false">TblMili[[#This Row],[Smithies]]</f>
        <v>0.18</v>
      </c>
      <c r="O93" s="247" t="n">
        <f aca="false">TblPop[[#This Row],[Employment]]</f>
        <v>1</v>
      </c>
      <c r="P93" s="247" t="n">
        <f aca="false">TblImps[[#This Row],[Population]]</f>
        <v>1</v>
      </c>
      <c r="Q93" s="181" t="n">
        <f aca="false">TblExplore[[#This Row],[Land]]</f>
        <v>700</v>
      </c>
      <c r="R93" s="170" t="n">
        <f aca="false">TblExplore[[#This Row],[Hour]]</f>
        <v>90</v>
      </c>
      <c r="S93" s="248"/>
      <c r="T93" s="182"/>
      <c r="U93" s="182"/>
      <c r="V93" s="182"/>
      <c r="W93" s="182"/>
      <c r="X93" s="182"/>
      <c r="Y93" s="182"/>
      <c r="Z93" s="182"/>
      <c r="AA93" s="153" t="n">
        <f aca="false">TblImps[[#This Row],[Real time]]</f>
        <v>45433.4583333333</v>
      </c>
      <c r="AB93" s="69" t="n">
        <f aca="false">TblMili[[#This Row],[Draftees]]</f>
        <v>1274</v>
      </c>
      <c r="AC93" s="69" t="n">
        <f aca="false">TblProd[[#This Row],[Platinum]]</f>
        <v>731714</v>
      </c>
      <c r="AD93" s="245"/>
      <c r="AE93" s="151" t="n">
        <f aca="false">TblExplore[[#This Row],[Land]]-TblExplore[[#This Row],[Land Bonus]]*20</f>
        <v>700</v>
      </c>
      <c r="AF93" s="69" t="n">
        <f aca="false">ROUND(MAX(0.6*TblExplore[[#This Row],[Land-DB]]^1.299,850)*(1+ tech_2_6*Techs!AC93 + tech_2_9*Techs!AF93 + tech_3_7*Techs!AN93 + Overview!$I$32),0)</f>
        <v>2978</v>
      </c>
      <c r="AG9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3" s="69" t="n">
        <f aca="false">SUM(TblExplore[[#This Row],[Plains Explore]:[Water Explore]])*TblExplore[[#This Row],[Plat/acre]]</f>
        <v>0</v>
      </c>
      <c r="AI93" s="69" t="n">
        <f aca="false">SUM(TblExplore[[#This Row],[Plains Explore]:[Water Explore]])*TblExplore[[#This Row],[Draftees/acre]]</f>
        <v>0</v>
      </c>
      <c r="AJ93" s="151" t="n">
        <f aca="false">_xlfn.FLOOR.MATH(MIN(TblExplore[[#This Row],[Platinum]]/TblExplore[[#This Row],[Plat/acre]],TblExplore[[#This Row],[Draftees]]/TblExplore[[#This Row],[Draftees/acre]]))</f>
        <v>182</v>
      </c>
    </row>
    <row r="94" customFormat="false" ht="12.75" hidden="false" customHeight="false" outlineLevel="0" collapsed="false">
      <c r="A94" s="170" t="n">
        <f aca="false">TblRezone[[#This Row],[Hour]]</f>
        <v>91</v>
      </c>
      <c r="B94" s="181" t="n">
        <f aca="false">TblConstr[[#This Row],[Land]]</f>
        <v>700</v>
      </c>
      <c r="C94" s="245"/>
      <c r="D94" s="246" t="n">
        <f aca="false">TblConstr[[#This Row],[Plain]]</f>
        <v>0</v>
      </c>
      <c r="E94" s="193" t="n">
        <f aca="false">TblConstr[[#This Row],[Forest]]</f>
        <v>0</v>
      </c>
      <c r="F94" s="200" t="n">
        <f aca="false">TblConstr[[#This Row],[Mountain]]</f>
        <v>0</v>
      </c>
      <c r="G94" s="201" t="n">
        <f aca="false">TblConstr[[#This Row],[Hill]]</f>
        <v>0</v>
      </c>
      <c r="H94" s="202" t="n">
        <f aca="false">TblConstr[[#This Row],[Swamp]]</f>
        <v>0</v>
      </c>
      <c r="I94" s="197" t="n">
        <f aca="false">TblConstr[[#This Row],[Cavern]]</f>
        <v>0</v>
      </c>
      <c r="J94" s="198" t="n">
        <f aca="false">TblConstr[[#This Row],[Water]]</f>
        <v>0</v>
      </c>
      <c r="K94" s="4"/>
      <c r="L94" s="4"/>
      <c r="M94" s="12"/>
      <c r="N94" s="247" t="n">
        <f aca="false">TblMili[[#This Row],[Smithies]]</f>
        <v>0.18</v>
      </c>
      <c r="O94" s="247" t="n">
        <f aca="false">TblPop[[#This Row],[Employment]]</f>
        <v>1</v>
      </c>
      <c r="P94" s="247" t="n">
        <f aca="false">TblImps[[#This Row],[Population]]</f>
        <v>1</v>
      </c>
      <c r="Q94" s="181" t="n">
        <f aca="false">TblExplore[[#This Row],[Land]]</f>
        <v>700</v>
      </c>
      <c r="R94" s="170" t="n">
        <f aca="false">TblExplore[[#This Row],[Hour]]</f>
        <v>91</v>
      </c>
      <c r="S94" s="248"/>
      <c r="T94" s="182"/>
      <c r="U94" s="182"/>
      <c r="V94" s="182"/>
      <c r="W94" s="182"/>
      <c r="X94" s="182"/>
      <c r="Y94" s="182"/>
      <c r="Z94" s="182"/>
      <c r="AA94" s="153" t="n">
        <f aca="false">TblImps[[#This Row],[Real time]]</f>
        <v>45433.5</v>
      </c>
      <c r="AB94" s="69" t="n">
        <f aca="false">TblMili[[#This Row],[Draftees]]</f>
        <v>1358</v>
      </c>
      <c r="AC94" s="69" t="n">
        <f aca="false">TblProd[[#This Row],[Platinum]]</f>
        <v>774328</v>
      </c>
      <c r="AD94" s="245"/>
      <c r="AE94" s="151" t="n">
        <f aca="false">TblExplore[[#This Row],[Land]]-TblExplore[[#This Row],[Land Bonus]]*20</f>
        <v>700</v>
      </c>
      <c r="AF94" s="69" t="n">
        <f aca="false">ROUND(MAX(0.6*TblExplore[[#This Row],[Land-DB]]^1.299,850)*(1+ tech_2_6*Techs!AC94 + tech_2_9*Techs!AF94 + tech_3_7*Techs!AN94 + Overview!$I$32),0)</f>
        <v>2978</v>
      </c>
      <c r="AG9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4" s="69" t="n">
        <f aca="false">SUM(TblExplore[[#This Row],[Plains Explore]:[Water Explore]])*TblExplore[[#This Row],[Plat/acre]]</f>
        <v>0</v>
      </c>
      <c r="AI94" s="69" t="n">
        <f aca="false">SUM(TblExplore[[#This Row],[Plains Explore]:[Water Explore]])*TblExplore[[#This Row],[Draftees/acre]]</f>
        <v>0</v>
      </c>
      <c r="AJ94" s="151" t="n">
        <f aca="false">_xlfn.FLOOR.MATH(MIN(TblExplore[[#This Row],[Platinum]]/TblExplore[[#This Row],[Plat/acre]],TblExplore[[#This Row],[Draftees]]/TblExplore[[#This Row],[Draftees/acre]]))</f>
        <v>194</v>
      </c>
    </row>
    <row r="95" customFormat="false" ht="12.75" hidden="false" customHeight="false" outlineLevel="0" collapsed="false">
      <c r="A95" s="170" t="n">
        <f aca="false">TblRezone[[#This Row],[Hour]]</f>
        <v>92</v>
      </c>
      <c r="B95" s="181" t="n">
        <f aca="false">TblConstr[[#This Row],[Land]]</f>
        <v>700</v>
      </c>
      <c r="C95" s="245"/>
      <c r="D95" s="246" t="n">
        <f aca="false">TblConstr[[#This Row],[Plain]]</f>
        <v>0</v>
      </c>
      <c r="E95" s="193" t="n">
        <f aca="false">TblConstr[[#This Row],[Forest]]</f>
        <v>0</v>
      </c>
      <c r="F95" s="200" t="n">
        <f aca="false">TblConstr[[#This Row],[Mountain]]</f>
        <v>0</v>
      </c>
      <c r="G95" s="201" t="n">
        <f aca="false">TblConstr[[#This Row],[Hill]]</f>
        <v>0</v>
      </c>
      <c r="H95" s="202" t="n">
        <f aca="false">TblConstr[[#This Row],[Swamp]]</f>
        <v>0</v>
      </c>
      <c r="I95" s="197" t="n">
        <f aca="false">TblConstr[[#This Row],[Cavern]]</f>
        <v>0</v>
      </c>
      <c r="J95" s="198" t="n">
        <f aca="false">TblConstr[[#This Row],[Water]]</f>
        <v>0</v>
      </c>
      <c r="K95" s="4"/>
      <c r="L95" s="4"/>
      <c r="M95" s="12"/>
      <c r="N95" s="247" t="n">
        <f aca="false">TblMili[[#This Row],[Smithies]]</f>
        <v>0.18</v>
      </c>
      <c r="O95" s="247" t="n">
        <f aca="false">TblPop[[#This Row],[Employment]]</f>
        <v>1</v>
      </c>
      <c r="P95" s="247" t="n">
        <f aca="false">TblImps[[#This Row],[Population]]</f>
        <v>1</v>
      </c>
      <c r="Q95" s="181" t="n">
        <f aca="false">TblExplore[[#This Row],[Land]]</f>
        <v>700</v>
      </c>
      <c r="R95" s="170" t="n">
        <f aca="false">TblExplore[[#This Row],[Hour]]</f>
        <v>92</v>
      </c>
      <c r="S95" s="248"/>
      <c r="T95" s="182"/>
      <c r="U95" s="182"/>
      <c r="V95" s="182"/>
      <c r="W95" s="182"/>
      <c r="X95" s="182"/>
      <c r="Y95" s="182"/>
      <c r="Z95" s="182"/>
      <c r="AA95" s="153" t="n">
        <f aca="false">TblImps[[#This Row],[Real time]]</f>
        <v>45433.5416666667</v>
      </c>
      <c r="AB95" s="69" t="n">
        <f aca="false">TblMili[[#This Row],[Draftees]]</f>
        <v>1442</v>
      </c>
      <c r="AC95" s="69" t="n">
        <f aca="false">TblProd[[#This Row],[Platinum]]</f>
        <v>816693</v>
      </c>
      <c r="AD95" s="245"/>
      <c r="AE95" s="151" t="n">
        <f aca="false">TblExplore[[#This Row],[Land]]-TblExplore[[#This Row],[Land Bonus]]*20</f>
        <v>700</v>
      </c>
      <c r="AF95" s="69" t="n">
        <f aca="false">ROUND(MAX(0.6*TblExplore[[#This Row],[Land-DB]]^1.299,850)*(1+ tech_2_6*Techs!AC95 + tech_2_9*Techs!AF95 + tech_3_7*Techs!AN95 + Overview!$I$32),0)</f>
        <v>2978</v>
      </c>
      <c r="AG9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5" s="69" t="n">
        <f aca="false">SUM(TblExplore[[#This Row],[Plains Explore]:[Water Explore]])*TblExplore[[#This Row],[Plat/acre]]</f>
        <v>0</v>
      </c>
      <c r="AI95" s="69" t="n">
        <f aca="false">SUM(TblExplore[[#This Row],[Plains Explore]:[Water Explore]])*TblExplore[[#This Row],[Draftees/acre]]</f>
        <v>0</v>
      </c>
      <c r="AJ95" s="151" t="n">
        <f aca="false">_xlfn.FLOOR.MATH(MIN(TblExplore[[#This Row],[Platinum]]/TblExplore[[#This Row],[Plat/acre]],TblExplore[[#This Row],[Draftees]]/TblExplore[[#This Row],[Draftees/acre]]))</f>
        <v>206</v>
      </c>
    </row>
    <row r="96" customFormat="false" ht="12.75" hidden="false" customHeight="false" outlineLevel="0" collapsed="false">
      <c r="A96" s="170" t="n">
        <f aca="false">TblRezone[[#This Row],[Hour]]</f>
        <v>93</v>
      </c>
      <c r="B96" s="181" t="n">
        <f aca="false">TblConstr[[#This Row],[Land]]</f>
        <v>700</v>
      </c>
      <c r="C96" s="245"/>
      <c r="D96" s="246" t="n">
        <f aca="false">TblConstr[[#This Row],[Plain]]</f>
        <v>0</v>
      </c>
      <c r="E96" s="193" t="n">
        <f aca="false">TblConstr[[#This Row],[Forest]]</f>
        <v>0</v>
      </c>
      <c r="F96" s="200" t="n">
        <f aca="false">TblConstr[[#This Row],[Mountain]]</f>
        <v>0</v>
      </c>
      <c r="G96" s="201" t="n">
        <f aca="false">TblConstr[[#This Row],[Hill]]</f>
        <v>0</v>
      </c>
      <c r="H96" s="202" t="n">
        <f aca="false">TblConstr[[#This Row],[Swamp]]</f>
        <v>0</v>
      </c>
      <c r="I96" s="197" t="n">
        <f aca="false">TblConstr[[#This Row],[Cavern]]</f>
        <v>0</v>
      </c>
      <c r="J96" s="198" t="n">
        <f aca="false">TblConstr[[#This Row],[Water]]</f>
        <v>0</v>
      </c>
      <c r="K96" s="4"/>
      <c r="L96" s="4"/>
      <c r="M96" s="4"/>
      <c r="N96" s="247" t="n">
        <f aca="false">TblMili[[#This Row],[Smithies]]</f>
        <v>0.18</v>
      </c>
      <c r="O96" s="247" t="n">
        <f aca="false">TblPop[[#This Row],[Employment]]</f>
        <v>1</v>
      </c>
      <c r="P96" s="247" t="n">
        <f aca="false">TblImps[[#This Row],[Population]]</f>
        <v>1</v>
      </c>
      <c r="Q96" s="181" t="n">
        <f aca="false">TblExplore[[#This Row],[Land]]</f>
        <v>700</v>
      </c>
      <c r="R96" s="181" t="n">
        <f aca="false">TblExplore[[#This Row],[Hour]]</f>
        <v>93</v>
      </c>
      <c r="S96" s="248"/>
      <c r="T96" s="182"/>
      <c r="U96" s="182"/>
      <c r="V96" s="182"/>
      <c r="W96" s="182"/>
      <c r="X96" s="182"/>
      <c r="Y96" s="182"/>
      <c r="Z96" s="182"/>
      <c r="AA96" s="153" t="n">
        <f aca="false">TblImps[[#This Row],[Real time]]</f>
        <v>45433.5833333333</v>
      </c>
      <c r="AB96" s="69" t="n">
        <f aca="false">TblMili[[#This Row],[Draftees]]</f>
        <v>1525</v>
      </c>
      <c r="AC96" s="69" t="n">
        <f aca="false">TblProd[[#This Row],[Platinum]]</f>
        <v>858808</v>
      </c>
      <c r="AD96" s="245"/>
      <c r="AE96" s="151" t="n">
        <f aca="false">TblExplore[[#This Row],[Land]]-TblExplore[[#This Row],[Land Bonus]]*20</f>
        <v>700</v>
      </c>
      <c r="AF96" s="69" t="n">
        <f aca="false">ROUND(MAX(0.6*TblExplore[[#This Row],[Land-DB]]^1.299,850)*(1+ tech_2_6*Techs!AC96 + tech_2_9*Techs!AF96 + tech_3_7*Techs!AN96 + Overview!$I$32),0)</f>
        <v>2978</v>
      </c>
      <c r="AG9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6" s="69" t="n">
        <f aca="false">SUM(TblExplore[[#This Row],[Plains Explore]:[Water Explore]])*TblExplore[[#This Row],[Plat/acre]]</f>
        <v>0</v>
      </c>
      <c r="AI96" s="69" t="n">
        <f aca="false">SUM(TblExplore[[#This Row],[Plains Explore]:[Water Explore]])*TblExplore[[#This Row],[Draftees/acre]]</f>
        <v>0</v>
      </c>
      <c r="AJ96" s="151" t="n">
        <f aca="false">_xlfn.FLOOR.MATH(MIN(TblExplore[[#This Row],[Platinum]]/TblExplore[[#This Row],[Plat/acre]],TblExplore[[#This Row],[Draftees]]/TblExplore[[#This Row],[Draftees/acre]]))</f>
        <v>217</v>
      </c>
    </row>
    <row r="97" customFormat="false" ht="12.75" hidden="false" customHeight="false" outlineLevel="0" collapsed="false">
      <c r="A97" s="170" t="n">
        <f aca="false">TblRezone[[#This Row],[Hour]]</f>
        <v>94</v>
      </c>
      <c r="B97" s="181" t="n">
        <f aca="false">TblConstr[[#This Row],[Land]]</f>
        <v>700</v>
      </c>
      <c r="C97" s="245"/>
      <c r="D97" s="246" t="n">
        <f aca="false">TblConstr[[#This Row],[Plain]]</f>
        <v>0</v>
      </c>
      <c r="E97" s="193" t="n">
        <f aca="false">TblConstr[[#This Row],[Forest]]</f>
        <v>0</v>
      </c>
      <c r="F97" s="200" t="n">
        <f aca="false">TblConstr[[#This Row],[Mountain]]</f>
        <v>0</v>
      </c>
      <c r="G97" s="201" t="n">
        <f aca="false">TblConstr[[#This Row],[Hill]]</f>
        <v>0</v>
      </c>
      <c r="H97" s="202" t="n">
        <f aca="false">TblConstr[[#This Row],[Swamp]]</f>
        <v>0</v>
      </c>
      <c r="I97" s="197" t="n">
        <f aca="false">TblConstr[[#This Row],[Cavern]]</f>
        <v>0</v>
      </c>
      <c r="J97" s="198" t="n">
        <f aca="false">TblConstr[[#This Row],[Water]]</f>
        <v>0</v>
      </c>
      <c r="K97" s="4"/>
      <c r="L97" s="4"/>
      <c r="M97" s="4"/>
      <c r="N97" s="247" t="n">
        <f aca="false">TblMili[[#This Row],[Smithies]]</f>
        <v>0.18</v>
      </c>
      <c r="O97" s="247" t="n">
        <f aca="false">TblPop[[#This Row],[Employment]]</f>
        <v>1</v>
      </c>
      <c r="P97" s="247" t="n">
        <f aca="false">TblImps[[#This Row],[Population]]</f>
        <v>1</v>
      </c>
      <c r="Q97" s="181" t="n">
        <f aca="false">TblExplore[[#This Row],[Land]]</f>
        <v>700</v>
      </c>
      <c r="R97" s="181" t="n">
        <f aca="false">TblExplore[[#This Row],[Hour]]</f>
        <v>94</v>
      </c>
      <c r="S97" s="248"/>
      <c r="T97" s="182"/>
      <c r="U97" s="182"/>
      <c r="V97" s="182"/>
      <c r="W97" s="182"/>
      <c r="X97" s="182"/>
      <c r="Y97" s="182"/>
      <c r="Z97" s="182"/>
      <c r="AA97" s="153" t="n">
        <f aca="false">TblImps[[#This Row],[Real time]]</f>
        <v>45433.625</v>
      </c>
      <c r="AB97" s="69" t="n">
        <f aca="false">TblMili[[#This Row],[Draftees]]</f>
        <v>1607</v>
      </c>
      <c r="AC97" s="69" t="n">
        <f aca="false">TblProd[[#This Row],[Platinum]]</f>
        <v>900677</v>
      </c>
      <c r="AD97" s="245"/>
      <c r="AE97" s="151" t="n">
        <f aca="false">TblExplore[[#This Row],[Land]]-TblExplore[[#This Row],[Land Bonus]]*20</f>
        <v>700</v>
      </c>
      <c r="AF97" s="69" t="n">
        <f aca="false">ROUND(MAX(0.6*TblExplore[[#This Row],[Land-DB]]^1.299,850)*(1+ tech_2_6*Techs!AC97 + tech_2_9*Techs!AF97 + tech_3_7*Techs!AN97 + Overview!$I$32),0)</f>
        <v>2978</v>
      </c>
      <c r="AG9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7" s="69" t="n">
        <f aca="false">SUM(TblExplore[[#This Row],[Plains Explore]:[Water Explore]])*TblExplore[[#This Row],[Plat/acre]]</f>
        <v>0</v>
      </c>
      <c r="AI97" s="69" t="n">
        <f aca="false">SUM(TblExplore[[#This Row],[Plains Explore]:[Water Explore]])*TblExplore[[#This Row],[Draftees/acre]]</f>
        <v>0</v>
      </c>
      <c r="AJ97" s="151" t="n">
        <f aca="false">_xlfn.FLOOR.MATH(MIN(TblExplore[[#This Row],[Platinum]]/TblExplore[[#This Row],[Plat/acre]],TblExplore[[#This Row],[Draftees]]/TblExplore[[#This Row],[Draftees/acre]]))</f>
        <v>229</v>
      </c>
    </row>
    <row r="98" customFormat="false" ht="12.75" hidden="false" customHeight="false" outlineLevel="0" collapsed="false">
      <c r="A98" s="170" t="n">
        <f aca="false">TblRezone[[#This Row],[Hour]]</f>
        <v>95</v>
      </c>
      <c r="B98" s="181" t="n">
        <f aca="false">TblConstr[[#This Row],[Land]]</f>
        <v>700</v>
      </c>
      <c r="C98" s="245"/>
      <c r="D98" s="246" t="n">
        <f aca="false">TblConstr[[#This Row],[Plain]]</f>
        <v>0</v>
      </c>
      <c r="E98" s="193" t="n">
        <f aca="false">TblConstr[[#This Row],[Forest]]</f>
        <v>0</v>
      </c>
      <c r="F98" s="200" t="n">
        <f aca="false">TblConstr[[#This Row],[Mountain]]</f>
        <v>0</v>
      </c>
      <c r="G98" s="201" t="n">
        <f aca="false">TblConstr[[#This Row],[Hill]]</f>
        <v>0</v>
      </c>
      <c r="H98" s="202" t="n">
        <f aca="false">TblConstr[[#This Row],[Swamp]]</f>
        <v>0</v>
      </c>
      <c r="I98" s="197" t="n">
        <f aca="false">TblConstr[[#This Row],[Cavern]]</f>
        <v>0</v>
      </c>
      <c r="J98" s="198" t="n">
        <f aca="false">TblConstr[[#This Row],[Water]]</f>
        <v>0</v>
      </c>
      <c r="K98" s="4"/>
      <c r="L98" s="4"/>
      <c r="M98" s="12"/>
      <c r="N98" s="247" t="n">
        <f aca="false">TblMili[[#This Row],[Smithies]]</f>
        <v>0.18</v>
      </c>
      <c r="O98" s="247" t="n">
        <f aca="false">TblPop[[#This Row],[Employment]]</f>
        <v>1</v>
      </c>
      <c r="P98" s="247" t="n">
        <f aca="false">TblImps[[#This Row],[Population]]</f>
        <v>1</v>
      </c>
      <c r="Q98" s="181" t="n">
        <f aca="false">TblExplore[[#This Row],[Land]]</f>
        <v>700</v>
      </c>
      <c r="R98" s="170" t="n">
        <f aca="false">TblExplore[[#This Row],[Hour]]</f>
        <v>95</v>
      </c>
      <c r="S98" s="248"/>
      <c r="T98" s="182"/>
      <c r="U98" s="182"/>
      <c r="V98" s="182"/>
      <c r="W98" s="182"/>
      <c r="X98" s="182"/>
      <c r="Y98" s="182"/>
      <c r="Z98" s="182"/>
      <c r="AA98" s="153" t="n">
        <f aca="false">TblImps[[#This Row],[Real time]]</f>
        <v>45433.6666666667</v>
      </c>
      <c r="AB98" s="69" t="n">
        <f aca="false">TblMili[[#This Row],[Draftees]]</f>
        <v>1688</v>
      </c>
      <c r="AC98" s="69" t="n">
        <f aca="false">TblProd[[#This Row],[Platinum]]</f>
        <v>942302</v>
      </c>
      <c r="AD98" s="245"/>
      <c r="AE98" s="151" t="n">
        <f aca="false">TblExplore[[#This Row],[Land]]-TblExplore[[#This Row],[Land Bonus]]*20</f>
        <v>700</v>
      </c>
      <c r="AF98" s="69" t="n">
        <f aca="false">ROUND(MAX(0.6*TblExplore[[#This Row],[Land-DB]]^1.299,850)*(1+ tech_2_6*Techs!AC98 + tech_2_9*Techs!AF98 + tech_3_7*Techs!AN98 + Overview!$I$32),0)</f>
        <v>2978</v>
      </c>
      <c r="AG9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8" s="69" t="n">
        <f aca="false">SUM(TblExplore[[#This Row],[Plains Explore]:[Water Explore]])*TblExplore[[#This Row],[Plat/acre]]</f>
        <v>0</v>
      </c>
      <c r="AI98" s="69" t="n">
        <f aca="false">SUM(TblExplore[[#This Row],[Plains Explore]:[Water Explore]])*TblExplore[[#This Row],[Draftees/acre]]</f>
        <v>0</v>
      </c>
      <c r="AJ98" s="151" t="n">
        <f aca="false">_xlfn.FLOOR.MATH(MIN(TblExplore[[#This Row],[Platinum]]/TblExplore[[#This Row],[Plat/acre]],TblExplore[[#This Row],[Draftees]]/TblExplore[[#This Row],[Draftees/acre]]))</f>
        <v>241</v>
      </c>
    </row>
    <row r="99" customFormat="false" ht="12.75" hidden="false" customHeight="false" outlineLevel="0" collapsed="false">
      <c r="A99" s="170" t="n">
        <f aca="false">TblRezone[[#This Row],[Hour]]</f>
        <v>96</v>
      </c>
      <c r="B99" s="181" t="n">
        <f aca="false">TblConstr[[#This Row],[Land]]</f>
        <v>700</v>
      </c>
      <c r="C99" s="245"/>
      <c r="D99" s="246" t="n">
        <f aca="false">TblConstr[[#This Row],[Plain]]</f>
        <v>0</v>
      </c>
      <c r="E99" s="193" t="n">
        <f aca="false">TblConstr[[#This Row],[Forest]]</f>
        <v>0</v>
      </c>
      <c r="F99" s="200" t="n">
        <f aca="false">TblConstr[[#This Row],[Mountain]]</f>
        <v>0</v>
      </c>
      <c r="G99" s="201" t="n">
        <f aca="false">TblConstr[[#This Row],[Hill]]</f>
        <v>0</v>
      </c>
      <c r="H99" s="202" t="n">
        <f aca="false">TblConstr[[#This Row],[Swamp]]</f>
        <v>0</v>
      </c>
      <c r="I99" s="197" t="n">
        <f aca="false">TblConstr[[#This Row],[Cavern]]</f>
        <v>0</v>
      </c>
      <c r="J99" s="198" t="n">
        <f aca="false">TblConstr[[#This Row],[Water]]</f>
        <v>0</v>
      </c>
      <c r="K99" s="4"/>
      <c r="L99" s="4"/>
      <c r="M99" s="12"/>
      <c r="N99" s="247" t="n">
        <f aca="false">TblMili[[#This Row],[Smithies]]</f>
        <v>0.18</v>
      </c>
      <c r="O99" s="247" t="n">
        <f aca="false">TblPop[[#This Row],[Employment]]</f>
        <v>1</v>
      </c>
      <c r="P99" s="247" t="n">
        <f aca="false">TblImps[[#This Row],[Population]]</f>
        <v>1</v>
      </c>
      <c r="Q99" s="181" t="n">
        <f aca="false">TblExplore[[#This Row],[Land]]</f>
        <v>700</v>
      </c>
      <c r="R99" s="170" t="n">
        <f aca="false">TblExplore[[#This Row],[Hour]]</f>
        <v>96</v>
      </c>
      <c r="S99" s="248"/>
      <c r="T99" s="152"/>
      <c r="U99" s="182"/>
      <c r="V99" s="182"/>
      <c r="W99" s="182"/>
      <c r="X99" s="182"/>
      <c r="Y99" s="182"/>
      <c r="Z99" s="182"/>
      <c r="AA99" s="153" t="n">
        <f aca="false">TblImps[[#This Row],[Real time]]</f>
        <v>45433.7083333333</v>
      </c>
      <c r="AB99" s="69" t="n">
        <f aca="false">TblMili[[#This Row],[Draftees]]</f>
        <v>1768</v>
      </c>
      <c r="AC99" s="69" t="n">
        <f aca="false">TblProd[[#This Row],[Platinum]]</f>
        <v>983687</v>
      </c>
      <c r="AD99" s="245"/>
      <c r="AE99" s="151" t="n">
        <f aca="false">TblExplore[[#This Row],[Land]]-TblExplore[[#This Row],[Land Bonus]]*20</f>
        <v>700</v>
      </c>
      <c r="AF99" s="69" t="n">
        <f aca="false">ROUND(MAX(0.6*TblExplore[[#This Row],[Land-DB]]^1.299,850)*(1+ tech_2_6*Techs!AC99 + tech_2_9*Techs!AF99 + tech_3_7*Techs!AN99 + Overview!$I$32),0)</f>
        <v>2978</v>
      </c>
      <c r="AG9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9" s="69" t="n">
        <f aca="false">SUM(TblExplore[[#This Row],[Plains Explore]:[Water Explore]])*TblExplore[[#This Row],[Plat/acre]]</f>
        <v>0</v>
      </c>
      <c r="AI99" s="69" t="n">
        <f aca="false">SUM(TblExplore[[#This Row],[Plains Explore]:[Water Explore]])*TblExplore[[#This Row],[Draftees/acre]]</f>
        <v>0</v>
      </c>
      <c r="AJ99" s="151" t="n">
        <f aca="false">_xlfn.FLOOR.MATH(MIN(TblExplore[[#This Row],[Platinum]]/TblExplore[[#This Row],[Plat/acre]],TblExplore[[#This Row],[Draftees]]/TblExplore[[#This Row],[Draftees/acre]]))</f>
        <v>252</v>
      </c>
    </row>
    <row r="100" customFormat="false" ht="12.75" hidden="false" customHeight="false" outlineLevel="0" collapsed="false">
      <c r="A100" s="170" t="n">
        <f aca="false">TblRezone[[#This Row],[Hour]]</f>
        <v>97</v>
      </c>
      <c r="B100" s="181" t="n">
        <f aca="false">TblConstr[[#This Row],[Land]]</f>
        <v>700</v>
      </c>
      <c r="C100" s="245"/>
      <c r="D100" s="246" t="n">
        <f aca="false">TblConstr[[#This Row],[Plain]]</f>
        <v>0</v>
      </c>
      <c r="E100" s="193" t="n">
        <f aca="false">TblConstr[[#This Row],[Forest]]</f>
        <v>0</v>
      </c>
      <c r="F100" s="200" t="n">
        <f aca="false">TblConstr[[#This Row],[Mountain]]</f>
        <v>0</v>
      </c>
      <c r="G100" s="201" t="n">
        <f aca="false">TblConstr[[#This Row],[Hill]]</f>
        <v>0</v>
      </c>
      <c r="H100" s="202" t="n">
        <f aca="false">TblConstr[[#This Row],[Swamp]]</f>
        <v>0</v>
      </c>
      <c r="I100" s="197" t="n">
        <f aca="false">TblConstr[[#This Row],[Cavern]]</f>
        <v>0</v>
      </c>
      <c r="J100" s="198" t="n">
        <f aca="false">TblConstr[[#This Row],[Water]]</f>
        <v>0</v>
      </c>
      <c r="K100" s="4"/>
      <c r="L100" s="4"/>
      <c r="M100" s="12"/>
      <c r="N100" s="247" t="n">
        <f aca="false">TblMili[[#This Row],[Smithies]]</f>
        <v>0.18</v>
      </c>
      <c r="O100" s="247" t="n">
        <f aca="false">TblPop[[#This Row],[Employment]]</f>
        <v>1</v>
      </c>
      <c r="P100" s="247" t="n">
        <f aca="false">TblImps[[#This Row],[Population]]</f>
        <v>1</v>
      </c>
      <c r="Q100" s="181" t="n">
        <f aca="false">TblExplore[[#This Row],[Land]]</f>
        <v>700</v>
      </c>
      <c r="R100" s="170" t="n">
        <f aca="false">TblExplore[[#This Row],[Hour]]</f>
        <v>97</v>
      </c>
      <c r="S100" s="248"/>
      <c r="T100" s="182"/>
      <c r="U100" s="182"/>
      <c r="V100" s="182"/>
      <c r="W100" s="182"/>
      <c r="X100" s="182"/>
      <c r="Y100" s="182"/>
      <c r="Z100" s="182"/>
      <c r="AA100" s="153" t="n">
        <f aca="false">TblImps[[#This Row],[Real time]]</f>
        <v>45433.75</v>
      </c>
      <c r="AB100" s="69" t="n">
        <f aca="false">TblMili[[#This Row],[Draftees]]</f>
        <v>1847</v>
      </c>
      <c r="AC100" s="69" t="n">
        <f aca="false">TblProd[[#This Row],[Platinum]]</f>
        <v>1024834</v>
      </c>
      <c r="AD100" s="245"/>
      <c r="AE100" s="151" t="n">
        <f aca="false">TblExplore[[#This Row],[Land]]-TblExplore[[#This Row],[Land Bonus]]*20</f>
        <v>700</v>
      </c>
      <c r="AF100" s="69" t="n">
        <f aca="false">ROUND(MAX(0.6*TblExplore[[#This Row],[Land-DB]]^1.299,850)*(1+ tech_2_6*Techs!AC100 + tech_2_9*Techs!AF100 + tech_3_7*Techs!AN100 + Overview!$I$32),0)</f>
        <v>2978</v>
      </c>
      <c r="AG10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0" s="69" t="n">
        <f aca="false">SUM(TblExplore[[#This Row],[Plains Explore]:[Water Explore]])*TblExplore[[#This Row],[Plat/acre]]</f>
        <v>0</v>
      </c>
      <c r="AI100" s="69" t="n">
        <f aca="false">SUM(TblExplore[[#This Row],[Plains Explore]:[Water Explore]])*TblExplore[[#This Row],[Draftees/acre]]</f>
        <v>0</v>
      </c>
      <c r="AJ100" s="151" t="n">
        <f aca="false">_xlfn.FLOOR.MATH(MIN(TblExplore[[#This Row],[Platinum]]/TblExplore[[#This Row],[Plat/acre]],TblExplore[[#This Row],[Draftees]]/TblExplore[[#This Row],[Draftees/acre]]))</f>
        <v>263</v>
      </c>
    </row>
    <row r="101" customFormat="false" ht="12.75" hidden="false" customHeight="false" outlineLevel="0" collapsed="false">
      <c r="A101" s="170" t="n">
        <f aca="false">TblRezone[[#This Row],[Hour]]</f>
        <v>98</v>
      </c>
      <c r="B101" s="181" t="n">
        <f aca="false">TblConstr[[#This Row],[Land]]</f>
        <v>700</v>
      </c>
      <c r="C101" s="245"/>
      <c r="D101" s="246" t="n">
        <f aca="false">TblConstr[[#This Row],[Plain]]</f>
        <v>0</v>
      </c>
      <c r="E101" s="193" t="n">
        <f aca="false">TblConstr[[#This Row],[Forest]]</f>
        <v>0</v>
      </c>
      <c r="F101" s="200" t="n">
        <f aca="false">TblConstr[[#This Row],[Mountain]]</f>
        <v>0</v>
      </c>
      <c r="G101" s="201" t="n">
        <f aca="false">TblConstr[[#This Row],[Hill]]</f>
        <v>0</v>
      </c>
      <c r="H101" s="202" t="n">
        <f aca="false">TblConstr[[#This Row],[Swamp]]</f>
        <v>0</v>
      </c>
      <c r="I101" s="197" t="n">
        <f aca="false">TblConstr[[#This Row],[Cavern]]</f>
        <v>0</v>
      </c>
      <c r="J101" s="198" t="n">
        <f aca="false">TblConstr[[#This Row],[Water]]</f>
        <v>0</v>
      </c>
      <c r="K101" s="4"/>
      <c r="L101" s="4"/>
      <c r="M101" s="249"/>
      <c r="N101" s="247" t="n">
        <f aca="false">TblMili[[#This Row],[Smithies]]</f>
        <v>0.18</v>
      </c>
      <c r="O101" s="247" t="n">
        <f aca="false">TblPop[[#This Row],[Employment]]</f>
        <v>1</v>
      </c>
      <c r="P101" s="247" t="n">
        <f aca="false">TblImps[[#This Row],[Population]]</f>
        <v>1</v>
      </c>
      <c r="Q101" s="181" t="n">
        <f aca="false">TblExplore[[#This Row],[Land]]</f>
        <v>700</v>
      </c>
      <c r="R101" s="170" t="n">
        <f aca="false">TblExplore[[#This Row],[Hour]]</f>
        <v>98</v>
      </c>
      <c r="S101" s="248"/>
      <c r="T101" s="152"/>
      <c r="U101" s="182"/>
      <c r="V101" s="182"/>
      <c r="W101" s="182"/>
      <c r="X101" s="182"/>
      <c r="Y101" s="182"/>
      <c r="Z101" s="182"/>
      <c r="AA101" s="153" t="n">
        <f aca="false">TblImps[[#This Row],[Real time]]</f>
        <v>45433.7916666667</v>
      </c>
      <c r="AB101" s="69" t="n">
        <f aca="false">TblMili[[#This Row],[Draftees]]</f>
        <v>1926</v>
      </c>
      <c r="AC101" s="69" t="n">
        <f aca="false">TblProd[[#This Row],[Platinum]]</f>
        <v>1065746</v>
      </c>
      <c r="AD101" s="245"/>
      <c r="AE101" s="151" t="n">
        <f aca="false">TblExplore[[#This Row],[Land]]-TblExplore[[#This Row],[Land Bonus]]*20</f>
        <v>700</v>
      </c>
      <c r="AF101" s="69" t="n">
        <f aca="false">ROUND(MAX(0.6*TblExplore[[#This Row],[Land-DB]]^1.299,850)*(1+ tech_2_6*Techs!AC101 + tech_2_9*Techs!AF101 + tech_3_7*Techs!AN101 + Overview!$I$32),0)</f>
        <v>2978</v>
      </c>
      <c r="AG10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1" s="69" t="n">
        <f aca="false">SUM(TblExplore[[#This Row],[Plains Explore]:[Water Explore]])*TblExplore[[#This Row],[Plat/acre]]</f>
        <v>0</v>
      </c>
      <c r="AI101" s="69" t="n">
        <f aca="false">SUM(TblExplore[[#This Row],[Plains Explore]:[Water Explore]])*TblExplore[[#This Row],[Draftees/acre]]</f>
        <v>0</v>
      </c>
      <c r="AJ101" s="151" t="n">
        <f aca="false">_xlfn.FLOOR.MATH(MIN(TblExplore[[#This Row],[Platinum]]/TblExplore[[#This Row],[Plat/acre]],TblExplore[[#This Row],[Draftees]]/TblExplore[[#This Row],[Draftees/acre]]))</f>
        <v>275</v>
      </c>
    </row>
    <row r="102" customFormat="false" ht="12.75" hidden="false" customHeight="false" outlineLevel="0" collapsed="false">
      <c r="A102" s="170" t="n">
        <f aca="false">TblRezone[[#This Row],[Hour]]</f>
        <v>99</v>
      </c>
      <c r="B102" s="181" t="n">
        <f aca="false">TblConstr[[#This Row],[Land]]</f>
        <v>700</v>
      </c>
      <c r="C102" s="245"/>
      <c r="D102" s="246" t="n">
        <f aca="false">TblConstr[[#This Row],[Plain]]</f>
        <v>0</v>
      </c>
      <c r="E102" s="193" t="n">
        <f aca="false">TblConstr[[#This Row],[Forest]]</f>
        <v>0</v>
      </c>
      <c r="F102" s="200" t="n">
        <f aca="false">TblConstr[[#This Row],[Mountain]]</f>
        <v>0</v>
      </c>
      <c r="G102" s="201" t="n">
        <f aca="false">TblConstr[[#This Row],[Hill]]</f>
        <v>0</v>
      </c>
      <c r="H102" s="202" t="n">
        <f aca="false">TblConstr[[#This Row],[Swamp]]</f>
        <v>0</v>
      </c>
      <c r="I102" s="197" t="n">
        <f aca="false">TblConstr[[#This Row],[Cavern]]</f>
        <v>0</v>
      </c>
      <c r="J102" s="198" t="n">
        <f aca="false">TblConstr[[#This Row],[Water]]</f>
        <v>0</v>
      </c>
      <c r="K102" s="4"/>
      <c r="L102" s="4"/>
      <c r="M102" s="12"/>
      <c r="N102" s="247" t="n">
        <f aca="false">TblMili[[#This Row],[Smithies]]</f>
        <v>0.18</v>
      </c>
      <c r="O102" s="247" t="n">
        <f aca="false">TblPop[[#This Row],[Employment]]</f>
        <v>1</v>
      </c>
      <c r="P102" s="247" t="n">
        <f aca="false">TblImps[[#This Row],[Population]]</f>
        <v>1</v>
      </c>
      <c r="Q102" s="181" t="n">
        <f aca="false">TblExplore[[#This Row],[Land]]</f>
        <v>700</v>
      </c>
      <c r="R102" s="170" t="n">
        <f aca="false">TblExplore[[#This Row],[Hour]]</f>
        <v>99</v>
      </c>
      <c r="S102" s="248"/>
      <c r="T102" s="152"/>
      <c r="U102" s="182"/>
      <c r="V102" s="182"/>
      <c r="W102" s="182"/>
      <c r="X102" s="182"/>
      <c r="Y102" s="182"/>
      <c r="Z102" s="182"/>
      <c r="AA102" s="153" t="n">
        <f aca="false">TblImps[[#This Row],[Real time]]</f>
        <v>45433.8333333333</v>
      </c>
      <c r="AB102" s="69" t="n">
        <f aca="false">TblMili[[#This Row],[Draftees]]</f>
        <v>2004</v>
      </c>
      <c r="AC102" s="69" t="n">
        <f aca="false">TblProd[[#This Row],[Platinum]]</f>
        <v>1106424</v>
      </c>
      <c r="AD102" s="245"/>
      <c r="AE102" s="151" t="n">
        <f aca="false">TblExplore[[#This Row],[Land]]-TblExplore[[#This Row],[Land Bonus]]*20</f>
        <v>700</v>
      </c>
      <c r="AF102" s="69" t="n">
        <f aca="false">ROUND(MAX(0.6*TblExplore[[#This Row],[Land-DB]]^1.299,850)*(1+ tech_2_6*Techs!AC102 + tech_2_9*Techs!AF102 + tech_3_7*Techs!AN102 + Overview!$I$32),0)</f>
        <v>2978</v>
      </c>
      <c r="AG10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2" s="69" t="n">
        <f aca="false">SUM(TblExplore[[#This Row],[Plains Explore]:[Water Explore]])*TblExplore[[#This Row],[Plat/acre]]</f>
        <v>0</v>
      </c>
      <c r="AI102" s="69" t="n">
        <f aca="false">SUM(TblExplore[[#This Row],[Plains Explore]:[Water Explore]])*TblExplore[[#This Row],[Draftees/acre]]</f>
        <v>0</v>
      </c>
      <c r="AJ102" s="151" t="n">
        <f aca="false">_xlfn.FLOOR.MATH(MIN(TblExplore[[#This Row],[Platinum]]/TblExplore[[#This Row],[Plat/acre]],TblExplore[[#This Row],[Draftees]]/TblExplore[[#This Row],[Draftees/acre]]))</f>
        <v>286</v>
      </c>
    </row>
    <row r="103" customFormat="false" ht="12.75" hidden="false" customHeight="false" outlineLevel="0" collapsed="false">
      <c r="A103" s="170" t="n">
        <f aca="false">TblRezone[[#This Row],[Hour]]</f>
        <v>100</v>
      </c>
      <c r="B103" s="181" t="n">
        <f aca="false">TblConstr[[#This Row],[Land]]</f>
        <v>700</v>
      </c>
      <c r="C103" s="245"/>
      <c r="D103" s="246" t="n">
        <f aca="false">TblConstr[[#This Row],[Plain]]</f>
        <v>0</v>
      </c>
      <c r="E103" s="193" t="n">
        <f aca="false">TblConstr[[#This Row],[Forest]]</f>
        <v>0</v>
      </c>
      <c r="F103" s="200" t="n">
        <f aca="false">TblConstr[[#This Row],[Mountain]]</f>
        <v>0</v>
      </c>
      <c r="G103" s="201" t="n">
        <f aca="false">TblConstr[[#This Row],[Hill]]</f>
        <v>0</v>
      </c>
      <c r="H103" s="202" t="n">
        <f aca="false">TblConstr[[#This Row],[Swamp]]</f>
        <v>0</v>
      </c>
      <c r="I103" s="197" t="n">
        <f aca="false">TblConstr[[#This Row],[Cavern]]</f>
        <v>0</v>
      </c>
      <c r="J103" s="198" t="n">
        <f aca="false">TblConstr[[#This Row],[Water]]</f>
        <v>0</v>
      </c>
      <c r="K103" s="4"/>
      <c r="L103" s="4"/>
      <c r="M103" s="12"/>
      <c r="N103" s="247" t="n">
        <f aca="false">TblMili[[#This Row],[Smithies]]</f>
        <v>0.18</v>
      </c>
      <c r="O103" s="247" t="n">
        <f aca="false">TblPop[[#This Row],[Employment]]</f>
        <v>1</v>
      </c>
      <c r="P103" s="247" t="n">
        <f aca="false">TblImps[[#This Row],[Population]]</f>
        <v>1</v>
      </c>
      <c r="Q103" s="181" t="n">
        <f aca="false">TblExplore[[#This Row],[Land]]</f>
        <v>700</v>
      </c>
      <c r="R103" s="170" t="n">
        <f aca="false">TblExplore[[#This Row],[Hour]]</f>
        <v>100</v>
      </c>
      <c r="S103" s="248"/>
      <c r="T103" s="152"/>
      <c r="U103" s="182"/>
      <c r="V103" s="182"/>
      <c r="W103" s="182"/>
      <c r="X103" s="182"/>
      <c r="Y103" s="182"/>
      <c r="Z103" s="182"/>
      <c r="AA103" s="153" t="n">
        <f aca="false">TblImps[[#This Row],[Real time]]</f>
        <v>45433.875</v>
      </c>
      <c r="AB103" s="69" t="n">
        <f aca="false">TblMili[[#This Row],[Draftees]]</f>
        <v>2081</v>
      </c>
      <c r="AC103" s="69" t="n">
        <f aca="false">TblProd[[#This Row],[Platinum]]</f>
        <v>1146870</v>
      </c>
      <c r="AD103" s="245"/>
      <c r="AE103" s="151" t="n">
        <f aca="false">TblExplore[[#This Row],[Land]]-TblExplore[[#This Row],[Land Bonus]]*20</f>
        <v>700</v>
      </c>
      <c r="AF103" s="69" t="n">
        <f aca="false">ROUND(MAX(0.6*TblExplore[[#This Row],[Land-DB]]^1.299,850)*(1+ tech_2_6*Techs!AC103 + tech_2_9*Techs!AF103 + tech_3_7*Techs!AN103 + Overview!$I$32),0)</f>
        <v>2978</v>
      </c>
      <c r="AG10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3" s="69" t="n">
        <f aca="false">SUM(TblExplore[[#This Row],[Plains Explore]:[Water Explore]])*TblExplore[[#This Row],[Plat/acre]]</f>
        <v>0</v>
      </c>
      <c r="AI103" s="69" t="n">
        <f aca="false">SUM(TblExplore[[#This Row],[Plains Explore]:[Water Explore]])*TblExplore[[#This Row],[Draftees/acre]]</f>
        <v>0</v>
      </c>
      <c r="AJ103" s="151" t="n">
        <f aca="false">_xlfn.FLOOR.MATH(MIN(TblExplore[[#This Row],[Platinum]]/TblExplore[[#This Row],[Plat/acre]],TblExplore[[#This Row],[Draftees]]/TblExplore[[#This Row],[Draftees/acre]]))</f>
        <v>297</v>
      </c>
    </row>
    <row r="104" customFormat="false" ht="12.75" hidden="false" customHeight="false" outlineLevel="0" collapsed="false">
      <c r="A104" s="170" t="n">
        <f aca="false">TblRezone[[#This Row],[Hour]]</f>
        <v>101</v>
      </c>
      <c r="B104" s="181" t="n">
        <f aca="false">TblConstr[[#This Row],[Land]]</f>
        <v>700</v>
      </c>
      <c r="C104" s="245"/>
      <c r="D104" s="246" t="n">
        <f aca="false">TblConstr[[#This Row],[Plain]]</f>
        <v>0</v>
      </c>
      <c r="E104" s="193" t="n">
        <f aca="false">TblConstr[[#This Row],[Forest]]</f>
        <v>0</v>
      </c>
      <c r="F104" s="200" t="n">
        <f aca="false">TblConstr[[#This Row],[Mountain]]</f>
        <v>0</v>
      </c>
      <c r="G104" s="201" t="n">
        <f aca="false">TblConstr[[#This Row],[Hill]]</f>
        <v>0</v>
      </c>
      <c r="H104" s="202" t="n">
        <f aca="false">TblConstr[[#This Row],[Swamp]]</f>
        <v>0</v>
      </c>
      <c r="I104" s="197" t="n">
        <f aca="false">TblConstr[[#This Row],[Cavern]]</f>
        <v>0</v>
      </c>
      <c r="J104" s="198" t="n">
        <f aca="false">TblConstr[[#This Row],[Water]]</f>
        <v>0</v>
      </c>
      <c r="K104" s="4"/>
      <c r="L104" s="4"/>
      <c r="M104" s="12"/>
      <c r="N104" s="247" t="n">
        <f aca="false">TblMili[[#This Row],[Smithies]]</f>
        <v>0.18</v>
      </c>
      <c r="O104" s="247" t="n">
        <f aca="false">TblPop[[#This Row],[Employment]]</f>
        <v>1</v>
      </c>
      <c r="P104" s="247" t="n">
        <f aca="false">TblImps[[#This Row],[Population]]</f>
        <v>1</v>
      </c>
      <c r="Q104" s="181" t="n">
        <f aca="false">TblExplore[[#This Row],[Land]]</f>
        <v>700</v>
      </c>
      <c r="R104" s="170" t="n">
        <f aca="false">TblExplore[[#This Row],[Hour]]</f>
        <v>101</v>
      </c>
      <c r="S104" s="248"/>
      <c r="T104" s="152"/>
      <c r="U104" s="182"/>
      <c r="V104" s="182"/>
      <c r="W104" s="182"/>
      <c r="X104" s="182"/>
      <c r="Y104" s="182"/>
      <c r="Z104" s="182"/>
      <c r="AA104" s="153" t="n">
        <f aca="false">TblImps[[#This Row],[Real time]]</f>
        <v>45433.9166666667</v>
      </c>
      <c r="AB104" s="69" t="n">
        <f aca="false">TblMili[[#This Row],[Draftees]]</f>
        <v>2157</v>
      </c>
      <c r="AC104" s="69" t="n">
        <f aca="false">TblProd[[#This Row],[Platinum]]</f>
        <v>1187087</v>
      </c>
      <c r="AD104" s="245"/>
      <c r="AE104" s="151" t="n">
        <f aca="false">TblExplore[[#This Row],[Land]]-TblExplore[[#This Row],[Land Bonus]]*20</f>
        <v>700</v>
      </c>
      <c r="AF104" s="69" t="n">
        <f aca="false">ROUND(MAX(0.6*TblExplore[[#This Row],[Land-DB]]^1.299,850)*(1+ tech_2_6*Techs!AC104 + tech_2_9*Techs!AF104 + tech_3_7*Techs!AN104 + Overview!$I$32),0)</f>
        <v>2978</v>
      </c>
      <c r="AG10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4" s="69" t="n">
        <f aca="false">SUM(TblExplore[[#This Row],[Plains Explore]:[Water Explore]])*TblExplore[[#This Row],[Plat/acre]]</f>
        <v>0</v>
      </c>
      <c r="AI104" s="69" t="n">
        <f aca="false">SUM(TblExplore[[#This Row],[Plains Explore]:[Water Explore]])*TblExplore[[#This Row],[Draftees/acre]]</f>
        <v>0</v>
      </c>
      <c r="AJ104" s="151" t="n">
        <f aca="false">_xlfn.FLOOR.MATH(MIN(TblExplore[[#This Row],[Platinum]]/TblExplore[[#This Row],[Plat/acre]],TblExplore[[#This Row],[Draftees]]/TblExplore[[#This Row],[Draftees/acre]]))</f>
        <v>308</v>
      </c>
    </row>
    <row r="105" customFormat="false" ht="12.75" hidden="false" customHeight="false" outlineLevel="0" collapsed="false">
      <c r="A105" s="170" t="n">
        <f aca="false">TblRezone[[#This Row],[Hour]]</f>
        <v>102</v>
      </c>
      <c r="B105" s="181" t="n">
        <f aca="false">TblConstr[[#This Row],[Land]]</f>
        <v>700</v>
      </c>
      <c r="C105" s="245"/>
      <c r="D105" s="246" t="n">
        <f aca="false">TblConstr[[#This Row],[Plain]]</f>
        <v>0</v>
      </c>
      <c r="E105" s="193" t="n">
        <f aca="false">TblConstr[[#This Row],[Forest]]</f>
        <v>0</v>
      </c>
      <c r="F105" s="200" t="n">
        <f aca="false">TblConstr[[#This Row],[Mountain]]</f>
        <v>0</v>
      </c>
      <c r="G105" s="201" t="n">
        <f aca="false">TblConstr[[#This Row],[Hill]]</f>
        <v>0</v>
      </c>
      <c r="H105" s="202" t="n">
        <f aca="false">TblConstr[[#This Row],[Swamp]]</f>
        <v>0</v>
      </c>
      <c r="I105" s="197" t="n">
        <f aca="false">TblConstr[[#This Row],[Cavern]]</f>
        <v>0</v>
      </c>
      <c r="J105" s="198" t="n">
        <f aca="false">TblConstr[[#This Row],[Water]]</f>
        <v>0</v>
      </c>
      <c r="K105" s="4"/>
      <c r="L105" s="4"/>
      <c r="M105" s="4"/>
      <c r="N105" s="247" t="n">
        <f aca="false">TblMili[[#This Row],[Smithies]]</f>
        <v>0.18</v>
      </c>
      <c r="O105" s="247" t="n">
        <f aca="false">TblPop[[#This Row],[Employment]]</f>
        <v>1</v>
      </c>
      <c r="P105" s="247" t="n">
        <f aca="false">TblImps[[#This Row],[Population]]</f>
        <v>1</v>
      </c>
      <c r="Q105" s="181" t="n">
        <f aca="false">TblExplore[[#This Row],[Land]]</f>
        <v>700</v>
      </c>
      <c r="R105" s="170" t="n">
        <f aca="false">TblExplore[[#This Row],[Hour]]</f>
        <v>102</v>
      </c>
      <c r="S105" s="248"/>
      <c r="T105" s="182"/>
      <c r="U105" s="182"/>
      <c r="V105" s="182"/>
      <c r="W105" s="182"/>
      <c r="X105" s="182"/>
      <c r="Y105" s="182"/>
      <c r="Z105" s="182"/>
      <c r="AA105" s="153" t="n">
        <f aca="false">TblImps[[#This Row],[Real time]]</f>
        <v>45433.9583333333</v>
      </c>
      <c r="AB105" s="69" t="n">
        <f aca="false">TblMili[[#This Row],[Draftees]]</f>
        <v>2233</v>
      </c>
      <c r="AC105" s="69" t="n">
        <f aca="false">TblProd[[#This Row],[Platinum]]</f>
        <v>1227079</v>
      </c>
      <c r="AD105" s="245"/>
      <c r="AE105" s="151" t="n">
        <f aca="false">TblExplore[[#This Row],[Land]]-TblExplore[[#This Row],[Land Bonus]]*20</f>
        <v>700</v>
      </c>
      <c r="AF105" s="69" t="n">
        <f aca="false">ROUND(MAX(0.6*TblExplore[[#This Row],[Land-DB]]^1.299,850)*(1+ tech_2_6*Techs!AC105 + tech_2_9*Techs!AF105 + tech_3_7*Techs!AN105 + Overview!$I$32),0)</f>
        <v>2978</v>
      </c>
      <c r="AG10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5" s="69" t="n">
        <f aca="false">SUM(TblExplore[[#This Row],[Plains Explore]:[Water Explore]])*TblExplore[[#This Row],[Plat/acre]]</f>
        <v>0</v>
      </c>
      <c r="AI105" s="69" t="n">
        <f aca="false">SUM(TblExplore[[#This Row],[Plains Explore]:[Water Explore]])*TblExplore[[#This Row],[Draftees/acre]]</f>
        <v>0</v>
      </c>
      <c r="AJ105" s="151" t="n">
        <f aca="false">_xlfn.FLOOR.MATH(MIN(TblExplore[[#This Row],[Platinum]]/TblExplore[[#This Row],[Plat/acre]],TblExplore[[#This Row],[Draftees]]/TblExplore[[#This Row],[Draftees/acre]]))</f>
        <v>319</v>
      </c>
    </row>
    <row r="106" customFormat="false" ht="12.75" hidden="false" customHeight="false" outlineLevel="0" collapsed="false">
      <c r="A106" s="170" t="n">
        <f aca="false">TblRezone[[#This Row],[Hour]]</f>
        <v>103</v>
      </c>
      <c r="B106" s="181" t="n">
        <f aca="false">TblConstr[[#This Row],[Land]]</f>
        <v>700</v>
      </c>
      <c r="C106" s="245"/>
      <c r="D106" s="246" t="n">
        <f aca="false">TblConstr[[#This Row],[Plain]]</f>
        <v>0</v>
      </c>
      <c r="E106" s="193" t="n">
        <f aca="false">TblConstr[[#This Row],[Forest]]</f>
        <v>0</v>
      </c>
      <c r="F106" s="200" t="n">
        <f aca="false">TblConstr[[#This Row],[Mountain]]</f>
        <v>0</v>
      </c>
      <c r="G106" s="201" t="n">
        <f aca="false">TblConstr[[#This Row],[Hill]]</f>
        <v>0</v>
      </c>
      <c r="H106" s="202" t="n">
        <f aca="false">TblConstr[[#This Row],[Swamp]]</f>
        <v>0</v>
      </c>
      <c r="I106" s="197" t="n">
        <f aca="false">TblConstr[[#This Row],[Cavern]]</f>
        <v>0</v>
      </c>
      <c r="J106" s="198" t="n">
        <f aca="false">TblConstr[[#This Row],[Water]]</f>
        <v>0</v>
      </c>
      <c r="K106" s="4"/>
      <c r="L106" s="4"/>
      <c r="M106" s="256"/>
      <c r="N106" s="247" t="n">
        <f aca="false">TblMili[[#This Row],[Smithies]]</f>
        <v>0.18</v>
      </c>
      <c r="O106" s="247" t="n">
        <f aca="false">TblPop[[#This Row],[Employment]]</f>
        <v>1</v>
      </c>
      <c r="P106" s="247" t="n">
        <f aca="false">TblImps[[#This Row],[Population]]</f>
        <v>1</v>
      </c>
      <c r="Q106" s="181" t="n">
        <f aca="false">TblExplore[[#This Row],[Land]]</f>
        <v>700</v>
      </c>
      <c r="R106" s="170" t="n">
        <f aca="false">TblExplore[[#This Row],[Hour]]</f>
        <v>103</v>
      </c>
      <c r="S106" s="248"/>
      <c r="T106" s="182"/>
      <c r="U106" s="182"/>
      <c r="V106" s="182"/>
      <c r="W106" s="182"/>
      <c r="X106" s="182"/>
      <c r="Y106" s="182"/>
      <c r="Z106" s="182"/>
      <c r="AA106" s="153" t="n">
        <f aca="false">TblImps[[#This Row],[Real time]]</f>
        <v>45434</v>
      </c>
      <c r="AB106" s="69" t="n">
        <f aca="false">TblMili[[#This Row],[Draftees]]</f>
        <v>2308</v>
      </c>
      <c r="AC106" s="69" t="n">
        <f aca="false">TblProd[[#This Row],[Platinum]]</f>
        <v>1266845</v>
      </c>
      <c r="AD106" s="245"/>
      <c r="AE106" s="151" t="n">
        <f aca="false">TblExplore[[#This Row],[Land]]-TblExplore[[#This Row],[Land Bonus]]*20</f>
        <v>700</v>
      </c>
      <c r="AF106" s="69" t="n">
        <f aca="false">ROUND(MAX(0.6*TblExplore[[#This Row],[Land-DB]]^1.299,850)*(1+ tech_2_6*Techs!AC106 + tech_2_9*Techs!AF106 + tech_3_7*Techs!AN106 + Overview!$I$32),0)</f>
        <v>2978</v>
      </c>
      <c r="AG10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6" s="69" t="n">
        <f aca="false">SUM(TblExplore[[#This Row],[Plains Explore]:[Water Explore]])*TblExplore[[#This Row],[Plat/acre]]</f>
        <v>0</v>
      </c>
      <c r="AI106" s="69" t="n">
        <f aca="false">SUM(TblExplore[[#This Row],[Plains Explore]:[Water Explore]])*TblExplore[[#This Row],[Draftees/acre]]</f>
        <v>0</v>
      </c>
      <c r="AJ106" s="151" t="n">
        <f aca="false">_xlfn.FLOOR.MATH(MIN(TblExplore[[#This Row],[Platinum]]/TblExplore[[#This Row],[Plat/acre]],TblExplore[[#This Row],[Draftees]]/TblExplore[[#This Row],[Draftees/acre]]))</f>
        <v>329</v>
      </c>
    </row>
    <row r="107" customFormat="false" ht="12.75" hidden="false" customHeight="false" outlineLevel="0" collapsed="false">
      <c r="A107" s="170" t="n">
        <f aca="false">TblRezone[[#This Row],[Hour]]</f>
        <v>104</v>
      </c>
      <c r="B107" s="181" t="n">
        <f aca="false">TblConstr[[#This Row],[Land]]</f>
        <v>700</v>
      </c>
      <c r="C107" s="245"/>
      <c r="D107" s="246" t="n">
        <f aca="false">TblConstr[[#This Row],[Plain]]</f>
        <v>0</v>
      </c>
      <c r="E107" s="193" t="n">
        <f aca="false">TblConstr[[#This Row],[Forest]]</f>
        <v>0</v>
      </c>
      <c r="F107" s="200" t="n">
        <f aca="false">TblConstr[[#This Row],[Mountain]]</f>
        <v>0</v>
      </c>
      <c r="G107" s="201" t="n">
        <f aca="false">TblConstr[[#This Row],[Hill]]</f>
        <v>0</v>
      </c>
      <c r="H107" s="202" t="n">
        <f aca="false">TblConstr[[#This Row],[Swamp]]</f>
        <v>0</v>
      </c>
      <c r="I107" s="197" t="n">
        <f aca="false">TblConstr[[#This Row],[Cavern]]</f>
        <v>0</v>
      </c>
      <c r="J107" s="198" t="n">
        <f aca="false">TblConstr[[#This Row],[Water]]</f>
        <v>0</v>
      </c>
      <c r="K107" s="4"/>
      <c r="L107" s="4"/>
      <c r="M107" s="256"/>
      <c r="N107" s="247" t="n">
        <f aca="false">TblMili[[#This Row],[Smithies]]</f>
        <v>0.18</v>
      </c>
      <c r="O107" s="247" t="n">
        <f aca="false">TblPop[[#This Row],[Employment]]</f>
        <v>1</v>
      </c>
      <c r="P107" s="247" t="n">
        <f aca="false">TblImps[[#This Row],[Population]]</f>
        <v>1</v>
      </c>
      <c r="Q107" s="181" t="n">
        <f aca="false">TblExplore[[#This Row],[Land]]</f>
        <v>700</v>
      </c>
      <c r="R107" s="170" t="n">
        <f aca="false">TblExplore[[#This Row],[Hour]]</f>
        <v>104</v>
      </c>
      <c r="S107" s="248"/>
      <c r="T107" s="182"/>
      <c r="U107" s="182"/>
      <c r="V107" s="182"/>
      <c r="W107" s="182"/>
      <c r="X107" s="182"/>
      <c r="Y107" s="182"/>
      <c r="Z107" s="182"/>
      <c r="AA107" s="153" t="n">
        <f aca="false">TblImps[[#This Row],[Real time]]</f>
        <v>45434.0416666667</v>
      </c>
      <c r="AB107" s="69" t="n">
        <f aca="false">TblMili[[#This Row],[Draftees]]</f>
        <v>2382</v>
      </c>
      <c r="AC107" s="69" t="n">
        <f aca="false">TblProd[[#This Row],[Platinum]]</f>
        <v>1306388</v>
      </c>
      <c r="AD107" s="245"/>
      <c r="AE107" s="151" t="n">
        <f aca="false">TblExplore[[#This Row],[Land]]-TblExplore[[#This Row],[Land Bonus]]*20</f>
        <v>700</v>
      </c>
      <c r="AF107" s="69" t="n">
        <f aca="false">ROUND(MAX(0.6*TblExplore[[#This Row],[Land-DB]]^1.299,850)*(1+ tech_2_6*Techs!AC107 + tech_2_9*Techs!AF107 + tech_3_7*Techs!AN107 + Overview!$I$32),0)</f>
        <v>2978</v>
      </c>
      <c r="AG10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7" s="69" t="n">
        <f aca="false">SUM(TblExplore[[#This Row],[Plains Explore]:[Water Explore]])*TblExplore[[#This Row],[Plat/acre]]</f>
        <v>0</v>
      </c>
      <c r="AI107" s="69" t="n">
        <f aca="false">SUM(TblExplore[[#This Row],[Plains Explore]:[Water Explore]])*TblExplore[[#This Row],[Draftees/acre]]</f>
        <v>0</v>
      </c>
      <c r="AJ107" s="151" t="n">
        <f aca="false">_xlfn.FLOOR.MATH(MIN(TblExplore[[#This Row],[Platinum]]/TblExplore[[#This Row],[Plat/acre]],TblExplore[[#This Row],[Draftees]]/TblExplore[[#This Row],[Draftees/acre]]))</f>
        <v>340</v>
      </c>
    </row>
    <row r="108" customFormat="false" ht="12.75" hidden="false" customHeight="false" outlineLevel="0" collapsed="false">
      <c r="A108" s="170" t="n">
        <f aca="false">TblRezone[[#This Row],[Hour]]</f>
        <v>105</v>
      </c>
      <c r="B108" s="181" t="n">
        <f aca="false">TblConstr[[#This Row],[Land]]</f>
        <v>700</v>
      </c>
      <c r="C108" s="245"/>
      <c r="D108" s="246" t="n">
        <f aca="false">TblConstr[[#This Row],[Plain]]</f>
        <v>0</v>
      </c>
      <c r="E108" s="193" t="n">
        <f aca="false">TblConstr[[#This Row],[Forest]]</f>
        <v>0</v>
      </c>
      <c r="F108" s="200" t="n">
        <f aca="false">TblConstr[[#This Row],[Mountain]]</f>
        <v>0</v>
      </c>
      <c r="G108" s="201" t="n">
        <f aca="false">TblConstr[[#This Row],[Hill]]</f>
        <v>0</v>
      </c>
      <c r="H108" s="202" t="n">
        <f aca="false">TblConstr[[#This Row],[Swamp]]</f>
        <v>0</v>
      </c>
      <c r="I108" s="197" t="n">
        <f aca="false">TblConstr[[#This Row],[Cavern]]</f>
        <v>0</v>
      </c>
      <c r="J108" s="198" t="n">
        <f aca="false">TblConstr[[#This Row],[Water]]</f>
        <v>0</v>
      </c>
      <c r="K108" s="4"/>
      <c r="L108" s="4"/>
      <c r="M108" s="4"/>
      <c r="N108" s="247" t="n">
        <f aca="false">TblMili[[#This Row],[Smithies]]</f>
        <v>0.18</v>
      </c>
      <c r="O108" s="247" t="n">
        <f aca="false">TblPop[[#This Row],[Employment]]</f>
        <v>1</v>
      </c>
      <c r="P108" s="247" t="n">
        <f aca="false">TblImps[[#This Row],[Population]]</f>
        <v>1</v>
      </c>
      <c r="Q108" s="181" t="n">
        <f aca="false">TblExplore[[#This Row],[Land]]</f>
        <v>700</v>
      </c>
      <c r="R108" s="170" t="n">
        <f aca="false">TblExplore[[#This Row],[Hour]]</f>
        <v>105</v>
      </c>
      <c r="S108" s="248"/>
      <c r="T108" s="182"/>
      <c r="U108" s="182"/>
      <c r="V108" s="182"/>
      <c r="W108" s="182"/>
      <c r="X108" s="182"/>
      <c r="Y108" s="182"/>
      <c r="Z108" s="182"/>
      <c r="AA108" s="153" t="n">
        <f aca="false">TblImps[[#This Row],[Real time]]</f>
        <v>45434.0833333333</v>
      </c>
      <c r="AB108" s="69" t="n">
        <f aca="false">TblMili[[#This Row],[Draftees]]</f>
        <v>2455</v>
      </c>
      <c r="AC108" s="69" t="n">
        <f aca="false">TblProd[[#This Row],[Platinum]]</f>
        <v>1345712</v>
      </c>
      <c r="AD108" s="245"/>
      <c r="AE108" s="151" t="n">
        <f aca="false">TblExplore[[#This Row],[Land]]-TblExplore[[#This Row],[Land Bonus]]*20</f>
        <v>700</v>
      </c>
      <c r="AF108" s="69" t="n">
        <f aca="false">ROUND(MAX(0.6*TblExplore[[#This Row],[Land-DB]]^1.299,850)*(1+ tech_2_6*Techs!AC108 + tech_2_9*Techs!AF108 + tech_3_7*Techs!AN108 + Overview!$I$32),0)</f>
        <v>2978</v>
      </c>
      <c r="AG10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8" s="69" t="n">
        <f aca="false">SUM(TblExplore[[#This Row],[Plains Explore]:[Water Explore]])*TblExplore[[#This Row],[Plat/acre]]</f>
        <v>0</v>
      </c>
      <c r="AI108" s="69" t="n">
        <f aca="false">SUM(TblExplore[[#This Row],[Plains Explore]:[Water Explore]])*TblExplore[[#This Row],[Draftees/acre]]</f>
        <v>0</v>
      </c>
      <c r="AJ108" s="151" t="n">
        <f aca="false">_xlfn.FLOOR.MATH(MIN(TblExplore[[#This Row],[Platinum]]/TblExplore[[#This Row],[Plat/acre]],TblExplore[[#This Row],[Draftees]]/TblExplore[[#This Row],[Draftees/acre]]))</f>
        <v>350</v>
      </c>
    </row>
    <row r="109" customFormat="false" ht="12.75" hidden="false" customHeight="false" outlineLevel="0" collapsed="false">
      <c r="A109" s="170" t="n">
        <f aca="false">TblRezone[[#This Row],[Hour]]</f>
        <v>106</v>
      </c>
      <c r="B109" s="181" t="n">
        <f aca="false">TblConstr[[#This Row],[Land]]</f>
        <v>700</v>
      </c>
      <c r="C109" s="245"/>
      <c r="D109" s="246" t="n">
        <f aca="false">TblConstr[[#This Row],[Plain]]</f>
        <v>0</v>
      </c>
      <c r="E109" s="193" t="n">
        <f aca="false">TblConstr[[#This Row],[Forest]]</f>
        <v>0</v>
      </c>
      <c r="F109" s="200" t="n">
        <f aca="false">TblConstr[[#This Row],[Mountain]]</f>
        <v>0</v>
      </c>
      <c r="G109" s="201" t="n">
        <f aca="false">TblConstr[[#This Row],[Hill]]</f>
        <v>0</v>
      </c>
      <c r="H109" s="202" t="n">
        <f aca="false">TblConstr[[#This Row],[Swamp]]</f>
        <v>0</v>
      </c>
      <c r="I109" s="197" t="n">
        <f aca="false">TblConstr[[#This Row],[Cavern]]</f>
        <v>0</v>
      </c>
      <c r="J109" s="198" t="n">
        <f aca="false">TblConstr[[#This Row],[Water]]</f>
        <v>0</v>
      </c>
      <c r="K109" s="4"/>
      <c r="L109" s="4"/>
      <c r="M109" s="4"/>
      <c r="N109" s="247" t="n">
        <f aca="false">TblMili[[#This Row],[Smithies]]</f>
        <v>0.18</v>
      </c>
      <c r="O109" s="247" t="n">
        <f aca="false">TblPop[[#This Row],[Employment]]</f>
        <v>1</v>
      </c>
      <c r="P109" s="247" t="n">
        <f aca="false">TblImps[[#This Row],[Population]]</f>
        <v>1</v>
      </c>
      <c r="Q109" s="181" t="n">
        <f aca="false">TblExplore[[#This Row],[Land]]</f>
        <v>700</v>
      </c>
      <c r="R109" s="170" t="n">
        <f aca="false">TblExplore[[#This Row],[Hour]]</f>
        <v>106</v>
      </c>
      <c r="S109" s="248"/>
      <c r="T109" s="182"/>
      <c r="U109" s="182"/>
      <c r="V109" s="182"/>
      <c r="W109" s="182"/>
      <c r="X109" s="182"/>
      <c r="Y109" s="182"/>
      <c r="Z109" s="182"/>
      <c r="AA109" s="153" t="n">
        <f aca="false">TblImps[[#This Row],[Real time]]</f>
        <v>45434.125</v>
      </c>
      <c r="AB109" s="69" t="n">
        <f aca="false">TblMili[[#This Row],[Draftees]]</f>
        <v>2528</v>
      </c>
      <c r="AC109" s="69" t="n">
        <f aca="false">TblProd[[#This Row],[Platinum]]</f>
        <v>1384819</v>
      </c>
      <c r="AD109" s="245"/>
      <c r="AE109" s="151" t="n">
        <f aca="false">TblExplore[[#This Row],[Land]]-TblExplore[[#This Row],[Land Bonus]]*20</f>
        <v>700</v>
      </c>
      <c r="AF109" s="69" t="n">
        <f aca="false">ROUND(MAX(0.6*TblExplore[[#This Row],[Land-DB]]^1.299,850)*(1+ tech_2_6*Techs!AC109 + tech_2_9*Techs!AF109 + tech_3_7*Techs!AN109 + Overview!$I$32),0)</f>
        <v>2978</v>
      </c>
      <c r="AG10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9" s="69" t="n">
        <f aca="false">SUM(TblExplore[[#This Row],[Plains Explore]:[Water Explore]])*TblExplore[[#This Row],[Plat/acre]]</f>
        <v>0</v>
      </c>
      <c r="AI109" s="69" t="n">
        <f aca="false">SUM(TblExplore[[#This Row],[Plains Explore]:[Water Explore]])*TblExplore[[#This Row],[Draftees/acre]]</f>
        <v>0</v>
      </c>
      <c r="AJ109" s="151" t="n">
        <f aca="false">_xlfn.FLOOR.MATH(MIN(TblExplore[[#This Row],[Platinum]]/TblExplore[[#This Row],[Plat/acre]],TblExplore[[#This Row],[Draftees]]/TblExplore[[#This Row],[Draftees/acre]]))</f>
        <v>361</v>
      </c>
    </row>
    <row r="110" customFormat="false" ht="12.75" hidden="false" customHeight="false" outlineLevel="0" collapsed="false">
      <c r="A110" s="170" t="n">
        <f aca="false">TblRezone[[#This Row],[Hour]]</f>
        <v>107</v>
      </c>
      <c r="B110" s="181" t="n">
        <f aca="false">TblConstr[[#This Row],[Land]]</f>
        <v>700</v>
      </c>
      <c r="C110" s="245"/>
      <c r="D110" s="246" t="n">
        <f aca="false">TblConstr[[#This Row],[Plain]]</f>
        <v>0</v>
      </c>
      <c r="E110" s="193" t="n">
        <f aca="false">TblConstr[[#This Row],[Forest]]</f>
        <v>0</v>
      </c>
      <c r="F110" s="200" t="n">
        <f aca="false">TblConstr[[#This Row],[Mountain]]</f>
        <v>0</v>
      </c>
      <c r="G110" s="201" t="n">
        <f aca="false">TblConstr[[#This Row],[Hill]]</f>
        <v>0</v>
      </c>
      <c r="H110" s="202" t="n">
        <f aca="false">TblConstr[[#This Row],[Swamp]]</f>
        <v>0</v>
      </c>
      <c r="I110" s="197" t="n">
        <f aca="false">TblConstr[[#This Row],[Cavern]]</f>
        <v>0</v>
      </c>
      <c r="J110" s="198" t="n">
        <f aca="false">TblConstr[[#This Row],[Water]]</f>
        <v>0</v>
      </c>
      <c r="K110" s="4"/>
      <c r="L110" s="4"/>
      <c r="M110" s="4"/>
      <c r="N110" s="247" t="n">
        <f aca="false">TblMili[[#This Row],[Smithies]]</f>
        <v>0.18</v>
      </c>
      <c r="O110" s="247" t="n">
        <f aca="false">TblPop[[#This Row],[Employment]]</f>
        <v>1</v>
      </c>
      <c r="P110" s="247" t="n">
        <f aca="false">TblImps[[#This Row],[Population]]</f>
        <v>1</v>
      </c>
      <c r="Q110" s="181" t="n">
        <f aca="false">TblExplore[[#This Row],[Land]]</f>
        <v>700</v>
      </c>
      <c r="R110" s="170" t="n">
        <f aca="false">TblExplore[[#This Row],[Hour]]</f>
        <v>107</v>
      </c>
      <c r="S110" s="248"/>
      <c r="T110" s="152"/>
      <c r="U110" s="182"/>
      <c r="V110" s="182"/>
      <c r="W110" s="182"/>
      <c r="X110" s="182"/>
      <c r="Y110" s="182"/>
      <c r="Z110" s="182"/>
      <c r="AA110" s="153" t="n">
        <f aca="false">TblImps[[#This Row],[Real time]]</f>
        <v>45434.1666666667</v>
      </c>
      <c r="AB110" s="69" t="n">
        <f aca="false">TblMili[[#This Row],[Draftees]]</f>
        <v>2600</v>
      </c>
      <c r="AC110" s="69" t="n">
        <f aca="false">TblProd[[#This Row],[Platinum]]</f>
        <v>1423709</v>
      </c>
      <c r="AD110" s="245"/>
      <c r="AE110" s="151" t="n">
        <f aca="false">TblExplore[[#This Row],[Land]]-TblExplore[[#This Row],[Land Bonus]]*20</f>
        <v>700</v>
      </c>
      <c r="AF110" s="69" t="n">
        <f aca="false">ROUND(MAX(0.6*TblExplore[[#This Row],[Land-DB]]^1.299,850)*(1+ tech_2_6*Techs!AC110 + tech_2_9*Techs!AF110 + tech_3_7*Techs!AN110 + Overview!$I$32),0)</f>
        <v>2978</v>
      </c>
      <c r="AG11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0" s="69" t="n">
        <f aca="false">SUM(TblExplore[[#This Row],[Plains Explore]:[Water Explore]])*TblExplore[[#This Row],[Plat/acre]]</f>
        <v>0</v>
      </c>
      <c r="AI110" s="69" t="n">
        <f aca="false">SUM(TblExplore[[#This Row],[Plains Explore]:[Water Explore]])*TblExplore[[#This Row],[Draftees/acre]]</f>
        <v>0</v>
      </c>
      <c r="AJ110" s="151" t="n">
        <f aca="false">_xlfn.FLOOR.MATH(MIN(TblExplore[[#This Row],[Platinum]]/TblExplore[[#This Row],[Plat/acre]],TblExplore[[#This Row],[Draftees]]/TblExplore[[#This Row],[Draftees/acre]]))</f>
        <v>371</v>
      </c>
    </row>
    <row r="111" customFormat="false" ht="12.75" hidden="false" customHeight="false" outlineLevel="0" collapsed="false">
      <c r="A111" s="170" t="n">
        <f aca="false">TblRezone[[#This Row],[Hour]]</f>
        <v>108</v>
      </c>
      <c r="B111" s="181" t="n">
        <f aca="false">TblConstr[[#This Row],[Land]]</f>
        <v>700</v>
      </c>
      <c r="C111" s="245"/>
      <c r="D111" s="246" t="n">
        <f aca="false">TblConstr[[#This Row],[Plain]]</f>
        <v>0</v>
      </c>
      <c r="E111" s="193" t="n">
        <f aca="false">TblConstr[[#This Row],[Forest]]</f>
        <v>0</v>
      </c>
      <c r="F111" s="200" t="n">
        <f aca="false">TblConstr[[#This Row],[Mountain]]</f>
        <v>0</v>
      </c>
      <c r="G111" s="201" t="n">
        <f aca="false">TblConstr[[#This Row],[Hill]]</f>
        <v>0</v>
      </c>
      <c r="H111" s="202" t="n">
        <f aca="false">TblConstr[[#This Row],[Swamp]]</f>
        <v>0</v>
      </c>
      <c r="I111" s="197" t="n">
        <f aca="false">TblConstr[[#This Row],[Cavern]]</f>
        <v>0</v>
      </c>
      <c r="J111" s="198" t="n">
        <f aca="false">TblConstr[[#This Row],[Water]]</f>
        <v>0</v>
      </c>
      <c r="K111" s="4"/>
      <c r="L111" s="4"/>
      <c r="M111" s="4"/>
      <c r="N111" s="247" t="n">
        <f aca="false">TblMili[[#This Row],[Smithies]]</f>
        <v>0.18</v>
      </c>
      <c r="O111" s="247" t="n">
        <f aca="false">TblPop[[#This Row],[Employment]]</f>
        <v>1</v>
      </c>
      <c r="P111" s="247" t="n">
        <f aca="false">TblImps[[#This Row],[Population]]</f>
        <v>1</v>
      </c>
      <c r="Q111" s="181" t="n">
        <f aca="false">TblExplore[[#This Row],[Land]]</f>
        <v>700</v>
      </c>
      <c r="R111" s="170" t="n">
        <f aca="false">TblExplore[[#This Row],[Hour]]</f>
        <v>108</v>
      </c>
      <c r="S111" s="248"/>
      <c r="T111" s="182"/>
      <c r="U111" s="182"/>
      <c r="V111" s="182"/>
      <c r="W111" s="182"/>
      <c r="X111" s="182"/>
      <c r="Y111" s="182"/>
      <c r="Z111" s="182"/>
      <c r="AA111" s="153" t="n">
        <f aca="false">TblImps[[#This Row],[Real time]]</f>
        <v>45434.2083333333</v>
      </c>
      <c r="AB111" s="69" t="n">
        <f aca="false">TblMili[[#This Row],[Draftees]]</f>
        <v>2671</v>
      </c>
      <c r="AC111" s="69" t="n">
        <f aca="false">TblProd[[#This Row],[Platinum]]</f>
        <v>1462385</v>
      </c>
      <c r="AD111" s="245"/>
      <c r="AE111" s="151" t="n">
        <f aca="false">TblExplore[[#This Row],[Land]]-TblExplore[[#This Row],[Land Bonus]]*20</f>
        <v>700</v>
      </c>
      <c r="AF111" s="69" t="n">
        <f aca="false">ROUND(MAX(0.6*TblExplore[[#This Row],[Land-DB]]^1.299,850)*(1+ tech_2_6*Techs!AC111 + tech_2_9*Techs!AF111 + tech_3_7*Techs!AN111 + Overview!$I$32),0)</f>
        <v>2978</v>
      </c>
      <c r="AG11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1" s="69" t="n">
        <f aca="false">SUM(TblExplore[[#This Row],[Plains Explore]:[Water Explore]])*TblExplore[[#This Row],[Plat/acre]]</f>
        <v>0</v>
      </c>
      <c r="AI111" s="69" t="n">
        <f aca="false">SUM(TblExplore[[#This Row],[Plains Explore]:[Water Explore]])*TblExplore[[#This Row],[Draftees/acre]]</f>
        <v>0</v>
      </c>
      <c r="AJ111" s="151" t="n">
        <f aca="false">_xlfn.FLOOR.MATH(MIN(TblExplore[[#This Row],[Platinum]]/TblExplore[[#This Row],[Plat/acre]],TblExplore[[#This Row],[Draftees]]/TblExplore[[#This Row],[Draftees/acre]]))</f>
        <v>381</v>
      </c>
    </row>
    <row r="112" customFormat="false" ht="12.75" hidden="false" customHeight="true" outlineLevel="0" collapsed="false">
      <c r="A112" s="170" t="n">
        <f aca="false">TblRezone[[#This Row],[Hour]]</f>
        <v>109</v>
      </c>
      <c r="B112" s="181" t="n">
        <f aca="false">TblConstr[[#This Row],[Land]]</f>
        <v>700</v>
      </c>
      <c r="C112" s="245"/>
      <c r="D112" s="246" t="n">
        <f aca="false">TblConstr[[#This Row],[Plain]]</f>
        <v>0</v>
      </c>
      <c r="E112" s="193" t="n">
        <f aca="false">TblConstr[[#This Row],[Forest]]</f>
        <v>0</v>
      </c>
      <c r="F112" s="200" t="n">
        <f aca="false">TblConstr[[#This Row],[Mountain]]</f>
        <v>0</v>
      </c>
      <c r="G112" s="201" t="n">
        <f aca="false">TblConstr[[#This Row],[Hill]]</f>
        <v>0</v>
      </c>
      <c r="H112" s="202" t="n">
        <f aca="false">TblConstr[[#This Row],[Swamp]]</f>
        <v>0</v>
      </c>
      <c r="I112" s="197" t="n">
        <f aca="false">TblConstr[[#This Row],[Cavern]]</f>
        <v>0</v>
      </c>
      <c r="J112" s="198" t="n">
        <f aca="false">TblConstr[[#This Row],[Water]]</f>
        <v>0</v>
      </c>
      <c r="K112" s="4"/>
      <c r="L112" s="4"/>
      <c r="M112" s="4"/>
      <c r="N112" s="247" t="n">
        <f aca="false">TblMili[[#This Row],[Smithies]]</f>
        <v>0.18</v>
      </c>
      <c r="O112" s="247" t="n">
        <f aca="false">TblPop[[#This Row],[Employment]]</f>
        <v>1</v>
      </c>
      <c r="P112" s="247" t="n">
        <f aca="false">TblImps[[#This Row],[Population]]</f>
        <v>1</v>
      </c>
      <c r="Q112" s="181" t="n">
        <f aca="false">TblExplore[[#This Row],[Land]]</f>
        <v>700</v>
      </c>
      <c r="R112" s="170" t="n">
        <f aca="false">TblExplore[[#This Row],[Hour]]</f>
        <v>109</v>
      </c>
      <c r="S112" s="248"/>
      <c r="T112" s="182"/>
      <c r="U112" s="182"/>
      <c r="V112" s="182"/>
      <c r="W112" s="182"/>
      <c r="X112" s="182"/>
      <c r="Y112" s="182"/>
      <c r="Z112" s="182"/>
      <c r="AA112" s="153" t="n">
        <f aca="false">TblImps[[#This Row],[Real time]]</f>
        <v>45434.25</v>
      </c>
      <c r="AB112" s="69" t="n">
        <f aca="false">TblMili[[#This Row],[Draftees]]</f>
        <v>2741</v>
      </c>
      <c r="AC112" s="69" t="n">
        <f aca="false">TblProd[[#This Row],[Platinum]]</f>
        <v>1500850</v>
      </c>
      <c r="AD112" s="245"/>
      <c r="AE112" s="151" t="n">
        <f aca="false">TblExplore[[#This Row],[Land]]-TblExplore[[#This Row],[Land Bonus]]*20</f>
        <v>700</v>
      </c>
      <c r="AF112" s="69" t="n">
        <f aca="false">ROUND(MAX(0.6*TblExplore[[#This Row],[Land-DB]]^1.299,850)*(1+ tech_2_6*Techs!AC112 + tech_2_9*Techs!AF112 + tech_3_7*Techs!AN112 + Overview!$I$32),0)</f>
        <v>2978</v>
      </c>
      <c r="AG11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2" s="69" t="n">
        <f aca="false">SUM(TblExplore[[#This Row],[Plains Explore]:[Water Explore]])*TblExplore[[#This Row],[Plat/acre]]</f>
        <v>0</v>
      </c>
      <c r="AI112" s="69" t="n">
        <f aca="false">SUM(TblExplore[[#This Row],[Plains Explore]:[Water Explore]])*TblExplore[[#This Row],[Draftees/acre]]</f>
        <v>0</v>
      </c>
      <c r="AJ112" s="151" t="n">
        <f aca="false">_xlfn.FLOOR.MATH(MIN(TblExplore[[#This Row],[Platinum]]/TblExplore[[#This Row],[Plat/acre]],TblExplore[[#This Row],[Draftees]]/TblExplore[[#This Row],[Draftees/acre]]))</f>
        <v>391</v>
      </c>
    </row>
    <row r="113" customFormat="false" ht="12.75" hidden="false" customHeight="false" outlineLevel="0" collapsed="false">
      <c r="A113" s="170" t="n">
        <f aca="false">TblRezone[[#This Row],[Hour]]</f>
        <v>110</v>
      </c>
      <c r="B113" s="181" t="n">
        <f aca="false">TblConstr[[#This Row],[Land]]</f>
        <v>700</v>
      </c>
      <c r="C113" s="245"/>
      <c r="D113" s="246" t="n">
        <f aca="false">TblConstr[[#This Row],[Plain]]</f>
        <v>0</v>
      </c>
      <c r="E113" s="193" t="n">
        <f aca="false">TblConstr[[#This Row],[Forest]]</f>
        <v>0</v>
      </c>
      <c r="F113" s="200" t="n">
        <f aca="false">TblConstr[[#This Row],[Mountain]]</f>
        <v>0</v>
      </c>
      <c r="G113" s="201" t="n">
        <f aca="false">TblConstr[[#This Row],[Hill]]</f>
        <v>0</v>
      </c>
      <c r="H113" s="202" t="n">
        <f aca="false">TblConstr[[#This Row],[Swamp]]</f>
        <v>0</v>
      </c>
      <c r="I113" s="197" t="n">
        <f aca="false">TblConstr[[#This Row],[Cavern]]</f>
        <v>0</v>
      </c>
      <c r="J113" s="198" t="n">
        <f aca="false">TblConstr[[#This Row],[Water]]</f>
        <v>0</v>
      </c>
      <c r="K113" s="4"/>
      <c r="L113" s="4"/>
      <c r="M113" s="4"/>
      <c r="N113" s="247" t="n">
        <f aca="false">TblMili[[#This Row],[Smithies]]</f>
        <v>0.18</v>
      </c>
      <c r="O113" s="247" t="n">
        <f aca="false">TblPop[[#This Row],[Employment]]</f>
        <v>1</v>
      </c>
      <c r="P113" s="247" t="n">
        <f aca="false">TblImps[[#This Row],[Population]]</f>
        <v>1</v>
      </c>
      <c r="Q113" s="181" t="n">
        <f aca="false">TblExplore[[#This Row],[Land]]</f>
        <v>700</v>
      </c>
      <c r="R113" s="170" t="n">
        <f aca="false">TblExplore[[#This Row],[Hour]]</f>
        <v>110</v>
      </c>
      <c r="S113" s="248"/>
      <c r="T113" s="182"/>
      <c r="U113" s="182"/>
      <c r="V113" s="182"/>
      <c r="W113" s="182"/>
      <c r="X113" s="182"/>
      <c r="Y113" s="182"/>
      <c r="Z113" s="182"/>
      <c r="AA113" s="153" t="n">
        <f aca="false">TblImps[[#This Row],[Real time]]</f>
        <v>45434.2916666667</v>
      </c>
      <c r="AB113" s="69" t="n">
        <f aca="false">TblMili[[#This Row],[Draftees]]</f>
        <v>2811</v>
      </c>
      <c r="AC113" s="69" t="n">
        <f aca="false">TblProd[[#This Row],[Platinum]]</f>
        <v>1532054</v>
      </c>
      <c r="AD113" s="245"/>
      <c r="AE113" s="151" t="n">
        <f aca="false">TblExplore[[#This Row],[Land]]-TblExplore[[#This Row],[Land Bonus]]*20</f>
        <v>700</v>
      </c>
      <c r="AF113" s="69" t="n">
        <f aca="false">ROUND(MAX(0.6*TblExplore[[#This Row],[Land-DB]]^1.299,850)*(1+ tech_2_6*Techs!AC113 + tech_2_9*Techs!AF113 + tech_3_7*Techs!AN113 + Overview!$I$32),0)</f>
        <v>2978</v>
      </c>
      <c r="AG11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3" s="69" t="n">
        <f aca="false">SUM(TblExplore[[#This Row],[Plains Explore]:[Water Explore]])*TblExplore[[#This Row],[Plat/acre]]</f>
        <v>0</v>
      </c>
      <c r="AI113" s="69" t="n">
        <f aca="false">SUM(TblExplore[[#This Row],[Plains Explore]:[Water Explore]])*TblExplore[[#This Row],[Draftees/acre]]</f>
        <v>0</v>
      </c>
      <c r="AJ113" s="151" t="n">
        <f aca="false">_xlfn.FLOOR.MATH(MIN(TblExplore[[#This Row],[Platinum]]/TblExplore[[#This Row],[Plat/acre]],TblExplore[[#This Row],[Draftees]]/TblExplore[[#This Row],[Draftees/acre]]))</f>
        <v>401</v>
      </c>
    </row>
    <row r="114" customFormat="false" ht="12.75" hidden="false" customHeight="false" outlineLevel="0" collapsed="false">
      <c r="A114" s="170" t="n">
        <f aca="false">TblRezone[[#This Row],[Hour]]</f>
        <v>111</v>
      </c>
      <c r="B114" s="181" t="n">
        <f aca="false">TblConstr[[#This Row],[Land]]</f>
        <v>700</v>
      </c>
      <c r="C114" s="245"/>
      <c r="D114" s="246" t="n">
        <f aca="false">TblConstr[[#This Row],[Plain]]</f>
        <v>0</v>
      </c>
      <c r="E114" s="193" t="n">
        <f aca="false">TblConstr[[#This Row],[Forest]]</f>
        <v>0</v>
      </c>
      <c r="F114" s="200" t="n">
        <f aca="false">TblConstr[[#This Row],[Mountain]]</f>
        <v>0</v>
      </c>
      <c r="G114" s="201" t="n">
        <f aca="false">TblConstr[[#This Row],[Hill]]</f>
        <v>0</v>
      </c>
      <c r="H114" s="202" t="n">
        <f aca="false">TblConstr[[#This Row],[Swamp]]</f>
        <v>0</v>
      </c>
      <c r="I114" s="197" t="n">
        <f aca="false">TblConstr[[#This Row],[Cavern]]</f>
        <v>0</v>
      </c>
      <c r="J114" s="198" t="n">
        <f aca="false">TblConstr[[#This Row],[Water]]</f>
        <v>0</v>
      </c>
      <c r="K114" s="4"/>
      <c r="L114" s="4"/>
      <c r="M114" s="4"/>
      <c r="N114" s="247" t="n">
        <f aca="false">TblMili[[#This Row],[Smithies]]</f>
        <v>0.18</v>
      </c>
      <c r="O114" s="247" t="n">
        <f aca="false">TblPop[[#This Row],[Employment]]</f>
        <v>1</v>
      </c>
      <c r="P114" s="247" t="n">
        <f aca="false">TblImps[[#This Row],[Population]]</f>
        <v>1</v>
      </c>
      <c r="Q114" s="181" t="n">
        <f aca="false">TblExplore[[#This Row],[Land]]</f>
        <v>700</v>
      </c>
      <c r="R114" s="170" t="n">
        <f aca="false">TblExplore[[#This Row],[Hour]]</f>
        <v>111</v>
      </c>
      <c r="S114" s="248"/>
      <c r="T114" s="182"/>
      <c r="U114" s="182"/>
      <c r="V114" s="182"/>
      <c r="W114" s="182"/>
      <c r="X114" s="182"/>
      <c r="Y114" s="182"/>
      <c r="Z114" s="182"/>
      <c r="AA114" s="153" t="n">
        <f aca="false">TblImps[[#This Row],[Real time]]</f>
        <v>45434.3333333333</v>
      </c>
      <c r="AB114" s="69" t="n">
        <f aca="false">TblMili[[#This Row],[Draftees]]</f>
        <v>2880</v>
      </c>
      <c r="AC114" s="69" t="n">
        <f aca="false">TblProd[[#This Row],[Platinum]]</f>
        <v>1563069</v>
      </c>
      <c r="AD114" s="245"/>
      <c r="AE114" s="151" t="n">
        <f aca="false">TblExplore[[#This Row],[Land]]-TblExplore[[#This Row],[Land Bonus]]*20</f>
        <v>700</v>
      </c>
      <c r="AF114" s="69" t="n">
        <f aca="false">ROUND(MAX(0.6*TblExplore[[#This Row],[Land-DB]]^1.299,850)*(1+ tech_2_6*Techs!AC114 + tech_2_9*Techs!AF114 + tech_3_7*Techs!AN114 + Overview!$I$32),0)</f>
        <v>2978</v>
      </c>
      <c r="AG11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4" s="69" t="n">
        <f aca="false">SUM(TblExplore[[#This Row],[Plains Explore]:[Water Explore]])*TblExplore[[#This Row],[Plat/acre]]</f>
        <v>0</v>
      </c>
      <c r="AI114" s="69" t="n">
        <f aca="false">SUM(TblExplore[[#This Row],[Plains Explore]:[Water Explore]])*TblExplore[[#This Row],[Draftees/acre]]</f>
        <v>0</v>
      </c>
      <c r="AJ114" s="151" t="n">
        <f aca="false">_xlfn.FLOOR.MATH(MIN(TblExplore[[#This Row],[Platinum]]/TblExplore[[#This Row],[Plat/acre]],TblExplore[[#This Row],[Draftees]]/TblExplore[[#This Row],[Draftees/acre]]))</f>
        <v>411</v>
      </c>
    </row>
    <row r="115" customFormat="false" ht="12.75" hidden="false" customHeight="false" outlineLevel="0" collapsed="false">
      <c r="A115" s="170" t="n">
        <f aca="false">TblRezone[[#This Row],[Hour]]</f>
        <v>112</v>
      </c>
      <c r="B115" s="181" t="n">
        <f aca="false">TblConstr[[#This Row],[Land]]</f>
        <v>700</v>
      </c>
      <c r="C115" s="245"/>
      <c r="D115" s="246" t="n">
        <f aca="false">TblConstr[[#This Row],[Plain]]</f>
        <v>0</v>
      </c>
      <c r="E115" s="193" t="n">
        <f aca="false">TblConstr[[#This Row],[Forest]]</f>
        <v>0</v>
      </c>
      <c r="F115" s="200" t="n">
        <f aca="false">TblConstr[[#This Row],[Mountain]]</f>
        <v>0</v>
      </c>
      <c r="G115" s="201" t="n">
        <f aca="false">TblConstr[[#This Row],[Hill]]</f>
        <v>0</v>
      </c>
      <c r="H115" s="202" t="n">
        <f aca="false">TblConstr[[#This Row],[Swamp]]</f>
        <v>0</v>
      </c>
      <c r="I115" s="197" t="n">
        <f aca="false">TblConstr[[#This Row],[Cavern]]</f>
        <v>0</v>
      </c>
      <c r="J115" s="198" t="n">
        <f aca="false">TblConstr[[#This Row],[Water]]</f>
        <v>0</v>
      </c>
      <c r="K115" s="4"/>
      <c r="L115" s="4"/>
      <c r="M115" s="4"/>
      <c r="N115" s="247" t="n">
        <f aca="false">TblMili[[#This Row],[Smithies]]</f>
        <v>0.18</v>
      </c>
      <c r="O115" s="247" t="n">
        <f aca="false">TblPop[[#This Row],[Employment]]</f>
        <v>1</v>
      </c>
      <c r="P115" s="247" t="n">
        <f aca="false">TblImps[[#This Row],[Population]]</f>
        <v>1</v>
      </c>
      <c r="Q115" s="181" t="n">
        <f aca="false">TblExplore[[#This Row],[Land]]</f>
        <v>700</v>
      </c>
      <c r="R115" s="170" t="n">
        <f aca="false">TblExplore[[#This Row],[Hour]]</f>
        <v>112</v>
      </c>
      <c r="S115" s="248"/>
      <c r="T115" s="182"/>
      <c r="U115" s="182"/>
      <c r="V115" s="182"/>
      <c r="W115" s="182"/>
      <c r="X115" s="182"/>
      <c r="Y115" s="182"/>
      <c r="Z115" s="182"/>
      <c r="AA115" s="153" t="n">
        <f aca="false">TblImps[[#This Row],[Real time]]</f>
        <v>45434.375</v>
      </c>
      <c r="AB115" s="69" t="n">
        <f aca="false">TblMili[[#This Row],[Draftees]]</f>
        <v>2948</v>
      </c>
      <c r="AC115" s="69" t="n">
        <f aca="false">TblProd[[#This Row],[Platinum]]</f>
        <v>1593898</v>
      </c>
      <c r="AD115" s="245"/>
      <c r="AE115" s="151" t="n">
        <f aca="false">TblExplore[[#This Row],[Land]]-TblExplore[[#This Row],[Land Bonus]]*20</f>
        <v>700</v>
      </c>
      <c r="AF115" s="69" t="n">
        <f aca="false">ROUND(MAX(0.6*TblExplore[[#This Row],[Land-DB]]^1.299,850)*(1+ tech_2_6*Techs!AC115 + tech_2_9*Techs!AF115 + tech_3_7*Techs!AN115 + Overview!$I$32),0)</f>
        <v>2978</v>
      </c>
      <c r="AG11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5" s="69" t="n">
        <f aca="false">SUM(TblExplore[[#This Row],[Plains Explore]:[Water Explore]])*TblExplore[[#This Row],[Plat/acre]]</f>
        <v>0</v>
      </c>
      <c r="AI115" s="69" t="n">
        <f aca="false">SUM(TblExplore[[#This Row],[Plains Explore]:[Water Explore]])*TblExplore[[#This Row],[Draftees/acre]]</f>
        <v>0</v>
      </c>
      <c r="AJ115" s="151" t="n">
        <f aca="false">_xlfn.FLOOR.MATH(MIN(TblExplore[[#This Row],[Platinum]]/TblExplore[[#This Row],[Plat/acre]],TblExplore[[#This Row],[Draftees]]/TblExplore[[#This Row],[Draftees/acre]]))</f>
        <v>421</v>
      </c>
    </row>
    <row r="116" customFormat="false" ht="12.75" hidden="false" customHeight="false" outlineLevel="0" collapsed="false">
      <c r="A116" s="170" t="n">
        <f aca="false">TblRezone[[#This Row],[Hour]]</f>
        <v>113</v>
      </c>
      <c r="B116" s="181" t="n">
        <f aca="false">TblConstr[[#This Row],[Land]]</f>
        <v>700</v>
      </c>
      <c r="C116" s="245"/>
      <c r="D116" s="246" t="n">
        <f aca="false">TblConstr[[#This Row],[Plain]]</f>
        <v>0</v>
      </c>
      <c r="E116" s="193" t="n">
        <f aca="false">TblConstr[[#This Row],[Forest]]</f>
        <v>0</v>
      </c>
      <c r="F116" s="200" t="n">
        <f aca="false">TblConstr[[#This Row],[Mountain]]</f>
        <v>0</v>
      </c>
      <c r="G116" s="201" t="n">
        <f aca="false">TblConstr[[#This Row],[Hill]]</f>
        <v>0</v>
      </c>
      <c r="H116" s="202" t="n">
        <f aca="false">TblConstr[[#This Row],[Swamp]]</f>
        <v>0</v>
      </c>
      <c r="I116" s="197" t="n">
        <f aca="false">TblConstr[[#This Row],[Cavern]]</f>
        <v>0</v>
      </c>
      <c r="J116" s="198" t="n">
        <f aca="false">TblConstr[[#This Row],[Water]]</f>
        <v>0</v>
      </c>
      <c r="K116" s="4"/>
      <c r="L116" s="4"/>
      <c r="M116" s="4"/>
      <c r="N116" s="247" t="n">
        <f aca="false">TblMili[[#This Row],[Smithies]]</f>
        <v>0.18</v>
      </c>
      <c r="O116" s="247" t="n">
        <f aca="false">TblPop[[#This Row],[Employment]]</f>
        <v>1</v>
      </c>
      <c r="P116" s="247" t="n">
        <f aca="false">TblImps[[#This Row],[Population]]</f>
        <v>1</v>
      </c>
      <c r="Q116" s="181" t="n">
        <f aca="false">TblExplore[[#This Row],[Land]]</f>
        <v>700</v>
      </c>
      <c r="R116" s="170" t="n">
        <f aca="false">TblExplore[[#This Row],[Hour]]</f>
        <v>113</v>
      </c>
      <c r="S116" s="248"/>
      <c r="T116" s="182"/>
      <c r="U116" s="182"/>
      <c r="V116" s="182"/>
      <c r="W116" s="182"/>
      <c r="X116" s="182"/>
      <c r="Y116" s="182"/>
      <c r="Z116" s="182"/>
      <c r="AA116" s="153" t="n">
        <f aca="false">TblImps[[#This Row],[Real time]]</f>
        <v>45434.4166666667</v>
      </c>
      <c r="AB116" s="69" t="n">
        <f aca="false">TblMili[[#This Row],[Draftees]]</f>
        <v>3016</v>
      </c>
      <c r="AC116" s="69" t="n">
        <f aca="false">TblProd[[#This Row],[Platinum]]</f>
        <v>1624543</v>
      </c>
      <c r="AD116" s="245"/>
      <c r="AE116" s="151" t="n">
        <f aca="false">TblExplore[[#This Row],[Land]]-TblExplore[[#This Row],[Land Bonus]]*20</f>
        <v>700</v>
      </c>
      <c r="AF116" s="69" t="n">
        <f aca="false">ROUND(MAX(0.6*TblExplore[[#This Row],[Land-DB]]^1.299,850)*(1+ tech_2_6*Techs!AC116 + tech_2_9*Techs!AF116 + tech_3_7*Techs!AN116 + Overview!$I$32),0)</f>
        <v>2978</v>
      </c>
      <c r="AG11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6" s="69" t="n">
        <f aca="false">SUM(TblExplore[[#This Row],[Plains Explore]:[Water Explore]])*TblExplore[[#This Row],[Plat/acre]]</f>
        <v>0</v>
      </c>
      <c r="AI116" s="69" t="n">
        <f aca="false">SUM(TblExplore[[#This Row],[Plains Explore]:[Water Explore]])*TblExplore[[#This Row],[Draftees/acre]]</f>
        <v>0</v>
      </c>
      <c r="AJ116" s="151" t="n">
        <f aca="false">_xlfn.FLOOR.MATH(MIN(TblExplore[[#This Row],[Platinum]]/TblExplore[[#This Row],[Plat/acre]],TblExplore[[#This Row],[Draftees]]/TblExplore[[#This Row],[Draftees/acre]]))</f>
        <v>430</v>
      </c>
    </row>
    <row r="117" customFormat="false" ht="12.75" hidden="false" customHeight="false" outlineLevel="0" collapsed="false">
      <c r="A117" s="170" t="n">
        <f aca="false">TblRezone[[#This Row],[Hour]]</f>
        <v>114</v>
      </c>
      <c r="B117" s="181" t="n">
        <f aca="false">TblConstr[[#This Row],[Land]]</f>
        <v>700</v>
      </c>
      <c r="C117" s="245"/>
      <c r="D117" s="246" t="n">
        <f aca="false">TblConstr[[#This Row],[Plain]]</f>
        <v>0</v>
      </c>
      <c r="E117" s="193" t="n">
        <f aca="false">TblConstr[[#This Row],[Forest]]</f>
        <v>0</v>
      </c>
      <c r="F117" s="200" t="n">
        <f aca="false">TblConstr[[#This Row],[Mountain]]</f>
        <v>0</v>
      </c>
      <c r="G117" s="201" t="n">
        <f aca="false">TblConstr[[#This Row],[Hill]]</f>
        <v>0</v>
      </c>
      <c r="H117" s="202" t="n">
        <f aca="false">TblConstr[[#This Row],[Swamp]]</f>
        <v>0</v>
      </c>
      <c r="I117" s="197" t="n">
        <f aca="false">TblConstr[[#This Row],[Cavern]]</f>
        <v>0</v>
      </c>
      <c r="J117" s="198" t="n">
        <f aca="false">TblConstr[[#This Row],[Water]]</f>
        <v>0</v>
      </c>
      <c r="K117" s="4"/>
      <c r="L117" s="4"/>
      <c r="M117" s="4"/>
      <c r="N117" s="247" t="n">
        <f aca="false">TblMili[[#This Row],[Smithies]]</f>
        <v>0.18</v>
      </c>
      <c r="O117" s="247" t="n">
        <f aca="false">TblPop[[#This Row],[Employment]]</f>
        <v>1</v>
      </c>
      <c r="P117" s="247" t="n">
        <f aca="false">TblImps[[#This Row],[Population]]</f>
        <v>1</v>
      </c>
      <c r="Q117" s="181" t="n">
        <f aca="false">TblExplore[[#This Row],[Land]]</f>
        <v>700</v>
      </c>
      <c r="R117" s="170" t="n">
        <f aca="false">TblExplore[[#This Row],[Hour]]</f>
        <v>114</v>
      </c>
      <c r="S117" s="248"/>
      <c r="T117" s="182"/>
      <c r="U117" s="182"/>
      <c r="V117" s="182"/>
      <c r="W117" s="182"/>
      <c r="X117" s="182"/>
      <c r="Y117" s="182"/>
      <c r="Z117" s="182"/>
      <c r="AA117" s="153" t="n">
        <f aca="false">TblImps[[#This Row],[Real time]]</f>
        <v>45434.4583333333</v>
      </c>
      <c r="AB117" s="69" t="n">
        <f aca="false">TblMili[[#This Row],[Draftees]]</f>
        <v>3083</v>
      </c>
      <c r="AC117" s="69" t="n">
        <f aca="false">TblProd[[#This Row],[Platinum]]</f>
        <v>1655005</v>
      </c>
      <c r="AD117" s="245"/>
      <c r="AE117" s="151" t="n">
        <f aca="false">TblExplore[[#This Row],[Land]]-TblExplore[[#This Row],[Land Bonus]]*20</f>
        <v>700</v>
      </c>
      <c r="AF117" s="69" t="n">
        <f aca="false">ROUND(MAX(0.6*TblExplore[[#This Row],[Land-DB]]^1.299,850)*(1+ tech_2_6*Techs!AC117 + tech_2_9*Techs!AF117 + tech_3_7*Techs!AN117 + Overview!$I$32),0)</f>
        <v>2978</v>
      </c>
      <c r="AG11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7" s="69" t="n">
        <f aca="false">SUM(TblExplore[[#This Row],[Plains Explore]:[Water Explore]])*TblExplore[[#This Row],[Plat/acre]]</f>
        <v>0</v>
      </c>
      <c r="AI117" s="69" t="n">
        <f aca="false">SUM(TblExplore[[#This Row],[Plains Explore]:[Water Explore]])*TblExplore[[#This Row],[Draftees/acre]]</f>
        <v>0</v>
      </c>
      <c r="AJ117" s="151" t="n">
        <f aca="false">_xlfn.FLOOR.MATH(MIN(TblExplore[[#This Row],[Platinum]]/TblExplore[[#This Row],[Plat/acre]],TblExplore[[#This Row],[Draftees]]/TblExplore[[#This Row],[Draftees/acre]]))</f>
        <v>440</v>
      </c>
    </row>
    <row r="118" customFormat="false" ht="12.75" hidden="false" customHeight="false" outlineLevel="0" collapsed="false">
      <c r="A118" s="170" t="n">
        <f aca="false">TblRezone[[#This Row],[Hour]]</f>
        <v>115</v>
      </c>
      <c r="B118" s="181" t="n">
        <f aca="false">TblConstr[[#This Row],[Land]]</f>
        <v>700</v>
      </c>
      <c r="C118" s="245"/>
      <c r="D118" s="246" t="n">
        <f aca="false">TblConstr[[#This Row],[Plain]]</f>
        <v>0</v>
      </c>
      <c r="E118" s="193" t="n">
        <f aca="false">TblConstr[[#This Row],[Forest]]</f>
        <v>0</v>
      </c>
      <c r="F118" s="200" t="n">
        <f aca="false">TblConstr[[#This Row],[Mountain]]</f>
        <v>0</v>
      </c>
      <c r="G118" s="201" t="n">
        <f aca="false">TblConstr[[#This Row],[Hill]]</f>
        <v>0</v>
      </c>
      <c r="H118" s="202" t="n">
        <f aca="false">TblConstr[[#This Row],[Swamp]]</f>
        <v>0</v>
      </c>
      <c r="I118" s="197" t="n">
        <f aca="false">TblConstr[[#This Row],[Cavern]]</f>
        <v>0</v>
      </c>
      <c r="J118" s="198" t="n">
        <f aca="false">TblConstr[[#This Row],[Water]]</f>
        <v>0</v>
      </c>
      <c r="K118" s="4"/>
      <c r="L118" s="4"/>
      <c r="M118" s="4"/>
      <c r="N118" s="247" t="n">
        <f aca="false">TblMili[[#This Row],[Smithies]]</f>
        <v>0.18</v>
      </c>
      <c r="O118" s="247" t="n">
        <f aca="false">TblPop[[#This Row],[Employment]]</f>
        <v>1</v>
      </c>
      <c r="P118" s="247" t="n">
        <f aca="false">TblImps[[#This Row],[Population]]</f>
        <v>1</v>
      </c>
      <c r="Q118" s="181" t="n">
        <f aca="false">TblExplore[[#This Row],[Land]]</f>
        <v>700</v>
      </c>
      <c r="R118" s="170" t="n">
        <f aca="false">TblExplore[[#This Row],[Hour]]</f>
        <v>115</v>
      </c>
      <c r="S118" s="248"/>
      <c r="T118" s="182"/>
      <c r="U118" s="182"/>
      <c r="V118" s="182"/>
      <c r="W118" s="182"/>
      <c r="X118" s="182"/>
      <c r="Y118" s="182"/>
      <c r="Z118" s="182"/>
      <c r="AA118" s="153" t="n">
        <f aca="false">TblImps[[#This Row],[Real time]]</f>
        <v>45434.5</v>
      </c>
      <c r="AB118" s="69" t="n">
        <f aca="false">TblMili[[#This Row],[Draftees]]</f>
        <v>3149</v>
      </c>
      <c r="AC118" s="69" t="n">
        <f aca="false">TblProd[[#This Row],[Platinum]]</f>
        <v>1685286</v>
      </c>
      <c r="AD118" s="245"/>
      <c r="AE118" s="151" t="n">
        <f aca="false">TblExplore[[#This Row],[Land]]-TblExplore[[#This Row],[Land Bonus]]*20</f>
        <v>700</v>
      </c>
      <c r="AF118" s="69" t="n">
        <f aca="false">ROUND(MAX(0.6*TblExplore[[#This Row],[Land-DB]]^1.299,850)*(1+ tech_2_6*Techs!AC118 + tech_2_9*Techs!AF118 + tech_3_7*Techs!AN118 + Overview!$I$32),0)</f>
        <v>2978</v>
      </c>
      <c r="AG11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8" s="69" t="n">
        <f aca="false">SUM(TblExplore[[#This Row],[Plains Explore]:[Water Explore]])*TblExplore[[#This Row],[Plat/acre]]</f>
        <v>0</v>
      </c>
      <c r="AI118" s="69" t="n">
        <f aca="false">SUM(TblExplore[[#This Row],[Plains Explore]:[Water Explore]])*TblExplore[[#This Row],[Draftees/acre]]</f>
        <v>0</v>
      </c>
      <c r="AJ118" s="151" t="n">
        <f aca="false">_xlfn.FLOOR.MATH(MIN(TblExplore[[#This Row],[Platinum]]/TblExplore[[#This Row],[Plat/acre]],TblExplore[[#This Row],[Draftees]]/TblExplore[[#This Row],[Draftees/acre]]))</f>
        <v>449</v>
      </c>
    </row>
    <row r="119" customFormat="false" ht="12.75" hidden="false" customHeight="false" outlineLevel="0" collapsed="false">
      <c r="A119" s="170" t="n">
        <f aca="false">TblRezone[[#This Row],[Hour]]</f>
        <v>116</v>
      </c>
      <c r="B119" s="181" t="n">
        <f aca="false">TblConstr[[#This Row],[Land]]</f>
        <v>700</v>
      </c>
      <c r="C119" s="245"/>
      <c r="D119" s="246" t="n">
        <f aca="false">TblConstr[[#This Row],[Plain]]</f>
        <v>0</v>
      </c>
      <c r="E119" s="193" t="n">
        <f aca="false">TblConstr[[#This Row],[Forest]]</f>
        <v>0</v>
      </c>
      <c r="F119" s="200" t="n">
        <f aca="false">TblConstr[[#This Row],[Mountain]]</f>
        <v>0</v>
      </c>
      <c r="G119" s="201" t="n">
        <f aca="false">TblConstr[[#This Row],[Hill]]</f>
        <v>0</v>
      </c>
      <c r="H119" s="202" t="n">
        <f aca="false">TblConstr[[#This Row],[Swamp]]</f>
        <v>0</v>
      </c>
      <c r="I119" s="197" t="n">
        <f aca="false">TblConstr[[#This Row],[Cavern]]</f>
        <v>0</v>
      </c>
      <c r="J119" s="198" t="n">
        <f aca="false">TblConstr[[#This Row],[Water]]</f>
        <v>0</v>
      </c>
      <c r="K119" s="4"/>
      <c r="L119" s="4"/>
      <c r="M119" s="4"/>
      <c r="N119" s="247" t="n">
        <f aca="false">TblMili[[#This Row],[Smithies]]</f>
        <v>0.18</v>
      </c>
      <c r="O119" s="247" t="n">
        <f aca="false">TblPop[[#This Row],[Employment]]</f>
        <v>1</v>
      </c>
      <c r="P119" s="247" t="n">
        <f aca="false">TblImps[[#This Row],[Population]]</f>
        <v>1</v>
      </c>
      <c r="Q119" s="181" t="n">
        <f aca="false">TblExplore[[#This Row],[Land]]</f>
        <v>700</v>
      </c>
      <c r="R119" s="170" t="n">
        <f aca="false">TblExplore[[#This Row],[Hour]]</f>
        <v>116</v>
      </c>
      <c r="S119" s="248"/>
      <c r="T119" s="182"/>
      <c r="U119" s="182"/>
      <c r="V119" s="182"/>
      <c r="W119" s="182"/>
      <c r="X119" s="182"/>
      <c r="Y119" s="182"/>
      <c r="Z119" s="182"/>
      <c r="AA119" s="153" t="n">
        <f aca="false">TblImps[[#This Row],[Real time]]</f>
        <v>45434.5416666667</v>
      </c>
      <c r="AB119" s="69" t="n">
        <f aca="false">TblMili[[#This Row],[Draftees]]</f>
        <v>3215</v>
      </c>
      <c r="AC119" s="69" t="n">
        <f aca="false">TblProd[[#This Row],[Platinum]]</f>
        <v>1715389</v>
      </c>
      <c r="AD119" s="245"/>
      <c r="AE119" s="151" t="n">
        <f aca="false">TblExplore[[#This Row],[Land]]-TblExplore[[#This Row],[Land Bonus]]*20</f>
        <v>700</v>
      </c>
      <c r="AF119" s="69" t="n">
        <f aca="false">ROUND(MAX(0.6*TblExplore[[#This Row],[Land-DB]]^1.299,850)*(1+ tech_2_6*Techs!AC119 + tech_2_9*Techs!AF119 + tech_3_7*Techs!AN119 + Overview!$I$32),0)</f>
        <v>2978</v>
      </c>
      <c r="AG11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9" s="69" t="n">
        <f aca="false">SUM(TblExplore[[#This Row],[Plains Explore]:[Water Explore]])*TblExplore[[#This Row],[Plat/acre]]</f>
        <v>0</v>
      </c>
      <c r="AI119" s="69" t="n">
        <f aca="false">SUM(TblExplore[[#This Row],[Plains Explore]:[Water Explore]])*TblExplore[[#This Row],[Draftees/acre]]</f>
        <v>0</v>
      </c>
      <c r="AJ119" s="151" t="n">
        <f aca="false">_xlfn.FLOOR.MATH(MIN(TblExplore[[#This Row],[Platinum]]/TblExplore[[#This Row],[Plat/acre]],TblExplore[[#This Row],[Draftees]]/TblExplore[[#This Row],[Draftees/acre]]))</f>
        <v>459</v>
      </c>
    </row>
    <row r="120" customFormat="false" ht="12.75" hidden="false" customHeight="false" outlineLevel="0" collapsed="false">
      <c r="A120" s="170" t="n">
        <f aca="false">TblRezone[[#This Row],[Hour]]</f>
        <v>117</v>
      </c>
      <c r="B120" s="181" t="n">
        <f aca="false">TblConstr[[#This Row],[Land]]</f>
        <v>700</v>
      </c>
      <c r="C120" s="245"/>
      <c r="D120" s="246" t="n">
        <f aca="false">TblConstr[[#This Row],[Plain]]</f>
        <v>0</v>
      </c>
      <c r="E120" s="193" t="n">
        <f aca="false">TblConstr[[#This Row],[Forest]]</f>
        <v>0</v>
      </c>
      <c r="F120" s="200" t="n">
        <f aca="false">TblConstr[[#This Row],[Mountain]]</f>
        <v>0</v>
      </c>
      <c r="G120" s="201" t="n">
        <f aca="false">TblConstr[[#This Row],[Hill]]</f>
        <v>0</v>
      </c>
      <c r="H120" s="202" t="n">
        <f aca="false">TblConstr[[#This Row],[Swamp]]</f>
        <v>0</v>
      </c>
      <c r="I120" s="197" t="n">
        <f aca="false">TblConstr[[#This Row],[Cavern]]</f>
        <v>0</v>
      </c>
      <c r="J120" s="198" t="n">
        <f aca="false">TblConstr[[#This Row],[Water]]</f>
        <v>0</v>
      </c>
      <c r="K120" s="4"/>
      <c r="L120" s="4"/>
      <c r="M120" s="4"/>
      <c r="N120" s="247" t="n">
        <f aca="false">TblMili[[#This Row],[Smithies]]</f>
        <v>0.18</v>
      </c>
      <c r="O120" s="247" t="n">
        <f aca="false">TblPop[[#This Row],[Employment]]</f>
        <v>1</v>
      </c>
      <c r="P120" s="247" t="n">
        <f aca="false">TblImps[[#This Row],[Population]]</f>
        <v>1</v>
      </c>
      <c r="Q120" s="181" t="n">
        <f aca="false">TblExplore[[#This Row],[Land]]</f>
        <v>700</v>
      </c>
      <c r="R120" s="170" t="n">
        <f aca="false">TblExplore[[#This Row],[Hour]]</f>
        <v>117</v>
      </c>
      <c r="S120" s="248"/>
      <c r="T120" s="182"/>
      <c r="U120" s="182"/>
      <c r="V120" s="182"/>
      <c r="W120" s="182"/>
      <c r="X120" s="182"/>
      <c r="Y120" s="182"/>
      <c r="Z120" s="182"/>
      <c r="AA120" s="153" t="n">
        <f aca="false">TblImps[[#This Row],[Real time]]</f>
        <v>45434.5833333333</v>
      </c>
      <c r="AB120" s="69" t="n">
        <f aca="false">TblMili[[#This Row],[Draftees]]</f>
        <v>3280</v>
      </c>
      <c r="AC120" s="69" t="n">
        <f aca="false">TblProd[[#This Row],[Platinum]]</f>
        <v>1745314</v>
      </c>
      <c r="AD120" s="245"/>
      <c r="AE120" s="151" t="n">
        <f aca="false">TblExplore[[#This Row],[Land]]-TblExplore[[#This Row],[Land Bonus]]*20</f>
        <v>700</v>
      </c>
      <c r="AF120" s="69" t="n">
        <f aca="false">ROUND(MAX(0.6*TblExplore[[#This Row],[Land-DB]]^1.299,850)*(1+ tech_2_6*Techs!AC120 + tech_2_9*Techs!AF120 + tech_3_7*Techs!AN120 + Overview!$I$32),0)</f>
        <v>2978</v>
      </c>
      <c r="AG12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0" s="69" t="n">
        <f aca="false">SUM(TblExplore[[#This Row],[Plains Explore]:[Water Explore]])*TblExplore[[#This Row],[Plat/acre]]</f>
        <v>0</v>
      </c>
      <c r="AI120" s="69" t="n">
        <f aca="false">SUM(TblExplore[[#This Row],[Plains Explore]:[Water Explore]])*TblExplore[[#This Row],[Draftees/acre]]</f>
        <v>0</v>
      </c>
      <c r="AJ120" s="151" t="n">
        <f aca="false">_xlfn.FLOOR.MATH(MIN(TblExplore[[#This Row],[Platinum]]/TblExplore[[#This Row],[Plat/acre]],TblExplore[[#This Row],[Draftees]]/TblExplore[[#This Row],[Draftees/acre]]))</f>
        <v>468</v>
      </c>
    </row>
    <row r="121" customFormat="false" ht="12.75" hidden="false" customHeight="false" outlineLevel="0" collapsed="false">
      <c r="A121" s="170" t="n">
        <f aca="false">TblRezone[[#This Row],[Hour]]</f>
        <v>118</v>
      </c>
      <c r="B121" s="181" t="n">
        <f aca="false">TblConstr[[#This Row],[Land]]</f>
        <v>700</v>
      </c>
      <c r="C121" s="245"/>
      <c r="D121" s="246" t="n">
        <f aca="false">TblConstr[[#This Row],[Plain]]</f>
        <v>0</v>
      </c>
      <c r="E121" s="193" t="n">
        <f aca="false">TblConstr[[#This Row],[Forest]]</f>
        <v>0</v>
      </c>
      <c r="F121" s="200" t="n">
        <f aca="false">TblConstr[[#This Row],[Mountain]]</f>
        <v>0</v>
      </c>
      <c r="G121" s="201" t="n">
        <f aca="false">TblConstr[[#This Row],[Hill]]</f>
        <v>0</v>
      </c>
      <c r="H121" s="202" t="n">
        <f aca="false">TblConstr[[#This Row],[Swamp]]</f>
        <v>0</v>
      </c>
      <c r="I121" s="197" t="n">
        <f aca="false">TblConstr[[#This Row],[Cavern]]</f>
        <v>0</v>
      </c>
      <c r="J121" s="198" t="n">
        <f aca="false">TblConstr[[#This Row],[Water]]</f>
        <v>0</v>
      </c>
      <c r="K121" s="4"/>
      <c r="L121" s="4"/>
      <c r="M121" s="4"/>
      <c r="N121" s="247" t="n">
        <f aca="false">TblMili[[#This Row],[Smithies]]</f>
        <v>0.18</v>
      </c>
      <c r="O121" s="247" t="n">
        <f aca="false">TblPop[[#This Row],[Employment]]</f>
        <v>1</v>
      </c>
      <c r="P121" s="247" t="n">
        <f aca="false">TblImps[[#This Row],[Population]]</f>
        <v>1</v>
      </c>
      <c r="Q121" s="181" t="n">
        <f aca="false">TblExplore[[#This Row],[Land]]</f>
        <v>700</v>
      </c>
      <c r="R121" s="170" t="n">
        <f aca="false">TblExplore[[#This Row],[Hour]]</f>
        <v>118</v>
      </c>
      <c r="S121" s="248"/>
      <c r="T121" s="182"/>
      <c r="U121" s="182"/>
      <c r="V121" s="182"/>
      <c r="W121" s="182"/>
      <c r="X121" s="182"/>
      <c r="Y121" s="182"/>
      <c r="Z121" s="182"/>
      <c r="AA121" s="153" t="n">
        <f aca="false">TblImps[[#This Row],[Real time]]</f>
        <v>45434.625</v>
      </c>
      <c r="AB121" s="69" t="n">
        <f aca="false">TblMili[[#This Row],[Draftees]]</f>
        <v>3344</v>
      </c>
      <c r="AC121" s="69" t="n">
        <f aca="false">TblProd[[#This Row],[Platinum]]</f>
        <v>1775063</v>
      </c>
      <c r="AD121" s="245"/>
      <c r="AE121" s="151" t="n">
        <f aca="false">TblExplore[[#This Row],[Land]]-TblExplore[[#This Row],[Land Bonus]]*20</f>
        <v>700</v>
      </c>
      <c r="AF121" s="69" t="n">
        <f aca="false">ROUND(MAX(0.6*TblExplore[[#This Row],[Land-DB]]^1.299,850)*(1+ tech_2_6*Techs!AC121 + tech_2_9*Techs!AF121 + tech_3_7*Techs!AN121 + Overview!$I$32),0)</f>
        <v>2978</v>
      </c>
      <c r="AG12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1" s="69" t="n">
        <f aca="false">SUM(TblExplore[[#This Row],[Plains Explore]:[Water Explore]])*TblExplore[[#This Row],[Plat/acre]]</f>
        <v>0</v>
      </c>
      <c r="AI121" s="69" t="n">
        <f aca="false">SUM(TblExplore[[#This Row],[Plains Explore]:[Water Explore]])*TblExplore[[#This Row],[Draftees/acre]]</f>
        <v>0</v>
      </c>
      <c r="AJ121" s="151" t="n">
        <f aca="false">_xlfn.FLOOR.MATH(MIN(TblExplore[[#This Row],[Platinum]]/TblExplore[[#This Row],[Plat/acre]],TblExplore[[#This Row],[Draftees]]/TblExplore[[#This Row],[Draftees/acre]]))</f>
        <v>477</v>
      </c>
    </row>
    <row r="122" customFormat="false" ht="12.75" hidden="false" customHeight="false" outlineLevel="0" collapsed="false">
      <c r="A122" s="170" t="n">
        <f aca="false">TblRezone[[#This Row],[Hour]]</f>
        <v>119</v>
      </c>
      <c r="B122" s="181" t="n">
        <f aca="false">TblConstr[[#This Row],[Land]]</f>
        <v>700</v>
      </c>
      <c r="C122" s="245"/>
      <c r="D122" s="246" t="n">
        <f aca="false">TblConstr[[#This Row],[Plain]]</f>
        <v>0</v>
      </c>
      <c r="E122" s="193" t="n">
        <f aca="false">TblConstr[[#This Row],[Forest]]</f>
        <v>0</v>
      </c>
      <c r="F122" s="200" t="n">
        <f aca="false">TblConstr[[#This Row],[Mountain]]</f>
        <v>0</v>
      </c>
      <c r="G122" s="201" t="n">
        <f aca="false">TblConstr[[#This Row],[Hill]]</f>
        <v>0</v>
      </c>
      <c r="H122" s="202" t="n">
        <f aca="false">TblConstr[[#This Row],[Swamp]]</f>
        <v>0</v>
      </c>
      <c r="I122" s="197" t="n">
        <f aca="false">TblConstr[[#This Row],[Cavern]]</f>
        <v>0</v>
      </c>
      <c r="J122" s="198" t="n">
        <f aca="false">TblConstr[[#This Row],[Water]]</f>
        <v>0</v>
      </c>
      <c r="K122" s="4"/>
      <c r="L122" s="4"/>
      <c r="M122" s="4"/>
      <c r="N122" s="247" t="n">
        <f aca="false">TblMili[[#This Row],[Smithies]]</f>
        <v>0.18</v>
      </c>
      <c r="O122" s="247" t="n">
        <f aca="false">TblPop[[#This Row],[Employment]]</f>
        <v>1</v>
      </c>
      <c r="P122" s="247" t="n">
        <f aca="false">TblImps[[#This Row],[Population]]</f>
        <v>1</v>
      </c>
      <c r="Q122" s="181" t="n">
        <f aca="false">TblExplore[[#This Row],[Land]]</f>
        <v>700</v>
      </c>
      <c r="R122" s="170" t="n">
        <f aca="false">TblExplore[[#This Row],[Hour]]</f>
        <v>119</v>
      </c>
      <c r="S122" s="248"/>
      <c r="T122" s="182"/>
      <c r="U122" s="182"/>
      <c r="V122" s="182"/>
      <c r="W122" s="182"/>
      <c r="X122" s="182"/>
      <c r="Y122" s="182"/>
      <c r="Z122" s="182"/>
      <c r="AA122" s="153" t="n">
        <f aca="false">TblImps[[#This Row],[Real time]]</f>
        <v>45434.6666666667</v>
      </c>
      <c r="AB122" s="69" t="n">
        <f aca="false">TblMili[[#This Row],[Draftees]]</f>
        <v>3408</v>
      </c>
      <c r="AC122" s="69" t="n">
        <f aca="false">TblProd[[#This Row],[Platinum]]</f>
        <v>1804639</v>
      </c>
      <c r="AD122" s="245"/>
      <c r="AE122" s="151" t="n">
        <f aca="false">TblExplore[[#This Row],[Land]]-TblExplore[[#This Row],[Land Bonus]]*20</f>
        <v>700</v>
      </c>
      <c r="AF122" s="69" t="n">
        <f aca="false">ROUND(MAX(0.6*TblExplore[[#This Row],[Land-DB]]^1.299,850)*(1+ tech_2_6*Techs!AC122 + tech_2_9*Techs!AF122 + tech_3_7*Techs!AN122 + Overview!$I$32),0)</f>
        <v>2978</v>
      </c>
      <c r="AG12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2" s="69" t="n">
        <f aca="false">SUM(TblExplore[[#This Row],[Plains Explore]:[Water Explore]])*TblExplore[[#This Row],[Plat/acre]]</f>
        <v>0</v>
      </c>
      <c r="AI122" s="69" t="n">
        <f aca="false">SUM(TblExplore[[#This Row],[Plains Explore]:[Water Explore]])*TblExplore[[#This Row],[Draftees/acre]]</f>
        <v>0</v>
      </c>
      <c r="AJ122" s="151" t="n">
        <f aca="false">_xlfn.FLOOR.MATH(MIN(TblExplore[[#This Row],[Platinum]]/TblExplore[[#This Row],[Plat/acre]],TblExplore[[#This Row],[Draftees]]/TblExplore[[#This Row],[Draftees/acre]]))</f>
        <v>486</v>
      </c>
    </row>
    <row r="123" customFormat="false" ht="12.75" hidden="false" customHeight="false" outlineLevel="0" collapsed="false">
      <c r="A123" s="170" t="n">
        <f aca="false">TblRezone[[#This Row],[Hour]]</f>
        <v>120</v>
      </c>
      <c r="B123" s="181" t="n">
        <f aca="false">TblConstr[[#This Row],[Land]]</f>
        <v>700</v>
      </c>
      <c r="C123" s="245"/>
      <c r="D123" s="246" t="n">
        <f aca="false">TblConstr[[#This Row],[Plain]]</f>
        <v>0</v>
      </c>
      <c r="E123" s="193" t="n">
        <f aca="false">TblConstr[[#This Row],[Forest]]</f>
        <v>0</v>
      </c>
      <c r="F123" s="200" t="n">
        <f aca="false">TblConstr[[#This Row],[Mountain]]</f>
        <v>0</v>
      </c>
      <c r="G123" s="201" t="n">
        <f aca="false">TblConstr[[#This Row],[Hill]]</f>
        <v>0</v>
      </c>
      <c r="H123" s="202" t="n">
        <f aca="false">TblConstr[[#This Row],[Swamp]]</f>
        <v>0</v>
      </c>
      <c r="I123" s="197" t="n">
        <f aca="false">TblConstr[[#This Row],[Cavern]]</f>
        <v>0</v>
      </c>
      <c r="J123" s="198" t="n">
        <f aca="false">TblConstr[[#This Row],[Water]]</f>
        <v>0</v>
      </c>
      <c r="K123" s="4"/>
      <c r="L123" s="4"/>
      <c r="M123" s="4"/>
      <c r="N123" s="247" t="n">
        <f aca="false">TblMili[[#This Row],[Smithies]]</f>
        <v>0.18</v>
      </c>
      <c r="O123" s="247" t="n">
        <f aca="false">TblPop[[#This Row],[Employment]]</f>
        <v>1</v>
      </c>
      <c r="P123" s="247" t="n">
        <f aca="false">TblImps[[#This Row],[Population]]</f>
        <v>1</v>
      </c>
      <c r="Q123" s="181" t="n">
        <f aca="false">TblExplore[[#This Row],[Land]]</f>
        <v>700</v>
      </c>
      <c r="R123" s="170" t="n">
        <f aca="false">TblExplore[[#This Row],[Hour]]</f>
        <v>120</v>
      </c>
      <c r="S123" s="248"/>
      <c r="T123" s="182"/>
      <c r="U123" s="182"/>
      <c r="V123" s="182"/>
      <c r="W123" s="182"/>
      <c r="X123" s="182"/>
      <c r="Y123" s="182"/>
      <c r="Z123" s="182"/>
      <c r="AA123" s="153" t="n">
        <f aca="false">TblImps[[#This Row],[Real time]]</f>
        <v>45434.7083333333</v>
      </c>
      <c r="AB123" s="69" t="n">
        <f aca="false">TblMili[[#This Row],[Draftees]]</f>
        <v>3471</v>
      </c>
      <c r="AC123" s="69" t="n">
        <f aca="false">TblProd[[#This Row],[Platinum]]</f>
        <v>1834042</v>
      </c>
      <c r="AD123" s="245"/>
      <c r="AE123" s="151" t="n">
        <f aca="false">TblExplore[[#This Row],[Land]]-TblExplore[[#This Row],[Land Bonus]]*20</f>
        <v>700</v>
      </c>
      <c r="AF123" s="69" t="n">
        <f aca="false">ROUND(MAX(0.6*TblExplore[[#This Row],[Land-DB]]^1.299,850)*(1+ tech_2_6*Techs!AC123 + tech_2_9*Techs!AF123 + tech_3_7*Techs!AN123 + Overview!$I$32),0)</f>
        <v>2978</v>
      </c>
      <c r="AG12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3" s="69" t="n">
        <f aca="false">SUM(TblExplore[[#This Row],[Plains Explore]:[Water Explore]])*TblExplore[[#This Row],[Plat/acre]]</f>
        <v>0</v>
      </c>
      <c r="AI123" s="69" t="n">
        <f aca="false">SUM(TblExplore[[#This Row],[Plains Explore]:[Water Explore]])*TblExplore[[#This Row],[Draftees/acre]]</f>
        <v>0</v>
      </c>
      <c r="AJ123" s="151" t="n">
        <f aca="false">_xlfn.FLOOR.MATH(MIN(TblExplore[[#This Row],[Platinum]]/TblExplore[[#This Row],[Plat/acre]],TblExplore[[#This Row],[Draftees]]/TblExplore[[#This Row],[Draftees/acre]]))</f>
        <v>495</v>
      </c>
    </row>
    <row r="124" customFormat="false" ht="12.75" hidden="false" customHeight="false" outlineLevel="0" collapsed="false">
      <c r="A124" s="170" t="n">
        <f aca="false">TblRezone[[#This Row],[Hour]]</f>
        <v>121</v>
      </c>
      <c r="B124" s="181" t="n">
        <f aca="false">TblConstr[[#This Row],[Land]]</f>
        <v>700</v>
      </c>
      <c r="C124" s="245"/>
      <c r="D124" s="246" t="n">
        <f aca="false">TblConstr[[#This Row],[Plain]]</f>
        <v>0</v>
      </c>
      <c r="E124" s="193" t="n">
        <f aca="false">TblConstr[[#This Row],[Forest]]</f>
        <v>0</v>
      </c>
      <c r="F124" s="200" t="n">
        <f aca="false">TblConstr[[#This Row],[Mountain]]</f>
        <v>0</v>
      </c>
      <c r="G124" s="201" t="n">
        <f aca="false">TblConstr[[#This Row],[Hill]]</f>
        <v>0</v>
      </c>
      <c r="H124" s="202" t="n">
        <f aca="false">TblConstr[[#This Row],[Swamp]]</f>
        <v>0</v>
      </c>
      <c r="I124" s="197" t="n">
        <f aca="false">TblConstr[[#This Row],[Cavern]]</f>
        <v>0</v>
      </c>
      <c r="J124" s="198" t="n">
        <f aca="false">TblConstr[[#This Row],[Water]]</f>
        <v>0</v>
      </c>
      <c r="K124" s="4"/>
      <c r="L124" s="259" t="s">
        <v>370</v>
      </c>
      <c r="M124" s="258" t="s">
        <v>369</v>
      </c>
      <c r="N124" s="247" t="n">
        <f aca="false">TblMili[[#This Row],[Smithies]]</f>
        <v>0.18</v>
      </c>
      <c r="O124" s="247" t="n">
        <f aca="false">TblPop[[#This Row],[Employment]]</f>
        <v>1</v>
      </c>
      <c r="P124" s="247" t="n">
        <f aca="false">TblImps[[#This Row],[Population]]</f>
        <v>1</v>
      </c>
      <c r="Q124" s="181" t="n">
        <f aca="false">TblExplore[[#This Row],[Land]]</f>
        <v>700</v>
      </c>
      <c r="R124" s="170" t="n">
        <f aca="false">TblExplore[[#This Row],[Hour]]</f>
        <v>121</v>
      </c>
      <c r="S124" s="248"/>
      <c r="T124" s="182"/>
      <c r="U124" s="182"/>
      <c r="V124" s="182"/>
      <c r="W124" s="182"/>
      <c r="X124" s="182"/>
      <c r="Y124" s="182"/>
      <c r="Z124" s="182"/>
      <c r="AA124" s="153" t="n">
        <f aca="false">TblImps[[#This Row],[Real time]]</f>
        <v>45434.75</v>
      </c>
      <c r="AB124" s="69" t="n">
        <f aca="false">TblMili[[#This Row],[Draftees]]</f>
        <v>3533</v>
      </c>
      <c r="AC124" s="69" t="n">
        <f aca="false">TblProd[[#This Row],[Platinum]]</f>
        <v>1863275</v>
      </c>
      <c r="AD124" s="245"/>
      <c r="AE124" s="151" t="n">
        <f aca="false">TblExplore[[#This Row],[Land]]-TblExplore[[#This Row],[Land Bonus]]*20</f>
        <v>700</v>
      </c>
      <c r="AF124" s="69" t="n">
        <f aca="false">ROUND(MAX(0.6*TblExplore[[#This Row],[Land-DB]]^1.299,850)*(1+ tech_2_6*Techs!AC124 + tech_2_9*Techs!AF124 + tech_3_7*Techs!AN124 + Overview!$I$32),0)</f>
        <v>2978</v>
      </c>
      <c r="AG12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4" s="69" t="n">
        <f aca="false">SUM(TblExplore[[#This Row],[Plains Explore]:[Water Explore]])*TblExplore[[#This Row],[Plat/acre]]</f>
        <v>0</v>
      </c>
      <c r="AI124" s="69" t="n">
        <f aca="false">SUM(TblExplore[[#This Row],[Plains Explore]:[Water Explore]])*TblExplore[[#This Row],[Draftees/acre]]</f>
        <v>0</v>
      </c>
      <c r="AJ124" s="151" t="n">
        <f aca="false">_xlfn.FLOOR.MATH(MIN(TblExplore[[#This Row],[Platinum]]/TblExplore[[#This Row],[Plat/acre]],TblExplore[[#This Row],[Draftees]]/TblExplore[[#This Row],[Draftees/acre]]))</f>
        <v>504</v>
      </c>
    </row>
    <row r="125" customFormat="false" ht="12.75" hidden="false" customHeight="false" outlineLevel="0" collapsed="false">
      <c r="A125" s="170" t="n">
        <f aca="false">TblRezone[[#This Row],[Hour]]</f>
        <v>122</v>
      </c>
      <c r="B125" s="181" t="n">
        <f aca="false">TblConstr[[#This Row],[Land]]</f>
        <v>700</v>
      </c>
      <c r="C125" s="245"/>
      <c r="D125" s="246" t="n">
        <f aca="false">TblConstr[[#This Row],[Plain]]</f>
        <v>0</v>
      </c>
      <c r="E125" s="193" t="n">
        <f aca="false">TblConstr[[#This Row],[Forest]]</f>
        <v>0</v>
      </c>
      <c r="F125" s="200" t="n">
        <f aca="false">TblConstr[[#This Row],[Mountain]]</f>
        <v>0</v>
      </c>
      <c r="G125" s="201" t="n">
        <f aca="false">TblConstr[[#This Row],[Hill]]</f>
        <v>0</v>
      </c>
      <c r="H125" s="202" t="n">
        <f aca="false">TblConstr[[#This Row],[Swamp]]</f>
        <v>0</v>
      </c>
      <c r="I125" s="197" t="n">
        <f aca="false">TblConstr[[#This Row],[Cavern]]</f>
        <v>0</v>
      </c>
      <c r="J125" s="198" t="n">
        <f aca="false">TblConstr[[#This Row],[Water]]</f>
        <v>0</v>
      </c>
      <c r="K125" s="4"/>
      <c r="L125" s="259"/>
      <c r="M125" s="258"/>
      <c r="N125" s="247" t="n">
        <f aca="false">TblMili[[#This Row],[Smithies]]</f>
        <v>0.18</v>
      </c>
      <c r="O125" s="247" t="n">
        <f aca="false">TblPop[[#This Row],[Employment]]</f>
        <v>1</v>
      </c>
      <c r="P125" s="247" t="n">
        <f aca="false">TblImps[[#This Row],[Population]]</f>
        <v>1</v>
      </c>
      <c r="Q125" s="181" t="n">
        <f aca="false">TblExplore[[#This Row],[Land]]</f>
        <v>700</v>
      </c>
      <c r="R125" s="170" t="n">
        <f aca="false">TblExplore[[#This Row],[Hour]]</f>
        <v>122</v>
      </c>
      <c r="S125" s="248"/>
      <c r="T125" s="182"/>
      <c r="U125" s="182"/>
      <c r="V125" s="182"/>
      <c r="W125" s="182"/>
      <c r="X125" s="182"/>
      <c r="Y125" s="182"/>
      <c r="Z125" s="182"/>
      <c r="AA125" s="153" t="n">
        <f aca="false">TblImps[[#This Row],[Real time]]</f>
        <v>45434.7916666667</v>
      </c>
      <c r="AB125" s="69" t="n">
        <f aca="false">TblMili[[#This Row],[Draftees]]</f>
        <v>3595</v>
      </c>
      <c r="AC125" s="69" t="n">
        <f aca="false">TblProd[[#This Row],[Platinum]]</f>
        <v>1892341</v>
      </c>
      <c r="AD125" s="245"/>
      <c r="AE125" s="151" t="n">
        <f aca="false">TblExplore[[#This Row],[Land]]-TblExplore[[#This Row],[Land Bonus]]*20</f>
        <v>700</v>
      </c>
      <c r="AF125" s="69" t="n">
        <f aca="false">ROUND(MAX(0.6*TblExplore[[#This Row],[Land-DB]]^1.299,850)*(1+ tech_2_6*Techs!AC125 + tech_2_9*Techs!AF125 + tech_3_7*Techs!AN125 + Overview!$I$32),0)</f>
        <v>2978</v>
      </c>
      <c r="AG12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5" s="69" t="n">
        <f aca="false">SUM(TblExplore[[#This Row],[Plains Explore]:[Water Explore]])*TblExplore[[#This Row],[Plat/acre]]</f>
        <v>0</v>
      </c>
      <c r="AI125" s="69" t="n">
        <f aca="false">SUM(TblExplore[[#This Row],[Plains Explore]:[Water Explore]])*TblExplore[[#This Row],[Draftees/acre]]</f>
        <v>0</v>
      </c>
      <c r="AJ125" s="151" t="n">
        <f aca="false">_xlfn.FLOOR.MATH(MIN(TblExplore[[#This Row],[Platinum]]/TblExplore[[#This Row],[Plat/acre]],TblExplore[[#This Row],[Draftees]]/TblExplore[[#This Row],[Draftees/acre]]))</f>
        <v>513</v>
      </c>
    </row>
    <row r="126" customFormat="false" ht="12.75" hidden="false" customHeight="false" outlineLevel="0" collapsed="false">
      <c r="A126" s="170" t="n">
        <f aca="false">TblRezone[[#This Row],[Hour]]</f>
        <v>123</v>
      </c>
      <c r="B126" s="181" t="n">
        <f aca="false">TblConstr[[#This Row],[Land]]</f>
        <v>700</v>
      </c>
      <c r="C126" s="245"/>
      <c r="D126" s="246" t="n">
        <f aca="false">TblConstr[[#This Row],[Plain]]</f>
        <v>0</v>
      </c>
      <c r="E126" s="193" t="n">
        <f aca="false">TblConstr[[#This Row],[Forest]]</f>
        <v>0</v>
      </c>
      <c r="F126" s="200" t="n">
        <f aca="false">TblConstr[[#This Row],[Mountain]]</f>
        <v>0</v>
      </c>
      <c r="G126" s="201" t="n">
        <f aca="false">TblConstr[[#This Row],[Hill]]</f>
        <v>0</v>
      </c>
      <c r="H126" s="202" t="n">
        <f aca="false">TblConstr[[#This Row],[Swamp]]</f>
        <v>0</v>
      </c>
      <c r="I126" s="197" t="n">
        <f aca="false">TblConstr[[#This Row],[Cavern]]</f>
        <v>0</v>
      </c>
      <c r="J126" s="198" t="n">
        <f aca="false">TblConstr[[#This Row],[Water]]</f>
        <v>0</v>
      </c>
      <c r="K126" s="4"/>
      <c r="L126" s="259"/>
      <c r="M126" s="258"/>
      <c r="N126" s="247" t="n">
        <f aca="false">TblMili[[#This Row],[Smithies]]</f>
        <v>0.18</v>
      </c>
      <c r="O126" s="247" t="n">
        <f aca="false">TblPop[[#This Row],[Employment]]</f>
        <v>1</v>
      </c>
      <c r="P126" s="247" t="n">
        <f aca="false">TblImps[[#This Row],[Population]]</f>
        <v>1</v>
      </c>
      <c r="Q126" s="181" t="n">
        <f aca="false">TblExplore[[#This Row],[Land]]</f>
        <v>700</v>
      </c>
      <c r="R126" s="170" t="n">
        <f aca="false">TblExplore[[#This Row],[Hour]]</f>
        <v>123</v>
      </c>
      <c r="S126" s="248"/>
      <c r="T126" s="182"/>
      <c r="U126" s="182"/>
      <c r="V126" s="182"/>
      <c r="W126" s="182"/>
      <c r="X126" s="182"/>
      <c r="Y126" s="182"/>
      <c r="Z126" s="182"/>
      <c r="AA126" s="153" t="n">
        <f aca="false">TblImps[[#This Row],[Real time]]</f>
        <v>45434.8333333333</v>
      </c>
      <c r="AB126" s="69" t="n">
        <f aca="false">TblMili[[#This Row],[Draftees]]</f>
        <v>3656</v>
      </c>
      <c r="AC126" s="69" t="n">
        <f aca="false">TblProd[[#This Row],[Platinum]]</f>
        <v>1921240</v>
      </c>
      <c r="AD126" s="245"/>
      <c r="AE126" s="151" t="n">
        <f aca="false">TblExplore[[#This Row],[Land]]-TblExplore[[#This Row],[Land Bonus]]*20</f>
        <v>700</v>
      </c>
      <c r="AF126" s="69" t="n">
        <f aca="false">ROUND(MAX(0.6*TblExplore[[#This Row],[Land-DB]]^1.299,850)*(1+ tech_2_6*Techs!AC126 + tech_2_9*Techs!AF126 + tech_3_7*Techs!AN126 + Overview!$I$32),0)</f>
        <v>2978</v>
      </c>
      <c r="AG12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6" s="69" t="n">
        <f aca="false">SUM(TblExplore[[#This Row],[Plains Explore]:[Water Explore]])*TblExplore[[#This Row],[Plat/acre]]</f>
        <v>0</v>
      </c>
      <c r="AI126" s="69" t="n">
        <f aca="false">SUM(TblExplore[[#This Row],[Plains Explore]:[Water Explore]])*TblExplore[[#This Row],[Draftees/acre]]</f>
        <v>0</v>
      </c>
      <c r="AJ126" s="151" t="n">
        <f aca="false">_xlfn.FLOOR.MATH(MIN(TblExplore[[#This Row],[Platinum]]/TblExplore[[#This Row],[Plat/acre]],TblExplore[[#This Row],[Draftees]]/TblExplore[[#This Row],[Draftees/acre]]))</f>
        <v>522</v>
      </c>
    </row>
    <row r="127" customFormat="false" ht="12.75" hidden="false" customHeight="false" outlineLevel="0" collapsed="false">
      <c r="A127" s="170" t="n">
        <f aca="false">TblRezone[[#This Row],[Hour]]</f>
        <v>124</v>
      </c>
      <c r="B127" s="181" t="n">
        <f aca="false">TblConstr[[#This Row],[Land]]</f>
        <v>700</v>
      </c>
      <c r="C127" s="245"/>
      <c r="D127" s="246" t="n">
        <f aca="false">TblConstr[[#This Row],[Plain]]</f>
        <v>0</v>
      </c>
      <c r="E127" s="193" t="n">
        <f aca="false">TblConstr[[#This Row],[Forest]]</f>
        <v>0</v>
      </c>
      <c r="F127" s="200" t="n">
        <f aca="false">TblConstr[[#This Row],[Mountain]]</f>
        <v>0</v>
      </c>
      <c r="G127" s="201" t="n">
        <f aca="false">TblConstr[[#This Row],[Hill]]</f>
        <v>0</v>
      </c>
      <c r="H127" s="202" t="n">
        <f aca="false">TblConstr[[#This Row],[Swamp]]</f>
        <v>0</v>
      </c>
      <c r="I127" s="197" t="n">
        <f aca="false">TblConstr[[#This Row],[Cavern]]</f>
        <v>0</v>
      </c>
      <c r="J127" s="198" t="n">
        <f aca="false">TblConstr[[#This Row],[Water]]</f>
        <v>0</v>
      </c>
      <c r="K127" s="4"/>
      <c r="L127" s="4" t="n">
        <v>4</v>
      </c>
      <c r="M127" s="4" t="n">
        <v>299</v>
      </c>
      <c r="N127" s="247" t="n">
        <f aca="false">TblMili[[#This Row],[Smithies]]</f>
        <v>0.18</v>
      </c>
      <c r="O127" s="247" t="n">
        <f aca="false">TblPop[[#This Row],[Employment]]</f>
        <v>1</v>
      </c>
      <c r="P127" s="247" t="n">
        <f aca="false">TblImps[[#This Row],[Population]]</f>
        <v>1</v>
      </c>
      <c r="Q127" s="181" t="n">
        <f aca="false">TblExplore[[#This Row],[Land]]</f>
        <v>700</v>
      </c>
      <c r="R127" s="170" t="n">
        <f aca="false">TblExplore[[#This Row],[Hour]]</f>
        <v>124</v>
      </c>
      <c r="S127" s="248"/>
      <c r="T127" s="182"/>
      <c r="U127" s="182"/>
      <c r="V127" s="182"/>
      <c r="W127" s="182"/>
      <c r="X127" s="182"/>
      <c r="Y127" s="182"/>
      <c r="Z127" s="182"/>
      <c r="AA127" s="153" t="n">
        <f aca="false">TblImps[[#This Row],[Real time]]</f>
        <v>45434.875</v>
      </c>
      <c r="AB127" s="69" t="n">
        <f aca="false">TblMili[[#This Row],[Draftees]]</f>
        <v>3717</v>
      </c>
      <c r="AC127" s="69" t="n">
        <f aca="false">TblProd[[#This Row],[Platinum]]</f>
        <v>1949974</v>
      </c>
      <c r="AD127" s="245"/>
      <c r="AE127" s="151" t="n">
        <f aca="false">TblExplore[[#This Row],[Land]]-TblExplore[[#This Row],[Land Bonus]]*20</f>
        <v>700</v>
      </c>
      <c r="AF127" s="69" t="n">
        <f aca="false">ROUND(MAX(0.6*TblExplore[[#This Row],[Land-DB]]^1.299,850)*(1+ tech_2_6*Techs!AC127 + tech_2_9*Techs!AF127 + tech_3_7*Techs!AN127 + Overview!$I$32),0)</f>
        <v>2978</v>
      </c>
      <c r="AG12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7" s="69" t="n">
        <f aca="false">SUM(TblExplore[[#This Row],[Plains Explore]:[Water Explore]])*TblExplore[[#This Row],[Plat/acre]]</f>
        <v>0</v>
      </c>
      <c r="AI127" s="69" t="n">
        <f aca="false">SUM(TblExplore[[#This Row],[Plains Explore]:[Water Explore]])*TblExplore[[#This Row],[Draftees/acre]]</f>
        <v>0</v>
      </c>
      <c r="AJ127" s="151" t="n">
        <f aca="false">_xlfn.FLOOR.MATH(MIN(TblExplore[[#This Row],[Platinum]]/TblExplore[[#This Row],[Plat/acre]],TblExplore[[#This Row],[Draftees]]/TblExplore[[#This Row],[Draftees/acre]]))</f>
        <v>531</v>
      </c>
    </row>
    <row r="128" customFormat="false" ht="12.75" hidden="false" customHeight="false" outlineLevel="0" collapsed="false">
      <c r="A128" s="170" t="n">
        <f aca="false">TblRezone[[#This Row],[Hour]]</f>
        <v>125</v>
      </c>
      <c r="B128" s="181" t="n">
        <f aca="false">TblConstr[[#This Row],[Land]]</f>
        <v>700</v>
      </c>
      <c r="C128" s="245"/>
      <c r="D128" s="246" t="n">
        <f aca="false">TblConstr[[#This Row],[Plain]]</f>
        <v>0</v>
      </c>
      <c r="E128" s="193" t="n">
        <f aca="false">TblConstr[[#This Row],[Forest]]</f>
        <v>0</v>
      </c>
      <c r="F128" s="200" t="n">
        <f aca="false">TblConstr[[#This Row],[Mountain]]</f>
        <v>0</v>
      </c>
      <c r="G128" s="201" t="n">
        <f aca="false">TblConstr[[#This Row],[Hill]]</f>
        <v>0</v>
      </c>
      <c r="H128" s="202" t="n">
        <f aca="false">TblConstr[[#This Row],[Swamp]]</f>
        <v>0</v>
      </c>
      <c r="I128" s="197" t="n">
        <f aca="false">TblConstr[[#This Row],[Cavern]]</f>
        <v>0</v>
      </c>
      <c r="J128" s="198" t="n">
        <f aca="false">TblConstr[[#This Row],[Water]]</f>
        <v>0</v>
      </c>
      <c r="K128" s="4"/>
      <c r="L128" s="4" t="n">
        <v>5</v>
      </c>
      <c r="M128" s="4" t="n">
        <v>419</v>
      </c>
      <c r="N128" s="247" t="n">
        <f aca="false">TblMili[[#This Row],[Smithies]]</f>
        <v>0.18</v>
      </c>
      <c r="O128" s="247" t="n">
        <f aca="false">TblPop[[#This Row],[Employment]]</f>
        <v>1</v>
      </c>
      <c r="P128" s="247" t="n">
        <f aca="false">TblImps[[#This Row],[Population]]</f>
        <v>1</v>
      </c>
      <c r="Q128" s="181" t="n">
        <f aca="false">TblExplore[[#This Row],[Land]]</f>
        <v>700</v>
      </c>
      <c r="R128" s="170" t="n">
        <f aca="false">TblExplore[[#This Row],[Hour]]</f>
        <v>125</v>
      </c>
      <c r="S128" s="248"/>
      <c r="T128" s="182"/>
      <c r="U128" s="182"/>
      <c r="V128" s="182"/>
      <c r="W128" s="182"/>
      <c r="X128" s="182"/>
      <c r="Y128" s="182"/>
      <c r="Z128" s="182"/>
      <c r="AA128" s="153" t="n">
        <f aca="false">TblImps[[#This Row],[Real time]]</f>
        <v>45434.9166666667</v>
      </c>
      <c r="AB128" s="69" t="n">
        <f aca="false">TblMili[[#This Row],[Draftees]]</f>
        <v>3777</v>
      </c>
      <c r="AC128" s="69" t="n">
        <f aca="false">TblProd[[#This Row],[Platinum]]</f>
        <v>1978543</v>
      </c>
      <c r="AD128" s="245"/>
      <c r="AE128" s="151" t="n">
        <f aca="false">TblExplore[[#This Row],[Land]]-TblExplore[[#This Row],[Land Bonus]]*20</f>
        <v>700</v>
      </c>
      <c r="AF128" s="69" t="n">
        <f aca="false">ROUND(MAX(0.6*TblExplore[[#This Row],[Land-DB]]^1.299,850)*(1+ tech_2_6*Techs!AC128 + tech_2_9*Techs!AF128 + tech_3_7*Techs!AN128 + Overview!$I$32),0)</f>
        <v>2978</v>
      </c>
      <c r="AG12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8" s="69" t="n">
        <f aca="false">SUM(TblExplore[[#This Row],[Plains Explore]:[Water Explore]])*TblExplore[[#This Row],[Plat/acre]]</f>
        <v>0</v>
      </c>
      <c r="AI128" s="69" t="n">
        <f aca="false">SUM(TblExplore[[#This Row],[Plains Explore]:[Water Explore]])*TblExplore[[#This Row],[Draftees/acre]]</f>
        <v>0</v>
      </c>
      <c r="AJ128" s="151" t="n">
        <f aca="false">_xlfn.FLOOR.MATH(MIN(TblExplore[[#This Row],[Platinum]]/TblExplore[[#This Row],[Plat/acre]],TblExplore[[#This Row],[Draftees]]/TblExplore[[#This Row],[Draftees/acre]]))</f>
        <v>539</v>
      </c>
    </row>
    <row r="129" customFormat="false" ht="12.75" hidden="false" customHeight="false" outlineLevel="0" collapsed="false">
      <c r="A129" s="170" t="n">
        <f aca="false">TblRezone[[#This Row],[Hour]]</f>
        <v>126</v>
      </c>
      <c r="B129" s="181" t="n">
        <f aca="false">TblConstr[[#This Row],[Land]]</f>
        <v>700</v>
      </c>
      <c r="C129" s="245"/>
      <c r="D129" s="246" t="n">
        <f aca="false">TblConstr[[#This Row],[Plain]]</f>
        <v>0</v>
      </c>
      <c r="E129" s="193" t="n">
        <f aca="false">TblConstr[[#This Row],[Forest]]</f>
        <v>0</v>
      </c>
      <c r="F129" s="200" t="n">
        <f aca="false">TblConstr[[#This Row],[Mountain]]</f>
        <v>0</v>
      </c>
      <c r="G129" s="201" t="n">
        <f aca="false">TblConstr[[#This Row],[Hill]]</f>
        <v>0</v>
      </c>
      <c r="H129" s="202" t="n">
        <f aca="false">TblConstr[[#This Row],[Swamp]]</f>
        <v>0</v>
      </c>
      <c r="I129" s="197" t="n">
        <f aca="false">TblConstr[[#This Row],[Cavern]]</f>
        <v>0</v>
      </c>
      <c r="J129" s="198" t="n">
        <f aca="false">TblConstr[[#This Row],[Water]]</f>
        <v>0</v>
      </c>
      <c r="K129" s="4"/>
      <c r="L129" s="4" t="n">
        <v>6</v>
      </c>
      <c r="M129" s="4" t="n">
        <v>632</v>
      </c>
      <c r="N129" s="247" t="n">
        <f aca="false">TblMili[[#This Row],[Smithies]]</f>
        <v>0.18</v>
      </c>
      <c r="O129" s="247" t="n">
        <f aca="false">TblPop[[#This Row],[Employment]]</f>
        <v>1</v>
      </c>
      <c r="P129" s="247" t="n">
        <f aca="false">TblImps[[#This Row],[Population]]</f>
        <v>1</v>
      </c>
      <c r="Q129" s="181" t="n">
        <f aca="false">TblExplore[[#This Row],[Land]]</f>
        <v>700</v>
      </c>
      <c r="R129" s="170" t="n">
        <f aca="false">TblExplore[[#This Row],[Hour]]</f>
        <v>126</v>
      </c>
      <c r="S129" s="248"/>
      <c r="T129" s="182"/>
      <c r="U129" s="182"/>
      <c r="V129" s="182"/>
      <c r="W129" s="182"/>
      <c r="X129" s="182"/>
      <c r="Y129" s="182"/>
      <c r="Z129" s="182"/>
      <c r="AA129" s="153" t="n">
        <f aca="false">TblImps[[#This Row],[Real time]]</f>
        <v>45434.9583333333</v>
      </c>
      <c r="AB129" s="69" t="n">
        <f aca="false">TblMili[[#This Row],[Draftees]]</f>
        <v>3836</v>
      </c>
      <c r="AC129" s="69" t="n">
        <f aca="false">TblProd[[#This Row],[Platinum]]</f>
        <v>2006950</v>
      </c>
      <c r="AD129" s="245"/>
      <c r="AE129" s="151" t="n">
        <f aca="false">TblExplore[[#This Row],[Land]]-TblExplore[[#This Row],[Land Bonus]]*20</f>
        <v>700</v>
      </c>
      <c r="AF129" s="69" t="n">
        <f aca="false">ROUND(MAX(0.6*TblExplore[[#This Row],[Land-DB]]^1.299,850)*(1+ tech_2_6*Techs!AC129 + tech_2_9*Techs!AF129 + tech_3_7*Techs!AN129 + Overview!$I$32),0)</f>
        <v>2978</v>
      </c>
      <c r="AG12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9" s="69" t="n">
        <f aca="false">SUM(TblExplore[[#This Row],[Plains Explore]:[Water Explore]])*TblExplore[[#This Row],[Plat/acre]]</f>
        <v>0</v>
      </c>
      <c r="AI129" s="69" t="n">
        <f aca="false">SUM(TblExplore[[#This Row],[Plains Explore]:[Water Explore]])*TblExplore[[#This Row],[Draftees/acre]]</f>
        <v>0</v>
      </c>
      <c r="AJ129" s="151" t="n">
        <f aca="false">_xlfn.FLOOR.MATH(MIN(TblExplore[[#This Row],[Platinum]]/TblExplore[[#This Row],[Plat/acre]],TblExplore[[#This Row],[Draftees]]/TblExplore[[#This Row],[Draftees/acre]]))</f>
        <v>548</v>
      </c>
    </row>
    <row r="130" customFormat="false" ht="12.75" hidden="false" customHeight="false" outlineLevel="0" collapsed="false">
      <c r="A130" s="170" t="n">
        <f aca="false">TblRezone[[#This Row],[Hour]]</f>
        <v>127</v>
      </c>
      <c r="B130" s="181" t="n">
        <f aca="false">TblConstr[[#This Row],[Land]]</f>
        <v>700</v>
      </c>
      <c r="C130" s="245"/>
      <c r="D130" s="246" t="n">
        <f aca="false">TblConstr[[#This Row],[Plain]]</f>
        <v>0</v>
      </c>
      <c r="E130" s="193" t="n">
        <f aca="false">TblConstr[[#This Row],[Forest]]</f>
        <v>0</v>
      </c>
      <c r="F130" s="200" t="n">
        <f aca="false">TblConstr[[#This Row],[Mountain]]</f>
        <v>0</v>
      </c>
      <c r="G130" s="201" t="n">
        <f aca="false">TblConstr[[#This Row],[Hill]]</f>
        <v>0</v>
      </c>
      <c r="H130" s="202" t="n">
        <f aca="false">TblConstr[[#This Row],[Swamp]]</f>
        <v>0</v>
      </c>
      <c r="I130" s="197" t="n">
        <f aca="false">TblConstr[[#This Row],[Cavern]]</f>
        <v>0</v>
      </c>
      <c r="J130" s="198" t="n">
        <f aca="false">TblConstr[[#This Row],[Water]]</f>
        <v>0</v>
      </c>
      <c r="K130" s="4"/>
      <c r="L130" s="4" t="n">
        <v>7</v>
      </c>
      <c r="M130" s="4" t="n">
        <v>836</v>
      </c>
      <c r="N130" s="247" t="n">
        <f aca="false">TblMili[[#This Row],[Smithies]]</f>
        <v>0.18</v>
      </c>
      <c r="O130" s="247" t="n">
        <f aca="false">TblPop[[#This Row],[Employment]]</f>
        <v>1</v>
      </c>
      <c r="P130" s="247" t="n">
        <f aca="false">TblImps[[#This Row],[Population]]</f>
        <v>1</v>
      </c>
      <c r="Q130" s="181" t="n">
        <f aca="false">TblExplore[[#This Row],[Land]]</f>
        <v>700</v>
      </c>
      <c r="R130" s="170" t="n">
        <f aca="false">TblExplore[[#This Row],[Hour]]</f>
        <v>127</v>
      </c>
      <c r="S130" s="248"/>
      <c r="T130" s="182"/>
      <c r="U130" s="182"/>
      <c r="V130" s="182"/>
      <c r="W130" s="182"/>
      <c r="X130" s="182"/>
      <c r="Y130" s="182"/>
      <c r="Z130" s="182"/>
      <c r="AA130" s="153" t="n">
        <f aca="false">TblImps[[#This Row],[Real time]]</f>
        <v>45435</v>
      </c>
      <c r="AB130" s="69" t="n">
        <f aca="false">TblMili[[#This Row],[Draftees]]</f>
        <v>3895</v>
      </c>
      <c r="AC130" s="69" t="n">
        <f aca="false">TblProd[[#This Row],[Platinum]]</f>
        <v>2035198</v>
      </c>
      <c r="AD130" s="245"/>
      <c r="AE130" s="151" t="n">
        <f aca="false">TblExplore[[#This Row],[Land]]-TblExplore[[#This Row],[Land Bonus]]*20</f>
        <v>700</v>
      </c>
      <c r="AF130" s="69" t="n">
        <f aca="false">ROUND(MAX(0.6*TblExplore[[#This Row],[Land-DB]]^1.299,850)*(1+ tech_2_6*Techs!AC130 + tech_2_9*Techs!AF130 + tech_3_7*Techs!AN130 + Overview!$I$32),0)</f>
        <v>2978</v>
      </c>
      <c r="AG13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0" s="69" t="n">
        <f aca="false">SUM(TblExplore[[#This Row],[Plains Explore]:[Water Explore]])*TblExplore[[#This Row],[Plat/acre]]</f>
        <v>0</v>
      </c>
      <c r="AI130" s="69" t="n">
        <f aca="false">SUM(TblExplore[[#This Row],[Plains Explore]:[Water Explore]])*TblExplore[[#This Row],[Draftees/acre]]</f>
        <v>0</v>
      </c>
      <c r="AJ130" s="151" t="n">
        <f aca="false">_xlfn.FLOOR.MATH(MIN(TblExplore[[#This Row],[Platinum]]/TblExplore[[#This Row],[Plat/acre]],TblExplore[[#This Row],[Draftees]]/TblExplore[[#This Row],[Draftees/acre]]))</f>
        <v>556</v>
      </c>
    </row>
    <row r="131" customFormat="false" ht="12.75" hidden="false" customHeight="false" outlineLevel="0" collapsed="false">
      <c r="A131" s="170" t="n">
        <f aca="false">TblRezone[[#This Row],[Hour]]</f>
        <v>128</v>
      </c>
      <c r="B131" s="181" t="n">
        <f aca="false">TblConstr[[#This Row],[Land]]</f>
        <v>700</v>
      </c>
      <c r="C131" s="245"/>
      <c r="D131" s="246" t="n">
        <f aca="false">TblConstr[[#This Row],[Plain]]</f>
        <v>0</v>
      </c>
      <c r="E131" s="193" t="n">
        <f aca="false">TblConstr[[#This Row],[Forest]]</f>
        <v>0</v>
      </c>
      <c r="F131" s="200" t="n">
        <f aca="false">TblConstr[[#This Row],[Mountain]]</f>
        <v>0</v>
      </c>
      <c r="G131" s="201" t="n">
        <f aca="false">TblConstr[[#This Row],[Hill]]</f>
        <v>0</v>
      </c>
      <c r="H131" s="202" t="n">
        <f aca="false">TblConstr[[#This Row],[Swamp]]</f>
        <v>0</v>
      </c>
      <c r="I131" s="197" t="n">
        <f aca="false">TblConstr[[#This Row],[Cavern]]</f>
        <v>0</v>
      </c>
      <c r="J131" s="198" t="n">
        <f aca="false">TblConstr[[#This Row],[Water]]</f>
        <v>0</v>
      </c>
      <c r="K131" s="4"/>
      <c r="L131" s="4" t="n">
        <v>8</v>
      </c>
      <c r="M131" s="4" t="n">
        <v>1035</v>
      </c>
      <c r="N131" s="247" t="n">
        <f aca="false">TblMili[[#This Row],[Smithies]]</f>
        <v>0.18</v>
      </c>
      <c r="O131" s="247" t="n">
        <f aca="false">TblPop[[#This Row],[Employment]]</f>
        <v>1</v>
      </c>
      <c r="P131" s="247" t="n">
        <f aca="false">TblImps[[#This Row],[Population]]</f>
        <v>1</v>
      </c>
      <c r="Q131" s="181" t="n">
        <f aca="false">TblExplore[[#This Row],[Land]]</f>
        <v>700</v>
      </c>
      <c r="R131" s="170" t="n">
        <f aca="false">TblExplore[[#This Row],[Hour]]</f>
        <v>128</v>
      </c>
      <c r="S131" s="248"/>
      <c r="T131" s="182"/>
      <c r="U131" s="182"/>
      <c r="V131" s="182"/>
      <c r="W131" s="182"/>
      <c r="X131" s="182"/>
      <c r="Y131" s="182"/>
      <c r="Z131" s="182"/>
      <c r="AA131" s="153" t="n">
        <f aca="false">TblImps[[#This Row],[Real time]]</f>
        <v>45435.0416666667</v>
      </c>
      <c r="AB131" s="69" t="n">
        <f aca="false">TblMili[[#This Row],[Draftees]]</f>
        <v>3953</v>
      </c>
      <c r="AC131" s="69" t="n">
        <f aca="false">TblProd[[#This Row],[Platinum]]</f>
        <v>2063287</v>
      </c>
      <c r="AD131" s="245"/>
      <c r="AE131" s="151" t="n">
        <f aca="false">TblExplore[[#This Row],[Land]]-TblExplore[[#This Row],[Land Bonus]]*20</f>
        <v>700</v>
      </c>
      <c r="AF131" s="69" t="n">
        <f aca="false">ROUND(MAX(0.6*TblExplore[[#This Row],[Land-DB]]^1.299,850)*(1+ tech_2_6*Techs!AC131 + tech_2_9*Techs!AF131 + tech_3_7*Techs!AN131 + Overview!$I$32),0)</f>
        <v>2978</v>
      </c>
      <c r="AG13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1" s="69" t="n">
        <f aca="false">SUM(TblExplore[[#This Row],[Plains Explore]:[Water Explore]])*TblExplore[[#This Row],[Plat/acre]]</f>
        <v>0</v>
      </c>
      <c r="AI131" s="69" t="n">
        <f aca="false">SUM(TblExplore[[#This Row],[Plains Explore]:[Water Explore]])*TblExplore[[#This Row],[Draftees/acre]]</f>
        <v>0</v>
      </c>
      <c r="AJ131" s="151" t="n">
        <f aca="false">_xlfn.FLOOR.MATH(MIN(TblExplore[[#This Row],[Platinum]]/TblExplore[[#This Row],[Plat/acre]],TblExplore[[#This Row],[Draftees]]/TblExplore[[#This Row],[Draftees/acre]]))</f>
        <v>564</v>
      </c>
    </row>
    <row r="132" customFormat="false" ht="12.75" hidden="false" customHeight="false" outlineLevel="0" collapsed="false">
      <c r="A132" s="170" t="n">
        <f aca="false">TblRezone[[#This Row],[Hour]]</f>
        <v>129</v>
      </c>
      <c r="B132" s="181" t="n">
        <f aca="false">TblConstr[[#This Row],[Land]]</f>
        <v>700</v>
      </c>
      <c r="C132" s="245"/>
      <c r="D132" s="246" t="n">
        <f aca="false">TblConstr[[#This Row],[Plain]]</f>
        <v>0</v>
      </c>
      <c r="E132" s="193" t="n">
        <f aca="false">TblConstr[[#This Row],[Forest]]</f>
        <v>0</v>
      </c>
      <c r="F132" s="200" t="n">
        <f aca="false">TblConstr[[#This Row],[Mountain]]</f>
        <v>0</v>
      </c>
      <c r="G132" s="201" t="n">
        <f aca="false">TblConstr[[#This Row],[Hill]]</f>
        <v>0</v>
      </c>
      <c r="H132" s="202" t="n">
        <f aca="false">TblConstr[[#This Row],[Swamp]]</f>
        <v>0</v>
      </c>
      <c r="I132" s="197" t="n">
        <f aca="false">TblConstr[[#This Row],[Cavern]]</f>
        <v>0</v>
      </c>
      <c r="J132" s="198" t="n">
        <f aca="false">TblConstr[[#This Row],[Water]]</f>
        <v>0</v>
      </c>
      <c r="K132" s="4"/>
      <c r="L132" s="4" t="n">
        <v>9</v>
      </c>
      <c r="M132" s="4" t="n">
        <v>1229</v>
      </c>
      <c r="N132" s="247" t="n">
        <f aca="false">TblMili[[#This Row],[Smithies]]</f>
        <v>0.18</v>
      </c>
      <c r="O132" s="247" t="n">
        <f aca="false">TblPop[[#This Row],[Employment]]</f>
        <v>1</v>
      </c>
      <c r="P132" s="247" t="n">
        <f aca="false">TblImps[[#This Row],[Population]]</f>
        <v>1</v>
      </c>
      <c r="Q132" s="181" t="n">
        <f aca="false">TblExplore[[#This Row],[Land]]</f>
        <v>700</v>
      </c>
      <c r="R132" s="170" t="n">
        <f aca="false">TblExplore[[#This Row],[Hour]]</f>
        <v>129</v>
      </c>
      <c r="S132" s="248"/>
      <c r="T132" s="182"/>
      <c r="U132" s="182"/>
      <c r="V132" s="182"/>
      <c r="W132" s="182"/>
      <c r="X132" s="182"/>
      <c r="Y132" s="182"/>
      <c r="Z132" s="182"/>
      <c r="AA132" s="153" t="n">
        <f aca="false">TblImps[[#This Row],[Real time]]</f>
        <v>45435.0833333333</v>
      </c>
      <c r="AB132" s="69" t="n">
        <f aca="false">TblMili[[#This Row],[Draftees]]</f>
        <v>4011</v>
      </c>
      <c r="AC132" s="69" t="n">
        <f aca="false">TblProd[[#This Row],[Platinum]]</f>
        <v>2091219</v>
      </c>
      <c r="AD132" s="245"/>
      <c r="AE132" s="151" t="n">
        <f aca="false">TblExplore[[#This Row],[Land]]-TblExplore[[#This Row],[Land Bonus]]*20</f>
        <v>700</v>
      </c>
      <c r="AF132" s="69" t="n">
        <f aca="false">ROUND(MAX(0.6*TblExplore[[#This Row],[Land-DB]]^1.299,850)*(1+ tech_2_6*Techs!AC132 + tech_2_9*Techs!AF132 + tech_3_7*Techs!AN132 + Overview!$I$32),0)</f>
        <v>2978</v>
      </c>
      <c r="AG13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2" s="69" t="n">
        <f aca="false">SUM(TblExplore[[#This Row],[Plains Explore]:[Water Explore]])*TblExplore[[#This Row],[Plat/acre]]</f>
        <v>0</v>
      </c>
      <c r="AI132" s="69" t="n">
        <f aca="false">SUM(TblExplore[[#This Row],[Plains Explore]:[Water Explore]])*TblExplore[[#This Row],[Draftees/acre]]</f>
        <v>0</v>
      </c>
      <c r="AJ132" s="151" t="n">
        <f aca="false">_xlfn.FLOOR.MATH(MIN(TblExplore[[#This Row],[Platinum]]/TblExplore[[#This Row],[Plat/acre]],TblExplore[[#This Row],[Draftees]]/TblExplore[[#This Row],[Draftees/acre]]))</f>
        <v>573</v>
      </c>
    </row>
    <row r="133" customFormat="false" ht="12.75" hidden="false" customHeight="false" outlineLevel="0" collapsed="false">
      <c r="A133" s="170" t="n">
        <f aca="false">TblRezone[[#This Row],[Hour]]</f>
        <v>130</v>
      </c>
      <c r="B133" s="181" t="n">
        <f aca="false">TblConstr[[#This Row],[Land]]</f>
        <v>700</v>
      </c>
      <c r="C133" s="245"/>
      <c r="D133" s="246" t="n">
        <f aca="false">TblConstr[[#This Row],[Plain]]</f>
        <v>0</v>
      </c>
      <c r="E133" s="193" t="n">
        <f aca="false">TblConstr[[#This Row],[Forest]]</f>
        <v>0</v>
      </c>
      <c r="F133" s="200" t="n">
        <f aca="false">TblConstr[[#This Row],[Mountain]]</f>
        <v>0</v>
      </c>
      <c r="G133" s="201" t="n">
        <f aca="false">TblConstr[[#This Row],[Hill]]</f>
        <v>0</v>
      </c>
      <c r="H133" s="202" t="n">
        <f aca="false">TblConstr[[#This Row],[Swamp]]</f>
        <v>0</v>
      </c>
      <c r="I133" s="197" t="n">
        <f aca="false">TblConstr[[#This Row],[Cavern]]</f>
        <v>0</v>
      </c>
      <c r="J133" s="198" t="n">
        <f aca="false">TblConstr[[#This Row],[Water]]</f>
        <v>0</v>
      </c>
      <c r="K133" s="4"/>
      <c r="L133" s="4" t="n">
        <v>10</v>
      </c>
      <c r="M133" s="4" t="n">
        <v>1421</v>
      </c>
      <c r="N133" s="247" t="n">
        <f aca="false">TblMili[[#This Row],[Smithies]]</f>
        <v>0.18</v>
      </c>
      <c r="O133" s="247" t="n">
        <f aca="false">TblPop[[#This Row],[Employment]]</f>
        <v>1</v>
      </c>
      <c r="P133" s="247" t="n">
        <f aca="false">TblImps[[#This Row],[Population]]</f>
        <v>1</v>
      </c>
      <c r="Q133" s="181" t="n">
        <f aca="false">TblExplore[[#This Row],[Land]]</f>
        <v>700</v>
      </c>
      <c r="R133" s="170" t="n">
        <f aca="false">TblExplore[[#This Row],[Hour]]</f>
        <v>130</v>
      </c>
      <c r="S133" s="248"/>
      <c r="T133" s="182"/>
      <c r="U133" s="182"/>
      <c r="V133" s="182"/>
      <c r="W133" s="182"/>
      <c r="X133" s="182"/>
      <c r="Y133" s="182"/>
      <c r="Z133" s="182"/>
      <c r="AA133" s="153" t="n">
        <f aca="false">TblImps[[#This Row],[Real time]]</f>
        <v>45435.125</v>
      </c>
      <c r="AB133" s="69" t="n">
        <f aca="false">TblMili[[#This Row],[Draftees]]</f>
        <v>4068</v>
      </c>
      <c r="AC133" s="69" t="n">
        <f aca="false">TblProd[[#This Row],[Platinum]]</f>
        <v>2118994</v>
      </c>
      <c r="AD133" s="245"/>
      <c r="AE133" s="151" t="n">
        <f aca="false">TblExplore[[#This Row],[Land]]-TblExplore[[#This Row],[Land Bonus]]*20</f>
        <v>700</v>
      </c>
      <c r="AF133" s="69" t="n">
        <f aca="false">ROUND(MAX(0.6*TblExplore[[#This Row],[Land-DB]]^1.299,850)*(1+ tech_2_6*Techs!AC133 + tech_2_9*Techs!AF133 + tech_3_7*Techs!AN133 + Overview!$I$32),0)</f>
        <v>2978</v>
      </c>
      <c r="AG13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3" s="69" t="n">
        <f aca="false">SUM(TblExplore[[#This Row],[Plains Explore]:[Water Explore]])*TblExplore[[#This Row],[Plat/acre]]</f>
        <v>0</v>
      </c>
      <c r="AI133" s="69" t="n">
        <f aca="false">SUM(TblExplore[[#This Row],[Plains Explore]:[Water Explore]])*TblExplore[[#This Row],[Draftees/acre]]</f>
        <v>0</v>
      </c>
      <c r="AJ133" s="151" t="n">
        <f aca="false">_xlfn.FLOOR.MATH(MIN(TblExplore[[#This Row],[Platinum]]/TblExplore[[#This Row],[Plat/acre]],TblExplore[[#This Row],[Draftees]]/TblExplore[[#This Row],[Draftees/acre]]))</f>
        <v>581</v>
      </c>
    </row>
    <row r="134" customFormat="false" ht="12.75" hidden="false" customHeight="false" outlineLevel="0" collapsed="false">
      <c r="A134" s="170" t="n">
        <f aca="false">TblRezone[[#This Row],[Hour]]</f>
        <v>131</v>
      </c>
      <c r="B134" s="181" t="n">
        <f aca="false">TblConstr[[#This Row],[Land]]</f>
        <v>700</v>
      </c>
      <c r="C134" s="245"/>
      <c r="D134" s="246" t="n">
        <f aca="false">TblConstr[[#This Row],[Plain]]</f>
        <v>0</v>
      </c>
      <c r="E134" s="193" t="n">
        <f aca="false">TblConstr[[#This Row],[Forest]]</f>
        <v>0</v>
      </c>
      <c r="F134" s="200" t="n">
        <f aca="false">TblConstr[[#This Row],[Mountain]]</f>
        <v>0</v>
      </c>
      <c r="G134" s="201" t="n">
        <f aca="false">TblConstr[[#This Row],[Hill]]</f>
        <v>0</v>
      </c>
      <c r="H134" s="202" t="n">
        <f aca="false">TblConstr[[#This Row],[Swamp]]</f>
        <v>0</v>
      </c>
      <c r="I134" s="197" t="n">
        <f aca="false">TblConstr[[#This Row],[Cavern]]</f>
        <v>0</v>
      </c>
      <c r="J134" s="198" t="n">
        <f aca="false">TblConstr[[#This Row],[Water]]</f>
        <v>0</v>
      </c>
      <c r="K134" s="4"/>
      <c r="L134" s="4" t="n">
        <v>11</v>
      </c>
      <c r="M134" s="4" t="n">
        <v>1610</v>
      </c>
      <c r="N134" s="247" t="n">
        <f aca="false">TblMili[[#This Row],[Smithies]]</f>
        <v>0.18</v>
      </c>
      <c r="O134" s="247" t="n">
        <f aca="false">TblPop[[#This Row],[Employment]]</f>
        <v>1</v>
      </c>
      <c r="P134" s="247" t="n">
        <f aca="false">TblImps[[#This Row],[Population]]</f>
        <v>1</v>
      </c>
      <c r="Q134" s="181" t="n">
        <f aca="false">TblExplore[[#This Row],[Land]]</f>
        <v>700</v>
      </c>
      <c r="R134" s="170" t="n">
        <f aca="false">TblExplore[[#This Row],[Hour]]</f>
        <v>131</v>
      </c>
      <c r="S134" s="248"/>
      <c r="T134" s="182"/>
      <c r="U134" s="182"/>
      <c r="V134" s="182"/>
      <c r="W134" s="182"/>
      <c r="X134" s="182"/>
      <c r="Y134" s="182"/>
      <c r="Z134" s="182"/>
      <c r="AA134" s="153" t="n">
        <f aca="false">TblImps[[#This Row],[Real time]]</f>
        <v>45435.1666666667</v>
      </c>
      <c r="AB134" s="69" t="n">
        <f aca="false">TblMili[[#This Row],[Draftees]]</f>
        <v>4124</v>
      </c>
      <c r="AC134" s="69" t="n">
        <f aca="false">TblProd[[#This Row],[Platinum]]</f>
        <v>2146615</v>
      </c>
      <c r="AD134" s="245"/>
      <c r="AE134" s="151" t="n">
        <f aca="false">TblExplore[[#This Row],[Land]]-TblExplore[[#This Row],[Land Bonus]]*20</f>
        <v>700</v>
      </c>
      <c r="AF134" s="69" t="n">
        <f aca="false">ROUND(MAX(0.6*TblExplore[[#This Row],[Land-DB]]^1.299,850)*(1+ tech_2_6*Techs!AC134 + tech_2_9*Techs!AF134 + tech_3_7*Techs!AN134 + Overview!$I$32),0)</f>
        <v>2978</v>
      </c>
      <c r="AG13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4" s="69" t="n">
        <f aca="false">SUM(TblExplore[[#This Row],[Plains Explore]:[Water Explore]])*TblExplore[[#This Row],[Plat/acre]]</f>
        <v>0</v>
      </c>
      <c r="AI134" s="69" t="n">
        <f aca="false">SUM(TblExplore[[#This Row],[Plains Explore]:[Water Explore]])*TblExplore[[#This Row],[Draftees/acre]]</f>
        <v>0</v>
      </c>
      <c r="AJ134" s="151" t="n">
        <f aca="false">_xlfn.FLOOR.MATH(MIN(TblExplore[[#This Row],[Platinum]]/TblExplore[[#This Row],[Plat/acre]],TblExplore[[#This Row],[Draftees]]/TblExplore[[#This Row],[Draftees/acre]]))</f>
        <v>589</v>
      </c>
    </row>
    <row r="135" customFormat="false" ht="12.75" hidden="false" customHeight="false" outlineLevel="0" collapsed="false">
      <c r="A135" s="170" t="n">
        <f aca="false">TblRezone[[#This Row],[Hour]]</f>
        <v>132</v>
      </c>
      <c r="B135" s="181" t="n">
        <f aca="false">TblConstr[[#This Row],[Land]]</f>
        <v>700</v>
      </c>
      <c r="C135" s="245"/>
      <c r="D135" s="246" t="n">
        <f aca="false">TblConstr[[#This Row],[Plain]]</f>
        <v>0</v>
      </c>
      <c r="E135" s="193" t="n">
        <f aca="false">TblConstr[[#This Row],[Forest]]</f>
        <v>0</v>
      </c>
      <c r="F135" s="200" t="n">
        <f aca="false">TblConstr[[#This Row],[Mountain]]</f>
        <v>0</v>
      </c>
      <c r="G135" s="201" t="n">
        <f aca="false">TblConstr[[#This Row],[Hill]]</f>
        <v>0</v>
      </c>
      <c r="H135" s="202" t="n">
        <f aca="false">TblConstr[[#This Row],[Swamp]]</f>
        <v>0</v>
      </c>
      <c r="I135" s="197" t="n">
        <f aca="false">TblConstr[[#This Row],[Cavern]]</f>
        <v>0</v>
      </c>
      <c r="J135" s="198" t="n">
        <f aca="false">TblConstr[[#This Row],[Water]]</f>
        <v>0</v>
      </c>
      <c r="K135" s="4"/>
      <c r="L135" s="4" t="n">
        <v>12</v>
      </c>
      <c r="M135" s="4" t="n">
        <v>1798</v>
      </c>
      <c r="N135" s="247" t="n">
        <f aca="false">TblMili[[#This Row],[Smithies]]</f>
        <v>0.18</v>
      </c>
      <c r="O135" s="247" t="n">
        <f aca="false">TblPop[[#This Row],[Employment]]</f>
        <v>1</v>
      </c>
      <c r="P135" s="247" t="n">
        <f aca="false">TblImps[[#This Row],[Population]]</f>
        <v>1</v>
      </c>
      <c r="Q135" s="181" t="n">
        <f aca="false">TblExplore[[#This Row],[Land]]</f>
        <v>700</v>
      </c>
      <c r="R135" s="170" t="n">
        <f aca="false">TblExplore[[#This Row],[Hour]]</f>
        <v>132</v>
      </c>
      <c r="S135" s="248"/>
      <c r="T135" s="182"/>
      <c r="U135" s="182"/>
      <c r="V135" s="182"/>
      <c r="W135" s="182"/>
      <c r="X135" s="182"/>
      <c r="Y135" s="182"/>
      <c r="Z135" s="182"/>
      <c r="AA135" s="153" t="n">
        <f aca="false">TblImps[[#This Row],[Real time]]</f>
        <v>45435.2083333333</v>
      </c>
      <c r="AB135" s="69" t="n">
        <f aca="false">TblMili[[#This Row],[Draftees]]</f>
        <v>4180</v>
      </c>
      <c r="AC135" s="69" t="n">
        <f aca="false">TblProd[[#This Row],[Platinum]]</f>
        <v>2174085</v>
      </c>
      <c r="AD135" s="245"/>
      <c r="AE135" s="151" t="n">
        <f aca="false">TblExplore[[#This Row],[Land]]-TblExplore[[#This Row],[Land Bonus]]*20</f>
        <v>700</v>
      </c>
      <c r="AF135" s="69" t="n">
        <f aca="false">ROUND(MAX(0.6*TblExplore[[#This Row],[Land-DB]]^1.299,850)*(1+ tech_2_6*Techs!AC135 + tech_2_9*Techs!AF135 + tech_3_7*Techs!AN135 + Overview!$I$32),0)</f>
        <v>2978</v>
      </c>
      <c r="AG13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5" s="69" t="n">
        <f aca="false">SUM(TblExplore[[#This Row],[Plains Explore]:[Water Explore]])*TblExplore[[#This Row],[Plat/acre]]</f>
        <v>0</v>
      </c>
      <c r="AI135" s="69" t="n">
        <f aca="false">SUM(TblExplore[[#This Row],[Plains Explore]:[Water Explore]])*TblExplore[[#This Row],[Draftees/acre]]</f>
        <v>0</v>
      </c>
      <c r="AJ135" s="151" t="n">
        <f aca="false">_xlfn.FLOOR.MATH(MIN(TblExplore[[#This Row],[Platinum]]/TblExplore[[#This Row],[Plat/acre]],TblExplore[[#This Row],[Draftees]]/TblExplore[[#This Row],[Draftees/acre]]))</f>
        <v>597</v>
      </c>
    </row>
    <row r="136" customFormat="false" ht="12.75" hidden="false" customHeight="false" outlineLevel="0" collapsed="false">
      <c r="A136" s="170" t="n">
        <f aca="false">TblRezone[[#This Row],[Hour]]</f>
        <v>133</v>
      </c>
      <c r="B136" s="181" t="n">
        <f aca="false">TblConstr[[#This Row],[Land]]</f>
        <v>700</v>
      </c>
      <c r="C136" s="245"/>
      <c r="D136" s="246" t="n">
        <f aca="false">TblConstr[[#This Row],[Plain]]</f>
        <v>0</v>
      </c>
      <c r="E136" s="193" t="n">
        <f aca="false">TblConstr[[#This Row],[Forest]]</f>
        <v>0</v>
      </c>
      <c r="F136" s="200" t="n">
        <f aca="false">TblConstr[[#This Row],[Mountain]]</f>
        <v>0</v>
      </c>
      <c r="G136" s="201" t="n">
        <f aca="false">TblConstr[[#This Row],[Hill]]</f>
        <v>0</v>
      </c>
      <c r="H136" s="202" t="n">
        <f aca="false">TblConstr[[#This Row],[Swamp]]</f>
        <v>0</v>
      </c>
      <c r="I136" s="197" t="n">
        <f aca="false">TblConstr[[#This Row],[Cavern]]</f>
        <v>0</v>
      </c>
      <c r="J136" s="198" t="n">
        <f aca="false">TblConstr[[#This Row],[Water]]</f>
        <v>0</v>
      </c>
      <c r="K136" s="4"/>
      <c r="L136" s="4" t="n">
        <v>13</v>
      </c>
      <c r="M136" s="4" t="n">
        <v>1984</v>
      </c>
      <c r="N136" s="247" t="n">
        <f aca="false">TblMili[[#This Row],[Smithies]]</f>
        <v>0.18</v>
      </c>
      <c r="O136" s="247" t="n">
        <f aca="false">TblPop[[#This Row],[Employment]]</f>
        <v>0</v>
      </c>
      <c r="P136" s="247" t="n">
        <f aca="false">TblImps[[#This Row],[Population]]</f>
        <v>1</v>
      </c>
      <c r="Q136" s="181" t="n">
        <f aca="false">TblExplore[[#This Row],[Land]]</f>
        <v>700</v>
      </c>
      <c r="R136" s="170" t="n">
        <f aca="false">TblExplore[[#This Row],[Hour]]</f>
        <v>133</v>
      </c>
      <c r="S136" s="248"/>
      <c r="T136" s="182"/>
      <c r="U136" s="182"/>
      <c r="V136" s="182"/>
      <c r="W136" s="182"/>
      <c r="X136" s="182"/>
      <c r="Y136" s="182"/>
      <c r="Z136" s="182"/>
      <c r="AA136" s="153" t="n">
        <f aca="false">TblImps[[#This Row],[Real time]]</f>
        <v>45435.25</v>
      </c>
      <c r="AB136" s="69" t="n">
        <f aca="false">TblMili[[#This Row],[Draftees]]</f>
        <v>4235</v>
      </c>
      <c r="AC136" s="69" t="n">
        <f aca="false">TblProd[[#This Row],[Platinum]]</f>
        <v>2201404</v>
      </c>
      <c r="AD136" s="245"/>
      <c r="AE136" s="151" t="n">
        <f aca="false">TblExplore[[#This Row],[Land]]-TblExplore[[#This Row],[Land Bonus]]*20</f>
        <v>700</v>
      </c>
      <c r="AF136" s="69" t="n">
        <f aca="false">ROUND(MAX(0.6*TblExplore[[#This Row],[Land-DB]]^1.299,850)*(1+ tech_2_6*Techs!AC136 + tech_2_9*Techs!AF136 + tech_3_7*Techs!AN136 + Overview!$I$32),0)</f>
        <v>2978</v>
      </c>
      <c r="AG13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6" s="69" t="n">
        <f aca="false">SUM(TblExplore[[#This Row],[Plains Explore]:[Water Explore]])*TblExplore[[#This Row],[Plat/acre]]</f>
        <v>0</v>
      </c>
      <c r="AI136" s="69" t="n">
        <f aca="false">SUM(TblExplore[[#This Row],[Plains Explore]:[Water Explore]])*TblExplore[[#This Row],[Draftees/acre]]</f>
        <v>0</v>
      </c>
      <c r="AJ136" s="151" t="n">
        <f aca="false">_xlfn.FLOOR.MATH(MIN(TblExplore[[#This Row],[Platinum]]/TblExplore[[#This Row],[Plat/acre]],TblExplore[[#This Row],[Draftees]]/TblExplore[[#This Row],[Draftees/acre]]))</f>
        <v>605</v>
      </c>
    </row>
    <row r="1269" customFormat="false" ht="12.75" hidden="false" customHeight="false" outlineLevel="0" collapsed="false">
      <c r="A1269" s="86"/>
      <c r="B1269" s="140" t="s">
        <v>24</v>
      </c>
      <c r="C1269" s="140"/>
      <c r="L1269" s="109"/>
      <c r="M1269" s="109"/>
      <c r="Q1269" s="86"/>
    </row>
    <row r="1270" customFormat="false" ht="12.75" hidden="false" customHeight="false" outlineLevel="0" collapsed="false">
      <c r="A1270" s="86"/>
      <c r="B1270" s="124" t="n">
        <f aca="false">Overview!E17</f>
        <v>0</v>
      </c>
      <c r="C1270" s="124"/>
      <c r="L1270" s="109"/>
      <c r="M1270" s="109"/>
      <c r="Q1270" s="86"/>
    </row>
  </sheetData>
  <mergeCells count="3">
    <mergeCell ref="L1:Q1"/>
    <mergeCell ref="AB1:AC1"/>
    <mergeCell ref="B1269:C1269"/>
  </mergeCells>
  <conditionalFormatting sqref="W24:W26">
    <cfRule type="expression" priority="2" aboveAverage="0" equalAverage="0" bottom="0" percent="0" rank="0" text="" dxfId="63">
      <formula>ROW()-3=$B$1270</formula>
    </cfRule>
    <cfRule type="expression" priority="3" aboveAverage="0" equalAverage="0" bottom="0" percent="0" rank="0" text="" dxfId="64">
      <formula>$A24=73</formula>
    </cfRule>
    <cfRule type="expression" priority="4" aboveAverage="0" equalAverage="0" bottom="0" percent="0" rank="0" text="" dxfId="65">
      <formula>ROUND(($A24-1)/12,0)=INT($A24-1)/12</formula>
    </cfRule>
  </conditionalFormatting>
  <conditionalFormatting sqref="W13:W15">
    <cfRule type="expression" priority="5" aboveAverage="0" equalAverage="0" bottom="0" percent="0" rank="0" text="" dxfId="66">
      <formula>ROW()-3=$A$1270</formula>
    </cfRule>
    <cfRule type="expression" priority="6" aboveAverage="0" equalAverage="0" bottom="0" percent="0" rank="0" text="" dxfId="67">
      <formula>$A13=73</formula>
    </cfRule>
    <cfRule type="expression" priority="7" aboveAverage="0" equalAverage="0" bottom="0" percent="0" rank="0" text="" dxfId="68">
      <formula>ROUND(($A13-1)/12,0)=INT($A13-1)/12</formula>
    </cfRule>
  </conditionalFormatting>
  <conditionalFormatting sqref="A4:J136 N4:AJ12 N49:AJ136 N41:S48 U41:AJ48 N16:AJ23 N13:V15 X13:AJ15 N27:AJ40 N24:V26 X24:AJ26">
    <cfRule type="expression" priority="8" aboveAverage="0" equalAverage="0" bottom="0" percent="0" rank="0" text="" dxfId="69">
      <formula>ROW()-3=$B$1270</formula>
    </cfRule>
  </conditionalFormatting>
  <conditionalFormatting sqref="D4:J136">
    <cfRule type="expression" priority="9" aboveAverage="0" equalAverage="0" bottom="0" percent="0" rank="0" text="" dxfId="70">
      <formula>OR(ROW()-3=$B$1270,D4&lt;0)</formula>
    </cfRule>
  </conditionalFormatting>
  <conditionalFormatting sqref="A4:AJ12 A49:AJ136 A41:S48 U41:AJ48 A16:AJ23 A13:V15 X13:AJ15 A27:AJ40 A24:V26 X24:AJ26">
    <cfRule type="expression" priority="10" aboveAverage="0" equalAverage="0" bottom="0" percent="0" rank="0" text="" dxfId="71">
      <formula>$A4=73</formula>
    </cfRule>
    <cfRule type="expression" priority="11" aboveAverage="0" equalAverage="0" bottom="0" percent="0" rank="0" text="" dxfId="72">
      <formula>ROUND(($A4-1)/12,0)=INT($A4-1)/12</formula>
    </cfRule>
  </conditionalFormatting>
  <conditionalFormatting sqref="C1270 D1269:AJ1270 A1269:B1270">
    <cfRule type="expression" priority="12" aboveAverage="0" equalAverage="0" bottom="0" percent="0" rank="0" text="" dxfId="73">
      <formula>$B$1270&gt;144</formula>
    </cfRule>
  </conditionalFormatting>
  <conditionalFormatting sqref="M26:M32 M98:M104">
    <cfRule type="expression" priority="13" aboveAverage="0" equalAverage="0" bottom="0" percent="0" rank="0" text="" dxfId="74">
      <formula>$M26&lt;$M17</formula>
    </cfRule>
    <cfRule type="expression" priority="14" aboveAverage="0" equalAverage="0" bottom="0" percent="0" rank="0" text="" dxfId="75">
      <formula>$M17&lt;$M26</formula>
    </cfRule>
  </conditionalFormatting>
  <conditionalFormatting sqref="A1:XFD3">
    <cfRule type="expression" priority="15" aboveAverage="0" equalAverage="0" bottom="0" percent="0" rank="0" text="" dxfId="76">
      <formula>$B$1270&lt;0</formula>
    </cfRule>
  </conditionalFormatting>
  <dataValidations count="1">
    <dataValidation allowBlank="true" errorStyle="stop" operator="equal" showDropDown="false" showErrorMessage="true" showInputMessage="true" sqref="S4:S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6" id="{A1BF341E-C46D-4041-A5DD-FF2151A6C859}">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C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4" activePane="bottomLeft" state="frozen"/>
      <selection pane="topLeft" activeCell="A1" activeCellId="0" sqref="A1"/>
      <selection pane="bottomLeft" activeCell="L17" activeCellId="0" sqref="L17"/>
    </sheetView>
  </sheetViews>
  <sheetFormatPr defaultColWidth="9.1484375" defaultRowHeight="12.75" zeroHeight="false" outlineLevelRow="0" outlineLevelCol="0"/>
  <cols>
    <col collapsed="false" customWidth="true" hidden="false" outlineLevel="0" max="1" min="1" style="1" width="7.71"/>
    <col collapsed="false" customWidth="true" hidden="false" outlineLevel="0" max="2" min="2" style="1" width="6.85"/>
    <col collapsed="false" customWidth="true" hidden="false" outlineLevel="0" max="3" min="3" style="1" width="7.15"/>
    <col collapsed="false" customWidth="true" hidden="false" outlineLevel="0" max="4" min="4" style="1" width="10.57"/>
    <col collapsed="false" customWidth="true" hidden="false" outlineLevel="0" max="5" min="5" style="1" width="4.86"/>
    <col collapsed="false" customWidth="true" hidden="false" outlineLevel="0" max="7" min="6" style="1" width="8"/>
    <col collapsed="false" customWidth="true" hidden="false" outlineLevel="0" max="8" min="8" style="1" width="6.57"/>
    <col collapsed="false" customWidth="true" hidden="false" outlineLevel="0" max="9" min="9" style="1" width="3.29"/>
    <col collapsed="false" customWidth="true" hidden="false" outlineLevel="0" max="10" min="10" style="26" width="7.57"/>
    <col collapsed="false" customWidth="true" hidden="false" outlineLevel="0" max="11" min="11" style="1" width="7.86"/>
    <col collapsed="false" customWidth="true" hidden="false" outlineLevel="0" max="12" min="12" style="1" width="6.85"/>
    <col collapsed="false" customWidth="true" hidden="false" outlineLevel="0" max="13" min="13" style="1" width="7.15"/>
    <col collapsed="false" customWidth="true" hidden="false" outlineLevel="0" max="14" min="14" style="1" width="10.57"/>
    <col collapsed="false" customWidth="true" hidden="false" outlineLevel="0" max="15" min="15" style="1" width="4.86"/>
    <col collapsed="false" customWidth="true" hidden="false" outlineLevel="0" max="16" min="16" style="1" width="8.15"/>
    <col collapsed="false" customWidth="true" hidden="false" outlineLevel="0" max="17" min="17" style="1" width="8"/>
    <col collapsed="false" customWidth="true" hidden="false" outlineLevel="0" max="18" min="18" style="1" width="6.57"/>
    <col collapsed="false" customWidth="true" hidden="false" outlineLevel="0" max="19" min="19" style="1" width="10.71"/>
    <col collapsed="false" customWidth="true" hidden="false" outlineLevel="0" max="20" min="20" style="1" width="6.85"/>
    <col collapsed="false" customWidth="true" hidden="false" outlineLevel="0" max="21" min="21" style="1" width="3.29"/>
    <col collapsed="false" customWidth="true" hidden="false" outlineLevel="0" max="22" min="22" style="1" width="11.29"/>
    <col collapsed="false" customWidth="true" hidden="false" outlineLevel="0" max="23" min="23" style="1" width="3.29"/>
    <col collapsed="false" customWidth="true" hidden="false" outlineLevel="0" max="24" min="24" style="1" width="11.14"/>
    <col collapsed="false" customWidth="true" hidden="false" outlineLevel="0" max="25" min="25" style="1" width="12.29"/>
    <col collapsed="false" customWidth="true" hidden="false" outlineLevel="0" max="26" min="26" style="1" width="3"/>
    <col collapsed="false" customWidth="true" hidden="false" outlineLevel="0" max="27" min="27" style="1" width="11.71"/>
    <col collapsed="false" customWidth="true" hidden="false" outlineLevel="0" max="28" min="28" style="1" width="3.42"/>
    <col collapsed="false" customWidth="true" hidden="false" outlineLevel="0" max="29" min="29" style="1" width="10.14"/>
    <col collapsed="false" customWidth="false" hidden="false" outlineLevel="0" max="16384" min="30" style="1" width="9.14"/>
  </cols>
  <sheetData>
    <row r="1" customFormat="false" ht="12.75" hidden="false" customHeight="false" outlineLevel="0" collapsed="false">
      <c r="A1" s="31"/>
      <c r="B1" s="31" t="s">
        <v>220</v>
      </c>
      <c r="C1" s="31"/>
      <c r="D1" s="31"/>
      <c r="E1" s="31"/>
      <c r="F1" s="31"/>
      <c r="G1" s="31"/>
      <c r="H1" s="31"/>
      <c r="I1" s="31"/>
      <c r="J1" s="124"/>
      <c r="K1" s="31"/>
      <c r="L1" s="32" t="s">
        <v>371</v>
      </c>
      <c r="M1" s="31"/>
      <c r="N1" s="31"/>
      <c r="O1" s="31"/>
      <c r="P1" s="31"/>
      <c r="Q1" s="31"/>
      <c r="R1" s="31"/>
      <c r="S1" s="31"/>
      <c r="T1" s="31"/>
      <c r="U1" s="31"/>
      <c r="V1" s="31" t="s">
        <v>372</v>
      </c>
      <c r="W1" s="31"/>
      <c r="X1" s="31" t="s">
        <v>337</v>
      </c>
      <c r="Y1" s="31"/>
      <c r="Z1" s="31"/>
      <c r="AA1" s="31" t="s">
        <v>373</v>
      </c>
      <c r="AB1" s="31"/>
      <c r="AC1" s="31"/>
    </row>
    <row r="2" customFormat="false" ht="12.75" hidden="false" customHeight="false" outlineLevel="0" collapsed="false">
      <c r="A2" s="31"/>
      <c r="B2" s="31"/>
      <c r="C2" s="31"/>
      <c r="D2" s="31"/>
      <c r="E2" s="31"/>
      <c r="F2" s="31"/>
      <c r="G2" s="31"/>
      <c r="H2" s="31"/>
      <c r="I2" s="31"/>
      <c r="J2" s="124"/>
      <c r="K2" s="31"/>
      <c r="L2" s="32"/>
      <c r="M2" s="31"/>
      <c r="N2" s="31"/>
      <c r="O2" s="31"/>
      <c r="P2" s="31"/>
      <c r="Q2" s="31"/>
      <c r="R2" s="31"/>
      <c r="S2" s="31"/>
      <c r="T2" s="31"/>
      <c r="U2" s="31"/>
      <c r="V2" s="31"/>
      <c r="W2" s="31"/>
      <c r="X2" s="31"/>
      <c r="Y2" s="31"/>
      <c r="Z2" s="31"/>
      <c r="AA2" s="31"/>
      <c r="AB2" s="31"/>
      <c r="AC2" s="31"/>
    </row>
    <row r="3" customFormat="false" ht="15" hidden="false" customHeight="true" outlineLevel="0" collapsed="false">
      <c r="A3" s="127" t="s">
        <v>73</v>
      </c>
      <c r="B3" s="127" t="s">
        <v>338</v>
      </c>
      <c r="C3" s="127" t="s">
        <v>237</v>
      </c>
      <c r="D3" s="127" t="s">
        <v>374</v>
      </c>
      <c r="E3" s="127" t="s">
        <v>340</v>
      </c>
      <c r="F3" s="127" t="s">
        <v>240</v>
      </c>
      <c r="G3" s="127" t="s">
        <v>341</v>
      </c>
      <c r="H3" s="127" t="s">
        <v>242</v>
      </c>
      <c r="I3" s="127" t="s">
        <v>11</v>
      </c>
      <c r="J3" s="127" t="s">
        <v>82</v>
      </c>
      <c r="K3" s="127" t="s">
        <v>144</v>
      </c>
      <c r="L3" s="127" t="s">
        <v>375</v>
      </c>
      <c r="M3" s="127" t="s">
        <v>376</v>
      </c>
      <c r="N3" s="127" t="s">
        <v>377</v>
      </c>
      <c r="O3" s="127" t="s">
        <v>378</v>
      </c>
      <c r="P3" s="127" t="s">
        <v>379</v>
      </c>
      <c r="Q3" s="127" t="s">
        <v>380</v>
      </c>
      <c r="R3" s="127" t="s">
        <v>381</v>
      </c>
      <c r="S3" s="127" t="s">
        <v>382</v>
      </c>
      <c r="T3" s="127" t="s">
        <v>214</v>
      </c>
      <c r="U3" s="127" t="s">
        <v>154</v>
      </c>
      <c r="V3" s="127" t="s">
        <v>34</v>
      </c>
      <c r="W3" s="127" t="s">
        <v>181</v>
      </c>
      <c r="X3" s="127" t="s">
        <v>357</v>
      </c>
      <c r="Y3" s="127" t="s">
        <v>383</v>
      </c>
      <c r="Z3" s="127" t="s">
        <v>194</v>
      </c>
      <c r="AA3" s="127" t="s">
        <v>384</v>
      </c>
      <c r="AB3" s="127" t="s">
        <v>199</v>
      </c>
      <c r="AC3" s="127" t="s">
        <v>385</v>
      </c>
    </row>
    <row r="4" customFormat="false" ht="12.75" hidden="false" customHeight="true" outlineLevel="0" collapsed="false">
      <c r="A4" s="181" t="n">
        <f aca="false">TblConstr[[#This Row],[Land]]</f>
        <v>250</v>
      </c>
      <c r="B4" s="246" t="n">
        <f aca="false">TblConstr[[#This Row],[Plain]]</f>
        <v>0</v>
      </c>
      <c r="C4" s="193" t="n">
        <f aca="false">TblConstr[[#This Row],[Forest]]</f>
        <v>0</v>
      </c>
      <c r="D4" s="200" t="n">
        <f aca="false">TblConstr[[#This Row],[Mountain]]</f>
        <v>0</v>
      </c>
      <c r="E4" s="201" t="n">
        <f aca="false">TblConstr[[#This Row],[Hill]]</f>
        <v>0</v>
      </c>
      <c r="F4" s="202" t="n">
        <f aca="false">TblConstr[[#This Row],[Swamp]]</f>
        <v>0</v>
      </c>
      <c r="G4" s="197" t="n">
        <f aca="false">TblConstr[[#This Row],[Cavern]]</f>
        <v>20</v>
      </c>
      <c r="H4" s="198" t="n">
        <f aca="false">TblConstr[[#This Row],[Water]]</f>
        <v>10</v>
      </c>
      <c r="I4" s="245"/>
      <c r="J4" s="269" t="n">
        <v>1</v>
      </c>
      <c r="K4" s="270" t="n">
        <f aca="false">TblImps[[#This Row],[Real time]]</f>
        <v>45429.75</v>
      </c>
      <c r="L4" s="152"/>
      <c r="M4" s="152" t="n">
        <v>-20</v>
      </c>
      <c r="N4" s="182" t="n">
        <v>-20</v>
      </c>
      <c r="O4" s="152" t="n">
        <v>8</v>
      </c>
      <c r="P4" s="152" t="n">
        <v>42</v>
      </c>
      <c r="Q4" s="152"/>
      <c r="R4" s="152" t="n">
        <v>-10</v>
      </c>
      <c r="S4" s="69" t="n">
        <f aca="false">SUMIF(TblRezone[[#This Row],[Plains Rezone]:[Water Rezone]],"&gt;0")</f>
        <v>50</v>
      </c>
      <c r="T4" s="33" t="str">
        <f aca="false">IF(SUM(TblRezone[[#This Row],[Plains Rezone]:[Water Rezone]])=0,"Ok","Nope")</f>
        <v>Ok</v>
      </c>
      <c r="U4" s="245"/>
      <c r="V4" s="69" t="n">
        <f aca="false">TblProd[[#This Row],[Platinum]]</f>
        <v>9830</v>
      </c>
      <c r="W4" s="245"/>
      <c r="X4" s="69" t="n">
        <f aca="false">ROUNDUP( (1-MIN(ROUND(facs_rezone_factor*TblRezone[[#This Row],[Facs]],4),facs_rezone_max) + tech_6_4*TblTech[[#This Row],[6-4]] + tech_10_2*TblTech[[#This Row],[10-2]] - IF(TblMagic[[#This Row],[Active Mechanical Genius]]&gt;0,mech_genius_bonus,0) + race_rezone_cost) * TblRezone[[#This Row],[Plat/acre*]],0)</f>
        <v>250</v>
      </c>
      <c r="Y4" s="69" t="n">
        <f aca="false">TblRezone[[#This Row],[Total acres]]*TblRezone[[#This Row],[Plat/acre]]</f>
        <v>12500</v>
      </c>
      <c r="Z4" s="245"/>
      <c r="AA4" s="69" t="n">
        <f aca="false">250+0.6*(TblRezone[[#This Row],[Land]]-250)</f>
        <v>250</v>
      </c>
      <c r="AB4" s="245"/>
      <c r="AC4" s="150" t="n">
        <f aca="false">TblConstr[[#This Row],[Facs DB]]</f>
        <v>0</v>
      </c>
    </row>
    <row r="5" customFormat="false" ht="12.75" hidden="false" customHeight="false" outlineLevel="0" collapsed="false">
      <c r="A5" s="181" t="n">
        <f aca="false">TblConstr[[#This Row],[Land]]</f>
        <v>250</v>
      </c>
      <c r="B5" s="246" t="n">
        <f aca="false">TblConstr[[#This Row],[Plain]]</f>
        <v>0</v>
      </c>
      <c r="C5" s="193" t="n">
        <f aca="false">TblConstr[[#This Row],[Forest]]</f>
        <v>0</v>
      </c>
      <c r="D5" s="200" t="n">
        <f aca="false">TblConstr[[#This Row],[Mountain]]</f>
        <v>0</v>
      </c>
      <c r="E5" s="201" t="n">
        <f aca="false">TblConstr[[#This Row],[Hill]]</f>
        <v>0</v>
      </c>
      <c r="F5" s="202" t="n">
        <f aca="false">TblConstr[[#This Row],[Swamp]]</f>
        <v>0</v>
      </c>
      <c r="G5" s="197" t="n">
        <f aca="false">TblConstr[[#This Row],[Cavern]]</f>
        <v>20</v>
      </c>
      <c r="H5" s="198" t="n">
        <f aca="false">TblConstr[[#This Row],[Water]]</f>
        <v>10</v>
      </c>
      <c r="I5" s="245"/>
      <c r="J5" s="269" t="n">
        <f aca="false">J4+1</f>
        <v>2</v>
      </c>
      <c r="K5" s="270" t="n">
        <f aca="false">TblImps[[#This Row],[Real time]]</f>
        <v>45429.7916666667</v>
      </c>
      <c r="L5" s="182"/>
      <c r="M5" s="182"/>
      <c r="N5" s="182"/>
      <c r="O5" s="182"/>
      <c r="P5" s="182"/>
      <c r="Q5" s="182"/>
      <c r="R5" s="182"/>
      <c r="S5" s="69" t="n">
        <f aca="false">SUMIF(TblRezone[[#This Row],[Plains Rezone]:[Water Rezone]],"&gt;0")</f>
        <v>0</v>
      </c>
      <c r="T5" s="33" t="str">
        <f aca="false">IF(SUM(TblRezone[[#This Row],[Plains Rezone]:[Water Rezone]])=0,"Ok","Nope")</f>
        <v>Ok</v>
      </c>
      <c r="U5" s="245"/>
      <c r="V5" s="69" t="n">
        <f aca="false">TblProd[[#This Row],[Platinum]]</f>
        <v>15140</v>
      </c>
      <c r="W5" s="245"/>
      <c r="X5" s="69" t="n">
        <f aca="false">ROUNDUP( (1-MIN(ROUND(facs_rezone_factor*TblRezone[[#This Row],[Facs]],4),facs_rezone_max) + tech_6_4*TblTech[[#This Row],[6-4]] + tech_10_2*TblTech[[#This Row],[10-2]] - IF(TblMagic[[#This Row],[Active Mechanical Genius]]&gt;0,mech_genius_bonus,0) + race_rezone_cost) * TblRezone[[#This Row],[Plat/acre*]],0)</f>
        <v>250</v>
      </c>
      <c r="Y5" s="69" t="n">
        <f aca="false">TblRezone[[#This Row],[Total acres]]*TblRezone[[#This Row],[Plat/acre]]</f>
        <v>0</v>
      </c>
      <c r="Z5" s="245"/>
      <c r="AA5" s="69" t="n">
        <f aca="false">250+0.6*(TblRezone[[#This Row],[Land]]-250)</f>
        <v>250</v>
      </c>
      <c r="AB5" s="245"/>
      <c r="AC5" s="150" t="n">
        <f aca="false">TblConstr[[#This Row],[Facs DB]]</f>
        <v>0</v>
      </c>
    </row>
    <row r="6" customFormat="false" ht="12.75" hidden="false" customHeight="false" outlineLevel="0" collapsed="false">
      <c r="A6" s="181" t="n">
        <f aca="false">TblConstr[[#This Row],[Land]]</f>
        <v>250</v>
      </c>
      <c r="B6" s="246" t="n">
        <f aca="false">TblConstr[[#This Row],[Plain]]</f>
        <v>0</v>
      </c>
      <c r="C6" s="193" t="n">
        <f aca="false">TblConstr[[#This Row],[Forest]]</f>
        <v>0</v>
      </c>
      <c r="D6" s="200" t="n">
        <f aca="false">TblConstr[[#This Row],[Mountain]]</f>
        <v>0</v>
      </c>
      <c r="E6" s="201" t="n">
        <f aca="false">TblConstr[[#This Row],[Hill]]</f>
        <v>0</v>
      </c>
      <c r="F6" s="202" t="n">
        <f aca="false">TblConstr[[#This Row],[Swamp]]</f>
        <v>0</v>
      </c>
      <c r="G6" s="197" t="n">
        <f aca="false">TblConstr[[#This Row],[Cavern]]</f>
        <v>20</v>
      </c>
      <c r="H6" s="198" t="n">
        <f aca="false">TblConstr[[#This Row],[Water]]</f>
        <v>10</v>
      </c>
      <c r="I6" s="245"/>
      <c r="J6" s="269" t="n">
        <f aca="false">J5+1</f>
        <v>3</v>
      </c>
      <c r="K6" s="270" t="n">
        <f aca="false">TblImps[[#This Row],[Real time]]</f>
        <v>45429.8333333333</v>
      </c>
      <c r="L6" s="182"/>
      <c r="M6" s="182"/>
      <c r="N6" s="182"/>
      <c r="O6" s="182"/>
      <c r="P6" s="182"/>
      <c r="Q6" s="182"/>
      <c r="R6" s="182"/>
      <c r="S6" s="69" t="n">
        <f aca="false">SUMIF(TblRezone[[#This Row],[Plains Rezone]:[Water Rezone]],"&gt;0")</f>
        <v>0</v>
      </c>
      <c r="T6" s="33" t="str">
        <f aca="false">IF(SUM(TblRezone[[#This Row],[Plains Rezone]:[Water Rezone]])=0,"Ok","Nope")</f>
        <v>Ok</v>
      </c>
      <c r="U6" s="245"/>
      <c r="V6" s="69" t="n">
        <f aca="false">TblProd[[#This Row],[Platinum]]</f>
        <v>20520</v>
      </c>
      <c r="W6" s="245"/>
      <c r="X6" s="69" t="n">
        <f aca="false">ROUNDUP( (1-MIN(ROUND(facs_rezone_factor*TblRezone[[#This Row],[Facs]],4),facs_rezone_max) + tech_6_4*TblTech[[#This Row],[6-4]] + tech_10_2*TblTech[[#This Row],[10-2]] - IF(TblMagic[[#This Row],[Active Mechanical Genius]]&gt;0,mech_genius_bonus,0) + race_rezone_cost) * TblRezone[[#This Row],[Plat/acre*]],0)</f>
        <v>250</v>
      </c>
      <c r="Y6" s="69" t="n">
        <f aca="false">TblRezone[[#This Row],[Total acres]]*TblRezone[[#This Row],[Plat/acre]]</f>
        <v>0</v>
      </c>
      <c r="Z6" s="245"/>
      <c r="AA6" s="69" t="n">
        <f aca="false">250+0.6*(TblRezone[[#This Row],[Land]]-250)</f>
        <v>250</v>
      </c>
      <c r="AB6" s="245"/>
      <c r="AC6" s="150" t="n">
        <f aca="false">TblConstr[[#This Row],[Facs DB]]</f>
        <v>0</v>
      </c>
    </row>
    <row r="7" customFormat="false" ht="12.75" hidden="false" customHeight="false" outlineLevel="0" collapsed="false">
      <c r="A7" s="181" t="n">
        <f aca="false">TblConstr[[#This Row],[Land]]</f>
        <v>250</v>
      </c>
      <c r="B7" s="246" t="n">
        <f aca="false">TblConstr[[#This Row],[Plain]]</f>
        <v>0</v>
      </c>
      <c r="C7" s="193" t="n">
        <f aca="false">TblConstr[[#This Row],[Forest]]</f>
        <v>0</v>
      </c>
      <c r="D7" s="200" t="n">
        <f aca="false">TblConstr[[#This Row],[Mountain]]</f>
        <v>0</v>
      </c>
      <c r="E7" s="201" t="n">
        <f aca="false">TblConstr[[#This Row],[Hill]]</f>
        <v>0</v>
      </c>
      <c r="F7" s="202" t="n">
        <f aca="false">TblConstr[[#This Row],[Swamp]]</f>
        <v>0</v>
      </c>
      <c r="G7" s="197" t="n">
        <f aca="false">TblConstr[[#This Row],[Cavern]]</f>
        <v>20</v>
      </c>
      <c r="H7" s="198" t="n">
        <f aca="false">TblConstr[[#This Row],[Water]]</f>
        <v>10</v>
      </c>
      <c r="I7" s="245"/>
      <c r="J7" s="269" t="n">
        <f aca="false">J6+1</f>
        <v>4</v>
      </c>
      <c r="K7" s="270" t="n">
        <f aca="false">TblImps[[#This Row],[Real time]]</f>
        <v>45429.875</v>
      </c>
      <c r="L7" s="182"/>
      <c r="M7" s="182"/>
      <c r="N7" s="182"/>
      <c r="O7" s="182"/>
      <c r="P7" s="182"/>
      <c r="Q7" s="182"/>
      <c r="R7" s="182"/>
      <c r="S7" s="69" t="n">
        <f aca="false">SUMIF(TblRezone[[#This Row],[Plains Rezone]:[Water Rezone]],"&gt;0")</f>
        <v>0</v>
      </c>
      <c r="T7" s="33" t="str">
        <f aca="false">IF(SUM(TblRezone[[#This Row],[Plains Rezone]:[Water Rezone]])=0,"Ok","Nope")</f>
        <v>Ok</v>
      </c>
      <c r="U7" s="245"/>
      <c r="V7" s="69" t="n">
        <f aca="false">TblProd[[#This Row],[Platinum]]</f>
        <v>25970</v>
      </c>
      <c r="W7" s="245"/>
      <c r="X7" s="69" t="n">
        <f aca="false">ROUNDUP( (1-MIN(ROUND(facs_rezone_factor*TblRezone[[#This Row],[Facs]],4),facs_rezone_max) + tech_6_4*TblTech[[#This Row],[6-4]] + tech_10_2*TblTech[[#This Row],[10-2]] - IF(TblMagic[[#This Row],[Active Mechanical Genius]]&gt;0,mech_genius_bonus,0) + race_rezone_cost) * TblRezone[[#This Row],[Plat/acre*]],0)</f>
        <v>250</v>
      </c>
      <c r="Y7" s="69" t="n">
        <f aca="false">TblRezone[[#This Row],[Total acres]]*TblRezone[[#This Row],[Plat/acre]]</f>
        <v>0</v>
      </c>
      <c r="Z7" s="245"/>
      <c r="AA7" s="69" t="n">
        <f aca="false">250+0.6*(TblRezone[[#This Row],[Land]]-250)</f>
        <v>250</v>
      </c>
      <c r="AB7" s="245"/>
      <c r="AC7" s="150" t="n">
        <f aca="false">TblConstr[[#This Row],[Facs DB]]</f>
        <v>0</v>
      </c>
    </row>
    <row r="8" customFormat="false" ht="12.75" hidden="false" customHeight="false" outlineLevel="0" collapsed="false">
      <c r="A8" s="181" t="n">
        <f aca="false">TblConstr[[#This Row],[Land]]</f>
        <v>250</v>
      </c>
      <c r="B8" s="246" t="n">
        <f aca="false">TblConstr[[#This Row],[Plain]]</f>
        <v>0</v>
      </c>
      <c r="C8" s="193" t="n">
        <f aca="false">TblConstr[[#This Row],[Forest]]</f>
        <v>0</v>
      </c>
      <c r="D8" s="200" t="n">
        <f aca="false">TblConstr[[#This Row],[Mountain]]</f>
        <v>0</v>
      </c>
      <c r="E8" s="201" t="n">
        <f aca="false">TblConstr[[#This Row],[Hill]]</f>
        <v>0</v>
      </c>
      <c r="F8" s="202" t="n">
        <f aca="false">TblConstr[[#This Row],[Swamp]]</f>
        <v>0</v>
      </c>
      <c r="G8" s="197" t="n">
        <f aca="false">TblConstr[[#This Row],[Cavern]]</f>
        <v>20</v>
      </c>
      <c r="H8" s="198" t="n">
        <f aca="false">TblConstr[[#This Row],[Water]]</f>
        <v>10</v>
      </c>
      <c r="I8" s="245"/>
      <c r="J8" s="269" t="n">
        <f aca="false">J7+1</f>
        <v>5</v>
      </c>
      <c r="K8" s="270" t="n">
        <f aca="false">TblImps[[#This Row],[Real time]]</f>
        <v>45429.9166666667</v>
      </c>
      <c r="L8" s="182"/>
      <c r="M8" s="182"/>
      <c r="N8" s="182"/>
      <c r="O8" s="182"/>
      <c r="P8" s="182"/>
      <c r="Q8" s="182"/>
      <c r="R8" s="182"/>
      <c r="S8" s="69" t="n">
        <f aca="false">SUMIF(TblRezone[[#This Row],[Plains Rezone]:[Water Rezone]],"&gt;0")</f>
        <v>0</v>
      </c>
      <c r="T8" s="33" t="str">
        <f aca="false">IF(SUM(TblRezone[[#This Row],[Plains Rezone]:[Water Rezone]])=0,"Ok","Nope")</f>
        <v>Ok</v>
      </c>
      <c r="U8" s="245"/>
      <c r="V8" s="69" t="n">
        <f aca="false">TblProd[[#This Row],[Platinum]]</f>
        <v>31490</v>
      </c>
      <c r="W8" s="245"/>
      <c r="X8" s="69" t="n">
        <f aca="false">ROUNDUP( (1-MIN(ROUND(facs_rezone_factor*TblRezone[[#This Row],[Facs]],4),facs_rezone_max) + tech_6_4*TblTech[[#This Row],[6-4]] + tech_10_2*TblTech[[#This Row],[10-2]] - IF(TblMagic[[#This Row],[Active Mechanical Genius]]&gt;0,mech_genius_bonus,0) + race_rezone_cost) * TblRezone[[#This Row],[Plat/acre*]],0)</f>
        <v>250</v>
      </c>
      <c r="Y8" s="69" t="n">
        <f aca="false">TblRezone[[#This Row],[Total acres]]*TblRezone[[#This Row],[Plat/acre]]</f>
        <v>0</v>
      </c>
      <c r="Z8" s="245"/>
      <c r="AA8" s="69" t="n">
        <f aca="false">250+0.6*(TblRezone[[#This Row],[Land]]-250)</f>
        <v>250</v>
      </c>
      <c r="AB8" s="245"/>
      <c r="AC8" s="150" t="n">
        <f aca="false">TblConstr[[#This Row],[Facs DB]]</f>
        <v>0</v>
      </c>
    </row>
    <row r="9" customFormat="false" ht="12.75" hidden="false" customHeight="false" outlineLevel="0" collapsed="false">
      <c r="A9" s="181" t="n">
        <f aca="false">TblConstr[[#This Row],[Land]]</f>
        <v>250</v>
      </c>
      <c r="B9" s="246" t="n">
        <f aca="false">TblConstr[[#This Row],[Plain]]</f>
        <v>0</v>
      </c>
      <c r="C9" s="193" t="n">
        <f aca="false">TblConstr[[#This Row],[Forest]]</f>
        <v>0</v>
      </c>
      <c r="D9" s="200" t="n">
        <f aca="false">TblConstr[[#This Row],[Mountain]]</f>
        <v>0</v>
      </c>
      <c r="E9" s="201" t="n">
        <f aca="false">TblConstr[[#This Row],[Hill]]</f>
        <v>0</v>
      </c>
      <c r="F9" s="202" t="n">
        <f aca="false">TblConstr[[#This Row],[Swamp]]</f>
        <v>0</v>
      </c>
      <c r="G9" s="197" t="n">
        <f aca="false">TblConstr[[#This Row],[Cavern]]</f>
        <v>20</v>
      </c>
      <c r="H9" s="198" t="n">
        <f aca="false">TblConstr[[#This Row],[Water]]</f>
        <v>10</v>
      </c>
      <c r="I9" s="245"/>
      <c r="J9" s="269" t="n">
        <f aca="false">J8+1</f>
        <v>6</v>
      </c>
      <c r="K9" s="270" t="n">
        <f aca="false">TblImps[[#This Row],[Real time]]</f>
        <v>45429.9583333333</v>
      </c>
      <c r="L9" s="182"/>
      <c r="M9" s="182"/>
      <c r="N9" s="182"/>
      <c r="O9" s="182"/>
      <c r="P9" s="182"/>
      <c r="Q9" s="182"/>
      <c r="R9" s="182"/>
      <c r="S9" s="69" t="n">
        <f aca="false">SUMIF(TblRezone[[#This Row],[Plains Rezone]:[Water Rezone]],"&gt;0")</f>
        <v>0</v>
      </c>
      <c r="T9" s="33" t="str">
        <f aca="false">IF(SUM(TblRezone[[#This Row],[Plains Rezone]:[Water Rezone]])=0,"Ok","Nope")</f>
        <v>Ok</v>
      </c>
      <c r="U9" s="245"/>
      <c r="V9" s="69" t="n">
        <f aca="false">TblProd[[#This Row],[Platinum]]</f>
        <v>16683</v>
      </c>
      <c r="W9" s="245"/>
      <c r="X9" s="69" t="n">
        <f aca="false">ROUNDUP( (1-MIN(ROUND(facs_rezone_factor*TblRezone[[#This Row],[Facs]],4),facs_rezone_max) + tech_6_4*TblTech[[#This Row],[6-4]] + tech_10_2*TblTech[[#This Row],[10-2]] - IF(TblMagic[[#This Row],[Active Mechanical Genius]]&gt;0,mech_genius_bonus,0) + race_rezone_cost) * TblRezone[[#This Row],[Plat/acre*]],0)</f>
        <v>250</v>
      </c>
      <c r="Y9" s="69" t="n">
        <f aca="false">TblRezone[[#This Row],[Total acres]]*TblRezone[[#This Row],[Plat/acre]]</f>
        <v>0</v>
      </c>
      <c r="Z9" s="245"/>
      <c r="AA9" s="69" t="n">
        <f aca="false">250+0.6*(TblRezone[[#This Row],[Land]]-250)</f>
        <v>250</v>
      </c>
      <c r="AB9" s="245"/>
      <c r="AC9" s="150" t="n">
        <f aca="false">TblConstr[[#This Row],[Facs DB]]</f>
        <v>0</v>
      </c>
    </row>
    <row r="10" customFormat="false" ht="12.75" hidden="false" customHeight="false" outlineLevel="0" collapsed="false">
      <c r="A10" s="181" t="n">
        <f aca="false">TblConstr[[#This Row],[Land]]</f>
        <v>250</v>
      </c>
      <c r="B10" s="246" t="n">
        <f aca="false">TblConstr[[#This Row],[Plain]]</f>
        <v>0</v>
      </c>
      <c r="C10" s="193" t="n">
        <f aca="false">TblConstr[[#This Row],[Forest]]</f>
        <v>0</v>
      </c>
      <c r="D10" s="200" t="n">
        <f aca="false">TblConstr[[#This Row],[Mountain]]</f>
        <v>0</v>
      </c>
      <c r="E10" s="201" t="n">
        <f aca="false">TblConstr[[#This Row],[Hill]]</f>
        <v>0</v>
      </c>
      <c r="F10" s="202" t="n">
        <f aca="false">TblConstr[[#This Row],[Swamp]]</f>
        <v>0</v>
      </c>
      <c r="G10" s="197" t="n">
        <f aca="false">TblConstr[[#This Row],[Cavern]]</f>
        <v>20</v>
      </c>
      <c r="H10" s="198" t="n">
        <f aca="false">TblConstr[[#This Row],[Water]]</f>
        <v>10</v>
      </c>
      <c r="I10" s="245"/>
      <c r="J10" s="269" t="n">
        <f aca="false">J9+1</f>
        <v>7</v>
      </c>
      <c r="K10" s="270" t="n">
        <f aca="false">TblImps[[#This Row],[Real time]]</f>
        <v>45430</v>
      </c>
      <c r="L10" s="182"/>
      <c r="M10" s="182"/>
      <c r="N10" s="182"/>
      <c r="O10" s="182"/>
      <c r="P10" s="182"/>
      <c r="Q10" s="182"/>
      <c r="R10" s="182"/>
      <c r="S10" s="69" t="n">
        <f aca="false">SUMIF(TblRezone[[#This Row],[Plains Rezone]:[Water Rezone]],"&gt;0")</f>
        <v>0</v>
      </c>
      <c r="T10" s="33" t="str">
        <f aca="false">IF(SUM(TblRezone[[#This Row],[Plains Rezone]:[Water Rezone]])=0,"Ok","Nope")</f>
        <v>Ok</v>
      </c>
      <c r="U10" s="245"/>
      <c r="V10" s="69" t="n">
        <f aca="false">TblProd[[#This Row],[Platinum]]</f>
        <v>21502</v>
      </c>
      <c r="W10" s="245"/>
      <c r="X10" s="69" t="n">
        <f aca="false">ROUNDUP( (1-MIN(ROUND(facs_rezone_factor*TblRezone[[#This Row],[Facs]],4),facs_rezone_max) + tech_6_4*TblTech[[#This Row],[6-4]] + tech_10_2*TblTech[[#This Row],[10-2]] - IF(TblMagic[[#This Row],[Active Mechanical Genius]]&gt;0,mech_genius_bonus,0) + race_rezone_cost) * TblRezone[[#This Row],[Plat/acre*]],0)</f>
        <v>250</v>
      </c>
      <c r="Y10" s="69" t="n">
        <f aca="false">TblRezone[[#This Row],[Total acres]]*TblRezone[[#This Row],[Plat/acre]]</f>
        <v>0</v>
      </c>
      <c r="Z10" s="245"/>
      <c r="AA10" s="69" t="n">
        <f aca="false">250+0.6*(TblRezone[[#This Row],[Land]]-250)</f>
        <v>250</v>
      </c>
      <c r="AB10" s="245"/>
      <c r="AC10" s="150" t="n">
        <f aca="false">TblConstr[[#This Row],[Facs DB]]</f>
        <v>0</v>
      </c>
    </row>
    <row r="11" customFormat="false" ht="12.75" hidden="false" customHeight="false" outlineLevel="0" collapsed="false">
      <c r="A11" s="181" t="n">
        <f aca="false">TblConstr[[#This Row],[Land]]</f>
        <v>250</v>
      </c>
      <c r="B11" s="246" t="n">
        <f aca="false">TblConstr[[#This Row],[Plain]]</f>
        <v>0</v>
      </c>
      <c r="C11" s="193" t="n">
        <f aca="false">TblConstr[[#This Row],[Forest]]</f>
        <v>0</v>
      </c>
      <c r="D11" s="200" t="n">
        <f aca="false">TblConstr[[#This Row],[Mountain]]</f>
        <v>0</v>
      </c>
      <c r="E11" s="201" t="n">
        <f aca="false">TblConstr[[#This Row],[Hill]]</f>
        <v>0</v>
      </c>
      <c r="F11" s="202" t="n">
        <f aca="false">TblConstr[[#This Row],[Swamp]]</f>
        <v>0</v>
      </c>
      <c r="G11" s="197" t="n">
        <f aca="false">TblConstr[[#This Row],[Cavern]]</f>
        <v>20</v>
      </c>
      <c r="H11" s="198" t="n">
        <f aca="false">TblConstr[[#This Row],[Water]]</f>
        <v>10</v>
      </c>
      <c r="I11" s="245"/>
      <c r="J11" s="269" t="n">
        <f aca="false">J10+1</f>
        <v>8</v>
      </c>
      <c r="K11" s="270" t="n">
        <f aca="false">TblImps[[#This Row],[Real time]]</f>
        <v>45430.0416666667</v>
      </c>
      <c r="L11" s="182"/>
      <c r="M11" s="182"/>
      <c r="N11" s="182"/>
      <c r="O11" s="182"/>
      <c r="P11" s="182"/>
      <c r="Q11" s="182"/>
      <c r="R11" s="182"/>
      <c r="S11" s="69" t="n">
        <f aca="false">SUMIF(TblRezone[[#This Row],[Plains Rezone]:[Water Rezone]],"&gt;0")</f>
        <v>0</v>
      </c>
      <c r="T11" s="33" t="str">
        <f aca="false">IF(SUM(TblRezone[[#This Row],[Plains Rezone]:[Water Rezone]])=0,"Ok","Nope")</f>
        <v>Ok</v>
      </c>
      <c r="U11" s="245"/>
      <c r="V11" s="69" t="n">
        <f aca="false">TblProd[[#This Row],[Platinum]]</f>
        <v>26399</v>
      </c>
      <c r="W11" s="245"/>
      <c r="X11" s="69" t="n">
        <f aca="false">ROUNDUP( (1-MIN(ROUND(facs_rezone_factor*TblRezone[[#This Row],[Facs]],4),facs_rezone_max) + tech_6_4*TblTech[[#This Row],[6-4]] + tech_10_2*TblTech[[#This Row],[10-2]] - IF(TblMagic[[#This Row],[Active Mechanical Genius]]&gt;0,mech_genius_bonus,0) + race_rezone_cost) * TblRezone[[#This Row],[Plat/acre*]],0)</f>
        <v>250</v>
      </c>
      <c r="Y11" s="69" t="n">
        <f aca="false">TblRezone[[#This Row],[Total acres]]*TblRezone[[#This Row],[Plat/acre]]</f>
        <v>0</v>
      </c>
      <c r="Z11" s="245"/>
      <c r="AA11" s="69" t="n">
        <f aca="false">250+0.6*(TblRezone[[#This Row],[Land]]-250)</f>
        <v>250</v>
      </c>
      <c r="AB11" s="245"/>
      <c r="AC11" s="150" t="n">
        <f aca="false">TblConstr[[#This Row],[Facs DB]]</f>
        <v>0</v>
      </c>
    </row>
    <row r="12" customFormat="false" ht="12.75" hidden="false" customHeight="false" outlineLevel="0" collapsed="false">
      <c r="A12" s="181" t="n">
        <f aca="false">TblConstr[[#This Row],[Land]]</f>
        <v>250</v>
      </c>
      <c r="B12" s="246" t="n">
        <f aca="false">TblConstr[[#This Row],[Plain]]</f>
        <v>0</v>
      </c>
      <c r="C12" s="193" t="n">
        <f aca="false">TblConstr[[#This Row],[Forest]]</f>
        <v>0</v>
      </c>
      <c r="D12" s="200" t="n">
        <f aca="false">TblConstr[[#This Row],[Mountain]]</f>
        <v>0</v>
      </c>
      <c r="E12" s="201" t="n">
        <f aca="false">TblConstr[[#This Row],[Hill]]</f>
        <v>0</v>
      </c>
      <c r="F12" s="202" t="n">
        <f aca="false">TblConstr[[#This Row],[Swamp]]</f>
        <v>0</v>
      </c>
      <c r="G12" s="197" t="n">
        <f aca="false">TblConstr[[#This Row],[Cavern]]</f>
        <v>20</v>
      </c>
      <c r="H12" s="198" t="n">
        <f aca="false">TblConstr[[#This Row],[Water]]</f>
        <v>10</v>
      </c>
      <c r="I12" s="245"/>
      <c r="J12" s="269" t="n">
        <f aca="false">J11+1</f>
        <v>9</v>
      </c>
      <c r="K12" s="270" t="n">
        <f aca="false">TblImps[[#This Row],[Real time]]</f>
        <v>45430.0833333333</v>
      </c>
      <c r="L12" s="182"/>
      <c r="M12" s="182"/>
      <c r="N12" s="182"/>
      <c r="O12" s="182"/>
      <c r="P12" s="182"/>
      <c r="Q12" s="182"/>
      <c r="R12" s="182"/>
      <c r="S12" s="69" t="n">
        <f aca="false">SUMIF(TblRezone[[#This Row],[Plains Rezone]:[Water Rezone]],"&gt;0")</f>
        <v>0</v>
      </c>
      <c r="T12" s="33" t="str">
        <f aca="false">IF(SUM(TblRezone[[#This Row],[Plains Rezone]:[Water Rezone]])=0,"Ok","Nope")</f>
        <v>Ok</v>
      </c>
      <c r="U12" s="245"/>
      <c r="V12" s="69" t="n">
        <f aca="false">TblProd[[#This Row],[Platinum]]</f>
        <v>31372</v>
      </c>
      <c r="W12" s="245"/>
      <c r="X12" s="69" t="n">
        <f aca="false">ROUNDUP( (1-MIN(ROUND(facs_rezone_factor*TblRezone[[#This Row],[Facs]],4),facs_rezone_max) + tech_6_4*TblTech[[#This Row],[6-4]] + tech_10_2*TblTech[[#This Row],[10-2]] - IF(TblMagic[[#This Row],[Active Mechanical Genius]]&gt;0,mech_genius_bonus,0) + race_rezone_cost) * TblRezone[[#This Row],[Plat/acre*]],0)</f>
        <v>250</v>
      </c>
      <c r="Y12" s="69" t="n">
        <f aca="false">TblRezone[[#This Row],[Total acres]]*TblRezone[[#This Row],[Plat/acre]]</f>
        <v>0</v>
      </c>
      <c r="Z12" s="245"/>
      <c r="AA12" s="69" t="n">
        <f aca="false">250+0.6*(TblRezone[[#This Row],[Land]]-250)</f>
        <v>250</v>
      </c>
      <c r="AB12" s="245"/>
      <c r="AC12" s="150" t="n">
        <f aca="false">TblConstr[[#This Row],[Facs DB]]</f>
        <v>0</v>
      </c>
    </row>
    <row r="13" customFormat="false" ht="12.75" hidden="false" customHeight="false" outlineLevel="0" collapsed="false">
      <c r="A13" s="181" t="n">
        <f aca="false">TblConstr[[#This Row],[Land]]</f>
        <v>250</v>
      </c>
      <c r="B13" s="246" t="n">
        <f aca="false">TblConstr[[#This Row],[Plain]]</f>
        <v>0</v>
      </c>
      <c r="C13" s="193" t="n">
        <f aca="false">TblConstr[[#This Row],[Forest]]</f>
        <v>0</v>
      </c>
      <c r="D13" s="200" t="n">
        <f aca="false">TblConstr[[#This Row],[Mountain]]</f>
        <v>0</v>
      </c>
      <c r="E13" s="201" t="n">
        <f aca="false">TblConstr[[#This Row],[Hill]]</f>
        <v>0</v>
      </c>
      <c r="F13" s="202" t="n">
        <f aca="false">TblConstr[[#This Row],[Swamp]]</f>
        <v>0</v>
      </c>
      <c r="G13" s="197" t="n">
        <f aca="false">TblConstr[[#This Row],[Cavern]]</f>
        <v>20</v>
      </c>
      <c r="H13" s="198" t="n">
        <f aca="false">TblConstr[[#This Row],[Water]]</f>
        <v>10</v>
      </c>
      <c r="I13" s="245"/>
      <c r="J13" s="269" t="n">
        <f aca="false">J12+1</f>
        <v>10</v>
      </c>
      <c r="K13" s="270" t="n">
        <f aca="false">TblImps[[#This Row],[Real time]]</f>
        <v>45430.125</v>
      </c>
      <c r="L13" s="182"/>
      <c r="M13" s="182"/>
      <c r="N13" s="182"/>
      <c r="O13" s="182"/>
      <c r="P13" s="182"/>
      <c r="Q13" s="182"/>
      <c r="R13" s="182"/>
      <c r="S13" s="69" t="n">
        <f aca="false">SUMIF(TblRezone[[#This Row],[Plains Rezone]:[Water Rezone]],"&gt;0")</f>
        <v>0</v>
      </c>
      <c r="T13" s="33" t="str">
        <f aca="false">IF(SUM(TblRezone[[#This Row],[Plains Rezone]:[Water Rezone]])=0,"Ok","Nope")</f>
        <v>Ok</v>
      </c>
      <c r="U13" s="245"/>
      <c r="V13" s="69" t="n">
        <f aca="false">TblProd[[#This Row],[Platinum]]</f>
        <v>36323</v>
      </c>
      <c r="W13" s="245"/>
      <c r="X13" s="69" t="n">
        <f aca="false">ROUNDUP( (1-MIN(ROUND(facs_rezone_factor*TblRezone[[#This Row],[Facs]],4),facs_rezone_max) + tech_6_4*TblTech[[#This Row],[6-4]] + tech_10_2*TblTech[[#This Row],[10-2]] - IF(TblMagic[[#This Row],[Active Mechanical Genius]]&gt;0,mech_genius_bonus,0) + race_rezone_cost) * TblRezone[[#This Row],[Plat/acre*]],0)</f>
        <v>250</v>
      </c>
      <c r="Y13" s="69" t="n">
        <f aca="false">TblRezone[[#This Row],[Total acres]]*TblRezone[[#This Row],[Plat/acre]]</f>
        <v>0</v>
      </c>
      <c r="Z13" s="245"/>
      <c r="AA13" s="69" t="n">
        <f aca="false">250+0.6*(TblRezone[[#This Row],[Land]]-250)</f>
        <v>250</v>
      </c>
      <c r="AB13" s="245"/>
      <c r="AC13" s="150" t="n">
        <f aca="false">TblConstr[[#This Row],[Facs DB]]</f>
        <v>0</v>
      </c>
    </row>
    <row r="14" customFormat="false" ht="12.75" hidden="false" customHeight="false" outlineLevel="0" collapsed="false">
      <c r="A14" s="181" t="n">
        <f aca="false">TblConstr[[#This Row],[Land]]</f>
        <v>250</v>
      </c>
      <c r="B14" s="246" t="n">
        <f aca="false">TblConstr[[#This Row],[Plain]]</f>
        <v>0</v>
      </c>
      <c r="C14" s="193" t="n">
        <f aca="false">TblConstr[[#This Row],[Forest]]</f>
        <v>0</v>
      </c>
      <c r="D14" s="200" t="n">
        <f aca="false">TblConstr[[#This Row],[Mountain]]</f>
        <v>0</v>
      </c>
      <c r="E14" s="201" t="n">
        <f aca="false">TblConstr[[#This Row],[Hill]]</f>
        <v>0</v>
      </c>
      <c r="F14" s="202" t="n">
        <f aca="false">TblConstr[[#This Row],[Swamp]]</f>
        <v>0</v>
      </c>
      <c r="G14" s="197" t="n">
        <f aca="false">TblConstr[[#This Row],[Cavern]]</f>
        <v>20</v>
      </c>
      <c r="H14" s="198" t="n">
        <f aca="false">TblConstr[[#This Row],[Water]]</f>
        <v>10</v>
      </c>
      <c r="I14" s="245"/>
      <c r="J14" s="269" t="n">
        <f aca="false">J13+1</f>
        <v>11</v>
      </c>
      <c r="K14" s="270" t="n">
        <f aca="false">TblImps[[#This Row],[Real time]]</f>
        <v>45430.1666666667</v>
      </c>
      <c r="L14" s="182"/>
      <c r="M14" s="182"/>
      <c r="N14" s="182"/>
      <c r="O14" s="182"/>
      <c r="P14" s="182"/>
      <c r="Q14" s="182"/>
      <c r="R14" s="182"/>
      <c r="S14" s="69" t="n">
        <f aca="false">SUMIF(TblRezone[[#This Row],[Plains Rezone]:[Water Rezone]],"&gt;0")</f>
        <v>0</v>
      </c>
      <c r="T14" s="33" t="str">
        <f aca="false">IF(SUM(TblRezone[[#This Row],[Plains Rezone]:[Water Rezone]])=0,"Ok","Nope")</f>
        <v>Ok</v>
      </c>
      <c r="U14" s="245"/>
      <c r="V14" s="69" t="n">
        <f aca="false">TblProd[[#This Row],[Platinum]]</f>
        <v>41005</v>
      </c>
      <c r="W14" s="245"/>
      <c r="X14" s="69" t="n">
        <f aca="false">ROUNDUP( (1-MIN(ROUND(facs_rezone_factor*TblRezone[[#This Row],[Facs]],4),facs_rezone_max) + tech_6_4*TblTech[[#This Row],[6-4]] + tech_10_2*TblTech[[#This Row],[10-2]] - IF(TblMagic[[#This Row],[Active Mechanical Genius]]&gt;0,mech_genius_bonus,0) + race_rezone_cost) * TblRezone[[#This Row],[Plat/acre*]],0)</f>
        <v>250</v>
      </c>
      <c r="Y14" s="69" t="n">
        <f aca="false">TblRezone[[#This Row],[Total acres]]*TblRezone[[#This Row],[Plat/acre]]</f>
        <v>0</v>
      </c>
      <c r="Z14" s="245"/>
      <c r="AA14" s="69" t="n">
        <f aca="false">250+0.6*(TblRezone[[#This Row],[Land]]-250)</f>
        <v>250</v>
      </c>
      <c r="AB14" s="245"/>
      <c r="AC14" s="150" t="n">
        <f aca="false">TblConstr[[#This Row],[Facs DB]]</f>
        <v>0</v>
      </c>
    </row>
    <row r="15" customFormat="false" ht="12.75" hidden="false" customHeight="false" outlineLevel="0" collapsed="false">
      <c r="A15" s="181" t="n">
        <f aca="false">TblConstr[[#This Row],[Land]]</f>
        <v>250</v>
      </c>
      <c r="B15" s="246" t="n">
        <f aca="false">TblConstr[[#This Row],[Plain]]</f>
        <v>0</v>
      </c>
      <c r="C15" s="193" t="n">
        <f aca="false">TblConstr[[#This Row],[Forest]]</f>
        <v>0</v>
      </c>
      <c r="D15" s="200" t="n">
        <f aca="false">TblConstr[[#This Row],[Mountain]]</f>
        <v>0</v>
      </c>
      <c r="E15" s="201" t="n">
        <f aca="false">TblConstr[[#This Row],[Hill]]</f>
        <v>0</v>
      </c>
      <c r="F15" s="202" t="n">
        <f aca="false">TblConstr[[#This Row],[Swamp]]</f>
        <v>0</v>
      </c>
      <c r="G15" s="197" t="n">
        <f aca="false">TblConstr[[#This Row],[Cavern]]</f>
        <v>20</v>
      </c>
      <c r="H15" s="198" t="n">
        <f aca="false">TblConstr[[#This Row],[Water]]</f>
        <v>10</v>
      </c>
      <c r="I15" s="245"/>
      <c r="J15" s="269" t="n">
        <f aca="false">J14+1</f>
        <v>12</v>
      </c>
      <c r="K15" s="270" t="n">
        <f aca="false">TblImps[[#This Row],[Real time]]</f>
        <v>45430.2083333333</v>
      </c>
      <c r="L15" s="182"/>
      <c r="M15" s="182"/>
      <c r="N15" s="182"/>
      <c r="O15" s="182"/>
      <c r="P15" s="182"/>
      <c r="Q15" s="182"/>
      <c r="R15" s="182"/>
      <c r="S15" s="69" t="n">
        <f aca="false">SUMIF(TblRezone[[#This Row],[Plains Rezone]:[Water Rezone]],"&gt;0")</f>
        <v>0</v>
      </c>
      <c r="T15" s="33" t="str">
        <f aca="false">IF(SUM(TblRezone[[#This Row],[Plains Rezone]:[Water Rezone]])=0,"Ok","Nope")</f>
        <v>Ok</v>
      </c>
      <c r="U15" s="245"/>
      <c r="V15" s="69" t="n">
        <f aca="false">TblProd[[#This Row],[Platinum]]</f>
        <v>46621</v>
      </c>
      <c r="W15" s="245"/>
      <c r="X15" s="69" t="n">
        <f aca="false">ROUNDUP( (1-MIN(ROUND(facs_rezone_factor*TblRezone[[#This Row],[Facs]],4),facs_rezone_max) + tech_6_4*TblTech[[#This Row],[6-4]] + tech_10_2*TblTech[[#This Row],[10-2]] - IF(TblMagic[[#This Row],[Active Mechanical Genius]]&gt;0,mech_genius_bonus,0) + race_rezone_cost) * TblRezone[[#This Row],[Plat/acre*]],0)</f>
        <v>250</v>
      </c>
      <c r="Y15" s="69" t="n">
        <f aca="false">TblRezone[[#This Row],[Total acres]]*TblRezone[[#This Row],[Plat/acre]]</f>
        <v>0</v>
      </c>
      <c r="Z15" s="245"/>
      <c r="AA15" s="69" t="n">
        <f aca="false">250+0.6*(TblRezone[[#This Row],[Land]]-250)</f>
        <v>250</v>
      </c>
      <c r="AB15" s="245"/>
      <c r="AC15" s="150" t="n">
        <f aca="false">TblConstr[[#This Row],[Facs DB]]</f>
        <v>0</v>
      </c>
    </row>
    <row r="16" customFormat="false" ht="12.75" hidden="false" customHeight="false" outlineLevel="0" collapsed="false">
      <c r="A16" s="181" t="n">
        <f aca="false">TblConstr[[#This Row],[Land]]</f>
        <v>250</v>
      </c>
      <c r="B16" s="246" t="n">
        <f aca="false">TblConstr[[#This Row],[Plain]]</f>
        <v>0</v>
      </c>
      <c r="C16" s="193" t="n">
        <f aca="false">TblConstr[[#This Row],[Forest]]</f>
        <v>0</v>
      </c>
      <c r="D16" s="200" t="n">
        <f aca="false">TblConstr[[#This Row],[Mountain]]</f>
        <v>0</v>
      </c>
      <c r="E16" s="201" t="n">
        <f aca="false">TblConstr[[#This Row],[Hill]]</f>
        <v>0</v>
      </c>
      <c r="F16" s="202" t="n">
        <f aca="false">TblConstr[[#This Row],[Swamp]]</f>
        <v>0</v>
      </c>
      <c r="G16" s="197" t="n">
        <f aca="false">TblConstr[[#This Row],[Cavern]]</f>
        <v>0</v>
      </c>
      <c r="H16" s="198" t="n">
        <f aca="false">TblConstr[[#This Row],[Water]]</f>
        <v>0</v>
      </c>
      <c r="I16" s="245"/>
      <c r="J16" s="269" t="n">
        <f aca="false">J15+1</f>
        <v>13</v>
      </c>
      <c r="K16" s="270" t="n">
        <f aca="false">TblImps[[#This Row],[Real time]]</f>
        <v>45430.25</v>
      </c>
      <c r="L16" s="152" t="n">
        <v>30</v>
      </c>
      <c r="M16" s="152"/>
      <c r="N16" s="182"/>
      <c r="O16" s="182" t="n">
        <v>2</v>
      </c>
      <c r="P16" s="182" t="n">
        <v>3</v>
      </c>
      <c r="Q16" s="152" t="n">
        <v>-30</v>
      </c>
      <c r="R16" s="152" t="n">
        <v>-5</v>
      </c>
      <c r="S16" s="69" t="n">
        <f aca="false">SUMIF(TblRezone[[#This Row],[Plains Rezone]:[Water Rezone]],"&gt;0")</f>
        <v>35</v>
      </c>
      <c r="T16" s="33" t="str">
        <f aca="false">IF(SUM(TblRezone[[#This Row],[Plains Rezone]:[Water Rezone]])=0,"Ok","Nope")</f>
        <v>Ok</v>
      </c>
      <c r="U16" s="245"/>
      <c r="V16" s="69" t="n">
        <f aca="false">TblProd[[#This Row],[Platinum]]</f>
        <v>27645</v>
      </c>
      <c r="W16" s="245"/>
      <c r="X16" s="69" t="n">
        <f aca="false">ROUNDUP( (1-MIN(ROUND(facs_rezone_factor*TblRezone[[#This Row],[Facs]],4),facs_rezone_max) + tech_6_4*TblTech[[#This Row],[6-4]] + tech_10_2*TblTech[[#This Row],[10-2]] - IF(TblMagic[[#This Row],[Active Mechanical Genius]]&gt;0,mech_genius_bonus,0) + race_rezone_cost) * TblRezone[[#This Row],[Plat/acre*]],0)</f>
        <v>125</v>
      </c>
      <c r="Y16" s="69" t="n">
        <f aca="false">TblRezone[[#This Row],[Total acres]]*TblRezone[[#This Row],[Plat/acre]]</f>
        <v>4375</v>
      </c>
      <c r="Z16" s="245"/>
      <c r="AA16" s="69" t="n">
        <f aca="false">250+0.6*(TblRezone[[#This Row],[Land]]-250)</f>
        <v>250</v>
      </c>
      <c r="AB16" s="245"/>
      <c r="AC16" s="150" t="n">
        <f aca="false">TblConstr[[#This Row],[Facs DB]]</f>
        <v>0.112</v>
      </c>
    </row>
    <row r="17" customFormat="false" ht="12.75" hidden="false" customHeight="false" outlineLevel="0" collapsed="false">
      <c r="A17" s="181" t="n">
        <f aca="false">TblConstr[[#This Row],[Land]]</f>
        <v>250</v>
      </c>
      <c r="B17" s="246" t="n">
        <f aca="false">TblConstr[[#This Row],[Plain]]</f>
        <v>0</v>
      </c>
      <c r="C17" s="193" t="n">
        <f aca="false">TblConstr[[#This Row],[Forest]]</f>
        <v>0</v>
      </c>
      <c r="D17" s="200" t="n">
        <f aca="false">TblConstr[[#This Row],[Mountain]]</f>
        <v>0</v>
      </c>
      <c r="E17" s="201" t="n">
        <f aca="false">TblConstr[[#This Row],[Hill]]</f>
        <v>0</v>
      </c>
      <c r="F17" s="202" t="n">
        <f aca="false">TblConstr[[#This Row],[Swamp]]</f>
        <v>0</v>
      </c>
      <c r="G17" s="197" t="n">
        <f aca="false">TblConstr[[#This Row],[Cavern]]</f>
        <v>0</v>
      </c>
      <c r="H17" s="198" t="n">
        <f aca="false">TblConstr[[#This Row],[Water]]</f>
        <v>0</v>
      </c>
      <c r="I17" s="245"/>
      <c r="J17" s="269" t="n">
        <f aca="false">J16+1</f>
        <v>14</v>
      </c>
      <c r="K17" s="270" t="n">
        <f aca="false">TblImps[[#This Row],[Real time]]</f>
        <v>45430.2916666667</v>
      </c>
      <c r="L17" s="182"/>
      <c r="M17" s="182"/>
      <c r="N17" s="182"/>
      <c r="O17" s="182"/>
      <c r="P17" s="182"/>
      <c r="Q17" s="182"/>
      <c r="R17" s="182"/>
      <c r="S17" s="69" t="n">
        <f aca="false">SUMIF(TblRezone[[#This Row],[Plains Rezone]:[Water Rezone]],"&gt;0")</f>
        <v>0</v>
      </c>
      <c r="T17" s="33" t="str">
        <f aca="false">IF(SUM(TblRezone[[#This Row],[Plains Rezone]:[Water Rezone]])=0,"Ok","Nope")</f>
        <v>Ok</v>
      </c>
      <c r="U17" s="245"/>
      <c r="V17" s="69" t="n">
        <f aca="false">TblProd[[#This Row],[Platinum]]</f>
        <v>35376</v>
      </c>
      <c r="W17" s="245"/>
      <c r="X17" s="69" t="n">
        <f aca="false">ROUNDUP( (1-MIN(ROUND(facs_rezone_factor*TblRezone[[#This Row],[Facs]],4),facs_rezone_max) + tech_6_4*TblTech[[#This Row],[6-4]] + tech_10_2*TblTech[[#This Row],[10-2]] - IF(TblMagic[[#This Row],[Active Mechanical Genius]]&gt;0,mech_genius_bonus,0) + race_rezone_cost) * TblRezone[[#This Row],[Plat/acre*]],0)</f>
        <v>125</v>
      </c>
      <c r="Y17" s="69" t="n">
        <f aca="false">TblRezone[[#This Row],[Total acres]]*TblRezone[[#This Row],[Plat/acre]]</f>
        <v>0</v>
      </c>
      <c r="Z17" s="245"/>
      <c r="AA17" s="69" t="n">
        <f aca="false">250+0.6*(TblRezone[[#This Row],[Land]]-250)</f>
        <v>250</v>
      </c>
      <c r="AB17" s="245"/>
      <c r="AC17" s="150" t="n">
        <f aca="false">TblConstr[[#This Row],[Facs DB]]</f>
        <v>0.112</v>
      </c>
    </row>
    <row r="18" customFormat="false" ht="12.75" hidden="false" customHeight="false" outlineLevel="0" collapsed="false">
      <c r="A18" s="181" t="n">
        <f aca="false">TblConstr[[#This Row],[Land]]</f>
        <v>250</v>
      </c>
      <c r="B18" s="246" t="n">
        <f aca="false">TblConstr[[#This Row],[Plain]]</f>
        <v>0</v>
      </c>
      <c r="C18" s="193" t="n">
        <f aca="false">TblConstr[[#This Row],[Forest]]</f>
        <v>0</v>
      </c>
      <c r="D18" s="200" t="n">
        <f aca="false">TblConstr[[#This Row],[Mountain]]</f>
        <v>0</v>
      </c>
      <c r="E18" s="201" t="n">
        <f aca="false">TblConstr[[#This Row],[Hill]]</f>
        <v>0</v>
      </c>
      <c r="F18" s="202" t="n">
        <f aca="false">TblConstr[[#This Row],[Swamp]]</f>
        <v>0</v>
      </c>
      <c r="G18" s="197" t="n">
        <f aca="false">TblConstr[[#This Row],[Cavern]]</f>
        <v>0</v>
      </c>
      <c r="H18" s="198" t="n">
        <f aca="false">TblConstr[[#This Row],[Water]]</f>
        <v>0</v>
      </c>
      <c r="I18" s="245"/>
      <c r="J18" s="269" t="n">
        <f aca="false">J17+1</f>
        <v>15</v>
      </c>
      <c r="K18" s="270" t="n">
        <f aca="false">TblImps[[#This Row],[Real time]]</f>
        <v>45430.3333333333</v>
      </c>
      <c r="L18" s="182"/>
      <c r="M18" s="182"/>
      <c r="N18" s="182"/>
      <c r="O18" s="182"/>
      <c r="P18" s="182"/>
      <c r="Q18" s="182"/>
      <c r="R18" s="182"/>
      <c r="S18" s="69" t="n">
        <f aca="false">SUMIF(TblRezone[[#This Row],[Plains Rezone]:[Water Rezone]],"&gt;0")</f>
        <v>0</v>
      </c>
      <c r="T18" s="33" t="str">
        <f aca="false">IF(SUM(TblRezone[[#This Row],[Plains Rezone]:[Water Rezone]])=0,"Ok","Nope")</f>
        <v>Ok</v>
      </c>
      <c r="U18" s="245"/>
      <c r="V18" s="69" t="n">
        <f aca="false">TblProd[[#This Row],[Platinum]]</f>
        <v>43350</v>
      </c>
      <c r="W18" s="245"/>
      <c r="X18" s="69" t="n">
        <f aca="false">ROUNDUP( (1-MIN(ROUND(facs_rezone_factor*TblRezone[[#This Row],[Facs]],4),facs_rezone_max) + tech_6_4*TblTech[[#This Row],[6-4]] + tech_10_2*TblTech[[#This Row],[10-2]] - IF(TblMagic[[#This Row],[Active Mechanical Genius]]&gt;0,mech_genius_bonus,0) + race_rezone_cost) * TblRezone[[#This Row],[Plat/acre*]],0)</f>
        <v>125</v>
      </c>
      <c r="Y18" s="69" t="n">
        <f aca="false">TblRezone[[#This Row],[Total acres]]*TblRezone[[#This Row],[Plat/acre]]</f>
        <v>0</v>
      </c>
      <c r="Z18" s="245"/>
      <c r="AA18" s="69" t="n">
        <f aca="false">250+0.6*(TblRezone[[#This Row],[Land]]-250)</f>
        <v>250</v>
      </c>
      <c r="AB18" s="245"/>
      <c r="AC18" s="150" t="n">
        <f aca="false">TblConstr[[#This Row],[Facs DB]]</f>
        <v>0.112</v>
      </c>
    </row>
    <row r="19" customFormat="false" ht="12.75" hidden="false" customHeight="false" outlineLevel="0" collapsed="false">
      <c r="A19" s="181" t="n">
        <f aca="false">TblConstr[[#This Row],[Land]]</f>
        <v>250</v>
      </c>
      <c r="B19" s="246" t="n">
        <f aca="false">TblConstr[[#This Row],[Plain]]</f>
        <v>0</v>
      </c>
      <c r="C19" s="193" t="n">
        <f aca="false">TblConstr[[#This Row],[Forest]]</f>
        <v>0</v>
      </c>
      <c r="D19" s="200" t="n">
        <f aca="false">TblConstr[[#This Row],[Mountain]]</f>
        <v>0</v>
      </c>
      <c r="E19" s="201" t="n">
        <f aca="false">TblConstr[[#This Row],[Hill]]</f>
        <v>0</v>
      </c>
      <c r="F19" s="202" t="n">
        <f aca="false">TblConstr[[#This Row],[Swamp]]</f>
        <v>0</v>
      </c>
      <c r="G19" s="197" t="n">
        <f aca="false">TblConstr[[#This Row],[Cavern]]</f>
        <v>0</v>
      </c>
      <c r="H19" s="198" t="n">
        <f aca="false">TblConstr[[#This Row],[Water]]</f>
        <v>0</v>
      </c>
      <c r="I19" s="245"/>
      <c r="J19" s="269" t="n">
        <f aca="false">J18+1</f>
        <v>16</v>
      </c>
      <c r="K19" s="270" t="n">
        <f aca="false">TblImps[[#This Row],[Real time]]</f>
        <v>45430.375</v>
      </c>
      <c r="L19" s="182"/>
      <c r="M19" s="182"/>
      <c r="N19" s="182"/>
      <c r="O19" s="182"/>
      <c r="P19" s="182"/>
      <c r="Q19" s="182"/>
      <c r="R19" s="182"/>
      <c r="S19" s="69" t="n">
        <f aca="false">SUMIF(TblRezone[[#This Row],[Plains Rezone]:[Water Rezone]],"&gt;0")</f>
        <v>0</v>
      </c>
      <c r="T19" s="33" t="str">
        <f aca="false">IF(SUM(TblRezone[[#This Row],[Plains Rezone]:[Water Rezone]])=0,"Ok","Nope")</f>
        <v>Ok</v>
      </c>
      <c r="U19" s="245"/>
      <c r="V19" s="69" t="n">
        <f aca="false">TblProd[[#This Row],[Platinum]]</f>
        <v>51651</v>
      </c>
      <c r="W19" s="245"/>
      <c r="X19" s="69" t="n">
        <f aca="false">ROUNDUP( (1-MIN(ROUND(facs_rezone_factor*TblRezone[[#This Row],[Facs]],4),facs_rezone_max) + tech_6_4*TblTech[[#This Row],[6-4]] + tech_10_2*TblTech[[#This Row],[10-2]] - IF(TblMagic[[#This Row],[Active Mechanical Genius]]&gt;0,mech_genius_bonus,0) + race_rezone_cost) * TblRezone[[#This Row],[Plat/acre*]],0)</f>
        <v>125</v>
      </c>
      <c r="Y19" s="69" t="n">
        <f aca="false">TblRezone[[#This Row],[Total acres]]*TblRezone[[#This Row],[Plat/acre]]</f>
        <v>0</v>
      </c>
      <c r="Z19" s="245"/>
      <c r="AA19" s="69" t="n">
        <f aca="false">250+0.6*(TblRezone[[#This Row],[Land]]-250)</f>
        <v>250</v>
      </c>
      <c r="AB19" s="245"/>
      <c r="AC19" s="150" t="n">
        <f aca="false">TblConstr[[#This Row],[Facs DB]]</f>
        <v>0.112</v>
      </c>
    </row>
    <row r="20" customFormat="false" ht="12.75" hidden="false" customHeight="false" outlineLevel="0" collapsed="false">
      <c r="A20" s="181" t="n">
        <f aca="false">TblConstr[[#This Row],[Land]]</f>
        <v>250</v>
      </c>
      <c r="B20" s="246" t="n">
        <f aca="false">TblConstr[[#This Row],[Plain]]</f>
        <v>0</v>
      </c>
      <c r="C20" s="193" t="n">
        <f aca="false">TblConstr[[#This Row],[Forest]]</f>
        <v>0</v>
      </c>
      <c r="D20" s="200" t="n">
        <f aca="false">TblConstr[[#This Row],[Mountain]]</f>
        <v>0</v>
      </c>
      <c r="E20" s="201" t="n">
        <f aca="false">TblConstr[[#This Row],[Hill]]</f>
        <v>0</v>
      </c>
      <c r="F20" s="202" t="n">
        <f aca="false">TblConstr[[#This Row],[Swamp]]</f>
        <v>0</v>
      </c>
      <c r="G20" s="197" t="n">
        <f aca="false">TblConstr[[#This Row],[Cavern]]</f>
        <v>0</v>
      </c>
      <c r="H20" s="198" t="n">
        <f aca="false">TblConstr[[#This Row],[Water]]</f>
        <v>0</v>
      </c>
      <c r="I20" s="245"/>
      <c r="J20" s="269" t="n">
        <f aca="false">J19+1</f>
        <v>17</v>
      </c>
      <c r="K20" s="270" t="n">
        <f aca="false">TblImps[[#This Row],[Real time]]</f>
        <v>45430.4166666667</v>
      </c>
      <c r="L20" s="182"/>
      <c r="M20" s="182"/>
      <c r="N20" s="182"/>
      <c r="O20" s="182"/>
      <c r="P20" s="182"/>
      <c r="Q20" s="182"/>
      <c r="R20" s="182"/>
      <c r="S20" s="69" t="n">
        <f aca="false">SUMIF(TblRezone[[#This Row],[Plains Rezone]:[Water Rezone]],"&gt;0")</f>
        <v>0</v>
      </c>
      <c r="T20" s="33" t="str">
        <f aca="false">IF(SUM(TblRezone[[#This Row],[Plains Rezone]:[Water Rezone]])=0,"Ok","Nope")</f>
        <v>Ok</v>
      </c>
      <c r="U20" s="245"/>
      <c r="V20" s="69" t="n">
        <f aca="false">TblProd[[#This Row],[Platinum]]</f>
        <v>61168</v>
      </c>
      <c r="W20" s="245"/>
      <c r="X20" s="69" t="n">
        <f aca="false">ROUNDUP( (1-MIN(ROUND(facs_rezone_factor*TblRezone[[#This Row],[Facs]],4),facs_rezone_max) + tech_6_4*TblTech[[#This Row],[6-4]] + tech_10_2*TblTech[[#This Row],[10-2]] - IF(TblMagic[[#This Row],[Active Mechanical Genius]]&gt;0,mech_genius_bonus,0) + race_rezone_cost) * TblRezone[[#This Row],[Plat/acre*]],0)</f>
        <v>125</v>
      </c>
      <c r="Y20" s="69" t="n">
        <f aca="false">TblRezone[[#This Row],[Total acres]]*TblRezone[[#This Row],[Plat/acre]]</f>
        <v>0</v>
      </c>
      <c r="Z20" s="245"/>
      <c r="AA20" s="69" t="n">
        <f aca="false">250+0.6*(TblRezone[[#This Row],[Land]]-250)</f>
        <v>250</v>
      </c>
      <c r="AB20" s="245"/>
      <c r="AC20" s="150" t="n">
        <f aca="false">TblConstr[[#This Row],[Facs DB]]</f>
        <v>0.112</v>
      </c>
    </row>
    <row r="21" customFormat="false" ht="12.75" hidden="false" customHeight="false" outlineLevel="0" collapsed="false">
      <c r="A21" s="181" t="n">
        <f aca="false">TblConstr[[#This Row],[Land]]</f>
        <v>274</v>
      </c>
      <c r="B21" s="246" t="n">
        <f aca="false">TblConstr[[#This Row],[Plain]]</f>
        <v>0</v>
      </c>
      <c r="C21" s="193" t="n">
        <f aca="false">TblConstr[[#This Row],[Forest]]</f>
        <v>0</v>
      </c>
      <c r="D21" s="200" t="n">
        <f aca="false">TblConstr[[#This Row],[Mountain]]</f>
        <v>0</v>
      </c>
      <c r="E21" s="201" t="n">
        <f aca="false">TblConstr[[#This Row],[Hill]]</f>
        <v>0</v>
      </c>
      <c r="F21" s="202" t="n">
        <f aca="false">TblConstr[[#This Row],[Swamp]]</f>
        <v>0</v>
      </c>
      <c r="G21" s="197" t="n">
        <f aca="false">TblConstr[[#This Row],[Cavern]]</f>
        <v>0</v>
      </c>
      <c r="H21" s="198" t="n">
        <f aca="false">TblConstr[[#This Row],[Water]]</f>
        <v>0</v>
      </c>
      <c r="I21" s="245"/>
      <c r="J21" s="269" t="n">
        <f aca="false">J20+1</f>
        <v>18</v>
      </c>
      <c r="K21" s="270" t="n">
        <f aca="false">TblImps[[#This Row],[Real time]]</f>
        <v>45430.4583333333</v>
      </c>
      <c r="L21" s="182"/>
      <c r="M21" s="182"/>
      <c r="N21" s="182"/>
      <c r="O21" s="182"/>
      <c r="P21" s="182"/>
      <c r="Q21" s="182"/>
      <c r="R21" s="182"/>
      <c r="S21" s="69" t="n">
        <f aca="false">SUMIF(TblRezone[[#This Row],[Plains Rezone]:[Water Rezone]],"&gt;0")</f>
        <v>0</v>
      </c>
      <c r="T21" s="33" t="str">
        <f aca="false">IF(SUM(TblRezone[[#This Row],[Plains Rezone]:[Water Rezone]])=0,"Ok","Nope")</f>
        <v>Ok</v>
      </c>
      <c r="U21" s="245"/>
      <c r="V21" s="69" t="n">
        <f aca="false">TblProd[[#This Row],[Platinum]]</f>
        <v>980</v>
      </c>
      <c r="W21" s="245"/>
      <c r="X21" s="69" t="n">
        <f aca="false">ROUNDUP( (1-MIN(ROUND(facs_rezone_factor*TblRezone[[#This Row],[Facs]],4),facs_rezone_max) + tech_6_4*TblTech[[#This Row],[6-4]] + tech_10_2*TblTech[[#This Row],[10-2]] - IF(TblMagic[[#This Row],[Active Mechanical Genius]]&gt;0,mech_genius_bonus,0) + race_rezone_cost) * TblRezone[[#This Row],[Plat/acre*]],0)</f>
        <v>133</v>
      </c>
      <c r="Y21" s="69" t="n">
        <f aca="false">TblRezone[[#This Row],[Total acres]]*TblRezone[[#This Row],[Plat/acre]]</f>
        <v>0</v>
      </c>
      <c r="Z21" s="245"/>
      <c r="AA21" s="69" t="n">
        <f aca="false">250+0.6*(TblRezone[[#This Row],[Land]]-250)</f>
        <v>264.4</v>
      </c>
      <c r="AB21" s="245"/>
      <c r="AC21" s="150" t="n">
        <f aca="false">TblConstr[[#This Row],[Facs DB]]</f>
        <v>0.102189781021898</v>
      </c>
    </row>
    <row r="22" customFormat="false" ht="12.75" hidden="false" customHeight="false" outlineLevel="0" collapsed="false">
      <c r="A22" s="181" t="n">
        <f aca="false">TblConstr[[#This Row],[Land]]</f>
        <v>275</v>
      </c>
      <c r="B22" s="246" t="n">
        <f aca="false">TblConstr[[#This Row],[Plain]]</f>
        <v>0</v>
      </c>
      <c r="C22" s="193" t="n">
        <f aca="false">TblConstr[[#This Row],[Forest]]</f>
        <v>0</v>
      </c>
      <c r="D22" s="200" t="n">
        <f aca="false">TblConstr[[#This Row],[Mountain]]</f>
        <v>0</v>
      </c>
      <c r="E22" s="201" t="n">
        <f aca="false">TblConstr[[#This Row],[Hill]]</f>
        <v>0</v>
      </c>
      <c r="F22" s="202" t="n">
        <f aca="false">TblConstr[[#This Row],[Swamp]]</f>
        <v>0</v>
      </c>
      <c r="G22" s="197" t="n">
        <f aca="false">TblConstr[[#This Row],[Cavern]]</f>
        <v>0</v>
      </c>
      <c r="H22" s="198" t="n">
        <f aca="false">TblConstr[[#This Row],[Water]]</f>
        <v>0</v>
      </c>
      <c r="I22" s="245"/>
      <c r="J22" s="269" t="n">
        <f aca="false">J21+1</f>
        <v>19</v>
      </c>
      <c r="K22" s="270" t="n">
        <f aca="false">TblImps[[#This Row],[Real time]]</f>
        <v>45430.5</v>
      </c>
      <c r="L22" s="182"/>
      <c r="M22" s="182"/>
      <c r="N22" s="182"/>
      <c r="O22" s="182"/>
      <c r="P22" s="182"/>
      <c r="Q22" s="182"/>
      <c r="R22" s="182"/>
      <c r="S22" s="69" t="n">
        <f aca="false">SUMIF(TblRezone[[#This Row],[Plains Rezone]:[Water Rezone]],"&gt;0")</f>
        <v>0</v>
      </c>
      <c r="T22" s="33" t="str">
        <f aca="false">IF(SUM(TblRezone[[#This Row],[Plains Rezone]:[Water Rezone]])=0,"Ok","Nope")</f>
        <v>Ok</v>
      </c>
      <c r="U22" s="245"/>
      <c r="V22" s="69" t="n">
        <f aca="false">TblProd[[#This Row],[Platinum]]</f>
        <v>1245</v>
      </c>
      <c r="W22" s="245"/>
      <c r="X22" s="69" t="n">
        <f aca="false">ROUNDUP( (1-MIN(ROUND(facs_rezone_factor*TblRezone[[#This Row],[Facs]],4),facs_rezone_max) + tech_6_4*TblTech[[#This Row],[6-4]] + tech_10_2*TblTech[[#This Row],[10-2]] - IF(TblMagic[[#This Row],[Active Mechanical Genius]]&gt;0,mech_genius_bonus,0) + race_rezone_cost) * TblRezone[[#This Row],[Plat/acre*]],0)</f>
        <v>133</v>
      </c>
      <c r="Y22" s="69" t="n">
        <f aca="false">TblRezone[[#This Row],[Total acres]]*TblRezone[[#This Row],[Plat/acre]]</f>
        <v>0</v>
      </c>
      <c r="Z22" s="245"/>
      <c r="AA22" s="69" t="n">
        <f aca="false">250+0.6*(TblRezone[[#This Row],[Land]]-250)</f>
        <v>265</v>
      </c>
      <c r="AB22" s="245"/>
      <c r="AC22" s="150" t="n">
        <f aca="false">TblConstr[[#This Row],[Facs DB]]</f>
        <v>0.101818181818182</v>
      </c>
    </row>
    <row r="23" customFormat="false" ht="12.75" hidden="false" customHeight="false" outlineLevel="0" collapsed="false">
      <c r="A23" s="181" t="n">
        <f aca="false">TblConstr[[#This Row],[Land]]</f>
        <v>276</v>
      </c>
      <c r="B23" s="246" t="n">
        <f aca="false">TblConstr[[#This Row],[Plain]]</f>
        <v>0</v>
      </c>
      <c r="C23" s="193" t="n">
        <f aca="false">TblConstr[[#This Row],[Forest]]</f>
        <v>0</v>
      </c>
      <c r="D23" s="200" t="n">
        <f aca="false">TblConstr[[#This Row],[Mountain]]</f>
        <v>0</v>
      </c>
      <c r="E23" s="201" t="n">
        <f aca="false">TblConstr[[#This Row],[Hill]]</f>
        <v>0</v>
      </c>
      <c r="F23" s="202" t="n">
        <f aca="false">TblConstr[[#This Row],[Swamp]]</f>
        <v>0</v>
      </c>
      <c r="G23" s="197" t="n">
        <f aca="false">TblConstr[[#This Row],[Cavern]]</f>
        <v>0</v>
      </c>
      <c r="H23" s="198" t="n">
        <f aca="false">TblConstr[[#This Row],[Water]]</f>
        <v>0</v>
      </c>
      <c r="I23" s="245"/>
      <c r="J23" s="269" t="n">
        <f aca="false">J22+1</f>
        <v>20</v>
      </c>
      <c r="K23" s="270" t="n">
        <f aca="false">TblImps[[#This Row],[Real time]]</f>
        <v>45430.5416666667</v>
      </c>
      <c r="L23" s="182"/>
      <c r="M23" s="182"/>
      <c r="N23" s="182"/>
      <c r="O23" s="182"/>
      <c r="P23" s="182"/>
      <c r="Q23" s="182"/>
      <c r="R23" s="182"/>
      <c r="S23" s="69" t="n">
        <f aca="false">SUMIF(TblRezone[[#This Row],[Plains Rezone]:[Water Rezone]],"&gt;0")</f>
        <v>0</v>
      </c>
      <c r="T23" s="33" t="str">
        <f aca="false">IF(SUM(TblRezone[[#This Row],[Plains Rezone]:[Water Rezone]])=0,"Ok","Nope")</f>
        <v>Ok</v>
      </c>
      <c r="U23" s="245"/>
      <c r="V23" s="69" t="n">
        <f aca="false">TblProd[[#This Row],[Platinum]]</f>
        <v>1024</v>
      </c>
      <c r="W23" s="245"/>
      <c r="X23" s="69" t="n">
        <f aca="false">ROUNDUP( (1-MIN(ROUND(facs_rezone_factor*TblRezone[[#This Row],[Facs]],4),facs_rezone_max) + tech_6_4*TblTech[[#This Row],[6-4]] + tech_10_2*TblTech[[#This Row],[10-2]] - IF(TblMagic[[#This Row],[Active Mechanical Genius]]&gt;0,mech_genius_bonus,0) + race_rezone_cost) * TblRezone[[#This Row],[Plat/acre*]],0)</f>
        <v>133</v>
      </c>
      <c r="Y23" s="69" t="n">
        <f aca="false">TblRezone[[#This Row],[Total acres]]*TblRezone[[#This Row],[Plat/acre]]</f>
        <v>0</v>
      </c>
      <c r="Z23" s="245"/>
      <c r="AA23" s="69" t="n">
        <f aca="false">250+0.6*(TblRezone[[#This Row],[Land]]-250)</f>
        <v>265.6</v>
      </c>
      <c r="AB23" s="245"/>
      <c r="AC23" s="150" t="n">
        <f aca="false">TblConstr[[#This Row],[Facs DB]]</f>
        <v>0.101449275362319</v>
      </c>
    </row>
    <row r="24" customFormat="false" ht="12.75" hidden="false" customHeight="false" outlineLevel="0" collapsed="false">
      <c r="A24" s="181" t="n">
        <f aca="false">TblConstr[[#This Row],[Land]]</f>
        <v>277</v>
      </c>
      <c r="B24" s="246" t="n">
        <f aca="false">TblConstr[[#This Row],[Plain]]</f>
        <v>0</v>
      </c>
      <c r="C24" s="193" t="n">
        <f aca="false">TblConstr[[#This Row],[Forest]]</f>
        <v>0</v>
      </c>
      <c r="D24" s="200" t="n">
        <f aca="false">TblConstr[[#This Row],[Mountain]]</f>
        <v>0</v>
      </c>
      <c r="E24" s="201" t="n">
        <f aca="false">TblConstr[[#This Row],[Hill]]</f>
        <v>0</v>
      </c>
      <c r="F24" s="202" t="n">
        <f aca="false">TblConstr[[#This Row],[Swamp]]</f>
        <v>0</v>
      </c>
      <c r="G24" s="197" t="n">
        <f aca="false">TblConstr[[#This Row],[Cavern]]</f>
        <v>0</v>
      </c>
      <c r="H24" s="198" t="n">
        <f aca="false">TblConstr[[#This Row],[Water]]</f>
        <v>0</v>
      </c>
      <c r="I24" s="245"/>
      <c r="J24" s="269" t="n">
        <f aca="false">J23+1</f>
        <v>21</v>
      </c>
      <c r="K24" s="270" t="n">
        <f aca="false">TblImps[[#This Row],[Real time]]</f>
        <v>45430.5833333333</v>
      </c>
      <c r="L24" s="182"/>
      <c r="M24" s="182"/>
      <c r="N24" s="182"/>
      <c r="O24" s="182"/>
      <c r="P24" s="182"/>
      <c r="Q24" s="182"/>
      <c r="R24" s="182"/>
      <c r="S24" s="69" t="n">
        <f aca="false">SUMIF(TblRezone[[#This Row],[Plains Rezone]:[Water Rezone]],"&gt;0")</f>
        <v>0</v>
      </c>
      <c r="T24" s="33" t="str">
        <f aca="false">IF(SUM(TblRezone[[#This Row],[Plains Rezone]:[Water Rezone]])=0,"Ok","Nope")</f>
        <v>Ok</v>
      </c>
      <c r="U24" s="245"/>
      <c r="V24" s="69" t="n">
        <f aca="false">TblProd[[#This Row],[Platinum]]</f>
        <v>1231</v>
      </c>
      <c r="W24" s="245"/>
      <c r="X24" s="69" t="n">
        <f aca="false">ROUNDUP( (1-MIN(ROUND(facs_rezone_factor*TblRezone[[#This Row],[Facs]],4),facs_rezone_max) + tech_6_4*TblTech[[#This Row],[6-4]] + tech_10_2*TblTech[[#This Row],[10-2]] - IF(TblMagic[[#This Row],[Active Mechanical Genius]]&gt;0,mech_genius_bonus,0) + race_rezone_cost) * TblRezone[[#This Row],[Plat/acre*]],0)</f>
        <v>134</v>
      </c>
      <c r="Y24" s="69" t="n">
        <f aca="false">TblRezone[[#This Row],[Total acres]]*TblRezone[[#This Row],[Plat/acre]]</f>
        <v>0</v>
      </c>
      <c r="Z24" s="245"/>
      <c r="AA24" s="69" t="n">
        <f aca="false">250+0.6*(TblRezone[[#This Row],[Land]]-250)</f>
        <v>266.2</v>
      </c>
      <c r="AB24" s="245"/>
      <c r="AC24" s="150" t="n">
        <f aca="false">TblConstr[[#This Row],[Facs DB]]</f>
        <v>0.101083032490975</v>
      </c>
    </row>
    <row r="25" customFormat="false" ht="12.75" hidden="false" customHeight="false" outlineLevel="0" collapsed="false">
      <c r="A25" s="181" t="n">
        <f aca="false">TblConstr[[#This Row],[Land]]</f>
        <v>278</v>
      </c>
      <c r="B25" s="246" t="n">
        <f aca="false">TblConstr[[#This Row],[Plain]]</f>
        <v>0</v>
      </c>
      <c r="C25" s="193" t="n">
        <f aca="false">TblConstr[[#This Row],[Forest]]</f>
        <v>0</v>
      </c>
      <c r="D25" s="200" t="n">
        <f aca="false">TblConstr[[#This Row],[Mountain]]</f>
        <v>0</v>
      </c>
      <c r="E25" s="201" t="n">
        <f aca="false">TblConstr[[#This Row],[Hill]]</f>
        <v>0</v>
      </c>
      <c r="F25" s="202" t="n">
        <f aca="false">TblConstr[[#This Row],[Swamp]]</f>
        <v>0</v>
      </c>
      <c r="G25" s="197" t="n">
        <f aca="false">TblConstr[[#This Row],[Cavern]]</f>
        <v>0</v>
      </c>
      <c r="H25" s="198" t="n">
        <f aca="false">TblConstr[[#This Row],[Water]]</f>
        <v>0</v>
      </c>
      <c r="I25" s="245"/>
      <c r="J25" s="269" t="n">
        <f aca="false">J24+1</f>
        <v>22</v>
      </c>
      <c r="K25" s="270" t="n">
        <f aca="false">TblImps[[#This Row],[Real time]]</f>
        <v>45430.625</v>
      </c>
      <c r="L25" s="182"/>
      <c r="M25" s="182"/>
      <c r="N25" s="182"/>
      <c r="O25" s="182"/>
      <c r="P25" s="182"/>
      <c r="Q25" s="182"/>
      <c r="R25" s="182"/>
      <c r="S25" s="69" t="n">
        <f aca="false">SUMIF(TblRezone[[#This Row],[Plains Rezone]:[Water Rezone]],"&gt;0")</f>
        <v>0</v>
      </c>
      <c r="T25" s="33" t="str">
        <f aca="false">IF(SUM(TblRezone[[#This Row],[Plains Rezone]:[Water Rezone]])=0,"Ok","Nope")</f>
        <v>Ok</v>
      </c>
      <c r="U25" s="245"/>
      <c r="V25" s="69" t="n">
        <f aca="false">TblProd[[#This Row],[Platinum]]</f>
        <v>9969</v>
      </c>
      <c r="W25" s="245"/>
      <c r="X25" s="69" t="n">
        <f aca="false">ROUNDUP( (1-MIN(ROUND(facs_rezone_factor*TblRezone[[#This Row],[Facs]],4),facs_rezone_max) + tech_6_4*TblTech[[#This Row],[6-4]] + tech_10_2*TblTech[[#This Row],[10-2]] - IF(TblMagic[[#This Row],[Active Mechanical Genius]]&gt;0,mech_genius_bonus,0) + race_rezone_cost) * TblRezone[[#This Row],[Plat/acre*]],0)</f>
        <v>134</v>
      </c>
      <c r="Y25" s="69" t="n">
        <f aca="false">TblRezone[[#This Row],[Total acres]]*TblRezone[[#This Row],[Plat/acre]]</f>
        <v>0</v>
      </c>
      <c r="Z25" s="245"/>
      <c r="AA25" s="69" t="n">
        <f aca="false">250+0.6*(TblRezone[[#This Row],[Land]]-250)</f>
        <v>266.8</v>
      </c>
      <c r="AB25" s="245"/>
      <c r="AC25" s="150" t="n">
        <f aca="false">TblConstr[[#This Row],[Facs DB]]</f>
        <v>0.100719424460432</v>
      </c>
    </row>
    <row r="26" customFormat="false" ht="12.75" hidden="false" customHeight="false" outlineLevel="0" collapsed="false">
      <c r="A26" s="181" t="n">
        <f aca="false">TblConstr[[#This Row],[Land]]</f>
        <v>279</v>
      </c>
      <c r="B26" s="246" t="n">
        <f aca="false">TblConstr[[#This Row],[Plain]]</f>
        <v>0</v>
      </c>
      <c r="C26" s="193" t="n">
        <f aca="false">TblConstr[[#This Row],[Forest]]</f>
        <v>0</v>
      </c>
      <c r="D26" s="200" t="n">
        <f aca="false">TblConstr[[#This Row],[Mountain]]</f>
        <v>0</v>
      </c>
      <c r="E26" s="201" t="n">
        <f aca="false">TblConstr[[#This Row],[Hill]]</f>
        <v>0</v>
      </c>
      <c r="F26" s="202" t="n">
        <f aca="false">TblConstr[[#This Row],[Swamp]]</f>
        <v>0</v>
      </c>
      <c r="G26" s="197" t="n">
        <f aca="false">TblConstr[[#This Row],[Cavern]]</f>
        <v>0</v>
      </c>
      <c r="H26" s="198" t="n">
        <f aca="false">TblConstr[[#This Row],[Water]]</f>
        <v>0</v>
      </c>
      <c r="I26" s="245"/>
      <c r="J26" s="269" t="n">
        <f aca="false">J25+1</f>
        <v>23</v>
      </c>
      <c r="K26" s="270" t="n">
        <f aca="false">TblImps[[#This Row],[Real time]]</f>
        <v>45430.6666666667</v>
      </c>
      <c r="L26" s="182"/>
      <c r="M26" s="182"/>
      <c r="N26" s="182"/>
      <c r="O26" s="182"/>
      <c r="P26" s="182"/>
      <c r="Q26" s="182"/>
      <c r="R26" s="182"/>
      <c r="S26" s="69" t="n">
        <f aca="false">SUMIF(TblRezone[[#This Row],[Plains Rezone]:[Water Rezone]],"&gt;0")</f>
        <v>0</v>
      </c>
      <c r="T26" s="33" t="str">
        <f aca="false">IF(SUM(TblRezone[[#This Row],[Plains Rezone]:[Water Rezone]])=0,"Ok","Nope")</f>
        <v>Ok</v>
      </c>
      <c r="U26" s="245"/>
      <c r="V26" s="69" t="n">
        <f aca="false">TblProd[[#This Row],[Platinum]]</f>
        <v>20132</v>
      </c>
      <c r="W26" s="245"/>
      <c r="X26" s="69" t="n">
        <f aca="false">ROUNDUP( (1-MIN(ROUND(facs_rezone_factor*TblRezone[[#This Row],[Facs]],4),facs_rezone_max) + tech_6_4*TblTech[[#This Row],[6-4]] + tech_10_2*TblTech[[#This Row],[10-2]] - IF(TblMagic[[#This Row],[Active Mechanical Genius]]&gt;0,mech_genius_bonus,0) + race_rezone_cost) * TblRezone[[#This Row],[Plat/acre*]],0)</f>
        <v>134</v>
      </c>
      <c r="Y26" s="69" t="n">
        <f aca="false">TblRezone[[#This Row],[Total acres]]*TblRezone[[#This Row],[Plat/acre]]</f>
        <v>0</v>
      </c>
      <c r="Z26" s="245"/>
      <c r="AA26" s="69" t="n">
        <f aca="false">250+0.6*(TblRezone[[#This Row],[Land]]-250)</f>
        <v>267.4</v>
      </c>
      <c r="AB26" s="245"/>
      <c r="AC26" s="150" t="n">
        <f aca="false">TblConstr[[#This Row],[Facs DB]]</f>
        <v>0.100358422939068</v>
      </c>
    </row>
    <row r="27" customFormat="false" ht="12.75" hidden="false" customHeight="false" outlineLevel="0" collapsed="false">
      <c r="A27" s="181" t="n">
        <f aca="false">TblConstr[[#This Row],[Land]]</f>
        <v>299</v>
      </c>
      <c r="B27" s="246" t="n">
        <f aca="false">TblConstr[[#This Row],[Plain]]</f>
        <v>0</v>
      </c>
      <c r="C27" s="193" t="n">
        <f aca="false">TblConstr[[#This Row],[Forest]]</f>
        <v>0</v>
      </c>
      <c r="D27" s="200" t="n">
        <f aca="false">TblConstr[[#This Row],[Mountain]]</f>
        <v>0</v>
      </c>
      <c r="E27" s="201" t="n">
        <f aca="false">TblConstr[[#This Row],[Hill]]</f>
        <v>0</v>
      </c>
      <c r="F27" s="202" t="n">
        <f aca="false">TblConstr[[#This Row],[Swamp]]</f>
        <v>0</v>
      </c>
      <c r="G27" s="197" t="n">
        <f aca="false">TblConstr[[#This Row],[Cavern]]</f>
        <v>0</v>
      </c>
      <c r="H27" s="198" t="n">
        <f aca="false">TblConstr[[#This Row],[Water]]</f>
        <v>0</v>
      </c>
      <c r="I27" s="245"/>
      <c r="J27" s="269" t="n">
        <f aca="false">J26+1</f>
        <v>24</v>
      </c>
      <c r="K27" s="270" t="n">
        <f aca="false">TblImps[[#This Row],[Real time]]</f>
        <v>45430.7083333333</v>
      </c>
      <c r="L27" s="182" t="n">
        <v>12</v>
      </c>
      <c r="M27" s="182"/>
      <c r="N27" s="182"/>
      <c r="O27" s="182" t="n">
        <v>8</v>
      </c>
      <c r="P27" s="182"/>
      <c r="Q27" s="182" t="n">
        <v>-20</v>
      </c>
      <c r="R27" s="182"/>
      <c r="S27" s="69" t="n">
        <f aca="false">SUMIF(TblRezone[[#This Row],[Plains Rezone]:[Water Rezone]],"&gt;0")</f>
        <v>20</v>
      </c>
      <c r="T27" s="33" t="str">
        <f aca="false">IF(SUM(TblRezone[[#This Row],[Plains Rezone]:[Water Rezone]])=0,"Ok","Nope")</f>
        <v>Ok</v>
      </c>
      <c r="U27" s="245"/>
      <c r="V27" s="69" t="n">
        <f aca="false">TblProd[[#This Row],[Platinum]]</f>
        <v>26679</v>
      </c>
      <c r="W27" s="245"/>
      <c r="X27" s="69" t="n">
        <f aca="false">ROUNDUP( (1-MIN(ROUND(facs_rezone_factor*TblRezone[[#This Row],[Facs]],4),facs_rezone_max) + tech_6_4*TblTech[[#This Row],[6-4]] + tech_10_2*TblTech[[#This Row],[10-2]] - IF(TblMagic[[#This Row],[Active Mechanical Genius]]&gt;0,mech_genius_bonus,0) + race_rezone_cost) * TblRezone[[#This Row],[Plat/acre*]],0)</f>
        <v>149</v>
      </c>
      <c r="Y27" s="69" t="n">
        <f aca="false">TblRezone[[#This Row],[Total acres]]*TblRezone[[#This Row],[Plat/acre]]</f>
        <v>2980</v>
      </c>
      <c r="Z27" s="245"/>
      <c r="AA27" s="69" t="n">
        <f aca="false">250+0.6*(TblRezone[[#This Row],[Land]]-250)</f>
        <v>279.4</v>
      </c>
      <c r="AB27" s="245"/>
      <c r="AC27" s="150" t="n">
        <f aca="false">TblConstr[[#This Row],[Facs DB]]</f>
        <v>0.0936454849498328</v>
      </c>
    </row>
    <row r="28" customFormat="false" ht="12.75" hidden="false" customHeight="false" outlineLevel="0" collapsed="false">
      <c r="A28" s="181" t="n">
        <f aca="false">TblConstr[[#This Row],[Land]]</f>
        <v>299</v>
      </c>
      <c r="B28" s="246" t="n">
        <f aca="false">TblConstr[[#This Row],[Plain]]</f>
        <v>0</v>
      </c>
      <c r="C28" s="193" t="n">
        <f aca="false">TblConstr[[#This Row],[Forest]]</f>
        <v>0</v>
      </c>
      <c r="D28" s="200" t="n">
        <f aca="false">TblConstr[[#This Row],[Mountain]]</f>
        <v>0</v>
      </c>
      <c r="E28" s="201" t="n">
        <f aca="false">TblConstr[[#This Row],[Hill]]</f>
        <v>0</v>
      </c>
      <c r="F28" s="202" t="n">
        <f aca="false">TblConstr[[#This Row],[Swamp]]</f>
        <v>0</v>
      </c>
      <c r="G28" s="197" t="n">
        <f aca="false">TblConstr[[#This Row],[Cavern]]</f>
        <v>0</v>
      </c>
      <c r="H28" s="198" t="n">
        <f aca="false">TblConstr[[#This Row],[Water]]</f>
        <v>0</v>
      </c>
      <c r="I28" s="245"/>
      <c r="J28" s="269" t="n">
        <f aca="false">J27+1</f>
        <v>25</v>
      </c>
      <c r="K28" s="270" t="n">
        <f aca="false">TblImps[[#This Row],[Real time]]</f>
        <v>45430.75</v>
      </c>
      <c r="L28" s="182"/>
      <c r="M28" s="182"/>
      <c r="N28" s="182"/>
      <c r="O28" s="182"/>
      <c r="P28" s="182"/>
      <c r="Q28" s="182"/>
      <c r="R28" s="182"/>
      <c r="S28" s="69" t="n">
        <f aca="false">SUMIF(TblRezone[[#This Row],[Plains Rezone]:[Water Rezone]],"&gt;0")</f>
        <v>0</v>
      </c>
      <c r="T28" s="33" t="str">
        <f aca="false">IF(SUM(TblRezone[[#This Row],[Plains Rezone]:[Water Rezone]])=0,"Ok","Nope")</f>
        <v>Ok</v>
      </c>
      <c r="U28" s="245"/>
      <c r="V28" s="69" t="n">
        <f aca="false">TblProd[[#This Row],[Platinum]]</f>
        <v>42902</v>
      </c>
      <c r="W28" s="245"/>
      <c r="X28" s="69" t="n">
        <f aca="false">ROUNDUP( (1-MIN(ROUND(facs_rezone_factor*TblRezone[[#This Row],[Facs]],4),facs_rezone_max) + tech_6_4*TblTech[[#This Row],[6-4]] + tech_10_2*TblTech[[#This Row],[10-2]] - IF(TblMagic[[#This Row],[Active Mechanical Genius]]&gt;0,mech_genius_bonus,0) + race_rezone_cost) * TblRezone[[#This Row],[Plat/acre*]],0)</f>
        <v>140</v>
      </c>
      <c r="Y28" s="69" t="n">
        <f aca="false">TblRezone[[#This Row],[Total acres]]*TblRezone[[#This Row],[Plat/acre]]</f>
        <v>0</v>
      </c>
      <c r="Z28" s="245"/>
      <c r="AA28" s="69" t="n">
        <f aca="false">250+0.6*(TblRezone[[#This Row],[Land]]-250)</f>
        <v>279.4</v>
      </c>
      <c r="AB28" s="245"/>
      <c r="AC28" s="150" t="n">
        <f aca="false">TblConstr[[#This Row],[Facs DB]]</f>
        <v>0.100334448160535</v>
      </c>
    </row>
    <row r="29" customFormat="false" ht="12.75" hidden="false" customHeight="false" outlineLevel="0" collapsed="false">
      <c r="A29" s="181" t="n">
        <f aca="false">TblConstr[[#This Row],[Land]]</f>
        <v>299</v>
      </c>
      <c r="B29" s="246" t="n">
        <f aca="false">TblConstr[[#This Row],[Plain]]</f>
        <v>0</v>
      </c>
      <c r="C29" s="193" t="n">
        <f aca="false">TblConstr[[#This Row],[Forest]]</f>
        <v>0</v>
      </c>
      <c r="D29" s="200" t="n">
        <f aca="false">TblConstr[[#This Row],[Mountain]]</f>
        <v>0</v>
      </c>
      <c r="E29" s="201" t="n">
        <f aca="false">TblConstr[[#This Row],[Hill]]</f>
        <v>0</v>
      </c>
      <c r="F29" s="202" t="n">
        <f aca="false">TblConstr[[#This Row],[Swamp]]</f>
        <v>0</v>
      </c>
      <c r="G29" s="197" t="n">
        <f aca="false">TblConstr[[#This Row],[Cavern]]</f>
        <v>0</v>
      </c>
      <c r="H29" s="198" t="n">
        <f aca="false">TblConstr[[#This Row],[Water]]</f>
        <v>0</v>
      </c>
      <c r="I29" s="245"/>
      <c r="J29" s="269" t="n">
        <f aca="false">J28+1</f>
        <v>26</v>
      </c>
      <c r="K29" s="270" t="n">
        <f aca="false">TblImps[[#This Row],[Real time]]</f>
        <v>45430.7916666667</v>
      </c>
      <c r="L29" s="182"/>
      <c r="M29" s="182"/>
      <c r="N29" s="182"/>
      <c r="O29" s="182"/>
      <c r="P29" s="182"/>
      <c r="Q29" s="182"/>
      <c r="R29" s="182"/>
      <c r="S29" s="69" t="n">
        <f aca="false">SUMIF(TblRezone[[#This Row],[Plains Rezone]:[Water Rezone]],"&gt;0")</f>
        <v>0</v>
      </c>
      <c r="T29" s="33" t="str">
        <f aca="false">IF(SUM(TblRezone[[#This Row],[Plains Rezone]:[Water Rezone]])=0,"Ok","Nope")</f>
        <v>Ok</v>
      </c>
      <c r="U29" s="245"/>
      <c r="V29" s="69" t="n">
        <f aca="false">TblProd[[#This Row],[Platinum]]</f>
        <v>59751</v>
      </c>
      <c r="W29" s="245"/>
      <c r="X29" s="69" t="n">
        <f aca="false">ROUNDUP( (1-MIN(ROUND(facs_rezone_factor*TblRezone[[#This Row],[Facs]],4),facs_rezone_max) + tech_6_4*TblTech[[#This Row],[6-4]] + tech_10_2*TblTech[[#This Row],[10-2]] - IF(TblMagic[[#This Row],[Active Mechanical Genius]]&gt;0,mech_genius_bonus,0) + race_rezone_cost) * TblRezone[[#This Row],[Plat/acre*]],0)</f>
        <v>140</v>
      </c>
      <c r="Y29" s="69" t="n">
        <f aca="false">TblRezone[[#This Row],[Total acres]]*TblRezone[[#This Row],[Plat/acre]]</f>
        <v>0</v>
      </c>
      <c r="Z29" s="245"/>
      <c r="AA29" s="69" t="n">
        <f aca="false">250+0.6*(TblRezone[[#This Row],[Land]]-250)</f>
        <v>279.4</v>
      </c>
      <c r="AB29" s="245"/>
      <c r="AC29" s="150" t="n">
        <f aca="false">TblConstr[[#This Row],[Facs DB]]</f>
        <v>0.100334448160535</v>
      </c>
    </row>
    <row r="30" customFormat="false" ht="12.75" hidden="false" customHeight="false" outlineLevel="0" collapsed="false">
      <c r="A30" s="181" t="n">
        <f aca="false">TblConstr[[#This Row],[Land]]</f>
        <v>299</v>
      </c>
      <c r="B30" s="246" t="n">
        <f aca="false">TblConstr[[#This Row],[Plain]]</f>
        <v>0</v>
      </c>
      <c r="C30" s="193" t="n">
        <f aca="false">TblConstr[[#This Row],[Forest]]</f>
        <v>0</v>
      </c>
      <c r="D30" s="200" t="n">
        <f aca="false">TblConstr[[#This Row],[Mountain]]</f>
        <v>0</v>
      </c>
      <c r="E30" s="201" t="n">
        <f aca="false">TblConstr[[#This Row],[Hill]]</f>
        <v>0</v>
      </c>
      <c r="F30" s="202" t="n">
        <f aca="false">TblConstr[[#This Row],[Swamp]]</f>
        <v>0</v>
      </c>
      <c r="G30" s="197" t="n">
        <f aca="false">TblConstr[[#This Row],[Cavern]]</f>
        <v>0</v>
      </c>
      <c r="H30" s="198" t="n">
        <f aca="false">TblConstr[[#This Row],[Water]]</f>
        <v>0</v>
      </c>
      <c r="I30" s="245"/>
      <c r="J30" s="269" t="n">
        <f aca="false">J29+1</f>
        <v>27</v>
      </c>
      <c r="K30" s="270" t="n">
        <f aca="false">TblImps[[#This Row],[Real time]]</f>
        <v>45430.8333333333</v>
      </c>
      <c r="L30" s="182"/>
      <c r="M30" s="182"/>
      <c r="N30" s="182"/>
      <c r="O30" s="182"/>
      <c r="P30" s="182"/>
      <c r="Q30" s="182"/>
      <c r="R30" s="182"/>
      <c r="S30" s="69" t="n">
        <f aca="false">SUMIF(TblRezone[[#This Row],[Plains Rezone]:[Water Rezone]],"&gt;0")</f>
        <v>0</v>
      </c>
      <c r="T30" s="33" t="str">
        <f aca="false">IF(SUM(TblRezone[[#This Row],[Plains Rezone]:[Water Rezone]])=0,"Ok","Nope")</f>
        <v>Ok</v>
      </c>
      <c r="U30" s="245"/>
      <c r="V30" s="69" t="n">
        <f aca="false">TblProd[[#This Row],[Platinum]]</f>
        <v>79053</v>
      </c>
      <c r="W30" s="245"/>
      <c r="X30" s="69" t="n">
        <f aca="false">ROUNDUP( (1-MIN(ROUND(facs_rezone_factor*TblRezone[[#This Row],[Facs]],4),facs_rezone_max) + tech_6_4*TblTech[[#This Row],[6-4]] + tech_10_2*TblTech[[#This Row],[10-2]] - IF(TblMagic[[#This Row],[Active Mechanical Genius]]&gt;0,mech_genius_bonus,0) + race_rezone_cost) * TblRezone[[#This Row],[Plat/acre*]],0)</f>
        <v>140</v>
      </c>
      <c r="Y30" s="69" t="n">
        <f aca="false">TblRezone[[#This Row],[Total acres]]*TblRezone[[#This Row],[Plat/acre]]</f>
        <v>0</v>
      </c>
      <c r="Z30" s="245"/>
      <c r="AA30" s="69" t="n">
        <f aca="false">250+0.6*(TblRezone[[#This Row],[Land]]-250)</f>
        <v>279.4</v>
      </c>
      <c r="AB30" s="245"/>
      <c r="AC30" s="150" t="n">
        <f aca="false">TblConstr[[#This Row],[Facs DB]]</f>
        <v>0.100334448160535</v>
      </c>
    </row>
    <row r="31" customFormat="false" ht="12.75" hidden="false" customHeight="false" outlineLevel="0" collapsed="false">
      <c r="A31" s="181" t="n">
        <f aca="false">TblConstr[[#This Row],[Land]]</f>
        <v>299</v>
      </c>
      <c r="B31" s="246" t="n">
        <f aca="false">TblConstr[[#This Row],[Plain]]</f>
        <v>0</v>
      </c>
      <c r="C31" s="193" t="n">
        <f aca="false">TblConstr[[#This Row],[Forest]]</f>
        <v>0</v>
      </c>
      <c r="D31" s="200" t="n">
        <f aca="false">TblConstr[[#This Row],[Mountain]]</f>
        <v>0</v>
      </c>
      <c r="E31" s="201" t="n">
        <f aca="false">TblConstr[[#This Row],[Hill]]</f>
        <v>0</v>
      </c>
      <c r="F31" s="202" t="n">
        <f aca="false">TblConstr[[#This Row],[Swamp]]</f>
        <v>0</v>
      </c>
      <c r="G31" s="197" t="n">
        <f aca="false">TblConstr[[#This Row],[Cavern]]</f>
        <v>0</v>
      </c>
      <c r="H31" s="198" t="n">
        <f aca="false">TblConstr[[#This Row],[Water]]</f>
        <v>0</v>
      </c>
      <c r="I31" s="245"/>
      <c r="J31" s="269" t="n">
        <f aca="false">J30+1</f>
        <v>28</v>
      </c>
      <c r="K31" s="270" t="n">
        <f aca="false">TblImps[[#This Row],[Real time]]</f>
        <v>45430.875</v>
      </c>
      <c r="L31" s="182"/>
      <c r="M31" s="182"/>
      <c r="N31" s="182"/>
      <c r="O31" s="182"/>
      <c r="P31" s="182"/>
      <c r="Q31" s="182"/>
      <c r="R31" s="182"/>
      <c r="S31" s="69" t="n">
        <f aca="false">SUMIF(TblRezone[[#This Row],[Plains Rezone]:[Water Rezone]],"&gt;0")</f>
        <v>0</v>
      </c>
      <c r="T31" s="33" t="str">
        <f aca="false">IF(SUM(TblRezone[[#This Row],[Plains Rezone]:[Water Rezone]])=0,"Ok","Nope")</f>
        <v>Ok</v>
      </c>
      <c r="U31" s="245"/>
      <c r="V31" s="69" t="n">
        <f aca="false">TblProd[[#This Row],[Platinum]]</f>
        <v>99065</v>
      </c>
      <c r="W31" s="245"/>
      <c r="X31" s="69" t="n">
        <f aca="false">ROUNDUP( (1-MIN(ROUND(facs_rezone_factor*TblRezone[[#This Row],[Facs]],4),facs_rezone_max) + tech_6_4*TblTech[[#This Row],[6-4]] + tech_10_2*TblTech[[#This Row],[10-2]] - IF(TblMagic[[#This Row],[Active Mechanical Genius]]&gt;0,mech_genius_bonus,0) + race_rezone_cost) * TblRezone[[#This Row],[Plat/acre*]],0)</f>
        <v>140</v>
      </c>
      <c r="Y31" s="69" t="n">
        <f aca="false">TblRezone[[#This Row],[Total acres]]*TblRezone[[#This Row],[Plat/acre]]</f>
        <v>0</v>
      </c>
      <c r="Z31" s="245"/>
      <c r="AA31" s="69" t="n">
        <f aca="false">250+0.6*(TblRezone[[#This Row],[Land]]-250)</f>
        <v>279.4</v>
      </c>
      <c r="AB31" s="245"/>
      <c r="AC31" s="150" t="n">
        <f aca="false">TblConstr[[#This Row],[Facs DB]]</f>
        <v>0.100334448160535</v>
      </c>
    </row>
    <row r="32" customFormat="false" ht="12.75" hidden="false" customHeight="false" outlineLevel="0" collapsed="false">
      <c r="A32" s="181" t="n">
        <f aca="false">TblConstr[[#This Row],[Land]]</f>
        <v>299</v>
      </c>
      <c r="B32" s="246" t="n">
        <f aca="false">TblConstr[[#This Row],[Plain]]</f>
        <v>0</v>
      </c>
      <c r="C32" s="193" t="n">
        <f aca="false">TblConstr[[#This Row],[Forest]]</f>
        <v>0</v>
      </c>
      <c r="D32" s="200" t="n">
        <f aca="false">TblConstr[[#This Row],[Mountain]]</f>
        <v>0</v>
      </c>
      <c r="E32" s="201" t="n">
        <f aca="false">TblConstr[[#This Row],[Hill]]</f>
        <v>0</v>
      </c>
      <c r="F32" s="202" t="n">
        <f aca="false">TblConstr[[#This Row],[Swamp]]</f>
        <v>0</v>
      </c>
      <c r="G32" s="197" t="n">
        <f aca="false">TblConstr[[#This Row],[Cavern]]</f>
        <v>0</v>
      </c>
      <c r="H32" s="198" t="n">
        <f aca="false">TblConstr[[#This Row],[Water]]</f>
        <v>0</v>
      </c>
      <c r="I32" s="245"/>
      <c r="J32" s="269" t="n">
        <f aca="false">J31+1</f>
        <v>29</v>
      </c>
      <c r="K32" s="270" t="n">
        <f aca="false">TblImps[[#This Row],[Real time]]</f>
        <v>45430.9166666667</v>
      </c>
      <c r="L32" s="182"/>
      <c r="M32" s="182"/>
      <c r="N32" s="182"/>
      <c r="O32" s="182"/>
      <c r="P32" s="182"/>
      <c r="Q32" s="182"/>
      <c r="R32" s="182"/>
      <c r="S32" s="69" t="n">
        <f aca="false">SUMIF(TblRezone[[#This Row],[Plains Rezone]:[Water Rezone]],"&gt;0")</f>
        <v>0</v>
      </c>
      <c r="T32" s="33" t="str">
        <f aca="false">IF(SUM(TblRezone[[#This Row],[Plains Rezone]:[Water Rezone]])=0,"Ok","Nope")</f>
        <v>Ok</v>
      </c>
      <c r="U32" s="245"/>
      <c r="V32" s="69" t="n">
        <f aca="false">TblProd[[#This Row],[Platinum]]</f>
        <v>38976</v>
      </c>
      <c r="W32" s="245"/>
      <c r="X32" s="69" t="n">
        <f aca="false">ROUNDUP( (1-MIN(ROUND(facs_rezone_factor*TblRezone[[#This Row],[Facs]],4),facs_rezone_max) + tech_6_4*TblTech[[#This Row],[6-4]] + tech_10_2*TblTech[[#This Row],[10-2]] - IF(TblMagic[[#This Row],[Active Mechanical Genius]]&gt;0,mech_genius_bonus,0) + race_rezone_cost) * TblRezone[[#This Row],[Plat/acre*]],0)</f>
        <v>140</v>
      </c>
      <c r="Y32" s="69" t="n">
        <f aca="false">TblRezone[[#This Row],[Total acres]]*TblRezone[[#This Row],[Plat/acre]]</f>
        <v>0</v>
      </c>
      <c r="Z32" s="245"/>
      <c r="AA32" s="69" t="n">
        <f aca="false">250+0.6*(TblRezone[[#This Row],[Land]]-250)</f>
        <v>279.4</v>
      </c>
      <c r="AB32" s="245"/>
      <c r="AC32" s="150" t="n">
        <f aca="false">TblConstr[[#This Row],[Facs DB]]</f>
        <v>0.100334448160535</v>
      </c>
    </row>
    <row r="33" customFormat="false" ht="12.75" hidden="false" customHeight="false" outlineLevel="0" collapsed="false">
      <c r="A33" s="181" t="n">
        <f aca="false">TblConstr[[#This Row],[Land]]</f>
        <v>369</v>
      </c>
      <c r="B33" s="246" t="n">
        <f aca="false">TblConstr[[#This Row],[Plain]]</f>
        <v>0</v>
      </c>
      <c r="C33" s="193" t="n">
        <f aca="false">TblConstr[[#This Row],[Forest]]</f>
        <v>0</v>
      </c>
      <c r="D33" s="200" t="n">
        <f aca="false">TblConstr[[#This Row],[Mountain]]</f>
        <v>0</v>
      </c>
      <c r="E33" s="201" t="n">
        <f aca="false">TblConstr[[#This Row],[Hill]]</f>
        <v>0</v>
      </c>
      <c r="F33" s="202" t="n">
        <f aca="false">TblConstr[[#This Row],[Swamp]]</f>
        <v>0</v>
      </c>
      <c r="G33" s="197" t="n">
        <f aca="false">TblConstr[[#This Row],[Cavern]]</f>
        <v>0</v>
      </c>
      <c r="H33" s="198" t="n">
        <f aca="false">TblConstr[[#This Row],[Water]]</f>
        <v>0</v>
      </c>
      <c r="I33" s="245"/>
      <c r="J33" s="269" t="n">
        <f aca="false">J32+1</f>
        <v>30</v>
      </c>
      <c r="K33" s="270" t="n">
        <f aca="false">TblImps[[#This Row],[Real time]]</f>
        <v>45430.9583333333</v>
      </c>
      <c r="L33" s="182"/>
      <c r="M33" s="182"/>
      <c r="N33" s="182"/>
      <c r="O33" s="182"/>
      <c r="P33" s="182"/>
      <c r="Q33" s="182"/>
      <c r="R33" s="182"/>
      <c r="S33" s="69" t="n">
        <f aca="false">SUMIF(TblRezone[[#This Row],[Plains Rezone]:[Water Rezone]],"&gt;0")</f>
        <v>0</v>
      </c>
      <c r="T33" s="33" t="str">
        <f aca="false">IF(SUM(TblRezone[[#This Row],[Plains Rezone]:[Water Rezone]])=0,"Ok","Nope")</f>
        <v>Ok</v>
      </c>
      <c r="U33" s="245"/>
      <c r="V33" s="69" t="n">
        <f aca="false">TblProd[[#This Row],[Platinum]]</f>
        <v>21478</v>
      </c>
      <c r="W33" s="245"/>
      <c r="X33" s="69" t="n">
        <f aca="false">ROUNDUP( (1-MIN(ROUND(facs_rezone_factor*TblRezone[[#This Row],[Facs]],4),facs_rezone_max) + tech_6_4*TblTech[[#This Row],[6-4]] + tech_10_2*TblTech[[#This Row],[10-2]] - IF(TblMagic[[#This Row],[Active Mechanical Genius]]&gt;0,mech_genius_bonus,0) + race_rezone_cost) * TblRezone[[#This Row],[Plat/acre*]],0)</f>
        <v>161</v>
      </c>
      <c r="Y33" s="69" t="n">
        <f aca="false">TblRezone[[#This Row],[Total acres]]*TblRezone[[#This Row],[Plat/acre]]</f>
        <v>0</v>
      </c>
      <c r="Z33" s="245"/>
      <c r="AA33" s="69" t="n">
        <f aca="false">250+0.6*(TblRezone[[#This Row],[Land]]-250)</f>
        <v>321.4</v>
      </c>
      <c r="AB33" s="245"/>
      <c r="AC33" s="150" t="n">
        <f aca="false">TblConstr[[#This Row],[Facs DB]]</f>
        <v>0.102981029810298</v>
      </c>
    </row>
    <row r="34" customFormat="false" ht="12.75" hidden="false" customHeight="false" outlineLevel="0" collapsed="false">
      <c r="A34" s="181" t="n">
        <f aca="false">TblConstr[[#This Row],[Land]]</f>
        <v>380</v>
      </c>
      <c r="B34" s="246" t="n">
        <f aca="false">TblConstr[[#This Row],[Plain]]</f>
        <v>0</v>
      </c>
      <c r="C34" s="193" t="n">
        <f aca="false">TblConstr[[#This Row],[Forest]]</f>
        <v>0</v>
      </c>
      <c r="D34" s="200" t="n">
        <f aca="false">TblConstr[[#This Row],[Mountain]]</f>
        <v>0</v>
      </c>
      <c r="E34" s="201" t="n">
        <f aca="false">TblConstr[[#This Row],[Hill]]</f>
        <v>0</v>
      </c>
      <c r="F34" s="202" t="n">
        <f aca="false">TblConstr[[#This Row],[Swamp]]</f>
        <v>0</v>
      </c>
      <c r="G34" s="197" t="n">
        <f aca="false">TblConstr[[#This Row],[Cavern]]</f>
        <v>0</v>
      </c>
      <c r="H34" s="198" t="n">
        <f aca="false">TblConstr[[#This Row],[Water]]</f>
        <v>0</v>
      </c>
      <c r="I34" s="245"/>
      <c r="J34" s="269" t="n">
        <f aca="false">J33+1</f>
        <v>31</v>
      </c>
      <c r="K34" s="270" t="n">
        <f aca="false">TblImps[[#This Row],[Real time]]</f>
        <v>45431</v>
      </c>
      <c r="L34" s="182"/>
      <c r="M34" s="182"/>
      <c r="N34" s="182"/>
      <c r="O34" s="182"/>
      <c r="P34" s="182"/>
      <c r="Q34" s="182"/>
      <c r="R34" s="182"/>
      <c r="S34" s="69" t="n">
        <f aca="false">SUMIF(TblRezone[[#This Row],[Plains Rezone]:[Water Rezone]],"&gt;0")</f>
        <v>0</v>
      </c>
      <c r="T34" s="33" t="str">
        <f aca="false">IF(SUM(TblRezone[[#This Row],[Plains Rezone]:[Water Rezone]])=0,"Ok","Nope")</f>
        <v>Ok</v>
      </c>
      <c r="U34" s="245"/>
      <c r="V34" s="69" t="n">
        <f aca="false">TblProd[[#This Row],[Platinum]]</f>
        <v>26412</v>
      </c>
      <c r="W34" s="245"/>
      <c r="X34" s="69" t="n">
        <f aca="false">ROUNDUP( (1-MIN(ROUND(facs_rezone_factor*TblRezone[[#This Row],[Facs]],4),facs_rezone_max) + tech_6_4*TblTech[[#This Row],[6-4]] + tech_10_2*TblTech[[#This Row],[10-2]] - IF(TblMagic[[#This Row],[Active Mechanical Genius]]&gt;0,mech_genius_bonus,0) + race_rezone_cost) * TblRezone[[#This Row],[Plat/acre*]],0)</f>
        <v>164</v>
      </c>
      <c r="Y34" s="69" t="n">
        <f aca="false">TblRezone[[#This Row],[Total acres]]*TblRezone[[#This Row],[Plat/acre]]</f>
        <v>0</v>
      </c>
      <c r="Z34" s="245"/>
      <c r="AA34" s="69" t="n">
        <f aca="false">250+0.6*(TblRezone[[#This Row],[Land]]-250)</f>
        <v>328</v>
      </c>
      <c r="AB34" s="245"/>
      <c r="AC34" s="150" t="n">
        <f aca="false">TblConstr[[#This Row],[Facs DB]]</f>
        <v>0.102631578947368</v>
      </c>
    </row>
    <row r="35" customFormat="false" ht="12.75" hidden="false" customHeight="false" outlineLevel="0" collapsed="false">
      <c r="A35" s="181" t="n">
        <f aca="false">TblConstr[[#This Row],[Land]]</f>
        <v>392</v>
      </c>
      <c r="B35" s="246" t="n">
        <f aca="false">TblConstr[[#This Row],[Plain]]</f>
        <v>0</v>
      </c>
      <c r="C35" s="193" t="n">
        <f aca="false">TblConstr[[#This Row],[Forest]]</f>
        <v>0</v>
      </c>
      <c r="D35" s="200" t="n">
        <f aca="false">TblConstr[[#This Row],[Mountain]]</f>
        <v>0</v>
      </c>
      <c r="E35" s="201" t="n">
        <f aca="false">TblConstr[[#This Row],[Hill]]</f>
        <v>0</v>
      </c>
      <c r="F35" s="202" t="n">
        <f aca="false">TblConstr[[#This Row],[Swamp]]</f>
        <v>0</v>
      </c>
      <c r="G35" s="197" t="n">
        <f aca="false">TblConstr[[#This Row],[Cavern]]</f>
        <v>0</v>
      </c>
      <c r="H35" s="198" t="n">
        <f aca="false">TblConstr[[#This Row],[Water]]</f>
        <v>0</v>
      </c>
      <c r="I35" s="245"/>
      <c r="J35" s="269" t="n">
        <f aca="false">J34+1</f>
        <v>32</v>
      </c>
      <c r="K35" s="270" t="n">
        <f aca="false">TblImps[[#This Row],[Real time]]</f>
        <v>45431.0416666667</v>
      </c>
      <c r="L35" s="182"/>
      <c r="M35" s="182"/>
      <c r="N35" s="182"/>
      <c r="O35" s="182"/>
      <c r="P35" s="182"/>
      <c r="Q35" s="182"/>
      <c r="R35" s="182"/>
      <c r="S35" s="69" t="n">
        <f aca="false">SUMIF(TblRezone[[#This Row],[Plains Rezone]:[Water Rezone]],"&gt;0")</f>
        <v>0</v>
      </c>
      <c r="T35" s="33" t="str">
        <f aca="false">IF(SUM(TblRezone[[#This Row],[Plains Rezone]:[Water Rezone]])=0,"Ok","Nope")</f>
        <v>Ok</v>
      </c>
      <c r="U35" s="245"/>
      <c r="V35" s="69" t="n">
        <f aca="false">TblProd[[#This Row],[Platinum]]</f>
        <v>31118</v>
      </c>
      <c r="W35" s="245"/>
      <c r="X35" s="69" t="n">
        <f aca="false">ROUNDUP( (1-MIN(ROUND(facs_rezone_factor*TblRezone[[#This Row],[Facs]],4),facs_rezone_max) + tech_6_4*TblTech[[#This Row],[6-4]] + tech_10_2*TblTech[[#This Row],[10-2]] - IF(TblMagic[[#This Row],[Active Mechanical Genius]]&gt;0,mech_genius_bonus,0) + race_rezone_cost) * TblRezone[[#This Row],[Plat/acre*]],0)</f>
        <v>168</v>
      </c>
      <c r="Y35" s="69" t="n">
        <f aca="false">TblRezone[[#This Row],[Total acres]]*TblRezone[[#This Row],[Plat/acre]]</f>
        <v>0</v>
      </c>
      <c r="Z35" s="245"/>
      <c r="AA35" s="69" t="n">
        <f aca="false">250+0.6*(TblRezone[[#This Row],[Land]]-250)</f>
        <v>335.2</v>
      </c>
      <c r="AB35" s="245"/>
      <c r="AC35" s="150" t="n">
        <f aca="false">TblConstr[[#This Row],[Facs DB]]</f>
        <v>0.102040816326531</v>
      </c>
    </row>
    <row r="36" customFormat="false" ht="12.75" hidden="false" customHeight="false" outlineLevel="0" collapsed="false">
      <c r="A36" s="181" t="n">
        <f aca="false">TblConstr[[#This Row],[Land]]</f>
        <v>404</v>
      </c>
      <c r="B36" s="246" t="n">
        <f aca="false">TblConstr[[#This Row],[Plain]]</f>
        <v>0</v>
      </c>
      <c r="C36" s="193" t="n">
        <f aca="false">TblConstr[[#This Row],[Forest]]</f>
        <v>0</v>
      </c>
      <c r="D36" s="200" t="n">
        <f aca="false">TblConstr[[#This Row],[Mountain]]</f>
        <v>0</v>
      </c>
      <c r="E36" s="201" t="n">
        <f aca="false">TblConstr[[#This Row],[Hill]]</f>
        <v>0</v>
      </c>
      <c r="F36" s="202" t="n">
        <f aca="false">TblConstr[[#This Row],[Swamp]]</f>
        <v>0</v>
      </c>
      <c r="G36" s="197" t="n">
        <f aca="false">TblConstr[[#This Row],[Cavern]]</f>
        <v>0</v>
      </c>
      <c r="H36" s="198" t="n">
        <f aca="false">TblConstr[[#This Row],[Water]]</f>
        <v>0</v>
      </c>
      <c r="I36" s="245"/>
      <c r="J36" s="269" t="n">
        <f aca="false">J35+1</f>
        <v>33</v>
      </c>
      <c r="K36" s="270" t="n">
        <f aca="false">TblImps[[#This Row],[Real time]]</f>
        <v>45431.0833333333</v>
      </c>
      <c r="L36" s="182"/>
      <c r="M36" s="182"/>
      <c r="N36" s="182"/>
      <c r="O36" s="182"/>
      <c r="P36" s="182"/>
      <c r="Q36" s="182"/>
      <c r="R36" s="182"/>
      <c r="S36" s="69" t="n">
        <f aca="false">SUMIF(TblRezone[[#This Row],[Plains Rezone]:[Water Rezone]],"&gt;0")</f>
        <v>0</v>
      </c>
      <c r="T36" s="33" t="str">
        <f aca="false">IF(SUM(TblRezone[[#This Row],[Plains Rezone]:[Water Rezone]])=0,"Ok","Nope")</f>
        <v>Ok</v>
      </c>
      <c r="U36" s="245"/>
      <c r="V36" s="69" t="n">
        <f aca="false">TblProd[[#This Row],[Platinum]]</f>
        <v>36027</v>
      </c>
      <c r="W36" s="245"/>
      <c r="X36" s="69" t="n">
        <f aca="false">ROUNDUP( (1-MIN(ROUND(facs_rezone_factor*TblRezone[[#This Row],[Facs]],4),facs_rezone_max) + tech_6_4*TblTech[[#This Row],[6-4]] + tech_10_2*TblTech[[#This Row],[10-2]] - IF(TblMagic[[#This Row],[Active Mechanical Genius]]&gt;0,mech_genius_bonus,0) + race_rezone_cost) * TblRezone[[#This Row],[Plat/acre*]],0)</f>
        <v>172</v>
      </c>
      <c r="Y36" s="69" t="n">
        <f aca="false">TblRezone[[#This Row],[Total acres]]*TblRezone[[#This Row],[Plat/acre]]</f>
        <v>0</v>
      </c>
      <c r="Z36" s="245"/>
      <c r="AA36" s="69" t="n">
        <f aca="false">250+0.6*(TblRezone[[#This Row],[Land]]-250)</f>
        <v>342.4</v>
      </c>
      <c r="AB36" s="245"/>
      <c r="AC36" s="150" t="n">
        <f aca="false">TblConstr[[#This Row],[Facs DB]]</f>
        <v>0.101485148514851</v>
      </c>
    </row>
    <row r="37" customFormat="false" ht="12.75" hidden="false" customHeight="false" outlineLevel="0" collapsed="false">
      <c r="A37" s="181" t="n">
        <f aca="false">TblConstr[[#This Row],[Land]]</f>
        <v>407</v>
      </c>
      <c r="B37" s="246" t="n">
        <f aca="false">TblConstr[[#This Row],[Plain]]</f>
        <v>0</v>
      </c>
      <c r="C37" s="193" t="n">
        <f aca="false">TblConstr[[#This Row],[Forest]]</f>
        <v>0</v>
      </c>
      <c r="D37" s="200" t="n">
        <f aca="false">TblConstr[[#This Row],[Mountain]]</f>
        <v>0</v>
      </c>
      <c r="E37" s="201" t="n">
        <f aca="false">TblConstr[[#This Row],[Hill]]</f>
        <v>0</v>
      </c>
      <c r="F37" s="202" t="n">
        <f aca="false">TblConstr[[#This Row],[Swamp]]</f>
        <v>0</v>
      </c>
      <c r="G37" s="197" t="n">
        <f aca="false">TblConstr[[#This Row],[Cavern]]</f>
        <v>0</v>
      </c>
      <c r="H37" s="198" t="n">
        <f aca="false">TblConstr[[#This Row],[Water]]</f>
        <v>0</v>
      </c>
      <c r="I37" s="245"/>
      <c r="J37" s="269" t="n">
        <f aca="false">J36+1</f>
        <v>34</v>
      </c>
      <c r="K37" s="270" t="n">
        <f aca="false">TblImps[[#This Row],[Real time]]</f>
        <v>45431.125</v>
      </c>
      <c r="L37" s="182"/>
      <c r="M37" s="182"/>
      <c r="N37" s="182"/>
      <c r="O37" s="182"/>
      <c r="P37" s="182"/>
      <c r="Q37" s="182"/>
      <c r="R37" s="182"/>
      <c r="S37" s="69" t="n">
        <f aca="false">SUMIF(TblRezone[[#This Row],[Plains Rezone]:[Water Rezone]],"&gt;0")</f>
        <v>0</v>
      </c>
      <c r="T37" s="33" t="str">
        <f aca="false">IF(SUM(TblRezone[[#This Row],[Plains Rezone]:[Water Rezone]])=0,"Ok","Nope")</f>
        <v>Ok</v>
      </c>
      <c r="U37" s="245"/>
      <c r="V37" s="69" t="n">
        <f aca="false">TblProd[[#This Row],[Platinum]]</f>
        <v>43944</v>
      </c>
      <c r="W37" s="245"/>
      <c r="X37" s="69" t="n">
        <f aca="false">ROUNDUP( (1-MIN(ROUND(facs_rezone_factor*TblRezone[[#This Row],[Facs]],4),facs_rezone_max) + tech_6_4*TblTech[[#This Row],[6-4]] + tech_10_2*TblTech[[#This Row],[10-2]] - IF(TblMagic[[#This Row],[Active Mechanical Genius]]&gt;0,mech_genius_bonus,0) + race_rezone_cost) * TblRezone[[#This Row],[Plat/acre*]],0)</f>
        <v>173</v>
      </c>
      <c r="Y37" s="69" t="n">
        <f aca="false">TblRezone[[#This Row],[Total acres]]*TblRezone[[#This Row],[Plat/acre]]</f>
        <v>0</v>
      </c>
      <c r="Z37" s="245"/>
      <c r="AA37" s="69" t="n">
        <f aca="false">250+0.6*(TblRezone[[#This Row],[Land]]-250)</f>
        <v>344.2</v>
      </c>
      <c r="AB37" s="245"/>
      <c r="AC37" s="150" t="n">
        <f aca="false">TblConstr[[#This Row],[Facs DB]]</f>
        <v>0.103194103194103</v>
      </c>
    </row>
    <row r="38" customFormat="false" ht="12.75" hidden="false" customHeight="false" outlineLevel="0" collapsed="false">
      <c r="A38" s="181" t="n">
        <f aca="false">TblConstr[[#This Row],[Land]]</f>
        <v>409</v>
      </c>
      <c r="B38" s="246" t="n">
        <f aca="false">TblConstr[[#This Row],[Plain]]</f>
        <v>0</v>
      </c>
      <c r="C38" s="193" t="n">
        <f aca="false">TblConstr[[#This Row],[Forest]]</f>
        <v>0</v>
      </c>
      <c r="D38" s="200" t="n">
        <f aca="false">TblConstr[[#This Row],[Mountain]]</f>
        <v>0</v>
      </c>
      <c r="E38" s="201" t="n">
        <f aca="false">TblConstr[[#This Row],[Hill]]</f>
        <v>0</v>
      </c>
      <c r="F38" s="202" t="n">
        <f aca="false">TblConstr[[#This Row],[Swamp]]</f>
        <v>0</v>
      </c>
      <c r="G38" s="197" t="n">
        <f aca="false">TblConstr[[#This Row],[Cavern]]</f>
        <v>0</v>
      </c>
      <c r="H38" s="198" t="n">
        <f aca="false">TblConstr[[#This Row],[Water]]</f>
        <v>0</v>
      </c>
      <c r="I38" s="245"/>
      <c r="J38" s="269" t="n">
        <f aca="false">J37+1</f>
        <v>35</v>
      </c>
      <c r="K38" s="270" t="n">
        <f aca="false">TblImps[[#This Row],[Real time]]</f>
        <v>45431.1666666667</v>
      </c>
      <c r="L38" s="182"/>
      <c r="M38" s="182"/>
      <c r="N38" s="182"/>
      <c r="O38" s="182"/>
      <c r="P38" s="182"/>
      <c r="Q38" s="182"/>
      <c r="R38" s="182"/>
      <c r="S38" s="69" t="n">
        <f aca="false">SUMIF(TblRezone[[#This Row],[Plains Rezone]:[Water Rezone]],"&gt;0")</f>
        <v>0</v>
      </c>
      <c r="T38" s="33" t="str">
        <f aca="false">IF(SUM(TblRezone[[#This Row],[Plains Rezone]:[Water Rezone]])=0,"Ok","Nope")</f>
        <v>Ok</v>
      </c>
      <c r="U38" s="245"/>
      <c r="V38" s="69" t="n">
        <f aca="false">TblProd[[#This Row],[Platinum]]</f>
        <v>51273</v>
      </c>
      <c r="W38" s="245"/>
      <c r="X38" s="69" t="n">
        <f aca="false">ROUNDUP( (1-MIN(ROUND(facs_rezone_factor*TblRezone[[#This Row],[Facs]],4),facs_rezone_max) + tech_6_4*TblTech[[#This Row],[6-4]] + tech_10_2*TblTech[[#This Row],[10-2]] - IF(TblMagic[[#This Row],[Active Mechanical Genius]]&gt;0,mech_genius_bonus,0) + race_rezone_cost) * TblRezone[[#This Row],[Plat/acre*]],0)</f>
        <v>173</v>
      </c>
      <c r="Y38" s="69" t="n">
        <f aca="false">TblRezone[[#This Row],[Total acres]]*TblRezone[[#This Row],[Plat/acre]]</f>
        <v>0</v>
      </c>
      <c r="Z38" s="245"/>
      <c r="AA38" s="69" t="n">
        <f aca="false">250+0.6*(TblRezone[[#This Row],[Land]]-250)</f>
        <v>345.4</v>
      </c>
      <c r="AB38" s="245"/>
      <c r="AC38" s="150" t="n">
        <f aca="false">TblConstr[[#This Row],[Facs DB]]</f>
        <v>0.105134474327628</v>
      </c>
    </row>
    <row r="39" customFormat="false" ht="12.75" hidden="false" customHeight="false" outlineLevel="0" collapsed="false">
      <c r="A39" s="181" t="n">
        <f aca="false">TblConstr[[#This Row],[Land]]</f>
        <v>419</v>
      </c>
      <c r="B39" s="246" t="n">
        <f aca="false">TblConstr[[#This Row],[Plain]]</f>
        <v>0</v>
      </c>
      <c r="C39" s="193" t="n">
        <f aca="false">TblConstr[[#This Row],[Forest]]</f>
        <v>0</v>
      </c>
      <c r="D39" s="200" t="n">
        <f aca="false">TblConstr[[#This Row],[Mountain]]</f>
        <v>0</v>
      </c>
      <c r="E39" s="201" t="n">
        <f aca="false">TblConstr[[#This Row],[Hill]]</f>
        <v>0</v>
      </c>
      <c r="F39" s="202" t="n">
        <f aca="false">TblConstr[[#This Row],[Swamp]]</f>
        <v>0</v>
      </c>
      <c r="G39" s="197" t="n">
        <f aca="false">TblConstr[[#This Row],[Cavern]]</f>
        <v>0</v>
      </c>
      <c r="H39" s="198" t="n">
        <f aca="false">TblConstr[[#This Row],[Water]]</f>
        <v>0</v>
      </c>
      <c r="I39" s="245"/>
      <c r="J39" s="269" t="n">
        <f aca="false">J38+1</f>
        <v>36</v>
      </c>
      <c r="K39" s="270" t="n">
        <f aca="false">TblImps[[#This Row],[Real time]]</f>
        <v>45431.2083333333</v>
      </c>
      <c r="L39" s="182"/>
      <c r="M39" s="182"/>
      <c r="N39" s="182"/>
      <c r="O39" s="182"/>
      <c r="P39" s="182"/>
      <c r="Q39" s="182"/>
      <c r="R39" s="182"/>
      <c r="S39" s="69" t="n">
        <f aca="false">SUMIF(TblRezone[[#This Row],[Plains Rezone]:[Water Rezone]],"&gt;0")</f>
        <v>0</v>
      </c>
      <c r="T39" s="33" t="str">
        <f aca="false">IF(SUM(TblRezone[[#This Row],[Plains Rezone]:[Water Rezone]])=0,"Ok","Nope")</f>
        <v>Ok</v>
      </c>
      <c r="U39" s="245"/>
      <c r="V39" s="69" t="n">
        <f aca="false">TblProd[[#This Row],[Platinum]]</f>
        <v>55040</v>
      </c>
      <c r="W39" s="245"/>
      <c r="X39" s="69" t="n">
        <f aca="false">ROUNDUP( (1-MIN(ROUND(facs_rezone_factor*TblRezone[[#This Row],[Facs]],4),facs_rezone_max) + tech_6_4*TblTech[[#This Row],[6-4]] + tech_10_2*TblTech[[#This Row],[10-2]] - IF(TblMagic[[#This Row],[Active Mechanical Genius]]&gt;0,mech_genius_bonus,0) + race_rezone_cost) * TblRezone[[#This Row],[Plat/acre*]],0)</f>
        <v>176</v>
      </c>
      <c r="Y39" s="69" t="n">
        <f aca="false">TblRezone[[#This Row],[Total acres]]*TblRezone[[#This Row],[Plat/acre]]</f>
        <v>0</v>
      </c>
      <c r="Z39" s="245"/>
      <c r="AA39" s="69" t="n">
        <f aca="false">250+0.6*(TblRezone[[#This Row],[Land]]-250)</f>
        <v>351.4</v>
      </c>
      <c r="AB39" s="245"/>
      <c r="AC39" s="150" t="n">
        <f aca="false">TblConstr[[#This Row],[Facs DB]]</f>
        <v>0.121718377088305</v>
      </c>
    </row>
    <row r="40" customFormat="false" ht="12.75" hidden="false" customHeight="false" outlineLevel="0" collapsed="false">
      <c r="A40" s="181" t="n">
        <f aca="false">TblConstr[[#This Row],[Land]]</f>
        <v>419</v>
      </c>
      <c r="B40" s="246" t="n">
        <f aca="false">TblConstr[[#This Row],[Plain]]</f>
        <v>0</v>
      </c>
      <c r="C40" s="193" t="n">
        <f aca="false">TblConstr[[#This Row],[Forest]]</f>
        <v>0</v>
      </c>
      <c r="D40" s="200" t="n">
        <f aca="false">TblConstr[[#This Row],[Mountain]]</f>
        <v>0</v>
      </c>
      <c r="E40" s="201" t="n">
        <f aca="false">TblConstr[[#This Row],[Hill]]</f>
        <v>0</v>
      </c>
      <c r="F40" s="202" t="n">
        <f aca="false">TblConstr[[#This Row],[Swamp]]</f>
        <v>0</v>
      </c>
      <c r="G40" s="197" t="n">
        <f aca="false">TblConstr[[#This Row],[Cavern]]</f>
        <v>0</v>
      </c>
      <c r="H40" s="198" t="n">
        <f aca="false">TblConstr[[#This Row],[Water]]</f>
        <v>0</v>
      </c>
      <c r="I40" s="245"/>
      <c r="J40" s="269" t="n">
        <f aca="false">J39+1</f>
        <v>37</v>
      </c>
      <c r="K40" s="270" t="n">
        <f aca="false">TblImps[[#This Row],[Real time]]</f>
        <v>45431.25</v>
      </c>
      <c r="L40" s="182"/>
      <c r="M40" s="182"/>
      <c r="N40" s="182"/>
      <c r="O40" s="182"/>
      <c r="P40" s="182"/>
      <c r="Q40" s="182"/>
      <c r="R40" s="182"/>
      <c r="S40" s="69" t="n">
        <f aca="false">SUMIF(TblRezone[[#This Row],[Plains Rezone]:[Water Rezone]],"&gt;0")</f>
        <v>0</v>
      </c>
      <c r="T40" s="33" t="str">
        <f aca="false">IF(SUM(TblRezone[[#This Row],[Plains Rezone]:[Water Rezone]])=0,"Ok","Nope")</f>
        <v>Ok</v>
      </c>
      <c r="U40" s="245"/>
      <c r="V40" s="69" t="n">
        <f aca="false">TblProd[[#This Row],[Platinum]]</f>
        <v>63059</v>
      </c>
      <c r="W40" s="245"/>
      <c r="X40" s="69" t="n">
        <f aca="false">ROUNDUP( (1-MIN(ROUND(facs_rezone_factor*TblRezone[[#This Row],[Facs]],4),facs_rezone_max) + tech_6_4*TblTech[[#This Row],[6-4]] + tech_10_2*TblTech[[#This Row],[10-2]] - IF(TblMagic[[#This Row],[Active Mechanical Genius]]&gt;0,mech_genius_bonus,0) + race_rezone_cost) * TblRezone[[#This Row],[Plat/acre*]],0)</f>
        <v>176</v>
      </c>
      <c r="Y40" s="69" t="n">
        <f aca="false">TblRezone[[#This Row],[Total acres]]*TblRezone[[#This Row],[Plat/acre]]</f>
        <v>0</v>
      </c>
      <c r="Z40" s="245"/>
      <c r="AA40" s="69" t="n">
        <f aca="false">250+0.6*(TblRezone[[#This Row],[Land]]-250)</f>
        <v>351.4</v>
      </c>
      <c r="AB40" s="245"/>
      <c r="AC40" s="150" t="n">
        <f aca="false">TblConstr[[#This Row],[Facs DB]]</f>
        <v>0.121718377088305</v>
      </c>
    </row>
    <row r="41" customFormat="false" ht="12.75" hidden="false" customHeight="false" outlineLevel="0" collapsed="false">
      <c r="A41" s="181" t="n">
        <f aca="false">TblConstr[[#This Row],[Land]]</f>
        <v>419</v>
      </c>
      <c r="B41" s="246" t="n">
        <f aca="false">TblConstr[[#This Row],[Plain]]</f>
        <v>0</v>
      </c>
      <c r="C41" s="193" t="n">
        <f aca="false">TblConstr[[#This Row],[Forest]]</f>
        <v>0</v>
      </c>
      <c r="D41" s="200" t="n">
        <f aca="false">TblConstr[[#This Row],[Mountain]]</f>
        <v>0</v>
      </c>
      <c r="E41" s="201" t="n">
        <f aca="false">TblConstr[[#This Row],[Hill]]</f>
        <v>0</v>
      </c>
      <c r="F41" s="202" t="n">
        <f aca="false">TblConstr[[#This Row],[Swamp]]</f>
        <v>0</v>
      </c>
      <c r="G41" s="197" t="n">
        <f aca="false">TblConstr[[#This Row],[Cavern]]</f>
        <v>0</v>
      </c>
      <c r="H41" s="198" t="n">
        <f aca="false">TblConstr[[#This Row],[Water]]</f>
        <v>0</v>
      </c>
      <c r="I41" s="245"/>
      <c r="J41" s="269" t="n">
        <f aca="false">J40+1</f>
        <v>38</v>
      </c>
      <c r="K41" s="270" t="n">
        <f aca="false">TblImps[[#This Row],[Real time]]</f>
        <v>45431.2916666667</v>
      </c>
      <c r="L41" s="182"/>
      <c r="M41" s="182"/>
      <c r="N41" s="182"/>
      <c r="O41" s="182"/>
      <c r="P41" s="182"/>
      <c r="Q41" s="182"/>
      <c r="R41" s="182"/>
      <c r="S41" s="69" t="n">
        <f aca="false">SUMIF(TblRezone[[#This Row],[Plains Rezone]:[Water Rezone]],"&gt;0")</f>
        <v>0</v>
      </c>
      <c r="T41" s="33" t="str">
        <f aca="false">IF(SUM(TblRezone[[#This Row],[Plains Rezone]:[Water Rezone]])=0,"Ok","Nope")</f>
        <v>Ok</v>
      </c>
      <c r="U41" s="245"/>
      <c r="V41" s="69" t="n">
        <f aca="false">TblProd[[#This Row],[Platinum]]</f>
        <v>71078</v>
      </c>
      <c r="W41" s="245"/>
      <c r="X41" s="69" t="n">
        <f aca="false">ROUNDUP( (1-MIN(ROUND(facs_rezone_factor*TblRezone[[#This Row],[Facs]],4),facs_rezone_max) + tech_6_4*TblTech[[#This Row],[6-4]] + tech_10_2*TblTech[[#This Row],[10-2]] - IF(TblMagic[[#This Row],[Active Mechanical Genius]]&gt;0,mech_genius_bonus,0) + race_rezone_cost) * TblRezone[[#This Row],[Plat/acre*]],0)</f>
        <v>176</v>
      </c>
      <c r="Y41" s="69" t="n">
        <f aca="false">TblRezone[[#This Row],[Total acres]]*TblRezone[[#This Row],[Plat/acre]]</f>
        <v>0</v>
      </c>
      <c r="Z41" s="245"/>
      <c r="AA41" s="69" t="n">
        <f aca="false">250+0.6*(TblRezone[[#This Row],[Land]]-250)</f>
        <v>351.4</v>
      </c>
      <c r="AB41" s="245"/>
      <c r="AC41" s="150" t="n">
        <f aca="false">TblConstr[[#This Row],[Facs DB]]</f>
        <v>0.121718377088305</v>
      </c>
    </row>
    <row r="42" customFormat="false" ht="12.75" hidden="false" customHeight="false" outlineLevel="0" collapsed="false">
      <c r="A42" s="181" t="n">
        <f aca="false">TblConstr[[#This Row],[Land]]</f>
        <v>419</v>
      </c>
      <c r="B42" s="246" t="n">
        <f aca="false">TblConstr[[#This Row],[Plain]]</f>
        <v>0</v>
      </c>
      <c r="C42" s="193" t="n">
        <f aca="false">TblConstr[[#This Row],[Forest]]</f>
        <v>0</v>
      </c>
      <c r="D42" s="200" t="n">
        <f aca="false">TblConstr[[#This Row],[Mountain]]</f>
        <v>0</v>
      </c>
      <c r="E42" s="201" t="n">
        <f aca="false">TblConstr[[#This Row],[Hill]]</f>
        <v>0</v>
      </c>
      <c r="F42" s="202" t="n">
        <f aca="false">TblConstr[[#This Row],[Swamp]]</f>
        <v>0</v>
      </c>
      <c r="G42" s="197" t="n">
        <f aca="false">TblConstr[[#This Row],[Cavern]]</f>
        <v>0</v>
      </c>
      <c r="H42" s="198" t="n">
        <f aca="false">TblConstr[[#This Row],[Water]]</f>
        <v>0</v>
      </c>
      <c r="I42" s="245"/>
      <c r="J42" s="269" t="n">
        <f aca="false">J41+1</f>
        <v>39</v>
      </c>
      <c r="K42" s="270" t="n">
        <f aca="false">TblImps[[#This Row],[Real time]]</f>
        <v>45431.3333333333</v>
      </c>
      <c r="L42" s="182"/>
      <c r="M42" s="182"/>
      <c r="N42" s="182"/>
      <c r="O42" s="182"/>
      <c r="P42" s="182"/>
      <c r="Q42" s="182"/>
      <c r="R42" s="182"/>
      <c r="S42" s="69" t="n">
        <f aca="false">SUMIF(TblRezone[[#This Row],[Plains Rezone]:[Water Rezone]],"&gt;0")</f>
        <v>0</v>
      </c>
      <c r="T42" s="33" t="str">
        <f aca="false">IF(SUM(TblRezone[[#This Row],[Plains Rezone]:[Water Rezone]])=0,"Ok","Nope")</f>
        <v>Ok</v>
      </c>
      <c r="U42" s="245"/>
      <c r="V42" s="69" t="n">
        <f aca="false">TblProd[[#This Row],[Platinum]]</f>
        <v>77568</v>
      </c>
      <c r="W42" s="245"/>
      <c r="X42" s="69" t="n">
        <f aca="false">ROUNDUP( (1-MIN(ROUND(facs_rezone_factor*TblRezone[[#This Row],[Facs]],4),facs_rezone_max) + tech_6_4*TblTech[[#This Row],[6-4]] + tech_10_2*TblTech[[#This Row],[10-2]] - IF(TblMagic[[#This Row],[Active Mechanical Genius]]&gt;0,mech_genius_bonus,0) + race_rezone_cost) * TblRezone[[#This Row],[Plat/acre*]],0)</f>
        <v>176</v>
      </c>
      <c r="Y42" s="69" t="n">
        <f aca="false">TblRezone[[#This Row],[Total acres]]*TblRezone[[#This Row],[Plat/acre]]</f>
        <v>0</v>
      </c>
      <c r="Z42" s="245"/>
      <c r="AA42" s="69" t="n">
        <f aca="false">250+0.6*(TblRezone[[#This Row],[Land]]-250)</f>
        <v>351.4</v>
      </c>
      <c r="AB42" s="245"/>
      <c r="AC42" s="150" t="n">
        <f aca="false">TblConstr[[#This Row],[Facs DB]]</f>
        <v>0.121718377088305</v>
      </c>
    </row>
    <row r="43" customFormat="false" ht="12.75" hidden="false" customHeight="false" outlineLevel="0" collapsed="false">
      <c r="A43" s="181" t="n">
        <f aca="false">TblConstr[[#This Row],[Land]]</f>
        <v>419</v>
      </c>
      <c r="B43" s="246" t="n">
        <f aca="false">TblConstr[[#This Row],[Plain]]</f>
        <v>0</v>
      </c>
      <c r="C43" s="193" t="n">
        <f aca="false">TblConstr[[#This Row],[Forest]]</f>
        <v>0</v>
      </c>
      <c r="D43" s="200" t="n">
        <f aca="false">TblConstr[[#This Row],[Mountain]]</f>
        <v>0</v>
      </c>
      <c r="E43" s="201" t="n">
        <f aca="false">TblConstr[[#This Row],[Hill]]</f>
        <v>0</v>
      </c>
      <c r="F43" s="202" t="n">
        <f aca="false">TblConstr[[#This Row],[Swamp]]</f>
        <v>0</v>
      </c>
      <c r="G43" s="197" t="n">
        <f aca="false">TblConstr[[#This Row],[Cavern]]</f>
        <v>0</v>
      </c>
      <c r="H43" s="198" t="n">
        <f aca="false">TblConstr[[#This Row],[Water]]</f>
        <v>0</v>
      </c>
      <c r="I43" s="245"/>
      <c r="J43" s="269" t="n">
        <f aca="false">J42+1</f>
        <v>40</v>
      </c>
      <c r="K43" s="270" t="n">
        <f aca="false">TblImps[[#This Row],[Real time]]</f>
        <v>45431.375</v>
      </c>
      <c r="L43" s="182"/>
      <c r="M43" s="182"/>
      <c r="N43" s="182"/>
      <c r="O43" s="182"/>
      <c r="P43" s="182"/>
      <c r="Q43" s="182"/>
      <c r="R43" s="182"/>
      <c r="S43" s="69" t="n">
        <f aca="false">SUMIF(TblRezone[[#This Row],[Plains Rezone]:[Water Rezone]],"&gt;0")</f>
        <v>0</v>
      </c>
      <c r="T43" s="33" t="str">
        <f aca="false">IF(SUM(TblRezone[[#This Row],[Plains Rezone]:[Water Rezone]])=0,"Ok","Nope")</f>
        <v>Ok</v>
      </c>
      <c r="U43" s="245"/>
      <c r="V43" s="69" t="n">
        <f aca="false">TblProd[[#This Row],[Platinum]]</f>
        <v>85587</v>
      </c>
      <c r="W43" s="245"/>
      <c r="X43" s="69" t="n">
        <f aca="false">ROUNDUP( (1-MIN(ROUND(facs_rezone_factor*TblRezone[[#This Row],[Facs]],4),facs_rezone_max) + tech_6_4*TblTech[[#This Row],[6-4]] + tech_10_2*TblTech[[#This Row],[10-2]] - IF(TblMagic[[#This Row],[Active Mechanical Genius]]&gt;0,mech_genius_bonus,0) + race_rezone_cost) * TblRezone[[#This Row],[Plat/acre*]],0)</f>
        <v>176</v>
      </c>
      <c r="Y43" s="69" t="n">
        <f aca="false">TblRezone[[#This Row],[Total acres]]*TblRezone[[#This Row],[Plat/acre]]</f>
        <v>0</v>
      </c>
      <c r="Z43" s="245"/>
      <c r="AA43" s="69" t="n">
        <f aca="false">250+0.6*(TblRezone[[#This Row],[Land]]-250)</f>
        <v>351.4</v>
      </c>
      <c r="AB43" s="245"/>
      <c r="AC43" s="150" t="n">
        <f aca="false">TblConstr[[#This Row],[Facs DB]]</f>
        <v>0.121718377088305</v>
      </c>
    </row>
    <row r="44" customFormat="false" ht="12.75" hidden="false" customHeight="false" outlineLevel="0" collapsed="false">
      <c r="A44" s="181" t="n">
        <f aca="false">TblConstr[[#This Row],[Land]]</f>
        <v>501</v>
      </c>
      <c r="B44" s="246" t="n">
        <f aca="false">TblConstr[[#This Row],[Plain]]</f>
        <v>0</v>
      </c>
      <c r="C44" s="193" t="n">
        <f aca="false">TblConstr[[#This Row],[Forest]]</f>
        <v>0</v>
      </c>
      <c r="D44" s="200" t="n">
        <f aca="false">TblConstr[[#This Row],[Mountain]]</f>
        <v>0</v>
      </c>
      <c r="E44" s="201" t="n">
        <f aca="false">TblConstr[[#This Row],[Hill]]</f>
        <v>0</v>
      </c>
      <c r="F44" s="202" t="n">
        <f aca="false">TblConstr[[#This Row],[Swamp]]</f>
        <v>0</v>
      </c>
      <c r="G44" s="197" t="n">
        <f aca="false">TblConstr[[#This Row],[Cavern]]</f>
        <v>0</v>
      </c>
      <c r="H44" s="198" t="n">
        <f aca="false">TblConstr[[#This Row],[Water]]</f>
        <v>0</v>
      </c>
      <c r="I44" s="245"/>
      <c r="J44" s="269" t="n">
        <f aca="false">J43+1</f>
        <v>41</v>
      </c>
      <c r="K44" s="270" t="n">
        <f aca="false">TblImps[[#This Row],[Real time]]</f>
        <v>45431.4166666667</v>
      </c>
      <c r="L44" s="182"/>
      <c r="M44" s="182"/>
      <c r="N44" s="182"/>
      <c r="O44" s="182"/>
      <c r="P44" s="182"/>
      <c r="Q44" s="182"/>
      <c r="R44" s="182"/>
      <c r="S44" s="69" t="n">
        <f aca="false">SUMIF(TblRezone[[#This Row],[Plains Rezone]:[Water Rezone]],"&gt;0")</f>
        <v>0</v>
      </c>
      <c r="T44" s="33" t="str">
        <f aca="false">IF(SUM(TblRezone[[#This Row],[Plains Rezone]:[Water Rezone]])=0,"Ok","Nope")</f>
        <v>Ok</v>
      </c>
      <c r="U44" s="245"/>
      <c r="V44" s="69" t="n">
        <f aca="false">TblProd[[#This Row],[Platinum]]</f>
        <v>54134</v>
      </c>
      <c r="W44" s="245"/>
      <c r="X44" s="69" t="n">
        <f aca="false">ROUNDUP( (1-MIN(ROUND(facs_rezone_factor*TblRezone[[#This Row],[Facs]],4),facs_rezone_max) + tech_6_4*TblTech[[#This Row],[6-4]] + tech_10_2*TblTech[[#This Row],[10-2]] - IF(TblMagic[[#This Row],[Active Mechanical Genius]]&gt;0,mech_genius_bonus,0) + race_rezone_cost) * TblRezone[[#This Row],[Plat/acre*]],0)</f>
        <v>201</v>
      </c>
      <c r="Y44" s="69" t="n">
        <f aca="false">TblRezone[[#This Row],[Total acres]]*TblRezone[[#This Row],[Plat/acre]]</f>
        <v>0</v>
      </c>
      <c r="Z44" s="245"/>
      <c r="AA44" s="69" t="n">
        <f aca="false">250+0.6*(TblRezone[[#This Row],[Land]]-250)</f>
        <v>400.6</v>
      </c>
      <c r="AB44" s="245"/>
      <c r="AC44" s="150" t="n">
        <f aca="false">TblConstr[[#This Row],[Facs DB]]</f>
        <v>0.101796407185629</v>
      </c>
    </row>
    <row r="45" customFormat="false" ht="12.75" hidden="false" customHeight="false" outlineLevel="0" collapsed="false">
      <c r="A45" s="181" t="n">
        <f aca="false">TblConstr[[#This Row],[Land]]</f>
        <v>510</v>
      </c>
      <c r="B45" s="246" t="n">
        <f aca="false">TblConstr[[#This Row],[Plain]]</f>
        <v>0</v>
      </c>
      <c r="C45" s="193" t="n">
        <f aca="false">TblConstr[[#This Row],[Forest]]</f>
        <v>0</v>
      </c>
      <c r="D45" s="200" t="n">
        <f aca="false">TblConstr[[#This Row],[Mountain]]</f>
        <v>0</v>
      </c>
      <c r="E45" s="201" t="n">
        <f aca="false">TblConstr[[#This Row],[Hill]]</f>
        <v>0</v>
      </c>
      <c r="F45" s="202" t="n">
        <f aca="false">TblConstr[[#This Row],[Swamp]]</f>
        <v>0</v>
      </c>
      <c r="G45" s="197" t="n">
        <f aca="false">TblConstr[[#This Row],[Cavern]]</f>
        <v>0</v>
      </c>
      <c r="H45" s="198" t="n">
        <f aca="false">TblConstr[[#This Row],[Water]]</f>
        <v>0</v>
      </c>
      <c r="I45" s="245"/>
      <c r="J45" s="269" t="n">
        <f aca="false">J44+1</f>
        <v>42</v>
      </c>
      <c r="K45" s="270" t="n">
        <f aca="false">TblImps[[#This Row],[Real time]]</f>
        <v>45431.4583333333</v>
      </c>
      <c r="L45" s="182"/>
      <c r="M45" s="182"/>
      <c r="N45" s="182"/>
      <c r="O45" s="182"/>
      <c r="P45" s="182"/>
      <c r="Q45" s="182"/>
      <c r="R45" s="182"/>
      <c r="S45" s="69" t="n">
        <f aca="false">SUMIF(TblRezone[[#This Row],[Plains Rezone]:[Water Rezone]],"&gt;0")</f>
        <v>0</v>
      </c>
      <c r="T45" s="33" t="str">
        <f aca="false">IF(SUM(TblRezone[[#This Row],[Plains Rezone]:[Water Rezone]])=0,"Ok","Nope")</f>
        <v>Ok</v>
      </c>
      <c r="U45" s="245"/>
      <c r="V45" s="69" t="n">
        <f aca="false">TblProd[[#This Row],[Platinum]]</f>
        <v>60267</v>
      </c>
      <c r="W45" s="245"/>
      <c r="X45" s="69" t="n">
        <f aca="false">ROUNDUP( (1-MIN(ROUND(facs_rezone_factor*TblRezone[[#This Row],[Facs]],4),facs_rezone_max) + tech_6_4*TblTech[[#This Row],[6-4]] + tech_10_2*TblTech[[#This Row],[10-2]] - IF(TblMagic[[#This Row],[Active Mechanical Genius]]&gt;0,mech_genius_bonus,0) + race_rezone_cost) * TblRezone[[#This Row],[Plat/acre*]],0)</f>
        <v>203</v>
      </c>
      <c r="Y45" s="69" t="n">
        <f aca="false">TblRezone[[#This Row],[Total acres]]*TblRezone[[#This Row],[Plat/acre]]</f>
        <v>0</v>
      </c>
      <c r="Z45" s="245"/>
      <c r="AA45" s="69" t="n">
        <f aca="false">250+0.6*(TblRezone[[#This Row],[Land]]-250)</f>
        <v>406</v>
      </c>
      <c r="AB45" s="245"/>
      <c r="AC45" s="150" t="n">
        <f aca="false">TblConstr[[#This Row],[Facs DB]]</f>
        <v>0.101960784313725</v>
      </c>
    </row>
    <row r="46" customFormat="false" ht="12.75" hidden="false" customHeight="false" outlineLevel="0" collapsed="false">
      <c r="A46" s="181" t="n">
        <f aca="false">TblConstr[[#This Row],[Land]]</f>
        <v>520</v>
      </c>
      <c r="B46" s="246" t="n">
        <f aca="false">TblConstr[[#This Row],[Plain]]</f>
        <v>0</v>
      </c>
      <c r="C46" s="193" t="n">
        <f aca="false">TblConstr[[#This Row],[Forest]]</f>
        <v>0</v>
      </c>
      <c r="D46" s="200" t="n">
        <f aca="false">TblConstr[[#This Row],[Mountain]]</f>
        <v>0</v>
      </c>
      <c r="E46" s="201" t="n">
        <f aca="false">TblConstr[[#This Row],[Hill]]</f>
        <v>0</v>
      </c>
      <c r="F46" s="202" t="n">
        <f aca="false">TblConstr[[#This Row],[Swamp]]</f>
        <v>0</v>
      </c>
      <c r="G46" s="197" t="n">
        <f aca="false">TblConstr[[#This Row],[Cavern]]</f>
        <v>0</v>
      </c>
      <c r="H46" s="198" t="n">
        <f aca="false">TblConstr[[#This Row],[Water]]</f>
        <v>0</v>
      </c>
      <c r="I46" s="245"/>
      <c r="J46" s="269" t="n">
        <f aca="false">J45+1</f>
        <v>43</v>
      </c>
      <c r="K46" s="270" t="n">
        <f aca="false">TblImps[[#This Row],[Real time]]</f>
        <v>45431.5</v>
      </c>
      <c r="L46" s="182"/>
      <c r="M46" s="182"/>
      <c r="N46" s="182"/>
      <c r="O46" s="182"/>
      <c r="P46" s="182"/>
      <c r="Q46" s="182"/>
      <c r="R46" s="182"/>
      <c r="S46" s="69" t="n">
        <f aca="false">SUMIF(TblRezone[[#This Row],[Plains Rezone]:[Water Rezone]],"&gt;0")</f>
        <v>0</v>
      </c>
      <c r="T46" s="33" t="str">
        <f aca="false">IF(SUM(TblRezone[[#This Row],[Plains Rezone]:[Water Rezone]])=0,"Ok","Nope")</f>
        <v>Ok</v>
      </c>
      <c r="U46" s="245"/>
      <c r="V46" s="69" t="n">
        <f aca="false">TblProd[[#This Row],[Platinum]]</f>
        <v>75080</v>
      </c>
      <c r="W46" s="245"/>
      <c r="X46" s="69" t="n">
        <f aca="false">ROUNDUP( (1-MIN(ROUND(facs_rezone_factor*TblRezone[[#This Row],[Facs]],4),facs_rezone_max) + tech_6_4*TblTech[[#This Row],[6-4]] + tech_10_2*TblTech[[#This Row],[10-2]] - IF(TblMagic[[#This Row],[Active Mechanical Genius]]&gt;0,mech_genius_bonus,0) + race_rezone_cost) * TblRezone[[#This Row],[Plat/acre*]],0)</f>
        <v>206</v>
      </c>
      <c r="Y46" s="69" t="n">
        <f aca="false">TblRezone[[#This Row],[Total acres]]*TblRezone[[#This Row],[Plat/acre]]</f>
        <v>0</v>
      </c>
      <c r="Z46" s="245"/>
      <c r="AA46" s="69" t="n">
        <f aca="false">250+0.6*(TblRezone[[#This Row],[Land]]-250)</f>
        <v>412</v>
      </c>
      <c r="AB46" s="245"/>
      <c r="AC46" s="150" t="n">
        <f aca="false">TblConstr[[#This Row],[Facs DB]]</f>
        <v>0.101923076923077</v>
      </c>
    </row>
    <row r="47" customFormat="false" ht="12.75" hidden="false" customHeight="false" outlineLevel="0" collapsed="false">
      <c r="A47" s="181" t="n">
        <f aca="false">TblConstr[[#This Row],[Land]]</f>
        <v>530</v>
      </c>
      <c r="B47" s="246" t="n">
        <f aca="false">TblConstr[[#This Row],[Plain]]</f>
        <v>0</v>
      </c>
      <c r="C47" s="193" t="n">
        <f aca="false">TblConstr[[#This Row],[Forest]]</f>
        <v>0</v>
      </c>
      <c r="D47" s="200" t="n">
        <f aca="false">TblConstr[[#This Row],[Mountain]]</f>
        <v>0</v>
      </c>
      <c r="E47" s="201" t="n">
        <f aca="false">TblConstr[[#This Row],[Hill]]</f>
        <v>0</v>
      </c>
      <c r="F47" s="202" t="n">
        <f aca="false">TblConstr[[#This Row],[Swamp]]</f>
        <v>0</v>
      </c>
      <c r="G47" s="197" t="n">
        <f aca="false">TblConstr[[#This Row],[Cavern]]</f>
        <v>0</v>
      </c>
      <c r="H47" s="198" t="n">
        <f aca="false">TblConstr[[#This Row],[Water]]</f>
        <v>0</v>
      </c>
      <c r="I47" s="245"/>
      <c r="J47" s="269" t="n">
        <f aca="false">J46+1</f>
        <v>44</v>
      </c>
      <c r="K47" s="270" t="n">
        <f aca="false">TblImps[[#This Row],[Real time]]</f>
        <v>45431.5416666667</v>
      </c>
      <c r="L47" s="182"/>
      <c r="M47" s="182"/>
      <c r="N47" s="182"/>
      <c r="O47" s="182"/>
      <c r="P47" s="182"/>
      <c r="Q47" s="182"/>
      <c r="R47" s="182"/>
      <c r="S47" s="69" t="n">
        <f aca="false">SUMIF(TblRezone[[#This Row],[Plains Rezone]:[Water Rezone]],"&gt;0")</f>
        <v>0</v>
      </c>
      <c r="T47" s="33" t="str">
        <f aca="false">IF(SUM(TblRezone[[#This Row],[Plains Rezone]:[Water Rezone]])=0,"Ok","Nope")</f>
        <v>Ok</v>
      </c>
      <c r="U47" s="245"/>
      <c r="V47" s="69" t="n">
        <f aca="false">TblProd[[#This Row],[Platinum]]</f>
        <v>107787</v>
      </c>
      <c r="W47" s="245"/>
      <c r="X47" s="69" t="n">
        <f aca="false">ROUNDUP( (1-MIN(ROUND(facs_rezone_factor*TblRezone[[#This Row],[Facs]],4),facs_rezone_max) + tech_6_4*TblTech[[#This Row],[6-4]] + tech_10_2*TblTech[[#This Row],[10-2]] - IF(TblMagic[[#This Row],[Active Mechanical Genius]]&gt;0,mech_genius_bonus,0) + race_rezone_cost) * TblRezone[[#This Row],[Plat/acre*]],0)</f>
        <v>209</v>
      </c>
      <c r="Y47" s="69" t="n">
        <f aca="false">TblRezone[[#This Row],[Total acres]]*TblRezone[[#This Row],[Plat/acre]]</f>
        <v>0</v>
      </c>
      <c r="Z47" s="245"/>
      <c r="AA47" s="69" t="n">
        <f aca="false">250+0.6*(TblRezone[[#This Row],[Land]]-250)</f>
        <v>418</v>
      </c>
      <c r="AB47" s="245"/>
      <c r="AC47" s="150" t="n">
        <f aca="false">TblConstr[[#This Row],[Facs DB]]</f>
        <v>0.10188679245283</v>
      </c>
    </row>
    <row r="48" customFormat="false" ht="12.75" hidden="false" customHeight="false" outlineLevel="0" collapsed="false">
      <c r="A48" s="181" t="n">
        <f aca="false">TblConstr[[#This Row],[Land]]</f>
        <v>540</v>
      </c>
      <c r="B48" s="246" t="n">
        <f aca="false">TblConstr[[#This Row],[Plain]]</f>
        <v>0</v>
      </c>
      <c r="C48" s="193" t="n">
        <f aca="false">TblConstr[[#This Row],[Forest]]</f>
        <v>0</v>
      </c>
      <c r="D48" s="200" t="n">
        <f aca="false">TblConstr[[#This Row],[Mountain]]</f>
        <v>0</v>
      </c>
      <c r="E48" s="201" t="n">
        <f aca="false">TblConstr[[#This Row],[Hill]]</f>
        <v>0</v>
      </c>
      <c r="F48" s="202" t="n">
        <f aca="false">TblConstr[[#This Row],[Swamp]]</f>
        <v>0</v>
      </c>
      <c r="G48" s="197" t="n">
        <f aca="false">TblConstr[[#This Row],[Cavern]]</f>
        <v>0</v>
      </c>
      <c r="H48" s="198" t="n">
        <f aca="false">TblConstr[[#This Row],[Water]]</f>
        <v>0</v>
      </c>
      <c r="I48" s="245"/>
      <c r="J48" s="269" t="n">
        <f aca="false">J47+1</f>
        <v>45</v>
      </c>
      <c r="K48" s="270" t="n">
        <f aca="false">TblImps[[#This Row],[Real time]]</f>
        <v>45431.5833333333</v>
      </c>
      <c r="L48" s="182"/>
      <c r="M48" s="182"/>
      <c r="N48" s="182"/>
      <c r="O48" s="182"/>
      <c r="P48" s="182"/>
      <c r="Q48" s="182"/>
      <c r="R48" s="182"/>
      <c r="S48" s="69" t="n">
        <f aca="false">SUMIF(TblRezone[[#This Row],[Plains Rezone]:[Water Rezone]],"&gt;0")</f>
        <v>0</v>
      </c>
      <c r="T48" s="33" t="str">
        <f aca="false">IF(SUM(TblRezone[[#This Row],[Plains Rezone]:[Water Rezone]])=0,"Ok","Nope")</f>
        <v>Ok</v>
      </c>
      <c r="U48" s="245"/>
      <c r="V48" s="69" t="n">
        <f aca="false">TblProd[[#This Row],[Platinum]]</f>
        <v>141605</v>
      </c>
      <c r="W48" s="245"/>
      <c r="X48" s="69" t="n">
        <f aca="false">ROUNDUP( (1-MIN(ROUND(facs_rezone_factor*TblRezone[[#This Row],[Facs]],4),facs_rezone_max) + tech_6_4*TblTech[[#This Row],[6-4]] + tech_10_2*TblTech[[#This Row],[10-2]] - IF(TblMagic[[#This Row],[Active Mechanical Genius]]&gt;0,mech_genius_bonus,0) + race_rezone_cost) * TblRezone[[#This Row],[Plat/acre*]],0)</f>
        <v>212</v>
      </c>
      <c r="Y48" s="69" t="n">
        <f aca="false">TblRezone[[#This Row],[Total acres]]*TblRezone[[#This Row],[Plat/acre]]</f>
        <v>0</v>
      </c>
      <c r="Z48" s="245"/>
      <c r="AA48" s="69" t="n">
        <f aca="false">250+0.6*(TblRezone[[#This Row],[Land]]-250)</f>
        <v>424</v>
      </c>
      <c r="AB48" s="245"/>
      <c r="AC48" s="150" t="n">
        <f aca="false">TblConstr[[#This Row],[Facs DB]]</f>
        <v>0.101851851851852</v>
      </c>
    </row>
    <row r="49" customFormat="false" ht="12.75" hidden="false" customHeight="false" outlineLevel="0" collapsed="false">
      <c r="A49" s="181" t="n">
        <f aca="false">TblConstr[[#This Row],[Land]]</f>
        <v>551</v>
      </c>
      <c r="B49" s="246" t="n">
        <f aca="false">TblConstr[[#This Row],[Plain]]</f>
        <v>0</v>
      </c>
      <c r="C49" s="193" t="n">
        <f aca="false">TblConstr[[#This Row],[Forest]]</f>
        <v>0</v>
      </c>
      <c r="D49" s="200" t="n">
        <f aca="false">TblConstr[[#This Row],[Mountain]]</f>
        <v>0</v>
      </c>
      <c r="E49" s="201" t="n">
        <f aca="false">TblConstr[[#This Row],[Hill]]</f>
        <v>0</v>
      </c>
      <c r="F49" s="202" t="n">
        <f aca="false">TblConstr[[#This Row],[Swamp]]</f>
        <v>0</v>
      </c>
      <c r="G49" s="197" t="n">
        <f aca="false">TblConstr[[#This Row],[Cavern]]</f>
        <v>0</v>
      </c>
      <c r="H49" s="198" t="n">
        <f aca="false">TblConstr[[#This Row],[Water]]</f>
        <v>0</v>
      </c>
      <c r="I49" s="245"/>
      <c r="J49" s="269" t="n">
        <f aca="false">J48+1</f>
        <v>46</v>
      </c>
      <c r="K49" s="270" t="n">
        <f aca="false">TblImps[[#This Row],[Real time]]</f>
        <v>45431.625</v>
      </c>
      <c r="L49" s="182"/>
      <c r="M49" s="182"/>
      <c r="N49" s="182"/>
      <c r="O49" s="182"/>
      <c r="P49" s="182"/>
      <c r="Q49" s="182"/>
      <c r="R49" s="182"/>
      <c r="S49" s="69" t="n">
        <f aca="false">SUMIF(TblRezone[[#This Row],[Plains Rezone]:[Water Rezone]],"&gt;0")</f>
        <v>0</v>
      </c>
      <c r="T49" s="33" t="str">
        <f aca="false">IF(SUM(TblRezone[[#This Row],[Plains Rezone]:[Water Rezone]])=0,"Ok","Nope")</f>
        <v>Ok</v>
      </c>
      <c r="U49" s="245"/>
      <c r="V49" s="69" t="n">
        <f aca="false">TblProd[[#This Row],[Platinum]]</f>
        <v>175641</v>
      </c>
      <c r="W49" s="245"/>
      <c r="X49" s="69" t="n">
        <f aca="false">ROUNDUP( (1-MIN(ROUND(facs_rezone_factor*TblRezone[[#This Row],[Facs]],4),facs_rezone_max) + tech_6_4*TblTech[[#This Row],[6-4]] + tech_10_2*TblTech[[#This Row],[10-2]] - IF(TblMagic[[#This Row],[Active Mechanical Genius]]&gt;0,mech_genius_bonus,0) + race_rezone_cost) * TblRezone[[#This Row],[Plat/acre*]],0)</f>
        <v>216</v>
      </c>
      <c r="Y49" s="69" t="n">
        <f aca="false">TblRezone[[#This Row],[Total acres]]*TblRezone[[#This Row],[Plat/acre]]</f>
        <v>0</v>
      </c>
      <c r="Z49" s="245"/>
      <c r="AA49" s="69" t="n">
        <f aca="false">250+0.6*(TblRezone[[#This Row],[Land]]-250)</f>
        <v>430.6</v>
      </c>
      <c r="AB49" s="245"/>
      <c r="AC49" s="150" t="n">
        <f aca="false">TblConstr[[#This Row],[Facs DB]]</f>
        <v>0.101633393829401</v>
      </c>
    </row>
    <row r="50" customFormat="false" ht="12.75" hidden="false" customHeight="false" outlineLevel="0" collapsed="false">
      <c r="A50" s="181" t="n">
        <f aca="false">TblConstr[[#This Row],[Land]]</f>
        <v>563</v>
      </c>
      <c r="B50" s="246" t="n">
        <f aca="false">TblConstr[[#This Row],[Plain]]</f>
        <v>0</v>
      </c>
      <c r="C50" s="193" t="n">
        <f aca="false">TblConstr[[#This Row],[Forest]]</f>
        <v>0</v>
      </c>
      <c r="D50" s="200" t="n">
        <f aca="false">TblConstr[[#This Row],[Mountain]]</f>
        <v>0</v>
      </c>
      <c r="E50" s="201" t="n">
        <f aca="false">TblConstr[[#This Row],[Hill]]</f>
        <v>0</v>
      </c>
      <c r="F50" s="202" t="n">
        <f aca="false">TblConstr[[#This Row],[Swamp]]</f>
        <v>0</v>
      </c>
      <c r="G50" s="197" t="n">
        <f aca="false">TblConstr[[#This Row],[Cavern]]</f>
        <v>0</v>
      </c>
      <c r="H50" s="198" t="n">
        <f aca="false">TblConstr[[#This Row],[Water]]</f>
        <v>0</v>
      </c>
      <c r="I50" s="245"/>
      <c r="J50" s="269" t="n">
        <f aca="false">J49+1</f>
        <v>47</v>
      </c>
      <c r="K50" s="270" t="n">
        <f aca="false">TblImps[[#This Row],[Real time]]</f>
        <v>45431.6666666667</v>
      </c>
      <c r="L50" s="182"/>
      <c r="M50" s="182"/>
      <c r="N50" s="182"/>
      <c r="O50" s="182"/>
      <c r="P50" s="182"/>
      <c r="Q50" s="182"/>
      <c r="R50" s="182"/>
      <c r="S50" s="69" t="n">
        <f aca="false">SUMIF(TblRezone[[#This Row],[Plains Rezone]:[Water Rezone]],"&gt;0")</f>
        <v>0</v>
      </c>
      <c r="T50" s="33" t="str">
        <f aca="false">IF(SUM(TblRezone[[#This Row],[Plains Rezone]:[Water Rezone]])=0,"Ok","Nope")</f>
        <v>Ok</v>
      </c>
      <c r="U50" s="245"/>
      <c r="V50" s="69" t="n">
        <f aca="false">TblProd[[#This Row],[Platinum]]</f>
        <v>209248</v>
      </c>
      <c r="W50" s="245"/>
      <c r="X50" s="69" t="n">
        <f aca="false">ROUNDUP( (1-MIN(ROUND(facs_rezone_factor*TblRezone[[#This Row],[Facs]],4),facs_rezone_max) + tech_6_4*TblTech[[#This Row],[6-4]] + tech_10_2*TblTech[[#This Row],[10-2]] - IF(TblMagic[[#This Row],[Active Mechanical Genius]]&gt;0,mech_genius_bonus,0) + race_rezone_cost) * TblRezone[[#This Row],[Plat/acre*]],0)</f>
        <v>219</v>
      </c>
      <c r="Y50" s="69" t="n">
        <f aca="false">TblRezone[[#This Row],[Total acres]]*TblRezone[[#This Row],[Plat/acre]]</f>
        <v>0</v>
      </c>
      <c r="Z50" s="245"/>
      <c r="AA50" s="69" t="n">
        <f aca="false">250+0.6*(TblRezone[[#This Row],[Land]]-250)</f>
        <v>437.8</v>
      </c>
      <c r="AB50" s="245"/>
      <c r="AC50" s="150" t="n">
        <f aca="false">TblConstr[[#This Row],[Facs DB]]</f>
        <v>0.101243339253996</v>
      </c>
    </row>
    <row r="51" customFormat="false" ht="12.75" hidden="false" customHeight="false" outlineLevel="0" collapsed="false">
      <c r="A51" s="181" t="n">
        <f aca="false">TblConstr[[#This Row],[Land]]</f>
        <v>596</v>
      </c>
      <c r="B51" s="246" t="n">
        <f aca="false">TblConstr[[#This Row],[Plain]]</f>
        <v>0</v>
      </c>
      <c r="C51" s="193" t="n">
        <f aca="false">TblConstr[[#This Row],[Forest]]</f>
        <v>0</v>
      </c>
      <c r="D51" s="200" t="n">
        <f aca="false">TblConstr[[#This Row],[Mountain]]</f>
        <v>0</v>
      </c>
      <c r="E51" s="201" t="n">
        <f aca="false">TblConstr[[#This Row],[Hill]]</f>
        <v>0</v>
      </c>
      <c r="F51" s="202" t="n">
        <f aca="false">TblConstr[[#This Row],[Swamp]]</f>
        <v>0</v>
      </c>
      <c r="G51" s="197" t="n">
        <f aca="false">TblConstr[[#This Row],[Cavern]]</f>
        <v>0</v>
      </c>
      <c r="H51" s="198" t="n">
        <f aca="false">TblConstr[[#This Row],[Water]]</f>
        <v>0</v>
      </c>
      <c r="I51" s="245"/>
      <c r="J51" s="269" t="n">
        <f aca="false">J50+1</f>
        <v>48</v>
      </c>
      <c r="K51" s="270" t="n">
        <f aca="false">TblImps[[#This Row],[Real time]]</f>
        <v>45431.7083333333</v>
      </c>
      <c r="L51" s="182"/>
      <c r="M51" s="182"/>
      <c r="N51" s="182"/>
      <c r="O51" s="182"/>
      <c r="P51" s="182"/>
      <c r="Q51" s="182"/>
      <c r="R51" s="182"/>
      <c r="S51" s="69" t="n">
        <f aca="false">SUMIF(TblRezone[[#This Row],[Plains Rezone]:[Water Rezone]],"&gt;0")</f>
        <v>0</v>
      </c>
      <c r="T51" s="33" t="str">
        <f aca="false">IF(SUM(TblRezone[[#This Row],[Plains Rezone]:[Water Rezone]])=0,"Ok","Nope")</f>
        <v>Ok</v>
      </c>
      <c r="U51" s="245"/>
      <c r="V51" s="69" t="n">
        <f aca="false">TblProd[[#This Row],[Platinum]]</f>
        <v>267289</v>
      </c>
      <c r="W51" s="245"/>
      <c r="X51" s="69" t="n">
        <f aca="false">ROUNDUP( (1-MIN(ROUND(facs_rezone_factor*TblRezone[[#This Row],[Facs]],4),facs_rezone_max) + tech_6_4*TblTech[[#This Row],[6-4]] + tech_10_2*TblTech[[#This Row],[10-2]] - IF(TblMagic[[#This Row],[Active Mechanical Genius]]&gt;0,mech_genius_bonus,0) + race_rezone_cost) * TblRezone[[#This Row],[Plat/acre*]],0)</f>
        <v>229</v>
      </c>
      <c r="Y51" s="69" t="n">
        <f aca="false">TblRezone[[#This Row],[Total acres]]*TblRezone[[#This Row],[Plat/acre]]</f>
        <v>0</v>
      </c>
      <c r="Z51" s="245"/>
      <c r="AA51" s="69" t="n">
        <f aca="false">250+0.6*(TblRezone[[#This Row],[Land]]-250)</f>
        <v>457.6</v>
      </c>
      <c r="AB51" s="245"/>
      <c r="AC51" s="150" t="n">
        <f aca="false">TblConstr[[#This Row],[Facs DB]]</f>
        <v>0.11241610738255</v>
      </c>
    </row>
    <row r="52" customFormat="false" ht="12.75" hidden="false" customHeight="false" outlineLevel="0" collapsed="false">
      <c r="A52" s="181" t="n">
        <f aca="false">TblConstr[[#This Row],[Land]]</f>
        <v>629</v>
      </c>
      <c r="B52" s="246" t="n">
        <f aca="false">TblConstr[[#This Row],[Plain]]</f>
        <v>0</v>
      </c>
      <c r="C52" s="193" t="n">
        <f aca="false">TblConstr[[#This Row],[Forest]]</f>
        <v>0</v>
      </c>
      <c r="D52" s="200" t="n">
        <f aca="false">TblConstr[[#This Row],[Mountain]]</f>
        <v>0</v>
      </c>
      <c r="E52" s="201" t="n">
        <f aca="false">TblConstr[[#This Row],[Hill]]</f>
        <v>0</v>
      </c>
      <c r="F52" s="202" t="n">
        <f aca="false">TblConstr[[#This Row],[Swamp]]</f>
        <v>0</v>
      </c>
      <c r="G52" s="197" t="n">
        <f aca="false">TblConstr[[#This Row],[Cavern]]</f>
        <v>0</v>
      </c>
      <c r="H52" s="198" t="n">
        <f aca="false">TblConstr[[#This Row],[Water]]</f>
        <v>0</v>
      </c>
      <c r="I52" s="245"/>
      <c r="J52" s="269" t="n">
        <f aca="false">J51+1</f>
        <v>49</v>
      </c>
      <c r="K52" s="270" t="n">
        <f aca="false">TblImps[[#This Row],[Real time]]</f>
        <v>45431.75</v>
      </c>
      <c r="L52" s="182"/>
      <c r="M52" s="182"/>
      <c r="N52" s="182"/>
      <c r="O52" s="182"/>
      <c r="P52" s="182"/>
      <c r="Q52" s="182"/>
      <c r="R52" s="182"/>
      <c r="S52" s="69" t="n">
        <f aca="false">SUMIF(TblRezone[[#This Row],[Plains Rezone]:[Water Rezone]],"&gt;0")</f>
        <v>0</v>
      </c>
      <c r="T52" s="33" t="str">
        <f aca="false">IF(SUM(TblRezone[[#This Row],[Plains Rezone]:[Water Rezone]])=0,"Ok","Nope")</f>
        <v>Ok</v>
      </c>
      <c r="U52" s="245"/>
      <c r="V52" s="69" t="n">
        <f aca="false">TblProd[[#This Row],[Platinum]]</f>
        <v>290264</v>
      </c>
      <c r="W52" s="245"/>
      <c r="X52" s="69" t="n">
        <f aca="false">ROUNDUP( (1-MIN(ROUND(facs_rezone_factor*TblRezone[[#This Row],[Facs]],4),facs_rezone_max) + tech_6_4*TblTech[[#This Row],[6-4]] + tech_10_2*TblTech[[#This Row],[10-2]] - IF(TblMagic[[#This Row],[Active Mechanical Genius]]&gt;0,mech_genius_bonus,0) + race_rezone_cost) * TblRezone[[#This Row],[Plat/acre*]],0)</f>
        <v>239</v>
      </c>
      <c r="Y52" s="69" t="n">
        <f aca="false">TblRezone[[#This Row],[Total acres]]*TblRezone[[#This Row],[Plat/acre]]</f>
        <v>0</v>
      </c>
      <c r="Z52" s="245"/>
      <c r="AA52" s="69" t="n">
        <f aca="false">250+0.6*(TblRezone[[#This Row],[Land]]-250)</f>
        <v>477.4</v>
      </c>
      <c r="AB52" s="245"/>
      <c r="AC52" s="150" t="n">
        <f aca="false">TblConstr[[#This Row],[Facs DB]]</f>
        <v>0.106518282988871</v>
      </c>
    </row>
    <row r="53" customFormat="false" ht="12.75" hidden="false" customHeight="false" outlineLevel="0" collapsed="false">
      <c r="A53" s="181" t="n">
        <f aca="false">TblConstr[[#This Row],[Land]]</f>
        <v>642</v>
      </c>
      <c r="B53" s="246" t="n">
        <f aca="false">TblConstr[[#This Row],[Plain]]</f>
        <v>0</v>
      </c>
      <c r="C53" s="193" t="n">
        <f aca="false">TblConstr[[#This Row],[Forest]]</f>
        <v>0</v>
      </c>
      <c r="D53" s="200" t="n">
        <f aca="false">TblConstr[[#This Row],[Mountain]]</f>
        <v>0</v>
      </c>
      <c r="E53" s="201" t="n">
        <f aca="false">TblConstr[[#This Row],[Hill]]</f>
        <v>0</v>
      </c>
      <c r="F53" s="202" t="n">
        <f aca="false">TblConstr[[#This Row],[Swamp]]</f>
        <v>0</v>
      </c>
      <c r="G53" s="197" t="n">
        <f aca="false">TblConstr[[#This Row],[Cavern]]</f>
        <v>0</v>
      </c>
      <c r="H53" s="198" t="n">
        <f aca="false">TblConstr[[#This Row],[Water]]</f>
        <v>0</v>
      </c>
      <c r="I53" s="245"/>
      <c r="J53" s="269" t="n">
        <f aca="false">J52+1</f>
        <v>50</v>
      </c>
      <c r="K53" s="270" t="n">
        <f aca="false">TblImps[[#This Row],[Real time]]</f>
        <v>45431.7916666667</v>
      </c>
      <c r="L53" s="182"/>
      <c r="M53" s="182"/>
      <c r="N53" s="182"/>
      <c r="O53" s="182"/>
      <c r="P53" s="182"/>
      <c r="Q53" s="182"/>
      <c r="R53" s="182"/>
      <c r="S53" s="69" t="n">
        <f aca="false">SUMIF(TblRezone[[#This Row],[Plains Rezone]:[Water Rezone]],"&gt;0")</f>
        <v>0</v>
      </c>
      <c r="T53" s="33" t="str">
        <f aca="false">IF(SUM(TblRezone[[#This Row],[Plains Rezone]:[Water Rezone]])=0,"Ok","Nope")</f>
        <v>Ok</v>
      </c>
      <c r="U53" s="245"/>
      <c r="V53" s="69" t="n">
        <f aca="false">TblProd[[#This Row],[Platinum]]</f>
        <v>323598</v>
      </c>
      <c r="W53" s="245"/>
      <c r="X53" s="69" t="n">
        <f aca="false">ROUNDUP( (1-MIN(ROUND(facs_rezone_factor*TblRezone[[#This Row],[Facs]],4),facs_rezone_max) + tech_6_4*TblTech[[#This Row],[6-4]] + tech_10_2*TblTech[[#This Row],[10-2]] - IF(TblMagic[[#This Row],[Active Mechanical Genius]]&gt;0,mech_genius_bonus,0) + race_rezone_cost) * TblRezone[[#This Row],[Plat/acre*]],0)</f>
        <v>243</v>
      </c>
      <c r="Y53" s="69" t="n">
        <f aca="false">TblRezone[[#This Row],[Total acres]]*TblRezone[[#This Row],[Plat/acre]]</f>
        <v>0</v>
      </c>
      <c r="Z53" s="245"/>
      <c r="AA53" s="69" t="n">
        <f aca="false">250+0.6*(TblRezone[[#This Row],[Land]]-250)</f>
        <v>485.2</v>
      </c>
      <c r="AB53" s="245"/>
      <c r="AC53" s="150" t="n">
        <f aca="false">TblConstr[[#This Row],[Facs DB]]</f>
        <v>0.104361370716511</v>
      </c>
    </row>
    <row r="54" customFormat="false" ht="12.75" hidden="false" customHeight="false" outlineLevel="0" collapsed="false">
      <c r="A54" s="181" t="n">
        <f aca="false">TblConstr[[#This Row],[Land]]</f>
        <v>656</v>
      </c>
      <c r="B54" s="246" t="n">
        <f aca="false">TblConstr[[#This Row],[Plain]]</f>
        <v>0</v>
      </c>
      <c r="C54" s="193" t="n">
        <f aca="false">TblConstr[[#This Row],[Forest]]</f>
        <v>0</v>
      </c>
      <c r="D54" s="200" t="n">
        <f aca="false">TblConstr[[#This Row],[Mountain]]</f>
        <v>0</v>
      </c>
      <c r="E54" s="201" t="n">
        <f aca="false">TblConstr[[#This Row],[Hill]]</f>
        <v>0</v>
      </c>
      <c r="F54" s="202" t="n">
        <f aca="false">TblConstr[[#This Row],[Swamp]]</f>
        <v>0</v>
      </c>
      <c r="G54" s="197" t="n">
        <f aca="false">TblConstr[[#This Row],[Cavern]]</f>
        <v>0</v>
      </c>
      <c r="H54" s="198" t="n">
        <f aca="false">TblConstr[[#This Row],[Water]]</f>
        <v>0</v>
      </c>
      <c r="I54" s="245"/>
      <c r="J54" s="269" t="n">
        <f aca="false">J53+1</f>
        <v>51</v>
      </c>
      <c r="K54" s="270" t="n">
        <f aca="false">TblImps[[#This Row],[Real time]]</f>
        <v>45431.8333333333</v>
      </c>
      <c r="L54" s="182"/>
      <c r="M54" s="182"/>
      <c r="N54" s="182"/>
      <c r="O54" s="182"/>
      <c r="P54" s="182"/>
      <c r="Q54" s="182"/>
      <c r="R54" s="182"/>
      <c r="S54" s="69" t="n">
        <f aca="false">SUMIF(TblRezone[[#This Row],[Plains Rezone]:[Water Rezone]],"&gt;0")</f>
        <v>0</v>
      </c>
      <c r="T54" s="33" t="str">
        <f aca="false">IF(SUM(TblRezone[[#This Row],[Plains Rezone]:[Water Rezone]])=0,"Ok","Nope")</f>
        <v>Ok</v>
      </c>
      <c r="U54" s="245"/>
      <c r="V54" s="69" t="n">
        <f aca="false">TblProd[[#This Row],[Platinum]]</f>
        <v>356298</v>
      </c>
      <c r="W54" s="245"/>
      <c r="X54" s="69" t="n">
        <f aca="false">ROUNDUP( (1-MIN(ROUND(facs_rezone_factor*TblRezone[[#This Row],[Facs]],4),facs_rezone_max) + tech_6_4*TblTech[[#This Row],[6-4]] + tech_10_2*TblTech[[#This Row],[10-2]] - IF(TblMagic[[#This Row],[Active Mechanical Genius]]&gt;0,mech_genius_bonus,0) + race_rezone_cost) * TblRezone[[#This Row],[Plat/acre*]],0)</f>
        <v>247</v>
      </c>
      <c r="Y54" s="69" t="n">
        <f aca="false">TblRezone[[#This Row],[Total acres]]*TblRezone[[#This Row],[Plat/acre]]</f>
        <v>0</v>
      </c>
      <c r="Z54" s="245"/>
      <c r="AA54" s="69" t="n">
        <f aca="false">250+0.6*(TblRezone[[#This Row],[Land]]-250)</f>
        <v>493.6</v>
      </c>
      <c r="AB54" s="245"/>
      <c r="AC54" s="150" t="n">
        <f aca="false">TblConstr[[#This Row],[Facs DB]]</f>
        <v>0.102134146341463</v>
      </c>
    </row>
    <row r="55" customFormat="false" ht="12.75" hidden="false" customHeight="false" outlineLevel="0" collapsed="false">
      <c r="A55" s="181" t="n">
        <f aca="false">TblConstr[[#This Row],[Land]]</f>
        <v>669</v>
      </c>
      <c r="B55" s="246" t="n">
        <f aca="false">TblConstr[[#This Row],[Plain]]</f>
        <v>0</v>
      </c>
      <c r="C55" s="193" t="n">
        <f aca="false">TblConstr[[#This Row],[Forest]]</f>
        <v>0</v>
      </c>
      <c r="D55" s="200" t="n">
        <f aca="false">TblConstr[[#This Row],[Mountain]]</f>
        <v>0</v>
      </c>
      <c r="E55" s="201" t="n">
        <f aca="false">TblConstr[[#This Row],[Hill]]</f>
        <v>0</v>
      </c>
      <c r="F55" s="202" t="n">
        <f aca="false">TblConstr[[#This Row],[Swamp]]</f>
        <v>0</v>
      </c>
      <c r="G55" s="197" t="n">
        <f aca="false">TblConstr[[#This Row],[Cavern]]</f>
        <v>0</v>
      </c>
      <c r="H55" s="198" t="n">
        <f aca="false">TblConstr[[#This Row],[Water]]</f>
        <v>0</v>
      </c>
      <c r="I55" s="245"/>
      <c r="J55" s="269" t="n">
        <f aca="false">J54+1</f>
        <v>52</v>
      </c>
      <c r="K55" s="270" t="n">
        <f aca="false">TblImps[[#This Row],[Real time]]</f>
        <v>45431.875</v>
      </c>
      <c r="L55" s="182"/>
      <c r="M55" s="182"/>
      <c r="N55" s="182"/>
      <c r="O55" s="182"/>
      <c r="P55" s="182"/>
      <c r="Q55" s="182"/>
      <c r="R55" s="182"/>
      <c r="S55" s="69" t="n">
        <f aca="false">SUMIF(TblRezone[[#This Row],[Plains Rezone]:[Water Rezone]],"&gt;0")</f>
        <v>0</v>
      </c>
      <c r="T55" s="33" t="str">
        <f aca="false">IF(SUM(TblRezone[[#This Row],[Plains Rezone]:[Water Rezone]])=0,"Ok","Nope")</f>
        <v>Ok</v>
      </c>
      <c r="U55" s="245"/>
      <c r="V55" s="69" t="n">
        <f aca="false">TblProd[[#This Row],[Platinum]]</f>
        <v>389463</v>
      </c>
      <c r="W55" s="245"/>
      <c r="X55" s="69" t="n">
        <f aca="false">ROUNDUP( (1-MIN(ROUND(facs_rezone_factor*TblRezone[[#This Row],[Facs]],4),facs_rezone_max) + tech_6_4*TblTech[[#This Row],[6-4]] + tech_10_2*TblTech[[#This Row],[10-2]] - IF(TblMagic[[#This Row],[Active Mechanical Genius]]&gt;0,mech_genius_bonus,0) + race_rezone_cost) * TblRezone[[#This Row],[Plat/acre*]],0)</f>
        <v>251</v>
      </c>
      <c r="Y55" s="69" t="n">
        <f aca="false">TblRezone[[#This Row],[Total acres]]*TblRezone[[#This Row],[Plat/acre]]</f>
        <v>0</v>
      </c>
      <c r="Z55" s="245"/>
      <c r="AA55" s="69" t="n">
        <f aca="false">250+0.6*(TblRezone[[#This Row],[Land]]-250)</f>
        <v>501.4</v>
      </c>
      <c r="AB55" s="245"/>
      <c r="AC55" s="150" t="n">
        <f aca="false">TblConstr[[#This Row],[Facs DB]]</f>
        <v>0.100149476831091</v>
      </c>
    </row>
    <row r="56" customFormat="false" ht="12.75" hidden="false" customHeight="false" outlineLevel="0" collapsed="false">
      <c r="A56" s="181" t="n">
        <f aca="false">TblConstr[[#This Row],[Land]]</f>
        <v>680</v>
      </c>
      <c r="B56" s="246" t="n">
        <f aca="false">TblConstr[[#This Row],[Plain]]</f>
        <v>0</v>
      </c>
      <c r="C56" s="193" t="n">
        <f aca="false">TblConstr[[#This Row],[Forest]]</f>
        <v>0</v>
      </c>
      <c r="D56" s="200" t="n">
        <f aca="false">TblConstr[[#This Row],[Mountain]]</f>
        <v>0</v>
      </c>
      <c r="E56" s="201" t="n">
        <f aca="false">TblConstr[[#This Row],[Hill]]</f>
        <v>0</v>
      </c>
      <c r="F56" s="202" t="n">
        <f aca="false">TblConstr[[#This Row],[Swamp]]</f>
        <v>0</v>
      </c>
      <c r="G56" s="197" t="n">
        <f aca="false">TblConstr[[#This Row],[Cavern]]</f>
        <v>0</v>
      </c>
      <c r="H56" s="198" t="n">
        <f aca="false">TblConstr[[#This Row],[Water]]</f>
        <v>0</v>
      </c>
      <c r="I56" s="245"/>
      <c r="J56" s="269" t="n">
        <f aca="false">J55+1</f>
        <v>53</v>
      </c>
      <c r="K56" s="270" t="n">
        <f aca="false">TblImps[[#This Row],[Real time]]</f>
        <v>45431.9166666667</v>
      </c>
      <c r="L56" s="182"/>
      <c r="M56" s="182"/>
      <c r="N56" s="182"/>
      <c r="O56" s="182"/>
      <c r="P56" s="182"/>
      <c r="Q56" s="182"/>
      <c r="R56" s="182"/>
      <c r="S56" s="69" t="n">
        <f aca="false">SUMIF(TblRezone[[#This Row],[Plains Rezone]:[Water Rezone]],"&gt;0")</f>
        <v>0</v>
      </c>
      <c r="T56" s="33" t="str">
        <f aca="false">IF(SUM(TblRezone[[#This Row],[Plains Rezone]:[Water Rezone]])=0,"Ok","Nope")</f>
        <v>Ok</v>
      </c>
      <c r="U56" s="245"/>
      <c r="V56" s="69" t="n">
        <f aca="false">TblProd[[#This Row],[Platinum]]</f>
        <v>429145</v>
      </c>
      <c r="W56" s="245"/>
      <c r="X56" s="69" t="n">
        <f aca="false">ROUNDUP( (1-MIN(ROUND(facs_rezone_factor*TblRezone[[#This Row],[Facs]],4),facs_rezone_max) + tech_6_4*TblTech[[#This Row],[6-4]] + tech_10_2*TblTech[[#This Row],[10-2]] - IF(TblMagic[[#This Row],[Active Mechanical Genius]]&gt;0,mech_genius_bonus,0) + race_rezone_cost) * TblRezone[[#This Row],[Plat/acre*]],0)</f>
        <v>258</v>
      </c>
      <c r="Y56" s="69" t="n">
        <f aca="false">TblRezone[[#This Row],[Total acres]]*TblRezone[[#This Row],[Plat/acre]]</f>
        <v>0</v>
      </c>
      <c r="Z56" s="245"/>
      <c r="AA56" s="69" t="n">
        <f aca="false">250+0.6*(TblRezone[[#This Row],[Land]]-250)</f>
        <v>508</v>
      </c>
      <c r="AB56" s="245"/>
      <c r="AC56" s="150" t="n">
        <f aca="false">TblConstr[[#This Row],[Facs DB]]</f>
        <v>0.0985294117647059</v>
      </c>
    </row>
    <row r="57" customFormat="false" ht="12.75" hidden="false" customHeight="false" outlineLevel="0" collapsed="false">
      <c r="A57" s="181" t="n">
        <f aca="false">TblConstr[[#This Row],[Land]]</f>
        <v>692</v>
      </c>
      <c r="B57" s="246" t="n">
        <f aca="false">TblConstr[[#This Row],[Plain]]</f>
        <v>0</v>
      </c>
      <c r="C57" s="193" t="n">
        <f aca="false">TblConstr[[#This Row],[Forest]]</f>
        <v>0</v>
      </c>
      <c r="D57" s="200" t="n">
        <f aca="false">TblConstr[[#This Row],[Mountain]]</f>
        <v>0</v>
      </c>
      <c r="E57" s="201" t="n">
        <f aca="false">TblConstr[[#This Row],[Hill]]</f>
        <v>0</v>
      </c>
      <c r="F57" s="202" t="n">
        <f aca="false">TblConstr[[#This Row],[Swamp]]</f>
        <v>0</v>
      </c>
      <c r="G57" s="197" t="n">
        <f aca="false">TblConstr[[#This Row],[Cavern]]</f>
        <v>0</v>
      </c>
      <c r="H57" s="198" t="n">
        <f aca="false">TblConstr[[#This Row],[Water]]</f>
        <v>0</v>
      </c>
      <c r="I57" s="245"/>
      <c r="J57" s="269" t="n">
        <f aca="false">J56+1</f>
        <v>54</v>
      </c>
      <c r="K57" s="270" t="n">
        <f aca="false">TblImps[[#This Row],[Real time]]</f>
        <v>45431.9583333333</v>
      </c>
      <c r="L57" s="182"/>
      <c r="M57" s="182"/>
      <c r="N57" s="182"/>
      <c r="O57" s="182"/>
      <c r="P57" s="182"/>
      <c r="Q57" s="182"/>
      <c r="R57" s="182"/>
      <c r="S57" s="69" t="n">
        <f aca="false">SUMIF(TblRezone[[#This Row],[Plains Rezone]:[Water Rezone]],"&gt;0")</f>
        <v>0</v>
      </c>
      <c r="T57" s="33" t="str">
        <f aca="false">IF(SUM(TblRezone[[#This Row],[Plains Rezone]:[Water Rezone]])=0,"Ok","Nope")</f>
        <v>Ok</v>
      </c>
      <c r="U57" s="245"/>
      <c r="V57" s="69" t="n">
        <f aca="false">TblProd[[#This Row],[Platinum]]</f>
        <v>468410</v>
      </c>
      <c r="W57" s="245"/>
      <c r="X57" s="69" t="n">
        <f aca="false">ROUNDUP( (1-MIN(ROUND(facs_rezone_factor*TblRezone[[#This Row],[Facs]],4),facs_rezone_max) + tech_6_4*TblTech[[#This Row],[6-4]] + tech_10_2*TblTech[[#This Row],[10-2]] - IF(TblMagic[[#This Row],[Active Mechanical Genius]]&gt;0,mech_genius_bonus,0) + race_rezone_cost) * TblRezone[[#This Row],[Plat/acre*]],0)</f>
        <v>266</v>
      </c>
      <c r="Y57" s="69" t="n">
        <f aca="false">TblRezone[[#This Row],[Total acres]]*TblRezone[[#This Row],[Plat/acre]]</f>
        <v>0</v>
      </c>
      <c r="Z57" s="245"/>
      <c r="AA57" s="69" t="n">
        <f aca="false">250+0.6*(TblRezone[[#This Row],[Land]]-250)</f>
        <v>515.2</v>
      </c>
      <c r="AB57" s="245"/>
      <c r="AC57" s="150" t="n">
        <f aca="false">TblConstr[[#This Row],[Facs DB]]</f>
        <v>0.0968208092485549</v>
      </c>
    </row>
    <row r="58" customFormat="false" ht="12.75" hidden="false" customHeight="false" outlineLevel="0" collapsed="false">
      <c r="A58" s="181" t="n">
        <f aca="false">TblConstr[[#This Row],[Land]]</f>
        <v>700</v>
      </c>
      <c r="B58" s="246" t="n">
        <f aca="false">TblConstr[[#This Row],[Plain]]</f>
        <v>0</v>
      </c>
      <c r="C58" s="193" t="n">
        <f aca="false">TblConstr[[#This Row],[Forest]]</f>
        <v>0</v>
      </c>
      <c r="D58" s="200" t="n">
        <f aca="false">TblConstr[[#This Row],[Mountain]]</f>
        <v>0</v>
      </c>
      <c r="E58" s="201" t="n">
        <f aca="false">TblConstr[[#This Row],[Hill]]</f>
        <v>0</v>
      </c>
      <c r="F58" s="202" t="n">
        <f aca="false">TblConstr[[#This Row],[Swamp]]</f>
        <v>0</v>
      </c>
      <c r="G58" s="197" t="n">
        <f aca="false">TblConstr[[#This Row],[Cavern]]</f>
        <v>0</v>
      </c>
      <c r="H58" s="198" t="n">
        <f aca="false">TblConstr[[#This Row],[Water]]</f>
        <v>0</v>
      </c>
      <c r="I58" s="245"/>
      <c r="J58" s="269" t="n">
        <f aca="false">J57+1</f>
        <v>55</v>
      </c>
      <c r="K58" s="270" t="n">
        <f aca="false">TblImps[[#This Row],[Real time]]</f>
        <v>45432</v>
      </c>
      <c r="L58" s="182"/>
      <c r="M58" s="182"/>
      <c r="N58" s="182"/>
      <c r="O58" s="182"/>
      <c r="P58" s="182"/>
      <c r="Q58" s="182"/>
      <c r="R58" s="182"/>
      <c r="S58" s="69" t="n">
        <f aca="false">SUMIF(TblRezone[[#This Row],[Plains Rezone]:[Water Rezone]],"&gt;0")</f>
        <v>0</v>
      </c>
      <c r="T58" s="33" t="str">
        <f aca="false">IF(SUM(TblRezone[[#This Row],[Plains Rezone]:[Water Rezone]])=0,"Ok","Nope")</f>
        <v>Ok</v>
      </c>
      <c r="U58" s="245"/>
      <c r="V58" s="69" t="n">
        <f aca="false">TblProd[[#This Row],[Platinum]]</f>
        <v>510224</v>
      </c>
      <c r="W58" s="245"/>
      <c r="X58" s="69" t="n">
        <f aca="false">ROUNDUP( (1-MIN(ROUND(facs_rezone_factor*TblRezone[[#This Row],[Facs]],4),facs_rezone_max) + tech_6_4*TblTech[[#This Row],[6-4]] + tech_10_2*TblTech[[#This Row],[10-2]] - IF(TblMagic[[#This Row],[Active Mechanical Genius]]&gt;0,mech_genius_bonus,0) + race_rezone_cost) * TblRezone[[#This Row],[Plat/acre*]],0)</f>
        <v>272</v>
      </c>
      <c r="Y58" s="69" t="n">
        <f aca="false">TblRezone[[#This Row],[Total acres]]*TblRezone[[#This Row],[Plat/acre]]</f>
        <v>0</v>
      </c>
      <c r="Z58" s="245"/>
      <c r="AA58" s="69" t="n">
        <f aca="false">250+0.6*(TblRezone[[#This Row],[Land]]-250)</f>
        <v>520</v>
      </c>
      <c r="AB58" s="245"/>
      <c r="AC58" s="150" t="n">
        <f aca="false">TblConstr[[#This Row],[Facs DB]]</f>
        <v>0.0957142857142857</v>
      </c>
    </row>
    <row r="59" customFormat="false" ht="12.75" hidden="false" customHeight="false" outlineLevel="0" collapsed="false">
      <c r="A59" s="181" t="n">
        <f aca="false">TblConstr[[#This Row],[Land]]</f>
        <v>700</v>
      </c>
      <c r="B59" s="246" t="n">
        <f aca="false">TblConstr[[#This Row],[Plain]]</f>
        <v>0</v>
      </c>
      <c r="C59" s="193" t="n">
        <f aca="false">TblConstr[[#This Row],[Forest]]</f>
        <v>0</v>
      </c>
      <c r="D59" s="200" t="n">
        <f aca="false">TblConstr[[#This Row],[Mountain]]</f>
        <v>0</v>
      </c>
      <c r="E59" s="201" t="n">
        <f aca="false">TblConstr[[#This Row],[Hill]]</f>
        <v>0</v>
      </c>
      <c r="F59" s="202" t="n">
        <f aca="false">TblConstr[[#This Row],[Swamp]]</f>
        <v>0</v>
      </c>
      <c r="G59" s="197" t="n">
        <f aca="false">TblConstr[[#This Row],[Cavern]]</f>
        <v>0</v>
      </c>
      <c r="H59" s="198" t="n">
        <f aca="false">TblConstr[[#This Row],[Water]]</f>
        <v>0</v>
      </c>
      <c r="I59" s="245"/>
      <c r="J59" s="269" t="n">
        <f aca="false">J58+1</f>
        <v>56</v>
      </c>
      <c r="K59" s="270" t="n">
        <f aca="false">TblImps[[#This Row],[Real time]]</f>
        <v>45432.0416666667</v>
      </c>
      <c r="L59" s="182"/>
      <c r="M59" s="182"/>
      <c r="N59" s="182"/>
      <c r="O59" s="182"/>
      <c r="P59" s="182"/>
      <c r="Q59" s="182"/>
      <c r="R59" s="182"/>
      <c r="S59" s="69" t="n">
        <f aca="false">SUMIF(TblRezone[[#This Row],[Plains Rezone]:[Water Rezone]],"&gt;0")</f>
        <v>0</v>
      </c>
      <c r="T59" s="33" t="str">
        <f aca="false">IF(SUM(TblRezone[[#This Row],[Plains Rezone]:[Water Rezone]])=0,"Ok","Nope")</f>
        <v>Ok</v>
      </c>
      <c r="U59" s="245"/>
      <c r="V59" s="69" t="n">
        <f aca="false">TblProd[[#This Row],[Platinum]]</f>
        <v>556484</v>
      </c>
      <c r="W59" s="245"/>
      <c r="X59" s="69" t="n">
        <f aca="false">ROUNDUP( (1-MIN(ROUND(facs_rezone_factor*TblRezone[[#This Row],[Facs]],4),facs_rezone_max) + tech_6_4*TblTech[[#This Row],[6-4]] + tech_10_2*TblTech[[#This Row],[10-2]] - IF(TblMagic[[#This Row],[Active Mechanical Genius]]&gt;0,mech_genius_bonus,0) + race_rezone_cost) * TblRezone[[#This Row],[Plat/acre*]],0)</f>
        <v>272</v>
      </c>
      <c r="Y59" s="69" t="n">
        <f aca="false">TblRezone[[#This Row],[Total acres]]*TblRezone[[#This Row],[Plat/acre]]</f>
        <v>0</v>
      </c>
      <c r="Z59" s="245"/>
      <c r="AA59" s="69" t="n">
        <f aca="false">250+0.6*(TblRezone[[#This Row],[Land]]-250)</f>
        <v>520</v>
      </c>
      <c r="AB59" s="245"/>
      <c r="AC59" s="150" t="n">
        <f aca="false">TblConstr[[#This Row],[Facs DB]]</f>
        <v>0.0957142857142857</v>
      </c>
    </row>
    <row r="60" customFormat="false" ht="12.75" hidden="false" customHeight="false" outlineLevel="0" collapsed="false">
      <c r="A60" s="181" t="n">
        <f aca="false">TblConstr[[#This Row],[Land]]</f>
        <v>700</v>
      </c>
      <c r="B60" s="246" t="n">
        <f aca="false">TblConstr[[#This Row],[Plain]]</f>
        <v>0</v>
      </c>
      <c r="C60" s="193" t="n">
        <f aca="false">TblConstr[[#This Row],[Forest]]</f>
        <v>0</v>
      </c>
      <c r="D60" s="200" t="n">
        <f aca="false">TblConstr[[#This Row],[Mountain]]</f>
        <v>0</v>
      </c>
      <c r="E60" s="201" t="n">
        <f aca="false">TblConstr[[#This Row],[Hill]]</f>
        <v>0</v>
      </c>
      <c r="F60" s="202" t="n">
        <f aca="false">TblConstr[[#This Row],[Swamp]]</f>
        <v>0</v>
      </c>
      <c r="G60" s="197" t="n">
        <f aca="false">TblConstr[[#This Row],[Cavern]]</f>
        <v>0</v>
      </c>
      <c r="H60" s="198" t="n">
        <f aca="false">TblConstr[[#This Row],[Water]]</f>
        <v>0</v>
      </c>
      <c r="I60" s="245"/>
      <c r="J60" s="269" t="n">
        <f aca="false">J59+1</f>
        <v>57</v>
      </c>
      <c r="K60" s="270" t="n">
        <f aca="false">TblImps[[#This Row],[Real time]]</f>
        <v>45432.0833333333</v>
      </c>
      <c r="L60" s="182"/>
      <c r="M60" s="182"/>
      <c r="N60" s="182"/>
      <c r="O60" s="182"/>
      <c r="P60" s="182"/>
      <c r="Q60" s="182"/>
      <c r="R60" s="182"/>
      <c r="S60" s="69" t="n">
        <f aca="false">SUMIF(TblRezone[[#This Row],[Plains Rezone]:[Water Rezone]],"&gt;0")</f>
        <v>0</v>
      </c>
      <c r="T60" s="33" t="str">
        <f aca="false">IF(SUM(TblRezone[[#This Row],[Plains Rezone]:[Water Rezone]])=0,"Ok","Nope")</f>
        <v>Ok</v>
      </c>
      <c r="U60" s="245"/>
      <c r="V60" s="69" t="n">
        <f aca="false">TblProd[[#This Row],[Platinum]]</f>
        <v>602753</v>
      </c>
      <c r="W60" s="245"/>
      <c r="X60" s="69" t="n">
        <f aca="false">ROUNDUP( (1-MIN(ROUND(facs_rezone_factor*TblRezone[[#This Row],[Facs]],4),facs_rezone_max) + tech_6_4*TblTech[[#This Row],[6-4]] + tech_10_2*TblTech[[#This Row],[10-2]] - IF(TblMagic[[#This Row],[Active Mechanical Genius]]&gt;0,mech_genius_bonus,0) + race_rezone_cost) * TblRezone[[#This Row],[Plat/acre*]],0)</f>
        <v>275</v>
      </c>
      <c r="Y60" s="69" t="n">
        <f aca="false">TblRezone[[#This Row],[Total acres]]*TblRezone[[#This Row],[Plat/acre]]</f>
        <v>0</v>
      </c>
      <c r="Z60" s="245"/>
      <c r="AA60" s="69" t="n">
        <f aca="false">250+0.6*(TblRezone[[#This Row],[Land]]-250)</f>
        <v>520</v>
      </c>
      <c r="AB60" s="245"/>
      <c r="AC60" s="150" t="n">
        <f aca="false">TblConstr[[#This Row],[Facs DB]]</f>
        <v>0.0942857142857143</v>
      </c>
    </row>
    <row r="61" customFormat="false" ht="12.75" hidden="false" customHeight="false" outlineLevel="0" collapsed="false">
      <c r="A61" s="181" t="n">
        <f aca="false">TblConstr[[#This Row],[Land]]</f>
        <v>700</v>
      </c>
      <c r="B61" s="246" t="n">
        <f aca="false">TblConstr[[#This Row],[Plain]]</f>
        <v>0</v>
      </c>
      <c r="C61" s="193" t="n">
        <f aca="false">TblConstr[[#This Row],[Forest]]</f>
        <v>0</v>
      </c>
      <c r="D61" s="200" t="n">
        <f aca="false">TblConstr[[#This Row],[Mountain]]</f>
        <v>0</v>
      </c>
      <c r="E61" s="201" t="n">
        <f aca="false">TblConstr[[#This Row],[Hill]]</f>
        <v>0</v>
      </c>
      <c r="F61" s="202" t="n">
        <f aca="false">TblConstr[[#This Row],[Swamp]]</f>
        <v>0</v>
      </c>
      <c r="G61" s="197" t="n">
        <f aca="false">TblConstr[[#This Row],[Cavern]]</f>
        <v>0</v>
      </c>
      <c r="H61" s="198" t="n">
        <f aca="false">TblConstr[[#This Row],[Water]]</f>
        <v>0</v>
      </c>
      <c r="I61" s="245"/>
      <c r="J61" s="269" t="n">
        <f aca="false">J60+1</f>
        <v>58</v>
      </c>
      <c r="K61" s="270" t="n">
        <f aca="false">TblImps[[#This Row],[Real time]]</f>
        <v>45432.125</v>
      </c>
      <c r="L61" s="182"/>
      <c r="M61" s="182"/>
      <c r="N61" s="182"/>
      <c r="O61" s="182"/>
      <c r="P61" s="182"/>
      <c r="Q61" s="182"/>
      <c r="R61" s="182"/>
      <c r="S61" s="69" t="n">
        <f aca="false">SUMIF(TblRezone[[#This Row],[Plains Rezone]:[Water Rezone]],"&gt;0")</f>
        <v>0</v>
      </c>
      <c r="T61" s="33" t="str">
        <f aca="false">IF(SUM(TblRezone[[#This Row],[Plains Rezone]:[Water Rezone]])=0,"Ok","Nope")</f>
        <v>Ok</v>
      </c>
      <c r="U61" s="245"/>
      <c r="V61" s="69" t="n">
        <f aca="false">TblProd[[#This Row],[Platinum]]</f>
        <v>648776</v>
      </c>
      <c r="W61" s="245"/>
      <c r="X61" s="69" t="n">
        <f aca="false">ROUNDUP( (1-MIN(ROUND(facs_rezone_factor*TblRezone[[#This Row],[Facs]],4),facs_rezone_max) + tech_6_4*TblTech[[#This Row],[6-4]] + tech_10_2*TblTech[[#This Row],[10-2]] - IF(TblMagic[[#This Row],[Active Mechanical Genius]]&gt;0,mech_genius_bonus,0) + race_rezone_cost) * TblRezone[[#This Row],[Plat/acre*]],0)</f>
        <v>279</v>
      </c>
      <c r="Y61" s="69" t="n">
        <f aca="false">TblRezone[[#This Row],[Total acres]]*TblRezone[[#This Row],[Plat/acre]]</f>
        <v>0</v>
      </c>
      <c r="Z61" s="245"/>
      <c r="AA61" s="69" t="n">
        <f aca="false">250+0.6*(TblRezone[[#This Row],[Land]]-250)</f>
        <v>520</v>
      </c>
      <c r="AB61" s="245"/>
      <c r="AC61" s="150" t="n">
        <f aca="false">TblConstr[[#This Row],[Facs DB]]</f>
        <v>0.0928571428571429</v>
      </c>
    </row>
    <row r="62" customFormat="false" ht="12.75" hidden="false" customHeight="false" outlineLevel="0" collapsed="false">
      <c r="A62" s="181" t="n">
        <f aca="false">TblConstr[[#This Row],[Land]]</f>
        <v>700</v>
      </c>
      <c r="B62" s="246" t="n">
        <f aca="false">TblConstr[[#This Row],[Plain]]</f>
        <v>0</v>
      </c>
      <c r="C62" s="193" t="n">
        <f aca="false">TblConstr[[#This Row],[Forest]]</f>
        <v>0</v>
      </c>
      <c r="D62" s="200" t="n">
        <f aca="false">TblConstr[[#This Row],[Mountain]]</f>
        <v>0</v>
      </c>
      <c r="E62" s="201" t="n">
        <f aca="false">TblConstr[[#This Row],[Hill]]</f>
        <v>0</v>
      </c>
      <c r="F62" s="202" t="n">
        <f aca="false">TblConstr[[#This Row],[Swamp]]</f>
        <v>0</v>
      </c>
      <c r="G62" s="197" t="n">
        <f aca="false">TblConstr[[#This Row],[Cavern]]</f>
        <v>0</v>
      </c>
      <c r="H62" s="198" t="n">
        <f aca="false">TblConstr[[#This Row],[Water]]</f>
        <v>0</v>
      </c>
      <c r="I62" s="245"/>
      <c r="J62" s="269" t="n">
        <f aca="false">J61+1</f>
        <v>59</v>
      </c>
      <c r="K62" s="270" t="n">
        <f aca="false">TblImps[[#This Row],[Real time]]</f>
        <v>45432.1666666667</v>
      </c>
      <c r="L62" s="182"/>
      <c r="M62" s="182"/>
      <c r="N62" s="182"/>
      <c r="O62" s="182"/>
      <c r="P62" s="182"/>
      <c r="Q62" s="182"/>
      <c r="R62" s="182"/>
      <c r="S62" s="69" t="n">
        <f aca="false">SUMIF(TblRezone[[#This Row],[Plains Rezone]:[Water Rezone]],"&gt;0")</f>
        <v>0</v>
      </c>
      <c r="T62" s="33" t="str">
        <f aca="false">IF(SUM(TblRezone[[#This Row],[Plains Rezone]:[Water Rezone]])=0,"Ok","Nope")</f>
        <v>Ok</v>
      </c>
      <c r="U62" s="245"/>
      <c r="V62" s="69" t="n">
        <f aca="false">TblProd[[#This Row],[Platinum]]</f>
        <v>694619</v>
      </c>
      <c r="W62" s="245"/>
      <c r="X62" s="69" t="n">
        <f aca="false">ROUNDUP( (1-MIN(ROUND(facs_rezone_factor*TblRezone[[#This Row],[Facs]],4),facs_rezone_max) + tech_6_4*TblTech[[#This Row],[6-4]] + tech_10_2*TblTech[[#This Row],[10-2]] - IF(TblMagic[[#This Row],[Active Mechanical Genius]]&gt;0,mech_genius_bonus,0) + race_rezone_cost) * TblRezone[[#This Row],[Plat/acre*]],0)</f>
        <v>283</v>
      </c>
      <c r="Y62" s="69" t="n">
        <f aca="false">TblRezone[[#This Row],[Total acres]]*TblRezone[[#This Row],[Plat/acre]]</f>
        <v>0</v>
      </c>
      <c r="Z62" s="245"/>
      <c r="AA62" s="69" t="n">
        <f aca="false">250+0.6*(TblRezone[[#This Row],[Land]]-250)</f>
        <v>520</v>
      </c>
      <c r="AB62" s="245"/>
      <c r="AC62" s="150" t="n">
        <f aca="false">TblConstr[[#This Row],[Facs DB]]</f>
        <v>0.0914285714285714</v>
      </c>
    </row>
    <row r="63" customFormat="false" ht="12.75" hidden="false" customHeight="false" outlineLevel="0" collapsed="false">
      <c r="A63" s="181" t="n">
        <f aca="false">TblConstr[[#This Row],[Land]]</f>
        <v>700</v>
      </c>
      <c r="B63" s="246" t="n">
        <f aca="false">TblConstr[[#This Row],[Plain]]</f>
        <v>0</v>
      </c>
      <c r="C63" s="193" t="n">
        <f aca="false">TblConstr[[#This Row],[Forest]]</f>
        <v>0</v>
      </c>
      <c r="D63" s="200" t="n">
        <f aca="false">TblConstr[[#This Row],[Mountain]]</f>
        <v>0</v>
      </c>
      <c r="E63" s="201" t="n">
        <f aca="false">TblConstr[[#This Row],[Hill]]</f>
        <v>0</v>
      </c>
      <c r="F63" s="202" t="n">
        <f aca="false">TblConstr[[#This Row],[Swamp]]</f>
        <v>0</v>
      </c>
      <c r="G63" s="197" t="n">
        <f aca="false">TblConstr[[#This Row],[Cavern]]</f>
        <v>0</v>
      </c>
      <c r="H63" s="198" t="n">
        <f aca="false">TblConstr[[#This Row],[Water]]</f>
        <v>0</v>
      </c>
      <c r="I63" s="245"/>
      <c r="J63" s="269" t="n">
        <f aca="false">J62+1</f>
        <v>60</v>
      </c>
      <c r="K63" s="270" t="n">
        <f aca="false">TblImps[[#This Row],[Real time]]</f>
        <v>45432.2083333333</v>
      </c>
      <c r="L63" s="182"/>
      <c r="M63" s="182"/>
      <c r="N63" s="182"/>
      <c r="O63" s="182"/>
      <c r="P63" s="182"/>
      <c r="Q63" s="182"/>
      <c r="R63" s="182"/>
      <c r="S63" s="69" t="n">
        <f aca="false">SUMIF(TblRezone[[#This Row],[Plains Rezone]:[Water Rezone]],"&gt;0")</f>
        <v>0</v>
      </c>
      <c r="T63" s="33" t="str">
        <f aca="false">IF(SUM(TblRezone[[#This Row],[Plains Rezone]:[Water Rezone]])=0,"Ok","Nope")</f>
        <v>Ok</v>
      </c>
      <c r="U63" s="245"/>
      <c r="V63" s="69" t="n">
        <f aca="false">TblProd[[#This Row],[Platinum]]</f>
        <v>740222</v>
      </c>
      <c r="W63" s="245"/>
      <c r="X63" s="69" t="n">
        <f aca="false">ROUNDUP( (1-MIN(ROUND(facs_rezone_factor*TblRezone[[#This Row],[Facs]],4),facs_rezone_max) + tech_6_4*TblTech[[#This Row],[6-4]] + tech_10_2*TblTech[[#This Row],[10-2]] - IF(TblMagic[[#This Row],[Active Mechanical Genius]]&gt;0,mech_genius_bonus,0) + race_rezone_cost) * TblRezone[[#This Row],[Plat/acre*]],0)</f>
        <v>286</v>
      </c>
      <c r="Y63" s="69" t="n">
        <f aca="false">TblRezone[[#This Row],[Total acres]]*TblRezone[[#This Row],[Plat/acre]]</f>
        <v>0</v>
      </c>
      <c r="Z63" s="245"/>
      <c r="AA63" s="69" t="n">
        <f aca="false">250+0.6*(TblRezone[[#This Row],[Land]]-250)</f>
        <v>520</v>
      </c>
      <c r="AB63" s="245"/>
      <c r="AC63" s="150" t="n">
        <f aca="false">TblConstr[[#This Row],[Facs DB]]</f>
        <v>0.09</v>
      </c>
    </row>
    <row r="64" customFormat="false" ht="12.75" hidden="false" customHeight="false" outlineLevel="0" collapsed="false">
      <c r="A64" s="181" t="n">
        <f aca="false">TblConstr[[#This Row],[Land]]</f>
        <v>700</v>
      </c>
      <c r="B64" s="246" t="n">
        <f aca="false">TblConstr[[#This Row],[Plain]]</f>
        <v>0</v>
      </c>
      <c r="C64" s="193" t="n">
        <f aca="false">TblConstr[[#This Row],[Forest]]</f>
        <v>0</v>
      </c>
      <c r="D64" s="200" t="n">
        <f aca="false">TblConstr[[#This Row],[Mountain]]</f>
        <v>0</v>
      </c>
      <c r="E64" s="201" t="n">
        <f aca="false">TblConstr[[#This Row],[Hill]]</f>
        <v>0</v>
      </c>
      <c r="F64" s="202" t="n">
        <f aca="false">TblConstr[[#This Row],[Swamp]]</f>
        <v>0</v>
      </c>
      <c r="G64" s="197" t="n">
        <f aca="false">TblConstr[[#This Row],[Cavern]]</f>
        <v>0</v>
      </c>
      <c r="H64" s="198" t="n">
        <f aca="false">TblConstr[[#This Row],[Water]]</f>
        <v>0</v>
      </c>
      <c r="I64" s="245"/>
      <c r="J64" s="269" t="n">
        <f aca="false">J63+1</f>
        <v>61</v>
      </c>
      <c r="K64" s="270" t="n">
        <f aca="false">TblImps[[#This Row],[Real time]]</f>
        <v>45432.25</v>
      </c>
      <c r="L64" s="182"/>
      <c r="M64" s="182"/>
      <c r="N64" s="182"/>
      <c r="O64" s="182"/>
      <c r="P64" s="182"/>
      <c r="Q64" s="182"/>
      <c r="R64" s="182"/>
      <c r="S64" s="69" t="n">
        <f aca="false">SUMIF(TblRezone[[#This Row],[Plains Rezone]:[Water Rezone]],"&gt;0")</f>
        <v>0</v>
      </c>
      <c r="T64" s="33" t="str">
        <f aca="false">IF(SUM(TblRezone[[#This Row],[Plains Rezone]:[Water Rezone]])=0,"Ok","Nope")</f>
        <v>Ok</v>
      </c>
      <c r="U64" s="245"/>
      <c r="V64" s="69" t="n">
        <f aca="false">TblProd[[#This Row],[Platinum]]</f>
        <v>12986</v>
      </c>
      <c r="W64" s="245"/>
      <c r="X64" s="69" t="n">
        <f aca="false">ROUNDUP( (1-MIN(ROUND(facs_rezone_factor*TblRezone[[#This Row],[Facs]],4),facs_rezone_max) + tech_6_4*TblTech[[#This Row],[6-4]] + tech_10_2*TblTech[[#This Row],[10-2]] - IF(TblMagic[[#This Row],[Active Mechanical Genius]]&gt;0,mech_genius_bonus,0) + race_rezone_cost) * TblRezone[[#This Row],[Plat/acre*]],0)</f>
        <v>290</v>
      </c>
      <c r="Y64" s="69" t="n">
        <f aca="false">TblRezone[[#This Row],[Total acres]]*TblRezone[[#This Row],[Plat/acre]]</f>
        <v>0</v>
      </c>
      <c r="Z64" s="245"/>
      <c r="AA64" s="69" t="n">
        <f aca="false">250+0.6*(TblRezone[[#This Row],[Land]]-250)</f>
        <v>520</v>
      </c>
      <c r="AB64" s="245"/>
      <c r="AC64" s="150" t="n">
        <f aca="false">TblConstr[[#This Row],[Facs DB]]</f>
        <v>0.0885714285714286</v>
      </c>
    </row>
    <row r="65" customFormat="false" ht="12.75" hidden="false" customHeight="false" outlineLevel="0" collapsed="false">
      <c r="A65" s="181" t="n">
        <f aca="false">TblConstr[[#This Row],[Land]]</f>
        <v>700</v>
      </c>
      <c r="B65" s="246" t="n">
        <f aca="false">TblConstr[[#This Row],[Plain]]</f>
        <v>0</v>
      </c>
      <c r="C65" s="193" t="n">
        <f aca="false">TblConstr[[#This Row],[Forest]]</f>
        <v>0</v>
      </c>
      <c r="D65" s="200" t="n">
        <f aca="false">TblConstr[[#This Row],[Mountain]]</f>
        <v>0</v>
      </c>
      <c r="E65" s="201" t="n">
        <f aca="false">TblConstr[[#This Row],[Hill]]</f>
        <v>0</v>
      </c>
      <c r="F65" s="202" t="n">
        <f aca="false">TblConstr[[#This Row],[Swamp]]</f>
        <v>0</v>
      </c>
      <c r="G65" s="197" t="n">
        <f aca="false">TblConstr[[#This Row],[Cavern]]</f>
        <v>0</v>
      </c>
      <c r="H65" s="198" t="n">
        <f aca="false">TblConstr[[#This Row],[Water]]</f>
        <v>0</v>
      </c>
      <c r="I65" s="245"/>
      <c r="J65" s="269" t="n">
        <f aca="false">J64+1</f>
        <v>62</v>
      </c>
      <c r="K65" s="270" t="n">
        <f aca="false">TblImps[[#This Row],[Real time]]</f>
        <v>45432.2916666667</v>
      </c>
      <c r="L65" s="182"/>
      <c r="M65" s="182"/>
      <c r="N65" s="182"/>
      <c r="O65" s="182"/>
      <c r="P65" s="182"/>
      <c r="Q65" s="182"/>
      <c r="R65" s="182"/>
      <c r="S65" s="69" t="n">
        <f aca="false">SUMIF(TblRezone[[#This Row],[Plains Rezone]:[Water Rezone]],"&gt;0")</f>
        <v>0</v>
      </c>
      <c r="T65" s="33" t="str">
        <f aca="false">IF(SUM(TblRezone[[#This Row],[Plains Rezone]:[Water Rezone]])=0,"Ok","Nope")</f>
        <v>Ok</v>
      </c>
      <c r="U65" s="245"/>
      <c r="V65" s="69" t="n">
        <f aca="false">TblProd[[#This Row],[Platinum]]</f>
        <v>55184</v>
      </c>
      <c r="W65" s="245"/>
      <c r="X65" s="69" t="n">
        <f aca="false">ROUNDUP( (1-MIN(ROUND(facs_rezone_factor*TblRezone[[#This Row],[Facs]],4),facs_rezone_max) + tech_6_4*TblTech[[#This Row],[6-4]] + tech_10_2*TblTech[[#This Row],[10-2]] - IF(TblMagic[[#This Row],[Active Mechanical Genius]]&gt;0,mech_genius_bonus,0) + race_rezone_cost) * TblRezone[[#This Row],[Plat/acre*]],0)</f>
        <v>476</v>
      </c>
      <c r="Y65" s="69" t="n">
        <f aca="false">TblRezone[[#This Row],[Total acres]]*TblRezone[[#This Row],[Plat/acre]]</f>
        <v>0</v>
      </c>
      <c r="Z65" s="245"/>
      <c r="AA65" s="69" t="n">
        <f aca="false">250+0.6*(TblRezone[[#This Row],[Land]]-250)</f>
        <v>520</v>
      </c>
      <c r="AB65" s="245"/>
      <c r="AC65" s="150" t="n">
        <f aca="false">TblConstr[[#This Row],[Facs DB]]</f>
        <v>0.0171428571428571</v>
      </c>
    </row>
    <row r="66" customFormat="false" ht="12.75" hidden="false" customHeight="false" outlineLevel="0" collapsed="false">
      <c r="A66" s="181" t="n">
        <f aca="false">TblConstr[[#This Row],[Land]]</f>
        <v>700</v>
      </c>
      <c r="B66" s="246" t="n">
        <f aca="false">TblConstr[[#This Row],[Plain]]</f>
        <v>0</v>
      </c>
      <c r="C66" s="193" t="n">
        <f aca="false">TblConstr[[#This Row],[Forest]]</f>
        <v>0</v>
      </c>
      <c r="D66" s="200" t="n">
        <f aca="false">TblConstr[[#This Row],[Mountain]]</f>
        <v>0</v>
      </c>
      <c r="E66" s="201" t="n">
        <f aca="false">TblConstr[[#This Row],[Hill]]</f>
        <v>0</v>
      </c>
      <c r="F66" s="202" t="n">
        <f aca="false">TblConstr[[#This Row],[Swamp]]</f>
        <v>0</v>
      </c>
      <c r="G66" s="197" t="n">
        <f aca="false">TblConstr[[#This Row],[Cavern]]</f>
        <v>0</v>
      </c>
      <c r="H66" s="198" t="n">
        <f aca="false">TblConstr[[#This Row],[Water]]</f>
        <v>0</v>
      </c>
      <c r="I66" s="245"/>
      <c r="J66" s="269" t="n">
        <f aca="false">J65+1</f>
        <v>63</v>
      </c>
      <c r="K66" s="270" t="n">
        <f aca="false">TblImps[[#This Row],[Real time]]</f>
        <v>45432.3333333333</v>
      </c>
      <c r="L66" s="182"/>
      <c r="M66" s="182"/>
      <c r="N66" s="182"/>
      <c r="O66" s="182"/>
      <c r="P66" s="182"/>
      <c r="Q66" s="182"/>
      <c r="R66" s="182"/>
      <c r="S66" s="69" t="n">
        <f aca="false">SUMIF(TblRezone[[#This Row],[Plains Rezone]:[Water Rezone]],"&gt;0")</f>
        <v>0</v>
      </c>
      <c r="T66" s="33" t="str">
        <f aca="false">IF(SUM(TblRezone[[#This Row],[Plains Rezone]:[Water Rezone]])=0,"Ok","Nope")</f>
        <v>Ok</v>
      </c>
      <c r="U66" s="245"/>
      <c r="V66" s="69" t="n">
        <f aca="false">TblProd[[#This Row],[Platinum]]</f>
        <v>96824</v>
      </c>
      <c r="W66" s="245"/>
      <c r="X66" s="69" t="n">
        <f aca="false">ROUNDUP( (1-MIN(ROUND(facs_rezone_factor*TblRezone[[#This Row],[Facs]],4),facs_rezone_max) + tech_6_4*TblTech[[#This Row],[6-4]] + tech_10_2*TblTech[[#This Row],[10-2]] - IF(TblMagic[[#This Row],[Active Mechanical Genius]]&gt;0,mech_genius_bonus,0) + race_rezone_cost) * TblRezone[[#This Row],[Plat/acre*]],0)</f>
        <v>494</v>
      </c>
      <c r="Y66" s="69" t="n">
        <f aca="false">TblRezone[[#This Row],[Total acres]]*TblRezone[[#This Row],[Plat/acre]]</f>
        <v>0</v>
      </c>
      <c r="Z66" s="245"/>
      <c r="AA66" s="69" t="n">
        <f aca="false">250+0.6*(TblRezone[[#This Row],[Land]]-250)</f>
        <v>520</v>
      </c>
      <c r="AB66" s="245"/>
      <c r="AC66" s="150" t="n">
        <f aca="false">TblConstr[[#This Row],[Facs DB]]</f>
        <v>0.01</v>
      </c>
    </row>
    <row r="67" customFormat="false" ht="12.75" hidden="false" customHeight="false" outlineLevel="0" collapsed="false">
      <c r="A67" s="181" t="n">
        <f aca="false">TblConstr[[#This Row],[Land]]</f>
        <v>700</v>
      </c>
      <c r="B67" s="246" t="n">
        <f aca="false">TblConstr[[#This Row],[Plain]]</f>
        <v>0</v>
      </c>
      <c r="C67" s="193" t="n">
        <f aca="false">TblConstr[[#This Row],[Forest]]</f>
        <v>0</v>
      </c>
      <c r="D67" s="200" t="n">
        <f aca="false">TblConstr[[#This Row],[Mountain]]</f>
        <v>0</v>
      </c>
      <c r="E67" s="201" t="n">
        <f aca="false">TblConstr[[#This Row],[Hill]]</f>
        <v>0</v>
      </c>
      <c r="F67" s="202" t="n">
        <f aca="false">TblConstr[[#This Row],[Swamp]]</f>
        <v>0</v>
      </c>
      <c r="G67" s="197" t="n">
        <f aca="false">TblConstr[[#This Row],[Cavern]]</f>
        <v>0</v>
      </c>
      <c r="H67" s="198" t="n">
        <f aca="false">TblConstr[[#This Row],[Water]]</f>
        <v>0</v>
      </c>
      <c r="I67" s="245"/>
      <c r="J67" s="269" t="n">
        <f aca="false">J66+1</f>
        <v>64</v>
      </c>
      <c r="K67" s="270" t="n">
        <f aca="false">TblImps[[#This Row],[Real time]]</f>
        <v>45432.375</v>
      </c>
      <c r="L67" s="182"/>
      <c r="M67" s="182"/>
      <c r="N67" s="182"/>
      <c r="O67" s="182"/>
      <c r="P67" s="182"/>
      <c r="Q67" s="182"/>
      <c r="R67" s="182"/>
      <c r="S67" s="69" t="n">
        <f aca="false">SUMIF(TblRezone[[#This Row],[Plains Rezone]:[Water Rezone]],"&gt;0")</f>
        <v>0</v>
      </c>
      <c r="T67" s="33" t="str">
        <f aca="false">IF(SUM(TblRezone[[#This Row],[Plains Rezone]:[Water Rezone]])=0,"Ok","Nope")</f>
        <v>Ok</v>
      </c>
      <c r="U67" s="245"/>
      <c r="V67" s="69" t="n">
        <f aca="false">TblProd[[#This Row],[Platinum]]</f>
        <v>7459</v>
      </c>
      <c r="W67" s="245"/>
      <c r="X67" s="69" t="n">
        <f aca="false">ROUNDUP( (1-MIN(ROUND(facs_rezone_factor*TblRezone[[#This Row],[Facs]],4),facs_rezone_max) + tech_6_4*TblTech[[#This Row],[6-4]] + tech_10_2*TblTech[[#This Row],[10-2]] - IF(TblMagic[[#This Row],[Active Mechanical Genius]]&gt;0,mech_genius_bonus,0) + race_rezone_cost) * TblRezone[[#This Row],[Plat/acre*]],0)</f>
        <v>513</v>
      </c>
      <c r="Y67" s="69" t="n">
        <f aca="false">TblRezone[[#This Row],[Total acres]]*TblRezone[[#This Row],[Plat/acre]]</f>
        <v>0</v>
      </c>
      <c r="Z67" s="245"/>
      <c r="AA67" s="69" t="n">
        <f aca="false">250+0.6*(TblRezone[[#This Row],[Land]]-250)</f>
        <v>520</v>
      </c>
      <c r="AB67" s="245"/>
      <c r="AC67" s="150" t="n">
        <f aca="false">TblConstr[[#This Row],[Facs DB]]</f>
        <v>0.00285714285714286</v>
      </c>
    </row>
    <row r="68" customFormat="false" ht="12.75" hidden="false" customHeight="false" outlineLevel="0" collapsed="false">
      <c r="A68" s="181" t="n">
        <f aca="false">TblConstr[[#This Row],[Land]]</f>
        <v>700</v>
      </c>
      <c r="B68" s="246" t="n">
        <f aca="false">TblConstr[[#This Row],[Plain]]</f>
        <v>0</v>
      </c>
      <c r="C68" s="193" t="n">
        <f aca="false">TblConstr[[#This Row],[Forest]]</f>
        <v>0</v>
      </c>
      <c r="D68" s="200" t="n">
        <f aca="false">TblConstr[[#This Row],[Mountain]]</f>
        <v>0</v>
      </c>
      <c r="E68" s="201" t="n">
        <f aca="false">TblConstr[[#This Row],[Hill]]</f>
        <v>0</v>
      </c>
      <c r="F68" s="202" t="n">
        <f aca="false">TblConstr[[#This Row],[Swamp]]</f>
        <v>0</v>
      </c>
      <c r="G68" s="197" t="n">
        <f aca="false">TblConstr[[#This Row],[Cavern]]</f>
        <v>0</v>
      </c>
      <c r="H68" s="198" t="n">
        <f aca="false">TblConstr[[#This Row],[Water]]</f>
        <v>0</v>
      </c>
      <c r="I68" s="245"/>
      <c r="J68" s="269" t="n">
        <f aca="false">J67+1</f>
        <v>65</v>
      </c>
      <c r="K68" s="270" t="n">
        <f aca="false">TblImps[[#This Row],[Real time]]</f>
        <v>45432.4166666667</v>
      </c>
      <c r="L68" s="182"/>
      <c r="M68" s="182"/>
      <c r="N68" s="182"/>
      <c r="O68" s="182"/>
      <c r="P68" s="182"/>
      <c r="Q68" s="182"/>
      <c r="R68" s="182"/>
      <c r="S68" s="69" t="n">
        <f aca="false">SUMIF(TblRezone[[#This Row],[Plains Rezone]:[Water Rezone]],"&gt;0")</f>
        <v>0</v>
      </c>
      <c r="T68" s="33" t="str">
        <f aca="false">IF(SUM(TblRezone[[#This Row],[Plains Rezone]:[Water Rezone]])=0,"Ok","Nope")</f>
        <v>Ok</v>
      </c>
      <c r="U68" s="245"/>
      <c r="V68" s="69" t="n">
        <f aca="false">TblProd[[#This Row],[Platinum]]</f>
        <v>36150</v>
      </c>
      <c r="W68" s="245"/>
      <c r="X68" s="69" t="n">
        <f aca="false">ROUNDUP( (1-MIN(ROUND(facs_rezone_factor*TblRezone[[#This Row],[Facs]],4),facs_rezone_max) + tech_6_4*TblTech[[#This Row],[6-4]] + tech_10_2*TblTech[[#This Row],[10-2]] - IF(TblMagic[[#This Row],[Active Mechanical Genius]]&gt;0,mech_genius_bonus,0) + race_rezone_cost) * TblRezone[[#This Row],[Plat/acre*]],0)</f>
        <v>520</v>
      </c>
      <c r="Y68" s="69" t="n">
        <f aca="false">TblRezone[[#This Row],[Total acres]]*TblRezone[[#This Row],[Plat/acre]]</f>
        <v>0</v>
      </c>
      <c r="Z68" s="245"/>
      <c r="AA68" s="69" t="n">
        <f aca="false">250+0.6*(TblRezone[[#This Row],[Land]]-250)</f>
        <v>520</v>
      </c>
      <c r="AB68" s="245"/>
      <c r="AC68" s="150" t="n">
        <f aca="false">TblConstr[[#This Row],[Facs DB]]</f>
        <v>0</v>
      </c>
    </row>
    <row r="69" customFormat="false" ht="12.75" hidden="false" customHeight="false" outlineLevel="0" collapsed="false">
      <c r="A69" s="181" t="n">
        <f aca="false">TblConstr[[#This Row],[Land]]</f>
        <v>700</v>
      </c>
      <c r="B69" s="246" t="n">
        <f aca="false">TblConstr[[#This Row],[Plain]]</f>
        <v>0</v>
      </c>
      <c r="C69" s="193" t="n">
        <f aca="false">TblConstr[[#This Row],[Forest]]</f>
        <v>0</v>
      </c>
      <c r="D69" s="200" t="n">
        <f aca="false">TblConstr[[#This Row],[Mountain]]</f>
        <v>0</v>
      </c>
      <c r="E69" s="201" t="n">
        <f aca="false">TblConstr[[#This Row],[Hill]]</f>
        <v>0</v>
      </c>
      <c r="F69" s="202" t="n">
        <f aca="false">TblConstr[[#This Row],[Swamp]]</f>
        <v>0</v>
      </c>
      <c r="G69" s="197" t="n">
        <f aca="false">TblConstr[[#This Row],[Cavern]]</f>
        <v>0</v>
      </c>
      <c r="H69" s="198" t="n">
        <f aca="false">TblConstr[[#This Row],[Water]]</f>
        <v>0</v>
      </c>
      <c r="I69" s="245"/>
      <c r="J69" s="269" t="n">
        <f aca="false">J68+1</f>
        <v>66</v>
      </c>
      <c r="K69" s="270" t="n">
        <f aca="false">TblImps[[#This Row],[Real time]]</f>
        <v>45432.4583333333</v>
      </c>
      <c r="L69" s="182"/>
      <c r="M69" s="182"/>
      <c r="N69" s="182"/>
      <c r="O69" s="182"/>
      <c r="P69" s="182"/>
      <c r="Q69" s="182"/>
      <c r="R69" s="182"/>
      <c r="S69" s="69" t="n">
        <f aca="false">SUMIF(TblRezone[[#This Row],[Plains Rezone]:[Water Rezone]],"&gt;0")</f>
        <v>0</v>
      </c>
      <c r="T69" s="33" t="str">
        <f aca="false">IF(SUM(TblRezone[[#This Row],[Plains Rezone]:[Water Rezone]])=0,"Ok","Nope")</f>
        <v>Ok</v>
      </c>
      <c r="U69" s="245"/>
      <c r="V69" s="69" t="n">
        <f aca="false">TblProd[[#This Row],[Platinum]]</f>
        <v>64993</v>
      </c>
      <c r="W69" s="245"/>
      <c r="X69" s="69" t="n">
        <f aca="false">ROUNDUP( (1-MIN(ROUND(facs_rezone_factor*TblRezone[[#This Row],[Facs]],4),facs_rezone_max) + tech_6_4*TblTech[[#This Row],[6-4]] + tech_10_2*TblTech[[#This Row],[10-2]] - IF(TblMagic[[#This Row],[Active Mechanical Genius]]&gt;0,mech_genius_bonus,0) + race_rezone_cost) * TblRezone[[#This Row],[Plat/acre*]],0)</f>
        <v>520</v>
      </c>
      <c r="Y69" s="69" t="n">
        <f aca="false">TblRezone[[#This Row],[Total acres]]*TblRezone[[#This Row],[Plat/acre]]</f>
        <v>0</v>
      </c>
      <c r="Z69" s="245"/>
      <c r="AA69" s="69" t="n">
        <f aca="false">250+0.6*(TblRezone[[#This Row],[Land]]-250)</f>
        <v>520</v>
      </c>
      <c r="AB69" s="245"/>
      <c r="AC69" s="150" t="n">
        <f aca="false">TblConstr[[#This Row],[Facs DB]]</f>
        <v>0</v>
      </c>
    </row>
    <row r="70" customFormat="false" ht="12.75" hidden="false" customHeight="false" outlineLevel="0" collapsed="false">
      <c r="A70" s="181" t="n">
        <f aca="false">TblConstr[[#This Row],[Land]]</f>
        <v>700</v>
      </c>
      <c r="B70" s="246" t="n">
        <f aca="false">TblConstr[[#This Row],[Plain]]</f>
        <v>0</v>
      </c>
      <c r="C70" s="193" t="n">
        <f aca="false">TblConstr[[#This Row],[Forest]]</f>
        <v>0</v>
      </c>
      <c r="D70" s="200" t="n">
        <f aca="false">TblConstr[[#This Row],[Mountain]]</f>
        <v>0</v>
      </c>
      <c r="E70" s="201" t="n">
        <f aca="false">TblConstr[[#This Row],[Hill]]</f>
        <v>0</v>
      </c>
      <c r="F70" s="202" t="n">
        <f aca="false">TblConstr[[#This Row],[Swamp]]</f>
        <v>0</v>
      </c>
      <c r="G70" s="197" t="n">
        <f aca="false">TblConstr[[#This Row],[Cavern]]</f>
        <v>0</v>
      </c>
      <c r="H70" s="198" t="n">
        <f aca="false">TblConstr[[#This Row],[Water]]</f>
        <v>0</v>
      </c>
      <c r="I70" s="245"/>
      <c r="J70" s="269" t="n">
        <f aca="false">J69+1</f>
        <v>67</v>
      </c>
      <c r="K70" s="270" t="n">
        <f aca="false">TblImps[[#This Row],[Real time]]</f>
        <v>45432.5</v>
      </c>
      <c r="L70" s="182"/>
      <c r="M70" s="182"/>
      <c r="N70" s="182"/>
      <c r="O70" s="182"/>
      <c r="P70" s="182"/>
      <c r="Q70" s="182"/>
      <c r="R70" s="182"/>
      <c r="S70" s="69" t="n">
        <f aca="false">SUMIF(TblRezone[[#This Row],[Plains Rezone]:[Water Rezone]],"&gt;0")</f>
        <v>0</v>
      </c>
      <c r="T70" s="33" t="str">
        <f aca="false">IF(SUM(TblRezone[[#This Row],[Plains Rezone]:[Water Rezone]])=0,"Ok","Nope")</f>
        <v>Ok</v>
      </c>
      <c r="U70" s="245"/>
      <c r="V70" s="69" t="n">
        <f aca="false">TblProd[[#This Row],[Platinum]]</f>
        <v>68189</v>
      </c>
      <c r="W70" s="245"/>
      <c r="X70" s="69" t="n">
        <f aca="false">ROUNDUP( (1-MIN(ROUND(facs_rezone_factor*TblRezone[[#This Row],[Facs]],4),facs_rezone_max) + tech_6_4*TblTech[[#This Row],[6-4]] + tech_10_2*TblTech[[#This Row],[10-2]] - IF(TblMagic[[#This Row],[Active Mechanical Genius]]&gt;0,mech_genius_bonus,0) + race_rezone_cost) * TblRezone[[#This Row],[Plat/acre*]],0)</f>
        <v>520</v>
      </c>
      <c r="Y70" s="69" t="n">
        <f aca="false">TblRezone[[#This Row],[Total acres]]*TblRezone[[#This Row],[Plat/acre]]</f>
        <v>0</v>
      </c>
      <c r="Z70" s="245"/>
      <c r="AA70" s="69" t="n">
        <f aca="false">250+0.6*(TblRezone[[#This Row],[Land]]-250)</f>
        <v>520</v>
      </c>
      <c r="AB70" s="245"/>
      <c r="AC70" s="150" t="n">
        <f aca="false">TblConstr[[#This Row],[Facs DB]]</f>
        <v>0</v>
      </c>
    </row>
    <row r="71" customFormat="false" ht="12.75" hidden="false" customHeight="false" outlineLevel="0" collapsed="false">
      <c r="A71" s="181" t="n">
        <f aca="false">TblConstr[[#This Row],[Land]]</f>
        <v>700</v>
      </c>
      <c r="B71" s="246" t="n">
        <f aca="false">TblConstr[[#This Row],[Plain]]</f>
        <v>0</v>
      </c>
      <c r="C71" s="193" t="n">
        <f aca="false">TblConstr[[#This Row],[Forest]]</f>
        <v>0</v>
      </c>
      <c r="D71" s="200" t="n">
        <f aca="false">TblConstr[[#This Row],[Mountain]]</f>
        <v>0</v>
      </c>
      <c r="E71" s="201" t="n">
        <f aca="false">TblConstr[[#This Row],[Hill]]</f>
        <v>0</v>
      </c>
      <c r="F71" s="202" t="n">
        <f aca="false">TblConstr[[#This Row],[Swamp]]</f>
        <v>0</v>
      </c>
      <c r="G71" s="197" t="n">
        <f aca="false">TblConstr[[#This Row],[Cavern]]</f>
        <v>0</v>
      </c>
      <c r="H71" s="198" t="n">
        <f aca="false">TblConstr[[#This Row],[Water]]</f>
        <v>0</v>
      </c>
      <c r="I71" s="245"/>
      <c r="J71" s="269" t="n">
        <f aca="false">J70+1</f>
        <v>68</v>
      </c>
      <c r="K71" s="270" t="n">
        <f aca="false">TblImps[[#This Row],[Real time]]</f>
        <v>45432.5416666667</v>
      </c>
      <c r="L71" s="182"/>
      <c r="M71" s="182"/>
      <c r="N71" s="182"/>
      <c r="O71" s="182"/>
      <c r="P71" s="182"/>
      <c r="Q71" s="182"/>
      <c r="R71" s="182"/>
      <c r="S71" s="69" t="n">
        <f aca="false">SUMIF(TblRezone[[#This Row],[Plains Rezone]:[Water Rezone]],"&gt;0")</f>
        <v>0</v>
      </c>
      <c r="T71" s="33" t="str">
        <f aca="false">IF(SUM(TblRezone[[#This Row],[Plains Rezone]:[Water Rezone]])=0,"Ok","Nope")</f>
        <v>Ok</v>
      </c>
      <c r="U71" s="245"/>
      <c r="V71" s="69" t="n">
        <f aca="false">TblProd[[#This Row],[Platinum]]</f>
        <v>74962</v>
      </c>
      <c r="W71" s="245"/>
      <c r="X71" s="69" t="n">
        <f aca="false">ROUNDUP( (1-MIN(ROUND(facs_rezone_factor*TblRezone[[#This Row],[Facs]],4),facs_rezone_max) + tech_6_4*TblTech[[#This Row],[6-4]] + tech_10_2*TblTech[[#This Row],[10-2]] - IF(TblMagic[[#This Row],[Active Mechanical Genius]]&gt;0,mech_genius_bonus,0) + race_rezone_cost) * TblRezone[[#This Row],[Plat/acre*]],0)</f>
        <v>520</v>
      </c>
      <c r="Y71" s="69" t="n">
        <f aca="false">TblRezone[[#This Row],[Total acres]]*TblRezone[[#This Row],[Plat/acre]]</f>
        <v>0</v>
      </c>
      <c r="Z71" s="245"/>
      <c r="AA71" s="69" t="n">
        <f aca="false">250+0.6*(TblRezone[[#This Row],[Land]]-250)</f>
        <v>520</v>
      </c>
      <c r="AB71" s="245"/>
      <c r="AC71" s="150" t="n">
        <f aca="false">TblConstr[[#This Row],[Facs DB]]</f>
        <v>0</v>
      </c>
    </row>
    <row r="72" customFormat="false" ht="12.75" hidden="false" customHeight="false" outlineLevel="0" collapsed="false">
      <c r="A72" s="181" t="n">
        <f aca="false">TblConstr[[#This Row],[Land]]</f>
        <v>700</v>
      </c>
      <c r="B72" s="246" t="n">
        <f aca="false">TblConstr[[#This Row],[Plain]]</f>
        <v>0</v>
      </c>
      <c r="C72" s="193" t="n">
        <f aca="false">TblConstr[[#This Row],[Forest]]</f>
        <v>0</v>
      </c>
      <c r="D72" s="200" t="n">
        <f aca="false">TblConstr[[#This Row],[Mountain]]</f>
        <v>0</v>
      </c>
      <c r="E72" s="201" t="n">
        <f aca="false">TblConstr[[#This Row],[Hill]]</f>
        <v>0</v>
      </c>
      <c r="F72" s="202" t="n">
        <f aca="false">TblConstr[[#This Row],[Swamp]]</f>
        <v>0</v>
      </c>
      <c r="G72" s="197" t="n">
        <f aca="false">TblConstr[[#This Row],[Cavern]]</f>
        <v>0</v>
      </c>
      <c r="H72" s="198" t="n">
        <f aca="false">TblConstr[[#This Row],[Water]]</f>
        <v>0</v>
      </c>
      <c r="I72" s="245"/>
      <c r="J72" s="269" t="n">
        <f aca="false">J71+1</f>
        <v>69</v>
      </c>
      <c r="K72" s="270" t="n">
        <f aca="false">TblImps[[#This Row],[Real time]]</f>
        <v>45432.5833333333</v>
      </c>
      <c r="L72" s="182"/>
      <c r="M72" s="182"/>
      <c r="N72" s="182"/>
      <c r="O72" s="182"/>
      <c r="P72" s="182"/>
      <c r="Q72" s="182"/>
      <c r="R72" s="182"/>
      <c r="S72" s="69" t="n">
        <f aca="false">SUMIF(TblRezone[[#This Row],[Plains Rezone]:[Water Rezone]],"&gt;0")</f>
        <v>0</v>
      </c>
      <c r="T72" s="33" t="str">
        <f aca="false">IF(SUM(TblRezone[[#This Row],[Plains Rezone]:[Water Rezone]])=0,"Ok","Nope")</f>
        <v>Ok</v>
      </c>
      <c r="U72" s="245"/>
      <c r="V72" s="69" t="n">
        <f aca="false">TblProd[[#This Row],[Platinum]]</f>
        <v>60402</v>
      </c>
      <c r="W72" s="245"/>
      <c r="X72" s="69" t="n">
        <f aca="false">ROUNDUP( (1-MIN(ROUND(facs_rezone_factor*TblRezone[[#This Row],[Facs]],4),facs_rezone_max) + tech_6_4*TblTech[[#This Row],[6-4]] + tech_10_2*TblTech[[#This Row],[10-2]] - IF(TblMagic[[#This Row],[Active Mechanical Genius]]&gt;0,mech_genius_bonus,0) + race_rezone_cost) * TblRezone[[#This Row],[Plat/acre*]],0)</f>
        <v>520</v>
      </c>
      <c r="Y72" s="69" t="n">
        <f aca="false">TblRezone[[#This Row],[Total acres]]*TblRezone[[#This Row],[Plat/acre]]</f>
        <v>0</v>
      </c>
      <c r="Z72" s="245"/>
      <c r="AA72" s="69" t="n">
        <f aca="false">250+0.6*(TblRezone[[#This Row],[Land]]-250)</f>
        <v>520</v>
      </c>
      <c r="AB72" s="245"/>
      <c r="AC72" s="150" t="n">
        <f aca="false">TblConstr[[#This Row],[Facs DB]]</f>
        <v>0</v>
      </c>
    </row>
    <row r="73" customFormat="false" ht="12.75" hidden="false" customHeight="false" outlineLevel="0" collapsed="false">
      <c r="A73" s="181" t="n">
        <f aca="false">TblConstr[[#This Row],[Land]]</f>
        <v>700</v>
      </c>
      <c r="B73" s="246" t="n">
        <f aca="false">TblConstr[[#This Row],[Plain]]</f>
        <v>0</v>
      </c>
      <c r="C73" s="193" t="n">
        <f aca="false">TblConstr[[#This Row],[Forest]]</f>
        <v>0</v>
      </c>
      <c r="D73" s="200" t="n">
        <f aca="false">TblConstr[[#This Row],[Mountain]]</f>
        <v>0</v>
      </c>
      <c r="E73" s="201" t="n">
        <f aca="false">TblConstr[[#This Row],[Hill]]</f>
        <v>0</v>
      </c>
      <c r="F73" s="202" t="n">
        <f aca="false">TblConstr[[#This Row],[Swamp]]</f>
        <v>0</v>
      </c>
      <c r="G73" s="197" t="n">
        <f aca="false">TblConstr[[#This Row],[Cavern]]</f>
        <v>0</v>
      </c>
      <c r="H73" s="198" t="n">
        <f aca="false">TblConstr[[#This Row],[Water]]</f>
        <v>0</v>
      </c>
      <c r="I73" s="245"/>
      <c r="J73" s="269" t="n">
        <f aca="false">J72+1</f>
        <v>70</v>
      </c>
      <c r="K73" s="270" t="n">
        <f aca="false">TblImps[[#This Row],[Real time]]</f>
        <v>45432.625</v>
      </c>
      <c r="L73" s="182"/>
      <c r="M73" s="182"/>
      <c r="N73" s="182"/>
      <c r="O73" s="182"/>
      <c r="P73" s="182"/>
      <c r="Q73" s="182"/>
      <c r="R73" s="182"/>
      <c r="S73" s="69" t="n">
        <f aca="false">SUMIF(TblRezone[[#This Row],[Plains Rezone]:[Water Rezone]],"&gt;0")</f>
        <v>0</v>
      </c>
      <c r="T73" s="33" t="str">
        <f aca="false">IF(SUM(TblRezone[[#This Row],[Plains Rezone]:[Water Rezone]])=0,"Ok","Nope")</f>
        <v>Ok</v>
      </c>
      <c r="U73" s="245"/>
      <c r="V73" s="69" t="n">
        <f aca="false">TblProd[[#This Row],[Platinum]]</f>
        <v>46144</v>
      </c>
      <c r="W73" s="245"/>
      <c r="X73" s="69" t="n">
        <f aca="false">ROUNDUP( (1-MIN(ROUND(facs_rezone_factor*TblRezone[[#This Row],[Facs]],4),facs_rezone_max) + tech_6_4*TblTech[[#This Row],[6-4]] + tech_10_2*TblTech[[#This Row],[10-2]] - IF(TblMagic[[#This Row],[Active Mechanical Genius]]&gt;0,mech_genius_bonus,0) + race_rezone_cost) * TblRezone[[#This Row],[Plat/acre*]],0)</f>
        <v>520</v>
      </c>
      <c r="Y73" s="69" t="n">
        <f aca="false">TblRezone[[#This Row],[Total acres]]*TblRezone[[#This Row],[Plat/acre]]</f>
        <v>0</v>
      </c>
      <c r="Z73" s="245"/>
      <c r="AA73" s="69" t="n">
        <f aca="false">250+0.6*(TblRezone[[#This Row],[Land]]-250)</f>
        <v>520</v>
      </c>
      <c r="AB73" s="245"/>
      <c r="AC73" s="150" t="n">
        <f aca="false">TblConstr[[#This Row],[Facs DB]]</f>
        <v>0</v>
      </c>
    </row>
    <row r="74" customFormat="false" ht="12.75" hidden="false" customHeight="false" outlineLevel="0" collapsed="false">
      <c r="A74" s="181" t="n">
        <f aca="false">TblConstr[[#This Row],[Land]]</f>
        <v>700</v>
      </c>
      <c r="B74" s="246" t="n">
        <f aca="false">TblConstr[[#This Row],[Plain]]</f>
        <v>0</v>
      </c>
      <c r="C74" s="193" t="n">
        <f aca="false">TblConstr[[#This Row],[Forest]]</f>
        <v>0</v>
      </c>
      <c r="D74" s="200" t="n">
        <f aca="false">TblConstr[[#This Row],[Mountain]]</f>
        <v>0</v>
      </c>
      <c r="E74" s="201" t="n">
        <f aca="false">TblConstr[[#This Row],[Hill]]</f>
        <v>0</v>
      </c>
      <c r="F74" s="202" t="n">
        <f aca="false">TblConstr[[#This Row],[Swamp]]</f>
        <v>0</v>
      </c>
      <c r="G74" s="197" t="n">
        <f aca="false">TblConstr[[#This Row],[Cavern]]</f>
        <v>0</v>
      </c>
      <c r="H74" s="198" t="n">
        <f aca="false">TblConstr[[#This Row],[Water]]</f>
        <v>0</v>
      </c>
      <c r="I74" s="245"/>
      <c r="J74" s="269" t="n">
        <f aca="false">J73+1</f>
        <v>71</v>
      </c>
      <c r="K74" s="270" t="n">
        <f aca="false">TblImps[[#This Row],[Real time]]</f>
        <v>45432.6666666667</v>
      </c>
      <c r="L74" s="182"/>
      <c r="M74" s="182"/>
      <c r="N74" s="182"/>
      <c r="O74" s="182"/>
      <c r="P74" s="182"/>
      <c r="Q74" s="182"/>
      <c r="R74" s="182"/>
      <c r="S74" s="69" t="n">
        <f aca="false">SUMIF(TblRezone[[#This Row],[Plains Rezone]:[Water Rezone]],"&gt;0")</f>
        <v>0</v>
      </c>
      <c r="T74" s="33" t="str">
        <f aca="false">IF(SUM(TblRezone[[#This Row],[Plains Rezone]:[Water Rezone]])=0,"Ok","Nope")</f>
        <v>Ok</v>
      </c>
      <c r="U74" s="245"/>
      <c r="V74" s="69" t="n">
        <f aca="false">TblProd[[#This Row],[Platinum]]</f>
        <v>32191</v>
      </c>
      <c r="W74" s="245"/>
      <c r="X74" s="69" t="n">
        <f aca="false">ROUNDUP( (1-MIN(ROUND(facs_rezone_factor*TblRezone[[#This Row],[Facs]],4),facs_rezone_max) + tech_6_4*TblTech[[#This Row],[6-4]] + tech_10_2*TblTech[[#This Row],[10-2]] - IF(TblMagic[[#This Row],[Active Mechanical Genius]]&gt;0,mech_genius_bonus,0) + race_rezone_cost) * TblRezone[[#This Row],[Plat/acre*]],0)</f>
        <v>520</v>
      </c>
      <c r="Y74" s="69" t="n">
        <f aca="false">TblRezone[[#This Row],[Total acres]]*TblRezone[[#This Row],[Plat/acre]]</f>
        <v>0</v>
      </c>
      <c r="Z74" s="245"/>
      <c r="AA74" s="69" t="n">
        <f aca="false">250+0.6*(TblRezone[[#This Row],[Land]]-250)</f>
        <v>520</v>
      </c>
      <c r="AB74" s="245"/>
      <c r="AC74" s="150" t="n">
        <f aca="false">TblConstr[[#This Row],[Facs DB]]</f>
        <v>0</v>
      </c>
    </row>
    <row r="75" customFormat="false" ht="12.75" hidden="false" customHeight="false" outlineLevel="0" collapsed="false">
      <c r="A75" s="181" t="n">
        <f aca="false">TblConstr[[#This Row],[Land]]</f>
        <v>700</v>
      </c>
      <c r="B75" s="246" t="n">
        <f aca="false">TblConstr[[#This Row],[Plain]]</f>
        <v>0</v>
      </c>
      <c r="C75" s="193" t="n">
        <f aca="false">TblConstr[[#This Row],[Forest]]</f>
        <v>0</v>
      </c>
      <c r="D75" s="200" t="n">
        <f aca="false">TblConstr[[#This Row],[Mountain]]</f>
        <v>0</v>
      </c>
      <c r="E75" s="201" t="n">
        <f aca="false">TblConstr[[#This Row],[Hill]]</f>
        <v>0</v>
      </c>
      <c r="F75" s="202" t="n">
        <f aca="false">TblConstr[[#This Row],[Swamp]]</f>
        <v>0</v>
      </c>
      <c r="G75" s="197" t="n">
        <f aca="false">TblConstr[[#This Row],[Cavern]]</f>
        <v>0</v>
      </c>
      <c r="H75" s="198" t="n">
        <f aca="false">TblConstr[[#This Row],[Water]]</f>
        <v>0</v>
      </c>
      <c r="I75" s="245"/>
      <c r="J75" s="269" t="n">
        <f aca="false">J74+1</f>
        <v>72</v>
      </c>
      <c r="K75" s="270" t="n">
        <f aca="false">TblImps[[#This Row],[Real time]]</f>
        <v>45432.7083333333</v>
      </c>
      <c r="L75" s="182"/>
      <c r="M75" s="182"/>
      <c r="N75" s="182"/>
      <c r="O75" s="182"/>
      <c r="P75" s="182"/>
      <c r="Q75" s="182"/>
      <c r="R75" s="182"/>
      <c r="S75" s="69" t="n">
        <f aca="false">SUMIF(TblRezone[[#This Row],[Plains Rezone]:[Water Rezone]],"&gt;0")</f>
        <v>0</v>
      </c>
      <c r="T75" s="33" t="str">
        <f aca="false">IF(SUM(TblRezone[[#This Row],[Plains Rezone]:[Water Rezone]])=0,"Ok","Nope")</f>
        <v>Ok</v>
      </c>
      <c r="U75" s="245"/>
      <c r="V75" s="69" t="n">
        <f aca="false">TblProd[[#This Row],[Platinum]]</f>
        <v>18546</v>
      </c>
      <c r="W75" s="245"/>
      <c r="X75" s="69" t="n">
        <f aca="false">ROUNDUP( (1-MIN(ROUND(facs_rezone_factor*TblRezone[[#This Row],[Facs]],4),facs_rezone_max) + tech_6_4*TblTech[[#This Row],[6-4]] + tech_10_2*TblTech[[#This Row],[10-2]] - IF(TblMagic[[#This Row],[Active Mechanical Genius]]&gt;0,mech_genius_bonus,0) + race_rezone_cost) * TblRezone[[#This Row],[Plat/acre*]],0)</f>
        <v>520</v>
      </c>
      <c r="Y75" s="69" t="n">
        <f aca="false">TblRezone[[#This Row],[Total acres]]*TblRezone[[#This Row],[Plat/acre]]</f>
        <v>0</v>
      </c>
      <c r="Z75" s="245"/>
      <c r="AA75" s="69" t="n">
        <f aca="false">250+0.6*(TblRezone[[#This Row],[Land]]-250)</f>
        <v>520</v>
      </c>
      <c r="AB75" s="245"/>
      <c r="AC75" s="150" t="n">
        <f aca="false">TblConstr[[#This Row],[Facs DB]]</f>
        <v>0</v>
      </c>
    </row>
    <row r="76" customFormat="false" ht="12.75" hidden="false" customHeight="false" outlineLevel="0" collapsed="false">
      <c r="A76" s="222" t="n">
        <f aca="false">TblConstr[[#This Row],[Land]]</f>
        <v>700</v>
      </c>
      <c r="B76" s="265" t="n">
        <f aca="false">TblConstr[[#This Row],[Plain]]</f>
        <v>0</v>
      </c>
      <c r="C76" s="216" t="n">
        <f aca="false">TblConstr[[#This Row],[Forest]]</f>
        <v>0</v>
      </c>
      <c r="D76" s="217" t="n">
        <f aca="false">TblConstr[[#This Row],[Mountain]]</f>
        <v>0</v>
      </c>
      <c r="E76" s="218" t="n">
        <f aca="false">TblConstr[[#This Row],[Hill]]</f>
        <v>0</v>
      </c>
      <c r="F76" s="219" t="n">
        <f aca="false">TblConstr[[#This Row],[Swamp]]</f>
        <v>0</v>
      </c>
      <c r="G76" s="220" t="n">
        <f aca="false">TblConstr[[#This Row],[Cavern]]</f>
        <v>0</v>
      </c>
      <c r="H76" s="221" t="n">
        <f aca="false">TblConstr[[#This Row],[Water]]</f>
        <v>0</v>
      </c>
      <c r="I76" s="264"/>
      <c r="J76" s="210" t="n">
        <f aca="false">J75+1</f>
        <v>73</v>
      </c>
      <c r="K76" s="271" t="n">
        <f aca="false">TblImps[[#This Row],[Real time]]</f>
        <v>45432.75</v>
      </c>
      <c r="L76" s="223"/>
      <c r="M76" s="223"/>
      <c r="N76" s="223"/>
      <c r="O76" s="223"/>
      <c r="P76" s="223"/>
      <c r="Q76" s="223"/>
      <c r="R76" s="223"/>
      <c r="S76" s="226" t="n">
        <f aca="false">SUMIF(TblRezone[[#This Row],[Plains Rezone]:[Water Rezone]],"&gt;0")</f>
        <v>0</v>
      </c>
      <c r="T76" s="214" t="str">
        <f aca="false">IF(SUM(TblRezone[[#This Row],[Plains Rezone]:[Water Rezone]])=0,"Ok","Nope")</f>
        <v>Ok</v>
      </c>
      <c r="U76" s="264"/>
      <c r="V76" s="226" t="n">
        <f aca="false">TblProd[[#This Row],[Platinum]]</f>
        <v>5612</v>
      </c>
      <c r="W76" s="264"/>
      <c r="X76" s="226" t="n">
        <f aca="false">ROUNDUP( (1-MIN(ROUND(facs_rezone_factor*TblRezone[[#This Row],[Facs]],4),facs_rezone_max) + tech_6_4*TblTech[[#This Row],[6-4]] + tech_10_2*TblTech[[#This Row],[10-2]] - IF(TblMagic[[#This Row],[Active Mechanical Genius]]&gt;0,mech_genius_bonus,0) + race_rezone_cost) * TblRezone[[#This Row],[Plat/acre*]],0)</f>
        <v>520</v>
      </c>
      <c r="Y76" s="226" t="n">
        <f aca="false">TblRezone[[#This Row],[Total acres]]*TblRezone[[#This Row],[Plat/acre]]</f>
        <v>0</v>
      </c>
      <c r="Z76" s="264"/>
      <c r="AA76" s="226" t="n">
        <f aca="false">250+0.6*(TblRezone[[#This Row],[Land]]-250)</f>
        <v>520</v>
      </c>
      <c r="AB76" s="264"/>
      <c r="AC76" s="272" t="n">
        <f aca="false">TblConstr[[#This Row],[Facs DB]]</f>
        <v>0</v>
      </c>
    </row>
    <row r="77" customFormat="false" ht="12.75" hidden="false" customHeight="false" outlineLevel="0" collapsed="false">
      <c r="A77" s="181" t="n">
        <f aca="false">TblConstr[[#This Row],[Land]]</f>
        <v>700</v>
      </c>
      <c r="B77" s="246" t="n">
        <f aca="false">TblConstr[[#This Row],[Plain]]</f>
        <v>0</v>
      </c>
      <c r="C77" s="193" t="n">
        <f aca="false">TblConstr[[#This Row],[Forest]]</f>
        <v>0</v>
      </c>
      <c r="D77" s="200" t="n">
        <f aca="false">TblConstr[[#This Row],[Mountain]]</f>
        <v>0</v>
      </c>
      <c r="E77" s="201" t="n">
        <f aca="false">TblConstr[[#This Row],[Hill]]</f>
        <v>0</v>
      </c>
      <c r="F77" s="202" t="n">
        <f aca="false">TblConstr[[#This Row],[Swamp]]</f>
        <v>0</v>
      </c>
      <c r="G77" s="197" t="n">
        <f aca="false">TblConstr[[#This Row],[Cavern]]</f>
        <v>0</v>
      </c>
      <c r="H77" s="198" t="n">
        <f aca="false">TblConstr[[#This Row],[Water]]</f>
        <v>0</v>
      </c>
      <c r="I77" s="245"/>
      <c r="J77" s="269" t="n">
        <f aca="false">J76+1</f>
        <v>74</v>
      </c>
      <c r="K77" s="270" t="n">
        <f aca="false">TblImps[[#This Row],[Real time]]</f>
        <v>45432.7916666667</v>
      </c>
      <c r="L77" s="182"/>
      <c r="M77" s="182"/>
      <c r="N77" s="182"/>
      <c r="O77" s="182"/>
      <c r="P77" s="182"/>
      <c r="Q77" s="182"/>
      <c r="R77" s="182"/>
      <c r="S77" s="69" t="n">
        <f aca="false">SUMIF(TblRezone[[#This Row],[Plains Rezone]:[Water Rezone]],"&gt;0")</f>
        <v>0</v>
      </c>
      <c r="T77" s="33" t="str">
        <f aca="false">IF(SUM(TblRezone[[#This Row],[Plains Rezone]:[Water Rezone]])=0,"Ok","Nope")</f>
        <v>Ok</v>
      </c>
      <c r="U77" s="245"/>
      <c r="V77" s="69" t="n">
        <f aca="false">TblProd[[#This Row],[Platinum]]</f>
        <v>13360</v>
      </c>
      <c r="W77" s="245"/>
      <c r="X77" s="69" t="n">
        <f aca="false">ROUNDUP( (1-MIN(ROUND(facs_rezone_factor*TblRezone[[#This Row],[Facs]],4),facs_rezone_max) + tech_6_4*TblTech[[#This Row],[6-4]] + tech_10_2*TblTech[[#This Row],[10-2]] - IF(TblMagic[[#This Row],[Active Mechanical Genius]]&gt;0,mech_genius_bonus,0) + race_rezone_cost) * TblRezone[[#This Row],[Plat/acre*]],0)</f>
        <v>520</v>
      </c>
      <c r="Y77" s="69" t="n">
        <f aca="false">TblRezone[[#This Row],[Total acres]]*TblRezone[[#This Row],[Plat/acre]]</f>
        <v>0</v>
      </c>
      <c r="Z77" s="245"/>
      <c r="AA77" s="69" t="n">
        <f aca="false">250+0.6*(TblRezone[[#This Row],[Land]]-250)</f>
        <v>520</v>
      </c>
      <c r="AB77" s="245"/>
      <c r="AC77" s="150" t="n">
        <f aca="false">TblConstr[[#This Row],[Facs DB]]</f>
        <v>0</v>
      </c>
    </row>
    <row r="78" customFormat="false" ht="12.75" hidden="false" customHeight="false" outlineLevel="0" collapsed="false">
      <c r="A78" s="181" t="n">
        <f aca="false">TblConstr[[#This Row],[Land]]</f>
        <v>700</v>
      </c>
      <c r="B78" s="246" t="n">
        <f aca="false">TblConstr[[#This Row],[Plain]]</f>
        <v>0</v>
      </c>
      <c r="C78" s="193" t="n">
        <f aca="false">TblConstr[[#This Row],[Forest]]</f>
        <v>0</v>
      </c>
      <c r="D78" s="200" t="n">
        <f aca="false">TblConstr[[#This Row],[Mountain]]</f>
        <v>0</v>
      </c>
      <c r="E78" s="201" t="n">
        <f aca="false">TblConstr[[#This Row],[Hill]]</f>
        <v>0</v>
      </c>
      <c r="F78" s="202" t="n">
        <f aca="false">TblConstr[[#This Row],[Swamp]]</f>
        <v>0</v>
      </c>
      <c r="G78" s="197" t="n">
        <f aca="false">TblConstr[[#This Row],[Cavern]]</f>
        <v>0</v>
      </c>
      <c r="H78" s="198" t="n">
        <f aca="false">TblConstr[[#This Row],[Water]]</f>
        <v>0</v>
      </c>
      <c r="I78" s="245"/>
      <c r="J78" s="269" t="n">
        <f aca="false">J77+1</f>
        <v>75</v>
      </c>
      <c r="K78" s="270" t="n">
        <f aca="false">TblImps[[#This Row],[Real time]]</f>
        <v>45432.8333333333</v>
      </c>
      <c r="L78" s="182"/>
      <c r="M78" s="182"/>
      <c r="N78" s="182"/>
      <c r="O78" s="182"/>
      <c r="P78" s="182"/>
      <c r="Q78" s="182"/>
      <c r="R78" s="182"/>
      <c r="S78" s="69" t="n">
        <f aca="false">SUMIF(TblRezone[[#This Row],[Plains Rezone]:[Water Rezone]],"&gt;0")</f>
        <v>0</v>
      </c>
      <c r="T78" s="33" t="str">
        <f aca="false">IF(SUM(TblRezone[[#This Row],[Plains Rezone]:[Water Rezone]])=0,"Ok","Nope")</f>
        <v>Ok</v>
      </c>
      <c r="U78" s="245"/>
      <c r="V78" s="69" t="n">
        <f aca="false">TblProd[[#This Row],[Platinum]]</f>
        <v>41111</v>
      </c>
      <c r="W78" s="245"/>
      <c r="X78" s="69" t="n">
        <f aca="false">ROUNDUP( (1-MIN(ROUND(facs_rezone_factor*TblRezone[[#This Row],[Facs]],4),facs_rezone_max) + tech_6_4*TblTech[[#This Row],[6-4]] + tech_10_2*TblTech[[#This Row],[10-2]] - IF(TblMagic[[#This Row],[Active Mechanical Genius]]&gt;0,mech_genius_bonus,0) + race_rezone_cost) * TblRezone[[#This Row],[Plat/acre*]],0)</f>
        <v>520</v>
      </c>
      <c r="Y78" s="69" t="n">
        <f aca="false">TblRezone[[#This Row],[Total acres]]*TblRezone[[#This Row],[Plat/acre]]</f>
        <v>0</v>
      </c>
      <c r="Z78" s="245"/>
      <c r="AA78" s="69" t="n">
        <f aca="false">250+0.6*(TblRezone[[#This Row],[Land]]-250)</f>
        <v>520</v>
      </c>
      <c r="AB78" s="245"/>
      <c r="AC78" s="150" t="n">
        <f aca="false">TblConstr[[#This Row],[Facs DB]]</f>
        <v>0</v>
      </c>
    </row>
    <row r="79" customFormat="false" ht="12.75" hidden="false" customHeight="false" outlineLevel="0" collapsed="false">
      <c r="A79" s="181" t="n">
        <f aca="false">TblConstr[[#This Row],[Land]]</f>
        <v>700</v>
      </c>
      <c r="B79" s="246" t="n">
        <f aca="false">TblConstr[[#This Row],[Plain]]</f>
        <v>0</v>
      </c>
      <c r="C79" s="193" t="n">
        <f aca="false">TblConstr[[#This Row],[Forest]]</f>
        <v>0</v>
      </c>
      <c r="D79" s="200" t="n">
        <f aca="false">TblConstr[[#This Row],[Mountain]]</f>
        <v>0</v>
      </c>
      <c r="E79" s="201" t="n">
        <f aca="false">TblConstr[[#This Row],[Hill]]</f>
        <v>0</v>
      </c>
      <c r="F79" s="202" t="n">
        <f aca="false">TblConstr[[#This Row],[Swamp]]</f>
        <v>0</v>
      </c>
      <c r="G79" s="197" t="n">
        <f aca="false">TblConstr[[#This Row],[Cavern]]</f>
        <v>0</v>
      </c>
      <c r="H79" s="198" t="n">
        <f aca="false">TblConstr[[#This Row],[Water]]</f>
        <v>0</v>
      </c>
      <c r="I79" s="245"/>
      <c r="J79" s="269" t="n">
        <f aca="false">J78+1</f>
        <v>76</v>
      </c>
      <c r="K79" s="270" t="n">
        <f aca="false">TblImps[[#This Row],[Real time]]</f>
        <v>45432.875</v>
      </c>
      <c r="L79" s="182"/>
      <c r="M79" s="182"/>
      <c r="N79" s="182"/>
      <c r="O79" s="182"/>
      <c r="P79" s="182"/>
      <c r="Q79" s="182"/>
      <c r="R79" s="182"/>
      <c r="S79" s="69" t="n">
        <f aca="false">SUMIF(TblRezone[[#This Row],[Plains Rezone]:[Water Rezone]],"&gt;0")</f>
        <v>0</v>
      </c>
      <c r="T79" s="33" t="str">
        <f aca="false">IF(SUM(TblRezone[[#This Row],[Plains Rezone]:[Water Rezone]])=0,"Ok","Nope")</f>
        <v>Ok</v>
      </c>
      <c r="U79" s="245"/>
      <c r="V79" s="69" t="n">
        <f aca="false">TblProd[[#This Row],[Platinum]]</f>
        <v>68865</v>
      </c>
      <c r="W79" s="245"/>
      <c r="X79" s="69" t="n">
        <f aca="false">ROUNDUP( (1-MIN(ROUND(facs_rezone_factor*TblRezone[[#This Row],[Facs]],4),facs_rezone_max) + tech_6_4*TblTech[[#This Row],[6-4]] + tech_10_2*TblTech[[#This Row],[10-2]] - IF(TblMagic[[#This Row],[Active Mechanical Genius]]&gt;0,mech_genius_bonus,0) + race_rezone_cost) * TblRezone[[#This Row],[Plat/acre*]],0)</f>
        <v>520</v>
      </c>
      <c r="Y79" s="69" t="n">
        <f aca="false">TblRezone[[#This Row],[Total acres]]*TblRezone[[#This Row],[Plat/acre]]</f>
        <v>0</v>
      </c>
      <c r="Z79" s="245"/>
      <c r="AA79" s="69" t="n">
        <f aca="false">250+0.6*(TblRezone[[#This Row],[Land]]-250)</f>
        <v>520</v>
      </c>
      <c r="AB79" s="245"/>
      <c r="AC79" s="150" t="n">
        <f aca="false">TblConstr[[#This Row],[Facs DB]]</f>
        <v>0</v>
      </c>
    </row>
    <row r="80" customFormat="false" ht="12.75" hidden="false" customHeight="false" outlineLevel="0" collapsed="false">
      <c r="A80" s="181" t="n">
        <f aca="false">TblConstr[[#This Row],[Land]]</f>
        <v>700</v>
      </c>
      <c r="B80" s="246" t="n">
        <f aca="false">TblConstr[[#This Row],[Plain]]</f>
        <v>0</v>
      </c>
      <c r="C80" s="193" t="n">
        <f aca="false">TblConstr[[#This Row],[Forest]]</f>
        <v>0</v>
      </c>
      <c r="D80" s="200" t="n">
        <f aca="false">TblConstr[[#This Row],[Mountain]]</f>
        <v>0</v>
      </c>
      <c r="E80" s="201" t="n">
        <f aca="false">TblConstr[[#This Row],[Hill]]</f>
        <v>0</v>
      </c>
      <c r="F80" s="202" t="n">
        <f aca="false">TblConstr[[#This Row],[Swamp]]</f>
        <v>0</v>
      </c>
      <c r="G80" s="197" t="n">
        <f aca="false">TblConstr[[#This Row],[Cavern]]</f>
        <v>0</v>
      </c>
      <c r="H80" s="198" t="n">
        <f aca="false">TblConstr[[#This Row],[Water]]</f>
        <v>0</v>
      </c>
      <c r="I80" s="245"/>
      <c r="J80" s="269" t="n">
        <f aca="false">J79+1</f>
        <v>77</v>
      </c>
      <c r="K80" s="270" t="n">
        <f aca="false">TblImps[[#This Row],[Real time]]</f>
        <v>45432.9166666667</v>
      </c>
      <c r="L80" s="182"/>
      <c r="M80" s="182"/>
      <c r="N80" s="182"/>
      <c r="O80" s="182"/>
      <c r="P80" s="182"/>
      <c r="Q80" s="182"/>
      <c r="R80" s="182"/>
      <c r="S80" s="69" t="n">
        <f aca="false">SUMIF(TblRezone[[#This Row],[Plains Rezone]:[Water Rezone]],"&gt;0")</f>
        <v>0</v>
      </c>
      <c r="T80" s="33" t="str">
        <f aca="false">IF(SUM(TblRezone[[#This Row],[Plains Rezone]:[Water Rezone]])=0,"Ok","Nope")</f>
        <v>Ok</v>
      </c>
      <c r="U80" s="245"/>
      <c r="V80" s="69" t="n">
        <f aca="false">TblProd[[#This Row],[Platinum]]</f>
        <v>153735</v>
      </c>
      <c r="W80" s="245"/>
      <c r="X80" s="69" t="n">
        <f aca="false">ROUNDUP( (1-MIN(ROUND(facs_rezone_factor*TblRezone[[#This Row],[Facs]],4),facs_rezone_max) + tech_6_4*TblTech[[#This Row],[6-4]] + tech_10_2*TblTech[[#This Row],[10-2]] - IF(TblMagic[[#This Row],[Active Mechanical Genius]]&gt;0,mech_genius_bonus,0) + race_rezone_cost) * TblRezone[[#This Row],[Plat/acre*]],0)</f>
        <v>520</v>
      </c>
      <c r="Y80" s="69" t="n">
        <f aca="false">TblRezone[[#This Row],[Total acres]]*TblRezone[[#This Row],[Plat/acre]]</f>
        <v>0</v>
      </c>
      <c r="Z80" s="245"/>
      <c r="AA80" s="69" t="n">
        <f aca="false">250+0.6*(TblRezone[[#This Row],[Land]]-250)</f>
        <v>520</v>
      </c>
      <c r="AB80" s="245"/>
      <c r="AC80" s="150" t="n">
        <f aca="false">TblConstr[[#This Row],[Facs DB]]</f>
        <v>0</v>
      </c>
    </row>
    <row r="81" customFormat="false" ht="12.75" hidden="false" customHeight="false" outlineLevel="0" collapsed="false">
      <c r="A81" s="181" t="n">
        <f aca="false">TblConstr[[#This Row],[Land]]</f>
        <v>700</v>
      </c>
      <c r="B81" s="246" t="n">
        <f aca="false">TblConstr[[#This Row],[Plain]]</f>
        <v>0</v>
      </c>
      <c r="C81" s="193" t="n">
        <f aca="false">TblConstr[[#This Row],[Forest]]</f>
        <v>0</v>
      </c>
      <c r="D81" s="200" t="n">
        <f aca="false">TblConstr[[#This Row],[Mountain]]</f>
        <v>0</v>
      </c>
      <c r="E81" s="201" t="n">
        <f aca="false">TblConstr[[#This Row],[Hill]]</f>
        <v>0</v>
      </c>
      <c r="F81" s="202" t="n">
        <f aca="false">TblConstr[[#This Row],[Swamp]]</f>
        <v>0</v>
      </c>
      <c r="G81" s="197" t="n">
        <f aca="false">TblConstr[[#This Row],[Cavern]]</f>
        <v>0</v>
      </c>
      <c r="H81" s="198" t="n">
        <f aca="false">TblConstr[[#This Row],[Water]]</f>
        <v>0</v>
      </c>
      <c r="I81" s="245"/>
      <c r="J81" s="269" t="n">
        <f aca="false">J80+1</f>
        <v>78</v>
      </c>
      <c r="K81" s="270" t="n">
        <f aca="false">TblImps[[#This Row],[Real time]]</f>
        <v>45432.9583333333</v>
      </c>
      <c r="L81" s="182"/>
      <c r="M81" s="182"/>
      <c r="N81" s="182"/>
      <c r="O81" s="182"/>
      <c r="P81" s="182"/>
      <c r="Q81" s="182"/>
      <c r="R81" s="182"/>
      <c r="S81" s="69" t="n">
        <f aca="false">SUMIF(TblRezone[[#This Row],[Plains Rezone]:[Water Rezone]],"&gt;0")</f>
        <v>0</v>
      </c>
      <c r="T81" s="33" t="str">
        <f aca="false">IF(SUM(TblRezone[[#This Row],[Plains Rezone]:[Water Rezone]])=0,"Ok","Nope")</f>
        <v>Ok</v>
      </c>
      <c r="U81" s="245"/>
      <c r="V81" s="69" t="n">
        <f aca="false">TblProd[[#This Row],[Platinum]]</f>
        <v>199845</v>
      </c>
      <c r="W81" s="245"/>
      <c r="X81" s="69" t="n">
        <f aca="false">ROUNDUP( (1-MIN(ROUND(facs_rezone_factor*TblRezone[[#This Row],[Facs]],4),facs_rezone_max) + tech_6_4*TblTech[[#This Row],[6-4]] + tech_10_2*TblTech[[#This Row],[10-2]] - IF(TblMagic[[#This Row],[Active Mechanical Genius]]&gt;0,mech_genius_bonus,0) + race_rezone_cost) * TblRezone[[#This Row],[Plat/acre*]],0)</f>
        <v>520</v>
      </c>
      <c r="Y81" s="69" t="n">
        <f aca="false">TblRezone[[#This Row],[Total acres]]*TblRezone[[#This Row],[Plat/acre]]</f>
        <v>0</v>
      </c>
      <c r="Z81" s="245"/>
      <c r="AA81" s="69" t="n">
        <f aca="false">250+0.6*(TblRezone[[#This Row],[Land]]-250)</f>
        <v>520</v>
      </c>
      <c r="AB81" s="245"/>
      <c r="AC81" s="150" t="n">
        <f aca="false">TblConstr[[#This Row],[Facs DB]]</f>
        <v>0</v>
      </c>
    </row>
    <row r="82" customFormat="false" ht="12.75" hidden="false" customHeight="false" outlineLevel="0" collapsed="false">
      <c r="A82" s="181" t="n">
        <f aca="false">TblConstr[[#This Row],[Land]]</f>
        <v>700</v>
      </c>
      <c r="B82" s="246" t="n">
        <f aca="false">TblConstr[[#This Row],[Plain]]</f>
        <v>0</v>
      </c>
      <c r="C82" s="193" t="n">
        <f aca="false">TblConstr[[#This Row],[Forest]]</f>
        <v>0</v>
      </c>
      <c r="D82" s="200" t="n">
        <f aca="false">TblConstr[[#This Row],[Mountain]]</f>
        <v>0</v>
      </c>
      <c r="E82" s="201" t="n">
        <f aca="false">TblConstr[[#This Row],[Hill]]</f>
        <v>0</v>
      </c>
      <c r="F82" s="202" t="n">
        <f aca="false">TblConstr[[#This Row],[Swamp]]</f>
        <v>0</v>
      </c>
      <c r="G82" s="197" t="n">
        <f aca="false">TblConstr[[#This Row],[Cavern]]</f>
        <v>0</v>
      </c>
      <c r="H82" s="198" t="n">
        <f aca="false">TblConstr[[#This Row],[Water]]</f>
        <v>0</v>
      </c>
      <c r="I82" s="245"/>
      <c r="J82" s="269" t="n">
        <f aca="false">J81+1</f>
        <v>79</v>
      </c>
      <c r="K82" s="270" t="n">
        <f aca="false">TblImps[[#This Row],[Real time]]</f>
        <v>45433</v>
      </c>
      <c r="L82" s="182"/>
      <c r="M82" s="182"/>
      <c r="N82" s="182"/>
      <c r="O82" s="182"/>
      <c r="P82" s="182"/>
      <c r="Q82" s="182"/>
      <c r="R82" s="182"/>
      <c r="S82" s="69" t="n">
        <f aca="false">SUMIF(TblRezone[[#This Row],[Plains Rezone]:[Water Rezone]],"&gt;0")</f>
        <v>0</v>
      </c>
      <c r="T82" s="33" t="str">
        <f aca="false">IF(SUM(TblRezone[[#This Row],[Plains Rezone]:[Water Rezone]])=0,"Ok","Nope")</f>
        <v>Ok</v>
      </c>
      <c r="U82" s="245"/>
      <c r="V82" s="69" t="n">
        <f aca="false">TblProd[[#This Row],[Platinum]]</f>
        <v>245670</v>
      </c>
      <c r="W82" s="245"/>
      <c r="X82" s="69" t="n">
        <f aca="false">ROUNDUP( (1-MIN(ROUND(facs_rezone_factor*TblRezone[[#This Row],[Facs]],4),facs_rezone_max) + tech_6_4*TblTech[[#This Row],[6-4]] + tech_10_2*TblTech[[#This Row],[10-2]] - IF(TblMagic[[#This Row],[Active Mechanical Genius]]&gt;0,mech_genius_bonus,0) + race_rezone_cost) * TblRezone[[#This Row],[Plat/acre*]],0)</f>
        <v>520</v>
      </c>
      <c r="Y82" s="69" t="n">
        <f aca="false">TblRezone[[#This Row],[Total acres]]*TblRezone[[#This Row],[Plat/acre]]</f>
        <v>0</v>
      </c>
      <c r="Z82" s="245"/>
      <c r="AA82" s="69" t="n">
        <f aca="false">250+0.6*(TblRezone[[#This Row],[Land]]-250)</f>
        <v>520</v>
      </c>
      <c r="AB82" s="245"/>
      <c r="AC82" s="150" t="n">
        <f aca="false">TblConstr[[#This Row],[Facs DB]]</f>
        <v>0</v>
      </c>
    </row>
    <row r="83" customFormat="false" ht="12.75" hidden="false" customHeight="false" outlineLevel="0" collapsed="false">
      <c r="A83" s="181" t="n">
        <f aca="false">TblConstr[[#This Row],[Land]]</f>
        <v>700</v>
      </c>
      <c r="B83" s="246" t="n">
        <f aca="false">TblConstr[[#This Row],[Plain]]</f>
        <v>0</v>
      </c>
      <c r="C83" s="193" t="n">
        <f aca="false">TblConstr[[#This Row],[Forest]]</f>
        <v>0</v>
      </c>
      <c r="D83" s="200" t="n">
        <f aca="false">TblConstr[[#This Row],[Mountain]]</f>
        <v>0</v>
      </c>
      <c r="E83" s="201" t="n">
        <f aca="false">TblConstr[[#This Row],[Hill]]</f>
        <v>0</v>
      </c>
      <c r="F83" s="202" t="n">
        <f aca="false">TblConstr[[#This Row],[Swamp]]</f>
        <v>0</v>
      </c>
      <c r="G83" s="197" t="n">
        <f aca="false">TblConstr[[#This Row],[Cavern]]</f>
        <v>0</v>
      </c>
      <c r="H83" s="198" t="n">
        <f aca="false">TblConstr[[#This Row],[Water]]</f>
        <v>0</v>
      </c>
      <c r="I83" s="245"/>
      <c r="J83" s="269" t="n">
        <f aca="false">J82+1</f>
        <v>80</v>
      </c>
      <c r="K83" s="270" t="n">
        <f aca="false">TblImps[[#This Row],[Real time]]</f>
        <v>45433.0416666667</v>
      </c>
      <c r="L83" s="182"/>
      <c r="M83" s="182"/>
      <c r="N83" s="182"/>
      <c r="O83" s="182"/>
      <c r="P83" s="182"/>
      <c r="Q83" s="182"/>
      <c r="R83" s="182"/>
      <c r="S83" s="69" t="n">
        <f aca="false">SUMIF(TblRezone[[#This Row],[Plains Rezone]:[Water Rezone]],"&gt;0")</f>
        <v>0</v>
      </c>
      <c r="T83" s="33" t="str">
        <f aca="false">IF(SUM(TblRezone[[#This Row],[Plains Rezone]:[Water Rezone]])=0,"Ok","Nope")</f>
        <v>Ok</v>
      </c>
      <c r="U83" s="245"/>
      <c r="V83" s="69" t="n">
        <f aca="false">TblProd[[#This Row],[Platinum]]</f>
        <v>291213</v>
      </c>
      <c r="W83" s="245"/>
      <c r="X83" s="69" t="n">
        <f aca="false">ROUNDUP( (1-MIN(ROUND(facs_rezone_factor*TblRezone[[#This Row],[Facs]],4),facs_rezone_max) + tech_6_4*TblTech[[#This Row],[6-4]] + tech_10_2*TblTech[[#This Row],[10-2]] - IF(TblMagic[[#This Row],[Active Mechanical Genius]]&gt;0,mech_genius_bonus,0) + race_rezone_cost) * TblRezone[[#This Row],[Plat/acre*]],0)</f>
        <v>520</v>
      </c>
      <c r="Y83" s="69" t="n">
        <f aca="false">TblRezone[[#This Row],[Total acres]]*TblRezone[[#This Row],[Plat/acre]]</f>
        <v>0</v>
      </c>
      <c r="Z83" s="245"/>
      <c r="AA83" s="69" t="n">
        <f aca="false">250+0.6*(TblRezone[[#This Row],[Land]]-250)</f>
        <v>520</v>
      </c>
      <c r="AB83" s="245"/>
      <c r="AC83" s="150" t="n">
        <f aca="false">TblConstr[[#This Row],[Facs DB]]</f>
        <v>0</v>
      </c>
    </row>
    <row r="84" customFormat="false" ht="12.75" hidden="false" customHeight="false" outlineLevel="0" collapsed="false">
      <c r="A84" s="181" t="n">
        <f aca="false">TblConstr[[#This Row],[Land]]</f>
        <v>700</v>
      </c>
      <c r="B84" s="246" t="n">
        <f aca="false">TblConstr[[#This Row],[Plain]]</f>
        <v>0</v>
      </c>
      <c r="C84" s="193" t="n">
        <f aca="false">TblConstr[[#This Row],[Forest]]</f>
        <v>0</v>
      </c>
      <c r="D84" s="200" t="n">
        <f aca="false">TblConstr[[#This Row],[Mountain]]</f>
        <v>0</v>
      </c>
      <c r="E84" s="201" t="n">
        <f aca="false">TblConstr[[#This Row],[Hill]]</f>
        <v>0</v>
      </c>
      <c r="F84" s="202" t="n">
        <f aca="false">TblConstr[[#This Row],[Swamp]]</f>
        <v>0</v>
      </c>
      <c r="G84" s="197" t="n">
        <f aca="false">TblConstr[[#This Row],[Cavern]]</f>
        <v>0</v>
      </c>
      <c r="H84" s="198" t="n">
        <f aca="false">TblConstr[[#This Row],[Water]]</f>
        <v>0</v>
      </c>
      <c r="I84" s="245"/>
      <c r="J84" s="269" t="n">
        <f aca="false">J83+1</f>
        <v>81</v>
      </c>
      <c r="K84" s="270" t="n">
        <f aca="false">TblImps[[#This Row],[Real time]]</f>
        <v>45433.0833333333</v>
      </c>
      <c r="L84" s="182"/>
      <c r="M84" s="182"/>
      <c r="N84" s="182"/>
      <c r="O84" s="182"/>
      <c r="P84" s="182"/>
      <c r="Q84" s="182"/>
      <c r="R84" s="182"/>
      <c r="S84" s="69" t="n">
        <f aca="false">SUMIF(TblRezone[[#This Row],[Plains Rezone]:[Water Rezone]],"&gt;0")</f>
        <v>0</v>
      </c>
      <c r="T84" s="33" t="str">
        <f aca="false">IF(SUM(TblRezone[[#This Row],[Plains Rezone]:[Water Rezone]])=0,"Ok","Nope")</f>
        <v>Ok</v>
      </c>
      <c r="U84" s="245"/>
      <c r="V84" s="69" t="n">
        <f aca="false">TblProd[[#This Row],[Platinum]]</f>
        <v>336477</v>
      </c>
      <c r="W84" s="245"/>
      <c r="X84" s="69" t="n">
        <f aca="false">ROUNDUP( (1-MIN(ROUND(facs_rezone_factor*TblRezone[[#This Row],[Facs]],4),facs_rezone_max) + tech_6_4*TblTech[[#This Row],[6-4]] + tech_10_2*TblTech[[#This Row],[10-2]] - IF(TblMagic[[#This Row],[Active Mechanical Genius]]&gt;0,mech_genius_bonus,0) + race_rezone_cost) * TblRezone[[#This Row],[Plat/acre*]],0)</f>
        <v>520</v>
      </c>
      <c r="Y84" s="69" t="n">
        <f aca="false">TblRezone[[#This Row],[Total acres]]*TblRezone[[#This Row],[Plat/acre]]</f>
        <v>0</v>
      </c>
      <c r="Z84" s="245"/>
      <c r="AA84" s="69" t="n">
        <f aca="false">250+0.6*(TblRezone[[#This Row],[Land]]-250)</f>
        <v>520</v>
      </c>
      <c r="AB84" s="245"/>
      <c r="AC84" s="150" t="n">
        <f aca="false">TblConstr[[#This Row],[Facs DB]]</f>
        <v>0</v>
      </c>
    </row>
    <row r="85" customFormat="false" ht="12.75" hidden="false" customHeight="false" outlineLevel="0" collapsed="false">
      <c r="A85" s="181" t="n">
        <f aca="false">TblConstr[[#This Row],[Land]]</f>
        <v>700</v>
      </c>
      <c r="B85" s="246" t="n">
        <f aca="false">TblConstr[[#This Row],[Plain]]</f>
        <v>0</v>
      </c>
      <c r="C85" s="193" t="n">
        <f aca="false">TblConstr[[#This Row],[Forest]]</f>
        <v>0</v>
      </c>
      <c r="D85" s="200" t="n">
        <f aca="false">TblConstr[[#This Row],[Mountain]]</f>
        <v>0</v>
      </c>
      <c r="E85" s="201" t="n">
        <f aca="false">TblConstr[[#This Row],[Hill]]</f>
        <v>0</v>
      </c>
      <c r="F85" s="202" t="n">
        <f aca="false">TblConstr[[#This Row],[Swamp]]</f>
        <v>0</v>
      </c>
      <c r="G85" s="197" t="n">
        <f aca="false">TblConstr[[#This Row],[Cavern]]</f>
        <v>0</v>
      </c>
      <c r="H85" s="198" t="n">
        <f aca="false">TblConstr[[#This Row],[Water]]</f>
        <v>0</v>
      </c>
      <c r="I85" s="245"/>
      <c r="J85" s="269" t="n">
        <f aca="false">J84+1</f>
        <v>82</v>
      </c>
      <c r="K85" s="270" t="n">
        <f aca="false">TblImps[[#This Row],[Real time]]</f>
        <v>45433.125</v>
      </c>
      <c r="L85" s="182"/>
      <c r="M85" s="182"/>
      <c r="N85" s="182"/>
      <c r="O85" s="182"/>
      <c r="P85" s="182"/>
      <c r="Q85" s="182"/>
      <c r="R85" s="182"/>
      <c r="S85" s="69" t="n">
        <f aca="false">SUMIF(TblRezone[[#This Row],[Plains Rezone]:[Water Rezone]],"&gt;0")</f>
        <v>0</v>
      </c>
      <c r="T85" s="33" t="str">
        <f aca="false">IF(SUM(TblRezone[[#This Row],[Plains Rezone]:[Water Rezone]])=0,"Ok","Nope")</f>
        <v>Ok</v>
      </c>
      <c r="U85" s="245"/>
      <c r="V85" s="69" t="n">
        <f aca="false">TblProd[[#This Row],[Platinum]]</f>
        <v>381464</v>
      </c>
      <c r="W85" s="245"/>
      <c r="X85" s="69" t="n">
        <f aca="false">ROUNDUP( (1-MIN(ROUND(facs_rezone_factor*TblRezone[[#This Row],[Facs]],4),facs_rezone_max) + tech_6_4*TblTech[[#This Row],[6-4]] + tech_10_2*TblTech[[#This Row],[10-2]] - IF(TblMagic[[#This Row],[Active Mechanical Genius]]&gt;0,mech_genius_bonus,0) + race_rezone_cost) * TblRezone[[#This Row],[Plat/acre*]],0)</f>
        <v>520</v>
      </c>
      <c r="Y85" s="69" t="n">
        <f aca="false">TblRezone[[#This Row],[Total acres]]*TblRezone[[#This Row],[Plat/acre]]</f>
        <v>0</v>
      </c>
      <c r="Z85" s="245"/>
      <c r="AA85" s="69" t="n">
        <f aca="false">250+0.6*(TblRezone[[#This Row],[Land]]-250)</f>
        <v>520</v>
      </c>
      <c r="AB85" s="245"/>
      <c r="AC85" s="150" t="n">
        <f aca="false">TblConstr[[#This Row],[Facs DB]]</f>
        <v>0</v>
      </c>
    </row>
    <row r="86" customFormat="false" ht="12.75" hidden="false" customHeight="false" outlineLevel="0" collapsed="false">
      <c r="A86" s="181" t="n">
        <f aca="false">TblConstr[[#This Row],[Land]]</f>
        <v>700</v>
      </c>
      <c r="B86" s="246" t="n">
        <f aca="false">TblConstr[[#This Row],[Plain]]</f>
        <v>0</v>
      </c>
      <c r="C86" s="193" t="n">
        <f aca="false">TblConstr[[#This Row],[Forest]]</f>
        <v>0</v>
      </c>
      <c r="D86" s="200" t="n">
        <f aca="false">TblConstr[[#This Row],[Mountain]]</f>
        <v>0</v>
      </c>
      <c r="E86" s="201" t="n">
        <f aca="false">TblConstr[[#This Row],[Hill]]</f>
        <v>0</v>
      </c>
      <c r="F86" s="202" t="n">
        <f aca="false">TblConstr[[#This Row],[Swamp]]</f>
        <v>0</v>
      </c>
      <c r="G86" s="197" t="n">
        <f aca="false">TblConstr[[#This Row],[Cavern]]</f>
        <v>0</v>
      </c>
      <c r="H86" s="198" t="n">
        <f aca="false">TblConstr[[#This Row],[Water]]</f>
        <v>0</v>
      </c>
      <c r="I86" s="245"/>
      <c r="J86" s="269" t="n">
        <f aca="false">J85+1</f>
        <v>83</v>
      </c>
      <c r="K86" s="270" t="n">
        <f aca="false">TblImps[[#This Row],[Real time]]</f>
        <v>45433.1666666667</v>
      </c>
      <c r="L86" s="182"/>
      <c r="M86" s="182"/>
      <c r="N86" s="182"/>
      <c r="O86" s="182"/>
      <c r="P86" s="182"/>
      <c r="Q86" s="182"/>
      <c r="R86" s="182"/>
      <c r="S86" s="69" t="n">
        <f aca="false">SUMIF(TblRezone[[#This Row],[Plains Rezone]:[Water Rezone]],"&gt;0")</f>
        <v>0</v>
      </c>
      <c r="T86" s="33" t="str">
        <f aca="false">IF(SUM(TblRezone[[#This Row],[Plains Rezone]:[Water Rezone]])=0,"Ok","Nope")</f>
        <v>Ok</v>
      </c>
      <c r="U86" s="245"/>
      <c r="V86" s="69" t="n">
        <f aca="false">TblProd[[#This Row],[Platinum]]</f>
        <v>426178</v>
      </c>
      <c r="W86" s="245"/>
      <c r="X86" s="69" t="n">
        <f aca="false">ROUNDUP( (1-MIN(ROUND(facs_rezone_factor*TblRezone[[#This Row],[Facs]],4),facs_rezone_max) + tech_6_4*TblTech[[#This Row],[6-4]] + tech_10_2*TblTech[[#This Row],[10-2]] - IF(TblMagic[[#This Row],[Active Mechanical Genius]]&gt;0,mech_genius_bonus,0) + race_rezone_cost) * TblRezone[[#This Row],[Plat/acre*]],0)</f>
        <v>520</v>
      </c>
      <c r="Y86" s="69" t="n">
        <f aca="false">TblRezone[[#This Row],[Total acres]]*TblRezone[[#This Row],[Plat/acre]]</f>
        <v>0</v>
      </c>
      <c r="Z86" s="245"/>
      <c r="AA86" s="69" t="n">
        <f aca="false">250+0.6*(TblRezone[[#This Row],[Land]]-250)</f>
        <v>520</v>
      </c>
      <c r="AB86" s="245"/>
      <c r="AC86" s="150" t="n">
        <f aca="false">TblConstr[[#This Row],[Facs DB]]</f>
        <v>0</v>
      </c>
    </row>
    <row r="87" customFormat="false" ht="12.75" hidden="false" customHeight="false" outlineLevel="0" collapsed="false">
      <c r="A87" s="181" t="n">
        <f aca="false">TblConstr[[#This Row],[Land]]</f>
        <v>700</v>
      </c>
      <c r="B87" s="246" t="n">
        <f aca="false">TblConstr[[#This Row],[Plain]]</f>
        <v>0</v>
      </c>
      <c r="C87" s="193" t="n">
        <f aca="false">TblConstr[[#This Row],[Forest]]</f>
        <v>0</v>
      </c>
      <c r="D87" s="200" t="n">
        <f aca="false">TblConstr[[#This Row],[Mountain]]</f>
        <v>0</v>
      </c>
      <c r="E87" s="201" t="n">
        <f aca="false">TblConstr[[#This Row],[Hill]]</f>
        <v>0</v>
      </c>
      <c r="F87" s="202" t="n">
        <f aca="false">TblConstr[[#This Row],[Swamp]]</f>
        <v>0</v>
      </c>
      <c r="G87" s="197" t="n">
        <f aca="false">TblConstr[[#This Row],[Cavern]]</f>
        <v>0</v>
      </c>
      <c r="H87" s="198" t="n">
        <f aca="false">TblConstr[[#This Row],[Water]]</f>
        <v>0</v>
      </c>
      <c r="I87" s="245"/>
      <c r="J87" s="269" t="n">
        <f aca="false">J86+1</f>
        <v>84</v>
      </c>
      <c r="K87" s="270" t="n">
        <f aca="false">TblImps[[#This Row],[Real time]]</f>
        <v>45433.2083333333</v>
      </c>
      <c r="L87" s="182"/>
      <c r="M87" s="182"/>
      <c r="N87" s="182"/>
      <c r="O87" s="182"/>
      <c r="P87" s="182"/>
      <c r="Q87" s="182"/>
      <c r="R87" s="182"/>
      <c r="S87" s="69" t="n">
        <f aca="false">SUMIF(TblRezone[[#This Row],[Plains Rezone]:[Water Rezone]],"&gt;0")</f>
        <v>0</v>
      </c>
      <c r="T87" s="33" t="str">
        <f aca="false">IF(SUM(TblRezone[[#This Row],[Plains Rezone]:[Water Rezone]])=0,"Ok","Nope")</f>
        <v>Ok</v>
      </c>
      <c r="U87" s="245"/>
      <c r="V87" s="69" t="n">
        <f aca="false">TblProd[[#This Row],[Platinum]]</f>
        <v>470622</v>
      </c>
      <c r="W87" s="245"/>
      <c r="X87" s="69" t="n">
        <f aca="false">ROUNDUP( (1-MIN(ROUND(facs_rezone_factor*TblRezone[[#This Row],[Facs]],4),facs_rezone_max) + tech_6_4*TblTech[[#This Row],[6-4]] + tech_10_2*TblTech[[#This Row],[10-2]] - IF(TblMagic[[#This Row],[Active Mechanical Genius]]&gt;0,mech_genius_bonus,0) + race_rezone_cost) * TblRezone[[#This Row],[Plat/acre*]],0)</f>
        <v>520</v>
      </c>
      <c r="Y87" s="69" t="n">
        <f aca="false">TblRezone[[#This Row],[Total acres]]*TblRezone[[#This Row],[Plat/acre]]</f>
        <v>0</v>
      </c>
      <c r="Z87" s="245"/>
      <c r="AA87" s="69" t="n">
        <f aca="false">250+0.6*(TblRezone[[#This Row],[Land]]-250)</f>
        <v>520</v>
      </c>
      <c r="AB87" s="245"/>
      <c r="AC87" s="150" t="n">
        <f aca="false">TblConstr[[#This Row],[Facs DB]]</f>
        <v>0</v>
      </c>
    </row>
    <row r="88" customFormat="false" ht="12.75" hidden="false" customHeight="false" outlineLevel="0" collapsed="false">
      <c r="A88" s="181" t="n">
        <f aca="false">TblConstr[[#This Row],[Land]]</f>
        <v>700</v>
      </c>
      <c r="B88" s="246" t="n">
        <f aca="false">TblConstr[[#This Row],[Plain]]</f>
        <v>0</v>
      </c>
      <c r="C88" s="193" t="n">
        <f aca="false">TblConstr[[#This Row],[Forest]]</f>
        <v>0</v>
      </c>
      <c r="D88" s="200" t="n">
        <f aca="false">TblConstr[[#This Row],[Mountain]]</f>
        <v>0</v>
      </c>
      <c r="E88" s="201" t="n">
        <f aca="false">TblConstr[[#This Row],[Hill]]</f>
        <v>0</v>
      </c>
      <c r="F88" s="202" t="n">
        <f aca="false">TblConstr[[#This Row],[Swamp]]</f>
        <v>0</v>
      </c>
      <c r="G88" s="197" t="n">
        <f aca="false">TblConstr[[#This Row],[Cavern]]</f>
        <v>0</v>
      </c>
      <c r="H88" s="198" t="n">
        <f aca="false">TblConstr[[#This Row],[Water]]</f>
        <v>0</v>
      </c>
      <c r="I88" s="245"/>
      <c r="J88" s="269" t="n">
        <f aca="false">J87+1</f>
        <v>85</v>
      </c>
      <c r="K88" s="270" t="n">
        <f aca="false">TblImps[[#This Row],[Real time]]</f>
        <v>45433.25</v>
      </c>
      <c r="L88" s="152"/>
      <c r="M88" s="152"/>
      <c r="N88" s="182"/>
      <c r="O88" s="182"/>
      <c r="P88" s="182"/>
      <c r="Q88" s="182"/>
      <c r="R88" s="152"/>
      <c r="S88" s="69" t="n">
        <f aca="false">SUMIF(TblRezone[[#This Row],[Plains Rezone]:[Water Rezone]],"&gt;0")</f>
        <v>0</v>
      </c>
      <c r="T88" s="33" t="str">
        <f aca="false">IF(SUM(TblRezone[[#This Row],[Plains Rezone]:[Water Rezone]])=0,"Ok","Nope")</f>
        <v>Ok</v>
      </c>
      <c r="U88" s="245"/>
      <c r="V88" s="69" t="n">
        <f aca="false">TblProd[[#This Row],[Platinum]]</f>
        <v>514796</v>
      </c>
      <c r="W88" s="245"/>
      <c r="X88" s="69" t="n">
        <f aca="false">ROUNDUP( (1-MIN(ROUND(facs_rezone_factor*TblRezone[[#This Row],[Facs]],4),facs_rezone_max) + tech_6_4*TblTech[[#This Row],[6-4]] + tech_10_2*TblTech[[#This Row],[10-2]] - IF(TblMagic[[#This Row],[Active Mechanical Genius]]&gt;0,mech_genius_bonus,0) + race_rezone_cost) * TblRezone[[#This Row],[Plat/acre*]],0)</f>
        <v>520</v>
      </c>
      <c r="Y88" s="69" t="n">
        <f aca="false">TblRezone[[#This Row],[Total acres]]*TblRezone[[#This Row],[Plat/acre]]</f>
        <v>0</v>
      </c>
      <c r="Z88" s="245"/>
      <c r="AA88" s="69" t="n">
        <f aca="false">250+0.6*(TblRezone[[#This Row],[Land]]-250)</f>
        <v>520</v>
      </c>
      <c r="AB88" s="245"/>
      <c r="AC88" s="150" t="n">
        <f aca="false">TblConstr[[#This Row],[Facs DB]]</f>
        <v>0</v>
      </c>
    </row>
    <row r="89" customFormat="false" ht="12.75" hidden="false" customHeight="false" outlineLevel="0" collapsed="false">
      <c r="A89" s="181" t="n">
        <f aca="false">TblConstr[[#This Row],[Land]]</f>
        <v>700</v>
      </c>
      <c r="B89" s="246" t="n">
        <f aca="false">TblConstr[[#This Row],[Plain]]</f>
        <v>0</v>
      </c>
      <c r="C89" s="193" t="n">
        <f aca="false">TblConstr[[#This Row],[Forest]]</f>
        <v>0</v>
      </c>
      <c r="D89" s="200" t="n">
        <f aca="false">TblConstr[[#This Row],[Mountain]]</f>
        <v>0</v>
      </c>
      <c r="E89" s="201" t="n">
        <f aca="false">TblConstr[[#This Row],[Hill]]</f>
        <v>0</v>
      </c>
      <c r="F89" s="202" t="n">
        <f aca="false">TblConstr[[#This Row],[Swamp]]</f>
        <v>0</v>
      </c>
      <c r="G89" s="197" t="n">
        <f aca="false">TblConstr[[#This Row],[Cavern]]</f>
        <v>0</v>
      </c>
      <c r="H89" s="198" t="n">
        <f aca="false">TblConstr[[#This Row],[Water]]</f>
        <v>0</v>
      </c>
      <c r="I89" s="245"/>
      <c r="J89" s="269" t="n">
        <f aca="false">J88+1</f>
        <v>86</v>
      </c>
      <c r="K89" s="270" t="n">
        <f aca="false">TblImps[[#This Row],[Real time]]</f>
        <v>45433.2916666667</v>
      </c>
      <c r="L89" s="182"/>
      <c r="M89" s="182"/>
      <c r="N89" s="182"/>
      <c r="O89" s="182"/>
      <c r="P89" s="182"/>
      <c r="Q89" s="182"/>
      <c r="R89" s="182"/>
      <c r="S89" s="69" t="n">
        <f aca="false">SUMIF(TblRezone[[#This Row],[Plains Rezone]:[Water Rezone]],"&gt;0")</f>
        <v>0</v>
      </c>
      <c r="T89" s="33" t="str">
        <f aca="false">IF(SUM(TblRezone[[#This Row],[Plains Rezone]:[Water Rezone]])=0,"Ok","Nope")</f>
        <v>Ok</v>
      </c>
      <c r="U89" s="245"/>
      <c r="V89" s="69" t="n">
        <f aca="false">TblProd[[#This Row],[Platinum]]</f>
        <v>558702</v>
      </c>
      <c r="W89" s="245"/>
      <c r="X89" s="69" t="n">
        <f aca="false">ROUNDUP( (1-MIN(ROUND(facs_rezone_factor*TblRezone[[#This Row],[Facs]],4),facs_rezone_max) + tech_6_4*TblTech[[#This Row],[6-4]] + tech_10_2*TblTech[[#This Row],[10-2]] - IF(TblMagic[[#This Row],[Active Mechanical Genius]]&gt;0,mech_genius_bonus,0) + race_rezone_cost) * TblRezone[[#This Row],[Plat/acre*]],0)</f>
        <v>520</v>
      </c>
      <c r="Y89" s="69" t="n">
        <f aca="false">TblRezone[[#This Row],[Total acres]]*TblRezone[[#This Row],[Plat/acre]]</f>
        <v>0</v>
      </c>
      <c r="Z89" s="245"/>
      <c r="AA89" s="69" t="n">
        <f aca="false">250+0.6*(TblRezone[[#This Row],[Land]]-250)</f>
        <v>520</v>
      </c>
      <c r="AB89" s="245"/>
      <c r="AC89" s="150" t="n">
        <f aca="false">TblConstr[[#This Row],[Facs DB]]</f>
        <v>0</v>
      </c>
    </row>
    <row r="90" customFormat="false" ht="12.75" hidden="false" customHeight="false" outlineLevel="0" collapsed="false">
      <c r="A90" s="181" t="n">
        <f aca="false">TblConstr[[#This Row],[Land]]</f>
        <v>700</v>
      </c>
      <c r="B90" s="246" t="n">
        <f aca="false">TblConstr[[#This Row],[Plain]]</f>
        <v>0</v>
      </c>
      <c r="C90" s="193" t="n">
        <f aca="false">TblConstr[[#This Row],[Forest]]</f>
        <v>0</v>
      </c>
      <c r="D90" s="200" t="n">
        <f aca="false">TblConstr[[#This Row],[Mountain]]</f>
        <v>0</v>
      </c>
      <c r="E90" s="201" t="n">
        <f aca="false">TblConstr[[#This Row],[Hill]]</f>
        <v>0</v>
      </c>
      <c r="F90" s="202" t="n">
        <f aca="false">TblConstr[[#This Row],[Swamp]]</f>
        <v>0</v>
      </c>
      <c r="G90" s="197" t="n">
        <f aca="false">TblConstr[[#This Row],[Cavern]]</f>
        <v>0</v>
      </c>
      <c r="H90" s="198" t="n">
        <f aca="false">TblConstr[[#This Row],[Water]]</f>
        <v>0</v>
      </c>
      <c r="I90" s="245"/>
      <c r="J90" s="269" t="n">
        <f aca="false">J89+1</f>
        <v>87</v>
      </c>
      <c r="K90" s="270" t="n">
        <f aca="false">TblImps[[#This Row],[Real time]]</f>
        <v>45433.3333333333</v>
      </c>
      <c r="L90" s="182"/>
      <c r="M90" s="182"/>
      <c r="N90" s="182"/>
      <c r="O90" s="182"/>
      <c r="P90" s="182"/>
      <c r="Q90" s="182"/>
      <c r="R90" s="182"/>
      <c r="S90" s="69" t="n">
        <f aca="false">SUMIF(TblRezone[[#This Row],[Plains Rezone]:[Water Rezone]],"&gt;0")</f>
        <v>0</v>
      </c>
      <c r="T90" s="33" t="str">
        <f aca="false">IF(SUM(TblRezone[[#This Row],[Plains Rezone]:[Water Rezone]])=0,"Ok","Nope")</f>
        <v>Ok</v>
      </c>
      <c r="U90" s="245"/>
      <c r="V90" s="69" t="n">
        <f aca="false">TblProd[[#This Row],[Platinum]]</f>
        <v>602344</v>
      </c>
      <c r="W90" s="245"/>
      <c r="X90" s="69" t="n">
        <f aca="false">ROUNDUP( (1-MIN(ROUND(facs_rezone_factor*TblRezone[[#This Row],[Facs]],4),facs_rezone_max) + tech_6_4*TblTech[[#This Row],[6-4]] + tech_10_2*TblTech[[#This Row],[10-2]] - IF(TblMagic[[#This Row],[Active Mechanical Genius]]&gt;0,mech_genius_bonus,0) + race_rezone_cost) * TblRezone[[#This Row],[Plat/acre*]],0)</f>
        <v>520</v>
      </c>
      <c r="Y90" s="69" t="n">
        <f aca="false">TblRezone[[#This Row],[Total acres]]*TblRezone[[#This Row],[Plat/acre]]</f>
        <v>0</v>
      </c>
      <c r="Z90" s="245"/>
      <c r="AA90" s="69" t="n">
        <f aca="false">250+0.6*(TblRezone[[#This Row],[Land]]-250)</f>
        <v>520</v>
      </c>
      <c r="AB90" s="245"/>
      <c r="AC90" s="150" t="n">
        <f aca="false">TblConstr[[#This Row],[Facs DB]]</f>
        <v>0</v>
      </c>
    </row>
    <row r="91" customFormat="false" ht="12.75" hidden="false" customHeight="false" outlineLevel="0" collapsed="false">
      <c r="A91" s="181" t="n">
        <f aca="false">TblConstr[[#This Row],[Land]]</f>
        <v>700</v>
      </c>
      <c r="B91" s="246" t="n">
        <f aca="false">TblConstr[[#This Row],[Plain]]</f>
        <v>0</v>
      </c>
      <c r="C91" s="193" t="n">
        <f aca="false">TblConstr[[#This Row],[Forest]]</f>
        <v>0</v>
      </c>
      <c r="D91" s="200" t="n">
        <f aca="false">TblConstr[[#This Row],[Mountain]]</f>
        <v>0</v>
      </c>
      <c r="E91" s="201" t="n">
        <f aca="false">TblConstr[[#This Row],[Hill]]</f>
        <v>0</v>
      </c>
      <c r="F91" s="202" t="n">
        <f aca="false">TblConstr[[#This Row],[Swamp]]</f>
        <v>0</v>
      </c>
      <c r="G91" s="197" t="n">
        <f aca="false">TblConstr[[#This Row],[Cavern]]</f>
        <v>0</v>
      </c>
      <c r="H91" s="198" t="n">
        <f aca="false">TblConstr[[#This Row],[Water]]</f>
        <v>0</v>
      </c>
      <c r="I91" s="245"/>
      <c r="J91" s="269" t="n">
        <f aca="false">J90+1</f>
        <v>88</v>
      </c>
      <c r="K91" s="270" t="n">
        <f aca="false">TblImps[[#This Row],[Real time]]</f>
        <v>45433.375</v>
      </c>
      <c r="L91" s="182"/>
      <c r="M91" s="182"/>
      <c r="N91" s="182"/>
      <c r="O91" s="182"/>
      <c r="P91" s="182"/>
      <c r="Q91" s="182"/>
      <c r="R91" s="182"/>
      <c r="S91" s="69" t="n">
        <f aca="false">SUMIF(TblRezone[[#This Row],[Plains Rezone]:[Water Rezone]],"&gt;0")</f>
        <v>0</v>
      </c>
      <c r="T91" s="33" t="str">
        <f aca="false">IF(SUM(TblRezone[[#This Row],[Plains Rezone]:[Water Rezone]])=0,"Ok","Nope")</f>
        <v>Ok</v>
      </c>
      <c r="U91" s="245"/>
      <c r="V91" s="69" t="n">
        <f aca="false">TblProd[[#This Row],[Platinum]]</f>
        <v>645725</v>
      </c>
      <c r="W91" s="245"/>
      <c r="X91" s="69" t="n">
        <f aca="false">ROUNDUP( (1-MIN(ROUND(facs_rezone_factor*TblRezone[[#This Row],[Facs]],4),facs_rezone_max) + tech_6_4*TblTech[[#This Row],[6-4]] + tech_10_2*TblTech[[#This Row],[10-2]] - IF(TblMagic[[#This Row],[Active Mechanical Genius]]&gt;0,mech_genius_bonus,0) + race_rezone_cost) * TblRezone[[#This Row],[Plat/acre*]],0)</f>
        <v>520</v>
      </c>
      <c r="Y91" s="69" t="n">
        <f aca="false">TblRezone[[#This Row],[Total acres]]*TblRezone[[#This Row],[Plat/acre]]</f>
        <v>0</v>
      </c>
      <c r="Z91" s="245"/>
      <c r="AA91" s="69" t="n">
        <f aca="false">250+0.6*(TblRezone[[#This Row],[Land]]-250)</f>
        <v>520</v>
      </c>
      <c r="AB91" s="245"/>
      <c r="AC91" s="150" t="n">
        <f aca="false">TblConstr[[#This Row],[Facs DB]]</f>
        <v>0</v>
      </c>
    </row>
    <row r="92" customFormat="false" ht="12.75" hidden="false" customHeight="false" outlineLevel="0" collapsed="false">
      <c r="A92" s="181" t="n">
        <f aca="false">TblConstr[[#This Row],[Land]]</f>
        <v>700</v>
      </c>
      <c r="B92" s="246" t="n">
        <f aca="false">TblConstr[[#This Row],[Plain]]</f>
        <v>0</v>
      </c>
      <c r="C92" s="193" t="n">
        <f aca="false">TblConstr[[#This Row],[Forest]]</f>
        <v>0</v>
      </c>
      <c r="D92" s="200" t="n">
        <f aca="false">TblConstr[[#This Row],[Mountain]]</f>
        <v>0</v>
      </c>
      <c r="E92" s="201" t="n">
        <f aca="false">TblConstr[[#This Row],[Hill]]</f>
        <v>0</v>
      </c>
      <c r="F92" s="202" t="n">
        <f aca="false">TblConstr[[#This Row],[Swamp]]</f>
        <v>0</v>
      </c>
      <c r="G92" s="197" t="n">
        <f aca="false">TblConstr[[#This Row],[Cavern]]</f>
        <v>0</v>
      </c>
      <c r="H92" s="198" t="n">
        <f aca="false">TblConstr[[#This Row],[Water]]</f>
        <v>0</v>
      </c>
      <c r="I92" s="245"/>
      <c r="J92" s="269" t="n">
        <f aca="false">J91+1</f>
        <v>89</v>
      </c>
      <c r="K92" s="270" t="n">
        <f aca="false">TblImps[[#This Row],[Real time]]</f>
        <v>45433.4166666667</v>
      </c>
      <c r="L92" s="182"/>
      <c r="M92" s="182"/>
      <c r="N92" s="182"/>
      <c r="O92" s="182"/>
      <c r="P92" s="182"/>
      <c r="Q92" s="182"/>
      <c r="R92" s="182"/>
      <c r="S92" s="69" t="n">
        <f aca="false">SUMIF(TblRezone[[#This Row],[Plains Rezone]:[Water Rezone]],"&gt;0")</f>
        <v>0</v>
      </c>
      <c r="T92" s="33" t="str">
        <f aca="false">IF(SUM(TblRezone[[#This Row],[Plains Rezone]:[Water Rezone]])=0,"Ok","Nope")</f>
        <v>Ok</v>
      </c>
      <c r="U92" s="245"/>
      <c r="V92" s="69" t="n">
        <f aca="false">TblProd[[#This Row],[Platinum]]</f>
        <v>688847</v>
      </c>
      <c r="W92" s="245"/>
      <c r="X92" s="69" t="n">
        <f aca="false">ROUNDUP( (1-MIN(ROUND(facs_rezone_factor*TblRezone[[#This Row],[Facs]],4),facs_rezone_max) + tech_6_4*TblTech[[#This Row],[6-4]] + tech_10_2*TblTech[[#This Row],[10-2]] - IF(TblMagic[[#This Row],[Active Mechanical Genius]]&gt;0,mech_genius_bonus,0) + race_rezone_cost) * TblRezone[[#This Row],[Plat/acre*]],0)</f>
        <v>520</v>
      </c>
      <c r="Y92" s="69" t="n">
        <f aca="false">TblRezone[[#This Row],[Total acres]]*TblRezone[[#This Row],[Plat/acre]]</f>
        <v>0</v>
      </c>
      <c r="Z92" s="245"/>
      <c r="AA92" s="69" t="n">
        <f aca="false">250+0.6*(TblRezone[[#This Row],[Land]]-250)</f>
        <v>520</v>
      </c>
      <c r="AB92" s="245"/>
      <c r="AC92" s="150" t="n">
        <f aca="false">TblConstr[[#This Row],[Facs DB]]</f>
        <v>0</v>
      </c>
    </row>
    <row r="93" customFormat="false" ht="12.75" hidden="false" customHeight="false" outlineLevel="0" collapsed="false">
      <c r="A93" s="181" t="n">
        <f aca="false">TblConstr[[#This Row],[Land]]</f>
        <v>700</v>
      </c>
      <c r="B93" s="246" t="n">
        <f aca="false">TblConstr[[#This Row],[Plain]]</f>
        <v>0</v>
      </c>
      <c r="C93" s="193" t="n">
        <f aca="false">TblConstr[[#This Row],[Forest]]</f>
        <v>0</v>
      </c>
      <c r="D93" s="200" t="n">
        <f aca="false">TblConstr[[#This Row],[Mountain]]</f>
        <v>0</v>
      </c>
      <c r="E93" s="201" t="n">
        <f aca="false">TblConstr[[#This Row],[Hill]]</f>
        <v>0</v>
      </c>
      <c r="F93" s="202" t="n">
        <f aca="false">TblConstr[[#This Row],[Swamp]]</f>
        <v>0</v>
      </c>
      <c r="G93" s="197" t="n">
        <f aca="false">TblConstr[[#This Row],[Cavern]]</f>
        <v>0</v>
      </c>
      <c r="H93" s="198" t="n">
        <f aca="false">TblConstr[[#This Row],[Water]]</f>
        <v>0</v>
      </c>
      <c r="I93" s="245"/>
      <c r="J93" s="269" t="n">
        <f aca="false">J92+1</f>
        <v>90</v>
      </c>
      <c r="K93" s="270" t="n">
        <f aca="false">TblImps[[#This Row],[Real time]]</f>
        <v>45433.4583333333</v>
      </c>
      <c r="L93" s="182"/>
      <c r="M93" s="182"/>
      <c r="N93" s="182"/>
      <c r="O93" s="182"/>
      <c r="P93" s="182"/>
      <c r="Q93" s="182"/>
      <c r="R93" s="182"/>
      <c r="S93" s="69" t="n">
        <f aca="false">SUMIF(TblRezone[[#This Row],[Plains Rezone]:[Water Rezone]],"&gt;0")</f>
        <v>0</v>
      </c>
      <c r="T93" s="33" t="str">
        <f aca="false">IF(SUM(TblRezone[[#This Row],[Plains Rezone]:[Water Rezone]])=0,"Ok","Nope")</f>
        <v>Ok</v>
      </c>
      <c r="U93" s="245"/>
      <c r="V93" s="69" t="n">
        <f aca="false">TblProd[[#This Row],[Platinum]]</f>
        <v>731714</v>
      </c>
      <c r="W93" s="245"/>
      <c r="X93" s="69" t="n">
        <f aca="false">ROUNDUP( (1-MIN(ROUND(facs_rezone_factor*TblRezone[[#This Row],[Facs]],4),facs_rezone_max) + tech_6_4*TblTech[[#This Row],[6-4]] + tech_10_2*TblTech[[#This Row],[10-2]] - IF(TblMagic[[#This Row],[Active Mechanical Genius]]&gt;0,mech_genius_bonus,0) + race_rezone_cost) * TblRezone[[#This Row],[Plat/acre*]],0)</f>
        <v>520</v>
      </c>
      <c r="Y93" s="69" t="n">
        <f aca="false">TblRezone[[#This Row],[Total acres]]*TblRezone[[#This Row],[Plat/acre]]</f>
        <v>0</v>
      </c>
      <c r="Z93" s="245"/>
      <c r="AA93" s="69" t="n">
        <f aca="false">250+0.6*(TblRezone[[#This Row],[Land]]-250)</f>
        <v>520</v>
      </c>
      <c r="AB93" s="245"/>
      <c r="AC93" s="150" t="n">
        <f aca="false">TblConstr[[#This Row],[Facs DB]]</f>
        <v>0</v>
      </c>
    </row>
    <row r="94" customFormat="false" ht="12.75" hidden="false" customHeight="false" outlineLevel="0" collapsed="false">
      <c r="A94" s="181" t="n">
        <f aca="false">TblConstr[[#This Row],[Land]]</f>
        <v>700</v>
      </c>
      <c r="B94" s="246" t="n">
        <f aca="false">TblConstr[[#This Row],[Plain]]</f>
        <v>0</v>
      </c>
      <c r="C94" s="193" t="n">
        <f aca="false">TblConstr[[#This Row],[Forest]]</f>
        <v>0</v>
      </c>
      <c r="D94" s="200" t="n">
        <f aca="false">TblConstr[[#This Row],[Mountain]]</f>
        <v>0</v>
      </c>
      <c r="E94" s="201" t="n">
        <f aca="false">TblConstr[[#This Row],[Hill]]</f>
        <v>0</v>
      </c>
      <c r="F94" s="202" t="n">
        <f aca="false">TblConstr[[#This Row],[Swamp]]</f>
        <v>0</v>
      </c>
      <c r="G94" s="197" t="n">
        <f aca="false">TblConstr[[#This Row],[Cavern]]</f>
        <v>0</v>
      </c>
      <c r="H94" s="198" t="n">
        <f aca="false">TblConstr[[#This Row],[Water]]</f>
        <v>0</v>
      </c>
      <c r="I94" s="245"/>
      <c r="J94" s="269" t="n">
        <f aca="false">J93+1</f>
        <v>91</v>
      </c>
      <c r="K94" s="270" t="n">
        <f aca="false">TblImps[[#This Row],[Real time]]</f>
        <v>45433.5</v>
      </c>
      <c r="L94" s="182"/>
      <c r="M94" s="182"/>
      <c r="N94" s="182"/>
      <c r="O94" s="182"/>
      <c r="P94" s="182"/>
      <c r="Q94" s="182"/>
      <c r="R94" s="182"/>
      <c r="S94" s="69" t="n">
        <f aca="false">SUMIF(TblRezone[[#This Row],[Plains Rezone]:[Water Rezone]],"&gt;0")</f>
        <v>0</v>
      </c>
      <c r="T94" s="33" t="str">
        <f aca="false">IF(SUM(TblRezone[[#This Row],[Plains Rezone]:[Water Rezone]])=0,"Ok","Nope")</f>
        <v>Ok</v>
      </c>
      <c r="U94" s="245"/>
      <c r="V94" s="69" t="n">
        <f aca="false">TblProd[[#This Row],[Platinum]]</f>
        <v>774328</v>
      </c>
      <c r="W94" s="245"/>
      <c r="X94" s="69" t="n">
        <f aca="false">ROUNDUP( (1-MIN(ROUND(facs_rezone_factor*TblRezone[[#This Row],[Facs]],4),facs_rezone_max) + tech_6_4*TblTech[[#This Row],[6-4]] + tech_10_2*TblTech[[#This Row],[10-2]] - IF(TblMagic[[#This Row],[Active Mechanical Genius]]&gt;0,mech_genius_bonus,0) + race_rezone_cost) * TblRezone[[#This Row],[Plat/acre*]],0)</f>
        <v>520</v>
      </c>
      <c r="Y94" s="69" t="n">
        <f aca="false">TblRezone[[#This Row],[Total acres]]*TblRezone[[#This Row],[Plat/acre]]</f>
        <v>0</v>
      </c>
      <c r="Z94" s="245"/>
      <c r="AA94" s="69" t="n">
        <f aca="false">250+0.6*(TblRezone[[#This Row],[Land]]-250)</f>
        <v>520</v>
      </c>
      <c r="AB94" s="245"/>
      <c r="AC94" s="150" t="n">
        <f aca="false">TblConstr[[#This Row],[Facs DB]]</f>
        <v>0</v>
      </c>
    </row>
    <row r="95" customFormat="false" ht="12.75" hidden="false" customHeight="false" outlineLevel="0" collapsed="false">
      <c r="A95" s="181" t="n">
        <f aca="false">TblConstr[[#This Row],[Land]]</f>
        <v>700</v>
      </c>
      <c r="B95" s="246" t="n">
        <f aca="false">TblConstr[[#This Row],[Plain]]</f>
        <v>0</v>
      </c>
      <c r="C95" s="193" t="n">
        <f aca="false">TblConstr[[#This Row],[Forest]]</f>
        <v>0</v>
      </c>
      <c r="D95" s="200" t="n">
        <f aca="false">TblConstr[[#This Row],[Mountain]]</f>
        <v>0</v>
      </c>
      <c r="E95" s="201" t="n">
        <f aca="false">TblConstr[[#This Row],[Hill]]</f>
        <v>0</v>
      </c>
      <c r="F95" s="202" t="n">
        <f aca="false">TblConstr[[#This Row],[Swamp]]</f>
        <v>0</v>
      </c>
      <c r="G95" s="197" t="n">
        <f aca="false">TblConstr[[#This Row],[Cavern]]</f>
        <v>0</v>
      </c>
      <c r="H95" s="198" t="n">
        <f aca="false">TblConstr[[#This Row],[Water]]</f>
        <v>0</v>
      </c>
      <c r="I95" s="245"/>
      <c r="J95" s="269" t="n">
        <f aca="false">J94+1</f>
        <v>92</v>
      </c>
      <c r="K95" s="270" t="n">
        <f aca="false">TblImps[[#This Row],[Real time]]</f>
        <v>45433.5416666667</v>
      </c>
      <c r="L95" s="182"/>
      <c r="M95" s="182"/>
      <c r="N95" s="182"/>
      <c r="O95" s="182"/>
      <c r="P95" s="182"/>
      <c r="Q95" s="182"/>
      <c r="R95" s="182"/>
      <c r="S95" s="69" t="n">
        <f aca="false">SUMIF(TblRezone[[#This Row],[Plains Rezone]:[Water Rezone]],"&gt;0")</f>
        <v>0</v>
      </c>
      <c r="T95" s="33" t="str">
        <f aca="false">IF(SUM(TblRezone[[#This Row],[Plains Rezone]:[Water Rezone]])=0,"Ok","Nope")</f>
        <v>Ok</v>
      </c>
      <c r="U95" s="245"/>
      <c r="V95" s="69" t="n">
        <f aca="false">TblProd[[#This Row],[Platinum]]</f>
        <v>816693</v>
      </c>
      <c r="W95" s="245"/>
      <c r="X95" s="69" t="n">
        <f aca="false">ROUNDUP( (1-MIN(ROUND(facs_rezone_factor*TblRezone[[#This Row],[Facs]],4),facs_rezone_max) + tech_6_4*TblTech[[#This Row],[6-4]] + tech_10_2*TblTech[[#This Row],[10-2]] - IF(TblMagic[[#This Row],[Active Mechanical Genius]]&gt;0,mech_genius_bonus,0) + race_rezone_cost) * TblRezone[[#This Row],[Plat/acre*]],0)</f>
        <v>520</v>
      </c>
      <c r="Y95" s="69" t="n">
        <f aca="false">TblRezone[[#This Row],[Total acres]]*TblRezone[[#This Row],[Plat/acre]]</f>
        <v>0</v>
      </c>
      <c r="Z95" s="245"/>
      <c r="AA95" s="69" t="n">
        <f aca="false">250+0.6*(TblRezone[[#This Row],[Land]]-250)</f>
        <v>520</v>
      </c>
      <c r="AB95" s="245"/>
      <c r="AC95" s="150" t="n">
        <f aca="false">TblConstr[[#This Row],[Facs DB]]</f>
        <v>0</v>
      </c>
    </row>
    <row r="96" customFormat="false" ht="12.75" hidden="false" customHeight="false" outlineLevel="0" collapsed="false">
      <c r="A96" s="181" t="n">
        <f aca="false">TblConstr[[#This Row],[Land]]</f>
        <v>700</v>
      </c>
      <c r="B96" s="246" t="n">
        <f aca="false">TblConstr[[#This Row],[Plain]]</f>
        <v>0</v>
      </c>
      <c r="C96" s="193" t="n">
        <f aca="false">TblConstr[[#This Row],[Forest]]</f>
        <v>0</v>
      </c>
      <c r="D96" s="200" t="n">
        <f aca="false">TblConstr[[#This Row],[Mountain]]</f>
        <v>0</v>
      </c>
      <c r="E96" s="201" t="n">
        <f aca="false">TblConstr[[#This Row],[Hill]]</f>
        <v>0</v>
      </c>
      <c r="F96" s="202" t="n">
        <f aca="false">TblConstr[[#This Row],[Swamp]]</f>
        <v>0</v>
      </c>
      <c r="G96" s="197" t="n">
        <f aca="false">TblConstr[[#This Row],[Cavern]]</f>
        <v>0</v>
      </c>
      <c r="H96" s="198" t="n">
        <f aca="false">TblConstr[[#This Row],[Water]]</f>
        <v>0</v>
      </c>
      <c r="I96" s="245"/>
      <c r="J96" s="269" t="n">
        <f aca="false">J95+1</f>
        <v>93</v>
      </c>
      <c r="K96" s="270" t="n">
        <f aca="false">TblImps[[#This Row],[Real time]]</f>
        <v>45433.5833333333</v>
      </c>
      <c r="L96" s="182"/>
      <c r="M96" s="182"/>
      <c r="N96" s="182"/>
      <c r="O96" s="182"/>
      <c r="P96" s="182"/>
      <c r="Q96" s="182"/>
      <c r="R96" s="182"/>
      <c r="S96" s="69" t="n">
        <f aca="false">SUMIF(TblRezone[[#This Row],[Plains Rezone]:[Water Rezone]],"&gt;0")</f>
        <v>0</v>
      </c>
      <c r="T96" s="33" t="str">
        <f aca="false">IF(SUM(TblRezone[[#This Row],[Plains Rezone]:[Water Rezone]])=0,"Ok","Nope")</f>
        <v>Ok</v>
      </c>
      <c r="U96" s="245"/>
      <c r="V96" s="69" t="n">
        <f aca="false">TblProd[[#This Row],[Platinum]]</f>
        <v>858808</v>
      </c>
      <c r="W96" s="245"/>
      <c r="X96" s="69" t="n">
        <f aca="false">ROUNDUP( (1-MIN(ROUND(facs_rezone_factor*TblRezone[[#This Row],[Facs]],4),facs_rezone_max) + tech_6_4*TblTech[[#This Row],[6-4]] + tech_10_2*TblTech[[#This Row],[10-2]] - IF(TblMagic[[#This Row],[Active Mechanical Genius]]&gt;0,mech_genius_bonus,0) + race_rezone_cost) * TblRezone[[#This Row],[Plat/acre*]],0)</f>
        <v>520</v>
      </c>
      <c r="Y96" s="69" t="n">
        <f aca="false">TblRezone[[#This Row],[Total acres]]*TblRezone[[#This Row],[Plat/acre]]</f>
        <v>0</v>
      </c>
      <c r="Z96" s="245"/>
      <c r="AA96" s="69" t="n">
        <f aca="false">250+0.6*(TblRezone[[#This Row],[Land]]-250)</f>
        <v>520</v>
      </c>
      <c r="AB96" s="245"/>
      <c r="AC96" s="150" t="n">
        <f aca="false">TblConstr[[#This Row],[Facs DB]]</f>
        <v>0</v>
      </c>
    </row>
    <row r="97" customFormat="false" ht="12.75" hidden="false" customHeight="false" outlineLevel="0" collapsed="false">
      <c r="A97" s="181" t="n">
        <f aca="false">TblConstr[[#This Row],[Land]]</f>
        <v>700</v>
      </c>
      <c r="B97" s="246" t="n">
        <f aca="false">TblConstr[[#This Row],[Plain]]</f>
        <v>0</v>
      </c>
      <c r="C97" s="193" t="n">
        <f aca="false">TblConstr[[#This Row],[Forest]]</f>
        <v>0</v>
      </c>
      <c r="D97" s="200" t="n">
        <f aca="false">TblConstr[[#This Row],[Mountain]]</f>
        <v>0</v>
      </c>
      <c r="E97" s="201" t="n">
        <f aca="false">TblConstr[[#This Row],[Hill]]</f>
        <v>0</v>
      </c>
      <c r="F97" s="202" t="n">
        <f aca="false">TblConstr[[#This Row],[Swamp]]</f>
        <v>0</v>
      </c>
      <c r="G97" s="197" t="n">
        <f aca="false">TblConstr[[#This Row],[Cavern]]</f>
        <v>0</v>
      </c>
      <c r="H97" s="198" t="n">
        <f aca="false">TblConstr[[#This Row],[Water]]</f>
        <v>0</v>
      </c>
      <c r="I97" s="245"/>
      <c r="J97" s="269" t="n">
        <f aca="false">J96+1</f>
        <v>94</v>
      </c>
      <c r="K97" s="270" t="n">
        <f aca="false">TblImps[[#This Row],[Real time]]</f>
        <v>45433.625</v>
      </c>
      <c r="L97" s="182"/>
      <c r="M97" s="182"/>
      <c r="N97" s="182"/>
      <c r="O97" s="182"/>
      <c r="P97" s="182"/>
      <c r="Q97" s="182"/>
      <c r="R97" s="182"/>
      <c r="S97" s="69" t="n">
        <f aca="false">SUMIF(TblRezone[[#This Row],[Plains Rezone]:[Water Rezone]],"&gt;0")</f>
        <v>0</v>
      </c>
      <c r="T97" s="33" t="str">
        <f aca="false">IF(SUM(TblRezone[[#This Row],[Plains Rezone]:[Water Rezone]])=0,"Ok","Nope")</f>
        <v>Ok</v>
      </c>
      <c r="U97" s="245"/>
      <c r="V97" s="69" t="n">
        <f aca="false">TblProd[[#This Row],[Platinum]]</f>
        <v>900677</v>
      </c>
      <c r="W97" s="245"/>
      <c r="X97" s="69" t="n">
        <f aca="false">ROUNDUP( (1-MIN(ROUND(facs_rezone_factor*TblRezone[[#This Row],[Facs]],4),facs_rezone_max) + tech_6_4*TblTech[[#This Row],[6-4]] + tech_10_2*TblTech[[#This Row],[10-2]] - IF(TblMagic[[#This Row],[Active Mechanical Genius]]&gt;0,mech_genius_bonus,0) + race_rezone_cost) * TblRezone[[#This Row],[Plat/acre*]],0)</f>
        <v>520</v>
      </c>
      <c r="Y97" s="69" t="n">
        <f aca="false">TblRezone[[#This Row],[Total acres]]*TblRezone[[#This Row],[Plat/acre]]</f>
        <v>0</v>
      </c>
      <c r="Z97" s="245"/>
      <c r="AA97" s="69" t="n">
        <f aca="false">250+0.6*(TblRezone[[#This Row],[Land]]-250)</f>
        <v>520</v>
      </c>
      <c r="AB97" s="245"/>
      <c r="AC97" s="150" t="n">
        <f aca="false">TblConstr[[#This Row],[Facs DB]]</f>
        <v>0</v>
      </c>
    </row>
    <row r="98" customFormat="false" ht="12.75" hidden="false" customHeight="false" outlineLevel="0" collapsed="false">
      <c r="A98" s="181" t="n">
        <f aca="false">TblConstr[[#This Row],[Land]]</f>
        <v>700</v>
      </c>
      <c r="B98" s="246" t="n">
        <f aca="false">TblConstr[[#This Row],[Plain]]</f>
        <v>0</v>
      </c>
      <c r="C98" s="193" t="n">
        <f aca="false">TblConstr[[#This Row],[Forest]]</f>
        <v>0</v>
      </c>
      <c r="D98" s="200" t="n">
        <f aca="false">TblConstr[[#This Row],[Mountain]]</f>
        <v>0</v>
      </c>
      <c r="E98" s="201" t="n">
        <f aca="false">TblConstr[[#This Row],[Hill]]</f>
        <v>0</v>
      </c>
      <c r="F98" s="202" t="n">
        <f aca="false">TblConstr[[#This Row],[Swamp]]</f>
        <v>0</v>
      </c>
      <c r="G98" s="197" t="n">
        <f aca="false">TblConstr[[#This Row],[Cavern]]</f>
        <v>0</v>
      </c>
      <c r="H98" s="198" t="n">
        <f aca="false">TblConstr[[#This Row],[Water]]</f>
        <v>0</v>
      </c>
      <c r="I98" s="245"/>
      <c r="J98" s="269" t="n">
        <f aca="false">J97+1</f>
        <v>95</v>
      </c>
      <c r="K98" s="270" t="n">
        <f aca="false">TblImps[[#This Row],[Real time]]</f>
        <v>45433.6666666667</v>
      </c>
      <c r="L98" s="182"/>
      <c r="M98" s="182"/>
      <c r="N98" s="182"/>
      <c r="O98" s="182"/>
      <c r="P98" s="182"/>
      <c r="Q98" s="182"/>
      <c r="R98" s="182"/>
      <c r="S98" s="69" t="n">
        <f aca="false">SUMIF(TblRezone[[#This Row],[Plains Rezone]:[Water Rezone]],"&gt;0")</f>
        <v>0</v>
      </c>
      <c r="T98" s="33" t="str">
        <f aca="false">IF(SUM(TblRezone[[#This Row],[Plains Rezone]:[Water Rezone]])=0,"Ok","Nope")</f>
        <v>Ok</v>
      </c>
      <c r="U98" s="245"/>
      <c r="V98" s="69" t="n">
        <f aca="false">TblProd[[#This Row],[Platinum]]</f>
        <v>942302</v>
      </c>
      <c r="W98" s="245"/>
      <c r="X98" s="69" t="n">
        <f aca="false">ROUNDUP( (1-MIN(ROUND(facs_rezone_factor*TblRezone[[#This Row],[Facs]],4),facs_rezone_max) + tech_6_4*TblTech[[#This Row],[6-4]] + tech_10_2*TblTech[[#This Row],[10-2]] - IF(TblMagic[[#This Row],[Active Mechanical Genius]]&gt;0,mech_genius_bonus,0) + race_rezone_cost) * TblRezone[[#This Row],[Plat/acre*]],0)</f>
        <v>520</v>
      </c>
      <c r="Y98" s="69" t="n">
        <f aca="false">TblRezone[[#This Row],[Total acres]]*TblRezone[[#This Row],[Plat/acre]]</f>
        <v>0</v>
      </c>
      <c r="Z98" s="245"/>
      <c r="AA98" s="69" t="n">
        <f aca="false">250+0.6*(TblRezone[[#This Row],[Land]]-250)</f>
        <v>520</v>
      </c>
      <c r="AB98" s="245"/>
      <c r="AC98" s="150" t="n">
        <f aca="false">TblConstr[[#This Row],[Facs DB]]</f>
        <v>0</v>
      </c>
    </row>
    <row r="99" customFormat="false" ht="12.75" hidden="false" customHeight="false" outlineLevel="0" collapsed="false">
      <c r="A99" s="181" t="n">
        <f aca="false">TblConstr[[#This Row],[Land]]</f>
        <v>700</v>
      </c>
      <c r="B99" s="246" t="n">
        <f aca="false">TblConstr[[#This Row],[Plain]]</f>
        <v>0</v>
      </c>
      <c r="C99" s="193" t="n">
        <f aca="false">TblConstr[[#This Row],[Forest]]</f>
        <v>0</v>
      </c>
      <c r="D99" s="200" t="n">
        <f aca="false">TblConstr[[#This Row],[Mountain]]</f>
        <v>0</v>
      </c>
      <c r="E99" s="201" t="n">
        <f aca="false">TblConstr[[#This Row],[Hill]]</f>
        <v>0</v>
      </c>
      <c r="F99" s="202" t="n">
        <f aca="false">TblConstr[[#This Row],[Swamp]]</f>
        <v>0</v>
      </c>
      <c r="G99" s="197" t="n">
        <f aca="false">TblConstr[[#This Row],[Cavern]]</f>
        <v>0</v>
      </c>
      <c r="H99" s="198" t="n">
        <f aca="false">TblConstr[[#This Row],[Water]]</f>
        <v>0</v>
      </c>
      <c r="I99" s="245"/>
      <c r="J99" s="269" t="n">
        <f aca="false">J98+1</f>
        <v>96</v>
      </c>
      <c r="K99" s="270" t="n">
        <f aca="false">TblImps[[#This Row],[Real time]]</f>
        <v>45433.7083333333</v>
      </c>
      <c r="L99" s="182"/>
      <c r="M99" s="182"/>
      <c r="N99" s="182"/>
      <c r="O99" s="182"/>
      <c r="P99" s="182"/>
      <c r="Q99" s="182"/>
      <c r="R99" s="182"/>
      <c r="S99" s="69" t="n">
        <f aca="false">SUMIF(TblRezone[[#This Row],[Plains Rezone]:[Water Rezone]],"&gt;0")</f>
        <v>0</v>
      </c>
      <c r="T99" s="33" t="str">
        <f aca="false">IF(SUM(TblRezone[[#This Row],[Plains Rezone]:[Water Rezone]])=0,"Ok","Nope")</f>
        <v>Ok</v>
      </c>
      <c r="U99" s="245"/>
      <c r="V99" s="69" t="n">
        <f aca="false">TblProd[[#This Row],[Platinum]]</f>
        <v>983687</v>
      </c>
      <c r="W99" s="245"/>
      <c r="X99" s="69" t="n">
        <f aca="false">ROUNDUP( (1-MIN(ROUND(facs_rezone_factor*TblRezone[[#This Row],[Facs]],4),facs_rezone_max) + tech_6_4*TblTech[[#This Row],[6-4]] + tech_10_2*TblTech[[#This Row],[10-2]] - IF(TblMagic[[#This Row],[Active Mechanical Genius]]&gt;0,mech_genius_bonus,0) + race_rezone_cost) * TblRezone[[#This Row],[Plat/acre*]],0)</f>
        <v>520</v>
      </c>
      <c r="Y99" s="69" t="n">
        <f aca="false">TblRezone[[#This Row],[Total acres]]*TblRezone[[#This Row],[Plat/acre]]</f>
        <v>0</v>
      </c>
      <c r="Z99" s="245"/>
      <c r="AA99" s="69" t="n">
        <f aca="false">250+0.6*(TblRezone[[#This Row],[Land]]-250)</f>
        <v>520</v>
      </c>
      <c r="AB99" s="245"/>
      <c r="AC99" s="150" t="n">
        <f aca="false">TblConstr[[#This Row],[Facs DB]]</f>
        <v>0</v>
      </c>
    </row>
    <row r="100" customFormat="false" ht="12.75" hidden="false" customHeight="false" outlineLevel="0" collapsed="false">
      <c r="A100" s="181" t="n">
        <f aca="false">TblConstr[[#This Row],[Land]]</f>
        <v>700</v>
      </c>
      <c r="B100" s="246" t="n">
        <f aca="false">TblConstr[[#This Row],[Plain]]</f>
        <v>0</v>
      </c>
      <c r="C100" s="193" t="n">
        <f aca="false">TblConstr[[#This Row],[Forest]]</f>
        <v>0</v>
      </c>
      <c r="D100" s="200" t="n">
        <f aca="false">TblConstr[[#This Row],[Mountain]]</f>
        <v>0</v>
      </c>
      <c r="E100" s="201" t="n">
        <f aca="false">TblConstr[[#This Row],[Hill]]</f>
        <v>0</v>
      </c>
      <c r="F100" s="202" t="n">
        <f aca="false">TblConstr[[#This Row],[Swamp]]</f>
        <v>0</v>
      </c>
      <c r="G100" s="197" t="n">
        <f aca="false">TblConstr[[#This Row],[Cavern]]</f>
        <v>0</v>
      </c>
      <c r="H100" s="198" t="n">
        <f aca="false">TblConstr[[#This Row],[Water]]</f>
        <v>0</v>
      </c>
      <c r="I100" s="245"/>
      <c r="J100" s="269" t="n">
        <f aca="false">J99+1</f>
        <v>97</v>
      </c>
      <c r="K100" s="270" t="n">
        <f aca="false">TblImps[[#This Row],[Real time]]</f>
        <v>45433.75</v>
      </c>
      <c r="L100" s="182"/>
      <c r="M100" s="182"/>
      <c r="N100" s="182"/>
      <c r="O100" s="182"/>
      <c r="P100" s="182"/>
      <c r="Q100" s="182"/>
      <c r="R100" s="182"/>
      <c r="S100" s="69" t="n">
        <f aca="false">SUMIF(TblRezone[[#This Row],[Plains Rezone]:[Water Rezone]],"&gt;0")</f>
        <v>0</v>
      </c>
      <c r="T100" s="33" t="str">
        <f aca="false">IF(SUM(TblRezone[[#This Row],[Plains Rezone]:[Water Rezone]])=0,"Ok","Nope")</f>
        <v>Ok</v>
      </c>
      <c r="U100" s="245"/>
      <c r="V100" s="69" t="n">
        <f aca="false">TblProd[[#This Row],[Platinum]]</f>
        <v>1024834</v>
      </c>
      <c r="W100" s="245"/>
      <c r="X100" s="69" t="n">
        <f aca="false">ROUNDUP( (1-MIN(ROUND(facs_rezone_factor*TblRezone[[#This Row],[Facs]],4),facs_rezone_max) + tech_6_4*TblTech[[#This Row],[6-4]] + tech_10_2*TblTech[[#This Row],[10-2]] - IF(TblMagic[[#This Row],[Active Mechanical Genius]]&gt;0,mech_genius_bonus,0) + race_rezone_cost) * TblRezone[[#This Row],[Plat/acre*]],0)</f>
        <v>520</v>
      </c>
      <c r="Y100" s="69" t="n">
        <f aca="false">TblRezone[[#This Row],[Total acres]]*TblRezone[[#This Row],[Plat/acre]]</f>
        <v>0</v>
      </c>
      <c r="Z100" s="245"/>
      <c r="AA100" s="69" t="n">
        <f aca="false">250+0.6*(TblRezone[[#This Row],[Land]]-250)</f>
        <v>520</v>
      </c>
      <c r="AB100" s="245"/>
      <c r="AC100" s="150" t="n">
        <f aca="false">TblConstr[[#This Row],[Facs DB]]</f>
        <v>0</v>
      </c>
    </row>
    <row r="101" customFormat="false" ht="12.75" hidden="false" customHeight="false" outlineLevel="0" collapsed="false">
      <c r="A101" s="181" t="n">
        <f aca="false">TblConstr[[#This Row],[Land]]</f>
        <v>700</v>
      </c>
      <c r="B101" s="246" t="n">
        <f aca="false">TblConstr[[#This Row],[Plain]]</f>
        <v>0</v>
      </c>
      <c r="C101" s="193" t="n">
        <f aca="false">TblConstr[[#This Row],[Forest]]</f>
        <v>0</v>
      </c>
      <c r="D101" s="200" t="n">
        <f aca="false">TblConstr[[#This Row],[Mountain]]</f>
        <v>0</v>
      </c>
      <c r="E101" s="201" t="n">
        <f aca="false">TblConstr[[#This Row],[Hill]]</f>
        <v>0</v>
      </c>
      <c r="F101" s="202" t="n">
        <f aca="false">TblConstr[[#This Row],[Swamp]]</f>
        <v>0</v>
      </c>
      <c r="G101" s="197" t="n">
        <f aca="false">TblConstr[[#This Row],[Cavern]]</f>
        <v>0</v>
      </c>
      <c r="H101" s="198" t="n">
        <f aca="false">TblConstr[[#This Row],[Water]]</f>
        <v>0</v>
      </c>
      <c r="I101" s="245"/>
      <c r="J101" s="269" t="n">
        <f aca="false">J100+1</f>
        <v>98</v>
      </c>
      <c r="K101" s="270" t="n">
        <f aca="false">TblImps[[#This Row],[Real time]]</f>
        <v>45433.7916666667</v>
      </c>
      <c r="L101" s="182"/>
      <c r="M101" s="182"/>
      <c r="N101" s="182"/>
      <c r="O101" s="182"/>
      <c r="P101" s="182"/>
      <c r="Q101" s="182"/>
      <c r="R101" s="182"/>
      <c r="S101" s="69" t="n">
        <f aca="false">SUMIF(TblRezone[[#This Row],[Plains Rezone]:[Water Rezone]],"&gt;0")</f>
        <v>0</v>
      </c>
      <c r="T101" s="33" t="str">
        <f aca="false">IF(SUM(TblRezone[[#This Row],[Plains Rezone]:[Water Rezone]])=0,"Ok","Nope")</f>
        <v>Ok</v>
      </c>
      <c r="U101" s="245"/>
      <c r="V101" s="69" t="n">
        <f aca="false">TblProd[[#This Row],[Platinum]]</f>
        <v>1065746</v>
      </c>
      <c r="W101" s="245"/>
      <c r="X101" s="69" t="n">
        <f aca="false">ROUNDUP( (1-MIN(ROUND(facs_rezone_factor*TblRezone[[#This Row],[Facs]],4),facs_rezone_max) + tech_6_4*TblTech[[#This Row],[6-4]] + tech_10_2*TblTech[[#This Row],[10-2]] - IF(TblMagic[[#This Row],[Active Mechanical Genius]]&gt;0,mech_genius_bonus,0) + race_rezone_cost) * TblRezone[[#This Row],[Plat/acre*]],0)</f>
        <v>520</v>
      </c>
      <c r="Y101" s="69" t="n">
        <f aca="false">TblRezone[[#This Row],[Total acres]]*TblRezone[[#This Row],[Plat/acre]]</f>
        <v>0</v>
      </c>
      <c r="Z101" s="245"/>
      <c r="AA101" s="69" t="n">
        <f aca="false">250+0.6*(TblRezone[[#This Row],[Land]]-250)</f>
        <v>520</v>
      </c>
      <c r="AB101" s="245"/>
      <c r="AC101" s="150" t="n">
        <f aca="false">TblConstr[[#This Row],[Facs DB]]</f>
        <v>0</v>
      </c>
    </row>
    <row r="102" customFormat="false" ht="12.75" hidden="false" customHeight="false" outlineLevel="0" collapsed="false">
      <c r="A102" s="181" t="n">
        <f aca="false">TblConstr[[#This Row],[Land]]</f>
        <v>700</v>
      </c>
      <c r="B102" s="246" t="n">
        <f aca="false">TblConstr[[#This Row],[Plain]]</f>
        <v>0</v>
      </c>
      <c r="C102" s="193" t="n">
        <f aca="false">TblConstr[[#This Row],[Forest]]</f>
        <v>0</v>
      </c>
      <c r="D102" s="200" t="n">
        <f aca="false">TblConstr[[#This Row],[Mountain]]</f>
        <v>0</v>
      </c>
      <c r="E102" s="201" t="n">
        <f aca="false">TblConstr[[#This Row],[Hill]]</f>
        <v>0</v>
      </c>
      <c r="F102" s="202" t="n">
        <f aca="false">TblConstr[[#This Row],[Swamp]]</f>
        <v>0</v>
      </c>
      <c r="G102" s="197" t="n">
        <f aca="false">TblConstr[[#This Row],[Cavern]]</f>
        <v>0</v>
      </c>
      <c r="H102" s="198" t="n">
        <f aca="false">TblConstr[[#This Row],[Water]]</f>
        <v>0</v>
      </c>
      <c r="I102" s="245"/>
      <c r="J102" s="269" t="n">
        <f aca="false">J101+1</f>
        <v>99</v>
      </c>
      <c r="K102" s="270" t="n">
        <f aca="false">TblImps[[#This Row],[Real time]]</f>
        <v>45433.8333333333</v>
      </c>
      <c r="L102" s="182"/>
      <c r="M102" s="182"/>
      <c r="N102" s="182"/>
      <c r="O102" s="182"/>
      <c r="P102" s="182"/>
      <c r="Q102" s="182"/>
      <c r="R102" s="182"/>
      <c r="S102" s="69" t="n">
        <f aca="false">SUMIF(TblRezone[[#This Row],[Plains Rezone]:[Water Rezone]],"&gt;0")</f>
        <v>0</v>
      </c>
      <c r="T102" s="33" t="str">
        <f aca="false">IF(SUM(TblRezone[[#This Row],[Plains Rezone]:[Water Rezone]])=0,"Ok","Nope")</f>
        <v>Ok</v>
      </c>
      <c r="U102" s="245"/>
      <c r="V102" s="69" t="n">
        <f aca="false">TblProd[[#This Row],[Platinum]]</f>
        <v>1106424</v>
      </c>
      <c r="W102" s="245"/>
      <c r="X102" s="69" t="n">
        <f aca="false">ROUNDUP( (1-MIN(ROUND(facs_rezone_factor*TblRezone[[#This Row],[Facs]],4),facs_rezone_max) + tech_6_4*TblTech[[#This Row],[6-4]] + tech_10_2*TblTech[[#This Row],[10-2]] - IF(TblMagic[[#This Row],[Active Mechanical Genius]]&gt;0,mech_genius_bonus,0) + race_rezone_cost) * TblRezone[[#This Row],[Plat/acre*]],0)</f>
        <v>520</v>
      </c>
      <c r="Y102" s="69" t="n">
        <f aca="false">TblRezone[[#This Row],[Total acres]]*TblRezone[[#This Row],[Plat/acre]]</f>
        <v>0</v>
      </c>
      <c r="Z102" s="245"/>
      <c r="AA102" s="69" t="n">
        <f aca="false">250+0.6*(TblRezone[[#This Row],[Land]]-250)</f>
        <v>520</v>
      </c>
      <c r="AB102" s="245"/>
      <c r="AC102" s="150" t="n">
        <f aca="false">TblConstr[[#This Row],[Facs DB]]</f>
        <v>0</v>
      </c>
    </row>
    <row r="103" customFormat="false" ht="12.75" hidden="false" customHeight="false" outlineLevel="0" collapsed="false">
      <c r="A103" s="181" t="n">
        <f aca="false">TblConstr[[#This Row],[Land]]</f>
        <v>700</v>
      </c>
      <c r="B103" s="246" t="n">
        <f aca="false">TblConstr[[#This Row],[Plain]]</f>
        <v>0</v>
      </c>
      <c r="C103" s="193" t="n">
        <f aca="false">TblConstr[[#This Row],[Forest]]</f>
        <v>0</v>
      </c>
      <c r="D103" s="200" t="n">
        <f aca="false">TblConstr[[#This Row],[Mountain]]</f>
        <v>0</v>
      </c>
      <c r="E103" s="201" t="n">
        <f aca="false">TblConstr[[#This Row],[Hill]]</f>
        <v>0</v>
      </c>
      <c r="F103" s="202" t="n">
        <f aca="false">TblConstr[[#This Row],[Swamp]]</f>
        <v>0</v>
      </c>
      <c r="G103" s="197" t="n">
        <f aca="false">TblConstr[[#This Row],[Cavern]]</f>
        <v>0</v>
      </c>
      <c r="H103" s="198" t="n">
        <f aca="false">TblConstr[[#This Row],[Water]]</f>
        <v>0</v>
      </c>
      <c r="I103" s="245"/>
      <c r="J103" s="269" t="n">
        <f aca="false">J102+1</f>
        <v>100</v>
      </c>
      <c r="K103" s="270" t="n">
        <f aca="false">TblImps[[#This Row],[Real time]]</f>
        <v>45433.875</v>
      </c>
      <c r="L103" s="182"/>
      <c r="M103" s="182"/>
      <c r="N103" s="182"/>
      <c r="O103" s="182"/>
      <c r="P103" s="182"/>
      <c r="Q103" s="182"/>
      <c r="R103" s="182"/>
      <c r="S103" s="69" t="n">
        <f aca="false">SUMIF(TblRezone[[#This Row],[Plains Rezone]:[Water Rezone]],"&gt;0")</f>
        <v>0</v>
      </c>
      <c r="T103" s="33" t="str">
        <f aca="false">IF(SUM(TblRezone[[#This Row],[Plains Rezone]:[Water Rezone]])=0,"Ok","Nope")</f>
        <v>Ok</v>
      </c>
      <c r="U103" s="245"/>
      <c r="V103" s="69" t="n">
        <f aca="false">TblProd[[#This Row],[Platinum]]</f>
        <v>1146870</v>
      </c>
      <c r="W103" s="245"/>
      <c r="X103" s="69" t="n">
        <f aca="false">ROUNDUP( (1-MIN(ROUND(facs_rezone_factor*TblRezone[[#This Row],[Facs]],4),facs_rezone_max) + tech_6_4*TblTech[[#This Row],[6-4]] + tech_10_2*TblTech[[#This Row],[10-2]] - IF(TblMagic[[#This Row],[Active Mechanical Genius]]&gt;0,mech_genius_bonus,0) + race_rezone_cost) * TblRezone[[#This Row],[Plat/acre*]],0)</f>
        <v>520</v>
      </c>
      <c r="Y103" s="69" t="n">
        <f aca="false">TblRezone[[#This Row],[Total acres]]*TblRezone[[#This Row],[Plat/acre]]</f>
        <v>0</v>
      </c>
      <c r="Z103" s="245"/>
      <c r="AA103" s="69" t="n">
        <f aca="false">250+0.6*(TblRezone[[#This Row],[Land]]-250)</f>
        <v>520</v>
      </c>
      <c r="AB103" s="245"/>
      <c r="AC103" s="150" t="n">
        <f aca="false">TblConstr[[#This Row],[Facs DB]]</f>
        <v>0</v>
      </c>
    </row>
    <row r="104" customFormat="false" ht="12.75" hidden="false" customHeight="false" outlineLevel="0" collapsed="false">
      <c r="A104" s="181" t="n">
        <f aca="false">TblConstr[[#This Row],[Land]]</f>
        <v>700</v>
      </c>
      <c r="B104" s="246" t="n">
        <f aca="false">TblConstr[[#This Row],[Plain]]</f>
        <v>0</v>
      </c>
      <c r="C104" s="193" t="n">
        <f aca="false">TblConstr[[#This Row],[Forest]]</f>
        <v>0</v>
      </c>
      <c r="D104" s="200" t="n">
        <f aca="false">TblConstr[[#This Row],[Mountain]]</f>
        <v>0</v>
      </c>
      <c r="E104" s="201" t="n">
        <f aca="false">TblConstr[[#This Row],[Hill]]</f>
        <v>0</v>
      </c>
      <c r="F104" s="202" t="n">
        <f aca="false">TblConstr[[#This Row],[Swamp]]</f>
        <v>0</v>
      </c>
      <c r="G104" s="197" t="n">
        <f aca="false">TblConstr[[#This Row],[Cavern]]</f>
        <v>0</v>
      </c>
      <c r="H104" s="198" t="n">
        <f aca="false">TblConstr[[#This Row],[Water]]</f>
        <v>0</v>
      </c>
      <c r="I104" s="245"/>
      <c r="J104" s="269" t="n">
        <f aca="false">J103+1</f>
        <v>101</v>
      </c>
      <c r="K104" s="270" t="n">
        <f aca="false">TblImps[[#This Row],[Real time]]</f>
        <v>45433.9166666667</v>
      </c>
      <c r="L104" s="182"/>
      <c r="M104" s="182"/>
      <c r="N104" s="182"/>
      <c r="O104" s="182"/>
      <c r="P104" s="182"/>
      <c r="Q104" s="182"/>
      <c r="R104" s="182"/>
      <c r="S104" s="69" t="n">
        <f aca="false">SUMIF(TblRezone[[#This Row],[Plains Rezone]:[Water Rezone]],"&gt;0")</f>
        <v>0</v>
      </c>
      <c r="T104" s="33" t="str">
        <f aca="false">IF(SUM(TblRezone[[#This Row],[Plains Rezone]:[Water Rezone]])=0,"Ok","Nope")</f>
        <v>Ok</v>
      </c>
      <c r="U104" s="245"/>
      <c r="V104" s="69" t="n">
        <f aca="false">TblProd[[#This Row],[Platinum]]</f>
        <v>1187087</v>
      </c>
      <c r="W104" s="245"/>
      <c r="X104" s="69" t="n">
        <f aca="false">ROUNDUP( (1-MIN(ROUND(facs_rezone_factor*TblRezone[[#This Row],[Facs]],4),facs_rezone_max) + tech_6_4*TblTech[[#This Row],[6-4]] + tech_10_2*TblTech[[#This Row],[10-2]] - IF(TblMagic[[#This Row],[Active Mechanical Genius]]&gt;0,mech_genius_bonus,0) + race_rezone_cost) * TblRezone[[#This Row],[Plat/acre*]],0)</f>
        <v>520</v>
      </c>
      <c r="Y104" s="69" t="n">
        <f aca="false">TblRezone[[#This Row],[Total acres]]*TblRezone[[#This Row],[Plat/acre]]</f>
        <v>0</v>
      </c>
      <c r="Z104" s="245"/>
      <c r="AA104" s="69" t="n">
        <f aca="false">250+0.6*(TblRezone[[#This Row],[Land]]-250)</f>
        <v>520</v>
      </c>
      <c r="AB104" s="245"/>
      <c r="AC104" s="150" t="n">
        <f aca="false">TblConstr[[#This Row],[Facs DB]]</f>
        <v>0</v>
      </c>
    </row>
    <row r="105" customFormat="false" ht="12.75" hidden="false" customHeight="false" outlineLevel="0" collapsed="false">
      <c r="A105" s="181" t="n">
        <f aca="false">TblConstr[[#This Row],[Land]]</f>
        <v>700</v>
      </c>
      <c r="B105" s="246" t="n">
        <f aca="false">TblConstr[[#This Row],[Plain]]</f>
        <v>0</v>
      </c>
      <c r="C105" s="193" t="n">
        <f aca="false">TblConstr[[#This Row],[Forest]]</f>
        <v>0</v>
      </c>
      <c r="D105" s="200" t="n">
        <f aca="false">TblConstr[[#This Row],[Mountain]]</f>
        <v>0</v>
      </c>
      <c r="E105" s="201" t="n">
        <f aca="false">TblConstr[[#This Row],[Hill]]</f>
        <v>0</v>
      </c>
      <c r="F105" s="202" t="n">
        <f aca="false">TblConstr[[#This Row],[Swamp]]</f>
        <v>0</v>
      </c>
      <c r="G105" s="197" t="n">
        <f aca="false">TblConstr[[#This Row],[Cavern]]</f>
        <v>0</v>
      </c>
      <c r="H105" s="198" t="n">
        <f aca="false">TblConstr[[#This Row],[Water]]</f>
        <v>0</v>
      </c>
      <c r="I105" s="245"/>
      <c r="J105" s="269" t="n">
        <f aca="false">J104+1</f>
        <v>102</v>
      </c>
      <c r="K105" s="270" t="n">
        <f aca="false">TblImps[[#This Row],[Real time]]</f>
        <v>45433.9583333333</v>
      </c>
      <c r="L105" s="182"/>
      <c r="M105" s="182"/>
      <c r="N105" s="182"/>
      <c r="O105" s="182"/>
      <c r="P105" s="182"/>
      <c r="Q105" s="182"/>
      <c r="R105" s="182"/>
      <c r="S105" s="69" t="n">
        <f aca="false">SUMIF(TblRezone[[#This Row],[Plains Rezone]:[Water Rezone]],"&gt;0")</f>
        <v>0</v>
      </c>
      <c r="T105" s="33" t="str">
        <f aca="false">IF(SUM(TblRezone[[#This Row],[Plains Rezone]:[Water Rezone]])=0,"Ok","Nope")</f>
        <v>Ok</v>
      </c>
      <c r="U105" s="245"/>
      <c r="V105" s="69" t="n">
        <f aca="false">TblProd[[#This Row],[Platinum]]</f>
        <v>1227079</v>
      </c>
      <c r="W105" s="245"/>
      <c r="X105" s="69" t="n">
        <f aca="false">ROUNDUP( (1-MIN(ROUND(facs_rezone_factor*TblRezone[[#This Row],[Facs]],4),facs_rezone_max) + tech_6_4*TblTech[[#This Row],[6-4]] + tech_10_2*TblTech[[#This Row],[10-2]] - IF(TblMagic[[#This Row],[Active Mechanical Genius]]&gt;0,mech_genius_bonus,0) + race_rezone_cost) * TblRezone[[#This Row],[Plat/acre*]],0)</f>
        <v>520</v>
      </c>
      <c r="Y105" s="69" t="n">
        <f aca="false">TblRezone[[#This Row],[Total acres]]*TblRezone[[#This Row],[Plat/acre]]</f>
        <v>0</v>
      </c>
      <c r="Z105" s="245"/>
      <c r="AA105" s="69" t="n">
        <f aca="false">250+0.6*(TblRezone[[#This Row],[Land]]-250)</f>
        <v>520</v>
      </c>
      <c r="AB105" s="245"/>
      <c r="AC105" s="150" t="n">
        <f aca="false">TblConstr[[#This Row],[Facs DB]]</f>
        <v>0</v>
      </c>
    </row>
    <row r="106" customFormat="false" ht="12.75" hidden="false" customHeight="false" outlineLevel="0" collapsed="false">
      <c r="A106" s="181" t="n">
        <f aca="false">TblConstr[[#This Row],[Land]]</f>
        <v>700</v>
      </c>
      <c r="B106" s="246" t="n">
        <f aca="false">TblConstr[[#This Row],[Plain]]</f>
        <v>0</v>
      </c>
      <c r="C106" s="193" t="n">
        <f aca="false">TblConstr[[#This Row],[Forest]]</f>
        <v>0</v>
      </c>
      <c r="D106" s="200" t="n">
        <f aca="false">TblConstr[[#This Row],[Mountain]]</f>
        <v>0</v>
      </c>
      <c r="E106" s="201" t="n">
        <f aca="false">TblConstr[[#This Row],[Hill]]</f>
        <v>0</v>
      </c>
      <c r="F106" s="202" t="n">
        <f aca="false">TblConstr[[#This Row],[Swamp]]</f>
        <v>0</v>
      </c>
      <c r="G106" s="197" t="n">
        <f aca="false">TblConstr[[#This Row],[Cavern]]</f>
        <v>0</v>
      </c>
      <c r="H106" s="198" t="n">
        <f aca="false">TblConstr[[#This Row],[Water]]</f>
        <v>0</v>
      </c>
      <c r="I106" s="245"/>
      <c r="J106" s="269" t="n">
        <f aca="false">J105+1</f>
        <v>103</v>
      </c>
      <c r="K106" s="270" t="n">
        <f aca="false">TblImps[[#This Row],[Real time]]</f>
        <v>45434</v>
      </c>
      <c r="L106" s="182"/>
      <c r="M106" s="182"/>
      <c r="N106" s="182"/>
      <c r="O106" s="182"/>
      <c r="P106" s="182"/>
      <c r="Q106" s="182"/>
      <c r="R106" s="182"/>
      <c r="S106" s="69" t="n">
        <f aca="false">SUMIF(TblRezone[[#This Row],[Plains Rezone]:[Water Rezone]],"&gt;0")</f>
        <v>0</v>
      </c>
      <c r="T106" s="33" t="str">
        <f aca="false">IF(SUM(TblRezone[[#This Row],[Plains Rezone]:[Water Rezone]])=0,"Ok","Nope")</f>
        <v>Ok</v>
      </c>
      <c r="U106" s="245"/>
      <c r="V106" s="69" t="n">
        <f aca="false">TblProd[[#This Row],[Platinum]]</f>
        <v>1266845</v>
      </c>
      <c r="W106" s="245"/>
      <c r="X106" s="69" t="n">
        <f aca="false">ROUNDUP( (1-MIN(ROUND(facs_rezone_factor*TblRezone[[#This Row],[Facs]],4),facs_rezone_max) + tech_6_4*TblTech[[#This Row],[6-4]] + tech_10_2*TblTech[[#This Row],[10-2]] - IF(TblMagic[[#This Row],[Active Mechanical Genius]]&gt;0,mech_genius_bonus,0) + race_rezone_cost) * TblRezone[[#This Row],[Plat/acre*]],0)</f>
        <v>520</v>
      </c>
      <c r="Y106" s="69" t="n">
        <f aca="false">TblRezone[[#This Row],[Total acres]]*TblRezone[[#This Row],[Plat/acre]]</f>
        <v>0</v>
      </c>
      <c r="Z106" s="245"/>
      <c r="AA106" s="69" t="n">
        <f aca="false">250+0.6*(TblRezone[[#This Row],[Land]]-250)</f>
        <v>520</v>
      </c>
      <c r="AB106" s="245"/>
      <c r="AC106" s="150" t="n">
        <f aca="false">TblConstr[[#This Row],[Facs DB]]</f>
        <v>0</v>
      </c>
    </row>
    <row r="107" customFormat="false" ht="12.75" hidden="false" customHeight="false" outlineLevel="0" collapsed="false">
      <c r="A107" s="181" t="n">
        <f aca="false">TblConstr[[#This Row],[Land]]</f>
        <v>700</v>
      </c>
      <c r="B107" s="246" t="n">
        <f aca="false">TblConstr[[#This Row],[Plain]]</f>
        <v>0</v>
      </c>
      <c r="C107" s="193" t="n">
        <f aca="false">TblConstr[[#This Row],[Forest]]</f>
        <v>0</v>
      </c>
      <c r="D107" s="200" t="n">
        <f aca="false">TblConstr[[#This Row],[Mountain]]</f>
        <v>0</v>
      </c>
      <c r="E107" s="201" t="n">
        <f aca="false">TblConstr[[#This Row],[Hill]]</f>
        <v>0</v>
      </c>
      <c r="F107" s="202" t="n">
        <f aca="false">TblConstr[[#This Row],[Swamp]]</f>
        <v>0</v>
      </c>
      <c r="G107" s="197" t="n">
        <f aca="false">TblConstr[[#This Row],[Cavern]]</f>
        <v>0</v>
      </c>
      <c r="H107" s="198" t="n">
        <f aca="false">TblConstr[[#This Row],[Water]]</f>
        <v>0</v>
      </c>
      <c r="I107" s="245"/>
      <c r="J107" s="269" t="n">
        <f aca="false">J106+1</f>
        <v>104</v>
      </c>
      <c r="K107" s="270" t="n">
        <f aca="false">TblImps[[#This Row],[Real time]]</f>
        <v>45434.0416666667</v>
      </c>
      <c r="L107" s="182"/>
      <c r="M107" s="182"/>
      <c r="N107" s="182"/>
      <c r="O107" s="182"/>
      <c r="P107" s="182"/>
      <c r="Q107" s="182"/>
      <c r="R107" s="182"/>
      <c r="S107" s="69" t="n">
        <f aca="false">SUMIF(TblRezone[[#This Row],[Plains Rezone]:[Water Rezone]],"&gt;0")</f>
        <v>0</v>
      </c>
      <c r="T107" s="33" t="str">
        <f aca="false">IF(SUM(TblRezone[[#This Row],[Plains Rezone]:[Water Rezone]])=0,"Ok","Nope")</f>
        <v>Ok</v>
      </c>
      <c r="U107" s="245"/>
      <c r="V107" s="69" t="n">
        <f aca="false">TblProd[[#This Row],[Platinum]]</f>
        <v>1306388</v>
      </c>
      <c r="W107" s="245"/>
      <c r="X107" s="69" t="n">
        <f aca="false">ROUNDUP( (1-MIN(ROUND(facs_rezone_factor*TblRezone[[#This Row],[Facs]],4),facs_rezone_max) + tech_6_4*TblTech[[#This Row],[6-4]] + tech_10_2*TblTech[[#This Row],[10-2]] - IF(TblMagic[[#This Row],[Active Mechanical Genius]]&gt;0,mech_genius_bonus,0) + race_rezone_cost) * TblRezone[[#This Row],[Plat/acre*]],0)</f>
        <v>520</v>
      </c>
      <c r="Y107" s="69" t="n">
        <f aca="false">TblRezone[[#This Row],[Total acres]]*TblRezone[[#This Row],[Plat/acre]]</f>
        <v>0</v>
      </c>
      <c r="Z107" s="245"/>
      <c r="AA107" s="69" t="n">
        <f aca="false">250+0.6*(TblRezone[[#This Row],[Land]]-250)</f>
        <v>520</v>
      </c>
      <c r="AB107" s="245"/>
      <c r="AC107" s="150" t="n">
        <f aca="false">TblConstr[[#This Row],[Facs DB]]</f>
        <v>0</v>
      </c>
    </row>
    <row r="108" customFormat="false" ht="12.75" hidden="false" customHeight="false" outlineLevel="0" collapsed="false">
      <c r="A108" s="181" t="n">
        <f aca="false">TblConstr[[#This Row],[Land]]</f>
        <v>700</v>
      </c>
      <c r="B108" s="246" t="n">
        <f aca="false">TblConstr[[#This Row],[Plain]]</f>
        <v>0</v>
      </c>
      <c r="C108" s="193" t="n">
        <f aca="false">TblConstr[[#This Row],[Forest]]</f>
        <v>0</v>
      </c>
      <c r="D108" s="200" t="n">
        <f aca="false">TblConstr[[#This Row],[Mountain]]</f>
        <v>0</v>
      </c>
      <c r="E108" s="201" t="n">
        <f aca="false">TblConstr[[#This Row],[Hill]]</f>
        <v>0</v>
      </c>
      <c r="F108" s="202" t="n">
        <f aca="false">TblConstr[[#This Row],[Swamp]]</f>
        <v>0</v>
      </c>
      <c r="G108" s="197" t="n">
        <f aca="false">TblConstr[[#This Row],[Cavern]]</f>
        <v>0</v>
      </c>
      <c r="H108" s="198" t="n">
        <f aca="false">TblConstr[[#This Row],[Water]]</f>
        <v>0</v>
      </c>
      <c r="I108" s="245"/>
      <c r="J108" s="269" t="n">
        <f aca="false">J107+1</f>
        <v>105</v>
      </c>
      <c r="K108" s="270" t="n">
        <f aca="false">TblImps[[#This Row],[Real time]]</f>
        <v>45434.0833333333</v>
      </c>
      <c r="L108" s="182"/>
      <c r="M108" s="182"/>
      <c r="N108" s="182"/>
      <c r="O108" s="182"/>
      <c r="P108" s="182"/>
      <c r="Q108" s="182"/>
      <c r="R108" s="182"/>
      <c r="S108" s="69" t="n">
        <f aca="false">SUMIF(TblRezone[[#This Row],[Plains Rezone]:[Water Rezone]],"&gt;0")</f>
        <v>0</v>
      </c>
      <c r="T108" s="33" t="str">
        <f aca="false">IF(SUM(TblRezone[[#This Row],[Plains Rezone]:[Water Rezone]])=0,"Ok","Nope")</f>
        <v>Ok</v>
      </c>
      <c r="U108" s="245"/>
      <c r="V108" s="69" t="n">
        <f aca="false">TblProd[[#This Row],[Platinum]]</f>
        <v>1345712</v>
      </c>
      <c r="W108" s="245"/>
      <c r="X108" s="69" t="n">
        <f aca="false">ROUNDUP( (1-MIN(ROUND(facs_rezone_factor*TblRezone[[#This Row],[Facs]],4),facs_rezone_max) + tech_6_4*TblTech[[#This Row],[6-4]] + tech_10_2*TblTech[[#This Row],[10-2]] - IF(TblMagic[[#This Row],[Active Mechanical Genius]]&gt;0,mech_genius_bonus,0) + race_rezone_cost) * TblRezone[[#This Row],[Plat/acre*]],0)</f>
        <v>520</v>
      </c>
      <c r="Y108" s="69" t="n">
        <f aca="false">TblRezone[[#This Row],[Total acres]]*TblRezone[[#This Row],[Plat/acre]]</f>
        <v>0</v>
      </c>
      <c r="Z108" s="245"/>
      <c r="AA108" s="69" t="n">
        <f aca="false">250+0.6*(TblRezone[[#This Row],[Land]]-250)</f>
        <v>520</v>
      </c>
      <c r="AB108" s="245"/>
      <c r="AC108" s="150" t="n">
        <f aca="false">TblConstr[[#This Row],[Facs DB]]</f>
        <v>0</v>
      </c>
    </row>
    <row r="109" customFormat="false" ht="12.75" hidden="false" customHeight="false" outlineLevel="0" collapsed="false">
      <c r="A109" s="181" t="n">
        <f aca="false">TblConstr[[#This Row],[Land]]</f>
        <v>700</v>
      </c>
      <c r="B109" s="246" t="n">
        <f aca="false">TblConstr[[#This Row],[Plain]]</f>
        <v>0</v>
      </c>
      <c r="C109" s="193" t="n">
        <f aca="false">TblConstr[[#This Row],[Forest]]</f>
        <v>0</v>
      </c>
      <c r="D109" s="200" t="n">
        <f aca="false">TblConstr[[#This Row],[Mountain]]</f>
        <v>0</v>
      </c>
      <c r="E109" s="201" t="n">
        <f aca="false">TblConstr[[#This Row],[Hill]]</f>
        <v>0</v>
      </c>
      <c r="F109" s="202" t="n">
        <f aca="false">TblConstr[[#This Row],[Swamp]]</f>
        <v>0</v>
      </c>
      <c r="G109" s="197" t="n">
        <f aca="false">TblConstr[[#This Row],[Cavern]]</f>
        <v>0</v>
      </c>
      <c r="H109" s="198" t="n">
        <f aca="false">TblConstr[[#This Row],[Water]]</f>
        <v>0</v>
      </c>
      <c r="I109" s="245"/>
      <c r="J109" s="269" t="n">
        <f aca="false">J108+1</f>
        <v>106</v>
      </c>
      <c r="K109" s="270" t="n">
        <f aca="false">TblImps[[#This Row],[Real time]]</f>
        <v>45434.125</v>
      </c>
      <c r="L109" s="182"/>
      <c r="M109" s="182"/>
      <c r="N109" s="182"/>
      <c r="O109" s="182"/>
      <c r="P109" s="182"/>
      <c r="Q109" s="182"/>
      <c r="R109" s="182"/>
      <c r="S109" s="69" t="n">
        <f aca="false">SUMIF(TblRezone[[#This Row],[Plains Rezone]:[Water Rezone]],"&gt;0")</f>
        <v>0</v>
      </c>
      <c r="T109" s="33" t="str">
        <f aca="false">IF(SUM(TblRezone[[#This Row],[Plains Rezone]:[Water Rezone]])=0,"Ok","Nope")</f>
        <v>Ok</v>
      </c>
      <c r="U109" s="245"/>
      <c r="V109" s="69" t="n">
        <f aca="false">TblProd[[#This Row],[Platinum]]</f>
        <v>1384819</v>
      </c>
      <c r="W109" s="245"/>
      <c r="X109" s="69" t="n">
        <f aca="false">ROUNDUP( (1-MIN(ROUND(facs_rezone_factor*TblRezone[[#This Row],[Facs]],4),facs_rezone_max) + tech_6_4*TblTech[[#This Row],[6-4]] + tech_10_2*TblTech[[#This Row],[10-2]] - IF(TblMagic[[#This Row],[Active Mechanical Genius]]&gt;0,mech_genius_bonus,0) + race_rezone_cost) * TblRezone[[#This Row],[Plat/acre*]],0)</f>
        <v>520</v>
      </c>
      <c r="Y109" s="69" t="n">
        <f aca="false">TblRezone[[#This Row],[Total acres]]*TblRezone[[#This Row],[Plat/acre]]</f>
        <v>0</v>
      </c>
      <c r="Z109" s="245"/>
      <c r="AA109" s="69" t="n">
        <f aca="false">250+0.6*(TblRezone[[#This Row],[Land]]-250)</f>
        <v>520</v>
      </c>
      <c r="AB109" s="245"/>
      <c r="AC109" s="150" t="n">
        <f aca="false">TblConstr[[#This Row],[Facs DB]]</f>
        <v>0</v>
      </c>
    </row>
    <row r="110" customFormat="false" ht="12.75" hidden="false" customHeight="false" outlineLevel="0" collapsed="false">
      <c r="A110" s="181" t="n">
        <f aca="false">TblConstr[[#This Row],[Land]]</f>
        <v>700</v>
      </c>
      <c r="B110" s="246" t="n">
        <f aca="false">TblConstr[[#This Row],[Plain]]</f>
        <v>0</v>
      </c>
      <c r="C110" s="193" t="n">
        <f aca="false">TblConstr[[#This Row],[Forest]]</f>
        <v>0</v>
      </c>
      <c r="D110" s="200" t="n">
        <f aca="false">TblConstr[[#This Row],[Mountain]]</f>
        <v>0</v>
      </c>
      <c r="E110" s="201" t="n">
        <f aca="false">TblConstr[[#This Row],[Hill]]</f>
        <v>0</v>
      </c>
      <c r="F110" s="202" t="n">
        <f aca="false">TblConstr[[#This Row],[Swamp]]</f>
        <v>0</v>
      </c>
      <c r="G110" s="197" t="n">
        <f aca="false">TblConstr[[#This Row],[Cavern]]</f>
        <v>0</v>
      </c>
      <c r="H110" s="198" t="n">
        <f aca="false">TblConstr[[#This Row],[Water]]</f>
        <v>0</v>
      </c>
      <c r="I110" s="245"/>
      <c r="J110" s="269" t="n">
        <f aca="false">J109+1</f>
        <v>107</v>
      </c>
      <c r="K110" s="270" t="n">
        <f aca="false">TblImps[[#This Row],[Real time]]</f>
        <v>45434.1666666667</v>
      </c>
      <c r="L110" s="182"/>
      <c r="M110" s="182"/>
      <c r="N110" s="182"/>
      <c r="O110" s="182"/>
      <c r="P110" s="182"/>
      <c r="Q110" s="182"/>
      <c r="R110" s="182"/>
      <c r="S110" s="69" t="n">
        <f aca="false">SUMIF(TblRezone[[#This Row],[Plains Rezone]:[Water Rezone]],"&gt;0")</f>
        <v>0</v>
      </c>
      <c r="T110" s="33" t="str">
        <f aca="false">IF(SUM(TblRezone[[#This Row],[Plains Rezone]:[Water Rezone]])=0,"Ok","Nope")</f>
        <v>Ok</v>
      </c>
      <c r="U110" s="245"/>
      <c r="V110" s="69" t="n">
        <f aca="false">TblProd[[#This Row],[Platinum]]</f>
        <v>1423709</v>
      </c>
      <c r="W110" s="245"/>
      <c r="X110" s="69" t="n">
        <f aca="false">ROUNDUP( (1-MIN(ROUND(facs_rezone_factor*TblRezone[[#This Row],[Facs]],4),facs_rezone_max) + tech_6_4*TblTech[[#This Row],[6-4]] + tech_10_2*TblTech[[#This Row],[10-2]] - IF(TblMagic[[#This Row],[Active Mechanical Genius]]&gt;0,mech_genius_bonus,0) + race_rezone_cost) * TblRezone[[#This Row],[Plat/acre*]],0)</f>
        <v>520</v>
      </c>
      <c r="Y110" s="69" t="n">
        <f aca="false">TblRezone[[#This Row],[Total acres]]*TblRezone[[#This Row],[Plat/acre]]</f>
        <v>0</v>
      </c>
      <c r="Z110" s="245"/>
      <c r="AA110" s="69" t="n">
        <f aca="false">250+0.6*(TblRezone[[#This Row],[Land]]-250)</f>
        <v>520</v>
      </c>
      <c r="AB110" s="245"/>
      <c r="AC110" s="150" t="n">
        <f aca="false">TblConstr[[#This Row],[Facs DB]]</f>
        <v>0</v>
      </c>
    </row>
    <row r="111" customFormat="false" ht="12.75" hidden="false" customHeight="false" outlineLevel="0" collapsed="false">
      <c r="A111" s="181" t="n">
        <f aca="false">TblConstr[[#This Row],[Land]]</f>
        <v>700</v>
      </c>
      <c r="B111" s="246" t="n">
        <f aca="false">TblConstr[[#This Row],[Plain]]</f>
        <v>0</v>
      </c>
      <c r="C111" s="193" t="n">
        <f aca="false">TblConstr[[#This Row],[Forest]]</f>
        <v>0</v>
      </c>
      <c r="D111" s="200" t="n">
        <f aca="false">TblConstr[[#This Row],[Mountain]]</f>
        <v>0</v>
      </c>
      <c r="E111" s="201" t="n">
        <f aca="false">TblConstr[[#This Row],[Hill]]</f>
        <v>0</v>
      </c>
      <c r="F111" s="202" t="n">
        <f aca="false">TblConstr[[#This Row],[Swamp]]</f>
        <v>0</v>
      </c>
      <c r="G111" s="197" t="n">
        <f aca="false">TblConstr[[#This Row],[Cavern]]</f>
        <v>0</v>
      </c>
      <c r="H111" s="198" t="n">
        <f aca="false">TblConstr[[#This Row],[Water]]</f>
        <v>0</v>
      </c>
      <c r="I111" s="245"/>
      <c r="J111" s="269" t="n">
        <f aca="false">J110+1</f>
        <v>108</v>
      </c>
      <c r="K111" s="270" t="n">
        <f aca="false">TblImps[[#This Row],[Real time]]</f>
        <v>45434.2083333333</v>
      </c>
      <c r="L111" s="182"/>
      <c r="M111" s="182"/>
      <c r="N111" s="182"/>
      <c r="O111" s="182"/>
      <c r="P111" s="182"/>
      <c r="Q111" s="182"/>
      <c r="R111" s="182"/>
      <c r="S111" s="69" t="n">
        <f aca="false">SUMIF(TblRezone[[#This Row],[Plains Rezone]:[Water Rezone]],"&gt;0")</f>
        <v>0</v>
      </c>
      <c r="T111" s="33" t="str">
        <f aca="false">IF(SUM(TblRezone[[#This Row],[Plains Rezone]:[Water Rezone]])=0,"Ok","Nope")</f>
        <v>Ok</v>
      </c>
      <c r="U111" s="245"/>
      <c r="V111" s="69" t="n">
        <f aca="false">TblProd[[#This Row],[Platinum]]</f>
        <v>1462385</v>
      </c>
      <c r="W111" s="245"/>
      <c r="X111" s="69" t="n">
        <f aca="false">ROUNDUP( (1-MIN(ROUND(facs_rezone_factor*TblRezone[[#This Row],[Facs]],4),facs_rezone_max) + tech_6_4*TblTech[[#This Row],[6-4]] + tech_10_2*TblTech[[#This Row],[10-2]] - IF(TblMagic[[#This Row],[Active Mechanical Genius]]&gt;0,mech_genius_bonus,0) + race_rezone_cost) * TblRezone[[#This Row],[Plat/acre*]],0)</f>
        <v>520</v>
      </c>
      <c r="Y111" s="69" t="n">
        <f aca="false">TblRezone[[#This Row],[Total acres]]*TblRezone[[#This Row],[Plat/acre]]</f>
        <v>0</v>
      </c>
      <c r="Z111" s="245"/>
      <c r="AA111" s="69" t="n">
        <f aca="false">250+0.6*(TblRezone[[#This Row],[Land]]-250)</f>
        <v>520</v>
      </c>
      <c r="AB111" s="245"/>
      <c r="AC111" s="150" t="n">
        <f aca="false">TblConstr[[#This Row],[Facs DB]]</f>
        <v>0</v>
      </c>
    </row>
    <row r="112" customFormat="false" ht="12.75" hidden="false" customHeight="false" outlineLevel="0" collapsed="false">
      <c r="A112" s="181" t="n">
        <f aca="false">TblConstr[[#This Row],[Land]]</f>
        <v>700</v>
      </c>
      <c r="B112" s="246" t="n">
        <f aca="false">TblConstr[[#This Row],[Plain]]</f>
        <v>0</v>
      </c>
      <c r="C112" s="193" t="n">
        <f aca="false">TblConstr[[#This Row],[Forest]]</f>
        <v>0</v>
      </c>
      <c r="D112" s="200" t="n">
        <f aca="false">TblConstr[[#This Row],[Mountain]]</f>
        <v>0</v>
      </c>
      <c r="E112" s="201" t="n">
        <f aca="false">TblConstr[[#This Row],[Hill]]</f>
        <v>0</v>
      </c>
      <c r="F112" s="202" t="n">
        <f aca="false">TblConstr[[#This Row],[Swamp]]</f>
        <v>0</v>
      </c>
      <c r="G112" s="197" t="n">
        <f aca="false">TblConstr[[#This Row],[Cavern]]</f>
        <v>0</v>
      </c>
      <c r="H112" s="198" t="n">
        <f aca="false">TblConstr[[#This Row],[Water]]</f>
        <v>0</v>
      </c>
      <c r="I112" s="245"/>
      <c r="J112" s="269" t="n">
        <f aca="false">J111+1</f>
        <v>109</v>
      </c>
      <c r="K112" s="270" t="n">
        <f aca="false">TblImps[[#This Row],[Real time]]</f>
        <v>45434.25</v>
      </c>
      <c r="L112" s="182"/>
      <c r="M112" s="182"/>
      <c r="N112" s="182"/>
      <c r="O112" s="182"/>
      <c r="P112" s="182"/>
      <c r="Q112" s="182"/>
      <c r="R112" s="182"/>
      <c r="S112" s="69" t="n">
        <f aca="false">SUMIF(TblRezone[[#This Row],[Plains Rezone]:[Water Rezone]],"&gt;0")</f>
        <v>0</v>
      </c>
      <c r="T112" s="33" t="str">
        <f aca="false">IF(SUM(TblRezone[[#This Row],[Plains Rezone]:[Water Rezone]])=0,"Ok","Nope")</f>
        <v>Ok</v>
      </c>
      <c r="U112" s="245"/>
      <c r="V112" s="69" t="n">
        <f aca="false">TblProd[[#This Row],[Platinum]]</f>
        <v>1500850</v>
      </c>
      <c r="W112" s="245"/>
      <c r="X112" s="69" t="n">
        <f aca="false">ROUNDUP( (1-MIN(ROUND(facs_rezone_factor*TblRezone[[#This Row],[Facs]],4),facs_rezone_max) + tech_6_4*TblTech[[#This Row],[6-4]] + tech_10_2*TblTech[[#This Row],[10-2]] - IF(TblMagic[[#This Row],[Active Mechanical Genius]]&gt;0,mech_genius_bonus,0) + race_rezone_cost) * TblRezone[[#This Row],[Plat/acre*]],0)</f>
        <v>520</v>
      </c>
      <c r="Y112" s="69" t="n">
        <f aca="false">TblRezone[[#This Row],[Total acres]]*TblRezone[[#This Row],[Plat/acre]]</f>
        <v>0</v>
      </c>
      <c r="Z112" s="245"/>
      <c r="AA112" s="69" t="n">
        <f aca="false">250+0.6*(TblRezone[[#This Row],[Land]]-250)</f>
        <v>520</v>
      </c>
      <c r="AB112" s="245"/>
      <c r="AC112" s="150" t="n">
        <f aca="false">TblConstr[[#This Row],[Facs DB]]</f>
        <v>0</v>
      </c>
    </row>
    <row r="113" customFormat="false" ht="12.75" hidden="false" customHeight="false" outlineLevel="0" collapsed="false">
      <c r="A113" s="181" t="n">
        <f aca="false">TblConstr[[#This Row],[Land]]</f>
        <v>700</v>
      </c>
      <c r="B113" s="246" t="n">
        <f aca="false">TblConstr[[#This Row],[Plain]]</f>
        <v>0</v>
      </c>
      <c r="C113" s="193" t="n">
        <f aca="false">TblConstr[[#This Row],[Forest]]</f>
        <v>0</v>
      </c>
      <c r="D113" s="200" t="n">
        <f aca="false">TblConstr[[#This Row],[Mountain]]</f>
        <v>0</v>
      </c>
      <c r="E113" s="201" t="n">
        <f aca="false">TblConstr[[#This Row],[Hill]]</f>
        <v>0</v>
      </c>
      <c r="F113" s="202" t="n">
        <f aca="false">TblConstr[[#This Row],[Swamp]]</f>
        <v>0</v>
      </c>
      <c r="G113" s="197" t="n">
        <f aca="false">TblConstr[[#This Row],[Cavern]]</f>
        <v>0</v>
      </c>
      <c r="H113" s="198" t="n">
        <f aca="false">TblConstr[[#This Row],[Water]]</f>
        <v>0</v>
      </c>
      <c r="I113" s="245"/>
      <c r="J113" s="269" t="n">
        <f aca="false">J112+1</f>
        <v>110</v>
      </c>
      <c r="K113" s="270" t="n">
        <f aca="false">TblImps[[#This Row],[Real time]]</f>
        <v>45434.2916666667</v>
      </c>
      <c r="L113" s="182"/>
      <c r="M113" s="182"/>
      <c r="N113" s="182"/>
      <c r="O113" s="182"/>
      <c r="P113" s="182"/>
      <c r="Q113" s="182"/>
      <c r="R113" s="182"/>
      <c r="S113" s="69" t="n">
        <f aca="false">SUMIF(TblRezone[[#This Row],[Plains Rezone]:[Water Rezone]],"&gt;0")</f>
        <v>0</v>
      </c>
      <c r="T113" s="33" t="str">
        <f aca="false">IF(SUM(TblRezone[[#This Row],[Plains Rezone]:[Water Rezone]])=0,"Ok","Nope")</f>
        <v>Ok</v>
      </c>
      <c r="U113" s="245"/>
      <c r="V113" s="69" t="n">
        <f aca="false">TblProd[[#This Row],[Platinum]]</f>
        <v>1532054</v>
      </c>
      <c r="W113" s="245"/>
      <c r="X113" s="69" t="n">
        <f aca="false">ROUNDUP( (1-MIN(ROUND(facs_rezone_factor*TblRezone[[#This Row],[Facs]],4),facs_rezone_max) + tech_6_4*TblTech[[#This Row],[6-4]] + tech_10_2*TblTech[[#This Row],[10-2]] - IF(TblMagic[[#This Row],[Active Mechanical Genius]]&gt;0,mech_genius_bonus,0) + race_rezone_cost) * TblRezone[[#This Row],[Plat/acre*]],0)</f>
        <v>520</v>
      </c>
      <c r="Y113" s="69" t="n">
        <f aca="false">TblRezone[[#This Row],[Total acres]]*TblRezone[[#This Row],[Plat/acre]]</f>
        <v>0</v>
      </c>
      <c r="Z113" s="245"/>
      <c r="AA113" s="69" t="n">
        <f aca="false">250+0.6*(TblRezone[[#This Row],[Land]]-250)</f>
        <v>520</v>
      </c>
      <c r="AB113" s="245"/>
      <c r="AC113" s="150" t="n">
        <f aca="false">TblConstr[[#This Row],[Facs DB]]</f>
        <v>0</v>
      </c>
    </row>
    <row r="114" customFormat="false" ht="12.75" hidden="false" customHeight="false" outlineLevel="0" collapsed="false">
      <c r="A114" s="181" t="n">
        <f aca="false">TblConstr[[#This Row],[Land]]</f>
        <v>700</v>
      </c>
      <c r="B114" s="246" t="n">
        <f aca="false">TblConstr[[#This Row],[Plain]]</f>
        <v>0</v>
      </c>
      <c r="C114" s="193" t="n">
        <f aca="false">TblConstr[[#This Row],[Forest]]</f>
        <v>0</v>
      </c>
      <c r="D114" s="200" t="n">
        <f aca="false">TblConstr[[#This Row],[Mountain]]</f>
        <v>0</v>
      </c>
      <c r="E114" s="201" t="n">
        <f aca="false">TblConstr[[#This Row],[Hill]]</f>
        <v>0</v>
      </c>
      <c r="F114" s="202" t="n">
        <f aca="false">TblConstr[[#This Row],[Swamp]]</f>
        <v>0</v>
      </c>
      <c r="G114" s="197" t="n">
        <f aca="false">TblConstr[[#This Row],[Cavern]]</f>
        <v>0</v>
      </c>
      <c r="H114" s="198" t="n">
        <f aca="false">TblConstr[[#This Row],[Water]]</f>
        <v>0</v>
      </c>
      <c r="I114" s="245"/>
      <c r="J114" s="269" t="n">
        <f aca="false">J113+1</f>
        <v>111</v>
      </c>
      <c r="K114" s="270" t="n">
        <f aca="false">TblImps[[#This Row],[Real time]]</f>
        <v>45434.3333333333</v>
      </c>
      <c r="L114" s="182"/>
      <c r="M114" s="182"/>
      <c r="N114" s="182"/>
      <c r="O114" s="182"/>
      <c r="P114" s="182"/>
      <c r="Q114" s="182"/>
      <c r="R114" s="182"/>
      <c r="S114" s="69" t="n">
        <f aca="false">SUMIF(TblRezone[[#This Row],[Plains Rezone]:[Water Rezone]],"&gt;0")</f>
        <v>0</v>
      </c>
      <c r="T114" s="33" t="str">
        <f aca="false">IF(SUM(TblRezone[[#This Row],[Plains Rezone]:[Water Rezone]])=0,"Ok","Nope")</f>
        <v>Ok</v>
      </c>
      <c r="U114" s="245"/>
      <c r="V114" s="69" t="n">
        <f aca="false">TblProd[[#This Row],[Platinum]]</f>
        <v>1563069</v>
      </c>
      <c r="W114" s="245"/>
      <c r="X114" s="69" t="n">
        <f aca="false">ROUNDUP( (1-MIN(ROUND(facs_rezone_factor*TblRezone[[#This Row],[Facs]],4),facs_rezone_max) + tech_6_4*TblTech[[#This Row],[6-4]] + tech_10_2*TblTech[[#This Row],[10-2]] - IF(TblMagic[[#This Row],[Active Mechanical Genius]]&gt;0,mech_genius_bonus,0) + race_rezone_cost) * TblRezone[[#This Row],[Plat/acre*]],0)</f>
        <v>520</v>
      </c>
      <c r="Y114" s="69" t="n">
        <f aca="false">TblRezone[[#This Row],[Total acres]]*TblRezone[[#This Row],[Plat/acre]]</f>
        <v>0</v>
      </c>
      <c r="Z114" s="245"/>
      <c r="AA114" s="69" t="n">
        <f aca="false">250+0.6*(TblRezone[[#This Row],[Land]]-250)</f>
        <v>520</v>
      </c>
      <c r="AB114" s="245"/>
      <c r="AC114" s="150" t="n">
        <f aca="false">TblConstr[[#This Row],[Facs DB]]</f>
        <v>0</v>
      </c>
    </row>
    <row r="115" customFormat="false" ht="12.75" hidden="false" customHeight="false" outlineLevel="0" collapsed="false">
      <c r="A115" s="181" t="n">
        <f aca="false">TblConstr[[#This Row],[Land]]</f>
        <v>700</v>
      </c>
      <c r="B115" s="246" t="n">
        <f aca="false">TblConstr[[#This Row],[Plain]]</f>
        <v>0</v>
      </c>
      <c r="C115" s="193" t="n">
        <f aca="false">TblConstr[[#This Row],[Forest]]</f>
        <v>0</v>
      </c>
      <c r="D115" s="200" t="n">
        <f aca="false">TblConstr[[#This Row],[Mountain]]</f>
        <v>0</v>
      </c>
      <c r="E115" s="201" t="n">
        <f aca="false">TblConstr[[#This Row],[Hill]]</f>
        <v>0</v>
      </c>
      <c r="F115" s="202" t="n">
        <f aca="false">TblConstr[[#This Row],[Swamp]]</f>
        <v>0</v>
      </c>
      <c r="G115" s="197" t="n">
        <f aca="false">TblConstr[[#This Row],[Cavern]]</f>
        <v>0</v>
      </c>
      <c r="H115" s="198" t="n">
        <f aca="false">TblConstr[[#This Row],[Water]]</f>
        <v>0</v>
      </c>
      <c r="I115" s="245"/>
      <c r="J115" s="269" t="n">
        <f aca="false">J114+1</f>
        <v>112</v>
      </c>
      <c r="K115" s="270" t="n">
        <f aca="false">TblImps[[#This Row],[Real time]]</f>
        <v>45434.375</v>
      </c>
      <c r="L115" s="182"/>
      <c r="M115" s="182"/>
      <c r="N115" s="182"/>
      <c r="O115" s="182"/>
      <c r="P115" s="182"/>
      <c r="Q115" s="182"/>
      <c r="R115" s="182"/>
      <c r="S115" s="69" t="n">
        <f aca="false">SUMIF(TblRezone[[#This Row],[Plains Rezone]:[Water Rezone]],"&gt;0")</f>
        <v>0</v>
      </c>
      <c r="T115" s="33" t="str">
        <f aca="false">IF(SUM(TblRezone[[#This Row],[Plains Rezone]:[Water Rezone]])=0,"Ok","Nope")</f>
        <v>Ok</v>
      </c>
      <c r="U115" s="245"/>
      <c r="V115" s="69" t="n">
        <f aca="false">TblProd[[#This Row],[Platinum]]</f>
        <v>1593898</v>
      </c>
      <c r="W115" s="245"/>
      <c r="X115" s="69" t="n">
        <f aca="false">ROUNDUP( (1-MIN(ROUND(facs_rezone_factor*TblRezone[[#This Row],[Facs]],4),facs_rezone_max) + tech_6_4*TblTech[[#This Row],[6-4]] + tech_10_2*TblTech[[#This Row],[10-2]] - IF(TblMagic[[#This Row],[Active Mechanical Genius]]&gt;0,mech_genius_bonus,0) + race_rezone_cost) * TblRezone[[#This Row],[Plat/acre*]],0)</f>
        <v>520</v>
      </c>
      <c r="Y115" s="69" t="n">
        <f aca="false">TblRezone[[#This Row],[Total acres]]*TblRezone[[#This Row],[Plat/acre]]</f>
        <v>0</v>
      </c>
      <c r="Z115" s="245"/>
      <c r="AA115" s="69" t="n">
        <f aca="false">250+0.6*(TblRezone[[#This Row],[Land]]-250)</f>
        <v>520</v>
      </c>
      <c r="AB115" s="245"/>
      <c r="AC115" s="150" t="n">
        <f aca="false">TblConstr[[#This Row],[Facs DB]]</f>
        <v>0</v>
      </c>
    </row>
    <row r="116" customFormat="false" ht="12.75" hidden="false" customHeight="false" outlineLevel="0" collapsed="false">
      <c r="A116" s="181" t="n">
        <f aca="false">TblConstr[[#This Row],[Land]]</f>
        <v>700</v>
      </c>
      <c r="B116" s="246" t="n">
        <f aca="false">TblConstr[[#This Row],[Plain]]</f>
        <v>0</v>
      </c>
      <c r="C116" s="193" t="n">
        <f aca="false">TblConstr[[#This Row],[Forest]]</f>
        <v>0</v>
      </c>
      <c r="D116" s="200" t="n">
        <f aca="false">TblConstr[[#This Row],[Mountain]]</f>
        <v>0</v>
      </c>
      <c r="E116" s="201" t="n">
        <f aca="false">TblConstr[[#This Row],[Hill]]</f>
        <v>0</v>
      </c>
      <c r="F116" s="202" t="n">
        <f aca="false">TblConstr[[#This Row],[Swamp]]</f>
        <v>0</v>
      </c>
      <c r="G116" s="197" t="n">
        <f aca="false">TblConstr[[#This Row],[Cavern]]</f>
        <v>0</v>
      </c>
      <c r="H116" s="198" t="n">
        <f aca="false">TblConstr[[#This Row],[Water]]</f>
        <v>0</v>
      </c>
      <c r="I116" s="245"/>
      <c r="J116" s="269" t="n">
        <f aca="false">J115+1</f>
        <v>113</v>
      </c>
      <c r="K116" s="270" t="n">
        <f aca="false">TblImps[[#This Row],[Real time]]</f>
        <v>45434.4166666667</v>
      </c>
      <c r="L116" s="182"/>
      <c r="M116" s="182"/>
      <c r="N116" s="182"/>
      <c r="O116" s="182"/>
      <c r="P116" s="182"/>
      <c r="Q116" s="182"/>
      <c r="R116" s="182"/>
      <c r="S116" s="69" t="n">
        <f aca="false">SUMIF(TblRezone[[#This Row],[Plains Rezone]:[Water Rezone]],"&gt;0")</f>
        <v>0</v>
      </c>
      <c r="T116" s="33" t="str">
        <f aca="false">IF(SUM(TblRezone[[#This Row],[Plains Rezone]:[Water Rezone]])=0,"Ok","Nope")</f>
        <v>Ok</v>
      </c>
      <c r="U116" s="245"/>
      <c r="V116" s="69" t="n">
        <f aca="false">TblProd[[#This Row],[Platinum]]</f>
        <v>1624543</v>
      </c>
      <c r="W116" s="245"/>
      <c r="X116" s="69" t="n">
        <f aca="false">ROUNDUP( (1-MIN(ROUND(facs_rezone_factor*TblRezone[[#This Row],[Facs]],4),facs_rezone_max) + tech_6_4*TblTech[[#This Row],[6-4]] + tech_10_2*TblTech[[#This Row],[10-2]] - IF(TblMagic[[#This Row],[Active Mechanical Genius]]&gt;0,mech_genius_bonus,0) + race_rezone_cost) * TblRezone[[#This Row],[Plat/acre*]],0)</f>
        <v>520</v>
      </c>
      <c r="Y116" s="69" t="n">
        <f aca="false">TblRezone[[#This Row],[Total acres]]*TblRezone[[#This Row],[Plat/acre]]</f>
        <v>0</v>
      </c>
      <c r="Z116" s="245"/>
      <c r="AA116" s="69" t="n">
        <f aca="false">250+0.6*(TblRezone[[#This Row],[Land]]-250)</f>
        <v>520</v>
      </c>
      <c r="AB116" s="245"/>
      <c r="AC116" s="150" t="n">
        <f aca="false">TblConstr[[#This Row],[Facs DB]]</f>
        <v>0</v>
      </c>
    </row>
    <row r="117" customFormat="false" ht="12.75" hidden="false" customHeight="false" outlineLevel="0" collapsed="false">
      <c r="A117" s="181" t="n">
        <f aca="false">TblConstr[[#This Row],[Land]]</f>
        <v>700</v>
      </c>
      <c r="B117" s="246" t="n">
        <f aca="false">TblConstr[[#This Row],[Plain]]</f>
        <v>0</v>
      </c>
      <c r="C117" s="193" t="n">
        <f aca="false">TblConstr[[#This Row],[Forest]]</f>
        <v>0</v>
      </c>
      <c r="D117" s="200" t="n">
        <f aca="false">TblConstr[[#This Row],[Mountain]]</f>
        <v>0</v>
      </c>
      <c r="E117" s="201" t="n">
        <f aca="false">TblConstr[[#This Row],[Hill]]</f>
        <v>0</v>
      </c>
      <c r="F117" s="202" t="n">
        <f aca="false">TblConstr[[#This Row],[Swamp]]</f>
        <v>0</v>
      </c>
      <c r="G117" s="197" t="n">
        <f aca="false">TblConstr[[#This Row],[Cavern]]</f>
        <v>0</v>
      </c>
      <c r="H117" s="198" t="n">
        <f aca="false">TblConstr[[#This Row],[Water]]</f>
        <v>0</v>
      </c>
      <c r="I117" s="245"/>
      <c r="J117" s="269" t="n">
        <f aca="false">J116+1</f>
        <v>114</v>
      </c>
      <c r="K117" s="270" t="n">
        <f aca="false">TblImps[[#This Row],[Real time]]</f>
        <v>45434.4583333333</v>
      </c>
      <c r="L117" s="182"/>
      <c r="M117" s="182"/>
      <c r="N117" s="182"/>
      <c r="O117" s="182"/>
      <c r="P117" s="182"/>
      <c r="Q117" s="182"/>
      <c r="R117" s="182"/>
      <c r="S117" s="69" t="n">
        <f aca="false">SUMIF(TblRezone[[#This Row],[Plains Rezone]:[Water Rezone]],"&gt;0")</f>
        <v>0</v>
      </c>
      <c r="T117" s="33" t="str">
        <f aca="false">IF(SUM(TblRezone[[#This Row],[Plains Rezone]:[Water Rezone]])=0,"Ok","Nope")</f>
        <v>Ok</v>
      </c>
      <c r="U117" s="245"/>
      <c r="V117" s="69" t="n">
        <f aca="false">TblProd[[#This Row],[Platinum]]</f>
        <v>1655005</v>
      </c>
      <c r="W117" s="245"/>
      <c r="X117" s="69" t="n">
        <f aca="false">ROUNDUP( (1-MIN(ROUND(facs_rezone_factor*TblRezone[[#This Row],[Facs]],4),facs_rezone_max) + tech_6_4*TblTech[[#This Row],[6-4]] + tech_10_2*TblTech[[#This Row],[10-2]] - IF(TblMagic[[#This Row],[Active Mechanical Genius]]&gt;0,mech_genius_bonus,0) + race_rezone_cost) * TblRezone[[#This Row],[Plat/acre*]],0)</f>
        <v>520</v>
      </c>
      <c r="Y117" s="69" t="n">
        <f aca="false">TblRezone[[#This Row],[Total acres]]*TblRezone[[#This Row],[Plat/acre]]</f>
        <v>0</v>
      </c>
      <c r="Z117" s="245"/>
      <c r="AA117" s="69" t="n">
        <f aca="false">250+0.6*(TblRezone[[#This Row],[Land]]-250)</f>
        <v>520</v>
      </c>
      <c r="AB117" s="245"/>
      <c r="AC117" s="150" t="n">
        <f aca="false">TblConstr[[#This Row],[Facs DB]]</f>
        <v>0</v>
      </c>
    </row>
    <row r="118" customFormat="false" ht="12.75" hidden="false" customHeight="false" outlineLevel="0" collapsed="false">
      <c r="A118" s="181" t="n">
        <f aca="false">TblConstr[[#This Row],[Land]]</f>
        <v>700</v>
      </c>
      <c r="B118" s="246" t="n">
        <f aca="false">TblConstr[[#This Row],[Plain]]</f>
        <v>0</v>
      </c>
      <c r="C118" s="193" t="n">
        <f aca="false">TblConstr[[#This Row],[Forest]]</f>
        <v>0</v>
      </c>
      <c r="D118" s="200" t="n">
        <f aca="false">TblConstr[[#This Row],[Mountain]]</f>
        <v>0</v>
      </c>
      <c r="E118" s="201" t="n">
        <f aca="false">TblConstr[[#This Row],[Hill]]</f>
        <v>0</v>
      </c>
      <c r="F118" s="202" t="n">
        <f aca="false">TblConstr[[#This Row],[Swamp]]</f>
        <v>0</v>
      </c>
      <c r="G118" s="197" t="n">
        <f aca="false">TblConstr[[#This Row],[Cavern]]</f>
        <v>0</v>
      </c>
      <c r="H118" s="198" t="n">
        <f aca="false">TblConstr[[#This Row],[Water]]</f>
        <v>0</v>
      </c>
      <c r="I118" s="245"/>
      <c r="J118" s="269" t="n">
        <f aca="false">J117+1</f>
        <v>115</v>
      </c>
      <c r="K118" s="270" t="n">
        <f aca="false">TblImps[[#This Row],[Real time]]</f>
        <v>45434.5</v>
      </c>
      <c r="L118" s="182"/>
      <c r="M118" s="182"/>
      <c r="N118" s="182"/>
      <c r="O118" s="182"/>
      <c r="P118" s="182"/>
      <c r="Q118" s="182"/>
      <c r="R118" s="182"/>
      <c r="S118" s="69" t="n">
        <f aca="false">SUMIF(TblRezone[[#This Row],[Plains Rezone]:[Water Rezone]],"&gt;0")</f>
        <v>0</v>
      </c>
      <c r="T118" s="33" t="str">
        <f aca="false">IF(SUM(TblRezone[[#This Row],[Plains Rezone]:[Water Rezone]])=0,"Ok","Nope")</f>
        <v>Ok</v>
      </c>
      <c r="U118" s="245"/>
      <c r="V118" s="69" t="n">
        <f aca="false">TblProd[[#This Row],[Platinum]]</f>
        <v>1685286</v>
      </c>
      <c r="W118" s="245"/>
      <c r="X118" s="69" t="n">
        <f aca="false">ROUNDUP( (1-MIN(ROUND(facs_rezone_factor*TblRezone[[#This Row],[Facs]],4),facs_rezone_max) + tech_6_4*TblTech[[#This Row],[6-4]] + tech_10_2*TblTech[[#This Row],[10-2]] - IF(TblMagic[[#This Row],[Active Mechanical Genius]]&gt;0,mech_genius_bonus,0) + race_rezone_cost) * TblRezone[[#This Row],[Plat/acre*]],0)</f>
        <v>520</v>
      </c>
      <c r="Y118" s="69" t="n">
        <f aca="false">TblRezone[[#This Row],[Total acres]]*TblRezone[[#This Row],[Plat/acre]]</f>
        <v>0</v>
      </c>
      <c r="Z118" s="245"/>
      <c r="AA118" s="69" t="n">
        <f aca="false">250+0.6*(TblRezone[[#This Row],[Land]]-250)</f>
        <v>520</v>
      </c>
      <c r="AB118" s="245"/>
      <c r="AC118" s="150" t="n">
        <f aca="false">TblConstr[[#This Row],[Facs DB]]</f>
        <v>0</v>
      </c>
    </row>
    <row r="119" customFormat="false" ht="12.75" hidden="false" customHeight="false" outlineLevel="0" collapsed="false">
      <c r="A119" s="181" t="n">
        <f aca="false">TblConstr[[#This Row],[Land]]</f>
        <v>700</v>
      </c>
      <c r="B119" s="246" t="n">
        <f aca="false">TblConstr[[#This Row],[Plain]]</f>
        <v>0</v>
      </c>
      <c r="C119" s="193" t="n">
        <f aca="false">TblConstr[[#This Row],[Forest]]</f>
        <v>0</v>
      </c>
      <c r="D119" s="200" t="n">
        <f aca="false">TblConstr[[#This Row],[Mountain]]</f>
        <v>0</v>
      </c>
      <c r="E119" s="201" t="n">
        <f aca="false">TblConstr[[#This Row],[Hill]]</f>
        <v>0</v>
      </c>
      <c r="F119" s="202" t="n">
        <f aca="false">TblConstr[[#This Row],[Swamp]]</f>
        <v>0</v>
      </c>
      <c r="G119" s="197" t="n">
        <f aca="false">TblConstr[[#This Row],[Cavern]]</f>
        <v>0</v>
      </c>
      <c r="H119" s="198" t="n">
        <f aca="false">TblConstr[[#This Row],[Water]]</f>
        <v>0</v>
      </c>
      <c r="I119" s="245"/>
      <c r="J119" s="269" t="n">
        <f aca="false">J118+1</f>
        <v>116</v>
      </c>
      <c r="K119" s="270" t="n">
        <f aca="false">TblImps[[#This Row],[Real time]]</f>
        <v>45434.5416666667</v>
      </c>
      <c r="L119" s="182"/>
      <c r="M119" s="182"/>
      <c r="N119" s="182"/>
      <c r="O119" s="182"/>
      <c r="P119" s="182"/>
      <c r="Q119" s="182"/>
      <c r="R119" s="182"/>
      <c r="S119" s="69" t="n">
        <f aca="false">SUMIF(TblRezone[[#This Row],[Plains Rezone]:[Water Rezone]],"&gt;0")</f>
        <v>0</v>
      </c>
      <c r="T119" s="33" t="str">
        <f aca="false">IF(SUM(TblRezone[[#This Row],[Plains Rezone]:[Water Rezone]])=0,"Ok","Nope")</f>
        <v>Ok</v>
      </c>
      <c r="U119" s="245"/>
      <c r="V119" s="69" t="n">
        <f aca="false">TblProd[[#This Row],[Platinum]]</f>
        <v>1715389</v>
      </c>
      <c r="W119" s="245"/>
      <c r="X119" s="69" t="n">
        <f aca="false">ROUNDUP( (1-MIN(ROUND(facs_rezone_factor*TblRezone[[#This Row],[Facs]],4),facs_rezone_max) + tech_6_4*TblTech[[#This Row],[6-4]] + tech_10_2*TblTech[[#This Row],[10-2]] - IF(TblMagic[[#This Row],[Active Mechanical Genius]]&gt;0,mech_genius_bonus,0) + race_rezone_cost) * TblRezone[[#This Row],[Plat/acre*]],0)</f>
        <v>520</v>
      </c>
      <c r="Y119" s="69" t="n">
        <f aca="false">TblRezone[[#This Row],[Total acres]]*TblRezone[[#This Row],[Plat/acre]]</f>
        <v>0</v>
      </c>
      <c r="Z119" s="245"/>
      <c r="AA119" s="69" t="n">
        <f aca="false">250+0.6*(TblRezone[[#This Row],[Land]]-250)</f>
        <v>520</v>
      </c>
      <c r="AB119" s="245"/>
      <c r="AC119" s="150" t="n">
        <f aca="false">TblConstr[[#This Row],[Facs DB]]</f>
        <v>0</v>
      </c>
    </row>
    <row r="120" customFormat="false" ht="12.75" hidden="false" customHeight="false" outlineLevel="0" collapsed="false">
      <c r="A120" s="181" t="n">
        <f aca="false">TblConstr[[#This Row],[Land]]</f>
        <v>700</v>
      </c>
      <c r="B120" s="246" t="n">
        <f aca="false">TblConstr[[#This Row],[Plain]]</f>
        <v>0</v>
      </c>
      <c r="C120" s="193" t="n">
        <f aca="false">TblConstr[[#This Row],[Forest]]</f>
        <v>0</v>
      </c>
      <c r="D120" s="200" t="n">
        <f aca="false">TblConstr[[#This Row],[Mountain]]</f>
        <v>0</v>
      </c>
      <c r="E120" s="201" t="n">
        <f aca="false">TblConstr[[#This Row],[Hill]]</f>
        <v>0</v>
      </c>
      <c r="F120" s="202" t="n">
        <f aca="false">TblConstr[[#This Row],[Swamp]]</f>
        <v>0</v>
      </c>
      <c r="G120" s="197" t="n">
        <f aca="false">TblConstr[[#This Row],[Cavern]]</f>
        <v>0</v>
      </c>
      <c r="H120" s="198" t="n">
        <f aca="false">TblConstr[[#This Row],[Water]]</f>
        <v>0</v>
      </c>
      <c r="I120" s="245"/>
      <c r="J120" s="269" t="n">
        <f aca="false">J119+1</f>
        <v>117</v>
      </c>
      <c r="K120" s="270" t="n">
        <f aca="false">TblImps[[#This Row],[Real time]]</f>
        <v>45434.5833333333</v>
      </c>
      <c r="L120" s="182"/>
      <c r="M120" s="182"/>
      <c r="N120" s="182"/>
      <c r="O120" s="182"/>
      <c r="P120" s="182"/>
      <c r="Q120" s="182"/>
      <c r="R120" s="182"/>
      <c r="S120" s="69" t="n">
        <f aca="false">SUMIF(TblRezone[[#This Row],[Plains Rezone]:[Water Rezone]],"&gt;0")</f>
        <v>0</v>
      </c>
      <c r="T120" s="33" t="str">
        <f aca="false">IF(SUM(TblRezone[[#This Row],[Plains Rezone]:[Water Rezone]])=0,"Ok","Nope")</f>
        <v>Ok</v>
      </c>
      <c r="U120" s="245"/>
      <c r="V120" s="69" t="n">
        <f aca="false">TblProd[[#This Row],[Platinum]]</f>
        <v>1745314</v>
      </c>
      <c r="W120" s="245"/>
      <c r="X120" s="69" t="n">
        <f aca="false">ROUNDUP( (1-MIN(ROUND(facs_rezone_factor*TblRezone[[#This Row],[Facs]],4),facs_rezone_max) + tech_6_4*TblTech[[#This Row],[6-4]] + tech_10_2*TblTech[[#This Row],[10-2]] - IF(TblMagic[[#This Row],[Active Mechanical Genius]]&gt;0,mech_genius_bonus,0) + race_rezone_cost) * TblRezone[[#This Row],[Plat/acre*]],0)</f>
        <v>520</v>
      </c>
      <c r="Y120" s="69" t="n">
        <f aca="false">TblRezone[[#This Row],[Total acres]]*TblRezone[[#This Row],[Plat/acre]]</f>
        <v>0</v>
      </c>
      <c r="Z120" s="245"/>
      <c r="AA120" s="69" t="n">
        <f aca="false">250+0.6*(TblRezone[[#This Row],[Land]]-250)</f>
        <v>520</v>
      </c>
      <c r="AB120" s="245"/>
      <c r="AC120" s="150" t="n">
        <f aca="false">TblConstr[[#This Row],[Facs DB]]</f>
        <v>0</v>
      </c>
    </row>
    <row r="121" customFormat="false" ht="12.75" hidden="false" customHeight="false" outlineLevel="0" collapsed="false">
      <c r="A121" s="181" t="n">
        <f aca="false">TblConstr[[#This Row],[Land]]</f>
        <v>700</v>
      </c>
      <c r="B121" s="246" t="n">
        <f aca="false">TblConstr[[#This Row],[Plain]]</f>
        <v>0</v>
      </c>
      <c r="C121" s="193" t="n">
        <f aca="false">TblConstr[[#This Row],[Forest]]</f>
        <v>0</v>
      </c>
      <c r="D121" s="200" t="n">
        <f aca="false">TblConstr[[#This Row],[Mountain]]</f>
        <v>0</v>
      </c>
      <c r="E121" s="201" t="n">
        <f aca="false">TblConstr[[#This Row],[Hill]]</f>
        <v>0</v>
      </c>
      <c r="F121" s="202" t="n">
        <f aca="false">TblConstr[[#This Row],[Swamp]]</f>
        <v>0</v>
      </c>
      <c r="G121" s="197" t="n">
        <f aca="false">TblConstr[[#This Row],[Cavern]]</f>
        <v>0</v>
      </c>
      <c r="H121" s="198" t="n">
        <f aca="false">TblConstr[[#This Row],[Water]]</f>
        <v>0</v>
      </c>
      <c r="I121" s="245"/>
      <c r="J121" s="269" t="n">
        <f aca="false">J120+1</f>
        <v>118</v>
      </c>
      <c r="K121" s="270" t="n">
        <f aca="false">TblImps[[#This Row],[Real time]]</f>
        <v>45434.625</v>
      </c>
      <c r="L121" s="182"/>
      <c r="M121" s="182"/>
      <c r="N121" s="182"/>
      <c r="O121" s="182"/>
      <c r="P121" s="182"/>
      <c r="Q121" s="182"/>
      <c r="R121" s="182"/>
      <c r="S121" s="69" t="n">
        <f aca="false">SUMIF(TblRezone[[#This Row],[Plains Rezone]:[Water Rezone]],"&gt;0")</f>
        <v>0</v>
      </c>
      <c r="T121" s="33" t="str">
        <f aca="false">IF(SUM(TblRezone[[#This Row],[Plains Rezone]:[Water Rezone]])=0,"Ok","Nope")</f>
        <v>Ok</v>
      </c>
      <c r="U121" s="245"/>
      <c r="V121" s="69" t="n">
        <f aca="false">TblProd[[#This Row],[Platinum]]</f>
        <v>1775063</v>
      </c>
      <c r="W121" s="245"/>
      <c r="X121" s="69" t="n">
        <f aca="false">ROUNDUP( (1-MIN(ROUND(facs_rezone_factor*TblRezone[[#This Row],[Facs]],4),facs_rezone_max) + tech_6_4*TblTech[[#This Row],[6-4]] + tech_10_2*TblTech[[#This Row],[10-2]] - IF(TblMagic[[#This Row],[Active Mechanical Genius]]&gt;0,mech_genius_bonus,0) + race_rezone_cost) * TblRezone[[#This Row],[Plat/acre*]],0)</f>
        <v>520</v>
      </c>
      <c r="Y121" s="69" t="n">
        <f aca="false">TblRezone[[#This Row],[Total acres]]*TblRezone[[#This Row],[Plat/acre]]</f>
        <v>0</v>
      </c>
      <c r="Z121" s="245"/>
      <c r="AA121" s="69" t="n">
        <f aca="false">250+0.6*(TblRezone[[#This Row],[Land]]-250)</f>
        <v>520</v>
      </c>
      <c r="AB121" s="245"/>
      <c r="AC121" s="150" t="n">
        <f aca="false">TblConstr[[#This Row],[Facs DB]]</f>
        <v>0</v>
      </c>
    </row>
    <row r="122" customFormat="false" ht="12.75" hidden="false" customHeight="false" outlineLevel="0" collapsed="false">
      <c r="A122" s="181" t="n">
        <f aca="false">TblConstr[[#This Row],[Land]]</f>
        <v>700</v>
      </c>
      <c r="B122" s="246" t="n">
        <f aca="false">TblConstr[[#This Row],[Plain]]</f>
        <v>0</v>
      </c>
      <c r="C122" s="193" t="n">
        <f aca="false">TblConstr[[#This Row],[Forest]]</f>
        <v>0</v>
      </c>
      <c r="D122" s="200" t="n">
        <f aca="false">TblConstr[[#This Row],[Mountain]]</f>
        <v>0</v>
      </c>
      <c r="E122" s="201" t="n">
        <f aca="false">TblConstr[[#This Row],[Hill]]</f>
        <v>0</v>
      </c>
      <c r="F122" s="202" t="n">
        <f aca="false">TblConstr[[#This Row],[Swamp]]</f>
        <v>0</v>
      </c>
      <c r="G122" s="197" t="n">
        <f aca="false">TblConstr[[#This Row],[Cavern]]</f>
        <v>0</v>
      </c>
      <c r="H122" s="198" t="n">
        <f aca="false">TblConstr[[#This Row],[Water]]</f>
        <v>0</v>
      </c>
      <c r="I122" s="245"/>
      <c r="J122" s="269" t="n">
        <f aca="false">J121+1</f>
        <v>119</v>
      </c>
      <c r="K122" s="270" t="n">
        <f aca="false">TblImps[[#This Row],[Real time]]</f>
        <v>45434.6666666667</v>
      </c>
      <c r="L122" s="182"/>
      <c r="M122" s="182"/>
      <c r="N122" s="182"/>
      <c r="O122" s="182"/>
      <c r="P122" s="182"/>
      <c r="Q122" s="182"/>
      <c r="R122" s="182"/>
      <c r="S122" s="69" t="n">
        <f aca="false">SUMIF(TblRezone[[#This Row],[Plains Rezone]:[Water Rezone]],"&gt;0")</f>
        <v>0</v>
      </c>
      <c r="T122" s="33" t="str">
        <f aca="false">IF(SUM(TblRezone[[#This Row],[Plains Rezone]:[Water Rezone]])=0,"Ok","Nope")</f>
        <v>Ok</v>
      </c>
      <c r="U122" s="245"/>
      <c r="V122" s="69" t="n">
        <f aca="false">TblProd[[#This Row],[Platinum]]</f>
        <v>1804639</v>
      </c>
      <c r="W122" s="245"/>
      <c r="X122" s="69" t="n">
        <f aca="false">ROUNDUP( (1-MIN(ROUND(facs_rezone_factor*TblRezone[[#This Row],[Facs]],4),facs_rezone_max) + tech_6_4*TblTech[[#This Row],[6-4]] + tech_10_2*TblTech[[#This Row],[10-2]] - IF(TblMagic[[#This Row],[Active Mechanical Genius]]&gt;0,mech_genius_bonus,0) + race_rezone_cost) * TblRezone[[#This Row],[Plat/acre*]],0)</f>
        <v>520</v>
      </c>
      <c r="Y122" s="69" t="n">
        <f aca="false">TblRezone[[#This Row],[Total acres]]*TblRezone[[#This Row],[Plat/acre]]</f>
        <v>0</v>
      </c>
      <c r="Z122" s="245"/>
      <c r="AA122" s="69" t="n">
        <f aca="false">250+0.6*(TblRezone[[#This Row],[Land]]-250)</f>
        <v>520</v>
      </c>
      <c r="AB122" s="245"/>
      <c r="AC122" s="150" t="n">
        <f aca="false">TblConstr[[#This Row],[Facs DB]]</f>
        <v>0</v>
      </c>
    </row>
    <row r="123" customFormat="false" ht="12.75" hidden="false" customHeight="false" outlineLevel="0" collapsed="false">
      <c r="A123" s="181" t="n">
        <f aca="false">TblConstr[[#This Row],[Land]]</f>
        <v>700</v>
      </c>
      <c r="B123" s="246" t="n">
        <f aca="false">TblConstr[[#This Row],[Plain]]</f>
        <v>0</v>
      </c>
      <c r="C123" s="193" t="n">
        <f aca="false">TblConstr[[#This Row],[Forest]]</f>
        <v>0</v>
      </c>
      <c r="D123" s="200" t="n">
        <f aca="false">TblConstr[[#This Row],[Mountain]]</f>
        <v>0</v>
      </c>
      <c r="E123" s="201" t="n">
        <f aca="false">TblConstr[[#This Row],[Hill]]</f>
        <v>0</v>
      </c>
      <c r="F123" s="202" t="n">
        <f aca="false">TblConstr[[#This Row],[Swamp]]</f>
        <v>0</v>
      </c>
      <c r="G123" s="197" t="n">
        <f aca="false">TblConstr[[#This Row],[Cavern]]</f>
        <v>0</v>
      </c>
      <c r="H123" s="198" t="n">
        <f aca="false">TblConstr[[#This Row],[Water]]</f>
        <v>0</v>
      </c>
      <c r="I123" s="245"/>
      <c r="J123" s="269" t="n">
        <f aca="false">J122+1</f>
        <v>120</v>
      </c>
      <c r="K123" s="270" t="n">
        <f aca="false">TblImps[[#This Row],[Real time]]</f>
        <v>45434.7083333333</v>
      </c>
      <c r="L123" s="182"/>
      <c r="M123" s="182"/>
      <c r="N123" s="182"/>
      <c r="O123" s="182"/>
      <c r="P123" s="182"/>
      <c r="Q123" s="182"/>
      <c r="R123" s="182"/>
      <c r="S123" s="69" t="n">
        <f aca="false">SUMIF(TblRezone[[#This Row],[Plains Rezone]:[Water Rezone]],"&gt;0")</f>
        <v>0</v>
      </c>
      <c r="T123" s="33" t="str">
        <f aca="false">IF(SUM(TblRezone[[#This Row],[Plains Rezone]:[Water Rezone]])=0,"Ok","Nope")</f>
        <v>Ok</v>
      </c>
      <c r="U123" s="245"/>
      <c r="V123" s="69" t="n">
        <f aca="false">TblProd[[#This Row],[Platinum]]</f>
        <v>1834042</v>
      </c>
      <c r="W123" s="245"/>
      <c r="X123" s="69" t="n">
        <f aca="false">ROUNDUP( (1-MIN(ROUND(facs_rezone_factor*TblRezone[[#This Row],[Facs]],4),facs_rezone_max) + tech_6_4*TblTech[[#This Row],[6-4]] + tech_10_2*TblTech[[#This Row],[10-2]] - IF(TblMagic[[#This Row],[Active Mechanical Genius]]&gt;0,mech_genius_bonus,0) + race_rezone_cost) * TblRezone[[#This Row],[Plat/acre*]],0)</f>
        <v>520</v>
      </c>
      <c r="Y123" s="69" t="n">
        <f aca="false">TblRezone[[#This Row],[Total acres]]*TblRezone[[#This Row],[Plat/acre]]</f>
        <v>0</v>
      </c>
      <c r="Z123" s="245"/>
      <c r="AA123" s="69" t="n">
        <f aca="false">250+0.6*(TblRezone[[#This Row],[Land]]-250)</f>
        <v>520</v>
      </c>
      <c r="AB123" s="245"/>
      <c r="AC123" s="150" t="n">
        <f aca="false">TblConstr[[#This Row],[Facs DB]]</f>
        <v>0</v>
      </c>
    </row>
    <row r="124" customFormat="false" ht="12.75" hidden="false" customHeight="false" outlineLevel="0" collapsed="false">
      <c r="A124" s="181" t="n">
        <f aca="false">TblConstr[[#This Row],[Land]]</f>
        <v>700</v>
      </c>
      <c r="B124" s="246" t="n">
        <f aca="false">TblConstr[[#This Row],[Plain]]</f>
        <v>0</v>
      </c>
      <c r="C124" s="193" t="n">
        <f aca="false">TblConstr[[#This Row],[Forest]]</f>
        <v>0</v>
      </c>
      <c r="D124" s="200" t="n">
        <f aca="false">TblConstr[[#This Row],[Mountain]]</f>
        <v>0</v>
      </c>
      <c r="E124" s="201" t="n">
        <f aca="false">TblConstr[[#This Row],[Hill]]</f>
        <v>0</v>
      </c>
      <c r="F124" s="202" t="n">
        <f aca="false">TblConstr[[#This Row],[Swamp]]</f>
        <v>0</v>
      </c>
      <c r="G124" s="197" t="n">
        <f aca="false">TblConstr[[#This Row],[Cavern]]</f>
        <v>0</v>
      </c>
      <c r="H124" s="198" t="n">
        <f aca="false">TblConstr[[#This Row],[Water]]</f>
        <v>0</v>
      </c>
      <c r="I124" s="245"/>
      <c r="J124" s="269" t="n">
        <f aca="false">J123+1</f>
        <v>121</v>
      </c>
      <c r="K124" s="270" t="n">
        <f aca="false">TblImps[[#This Row],[Real time]]</f>
        <v>45434.75</v>
      </c>
      <c r="L124" s="182"/>
      <c r="M124" s="182"/>
      <c r="N124" s="182"/>
      <c r="O124" s="182"/>
      <c r="P124" s="182"/>
      <c r="Q124" s="182"/>
      <c r="R124" s="182"/>
      <c r="S124" s="69" t="n">
        <f aca="false">SUMIF(TblRezone[[#This Row],[Plains Rezone]:[Water Rezone]],"&gt;0")</f>
        <v>0</v>
      </c>
      <c r="T124" s="33" t="str">
        <f aca="false">IF(SUM(TblRezone[[#This Row],[Plains Rezone]:[Water Rezone]])=0,"Ok","Nope")</f>
        <v>Ok</v>
      </c>
      <c r="U124" s="245"/>
      <c r="V124" s="69" t="n">
        <f aca="false">TblProd[[#This Row],[Platinum]]</f>
        <v>1863275</v>
      </c>
      <c r="W124" s="245"/>
      <c r="X124" s="69" t="n">
        <f aca="false">ROUNDUP( (1-MIN(ROUND(facs_rezone_factor*TblRezone[[#This Row],[Facs]],4),facs_rezone_max) + tech_6_4*TblTech[[#This Row],[6-4]] + tech_10_2*TblTech[[#This Row],[10-2]] - IF(TblMagic[[#This Row],[Active Mechanical Genius]]&gt;0,mech_genius_bonus,0) + race_rezone_cost) * TblRezone[[#This Row],[Plat/acre*]],0)</f>
        <v>520</v>
      </c>
      <c r="Y124" s="69" t="n">
        <f aca="false">TblRezone[[#This Row],[Total acres]]*TblRezone[[#This Row],[Plat/acre]]</f>
        <v>0</v>
      </c>
      <c r="Z124" s="245"/>
      <c r="AA124" s="69" t="n">
        <f aca="false">250+0.6*(TblRezone[[#This Row],[Land]]-250)</f>
        <v>520</v>
      </c>
      <c r="AB124" s="245"/>
      <c r="AC124" s="150" t="n">
        <f aca="false">TblConstr[[#This Row],[Facs DB]]</f>
        <v>0</v>
      </c>
    </row>
    <row r="125" customFormat="false" ht="12.75" hidden="false" customHeight="false" outlineLevel="0" collapsed="false">
      <c r="A125" s="181" t="n">
        <f aca="false">TblConstr[[#This Row],[Land]]</f>
        <v>700</v>
      </c>
      <c r="B125" s="246" t="n">
        <f aca="false">TblConstr[[#This Row],[Plain]]</f>
        <v>0</v>
      </c>
      <c r="C125" s="193" t="n">
        <f aca="false">TblConstr[[#This Row],[Forest]]</f>
        <v>0</v>
      </c>
      <c r="D125" s="200" t="n">
        <f aca="false">TblConstr[[#This Row],[Mountain]]</f>
        <v>0</v>
      </c>
      <c r="E125" s="201" t="n">
        <f aca="false">TblConstr[[#This Row],[Hill]]</f>
        <v>0</v>
      </c>
      <c r="F125" s="202" t="n">
        <f aca="false">TblConstr[[#This Row],[Swamp]]</f>
        <v>0</v>
      </c>
      <c r="G125" s="197" t="n">
        <f aca="false">TblConstr[[#This Row],[Cavern]]</f>
        <v>0</v>
      </c>
      <c r="H125" s="198" t="n">
        <f aca="false">TblConstr[[#This Row],[Water]]</f>
        <v>0</v>
      </c>
      <c r="I125" s="245"/>
      <c r="J125" s="269" t="n">
        <f aca="false">J124+1</f>
        <v>122</v>
      </c>
      <c r="K125" s="270" t="n">
        <f aca="false">TblImps[[#This Row],[Real time]]</f>
        <v>45434.7916666667</v>
      </c>
      <c r="L125" s="182"/>
      <c r="M125" s="182"/>
      <c r="N125" s="182"/>
      <c r="O125" s="182"/>
      <c r="P125" s="182"/>
      <c r="Q125" s="182"/>
      <c r="R125" s="182"/>
      <c r="S125" s="69" t="n">
        <f aca="false">SUMIF(TblRezone[[#This Row],[Plains Rezone]:[Water Rezone]],"&gt;0")</f>
        <v>0</v>
      </c>
      <c r="T125" s="33" t="str">
        <f aca="false">IF(SUM(TblRezone[[#This Row],[Plains Rezone]:[Water Rezone]])=0,"Ok","Nope")</f>
        <v>Ok</v>
      </c>
      <c r="U125" s="245"/>
      <c r="V125" s="69" t="n">
        <f aca="false">TblProd[[#This Row],[Platinum]]</f>
        <v>1892341</v>
      </c>
      <c r="W125" s="245"/>
      <c r="X125" s="69" t="n">
        <f aca="false">ROUNDUP( (1-MIN(ROUND(facs_rezone_factor*TblRezone[[#This Row],[Facs]],4),facs_rezone_max) + tech_6_4*TblTech[[#This Row],[6-4]] + tech_10_2*TblTech[[#This Row],[10-2]] - IF(TblMagic[[#This Row],[Active Mechanical Genius]]&gt;0,mech_genius_bonus,0) + race_rezone_cost) * TblRezone[[#This Row],[Plat/acre*]],0)</f>
        <v>520</v>
      </c>
      <c r="Y125" s="69" t="n">
        <f aca="false">TblRezone[[#This Row],[Total acres]]*TblRezone[[#This Row],[Plat/acre]]</f>
        <v>0</v>
      </c>
      <c r="Z125" s="245"/>
      <c r="AA125" s="69" t="n">
        <f aca="false">250+0.6*(TblRezone[[#This Row],[Land]]-250)</f>
        <v>520</v>
      </c>
      <c r="AB125" s="245"/>
      <c r="AC125" s="150" t="n">
        <f aca="false">TblConstr[[#This Row],[Facs DB]]</f>
        <v>0</v>
      </c>
    </row>
    <row r="126" customFormat="false" ht="12.75" hidden="false" customHeight="false" outlineLevel="0" collapsed="false">
      <c r="A126" s="181" t="n">
        <f aca="false">TblConstr[[#This Row],[Land]]</f>
        <v>700</v>
      </c>
      <c r="B126" s="246" t="n">
        <f aca="false">TblConstr[[#This Row],[Plain]]</f>
        <v>0</v>
      </c>
      <c r="C126" s="193" t="n">
        <f aca="false">TblConstr[[#This Row],[Forest]]</f>
        <v>0</v>
      </c>
      <c r="D126" s="200" t="n">
        <f aca="false">TblConstr[[#This Row],[Mountain]]</f>
        <v>0</v>
      </c>
      <c r="E126" s="201" t="n">
        <f aca="false">TblConstr[[#This Row],[Hill]]</f>
        <v>0</v>
      </c>
      <c r="F126" s="202" t="n">
        <f aca="false">TblConstr[[#This Row],[Swamp]]</f>
        <v>0</v>
      </c>
      <c r="G126" s="197" t="n">
        <f aca="false">TblConstr[[#This Row],[Cavern]]</f>
        <v>0</v>
      </c>
      <c r="H126" s="198" t="n">
        <f aca="false">TblConstr[[#This Row],[Water]]</f>
        <v>0</v>
      </c>
      <c r="I126" s="245"/>
      <c r="J126" s="269" t="n">
        <f aca="false">J125+1</f>
        <v>123</v>
      </c>
      <c r="K126" s="270" t="n">
        <f aca="false">TblImps[[#This Row],[Real time]]</f>
        <v>45434.8333333333</v>
      </c>
      <c r="L126" s="182"/>
      <c r="M126" s="182"/>
      <c r="N126" s="182"/>
      <c r="O126" s="182"/>
      <c r="P126" s="182"/>
      <c r="Q126" s="182"/>
      <c r="R126" s="182"/>
      <c r="S126" s="69" t="n">
        <f aca="false">SUMIF(TblRezone[[#This Row],[Plains Rezone]:[Water Rezone]],"&gt;0")</f>
        <v>0</v>
      </c>
      <c r="T126" s="33" t="str">
        <f aca="false">IF(SUM(TblRezone[[#This Row],[Plains Rezone]:[Water Rezone]])=0,"Ok","Nope")</f>
        <v>Ok</v>
      </c>
      <c r="U126" s="245"/>
      <c r="V126" s="69" t="n">
        <f aca="false">TblProd[[#This Row],[Platinum]]</f>
        <v>1921240</v>
      </c>
      <c r="W126" s="245"/>
      <c r="X126" s="69" t="n">
        <f aca="false">ROUNDUP( (1-MIN(ROUND(facs_rezone_factor*TblRezone[[#This Row],[Facs]],4),facs_rezone_max) + tech_6_4*TblTech[[#This Row],[6-4]] + tech_10_2*TblTech[[#This Row],[10-2]] - IF(TblMagic[[#This Row],[Active Mechanical Genius]]&gt;0,mech_genius_bonus,0) + race_rezone_cost) * TblRezone[[#This Row],[Plat/acre*]],0)</f>
        <v>520</v>
      </c>
      <c r="Y126" s="69" t="n">
        <f aca="false">TblRezone[[#This Row],[Total acres]]*TblRezone[[#This Row],[Plat/acre]]</f>
        <v>0</v>
      </c>
      <c r="Z126" s="245"/>
      <c r="AA126" s="69" t="n">
        <f aca="false">250+0.6*(TblRezone[[#This Row],[Land]]-250)</f>
        <v>520</v>
      </c>
      <c r="AB126" s="245"/>
      <c r="AC126" s="150" t="n">
        <f aca="false">TblConstr[[#This Row],[Facs DB]]</f>
        <v>0</v>
      </c>
    </row>
    <row r="127" customFormat="false" ht="12.75" hidden="false" customHeight="false" outlineLevel="0" collapsed="false">
      <c r="A127" s="181" t="n">
        <f aca="false">TblConstr[[#This Row],[Land]]</f>
        <v>700</v>
      </c>
      <c r="B127" s="246" t="n">
        <f aca="false">TblConstr[[#This Row],[Plain]]</f>
        <v>0</v>
      </c>
      <c r="C127" s="193" t="n">
        <f aca="false">TblConstr[[#This Row],[Forest]]</f>
        <v>0</v>
      </c>
      <c r="D127" s="200" t="n">
        <f aca="false">TblConstr[[#This Row],[Mountain]]</f>
        <v>0</v>
      </c>
      <c r="E127" s="201" t="n">
        <f aca="false">TblConstr[[#This Row],[Hill]]</f>
        <v>0</v>
      </c>
      <c r="F127" s="202" t="n">
        <f aca="false">TblConstr[[#This Row],[Swamp]]</f>
        <v>0</v>
      </c>
      <c r="G127" s="197" t="n">
        <f aca="false">TblConstr[[#This Row],[Cavern]]</f>
        <v>0</v>
      </c>
      <c r="H127" s="198" t="n">
        <f aca="false">TblConstr[[#This Row],[Water]]</f>
        <v>0</v>
      </c>
      <c r="I127" s="245"/>
      <c r="J127" s="269" t="n">
        <f aca="false">J126+1</f>
        <v>124</v>
      </c>
      <c r="K127" s="270" t="n">
        <f aca="false">TblImps[[#This Row],[Real time]]</f>
        <v>45434.875</v>
      </c>
      <c r="L127" s="182"/>
      <c r="M127" s="182"/>
      <c r="N127" s="182"/>
      <c r="O127" s="182"/>
      <c r="P127" s="182"/>
      <c r="Q127" s="182"/>
      <c r="R127" s="182"/>
      <c r="S127" s="69" t="n">
        <f aca="false">SUMIF(TblRezone[[#This Row],[Plains Rezone]:[Water Rezone]],"&gt;0")</f>
        <v>0</v>
      </c>
      <c r="T127" s="33" t="str">
        <f aca="false">IF(SUM(TblRezone[[#This Row],[Plains Rezone]:[Water Rezone]])=0,"Ok","Nope")</f>
        <v>Ok</v>
      </c>
      <c r="U127" s="245"/>
      <c r="V127" s="69" t="n">
        <f aca="false">TblProd[[#This Row],[Platinum]]</f>
        <v>1949974</v>
      </c>
      <c r="W127" s="245"/>
      <c r="X127" s="69" t="n">
        <f aca="false">ROUNDUP( (1-MIN(ROUND(facs_rezone_factor*TblRezone[[#This Row],[Facs]],4),facs_rezone_max) + tech_6_4*TblTech[[#This Row],[6-4]] + tech_10_2*TblTech[[#This Row],[10-2]] - IF(TblMagic[[#This Row],[Active Mechanical Genius]]&gt;0,mech_genius_bonus,0) + race_rezone_cost) * TblRezone[[#This Row],[Plat/acre*]],0)</f>
        <v>520</v>
      </c>
      <c r="Y127" s="69" t="n">
        <f aca="false">TblRezone[[#This Row],[Total acres]]*TblRezone[[#This Row],[Plat/acre]]</f>
        <v>0</v>
      </c>
      <c r="Z127" s="245"/>
      <c r="AA127" s="69" t="n">
        <f aca="false">250+0.6*(TblRezone[[#This Row],[Land]]-250)</f>
        <v>520</v>
      </c>
      <c r="AB127" s="245"/>
      <c r="AC127" s="150" t="n">
        <f aca="false">TblConstr[[#This Row],[Facs DB]]</f>
        <v>0</v>
      </c>
    </row>
    <row r="128" customFormat="false" ht="12.75" hidden="false" customHeight="false" outlineLevel="0" collapsed="false">
      <c r="A128" s="181" t="n">
        <f aca="false">TblConstr[[#This Row],[Land]]</f>
        <v>700</v>
      </c>
      <c r="B128" s="246" t="n">
        <f aca="false">TblConstr[[#This Row],[Plain]]</f>
        <v>0</v>
      </c>
      <c r="C128" s="193" t="n">
        <f aca="false">TblConstr[[#This Row],[Forest]]</f>
        <v>0</v>
      </c>
      <c r="D128" s="200" t="n">
        <f aca="false">TblConstr[[#This Row],[Mountain]]</f>
        <v>0</v>
      </c>
      <c r="E128" s="201" t="n">
        <f aca="false">TblConstr[[#This Row],[Hill]]</f>
        <v>0</v>
      </c>
      <c r="F128" s="202" t="n">
        <f aca="false">TblConstr[[#This Row],[Swamp]]</f>
        <v>0</v>
      </c>
      <c r="G128" s="197" t="n">
        <f aca="false">TblConstr[[#This Row],[Cavern]]</f>
        <v>0</v>
      </c>
      <c r="H128" s="198" t="n">
        <f aca="false">TblConstr[[#This Row],[Water]]</f>
        <v>0</v>
      </c>
      <c r="I128" s="245"/>
      <c r="J128" s="269" t="n">
        <f aca="false">J127+1</f>
        <v>125</v>
      </c>
      <c r="K128" s="270" t="n">
        <f aca="false">TblImps[[#This Row],[Real time]]</f>
        <v>45434.9166666667</v>
      </c>
      <c r="L128" s="182"/>
      <c r="M128" s="182"/>
      <c r="N128" s="182"/>
      <c r="O128" s="182"/>
      <c r="P128" s="182"/>
      <c r="Q128" s="182"/>
      <c r="R128" s="182"/>
      <c r="S128" s="69" t="n">
        <f aca="false">SUMIF(TblRezone[[#This Row],[Plains Rezone]:[Water Rezone]],"&gt;0")</f>
        <v>0</v>
      </c>
      <c r="T128" s="33" t="str">
        <f aca="false">IF(SUM(TblRezone[[#This Row],[Plains Rezone]:[Water Rezone]])=0,"Ok","Nope")</f>
        <v>Ok</v>
      </c>
      <c r="U128" s="245"/>
      <c r="V128" s="69" t="n">
        <f aca="false">TblProd[[#This Row],[Platinum]]</f>
        <v>1978543</v>
      </c>
      <c r="W128" s="245"/>
      <c r="X128" s="69" t="n">
        <f aca="false">ROUNDUP( (1-MIN(ROUND(facs_rezone_factor*TblRezone[[#This Row],[Facs]],4),facs_rezone_max) + tech_6_4*TblTech[[#This Row],[6-4]] + tech_10_2*TblTech[[#This Row],[10-2]] - IF(TblMagic[[#This Row],[Active Mechanical Genius]]&gt;0,mech_genius_bonus,0) + race_rezone_cost) * TblRezone[[#This Row],[Plat/acre*]],0)</f>
        <v>520</v>
      </c>
      <c r="Y128" s="69" t="n">
        <f aca="false">TblRezone[[#This Row],[Total acres]]*TblRezone[[#This Row],[Plat/acre]]</f>
        <v>0</v>
      </c>
      <c r="Z128" s="245"/>
      <c r="AA128" s="69" t="n">
        <f aca="false">250+0.6*(TblRezone[[#This Row],[Land]]-250)</f>
        <v>520</v>
      </c>
      <c r="AB128" s="245"/>
      <c r="AC128" s="150" t="n">
        <f aca="false">TblConstr[[#This Row],[Facs DB]]</f>
        <v>0</v>
      </c>
    </row>
    <row r="129" customFormat="false" ht="12.75" hidden="false" customHeight="false" outlineLevel="0" collapsed="false">
      <c r="A129" s="181" t="n">
        <f aca="false">TblConstr[[#This Row],[Land]]</f>
        <v>700</v>
      </c>
      <c r="B129" s="246" t="n">
        <f aca="false">TblConstr[[#This Row],[Plain]]</f>
        <v>0</v>
      </c>
      <c r="C129" s="193" t="n">
        <f aca="false">TblConstr[[#This Row],[Forest]]</f>
        <v>0</v>
      </c>
      <c r="D129" s="200" t="n">
        <f aca="false">TblConstr[[#This Row],[Mountain]]</f>
        <v>0</v>
      </c>
      <c r="E129" s="201" t="n">
        <f aca="false">TblConstr[[#This Row],[Hill]]</f>
        <v>0</v>
      </c>
      <c r="F129" s="202" t="n">
        <f aca="false">TblConstr[[#This Row],[Swamp]]</f>
        <v>0</v>
      </c>
      <c r="G129" s="197" t="n">
        <f aca="false">TblConstr[[#This Row],[Cavern]]</f>
        <v>0</v>
      </c>
      <c r="H129" s="198" t="n">
        <f aca="false">TblConstr[[#This Row],[Water]]</f>
        <v>0</v>
      </c>
      <c r="I129" s="245"/>
      <c r="J129" s="269" t="n">
        <f aca="false">J128+1</f>
        <v>126</v>
      </c>
      <c r="K129" s="270" t="n">
        <f aca="false">TblImps[[#This Row],[Real time]]</f>
        <v>45434.9583333333</v>
      </c>
      <c r="L129" s="182"/>
      <c r="M129" s="182"/>
      <c r="N129" s="182"/>
      <c r="O129" s="182"/>
      <c r="P129" s="182"/>
      <c r="Q129" s="182"/>
      <c r="R129" s="182"/>
      <c r="S129" s="69" t="n">
        <f aca="false">SUMIF(TblRezone[[#This Row],[Plains Rezone]:[Water Rezone]],"&gt;0")</f>
        <v>0</v>
      </c>
      <c r="T129" s="33" t="str">
        <f aca="false">IF(SUM(TblRezone[[#This Row],[Plains Rezone]:[Water Rezone]])=0,"Ok","Nope")</f>
        <v>Ok</v>
      </c>
      <c r="U129" s="245"/>
      <c r="V129" s="69" t="n">
        <f aca="false">TblProd[[#This Row],[Platinum]]</f>
        <v>2006950</v>
      </c>
      <c r="W129" s="245"/>
      <c r="X129" s="69" t="n">
        <f aca="false">ROUNDUP( (1-MIN(ROUND(facs_rezone_factor*TblRezone[[#This Row],[Facs]],4),facs_rezone_max) + tech_6_4*TblTech[[#This Row],[6-4]] + tech_10_2*TblTech[[#This Row],[10-2]] - IF(TblMagic[[#This Row],[Active Mechanical Genius]]&gt;0,mech_genius_bonus,0) + race_rezone_cost) * TblRezone[[#This Row],[Plat/acre*]],0)</f>
        <v>520</v>
      </c>
      <c r="Y129" s="69" t="n">
        <f aca="false">TblRezone[[#This Row],[Total acres]]*TblRezone[[#This Row],[Plat/acre]]</f>
        <v>0</v>
      </c>
      <c r="Z129" s="245"/>
      <c r="AA129" s="69" t="n">
        <f aca="false">250+0.6*(TblRezone[[#This Row],[Land]]-250)</f>
        <v>520</v>
      </c>
      <c r="AB129" s="245"/>
      <c r="AC129" s="150" t="n">
        <f aca="false">TblConstr[[#This Row],[Facs DB]]</f>
        <v>0</v>
      </c>
    </row>
    <row r="130" customFormat="false" ht="12.75" hidden="false" customHeight="false" outlineLevel="0" collapsed="false">
      <c r="A130" s="181" t="n">
        <f aca="false">TblConstr[[#This Row],[Land]]</f>
        <v>700</v>
      </c>
      <c r="B130" s="246" t="n">
        <f aca="false">TblConstr[[#This Row],[Plain]]</f>
        <v>0</v>
      </c>
      <c r="C130" s="193" t="n">
        <f aca="false">TblConstr[[#This Row],[Forest]]</f>
        <v>0</v>
      </c>
      <c r="D130" s="200" t="n">
        <f aca="false">TblConstr[[#This Row],[Mountain]]</f>
        <v>0</v>
      </c>
      <c r="E130" s="201" t="n">
        <f aca="false">TblConstr[[#This Row],[Hill]]</f>
        <v>0</v>
      </c>
      <c r="F130" s="202" t="n">
        <f aca="false">TblConstr[[#This Row],[Swamp]]</f>
        <v>0</v>
      </c>
      <c r="G130" s="197" t="n">
        <f aca="false">TblConstr[[#This Row],[Cavern]]</f>
        <v>0</v>
      </c>
      <c r="H130" s="198" t="n">
        <f aca="false">TblConstr[[#This Row],[Water]]</f>
        <v>0</v>
      </c>
      <c r="I130" s="245"/>
      <c r="J130" s="269" t="n">
        <f aca="false">J129+1</f>
        <v>127</v>
      </c>
      <c r="K130" s="270" t="n">
        <f aca="false">TblImps[[#This Row],[Real time]]</f>
        <v>45435</v>
      </c>
      <c r="L130" s="182"/>
      <c r="M130" s="182"/>
      <c r="N130" s="182"/>
      <c r="O130" s="182"/>
      <c r="P130" s="182"/>
      <c r="Q130" s="182"/>
      <c r="R130" s="182"/>
      <c r="S130" s="69" t="n">
        <f aca="false">SUMIF(TblRezone[[#This Row],[Plains Rezone]:[Water Rezone]],"&gt;0")</f>
        <v>0</v>
      </c>
      <c r="T130" s="33" t="str">
        <f aca="false">IF(SUM(TblRezone[[#This Row],[Plains Rezone]:[Water Rezone]])=0,"Ok","Nope")</f>
        <v>Ok</v>
      </c>
      <c r="U130" s="245"/>
      <c r="V130" s="69" t="n">
        <f aca="false">TblProd[[#This Row],[Platinum]]</f>
        <v>2035198</v>
      </c>
      <c r="W130" s="245"/>
      <c r="X130" s="69" t="n">
        <f aca="false">ROUNDUP( (1-MIN(ROUND(facs_rezone_factor*TblRezone[[#This Row],[Facs]],4),facs_rezone_max) + tech_6_4*TblTech[[#This Row],[6-4]] + tech_10_2*TblTech[[#This Row],[10-2]] - IF(TblMagic[[#This Row],[Active Mechanical Genius]]&gt;0,mech_genius_bonus,0) + race_rezone_cost) * TblRezone[[#This Row],[Plat/acre*]],0)</f>
        <v>520</v>
      </c>
      <c r="Y130" s="69" t="n">
        <f aca="false">TblRezone[[#This Row],[Total acres]]*TblRezone[[#This Row],[Plat/acre]]</f>
        <v>0</v>
      </c>
      <c r="Z130" s="245"/>
      <c r="AA130" s="69" t="n">
        <f aca="false">250+0.6*(TblRezone[[#This Row],[Land]]-250)</f>
        <v>520</v>
      </c>
      <c r="AB130" s="245"/>
      <c r="AC130" s="150" t="n">
        <f aca="false">TblConstr[[#This Row],[Facs DB]]</f>
        <v>0</v>
      </c>
    </row>
    <row r="131" customFormat="false" ht="12.75" hidden="false" customHeight="false" outlineLevel="0" collapsed="false">
      <c r="A131" s="181" t="n">
        <f aca="false">TblConstr[[#This Row],[Land]]</f>
        <v>700</v>
      </c>
      <c r="B131" s="246" t="n">
        <f aca="false">TblConstr[[#This Row],[Plain]]</f>
        <v>0</v>
      </c>
      <c r="C131" s="193" t="n">
        <f aca="false">TblConstr[[#This Row],[Forest]]</f>
        <v>0</v>
      </c>
      <c r="D131" s="200" t="n">
        <f aca="false">TblConstr[[#This Row],[Mountain]]</f>
        <v>0</v>
      </c>
      <c r="E131" s="201" t="n">
        <f aca="false">TblConstr[[#This Row],[Hill]]</f>
        <v>0</v>
      </c>
      <c r="F131" s="202" t="n">
        <f aca="false">TblConstr[[#This Row],[Swamp]]</f>
        <v>0</v>
      </c>
      <c r="G131" s="197" t="n">
        <f aca="false">TblConstr[[#This Row],[Cavern]]</f>
        <v>0</v>
      </c>
      <c r="H131" s="198" t="n">
        <f aca="false">TblConstr[[#This Row],[Water]]</f>
        <v>0</v>
      </c>
      <c r="I131" s="245"/>
      <c r="J131" s="269" t="n">
        <f aca="false">J130+1</f>
        <v>128</v>
      </c>
      <c r="K131" s="270" t="n">
        <f aca="false">TblImps[[#This Row],[Real time]]</f>
        <v>45435.0416666667</v>
      </c>
      <c r="L131" s="182"/>
      <c r="M131" s="182"/>
      <c r="N131" s="182"/>
      <c r="O131" s="182"/>
      <c r="P131" s="182"/>
      <c r="Q131" s="182"/>
      <c r="R131" s="182"/>
      <c r="S131" s="69" t="n">
        <f aca="false">SUMIF(TblRezone[[#This Row],[Plains Rezone]:[Water Rezone]],"&gt;0")</f>
        <v>0</v>
      </c>
      <c r="T131" s="33" t="str">
        <f aca="false">IF(SUM(TblRezone[[#This Row],[Plains Rezone]:[Water Rezone]])=0,"Ok","Nope")</f>
        <v>Ok</v>
      </c>
      <c r="U131" s="245"/>
      <c r="V131" s="69" t="n">
        <f aca="false">TblProd[[#This Row],[Platinum]]</f>
        <v>2063287</v>
      </c>
      <c r="W131" s="245"/>
      <c r="X131" s="69" t="n">
        <f aca="false">ROUNDUP( (1-MIN(ROUND(facs_rezone_factor*TblRezone[[#This Row],[Facs]],4),facs_rezone_max) + tech_6_4*TblTech[[#This Row],[6-4]] + tech_10_2*TblTech[[#This Row],[10-2]] - IF(TblMagic[[#This Row],[Active Mechanical Genius]]&gt;0,mech_genius_bonus,0) + race_rezone_cost) * TblRezone[[#This Row],[Plat/acre*]],0)</f>
        <v>520</v>
      </c>
      <c r="Y131" s="69" t="n">
        <f aca="false">TblRezone[[#This Row],[Total acres]]*TblRezone[[#This Row],[Plat/acre]]</f>
        <v>0</v>
      </c>
      <c r="Z131" s="245"/>
      <c r="AA131" s="69" t="n">
        <f aca="false">250+0.6*(TblRezone[[#This Row],[Land]]-250)</f>
        <v>520</v>
      </c>
      <c r="AB131" s="245"/>
      <c r="AC131" s="150" t="n">
        <f aca="false">TblConstr[[#This Row],[Facs DB]]</f>
        <v>0</v>
      </c>
    </row>
    <row r="132" customFormat="false" ht="12.75" hidden="false" customHeight="false" outlineLevel="0" collapsed="false">
      <c r="A132" s="181" t="n">
        <f aca="false">TblConstr[[#This Row],[Land]]</f>
        <v>700</v>
      </c>
      <c r="B132" s="246" t="n">
        <f aca="false">TblConstr[[#This Row],[Plain]]</f>
        <v>0</v>
      </c>
      <c r="C132" s="193" t="n">
        <f aca="false">TblConstr[[#This Row],[Forest]]</f>
        <v>0</v>
      </c>
      <c r="D132" s="200" t="n">
        <f aca="false">TblConstr[[#This Row],[Mountain]]</f>
        <v>0</v>
      </c>
      <c r="E132" s="201" t="n">
        <f aca="false">TblConstr[[#This Row],[Hill]]</f>
        <v>0</v>
      </c>
      <c r="F132" s="202" t="n">
        <f aca="false">TblConstr[[#This Row],[Swamp]]</f>
        <v>0</v>
      </c>
      <c r="G132" s="197" t="n">
        <f aca="false">TblConstr[[#This Row],[Cavern]]</f>
        <v>0</v>
      </c>
      <c r="H132" s="198" t="n">
        <f aca="false">TblConstr[[#This Row],[Water]]</f>
        <v>0</v>
      </c>
      <c r="I132" s="245"/>
      <c r="J132" s="269" t="n">
        <f aca="false">J131+1</f>
        <v>129</v>
      </c>
      <c r="K132" s="270" t="n">
        <f aca="false">TblImps[[#This Row],[Real time]]</f>
        <v>45435.0833333333</v>
      </c>
      <c r="L132" s="182"/>
      <c r="M132" s="182"/>
      <c r="N132" s="182"/>
      <c r="O132" s="182"/>
      <c r="P132" s="182"/>
      <c r="Q132" s="182"/>
      <c r="R132" s="182"/>
      <c r="S132" s="69" t="n">
        <f aca="false">SUMIF(TblRezone[[#This Row],[Plains Rezone]:[Water Rezone]],"&gt;0")</f>
        <v>0</v>
      </c>
      <c r="T132" s="33" t="str">
        <f aca="false">IF(SUM(TblRezone[[#This Row],[Plains Rezone]:[Water Rezone]])=0,"Ok","Nope")</f>
        <v>Ok</v>
      </c>
      <c r="U132" s="245"/>
      <c r="V132" s="69" t="n">
        <f aca="false">TblProd[[#This Row],[Platinum]]</f>
        <v>2091219</v>
      </c>
      <c r="W132" s="245"/>
      <c r="X132" s="69" t="n">
        <f aca="false">ROUNDUP( (1-MIN(ROUND(facs_rezone_factor*TblRezone[[#This Row],[Facs]],4),facs_rezone_max) + tech_6_4*TblTech[[#This Row],[6-4]] + tech_10_2*TblTech[[#This Row],[10-2]] - IF(TblMagic[[#This Row],[Active Mechanical Genius]]&gt;0,mech_genius_bonus,0) + race_rezone_cost) * TblRezone[[#This Row],[Plat/acre*]],0)</f>
        <v>520</v>
      </c>
      <c r="Y132" s="69" t="n">
        <f aca="false">TblRezone[[#This Row],[Total acres]]*TblRezone[[#This Row],[Plat/acre]]</f>
        <v>0</v>
      </c>
      <c r="Z132" s="245"/>
      <c r="AA132" s="69" t="n">
        <f aca="false">250+0.6*(TblRezone[[#This Row],[Land]]-250)</f>
        <v>520</v>
      </c>
      <c r="AB132" s="245"/>
      <c r="AC132" s="150" t="n">
        <f aca="false">TblConstr[[#This Row],[Facs DB]]</f>
        <v>0</v>
      </c>
    </row>
    <row r="133" customFormat="false" ht="12.75" hidden="false" customHeight="false" outlineLevel="0" collapsed="false">
      <c r="A133" s="181" t="n">
        <f aca="false">TblConstr[[#This Row],[Land]]</f>
        <v>700</v>
      </c>
      <c r="B133" s="246" t="n">
        <f aca="false">TblConstr[[#This Row],[Plain]]</f>
        <v>0</v>
      </c>
      <c r="C133" s="193" t="n">
        <f aca="false">TblConstr[[#This Row],[Forest]]</f>
        <v>0</v>
      </c>
      <c r="D133" s="200" t="n">
        <f aca="false">TblConstr[[#This Row],[Mountain]]</f>
        <v>0</v>
      </c>
      <c r="E133" s="201" t="n">
        <f aca="false">TblConstr[[#This Row],[Hill]]</f>
        <v>0</v>
      </c>
      <c r="F133" s="202" t="n">
        <f aca="false">TblConstr[[#This Row],[Swamp]]</f>
        <v>0</v>
      </c>
      <c r="G133" s="197" t="n">
        <f aca="false">TblConstr[[#This Row],[Cavern]]</f>
        <v>0</v>
      </c>
      <c r="H133" s="198" t="n">
        <f aca="false">TblConstr[[#This Row],[Water]]</f>
        <v>0</v>
      </c>
      <c r="I133" s="245"/>
      <c r="J133" s="269" t="n">
        <f aca="false">J132+1</f>
        <v>130</v>
      </c>
      <c r="K133" s="270" t="n">
        <f aca="false">TblImps[[#This Row],[Real time]]</f>
        <v>45435.125</v>
      </c>
      <c r="L133" s="182"/>
      <c r="M133" s="182"/>
      <c r="N133" s="182"/>
      <c r="O133" s="182"/>
      <c r="P133" s="182"/>
      <c r="Q133" s="182"/>
      <c r="R133" s="182"/>
      <c r="S133" s="69" t="n">
        <f aca="false">SUMIF(TblRezone[[#This Row],[Plains Rezone]:[Water Rezone]],"&gt;0")</f>
        <v>0</v>
      </c>
      <c r="T133" s="33" t="str">
        <f aca="false">IF(SUM(TblRezone[[#This Row],[Plains Rezone]:[Water Rezone]])=0,"Ok","Nope")</f>
        <v>Ok</v>
      </c>
      <c r="U133" s="245"/>
      <c r="V133" s="69" t="n">
        <f aca="false">TblProd[[#This Row],[Platinum]]</f>
        <v>2118994</v>
      </c>
      <c r="W133" s="245"/>
      <c r="X133" s="69" t="n">
        <f aca="false">ROUNDUP( (1-MIN(ROUND(facs_rezone_factor*TblRezone[[#This Row],[Facs]],4),facs_rezone_max) + tech_6_4*TblTech[[#This Row],[6-4]] + tech_10_2*TblTech[[#This Row],[10-2]] - IF(TblMagic[[#This Row],[Active Mechanical Genius]]&gt;0,mech_genius_bonus,0) + race_rezone_cost) * TblRezone[[#This Row],[Plat/acre*]],0)</f>
        <v>520</v>
      </c>
      <c r="Y133" s="69" t="n">
        <f aca="false">TblRezone[[#This Row],[Total acres]]*TblRezone[[#This Row],[Plat/acre]]</f>
        <v>0</v>
      </c>
      <c r="Z133" s="245"/>
      <c r="AA133" s="69" t="n">
        <f aca="false">250+0.6*(TblRezone[[#This Row],[Land]]-250)</f>
        <v>520</v>
      </c>
      <c r="AB133" s="245"/>
      <c r="AC133" s="150" t="n">
        <f aca="false">TblConstr[[#This Row],[Facs DB]]</f>
        <v>0</v>
      </c>
    </row>
    <row r="134" customFormat="false" ht="12.75" hidden="false" customHeight="false" outlineLevel="0" collapsed="false">
      <c r="A134" s="181" t="n">
        <f aca="false">TblConstr[[#This Row],[Land]]</f>
        <v>700</v>
      </c>
      <c r="B134" s="246" t="n">
        <f aca="false">TblConstr[[#This Row],[Plain]]</f>
        <v>0</v>
      </c>
      <c r="C134" s="193" t="n">
        <f aca="false">TblConstr[[#This Row],[Forest]]</f>
        <v>0</v>
      </c>
      <c r="D134" s="200" t="n">
        <f aca="false">TblConstr[[#This Row],[Mountain]]</f>
        <v>0</v>
      </c>
      <c r="E134" s="201" t="n">
        <f aca="false">TblConstr[[#This Row],[Hill]]</f>
        <v>0</v>
      </c>
      <c r="F134" s="202" t="n">
        <f aca="false">TblConstr[[#This Row],[Swamp]]</f>
        <v>0</v>
      </c>
      <c r="G134" s="197" t="n">
        <f aca="false">TblConstr[[#This Row],[Cavern]]</f>
        <v>0</v>
      </c>
      <c r="H134" s="198" t="n">
        <f aca="false">TblConstr[[#This Row],[Water]]</f>
        <v>0</v>
      </c>
      <c r="I134" s="245"/>
      <c r="J134" s="269" t="n">
        <f aca="false">J133+1</f>
        <v>131</v>
      </c>
      <c r="K134" s="270" t="n">
        <f aca="false">TblImps[[#This Row],[Real time]]</f>
        <v>45435.1666666667</v>
      </c>
      <c r="L134" s="182"/>
      <c r="M134" s="182"/>
      <c r="N134" s="182"/>
      <c r="O134" s="182"/>
      <c r="P134" s="182"/>
      <c r="Q134" s="182"/>
      <c r="R134" s="182"/>
      <c r="S134" s="69" t="n">
        <f aca="false">SUMIF(TblRezone[[#This Row],[Plains Rezone]:[Water Rezone]],"&gt;0")</f>
        <v>0</v>
      </c>
      <c r="T134" s="33" t="str">
        <f aca="false">IF(SUM(TblRezone[[#This Row],[Plains Rezone]:[Water Rezone]])=0,"Ok","Nope")</f>
        <v>Ok</v>
      </c>
      <c r="U134" s="245"/>
      <c r="V134" s="69" t="n">
        <f aca="false">TblProd[[#This Row],[Platinum]]</f>
        <v>2146615</v>
      </c>
      <c r="W134" s="245"/>
      <c r="X134" s="69" t="n">
        <f aca="false">ROUNDUP( (1-MIN(ROUND(facs_rezone_factor*TblRezone[[#This Row],[Facs]],4),facs_rezone_max) + tech_6_4*TblTech[[#This Row],[6-4]] + tech_10_2*TblTech[[#This Row],[10-2]] - IF(TblMagic[[#This Row],[Active Mechanical Genius]]&gt;0,mech_genius_bonus,0) + race_rezone_cost) * TblRezone[[#This Row],[Plat/acre*]],0)</f>
        <v>520</v>
      </c>
      <c r="Y134" s="69" t="n">
        <f aca="false">TblRezone[[#This Row],[Total acres]]*TblRezone[[#This Row],[Plat/acre]]</f>
        <v>0</v>
      </c>
      <c r="Z134" s="245"/>
      <c r="AA134" s="69" t="n">
        <f aca="false">250+0.6*(TblRezone[[#This Row],[Land]]-250)</f>
        <v>520</v>
      </c>
      <c r="AB134" s="245"/>
      <c r="AC134" s="150" t="n">
        <f aca="false">TblConstr[[#This Row],[Facs DB]]</f>
        <v>0</v>
      </c>
    </row>
    <row r="135" customFormat="false" ht="12.75" hidden="false" customHeight="false" outlineLevel="0" collapsed="false">
      <c r="A135" s="181" t="n">
        <f aca="false">TblConstr[[#This Row],[Land]]</f>
        <v>700</v>
      </c>
      <c r="B135" s="246" t="n">
        <f aca="false">TblConstr[[#This Row],[Plain]]</f>
        <v>0</v>
      </c>
      <c r="C135" s="193" t="n">
        <f aca="false">TblConstr[[#This Row],[Forest]]</f>
        <v>0</v>
      </c>
      <c r="D135" s="200" t="n">
        <f aca="false">TblConstr[[#This Row],[Mountain]]</f>
        <v>0</v>
      </c>
      <c r="E135" s="201" t="n">
        <f aca="false">TblConstr[[#This Row],[Hill]]</f>
        <v>0</v>
      </c>
      <c r="F135" s="202" t="n">
        <f aca="false">TblConstr[[#This Row],[Swamp]]</f>
        <v>0</v>
      </c>
      <c r="G135" s="197" t="n">
        <f aca="false">TblConstr[[#This Row],[Cavern]]</f>
        <v>0</v>
      </c>
      <c r="H135" s="198" t="n">
        <f aca="false">TblConstr[[#This Row],[Water]]</f>
        <v>0</v>
      </c>
      <c r="I135" s="245"/>
      <c r="J135" s="269" t="n">
        <f aca="false">J134+1</f>
        <v>132</v>
      </c>
      <c r="K135" s="270" t="n">
        <f aca="false">TblImps[[#This Row],[Real time]]</f>
        <v>45435.2083333333</v>
      </c>
      <c r="L135" s="182"/>
      <c r="M135" s="182"/>
      <c r="N135" s="182"/>
      <c r="O135" s="182"/>
      <c r="P135" s="182"/>
      <c r="Q135" s="182"/>
      <c r="R135" s="182"/>
      <c r="S135" s="69" t="n">
        <f aca="false">SUMIF(TblRezone[[#This Row],[Plains Rezone]:[Water Rezone]],"&gt;0")</f>
        <v>0</v>
      </c>
      <c r="T135" s="33" t="str">
        <f aca="false">IF(SUM(TblRezone[[#This Row],[Plains Rezone]:[Water Rezone]])=0,"Ok","Nope")</f>
        <v>Ok</v>
      </c>
      <c r="U135" s="245"/>
      <c r="V135" s="69" t="n">
        <f aca="false">TblProd[[#This Row],[Platinum]]</f>
        <v>2174085</v>
      </c>
      <c r="W135" s="245"/>
      <c r="X135" s="69" t="n">
        <f aca="false">ROUNDUP( (1-MIN(ROUND(facs_rezone_factor*TblRezone[[#This Row],[Facs]],4),facs_rezone_max) + tech_6_4*TblTech[[#This Row],[6-4]] + tech_10_2*TblTech[[#This Row],[10-2]] - IF(TblMagic[[#This Row],[Active Mechanical Genius]]&gt;0,mech_genius_bonus,0) + race_rezone_cost) * TblRezone[[#This Row],[Plat/acre*]],0)</f>
        <v>520</v>
      </c>
      <c r="Y135" s="69" t="n">
        <f aca="false">TblRezone[[#This Row],[Total acres]]*TblRezone[[#This Row],[Plat/acre]]</f>
        <v>0</v>
      </c>
      <c r="Z135" s="245"/>
      <c r="AA135" s="69" t="n">
        <f aca="false">250+0.6*(TblRezone[[#This Row],[Land]]-250)</f>
        <v>520</v>
      </c>
      <c r="AB135" s="245"/>
      <c r="AC135" s="150" t="n">
        <f aca="false">TblConstr[[#This Row],[Facs DB]]</f>
        <v>0</v>
      </c>
    </row>
    <row r="136" customFormat="false" ht="12.75" hidden="false" customHeight="false" outlineLevel="0" collapsed="false">
      <c r="A136" s="181" t="n">
        <f aca="false">TblConstr[[#This Row],[Land]]</f>
        <v>700</v>
      </c>
      <c r="B136" s="246" t="n">
        <f aca="false">TblConstr[[#This Row],[Plain]]</f>
        <v>0</v>
      </c>
      <c r="C136" s="193" t="n">
        <f aca="false">TblConstr[[#This Row],[Forest]]</f>
        <v>0</v>
      </c>
      <c r="D136" s="200" t="n">
        <f aca="false">TblConstr[[#This Row],[Mountain]]</f>
        <v>0</v>
      </c>
      <c r="E136" s="201" t="n">
        <f aca="false">TblConstr[[#This Row],[Hill]]</f>
        <v>0</v>
      </c>
      <c r="F136" s="202" t="n">
        <f aca="false">TblConstr[[#This Row],[Swamp]]</f>
        <v>0</v>
      </c>
      <c r="G136" s="197" t="n">
        <f aca="false">TblConstr[[#This Row],[Cavern]]</f>
        <v>0</v>
      </c>
      <c r="H136" s="198" t="n">
        <f aca="false">TblConstr[[#This Row],[Water]]</f>
        <v>0</v>
      </c>
      <c r="I136" s="245"/>
      <c r="J136" s="269" t="n">
        <f aca="false">J135+1</f>
        <v>133</v>
      </c>
      <c r="K136" s="270" t="n">
        <f aca="false">TblImps[[#This Row],[Real time]]</f>
        <v>45435.25</v>
      </c>
      <c r="L136" s="182"/>
      <c r="M136" s="182"/>
      <c r="N136" s="182"/>
      <c r="O136" s="182"/>
      <c r="P136" s="182"/>
      <c r="Q136" s="182"/>
      <c r="R136" s="182"/>
      <c r="S136" s="69" t="n">
        <f aca="false">SUMIF(TblRezone[[#This Row],[Plains Rezone]:[Water Rezone]],"&gt;0")</f>
        <v>0</v>
      </c>
      <c r="T136" s="33" t="str">
        <f aca="false">IF(SUM(TblRezone[[#This Row],[Plains Rezone]:[Water Rezone]])=0,"Ok","Nope")</f>
        <v>Ok</v>
      </c>
      <c r="U136" s="245"/>
      <c r="V136" s="69" t="n">
        <f aca="false">TblProd[[#This Row],[Platinum]]</f>
        <v>2201404</v>
      </c>
      <c r="W136" s="245"/>
      <c r="X136" s="69" t="n">
        <f aca="false">ROUNDUP( (1-MIN(ROUND(facs_rezone_factor*TblRezone[[#This Row],[Facs]],4),facs_rezone_max) + tech_6_4*TblTech[[#This Row],[6-4]] + tech_10_2*TblTech[[#This Row],[10-2]] - IF(TblMagic[[#This Row],[Active Mechanical Genius]]&gt;0,mech_genius_bonus,0) + race_rezone_cost) * TblRezone[[#This Row],[Plat/acre*]],0)</f>
        <v>520</v>
      </c>
      <c r="Y136" s="69" t="n">
        <f aca="false">TblRezone[[#This Row],[Total acres]]*TblRezone[[#This Row],[Plat/acre]]</f>
        <v>0</v>
      </c>
      <c r="Z136" s="245"/>
      <c r="AA136" s="69" t="n">
        <f aca="false">250+0.6*(TblRezone[[#This Row],[Land]]-250)</f>
        <v>520</v>
      </c>
      <c r="AB136" s="245"/>
      <c r="AC136" s="150" t="n">
        <f aca="false">TblConstr[[#This Row],[Facs DB]]</f>
        <v>0</v>
      </c>
    </row>
    <row r="1269" customFormat="false" ht="12.75" hidden="false" customHeight="false" outlineLevel="0" collapsed="false">
      <c r="A1269" s="140" t="s">
        <v>24</v>
      </c>
      <c r="B1269" s="140"/>
      <c r="I1269" s="104" t="s">
        <v>386</v>
      </c>
      <c r="J1269" s="86"/>
      <c r="L1269" s="182"/>
      <c r="M1269" s="182" t="n">
        <v>-10</v>
      </c>
      <c r="N1269" s="182" t="n">
        <v>10</v>
      </c>
      <c r="O1269" s="182"/>
      <c r="P1269" s="182"/>
      <c r="Q1269" s="182"/>
      <c r="R1269" s="182"/>
    </row>
    <row r="1270" customFormat="false" ht="12.75" hidden="false" customHeight="false" outlineLevel="0" collapsed="false">
      <c r="A1270" s="141" t="n">
        <f aca="false">Overview!E17</f>
        <v>0</v>
      </c>
      <c r="B1270" s="141"/>
      <c r="J1270" s="86"/>
      <c r="L1270" s="273" t="s">
        <v>387</v>
      </c>
      <c r="M1270" s="273"/>
      <c r="N1270" s="273"/>
      <c r="O1270" s="273"/>
      <c r="P1270" s="273"/>
      <c r="Q1270" s="273"/>
      <c r="R1270" s="273"/>
    </row>
  </sheetData>
  <mergeCells count="2">
    <mergeCell ref="A1269:B1269"/>
    <mergeCell ref="L1270:R1270"/>
  </mergeCells>
  <conditionalFormatting sqref="A4:AC136">
    <cfRule type="expression" priority="2" aboveAverage="0" equalAverage="0" bottom="0" percent="0" rank="0" text="" dxfId="77">
      <formula>ROW()-3=$A$1270</formula>
    </cfRule>
    <cfRule type="expression" priority="3" aboveAverage="0" equalAverage="0" bottom="0" percent="0" rank="0" text="" dxfId="78">
      <formula>OR(AND(ROW()-3=$A$1270,A4="Ok",XFD4&lt;&gt;0),A4="Nope")</formula>
    </cfRule>
    <cfRule type="expression" priority="4" aboveAverage="0" equalAverage="0" bottom="0" percent="0" rank="0" text="" dxfId="79">
      <formula>$J4=73</formula>
    </cfRule>
    <cfRule type="expression" priority="5" aboveAverage="0" equalAverage="0" bottom="0" percent="0" rank="0" text="" dxfId="80">
      <formula>ROUND(($J4-1)/12,0)=INT($J4-1)/12</formula>
    </cfRule>
  </conditionalFormatting>
  <conditionalFormatting sqref="B4:H136">
    <cfRule type="cellIs" priority="6" operator="lessThan" aboveAverage="0" equalAverage="0" bottom="0" percent="0" rank="0" text="" dxfId="81">
      <formula>0</formula>
    </cfRule>
  </conditionalFormatting>
  <conditionalFormatting sqref="T76">
    <cfRule type="expression" priority="7" aboveAverage="0" equalAverage="0" bottom="0" percent="0" rank="0" text="" dxfId="82">
      <formula>S76=0</formula>
    </cfRule>
  </conditionalFormatting>
  <conditionalFormatting sqref="A1271:AC60158 A137:AC1268">
    <cfRule type="expression" priority="8" aboveAverage="0" equalAverage="0" bottom="0" percent="0" rank="0" text="" dxfId="83">
      <formula>ROW(-2=#ref!</formula>
    </cfRule>
  </conditionalFormatting>
  <conditionalFormatting sqref="A1269:AC1270">
    <cfRule type="expression" priority="9" aboveAverage="0" equalAverage="0" bottom="0" percent="0" rank="0" text="" dxfId="84">
      <formula>$A$1270&gt;144</formula>
    </cfRule>
  </conditionalFormatting>
  <conditionalFormatting sqref="A1:AC3">
    <cfRule type="expression" priority="10" aboveAverage="0" equalAverage="0" bottom="0" percent="0" rank="0" text="" dxfId="85">
      <formula>$A$1270&lt;0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00000"/>
    <pageSetUpPr fitToPage="false"/>
  </sheetPr>
  <dimension ref="A1:DF1270"/>
  <sheetViews>
    <sheetView showFormulas="false" showGridLines="true" showRowColHeaders="true" showZeros="true" rightToLeft="false" tabSelected="true" showOutlineSymbols="true" defaultGridColor="true" view="normal" topLeftCell="AN1" colorId="64" zoomScale="85" zoomScaleNormal="85" zoomScalePageLayoutView="100" workbookViewId="0">
      <pane xSplit="0" ySplit="3" topLeftCell="A4" activePane="bottomLeft" state="frozen"/>
      <selection pane="topLeft" activeCell="AN1" activeCellId="0" sqref="AN1"/>
      <selection pane="bottomLeft" activeCell="AW5" activeCellId="0" sqref="AW5"/>
    </sheetView>
  </sheetViews>
  <sheetFormatPr defaultColWidth="9.1484375" defaultRowHeight="12.75" zeroHeight="false" outlineLevelRow="0" outlineLevelCol="0"/>
  <cols>
    <col collapsed="false" customWidth="true" hidden="false" outlineLevel="0" max="1" min="1" style="1" width="7.57"/>
    <col collapsed="false" customWidth="true" hidden="false" outlineLevel="0" max="2" min="2" style="1" width="8.86"/>
    <col collapsed="false" customWidth="true" hidden="false" outlineLevel="0" max="3" min="3" style="1" width="11.43"/>
    <col collapsed="false" customWidth="true" hidden="false" outlineLevel="0" max="4" min="4" style="1" width="2.86"/>
    <col collapsed="false" customWidth="true" hidden="false" outlineLevel="0" max="12" min="5" style="1" width="10"/>
    <col collapsed="false" customWidth="true" hidden="false" outlineLevel="0" max="13" min="13" style="1" width="2.86"/>
    <col collapsed="false" customWidth="true" hidden="false" outlineLevel="0" max="14" min="14" style="1" width="11.71"/>
    <col collapsed="false" customWidth="true" hidden="false" outlineLevel="0" max="15" min="15" style="1" width="2.86"/>
    <col collapsed="false" customWidth="true" hidden="false" outlineLevel="0" max="20" min="16" style="1" width="10"/>
    <col collapsed="false" customWidth="true" hidden="false" outlineLevel="0" max="21" min="21" style="165" width="10"/>
    <col collapsed="false" customWidth="true" hidden="false" outlineLevel="0" max="22" min="22" style="274" width="10"/>
    <col collapsed="false" customWidth="true" hidden="false" outlineLevel="0" max="24" min="23" style="1" width="10"/>
    <col collapsed="false" customWidth="true" hidden="false" outlineLevel="0" max="25" min="25" style="1" width="5.86"/>
    <col collapsed="false" customWidth="true" hidden="false" outlineLevel="0" max="26" min="26" style="1" width="11.29"/>
    <col collapsed="false" customWidth="true" hidden="false" outlineLevel="0" max="27" min="27" style="1" width="11.14"/>
    <col collapsed="false" customWidth="true" hidden="false" outlineLevel="0" max="28" min="28" style="1" width="2.86"/>
    <col collapsed="false" customWidth="true" hidden="false" outlineLevel="0" max="29" min="29" style="1" width="11.43"/>
    <col collapsed="false" customWidth="true" hidden="false" outlineLevel="0" max="30" min="30" style="1" width="2.86"/>
    <col collapsed="false" customWidth="true" hidden="false" outlineLevel="0" max="31" min="31" style="1" width="8.57"/>
    <col collapsed="false" customWidth="true" hidden="false" outlineLevel="0" max="32" min="32" style="1" width="7.86"/>
    <col collapsed="false" customWidth="true" hidden="false" outlineLevel="0" max="36" min="33" style="1" width="11.14"/>
    <col collapsed="false" customWidth="true" hidden="false" outlineLevel="0" max="38" min="37" style="1" width="10.57"/>
    <col collapsed="false" customWidth="true" hidden="false" outlineLevel="0" max="39" min="39" style="1" width="9.29"/>
    <col collapsed="false" customWidth="true" hidden="false" outlineLevel="0" max="40" min="40" style="1" width="11.71"/>
    <col collapsed="false" customWidth="true" hidden="false" outlineLevel="0" max="41" min="41" style="1" width="2.86"/>
    <col collapsed="false" customWidth="true" hidden="false" outlineLevel="0" max="57" min="42" style="1" width="11.43"/>
    <col collapsed="false" customWidth="true" hidden="false" outlineLevel="0" max="58" min="58" style="1" width="2.86"/>
    <col collapsed="false" customWidth="true" hidden="false" outlineLevel="0" max="59" min="59" style="1" width="10.14"/>
    <col collapsed="false" customWidth="true" hidden="false" outlineLevel="0" max="60" min="60" style="1" width="7"/>
    <col collapsed="false" customWidth="true" hidden="false" outlineLevel="0" max="62" min="61" style="1" width="9.57"/>
    <col collapsed="false" customWidth="true" hidden="false" outlineLevel="0" max="64" min="63" style="1" width="9.42"/>
    <col collapsed="false" customWidth="false" hidden="false" outlineLevel="0" max="68" min="65" style="1" width="9.14"/>
    <col collapsed="false" customWidth="true" hidden="false" outlineLevel="0" max="70" min="69" style="1" width="10.42"/>
    <col collapsed="false" customWidth="true" hidden="false" outlineLevel="0" max="71" min="71" style="1" width="10.29"/>
    <col collapsed="false" customWidth="true" hidden="false" outlineLevel="0" max="72" min="72" style="1" width="10.14"/>
    <col collapsed="false" customWidth="true" hidden="false" outlineLevel="0" max="73" min="73" style="1" width="2.86"/>
    <col collapsed="false" customWidth="true" hidden="false" outlineLevel="0" max="107" min="74" style="1" width="12.86"/>
    <col collapsed="false" customWidth="true" hidden="false" outlineLevel="0" max="108" min="108" style="1" width="3"/>
    <col collapsed="false" customWidth="true" hidden="false" outlineLevel="0" max="110" min="109" style="1" width="12.86"/>
    <col collapsed="false" customWidth="false" hidden="false" outlineLevel="0" max="16384" min="111" style="1" width="9.14"/>
  </cols>
  <sheetData>
    <row r="1" customFormat="false" ht="12.75" hidden="false" customHeight="false" outlineLevel="0" collapsed="false">
      <c r="A1" s="31"/>
      <c r="B1" s="31"/>
      <c r="C1" s="31"/>
      <c r="D1" s="31"/>
      <c r="E1" s="31"/>
      <c r="F1" s="31"/>
      <c r="G1" s="31"/>
      <c r="H1" s="31"/>
      <c r="I1" s="31"/>
      <c r="J1" s="31"/>
      <c r="K1" s="31"/>
      <c r="L1" s="31"/>
      <c r="M1" s="31"/>
      <c r="N1" s="31"/>
      <c r="O1" s="31"/>
      <c r="P1" s="125" t="s">
        <v>32</v>
      </c>
      <c r="Q1" s="125"/>
      <c r="R1" s="125"/>
      <c r="S1" s="275" t="s">
        <v>388</v>
      </c>
      <c r="T1" s="275"/>
      <c r="U1" s="166"/>
      <c r="V1" s="125" t="s">
        <v>389</v>
      </c>
      <c r="W1" s="125"/>
      <c r="X1" s="31"/>
      <c r="Y1" s="125" t="s">
        <v>65</v>
      </c>
      <c r="Z1" s="125"/>
      <c r="AA1" s="125"/>
      <c r="AB1" s="141"/>
      <c r="AC1" s="31"/>
      <c r="AD1" s="31"/>
      <c r="AE1" s="31"/>
      <c r="AF1" s="31"/>
      <c r="AG1" s="31" t="s">
        <v>390</v>
      </c>
      <c r="AH1" s="31"/>
      <c r="AI1" s="31"/>
      <c r="AJ1" s="31"/>
      <c r="AK1" s="31"/>
      <c r="AL1" s="31"/>
      <c r="AM1" s="31"/>
      <c r="AN1" s="31"/>
      <c r="AO1" s="31"/>
      <c r="AP1" s="31" t="s">
        <v>224</v>
      </c>
      <c r="AQ1" s="31"/>
      <c r="AR1" s="31" t="s">
        <v>337</v>
      </c>
      <c r="AS1" s="31"/>
      <c r="AT1" s="31"/>
      <c r="AU1" s="31"/>
      <c r="AV1" s="31"/>
      <c r="AW1" s="31" t="s">
        <v>391</v>
      </c>
      <c r="AX1" s="31"/>
      <c r="AY1" s="31"/>
      <c r="AZ1" s="31"/>
      <c r="BA1" s="31"/>
      <c r="BB1" s="31"/>
      <c r="BC1" s="31"/>
      <c r="BD1" s="31"/>
      <c r="BE1" s="31"/>
      <c r="BF1" s="31"/>
      <c r="BG1" s="31"/>
      <c r="BH1" s="31"/>
      <c r="BI1" s="125" t="s">
        <v>392</v>
      </c>
      <c r="BJ1" s="125"/>
      <c r="BK1" s="125"/>
      <c r="BL1" s="125"/>
      <c r="BM1" s="125"/>
      <c r="BN1" s="125"/>
      <c r="BO1" s="125"/>
      <c r="BP1" s="125"/>
      <c r="BQ1" s="125"/>
      <c r="BR1" s="125"/>
      <c r="BS1" s="125"/>
      <c r="BT1" s="125"/>
      <c r="BU1" s="31"/>
      <c r="BV1" s="142" t="s">
        <v>393</v>
      </c>
      <c r="BW1" s="142"/>
      <c r="BX1" s="142"/>
      <c r="BY1" s="141"/>
      <c r="BZ1" s="141"/>
      <c r="CA1" s="31"/>
      <c r="CB1" s="31"/>
      <c r="CC1" s="141"/>
      <c r="CD1" s="141"/>
      <c r="CE1" s="141"/>
      <c r="CF1" s="141"/>
      <c r="CG1" s="141"/>
      <c r="CH1" s="141"/>
      <c r="CI1" s="141"/>
      <c r="CJ1" s="141"/>
      <c r="CK1" s="31"/>
      <c r="CL1" s="31"/>
      <c r="CM1" s="31"/>
      <c r="CN1" s="125" t="s">
        <v>394</v>
      </c>
      <c r="CO1" s="125"/>
      <c r="CP1" s="125"/>
      <c r="CQ1" s="125"/>
      <c r="CR1" s="125"/>
      <c r="CS1" s="125"/>
      <c r="CT1" s="125"/>
      <c r="CU1" s="125"/>
      <c r="CV1" s="125"/>
      <c r="CW1" s="86"/>
      <c r="CX1" s="86"/>
      <c r="CY1" s="86"/>
      <c r="CZ1" s="86"/>
      <c r="DA1" s="86"/>
      <c r="DB1" s="86"/>
      <c r="DC1" s="31"/>
      <c r="DD1" s="31"/>
      <c r="DE1" s="31" t="s">
        <v>80</v>
      </c>
      <c r="DF1" s="31"/>
    </row>
    <row r="2" customFormat="false" ht="12.75" hidden="false" customHeight="false" outlineLevel="0" collapsed="false">
      <c r="A2" s="31"/>
      <c r="B2" s="31"/>
      <c r="C2" s="31"/>
      <c r="D2" s="31"/>
      <c r="E2" s="276" t="str">
        <f aca="false">Overview!$A$22</f>
        <v>Fire Spirit</v>
      </c>
      <c r="F2" s="276" t="str">
        <f aca="false">Overview!$A$23</f>
        <v>Flamewolf</v>
      </c>
      <c r="G2" s="276" t="str">
        <f aca="false">Overview!$A$24</f>
        <v>Phoenix</v>
      </c>
      <c r="H2" s="276" t="str">
        <f aca="false">Overview!$A$25</f>
        <v>Salamander</v>
      </c>
      <c r="I2" s="276" t="s">
        <v>141</v>
      </c>
      <c r="J2" s="276" t="s">
        <v>395</v>
      </c>
      <c r="K2" s="276" t="s">
        <v>142</v>
      </c>
      <c r="L2" s="276" t="s">
        <v>143</v>
      </c>
      <c r="M2" s="31"/>
      <c r="N2" s="31"/>
      <c r="O2" s="31"/>
      <c r="P2" s="141"/>
      <c r="Q2" s="141"/>
      <c r="R2" s="141"/>
      <c r="S2" s="277"/>
      <c r="T2" s="141"/>
      <c r="U2" s="166"/>
      <c r="V2" s="141"/>
      <c r="W2" s="141"/>
      <c r="X2" s="31"/>
      <c r="Y2" s="31"/>
      <c r="Z2" s="31"/>
      <c r="AA2" s="31"/>
      <c r="AB2" s="31"/>
      <c r="AC2" s="31"/>
      <c r="AD2" s="31"/>
      <c r="AE2" s="31"/>
      <c r="AF2" s="31"/>
      <c r="AG2" s="276" t="str">
        <f aca="false">Overview!$A$22</f>
        <v>Fire Spirit</v>
      </c>
      <c r="AH2" s="276" t="str">
        <f aca="false">Overview!$A$23</f>
        <v>Flamewolf</v>
      </c>
      <c r="AI2" s="276" t="str">
        <f aca="false">Overview!$A$24</f>
        <v>Phoenix</v>
      </c>
      <c r="AJ2" s="276" t="str">
        <f aca="false">Overview!$A$25</f>
        <v>Salamander</v>
      </c>
      <c r="AK2" s="276" t="s">
        <v>141</v>
      </c>
      <c r="AL2" s="276" t="s">
        <v>395</v>
      </c>
      <c r="AM2" s="276" t="s">
        <v>142</v>
      </c>
      <c r="AN2" s="276" t="s">
        <v>143</v>
      </c>
      <c r="AO2" s="31"/>
      <c r="AP2" s="31"/>
      <c r="AQ2" s="278" t="str">
        <f aca="false">INDEX(Constants!A133:B153,MATCH(race,Constants!A133:A153,0),2)</f>
        <v>Ore</v>
      </c>
      <c r="AR2" s="31"/>
      <c r="AS2" s="278" t="str">
        <f aca="false">AQ2</f>
        <v>Ore</v>
      </c>
      <c r="AT2" s="31"/>
      <c r="AU2" s="31"/>
      <c r="AV2" s="31"/>
      <c r="AW2" s="276" t="s">
        <v>65</v>
      </c>
      <c r="AX2" s="276" t="str">
        <f aca="false">Overview!$A$22</f>
        <v>Fire Spirit</v>
      </c>
      <c r="AY2" s="276" t="str">
        <f aca="false">Overview!$A$23</f>
        <v>Flamewolf</v>
      </c>
      <c r="AZ2" s="276" t="str">
        <f aca="false">Overview!$A$24</f>
        <v>Phoenix</v>
      </c>
      <c r="BA2" s="276" t="str">
        <f aca="false">Overview!$A$25</f>
        <v>Salamander</v>
      </c>
      <c r="BB2" s="276" t="s">
        <v>141</v>
      </c>
      <c r="BC2" s="276" t="s">
        <v>395</v>
      </c>
      <c r="BD2" s="276" t="s">
        <v>142</v>
      </c>
      <c r="BE2" s="276" t="s">
        <v>143</v>
      </c>
      <c r="BF2" s="31"/>
      <c r="BG2" s="31"/>
      <c r="BH2" s="31"/>
      <c r="BI2" s="141"/>
      <c r="BJ2" s="141"/>
      <c r="BK2" s="141"/>
      <c r="BL2" s="141"/>
      <c r="BM2" s="141"/>
      <c r="BN2" s="141"/>
      <c r="BO2" s="141"/>
      <c r="BP2" s="141"/>
      <c r="BQ2" s="86"/>
      <c r="BR2" s="86"/>
      <c r="BS2" s="86"/>
      <c r="BT2" s="86"/>
      <c r="BU2" s="31"/>
      <c r="BV2" s="31"/>
      <c r="BY2" s="141"/>
      <c r="BZ2" s="141"/>
      <c r="CA2" s="31"/>
      <c r="CB2" s="31"/>
      <c r="CC2" s="141"/>
      <c r="CD2" s="141"/>
      <c r="CE2" s="141"/>
      <c r="CF2" s="141"/>
      <c r="CG2" s="141"/>
      <c r="CH2" s="141"/>
      <c r="CI2" s="141"/>
      <c r="CJ2" s="141"/>
      <c r="CK2" s="31"/>
      <c r="CL2" s="31"/>
      <c r="CM2" s="31"/>
      <c r="CN2" s="141"/>
      <c r="CO2" s="141"/>
      <c r="CP2" s="141"/>
      <c r="CQ2" s="86"/>
      <c r="CR2" s="86"/>
      <c r="CS2" s="86"/>
      <c r="CT2" s="86"/>
      <c r="CU2" s="86"/>
      <c r="CV2" s="86"/>
      <c r="CW2" s="86"/>
      <c r="CX2" s="86"/>
      <c r="CY2" s="86"/>
      <c r="CZ2" s="86"/>
      <c r="DA2" s="86"/>
      <c r="DB2" s="86"/>
      <c r="DC2" s="31"/>
      <c r="DD2" s="31"/>
      <c r="DE2" s="31"/>
      <c r="DF2" s="31"/>
    </row>
    <row r="3" customFormat="false" ht="30" hidden="false" customHeight="true" outlineLevel="0" collapsed="false">
      <c r="A3" s="127" t="s">
        <v>82</v>
      </c>
      <c r="B3" s="127" t="s">
        <v>53</v>
      </c>
      <c r="C3" s="127" t="s">
        <v>145</v>
      </c>
      <c r="D3" s="127" t="s">
        <v>11</v>
      </c>
      <c r="E3" s="127" t="s">
        <v>150</v>
      </c>
      <c r="F3" s="127" t="s">
        <v>151</v>
      </c>
      <c r="G3" s="127" t="s">
        <v>152</v>
      </c>
      <c r="H3" s="127" t="s">
        <v>153</v>
      </c>
      <c r="I3" s="127" t="s">
        <v>141</v>
      </c>
      <c r="J3" s="127" t="s">
        <v>395</v>
      </c>
      <c r="K3" s="127" t="s">
        <v>142</v>
      </c>
      <c r="L3" s="127" t="s">
        <v>143</v>
      </c>
      <c r="M3" s="127" t="s">
        <v>154</v>
      </c>
      <c r="N3" s="127" t="s">
        <v>36</v>
      </c>
      <c r="O3" s="127" t="s">
        <v>181</v>
      </c>
      <c r="P3" s="127" t="s">
        <v>60</v>
      </c>
      <c r="Q3" s="127" t="s">
        <v>396</v>
      </c>
      <c r="R3" s="127" t="s">
        <v>61</v>
      </c>
      <c r="S3" s="279" t="s">
        <v>397</v>
      </c>
      <c r="T3" s="127" t="s">
        <v>398</v>
      </c>
      <c r="U3" s="127" t="s">
        <v>399</v>
      </c>
      <c r="V3" s="280" t="s">
        <v>400</v>
      </c>
      <c r="W3" s="127" t="s">
        <v>401</v>
      </c>
      <c r="X3" s="127" t="s">
        <v>73</v>
      </c>
      <c r="Y3" s="127" t="s">
        <v>402</v>
      </c>
      <c r="Z3" s="127" t="s">
        <v>403</v>
      </c>
      <c r="AA3" s="127" t="s">
        <v>65</v>
      </c>
      <c r="AB3" s="127" t="s">
        <v>194</v>
      </c>
      <c r="AC3" s="127" t="s">
        <v>345</v>
      </c>
      <c r="AD3" s="127" t="s">
        <v>199</v>
      </c>
      <c r="AE3" s="127" t="s">
        <v>208</v>
      </c>
      <c r="AF3" s="127" t="s">
        <v>144</v>
      </c>
      <c r="AG3" s="127" t="s">
        <v>404</v>
      </c>
      <c r="AH3" s="127" t="s">
        <v>405</v>
      </c>
      <c r="AI3" s="127" t="s">
        <v>406</v>
      </c>
      <c r="AJ3" s="127" t="s">
        <v>407</v>
      </c>
      <c r="AK3" s="127" t="s">
        <v>408</v>
      </c>
      <c r="AL3" s="127" t="s">
        <v>409</v>
      </c>
      <c r="AM3" s="127" t="s">
        <v>410</v>
      </c>
      <c r="AN3" s="127" t="s">
        <v>411</v>
      </c>
      <c r="AO3" s="127" t="s">
        <v>205</v>
      </c>
      <c r="AP3" s="127" t="s">
        <v>34</v>
      </c>
      <c r="AQ3" s="279" t="s">
        <v>412</v>
      </c>
      <c r="AR3" s="127" t="s">
        <v>413</v>
      </c>
      <c r="AS3" s="279" t="s">
        <v>414</v>
      </c>
      <c r="AT3" s="127" t="s">
        <v>415</v>
      </c>
      <c r="AU3" s="127" t="s">
        <v>416</v>
      </c>
      <c r="AV3" s="127" t="s">
        <v>417</v>
      </c>
      <c r="AW3" s="127" t="s">
        <v>418</v>
      </c>
      <c r="AX3" s="127" t="s">
        <v>419</v>
      </c>
      <c r="AY3" s="127" t="s">
        <v>420</v>
      </c>
      <c r="AZ3" s="127" t="s">
        <v>421</v>
      </c>
      <c r="BA3" s="127" t="s">
        <v>422</v>
      </c>
      <c r="BB3" s="127" t="s">
        <v>423</v>
      </c>
      <c r="BC3" s="127" t="s">
        <v>424</v>
      </c>
      <c r="BD3" s="127" t="s">
        <v>425</v>
      </c>
      <c r="BE3" s="127" t="s">
        <v>426</v>
      </c>
      <c r="BF3" s="127" t="s">
        <v>427</v>
      </c>
      <c r="BG3" s="127" t="s">
        <v>428</v>
      </c>
      <c r="BH3" s="127" t="s">
        <v>429</v>
      </c>
      <c r="BI3" s="127" t="s">
        <v>430</v>
      </c>
      <c r="BJ3" s="127" t="s">
        <v>431</v>
      </c>
      <c r="BK3" s="127" t="s">
        <v>432</v>
      </c>
      <c r="BL3" s="127" t="s">
        <v>433</v>
      </c>
      <c r="BM3" s="127" t="s">
        <v>434</v>
      </c>
      <c r="BN3" s="127" t="s">
        <v>435</v>
      </c>
      <c r="BO3" s="127" t="s">
        <v>436</v>
      </c>
      <c r="BP3" s="127" t="s">
        <v>437</v>
      </c>
      <c r="BQ3" s="127" t="s">
        <v>438</v>
      </c>
      <c r="BR3" s="127" t="s">
        <v>439</v>
      </c>
      <c r="BS3" s="127" t="s">
        <v>440</v>
      </c>
      <c r="BT3" s="127" t="s">
        <v>441</v>
      </c>
      <c r="BU3" s="127" t="s">
        <v>442</v>
      </c>
      <c r="BV3" s="127" t="s">
        <v>239</v>
      </c>
      <c r="BW3" s="127" t="s">
        <v>259</v>
      </c>
      <c r="BX3" s="127" t="s">
        <v>114</v>
      </c>
      <c r="BY3" s="127" t="s">
        <v>443</v>
      </c>
      <c r="BZ3" s="127" t="s">
        <v>444</v>
      </c>
      <c r="CA3" s="127" t="s">
        <v>117</v>
      </c>
      <c r="CB3" s="127" t="s">
        <v>119</v>
      </c>
      <c r="CC3" s="127" t="s">
        <v>445</v>
      </c>
      <c r="CD3" s="127" t="s">
        <v>446</v>
      </c>
      <c r="CE3" s="127" t="s">
        <v>132</v>
      </c>
      <c r="CF3" s="127" t="s">
        <v>133</v>
      </c>
      <c r="CG3" s="127" t="s">
        <v>123</v>
      </c>
      <c r="CH3" s="127" t="s">
        <v>124</v>
      </c>
      <c r="CI3" s="127" t="s">
        <v>125</v>
      </c>
      <c r="CJ3" s="127" t="s">
        <v>128</v>
      </c>
      <c r="CK3" s="281" t="s">
        <v>447</v>
      </c>
      <c r="CL3" s="281" t="s">
        <v>448</v>
      </c>
      <c r="CM3" s="281" t="s">
        <v>449</v>
      </c>
      <c r="CN3" s="127" t="s">
        <v>450</v>
      </c>
      <c r="CO3" s="127" t="s">
        <v>451</v>
      </c>
      <c r="CP3" s="127" t="s">
        <v>452</v>
      </c>
      <c r="CQ3" s="127" t="s">
        <v>453</v>
      </c>
      <c r="CR3" s="127" t="s">
        <v>454</v>
      </c>
      <c r="CS3" s="127" t="s">
        <v>455</v>
      </c>
      <c r="CT3" s="127" t="s">
        <v>456</v>
      </c>
      <c r="CU3" s="127" t="s">
        <v>457</v>
      </c>
      <c r="CV3" s="127" t="s">
        <v>458</v>
      </c>
      <c r="CW3" s="127" t="s">
        <v>459</v>
      </c>
      <c r="CX3" s="127" t="s">
        <v>460</v>
      </c>
      <c r="CY3" s="127" t="s">
        <v>461</v>
      </c>
      <c r="CZ3" s="281" t="s">
        <v>462</v>
      </c>
      <c r="DA3" s="127" t="s">
        <v>463</v>
      </c>
      <c r="DB3" s="281" t="s">
        <v>464</v>
      </c>
      <c r="DC3" s="127" t="s">
        <v>465</v>
      </c>
      <c r="DD3" s="127" t="s">
        <v>466</v>
      </c>
      <c r="DE3" s="127" t="s">
        <v>467</v>
      </c>
      <c r="DF3" s="127" t="s">
        <v>468</v>
      </c>
    </row>
    <row r="4" customFormat="false" ht="12.75" hidden="false" customHeight="false" outlineLevel="0" collapsed="false">
      <c r="A4" s="128" t="n">
        <f aca="false">TblRezone[[#This Row],[Hour]]</f>
        <v>1</v>
      </c>
      <c r="B4" s="282" t="n">
        <f aca="false">SUM(TblMili[[#This Row],[Unit 1]:[Archmages]])+SUM(TblMili[[#This Row],[Train Unit 1]:[Train Unit 4]])+TblMili[[#This Row],[Draftees]]</f>
        <v>300</v>
      </c>
      <c r="C4" s="150" t="n">
        <f aca="false">TblPop[[#This Row],[Military%]]</f>
        <v>0.1875</v>
      </c>
      <c r="D4" s="132"/>
      <c r="E4" s="283" t="n">
        <f aca="false">start_op_specs - TblMili[[#This Row],[Release Unit 1]]</f>
        <v>0</v>
      </c>
      <c r="F4" s="283" t="n">
        <f aca="false">start_dp_specs - TblMili[[#This Row],[Release Unit 2]]+days_late*days_late_def_specs</f>
        <v>0</v>
      </c>
      <c r="G4" s="283" t="n">
        <f aca="false">start_elite1s - TblMili[[#This Row],[Release Unit 3]]</f>
        <v>0</v>
      </c>
      <c r="H4" s="283" t="n">
        <f aca="false">start_elite2s - TblMili[[#This Row],[Release Unit 4]]</f>
        <v>0</v>
      </c>
      <c r="I4" s="284" t="n">
        <f aca="false">start_spies -TblMili[[#This Row],[Release Spies]]-TblMili[[#This Row],[Train AS]]</f>
        <v>0</v>
      </c>
      <c r="J4" s="284" t="n">
        <f aca="false">start_ass - TblMili[[#This Row],[Release AS]]</f>
        <v>0</v>
      </c>
      <c r="K4" s="284" t="n">
        <f aca="false">start_wizards  - TblMili[[#This Row],[Train AM]] - TblMili[[#This Row],[Release Wizards]]</f>
        <v>0</v>
      </c>
      <c r="L4" s="283" t="n">
        <f aca="false">start_ams  - TblMili[[#This Row],[Release AM]]</f>
        <v>0</v>
      </c>
      <c r="M4" s="132"/>
      <c r="N4" s="69" t="e">
        <f aca="false">TblProd[[#This Row],[Networth]]</f>
        <v>#VALUE!</v>
      </c>
      <c r="O4" s="132"/>
      <c r="P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 s="285" t="e">
        <f aca="false">TblMili[[#This Row],[Raw]]*(1+TblMili[[#This Row],[Mods_Off]])</f>
        <v>#VALUE!</v>
      </c>
      <c r="S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 s="285" t="e">
        <f aca="false">TblMili[[#This Row],[Non Draft]]+TblMili[[#This Row],[Draftees]]</f>
        <v>#VALUE!</v>
      </c>
      <c r="U4" s="286" t="n">
        <f aca="false">race_defense + TblImps[[#This Row],[Walls]] + ROUND( MIN(gt_bonus*TblConstr[[#This Row],[Tot GT]]/TblConstr[[#This Row],[Land]],gt_bonus_cap), 4) + IF(TblMagic[[#This Row],[Active Howling]]&gt;0,howling_dp_bonus,IF(TblMagic[[#This Row],[Active Ares Call]]&gt;0,ares_call_bonus))</f>
        <v>0</v>
      </c>
      <c r="V4" s="274" t="e">
        <f aca="false">TblMili[[#This Row],[Non Draft]] * (1 + TblMili[[#This Row],[Mods_Def]])</f>
        <v>#VALUE!</v>
      </c>
      <c r="W4" s="285" t="e">
        <f aca="false">TblMili[[#This Row],[Draft]] * (1 + TblMili[[#This Row],[Mods_Def]])</f>
        <v>#VALUE!</v>
      </c>
      <c r="X4" s="285" t="n">
        <f aca="false">TblConstr[[#This Row],[Land]]</f>
        <v>250</v>
      </c>
      <c r="Y4" s="287" t="n">
        <v>0.9</v>
      </c>
      <c r="Z4" s="109" t="n">
        <f aca="false">IF(TblMili[[#This Row],[Set]]&lt;&gt;"",TblMili[[#This Row],[Set]],0.35)</f>
        <v>0.9</v>
      </c>
      <c r="AA4" s="103" t="n">
        <f aca="false">start_draftees - SUM(TblMili[[#This Row],[Train Unit 1]:[Train Spies]],TblMili[[#This Row],[Train Wiz]]) - TblMili[[#This Row],[Release Draft]] + SUM(TblMili[[#This Row],[Release Unit 1]:[Release AM]]) - TblExplore[[#This Row],[Draftees (2)]]+MIN(13,days_late)*days_late_draftees</f>
        <v>300</v>
      </c>
      <c r="AB4" s="146"/>
      <c r="AC4" s="130" t="n">
        <f aca="false">(TblConstr[[#This Row],[Tot Smi]]+TblConstr[[#This Row],[Dest Smi]])/(TblConstr[[#This Row],[Land]]-TblExplore[[#This Row],[Land Bonus]]*20)</f>
        <v>0</v>
      </c>
      <c r="AD4" s="282"/>
      <c r="AE4" s="282" t="n">
        <f aca="false">TblMili[[#This Row],[Hour]]</f>
        <v>1</v>
      </c>
      <c r="AF4" s="129" t="n">
        <f aca="false">TblExplore[[#This Row],[Time]]</f>
        <v>45429.75</v>
      </c>
      <c r="AG4" s="182"/>
      <c r="AH4" s="182"/>
      <c r="AI4" s="182"/>
      <c r="AJ4" s="182"/>
      <c r="AK4" s="182"/>
      <c r="AL4" s="182"/>
      <c r="AM4" s="182"/>
      <c r="AN4" s="182"/>
      <c r="AO4" s="132"/>
      <c r="AP4" s="69" t="n">
        <f aca="false">TblProd[[#This Row],[Platinum]]</f>
        <v>9830</v>
      </c>
      <c r="AQ4" s="69" t="n">
        <f aca="false">INDEX(TblProd[[#Headers],[Lumber]]:TblProd[[#This Row],[Ore]],COUNTA(TblProd[[#Headers],[Lumber]]:TblProd[[#This Row],[Lumber]]),MATCH(Military!$AQ$2,TblProd[[#Headers],[Lumber]:[Ore]],0))</f>
        <v>0</v>
      </c>
      <c r="AR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69" t="n">
        <f aca="false">TblMili[[#This Row],[Train Unit 1]]*TblMili[[#This Row],[OP Ore]]+TblMili[[#This Row],[Train Unit 2]]*TblMili[[#This Row],[DP Ore]]+TblMili[[#This Row],[Train Unit 3]]*TblMili[[#This Row],[E1 Ore]]+TblMili[[#This Row],[Train Unit 4]]*TblMili[[#This Row],[E2 Ore]]</f>
        <v>0</v>
      </c>
      <c r="AT4" s="132" t="n">
        <f aca="false">TblMili[[#This Row],[Hour]]</f>
        <v>1</v>
      </c>
      <c r="AU4" s="144" t="n">
        <f aca="false">TblMili[[#This Row],[Time]]</f>
        <v>45429.75</v>
      </c>
      <c r="AV4" s="69" t="n">
        <f aca="false">TblMili[[#This Row],[Draftees]]</f>
        <v>300</v>
      </c>
      <c r="AW4" s="182"/>
      <c r="AX4" s="182"/>
      <c r="AY4" s="182" t="n">
        <v>150</v>
      </c>
      <c r="AZ4" s="182"/>
      <c r="BA4" s="182"/>
      <c r="BB4" s="182" t="n">
        <v>25</v>
      </c>
      <c r="BC4" s="182"/>
      <c r="BD4" s="182" t="n">
        <v>25</v>
      </c>
      <c r="BE4" s="182"/>
      <c r="BF4" s="132"/>
      <c r="BG4" s="150" t="n">
        <f aca="false">TblConstr[[#This Row],[Tot WG]]/TblConstr[[#This Row],[Land]]</f>
        <v>0</v>
      </c>
      <c r="BH4" s="150" t="n">
        <f aca="false">TblConstr[[#This Row],[Tot Hav]]/TblConstr[[#This Row],[Land]]</f>
        <v>0</v>
      </c>
      <c r="BI4" s="69" t="n">
        <f aca="false">ROUNDUP((1-MIN(TblMili[[#This Row],[Smithies]]*smithy_bonus,smithy_bonus_cap) + tech_3_5*TblTech[[#This Row],[3-5]] + tech_5_3*TblTech[[#This Row],[5-3]] + tech_5_5*TblTech[[#This Row],[5-5]])*spec_op_plat,0)</f>
        <v>300</v>
      </c>
      <c r="BJ4" s="69" t="n">
        <f aca="false">ROUNDUP(IF(race="Gnome",1,(1-MIN(TblMili[[#This Row],[Smithies]]*smithy_bonus,smithy_bonus_cap) + tech_3_5*TblTech[[#This Row],[3-5]] + tech_5_3*TblTech[[#This Row],[5-3]] + tech_5_5*TblTech[[#This Row],[5-5]]))*spec_op_ore,0)</f>
        <v>0</v>
      </c>
      <c r="BK4" s="69" t="n">
        <f aca="false">ROUNDUP((1-MIN(TblMili[[#This Row],[Smithies]]*smithy_bonus,smithy_bonus_cap) + tech_3_5*TblTech[[#This Row],[3-5]] + tech_5_3*TblTech[[#This Row],[5-3]] + tech_5_5*TblTech[[#This Row],[5-5]])*spec_dp_plat,0)</f>
        <v>300</v>
      </c>
      <c r="BL4" s="69" t="n">
        <f aca="false">ROUNDUP(IF(race="Gnome",1,(1-MIN(TblMili[[#This Row],[Smithies]]*smithy_bonus,smithy_bonus_cap) + tech_3_5*TblTech[[#This Row],[3-5]] + tech_5_3*TblTech[[#This Row],[5-3]] + tech_5_5*TblTech[[#This Row],[5-5]]))*spec_dp_ore,0)</f>
        <v>0</v>
      </c>
      <c r="BM4" s="69" t="n">
        <f aca="false">ROUNDUP((1-MIN(TblMili[[#This Row],[Smithies]]*smithy_bonus,smithy_bonus_cap) + tech_3_5*TblTech[[#This Row],[3-5]] + tech_5_3*TblTech[[#This Row],[5-3]] + tech_5_5*TblTech[[#This Row],[5-5]])*elite1_plat,0)</f>
        <v>925</v>
      </c>
      <c r="BN4" s="69" t="n">
        <f aca="false">ROUNDUP(IF(race="Gnome",1,(1-MIN(TblMili[[#This Row],[Smithies]]*smithy_bonus,smithy_bonus_cap) + tech_3_5*TblTech[[#This Row],[3-5]] + tech_5_3*TblTech[[#This Row],[5-3]] + tech_5_5*TblTech[[#This Row],[5-5]]))*elite1_ore,0)</f>
        <v>0</v>
      </c>
      <c r="BO4" s="69" t="n">
        <f aca="false">ROUNDUP((1-MIN(TblMili[[#This Row],[Smithies]]*smithy_bonus,smithy_bonus_cap) + tech_3_5*TblTech[[#This Row],[3-5]] + tech_5_3*TblTech[[#This Row],[5-3]] + tech_5_5*TblTech[[#This Row],[5-5]])*elite2_plat,0)</f>
        <v>950</v>
      </c>
      <c r="BP4" s="69" t="n">
        <f aca="false">ROUNDUP(IF(race="Gnome",1,(1-MIN(TblMili[[#This Row],[Smithies]]*smithy_bonus,smithy_bonus_cap) + tech_3_5*TblTech[[#This Row],[3-5]] + tech_5_3*TblTech[[#This Row],[5-3]] + tech_5_5*TblTech[[#This Row],[5-5]]))*elite2_ore,0)</f>
        <v>0</v>
      </c>
      <c r="BQ4" s="69" t="n">
        <f aca="false">ROUNDUP((1-MIN(ROUND(fh_spy_cost_red*TblMili[[#This Row],[FH''s]],4),fh_spy_cost_cap)+ tech_1_9*TblTech[[#This Row],[1-9]] + tech_9_1*TblTech[[#This Row],[9-1]])*spy_plat,0)</f>
        <v>500</v>
      </c>
      <c r="BR4" s="69" t="n">
        <f aca="false">ROUNDUP((1-MIN(ROUND(fh_spy_cost_red*TblMili[[#This Row],[FH''s]],4),fh_spy_cost_cap)+ tech_1_9*TblTech[[#This Row],[1-9]] + tech_9_1*TblTech[[#This Row],[9-1]])*archspy_plat,0)</f>
        <v>1000</v>
      </c>
      <c r="BS4" s="69" t="n">
        <f aca="false">ROUNDUP((1-MIN(ROUND(wg_wiz_cost_bonus*TblMili[[#This Row],[WG''s]],4),wg_wiz_cost_cap) + tech_1_9_2*TblTech[[#This Row],[1-9]] + tech_9_1_2*TblTech[[#This Row],[9-1]])*wizard_plat,0)</f>
        <v>500</v>
      </c>
      <c r="BT4" s="69" t="n">
        <f aca="false">ROUNDUP((1-MIN(ROUND(wg_wiz_cost_bonus*TblMili[[#This Row],[WG''s]],4),wg_wiz_cost_cap) + tech_1_9_2*TblTech[[#This Row],[1-9]] + tech_9_1_2*TblTech[[#This Row],[9-1]])*archmage_plat,0)</f>
        <v>1000</v>
      </c>
      <c r="BU4" s="132"/>
      <c r="BV4" s="150" t="e">
        <f aca="false">TblConstr[[#This Row],[Homeland]]/TblConstr[[#This Row],[Land]]</f>
        <v>#VALUE!</v>
      </c>
      <c r="BW4" s="150" t="n">
        <f aca="false">TblMili[[#This Row],[WG''s]]</f>
        <v>0</v>
      </c>
      <c r="BX4" s="288" t="e">
        <f aca="false">IF(mystic_cap="none",TblMili[[#This Row],[Hill]]/mystic_bonus,MIN(mystic_cap,TblMili[[#This Row],[Hill]]/mystic_bonus))</f>
        <v>#VALUE!</v>
      </c>
      <c r="BY4" s="288" t="e">
        <f aca="false">IF(druid_op_cap="none",TblMili[[#This Row],[Hill]]/druid_op_bonus,MIN(druid_op_cap,TblMili[[#This Row],[Hill]]/druid_op_bonus))</f>
        <v>#VALUE!</v>
      </c>
      <c r="BZ4" s="288" t="e">
        <f aca="false">IF(druid_dp_cap="none",TblMili[[#This Row],[Hill]]/druid_dp_bonus,MIN(druid_dp_cap,TblMili[[#This Row],[Hill]]/druid_dp_bonus))</f>
        <v>#VALUE!</v>
      </c>
      <c r="CA4" s="288" t="e">
        <f aca="false">MIN(dryad_cap,TblMili[[#This Row],[Hill]]/dryad_bonus)</f>
        <v>#VALUE!</v>
      </c>
      <c r="CB4" s="288" t="e">
        <f aca="false">MIN(rocka_cap,TblMili[[#This Row],[Hill]]/rocka_bonus)</f>
        <v>#VALUE!</v>
      </c>
      <c r="CC4" s="288" t="n">
        <f aca="false">MIN(adept_op_cap,TblMili[[#This Row],[WG]]/adept_op_bonus)</f>
        <v>0</v>
      </c>
      <c r="CD4" s="288" t="n">
        <f aca="false">MIN(adept_dp_cap,TblMili[[#This Row],[WG]]/adept_dp_bonus)</f>
        <v>0</v>
      </c>
      <c r="CE4" s="69" t="n">
        <f aca="false">MIN(TblMili[[#This Row],[Unit 3]],TblMili[[#This Row],[Unit 2]])*2</f>
        <v>0</v>
      </c>
      <c r="CF4" s="69" t="n">
        <f aca="false">MIN(TblMili[[#This Row],[Unit 1]],TblMili[[#This Row],[Unit 4]])*2</f>
        <v>0</v>
      </c>
      <c r="CG4" s="288" t="e">
        <f aca="false">MIN(frost_mage_cap,TblMili[[#This Row],[Hill]]/frost_mage_bonus)</f>
        <v>#VALUE!</v>
      </c>
      <c r="CH4" s="151" t="n">
        <f aca="false">MIN(ice_elem_cap,TblMili[[#This Row],[Raw (2)]]*ice_elem_bonus)</f>
        <v>0</v>
      </c>
      <c r="CI4" s="288" t="n">
        <f aca="false">MIN(bone_breaker_cap,250/bone_breaker_bonus)</f>
        <v>0.833333333333333</v>
      </c>
      <c r="CJ4" s="288" t="e">
        <f aca="false">MIN(nox_nightshade_cap,TblConstr[[#This Row],[Homeland]]/TblConstr[[#This Row],[Land]]/nox_nightshade_swamp_bonus)</f>
        <v>#VALUE!</v>
      </c>
      <c r="CK4" s="289"/>
      <c r="CL4" s="289"/>
      <c r="CM4" s="289"/>
      <c r="CN4" s="288" t="e">
        <f aca="false">MIN(6,TblMili[[#This Row],[Mystic]]+Races!$F$19)*1.8 +  IF(TblMili[[#This Row],[Mystic]]+Races!$F$19&gt;6,(TblMili[[#This Row],[Mystic]]+Races!$F$19-6)*0.2,0) - Races!$I$19</f>
        <v>#VALUE!</v>
      </c>
      <c r="CO4" s="288" t="e">
        <f aca="false">1.8 * MIN(MAX(TblMili[[#This Row],[Druid (op)]]+Races!$E$20,TblMili[[#This Row],[Druid (dp)]]+Races!$F$20),6)  +  0.45 * MIN(MIN(TblMili[[#This Row],[Druid (op)]]+Races!$E$20,TblMili[[#This Row],[Druid (dp)]]+Races!$F$20),6)  +  0.2 * ( MAX(TblMili[[#This Row],[Druid (op)]]+Races!$E$20-6,0) + MAX(TblMili[[#This Row],[Druid (dp)]]+Races!$F$20-6,0) )  -  Races!$I$20</f>
        <v>#VALUE!</v>
      </c>
      <c r="CP4" s="69" t="e">
        <f aca="false">TblMili[[#This Row],[Mystic bonus]]*TblMili[[#This Row],[Unit 3]]+TblMili[[#This Row],[Druid bonus]]*TblMili[[#This Row],[Unit 4]]</f>
        <v>#VALUE!</v>
      </c>
      <c r="CQ4" s="148" t="e">
        <f aca="false">MIN(6,TblMili[[#This Row],[Dryad]]+Races!$F$35)*1.8 +  IF(TblMili[[#This Row],[Dryad]]+Races!$F$35&gt;6,(TblMili[[#This Row],[Dryad]]+Races!$F$35-6)*0.2,0) - Races!$I$19</f>
        <v>#VALUE!</v>
      </c>
      <c r="CR4" s="69" t="e">
        <f aca="false">sylvan*(TblMili[[#This Row],[Mystic bonus]]*TblMili[[#This Row],[Unit 3]])</f>
        <v>#VALUE!</v>
      </c>
      <c r="CS4" s="148" t="e">
        <f aca="false">1.8 * MIN(MAX(Races!$E$27,TblMili[[#This Row],[Rockapult]]+Races!$F$27),6)  +  0.45 * MIN(MIN(Races!$E$27,TblMili[[#This Row],[Rockapult]]+Races!$F$27),6)  +  0.2 * ( MAX(Races!$E$27-6,0) + MAX(TblMili[[#This Row],[Rockapult]]+Races!$F$27-6,0) )  -  Races!$I$20</f>
        <v>#VALUE!</v>
      </c>
      <c r="CT4" s="69" t="e">
        <f aca="false">gnome*(TblMili[[#This Row],[Rockapult bonus]]*TblMili[[#This Row],[Unit 3]])</f>
        <v>#VALUE!</v>
      </c>
      <c r="CU4" s="148" t="n">
        <f aca="false">1.8 * MIN(MAX(TblMili[[#This Row],[Spellblade]]+Races!$E$47,TblMili[[#This Row],[Adept-DP]]+Races!$F$47),6)  +  0.45 * MIN(MIN(TblMili[[#This Row],[Spellblade]]+Races!$E$47,TblMili[[#This Row],[Adept-DP]]+Races!$F$47),6)  +  0.2 * ( MAX(TblMili[[#This Row],[Spellblade]]+Races!$E$47-6,0) + MAX(TblMili[[#This Row],[Adept-DP]]+Races!$F$47-6,0) )  -  Races!$I$47</f>
        <v>0</v>
      </c>
      <c r="CV4" s="69" t="n">
        <f aca="false">dark_elf*(TblMili[[#This Row],[Adept bonus]]*TblMili[[#This Row],[Unit 3]])</f>
        <v>0</v>
      </c>
      <c r="CW4" s="288" t="e">
        <f aca="false">1.8 * MIN(MAX(TblMili[[#This Row],[Frost Mage]]+Races!$F$71,Races!$E$71),6)  +  0.45 * MIN(MIN(TblMili[[#This Row],[Frost Mage]]+Races!$F$71,Races!$E$71),6)  +  0.2 * ( MAX(TblMili[[#This Row],[Frost Mage]]+Races!$F$71-6,0) + MAX(Races!$E$71-6,0) )  -  Races!$I$71</f>
        <v>#VALUE!</v>
      </c>
      <c r="CX4" s="288" t="n">
        <f aca="false">1.8 * MIN(MAX(TblMili[[#This Row],[Ice Elemental]]+Races!$E$71,Races!$F$71),6)  +  0.45 * MIN(MIN(TblMili[[#This Row],[Ice Elemental]]+Races!$E$71,Races!$F$71),6)  +  0.2 * ( MAX(TblMili[[#This Row],[Ice Elemental]]+Races!$E$71-6,0) + MAX(Races!$F$71-6,0) )  -  Races!$I$71</f>
        <v>0</v>
      </c>
      <c r="CY4" s="69" t="e">
        <f aca="false">TblMili[[#This Row],[Frost Mage bonus]]*TblMili[[#This Row],[Unit 3]]+TblMili[[#This Row],[Ice Elemental bonus]]*TblMili[[#This Row],[Unit 4]]</f>
        <v>#VALUE!</v>
      </c>
      <c r="CZ4" s="290"/>
      <c r="DA4" s="109" t="n">
        <f aca="false">MIN(SUM(TblConstr[[#This Row],[Plain]:[Water]])/TblMili[[#This Row],[Land]]/favorable_terrain_bonus/100,favorable_terrain_max)</f>
        <v>0.1</v>
      </c>
      <c r="DB4" s="290"/>
      <c r="DC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 s="132"/>
      <c r="DE4" s="291" t="n">
        <f aca="false">(TblMili[[#This Row],[Wizards]]+2*TblMili[[#This Row],[Archmages]])/TblConstr[[#This Row],[Land]]</f>
        <v>0</v>
      </c>
      <c r="DF4" s="291" t="n">
        <f aca="false">TblMili[[#This Row],[Raw (2)]]*(1+race_wizard_strength+IF(TblMili[[#This Row],[Hour]]&gt;72,tech_magical_weaponry_wiz*TblTech[[#This Row],[3-5]],0))</f>
        <v>0</v>
      </c>
    </row>
    <row r="5" customFormat="false" ht="12.75" hidden="false" customHeight="false" outlineLevel="0" collapsed="false">
      <c r="A5" s="128" t="n">
        <f aca="false">TblRezone[[#This Row],[Hour]]</f>
        <v>2</v>
      </c>
      <c r="B5" s="282" t="n">
        <f aca="false">SUM(TblMili[[#This Row],[Unit 1]:[Archmages]])+SUM(OFFSET(TblMili[[#This Row],[Train Unit 1]],-1,0):TblMili[[#This Row],[Train Unit 4]])+TblMili[[#This Row],[Draftees]]</f>
        <v>313</v>
      </c>
      <c r="C5" s="150" t="n">
        <f aca="false">TblPop[[#This Row],[Military%]]</f>
        <v>0.190970103721782</v>
      </c>
      <c r="D5" s="132"/>
      <c r="E5" s="151" t="n">
        <f aca="false">OFFSET(TblMili[[#This Row],[Unit 1]],-1,0) - TblMili[[#This Row],[Release Unit 1]]</f>
        <v>0</v>
      </c>
      <c r="F5" s="151" t="n">
        <f aca="false">OFFSET(TblMili[[#This Row],[Unit 2]],-1,0)-TblMili[[#This Row],[Release Unit 2]]</f>
        <v>0</v>
      </c>
      <c r="G5" s="151" t="n">
        <f aca="false">OFFSET(TblMili[[#This Row],[Unit 3]],-1,0)-TblMili[[#This Row],[Release Unit 3]]</f>
        <v>0</v>
      </c>
      <c r="H5" s="151" t="n">
        <f aca="false">OFFSET(TblMili[[#This Row],[Unit 4]],-1,0)-TblMili[[#This Row],[Release Unit 4]]</f>
        <v>0</v>
      </c>
      <c r="I5" s="151" t="n">
        <f aca="false">OFFSET(TblMili[[#This Row],[Spies]],-1,0)-TblMili[[#This Row],[Release Spies]]-TblMili[[#This Row],[Train AS]]</f>
        <v>0</v>
      </c>
      <c r="J5" s="151" t="n">
        <f aca="false">OFFSET(TblMili[[#This Row],[Archspies]],-1,0)-TblMili[[#This Row],[Release AS]]</f>
        <v>0</v>
      </c>
      <c r="K5" s="151" t="n">
        <f aca="false">OFFSET(TblMili[[#This Row],[Wizards]],-1,0)-TblMili[[#This Row],[Release Wizards]]-TblMili[[#This Row],[Train AM]]</f>
        <v>0</v>
      </c>
      <c r="L5" s="151" t="n">
        <f aca="false">OFFSET(TblMili[[#This Row],[Archmages]],-1,0)-TblMili[[#This Row],[Release AM]]</f>
        <v>0</v>
      </c>
      <c r="M5" s="132"/>
      <c r="N5" s="69" t="e">
        <f aca="false">TblProd[[#This Row],[Networth]]</f>
        <v>#VALUE!</v>
      </c>
      <c r="O5" s="132"/>
      <c r="P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 s="285" t="e">
        <f aca="false">TblMili[[#This Row],[Raw]]*(1+TblMili[[#This Row],[Mods_Off]])</f>
        <v>#VALUE!</v>
      </c>
      <c r="S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 s="285" t="e">
        <f aca="false">TblMili[[#This Row],[Non Draft]]+TblMili[[#This Row],[Draftees]]</f>
        <v>#VALUE!</v>
      </c>
      <c r="U5" s="286" t="n">
        <f aca="false">race_defense + TblImps[[#This Row],[Walls]] + ROUND( MIN(gt_bonus*TblConstr[[#This Row],[Tot GT]]/TblConstr[[#This Row],[Land]],gt_bonus_cap), 4) + IF(TblMagic[[#This Row],[Active Howling]]&gt;0,howling_dp_bonus,IF(TblMagic[[#This Row],[Active Ares Call]]&gt;0,ares_call_bonus))</f>
        <v>0</v>
      </c>
      <c r="V5" s="274" t="e">
        <f aca="false">TblMili[[#This Row],[Non Draft]] * (1 + TblMili[[#This Row],[Mods_Def]])</f>
        <v>#VALUE!</v>
      </c>
      <c r="W5" s="285" t="e">
        <f aca="false">TblMili[[#This Row],[Draft]] * (1 + TblMili[[#This Row],[Mods_Def]])</f>
        <v>#VALUE!</v>
      </c>
      <c r="X5" s="285" t="n">
        <f aca="false">TblConstr[[#This Row],[Land]]</f>
        <v>250</v>
      </c>
      <c r="Y5" s="287"/>
      <c r="Z5" s="109" t="n">
        <f aca="false">IF(TblMili[[#This Row],[Set]]&lt;&gt;"",TblMili[[#This Row],[Set]],OFFSET(TblMili[[#This Row],[Draftrate]],-1,0))</f>
        <v>0.9</v>
      </c>
      <c r="AA5" s="69" t="n">
        <f aca="false">OFFSET(TblMili[[#This Row],[Draftees]],-1,0)+OFFSET(TblPop[[#This Row],[Draft Growth]],-1,0) - SUM(TblMili[[#This Row],[Train Unit 1]:[Train Spies]],TblMili[[#This Row],[Train Wiz]]) - TblMili[[#This Row],[Release Draft]] + SUM(TblMili[[#This Row],[Release Unit 1]:[Release AM]]) - TblExplore[[#This Row],[Draftees (2)]]</f>
        <v>313</v>
      </c>
      <c r="AB5" s="146"/>
      <c r="AC5" s="130" t="n">
        <f aca="false">(TblConstr[[#This Row],[Tot Smi]]+TblConstr[[#This Row],[Dest Smi]])/(TblConstr[[#This Row],[Land]]-TblExplore[[#This Row],[Land Bonus]]*20)</f>
        <v>0</v>
      </c>
      <c r="AD5" s="128"/>
      <c r="AE5" s="282" t="n">
        <f aca="false">TblMili[[#This Row],[Hour]]</f>
        <v>2</v>
      </c>
      <c r="AF5" s="129" t="n">
        <f aca="false">TblExplore[[#This Row],[Time]]</f>
        <v>45429.7916666667</v>
      </c>
      <c r="AG5" s="182"/>
      <c r="AH5" s="182"/>
      <c r="AI5" s="182"/>
      <c r="AJ5" s="182"/>
      <c r="AK5" s="182"/>
      <c r="AL5" s="182"/>
      <c r="AM5" s="182"/>
      <c r="AN5" s="182"/>
      <c r="AO5" s="132"/>
      <c r="AP5" s="69" t="n">
        <f aca="false">TblProd[[#This Row],[Platinum]]</f>
        <v>15140</v>
      </c>
      <c r="AQ5" s="69" t="n">
        <f aca="false">INDEX(TblProd[[#Headers],[Lumber]]:TblProd[[#This Row],[Ore]],COUNTA(TblProd[[#Headers],[Lumber]]:TblProd[[#This Row],[Lumber]]),MATCH(Military!$AQ$2,TblProd[[#Headers],[Lumber]:[Ore]],0))</f>
        <v>0</v>
      </c>
      <c r="AR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69" t="n">
        <f aca="false">TblMili[[#This Row],[Train Unit 1]]*TblMili[[#This Row],[OP Ore]]+TblMili[[#This Row],[Train Unit 2]]*TblMili[[#This Row],[DP Ore]]+TblMili[[#This Row],[Train Unit 3]]*TblMili[[#This Row],[E1 Ore]]+TblMili[[#This Row],[Train Unit 4]]*TblMili[[#This Row],[E2 Ore]]</f>
        <v>0</v>
      </c>
      <c r="AT5" s="132" t="n">
        <f aca="false">TblMili[[#This Row],[Hour]]</f>
        <v>2</v>
      </c>
      <c r="AU5" s="144" t="n">
        <f aca="false">TblMili[[#This Row],[Time]]</f>
        <v>45429.7916666667</v>
      </c>
      <c r="AV5" s="69" t="n">
        <f aca="false">TblMili[[#This Row],[Draftees]]</f>
        <v>313</v>
      </c>
      <c r="AW5" s="152"/>
      <c r="AX5" s="182"/>
      <c r="AY5" s="182"/>
      <c r="AZ5" s="182"/>
      <c r="BA5" s="182"/>
      <c r="BB5" s="182"/>
      <c r="BC5" s="182"/>
      <c r="BD5" s="182"/>
      <c r="BE5" s="182"/>
      <c r="BF5" s="132"/>
      <c r="BG5" s="150" t="n">
        <f aca="false">TblConstr[[#This Row],[Tot WG]]/TblConstr[[#This Row],[Land]]</f>
        <v>0</v>
      </c>
      <c r="BH5" s="150" t="n">
        <f aca="false">TblConstr[[#This Row],[Tot Hav]]/TblConstr[[#This Row],[Land]]</f>
        <v>0</v>
      </c>
      <c r="BI5" s="69" t="n">
        <f aca="false">ROUNDUP((1-MIN(TblMili[[#This Row],[Smithies]]*smithy_bonus,smithy_bonus_cap) + tech_3_5*TblTech[[#This Row],[3-5]] + tech_5_3*TblTech[[#This Row],[5-3]] + tech_5_5*TblTech[[#This Row],[5-5]])*spec_op_plat,0)</f>
        <v>300</v>
      </c>
      <c r="BJ5" s="69" t="n">
        <f aca="false">ROUNDUP(IF(race="Gnome",1,(1-MIN(TblMili[[#This Row],[Smithies]]*smithy_bonus,smithy_bonus_cap) + tech_3_5*TblTech[[#This Row],[3-5]] + tech_5_3*TblTech[[#This Row],[5-3]] + tech_5_5*TblTech[[#This Row],[5-5]]))*spec_op_ore,0)</f>
        <v>0</v>
      </c>
      <c r="BK5" s="69" t="n">
        <f aca="false">ROUNDUP((1-MIN(TblMili[[#This Row],[Smithies]]*smithy_bonus,smithy_bonus_cap) + tech_3_5*TblTech[[#This Row],[3-5]] + tech_5_3*TblTech[[#This Row],[5-3]] + tech_5_5*TblTech[[#This Row],[5-5]])*spec_dp_plat,0)</f>
        <v>300</v>
      </c>
      <c r="BL5" s="69" t="n">
        <f aca="false">ROUNDUP(IF(race="Gnome",1,(1-MIN(TblMili[[#This Row],[Smithies]]*smithy_bonus,smithy_bonus_cap) + tech_3_5*TblTech[[#This Row],[3-5]] + tech_5_3*TblTech[[#This Row],[5-3]] + tech_5_5*TblTech[[#This Row],[5-5]]))*spec_dp_ore,0)</f>
        <v>0</v>
      </c>
      <c r="BM5" s="69" t="n">
        <f aca="false">ROUNDUP((1-MIN(TblMili[[#This Row],[Smithies]]*smithy_bonus,smithy_bonus_cap) + tech_3_5*TblTech[[#This Row],[3-5]] + tech_5_3*TblTech[[#This Row],[5-3]] + tech_5_5*TblTech[[#This Row],[5-5]])*elite1_plat,0)</f>
        <v>925</v>
      </c>
      <c r="BN5" s="69" t="n">
        <f aca="false">ROUNDUP(IF(race="Gnome",1,(1-MIN(TblMili[[#This Row],[Smithies]]*smithy_bonus,smithy_bonus_cap) + tech_3_5*TblTech[[#This Row],[3-5]] + tech_5_3*TblTech[[#This Row],[5-3]] + tech_5_5*TblTech[[#This Row],[5-5]]))*elite1_ore,0)</f>
        <v>0</v>
      </c>
      <c r="BO5" s="69" t="n">
        <f aca="false">ROUNDUP((1-MIN(TblMili[[#This Row],[Smithies]]*smithy_bonus,smithy_bonus_cap) + tech_3_5*TblTech[[#This Row],[3-5]] + tech_5_3*TblTech[[#This Row],[5-3]] + tech_5_5*TblTech[[#This Row],[5-5]])*elite2_plat,0)</f>
        <v>950</v>
      </c>
      <c r="BP5" s="69" t="n">
        <f aca="false">ROUNDUP(IF(race="Gnome",1,(1-MIN(TblMili[[#This Row],[Smithies]]*smithy_bonus,smithy_bonus_cap) + tech_3_5*TblTech[[#This Row],[3-5]] + tech_5_3*TblTech[[#This Row],[5-3]] + tech_5_5*TblTech[[#This Row],[5-5]]))*elite2_ore,0)</f>
        <v>0</v>
      </c>
      <c r="BQ5" s="69" t="n">
        <f aca="false">ROUNDUP((1-MIN(ROUND(fh_spy_cost_red*TblMili[[#This Row],[FH''s]],4),fh_spy_cost_cap)+ tech_1_9*TblTech[[#This Row],[1-9]] + tech_9_1*TblTech[[#This Row],[9-1]])*spy_plat,0)</f>
        <v>500</v>
      </c>
      <c r="BR5" s="69" t="n">
        <f aca="false">ROUNDUP((1-MIN(ROUND(fh_spy_cost_red*TblMili[[#This Row],[FH''s]],4),fh_spy_cost_cap)+ tech_1_9*TblTech[[#This Row],[1-9]] + tech_9_1*TblTech[[#This Row],[9-1]])*archspy_plat,0)</f>
        <v>1000</v>
      </c>
      <c r="BS5" s="69" t="n">
        <f aca="false">ROUNDUP((1-MIN(ROUND(wg_wiz_cost_bonus*TblMili[[#This Row],[WG''s]],4),wg_wiz_cost_cap) + tech_1_9_2*TblTech[[#This Row],[1-9]] + tech_9_1_2*TblTech[[#This Row],[9-1]])*wizard_plat,0)</f>
        <v>500</v>
      </c>
      <c r="BT5" s="69" t="n">
        <f aca="false">ROUNDUP((1-MIN(ROUND(wg_wiz_cost_bonus*TblMili[[#This Row],[WG''s]],4),wg_wiz_cost_cap) + tech_1_9_2*TblTech[[#This Row],[1-9]] + tech_9_1_2*TblTech[[#This Row],[9-1]])*archmage_plat,0)</f>
        <v>1000</v>
      </c>
      <c r="BU5" s="132"/>
      <c r="BV5" s="150" t="e">
        <f aca="false">TblConstr[[#This Row],[Homeland]]/TblConstr[[#This Row],[Land]]</f>
        <v>#VALUE!</v>
      </c>
      <c r="BW5" s="150" t="n">
        <f aca="false">TblMili[[#This Row],[WG''s]]</f>
        <v>0</v>
      </c>
      <c r="BX5" s="288" t="e">
        <f aca="false">IF(mystic_cap="none",TblMili[[#This Row],[Hill]]/mystic_bonus,MIN(mystic_cap,TblMili[[#This Row],[Hill]]/mystic_bonus))</f>
        <v>#VALUE!</v>
      </c>
      <c r="BY5" s="288" t="e">
        <f aca="false">IF(druid_op_cap="none",TblMili[[#This Row],[Hill]]/druid_op_bonus,MIN(druid_op_cap,TblMili[[#This Row],[Hill]]/druid_op_bonus))</f>
        <v>#VALUE!</v>
      </c>
      <c r="BZ5" s="288" t="e">
        <f aca="false">IF(druid_dp_cap="none",TblMili[[#This Row],[Hill]]/druid_dp_bonus,MIN(druid_dp_cap,TblMili[[#This Row],[Hill]]/druid_dp_bonus))</f>
        <v>#VALUE!</v>
      </c>
      <c r="CA5" s="288" t="e">
        <f aca="false">MIN(dryad_cap,TblMili[[#This Row],[Hill]]/dryad_bonus)</f>
        <v>#VALUE!</v>
      </c>
      <c r="CB5" s="288" t="e">
        <f aca="false">MIN(rocka_cap,TblMili[[#This Row],[Hill]]/rocka_bonus)</f>
        <v>#VALUE!</v>
      </c>
      <c r="CC5" s="288" t="n">
        <f aca="false">MIN(adept_op_cap,TblMili[[#This Row],[WG]]/adept_op_bonus)</f>
        <v>0</v>
      </c>
      <c r="CD5" s="288" t="n">
        <f aca="false">MIN(adept_dp_cap,TblMili[[#This Row],[WG]]/adept_dp_bonus)</f>
        <v>0</v>
      </c>
      <c r="CE5" s="69" t="n">
        <f aca="false">MIN(TblMili[[#This Row],[Unit 3]],TblMili[[#This Row],[Unit 2]])*2</f>
        <v>0</v>
      </c>
      <c r="CF5" s="69" t="n">
        <f aca="false">MIN(TblMili[[#This Row],[Unit 1]],TblMili[[#This Row],[Unit 4]])*2</f>
        <v>0</v>
      </c>
      <c r="CG5" s="288" t="e">
        <f aca="false">MIN(frost_mage_cap,TblMili[[#This Row],[Hill]]/frost_mage_bonus)</f>
        <v>#VALUE!</v>
      </c>
      <c r="CH5" s="151" t="n">
        <f aca="false">MIN(ice_elem_cap,TblMili[[#This Row],[Raw (2)]]*ice_elem_bonus)</f>
        <v>0</v>
      </c>
      <c r="CI5" s="288" t="n">
        <f aca="false">MIN(bone_breaker_cap,250/bone_breaker_bonus)</f>
        <v>0.833333333333333</v>
      </c>
      <c r="CJ5" s="288" t="e">
        <f aca="false">MIN(nox_nightshade_cap,TblConstr[[#This Row],[Homeland]]/TblConstr[[#This Row],[Land]]/nox_nightshade_swamp_bonus)</f>
        <v>#VALUE!</v>
      </c>
      <c r="CK5" s="289" t="s">
        <v>113</v>
      </c>
      <c r="CL5" s="292" t="b">
        <f aca="false">race=CK5</f>
        <v>0</v>
      </c>
      <c r="CM5" s="289"/>
      <c r="CN5" s="288" t="e">
        <f aca="false">MIN(6,TblMili[[#This Row],[Mystic]]+Races!$F$19)*1.8 +  IF(TblMili[[#This Row],[Mystic]]+Races!$F$19&gt;6,(TblMili[[#This Row],[Mystic]]+Races!$F$19-6)*0.2,0) - Races!$I$19</f>
        <v>#VALUE!</v>
      </c>
      <c r="CO5" s="288" t="e">
        <f aca="false">1.8 * MIN(MAX(TblMili[[#This Row],[Druid (op)]]+Races!$E$20,TblMili[[#This Row],[Druid (dp)]]+Races!$F$20),6)  +  0.45 * MIN(MIN(TblMili[[#This Row],[Druid (op)]]+Races!$E$20,TblMili[[#This Row],[Druid (dp)]]+Races!$F$20),6)  +  0.2 * ( MAX(TblMili[[#This Row],[Druid (op)]]+Races!$E$20-6,0) + MAX(TblMili[[#This Row],[Druid (dp)]]+Races!$F$20-6,0) )  -  Races!$I$20</f>
        <v>#VALUE!</v>
      </c>
      <c r="CP5" s="69" t="e">
        <f aca="false">TblMili[[#This Row],[Mystic bonus]]*TblMili[[#This Row],[Unit 3]]+TblMili[[#This Row],[Druid bonus]]*TblMili[[#This Row],[Unit 4]]</f>
        <v>#VALUE!</v>
      </c>
      <c r="CQ5" s="148" t="e">
        <f aca="false">MIN(6,TblMili[[#This Row],[Dryad]]+Races!$F$35)*1.8 +  IF(TblMili[[#This Row],[Dryad]]+Races!$F$35&gt;6,(TblMili[[#This Row],[Dryad]]+Races!$F$35-6)*0.2,0) - Races!$I$19</f>
        <v>#VALUE!</v>
      </c>
      <c r="CR5" s="69" t="e">
        <f aca="false">sylvan*(TblMili[[#This Row],[Mystic bonus]]*TblMili[[#This Row],[Unit 3]])</f>
        <v>#VALUE!</v>
      </c>
      <c r="CS5" s="148" t="e">
        <f aca="false">1.8 * MIN(MAX(Races!$E$27,TblMili[[#This Row],[Rockapult]]+Races!$F$27),6)  +  0.45 * MIN(MIN(Races!$E$27,TblMili[[#This Row],[Rockapult]]+Races!$F$27),6)  +  0.2 * ( MAX(Races!$E$27-6,0) + MAX(TblMili[[#This Row],[Rockapult]]+Races!$F$27-6,0) )  -  Races!$I$20</f>
        <v>#VALUE!</v>
      </c>
      <c r="CT5" s="69" t="e">
        <f aca="false">gnome*(TblMili[[#This Row],[Rockapult bonus]]*TblMili[[#This Row],[Unit 3]])</f>
        <v>#VALUE!</v>
      </c>
      <c r="CU5" s="148" t="n">
        <f aca="false">1.8 * MIN(MAX(TblMili[[#This Row],[Spellblade]]+Races!$E$47,TblMili[[#This Row],[Adept-DP]]+Races!$F$47),6)  +  0.45 * MIN(MIN(TblMili[[#This Row],[Spellblade]]+Races!$E$47,TblMili[[#This Row],[Adept-DP]]+Races!$F$47),6)  +  0.2 * ( MAX(TblMili[[#This Row],[Spellblade]]+Races!$E$47-6,0) + MAX(TblMili[[#This Row],[Adept-DP]]+Races!$F$47-6,0) )  -  Races!$I$47</f>
        <v>0</v>
      </c>
      <c r="CV5" s="69" t="n">
        <f aca="false">dark_elf*(TblMili[[#This Row],[Adept bonus]]*TblMili[[#This Row],[Unit 3]])</f>
        <v>0</v>
      </c>
      <c r="CW5" s="148" t="e">
        <f aca="false">1.8 * MIN(MAX(TblMili[[#This Row],[Frost Mage]]+Races!$F$71,Races!$E$71),6)  +  0.45 * MIN(MIN(TblMili[[#This Row],[Frost Mage]]+Races!$F$71,Races!$E$71),6)  +  0.2 * ( MAX(TblMili[[#This Row],[Frost Mage]]+Races!$F$71-6,0) + MAX(Races!$E$71-6,0) )  -  Races!$I$71</f>
        <v>#VALUE!</v>
      </c>
      <c r="CX5" s="148" t="n">
        <f aca="false">1.8 * MIN(MAX(TblMili[[#This Row],[Ice Elemental]]+Races!$E$71,Races!$F$71),6)  +  0.45 * MIN(MIN(TblMili[[#This Row],[Ice Elemental]]+Races!$E$71,Races!$F$71),6)  +  0.2 * ( MAX(TblMili[[#This Row],[Ice Elemental]]+Races!$E$71-6,0) + MAX(Races!$F$71-6,0) )  -  Races!$I$71</f>
        <v>0</v>
      </c>
      <c r="CY5" s="69" t="e">
        <f aca="false">TblMili[[#This Row],[Frost Mage bonus]]*TblMili[[#This Row],[Unit 3]]+TblMili[[#This Row],[Ice Elemental bonus]]*TblMili[[#This Row],[Unit 4]]</f>
        <v>#VALUE!</v>
      </c>
      <c r="CZ5" s="290"/>
      <c r="DA5" s="109" t="n">
        <f aca="false">MIN(SUM(TblConstr[[#This Row],[Plain]:[Water]])/TblMili[[#This Row],[Land]]/favorable_terrain_bonus/100,favorable_terrain_max)</f>
        <v>0.1</v>
      </c>
      <c r="DB5" s="290"/>
      <c r="DC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 s="132"/>
      <c r="DE5" s="291" t="n">
        <f aca="false">(TblMili[[#This Row],[Wizards]]+2*TblMili[[#This Row],[Archmages]])/TblConstr[[#This Row],[Land]]</f>
        <v>0</v>
      </c>
      <c r="DF5" s="291" t="n">
        <f aca="false">TblMili[[#This Row],[Raw (2)]]*(1+race_wizard_strength+IF(TblMili[[#This Row],[Hour]]&gt;72,tech_magical_weaponry_wiz*TblTech[[#This Row],[3-5]],0))</f>
        <v>0</v>
      </c>
    </row>
    <row r="6" customFormat="false" ht="12.75" hidden="false" customHeight="false" outlineLevel="0" collapsed="false">
      <c r="A6" s="128" t="n">
        <f aca="false">TblRezone[[#This Row],[Hour]]</f>
        <v>3</v>
      </c>
      <c r="B6" s="282" t="n">
        <f aca="false">SUM(TblMili[[#This Row],[Unit 1]:[Archmages]])+SUM(OFFSET(TblMili[[#This Row],[Train Unit 1]],-2,0):TblMili[[#This Row],[Train Unit 4]])+TblMili[[#This Row],[Draftees]]</f>
        <v>326</v>
      </c>
      <c r="C6" s="150" t="n">
        <f aca="false">TblPop[[#This Row],[Military%]]</f>
        <v>0.194278903456496</v>
      </c>
      <c r="D6" s="132"/>
      <c r="E6" s="151" t="n">
        <f aca="false">OFFSET(TblMili[[#This Row],[Unit 1]],-1,0) - TblMili[[#This Row],[Release Unit 1]]</f>
        <v>0</v>
      </c>
      <c r="F6" s="151" t="n">
        <f aca="false">OFFSET(TblMili[[#This Row],[Unit 2]],-1,0)-TblMili[[#This Row],[Release Unit 2]]</f>
        <v>0</v>
      </c>
      <c r="G6" s="151" t="n">
        <f aca="false">OFFSET(TblMili[[#This Row],[Unit 3]],-1,0)-TblMili[[#This Row],[Release Unit 3]]</f>
        <v>0</v>
      </c>
      <c r="H6" s="151" t="n">
        <f aca="false">OFFSET(TblMili[[#This Row],[Unit 4]],-1,0)-TblMili[[#This Row],[Release Unit 4]]</f>
        <v>0</v>
      </c>
      <c r="I6" s="151" t="n">
        <f aca="false">OFFSET(TblMili[[#This Row],[Spies]],-1,0)-TblMili[[#This Row],[Release Spies]]-TblMili[[#This Row],[Train AS]]</f>
        <v>0</v>
      </c>
      <c r="J6" s="151" t="n">
        <f aca="false">OFFSET(TblMili[[#This Row],[Archspies]],-1,0)-TblMili[[#This Row],[Release AS]]</f>
        <v>0</v>
      </c>
      <c r="K6" s="151" t="n">
        <f aca="false">OFFSET(TblMili[[#This Row],[Wizards]],-1,0)-TblMili[[#This Row],[Release Wizards]]-TblMili[[#This Row],[Train AM]]</f>
        <v>0</v>
      </c>
      <c r="L6" s="151" t="n">
        <f aca="false">OFFSET(TblMili[[#This Row],[Archmages]],-1,0)-TblMili[[#This Row],[Release AM]]</f>
        <v>0</v>
      </c>
      <c r="M6" s="132"/>
      <c r="N6" s="69" t="e">
        <f aca="false">TblProd[[#This Row],[Networth]]</f>
        <v>#VALUE!</v>
      </c>
      <c r="O6" s="132"/>
      <c r="P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 s="285" t="e">
        <f aca="false">TblMili[[#This Row],[Raw]]*(1+TblMili[[#This Row],[Mods_Off]])</f>
        <v>#VALUE!</v>
      </c>
      <c r="S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 s="285" t="e">
        <f aca="false">TblMili[[#This Row],[Non Draft]]+TblMili[[#This Row],[Draftees]]</f>
        <v>#VALUE!</v>
      </c>
      <c r="U6" s="286" t="n">
        <f aca="false">race_defense + TblImps[[#This Row],[Walls]] + ROUND( MIN(gt_bonus*TblConstr[[#This Row],[Tot GT]]/TblConstr[[#This Row],[Land]],gt_bonus_cap), 4) + IF(TblMagic[[#This Row],[Active Howling]]&gt;0,howling_dp_bonus,IF(TblMagic[[#This Row],[Active Ares Call]]&gt;0,ares_call_bonus))</f>
        <v>0</v>
      </c>
      <c r="V6" s="274" t="e">
        <f aca="false">TblMili[[#This Row],[Non Draft]] * (1 + TblMili[[#This Row],[Mods_Def]])</f>
        <v>#VALUE!</v>
      </c>
      <c r="W6" s="285" t="e">
        <f aca="false">TblMili[[#This Row],[Draft]] * (1 + TblMili[[#This Row],[Mods_Def]])</f>
        <v>#VALUE!</v>
      </c>
      <c r="X6" s="285" t="n">
        <f aca="false">TblConstr[[#This Row],[Land]]</f>
        <v>250</v>
      </c>
      <c r="Y6" s="287"/>
      <c r="Z6" s="109" t="n">
        <f aca="false">IF(TblMili[[#This Row],[Set]]&lt;&gt;"",TblMili[[#This Row],[Set]],OFFSET(TblMili[[#This Row],[Draftrate]],-1,0))</f>
        <v>0.9</v>
      </c>
      <c r="AA6" s="69" t="n">
        <f aca="false">OFFSET(TblMili[[#This Row],[Draftees]],-1,0)+OFFSET(TblPop[[#This Row],[Draft Growth]],-1,0) - SUM(TblMili[[#This Row],[Train Unit 1]:[Train Spies]],TblMili[[#This Row],[Train Wiz]]) - TblMili[[#This Row],[Release Draft]] + SUM(TblMili[[#This Row],[Release Unit 1]:[Release AM]]) - TblExplore[[#This Row],[Draftees (2)]]</f>
        <v>326</v>
      </c>
      <c r="AB6" s="146"/>
      <c r="AC6" s="130" t="n">
        <f aca="false">(TblConstr[[#This Row],[Tot Smi]]+TblConstr[[#This Row],[Dest Smi]])/(TblConstr[[#This Row],[Land]]-TblExplore[[#This Row],[Land Bonus]]*20)</f>
        <v>0</v>
      </c>
      <c r="AD6" s="128"/>
      <c r="AE6" s="282" t="n">
        <f aca="false">TblMili[[#This Row],[Hour]]</f>
        <v>3</v>
      </c>
      <c r="AF6" s="129" t="n">
        <f aca="false">TblExplore[[#This Row],[Time]]</f>
        <v>45429.8333333333</v>
      </c>
      <c r="AG6" s="182"/>
      <c r="AH6" s="182"/>
      <c r="AI6" s="182"/>
      <c r="AJ6" s="182"/>
      <c r="AK6" s="182"/>
      <c r="AL6" s="182"/>
      <c r="AM6" s="182"/>
      <c r="AN6" s="182"/>
      <c r="AO6" s="132"/>
      <c r="AP6" s="69" t="n">
        <f aca="false">TblProd[[#This Row],[Platinum]]</f>
        <v>20520</v>
      </c>
      <c r="AQ6" s="69" t="n">
        <f aca="false">INDEX(TblProd[[#Headers],[Lumber]]:TblProd[[#This Row],[Ore]],COUNTA(TblProd[[#Headers],[Lumber]]:TblProd[[#This Row],[Lumber]]),MATCH(Military!$AQ$2,TblProd[[#Headers],[Lumber]:[Ore]],0))</f>
        <v>0</v>
      </c>
      <c r="AR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69" t="n">
        <f aca="false">TblMili[[#This Row],[Train Unit 1]]*TblMili[[#This Row],[OP Ore]]+TblMili[[#This Row],[Train Unit 2]]*TblMili[[#This Row],[DP Ore]]+TblMili[[#This Row],[Train Unit 3]]*TblMili[[#This Row],[E1 Ore]]+TblMili[[#This Row],[Train Unit 4]]*TblMili[[#This Row],[E2 Ore]]</f>
        <v>0</v>
      </c>
      <c r="AT6" s="132" t="n">
        <f aca="false">TblMili[[#This Row],[Hour]]</f>
        <v>3</v>
      </c>
      <c r="AU6" s="144" t="n">
        <f aca="false">TblMili[[#This Row],[Time]]</f>
        <v>45429.8333333333</v>
      </c>
      <c r="AV6" s="69" t="n">
        <f aca="false">TblMili[[#This Row],[Draftees]]</f>
        <v>326</v>
      </c>
      <c r="AW6" s="182"/>
      <c r="AX6" s="182"/>
      <c r="AY6" s="182"/>
      <c r="AZ6" s="182"/>
      <c r="BA6" s="182"/>
      <c r="BB6" s="182"/>
      <c r="BC6" s="182"/>
      <c r="BD6" s="182"/>
      <c r="BE6" s="182"/>
      <c r="BF6" s="132"/>
      <c r="BG6" s="150" t="n">
        <f aca="false">TblConstr[[#This Row],[Tot WG]]/TblConstr[[#This Row],[Land]]</f>
        <v>0</v>
      </c>
      <c r="BH6" s="150" t="n">
        <f aca="false">TblConstr[[#This Row],[Tot Hav]]/TblConstr[[#This Row],[Land]]</f>
        <v>0</v>
      </c>
      <c r="BI6" s="69" t="n">
        <f aca="false">ROUNDUP((1-MIN(TblMili[[#This Row],[Smithies]]*smithy_bonus,smithy_bonus_cap) + tech_3_5*TblTech[[#This Row],[3-5]] + tech_5_3*TblTech[[#This Row],[5-3]] + tech_5_5*TblTech[[#This Row],[5-5]])*spec_op_plat,0)</f>
        <v>300</v>
      </c>
      <c r="BJ6" s="69" t="n">
        <f aca="false">ROUNDUP(IF(race="Gnome",1,(1-MIN(TblMili[[#This Row],[Smithies]]*smithy_bonus,smithy_bonus_cap) + tech_3_5*TblTech[[#This Row],[3-5]] + tech_5_3*TblTech[[#This Row],[5-3]] + tech_5_5*TblTech[[#This Row],[5-5]]))*spec_op_ore,0)</f>
        <v>0</v>
      </c>
      <c r="BK6" s="69" t="n">
        <f aca="false">ROUNDUP((1-MIN(TblMili[[#This Row],[Smithies]]*smithy_bonus,smithy_bonus_cap) + tech_3_5*TblTech[[#This Row],[3-5]] + tech_5_3*TblTech[[#This Row],[5-3]] + tech_5_5*TblTech[[#This Row],[5-5]])*spec_dp_plat,0)</f>
        <v>300</v>
      </c>
      <c r="BL6" s="69" t="n">
        <f aca="false">ROUNDUP(IF(race="Gnome",1,(1-MIN(TblMili[[#This Row],[Smithies]]*smithy_bonus,smithy_bonus_cap) + tech_3_5*TblTech[[#This Row],[3-5]] + tech_5_3*TblTech[[#This Row],[5-3]] + tech_5_5*TblTech[[#This Row],[5-5]]))*spec_dp_ore,0)</f>
        <v>0</v>
      </c>
      <c r="BM6" s="69" t="n">
        <f aca="false">ROUNDUP((1-MIN(TblMili[[#This Row],[Smithies]]*smithy_bonus,smithy_bonus_cap) + tech_3_5*TblTech[[#This Row],[3-5]] + tech_5_3*TblTech[[#This Row],[5-3]] + tech_5_5*TblTech[[#This Row],[5-5]])*elite1_plat,0)</f>
        <v>925</v>
      </c>
      <c r="BN6" s="69" t="n">
        <f aca="false">ROUNDUP(IF(race="Gnome",1,(1-MIN(TblMili[[#This Row],[Smithies]]*smithy_bonus,smithy_bonus_cap) + tech_3_5*TblTech[[#This Row],[3-5]] + tech_5_3*TblTech[[#This Row],[5-3]] + tech_5_5*TblTech[[#This Row],[5-5]]))*elite1_ore,0)</f>
        <v>0</v>
      </c>
      <c r="BO6" s="69" t="n">
        <f aca="false">ROUNDUP((1-MIN(TblMili[[#This Row],[Smithies]]*smithy_bonus,smithy_bonus_cap) + tech_3_5*TblTech[[#This Row],[3-5]] + tech_5_3*TblTech[[#This Row],[5-3]] + tech_5_5*TblTech[[#This Row],[5-5]])*elite2_plat,0)</f>
        <v>950</v>
      </c>
      <c r="BP6" s="69" t="n">
        <f aca="false">ROUNDUP(IF(race="Gnome",1,(1-MIN(TblMili[[#This Row],[Smithies]]*smithy_bonus,smithy_bonus_cap) + tech_3_5*TblTech[[#This Row],[3-5]] + tech_5_3*TblTech[[#This Row],[5-3]] + tech_5_5*TblTech[[#This Row],[5-5]]))*elite2_ore,0)</f>
        <v>0</v>
      </c>
      <c r="BQ6" s="69" t="n">
        <f aca="false">ROUNDUP((1-MIN(ROUND(fh_spy_cost_red*TblMili[[#This Row],[FH''s]],4),fh_spy_cost_cap)+ tech_1_9*TblTech[[#This Row],[1-9]] + tech_9_1*TblTech[[#This Row],[9-1]])*spy_plat,0)</f>
        <v>500</v>
      </c>
      <c r="BR6" s="69" t="n">
        <f aca="false">ROUNDUP((1-MIN(ROUND(fh_spy_cost_red*TblMili[[#This Row],[FH''s]],4),fh_spy_cost_cap)+ tech_1_9*TblTech[[#This Row],[1-9]] + tech_9_1*TblTech[[#This Row],[9-1]])*archspy_plat,0)</f>
        <v>1000</v>
      </c>
      <c r="BS6" s="69" t="n">
        <f aca="false">ROUNDUP((1-MIN(ROUND(wg_wiz_cost_bonus*TblMili[[#This Row],[WG''s]],4),wg_wiz_cost_cap) + tech_1_9_2*TblTech[[#This Row],[1-9]] + tech_9_1_2*TblTech[[#This Row],[9-1]])*wizard_plat,0)</f>
        <v>500</v>
      </c>
      <c r="BT6" s="69" t="n">
        <f aca="false">ROUNDUP((1-MIN(ROUND(wg_wiz_cost_bonus*TblMili[[#This Row],[WG''s]],4),wg_wiz_cost_cap) + tech_1_9_2*TblTech[[#This Row],[1-9]] + tech_9_1_2*TblTech[[#This Row],[9-1]])*archmage_plat,0)</f>
        <v>1000</v>
      </c>
      <c r="BU6" s="132"/>
      <c r="BV6" s="150" t="e">
        <f aca="false">TblConstr[[#This Row],[Homeland]]/TblConstr[[#This Row],[Land]]</f>
        <v>#VALUE!</v>
      </c>
      <c r="BW6" s="150" t="n">
        <f aca="false">TblMili[[#This Row],[WG''s]]</f>
        <v>0</v>
      </c>
      <c r="BX6" s="288" t="e">
        <f aca="false">IF(mystic_cap="none",TblMili[[#This Row],[Hill]]/mystic_bonus,MIN(mystic_cap,TblMili[[#This Row],[Hill]]/mystic_bonus))</f>
        <v>#VALUE!</v>
      </c>
      <c r="BY6" s="288" t="e">
        <f aca="false">IF(druid_op_cap="none",TblMili[[#This Row],[Hill]]/druid_op_bonus,MIN(druid_op_cap,TblMili[[#This Row],[Hill]]/druid_op_bonus))</f>
        <v>#VALUE!</v>
      </c>
      <c r="BZ6" s="288" t="e">
        <f aca="false">IF(druid_dp_cap="none",TblMili[[#This Row],[Hill]]/druid_dp_bonus,MIN(druid_dp_cap,TblMili[[#This Row],[Hill]]/druid_dp_bonus))</f>
        <v>#VALUE!</v>
      </c>
      <c r="CA6" s="288" t="e">
        <f aca="false">MIN(dryad_cap,TblMili[[#This Row],[Hill]]/dryad_bonus)</f>
        <v>#VALUE!</v>
      </c>
      <c r="CB6" s="288" t="e">
        <f aca="false">MIN(rocka_cap,TblMili[[#This Row],[Hill]]/rocka_bonus)</f>
        <v>#VALUE!</v>
      </c>
      <c r="CC6" s="288" t="n">
        <f aca="false">MIN(adept_op_cap,TblMili[[#This Row],[WG]]/adept_op_bonus)</f>
        <v>0</v>
      </c>
      <c r="CD6" s="288" t="n">
        <f aca="false">MIN(adept_dp_cap,TblMili[[#This Row],[WG]]/adept_dp_bonus)</f>
        <v>0</v>
      </c>
      <c r="CE6" s="69" t="n">
        <f aca="false">MIN(TblMili[[#This Row],[Unit 3]],TblMili[[#This Row],[Unit 2]])*2</f>
        <v>0</v>
      </c>
      <c r="CF6" s="69" t="n">
        <f aca="false">MIN(TblMili[[#This Row],[Unit 1]],TblMili[[#This Row],[Unit 4]])*2</f>
        <v>0</v>
      </c>
      <c r="CG6" s="288" t="e">
        <f aca="false">MIN(frost_mage_cap,TblMili[[#This Row],[Hill]]/frost_mage_bonus)</f>
        <v>#VALUE!</v>
      </c>
      <c r="CH6" s="151" t="n">
        <f aca="false">MIN(ice_elem_cap,TblMili[[#This Row],[Raw (2)]]*ice_elem_bonus)</f>
        <v>0</v>
      </c>
      <c r="CI6" s="288" t="n">
        <f aca="false">MIN(bone_breaker_cap,250/bone_breaker_bonus)</f>
        <v>0.833333333333333</v>
      </c>
      <c r="CJ6" s="288" t="e">
        <f aca="false">MIN(nox_nightshade_cap,TblConstr[[#This Row],[Homeland]]/TblConstr[[#This Row],[Land]]/nox_nightshade_swamp_bonus)</f>
        <v>#VALUE!</v>
      </c>
      <c r="CK6" s="289" t="s">
        <v>116</v>
      </c>
      <c r="CL6" s="292" t="b">
        <f aca="false">race=CK6</f>
        <v>0</v>
      </c>
      <c r="CM6" s="289"/>
      <c r="CN6" s="288" t="e">
        <f aca="false">MIN(6,TblMili[[#This Row],[Mystic]]+Races!$F$19)*1.8 +  IF(TblMili[[#This Row],[Mystic]]+Races!$F$19&gt;6,(TblMili[[#This Row],[Mystic]]+Races!$F$19-6)*0.2,0) - Races!$I$19</f>
        <v>#VALUE!</v>
      </c>
      <c r="CO6" s="288" t="e">
        <f aca="false">1.8 * MIN(MAX(TblMili[[#This Row],[Druid (op)]]+Races!$E$20,TblMili[[#This Row],[Druid (dp)]]+Races!$F$20),6)  +  0.45 * MIN(MIN(TblMili[[#This Row],[Druid (op)]]+Races!$E$20,TblMili[[#This Row],[Druid (dp)]]+Races!$F$20),6)  +  0.2 * ( MAX(TblMili[[#This Row],[Druid (op)]]+Races!$E$20-6,0) + MAX(TblMili[[#This Row],[Druid (dp)]]+Races!$F$20-6,0) )  -  Races!$I$20</f>
        <v>#VALUE!</v>
      </c>
      <c r="CP6" s="69" t="e">
        <f aca="false">TblMili[[#This Row],[Mystic bonus]]*TblMili[[#This Row],[Unit 3]]+TblMili[[#This Row],[Druid bonus]]*TblMili[[#This Row],[Unit 4]]</f>
        <v>#VALUE!</v>
      </c>
      <c r="CQ6" s="148" t="e">
        <f aca="false">MIN(6,TblMili[[#This Row],[Dryad]]+Races!$F$35)*1.8 +  IF(TblMili[[#This Row],[Dryad]]+Races!$F$35&gt;6,(TblMili[[#This Row],[Dryad]]+Races!$F$35-6)*0.2,0) - Races!$I$19</f>
        <v>#VALUE!</v>
      </c>
      <c r="CR6" s="69" t="e">
        <f aca="false">sylvan*(TblMili[[#This Row],[Mystic bonus]]*TblMili[[#This Row],[Unit 3]])</f>
        <v>#VALUE!</v>
      </c>
      <c r="CS6" s="148" t="e">
        <f aca="false">1.8 * MIN(MAX(Races!$E$27,TblMili[[#This Row],[Rockapult]]+Races!$F$27),6)  +  0.45 * MIN(MIN(Races!$E$27,TblMili[[#This Row],[Rockapult]]+Races!$F$27),6)  +  0.2 * ( MAX(Races!$E$27-6,0) + MAX(TblMili[[#This Row],[Rockapult]]+Races!$F$27-6,0) )  -  Races!$I$20</f>
        <v>#VALUE!</v>
      </c>
      <c r="CT6" s="69" t="e">
        <f aca="false">gnome*(TblMili[[#This Row],[Rockapult bonus]]*TblMili[[#This Row],[Unit 3]])</f>
        <v>#VALUE!</v>
      </c>
      <c r="CU6" s="148" t="n">
        <f aca="false">1.8 * MIN(MAX(TblMili[[#This Row],[Spellblade]]+Races!$E$47,TblMili[[#This Row],[Adept-DP]]+Races!$F$47),6)  +  0.45 * MIN(MIN(TblMili[[#This Row],[Spellblade]]+Races!$E$47,TblMili[[#This Row],[Adept-DP]]+Races!$F$47),6)  +  0.2 * ( MAX(TblMili[[#This Row],[Spellblade]]+Races!$E$47-6,0) + MAX(TblMili[[#This Row],[Adept-DP]]+Races!$F$47-6,0) )  -  Races!$I$47</f>
        <v>0</v>
      </c>
      <c r="CV6" s="69" t="n">
        <f aca="false">dark_elf*(TblMili[[#This Row],[Adept bonus]]*TblMili[[#This Row],[Unit 3]])</f>
        <v>0</v>
      </c>
      <c r="CW6" s="148" t="e">
        <f aca="false">1.8 * MIN(MAX(TblMili[[#This Row],[Frost Mage]]+Races!$F$71,Races!$E$71),6)  +  0.45 * MIN(MIN(TblMili[[#This Row],[Frost Mage]]+Races!$F$71,Races!$E$71),6)  +  0.2 * ( MAX(TblMili[[#This Row],[Frost Mage]]+Races!$F$71-6,0) + MAX(Races!$E$71-6,0) )  -  Races!$I$71</f>
        <v>#VALUE!</v>
      </c>
      <c r="CX6" s="148" t="n">
        <f aca="false">1.8 * MIN(MAX(TblMili[[#This Row],[Ice Elemental]]+Races!$E$71,Races!$F$71),6)  +  0.45 * MIN(MIN(TblMili[[#This Row],[Ice Elemental]]+Races!$E$71,Races!$F$71),6)  +  0.2 * ( MAX(TblMili[[#This Row],[Ice Elemental]]+Races!$E$71-6,0) + MAX(Races!$F$71-6,0) )  -  Races!$I$71</f>
        <v>0</v>
      </c>
      <c r="CY6" s="69" t="e">
        <f aca="false">TblMili[[#This Row],[Frost Mage bonus]]*TblMili[[#This Row],[Unit 3]]+TblMili[[#This Row],[Ice Elemental bonus]]*TblMili[[#This Row],[Unit 4]]</f>
        <v>#VALUE!</v>
      </c>
      <c r="CZ6" s="290"/>
      <c r="DA6" s="109" t="n">
        <f aca="false">MIN(SUM(TblConstr[[#This Row],[Plain]:[Water]])/TblMili[[#This Row],[Land]]/favorable_terrain_bonus/100,favorable_terrain_max)</f>
        <v>0.1</v>
      </c>
      <c r="DB6" s="290"/>
      <c r="DC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 s="132"/>
      <c r="DE6" s="291" t="n">
        <f aca="false">(TblMili[[#This Row],[Wizards]]+2*TblMili[[#This Row],[Archmages]])/TblConstr[[#This Row],[Land]]</f>
        <v>0</v>
      </c>
      <c r="DF6" s="291" t="n">
        <f aca="false">TblMili[[#This Row],[Raw (2)]]*(1+race_wizard_strength+IF(TblMili[[#This Row],[Hour]]&gt;72,tech_magical_weaponry_wiz*TblTech[[#This Row],[3-5]],0))</f>
        <v>0</v>
      </c>
    </row>
    <row r="7" customFormat="false" ht="12.75" hidden="false" customHeight="false" outlineLevel="0" collapsed="false">
      <c r="A7" s="128" t="n">
        <f aca="false">TblRezone[[#This Row],[Hour]]</f>
        <v>4</v>
      </c>
      <c r="B7" s="282" t="n">
        <f aca="false">SUM(TblMili[[#This Row],[Unit 1]:[Archmages]])+SUM(OFFSET(TblMili[[#This Row],[Train Unit 1]],-3,0):TblMili[[#This Row],[Train Unit 4]])+TblMili[[#This Row],[Draftees]]</f>
        <v>340</v>
      </c>
      <c r="C7" s="150" t="n">
        <f aca="false">TblPop[[#This Row],[Military%]]</f>
        <v>0.19790454016298</v>
      </c>
      <c r="D7" s="132"/>
      <c r="E7" s="151" t="n">
        <f aca="false">OFFSET(TblMili[[#This Row],[Unit 1]],-1,0) - TblMili[[#This Row],[Release Unit 1]]</f>
        <v>0</v>
      </c>
      <c r="F7" s="151" t="n">
        <f aca="false">OFFSET(TblMili[[#This Row],[Unit 2]],-1,0)-TblMili[[#This Row],[Release Unit 2]]</f>
        <v>0</v>
      </c>
      <c r="G7" s="151" t="n">
        <f aca="false">OFFSET(TblMili[[#This Row],[Unit 3]],-1,0)-TblMili[[#This Row],[Release Unit 3]]</f>
        <v>0</v>
      </c>
      <c r="H7" s="151" t="n">
        <f aca="false">OFFSET(TblMili[[#This Row],[Unit 4]],-1,0)-TblMili[[#This Row],[Release Unit 4]]</f>
        <v>0</v>
      </c>
      <c r="I7" s="151" t="n">
        <f aca="false">OFFSET(TblMili[[#This Row],[Spies]],-1,0)-TblMili[[#This Row],[Release Spies]]-TblMili[[#This Row],[Train AS]]</f>
        <v>0</v>
      </c>
      <c r="J7" s="151" t="n">
        <f aca="false">OFFSET(TblMili[[#This Row],[Archspies]],-1,0)-TblMili[[#This Row],[Release AS]]</f>
        <v>0</v>
      </c>
      <c r="K7" s="151" t="n">
        <f aca="false">OFFSET(TblMili[[#This Row],[Wizards]],-1,0)-TblMili[[#This Row],[Release Wizards]]-TblMili[[#This Row],[Train AM]]</f>
        <v>0</v>
      </c>
      <c r="L7" s="151" t="n">
        <f aca="false">OFFSET(TblMili[[#This Row],[Archmages]],-1,0)-TblMili[[#This Row],[Release AM]]</f>
        <v>0</v>
      </c>
      <c r="M7" s="132"/>
      <c r="N7" s="69" t="e">
        <f aca="false">TblProd[[#This Row],[Networth]]</f>
        <v>#VALUE!</v>
      </c>
      <c r="O7" s="132"/>
      <c r="P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 s="285" t="e">
        <f aca="false">TblMili[[#This Row],[Raw]]*(1+TblMili[[#This Row],[Mods_Off]])</f>
        <v>#VALUE!</v>
      </c>
      <c r="S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 s="285" t="e">
        <f aca="false">TblMili[[#This Row],[Non Draft]]+TblMili[[#This Row],[Draftees]]</f>
        <v>#VALUE!</v>
      </c>
      <c r="U7" s="286" t="n">
        <f aca="false">race_defense + TblImps[[#This Row],[Walls]] + ROUND( MIN(gt_bonus*TblConstr[[#This Row],[Tot GT]]/TblConstr[[#This Row],[Land]],gt_bonus_cap), 4) + IF(TblMagic[[#This Row],[Active Howling]]&gt;0,howling_dp_bonus,IF(TblMagic[[#This Row],[Active Ares Call]]&gt;0,ares_call_bonus))</f>
        <v>0</v>
      </c>
      <c r="V7" s="274" t="e">
        <f aca="false">TblMili[[#This Row],[Non Draft]] * (1 + TblMili[[#This Row],[Mods_Def]])</f>
        <v>#VALUE!</v>
      </c>
      <c r="W7" s="285" t="e">
        <f aca="false">TblMili[[#This Row],[Draft]] * (1 + TblMili[[#This Row],[Mods_Def]])</f>
        <v>#VALUE!</v>
      </c>
      <c r="X7" s="285" t="n">
        <f aca="false">TblConstr[[#This Row],[Land]]</f>
        <v>250</v>
      </c>
      <c r="Y7" s="287"/>
      <c r="Z7" s="109" t="n">
        <f aca="false">IF(TblMili[[#This Row],[Set]]&lt;&gt;"",TblMili[[#This Row],[Set]],OFFSET(TblMili[[#This Row],[Draftrate]],-1,0))</f>
        <v>0.9</v>
      </c>
      <c r="AA7" s="69" t="n">
        <f aca="false">OFFSET(TblMili[[#This Row],[Draftees]],-1,0)+OFFSET(TblPop[[#This Row],[Draft Growth]],-1,0) - SUM(TblMili[[#This Row],[Train Unit 1]:[Train Spies]],TblMili[[#This Row],[Train Wiz]]) - TblMili[[#This Row],[Release Draft]] + SUM(TblMili[[#This Row],[Release Unit 1]:[Release AM]]) - TblExplore[[#This Row],[Draftees (2)]]</f>
        <v>340</v>
      </c>
      <c r="AB7" s="146"/>
      <c r="AC7" s="130" t="n">
        <f aca="false">(TblConstr[[#This Row],[Tot Smi]]+TblConstr[[#This Row],[Dest Smi]])/(TblConstr[[#This Row],[Land]]-TblExplore[[#This Row],[Land Bonus]]*20)</f>
        <v>0</v>
      </c>
      <c r="AD7" s="128"/>
      <c r="AE7" s="282" t="n">
        <f aca="false">TblMili[[#This Row],[Hour]]</f>
        <v>4</v>
      </c>
      <c r="AF7" s="129" t="n">
        <f aca="false">TblExplore[[#This Row],[Time]]</f>
        <v>45429.875</v>
      </c>
      <c r="AG7" s="182"/>
      <c r="AH7" s="182"/>
      <c r="AI7" s="182"/>
      <c r="AJ7" s="182"/>
      <c r="AK7" s="182"/>
      <c r="AL7" s="182"/>
      <c r="AM7" s="182"/>
      <c r="AN7" s="182"/>
      <c r="AO7" s="132"/>
      <c r="AP7" s="69" t="n">
        <f aca="false">TblProd[[#This Row],[Platinum]]</f>
        <v>25970</v>
      </c>
      <c r="AQ7" s="69" t="n">
        <f aca="false">INDEX(TblProd[[#Headers],[Lumber]]:TblProd[[#This Row],[Ore]],COUNTA(TblProd[[#Headers],[Lumber]]:TblProd[[#This Row],[Lumber]]),MATCH(Military!$AQ$2,TblProd[[#Headers],[Lumber]:[Ore]],0))</f>
        <v>0</v>
      </c>
      <c r="AR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69" t="n">
        <f aca="false">TblMili[[#This Row],[Train Unit 1]]*TblMili[[#This Row],[OP Ore]]+TblMili[[#This Row],[Train Unit 2]]*TblMili[[#This Row],[DP Ore]]+TblMili[[#This Row],[Train Unit 3]]*TblMili[[#This Row],[E1 Ore]]+TblMili[[#This Row],[Train Unit 4]]*TblMili[[#This Row],[E2 Ore]]</f>
        <v>0</v>
      </c>
      <c r="AT7" s="132" t="n">
        <f aca="false">TblMili[[#This Row],[Hour]]</f>
        <v>4</v>
      </c>
      <c r="AU7" s="144" t="n">
        <f aca="false">TblMili[[#This Row],[Time]]</f>
        <v>45429.875</v>
      </c>
      <c r="AV7" s="69" t="n">
        <f aca="false">TblMili[[#This Row],[Draftees]]</f>
        <v>340</v>
      </c>
      <c r="AW7" s="182"/>
      <c r="AX7" s="182"/>
      <c r="AY7" s="182"/>
      <c r="AZ7" s="182"/>
      <c r="BA7" s="182"/>
      <c r="BB7" s="182"/>
      <c r="BC7" s="182"/>
      <c r="BD7" s="182"/>
      <c r="BE7" s="182"/>
      <c r="BF7" s="132"/>
      <c r="BG7" s="150" t="n">
        <f aca="false">TblConstr[[#This Row],[Tot WG]]/TblConstr[[#This Row],[Land]]</f>
        <v>0</v>
      </c>
      <c r="BH7" s="150" t="n">
        <f aca="false">TblConstr[[#This Row],[Tot Hav]]/TblConstr[[#This Row],[Land]]</f>
        <v>0</v>
      </c>
      <c r="BI7" s="69" t="n">
        <f aca="false">ROUNDUP((1-MIN(TblMili[[#This Row],[Smithies]]*smithy_bonus,smithy_bonus_cap) + tech_3_5*TblTech[[#This Row],[3-5]] + tech_5_3*TblTech[[#This Row],[5-3]] + tech_5_5*TblTech[[#This Row],[5-5]])*spec_op_plat,0)</f>
        <v>300</v>
      </c>
      <c r="BJ7" s="69" t="n">
        <f aca="false">ROUNDUP(IF(race="Gnome",1,(1-MIN(TblMili[[#This Row],[Smithies]]*smithy_bonus,smithy_bonus_cap) + tech_3_5*TblTech[[#This Row],[3-5]] + tech_5_3*TblTech[[#This Row],[5-3]] + tech_5_5*TblTech[[#This Row],[5-5]]))*spec_op_ore,0)</f>
        <v>0</v>
      </c>
      <c r="BK7" s="69" t="n">
        <f aca="false">ROUNDUP((1-MIN(TblMili[[#This Row],[Smithies]]*smithy_bonus,smithy_bonus_cap) + tech_3_5*TblTech[[#This Row],[3-5]] + tech_5_3*TblTech[[#This Row],[5-3]] + tech_5_5*TblTech[[#This Row],[5-5]])*spec_dp_plat,0)</f>
        <v>300</v>
      </c>
      <c r="BL7" s="69" t="n">
        <f aca="false">ROUNDUP(IF(race="Gnome",1,(1-MIN(TblMili[[#This Row],[Smithies]]*smithy_bonus,smithy_bonus_cap) + tech_3_5*TblTech[[#This Row],[3-5]] + tech_5_3*TblTech[[#This Row],[5-3]] + tech_5_5*TblTech[[#This Row],[5-5]]))*spec_dp_ore,0)</f>
        <v>0</v>
      </c>
      <c r="BM7" s="69" t="n">
        <f aca="false">ROUNDUP((1-MIN(TblMili[[#This Row],[Smithies]]*smithy_bonus,smithy_bonus_cap) + tech_3_5*TblTech[[#This Row],[3-5]] + tech_5_3*TblTech[[#This Row],[5-3]] + tech_5_5*TblTech[[#This Row],[5-5]])*elite1_plat,0)</f>
        <v>925</v>
      </c>
      <c r="BN7" s="69" t="n">
        <f aca="false">ROUNDUP(IF(race="Gnome",1,(1-MIN(TblMili[[#This Row],[Smithies]]*smithy_bonus,smithy_bonus_cap) + tech_3_5*TblTech[[#This Row],[3-5]] + tech_5_3*TblTech[[#This Row],[5-3]] + tech_5_5*TblTech[[#This Row],[5-5]]))*elite1_ore,0)</f>
        <v>0</v>
      </c>
      <c r="BO7" s="69" t="n">
        <f aca="false">ROUNDUP((1-MIN(TblMili[[#This Row],[Smithies]]*smithy_bonus,smithy_bonus_cap) + tech_3_5*TblTech[[#This Row],[3-5]] + tech_5_3*TblTech[[#This Row],[5-3]] + tech_5_5*TblTech[[#This Row],[5-5]])*elite2_plat,0)</f>
        <v>950</v>
      </c>
      <c r="BP7" s="69" t="n">
        <f aca="false">ROUNDUP(IF(race="Gnome",1,(1-MIN(TblMili[[#This Row],[Smithies]]*smithy_bonus,smithy_bonus_cap) + tech_3_5*TblTech[[#This Row],[3-5]] + tech_5_3*TblTech[[#This Row],[5-3]] + tech_5_5*TblTech[[#This Row],[5-5]]))*elite2_ore,0)</f>
        <v>0</v>
      </c>
      <c r="BQ7" s="69" t="n">
        <f aca="false">ROUNDUP((1-MIN(ROUND(fh_spy_cost_red*TblMili[[#This Row],[FH''s]],4),fh_spy_cost_cap)+ tech_1_9*TblTech[[#This Row],[1-9]] + tech_9_1*TblTech[[#This Row],[9-1]])*spy_plat,0)</f>
        <v>500</v>
      </c>
      <c r="BR7" s="69" t="n">
        <f aca="false">ROUNDUP((1-MIN(ROUND(fh_spy_cost_red*TblMili[[#This Row],[FH''s]],4),fh_spy_cost_cap)+ tech_1_9*TblTech[[#This Row],[1-9]] + tech_9_1*TblTech[[#This Row],[9-1]])*archspy_plat,0)</f>
        <v>1000</v>
      </c>
      <c r="BS7" s="69" t="n">
        <f aca="false">ROUNDUP((1-MIN(ROUND(wg_wiz_cost_bonus*TblMili[[#This Row],[WG''s]],4),wg_wiz_cost_cap) + tech_1_9_2*TblTech[[#This Row],[1-9]] + tech_9_1_2*TblTech[[#This Row],[9-1]])*wizard_plat,0)</f>
        <v>500</v>
      </c>
      <c r="BT7" s="69" t="n">
        <f aca="false">ROUNDUP((1-MIN(ROUND(wg_wiz_cost_bonus*TblMili[[#This Row],[WG''s]],4),wg_wiz_cost_cap) + tech_1_9_2*TblTech[[#This Row],[1-9]] + tech_9_1_2*TblTech[[#This Row],[9-1]])*archmage_plat,0)</f>
        <v>1000</v>
      </c>
      <c r="BU7" s="132"/>
      <c r="BV7" s="150" t="e">
        <f aca="false">TblConstr[[#This Row],[Homeland]]/TblConstr[[#This Row],[Land]]</f>
        <v>#VALUE!</v>
      </c>
      <c r="BW7" s="150" t="n">
        <f aca="false">TblMili[[#This Row],[WG''s]]</f>
        <v>0</v>
      </c>
      <c r="BX7" s="288" t="e">
        <f aca="false">IF(mystic_cap="none",TblMili[[#This Row],[Hill]]/mystic_bonus,MIN(mystic_cap,TblMili[[#This Row],[Hill]]/mystic_bonus))</f>
        <v>#VALUE!</v>
      </c>
      <c r="BY7" s="288" t="e">
        <f aca="false">IF(druid_op_cap="none",TblMili[[#This Row],[Hill]]/druid_op_bonus,MIN(druid_op_cap,TblMili[[#This Row],[Hill]]/druid_op_bonus))</f>
        <v>#VALUE!</v>
      </c>
      <c r="BZ7" s="288" t="e">
        <f aca="false">IF(druid_dp_cap="none",TblMili[[#This Row],[Hill]]/druid_dp_bonus,MIN(druid_dp_cap,TblMili[[#This Row],[Hill]]/druid_dp_bonus))</f>
        <v>#VALUE!</v>
      </c>
      <c r="CA7" s="288" t="e">
        <f aca="false">MIN(dryad_cap,TblMili[[#This Row],[Hill]]/dryad_bonus)</f>
        <v>#VALUE!</v>
      </c>
      <c r="CB7" s="288" t="e">
        <f aca="false">MIN(rocka_cap,TblMili[[#This Row],[Hill]]/rocka_bonus)</f>
        <v>#VALUE!</v>
      </c>
      <c r="CC7" s="288" t="n">
        <f aca="false">MIN(adept_op_cap,TblMili[[#This Row],[WG]]/adept_op_bonus)</f>
        <v>0</v>
      </c>
      <c r="CD7" s="288" t="n">
        <f aca="false">MIN(adept_dp_cap,TblMili[[#This Row],[WG]]/adept_dp_bonus)</f>
        <v>0</v>
      </c>
      <c r="CE7" s="69" t="n">
        <f aca="false">MIN(TblMili[[#This Row],[Unit 3]],TblMili[[#This Row],[Unit 2]])*2</f>
        <v>0</v>
      </c>
      <c r="CF7" s="69" t="n">
        <f aca="false">MIN(TblMili[[#This Row],[Unit 1]],TblMili[[#This Row],[Unit 4]])*2</f>
        <v>0</v>
      </c>
      <c r="CG7" s="288" t="e">
        <f aca="false">MIN(frost_mage_cap,TblMili[[#This Row],[Hill]]/frost_mage_bonus)</f>
        <v>#VALUE!</v>
      </c>
      <c r="CH7" s="151" t="n">
        <f aca="false">MIN(ice_elem_cap,TblMili[[#This Row],[Raw (2)]]*ice_elem_bonus)</f>
        <v>0</v>
      </c>
      <c r="CI7" s="288" t="n">
        <f aca="false">MIN(bone_breaker_cap,250/bone_breaker_bonus)</f>
        <v>0.833333333333333</v>
      </c>
      <c r="CJ7" s="288" t="e">
        <f aca="false">MIN(nox_nightshade_cap,TblConstr[[#This Row],[Homeland]]/TblConstr[[#This Row],[Land]]/nox_nightshade_swamp_bonus)</f>
        <v>#VALUE!</v>
      </c>
      <c r="CK7" s="289" t="s">
        <v>118</v>
      </c>
      <c r="CL7" s="292" t="b">
        <f aca="false">race=CK7</f>
        <v>0</v>
      </c>
      <c r="CM7" s="289"/>
      <c r="CN7" s="288" t="e">
        <f aca="false">MIN(6,TblMili[[#This Row],[Mystic]]+Races!$F$19)*1.8 +  IF(TblMili[[#This Row],[Mystic]]+Races!$F$19&gt;6,(TblMili[[#This Row],[Mystic]]+Races!$F$19-6)*0.2,0) - Races!$I$19</f>
        <v>#VALUE!</v>
      </c>
      <c r="CO7" s="288" t="e">
        <f aca="false">1.8 * MIN(MAX(TblMili[[#This Row],[Druid (op)]]+Races!$E$20,TblMili[[#This Row],[Druid (dp)]]+Races!$F$20),6)  +  0.45 * MIN(MIN(TblMili[[#This Row],[Druid (op)]]+Races!$E$20,TblMili[[#This Row],[Druid (dp)]]+Races!$F$20),6)  +  0.2 * ( MAX(TblMili[[#This Row],[Druid (op)]]+Races!$E$20-6,0) + MAX(TblMili[[#This Row],[Druid (dp)]]+Races!$F$20-6,0) )  -  Races!$I$20</f>
        <v>#VALUE!</v>
      </c>
      <c r="CP7" s="69" t="e">
        <f aca="false">TblMili[[#This Row],[Mystic bonus]]*TblMili[[#This Row],[Unit 3]]+TblMili[[#This Row],[Druid bonus]]*TblMili[[#This Row],[Unit 4]]</f>
        <v>#VALUE!</v>
      </c>
      <c r="CQ7" s="148" t="e">
        <f aca="false">MIN(6,TblMili[[#This Row],[Dryad]]+Races!$F$35)*1.8 +  IF(TblMili[[#This Row],[Dryad]]+Races!$F$35&gt;6,(TblMili[[#This Row],[Dryad]]+Races!$F$35-6)*0.2,0) - Races!$I$19</f>
        <v>#VALUE!</v>
      </c>
      <c r="CR7" s="69" t="e">
        <f aca="false">sylvan*(TblMili[[#This Row],[Mystic bonus]]*TblMili[[#This Row],[Unit 3]])</f>
        <v>#VALUE!</v>
      </c>
      <c r="CS7" s="148" t="e">
        <f aca="false">1.8 * MIN(MAX(Races!$E$27,TblMili[[#This Row],[Rockapult]]+Races!$F$27),6)  +  0.45 * MIN(MIN(Races!$E$27,TblMili[[#This Row],[Rockapult]]+Races!$F$27),6)  +  0.2 * ( MAX(Races!$E$27-6,0) + MAX(TblMili[[#This Row],[Rockapult]]+Races!$F$27-6,0) )  -  Races!$I$20</f>
        <v>#VALUE!</v>
      </c>
      <c r="CT7" s="69" t="e">
        <f aca="false">gnome*(TblMili[[#This Row],[Rockapult bonus]]*TblMili[[#This Row],[Unit 3]])</f>
        <v>#VALUE!</v>
      </c>
      <c r="CU7" s="148" t="n">
        <f aca="false">1.8 * MIN(MAX(TblMili[[#This Row],[Spellblade]]+Races!$E$47,TblMili[[#This Row],[Adept-DP]]+Races!$F$47),6)  +  0.45 * MIN(MIN(TblMili[[#This Row],[Spellblade]]+Races!$E$47,TblMili[[#This Row],[Adept-DP]]+Races!$F$47),6)  +  0.2 * ( MAX(TblMili[[#This Row],[Spellblade]]+Races!$E$47-6,0) + MAX(TblMili[[#This Row],[Adept-DP]]+Races!$F$47-6,0) )  -  Races!$I$47</f>
        <v>0</v>
      </c>
      <c r="CV7" s="69" t="n">
        <f aca="false">dark_elf*(TblMili[[#This Row],[Adept bonus]]*TblMili[[#This Row],[Unit 3]])</f>
        <v>0</v>
      </c>
      <c r="CW7" s="148" t="e">
        <f aca="false">1.8 * MIN(MAX(TblMili[[#This Row],[Frost Mage]]+Races!$F$71,Races!$E$71),6)  +  0.45 * MIN(MIN(TblMili[[#This Row],[Frost Mage]]+Races!$F$71,Races!$E$71),6)  +  0.2 * ( MAX(TblMili[[#This Row],[Frost Mage]]+Races!$F$71-6,0) + MAX(Races!$E$71-6,0) )  -  Races!$I$71</f>
        <v>#VALUE!</v>
      </c>
      <c r="CX7" s="148" t="n">
        <f aca="false">1.8 * MIN(MAX(TblMili[[#This Row],[Ice Elemental]]+Races!$E$71,Races!$F$71),6)  +  0.45 * MIN(MIN(TblMili[[#This Row],[Ice Elemental]]+Races!$E$71,Races!$F$71),6)  +  0.2 * ( MAX(TblMili[[#This Row],[Ice Elemental]]+Races!$E$71-6,0) + MAX(Races!$F$71-6,0) )  -  Races!$I$71</f>
        <v>0</v>
      </c>
      <c r="CY7" s="69" t="e">
        <f aca="false">TblMili[[#This Row],[Frost Mage bonus]]*TblMili[[#This Row],[Unit 3]]+TblMili[[#This Row],[Ice Elemental bonus]]*TblMili[[#This Row],[Unit 4]]</f>
        <v>#VALUE!</v>
      </c>
      <c r="CZ7" s="290"/>
      <c r="DA7" s="109" t="n">
        <f aca="false">MIN(SUM(TblConstr[[#This Row],[Plain]:[Water]])/TblMili[[#This Row],[Land]]/favorable_terrain_bonus/100,favorable_terrain_max)</f>
        <v>0.1</v>
      </c>
      <c r="DB7" s="290"/>
      <c r="DC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 s="132"/>
      <c r="DE7" s="291" t="n">
        <f aca="false">(TblMili[[#This Row],[Wizards]]+2*TblMili[[#This Row],[Archmages]])/TblConstr[[#This Row],[Land]]</f>
        <v>0</v>
      </c>
      <c r="DF7" s="291" t="n">
        <f aca="false">TblMili[[#This Row],[Raw (2)]]*(1+race_wizard_strength+IF(TblMili[[#This Row],[Hour]]&gt;72,tech_magical_weaponry_wiz*TblTech[[#This Row],[3-5]],0))</f>
        <v>0</v>
      </c>
    </row>
    <row r="8" customFormat="false" ht="12.75" hidden="false" customHeight="false" outlineLevel="0" collapsed="false">
      <c r="A8" s="128" t="n">
        <f aca="false">TblRezone[[#This Row],[Hour]]</f>
        <v>5</v>
      </c>
      <c r="B8" s="282" t="n">
        <f aca="false">SUM(TblMili[[#This Row],[Unit 1]:[Archmages]])+SUM(OFFSET(TblMili[[#This Row],[Train Unit 1]],-4,0):TblMili[[#This Row],[Train Unit 4]])+TblMili[[#This Row],[Draftees]]</f>
        <v>354</v>
      </c>
      <c r="C8" s="150" t="n">
        <f aca="false">TblPop[[#This Row],[Military%]]</f>
        <v>0.20125071063104</v>
      </c>
      <c r="D8" s="132"/>
      <c r="E8" s="151" t="n">
        <f aca="false">OFFSET(TblMili[[#This Row],[Unit 1]],-1,0) - TblMili[[#This Row],[Release Unit 1]]</f>
        <v>0</v>
      </c>
      <c r="F8" s="151" t="n">
        <f aca="false">OFFSET(TblMili[[#This Row],[Unit 2]],-1,0)-TblMili[[#This Row],[Release Unit 2]]</f>
        <v>0</v>
      </c>
      <c r="G8" s="151" t="n">
        <f aca="false">OFFSET(TblMili[[#This Row],[Unit 3]],-1,0)-TblMili[[#This Row],[Release Unit 3]]</f>
        <v>0</v>
      </c>
      <c r="H8" s="151" t="n">
        <f aca="false">OFFSET(TblMili[[#This Row],[Unit 4]],-1,0)-TblMili[[#This Row],[Release Unit 4]]</f>
        <v>0</v>
      </c>
      <c r="I8" s="151" t="n">
        <f aca="false">OFFSET(TblMili[[#This Row],[Spies]],-1,0)-TblMili[[#This Row],[Release Spies]]-TblMili[[#This Row],[Train AS]]</f>
        <v>0</v>
      </c>
      <c r="J8" s="151" t="n">
        <f aca="false">OFFSET(TblMili[[#This Row],[Archspies]],-1,0)-TblMili[[#This Row],[Release AS]]</f>
        <v>0</v>
      </c>
      <c r="K8" s="151" t="n">
        <f aca="false">OFFSET(TblMili[[#This Row],[Wizards]],-1,0)-TblMili[[#This Row],[Release Wizards]]-TblMili[[#This Row],[Train AM]]</f>
        <v>0</v>
      </c>
      <c r="L8" s="151" t="n">
        <f aca="false">OFFSET(TblMili[[#This Row],[Archmages]],-1,0)-TblMili[[#This Row],[Release AM]]</f>
        <v>0</v>
      </c>
      <c r="M8" s="132"/>
      <c r="N8" s="69" t="e">
        <f aca="false">TblProd[[#This Row],[Networth]]</f>
        <v>#VALUE!</v>
      </c>
      <c r="O8" s="132"/>
      <c r="P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 s="285" t="e">
        <f aca="false">TblMili[[#This Row],[Raw]]*(1+TblMili[[#This Row],[Mods_Off]])</f>
        <v>#VALUE!</v>
      </c>
      <c r="S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 s="285" t="e">
        <f aca="false">TblMili[[#This Row],[Non Draft]]+TblMili[[#This Row],[Draftees]]</f>
        <v>#VALUE!</v>
      </c>
      <c r="U8" s="286" t="n">
        <f aca="false">race_defense + TblImps[[#This Row],[Walls]] + ROUND( MIN(gt_bonus*TblConstr[[#This Row],[Tot GT]]/TblConstr[[#This Row],[Land]],gt_bonus_cap), 4) + IF(TblMagic[[#This Row],[Active Howling]]&gt;0,howling_dp_bonus,IF(TblMagic[[#This Row],[Active Ares Call]]&gt;0,ares_call_bonus))</f>
        <v>0</v>
      </c>
      <c r="V8" s="274" t="e">
        <f aca="false">TblMili[[#This Row],[Non Draft]] * (1 + TblMili[[#This Row],[Mods_Def]])</f>
        <v>#VALUE!</v>
      </c>
      <c r="W8" s="285" t="e">
        <f aca="false">TblMili[[#This Row],[Draft]] * (1 + TblMili[[#This Row],[Mods_Def]])</f>
        <v>#VALUE!</v>
      </c>
      <c r="X8" s="285" t="n">
        <f aca="false">TblConstr[[#This Row],[Land]]</f>
        <v>250</v>
      </c>
      <c r="Y8" s="287"/>
      <c r="Z8" s="109" t="n">
        <f aca="false">IF(TblMili[[#This Row],[Set]]&lt;&gt;"",TblMili[[#This Row],[Set]],OFFSET(TblMili[[#This Row],[Draftrate]],-1,0))</f>
        <v>0.9</v>
      </c>
      <c r="AA8" s="69" t="n">
        <f aca="false">OFFSET(TblMili[[#This Row],[Draftees]],-1,0)+OFFSET(TblPop[[#This Row],[Draft Growth]],-1,0) - SUM(TblMili[[#This Row],[Train Unit 1]:[Train Spies]],TblMili[[#This Row],[Train Wiz]]) - TblMili[[#This Row],[Release Draft]] + SUM(TblMili[[#This Row],[Release Unit 1]:[Release AM]]) - TblExplore[[#This Row],[Draftees (2)]]</f>
        <v>354</v>
      </c>
      <c r="AB8" s="146"/>
      <c r="AC8" s="130" t="n">
        <f aca="false">(TblConstr[[#This Row],[Tot Smi]]+TblConstr[[#This Row],[Dest Smi]])/(TblConstr[[#This Row],[Land]]-TblExplore[[#This Row],[Land Bonus]]*20)</f>
        <v>0</v>
      </c>
      <c r="AD8" s="128"/>
      <c r="AE8" s="282" t="n">
        <f aca="false">TblMili[[#This Row],[Hour]]</f>
        <v>5</v>
      </c>
      <c r="AF8" s="129" t="n">
        <f aca="false">TblExplore[[#This Row],[Time]]</f>
        <v>45429.9166666667</v>
      </c>
      <c r="AG8" s="182"/>
      <c r="AH8" s="182"/>
      <c r="AI8" s="182"/>
      <c r="AJ8" s="182"/>
      <c r="AK8" s="182"/>
      <c r="AL8" s="182"/>
      <c r="AM8" s="182"/>
      <c r="AN8" s="182"/>
      <c r="AO8" s="132"/>
      <c r="AP8" s="69" t="n">
        <f aca="false">TblProd[[#This Row],[Platinum]]</f>
        <v>31490</v>
      </c>
      <c r="AQ8" s="69" t="n">
        <f aca="false">INDEX(TblProd[[#Headers],[Lumber]]:TblProd[[#This Row],[Ore]],COUNTA(TblProd[[#Headers],[Lumber]]:TblProd[[#This Row],[Lumber]]),MATCH(Military!$AQ$2,TblProd[[#Headers],[Lumber]:[Ore]],0))</f>
        <v>0</v>
      </c>
      <c r="AR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69" t="n">
        <f aca="false">TblMili[[#This Row],[Train Unit 1]]*TblMili[[#This Row],[OP Ore]]+TblMili[[#This Row],[Train Unit 2]]*TblMili[[#This Row],[DP Ore]]+TblMili[[#This Row],[Train Unit 3]]*TblMili[[#This Row],[E1 Ore]]+TblMili[[#This Row],[Train Unit 4]]*TblMili[[#This Row],[E2 Ore]]</f>
        <v>0</v>
      </c>
      <c r="AT8" s="132" t="n">
        <f aca="false">TblMili[[#This Row],[Hour]]</f>
        <v>5</v>
      </c>
      <c r="AU8" s="144" t="n">
        <f aca="false">TblMili[[#This Row],[Time]]</f>
        <v>45429.9166666667</v>
      </c>
      <c r="AV8" s="69" t="n">
        <f aca="false">TblMili[[#This Row],[Draftees]]</f>
        <v>354</v>
      </c>
      <c r="AW8" s="182"/>
      <c r="AX8" s="182"/>
      <c r="AY8" s="182"/>
      <c r="AZ8" s="182"/>
      <c r="BA8" s="182"/>
      <c r="BB8" s="182"/>
      <c r="BC8" s="182"/>
      <c r="BD8" s="182"/>
      <c r="BE8" s="182"/>
      <c r="BF8" s="132"/>
      <c r="BG8" s="150" t="n">
        <f aca="false">TblConstr[[#This Row],[Tot WG]]/TblConstr[[#This Row],[Land]]</f>
        <v>0</v>
      </c>
      <c r="BH8" s="150" t="n">
        <f aca="false">TblConstr[[#This Row],[Tot Hav]]/TblConstr[[#This Row],[Land]]</f>
        <v>0</v>
      </c>
      <c r="BI8" s="69" t="n">
        <f aca="false">ROUNDUP((1-MIN(TblMili[[#This Row],[Smithies]]*smithy_bonus,smithy_bonus_cap) + tech_3_5*TblTech[[#This Row],[3-5]] + tech_5_3*TblTech[[#This Row],[5-3]] + tech_5_5*TblTech[[#This Row],[5-5]])*spec_op_plat,0)</f>
        <v>300</v>
      </c>
      <c r="BJ8" s="69" t="n">
        <f aca="false">ROUNDUP(IF(race="Gnome",1,(1-MIN(TblMili[[#This Row],[Smithies]]*smithy_bonus,smithy_bonus_cap) + tech_3_5*TblTech[[#This Row],[3-5]] + tech_5_3*TblTech[[#This Row],[5-3]] + tech_5_5*TblTech[[#This Row],[5-5]]))*spec_op_ore,0)</f>
        <v>0</v>
      </c>
      <c r="BK8" s="69" t="n">
        <f aca="false">ROUNDUP((1-MIN(TblMili[[#This Row],[Smithies]]*smithy_bonus,smithy_bonus_cap) + tech_3_5*TblTech[[#This Row],[3-5]] + tech_5_3*TblTech[[#This Row],[5-3]] + tech_5_5*TblTech[[#This Row],[5-5]])*spec_dp_plat,0)</f>
        <v>300</v>
      </c>
      <c r="BL8" s="69" t="n">
        <f aca="false">ROUNDUP(IF(race="Gnome",1,(1-MIN(TblMili[[#This Row],[Smithies]]*smithy_bonus,smithy_bonus_cap) + tech_3_5*TblTech[[#This Row],[3-5]] + tech_5_3*TblTech[[#This Row],[5-3]] + tech_5_5*TblTech[[#This Row],[5-5]]))*spec_dp_ore,0)</f>
        <v>0</v>
      </c>
      <c r="BM8" s="69" t="n">
        <f aca="false">ROUNDUP((1-MIN(TblMili[[#This Row],[Smithies]]*smithy_bonus,smithy_bonus_cap) + tech_3_5*TblTech[[#This Row],[3-5]] + tech_5_3*TblTech[[#This Row],[5-3]] + tech_5_5*TblTech[[#This Row],[5-5]])*elite1_plat,0)</f>
        <v>925</v>
      </c>
      <c r="BN8" s="69" t="n">
        <f aca="false">ROUNDUP(IF(race="Gnome",1,(1-MIN(TblMili[[#This Row],[Smithies]]*smithy_bonus,smithy_bonus_cap) + tech_3_5*TblTech[[#This Row],[3-5]] + tech_5_3*TblTech[[#This Row],[5-3]] + tech_5_5*TblTech[[#This Row],[5-5]]))*elite1_ore,0)</f>
        <v>0</v>
      </c>
      <c r="BO8" s="69" t="n">
        <f aca="false">ROUNDUP((1-MIN(TblMili[[#This Row],[Smithies]]*smithy_bonus,smithy_bonus_cap) + tech_3_5*TblTech[[#This Row],[3-5]] + tech_5_3*TblTech[[#This Row],[5-3]] + tech_5_5*TblTech[[#This Row],[5-5]])*elite2_plat,0)</f>
        <v>950</v>
      </c>
      <c r="BP8" s="69" t="n">
        <f aca="false">ROUNDUP(IF(race="Gnome",1,(1-MIN(TblMili[[#This Row],[Smithies]]*smithy_bonus,smithy_bonus_cap) + tech_3_5*TblTech[[#This Row],[3-5]] + tech_5_3*TblTech[[#This Row],[5-3]] + tech_5_5*TblTech[[#This Row],[5-5]]))*elite2_ore,0)</f>
        <v>0</v>
      </c>
      <c r="BQ8" s="69" t="n">
        <f aca="false">ROUNDUP((1-MIN(ROUND(fh_spy_cost_red*TblMili[[#This Row],[FH''s]],4),fh_spy_cost_cap)+ tech_1_9*TblTech[[#This Row],[1-9]] + tech_9_1*TblTech[[#This Row],[9-1]])*spy_plat,0)</f>
        <v>500</v>
      </c>
      <c r="BR8" s="69" t="n">
        <f aca="false">ROUNDUP((1-MIN(ROUND(fh_spy_cost_red*TblMili[[#This Row],[FH''s]],4),fh_spy_cost_cap)+ tech_1_9*TblTech[[#This Row],[1-9]] + tech_9_1*TblTech[[#This Row],[9-1]])*archspy_plat,0)</f>
        <v>1000</v>
      </c>
      <c r="BS8" s="69" t="n">
        <f aca="false">ROUNDUP((1-MIN(ROUND(wg_wiz_cost_bonus*TblMili[[#This Row],[WG''s]],4),wg_wiz_cost_cap) + tech_1_9_2*TblTech[[#This Row],[1-9]] + tech_9_1_2*TblTech[[#This Row],[9-1]])*wizard_plat,0)</f>
        <v>500</v>
      </c>
      <c r="BT8" s="69" t="n">
        <f aca="false">ROUNDUP((1-MIN(ROUND(wg_wiz_cost_bonus*TblMili[[#This Row],[WG''s]],4),wg_wiz_cost_cap) + tech_1_9_2*TblTech[[#This Row],[1-9]] + tech_9_1_2*TblTech[[#This Row],[9-1]])*archmage_plat,0)</f>
        <v>1000</v>
      </c>
      <c r="BU8" s="132"/>
      <c r="BV8" s="150" t="e">
        <f aca="false">TblConstr[[#This Row],[Homeland]]/TblConstr[[#This Row],[Land]]</f>
        <v>#VALUE!</v>
      </c>
      <c r="BW8" s="150" t="n">
        <f aca="false">TblMili[[#This Row],[WG''s]]</f>
        <v>0</v>
      </c>
      <c r="BX8" s="288" t="e">
        <f aca="false">IF(mystic_cap="none",TblMili[[#This Row],[Hill]]/mystic_bonus,MIN(mystic_cap,TblMili[[#This Row],[Hill]]/mystic_bonus))</f>
        <v>#VALUE!</v>
      </c>
      <c r="BY8" s="288" t="e">
        <f aca="false">IF(druid_op_cap="none",TblMili[[#This Row],[Hill]]/druid_op_bonus,MIN(druid_op_cap,TblMili[[#This Row],[Hill]]/druid_op_bonus))</f>
        <v>#VALUE!</v>
      </c>
      <c r="BZ8" s="288" t="e">
        <f aca="false">IF(druid_dp_cap="none",TblMili[[#This Row],[Hill]]/druid_dp_bonus,MIN(druid_dp_cap,TblMili[[#This Row],[Hill]]/druid_dp_bonus))</f>
        <v>#VALUE!</v>
      </c>
      <c r="CA8" s="288" t="e">
        <f aca="false">MIN(dryad_cap,TblMili[[#This Row],[Hill]]/dryad_bonus)</f>
        <v>#VALUE!</v>
      </c>
      <c r="CB8" s="288" t="e">
        <f aca="false">MIN(rocka_cap,TblMili[[#This Row],[Hill]]/rocka_bonus)</f>
        <v>#VALUE!</v>
      </c>
      <c r="CC8" s="288" t="n">
        <f aca="false">MIN(adept_op_cap,TblMili[[#This Row],[WG]]/adept_op_bonus)</f>
        <v>0</v>
      </c>
      <c r="CD8" s="288" t="n">
        <f aca="false">MIN(adept_dp_cap,TblMili[[#This Row],[WG]]/adept_dp_bonus)</f>
        <v>0</v>
      </c>
      <c r="CE8" s="69" t="n">
        <f aca="false">MIN(TblMili[[#This Row],[Unit 3]],TblMili[[#This Row],[Unit 2]])*2</f>
        <v>0</v>
      </c>
      <c r="CF8" s="69" t="n">
        <f aca="false">MIN(TblMili[[#This Row],[Unit 1]],TblMili[[#This Row],[Unit 4]])*2</f>
        <v>0</v>
      </c>
      <c r="CG8" s="288" t="e">
        <f aca="false">MIN(frost_mage_cap,TblMili[[#This Row],[Hill]]/frost_mage_bonus)</f>
        <v>#VALUE!</v>
      </c>
      <c r="CH8" s="151" t="n">
        <f aca="false">MIN(ice_elem_cap,TblMili[[#This Row],[Raw (2)]]*ice_elem_bonus)</f>
        <v>0</v>
      </c>
      <c r="CI8" s="288" t="n">
        <f aca="false">MIN(bone_breaker_cap,250/bone_breaker_bonus)</f>
        <v>0.833333333333333</v>
      </c>
      <c r="CJ8" s="288" t="e">
        <f aca="false">MIN(nox_nightshade_cap,TblConstr[[#This Row],[Homeland]]/TblConstr[[#This Row],[Land]]/nox_nightshade_swamp_bonus)</f>
        <v>#VALUE!</v>
      </c>
      <c r="CK8" s="289" t="s">
        <v>120</v>
      </c>
      <c r="CL8" s="292" t="b">
        <f aca="false">race=CK8</f>
        <v>0</v>
      </c>
      <c r="CM8" s="289"/>
      <c r="CN8" s="288" t="e">
        <f aca="false">MIN(6,TblMili[[#This Row],[Mystic]]+Races!$F$19)*1.8 +  IF(TblMili[[#This Row],[Mystic]]+Races!$F$19&gt;6,(TblMili[[#This Row],[Mystic]]+Races!$F$19-6)*0.2,0) - Races!$I$19</f>
        <v>#VALUE!</v>
      </c>
      <c r="CO8" s="288" t="e">
        <f aca="false">1.8 * MIN(MAX(TblMili[[#This Row],[Druid (op)]]+Races!$E$20,TblMili[[#This Row],[Druid (dp)]]+Races!$F$20),6)  +  0.45 * MIN(MIN(TblMili[[#This Row],[Druid (op)]]+Races!$E$20,TblMili[[#This Row],[Druid (dp)]]+Races!$F$20),6)  +  0.2 * ( MAX(TblMili[[#This Row],[Druid (op)]]+Races!$E$20-6,0) + MAX(TblMili[[#This Row],[Druid (dp)]]+Races!$F$20-6,0) )  -  Races!$I$20</f>
        <v>#VALUE!</v>
      </c>
      <c r="CP8" s="69" t="e">
        <f aca="false">TblMili[[#This Row],[Mystic bonus]]*TblMili[[#This Row],[Unit 3]]+TblMili[[#This Row],[Druid bonus]]*TblMili[[#This Row],[Unit 4]]</f>
        <v>#VALUE!</v>
      </c>
      <c r="CQ8" s="148" t="e">
        <f aca="false">MIN(6,TblMili[[#This Row],[Dryad]]+Races!$F$35)*1.8 +  IF(TblMili[[#This Row],[Dryad]]+Races!$F$35&gt;6,(TblMili[[#This Row],[Dryad]]+Races!$F$35-6)*0.2,0) - Races!$I$19</f>
        <v>#VALUE!</v>
      </c>
      <c r="CR8" s="69" t="e">
        <f aca="false">sylvan*(TblMili[[#This Row],[Mystic bonus]]*TblMili[[#This Row],[Unit 3]])</f>
        <v>#VALUE!</v>
      </c>
      <c r="CS8" s="148" t="e">
        <f aca="false">1.8 * MIN(MAX(Races!$E$27,TblMili[[#This Row],[Rockapult]]+Races!$F$27),6)  +  0.45 * MIN(MIN(Races!$E$27,TblMili[[#This Row],[Rockapult]]+Races!$F$27),6)  +  0.2 * ( MAX(Races!$E$27-6,0) + MAX(TblMili[[#This Row],[Rockapult]]+Races!$F$27-6,0) )  -  Races!$I$20</f>
        <v>#VALUE!</v>
      </c>
      <c r="CT8" s="69" t="e">
        <f aca="false">gnome*(TblMili[[#This Row],[Rockapult bonus]]*TblMili[[#This Row],[Unit 3]])</f>
        <v>#VALUE!</v>
      </c>
      <c r="CU8" s="148" t="n">
        <f aca="false">1.8 * MIN(MAX(TblMili[[#This Row],[Spellblade]]+Races!$E$47,TblMili[[#This Row],[Adept-DP]]+Races!$F$47),6)  +  0.45 * MIN(MIN(TblMili[[#This Row],[Spellblade]]+Races!$E$47,TblMili[[#This Row],[Adept-DP]]+Races!$F$47),6)  +  0.2 * ( MAX(TblMili[[#This Row],[Spellblade]]+Races!$E$47-6,0) + MAX(TblMili[[#This Row],[Adept-DP]]+Races!$F$47-6,0) )  -  Races!$I$47</f>
        <v>0</v>
      </c>
      <c r="CV8" s="69" t="n">
        <f aca="false">dark_elf*(TblMili[[#This Row],[Adept bonus]]*TblMili[[#This Row],[Unit 3]])</f>
        <v>0</v>
      </c>
      <c r="CW8" s="148" t="e">
        <f aca="false">1.8 * MIN(MAX(TblMili[[#This Row],[Frost Mage]]+Races!$F$71,Races!$E$71),6)  +  0.45 * MIN(MIN(TblMili[[#This Row],[Frost Mage]]+Races!$F$71,Races!$E$71),6)  +  0.2 * ( MAX(TblMili[[#This Row],[Frost Mage]]+Races!$F$71-6,0) + MAX(Races!$E$71-6,0) )  -  Races!$I$71</f>
        <v>#VALUE!</v>
      </c>
      <c r="CX8" s="148" t="n">
        <f aca="false">1.8 * MIN(MAX(TblMili[[#This Row],[Ice Elemental]]+Races!$E$71,Races!$F$71),6)  +  0.45 * MIN(MIN(TblMili[[#This Row],[Ice Elemental]]+Races!$E$71,Races!$F$71),6)  +  0.2 * ( MAX(TblMili[[#This Row],[Ice Elemental]]+Races!$E$71-6,0) + MAX(Races!$F$71-6,0) )  -  Races!$I$71</f>
        <v>0</v>
      </c>
      <c r="CY8" s="69" t="e">
        <f aca="false">TblMili[[#This Row],[Frost Mage bonus]]*TblMili[[#This Row],[Unit 3]]+TblMili[[#This Row],[Ice Elemental bonus]]*TblMili[[#This Row],[Unit 4]]</f>
        <v>#VALUE!</v>
      </c>
      <c r="CZ8" s="290"/>
      <c r="DA8" s="109" t="n">
        <f aca="false">MIN(SUM(TblConstr[[#This Row],[Plain]:[Water]])/TblMili[[#This Row],[Land]]/favorable_terrain_bonus/100,favorable_terrain_max)</f>
        <v>0.1</v>
      </c>
      <c r="DB8" s="290"/>
      <c r="DC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 s="132"/>
      <c r="DE8" s="291" t="n">
        <f aca="false">(TblMili[[#This Row],[Wizards]]+2*TblMili[[#This Row],[Archmages]])/TblConstr[[#This Row],[Land]]</f>
        <v>0</v>
      </c>
      <c r="DF8" s="291" t="n">
        <f aca="false">TblMili[[#This Row],[Raw (2)]]*(1+race_wizard_strength+IF(TblMili[[#This Row],[Hour]]&gt;72,tech_magical_weaponry_wiz*TblTech[[#This Row],[3-5]],0))</f>
        <v>0</v>
      </c>
    </row>
    <row r="9" customFormat="false" ht="12.75" hidden="false" customHeight="false" outlineLevel="0" collapsed="false">
      <c r="A9" s="128" t="n">
        <f aca="false">TblRezone[[#This Row],[Hour]]</f>
        <v>6</v>
      </c>
      <c r="B9" s="282" t="n">
        <f aca="false">SUM(TblMili[[#This Row],[Unit 1]:[Archmages]])+SUM(OFFSET(TblMili[[#This Row],[Train Unit 1]],-5,0):TblMili[[#This Row],[Train Unit 4]])+TblMili[[#This Row],[Draftees]]</f>
        <v>272</v>
      </c>
      <c r="C9" s="150" t="n">
        <f aca="false">TblPop[[#This Row],[Military%]]</f>
        <v>0.159530791788856</v>
      </c>
      <c r="D9" s="132"/>
      <c r="E9" s="151" t="n">
        <f aca="false">OFFSET(TblMili[[#This Row],[Unit 1]],-1,0) - TblMili[[#This Row],[Release Unit 1]]</f>
        <v>0</v>
      </c>
      <c r="F9" s="151" t="n">
        <f aca="false">OFFSET(TblMili[[#This Row],[Unit 2]],-1,0)-TblMili[[#This Row],[Release Unit 2]]</f>
        <v>0</v>
      </c>
      <c r="G9" s="151" t="n">
        <f aca="false">OFFSET(TblMili[[#This Row],[Unit 3]],-1,0)-TblMili[[#This Row],[Release Unit 3]]</f>
        <v>0</v>
      </c>
      <c r="H9" s="151" t="n">
        <f aca="false">OFFSET(TblMili[[#This Row],[Unit 4]],-1,0)-TblMili[[#This Row],[Release Unit 4]]</f>
        <v>0</v>
      </c>
      <c r="I9" s="151" t="n">
        <f aca="false">OFFSET(TblMili[[#This Row],[Spies]],-1,0)-TblMili[[#This Row],[Release Spies]]-TblMili[[#This Row],[Train AS]]</f>
        <v>0</v>
      </c>
      <c r="J9" s="151" t="n">
        <f aca="false">OFFSET(TblMili[[#This Row],[Archspies]],-1,0)-TblMili[[#This Row],[Release AS]]</f>
        <v>0</v>
      </c>
      <c r="K9" s="151" t="n">
        <f aca="false">OFFSET(TblMili[[#This Row],[Wizards]],-1,0)-TblMili[[#This Row],[Release Wizards]]-TblMili[[#This Row],[Train AM]]</f>
        <v>0</v>
      </c>
      <c r="L9" s="151" t="n">
        <f aca="false">OFFSET(TblMili[[#This Row],[Archmages]],-1,0)-TblMili[[#This Row],[Release AM]]</f>
        <v>0</v>
      </c>
      <c r="M9" s="132"/>
      <c r="N9" s="69" t="e">
        <f aca="false">TblProd[[#This Row],[Networth]]</f>
        <v>#VALUE!</v>
      </c>
      <c r="O9" s="132"/>
      <c r="P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 s="285" t="e">
        <f aca="false">TblMili[[#This Row],[Raw]]*(1+TblMili[[#This Row],[Mods_Off]])</f>
        <v>#VALUE!</v>
      </c>
      <c r="S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 s="285" t="e">
        <f aca="false">TblMili[[#This Row],[Non Draft]]+TblMili[[#This Row],[Draftees]]</f>
        <v>#VALUE!</v>
      </c>
      <c r="U9" s="286" t="n">
        <f aca="false">race_defense + TblImps[[#This Row],[Walls]] + ROUND( MIN(gt_bonus*TblConstr[[#This Row],[Tot GT]]/TblConstr[[#This Row],[Land]],gt_bonus_cap), 4) + IF(TblMagic[[#This Row],[Active Howling]]&gt;0,howling_dp_bonus,IF(TblMagic[[#This Row],[Active Ares Call]]&gt;0,ares_call_bonus))</f>
        <v>0</v>
      </c>
      <c r="V9" s="274" t="e">
        <f aca="false">TblMili[[#This Row],[Non Draft]] * (1 + TblMili[[#This Row],[Mods_Def]])</f>
        <v>#VALUE!</v>
      </c>
      <c r="W9" s="285" t="e">
        <f aca="false">TblMili[[#This Row],[Draft]] * (1 + TblMili[[#This Row],[Mods_Def]])</f>
        <v>#VALUE!</v>
      </c>
      <c r="X9" s="285" t="n">
        <f aca="false">TblConstr[[#This Row],[Land]]</f>
        <v>250</v>
      </c>
      <c r="Y9" s="287"/>
      <c r="Z9" s="109" t="n">
        <f aca="false">IF(TblMili[[#This Row],[Set]]&lt;&gt;"",TblMili[[#This Row],[Set]],OFFSET(TblMili[[#This Row],[Draftrate]],-1,0))</f>
        <v>0.9</v>
      </c>
      <c r="AA9" s="69" t="n">
        <f aca="false">OFFSET(TblMili[[#This Row],[Draftees]],-1,0)+OFFSET(TblPop[[#This Row],[Draft Growth]],-1,0) - SUM(TblMili[[#This Row],[Train Unit 1]:[Train Spies]],TblMili[[#This Row],[Train Wiz]]) - TblMili[[#This Row],[Release Draft]] + SUM(TblMili[[#This Row],[Release Unit 1]:[Release AM]]) - TblExplore[[#This Row],[Draftees (2)]]</f>
        <v>272</v>
      </c>
      <c r="AB9" s="146"/>
      <c r="AC9" s="130" t="n">
        <f aca="false">(TblConstr[[#This Row],[Tot Smi]]+TblConstr[[#This Row],[Dest Smi]])/(TblConstr[[#This Row],[Land]]-TblExplore[[#This Row],[Land Bonus]]*20)</f>
        <v>0</v>
      </c>
      <c r="AD9" s="128"/>
      <c r="AE9" s="282" t="n">
        <f aca="false">TblMili[[#This Row],[Hour]]</f>
        <v>6</v>
      </c>
      <c r="AF9" s="129" t="n">
        <f aca="false">TblExplore[[#This Row],[Time]]</f>
        <v>45429.9583333333</v>
      </c>
      <c r="AG9" s="182"/>
      <c r="AH9" s="182"/>
      <c r="AI9" s="182"/>
      <c r="AJ9" s="182"/>
      <c r="AK9" s="182"/>
      <c r="AL9" s="182"/>
      <c r="AM9" s="182"/>
      <c r="AN9" s="182"/>
      <c r="AO9" s="132"/>
      <c r="AP9" s="69" t="n">
        <f aca="false">TblProd[[#This Row],[Platinum]]</f>
        <v>16683</v>
      </c>
      <c r="AQ9" s="69" t="n">
        <f aca="false">INDEX(TblProd[[#Headers],[Lumber]]:TblProd[[#This Row],[Ore]],COUNTA(TblProd[[#Headers],[Lumber]]:TblProd[[#This Row],[Lumber]]),MATCH(Military!$AQ$2,TblProd[[#Headers],[Lumber]:[Ore]],0))</f>
        <v>0</v>
      </c>
      <c r="AR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69" t="n">
        <f aca="false">TblMili[[#This Row],[Train Unit 1]]*TblMili[[#This Row],[OP Ore]]+TblMili[[#This Row],[Train Unit 2]]*TblMili[[#This Row],[DP Ore]]+TblMili[[#This Row],[Train Unit 3]]*TblMili[[#This Row],[E1 Ore]]+TblMili[[#This Row],[Train Unit 4]]*TblMili[[#This Row],[E2 Ore]]</f>
        <v>0</v>
      </c>
      <c r="AT9" s="132" t="n">
        <f aca="false">TblMili[[#This Row],[Hour]]</f>
        <v>6</v>
      </c>
      <c r="AU9" s="144" t="n">
        <f aca="false">TblMili[[#This Row],[Time]]</f>
        <v>45429.9583333333</v>
      </c>
      <c r="AV9" s="69" t="n">
        <f aca="false">TblMili[[#This Row],[Draftees]]</f>
        <v>272</v>
      </c>
      <c r="AW9" s="182"/>
      <c r="AX9" s="182"/>
      <c r="AY9" s="182"/>
      <c r="AZ9" s="182"/>
      <c r="BA9" s="182"/>
      <c r="BB9" s="182"/>
      <c r="BC9" s="182"/>
      <c r="BD9" s="182"/>
      <c r="BE9" s="182"/>
      <c r="BF9" s="132"/>
      <c r="BG9" s="150" t="n">
        <f aca="false">TblConstr[[#This Row],[Tot WG]]/TblConstr[[#This Row],[Land]]</f>
        <v>0</v>
      </c>
      <c r="BH9" s="150" t="n">
        <f aca="false">TblConstr[[#This Row],[Tot Hav]]/TblConstr[[#This Row],[Land]]</f>
        <v>0</v>
      </c>
      <c r="BI9" s="69" t="n">
        <f aca="false">ROUNDUP((1-MIN(TblMili[[#This Row],[Smithies]]*smithy_bonus,smithy_bonus_cap) + tech_3_5*TblTech[[#This Row],[3-5]] + tech_5_3*TblTech[[#This Row],[5-3]] + tech_5_5*TblTech[[#This Row],[5-5]])*spec_op_plat,0)</f>
        <v>300</v>
      </c>
      <c r="BJ9" s="69" t="n">
        <f aca="false">ROUNDUP(IF(race="Gnome",1,(1-MIN(TblMili[[#This Row],[Smithies]]*smithy_bonus,smithy_bonus_cap) + tech_3_5*TblTech[[#This Row],[3-5]] + tech_5_3*TblTech[[#This Row],[5-3]] + tech_5_5*TblTech[[#This Row],[5-5]]))*spec_op_ore,0)</f>
        <v>0</v>
      </c>
      <c r="BK9" s="69" t="n">
        <f aca="false">ROUNDUP((1-MIN(TblMili[[#This Row],[Smithies]]*smithy_bonus,smithy_bonus_cap) + tech_3_5*TblTech[[#This Row],[3-5]] + tech_5_3*TblTech[[#This Row],[5-3]] + tech_5_5*TblTech[[#This Row],[5-5]])*spec_dp_plat,0)</f>
        <v>300</v>
      </c>
      <c r="BL9" s="69" t="n">
        <f aca="false">ROUNDUP(IF(race="Gnome",1,(1-MIN(TblMili[[#This Row],[Smithies]]*smithy_bonus,smithy_bonus_cap) + tech_3_5*TblTech[[#This Row],[3-5]] + tech_5_3*TblTech[[#This Row],[5-3]] + tech_5_5*TblTech[[#This Row],[5-5]]))*spec_dp_ore,0)</f>
        <v>0</v>
      </c>
      <c r="BM9" s="69" t="n">
        <f aca="false">ROUNDUP((1-MIN(TblMili[[#This Row],[Smithies]]*smithy_bonus,smithy_bonus_cap) + tech_3_5*TblTech[[#This Row],[3-5]] + tech_5_3*TblTech[[#This Row],[5-3]] + tech_5_5*TblTech[[#This Row],[5-5]])*elite1_plat,0)</f>
        <v>925</v>
      </c>
      <c r="BN9" s="69" t="n">
        <f aca="false">ROUNDUP(IF(race="Gnome",1,(1-MIN(TblMili[[#This Row],[Smithies]]*smithy_bonus,smithy_bonus_cap) + tech_3_5*TblTech[[#This Row],[3-5]] + tech_5_3*TblTech[[#This Row],[5-3]] + tech_5_5*TblTech[[#This Row],[5-5]]))*elite1_ore,0)</f>
        <v>0</v>
      </c>
      <c r="BO9" s="69" t="n">
        <f aca="false">ROUNDUP((1-MIN(TblMili[[#This Row],[Smithies]]*smithy_bonus,smithy_bonus_cap) + tech_3_5*TblTech[[#This Row],[3-5]] + tech_5_3*TblTech[[#This Row],[5-3]] + tech_5_5*TblTech[[#This Row],[5-5]])*elite2_plat,0)</f>
        <v>950</v>
      </c>
      <c r="BP9" s="69" t="n">
        <f aca="false">ROUNDUP(IF(race="Gnome",1,(1-MIN(TblMili[[#This Row],[Smithies]]*smithy_bonus,smithy_bonus_cap) + tech_3_5*TblTech[[#This Row],[3-5]] + tech_5_3*TblTech[[#This Row],[5-3]] + tech_5_5*TblTech[[#This Row],[5-5]]))*elite2_ore,0)</f>
        <v>0</v>
      </c>
      <c r="BQ9" s="69" t="n">
        <f aca="false">ROUNDUP((1-MIN(ROUND(fh_spy_cost_red*TblMili[[#This Row],[FH''s]],4),fh_spy_cost_cap)+ tech_1_9*TblTech[[#This Row],[1-9]] + tech_9_1*TblTech[[#This Row],[9-1]])*spy_plat,0)</f>
        <v>500</v>
      </c>
      <c r="BR9" s="69" t="n">
        <f aca="false">ROUNDUP((1-MIN(ROUND(fh_spy_cost_red*TblMili[[#This Row],[FH''s]],4),fh_spy_cost_cap)+ tech_1_9*TblTech[[#This Row],[1-9]] + tech_9_1*TblTech[[#This Row],[9-1]])*archspy_plat,0)</f>
        <v>1000</v>
      </c>
      <c r="BS9" s="69" t="n">
        <f aca="false">ROUNDUP((1-MIN(ROUND(wg_wiz_cost_bonus*TblMili[[#This Row],[WG''s]],4),wg_wiz_cost_cap) + tech_1_9_2*TblTech[[#This Row],[1-9]] + tech_9_1_2*TblTech[[#This Row],[9-1]])*wizard_plat,0)</f>
        <v>500</v>
      </c>
      <c r="BT9" s="69" t="n">
        <f aca="false">ROUNDUP((1-MIN(ROUND(wg_wiz_cost_bonus*TblMili[[#This Row],[WG''s]],4),wg_wiz_cost_cap) + tech_1_9_2*TblTech[[#This Row],[1-9]] + tech_9_1_2*TblTech[[#This Row],[9-1]])*archmage_plat,0)</f>
        <v>1000</v>
      </c>
      <c r="BU9" s="132"/>
      <c r="BV9" s="150" t="e">
        <f aca="false">TblConstr[[#This Row],[Homeland]]/TblConstr[[#This Row],[Land]]</f>
        <v>#VALUE!</v>
      </c>
      <c r="BW9" s="150" t="n">
        <f aca="false">TblMili[[#This Row],[WG''s]]</f>
        <v>0</v>
      </c>
      <c r="BX9" s="288" t="e">
        <f aca="false">IF(mystic_cap="none",TblMili[[#This Row],[Hill]]/mystic_bonus,MIN(mystic_cap,TblMili[[#This Row],[Hill]]/mystic_bonus))</f>
        <v>#VALUE!</v>
      </c>
      <c r="BY9" s="288" t="e">
        <f aca="false">IF(druid_op_cap="none",TblMili[[#This Row],[Hill]]/druid_op_bonus,MIN(druid_op_cap,TblMili[[#This Row],[Hill]]/druid_op_bonus))</f>
        <v>#VALUE!</v>
      </c>
      <c r="BZ9" s="288" t="e">
        <f aca="false">IF(druid_dp_cap="none",TblMili[[#This Row],[Hill]]/druid_dp_bonus,MIN(druid_dp_cap,TblMili[[#This Row],[Hill]]/druid_dp_bonus))</f>
        <v>#VALUE!</v>
      </c>
      <c r="CA9" s="288" t="e">
        <f aca="false">MIN(dryad_cap,TblMili[[#This Row],[Hill]]/dryad_bonus)</f>
        <v>#VALUE!</v>
      </c>
      <c r="CB9" s="288" t="e">
        <f aca="false">MIN(rocka_cap,TblMili[[#This Row],[Hill]]/rocka_bonus)</f>
        <v>#VALUE!</v>
      </c>
      <c r="CC9" s="288" t="n">
        <f aca="false">MIN(adept_op_cap,TblMili[[#This Row],[WG]]/adept_op_bonus)</f>
        <v>0</v>
      </c>
      <c r="CD9" s="288" t="n">
        <f aca="false">MIN(adept_dp_cap,TblMili[[#This Row],[WG]]/adept_dp_bonus)</f>
        <v>0</v>
      </c>
      <c r="CE9" s="69" t="n">
        <f aca="false">MIN(TblMili[[#This Row],[Unit 3]],TblMili[[#This Row],[Unit 2]])*2</f>
        <v>0</v>
      </c>
      <c r="CF9" s="69" t="n">
        <f aca="false">MIN(TblMili[[#This Row],[Unit 1]],TblMili[[#This Row],[Unit 4]])*2</f>
        <v>0</v>
      </c>
      <c r="CG9" s="288" t="e">
        <f aca="false">MIN(frost_mage_cap,TblMili[[#This Row],[Hill]]/frost_mage_bonus)</f>
        <v>#VALUE!</v>
      </c>
      <c r="CH9" s="151" t="n">
        <f aca="false">MIN(ice_elem_cap,TblMili[[#This Row],[Raw (2)]]*ice_elem_bonus)</f>
        <v>0</v>
      </c>
      <c r="CI9" s="288" t="n">
        <f aca="false">MIN(bone_breaker_cap,250/bone_breaker_bonus)</f>
        <v>0.833333333333333</v>
      </c>
      <c r="CJ9" s="288" t="e">
        <f aca="false">MIN(nox_nightshade_cap,TblConstr[[#This Row],[Homeland]]/TblConstr[[#This Row],[Land]]/nox_nightshade_swamp_bonus)</f>
        <v>#VALUE!</v>
      </c>
      <c r="CK9" s="289" t="s">
        <v>131</v>
      </c>
      <c r="CL9" s="292" t="b">
        <f aca="false">race=CK9</f>
        <v>0</v>
      </c>
      <c r="CM9" s="289"/>
      <c r="CN9" s="288" t="e">
        <f aca="false">MIN(6,TblMili[[#This Row],[Mystic]]+Races!$F$19)*1.8 +  IF(TblMili[[#This Row],[Mystic]]+Races!$F$19&gt;6,(TblMili[[#This Row],[Mystic]]+Races!$F$19-6)*0.2,0) - Races!$I$19</f>
        <v>#VALUE!</v>
      </c>
      <c r="CO9" s="288" t="e">
        <f aca="false">1.8 * MIN(MAX(TblMili[[#This Row],[Druid (op)]]+Races!$E$20,TblMili[[#This Row],[Druid (dp)]]+Races!$F$20),6)  +  0.45 * MIN(MIN(TblMili[[#This Row],[Druid (op)]]+Races!$E$20,TblMili[[#This Row],[Druid (dp)]]+Races!$F$20),6)  +  0.2 * ( MAX(TblMili[[#This Row],[Druid (op)]]+Races!$E$20-6,0) + MAX(TblMili[[#This Row],[Druid (dp)]]+Races!$F$20-6,0) )  -  Races!$I$20</f>
        <v>#VALUE!</v>
      </c>
      <c r="CP9" s="69" t="e">
        <f aca="false">TblMili[[#This Row],[Mystic bonus]]*TblMili[[#This Row],[Unit 3]]+TblMili[[#This Row],[Druid bonus]]*TblMili[[#This Row],[Unit 4]]</f>
        <v>#VALUE!</v>
      </c>
      <c r="CQ9" s="148" t="e">
        <f aca="false">MIN(6,TblMili[[#This Row],[Dryad]]+Races!$F$35)*1.8 +  IF(TblMili[[#This Row],[Dryad]]+Races!$F$35&gt;6,(TblMili[[#This Row],[Dryad]]+Races!$F$35-6)*0.2,0) - Races!$I$19</f>
        <v>#VALUE!</v>
      </c>
      <c r="CR9" s="69" t="e">
        <f aca="false">sylvan*(TblMili[[#This Row],[Mystic bonus]]*TblMili[[#This Row],[Unit 3]])</f>
        <v>#VALUE!</v>
      </c>
      <c r="CS9" s="148" t="e">
        <f aca="false">1.8 * MIN(MAX(Races!$E$27,TblMili[[#This Row],[Rockapult]]+Races!$F$27),6)  +  0.45 * MIN(MIN(Races!$E$27,TblMili[[#This Row],[Rockapult]]+Races!$F$27),6)  +  0.2 * ( MAX(Races!$E$27-6,0) + MAX(TblMili[[#This Row],[Rockapult]]+Races!$F$27-6,0) )  -  Races!$I$20</f>
        <v>#VALUE!</v>
      </c>
      <c r="CT9" s="69" t="e">
        <f aca="false">gnome*(TblMili[[#This Row],[Rockapult bonus]]*TblMili[[#This Row],[Unit 3]])</f>
        <v>#VALUE!</v>
      </c>
      <c r="CU9" s="148" t="n">
        <f aca="false">1.8 * MIN(MAX(TblMili[[#This Row],[Spellblade]]+Races!$E$47,TblMili[[#This Row],[Adept-DP]]+Races!$F$47),6)  +  0.45 * MIN(MIN(TblMili[[#This Row],[Spellblade]]+Races!$E$47,TblMili[[#This Row],[Adept-DP]]+Races!$F$47),6)  +  0.2 * ( MAX(TblMili[[#This Row],[Spellblade]]+Races!$E$47-6,0) + MAX(TblMili[[#This Row],[Adept-DP]]+Races!$F$47-6,0) )  -  Races!$I$47</f>
        <v>0</v>
      </c>
      <c r="CV9" s="69" t="n">
        <f aca="false">dark_elf*(TblMili[[#This Row],[Adept bonus]]*TblMili[[#This Row],[Unit 3]])</f>
        <v>0</v>
      </c>
      <c r="CW9" s="148" t="e">
        <f aca="false">1.8 * MIN(MAX(TblMili[[#This Row],[Frost Mage]]+Races!$F$71,Races!$E$71),6)  +  0.45 * MIN(MIN(TblMili[[#This Row],[Frost Mage]]+Races!$F$71,Races!$E$71),6)  +  0.2 * ( MAX(TblMili[[#This Row],[Frost Mage]]+Races!$F$71-6,0) + MAX(Races!$E$71-6,0) )  -  Races!$I$71</f>
        <v>#VALUE!</v>
      </c>
      <c r="CX9" s="148" t="n">
        <f aca="false">1.8 * MIN(MAX(TblMili[[#This Row],[Ice Elemental]]+Races!$E$71,Races!$F$71),6)  +  0.45 * MIN(MIN(TblMili[[#This Row],[Ice Elemental]]+Races!$E$71,Races!$F$71),6)  +  0.2 * ( MAX(TblMili[[#This Row],[Ice Elemental]]+Races!$E$71-6,0) + MAX(Races!$F$71-6,0) )  -  Races!$I$71</f>
        <v>0</v>
      </c>
      <c r="CY9" s="69" t="e">
        <f aca="false">TblMili[[#This Row],[Frost Mage bonus]]*TblMili[[#This Row],[Unit 3]]+TblMili[[#This Row],[Ice Elemental bonus]]*TblMili[[#This Row],[Unit 4]]</f>
        <v>#VALUE!</v>
      </c>
      <c r="CZ9" s="290"/>
      <c r="DA9" s="109" t="n">
        <f aca="false">MIN(SUM(TblConstr[[#This Row],[Plain]:[Water]])/TblMili[[#This Row],[Land]]/favorable_terrain_bonus/100,favorable_terrain_max)</f>
        <v>0.1</v>
      </c>
      <c r="DB9" s="290"/>
      <c r="DC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 s="132"/>
      <c r="DE9" s="291" t="n">
        <f aca="false">(TblMili[[#This Row],[Wizards]]+2*TblMili[[#This Row],[Archmages]])/TblConstr[[#This Row],[Land]]</f>
        <v>0</v>
      </c>
      <c r="DF9" s="291" t="n">
        <f aca="false">TblMili[[#This Row],[Raw (2)]]*(1+race_wizard_strength+IF(TblMili[[#This Row],[Hour]]&gt;72,tech_magical_weaponry_wiz*TblTech[[#This Row],[3-5]],0))</f>
        <v>0</v>
      </c>
    </row>
    <row r="10" customFormat="false" ht="12.75" hidden="false" customHeight="false" outlineLevel="0" collapsed="false">
      <c r="A10" s="128" t="n">
        <f aca="false">TblRezone[[#This Row],[Hour]]</f>
        <v>7</v>
      </c>
      <c r="B10" s="282" t="n">
        <f aca="false">SUM(TblMili[[#This Row],[Unit 1]:[Archmages]])+SUM(OFFSET(TblMili[[#This Row],[Train Unit 1]],-6,0):TblMili[[#This Row],[Train Unit 4]])+TblMili[[#This Row],[Draftees]]</f>
        <v>282</v>
      </c>
      <c r="C10" s="150" t="n">
        <f aca="false">TblPop[[#This Row],[Military%]]</f>
        <v>0.161697247706422</v>
      </c>
      <c r="D10" s="132"/>
      <c r="E10" s="151" t="n">
        <f aca="false">OFFSET(TblMili[[#This Row],[Unit 1]],-1,0) - TblMili[[#This Row],[Release Unit 1]]</f>
        <v>0</v>
      </c>
      <c r="F10" s="151" t="n">
        <f aca="false">OFFSET(TblMili[[#This Row],[Unit 2]],-1,0)-TblMili[[#This Row],[Release Unit 2]]</f>
        <v>0</v>
      </c>
      <c r="G10" s="151" t="n">
        <f aca="false">OFFSET(TblMili[[#This Row],[Unit 3]],-1,0)-TblMili[[#This Row],[Release Unit 3]]</f>
        <v>0</v>
      </c>
      <c r="H10" s="151" t="n">
        <f aca="false">OFFSET(TblMili[[#This Row],[Unit 4]],-1,0)-TblMili[[#This Row],[Release Unit 4]]</f>
        <v>0</v>
      </c>
      <c r="I10" s="151" t="n">
        <f aca="false">OFFSET(TblMili[[#This Row],[Spies]],-1,0)-TblMili[[#This Row],[Release Spies]]-TblMili[[#This Row],[Train AS]]</f>
        <v>0</v>
      </c>
      <c r="J10" s="151" t="n">
        <f aca="false">OFFSET(TblMili[[#This Row],[Archspies]],-1,0)-TblMili[[#This Row],[Release AS]]</f>
        <v>0</v>
      </c>
      <c r="K10" s="151" t="n">
        <f aca="false">OFFSET(TblMili[[#This Row],[Wizards]],-1,0)-TblMili[[#This Row],[Release Wizards]]-TblMili[[#This Row],[Train AM]]</f>
        <v>0</v>
      </c>
      <c r="L10" s="151" t="n">
        <f aca="false">OFFSET(TblMili[[#This Row],[Archmages]],-1,0)-TblMili[[#This Row],[Release AM]]</f>
        <v>0</v>
      </c>
      <c r="M10" s="132"/>
      <c r="N10" s="69" t="e">
        <f aca="false">TblProd[[#This Row],[Networth]]</f>
        <v>#VALUE!</v>
      </c>
      <c r="O10" s="132"/>
      <c r="P1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 s="285" t="e">
        <f aca="false">TblMili[[#This Row],[Raw]]*(1+TblMili[[#This Row],[Mods_Off]])</f>
        <v>#VALUE!</v>
      </c>
      <c r="S1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 s="285" t="e">
        <f aca="false">TblMili[[#This Row],[Non Draft]]+TblMili[[#This Row],[Draftees]]</f>
        <v>#VALUE!</v>
      </c>
      <c r="U10" s="286" t="n">
        <f aca="false">race_defense + TblImps[[#This Row],[Walls]] + ROUND( MIN(gt_bonus*TblConstr[[#This Row],[Tot GT]]/TblConstr[[#This Row],[Land]],gt_bonus_cap), 4) + IF(TblMagic[[#This Row],[Active Howling]]&gt;0,howling_dp_bonus,IF(TblMagic[[#This Row],[Active Ares Call]]&gt;0,ares_call_bonus))</f>
        <v>0</v>
      </c>
      <c r="V10" s="274" t="e">
        <f aca="false">TblMili[[#This Row],[Non Draft]] * (1 + TblMili[[#This Row],[Mods_Def]])</f>
        <v>#VALUE!</v>
      </c>
      <c r="W10" s="285" t="e">
        <f aca="false">TblMili[[#This Row],[Draft]] * (1 + TblMili[[#This Row],[Mods_Def]])</f>
        <v>#VALUE!</v>
      </c>
      <c r="X10" s="285" t="n">
        <f aca="false">TblConstr[[#This Row],[Land]]</f>
        <v>250</v>
      </c>
      <c r="Y10" s="287"/>
      <c r="Z10" s="109" t="n">
        <f aca="false">IF(TblMili[[#This Row],[Set]]&lt;&gt;"",TblMili[[#This Row],[Set]],OFFSET(TblMili[[#This Row],[Draftrate]],-1,0))</f>
        <v>0.9</v>
      </c>
      <c r="AA10" s="69" t="n">
        <f aca="false">OFFSET(TblMili[[#This Row],[Draftees]],-1,0)+OFFSET(TblPop[[#This Row],[Draft Growth]],-1,0) - SUM(TblMili[[#This Row],[Train Unit 1]:[Train Spies]],TblMili[[#This Row],[Train Wiz]]) - TblMili[[#This Row],[Release Draft]] + SUM(TblMili[[#This Row],[Release Unit 1]:[Release AM]]) - TblExplore[[#This Row],[Draftees (2)]]</f>
        <v>282</v>
      </c>
      <c r="AB10" s="146"/>
      <c r="AC10" s="130" t="n">
        <f aca="false">(TblConstr[[#This Row],[Tot Smi]]+TblConstr[[#This Row],[Dest Smi]])/(TblConstr[[#This Row],[Land]]-TblExplore[[#This Row],[Land Bonus]]*20)</f>
        <v>0</v>
      </c>
      <c r="AD10" s="128"/>
      <c r="AE10" s="282" t="n">
        <f aca="false">TblMili[[#This Row],[Hour]]</f>
        <v>7</v>
      </c>
      <c r="AF10" s="129" t="n">
        <f aca="false">TblExplore[[#This Row],[Time]]</f>
        <v>45430</v>
      </c>
      <c r="AG10" s="182"/>
      <c r="AH10" s="182"/>
      <c r="AI10" s="182"/>
      <c r="AJ10" s="182"/>
      <c r="AK10" s="182"/>
      <c r="AL10" s="182"/>
      <c r="AM10" s="182"/>
      <c r="AN10" s="182"/>
      <c r="AO10" s="132"/>
      <c r="AP10" s="69" t="n">
        <f aca="false">TblProd[[#This Row],[Platinum]]</f>
        <v>21502</v>
      </c>
      <c r="AQ10" s="69" t="n">
        <f aca="false">INDEX(TblProd[[#Headers],[Lumber]]:TblProd[[#This Row],[Ore]],COUNTA(TblProd[[#Headers],[Lumber]]:TblProd[[#This Row],[Lumber]]),MATCH(Military!$AQ$2,TblProd[[#Headers],[Lumber]:[Ore]],0))</f>
        <v>0</v>
      </c>
      <c r="AR1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69" t="n">
        <f aca="false">TblMili[[#This Row],[Train Unit 1]]*TblMili[[#This Row],[OP Ore]]+TblMili[[#This Row],[Train Unit 2]]*TblMili[[#This Row],[DP Ore]]+TblMili[[#This Row],[Train Unit 3]]*TblMili[[#This Row],[E1 Ore]]+TblMili[[#This Row],[Train Unit 4]]*TblMili[[#This Row],[E2 Ore]]</f>
        <v>0</v>
      </c>
      <c r="AT10" s="132" t="n">
        <f aca="false">TblMili[[#This Row],[Hour]]</f>
        <v>7</v>
      </c>
      <c r="AU10" s="144" t="n">
        <f aca="false">TblMili[[#This Row],[Time]]</f>
        <v>45430</v>
      </c>
      <c r="AV10" s="69" t="n">
        <f aca="false">TblMili[[#This Row],[Draftees]]</f>
        <v>282</v>
      </c>
      <c r="AW10" s="182"/>
      <c r="AX10" s="182"/>
      <c r="AY10" s="182"/>
      <c r="AZ10" s="182"/>
      <c r="BA10" s="182"/>
      <c r="BB10" s="182"/>
      <c r="BC10" s="182"/>
      <c r="BD10" s="182"/>
      <c r="BE10" s="182"/>
      <c r="BF10" s="132"/>
      <c r="BG10" s="150" t="n">
        <f aca="false">TblConstr[[#This Row],[Tot WG]]/TblConstr[[#This Row],[Land]]</f>
        <v>0</v>
      </c>
      <c r="BH10" s="150" t="n">
        <f aca="false">TblConstr[[#This Row],[Tot Hav]]/TblConstr[[#This Row],[Land]]</f>
        <v>0</v>
      </c>
      <c r="BI10" s="69" t="n">
        <f aca="false">ROUNDUP((1-MIN(TblMili[[#This Row],[Smithies]]*smithy_bonus,smithy_bonus_cap) + tech_3_5*TblTech[[#This Row],[3-5]] + tech_5_3*TblTech[[#This Row],[5-3]] + tech_5_5*TblTech[[#This Row],[5-5]])*spec_op_plat,0)</f>
        <v>300</v>
      </c>
      <c r="BJ10" s="69" t="n">
        <f aca="false">ROUNDUP(IF(race="Gnome",1,(1-MIN(TblMili[[#This Row],[Smithies]]*smithy_bonus,smithy_bonus_cap) + tech_3_5*TblTech[[#This Row],[3-5]] + tech_5_3*TblTech[[#This Row],[5-3]] + tech_5_5*TblTech[[#This Row],[5-5]]))*spec_op_ore,0)</f>
        <v>0</v>
      </c>
      <c r="BK10" s="69" t="n">
        <f aca="false">ROUNDUP((1-MIN(TblMili[[#This Row],[Smithies]]*smithy_bonus,smithy_bonus_cap) + tech_3_5*TblTech[[#This Row],[3-5]] + tech_5_3*TblTech[[#This Row],[5-3]] + tech_5_5*TblTech[[#This Row],[5-5]])*spec_dp_plat,0)</f>
        <v>300</v>
      </c>
      <c r="BL10" s="69" t="n">
        <f aca="false">ROUNDUP(IF(race="Gnome",1,(1-MIN(TblMili[[#This Row],[Smithies]]*smithy_bonus,smithy_bonus_cap) + tech_3_5*TblTech[[#This Row],[3-5]] + tech_5_3*TblTech[[#This Row],[5-3]] + tech_5_5*TblTech[[#This Row],[5-5]]))*spec_dp_ore,0)</f>
        <v>0</v>
      </c>
      <c r="BM10" s="69" t="n">
        <f aca="false">ROUNDUP((1-MIN(TblMili[[#This Row],[Smithies]]*smithy_bonus,smithy_bonus_cap) + tech_3_5*TblTech[[#This Row],[3-5]] + tech_5_3*TblTech[[#This Row],[5-3]] + tech_5_5*TblTech[[#This Row],[5-5]])*elite1_plat,0)</f>
        <v>925</v>
      </c>
      <c r="BN10" s="69" t="n">
        <f aca="false">ROUNDUP(IF(race="Gnome",1,(1-MIN(TblMili[[#This Row],[Smithies]]*smithy_bonus,smithy_bonus_cap) + tech_3_5*TblTech[[#This Row],[3-5]] + tech_5_3*TblTech[[#This Row],[5-3]] + tech_5_5*TblTech[[#This Row],[5-5]]))*elite1_ore,0)</f>
        <v>0</v>
      </c>
      <c r="BO10" s="69" t="n">
        <f aca="false">ROUNDUP((1-MIN(TblMili[[#This Row],[Smithies]]*smithy_bonus,smithy_bonus_cap) + tech_3_5*TblTech[[#This Row],[3-5]] + tech_5_3*TblTech[[#This Row],[5-3]] + tech_5_5*TblTech[[#This Row],[5-5]])*elite2_plat,0)</f>
        <v>950</v>
      </c>
      <c r="BP10" s="69" t="n">
        <f aca="false">ROUNDUP(IF(race="Gnome",1,(1-MIN(TblMili[[#This Row],[Smithies]]*smithy_bonus,smithy_bonus_cap) + tech_3_5*TblTech[[#This Row],[3-5]] + tech_5_3*TblTech[[#This Row],[5-3]] + tech_5_5*TblTech[[#This Row],[5-5]]))*elite2_ore,0)</f>
        <v>0</v>
      </c>
      <c r="BQ10" s="69" t="n">
        <f aca="false">ROUNDUP((1-MIN(ROUND(fh_spy_cost_red*TblMili[[#This Row],[FH''s]],4),fh_spy_cost_cap)+ tech_1_9*TblTech[[#This Row],[1-9]] + tech_9_1*TblTech[[#This Row],[9-1]])*spy_plat,0)</f>
        <v>500</v>
      </c>
      <c r="BR10" s="69" t="n">
        <f aca="false">ROUNDUP((1-MIN(ROUND(fh_spy_cost_red*TblMili[[#This Row],[FH''s]],4),fh_spy_cost_cap)+ tech_1_9*TblTech[[#This Row],[1-9]] + tech_9_1*TblTech[[#This Row],[9-1]])*archspy_plat,0)</f>
        <v>1000</v>
      </c>
      <c r="BS10" s="69" t="n">
        <f aca="false">ROUNDUP((1-MIN(ROUND(wg_wiz_cost_bonus*TblMili[[#This Row],[WG''s]],4),wg_wiz_cost_cap) + tech_1_9_2*TblTech[[#This Row],[1-9]] + tech_9_1_2*TblTech[[#This Row],[9-1]])*wizard_plat,0)</f>
        <v>500</v>
      </c>
      <c r="BT10" s="69" t="n">
        <f aca="false">ROUNDUP((1-MIN(ROUND(wg_wiz_cost_bonus*TblMili[[#This Row],[WG''s]],4),wg_wiz_cost_cap) + tech_1_9_2*TblTech[[#This Row],[1-9]] + tech_9_1_2*TblTech[[#This Row],[9-1]])*archmage_plat,0)</f>
        <v>1000</v>
      </c>
      <c r="BU10" s="132"/>
      <c r="BV10" s="150" t="e">
        <f aca="false">TblConstr[[#This Row],[Homeland]]/TblConstr[[#This Row],[Land]]</f>
        <v>#VALUE!</v>
      </c>
      <c r="BW10" s="150" t="n">
        <f aca="false">TblMili[[#This Row],[WG''s]]</f>
        <v>0</v>
      </c>
      <c r="BX10" s="288" t="e">
        <f aca="false">IF(mystic_cap="none",TblMili[[#This Row],[Hill]]/mystic_bonus,MIN(mystic_cap,TblMili[[#This Row],[Hill]]/mystic_bonus))</f>
        <v>#VALUE!</v>
      </c>
      <c r="BY10" s="288" t="e">
        <f aca="false">IF(druid_op_cap="none",TblMili[[#This Row],[Hill]]/druid_op_bonus,MIN(druid_op_cap,TblMili[[#This Row],[Hill]]/druid_op_bonus))</f>
        <v>#VALUE!</v>
      </c>
      <c r="BZ10" s="288" t="e">
        <f aca="false">IF(druid_dp_cap="none",TblMili[[#This Row],[Hill]]/druid_dp_bonus,MIN(druid_dp_cap,TblMili[[#This Row],[Hill]]/druid_dp_bonus))</f>
        <v>#VALUE!</v>
      </c>
      <c r="CA10" s="288" t="e">
        <f aca="false">MIN(dryad_cap,TblMili[[#This Row],[Hill]]/dryad_bonus)</f>
        <v>#VALUE!</v>
      </c>
      <c r="CB10" s="288" t="e">
        <f aca="false">MIN(rocka_cap,TblMili[[#This Row],[Hill]]/rocka_bonus)</f>
        <v>#VALUE!</v>
      </c>
      <c r="CC10" s="288" t="n">
        <f aca="false">MIN(adept_op_cap,TblMili[[#This Row],[WG]]/adept_op_bonus)</f>
        <v>0</v>
      </c>
      <c r="CD10" s="288" t="n">
        <f aca="false">MIN(adept_dp_cap,TblMili[[#This Row],[WG]]/adept_dp_bonus)</f>
        <v>0</v>
      </c>
      <c r="CE10" s="69" t="n">
        <f aca="false">MIN(TblMili[[#This Row],[Unit 3]],TblMili[[#This Row],[Unit 2]])*2</f>
        <v>0</v>
      </c>
      <c r="CF10" s="69" t="n">
        <f aca="false">MIN(TblMili[[#This Row],[Unit 1]],TblMili[[#This Row],[Unit 4]])*2</f>
        <v>0</v>
      </c>
      <c r="CG10" s="288" t="e">
        <f aca="false">MIN(frost_mage_cap,TblMili[[#This Row],[Hill]]/frost_mage_bonus)</f>
        <v>#VALUE!</v>
      </c>
      <c r="CH10" s="151" t="n">
        <f aca="false">MIN(ice_elem_cap,TblMili[[#This Row],[Raw (2)]]*ice_elem_bonus)</f>
        <v>0</v>
      </c>
      <c r="CI10" s="288" t="n">
        <f aca="false">MIN(bone_breaker_cap,250/bone_breaker_bonus)</f>
        <v>0.833333333333333</v>
      </c>
      <c r="CJ10" s="288" t="e">
        <f aca="false">MIN(nox_nightshade_cap,TblConstr[[#This Row],[Homeland]]/TblConstr[[#This Row],[Land]]/nox_nightshade_swamp_bonus)</f>
        <v>#VALUE!</v>
      </c>
      <c r="CK10" s="289" t="s">
        <v>122</v>
      </c>
      <c r="CL10" s="292" t="b">
        <f aca="false">race=CK10</f>
        <v>0</v>
      </c>
      <c r="CM10" s="289"/>
      <c r="CN10" s="288" t="e">
        <f aca="false">MIN(6,TblMili[[#This Row],[Mystic]]+Races!$F$19)*1.8 +  IF(TblMili[[#This Row],[Mystic]]+Races!$F$19&gt;6,(TblMili[[#This Row],[Mystic]]+Races!$F$19-6)*0.2,0) - Races!$I$19</f>
        <v>#VALUE!</v>
      </c>
      <c r="CO10" s="288" t="e">
        <f aca="false">1.8 * MIN(MAX(TblMili[[#This Row],[Druid (op)]]+Races!$E$20,TblMili[[#This Row],[Druid (dp)]]+Races!$F$20),6)  +  0.45 * MIN(MIN(TblMili[[#This Row],[Druid (op)]]+Races!$E$20,TblMili[[#This Row],[Druid (dp)]]+Races!$F$20),6)  +  0.2 * ( MAX(TblMili[[#This Row],[Druid (op)]]+Races!$E$20-6,0) + MAX(TblMili[[#This Row],[Druid (dp)]]+Races!$F$20-6,0) )  -  Races!$I$20</f>
        <v>#VALUE!</v>
      </c>
      <c r="CP10" s="69" t="e">
        <f aca="false">TblMili[[#This Row],[Mystic bonus]]*TblMili[[#This Row],[Unit 3]]+TblMili[[#This Row],[Druid bonus]]*TblMili[[#This Row],[Unit 4]]</f>
        <v>#VALUE!</v>
      </c>
      <c r="CQ10" s="148" t="e">
        <f aca="false">MIN(6,TblMili[[#This Row],[Dryad]]+Races!$F$35)*1.8 +  IF(TblMili[[#This Row],[Dryad]]+Races!$F$35&gt;6,(TblMili[[#This Row],[Dryad]]+Races!$F$35-6)*0.2,0) - Races!$I$19</f>
        <v>#VALUE!</v>
      </c>
      <c r="CR10" s="69" t="e">
        <f aca="false">sylvan*(TblMili[[#This Row],[Mystic bonus]]*TblMili[[#This Row],[Unit 3]])</f>
        <v>#VALUE!</v>
      </c>
      <c r="CS10" s="148" t="e">
        <f aca="false">1.8 * MIN(MAX(Races!$E$27,TblMili[[#This Row],[Rockapult]]+Races!$F$27),6)  +  0.45 * MIN(MIN(Races!$E$27,TblMili[[#This Row],[Rockapult]]+Races!$F$27),6)  +  0.2 * ( MAX(Races!$E$27-6,0) + MAX(TblMili[[#This Row],[Rockapult]]+Races!$F$27-6,0) )  -  Races!$I$20</f>
        <v>#VALUE!</v>
      </c>
      <c r="CT10" s="69" t="e">
        <f aca="false">gnome*(TblMili[[#This Row],[Rockapult bonus]]*TblMili[[#This Row],[Unit 3]])</f>
        <v>#VALUE!</v>
      </c>
      <c r="CU10" s="148" t="n">
        <f aca="false">1.8 * MIN(MAX(TblMili[[#This Row],[Spellblade]]+Races!$E$47,TblMili[[#This Row],[Adept-DP]]+Races!$F$47),6)  +  0.45 * MIN(MIN(TblMili[[#This Row],[Spellblade]]+Races!$E$47,TblMili[[#This Row],[Adept-DP]]+Races!$F$47),6)  +  0.2 * ( MAX(TblMili[[#This Row],[Spellblade]]+Races!$E$47-6,0) + MAX(TblMili[[#This Row],[Adept-DP]]+Races!$F$47-6,0) )  -  Races!$I$47</f>
        <v>0</v>
      </c>
      <c r="CV10" s="69" t="n">
        <f aca="false">dark_elf*(TblMili[[#This Row],[Adept bonus]]*TblMili[[#This Row],[Unit 3]])</f>
        <v>0</v>
      </c>
      <c r="CW10" s="148" t="e">
        <f aca="false">1.8 * MIN(MAX(TblMili[[#This Row],[Frost Mage]]+Races!$F$71,Races!$E$71),6)  +  0.45 * MIN(MIN(TblMili[[#This Row],[Frost Mage]]+Races!$F$71,Races!$E$71),6)  +  0.2 * ( MAX(TblMili[[#This Row],[Frost Mage]]+Races!$F$71-6,0) + MAX(Races!$E$71-6,0) )  -  Races!$I$71</f>
        <v>#VALUE!</v>
      </c>
      <c r="CX10" s="148" t="n">
        <f aca="false">1.8 * MIN(MAX(TblMili[[#This Row],[Ice Elemental]]+Races!$E$71,Races!$F$71),6)  +  0.45 * MIN(MIN(TblMili[[#This Row],[Ice Elemental]]+Races!$E$71,Races!$F$71),6)  +  0.2 * ( MAX(TblMili[[#This Row],[Ice Elemental]]+Races!$E$71-6,0) + MAX(Races!$F$71-6,0) )  -  Races!$I$71</f>
        <v>0</v>
      </c>
      <c r="CY10" s="69" t="e">
        <f aca="false">TblMili[[#This Row],[Frost Mage bonus]]*TblMili[[#This Row],[Unit 3]]+TblMili[[#This Row],[Ice Elemental bonus]]*TblMili[[#This Row],[Unit 4]]</f>
        <v>#VALUE!</v>
      </c>
      <c r="CZ10" s="290"/>
      <c r="DA10" s="109" t="n">
        <f aca="false">MIN(SUM(TblConstr[[#This Row],[Plain]:[Water]])/TblMili[[#This Row],[Land]]/favorable_terrain_bonus/100,favorable_terrain_max)</f>
        <v>0.1</v>
      </c>
      <c r="DB10" s="290"/>
      <c r="DC1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 s="132"/>
      <c r="DE10" s="291" t="n">
        <f aca="false">(TblMili[[#This Row],[Wizards]]+2*TblMili[[#This Row],[Archmages]])/TblConstr[[#This Row],[Land]]</f>
        <v>0</v>
      </c>
      <c r="DF10" s="291" t="n">
        <f aca="false">TblMili[[#This Row],[Raw (2)]]*(1+race_wizard_strength+IF(TblMili[[#This Row],[Hour]]&gt;72,tech_magical_weaponry_wiz*TblTech[[#This Row],[3-5]],0))</f>
        <v>0</v>
      </c>
    </row>
    <row r="11" customFormat="false" ht="12.75" hidden="false" customHeight="false" outlineLevel="0" collapsed="false">
      <c r="A11" s="128" t="n">
        <f aca="false">TblRezone[[#This Row],[Hour]]</f>
        <v>8</v>
      </c>
      <c r="B11" s="282" t="n">
        <f aca="false">SUM(TblMili[[#This Row],[Unit 1]:[Archmages]])+SUM(OFFSET(TblMili[[#This Row],[Train Unit 1]],-7,0):TblMili[[#This Row],[Train Unit 4]])+TblMili[[#This Row],[Draftees]]</f>
        <v>293</v>
      </c>
      <c r="C11" s="150" t="n">
        <f aca="false">TblPop[[#This Row],[Military%]]</f>
        <v>0.164329781267527</v>
      </c>
      <c r="D11" s="132"/>
      <c r="E11" s="151" t="n">
        <f aca="false">OFFSET(TblMili[[#This Row],[Unit 1]],-1,0) - TblMili[[#This Row],[Release Unit 1]]</f>
        <v>0</v>
      </c>
      <c r="F11" s="151" t="n">
        <f aca="false">OFFSET(TblMili[[#This Row],[Unit 2]],-1,0)-TblMili[[#This Row],[Release Unit 2]]</f>
        <v>0</v>
      </c>
      <c r="G11" s="151" t="n">
        <f aca="false">OFFSET(TblMili[[#This Row],[Unit 3]],-1,0)-TblMili[[#This Row],[Release Unit 3]]</f>
        <v>0</v>
      </c>
      <c r="H11" s="151" t="n">
        <f aca="false">OFFSET(TblMili[[#This Row],[Unit 4]],-1,0)-TblMili[[#This Row],[Release Unit 4]]</f>
        <v>0</v>
      </c>
      <c r="I11" s="151" t="n">
        <f aca="false">OFFSET(TblMili[[#This Row],[Spies]],-1,0)-TblMili[[#This Row],[Release Spies]]-TblMili[[#This Row],[Train AS]]</f>
        <v>0</v>
      </c>
      <c r="J11" s="151" t="n">
        <f aca="false">OFFSET(TblMili[[#This Row],[Archspies]],-1,0)-TblMili[[#This Row],[Release AS]]</f>
        <v>0</v>
      </c>
      <c r="K11" s="151" t="n">
        <f aca="false">OFFSET(TblMili[[#This Row],[Wizards]],-1,0)-TblMili[[#This Row],[Release Wizards]]-TblMili[[#This Row],[Train AM]]</f>
        <v>0</v>
      </c>
      <c r="L11" s="151" t="n">
        <f aca="false">OFFSET(TblMili[[#This Row],[Archmages]],-1,0)-TblMili[[#This Row],[Release AM]]</f>
        <v>0</v>
      </c>
      <c r="M11" s="132"/>
      <c r="N11" s="69" t="e">
        <f aca="false">TblProd[[#This Row],[Networth]]</f>
        <v>#VALUE!</v>
      </c>
      <c r="O11" s="132"/>
      <c r="P1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 s="285" t="e">
        <f aca="false">TblMili[[#This Row],[Raw]]*(1+TblMili[[#This Row],[Mods_Off]])</f>
        <v>#VALUE!</v>
      </c>
      <c r="S1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 s="285" t="e">
        <f aca="false">TblMili[[#This Row],[Non Draft]]+TblMili[[#This Row],[Draftees]]</f>
        <v>#VALUE!</v>
      </c>
      <c r="U11" s="286" t="n">
        <f aca="false">race_defense + TblImps[[#This Row],[Walls]] + ROUND( MIN(gt_bonus*TblConstr[[#This Row],[Tot GT]]/TblConstr[[#This Row],[Land]],gt_bonus_cap), 4) + IF(TblMagic[[#This Row],[Active Howling]]&gt;0,howling_dp_bonus,IF(TblMagic[[#This Row],[Active Ares Call]]&gt;0,ares_call_bonus))</f>
        <v>0</v>
      </c>
      <c r="V11" s="274" t="e">
        <f aca="false">TblMili[[#This Row],[Non Draft]] * (1 + TblMili[[#This Row],[Mods_Def]])</f>
        <v>#VALUE!</v>
      </c>
      <c r="W11" s="285" t="e">
        <f aca="false">TblMili[[#This Row],[Draft]] * (1 + TblMili[[#This Row],[Mods_Def]])</f>
        <v>#VALUE!</v>
      </c>
      <c r="X11" s="285" t="n">
        <f aca="false">TblConstr[[#This Row],[Land]]</f>
        <v>250</v>
      </c>
      <c r="Y11" s="287"/>
      <c r="Z11" s="109" t="n">
        <f aca="false">IF(TblMili[[#This Row],[Set]]&lt;&gt;"",TblMili[[#This Row],[Set]],OFFSET(TblMili[[#This Row],[Draftrate]],-1,0))</f>
        <v>0.9</v>
      </c>
      <c r="AA11" s="69" t="n">
        <f aca="false">OFFSET(TblMili[[#This Row],[Draftees]],-1,0)+OFFSET(TblPop[[#This Row],[Draft Growth]],-1,0) - SUM(TblMili[[#This Row],[Train Unit 1]:[Train Spies]],TblMili[[#This Row],[Train Wiz]]) - TblMili[[#This Row],[Release Draft]] + SUM(TblMili[[#This Row],[Release Unit 1]:[Release AM]]) - TblExplore[[#This Row],[Draftees (2)]]</f>
        <v>293</v>
      </c>
      <c r="AB11" s="146"/>
      <c r="AC11" s="130" t="n">
        <f aca="false">(TblConstr[[#This Row],[Tot Smi]]+TblConstr[[#This Row],[Dest Smi]])/(TblConstr[[#This Row],[Land]]-TblExplore[[#This Row],[Land Bonus]]*20)</f>
        <v>0</v>
      </c>
      <c r="AD11" s="128"/>
      <c r="AE11" s="282" t="n">
        <f aca="false">TblMili[[#This Row],[Hour]]</f>
        <v>8</v>
      </c>
      <c r="AF11" s="129" t="n">
        <f aca="false">TblExplore[[#This Row],[Time]]</f>
        <v>45430.0416666667</v>
      </c>
      <c r="AG11" s="182"/>
      <c r="AH11" s="182"/>
      <c r="AI11" s="182"/>
      <c r="AJ11" s="182"/>
      <c r="AK11" s="182"/>
      <c r="AL11" s="182"/>
      <c r="AM11" s="182"/>
      <c r="AN11" s="182"/>
      <c r="AO11" s="132"/>
      <c r="AP11" s="69" t="n">
        <f aca="false">TblProd[[#This Row],[Platinum]]</f>
        <v>26399</v>
      </c>
      <c r="AQ11" s="69" t="n">
        <f aca="false">INDEX(TblProd[[#Headers],[Lumber]]:TblProd[[#This Row],[Ore]],COUNTA(TblProd[[#Headers],[Lumber]]:TblProd[[#This Row],[Lumber]]),MATCH(Military!$AQ$2,TblProd[[#Headers],[Lumber]:[Ore]],0))</f>
        <v>0</v>
      </c>
      <c r="AR1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69" t="n">
        <f aca="false">TblMili[[#This Row],[Train Unit 1]]*TblMili[[#This Row],[OP Ore]]+TblMili[[#This Row],[Train Unit 2]]*TblMili[[#This Row],[DP Ore]]+TblMili[[#This Row],[Train Unit 3]]*TblMili[[#This Row],[E1 Ore]]+TblMili[[#This Row],[Train Unit 4]]*TblMili[[#This Row],[E2 Ore]]</f>
        <v>0</v>
      </c>
      <c r="AT11" s="132" t="n">
        <f aca="false">TblMili[[#This Row],[Hour]]</f>
        <v>8</v>
      </c>
      <c r="AU11" s="144" t="n">
        <f aca="false">TblMili[[#This Row],[Time]]</f>
        <v>45430.0416666667</v>
      </c>
      <c r="AV11" s="69" t="n">
        <f aca="false">TblMili[[#This Row],[Draftees]]</f>
        <v>293</v>
      </c>
      <c r="AW11" s="182"/>
      <c r="AX11" s="182"/>
      <c r="AY11" s="182"/>
      <c r="AZ11" s="182"/>
      <c r="BA11" s="182"/>
      <c r="BB11" s="182"/>
      <c r="BC11" s="182"/>
      <c r="BD11" s="182"/>
      <c r="BE11" s="182"/>
      <c r="BF11" s="132"/>
      <c r="BG11" s="150" t="n">
        <f aca="false">TblConstr[[#This Row],[Tot WG]]/TblConstr[[#This Row],[Land]]</f>
        <v>0</v>
      </c>
      <c r="BH11" s="150" t="n">
        <f aca="false">TblConstr[[#This Row],[Tot Hav]]/TblConstr[[#This Row],[Land]]</f>
        <v>0</v>
      </c>
      <c r="BI11" s="69" t="n">
        <f aca="false">ROUNDUP((1-MIN(TblMili[[#This Row],[Smithies]]*smithy_bonus,smithy_bonus_cap) + tech_3_5*TblTech[[#This Row],[3-5]] + tech_5_3*TblTech[[#This Row],[5-3]] + tech_5_5*TblTech[[#This Row],[5-5]])*spec_op_plat,0)</f>
        <v>300</v>
      </c>
      <c r="BJ11" s="69" t="n">
        <f aca="false">ROUNDUP(IF(race="Gnome",1,(1-MIN(TblMili[[#This Row],[Smithies]]*smithy_bonus,smithy_bonus_cap) + tech_3_5*TblTech[[#This Row],[3-5]] + tech_5_3*TblTech[[#This Row],[5-3]] + tech_5_5*TblTech[[#This Row],[5-5]]))*spec_op_ore,0)</f>
        <v>0</v>
      </c>
      <c r="BK11" s="69" t="n">
        <f aca="false">ROUNDUP((1-MIN(TblMili[[#This Row],[Smithies]]*smithy_bonus,smithy_bonus_cap) + tech_3_5*TblTech[[#This Row],[3-5]] + tech_5_3*TblTech[[#This Row],[5-3]] + tech_5_5*TblTech[[#This Row],[5-5]])*spec_dp_plat,0)</f>
        <v>300</v>
      </c>
      <c r="BL11" s="69" t="n">
        <f aca="false">ROUNDUP(IF(race="Gnome",1,(1-MIN(TblMili[[#This Row],[Smithies]]*smithy_bonus,smithy_bonus_cap) + tech_3_5*TblTech[[#This Row],[3-5]] + tech_5_3*TblTech[[#This Row],[5-3]] + tech_5_5*TblTech[[#This Row],[5-5]]))*spec_dp_ore,0)</f>
        <v>0</v>
      </c>
      <c r="BM11" s="69" t="n">
        <f aca="false">ROUNDUP((1-MIN(TblMili[[#This Row],[Smithies]]*smithy_bonus,smithy_bonus_cap) + tech_3_5*TblTech[[#This Row],[3-5]] + tech_5_3*TblTech[[#This Row],[5-3]] + tech_5_5*TblTech[[#This Row],[5-5]])*elite1_plat,0)</f>
        <v>925</v>
      </c>
      <c r="BN11" s="69" t="n">
        <f aca="false">ROUNDUP(IF(race="Gnome",1,(1-MIN(TblMili[[#This Row],[Smithies]]*smithy_bonus,smithy_bonus_cap) + tech_3_5*TblTech[[#This Row],[3-5]] + tech_5_3*TblTech[[#This Row],[5-3]] + tech_5_5*TblTech[[#This Row],[5-5]]))*elite1_ore,0)</f>
        <v>0</v>
      </c>
      <c r="BO11" s="69" t="n">
        <f aca="false">ROUNDUP((1-MIN(TblMili[[#This Row],[Smithies]]*smithy_bonus,smithy_bonus_cap) + tech_3_5*TblTech[[#This Row],[3-5]] + tech_5_3*TblTech[[#This Row],[5-3]] + tech_5_5*TblTech[[#This Row],[5-5]])*elite2_plat,0)</f>
        <v>950</v>
      </c>
      <c r="BP11" s="69" t="n">
        <f aca="false">ROUNDUP(IF(race="Gnome",1,(1-MIN(TblMili[[#This Row],[Smithies]]*smithy_bonus,smithy_bonus_cap) + tech_3_5*TblTech[[#This Row],[3-5]] + tech_5_3*TblTech[[#This Row],[5-3]] + tech_5_5*TblTech[[#This Row],[5-5]]))*elite2_ore,0)</f>
        <v>0</v>
      </c>
      <c r="BQ11" s="69" t="n">
        <f aca="false">ROUNDUP((1-MIN(ROUND(fh_spy_cost_red*TblMili[[#This Row],[FH''s]],4),fh_spy_cost_cap)+ tech_1_9*TblTech[[#This Row],[1-9]] + tech_9_1*TblTech[[#This Row],[9-1]])*spy_plat,0)</f>
        <v>500</v>
      </c>
      <c r="BR11" s="69" t="n">
        <f aca="false">ROUNDUP((1-MIN(ROUND(fh_spy_cost_red*TblMili[[#This Row],[FH''s]],4),fh_spy_cost_cap)+ tech_1_9*TblTech[[#This Row],[1-9]] + tech_9_1*TblTech[[#This Row],[9-1]])*archspy_plat,0)</f>
        <v>1000</v>
      </c>
      <c r="BS11" s="69" t="n">
        <f aca="false">ROUNDUP((1-MIN(ROUND(wg_wiz_cost_bonus*TblMili[[#This Row],[WG''s]],4),wg_wiz_cost_cap) + tech_1_9_2*TblTech[[#This Row],[1-9]] + tech_9_1_2*TblTech[[#This Row],[9-1]])*wizard_plat,0)</f>
        <v>500</v>
      </c>
      <c r="BT11" s="69" t="n">
        <f aca="false">ROUNDUP((1-MIN(ROUND(wg_wiz_cost_bonus*TblMili[[#This Row],[WG''s]],4),wg_wiz_cost_cap) + tech_1_9_2*TblTech[[#This Row],[1-9]] + tech_9_1_2*TblTech[[#This Row],[9-1]])*archmage_plat,0)</f>
        <v>1000</v>
      </c>
      <c r="BU11" s="132"/>
      <c r="BV11" s="150" t="e">
        <f aca="false">TblConstr[[#This Row],[Homeland]]/TblConstr[[#This Row],[Land]]</f>
        <v>#VALUE!</v>
      </c>
      <c r="BW11" s="150" t="n">
        <f aca="false">TblMili[[#This Row],[WG''s]]</f>
        <v>0</v>
      </c>
      <c r="BX11" s="288" t="e">
        <f aca="false">IF(mystic_cap="none",TblMili[[#This Row],[Hill]]/mystic_bonus,MIN(mystic_cap,TblMili[[#This Row],[Hill]]/mystic_bonus))</f>
        <v>#VALUE!</v>
      </c>
      <c r="BY11" s="288" t="e">
        <f aca="false">IF(druid_op_cap="none",TblMili[[#This Row],[Hill]]/druid_op_bonus,MIN(druid_op_cap,TblMili[[#This Row],[Hill]]/druid_op_bonus))</f>
        <v>#VALUE!</v>
      </c>
      <c r="BZ11" s="288" t="e">
        <f aca="false">IF(druid_dp_cap="none",TblMili[[#This Row],[Hill]]/druid_dp_bonus,MIN(druid_dp_cap,TblMili[[#This Row],[Hill]]/druid_dp_bonus))</f>
        <v>#VALUE!</v>
      </c>
      <c r="CA11" s="288" t="e">
        <f aca="false">MIN(dryad_cap,TblMili[[#This Row],[Hill]]/dryad_bonus)</f>
        <v>#VALUE!</v>
      </c>
      <c r="CB11" s="288" t="e">
        <f aca="false">MIN(rocka_cap,TblMili[[#This Row],[Hill]]/rocka_bonus)</f>
        <v>#VALUE!</v>
      </c>
      <c r="CC11" s="288" t="n">
        <f aca="false">MIN(adept_op_cap,TblMili[[#This Row],[WG]]/adept_op_bonus)</f>
        <v>0</v>
      </c>
      <c r="CD11" s="288" t="n">
        <f aca="false">MIN(adept_dp_cap,TblMili[[#This Row],[WG]]/adept_dp_bonus)</f>
        <v>0</v>
      </c>
      <c r="CE11" s="69" t="n">
        <f aca="false">MIN(TblMili[[#This Row],[Unit 3]],TblMili[[#This Row],[Unit 2]])*2</f>
        <v>0</v>
      </c>
      <c r="CF11" s="69" t="n">
        <f aca="false">MIN(TblMili[[#This Row],[Unit 1]],TblMili[[#This Row],[Unit 4]])*2</f>
        <v>0</v>
      </c>
      <c r="CG11" s="288" t="e">
        <f aca="false">MIN(frost_mage_cap,TblMili[[#This Row],[Hill]]/frost_mage_bonus)</f>
        <v>#VALUE!</v>
      </c>
      <c r="CH11" s="151" t="n">
        <f aca="false">MIN(ice_elem_cap,TblMili[[#This Row],[Raw (2)]]*ice_elem_bonus)</f>
        <v>0</v>
      </c>
      <c r="CI11" s="288" t="n">
        <f aca="false">MIN(bone_breaker_cap,250/bone_breaker_bonus)</f>
        <v>0.833333333333333</v>
      </c>
      <c r="CJ11" s="288" t="e">
        <f aca="false">MIN(nox_nightshade_cap,TblConstr[[#This Row],[Homeland]]/TblConstr[[#This Row],[Land]]/nox_nightshade_swamp_bonus)</f>
        <v>#VALUE!</v>
      </c>
      <c r="CK11" s="289" t="s">
        <v>125</v>
      </c>
      <c r="CL11" s="292" t="b">
        <f aca="false">race=CK11</f>
        <v>0</v>
      </c>
      <c r="CM11" s="289"/>
      <c r="CN11" s="288" t="e">
        <f aca="false">MIN(6,TblMili[[#This Row],[Mystic]]+Races!$F$19)*1.8 +  IF(TblMili[[#This Row],[Mystic]]+Races!$F$19&gt;6,(TblMili[[#This Row],[Mystic]]+Races!$F$19-6)*0.2,0) - Races!$I$19</f>
        <v>#VALUE!</v>
      </c>
      <c r="CO11" s="288" t="e">
        <f aca="false">1.8 * MIN(MAX(TblMili[[#This Row],[Druid (op)]]+Races!$E$20,TblMili[[#This Row],[Druid (dp)]]+Races!$F$20),6)  +  0.45 * MIN(MIN(TblMili[[#This Row],[Druid (op)]]+Races!$E$20,TblMili[[#This Row],[Druid (dp)]]+Races!$F$20),6)  +  0.2 * ( MAX(TblMili[[#This Row],[Druid (op)]]+Races!$E$20-6,0) + MAX(TblMili[[#This Row],[Druid (dp)]]+Races!$F$20-6,0) )  -  Races!$I$20</f>
        <v>#VALUE!</v>
      </c>
      <c r="CP11" s="69" t="e">
        <f aca="false">TblMili[[#This Row],[Mystic bonus]]*TblMili[[#This Row],[Unit 3]]+TblMili[[#This Row],[Druid bonus]]*TblMili[[#This Row],[Unit 4]]</f>
        <v>#VALUE!</v>
      </c>
      <c r="CQ11" s="148" t="e">
        <f aca="false">MIN(6,TblMili[[#This Row],[Dryad]]+Races!$F$35)*1.8 +  IF(TblMili[[#This Row],[Dryad]]+Races!$F$35&gt;6,(TblMili[[#This Row],[Dryad]]+Races!$F$35-6)*0.2,0) - Races!$I$19</f>
        <v>#VALUE!</v>
      </c>
      <c r="CR11" s="69" t="e">
        <f aca="false">sylvan*(TblMili[[#This Row],[Mystic bonus]]*TblMili[[#This Row],[Unit 3]])</f>
        <v>#VALUE!</v>
      </c>
      <c r="CS11" s="148" t="e">
        <f aca="false">1.8 * MIN(MAX(Races!$E$27,TblMili[[#This Row],[Rockapult]]+Races!$F$27),6)  +  0.45 * MIN(MIN(Races!$E$27,TblMili[[#This Row],[Rockapult]]+Races!$F$27),6)  +  0.2 * ( MAX(Races!$E$27-6,0) + MAX(TblMili[[#This Row],[Rockapult]]+Races!$F$27-6,0) )  -  Races!$I$20</f>
        <v>#VALUE!</v>
      </c>
      <c r="CT11" s="69" t="e">
        <f aca="false">gnome*(TblMili[[#This Row],[Rockapult bonus]]*TblMili[[#This Row],[Unit 3]])</f>
        <v>#VALUE!</v>
      </c>
      <c r="CU11" s="148" t="n">
        <f aca="false">1.8 * MIN(MAX(TblMili[[#This Row],[Spellblade]]+Races!$E$47,TblMili[[#This Row],[Adept-DP]]+Races!$F$47),6)  +  0.45 * MIN(MIN(TblMili[[#This Row],[Spellblade]]+Races!$E$47,TblMili[[#This Row],[Adept-DP]]+Races!$F$47),6)  +  0.2 * ( MAX(TblMili[[#This Row],[Spellblade]]+Races!$E$47-6,0) + MAX(TblMili[[#This Row],[Adept-DP]]+Races!$F$47-6,0) )  -  Races!$I$47</f>
        <v>0</v>
      </c>
      <c r="CV11" s="69" t="n">
        <f aca="false">dark_elf*(TblMili[[#This Row],[Adept bonus]]*TblMili[[#This Row],[Unit 3]])</f>
        <v>0</v>
      </c>
      <c r="CW11" s="148" t="e">
        <f aca="false">1.8 * MIN(MAX(TblMili[[#This Row],[Frost Mage]]+Races!$F$71,Races!$E$71),6)  +  0.45 * MIN(MIN(TblMili[[#This Row],[Frost Mage]]+Races!$F$71,Races!$E$71),6)  +  0.2 * ( MAX(TblMili[[#This Row],[Frost Mage]]+Races!$F$71-6,0) + MAX(Races!$E$71-6,0) )  -  Races!$I$71</f>
        <v>#VALUE!</v>
      </c>
      <c r="CX11" s="148" t="n">
        <f aca="false">1.8 * MIN(MAX(TblMili[[#This Row],[Ice Elemental]]+Races!$E$71,Races!$F$71),6)  +  0.45 * MIN(MIN(TblMili[[#This Row],[Ice Elemental]]+Races!$E$71,Races!$F$71),6)  +  0.2 * ( MAX(TblMili[[#This Row],[Ice Elemental]]+Races!$E$71-6,0) + MAX(Races!$F$71-6,0) )  -  Races!$I$71</f>
        <v>0</v>
      </c>
      <c r="CY11" s="69" t="e">
        <f aca="false">TblMili[[#This Row],[Frost Mage bonus]]*TblMili[[#This Row],[Unit 3]]+TblMili[[#This Row],[Ice Elemental bonus]]*TblMili[[#This Row],[Unit 4]]</f>
        <v>#VALUE!</v>
      </c>
      <c r="CZ11" s="290"/>
      <c r="DA11" s="109" t="n">
        <f aca="false">MIN(SUM(TblConstr[[#This Row],[Plain]:[Water]])/TblMili[[#This Row],[Land]]/favorable_terrain_bonus/100,favorable_terrain_max)</f>
        <v>0.1</v>
      </c>
      <c r="DB11" s="290"/>
      <c r="DC1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 s="132"/>
      <c r="DE11" s="291" t="n">
        <f aca="false">(TblMili[[#This Row],[Wizards]]+2*TblMili[[#This Row],[Archmages]])/TblConstr[[#This Row],[Land]]</f>
        <v>0</v>
      </c>
      <c r="DF11" s="291" t="n">
        <f aca="false">TblMili[[#This Row],[Raw (2)]]*(1+race_wizard_strength+IF(TblMili[[#This Row],[Hour]]&gt;72,tech_magical_weaponry_wiz*TblTech[[#This Row],[3-5]],0))</f>
        <v>0</v>
      </c>
    </row>
    <row r="12" customFormat="false" ht="12.75" hidden="false" customHeight="false" outlineLevel="0" collapsed="false">
      <c r="A12" s="128" t="n">
        <f aca="false">TblRezone[[#This Row],[Hour]]</f>
        <v>9</v>
      </c>
      <c r="B12" s="282" t="n">
        <f aca="false">SUM(TblMili[[#This Row],[Unit 1]:[Archmages]])+SUM(OFFSET(TblMili[[#This Row],[Train Unit 1]],-8,0):TblMili[[#This Row],[Train Unit 4]])+TblMili[[#This Row],[Draftees]]</f>
        <v>304</v>
      </c>
      <c r="C12" s="150" t="n">
        <f aca="false">TblPop[[#This Row],[Military%]]</f>
        <v>0.166758091058694</v>
      </c>
      <c r="D12" s="132"/>
      <c r="E12" s="151" t="n">
        <f aca="false">OFFSET(TblMili[[#This Row],[Unit 1]],-1,0) - TblMili[[#This Row],[Release Unit 1]]</f>
        <v>0</v>
      </c>
      <c r="F12" s="151" t="n">
        <f aca="false">OFFSET(TblMili[[#This Row],[Unit 2]],-1,0)-TblMili[[#This Row],[Release Unit 2]]</f>
        <v>0</v>
      </c>
      <c r="G12" s="151" t="n">
        <f aca="false">OFFSET(TblMili[[#This Row],[Unit 3]],-1,0)-TblMili[[#This Row],[Release Unit 3]]</f>
        <v>0</v>
      </c>
      <c r="H12" s="151" t="n">
        <f aca="false">OFFSET(TblMili[[#This Row],[Unit 4]],-1,0)-TblMili[[#This Row],[Release Unit 4]]</f>
        <v>0</v>
      </c>
      <c r="I12" s="151" t="n">
        <f aca="false">OFFSET(TblMili[[#This Row],[Spies]],-1,0)-TblMili[[#This Row],[Release Spies]]-TblMili[[#This Row],[Train AS]]</f>
        <v>0</v>
      </c>
      <c r="J12" s="151" t="n">
        <f aca="false">OFFSET(TblMili[[#This Row],[Archspies]],-1,0)-TblMili[[#This Row],[Release AS]]</f>
        <v>0</v>
      </c>
      <c r="K12" s="151" t="n">
        <f aca="false">OFFSET(TblMili[[#This Row],[Wizards]],-1,0)-TblMili[[#This Row],[Release Wizards]]-TblMili[[#This Row],[Train AM]]</f>
        <v>0</v>
      </c>
      <c r="L12" s="151" t="n">
        <f aca="false">OFFSET(TblMili[[#This Row],[Archmages]],-1,0)-TblMili[[#This Row],[Release AM]]</f>
        <v>0</v>
      </c>
      <c r="M12" s="132"/>
      <c r="N12" s="69" t="e">
        <f aca="false">TblProd[[#This Row],[Networth]]</f>
        <v>#VALUE!</v>
      </c>
      <c r="O12" s="132"/>
      <c r="P1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 s="285" t="e">
        <f aca="false">TblMili[[#This Row],[Raw]]*(1+TblMili[[#This Row],[Mods_Off]])</f>
        <v>#VALUE!</v>
      </c>
      <c r="S1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 s="285" t="e">
        <f aca="false">TblMili[[#This Row],[Non Draft]]+TblMili[[#This Row],[Draftees]]</f>
        <v>#VALUE!</v>
      </c>
      <c r="U12" s="286" t="n">
        <f aca="false">race_defense + TblImps[[#This Row],[Walls]] + ROUND( MIN(gt_bonus*TblConstr[[#This Row],[Tot GT]]/TblConstr[[#This Row],[Land]],gt_bonus_cap), 4) + IF(TblMagic[[#This Row],[Active Howling]]&gt;0,howling_dp_bonus,IF(TblMagic[[#This Row],[Active Ares Call]]&gt;0,ares_call_bonus))</f>
        <v>0</v>
      </c>
      <c r="V12" s="274" t="e">
        <f aca="false">TblMili[[#This Row],[Non Draft]] * (1 + TblMili[[#This Row],[Mods_Def]])</f>
        <v>#VALUE!</v>
      </c>
      <c r="W12" s="285" t="e">
        <f aca="false">TblMili[[#This Row],[Draft]] * (1 + TblMili[[#This Row],[Mods_Def]])</f>
        <v>#VALUE!</v>
      </c>
      <c r="X12" s="285" t="n">
        <f aca="false">TblConstr[[#This Row],[Land]]</f>
        <v>250</v>
      </c>
      <c r="Y12" s="287"/>
      <c r="Z12" s="109" t="n">
        <f aca="false">IF(TblMili[[#This Row],[Set]]&lt;&gt;"",TblMili[[#This Row],[Set]],OFFSET(TblMili[[#This Row],[Draftrate]],-1,0))</f>
        <v>0.9</v>
      </c>
      <c r="AA12" s="69" t="n">
        <f aca="false">OFFSET(TblMili[[#This Row],[Draftees]],-1,0)+OFFSET(TblPop[[#This Row],[Draft Growth]],-1,0) - SUM(TblMili[[#This Row],[Train Unit 1]:[Train Spies]],TblMili[[#This Row],[Train Wiz]]) - TblMili[[#This Row],[Release Draft]] + SUM(TblMili[[#This Row],[Release Unit 1]:[Release AM]]) - TblExplore[[#This Row],[Draftees (2)]]</f>
        <v>304</v>
      </c>
      <c r="AB12" s="146"/>
      <c r="AC12" s="130" t="n">
        <f aca="false">(TblConstr[[#This Row],[Tot Smi]]+TblConstr[[#This Row],[Dest Smi]])/(TblConstr[[#This Row],[Land]]-TblExplore[[#This Row],[Land Bonus]]*20)</f>
        <v>0</v>
      </c>
      <c r="AD12" s="128"/>
      <c r="AE12" s="282" t="n">
        <f aca="false">TblMili[[#This Row],[Hour]]</f>
        <v>9</v>
      </c>
      <c r="AF12" s="129" t="n">
        <f aca="false">TblExplore[[#This Row],[Time]]</f>
        <v>45430.0833333333</v>
      </c>
      <c r="AG12" s="182"/>
      <c r="AH12" s="182"/>
      <c r="AI12" s="182"/>
      <c r="AJ12" s="182"/>
      <c r="AK12" s="182"/>
      <c r="AL12" s="182"/>
      <c r="AM12" s="182"/>
      <c r="AN12" s="182"/>
      <c r="AO12" s="132"/>
      <c r="AP12" s="69" t="n">
        <f aca="false">TblProd[[#This Row],[Platinum]]</f>
        <v>31372</v>
      </c>
      <c r="AQ12" s="69" t="n">
        <f aca="false">INDEX(TblProd[[#Headers],[Lumber]]:TblProd[[#This Row],[Ore]],COUNTA(TblProd[[#Headers],[Lumber]]:TblProd[[#This Row],[Lumber]]),MATCH(Military!$AQ$2,TblProd[[#Headers],[Lumber]:[Ore]],0))</f>
        <v>0</v>
      </c>
      <c r="AR1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69" t="n">
        <f aca="false">TblMili[[#This Row],[Train Unit 1]]*TblMili[[#This Row],[OP Ore]]+TblMili[[#This Row],[Train Unit 2]]*TblMili[[#This Row],[DP Ore]]+TblMili[[#This Row],[Train Unit 3]]*TblMili[[#This Row],[E1 Ore]]+TblMili[[#This Row],[Train Unit 4]]*TblMili[[#This Row],[E2 Ore]]</f>
        <v>0</v>
      </c>
      <c r="AT12" s="132" t="n">
        <f aca="false">TblMili[[#This Row],[Hour]]</f>
        <v>9</v>
      </c>
      <c r="AU12" s="144" t="n">
        <f aca="false">TblMili[[#This Row],[Time]]</f>
        <v>45430.0833333333</v>
      </c>
      <c r="AV12" s="69" t="n">
        <f aca="false">TblMili[[#This Row],[Draftees]]</f>
        <v>304</v>
      </c>
      <c r="AW12" s="182"/>
      <c r="AX12" s="182"/>
      <c r="AY12" s="182"/>
      <c r="AZ12" s="182"/>
      <c r="BA12" s="182"/>
      <c r="BB12" s="182"/>
      <c r="BC12" s="182"/>
      <c r="BD12" s="182"/>
      <c r="BE12" s="182"/>
      <c r="BF12" s="132"/>
      <c r="BG12" s="150" t="n">
        <f aca="false">TblConstr[[#This Row],[Tot WG]]/TblConstr[[#This Row],[Land]]</f>
        <v>0</v>
      </c>
      <c r="BH12" s="150" t="n">
        <f aca="false">TblConstr[[#This Row],[Tot Hav]]/TblConstr[[#This Row],[Land]]</f>
        <v>0</v>
      </c>
      <c r="BI12" s="69" t="n">
        <f aca="false">ROUNDUP((1-MIN(TblMili[[#This Row],[Smithies]]*smithy_bonus,smithy_bonus_cap) + tech_3_5*TblTech[[#This Row],[3-5]] + tech_5_3*TblTech[[#This Row],[5-3]] + tech_5_5*TblTech[[#This Row],[5-5]])*spec_op_plat,0)</f>
        <v>300</v>
      </c>
      <c r="BJ12" s="69" t="n">
        <f aca="false">ROUNDUP(IF(race="Gnome",1,(1-MIN(TblMili[[#This Row],[Smithies]]*smithy_bonus,smithy_bonus_cap) + tech_3_5*TblTech[[#This Row],[3-5]] + tech_5_3*TblTech[[#This Row],[5-3]] + tech_5_5*TblTech[[#This Row],[5-5]]))*spec_op_ore,0)</f>
        <v>0</v>
      </c>
      <c r="BK12" s="69" t="n">
        <f aca="false">ROUNDUP((1-MIN(TblMili[[#This Row],[Smithies]]*smithy_bonus,smithy_bonus_cap) + tech_3_5*TblTech[[#This Row],[3-5]] + tech_5_3*TblTech[[#This Row],[5-3]] + tech_5_5*TblTech[[#This Row],[5-5]])*spec_dp_plat,0)</f>
        <v>300</v>
      </c>
      <c r="BL12" s="69" t="n">
        <f aca="false">ROUNDUP(IF(race="Gnome",1,(1-MIN(TblMili[[#This Row],[Smithies]]*smithy_bonus,smithy_bonus_cap) + tech_3_5*TblTech[[#This Row],[3-5]] + tech_5_3*TblTech[[#This Row],[5-3]] + tech_5_5*TblTech[[#This Row],[5-5]]))*spec_dp_ore,0)</f>
        <v>0</v>
      </c>
      <c r="BM12" s="69" t="n">
        <f aca="false">ROUNDUP((1-MIN(TblMili[[#This Row],[Smithies]]*smithy_bonus,smithy_bonus_cap) + tech_3_5*TblTech[[#This Row],[3-5]] + tech_5_3*TblTech[[#This Row],[5-3]] + tech_5_5*TblTech[[#This Row],[5-5]])*elite1_plat,0)</f>
        <v>925</v>
      </c>
      <c r="BN12" s="69" t="n">
        <f aca="false">ROUNDUP(IF(race="Gnome",1,(1-MIN(TblMili[[#This Row],[Smithies]]*smithy_bonus,smithy_bonus_cap) + tech_3_5*TblTech[[#This Row],[3-5]] + tech_5_3*TblTech[[#This Row],[5-3]] + tech_5_5*TblTech[[#This Row],[5-5]]))*elite1_ore,0)</f>
        <v>0</v>
      </c>
      <c r="BO12" s="69" t="n">
        <f aca="false">ROUNDUP((1-MIN(TblMili[[#This Row],[Smithies]]*smithy_bonus,smithy_bonus_cap) + tech_3_5*TblTech[[#This Row],[3-5]] + tech_5_3*TblTech[[#This Row],[5-3]] + tech_5_5*TblTech[[#This Row],[5-5]])*elite2_plat,0)</f>
        <v>950</v>
      </c>
      <c r="BP12" s="69" t="n">
        <f aca="false">ROUNDUP(IF(race="Gnome",1,(1-MIN(TblMili[[#This Row],[Smithies]]*smithy_bonus,smithy_bonus_cap) + tech_3_5*TblTech[[#This Row],[3-5]] + tech_5_3*TblTech[[#This Row],[5-3]] + tech_5_5*TblTech[[#This Row],[5-5]]))*elite2_ore,0)</f>
        <v>0</v>
      </c>
      <c r="BQ12" s="69" t="n">
        <f aca="false">ROUNDUP((1-MIN(ROUND(fh_spy_cost_red*TblMili[[#This Row],[FH''s]],4),fh_spy_cost_cap)+ tech_1_9*TblTech[[#This Row],[1-9]] + tech_9_1*TblTech[[#This Row],[9-1]])*spy_plat,0)</f>
        <v>500</v>
      </c>
      <c r="BR12" s="69" t="n">
        <f aca="false">ROUNDUP((1-MIN(ROUND(fh_spy_cost_red*TblMili[[#This Row],[FH''s]],4),fh_spy_cost_cap)+ tech_1_9*TblTech[[#This Row],[1-9]] + tech_9_1*TblTech[[#This Row],[9-1]])*archspy_plat,0)</f>
        <v>1000</v>
      </c>
      <c r="BS12" s="69" t="n">
        <f aca="false">ROUNDUP((1-MIN(ROUND(wg_wiz_cost_bonus*TblMili[[#This Row],[WG''s]],4),wg_wiz_cost_cap) + tech_1_9_2*TblTech[[#This Row],[1-9]] + tech_9_1_2*TblTech[[#This Row],[9-1]])*wizard_plat,0)</f>
        <v>500</v>
      </c>
      <c r="BT12" s="69" t="n">
        <f aca="false">ROUNDUP((1-MIN(ROUND(wg_wiz_cost_bonus*TblMili[[#This Row],[WG''s]],4),wg_wiz_cost_cap) + tech_1_9_2*TblTech[[#This Row],[1-9]] + tech_9_1_2*TblTech[[#This Row],[9-1]])*archmage_plat,0)</f>
        <v>1000</v>
      </c>
      <c r="BU12" s="132"/>
      <c r="BV12" s="150" t="e">
        <f aca="false">TblConstr[[#This Row],[Homeland]]/TblConstr[[#This Row],[Land]]</f>
        <v>#VALUE!</v>
      </c>
      <c r="BW12" s="150" t="n">
        <f aca="false">TblMili[[#This Row],[WG''s]]</f>
        <v>0</v>
      </c>
      <c r="BX12" s="288" t="e">
        <f aca="false">IF(mystic_cap="none",TblMili[[#This Row],[Hill]]/mystic_bonus,MIN(mystic_cap,TblMili[[#This Row],[Hill]]/mystic_bonus))</f>
        <v>#VALUE!</v>
      </c>
      <c r="BY12" s="288" t="e">
        <f aca="false">IF(druid_op_cap="none",TblMili[[#This Row],[Hill]]/druid_op_bonus,MIN(druid_op_cap,TblMili[[#This Row],[Hill]]/druid_op_bonus))</f>
        <v>#VALUE!</v>
      </c>
      <c r="BZ12" s="288" t="e">
        <f aca="false">IF(druid_dp_cap="none",TblMili[[#This Row],[Hill]]/druid_dp_bonus,MIN(druid_dp_cap,TblMili[[#This Row],[Hill]]/druid_dp_bonus))</f>
        <v>#VALUE!</v>
      </c>
      <c r="CA12" s="288" t="e">
        <f aca="false">MIN(dryad_cap,TblMili[[#This Row],[Hill]]/dryad_bonus)</f>
        <v>#VALUE!</v>
      </c>
      <c r="CB12" s="288" t="e">
        <f aca="false">MIN(rocka_cap,TblMili[[#This Row],[Hill]]/rocka_bonus)</f>
        <v>#VALUE!</v>
      </c>
      <c r="CC12" s="288" t="n">
        <f aca="false">MIN(adept_op_cap,TblMili[[#This Row],[WG]]/adept_op_bonus)</f>
        <v>0</v>
      </c>
      <c r="CD12" s="288" t="n">
        <f aca="false">MIN(adept_dp_cap,TblMili[[#This Row],[WG]]/adept_dp_bonus)</f>
        <v>0</v>
      </c>
      <c r="CE12" s="69" t="n">
        <f aca="false">MIN(TblMili[[#This Row],[Unit 3]],TblMili[[#This Row],[Unit 2]])*2</f>
        <v>0</v>
      </c>
      <c r="CF12" s="69" t="n">
        <f aca="false">MIN(TblMili[[#This Row],[Unit 1]],TblMili[[#This Row],[Unit 4]])*2</f>
        <v>0</v>
      </c>
      <c r="CG12" s="288" t="e">
        <f aca="false">MIN(frost_mage_cap,TblMili[[#This Row],[Hill]]/frost_mage_bonus)</f>
        <v>#VALUE!</v>
      </c>
      <c r="CH12" s="151" t="n">
        <f aca="false">MIN(ice_elem_cap,TblMili[[#This Row],[Raw (2)]]*ice_elem_bonus)</f>
        <v>0</v>
      </c>
      <c r="CI12" s="288" t="n">
        <f aca="false">MIN(bone_breaker_cap,250/bone_breaker_bonus)</f>
        <v>0.833333333333333</v>
      </c>
      <c r="CJ12" s="288" t="e">
        <f aca="false">MIN(nox_nightshade_cap,TblConstr[[#This Row],[Homeland]]/TblConstr[[#This Row],[Land]]/nox_nightshade_swamp_bonus)</f>
        <v>#VALUE!</v>
      </c>
      <c r="CK12" s="289" t="s">
        <v>128</v>
      </c>
      <c r="CL12" s="292" t="b">
        <f aca="false">race=CK12</f>
        <v>0</v>
      </c>
      <c r="CM12" s="289"/>
      <c r="CN12" s="288" t="e">
        <f aca="false">MIN(6,TblMili[[#This Row],[Mystic]]+Races!$F$19)*1.8 +  IF(TblMili[[#This Row],[Mystic]]+Races!$F$19&gt;6,(TblMili[[#This Row],[Mystic]]+Races!$F$19-6)*0.2,0) - Races!$I$19</f>
        <v>#VALUE!</v>
      </c>
      <c r="CO12" s="288" t="e">
        <f aca="false">1.8 * MIN(MAX(TblMili[[#This Row],[Druid (op)]]+Races!$E$20,TblMili[[#This Row],[Druid (dp)]]+Races!$F$20),6)  +  0.45 * MIN(MIN(TblMili[[#This Row],[Druid (op)]]+Races!$E$20,TblMili[[#This Row],[Druid (dp)]]+Races!$F$20),6)  +  0.2 * ( MAX(TblMili[[#This Row],[Druid (op)]]+Races!$E$20-6,0) + MAX(TblMili[[#This Row],[Druid (dp)]]+Races!$F$20-6,0) )  -  Races!$I$20</f>
        <v>#VALUE!</v>
      </c>
      <c r="CP12" s="69" t="e">
        <f aca="false">TblMili[[#This Row],[Mystic bonus]]*TblMili[[#This Row],[Unit 3]]+TblMili[[#This Row],[Druid bonus]]*TblMili[[#This Row],[Unit 4]]</f>
        <v>#VALUE!</v>
      </c>
      <c r="CQ12" s="148" t="e">
        <f aca="false">MIN(6,TblMili[[#This Row],[Dryad]]+Races!$F$35)*1.8 +  IF(TblMili[[#This Row],[Dryad]]+Races!$F$35&gt;6,(TblMili[[#This Row],[Dryad]]+Races!$F$35-6)*0.2,0) - Races!$I$19</f>
        <v>#VALUE!</v>
      </c>
      <c r="CR12" s="69" t="e">
        <f aca="false">sylvan*(TblMili[[#This Row],[Mystic bonus]]*TblMili[[#This Row],[Unit 3]])</f>
        <v>#VALUE!</v>
      </c>
      <c r="CS12" s="148" t="e">
        <f aca="false">1.8 * MIN(MAX(Races!$E$27,TblMili[[#This Row],[Rockapult]]+Races!$F$27),6)  +  0.45 * MIN(MIN(Races!$E$27,TblMili[[#This Row],[Rockapult]]+Races!$F$27),6)  +  0.2 * ( MAX(Races!$E$27-6,0) + MAX(TblMili[[#This Row],[Rockapult]]+Races!$F$27-6,0) )  -  Races!$I$20</f>
        <v>#VALUE!</v>
      </c>
      <c r="CT12" s="69" t="e">
        <f aca="false">gnome*(TblMili[[#This Row],[Rockapult bonus]]*TblMili[[#This Row],[Unit 3]])</f>
        <v>#VALUE!</v>
      </c>
      <c r="CU12" s="148" t="n">
        <f aca="false">1.8 * MIN(MAX(TblMili[[#This Row],[Spellblade]]+Races!$E$47,TblMili[[#This Row],[Adept-DP]]+Races!$F$47),6)  +  0.45 * MIN(MIN(TblMili[[#This Row],[Spellblade]]+Races!$E$47,TblMili[[#This Row],[Adept-DP]]+Races!$F$47),6)  +  0.2 * ( MAX(TblMili[[#This Row],[Spellblade]]+Races!$E$47-6,0) + MAX(TblMili[[#This Row],[Adept-DP]]+Races!$F$47-6,0) )  -  Races!$I$47</f>
        <v>0</v>
      </c>
      <c r="CV12" s="69" t="n">
        <f aca="false">dark_elf*(TblMili[[#This Row],[Adept bonus]]*TblMili[[#This Row],[Unit 3]])</f>
        <v>0</v>
      </c>
      <c r="CW12" s="148" t="e">
        <f aca="false">1.8 * MIN(MAX(TblMili[[#This Row],[Frost Mage]]+Races!$F$71,Races!$E$71),6)  +  0.45 * MIN(MIN(TblMili[[#This Row],[Frost Mage]]+Races!$F$71,Races!$E$71),6)  +  0.2 * ( MAX(TblMili[[#This Row],[Frost Mage]]+Races!$F$71-6,0) + MAX(Races!$E$71-6,0) )  -  Races!$I$71</f>
        <v>#VALUE!</v>
      </c>
      <c r="CX12" s="148" t="n">
        <f aca="false">1.8 * MIN(MAX(TblMili[[#This Row],[Ice Elemental]]+Races!$E$71,Races!$F$71),6)  +  0.45 * MIN(MIN(TblMili[[#This Row],[Ice Elemental]]+Races!$E$71,Races!$F$71),6)  +  0.2 * ( MAX(TblMili[[#This Row],[Ice Elemental]]+Races!$E$71-6,0) + MAX(Races!$F$71-6,0) )  -  Races!$I$71</f>
        <v>0</v>
      </c>
      <c r="CY12" s="69" t="e">
        <f aca="false">TblMili[[#This Row],[Frost Mage bonus]]*TblMili[[#This Row],[Unit 3]]+TblMili[[#This Row],[Ice Elemental bonus]]*TblMili[[#This Row],[Unit 4]]</f>
        <v>#VALUE!</v>
      </c>
      <c r="CZ12" s="290"/>
      <c r="DA12" s="109" t="n">
        <f aca="false">MIN(SUM(TblConstr[[#This Row],[Plain]:[Water]])/TblMili[[#This Row],[Land]]/favorable_terrain_bonus/100,favorable_terrain_max)</f>
        <v>0.1</v>
      </c>
      <c r="DB12" s="290"/>
      <c r="DC1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 s="132"/>
      <c r="DE12" s="291" t="n">
        <f aca="false">(TblMili[[#This Row],[Wizards]]+2*TblMili[[#This Row],[Archmages]])/TblConstr[[#This Row],[Land]]</f>
        <v>0</v>
      </c>
      <c r="DF12" s="291" t="n">
        <f aca="false">TblMili[[#This Row],[Raw (2)]]*(1+race_wizard_strength+IF(TblMili[[#This Row],[Hour]]&gt;72,tech_magical_weaponry_wiz*TblTech[[#This Row],[3-5]],0))</f>
        <v>0</v>
      </c>
    </row>
    <row r="13" customFormat="false" ht="12.75" hidden="false" customHeight="false" outlineLevel="0" collapsed="false">
      <c r="A13" s="128" t="n">
        <f aca="false">TblRezone[[#This Row],[Hour]]</f>
        <v>10</v>
      </c>
      <c r="B13" s="282" t="n">
        <f aca="false">SUM(TblMili[[#This Row],[Unit 1]:[Archmages]])+SUM(OFFSET(TblMili[[#This Row],[Train Unit 1]],-8,0):TblMili[[#This Row],[Train Unit 2]]) + SUM(OFFSET(TblMili[[#This Row],[Train Unit 3]],-9,0):TblMili[[#This Row],[Train Unit 4]]) + TblMili[[#This Row],[Draftees]]</f>
        <v>315</v>
      </c>
      <c r="C13" s="150" t="n">
        <f aca="false">TblPop[[#This Row],[Military%]]</f>
        <v>0.168991416309013</v>
      </c>
      <c r="D13" s="132"/>
      <c r="E13" s="151" t="n">
        <f aca="false">OFFSET(TblMili[[#This Row],[Unit 1]],-1,0) + OFFSET(TblMili[[#This Row],[Train Unit 1]],-9,0) - TblMili[[#This Row],[Release Unit 1]]</f>
        <v>0</v>
      </c>
      <c r="F13" s="151" t="n">
        <f aca="false">OFFSET(TblMili[[#This Row],[Unit 2]],-1,0) + OFFSET(TblMili[[#This Row],[Train Unit 2]],-9,0)-TblMili[[#This Row],[Release Unit 2]]</f>
        <v>0</v>
      </c>
      <c r="G13" s="151" t="n">
        <f aca="false">OFFSET(TblMili[[#This Row],[Unit 3]],-1,0)-TblMili[[#This Row],[Release Unit 3]]</f>
        <v>0</v>
      </c>
      <c r="H13" s="151" t="n">
        <f aca="false">OFFSET(TblMili[[#This Row],[Unit 4]],-1,0)-TblMili[[#This Row],[Release Unit 4]]</f>
        <v>0</v>
      </c>
      <c r="I13" s="151" t="n">
        <f aca="false">OFFSET(TblMili[[#This Row],[Spies]],-1,0)-TblMili[[#This Row],[Release Spies]]-TblMili[[#This Row],[Train AS]]</f>
        <v>0</v>
      </c>
      <c r="J13" s="151" t="n">
        <f aca="false">OFFSET(TblMili[[#This Row],[Archspies]],-1,0)-TblMili[[#This Row],[Release AS]]</f>
        <v>0</v>
      </c>
      <c r="K13" s="151" t="n">
        <f aca="false">OFFSET(TblMili[[#This Row],[Wizards]],-1,0)-TblMili[[#This Row],[Release Wizards]]-TblMili[[#This Row],[Train AM]]</f>
        <v>0</v>
      </c>
      <c r="L13" s="151" t="n">
        <f aca="false">OFFSET(TblMili[[#This Row],[Archmages]],-1,0)-TblMili[[#This Row],[Release AM]]</f>
        <v>0</v>
      </c>
      <c r="M13" s="132"/>
      <c r="N13" s="69" t="e">
        <f aca="false">TblProd[[#This Row],[Networth]]</f>
        <v>#VALUE!</v>
      </c>
      <c r="O13" s="132"/>
      <c r="P1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 s="285" t="e">
        <f aca="false">TblMili[[#This Row],[Raw]]*(1+TblMili[[#This Row],[Mods_Off]])</f>
        <v>#VALUE!</v>
      </c>
      <c r="S1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 s="285" t="e">
        <f aca="false">TblMili[[#This Row],[Non Draft]]+TblMili[[#This Row],[Draftees]]</f>
        <v>#VALUE!</v>
      </c>
      <c r="U13" s="286" t="n">
        <f aca="false">race_defense + TblImps[[#This Row],[Walls]] + ROUND( MIN(gt_bonus*TblConstr[[#This Row],[Tot GT]]/TblConstr[[#This Row],[Land]],gt_bonus_cap), 4) + IF(TblMagic[[#This Row],[Active Howling]]&gt;0,howling_dp_bonus,IF(TblMagic[[#This Row],[Active Ares Call]]&gt;0,ares_call_bonus))</f>
        <v>0</v>
      </c>
      <c r="V13" s="274" t="e">
        <f aca="false">TblMili[[#This Row],[Non Draft]] * (1 + TblMili[[#This Row],[Mods_Def]])</f>
        <v>#VALUE!</v>
      </c>
      <c r="W13" s="285" t="e">
        <f aca="false">TblMili[[#This Row],[Draft]] * (1 + TblMili[[#This Row],[Mods_Def]])</f>
        <v>#VALUE!</v>
      </c>
      <c r="X13" s="285" t="n">
        <f aca="false">TblConstr[[#This Row],[Land]]</f>
        <v>250</v>
      </c>
      <c r="Y13" s="287"/>
      <c r="Z13" s="109" t="n">
        <f aca="false">IF(TblMili[[#This Row],[Set]]&lt;&gt;"",TblMili[[#This Row],[Set]],OFFSET(TblMili[[#This Row],[Draftrate]],-1,0))</f>
        <v>0.9</v>
      </c>
      <c r="AA13" s="69" t="n">
        <f aca="false">OFFSET(TblMili[[#This Row],[Draftees]],-1,0)+OFFSET(TblPop[[#This Row],[Draft Growth]],-1,0) - SUM(TblMili[[#This Row],[Train Unit 1]:[Train Spies]],TblMili[[#This Row],[Train Wiz]]) - TblMili[[#This Row],[Release Draft]] + SUM(TblMili[[#This Row],[Release Unit 1]:[Release AM]]) - TblExplore[[#This Row],[Draftees (2)]]</f>
        <v>315</v>
      </c>
      <c r="AB13" s="146"/>
      <c r="AC13" s="130" t="n">
        <f aca="false">(TblConstr[[#This Row],[Tot Smi]]+TblConstr[[#This Row],[Dest Smi]])/(TblConstr[[#This Row],[Land]]-TblExplore[[#This Row],[Land Bonus]]*20)</f>
        <v>0</v>
      </c>
      <c r="AD13" s="128"/>
      <c r="AE13" s="282" t="n">
        <f aca="false">TblMili[[#This Row],[Hour]]</f>
        <v>10</v>
      </c>
      <c r="AF13" s="129" t="n">
        <f aca="false">TblExplore[[#This Row],[Time]]</f>
        <v>45430.125</v>
      </c>
      <c r="AG13" s="182"/>
      <c r="AH13" s="182"/>
      <c r="AI13" s="182"/>
      <c r="AJ13" s="182"/>
      <c r="AK13" s="182"/>
      <c r="AL13" s="182"/>
      <c r="AM13" s="182"/>
      <c r="AN13" s="182"/>
      <c r="AO13" s="132"/>
      <c r="AP13" s="69" t="n">
        <f aca="false">TblProd[[#This Row],[Platinum]]</f>
        <v>36323</v>
      </c>
      <c r="AQ13" s="69" t="n">
        <f aca="false">INDEX(TblProd[[#Headers],[Lumber]]:TblProd[[#This Row],[Ore]],COUNTA(TblProd[[#Headers],[Lumber]]:TblProd[[#This Row],[Lumber]]),MATCH(Military!$AQ$2,TblProd[[#Headers],[Lumber]:[Ore]],0))</f>
        <v>0</v>
      </c>
      <c r="AR1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69" t="n">
        <f aca="false">TblMili[[#This Row],[Train Unit 1]]*TblMili[[#This Row],[OP Ore]]+TblMili[[#This Row],[Train Unit 2]]*TblMili[[#This Row],[DP Ore]]+TblMili[[#This Row],[Train Unit 3]]*TblMili[[#This Row],[E1 Ore]]+TblMili[[#This Row],[Train Unit 4]]*TblMili[[#This Row],[E2 Ore]]</f>
        <v>0</v>
      </c>
      <c r="AT13" s="132" t="n">
        <f aca="false">TblMili[[#This Row],[Hour]]</f>
        <v>10</v>
      </c>
      <c r="AU13" s="144" t="n">
        <f aca="false">TblMili[[#This Row],[Time]]</f>
        <v>45430.125</v>
      </c>
      <c r="AV13" s="69" t="n">
        <f aca="false">TblMili[[#This Row],[Draftees]]</f>
        <v>315</v>
      </c>
      <c r="AW13" s="182"/>
      <c r="AX13" s="182"/>
      <c r="AY13" s="182"/>
      <c r="AZ13" s="182"/>
      <c r="BA13" s="182"/>
      <c r="BB13" s="182"/>
      <c r="BC13" s="182"/>
      <c r="BD13" s="182"/>
      <c r="BE13" s="182"/>
      <c r="BF13" s="132"/>
      <c r="BG13" s="150" t="n">
        <f aca="false">TblConstr[[#This Row],[Tot WG]]/TblConstr[[#This Row],[Land]]</f>
        <v>0</v>
      </c>
      <c r="BH13" s="150" t="n">
        <f aca="false">TblConstr[[#This Row],[Tot Hav]]/TblConstr[[#This Row],[Land]]</f>
        <v>0</v>
      </c>
      <c r="BI13" s="69" t="n">
        <f aca="false">ROUNDUP((1-MIN(TblMili[[#This Row],[Smithies]]*smithy_bonus,smithy_bonus_cap) + tech_3_5*TblTech[[#This Row],[3-5]] + tech_5_3*TblTech[[#This Row],[5-3]] + tech_5_5*TblTech[[#This Row],[5-5]])*spec_op_plat,0)</f>
        <v>300</v>
      </c>
      <c r="BJ13" s="69" t="n">
        <f aca="false">ROUNDUP(IF(race="Gnome",1,(1-MIN(TblMili[[#This Row],[Smithies]]*smithy_bonus,smithy_bonus_cap) + tech_3_5*TblTech[[#This Row],[3-5]] + tech_5_3*TblTech[[#This Row],[5-3]] + tech_5_5*TblTech[[#This Row],[5-5]]))*spec_op_ore,0)</f>
        <v>0</v>
      </c>
      <c r="BK13" s="69" t="n">
        <f aca="false">ROUNDUP((1-MIN(TblMili[[#This Row],[Smithies]]*smithy_bonus,smithy_bonus_cap) + tech_3_5*TblTech[[#This Row],[3-5]] + tech_5_3*TblTech[[#This Row],[5-3]] + tech_5_5*TblTech[[#This Row],[5-5]])*spec_dp_plat,0)</f>
        <v>300</v>
      </c>
      <c r="BL13" s="69" t="n">
        <f aca="false">ROUNDUP(IF(race="Gnome",1,(1-MIN(TblMili[[#This Row],[Smithies]]*smithy_bonus,smithy_bonus_cap) + tech_3_5*TblTech[[#This Row],[3-5]] + tech_5_3*TblTech[[#This Row],[5-3]] + tech_5_5*TblTech[[#This Row],[5-5]]))*spec_dp_ore,0)</f>
        <v>0</v>
      </c>
      <c r="BM13" s="69" t="n">
        <f aca="false">ROUNDUP((1-MIN(TblMili[[#This Row],[Smithies]]*smithy_bonus,smithy_bonus_cap) + tech_3_5*TblTech[[#This Row],[3-5]] + tech_5_3*TblTech[[#This Row],[5-3]] + tech_5_5*TblTech[[#This Row],[5-5]])*elite1_plat,0)</f>
        <v>925</v>
      </c>
      <c r="BN13" s="69" t="n">
        <f aca="false">ROUNDUP(IF(race="Gnome",1,(1-MIN(TblMili[[#This Row],[Smithies]]*smithy_bonus,smithy_bonus_cap) + tech_3_5*TblTech[[#This Row],[3-5]] + tech_5_3*TblTech[[#This Row],[5-3]] + tech_5_5*TblTech[[#This Row],[5-5]]))*elite1_ore,0)</f>
        <v>0</v>
      </c>
      <c r="BO13" s="69" t="n">
        <f aca="false">ROUNDUP((1-MIN(TblMili[[#This Row],[Smithies]]*smithy_bonus,smithy_bonus_cap) + tech_3_5*TblTech[[#This Row],[3-5]] + tech_5_3*TblTech[[#This Row],[5-3]] + tech_5_5*TblTech[[#This Row],[5-5]])*elite2_plat,0)</f>
        <v>950</v>
      </c>
      <c r="BP13" s="69" t="n">
        <f aca="false">ROUNDUP(IF(race="Gnome",1,(1-MIN(TblMili[[#This Row],[Smithies]]*smithy_bonus,smithy_bonus_cap) + tech_3_5*TblTech[[#This Row],[3-5]] + tech_5_3*TblTech[[#This Row],[5-3]] + tech_5_5*TblTech[[#This Row],[5-5]]))*elite2_ore,0)</f>
        <v>0</v>
      </c>
      <c r="BQ13" s="69" t="n">
        <f aca="false">ROUNDUP((1-MIN(ROUND(fh_spy_cost_red*TblMili[[#This Row],[FH''s]],4),fh_spy_cost_cap)+ tech_1_9*TblTech[[#This Row],[1-9]] + tech_9_1*TblTech[[#This Row],[9-1]])*spy_plat,0)</f>
        <v>500</v>
      </c>
      <c r="BR13" s="69" t="n">
        <f aca="false">ROUNDUP((1-MIN(ROUND(fh_spy_cost_red*TblMili[[#This Row],[FH''s]],4),fh_spy_cost_cap)+ tech_1_9*TblTech[[#This Row],[1-9]] + tech_9_1*TblTech[[#This Row],[9-1]])*archspy_plat,0)</f>
        <v>1000</v>
      </c>
      <c r="BS13" s="69" t="n">
        <f aca="false">ROUNDUP((1-MIN(ROUND(wg_wiz_cost_bonus*TblMili[[#This Row],[WG''s]],4),wg_wiz_cost_cap) + tech_1_9_2*TblTech[[#This Row],[1-9]] + tech_9_1_2*TblTech[[#This Row],[9-1]])*wizard_plat,0)</f>
        <v>500</v>
      </c>
      <c r="BT13" s="69" t="n">
        <f aca="false">ROUNDUP((1-MIN(ROUND(wg_wiz_cost_bonus*TblMili[[#This Row],[WG''s]],4),wg_wiz_cost_cap) + tech_1_9_2*TblTech[[#This Row],[1-9]] + tech_9_1_2*TblTech[[#This Row],[9-1]])*archmage_plat,0)</f>
        <v>1000</v>
      </c>
      <c r="BU13" s="132"/>
      <c r="BV13" s="150" t="e">
        <f aca="false">TblConstr[[#This Row],[Homeland]]/TblConstr[[#This Row],[Land]]</f>
        <v>#VALUE!</v>
      </c>
      <c r="BW13" s="150" t="n">
        <f aca="false">TblMili[[#This Row],[WG''s]]</f>
        <v>0</v>
      </c>
      <c r="BX13" s="288" t="e">
        <f aca="false">IF(mystic_cap="none",TblMili[[#This Row],[Hill]]/mystic_bonus,MIN(mystic_cap,TblMili[[#This Row],[Hill]]/mystic_bonus))</f>
        <v>#VALUE!</v>
      </c>
      <c r="BY13" s="288" t="e">
        <f aca="false">IF(druid_op_cap="none",TblMili[[#This Row],[Hill]]/druid_op_bonus,MIN(druid_op_cap,TblMili[[#This Row],[Hill]]/druid_op_bonus))</f>
        <v>#VALUE!</v>
      </c>
      <c r="BZ13" s="288" t="e">
        <f aca="false">IF(druid_dp_cap="none",TblMili[[#This Row],[Hill]]/druid_dp_bonus,MIN(druid_dp_cap,TblMili[[#This Row],[Hill]]/druid_dp_bonus))</f>
        <v>#VALUE!</v>
      </c>
      <c r="CA13" s="288" t="e">
        <f aca="false">MIN(dryad_cap,TblMili[[#This Row],[Hill]]/dryad_bonus)</f>
        <v>#VALUE!</v>
      </c>
      <c r="CB13" s="288" t="e">
        <f aca="false">MIN(rocka_cap,TblMili[[#This Row],[Hill]]/rocka_bonus)</f>
        <v>#VALUE!</v>
      </c>
      <c r="CC13" s="288" t="n">
        <f aca="false">MIN(adept_op_cap,TblMili[[#This Row],[WG]]/adept_op_bonus)</f>
        <v>0</v>
      </c>
      <c r="CD13" s="288" t="n">
        <f aca="false">MIN(adept_dp_cap,TblMili[[#This Row],[WG]]/adept_dp_bonus)</f>
        <v>0</v>
      </c>
      <c r="CE13" s="69" t="n">
        <f aca="false">MIN(TblMili[[#This Row],[Unit 3]],TblMili[[#This Row],[Unit 2]])*2</f>
        <v>0</v>
      </c>
      <c r="CF13" s="69" t="n">
        <f aca="false">MIN(TblMili[[#This Row],[Unit 1]],TblMili[[#This Row],[Unit 4]])*2</f>
        <v>0</v>
      </c>
      <c r="CG13" s="288" t="e">
        <f aca="false">MIN(frost_mage_cap,TblMili[[#This Row],[Hill]]/frost_mage_bonus)</f>
        <v>#VALUE!</v>
      </c>
      <c r="CH13" s="151" t="n">
        <f aca="false">MIN(ice_elem_cap,TblMili[[#This Row],[Raw (2)]]*ice_elem_bonus)</f>
        <v>0</v>
      </c>
      <c r="CI13" s="288" t="n">
        <f aca="false">MIN(bone_breaker_cap,250/bone_breaker_bonus)</f>
        <v>0.833333333333333</v>
      </c>
      <c r="CJ13" s="288" t="e">
        <f aca="false">MIN(nox_nightshade_cap,TblConstr[[#This Row],[Homeland]]/TblConstr[[#This Row],[Land]]/nox_nightshade_swamp_bonus)</f>
        <v>#VALUE!</v>
      </c>
      <c r="CK13" s="289"/>
      <c r="CL13" s="289"/>
      <c r="CM13" s="289"/>
      <c r="CN13" s="288" t="e">
        <f aca="false">MIN(6,TblMili[[#This Row],[Mystic]]+Races!$F$19)*1.8 +  IF(TblMili[[#This Row],[Mystic]]+Races!$F$19&gt;6,(TblMili[[#This Row],[Mystic]]+Races!$F$19-6)*0.2,0) - Races!$I$19</f>
        <v>#VALUE!</v>
      </c>
      <c r="CO13" s="288" t="e">
        <f aca="false">1.8 * MIN(MAX(TblMili[[#This Row],[Druid (op)]]+Races!$E$20,TblMili[[#This Row],[Druid (dp)]]+Races!$F$20),6)  +  0.45 * MIN(MIN(TblMili[[#This Row],[Druid (op)]]+Races!$E$20,TblMili[[#This Row],[Druid (dp)]]+Races!$F$20),6)  +  0.2 * ( MAX(TblMili[[#This Row],[Druid (op)]]+Races!$E$20-6,0) + MAX(TblMili[[#This Row],[Druid (dp)]]+Races!$F$20-6,0) )  -  Races!$I$20</f>
        <v>#VALUE!</v>
      </c>
      <c r="CP13" s="69" t="e">
        <f aca="false">TblMili[[#This Row],[Mystic bonus]]*TblMili[[#This Row],[Unit 3]]+TblMili[[#This Row],[Druid bonus]]*TblMili[[#This Row],[Unit 4]]</f>
        <v>#VALUE!</v>
      </c>
      <c r="CQ13" s="148" t="e">
        <f aca="false">MIN(6,TblMili[[#This Row],[Dryad]]+Races!$F$35)*1.8 +  IF(TblMili[[#This Row],[Dryad]]+Races!$F$35&gt;6,(TblMili[[#This Row],[Dryad]]+Races!$F$35-6)*0.2,0) - Races!$I$19</f>
        <v>#VALUE!</v>
      </c>
      <c r="CR13" s="69" t="e">
        <f aca="false">sylvan*(TblMili[[#This Row],[Mystic bonus]]*TblMili[[#This Row],[Unit 3]])</f>
        <v>#VALUE!</v>
      </c>
      <c r="CS13" s="148" t="e">
        <f aca="false">1.8 * MIN(MAX(Races!$E$27,TblMili[[#This Row],[Rockapult]]+Races!$F$27),6)  +  0.45 * MIN(MIN(Races!$E$27,TblMili[[#This Row],[Rockapult]]+Races!$F$27),6)  +  0.2 * ( MAX(Races!$E$27-6,0) + MAX(TblMili[[#This Row],[Rockapult]]+Races!$F$27-6,0) )  -  Races!$I$20</f>
        <v>#VALUE!</v>
      </c>
      <c r="CT13" s="69" t="e">
        <f aca="false">gnome*(TblMili[[#This Row],[Rockapult bonus]]*TblMili[[#This Row],[Unit 3]])</f>
        <v>#VALUE!</v>
      </c>
      <c r="CU13" s="148" t="n">
        <f aca="false">1.8 * MIN(MAX(TblMili[[#This Row],[Spellblade]]+Races!$E$47,TblMili[[#This Row],[Adept-DP]]+Races!$F$47),6)  +  0.45 * MIN(MIN(TblMili[[#This Row],[Spellblade]]+Races!$E$47,TblMili[[#This Row],[Adept-DP]]+Races!$F$47),6)  +  0.2 * ( MAX(TblMili[[#This Row],[Spellblade]]+Races!$E$47-6,0) + MAX(TblMili[[#This Row],[Adept-DP]]+Races!$F$47-6,0) )  -  Races!$I$47</f>
        <v>0</v>
      </c>
      <c r="CV13" s="69" t="n">
        <f aca="false">dark_elf*(TblMili[[#This Row],[Adept bonus]]*TblMili[[#This Row],[Unit 3]])</f>
        <v>0</v>
      </c>
      <c r="CW13" s="148" t="e">
        <f aca="false">1.8 * MIN(MAX(TblMili[[#This Row],[Frost Mage]]+Races!$F$71,Races!$E$71),6)  +  0.45 * MIN(MIN(TblMili[[#This Row],[Frost Mage]]+Races!$F$71,Races!$E$71),6)  +  0.2 * ( MAX(TblMili[[#This Row],[Frost Mage]]+Races!$F$71-6,0) + MAX(Races!$E$71-6,0) )  -  Races!$I$71</f>
        <v>#VALUE!</v>
      </c>
      <c r="CX13" s="148" t="n">
        <f aca="false">1.8 * MIN(MAX(TblMili[[#This Row],[Ice Elemental]]+Races!$E$71,Races!$F$71),6)  +  0.45 * MIN(MIN(TblMili[[#This Row],[Ice Elemental]]+Races!$E$71,Races!$F$71),6)  +  0.2 * ( MAX(TblMili[[#This Row],[Ice Elemental]]+Races!$E$71-6,0) + MAX(Races!$F$71-6,0) )  -  Races!$I$71</f>
        <v>0</v>
      </c>
      <c r="CY13" s="69" t="e">
        <f aca="false">TblMili[[#This Row],[Frost Mage bonus]]*TblMili[[#This Row],[Unit 3]]+TblMili[[#This Row],[Ice Elemental bonus]]*TblMili[[#This Row],[Unit 4]]</f>
        <v>#VALUE!</v>
      </c>
      <c r="CZ13" s="290"/>
      <c r="DA13" s="109" t="n">
        <f aca="false">MIN(SUM(TblConstr[[#This Row],[Plain]:[Water]])/TblMili[[#This Row],[Land]]/favorable_terrain_bonus/100,favorable_terrain_max)</f>
        <v>0.1</v>
      </c>
      <c r="DB13" s="290"/>
      <c r="DC1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 s="132"/>
      <c r="DE13" s="291" t="n">
        <f aca="false">(TblMili[[#This Row],[Wizards]]+2*TblMili[[#This Row],[Archmages]])/TblConstr[[#This Row],[Land]]</f>
        <v>0</v>
      </c>
      <c r="DF13" s="291" t="n">
        <f aca="false">TblMili[[#This Row],[Raw (2)]]*(1+race_wizard_strength+IF(TblMili[[#This Row],[Hour]]&gt;72,tech_magical_weaponry_wiz*TblTech[[#This Row],[3-5]],0))</f>
        <v>0</v>
      </c>
    </row>
    <row r="14" customFormat="false" ht="12.75" hidden="false" customHeight="false" outlineLevel="0" collapsed="false">
      <c r="A14" s="128" t="n">
        <f aca="false">TblRezone[[#This Row],[Hour]]</f>
        <v>11</v>
      </c>
      <c r="B14" s="282" t="n">
        <f aca="false">SUM(TblMili[[#This Row],[Unit 1]:[Archmages]])+SUM(OFFSET(TblMili[[#This Row],[Train Unit 1]],-8,0):TblMili[[#This Row],[Train Unit 2]]) + SUM(OFFSET(TblMili[[#This Row],[Train Unit 3]],-10,0):TblMili[[#This Row],[Train Unit 4]]) + TblMili[[#This Row],[Draftees]]</f>
        <v>326</v>
      </c>
      <c r="C14" s="150" t="n">
        <f aca="false">TblPop[[#This Row],[Military%]]</f>
        <v>0.171038824763903</v>
      </c>
      <c r="D14" s="132"/>
      <c r="E14" s="151" t="n">
        <f aca="false">OFFSET(TblMili[[#This Row],[Unit 1]],-1,0) + OFFSET(TblMili[[#This Row],[Train Unit 1]],-9,0) - TblMili[[#This Row],[Release Unit 1]]</f>
        <v>0</v>
      </c>
      <c r="F14" s="151" t="n">
        <f aca="false">OFFSET(TblMili[[#This Row],[Unit 2]],-1,0) + OFFSET(TblMili[[#This Row],[Train Unit 2]],-9,0)-TblMili[[#This Row],[Release Unit 2]]</f>
        <v>0</v>
      </c>
      <c r="G14" s="151" t="n">
        <f aca="false">OFFSET(TblMili[[#This Row],[Unit 3]],-1,0)-TblMili[[#This Row],[Release Unit 3]]</f>
        <v>0</v>
      </c>
      <c r="H14" s="151" t="n">
        <f aca="false">OFFSET(TblMili[[#This Row],[Unit 4]],-1,0)-TblMili[[#This Row],[Release Unit 4]]</f>
        <v>0</v>
      </c>
      <c r="I14" s="151" t="n">
        <f aca="false">OFFSET(TblMili[[#This Row],[Spies]],-1,0)-TblMili[[#This Row],[Release Spies]]-TblMili[[#This Row],[Train AS]]</f>
        <v>0</v>
      </c>
      <c r="J14" s="151" t="n">
        <f aca="false">OFFSET(TblMili[[#This Row],[Archspies]],-1,0)-TblMili[[#This Row],[Release AS]]</f>
        <v>0</v>
      </c>
      <c r="K14" s="151" t="n">
        <f aca="false">OFFSET(TblMili[[#This Row],[Wizards]],-1,0)-TblMili[[#This Row],[Release Wizards]]-TblMili[[#This Row],[Train AM]]</f>
        <v>0</v>
      </c>
      <c r="L14" s="151" t="n">
        <f aca="false">OFFSET(TblMili[[#This Row],[Archmages]],-1,0)-TblMili[[#This Row],[Release AM]]</f>
        <v>0</v>
      </c>
      <c r="M14" s="132"/>
      <c r="N14" s="69" t="e">
        <f aca="false">TblProd[[#This Row],[Networth]]</f>
        <v>#VALUE!</v>
      </c>
      <c r="O14" s="132"/>
      <c r="P1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4" s="285" t="e">
        <f aca="false">TblMili[[#This Row],[Raw]]*(1+TblMili[[#This Row],[Mods_Off]])</f>
        <v>#VALUE!</v>
      </c>
      <c r="S1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4" s="285" t="e">
        <f aca="false">TblMili[[#This Row],[Non Draft]]+TblMili[[#This Row],[Draftees]]</f>
        <v>#VALUE!</v>
      </c>
      <c r="U14" s="286" t="n">
        <f aca="false">race_defense + TblImps[[#This Row],[Walls]] + ROUND( MIN(gt_bonus*TblConstr[[#This Row],[Tot GT]]/TblConstr[[#This Row],[Land]],gt_bonus_cap), 4) + IF(TblMagic[[#This Row],[Active Howling]]&gt;0,howling_dp_bonus,IF(TblMagic[[#This Row],[Active Ares Call]]&gt;0,ares_call_bonus))</f>
        <v>0</v>
      </c>
      <c r="V14" s="274" t="e">
        <f aca="false">TblMili[[#This Row],[Non Draft]] * (1 + TblMili[[#This Row],[Mods_Def]])</f>
        <v>#VALUE!</v>
      </c>
      <c r="W14" s="285" t="e">
        <f aca="false">TblMili[[#This Row],[Draft]] * (1 + TblMili[[#This Row],[Mods_Def]])</f>
        <v>#VALUE!</v>
      </c>
      <c r="X14" s="285" t="n">
        <f aca="false">TblConstr[[#This Row],[Land]]</f>
        <v>250</v>
      </c>
      <c r="Y14" s="287"/>
      <c r="Z14" s="109" t="n">
        <f aca="false">IF(TblMili[[#This Row],[Set]]&lt;&gt;"",TblMili[[#This Row],[Set]],OFFSET(TblMili[[#This Row],[Draftrate]],-1,0))</f>
        <v>0.9</v>
      </c>
      <c r="AA14" s="69" t="n">
        <f aca="false">OFFSET(TblMili[[#This Row],[Draftees]],-1,0)+OFFSET(TblPop[[#This Row],[Draft Growth]],-1,0) - SUM(TblMili[[#This Row],[Train Unit 1]:[Train Spies]],TblMili[[#This Row],[Train Wiz]]) - TblMili[[#This Row],[Release Draft]] + SUM(TblMili[[#This Row],[Release Unit 1]:[Release AM]]) - TblExplore[[#This Row],[Draftees (2)]]</f>
        <v>326</v>
      </c>
      <c r="AB14" s="146"/>
      <c r="AC14" s="130" t="n">
        <f aca="false">(TblConstr[[#This Row],[Tot Smi]]+TblConstr[[#This Row],[Dest Smi]])/(TblConstr[[#This Row],[Land]]-TblExplore[[#This Row],[Land Bonus]]*20)</f>
        <v>0</v>
      </c>
      <c r="AD14" s="128"/>
      <c r="AE14" s="282" t="n">
        <f aca="false">TblMili[[#This Row],[Hour]]</f>
        <v>11</v>
      </c>
      <c r="AF14" s="129" t="n">
        <f aca="false">TblExplore[[#This Row],[Time]]</f>
        <v>45430.1666666667</v>
      </c>
      <c r="AG14" s="182"/>
      <c r="AH14" s="182"/>
      <c r="AI14" s="182"/>
      <c r="AJ14" s="182"/>
      <c r="AK14" s="182"/>
      <c r="AL14" s="182"/>
      <c r="AM14" s="182"/>
      <c r="AN14" s="182"/>
      <c r="AO14" s="132"/>
      <c r="AP14" s="69" t="n">
        <f aca="false">TblProd[[#This Row],[Platinum]]</f>
        <v>41005</v>
      </c>
      <c r="AQ14" s="69" t="n">
        <f aca="false">INDEX(TblProd[[#Headers],[Lumber]]:TblProd[[#This Row],[Ore]],COUNTA(TblProd[[#Headers],[Lumber]]:TblProd[[#This Row],[Lumber]]),MATCH(Military!$AQ$2,TblProd[[#Headers],[Lumber]:[Ore]],0))</f>
        <v>0</v>
      </c>
      <c r="AR1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69" t="n">
        <f aca="false">TblMili[[#This Row],[Train Unit 1]]*TblMili[[#This Row],[OP Ore]]+TblMili[[#This Row],[Train Unit 2]]*TblMili[[#This Row],[DP Ore]]+TblMili[[#This Row],[Train Unit 3]]*TblMili[[#This Row],[E1 Ore]]+TblMili[[#This Row],[Train Unit 4]]*TblMili[[#This Row],[E2 Ore]]</f>
        <v>0</v>
      </c>
      <c r="AT14" s="132" t="n">
        <f aca="false">TblMili[[#This Row],[Hour]]</f>
        <v>11</v>
      </c>
      <c r="AU14" s="144" t="n">
        <f aca="false">TblMili[[#This Row],[Time]]</f>
        <v>45430.1666666667</v>
      </c>
      <c r="AV14" s="69" t="n">
        <f aca="false">TblMili[[#This Row],[Draftees]]</f>
        <v>326</v>
      </c>
      <c r="AW14" s="182"/>
      <c r="AX14" s="182"/>
      <c r="AY14" s="182"/>
      <c r="AZ14" s="182"/>
      <c r="BA14" s="182"/>
      <c r="BB14" s="182"/>
      <c r="BC14" s="182"/>
      <c r="BD14" s="182"/>
      <c r="BE14" s="182"/>
      <c r="BF14" s="132"/>
      <c r="BG14" s="150" t="n">
        <f aca="false">TblConstr[[#This Row],[Tot WG]]/TblConstr[[#This Row],[Land]]</f>
        <v>0</v>
      </c>
      <c r="BH14" s="150" t="n">
        <f aca="false">TblConstr[[#This Row],[Tot Hav]]/TblConstr[[#This Row],[Land]]</f>
        <v>0</v>
      </c>
      <c r="BI14" s="69" t="n">
        <f aca="false">ROUNDUP((1-MIN(TblMili[[#This Row],[Smithies]]*smithy_bonus,smithy_bonus_cap) + tech_3_5*TblTech[[#This Row],[3-5]] + tech_5_3*TblTech[[#This Row],[5-3]] + tech_5_5*TblTech[[#This Row],[5-5]])*spec_op_plat,0)</f>
        <v>300</v>
      </c>
      <c r="BJ14" s="69" t="n">
        <f aca="false">ROUNDUP(IF(race="Gnome",1,(1-MIN(TblMili[[#This Row],[Smithies]]*smithy_bonus,smithy_bonus_cap) + tech_3_5*TblTech[[#This Row],[3-5]] + tech_5_3*TblTech[[#This Row],[5-3]] + tech_5_5*TblTech[[#This Row],[5-5]]))*spec_op_ore,0)</f>
        <v>0</v>
      </c>
      <c r="BK14" s="69" t="n">
        <f aca="false">ROUNDUP((1-MIN(TblMili[[#This Row],[Smithies]]*smithy_bonus,smithy_bonus_cap) + tech_3_5*TblTech[[#This Row],[3-5]] + tech_5_3*TblTech[[#This Row],[5-3]] + tech_5_5*TblTech[[#This Row],[5-5]])*spec_dp_plat,0)</f>
        <v>300</v>
      </c>
      <c r="BL14" s="69" t="n">
        <f aca="false">ROUNDUP(IF(race="Gnome",1,(1-MIN(TblMili[[#This Row],[Smithies]]*smithy_bonus,smithy_bonus_cap) + tech_3_5*TblTech[[#This Row],[3-5]] + tech_5_3*TblTech[[#This Row],[5-3]] + tech_5_5*TblTech[[#This Row],[5-5]]))*spec_dp_ore,0)</f>
        <v>0</v>
      </c>
      <c r="BM14" s="69" t="n">
        <f aca="false">ROUNDUP((1-MIN(TblMili[[#This Row],[Smithies]]*smithy_bonus,smithy_bonus_cap) + tech_3_5*TblTech[[#This Row],[3-5]] + tech_5_3*TblTech[[#This Row],[5-3]] + tech_5_5*TblTech[[#This Row],[5-5]])*elite1_plat,0)</f>
        <v>925</v>
      </c>
      <c r="BN14" s="69" t="n">
        <f aca="false">ROUNDUP(IF(race="Gnome",1,(1-MIN(TblMili[[#This Row],[Smithies]]*smithy_bonus,smithy_bonus_cap) + tech_3_5*TblTech[[#This Row],[3-5]] + tech_5_3*TblTech[[#This Row],[5-3]] + tech_5_5*TblTech[[#This Row],[5-5]]))*elite1_ore,0)</f>
        <v>0</v>
      </c>
      <c r="BO14" s="69" t="n">
        <f aca="false">ROUNDUP((1-MIN(TblMili[[#This Row],[Smithies]]*smithy_bonus,smithy_bonus_cap) + tech_3_5*TblTech[[#This Row],[3-5]] + tech_5_3*TblTech[[#This Row],[5-3]] + tech_5_5*TblTech[[#This Row],[5-5]])*elite2_plat,0)</f>
        <v>950</v>
      </c>
      <c r="BP14" s="69" t="n">
        <f aca="false">ROUNDUP(IF(race="Gnome",1,(1-MIN(TblMili[[#This Row],[Smithies]]*smithy_bonus,smithy_bonus_cap) + tech_3_5*TblTech[[#This Row],[3-5]] + tech_5_3*TblTech[[#This Row],[5-3]] + tech_5_5*TblTech[[#This Row],[5-5]]))*elite2_ore,0)</f>
        <v>0</v>
      </c>
      <c r="BQ14" s="69" t="n">
        <f aca="false">ROUNDUP((1-MIN(ROUND(fh_spy_cost_red*TblMili[[#This Row],[FH''s]],4),fh_spy_cost_cap)+ tech_1_9*TblTech[[#This Row],[1-9]] + tech_9_1*TblTech[[#This Row],[9-1]])*spy_plat,0)</f>
        <v>500</v>
      </c>
      <c r="BR14" s="69" t="n">
        <f aca="false">ROUNDUP((1-MIN(ROUND(fh_spy_cost_red*TblMili[[#This Row],[FH''s]],4),fh_spy_cost_cap)+ tech_1_9*TblTech[[#This Row],[1-9]] + tech_9_1*TblTech[[#This Row],[9-1]])*archspy_plat,0)</f>
        <v>1000</v>
      </c>
      <c r="BS14" s="69" t="n">
        <f aca="false">ROUNDUP((1-MIN(ROUND(wg_wiz_cost_bonus*TblMili[[#This Row],[WG''s]],4),wg_wiz_cost_cap) + tech_1_9_2*TblTech[[#This Row],[1-9]] + tech_9_1_2*TblTech[[#This Row],[9-1]])*wizard_plat,0)</f>
        <v>500</v>
      </c>
      <c r="BT14" s="69" t="n">
        <f aca="false">ROUNDUP((1-MIN(ROUND(wg_wiz_cost_bonus*TblMili[[#This Row],[WG''s]],4),wg_wiz_cost_cap) + tech_1_9_2*TblTech[[#This Row],[1-9]] + tech_9_1_2*TblTech[[#This Row],[9-1]])*archmage_plat,0)</f>
        <v>1000</v>
      </c>
      <c r="BU14" s="132"/>
      <c r="BV14" s="150" t="e">
        <f aca="false">TblConstr[[#This Row],[Homeland]]/TblConstr[[#This Row],[Land]]</f>
        <v>#VALUE!</v>
      </c>
      <c r="BW14" s="150" t="n">
        <f aca="false">TblMili[[#This Row],[WG''s]]</f>
        <v>0</v>
      </c>
      <c r="BX14" s="288" t="e">
        <f aca="false">IF(mystic_cap="none",TblMili[[#This Row],[Hill]]/mystic_bonus,MIN(mystic_cap,TblMili[[#This Row],[Hill]]/mystic_bonus))</f>
        <v>#VALUE!</v>
      </c>
      <c r="BY14" s="288" t="e">
        <f aca="false">IF(druid_op_cap="none",TblMili[[#This Row],[Hill]]/druid_op_bonus,MIN(druid_op_cap,TblMili[[#This Row],[Hill]]/druid_op_bonus))</f>
        <v>#VALUE!</v>
      </c>
      <c r="BZ14" s="288" t="e">
        <f aca="false">IF(druid_dp_cap="none",TblMili[[#This Row],[Hill]]/druid_dp_bonus,MIN(druid_dp_cap,TblMili[[#This Row],[Hill]]/druid_dp_bonus))</f>
        <v>#VALUE!</v>
      </c>
      <c r="CA14" s="288" t="e">
        <f aca="false">MIN(dryad_cap,TblMili[[#This Row],[Hill]]/dryad_bonus)</f>
        <v>#VALUE!</v>
      </c>
      <c r="CB14" s="288" t="e">
        <f aca="false">MIN(rocka_cap,TblMili[[#This Row],[Hill]]/rocka_bonus)</f>
        <v>#VALUE!</v>
      </c>
      <c r="CC14" s="288" t="n">
        <f aca="false">MIN(adept_op_cap,TblMili[[#This Row],[WG]]/adept_op_bonus)</f>
        <v>0</v>
      </c>
      <c r="CD14" s="288" t="n">
        <f aca="false">MIN(adept_dp_cap,TblMili[[#This Row],[WG]]/adept_dp_bonus)</f>
        <v>0</v>
      </c>
      <c r="CE14" s="69" t="n">
        <f aca="false">MIN(TblMili[[#This Row],[Unit 3]],TblMili[[#This Row],[Unit 2]])*2</f>
        <v>0</v>
      </c>
      <c r="CF14" s="69" t="n">
        <f aca="false">MIN(TblMili[[#This Row],[Unit 1]],TblMili[[#This Row],[Unit 4]])*2</f>
        <v>0</v>
      </c>
      <c r="CG14" s="288" t="e">
        <f aca="false">MIN(frost_mage_cap,TblMili[[#This Row],[Hill]]/frost_mage_bonus)</f>
        <v>#VALUE!</v>
      </c>
      <c r="CH14" s="151" t="n">
        <f aca="false">MIN(ice_elem_cap,TblMili[[#This Row],[Raw (2)]]*ice_elem_bonus)</f>
        <v>0</v>
      </c>
      <c r="CI14" s="288" t="n">
        <f aca="false">MIN(bone_breaker_cap,250/bone_breaker_bonus)</f>
        <v>0.833333333333333</v>
      </c>
      <c r="CJ14" s="288" t="e">
        <f aca="false">MIN(nox_nightshade_cap,TblConstr[[#This Row],[Homeland]]/TblConstr[[#This Row],[Land]]/nox_nightshade_swamp_bonus)</f>
        <v>#VALUE!</v>
      </c>
      <c r="CK14" s="289"/>
      <c r="CL14" s="289"/>
      <c r="CM14" s="289"/>
      <c r="CN14" s="288" t="e">
        <f aca="false">MIN(6,TblMili[[#This Row],[Mystic]]+Races!$F$19)*1.8 +  IF(TblMili[[#This Row],[Mystic]]+Races!$F$19&gt;6,(TblMili[[#This Row],[Mystic]]+Races!$F$19-6)*0.2,0) - Races!$I$19</f>
        <v>#VALUE!</v>
      </c>
      <c r="CO14" s="288" t="e">
        <f aca="false">1.8 * MIN(MAX(TblMili[[#This Row],[Druid (op)]]+Races!$E$20,TblMili[[#This Row],[Druid (dp)]]+Races!$F$20),6)  +  0.45 * MIN(MIN(TblMili[[#This Row],[Druid (op)]]+Races!$E$20,TblMili[[#This Row],[Druid (dp)]]+Races!$F$20),6)  +  0.2 * ( MAX(TblMili[[#This Row],[Druid (op)]]+Races!$E$20-6,0) + MAX(TblMili[[#This Row],[Druid (dp)]]+Races!$F$20-6,0) )  -  Races!$I$20</f>
        <v>#VALUE!</v>
      </c>
      <c r="CP14" s="69" t="e">
        <f aca="false">TblMili[[#This Row],[Mystic bonus]]*TblMili[[#This Row],[Unit 3]]+TblMili[[#This Row],[Druid bonus]]*TblMili[[#This Row],[Unit 4]]</f>
        <v>#VALUE!</v>
      </c>
      <c r="CQ14" s="148" t="e">
        <f aca="false">MIN(6,TblMili[[#This Row],[Dryad]]+Races!$F$35)*1.8 +  IF(TblMili[[#This Row],[Dryad]]+Races!$F$35&gt;6,(TblMili[[#This Row],[Dryad]]+Races!$F$35-6)*0.2,0) - Races!$I$19</f>
        <v>#VALUE!</v>
      </c>
      <c r="CR14" s="69" t="e">
        <f aca="false">sylvan*(TblMili[[#This Row],[Mystic bonus]]*TblMili[[#This Row],[Unit 3]])</f>
        <v>#VALUE!</v>
      </c>
      <c r="CS14" s="148" t="e">
        <f aca="false">1.8 * MIN(MAX(Races!$E$27,TblMili[[#This Row],[Rockapult]]+Races!$F$27),6)  +  0.45 * MIN(MIN(Races!$E$27,TblMili[[#This Row],[Rockapult]]+Races!$F$27),6)  +  0.2 * ( MAX(Races!$E$27-6,0) + MAX(TblMili[[#This Row],[Rockapult]]+Races!$F$27-6,0) )  -  Races!$I$20</f>
        <v>#VALUE!</v>
      </c>
      <c r="CT14" s="69" t="e">
        <f aca="false">gnome*(TblMili[[#This Row],[Rockapult bonus]]*TblMili[[#This Row],[Unit 3]])</f>
        <v>#VALUE!</v>
      </c>
      <c r="CU14" s="148" t="n">
        <f aca="false">1.8 * MIN(MAX(TblMili[[#This Row],[Spellblade]]+Races!$E$47,TblMili[[#This Row],[Adept-DP]]+Races!$F$47),6)  +  0.45 * MIN(MIN(TblMili[[#This Row],[Spellblade]]+Races!$E$47,TblMili[[#This Row],[Adept-DP]]+Races!$F$47),6)  +  0.2 * ( MAX(TblMili[[#This Row],[Spellblade]]+Races!$E$47-6,0) + MAX(TblMili[[#This Row],[Adept-DP]]+Races!$F$47-6,0) )  -  Races!$I$47</f>
        <v>0</v>
      </c>
      <c r="CV14" s="69" t="n">
        <f aca="false">dark_elf*(TblMili[[#This Row],[Adept bonus]]*TblMili[[#This Row],[Unit 3]])</f>
        <v>0</v>
      </c>
      <c r="CW14" s="148" t="e">
        <f aca="false">1.8 * MIN(MAX(TblMili[[#This Row],[Frost Mage]]+Races!$F$71,Races!$E$71),6)  +  0.45 * MIN(MIN(TblMili[[#This Row],[Frost Mage]]+Races!$F$71,Races!$E$71),6)  +  0.2 * ( MAX(TblMili[[#This Row],[Frost Mage]]+Races!$F$71-6,0) + MAX(Races!$E$71-6,0) )  -  Races!$I$71</f>
        <v>#VALUE!</v>
      </c>
      <c r="CX14" s="148" t="n">
        <f aca="false">1.8 * MIN(MAX(TblMili[[#This Row],[Ice Elemental]]+Races!$E$71,Races!$F$71),6)  +  0.45 * MIN(MIN(TblMili[[#This Row],[Ice Elemental]]+Races!$E$71,Races!$F$71),6)  +  0.2 * ( MAX(TblMili[[#This Row],[Ice Elemental]]+Races!$E$71-6,0) + MAX(Races!$F$71-6,0) )  -  Races!$I$71</f>
        <v>0</v>
      </c>
      <c r="CY14" s="69" t="e">
        <f aca="false">TblMili[[#This Row],[Frost Mage bonus]]*TblMili[[#This Row],[Unit 3]]+TblMili[[#This Row],[Ice Elemental bonus]]*TblMili[[#This Row],[Unit 4]]</f>
        <v>#VALUE!</v>
      </c>
      <c r="CZ14" s="290"/>
      <c r="DA14" s="109" t="n">
        <f aca="false">MIN(SUM(TblConstr[[#This Row],[Plain]:[Water]])/TblMili[[#This Row],[Land]]/favorable_terrain_bonus/100,favorable_terrain_max)</f>
        <v>0.1</v>
      </c>
      <c r="DB14" s="290"/>
      <c r="DC1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4" s="132"/>
      <c r="DE14" s="291" t="n">
        <f aca="false">(TblMili[[#This Row],[Wizards]]+2*TblMili[[#This Row],[Archmages]])/TblConstr[[#This Row],[Land]]</f>
        <v>0</v>
      </c>
      <c r="DF14" s="291" t="n">
        <f aca="false">TblMili[[#This Row],[Raw (2)]]*(1+race_wizard_strength+IF(TblMili[[#This Row],[Hour]]&gt;72,tech_magical_weaponry_wiz*TblTech[[#This Row],[3-5]],0))</f>
        <v>0</v>
      </c>
    </row>
    <row r="15" customFormat="false" ht="12.75" hidden="false" customHeight="false" outlineLevel="0" collapsed="false">
      <c r="A15" s="128" t="n">
        <f aca="false">TblRezone[[#This Row],[Hour]]</f>
        <v>12</v>
      </c>
      <c r="B15" s="282" t="n">
        <f aca="false">SUM(TblMili[[#This Row],[Unit 1]:[Archmages]])+SUM(OFFSET(TblMili[[#This Row],[Train Unit 1]],-8,0):TblMili[[#This Row],[Train Unit 2]]) + SUM(OFFSET(TblMili[[#This Row],[Train Unit 3]],-11,0):TblMili[[#This Row],[Train Unit 4]]) + TblMili[[#This Row],[Draftees]]</f>
        <v>342</v>
      </c>
      <c r="C15" s="150" t="n">
        <f aca="false">TblPop[[#This Row],[Military%]]</f>
        <v>0.175115207373272</v>
      </c>
      <c r="D15" s="132"/>
      <c r="E15" s="151" t="n">
        <f aca="false">OFFSET(TblMili[[#This Row],[Unit 1]],-1,0) + OFFSET(TblMili[[#This Row],[Train Unit 1]],-9,0) - TblMili[[#This Row],[Release Unit 1]]</f>
        <v>0</v>
      </c>
      <c r="F15" s="151" t="n">
        <f aca="false">OFFSET(TblMili[[#This Row],[Unit 2]],-1,0) + OFFSET(TblMili[[#This Row],[Train Unit 2]],-9,0)-TblMili[[#This Row],[Release Unit 2]]</f>
        <v>0</v>
      </c>
      <c r="G15" s="151" t="n">
        <f aca="false">OFFSET(TblMili[[#This Row],[Unit 3]],-1,0)-TblMili[[#This Row],[Release Unit 3]]</f>
        <v>0</v>
      </c>
      <c r="H15" s="151" t="n">
        <f aca="false">OFFSET(TblMili[[#This Row],[Unit 4]],-1,0)-TblMili[[#This Row],[Release Unit 4]]</f>
        <v>0</v>
      </c>
      <c r="I15" s="151" t="n">
        <f aca="false">OFFSET(TblMili[[#This Row],[Spies]],-1,0)-TblMili[[#This Row],[Release Spies]]-TblMili[[#This Row],[Train AS]]</f>
        <v>0</v>
      </c>
      <c r="J15" s="151" t="n">
        <f aca="false">OFFSET(TblMili[[#This Row],[Archspies]],-1,0)-TblMili[[#This Row],[Release AS]]</f>
        <v>0</v>
      </c>
      <c r="K15" s="151" t="n">
        <f aca="false">OFFSET(TblMili[[#This Row],[Wizards]],-1,0)-TblMili[[#This Row],[Release Wizards]]-TblMili[[#This Row],[Train AM]]</f>
        <v>0</v>
      </c>
      <c r="L15" s="151" t="n">
        <f aca="false">OFFSET(TblMili[[#This Row],[Archmages]],-1,0)-TblMili[[#This Row],[Release AM]]</f>
        <v>0</v>
      </c>
      <c r="M15" s="132"/>
      <c r="N15" s="69" t="e">
        <f aca="false">TblProd[[#This Row],[Networth]]</f>
        <v>#VALUE!</v>
      </c>
      <c r="O15" s="132"/>
      <c r="P1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5" s="285" t="e">
        <f aca="false">TblMili[[#This Row],[Raw]]*(1+TblMili[[#This Row],[Mods_Off]])</f>
        <v>#VALUE!</v>
      </c>
      <c r="S1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5" s="285" t="e">
        <f aca="false">TblMili[[#This Row],[Non Draft]]+TblMili[[#This Row],[Draftees]]</f>
        <v>#VALUE!</v>
      </c>
      <c r="U15" s="286" t="n">
        <f aca="false">race_defense + TblImps[[#This Row],[Walls]] + ROUND( MIN(gt_bonus*TblConstr[[#This Row],[Tot GT]]/TblConstr[[#This Row],[Land]],gt_bonus_cap), 4) + IF(TblMagic[[#This Row],[Active Howling]]&gt;0,howling_dp_bonus,IF(TblMagic[[#This Row],[Active Ares Call]]&gt;0,ares_call_bonus))</f>
        <v>0</v>
      </c>
      <c r="V15" s="274" t="e">
        <f aca="false">TblMili[[#This Row],[Non Draft]] * (1 + TblMili[[#This Row],[Mods_Def]])</f>
        <v>#VALUE!</v>
      </c>
      <c r="W15" s="285" t="e">
        <f aca="false">TblMili[[#This Row],[Draft]] * (1 + TblMili[[#This Row],[Mods_Def]])</f>
        <v>#VALUE!</v>
      </c>
      <c r="X15" s="285" t="n">
        <f aca="false">TblConstr[[#This Row],[Land]]</f>
        <v>250</v>
      </c>
      <c r="Y15" s="287"/>
      <c r="Z15" s="109" t="n">
        <f aca="false">IF(TblMili[[#This Row],[Set]]&lt;&gt;"",TblMili[[#This Row],[Set]],OFFSET(TblMili[[#This Row],[Draftrate]],-1,0))</f>
        <v>0.9</v>
      </c>
      <c r="AA15" s="69" t="n">
        <f aca="false">OFFSET(TblMili[[#This Row],[Draftees]],-1,0)+OFFSET(TblPop[[#This Row],[Draft Growth]],-1,0) - SUM(TblMili[[#This Row],[Train Unit 1]:[Train Spies]],TblMili[[#This Row],[Train Wiz]]) - TblMili[[#This Row],[Release Draft]] + SUM(TblMili[[#This Row],[Release Unit 1]:[Release AM]]) - TblExplore[[#This Row],[Draftees (2)]]</f>
        <v>342</v>
      </c>
      <c r="AB15" s="146"/>
      <c r="AC15" s="130" t="n">
        <f aca="false">(TblConstr[[#This Row],[Tot Smi]]+TblConstr[[#This Row],[Dest Smi]])/(TblConstr[[#This Row],[Land]]-TblExplore[[#This Row],[Land Bonus]]*20)</f>
        <v>0</v>
      </c>
      <c r="AD15" s="128"/>
      <c r="AE15" s="282" t="n">
        <f aca="false">TblMili[[#This Row],[Hour]]</f>
        <v>12</v>
      </c>
      <c r="AF15" s="129" t="n">
        <f aca="false">TblExplore[[#This Row],[Time]]</f>
        <v>45430.2083333333</v>
      </c>
      <c r="AG15" s="182"/>
      <c r="AH15" s="182"/>
      <c r="AI15" s="182"/>
      <c r="AJ15" s="182"/>
      <c r="AK15" s="182"/>
      <c r="AL15" s="182"/>
      <c r="AM15" s="182"/>
      <c r="AN15" s="182"/>
      <c r="AO15" s="132"/>
      <c r="AP15" s="69" t="n">
        <f aca="false">TblProd[[#This Row],[Platinum]]</f>
        <v>46621</v>
      </c>
      <c r="AQ15" s="69" t="n">
        <f aca="false">INDEX(TblProd[[#Headers],[Lumber]]:TblProd[[#This Row],[Ore]],COUNTA(TblProd[[#Headers],[Lumber]]:TblProd[[#This Row],[Lumber]]),MATCH(Military!$AQ$2,TblProd[[#Headers],[Lumber]:[Ore]],0))</f>
        <v>0</v>
      </c>
      <c r="AR1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69" t="n">
        <f aca="false">TblMili[[#This Row],[Train Unit 1]]*TblMili[[#This Row],[OP Ore]]+TblMili[[#This Row],[Train Unit 2]]*TblMili[[#This Row],[DP Ore]]+TblMili[[#This Row],[Train Unit 3]]*TblMili[[#This Row],[E1 Ore]]+TblMili[[#This Row],[Train Unit 4]]*TblMili[[#This Row],[E2 Ore]]</f>
        <v>0</v>
      </c>
      <c r="AT15" s="132" t="n">
        <f aca="false">TblMili[[#This Row],[Hour]]</f>
        <v>12</v>
      </c>
      <c r="AU15" s="144" t="n">
        <f aca="false">TblMili[[#This Row],[Time]]</f>
        <v>45430.2083333333</v>
      </c>
      <c r="AV15" s="69" t="n">
        <f aca="false">TblMili[[#This Row],[Draftees]]</f>
        <v>342</v>
      </c>
      <c r="AW15" s="182"/>
      <c r="AX15" s="182"/>
      <c r="AY15" s="182"/>
      <c r="AZ15" s="182"/>
      <c r="BA15" s="182"/>
      <c r="BB15" s="182"/>
      <c r="BC15" s="182"/>
      <c r="BD15" s="182"/>
      <c r="BE15" s="182"/>
      <c r="BF15" s="132"/>
      <c r="BG15" s="150" t="n">
        <f aca="false">TblConstr[[#This Row],[Tot WG]]/TblConstr[[#This Row],[Land]]</f>
        <v>0</v>
      </c>
      <c r="BH15" s="150" t="n">
        <f aca="false">TblConstr[[#This Row],[Tot Hav]]/TblConstr[[#This Row],[Land]]</f>
        <v>0</v>
      </c>
      <c r="BI15" s="69" t="n">
        <f aca="false">ROUNDUP((1-MIN(TblMili[[#This Row],[Smithies]]*smithy_bonus,smithy_bonus_cap) + tech_3_5*TblTech[[#This Row],[3-5]] + tech_5_3*TblTech[[#This Row],[5-3]] + tech_5_5*TblTech[[#This Row],[5-5]])*spec_op_plat,0)</f>
        <v>300</v>
      </c>
      <c r="BJ15" s="69" t="n">
        <f aca="false">ROUNDUP(IF(race="Gnome",1,(1-MIN(TblMili[[#This Row],[Smithies]]*smithy_bonus,smithy_bonus_cap) + tech_3_5*TblTech[[#This Row],[3-5]] + tech_5_3*TblTech[[#This Row],[5-3]] + tech_5_5*TblTech[[#This Row],[5-5]]))*spec_op_ore,0)</f>
        <v>0</v>
      </c>
      <c r="BK15" s="69" t="n">
        <f aca="false">ROUNDUP((1-MIN(TblMili[[#This Row],[Smithies]]*smithy_bonus,smithy_bonus_cap) + tech_3_5*TblTech[[#This Row],[3-5]] + tech_5_3*TblTech[[#This Row],[5-3]] + tech_5_5*TblTech[[#This Row],[5-5]])*spec_dp_plat,0)</f>
        <v>300</v>
      </c>
      <c r="BL15" s="69" t="n">
        <f aca="false">ROUNDUP(IF(race="Gnome",1,(1-MIN(TblMili[[#This Row],[Smithies]]*smithy_bonus,smithy_bonus_cap) + tech_3_5*TblTech[[#This Row],[3-5]] + tech_5_3*TblTech[[#This Row],[5-3]] + tech_5_5*TblTech[[#This Row],[5-5]]))*spec_dp_ore,0)</f>
        <v>0</v>
      </c>
      <c r="BM15" s="69" t="n">
        <f aca="false">ROUNDUP((1-MIN(TblMili[[#This Row],[Smithies]]*smithy_bonus,smithy_bonus_cap) + tech_3_5*TblTech[[#This Row],[3-5]] + tech_5_3*TblTech[[#This Row],[5-3]] + tech_5_5*TblTech[[#This Row],[5-5]])*elite1_plat,0)</f>
        <v>925</v>
      </c>
      <c r="BN15" s="69" t="n">
        <f aca="false">ROUNDUP(IF(race="Gnome",1,(1-MIN(TblMili[[#This Row],[Smithies]]*smithy_bonus,smithy_bonus_cap) + tech_3_5*TblTech[[#This Row],[3-5]] + tech_5_3*TblTech[[#This Row],[5-3]] + tech_5_5*TblTech[[#This Row],[5-5]]))*elite1_ore,0)</f>
        <v>0</v>
      </c>
      <c r="BO15" s="69" t="n">
        <f aca="false">ROUNDUP((1-MIN(TblMili[[#This Row],[Smithies]]*smithy_bonus,smithy_bonus_cap) + tech_3_5*TblTech[[#This Row],[3-5]] + tech_5_3*TblTech[[#This Row],[5-3]] + tech_5_5*TblTech[[#This Row],[5-5]])*elite2_plat,0)</f>
        <v>950</v>
      </c>
      <c r="BP15" s="69" t="n">
        <f aca="false">ROUNDUP(IF(race="Gnome",1,(1-MIN(TblMili[[#This Row],[Smithies]]*smithy_bonus,smithy_bonus_cap) + tech_3_5*TblTech[[#This Row],[3-5]] + tech_5_3*TblTech[[#This Row],[5-3]] + tech_5_5*TblTech[[#This Row],[5-5]]))*elite2_ore,0)</f>
        <v>0</v>
      </c>
      <c r="BQ15" s="69" t="n">
        <f aca="false">ROUNDUP((1-MIN(ROUND(fh_spy_cost_red*TblMili[[#This Row],[FH''s]],4),fh_spy_cost_cap)+ tech_1_9*TblTech[[#This Row],[1-9]] + tech_9_1*TblTech[[#This Row],[9-1]])*spy_plat,0)</f>
        <v>500</v>
      </c>
      <c r="BR15" s="69" t="n">
        <f aca="false">ROUNDUP((1-MIN(ROUND(fh_spy_cost_red*TblMili[[#This Row],[FH''s]],4),fh_spy_cost_cap)+ tech_1_9*TblTech[[#This Row],[1-9]] + tech_9_1*TblTech[[#This Row],[9-1]])*archspy_plat,0)</f>
        <v>1000</v>
      </c>
      <c r="BS15" s="69" t="n">
        <f aca="false">ROUNDUP((1-MIN(ROUND(wg_wiz_cost_bonus*TblMili[[#This Row],[WG''s]],4),wg_wiz_cost_cap) + tech_1_9_2*TblTech[[#This Row],[1-9]] + tech_9_1_2*TblTech[[#This Row],[9-1]])*wizard_plat,0)</f>
        <v>500</v>
      </c>
      <c r="BT15" s="69" t="n">
        <f aca="false">ROUNDUP((1-MIN(ROUND(wg_wiz_cost_bonus*TblMili[[#This Row],[WG''s]],4),wg_wiz_cost_cap) + tech_1_9_2*TblTech[[#This Row],[1-9]] + tech_9_1_2*TblTech[[#This Row],[9-1]])*archmage_plat,0)</f>
        <v>1000</v>
      </c>
      <c r="BU15" s="132"/>
      <c r="BV15" s="150" t="e">
        <f aca="false">TblConstr[[#This Row],[Homeland]]/TblConstr[[#This Row],[Land]]</f>
        <v>#VALUE!</v>
      </c>
      <c r="BW15" s="150" t="n">
        <f aca="false">TblMili[[#This Row],[WG''s]]</f>
        <v>0</v>
      </c>
      <c r="BX15" s="288" t="e">
        <f aca="false">IF(mystic_cap="none",TblMili[[#This Row],[Hill]]/mystic_bonus,MIN(mystic_cap,TblMili[[#This Row],[Hill]]/mystic_bonus))</f>
        <v>#VALUE!</v>
      </c>
      <c r="BY15" s="288" t="e">
        <f aca="false">IF(druid_op_cap="none",TblMili[[#This Row],[Hill]]/druid_op_bonus,MIN(druid_op_cap,TblMili[[#This Row],[Hill]]/druid_op_bonus))</f>
        <v>#VALUE!</v>
      </c>
      <c r="BZ15" s="288" t="e">
        <f aca="false">IF(druid_dp_cap="none",TblMili[[#This Row],[Hill]]/druid_dp_bonus,MIN(druid_dp_cap,TblMili[[#This Row],[Hill]]/druid_dp_bonus))</f>
        <v>#VALUE!</v>
      </c>
      <c r="CA15" s="288" t="e">
        <f aca="false">MIN(dryad_cap,TblMili[[#This Row],[Hill]]/dryad_bonus)</f>
        <v>#VALUE!</v>
      </c>
      <c r="CB15" s="288" t="e">
        <f aca="false">MIN(rocka_cap,TblMili[[#This Row],[Hill]]/rocka_bonus)</f>
        <v>#VALUE!</v>
      </c>
      <c r="CC15" s="288" t="n">
        <f aca="false">MIN(adept_op_cap,TblMili[[#This Row],[WG]]/adept_op_bonus)</f>
        <v>0</v>
      </c>
      <c r="CD15" s="288" t="n">
        <f aca="false">MIN(adept_dp_cap,TblMili[[#This Row],[WG]]/adept_dp_bonus)</f>
        <v>0</v>
      </c>
      <c r="CE15" s="69" t="n">
        <f aca="false">MIN(TblMili[[#This Row],[Unit 3]],TblMili[[#This Row],[Unit 2]])*2</f>
        <v>0</v>
      </c>
      <c r="CF15" s="69" t="n">
        <f aca="false">MIN(TblMili[[#This Row],[Unit 1]],TblMili[[#This Row],[Unit 4]])*2</f>
        <v>0</v>
      </c>
      <c r="CG15" s="288" t="e">
        <f aca="false">MIN(frost_mage_cap,TblMili[[#This Row],[Hill]]/frost_mage_bonus)</f>
        <v>#VALUE!</v>
      </c>
      <c r="CH15" s="151" t="n">
        <f aca="false">MIN(ice_elem_cap,TblMili[[#This Row],[Raw (2)]]*ice_elem_bonus)</f>
        <v>0</v>
      </c>
      <c r="CI15" s="288" t="n">
        <f aca="false">MIN(bone_breaker_cap,250/bone_breaker_bonus)</f>
        <v>0.833333333333333</v>
      </c>
      <c r="CJ15" s="288" t="e">
        <f aca="false">MIN(nox_nightshade_cap,TblConstr[[#This Row],[Homeland]]/TblConstr[[#This Row],[Land]]/nox_nightshade_swamp_bonus)</f>
        <v>#VALUE!</v>
      </c>
      <c r="CK15" s="289"/>
      <c r="CL15" s="289"/>
      <c r="CM15" s="289"/>
      <c r="CN15" s="288" t="e">
        <f aca="false">MIN(6,TblMili[[#This Row],[Mystic]]+Races!$F$19)*1.8 +  IF(TblMili[[#This Row],[Mystic]]+Races!$F$19&gt;6,(TblMili[[#This Row],[Mystic]]+Races!$F$19-6)*0.2,0) - Races!$I$19</f>
        <v>#VALUE!</v>
      </c>
      <c r="CO15" s="288" t="e">
        <f aca="false">1.8 * MIN(MAX(TblMili[[#This Row],[Druid (op)]]+Races!$E$20,TblMili[[#This Row],[Druid (dp)]]+Races!$F$20),6)  +  0.45 * MIN(MIN(TblMili[[#This Row],[Druid (op)]]+Races!$E$20,TblMili[[#This Row],[Druid (dp)]]+Races!$F$20),6)  +  0.2 * ( MAX(TblMili[[#This Row],[Druid (op)]]+Races!$E$20-6,0) + MAX(TblMili[[#This Row],[Druid (dp)]]+Races!$F$20-6,0) )  -  Races!$I$20</f>
        <v>#VALUE!</v>
      </c>
      <c r="CP15" s="69" t="e">
        <f aca="false">TblMili[[#This Row],[Mystic bonus]]*TblMili[[#This Row],[Unit 3]]+TblMili[[#This Row],[Druid bonus]]*TblMili[[#This Row],[Unit 4]]</f>
        <v>#VALUE!</v>
      </c>
      <c r="CQ15" s="148" t="e">
        <f aca="false">MIN(6,TblMili[[#This Row],[Dryad]]+Races!$F$35)*1.8 +  IF(TblMili[[#This Row],[Dryad]]+Races!$F$35&gt;6,(TblMili[[#This Row],[Dryad]]+Races!$F$35-6)*0.2,0) - Races!$I$19</f>
        <v>#VALUE!</v>
      </c>
      <c r="CR15" s="69" t="e">
        <f aca="false">sylvan*(TblMili[[#This Row],[Mystic bonus]]*TblMili[[#This Row],[Unit 3]])</f>
        <v>#VALUE!</v>
      </c>
      <c r="CS15" s="148" t="e">
        <f aca="false">1.8 * MIN(MAX(Races!$E$27,TblMili[[#This Row],[Rockapult]]+Races!$F$27),6)  +  0.45 * MIN(MIN(Races!$E$27,TblMili[[#This Row],[Rockapult]]+Races!$F$27),6)  +  0.2 * ( MAX(Races!$E$27-6,0) + MAX(TblMili[[#This Row],[Rockapult]]+Races!$F$27-6,0) )  -  Races!$I$20</f>
        <v>#VALUE!</v>
      </c>
      <c r="CT15" s="69" t="e">
        <f aca="false">gnome*(TblMili[[#This Row],[Rockapult bonus]]*TblMili[[#This Row],[Unit 3]])</f>
        <v>#VALUE!</v>
      </c>
      <c r="CU15" s="148" t="n">
        <f aca="false">1.8 * MIN(MAX(TblMili[[#This Row],[Spellblade]]+Races!$E$47,TblMili[[#This Row],[Adept-DP]]+Races!$F$47),6)  +  0.45 * MIN(MIN(TblMili[[#This Row],[Spellblade]]+Races!$E$47,TblMili[[#This Row],[Adept-DP]]+Races!$F$47),6)  +  0.2 * ( MAX(TblMili[[#This Row],[Spellblade]]+Races!$E$47-6,0) + MAX(TblMili[[#This Row],[Adept-DP]]+Races!$F$47-6,0) )  -  Races!$I$47</f>
        <v>0</v>
      </c>
      <c r="CV15" s="69" t="n">
        <f aca="false">dark_elf*(TblMili[[#This Row],[Adept bonus]]*TblMili[[#This Row],[Unit 3]])</f>
        <v>0</v>
      </c>
      <c r="CW15" s="148" t="e">
        <f aca="false">1.8 * MIN(MAX(TblMili[[#This Row],[Frost Mage]]+Races!$F$71,Races!$E$71),6)  +  0.45 * MIN(MIN(TblMili[[#This Row],[Frost Mage]]+Races!$F$71,Races!$E$71),6)  +  0.2 * ( MAX(TblMili[[#This Row],[Frost Mage]]+Races!$F$71-6,0) + MAX(Races!$E$71-6,0) )  -  Races!$I$71</f>
        <v>#VALUE!</v>
      </c>
      <c r="CX15" s="148" t="n">
        <f aca="false">1.8 * MIN(MAX(TblMili[[#This Row],[Ice Elemental]]+Races!$E$71,Races!$F$71),6)  +  0.45 * MIN(MIN(TblMili[[#This Row],[Ice Elemental]]+Races!$E$71,Races!$F$71),6)  +  0.2 * ( MAX(TblMili[[#This Row],[Ice Elemental]]+Races!$E$71-6,0) + MAX(Races!$F$71-6,0) )  -  Races!$I$71</f>
        <v>0</v>
      </c>
      <c r="CY15" s="69" t="e">
        <f aca="false">TblMili[[#This Row],[Frost Mage bonus]]*TblMili[[#This Row],[Unit 3]]+TblMili[[#This Row],[Ice Elemental bonus]]*TblMili[[#This Row],[Unit 4]]</f>
        <v>#VALUE!</v>
      </c>
      <c r="CZ15" s="290"/>
      <c r="DA15" s="109" t="n">
        <f aca="false">MIN(SUM(TblConstr[[#This Row],[Plain]:[Water]])/TblMili[[#This Row],[Land]]/favorable_terrain_bonus/100,favorable_terrain_max)</f>
        <v>0.1</v>
      </c>
      <c r="DB15" s="290"/>
      <c r="DC1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5" s="132"/>
      <c r="DE15" s="291" t="n">
        <f aca="false">(TblMili[[#This Row],[Wizards]]+2*TblMili[[#This Row],[Archmages]])/TblConstr[[#This Row],[Land]]</f>
        <v>0</v>
      </c>
      <c r="DF15" s="291" t="n">
        <f aca="false">TblMili[[#This Row],[Raw (2)]]*(1+race_wizard_strength+IF(TblMili[[#This Row],[Hour]]&gt;72,tech_magical_weaponry_wiz*TblTech[[#This Row],[3-5]],0))</f>
        <v>0</v>
      </c>
    </row>
    <row r="16" customFormat="false" ht="12.75" hidden="false" customHeight="false" outlineLevel="0" collapsed="false">
      <c r="A16" s="128" t="n">
        <f aca="false">TblRezone[[#This Row],[Hour]]</f>
        <v>13</v>
      </c>
      <c r="B16" s="282" t="n">
        <f aca="false">SUM(TblMili[[#This Row],[Unit 1]:[Archmages]])+SUM(OFFSET(TblMili[[#This Row],[Train Unit 1]],-8,0):TblMili[[#This Row],[Train Unit 2]]) + SUM(OFFSET(TblMili[[#This Row],[Train Unit 3]],-11,0):TblMili[[#This Row],[Train AM]]) + TblMili[[#This Row],[Draftees]]</f>
        <v>358</v>
      </c>
      <c r="C16" s="150" t="n">
        <f aca="false">TblPop[[#This Row],[Military%]]</f>
        <v>0.174209245742092</v>
      </c>
      <c r="D16" s="132"/>
      <c r="E16" s="151" t="n">
        <f aca="false">OFFSET(TblMili[[#This Row],[Unit 1]],-1,0) + OFFSET(TblMili[[#This Row],[Train Unit 1]],-9,0) - TblMili[[#This Row],[Release Unit 1]]</f>
        <v>0</v>
      </c>
      <c r="F16" s="151" t="n">
        <f aca="false">OFFSET(TblMili[[#This Row],[Unit 2]],-1,0) + OFFSET(TblMili[[#This Row],[Train Unit 2]],-9,0)-TblMili[[#This Row],[Release Unit 2]]</f>
        <v>0</v>
      </c>
      <c r="G16" s="151" t="n">
        <f aca="false">OFFSET(TblMili[[#This Row],[Unit 3]],-1,0) + OFFSET(TblMili[[#This Row],[Train Unit 3]],-12,0)-TblMili[[#This Row],[Release Unit 3]]</f>
        <v>0</v>
      </c>
      <c r="H16" s="151" t="n">
        <f aca="false">OFFSET(TblMili[[#This Row],[Unit 4]],-1,0) + OFFSET(TblMili[[#This Row],[Train Unit 4]],-12,0)-TblMili[[#This Row],[Release Unit 4]]</f>
        <v>0</v>
      </c>
      <c r="I16" s="151" t="n">
        <f aca="false">OFFSET(TblMili[[#This Row],[Spies]],-1,0) + OFFSET(TblMili[[#This Row],[Train Spies]],-12,0) - TblMili[[#This Row],[Release Spies]]-TblMili[[#This Row],[Train AS]]</f>
        <v>0</v>
      </c>
      <c r="J16" s="151" t="n">
        <f aca="false">OFFSET(TblMili[[#This Row],[Archspies]],-1,0) + OFFSET(TblMili[[#This Row],[Train AS]],-12,0) - TblMili[[#This Row],[Release AS]]</f>
        <v>0</v>
      </c>
      <c r="K16" s="151" t="n">
        <f aca="false">OFFSET(TblMili[[#This Row],[Wizards]],-1,0) + OFFSET(TblMili[[#This Row],[Train Wiz]],-12,0) - TblMili[[#This Row],[Release Wizards]]-TblMili[[#This Row],[Train AM]]</f>
        <v>0</v>
      </c>
      <c r="L16" s="151" t="n">
        <f aca="false">OFFSET(TblMili[[#This Row],[Archmages]],-1,0) + OFFSET(TblMili[[#This Row],[Train AM]],-12,0) - TblMili[[#This Row],[Release AM]]</f>
        <v>0</v>
      </c>
      <c r="M16" s="132"/>
      <c r="N16" s="69" t="e">
        <f aca="false">TblProd[[#This Row],[Networth]]</f>
        <v>#VALUE!</v>
      </c>
      <c r="O16" s="132"/>
      <c r="P1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6" s="285" t="e">
        <f aca="false">TblMili[[#This Row],[Raw]]*(1+TblMili[[#This Row],[Mods_Off]])</f>
        <v>#VALUE!</v>
      </c>
      <c r="S1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6" s="285" t="e">
        <f aca="false">TblMili[[#This Row],[Non Draft]]+TblMili[[#This Row],[Draftees]]</f>
        <v>#VALUE!</v>
      </c>
      <c r="U16" s="286" t="n">
        <f aca="false">race_defense + TblImps[[#This Row],[Walls]] + ROUND( MIN(gt_bonus*TblConstr[[#This Row],[Tot GT]]/TblConstr[[#This Row],[Land]],gt_bonus_cap), 4) + IF(TblMagic[[#This Row],[Active Howling]]&gt;0,howling_dp_bonus,IF(TblMagic[[#This Row],[Active Ares Call]]&gt;0,ares_call_bonus))</f>
        <v>0</v>
      </c>
      <c r="V16" s="274" t="e">
        <f aca="false">TblMili[[#This Row],[Non Draft]] * (1 + TblMili[[#This Row],[Mods_Def]])</f>
        <v>#VALUE!</v>
      </c>
      <c r="W16" s="285" t="e">
        <f aca="false">TblMili[[#This Row],[Draft]] * (1 + TblMili[[#This Row],[Mods_Def]])</f>
        <v>#VALUE!</v>
      </c>
      <c r="X16" s="285" t="n">
        <f aca="false">TblConstr[[#This Row],[Land]]</f>
        <v>250</v>
      </c>
      <c r="Y16" s="287"/>
      <c r="Z16" s="109" t="n">
        <f aca="false">IF(TblMili[[#This Row],[Set]]&lt;&gt;"",TblMili[[#This Row],[Set]],OFFSET(TblMili[[#This Row],[Draftrate]],-1,0))</f>
        <v>0.9</v>
      </c>
      <c r="AA16" s="69" t="n">
        <f aca="false">OFFSET(TblMili[[#This Row],[Draftees]],-1,0)+OFFSET(TblPop[[#This Row],[Draft Growth]],-1,0) - SUM(TblMili[[#This Row],[Train Unit 1]:[Train Spies]],TblMili[[#This Row],[Train Wiz]]) - TblMili[[#This Row],[Release Draft]] + SUM(TblMili[[#This Row],[Release Unit 1]:[Release AM]]) - TblExplore[[#This Row],[Draftees (2)]]</f>
        <v>358</v>
      </c>
      <c r="AB16" s="146"/>
      <c r="AC16" s="130" t="n">
        <f aca="false">(TblConstr[[#This Row],[Tot Smi]]+TblConstr[[#This Row],[Dest Smi]])/(TblConstr[[#This Row],[Land]]-TblExplore[[#This Row],[Land Bonus]]*20)</f>
        <v>0</v>
      </c>
      <c r="AD16" s="282"/>
      <c r="AE16" s="282" t="n">
        <f aca="false">TblMili[[#This Row],[Hour]]</f>
        <v>13</v>
      </c>
      <c r="AF16" s="129" t="n">
        <f aca="false">TblExplore[[#This Row],[Time]]</f>
        <v>45430.25</v>
      </c>
      <c r="AG16" s="182"/>
      <c r="AH16" s="182"/>
      <c r="AI16" s="182"/>
      <c r="AJ16" s="182"/>
      <c r="AK16" s="182"/>
      <c r="AL16" s="182"/>
      <c r="AM16" s="182"/>
      <c r="AN16" s="182"/>
      <c r="AO16" s="132"/>
      <c r="AP16" s="69" t="n">
        <f aca="false">TblProd[[#This Row],[Platinum]]</f>
        <v>27645</v>
      </c>
      <c r="AQ16" s="69" t="n">
        <f aca="false">INDEX(TblProd[[#Headers],[Lumber]]:TblProd[[#This Row],[Ore]],COUNTA(TblProd[[#Headers],[Lumber]]:TblProd[[#This Row],[Lumber]]),MATCH(Military!$AQ$2,TblProd[[#Headers],[Lumber]:[Ore]],0))</f>
        <v>0</v>
      </c>
      <c r="AR1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69" t="n">
        <f aca="false">TblMili[[#This Row],[Train Unit 1]]*TblMili[[#This Row],[OP Ore]]+TblMili[[#This Row],[Train Unit 2]]*TblMili[[#This Row],[DP Ore]]+TblMili[[#This Row],[Train Unit 3]]*TblMili[[#This Row],[E1 Ore]]+TblMili[[#This Row],[Train Unit 4]]*TblMili[[#This Row],[E2 Ore]]</f>
        <v>0</v>
      </c>
      <c r="AT16" s="132" t="n">
        <f aca="false">TblMili[[#This Row],[Hour]]</f>
        <v>13</v>
      </c>
      <c r="AU16" s="144" t="n">
        <f aca="false">TblMili[[#This Row],[Time]]</f>
        <v>45430.25</v>
      </c>
      <c r="AV16" s="69" t="n">
        <f aca="false">TblMili[[#This Row],[Draftees]]</f>
        <v>358</v>
      </c>
      <c r="AW16" s="182"/>
      <c r="AX16" s="182"/>
      <c r="AY16" s="182"/>
      <c r="AZ16" s="182"/>
      <c r="BA16" s="182"/>
      <c r="BB16" s="182"/>
      <c r="BC16" s="182"/>
      <c r="BD16" s="182"/>
      <c r="BE16" s="182"/>
      <c r="BF16" s="132"/>
      <c r="BG16" s="150" t="n">
        <f aca="false">TblConstr[[#This Row],[Tot WG]]/TblConstr[[#This Row],[Land]]</f>
        <v>0</v>
      </c>
      <c r="BH16" s="150" t="n">
        <f aca="false">TblConstr[[#This Row],[Tot Hav]]/TblConstr[[#This Row],[Land]]</f>
        <v>0</v>
      </c>
      <c r="BI16" s="69" t="n">
        <f aca="false">ROUNDUP((1-MIN(TblMili[[#This Row],[Smithies]]*smithy_bonus,smithy_bonus_cap) + tech_3_5*TblTech[[#This Row],[3-5]] + tech_5_3*TblTech[[#This Row],[5-3]] + tech_5_5*TblTech[[#This Row],[5-5]])*spec_op_plat,0)</f>
        <v>300</v>
      </c>
      <c r="BJ16" s="69" t="n">
        <f aca="false">ROUNDUP(IF(race="Gnome",1,(1-MIN(TblMili[[#This Row],[Smithies]]*smithy_bonus,smithy_bonus_cap) + tech_3_5*TblTech[[#This Row],[3-5]] + tech_5_3*TblTech[[#This Row],[5-3]] + tech_5_5*TblTech[[#This Row],[5-5]]))*spec_op_ore,0)</f>
        <v>0</v>
      </c>
      <c r="BK16" s="69" t="n">
        <f aca="false">ROUNDUP((1-MIN(TblMili[[#This Row],[Smithies]]*smithy_bonus,smithy_bonus_cap) + tech_3_5*TblTech[[#This Row],[3-5]] + tech_5_3*TblTech[[#This Row],[5-3]] + tech_5_5*TblTech[[#This Row],[5-5]])*spec_dp_plat,0)</f>
        <v>300</v>
      </c>
      <c r="BL16" s="69" t="n">
        <f aca="false">ROUNDUP(IF(race="Gnome",1,(1-MIN(TblMili[[#This Row],[Smithies]]*smithy_bonus,smithy_bonus_cap) + tech_3_5*TblTech[[#This Row],[3-5]] + tech_5_3*TblTech[[#This Row],[5-3]] + tech_5_5*TblTech[[#This Row],[5-5]]))*spec_dp_ore,0)</f>
        <v>0</v>
      </c>
      <c r="BM16" s="69" t="n">
        <f aca="false">ROUNDUP((1-MIN(TblMili[[#This Row],[Smithies]]*smithy_bonus,smithy_bonus_cap) + tech_3_5*TblTech[[#This Row],[3-5]] + tech_5_3*TblTech[[#This Row],[5-3]] + tech_5_5*TblTech[[#This Row],[5-5]])*elite1_plat,0)</f>
        <v>925</v>
      </c>
      <c r="BN16" s="69" t="n">
        <f aca="false">ROUNDUP(IF(race="Gnome",1,(1-MIN(TblMili[[#This Row],[Smithies]]*smithy_bonus,smithy_bonus_cap) + tech_3_5*TblTech[[#This Row],[3-5]] + tech_5_3*TblTech[[#This Row],[5-3]] + tech_5_5*TblTech[[#This Row],[5-5]]))*elite1_ore,0)</f>
        <v>0</v>
      </c>
      <c r="BO16" s="69" t="n">
        <f aca="false">ROUNDUP((1-MIN(TblMili[[#This Row],[Smithies]]*smithy_bonus,smithy_bonus_cap) + tech_3_5*TblTech[[#This Row],[3-5]] + tech_5_3*TblTech[[#This Row],[5-3]] + tech_5_5*TblTech[[#This Row],[5-5]])*elite2_plat,0)</f>
        <v>950</v>
      </c>
      <c r="BP16" s="69" t="n">
        <f aca="false">ROUNDUP(IF(race="Gnome",1,(1-MIN(TblMili[[#This Row],[Smithies]]*smithy_bonus,smithy_bonus_cap) + tech_3_5*TblTech[[#This Row],[3-5]] + tech_5_3*TblTech[[#This Row],[5-3]] + tech_5_5*TblTech[[#This Row],[5-5]]))*elite2_ore,0)</f>
        <v>0</v>
      </c>
      <c r="BQ16" s="69" t="n">
        <f aca="false">ROUNDUP((1-MIN(ROUND(fh_spy_cost_red*TblMili[[#This Row],[FH''s]],4),fh_spy_cost_cap)+ tech_1_9*TblTech[[#This Row],[1-9]] + tech_9_1*TblTech[[#This Row],[9-1]])*spy_plat,0)</f>
        <v>500</v>
      </c>
      <c r="BR16" s="69" t="n">
        <f aca="false">ROUNDUP((1-MIN(ROUND(fh_spy_cost_red*TblMili[[#This Row],[FH''s]],4),fh_spy_cost_cap)+ tech_1_9*TblTech[[#This Row],[1-9]] + tech_9_1*TblTech[[#This Row],[9-1]])*archspy_plat,0)</f>
        <v>1000</v>
      </c>
      <c r="BS16" s="69" t="n">
        <f aca="false">ROUNDUP((1-MIN(ROUND(wg_wiz_cost_bonus*TblMili[[#This Row],[WG''s]],4),wg_wiz_cost_cap) + tech_1_9_2*TblTech[[#This Row],[1-9]] + tech_9_1_2*TblTech[[#This Row],[9-1]])*wizard_plat,0)</f>
        <v>500</v>
      </c>
      <c r="BT16" s="69" t="n">
        <f aca="false">ROUNDUP((1-MIN(ROUND(wg_wiz_cost_bonus*TblMili[[#This Row],[WG''s]],4),wg_wiz_cost_cap) + tech_1_9_2*TblTech[[#This Row],[1-9]] + tech_9_1_2*TblTech[[#This Row],[9-1]])*archmage_plat,0)</f>
        <v>1000</v>
      </c>
      <c r="BU16" s="132"/>
      <c r="BV16" s="150" t="e">
        <f aca="false">TblConstr[[#This Row],[Homeland]]/TblConstr[[#This Row],[Land]]</f>
        <v>#VALUE!</v>
      </c>
      <c r="BW16" s="150" t="n">
        <f aca="false">TblMili[[#This Row],[WG''s]]</f>
        <v>0</v>
      </c>
      <c r="BX16" s="288" t="e">
        <f aca="false">IF(mystic_cap="none",TblMili[[#This Row],[Hill]]/mystic_bonus,MIN(mystic_cap,TblMili[[#This Row],[Hill]]/mystic_bonus))</f>
        <v>#VALUE!</v>
      </c>
      <c r="BY16" s="288" t="e">
        <f aca="false">IF(druid_op_cap="none",TblMili[[#This Row],[Hill]]/druid_op_bonus,MIN(druid_op_cap,TblMili[[#This Row],[Hill]]/druid_op_bonus))</f>
        <v>#VALUE!</v>
      </c>
      <c r="BZ16" s="288" t="e">
        <f aca="false">IF(druid_dp_cap="none",TblMili[[#This Row],[Hill]]/druid_dp_bonus,MIN(druid_dp_cap,TblMili[[#This Row],[Hill]]/druid_dp_bonus))</f>
        <v>#VALUE!</v>
      </c>
      <c r="CA16" s="288" t="e">
        <f aca="false">MIN(dryad_cap,TblMili[[#This Row],[Hill]]/dryad_bonus)</f>
        <v>#VALUE!</v>
      </c>
      <c r="CB16" s="288" t="e">
        <f aca="false">MIN(rocka_cap,TblMili[[#This Row],[Hill]]/rocka_bonus)</f>
        <v>#VALUE!</v>
      </c>
      <c r="CC16" s="288" t="n">
        <f aca="false">MIN(adept_op_cap,TblMili[[#This Row],[WG]]/adept_op_bonus)</f>
        <v>0</v>
      </c>
      <c r="CD16" s="288" t="n">
        <f aca="false">MIN(adept_dp_cap,TblMili[[#This Row],[WG]]/adept_dp_bonus)</f>
        <v>0</v>
      </c>
      <c r="CE16" s="69" t="n">
        <f aca="false">MIN(TblMili[[#This Row],[Unit 3]],TblMili[[#This Row],[Unit 2]])*2</f>
        <v>0</v>
      </c>
      <c r="CF16" s="69" t="n">
        <f aca="false">MIN(TblMili[[#This Row],[Unit 1]],TblMili[[#This Row],[Unit 4]])*2</f>
        <v>0</v>
      </c>
      <c r="CG16" s="288" t="e">
        <f aca="false">MIN(frost_mage_cap,TblMili[[#This Row],[Hill]]/frost_mage_bonus)</f>
        <v>#VALUE!</v>
      </c>
      <c r="CH16" s="151" t="n">
        <f aca="false">MIN(ice_elem_cap,TblMili[[#This Row],[Raw (2)]]*ice_elem_bonus)</f>
        <v>0</v>
      </c>
      <c r="CI16" s="288" t="n">
        <f aca="false">MIN(bone_breaker_cap,250/bone_breaker_bonus)</f>
        <v>0.833333333333333</v>
      </c>
      <c r="CJ16" s="288" t="e">
        <f aca="false">MIN(nox_nightshade_cap,TblConstr[[#This Row],[Homeland]]/TblConstr[[#This Row],[Land]]/nox_nightshade_swamp_bonus)</f>
        <v>#VALUE!</v>
      </c>
      <c r="CK16" s="289"/>
      <c r="CL16" s="289"/>
      <c r="CM16" s="289"/>
      <c r="CN16" s="288" t="e">
        <f aca="false">MIN(6,TblMili[[#This Row],[Mystic]]+Races!$F$19)*1.8 +  IF(TblMili[[#This Row],[Mystic]]+Races!$F$19&gt;6,(TblMili[[#This Row],[Mystic]]+Races!$F$19-6)*0.2,0) - Races!$I$19</f>
        <v>#VALUE!</v>
      </c>
      <c r="CO16" s="288" t="e">
        <f aca="false">1.8 * MIN(MAX(TblMili[[#This Row],[Druid (op)]]+Races!$E$20,TblMili[[#This Row],[Druid (dp)]]+Races!$F$20),6)  +  0.45 * MIN(MIN(TblMili[[#This Row],[Druid (op)]]+Races!$E$20,TblMili[[#This Row],[Druid (dp)]]+Races!$F$20),6)  +  0.2 * ( MAX(TblMili[[#This Row],[Druid (op)]]+Races!$E$20-6,0) + MAX(TblMili[[#This Row],[Druid (dp)]]+Races!$F$20-6,0) )  -  Races!$I$20</f>
        <v>#VALUE!</v>
      </c>
      <c r="CP16" s="69" t="e">
        <f aca="false">TblMili[[#This Row],[Mystic bonus]]*TblMili[[#This Row],[Unit 3]]+TblMili[[#This Row],[Druid bonus]]*TblMili[[#This Row],[Unit 4]]</f>
        <v>#VALUE!</v>
      </c>
      <c r="CQ16" s="148" t="e">
        <f aca="false">MIN(6,TblMili[[#This Row],[Dryad]]+Races!$F$35)*1.8 +  IF(TblMili[[#This Row],[Dryad]]+Races!$F$35&gt;6,(TblMili[[#This Row],[Dryad]]+Races!$F$35-6)*0.2,0) - Races!$I$19</f>
        <v>#VALUE!</v>
      </c>
      <c r="CR16" s="69" t="e">
        <f aca="false">sylvan*(TblMili[[#This Row],[Mystic bonus]]*TblMili[[#This Row],[Unit 3]])</f>
        <v>#VALUE!</v>
      </c>
      <c r="CS16" s="148" t="e">
        <f aca="false">1.8 * MIN(MAX(Races!$E$27,TblMili[[#This Row],[Rockapult]]+Races!$F$27),6)  +  0.45 * MIN(MIN(Races!$E$27,TblMili[[#This Row],[Rockapult]]+Races!$F$27),6)  +  0.2 * ( MAX(Races!$E$27-6,0) + MAX(TblMili[[#This Row],[Rockapult]]+Races!$F$27-6,0) )  -  Races!$I$20</f>
        <v>#VALUE!</v>
      </c>
      <c r="CT16" s="69" t="e">
        <f aca="false">gnome*(TblMili[[#This Row],[Rockapult bonus]]*TblMili[[#This Row],[Unit 3]])</f>
        <v>#VALUE!</v>
      </c>
      <c r="CU16" s="148" t="n">
        <f aca="false">1.8 * MIN(MAX(TblMili[[#This Row],[Spellblade]]+Races!$E$47,TblMili[[#This Row],[Adept-DP]]+Races!$F$47),6)  +  0.45 * MIN(MIN(TblMili[[#This Row],[Spellblade]]+Races!$E$47,TblMili[[#This Row],[Adept-DP]]+Races!$F$47),6)  +  0.2 * ( MAX(TblMili[[#This Row],[Spellblade]]+Races!$E$47-6,0) + MAX(TblMili[[#This Row],[Adept-DP]]+Races!$F$47-6,0) )  -  Races!$I$47</f>
        <v>0</v>
      </c>
      <c r="CV16" s="69" t="n">
        <f aca="false">dark_elf*(TblMili[[#This Row],[Adept bonus]]*TblMili[[#This Row],[Unit 3]])</f>
        <v>0</v>
      </c>
      <c r="CW16" s="148" t="e">
        <f aca="false">1.8 * MIN(MAX(TblMili[[#This Row],[Frost Mage]]+Races!$F$71,Races!$E$71),6)  +  0.45 * MIN(MIN(TblMili[[#This Row],[Frost Mage]]+Races!$F$71,Races!$E$71),6)  +  0.2 * ( MAX(TblMili[[#This Row],[Frost Mage]]+Races!$F$71-6,0) + MAX(Races!$E$71-6,0) )  -  Races!$I$71</f>
        <v>#VALUE!</v>
      </c>
      <c r="CX16" s="148" t="n">
        <f aca="false">1.8 * MIN(MAX(TblMili[[#This Row],[Ice Elemental]]+Races!$E$71,Races!$F$71),6)  +  0.45 * MIN(MIN(TblMili[[#This Row],[Ice Elemental]]+Races!$E$71,Races!$F$71),6)  +  0.2 * ( MAX(TblMili[[#This Row],[Ice Elemental]]+Races!$E$71-6,0) + MAX(Races!$F$71-6,0) )  -  Races!$I$71</f>
        <v>0</v>
      </c>
      <c r="CY16" s="69" t="e">
        <f aca="false">TblMili[[#This Row],[Frost Mage bonus]]*TblMili[[#This Row],[Unit 3]]+TblMili[[#This Row],[Ice Elemental bonus]]*TblMili[[#This Row],[Unit 4]]</f>
        <v>#VALUE!</v>
      </c>
      <c r="CZ16" s="290"/>
      <c r="DA16" s="109" t="n">
        <f aca="false">MIN(SUM(TblConstr[[#This Row],[Plain]:[Water]])/TblMili[[#This Row],[Land]]/favorable_terrain_bonus/100,favorable_terrain_max)</f>
        <v>0</v>
      </c>
      <c r="DB16" s="290"/>
      <c r="DC1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6" s="132"/>
      <c r="DE16" s="291" t="n">
        <f aca="false">(TblMili[[#This Row],[Wizards]]+2*TblMili[[#This Row],[Archmages]])/TblConstr[[#This Row],[Land]]</f>
        <v>0</v>
      </c>
      <c r="DF16" s="291" t="n">
        <f aca="false">TblMili[[#This Row],[Raw (2)]]*(1+race_wizard_strength+IF(TblMili[[#This Row],[Hour]]&gt;72,tech_magical_weaponry_wiz*TblTech[[#This Row],[3-5]],0))</f>
        <v>0</v>
      </c>
    </row>
    <row r="17" customFormat="false" ht="12.75" hidden="false" customHeight="false" outlineLevel="0" collapsed="false">
      <c r="A17" s="128" t="n">
        <f aca="false">TblRezone[[#This Row],[Hour]]</f>
        <v>14</v>
      </c>
      <c r="B17" s="282" t="n">
        <f aca="false">SUM(TblMili[[#This Row],[Unit 1]:[Archmages]])+SUM(OFFSET(TblMili[[#This Row],[Train Unit 1]],-8,0):TblMili[[#This Row],[Train Unit 2]]) + SUM(OFFSET(TblMili[[#This Row],[Train Unit 3]],-11,0):TblMili[[#This Row],[Train AM]]) + TblMili[[#This Row],[Draftees]]</f>
        <v>375</v>
      </c>
      <c r="C17" s="150" t="n">
        <f aca="false">TblPop[[#This Row],[Military%]]</f>
        <v>0.173450508788159</v>
      </c>
      <c r="D17" s="132"/>
      <c r="E17" s="151" t="n">
        <f aca="false">OFFSET(TblMili[[#This Row],[Unit 1]],-1,0) + OFFSET(TblMili[[#This Row],[Train Unit 1]],-9,0) - TblMili[[#This Row],[Release Unit 1]]</f>
        <v>0</v>
      </c>
      <c r="F17" s="151" t="n">
        <f aca="false">OFFSET(TblMili[[#This Row],[Unit 2]],-1,0) + OFFSET(TblMili[[#This Row],[Train Unit 2]],-9,0)-TblMili[[#This Row],[Release Unit 2]]</f>
        <v>0</v>
      </c>
      <c r="G17" s="151" t="n">
        <f aca="false">OFFSET(TblMili[[#This Row],[Unit 3]],-1,0) + OFFSET(TblMili[[#This Row],[Train Unit 3]],-12,0)-TblMili[[#This Row],[Release Unit 3]]</f>
        <v>0</v>
      </c>
      <c r="H17" s="151" t="n">
        <f aca="false">OFFSET(TblMili[[#This Row],[Unit 4]],-1,0) + OFFSET(TblMili[[#This Row],[Train Unit 4]],-12,0)-TblMili[[#This Row],[Release Unit 4]]</f>
        <v>0</v>
      </c>
      <c r="I17" s="151" t="n">
        <f aca="false">OFFSET(TblMili[[#This Row],[Spies]],-1,0) + OFFSET(TblMili[[#This Row],[Train Spies]],-12,0) - TblMili[[#This Row],[Release Spies]]-TblMili[[#This Row],[Train AS]]</f>
        <v>0</v>
      </c>
      <c r="J17" s="151" t="n">
        <f aca="false">OFFSET(TblMili[[#This Row],[Archspies]],-1,0) + OFFSET(TblMili[[#This Row],[Train AS]],-12,0) - TblMili[[#This Row],[Release AS]]</f>
        <v>0</v>
      </c>
      <c r="K17" s="151" t="n">
        <f aca="false">OFFSET(TblMili[[#This Row],[Wizards]],-1,0) + OFFSET(TblMili[[#This Row],[Train Wiz]],-12,0) - TblMili[[#This Row],[Release Wizards]]-TblMili[[#This Row],[Train AM]]</f>
        <v>0</v>
      </c>
      <c r="L17" s="151" t="n">
        <f aca="false">OFFSET(TblMili[[#This Row],[Archmages]],-1,0) + OFFSET(TblMili[[#This Row],[Train AM]],-12,0) - TblMili[[#This Row],[Release AM]]</f>
        <v>0</v>
      </c>
      <c r="M17" s="132"/>
      <c r="N17" s="69" t="e">
        <f aca="false">TblProd[[#This Row],[Networth]]</f>
        <v>#VALUE!</v>
      </c>
      <c r="O17" s="132"/>
      <c r="P1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7" s="285" t="e">
        <f aca="false">TblMili[[#This Row],[Raw]]*(1+TblMili[[#This Row],[Mods_Off]])</f>
        <v>#VALUE!</v>
      </c>
      <c r="S1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7" s="285" t="e">
        <f aca="false">TblMili[[#This Row],[Non Draft]]+TblMili[[#This Row],[Draftees]]</f>
        <v>#VALUE!</v>
      </c>
      <c r="U17" s="286" t="n">
        <f aca="false">race_defense + TblImps[[#This Row],[Walls]] + ROUND( MIN(gt_bonus*TblConstr[[#This Row],[Tot GT]]/TblConstr[[#This Row],[Land]],gt_bonus_cap), 4) + IF(TblMagic[[#This Row],[Active Howling]]&gt;0,howling_dp_bonus,IF(TblMagic[[#This Row],[Active Ares Call]]&gt;0,ares_call_bonus))</f>
        <v>0</v>
      </c>
      <c r="V17" s="274" t="e">
        <f aca="false">TblMili[[#This Row],[Non Draft]] * (1 + TblMili[[#This Row],[Mods_Def]])</f>
        <v>#VALUE!</v>
      </c>
      <c r="W17" s="285" t="e">
        <f aca="false">TblMili[[#This Row],[Draft]] * (1 + TblMili[[#This Row],[Mods_Def]])</f>
        <v>#VALUE!</v>
      </c>
      <c r="X17" s="285" t="n">
        <f aca="false">TblConstr[[#This Row],[Land]]</f>
        <v>250</v>
      </c>
      <c r="Y17" s="287"/>
      <c r="Z17" s="109" t="n">
        <f aca="false">IF(TblMili[[#This Row],[Set]]&lt;&gt;"",TblMili[[#This Row],[Set]],OFFSET(TblMili[[#This Row],[Draftrate]],-1,0))</f>
        <v>0.9</v>
      </c>
      <c r="AA17" s="69" t="n">
        <f aca="false">OFFSET(TblMili[[#This Row],[Draftees]],-1,0)+OFFSET(TblPop[[#This Row],[Draft Growth]],-1,0) - SUM(TblMili[[#This Row],[Train Unit 1]:[Train Spies]],TblMili[[#This Row],[Train Wiz]]) - TblMili[[#This Row],[Release Draft]] + SUM(TblMili[[#This Row],[Release Unit 1]:[Release AM]]) - TblExplore[[#This Row],[Draftees (2)]]</f>
        <v>375</v>
      </c>
      <c r="AB17" s="146"/>
      <c r="AC17" s="130" t="n">
        <f aca="false">(TblConstr[[#This Row],[Tot Smi]]+TblConstr[[#This Row],[Dest Smi]])/(TblConstr[[#This Row],[Land]]-TblExplore[[#This Row],[Land Bonus]]*20)</f>
        <v>0</v>
      </c>
      <c r="AD17" s="128"/>
      <c r="AE17" s="282" t="n">
        <f aca="false">TblMili[[#This Row],[Hour]]</f>
        <v>14</v>
      </c>
      <c r="AF17" s="129" t="n">
        <f aca="false">TblExplore[[#This Row],[Time]]</f>
        <v>45430.2916666667</v>
      </c>
      <c r="AG17" s="182"/>
      <c r="AH17" s="182"/>
      <c r="AI17" s="182"/>
      <c r="AJ17" s="182"/>
      <c r="AK17" s="182"/>
      <c r="AL17" s="182"/>
      <c r="AM17" s="182"/>
      <c r="AN17" s="182"/>
      <c r="AO17" s="132"/>
      <c r="AP17" s="69" t="n">
        <f aca="false">TblProd[[#This Row],[Platinum]]</f>
        <v>35376</v>
      </c>
      <c r="AQ17" s="69" t="n">
        <f aca="false">INDEX(TblProd[[#Headers],[Lumber]]:TblProd[[#This Row],[Ore]],COUNTA(TblProd[[#Headers],[Lumber]]:TblProd[[#This Row],[Lumber]]),MATCH(Military!$AQ$2,TblProd[[#Headers],[Lumber]:[Ore]],0))</f>
        <v>0</v>
      </c>
      <c r="AR1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69" t="n">
        <f aca="false">TblMili[[#This Row],[Train Unit 1]]*TblMili[[#This Row],[OP Ore]]+TblMili[[#This Row],[Train Unit 2]]*TblMili[[#This Row],[DP Ore]]+TblMili[[#This Row],[Train Unit 3]]*TblMili[[#This Row],[E1 Ore]]+TblMili[[#This Row],[Train Unit 4]]*TblMili[[#This Row],[E2 Ore]]</f>
        <v>0</v>
      </c>
      <c r="AT17" s="132" t="n">
        <f aca="false">TblMili[[#This Row],[Hour]]</f>
        <v>14</v>
      </c>
      <c r="AU17" s="144" t="n">
        <f aca="false">TblMili[[#This Row],[Time]]</f>
        <v>45430.2916666667</v>
      </c>
      <c r="AV17" s="69" t="n">
        <f aca="false">TblMili[[#This Row],[Draftees]]</f>
        <v>375</v>
      </c>
      <c r="AW17" s="182"/>
      <c r="AX17" s="182"/>
      <c r="AY17" s="182"/>
      <c r="AZ17" s="182"/>
      <c r="BA17" s="182"/>
      <c r="BB17" s="182"/>
      <c r="BC17" s="182"/>
      <c r="BD17" s="182"/>
      <c r="BE17" s="182"/>
      <c r="BF17" s="132"/>
      <c r="BG17" s="150" t="n">
        <f aca="false">TblConstr[[#This Row],[Tot WG]]/TblConstr[[#This Row],[Land]]</f>
        <v>0</v>
      </c>
      <c r="BH17" s="150" t="n">
        <f aca="false">TblConstr[[#This Row],[Tot Hav]]/TblConstr[[#This Row],[Land]]</f>
        <v>0</v>
      </c>
      <c r="BI17" s="69" t="n">
        <f aca="false">ROUNDUP((1-MIN(TblMili[[#This Row],[Smithies]]*smithy_bonus,smithy_bonus_cap) + tech_3_5*TblTech[[#This Row],[3-5]] + tech_5_3*TblTech[[#This Row],[5-3]] + tech_5_5*TblTech[[#This Row],[5-5]])*spec_op_plat,0)</f>
        <v>300</v>
      </c>
      <c r="BJ17" s="69" t="n">
        <f aca="false">ROUNDUP(IF(race="Gnome",1,(1-MIN(TblMili[[#This Row],[Smithies]]*smithy_bonus,smithy_bonus_cap) + tech_3_5*TblTech[[#This Row],[3-5]] + tech_5_3*TblTech[[#This Row],[5-3]] + tech_5_5*TblTech[[#This Row],[5-5]]))*spec_op_ore,0)</f>
        <v>0</v>
      </c>
      <c r="BK17" s="69" t="n">
        <f aca="false">ROUNDUP((1-MIN(TblMili[[#This Row],[Smithies]]*smithy_bonus,smithy_bonus_cap) + tech_3_5*TblTech[[#This Row],[3-5]] + tech_5_3*TblTech[[#This Row],[5-3]] + tech_5_5*TblTech[[#This Row],[5-5]])*spec_dp_plat,0)</f>
        <v>300</v>
      </c>
      <c r="BL17" s="69" t="n">
        <f aca="false">ROUNDUP(IF(race="Gnome",1,(1-MIN(TblMili[[#This Row],[Smithies]]*smithy_bonus,smithy_bonus_cap) + tech_3_5*TblTech[[#This Row],[3-5]] + tech_5_3*TblTech[[#This Row],[5-3]] + tech_5_5*TblTech[[#This Row],[5-5]]))*spec_dp_ore,0)</f>
        <v>0</v>
      </c>
      <c r="BM17" s="69" t="n">
        <f aca="false">ROUNDUP((1-MIN(TblMili[[#This Row],[Smithies]]*smithy_bonus,smithy_bonus_cap) + tech_3_5*TblTech[[#This Row],[3-5]] + tech_5_3*TblTech[[#This Row],[5-3]] + tech_5_5*TblTech[[#This Row],[5-5]])*elite1_plat,0)</f>
        <v>925</v>
      </c>
      <c r="BN17" s="69" t="n">
        <f aca="false">ROUNDUP(IF(race="Gnome",1,(1-MIN(TblMili[[#This Row],[Smithies]]*smithy_bonus,smithy_bonus_cap) + tech_3_5*TblTech[[#This Row],[3-5]] + tech_5_3*TblTech[[#This Row],[5-3]] + tech_5_5*TblTech[[#This Row],[5-5]]))*elite1_ore,0)</f>
        <v>0</v>
      </c>
      <c r="BO17" s="69" t="n">
        <f aca="false">ROUNDUP((1-MIN(TblMili[[#This Row],[Smithies]]*smithy_bonus,smithy_bonus_cap) + tech_3_5*TblTech[[#This Row],[3-5]] + tech_5_3*TblTech[[#This Row],[5-3]] + tech_5_5*TblTech[[#This Row],[5-5]])*elite2_plat,0)</f>
        <v>950</v>
      </c>
      <c r="BP17" s="69" t="n">
        <f aca="false">ROUNDUP(IF(race="Gnome",1,(1-MIN(TblMili[[#This Row],[Smithies]]*smithy_bonus,smithy_bonus_cap) + tech_3_5*TblTech[[#This Row],[3-5]] + tech_5_3*TblTech[[#This Row],[5-3]] + tech_5_5*TblTech[[#This Row],[5-5]]))*elite2_ore,0)</f>
        <v>0</v>
      </c>
      <c r="BQ17" s="69" t="n">
        <f aca="false">ROUNDUP((1-MIN(ROUND(fh_spy_cost_red*TblMili[[#This Row],[FH''s]],4),fh_spy_cost_cap)+ tech_1_9*TblTech[[#This Row],[1-9]] + tech_9_1*TblTech[[#This Row],[9-1]])*spy_plat,0)</f>
        <v>500</v>
      </c>
      <c r="BR17" s="69" t="n">
        <f aca="false">ROUNDUP((1-MIN(ROUND(fh_spy_cost_red*TblMili[[#This Row],[FH''s]],4),fh_spy_cost_cap)+ tech_1_9*TblTech[[#This Row],[1-9]] + tech_9_1*TblTech[[#This Row],[9-1]])*archspy_plat,0)</f>
        <v>1000</v>
      </c>
      <c r="BS17" s="69" t="n">
        <f aca="false">ROUNDUP((1-MIN(ROUND(wg_wiz_cost_bonus*TblMili[[#This Row],[WG''s]],4),wg_wiz_cost_cap) + tech_1_9_2*TblTech[[#This Row],[1-9]] + tech_9_1_2*TblTech[[#This Row],[9-1]])*wizard_plat,0)</f>
        <v>500</v>
      </c>
      <c r="BT17" s="69" t="n">
        <f aca="false">ROUNDUP((1-MIN(ROUND(wg_wiz_cost_bonus*TblMili[[#This Row],[WG''s]],4),wg_wiz_cost_cap) + tech_1_9_2*TblTech[[#This Row],[1-9]] + tech_9_1_2*TblTech[[#This Row],[9-1]])*archmage_plat,0)</f>
        <v>1000</v>
      </c>
      <c r="BU17" s="132"/>
      <c r="BV17" s="150" t="e">
        <f aca="false">TblConstr[[#This Row],[Homeland]]/TblConstr[[#This Row],[Land]]</f>
        <v>#VALUE!</v>
      </c>
      <c r="BW17" s="150" t="n">
        <f aca="false">TblMili[[#This Row],[WG''s]]</f>
        <v>0</v>
      </c>
      <c r="BX17" s="288" t="e">
        <f aca="false">IF(mystic_cap="none",TblMili[[#This Row],[Hill]]/mystic_bonus,MIN(mystic_cap,TblMili[[#This Row],[Hill]]/mystic_bonus))</f>
        <v>#VALUE!</v>
      </c>
      <c r="BY17" s="288" t="e">
        <f aca="false">IF(druid_op_cap="none",TblMili[[#This Row],[Hill]]/druid_op_bonus,MIN(druid_op_cap,TblMili[[#This Row],[Hill]]/druid_op_bonus))</f>
        <v>#VALUE!</v>
      </c>
      <c r="BZ17" s="288" t="e">
        <f aca="false">IF(druid_dp_cap="none",TblMili[[#This Row],[Hill]]/druid_dp_bonus,MIN(druid_dp_cap,TblMili[[#This Row],[Hill]]/druid_dp_bonus))</f>
        <v>#VALUE!</v>
      </c>
      <c r="CA17" s="288" t="e">
        <f aca="false">MIN(dryad_cap,TblMili[[#This Row],[Hill]]/dryad_bonus)</f>
        <v>#VALUE!</v>
      </c>
      <c r="CB17" s="288" t="e">
        <f aca="false">MIN(rocka_cap,TblMili[[#This Row],[Hill]]/rocka_bonus)</f>
        <v>#VALUE!</v>
      </c>
      <c r="CC17" s="288" t="n">
        <f aca="false">MIN(adept_op_cap,TblMili[[#This Row],[WG]]/adept_op_bonus)</f>
        <v>0</v>
      </c>
      <c r="CD17" s="288" t="n">
        <f aca="false">MIN(adept_dp_cap,TblMili[[#This Row],[WG]]/adept_dp_bonus)</f>
        <v>0</v>
      </c>
      <c r="CE17" s="69" t="n">
        <f aca="false">MIN(TblMili[[#This Row],[Unit 3]],TblMili[[#This Row],[Unit 2]])*2</f>
        <v>0</v>
      </c>
      <c r="CF17" s="69" t="n">
        <f aca="false">MIN(TblMili[[#This Row],[Unit 1]],TblMili[[#This Row],[Unit 4]])*2</f>
        <v>0</v>
      </c>
      <c r="CG17" s="288" t="e">
        <f aca="false">MIN(frost_mage_cap,TblMili[[#This Row],[Hill]]/frost_mage_bonus)</f>
        <v>#VALUE!</v>
      </c>
      <c r="CH17" s="151" t="n">
        <f aca="false">MIN(ice_elem_cap,TblMili[[#This Row],[Raw (2)]]*ice_elem_bonus)</f>
        <v>0</v>
      </c>
      <c r="CI17" s="288" t="n">
        <f aca="false">MIN(bone_breaker_cap,250/bone_breaker_bonus)</f>
        <v>0.833333333333333</v>
      </c>
      <c r="CJ17" s="288" t="e">
        <f aca="false">MIN(nox_nightshade_cap,TblConstr[[#This Row],[Homeland]]/TblConstr[[#This Row],[Land]]/nox_nightshade_swamp_bonus)</f>
        <v>#VALUE!</v>
      </c>
      <c r="CK17" s="289" t="s">
        <v>469</v>
      </c>
      <c r="CL17" s="289"/>
      <c r="CM17" s="289"/>
      <c r="CN17" s="288" t="e">
        <f aca="false">MIN(6,TblMili[[#This Row],[Mystic]]+Races!$F$19)*1.8 +  IF(TblMili[[#This Row],[Mystic]]+Races!$F$19&gt;6,(TblMili[[#This Row],[Mystic]]+Races!$F$19-6)*0.2,0) - Races!$I$19</f>
        <v>#VALUE!</v>
      </c>
      <c r="CO17" s="288" t="e">
        <f aca="false">1.8 * MIN(MAX(TblMili[[#This Row],[Druid (op)]]+Races!$E$20,TblMili[[#This Row],[Druid (dp)]]+Races!$F$20),6)  +  0.45 * MIN(MIN(TblMili[[#This Row],[Druid (op)]]+Races!$E$20,TblMili[[#This Row],[Druid (dp)]]+Races!$F$20),6)  +  0.2 * ( MAX(TblMili[[#This Row],[Druid (op)]]+Races!$E$20-6,0) + MAX(TblMili[[#This Row],[Druid (dp)]]+Races!$F$20-6,0) )  -  Races!$I$20</f>
        <v>#VALUE!</v>
      </c>
      <c r="CP17" s="69" t="e">
        <f aca="false">TblMili[[#This Row],[Mystic bonus]]*TblMili[[#This Row],[Unit 3]]+TblMili[[#This Row],[Druid bonus]]*TblMili[[#This Row],[Unit 4]]</f>
        <v>#VALUE!</v>
      </c>
      <c r="CQ17" s="148" t="e">
        <f aca="false">MIN(6,TblMili[[#This Row],[Dryad]]+Races!$F$35)*1.8 +  IF(TblMili[[#This Row],[Dryad]]+Races!$F$35&gt;6,(TblMili[[#This Row],[Dryad]]+Races!$F$35-6)*0.2,0) - Races!$I$19</f>
        <v>#VALUE!</v>
      </c>
      <c r="CR17" s="69" t="e">
        <f aca="false">sylvan*(TblMili[[#This Row],[Mystic bonus]]*TblMili[[#This Row],[Unit 3]])</f>
        <v>#VALUE!</v>
      </c>
      <c r="CS17" s="148" t="e">
        <f aca="false">1.8 * MIN(MAX(Races!$E$27,TblMili[[#This Row],[Rockapult]]+Races!$F$27),6)  +  0.45 * MIN(MIN(Races!$E$27,TblMili[[#This Row],[Rockapult]]+Races!$F$27),6)  +  0.2 * ( MAX(Races!$E$27-6,0) + MAX(TblMili[[#This Row],[Rockapult]]+Races!$F$27-6,0) )  -  Races!$I$20</f>
        <v>#VALUE!</v>
      </c>
      <c r="CT17" s="69" t="e">
        <f aca="false">gnome*(TblMili[[#This Row],[Rockapult bonus]]*TblMili[[#This Row],[Unit 3]])</f>
        <v>#VALUE!</v>
      </c>
      <c r="CU17" s="148" t="n">
        <f aca="false">1.8 * MIN(MAX(TblMili[[#This Row],[Spellblade]]+Races!$E$47,TblMili[[#This Row],[Adept-DP]]+Races!$F$47),6)  +  0.45 * MIN(MIN(TblMili[[#This Row],[Spellblade]]+Races!$E$47,TblMili[[#This Row],[Adept-DP]]+Races!$F$47),6)  +  0.2 * ( MAX(TblMili[[#This Row],[Spellblade]]+Races!$E$47-6,0) + MAX(TblMili[[#This Row],[Adept-DP]]+Races!$F$47-6,0) )  -  Races!$I$47</f>
        <v>0</v>
      </c>
      <c r="CV17" s="69" t="n">
        <f aca="false">dark_elf*(TblMili[[#This Row],[Adept bonus]]*TblMili[[#This Row],[Unit 3]])</f>
        <v>0</v>
      </c>
      <c r="CW17" s="148" t="e">
        <f aca="false">1.8 * MIN(MAX(TblMili[[#This Row],[Frost Mage]]+Races!$F$71,Races!$E$71),6)  +  0.45 * MIN(MIN(TblMili[[#This Row],[Frost Mage]]+Races!$F$71,Races!$E$71),6)  +  0.2 * ( MAX(TblMili[[#This Row],[Frost Mage]]+Races!$F$71-6,0) + MAX(Races!$E$71-6,0) )  -  Races!$I$71</f>
        <v>#VALUE!</v>
      </c>
      <c r="CX17" s="148" t="n">
        <f aca="false">1.8 * MIN(MAX(TblMili[[#This Row],[Ice Elemental]]+Races!$E$71,Races!$F$71),6)  +  0.45 * MIN(MIN(TblMili[[#This Row],[Ice Elemental]]+Races!$E$71,Races!$F$71),6)  +  0.2 * ( MAX(TblMili[[#This Row],[Ice Elemental]]+Races!$E$71-6,0) + MAX(Races!$F$71-6,0) )  -  Races!$I$71</f>
        <v>0</v>
      </c>
      <c r="CY17" s="69" t="e">
        <f aca="false">TblMili[[#This Row],[Frost Mage bonus]]*TblMili[[#This Row],[Unit 3]]+TblMili[[#This Row],[Ice Elemental bonus]]*TblMili[[#This Row],[Unit 4]]</f>
        <v>#VALUE!</v>
      </c>
      <c r="CZ17" s="290"/>
      <c r="DA17" s="109" t="n">
        <f aca="false">MIN(SUM(TblConstr[[#This Row],[Plain]:[Water]])/TblMili[[#This Row],[Land]]/favorable_terrain_bonus/100,favorable_terrain_max)</f>
        <v>0</v>
      </c>
      <c r="DB17" s="290"/>
      <c r="DC1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7" s="132"/>
      <c r="DE17" s="291" t="n">
        <f aca="false">(TblMili[[#This Row],[Wizards]]+2*TblMili[[#This Row],[Archmages]])/TblConstr[[#This Row],[Land]]</f>
        <v>0</v>
      </c>
      <c r="DF17" s="291" t="n">
        <f aca="false">TblMili[[#This Row],[Raw (2)]]*(1+race_wizard_strength+IF(TblMili[[#This Row],[Hour]]&gt;72,tech_magical_weaponry_wiz*TblTech[[#This Row],[3-5]],0))</f>
        <v>0</v>
      </c>
    </row>
    <row r="18" customFormat="false" ht="12.75" hidden="false" customHeight="false" outlineLevel="0" collapsed="false">
      <c r="A18" s="128" t="n">
        <f aca="false">TblRezone[[#This Row],[Hour]]</f>
        <v>15</v>
      </c>
      <c r="B18" s="282" t="n">
        <f aca="false">SUM(TblMili[[#This Row],[Unit 1]:[Archmages]])+SUM(OFFSET(TblMili[[#This Row],[Train Unit 1]],-8,0):TblMili[[#This Row],[Train Unit 2]]) + SUM(OFFSET(TblMili[[#This Row],[Train Unit 3]],-11,0):TblMili[[#This Row],[Train AM]]) + TblMili[[#This Row],[Draftees]]</f>
        <v>393</v>
      </c>
      <c r="C18" s="150" t="n">
        <f aca="false">TblPop[[#This Row],[Military%]]</f>
        <v>0.170795306388527</v>
      </c>
      <c r="D18" s="132"/>
      <c r="E18" s="151" t="n">
        <f aca="false">OFFSET(TblMili[[#This Row],[Unit 1]],-1,0) + OFFSET(TblMili[[#This Row],[Train Unit 1]],-9,0) - TblMili[[#This Row],[Release Unit 1]]</f>
        <v>0</v>
      </c>
      <c r="F18" s="151" t="n">
        <f aca="false">OFFSET(TblMili[[#This Row],[Unit 2]],-1,0) + OFFSET(TblMili[[#This Row],[Train Unit 2]],-9,0)-TblMili[[#This Row],[Release Unit 2]]</f>
        <v>0</v>
      </c>
      <c r="G18" s="151" t="n">
        <f aca="false">OFFSET(TblMili[[#This Row],[Unit 3]],-1,0) + OFFSET(TblMili[[#This Row],[Train Unit 3]],-12,0)-TblMili[[#This Row],[Release Unit 3]]</f>
        <v>0</v>
      </c>
      <c r="H18" s="151" t="n">
        <f aca="false">OFFSET(TblMili[[#This Row],[Unit 4]],-1,0) + OFFSET(TblMili[[#This Row],[Train Unit 4]],-12,0)-TblMili[[#This Row],[Release Unit 4]]</f>
        <v>0</v>
      </c>
      <c r="I18" s="151" t="n">
        <f aca="false">OFFSET(TblMili[[#This Row],[Spies]],-1,0) + OFFSET(TblMili[[#This Row],[Train Spies]],-12,0) - TblMili[[#This Row],[Release Spies]]-TblMili[[#This Row],[Train AS]]</f>
        <v>0</v>
      </c>
      <c r="J18" s="151" t="n">
        <f aca="false">OFFSET(TblMili[[#This Row],[Archspies]],-1,0) + OFFSET(TblMili[[#This Row],[Train AS]],-12,0) - TblMili[[#This Row],[Release AS]]</f>
        <v>0</v>
      </c>
      <c r="K18" s="151" t="n">
        <f aca="false">OFFSET(TblMili[[#This Row],[Wizards]],-1,0) + OFFSET(TblMili[[#This Row],[Train Wiz]],-12,0) - TblMili[[#This Row],[Release Wizards]]-TblMili[[#This Row],[Train AM]]</f>
        <v>0</v>
      </c>
      <c r="L18" s="151" t="n">
        <f aca="false">OFFSET(TblMili[[#This Row],[Archmages]],-1,0) + OFFSET(TblMili[[#This Row],[Train AM]],-12,0) - TblMili[[#This Row],[Release AM]]</f>
        <v>0</v>
      </c>
      <c r="M18" s="132"/>
      <c r="N18" s="69" t="e">
        <f aca="false">TblProd[[#This Row],[Networth]]</f>
        <v>#VALUE!</v>
      </c>
      <c r="O18" s="132"/>
      <c r="P1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8" s="285" t="e">
        <f aca="false">TblMili[[#This Row],[Raw]]*(1+TblMili[[#This Row],[Mods_Off]])</f>
        <v>#VALUE!</v>
      </c>
      <c r="S1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8" s="285" t="e">
        <f aca="false">TblMili[[#This Row],[Non Draft]]+TblMili[[#This Row],[Draftees]]</f>
        <v>#VALUE!</v>
      </c>
      <c r="U18" s="286" t="n">
        <f aca="false">race_defense + TblImps[[#This Row],[Walls]] + ROUND( MIN(gt_bonus*TblConstr[[#This Row],[Tot GT]]/TblConstr[[#This Row],[Land]],gt_bonus_cap), 4) + IF(TblMagic[[#This Row],[Active Howling]]&gt;0,howling_dp_bonus,IF(TblMagic[[#This Row],[Active Ares Call]]&gt;0,ares_call_bonus))</f>
        <v>0</v>
      </c>
      <c r="V18" s="274" t="e">
        <f aca="false">TblMili[[#This Row],[Non Draft]] * (1 + TblMili[[#This Row],[Mods_Def]])</f>
        <v>#VALUE!</v>
      </c>
      <c r="W18" s="285" t="e">
        <f aca="false">TblMili[[#This Row],[Draft]] * (1 + TblMili[[#This Row],[Mods_Def]])</f>
        <v>#VALUE!</v>
      </c>
      <c r="X18" s="285" t="n">
        <f aca="false">TblConstr[[#This Row],[Land]]</f>
        <v>250</v>
      </c>
      <c r="Y18" s="287"/>
      <c r="Z18" s="109" t="n">
        <f aca="false">IF(TblMili[[#This Row],[Set]]&lt;&gt;"",TblMili[[#This Row],[Set]],OFFSET(TblMili[[#This Row],[Draftrate]],-1,0))</f>
        <v>0.9</v>
      </c>
      <c r="AA18" s="69" t="n">
        <f aca="false">OFFSET(TblMili[[#This Row],[Draftees]],-1,0)+OFFSET(TblPop[[#This Row],[Draft Growth]],-1,0) - SUM(TblMili[[#This Row],[Train Unit 1]:[Train Spies]],TblMili[[#This Row],[Train Wiz]]) - TblMili[[#This Row],[Release Draft]] + SUM(TblMili[[#This Row],[Release Unit 1]:[Release AM]]) - TblExplore[[#This Row],[Draftees (2)]]</f>
        <v>393</v>
      </c>
      <c r="AB18" s="146"/>
      <c r="AC18" s="130" t="n">
        <f aca="false">(TblConstr[[#This Row],[Tot Smi]]+TblConstr[[#This Row],[Dest Smi]])/(TblConstr[[#This Row],[Land]]-TblExplore[[#This Row],[Land Bonus]]*20)</f>
        <v>0</v>
      </c>
      <c r="AD18" s="128"/>
      <c r="AE18" s="282" t="n">
        <f aca="false">TblMili[[#This Row],[Hour]]</f>
        <v>15</v>
      </c>
      <c r="AF18" s="129" t="n">
        <f aca="false">TblExplore[[#This Row],[Time]]</f>
        <v>45430.3333333333</v>
      </c>
      <c r="AG18" s="182"/>
      <c r="AH18" s="182"/>
      <c r="AI18" s="182"/>
      <c r="AJ18" s="182"/>
      <c r="AK18" s="182"/>
      <c r="AL18" s="182"/>
      <c r="AM18" s="182"/>
      <c r="AN18" s="182"/>
      <c r="AO18" s="132"/>
      <c r="AP18" s="69" t="n">
        <f aca="false">TblProd[[#This Row],[Platinum]]</f>
        <v>43350</v>
      </c>
      <c r="AQ18" s="69" t="n">
        <f aca="false">INDEX(TblProd[[#Headers],[Lumber]]:TblProd[[#This Row],[Ore]],COUNTA(TblProd[[#Headers],[Lumber]]:TblProd[[#This Row],[Lumber]]),MATCH(Military!$AQ$2,TblProd[[#Headers],[Lumber]:[Ore]],0))</f>
        <v>0</v>
      </c>
      <c r="AR1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69" t="n">
        <f aca="false">TblMili[[#This Row],[Train Unit 1]]*TblMili[[#This Row],[OP Ore]]+TblMili[[#This Row],[Train Unit 2]]*TblMili[[#This Row],[DP Ore]]+TblMili[[#This Row],[Train Unit 3]]*TblMili[[#This Row],[E1 Ore]]+TblMili[[#This Row],[Train Unit 4]]*TblMili[[#This Row],[E2 Ore]]</f>
        <v>0</v>
      </c>
      <c r="AT18" s="132" t="n">
        <f aca="false">TblMili[[#This Row],[Hour]]</f>
        <v>15</v>
      </c>
      <c r="AU18" s="144" t="n">
        <f aca="false">TblMili[[#This Row],[Time]]</f>
        <v>45430.3333333333</v>
      </c>
      <c r="AV18" s="69" t="n">
        <f aca="false">TblMili[[#This Row],[Draftees]]</f>
        <v>393</v>
      </c>
      <c r="AW18" s="182"/>
      <c r="AX18" s="182"/>
      <c r="AY18" s="182"/>
      <c r="AZ18" s="182"/>
      <c r="BA18" s="182"/>
      <c r="BB18" s="182"/>
      <c r="BC18" s="182"/>
      <c r="BD18" s="182"/>
      <c r="BE18" s="182"/>
      <c r="BF18" s="132"/>
      <c r="BG18" s="150" t="n">
        <f aca="false">TblConstr[[#This Row],[Tot WG]]/TblConstr[[#This Row],[Land]]</f>
        <v>0</v>
      </c>
      <c r="BH18" s="150" t="n">
        <f aca="false">TblConstr[[#This Row],[Tot Hav]]/TblConstr[[#This Row],[Land]]</f>
        <v>0</v>
      </c>
      <c r="BI18" s="69" t="n">
        <f aca="false">ROUNDUP((1-MIN(TblMili[[#This Row],[Smithies]]*smithy_bonus,smithy_bonus_cap) + tech_3_5*TblTech[[#This Row],[3-5]] + tech_5_3*TblTech[[#This Row],[5-3]] + tech_5_5*TblTech[[#This Row],[5-5]])*spec_op_plat,0)</f>
        <v>300</v>
      </c>
      <c r="BJ18" s="69" t="n">
        <f aca="false">ROUNDUP(IF(race="Gnome",1,(1-MIN(TblMili[[#This Row],[Smithies]]*smithy_bonus,smithy_bonus_cap) + tech_3_5*TblTech[[#This Row],[3-5]] + tech_5_3*TblTech[[#This Row],[5-3]] + tech_5_5*TblTech[[#This Row],[5-5]]))*spec_op_ore,0)</f>
        <v>0</v>
      </c>
      <c r="BK18" s="69" t="n">
        <f aca="false">ROUNDUP((1-MIN(TblMili[[#This Row],[Smithies]]*smithy_bonus,smithy_bonus_cap) + tech_3_5*TblTech[[#This Row],[3-5]] + tech_5_3*TblTech[[#This Row],[5-3]] + tech_5_5*TblTech[[#This Row],[5-5]])*spec_dp_plat,0)</f>
        <v>300</v>
      </c>
      <c r="BL18" s="69" t="n">
        <f aca="false">ROUNDUP(IF(race="Gnome",1,(1-MIN(TblMili[[#This Row],[Smithies]]*smithy_bonus,smithy_bonus_cap) + tech_3_5*TblTech[[#This Row],[3-5]] + tech_5_3*TblTech[[#This Row],[5-3]] + tech_5_5*TblTech[[#This Row],[5-5]]))*spec_dp_ore,0)</f>
        <v>0</v>
      </c>
      <c r="BM18" s="69" t="n">
        <f aca="false">ROUNDUP((1-MIN(TblMili[[#This Row],[Smithies]]*smithy_bonus,smithy_bonus_cap) + tech_3_5*TblTech[[#This Row],[3-5]] + tech_5_3*TblTech[[#This Row],[5-3]] + tech_5_5*TblTech[[#This Row],[5-5]])*elite1_plat,0)</f>
        <v>925</v>
      </c>
      <c r="BN18" s="69" t="n">
        <f aca="false">ROUNDUP(IF(race="Gnome",1,(1-MIN(TblMili[[#This Row],[Smithies]]*smithy_bonus,smithy_bonus_cap) + tech_3_5*TblTech[[#This Row],[3-5]] + tech_5_3*TblTech[[#This Row],[5-3]] + tech_5_5*TblTech[[#This Row],[5-5]]))*elite1_ore,0)</f>
        <v>0</v>
      </c>
      <c r="BO18" s="69" t="n">
        <f aca="false">ROUNDUP((1-MIN(TblMili[[#This Row],[Smithies]]*smithy_bonus,smithy_bonus_cap) + tech_3_5*TblTech[[#This Row],[3-5]] + tech_5_3*TblTech[[#This Row],[5-3]] + tech_5_5*TblTech[[#This Row],[5-5]])*elite2_plat,0)</f>
        <v>950</v>
      </c>
      <c r="BP18" s="69" t="n">
        <f aca="false">ROUNDUP(IF(race="Gnome",1,(1-MIN(TblMili[[#This Row],[Smithies]]*smithy_bonus,smithy_bonus_cap) + tech_3_5*TblTech[[#This Row],[3-5]] + tech_5_3*TblTech[[#This Row],[5-3]] + tech_5_5*TblTech[[#This Row],[5-5]]))*elite2_ore,0)</f>
        <v>0</v>
      </c>
      <c r="BQ18" s="69" t="n">
        <f aca="false">ROUNDUP((1-MIN(ROUND(fh_spy_cost_red*TblMili[[#This Row],[FH''s]],4),fh_spy_cost_cap)+ tech_1_9*TblTech[[#This Row],[1-9]] + tech_9_1*TblTech[[#This Row],[9-1]])*spy_plat,0)</f>
        <v>500</v>
      </c>
      <c r="BR18" s="69" t="n">
        <f aca="false">ROUNDUP((1-MIN(ROUND(fh_spy_cost_red*TblMili[[#This Row],[FH''s]],4),fh_spy_cost_cap)+ tech_1_9*TblTech[[#This Row],[1-9]] + tech_9_1*TblTech[[#This Row],[9-1]])*archspy_plat,0)</f>
        <v>1000</v>
      </c>
      <c r="BS18" s="69" t="n">
        <f aca="false">ROUNDUP((1-MIN(ROUND(wg_wiz_cost_bonus*TblMili[[#This Row],[WG''s]],4),wg_wiz_cost_cap) + tech_1_9_2*TblTech[[#This Row],[1-9]] + tech_9_1_2*TblTech[[#This Row],[9-1]])*wizard_plat,0)</f>
        <v>500</v>
      </c>
      <c r="BT18" s="69" t="n">
        <f aca="false">ROUNDUP((1-MIN(ROUND(wg_wiz_cost_bonus*TblMili[[#This Row],[WG''s]],4),wg_wiz_cost_cap) + tech_1_9_2*TblTech[[#This Row],[1-9]] + tech_9_1_2*TblTech[[#This Row],[9-1]])*archmage_plat,0)</f>
        <v>1000</v>
      </c>
      <c r="BU18" s="132"/>
      <c r="BV18" s="150" t="e">
        <f aca="false">TblConstr[[#This Row],[Homeland]]/TblConstr[[#This Row],[Land]]</f>
        <v>#VALUE!</v>
      </c>
      <c r="BW18" s="150" t="n">
        <f aca="false">TblMili[[#This Row],[WG''s]]</f>
        <v>0</v>
      </c>
      <c r="BX18" s="288" t="e">
        <f aca="false">IF(mystic_cap="none",TblMili[[#This Row],[Hill]]/mystic_bonus,MIN(mystic_cap,TblMili[[#This Row],[Hill]]/mystic_bonus))</f>
        <v>#VALUE!</v>
      </c>
      <c r="BY18" s="288" t="e">
        <f aca="false">IF(druid_op_cap="none",TblMili[[#This Row],[Hill]]/druid_op_bonus,MIN(druid_op_cap,TblMili[[#This Row],[Hill]]/druid_op_bonus))</f>
        <v>#VALUE!</v>
      </c>
      <c r="BZ18" s="288" t="e">
        <f aca="false">IF(druid_dp_cap="none",TblMili[[#This Row],[Hill]]/druid_dp_bonus,MIN(druid_dp_cap,TblMili[[#This Row],[Hill]]/druid_dp_bonus))</f>
        <v>#VALUE!</v>
      </c>
      <c r="CA18" s="288" t="e">
        <f aca="false">MIN(dryad_cap,TblMili[[#This Row],[Hill]]/dryad_bonus)</f>
        <v>#VALUE!</v>
      </c>
      <c r="CB18" s="288" t="e">
        <f aca="false">MIN(rocka_cap,TblMili[[#This Row],[Hill]]/rocka_bonus)</f>
        <v>#VALUE!</v>
      </c>
      <c r="CC18" s="288" t="n">
        <f aca="false">MIN(adept_op_cap,TblMili[[#This Row],[WG]]/adept_op_bonus)</f>
        <v>0</v>
      </c>
      <c r="CD18" s="288" t="n">
        <f aca="false">MIN(adept_dp_cap,TblMili[[#This Row],[WG]]/adept_dp_bonus)</f>
        <v>0</v>
      </c>
      <c r="CE18" s="69" t="n">
        <f aca="false">MIN(TblMili[[#This Row],[Unit 3]],TblMili[[#This Row],[Unit 2]])*2</f>
        <v>0</v>
      </c>
      <c r="CF18" s="69" t="n">
        <f aca="false">MIN(TblMili[[#This Row],[Unit 1]],TblMili[[#This Row],[Unit 4]])*2</f>
        <v>0</v>
      </c>
      <c r="CG18" s="288" t="e">
        <f aca="false">MIN(frost_mage_cap,TblMili[[#This Row],[Hill]]/frost_mage_bonus)</f>
        <v>#VALUE!</v>
      </c>
      <c r="CH18" s="151" t="n">
        <f aca="false">MIN(ice_elem_cap,TblMili[[#This Row],[Raw (2)]]*ice_elem_bonus)</f>
        <v>0</v>
      </c>
      <c r="CI18" s="288" t="n">
        <f aca="false">MIN(bone_breaker_cap,250/bone_breaker_bonus)</f>
        <v>0.833333333333333</v>
      </c>
      <c r="CJ18" s="288" t="e">
        <f aca="false">MIN(nox_nightshade_cap,TblConstr[[#This Row],[Homeland]]/TblConstr[[#This Row],[Land]]/nox_nightshade_swamp_bonus)</f>
        <v>#VALUE!</v>
      </c>
      <c r="CK18" s="289" t="s">
        <v>470</v>
      </c>
      <c r="CL18" s="289" t="n">
        <f aca="false">VLOOKUP(Overview!$A24,Races!$D$4:$H$116,2,FALSE())</f>
        <v>0</v>
      </c>
      <c r="CM18" s="289"/>
      <c r="CN18" s="288" t="e">
        <f aca="false">MIN(6,TblMili[[#This Row],[Mystic]]+Races!$F$19)*1.8 +  IF(TblMili[[#This Row],[Mystic]]+Races!$F$19&gt;6,(TblMili[[#This Row],[Mystic]]+Races!$F$19-6)*0.2,0) - Races!$I$19</f>
        <v>#VALUE!</v>
      </c>
      <c r="CO18" s="288" t="e">
        <f aca="false">1.8 * MIN(MAX(TblMili[[#This Row],[Druid (op)]]+Races!$E$20,TblMili[[#This Row],[Druid (dp)]]+Races!$F$20),6)  +  0.45 * MIN(MIN(TblMili[[#This Row],[Druid (op)]]+Races!$E$20,TblMili[[#This Row],[Druid (dp)]]+Races!$F$20),6)  +  0.2 * ( MAX(TblMili[[#This Row],[Druid (op)]]+Races!$E$20-6,0) + MAX(TblMili[[#This Row],[Druid (dp)]]+Races!$F$20-6,0) )  -  Races!$I$20</f>
        <v>#VALUE!</v>
      </c>
      <c r="CP18" s="69" t="e">
        <f aca="false">TblMili[[#This Row],[Mystic bonus]]*TblMili[[#This Row],[Unit 3]]+TblMili[[#This Row],[Druid bonus]]*TblMili[[#This Row],[Unit 4]]</f>
        <v>#VALUE!</v>
      </c>
      <c r="CQ18" s="148" t="e">
        <f aca="false">MIN(6,TblMili[[#This Row],[Dryad]]+Races!$F$35)*1.8 +  IF(TblMili[[#This Row],[Dryad]]+Races!$F$35&gt;6,(TblMili[[#This Row],[Dryad]]+Races!$F$35-6)*0.2,0) - Races!$I$19</f>
        <v>#VALUE!</v>
      </c>
      <c r="CR18" s="69" t="e">
        <f aca="false">sylvan*(TblMili[[#This Row],[Mystic bonus]]*TblMili[[#This Row],[Unit 3]])</f>
        <v>#VALUE!</v>
      </c>
      <c r="CS18" s="148" t="e">
        <f aca="false">1.8 * MIN(MAX(Races!$E$27,TblMili[[#This Row],[Rockapult]]+Races!$F$27),6)  +  0.45 * MIN(MIN(Races!$E$27,TblMili[[#This Row],[Rockapult]]+Races!$F$27),6)  +  0.2 * ( MAX(Races!$E$27-6,0) + MAX(TblMili[[#This Row],[Rockapult]]+Races!$F$27-6,0) )  -  Races!$I$20</f>
        <v>#VALUE!</v>
      </c>
      <c r="CT18" s="69" t="e">
        <f aca="false">gnome*(TblMili[[#This Row],[Rockapult bonus]]*TblMili[[#This Row],[Unit 3]])</f>
        <v>#VALUE!</v>
      </c>
      <c r="CU18" s="148" t="n">
        <f aca="false">1.8 * MIN(MAX(TblMili[[#This Row],[Spellblade]]+Races!$E$47,TblMili[[#This Row],[Adept-DP]]+Races!$F$47),6)  +  0.45 * MIN(MIN(TblMili[[#This Row],[Spellblade]]+Races!$E$47,TblMili[[#This Row],[Adept-DP]]+Races!$F$47),6)  +  0.2 * ( MAX(TblMili[[#This Row],[Spellblade]]+Races!$E$47-6,0) + MAX(TblMili[[#This Row],[Adept-DP]]+Races!$F$47-6,0) )  -  Races!$I$47</f>
        <v>0</v>
      </c>
      <c r="CV18" s="69" t="n">
        <f aca="false">dark_elf*(TblMili[[#This Row],[Adept bonus]]*TblMili[[#This Row],[Unit 3]])</f>
        <v>0</v>
      </c>
      <c r="CW18" s="148" t="e">
        <f aca="false">1.8 * MIN(MAX(TblMili[[#This Row],[Frost Mage]]+Races!$F$71,Races!$E$71),6)  +  0.45 * MIN(MIN(TblMili[[#This Row],[Frost Mage]]+Races!$F$71,Races!$E$71),6)  +  0.2 * ( MAX(TblMili[[#This Row],[Frost Mage]]+Races!$F$71-6,0) + MAX(Races!$E$71-6,0) )  -  Races!$I$71</f>
        <v>#VALUE!</v>
      </c>
      <c r="CX18" s="148" t="n">
        <f aca="false">1.8 * MIN(MAX(TblMili[[#This Row],[Ice Elemental]]+Races!$E$71,Races!$F$71),6)  +  0.45 * MIN(MIN(TblMili[[#This Row],[Ice Elemental]]+Races!$E$71,Races!$F$71),6)  +  0.2 * ( MAX(TblMili[[#This Row],[Ice Elemental]]+Races!$E$71-6,0) + MAX(Races!$F$71-6,0) )  -  Races!$I$71</f>
        <v>0</v>
      </c>
      <c r="CY18" s="69" t="e">
        <f aca="false">TblMili[[#This Row],[Frost Mage bonus]]*TblMili[[#This Row],[Unit 3]]+TblMili[[#This Row],[Ice Elemental bonus]]*TblMili[[#This Row],[Unit 4]]</f>
        <v>#VALUE!</v>
      </c>
      <c r="CZ18" s="290"/>
      <c r="DA18" s="109" t="n">
        <f aca="false">MIN(SUM(TblConstr[[#This Row],[Plain]:[Water]])/TblMili[[#This Row],[Land]]/favorable_terrain_bonus/100,favorable_terrain_max)</f>
        <v>0</v>
      </c>
      <c r="DB18" s="290"/>
      <c r="DC1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8" s="132"/>
      <c r="DE18" s="291" t="n">
        <f aca="false">(TblMili[[#This Row],[Wizards]]+2*TblMili[[#This Row],[Archmages]])/TblConstr[[#This Row],[Land]]</f>
        <v>0</v>
      </c>
      <c r="DF18" s="291" t="n">
        <f aca="false">TblMili[[#This Row],[Raw (2)]]*(1+race_wizard_strength+IF(TblMili[[#This Row],[Hour]]&gt;72,tech_magical_weaponry_wiz*TblTech[[#This Row],[3-5]],0))</f>
        <v>0</v>
      </c>
    </row>
    <row r="19" customFormat="false" ht="12.75" hidden="false" customHeight="false" outlineLevel="0" collapsed="false">
      <c r="A19" s="128" t="n">
        <f aca="false">TblRezone[[#This Row],[Hour]]</f>
        <v>16</v>
      </c>
      <c r="B19" s="282" t="n">
        <f aca="false">SUM(TblMili[[#This Row],[Unit 1]:[Archmages]])+SUM(OFFSET(TblMili[[#This Row],[Train Unit 1]],-8,0):TblMili[[#This Row],[Train Unit 2]]) + SUM(OFFSET(TblMili[[#This Row],[Train Unit 3]],-11,0):TblMili[[#This Row],[Train AM]]) + TblMili[[#This Row],[Draftees]]</f>
        <v>412</v>
      </c>
      <c r="C19" s="150" t="n">
        <f aca="false">TblPop[[#This Row],[Military%]]</f>
        <v>0.168163265306122</v>
      </c>
      <c r="D19" s="132"/>
      <c r="E19" s="151" t="n">
        <f aca="false">OFFSET(TblMili[[#This Row],[Unit 1]],-1,0) + OFFSET(TblMili[[#This Row],[Train Unit 1]],-9,0) - TblMili[[#This Row],[Release Unit 1]]</f>
        <v>0</v>
      </c>
      <c r="F19" s="151" t="n">
        <f aca="false">OFFSET(TblMili[[#This Row],[Unit 2]],-1,0) + OFFSET(TblMili[[#This Row],[Train Unit 2]],-9,0)-TblMili[[#This Row],[Release Unit 2]]</f>
        <v>0</v>
      </c>
      <c r="G19" s="151" t="n">
        <f aca="false">OFFSET(TblMili[[#This Row],[Unit 3]],-1,0) + OFFSET(TblMili[[#This Row],[Train Unit 3]],-12,0)-TblMili[[#This Row],[Release Unit 3]]</f>
        <v>0</v>
      </c>
      <c r="H19" s="151" t="n">
        <f aca="false">OFFSET(TblMili[[#This Row],[Unit 4]],-1,0) + OFFSET(TblMili[[#This Row],[Train Unit 4]],-12,0)-TblMili[[#This Row],[Release Unit 4]]</f>
        <v>0</v>
      </c>
      <c r="I19" s="151" t="n">
        <f aca="false">OFFSET(TblMili[[#This Row],[Spies]],-1,0) + OFFSET(TblMili[[#This Row],[Train Spies]],-12,0) - TblMili[[#This Row],[Release Spies]]-TblMili[[#This Row],[Train AS]]</f>
        <v>0</v>
      </c>
      <c r="J19" s="151" t="n">
        <f aca="false">OFFSET(TblMili[[#This Row],[Archspies]],-1,0) + OFFSET(TblMili[[#This Row],[Train AS]],-12,0) - TblMili[[#This Row],[Release AS]]</f>
        <v>0</v>
      </c>
      <c r="K19" s="151" t="n">
        <f aca="false">OFFSET(TblMili[[#This Row],[Wizards]],-1,0) + OFFSET(TblMili[[#This Row],[Train Wiz]],-12,0) - TblMili[[#This Row],[Release Wizards]]-TblMili[[#This Row],[Train AM]]</f>
        <v>0</v>
      </c>
      <c r="L19" s="151" t="n">
        <f aca="false">OFFSET(TblMili[[#This Row],[Archmages]],-1,0) + OFFSET(TblMili[[#This Row],[Train AM]],-12,0) - TblMili[[#This Row],[Release AM]]</f>
        <v>0</v>
      </c>
      <c r="M19" s="132"/>
      <c r="N19" s="69" t="e">
        <f aca="false">TblProd[[#This Row],[Networth]]</f>
        <v>#VALUE!</v>
      </c>
      <c r="O19" s="132"/>
      <c r="P1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9" s="285" t="e">
        <f aca="false">TblMili[[#This Row],[Raw]]*(1+TblMili[[#This Row],[Mods_Off]])</f>
        <v>#VALUE!</v>
      </c>
      <c r="S1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9" s="285" t="e">
        <f aca="false">TblMili[[#This Row],[Non Draft]]+TblMili[[#This Row],[Draftees]]</f>
        <v>#VALUE!</v>
      </c>
      <c r="U19" s="286" t="n">
        <f aca="false">race_defense + TblImps[[#This Row],[Walls]] + ROUND( MIN(gt_bonus*TblConstr[[#This Row],[Tot GT]]/TblConstr[[#This Row],[Land]],gt_bonus_cap), 4) + IF(TblMagic[[#This Row],[Active Howling]]&gt;0,howling_dp_bonus,IF(TblMagic[[#This Row],[Active Ares Call]]&gt;0,ares_call_bonus))</f>
        <v>0</v>
      </c>
      <c r="V19" s="274" t="e">
        <f aca="false">TblMili[[#This Row],[Non Draft]] * (1 + TblMili[[#This Row],[Mods_Def]])</f>
        <v>#VALUE!</v>
      </c>
      <c r="W19" s="285" t="e">
        <f aca="false">TblMili[[#This Row],[Draft]] * (1 + TblMili[[#This Row],[Mods_Def]])</f>
        <v>#VALUE!</v>
      </c>
      <c r="X19" s="285" t="n">
        <f aca="false">TblConstr[[#This Row],[Land]]</f>
        <v>250</v>
      </c>
      <c r="Y19" s="287"/>
      <c r="Z19" s="109" t="n">
        <f aca="false">IF(TblMili[[#This Row],[Set]]&lt;&gt;"",TblMili[[#This Row],[Set]],OFFSET(TblMili[[#This Row],[Draftrate]],-1,0))</f>
        <v>0.9</v>
      </c>
      <c r="AA19" s="69" t="n">
        <f aca="false">OFFSET(TblMili[[#This Row],[Draftees]],-1,0)+OFFSET(TblPop[[#This Row],[Draft Growth]],-1,0) - SUM(TblMili[[#This Row],[Train Unit 1]:[Train Spies]],TblMili[[#This Row],[Train Wiz]]) - TblMili[[#This Row],[Release Draft]] + SUM(TblMili[[#This Row],[Release Unit 1]:[Release AM]]) - TblExplore[[#This Row],[Draftees (2)]]</f>
        <v>412</v>
      </c>
      <c r="AB19" s="146"/>
      <c r="AC19" s="130" t="n">
        <f aca="false">(TblConstr[[#This Row],[Tot Smi]]+TblConstr[[#This Row],[Dest Smi]])/(TblConstr[[#This Row],[Land]]-TblExplore[[#This Row],[Land Bonus]]*20)</f>
        <v>0</v>
      </c>
      <c r="AD19" s="128"/>
      <c r="AE19" s="282" t="n">
        <f aca="false">TblMili[[#This Row],[Hour]]</f>
        <v>16</v>
      </c>
      <c r="AF19" s="129" t="n">
        <f aca="false">TblExplore[[#This Row],[Time]]</f>
        <v>45430.375</v>
      </c>
      <c r="AG19" s="182"/>
      <c r="AH19" s="182"/>
      <c r="AI19" s="182"/>
      <c r="AJ19" s="182"/>
      <c r="AK19" s="182"/>
      <c r="AL19" s="182"/>
      <c r="AM19" s="182"/>
      <c r="AN19" s="182"/>
      <c r="AO19" s="132"/>
      <c r="AP19" s="69" t="n">
        <f aca="false">TblProd[[#This Row],[Platinum]]</f>
        <v>51651</v>
      </c>
      <c r="AQ19" s="69" t="n">
        <f aca="false">INDEX(TblProd[[#Headers],[Lumber]]:TblProd[[#This Row],[Ore]],COUNTA(TblProd[[#Headers],[Lumber]]:TblProd[[#This Row],[Lumber]]),MATCH(Military!$AQ$2,TblProd[[#Headers],[Lumber]:[Ore]],0))</f>
        <v>0</v>
      </c>
      <c r="AR1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69" t="n">
        <f aca="false">TblMili[[#This Row],[Train Unit 1]]*TblMili[[#This Row],[OP Ore]]+TblMili[[#This Row],[Train Unit 2]]*TblMili[[#This Row],[DP Ore]]+TblMili[[#This Row],[Train Unit 3]]*TblMili[[#This Row],[E1 Ore]]+TblMili[[#This Row],[Train Unit 4]]*TblMili[[#This Row],[E2 Ore]]</f>
        <v>0</v>
      </c>
      <c r="AT19" s="132" t="n">
        <f aca="false">TblMili[[#This Row],[Hour]]</f>
        <v>16</v>
      </c>
      <c r="AU19" s="144" t="n">
        <f aca="false">TblMili[[#This Row],[Time]]</f>
        <v>45430.375</v>
      </c>
      <c r="AV19" s="69" t="n">
        <f aca="false">TblMili[[#This Row],[Draftees]]</f>
        <v>412</v>
      </c>
      <c r="AW19" s="182"/>
      <c r="AX19" s="182"/>
      <c r="AY19" s="182"/>
      <c r="AZ19" s="182"/>
      <c r="BA19" s="182"/>
      <c r="BB19" s="182"/>
      <c r="BC19" s="182"/>
      <c r="BD19" s="182"/>
      <c r="BE19" s="182"/>
      <c r="BF19" s="132"/>
      <c r="BG19" s="150" t="n">
        <f aca="false">TblConstr[[#This Row],[Tot WG]]/TblConstr[[#This Row],[Land]]</f>
        <v>0</v>
      </c>
      <c r="BH19" s="150" t="n">
        <f aca="false">TblConstr[[#This Row],[Tot Hav]]/TblConstr[[#This Row],[Land]]</f>
        <v>0</v>
      </c>
      <c r="BI19" s="69" t="n">
        <f aca="false">ROUNDUP((1-MIN(TblMili[[#This Row],[Smithies]]*smithy_bonus,smithy_bonus_cap) + tech_3_5*TblTech[[#This Row],[3-5]] + tech_5_3*TblTech[[#This Row],[5-3]] + tech_5_5*TblTech[[#This Row],[5-5]])*spec_op_plat,0)</f>
        <v>300</v>
      </c>
      <c r="BJ19" s="69" t="n">
        <f aca="false">ROUNDUP(IF(race="Gnome",1,(1-MIN(TblMili[[#This Row],[Smithies]]*smithy_bonus,smithy_bonus_cap) + tech_3_5*TblTech[[#This Row],[3-5]] + tech_5_3*TblTech[[#This Row],[5-3]] + tech_5_5*TblTech[[#This Row],[5-5]]))*spec_op_ore,0)</f>
        <v>0</v>
      </c>
      <c r="BK19" s="69" t="n">
        <f aca="false">ROUNDUP((1-MIN(TblMili[[#This Row],[Smithies]]*smithy_bonus,smithy_bonus_cap) + tech_3_5*TblTech[[#This Row],[3-5]] + tech_5_3*TblTech[[#This Row],[5-3]] + tech_5_5*TblTech[[#This Row],[5-5]])*spec_dp_plat,0)</f>
        <v>300</v>
      </c>
      <c r="BL19" s="69" t="n">
        <f aca="false">ROUNDUP(IF(race="Gnome",1,(1-MIN(TblMili[[#This Row],[Smithies]]*smithy_bonus,smithy_bonus_cap) + tech_3_5*TblTech[[#This Row],[3-5]] + tech_5_3*TblTech[[#This Row],[5-3]] + tech_5_5*TblTech[[#This Row],[5-5]]))*spec_dp_ore,0)</f>
        <v>0</v>
      </c>
      <c r="BM19" s="69" t="n">
        <f aca="false">ROUNDUP((1-MIN(TblMili[[#This Row],[Smithies]]*smithy_bonus,smithy_bonus_cap) + tech_3_5*TblTech[[#This Row],[3-5]] + tech_5_3*TblTech[[#This Row],[5-3]] + tech_5_5*TblTech[[#This Row],[5-5]])*elite1_plat,0)</f>
        <v>925</v>
      </c>
      <c r="BN19" s="69" t="n">
        <f aca="false">ROUNDUP(IF(race="Gnome",1,(1-MIN(TblMili[[#This Row],[Smithies]]*smithy_bonus,smithy_bonus_cap) + tech_3_5*TblTech[[#This Row],[3-5]] + tech_5_3*TblTech[[#This Row],[5-3]] + tech_5_5*TblTech[[#This Row],[5-5]]))*elite1_ore,0)</f>
        <v>0</v>
      </c>
      <c r="BO19" s="69" t="n">
        <f aca="false">ROUNDUP((1-MIN(TblMili[[#This Row],[Smithies]]*smithy_bonus,smithy_bonus_cap) + tech_3_5*TblTech[[#This Row],[3-5]] + tech_5_3*TblTech[[#This Row],[5-3]] + tech_5_5*TblTech[[#This Row],[5-5]])*elite2_plat,0)</f>
        <v>950</v>
      </c>
      <c r="BP19" s="69" t="n">
        <f aca="false">ROUNDUP(IF(race="Gnome",1,(1-MIN(TblMili[[#This Row],[Smithies]]*smithy_bonus,smithy_bonus_cap) + tech_3_5*TblTech[[#This Row],[3-5]] + tech_5_3*TblTech[[#This Row],[5-3]] + tech_5_5*TblTech[[#This Row],[5-5]]))*elite2_ore,0)</f>
        <v>0</v>
      </c>
      <c r="BQ19" s="69" t="n">
        <f aca="false">ROUNDUP((1-MIN(ROUND(fh_spy_cost_red*TblMili[[#This Row],[FH''s]],4),fh_spy_cost_cap)+ tech_1_9*TblTech[[#This Row],[1-9]] + tech_9_1*TblTech[[#This Row],[9-1]])*spy_plat,0)</f>
        <v>500</v>
      </c>
      <c r="BR19" s="69" t="n">
        <f aca="false">ROUNDUP((1-MIN(ROUND(fh_spy_cost_red*TblMili[[#This Row],[FH''s]],4),fh_spy_cost_cap)+ tech_1_9*TblTech[[#This Row],[1-9]] + tech_9_1*TblTech[[#This Row],[9-1]])*archspy_plat,0)</f>
        <v>1000</v>
      </c>
      <c r="BS19" s="69" t="n">
        <f aca="false">ROUNDUP((1-MIN(ROUND(wg_wiz_cost_bonus*TblMili[[#This Row],[WG''s]],4),wg_wiz_cost_cap) + tech_1_9_2*TblTech[[#This Row],[1-9]] + tech_9_1_2*TblTech[[#This Row],[9-1]])*wizard_plat,0)</f>
        <v>500</v>
      </c>
      <c r="BT19" s="69" t="n">
        <f aca="false">ROUNDUP((1-MIN(ROUND(wg_wiz_cost_bonus*TblMili[[#This Row],[WG''s]],4),wg_wiz_cost_cap) + tech_1_9_2*TblTech[[#This Row],[1-9]] + tech_9_1_2*TblTech[[#This Row],[9-1]])*archmage_plat,0)</f>
        <v>1000</v>
      </c>
      <c r="BU19" s="132"/>
      <c r="BV19" s="150" t="e">
        <f aca="false">TblConstr[[#This Row],[Homeland]]/TblConstr[[#This Row],[Land]]</f>
        <v>#VALUE!</v>
      </c>
      <c r="BW19" s="150" t="n">
        <f aca="false">TblMili[[#This Row],[WG''s]]</f>
        <v>0</v>
      </c>
      <c r="BX19" s="288" t="e">
        <f aca="false">IF(mystic_cap="none",TblMili[[#This Row],[Hill]]/mystic_bonus,MIN(mystic_cap,TblMili[[#This Row],[Hill]]/mystic_bonus))</f>
        <v>#VALUE!</v>
      </c>
      <c r="BY19" s="288" t="e">
        <f aca="false">IF(druid_op_cap="none",TblMili[[#This Row],[Hill]]/druid_op_bonus,MIN(druid_op_cap,TblMili[[#This Row],[Hill]]/druid_op_bonus))</f>
        <v>#VALUE!</v>
      </c>
      <c r="BZ19" s="288" t="e">
        <f aca="false">IF(druid_dp_cap="none",TblMili[[#This Row],[Hill]]/druid_dp_bonus,MIN(druid_dp_cap,TblMili[[#This Row],[Hill]]/druid_dp_bonus))</f>
        <v>#VALUE!</v>
      </c>
      <c r="CA19" s="288" t="e">
        <f aca="false">MIN(dryad_cap,TblMili[[#This Row],[Hill]]/dryad_bonus)</f>
        <v>#VALUE!</v>
      </c>
      <c r="CB19" s="288" t="e">
        <f aca="false">MIN(rocka_cap,TblMili[[#This Row],[Hill]]/rocka_bonus)</f>
        <v>#VALUE!</v>
      </c>
      <c r="CC19" s="288" t="n">
        <f aca="false">MIN(adept_op_cap,TblMili[[#This Row],[WG]]/adept_op_bonus)</f>
        <v>0</v>
      </c>
      <c r="CD19" s="288" t="n">
        <f aca="false">MIN(adept_dp_cap,TblMili[[#This Row],[WG]]/adept_dp_bonus)</f>
        <v>0</v>
      </c>
      <c r="CE19" s="69" t="n">
        <f aca="false">MIN(TblMili[[#This Row],[Unit 3]],TblMili[[#This Row],[Unit 2]])*2</f>
        <v>0</v>
      </c>
      <c r="CF19" s="69" t="n">
        <f aca="false">MIN(TblMili[[#This Row],[Unit 1]],TblMili[[#This Row],[Unit 4]])*2</f>
        <v>0</v>
      </c>
      <c r="CG19" s="288" t="e">
        <f aca="false">MIN(frost_mage_cap,TblMili[[#This Row],[Hill]]/frost_mage_bonus)</f>
        <v>#VALUE!</v>
      </c>
      <c r="CH19" s="151" t="n">
        <f aca="false">MIN(ice_elem_cap,TblMili[[#This Row],[Raw (2)]]*ice_elem_bonus)</f>
        <v>0</v>
      </c>
      <c r="CI19" s="288" t="n">
        <f aca="false">MIN(bone_breaker_cap,250/bone_breaker_bonus)</f>
        <v>0.833333333333333</v>
      </c>
      <c r="CJ19" s="288" t="e">
        <f aca="false">MIN(nox_nightshade_cap,TblConstr[[#This Row],[Homeland]]/TblConstr[[#This Row],[Land]]/nox_nightshade_swamp_bonus)</f>
        <v>#VALUE!</v>
      </c>
      <c r="CK19" s="289" t="s">
        <v>471</v>
      </c>
      <c r="CL19" s="289" t="n">
        <f aca="false">VLOOKUP(Overview!$A24,Races!$D$4:$H$116,3,FALSE())</f>
        <v>4.5</v>
      </c>
      <c r="CM19" s="289"/>
      <c r="CN19" s="288" t="e">
        <f aca="false">MIN(6,TblMili[[#This Row],[Mystic]]+Races!$F$19)*1.8 +  IF(TblMili[[#This Row],[Mystic]]+Races!$F$19&gt;6,(TblMili[[#This Row],[Mystic]]+Races!$F$19-6)*0.2,0) - Races!$I$19</f>
        <v>#VALUE!</v>
      </c>
      <c r="CO19" s="288" t="e">
        <f aca="false">1.8 * MIN(MAX(TblMili[[#This Row],[Druid (op)]]+Races!$E$20,TblMili[[#This Row],[Druid (dp)]]+Races!$F$20),6)  +  0.45 * MIN(MIN(TblMili[[#This Row],[Druid (op)]]+Races!$E$20,TblMili[[#This Row],[Druid (dp)]]+Races!$F$20),6)  +  0.2 * ( MAX(TblMili[[#This Row],[Druid (op)]]+Races!$E$20-6,0) + MAX(TblMili[[#This Row],[Druid (dp)]]+Races!$F$20-6,0) )  -  Races!$I$20</f>
        <v>#VALUE!</v>
      </c>
      <c r="CP19" s="69" t="e">
        <f aca="false">TblMili[[#This Row],[Mystic bonus]]*TblMili[[#This Row],[Unit 3]]+TblMili[[#This Row],[Druid bonus]]*TblMili[[#This Row],[Unit 4]]</f>
        <v>#VALUE!</v>
      </c>
      <c r="CQ19" s="148" t="e">
        <f aca="false">MIN(6,TblMili[[#This Row],[Dryad]]+Races!$F$35)*1.8 +  IF(TblMili[[#This Row],[Dryad]]+Races!$F$35&gt;6,(TblMili[[#This Row],[Dryad]]+Races!$F$35-6)*0.2,0) - Races!$I$19</f>
        <v>#VALUE!</v>
      </c>
      <c r="CR19" s="69" t="e">
        <f aca="false">sylvan*(TblMili[[#This Row],[Mystic bonus]]*TblMili[[#This Row],[Unit 3]])</f>
        <v>#VALUE!</v>
      </c>
      <c r="CS19" s="148" t="e">
        <f aca="false">1.8 * MIN(MAX(Races!$E$27,TblMili[[#This Row],[Rockapult]]+Races!$F$27),6)  +  0.45 * MIN(MIN(Races!$E$27,TblMili[[#This Row],[Rockapult]]+Races!$F$27),6)  +  0.2 * ( MAX(Races!$E$27-6,0) + MAX(TblMili[[#This Row],[Rockapult]]+Races!$F$27-6,0) )  -  Races!$I$20</f>
        <v>#VALUE!</v>
      </c>
      <c r="CT19" s="69" t="e">
        <f aca="false">gnome*(TblMili[[#This Row],[Rockapult bonus]]*TblMili[[#This Row],[Unit 3]])</f>
        <v>#VALUE!</v>
      </c>
      <c r="CU19" s="148" t="n">
        <f aca="false">1.8 * MIN(MAX(TblMili[[#This Row],[Spellblade]]+Races!$E$47,TblMili[[#This Row],[Adept-DP]]+Races!$F$47),6)  +  0.45 * MIN(MIN(TblMili[[#This Row],[Spellblade]]+Races!$E$47,TblMili[[#This Row],[Adept-DP]]+Races!$F$47),6)  +  0.2 * ( MAX(TblMili[[#This Row],[Spellblade]]+Races!$E$47-6,0) + MAX(TblMili[[#This Row],[Adept-DP]]+Races!$F$47-6,0) )  -  Races!$I$47</f>
        <v>0</v>
      </c>
      <c r="CV19" s="69" t="n">
        <f aca="false">dark_elf*(TblMili[[#This Row],[Adept bonus]]*TblMili[[#This Row],[Unit 3]])</f>
        <v>0</v>
      </c>
      <c r="CW19" s="148" t="e">
        <f aca="false">1.8 * MIN(MAX(TblMili[[#This Row],[Frost Mage]]+Races!$F$71,Races!$E$71),6)  +  0.45 * MIN(MIN(TblMili[[#This Row],[Frost Mage]]+Races!$F$71,Races!$E$71),6)  +  0.2 * ( MAX(TblMili[[#This Row],[Frost Mage]]+Races!$F$71-6,0) + MAX(Races!$E$71-6,0) )  -  Races!$I$71</f>
        <v>#VALUE!</v>
      </c>
      <c r="CX19" s="148" t="n">
        <f aca="false">1.8 * MIN(MAX(TblMili[[#This Row],[Ice Elemental]]+Races!$E$71,Races!$F$71),6)  +  0.45 * MIN(MIN(TblMili[[#This Row],[Ice Elemental]]+Races!$E$71,Races!$F$71),6)  +  0.2 * ( MAX(TblMili[[#This Row],[Ice Elemental]]+Races!$E$71-6,0) + MAX(Races!$F$71-6,0) )  -  Races!$I$71</f>
        <v>0</v>
      </c>
      <c r="CY19" s="69" t="e">
        <f aca="false">TblMili[[#This Row],[Frost Mage bonus]]*TblMili[[#This Row],[Unit 3]]+TblMili[[#This Row],[Ice Elemental bonus]]*TblMili[[#This Row],[Unit 4]]</f>
        <v>#VALUE!</v>
      </c>
      <c r="CZ19" s="290"/>
      <c r="DA19" s="109" t="n">
        <f aca="false">MIN(SUM(TblConstr[[#This Row],[Plain]:[Water]])/TblMili[[#This Row],[Land]]/favorable_terrain_bonus/100,favorable_terrain_max)</f>
        <v>0</v>
      </c>
      <c r="DB19" s="290"/>
      <c r="DC1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9" s="132"/>
      <c r="DE19" s="291" t="n">
        <f aca="false">(TblMili[[#This Row],[Wizards]]+2*TblMili[[#This Row],[Archmages]])/TblConstr[[#This Row],[Land]]</f>
        <v>0</v>
      </c>
      <c r="DF19" s="291" t="n">
        <f aca="false">TblMili[[#This Row],[Raw (2)]]*(1+race_wizard_strength+IF(TblMili[[#This Row],[Hour]]&gt;72,tech_magical_weaponry_wiz*TblTech[[#This Row],[3-5]],0))</f>
        <v>0</v>
      </c>
    </row>
    <row r="20" customFormat="false" ht="12.75" hidden="false" customHeight="false" outlineLevel="0" collapsed="false">
      <c r="A20" s="128" t="n">
        <f aca="false">TblRezone[[#This Row],[Hour]]</f>
        <v>17</v>
      </c>
      <c r="B20" s="282" t="n">
        <f aca="false">SUM(TblMili[[#This Row],[Unit 1]:[Archmages]])+SUM(OFFSET(TblMili[[#This Row],[Train Unit 1]],-8,0):TblMili[[#This Row],[Train Unit 2]]) + SUM(OFFSET(TblMili[[#This Row],[Train Unit 3]],-11,0):TblMili[[#This Row],[Train AM]]) + TblMili[[#This Row],[Draftees]]</f>
        <v>432</v>
      </c>
      <c r="C20" s="150" t="n">
        <f aca="false">TblPop[[#This Row],[Military%]]</f>
        <v>0.165580682253737</v>
      </c>
      <c r="D20" s="132"/>
      <c r="E20" s="151" t="n">
        <f aca="false">OFFSET(TblMili[[#This Row],[Unit 1]],-1,0) + OFFSET(TblMili[[#This Row],[Train Unit 1]],-9,0) - TblMili[[#This Row],[Release Unit 1]]</f>
        <v>0</v>
      </c>
      <c r="F20" s="151" t="n">
        <f aca="false">OFFSET(TblMili[[#This Row],[Unit 2]],-1,0) + OFFSET(TblMili[[#This Row],[Train Unit 2]],-9,0)-TblMili[[#This Row],[Release Unit 2]]</f>
        <v>0</v>
      </c>
      <c r="G20" s="151" t="n">
        <f aca="false">OFFSET(TblMili[[#This Row],[Unit 3]],-1,0) + OFFSET(TblMili[[#This Row],[Train Unit 3]],-12,0)-TblMili[[#This Row],[Release Unit 3]]</f>
        <v>0</v>
      </c>
      <c r="H20" s="151" t="n">
        <f aca="false">OFFSET(TblMili[[#This Row],[Unit 4]],-1,0) + OFFSET(TblMili[[#This Row],[Train Unit 4]],-12,0)-TblMili[[#This Row],[Release Unit 4]]</f>
        <v>0</v>
      </c>
      <c r="I20" s="151" t="n">
        <f aca="false">OFFSET(TblMili[[#This Row],[Spies]],-1,0) + OFFSET(TblMili[[#This Row],[Train Spies]],-12,0) - TblMili[[#This Row],[Release Spies]]-TblMili[[#This Row],[Train AS]]</f>
        <v>0</v>
      </c>
      <c r="J20" s="151" t="n">
        <f aca="false">OFFSET(TblMili[[#This Row],[Archspies]],-1,0) + OFFSET(TblMili[[#This Row],[Train AS]],-12,0) - TblMili[[#This Row],[Release AS]]</f>
        <v>0</v>
      </c>
      <c r="K20" s="151" t="n">
        <f aca="false">OFFSET(TblMili[[#This Row],[Wizards]],-1,0) + OFFSET(TblMili[[#This Row],[Train Wiz]],-12,0) - TblMili[[#This Row],[Release Wizards]]-TblMili[[#This Row],[Train AM]]</f>
        <v>0</v>
      </c>
      <c r="L20" s="151" t="n">
        <f aca="false">OFFSET(TblMili[[#This Row],[Archmages]],-1,0) + OFFSET(TblMili[[#This Row],[Train AM]],-12,0) - TblMili[[#This Row],[Release AM]]</f>
        <v>0</v>
      </c>
      <c r="M20" s="132"/>
      <c r="N20" s="69" t="e">
        <f aca="false">TblProd[[#This Row],[Networth]]</f>
        <v>#VALUE!</v>
      </c>
      <c r="O20" s="132"/>
      <c r="P2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0" s="285" t="e">
        <f aca="false">TblMili[[#This Row],[Raw]]*(1+TblMili[[#This Row],[Mods_Off]])</f>
        <v>#VALUE!</v>
      </c>
      <c r="S2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0" s="285" t="e">
        <f aca="false">TblMili[[#This Row],[Non Draft]]+TblMili[[#This Row],[Draftees]]</f>
        <v>#VALUE!</v>
      </c>
      <c r="U20" s="286" t="n">
        <f aca="false">race_defense + TblImps[[#This Row],[Walls]] + ROUND( MIN(gt_bonus*TblConstr[[#This Row],[Tot GT]]/TblConstr[[#This Row],[Land]],gt_bonus_cap), 4) + IF(TblMagic[[#This Row],[Active Howling]]&gt;0,howling_dp_bonus,IF(TblMagic[[#This Row],[Active Ares Call]]&gt;0,ares_call_bonus))</f>
        <v>0</v>
      </c>
      <c r="V20" s="274" t="e">
        <f aca="false">TblMili[[#This Row],[Non Draft]] * (1 + TblMili[[#This Row],[Mods_Def]])</f>
        <v>#VALUE!</v>
      </c>
      <c r="W20" s="285" t="e">
        <f aca="false">TblMili[[#This Row],[Draft]] * (1 + TblMili[[#This Row],[Mods_Def]])</f>
        <v>#VALUE!</v>
      </c>
      <c r="X20" s="285" t="n">
        <f aca="false">TblConstr[[#This Row],[Land]]</f>
        <v>250</v>
      </c>
      <c r="Y20" s="287"/>
      <c r="Z20" s="109" t="n">
        <f aca="false">IF(TblMili[[#This Row],[Set]]&lt;&gt;"",TblMili[[#This Row],[Set]],OFFSET(TblMili[[#This Row],[Draftrate]],-1,0))</f>
        <v>0.9</v>
      </c>
      <c r="AA20" s="69" t="n">
        <f aca="false">OFFSET(TblMili[[#This Row],[Draftees]],-1,0)+OFFSET(TblPop[[#This Row],[Draft Growth]],-1,0) - SUM(TblMili[[#This Row],[Train Unit 1]:[Train Spies]],TblMili[[#This Row],[Train Wiz]]) - TblMili[[#This Row],[Release Draft]] + SUM(TblMili[[#This Row],[Release Unit 1]:[Release AM]]) - TblExplore[[#This Row],[Draftees (2)]]</f>
        <v>432</v>
      </c>
      <c r="AB20" s="146"/>
      <c r="AC20" s="130" t="n">
        <f aca="false">(TblConstr[[#This Row],[Tot Smi]]+TblConstr[[#This Row],[Dest Smi]])/(TblConstr[[#This Row],[Land]]-TblExplore[[#This Row],[Land Bonus]]*20)</f>
        <v>0</v>
      </c>
      <c r="AD20" s="128"/>
      <c r="AE20" s="282" t="n">
        <f aca="false">TblMili[[#This Row],[Hour]]</f>
        <v>17</v>
      </c>
      <c r="AF20" s="129" t="n">
        <f aca="false">TblExplore[[#This Row],[Time]]</f>
        <v>45430.4166666667</v>
      </c>
      <c r="AG20" s="182"/>
      <c r="AH20" s="182"/>
      <c r="AI20" s="182"/>
      <c r="AJ20" s="182"/>
      <c r="AK20" s="182"/>
      <c r="AL20" s="182"/>
      <c r="AM20" s="182"/>
      <c r="AN20" s="182"/>
      <c r="AO20" s="132"/>
      <c r="AP20" s="69" t="n">
        <f aca="false">TblProd[[#This Row],[Platinum]]</f>
        <v>61168</v>
      </c>
      <c r="AQ20" s="69" t="n">
        <f aca="false">INDEX(TblProd[[#Headers],[Lumber]]:TblProd[[#This Row],[Ore]],COUNTA(TblProd[[#Headers],[Lumber]]:TblProd[[#This Row],[Lumber]]),MATCH(Military!$AQ$2,TblProd[[#Headers],[Lumber]:[Ore]],0))</f>
        <v>0</v>
      </c>
      <c r="AR2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69" t="n">
        <f aca="false">TblMili[[#This Row],[Train Unit 1]]*TblMili[[#This Row],[OP Ore]]+TblMili[[#This Row],[Train Unit 2]]*TblMili[[#This Row],[DP Ore]]+TblMili[[#This Row],[Train Unit 3]]*TblMili[[#This Row],[E1 Ore]]+TblMili[[#This Row],[Train Unit 4]]*TblMili[[#This Row],[E2 Ore]]</f>
        <v>0</v>
      </c>
      <c r="AT20" s="132" t="n">
        <f aca="false">TblMili[[#This Row],[Hour]]</f>
        <v>17</v>
      </c>
      <c r="AU20" s="144" t="n">
        <f aca="false">TblMili[[#This Row],[Time]]</f>
        <v>45430.4166666667</v>
      </c>
      <c r="AV20" s="69" t="n">
        <f aca="false">TblMili[[#This Row],[Draftees]]</f>
        <v>432</v>
      </c>
      <c r="AW20" s="182"/>
      <c r="AX20" s="182"/>
      <c r="AY20" s="182"/>
      <c r="AZ20" s="182"/>
      <c r="BA20" s="182"/>
      <c r="BB20" s="182"/>
      <c r="BC20" s="182"/>
      <c r="BD20" s="182"/>
      <c r="BE20" s="182"/>
      <c r="BF20" s="132"/>
      <c r="BG20" s="150" t="n">
        <f aca="false">TblConstr[[#This Row],[Tot WG]]/TblConstr[[#This Row],[Land]]</f>
        <v>0</v>
      </c>
      <c r="BH20" s="150" t="n">
        <f aca="false">TblConstr[[#This Row],[Tot Hav]]/TblConstr[[#This Row],[Land]]</f>
        <v>0</v>
      </c>
      <c r="BI20" s="69" t="n">
        <f aca="false">ROUNDUP((1-MIN(TblMili[[#This Row],[Smithies]]*smithy_bonus,smithy_bonus_cap) + tech_3_5*TblTech[[#This Row],[3-5]] + tech_5_3*TblTech[[#This Row],[5-3]] + tech_5_5*TblTech[[#This Row],[5-5]])*spec_op_plat,0)</f>
        <v>300</v>
      </c>
      <c r="BJ20" s="69" t="n">
        <f aca="false">ROUNDUP(IF(race="Gnome",1,(1-MIN(TblMili[[#This Row],[Smithies]]*smithy_bonus,smithy_bonus_cap) + tech_3_5*TblTech[[#This Row],[3-5]] + tech_5_3*TblTech[[#This Row],[5-3]] + tech_5_5*TblTech[[#This Row],[5-5]]))*spec_op_ore,0)</f>
        <v>0</v>
      </c>
      <c r="BK20" s="69" t="n">
        <f aca="false">ROUNDUP((1-MIN(TblMili[[#This Row],[Smithies]]*smithy_bonus,smithy_bonus_cap) + tech_3_5*TblTech[[#This Row],[3-5]] + tech_5_3*TblTech[[#This Row],[5-3]] + tech_5_5*TblTech[[#This Row],[5-5]])*spec_dp_plat,0)</f>
        <v>300</v>
      </c>
      <c r="BL20" s="69" t="n">
        <f aca="false">ROUNDUP(IF(race="Gnome",1,(1-MIN(TblMili[[#This Row],[Smithies]]*smithy_bonus,smithy_bonus_cap) + tech_3_5*TblTech[[#This Row],[3-5]] + tech_5_3*TblTech[[#This Row],[5-3]] + tech_5_5*TblTech[[#This Row],[5-5]]))*spec_dp_ore,0)</f>
        <v>0</v>
      </c>
      <c r="BM20" s="69" t="n">
        <f aca="false">ROUNDUP((1-MIN(TblMili[[#This Row],[Smithies]]*smithy_bonus,smithy_bonus_cap) + tech_3_5*TblTech[[#This Row],[3-5]] + tech_5_3*TblTech[[#This Row],[5-3]] + tech_5_5*TblTech[[#This Row],[5-5]])*elite1_plat,0)</f>
        <v>925</v>
      </c>
      <c r="BN20" s="69" t="n">
        <f aca="false">ROUNDUP(IF(race="Gnome",1,(1-MIN(TblMili[[#This Row],[Smithies]]*smithy_bonus,smithy_bonus_cap) + tech_3_5*TblTech[[#This Row],[3-5]] + tech_5_3*TblTech[[#This Row],[5-3]] + tech_5_5*TblTech[[#This Row],[5-5]]))*elite1_ore,0)</f>
        <v>0</v>
      </c>
      <c r="BO20" s="69" t="n">
        <f aca="false">ROUNDUP((1-MIN(TblMili[[#This Row],[Smithies]]*smithy_bonus,smithy_bonus_cap) + tech_3_5*TblTech[[#This Row],[3-5]] + tech_5_3*TblTech[[#This Row],[5-3]] + tech_5_5*TblTech[[#This Row],[5-5]])*elite2_plat,0)</f>
        <v>950</v>
      </c>
      <c r="BP20" s="69" t="n">
        <f aca="false">ROUNDUP(IF(race="Gnome",1,(1-MIN(TblMili[[#This Row],[Smithies]]*smithy_bonus,smithy_bonus_cap) + tech_3_5*TblTech[[#This Row],[3-5]] + tech_5_3*TblTech[[#This Row],[5-3]] + tech_5_5*TblTech[[#This Row],[5-5]]))*elite2_ore,0)</f>
        <v>0</v>
      </c>
      <c r="BQ20" s="69" t="n">
        <f aca="false">ROUNDUP((1-MIN(ROUND(fh_spy_cost_red*TblMili[[#This Row],[FH''s]],4),fh_spy_cost_cap)+ tech_1_9*TblTech[[#This Row],[1-9]] + tech_9_1*TblTech[[#This Row],[9-1]])*spy_plat,0)</f>
        <v>500</v>
      </c>
      <c r="BR20" s="69" t="n">
        <f aca="false">ROUNDUP((1-MIN(ROUND(fh_spy_cost_red*TblMili[[#This Row],[FH''s]],4),fh_spy_cost_cap)+ tech_1_9*TblTech[[#This Row],[1-9]] + tech_9_1*TblTech[[#This Row],[9-1]])*archspy_plat,0)</f>
        <v>1000</v>
      </c>
      <c r="BS20" s="69" t="n">
        <f aca="false">ROUNDUP((1-MIN(ROUND(wg_wiz_cost_bonus*TblMili[[#This Row],[WG''s]],4),wg_wiz_cost_cap) + tech_1_9_2*TblTech[[#This Row],[1-9]] + tech_9_1_2*TblTech[[#This Row],[9-1]])*wizard_plat,0)</f>
        <v>500</v>
      </c>
      <c r="BT20" s="69" t="n">
        <f aca="false">ROUNDUP((1-MIN(ROUND(wg_wiz_cost_bonus*TblMili[[#This Row],[WG''s]],4),wg_wiz_cost_cap) + tech_1_9_2*TblTech[[#This Row],[1-9]] + tech_9_1_2*TblTech[[#This Row],[9-1]])*archmage_plat,0)</f>
        <v>1000</v>
      </c>
      <c r="BU20" s="132"/>
      <c r="BV20" s="150" t="e">
        <f aca="false">TblConstr[[#This Row],[Homeland]]/TblConstr[[#This Row],[Land]]</f>
        <v>#VALUE!</v>
      </c>
      <c r="BW20" s="150" t="n">
        <f aca="false">TblMili[[#This Row],[WG''s]]</f>
        <v>0</v>
      </c>
      <c r="BX20" s="288" t="e">
        <f aca="false">IF(mystic_cap="none",TblMili[[#This Row],[Hill]]/mystic_bonus,MIN(mystic_cap,TblMili[[#This Row],[Hill]]/mystic_bonus))</f>
        <v>#VALUE!</v>
      </c>
      <c r="BY20" s="288" t="e">
        <f aca="false">IF(druid_op_cap="none",TblMili[[#This Row],[Hill]]/druid_op_bonus,MIN(druid_op_cap,TblMili[[#This Row],[Hill]]/druid_op_bonus))</f>
        <v>#VALUE!</v>
      </c>
      <c r="BZ20" s="288" t="e">
        <f aca="false">IF(druid_dp_cap="none",TblMili[[#This Row],[Hill]]/druid_dp_bonus,MIN(druid_dp_cap,TblMili[[#This Row],[Hill]]/druid_dp_bonus))</f>
        <v>#VALUE!</v>
      </c>
      <c r="CA20" s="288" t="e">
        <f aca="false">MIN(dryad_cap,TblMili[[#This Row],[Hill]]/dryad_bonus)</f>
        <v>#VALUE!</v>
      </c>
      <c r="CB20" s="288" t="e">
        <f aca="false">MIN(rocka_cap,TblMili[[#This Row],[Hill]]/rocka_bonus)</f>
        <v>#VALUE!</v>
      </c>
      <c r="CC20" s="288" t="n">
        <f aca="false">MIN(adept_op_cap,TblMili[[#This Row],[WG]]/adept_op_bonus)</f>
        <v>0</v>
      </c>
      <c r="CD20" s="288" t="n">
        <f aca="false">MIN(adept_dp_cap,TblMili[[#This Row],[WG]]/adept_dp_bonus)</f>
        <v>0</v>
      </c>
      <c r="CE20" s="69" t="n">
        <f aca="false">MIN(TblMili[[#This Row],[Unit 3]],TblMili[[#This Row],[Unit 2]])*2</f>
        <v>0</v>
      </c>
      <c r="CF20" s="69" t="n">
        <f aca="false">MIN(TblMili[[#This Row],[Unit 1]],TblMili[[#This Row],[Unit 4]])*2</f>
        <v>0</v>
      </c>
      <c r="CG20" s="288" t="e">
        <f aca="false">MIN(frost_mage_cap,TblMili[[#This Row],[Hill]]/frost_mage_bonus)</f>
        <v>#VALUE!</v>
      </c>
      <c r="CH20" s="151" t="n">
        <f aca="false">MIN(ice_elem_cap,TblMili[[#This Row],[Raw (2)]]*ice_elem_bonus)</f>
        <v>0</v>
      </c>
      <c r="CI20" s="288" t="n">
        <f aca="false">MIN(bone_breaker_cap,250/bone_breaker_bonus)</f>
        <v>0.833333333333333</v>
      </c>
      <c r="CJ20" s="288" t="e">
        <f aca="false">MIN(nox_nightshade_cap,TblConstr[[#This Row],[Homeland]]/TblConstr[[#This Row],[Land]]/nox_nightshade_swamp_bonus)</f>
        <v>#VALUE!</v>
      </c>
      <c r="CK20" s="289" t="s">
        <v>472</v>
      </c>
      <c r="CL20" s="289" t="n">
        <f aca="false">VLOOKUP(Overview!$A25,Races!$D$4:$H$116,2,FALSE())</f>
        <v>5</v>
      </c>
      <c r="CM20" s="289"/>
      <c r="CN20" s="288" t="e">
        <f aca="false">MIN(6,TblMili[[#This Row],[Mystic]]+Races!$F$19)*1.8 +  IF(TblMili[[#This Row],[Mystic]]+Races!$F$19&gt;6,(TblMili[[#This Row],[Mystic]]+Races!$F$19-6)*0.2,0) - Races!$I$19</f>
        <v>#VALUE!</v>
      </c>
      <c r="CO20" s="288" t="e">
        <f aca="false">1.8 * MIN(MAX(TblMili[[#This Row],[Druid (op)]]+Races!$E$20,TblMili[[#This Row],[Druid (dp)]]+Races!$F$20),6)  +  0.45 * MIN(MIN(TblMili[[#This Row],[Druid (op)]]+Races!$E$20,TblMili[[#This Row],[Druid (dp)]]+Races!$F$20),6)  +  0.2 * ( MAX(TblMili[[#This Row],[Druid (op)]]+Races!$E$20-6,0) + MAX(TblMili[[#This Row],[Druid (dp)]]+Races!$F$20-6,0) )  -  Races!$I$20</f>
        <v>#VALUE!</v>
      </c>
      <c r="CP20" s="69" t="e">
        <f aca="false">TblMili[[#This Row],[Mystic bonus]]*TblMili[[#This Row],[Unit 3]]+TblMili[[#This Row],[Druid bonus]]*TblMili[[#This Row],[Unit 4]]</f>
        <v>#VALUE!</v>
      </c>
      <c r="CQ20" s="148" t="e">
        <f aca="false">MIN(6,TblMili[[#This Row],[Dryad]]+Races!$F$35)*1.8 +  IF(TblMili[[#This Row],[Dryad]]+Races!$F$35&gt;6,(TblMili[[#This Row],[Dryad]]+Races!$F$35-6)*0.2,0) - Races!$I$19</f>
        <v>#VALUE!</v>
      </c>
      <c r="CR20" s="69" t="e">
        <f aca="false">sylvan*(TblMili[[#This Row],[Mystic bonus]]*TblMili[[#This Row],[Unit 3]])</f>
        <v>#VALUE!</v>
      </c>
      <c r="CS20" s="148" t="e">
        <f aca="false">1.8 * MIN(MAX(Races!$E$27,TblMili[[#This Row],[Rockapult]]+Races!$F$27),6)  +  0.45 * MIN(MIN(Races!$E$27,TblMili[[#This Row],[Rockapult]]+Races!$F$27),6)  +  0.2 * ( MAX(Races!$E$27-6,0) + MAX(TblMili[[#This Row],[Rockapult]]+Races!$F$27-6,0) )  -  Races!$I$20</f>
        <v>#VALUE!</v>
      </c>
      <c r="CT20" s="69" t="e">
        <f aca="false">gnome*(TblMili[[#This Row],[Rockapult bonus]]*TblMili[[#This Row],[Unit 3]])</f>
        <v>#VALUE!</v>
      </c>
      <c r="CU20" s="148" t="n">
        <f aca="false">1.8 * MIN(MAX(TblMili[[#This Row],[Spellblade]]+Races!$E$47,TblMili[[#This Row],[Adept-DP]]+Races!$F$47),6)  +  0.45 * MIN(MIN(TblMili[[#This Row],[Spellblade]]+Races!$E$47,TblMili[[#This Row],[Adept-DP]]+Races!$F$47),6)  +  0.2 * ( MAX(TblMili[[#This Row],[Spellblade]]+Races!$E$47-6,0) + MAX(TblMili[[#This Row],[Adept-DP]]+Races!$F$47-6,0) )  -  Races!$I$47</f>
        <v>0</v>
      </c>
      <c r="CV20" s="69" t="n">
        <f aca="false">dark_elf*(TblMili[[#This Row],[Adept bonus]]*TblMili[[#This Row],[Unit 3]])</f>
        <v>0</v>
      </c>
      <c r="CW20" s="148" t="e">
        <f aca="false">1.8 * MIN(MAX(TblMili[[#This Row],[Frost Mage]]+Races!$F$71,Races!$E$71),6)  +  0.45 * MIN(MIN(TblMili[[#This Row],[Frost Mage]]+Races!$F$71,Races!$E$71),6)  +  0.2 * ( MAX(TblMili[[#This Row],[Frost Mage]]+Races!$F$71-6,0) + MAX(Races!$E$71-6,0) )  -  Races!$I$71</f>
        <v>#VALUE!</v>
      </c>
      <c r="CX20" s="148" t="n">
        <f aca="false">1.8 * MIN(MAX(TblMili[[#This Row],[Ice Elemental]]+Races!$E$71,Races!$F$71),6)  +  0.45 * MIN(MIN(TblMili[[#This Row],[Ice Elemental]]+Races!$E$71,Races!$F$71),6)  +  0.2 * ( MAX(TblMili[[#This Row],[Ice Elemental]]+Races!$E$71-6,0) + MAX(Races!$F$71-6,0) )  -  Races!$I$71</f>
        <v>0</v>
      </c>
      <c r="CY20" s="69" t="e">
        <f aca="false">TblMili[[#This Row],[Frost Mage bonus]]*TblMili[[#This Row],[Unit 3]]+TblMili[[#This Row],[Ice Elemental bonus]]*TblMili[[#This Row],[Unit 4]]</f>
        <v>#VALUE!</v>
      </c>
      <c r="CZ20" s="290"/>
      <c r="DA20" s="109" t="n">
        <f aca="false">MIN(SUM(TblConstr[[#This Row],[Plain]:[Water]])/TblMili[[#This Row],[Land]]/favorable_terrain_bonus/100,favorable_terrain_max)</f>
        <v>0</v>
      </c>
      <c r="DB20" s="290"/>
      <c r="DC2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0" s="132"/>
      <c r="DE20" s="291" t="n">
        <f aca="false">(TblMili[[#This Row],[Wizards]]+2*TblMili[[#This Row],[Archmages]])/TblConstr[[#This Row],[Land]]</f>
        <v>0</v>
      </c>
      <c r="DF20" s="291" t="n">
        <f aca="false">TblMili[[#This Row],[Raw (2)]]*(1+race_wizard_strength+IF(TblMili[[#This Row],[Hour]]&gt;72,tech_magical_weaponry_wiz*TblTech[[#This Row],[3-5]],0))</f>
        <v>0</v>
      </c>
    </row>
    <row r="21" customFormat="false" ht="12.75" hidden="false" customHeight="false" outlineLevel="0" collapsed="false">
      <c r="A21" s="128" t="n">
        <f aca="false">TblRezone[[#This Row],[Hour]]</f>
        <v>18</v>
      </c>
      <c r="B21" s="282" t="n">
        <f aca="false">SUM(TblMili[[#This Row],[Unit 1]:[Archmages]])+SUM(OFFSET(TblMili[[#This Row],[Train Unit 1]],-8,0):TblMili[[#This Row],[Train Unit 2]]) + SUM(OFFSET(TblMili[[#This Row],[Train Unit 3]],-11,0):TblMili[[#This Row],[Train AM]]) + TblMili[[#This Row],[Draftees]]</f>
        <v>174</v>
      </c>
      <c r="C21" s="150" t="n">
        <f aca="false">TblPop[[#This Row],[Military%]]</f>
        <v>0.0697954271961492</v>
      </c>
      <c r="D21" s="132"/>
      <c r="E21" s="151" t="n">
        <f aca="false">OFFSET(TblMili[[#This Row],[Unit 1]],-1,0) + OFFSET(TblMili[[#This Row],[Train Unit 1]],-9,0) - TblMili[[#This Row],[Release Unit 1]]</f>
        <v>0</v>
      </c>
      <c r="F21" s="151" t="n">
        <f aca="false">OFFSET(TblMili[[#This Row],[Unit 2]],-1,0) + OFFSET(TblMili[[#This Row],[Train Unit 2]],-9,0)-TblMili[[#This Row],[Release Unit 2]]</f>
        <v>0</v>
      </c>
      <c r="G21" s="151" t="n">
        <f aca="false">OFFSET(TblMili[[#This Row],[Unit 3]],-1,0) + OFFSET(TblMili[[#This Row],[Train Unit 3]],-12,0)-TblMili[[#This Row],[Release Unit 3]]</f>
        <v>0</v>
      </c>
      <c r="H21" s="151" t="n">
        <f aca="false">OFFSET(TblMili[[#This Row],[Unit 4]],-1,0) + OFFSET(TblMili[[#This Row],[Train Unit 4]],-12,0)-TblMili[[#This Row],[Release Unit 4]]</f>
        <v>0</v>
      </c>
      <c r="I21" s="151" t="n">
        <f aca="false">OFFSET(TblMili[[#This Row],[Spies]],-1,0) + OFFSET(TblMili[[#This Row],[Train Spies]],-12,0) - TblMili[[#This Row],[Release Spies]]-TblMili[[#This Row],[Train AS]]</f>
        <v>0</v>
      </c>
      <c r="J21" s="151" t="n">
        <f aca="false">OFFSET(TblMili[[#This Row],[Archspies]],-1,0) + OFFSET(TblMili[[#This Row],[Train AS]],-12,0) - TblMili[[#This Row],[Release AS]]</f>
        <v>0</v>
      </c>
      <c r="K21" s="151" t="n">
        <f aca="false">OFFSET(TblMili[[#This Row],[Wizards]],-1,0) + OFFSET(TblMili[[#This Row],[Train Wiz]],-12,0) - TblMili[[#This Row],[Release Wizards]]-TblMili[[#This Row],[Train AM]]</f>
        <v>0</v>
      </c>
      <c r="L21" s="151" t="n">
        <f aca="false">OFFSET(TblMili[[#This Row],[Archmages]],-1,0) + OFFSET(TblMili[[#This Row],[Train AM]],-12,0) - TblMili[[#This Row],[Release AM]]</f>
        <v>0</v>
      </c>
      <c r="M21" s="132"/>
      <c r="N21" s="69" t="e">
        <f aca="false">TblProd[[#This Row],[Networth]]</f>
        <v>#VALUE!</v>
      </c>
      <c r="O21" s="132"/>
      <c r="P2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1" s="285" t="e">
        <f aca="false">TblMili[[#This Row],[Raw]]*(1+TblMili[[#This Row],[Mods_Off]])</f>
        <v>#VALUE!</v>
      </c>
      <c r="S2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1" s="285" t="e">
        <f aca="false">TblMili[[#This Row],[Non Draft]]+TblMili[[#This Row],[Draftees]]</f>
        <v>#VALUE!</v>
      </c>
      <c r="U21" s="286" t="n">
        <f aca="false">race_defense + TblImps[[#This Row],[Walls]] + ROUND( MIN(gt_bonus*TblConstr[[#This Row],[Tot GT]]/TblConstr[[#This Row],[Land]],gt_bonus_cap), 4) + IF(TblMagic[[#This Row],[Active Howling]]&gt;0,howling_dp_bonus,IF(TblMagic[[#This Row],[Active Ares Call]]&gt;0,ares_call_bonus))</f>
        <v>0</v>
      </c>
      <c r="V21" s="274" t="e">
        <f aca="false">TblMili[[#This Row],[Non Draft]] * (1 + TblMili[[#This Row],[Mods_Def]])</f>
        <v>#VALUE!</v>
      </c>
      <c r="W21" s="285" t="e">
        <f aca="false">TblMili[[#This Row],[Draft]] * (1 + TblMili[[#This Row],[Mods_Def]])</f>
        <v>#VALUE!</v>
      </c>
      <c r="X21" s="285" t="n">
        <f aca="false">TblConstr[[#This Row],[Land]]</f>
        <v>274</v>
      </c>
      <c r="Y21" s="287"/>
      <c r="Z21" s="109" t="n">
        <f aca="false">IF(TblMili[[#This Row],[Set]]&lt;&gt;"",TblMili[[#This Row],[Set]],OFFSET(TblMili[[#This Row],[Draftrate]],-1,0))</f>
        <v>0.9</v>
      </c>
      <c r="AA21" s="69" t="n">
        <f aca="false">OFFSET(TblMili[[#This Row],[Draftees]],-1,0)+OFFSET(TblPop[[#This Row],[Draft Growth]],-1,0) - SUM(TblMili[[#This Row],[Train Unit 1]:[Train Spies]],TblMili[[#This Row],[Train Wiz]]) - TblMili[[#This Row],[Release Draft]] + SUM(TblMili[[#This Row],[Release Unit 1]:[Release AM]]) - TblExplore[[#This Row],[Draftees (2)]]</f>
        <v>174</v>
      </c>
      <c r="AB21" s="146"/>
      <c r="AC21" s="130" t="n">
        <f aca="false">(TblConstr[[#This Row],[Tot Smi]]+TblConstr[[#This Row],[Dest Smi]])/(TblConstr[[#This Row],[Land]]-TblExplore[[#This Row],[Land Bonus]]*20)</f>
        <v>0</v>
      </c>
      <c r="AD21" s="128"/>
      <c r="AE21" s="282" t="n">
        <f aca="false">TblMili[[#This Row],[Hour]]</f>
        <v>18</v>
      </c>
      <c r="AF21" s="129" t="n">
        <f aca="false">TblExplore[[#This Row],[Time]]</f>
        <v>45430.4583333333</v>
      </c>
      <c r="AG21" s="182"/>
      <c r="AH21" s="182"/>
      <c r="AI21" s="182"/>
      <c r="AJ21" s="182"/>
      <c r="AK21" s="182"/>
      <c r="AL21" s="182"/>
      <c r="AM21" s="182"/>
      <c r="AN21" s="182"/>
      <c r="AO21" s="132"/>
      <c r="AP21" s="69" t="n">
        <f aca="false">TblProd[[#This Row],[Platinum]]</f>
        <v>980</v>
      </c>
      <c r="AQ21" s="69" t="n">
        <f aca="false">INDEX(TblProd[[#Headers],[Lumber]]:TblProd[[#This Row],[Ore]],COUNTA(TblProd[[#Headers],[Lumber]]:TblProd[[#This Row],[Lumber]]),MATCH(Military!$AQ$2,TblProd[[#Headers],[Lumber]:[Ore]],0))</f>
        <v>0</v>
      </c>
      <c r="AR2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69" t="n">
        <f aca="false">TblMili[[#This Row],[Train Unit 1]]*TblMili[[#This Row],[OP Ore]]+TblMili[[#This Row],[Train Unit 2]]*TblMili[[#This Row],[DP Ore]]+TblMili[[#This Row],[Train Unit 3]]*TblMili[[#This Row],[E1 Ore]]+TblMili[[#This Row],[Train Unit 4]]*TblMili[[#This Row],[E2 Ore]]</f>
        <v>0</v>
      </c>
      <c r="AT21" s="132" t="n">
        <f aca="false">TblMili[[#This Row],[Hour]]</f>
        <v>18</v>
      </c>
      <c r="AU21" s="144" t="n">
        <f aca="false">TblMili[[#This Row],[Time]]</f>
        <v>45430.4583333333</v>
      </c>
      <c r="AV21" s="69" t="n">
        <f aca="false">TblMili[[#This Row],[Draftees]]</f>
        <v>174</v>
      </c>
      <c r="AW21" s="182"/>
      <c r="AX21" s="182"/>
      <c r="AY21" s="182"/>
      <c r="AZ21" s="182"/>
      <c r="BA21" s="182"/>
      <c r="BB21" s="182"/>
      <c r="BC21" s="182"/>
      <c r="BD21" s="182"/>
      <c r="BE21" s="182"/>
      <c r="BF21" s="132"/>
      <c r="BG21" s="150" t="n">
        <f aca="false">TblConstr[[#This Row],[Tot WG]]/TblConstr[[#This Row],[Land]]</f>
        <v>0</v>
      </c>
      <c r="BH21" s="150" t="n">
        <f aca="false">TblConstr[[#This Row],[Tot Hav]]/TblConstr[[#This Row],[Land]]</f>
        <v>0</v>
      </c>
      <c r="BI21" s="69" t="n">
        <f aca="false">ROUNDUP((1-MIN(TblMili[[#This Row],[Smithies]]*smithy_bonus,smithy_bonus_cap) + tech_3_5*TblTech[[#This Row],[3-5]] + tech_5_3*TblTech[[#This Row],[5-3]] + tech_5_5*TblTech[[#This Row],[5-5]])*spec_op_plat,0)</f>
        <v>300</v>
      </c>
      <c r="BJ21" s="69" t="n">
        <f aca="false">ROUNDUP(IF(race="Gnome",1,(1-MIN(TblMili[[#This Row],[Smithies]]*smithy_bonus,smithy_bonus_cap) + tech_3_5*TblTech[[#This Row],[3-5]] + tech_5_3*TblTech[[#This Row],[5-3]] + tech_5_5*TblTech[[#This Row],[5-5]]))*spec_op_ore,0)</f>
        <v>0</v>
      </c>
      <c r="BK21" s="69" t="n">
        <f aca="false">ROUNDUP((1-MIN(TblMili[[#This Row],[Smithies]]*smithy_bonus,smithy_bonus_cap) + tech_3_5*TblTech[[#This Row],[3-5]] + tech_5_3*TblTech[[#This Row],[5-3]] + tech_5_5*TblTech[[#This Row],[5-5]])*spec_dp_plat,0)</f>
        <v>300</v>
      </c>
      <c r="BL21" s="69" t="n">
        <f aca="false">ROUNDUP(IF(race="Gnome",1,(1-MIN(TblMili[[#This Row],[Smithies]]*smithy_bonus,smithy_bonus_cap) + tech_3_5*TblTech[[#This Row],[3-5]] + tech_5_3*TblTech[[#This Row],[5-3]] + tech_5_5*TblTech[[#This Row],[5-5]]))*spec_dp_ore,0)</f>
        <v>0</v>
      </c>
      <c r="BM21" s="69" t="n">
        <f aca="false">ROUNDUP((1-MIN(TblMili[[#This Row],[Smithies]]*smithy_bonus,smithy_bonus_cap) + tech_3_5*TblTech[[#This Row],[3-5]] + tech_5_3*TblTech[[#This Row],[5-3]] + tech_5_5*TblTech[[#This Row],[5-5]])*elite1_plat,0)</f>
        <v>925</v>
      </c>
      <c r="BN21" s="69" t="n">
        <f aca="false">ROUNDUP(IF(race="Gnome",1,(1-MIN(TblMili[[#This Row],[Smithies]]*smithy_bonus,smithy_bonus_cap) + tech_3_5*TblTech[[#This Row],[3-5]] + tech_5_3*TblTech[[#This Row],[5-3]] + tech_5_5*TblTech[[#This Row],[5-5]]))*elite1_ore,0)</f>
        <v>0</v>
      </c>
      <c r="BO21" s="69" t="n">
        <f aca="false">ROUNDUP((1-MIN(TblMili[[#This Row],[Smithies]]*smithy_bonus,smithy_bonus_cap) + tech_3_5*TblTech[[#This Row],[3-5]] + tech_5_3*TblTech[[#This Row],[5-3]] + tech_5_5*TblTech[[#This Row],[5-5]])*elite2_plat,0)</f>
        <v>950</v>
      </c>
      <c r="BP21" s="69" t="n">
        <f aca="false">ROUNDUP(IF(race="Gnome",1,(1-MIN(TblMili[[#This Row],[Smithies]]*smithy_bonus,smithy_bonus_cap) + tech_3_5*TblTech[[#This Row],[3-5]] + tech_5_3*TblTech[[#This Row],[5-3]] + tech_5_5*TblTech[[#This Row],[5-5]]))*elite2_ore,0)</f>
        <v>0</v>
      </c>
      <c r="BQ21" s="69" t="n">
        <f aca="false">ROUNDUP((1-MIN(ROUND(fh_spy_cost_red*TblMili[[#This Row],[FH''s]],4),fh_spy_cost_cap)+ tech_1_9*TblTech[[#This Row],[1-9]] + tech_9_1*TblTech[[#This Row],[9-1]])*spy_plat,0)</f>
        <v>500</v>
      </c>
      <c r="BR21" s="69" t="n">
        <f aca="false">ROUNDUP((1-MIN(ROUND(fh_spy_cost_red*TblMili[[#This Row],[FH''s]],4),fh_spy_cost_cap)+ tech_1_9*TblTech[[#This Row],[1-9]] + tech_9_1*TblTech[[#This Row],[9-1]])*archspy_plat,0)</f>
        <v>1000</v>
      </c>
      <c r="BS21" s="69" t="n">
        <f aca="false">ROUNDUP((1-MIN(ROUND(wg_wiz_cost_bonus*TblMili[[#This Row],[WG''s]],4),wg_wiz_cost_cap) + tech_1_9_2*TblTech[[#This Row],[1-9]] + tech_9_1_2*TblTech[[#This Row],[9-1]])*wizard_plat,0)</f>
        <v>500</v>
      </c>
      <c r="BT21" s="69" t="n">
        <f aca="false">ROUNDUP((1-MIN(ROUND(wg_wiz_cost_bonus*TblMili[[#This Row],[WG''s]],4),wg_wiz_cost_cap) + tech_1_9_2*TblTech[[#This Row],[1-9]] + tech_9_1_2*TblTech[[#This Row],[9-1]])*archmage_plat,0)</f>
        <v>1000</v>
      </c>
      <c r="BU21" s="132"/>
      <c r="BV21" s="150" t="e">
        <f aca="false">TblConstr[[#This Row],[Homeland]]/TblConstr[[#This Row],[Land]]</f>
        <v>#VALUE!</v>
      </c>
      <c r="BW21" s="150" t="n">
        <f aca="false">TblMili[[#This Row],[WG''s]]</f>
        <v>0</v>
      </c>
      <c r="BX21" s="288" t="e">
        <f aca="false">IF(mystic_cap="none",TblMili[[#This Row],[Hill]]/mystic_bonus,MIN(mystic_cap,TblMili[[#This Row],[Hill]]/mystic_bonus))</f>
        <v>#VALUE!</v>
      </c>
      <c r="BY21" s="288" t="e">
        <f aca="false">IF(druid_op_cap="none",TblMili[[#This Row],[Hill]]/druid_op_bonus,MIN(druid_op_cap,TblMili[[#This Row],[Hill]]/druid_op_bonus))</f>
        <v>#VALUE!</v>
      </c>
      <c r="BZ21" s="288" t="e">
        <f aca="false">IF(druid_dp_cap="none",TblMili[[#This Row],[Hill]]/druid_dp_bonus,MIN(druid_dp_cap,TblMili[[#This Row],[Hill]]/druid_dp_bonus))</f>
        <v>#VALUE!</v>
      </c>
      <c r="CA21" s="288" t="e">
        <f aca="false">MIN(dryad_cap,TblMili[[#This Row],[Hill]]/dryad_bonus)</f>
        <v>#VALUE!</v>
      </c>
      <c r="CB21" s="288" t="e">
        <f aca="false">MIN(rocka_cap,TblMili[[#This Row],[Hill]]/rocka_bonus)</f>
        <v>#VALUE!</v>
      </c>
      <c r="CC21" s="288" t="n">
        <f aca="false">MIN(adept_op_cap,TblMili[[#This Row],[WG]]/adept_op_bonus)</f>
        <v>0</v>
      </c>
      <c r="CD21" s="288" t="n">
        <f aca="false">MIN(adept_dp_cap,TblMili[[#This Row],[WG]]/adept_dp_bonus)</f>
        <v>0</v>
      </c>
      <c r="CE21" s="69" t="n">
        <f aca="false">MIN(TblMili[[#This Row],[Unit 3]],TblMili[[#This Row],[Unit 2]])*2</f>
        <v>0</v>
      </c>
      <c r="CF21" s="69" t="n">
        <f aca="false">MIN(TblMili[[#This Row],[Unit 1]],TblMili[[#This Row],[Unit 4]])*2</f>
        <v>0</v>
      </c>
      <c r="CG21" s="288" t="e">
        <f aca="false">MIN(frost_mage_cap,TblMili[[#This Row],[Hill]]/frost_mage_bonus)</f>
        <v>#VALUE!</v>
      </c>
      <c r="CH21" s="151" t="n">
        <f aca="false">MIN(ice_elem_cap,TblMili[[#This Row],[Raw (2)]]*ice_elem_bonus)</f>
        <v>0</v>
      </c>
      <c r="CI21" s="288" t="n">
        <f aca="false">MIN(bone_breaker_cap,250/bone_breaker_bonus)</f>
        <v>0.833333333333333</v>
      </c>
      <c r="CJ21" s="288" t="e">
        <f aca="false">MIN(nox_nightshade_cap,TblConstr[[#This Row],[Homeland]]/TblConstr[[#This Row],[Land]]/nox_nightshade_swamp_bonus)</f>
        <v>#VALUE!</v>
      </c>
      <c r="CK21" s="289" t="s">
        <v>473</v>
      </c>
      <c r="CL21" s="289" t="n">
        <f aca="false">VLOOKUP(Overview!$A25,Races!$D$4:$H$116,3,FALSE())</f>
        <v>3</v>
      </c>
      <c r="CM21" s="289"/>
      <c r="CN21" s="288" t="e">
        <f aca="false">MIN(6,TblMili[[#This Row],[Mystic]]+Races!$F$19)*1.8 +  IF(TblMili[[#This Row],[Mystic]]+Races!$F$19&gt;6,(TblMili[[#This Row],[Mystic]]+Races!$F$19-6)*0.2,0) - Races!$I$19</f>
        <v>#VALUE!</v>
      </c>
      <c r="CO21" s="288" t="e">
        <f aca="false">1.8 * MIN(MAX(TblMili[[#This Row],[Druid (op)]]+Races!$E$20,TblMili[[#This Row],[Druid (dp)]]+Races!$F$20),6)  +  0.45 * MIN(MIN(TblMili[[#This Row],[Druid (op)]]+Races!$E$20,TblMili[[#This Row],[Druid (dp)]]+Races!$F$20),6)  +  0.2 * ( MAX(TblMili[[#This Row],[Druid (op)]]+Races!$E$20-6,0) + MAX(TblMili[[#This Row],[Druid (dp)]]+Races!$F$20-6,0) )  -  Races!$I$20</f>
        <v>#VALUE!</v>
      </c>
      <c r="CP21" s="69" t="e">
        <f aca="false">TblMili[[#This Row],[Mystic bonus]]*TblMili[[#This Row],[Unit 3]]+TblMili[[#This Row],[Druid bonus]]*TblMili[[#This Row],[Unit 4]]</f>
        <v>#VALUE!</v>
      </c>
      <c r="CQ21" s="148" t="e">
        <f aca="false">MIN(6,TblMili[[#This Row],[Dryad]]+Races!$F$35)*1.8 +  IF(TblMili[[#This Row],[Dryad]]+Races!$F$35&gt;6,(TblMili[[#This Row],[Dryad]]+Races!$F$35-6)*0.2,0) - Races!$I$19</f>
        <v>#VALUE!</v>
      </c>
      <c r="CR21" s="69" t="e">
        <f aca="false">sylvan*(TblMili[[#This Row],[Mystic bonus]]*TblMili[[#This Row],[Unit 3]])</f>
        <v>#VALUE!</v>
      </c>
      <c r="CS21" s="148" t="e">
        <f aca="false">1.8 * MIN(MAX(Races!$E$27,TblMili[[#This Row],[Rockapult]]+Races!$F$27),6)  +  0.45 * MIN(MIN(Races!$E$27,TblMili[[#This Row],[Rockapult]]+Races!$F$27),6)  +  0.2 * ( MAX(Races!$E$27-6,0) + MAX(TblMili[[#This Row],[Rockapult]]+Races!$F$27-6,0) )  -  Races!$I$20</f>
        <v>#VALUE!</v>
      </c>
      <c r="CT21" s="69" t="e">
        <f aca="false">gnome*(TblMili[[#This Row],[Rockapult bonus]]*TblMili[[#This Row],[Unit 3]])</f>
        <v>#VALUE!</v>
      </c>
      <c r="CU21" s="148" t="n">
        <f aca="false">1.8 * MIN(MAX(TblMili[[#This Row],[Spellblade]]+Races!$E$47,TblMili[[#This Row],[Adept-DP]]+Races!$F$47),6)  +  0.45 * MIN(MIN(TblMili[[#This Row],[Spellblade]]+Races!$E$47,TblMili[[#This Row],[Adept-DP]]+Races!$F$47),6)  +  0.2 * ( MAX(TblMili[[#This Row],[Spellblade]]+Races!$E$47-6,0) + MAX(TblMili[[#This Row],[Adept-DP]]+Races!$F$47-6,0) )  -  Races!$I$47</f>
        <v>0</v>
      </c>
      <c r="CV21" s="69" t="n">
        <f aca="false">dark_elf*(TblMili[[#This Row],[Adept bonus]]*TblMili[[#This Row],[Unit 3]])</f>
        <v>0</v>
      </c>
      <c r="CW21" s="148" t="e">
        <f aca="false">1.8 * MIN(MAX(TblMili[[#This Row],[Frost Mage]]+Races!$F$71,Races!$E$71),6)  +  0.45 * MIN(MIN(TblMili[[#This Row],[Frost Mage]]+Races!$F$71,Races!$E$71),6)  +  0.2 * ( MAX(TblMili[[#This Row],[Frost Mage]]+Races!$F$71-6,0) + MAX(Races!$E$71-6,0) )  -  Races!$I$71</f>
        <v>#VALUE!</v>
      </c>
      <c r="CX21" s="148" t="n">
        <f aca="false">1.8 * MIN(MAX(TblMili[[#This Row],[Ice Elemental]]+Races!$E$71,Races!$F$71),6)  +  0.45 * MIN(MIN(TblMili[[#This Row],[Ice Elemental]]+Races!$E$71,Races!$F$71),6)  +  0.2 * ( MAX(TblMili[[#This Row],[Ice Elemental]]+Races!$E$71-6,0) + MAX(Races!$F$71-6,0) )  -  Races!$I$71</f>
        <v>0</v>
      </c>
      <c r="CY21" s="69" t="e">
        <f aca="false">TblMili[[#This Row],[Frost Mage bonus]]*TblMili[[#This Row],[Unit 3]]+TblMili[[#This Row],[Ice Elemental bonus]]*TblMili[[#This Row],[Unit 4]]</f>
        <v>#VALUE!</v>
      </c>
      <c r="CZ21" s="290"/>
      <c r="DA21" s="109" t="n">
        <f aca="false">MIN(SUM(TblConstr[[#This Row],[Plain]:[Water]])/TblMili[[#This Row],[Land]]/favorable_terrain_bonus/100,favorable_terrain_max)</f>
        <v>0</v>
      </c>
      <c r="DB21" s="290"/>
      <c r="DC2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1" s="132"/>
      <c r="DE21" s="291" t="n">
        <f aca="false">(TblMili[[#This Row],[Wizards]]+2*TblMili[[#This Row],[Archmages]])/TblConstr[[#This Row],[Land]]</f>
        <v>0</v>
      </c>
      <c r="DF21" s="291" t="n">
        <f aca="false">TblMili[[#This Row],[Raw (2)]]*(1+race_wizard_strength+IF(TblMili[[#This Row],[Hour]]&gt;72,tech_magical_weaponry_wiz*TblTech[[#This Row],[3-5]],0))</f>
        <v>0</v>
      </c>
    </row>
    <row r="22" customFormat="false" ht="12.75" hidden="false" customHeight="false" outlineLevel="0" collapsed="false">
      <c r="A22" s="128" t="n">
        <f aca="false">TblRezone[[#This Row],[Hour]]</f>
        <v>19</v>
      </c>
      <c r="B22" s="282" t="n">
        <f aca="false">SUM(TblMili[[#This Row],[Unit 1]:[Archmages]])+SUM(OFFSET(TblMili[[#This Row],[Train Unit 1]],-8,0):TblMili[[#This Row],[Train Unit 2]]) + SUM(OFFSET(TblMili[[#This Row],[Train Unit 3]],-11,0):TblMili[[#This Row],[Train AM]]) + TblMili[[#This Row],[Draftees]]</f>
        <v>153</v>
      </c>
      <c r="C22" s="150" t="n">
        <f aca="false">TblPop[[#This Row],[Military%]]</f>
        <v>0.0583301563095692</v>
      </c>
      <c r="D22" s="132"/>
      <c r="E22" s="151" t="n">
        <f aca="false">OFFSET(TblMili[[#This Row],[Unit 1]],-1,0) + OFFSET(TblMili[[#This Row],[Train Unit 1]],-9,0) - TblMili[[#This Row],[Release Unit 1]]</f>
        <v>0</v>
      </c>
      <c r="F22" s="151" t="n">
        <f aca="false">OFFSET(TblMili[[#This Row],[Unit 2]],-1,0) + OFFSET(TblMili[[#This Row],[Train Unit 2]],-9,0)-TblMili[[#This Row],[Release Unit 2]]</f>
        <v>0</v>
      </c>
      <c r="G22" s="151" t="n">
        <f aca="false">OFFSET(TblMili[[#This Row],[Unit 3]],-1,0) + OFFSET(TblMili[[#This Row],[Train Unit 3]],-12,0)-TblMili[[#This Row],[Release Unit 3]]</f>
        <v>0</v>
      </c>
      <c r="H22" s="151" t="n">
        <f aca="false">OFFSET(TblMili[[#This Row],[Unit 4]],-1,0) + OFFSET(TblMili[[#This Row],[Train Unit 4]],-12,0)-TblMili[[#This Row],[Release Unit 4]]</f>
        <v>0</v>
      </c>
      <c r="I22" s="151" t="n">
        <f aca="false">OFFSET(TblMili[[#This Row],[Spies]],-1,0) + OFFSET(TblMili[[#This Row],[Train Spies]],-12,0) - TblMili[[#This Row],[Release Spies]]-TblMili[[#This Row],[Train AS]]</f>
        <v>0</v>
      </c>
      <c r="J22" s="151" t="n">
        <f aca="false">OFFSET(TblMili[[#This Row],[Archspies]],-1,0) + OFFSET(TblMili[[#This Row],[Train AS]],-12,0) - TblMili[[#This Row],[Release AS]]</f>
        <v>0</v>
      </c>
      <c r="K22" s="151" t="n">
        <f aca="false">OFFSET(TblMili[[#This Row],[Wizards]],-1,0) + OFFSET(TblMili[[#This Row],[Train Wiz]],-12,0) - TblMili[[#This Row],[Release Wizards]]-TblMili[[#This Row],[Train AM]]</f>
        <v>0</v>
      </c>
      <c r="L22" s="151" t="n">
        <f aca="false">OFFSET(TblMili[[#This Row],[Archmages]],-1,0) + OFFSET(TblMili[[#This Row],[Train AM]],-12,0) - TblMili[[#This Row],[Release AM]]</f>
        <v>0</v>
      </c>
      <c r="M22" s="132"/>
      <c r="N22" s="69" t="e">
        <f aca="false">TblProd[[#This Row],[Networth]]</f>
        <v>#VALUE!</v>
      </c>
      <c r="O22" s="132"/>
      <c r="P2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2" s="285" t="e">
        <f aca="false">TblMili[[#This Row],[Raw]]*(1+TblMili[[#This Row],[Mods_Off]])</f>
        <v>#VALUE!</v>
      </c>
      <c r="S2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2" s="285" t="e">
        <f aca="false">TblMili[[#This Row],[Non Draft]]+TblMili[[#This Row],[Draftees]]</f>
        <v>#VALUE!</v>
      </c>
      <c r="U22" s="286" t="n">
        <f aca="false">race_defense + TblImps[[#This Row],[Walls]] + ROUND( MIN(gt_bonus*TblConstr[[#This Row],[Tot GT]]/TblConstr[[#This Row],[Land]],gt_bonus_cap), 4) + IF(TblMagic[[#This Row],[Active Howling]]&gt;0,howling_dp_bonus,IF(TblMagic[[#This Row],[Active Ares Call]]&gt;0,ares_call_bonus))</f>
        <v>0</v>
      </c>
      <c r="V22" s="274" t="e">
        <f aca="false">TblMili[[#This Row],[Non Draft]] * (1 + TblMili[[#This Row],[Mods_Def]])</f>
        <v>#VALUE!</v>
      </c>
      <c r="W22" s="285" t="e">
        <f aca="false">TblMili[[#This Row],[Draft]] * (1 + TblMili[[#This Row],[Mods_Def]])</f>
        <v>#VALUE!</v>
      </c>
      <c r="X22" s="285" t="n">
        <f aca="false">TblConstr[[#This Row],[Land]]</f>
        <v>275</v>
      </c>
      <c r="Y22" s="287"/>
      <c r="Z22" s="109" t="n">
        <f aca="false">IF(TblMili[[#This Row],[Set]]&lt;&gt;"",TblMili[[#This Row],[Set]],OFFSET(TblMili[[#This Row],[Draftrate]],-1,0))</f>
        <v>0.9</v>
      </c>
      <c r="AA22" s="69" t="n">
        <f aca="false">OFFSET(TblMili[[#This Row],[Draftees]],-1,0)+OFFSET(TblPop[[#This Row],[Draft Growth]],-1,0) - SUM(TblMili[[#This Row],[Train Unit 1]:[Train Spies]],TblMili[[#This Row],[Train Wiz]]) - TblMili[[#This Row],[Release Draft]] + SUM(TblMili[[#This Row],[Release Unit 1]:[Release AM]]) - TblExplore[[#This Row],[Draftees (2)]]</f>
        <v>153</v>
      </c>
      <c r="AB22" s="146"/>
      <c r="AC22" s="130" t="n">
        <f aca="false">(TblConstr[[#This Row],[Tot Smi]]+TblConstr[[#This Row],[Dest Smi]])/(TblConstr[[#This Row],[Land]]-TblExplore[[#This Row],[Land Bonus]]*20)</f>
        <v>0</v>
      </c>
      <c r="AD22" s="128"/>
      <c r="AE22" s="282" t="n">
        <f aca="false">TblMili[[#This Row],[Hour]]</f>
        <v>19</v>
      </c>
      <c r="AF22" s="129" t="n">
        <f aca="false">TblExplore[[#This Row],[Time]]</f>
        <v>45430.5</v>
      </c>
      <c r="AG22" s="182"/>
      <c r="AH22" s="182"/>
      <c r="AI22" s="182"/>
      <c r="AJ22" s="182"/>
      <c r="AK22" s="182"/>
      <c r="AL22" s="182"/>
      <c r="AM22" s="182"/>
      <c r="AN22" s="182"/>
      <c r="AO22" s="132"/>
      <c r="AP22" s="69" t="n">
        <f aca="false">TblProd[[#This Row],[Platinum]]</f>
        <v>1245</v>
      </c>
      <c r="AQ22" s="69" t="n">
        <f aca="false">INDEX(TblProd[[#Headers],[Lumber]]:TblProd[[#This Row],[Ore]],COUNTA(TblProd[[#Headers],[Lumber]]:TblProd[[#This Row],[Lumber]]),MATCH(Military!$AQ$2,TblProd[[#Headers],[Lumber]:[Ore]],0))</f>
        <v>0</v>
      </c>
      <c r="AR2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69" t="n">
        <f aca="false">TblMili[[#This Row],[Train Unit 1]]*TblMili[[#This Row],[OP Ore]]+TblMili[[#This Row],[Train Unit 2]]*TblMili[[#This Row],[DP Ore]]+TblMili[[#This Row],[Train Unit 3]]*TblMili[[#This Row],[E1 Ore]]+TblMili[[#This Row],[Train Unit 4]]*TblMili[[#This Row],[E2 Ore]]</f>
        <v>0</v>
      </c>
      <c r="AT22" s="132" t="n">
        <f aca="false">TblMili[[#This Row],[Hour]]</f>
        <v>19</v>
      </c>
      <c r="AU22" s="144" t="n">
        <f aca="false">TblMili[[#This Row],[Time]]</f>
        <v>45430.5</v>
      </c>
      <c r="AV22" s="69" t="n">
        <f aca="false">TblMili[[#This Row],[Draftees]]</f>
        <v>153</v>
      </c>
      <c r="AW22" s="182"/>
      <c r="AX22" s="182"/>
      <c r="AY22" s="182"/>
      <c r="AZ22" s="182"/>
      <c r="BA22" s="182"/>
      <c r="BB22" s="182"/>
      <c r="BC22" s="182"/>
      <c r="BD22" s="182"/>
      <c r="BE22" s="182"/>
      <c r="BF22" s="132"/>
      <c r="BG22" s="150" t="n">
        <f aca="false">TblConstr[[#This Row],[Tot WG]]/TblConstr[[#This Row],[Land]]</f>
        <v>0</v>
      </c>
      <c r="BH22" s="150" t="n">
        <f aca="false">TblConstr[[#This Row],[Tot Hav]]/TblConstr[[#This Row],[Land]]</f>
        <v>0</v>
      </c>
      <c r="BI22" s="69" t="n">
        <f aca="false">ROUNDUP((1-MIN(TblMili[[#This Row],[Smithies]]*smithy_bonus,smithy_bonus_cap) + tech_3_5*TblTech[[#This Row],[3-5]] + tech_5_3*TblTech[[#This Row],[5-3]] + tech_5_5*TblTech[[#This Row],[5-5]])*spec_op_plat,0)</f>
        <v>300</v>
      </c>
      <c r="BJ22" s="69" t="n">
        <f aca="false">ROUNDUP(IF(race="Gnome",1,(1-MIN(TblMili[[#This Row],[Smithies]]*smithy_bonus,smithy_bonus_cap) + tech_3_5*TblTech[[#This Row],[3-5]] + tech_5_3*TblTech[[#This Row],[5-3]] + tech_5_5*TblTech[[#This Row],[5-5]]))*spec_op_ore,0)</f>
        <v>0</v>
      </c>
      <c r="BK22" s="69" t="n">
        <f aca="false">ROUNDUP((1-MIN(TblMili[[#This Row],[Smithies]]*smithy_bonus,smithy_bonus_cap) + tech_3_5*TblTech[[#This Row],[3-5]] + tech_5_3*TblTech[[#This Row],[5-3]] + tech_5_5*TblTech[[#This Row],[5-5]])*spec_dp_plat,0)</f>
        <v>300</v>
      </c>
      <c r="BL22" s="69" t="n">
        <f aca="false">ROUNDUP(IF(race="Gnome",1,(1-MIN(TblMili[[#This Row],[Smithies]]*smithy_bonus,smithy_bonus_cap) + tech_3_5*TblTech[[#This Row],[3-5]] + tech_5_3*TblTech[[#This Row],[5-3]] + tech_5_5*TblTech[[#This Row],[5-5]]))*spec_dp_ore,0)</f>
        <v>0</v>
      </c>
      <c r="BM22" s="69" t="n">
        <f aca="false">ROUNDUP((1-MIN(TblMili[[#This Row],[Smithies]]*smithy_bonus,smithy_bonus_cap) + tech_3_5*TblTech[[#This Row],[3-5]] + tech_5_3*TblTech[[#This Row],[5-3]] + tech_5_5*TblTech[[#This Row],[5-5]])*elite1_plat,0)</f>
        <v>925</v>
      </c>
      <c r="BN22" s="69" t="n">
        <f aca="false">ROUNDUP(IF(race="Gnome",1,(1-MIN(TblMili[[#This Row],[Smithies]]*smithy_bonus,smithy_bonus_cap) + tech_3_5*TblTech[[#This Row],[3-5]] + tech_5_3*TblTech[[#This Row],[5-3]] + tech_5_5*TblTech[[#This Row],[5-5]]))*elite1_ore,0)</f>
        <v>0</v>
      </c>
      <c r="BO22" s="69" t="n">
        <f aca="false">ROUNDUP((1-MIN(TblMili[[#This Row],[Smithies]]*smithy_bonus,smithy_bonus_cap) + tech_3_5*TblTech[[#This Row],[3-5]] + tech_5_3*TblTech[[#This Row],[5-3]] + tech_5_5*TblTech[[#This Row],[5-5]])*elite2_plat,0)</f>
        <v>950</v>
      </c>
      <c r="BP22" s="69" t="n">
        <f aca="false">ROUNDUP(IF(race="Gnome",1,(1-MIN(TblMili[[#This Row],[Smithies]]*smithy_bonus,smithy_bonus_cap) + tech_3_5*TblTech[[#This Row],[3-5]] + tech_5_3*TblTech[[#This Row],[5-3]] + tech_5_5*TblTech[[#This Row],[5-5]]))*elite2_ore,0)</f>
        <v>0</v>
      </c>
      <c r="BQ22" s="69" t="n">
        <f aca="false">ROUNDUP((1-MIN(ROUND(fh_spy_cost_red*TblMili[[#This Row],[FH''s]],4),fh_spy_cost_cap)+ tech_1_9*TblTech[[#This Row],[1-9]] + tech_9_1*TblTech[[#This Row],[9-1]])*spy_plat,0)</f>
        <v>500</v>
      </c>
      <c r="BR22" s="69" t="n">
        <f aca="false">ROUNDUP((1-MIN(ROUND(fh_spy_cost_red*TblMili[[#This Row],[FH''s]],4),fh_spy_cost_cap)+ tech_1_9*TblTech[[#This Row],[1-9]] + tech_9_1*TblTech[[#This Row],[9-1]])*archspy_plat,0)</f>
        <v>1000</v>
      </c>
      <c r="BS22" s="69" t="n">
        <f aca="false">ROUNDUP((1-MIN(ROUND(wg_wiz_cost_bonus*TblMili[[#This Row],[WG''s]],4),wg_wiz_cost_cap) + tech_1_9_2*TblTech[[#This Row],[1-9]] + tech_9_1_2*TblTech[[#This Row],[9-1]])*wizard_plat,0)</f>
        <v>500</v>
      </c>
      <c r="BT22" s="69" t="n">
        <f aca="false">ROUNDUP((1-MIN(ROUND(wg_wiz_cost_bonus*TblMili[[#This Row],[WG''s]],4),wg_wiz_cost_cap) + tech_1_9_2*TblTech[[#This Row],[1-9]] + tech_9_1_2*TblTech[[#This Row],[9-1]])*archmage_plat,0)</f>
        <v>1000</v>
      </c>
      <c r="BU22" s="132"/>
      <c r="BV22" s="150" t="e">
        <f aca="false">TblConstr[[#This Row],[Homeland]]/TblConstr[[#This Row],[Land]]</f>
        <v>#VALUE!</v>
      </c>
      <c r="BW22" s="150" t="n">
        <f aca="false">TblMili[[#This Row],[WG''s]]</f>
        <v>0</v>
      </c>
      <c r="BX22" s="288" t="e">
        <f aca="false">IF(mystic_cap="none",TblMili[[#This Row],[Hill]]/mystic_bonus,MIN(mystic_cap,TblMili[[#This Row],[Hill]]/mystic_bonus))</f>
        <v>#VALUE!</v>
      </c>
      <c r="BY22" s="288" t="e">
        <f aca="false">IF(druid_op_cap="none",TblMili[[#This Row],[Hill]]/druid_op_bonus,MIN(druid_op_cap,TblMili[[#This Row],[Hill]]/druid_op_bonus))</f>
        <v>#VALUE!</v>
      </c>
      <c r="BZ22" s="288" t="e">
        <f aca="false">IF(druid_dp_cap="none",TblMili[[#This Row],[Hill]]/druid_dp_bonus,MIN(druid_dp_cap,TblMili[[#This Row],[Hill]]/druid_dp_bonus))</f>
        <v>#VALUE!</v>
      </c>
      <c r="CA22" s="288" t="e">
        <f aca="false">MIN(dryad_cap,TblMili[[#This Row],[Hill]]/dryad_bonus)</f>
        <v>#VALUE!</v>
      </c>
      <c r="CB22" s="288" t="e">
        <f aca="false">MIN(rocka_cap,TblMili[[#This Row],[Hill]]/rocka_bonus)</f>
        <v>#VALUE!</v>
      </c>
      <c r="CC22" s="288" t="n">
        <f aca="false">MIN(adept_op_cap,TblMili[[#This Row],[WG]]/adept_op_bonus)</f>
        <v>0</v>
      </c>
      <c r="CD22" s="288" t="n">
        <f aca="false">MIN(adept_dp_cap,TblMili[[#This Row],[WG]]/adept_dp_bonus)</f>
        <v>0</v>
      </c>
      <c r="CE22" s="69" t="n">
        <f aca="false">MIN(TblMili[[#This Row],[Unit 3]],TblMili[[#This Row],[Unit 2]])*2</f>
        <v>0</v>
      </c>
      <c r="CF22" s="69" t="n">
        <f aca="false">MIN(TblMili[[#This Row],[Unit 1]],TblMili[[#This Row],[Unit 4]])*2</f>
        <v>0</v>
      </c>
      <c r="CG22" s="288" t="e">
        <f aca="false">MIN(frost_mage_cap,TblMili[[#This Row],[Hill]]/frost_mage_bonus)</f>
        <v>#VALUE!</v>
      </c>
      <c r="CH22" s="151" t="n">
        <f aca="false">MIN(ice_elem_cap,TblMili[[#This Row],[Raw (2)]]*ice_elem_bonus)</f>
        <v>0</v>
      </c>
      <c r="CI22" s="288" t="n">
        <f aca="false">MIN(bone_breaker_cap,250/bone_breaker_bonus)</f>
        <v>0.833333333333333</v>
      </c>
      <c r="CJ22" s="288" t="e">
        <f aca="false">MIN(nox_nightshade_cap,TblConstr[[#This Row],[Homeland]]/TblConstr[[#This Row],[Land]]/nox_nightshade_swamp_bonus)</f>
        <v>#VALUE!</v>
      </c>
      <c r="CK22" s="289"/>
      <c r="CL22" s="289"/>
      <c r="CM22" s="289"/>
      <c r="CN22" s="288" t="e">
        <f aca="false">MIN(6,TblMili[[#This Row],[Mystic]]+Races!$F$19)*1.8 +  IF(TblMili[[#This Row],[Mystic]]+Races!$F$19&gt;6,(TblMili[[#This Row],[Mystic]]+Races!$F$19-6)*0.2,0) - Races!$I$19</f>
        <v>#VALUE!</v>
      </c>
      <c r="CO22" s="288" t="e">
        <f aca="false">1.8 * MIN(MAX(TblMili[[#This Row],[Druid (op)]]+Races!$E$20,TblMili[[#This Row],[Druid (dp)]]+Races!$F$20),6)  +  0.45 * MIN(MIN(TblMili[[#This Row],[Druid (op)]]+Races!$E$20,TblMili[[#This Row],[Druid (dp)]]+Races!$F$20),6)  +  0.2 * ( MAX(TblMili[[#This Row],[Druid (op)]]+Races!$E$20-6,0) + MAX(TblMili[[#This Row],[Druid (dp)]]+Races!$F$20-6,0) )  -  Races!$I$20</f>
        <v>#VALUE!</v>
      </c>
      <c r="CP22" s="69" t="e">
        <f aca="false">TblMili[[#This Row],[Mystic bonus]]*TblMili[[#This Row],[Unit 3]]+TblMili[[#This Row],[Druid bonus]]*TblMili[[#This Row],[Unit 4]]</f>
        <v>#VALUE!</v>
      </c>
      <c r="CQ22" s="148" t="e">
        <f aca="false">MIN(6,TblMili[[#This Row],[Dryad]]+Races!$F$35)*1.8 +  IF(TblMili[[#This Row],[Dryad]]+Races!$F$35&gt;6,(TblMili[[#This Row],[Dryad]]+Races!$F$35-6)*0.2,0) - Races!$I$19</f>
        <v>#VALUE!</v>
      </c>
      <c r="CR22" s="69" t="e">
        <f aca="false">sylvan*(TblMili[[#This Row],[Mystic bonus]]*TblMili[[#This Row],[Unit 3]])</f>
        <v>#VALUE!</v>
      </c>
      <c r="CS22" s="148" t="e">
        <f aca="false">1.8 * MIN(MAX(Races!$E$27,TblMili[[#This Row],[Rockapult]]+Races!$F$27),6)  +  0.45 * MIN(MIN(Races!$E$27,TblMili[[#This Row],[Rockapult]]+Races!$F$27),6)  +  0.2 * ( MAX(Races!$E$27-6,0) + MAX(TblMili[[#This Row],[Rockapult]]+Races!$F$27-6,0) )  -  Races!$I$20</f>
        <v>#VALUE!</v>
      </c>
      <c r="CT22" s="69" t="e">
        <f aca="false">gnome*(TblMili[[#This Row],[Rockapult bonus]]*TblMili[[#This Row],[Unit 3]])</f>
        <v>#VALUE!</v>
      </c>
      <c r="CU22" s="148" t="n">
        <f aca="false">1.8 * MIN(MAX(TblMili[[#This Row],[Spellblade]]+Races!$E$47,TblMili[[#This Row],[Adept-DP]]+Races!$F$47),6)  +  0.45 * MIN(MIN(TblMili[[#This Row],[Spellblade]]+Races!$E$47,TblMili[[#This Row],[Adept-DP]]+Races!$F$47),6)  +  0.2 * ( MAX(TblMili[[#This Row],[Spellblade]]+Races!$E$47-6,0) + MAX(TblMili[[#This Row],[Adept-DP]]+Races!$F$47-6,0) )  -  Races!$I$47</f>
        <v>0</v>
      </c>
      <c r="CV22" s="69" t="n">
        <f aca="false">dark_elf*(TblMili[[#This Row],[Adept bonus]]*TblMili[[#This Row],[Unit 3]])</f>
        <v>0</v>
      </c>
      <c r="CW22" s="148" t="e">
        <f aca="false">1.8 * MIN(MAX(TblMili[[#This Row],[Frost Mage]]+Races!$F$71,Races!$E$71),6)  +  0.45 * MIN(MIN(TblMili[[#This Row],[Frost Mage]]+Races!$F$71,Races!$E$71),6)  +  0.2 * ( MAX(TblMili[[#This Row],[Frost Mage]]+Races!$F$71-6,0) + MAX(Races!$E$71-6,0) )  -  Races!$I$71</f>
        <v>#VALUE!</v>
      </c>
      <c r="CX22" s="148" t="n">
        <f aca="false">1.8 * MIN(MAX(TblMili[[#This Row],[Ice Elemental]]+Races!$E$71,Races!$F$71),6)  +  0.45 * MIN(MIN(TblMili[[#This Row],[Ice Elemental]]+Races!$E$71,Races!$F$71),6)  +  0.2 * ( MAX(TblMili[[#This Row],[Ice Elemental]]+Races!$E$71-6,0) + MAX(Races!$F$71-6,0) )  -  Races!$I$71</f>
        <v>0</v>
      </c>
      <c r="CY22" s="69" t="e">
        <f aca="false">TblMili[[#This Row],[Frost Mage bonus]]*TblMili[[#This Row],[Unit 3]]+TblMili[[#This Row],[Ice Elemental bonus]]*TblMili[[#This Row],[Unit 4]]</f>
        <v>#VALUE!</v>
      </c>
      <c r="CZ22" s="290"/>
      <c r="DA22" s="109" t="n">
        <f aca="false">MIN(SUM(TblConstr[[#This Row],[Plain]:[Water]])/TblMili[[#This Row],[Land]]/favorable_terrain_bonus/100,favorable_terrain_max)</f>
        <v>0</v>
      </c>
      <c r="DB22" s="290"/>
      <c r="DC2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2" s="132"/>
      <c r="DE22" s="291" t="n">
        <f aca="false">(TblMili[[#This Row],[Wizards]]+2*TblMili[[#This Row],[Archmages]])/TblConstr[[#This Row],[Land]]</f>
        <v>0</v>
      </c>
      <c r="DF22" s="291" t="n">
        <f aca="false">TblMili[[#This Row],[Raw (2)]]*(1+race_wizard_strength+IF(TblMili[[#This Row],[Hour]]&gt;72,tech_magical_weaponry_wiz*TblTech[[#This Row],[3-5]],0))</f>
        <v>0</v>
      </c>
    </row>
    <row r="23" customFormat="false" ht="12.75" hidden="false" customHeight="false" outlineLevel="0" collapsed="false">
      <c r="A23" s="128" t="n">
        <f aca="false">TblRezone[[#This Row],[Hour]]</f>
        <v>20</v>
      </c>
      <c r="B23" s="282" t="n">
        <f aca="false">SUM(TblMili[[#This Row],[Unit 1]:[Archmages]])+SUM(OFFSET(TblMili[[#This Row],[Train Unit 1]],-8,0):TblMili[[#This Row],[Train Unit 2]]) + SUM(OFFSET(TblMili[[#This Row],[Train Unit 3]],-11,0):TblMili[[#This Row],[Train AM]]) + TblMili[[#This Row],[Draftees]]</f>
        <v>130</v>
      </c>
      <c r="C23" s="150" t="n">
        <f aca="false">TblPop[[#This Row],[Military%]]</f>
        <v>0.0471014492753623</v>
      </c>
      <c r="D23" s="132"/>
      <c r="E23" s="151" t="n">
        <f aca="false">OFFSET(TblMili[[#This Row],[Unit 1]],-1,0) + OFFSET(TblMili[[#This Row],[Train Unit 1]],-9,0) - TblMili[[#This Row],[Release Unit 1]]</f>
        <v>0</v>
      </c>
      <c r="F23" s="151" t="n">
        <f aca="false">OFFSET(TblMili[[#This Row],[Unit 2]],-1,0) + OFFSET(TblMili[[#This Row],[Train Unit 2]],-9,0)-TblMili[[#This Row],[Release Unit 2]]</f>
        <v>0</v>
      </c>
      <c r="G23" s="151" t="n">
        <f aca="false">OFFSET(TblMili[[#This Row],[Unit 3]],-1,0) + OFFSET(TblMili[[#This Row],[Train Unit 3]],-12,0)-TblMili[[#This Row],[Release Unit 3]]</f>
        <v>0</v>
      </c>
      <c r="H23" s="151" t="n">
        <f aca="false">OFFSET(TblMili[[#This Row],[Unit 4]],-1,0) + OFFSET(TblMili[[#This Row],[Train Unit 4]],-12,0)-TblMili[[#This Row],[Release Unit 4]]</f>
        <v>0</v>
      </c>
      <c r="I23" s="151" t="n">
        <f aca="false">OFFSET(TblMili[[#This Row],[Spies]],-1,0) + OFFSET(TblMili[[#This Row],[Train Spies]],-12,0) - TblMili[[#This Row],[Release Spies]]-TblMili[[#This Row],[Train AS]]</f>
        <v>0</v>
      </c>
      <c r="J23" s="151" t="n">
        <f aca="false">OFFSET(TblMili[[#This Row],[Archspies]],-1,0) + OFFSET(TblMili[[#This Row],[Train AS]],-12,0) - TblMili[[#This Row],[Release AS]]</f>
        <v>0</v>
      </c>
      <c r="K23" s="151" t="n">
        <f aca="false">OFFSET(TblMili[[#This Row],[Wizards]],-1,0) + OFFSET(TblMili[[#This Row],[Train Wiz]],-12,0) - TblMili[[#This Row],[Release Wizards]]-TblMili[[#This Row],[Train AM]]</f>
        <v>0</v>
      </c>
      <c r="L23" s="151" t="n">
        <f aca="false">OFFSET(TblMili[[#This Row],[Archmages]],-1,0) + OFFSET(TblMili[[#This Row],[Train AM]],-12,0) - TblMili[[#This Row],[Release AM]]</f>
        <v>0</v>
      </c>
      <c r="M23" s="132"/>
      <c r="N23" s="69" t="e">
        <f aca="false">TblProd[[#This Row],[Networth]]</f>
        <v>#VALUE!</v>
      </c>
      <c r="O23" s="132"/>
      <c r="P2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3" s="285" t="e">
        <f aca="false">TblMili[[#This Row],[Raw]]*(1+TblMili[[#This Row],[Mods_Off]])</f>
        <v>#VALUE!</v>
      </c>
      <c r="S2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3" s="285" t="e">
        <f aca="false">TblMili[[#This Row],[Non Draft]]+TblMili[[#This Row],[Draftees]]</f>
        <v>#VALUE!</v>
      </c>
      <c r="U23" s="286" t="n">
        <f aca="false">race_defense + TblImps[[#This Row],[Walls]] + ROUND( MIN(gt_bonus*TblConstr[[#This Row],[Tot GT]]/TblConstr[[#This Row],[Land]],gt_bonus_cap), 4) + IF(TblMagic[[#This Row],[Active Howling]]&gt;0,howling_dp_bonus,IF(TblMagic[[#This Row],[Active Ares Call]]&gt;0,ares_call_bonus))</f>
        <v>0</v>
      </c>
      <c r="V23" s="274" t="e">
        <f aca="false">TblMili[[#This Row],[Non Draft]] * (1 + TblMili[[#This Row],[Mods_Def]])</f>
        <v>#VALUE!</v>
      </c>
      <c r="W23" s="285" t="e">
        <f aca="false">TblMili[[#This Row],[Draft]] * (1 + TblMili[[#This Row],[Mods_Def]])</f>
        <v>#VALUE!</v>
      </c>
      <c r="X23" s="285" t="n">
        <f aca="false">TblConstr[[#This Row],[Land]]</f>
        <v>276</v>
      </c>
      <c r="Y23" s="287"/>
      <c r="Z23" s="109" t="n">
        <f aca="false">IF(TblMili[[#This Row],[Set]]&lt;&gt;"",TblMili[[#This Row],[Set]],OFFSET(TblMili[[#This Row],[Draftrate]],-1,0))</f>
        <v>0.9</v>
      </c>
      <c r="AA23" s="69" t="n">
        <f aca="false">OFFSET(TblMili[[#This Row],[Draftees]],-1,0)+OFFSET(TblPop[[#This Row],[Draft Growth]],-1,0) - SUM(TblMili[[#This Row],[Train Unit 1]:[Train Spies]],TblMili[[#This Row],[Train Wiz]]) - TblMili[[#This Row],[Release Draft]] + SUM(TblMili[[#This Row],[Release Unit 1]:[Release AM]]) - TblExplore[[#This Row],[Draftees (2)]]</f>
        <v>130</v>
      </c>
      <c r="AB23" s="146"/>
      <c r="AC23" s="130" t="n">
        <f aca="false">(TblConstr[[#This Row],[Tot Smi]]+TblConstr[[#This Row],[Dest Smi]])/(TblConstr[[#This Row],[Land]]-TblExplore[[#This Row],[Land Bonus]]*20)</f>
        <v>0</v>
      </c>
      <c r="AD23" s="128"/>
      <c r="AE23" s="282" t="n">
        <f aca="false">TblMili[[#This Row],[Hour]]</f>
        <v>20</v>
      </c>
      <c r="AF23" s="129" t="n">
        <f aca="false">TblExplore[[#This Row],[Time]]</f>
        <v>45430.5416666667</v>
      </c>
      <c r="AG23" s="182"/>
      <c r="AH23" s="182"/>
      <c r="AI23" s="182"/>
      <c r="AJ23" s="182"/>
      <c r="AK23" s="182"/>
      <c r="AL23" s="182"/>
      <c r="AM23" s="182"/>
      <c r="AN23" s="182"/>
      <c r="AO23" s="132"/>
      <c r="AP23" s="69" t="n">
        <f aca="false">TblProd[[#This Row],[Platinum]]</f>
        <v>1024</v>
      </c>
      <c r="AQ23" s="69" t="n">
        <f aca="false">INDEX(TblProd[[#Headers],[Lumber]]:TblProd[[#This Row],[Ore]],COUNTA(TblProd[[#Headers],[Lumber]]:TblProd[[#This Row],[Lumber]]),MATCH(Military!$AQ$2,TblProd[[#Headers],[Lumber]:[Ore]],0))</f>
        <v>0</v>
      </c>
      <c r="AR2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69" t="n">
        <f aca="false">TblMili[[#This Row],[Train Unit 1]]*TblMili[[#This Row],[OP Ore]]+TblMili[[#This Row],[Train Unit 2]]*TblMili[[#This Row],[DP Ore]]+TblMili[[#This Row],[Train Unit 3]]*TblMili[[#This Row],[E1 Ore]]+TblMili[[#This Row],[Train Unit 4]]*TblMili[[#This Row],[E2 Ore]]</f>
        <v>0</v>
      </c>
      <c r="AT23" s="132" t="n">
        <f aca="false">TblMili[[#This Row],[Hour]]</f>
        <v>20</v>
      </c>
      <c r="AU23" s="144" t="n">
        <f aca="false">TblMili[[#This Row],[Time]]</f>
        <v>45430.5416666667</v>
      </c>
      <c r="AV23" s="69" t="n">
        <f aca="false">TblMili[[#This Row],[Draftees]]</f>
        <v>130</v>
      </c>
      <c r="AW23" s="182"/>
      <c r="AX23" s="182"/>
      <c r="AY23" s="182"/>
      <c r="AZ23" s="182"/>
      <c r="BA23" s="182"/>
      <c r="BB23" s="182"/>
      <c r="BC23" s="182"/>
      <c r="BD23" s="182"/>
      <c r="BE23" s="182"/>
      <c r="BF23" s="132"/>
      <c r="BG23" s="150" t="n">
        <f aca="false">TblConstr[[#This Row],[Tot WG]]/TblConstr[[#This Row],[Land]]</f>
        <v>0</v>
      </c>
      <c r="BH23" s="150" t="n">
        <f aca="false">TblConstr[[#This Row],[Tot Hav]]/TblConstr[[#This Row],[Land]]</f>
        <v>0</v>
      </c>
      <c r="BI23" s="69" t="n">
        <f aca="false">ROUNDUP((1-MIN(TblMili[[#This Row],[Smithies]]*smithy_bonus,smithy_bonus_cap) + tech_3_5*TblTech[[#This Row],[3-5]] + tech_5_3*TblTech[[#This Row],[5-3]] + tech_5_5*TblTech[[#This Row],[5-5]])*spec_op_plat,0)</f>
        <v>300</v>
      </c>
      <c r="BJ23" s="69" t="n">
        <f aca="false">ROUNDUP(IF(race="Gnome",1,(1-MIN(TblMili[[#This Row],[Smithies]]*smithy_bonus,smithy_bonus_cap) + tech_3_5*TblTech[[#This Row],[3-5]] + tech_5_3*TblTech[[#This Row],[5-3]] + tech_5_5*TblTech[[#This Row],[5-5]]))*spec_op_ore,0)</f>
        <v>0</v>
      </c>
      <c r="BK23" s="69" t="n">
        <f aca="false">ROUNDUP((1-MIN(TblMili[[#This Row],[Smithies]]*smithy_bonus,smithy_bonus_cap) + tech_3_5*TblTech[[#This Row],[3-5]] + tech_5_3*TblTech[[#This Row],[5-3]] + tech_5_5*TblTech[[#This Row],[5-5]])*spec_dp_plat,0)</f>
        <v>300</v>
      </c>
      <c r="BL23" s="69" t="n">
        <f aca="false">ROUNDUP(IF(race="Gnome",1,(1-MIN(TblMili[[#This Row],[Smithies]]*smithy_bonus,smithy_bonus_cap) + tech_3_5*TblTech[[#This Row],[3-5]] + tech_5_3*TblTech[[#This Row],[5-3]] + tech_5_5*TblTech[[#This Row],[5-5]]))*spec_dp_ore,0)</f>
        <v>0</v>
      </c>
      <c r="BM23" s="69" t="n">
        <f aca="false">ROUNDUP((1-MIN(TblMili[[#This Row],[Smithies]]*smithy_bonus,smithy_bonus_cap) + tech_3_5*TblTech[[#This Row],[3-5]] + tech_5_3*TblTech[[#This Row],[5-3]] + tech_5_5*TblTech[[#This Row],[5-5]])*elite1_plat,0)</f>
        <v>925</v>
      </c>
      <c r="BN23" s="69" t="n">
        <f aca="false">ROUNDUP(IF(race="Gnome",1,(1-MIN(TblMili[[#This Row],[Smithies]]*smithy_bonus,smithy_bonus_cap) + tech_3_5*TblTech[[#This Row],[3-5]] + tech_5_3*TblTech[[#This Row],[5-3]] + tech_5_5*TblTech[[#This Row],[5-5]]))*elite1_ore,0)</f>
        <v>0</v>
      </c>
      <c r="BO23" s="69" t="n">
        <f aca="false">ROUNDUP((1-MIN(TblMili[[#This Row],[Smithies]]*smithy_bonus,smithy_bonus_cap) + tech_3_5*TblTech[[#This Row],[3-5]] + tech_5_3*TblTech[[#This Row],[5-3]] + tech_5_5*TblTech[[#This Row],[5-5]])*elite2_plat,0)</f>
        <v>950</v>
      </c>
      <c r="BP23" s="69" t="n">
        <f aca="false">ROUNDUP(IF(race="Gnome",1,(1-MIN(TblMili[[#This Row],[Smithies]]*smithy_bonus,smithy_bonus_cap) + tech_3_5*TblTech[[#This Row],[3-5]] + tech_5_3*TblTech[[#This Row],[5-3]] + tech_5_5*TblTech[[#This Row],[5-5]]))*elite2_ore,0)</f>
        <v>0</v>
      </c>
      <c r="BQ23" s="69" t="n">
        <f aca="false">ROUNDUP((1-MIN(ROUND(fh_spy_cost_red*TblMili[[#This Row],[FH''s]],4),fh_spy_cost_cap)+ tech_1_9*TblTech[[#This Row],[1-9]] + tech_9_1*TblTech[[#This Row],[9-1]])*spy_plat,0)</f>
        <v>500</v>
      </c>
      <c r="BR23" s="69" t="n">
        <f aca="false">ROUNDUP((1-MIN(ROUND(fh_spy_cost_red*TblMili[[#This Row],[FH''s]],4),fh_spy_cost_cap)+ tech_1_9*TblTech[[#This Row],[1-9]] + tech_9_1*TblTech[[#This Row],[9-1]])*archspy_plat,0)</f>
        <v>1000</v>
      </c>
      <c r="BS23" s="69" t="n">
        <f aca="false">ROUNDUP((1-MIN(ROUND(wg_wiz_cost_bonus*TblMili[[#This Row],[WG''s]],4),wg_wiz_cost_cap) + tech_1_9_2*TblTech[[#This Row],[1-9]] + tech_9_1_2*TblTech[[#This Row],[9-1]])*wizard_plat,0)</f>
        <v>500</v>
      </c>
      <c r="BT23" s="69" t="n">
        <f aca="false">ROUNDUP((1-MIN(ROUND(wg_wiz_cost_bonus*TblMili[[#This Row],[WG''s]],4),wg_wiz_cost_cap) + tech_1_9_2*TblTech[[#This Row],[1-9]] + tech_9_1_2*TblTech[[#This Row],[9-1]])*archmage_plat,0)</f>
        <v>1000</v>
      </c>
      <c r="BU23" s="132"/>
      <c r="BV23" s="150" t="e">
        <f aca="false">TblConstr[[#This Row],[Homeland]]/TblConstr[[#This Row],[Land]]</f>
        <v>#VALUE!</v>
      </c>
      <c r="BW23" s="150" t="n">
        <f aca="false">TblMili[[#This Row],[WG''s]]</f>
        <v>0</v>
      </c>
      <c r="BX23" s="288" t="e">
        <f aca="false">IF(mystic_cap="none",TblMili[[#This Row],[Hill]]/mystic_bonus,MIN(mystic_cap,TblMili[[#This Row],[Hill]]/mystic_bonus))</f>
        <v>#VALUE!</v>
      </c>
      <c r="BY23" s="288" t="e">
        <f aca="false">IF(druid_op_cap="none",TblMili[[#This Row],[Hill]]/druid_op_bonus,MIN(druid_op_cap,TblMili[[#This Row],[Hill]]/druid_op_bonus))</f>
        <v>#VALUE!</v>
      </c>
      <c r="BZ23" s="288" t="e">
        <f aca="false">IF(druid_dp_cap="none",TblMili[[#This Row],[Hill]]/druid_dp_bonus,MIN(druid_dp_cap,TblMili[[#This Row],[Hill]]/druid_dp_bonus))</f>
        <v>#VALUE!</v>
      </c>
      <c r="CA23" s="288" t="e">
        <f aca="false">MIN(dryad_cap,TblMili[[#This Row],[Hill]]/dryad_bonus)</f>
        <v>#VALUE!</v>
      </c>
      <c r="CB23" s="288" t="e">
        <f aca="false">MIN(rocka_cap,TblMili[[#This Row],[Hill]]/rocka_bonus)</f>
        <v>#VALUE!</v>
      </c>
      <c r="CC23" s="288" t="n">
        <f aca="false">MIN(adept_op_cap,TblMili[[#This Row],[WG]]/adept_op_bonus)</f>
        <v>0</v>
      </c>
      <c r="CD23" s="288" t="n">
        <f aca="false">MIN(adept_dp_cap,TblMili[[#This Row],[WG]]/adept_dp_bonus)</f>
        <v>0</v>
      </c>
      <c r="CE23" s="69" t="n">
        <f aca="false">MIN(TblMili[[#This Row],[Unit 3]],TblMili[[#This Row],[Unit 2]])*2</f>
        <v>0</v>
      </c>
      <c r="CF23" s="69" t="n">
        <f aca="false">MIN(TblMili[[#This Row],[Unit 1]],TblMili[[#This Row],[Unit 4]])*2</f>
        <v>0</v>
      </c>
      <c r="CG23" s="288" t="e">
        <f aca="false">MIN(frost_mage_cap,TblMili[[#This Row],[Hill]]/frost_mage_bonus)</f>
        <v>#VALUE!</v>
      </c>
      <c r="CH23" s="151" t="n">
        <f aca="false">MIN(ice_elem_cap,TblMili[[#This Row],[Raw (2)]]*ice_elem_bonus)</f>
        <v>0</v>
      </c>
      <c r="CI23" s="288" t="n">
        <f aca="false">MIN(bone_breaker_cap,250/bone_breaker_bonus)</f>
        <v>0.833333333333333</v>
      </c>
      <c r="CJ23" s="288" t="e">
        <f aca="false">MIN(nox_nightshade_cap,TblConstr[[#This Row],[Homeland]]/TblConstr[[#This Row],[Land]]/nox_nightshade_swamp_bonus)</f>
        <v>#VALUE!</v>
      </c>
      <c r="CK23" s="289"/>
      <c r="CL23" s="289"/>
      <c r="CM23" s="289"/>
      <c r="CN23" s="288" t="e">
        <f aca="false">MIN(6,TblMili[[#This Row],[Mystic]]+Races!$F$19)*1.8 +  IF(TblMili[[#This Row],[Mystic]]+Races!$F$19&gt;6,(TblMili[[#This Row],[Mystic]]+Races!$F$19-6)*0.2,0) - Races!$I$19</f>
        <v>#VALUE!</v>
      </c>
      <c r="CO23" s="288" t="e">
        <f aca="false">1.8 * MIN(MAX(TblMili[[#This Row],[Druid (op)]]+Races!$E$20,TblMili[[#This Row],[Druid (dp)]]+Races!$F$20),6)  +  0.45 * MIN(MIN(TblMili[[#This Row],[Druid (op)]]+Races!$E$20,TblMili[[#This Row],[Druid (dp)]]+Races!$F$20),6)  +  0.2 * ( MAX(TblMili[[#This Row],[Druid (op)]]+Races!$E$20-6,0) + MAX(TblMili[[#This Row],[Druid (dp)]]+Races!$F$20-6,0) )  -  Races!$I$20</f>
        <v>#VALUE!</v>
      </c>
      <c r="CP23" s="69" t="e">
        <f aca="false">TblMili[[#This Row],[Mystic bonus]]*TblMili[[#This Row],[Unit 3]]+TblMili[[#This Row],[Druid bonus]]*TblMili[[#This Row],[Unit 4]]</f>
        <v>#VALUE!</v>
      </c>
      <c r="CQ23" s="148" t="e">
        <f aca="false">MIN(6,TblMili[[#This Row],[Dryad]]+Races!$F$35)*1.8 +  IF(TblMili[[#This Row],[Dryad]]+Races!$F$35&gt;6,(TblMili[[#This Row],[Dryad]]+Races!$F$35-6)*0.2,0) - Races!$I$19</f>
        <v>#VALUE!</v>
      </c>
      <c r="CR23" s="69" t="e">
        <f aca="false">sylvan*(TblMili[[#This Row],[Mystic bonus]]*TblMili[[#This Row],[Unit 3]])</f>
        <v>#VALUE!</v>
      </c>
      <c r="CS23" s="148" t="e">
        <f aca="false">1.8 * MIN(MAX(Races!$E$27,TblMili[[#This Row],[Rockapult]]+Races!$F$27),6)  +  0.45 * MIN(MIN(Races!$E$27,TblMili[[#This Row],[Rockapult]]+Races!$F$27),6)  +  0.2 * ( MAX(Races!$E$27-6,0) + MAX(TblMili[[#This Row],[Rockapult]]+Races!$F$27-6,0) )  -  Races!$I$20</f>
        <v>#VALUE!</v>
      </c>
      <c r="CT23" s="69" t="e">
        <f aca="false">gnome*(TblMili[[#This Row],[Rockapult bonus]]*TblMili[[#This Row],[Unit 3]])</f>
        <v>#VALUE!</v>
      </c>
      <c r="CU23" s="148" t="n">
        <f aca="false">1.8 * MIN(MAX(TblMili[[#This Row],[Spellblade]]+Races!$E$47,TblMili[[#This Row],[Adept-DP]]+Races!$F$47),6)  +  0.45 * MIN(MIN(TblMili[[#This Row],[Spellblade]]+Races!$E$47,TblMili[[#This Row],[Adept-DP]]+Races!$F$47),6)  +  0.2 * ( MAX(TblMili[[#This Row],[Spellblade]]+Races!$E$47-6,0) + MAX(TblMili[[#This Row],[Adept-DP]]+Races!$F$47-6,0) )  -  Races!$I$47</f>
        <v>0</v>
      </c>
      <c r="CV23" s="69" t="n">
        <f aca="false">dark_elf*(TblMili[[#This Row],[Adept bonus]]*TblMili[[#This Row],[Unit 3]])</f>
        <v>0</v>
      </c>
      <c r="CW23" s="148" t="e">
        <f aca="false">1.8 * MIN(MAX(TblMili[[#This Row],[Frost Mage]]+Races!$F$71,Races!$E$71),6)  +  0.45 * MIN(MIN(TblMili[[#This Row],[Frost Mage]]+Races!$F$71,Races!$E$71),6)  +  0.2 * ( MAX(TblMili[[#This Row],[Frost Mage]]+Races!$F$71-6,0) + MAX(Races!$E$71-6,0) )  -  Races!$I$71</f>
        <v>#VALUE!</v>
      </c>
      <c r="CX23" s="148" t="n">
        <f aca="false">1.8 * MIN(MAX(TblMili[[#This Row],[Ice Elemental]]+Races!$E$71,Races!$F$71),6)  +  0.45 * MIN(MIN(TblMili[[#This Row],[Ice Elemental]]+Races!$E$71,Races!$F$71),6)  +  0.2 * ( MAX(TblMili[[#This Row],[Ice Elemental]]+Races!$E$71-6,0) + MAX(Races!$F$71-6,0) )  -  Races!$I$71</f>
        <v>0</v>
      </c>
      <c r="CY23" s="69" t="e">
        <f aca="false">TblMili[[#This Row],[Frost Mage bonus]]*TblMili[[#This Row],[Unit 3]]+TblMili[[#This Row],[Ice Elemental bonus]]*TblMili[[#This Row],[Unit 4]]</f>
        <v>#VALUE!</v>
      </c>
      <c r="CZ23" s="290"/>
      <c r="DA23" s="109" t="n">
        <f aca="false">MIN(SUM(TblConstr[[#This Row],[Plain]:[Water]])/TblMili[[#This Row],[Land]]/favorable_terrain_bonus/100,favorable_terrain_max)</f>
        <v>0</v>
      </c>
      <c r="DB23" s="290"/>
      <c r="DC2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3" s="132"/>
      <c r="DE23" s="291" t="n">
        <f aca="false">(TblMili[[#This Row],[Wizards]]+2*TblMili[[#This Row],[Archmages]])/TblConstr[[#This Row],[Land]]</f>
        <v>0</v>
      </c>
      <c r="DF23" s="291" t="n">
        <f aca="false">TblMili[[#This Row],[Raw (2)]]*(1+race_wizard_strength+IF(TblMili[[#This Row],[Hour]]&gt;72,tech_magical_weaponry_wiz*TblTech[[#This Row],[3-5]],0))</f>
        <v>0</v>
      </c>
    </row>
    <row r="24" customFormat="false" ht="12.75" hidden="false" customHeight="false" outlineLevel="0" collapsed="false">
      <c r="A24" s="128" t="n">
        <f aca="false">TblRezone[[#This Row],[Hour]]</f>
        <v>21</v>
      </c>
      <c r="B24" s="282" t="n">
        <f aca="false">SUM(TblMili[[#This Row],[Unit 1]:[Archmages]])+SUM(OFFSET(TblMili[[#This Row],[Train Unit 1]],-8,0):TblMili[[#This Row],[Train Unit 2]]) + SUM(OFFSET(TblMili[[#This Row],[Train Unit 3]],-11,0):TblMili[[#This Row],[Train AM]]) + TblMili[[#This Row],[Draftees]]</f>
        <v>108</v>
      </c>
      <c r="C24" s="150" t="n">
        <f aca="false">TblPop[[#This Row],[Military%]]</f>
        <v>0.037126160192506</v>
      </c>
      <c r="D24" s="132"/>
      <c r="E24" s="151" t="n">
        <f aca="false">OFFSET(TblMili[[#This Row],[Unit 1]],-1,0) + OFFSET(TblMili[[#This Row],[Train Unit 1]],-9,0) - TblMili[[#This Row],[Release Unit 1]]</f>
        <v>0</v>
      </c>
      <c r="F24" s="151" t="n">
        <f aca="false">OFFSET(TblMili[[#This Row],[Unit 2]],-1,0) + OFFSET(TblMili[[#This Row],[Train Unit 2]],-9,0)-TblMili[[#This Row],[Release Unit 2]]</f>
        <v>0</v>
      </c>
      <c r="G24" s="151" t="n">
        <f aca="false">OFFSET(TblMili[[#This Row],[Unit 3]],-1,0) + OFFSET(TblMili[[#This Row],[Train Unit 3]],-12,0)-TblMili[[#This Row],[Release Unit 3]]</f>
        <v>0</v>
      </c>
      <c r="H24" s="151" t="n">
        <f aca="false">OFFSET(TblMili[[#This Row],[Unit 4]],-1,0) + OFFSET(TblMili[[#This Row],[Train Unit 4]],-12,0)-TblMili[[#This Row],[Release Unit 4]]</f>
        <v>0</v>
      </c>
      <c r="I24" s="151" t="n">
        <f aca="false">OFFSET(TblMili[[#This Row],[Spies]],-1,0) + OFFSET(TblMili[[#This Row],[Train Spies]],-12,0) - TblMili[[#This Row],[Release Spies]]-TblMili[[#This Row],[Train AS]]</f>
        <v>0</v>
      </c>
      <c r="J24" s="151" t="n">
        <f aca="false">OFFSET(TblMili[[#This Row],[Archspies]],-1,0) + OFFSET(TblMili[[#This Row],[Train AS]],-12,0) - TblMili[[#This Row],[Release AS]]</f>
        <v>0</v>
      </c>
      <c r="K24" s="151" t="n">
        <f aca="false">OFFSET(TblMili[[#This Row],[Wizards]],-1,0) + OFFSET(TblMili[[#This Row],[Train Wiz]],-12,0) - TblMili[[#This Row],[Release Wizards]]-TblMili[[#This Row],[Train AM]]</f>
        <v>0</v>
      </c>
      <c r="L24" s="151" t="n">
        <f aca="false">OFFSET(TblMili[[#This Row],[Archmages]],-1,0) + OFFSET(TblMili[[#This Row],[Train AM]],-12,0) - TblMili[[#This Row],[Release AM]]</f>
        <v>0</v>
      </c>
      <c r="M24" s="132"/>
      <c r="N24" s="69" t="e">
        <f aca="false">TblProd[[#This Row],[Networth]]</f>
        <v>#VALUE!</v>
      </c>
      <c r="O24" s="132"/>
      <c r="P2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4" s="285" t="e">
        <f aca="false">TblMili[[#This Row],[Raw]]*(1+TblMili[[#This Row],[Mods_Off]])</f>
        <v>#VALUE!</v>
      </c>
      <c r="S2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4" s="285" t="e">
        <f aca="false">TblMili[[#This Row],[Non Draft]]+TblMili[[#This Row],[Draftees]]</f>
        <v>#VALUE!</v>
      </c>
      <c r="U24" s="286" t="n">
        <f aca="false">race_defense + TblImps[[#This Row],[Walls]] + ROUND( MIN(gt_bonus*TblConstr[[#This Row],[Tot GT]]/TblConstr[[#This Row],[Land]],gt_bonus_cap), 4) + IF(TblMagic[[#This Row],[Active Howling]]&gt;0,howling_dp_bonus,IF(TblMagic[[#This Row],[Active Ares Call]]&gt;0,ares_call_bonus))</f>
        <v>0</v>
      </c>
      <c r="V24" s="274" t="e">
        <f aca="false">TblMili[[#This Row],[Non Draft]] * (1 + TblMili[[#This Row],[Mods_Def]])</f>
        <v>#VALUE!</v>
      </c>
      <c r="W24" s="285" t="e">
        <f aca="false">TblMili[[#This Row],[Draft]] * (1 + TblMili[[#This Row],[Mods_Def]])</f>
        <v>#VALUE!</v>
      </c>
      <c r="X24" s="285" t="n">
        <f aca="false">TblConstr[[#This Row],[Land]]</f>
        <v>277</v>
      </c>
      <c r="Y24" s="287"/>
      <c r="Z24" s="109" t="n">
        <f aca="false">IF(TblMili[[#This Row],[Set]]&lt;&gt;"",TblMili[[#This Row],[Set]],OFFSET(TblMili[[#This Row],[Draftrate]],-1,0))</f>
        <v>0.9</v>
      </c>
      <c r="AA24" s="69" t="n">
        <f aca="false">OFFSET(TblMili[[#This Row],[Draftees]],-1,0)+OFFSET(TblPop[[#This Row],[Draft Growth]],-1,0) - SUM(TblMili[[#This Row],[Train Unit 1]:[Train Spies]],TblMili[[#This Row],[Train Wiz]]) - TblMili[[#This Row],[Release Draft]] + SUM(TblMili[[#This Row],[Release Unit 1]:[Release AM]]) - TblExplore[[#This Row],[Draftees (2)]]</f>
        <v>108</v>
      </c>
      <c r="AB24" s="146"/>
      <c r="AC24" s="130" t="n">
        <f aca="false">(TblConstr[[#This Row],[Tot Smi]]+TblConstr[[#This Row],[Dest Smi]])/(TblConstr[[#This Row],[Land]]-TblExplore[[#This Row],[Land Bonus]]*20)</f>
        <v>0</v>
      </c>
      <c r="AD24" s="128"/>
      <c r="AE24" s="282" t="n">
        <f aca="false">TblMili[[#This Row],[Hour]]</f>
        <v>21</v>
      </c>
      <c r="AF24" s="129" t="n">
        <f aca="false">TblExplore[[#This Row],[Time]]</f>
        <v>45430.5833333333</v>
      </c>
      <c r="AG24" s="182"/>
      <c r="AH24" s="182"/>
      <c r="AI24" s="182"/>
      <c r="AJ24" s="182"/>
      <c r="AK24" s="182"/>
      <c r="AL24" s="182"/>
      <c r="AM24" s="182"/>
      <c r="AN24" s="182"/>
      <c r="AO24" s="132"/>
      <c r="AP24" s="69" t="n">
        <f aca="false">TblProd[[#This Row],[Platinum]]</f>
        <v>1231</v>
      </c>
      <c r="AQ24" s="69" t="n">
        <f aca="false">INDEX(TblProd[[#Headers],[Lumber]]:TblProd[[#This Row],[Ore]],COUNTA(TblProd[[#Headers],[Lumber]]:TblProd[[#This Row],[Lumber]]),MATCH(Military!$AQ$2,TblProd[[#Headers],[Lumber]:[Ore]],0))</f>
        <v>0</v>
      </c>
      <c r="AR2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69" t="n">
        <f aca="false">TblMili[[#This Row],[Train Unit 1]]*TblMili[[#This Row],[OP Ore]]+TblMili[[#This Row],[Train Unit 2]]*TblMili[[#This Row],[DP Ore]]+TblMili[[#This Row],[Train Unit 3]]*TblMili[[#This Row],[E1 Ore]]+TblMili[[#This Row],[Train Unit 4]]*TblMili[[#This Row],[E2 Ore]]</f>
        <v>0</v>
      </c>
      <c r="AT24" s="132" t="n">
        <f aca="false">TblMili[[#This Row],[Hour]]</f>
        <v>21</v>
      </c>
      <c r="AU24" s="144" t="n">
        <f aca="false">TblMili[[#This Row],[Time]]</f>
        <v>45430.5833333333</v>
      </c>
      <c r="AV24" s="69" t="n">
        <f aca="false">TblMili[[#This Row],[Draftees]]</f>
        <v>108</v>
      </c>
      <c r="AW24" s="182"/>
      <c r="AX24" s="182"/>
      <c r="AY24" s="182"/>
      <c r="AZ24" s="182"/>
      <c r="BA24" s="182"/>
      <c r="BB24" s="182"/>
      <c r="BC24" s="182"/>
      <c r="BD24" s="182"/>
      <c r="BE24" s="182"/>
      <c r="BF24" s="132"/>
      <c r="BG24" s="150" t="n">
        <f aca="false">TblConstr[[#This Row],[Tot WG]]/TblConstr[[#This Row],[Land]]</f>
        <v>0</v>
      </c>
      <c r="BH24" s="150" t="n">
        <f aca="false">TblConstr[[#This Row],[Tot Hav]]/TblConstr[[#This Row],[Land]]</f>
        <v>0</v>
      </c>
      <c r="BI24" s="69" t="n">
        <f aca="false">ROUNDUP((1-MIN(TblMili[[#This Row],[Smithies]]*smithy_bonus,smithy_bonus_cap) + tech_3_5*TblTech[[#This Row],[3-5]] + tech_5_3*TblTech[[#This Row],[5-3]] + tech_5_5*TblTech[[#This Row],[5-5]])*spec_op_plat,0)</f>
        <v>300</v>
      </c>
      <c r="BJ24" s="69" t="n">
        <f aca="false">ROUNDUP(IF(race="Gnome",1,(1-MIN(TblMili[[#This Row],[Smithies]]*smithy_bonus,smithy_bonus_cap) + tech_3_5*TblTech[[#This Row],[3-5]] + tech_5_3*TblTech[[#This Row],[5-3]] + tech_5_5*TblTech[[#This Row],[5-5]]))*spec_op_ore,0)</f>
        <v>0</v>
      </c>
      <c r="BK24" s="69" t="n">
        <f aca="false">ROUNDUP((1-MIN(TblMili[[#This Row],[Smithies]]*smithy_bonus,smithy_bonus_cap) + tech_3_5*TblTech[[#This Row],[3-5]] + tech_5_3*TblTech[[#This Row],[5-3]] + tech_5_5*TblTech[[#This Row],[5-5]])*spec_dp_plat,0)</f>
        <v>300</v>
      </c>
      <c r="BL24" s="69" t="n">
        <f aca="false">ROUNDUP(IF(race="Gnome",1,(1-MIN(TblMili[[#This Row],[Smithies]]*smithy_bonus,smithy_bonus_cap) + tech_3_5*TblTech[[#This Row],[3-5]] + tech_5_3*TblTech[[#This Row],[5-3]] + tech_5_5*TblTech[[#This Row],[5-5]]))*spec_dp_ore,0)</f>
        <v>0</v>
      </c>
      <c r="BM24" s="69" t="n">
        <f aca="false">ROUNDUP((1-MIN(TblMili[[#This Row],[Smithies]]*smithy_bonus,smithy_bonus_cap) + tech_3_5*TblTech[[#This Row],[3-5]] + tech_5_3*TblTech[[#This Row],[5-3]] + tech_5_5*TblTech[[#This Row],[5-5]])*elite1_plat,0)</f>
        <v>925</v>
      </c>
      <c r="BN24" s="69" t="n">
        <f aca="false">ROUNDUP(IF(race="Gnome",1,(1-MIN(TblMili[[#This Row],[Smithies]]*smithy_bonus,smithy_bonus_cap) + tech_3_5*TblTech[[#This Row],[3-5]] + tech_5_3*TblTech[[#This Row],[5-3]] + tech_5_5*TblTech[[#This Row],[5-5]]))*elite1_ore,0)</f>
        <v>0</v>
      </c>
      <c r="BO24" s="69" t="n">
        <f aca="false">ROUNDUP((1-MIN(TblMili[[#This Row],[Smithies]]*smithy_bonus,smithy_bonus_cap) + tech_3_5*TblTech[[#This Row],[3-5]] + tech_5_3*TblTech[[#This Row],[5-3]] + tech_5_5*TblTech[[#This Row],[5-5]])*elite2_plat,0)</f>
        <v>950</v>
      </c>
      <c r="BP24" s="69" t="n">
        <f aca="false">ROUNDUP(IF(race="Gnome",1,(1-MIN(TblMili[[#This Row],[Smithies]]*smithy_bonus,smithy_bonus_cap) + tech_3_5*TblTech[[#This Row],[3-5]] + tech_5_3*TblTech[[#This Row],[5-3]] + tech_5_5*TblTech[[#This Row],[5-5]]))*elite2_ore,0)</f>
        <v>0</v>
      </c>
      <c r="BQ24" s="69" t="n">
        <f aca="false">ROUNDUP((1-MIN(ROUND(fh_spy_cost_red*TblMili[[#This Row],[FH''s]],4),fh_spy_cost_cap)+ tech_1_9*TblTech[[#This Row],[1-9]] + tech_9_1*TblTech[[#This Row],[9-1]])*spy_plat,0)</f>
        <v>500</v>
      </c>
      <c r="BR24" s="69" t="n">
        <f aca="false">ROUNDUP((1-MIN(ROUND(fh_spy_cost_red*TblMili[[#This Row],[FH''s]],4),fh_spy_cost_cap)+ tech_1_9*TblTech[[#This Row],[1-9]] + tech_9_1*TblTech[[#This Row],[9-1]])*archspy_plat,0)</f>
        <v>1000</v>
      </c>
      <c r="BS24" s="69" t="n">
        <f aca="false">ROUNDUP((1-MIN(ROUND(wg_wiz_cost_bonus*TblMili[[#This Row],[WG''s]],4),wg_wiz_cost_cap) + tech_1_9_2*TblTech[[#This Row],[1-9]] + tech_9_1_2*TblTech[[#This Row],[9-1]])*wizard_plat,0)</f>
        <v>500</v>
      </c>
      <c r="BT24" s="69" t="n">
        <f aca="false">ROUNDUP((1-MIN(ROUND(wg_wiz_cost_bonus*TblMili[[#This Row],[WG''s]],4),wg_wiz_cost_cap) + tech_1_9_2*TblTech[[#This Row],[1-9]] + tech_9_1_2*TblTech[[#This Row],[9-1]])*archmage_plat,0)</f>
        <v>1000</v>
      </c>
      <c r="BU24" s="132"/>
      <c r="BV24" s="150" t="e">
        <f aca="false">TblConstr[[#This Row],[Homeland]]/TblConstr[[#This Row],[Land]]</f>
        <v>#VALUE!</v>
      </c>
      <c r="BW24" s="150" t="n">
        <f aca="false">TblMili[[#This Row],[WG''s]]</f>
        <v>0</v>
      </c>
      <c r="BX24" s="288" t="e">
        <f aca="false">IF(mystic_cap="none",TblMili[[#This Row],[Hill]]/mystic_bonus,MIN(mystic_cap,TblMili[[#This Row],[Hill]]/mystic_bonus))</f>
        <v>#VALUE!</v>
      </c>
      <c r="BY24" s="288" t="e">
        <f aca="false">IF(druid_op_cap="none",TblMili[[#This Row],[Hill]]/druid_op_bonus,MIN(druid_op_cap,TblMili[[#This Row],[Hill]]/druid_op_bonus))</f>
        <v>#VALUE!</v>
      </c>
      <c r="BZ24" s="288" t="e">
        <f aca="false">IF(druid_dp_cap="none",TblMili[[#This Row],[Hill]]/druid_dp_bonus,MIN(druid_dp_cap,TblMili[[#This Row],[Hill]]/druid_dp_bonus))</f>
        <v>#VALUE!</v>
      </c>
      <c r="CA24" s="288" t="e">
        <f aca="false">MIN(dryad_cap,TblMili[[#This Row],[Hill]]/dryad_bonus)</f>
        <v>#VALUE!</v>
      </c>
      <c r="CB24" s="288" t="e">
        <f aca="false">MIN(rocka_cap,TblMili[[#This Row],[Hill]]/rocka_bonus)</f>
        <v>#VALUE!</v>
      </c>
      <c r="CC24" s="288" t="n">
        <f aca="false">MIN(adept_op_cap,TblMili[[#This Row],[WG]]/adept_op_bonus)</f>
        <v>0</v>
      </c>
      <c r="CD24" s="288" t="n">
        <f aca="false">MIN(adept_dp_cap,TblMili[[#This Row],[WG]]/adept_dp_bonus)</f>
        <v>0</v>
      </c>
      <c r="CE24" s="69" t="n">
        <f aca="false">MIN(TblMili[[#This Row],[Unit 3]],TblMili[[#This Row],[Unit 2]])*2</f>
        <v>0</v>
      </c>
      <c r="CF24" s="69" t="n">
        <f aca="false">MIN(TblMili[[#This Row],[Unit 1]],TblMili[[#This Row],[Unit 4]])*2</f>
        <v>0</v>
      </c>
      <c r="CG24" s="288" t="e">
        <f aca="false">MIN(frost_mage_cap,TblMili[[#This Row],[Hill]]/frost_mage_bonus)</f>
        <v>#VALUE!</v>
      </c>
      <c r="CH24" s="151" t="n">
        <f aca="false">MIN(ice_elem_cap,TblMili[[#This Row],[Raw (2)]]*ice_elem_bonus)</f>
        <v>0</v>
      </c>
      <c r="CI24" s="288" t="n">
        <f aca="false">MIN(bone_breaker_cap,250/bone_breaker_bonus)</f>
        <v>0.833333333333333</v>
      </c>
      <c r="CJ24" s="288" t="e">
        <f aca="false">MIN(nox_nightshade_cap,TblConstr[[#This Row],[Homeland]]/TblConstr[[#This Row],[Land]]/nox_nightshade_swamp_bonus)</f>
        <v>#VALUE!</v>
      </c>
      <c r="CK24" s="289" t="s">
        <v>35</v>
      </c>
      <c r="CL24" s="292" t="b">
        <f aca="false">CK24=secondary_resource</f>
        <v>1</v>
      </c>
      <c r="CM24" s="289"/>
      <c r="CN24" s="288" t="e">
        <f aca="false">MIN(6,TblMili[[#This Row],[Mystic]]+Races!$F$19)*1.8 +  IF(TblMili[[#This Row],[Mystic]]+Races!$F$19&gt;6,(TblMili[[#This Row],[Mystic]]+Races!$F$19-6)*0.2,0) - Races!$I$19</f>
        <v>#VALUE!</v>
      </c>
      <c r="CO24" s="288" t="e">
        <f aca="false">1.8 * MIN(MAX(TblMili[[#This Row],[Druid (op)]]+Races!$E$20,TblMili[[#This Row],[Druid (dp)]]+Races!$F$20),6)  +  0.45 * MIN(MIN(TblMili[[#This Row],[Druid (op)]]+Races!$E$20,TblMili[[#This Row],[Druid (dp)]]+Races!$F$20),6)  +  0.2 * ( MAX(TblMili[[#This Row],[Druid (op)]]+Races!$E$20-6,0) + MAX(TblMili[[#This Row],[Druid (dp)]]+Races!$F$20-6,0) )  -  Races!$I$20</f>
        <v>#VALUE!</v>
      </c>
      <c r="CP24" s="69" t="e">
        <f aca="false">TblMili[[#This Row],[Mystic bonus]]*TblMili[[#This Row],[Unit 3]]+TblMili[[#This Row],[Druid bonus]]*TblMili[[#This Row],[Unit 4]]</f>
        <v>#VALUE!</v>
      </c>
      <c r="CQ24" s="148" t="e">
        <f aca="false">MIN(6,TblMili[[#This Row],[Dryad]]+Races!$F$35)*1.8 +  IF(TblMili[[#This Row],[Dryad]]+Races!$F$35&gt;6,(TblMili[[#This Row],[Dryad]]+Races!$F$35-6)*0.2,0) - Races!$I$19</f>
        <v>#VALUE!</v>
      </c>
      <c r="CR24" s="69" t="e">
        <f aca="false">sylvan*(TblMili[[#This Row],[Mystic bonus]]*TblMili[[#This Row],[Unit 3]])</f>
        <v>#VALUE!</v>
      </c>
      <c r="CS24" s="148" t="e">
        <f aca="false">1.8 * MIN(MAX(Races!$E$27,TblMili[[#This Row],[Rockapult]]+Races!$F$27),6)  +  0.45 * MIN(MIN(Races!$E$27,TblMili[[#This Row],[Rockapult]]+Races!$F$27),6)  +  0.2 * ( MAX(Races!$E$27-6,0) + MAX(TblMili[[#This Row],[Rockapult]]+Races!$F$27-6,0) )  -  Races!$I$20</f>
        <v>#VALUE!</v>
      </c>
      <c r="CT24" s="69" t="e">
        <f aca="false">gnome*(TblMili[[#This Row],[Rockapult bonus]]*TblMili[[#This Row],[Unit 3]])</f>
        <v>#VALUE!</v>
      </c>
      <c r="CU24" s="148" t="n">
        <f aca="false">1.8 * MIN(MAX(TblMili[[#This Row],[Spellblade]]+Races!$E$47,TblMili[[#This Row],[Adept-DP]]+Races!$F$47),6)  +  0.45 * MIN(MIN(TblMili[[#This Row],[Spellblade]]+Races!$E$47,TblMili[[#This Row],[Adept-DP]]+Races!$F$47),6)  +  0.2 * ( MAX(TblMili[[#This Row],[Spellblade]]+Races!$E$47-6,0) + MAX(TblMili[[#This Row],[Adept-DP]]+Races!$F$47-6,0) )  -  Races!$I$47</f>
        <v>0</v>
      </c>
      <c r="CV24" s="69" t="n">
        <f aca="false">dark_elf*(TblMili[[#This Row],[Adept bonus]]*TblMili[[#This Row],[Unit 3]])</f>
        <v>0</v>
      </c>
      <c r="CW24" s="148" t="e">
        <f aca="false">1.8 * MIN(MAX(TblMili[[#This Row],[Frost Mage]]+Races!$F$71,Races!$E$71),6)  +  0.45 * MIN(MIN(TblMili[[#This Row],[Frost Mage]]+Races!$F$71,Races!$E$71),6)  +  0.2 * ( MAX(TblMili[[#This Row],[Frost Mage]]+Races!$F$71-6,0) + MAX(Races!$E$71-6,0) )  -  Races!$I$71</f>
        <v>#VALUE!</v>
      </c>
      <c r="CX24" s="148" t="n">
        <f aca="false">1.8 * MIN(MAX(TblMili[[#This Row],[Ice Elemental]]+Races!$E$71,Races!$F$71),6)  +  0.45 * MIN(MIN(TblMili[[#This Row],[Ice Elemental]]+Races!$E$71,Races!$F$71),6)  +  0.2 * ( MAX(TblMili[[#This Row],[Ice Elemental]]+Races!$E$71-6,0) + MAX(Races!$F$71-6,0) )  -  Races!$I$71</f>
        <v>0</v>
      </c>
      <c r="CY24" s="69" t="e">
        <f aca="false">TblMili[[#This Row],[Frost Mage bonus]]*TblMili[[#This Row],[Unit 3]]+TblMili[[#This Row],[Ice Elemental bonus]]*TblMili[[#This Row],[Unit 4]]</f>
        <v>#VALUE!</v>
      </c>
      <c r="CZ24" s="290"/>
      <c r="DA24" s="109" t="n">
        <f aca="false">MIN(SUM(TblConstr[[#This Row],[Plain]:[Water]])/TblMili[[#This Row],[Land]]/favorable_terrain_bonus/100,favorable_terrain_max)</f>
        <v>0</v>
      </c>
      <c r="DB24" s="290"/>
      <c r="DC2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4" s="132"/>
      <c r="DE24" s="291" t="n">
        <f aca="false">(TblMili[[#This Row],[Wizards]]+2*TblMili[[#This Row],[Archmages]])/TblConstr[[#This Row],[Land]]</f>
        <v>0</v>
      </c>
      <c r="DF24" s="291" t="n">
        <f aca="false">TblMili[[#This Row],[Raw (2)]]*(1+race_wizard_strength+IF(TblMili[[#This Row],[Hour]]&gt;72,tech_magical_weaponry_wiz*TblTech[[#This Row],[3-5]],0))</f>
        <v>0</v>
      </c>
    </row>
    <row r="25" customFormat="false" ht="12.75" hidden="false" customHeight="false" outlineLevel="0" collapsed="false">
      <c r="A25" s="128" t="n">
        <f aca="false">TblRezone[[#This Row],[Hour]]</f>
        <v>22</v>
      </c>
      <c r="B25" s="282" t="n">
        <f aca="false">SUM(TblMili[[#This Row],[Unit 1]:[Archmages]])+SUM(OFFSET(TblMili[[#This Row],[Train Unit 1]],-8,0):TblMili[[#This Row],[Train Unit 2]]) + SUM(OFFSET(TblMili[[#This Row],[Train Unit 3]],-11,0):TblMili[[#This Row],[Train AM]]) + TblMili[[#This Row],[Draftees]]</f>
        <v>124</v>
      </c>
      <c r="C25" s="150" t="n">
        <f aca="false">TblPop[[#This Row],[Military%]]</f>
        <v>0.0399227301996137</v>
      </c>
      <c r="D25" s="132"/>
      <c r="E25" s="151" t="n">
        <f aca="false">OFFSET(TblMili[[#This Row],[Unit 1]],-1,0) + OFFSET(TblMili[[#This Row],[Train Unit 1]],-9,0) - TblMili[[#This Row],[Release Unit 1]]</f>
        <v>0</v>
      </c>
      <c r="F25" s="151" t="n">
        <f aca="false">OFFSET(TblMili[[#This Row],[Unit 2]],-1,0) + OFFSET(TblMili[[#This Row],[Train Unit 2]],-9,0)-TblMili[[#This Row],[Release Unit 2]]</f>
        <v>0</v>
      </c>
      <c r="G25" s="151" t="n">
        <f aca="false">OFFSET(TblMili[[#This Row],[Unit 3]],-1,0) + OFFSET(TblMili[[#This Row],[Train Unit 3]],-12,0)-TblMili[[#This Row],[Release Unit 3]]</f>
        <v>0</v>
      </c>
      <c r="H25" s="151" t="n">
        <f aca="false">OFFSET(TblMili[[#This Row],[Unit 4]],-1,0) + OFFSET(TblMili[[#This Row],[Train Unit 4]],-12,0)-TblMili[[#This Row],[Release Unit 4]]</f>
        <v>0</v>
      </c>
      <c r="I25" s="151" t="n">
        <f aca="false">OFFSET(TblMili[[#This Row],[Spies]],-1,0) + OFFSET(TblMili[[#This Row],[Train Spies]],-12,0) - TblMili[[#This Row],[Release Spies]]-TblMili[[#This Row],[Train AS]]</f>
        <v>0</v>
      </c>
      <c r="J25" s="151" t="n">
        <f aca="false">OFFSET(TblMili[[#This Row],[Archspies]],-1,0) + OFFSET(TblMili[[#This Row],[Train AS]],-12,0) - TblMili[[#This Row],[Release AS]]</f>
        <v>0</v>
      </c>
      <c r="K25" s="151" t="n">
        <f aca="false">OFFSET(TblMili[[#This Row],[Wizards]],-1,0) + OFFSET(TblMili[[#This Row],[Train Wiz]],-12,0) - TblMili[[#This Row],[Release Wizards]]-TblMili[[#This Row],[Train AM]]</f>
        <v>0</v>
      </c>
      <c r="L25" s="151" t="n">
        <f aca="false">OFFSET(TblMili[[#This Row],[Archmages]],-1,0) + OFFSET(TblMili[[#This Row],[Train AM]],-12,0) - TblMili[[#This Row],[Release AM]]</f>
        <v>0</v>
      </c>
      <c r="M25" s="132"/>
      <c r="N25" s="69" t="e">
        <f aca="false">TblProd[[#This Row],[Networth]]</f>
        <v>#VALUE!</v>
      </c>
      <c r="O25" s="132"/>
      <c r="P2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5" s="285" t="e">
        <f aca="false">TblMili[[#This Row],[Raw]]*(1+TblMili[[#This Row],[Mods_Off]])</f>
        <v>#VALUE!</v>
      </c>
      <c r="S2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5" s="285" t="e">
        <f aca="false">TblMili[[#This Row],[Non Draft]]+TblMili[[#This Row],[Draftees]]</f>
        <v>#VALUE!</v>
      </c>
      <c r="U25" s="286" t="n">
        <f aca="false">race_defense + TblImps[[#This Row],[Walls]] + ROUND( MIN(gt_bonus*TblConstr[[#This Row],[Tot GT]]/TblConstr[[#This Row],[Land]],gt_bonus_cap), 4) + IF(TblMagic[[#This Row],[Active Howling]]&gt;0,howling_dp_bonus,IF(TblMagic[[#This Row],[Active Ares Call]]&gt;0,ares_call_bonus))</f>
        <v>0</v>
      </c>
      <c r="V25" s="274" t="e">
        <f aca="false">TblMili[[#This Row],[Non Draft]] * (1 + TblMili[[#This Row],[Mods_Def]])</f>
        <v>#VALUE!</v>
      </c>
      <c r="W25" s="285" t="e">
        <f aca="false">TblMili[[#This Row],[Draft]] * (1 + TblMili[[#This Row],[Mods_Def]])</f>
        <v>#VALUE!</v>
      </c>
      <c r="X25" s="285" t="n">
        <f aca="false">TblConstr[[#This Row],[Land]]</f>
        <v>278</v>
      </c>
      <c r="Y25" s="287"/>
      <c r="Z25" s="109" t="n">
        <f aca="false">IF(TblMili[[#This Row],[Set]]&lt;&gt;"",TblMili[[#This Row],[Set]],OFFSET(TblMili[[#This Row],[Draftrate]],-1,0))</f>
        <v>0.9</v>
      </c>
      <c r="AA25" s="69" t="n">
        <f aca="false">OFFSET(TblMili[[#This Row],[Draftees]],-1,0)+OFFSET(TblPop[[#This Row],[Draft Growth]],-1,0) - SUM(TblMili[[#This Row],[Train Unit 1]:[Train Spies]],TblMili[[#This Row],[Train Wiz]]) - TblMili[[#This Row],[Release Draft]] + SUM(TblMili[[#This Row],[Release Unit 1]:[Release AM]]) - TblExplore[[#This Row],[Draftees (2)]]</f>
        <v>124</v>
      </c>
      <c r="AB25" s="146"/>
      <c r="AC25" s="130" t="n">
        <f aca="false">(TblConstr[[#This Row],[Tot Smi]]+TblConstr[[#This Row],[Dest Smi]])/(TblConstr[[#This Row],[Land]]-TblExplore[[#This Row],[Land Bonus]]*20)</f>
        <v>0</v>
      </c>
      <c r="AD25" s="128"/>
      <c r="AE25" s="282" t="n">
        <f aca="false">TblMili[[#This Row],[Hour]]</f>
        <v>22</v>
      </c>
      <c r="AF25" s="129" t="n">
        <f aca="false">TblExplore[[#This Row],[Time]]</f>
        <v>45430.625</v>
      </c>
      <c r="AG25" s="182"/>
      <c r="AH25" s="182"/>
      <c r="AI25" s="182"/>
      <c r="AJ25" s="182"/>
      <c r="AK25" s="182"/>
      <c r="AL25" s="182"/>
      <c r="AM25" s="182"/>
      <c r="AN25" s="182"/>
      <c r="AO25" s="132"/>
      <c r="AP25" s="69" t="n">
        <f aca="false">TblProd[[#This Row],[Platinum]]</f>
        <v>9969</v>
      </c>
      <c r="AQ25" s="69" t="n">
        <f aca="false">INDEX(TblProd[[#Headers],[Lumber]]:TblProd[[#This Row],[Ore]],COUNTA(TblProd[[#Headers],[Lumber]]:TblProd[[#This Row],[Lumber]]),MATCH(Military!$AQ$2,TblProd[[#Headers],[Lumber]:[Ore]],0))</f>
        <v>0</v>
      </c>
      <c r="AR2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69" t="n">
        <f aca="false">TblMili[[#This Row],[Train Unit 1]]*TblMili[[#This Row],[OP Ore]]+TblMili[[#This Row],[Train Unit 2]]*TblMili[[#This Row],[DP Ore]]+TblMili[[#This Row],[Train Unit 3]]*TblMili[[#This Row],[E1 Ore]]+TblMili[[#This Row],[Train Unit 4]]*TblMili[[#This Row],[E2 Ore]]</f>
        <v>0</v>
      </c>
      <c r="AT25" s="132" t="n">
        <f aca="false">TblMili[[#This Row],[Hour]]</f>
        <v>22</v>
      </c>
      <c r="AU25" s="144" t="n">
        <f aca="false">TblMili[[#This Row],[Time]]</f>
        <v>45430.625</v>
      </c>
      <c r="AV25" s="69" t="n">
        <f aca="false">TblMili[[#This Row],[Draftees]]</f>
        <v>124</v>
      </c>
      <c r="AW25" s="182"/>
      <c r="AX25" s="182"/>
      <c r="AY25" s="182"/>
      <c r="AZ25" s="182"/>
      <c r="BA25" s="182"/>
      <c r="BB25" s="182"/>
      <c r="BC25" s="182"/>
      <c r="BD25" s="182"/>
      <c r="BE25" s="182"/>
      <c r="BF25" s="132"/>
      <c r="BG25" s="150" t="n">
        <f aca="false">TblConstr[[#This Row],[Tot WG]]/TblConstr[[#This Row],[Land]]</f>
        <v>0</v>
      </c>
      <c r="BH25" s="150" t="n">
        <f aca="false">TblConstr[[#This Row],[Tot Hav]]/TblConstr[[#This Row],[Land]]</f>
        <v>0</v>
      </c>
      <c r="BI25" s="69" t="n">
        <f aca="false">ROUNDUP((1-MIN(TblMili[[#This Row],[Smithies]]*smithy_bonus,smithy_bonus_cap) + tech_3_5*TblTech[[#This Row],[3-5]] + tech_5_3*TblTech[[#This Row],[5-3]] + tech_5_5*TblTech[[#This Row],[5-5]])*spec_op_plat,0)</f>
        <v>300</v>
      </c>
      <c r="BJ25" s="69" t="n">
        <f aca="false">ROUNDUP(IF(race="Gnome",1,(1-MIN(TblMili[[#This Row],[Smithies]]*smithy_bonus,smithy_bonus_cap) + tech_3_5*TblTech[[#This Row],[3-5]] + tech_5_3*TblTech[[#This Row],[5-3]] + tech_5_5*TblTech[[#This Row],[5-5]]))*spec_op_ore,0)</f>
        <v>0</v>
      </c>
      <c r="BK25" s="69" t="n">
        <f aca="false">ROUNDUP((1-MIN(TblMili[[#This Row],[Smithies]]*smithy_bonus,smithy_bonus_cap) + tech_3_5*TblTech[[#This Row],[3-5]] + tech_5_3*TblTech[[#This Row],[5-3]] + tech_5_5*TblTech[[#This Row],[5-5]])*spec_dp_plat,0)</f>
        <v>300</v>
      </c>
      <c r="BL25" s="69" t="n">
        <f aca="false">ROUNDUP(IF(race="Gnome",1,(1-MIN(TblMili[[#This Row],[Smithies]]*smithy_bonus,smithy_bonus_cap) + tech_3_5*TblTech[[#This Row],[3-5]] + tech_5_3*TblTech[[#This Row],[5-3]] + tech_5_5*TblTech[[#This Row],[5-5]]))*spec_dp_ore,0)</f>
        <v>0</v>
      </c>
      <c r="BM25" s="69" t="n">
        <f aca="false">ROUNDUP((1-MIN(TblMili[[#This Row],[Smithies]]*smithy_bonus,smithy_bonus_cap) + tech_3_5*TblTech[[#This Row],[3-5]] + tech_5_3*TblTech[[#This Row],[5-3]] + tech_5_5*TblTech[[#This Row],[5-5]])*elite1_plat,0)</f>
        <v>925</v>
      </c>
      <c r="BN25" s="69" t="n">
        <f aca="false">ROUNDUP(IF(race="Gnome",1,(1-MIN(TblMili[[#This Row],[Smithies]]*smithy_bonus,smithy_bonus_cap) + tech_3_5*TblTech[[#This Row],[3-5]] + tech_5_3*TblTech[[#This Row],[5-3]] + tech_5_5*TblTech[[#This Row],[5-5]]))*elite1_ore,0)</f>
        <v>0</v>
      </c>
      <c r="BO25" s="69" t="n">
        <f aca="false">ROUNDUP((1-MIN(TblMili[[#This Row],[Smithies]]*smithy_bonus,smithy_bonus_cap) + tech_3_5*TblTech[[#This Row],[3-5]] + tech_5_3*TblTech[[#This Row],[5-3]] + tech_5_5*TblTech[[#This Row],[5-5]])*elite2_plat,0)</f>
        <v>950</v>
      </c>
      <c r="BP25" s="69" t="n">
        <f aca="false">ROUNDUP(IF(race="Gnome",1,(1-MIN(TblMili[[#This Row],[Smithies]]*smithy_bonus,smithy_bonus_cap) + tech_3_5*TblTech[[#This Row],[3-5]] + tech_5_3*TblTech[[#This Row],[5-3]] + tech_5_5*TblTech[[#This Row],[5-5]]))*elite2_ore,0)</f>
        <v>0</v>
      </c>
      <c r="BQ25" s="69" t="n">
        <f aca="false">ROUNDUP((1-MIN(ROUND(fh_spy_cost_red*TblMili[[#This Row],[FH''s]],4),fh_spy_cost_cap)+ tech_1_9*TblTech[[#This Row],[1-9]] + tech_9_1*TblTech[[#This Row],[9-1]])*spy_plat,0)</f>
        <v>500</v>
      </c>
      <c r="BR25" s="69" t="n">
        <f aca="false">ROUNDUP((1-MIN(ROUND(fh_spy_cost_red*TblMili[[#This Row],[FH''s]],4),fh_spy_cost_cap)+ tech_1_9*TblTech[[#This Row],[1-9]] + tech_9_1*TblTech[[#This Row],[9-1]])*archspy_plat,0)</f>
        <v>1000</v>
      </c>
      <c r="BS25" s="69" t="n">
        <f aca="false">ROUNDUP((1-MIN(ROUND(wg_wiz_cost_bonus*TblMili[[#This Row],[WG''s]],4),wg_wiz_cost_cap) + tech_1_9_2*TblTech[[#This Row],[1-9]] + tech_9_1_2*TblTech[[#This Row],[9-1]])*wizard_plat,0)</f>
        <v>500</v>
      </c>
      <c r="BT25" s="69" t="n">
        <f aca="false">ROUNDUP((1-MIN(ROUND(wg_wiz_cost_bonus*TblMili[[#This Row],[WG''s]],4),wg_wiz_cost_cap) + tech_1_9_2*TblTech[[#This Row],[1-9]] + tech_9_1_2*TblTech[[#This Row],[9-1]])*archmage_plat,0)</f>
        <v>1000</v>
      </c>
      <c r="BU25" s="132"/>
      <c r="BV25" s="150" t="e">
        <f aca="false">TblConstr[[#This Row],[Homeland]]/TblConstr[[#This Row],[Land]]</f>
        <v>#VALUE!</v>
      </c>
      <c r="BW25" s="150" t="n">
        <f aca="false">TblMili[[#This Row],[WG''s]]</f>
        <v>0</v>
      </c>
      <c r="BX25" s="288" t="e">
        <f aca="false">IF(mystic_cap="none",TblMili[[#This Row],[Hill]]/mystic_bonus,MIN(mystic_cap,TblMili[[#This Row],[Hill]]/mystic_bonus))</f>
        <v>#VALUE!</v>
      </c>
      <c r="BY25" s="288" t="e">
        <f aca="false">IF(druid_op_cap="none",TblMili[[#This Row],[Hill]]/druid_op_bonus,MIN(druid_op_cap,TblMili[[#This Row],[Hill]]/druid_op_bonus))</f>
        <v>#VALUE!</v>
      </c>
      <c r="BZ25" s="288" t="e">
        <f aca="false">IF(druid_dp_cap="none",TblMili[[#This Row],[Hill]]/druid_dp_bonus,MIN(druid_dp_cap,TblMili[[#This Row],[Hill]]/druid_dp_bonus))</f>
        <v>#VALUE!</v>
      </c>
      <c r="CA25" s="288" t="e">
        <f aca="false">MIN(dryad_cap,TblMili[[#This Row],[Hill]]/dryad_bonus)</f>
        <v>#VALUE!</v>
      </c>
      <c r="CB25" s="288" t="e">
        <f aca="false">MIN(rocka_cap,TblMili[[#This Row],[Hill]]/rocka_bonus)</f>
        <v>#VALUE!</v>
      </c>
      <c r="CC25" s="288" t="n">
        <f aca="false">MIN(adept_op_cap,TblMili[[#This Row],[WG]]/adept_op_bonus)</f>
        <v>0</v>
      </c>
      <c r="CD25" s="288" t="n">
        <f aca="false">MIN(adept_dp_cap,TblMili[[#This Row],[WG]]/adept_dp_bonus)</f>
        <v>0</v>
      </c>
      <c r="CE25" s="69" t="n">
        <f aca="false">MIN(TblMili[[#This Row],[Unit 3]],TblMili[[#This Row],[Unit 2]])*2</f>
        <v>0</v>
      </c>
      <c r="CF25" s="69" t="n">
        <f aca="false">MIN(TblMili[[#This Row],[Unit 1]],TblMili[[#This Row],[Unit 4]])*2</f>
        <v>0</v>
      </c>
      <c r="CG25" s="288" t="e">
        <f aca="false">MIN(frost_mage_cap,TblMili[[#This Row],[Hill]]/frost_mage_bonus)</f>
        <v>#VALUE!</v>
      </c>
      <c r="CH25" s="151" t="n">
        <f aca="false">MIN(ice_elem_cap,TblMili[[#This Row],[Raw (2)]]*ice_elem_bonus)</f>
        <v>0</v>
      </c>
      <c r="CI25" s="288" t="n">
        <f aca="false">MIN(bone_breaker_cap,250/bone_breaker_bonus)</f>
        <v>0.833333333333333</v>
      </c>
      <c r="CJ25" s="288" t="e">
        <f aca="false">MIN(nox_nightshade_cap,TblConstr[[#This Row],[Homeland]]/TblConstr[[#This Row],[Land]]/nox_nightshade_swamp_bonus)</f>
        <v>#VALUE!</v>
      </c>
      <c r="CK25" s="289" t="s">
        <v>93</v>
      </c>
      <c r="CL25" s="292" t="b">
        <f aca="false">CK25=secondary_resource</f>
        <v>0</v>
      </c>
      <c r="CM25" s="289"/>
      <c r="CN25" s="288" t="e">
        <f aca="false">MIN(6,TblMili[[#This Row],[Mystic]]+Races!$F$19)*1.8 +  IF(TblMili[[#This Row],[Mystic]]+Races!$F$19&gt;6,(TblMili[[#This Row],[Mystic]]+Races!$F$19-6)*0.2,0) - Races!$I$19</f>
        <v>#VALUE!</v>
      </c>
      <c r="CO25" s="288" t="e">
        <f aca="false">1.8 * MIN(MAX(TblMili[[#This Row],[Druid (op)]]+Races!$E$20,TblMili[[#This Row],[Druid (dp)]]+Races!$F$20),6)  +  0.45 * MIN(MIN(TblMili[[#This Row],[Druid (op)]]+Races!$E$20,TblMili[[#This Row],[Druid (dp)]]+Races!$F$20),6)  +  0.2 * ( MAX(TblMili[[#This Row],[Druid (op)]]+Races!$E$20-6,0) + MAX(TblMili[[#This Row],[Druid (dp)]]+Races!$F$20-6,0) )  -  Races!$I$20</f>
        <v>#VALUE!</v>
      </c>
      <c r="CP25" s="69" t="e">
        <f aca="false">TblMili[[#This Row],[Mystic bonus]]*TblMili[[#This Row],[Unit 3]]+TblMili[[#This Row],[Druid bonus]]*TblMili[[#This Row],[Unit 4]]</f>
        <v>#VALUE!</v>
      </c>
      <c r="CQ25" s="148" t="e">
        <f aca="false">MIN(6,TblMili[[#This Row],[Dryad]]+Races!$F$35)*1.8 +  IF(TblMili[[#This Row],[Dryad]]+Races!$F$35&gt;6,(TblMili[[#This Row],[Dryad]]+Races!$F$35-6)*0.2,0) - Races!$I$19</f>
        <v>#VALUE!</v>
      </c>
      <c r="CR25" s="69" t="e">
        <f aca="false">sylvan*(TblMili[[#This Row],[Mystic bonus]]*TblMili[[#This Row],[Unit 3]])</f>
        <v>#VALUE!</v>
      </c>
      <c r="CS25" s="148" t="e">
        <f aca="false">1.8 * MIN(MAX(Races!$E$27,TblMili[[#This Row],[Rockapult]]+Races!$F$27),6)  +  0.45 * MIN(MIN(Races!$E$27,TblMili[[#This Row],[Rockapult]]+Races!$F$27),6)  +  0.2 * ( MAX(Races!$E$27-6,0) + MAX(TblMili[[#This Row],[Rockapult]]+Races!$F$27-6,0) )  -  Races!$I$20</f>
        <v>#VALUE!</v>
      </c>
      <c r="CT25" s="69" t="e">
        <f aca="false">gnome*(TblMili[[#This Row],[Rockapult bonus]]*TblMili[[#This Row],[Unit 3]])</f>
        <v>#VALUE!</v>
      </c>
      <c r="CU25" s="148" t="n">
        <f aca="false">1.8 * MIN(MAX(TblMili[[#This Row],[Spellblade]]+Races!$E$47,TblMili[[#This Row],[Adept-DP]]+Races!$F$47),6)  +  0.45 * MIN(MIN(TblMili[[#This Row],[Spellblade]]+Races!$E$47,TblMili[[#This Row],[Adept-DP]]+Races!$F$47),6)  +  0.2 * ( MAX(TblMili[[#This Row],[Spellblade]]+Races!$E$47-6,0) + MAX(TblMili[[#This Row],[Adept-DP]]+Races!$F$47-6,0) )  -  Races!$I$47</f>
        <v>0</v>
      </c>
      <c r="CV25" s="69" t="n">
        <f aca="false">dark_elf*(TblMili[[#This Row],[Adept bonus]]*TblMili[[#This Row],[Unit 3]])</f>
        <v>0</v>
      </c>
      <c r="CW25" s="148" t="e">
        <f aca="false">1.8 * MIN(MAX(TblMili[[#This Row],[Frost Mage]]+Races!$F$71,Races!$E$71),6)  +  0.45 * MIN(MIN(TblMili[[#This Row],[Frost Mage]]+Races!$F$71,Races!$E$71),6)  +  0.2 * ( MAX(TblMili[[#This Row],[Frost Mage]]+Races!$F$71-6,0) + MAX(Races!$E$71-6,0) )  -  Races!$I$71</f>
        <v>#VALUE!</v>
      </c>
      <c r="CX25" s="148" t="n">
        <f aca="false">1.8 * MIN(MAX(TblMili[[#This Row],[Ice Elemental]]+Races!$E$71,Races!$F$71),6)  +  0.45 * MIN(MIN(TblMili[[#This Row],[Ice Elemental]]+Races!$E$71,Races!$F$71),6)  +  0.2 * ( MAX(TblMili[[#This Row],[Ice Elemental]]+Races!$E$71-6,0) + MAX(Races!$F$71-6,0) )  -  Races!$I$71</f>
        <v>0</v>
      </c>
      <c r="CY25" s="69" t="e">
        <f aca="false">TblMili[[#This Row],[Frost Mage bonus]]*TblMili[[#This Row],[Unit 3]]+TblMili[[#This Row],[Ice Elemental bonus]]*TblMili[[#This Row],[Unit 4]]</f>
        <v>#VALUE!</v>
      </c>
      <c r="CZ25" s="290"/>
      <c r="DA25" s="109" t="n">
        <f aca="false">MIN(SUM(TblConstr[[#This Row],[Plain]:[Water]])/TblMili[[#This Row],[Land]]/favorable_terrain_bonus/100,favorable_terrain_max)</f>
        <v>0</v>
      </c>
      <c r="DB25" s="290"/>
      <c r="DC2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5" s="132"/>
      <c r="DE25" s="291" t="n">
        <f aca="false">(TblMili[[#This Row],[Wizards]]+2*TblMili[[#This Row],[Archmages]])/TblConstr[[#This Row],[Land]]</f>
        <v>0</v>
      </c>
      <c r="DF25" s="291" t="n">
        <f aca="false">TblMili[[#This Row],[Raw (2)]]*(1+race_wizard_strength+IF(TblMili[[#This Row],[Hour]]&gt;72,tech_magical_weaponry_wiz*TblTech[[#This Row],[3-5]],0))</f>
        <v>0</v>
      </c>
    </row>
    <row r="26" customFormat="false" ht="12.75" hidden="false" customHeight="false" outlineLevel="0" collapsed="false">
      <c r="A26" s="128" t="n">
        <f aca="false">TblRezone[[#This Row],[Hour]]</f>
        <v>23</v>
      </c>
      <c r="B26" s="282" t="n">
        <f aca="false">SUM(TblMili[[#This Row],[Unit 1]:[Archmages]])+SUM(OFFSET(TblMili[[#This Row],[Train Unit 1]],-8,0):TblMili[[#This Row],[Train Unit 2]]) + SUM(OFFSET(TblMili[[#This Row],[Train Unit 3]],-11,0):TblMili[[#This Row],[Train AM]]) + TblMili[[#This Row],[Draftees]]</f>
        <v>146</v>
      </c>
      <c r="C26" s="150" t="n">
        <f aca="false">TblPop[[#This Row],[Military%]]</f>
        <v>0.0439759036144578</v>
      </c>
      <c r="D26" s="132"/>
      <c r="E26" s="151" t="n">
        <f aca="false">OFFSET(TblMili[[#This Row],[Unit 1]],-1,0) + OFFSET(TblMili[[#This Row],[Train Unit 1]],-9,0) - TblMili[[#This Row],[Release Unit 1]]</f>
        <v>0</v>
      </c>
      <c r="F26" s="151" t="n">
        <f aca="false">OFFSET(TblMili[[#This Row],[Unit 2]],-1,0) + OFFSET(TblMili[[#This Row],[Train Unit 2]],-9,0)-TblMili[[#This Row],[Release Unit 2]]</f>
        <v>0</v>
      </c>
      <c r="G26" s="151" t="n">
        <f aca="false">OFFSET(TblMili[[#This Row],[Unit 3]],-1,0) + OFFSET(TblMili[[#This Row],[Train Unit 3]],-12,0)-TblMili[[#This Row],[Release Unit 3]]</f>
        <v>0</v>
      </c>
      <c r="H26" s="151" t="n">
        <f aca="false">OFFSET(TblMili[[#This Row],[Unit 4]],-1,0) + OFFSET(TblMili[[#This Row],[Train Unit 4]],-12,0)-TblMili[[#This Row],[Release Unit 4]]</f>
        <v>0</v>
      </c>
      <c r="I26" s="151" t="n">
        <f aca="false">OFFSET(TblMili[[#This Row],[Spies]],-1,0) + OFFSET(TblMili[[#This Row],[Train Spies]],-12,0) - TblMili[[#This Row],[Release Spies]]-TblMili[[#This Row],[Train AS]]</f>
        <v>0</v>
      </c>
      <c r="J26" s="151" t="n">
        <f aca="false">OFFSET(TblMili[[#This Row],[Archspies]],-1,0) + OFFSET(TblMili[[#This Row],[Train AS]],-12,0) - TblMili[[#This Row],[Release AS]]</f>
        <v>0</v>
      </c>
      <c r="K26" s="151" t="n">
        <f aca="false">OFFSET(TblMili[[#This Row],[Wizards]],-1,0) + OFFSET(TblMili[[#This Row],[Train Wiz]],-12,0) - TblMili[[#This Row],[Release Wizards]]-TblMili[[#This Row],[Train AM]]</f>
        <v>0</v>
      </c>
      <c r="L26" s="151" t="n">
        <f aca="false">OFFSET(TblMili[[#This Row],[Archmages]],-1,0) + OFFSET(TblMili[[#This Row],[Train AM]],-12,0) - TblMili[[#This Row],[Release AM]]</f>
        <v>0</v>
      </c>
      <c r="M26" s="132"/>
      <c r="N26" s="69" t="e">
        <f aca="false">TblProd[[#This Row],[Networth]]</f>
        <v>#VALUE!</v>
      </c>
      <c r="O26" s="132"/>
      <c r="P2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6" s="285" t="e">
        <f aca="false">TblMili[[#This Row],[Raw]]*(1+TblMili[[#This Row],[Mods_Off]])</f>
        <v>#VALUE!</v>
      </c>
      <c r="S2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6" s="285" t="e">
        <f aca="false">TblMili[[#This Row],[Non Draft]]+TblMili[[#This Row],[Draftees]]</f>
        <v>#VALUE!</v>
      </c>
      <c r="U26" s="286" t="n">
        <f aca="false">race_defense + TblImps[[#This Row],[Walls]] + ROUND( MIN(gt_bonus*TblConstr[[#This Row],[Tot GT]]/TblConstr[[#This Row],[Land]],gt_bonus_cap), 4) + IF(TblMagic[[#This Row],[Active Howling]]&gt;0,howling_dp_bonus,IF(TblMagic[[#This Row],[Active Ares Call]]&gt;0,ares_call_bonus))</f>
        <v>0</v>
      </c>
      <c r="V26" s="274" t="e">
        <f aca="false">TblMili[[#This Row],[Non Draft]] * (1 + TblMili[[#This Row],[Mods_Def]])</f>
        <v>#VALUE!</v>
      </c>
      <c r="W26" s="285" t="e">
        <f aca="false">TblMili[[#This Row],[Draft]] * (1 + TblMili[[#This Row],[Mods_Def]])</f>
        <v>#VALUE!</v>
      </c>
      <c r="X26" s="285" t="n">
        <f aca="false">TblConstr[[#This Row],[Land]]</f>
        <v>279</v>
      </c>
      <c r="Y26" s="287"/>
      <c r="Z26" s="109" t="n">
        <f aca="false">IF(TblMili[[#This Row],[Set]]&lt;&gt;"",TblMili[[#This Row],[Set]],OFFSET(TblMili[[#This Row],[Draftrate]],-1,0))</f>
        <v>0.9</v>
      </c>
      <c r="AA26" s="69" t="n">
        <f aca="false">OFFSET(TblMili[[#This Row],[Draftees]],-1,0)+OFFSET(TblPop[[#This Row],[Draft Growth]],-1,0) - SUM(TblMili[[#This Row],[Train Unit 1]:[Train Spies]],TblMili[[#This Row],[Train Wiz]]) - TblMili[[#This Row],[Release Draft]] + SUM(TblMili[[#This Row],[Release Unit 1]:[Release AM]]) - TblExplore[[#This Row],[Draftees (2)]]</f>
        <v>146</v>
      </c>
      <c r="AB26" s="146"/>
      <c r="AC26" s="130" t="n">
        <f aca="false">(TblConstr[[#This Row],[Tot Smi]]+TblConstr[[#This Row],[Dest Smi]])/(TblConstr[[#This Row],[Land]]-TblExplore[[#This Row],[Land Bonus]]*20)</f>
        <v>0</v>
      </c>
      <c r="AD26" s="128"/>
      <c r="AE26" s="282" t="n">
        <f aca="false">TblMili[[#This Row],[Hour]]</f>
        <v>23</v>
      </c>
      <c r="AF26" s="129" t="n">
        <f aca="false">TblExplore[[#This Row],[Time]]</f>
        <v>45430.6666666667</v>
      </c>
      <c r="AG26" s="182"/>
      <c r="AH26" s="182"/>
      <c r="AI26" s="182"/>
      <c r="AJ26" s="182"/>
      <c r="AK26" s="182"/>
      <c r="AL26" s="182"/>
      <c r="AM26" s="182"/>
      <c r="AN26" s="182"/>
      <c r="AO26" s="132"/>
      <c r="AP26" s="69" t="n">
        <f aca="false">TblProd[[#This Row],[Platinum]]</f>
        <v>20132</v>
      </c>
      <c r="AQ26" s="69" t="n">
        <f aca="false">INDEX(TblProd[[#Headers],[Lumber]]:TblProd[[#This Row],[Ore]],COUNTA(TblProd[[#Headers],[Lumber]]:TblProd[[#This Row],[Lumber]]),MATCH(Military!$AQ$2,TblProd[[#Headers],[Lumber]:[Ore]],0))</f>
        <v>0</v>
      </c>
      <c r="AR2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69" t="n">
        <f aca="false">TblMili[[#This Row],[Train Unit 1]]*TblMili[[#This Row],[OP Ore]]+TblMili[[#This Row],[Train Unit 2]]*TblMili[[#This Row],[DP Ore]]+TblMili[[#This Row],[Train Unit 3]]*TblMili[[#This Row],[E1 Ore]]+TblMili[[#This Row],[Train Unit 4]]*TblMili[[#This Row],[E2 Ore]]</f>
        <v>0</v>
      </c>
      <c r="AT26" s="132" t="n">
        <f aca="false">TblMili[[#This Row],[Hour]]</f>
        <v>23</v>
      </c>
      <c r="AU26" s="144" t="n">
        <f aca="false">TblMili[[#This Row],[Time]]</f>
        <v>45430.6666666667</v>
      </c>
      <c r="AV26" s="69" t="n">
        <f aca="false">TblMili[[#This Row],[Draftees]]</f>
        <v>146</v>
      </c>
      <c r="AW26" s="182"/>
      <c r="AX26" s="182"/>
      <c r="AY26" s="182"/>
      <c r="AZ26" s="182"/>
      <c r="BA26" s="182"/>
      <c r="BB26" s="182"/>
      <c r="BC26" s="182"/>
      <c r="BD26" s="182"/>
      <c r="BE26" s="182"/>
      <c r="BF26" s="132"/>
      <c r="BG26" s="150" t="n">
        <f aca="false">TblConstr[[#This Row],[Tot WG]]/TblConstr[[#This Row],[Land]]</f>
        <v>0</v>
      </c>
      <c r="BH26" s="150" t="n">
        <f aca="false">TblConstr[[#This Row],[Tot Hav]]/TblConstr[[#This Row],[Land]]</f>
        <v>0</v>
      </c>
      <c r="BI26" s="69" t="n">
        <f aca="false">ROUNDUP((1-MIN(TblMili[[#This Row],[Smithies]]*smithy_bonus,smithy_bonus_cap) + tech_3_5*TblTech[[#This Row],[3-5]] + tech_5_3*TblTech[[#This Row],[5-3]] + tech_5_5*TblTech[[#This Row],[5-5]])*spec_op_plat,0)</f>
        <v>300</v>
      </c>
      <c r="BJ26" s="69" t="n">
        <f aca="false">ROUNDUP(IF(race="Gnome",1,(1-MIN(TblMili[[#This Row],[Smithies]]*smithy_bonus,smithy_bonus_cap) + tech_3_5*TblTech[[#This Row],[3-5]] + tech_5_3*TblTech[[#This Row],[5-3]] + tech_5_5*TblTech[[#This Row],[5-5]]))*spec_op_ore,0)</f>
        <v>0</v>
      </c>
      <c r="BK26" s="69" t="n">
        <f aca="false">ROUNDUP((1-MIN(TblMili[[#This Row],[Smithies]]*smithy_bonus,smithy_bonus_cap) + tech_3_5*TblTech[[#This Row],[3-5]] + tech_5_3*TblTech[[#This Row],[5-3]] + tech_5_5*TblTech[[#This Row],[5-5]])*spec_dp_plat,0)</f>
        <v>300</v>
      </c>
      <c r="BL26" s="69" t="n">
        <f aca="false">ROUNDUP(IF(race="Gnome",1,(1-MIN(TblMili[[#This Row],[Smithies]]*smithy_bonus,smithy_bonus_cap) + tech_3_5*TblTech[[#This Row],[3-5]] + tech_5_3*TblTech[[#This Row],[5-3]] + tech_5_5*TblTech[[#This Row],[5-5]]))*spec_dp_ore,0)</f>
        <v>0</v>
      </c>
      <c r="BM26" s="69" t="n">
        <f aca="false">ROUNDUP((1-MIN(TblMili[[#This Row],[Smithies]]*smithy_bonus,smithy_bonus_cap) + tech_3_5*TblTech[[#This Row],[3-5]] + tech_5_3*TblTech[[#This Row],[5-3]] + tech_5_5*TblTech[[#This Row],[5-5]])*elite1_plat,0)</f>
        <v>925</v>
      </c>
      <c r="BN26" s="69" t="n">
        <f aca="false">ROUNDUP(IF(race="Gnome",1,(1-MIN(TblMili[[#This Row],[Smithies]]*smithy_bonus,smithy_bonus_cap) + tech_3_5*TblTech[[#This Row],[3-5]] + tech_5_3*TblTech[[#This Row],[5-3]] + tech_5_5*TblTech[[#This Row],[5-5]]))*elite1_ore,0)</f>
        <v>0</v>
      </c>
      <c r="BO26" s="69" t="n">
        <f aca="false">ROUNDUP((1-MIN(TblMili[[#This Row],[Smithies]]*smithy_bonus,smithy_bonus_cap) + tech_3_5*TblTech[[#This Row],[3-5]] + tech_5_3*TblTech[[#This Row],[5-3]] + tech_5_5*TblTech[[#This Row],[5-5]])*elite2_plat,0)</f>
        <v>950</v>
      </c>
      <c r="BP26" s="69" t="n">
        <f aca="false">ROUNDUP(IF(race="Gnome",1,(1-MIN(TblMili[[#This Row],[Smithies]]*smithy_bonus,smithy_bonus_cap) + tech_3_5*TblTech[[#This Row],[3-5]] + tech_5_3*TblTech[[#This Row],[5-3]] + tech_5_5*TblTech[[#This Row],[5-5]]))*elite2_ore,0)</f>
        <v>0</v>
      </c>
      <c r="BQ26" s="69" t="n">
        <f aca="false">ROUNDUP((1-MIN(ROUND(fh_spy_cost_red*TblMili[[#This Row],[FH''s]],4),fh_spy_cost_cap)+ tech_1_9*TblTech[[#This Row],[1-9]] + tech_9_1*TblTech[[#This Row],[9-1]])*spy_plat,0)</f>
        <v>500</v>
      </c>
      <c r="BR26" s="69" t="n">
        <f aca="false">ROUNDUP((1-MIN(ROUND(fh_spy_cost_red*TblMili[[#This Row],[FH''s]],4),fh_spy_cost_cap)+ tech_1_9*TblTech[[#This Row],[1-9]] + tech_9_1*TblTech[[#This Row],[9-1]])*archspy_plat,0)</f>
        <v>1000</v>
      </c>
      <c r="BS26" s="69" t="n">
        <f aca="false">ROUNDUP((1-MIN(ROUND(wg_wiz_cost_bonus*TblMili[[#This Row],[WG''s]],4),wg_wiz_cost_cap) + tech_1_9_2*TblTech[[#This Row],[1-9]] + tech_9_1_2*TblTech[[#This Row],[9-1]])*wizard_plat,0)</f>
        <v>500</v>
      </c>
      <c r="BT26" s="69" t="n">
        <f aca="false">ROUNDUP((1-MIN(ROUND(wg_wiz_cost_bonus*TblMili[[#This Row],[WG''s]],4),wg_wiz_cost_cap) + tech_1_9_2*TblTech[[#This Row],[1-9]] + tech_9_1_2*TblTech[[#This Row],[9-1]])*archmage_plat,0)</f>
        <v>1000</v>
      </c>
      <c r="BU26" s="132"/>
      <c r="BV26" s="150" t="e">
        <f aca="false">TblConstr[[#This Row],[Homeland]]/TblConstr[[#This Row],[Land]]</f>
        <v>#VALUE!</v>
      </c>
      <c r="BW26" s="150" t="n">
        <f aca="false">TblMili[[#This Row],[WG''s]]</f>
        <v>0</v>
      </c>
      <c r="BX26" s="288" t="e">
        <f aca="false">IF(mystic_cap="none",TblMili[[#This Row],[Hill]]/mystic_bonus,MIN(mystic_cap,TblMili[[#This Row],[Hill]]/mystic_bonus))</f>
        <v>#VALUE!</v>
      </c>
      <c r="BY26" s="288" t="e">
        <f aca="false">IF(druid_op_cap="none",TblMili[[#This Row],[Hill]]/druid_op_bonus,MIN(druid_op_cap,TblMili[[#This Row],[Hill]]/druid_op_bonus))</f>
        <v>#VALUE!</v>
      </c>
      <c r="BZ26" s="288" t="e">
        <f aca="false">IF(druid_dp_cap="none",TblMili[[#This Row],[Hill]]/druid_dp_bonus,MIN(druid_dp_cap,TblMili[[#This Row],[Hill]]/druid_dp_bonus))</f>
        <v>#VALUE!</v>
      </c>
      <c r="CA26" s="288" t="e">
        <f aca="false">MIN(dryad_cap,TblMili[[#This Row],[Hill]]/dryad_bonus)</f>
        <v>#VALUE!</v>
      </c>
      <c r="CB26" s="288" t="e">
        <f aca="false">MIN(rocka_cap,TblMili[[#This Row],[Hill]]/rocka_bonus)</f>
        <v>#VALUE!</v>
      </c>
      <c r="CC26" s="288" t="n">
        <f aca="false">MIN(adept_op_cap,TblMili[[#This Row],[WG]]/adept_op_bonus)</f>
        <v>0</v>
      </c>
      <c r="CD26" s="288" t="n">
        <f aca="false">MIN(adept_dp_cap,TblMili[[#This Row],[WG]]/adept_dp_bonus)</f>
        <v>0</v>
      </c>
      <c r="CE26" s="69" t="n">
        <f aca="false">MIN(TblMili[[#This Row],[Unit 3]],TblMili[[#This Row],[Unit 2]])*2</f>
        <v>0</v>
      </c>
      <c r="CF26" s="69" t="n">
        <f aca="false">MIN(TblMili[[#This Row],[Unit 1]],TblMili[[#This Row],[Unit 4]])*2</f>
        <v>0</v>
      </c>
      <c r="CG26" s="288" t="e">
        <f aca="false">MIN(frost_mage_cap,TblMili[[#This Row],[Hill]]/frost_mage_bonus)</f>
        <v>#VALUE!</v>
      </c>
      <c r="CH26" s="151" t="n">
        <f aca="false">MIN(ice_elem_cap,TblMili[[#This Row],[Raw (2)]]*ice_elem_bonus)</f>
        <v>0</v>
      </c>
      <c r="CI26" s="288" t="n">
        <f aca="false">MIN(bone_breaker_cap,250/bone_breaker_bonus)</f>
        <v>0.833333333333333</v>
      </c>
      <c r="CJ26" s="288" t="e">
        <f aca="false">MIN(nox_nightshade_cap,TblConstr[[#This Row],[Homeland]]/TblConstr[[#This Row],[Land]]/nox_nightshade_swamp_bonus)</f>
        <v>#VALUE!</v>
      </c>
      <c r="CK26" s="289" t="s">
        <v>95</v>
      </c>
      <c r="CL26" s="292" t="b">
        <f aca="false">CK26=secondary_resource</f>
        <v>0</v>
      </c>
      <c r="CM26" s="289"/>
      <c r="CN26" s="288" t="e">
        <f aca="false">MIN(6,TblMili[[#This Row],[Mystic]]+Races!$F$19)*1.8 +  IF(TblMili[[#This Row],[Mystic]]+Races!$F$19&gt;6,(TblMili[[#This Row],[Mystic]]+Races!$F$19-6)*0.2,0) - Races!$I$19</f>
        <v>#VALUE!</v>
      </c>
      <c r="CO26" s="288" t="e">
        <f aca="false">1.8 * MIN(MAX(TblMili[[#This Row],[Druid (op)]]+Races!$E$20,TblMili[[#This Row],[Druid (dp)]]+Races!$F$20),6)  +  0.45 * MIN(MIN(TblMili[[#This Row],[Druid (op)]]+Races!$E$20,TblMili[[#This Row],[Druid (dp)]]+Races!$F$20),6)  +  0.2 * ( MAX(TblMili[[#This Row],[Druid (op)]]+Races!$E$20-6,0) + MAX(TblMili[[#This Row],[Druid (dp)]]+Races!$F$20-6,0) )  -  Races!$I$20</f>
        <v>#VALUE!</v>
      </c>
      <c r="CP26" s="69" t="e">
        <f aca="false">TblMili[[#This Row],[Mystic bonus]]*TblMili[[#This Row],[Unit 3]]+TblMili[[#This Row],[Druid bonus]]*TblMili[[#This Row],[Unit 4]]</f>
        <v>#VALUE!</v>
      </c>
      <c r="CQ26" s="148" t="e">
        <f aca="false">MIN(6,TblMili[[#This Row],[Dryad]]+Races!$F$35)*1.8 +  IF(TblMili[[#This Row],[Dryad]]+Races!$F$35&gt;6,(TblMili[[#This Row],[Dryad]]+Races!$F$35-6)*0.2,0) - Races!$I$19</f>
        <v>#VALUE!</v>
      </c>
      <c r="CR26" s="69" t="e">
        <f aca="false">sylvan*(TblMili[[#This Row],[Mystic bonus]]*TblMili[[#This Row],[Unit 3]])</f>
        <v>#VALUE!</v>
      </c>
      <c r="CS26" s="148" t="e">
        <f aca="false">1.8 * MIN(MAX(Races!$E$27,TblMili[[#This Row],[Rockapult]]+Races!$F$27),6)  +  0.45 * MIN(MIN(Races!$E$27,TblMili[[#This Row],[Rockapult]]+Races!$F$27),6)  +  0.2 * ( MAX(Races!$E$27-6,0) + MAX(TblMili[[#This Row],[Rockapult]]+Races!$F$27-6,0) )  -  Races!$I$20</f>
        <v>#VALUE!</v>
      </c>
      <c r="CT26" s="69" t="e">
        <f aca="false">gnome*(TblMili[[#This Row],[Rockapult bonus]]*TblMili[[#This Row],[Unit 3]])</f>
        <v>#VALUE!</v>
      </c>
      <c r="CU26" s="148" t="n">
        <f aca="false">1.8 * MIN(MAX(TblMili[[#This Row],[Spellblade]]+Races!$E$47,TblMili[[#This Row],[Adept-DP]]+Races!$F$47),6)  +  0.45 * MIN(MIN(TblMili[[#This Row],[Spellblade]]+Races!$E$47,TblMili[[#This Row],[Adept-DP]]+Races!$F$47),6)  +  0.2 * ( MAX(TblMili[[#This Row],[Spellblade]]+Races!$E$47-6,0) + MAX(TblMili[[#This Row],[Adept-DP]]+Races!$F$47-6,0) )  -  Races!$I$47</f>
        <v>0</v>
      </c>
      <c r="CV26" s="69" t="n">
        <f aca="false">dark_elf*(TblMili[[#This Row],[Adept bonus]]*TblMili[[#This Row],[Unit 3]])</f>
        <v>0</v>
      </c>
      <c r="CW26" s="148" t="e">
        <f aca="false">1.8 * MIN(MAX(TblMili[[#This Row],[Frost Mage]]+Races!$F$71,Races!$E$71),6)  +  0.45 * MIN(MIN(TblMili[[#This Row],[Frost Mage]]+Races!$F$71,Races!$E$71),6)  +  0.2 * ( MAX(TblMili[[#This Row],[Frost Mage]]+Races!$F$71-6,0) + MAX(Races!$E$71-6,0) )  -  Races!$I$71</f>
        <v>#VALUE!</v>
      </c>
      <c r="CX26" s="148" t="n">
        <f aca="false">1.8 * MIN(MAX(TblMili[[#This Row],[Ice Elemental]]+Races!$E$71,Races!$F$71),6)  +  0.45 * MIN(MIN(TblMili[[#This Row],[Ice Elemental]]+Races!$E$71,Races!$F$71),6)  +  0.2 * ( MAX(TblMili[[#This Row],[Ice Elemental]]+Races!$E$71-6,0) + MAX(Races!$F$71-6,0) )  -  Races!$I$71</f>
        <v>0</v>
      </c>
      <c r="CY26" s="69" t="e">
        <f aca="false">TblMili[[#This Row],[Frost Mage bonus]]*TblMili[[#This Row],[Unit 3]]+TblMili[[#This Row],[Ice Elemental bonus]]*TblMili[[#This Row],[Unit 4]]</f>
        <v>#VALUE!</v>
      </c>
      <c r="CZ26" s="290"/>
      <c r="DA26" s="109" t="n">
        <f aca="false">MIN(SUM(TblConstr[[#This Row],[Plain]:[Water]])/TblMili[[#This Row],[Land]]/favorable_terrain_bonus/100,favorable_terrain_max)</f>
        <v>0</v>
      </c>
      <c r="DB26" s="290"/>
      <c r="DC2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6" s="132"/>
      <c r="DE26" s="291" t="n">
        <f aca="false">(TblMili[[#This Row],[Wizards]]+2*TblMili[[#This Row],[Archmages]])/TblConstr[[#This Row],[Land]]</f>
        <v>0</v>
      </c>
      <c r="DF26" s="291" t="n">
        <f aca="false">TblMili[[#This Row],[Raw (2)]]*(1+race_wizard_strength+IF(TblMili[[#This Row],[Hour]]&gt;72,tech_magical_weaponry_wiz*TblTech[[#This Row],[3-5]],0))</f>
        <v>0</v>
      </c>
    </row>
    <row r="27" customFormat="false" ht="12.75" hidden="false" customHeight="false" outlineLevel="0" collapsed="false">
      <c r="A27" s="128" t="n">
        <f aca="false">TblRezone[[#This Row],[Hour]]</f>
        <v>24</v>
      </c>
      <c r="B27" s="282" t="n">
        <f aca="false">SUM(TblMili[[#This Row],[Unit 1]:[Archmages]])+SUM(OFFSET(TblMili[[#This Row],[Train Unit 1]],-8,0):TblMili[[#This Row],[Train Unit 2]]) + SUM(OFFSET(TblMili[[#This Row],[Train Unit 3]],-11,0):TblMili[[#This Row],[Train AM]]) + TblMili[[#This Row],[Draftees]]</f>
        <v>138</v>
      </c>
      <c r="C27" s="150" t="n">
        <f aca="false">TblPop[[#This Row],[Military%]]</f>
        <v>0.039237986920671</v>
      </c>
      <c r="D27" s="132"/>
      <c r="E27" s="151" t="n">
        <f aca="false">OFFSET(TblMili[[#This Row],[Unit 1]],-1,0) + OFFSET(TblMili[[#This Row],[Train Unit 1]],-9,0) - TblMili[[#This Row],[Release Unit 1]]</f>
        <v>0</v>
      </c>
      <c r="F27" s="151" t="n">
        <f aca="false">OFFSET(TblMili[[#This Row],[Unit 2]],-1,0) + OFFSET(TblMili[[#This Row],[Train Unit 2]],-9,0)-TblMili[[#This Row],[Release Unit 2]]</f>
        <v>0</v>
      </c>
      <c r="G27" s="151" t="n">
        <f aca="false">OFFSET(TblMili[[#This Row],[Unit 3]],-1,0) + OFFSET(TblMili[[#This Row],[Train Unit 3]],-12,0)-TblMili[[#This Row],[Release Unit 3]]</f>
        <v>0</v>
      </c>
      <c r="H27" s="151" t="n">
        <f aca="false">OFFSET(TblMili[[#This Row],[Unit 4]],-1,0) + OFFSET(TblMili[[#This Row],[Train Unit 4]],-12,0)-TblMili[[#This Row],[Release Unit 4]]</f>
        <v>0</v>
      </c>
      <c r="I27" s="151" t="n">
        <f aca="false">OFFSET(TblMili[[#This Row],[Spies]],-1,0) + OFFSET(TblMili[[#This Row],[Train Spies]],-12,0) - TblMili[[#This Row],[Release Spies]]-TblMili[[#This Row],[Train AS]]</f>
        <v>0</v>
      </c>
      <c r="J27" s="151" t="n">
        <f aca="false">OFFSET(TblMili[[#This Row],[Archspies]],-1,0) + OFFSET(TblMili[[#This Row],[Train AS]],-12,0) - TblMili[[#This Row],[Release AS]]</f>
        <v>0</v>
      </c>
      <c r="K27" s="151" t="n">
        <f aca="false">OFFSET(TblMili[[#This Row],[Wizards]],-1,0) + OFFSET(TblMili[[#This Row],[Train Wiz]],-12,0) - TblMili[[#This Row],[Release Wizards]]-TblMili[[#This Row],[Train AM]]</f>
        <v>0</v>
      </c>
      <c r="L27" s="151" t="n">
        <f aca="false">OFFSET(TblMili[[#This Row],[Archmages]],-1,0) + OFFSET(TblMili[[#This Row],[Train AM]],-12,0) - TblMili[[#This Row],[Release AM]]</f>
        <v>0</v>
      </c>
      <c r="M27" s="132"/>
      <c r="N27" s="69" t="e">
        <f aca="false">TblProd[[#This Row],[Networth]]</f>
        <v>#VALUE!</v>
      </c>
      <c r="O27" s="132"/>
      <c r="P2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7" s="285" t="e">
        <f aca="false">TblMili[[#This Row],[Raw]]*(1+TblMili[[#This Row],[Mods_Off]])</f>
        <v>#VALUE!</v>
      </c>
      <c r="S2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7" s="285" t="e">
        <f aca="false">TblMili[[#This Row],[Non Draft]]+TblMili[[#This Row],[Draftees]]</f>
        <v>#VALUE!</v>
      </c>
      <c r="U27" s="286" t="n">
        <f aca="false">race_defense + TblImps[[#This Row],[Walls]] + ROUND( MIN(gt_bonus*TblConstr[[#This Row],[Tot GT]]/TblConstr[[#This Row],[Land]],gt_bonus_cap), 4) + IF(TblMagic[[#This Row],[Active Howling]]&gt;0,howling_dp_bonus,IF(TblMagic[[#This Row],[Active Ares Call]]&gt;0,ares_call_bonus))</f>
        <v>0</v>
      </c>
      <c r="V27" s="274" t="e">
        <f aca="false">TblMili[[#This Row],[Non Draft]] * (1 + TblMili[[#This Row],[Mods_Def]])</f>
        <v>#VALUE!</v>
      </c>
      <c r="W27" s="285" t="e">
        <f aca="false">TblMili[[#This Row],[Draft]] * (1 + TblMili[[#This Row],[Mods_Def]])</f>
        <v>#VALUE!</v>
      </c>
      <c r="X27" s="285" t="n">
        <f aca="false">TblConstr[[#This Row],[Land]]</f>
        <v>299</v>
      </c>
      <c r="Y27" s="287"/>
      <c r="Z27" s="109" t="n">
        <f aca="false">IF(TblMili[[#This Row],[Set]]&lt;&gt;"",TblMili[[#This Row],[Set]],OFFSET(TblMili[[#This Row],[Draftrate]],-1,0))</f>
        <v>0.9</v>
      </c>
      <c r="AA27" s="69" t="n">
        <f aca="false">OFFSET(TblMili[[#This Row],[Draftees]],-1,0)+OFFSET(TblPop[[#This Row],[Draft Growth]],-1,0) - SUM(TblMili[[#This Row],[Train Unit 1]:[Train Spies]],TblMili[[#This Row],[Train Wiz]]) - TblMili[[#This Row],[Release Draft]] + SUM(TblMili[[#This Row],[Release Unit 1]:[Release AM]]) - TblExplore[[#This Row],[Draftees (2)]]</f>
        <v>138</v>
      </c>
      <c r="AB27" s="146"/>
      <c r="AC27" s="130" t="n">
        <f aca="false">(TblConstr[[#This Row],[Tot Smi]]+TblConstr[[#This Row],[Dest Smi]])/(TblConstr[[#This Row],[Land]]-TblExplore[[#This Row],[Land Bonus]]*20)</f>
        <v>0</v>
      </c>
      <c r="AD27" s="128"/>
      <c r="AE27" s="282" t="n">
        <f aca="false">TblMili[[#This Row],[Hour]]</f>
        <v>24</v>
      </c>
      <c r="AF27" s="129" t="n">
        <f aca="false">TblExplore[[#This Row],[Time]]</f>
        <v>45430.7083333333</v>
      </c>
      <c r="AG27" s="182"/>
      <c r="AH27" s="182"/>
      <c r="AI27" s="182"/>
      <c r="AJ27" s="182"/>
      <c r="AK27" s="182"/>
      <c r="AL27" s="182"/>
      <c r="AM27" s="182"/>
      <c r="AN27" s="182"/>
      <c r="AO27" s="132"/>
      <c r="AP27" s="69" t="n">
        <f aca="false">TblProd[[#This Row],[Platinum]]</f>
        <v>26679</v>
      </c>
      <c r="AQ27" s="69" t="n">
        <f aca="false">INDEX(TblProd[[#Headers],[Lumber]]:TblProd[[#This Row],[Ore]],COUNTA(TblProd[[#Headers],[Lumber]]:TblProd[[#This Row],[Lumber]]),MATCH(Military!$AQ$2,TblProd[[#Headers],[Lumber]:[Ore]],0))</f>
        <v>0</v>
      </c>
      <c r="AR2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69" t="n">
        <f aca="false">TblMili[[#This Row],[Train Unit 1]]*TblMili[[#This Row],[OP Ore]]+TblMili[[#This Row],[Train Unit 2]]*TblMili[[#This Row],[DP Ore]]+TblMili[[#This Row],[Train Unit 3]]*TblMili[[#This Row],[E1 Ore]]+TblMili[[#This Row],[Train Unit 4]]*TblMili[[#This Row],[E2 Ore]]</f>
        <v>0</v>
      </c>
      <c r="AT27" s="132" t="n">
        <f aca="false">TblMili[[#This Row],[Hour]]</f>
        <v>24</v>
      </c>
      <c r="AU27" s="144" t="n">
        <f aca="false">TblMili[[#This Row],[Time]]</f>
        <v>45430.7083333333</v>
      </c>
      <c r="AV27" s="69" t="n">
        <f aca="false">TblMili[[#This Row],[Draftees]]</f>
        <v>138</v>
      </c>
      <c r="AW27" s="182"/>
      <c r="AX27" s="182"/>
      <c r="AY27" s="182"/>
      <c r="AZ27" s="182"/>
      <c r="BA27" s="182"/>
      <c r="BB27" s="182"/>
      <c r="BC27" s="182"/>
      <c r="BD27" s="182"/>
      <c r="BE27" s="182"/>
      <c r="BF27" s="132"/>
      <c r="BG27" s="150" t="n">
        <f aca="false">TblConstr[[#This Row],[Tot WG]]/TblConstr[[#This Row],[Land]]</f>
        <v>0</v>
      </c>
      <c r="BH27" s="150" t="n">
        <f aca="false">TblConstr[[#This Row],[Tot Hav]]/TblConstr[[#This Row],[Land]]</f>
        <v>0</v>
      </c>
      <c r="BI27" s="69" t="n">
        <f aca="false">ROUNDUP((1-MIN(TblMili[[#This Row],[Smithies]]*smithy_bonus,smithy_bonus_cap) + tech_3_5*TblTech[[#This Row],[3-5]] + tech_5_3*TblTech[[#This Row],[5-3]] + tech_5_5*TblTech[[#This Row],[5-5]])*spec_op_plat,0)</f>
        <v>300</v>
      </c>
      <c r="BJ27" s="69" t="n">
        <f aca="false">ROUNDUP(IF(race="Gnome",1,(1-MIN(TblMili[[#This Row],[Smithies]]*smithy_bonus,smithy_bonus_cap) + tech_3_5*TblTech[[#This Row],[3-5]] + tech_5_3*TblTech[[#This Row],[5-3]] + tech_5_5*TblTech[[#This Row],[5-5]]))*spec_op_ore,0)</f>
        <v>0</v>
      </c>
      <c r="BK27" s="69" t="n">
        <f aca="false">ROUNDUP((1-MIN(TblMili[[#This Row],[Smithies]]*smithy_bonus,smithy_bonus_cap) + tech_3_5*TblTech[[#This Row],[3-5]] + tech_5_3*TblTech[[#This Row],[5-3]] + tech_5_5*TblTech[[#This Row],[5-5]])*spec_dp_plat,0)</f>
        <v>300</v>
      </c>
      <c r="BL27" s="69" t="n">
        <f aca="false">ROUNDUP(IF(race="Gnome",1,(1-MIN(TblMili[[#This Row],[Smithies]]*smithy_bonus,smithy_bonus_cap) + tech_3_5*TblTech[[#This Row],[3-5]] + tech_5_3*TblTech[[#This Row],[5-3]] + tech_5_5*TblTech[[#This Row],[5-5]]))*spec_dp_ore,0)</f>
        <v>0</v>
      </c>
      <c r="BM27" s="69" t="n">
        <f aca="false">ROUNDUP((1-MIN(TblMili[[#This Row],[Smithies]]*smithy_bonus,smithy_bonus_cap) + tech_3_5*TblTech[[#This Row],[3-5]] + tech_5_3*TblTech[[#This Row],[5-3]] + tech_5_5*TblTech[[#This Row],[5-5]])*elite1_plat,0)</f>
        <v>925</v>
      </c>
      <c r="BN27" s="69" t="n">
        <f aca="false">ROUNDUP(IF(race="Gnome",1,(1-MIN(TblMili[[#This Row],[Smithies]]*smithy_bonus,smithy_bonus_cap) + tech_3_5*TblTech[[#This Row],[3-5]] + tech_5_3*TblTech[[#This Row],[5-3]] + tech_5_5*TblTech[[#This Row],[5-5]]))*elite1_ore,0)</f>
        <v>0</v>
      </c>
      <c r="BO27" s="69" t="n">
        <f aca="false">ROUNDUP((1-MIN(TblMili[[#This Row],[Smithies]]*smithy_bonus,smithy_bonus_cap) + tech_3_5*TblTech[[#This Row],[3-5]] + tech_5_3*TblTech[[#This Row],[5-3]] + tech_5_5*TblTech[[#This Row],[5-5]])*elite2_plat,0)</f>
        <v>950</v>
      </c>
      <c r="BP27" s="69" t="n">
        <f aca="false">ROUNDUP(IF(race="Gnome",1,(1-MIN(TblMili[[#This Row],[Smithies]]*smithy_bonus,smithy_bonus_cap) + tech_3_5*TblTech[[#This Row],[3-5]] + tech_5_3*TblTech[[#This Row],[5-3]] + tech_5_5*TblTech[[#This Row],[5-5]]))*elite2_ore,0)</f>
        <v>0</v>
      </c>
      <c r="BQ27" s="69" t="n">
        <f aca="false">ROUNDUP((1-MIN(ROUND(fh_spy_cost_red*TblMili[[#This Row],[FH''s]],4),fh_spy_cost_cap)+ tech_1_9*TblTech[[#This Row],[1-9]] + tech_9_1*TblTech[[#This Row],[9-1]])*spy_plat,0)</f>
        <v>500</v>
      </c>
      <c r="BR27" s="69" t="n">
        <f aca="false">ROUNDUP((1-MIN(ROUND(fh_spy_cost_red*TblMili[[#This Row],[FH''s]],4),fh_spy_cost_cap)+ tech_1_9*TblTech[[#This Row],[1-9]] + tech_9_1*TblTech[[#This Row],[9-1]])*archspy_plat,0)</f>
        <v>1000</v>
      </c>
      <c r="BS27" s="69" t="n">
        <f aca="false">ROUNDUP((1-MIN(ROUND(wg_wiz_cost_bonus*TblMili[[#This Row],[WG''s]],4),wg_wiz_cost_cap) + tech_1_9_2*TblTech[[#This Row],[1-9]] + tech_9_1_2*TblTech[[#This Row],[9-1]])*wizard_plat,0)</f>
        <v>500</v>
      </c>
      <c r="BT27" s="69" t="n">
        <f aca="false">ROUNDUP((1-MIN(ROUND(wg_wiz_cost_bonus*TblMili[[#This Row],[WG''s]],4),wg_wiz_cost_cap) + tech_1_9_2*TblTech[[#This Row],[1-9]] + tech_9_1_2*TblTech[[#This Row],[9-1]])*archmage_plat,0)</f>
        <v>1000</v>
      </c>
      <c r="BU27" s="132"/>
      <c r="BV27" s="150" t="e">
        <f aca="false">TblConstr[[#This Row],[Homeland]]/TblConstr[[#This Row],[Land]]</f>
        <v>#VALUE!</v>
      </c>
      <c r="BW27" s="150" t="n">
        <f aca="false">TblMili[[#This Row],[WG''s]]</f>
        <v>0</v>
      </c>
      <c r="BX27" s="288" t="e">
        <f aca="false">IF(mystic_cap="none",TblMili[[#This Row],[Hill]]/mystic_bonus,MIN(mystic_cap,TblMili[[#This Row],[Hill]]/mystic_bonus))</f>
        <v>#VALUE!</v>
      </c>
      <c r="BY27" s="288" t="e">
        <f aca="false">IF(druid_op_cap="none",TblMili[[#This Row],[Hill]]/druid_op_bonus,MIN(druid_op_cap,TblMili[[#This Row],[Hill]]/druid_op_bonus))</f>
        <v>#VALUE!</v>
      </c>
      <c r="BZ27" s="288" t="e">
        <f aca="false">IF(druid_dp_cap="none",TblMili[[#This Row],[Hill]]/druid_dp_bonus,MIN(druid_dp_cap,TblMili[[#This Row],[Hill]]/druid_dp_bonus))</f>
        <v>#VALUE!</v>
      </c>
      <c r="CA27" s="288" t="e">
        <f aca="false">MIN(dryad_cap,TblMili[[#This Row],[Hill]]/dryad_bonus)</f>
        <v>#VALUE!</v>
      </c>
      <c r="CB27" s="288" t="e">
        <f aca="false">MIN(rocka_cap,TblMili[[#This Row],[Hill]]/rocka_bonus)</f>
        <v>#VALUE!</v>
      </c>
      <c r="CC27" s="288" t="n">
        <f aca="false">MIN(adept_op_cap,TblMili[[#This Row],[WG]]/adept_op_bonus)</f>
        <v>0</v>
      </c>
      <c r="CD27" s="288" t="n">
        <f aca="false">MIN(adept_dp_cap,TblMili[[#This Row],[WG]]/adept_dp_bonus)</f>
        <v>0</v>
      </c>
      <c r="CE27" s="69" t="n">
        <f aca="false">MIN(TblMili[[#This Row],[Unit 3]],TblMili[[#This Row],[Unit 2]])*2</f>
        <v>0</v>
      </c>
      <c r="CF27" s="69" t="n">
        <f aca="false">MIN(TblMili[[#This Row],[Unit 1]],TblMili[[#This Row],[Unit 4]])*2</f>
        <v>0</v>
      </c>
      <c r="CG27" s="288" t="e">
        <f aca="false">MIN(frost_mage_cap,TblMili[[#This Row],[Hill]]/frost_mage_bonus)</f>
        <v>#VALUE!</v>
      </c>
      <c r="CH27" s="151" t="n">
        <f aca="false">MIN(ice_elem_cap,TblMili[[#This Row],[Raw (2)]]*ice_elem_bonus)</f>
        <v>0</v>
      </c>
      <c r="CI27" s="288" t="n">
        <f aca="false">MIN(bone_breaker_cap,250/bone_breaker_bonus)</f>
        <v>0.833333333333333</v>
      </c>
      <c r="CJ27" s="288" t="e">
        <f aca="false">MIN(nox_nightshade_cap,TblConstr[[#This Row],[Homeland]]/TblConstr[[#This Row],[Land]]/nox_nightshade_swamp_bonus)</f>
        <v>#VALUE!</v>
      </c>
      <c r="CK27" s="289"/>
      <c r="CL27" s="289"/>
      <c r="CM27" s="289"/>
      <c r="CN27" s="288" t="e">
        <f aca="false">MIN(6,TblMili[[#This Row],[Mystic]]+Races!$F$19)*1.8 +  IF(TblMili[[#This Row],[Mystic]]+Races!$F$19&gt;6,(TblMili[[#This Row],[Mystic]]+Races!$F$19-6)*0.2,0) - Races!$I$19</f>
        <v>#VALUE!</v>
      </c>
      <c r="CO27" s="288" t="e">
        <f aca="false">1.8 * MIN(MAX(TblMili[[#This Row],[Druid (op)]]+Races!$E$20,TblMili[[#This Row],[Druid (dp)]]+Races!$F$20),6)  +  0.45 * MIN(MIN(TblMili[[#This Row],[Druid (op)]]+Races!$E$20,TblMili[[#This Row],[Druid (dp)]]+Races!$F$20),6)  +  0.2 * ( MAX(TblMili[[#This Row],[Druid (op)]]+Races!$E$20-6,0) + MAX(TblMili[[#This Row],[Druid (dp)]]+Races!$F$20-6,0) )  -  Races!$I$20</f>
        <v>#VALUE!</v>
      </c>
      <c r="CP27" s="69" t="e">
        <f aca="false">TblMili[[#This Row],[Mystic bonus]]*TblMili[[#This Row],[Unit 3]]+TblMili[[#This Row],[Druid bonus]]*TblMili[[#This Row],[Unit 4]]</f>
        <v>#VALUE!</v>
      </c>
      <c r="CQ27" s="148" t="e">
        <f aca="false">MIN(6,TblMili[[#This Row],[Dryad]]+Races!$F$35)*1.8 +  IF(TblMili[[#This Row],[Dryad]]+Races!$F$35&gt;6,(TblMili[[#This Row],[Dryad]]+Races!$F$35-6)*0.2,0) - Races!$I$19</f>
        <v>#VALUE!</v>
      </c>
      <c r="CR27" s="69" t="e">
        <f aca="false">sylvan*(TblMili[[#This Row],[Mystic bonus]]*TblMili[[#This Row],[Unit 3]])</f>
        <v>#VALUE!</v>
      </c>
      <c r="CS27" s="148" t="e">
        <f aca="false">1.8 * MIN(MAX(Races!$E$27,TblMili[[#This Row],[Rockapult]]+Races!$F$27),6)  +  0.45 * MIN(MIN(Races!$E$27,TblMili[[#This Row],[Rockapult]]+Races!$F$27),6)  +  0.2 * ( MAX(Races!$E$27-6,0) + MAX(TblMili[[#This Row],[Rockapult]]+Races!$F$27-6,0) )  -  Races!$I$20</f>
        <v>#VALUE!</v>
      </c>
      <c r="CT27" s="69" t="e">
        <f aca="false">gnome*(TblMili[[#This Row],[Rockapult bonus]]*TblMili[[#This Row],[Unit 3]])</f>
        <v>#VALUE!</v>
      </c>
      <c r="CU27" s="148" t="n">
        <f aca="false">1.8 * MIN(MAX(TblMili[[#This Row],[Spellblade]]+Races!$E$47,TblMili[[#This Row],[Adept-DP]]+Races!$F$47),6)  +  0.45 * MIN(MIN(TblMili[[#This Row],[Spellblade]]+Races!$E$47,TblMili[[#This Row],[Adept-DP]]+Races!$F$47),6)  +  0.2 * ( MAX(TblMili[[#This Row],[Spellblade]]+Races!$E$47-6,0) + MAX(TblMili[[#This Row],[Adept-DP]]+Races!$F$47-6,0) )  -  Races!$I$47</f>
        <v>0</v>
      </c>
      <c r="CV27" s="69" t="n">
        <f aca="false">dark_elf*(TblMili[[#This Row],[Adept bonus]]*TblMili[[#This Row],[Unit 3]])</f>
        <v>0</v>
      </c>
      <c r="CW27" s="148" t="e">
        <f aca="false">1.8 * MIN(MAX(TblMili[[#This Row],[Frost Mage]]+Races!$F$71,Races!$E$71),6)  +  0.45 * MIN(MIN(TblMili[[#This Row],[Frost Mage]]+Races!$F$71,Races!$E$71),6)  +  0.2 * ( MAX(TblMili[[#This Row],[Frost Mage]]+Races!$F$71-6,0) + MAX(Races!$E$71-6,0) )  -  Races!$I$71</f>
        <v>#VALUE!</v>
      </c>
      <c r="CX27" s="148" t="n">
        <f aca="false">1.8 * MIN(MAX(TblMili[[#This Row],[Ice Elemental]]+Races!$E$71,Races!$F$71),6)  +  0.45 * MIN(MIN(TblMili[[#This Row],[Ice Elemental]]+Races!$E$71,Races!$F$71),6)  +  0.2 * ( MAX(TblMili[[#This Row],[Ice Elemental]]+Races!$E$71-6,0) + MAX(Races!$F$71-6,0) )  -  Races!$I$71</f>
        <v>0</v>
      </c>
      <c r="CY27" s="69" t="e">
        <f aca="false">TblMili[[#This Row],[Frost Mage bonus]]*TblMili[[#This Row],[Unit 3]]+TblMili[[#This Row],[Ice Elemental bonus]]*TblMili[[#This Row],[Unit 4]]</f>
        <v>#VALUE!</v>
      </c>
      <c r="CZ27" s="290"/>
      <c r="DA27" s="109" t="n">
        <f aca="false">MIN(SUM(TblConstr[[#This Row],[Plain]:[Water]])/TblMili[[#This Row],[Land]]/favorable_terrain_bonus/100,favorable_terrain_max)</f>
        <v>0</v>
      </c>
      <c r="DB27" s="290"/>
      <c r="DC2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7" s="132"/>
      <c r="DE27" s="291" t="n">
        <f aca="false">(TblMili[[#This Row],[Wizards]]+2*TblMili[[#This Row],[Archmages]])/TblConstr[[#This Row],[Land]]</f>
        <v>0</v>
      </c>
      <c r="DF27" s="291" t="n">
        <f aca="false">TblMili[[#This Row],[Raw (2)]]*(1+race_wizard_strength+IF(TblMili[[#This Row],[Hour]]&gt;72,tech_magical_weaponry_wiz*TblTech[[#This Row],[3-5]],0))</f>
        <v>0</v>
      </c>
    </row>
    <row r="28" customFormat="false" ht="12.75" hidden="false" customHeight="false" outlineLevel="0" collapsed="false">
      <c r="A28" s="128" t="n">
        <f aca="false">TblRezone[[#This Row],[Hour]]</f>
        <v>25</v>
      </c>
      <c r="B28" s="282" t="n">
        <f aca="false">SUM(TblMili[[#This Row],[Unit 1]:[Archmages]])+SUM(OFFSET(TblMili[[#This Row],[Train Unit 1]],-8,0):TblMili[[#This Row],[Train Unit 2]]) + SUM(OFFSET(TblMili[[#This Row],[Train Unit 3]],-11,0):TblMili[[#This Row],[Train AM]]) + TblMili[[#This Row],[Draftees]]</f>
        <v>172</v>
      </c>
      <c r="C28" s="150" t="n">
        <f aca="false">TblPop[[#This Row],[Military%]]</f>
        <v>0.0457203615098352</v>
      </c>
      <c r="D28" s="132"/>
      <c r="E28" s="151" t="n">
        <f aca="false">OFFSET(TblMili[[#This Row],[Unit 1]],-1,0) + OFFSET(TblMili[[#This Row],[Train Unit 1]],-9,0) - TblMili[[#This Row],[Release Unit 1]]</f>
        <v>0</v>
      </c>
      <c r="F28" s="151" t="n">
        <f aca="false">OFFSET(TblMili[[#This Row],[Unit 2]],-1,0) + OFFSET(TblMili[[#This Row],[Train Unit 2]],-9,0)-TblMili[[#This Row],[Release Unit 2]]</f>
        <v>0</v>
      </c>
      <c r="G28" s="151" t="n">
        <f aca="false">OFFSET(TblMili[[#This Row],[Unit 3]],-1,0) + OFFSET(TblMili[[#This Row],[Train Unit 3]],-12,0)-TblMili[[#This Row],[Release Unit 3]]</f>
        <v>0</v>
      </c>
      <c r="H28" s="151" t="n">
        <f aca="false">OFFSET(TblMili[[#This Row],[Unit 4]],-1,0) + OFFSET(TblMili[[#This Row],[Train Unit 4]],-12,0)-TblMili[[#This Row],[Release Unit 4]]</f>
        <v>0</v>
      </c>
      <c r="I28" s="151" t="n">
        <f aca="false">OFFSET(TblMili[[#This Row],[Spies]],-1,0) + OFFSET(TblMili[[#This Row],[Train Spies]],-12,0) - TblMili[[#This Row],[Release Spies]]-TblMili[[#This Row],[Train AS]]</f>
        <v>0</v>
      </c>
      <c r="J28" s="151" t="n">
        <f aca="false">OFFSET(TblMili[[#This Row],[Archspies]],-1,0) + OFFSET(TblMili[[#This Row],[Train AS]],-12,0) - TblMili[[#This Row],[Release AS]]</f>
        <v>0</v>
      </c>
      <c r="K28" s="151" t="n">
        <f aca="false">OFFSET(TblMili[[#This Row],[Wizards]],-1,0) + OFFSET(TblMili[[#This Row],[Train Wiz]],-12,0) - TblMili[[#This Row],[Release Wizards]]-TblMili[[#This Row],[Train AM]]</f>
        <v>0</v>
      </c>
      <c r="L28" s="151" t="n">
        <f aca="false">OFFSET(TblMili[[#This Row],[Archmages]],-1,0) + OFFSET(TblMili[[#This Row],[Train AM]],-12,0) - TblMili[[#This Row],[Release AM]]</f>
        <v>0</v>
      </c>
      <c r="M28" s="132"/>
      <c r="N28" s="69" t="e">
        <f aca="false">TblProd[[#This Row],[Networth]]</f>
        <v>#VALUE!</v>
      </c>
      <c r="O28" s="132"/>
      <c r="P2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8" s="285" t="e">
        <f aca="false">TblMili[[#This Row],[Raw]]*(1+TblMili[[#This Row],[Mods_Off]])</f>
        <v>#VALUE!</v>
      </c>
      <c r="S2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8" s="285" t="e">
        <f aca="false">TblMili[[#This Row],[Non Draft]]+TblMili[[#This Row],[Draftees]]</f>
        <v>#VALUE!</v>
      </c>
      <c r="U28" s="286" t="n">
        <f aca="false">race_defense + TblImps[[#This Row],[Walls]] + ROUND( MIN(gt_bonus*TblConstr[[#This Row],[Tot GT]]/TblConstr[[#This Row],[Land]],gt_bonus_cap), 4) + IF(TblMagic[[#This Row],[Active Howling]]&gt;0,howling_dp_bonus,IF(TblMagic[[#This Row],[Active Ares Call]]&gt;0,ares_call_bonus))</f>
        <v>0</v>
      </c>
      <c r="V28" s="274" t="e">
        <f aca="false">TblMili[[#This Row],[Non Draft]] * (1 + TblMili[[#This Row],[Mods_Def]])</f>
        <v>#VALUE!</v>
      </c>
      <c r="W28" s="285" t="e">
        <f aca="false">TblMili[[#This Row],[Draft]] * (1 + TblMili[[#This Row],[Mods_Def]])</f>
        <v>#VALUE!</v>
      </c>
      <c r="X28" s="285" t="n">
        <f aca="false">TblConstr[[#This Row],[Land]]</f>
        <v>299</v>
      </c>
      <c r="Y28" s="287"/>
      <c r="Z28" s="109" t="n">
        <f aca="false">IF(TblMili[[#This Row],[Set]]&lt;&gt;"",TblMili[[#This Row],[Set]],OFFSET(TblMili[[#This Row],[Draftrate]],-1,0))</f>
        <v>0.9</v>
      </c>
      <c r="AA28" s="69" t="n">
        <f aca="false">OFFSET(TblMili[[#This Row],[Draftees]],-1,0)+OFFSET(TblPop[[#This Row],[Draft Growth]],-1,0) - SUM(TblMili[[#This Row],[Train Unit 1]:[Train Spies]],TblMili[[#This Row],[Train Wiz]]) - TblMili[[#This Row],[Release Draft]] + SUM(TblMili[[#This Row],[Release Unit 1]:[Release AM]]) - TblExplore[[#This Row],[Draftees (2)]]</f>
        <v>172</v>
      </c>
      <c r="AB28" s="146"/>
      <c r="AC28" s="130" t="n">
        <f aca="false">(TblConstr[[#This Row],[Tot Smi]]+TblConstr[[#This Row],[Dest Smi]])/(TblConstr[[#This Row],[Land]]-TblExplore[[#This Row],[Land Bonus]]*20)</f>
        <v>0</v>
      </c>
      <c r="AD28" s="128"/>
      <c r="AE28" s="282" t="n">
        <f aca="false">TblMili[[#This Row],[Hour]]</f>
        <v>25</v>
      </c>
      <c r="AF28" s="129" t="n">
        <f aca="false">TblExplore[[#This Row],[Time]]</f>
        <v>45430.75</v>
      </c>
      <c r="AG28" s="182"/>
      <c r="AH28" s="182"/>
      <c r="AI28" s="182"/>
      <c r="AJ28" s="182"/>
      <c r="AK28" s="182"/>
      <c r="AL28" s="182"/>
      <c r="AM28" s="182"/>
      <c r="AN28" s="182"/>
      <c r="AO28" s="132"/>
      <c r="AP28" s="69" t="n">
        <f aca="false">TblProd[[#This Row],[Platinum]]</f>
        <v>42902</v>
      </c>
      <c r="AQ28" s="69" t="n">
        <f aca="false">INDEX(TblProd[[#Headers],[Lumber]]:TblProd[[#This Row],[Ore]],COUNTA(TblProd[[#Headers],[Lumber]]:TblProd[[#This Row],[Lumber]]),MATCH(Military!$AQ$2,TblProd[[#Headers],[Lumber]:[Ore]],0))</f>
        <v>0</v>
      </c>
      <c r="AR2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69" t="n">
        <f aca="false">TblMili[[#This Row],[Train Unit 1]]*TblMili[[#This Row],[OP Ore]]+TblMili[[#This Row],[Train Unit 2]]*TblMili[[#This Row],[DP Ore]]+TblMili[[#This Row],[Train Unit 3]]*TblMili[[#This Row],[E1 Ore]]+TblMili[[#This Row],[Train Unit 4]]*TblMili[[#This Row],[E2 Ore]]</f>
        <v>0</v>
      </c>
      <c r="AT28" s="132" t="n">
        <f aca="false">TblMili[[#This Row],[Hour]]</f>
        <v>25</v>
      </c>
      <c r="AU28" s="144" t="n">
        <f aca="false">TblMili[[#This Row],[Time]]</f>
        <v>45430.75</v>
      </c>
      <c r="AV28" s="69" t="n">
        <f aca="false">TblMili[[#This Row],[Draftees]]</f>
        <v>172</v>
      </c>
      <c r="AW28" s="182"/>
      <c r="AX28" s="182"/>
      <c r="AY28" s="182"/>
      <c r="AZ28" s="182"/>
      <c r="BA28" s="182"/>
      <c r="BB28" s="182"/>
      <c r="BC28" s="182"/>
      <c r="BD28" s="182"/>
      <c r="BE28" s="182"/>
      <c r="BF28" s="132"/>
      <c r="BG28" s="150" t="n">
        <f aca="false">TblConstr[[#This Row],[Tot WG]]/TblConstr[[#This Row],[Land]]</f>
        <v>0</v>
      </c>
      <c r="BH28" s="150" t="n">
        <f aca="false">TblConstr[[#This Row],[Tot Hav]]/TblConstr[[#This Row],[Land]]</f>
        <v>0</v>
      </c>
      <c r="BI28" s="69" t="n">
        <f aca="false">ROUNDUP((1-MIN(TblMili[[#This Row],[Smithies]]*smithy_bonus,smithy_bonus_cap) + tech_3_5*TblTech[[#This Row],[3-5]] + tech_5_3*TblTech[[#This Row],[5-3]] + tech_5_5*TblTech[[#This Row],[5-5]])*spec_op_plat,0)</f>
        <v>300</v>
      </c>
      <c r="BJ28" s="69" t="n">
        <f aca="false">ROUNDUP(IF(race="Gnome",1,(1-MIN(TblMili[[#This Row],[Smithies]]*smithy_bonus,smithy_bonus_cap) + tech_3_5*TblTech[[#This Row],[3-5]] + tech_5_3*TblTech[[#This Row],[5-3]] + tech_5_5*TblTech[[#This Row],[5-5]]))*spec_op_ore,0)</f>
        <v>0</v>
      </c>
      <c r="BK28" s="69" t="n">
        <f aca="false">ROUNDUP((1-MIN(TblMili[[#This Row],[Smithies]]*smithy_bonus,smithy_bonus_cap) + tech_3_5*TblTech[[#This Row],[3-5]] + tech_5_3*TblTech[[#This Row],[5-3]] + tech_5_5*TblTech[[#This Row],[5-5]])*spec_dp_plat,0)</f>
        <v>300</v>
      </c>
      <c r="BL28" s="69" t="n">
        <f aca="false">ROUNDUP(IF(race="Gnome",1,(1-MIN(TblMili[[#This Row],[Smithies]]*smithy_bonus,smithy_bonus_cap) + tech_3_5*TblTech[[#This Row],[3-5]] + tech_5_3*TblTech[[#This Row],[5-3]] + tech_5_5*TblTech[[#This Row],[5-5]]))*spec_dp_ore,0)</f>
        <v>0</v>
      </c>
      <c r="BM28" s="69" t="n">
        <f aca="false">ROUNDUP((1-MIN(TblMili[[#This Row],[Smithies]]*smithy_bonus,smithy_bonus_cap) + tech_3_5*TblTech[[#This Row],[3-5]] + tech_5_3*TblTech[[#This Row],[5-3]] + tech_5_5*TblTech[[#This Row],[5-5]])*elite1_plat,0)</f>
        <v>925</v>
      </c>
      <c r="BN28" s="69" t="n">
        <f aca="false">ROUNDUP(IF(race="Gnome",1,(1-MIN(TblMili[[#This Row],[Smithies]]*smithy_bonus,smithy_bonus_cap) + tech_3_5*TblTech[[#This Row],[3-5]] + tech_5_3*TblTech[[#This Row],[5-3]] + tech_5_5*TblTech[[#This Row],[5-5]]))*elite1_ore,0)</f>
        <v>0</v>
      </c>
      <c r="BO28" s="69" t="n">
        <f aca="false">ROUNDUP((1-MIN(TblMili[[#This Row],[Smithies]]*smithy_bonus,smithy_bonus_cap) + tech_3_5*TblTech[[#This Row],[3-5]] + tech_5_3*TblTech[[#This Row],[5-3]] + tech_5_5*TblTech[[#This Row],[5-5]])*elite2_plat,0)</f>
        <v>950</v>
      </c>
      <c r="BP28" s="69" t="n">
        <f aca="false">ROUNDUP(IF(race="Gnome",1,(1-MIN(TblMili[[#This Row],[Smithies]]*smithy_bonus,smithy_bonus_cap) + tech_3_5*TblTech[[#This Row],[3-5]] + tech_5_3*TblTech[[#This Row],[5-3]] + tech_5_5*TblTech[[#This Row],[5-5]]))*elite2_ore,0)</f>
        <v>0</v>
      </c>
      <c r="BQ28" s="69" t="n">
        <f aca="false">ROUNDUP((1-MIN(ROUND(fh_spy_cost_red*TblMili[[#This Row],[FH''s]],4),fh_spy_cost_cap)+ tech_1_9*TblTech[[#This Row],[1-9]] + tech_9_1*TblTech[[#This Row],[9-1]])*spy_plat,0)</f>
        <v>500</v>
      </c>
      <c r="BR28" s="69" t="n">
        <f aca="false">ROUNDUP((1-MIN(ROUND(fh_spy_cost_red*TblMili[[#This Row],[FH''s]],4),fh_spy_cost_cap)+ tech_1_9*TblTech[[#This Row],[1-9]] + tech_9_1*TblTech[[#This Row],[9-1]])*archspy_plat,0)</f>
        <v>1000</v>
      </c>
      <c r="BS28" s="69" t="n">
        <f aca="false">ROUNDUP((1-MIN(ROUND(wg_wiz_cost_bonus*TblMili[[#This Row],[WG''s]],4),wg_wiz_cost_cap) + tech_1_9_2*TblTech[[#This Row],[1-9]] + tech_9_1_2*TblTech[[#This Row],[9-1]])*wizard_plat,0)</f>
        <v>500</v>
      </c>
      <c r="BT28" s="69" t="n">
        <f aca="false">ROUNDUP((1-MIN(ROUND(wg_wiz_cost_bonus*TblMili[[#This Row],[WG''s]],4),wg_wiz_cost_cap) + tech_1_9_2*TblTech[[#This Row],[1-9]] + tech_9_1_2*TblTech[[#This Row],[9-1]])*archmage_plat,0)</f>
        <v>1000</v>
      </c>
      <c r="BU28" s="132"/>
      <c r="BV28" s="150" t="e">
        <f aca="false">TblConstr[[#This Row],[Homeland]]/TblConstr[[#This Row],[Land]]</f>
        <v>#VALUE!</v>
      </c>
      <c r="BW28" s="150" t="n">
        <f aca="false">TblMili[[#This Row],[WG''s]]</f>
        <v>0</v>
      </c>
      <c r="BX28" s="288" t="e">
        <f aca="false">IF(mystic_cap="none",TblMili[[#This Row],[Hill]]/mystic_bonus,MIN(mystic_cap,TblMili[[#This Row],[Hill]]/mystic_bonus))</f>
        <v>#VALUE!</v>
      </c>
      <c r="BY28" s="288" t="e">
        <f aca="false">IF(druid_op_cap="none",TblMili[[#This Row],[Hill]]/druid_op_bonus,MIN(druid_op_cap,TblMili[[#This Row],[Hill]]/druid_op_bonus))</f>
        <v>#VALUE!</v>
      </c>
      <c r="BZ28" s="288" t="e">
        <f aca="false">IF(druid_dp_cap="none",TblMili[[#This Row],[Hill]]/druid_dp_bonus,MIN(druid_dp_cap,TblMili[[#This Row],[Hill]]/druid_dp_bonus))</f>
        <v>#VALUE!</v>
      </c>
      <c r="CA28" s="288" t="e">
        <f aca="false">MIN(dryad_cap,TblMili[[#This Row],[Hill]]/dryad_bonus)</f>
        <v>#VALUE!</v>
      </c>
      <c r="CB28" s="288" t="e">
        <f aca="false">MIN(rocka_cap,TblMili[[#This Row],[Hill]]/rocka_bonus)</f>
        <v>#VALUE!</v>
      </c>
      <c r="CC28" s="288" t="n">
        <f aca="false">MIN(adept_op_cap,TblMili[[#This Row],[WG]]/adept_op_bonus)</f>
        <v>0</v>
      </c>
      <c r="CD28" s="288" t="n">
        <f aca="false">MIN(adept_dp_cap,TblMili[[#This Row],[WG]]/adept_dp_bonus)</f>
        <v>0</v>
      </c>
      <c r="CE28" s="69" t="n">
        <f aca="false">MIN(TblMili[[#This Row],[Unit 3]],TblMili[[#This Row],[Unit 2]])*2</f>
        <v>0</v>
      </c>
      <c r="CF28" s="69" t="n">
        <f aca="false">MIN(TblMili[[#This Row],[Unit 1]],TblMili[[#This Row],[Unit 4]])*2</f>
        <v>0</v>
      </c>
      <c r="CG28" s="288" t="e">
        <f aca="false">MIN(frost_mage_cap,TblMili[[#This Row],[Hill]]/frost_mage_bonus)</f>
        <v>#VALUE!</v>
      </c>
      <c r="CH28" s="151" t="n">
        <f aca="false">MIN(ice_elem_cap,TblMili[[#This Row],[Raw (2)]]*ice_elem_bonus)</f>
        <v>0</v>
      </c>
      <c r="CI28" s="288" t="n">
        <f aca="false">MIN(bone_breaker_cap,250/bone_breaker_bonus)</f>
        <v>0.833333333333333</v>
      </c>
      <c r="CJ28" s="288" t="e">
        <f aca="false">MIN(nox_nightshade_cap,TblConstr[[#This Row],[Homeland]]/TblConstr[[#This Row],[Land]]/nox_nightshade_swamp_bonus)</f>
        <v>#VALUE!</v>
      </c>
      <c r="CK28" s="289"/>
      <c r="CL28" s="289"/>
      <c r="CM28" s="289"/>
      <c r="CN28" s="288" t="e">
        <f aca="false">MIN(6,TblMili[[#This Row],[Mystic]]+Races!$F$19)*1.8 +  IF(TblMili[[#This Row],[Mystic]]+Races!$F$19&gt;6,(TblMili[[#This Row],[Mystic]]+Races!$F$19-6)*0.2,0) - Races!$I$19</f>
        <v>#VALUE!</v>
      </c>
      <c r="CO28" s="288" t="e">
        <f aca="false">1.8 * MIN(MAX(TblMili[[#This Row],[Druid (op)]]+Races!$E$20,TblMili[[#This Row],[Druid (dp)]]+Races!$F$20),6)  +  0.45 * MIN(MIN(TblMili[[#This Row],[Druid (op)]]+Races!$E$20,TblMili[[#This Row],[Druid (dp)]]+Races!$F$20),6)  +  0.2 * ( MAX(TblMili[[#This Row],[Druid (op)]]+Races!$E$20-6,0) + MAX(TblMili[[#This Row],[Druid (dp)]]+Races!$F$20-6,0) )  -  Races!$I$20</f>
        <v>#VALUE!</v>
      </c>
      <c r="CP28" s="69" t="e">
        <f aca="false">TblMili[[#This Row],[Mystic bonus]]*TblMili[[#This Row],[Unit 3]]+TblMili[[#This Row],[Druid bonus]]*TblMili[[#This Row],[Unit 4]]</f>
        <v>#VALUE!</v>
      </c>
      <c r="CQ28" s="148" t="e">
        <f aca="false">MIN(6,TblMili[[#This Row],[Dryad]]+Races!$F$35)*1.8 +  IF(TblMili[[#This Row],[Dryad]]+Races!$F$35&gt;6,(TblMili[[#This Row],[Dryad]]+Races!$F$35-6)*0.2,0) - Races!$I$19</f>
        <v>#VALUE!</v>
      </c>
      <c r="CR28" s="69" t="e">
        <f aca="false">sylvan*(TblMili[[#This Row],[Mystic bonus]]*TblMili[[#This Row],[Unit 3]])</f>
        <v>#VALUE!</v>
      </c>
      <c r="CS28" s="148" t="e">
        <f aca="false">1.8 * MIN(MAX(Races!$E$27,TblMili[[#This Row],[Rockapult]]+Races!$F$27),6)  +  0.45 * MIN(MIN(Races!$E$27,TblMili[[#This Row],[Rockapult]]+Races!$F$27),6)  +  0.2 * ( MAX(Races!$E$27-6,0) + MAX(TblMili[[#This Row],[Rockapult]]+Races!$F$27-6,0) )  -  Races!$I$20</f>
        <v>#VALUE!</v>
      </c>
      <c r="CT28" s="69" t="e">
        <f aca="false">gnome*(TblMili[[#This Row],[Rockapult bonus]]*TblMili[[#This Row],[Unit 3]])</f>
        <v>#VALUE!</v>
      </c>
      <c r="CU28" s="148" t="n">
        <f aca="false">1.8 * MIN(MAX(TblMili[[#This Row],[Spellblade]]+Races!$E$47,TblMili[[#This Row],[Adept-DP]]+Races!$F$47),6)  +  0.45 * MIN(MIN(TblMili[[#This Row],[Spellblade]]+Races!$E$47,TblMili[[#This Row],[Adept-DP]]+Races!$F$47),6)  +  0.2 * ( MAX(TblMili[[#This Row],[Spellblade]]+Races!$E$47-6,0) + MAX(TblMili[[#This Row],[Adept-DP]]+Races!$F$47-6,0) )  -  Races!$I$47</f>
        <v>0</v>
      </c>
      <c r="CV28" s="69" t="n">
        <f aca="false">dark_elf*(TblMili[[#This Row],[Adept bonus]]*TblMili[[#This Row],[Unit 3]])</f>
        <v>0</v>
      </c>
      <c r="CW28" s="148" t="e">
        <f aca="false">1.8 * MIN(MAX(TblMili[[#This Row],[Frost Mage]]+Races!$F$71,Races!$E$71),6)  +  0.45 * MIN(MIN(TblMili[[#This Row],[Frost Mage]]+Races!$F$71,Races!$E$71),6)  +  0.2 * ( MAX(TblMili[[#This Row],[Frost Mage]]+Races!$F$71-6,0) + MAX(Races!$E$71-6,0) )  -  Races!$I$71</f>
        <v>#VALUE!</v>
      </c>
      <c r="CX28" s="148" t="n">
        <f aca="false">1.8 * MIN(MAX(TblMili[[#This Row],[Ice Elemental]]+Races!$E$71,Races!$F$71),6)  +  0.45 * MIN(MIN(TblMili[[#This Row],[Ice Elemental]]+Races!$E$71,Races!$F$71),6)  +  0.2 * ( MAX(TblMili[[#This Row],[Ice Elemental]]+Races!$E$71-6,0) + MAX(Races!$F$71-6,0) )  -  Races!$I$71</f>
        <v>0</v>
      </c>
      <c r="CY28" s="69" t="e">
        <f aca="false">TblMili[[#This Row],[Frost Mage bonus]]*TblMili[[#This Row],[Unit 3]]+TblMili[[#This Row],[Ice Elemental bonus]]*TblMili[[#This Row],[Unit 4]]</f>
        <v>#VALUE!</v>
      </c>
      <c r="CZ28" s="290"/>
      <c r="DA28" s="109" t="n">
        <f aca="false">MIN(SUM(TblConstr[[#This Row],[Plain]:[Water]])/TblMili[[#This Row],[Land]]/favorable_terrain_bonus/100,favorable_terrain_max)</f>
        <v>0</v>
      </c>
      <c r="DB28" s="290"/>
      <c r="DC2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8" s="132"/>
      <c r="DE28" s="291" t="n">
        <f aca="false">(TblMili[[#This Row],[Wizards]]+2*TblMili[[#This Row],[Archmages]])/TblConstr[[#This Row],[Land]]</f>
        <v>0</v>
      </c>
      <c r="DF28" s="291" t="n">
        <f aca="false">TblMili[[#This Row],[Raw (2)]]*(1+race_wizard_strength+IF(TblMili[[#This Row],[Hour]]&gt;72,tech_magical_weaponry_wiz*TblTech[[#This Row],[3-5]],0))</f>
        <v>0</v>
      </c>
    </row>
    <row r="29" customFormat="false" ht="12.75" hidden="false" customHeight="false" outlineLevel="0" collapsed="false">
      <c r="A29" s="128" t="n">
        <f aca="false">TblRezone[[#This Row],[Hour]]</f>
        <v>26</v>
      </c>
      <c r="B29" s="282" t="n">
        <f aca="false">SUM(TblMili[[#This Row],[Unit 1]:[Archmages]])+SUM(OFFSET(TblMili[[#This Row],[Train Unit 1]],-8,0):TblMili[[#This Row],[Train Unit 2]]) + SUM(OFFSET(TblMili[[#This Row],[Train Unit 3]],-11,0):TblMili[[#This Row],[Train AM]]) + TblMili[[#This Row],[Draftees]]</f>
        <v>208</v>
      </c>
      <c r="C29" s="150" t="n">
        <f aca="false">TblPop[[#This Row],[Military%]]</f>
        <v>0.051715564395823</v>
      </c>
      <c r="D29" s="132"/>
      <c r="E29" s="151" t="n">
        <f aca="false">OFFSET(TblMili[[#This Row],[Unit 1]],-1,0) + OFFSET(TblMili[[#This Row],[Train Unit 1]],-9,0) - TblMili[[#This Row],[Release Unit 1]]</f>
        <v>0</v>
      </c>
      <c r="F29" s="151" t="n">
        <f aca="false">OFFSET(TblMili[[#This Row],[Unit 2]],-1,0) + OFFSET(TblMili[[#This Row],[Train Unit 2]],-9,0)-TblMili[[#This Row],[Release Unit 2]]</f>
        <v>0</v>
      </c>
      <c r="G29" s="151" t="n">
        <f aca="false">OFFSET(TblMili[[#This Row],[Unit 3]],-1,0) + OFFSET(TblMili[[#This Row],[Train Unit 3]],-12,0)-TblMili[[#This Row],[Release Unit 3]]</f>
        <v>0</v>
      </c>
      <c r="H29" s="151" t="n">
        <f aca="false">OFFSET(TblMili[[#This Row],[Unit 4]],-1,0) + OFFSET(TblMili[[#This Row],[Train Unit 4]],-12,0)-TblMili[[#This Row],[Release Unit 4]]</f>
        <v>0</v>
      </c>
      <c r="I29" s="151" t="n">
        <f aca="false">OFFSET(TblMili[[#This Row],[Spies]],-1,0) + OFFSET(TblMili[[#This Row],[Train Spies]],-12,0) - TblMili[[#This Row],[Release Spies]]-TblMili[[#This Row],[Train AS]]</f>
        <v>0</v>
      </c>
      <c r="J29" s="151" t="n">
        <f aca="false">OFFSET(TblMili[[#This Row],[Archspies]],-1,0) + OFFSET(TblMili[[#This Row],[Train AS]],-12,0) - TblMili[[#This Row],[Release AS]]</f>
        <v>0</v>
      </c>
      <c r="K29" s="151" t="n">
        <f aca="false">OFFSET(TblMili[[#This Row],[Wizards]],-1,0) + OFFSET(TblMili[[#This Row],[Train Wiz]],-12,0) - TblMili[[#This Row],[Release Wizards]]-TblMili[[#This Row],[Train AM]]</f>
        <v>0</v>
      </c>
      <c r="L29" s="151" t="n">
        <f aca="false">OFFSET(TblMili[[#This Row],[Archmages]],-1,0) + OFFSET(TblMili[[#This Row],[Train AM]],-12,0) - TblMili[[#This Row],[Release AM]]</f>
        <v>0</v>
      </c>
      <c r="M29" s="132"/>
      <c r="N29" s="69" t="e">
        <f aca="false">TblProd[[#This Row],[Networth]]</f>
        <v>#VALUE!</v>
      </c>
      <c r="O29" s="132"/>
      <c r="P2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9" s="285" t="e">
        <f aca="false">TblMili[[#This Row],[Raw]]*(1+TblMili[[#This Row],[Mods_Off]])</f>
        <v>#VALUE!</v>
      </c>
      <c r="S2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9" s="285" t="e">
        <f aca="false">TblMili[[#This Row],[Non Draft]]+TblMili[[#This Row],[Draftees]]</f>
        <v>#VALUE!</v>
      </c>
      <c r="U29" s="286" t="n">
        <f aca="false">race_defense + TblImps[[#This Row],[Walls]] + ROUND( MIN(gt_bonus*TblConstr[[#This Row],[Tot GT]]/TblConstr[[#This Row],[Land]],gt_bonus_cap), 4) + IF(TblMagic[[#This Row],[Active Howling]]&gt;0,howling_dp_bonus,IF(TblMagic[[#This Row],[Active Ares Call]]&gt;0,ares_call_bonus))</f>
        <v>0</v>
      </c>
      <c r="V29" s="274" t="e">
        <f aca="false">TblMili[[#This Row],[Non Draft]] * (1 + TblMili[[#This Row],[Mods_Def]])</f>
        <v>#VALUE!</v>
      </c>
      <c r="W29" s="285" t="e">
        <f aca="false">TblMili[[#This Row],[Draft]] * (1 + TblMili[[#This Row],[Mods_Def]])</f>
        <v>#VALUE!</v>
      </c>
      <c r="X29" s="285" t="n">
        <f aca="false">TblConstr[[#This Row],[Land]]</f>
        <v>299</v>
      </c>
      <c r="Y29" s="287"/>
      <c r="Z29" s="109" t="n">
        <f aca="false">IF(TblMili[[#This Row],[Set]]&lt;&gt;"",TblMili[[#This Row],[Set]],OFFSET(TblMili[[#This Row],[Draftrate]],-1,0))</f>
        <v>0.9</v>
      </c>
      <c r="AA29" s="69" t="n">
        <f aca="false">OFFSET(TblMili[[#This Row],[Draftees]],-1,0)+OFFSET(TblPop[[#This Row],[Draft Growth]],-1,0) - SUM(TblMili[[#This Row],[Train Unit 1]:[Train Spies]],TblMili[[#This Row],[Train Wiz]]) - TblMili[[#This Row],[Release Draft]] + SUM(TblMili[[#This Row],[Release Unit 1]:[Release AM]]) - TblExplore[[#This Row],[Draftees (2)]]</f>
        <v>208</v>
      </c>
      <c r="AB29" s="146"/>
      <c r="AC29" s="130" t="n">
        <f aca="false">(TblConstr[[#This Row],[Tot Smi]]+TblConstr[[#This Row],[Dest Smi]])/(TblConstr[[#This Row],[Land]]-TblExplore[[#This Row],[Land Bonus]]*20)</f>
        <v>0</v>
      </c>
      <c r="AD29" s="128"/>
      <c r="AE29" s="282" t="n">
        <f aca="false">TblMili[[#This Row],[Hour]]</f>
        <v>26</v>
      </c>
      <c r="AF29" s="129" t="n">
        <f aca="false">TblExplore[[#This Row],[Time]]</f>
        <v>45430.7916666667</v>
      </c>
      <c r="AG29" s="182"/>
      <c r="AH29" s="182"/>
      <c r="AI29" s="182"/>
      <c r="AJ29" s="182"/>
      <c r="AK29" s="182"/>
      <c r="AL29" s="182"/>
      <c r="AM29" s="182"/>
      <c r="AN29" s="182"/>
      <c r="AO29" s="132"/>
      <c r="AP29" s="69" t="n">
        <f aca="false">TblProd[[#This Row],[Platinum]]</f>
        <v>59751</v>
      </c>
      <c r="AQ29" s="69" t="n">
        <f aca="false">INDEX(TblProd[[#Headers],[Lumber]]:TblProd[[#This Row],[Ore]],COUNTA(TblProd[[#Headers],[Lumber]]:TblProd[[#This Row],[Lumber]]),MATCH(Military!$AQ$2,TblProd[[#Headers],[Lumber]:[Ore]],0))</f>
        <v>0</v>
      </c>
      <c r="AR2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69" t="n">
        <f aca="false">TblMili[[#This Row],[Train Unit 1]]*TblMili[[#This Row],[OP Ore]]+TblMili[[#This Row],[Train Unit 2]]*TblMili[[#This Row],[DP Ore]]+TblMili[[#This Row],[Train Unit 3]]*TblMili[[#This Row],[E1 Ore]]+TblMili[[#This Row],[Train Unit 4]]*TblMili[[#This Row],[E2 Ore]]</f>
        <v>0</v>
      </c>
      <c r="AT29" s="132" t="n">
        <f aca="false">TblMili[[#This Row],[Hour]]</f>
        <v>26</v>
      </c>
      <c r="AU29" s="144" t="n">
        <f aca="false">TblMili[[#This Row],[Time]]</f>
        <v>45430.7916666667</v>
      </c>
      <c r="AV29" s="69" t="n">
        <f aca="false">TblMili[[#This Row],[Draftees]]</f>
        <v>208</v>
      </c>
      <c r="AW29" s="182"/>
      <c r="AX29" s="182"/>
      <c r="AY29" s="182"/>
      <c r="AZ29" s="182"/>
      <c r="BA29" s="182"/>
      <c r="BB29" s="182"/>
      <c r="BC29" s="182"/>
      <c r="BD29" s="182"/>
      <c r="BE29" s="182"/>
      <c r="BF29" s="132"/>
      <c r="BG29" s="150" t="n">
        <f aca="false">TblConstr[[#This Row],[Tot WG]]/TblConstr[[#This Row],[Land]]</f>
        <v>0</v>
      </c>
      <c r="BH29" s="150" t="n">
        <f aca="false">TblConstr[[#This Row],[Tot Hav]]/TblConstr[[#This Row],[Land]]</f>
        <v>0</v>
      </c>
      <c r="BI29" s="69" t="n">
        <f aca="false">ROUNDUP((1-MIN(TblMili[[#This Row],[Smithies]]*smithy_bonus,smithy_bonus_cap) + tech_3_5*TblTech[[#This Row],[3-5]] + tech_5_3*TblTech[[#This Row],[5-3]] + tech_5_5*TblTech[[#This Row],[5-5]])*spec_op_plat,0)</f>
        <v>300</v>
      </c>
      <c r="BJ29" s="69" t="n">
        <f aca="false">ROUNDUP(IF(race="Gnome",1,(1-MIN(TblMili[[#This Row],[Smithies]]*smithy_bonus,smithy_bonus_cap) + tech_3_5*TblTech[[#This Row],[3-5]] + tech_5_3*TblTech[[#This Row],[5-3]] + tech_5_5*TblTech[[#This Row],[5-5]]))*spec_op_ore,0)</f>
        <v>0</v>
      </c>
      <c r="BK29" s="69" t="n">
        <f aca="false">ROUNDUP((1-MIN(TblMili[[#This Row],[Smithies]]*smithy_bonus,smithy_bonus_cap) + tech_3_5*TblTech[[#This Row],[3-5]] + tech_5_3*TblTech[[#This Row],[5-3]] + tech_5_5*TblTech[[#This Row],[5-5]])*spec_dp_plat,0)</f>
        <v>300</v>
      </c>
      <c r="BL29" s="69" t="n">
        <f aca="false">ROUNDUP(IF(race="Gnome",1,(1-MIN(TblMili[[#This Row],[Smithies]]*smithy_bonus,smithy_bonus_cap) + tech_3_5*TblTech[[#This Row],[3-5]] + tech_5_3*TblTech[[#This Row],[5-3]] + tech_5_5*TblTech[[#This Row],[5-5]]))*spec_dp_ore,0)</f>
        <v>0</v>
      </c>
      <c r="BM29" s="69" t="n">
        <f aca="false">ROUNDUP((1-MIN(TblMili[[#This Row],[Smithies]]*smithy_bonus,smithy_bonus_cap) + tech_3_5*TblTech[[#This Row],[3-5]] + tech_5_3*TblTech[[#This Row],[5-3]] + tech_5_5*TblTech[[#This Row],[5-5]])*elite1_plat,0)</f>
        <v>925</v>
      </c>
      <c r="BN29" s="69" t="n">
        <f aca="false">ROUNDUP(IF(race="Gnome",1,(1-MIN(TblMili[[#This Row],[Smithies]]*smithy_bonus,smithy_bonus_cap) + tech_3_5*TblTech[[#This Row],[3-5]] + tech_5_3*TblTech[[#This Row],[5-3]] + tech_5_5*TblTech[[#This Row],[5-5]]))*elite1_ore,0)</f>
        <v>0</v>
      </c>
      <c r="BO29" s="69" t="n">
        <f aca="false">ROUNDUP((1-MIN(TblMili[[#This Row],[Smithies]]*smithy_bonus,smithy_bonus_cap) + tech_3_5*TblTech[[#This Row],[3-5]] + tech_5_3*TblTech[[#This Row],[5-3]] + tech_5_5*TblTech[[#This Row],[5-5]])*elite2_plat,0)</f>
        <v>950</v>
      </c>
      <c r="BP29" s="69" t="n">
        <f aca="false">ROUNDUP(IF(race="Gnome",1,(1-MIN(TblMili[[#This Row],[Smithies]]*smithy_bonus,smithy_bonus_cap) + tech_3_5*TblTech[[#This Row],[3-5]] + tech_5_3*TblTech[[#This Row],[5-3]] + tech_5_5*TblTech[[#This Row],[5-5]]))*elite2_ore,0)</f>
        <v>0</v>
      </c>
      <c r="BQ29" s="69" t="n">
        <f aca="false">ROUNDUP((1-MIN(ROUND(fh_spy_cost_red*TblMili[[#This Row],[FH''s]],4),fh_spy_cost_cap)+ tech_1_9*TblTech[[#This Row],[1-9]] + tech_9_1*TblTech[[#This Row],[9-1]])*spy_plat,0)</f>
        <v>500</v>
      </c>
      <c r="BR29" s="69" t="n">
        <f aca="false">ROUNDUP((1-MIN(ROUND(fh_spy_cost_red*TblMili[[#This Row],[FH''s]],4),fh_spy_cost_cap)+ tech_1_9*TblTech[[#This Row],[1-9]] + tech_9_1*TblTech[[#This Row],[9-1]])*archspy_plat,0)</f>
        <v>1000</v>
      </c>
      <c r="BS29" s="69" t="n">
        <f aca="false">ROUNDUP((1-MIN(ROUND(wg_wiz_cost_bonus*TblMili[[#This Row],[WG''s]],4),wg_wiz_cost_cap) + tech_1_9_2*TblTech[[#This Row],[1-9]] + tech_9_1_2*TblTech[[#This Row],[9-1]])*wizard_plat,0)</f>
        <v>500</v>
      </c>
      <c r="BT29" s="69" t="n">
        <f aca="false">ROUNDUP((1-MIN(ROUND(wg_wiz_cost_bonus*TblMili[[#This Row],[WG''s]],4),wg_wiz_cost_cap) + tech_1_9_2*TblTech[[#This Row],[1-9]] + tech_9_1_2*TblTech[[#This Row],[9-1]])*archmage_plat,0)</f>
        <v>1000</v>
      </c>
      <c r="BU29" s="132"/>
      <c r="BV29" s="150" t="e">
        <f aca="false">TblConstr[[#This Row],[Homeland]]/TblConstr[[#This Row],[Land]]</f>
        <v>#VALUE!</v>
      </c>
      <c r="BW29" s="150" t="n">
        <f aca="false">TblMili[[#This Row],[WG''s]]</f>
        <v>0</v>
      </c>
      <c r="BX29" s="288" t="e">
        <f aca="false">IF(mystic_cap="none",TblMili[[#This Row],[Hill]]/mystic_bonus,MIN(mystic_cap,TblMili[[#This Row],[Hill]]/mystic_bonus))</f>
        <v>#VALUE!</v>
      </c>
      <c r="BY29" s="288" t="e">
        <f aca="false">IF(druid_op_cap="none",TblMili[[#This Row],[Hill]]/druid_op_bonus,MIN(druid_op_cap,TblMili[[#This Row],[Hill]]/druid_op_bonus))</f>
        <v>#VALUE!</v>
      </c>
      <c r="BZ29" s="288" t="e">
        <f aca="false">IF(druid_dp_cap="none",TblMili[[#This Row],[Hill]]/druid_dp_bonus,MIN(druid_dp_cap,TblMili[[#This Row],[Hill]]/druid_dp_bonus))</f>
        <v>#VALUE!</v>
      </c>
      <c r="CA29" s="288" t="e">
        <f aca="false">MIN(dryad_cap,TblMili[[#This Row],[Hill]]/dryad_bonus)</f>
        <v>#VALUE!</v>
      </c>
      <c r="CB29" s="288" t="e">
        <f aca="false">MIN(rocka_cap,TblMili[[#This Row],[Hill]]/rocka_bonus)</f>
        <v>#VALUE!</v>
      </c>
      <c r="CC29" s="288" t="n">
        <f aca="false">MIN(adept_op_cap,TblMili[[#This Row],[WG]]/adept_op_bonus)</f>
        <v>0</v>
      </c>
      <c r="CD29" s="288" t="n">
        <f aca="false">MIN(adept_dp_cap,TblMili[[#This Row],[WG]]/adept_dp_bonus)</f>
        <v>0</v>
      </c>
      <c r="CE29" s="69" t="n">
        <f aca="false">MIN(TblMili[[#This Row],[Unit 3]],TblMili[[#This Row],[Unit 2]])*2</f>
        <v>0</v>
      </c>
      <c r="CF29" s="69" t="n">
        <f aca="false">MIN(TblMili[[#This Row],[Unit 1]],TblMili[[#This Row],[Unit 4]])*2</f>
        <v>0</v>
      </c>
      <c r="CG29" s="288" t="e">
        <f aca="false">MIN(frost_mage_cap,TblMili[[#This Row],[Hill]]/frost_mage_bonus)</f>
        <v>#VALUE!</v>
      </c>
      <c r="CH29" s="151" t="n">
        <f aca="false">MIN(ice_elem_cap,TblMili[[#This Row],[Raw (2)]]*ice_elem_bonus)</f>
        <v>0</v>
      </c>
      <c r="CI29" s="288" t="n">
        <f aca="false">MIN(bone_breaker_cap,250/bone_breaker_bonus)</f>
        <v>0.833333333333333</v>
      </c>
      <c r="CJ29" s="288" t="e">
        <f aca="false">MIN(nox_nightshade_cap,TblConstr[[#This Row],[Homeland]]/TblConstr[[#This Row],[Land]]/nox_nightshade_swamp_bonus)</f>
        <v>#VALUE!</v>
      </c>
      <c r="CK29" s="289"/>
      <c r="CL29" s="289"/>
      <c r="CM29" s="289"/>
      <c r="CN29" s="288" t="e">
        <f aca="false">MIN(6,TblMili[[#This Row],[Mystic]]+Races!$F$19)*1.8 +  IF(TblMili[[#This Row],[Mystic]]+Races!$F$19&gt;6,(TblMili[[#This Row],[Mystic]]+Races!$F$19-6)*0.2,0) - Races!$I$19</f>
        <v>#VALUE!</v>
      </c>
      <c r="CO29" s="288" t="e">
        <f aca="false">1.8 * MIN(MAX(TblMili[[#This Row],[Druid (op)]]+Races!$E$20,TblMili[[#This Row],[Druid (dp)]]+Races!$F$20),6)  +  0.45 * MIN(MIN(TblMili[[#This Row],[Druid (op)]]+Races!$E$20,TblMili[[#This Row],[Druid (dp)]]+Races!$F$20),6)  +  0.2 * ( MAX(TblMili[[#This Row],[Druid (op)]]+Races!$E$20-6,0) + MAX(TblMili[[#This Row],[Druid (dp)]]+Races!$F$20-6,0) )  -  Races!$I$20</f>
        <v>#VALUE!</v>
      </c>
      <c r="CP29" s="69" t="e">
        <f aca="false">TblMili[[#This Row],[Mystic bonus]]*TblMili[[#This Row],[Unit 3]]+TblMili[[#This Row],[Druid bonus]]*TblMili[[#This Row],[Unit 4]]</f>
        <v>#VALUE!</v>
      </c>
      <c r="CQ29" s="148" t="e">
        <f aca="false">MIN(6,TblMili[[#This Row],[Dryad]]+Races!$F$35)*1.8 +  IF(TblMili[[#This Row],[Dryad]]+Races!$F$35&gt;6,(TblMili[[#This Row],[Dryad]]+Races!$F$35-6)*0.2,0) - Races!$I$19</f>
        <v>#VALUE!</v>
      </c>
      <c r="CR29" s="69" t="e">
        <f aca="false">sylvan*(TblMili[[#This Row],[Mystic bonus]]*TblMili[[#This Row],[Unit 3]])</f>
        <v>#VALUE!</v>
      </c>
      <c r="CS29" s="148" t="e">
        <f aca="false">1.8 * MIN(MAX(Races!$E$27,TblMili[[#This Row],[Rockapult]]+Races!$F$27),6)  +  0.45 * MIN(MIN(Races!$E$27,TblMili[[#This Row],[Rockapult]]+Races!$F$27),6)  +  0.2 * ( MAX(Races!$E$27-6,0) + MAX(TblMili[[#This Row],[Rockapult]]+Races!$F$27-6,0) )  -  Races!$I$20</f>
        <v>#VALUE!</v>
      </c>
      <c r="CT29" s="69" t="e">
        <f aca="false">gnome*(TblMili[[#This Row],[Rockapult bonus]]*TblMili[[#This Row],[Unit 3]])</f>
        <v>#VALUE!</v>
      </c>
      <c r="CU29" s="148" t="n">
        <f aca="false">1.8 * MIN(MAX(TblMili[[#This Row],[Spellblade]]+Races!$E$47,TblMili[[#This Row],[Adept-DP]]+Races!$F$47),6)  +  0.45 * MIN(MIN(TblMili[[#This Row],[Spellblade]]+Races!$E$47,TblMili[[#This Row],[Adept-DP]]+Races!$F$47),6)  +  0.2 * ( MAX(TblMili[[#This Row],[Spellblade]]+Races!$E$47-6,0) + MAX(TblMili[[#This Row],[Adept-DP]]+Races!$F$47-6,0) )  -  Races!$I$47</f>
        <v>0</v>
      </c>
      <c r="CV29" s="69" t="n">
        <f aca="false">dark_elf*(TblMili[[#This Row],[Adept bonus]]*TblMili[[#This Row],[Unit 3]])</f>
        <v>0</v>
      </c>
      <c r="CW29" s="148" t="e">
        <f aca="false">1.8 * MIN(MAX(TblMili[[#This Row],[Frost Mage]]+Races!$F$71,Races!$E$71),6)  +  0.45 * MIN(MIN(TblMili[[#This Row],[Frost Mage]]+Races!$F$71,Races!$E$71),6)  +  0.2 * ( MAX(TblMili[[#This Row],[Frost Mage]]+Races!$F$71-6,0) + MAX(Races!$E$71-6,0) )  -  Races!$I$71</f>
        <v>#VALUE!</v>
      </c>
      <c r="CX29" s="148" t="n">
        <f aca="false">1.8 * MIN(MAX(TblMili[[#This Row],[Ice Elemental]]+Races!$E$71,Races!$F$71),6)  +  0.45 * MIN(MIN(TblMili[[#This Row],[Ice Elemental]]+Races!$E$71,Races!$F$71),6)  +  0.2 * ( MAX(TblMili[[#This Row],[Ice Elemental]]+Races!$E$71-6,0) + MAX(Races!$F$71-6,0) )  -  Races!$I$71</f>
        <v>0</v>
      </c>
      <c r="CY29" s="69" t="e">
        <f aca="false">TblMili[[#This Row],[Frost Mage bonus]]*TblMili[[#This Row],[Unit 3]]+TblMili[[#This Row],[Ice Elemental bonus]]*TblMili[[#This Row],[Unit 4]]</f>
        <v>#VALUE!</v>
      </c>
      <c r="CZ29" s="290"/>
      <c r="DA29" s="109" t="n">
        <f aca="false">MIN(SUM(TblConstr[[#This Row],[Plain]:[Water]])/TblMili[[#This Row],[Land]]/favorable_terrain_bonus/100,favorable_terrain_max)</f>
        <v>0</v>
      </c>
      <c r="DB29" s="290"/>
      <c r="DC2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9" s="132"/>
      <c r="DE29" s="291" t="n">
        <f aca="false">(TblMili[[#This Row],[Wizards]]+2*TblMili[[#This Row],[Archmages]])/TblConstr[[#This Row],[Land]]</f>
        <v>0</v>
      </c>
      <c r="DF29" s="291" t="n">
        <f aca="false">TblMili[[#This Row],[Raw (2)]]*(1+race_wizard_strength+IF(TblMili[[#This Row],[Hour]]&gt;72,tech_magical_weaponry_wiz*TblTech[[#This Row],[3-5]],0))</f>
        <v>0</v>
      </c>
    </row>
    <row r="30" customFormat="false" ht="12.75" hidden="false" customHeight="false" outlineLevel="0" collapsed="false">
      <c r="A30" s="128" t="n">
        <f aca="false">TblRezone[[#This Row],[Hour]]</f>
        <v>27</v>
      </c>
      <c r="B30" s="282" t="n">
        <f aca="false">SUM(TblMili[[#This Row],[Unit 1]:[Archmages]])+SUM(OFFSET(TblMili[[#This Row],[Train Unit 1]],-8,0):TblMili[[#This Row],[Train Unit 2]]) + SUM(OFFSET(TblMili[[#This Row],[Train Unit 3]],-11,0):TblMili[[#This Row],[Train AM]]) + TblMili[[#This Row],[Draftees]]</f>
        <v>246</v>
      </c>
      <c r="C30" s="150" t="n">
        <f aca="false">TblPop[[#This Row],[Military%]]</f>
        <v>0.0572226099092812</v>
      </c>
      <c r="D30" s="132"/>
      <c r="E30" s="151" t="n">
        <f aca="false">OFFSET(TblMili[[#This Row],[Unit 1]],-1,0) + OFFSET(TblMili[[#This Row],[Train Unit 1]],-9,0) - TblMili[[#This Row],[Release Unit 1]]</f>
        <v>0</v>
      </c>
      <c r="F30" s="151" t="n">
        <f aca="false">OFFSET(TblMili[[#This Row],[Unit 2]],-1,0) + OFFSET(TblMili[[#This Row],[Train Unit 2]],-9,0)-TblMili[[#This Row],[Release Unit 2]]</f>
        <v>0</v>
      </c>
      <c r="G30" s="151" t="n">
        <f aca="false">OFFSET(TblMili[[#This Row],[Unit 3]],-1,0) + OFFSET(TblMili[[#This Row],[Train Unit 3]],-12,0)-TblMili[[#This Row],[Release Unit 3]]</f>
        <v>0</v>
      </c>
      <c r="H30" s="151" t="n">
        <f aca="false">OFFSET(TblMili[[#This Row],[Unit 4]],-1,0) + OFFSET(TblMili[[#This Row],[Train Unit 4]],-12,0)-TblMili[[#This Row],[Release Unit 4]]</f>
        <v>0</v>
      </c>
      <c r="I30" s="151" t="n">
        <f aca="false">OFFSET(TblMili[[#This Row],[Spies]],-1,0) + OFFSET(TblMili[[#This Row],[Train Spies]],-12,0) - TblMili[[#This Row],[Release Spies]]-TblMili[[#This Row],[Train AS]]</f>
        <v>0</v>
      </c>
      <c r="J30" s="151" t="n">
        <f aca="false">OFFSET(TblMili[[#This Row],[Archspies]],-1,0) + OFFSET(TblMili[[#This Row],[Train AS]],-12,0) - TblMili[[#This Row],[Release AS]]</f>
        <v>0</v>
      </c>
      <c r="K30" s="151" t="n">
        <f aca="false">OFFSET(TblMili[[#This Row],[Wizards]],-1,0) + OFFSET(TblMili[[#This Row],[Train Wiz]],-12,0) - TblMili[[#This Row],[Release Wizards]]-TblMili[[#This Row],[Train AM]]</f>
        <v>0</v>
      </c>
      <c r="L30" s="151" t="n">
        <f aca="false">OFFSET(TblMili[[#This Row],[Archmages]],-1,0) + OFFSET(TblMili[[#This Row],[Train AM]],-12,0) - TblMili[[#This Row],[Release AM]]</f>
        <v>0</v>
      </c>
      <c r="M30" s="132"/>
      <c r="N30" s="69" t="e">
        <f aca="false">TblProd[[#This Row],[Networth]]</f>
        <v>#VALUE!</v>
      </c>
      <c r="O30" s="132"/>
      <c r="P3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0" s="285" t="e">
        <f aca="false">TblMili[[#This Row],[Raw]]*(1+TblMili[[#This Row],[Mods_Off]])</f>
        <v>#VALUE!</v>
      </c>
      <c r="S3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0" s="285" t="e">
        <f aca="false">TblMili[[#This Row],[Non Draft]]+TblMili[[#This Row],[Draftees]]</f>
        <v>#VALUE!</v>
      </c>
      <c r="U30" s="286" t="n">
        <f aca="false">race_defense + TblImps[[#This Row],[Walls]] + ROUND( MIN(gt_bonus*TblConstr[[#This Row],[Tot GT]]/TblConstr[[#This Row],[Land]],gt_bonus_cap), 4) + IF(TblMagic[[#This Row],[Active Howling]]&gt;0,howling_dp_bonus,IF(TblMagic[[#This Row],[Active Ares Call]]&gt;0,ares_call_bonus))</f>
        <v>0</v>
      </c>
      <c r="V30" s="274" t="e">
        <f aca="false">TblMili[[#This Row],[Non Draft]] * (1 + TblMili[[#This Row],[Mods_Def]])</f>
        <v>#VALUE!</v>
      </c>
      <c r="W30" s="285" t="e">
        <f aca="false">TblMili[[#This Row],[Draft]] * (1 + TblMili[[#This Row],[Mods_Def]])</f>
        <v>#VALUE!</v>
      </c>
      <c r="X30" s="285" t="n">
        <f aca="false">TblConstr[[#This Row],[Land]]</f>
        <v>299</v>
      </c>
      <c r="Y30" s="287"/>
      <c r="Z30" s="109" t="n">
        <f aca="false">IF(TblMili[[#This Row],[Set]]&lt;&gt;"",TblMili[[#This Row],[Set]],OFFSET(TblMili[[#This Row],[Draftrate]],-1,0))</f>
        <v>0.9</v>
      </c>
      <c r="AA30" s="69" t="n">
        <f aca="false">OFFSET(TblMili[[#This Row],[Draftees]],-1,0)+OFFSET(TblPop[[#This Row],[Draft Growth]],-1,0) - SUM(TblMili[[#This Row],[Train Unit 1]:[Train Spies]],TblMili[[#This Row],[Train Wiz]]) - TblMili[[#This Row],[Release Draft]] + SUM(TblMili[[#This Row],[Release Unit 1]:[Release AM]]) - TblExplore[[#This Row],[Draftees (2)]]</f>
        <v>246</v>
      </c>
      <c r="AB30" s="146"/>
      <c r="AC30" s="130" t="n">
        <f aca="false">(TblConstr[[#This Row],[Tot Smi]]+TblConstr[[#This Row],[Dest Smi]])/(TblConstr[[#This Row],[Land]]-TblExplore[[#This Row],[Land Bonus]]*20)</f>
        <v>0</v>
      </c>
      <c r="AD30" s="128"/>
      <c r="AE30" s="282" t="n">
        <f aca="false">TblMili[[#This Row],[Hour]]</f>
        <v>27</v>
      </c>
      <c r="AF30" s="129" t="n">
        <f aca="false">TblExplore[[#This Row],[Time]]</f>
        <v>45430.8333333333</v>
      </c>
      <c r="AG30" s="182"/>
      <c r="AH30" s="182"/>
      <c r="AI30" s="182"/>
      <c r="AJ30" s="182"/>
      <c r="AK30" s="182"/>
      <c r="AL30" s="182"/>
      <c r="AM30" s="182"/>
      <c r="AN30" s="182"/>
      <c r="AO30" s="132"/>
      <c r="AP30" s="69" t="n">
        <f aca="false">TblProd[[#This Row],[Platinum]]</f>
        <v>79053</v>
      </c>
      <c r="AQ30" s="69" t="n">
        <f aca="false">INDEX(TblProd[[#Headers],[Lumber]]:TblProd[[#This Row],[Ore]],COUNTA(TblProd[[#Headers],[Lumber]]:TblProd[[#This Row],[Lumber]]),MATCH(Military!$AQ$2,TblProd[[#Headers],[Lumber]:[Ore]],0))</f>
        <v>0</v>
      </c>
      <c r="AR3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69" t="n">
        <f aca="false">TblMili[[#This Row],[Train Unit 1]]*TblMili[[#This Row],[OP Ore]]+TblMili[[#This Row],[Train Unit 2]]*TblMili[[#This Row],[DP Ore]]+TblMili[[#This Row],[Train Unit 3]]*TblMili[[#This Row],[E1 Ore]]+TblMili[[#This Row],[Train Unit 4]]*TblMili[[#This Row],[E2 Ore]]</f>
        <v>0</v>
      </c>
      <c r="AT30" s="132" t="n">
        <f aca="false">TblMili[[#This Row],[Hour]]</f>
        <v>27</v>
      </c>
      <c r="AU30" s="144" t="n">
        <f aca="false">TblMili[[#This Row],[Time]]</f>
        <v>45430.8333333333</v>
      </c>
      <c r="AV30" s="69" t="n">
        <f aca="false">TblMili[[#This Row],[Draftees]]</f>
        <v>246</v>
      </c>
      <c r="AW30" s="182"/>
      <c r="AX30" s="182"/>
      <c r="AY30" s="182"/>
      <c r="AZ30" s="182"/>
      <c r="BA30" s="182"/>
      <c r="BB30" s="182"/>
      <c r="BC30" s="182"/>
      <c r="BD30" s="182"/>
      <c r="BE30" s="182"/>
      <c r="BF30" s="132"/>
      <c r="BG30" s="150" t="n">
        <f aca="false">TblConstr[[#This Row],[Tot WG]]/TblConstr[[#This Row],[Land]]</f>
        <v>0</v>
      </c>
      <c r="BH30" s="150" t="n">
        <f aca="false">TblConstr[[#This Row],[Tot Hav]]/TblConstr[[#This Row],[Land]]</f>
        <v>0</v>
      </c>
      <c r="BI30" s="69" t="n">
        <f aca="false">ROUNDUP((1-MIN(TblMili[[#This Row],[Smithies]]*smithy_bonus,smithy_bonus_cap) + tech_3_5*TblTech[[#This Row],[3-5]] + tech_5_3*TblTech[[#This Row],[5-3]] + tech_5_5*TblTech[[#This Row],[5-5]])*spec_op_plat,0)</f>
        <v>300</v>
      </c>
      <c r="BJ30" s="69" t="n">
        <f aca="false">ROUNDUP(IF(race="Gnome",1,(1-MIN(TblMili[[#This Row],[Smithies]]*smithy_bonus,smithy_bonus_cap) + tech_3_5*TblTech[[#This Row],[3-5]] + tech_5_3*TblTech[[#This Row],[5-3]] + tech_5_5*TblTech[[#This Row],[5-5]]))*spec_op_ore,0)</f>
        <v>0</v>
      </c>
      <c r="BK30" s="69" t="n">
        <f aca="false">ROUNDUP((1-MIN(TblMili[[#This Row],[Smithies]]*smithy_bonus,smithy_bonus_cap) + tech_3_5*TblTech[[#This Row],[3-5]] + tech_5_3*TblTech[[#This Row],[5-3]] + tech_5_5*TblTech[[#This Row],[5-5]])*spec_dp_plat,0)</f>
        <v>300</v>
      </c>
      <c r="BL30" s="69" t="n">
        <f aca="false">ROUNDUP(IF(race="Gnome",1,(1-MIN(TblMili[[#This Row],[Smithies]]*smithy_bonus,smithy_bonus_cap) + tech_3_5*TblTech[[#This Row],[3-5]] + tech_5_3*TblTech[[#This Row],[5-3]] + tech_5_5*TblTech[[#This Row],[5-5]]))*spec_dp_ore,0)</f>
        <v>0</v>
      </c>
      <c r="BM30" s="69" t="n">
        <f aca="false">ROUNDUP((1-MIN(TblMili[[#This Row],[Smithies]]*smithy_bonus,smithy_bonus_cap) + tech_3_5*TblTech[[#This Row],[3-5]] + tech_5_3*TblTech[[#This Row],[5-3]] + tech_5_5*TblTech[[#This Row],[5-5]])*elite1_plat,0)</f>
        <v>925</v>
      </c>
      <c r="BN30" s="69" t="n">
        <f aca="false">ROUNDUP(IF(race="Gnome",1,(1-MIN(TblMili[[#This Row],[Smithies]]*smithy_bonus,smithy_bonus_cap) + tech_3_5*TblTech[[#This Row],[3-5]] + tech_5_3*TblTech[[#This Row],[5-3]] + tech_5_5*TblTech[[#This Row],[5-5]]))*elite1_ore,0)</f>
        <v>0</v>
      </c>
      <c r="BO30" s="69" t="n">
        <f aca="false">ROUNDUP((1-MIN(TblMili[[#This Row],[Smithies]]*smithy_bonus,smithy_bonus_cap) + tech_3_5*TblTech[[#This Row],[3-5]] + tech_5_3*TblTech[[#This Row],[5-3]] + tech_5_5*TblTech[[#This Row],[5-5]])*elite2_plat,0)</f>
        <v>950</v>
      </c>
      <c r="BP30" s="69" t="n">
        <f aca="false">ROUNDUP(IF(race="Gnome",1,(1-MIN(TblMili[[#This Row],[Smithies]]*smithy_bonus,smithy_bonus_cap) + tech_3_5*TblTech[[#This Row],[3-5]] + tech_5_3*TblTech[[#This Row],[5-3]] + tech_5_5*TblTech[[#This Row],[5-5]]))*elite2_ore,0)</f>
        <v>0</v>
      </c>
      <c r="BQ30" s="69" t="n">
        <f aca="false">ROUNDUP((1-MIN(ROUND(fh_spy_cost_red*TblMili[[#This Row],[FH''s]],4),fh_spy_cost_cap)+ tech_1_9*TblTech[[#This Row],[1-9]] + tech_9_1*TblTech[[#This Row],[9-1]])*spy_plat,0)</f>
        <v>500</v>
      </c>
      <c r="BR30" s="69" t="n">
        <f aca="false">ROUNDUP((1-MIN(ROUND(fh_spy_cost_red*TblMili[[#This Row],[FH''s]],4),fh_spy_cost_cap)+ tech_1_9*TblTech[[#This Row],[1-9]] + tech_9_1*TblTech[[#This Row],[9-1]])*archspy_plat,0)</f>
        <v>1000</v>
      </c>
      <c r="BS30" s="69" t="n">
        <f aca="false">ROUNDUP((1-MIN(ROUND(wg_wiz_cost_bonus*TblMili[[#This Row],[WG''s]],4),wg_wiz_cost_cap) + tech_1_9_2*TblTech[[#This Row],[1-9]] + tech_9_1_2*TblTech[[#This Row],[9-1]])*wizard_plat,0)</f>
        <v>500</v>
      </c>
      <c r="BT30" s="69" t="n">
        <f aca="false">ROUNDUP((1-MIN(ROUND(wg_wiz_cost_bonus*TblMili[[#This Row],[WG''s]],4),wg_wiz_cost_cap) + tech_1_9_2*TblTech[[#This Row],[1-9]] + tech_9_1_2*TblTech[[#This Row],[9-1]])*archmage_plat,0)</f>
        <v>1000</v>
      </c>
      <c r="BU30" s="132"/>
      <c r="BV30" s="150" t="e">
        <f aca="false">TblConstr[[#This Row],[Homeland]]/TblConstr[[#This Row],[Land]]</f>
        <v>#VALUE!</v>
      </c>
      <c r="BW30" s="150" t="n">
        <f aca="false">TblMili[[#This Row],[WG''s]]</f>
        <v>0</v>
      </c>
      <c r="BX30" s="288" t="e">
        <f aca="false">IF(mystic_cap="none",TblMili[[#This Row],[Hill]]/mystic_bonus,MIN(mystic_cap,TblMili[[#This Row],[Hill]]/mystic_bonus))</f>
        <v>#VALUE!</v>
      </c>
      <c r="BY30" s="288" t="e">
        <f aca="false">IF(druid_op_cap="none",TblMili[[#This Row],[Hill]]/druid_op_bonus,MIN(druid_op_cap,TblMili[[#This Row],[Hill]]/druid_op_bonus))</f>
        <v>#VALUE!</v>
      </c>
      <c r="BZ30" s="288" t="e">
        <f aca="false">IF(druid_dp_cap="none",TblMili[[#This Row],[Hill]]/druid_dp_bonus,MIN(druid_dp_cap,TblMili[[#This Row],[Hill]]/druid_dp_bonus))</f>
        <v>#VALUE!</v>
      </c>
      <c r="CA30" s="288" t="e">
        <f aca="false">MIN(dryad_cap,TblMili[[#This Row],[Hill]]/dryad_bonus)</f>
        <v>#VALUE!</v>
      </c>
      <c r="CB30" s="288" t="e">
        <f aca="false">MIN(rocka_cap,TblMili[[#This Row],[Hill]]/rocka_bonus)</f>
        <v>#VALUE!</v>
      </c>
      <c r="CC30" s="288" t="n">
        <f aca="false">MIN(adept_op_cap,TblMili[[#This Row],[WG]]/adept_op_bonus)</f>
        <v>0</v>
      </c>
      <c r="CD30" s="288" t="n">
        <f aca="false">MIN(adept_dp_cap,TblMili[[#This Row],[WG]]/adept_dp_bonus)</f>
        <v>0</v>
      </c>
      <c r="CE30" s="69" t="n">
        <f aca="false">MIN(TblMili[[#This Row],[Unit 3]],TblMili[[#This Row],[Unit 2]])*2</f>
        <v>0</v>
      </c>
      <c r="CF30" s="69" t="n">
        <f aca="false">MIN(TblMili[[#This Row],[Unit 1]],TblMili[[#This Row],[Unit 4]])*2</f>
        <v>0</v>
      </c>
      <c r="CG30" s="288" t="e">
        <f aca="false">MIN(frost_mage_cap,TblMili[[#This Row],[Hill]]/frost_mage_bonus)</f>
        <v>#VALUE!</v>
      </c>
      <c r="CH30" s="151" t="n">
        <f aca="false">MIN(ice_elem_cap,TblMili[[#This Row],[Raw (2)]]*ice_elem_bonus)</f>
        <v>0</v>
      </c>
      <c r="CI30" s="288" t="n">
        <f aca="false">MIN(bone_breaker_cap,250/bone_breaker_bonus)</f>
        <v>0.833333333333333</v>
      </c>
      <c r="CJ30" s="288" t="e">
        <f aca="false">MIN(nox_nightshade_cap,TblConstr[[#This Row],[Homeland]]/TblConstr[[#This Row],[Land]]/nox_nightshade_swamp_bonus)</f>
        <v>#VALUE!</v>
      </c>
      <c r="CK30" s="289"/>
      <c r="CL30" s="289"/>
      <c r="CM30" s="289"/>
      <c r="CN30" s="288" t="e">
        <f aca="false">MIN(6,TblMili[[#This Row],[Mystic]]+Races!$F$19)*1.8 +  IF(TblMili[[#This Row],[Mystic]]+Races!$F$19&gt;6,(TblMili[[#This Row],[Mystic]]+Races!$F$19-6)*0.2,0) - Races!$I$19</f>
        <v>#VALUE!</v>
      </c>
      <c r="CO30" s="288" t="e">
        <f aca="false">1.8 * MIN(MAX(TblMili[[#This Row],[Druid (op)]]+Races!$E$20,TblMili[[#This Row],[Druid (dp)]]+Races!$F$20),6)  +  0.45 * MIN(MIN(TblMili[[#This Row],[Druid (op)]]+Races!$E$20,TblMili[[#This Row],[Druid (dp)]]+Races!$F$20),6)  +  0.2 * ( MAX(TblMili[[#This Row],[Druid (op)]]+Races!$E$20-6,0) + MAX(TblMili[[#This Row],[Druid (dp)]]+Races!$F$20-6,0) )  -  Races!$I$20</f>
        <v>#VALUE!</v>
      </c>
      <c r="CP30" s="69" t="e">
        <f aca="false">TblMili[[#This Row],[Mystic bonus]]*TblMili[[#This Row],[Unit 3]]+TblMili[[#This Row],[Druid bonus]]*TblMili[[#This Row],[Unit 4]]</f>
        <v>#VALUE!</v>
      </c>
      <c r="CQ30" s="148" t="e">
        <f aca="false">MIN(6,TblMili[[#This Row],[Dryad]]+Races!$F$35)*1.8 +  IF(TblMili[[#This Row],[Dryad]]+Races!$F$35&gt;6,(TblMili[[#This Row],[Dryad]]+Races!$F$35-6)*0.2,0) - Races!$I$19</f>
        <v>#VALUE!</v>
      </c>
      <c r="CR30" s="69" t="e">
        <f aca="false">sylvan*(TblMili[[#This Row],[Mystic bonus]]*TblMili[[#This Row],[Unit 3]])</f>
        <v>#VALUE!</v>
      </c>
      <c r="CS30" s="148" t="e">
        <f aca="false">1.8 * MIN(MAX(Races!$E$27,TblMili[[#This Row],[Rockapult]]+Races!$F$27),6)  +  0.45 * MIN(MIN(Races!$E$27,TblMili[[#This Row],[Rockapult]]+Races!$F$27),6)  +  0.2 * ( MAX(Races!$E$27-6,0) + MAX(TblMili[[#This Row],[Rockapult]]+Races!$F$27-6,0) )  -  Races!$I$20</f>
        <v>#VALUE!</v>
      </c>
      <c r="CT30" s="69" t="e">
        <f aca="false">gnome*(TblMili[[#This Row],[Rockapult bonus]]*TblMili[[#This Row],[Unit 3]])</f>
        <v>#VALUE!</v>
      </c>
      <c r="CU30" s="148" t="n">
        <f aca="false">1.8 * MIN(MAX(TblMili[[#This Row],[Spellblade]]+Races!$E$47,TblMili[[#This Row],[Adept-DP]]+Races!$F$47),6)  +  0.45 * MIN(MIN(TblMili[[#This Row],[Spellblade]]+Races!$E$47,TblMili[[#This Row],[Adept-DP]]+Races!$F$47),6)  +  0.2 * ( MAX(TblMili[[#This Row],[Spellblade]]+Races!$E$47-6,0) + MAX(TblMili[[#This Row],[Adept-DP]]+Races!$F$47-6,0) )  -  Races!$I$47</f>
        <v>0</v>
      </c>
      <c r="CV30" s="69" t="n">
        <f aca="false">dark_elf*(TblMili[[#This Row],[Adept bonus]]*TblMili[[#This Row],[Unit 3]])</f>
        <v>0</v>
      </c>
      <c r="CW30" s="148" t="e">
        <f aca="false">1.8 * MIN(MAX(TblMili[[#This Row],[Frost Mage]]+Races!$F$71,Races!$E$71),6)  +  0.45 * MIN(MIN(TblMili[[#This Row],[Frost Mage]]+Races!$F$71,Races!$E$71),6)  +  0.2 * ( MAX(TblMili[[#This Row],[Frost Mage]]+Races!$F$71-6,0) + MAX(Races!$E$71-6,0) )  -  Races!$I$71</f>
        <v>#VALUE!</v>
      </c>
      <c r="CX30" s="148" t="n">
        <f aca="false">1.8 * MIN(MAX(TblMili[[#This Row],[Ice Elemental]]+Races!$E$71,Races!$F$71),6)  +  0.45 * MIN(MIN(TblMili[[#This Row],[Ice Elemental]]+Races!$E$71,Races!$F$71),6)  +  0.2 * ( MAX(TblMili[[#This Row],[Ice Elemental]]+Races!$E$71-6,0) + MAX(Races!$F$71-6,0) )  -  Races!$I$71</f>
        <v>0</v>
      </c>
      <c r="CY30" s="69" t="e">
        <f aca="false">TblMili[[#This Row],[Frost Mage bonus]]*TblMili[[#This Row],[Unit 3]]+TblMili[[#This Row],[Ice Elemental bonus]]*TblMili[[#This Row],[Unit 4]]</f>
        <v>#VALUE!</v>
      </c>
      <c r="CZ30" s="290"/>
      <c r="DA30" s="109" t="n">
        <f aca="false">MIN(SUM(TblConstr[[#This Row],[Plain]:[Water]])/TblMili[[#This Row],[Land]]/favorable_terrain_bonus/100,favorable_terrain_max)</f>
        <v>0</v>
      </c>
      <c r="DB30" s="290"/>
      <c r="DC3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0" s="132"/>
      <c r="DE30" s="291" t="n">
        <f aca="false">(TblMili[[#This Row],[Wizards]]+2*TblMili[[#This Row],[Archmages]])/TblConstr[[#This Row],[Land]]</f>
        <v>0</v>
      </c>
      <c r="DF30" s="291" t="n">
        <f aca="false">TblMili[[#This Row],[Raw (2)]]*(1+race_wizard_strength+IF(TblMili[[#This Row],[Hour]]&gt;72,tech_magical_weaponry_wiz*TblTech[[#This Row],[3-5]],0))</f>
        <v>0</v>
      </c>
    </row>
    <row r="31" customFormat="false" ht="12.75" hidden="false" customHeight="false" outlineLevel="0" collapsed="false">
      <c r="A31" s="128" t="n">
        <f aca="false">TblRezone[[#This Row],[Hour]]</f>
        <v>28</v>
      </c>
      <c r="B31" s="282" t="n">
        <f aca="false">SUM(TblMili[[#This Row],[Unit 1]:[Archmages]])+SUM(OFFSET(TblMili[[#This Row],[Train Unit 1]],-8,0):TblMili[[#This Row],[Train Unit 2]]) + SUM(OFFSET(TblMili[[#This Row],[Train Unit 3]],-11,0):TblMili[[#This Row],[Train AM]]) + TblMili[[#This Row],[Draftees]]</f>
        <v>287</v>
      </c>
      <c r="C31" s="150" t="n">
        <f aca="false">TblPop[[#This Row],[Military%]]</f>
        <v>0.0624863923361637</v>
      </c>
      <c r="D31" s="132"/>
      <c r="E31" s="151" t="n">
        <f aca="false">OFFSET(TblMili[[#This Row],[Unit 1]],-1,0) + OFFSET(TblMili[[#This Row],[Train Unit 1]],-9,0) - TblMili[[#This Row],[Release Unit 1]]</f>
        <v>0</v>
      </c>
      <c r="F31" s="151" t="n">
        <f aca="false">OFFSET(TblMili[[#This Row],[Unit 2]],-1,0) + OFFSET(TblMili[[#This Row],[Train Unit 2]],-9,0)-TblMili[[#This Row],[Release Unit 2]]</f>
        <v>0</v>
      </c>
      <c r="G31" s="151" t="n">
        <f aca="false">OFFSET(TblMili[[#This Row],[Unit 3]],-1,0) + OFFSET(TblMili[[#This Row],[Train Unit 3]],-12,0)-TblMili[[#This Row],[Release Unit 3]]</f>
        <v>0</v>
      </c>
      <c r="H31" s="151" t="n">
        <f aca="false">OFFSET(TblMili[[#This Row],[Unit 4]],-1,0) + OFFSET(TblMili[[#This Row],[Train Unit 4]],-12,0)-TblMili[[#This Row],[Release Unit 4]]</f>
        <v>0</v>
      </c>
      <c r="I31" s="151" t="n">
        <f aca="false">OFFSET(TblMili[[#This Row],[Spies]],-1,0) + OFFSET(TblMili[[#This Row],[Train Spies]],-12,0) - TblMili[[#This Row],[Release Spies]]-TblMili[[#This Row],[Train AS]]</f>
        <v>0</v>
      </c>
      <c r="J31" s="151" t="n">
        <f aca="false">OFFSET(TblMili[[#This Row],[Archspies]],-1,0) + OFFSET(TblMili[[#This Row],[Train AS]],-12,0) - TblMili[[#This Row],[Release AS]]</f>
        <v>0</v>
      </c>
      <c r="K31" s="151" t="n">
        <f aca="false">OFFSET(TblMili[[#This Row],[Wizards]],-1,0) + OFFSET(TblMili[[#This Row],[Train Wiz]],-12,0) - TblMili[[#This Row],[Release Wizards]]-TblMili[[#This Row],[Train AM]]</f>
        <v>0</v>
      </c>
      <c r="L31" s="151" t="n">
        <f aca="false">OFFSET(TblMili[[#This Row],[Archmages]],-1,0) + OFFSET(TblMili[[#This Row],[Train AM]],-12,0) - TblMili[[#This Row],[Release AM]]</f>
        <v>0</v>
      </c>
      <c r="M31" s="132"/>
      <c r="N31" s="69" t="e">
        <f aca="false">TblProd[[#This Row],[Networth]]</f>
        <v>#VALUE!</v>
      </c>
      <c r="O31" s="132"/>
      <c r="P3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1" s="285" t="e">
        <f aca="false">TblMili[[#This Row],[Raw]]*(1+TblMili[[#This Row],[Mods_Off]])</f>
        <v>#VALUE!</v>
      </c>
      <c r="S3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1" s="285" t="e">
        <f aca="false">TblMili[[#This Row],[Non Draft]]+TblMili[[#This Row],[Draftees]]</f>
        <v>#VALUE!</v>
      </c>
      <c r="U31" s="286" t="n">
        <f aca="false">race_defense + TblImps[[#This Row],[Walls]] + ROUND( MIN(gt_bonus*TblConstr[[#This Row],[Tot GT]]/TblConstr[[#This Row],[Land]],gt_bonus_cap), 4) + IF(TblMagic[[#This Row],[Active Howling]]&gt;0,howling_dp_bonus,IF(TblMagic[[#This Row],[Active Ares Call]]&gt;0,ares_call_bonus))</f>
        <v>0</v>
      </c>
      <c r="V31" s="274" t="e">
        <f aca="false">TblMili[[#This Row],[Non Draft]] * (1 + TblMili[[#This Row],[Mods_Def]])</f>
        <v>#VALUE!</v>
      </c>
      <c r="W31" s="285" t="e">
        <f aca="false">TblMili[[#This Row],[Draft]] * (1 + TblMili[[#This Row],[Mods_Def]])</f>
        <v>#VALUE!</v>
      </c>
      <c r="X31" s="285" t="n">
        <f aca="false">TblConstr[[#This Row],[Land]]</f>
        <v>299</v>
      </c>
      <c r="Y31" s="287"/>
      <c r="Z31" s="109" t="n">
        <f aca="false">IF(TblMili[[#This Row],[Set]]&lt;&gt;"",TblMili[[#This Row],[Set]],OFFSET(TblMili[[#This Row],[Draftrate]],-1,0))</f>
        <v>0.9</v>
      </c>
      <c r="AA31" s="69" t="n">
        <f aca="false">OFFSET(TblMili[[#This Row],[Draftees]],-1,0)+OFFSET(TblPop[[#This Row],[Draft Growth]],-1,0) - SUM(TblMili[[#This Row],[Train Unit 1]:[Train Spies]],TblMili[[#This Row],[Train Wiz]]) - TblMili[[#This Row],[Release Draft]] + SUM(TblMili[[#This Row],[Release Unit 1]:[Release AM]]) - TblExplore[[#This Row],[Draftees (2)]]</f>
        <v>287</v>
      </c>
      <c r="AB31" s="146"/>
      <c r="AC31" s="130" t="n">
        <f aca="false">(TblConstr[[#This Row],[Tot Smi]]+TblConstr[[#This Row],[Dest Smi]])/(TblConstr[[#This Row],[Land]]-TblExplore[[#This Row],[Land Bonus]]*20)</f>
        <v>0</v>
      </c>
      <c r="AD31" s="128"/>
      <c r="AE31" s="282" t="n">
        <f aca="false">TblMili[[#This Row],[Hour]]</f>
        <v>28</v>
      </c>
      <c r="AF31" s="129" t="n">
        <f aca="false">TblExplore[[#This Row],[Time]]</f>
        <v>45430.875</v>
      </c>
      <c r="AG31" s="182"/>
      <c r="AH31" s="182"/>
      <c r="AI31" s="182"/>
      <c r="AJ31" s="182"/>
      <c r="AK31" s="182"/>
      <c r="AL31" s="182"/>
      <c r="AM31" s="182"/>
      <c r="AN31" s="182"/>
      <c r="AO31" s="132"/>
      <c r="AP31" s="69" t="n">
        <f aca="false">TblProd[[#This Row],[Platinum]]</f>
        <v>99065</v>
      </c>
      <c r="AQ31" s="69" t="n">
        <f aca="false">INDEX(TblProd[[#Headers],[Lumber]]:TblProd[[#This Row],[Ore]],COUNTA(TblProd[[#Headers],[Lumber]]:TblProd[[#This Row],[Lumber]]),MATCH(Military!$AQ$2,TblProd[[#Headers],[Lumber]:[Ore]],0))</f>
        <v>0</v>
      </c>
      <c r="AR3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69" t="n">
        <f aca="false">TblMili[[#This Row],[Train Unit 1]]*TblMili[[#This Row],[OP Ore]]+TblMili[[#This Row],[Train Unit 2]]*TblMili[[#This Row],[DP Ore]]+TblMili[[#This Row],[Train Unit 3]]*TblMili[[#This Row],[E1 Ore]]+TblMili[[#This Row],[Train Unit 4]]*TblMili[[#This Row],[E2 Ore]]</f>
        <v>0</v>
      </c>
      <c r="AT31" s="132" t="n">
        <f aca="false">TblMili[[#This Row],[Hour]]</f>
        <v>28</v>
      </c>
      <c r="AU31" s="144" t="n">
        <f aca="false">TblMili[[#This Row],[Time]]</f>
        <v>45430.875</v>
      </c>
      <c r="AV31" s="69" t="n">
        <f aca="false">TblMili[[#This Row],[Draftees]]</f>
        <v>287</v>
      </c>
      <c r="AW31" s="182"/>
      <c r="AX31" s="182"/>
      <c r="AY31" s="182"/>
      <c r="AZ31" s="182"/>
      <c r="BA31" s="182"/>
      <c r="BB31" s="182"/>
      <c r="BC31" s="182"/>
      <c r="BD31" s="182"/>
      <c r="BE31" s="182"/>
      <c r="BF31" s="132"/>
      <c r="BG31" s="150" t="n">
        <f aca="false">TblConstr[[#This Row],[Tot WG]]/TblConstr[[#This Row],[Land]]</f>
        <v>0</v>
      </c>
      <c r="BH31" s="150" t="n">
        <f aca="false">TblConstr[[#This Row],[Tot Hav]]/TblConstr[[#This Row],[Land]]</f>
        <v>0</v>
      </c>
      <c r="BI31" s="69" t="n">
        <f aca="false">ROUNDUP((1-MIN(TblMili[[#This Row],[Smithies]]*smithy_bonus,smithy_bonus_cap) + tech_3_5*TblTech[[#This Row],[3-5]] + tech_5_3*TblTech[[#This Row],[5-3]] + tech_5_5*TblTech[[#This Row],[5-5]])*spec_op_plat,0)</f>
        <v>300</v>
      </c>
      <c r="BJ31" s="69" t="n">
        <f aca="false">ROUNDUP(IF(race="Gnome",1,(1-MIN(TblMili[[#This Row],[Smithies]]*smithy_bonus,smithy_bonus_cap) + tech_3_5*TblTech[[#This Row],[3-5]] + tech_5_3*TblTech[[#This Row],[5-3]] + tech_5_5*TblTech[[#This Row],[5-5]]))*spec_op_ore,0)</f>
        <v>0</v>
      </c>
      <c r="BK31" s="69" t="n">
        <f aca="false">ROUNDUP((1-MIN(TblMili[[#This Row],[Smithies]]*smithy_bonus,smithy_bonus_cap) + tech_3_5*TblTech[[#This Row],[3-5]] + tech_5_3*TblTech[[#This Row],[5-3]] + tech_5_5*TblTech[[#This Row],[5-5]])*spec_dp_plat,0)</f>
        <v>300</v>
      </c>
      <c r="BL31" s="69" t="n">
        <f aca="false">ROUNDUP(IF(race="Gnome",1,(1-MIN(TblMili[[#This Row],[Smithies]]*smithy_bonus,smithy_bonus_cap) + tech_3_5*TblTech[[#This Row],[3-5]] + tech_5_3*TblTech[[#This Row],[5-3]] + tech_5_5*TblTech[[#This Row],[5-5]]))*spec_dp_ore,0)</f>
        <v>0</v>
      </c>
      <c r="BM31" s="69" t="n">
        <f aca="false">ROUNDUP((1-MIN(TblMili[[#This Row],[Smithies]]*smithy_bonus,smithy_bonus_cap) + tech_3_5*TblTech[[#This Row],[3-5]] + tech_5_3*TblTech[[#This Row],[5-3]] + tech_5_5*TblTech[[#This Row],[5-5]])*elite1_plat,0)</f>
        <v>925</v>
      </c>
      <c r="BN31" s="69" t="n">
        <f aca="false">ROUNDUP(IF(race="Gnome",1,(1-MIN(TblMili[[#This Row],[Smithies]]*smithy_bonus,smithy_bonus_cap) + tech_3_5*TblTech[[#This Row],[3-5]] + tech_5_3*TblTech[[#This Row],[5-3]] + tech_5_5*TblTech[[#This Row],[5-5]]))*elite1_ore,0)</f>
        <v>0</v>
      </c>
      <c r="BO31" s="69" t="n">
        <f aca="false">ROUNDUP((1-MIN(TblMili[[#This Row],[Smithies]]*smithy_bonus,smithy_bonus_cap) + tech_3_5*TblTech[[#This Row],[3-5]] + tech_5_3*TblTech[[#This Row],[5-3]] + tech_5_5*TblTech[[#This Row],[5-5]])*elite2_plat,0)</f>
        <v>950</v>
      </c>
      <c r="BP31" s="69" t="n">
        <f aca="false">ROUNDUP(IF(race="Gnome",1,(1-MIN(TblMili[[#This Row],[Smithies]]*smithy_bonus,smithy_bonus_cap) + tech_3_5*TblTech[[#This Row],[3-5]] + tech_5_3*TblTech[[#This Row],[5-3]] + tech_5_5*TblTech[[#This Row],[5-5]]))*elite2_ore,0)</f>
        <v>0</v>
      </c>
      <c r="BQ31" s="69" t="n">
        <f aca="false">ROUNDUP((1-MIN(ROUND(fh_spy_cost_red*TblMili[[#This Row],[FH''s]],4),fh_spy_cost_cap)+ tech_1_9*TblTech[[#This Row],[1-9]] + tech_9_1*TblTech[[#This Row],[9-1]])*spy_plat,0)</f>
        <v>500</v>
      </c>
      <c r="BR31" s="69" t="n">
        <f aca="false">ROUNDUP((1-MIN(ROUND(fh_spy_cost_red*TblMili[[#This Row],[FH''s]],4),fh_spy_cost_cap)+ tech_1_9*TblTech[[#This Row],[1-9]] + tech_9_1*TblTech[[#This Row],[9-1]])*archspy_plat,0)</f>
        <v>1000</v>
      </c>
      <c r="BS31" s="69" t="n">
        <f aca="false">ROUNDUP((1-MIN(ROUND(wg_wiz_cost_bonus*TblMili[[#This Row],[WG''s]],4),wg_wiz_cost_cap) + tech_1_9_2*TblTech[[#This Row],[1-9]] + tech_9_1_2*TblTech[[#This Row],[9-1]])*wizard_plat,0)</f>
        <v>500</v>
      </c>
      <c r="BT31" s="69" t="n">
        <f aca="false">ROUNDUP((1-MIN(ROUND(wg_wiz_cost_bonus*TblMili[[#This Row],[WG''s]],4),wg_wiz_cost_cap) + tech_1_9_2*TblTech[[#This Row],[1-9]] + tech_9_1_2*TblTech[[#This Row],[9-1]])*archmage_plat,0)</f>
        <v>1000</v>
      </c>
      <c r="BU31" s="132"/>
      <c r="BV31" s="150" t="e">
        <f aca="false">TblConstr[[#This Row],[Homeland]]/TblConstr[[#This Row],[Land]]</f>
        <v>#VALUE!</v>
      </c>
      <c r="BW31" s="150" t="n">
        <f aca="false">TblMili[[#This Row],[WG''s]]</f>
        <v>0</v>
      </c>
      <c r="BX31" s="288" t="e">
        <f aca="false">IF(mystic_cap="none",TblMili[[#This Row],[Hill]]/mystic_bonus,MIN(mystic_cap,TblMili[[#This Row],[Hill]]/mystic_bonus))</f>
        <v>#VALUE!</v>
      </c>
      <c r="BY31" s="288" t="e">
        <f aca="false">IF(druid_op_cap="none",TblMili[[#This Row],[Hill]]/druid_op_bonus,MIN(druid_op_cap,TblMili[[#This Row],[Hill]]/druid_op_bonus))</f>
        <v>#VALUE!</v>
      </c>
      <c r="BZ31" s="288" t="e">
        <f aca="false">IF(druid_dp_cap="none",TblMili[[#This Row],[Hill]]/druid_dp_bonus,MIN(druid_dp_cap,TblMili[[#This Row],[Hill]]/druid_dp_bonus))</f>
        <v>#VALUE!</v>
      </c>
      <c r="CA31" s="288" t="e">
        <f aca="false">MIN(dryad_cap,TblMili[[#This Row],[Hill]]/dryad_bonus)</f>
        <v>#VALUE!</v>
      </c>
      <c r="CB31" s="288" t="e">
        <f aca="false">MIN(rocka_cap,TblMili[[#This Row],[Hill]]/rocka_bonus)</f>
        <v>#VALUE!</v>
      </c>
      <c r="CC31" s="288" t="n">
        <f aca="false">MIN(adept_op_cap,TblMili[[#This Row],[WG]]/adept_op_bonus)</f>
        <v>0</v>
      </c>
      <c r="CD31" s="288" t="n">
        <f aca="false">MIN(adept_dp_cap,TblMili[[#This Row],[WG]]/adept_dp_bonus)</f>
        <v>0</v>
      </c>
      <c r="CE31" s="69" t="n">
        <f aca="false">MIN(TblMili[[#This Row],[Unit 3]],TblMili[[#This Row],[Unit 2]])*2</f>
        <v>0</v>
      </c>
      <c r="CF31" s="69" t="n">
        <f aca="false">MIN(TblMili[[#This Row],[Unit 1]],TblMili[[#This Row],[Unit 4]])*2</f>
        <v>0</v>
      </c>
      <c r="CG31" s="288" t="e">
        <f aca="false">MIN(frost_mage_cap,TblMili[[#This Row],[Hill]]/frost_mage_bonus)</f>
        <v>#VALUE!</v>
      </c>
      <c r="CH31" s="151" t="n">
        <f aca="false">MIN(ice_elem_cap,TblMili[[#This Row],[Raw (2)]]*ice_elem_bonus)</f>
        <v>0</v>
      </c>
      <c r="CI31" s="288" t="n">
        <f aca="false">MIN(bone_breaker_cap,250/bone_breaker_bonus)</f>
        <v>0.833333333333333</v>
      </c>
      <c r="CJ31" s="288" t="e">
        <f aca="false">MIN(nox_nightshade_cap,TblConstr[[#This Row],[Homeland]]/TblConstr[[#This Row],[Land]]/nox_nightshade_swamp_bonus)</f>
        <v>#VALUE!</v>
      </c>
      <c r="CK31" s="289"/>
      <c r="CL31" s="289"/>
      <c r="CM31" s="289"/>
      <c r="CN31" s="288" t="e">
        <f aca="false">MIN(6,TblMili[[#This Row],[Mystic]]+Races!$F$19)*1.8 +  IF(TblMili[[#This Row],[Mystic]]+Races!$F$19&gt;6,(TblMili[[#This Row],[Mystic]]+Races!$F$19-6)*0.2,0) - Races!$I$19</f>
        <v>#VALUE!</v>
      </c>
      <c r="CO31" s="288" t="e">
        <f aca="false">1.8 * MIN(MAX(TblMili[[#This Row],[Druid (op)]]+Races!$E$20,TblMili[[#This Row],[Druid (dp)]]+Races!$F$20),6)  +  0.45 * MIN(MIN(TblMili[[#This Row],[Druid (op)]]+Races!$E$20,TblMili[[#This Row],[Druid (dp)]]+Races!$F$20),6)  +  0.2 * ( MAX(TblMili[[#This Row],[Druid (op)]]+Races!$E$20-6,0) + MAX(TblMili[[#This Row],[Druid (dp)]]+Races!$F$20-6,0) )  -  Races!$I$20</f>
        <v>#VALUE!</v>
      </c>
      <c r="CP31" s="69" t="e">
        <f aca="false">TblMili[[#This Row],[Mystic bonus]]*TblMili[[#This Row],[Unit 3]]+TblMili[[#This Row],[Druid bonus]]*TblMili[[#This Row],[Unit 4]]</f>
        <v>#VALUE!</v>
      </c>
      <c r="CQ31" s="148" t="e">
        <f aca="false">MIN(6,TblMili[[#This Row],[Dryad]]+Races!$F$35)*1.8 +  IF(TblMili[[#This Row],[Dryad]]+Races!$F$35&gt;6,(TblMili[[#This Row],[Dryad]]+Races!$F$35-6)*0.2,0) - Races!$I$19</f>
        <v>#VALUE!</v>
      </c>
      <c r="CR31" s="69" t="e">
        <f aca="false">sylvan*(TblMili[[#This Row],[Mystic bonus]]*TblMili[[#This Row],[Unit 3]])</f>
        <v>#VALUE!</v>
      </c>
      <c r="CS31" s="148" t="e">
        <f aca="false">1.8 * MIN(MAX(Races!$E$27,TblMili[[#This Row],[Rockapult]]+Races!$F$27),6)  +  0.45 * MIN(MIN(Races!$E$27,TblMili[[#This Row],[Rockapult]]+Races!$F$27),6)  +  0.2 * ( MAX(Races!$E$27-6,0) + MAX(TblMili[[#This Row],[Rockapult]]+Races!$F$27-6,0) )  -  Races!$I$20</f>
        <v>#VALUE!</v>
      </c>
      <c r="CT31" s="69" t="e">
        <f aca="false">gnome*(TblMili[[#This Row],[Rockapult bonus]]*TblMili[[#This Row],[Unit 3]])</f>
        <v>#VALUE!</v>
      </c>
      <c r="CU31" s="148" t="n">
        <f aca="false">1.8 * MIN(MAX(TblMili[[#This Row],[Spellblade]]+Races!$E$47,TblMili[[#This Row],[Adept-DP]]+Races!$F$47),6)  +  0.45 * MIN(MIN(TblMili[[#This Row],[Spellblade]]+Races!$E$47,TblMili[[#This Row],[Adept-DP]]+Races!$F$47),6)  +  0.2 * ( MAX(TblMili[[#This Row],[Spellblade]]+Races!$E$47-6,0) + MAX(TblMili[[#This Row],[Adept-DP]]+Races!$F$47-6,0) )  -  Races!$I$47</f>
        <v>0</v>
      </c>
      <c r="CV31" s="69" t="n">
        <f aca="false">dark_elf*(TblMili[[#This Row],[Adept bonus]]*TblMili[[#This Row],[Unit 3]])</f>
        <v>0</v>
      </c>
      <c r="CW31" s="148" t="e">
        <f aca="false">1.8 * MIN(MAX(TblMili[[#This Row],[Frost Mage]]+Races!$F$71,Races!$E$71),6)  +  0.45 * MIN(MIN(TblMili[[#This Row],[Frost Mage]]+Races!$F$71,Races!$E$71),6)  +  0.2 * ( MAX(TblMili[[#This Row],[Frost Mage]]+Races!$F$71-6,0) + MAX(Races!$E$71-6,0) )  -  Races!$I$71</f>
        <v>#VALUE!</v>
      </c>
      <c r="CX31" s="148" t="n">
        <f aca="false">1.8 * MIN(MAX(TblMili[[#This Row],[Ice Elemental]]+Races!$E$71,Races!$F$71),6)  +  0.45 * MIN(MIN(TblMili[[#This Row],[Ice Elemental]]+Races!$E$71,Races!$F$71),6)  +  0.2 * ( MAX(TblMili[[#This Row],[Ice Elemental]]+Races!$E$71-6,0) + MAX(Races!$F$71-6,0) )  -  Races!$I$71</f>
        <v>0</v>
      </c>
      <c r="CY31" s="69" t="e">
        <f aca="false">TblMili[[#This Row],[Frost Mage bonus]]*TblMili[[#This Row],[Unit 3]]+TblMili[[#This Row],[Ice Elemental bonus]]*TblMili[[#This Row],[Unit 4]]</f>
        <v>#VALUE!</v>
      </c>
      <c r="CZ31" s="290"/>
      <c r="DA31" s="109" t="n">
        <f aca="false">MIN(SUM(TblConstr[[#This Row],[Plain]:[Water]])/TblMili[[#This Row],[Land]]/favorable_terrain_bonus/100,favorable_terrain_max)</f>
        <v>0</v>
      </c>
      <c r="DB31" s="290"/>
      <c r="DC3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1" s="132"/>
      <c r="DE31" s="291" t="n">
        <f aca="false">(TblMili[[#This Row],[Wizards]]+2*TblMili[[#This Row],[Archmages]])/TblConstr[[#This Row],[Land]]</f>
        <v>0</v>
      </c>
      <c r="DF31" s="291" t="n">
        <f aca="false">TblMili[[#This Row],[Raw (2)]]*(1+race_wizard_strength+IF(TblMili[[#This Row],[Hour]]&gt;72,tech_magical_weaponry_wiz*TblTech[[#This Row],[3-5]],0))</f>
        <v>0</v>
      </c>
    </row>
    <row r="32" customFormat="false" ht="12.75" hidden="false" customHeight="false" outlineLevel="0" collapsed="false">
      <c r="A32" s="128" t="n">
        <f aca="false">TblRezone[[#This Row],[Hour]]</f>
        <v>29</v>
      </c>
      <c r="B32" s="282" t="n">
        <f aca="false">SUM(TblMili[[#This Row],[Unit 1]:[Archmages]])+SUM(OFFSET(TblMili[[#This Row],[Train Unit 1]],-8,0):TblMili[[#This Row],[Train Unit 2]]) + SUM(OFFSET(TblMili[[#This Row],[Train Unit 3]],-11,0):TblMili[[#This Row],[Train AM]]) + TblMili[[#This Row],[Draftees]]</f>
        <v>2</v>
      </c>
      <c r="C32" s="150" t="n">
        <f aca="false">TblPop[[#This Row],[Military%]]</f>
        <v>0.000444543231829295</v>
      </c>
      <c r="D32" s="132"/>
      <c r="E32" s="151" t="n">
        <f aca="false">OFFSET(TblMili[[#This Row],[Unit 1]],-1,0) + OFFSET(TblMili[[#This Row],[Train Unit 1]],-9,0) - TblMili[[#This Row],[Release Unit 1]]</f>
        <v>0</v>
      </c>
      <c r="F32" s="151" t="n">
        <f aca="false">OFFSET(TblMili[[#This Row],[Unit 2]],-1,0) + OFFSET(TblMili[[#This Row],[Train Unit 2]],-9,0)-TblMili[[#This Row],[Release Unit 2]]</f>
        <v>0</v>
      </c>
      <c r="G32" s="151" t="n">
        <f aca="false">OFFSET(TblMili[[#This Row],[Unit 3]],-1,0) + OFFSET(TblMili[[#This Row],[Train Unit 3]],-12,0)-TblMili[[#This Row],[Release Unit 3]]</f>
        <v>0</v>
      </c>
      <c r="H32" s="151" t="n">
        <f aca="false">OFFSET(TblMili[[#This Row],[Unit 4]],-1,0) + OFFSET(TblMili[[#This Row],[Train Unit 4]],-12,0)-TblMili[[#This Row],[Release Unit 4]]</f>
        <v>0</v>
      </c>
      <c r="I32" s="151" t="n">
        <f aca="false">OFFSET(TblMili[[#This Row],[Spies]],-1,0) + OFFSET(TblMili[[#This Row],[Train Spies]],-12,0) - TblMili[[#This Row],[Release Spies]]-TblMili[[#This Row],[Train AS]]</f>
        <v>0</v>
      </c>
      <c r="J32" s="151" t="n">
        <f aca="false">OFFSET(TblMili[[#This Row],[Archspies]],-1,0) + OFFSET(TblMili[[#This Row],[Train AS]],-12,0) - TblMili[[#This Row],[Release AS]]</f>
        <v>0</v>
      </c>
      <c r="K32" s="151" t="n">
        <f aca="false">OFFSET(TblMili[[#This Row],[Wizards]],-1,0) + OFFSET(TblMili[[#This Row],[Train Wiz]],-12,0) - TblMili[[#This Row],[Release Wizards]]-TblMili[[#This Row],[Train AM]]</f>
        <v>0</v>
      </c>
      <c r="L32" s="151" t="n">
        <f aca="false">OFFSET(TblMili[[#This Row],[Archmages]],-1,0) + OFFSET(TblMili[[#This Row],[Train AM]],-12,0) - TblMili[[#This Row],[Release AM]]</f>
        <v>0</v>
      </c>
      <c r="M32" s="132"/>
      <c r="N32" s="69" t="e">
        <f aca="false">TblProd[[#This Row],[Networth]]</f>
        <v>#VALUE!</v>
      </c>
      <c r="O32" s="132"/>
      <c r="P3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2" s="285" t="e">
        <f aca="false">TblMili[[#This Row],[Raw]]*(1+TblMili[[#This Row],[Mods_Off]])</f>
        <v>#VALUE!</v>
      </c>
      <c r="S3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2" s="285" t="e">
        <f aca="false">TblMili[[#This Row],[Non Draft]]+TblMili[[#This Row],[Draftees]]</f>
        <v>#VALUE!</v>
      </c>
      <c r="U32" s="286" t="n">
        <f aca="false">race_defense + TblImps[[#This Row],[Walls]] + ROUND( MIN(gt_bonus*TblConstr[[#This Row],[Tot GT]]/TblConstr[[#This Row],[Land]],gt_bonus_cap), 4) + IF(TblMagic[[#This Row],[Active Howling]]&gt;0,howling_dp_bonus,IF(TblMagic[[#This Row],[Active Ares Call]]&gt;0,ares_call_bonus))</f>
        <v>0</v>
      </c>
      <c r="V32" s="274" t="e">
        <f aca="false">TblMili[[#This Row],[Non Draft]] * (1 + TblMili[[#This Row],[Mods_Def]])</f>
        <v>#VALUE!</v>
      </c>
      <c r="W32" s="285" t="e">
        <f aca="false">TblMili[[#This Row],[Draft]] * (1 + TblMili[[#This Row],[Mods_Def]])</f>
        <v>#VALUE!</v>
      </c>
      <c r="X32" s="285" t="n">
        <f aca="false">TblConstr[[#This Row],[Land]]</f>
        <v>299</v>
      </c>
      <c r="Y32" s="287"/>
      <c r="Z32" s="109" t="n">
        <f aca="false">IF(TblMili[[#This Row],[Set]]&lt;&gt;"",TblMili[[#This Row],[Set]],OFFSET(TblMili[[#This Row],[Draftrate]],-1,0))</f>
        <v>0.9</v>
      </c>
      <c r="AA32" s="69" t="n">
        <f aca="false">OFFSET(TblMili[[#This Row],[Draftees]],-1,0)+OFFSET(TblPop[[#This Row],[Draft Growth]],-1,0) - SUM(TblMili[[#This Row],[Train Unit 1]:[Train Spies]],TblMili[[#This Row],[Train Wiz]]) - TblMili[[#This Row],[Release Draft]] + SUM(TblMili[[#This Row],[Release Unit 1]:[Release AM]]) - TblExplore[[#This Row],[Draftees (2)]]</f>
        <v>2</v>
      </c>
      <c r="AB32" s="146"/>
      <c r="AC32" s="130" t="n">
        <f aca="false">(TblConstr[[#This Row],[Tot Smi]]+TblConstr[[#This Row],[Dest Smi]])/(TblConstr[[#This Row],[Land]]-TblExplore[[#This Row],[Land Bonus]]*20)</f>
        <v>0</v>
      </c>
      <c r="AD32" s="128"/>
      <c r="AE32" s="282" t="n">
        <f aca="false">TblMili[[#This Row],[Hour]]</f>
        <v>29</v>
      </c>
      <c r="AF32" s="129" t="n">
        <f aca="false">TblExplore[[#This Row],[Time]]</f>
        <v>45430.9166666667</v>
      </c>
      <c r="AG32" s="182"/>
      <c r="AH32" s="182"/>
      <c r="AI32" s="182"/>
      <c r="AJ32" s="182"/>
      <c r="AK32" s="182"/>
      <c r="AL32" s="182"/>
      <c r="AM32" s="182"/>
      <c r="AN32" s="182"/>
      <c r="AO32" s="132"/>
      <c r="AP32" s="69" t="n">
        <f aca="false">TblProd[[#This Row],[Platinum]]</f>
        <v>38976</v>
      </c>
      <c r="AQ32" s="69" t="n">
        <f aca="false">INDEX(TblProd[[#Headers],[Lumber]]:TblProd[[#This Row],[Ore]],COUNTA(TblProd[[#Headers],[Lumber]]:TblProd[[#This Row],[Lumber]]),MATCH(Military!$AQ$2,TblProd[[#Headers],[Lumber]:[Ore]],0))</f>
        <v>0</v>
      </c>
      <c r="AR3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69" t="n">
        <f aca="false">TblMili[[#This Row],[Train Unit 1]]*TblMili[[#This Row],[OP Ore]]+TblMili[[#This Row],[Train Unit 2]]*TblMili[[#This Row],[DP Ore]]+TblMili[[#This Row],[Train Unit 3]]*TblMili[[#This Row],[E1 Ore]]+TblMili[[#This Row],[Train Unit 4]]*TblMili[[#This Row],[E2 Ore]]</f>
        <v>0</v>
      </c>
      <c r="AT32" s="132" t="n">
        <f aca="false">TblMili[[#This Row],[Hour]]</f>
        <v>29</v>
      </c>
      <c r="AU32" s="144" t="n">
        <f aca="false">TblMili[[#This Row],[Time]]</f>
        <v>45430.9166666667</v>
      </c>
      <c r="AV32" s="69" t="n">
        <f aca="false">TblMili[[#This Row],[Draftees]]</f>
        <v>2</v>
      </c>
      <c r="AW32" s="182"/>
      <c r="AX32" s="182"/>
      <c r="AY32" s="182"/>
      <c r="AZ32" s="182"/>
      <c r="BA32" s="182"/>
      <c r="BB32" s="182"/>
      <c r="BC32" s="182"/>
      <c r="BD32" s="182"/>
      <c r="BE32" s="182"/>
      <c r="BF32" s="132"/>
      <c r="BG32" s="150" t="n">
        <f aca="false">TblConstr[[#This Row],[Tot WG]]/TblConstr[[#This Row],[Land]]</f>
        <v>0</v>
      </c>
      <c r="BH32" s="150" t="n">
        <f aca="false">TblConstr[[#This Row],[Tot Hav]]/TblConstr[[#This Row],[Land]]</f>
        <v>0</v>
      </c>
      <c r="BI32" s="69" t="n">
        <f aca="false">ROUNDUP((1-MIN(TblMili[[#This Row],[Smithies]]*smithy_bonus,smithy_bonus_cap) + tech_3_5*TblTech[[#This Row],[3-5]] + tech_5_3*TblTech[[#This Row],[5-3]] + tech_5_5*TblTech[[#This Row],[5-5]])*spec_op_plat,0)</f>
        <v>300</v>
      </c>
      <c r="BJ32" s="69" t="n">
        <f aca="false">ROUNDUP(IF(race="Gnome",1,(1-MIN(TblMili[[#This Row],[Smithies]]*smithy_bonus,smithy_bonus_cap) + tech_3_5*TblTech[[#This Row],[3-5]] + tech_5_3*TblTech[[#This Row],[5-3]] + tech_5_5*TblTech[[#This Row],[5-5]]))*spec_op_ore,0)</f>
        <v>0</v>
      </c>
      <c r="BK32" s="69" t="n">
        <f aca="false">ROUNDUP((1-MIN(TblMili[[#This Row],[Smithies]]*smithy_bonus,smithy_bonus_cap) + tech_3_5*TblTech[[#This Row],[3-5]] + tech_5_3*TblTech[[#This Row],[5-3]] + tech_5_5*TblTech[[#This Row],[5-5]])*spec_dp_plat,0)</f>
        <v>300</v>
      </c>
      <c r="BL32" s="69" t="n">
        <f aca="false">ROUNDUP(IF(race="Gnome",1,(1-MIN(TblMili[[#This Row],[Smithies]]*smithy_bonus,smithy_bonus_cap) + tech_3_5*TblTech[[#This Row],[3-5]] + tech_5_3*TblTech[[#This Row],[5-3]] + tech_5_5*TblTech[[#This Row],[5-5]]))*spec_dp_ore,0)</f>
        <v>0</v>
      </c>
      <c r="BM32" s="69" t="n">
        <f aca="false">ROUNDUP((1-MIN(TblMili[[#This Row],[Smithies]]*smithy_bonus,smithy_bonus_cap) + tech_3_5*TblTech[[#This Row],[3-5]] + tech_5_3*TblTech[[#This Row],[5-3]] + tech_5_5*TblTech[[#This Row],[5-5]])*elite1_plat,0)</f>
        <v>925</v>
      </c>
      <c r="BN32" s="69" t="n">
        <f aca="false">ROUNDUP(IF(race="Gnome",1,(1-MIN(TblMili[[#This Row],[Smithies]]*smithy_bonus,smithy_bonus_cap) + tech_3_5*TblTech[[#This Row],[3-5]] + tech_5_3*TblTech[[#This Row],[5-3]] + tech_5_5*TblTech[[#This Row],[5-5]]))*elite1_ore,0)</f>
        <v>0</v>
      </c>
      <c r="BO32" s="69" t="n">
        <f aca="false">ROUNDUP((1-MIN(TblMili[[#This Row],[Smithies]]*smithy_bonus,smithy_bonus_cap) + tech_3_5*TblTech[[#This Row],[3-5]] + tech_5_3*TblTech[[#This Row],[5-3]] + tech_5_5*TblTech[[#This Row],[5-5]])*elite2_plat,0)</f>
        <v>950</v>
      </c>
      <c r="BP32" s="69" t="n">
        <f aca="false">ROUNDUP(IF(race="Gnome",1,(1-MIN(TblMili[[#This Row],[Smithies]]*smithy_bonus,smithy_bonus_cap) + tech_3_5*TblTech[[#This Row],[3-5]] + tech_5_3*TblTech[[#This Row],[5-3]] + tech_5_5*TblTech[[#This Row],[5-5]]))*elite2_ore,0)</f>
        <v>0</v>
      </c>
      <c r="BQ32" s="69" t="n">
        <f aca="false">ROUNDUP((1-MIN(ROUND(fh_spy_cost_red*TblMili[[#This Row],[FH''s]],4),fh_spy_cost_cap)+ tech_1_9*TblTech[[#This Row],[1-9]] + tech_9_1*TblTech[[#This Row],[9-1]])*spy_plat,0)</f>
        <v>500</v>
      </c>
      <c r="BR32" s="69" t="n">
        <f aca="false">ROUNDUP((1-MIN(ROUND(fh_spy_cost_red*TblMili[[#This Row],[FH''s]],4),fh_spy_cost_cap)+ tech_1_9*TblTech[[#This Row],[1-9]] + tech_9_1*TblTech[[#This Row],[9-1]])*archspy_plat,0)</f>
        <v>1000</v>
      </c>
      <c r="BS32" s="69" t="n">
        <f aca="false">ROUNDUP((1-MIN(ROUND(wg_wiz_cost_bonus*TblMili[[#This Row],[WG''s]],4),wg_wiz_cost_cap) + tech_1_9_2*TblTech[[#This Row],[1-9]] + tech_9_1_2*TblTech[[#This Row],[9-1]])*wizard_plat,0)</f>
        <v>500</v>
      </c>
      <c r="BT32" s="69" t="n">
        <f aca="false">ROUNDUP((1-MIN(ROUND(wg_wiz_cost_bonus*TblMili[[#This Row],[WG''s]],4),wg_wiz_cost_cap) + tech_1_9_2*TblTech[[#This Row],[1-9]] + tech_9_1_2*TblTech[[#This Row],[9-1]])*archmage_plat,0)</f>
        <v>1000</v>
      </c>
      <c r="BU32" s="132"/>
      <c r="BV32" s="150" t="e">
        <f aca="false">TblConstr[[#This Row],[Homeland]]/TblConstr[[#This Row],[Land]]</f>
        <v>#VALUE!</v>
      </c>
      <c r="BW32" s="150" t="n">
        <f aca="false">TblMili[[#This Row],[WG''s]]</f>
        <v>0</v>
      </c>
      <c r="BX32" s="288" t="e">
        <f aca="false">IF(mystic_cap="none",TblMili[[#This Row],[Hill]]/mystic_bonus,MIN(mystic_cap,TblMili[[#This Row],[Hill]]/mystic_bonus))</f>
        <v>#VALUE!</v>
      </c>
      <c r="BY32" s="288" t="e">
        <f aca="false">IF(druid_op_cap="none",TblMili[[#This Row],[Hill]]/druid_op_bonus,MIN(druid_op_cap,TblMili[[#This Row],[Hill]]/druid_op_bonus))</f>
        <v>#VALUE!</v>
      </c>
      <c r="BZ32" s="288" t="e">
        <f aca="false">IF(druid_dp_cap="none",TblMili[[#This Row],[Hill]]/druid_dp_bonus,MIN(druid_dp_cap,TblMili[[#This Row],[Hill]]/druid_dp_bonus))</f>
        <v>#VALUE!</v>
      </c>
      <c r="CA32" s="288" t="e">
        <f aca="false">MIN(dryad_cap,TblMili[[#This Row],[Hill]]/dryad_bonus)</f>
        <v>#VALUE!</v>
      </c>
      <c r="CB32" s="288" t="e">
        <f aca="false">MIN(rocka_cap,TblMili[[#This Row],[Hill]]/rocka_bonus)</f>
        <v>#VALUE!</v>
      </c>
      <c r="CC32" s="288" t="n">
        <f aca="false">MIN(adept_op_cap,TblMili[[#This Row],[WG]]/adept_op_bonus)</f>
        <v>0</v>
      </c>
      <c r="CD32" s="288" t="n">
        <f aca="false">MIN(adept_dp_cap,TblMili[[#This Row],[WG]]/adept_dp_bonus)</f>
        <v>0</v>
      </c>
      <c r="CE32" s="69" t="n">
        <f aca="false">MIN(TblMili[[#This Row],[Unit 3]],TblMili[[#This Row],[Unit 2]])*2</f>
        <v>0</v>
      </c>
      <c r="CF32" s="69" t="n">
        <f aca="false">MIN(TblMili[[#This Row],[Unit 1]],TblMili[[#This Row],[Unit 4]])*2</f>
        <v>0</v>
      </c>
      <c r="CG32" s="288" t="e">
        <f aca="false">MIN(frost_mage_cap,TblMili[[#This Row],[Hill]]/frost_mage_bonus)</f>
        <v>#VALUE!</v>
      </c>
      <c r="CH32" s="151" t="n">
        <f aca="false">MIN(ice_elem_cap,TblMili[[#This Row],[Raw (2)]]*ice_elem_bonus)</f>
        <v>0</v>
      </c>
      <c r="CI32" s="288" t="n">
        <f aca="false">MIN(bone_breaker_cap,250/bone_breaker_bonus)</f>
        <v>0.833333333333333</v>
      </c>
      <c r="CJ32" s="288" t="e">
        <f aca="false">MIN(nox_nightshade_cap,TblConstr[[#This Row],[Homeland]]/TblConstr[[#This Row],[Land]]/nox_nightshade_swamp_bonus)</f>
        <v>#VALUE!</v>
      </c>
      <c r="CK32" s="289"/>
      <c r="CL32" s="289"/>
      <c r="CM32" s="289"/>
      <c r="CN32" s="288" t="e">
        <f aca="false">MIN(6,TblMili[[#This Row],[Mystic]]+Races!$F$19)*1.8 +  IF(TblMili[[#This Row],[Mystic]]+Races!$F$19&gt;6,(TblMili[[#This Row],[Mystic]]+Races!$F$19-6)*0.2,0) - Races!$I$19</f>
        <v>#VALUE!</v>
      </c>
      <c r="CO32" s="288" t="e">
        <f aca="false">1.8 * MIN(MAX(TblMili[[#This Row],[Druid (op)]]+Races!$E$20,TblMili[[#This Row],[Druid (dp)]]+Races!$F$20),6)  +  0.45 * MIN(MIN(TblMili[[#This Row],[Druid (op)]]+Races!$E$20,TblMili[[#This Row],[Druid (dp)]]+Races!$F$20),6)  +  0.2 * ( MAX(TblMili[[#This Row],[Druid (op)]]+Races!$E$20-6,0) + MAX(TblMili[[#This Row],[Druid (dp)]]+Races!$F$20-6,0) )  -  Races!$I$20</f>
        <v>#VALUE!</v>
      </c>
      <c r="CP32" s="69" t="e">
        <f aca="false">TblMili[[#This Row],[Mystic bonus]]*TblMili[[#This Row],[Unit 3]]+TblMili[[#This Row],[Druid bonus]]*TblMili[[#This Row],[Unit 4]]</f>
        <v>#VALUE!</v>
      </c>
      <c r="CQ32" s="148" t="e">
        <f aca="false">MIN(6,TblMili[[#This Row],[Dryad]]+Races!$F$35)*1.8 +  IF(TblMili[[#This Row],[Dryad]]+Races!$F$35&gt;6,(TblMili[[#This Row],[Dryad]]+Races!$F$35-6)*0.2,0) - Races!$I$19</f>
        <v>#VALUE!</v>
      </c>
      <c r="CR32" s="69" t="e">
        <f aca="false">sylvan*(TblMili[[#This Row],[Mystic bonus]]*TblMili[[#This Row],[Unit 3]])</f>
        <v>#VALUE!</v>
      </c>
      <c r="CS32" s="148" t="e">
        <f aca="false">1.8 * MIN(MAX(Races!$E$27,TblMili[[#This Row],[Rockapult]]+Races!$F$27),6)  +  0.45 * MIN(MIN(Races!$E$27,TblMili[[#This Row],[Rockapult]]+Races!$F$27),6)  +  0.2 * ( MAX(Races!$E$27-6,0) + MAX(TblMili[[#This Row],[Rockapult]]+Races!$F$27-6,0) )  -  Races!$I$20</f>
        <v>#VALUE!</v>
      </c>
      <c r="CT32" s="69" t="e">
        <f aca="false">gnome*(TblMili[[#This Row],[Rockapult bonus]]*TblMili[[#This Row],[Unit 3]])</f>
        <v>#VALUE!</v>
      </c>
      <c r="CU32" s="148" t="n">
        <f aca="false">1.8 * MIN(MAX(TblMili[[#This Row],[Spellblade]]+Races!$E$47,TblMili[[#This Row],[Adept-DP]]+Races!$F$47),6)  +  0.45 * MIN(MIN(TblMili[[#This Row],[Spellblade]]+Races!$E$47,TblMili[[#This Row],[Adept-DP]]+Races!$F$47),6)  +  0.2 * ( MAX(TblMili[[#This Row],[Spellblade]]+Races!$E$47-6,0) + MAX(TblMili[[#This Row],[Adept-DP]]+Races!$F$47-6,0) )  -  Races!$I$47</f>
        <v>0</v>
      </c>
      <c r="CV32" s="69" t="n">
        <f aca="false">dark_elf*(TblMili[[#This Row],[Adept bonus]]*TblMili[[#This Row],[Unit 3]])</f>
        <v>0</v>
      </c>
      <c r="CW32" s="148" t="e">
        <f aca="false">1.8 * MIN(MAX(TblMili[[#This Row],[Frost Mage]]+Races!$F$71,Races!$E$71),6)  +  0.45 * MIN(MIN(TblMili[[#This Row],[Frost Mage]]+Races!$F$71,Races!$E$71),6)  +  0.2 * ( MAX(TblMili[[#This Row],[Frost Mage]]+Races!$F$71-6,0) + MAX(Races!$E$71-6,0) )  -  Races!$I$71</f>
        <v>#VALUE!</v>
      </c>
      <c r="CX32" s="148" t="n">
        <f aca="false">1.8 * MIN(MAX(TblMili[[#This Row],[Ice Elemental]]+Races!$E$71,Races!$F$71),6)  +  0.45 * MIN(MIN(TblMili[[#This Row],[Ice Elemental]]+Races!$E$71,Races!$F$71),6)  +  0.2 * ( MAX(TblMili[[#This Row],[Ice Elemental]]+Races!$E$71-6,0) + MAX(Races!$F$71-6,0) )  -  Races!$I$71</f>
        <v>0</v>
      </c>
      <c r="CY32" s="69" t="e">
        <f aca="false">TblMili[[#This Row],[Frost Mage bonus]]*TblMili[[#This Row],[Unit 3]]+TblMili[[#This Row],[Ice Elemental bonus]]*TblMili[[#This Row],[Unit 4]]</f>
        <v>#VALUE!</v>
      </c>
      <c r="CZ32" s="290"/>
      <c r="DA32" s="109" t="n">
        <f aca="false">MIN(SUM(TblConstr[[#This Row],[Plain]:[Water]])/TblMili[[#This Row],[Land]]/favorable_terrain_bonus/100,favorable_terrain_max)</f>
        <v>0</v>
      </c>
      <c r="DB32" s="290"/>
      <c r="DC3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2" s="132"/>
      <c r="DE32" s="291" t="n">
        <f aca="false">(TblMili[[#This Row],[Wizards]]+2*TblMili[[#This Row],[Archmages]])/TblConstr[[#This Row],[Land]]</f>
        <v>0</v>
      </c>
      <c r="DF32" s="291" t="n">
        <f aca="false">TblMili[[#This Row],[Raw (2)]]*(1+race_wizard_strength+IF(TblMili[[#This Row],[Hour]]&gt;72,tech_magical_weaponry_wiz*TblTech[[#This Row],[3-5]],0))</f>
        <v>0</v>
      </c>
    </row>
    <row r="33" customFormat="false" ht="12.75" hidden="false" customHeight="false" outlineLevel="0" collapsed="false">
      <c r="A33" s="128" t="n">
        <f aca="false">TblRezone[[#This Row],[Hour]]</f>
        <v>30</v>
      </c>
      <c r="B33" s="282" t="n">
        <f aca="false">SUM(TblMili[[#This Row],[Unit 1]:[Archmages]])+SUM(OFFSET(TblMili[[#This Row],[Train Unit 1]],-8,0):TblMili[[#This Row],[Train Unit 2]]) + SUM(OFFSET(TblMili[[#This Row],[Train Unit 3]],-11,0):TblMili[[#This Row],[Train AM]]) + TblMili[[#This Row],[Draftees]]</f>
        <v>2</v>
      </c>
      <c r="C33" s="150" t="n">
        <f aca="false">TblPop[[#This Row],[Military%]]</f>
        <v>0.000420521446593776</v>
      </c>
      <c r="D33" s="132"/>
      <c r="E33" s="151" t="n">
        <f aca="false">OFFSET(TblMili[[#This Row],[Unit 1]],-1,0) + OFFSET(TblMili[[#This Row],[Train Unit 1]],-9,0) - TblMili[[#This Row],[Release Unit 1]]</f>
        <v>0</v>
      </c>
      <c r="F33" s="151" t="n">
        <f aca="false">OFFSET(TblMili[[#This Row],[Unit 2]],-1,0) + OFFSET(TblMili[[#This Row],[Train Unit 2]],-9,0)-TblMili[[#This Row],[Release Unit 2]]</f>
        <v>0</v>
      </c>
      <c r="G33" s="151" t="n">
        <f aca="false">OFFSET(TblMili[[#This Row],[Unit 3]],-1,0) + OFFSET(TblMili[[#This Row],[Train Unit 3]],-12,0)-TblMili[[#This Row],[Release Unit 3]]</f>
        <v>0</v>
      </c>
      <c r="H33" s="151" t="n">
        <f aca="false">OFFSET(TblMili[[#This Row],[Unit 4]],-1,0) + OFFSET(TblMili[[#This Row],[Train Unit 4]],-12,0)-TblMili[[#This Row],[Release Unit 4]]</f>
        <v>0</v>
      </c>
      <c r="I33" s="151" t="n">
        <f aca="false">OFFSET(TblMili[[#This Row],[Spies]],-1,0) + OFFSET(TblMili[[#This Row],[Train Spies]],-12,0) - TblMili[[#This Row],[Release Spies]]-TblMili[[#This Row],[Train AS]]</f>
        <v>0</v>
      </c>
      <c r="J33" s="151" t="n">
        <f aca="false">OFFSET(TblMili[[#This Row],[Archspies]],-1,0) + OFFSET(TblMili[[#This Row],[Train AS]],-12,0) - TblMili[[#This Row],[Release AS]]</f>
        <v>0</v>
      </c>
      <c r="K33" s="151" t="n">
        <f aca="false">OFFSET(TblMili[[#This Row],[Wizards]],-1,0) + OFFSET(TblMili[[#This Row],[Train Wiz]],-12,0) - TblMili[[#This Row],[Release Wizards]]-TblMili[[#This Row],[Train AM]]</f>
        <v>0</v>
      </c>
      <c r="L33" s="151" t="n">
        <f aca="false">OFFSET(TblMili[[#This Row],[Archmages]],-1,0) + OFFSET(TblMili[[#This Row],[Train AM]],-12,0) - TblMili[[#This Row],[Release AM]]</f>
        <v>0</v>
      </c>
      <c r="M33" s="132"/>
      <c r="N33" s="69" t="e">
        <f aca="false">TblProd[[#This Row],[Networth]]</f>
        <v>#VALUE!</v>
      </c>
      <c r="O33" s="132"/>
      <c r="P3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3" s="285" t="e">
        <f aca="false">TblMili[[#This Row],[Raw]]*(1+TblMili[[#This Row],[Mods_Off]])</f>
        <v>#VALUE!</v>
      </c>
      <c r="S3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3" s="285" t="e">
        <f aca="false">TblMili[[#This Row],[Non Draft]]+TblMili[[#This Row],[Draftees]]</f>
        <v>#VALUE!</v>
      </c>
      <c r="U33" s="286" t="n">
        <f aca="false">race_defense + TblImps[[#This Row],[Walls]] + ROUND( MIN(gt_bonus*TblConstr[[#This Row],[Tot GT]]/TblConstr[[#This Row],[Land]],gt_bonus_cap), 4) + IF(TblMagic[[#This Row],[Active Howling]]&gt;0,howling_dp_bonus,IF(TblMagic[[#This Row],[Active Ares Call]]&gt;0,ares_call_bonus))</f>
        <v>0</v>
      </c>
      <c r="V33" s="274" t="e">
        <f aca="false">TblMili[[#This Row],[Non Draft]] * (1 + TblMili[[#This Row],[Mods_Def]])</f>
        <v>#VALUE!</v>
      </c>
      <c r="W33" s="285" t="e">
        <f aca="false">TblMili[[#This Row],[Draft]] * (1 + TblMili[[#This Row],[Mods_Def]])</f>
        <v>#VALUE!</v>
      </c>
      <c r="X33" s="285" t="n">
        <f aca="false">TblConstr[[#This Row],[Land]]</f>
        <v>369</v>
      </c>
      <c r="Y33" s="287"/>
      <c r="Z33" s="109" t="n">
        <f aca="false">IF(TblMili[[#This Row],[Set]]&lt;&gt;"",TblMili[[#This Row],[Set]],OFFSET(TblMili[[#This Row],[Draftrate]],-1,0))</f>
        <v>0.9</v>
      </c>
      <c r="AA33" s="69" t="n">
        <f aca="false">OFFSET(TblMili[[#This Row],[Draftees]],-1,0)+OFFSET(TblPop[[#This Row],[Draft Growth]],-1,0) - SUM(TblMili[[#This Row],[Train Unit 1]:[Train Spies]],TblMili[[#This Row],[Train Wiz]]) - TblMili[[#This Row],[Release Draft]] + SUM(TblMili[[#This Row],[Release Unit 1]:[Release AM]]) - TblExplore[[#This Row],[Draftees (2)]]</f>
        <v>2</v>
      </c>
      <c r="AB33" s="146"/>
      <c r="AC33" s="130" t="n">
        <f aca="false">(TblConstr[[#This Row],[Tot Smi]]+TblConstr[[#This Row],[Dest Smi]])/(TblConstr[[#This Row],[Land]]-TblExplore[[#This Row],[Land Bonus]]*20)</f>
        <v>0</v>
      </c>
      <c r="AD33" s="128"/>
      <c r="AE33" s="282" t="n">
        <f aca="false">TblMili[[#This Row],[Hour]]</f>
        <v>30</v>
      </c>
      <c r="AF33" s="129" t="n">
        <f aca="false">TblExplore[[#This Row],[Time]]</f>
        <v>45430.9583333333</v>
      </c>
      <c r="AG33" s="182"/>
      <c r="AH33" s="182"/>
      <c r="AI33" s="182"/>
      <c r="AJ33" s="182"/>
      <c r="AK33" s="182"/>
      <c r="AL33" s="182"/>
      <c r="AM33" s="182"/>
      <c r="AN33" s="182"/>
      <c r="AO33" s="132"/>
      <c r="AP33" s="69" t="n">
        <f aca="false">TblProd[[#This Row],[Platinum]]</f>
        <v>21478</v>
      </c>
      <c r="AQ33" s="69" t="n">
        <f aca="false">INDEX(TblProd[[#Headers],[Lumber]]:TblProd[[#This Row],[Ore]],COUNTA(TblProd[[#Headers],[Lumber]]:TblProd[[#This Row],[Lumber]]),MATCH(Military!$AQ$2,TblProd[[#Headers],[Lumber]:[Ore]],0))</f>
        <v>0</v>
      </c>
      <c r="AR3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69" t="n">
        <f aca="false">TblMili[[#This Row],[Train Unit 1]]*TblMili[[#This Row],[OP Ore]]+TblMili[[#This Row],[Train Unit 2]]*TblMili[[#This Row],[DP Ore]]+TblMili[[#This Row],[Train Unit 3]]*TblMili[[#This Row],[E1 Ore]]+TblMili[[#This Row],[Train Unit 4]]*TblMili[[#This Row],[E2 Ore]]</f>
        <v>0</v>
      </c>
      <c r="AT33" s="132" t="n">
        <f aca="false">TblMili[[#This Row],[Hour]]</f>
        <v>30</v>
      </c>
      <c r="AU33" s="144" t="n">
        <f aca="false">TblMili[[#This Row],[Time]]</f>
        <v>45430.9583333333</v>
      </c>
      <c r="AV33" s="69" t="n">
        <f aca="false">TblMili[[#This Row],[Draftees]]</f>
        <v>2</v>
      </c>
      <c r="AW33" s="182"/>
      <c r="AX33" s="182"/>
      <c r="AY33" s="182"/>
      <c r="AZ33" s="182"/>
      <c r="BA33" s="182"/>
      <c r="BB33" s="182"/>
      <c r="BC33" s="182"/>
      <c r="BD33" s="182"/>
      <c r="BE33" s="182"/>
      <c r="BF33" s="132"/>
      <c r="BG33" s="150" t="n">
        <f aca="false">TblConstr[[#This Row],[Tot WG]]/TblConstr[[#This Row],[Land]]</f>
        <v>0</v>
      </c>
      <c r="BH33" s="150" t="n">
        <f aca="false">TblConstr[[#This Row],[Tot Hav]]/TblConstr[[#This Row],[Land]]</f>
        <v>0</v>
      </c>
      <c r="BI33" s="69" t="n">
        <f aca="false">ROUNDUP((1-MIN(TblMili[[#This Row],[Smithies]]*smithy_bonus,smithy_bonus_cap) + tech_3_5*TblTech[[#This Row],[3-5]] + tech_5_3*TblTech[[#This Row],[5-3]] + tech_5_5*TblTech[[#This Row],[5-5]])*spec_op_plat,0)</f>
        <v>300</v>
      </c>
      <c r="BJ33" s="69" t="n">
        <f aca="false">ROUNDUP(IF(race="Gnome",1,(1-MIN(TblMili[[#This Row],[Smithies]]*smithy_bonus,smithy_bonus_cap) + tech_3_5*TblTech[[#This Row],[3-5]] + tech_5_3*TblTech[[#This Row],[5-3]] + tech_5_5*TblTech[[#This Row],[5-5]]))*spec_op_ore,0)</f>
        <v>0</v>
      </c>
      <c r="BK33" s="69" t="n">
        <f aca="false">ROUNDUP((1-MIN(TblMili[[#This Row],[Smithies]]*smithy_bonus,smithy_bonus_cap) + tech_3_5*TblTech[[#This Row],[3-5]] + tech_5_3*TblTech[[#This Row],[5-3]] + tech_5_5*TblTech[[#This Row],[5-5]])*spec_dp_plat,0)</f>
        <v>300</v>
      </c>
      <c r="BL33" s="69" t="n">
        <f aca="false">ROUNDUP(IF(race="Gnome",1,(1-MIN(TblMili[[#This Row],[Smithies]]*smithy_bonus,smithy_bonus_cap) + tech_3_5*TblTech[[#This Row],[3-5]] + tech_5_3*TblTech[[#This Row],[5-3]] + tech_5_5*TblTech[[#This Row],[5-5]]))*spec_dp_ore,0)</f>
        <v>0</v>
      </c>
      <c r="BM33" s="69" t="n">
        <f aca="false">ROUNDUP((1-MIN(TblMili[[#This Row],[Smithies]]*smithy_bonus,smithy_bonus_cap) + tech_3_5*TblTech[[#This Row],[3-5]] + tech_5_3*TblTech[[#This Row],[5-3]] + tech_5_5*TblTech[[#This Row],[5-5]])*elite1_plat,0)</f>
        <v>925</v>
      </c>
      <c r="BN33" s="69" t="n">
        <f aca="false">ROUNDUP(IF(race="Gnome",1,(1-MIN(TblMili[[#This Row],[Smithies]]*smithy_bonus,smithy_bonus_cap) + tech_3_5*TblTech[[#This Row],[3-5]] + tech_5_3*TblTech[[#This Row],[5-3]] + tech_5_5*TblTech[[#This Row],[5-5]]))*elite1_ore,0)</f>
        <v>0</v>
      </c>
      <c r="BO33" s="69" t="n">
        <f aca="false">ROUNDUP((1-MIN(TblMili[[#This Row],[Smithies]]*smithy_bonus,smithy_bonus_cap) + tech_3_5*TblTech[[#This Row],[3-5]] + tech_5_3*TblTech[[#This Row],[5-3]] + tech_5_5*TblTech[[#This Row],[5-5]])*elite2_plat,0)</f>
        <v>950</v>
      </c>
      <c r="BP33" s="69" t="n">
        <f aca="false">ROUNDUP(IF(race="Gnome",1,(1-MIN(TblMili[[#This Row],[Smithies]]*smithy_bonus,smithy_bonus_cap) + tech_3_5*TblTech[[#This Row],[3-5]] + tech_5_3*TblTech[[#This Row],[5-3]] + tech_5_5*TblTech[[#This Row],[5-5]]))*elite2_ore,0)</f>
        <v>0</v>
      </c>
      <c r="BQ33" s="69" t="n">
        <f aca="false">ROUNDUP((1-MIN(ROUND(fh_spy_cost_red*TblMili[[#This Row],[FH''s]],4),fh_spy_cost_cap)+ tech_1_9*TblTech[[#This Row],[1-9]] + tech_9_1*TblTech[[#This Row],[9-1]])*spy_plat,0)</f>
        <v>500</v>
      </c>
      <c r="BR33" s="69" t="n">
        <f aca="false">ROUNDUP((1-MIN(ROUND(fh_spy_cost_red*TblMili[[#This Row],[FH''s]],4),fh_spy_cost_cap)+ tech_1_9*TblTech[[#This Row],[1-9]] + tech_9_1*TblTech[[#This Row],[9-1]])*archspy_plat,0)</f>
        <v>1000</v>
      </c>
      <c r="BS33" s="69" t="n">
        <f aca="false">ROUNDUP((1-MIN(ROUND(wg_wiz_cost_bonus*TblMili[[#This Row],[WG''s]],4),wg_wiz_cost_cap) + tech_1_9_2*TblTech[[#This Row],[1-9]] + tech_9_1_2*TblTech[[#This Row],[9-1]])*wizard_plat,0)</f>
        <v>500</v>
      </c>
      <c r="BT33" s="69" t="n">
        <f aca="false">ROUNDUP((1-MIN(ROUND(wg_wiz_cost_bonus*TblMili[[#This Row],[WG''s]],4),wg_wiz_cost_cap) + tech_1_9_2*TblTech[[#This Row],[1-9]] + tech_9_1_2*TblTech[[#This Row],[9-1]])*archmage_plat,0)</f>
        <v>1000</v>
      </c>
      <c r="BU33" s="132"/>
      <c r="BV33" s="150" t="e">
        <f aca="false">TblConstr[[#This Row],[Homeland]]/TblConstr[[#This Row],[Land]]</f>
        <v>#VALUE!</v>
      </c>
      <c r="BW33" s="150" t="n">
        <f aca="false">TblMili[[#This Row],[WG''s]]</f>
        <v>0</v>
      </c>
      <c r="BX33" s="288" t="e">
        <f aca="false">IF(mystic_cap="none",TblMili[[#This Row],[Hill]]/mystic_bonus,MIN(mystic_cap,TblMili[[#This Row],[Hill]]/mystic_bonus))</f>
        <v>#VALUE!</v>
      </c>
      <c r="BY33" s="288" t="e">
        <f aca="false">IF(druid_op_cap="none",TblMili[[#This Row],[Hill]]/druid_op_bonus,MIN(druid_op_cap,TblMili[[#This Row],[Hill]]/druid_op_bonus))</f>
        <v>#VALUE!</v>
      </c>
      <c r="BZ33" s="288" t="e">
        <f aca="false">IF(druid_dp_cap="none",TblMili[[#This Row],[Hill]]/druid_dp_bonus,MIN(druid_dp_cap,TblMili[[#This Row],[Hill]]/druid_dp_bonus))</f>
        <v>#VALUE!</v>
      </c>
      <c r="CA33" s="288" t="e">
        <f aca="false">MIN(dryad_cap,TblMili[[#This Row],[Hill]]/dryad_bonus)</f>
        <v>#VALUE!</v>
      </c>
      <c r="CB33" s="288" t="e">
        <f aca="false">MIN(rocka_cap,TblMili[[#This Row],[Hill]]/rocka_bonus)</f>
        <v>#VALUE!</v>
      </c>
      <c r="CC33" s="288" t="n">
        <f aca="false">MIN(adept_op_cap,TblMili[[#This Row],[WG]]/adept_op_bonus)</f>
        <v>0</v>
      </c>
      <c r="CD33" s="288" t="n">
        <f aca="false">MIN(adept_dp_cap,TblMili[[#This Row],[WG]]/adept_dp_bonus)</f>
        <v>0</v>
      </c>
      <c r="CE33" s="69" t="n">
        <f aca="false">MIN(TblMili[[#This Row],[Unit 3]],TblMili[[#This Row],[Unit 2]])*2</f>
        <v>0</v>
      </c>
      <c r="CF33" s="69" t="n">
        <f aca="false">MIN(TblMili[[#This Row],[Unit 1]],TblMili[[#This Row],[Unit 4]])*2</f>
        <v>0</v>
      </c>
      <c r="CG33" s="288" t="e">
        <f aca="false">MIN(frost_mage_cap,TblMili[[#This Row],[Hill]]/frost_mage_bonus)</f>
        <v>#VALUE!</v>
      </c>
      <c r="CH33" s="151" t="n">
        <f aca="false">MIN(ice_elem_cap,TblMili[[#This Row],[Raw (2)]]*ice_elem_bonus)</f>
        <v>0</v>
      </c>
      <c r="CI33" s="288" t="n">
        <f aca="false">MIN(bone_breaker_cap,250/bone_breaker_bonus)</f>
        <v>0.833333333333333</v>
      </c>
      <c r="CJ33" s="288" t="e">
        <f aca="false">MIN(nox_nightshade_cap,TblConstr[[#This Row],[Homeland]]/TblConstr[[#This Row],[Land]]/nox_nightshade_swamp_bonus)</f>
        <v>#VALUE!</v>
      </c>
      <c r="CK33" s="289"/>
      <c r="CL33" s="289"/>
      <c r="CM33" s="289"/>
      <c r="CN33" s="288" t="e">
        <f aca="false">MIN(6,TblMili[[#This Row],[Mystic]]+Races!$F$19)*1.8 +  IF(TblMili[[#This Row],[Mystic]]+Races!$F$19&gt;6,(TblMili[[#This Row],[Mystic]]+Races!$F$19-6)*0.2,0) - Races!$I$19</f>
        <v>#VALUE!</v>
      </c>
      <c r="CO33" s="288" t="e">
        <f aca="false">1.8 * MIN(MAX(TblMili[[#This Row],[Druid (op)]]+Races!$E$20,TblMili[[#This Row],[Druid (dp)]]+Races!$F$20),6)  +  0.45 * MIN(MIN(TblMili[[#This Row],[Druid (op)]]+Races!$E$20,TblMili[[#This Row],[Druid (dp)]]+Races!$F$20),6)  +  0.2 * ( MAX(TblMili[[#This Row],[Druid (op)]]+Races!$E$20-6,0) + MAX(TblMili[[#This Row],[Druid (dp)]]+Races!$F$20-6,0) )  -  Races!$I$20</f>
        <v>#VALUE!</v>
      </c>
      <c r="CP33" s="69" t="e">
        <f aca="false">TblMili[[#This Row],[Mystic bonus]]*TblMili[[#This Row],[Unit 3]]+TblMili[[#This Row],[Druid bonus]]*TblMili[[#This Row],[Unit 4]]</f>
        <v>#VALUE!</v>
      </c>
      <c r="CQ33" s="148" t="e">
        <f aca="false">MIN(6,TblMili[[#This Row],[Dryad]]+Races!$F$35)*1.8 +  IF(TblMili[[#This Row],[Dryad]]+Races!$F$35&gt;6,(TblMili[[#This Row],[Dryad]]+Races!$F$35-6)*0.2,0) - Races!$I$19</f>
        <v>#VALUE!</v>
      </c>
      <c r="CR33" s="69" t="e">
        <f aca="false">sylvan*(TblMili[[#This Row],[Mystic bonus]]*TblMili[[#This Row],[Unit 3]])</f>
        <v>#VALUE!</v>
      </c>
      <c r="CS33" s="148" t="e">
        <f aca="false">1.8 * MIN(MAX(Races!$E$27,TblMili[[#This Row],[Rockapult]]+Races!$F$27),6)  +  0.45 * MIN(MIN(Races!$E$27,TblMili[[#This Row],[Rockapult]]+Races!$F$27),6)  +  0.2 * ( MAX(Races!$E$27-6,0) + MAX(TblMili[[#This Row],[Rockapult]]+Races!$F$27-6,0) )  -  Races!$I$20</f>
        <v>#VALUE!</v>
      </c>
      <c r="CT33" s="69" t="e">
        <f aca="false">gnome*(TblMili[[#This Row],[Rockapult bonus]]*TblMili[[#This Row],[Unit 3]])</f>
        <v>#VALUE!</v>
      </c>
      <c r="CU33" s="148" t="n">
        <f aca="false">1.8 * MIN(MAX(TblMili[[#This Row],[Spellblade]]+Races!$E$47,TblMili[[#This Row],[Adept-DP]]+Races!$F$47),6)  +  0.45 * MIN(MIN(TblMili[[#This Row],[Spellblade]]+Races!$E$47,TblMili[[#This Row],[Adept-DP]]+Races!$F$47),6)  +  0.2 * ( MAX(TblMili[[#This Row],[Spellblade]]+Races!$E$47-6,0) + MAX(TblMili[[#This Row],[Adept-DP]]+Races!$F$47-6,0) )  -  Races!$I$47</f>
        <v>0</v>
      </c>
      <c r="CV33" s="69" t="n">
        <f aca="false">dark_elf*(TblMili[[#This Row],[Adept bonus]]*TblMili[[#This Row],[Unit 3]])</f>
        <v>0</v>
      </c>
      <c r="CW33" s="148" t="e">
        <f aca="false">1.8 * MIN(MAX(TblMili[[#This Row],[Frost Mage]]+Races!$F$71,Races!$E$71),6)  +  0.45 * MIN(MIN(TblMili[[#This Row],[Frost Mage]]+Races!$F$71,Races!$E$71),6)  +  0.2 * ( MAX(TblMili[[#This Row],[Frost Mage]]+Races!$F$71-6,0) + MAX(Races!$E$71-6,0) )  -  Races!$I$71</f>
        <v>#VALUE!</v>
      </c>
      <c r="CX33" s="148" t="n">
        <f aca="false">1.8 * MIN(MAX(TblMili[[#This Row],[Ice Elemental]]+Races!$E$71,Races!$F$71),6)  +  0.45 * MIN(MIN(TblMili[[#This Row],[Ice Elemental]]+Races!$E$71,Races!$F$71),6)  +  0.2 * ( MAX(TblMili[[#This Row],[Ice Elemental]]+Races!$E$71-6,0) + MAX(Races!$F$71-6,0) )  -  Races!$I$71</f>
        <v>0</v>
      </c>
      <c r="CY33" s="69" t="e">
        <f aca="false">TblMili[[#This Row],[Frost Mage bonus]]*TblMili[[#This Row],[Unit 3]]+TblMili[[#This Row],[Ice Elemental bonus]]*TblMili[[#This Row],[Unit 4]]</f>
        <v>#VALUE!</v>
      </c>
      <c r="CZ33" s="290"/>
      <c r="DA33" s="109" t="n">
        <f aca="false">MIN(SUM(TblConstr[[#This Row],[Plain]:[Water]])/TblMili[[#This Row],[Land]]/favorable_terrain_bonus/100,favorable_terrain_max)</f>
        <v>0</v>
      </c>
      <c r="DB33" s="290"/>
      <c r="DC3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3" s="132"/>
      <c r="DE33" s="291" t="n">
        <f aca="false">(TblMili[[#This Row],[Wizards]]+2*TblMili[[#This Row],[Archmages]])/TblConstr[[#This Row],[Land]]</f>
        <v>0</v>
      </c>
      <c r="DF33" s="291" t="n">
        <f aca="false">TblMili[[#This Row],[Raw (2)]]*(1+race_wizard_strength+IF(TblMili[[#This Row],[Hour]]&gt;72,tech_magical_weaponry_wiz*TblTech[[#This Row],[3-5]],0))</f>
        <v>0</v>
      </c>
    </row>
    <row r="34" customFormat="false" ht="12.75" hidden="false" customHeight="false" outlineLevel="0" collapsed="false">
      <c r="A34" s="128" t="n">
        <f aca="false">TblRezone[[#This Row],[Hour]]</f>
        <v>31</v>
      </c>
      <c r="B34" s="282" t="n">
        <f aca="false">SUM(TblMili[[#This Row],[Unit 1]:[Archmages]])+SUM(OFFSET(TblMili[[#This Row],[Train Unit 1]],-8,0):TblMili[[#This Row],[Train Unit 2]]) + SUM(OFFSET(TblMili[[#This Row],[Train Unit 3]],-11,0):TblMili[[#This Row],[Train AM]]) + TblMili[[#This Row],[Draftees]]</f>
        <v>0</v>
      </c>
      <c r="C34" s="150" t="n">
        <f aca="false">TblPop[[#This Row],[Military%]]</f>
        <v>0</v>
      </c>
      <c r="D34" s="132"/>
      <c r="E34" s="151" t="n">
        <f aca="false">OFFSET(TblMili[[#This Row],[Unit 1]],-1,0) + OFFSET(TblMili[[#This Row],[Train Unit 1]],-9,0) - TblMili[[#This Row],[Release Unit 1]]</f>
        <v>0</v>
      </c>
      <c r="F34" s="151" t="n">
        <f aca="false">OFFSET(TblMili[[#This Row],[Unit 2]],-1,0) + OFFSET(TblMili[[#This Row],[Train Unit 2]],-9,0)-TblMili[[#This Row],[Release Unit 2]]</f>
        <v>0</v>
      </c>
      <c r="G34" s="151" t="n">
        <f aca="false">OFFSET(TblMili[[#This Row],[Unit 3]],-1,0) + OFFSET(TblMili[[#This Row],[Train Unit 3]],-12,0)-TblMili[[#This Row],[Release Unit 3]]</f>
        <v>0</v>
      </c>
      <c r="H34" s="151" t="n">
        <f aca="false">OFFSET(TblMili[[#This Row],[Unit 4]],-1,0) + OFFSET(TblMili[[#This Row],[Train Unit 4]],-12,0)-TblMili[[#This Row],[Release Unit 4]]</f>
        <v>0</v>
      </c>
      <c r="I34" s="151" t="n">
        <f aca="false">OFFSET(TblMili[[#This Row],[Spies]],-1,0) + OFFSET(TblMili[[#This Row],[Train Spies]],-12,0) - TblMili[[#This Row],[Release Spies]]-TblMili[[#This Row],[Train AS]]</f>
        <v>0</v>
      </c>
      <c r="J34" s="151" t="n">
        <f aca="false">OFFSET(TblMili[[#This Row],[Archspies]],-1,0) + OFFSET(TblMili[[#This Row],[Train AS]],-12,0) - TblMili[[#This Row],[Release AS]]</f>
        <v>0</v>
      </c>
      <c r="K34" s="151" t="n">
        <f aca="false">OFFSET(TblMili[[#This Row],[Wizards]],-1,0) + OFFSET(TblMili[[#This Row],[Train Wiz]],-12,0) - TblMili[[#This Row],[Release Wizards]]-TblMili[[#This Row],[Train AM]]</f>
        <v>0</v>
      </c>
      <c r="L34" s="151" t="n">
        <f aca="false">OFFSET(TblMili[[#This Row],[Archmages]],-1,0) + OFFSET(TblMili[[#This Row],[Train AM]],-12,0) - TblMili[[#This Row],[Release AM]]</f>
        <v>0</v>
      </c>
      <c r="M34" s="132"/>
      <c r="N34" s="69" t="e">
        <f aca="false">TblProd[[#This Row],[Networth]]</f>
        <v>#VALUE!</v>
      </c>
      <c r="O34" s="132"/>
      <c r="P3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4" s="285" t="e">
        <f aca="false">TblMili[[#This Row],[Raw]]*(1+TblMili[[#This Row],[Mods_Off]])</f>
        <v>#VALUE!</v>
      </c>
      <c r="S3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4" s="285" t="e">
        <f aca="false">TblMili[[#This Row],[Non Draft]]+TblMili[[#This Row],[Draftees]]</f>
        <v>#VALUE!</v>
      </c>
      <c r="U34" s="286" t="n">
        <f aca="false">race_defense + TblImps[[#This Row],[Walls]] + ROUND( MIN(gt_bonus*TblConstr[[#This Row],[Tot GT]]/TblConstr[[#This Row],[Land]],gt_bonus_cap), 4) + IF(TblMagic[[#This Row],[Active Howling]]&gt;0,howling_dp_bonus,IF(TblMagic[[#This Row],[Active Ares Call]]&gt;0,ares_call_bonus))</f>
        <v>0</v>
      </c>
      <c r="V34" s="274" t="e">
        <f aca="false">TblMili[[#This Row],[Non Draft]] * (1 + TblMili[[#This Row],[Mods_Def]])</f>
        <v>#VALUE!</v>
      </c>
      <c r="W34" s="285" t="e">
        <f aca="false">TblMili[[#This Row],[Draft]] * (1 + TblMili[[#This Row],[Mods_Def]])</f>
        <v>#VALUE!</v>
      </c>
      <c r="X34" s="285" t="n">
        <f aca="false">TblConstr[[#This Row],[Land]]</f>
        <v>380</v>
      </c>
      <c r="Y34" s="287"/>
      <c r="Z34" s="109" t="n">
        <f aca="false">IF(TblMili[[#This Row],[Set]]&lt;&gt;"",TblMili[[#This Row],[Set]],OFFSET(TblMili[[#This Row],[Draftrate]],-1,0))</f>
        <v>0.9</v>
      </c>
      <c r="AA34" s="69" t="n">
        <f aca="false">OFFSET(TblMili[[#This Row],[Draftees]],-1,0)+OFFSET(TblPop[[#This Row],[Draft Growth]],-1,0) - SUM(TblMili[[#This Row],[Train Unit 1]:[Train Spies]],TblMili[[#This Row],[Train Wiz]]) - TblMili[[#This Row],[Release Draft]] + SUM(TblMili[[#This Row],[Release Unit 1]:[Release AM]]) - TblExplore[[#This Row],[Draftees (2)]]</f>
        <v>0</v>
      </c>
      <c r="AB34" s="146"/>
      <c r="AC34" s="130" t="n">
        <f aca="false">(TblConstr[[#This Row],[Tot Smi]]+TblConstr[[#This Row],[Dest Smi]])/(TblConstr[[#This Row],[Land]]-TblExplore[[#This Row],[Land Bonus]]*20)</f>
        <v>0</v>
      </c>
      <c r="AD34" s="128"/>
      <c r="AE34" s="282" t="n">
        <f aca="false">TblMili[[#This Row],[Hour]]</f>
        <v>31</v>
      </c>
      <c r="AF34" s="129" t="n">
        <f aca="false">TblExplore[[#This Row],[Time]]</f>
        <v>45431</v>
      </c>
      <c r="AG34" s="182"/>
      <c r="AH34" s="182"/>
      <c r="AI34" s="182"/>
      <c r="AJ34" s="182"/>
      <c r="AK34" s="182"/>
      <c r="AL34" s="182"/>
      <c r="AM34" s="182"/>
      <c r="AN34" s="182"/>
      <c r="AO34" s="132"/>
      <c r="AP34" s="69" t="n">
        <f aca="false">TblProd[[#This Row],[Platinum]]</f>
        <v>26412</v>
      </c>
      <c r="AQ34" s="69" t="n">
        <f aca="false">INDEX(TblProd[[#Headers],[Lumber]]:TblProd[[#This Row],[Ore]],COUNTA(TblProd[[#Headers],[Lumber]]:TblProd[[#This Row],[Lumber]]),MATCH(Military!$AQ$2,TblProd[[#Headers],[Lumber]:[Ore]],0))</f>
        <v>0</v>
      </c>
      <c r="AR3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69" t="n">
        <f aca="false">TblMili[[#This Row],[Train Unit 1]]*TblMili[[#This Row],[OP Ore]]+TblMili[[#This Row],[Train Unit 2]]*TblMili[[#This Row],[DP Ore]]+TblMili[[#This Row],[Train Unit 3]]*TblMili[[#This Row],[E1 Ore]]+TblMili[[#This Row],[Train Unit 4]]*TblMili[[#This Row],[E2 Ore]]</f>
        <v>0</v>
      </c>
      <c r="AT34" s="132" t="n">
        <f aca="false">TblMili[[#This Row],[Hour]]</f>
        <v>31</v>
      </c>
      <c r="AU34" s="144" t="n">
        <f aca="false">TblMili[[#This Row],[Time]]</f>
        <v>45431</v>
      </c>
      <c r="AV34" s="69" t="n">
        <f aca="false">TblMili[[#This Row],[Draftees]]</f>
        <v>0</v>
      </c>
      <c r="AW34" s="182"/>
      <c r="AX34" s="182"/>
      <c r="AY34" s="182"/>
      <c r="AZ34" s="182"/>
      <c r="BA34" s="182"/>
      <c r="BB34" s="182"/>
      <c r="BC34" s="182"/>
      <c r="BD34" s="182"/>
      <c r="BE34" s="182"/>
      <c r="BF34" s="132"/>
      <c r="BG34" s="150" t="n">
        <f aca="false">TblConstr[[#This Row],[Tot WG]]/TblConstr[[#This Row],[Land]]</f>
        <v>0</v>
      </c>
      <c r="BH34" s="150" t="n">
        <f aca="false">TblConstr[[#This Row],[Tot Hav]]/TblConstr[[#This Row],[Land]]</f>
        <v>0</v>
      </c>
      <c r="BI34" s="69" t="n">
        <f aca="false">ROUNDUP((1-MIN(TblMili[[#This Row],[Smithies]]*smithy_bonus,smithy_bonus_cap) + tech_3_5*TblTech[[#This Row],[3-5]] + tech_5_3*TblTech[[#This Row],[5-3]] + tech_5_5*TblTech[[#This Row],[5-5]])*spec_op_plat,0)</f>
        <v>300</v>
      </c>
      <c r="BJ34" s="69" t="n">
        <f aca="false">ROUNDUP(IF(race="Gnome",1,(1-MIN(TblMili[[#This Row],[Smithies]]*smithy_bonus,smithy_bonus_cap) + tech_3_5*TblTech[[#This Row],[3-5]] + tech_5_3*TblTech[[#This Row],[5-3]] + tech_5_5*TblTech[[#This Row],[5-5]]))*spec_op_ore,0)</f>
        <v>0</v>
      </c>
      <c r="BK34" s="69" t="n">
        <f aca="false">ROUNDUP((1-MIN(TblMili[[#This Row],[Smithies]]*smithy_bonus,smithy_bonus_cap) + tech_3_5*TblTech[[#This Row],[3-5]] + tech_5_3*TblTech[[#This Row],[5-3]] + tech_5_5*TblTech[[#This Row],[5-5]])*spec_dp_plat,0)</f>
        <v>300</v>
      </c>
      <c r="BL34" s="69" t="n">
        <f aca="false">ROUNDUP(IF(race="Gnome",1,(1-MIN(TblMili[[#This Row],[Smithies]]*smithy_bonus,smithy_bonus_cap) + tech_3_5*TblTech[[#This Row],[3-5]] + tech_5_3*TblTech[[#This Row],[5-3]] + tech_5_5*TblTech[[#This Row],[5-5]]))*spec_dp_ore,0)</f>
        <v>0</v>
      </c>
      <c r="BM34" s="69" t="n">
        <f aca="false">ROUNDUP((1-MIN(TblMili[[#This Row],[Smithies]]*smithy_bonus,smithy_bonus_cap) + tech_3_5*TblTech[[#This Row],[3-5]] + tech_5_3*TblTech[[#This Row],[5-3]] + tech_5_5*TblTech[[#This Row],[5-5]])*elite1_plat,0)</f>
        <v>925</v>
      </c>
      <c r="BN34" s="69" t="n">
        <f aca="false">ROUNDUP(IF(race="Gnome",1,(1-MIN(TblMili[[#This Row],[Smithies]]*smithy_bonus,smithy_bonus_cap) + tech_3_5*TblTech[[#This Row],[3-5]] + tech_5_3*TblTech[[#This Row],[5-3]] + tech_5_5*TblTech[[#This Row],[5-5]]))*elite1_ore,0)</f>
        <v>0</v>
      </c>
      <c r="BO34" s="69" t="n">
        <f aca="false">ROUNDUP((1-MIN(TblMili[[#This Row],[Smithies]]*smithy_bonus,smithy_bonus_cap) + tech_3_5*TblTech[[#This Row],[3-5]] + tech_5_3*TblTech[[#This Row],[5-3]] + tech_5_5*TblTech[[#This Row],[5-5]])*elite2_plat,0)</f>
        <v>950</v>
      </c>
      <c r="BP34" s="69" t="n">
        <f aca="false">ROUNDUP(IF(race="Gnome",1,(1-MIN(TblMili[[#This Row],[Smithies]]*smithy_bonus,smithy_bonus_cap) + tech_3_5*TblTech[[#This Row],[3-5]] + tech_5_3*TblTech[[#This Row],[5-3]] + tech_5_5*TblTech[[#This Row],[5-5]]))*elite2_ore,0)</f>
        <v>0</v>
      </c>
      <c r="BQ34" s="69" t="n">
        <f aca="false">ROUNDUP((1-MIN(ROUND(fh_spy_cost_red*TblMili[[#This Row],[FH''s]],4),fh_spy_cost_cap)+ tech_1_9*TblTech[[#This Row],[1-9]] + tech_9_1*TblTech[[#This Row],[9-1]])*spy_plat,0)</f>
        <v>500</v>
      </c>
      <c r="BR34" s="69" t="n">
        <f aca="false">ROUNDUP((1-MIN(ROUND(fh_spy_cost_red*TblMili[[#This Row],[FH''s]],4),fh_spy_cost_cap)+ tech_1_9*TblTech[[#This Row],[1-9]] + tech_9_1*TblTech[[#This Row],[9-1]])*archspy_plat,0)</f>
        <v>1000</v>
      </c>
      <c r="BS34" s="69" t="n">
        <f aca="false">ROUNDUP((1-MIN(ROUND(wg_wiz_cost_bonus*TblMili[[#This Row],[WG''s]],4),wg_wiz_cost_cap) + tech_1_9_2*TblTech[[#This Row],[1-9]] + tech_9_1_2*TblTech[[#This Row],[9-1]])*wizard_plat,0)</f>
        <v>500</v>
      </c>
      <c r="BT34" s="69" t="n">
        <f aca="false">ROUNDUP((1-MIN(ROUND(wg_wiz_cost_bonus*TblMili[[#This Row],[WG''s]],4),wg_wiz_cost_cap) + tech_1_9_2*TblTech[[#This Row],[1-9]] + tech_9_1_2*TblTech[[#This Row],[9-1]])*archmage_plat,0)</f>
        <v>1000</v>
      </c>
      <c r="BU34" s="132"/>
      <c r="BV34" s="150" t="e">
        <f aca="false">TblConstr[[#This Row],[Homeland]]/TblConstr[[#This Row],[Land]]</f>
        <v>#VALUE!</v>
      </c>
      <c r="BW34" s="150" t="n">
        <f aca="false">TblMili[[#This Row],[WG''s]]</f>
        <v>0</v>
      </c>
      <c r="BX34" s="288" t="e">
        <f aca="false">IF(mystic_cap="none",TblMili[[#This Row],[Hill]]/mystic_bonus,MIN(mystic_cap,TblMili[[#This Row],[Hill]]/mystic_bonus))</f>
        <v>#VALUE!</v>
      </c>
      <c r="BY34" s="288" t="e">
        <f aca="false">IF(druid_op_cap="none",TblMili[[#This Row],[Hill]]/druid_op_bonus,MIN(druid_op_cap,TblMili[[#This Row],[Hill]]/druid_op_bonus))</f>
        <v>#VALUE!</v>
      </c>
      <c r="BZ34" s="288" t="e">
        <f aca="false">IF(druid_dp_cap="none",TblMili[[#This Row],[Hill]]/druid_dp_bonus,MIN(druid_dp_cap,TblMili[[#This Row],[Hill]]/druid_dp_bonus))</f>
        <v>#VALUE!</v>
      </c>
      <c r="CA34" s="288" t="e">
        <f aca="false">MIN(dryad_cap,TblMili[[#This Row],[Hill]]/dryad_bonus)</f>
        <v>#VALUE!</v>
      </c>
      <c r="CB34" s="288" t="e">
        <f aca="false">MIN(rocka_cap,TblMili[[#This Row],[Hill]]/rocka_bonus)</f>
        <v>#VALUE!</v>
      </c>
      <c r="CC34" s="288" t="n">
        <f aca="false">MIN(adept_op_cap,TblMili[[#This Row],[WG]]/adept_op_bonus)</f>
        <v>0</v>
      </c>
      <c r="CD34" s="288" t="n">
        <f aca="false">MIN(adept_dp_cap,TblMili[[#This Row],[WG]]/adept_dp_bonus)</f>
        <v>0</v>
      </c>
      <c r="CE34" s="69" t="n">
        <f aca="false">MIN(TblMili[[#This Row],[Unit 3]],TblMili[[#This Row],[Unit 2]])*2</f>
        <v>0</v>
      </c>
      <c r="CF34" s="69" t="n">
        <f aca="false">MIN(TblMili[[#This Row],[Unit 1]],TblMili[[#This Row],[Unit 4]])*2</f>
        <v>0</v>
      </c>
      <c r="CG34" s="288" t="e">
        <f aca="false">MIN(frost_mage_cap,TblMili[[#This Row],[Hill]]/frost_mage_bonus)</f>
        <v>#VALUE!</v>
      </c>
      <c r="CH34" s="151" t="n">
        <f aca="false">MIN(ice_elem_cap,TblMili[[#This Row],[Raw (2)]]*ice_elem_bonus)</f>
        <v>0</v>
      </c>
      <c r="CI34" s="288" t="n">
        <f aca="false">MIN(bone_breaker_cap,250/bone_breaker_bonus)</f>
        <v>0.833333333333333</v>
      </c>
      <c r="CJ34" s="288" t="e">
        <f aca="false">MIN(nox_nightshade_cap,TblConstr[[#This Row],[Homeland]]/TblConstr[[#This Row],[Land]]/nox_nightshade_swamp_bonus)</f>
        <v>#VALUE!</v>
      </c>
      <c r="CK34" s="289"/>
      <c r="CL34" s="289"/>
      <c r="CM34" s="289"/>
      <c r="CN34" s="288" t="e">
        <f aca="false">MIN(6,TblMili[[#This Row],[Mystic]]+Races!$F$19)*1.8 +  IF(TblMili[[#This Row],[Mystic]]+Races!$F$19&gt;6,(TblMili[[#This Row],[Mystic]]+Races!$F$19-6)*0.2,0) - Races!$I$19</f>
        <v>#VALUE!</v>
      </c>
      <c r="CO34" s="288" t="e">
        <f aca="false">1.8 * MIN(MAX(TblMili[[#This Row],[Druid (op)]]+Races!$E$20,TblMili[[#This Row],[Druid (dp)]]+Races!$F$20),6)  +  0.45 * MIN(MIN(TblMili[[#This Row],[Druid (op)]]+Races!$E$20,TblMili[[#This Row],[Druid (dp)]]+Races!$F$20),6)  +  0.2 * ( MAX(TblMili[[#This Row],[Druid (op)]]+Races!$E$20-6,0) + MAX(TblMili[[#This Row],[Druid (dp)]]+Races!$F$20-6,0) )  -  Races!$I$20</f>
        <v>#VALUE!</v>
      </c>
      <c r="CP34" s="69" t="e">
        <f aca="false">TblMili[[#This Row],[Mystic bonus]]*TblMili[[#This Row],[Unit 3]]+TblMili[[#This Row],[Druid bonus]]*TblMili[[#This Row],[Unit 4]]</f>
        <v>#VALUE!</v>
      </c>
      <c r="CQ34" s="148" t="e">
        <f aca="false">MIN(6,TblMili[[#This Row],[Dryad]]+Races!$F$35)*1.8 +  IF(TblMili[[#This Row],[Dryad]]+Races!$F$35&gt;6,(TblMili[[#This Row],[Dryad]]+Races!$F$35-6)*0.2,0) - Races!$I$19</f>
        <v>#VALUE!</v>
      </c>
      <c r="CR34" s="69" t="e">
        <f aca="false">sylvan*(TblMili[[#This Row],[Mystic bonus]]*TblMili[[#This Row],[Unit 3]])</f>
        <v>#VALUE!</v>
      </c>
      <c r="CS34" s="148" t="e">
        <f aca="false">1.8 * MIN(MAX(Races!$E$27,TblMili[[#This Row],[Rockapult]]+Races!$F$27),6)  +  0.45 * MIN(MIN(Races!$E$27,TblMili[[#This Row],[Rockapult]]+Races!$F$27),6)  +  0.2 * ( MAX(Races!$E$27-6,0) + MAX(TblMili[[#This Row],[Rockapult]]+Races!$F$27-6,0) )  -  Races!$I$20</f>
        <v>#VALUE!</v>
      </c>
      <c r="CT34" s="69" t="e">
        <f aca="false">gnome*(TblMili[[#This Row],[Rockapult bonus]]*TblMili[[#This Row],[Unit 3]])</f>
        <v>#VALUE!</v>
      </c>
      <c r="CU34" s="148" t="n">
        <f aca="false">1.8 * MIN(MAX(TblMili[[#This Row],[Spellblade]]+Races!$E$47,TblMili[[#This Row],[Adept-DP]]+Races!$F$47),6)  +  0.45 * MIN(MIN(TblMili[[#This Row],[Spellblade]]+Races!$E$47,TblMili[[#This Row],[Adept-DP]]+Races!$F$47),6)  +  0.2 * ( MAX(TblMili[[#This Row],[Spellblade]]+Races!$E$47-6,0) + MAX(TblMili[[#This Row],[Adept-DP]]+Races!$F$47-6,0) )  -  Races!$I$47</f>
        <v>0</v>
      </c>
      <c r="CV34" s="69" t="n">
        <f aca="false">dark_elf*(TblMili[[#This Row],[Adept bonus]]*TblMili[[#This Row],[Unit 3]])</f>
        <v>0</v>
      </c>
      <c r="CW34" s="148" t="e">
        <f aca="false">1.8 * MIN(MAX(TblMili[[#This Row],[Frost Mage]]+Races!$F$71,Races!$E$71),6)  +  0.45 * MIN(MIN(TblMili[[#This Row],[Frost Mage]]+Races!$F$71,Races!$E$71),6)  +  0.2 * ( MAX(TblMili[[#This Row],[Frost Mage]]+Races!$F$71-6,0) + MAX(Races!$E$71-6,0) )  -  Races!$I$71</f>
        <v>#VALUE!</v>
      </c>
      <c r="CX34" s="148" t="n">
        <f aca="false">1.8 * MIN(MAX(TblMili[[#This Row],[Ice Elemental]]+Races!$E$71,Races!$F$71),6)  +  0.45 * MIN(MIN(TblMili[[#This Row],[Ice Elemental]]+Races!$E$71,Races!$F$71),6)  +  0.2 * ( MAX(TblMili[[#This Row],[Ice Elemental]]+Races!$E$71-6,0) + MAX(Races!$F$71-6,0) )  -  Races!$I$71</f>
        <v>0</v>
      </c>
      <c r="CY34" s="69" t="e">
        <f aca="false">TblMili[[#This Row],[Frost Mage bonus]]*TblMili[[#This Row],[Unit 3]]+TblMili[[#This Row],[Ice Elemental bonus]]*TblMili[[#This Row],[Unit 4]]</f>
        <v>#VALUE!</v>
      </c>
      <c r="CZ34" s="290"/>
      <c r="DA34" s="109" t="n">
        <f aca="false">MIN(SUM(TblConstr[[#This Row],[Plain]:[Water]])/TblMili[[#This Row],[Land]]/favorable_terrain_bonus/100,favorable_terrain_max)</f>
        <v>0</v>
      </c>
      <c r="DB34" s="290"/>
      <c r="DC3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4" s="132"/>
      <c r="DE34" s="291" t="n">
        <f aca="false">(TblMili[[#This Row],[Wizards]]+2*TblMili[[#This Row],[Archmages]])/TblConstr[[#This Row],[Land]]</f>
        <v>0</v>
      </c>
      <c r="DF34" s="291" t="n">
        <f aca="false">TblMili[[#This Row],[Raw (2)]]*(1+race_wizard_strength+IF(TblMili[[#This Row],[Hour]]&gt;72,tech_magical_weaponry_wiz*TblTech[[#This Row],[3-5]],0))</f>
        <v>0</v>
      </c>
    </row>
    <row r="35" customFormat="false" ht="12.75" hidden="false" customHeight="false" outlineLevel="0" collapsed="false">
      <c r="A35" s="128" t="n">
        <f aca="false">TblRezone[[#This Row],[Hour]]</f>
        <v>32</v>
      </c>
      <c r="B35" s="282" t="n">
        <f aca="false">SUM(TblMili[[#This Row],[Unit 1]:[Archmages]])+SUM(OFFSET(TblMili[[#This Row],[Train Unit 1]],-8,0):TblMili[[#This Row],[Train Unit 2]]) + SUM(OFFSET(TblMili[[#This Row],[Train Unit 3]],-11,0):TblMili[[#This Row],[Train AM]]) + TblMili[[#This Row],[Draftees]]</f>
        <v>0</v>
      </c>
      <c r="C35" s="150" t="n">
        <f aca="false">TblPop[[#This Row],[Military%]]</f>
        <v>0</v>
      </c>
      <c r="D35" s="132"/>
      <c r="E35" s="151" t="n">
        <f aca="false">OFFSET(TblMili[[#This Row],[Unit 1]],-1,0) + OFFSET(TblMili[[#This Row],[Train Unit 1]],-9,0) - TblMili[[#This Row],[Release Unit 1]]</f>
        <v>0</v>
      </c>
      <c r="F35" s="151" t="n">
        <f aca="false">OFFSET(TblMili[[#This Row],[Unit 2]],-1,0) + OFFSET(TblMili[[#This Row],[Train Unit 2]],-9,0)-TblMili[[#This Row],[Release Unit 2]]</f>
        <v>0</v>
      </c>
      <c r="G35" s="151" t="n">
        <f aca="false">OFFSET(TblMili[[#This Row],[Unit 3]],-1,0) + OFFSET(TblMili[[#This Row],[Train Unit 3]],-12,0)-TblMili[[#This Row],[Release Unit 3]]</f>
        <v>0</v>
      </c>
      <c r="H35" s="151" t="n">
        <f aca="false">OFFSET(TblMili[[#This Row],[Unit 4]],-1,0) + OFFSET(TblMili[[#This Row],[Train Unit 4]],-12,0)-TblMili[[#This Row],[Release Unit 4]]</f>
        <v>0</v>
      </c>
      <c r="I35" s="151" t="n">
        <f aca="false">OFFSET(TblMili[[#This Row],[Spies]],-1,0) + OFFSET(TblMili[[#This Row],[Train Spies]],-12,0) - TblMili[[#This Row],[Release Spies]]-TblMili[[#This Row],[Train AS]]</f>
        <v>0</v>
      </c>
      <c r="J35" s="151" t="n">
        <f aca="false">OFFSET(TblMili[[#This Row],[Archspies]],-1,0) + OFFSET(TblMili[[#This Row],[Train AS]],-12,0) - TblMili[[#This Row],[Release AS]]</f>
        <v>0</v>
      </c>
      <c r="K35" s="151" t="n">
        <f aca="false">OFFSET(TblMili[[#This Row],[Wizards]],-1,0) + OFFSET(TblMili[[#This Row],[Train Wiz]],-12,0) - TblMili[[#This Row],[Release Wizards]]-TblMili[[#This Row],[Train AM]]</f>
        <v>0</v>
      </c>
      <c r="L35" s="151" t="n">
        <f aca="false">OFFSET(TblMili[[#This Row],[Archmages]],-1,0) + OFFSET(TblMili[[#This Row],[Train AM]],-12,0) - TblMili[[#This Row],[Release AM]]</f>
        <v>0</v>
      </c>
      <c r="M35" s="132"/>
      <c r="N35" s="69" t="e">
        <f aca="false">TblProd[[#This Row],[Networth]]</f>
        <v>#VALUE!</v>
      </c>
      <c r="O35" s="132"/>
      <c r="P3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5" s="285" t="e">
        <f aca="false">TblMili[[#This Row],[Raw]]*(1+TblMili[[#This Row],[Mods_Off]])</f>
        <v>#VALUE!</v>
      </c>
      <c r="S3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5" s="285" t="e">
        <f aca="false">TblMili[[#This Row],[Non Draft]]+TblMili[[#This Row],[Draftees]]</f>
        <v>#VALUE!</v>
      </c>
      <c r="U35" s="286" t="n">
        <f aca="false">race_defense + TblImps[[#This Row],[Walls]] + ROUND( MIN(gt_bonus*TblConstr[[#This Row],[Tot GT]]/TblConstr[[#This Row],[Land]],gt_bonus_cap), 4) + IF(TblMagic[[#This Row],[Active Howling]]&gt;0,howling_dp_bonus,IF(TblMagic[[#This Row],[Active Ares Call]]&gt;0,ares_call_bonus))</f>
        <v>0</v>
      </c>
      <c r="V35" s="274" t="e">
        <f aca="false">TblMili[[#This Row],[Non Draft]] * (1 + TblMili[[#This Row],[Mods_Def]])</f>
        <v>#VALUE!</v>
      </c>
      <c r="W35" s="285" t="e">
        <f aca="false">TblMili[[#This Row],[Draft]] * (1 + TblMili[[#This Row],[Mods_Def]])</f>
        <v>#VALUE!</v>
      </c>
      <c r="X35" s="285" t="n">
        <f aca="false">TblConstr[[#This Row],[Land]]</f>
        <v>392</v>
      </c>
      <c r="Y35" s="287"/>
      <c r="Z35" s="109" t="n">
        <f aca="false">IF(TblMili[[#This Row],[Set]]&lt;&gt;"",TblMili[[#This Row],[Set]],OFFSET(TblMili[[#This Row],[Draftrate]],-1,0))</f>
        <v>0.9</v>
      </c>
      <c r="AA35" s="69" t="n">
        <f aca="false">OFFSET(TblMili[[#This Row],[Draftees]],-1,0)+OFFSET(TblPop[[#This Row],[Draft Growth]],-1,0) - SUM(TblMili[[#This Row],[Train Unit 1]:[Train Spies]],TblMili[[#This Row],[Train Wiz]]) - TblMili[[#This Row],[Release Draft]] + SUM(TblMili[[#This Row],[Release Unit 1]:[Release AM]]) - TblExplore[[#This Row],[Draftees (2)]]</f>
        <v>0</v>
      </c>
      <c r="AB35" s="146"/>
      <c r="AC35" s="130" t="n">
        <f aca="false">(TblConstr[[#This Row],[Tot Smi]]+TblConstr[[#This Row],[Dest Smi]])/(TblConstr[[#This Row],[Land]]-TblExplore[[#This Row],[Land Bonus]]*20)</f>
        <v>0</v>
      </c>
      <c r="AD35" s="128"/>
      <c r="AE35" s="282" t="n">
        <f aca="false">TblMili[[#This Row],[Hour]]</f>
        <v>32</v>
      </c>
      <c r="AF35" s="129" t="n">
        <f aca="false">TblExplore[[#This Row],[Time]]</f>
        <v>45431.0416666667</v>
      </c>
      <c r="AG35" s="182"/>
      <c r="AH35" s="182"/>
      <c r="AI35" s="182"/>
      <c r="AJ35" s="182"/>
      <c r="AK35" s="182"/>
      <c r="AL35" s="182"/>
      <c r="AM35" s="182"/>
      <c r="AN35" s="182"/>
      <c r="AO35" s="132"/>
      <c r="AP35" s="69" t="n">
        <f aca="false">TblProd[[#This Row],[Platinum]]</f>
        <v>31118</v>
      </c>
      <c r="AQ35" s="69" t="n">
        <f aca="false">INDEX(TblProd[[#Headers],[Lumber]]:TblProd[[#This Row],[Ore]],COUNTA(TblProd[[#Headers],[Lumber]]:TblProd[[#This Row],[Lumber]]),MATCH(Military!$AQ$2,TblProd[[#Headers],[Lumber]:[Ore]],0))</f>
        <v>0</v>
      </c>
      <c r="AR3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69" t="n">
        <f aca="false">TblMili[[#This Row],[Train Unit 1]]*TblMili[[#This Row],[OP Ore]]+TblMili[[#This Row],[Train Unit 2]]*TblMili[[#This Row],[DP Ore]]+TblMili[[#This Row],[Train Unit 3]]*TblMili[[#This Row],[E1 Ore]]+TblMili[[#This Row],[Train Unit 4]]*TblMili[[#This Row],[E2 Ore]]</f>
        <v>0</v>
      </c>
      <c r="AT35" s="132" t="n">
        <f aca="false">TblMili[[#This Row],[Hour]]</f>
        <v>32</v>
      </c>
      <c r="AU35" s="144" t="n">
        <f aca="false">TblMili[[#This Row],[Time]]</f>
        <v>45431.0416666667</v>
      </c>
      <c r="AV35" s="69" t="n">
        <f aca="false">TblMili[[#This Row],[Draftees]]</f>
        <v>0</v>
      </c>
      <c r="AW35" s="182"/>
      <c r="AX35" s="182"/>
      <c r="AY35" s="182"/>
      <c r="AZ35" s="182"/>
      <c r="BA35" s="182"/>
      <c r="BB35" s="182"/>
      <c r="BC35" s="182"/>
      <c r="BD35" s="182"/>
      <c r="BE35" s="182"/>
      <c r="BF35" s="132"/>
      <c r="BG35" s="150" t="n">
        <f aca="false">TblConstr[[#This Row],[Tot WG]]/TblConstr[[#This Row],[Land]]</f>
        <v>0</v>
      </c>
      <c r="BH35" s="150" t="n">
        <f aca="false">TblConstr[[#This Row],[Tot Hav]]/TblConstr[[#This Row],[Land]]</f>
        <v>0</v>
      </c>
      <c r="BI35" s="69" t="n">
        <f aca="false">ROUNDUP((1-MIN(TblMili[[#This Row],[Smithies]]*smithy_bonus,smithy_bonus_cap) + tech_3_5*TblTech[[#This Row],[3-5]] + tech_5_3*TblTech[[#This Row],[5-3]] + tech_5_5*TblTech[[#This Row],[5-5]])*spec_op_plat,0)</f>
        <v>300</v>
      </c>
      <c r="BJ35" s="69" t="n">
        <f aca="false">ROUNDUP(IF(race="Gnome",1,(1-MIN(TblMili[[#This Row],[Smithies]]*smithy_bonus,smithy_bonus_cap) + tech_3_5*TblTech[[#This Row],[3-5]] + tech_5_3*TblTech[[#This Row],[5-3]] + tech_5_5*TblTech[[#This Row],[5-5]]))*spec_op_ore,0)</f>
        <v>0</v>
      </c>
      <c r="BK35" s="69" t="n">
        <f aca="false">ROUNDUP((1-MIN(TblMili[[#This Row],[Smithies]]*smithy_bonus,smithy_bonus_cap) + tech_3_5*TblTech[[#This Row],[3-5]] + tech_5_3*TblTech[[#This Row],[5-3]] + tech_5_5*TblTech[[#This Row],[5-5]])*spec_dp_plat,0)</f>
        <v>300</v>
      </c>
      <c r="BL35" s="69" t="n">
        <f aca="false">ROUNDUP(IF(race="Gnome",1,(1-MIN(TblMili[[#This Row],[Smithies]]*smithy_bonus,smithy_bonus_cap) + tech_3_5*TblTech[[#This Row],[3-5]] + tech_5_3*TblTech[[#This Row],[5-3]] + tech_5_5*TblTech[[#This Row],[5-5]]))*spec_dp_ore,0)</f>
        <v>0</v>
      </c>
      <c r="BM35" s="69" t="n">
        <f aca="false">ROUNDUP((1-MIN(TblMili[[#This Row],[Smithies]]*smithy_bonus,smithy_bonus_cap) + tech_3_5*TblTech[[#This Row],[3-5]] + tech_5_3*TblTech[[#This Row],[5-3]] + tech_5_5*TblTech[[#This Row],[5-5]])*elite1_plat,0)</f>
        <v>925</v>
      </c>
      <c r="BN35" s="69" t="n">
        <f aca="false">ROUNDUP(IF(race="Gnome",1,(1-MIN(TblMili[[#This Row],[Smithies]]*smithy_bonus,smithy_bonus_cap) + tech_3_5*TblTech[[#This Row],[3-5]] + tech_5_3*TblTech[[#This Row],[5-3]] + tech_5_5*TblTech[[#This Row],[5-5]]))*elite1_ore,0)</f>
        <v>0</v>
      </c>
      <c r="BO35" s="69" t="n">
        <f aca="false">ROUNDUP((1-MIN(TblMili[[#This Row],[Smithies]]*smithy_bonus,smithy_bonus_cap) + tech_3_5*TblTech[[#This Row],[3-5]] + tech_5_3*TblTech[[#This Row],[5-3]] + tech_5_5*TblTech[[#This Row],[5-5]])*elite2_plat,0)</f>
        <v>950</v>
      </c>
      <c r="BP35" s="69" t="n">
        <f aca="false">ROUNDUP(IF(race="Gnome",1,(1-MIN(TblMili[[#This Row],[Smithies]]*smithy_bonus,smithy_bonus_cap) + tech_3_5*TblTech[[#This Row],[3-5]] + tech_5_3*TblTech[[#This Row],[5-3]] + tech_5_5*TblTech[[#This Row],[5-5]]))*elite2_ore,0)</f>
        <v>0</v>
      </c>
      <c r="BQ35" s="69" t="n">
        <f aca="false">ROUNDUP((1-MIN(ROUND(fh_spy_cost_red*TblMili[[#This Row],[FH''s]],4),fh_spy_cost_cap)+ tech_1_9*TblTech[[#This Row],[1-9]] + tech_9_1*TblTech[[#This Row],[9-1]])*spy_plat,0)</f>
        <v>500</v>
      </c>
      <c r="BR35" s="69" t="n">
        <f aca="false">ROUNDUP((1-MIN(ROUND(fh_spy_cost_red*TblMili[[#This Row],[FH''s]],4),fh_spy_cost_cap)+ tech_1_9*TblTech[[#This Row],[1-9]] + tech_9_1*TblTech[[#This Row],[9-1]])*archspy_plat,0)</f>
        <v>1000</v>
      </c>
      <c r="BS35" s="69" t="n">
        <f aca="false">ROUNDUP((1-MIN(ROUND(wg_wiz_cost_bonus*TblMili[[#This Row],[WG''s]],4),wg_wiz_cost_cap) + tech_1_9_2*TblTech[[#This Row],[1-9]] + tech_9_1_2*TblTech[[#This Row],[9-1]])*wizard_plat,0)</f>
        <v>500</v>
      </c>
      <c r="BT35" s="69" t="n">
        <f aca="false">ROUNDUP((1-MIN(ROUND(wg_wiz_cost_bonus*TblMili[[#This Row],[WG''s]],4),wg_wiz_cost_cap) + tech_1_9_2*TblTech[[#This Row],[1-9]] + tech_9_1_2*TblTech[[#This Row],[9-1]])*archmage_plat,0)</f>
        <v>1000</v>
      </c>
      <c r="BU35" s="132"/>
      <c r="BV35" s="150" t="e">
        <f aca="false">TblConstr[[#This Row],[Homeland]]/TblConstr[[#This Row],[Land]]</f>
        <v>#VALUE!</v>
      </c>
      <c r="BW35" s="150" t="n">
        <f aca="false">TblMili[[#This Row],[WG''s]]</f>
        <v>0</v>
      </c>
      <c r="BX35" s="288" t="e">
        <f aca="false">IF(mystic_cap="none",TblMili[[#This Row],[Hill]]/mystic_bonus,MIN(mystic_cap,TblMili[[#This Row],[Hill]]/mystic_bonus))</f>
        <v>#VALUE!</v>
      </c>
      <c r="BY35" s="288" t="e">
        <f aca="false">IF(druid_op_cap="none",TblMili[[#This Row],[Hill]]/druid_op_bonus,MIN(druid_op_cap,TblMili[[#This Row],[Hill]]/druid_op_bonus))</f>
        <v>#VALUE!</v>
      </c>
      <c r="BZ35" s="288" t="e">
        <f aca="false">IF(druid_dp_cap="none",TblMili[[#This Row],[Hill]]/druid_dp_bonus,MIN(druid_dp_cap,TblMili[[#This Row],[Hill]]/druid_dp_bonus))</f>
        <v>#VALUE!</v>
      </c>
      <c r="CA35" s="288" t="e">
        <f aca="false">MIN(dryad_cap,TblMili[[#This Row],[Hill]]/dryad_bonus)</f>
        <v>#VALUE!</v>
      </c>
      <c r="CB35" s="288" t="e">
        <f aca="false">MIN(rocka_cap,TblMili[[#This Row],[Hill]]/rocka_bonus)</f>
        <v>#VALUE!</v>
      </c>
      <c r="CC35" s="288" t="n">
        <f aca="false">MIN(adept_op_cap,TblMili[[#This Row],[WG]]/adept_op_bonus)</f>
        <v>0</v>
      </c>
      <c r="CD35" s="288" t="n">
        <f aca="false">MIN(adept_dp_cap,TblMili[[#This Row],[WG]]/adept_dp_bonus)</f>
        <v>0</v>
      </c>
      <c r="CE35" s="69" t="n">
        <f aca="false">MIN(TblMili[[#This Row],[Unit 3]],TblMili[[#This Row],[Unit 2]])*2</f>
        <v>0</v>
      </c>
      <c r="CF35" s="69" t="n">
        <f aca="false">MIN(TblMili[[#This Row],[Unit 1]],TblMili[[#This Row],[Unit 4]])*2</f>
        <v>0</v>
      </c>
      <c r="CG35" s="288" t="e">
        <f aca="false">MIN(frost_mage_cap,TblMili[[#This Row],[Hill]]/frost_mage_bonus)</f>
        <v>#VALUE!</v>
      </c>
      <c r="CH35" s="151" t="n">
        <f aca="false">MIN(ice_elem_cap,TblMili[[#This Row],[Raw (2)]]*ice_elem_bonus)</f>
        <v>0</v>
      </c>
      <c r="CI35" s="288" t="n">
        <f aca="false">MIN(bone_breaker_cap,250/bone_breaker_bonus)</f>
        <v>0.833333333333333</v>
      </c>
      <c r="CJ35" s="288" t="e">
        <f aca="false">MIN(nox_nightshade_cap,TblConstr[[#This Row],[Homeland]]/TblConstr[[#This Row],[Land]]/nox_nightshade_swamp_bonus)</f>
        <v>#VALUE!</v>
      </c>
      <c r="CK35" s="289"/>
      <c r="CL35" s="289"/>
      <c r="CM35" s="289"/>
      <c r="CN35" s="288" t="e">
        <f aca="false">MIN(6,TblMili[[#This Row],[Mystic]]+Races!$F$19)*1.8 +  IF(TblMili[[#This Row],[Mystic]]+Races!$F$19&gt;6,(TblMili[[#This Row],[Mystic]]+Races!$F$19-6)*0.2,0) - Races!$I$19</f>
        <v>#VALUE!</v>
      </c>
      <c r="CO35" s="288" t="e">
        <f aca="false">1.8 * MIN(MAX(TblMili[[#This Row],[Druid (op)]]+Races!$E$20,TblMili[[#This Row],[Druid (dp)]]+Races!$F$20),6)  +  0.45 * MIN(MIN(TblMili[[#This Row],[Druid (op)]]+Races!$E$20,TblMili[[#This Row],[Druid (dp)]]+Races!$F$20),6)  +  0.2 * ( MAX(TblMili[[#This Row],[Druid (op)]]+Races!$E$20-6,0) + MAX(TblMili[[#This Row],[Druid (dp)]]+Races!$F$20-6,0) )  -  Races!$I$20</f>
        <v>#VALUE!</v>
      </c>
      <c r="CP35" s="69" t="e">
        <f aca="false">TblMili[[#This Row],[Mystic bonus]]*TblMili[[#This Row],[Unit 3]]+TblMili[[#This Row],[Druid bonus]]*TblMili[[#This Row],[Unit 4]]</f>
        <v>#VALUE!</v>
      </c>
      <c r="CQ35" s="148" t="e">
        <f aca="false">MIN(6,TblMili[[#This Row],[Dryad]]+Races!$F$35)*1.8 +  IF(TblMili[[#This Row],[Dryad]]+Races!$F$35&gt;6,(TblMili[[#This Row],[Dryad]]+Races!$F$35-6)*0.2,0) - Races!$I$19</f>
        <v>#VALUE!</v>
      </c>
      <c r="CR35" s="69" t="e">
        <f aca="false">sylvan*(TblMili[[#This Row],[Mystic bonus]]*TblMili[[#This Row],[Unit 3]])</f>
        <v>#VALUE!</v>
      </c>
      <c r="CS35" s="148" t="e">
        <f aca="false">1.8 * MIN(MAX(Races!$E$27,TblMili[[#This Row],[Rockapult]]+Races!$F$27),6)  +  0.45 * MIN(MIN(Races!$E$27,TblMili[[#This Row],[Rockapult]]+Races!$F$27),6)  +  0.2 * ( MAX(Races!$E$27-6,0) + MAX(TblMili[[#This Row],[Rockapult]]+Races!$F$27-6,0) )  -  Races!$I$20</f>
        <v>#VALUE!</v>
      </c>
      <c r="CT35" s="69" t="e">
        <f aca="false">gnome*(TblMili[[#This Row],[Rockapult bonus]]*TblMili[[#This Row],[Unit 3]])</f>
        <v>#VALUE!</v>
      </c>
      <c r="CU35" s="148" t="n">
        <f aca="false">1.8 * MIN(MAX(TblMili[[#This Row],[Spellblade]]+Races!$E$47,TblMili[[#This Row],[Adept-DP]]+Races!$F$47),6)  +  0.45 * MIN(MIN(TblMili[[#This Row],[Spellblade]]+Races!$E$47,TblMili[[#This Row],[Adept-DP]]+Races!$F$47),6)  +  0.2 * ( MAX(TblMili[[#This Row],[Spellblade]]+Races!$E$47-6,0) + MAX(TblMili[[#This Row],[Adept-DP]]+Races!$F$47-6,0) )  -  Races!$I$47</f>
        <v>0</v>
      </c>
      <c r="CV35" s="69" t="n">
        <f aca="false">dark_elf*(TblMili[[#This Row],[Adept bonus]]*TblMili[[#This Row],[Unit 3]])</f>
        <v>0</v>
      </c>
      <c r="CW35" s="148" t="e">
        <f aca="false">1.8 * MIN(MAX(TblMili[[#This Row],[Frost Mage]]+Races!$F$71,Races!$E$71),6)  +  0.45 * MIN(MIN(TblMili[[#This Row],[Frost Mage]]+Races!$F$71,Races!$E$71),6)  +  0.2 * ( MAX(TblMili[[#This Row],[Frost Mage]]+Races!$F$71-6,0) + MAX(Races!$E$71-6,0) )  -  Races!$I$71</f>
        <v>#VALUE!</v>
      </c>
      <c r="CX35" s="148" t="n">
        <f aca="false">1.8 * MIN(MAX(TblMili[[#This Row],[Ice Elemental]]+Races!$E$71,Races!$F$71),6)  +  0.45 * MIN(MIN(TblMili[[#This Row],[Ice Elemental]]+Races!$E$71,Races!$F$71),6)  +  0.2 * ( MAX(TblMili[[#This Row],[Ice Elemental]]+Races!$E$71-6,0) + MAX(Races!$F$71-6,0) )  -  Races!$I$71</f>
        <v>0</v>
      </c>
      <c r="CY35" s="69" t="e">
        <f aca="false">TblMili[[#This Row],[Frost Mage bonus]]*TblMili[[#This Row],[Unit 3]]+TblMili[[#This Row],[Ice Elemental bonus]]*TblMili[[#This Row],[Unit 4]]</f>
        <v>#VALUE!</v>
      </c>
      <c r="CZ35" s="290"/>
      <c r="DA35" s="109" t="n">
        <f aca="false">MIN(SUM(TblConstr[[#This Row],[Plain]:[Water]])/TblMili[[#This Row],[Land]]/favorable_terrain_bonus/100,favorable_terrain_max)</f>
        <v>0</v>
      </c>
      <c r="DB35" s="290"/>
      <c r="DC3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5" s="132"/>
      <c r="DE35" s="291" t="n">
        <f aca="false">(TblMili[[#This Row],[Wizards]]+2*TblMili[[#This Row],[Archmages]])/TblConstr[[#This Row],[Land]]</f>
        <v>0</v>
      </c>
      <c r="DF35" s="291" t="n">
        <f aca="false">TblMili[[#This Row],[Raw (2)]]*(1+race_wizard_strength+IF(TblMili[[#This Row],[Hour]]&gt;72,tech_magical_weaponry_wiz*TblTech[[#This Row],[3-5]],0))</f>
        <v>0</v>
      </c>
    </row>
    <row r="36" customFormat="false" ht="12.75" hidden="false" customHeight="false" outlineLevel="0" collapsed="false">
      <c r="A36" s="128" t="n">
        <f aca="false">TblRezone[[#This Row],[Hour]]</f>
        <v>33</v>
      </c>
      <c r="B36" s="282" t="n">
        <f aca="false">SUM(TblMili[[#This Row],[Unit 1]:[Archmages]])+SUM(OFFSET(TblMili[[#This Row],[Train Unit 1]],-8,0):TblMili[[#This Row],[Train Unit 2]]) + SUM(OFFSET(TblMili[[#This Row],[Train Unit 3]],-11,0):TblMili[[#This Row],[Train AM]]) + TblMili[[#This Row],[Draftees]]</f>
        <v>3</v>
      </c>
      <c r="C36" s="150" t="n">
        <f aca="false">TblPop[[#This Row],[Military%]]</f>
        <v>0.000535714285714286</v>
      </c>
      <c r="D36" s="132"/>
      <c r="E36" s="151" t="n">
        <f aca="false">OFFSET(TblMili[[#This Row],[Unit 1]],-1,0) + OFFSET(TblMili[[#This Row],[Train Unit 1]],-9,0) - TblMili[[#This Row],[Release Unit 1]]</f>
        <v>0</v>
      </c>
      <c r="F36" s="151" t="n">
        <f aca="false">OFFSET(TblMili[[#This Row],[Unit 2]],-1,0) + OFFSET(TblMili[[#This Row],[Train Unit 2]],-9,0)-TblMili[[#This Row],[Release Unit 2]]</f>
        <v>0</v>
      </c>
      <c r="G36" s="151" t="n">
        <f aca="false">OFFSET(TblMili[[#This Row],[Unit 3]],-1,0) + OFFSET(TblMili[[#This Row],[Train Unit 3]],-12,0)-TblMili[[#This Row],[Release Unit 3]]</f>
        <v>0</v>
      </c>
      <c r="H36" s="151" t="n">
        <f aca="false">OFFSET(TblMili[[#This Row],[Unit 4]],-1,0) + OFFSET(TblMili[[#This Row],[Train Unit 4]],-12,0)-TblMili[[#This Row],[Release Unit 4]]</f>
        <v>0</v>
      </c>
      <c r="I36" s="151" t="n">
        <f aca="false">OFFSET(TblMili[[#This Row],[Spies]],-1,0) + OFFSET(TblMili[[#This Row],[Train Spies]],-12,0) - TblMili[[#This Row],[Release Spies]]-TblMili[[#This Row],[Train AS]]</f>
        <v>0</v>
      </c>
      <c r="J36" s="151" t="n">
        <f aca="false">OFFSET(TblMili[[#This Row],[Archspies]],-1,0) + OFFSET(TblMili[[#This Row],[Train AS]],-12,0) - TblMili[[#This Row],[Release AS]]</f>
        <v>0</v>
      </c>
      <c r="K36" s="151" t="n">
        <f aca="false">OFFSET(TblMili[[#This Row],[Wizards]],-1,0) + OFFSET(TblMili[[#This Row],[Train Wiz]],-12,0) - TblMili[[#This Row],[Release Wizards]]-TblMili[[#This Row],[Train AM]]</f>
        <v>0</v>
      </c>
      <c r="L36" s="151" t="n">
        <f aca="false">OFFSET(TblMili[[#This Row],[Archmages]],-1,0) + OFFSET(TblMili[[#This Row],[Train AM]],-12,0) - TblMili[[#This Row],[Release AM]]</f>
        <v>0</v>
      </c>
      <c r="M36" s="132"/>
      <c r="N36" s="69" t="e">
        <f aca="false">TblProd[[#This Row],[Networth]]</f>
        <v>#VALUE!</v>
      </c>
      <c r="O36" s="132"/>
      <c r="P3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6" s="285" t="e">
        <f aca="false">TblMili[[#This Row],[Raw]]*(1+TblMili[[#This Row],[Mods_Off]])</f>
        <v>#VALUE!</v>
      </c>
      <c r="S3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6" s="285" t="e">
        <f aca="false">TblMili[[#This Row],[Non Draft]]+TblMili[[#This Row],[Draftees]]</f>
        <v>#VALUE!</v>
      </c>
      <c r="U36" s="286" t="n">
        <f aca="false">race_defense + TblImps[[#This Row],[Walls]] + ROUND( MIN(gt_bonus*TblConstr[[#This Row],[Tot GT]]/TblConstr[[#This Row],[Land]],gt_bonus_cap), 4) + IF(TblMagic[[#This Row],[Active Howling]]&gt;0,howling_dp_bonus,IF(TblMagic[[#This Row],[Active Ares Call]]&gt;0,ares_call_bonus))</f>
        <v>0</v>
      </c>
      <c r="V36" s="274" t="e">
        <f aca="false">TblMili[[#This Row],[Non Draft]] * (1 + TblMili[[#This Row],[Mods_Def]])</f>
        <v>#VALUE!</v>
      </c>
      <c r="W36" s="285" t="e">
        <f aca="false">TblMili[[#This Row],[Draft]] * (1 + TblMili[[#This Row],[Mods_Def]])</f>
        <v>#VALUE!</v>
      </c>
      <c r="X36" s="285" t="n">
        <f aca="false">TblConstr[[#This Row],[Land]]</f>
        <v>404</v>
      </c>
      <c r="Y36" s="287"/>
      <c r="Z36" s="109" t="n">
        <f aca="false">IF(TblMili[[#This Row],[Set]]&lt;&gt;"",TblMili[[#This Row],[Set]],OFFSET(TblMili[[#This Row],[Draftrate]],-1,0))</f>
        <v>0.9</v>
      </c>
      <c r="AA36" s="69" t="n">
        <f aca="false">OFFSET(TblMili[[#This Row],[Draftees]],-1,0)+OFFSET(TblPop[[#This Row],[Draft Growth]],-1,0) - SUM(TblMili[[#This Row],[Train Unit 1]:[Train Spies]],TblMili[[#This Row],[Train Wiz]]) - TblMili[[#This Row],[Release Draft]] + SUM(TblMili[[#This Row],[Release Unit 1]:[Release AM]]) - TblExplore[[#This Row],[Draftees (2)]]</f>
        <v>3</v>
      </c>
      <c r="AB36" s="146"/>
      <c r="AC36" s="130" t="n">
        <f aca="false">(TblConstr[[#This Row],[Tot Smi]]+TblConstr[[#This Row],[Dest Smi]])/(TblConstr[[#This Row],[Land]]-TblExplore[[#This Row],[Land Bonus]]*20)</f>
        <v>0</v>
      </c>
      <c r="AD36" s="128"/>
      <c r="AE36" s="282" t="n">
        <f aca="false">TblMili[[#This Row],[Hour]]</f>
        <v>33</v>
      </c>
      <c r="AF36" s="129" t="n">
        <f aca="false">TblExplore[[#This Row],[Time]]</f>
        <v>45431.0833333333</v>
      </c>
      <c r="AG36" s="182"/>
      <c r="AH36" s="182"/>
      <c r="AI36" s="182"/>
      <c r="AJ36" s="182"/>
      <c r="AK36" s="182"/>
      <c r="AL36" s="182"/>
      <c r="AM36" s="182"/>
      <c r="AN36" s="182"/>
      <c r="AO36" s="132"/>
      <c r="AP36" s="69" t="n">
        <f aca="false">TblProd[[#This Row],[Platinum]]</f>
        <v>36027</v>
      </c>
      <c r="AQ36" s="69" t="n">
        <f aca="false">INDEX(TblProd[[#Headers],[Lumber]]:TblProd[[#This Row],[Ore]],COUNTA(TblProd[[#Headers],[Lumber]]:TblProd[[#This Row],[Lumber]]),MATCH(Military!$AQ$2,TblProd[[#Headers],[Lumber]:[Ore]],0))</f>
        <v>0</v>
      </c>
      <c r="AR3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69" t="n">
        <f aca="false">TblMili[[#This Row],[Train Unit 1]]*TblMili[[#This Row],[OP Ore]]+TblMili[[#This Row],[Train Unit 2]]*TblMili[[#This Row],[DP Ore]]+TblMili[[#This Row],[Train Unit 3]]*TblMili[[#This Row],[E1 Ore]]+TblMili[[#This Row],[Train Unit 4]]*TblMili[[#This Row],[E2 Ore]]</f>
        <v>0</v>
      </c>
      <c r="AT36" s="132" t="n">
        <f aca="false">TblMili[[#This Row],[Hour]]</f>
        <v>33</v>
      </c>
      <c r="AU36" s="144" t="n">
        <f aca="false">TblMili[[#This Row],[Time]]</f>
        <v>45431.0833333333</v>
      </c>
      <c r="AV36" s="69" t="n">
        <f aca="false">TblMili[[#This Row],[Draftees]]</f>
        <v>3</v>
      </c>
      <c r="AW36" s="182"/>
      <c r="AX36" s="182"/>
      <c r="AY36" s="182"/>
      <c r="AZ36" s="182"/>
      <c r="BA36" s="182"/>
      <c r="BB36" s="182"/>
      <c r="BC36" s="182"/>
      <c r="BD36" s="182"/>
      <c r="BE36" s="182"/>
      <c r="BF36" s="132"/>
      <c r="BG36" s="150" t="n">
        <f aca="false">TblConstr[[#This Row],[Tot WG]]/TblConstr[[#This Row],[Land]]</f>
        <v>0</v>
      </c>
      <c r="BH36" s="150" t="n">
        <f aca="false">TblConstr[[#This Row],[Tot Hav]]/TblConstr[[#This Row],[Land]]</f>
        <v>0</v>
      </c>
      <c r="BI36" s="69" t="n">
        <f aca="false">ROUNDUP((1-MIN(TblMili[[#This Row],[Smithies]]*smithy_bonus,smithy_bonus_cap) + tech_3_5*TblTech[[#This Row],[3-5]] + tech_5_3*TblTech[[#This Row],[5-3]] + tech_5_5*TblTech[[#This Row],[5-5]])*spec_op_plat,0)</f>
        <v>300</v>
      </c>
      <c r="BJ36" s="69" t="n">
        <f aca="false">ROUNDUP(IF(race="Gnome",1,(1-MIN(TblMili[[#This Row],[Smithies]]*smithy_bonus,smithy_bonus_cap) + tech_3_5*TblTech[[#This Row],[3-5]] + tech_5_3*TblTech[[#This Row],[5-3]] + tech_5_5*TblTech[[#This Row],[5-5]]))*spec_op_ore,0)</f>
        <v>0</v>
      </c>
      <c r="BK36" s="69" t="n">
        <f aca="false">ROUNDUP((1-MIN(TblMili[[#This Row],[Smithies]]*smithy_bonus,smithy_bonus_cap) + tech_3_5*TblTech[[#This Row],[3-5]] + tech_5_3*TblTech[[#This Row],[5-3]] + tech_5_5*TblTech[[#This Row],[5-5]])*spec_dp_plat,0)</f>
        <v>300</v>
      </c>
      <c r="BL36" s="69" t="n">
        <f aca="false">ROUNDUP(IF(race="Gnome",1,(1-MIN(TblMili[[#This Row],[Smithies]]*smithy_bonus,smithy_bonus_cap) + tech_3_5*TblTech[[#This Row],[3-5]] + tech_5_3*TblTech[[#This Row],[5-3]] + tech_5_5*TblTech[[#This Row],[5-5]]))*spec_dp_ore,0)</f>
        <v>0</v>
      </c>
      <c r="BM36" s="69" t="n">
        <f aca="false">ROUNDUP((1-MIN(TblMili[[#This Row],[Smithies]]*smithy_bonus,smithy_bonus_cap) + tech_3_5*TblTech[[#This Row],[3-5]] + tech_5_3*TblTech[[#This Row],[5-3]] + tech_5_5*TblTech[[#This Row],[5-5]])*elite1_plat,0)</f>
        <v>925</v>
      </c>
      <c r="BN36" s="69" t="n">
        <f aca="false">ROUNDUP(IF(race="Gnome",1,(1-MIN(TblMili[[#This Row],[Smithies]]*smithy_bonus,smithy_bonus_cap) + tech_3_5*TblTech[[#This Row],[3-5]] + tech_5_3*TblTech[[#This Row],[5-3]] + tech_5_5*TblTech[[#This Row],[5-5]]))*elite1_ore,0)</f>
        <v>0</v>
      </c>
      <c r="BO36" s="69" t="n">
        <f aca="false">ROUNDUP((1-MIN(TblMili[[#This Row],[Smithies]]*smithy_bonus,smithy_bonus_cap) + tech_3_5*TblTech[[#This Row],[3-5]] + tech_5_3*TblTech[[#This Row],[5-3]] + tech_5_5*TblTech[[#This Row],[5-5]])*elite2_plat,0)</f>
        <v>950</v>
      </c>
      <c r="BP36" s="69" t="n">
        <f aca="false">ROUNDUP(IF(race="Gnome",1,(1-MIN(TblMili[[#This Row],[Smithies]]*smithy_bonus,smithy_bonus_cap) + tech_3_5*TblTech[[#This Row],[3-5]] + tech_5_3*TblTech[[#This Row],[5-3]] + tech_5_5*TblTech[[#This Row],[5-5]]))*elite2_ore,0)</f>
        <v>0</v>
      </c>
      <c r="BQ36" s="69" t="n">
        <f aca="false">ROUNDUP((1-MIN(ROUND(fh_spy_cost_red*TblMili[[#This Row],[FH''s]],4),fh_spy_cost_cap)+ tech_1_9*TblTech[[#This Row],[1-9]] + tech_9_1*TblTech[[#This Row],[9-1]])*spy_plat,0)</f>
        <v>500</v>
      </c>
      <c r="BR36" s="69" t="n">
        <f aca="false">ROUNDUP((1-MIN(ROUND(fh_spy_cost_red*TblMili[[#This Row],[FH''s]],4),fh_spy_cost_cap)+ tech_1_9*TblTech[[#This Row],[1-9]] + tech_9_1*TblTech[[#This Row],[9-1]])*archspy_plat,0)</f>
        <v>1000</v>
      </c>
      <c r="BS36" s="69" t="n">
        <f aca="false">ROUNDUP((1-MIN(ROUND(wg_wiz_cost_bonus*TblMili[[#This Row],[WG''s]],4),wg_wiz_cost_cap) + tech_1_9_2*TblTech[[#This Row],[1-9]] + tech_9_1_2*TblTech[[#This Row],[9-1]])*wizard_plat,0)</f>
        <v>500</v>
      </c>
      <c r="BT36" s="69" t="n">
        <f aca="false">ROUNDUP((1-MIN(ROUND(wg_wiz_cost_bonus*TblMili[[#This Row],[WG''s]],4),wg_wiz_cost_cap) + tech_1_9_2*TblTech[[#This Row],[1-9]] + tech_9_1_2*TblTech[[#This Row],[9-1]])*archmage_plat,0)</f>
        <v>1000</v>
      </c>
      <c r="BU36" s="132"/>
      <c r="BV36" s="150" t="e">
        <f aca="false">TblConstr[[#This Row],[Homeland]]/TblConstr[[#This Row],[Land]]</f>
        <v>#VALUE!</v>
      </c>
      <c r="BW36" s="150" t="n">
        <f aca="false">TblMili[[#This Row],[WG''s]]</f>
        <v>0</v>
      </c>
      <c r="BX36" s="288" t="e">
        <f aca="false">IF(mystic_cap="none",TblMili[[#This Row],[Hill]]/mystic_bonus,MIN(mystic_cap,TblMili[[#This Row],[Hill]]/mystic_bonus))</f>
        <v>#VALUE!</v>
      </c>
      <c r="BY36" s="288" t="e">
        <f aca="false">IF(druid_op_cap="none",TblMili[[#This Row],[Hill]]/druid_op_bonus,MIN(druid_op_cap,TblMili[[#This Row],[Hill]]/druid_op_bonus))</f>
        <v>#VALUE!</v>
      </c>
      <c r="BZ36" s="288" t="e">
        <f aca="false">IF(druid_dp_cap="none",TblMili[[#This Row],[Hill]]/druid_dp_bonus,MIN(druid_dp_cap,TblMili[[#This Row],[Hill]]/druid_dp_bonus))</f>
        <v>#VALUE!</v>
      </c>
      <c r="CA36" s="288" t="e">
        <f aca="false">MIN(dryad_cap,TblMili[[#This Row],[Hill]]/dryad_bonus)</f>
        <v>#VALUE!</v>
      </c>
      <c r="CB36" s="288" t="e">
        <f aca="false">MIN(rocka_cap,TblMili[[#This Row],[Hill]]/rocka_bonus)</f>
        <v>#VALUE!</v>
      </c>
      <c r="CC36" s="288" t="n">
        <f aca="false">MIN(adept_op_cap,TblMili[[#This Row],[WG]]/adept_op_bonus)</f>
        <v>0</v>
      </c>
      <c r="CD36" s="288" t="n">
        <f aca="false">MIN(adept_dp_cap,TblMili[[#This Row],[WG]]/adept_dp_bonus)</f>
        <v>0</v>
      </c>
      <c r="CE36" s="69" t="n">
        <f aca="false">MIN(TblMili[[#This Row],[Unit 3]],TblMili[[#This Row],[Unit 2]])*2</f>
        <v>0</v>
      </c>
      <c r="CF36" s="69" t="n">
        <f aca="false">MIN(TblMili[[#This Row],[Unit 1]],TblMili[[#This Row],[Unit 4]])*2</f>
        <v>0</v>
      </c>
      <c r="CG36" s="288" t="e">
        <f aca="false">MIN(frost_mage_cap,TblMili[[#This Row],[Hill]]/frost_mage_bonus)</f>
        <v>#VALUE!</v>
      </c>
      <c r="CH36" s="151" t="n">
        <f aca="false">MIN(ice_elem_cap,TblMili[[#This Row],[Raw (2)]]*ice_elem_bonus)</f>
        <v>0</v>
      </c>
      <c r="CI36" s="288" t="n">
        <f aca="false">MIN(bone_breaker_cap,250/bone_breaker_bonus)</f>
        <v>0.833333333333333</v>
      </c>
      <c r="CJ36" s="288" t="e">
        <f aca="false">MIN(nox_nightshade_cap,TblConstr[[#This Row],[Homeland]]/TblConstr[[#This Row],[Land]]/nox_nightshade_swamp_bonus)</f>
        <v>#VALUE!</v>
      </c>
      <c r="CK36" s="289"/>
      <c r="CL36" s="289"/>
      <c r="CM36" s="289"/>
      <c r="CN36" s="288" t="e">
        <f aca="false">MIN(6,TblMili[[#This Row],[Mystic]]+Races!$F$19)*1.8 +  IF(TblMili[[#This Row],[Mystic]]+Races!$F$19&gt;6,(TblMili[[#This Row],[Mystic]]+Races!$F$19-6)*0.2,0) - Races!$I$19</f>
        <v>#VALUE!</v>
      </c>
      <c r="CO36" s="288" t="e">
        <f aca="false">1.8 * MIN(MAX(TblMili[[#This Row],[Druid (op)]]+Races!$E$20,TblMili[[#This Row],[Druid (dp)]]+Races!$F$20),6)  +  0.45 * MIN(MIN(TblMili[[#This Row],[Druid (op)]]+Races!$E$20,TblMili[[#This Row],[Druid (dp)]]+Races!$F$20),6)  +  0.2 * ( MAX(TblMili[[#This Row],[Druid (op)]]+Races!$E$20-6,0) + MAX(TblMili[[#This Row],[Druid (dp)]]+Races!$F$20-6,0) )  -  Races!$I$20</f>
        <v>#VALUE!</v>
      </c>
      <c r="CP36" s="69" t="e">
        <f aca="false">TblMili[[#This Row],[Mystic bonus]]*TblMili[[#This Row],[Unit 3]]+TblMili[[#This Row],[Druid bonus]]*TblMili[[#This Row],[Unit 4]]</f>
        <v>#VALUE!</v>
      </c>
      <c r="CQ36" s="148" t="e">
        <f aca="false">MIN(6,TblMili[[#This Row],[Dryad]]+Races!$F$35)*1.8 +  IF(TblMili[[#This Row],[Dryad]]+Races!$F$35&gt;6,(TblMili[[#This Row],[Dryad]]+Races!$F$35-6)*0.2,0) - Races!$I$19</f>
        <v>#VALUE!</v>
      </c>
      <c r="CR36" s="69" t="e">
        <f aca="false">sylvan*(TblMili[[#This Row],[Mystic bonus]]*TblMili[[#This Row],[Unit 3]])</f>
        <v>#VALUE!</v>
      </c>
      <c r="CS36" s="148" t="e">
        <f aca="false">1.8 * MIN(MAX(Races!$E$27,TblMili[[#This Row],[Rockapult]]+Races!$F$27),6)  +  0.45 * MIN(MIN(Races!$E$27,TblMili[[#This Row],[Rockapult]]+Races!$F$27),6)  +  0.2 * ( MAX(Races!$E$27-6,0) + MAX(TblMili[[#This Row],[Rockapult]]+Races!$F$27-6,0) )  -  Races!$I$20</f>
        <v>#VALUE!</v>
      </c>
      <c r="CT36" s="69" t="e">
        <f aca="false">gnome*(TblMili[[#This Row],[Rockapult bonus]]*TblMili[[#This Row],[Unit 3]])</f>
        <v>#VALUE!</v>
      </c>
      <c r="CU36" s="148" t="n">
        <f aca="false">1.8 * MIN(MAX(TblMili[[#This Row],[Spellblade]]+Races!$E$47,TblMili[[#This Row],[Adept-DP]]+Races!$F$47),6)  +  0.45 * MIN(MIN(TblMili[[#This Row],[Spellblade]]+Races!$E$47,TblMili[[#This Row],[Adept-DP]]+Races!$F$47),6)  +  0.2 * ( MAX(TblMili[[#This Row],[Spellblade]]+Races!$E$47-6,0) + MAX(TblMili[[#This Row],[Adept-DP]]+Races!$F$47-6,0) )  -  Races!$I$47</f>
        <v>0</v>
      </c>
      <c r="CV36" s="69" t="n">
        <f aca="false">dark_elf*(TblMili[[#This Row],[Adept bonus]]*TblMili[[#This Row],[Unit 3]])</f>
        <v>0</v>
      </c>
      <c r="CW36" s="148" t="e">
        <f aca="false">1.8 * MIN(MAX(TblMili[[#This Row],[Frost Mage]]+Races!$F$71,Races!$E$71),6)  +  0.45 * MIN(MIN(TblMili[[#This Row],[Frost Mage]]+Races!$F$71,Races!$E$71),6)  +  0.2 * ( MAX(TblMili[[#This Row],[Frost Mage]]+Races!$F$71-6,0) + MAX(Races!$E$71-6,0) )  -  Races!$I$71</f>
        <v>#VALUE!</v>
      </c>
      <c r="CX36" s="148" t="n">
        <f aca="false">1.8 * MIN(MAX(TblMili[[#This Row],[Ice Elemental]]+Races!$E$71,Races!$F$71),6)  +  0.45 * MIN(MIN(TblMili[[#This Row],[Ice Elemental]]+Races!$E$71,Races!$F$71),6)  +  0.2 * ( MAX(TblMili[[#This Row],[Ice Elemental]]+Races!$E$71-6,0) + MAX(Races!$F$71-6,0) )  -  Races!$I$71</f>
        <v>0</v>
      </c>
      <c r="CY36" s="69" t="e">
        <f aca="false">TblMili[[#This Row],[Frost Mage bonus]]*TblMili[[#This Row],[Unit 3]]+TblMili[[#This Row],[Ice Elemental bonus]]*TblMili[[#This Row],[Unit 4]]</f>
        <v>#VALUE!</v>
      </c>
      <c r="CZ36" s="290"/>
      <c r="DA36" s="109" t="n">
        <f aca="false">MIN(SUM(TblConstr[[#This Row],[Plain]:[Water]])/TblMili[[#This Row],[Land]]/favorable_terrain_bonus/100,favorable_terrain_max)</f>
        <v>0</v>
      </c>
      <c r="DB36" s="290"/>
      <c r="DC3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6" s="132"/>
      <c r="DE36" s="291" t="n">
        <f aca="false">(TblMili[[#This Row],[Wizards]]+2*TblMili[[#This Row],[Archmages]])/TblConstr[[#This Row],[Land]]</f>
        <v>0</v>
      </c>
      <c r="DF36" s="291" t="n">
        <f aca="false">TblMili[[#This Row],[Raw (2)]]*(1+race_wizard_strength+IF(TblMili[[#This Row],[Hour]]&gt;72,tech_magical_weaponry_wiz*TblTech[[#This Row],[3-5]],0))</f>
        <v>0</v>
      </c>
    </row>
    <row r="37" customFormat="false" ht="12.75" hidden="false" customHeight="false" outlineLevel="0" collapsed="false">
      <c r="A37" s="128" t="n">
        <f aca="false">TblRezone[[#This Row],[Hour]]</f>
        <v>34</v>
      </c>
      <c r="B37" s="282" t="n">
        <f aca="false">SUM(TblMili[[#This Row],[Unit 1]:[Archmages]])+SUM(OFFSET(TblMili[[#This Row],[Train Unit 1]],-8,0):TblMili[[#This Row],[Train Unit 2]]) + SUM(OFFSET(TblMili[[#This Row],[Train Unit 3]],-11,0):TblMili[[#This Row],[Train AM]]) + TblMili[[#This Row],[Draftees]]</f>
        <v>4</v>
      </c>
      <c r="C37" s="150" t="n">
        <f aca="false">TblPop[[#This Row],[Military%]]</f>
        <v>0.000676818950930626</v>
      </c>
      <c r="D37" s="132"/>
      <c r="E37" s="151" t="n">
        <f aca="false">OFFSET(TblMili[[#This Row],[Unit 1]],-1,0) + OFFSET(TblMili[[#This Row],[Train Unit 1]],-9,0) - TblMili[[#This Row],[Release Unit 1]]</f>
        <v>0</v>
      </c>
      <c r="F37" s="151" t="n">
        <f aca="false">OFFSET(TblMili[[#This Row],[Unit 2]],-1,0) + OFFSET(TblMili[[#This Row],[Train Unit 2]],-9,0)-TblMili[[#This Row],[Release Unit 2]]</f>
        <v>0</v>
      </c>
      <c r="G37" s="151" t="n">
        <f aca="false">OFFSET(TblMili[[#This Row],[Unit 3]],-1,0) + OFFSET(TblMili[[#This Row],[Train Unit 3]],-12,0)-TblMili[[#This Row],[Release Unit 3]]</f>
        <v>0</v>
      </c>
      <c r="H37" s="151" t="n">
        <f aca="false">OFFSET(TblMili[[#This Row],[Unit 4]],-1,0) + OFFSET(TblMili[[#This Row],[Train Unit 4]],-12,0)-TblMili[[#This Row],[Release Unit 4]]</f>
        <v>0</v>
      </c>
      <c r="I37" s="151" t="n">
        <f aca="false">OFFSET(TblMili[[#This Row],[Spies]],-1,0) + OFFSET(TblMili[[#This Row],[Train Spies]],-12,0) - TblMili[[#This Row],[Release Spies]]-TblMili[[#This Row],[Train AS]]</f>
        <v>0</v>
      </c>
      <c r="J37" s="151" t="n">
        <f aca="false">OFFSET(TblMili[[#This Row],[Archspies]],-1,0) + OFFSET(TblMili[[#This Row],[Train AS]],-12,0) - TblMili[[#This Row],[Release AS]]</f>
        <v>0</v>
      </c>
      <c r="K37" s="151" t="n">
        <f aca="false">OFFSET(TblMili[[#This Row],[Wizards]],-1,0) + OFFSET(TblMili[[#This Row],[Train Wiz]],-12,0) - TblMili[[#This Row],[Release Wizards]]-TblMili[[#This Row],[Train AM]]</f>
        <v>0</v>
      </c>
      <c r="L37" s="151" t="n">
        <f aca="false">OFFSET(TblMili[[#This Row],[Archmages]],-1,0) + OFFSET(TblMili[[#This Row],[Train AM]],-12,0) - TblMili[[#This Row],[Release AM]]</f>
        <v>0</v>
      </c>
      <c r="M37" s="132"/>
      <c r="N37" s="69" t="e">
        <f aca="false">TblProd[[#This Row],[Networth]]</f>
        <v>#VALUE!</v>
      </c>
      <c r="O37" s="132"/>
      <c r="P3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7" s="285" t="e">
        <f aca="false">TblMili[[#This Row],[Raw]]*(1+TblMili[[#This Row],[Mods_Off]])</f>
        <v>#VALUE!</v>
      </c>
      <c r="S3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7" s="285" t="e">
        <f aca="false">TblMili[[#This Row],[Non Draft]]+TblMili[[#This Row],[Draftees]]</f>
        <v>#VALUE!</v>
      </c>
      <c r="U37" s="286" t="n">
        <f aca="false">race_defense + TblImps[[#This Row],[Walls]] + ROUND( MIN(gt_bonus*TblConstr[[#This Row],[Tot GT]]/TblConstr[[#This Row],[Land]],gt_bonus_cap), 4) + IF(TblMagic[[#This Row],[Active Howling]]&gt;0,howling_dp_bonus,IF(TblMagic[[#This Row],[Active Ares Call]]&gt;0,ares_call_bonus))</f>
        <v>0</v>
      </c>
      <c r="V37" s="274" t="e">
        <f aca="false">TblMili[[#This Row],[Non Draft]] * (1 + TblMili[[#This Row],[Mods_Def]])</f>
        <v>#VALUE!</v>
      </c>
      <c r="W37" s="285" t="e">
        <f aca="false">TblMili[[#This Row],[Draft]] * (1 + TblMili[[#This Row],[Mods_Def]])</f>
        <v>#VALUE!</v>
      </c>
      <c r="X37" s="285" t="n">
        <f aca="false">TblConstr[[#This Row],[Land]]</f>
        <v>407</v>
      </c>
      <c r="Y37" s="287"/>
      <c r="Z37" s="109" t="n">
        <f aca="false">IF(TblMili[[#This Row],[Set]]&lt;&gt;"",TblMili[[#This Row],[Set]],OFFSET(TblMili[[#This Row],[Draftrate]],-1,0))</f>
        <v>0.9</v>
      </c>
      <c r="AA37" s="69" t="n">
        <f aca="false">OFFSET(TblMili[[#This Row],[Draftees]],-1,0)+OFFSET(TblPop[[#This Row],[Draft Growth]],-1,0) - SUM(TblMili[[#This Row],[Train Unit 1]:[Train Spies]],TblMili[[#This Row],[Train Wiz]]) - TblMili[[#This Row],[Release Draft]] + SUM(TblMili[[#This Row],[Release Unit 1]:[Release AM]]) - TblExplore[[#This Row],[Draftees (2)]]</f>
        <v>4</v>
      </c>
      <c r="AB37" s="146"/>
      <c r="AC37" s="130" t="n">
        <f aca="false">(TblConstr[[#This Row],[Tot Smi]]+TblConstr[[#This Row],[Dest Smi]])/(TblConstr[[#This Row],[Land]]-TblExplore[[#This Row],[Land Bonus]]*20)</f>
        <v>0</v>
      </c>
      <c r="AD37" s="128"/>
      <c r="AE37" s="282" t="n">
        <f aca="false">TblMili[[#This Row],[Hour]]</f>
        <v>34</v>
      </c>
      <c r="AF37" s="129" t="n">
        <f aca="false">TblExplore[[#This Row],[Time]]</f>
        <v>45431.125</v>
      </c>
      <c r="AG37" s="182"/>
      <c r="AH37" s="182"/>
      <c r="AI37" s="182"/>
      <c r="AJ37" s="182"/>
      <c r="AK37" s="182"/>
      <c r="AL37" s="182"/>
      <c r="AM37" s="182"/>
      <c r="AN37" s="182"/>
      <c r="AO37" s="132"/>
      <c r="AP37" s="69" t="n">
        <f aca="false">TblProd[[#This Row],[Platinum]]</f>
        <v>43944</v>
      </c>
      <c r="AQ37" s="69" t="n">
        <f aca="false">INDEX(TblProd[[#Headers],[Lumber]]:TblProd[[#This Row],[Ore]],COUNTA(TblProd[[#Headers],[Lumber]]:TblProd[[#This Row],[Lumber]]),MATCH(Military!$AQ$2,TblProd[[#Headers],[Lumber]:[Ore]],0))</f>
        <v>0</v>
      </c>
      <c r="AR3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69" t="n">
        <f aca="false">TblMili[[#This Row],[Train Unit 1]]*TblMili[[#This Row],[OP Ore]]+TblMili[[#This Row],[Train Unit 2]]*TblMili[[#This Row],[DP Ore]]+TblMili[[#This Row],[Train Unit 3]]*TblMili[[#This Row],[E1 Ore]]+TblMili[[#This Row],[Train Unit 4]]*TblMili[[#This Row],[E2 Ore]]</f>
        <v>0</v>
      </c>
      <c r="AT37" s="132" t="n">
        <f aca="false">TblMili[[#This Row],[Hour]]</f>
        <v>34</v>
      </c>
      <c r="AU37" s="144" t="n">
        <f aca="false">TblMili[[#This Row],[Time]]</f>
        <v>45431.125</v>
      </c>
      <c r="AV37" s="69" t="n">
        <f aca="false">TblMili[[#This Row],[Draftees]]</f>
        <v>4</v>
      </c>
      <c r="AW37" s="182"/>
      <c r="AX37" s="182"/>
      <c r="AY37" s="182"/>
      <c r="AZ37" s="182"/>
      <c r="BA37" s="182"/>
      <c r="BB37" s="182"/>
      <c r="BC37" s="182"/>
      <c r="BD37" s="182"/>
      <c r="BE37" s="182"/>
      <c r="BF37" s="132"/>
      <c r="BG37" s="150" t="n">
        <f aca="false">TblConstr[[#This Row],[Tot WG]]/TblConstr[[#This Row],[Land]]</f>
        <v>0</v>
      </c>
      <c r="BH37" s="150" t="n">
        <f aca="false">TblConstr[[#This Row],[Tot Hav]]/TblConstr[[#This Row],[Land]]</f>
        <v>0</v>
      </c>
      <c r="BI37" s="69" t="n">
        <f aca="false">ROUNDUP((1-MIN(TblMili[[#This Row],[Smithies]]*smithy_bonus,smithy_bonus_cap) + tech_3_5*TblTech[[#This Row],[3-5]] + tech_5_3*TblTech[[#This Row],[5-3]] + tech_5_5*TblTech[[#This Row],[5-5]])*spec_op_plat,0)</f>
        <v>300</v>
      </c>
      <c r="BJ37" s="69" t="n">
        <f aca="false">ROUNDUP(IF(race="Gnome",1,(1-MIN(TblMili[[#This Row],[Smithies]]*smithy_bonus,smithy_bonus_cap) + tech_3_5*TblTech[[#This Row],[3-5]] + tech_5_3*TblTech[[#This Row],[5-3]] + tech_5_5*TblTech[[#This Row],[5-5]]))*spec_op_ore,0)</f>
        <v>0</v>
      </c>
      <c r="BK37" s="69" t="n">
        <f aca="false">ROUNDUP((1-MIN(TblMili[[#This Row],[Smithies]]*smithy_bonus,smithy_bonus_cap) + tech_3_5*TblTech[[#This Row],[3-5]] + tech_5_3*TblTech[[#This Row],[5-3]] + tech_5_5*TblTech[[#This Row],[5-5]])*spec_dp_plat,0)</f>
        <v>300</v>
      </c>
      <c r="BL37" s="69" t="n">
        <f aca="false">ROUNDUP(IF(race="Gnome",1,(1-MIN(TblMili[[#This Row],[Smithies]]*smithy_bonus,smithy_bonus_cap) + tech_3_5*TblTech[[#This Row],[3-5]] + tech_5_3*TblTech[[#This Row],[5-3]] + tech_5_5*TblTech[[#This Row],[5-5]]))*spec_dp_ore,0)</f>
        <v>0</v>
      </c>
      <c r="BM37" s="69" t="n">
        <f aca="false">ROUNDUP((1-MIN(TblMili[[#This Row],[Smithies]]*smithy_bonus,smithy_bonus_cap) + tech_3_5*TblTech[[#This Row],[3-5]] + tech_5_3*TblTech[[#This Row],[5-3]] + tech_5_5*TblTech[[#This Row],[5-5]])*elite1_plat,0)</f>
        <v>925</v>
      </c>
      <c r="BN37" s="69" t="n">
        <f aca="false">ROUNDUP(IF(race="Gnome",1,(1-MIN(TblMili[[#This Row],[Smithies]]*smithy_bonus,smithy_bonus_cap) + tech_3_5*TblTech[[#This Row],[3-5]] + tech_5_3*TblTech[[#This Row],[5-3]] + tech_5_5*TblTech[[#This Row],[5-5]]))*elite1_ore,0)</f>
        <v>0</v>
      </c>
      <c r="BO37" s="69" t="n">
        <f aca="false">ROUNDUP((1-MIN(TblMili[[#This Row],[Smithies]]*smithy_bonus,smithy_bonus_cap) + tech_3_5*TblTech[[#This Row],[3-5]] + tech_5_3*TblTech[[#This Row],[5-3]] + tech_5_5*TblTech[[#This Row],[5-5]])*elite2_plat,0)</f>
        <v>950</v>
      </c>
      <c r="BP37" s="69" t="n">
        <f aca="false">ROUNDUP(IF(race="Gnome",1,(1-MIN(TblMili[[#This Row],[Smithies]]*smithy_bonus,smithy_bonus_cap) + tech_3_5*TblTech[[#This Row],[3-5]] + tech_5_3*TblTech[[#This Row],[5-3]] + tech_5_5*TblTech[[#This Row],[5-5]]))*elite2_ore,0)</f>
        <v>0</v>
      </c>
      <c r="BQ37" s="69" t="n">
        <f aca="false">ROUNDUP((1-MIN(ROUND(fh_spy_cost_red*TblMili[[#This Row],[FH''s]],4),fh_spy_cost_cap)+ tech_1_9*TblTech[[#This Row],[1-9]] + tech_9_1*TblTech[[#This Row],[9-1]])*spy_plat,0)</f>
        <v>500</v>
      </c>
      <c r="BR37" s="69" t="n">
        <f aca="false">ROUNDUP((1-MIN(ROUND(fh_spy_cost_red*TblMili[[#This Row],[FH''s]],4),fh_spy_cost_cap)+ tech_1_9*TblTech[[#This Row],[1-9]] + tech_9_1*TblTech[[#This Row],[9-1]])*archspy_plat,0)</f>
        <v>1000</v>
      </c>
      <c r="BS37" s="69" t="n">
        <f aca="false">ROUNDUP((1-MIN(ROUND(wg_wiz_cost_bonus*TblMili[[#This Row],[WG''s]],4),wg_wiz_cost_cap) + tech_1_9_2*TblTech[[#This Row],[1-9]] + tech_9_1_2*TblTech[[#This Row],[9-1]])*wizard_plat,0)</f>
        <v>500</v>
      </c>
      <c r="BT37" s="69" t="n">
        <f aca="false">ROUNDUP((1-MIN(ROUND(wg_wiz_cost_bonus*TblMili[[#This Row],[WG''s]],4),wg_wiz_cost_cap) + tech_1_9_2*TblTech[[#This Row],[1-9]] + tech_9_1_2*TblTech[[#This Row],[9-1]])*archmage_plat,0)</f>
        <v>1000</v>
      </c>
      <c r="BU37" s="132"/>
      <c r="BV37" s="150" t="e">
        <f aca="false">TblConstr[[#This Row],[Homeland]]/TblConstr[[#This Row],[Land]]</f>
        <v>#VALUE!</v>
      </c>
      <c r="BW37" s="150" t="n">
        <f aca="false">TblMili[[#This Row],[WG''s]]</f>
        <v>0</v>
      </c>
      <c r="BX37" s="288" t="e">
        <f aca="false">IF(mystic_cap="none",TblMili[[#This Row],[Hill]]/mystic_bonus,MIN(mystic_cap,TblMili[[#This Row],[Hill]]/mystic_bonus))</f>
        <v>#VALUE!</v>
      </c>
      <c r="BY37" s="288" t="e">
        <f aca="false">IF(druid_op_cap="none",TblMili[[#This Row],[Hill]]/druid_op_bonus,MIN(druid_op_cap,TblMili[[#This Row],[Hill]]/druid_op_bonus))</f>
        <v>#VALUE!</v>
      </c>
      <c r="BZ37" s="288" t="e">
        <f aca="false">IF(druid_dp_cap="none",TblMili[[#This Row],[Hill]]/druid_dp_bonus,MIN(druid_dp_cap,TblMili[[#This Row],[Hill]]/druid_dp_bonus))</f>
        <v>#VALUE!</v>
      </c>
      <c r="CA37" s="288" t="e">
        <f aca="false">MIN(dryad_cap,TblMili[[#This Row],[Hill]]/dryad_bonus)</f>
        <v>#VALUE!</v>
      </c>
      <c r="CB37" s="288" t="e">
        <f aca="false">MIN(rocka_cap,TblMili[[#This Row],[Hill]]/rocka_bonus)</f>
        <v>#VALUE!</v>
      </c>
      <c r="CC37" s="288" t="n">
        <f aca="false">MIN(adept_op_cap,TblMili[[#This Row],[WG]]/adept_op_bonus)</f>
        <v>0</v>
      </c>
      <c r="CD37" s="288" t="n">
        <f aca="false">MIN(adept_dp_cap,TblMili[[#This Row],[WG]]/adept_dp_bonus)</f>
        <v>0</v>
      </c>
      <c r="CE37" s="69" t="n">
        <f aca="false">MIN(TblMili[[#This Row],[Unit 3]],TblMili[[#This Row],[Unit 2]])*2</f>
        <v>0</v>
      </c>
      <c r="CF37" s="69" t="n">
        <f aca="false">MIN(TblMili[[#This Row],[Unit 1]],TblMili[[#This Row],[Unit 4]])*2</f>
        <v>0</v>
      </c>
      <c r="CG37" s="288" t="e">
        <f aca="false">MIN(frost_mage_cap,TblMili[[#This Row],[Hill]]/frost_mage_bonus)</f>
        <v>#VALUE!</v>
      </c>
      <c r="CH37" s="151" t="n">
        <f aca="false">MIN(ice_elem_cap,TblMili[[#This Row],[Raw (2)]]*ice_elem_bonus)</f>
        <v>0</v>
      </c>
      <c r="CI37" s="288" t="n">
        <f aca="false">MIN(bone_breaker_cap,250/bone_breaker_bonus)</f>
        <v>0.833333333333333</v>
      </c>
      <c r="CJ37" s="288" t="e">
        <f aca="false">MIN(nox_nightshade_cap,TblConstr[[#This Row],[Homeland]]/TblConstr[[#This Row],[Land]]/nox_nightshade_swamp_bonus)</f>
        <v>#VALUE!</v>
      </c>
      <c r="CK37" s="289"/>
      <c r="CL37" s="289"/>
      <c r="CM37" s="289"/>
      <c r="CN37" s="288" t="e">
        <f aca="false">MIN(6,TblMili[[#This Row],[Mystic]]+Races!$F$19)*1.8 +  IF(TblMili[[#This Row],[Mystic]]+Races!$F$19&gt;6,(TblMili[[#This Row],[Mystic]]+Races!$F$19-6)*0.2,0) - Races!$I$19</f>
        <v>#VALUE!</v>
      </c>
      <c r="CO37" s="288" t="e">
        <f aca="false">1.8 * MIN(MAX(TblMili[[#This Row],[Druid (op)]]+Races!$E$20,TblMili[[#This Row],[Druid (dp)]]+Races!$F$20),6)  +  0.45 * MIN(MIN(TblMili[[#This Row],[Druid (op)]]+Races!$E$20,TblMili[[#This Row],[Druid (dp)]]+Races!$F$20),6)  +  0.2 * ( MAX(TblMili[[#This Row],[Druid (op)]]+Races!$E$20-6,0) + MAX(TblMili[[#This Row],[Druid (dp)]]+Races!$F$20-6,0) )  -  Races!$I$20</f>
        <v>#VALUE!</v>
      </c>
      <c r="CP37" s="69" t="e">
        <f aca="false">TblMili[[#This Row],[Mystic bonus]]*TblMili[[#This Row],[Unit 3]]+TblMili[[#This Row],[Druid bonus]]*TblMili[[#This Row],[Unit 4]]</f>
        <v>#VALUE!</v>
      </c>
      <c r="CQ37" s="148" t="e">
        <f aca="false">MIN(6,TblMili[[#This Row],[Dryad]]+Races!$F$35)*1.8 +  IF(TblMili[[#This Row],[Dryad]]+Races!$F$35&gt;6,(TblMili[[#This Row],[Dryad]]+Races!$F$35-6)*0.2,0) - Races!$I$19</f>
        <v>#VALUE!</v>
      </c>
      <c r="CR37" s="69" t="e">
        <f aca="false">sylvan*(TblMili[[#This Row],[Mystic bonus]]*TblMili[[#This Row],[Unit 3]])</f>
        <v>#VALUE!</v>
      </c>
      <c r="CS37" s="148" t="e">
        <f aca="false">1.8 * MIN(MAX(Races!$E$27,TblMili[[#This Row],[Rockapult]]+Races!$F$27),6)  +  0.45 * MIN(MIN(Races!$E$27,TblMili[[#This Row],[Rockapult]]+Races!$F$27),6)  +  0.2 * ( MAX(Races!$E$27-6,0) + MAX(TblMili[[#This Row],[Rockapult]]+Races!$F$27-6,0) )  -  Races!$I$20</f>
        <v>#VALUE!</v>
      </c>
      <c r="CT37" s="69" t="e">
        <f aca="false">gnome*(TblMili[[#This Row],[Rockapult bonus]]*TblMili[[#This Row],[Unit 3]])</f>
        <v>#VALUE!</v>
      </c>
      <c r="CU37" s="148" t="n">
        <f aca="false">1.8 * MIN(MAX(TblMili[[#This Row],[Spellblade]]+Races!$E$47,TblMili[[#This Row],[Adept-DP]]+Races!$F$47),6)  +  0.45 * MIN(MIN(TblMili[[#This Row],[Spellblade]]+Races!$E$47,TblMili[[#This Row],[Adept-DP]]+Races!$F$47),6)  +  0.2 * ( MAX(TblMili[[#This Row],[Spellblade]]+Races!$E$47-6,0) + MAX(TblMili[[#This Row],[Adept-DP]]+Races!$F$47-6,0) )  -  Races!$I$47</f>
        <v>0</v>
      </c>
      <c r="CV37" s="69" t="n">
        <f aca="false">dark_elf*(TblMili[[#This Row],[Adept bonus]]*TblMili[[#This Row],[Unit 3]])</f>
        <v>0</v>
      </c>
      <c r="CW37" s="148" t="e">
        <f aca="false">1.8 * MIN(MAX(TblMili[[#This Row],[Frost Mage]]+Races!$F$71,Races!$E$71),6)  +  0.45 * MIN(MIN(TblMili[[#This Row],[Frost Mage]]+Races!$F$71,Races!$E$71),6)  +  0.2 * ( MAX(TblMili[[#This Row],[Frost Mage]]+Races!$F$71-6,0) + MAX(Races!$E$71-6,0) )  -  Races!$I$71</f>
        <v>#VALUE!</v>
      </c>
      <c r="CX37" s="148" t="n">
        <f aca="false">1.8 * MIN(MAX(TblMili[[#This Row],[Ice Elemental]]+Races!$E$71,Races!$F$71),6)  +  0.45 * MIN(MIN(TblMili[[#This Row],[Ice Elemental]]+Races!$E$71,Races!$F$71),6)  +  0.2 * ( MAX(TblMili[[#This Row],[Ice Elemental]]+Races!$E$71-6,0) + MAX(Races!$F$71-6,0) )  -  Races!$I$71</f>
        <v>0</v>
      </c>
      <c r="CY37" s="69" t="e">
        <f aca="false">TblMili[[#This Row],[Frost Mage bonus]]*TblMili[[#This Row],[Unit 3]]+TblMili[[#This Row],[Ice Elemental bonus]]*TblMili[[#This Row],[Unit 4]]</f>
        <v>#VALUE!</v>
      </c>
      <c r="CZ37" s="290"/>
      <c r="DA37" s="109" t="n">
        <f aca="false">MIN(SUM(TblConstr[[#This Row],[Plain]:[Water]])/TblMili[[#This Row],[Land]]/favorable_terrain_bonus/100,favorable_terrain_max)</f>
        <v>0</v>
      </c>
      <c r="DB37" s="290"/>
      <c r="DC3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7" s="132"/>
      <c r="DE37" s="291" t="n">
        <f aca="false">(TblMili[[#This Row],[Wizards]]+2*TblMili[[#This Row],[Archmages]])/TblConstr[[#This Row],[Land]]</f>
        <v>0</v>
      </c>
      <c r="DF37" s="291" t="n">
        <f aca="false">TblMili[[#This Row],[Raw (2)]]*(1+race_wizard_strength+IF(TblMili[[#This Row],[Hour]]&gt;72,tech_magical_weaponry_wiz*TblTech[[#This Row],[3-5]],0))</f>
        <v>0</v>
      </c>
    </row>
    <row r="38" customFormat="false" ht="12.75" hidden="false" customHeight="false" outlineLevel="0" collapsed="false">
      <c r="A38" s="128" t="n">
        <f aca="false">TblRezone[[#This Row],[Hour]]</f>
        <v>35</v>
      </c>
      <c r="B38" s="282" t="n">
        <f aca="false">SUM(TblMili[[#This Row],[Unit 1]:[Archmages]])+SUM(OFFSET(TblMili[[#This Row],[Train Unit 1]],-8,0):TblMili[[#This Row],[Train Unit 2]]) + SUM(OFFSET(TblMili[[#This Row],[Train Unit 3]],-11,0):TblMili[[#This Row],[Train AM]]) + TblMili[[#This Row],[Draftees]]</f>
        <v>3</v>
      </c>
      <c r="C38" s="150" t="n">
        <f aca="false">TblPop[[#This Row],[Military%]]</f>
        <v>0.000481231953801732</v>
      </c>
      <c r="D38" s="132"/>
      <c r="E38" s="151" t="n">
        <f aca="false">OFFSET(TblMili[[#This Row],[Unit 1]],-1,0) + OFFSET(TblMili[[#This Row],[Train Unit 1]],-9,0) - TblMili[[#This Row],[Release Unit 1]]</f>
        <v>0</v>
      </c>
      <c r="F38" s="151" t="n">
        <f aca="false">OFFSET(TblMili[[#This Row],[Unit 2]],-1,0) + OFFSET(TblMili[[#This Row],[Train Unit 2]],-9,0)-TblMili[[#This Row],[Release Unit 2]]</f>
        <v>0</v>
      </c>
      <c r="G38" s="151" t="n">
        <f aca="false">OFFSET(TblMili[[#This Row],[Unit 3]],-1,0) + OFFSET(TblMili[[#This Row],[Train Unit 3]],-12,0)-TblMili[[#This Row],[Release Unit 3]]</f>
        <v>0</v>
      </c>
      <c r="H38" s="151" t="n">
        <f aca="false">OFFSET(TblMili[[#This Row],[Unit 4]],-1,0) + OFFSET(TblMili[[#This Row],[Train Unit 4]],-12,0)-TblMili[[#This Row],[Release Unit 4]]</f>
        <v>0</v>
      </c>
      <c r="I38" s="151" t="n">
        <f aca="false">OFFSET(TblMili[[#This Row],[Spies]],-1,0) + OFFSET(TblMili[[#This Row],[Train Spies]],-12,0) - TblMili[[#This Row],[Release Spies]]-TblMili[[#This Row],[Train AS]]</f>
        <v>0</v>
      </c>
      <c r="J38" s="151" t="n">
        <f aca="false">OFFSET(TblMili[[#This Row],[Archspies]],-1,0) + OFFSET(TblMili[[#This Row],[Train AS]],-12,0) - TblMili[[#This Row],[Release AS]]</f>
        <v>0</v>
      </c>
      <c r="K38" s="151" t="n">
        <f aca="false">OFFSET(TblMili[[#This Row],[Wizards]],-1,0) + OFFSET(TblMili[[#This Row],[Train Wiz]],-12,0) - TblMili[[#This Row],[Release Wizards]]-TblMili[[#This Row],[Train AM]]</f>
        <v>0</v>
      </c>
      <c r="L38" s="151" t="n">
        <f aca="false">OFFSET(TblMili[[#This Row],[Archmages]],-1,0) + OFFSET(TblMili[[#This Row],[Train AM]],-12,0) - TblMili[[#This Row],[Release AM]]</f>
        <v>0</v>
      </c>
      <c r="M38" s="132"/>
      <c r="N38" s="69" t="e">
        <f aca="false">TblProd[[#This Row],[Networth]]</f>
        <v>#VALUE!</v>
      </c>
      <c r="O38" s="132"/>
      <c r="P3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8" s="285" t="e">
        <f aca="false">TblMili[[#This Row],[Raw]]*(1+TblMili[[#This Row],[Mods_Off]])</f>
        <v>#VALUE!</v>
      </c>
      <c r="S3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8" s="285" t="e">
        <f aca="false">TblMili[[#This Row],[Non Draft]]+TblMili[[#This Row],[Draftees]]</f>
        <v>#VALUE!</v>
      </c>
      <c r="U38" s="286" t="n">
        <f aca="false">race_defense + TblImps[[#This Row],[Walls]] + ROUND( MIN(gt_bonus*TblConstr[[#This Row],[Tot GT]]/TblConstr[[#This Row],[Land]],gt_bonus_cap), 4) + IF(TblMagic[[#This Row],[Active Howling]]&gt;0,howling_dp_bonus,IF(TblMagic[[#This Row],[Active Ares Call]]&gt;0,ares_call_bonus))</f>
        <v>0</v>
      </c>
      <c r="V38" s="274" t="e">
        <f aca="false">TblMili[[#This Row],[Non Draft]] * (1 + TblMili[[#This Row],[Mods_Def]])</f>
        <v>#VALUE!</v>
      </c>
      <c r="W38" s="285" t="e">
        <f aca="false">TblMili[[#This Row],[Draft]] * (1 + TblMili[[#This Row],[Mods_Def]])</f>
        <v>#VALUE!</v>
      </c>
      <c r="X38" s="285" t="n">
        <f aca="false">TblConstr[[#This Row],[Land]]</f>
        <v>409</v>
      </c>
      <c r="Y38" s="287"/>
      <c r="Z38" s="109" t="n">
        <f aca="false">IF(TblMili[[#This Row],[Set]]&lt;&gt;"",TblMili[[#This Row],[Set]],OFFSET(TblMili[[#This Row],[Draftrate]],-1,0))</f>
        <v>0.9</v>
      </c>
      <c r="AA38" s="69" t="n">
        <f aca="false">OFFSET(TblMili[[#This Row],[Draftees]],-1,0)+OFFSET(TblPop[[#This Row],[Draft Growth]],-1,0) - SUM(TblMili[[#This Row],[Train Unit 1]:[Train Spies]],TblMili[[#This Row],[Train Wiz]]) - TblMili[[#This Row],[Release Draft]] + SUM(TblMili[[#This Row],[Release Unit 1]:[Release AM]]) - TblExplore[[#This Row],[Draftees (2)]]</f>
        <v>3</v>
      </c>
      <c r="AB38" s="146"/>
      <c r="AC38" s="130" t="n">
        <f aca="false">(TblConstr[[#This Row],[Tot Smi]]+TblConstr[[#This Row],[Dest Smi]])/(TblConstr[[#This Row],[Land]]-TblExplore[[#This Row],[Land Bonus]]*20)</f>
        <v>0</v>
      </c>
      <c r="AD38" s="128"/>
      <c r="AE38" s="282" t="n">
        <f aca="false">TblMili[[#This Row],[Hour]]</f>
        <v>35</v>
      </c>
      <c r="AF38" s="129" t="n">
        <f aca="false">TblExplore[[#This Row],[Time]]</f>
        <v>45431.1666666667</v>
      </c>
      <c r="AG38" s="182"/>
      <c r="AH38" s="182"/>
      <c r="AI38" s="182"/>
      <c r="AJ38" s="182"/>
      <c r="AK38" s="182"/>
      <c r="AL38" s="182"/>
      <c r="AM38" s="182"/>
      <c r="AN38" s="182"/>
      <c r="AO38" s="132"/>
      <c r="AP38" s="69" t="n">
        <f aca="false">TblProd[[#This Row],[Platinum]]</f>
        <v>51273</v>
      </c>
      <c r="AQ38" s="69" t="n">
        <f aca="false">INDEX(TblProd[[#Headers],[Lumber]]:TblProd[[#This Row],[Ore]],COUNTA(TblProd[[#Headers],[Lumber]]:TblProd[[#This Row],[Lumber]]),MATCH(Military!$AQ$2,TblProd[[#Headers],[Lumber]:[Ore]],0))</f>
        <v>0</v>
      </c>
      <c r="AR3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69" t="n">
        <f aca="false">TblMili[[#This Row],[Train Unit 1]]*TblMili[[#This Row],[OP Ore]]+TblMili[[#This Row],[Train Unit 2]]*TblMili[[#This Row],[DP Ore]]+TblMili[[#This Row],[Train Unit 3]]*TblMili[[#This Row],[E1 Ore]]+TblMili[[#This Row],[Train Unit 4]]*TblMili[[#This Row],[E2 Ore]]</f>
        <v>0</v>
      </c>
      <c r="AT38" s="132" t="n">
        <f aca="false">TblMili[[#This Row],[Hour]]</f>
        <v>35</v>
      </c>
      <c r="AU38" s="144" t="n">
        <f aca="false">TblMili[[#This Row],[Time]]</f>
        <v>45431.1666666667</v>
      </c>
      <c r="AV38" s="69" t="n">
        <f aca="false">TblMili[[#This Row],[Draftees]]</f>
        <v>3</v>
      </c>
      <c r="AW38" s="182"/>
      <c r="AX38" s="182"/>
      <c r="AY38" s="182"/>
      <c r="AZ38" s="182"/>
      <c r="BA38" s="182"/>
      <c r="BB38" s="182"/>
      <c r="BC38" s="182"/>
      <c r="BD38" s="182"/>
      <c r="BE38" s="182"/>
      <c r="BF38" s="132"/>
      <c r="BG38" s="150" t="n">
        <f aca="false">TblConstr[[#This Row],[Tot WG]]/TblConstr[[#This Row],[Land]]</f>
        <v>0</v>
      </c>
      <c r="BH38" s="150" t="n">
        <f aca="false">TblConstr[[#This Row],[Tot Hav]]/TblConstr[[#This Row],[Land]]</f>
        <v>0</v>
      </c>
      <c r="BI38" s="69" t="n">
        <f aca="false">ROUNDUP((1-MIN(TblMili[[#This Row],[Smithies]]*smithy_bonus,smithy_bonus_cap) + tech_3_5*TblTech[[#This Row],[3-5]] + tech_5_3*TblTech[[#This Row],[5-3]] + tech_5_5*TblTech[[#This Row],[5-5]])*spec_op_plat,0)</f>
        <v>300</v>
      </c>
      <c r="BJ38" s="69" t="n">
        <f aca="false">ROUNDUP(IF(race="Gnome",1,(1-MIN(TblMili[[#This Row],[Smithies]]*smithy_bonus,smithy_bonus_cap) + tech_3_5*TblTech[[#This Row],[3-5]] + tech_5_3*TblTech[[#This Row],[5-3]] + tech_5_5*TblTech[[#This Row],[5-5]]))*spec_op_ore,0)</f>
        <v>0</v>
      </c>
      <c r="BK38" s="69" t="n">
        <f aca="false">ROUNDUP((1-MIN(TblMili[[#This Row],[Smithies]]*smithy_bonus,smithy_bonus_cap) + tech_3_5*TblTech[[#This Row],[3-5]] + tech_5_3*TblTech[[#This Row],[5-3]] + tech_5_5*TblTech[[#This Row],[5-5]])*spec_dp_plat,0)</f>
        <v>300</v>
      </c>
      <c r="BL38" s="69" t="n">
        <f aca="false">ROUNDUP(IF(race="Gnome",1,(1-MIN(TblMili[[#This Row],[Smithies]]*smithy_bonus,smithy_bonus_cap) + tech_3_5*TblTech[[#This Row],[3-5]] + tech_5_3*TblTech[[#This Row],[5-3]] + tech_5_5*TblTech[[#This Row],[5-5]]))*spec_dp_ore,0)</f>
        <v>0</v>
      </c>
      <c r="BM38" s="69" t="n">
        <f aca="false">ROUNDUP((1-MIN(TblMili[[#This Row],[Smithies]]*smithy_bonus,smithy_bonus_cap) + tech_3_5*TblTech[[#This Row],[3-5]] + tech_5_3*TblTech[[#This Row],[5-3]] + tech_5_5*TblTech[[#This Row],[5-5]])*elite1_plat,0)</f>
        <v>925</v>
      </c>
      <c r="BN38" s="69" t="n">
        <f aca="false">ROUNDUP(IF(race="Gnome",1,(1-MIN(TblMili[[#This Row],[Smithies]]*smithy_bonus,smithy_bonus_cap) + tech_3_5*TblTech[[#This Row],[3-5]] + tech_5_3*TblTech[[#This Row],[5-3]] + tech_5_5*TblTech[[#This Row],[5-5]]))*elite1_ore,0)</f>
        <v>0</v>
      </c>
      <c r="BO38" s="69" t="n">
        <f aca="false">ROUNDUP((1-MIN(TblMili[[#This Row],[Smithies]]*smithy_bonus,smithy_bonus_cap) + tech_3_5*TblTech[[#This Row],[3-5]] + tech_5_3*TblTech[[#This Row],[5-3]] + tech_5_5*TblTech[[#This Row],[5-5]])*elite2_plat,0)</f>
        <v>950</v>
      </c>
      <c r="BP38" s="69" t="n">
        <f aca="false">ROUNDUP(IF(race="Gnome",1,(1-MIN(TblMili[[#This Row],[Smithies]]*smithy_bonus,smithy_bonus_cap) + tech_3_5*TblTech[[#This Row],[3-5]] + tech_5_3*TblTech[[#This Row],[5-3]] + tech_5_5*TblTech[[#This Row],[5-5]]))*elite2_ore,0)</f>
        <v>0</v>
      </c>
      <c r="BQ38" s="69" t="n">
        <f aca="false">ROUNDUP((1-MIN(ROUND(fh_spy_cost_red*TblMili[[#This Row],[FH''s]],4),fh_spy_cost_cap)+ tech_1_9*TblTech[[#This Row],[1-9]] + tech_9_1*TblTech[[#This Row],[9-1]])*spy_plat,0)</f>
        <v>500</v>
      </c>
      <c r="BR38" s="69" t="n">
        <f aca="false">ROUNDUP((1-MIN(ROUND(fh_spy_cost_red*TblMili[[#This Row],[FH''s]],4),fh_spy_cost_cap)+ tech_1_9*TblTech[[#This Row],[1-9]] + tech_9_1*TblTech[[#This Row],[9-1]])*archspy_plat,0)</f>
        <v>1000</v>
      </c>
      <c r="BS38" s="69" t="n">
        <f aca="false">ROUNDUP((1-MIN(ROUND(wg_wiz_cost_bonus*TblMili[[#This Row],[WG''s]],4),wg_wiz_cost_cap) + tech_1_9_2*TblTech[[#This Row],[1-9]] + tech_9_1_2*TblTech[[#This Row],[9-1]])*wizard_plat,0)</f>
        <v>500</v>
      </c>
      <c r="BT38" s="69" t="n">
        <f aca="false">ROUNDUP((1-MIN(ROUND(wg_wiz_cost_bonus*TblMili[[#This Row],[WG''s]],4),wg_wiz_cost_cap) + tech_1_9_2*TblTech[[#This Row],[1-9]] + tech_9_1_2*TblTech[[#This Row],[9-1]])*archmage_plat,0)</f>
        <v>1000</v>
      </c>
      <c r="BU38" s="132"/>
      <c r="BV38" s="150" t="e">
        <f aca="false">TblConstr[[#This Row],[Homeland]]/TblConstr[[#This Row],[Land]]</f>
        <v>#VALUE!</v>
      </c>
      <c r="BW38" s="150" t="n">
        <f aca="false">TblMili[[#This Row],[WG''s]]</f>
        <v>0</v>
      </c>
      <c r="BX38" s="288" t="e">
        <f aca="false">IF(mystic_cap="none",TblMili[[#This Row],[Hill]]/mystic_bonus,MIN(mystic_cap,TblMili[[#This Row],[Hill]]/mystic_bonus))</f>
        <v>#VALUE!</v>
      </c>
      <c r="BY38" s="288" t="e">
        <f aca="false">IF(druid_op_cap="none",TblMili[[#This Row],[Hill]]/druid_op_bonus,MIN(druid_op_cap,TblMili[[#This Row],[Hill]]/druid_op_bonus))</f>
        <v>#VALUE!</v>
      </c>
      <c r="BZ38" s="288" t="e">
        <f aca="false">IF(druid_dp_cap="none",TblMili[[#This Row],[Hill]]/druid_dp_bonus,MIN(druid_dp_cap,TblMili[[#This Row],[Hill]]/druid_dp_bonus))</f>
        <v>#VALUE!</v>
      </c>
      <c r="CA38" s="288" t="e">
        <f aca="false">MIN(dryad_cap,TblMili[[#This Row],[Hill]]/dryad_bonus)</f>
        <v>#VALUE!</v>
      </c>
      <c r="CB38" s="288" t="e">
        <f aca="false">MIN(rocka_cap,TblMili[[#This Row],[Hill]]/rocka_bonus)</f>
        <v>#VALUE!</v>
      </c>
      <c r="CC38" s="288" t="n">
        <f aca="false">MIN(adept_op_cap,TblMili[[#This Row],[WG]]/adept_op_bonus)</f>
        <v>0</v>
      </c>
      <c r="CD38" s="288" t="n">
        <f aca="false">MIN(adept_dp_cap,TblMili[[#This Row],[WG]]/adept_dp_bonus)</f>
        <v>0</v>
      </c>
      <c r="CE38" s="69" t="n">
        <f aca="false">MIN(TblMili[[#This Row],[Unit 3]],TblMili[[#This Row],[Unit 2]])*2</f>
        <v>0</v>
      </c>
      <c r="CF38" s="69" t="n">
        <f aca="false">MIN(TblMili[[#This Row],[Unit 1]],TblMili[[#This Row],[Unit 4]])*2</f>
        <v>0</v>
      </c>
      <c r="CG38" s="288" t="e">
        <f aca="false">MIN(frost_mage_cap,TblMili[[#This Row],[Hill]]/frost_mage_bonus)</f>
        <v>#VALUE!</v>
      </c>
      <c r="CH38" s="151" t="n">
        <f aca="false">MIN(ice_elem_cap,TblMili[[#This Row],[Raw (2)]]*ice_elem_bonus)</f>
        <v>0</v>
      </c>
      <c r="CI38" s="288" t="n">
        <f aca="false">MIN(bone_breaker_cap,250/bone_breaker_bonus)</f>
        <v>0.833333333333333</v>
      </c>
      <c r="CJ38" s="288" t="e">
        <f aca="false">MIN(nox_nightshade_cap,TblConstr[[#This Row],[Homeland]]/TblConstr[[#This Row],[Land]]/nox_nightshade_swamp_bonus)</f>
        <v>#VALUE!</v>
      </c>
      <c r="CK38" s="289"/>
      <c r="CL38" s="289"/>
      <c r="CM38" s="289"/>
      <c r="CN38" s="288" t="e">
        <f aca="false">MIN(6,TblMili[[#This Row],[Mystic]]+Races!$F$19)*1.8 +  IF(TblMili[[#This Row],[Mystic]]+Races!$F$19&gt;6,(TblMili[[#This Row],[Mystic]]+Races!$F$19-6)*0.2,0) - Races!$I$19</f>
        <v>#VALUE!</v>
      </c>
      <c r="CO38" s="288" t="e">
        <f aca="false">1.8 * MIN(MAX(TblMili[[#This Row],[Druid (op)]]+Races!$E$20,TblMili[[#This Row],[Druid (dp)]]+Races!$F$20),6)  +  0.45 * MIN(MIN(TblMili[[#This Row],[Druid (op)]]+Races!$E$20,TblMili[[#This Row],[Druid (dp)]]+Races!$F$20),6)  +  0.2 * ( MAX(TblMili[[#This Row],[Druid (op)]]+Races!$E$20-6,0) + MAX(TblMili[[#This Row],[Druid (dp)]]+Races!$F$20-6,0) )  -  Races!$I$20</f>
        <v>#VALUE!</v>
      </c>
      <c r="CP38" s="69" t="e">
        <f aca="false">TblMili[[#This Row],[Mystic bonus]]*TblMili[[#This Row],[Unit 3]]+TblMili[[#This Row],[Druid bonus]]*TblMili[[#This Row],[Unit 4]]</f>
        <v>#VALUE!</v>
      </c>
      <c r="CQ38" s="148" t="e">
        <f aca="false">MIN(6,TblMili[[#This Row],[Dryad]]+Races!$F$35)*1.8 +  IF(TblMili[[#This Row],[Dryad]]+Races!$F$35&gt;6,(TblMili[[#This Row],[Dryad]]+Races!$F$35-6)*0.2,0) - Races!$I$19</f>
        <v>#VALUE!</v>
      </c>
      <c r="CR38" s="69" t="e">
        <f aca="false">sylvan*(TblMili[[#This Row],[Mystic bonus]]*TblMili[[#This Row],[Unit 3]])</f>
        <v>#VALUE!</v>
      </c>
      <c r="CS38" s="148" t="e">
        <f aca="false">1.8 * MIN(MAX(Races!$E$27,TblMili[[#This Row],[Rockapult]]+Races!$F$27),6)  +  0.45 * MIN(MIN(Races!$E$27,TblMili[[#This Row],[Rockapult]]+Races!$F$27),6)  +  0.2 * ( MAX(Races!$E$27-6,0) + MAX(TblMili[[#This Row],[Rockapult]]+Races!$F$27-6,0) )  -  Races!$I$20</f>
        <v>#VALUE!</v>
      </c>
      <c r="CT38" s="69" t="e">
        <f aca="false">gnome*(TblMili[[#This Row],[Rockapult bonus]]*TblMili[[#This Row],[Unit 3]])</f>
        <v>#VALUE!</v>
      </c>
      <c r="CU38" s="148" t="n">
        <f aca="false">1.8 * MIN(MAX(TblMili[[#This Row],[Spellblade]]+Races!$E$47,TblMili[[#This Row],[Adept-DP]]+Races!$F$47),6)  +  0.45 * MIN(MIN(TblMili[[#This Row],[Spellblade]]+Races!$E$47,TblMili[[#This Row],[Adept-DP]]+Races!$F$47),6)  +  0.2 * ( MAX(TblMili[[#This Row],[Spellblade]]+Races!$E$47-6,0) + MAX(TblMili[[#This Row],[Adept-DP]]+Races!$F$47-6,0) )  -  Races!$I$47</f>
        <v>0</v>
      </c>
      <c r="CV38" s="69" t="n">
        <f aca="false">dark_elf*(TblMili[[#This Row],[Adept bonus]]*TblMili[[#This Row],[Unit 3]])</f>
        <v>0</v>
      </c>
      <c r="CW38" s="148" t="e">
        <f aca="false">1.8 * MIN(MAX(TblMili[[#This Row],[Frost Mage]]+Races!$F$71,Races!$E$71),6)  +  0.45 * MIN(MIN(TblMili[[#This Row],[Frost Mage]]+Races!$F$71,Races!$E$71),6)  +  0.2 * ( MAX(TblMili[[#This Row],[Frost Mage]]+Races!$F$71-6,0) + MAX(Races!$E$71-6,0) )  -  Races!$I$71</f>
        <v>#VALUE!</v>
      </c>
      <c r="CX38" s="148" t="n">
        <f aca="false">1.8 * MIN(MAX(TblMili[[#This Row],[Ice Elemental]]+Races!$E$71,Races!$F$71),6)  +  0.45 * MIN(MIN(TblMili[[#This Row],[Ice Elemental]]+Races!$E$71,Races!$F$71),6)  +  0.2 * ( MAX(TblMili[[#This Row],[Ice Elemental]]+Races!$E$71-6,0) + MAX(Races!$F$71-6,0) )  -  Races!$I$71</f>
        <v>0</v>
      </c>
      <c r="CY38" s="69" t="e">
        <f aca="false">TblMili[[#This Row],[Frost Mage bonus]]*TblMili[[#This Row],[Unit 3]]+TblMili[[#This Row],[Ice Elemental bonus]]*TblMili[[#This Row],[Unit 4]]</f>
        <v>#VALUE!</v>
      </c>
      <c r="CZ38" s="290"/>
      <c r="DA38" s="109" t="n">
        <f aca="false">MIN(SUM(TblConstr[[#This Row],[Plain]:[Water]])/TblMili[[#This Row],[Land]]/favorable_terrain_bonus/100,favorable_terrain_max)</f>
        <v>0</v>
      </c>
      <c r="DB38" s="290"/>
      <c r="DC3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8" s="132"/>
      <c r="DE38" s="291" t="n">
        <f aca="false">(TblMili[[#This Row],[Wizards]]+2*TblMili[[#This Row],[Archmages]])/TblConstr[[#This Row],[Land]]</f>
        <v>0</v>
      </c>
      <c r="DF38" s="291" t="n">
        <f aca="false">TblMili[[#This Row],[Raw (2)]]*(1+race_wizard_strength+IF(TblMili[[#This Row],[Hour]]&gt;72,tech_magical_weaponry_wiz*TblTech[[#This Row],[3-5]],0))</f>
        <v>0</v>
      </c>
    </row>
    <row r="39" customFormat="false" ht="12.75" hidden="false" customHeight="false" outlineLevel="0" collapsed="false">
      <c r="A39" s="128" t="n">
        <f aca="false">TblRezone[[#This Row],[Hour]]</f>
        <v>36</v>
      </c>
      <c r="B39" s="282" t="n">
        <f aca="false">SUM(TblMili[[#This Row],[Unit 1]:[Archmages]])+SUM(OFFSET(TblMili[[#This Row],[Train Unit 1]],-8,0):TblMili[[#This Row],[Train Unit 2]]) + SUM(OFFSET(TblMili[[#This Row],[Train Unit 3]],-11,0):TblMili[[#This Row],[Train AM]]) + TblMili[[#This Row],[Draftees]]</f>
        <v>0</v>
      </c>
      <c r="C39" s="150" t="n">
        <f aca="false">TblPop[[#This Row],[Military%]]</f>
        <v>0</v>
      </c>
      <c r="D39" s="132"/>
      <c r="E39" s="151" t="n">
        <f aca="false">OFFSET(TblMili[[#This Row],[Unit 1]],-1,0) + OFFSET(TblMili[[#This Row],[Train Unit 1]],-9,0) - TblMili[[#This Row],[Release Unit 1]]</f>
        <v>0</v>
      </c>
      <c r="F39" s="151" t="n">
        <f aca="false">OFFSET(TblMili[[#This Row],[Unit 2]],-1,0) + OFFSET(TblMili[[#This Row],[Train Unit 2]],-9,0)-TblMili[[#This Row],[Release Unit 2]]</f>
        <v>0</v>
      </c>
      <c r="G39" s="151" t="n">
        <f aca="false">OFFSET(TblMili[[#This Row],[Unit 3]],-1,0) + OFFSET(TblMili[[#This Row],[Train Unit 3]],-12,0)-TblMili[[#This Row],[Release Unit 3]]</f>
        <v>0</v>
      </c>
      <c r="H39" s="151" t="n">
        <f aca="false">OFFSET(TblMili[[#This Row],[Unit 4]],-1,0) + OFFSET(TblMili[[#This Row],[Train Unit 4]],-12,0)-TblMili[[#This Row],[Release Unit 4]]</f>
        <v>0</v>
      </c>
      <c r="I39" s="151" t="n">
        <f aca="false">OFFSET(TblMili[[#This Row],[Spies]],-1,0) + OFFSET(TblMili[[#This Row],[Train Spies]],-12,0) - TblMili[[#This Row],[Release Spies]]-TblMili[[#This Row],[Train AS]]</f>
        <v>0</v>
      </c>
      <c r="J39" s="151" t="n">
        <f aca="false">OFFSET(TblMili[[#This Row],[Archspies]],-1,0) + OFFSET(TblMili[[#This Row],[Train AS]],-12,0) - TblMili[[#This Row],[Release AS]]</f>
        <v>0</v>
      </c>
      <c r="K39" s="151" t="n">
        <f aca="false">OFFSET(TblMili[[#This Row],[Wizards]],-1,0) + OFFSET(TblMili[[#This Row],[Train Wiz]],-12,0) - TblMili[[#This Row],[Release Wizards]]-TblMili[[#This Row],[Train AM]]</f>
        <v>0</v>
      </c>
      <c r="L39" s="151" t="n">
        <f aca="false">OFFSET(TblMili[[#This Row],[Archmages]],-1,0) + OFFSET(TblMili[[#This Row],[Train AM]],-12,0) - TblMili[[#This Row],[Release AM]]</f>
        <v>0</v>
      </c>
      <c r="M39" s="132"/>
      <c r="N39" s="69" t="e">
        <f aca="false">TblProd[[#This Row],[Networth]]</f>
        <v>#VALUE!</v>
      </c>
      <c r="O39" s="132"/>
      <c r="P3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9" s="285" t="e">
        <f aca="false">TblMili[[#This Row],[Raw]]*(1+TblMili[[#This Row],[Mods_Off]])</f>
        <v>#VALUE!</v>
      </c>
      <c r="S3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9" s="285" t="e">
        <f aca="false">TblMili[[#This Row],[Non Draft]]+TblMili[[#This Row],[Draftees]]</f>
        <v>#VALUE!</v>
      </c>
      <c r="U39" s="286" t="n">
        <f aca="false">race_defense + TblImps[[#This Row],[Walls]] + ROUND( MIN(gt_bonus*TblConstr[[#This Row],[Tot GT]]/TblConstr[[#This Row],[Land]],gt_bonus_cap), 4) + IF(TblMagic[[#This Row],[Active Howling]]&gt;0,howling_dp_bonus,IF(TblMagic[[#This Row],[Active Ares Call]]&gt;0,ares_call_bonus))</f>
        <v>0</v>
      </c>
      <c r="V39" s="274" t="e">
        <f aca="false">TblMili[[#This Row],[Non Draft]] * (1 + TblMili[[#This Row],[Mods_Def]])</f>
        <v>#VALUE!</v>
      </c>
      <c r="W39" s="285" t="e">
        <f aca="false">TblMili[[#This Row],[Draft]] * (1 + TblMili[[#This Row],[Mods_Def]])</f>
        <v>#VALUE!</v>
      </c>
      <c r="X39" s="285" t="n">
        <f aca="false">TblConstr[[#This Row],[Land]]</f>
        <v>419</v>
      </c>
      <c r="Y39" s="287"/>
      <c r="Z39" s="109" t="n">
        <f aca="false">IF(TblMili[[#This Row],[Set]]&lt;&gt;"",TblMili[[#This Row],[Set]],OFFSET(TblMili[[#This Row],[Draftrate]],-1,0))</f>
        <v>0.9</v>
      </c>
      <c r="AA39" s="69" t="n">
        <f aca="false">OFFSET(TblMili[[#This Row],[Draftees]],-1,0)+OFFSET(TblPop[[#This Row],[Draft Growth]],-1,0) - SUM(TblMili[[#This Row],[Train Unit 1]:[Train Spies]],TblMili[[#This Row],[Train Wiz]]) - TblMili[[#This Row],[Release Draft]] + SUM(TblMili[[#This Row],[Release Unit 1]:[Release AM]]) - TblExplore[[#This Row],[Draftees (2)]]</f>
        <v>0</v>
      </c>
      <c r="AB39" s="146"/>
      <c r="AC39" s="130" t="n">
        <f aca="false">(TblConstr[[#This Row],[Tot Smi]]+TblConstr[[#This Row],[Dest Smi]])/(TblConstr[[#This Row],[Land]]-TblExplore[[#This Row],[Land Bonus]]*20)</f>
        <v>0</v>
      </c>
      <c r="AD39" s="128"/>
      <c r="AE39" s="282" t="n">
        <f aca="false">TblMili[[#This Row],[Hour]]</f>
        <v>36</v>
      </c>
      <c r="AF39" s="129" t="n">
        <f aca="false">TblExplore[[#This Row],[Time]]</f>
        <v>45431.2083333333</v>
      </c>
      <c r="AG39" s="182"/>
      <c r="AH39" s="182"/>
      <c r="AI39" s="182"/>
      <c r="AJ39" s="182"/>
      <c r="AK39" s="182"/>
      <c r="AL39" s="182"/>
      <c r="AM39" s="182"/>
      <c r="AN39" s="182"/>
      <c r="AO39" s="132"/>
      <c r="AP39" s="69" t="n">
        <f aca="false">TblProd[[#This Row],[Platinum]]</f>
        <v>55040</v>
      </c>
      <c r="AQ39" s="69" t="n">
        <f aca="false">INDEX(TblProd[[#Headers],[Lumber]]:TblProd[[#This Row],[Ore]],COUNTA(TblProd[[#Headers],[Lumber]]:TblProd[[#This Row],[Lumber]]),MATCH(Military!$AQ$2,TblProd[[#Headers],[Lumber]:[Ore]],0))</f>
        <v>0</v>
      </c>
      <c r="AR3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69" t="n">
        <f aca="false">TblMili[[#This Row],[Train Unit 1]]*TblMili[[#This Row],[OP Ore]]+TblMili[[#This Row],[Train Unit 2]]*TblMili[[#This Row],[DP Ore]]+TblMili[[#This Row],[Train Unit 3]]*TblMili[[#This Row],[E1 Ore]]+TblMili[[#This Row],[Train Unit 4]]*TblMili[[#This Row],[E2 Ore]]</f>
        <v>0</v>
      </c>
      <c r="AT39" s="132" t="n">
        <f aca="false">TblMili[[#This Row],[Hour]]</f>
        <v>36</v>
      </c>
      <c r="AU39" s="144" t="n">
        <f aca="false">TblMili[[#This Row],[Time]]</f>
        <v>45431.2083333333</v>
      </c>
      <c r="AV39" s="69" t="n">
        <f aca="false">TblMili[[#This Row],[Draftees]]</f>
        <v>0</v>
      </c>
      <c r="AW39" s="182"/>
      <c r="AX39" s="182"/>
      <c r="AY39" s="182"/>
      <c r="AZ39" s="182"/>
      <c r="BA39" s="182"/>
      <c r="BB39" s="182"/>
      <c r="BC39" s="182"/>
      <c r="BD39" s="182"/>
      <c r="BE39" s="182"/>
      <c r="BF39" s="132"/>
      <c r="BG39" s="150" t="n">
        <f aca="false">TblConstr[[#This Row],[Tot WG]]/TblConstr[[#This Row],[Land]]</f>
        <v>0</v>
      </c>
      <c r="BH39" s="150" t="n">
        <f aca="false">TblConstr[[#This Row],[Tot Hav]]/TblConstr[[#This Row],[Land]]</f>
        <v>0</v>
      </c>
      <c r="BI39" s="69" t="n">
        <f aca="false">ROUNDUP((1-MIN(TblMili[[#This Row],[Smithies]]*smithy_bonus,smithy_bonus_cap) + tech_3_5*TblTech[[#This Row],[3-5]] + tech_5_3*TblTech[[#This Row],[5-3]] + tech_5_5*TblTech[[#This Row],[5-5]])*spec_op_plat,0)</f>
        <v>300</v>
      </c>
      <c r="BJ39" s="69" t="n">
        <f aca="false">ROUNDUP(IF(race="Gnome",1,(1-MIN(TblMili[[#This Row],[Smithies]]*smithy_bonus,smithy_bonus_cap) + tech_3_5*TblTech[[#This Row],[3-5]] + tech_5_3*TblTech[[#This Row],[5-3]] + tech_5_5*TblTech[[#This Row],[5-5]]))*spec_op_ore,0)</f>
        <v>0</v>
      </c>
      <c r="BK39" s="69" t="n">
        <f aca="false">ROUNDUP((1-MIN(TblMili[[#This Row],[Smithies]]*smithy_bonus,smithy_bonus_cap) + tech_3_5*TblTech[[#This Row],[3-5]] + tech_5_3*TblTech[[#This Row],[5-3]] + tech_5_5*TblTech[[#This Row],[5-5]])*spec_dp_plat,0)</f>
        <v>300</v>
      </c>
      <c r="BL39" s="69" t="n">
        <f aca="false">ROUNDUP(IF(race="Gnome",1,(1-MIN(TblMili[[#This Row],[Smithies]]*smithy_bonus,smithy_bonus_cap) + tech_3_5*TblTech[[#This Row],[3-5]] + tech_5_3*TblTech[[#This Row],[5-3]] + tech_5_5*TblTech[[#This Row],[5-5]]))*spec_dp_ore,0)</f>
        <v>0</v>
      </c>
      <c r="BM39" s="69" t="n">
        <f aca="false">ROUNDUP((1-MIN(TblMili[[#This Row],[Smithies]]*smithy_bonus,smithy_bonus_cap) + tech_3_5*TblTech[[#This Row],[3-5]] + tech_5_3*TblTech[[#This Row],[5-3]] + tech_5_5*TblTech[[#This Row],[5-5]])*elite1_plat,0)</f>
        <v>925</v>
      </c>
      <c r="BN39" s="69" t="n">
        <f aca="false">ROUNDUP(IF(race="Gnome",1,(1-MIN(TblMili[[#This Row],[Smithies]]*smithy_bonus,smithy_bonus_cap) + tech_3_5*TblTech[[#This Row],[3-5]] + tech_5_3*TblTech[[#This Row],[5-3]] + tech_5_5*TblTech[[#This Row],[5-5]]))*elite1_ore,0)</f>
        <v>0</v>
      </c>
      <c r="BO39" s="69" t="n">
        <f aca="false">ROUNDUP((1-MIN(TblMili[[#This Row],[Smithies]]*smithy_bonus,smithy_bonus_cap) + tech_3_5*TblTech[[#This Row],[3-5]] + tech_5_3*TblTech[[#This Row],[5-3]] + tech_5_5*TblTech[[#This Row],[5-5]])*elite2_plat,0)</f>
        <v>950</v>
      </c>
      <c r="BP39" s="69" t="n">
        <f aca="false">ROUNDUP(IF(race="Gnome",1,(1-MIN(TblMili[[#This Row],[Smithies]]*smithy_bonus,smithy_bonus_cap) + tech_3_5*TblTech[[#This Row],[3-5]] + tech_5_3*TblTech[[#This Row],[5-3]] + tech_5_5*TblTech[[#This Row],[5-5]]))*elite2_ore,0)</f>
        <v>0</v>
      </c>
      <c r="BQ39" s="69" t="n">
        <f aca="false">ROUNDUP((1-MIN(ROUND(fh_spy_cost_red*TblMili[[#This Row],[FH''s]],4),fh_spy_cost_cap)+ tech_1_9*TblTech[[#This Row],[1-9]] + tech_9_1*TblTech[[#This Row],[9-1]])*spy_plat,0)</f>
        <v>500</v>
      </c>
      <c r="BR39" s="69" t="n">
        <f aca="false">ROUNDUP((1-MIN(ROUND(fh_spy_cost_red*TblMili[[#This Row],[FH''s]],4),fh_spy_cost_cap)+ tech_1_9*TblTech[[#This Row],[1-9]] + tech_9_1*TblTech[[#This Row],[9-1]])*archspy_plat,0)</f>
        <v>1000</v>
      </c>
      <c r="BS39" s="69" t="n">
        <f aca="false">ROUNDUP((1-MIN(ROUND(wg_wiz_cost_bonus*TblMili[[#This Row],[WG''s]],4),wg_wiz_cost_cap) + tech_1_9_2*TblTech[[#This Row],[1-9]] + tech_9_1_2*TblTech[[#This Row],[9-1]])*wizard_plat,0)</f>
        <v>500</v>
      </c>
      <c r="BT39" s="69" t="n">
        <f aca="false">ROUNDUP((1-MIN(ROUND(wg_wiz_cost_bonus*TblMili[[#This Row],[WG''s]],4),wg_wiz_cost_cap) + tech_1_9_2*TblTech[[#This Row],[1-9]] + tech_9_1_2*TblTech[[#This Row],[9-1]])*archmage_plat,0)</f>
        <v>1000</v>
      </c>
      <c r="BU39" s="132"/>
      <c r="BV39" s="150" t="e">
        <f aca="false">TblConstr[[#This Row],[Homeland]]/TblConstr[[#This Row],[Land]]</f>
        <v>#VALUE!</v>
      </c>
      <c r="BW39" s="150" t="n">
        <f aca="false">TblMili[[#This Row],[WG''s]]</f>
        <v>0</v>
      </c>
      <c r="BX39" s="288" t="e">
        <f aca="false">IF(mystic_cap="none",TblMili[[#This Row],[Hill]]/mystic_bonus,MIN(mystic_cap,TblMili[[#This Row],[Hill]]/mystic_bonus))</f>
        <v>#VALUE!</v>
      </c>
      <c r="BY39" s="288" t="e">
        <f aca="false">IF(druid_op_cap="none",TblMili[[#This Row],[Hill]]/druid_op_bonus,MIN(druid_op_cap,TblMili[[#This Row],[Hill]]/druid_op_bonus))</f>
        <v>#VALUE!</v>
      </c>
      <c r="BZ39" s="288" t="e">
        <f aca="false">IF(druid_dp_cap="none",TblMili[[#This Row],[Hill]]/druid_dp_bonus,MIN(druid_dp_cap,TblMili[[#This Row],[Hill]]/druid_dp_bonus))</f>
        <v>#VALUE!</v>
      </c>
      <c r="CA39" s="288" t="e">
        <f aca="false">MIN(dryad_cap,TblMili[[#This Row],[Hill]]/dryad_bonus)</f>
        <v>#VALUE!</v>
      </c>
      <c r="CB39" s="288" t="e">
        <f aca="false">MIN(rocka_cap,TblMili[[#This Row],[Hill]]/rocka_bonus)</f>
        <v>#VALUE!</v>
      </c>
      <c r="CC39" s="288" t="n">
        <f aca="false">MIN(adept_op_cap,TblMili[[#This Row],[WG]]/adept_op_bonus)</f>
        <v>0</v>
      </c>
      <c r="CD39" s="288" t="n">
        <f aca="false">MIN(adept_dp_cap,TblMili[[#This Row],[WG]]/adept_dp_bonus)</f>
        <v>0</v>
      </c>
      <c r="CE39" s="69" t="n">
        <f aca="false">MIN(TblMili[[#This Row],[Unit 3]],TblMili[[#This Row],[Unit 2]])*2</f>
        <v>0</v>
      </c>
      <c r="CF39" s="69" t="n">
        <f aca="false">MIN(TblMili[[#This Row],[Unit 1]],TblMili[[#This Row],[Unit 4]])*2</f>
        <v>0</v>
      </c>
      <c r="CG39" s="288" t="e">
        <f aca="false">MIN(frost_mage_cap,TblMili[[#This Row],[Hill]]/frost_mage_bonus)</f>
        <v>#VALUE!</v>
      </c>
      <c r="CH39" s="151" t="n">
        <f aca="false">MIN(ice_elem_cap,TblMili[[#This Row],[Raw (2)]]*ice_elem_bonus)</f>
        <v>0</v>
      </c>
      <c r="CI39" s="288" t="n">
        <f aca="false">MIN(bone_breaker_cap,250/bone_breaker_bonus)</f>
        <v>0.833333333333333</v>
      </c>
      <c r="CJ39" s="288" t="e">
        <f aca="false">MIN(nox_nightshade_cap,TblConstr[[#This Row],[Homeland]]/TblConstr[[#This Row],[Land]]/nox_nightshade_swamp_bonus)</f>
        <v>#VALUE!</v>
      </c>
      <c r="CK39" s="289"/>
      <c r="CL39" s="289"/>
      <c r="CM39" s="289"/>
      <c r="CN39" s="288" t="e">
        <f aca="false">MIN(6,TblMili[[#This Row],[Mystic]]+Races!$F$19)*1.8 +  IF(TblMili[[#This Row],[Mystic]]+Races!$F$19&gt;6,(TblMili[[#This Row],[Mystic]]+Races!$F$19-6)*0.2,0) - Races!$I$19</f>
        <v>#VALUE!</v>
      </c>
      <c r="CO39" s="288" t="e">
        <f aca="false">1.8 * MIN(MAX(TblMili[[#This Row],[Druid (op)]]+Races!$E$20,TblMili[[#This Row],[Druid (dp)]]+Races!$F$20),6)  +  0.45 * MIN(MIN(TblMili[[#This Row],[Druid (op)]]+Races!$E$20,TblMili[[#This Row],[Druid (dp)]]+Races!$F$20),6)  +  0.2 * ( MAX(TblMili[[#This Row],[Druid (op)]]+Races!$E$20-6,0) + MAX(TblMili[[#This Row],[Druid (dp)]]+Races!$F$20-6,0) )  -  Races!$I$20</f>
        <v>#VALUE!</v>
      </c>
      <c r="CP39" s="69" t="e">
        <f aca="false">TblMili[[#This Row],[Mystic bonus]]*TblMili[[#This Row],[Unit 3]]+TblMili[[#This Row],[Druid bonus]]*TblMili[[#This Row],[Unit 4]]</f>
        <v>#VALUE!</v>
      </c>
      <c r="CQ39" s="148" t="e">
        <f aca="false">MIN(6,TblMili[[#This Row],[Dryad]]+Races!$F$35)*1.8 +  IF(TblMili[[#This Row],[Dryad]]+Races!$F$35&gt;6,(TblMili[[#This Row],[Dryad]]+Races!$F$35-6)*0.2,0) - Races!$I$19</f>
        <v>#VALUE!</v>
      </c>
      <c r="CR39" s="69" t="e">
        <f aca="false">sylvan*(TblMili[[#This Row],[Mystic bonus]]*TblMili[[#This Row],[Unit 3]])</f>
        <v>#VALUE!</v>
      </c>
      <c r="CS39" s="148" t="e">
        <f aca="false">1.8 * MIN(MAX(Races!$E$27,TblMili[[#This Row],[Rockapult]]+Races!$F$27),6)  +  0.45 * MIN(MIN(Races!$E$27,TblMili[[#This Row],[Rockapult]]+Races!$F$27),6)  +  0.2 * ( MAX(Races!$E$27-6,0) + MAX(TblMili[[#This Row],[Rockapult]]+Races!$F$27-6,0) )  -  Races!$I$20</f>
        <v>#VALUE!</v>
      </c>
      <c r="CT39" s="69" t="e">
        <f aca="false">gnome*(TblMili[[#This Row],[Rockapult bonus]]*TblMili[[#This Row],[Unit 3]])</f>
        <v>#VALUE!</v>
      </c>
      <c r="CU39" s="148" t="n">
        <f aca="false">1.8 * MIN(MAX(TblMili[[#This Row],[Spellblade]]+Races!$E$47,TblMili[[#This Row],[Adept-DP]]+Races!$F$47),6)  +  0.45 * MIN(MIN(TblMili[[#This Row],[Spellblade]]+Races!$E$47,TblMili[[#This Row],[Adept-DP]]+Races!$F$47),6)  +  0.2 * ( MAX(TblMili[[#This Row],[Spellblade]]+Races!$E$47-6,0) + MAX(TblMili[[#This Row],[Adept-DP]]+Races!$F$47-6,0) )  -  Races!$I$47</f>
        <v>0</v>
      </c>
      <c r="CV39" s="69" t="n">
        <f aca="false">dark_elf*(TblMili[[#This Row],[Adept bonus]]*TblMili[[#This Row],[Unit 3]])</f>
        <v>0</v>
      </c>
      <c r="CW39" s="148" t="e">
        <f aca="false">1.8 * MIN(MAX(TblMili[[#This Row],[Frost Mage]]+Races!$F$71,Races!$E$71),6)  +  0.45 * MIN(MIN(TblMili[[#This Row],[Frost Mage]]+Races!$F$71,Races!$E$71),6)  +  0.2 * ( MAX(TblMili[[#This Row],[Frost Mage]]+Races!$F$71-6,0) + MAX(Races!$E$71-6,0) )  -  Races!$I$71</f>
        <v>#VALUE!</v>
      </c>
      <c r="CX39" s="148" t="n">
        <f aca="false">1.8 * MIN(MAX(TblMili[[#This Row],[Ice Elemental]]+Races!$E$71,Races!$F$71),6)  +  0.45 * MIN(MIN(TblMili[[#This Row],[Ice Elemental]]+Races!$E$71,Races!$F$71),6)  +  0.2 * ( MAX(TblMili[[#This Row],[Ice Elemental]]+Races!$E$71-6,0) + MAX(Races!$F$71-6,0) )  -  Races!$I$71</f>
        <v>0</v>
      </c>
      <c r="CY39" s="69" t="e">
        <f aca="false">TblMili[[#This Row],[Frost Mage bonus]]*TblMili[[#This Row],[Unit 3]]+TblMili[[#This Row],[Ice Elemental bonus]]*TblMili[[#This Row],[Unit 4]]</f>
        <v>#VALUE!</v>
      </c>
      <c r="CZ39" s="290"/>
      <c r="DA39" s="109" t="n">
        <f aca="false">MIN(SUM(TblConstr[[#This Row],[Plain]:[Water]])/TblMili[[#This Row],[Land]]/favorable_terrain_bonus/100,favorable_terrain_max)</f>
        <v>0</v>
      </c>
      <c r="DB39" s="290"/>
      <c r="DC3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9" s="132"/>
      <c r="DE39" s="291" t="n">
        <f aca="false">(TblMili[[#This Row],[Wizards]]+2*TblMili[[#This Row],[Archmages]])/TblConstr[[#This Row],[Land]]</f>
        <v>0</v>
      </c>
      <c r="DF39" s="291" t="n">
        <f aca="false">TblMili[[#This Row],[Raw (2)]]*(1+race_wizard_strength+IF(TblMili[[#This Row],[Hour]]&gt;72,tech_magical_weaponry_wiz*TblTech[[#This Row],[3-5]],0))</f>
        <v>0</v>
      </c>
    </row>
    <row r="40" customFormat="false" ht="12.75" hidden="false" customHeight="false" outlineLevel="0" collapsed="false">
      <c r="A40" s="128" t="n">
        <f aca="false">TblRezone[[#This Row],[Hour]]</f>
        <v>37</v>
      </c>
      <c r="B40" s="282" t="n">
        <f aca="false">SUM(TblMili[[#This Row],[Unit 1]:[Archmages]])+SUM(OFFSET(TblMili[[#This Row],[Train Unit 1]],-8,0):TblMili[[#This Row],[Train Unit 2]]) + SUM(OFFSET(TblMili[[#This Row],[Train Unit 3]],-11,0):TblMili[[#This Row],[Train AM]]) + TblMili[[#This Row],[Draftees]]</f>
        <v>1</v>
      </c>
      <c r="C40" s="150" t="n">
        <f aca="false">TblPop[[#This Row],[Military%]]</f>
        <v>0.000149276011344977</v>
      </c>
      <c r="D40" s="132"/>
      <c r="E40" s="151" t="n">
        <f aca="false">OFFSET(TblMili[[#This Row],[Unit 1]],-1,0) + OFFSET(TblMili[[#This Row],[Train Unit 1]],-9,0) - TblMili[[#This Row],[Release Unit 1]]</f>
        <v>0</v>
      </c>
      <c r="F40" s="151" t="n">
        <f aca="false">OFFSET(TblMili[[#This Row],[Unit 2]],-1,0) + OFFSET(TblMili[[#This Row],[Train Unit 2]],-9,0)-TblMili[[#This Row],[Release Unit 2]]</f>
        <v>0</v>
      </c>
      <c r="G40" s="151" t="n">
        <f aca="false">OFFSET(TblMili[[#This Row],[Unit 3]],-1,0) + OFFSET(TblMili[[#This Row],[Train Unit 3]],-12,0)-TblMili[[#This Row],[Release Unit 3]]</f>
        <v>0</v>
      </c>
      <c r="H40" s="151" t="n">
        <f aca="false">OFFSET(TblMili[[#This Row],[Unit 4]],-1,0) + OFFSET(TblMili[[#This Row],[Train Unit 4]],-12,0)-TblMili[[#This Row],[Release Unit 4]]</f>
        <v>0</v>
      </c>
      <c r="I40" s="151" t="n">
        <f aca="false">OFFSET(TblMili[[#This Row],[Spies]],-1,0) + OFFSET(TblMili[[#This Row],[Train Spies]],-12,0) - TblMili[[#This Row],[Release Spies]]-TblMili[[#This Row],[Train AS]]</f>
        <v>0</v>
      </c>
      <c r="J40" s="151" t="n">
        <f aca="false">OFFSET(TblMili[[#This Row],[Archspies]],-1,0) + OFFSET(TblMili[[#This Row],[Train AS]],-12,0) - TblMili[[#This Row],[Release AS]]</f>
        <v>0</v>
      </c>
      <c r="K40" s="151" t="n">
        <f aca="false">OFFSET(TblMili[[#This Row],[Wizards]],-1,0) + OFFSET(TblMili[[#This Row],[Train Wiz]],-12,0) - TblMili[[#This Row],[Release Wizards]]-TblMili[[#This Row],[Train AM]]</f>
        <v>0</v>
      </c>
      <c r="L40" s="151" t="n">
        <f aca="false">OFFSET(TblMili[[#This Row],[Archmages]],-1,0) + OFFSET(TblMili[[#This Row],[Train AM]],-12,0) - TblMili[[#This Row],[Release AM]]</f>
        <v>0</v>
      </c>
      <c r="M40" s="132"/>
      <c r="N40" s="69" t="e">
        <f aca="false">TblProd[[#This Row],[Networth]]</f>
        <v>#VALUE!</v>
      </c>
      <c r="O40" s="132"/>
      <c r="P4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0" s="285" t="e">
        <f aca="false">TblMili[[#This Row],[Raw]]*(1+TblMili[[#This Row],[Mods_Off]])</f>
        <v>#VALUE!</v>
      </c>
      <c r="S4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0" s="285" t="e">
        <f aca="false">TblMili[[#This Row],[Non Draft]]+TblMili[[#This Row],[Draftees]]</f>
        <v>#VALUE!</v>
      </c>
      <c r="U40" s="286" t="n">
        <f aca="false">race_defense + TblImps[[#This Row],[Walls]] + ROUND( MIN(gt_bonus*TblConstr[[#This Row],[Tot GT]]/TblConstr[[#This Row],[Land]],gt_bonus_cap), 4) + IF(TblMagic[[#This Row],[Active Howling]]&gt;0,howling_dp_bonus,IF(TblMagic[[#This Row],[Active Ares Call]]&gt;0,ares_call_bonus))</f>
        <v>0</v>
      </c>
      <c r="V40" s="274" t="e">
        <f aca="false">TblMili[[#This Row],[Non Draft]] * (1 + TblMili[[#This Row],[Mods_Def]])</f>
        <v>#VALUE!</v>
      </c>
      <c r="W40" s="285" t="e">
        <f aca="false">TblMili[[#This Row],[Draft]] * (1 + TblMili[[#This Row],[Mods_Def]])</f>
        <v>#VALUE!</v>
      </c>
      <c r="X40" s="285" t="n">
        <f aca="false">TblConstr[[#This Row],[Land]]</f>
        <v>419</v>
      </c>
      <c r="Y40" s="287"/>
      <c r="Z40" s="109" t="n">
        <f aca="false">IF(TblMili[[#This Row],[Set]]&lt;&gt;"",TblMili[[#This Row],[Set]],OFFSET(TblMili[[#This Row],[Draftrate]],-1,0))</f>
        <v>0.9</v>
      </c>
      <c r="AA40" s="69" t="n">
        <f aca="false">OFFSET(TblMili[[#This Row],[Draftees]],-1,0)+OFFSET(TblPop[[#This Row],[Draft Growth]],-1,0) - SUM(TblMili[[#This Row],[Train Unit 1]:[Train Spies]],TblMili[[#This Row],[Train Wiz]]) - TblMili[[#This Row],[Release Draft]] + SUM(TblMili[[#This Row],[Release Unit 1]:[Release AM]]) - TblExplore[[#This Row],[Draftees (2)]]</f>
        <v>1</v>
      </c>
      <c r="AB40" s="146"/>
      <c r="AC40" s="130" t="n">
        <f aca="false">(TblConstr[[#This Row],[Tot Smi]]+TblConstr[[#This Row],[Dest Smi]])/(TblConstr[[#This Row],[Land]]-TblExplore[[#This Row],[Land Bonus]]*20)</f>
        <v>0</v>
      </c>
      <c r="AD40" s="128"/>
      <c r="AE40" s="282" t="n">
        <f aca="false">TblMili[[#This Row],[Hour]]</f>
        <v>37</v>
      </c>
      <c r="AF40" s="129" t="n">
        <f aca="false">TblExplore[[#This Row],[Time]]</f>
        <v>45431.25</v>
      </c>
      <c r="AG40" s="182"/>
      <c r="AH40" s="182"/>
      <c r="AI40" s="182"/>
      <c r="AJ40" s="182"/>
      <c r="AK40" s="182"/>
      <c r="AL40" s="182"/>
      <c r="AM40" s="182"/>
      <c r="AN40" s="182"/>
      <c r="AO40" s="132"/>
      <c r="AP40" s="69" t="n">
        <f aca="false">TblProd[[#This Row],[Platinum]]</f>
        <v>63059</v>
      </c>
      <c r="AQ40" s="69" t="n">
        <f aca="false">INDEX(TblProd[[#Headers],[Lumber]]:TblProd[[#This Row],[Ore]],COUNTA(TblProd[[#Headers],[Lumber]]:TblProd[[#This Row],[Lumber]]),MATCH(Military!$AQ$2,TblProd[[#Headers],[Lumber]:[Ore]],0))</f>
        <v>0</v>
      </c>
      <c r="AR4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69" t="n">
        <f aca="false">TblMili[[#This Row],[Train Unit 1]]*TblMili[[#This Row],[OP Ore]]+TblMili[[#This Row],[Train Unit 2]]*TblMili[[#This Row],[DP Ore]]+TblMili[[#This Row],[Train Unit 3]]*TblMili[[#This Row],[E1 Ore]]+TblMili[[#This Row],[Train Unit 4]]*TblMili[[#This Row],[E2 Ore]]</f>
        <v>0</v>
      </c>
      <c r="AT40" s="132" t="n">
        <f aca="false">TblMili[[#This Row],[Hour]]</f>
        <v>37</v>
      </c>
      <c r="AU40" s="144" t="n">
        <f aca="false">TblMili[[#This Row],[Time]]</f>
        <v>45431.25</v>
      </c>
      <c r="AV40" s="69" t="n">
        <f aca="false">TblMili[[#This Row],[Draftees]]</f>
        <v>1</v>
      </c>
      <c r="AW40" s="182"/>
      <c r="AX40" s="182"/>
      <c r="AY40" s="182"/>
      <c r="AZ40" s="182"/>
      <c r="BA40" s="182"/>
      <c r="BB40" s="182"/>
      <c r="BC40" s="182"/>
      <c r="BD40" s="182"/>
      <c r="BE40" s="182"/>
      <c r="BF40" s="132"/>
      <c r="BG40" s="150" t="n">
        <f aca="false">TblConstr[[#This Row],[Tot WG]]/TblConstr[[#This Row],[Land]]</f>
        <v>0</v>
      </c>
      <c r="BH40" s="150" t="n">
        <f aca="false">TblConstr[[#This Row],[Tot Hav]]/TblConstr[[#This Row],[Land]]</f>
        <v>0</v>
      </c>
      <c r="BI40" s="69" t="n">
        <f aca="false">ROUNDUP((1-MIN(TblMili[[#This Row],[Smithies]]*smithy_bonus,smithy_bonus_cap) + tech_3_5*TblTech[[#This Row],[3-5]] + tech_5_3*TblTech[[#This Row],[5-3]] + tech_5_5*TblTech[[#This Row],[5-5]])*spec_op_plat,0)</f>
        <v>300</v>
      </c>
      <c r="BJ40" s="69" t="n">
        <f aca="false">ROUNDUP(IF(race="Gnome",1,(1-MIN(TblMili[[#This Row],[Smithies]]*smithy_bonus,smithy_bonus_cap) + tech_3_5*TblTech[[#This Row],[3-5]] + tech_5_3*TblTech[[#This Row],[5-3]] + tech_5_5*TblTech[[#This Row],[5-5]]))*spec_op_ore,0)</f>
        <v>0</v>
      </c>
      <c r="BK40" s="69" t="n">
        <f aca="false">ROUNDUP((1-MIN(TblMili[[#This Row],[Smithies]]*smithy_bonus,smithy_bonus_cap) + tech_3_5*TblTech[[#This Row],[3-5]] + tech_5_3*TblTech[[#This Row],[5-3]] + tech_5_5*TblTech[[#This Row],[5-5]])*spec_dp_plat,0)</f>
        <v>300</v>
      </c>
      <c r="BL40" s="69" t="n">
        <f aca="false">ROUNDUP(IF(race="Gnome",1,(1-MIN(TblMili[[#This Row],[Smithies]]*smithy_bonus,smithy_bonus_cap) + tech_3_5*TblTech[[#This Row],[3-5]] + tech_5_3*TblTech[[#This Row],[5-3]] + tech_5_5*TblTech[[#This Row],[5-5]]))*spec_dp_ore,0)</f>
        <v>0</v>
      </c>
      <c r="BM40" s="69" t="n">
        <f aca="false">ROUNDUP((1-MIN(TblMili[[#This Row],[Smithies]]*smithy_bonus,smithy_bonus_cap) + tech_3_5*TblTech[[#This Row],[3-5]] + tech_5_3*TblTech[[#This Row],[5-3]] + tech_5_5*TblTech[[#This Row],[5-5]])*elite1_plat,0)</f>
        <v>925</v>
      </c>
      <c r="BN40" s="69" t="n">
        <f aca="false">ROUNDUP(IF(race="Gnome",1,(1-MIN(TblMili[[#This Row],[Smithies]]*smithy_bonus,smithy_bonus_cap) + tech_3_5*TblTech[[#This Row],[3-5]] + tech_5_3*TblTech[[#This Row],[5-3]] + tech_5_5*TblTech[[#This Row],[5-5]]))*elite1_ore,0)</f>
        <v>0</v>
      </c>
      <c r="BO40" s="69" t="n">
        <f aca="false">ROUNDUP((1-MIN(TblMili[[#This Row],[Smithies]]*smithy_bonus,smithy_bonus_cap) + tech_3_5*TblTech[[#This Row],[3-5]] + tech_5_3*TblTech[[#This Row],[5-3]] + tech_5_5*TblTech[[#This Row],[5-5]])*elite2_plat,0)</f>
        <v>950</v>
      </c>
      <c r="BP40" s="69" t="n">
        <f aca="false">ROUNDUP(IF(race="Gnome",1,(1-MIN(TblMili[[#This Row],[Smithies]]*smithy_bonus,smithy_bonus_cap) + tech_3_5*TblTech[[#This Row],[3-5]] + tech_5_3*TblTech[[#This Row],[5-3]] + tech_5_5*TblTech[[#This Row],[5-5]]))*elite2_ore,0)</f>
        <v>0</v>
      </c>
      <c r="BQ40" s="69" t="n">
        <f aca="false">ROUNDUP((1-MIN(ROUND(fh_spy_cost_red*TblMili[[#This Row],[FH''s]],4),fh_spy_cost_cap)+ tech_1_9*TblTech[[#This Row],[1-9]] + tech_9_1*TblTech[[#This Row],[9-1]])*spy_plat,0)</f>
        <v>500</v>
      </c>
      <c r="BR40" s="69" t="n">
        <f aca="false">ROUNDUP((1-MIN(ROUND(fh_spy_cost_red*TblMili[[#This Row],[FH''s]],4),fh_spy_cost_cap)+ tech_1_9*TblTech[[#This Row],[1-9]] + tech_9_1*TblTech[[#This Row],[9-1]])*archspy_plat,0)</f>
        <v>1000</v>
      </c>
      <c r="BS40" s="69" t="n">
        <f aca="false">ROUNDUP((1-MIN(ROUND(wg_wiz_cost_bonus*TblMili[[#This Row],[WG''s]],4),wg_wiz_cost_cap) + tech_1_9_2*TblTech[[#This Row],[1-9]] + tech_9_1_2*TblTech[[#This Row],[9-1]])*wizard_plat,0)</f>
        <v>500</v>
      </c>
      <c r="BT40" s="69" t="n">
        <f aca="false">ROUNDUP((1-MIN(ROUND(wg_wiz_cost_bonus*TblMili[[#This Row],[WG''s]],4),wg_wiz_cost_cap) + tech_1_9_2*TblTech[[#This Row],[1-9]] + tech_9_1_2*TblTech[[#This Row],[9-1]])*archmage_plat,0)</f>
        <v>1000</v>
      </c>
      <c r="BU40" s="132"/>
      <c r="BV40" s="150" t="e">
        <f aca="false">TblConstr[[#This Row],[Homeland]]/TblConstr[[#This Row],[Land]]</f>
        <v>#VALUE!</v>
      </c>
      <c r="BW40" s="150" t="n">
        <f aca="false">TblMili[[#This Row],[WG''s]]</f>
        <v>0</v>
      </c>
      <c r="BX40" s="288" t="e">
        <f aca="false">IF(mystic_cap="none",TblMili[[#This Row],[Hill]]/mystic_bonus,MIN(mystic_cap,TblMili[[#This Row],[Hill]]/mystic_bonus))</f>
        <v>#VALUE!</v>
      </c>
      <c r="BY40" s="288" t="e">
        <f aca="false">IF(druid_op_cap="none",TblMili[[#This Row],[Hill]]/druid_op_bonus,MIN(druid_op_cap,TblMili[[#This Row],[Hill]]/druid_op_bonus))</f>
        <v>#VALUE!</v>
      </c>
      <c r="BZ40" s="288" t="e">
        <f aca="false">IF(druid_dp_cap="none",TblMili[[#This Row],[Hill]]/druid_dp_bonus,MIN(druid_dp_cap,TblMili[[#This Row],[Hill]]/druid_dp_bonus))</f>
        <v>#VALUE!</v>
      </c>
      <c r="CA40" s="288" t="e">
        <f aca="false">MIN(dryad_cap,TblMili[[#This Row],[Hill]]/dryad_bonus)</f>
        <v>#VALUE!</v>
      </c>
      <c r="CB40" s="288" t="e">
        <f aca="false">MIN(rocka_cap,TblMili[[#This Row],[Hill]]/rocka_bonus)</f>
        <v>#VALUE!</v>
      </c>
      <c r="CC40" s="288" t="n">
        <f aca="false">MIN(adept_op_cap,TblMili[[#This Row],[WG]]/adept_op_bonus)</f>
        <v>0</v>
      </c>
      <c r="CD40" s="288" t="n">
        <f aca="false">MIN(adept_dp_cap,TblMili[[#This Row],[WG]]/adept_dp_bonus)</f>
        <v>0</v>
      </c>
      <c r="CE40" s="69" t="n">
        <f aca="false">MIN(TblMili[[#This Row],[Unit 3]],TblMili[[#This Row],[Unit 2]])*2</f>
        <v>0</v>
      </c>
      <c r="CF40" s="69" t="n">
        <f aca="false">MIN(TblMili[[#This Row],[Unit 1]],TblMili[[#This Row],[Unit 4]])*2</f>
        <v>0</v>
      </c>
      <c r="CG40" s="288" t="e">
        <f aca="false">MIN(frost_mage_cap,TblMili[[#This Row],[Hill]]/frost_mage_bonus)</f>
        <v>#VALUE!</v>
      </c>
      <c r="CH40" s="151" t="n">
        <f aca="false">MIN(ice_elem_cap,TblMili[[#This Row],[Raw (2)]]*ice_elem_bonus)</f>
        <v>0</v>
      </c>
      <c r="CI40" s="288" t="n">
        <f aca="false">MIN(bone_breaker_cap,250/bone_breaker_bonus)</f>
        <v>0.833333333333333</v>
      </c>
      <c r="CJ40" s="288" t="e">
        <f aca="false">MIN(nox_nightshade_cap,TblConstr[[#This Row],[Homeland]]/TblConstr[[#This Row],[Land]]/nox_nightshade_swamp_bonus)</f>
        <v>#VALUE!</v>
      </c>
      <c r="CK40" s="289"/>
      <c r="CL40" s="289"/>
      <c r="CM40" s="289"/>
      <c r="CN40" s="288" t="e">
        <f aca="false">MIN(6,TblMili[[#This Row],[Mystic]]+Races!$F$19)*1.8 +  IF(TblMili[[#This Row],[Mystic]]+Races!$F$19&gt;6,(TblMili[[#This Row],[Mystic]]+Races!$F$19-6)*0.2,0) - Races!$I$19</f>
        <v>#VALUE!</v>
      </c>
      <c r="CO40" s="288" t="e">
        <f aca="false">1.8 * MIN(MAX(TblMili[[#This Row],[Druid (op)]]+Races!$E$20,TblMili[[#This Row],[Druid (dp)]]+Races!$F$20),6)  +  0.45 * MIN(MIN(TblMili[[#This Row],[Druid (op)]]+Races!$E$20,TblMili[[#This Row],[Druid (dp)]]+Races!$F$20),6)  +  0.2 * ( MAX(TblMili[[#This Row],[Druid (op)]]+Races!$E$20-6,0) + MAX(TblMili[[#This Row],[Druid (dp)]]+Races!$F$20-6,0) )  -  Races!$I$20</f>
        <v>#VALUE!</v>
      </c>
      <c r="CP40" s="69" t="e">
        <f aca="false">TblMili[[#This Row],[Mystic bonus]]*TblMili[[#This Row],[Unit 3]]+TblMili[[#This Row],[Druid bonus]]*TblMili[[#This Row],[Unit 4]]</f>
        <v>#VALUE!</v>
      </c>
      <c r="CQ40" s="148" t="e">
        <f aca="false">MIN(6,TblMili[[#This Row],[Dryad]]+Races!$F$35)*1.8 +  IF(TblMili[[#This Row],[Dryad]]+Races!$F$35&gt;6,(TblMili[[#This Row],[Dryad]]+Races!$F$35-6)*0.2,0) - Races!$I$19</f>
        <v>#VALUE!</v>
      </c>
      <c r="CR40" s="69" t="e">
        <f aca="false">sylvan*(TblMili[[#This Row],[Mystic bonus]]*TblMili[[#This Row],[Unit 3]])</f>
        <v>#VALUE!</v>
      </c>
      <c r="CS40" s="148" t="e">
        <f aca="false">1.8 * MIN(MAX(Races!$E$27,TblMili[[#This Row],[Rockapult]]+Races!$F$27),6)  +  0.45 * MIN(MIN(Races!$E$27,TblMili[[#This Row],[Rockapult]]+Races!$F$27),6)  +  0.2 * ( MAX(Races!$E$27-6,0) + MAX(TblMili[[#This Row],[Rockapult]]+Races!$F$27-6,0) )  -  Races!$I$20</f>
        <v>#VALUE!</v>
      </c>
      <c r="CT40" s="69" t="e">
        <f aca="false">gnome*(TblMili[[#This Row],[Rockapult bonus]]*TblMili[[#This Row],[Unit 3]])</f>
        <v>#VALUE!</v>
      </c>
      <c r="CU40" s="148" t="n">
        <f aca="false">1.8 * MIN(MAX(TblMili[[#This Row],[Spellblade]]+Races!$E$47,TblMili[[#This Row],[Adept-DP]]+Races!$F$47),6)  +  0.45 * MIN(MIN(TblMili[[#This Row],[Spellblade]]+Races!$E$47,TblMili[[#This Row],[Adept-DP]]+Races!$F$47),6)  +  0.2 * ( MAX(TblMili[[#This Row],[Spellblade]]+Races!$E$47-6,0) + MAX(TblMili[[#This Row],[Adept-DP]]+Races!$F$47-6,0) )  -  Races!$I$47</f>
        <v>0</v>
      </c>
      <c r="CV40" s="69" t="n">
        <f aca="false">dark_elf*(TblMili[[#This Row],[Adept bonus]]*TblMili[[#This Row],[Unit 3]])</f>
        <v>0</v>
      </c>
      <c r="CW40" s="148" t="e">
        <f aca="false">1.8 * MIN(MAX(TblMili[[#This Row],[Frost Mage]]+Races!$F$71,Races!$E$71),6)  +  0.45 * MIN(MIN(TblMili[[#This Row],[Frost Mage]]+Races!$F$71,Races!$E$71),6)  +  0.2 * ( MAX(TblMili[[#This Row],[Frost Mage]]+Races!$F$71-6,0) + MAX(Races!$E$71-6,0) )  -  Races!$I$71</f>
        <v>#VALUE!</v>
      </c>
      <c r="CX40" s="148" t="n">
        <f aca="false">1.8 * MIN(MAX(TblMili[[#This Row],[Ice Elemental]]+Races!$E$71,Races!$F$71),6)  +  0.45 * MIN(MIN(TblMili[[#This Row],[Ice Elemental]]+Races!$E$71,Races!$F$71),6)  +  0.2 * ( MAX(TblMili[[#This Row],[Ice Elemental]]+Races!$E$71-6,0) + MAX(Races!$F$71-6,0) )  -  Races!$I$71</f>
        <v>0</v>
      </c>
      <c r="CY40" s="69" t="e">
        <f aca="false">TblMili[[#This Row],[Frost Mage bonus]]*TblMili[[#This Row],[Unit 3]]+TblMili[[#This Row],[Ice Elemental bonus]]*TblMili[[#This Row],[Unit 4]]</f>
        <v>#VALUE!</v>
      </c>
      <c r="CZ40" s="290"/>
      <c r="DA40" s="109" t="n">
        <f aca="false">MIN(SUM(TblConstr[[#This Row],[Plain]:[Water]])/TblMili[[#This Row],[Land]]/favorable_terrain_bonus/100,favorable_terrain_max)</f>
        <v>0</v>
      </c>
      <c r="DB40" s="290"/>
      <c r="DC4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0" s="132"/>
      <c r="DE40" s="291" t="n">
        <f aca="false">(TblMili[[#This Row],[Wizards]]+2*TblMili[[#This Row],[Archmages]])/TblConstr[[#This Row],[Land]]</f>
        <v>0</v>
      </c>
      <c r="DF40" s="291" t="n">
        <f aca="false">TblMili[[#This Row],[Raw (2)]]*(1+race_wizard_strength+IF(TblMili[[#This Row],[Hour]]&gt;72,tech_magical_weaponry_wiz*TblTech[[#This Row],[3-5]],0))</f>
        <v>0</v>
      </c>
    </row>
    <row r="41" customFormat="false" ht="12.75" hidden="false" customHeight="false" outlineLevel="0" collapsed="false">
      <c r="A41" s="128" t="n">
        <f aca="false">TblRezone[[#This Row],[Hour]]</f>
        <v>38</v>
      </c>
      <c r="B41" s="282" t="n">
        <f aca="false">SUM(TblMili[[#This Row],[Unit 1]:[Archmages]])+SUM(OFFSET(TblMili[[#This Row],[Train Unit 1]],-8,0):TblMili[[#This Row],[Train Unit 2]]) + SUM(OFFSET(TblMili[[#This Row],[Train Unit 3]],-11,0):TblMili[[#This Row],[Train AM]]) + TblMili[[#This Row],[Draftees]]</f>
        <v>3</v>
      </c>
      <c r="C41" s="150" t="n">
        <f aca="false">TblPop[[#This Row],[Military%]]</f>
        <v>0.000447828034034931</v>
      </c>
      <c r="D41" s="132"/>
      <c r="E41" s="151" t="n">
        <f aca="false">OFFSET(TblMili[[#This Row],[Unit 1]],-1,0) + OFFSET(TblMili[[#This Row],[Train Unit 1]],-9,0) - TblMili[[#This Row],[Release Unit 1]]</f>
        <v>0</v>
      </c>
      <c r="F41" s="151" t="n">
        <f aca="false">OFFSET(TblMili[[#This Row],[Unit 2]],-1,0) + OFFSET(TblMili[[#This Row],[Train Unit 2]],-9,0)-TblMili[[#This Row],[Release Unit 2]]</f>
        <v>0</v>
      </c>
      <c r="G41" s="151" t="n">
        <f aca="false">OFFSET(TblMili[[#This Row],[Unit 3]],-1,0) + OFFSET(TblMili[[#This Row],[Train Unit 3]],-12,0)-TblMili[[#This Row],[Release Unit 3]]</f>
        <v>0</v>
      </c>
      <c r="H41" s="151" t="n">
        <f aca="false">OFFSET(TblMili[[#This Row],[Unit 4]],-1,0) + OFFSET(TblMili[[#This Row],[Train Unit 4]],-12,0)-TblMili[[#This Row],[Release Unit 4]]</f>
        <v>0</v>
      </c>
      <c r="I41" s="151" t="n">
        <f aca="false">OFFSET(TblMili[[#This Row],[Spies]],-1,0) + OFFSET(TblMili[[#This Row],[Train Spies]],-12,0) - TblMili[[#This Row],[Release Spies]]-TblMili[[#This Row],[Train AS]]</f>
        <v>0</v>
      </c>
      <c r="J41" s="151" t="n">
        <f aca="false">OFFSET(TblMili[[#This Row],[Archspies]],-1,0) + OFFSET(TblMili[[#This Row],[Train AS]],-12,0) - TblMili[[#This Row],[Release AS]]</f>
        <v>0</v>
      </c>
      <c r="K41" s="151" t="n">
        <f aca="false">OFFSET(TblMili[[#This Row],[Wizards]],-1,0) + OFFSET(TblMili[[#This Row],[Train Wiz]],-12,0) - TblMili[[#This Row],[Release Wizards]]-TblMili[[#This Row],[Train AM]]</f>
        <v>0</v>
      </c>
      <c r="L41" s="151" t="n">
        <f aca="false">OFFSET(TblMili[[#This Row],[Archmages]],-1,0) + OFFSET(TblMili[[#This Row],[Train AM]],-12,0) - TblMili[[#This Row],[Release AM]]</f>
        <v>0</v>
      </c>
      <c r="M41" s="132"/>
      <c r="N41" s="69" t="e">
        <f aca="false">TblProd[[#This Row],[Networth]]</f>
        <v>#VALUE!</v>
      </c>
      <c r="O41" s="132"/>
      <c r="P4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1" s="285" t="e">
        <f aca="false">TblMili[[#This Row],[Raw]]*(1+TblMili[[#This Row],[Mods_Off]])</f>
        <v>#VALUE!</v>
      </c>
      <c r="S4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1" s="285" t="e">
        <f aca="false">TblMili[[#This Row],[Non Draft]]+TblMili[[#This Row],[Draftees]]</f>
        <v>#VALUE!</v>
      </c>
      <c r="U41" s="286" t="n">
        <f aca="false">race_defense + TblImps[[#This Row],[Walls]] + ROUND( MIN(gt_bonus*TblConstr[[#This Row],[Tot GT]]/TblConstr[[#This Row],[Land]],gt_bonus_cap), 4) + IF(TblMagic[[#This Row],[Active Howling]]&gt;0,howling_dp_bonus,IF(TblMagic[[#This Row],[Active Ares Call]]&gt;0,ares_call_bonus))</f>
        <v>0</v>
      </c>
      <c r="V41" s="274" t="e">
        <f aca="false">TblMili[[#This Row],[Non Draft]] * (1 + TblMili[[#This Row],[Mods_Def]])</f>
        <v>#VALUE!</v>
      </c>
      <c r="W41" s="285" t="e">
        <f aca="false">TblMili[[#This Row],[Draft]] * (1 + TblMili[[#This Row],[Mods_Def]])</f>
        <v>#VALUE!</v>
      </c>
      <c r="X41" s="285" t="n">
        <f aca="false">TblConstr[[#This Row],[Land]]</f>
        <v>419</v>
      </c>
      <c r="Y41" s="287"/>
      <c r="Z41" s="109" t="n">
        <f aca="false">IF(TblMili[[#This Row],[Set]]&lt;&gt;"",TblMili[[#This Row],[Set]],OFFSET(TblMili[[#This Row],[Draftrate]],-1,0))</f>
        <v>0.9</v>
      </c>
      <c r="AA41" s="69" t="n">
        <f aca="false">OFFSET(TblMili[[#This Row],[Draftees]],-1,0)+OFFSET(TblPop[[#This Row],[Draft Growth]],-1,0) - SUM(TblMili[[#This Row],[Train Unit 1]:[Train Spies]],TblMili[[#This Row],[Train Wiz]]) - TblMili[[#This Row],[Release Draft]] + SUM(TblMili[[#This Row],[Release Unit 1]:[Release AM]]) - TblExplore[[#This Row],[Draftees (2)]]</f>
        <v>3</v>
      </c>
      <c r="AB41" s="146"/>
      <c r="AC41" s="130" t="n">
        <f aca="false">(TblConstr[[#This Row],[Tot Smi]]+TblConstr[[#This Row],[Dest Smi]])/(TblConstr[[#This Row],[Land]]-TblExplore[[#This Row],[Land Bonus]]*20)</f>
        <v>0</v>
      </c>
      <c r="AD41" s="128"/>
      <c r="AE41" s="282" t="n">
        <f aca="false">TblMili[[#This Row],[Hour]]</f>
        <v>38</v>
      </c>
      <c r="AF41" s="129" t="n">
        <f aca="false">TblExplore[[#This Row],[Time]]</f>
        <v>45431.2916666667</v>
      </c>
      <c r="AG41" s="182"/>
      <c r="AH41" s="182"/>
      <c r="AI41" s="182"/>
      <c r="AJ41" s="182"/>
      <c r="AK41" s="182"/>
      <c r="AL41" s="182"/>
      <c r="AM41" s="182"/>
      <c r="AN41" s="182"/>
      <c r="AO41" s="132"/>
      <c r="AP41" s="69" t="n">
        <f aca="false">TblProd[[#This Row],[Platinum]]</f>
        <v>71078</v>
      </c>
      <c r="AQ41" s="69" t="n">
        <f aca="false">INDEX(TblProd[[#Headers],[Lumber]]:TblProd[[#This Row],[Ore]],COUNTA(TblProd[[#Headers],[Lumber]]:TblProd[[#This Row],[Lumber]]),MATCH(Military!$AQ$2,TblProd[[#Headers],[Lumber]:[Ore]],0))</f>
        <v>0</v>
      </c>
      <c r="AR4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69" t="n">
        <f aca="false">TblMili[[#This Row],[Train Unit 1]]*TblMili[[#This Row],[OP Ore]]+TblMili[[#This Row],[Train Unit 2]]*TblMili[[#This Row],[DP Ore]]+TblMili[[#This Row],[Train Unit 3]]*TblMili[[#This Row],[E1 Ore]]+TblMili[[#This Row],[Train Unit 4]]*TblMili[[#This Row],[E2 Ore]]</f>
        <v>0</v>
      </c>
      <c r="AT41" s="132" t="n">
        <f aca="false">TblMili[[#This Row],[Hour]]</f>
        <v>38</v>
      </c>
      <c r="AU41" s="144" t="n">
        <f aca="false">TblMili[[#This Row],[Time]]</f>
        <v>45431.2916666667</v>
      </c>
      <c r="AV41" s="69" t="n">
        <f aca="false">TblMili[[#This Row],[Draftees]]</f>
        <v>3</v>
      </c>
      <c r="AW41" s="182"/>
      <c r="AX41" s="182"/>
      <c r="AY41" s="182"/>
      <c r="AZ41" s="182"/>
      <c r="BA41" s="182"/>
      <c r="BB41" s="182"/>
      <c r="BC41" s="182"/>
      <c r="BD41" s="182"/>
      <c r="BE41" s="182"/>
      <c r="BF41" s="132"/>
      <c r="BG41" s="150" t="n">
        <f aca="false">TblConstr[[#This Row],[Tot WG]]/TblConstr[[#This Row],[Land]]</f>
        <v>0</v>
      </c>
      <c r="BH41" s="150" t="n">
        <f aca="false">TblConstr[[#This Row],[Tot Hav]]/TblConstr[[#This Row],[Land]]</f>
        <v>0</v>
      </c>
      <c r="BI41" s="69" t="n">
        <f aca="false">ROUNDUP((1-MIN(TblMili[[#This Row],[Smithies]]*smithy_bonus,smithy_bonus_cap) + tech_3_5*TblTech[[#This Row],[3-5]] + tech_5_3*TblTech[[#This Row],[5-3]] + tech_5_5*TblTech[[#This Row],[5-5]])*spec_op_plat,0)</f>
        <v>300</v>
      </c>
      <c r="BJ41" s="69" t="n">
        <f aca="false">ROUNDUP(IF(race="Gnome",1,(1-MIN(TblMili[[#This Row],[Smithies]]*smithy_bonus,smithy_bonus_cap) + tech_3_5*TblTech[[#This Row],[3-5]] + tech_5_3*TblTech[[#This Row],[5-3]] + tech_5_5*TblTech[[#This Row],[5-5]]))*spec_op_ore,0)</f>
        <v>0</v>
      </c>
      <c r="BK41" s="69" t="n">
        <f aca="false">ROUNDUP((1-MIN(TblMili[[#This Row],[Smithies]]*smithy_bonus,smithy_bonus_cap) + tech_3_5*TblTech[[#This Row],[3-5]] + tech_5_3*TblTech[[#This Row],[5-3]] + tech_5_5*TblTech[[#This Row],[5-5]])*spec_dp_plat,0)</f>
        <v>300</v>
      </c>
      <c r="BL41" s="69" t="n">
        <f aca="false">ROUNDUP(IF(race="Gnome",1,(1-MIN(TblMili[[#This Row],[Smithies]]*smithy_bonus,smithy_bonus_cap) + tech_3_5*TblTech[[#This Row],[3-5]] + tech_5_3*TblTech[[#This Row],[5-3]] + tech_5_5*TblTech[[#This Row],[5-5]]))*spec_dp_ore,0)</f>
        <v>0</v>
      </c>
      <c r="BM41" s="69" t="n">
        <f aca="false">ROUNDUP((1-MIN(TblMili[[#This Row],[Smithies]]*smithy_bonus,smithy_bonus_cap) + tech_3_5*TblTech[[#This Row],[3-5]] + tech_5_3*TblTech[[#This Row],[5-3]] + tech_5_5*TblTech[[#This Row],[5-5]])*elite1_plat,0)</f>
        <v>925</v>
      </c>
      <c r="BN41" s="69" t="n">
        <f aca="false">ROUNDUP(IF(race="Gnome",1,(1-MIN(TblMili[[#This Row],[Smithies]]*smithy_bonus,smithy_bonus_cap) + tech_3_5*TblTech[[#This Row],[3-5]] + tech_5_3*TblTech[[#This Row],[5-3]] + tech_5_5*TblTech[[#This Row],[5-5]]))*elite1_ore,0)</f>
        <v>0</v>
      </c>
      <c r="BO41" s="69" t="n">
        <f aca="false">ROUNDUP((1-MIN(TblMili[[#This Row],[Smithies]]*smithy_bonus,smithy_bonus_cap) + tech_3_5*TblTech[[#This Row],[3-5]] + tech_5_3*TblTech[[#This Row],[5-3]] + tech_5_5*TblTech[[#This Row],[5-5]])*elite2_plat,0)</f>
        <v>950</v>
      </c>
      <c r="BP41" s="69" t="n">
        <f aca="false">ROUNDUP(IF(race="Gnome",1,(1-MIN(TblMili[[#This Row],[Smithies]]*smithy_bonus,smithy_bonus_cap) + tech_3_5*TblTech[[#This Row],[3-5]] + tech_5_3*TblTech[[#This Row],[5-3]] + tech_5_5*TblTech[[#This Row],[5-5]]))*elite2_ore,0)</f>
        <v>0</v>
      </c>
      <c r="BQ41" s="69" t="n">
        <f aca="false">ROUNDUP((1-MIN(ROUND(fh_spy_cost_red*TblMili[[#This Row],[FH''s]],4),fh_spy_cost_cap)+ tech_1_9*TblTech[[#This Row],[1-9]] + tech_9_1*TblTech[[#This Row],[9-1]])*spy_plat,0)</f>
        <v>500</v>
      </c>
      <c r="BR41" s="69" t="n">
        <f aca="false">ROUNDUP((1-MIN(ROUND(fh_spy_cost_red*TblMili[[#This Row],[FH''s]],4),fh_spy_cost_cap)+ tech_1_9*TblTech[[#This Row],[1-9]] + tech_9_1*TblTech[[#This Row],[9-1]])*archspy_plat,0)</f>
        <v>1000</v>
      </c>
      <c r="BS41" s="69" t="n">
        <f aca="false">ROUNDUP((1-MIN(ROUND(wg_wiz_cost_bonus*TblMili[[#This Row],[WG''s]],4),wg_wiz_cost_cap) + tech_1_9_2*TblTech[[#This Row],[1-9]] + tech_9_1_2*TblTech[[#This Row],[9-1]])*wizard_plat,0)</f>
        <v>500</v>
      </c>
      <c r="BT41" s="69" t="n">
        <f aca="false">ROUNDUP((1-MIN(ROUND(wg_wiz_cost_bonus*TblMili[[#This Row],[WG''s]],4),wg_wiz_cost_cap) + tech_1_9_2*TblTech[[#This Row],[1-9]] + tech_9_1_2*TblTech[[#This Row],[9-1]])*archmage_plat,0)</f>
        <v>1000</v>
      </c>
      <c r="BU41" s="132"/>
      <c r="BV41" s="150" t="e">
        <f aca="false">TblConstr[[#This Row],[Homeland]]/TblConstr[[#This Row],[Land]]</f>
        <v>#VALUE!</v>
      </c>
      <c r="BW41" s="150" t="n">
        <f aca="false">TblMili[[#This Row],[WG''s]]</f>
        <v>0</v>
      </c>
      <c r="BX41" s="288" t="e">
        <f aca="false">IF(mystic_cap="none",TblMili[[#This Row],[Hill]]/mystic_bonus,MIN(mystic_cap,TblMili[[#This Row],[Hill]]/mystic_bonus))</f>
        <v>#VALUE!</v>
      </c>
      <c r="BY41" s="288" t="e">
        <f aca="false">IF(druid_op_cap="none",TblMili[[#This Row],[Hill]]/druid_op_bonus,MIN(druid_op_cap,TblMili[[#This Row],[Hill]]/druid_op_bonus))</f>
        <v>#VALUE!</v>
      </c>
      <c r="BZ41" s="288" t="e">
        <f aca="false">IF(druid_dp_cap="none",TblMili[[#This Row],[Hill]]/druid_dp_bonus,MIN(druid_dp_cap,TblMili[[#This Row],[Hill]]/druid_dp_bonus))</f>
        <v>#VALUE!</v>
      </c>
      <c r="CA41" s="288" t="e">
        <f aca="false">MIN(dryad_cap,TblMili[[#This Row],[Hill]]/dryad_bonus)</f>
        <v>#VALUE!</v>
      </c>
      <c r="CB41" s="288" t="e">
        <f aca="false">MIN(rocka_cap,TblMili[[#This Row],[Hill]]/rocka_bonus)</f>
        <v>#VALUE!</v>
      </c>
      <c r="CC41" s="288" t="n">
        <f aca="false">MIN(adept_op_cap,TblMili[[#This Row],[WG]]/adept_op_bonus)</f>
        <v>0</v>
      </c>
      <c r="CD41" s="288" t="n">
        <f aca="false">MIN(adept_dp_cap,TblMili[[#This Row],[WG]]/adept_dp_bonus)</f>
        <v>0</v>
      </c>
      <c r="CE41" s="69" t="n">
        <f aca="false">MIN(TblMili[[#This Row],[Unit 3]],TblMili[[#This Row],[Unit 2]])*2</f>
        <v>0</v>
      </c>
      <c r="CF41" s="69" t="n">
        <f aca="false">MIN(TblMili[[#This Row],[Unit 1]],TblMili[[#This Row],[Unit 4]])*2</f>
        <v>0</v>
      </c>
      <c r="CG41" s="288" t="e">
        <f aca="false">MIN(frost_mage_cap,TblMili[[#This Row],[Hill]]/frost_mage_bonus)</f>
        <v>#VALUE!</v>
      </c>
      <c r="CH41" s="151" t="n">
        <f aca="false">MIN(ice_elem_cap,TblMili[[#This Row],[Raw (2)]]*ice_elem_bonus)</f>
        <v>0</v>
      </c>
      <c r="CI41" s="288" t="n">
        <f aca="false">MIN(bone_breaker_cap,250/bone_breaker_bonus)</f>
        <v>0.833333333333333</v>
      </c>
      <c r="CJ41" s="288" t="e">
        <f aca="false">MIN(nox_nightshade_cap,TblConstr[[#This Row],[Homeland]]/TblConstr[[#This Row],[Land]]/nox_nightshade_swamp_bonus)</f>
        <v>#VALUE!</v>
      </c>
      <c r="CK41" s="289"/>
      <c r="CL41" s="289"/>
      <c r="CM41" s="289"/>
      <c r="CN41" s="288" t="e">
        <f aca="false">MIN(6,TblMili[[#This Row],[Mystic]]+Races!$F$19)*1.8 +  IF(TblMili[[#This Row],[Mystic]]+Races!$F$19&gt;6,(TblMili[[#This Row],[Mystic]]+Races!$F$19-6)*0.2,0) - Races!$I$19</f>
        <v>#VALUE!</v>
      </c>
      <c r="CO41" s="288" t="e">
        <f aca="false">1.8 * MIN(MAX(TblMili[[#This Row],[Druid (op)]]+Races!$E$20,TblMili[[#This Row],[Druid (dp)]]+Races!$F$20),6)  +  0.45 * MIN(MIN(TblMili[[#This Row],[Druid (op)]]+Races!$E$20,TblMili[[#This Row],[Druid (dp)]]+Races!$F$20),6)  +  0.2 * ( MAX(TblMili[[#This Row],[Druid (op)]]+Races!$E$20-6,0) + MAX(TblMili[[#This Row],[Druid (dp)]]+Races!$F$20-6,0) )  -  Races!$I$20</f>
        <v>#VALUE!</v>
      </c>
      <c r="CP41" s="69" t="e">
        <f aca="false">TblMili[[#This Row],[Mystic bonus]]*TblMili[[#This Row],[Unit 3]]+TblMili[[#This Row],[Druid bonus]]*TblMili[[#This Row],[Unit 4]]</f>
        <v>#VALUE!</v>
      </c>
      <c r="CQ41" s="148" t="e">
        <f aca="false">MIN(6,TblMili[[#This Row],[Dryad]]+Races!$F$35)*1.8 +  IF(TblMili[[#This Row],[Dryad]]+Races!$F$35&gt;6,(TblMili[[#This Row],[Dryad]]+Races!$F$35-6)*0.2,0) - Races!$I$19</f>
        <v>#VALUE!</v>
      </c>
      <c r="CR41" s="69" t="e">
        <f aca="false">sylvan*(TblMili[[#This Row],[Mystic bonus]]*TblMili[[#This Row],[Unit 3]])</f>
        <v>#VALUE!</v>
      </c>
      <c r="CS41" s="148" t="e">
        <f aca="false">1.8 * MIN(MAX(Races!$E$27,TblMili[[#This Row],[Rockapult]]+Races!$F$27),6)  +  0.45 * MIN(MIN(Races!$E$27,TblMili[[#This Row],[Rockapult]]+Races!$F$27),6)  +  0.2 * ( MAX(Races!$E$27-6,0) + MAX(TblMili[[#This Row],[Rockapult]]+Races!$F$27-6,0) )  -  Races!$I$20</f>
        <v>#VALUE!</v>
      </c>
      <c r="CT41" s="69" t="e">
        <f aca="false">gnome*(TblMili[[#This Row],[Rockapult bonus]]*TblMili[[#This Row],[Unit 3]])</f>
        <v>#VALUE!</v>
      </c>
      <c r="CU41" s="148" t="n">
        <f aca="false">1.8 * MIN(MAX(TblMili[[#This Row],[Spellblade]]+Races!$E$47,TblMili[[#This Row],[Adept-DP]]+Races!$F$47),6)  +  0.45 * MIN(MIN(TblMili[[#This Row],[Spellblade]]+Races!$E$47,TblMili[[#This Row],[Adept-DP]]+Races!$F$47),6)  +  0.2 * ( MAX(TblMili[[#This Row],[Spellblade]]+Races!$E$47-6,0) + MAX(TblMili[[#This Row],[Adept-DP]]+Races!$F$47-6,0) )  -  Races!$I$47</f>
        <v>0</v>
      </c>
      <c r="CV41" s="69" t="n">
        <f aca="false">dark_elf*(TblMili[[#This Row],[Adept bonus]]*TblMili[[#This Row],[Unit 3]])</f>
        <v>0</v>
      </c>
      <c r="CW41" s="148" t="e">
        <f aca="false">1.8 * MIN(MAX(TblMili[[#This Row],[Frost Mage]]+Races!$F$71,Races!$E$71),6)  +  0.45 * MIN(MIN(TblMili[[#This Row],[Frost Mage]]+Races!$F$71,Races!$E$71),6)  +  0.2 * ( MAX(TblMili[[#This Row],[Frost Mage]]+Races!$F$71-6,0) + MAX(Races!$E$71-6,0) )  -  Races!$I$71</f>
        <v>#VALUE!</v>
      </c>
      <c r="CX41" s="148" t="n">
        <f aca="false">1.8 * MIN(MAX(TblMili[[#This Row],[Ice Elemental]]+Races!$E$71,Races!$F$71),6)  +  0.45 * MIN(MIN(TblMili[[#This Row],[Ice Elemental]]+Races!$E$71,Races!$F$71),6)  +  0.2 * ( MAX(TblMili[[#This Row],[Ice Elemental]]+Races!$E$71-6,0) + MAX(Races!$F$71-6,0) )  -  Races!$I$71</f>
        <v>0</v>
      </c>
      <c r="CY41" s="69" t="e">
        <f aca="false">TblMili[[#This Row],[Frost Mage bonus]]*TblMili[[#This Row],[Unit 3]]+TblMili[[#This Row],[Ice Elemental bonus]]*TblMili[[#This Row],[Unit 4]]</f>
        <v>#VALUE!</v>
      </c>
      <c r="CZ41" s="290"/>
      <c r="DA41" s="109" t="n">
        <f aca="false">MIN(SUM(TblConstr[[#This Row],[Plain]:[Water]])/TblMili[[#This Row],[Land]]/favorable_terrain_bonus/100,favorable_terrain_max)</f>
        <v>0</v>
      </c>
      <c r="DB41" s="290"/>
      <c r="DC4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1" s="132"/>
      <c r="DE41" s="291" t="n">
        <f aca="false">(TblMili[[#This Row],[Wizards]]+2*TblMili[[#This Row],[Archmages]])/TblConstr[[#This Row],[Land]]</f>
        <v>0</v>
      </c>
      <c r="DF41" s="291" t="n">
        <f aca="false">TblMili[[#This Row],[Raw (2)]]*(1+race_wizard_strength+IF(TblMili[[#This Row],[Hour]]&gt;72,tech_magical_weaponry_wiz*TblTech[[#This Row],[3-5]],0))</f>
        <v>0</v>
      </c>
    </row>
    <row r="42" customFormat="false" ht="12.75" hidden="false" customHeight="false" outlineLevel="0" collapsed="false">
      <c r="A42" s="128" t="n">
        <f aca="false">TblRezone[[#This Row],[Hour]]</f>
        <v>39</v>
      </c>
      <c r="B42" s="282" t="n">
        <f aca="false">SUM(TblMili[[#This Row],[Unit 1]:[Archmages]])+SUM(OFFSET(TblMili[[#This Row],[Train Unit 1]],-8,0):TblMili[[#This Row],[Train Unit 2]]) + SUM(OFFSET(TblMili[[#This Row],[Train Unit 3]],-11,0):TblMili[[#This Row],[Train AM]]) + TblMili[[#This Row],[Draftees]]</f>
        <v>0</v>
      </c>
      <c r="C42" s="150" t="n">
        <f aca="false">TblPop[[#This Row],[Military%]]</f>
        <v>0</v>
      </c>
      <c r="D42" s="132"/>
      <c r="E42" s="151" t="n">
        <f aca="false">OFFSET(TblMili[[#This Row],[Unit 1]],-1,0) + OFFSET(TblMili[[#This Row],[Train Unit 1]],-9,0) - TblMili[[#This Row],[Release Unit 1]]</f>
        <v>0</v>
      </c>
      <c r="F42" s="151" t="n">
        <f aca="false">OFFSET(TblMili[[#This Row],[Unit 2]],-1,0) + OFFSET(TblMili[[#This Row],[Train Unit 2]],-9,0)-TblMili[[#This Row],[Release Unit 2]]</f>
        <v>0</v>
      </c>
      <c r="G42" s="151" t="n">
        <f aca="false">OFFSET(TblMili[[#This Row],[Unit 3]],-1,0) + OFFSET(TblMili[[#This Row],[Train Unit 3]],-12,0)-TblMili[[#This Row],[Release Unit 3]]</f>
        <v>0</v>
      </c>
      <c r="H42" s="151" t="n">
        <f aca="false">OFFSET(TblMili[[#This Row],[Unit 4]],-1,0) + OFFSET(TblMili[[#This Row],[Train Unit 4]],-12,0)-TblMili[[#This Row],[Release Unit 4]]</f>
        <v>0</v>
      </c>
      <c r="I42" s="151" t="n">
        <f aca="false">OFFSET(TblMili[[#This Row],[Spies]],-1,0) + OFFSET(TblMili[[#This Row],[Train Spies]],-12,0) - TblMili[[#This Row],[Release Spies]]-TblMili[[#This Row],[Train AS]]</f>
        <v>0</v>
      </c>
      <c r="J42" s="151" t="n">
        <f aca="false">OFFSET(TblMili[[#This Row],[Archspies]],-1,0) + OFFSET(TblMili[[#This Row],[Train AS]],-12,0) - TblMili[[#This Row],[Release AS]]</f>
        <v>0</v>
      </c>
      <c r="K42" s="151" t="n">
        <f aca="false">OFFSET(TblMili[[#This Row],[Wizards]],-1,0) + OFFSET(TblMili[[#This Row],[Train Wiz]],-12,0) - TblMili[[#This Row],[Release Wizards]]-TblMili[[#This Row],[Train AM]]</f>
        <v>0</v>
      </c>
      <c r="L42" s="151" t="n">
        <f aca="false">OFFSET(TblMili[[#This Row],[Archmages]],-1,0) + OFFSET(TblMili[[#This Row],[Train AM]],-12,0) - TblMili[[#This Row],[Release AM]]</f>
        <v>0</v>
      </c>
      <c r="M42" s="132"/>
      <c r="N42" s="69" t="e">
        <f aca="false">TblProd[[#This Row],[Networth]]</f>
        <v>#VALUE!</v>
      </c>
      <c r="O42" s="132"/>
      <c r="P4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2" s="285" t="e">
        <f aca="false">TblMili[[#This Row],[Raw]]*(1+TblMili[[#This Row],[Mods_Off]])</f>
        <v>#VALUE!</v>
      </c>
      <c r="S4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2" s="285" t="e">
        <f aca="false">TblMili[[#This Row],[Non Draft]]+TblMili[[#This Row],[Draftees]]</f>
        <v>#VALUE!</v>
      </c>
      <c r="U42" s="286" t="n">
        <f aca="false">race_defense + TblImps[[#This Row],[Walls]] + ROUND( MIN(gt_bonus*TblConstr[[#This Row],[Tot GT]]/TblConstr[[#This Row],[Land]],gt_bonus_cap), 4) + IF(TblMagic[[#This Row],[Active Howling]]&gt;0,howling_dp_bonus,IF(TblMagic[[#This Row],[Active Ares Call]]&gt;0,ares_call_bonus))</f>
        <v>0</v>
      </c>
      <c r="V42" s="274" t="e">
        <f aca="false">TblMili[[#This Row],[Non Draft]] * (1 + TblMili[[#This Row],[Mods_Def]])</f>
        <v>#VALUE!</v>
      </c>
      <c r="W42" s="285" t="e">
        <f aca="false">TblMili[[#This Row],[Draft]] * (1 + TblMili[[#This Row],[Mods_Def]])</f>
        <v>#VALUE!</v>
      </c>
      <c r="X42" s="285" t="n">
        <f aca="false">TblConstr[[#This Row],[Land]]</f>
        <v>419</v>
      </c>
      <c r="Y42" s="287"/>
      <c r="Z42" s="109" t="n">
        <f aca="false">IF(TblMili[[#This Row],[Set]]&lt;&gt;"",TblMili[[#This Row],[Set]],OFFSET(TblMili[[#This Row],[Draftrate]],-1,0))</f>
        <v>0.9</v>
      </c>
      <c r="AA42" s="69" t="n">
        <f aca="false">OFFSET(TblMili[[#This Row],[Draftees]],-1,0)+OFFSET(TblPop[[#This Row],[Draft Growth]],-1,0) - SUM(TblMili[[#This Row],[Train Unit 1]:[Train Spies]],TblMili[[#This Row],[Train Wiz]]) - TblMili[[#This Row],[Release Draft]] + SUM(TblMili[[#This Row],[Release Unit 1]:[Release AM]]) - TblExplore[[#This Row],[Draftees (2)]]</f>
        <v>0</v>
      </c>
      <c r="AB42" s="146"/>
      <c r="AC42" s="130" t="n">
        <f aca="false">(TblConstr[[#This Row],[Tot Smi]]+TblConstr[[#This Row],[Dest Smi]])/(TblConstr[[#This Row],[Land]]-TblExplore[[#This Row],[Land Bonus]]*20)</f>
        <v>0</v>
      </c>
      <c r="AD42" s="128"/>
      <c r="AE42" s="282" t="n">
        <f aca="false">TblMili[[#This Row],[Hour]]</f>
        <v>39</v>
      </c>
      <c r="AF42" s="129" t="n">
        <f aca="false">TblExplore[[#This Row],[Time]]</f>
        <v>45431.3333333333</v>
      </c>
      <c r="AG42" s="182"/>
      <c r="AH42" s="182"/>
      <c r="AI42" s="182"/>
      <c r="AJ42" s="182"/>
      <c r="AK42" s="182"/>
      <c r="AL42" s="182"/>
      <c r="AM42" s="182"/>
      <c r="AN42" s="182"/>
      <c r="AO42" s="132"/>
      <c r="AP42" s="69" t="n">
        <f aca="false">TblProd[[#This Row],[Platinum]]</f>
        <v>77568</v>
      </c>
      <c r="AQ42" s="69" t="n">
        <f aca="false">INDEX(TblProd[[#Headers],[Lumber]]:TblProd[[#This Row],[Ore]],COUNTA(TblProd[[#Headers],[Lumber]]:TblProd[[#This Row],[Lumber]]),MATCH(Military!$AQ$2,TblProd[[#Headers],[Lumber]:[Ore]],0))</f>
        <v>0</v>
      </c>
      <c r="AR4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69" t="n">
        <f aca="false">TblMili[[#This Row],[Train Unit 1]]*TblMili[[#This Row],[OP Ore]]+TblMili[[#This Row],[Train Unit 2]]*TblMili[[#This Row],[DP Ore]]+TblMili[[#This Row],[Train Unit 3]]*TblMili[[#This Row],[E1 Ore]]+TblMili[[#This Row],[Train Unit 4]]*TblMili[[#This Row],[E2 Ore]]</f>
        <v>0</v>
      </c>
      <c r="AT42" s="132" t="n">
        <f aca="false">TblMili[[#This Row],[Hour]]</f>
        <v>39</v>
      </c>
      <c r="AU42" s="144" t="n">
        <f aca="false">TblMili[[#This Row],[Time]]</f>
        <v>45431.3333333333</v>
      </c>
      <c r="AV42" s="69" t="n">
        <f aca="false">TblMili[[#This Row],[Draftees]]</f>
        <v>0</v>
      </c>
      <c r="AW42" s="182"/>
      <c r="AX42" s="182"/>
      <c r="AY42" s="182"/>
      <c r="AZ42" s="182"/>
      <c r="BA42" s="182"/>
      <c r="BB42" s="182"/>
      <c r="BC42" s="182"/>
      <c r="BD42" s="182"/>
      <c r="BE42" s="182"/>
      <c r="BF42" s="132"/>
      <c r="BG42" s="150" t="n">
        <f aca="false">TblConstr[[#This Row],[Tot WG]]/TblConstr[[#This Row],[Land]]</f>
        <v>0</v>
      </c>
      <c r="BH42" s="150" t="n">
        <f aca="false">TblConstr[[#This Row],[Tot Hav]]/TblConstr[[#This Row],[Land]]</f>
        <v>0</v>
      </c>
      <c r="BI42" s="69" t="n">
        <f aca="false">ROUNDUP((1-MIN(TblMili[[#This Row],[Smithies]]*smithy_bonus,smithy_bonus_cap) + tech_3_5*TblTech[[#This Row],[3-5]] + tech_5_3*TblTech[[#This Row],[5-3]] + tech_5_5*TblTech[[#This Row],[5-5]])*spec_op_plat,0)</f>
        <v>300</v>
      </c>
      <c r="BJ42" s="69" t="n">
        <f aca="false">ROUNDUP(IF(race="Gnome",1,(1-MIN(TblMili[[#This Row],[Smithies]]*smithy_bonus,smithy_bonus_cap) + tech_3_5*TblTech[[#This Row],[3-5]] + tech_5_3*TblTech[[#This Row],[5-3]] + tech_5_5*TblTech[[#This Row],[5-5]]))*spec_op_ore,0)</f>
        <v>0</v>
      </c>
      <c r="BK42" s="69" t="n">
        <f aca="false">ROUNDUP((1-MIN(TblMili[[#This Row],[Smithies]]*smithy_bonus,smithy_bonus_cap) + tech_3_5*TblTech[[#This Row],[3-5]] + tech_5_3*TblTech[[#This Row],[5-3]] + tech_5_5*TblTech[[#This Row],[5-5]])*spec_dp_plat,0)</f>
        <v>300</v>
      </c>
      <c r="BL42" s="69" t="n">
        <f aca="false">ROUNDUP(IF(race="Gnome",1,(1-MIN(TblMili[[#This Row],[Smithies]]*smithy_bonus,smithy_bonus_cap) + tech_3_5*TblTech[[#This Row],[3-5]] + tech_5_3*TblTech[[#This Row],[5-3]] + tech_5_5*TblTech[[#This Row],[5-5]]))*spec_dp_ore,0)</f>
        <v>0</v>
      </c>
      <c r="BM42" s="69" t="n">
        <f aca="false">ROUNDUP((1-MIN(TblMili[[#This Row],[Smithies]]*smithy_bonus,smithy_bonus_cap) + tech_3_5*TblTech[[#This Row],[3-5]] + tech_5_3*TblTech[[#This Row],[5-3]] + tech_5_5*TblTech[[#This Row],[5-5]])*elite1_plat,0)</f>
        <v>925</v>
      </c>
      <c r="BN42" s="69" t="n">
        <f aca="false">ROUNDUP(IF(race="Gnome",1,(1-MIN(TblMili[[#This Row],[Smithies]]*smithy_bonus,smithy_bonus_cap) + tech_3_5*TblTech[[#This Row],[3-5]] + tech_5_3*TblTech[[#This Row],[5-3]] + tech_5_5*TblTech[[#This Row],[5-5]]))*elite1_ore,0)</f>
        <v>0</v>
      </c>
      <c r="BO42" s="69" t="n">
        <f aca="false">ROUNDUP((1-MIN(TblMili[[#This Row],[Smithies]]*smithy_bonus,smithy_bonus_cap) + tech_3_5*TblTech[[#This Row],[3-5]] + tech_5_3*TblTech[[#This Row],[5-3]] + tech_5_5*TblTech[[#This Row],[5-5]])*elite2_plat,0)</f>
        <v>950</v>
      </c>
      <c r="BP42" s="69" t="n">
        <f aca="false">ROUNDUP(IF(race="Gnome",1,(1-MIN(TblMili[[#This Row],[Smithies]]*smithy_bonus,smithy_bonus_cap) + tech_3_5*TblTech[[#This Row],[3-5]] + tech_5_3*TblTech[[#This Row],[5-3]] + tech_5_5*TblTech[[#This Row],[5-5]]))*elite2_ore,0)</f>
        <v>0</v>
      </c>
      <c r="BQ42" s="69" t="n">
        <f aca="false">ROUNDUP((1-MIN(ROUND(fh_spy_cost_red*TblMili[[#This Row],[FH''s]],4),fh_spy_cost_cap)+ tech_1_9*TblTech[[#This Row],[1-9]] + tech_9_1*TblTech[[#This Row],[9-1]])*spy_plat,0)</f>
        <v>500</v>
      </c>
      <c r="BR42" s="69" t="n">
        <f aca="false">ROUNDUP((1-MIN(ROUND(fh_spy_cost_red*TblMili[[#This Row],[FH''s]],4),fh_spy_cost_cap)+ tech_1_9*TblTech[[#This Row],[1-9]] + tech_9_1*TblTech[[#This Row],[9-1]])*archspy_plat,0)</f>
        <v>1000</v>
      </c>
      <c r="BS42" s="69" t="n">
        <f aca="false">ROUNDUP((1-MIN(ROUND(wg_wiz_cost_bonus*TblMili[[#This Row],[WG''s]],4),wg_wiz_cost_cap) + tech_1_9_2*TblTech[[#This Row],[1-9]] + tech_9_1_2*TblTech[[#This Row],[9-1]])*wizard_plat,0)</f>
        <v>500</v>
      </c>
      <c r="BT42" s="69" t="n">
        <f aca="false">ROUNDUP((1-MIN(ROUND(wg_wiz_cost_bonus*TblMili[[#This Row],[WG''s]],4),wg_wiz_cost_cap) + tech_1_9_2*TblTech[[#This Row],[1-9]] + tech_9_1_2*TblTech[[#This Row],[9-1]])*archmage_plat,0)</f>
        <v>1000</v>
      </c>
      <c r="BU42" s="132"/>
      <c r="BV42" s="150" t="e">
        <f aca="false">TblConstr[[#This Row],[Homeland]]/TblConstr[[#This Row],[Land]]</f>
        <v>#VALUE!</v>
      </c>
      <c r="BW42" s="150" t="n">
        <f aca="false">TblMili[[#This Row],[WG''s]]</f>
        <v>0</v>
      </c>
      <c r="BX42" s="288" t="e">
        <f aca="false">IF(mystic_cap="none",TblMili[[#This Row],[Hill]]/mystic_bonus,MIN(mystic_cap,TblMili[[#This Row],[Hill]]/mystic_bonus))</f>
        <v>#VALUE!</v>
      </c>
      <c r="BY42" s="288" t="e">
        <f aca="false">IF(druid_op_cap="none",TblMili[[#This Row],[Hill]]/druid_op_bonus,MIN(druid_op_cap,TblMili[[#This Row],[Hill]]/druid_op_bonus))</f>
        <v>#VALUE!</v>
      </c>
      <c r="BZ42" s="288" t="e">
        <f aca="false">IF(druid_dp_cap="none",TblMili[[#This Row],[Hill]]/druid_dp_bonus,MIN(druid_dp_cap,TblMili[[#This Row],[Hill]]/druid_dp_bonus))</f>
        <v>#VALUE!</v>
      </c>
      <c r="CA42" s="288" t="e">
        <f aca="false">MIN(dryad_cap,TblMili[[#This Row],[Hill]]/dryad_bonus)</f>
        <v>#VALUE!</v>
      </c>
      <c r="CB42" s="288" t="e">
        <f aca="false">MIN(rocka_cap,TblMili[[#This Row],[Hill]]/rocka_bonus)</f>
        <v>#VALUE!</v>
      </c>
      <c r="CC42" s="288" t="n">
        <f aca="false">MIN(adept_op_cap,TblMili[[#This Row],[WG]]/adept_op_bonus)</f>
        <v>0</v>
      </c>
      <c r="CD42" s="288" t="n">
        <f aca="false">MIN(adept_dp_cap,TblMili[[#This Row],[WG]]/adept_dp_bonus)</f>
        <v>0</v>
      </c>
      <c r="CE42" s="69" t="n">
        <f aca="false">MIN(TblMili[[#This Row],[Unit 3]],TblMili[[#This Row],[Unit 2]])*2</f>
        <v>0</v>
      </c>
      <c r="CF42" s="69" t="n">
        <f aca="false">MIN(TblMili[[#This Row],[Unit 1]],TblMili[[#This Row],[Unit 4]])*2</f>
        <v>0</v>
      </c>
      <c r="CG42" s="288" t="e">
        <f aca="false">MIN(frost_mage_cap,TblMili[[#This Row],[Hill]]/frost_mage_bonus)</f>
        <v>#VALUE!</v>
      </c>
      <c r="CH42" s="151" t="n">
        <f aca="false">MIN(ice_elem_cap,TblMili[[#This Row],[Raw (2)]]*ice_elem_bonus)</f>
        <v>0</v>
      </c>
      <c r="CI42" s="288" t="n">
        <f aca="false">MIN(bone_breaker_cap,250/bone_breaker_bonus)</f>
        <v>0.833333333333333</v>
      </c>
      <c r="CJ42" s="288" t="e">
        <f aca="false">MIN(nox_nightshade_cap,TblConstr[[#This Row],[Homeland]]/TblConstr[[#This Row],[Land]]/nox_nightshade_swamp_bonus)</f>
        <v>#VALUE!</v>
      </c>
      <c r="CK42" s="289"/>
      <c r="CL42" s="289"/>
      <c r="CM42" s="289"/>
      <c r="CN42" s="288" t="e">
        <f aca="false">MIN(6,TblMili[[#This Row],[Mystic]]+Races!$F$19)*1.8 +  IF(TblMili[[#This Row],[Mystic]]+Races!$F$19&gt;6,(TblMili[[#This Row],[Mystic]]+Races!$F$19-6)*0.2,0) - Races!$I$19</f>
        <v>#VALUE!</v>
      </c>
      <c r="CO42" s="288" t="e">
        <f aca="false">1.8 * MIN(MAX(TblMili[[#This Row],[Druid (op)]]+Races!$E$20,TblMili[[#This Row],[Druid (dp)]]+Races!$F$20),6)  +  0.45 * MIN(MIN(TblMili[[#This Row],[Druid (op)]]+Races!$E$20,TblMili[[#This Row],[Druid (dp)]]+Races!$F$20),6)  +  0.2 * ( MAX(TblMili[[#This Row],[Druid (op)]]+Races!$E$20-6,0) + MAX(TblMili[[#This Row],[Druid (dp)]]+Races!$F$20-6,0) )  -  Races!$I$20</f>
        <v>#VALUE!</v>
      </c>
      <c r="CP42" s="69" t="e">
        <f aca="false">TblMili[[#This Row],[Mystic bonus]]*TblMili[[#This Row],[Unit 3]]+TblMili[[#This Row],[Druid bonus]]*TblMili[[#This Row],[Unit 4]]</f>
        <v>#VALUE!</v>
      </c>
      <c r="CQ42" s="148" t="e">
        <f aca="false">MIN(6,TblMili[[#This Row],[Dryad]]+Races!$F$35)*1.8 +  IF(TblMili[[#This Row],[Dryad]]+Races!$F$35&gt;6,(TblMili[[#This Row],[Dryad]]+Races!$F$35-6)*0.2,0) - Races!$I$19</f>
        <v>#VALUE!</v>
      </c>
      <c r="CR42" s="69" t="e">
        <f aca="false">sylvan*(TblMili[[#This Row],[Mystic bonus]]*TblMili[[#This Row],[Unit 3]])</f>
        <v>#VALUE!</v>
      </c>
      <c r="CS42" s="148" t="e">
        <f aca="false">1.8 * MIN(MAX(Races!$E$27,TblMili[[#This Row],[Rockapult]]+Races!$F$27),6)  +  0.45 * MIN(MIN(Races!$E$27,TblMili[[#This Row],[Rockapult]]+Races!$F$27),6)  +  0.2 * ( MAX(Races!$E$27-6,0) + MAX(TblMili[[#This Row],[Rockapult]]+Races!$F$27-6,0) )  -  Races!$I$20</f>
        <v>#VALUE!</v>
      </c>
      <c r="CT42" s="69" t="e">
        <f aca="false">gnome*(TblMili[[#This Row],[Rockapult bonus]]*TblMili[[#This Row],[Unit 3]])</f>
        <v>#VALUE!</v>
      </c>
      <c r="CU42" s="148" t="n">
        <f aca="false">1.8 * MIN(MAX(TblMili[[#This Row],[Spellblade]]+Races!$E$47,TblMili[[#This Row],[Adept-DP]]+Races!$F$47),6)  +  0.45 * MIN(MIN(TblMili[[#This Row],[Spellblade]]+Races!$E$47,TblMili[[#This Row],[Adept-DP]]+Races!$F$47),6)  +  0.2 * ( MAX(TblMili[[#This Row],[Spellblade]]+Races!$E$47-6,0) + MAX(TblMili[[#This Row],[Adept-DP]]+Races!$F$47-6,0) )  -  Races!$I$47</f>
        <v>0</v>
      </c>
      <c r="CV42" s="69" t="n">
        <f aca="false">dark_elf*(TblMili[[#This Row],[Adept bonus]]*TblMili[[#This Row],[Unit 3]])</f>
        <v>0</v>
      </c>
      <c r="CW42" s="148" t="e">
        <f aca="false">1.8 * MIN(MAX(TblMili[[#This Row],[Frost Mage]]+Races!$F$71,Races!$E$71),6)  +  0.45 * MIN(MIN(TblMili[[#This Row],[Frost Mage]]+Races!$F$71,Races!$E$71),6)  +  0.2 * ( MAX(TblMili[[#This Row],[Frost Mage]]+Races!$F$71-6,0) + MAX(Races!$E$71-6,0) )  -  Races!$I$71</f>
        <v>#VALUE!</v>
      </c>
      <c r="CX42" s="148" t="n">
        <f aca="false">1.8 * MIN(MAX(TblMili[[#This Row],[Ice Elemental]]+Races!$E$71,Races!$F$71),6)  +  0.45 * MIN(MIN(TblMili[[#This Row],[Ice Elemental]]+Races!$E$71,Races!$F$71),6)  +  0.2 * ( MAX(TblMili[[#This Row],[Ice Elemental]]+Races!$E$71-6,0) + MAX(Races!$F$71-6,0) )  -  Races!$I$71</f>
        <v>0</v>
      </c>
      <c r="CY42" s="69" t="e">
        <f aca="false">TblMili[[#This Row],[Frost Mage bonus]]*TblMili[[#This Row],[Unit 3]]+TblMili[[#This Row],[Ice Elemental bonus]]*TblMili[[#This Row],[Unit 4]]</f>
        <v>#VALUE!</v>
      </c>
      <c r="CZ42" s="290"/>
      <c r="DA42" s="109" t="n">
        <f aca="false">MIN(SUM(TblConstr[[#This Row],[Plain]:[Water]])/TblMili[[#This Row],[Land]]/favorable_terrain_bonus/100,favorable_terrain_max)</f>
        <v>0</v>
      </c>
      <c r="DB42" s="290"/>
      <c r="DC4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2" s="132"/>
      <c r="DE42" s="291" t="n">
        <f aca="false">(TblMili[[#This Row],[Wizards]]+2*TblMili[[#This Row],[Archmages]])/TblConstr[[#This Row],[Land]]</f>
        <v>0</v>
      </c>
      <c r="DF42" s="291" t="n">
        <f aca="false">TblMili[[#This Row],[Raw (2)]]*(1+race_wizard_strength+IF(TblMili[[#This Row],[Hour]]&gt;72,tech_magical_weaponry_wiz*TblTech[[#This Row],[3-5]],0))</f>
        <v>0</v>
      </c>
    </row>
    <row r="43" customFormat="false" ht="12.75" hidden="false" customHeight="false" outlineLevel="0" collapsed="false">
      <c r="A43" s="128" t="n">
        <f aca="false">TblRezone[[#This Row],[Hour]]</f>
        <v>40</v>
      </c>
      <c r="B43" s="282" t="n">
        <f aca="false">SUM(TblMili[[#This Row],[Unit 1]:[Archmages]])+SUM(OFFSET(TblMili[[#This Row],[Train Unit 1]],-8,0):TblMili[[#This Row],[Train Unit 2]]) + SUM(OFFSET(TblMili[[#This Row],[Train Unit 3]],-11,0):TblMili[[#This Row],[Train AM]]) + TblMili[[#This Row],[Draftees]]</f>
        <v>2</v>
      </c>
      <c r="C43" s="150" t="n">
        <f aca="false">TblPop[[#This Row],[Military%]]</f>
        <v>0.000298552022689954</v>
      </c>
      <c r="D43" s="132"/>
      <c r="E43" s="151" t="n">
        <f aca="false">OFFSET(TblMili[[#This Row],[Unit 1]],-1,0) + OFFSET(TblMili[[#This Row],[Train Unit 1]],-9,0) - TblMili[[#This Row],[Release Unit 1]]</f>
        <v>0</v>
      </c>
      <c r="F43" s="151" t="n">
        <f aca="false">OFFSET(TblMili[[#This Row],[Unit 2]],-1,0) + OFFSET(TblMili[[#This Row],[Train Unit 2]],-9,0)-TblMili[[#This Row],[Release Unit 2]]</f>
        <v>0</v>
      </c>
      <c r="G43" s="151" t="n">
        <f aca="false">OFFSET(TblMili[[#This Row],[Unit 3]],-1,0) + OFFSET(TblMili[[#This Row],[Train Unit 3]],-12,0)-TblMili[[#This Row],[Release Unit 3]]</f>
        <v>0</v>
      </c>
      <c r="H43" s="151" t="n">
        <f aca="false">OFFSET(TblMili[[#This Row],[Unit 4]],-1,0) + OFFSET(TblMili[[#This Row],[Train Unit 4]],-12,0)-TblMili[[#This Row],[Release Unit 4]]</f>
        <v>0</v>
      </c>
      <c r="I43" s="151" t="n">
        <f aca="false">OFFSET(TblMili[[#This Row],[Spies]],-1,0) + OFFSET(TblMili[[#This Row],[Train Spies]],-12,0) - TblMili[[#This Row],[Release Spies]]-TblMili[[#This Row],[Train AS]]</f>
        <v>0</v>
      </c>
      <c r="J43" s="151" t="n">
        <f aca="false">OFFSET(TblMili[[#This Row],[Archspies]],-1,0) + OFFSET(TblMili[[#This Row],[Train AS]],-12,0) - TblMili[[#This Row],[Release AS]]</f>
        <v>0</v>
      </c>
      <c r="K43" s="151" t="n">
        <f aca="false">OFFSET(TblMili[[#This Row],[Wizards]],-1,0) + OFFSET(TblMili[[#This Row],[Train Wiz]],-12,0) - TblMili[[#This Row],[Release Wizards]]-TblMili[[#This Row],[Train AM]]</f>
        <v>0</v>
      </c>
      <c r="L43" s="151" t="n">
        <f aca="false">OFFSET(TblMili[[#This Row],[Archmages]],-1,0) + OFFSET(TblMili[[#This Row],[Train AM]],-12,0) - TblMili[[#This Row],[Release AM]]</f>
        <v>0</v>
      </c>
      <c r="M43" s="132"/>
      <c r="N43" s="69" t="e">
        <f aca="false">TblProd[[#This Row],[Networth]]</f>
        <v>#VALUE!</v>
      </c>
      <c r="O43" s="132"/>
      <c r="P4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3" s="285" t="e">
        <f aca="false">TblMili[[#This Row],[Raw]]*(1+TblMili[[#This Row],[Mods_Off]])</f>
        <v>#VALUE!</v>
      </c>
      <c r="S4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3" s="285" t="e">
        <f aca="false">TblMili[[#This Row],[Non Draft]]+TblMili[[#This Row],[Draftees]]</f>
        <v>#VALUE!</v>
      </c>
      <c r="U43" s="286" t="n">
        <f aca="false">race_defense + TblImps[[#This Row],[Walls]] + ROUND( MIN(gt_bonus*TblConstr[[#This Row],[Tot GT]]/TblConstr[[#This Row],[Land]],gt_bonus_cap), 4) + IF(TblMagic[[#This Row],[Active Howling]]&gt;0,howling_dp_bonus,IF(TblMagic[[#This Row],[Active Ares Call]]&gt;0,ares_call_bonus))</f>
        <v>0</v>
      </c>
      <c r="V43" s="274" t="e">
        <f aca="false">TblMili[[#This Row],[Non Draft]] * (1 + TblMili[[#This Row],[Mods_Def]])</f>
        <v>#VALUE!</v>
      </c>
      <c r="W43" s="285" t="e">
        <f aca="false">TblMili[[#This Row],[Draft]] * (1 + TblMili[[#This Row],[Mods_Def]])</f>
        <v>#VALUE!</v>
      </c>
      <c r="X43" s="285" t="n">
        <f aca="false">TblConstr[[#This Row],[Land]]</f>
        <v>419</v>
      </c>
      <c r="Y43" s="287"/>
      <c r="Z43" s="109" t="n">
        <f aca="false">IF(TblMili[[#This Row],[Set]]&lt;&gt;"",TblMili[[#This Row],[Set]],OFFSET(TblMili[[#This Row],[Draftrate]],-1,0))</f>
        <v>0.9</v>
      </c>
      <c r="AA43" s="69" t="n">
        <f aca="false">OFFSET(TblMili[[#This Row],[Draftees]],-1,0)+OFFSET(TblPop[[#This Row],[Draft Growth]],-1,0) - SUM(TblMili[[#This Row],[Train Unit 1]:[Train Spies]],TblMili[[#This Row],[Train Wiz]]) - TblMili[[#This Row],[Release Draft]] + SUM(TblMili[[#This Row],[Release Unit 1]:[Release AM]]) - TblExplore[[#This Row],[Draftees (2)]]</f>
        <v>2</v>
      </c>
      <c r="AB43" s="146"/>
      <c r="AC43" s="130" t="n">
        <f aca="false">(TblConstr[[#This Row],[Tot Smi]]+TblConstr[[#This Row],[Dest Smi]])/(TblConstr[[#This Row],[Land]]-TblExplore[[#This Row],[Land Bonus]]*20)</f>
        <v>0</v>
      </c>
      <c r="AD43" s="128"/>
      <c r="AE43" s="282" t="n">
        <f aca="false">TblMili[[#This Row],[Hour]]</f>
        <v>40</v>
      </c>
      <c r="AF43" s="129" t="n">
        <f aca="false">TblExplore[[#This Row],[Time]]</f>
        <v>45431.375</v>
      </c>
      <c r="AG43" s="182"/>
      <c r="AH43" s="182"/>
      <c r="AI43" s="182"/>
      <c r="AJ43" s="182"/>
      <c r="AK43" s="182"/>
      <c r="AL43" s="182"/>
      <c r="AM43" s="182"/>
      <c r="AN43" s="182"/>
      <c r="AO43" s="132"/>
      <c r="AP43" s="69" t="n">
        <f aca="false">TblProd[[#This Row],[Platinum]]</f>
        <v>85587</v>
      </c>
      <c r="AQ43" s="69" t="n">
        <f aca="false">INDEX(TblProd[[#Headers],[Lumber]]:TblProd[[#This Row],[Ore]],COUNTA(TblProd[[#Headers],[Lumber]]:TblProd[[#This Row],[Lumber]]),MATCH(Military!$AQ$2,TblProd[[#Headers],[Lumber]:[Ore]],0))</f>
        <v>0</v>
      </c>
      <c r="AR4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69" t="n">
        <f aca="false">TblMili[[#This Row],[Train Unit 1]]*TblMili[[#This Row],[OP Ore]]+TblMili[[#This Row],[Train Unit 2]]*TblMili[[#This Row],[DP Ore]]+TblMili[[#This Row],[Train Unit 3]]*TblMili[[#This Row],[E1 Ore]]+TblMili[[#This Row],[Train Unit 4]]*TblMili[[#This Row],[E2 Ore]]</f>
        <v>0</v>
      </c>
      <c r="AT43" s="132" t="n">
        <f aca="false">TblMili[[#This Row],[Hour]]</f>
        <v>40</v>
      </c>
      <c r="AU43" s="144" t="n">
        <f aca="false">TblMili[[#This Row],[Time]]</f>
        <v>45431.375</v>
      </c>
      <c r="AV43" s="69" t="n">
        <f aca="false">TblMili[[#This Row],[Draftees]]</f>
        <v>2</v>
      </c>
      <c r="AW43" s="182"/>
      <c r="AX43" s="182"/>
      <c r="AY43" s="182"/>
      <c r="AZ43" s="182"/>
      <c r="BA43" s="182"/>
      <c r="BB43" s="182"/>
      <c r="BC43" s="182"/>
      <c r="BD43" s="182"/>
      <c r="BE43" s="182"/>
      <c r="BF43" s="132"/>
      <c r="BG43" s="150" t="n">
        <f aca="false">TblConstr[[#This Row],[Tot WG]]/TblConstr[[#This Row],[Land]]</f>
        <v>0</v>
      </c>
      <c r="BH43" s="150" t="n">
        <f aca="false">TblConstr[[#This Row],[Tot Hav]]/TblConstr[[#This Row],[Land]]</f>
        <v>0</v>
      </c>
      <c r="BI43" s="69" t="n">
        <f aca="false">ROUNDUP((1-MIN(TblMili[[#This Row],[Smithies]]*smithy_bonus,smithy_bonus_cap) + tech_3_5*TblTech[[#This Row],[3-5]] + tech_5_3*TblTech[[#This Row],[5-3]] + tech_5_5*TblTech[[#This Row],[5-5]])*spec_op_plat,0)</f>
        <v>300</v>
      </c>
      <c r="BJ43" s="69" t="n">
        <f aca="false">ROUNDUP(IF(race="Gnome",1,(1-MIN(TblMili[[#This Row],[Smithies]]*smithy_bonus,smithy_bonus_cap) + tech_3_5*TblTech[[#This Row],[3-5]] + tech_5_3*TblTech[[#This Row],[5-3]] + tech_5_5*TblTech[[#This Row],[5-5]]))*spec_op_ore,0)</f>
        <v>0</v>
      </c>
      <c r="BK43" s="69" t="n">
        <f aca="false">ROUNDUP((1-MIN(TblMili[[#This Row],[Smithies]]*smithy_bonus,smithy_bonus_cap) + tech_3_5*TblTech[[#This Row],[3-5]] + tech_5_3*TblTech[[#This Row],[5-3]] + tech_5_5*TblTech[[#This Row],[5-5]])*spec_dp_plat,0)</f>
        <v>300</v>
      </c>
      <c r="BL43" s="69" t="n">
        <f aca="false">ROUNDUP(IF(race="Gnome",1,(1-MIN(TblMili[[#This Row],[Smithies]]*smithy_bonus,smithy_bonus_cap) + tech_3_5*TblTech[[#This Row],[3-5]] + tech_5_3*TblTech[[#This Row],[5-3]] + tech_5_5*TblTech[[#This Row],[5-5]]))*spec_dp_ore,0)</f>
        <v>0</v>
      </c>
      <c r="BM43" s="69" t="n">
        <f aca="false">ROUNDUP((1-MIN(TblMili[[#This Row],[Smithies]]*smithy_bonus,smithy_bonus_cap) + tech_3_5*TblTech[[#This Row],[3-5]] + tech_5_3*TblTech[[#This Row],[5-3]] + tech_5_5*TblTech[[#This Row],[5-5]])*elite1_plat,0)</f>
        <v>925</v>
      </c>
      <c r="BN43" s="69" t="n">
        <f aca="false">ROUNDUP(IF(race="Gnome",1,(1-MIN(TblMili[[#This Row],[Smithies]]*smithy_bonus,smithy_bonus_cap) + tech_3_5*TblTech[[#This Row],[3-5]] + tech_5_3*TblTech[[#This Row],[5-3]] + tech_5_5*TblTech[[#This Row],[5-5]]))*elite1_ore,0)</f>
        <v>0</v>
      </c>
      <c r="BO43" s="69" t="n">
        <f aca="false">ROUNDUP((1-MIN(TblMili[[#This Row],[Smithies]]*smithy_bonus,smithy_bonus_cap) + tech_3_5*TblTech[[#This Row],[3-5]] + tech_5_3*TblTech[[#This Row],[5-3]] + tech_5_5*TblTech[[#This Row],[5-5]])*elite2_plat,0)</f>
        <v>950</v>
      </c>
      <c r="BP43" s="69" t="n">
        <f aca="false">ROUNDUP(IF(race="Gnome",1,(1-MIN(TblMili[[#This Row],[Smithies]]*smithy_bonus,smithy_bonus_cap) + tech_3_5*TblTech[[#This Row],[3-5]] + tech_5_3*TblTech[[#This Row],[5-3]] + tech_5_5*TblTech[[#This Row],[5-5]]))*elite2_ore,0)</f>
        <v>0</v>
      </c>
      <c r="BQ43" s="69" t="n">
        <f aca="false">ROUNDUP((1-MIN(ROUND(fh_spy_cost_red*TblMili[[#This Row],[FH''s]],4),fh_spy_cost_cap)+ tech_1_9*TblTech[[#This Row],[1-9]] + tech_9_1*TblTech[[#This Row],[9-1]])*spy_plat,0)</f>
        <v>500</v>
      </c>
      <c r="BR43" s="69" t="n">
        <f aca="false">ROUNDUP((1-MIN(ROUND(fh_spy_cost_red*TblMili[[#This Row],[FH''s]],4),fh_spy_cost_cap)+ tech_1_9*TblTech[[#This Row],[1-9]] + tech_9_1*TblTech[[#This Row],[9-1]])*archspy_plat,0)</f>
        <v>1000</v>
      </c>
      <c r="BS43" s="69" t="n">
        <f aca="false">ROUNDUP((1-MIN(ROUND(wg_wiz_cost_bonus*TblMili[[#This Row],[WG''s]],4),wg_wiz_cost_cap) + tech_1_9_2*TblTech[[#This Row],[1-9]] + tech_9_1_2*TblTech[[#This Row],[9-1]])*wizard_plat,0)</f>
        <v>500</v>
      </c>
      <c r="BT43" s="69" t="n">
        <f aca="false">ROUNDUP((1-MIN(ROUND(wg_wiz_cost_bonus*TblMili[[#This Row],[WG''s]],4),wg_wiz_cost_cap) + tech_1_9_2*TblTech[[#This Row],[1-9]] + tech_9_1_2*TblTech[[#This Row],[9-1]])*archmage_plat,0)</f>
        <v>1000</v>
      </c>
      <c r="BU43" s="132"/>
      <c r="BV43" s="150" t="e">
        <f aca="false">TblConstr[[#This Row],[Homeland]]/TblConstr[[#This Row],[Land]]</f>
        <v>#VALUE!</v>
      </c>
      <c r="BW43" s="150" t="n">
        <f aca="false">TblMili[[#This Row],[WG''s]]</f>
        <v>0</v>
      </c>
      <c r="BX43" s="288" t="e">
        <f aca="false">IF(mystic_cap="none",TblMili[[#This Row],[Hill]]/mystic_bonus,MIN(mystic_cap,TblMili[[#This Row],[Hill]]/mystic_bonus))</f>
        <v>#VALUE!</v>
      </c>
      <c r="BY43" s="288" t="e">
        <f aca="false">IF(druid_op_cap="none",TblMili[[#This Row],[Hill]]/druid_op_bonus,MIN(druid_op_cap,TblMili[[#This Row],[Hill]]/druid_op_bonus))</f>
        <v>#VALUE!</v>
      </c>
      <c r="BZ43" s="288" t="e">
        <f aca="false">IF(druid_dp_cap="none",TblMili[[#This Row],[Hill]]/druid_dp_bonus,MIN(druid_dp_cap,TblMili[[#This Row],[Hill]]/druid_dp_bonus))</f>
        <v>#VALUE!</v>
      </c>
      <c r="CA43" s="288" t="e">
        <f aca="false">MIN(dryad_cap,TblMili[[#This Row],[Hill]]/dryad_bonus)</f>
        <v>#VALUE!</v>
      </c>
      <c r="CB43" s="288" t="e">
        <f aca="false">MIN(rocka_cap,TblMili[[#This Row],[Hill]]/rocka_bonus)</f>
        <v>#VALUE!</v>
      </c>
      <c r="CC43" s="288" t="n">
        <f aca="false">MIN(adept_op_cap,TblMili[[#This Row],[WG]]/adept_op_bonus)</f>
        <v>0</v>
      </c>
      <c r="CD43" s="288" t="n">
        <f aca="false">MIN(adept_dp_cap,TblMili[[#This Row],[WG]]/adept_dp_bonus)</f>
        <v>0</v>
      </c>
      <c r="CE43" s="69" t="n">
        <f aca="false">MIN(TblMili[[#This Row],[Unit 3]],TblMili[[#This Row],[Unit 2]])*2</f>
        <v>0</v>
      </c>
      <c r="CF43" s="69" t="n">
        <f aca="false">MIN(TblMili[[#This Row],[Unit 1]],TblMili[[#This Row],[Unit 4]])*2</f>
        <v>0</v>
      </c>
      <c r="CG43" s="288" t="e">
        <f aca="false">MIN(frost_mage_cap,TblMili[[#This Row],[Hill]]/frost_mage_bonus)</f>
        <v>#VALUE!</v>
      </c>
      <c r="CH43" s="151" t="n">
        <f aca="false">MIN(ice_elem_cap,TblMili[[#This Row],[Raw (2)]]*ice_elem_bonus)</f>
        <v>0</v>
      </c>
      <c r="CI43" s="288" t="n">
        <f aca="false">MIN(bone_breaker_cap,250/bone_breaker_bonus)</f>
        <v>0.833333333333333</v>
      </c>
      <c r="CJ43" s="288" t="e">
        <f aca="false">MIN(nox_nightshade_cap,TblConstr[[#This Row],[Homeland]]/TblConstr[[#This Row],[Land]]/nox_nightshade_swamp_bonus)</f>
        <v>#VALUE!</v>
      </c>
      <c r="CK43" s="289"/>
      <c r="CL43" s="289"/>
      <c r="CM43" s="289"/>
      <c r="CN43" s="288" t="e">
        <f aca="false">MIN(6,TblMili[[#This Row],[Mystic]]+Races!$F$19)*1.8 +  IF(TblMili[[#This Row],[Mystic]]+Races!$F$19&gt;6,(TblMili[[#This Row],[Mystic]]+Races!$F$19-6)*0.2,0) - Races!$I$19</f>
        <v>#VALUE!</v>
      </c>
      <c r="CO43" s="288" t="e">
        <f aca="false">1.8 * MIN(MAX(TblMili[[#This Row],[Druid (op)]]+Races!$E$20,TblMili[[#This Row],[Druid (dp)]]+Races!$F$20),6)  +  0.45 * MIN(MIN(TblMili[[#This Row],[Druid (op)]]+Races!$E$20,TblMili[[#This Row],[Druid (dp)]]+Races!$F$20),6)  +  0.2 * ( MAX(TblMili[[#This Row],[Druid (op)]]+Races!$E$20-6,0) + MAX(TblMili[[#This Row],[Druid (dp)]]+Races!$F$20-6,0) )  -  Races!$I$20</f>
        <v>#VALUE!</v>
      </c>
      <c r="CP43" s="69" t="e">
        <f aca="false">TblMili[[#This Row],[Mystic bonus]]*TblMili[[#This Row],[Unit 3]]+TblMili[[#This Row],[Druid bonus]]*TblMili[[#This Row],[Unit 4]]</f>
        <v>#VALUE!</v>
      </c>
      <c r="CQ43" s="148" t="e">
        <f aca="false">MIN(6,TblMili[[#This Row],[Dryad]]+Races!$F$35)*1.8 +  IF(TblMili[[#This Row],[Dryad]]+Races!$F$35&gt;6,(TblMili[[#This Row],[Dryad]]+Races!$F$35-6)*0.2,0) - Races!$I$19</f>
        <v>#VALUE!</v>
      </c>
      <c r="CR43" s="69" t="e">
        <f aca="false">sylvan*(TblMili[[#This Row],[Mystic bonus]]*TblMili[[#This Row],[Unit 3]])</f>
        <v>#VALUE!</v>
      </c>
      <c r="CS43" s="148" t="e">
        <f aca="false">1.8 * MIN(MAX(Races!$E$27,TblMili[[#This Row],[Rockapult]]+Races!$F$27),6)  +  0.45 * MIN(MIN(Races!$E$27,TblMili[[#This Row],[Rockapult]]+Races!$F$27),6)  +  0.2 * ( MAX(Races!$E$27-6,0) + MAX(TblMili[[#This Row],[Rockapult]]+Races!$F$27-6,0) )  -  Races!$I$20</f>
        <v>#VALUE!</v>
      </c>
      <c r="CT43" s="69" t="e">
        <f aca="false">gnome*(TblMili[[#This Row],[Rockapult bonus]]*TblMili[[#This Row],[Unit 3]])</f>
        <v>#VALUE!</v>
      </c>
      <c r="CU43" s="148" t="n">
        <f aca="false">1.8 * MIN(MAX(TblMili[[#This Row],[Spellblade]]+Races!$E$47,TblMili[[#This Row],[Adept-DP]]+Races!$F$47),6)  +  0.45 * MIN(MIN(TblMili[[#This Row],[Spellblade]]+Races!$E$47,TblMili[[#This Row],[Adept-DP]]+Races!$F$47),6)  +  0.2 * ( MAX(TblMili[[#This Row],[Spellblade]]+Races!$E$47-6,0) + MAX(TblMili[[#This Row],[Adept-DP]]+Races!$F$47-6,0) )  -  Races!$I$47</f>
        <v>0</v>
      </c>
      <c r="CV43" s="69" t="n">
        <f aca="false">dark_elf*(TblMili[[#This Row],[Adept bonus]]*TblMili[[#This Row],[Unit 3]])</f>
        <v>0</v>
      </c>
      <c r="CW43" s="148" t="e">
        <f aca="false">1.8 * MIN(MAX(TblMili[[#This Row],[Frost Mage]]+Races!$F$71,Races!$E$71),6)  +  0.45 * MIN(MIN(TblMili[[#This Row],[Frost Mage]]+Races!$F$71,Races!$E$71),6)  +  0.2 * ( MAX(TblMili[[#This Row],[Frost Mage]]+Races!$F$71-6,0) + MAX(Races!$E$71-6,0) )  -  Races!$I$71</f>
        <v>#VALUE!</v>
      </c>
      <c r="CX43" s="148" t="n">
        <f aca="false">1.8 * MIN(MAX(TblMili[[#This Row],[Ice Elemental]]+Races!$E$71,Races!$F$71),6)  +  0.45 * MIN(MIN(TblMili[[#This Row],[Ice Elemental]]+Races!$E$71,Races!$F$71),6)  +  0.2 * ( MAX(TblMili[[#This Row],[Ice Elemental]]+Races!$E$71-6,0) + MAX(Races!$F$71-6,0) )  -  Races!$I$71</f>
        <v>0</v>
      </c>
      <c r="CY43" s="69" t="e">
        <f aca="false">TblMili[[#This Row],[Frost Mage bonus]]*TblMili[[#This Row],[Unit 3]]+TblMili[[#This Row],[Ice Elemental bonus]]*TblMili[[#This Row],[Unit 4]]</f>
        <v>#VALUE!</v>
      </c>
      <c r="CZ43" s="290"/>
      <c r="DA43" s="109" t="n">
        <f aca="false">MIN(SUM(TblConstr[[#This Row],[Plain]:[Water]])/TblMili[[#This Row],[Land]]/favorable_terrain_bonus/100,favorable_terrain_max)</f>
        <v>0</v>
      </c>
      <c r="DB43" s="290"/>
      <c r="DC4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3" s="132"/>
      <c r="DE43" s="291" t="n">
        <f aca="false">(TblMili[[#This Row],[Wizards]]+2*TblMili[[#This Row],[Archmages]])/TblConstr[[#This Row],[Land]]</f>
        <v>0</v>
      </c>
      <c r="DF43" s="291" t="n">
        <f aca="false">TblMili[[#This Row],[Raw (2)]]*(1+race_wizard_strength+IF(TblMili[[#This Row],[Hour]]&gt;72,tech_magical_weaponry_wiz*TblTech[[#This Row],[3-5]],0))</f>
        <v>0</v>
      </c>
    </row>
    <row r="44" customFormat="false" ht="12.75" hidden="false" customHeight="false" outlineLevel="0" collapsed="false">
      <c r="A44" s="128" t="n">
        <f aca="false">TblRezone[[#This Row],[Hour]]</f>
        <v>41</v>
      </c>
      <c r="B44" s="282" t="n">
        <f aca="false">SUM(TblMili[[#This Row],[Unit 1]:[Archmages]])+SUM(OFFSET(TblMili[[#This Row],[Train Unit 1]],-8,0):TblMili[[#This Row],[Train Unit 2]]) + SUM(OFFSET(TblMili[[#This Row],[Train Unit 3]],-11,0):TblMili[[#This Row],[Train AM]]) + TblMili[[#This Row],[Draftees]]</f>
        <v>3</v>
      </c>
      <c r="C44" s="150" t="n">
        <f aca="false">TblPop[[#This Row],[Military%]]</f>
        <v>0.000425954848786029</v>
      </c>
      <c r="D44" s="132"/>
      <c r="E44" s="151" t="n">
        <f aca="false">OFFSET(TblMili[[#This Row],[Unit 1]],-1,0) + OFFSET(TblMili[[#This Row],[Train Unit 1]],-9,0) - TblMili[[#This Row],[Release Unit 1]]</f>
        <v>0</v>
      </c>
      <c r="F44" s="151" t="n">
        <f aca="false">OFFSET(TblMili[[#This Row],[Unit 2]],-1,0) + OFFSET(TblMili[[#This Row],[Train Unit 2]],-9,0)-TblMili[[#This Row],[Release Unit 2]]</f>
        <v>0</v>
      </c>
      <c r="G44" s="151" t="n">
        <f aca="false">OFFSET(TblMili[[#This Row],[Unit 3]],-1,0) + OFFSET(TblMili[[#This Row],[Train Unit 3]],-12,0)-TblMili[[#This Row],[Release Unit 3]]</f>
        <v>0</v>
      </c>
      <c r="H44" s="151" t="n">
        <f aca="false">OFFSET(TblMili[[#This Row],[Unit 4]],-1,0) + OFFSET(TblMili[[#This Row],[Train Unit 4]],-12,0)-TblMili[[#This Row],[Release Unit 4]]</f>
        <v>0</v>
      </c>
      <c r="I44" s="151" t="n">
        <f aca="false">OFFSET(TblMili[[#This Row],[Spies]],-1,0) + OFFSET(TblMili[[#This Row],[Train Spies]],-12,0) - TblMili[[#This Row],[Release Spies]]-TblMili[[#This Row],[Train AS]]</f>
        <v>0</v>
      </c>
      <c r="J44" s="151" t="n">
        <f aca="false">OFFSET(TblMili[[#This Row],[Archspies]],-1,0) + OFFSET(TblMili[[#This Row],[Train AS]],-12,0) - TblMili[[#This Row],[Release AS]]</f>
        <v>0</v>
      </c>
      <c r="K44" s="151" t="n">
        <f aca="false">OFFSET(TblMili[[#This Row],[Wizards]],-1,0) + OFFSET(TblMili[[#This Row],[Train Wiz]],-12,0) - TblMili[[#This Row],[Release Wizards]]-TblMili[[#This Row],[Train AM]]</f>
        <v>0</v>
      </c>
      <c r="L44" s="151" t="n">
        <f aca="false">OFFSET(TblMili[[#This Row],[Archmages]],-1,0) + OFFSET(TblMili[[#This Row],[Train AM]],-12,0) - TblMili[[#This Row],[Release AM]]</f>
        <v>0</v>
      </c>
      <c r="M44" s="132"/>
      <c r="N44" s="69" t="e">
        <f aca="false">TblProd[[#This Row],[Networth]]</f>
        <v>#VALUE!</v>
      </c>
      <c r="O44" s="132"/>
      <c r="P4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4" s="285" t="e">
        <f aca="false">TblMili[[#This Row],[Raw]]*(1+TblMili[[#This Row],[Mods_Off]])</f>
        <v>#VALUE!</v>
      </c>
      <c r="S4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4" s="285" t="e">
        <f aca="false">TblMili[[#This Row],[Non Draft]]+TblMili[[#This Row],[Draftees]]</f>
        <v>#VALUE!</v>
      </c>
      <c r="U44" s="286" t="n">
        <f aca="false">race_defense + TblImps[[#This Row],[Walls]] + ROUND( MIN(gt_bonus*TblConstr[[#This Row],[Tot GT]]/TblConstr[[#This Row],[Land]],gt_bonus_cap), 4) + IF(TblMagic[[#This Row],[Active Howling]]&gt;0,howling_dp_bonus,IF(TblMagic[[#This Row],[Active Ares Call]]&gt;0,ares_call_bonus))</f>
        <v>0</v>
      </c>
      <c r="V44" s="274" t="e">
        <f aca="false">TblMili[[#This Row],[Non Draft]] * (1 + TblMili[[#This Row],[Mods_Def]])</f>
        <v>#VALUE!</v>
      </c>
      <c r="W44" s="285" t="e">
        <f aca="false">TblMili[[#This Row],[Draft]] * (1 + TblMili[[#This Row],[Mods_Def]])</f>
        <v>#VALUE!</v>
      </c>
      <c r="X44" s="285" t="n">
        <f aca="false">TblConstr[[#This Row],[Land]]</f>
        <v>501</v>
      </c>
      <c r="Y44" s="287"/>
      <c r="Z44" s="109" t="n">
        <f aca="false">IF(TblMili[[#This Row],[Set]]&lt;&gt;"",TblMili[[#This Row],[Set]],OFFSET(TblMili[[#This Row],[Draftrate]],-1,0))</f>
        <v>0.9</v>
      </c>
      <c r="AA44" s="69" t="n">
        <f aca="false">OFFSET(TblMili[[#This Row],[Draftees]],-1,0)+OFFSET(TblPop[[#This Row],[Draft Growth]],-1,0) - SUM(TblMili[[#This Row],[Train Unit 1]:[Train Spies]],TblMili[[#This Row],[Train Wiz]]) - TblMili[[#This Row],[Release Draft]] + SUM(TblMili[[#This Row],[Release Unit 1]:[Release AM]]) - TblExplore[[#This Row],[Draftees (2)]]</f>
        <v>3</v>
      </c>
      <c r="AB44" s="146"/>
      <c r="AC44" s="130" t="n">
        <f aca="false">(TblConstr[[#This Row],[Tot Smi]]+TblConstr[[#This Row],[Dest Smi]])/(TblConstr[[#This Row],[Land]]-TblExplore[[#This Row],[Land Bonus]]*20)</f>
        <v>0</v>
      </c>
      <c r="AD44" s="128"/>
      <c r="AE44" s="282" t="n">
        <f aca="false">TblMili[[#This Row],[Hour]]</f>
        <v>41</v>
      </c>
      <c r="AF44" s="129" t="n">
        <f aca="false">TblExplore[[#This Row],[Time]]</f>
        <v>45431.4166666667</v>
      </c>
      <c r="AG44" s="182"/>
      <c r="AH44" s="182"/>
      <c r="AI44" s="182"/>
      <c r="AJ44" s="182"/>
      <c r="AK44" s="182"/>
      <c r="AL44" s="182"/>
      <c r="AM44" s="182"/>
      <c r="AN44" s="182"/>
      <c r="AO44" s="132"/>
      <c r="AP44" s="69" t="n">
        <f aca="false">TblProd[[#This Row],[Platinum]]</f>
        <v>54134</v>
      </c>
      <c r="AQ44" s="69" t="n">
        <f aca="false">INDEX(TblProd[[#Headers],[Lumber]]:TblProd[[#This Row],[Ore]],COUNTA(TblProd[[#Headers],[Lumber]]:TblProd[[#This Row],[Lumber]]),MATCH(Military!$AQ$2,TblProd[[#Headers],[Lumber]:[Ore]],0))</f>
        <v>0</v>
      </c>
      <c r="AR4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69" t="n">
        <f aca="false">TblMili[[#This Row],[Train Unit 1]]*TblMili[[#This Row],[OP Ore]]+TblMili[[#This Row],[Train Unit 2]]*TblMili[[#This Row],[DP Ore]]+TblMili[[#This Row],[Train Unit 3]]*TblMili[[#This Row],[E1 Ore]]+TblMili[[#This Row],[Train Unit 4]]*TblMili[[#This Row],[E2 Ore]]</f>
        <v>0</v>
      </c>
      <c r="AT44" s="132" t="n">
        <f aca="false">TblMili[[#This Row],[Hour]]</f>
        <v>41</v>
      </c>
      <c r="AU44" s="144" t="n">
        <f aca="false">TblMili[[#This Row],[Time]]</f>
        <v>45431.4166666667</v>
      </c>
      <c r="AV44" s="69" t="n">
        <f aca="false">TblMili[[#This Row],[Draftees]]</f>
        <v>3</v>
      </c>
      <c r="AW44" s="182"/>
      <c r="AX44" s="182"/>
      <c r="AY44" s="182"/>
      <c r="AZ44" s="182"/>
      <c r="BA44" s="182"/>
      <c r="BB44" s="182"/>
      <c r="BC44" s="182"/>
      <c r="BD44" s="182"/>
      <c r="BE44" s="182"/>
      <c r="BF44" s="132"/>
      <c r="BG44" s="150" t="n">
        <f aca="false">TblConstr[[#This Row],[Tot WG]]/TblConstr[[#This Row],[Land]]</f>
        <v>0</v>
      </c>
      <c r="BH44" s="150" t="n">
        <f aca="false">TblConstr[[#This Row],[Tot Hav]]/TblConstr[[#This Row],[Land]]</f>
        <v>0</v>
      </c>
      <c r="BI44" s="69" t="n">
        <f aca="false">ROUNDUP((1-MIN(TblMili[[#This Row],[Smithies]]*smithy_bonus,smithy_bonus_cap) + tech_3_5*TblTech[[#This Row],[3-5]] + tech_5_3*TblTech[[#This Row],[5-3]] + tech_5_5*TblTech[[#This Row],[5-5]])*spec_op_plat,0)</f>
        <v>300</v>
      </c>
      <c r="BJ44" s="69" t="n">
        <f aca="false">ROUNDUP(IF(race="Gnome",1,(1-MIN(TblMili[[#This Row],[Smithies]]*smithy_bonus,smithy_bonus_cap) + tech_3_5*TblTech[[#This Row],[3-5]] + tech_5_3*TblTech[[#This Row],[5-3]] + tech_5_5*TblTech[[#This Row],[5-5]]))*spec_op_ore,0)</f>
        <v>0</v>
      </c>
      <c r="BK44" s="69" t="n">
        <f aca="false">ROUNDUP((1-MIN(TblMili[[#This Row],[Smithies]]*smithy_bonus,smithy_bonus_cap) + tech_3_5*TblTech[[#This Row],[3-5]] + tech_5_3*TblTech[[#This Row],[5-3]] + tech_5_5*TblTech[[#This Row],[5-5]])*spec_dp_plat,0)</f>
        <v>300</v>
      </c>
      <c r="BL44" s="69" t="n">
        <f aca="false">ROUNDUP(IF(race="Gnome",1,(1-MIN(TblMili[[#This Row],[Smithies]]*smithy_bonus,smithy_bonus_cap) + tech_3_5*TblTech[[#This Row],[3-5]] + tech_5_3*TblTech[[#This Row],[5-3]] + tech_5_5*TblTech[[#This Row],[5-5]]))*spec_dp_ore,0)</f>
        <v>0</v>
      </c>
      <c r="BM44" s="69" t="n">
        <f aca="false">ROUNDUP((1-MIN(TblMili[[#This Row],[Smithies]]*smithy_bonus,smithy_bonus_cap) + tech_3_5*TblTech[[#This Row],[3-5]] + tech_5_3*TblTech[[#This Row],[5-3]] + tech_5_5*TblTech[[#This Row],[5-5]])*elite1_plat,0)</f>
        <v>925</v>
      </c>
      <c r="BN44" s="69" t="n">
        <f aca="false">ROUNDUP(IF(race="Gnome",1,(1-MIN(TblMili[[#This Row],[Smithies]]*smithy_bonus,smithy_bonus_cap) + tech_3_5*TblTech[[#This Row],[3-5]] + tech_5_3*TblTech[[#This Row],[5-3]] + tech_5_5*TblTech[[#This Row],[5-5]]))*elite1_ore,0)</f>
        <v>0</v>
      </c>
      <c r="BO44" s="69" t="n">
        <f aca="false">ROUNDUP((1-MIN(TblMili[[#This Row],[Smithies]]*smithy_bonus,smithy_bonus_cap) + tech_3_5*TblTech[[#This Row],[3-5]] + tech_5_3*TblTech[[#This Row],[5-3]] + tech_5_5*TblTech[[#This Row],[5-5]])*elite2_plat,0)</f>
        <v>950</v>
      </c>
      <c r="BP44" s="69" t="n">
        <f aca="false">ROUNDUP(IF(race="Gnome",1,(1-MIN(TblMili[[#This Row],[Smithies]]*smithy_bonus,smithy_bonus_cap) + tech_3_5*TblTech[[#This Row],[3-5]] + tech_5_3*TblTech[[#This Row],[5-3]] + tech_5_5*TblTech[[#This Row],[5-5]]))*elite2_ore,0)</f>
        <v>0</v>
      </c>
      <c r="BQ44" s="69" t="n">
        <f aca="false">ROUNDUP((1-MIN(ROUND(fh_spy_cost_red*TblMili[[#This Row],[FH''s]],4),fh_spy_cost_cap)+ tech_1_9*TblTech[[#This Row],[1-9]] + tech_9_1*TblTech[[#This Row],[9-1]])*spy_plat,0)</f>
        <v>500</v>
      </c>
      <c r="BR44" s="69" t="n">
        <f aca="false">ROUNDUP((1-MIN(ROUND(fh_spy_cost_red*TblMili[[#This Row],[FH''s]],4),fh_spy_cost_cap)+ tech_1_9*TblTech[[#This Row],[1-9]] + tech_9_1*TblTech[[#This Row],[9-1]])*archspy_plat,0)</f>
        <v>1000</v>
      </c>
      <c r="BS44" s="69" t="n">
        <f aca="false">ROUNDUP((1-MIN(ROUND(wg_wiz_cost_bonus*TblMili[[#This Row],[WG''s]],4),wg_wiz_cost_cap) + tech_1_9_2*TblTech[[#This Row],[1-9]] + tech_9_1_2*TblTech[[#This Row],[9-1]])*wizard_plat,0)</f>
        <v>500</v>
      </c>
      <c r="BT44" s="69" t="n">
        <f aca="false">ROUNDUP((1-MIN(ROUND(wg_wiz_cost_bonus*TblMili[[#This Row],[WG''s]],4),wg_wiz_cost_cap) + tech_1_9_2*TblTech[[#This Row],[1-9]] + tech_9_1_2*TblTech[[#This Row],[9-1]])*archmage_plat,0)</f>
        <v>1000</v>
      </c>
      <c r="BU44" s="132"/>
      <c r="BV44" s="150" t="e">
        <f aca="false">TblConstr[[#This Row],[Homeland]]/TblConstr[[#This Row],[Land]]</f>
        <v>#VALUE!</v>
      </c>
      <c r="BW44" s="150" t="n">
        <f aca="false">TblMili[[#This Row],[WG''s]]</f>
        <v>0</v>
      </c>
      <c r="BX44" s="288" t="e">
        <f aca="false">IF(mystic_cap="none",TblMili[[#This Row],[Hill]]/mystic_bonus,MIN(mystic_cap,TblMili[[#This Row],[Hill]]/mystic_bonus))</f>
        <v>#VALUE!</v>
      </c>
      <c r="BY44" s="288" t="e">
        <f aca="false">IF(druid_op_cap="none",TblMili[[#This Row],[Hill]]/druid_op_bonus,MIN(druid_op_cap,TblMili[[#This Row],[Hill]]/druid_op_bonus))</f>
        <v>#VALUE!</v>
      </c>
      <c r="BZ44" s="288" t="e">
        <f aca="false">IF(druid_dp_cap="none",TblMili[[#This Row],[Hill]]/druid_dp_bonus,MIN(druid_dp_cap,TblMili[[#This Row],[Hill]]/druid_dp_bonus))</f>
        <v>#VALUE!</v>
      </c>
      <c r="CA44" s="288" t="e">
        <f aca="false">MIN(dryad_cap,TblMili[[#This Row],[Hill]]/dryad_bonus)</f>
        <v>#VALUE!</v>
      </c>
      <c r="CB44" s="288" t="e">
        <f aca="false">MIN(rocka_cap,TblMili[[#This Row],[Hill]]/rocka_bonus)</f>
        <v>#VALUE!</v>
      </c>
      <c r="CC44" s="288" t="n">
        <f aca="false">MIN(adept_op_cap,TblMili[[#This Row],[WG]]/adept_op_bonus)</f>
        <v>0</v>
      </c>
      <c r="CD44" s="288" t="n">
        <f aca="false">MIN(adept_dp_cap,TblMili[[#This Row],[WG]]/adept_dp_bonus)</f>
        <v>0</v>
      </c>
      <c r="CE44" s="69" t="n">
        <f aca="false">MIN(TblMili[[#This Row],[Unit 3]],TblMili[[#This Row],[Unit 2]])*2</f>
        <v>0</v>
      </c>
      <c r="CF44" s="69" t="n">
        <f aca="false">MIN(TblMili[[#This Row],[Unit 1]],TblMili[[#This Row],[Unit 4]])*2</f>
        <v>0</v>
      </c>
      <c r="CG44" s="288" t="e">
        <f aca="false">MIN(frost_mage_cap,TblMili[[#This Row],[Hill]]/frost_mage_bonus)</f>
        <v>#VALUE!</v>
      </c>
      <c r="CH44" s="151" t="n">
        <f aca="false">MIN(ice_elem_cap,TblMili[[#This Row],[Raw (2)]]*ice_elem_bonus)</f>
        <v>0</v>
      </c>
      <c r="CI44" s="288" t="n">
        <f aca="false">MIN(bone_breaker_cap,250/bone_breaker_bonus)</f>
        <v>0.833333333333333</v>
      </c>
      <c r="CJ44" s="288" t="e">
        <f aca="false">MIN(nox_nightshade_cap,TblConstr[[#This Row],[Homeland]]/TblConstr[[#This Row],[Land]]/nox_nightshade_swamp_bonus)</f>
        <v>#VALUE!</v>
      </c>
      <c r="CK44" s="289"/>
      <c r="CL44" s="289"/>
      <c r="CM44" s="289"/>
      <c r="CN44" s="288" t="e">
        <f aca="false">MIN(6,TblMili[[#This Row],[Mystic]]+Races!$F$19)*1.8 +  IF(TblMili[[#This Row],[Mystic]]+Races!$F$19&gt;6,(TblMili[[#This Row],[Mystic]]+Races!$F$19-6)*0.2,0) - Races!$I$19</f>
        <v>#VALUE!</v>
      </c>
      <c r="CO44" s="288" t="e">
        <f aca="false">1.8 * MIN(MAX(TblMili[[#This Row],[Druid (op)]]+Races!$E$20,TblMili[[#This Row],[Druid (dp)]]+Races!$F$20),6)  +  0.45 * MIN(MIN(TblMili[[#This Row],[Druid (op)]]+Races!$E$20,TblMili[[#This Row],[Druid (dp)]]+Races!$F$20),6)  +  0.2 * ( MAX(TblMili[[#This Row],[Druid (op)]]+Races!$E$20-6,0) + MAX(TblMili[[#This Row],[Druid (dp)]]+Races!$F$20-6,0) )  -  Races!$I$20</f>
        <v>#VALUE!</v>
      </c>
      <c r="CP44" s="69" t="e">
        <f aca="false">TblMili[[#This Row],[Mystic bonus]]*TblMili[[#This Row],[Unit 3]]+TblMili[[#This Row],[Druid bonus]]*TblMili[[#This Row],[Unit 4]]</f>
        <v>#VALUE!</v>
      </c>
      <c r="CQ44" s="148" t="e">
        <f aca="false">MIN(6,TblMili[[#This Row],[Dryad]]+Races!$F$35)*1.8 +  IF(TblMili[[#This Row],[Dryad]]+Races!$F$35&gt;6,(TblMili[[#This Row],[Dryad]]+Races!$F$35-6)*0.2,0) - Races!$I$19</f>
        <v>#VALUE!</v>
      </c>
      <c r="CR44" s="69" t="e">
        <f aca="false">sylvan*(TblMili[[#This Row],[Mystic bonus]]*TblMili[[#This Row],[Unit 3]])</f>
        <v>#VALUE!</v>
      </c>
      <c r="CS44" s="148" t="e">
        <f aca="false">1.8 * MIN(MAX(Races!$E$27,TblMili[[#This Row],[Rockapult]]+Races!$F$27),6)  +  0.45 * MIN(MIN(Races!$E$27,TblMili[[#This Row],[Rockapult]]+Races!$F$27),6)  +  0.2 * ( MAX(Races!$E$27-6,0) + MAX(TblMili[[#This Row],[Rockapult]]+Races!$F$27-6,0) )  -  Races!$I$20</f>
        <v>#VALUE!</v>
      </c>
      <c r="CT44" s="69" t="e">
        <f aca="false">gnome*(TblMili[[#This Row],[Rockapult bonus]]*TblMili[[#This Row],[Unit 3]])</f>
        <v>#VALUE!</v>
      </c>
      <c r="CU44" s="148" t="n">
        <f aca="false">1.8 * MIN(MAX(TblMili[[#This Row],[Spellblade]]+Races!$E$47,TblMili[[#This Row],[Adept-DP]]+Races!$F$47),6)  +  0.45 * MIN(MIN(TblMili[[#This Row],[Spellblade]]+Races!$E$47,TblMili[[#This Row],[Adept-DP]]+Races!$F$47),6)  +  0.2 * ( MAX(TblMili[[#This Row],[Spellblade]]+Races!$E$47-6,0) + MAX(TblMili[[#This Row],[Adept-DP]]+Races!$F$47-6,0) )  -  Races!$I$47</f>
        <v>0</v>
      </c>
      <c r="CV44" s="69" t="n">
        <f aca="false">dark_elf*(TblMili[[#This Row],[Adept bonus]]*TblMili[[#This Row],[Unit 3]])</f>
        <v>0</v>
      </c>
      <c r="CW44" s="148" t="e">
        <f aca="false">1.8 * MIN(MAX(TblMili[[#This Row],[Frost Mage]]+Races!$F$71,Races!$E$71),6)  +  0.45 * MIN(MIN(TblMili[[#This Row],[Frost Mage]]+Races!$F$71,Races!$E$71),6)  +  0.2 * ( MAX(TblMili[[#This Row],[Frost Mage]]+Races!$F$71-6,0) + MAX(Races!$E$71-6,0) )  -  Races!$I$71</f>
        <v>#VALUE!</v>
      </c>
      <c r="CX44" s="148" t="n">
        <f aca="false">1.8 * MIN(MAX(TblMili[[#This Row],[Ice Elemental]]+Races!$E$71,Races!$F$71),6)  +  0.45 * MIN(MIN(TblMili[[#This Row],[Ice Elemental]]+Races!$E$71,Races!$F$71),6)  +  0.2 * ( MAX(TblMili[[#This Row],[Ice Elemental]]+Races!$E$71-6,0) + MAX(Races!$F$71-6,0) )  -  Races!$I$71</f>
        <v>0</v>
      </c>
      <c r="CY44" s="69" t="e">
        <f aca="false">TblMili[[#This Row],[Frost Mage bonus]]*TblMili[[#This Row],[Unit 3]]+TblMili[[#This Row],[Ice Elemental bonus]]*TblMili[[#This Row],[Unit 4]]</f>
        <v>#VALUE!</v>
      </c>
      <c r="CZ44" s="290"/>
      <c r="DA44" s="109" t="n">
        <f aca="false">MIN(SUM(TblConstr[[#This Row],[Plain]:[Water]])/TblMili[[#This Row],[Land]]/favorable_terrain_bonus/100,favorable_terrain_max)</f>
        <v>0</v>
      </c>
      <c r="DB44" s="290"/>
      <c r="DC4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4" s="132"/>
      <c r="DE44" s="291" t="n">
        <f aca="false">(TblMili[[#This Row],[Wizards]]+2*TblMili[[#This Row],[Archmages]])/TblConstr[[#This Row],[Land]]</f>
        <v>0</v>
      </c>
      <c r="DF44" s="291" t="n">
        <f aca="false">TblMili[[#This Row],[Raw (2)]]*(1+race_wizard_strength+IF(TblMili[[#This Row],[Hour]]&gt;72,tech_magical_weaponry_wiz*TblTech[[#This Row],[3-5]],0))</f>
        <v>0</v>
      </c>
    </row>
    <row r="45" customFormat="false" ht="12.75" hidden="false" customHeight="false" outlineLevel="0" collapsed="false">
      <c r="A45" s="128" t="n">
        <f aca="false">TblRezone[[#This Row],[Hour]]</f>
        <v>42</v>
      </c>
      <c r="B45" s="282" t="n">
        <f aca="false">SUM(TblMili[[#This Row],[Unit 1]:[Archmages]])+SUM(OFFSET(TblMili[[#This Row],[Train Unit 1]],-8,0):TblMili[[#This Row],[Train Unit 2]]) + SUM(OFFSET(TblMili[[#This Row],[Train Unit 3]],-11,0):TblMili[[#This Row],[Train AM]]) + TblMili[[#This Row],[Draftees]]</f>
        <v>1</v>
      </c>
      <c r="C45" s="150" t="n">
        <f aca="false">TblPop[[#This Row],[Military%]]</f>
        <v>0.000135135135135135</v>
      </c>
      <c r="D45" s="132"/>
      <c r="E45" s="151" t="n">
        <f aca="false">OFFSET(TblMili[[#This Row],[Unit 1]],-1,0) + OFFSET(TblMili[[#This Row],[Train Unit 1]],-9,0) - TblMili[[#This Row],[Release Unit 1]]</f>
        <v>0</v>
      </c>
      <c r="F45" s="151" t="n">
        <f aca="false">OFFSET(TblMili[[#This Row],[Unit 2]],-1,0) + OFFSET(TblMili[[#This Row],[Train Unit 2]],-9,0)-TblMili[[#This Row],[Release Unit 2]]</f>
        <v>0</v>
      </c>
      <c r="G45" s="151" t="n">
        <f aca="false">OFFSET(TblMili[[#This Row],[Unit 3]],-1,0) + OFFSET(TblMili[[#This Row],[Train Unit 3]],-12,0)-TblMili[[#This Row],[Release Unit 3]]</f>
        <v>0</v>
      </c>
      <c r="H45" s="151" t="n">
        <f aca="false">OFFSET(TblMili[[#This Row],[Unit 4]],-1,0) + OFFSET(TblMili[[#This Row],[Train Unit 4]],-12,0)-TblMili[[#This Row],[Release Unit 4]]</f>
        <v>0</v>
      </c>
      <c r="I45" s="151" t="n">
        <f aca="false">OFFSET(TblMili[[#This Row],[Spies]],-1,0) + OFFSET(TblMili[[#This Row],[Train Spies]],-12,0) - TblMili[[#This Row],[Release Spies]]-TblMili[[#This Row],[Train AS]]</f>
        <v>0</v>
      </c>
      <c r="J45" s="151" t="n">
        <f aca="false">OFFSET(TblMili[[#This Row],[Archspies]],-1,0) + OFFSET(TblMili[[#This Row],[Train AS]],-12,0) - TblMili[[#This Row],[Release AS]]</f>
        <v>0</v>
      </c>
      <c r="K45" s="151" t="n">
        <f aca="false">OFFSET(TblMili[[#This Row],[Wizards]],-1,0) + OFFSET(TblMili[[#This Row],[Train Wiz]],-12,0) - TblMili[[#This Row],[Release Wizards]]-TblMili[[#This Row],[Train AM]]</f>
        <v>0</v>
      </c>
      <c r="L45" s="151" t="n">
        <f aca="false">OFFSET(TblMili[[#This Row],[Archmages]],-1,0) + OFFSET(TblMili[[#This Row],[Train AM]],-12,0) - TblMili[[#This Row],[Release AM]]</f>
        <v>0</v>
      </c>
      <c r="M45" s="132"/>
      <c r="N45" s="69" t="e">
        <f aca="false">TblProd[[#This Row],[Networth]]</f>
        <v>#VALUE!</v>
      </c>
      <c r="O45" s="132"/>
      <c r="P4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5" s="285" t="e">
        <f aca="false">TblMili[[#This Row],[Raw]]*(1+TblMili[[#This Row],[Mods_Off]])</f>
        <v>#VALUE!</v>
      </c>
      <c r="S4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5" s="285" t="e">
        <f aca="false">TblMili[[#This Row],[Non Draft]]+TblMili[[#This Row],[Draftees]]</f>
        <v>#VALUE!</v>
      </c>
      <c r="U45" s="286" t="n">
        <f aca="false">race_defense + TblImps[[#This Row],[Walls]] + ROUND( MIN(gt_bonus*TblConstr[[#This Row],[Tot GT]]/TblConstr[[#This Row],[Land]],gt_bonus_cap), 4) + IF(TblMagic[[#This Row],[Active Howling]]&gt;0,howling_dp_bonus,IF(TblMagic[[#This Row],[Active Ares Call]]&gt;0,ares_call_bonus))</f>
        <v>0</v>
      </c>
      <c r="V45" s="274" t="e">
        <f aca="false">TblMili[[#This Row],[Non Draft]] * (1 + TblMili[[#This Row],[Mods_Def]])</f>
        <v>#VALUE!</v>
      </c>
      <c r="W45" s="285" t="e">
        <f aca="false">TblMili[[#This Row],[Draft]] * (1 + TblMili[[#This Row],[Mods_Def]])</f>
        <v>#VALUE!</v>
      </c>
      <c r="X45" s="285" t="n">
        <f aca="false">TblConstr[[#This Row],[Land]]</f>
        <v>510</v>
      </c>
      <c r="Y45" s="287"/>
      <c r="Z45" s="109" t="n">
        <f aca="false">IF(TblMili[[#This Row],[Set]]&lt;&gt;"",TblMili[[#This Row],[Set]],OFFSET(TblMili[[#This Row],[Draftrate]],-1,0))</f>
        <v>0.9</v>
      </c>
      <c r="AA45" s="69" t="n">
        <f aca="false">OFFSET(TblMili[[#This Row],[Draftees]],-1,0)+OFFSET(TblPop[[#This Row],[Draft Growth]],-1,0) - SUM(TblMili[[#This Row],[Train Unit 1]:[Train Spies]],TblMili[[#This Row],[Train Wiz]]) - TblMili[[#This Row],[Release Draft]] + SUM(TblMili[[#This Row],[Release Unit 1]:[Release AM]]) - TblExplore[[#This Row],[Draftees (2)]]</f>
        <v>1</v>
      </c>
      <c r="AB45" s="146"/>
      <c r="AC45" s="130" t="n">
        <f aca="false">(TblConstr[[#This Row],[Tot Smi]]+TblConstr[[#This Row],[Dest Smi]])/(TblConstr[[#This Row],[Land]]-TblExplore[[#This Row],[Land Bonus]]*20)</f>
        <v>0</v>
      </c>
      <c r="AD45" s="128"/>
      <c r="AE45" s="282" t="n">
        <f aca="false">TblMili[[#This Row],[Hour]]</f>
        <v>42</v>
      </c>
      <c r="AF45" s="129" t="n">
        <f aca="false">TblExplore[[#This Row],[Time]]</f>
        <v>45431.4583333333</v>
      </c>
      <c r="AG45" s="182"/>
      <c r="AH45" s="182"/>
      <c r="AI45" s="182"/>
      <c r="AJ45" s="182"/>
      <c r="AK45" s="182"/>
      <c r="AL45" s="182"/>
      <c r="AM45" s="182"/>
      <c r="AN45" s="182"/>
      <c r="AO45" s="132"/>
      <c r="AP45" s="69" t="n">
        <f aca="false">TblProd[[#This Row],[Platinum]]</f>
        <v>60267</v>
      </c>
      <c r="AQ45" s="69" t="n">
        <f aca="false">INDEX(TblProd[[#Headers],[Lumber]]:TblProd[[#This Row],[Ore]],COUNTA(TblProd[[#Headers],[Lumber]]:TblProd[[#This Row],[Lumber]]),MATCH(Military!$AQ$2,TblProd[[#Headers],[Lumber]:[Ore]],0))</f>
        <v>0</v>
      </c>
      <c r="AR4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69" t="n">
        <f aca="false">TblMili[[#This Row],[Train Unit 1]]*TblMili[[#This Row],[OP Ore]]+TblMili[[#This Row],[Train Unit 2]]*TblMili[[#This Row],[DP Ore]]+TblMili[[#This Row],[Train Unit 3]]*TblMili[[#This Row],[E1 Ore]]+TblMili[[#This Row],[Train Unit 4]]*TblMili[[#This Row],[E2 Ore]]</f>
        <v>0</v>
      </c>
      <c r="AT45" s="132" t="n">
        <f aca="false">TblMili[[#This Row],[Hour]]</f>
        <v>42</v>
      </c>
      <c r="AU45" s="144" t="n">
        <f aca="false">TblMili[[#This Row],[Time]]</f>
        <v>45431.4583333333</v>
      </c>
      <c r="AV45" s="69" t="n">
        <f aca="false">TblMili[[#This Row],[Draftees]]</f>
        <v>1</v>
      </c>
      <c r="AW45" s="182"/>
      <c r="AX45" s="182"/>
      <c r="AY45" s="182"/>
      <c r="AZ45" s="182"/>
      <c r="BA45" s="182"/>
      <c r="BB45" s="182"/>
      <c r="BC45" s="182"/>
      <c r="BD45" s="182"/>
      <c r="BE45" s="182"/>
      <c r="BF45" s="132"/>
      <c r="BG45" s="150" t="n">
        <f aca="false">TblConstr[[#This Row],[Tot WG]]/TblConstr[[#This Row],[Land]]</f>
        <v>0</v>
      </c>
      <c r="BH45" s="150" t="n">
        <f aca="false">TblConstr[[#This Row],[Tot Hav]]/TblConstr[[#This Row],[Land]]</f>
        <v>0</v>
      </c>
      <c r="BI45" s="69" t="n">
        <f aca="false">ROUNDUP((1-MIN(TblMili[[#This Row],[Smithies]]*smithy_bonus,smithy_bonus_cap) + tech_3_5*TblTech[[#This Row],[3-5]] + tech_5_3*TblTech[[#This Row],[5-3]] + tech_5_5*TblTech[[#This Row],[5-5]])*spec_op_plat,0)</f>
        <v>300</v>
      </c>
      <c r="BJ45" s="69" t="n">
        <f aca="false">ROUNDUP(IF(race="Gnome",1,(1-MIN(TblMili[[#This Row],[Smithies]]*smithy_bonus,smithy_bonus_cap) + tech_3_5*TblTech[[#This Row],[3-5]] + tech_5_3*TblTech[[#This Row],[5-3]] + tech_5_5*TblTech[[#This Row],[5-5]]))*spec_op_ore,0)</f>
        <v>0</v>
      </c>
      <c r="BK45" s="69" t="n">
        <f aca="false">ROUNDUP((1-MIN(TblMili[[#This Row],[Smithies]]*smithy_bonus,smithy_bonus_cap) + tech_3_5*TblTech[[#This Row],[3-5]] + tech_5_3*TblTech[[#This Row],[5-3]] + tech_5_5*TblTech[[#This Row],[5-5]])*spec_dp_plat,0)</f>
        <v>300</v>
      </c>
      <c r="BL45" s="69" t="n">
        <f aca="false">ROUNDUP(IF(race="Gnome",1,(1-MIN(TblMili[[#This Row],[Smithies]]*smithy_bonus,smithy_bonus_cap) + tech_3_5*TblTech[[#This Row],[3-5]] + tech_5_3*TblTech[[#This Row],[5-3]] + tech_5_5*TblTech[[#This Row],[5-5]]))*spec_dp_ore,0)</f>
        <v>0</v>
      </c>
      <c r="BM45" s="69" t="n">
        <f aca="false">ROUNDUP((1-MIN(TblMili[[#This Row],[Smithies]]*smithy_bonus,smithy_bonus_cap) + tech_3_5*TblTech[[#This Row],[3-5]] + tech_5_3*TblTech[[#This Row],[5-3]] + tech_5_5*TblTech[[#This Row],[5-5]])*elite1_plat,0)</f>
        <v>925</v>
      </c>
      <c r="BN45" s="69" t="n">
        <f aca="false">ROUNDUP(IF(race="Gnome",1,(1-MIN(TblMili[[#This Row],[Smithies]]*smithy_bonus,smithy_bonus_cap) + tech_3_5*TblTech[[#This Row],[3-5]] + tech_5_3*TblTech[[#This Row],[5-3]] + tech_5_5*TblTech[[#This Row],[5-5]]))*elite1_ore,0)</f>
        <v>0</v>
      </c>
      <c r="BO45" s="69" t="n">
        <f aca="false">ROUNDUP((1-MIN(TblMili[[#This Row],[Smithies]]*smithy_bonus,smithy_bonus_cap) + tech_3_5*TblTech[[#This Row],[3-5]] + tech_5_3*TblTech[[#This Row],[5-3]] + tech_5_5*TblTech[[#This Row],[5-5]])*elite2_plat,0)</f>
        <v>950</v>
      </c>
      <c r="BP45" s="69" t="n">
        <f aca="false">ROUNDUP(IF(race="Gnome",1,(1-MIN(TblMili[[#This Row],[Smithies]]*smithy_bonus,smithy_bonus_cap) + tech_3_5*TblTech[[#This Row],[3-5]] + tech_5_3*TblTech[[#This Row],[5-3]] + tech_5_5*TblTech[[#This Row],[5-5]]))*elite2_ore,0)</f>
        <v>0</v>
      </c>
      <c r="BQ45" s="69" t="n">
        <f aca="false">ROUNDUP((1-MIN(ROUND(fh_spy_cost_red*TblMili[[#This Row],[FH''s]],4),fh_spy_cost_cap)+ tech_1_9*TblTech[[#This Row],[1-9]] + tech_9_1*TblTech[[#This Row],[9-1]])*spy_plat,0)</f>
        <v>500</v>
      </c>
      <c r="BR45" s="69" t="n">
        <f aca="false">ROUNDUP((1-MIN(ROUND(fh_spy_cost_red*TblMili[[#This Row],[FH''s]],4),fh_spy_cost_cap)+ tech_1_9*TblTech[[#This Row],[1-9]] + tech_9_1*TblTech[[#This Row],[9-1]])*archspy_plat,0)</f>
        <v>1000</v>
      </c>
      <c r="BS45" s="69" t="n">
        <f aca="false">ROUNDUP((1-MIN(ROUND(wg_wiz_cost_bonus*TblMili[[#This Row],[WG''s]],4),wg_wiz_cost_cap) + tech_1_9_2*TblTech[[#This Row],[1-9]] + tech_9_1_2*TblTech[[#This Row],[9-1]])*wizard_plat,0)</f>
        <v>500</v>
      </c>
      <c r="BT45" s="69" t="n">
        <f aca="false">ROUNDUP((1-MIN(ROUND(wg_wiz_cost_bonus*TblMili[[#This Row],[WG''s]],4),wg_wiz_cost_cap) + tech_1_9_2*TblTech[[#This Row],[1-9]] + tech_9_1_2*TblTech[[#This Row],[9-1]])*archmage_plat,0)</f>
        <v>1000</v>
      </c>
      <c r="BU45" s="132"/>
      <c r="BV45" s="150" t="e">
        <f aca="false">TblConstr[[#This Row],[Homeland]]/TblConstr[[#This Row],[Land]]</f>
        <v>#VALUE!</v>
      </c>
      <c r="BW45" s="150" t="n">
        <f aca="false">TblMili[[#This Row],[WG''s]]</f>
        <v>0</v>
      </c>
      <c r="BX45" s="288" t="e">
        <f aca="false">IF(mystic_cap="none",TblMili[[#This Row],[Hill]]/mystic_bonus,MIN(mystic_cap,TblMili[[#This Row],[Hill]]/mystic_bonus))</f>
        <v>#VALUE!</v>
      </c>
      <c r="BY45" s="288" t="e">
        <f aca="false">IF(druid_op_cap="none",TblMili[[#This Row],[Hill]]/druid_op_bonus,MIN(druid_op_cap,TblMili[[#This Row],[Hill]]/druid_op_bonus))</f>
        <v>#VALUE!</v>
      </c>
      <c r="BZ45" s="288" t="e">
        <f aca="false">IF(druid_dp_cap="none",TblMili[[#This Row],[Hill]]/druid_dp_bonus,MIN(druid_dp_cap,TblMili[[#This Row],[Hill]]/druid_dp_bonus))</f>
        <v>#VALUE!</v>
      </c>
      <c r="CA45" s="288" t="e">
        <f aca="false">MIN(dryad_cap,TblMili[[#This Row],[Hill]]/dryad_bonus)</f>
        <v>#VALUE!</v>
      </c>
      <c r="CB45" s="288" t="e">
        <f aca="false">MIN(rocka_cap,TblMili[[#This Row],[Hill]]/rocka_bonus)</f>
        <v>#VALUE!</v>
      </c>
      <c r="CC45" s="288" t="n">
        <f aca="false">MIN(adept_op_cap,TblMili[[#This Row],[WG]]/adept_op_bonus)</f>
        <v>0</v>
      </c>
      <c r="CD45" s="288" t="n">
        <f aca="false">MIN(adept_dp_cap,TblMili[[#This Row],[WG]]/adept_dp_bonus)</f>
        <v>0</v>
      </c>
      <c r="CE45" s="69" t="n">
        <f aca="false">MIN(TblMili[[#This Row],[Unit 3]],TblMili[[#This Row],[Unit 2]])*2</f>
        <v>0</v>
      </c>
      <c r="CF45" s="69" t="n">
        <f aca="false">MIN(TblMili[[#This Row],[Unit 1]],TblMili[[#This Row],[Unit 4]])*2</f>
        <v>0</v>
      </c>
      <c r="CG45" s="288" t="e">
        <f aca="false">MIN(frost_mage_cap,TblMili[[#This Row],[Hill]]/frost_mage_bonus)</f>
        <v>#VALUE!</v>
      </c>
      <c r="CH45" s="151" t="n">
        <f aca="false">MIN(ice_elem_cap,TblMili[[#This Row],[Raw (2)]]*ice_elem_bonus)</f>
        <v>0</v>
      </c>
      <c r="CI45" s="288" t="n">
        <f aca="false">MIN(bone_breaker_cap,250/bone_breaker_bonus)</f>
        <v>0.833333333333333</v>
      </c>
      <c r="CJ45" s="288" t="e">
        <f aca="false">MIN(nox_nightshade_cap,TblConstr[[#This Row],[Homeland]]/TblConstr[[#This Row],[Land]]/nox_nightshade_swamp_bonus)</f>
        <v>#VALUE!</v>
      </c>
      <c r="CK45" s="289"/>
      <c r="CL45" s="289"/>
      <c r="CM45" s="289"/>
      <c r="CN45" s="288" t="e">
        <f aca="false">MIN(6,TblMili[[#This Row],[Mystic]]+Races!$F$19)*1.8 +  IF(TblMili[[#This Row],[Mystic]]+Races!$F$19&gt;6,(TblMili[[#This Row],[Mystic]]+Races!$F$19-6)*0.2,0) - Races!$I$19</f>
        <v>#VALUE!</v>
      </c>
      <c r="CO45" s="288" t="e">
        <f aca="false">1.8 * MIN(MAX(TblMili[[#This Row],[Druid (op)]]+Races!$E$20,TblMili[[#This Row],[Druid (dp)]]+Races!$F$20),6)  +  0.45 * MIN(MIN(TblMili[[#This Row],[Druid (op)]]+Races!$E$20,TblMili[[#This Row],[Druid (dp)]]+Races!$F$20),6)  +  0.2 * ( MAX(TblMili[[#This Row],[Druid (op)]]+Races!$E$20-6,0) + MAX(TblMili[[#This Row],[Druid (dp)]]+Races!$F$20-6,0) )  -  Races!$I$20</f>
        <v>#VALUE!</v>
      </c>
      <c r="CP45" s="69" t="e">
        <f aca="false">TblMili[[#This Row],[Mystic bonus]]*TblMili[[#This Row],[Unit 3]]+TblMili[[#This Row],[Druid bonus]]*TblMili[[#This Row],[Unit 4]]</f>
        <v>#VALUE!</v>
      </c>
      <c r="CQ45" s="148" t="e">
        <f aca="false">MIN(6,TblMili[[#This Row],[Dryad]]+Races!$F$35)*1.8 +  IF(TblMili[[#This Row],[Dryad]]+Races!$F$35&gt;6,(TblMili[[#This Row],[Dryad]]+Races!$F$35-6)*0.2,0) - Races!$I$19</f>
        <v>#VALUE!</v>
      </c>
      <c r="CR45" s="69" t="e">
        <f aca="false">sylvan*(TblMili[[#This Row],[Mystic bonus]]*TblMili[[#This Row],[Unit 3]])</f>
        <v>#VALUE!</v>
      </c>
      <c r="CS45" s="148" t="e">
        <f aca="false">1.8 * MIN(MAX(Races!$E$27,TblMili[[#This Row],[Rockapult]]+Races!$F$27),6)  +  0.45 * MIN(MIN(Races!$E$27,TblMili[[#This Row],[Rockapult]]+Races!$F$27),6)  +  0.2 * ( MAX(Races!$E$27-6,0) + MAX(TblMili[[#This Row],[Rockapult]]+Races!$F$27-6,0) )  -  Races!$I$20</f>
        <v>#VALUE!</v>
      </c>
      <c r="CT45" s="69" t="e">
        <f aca="false">gnome*(TblMili[[#This Row],[Rockapult bonus]]*TblMili[[#This Row],[Unit 3]])</f>
        <v>#VALUE!</v>
      </c>
      <c r="CU45" s="148" t="n">
        <f aca="false">1.8 * MIN(MAX(TblMili[[#This Row],[Spellblade]]+Races!$E$47,TblMili[[#This Row],[Adept-DP]]+Races!$F$47),6)  +  0.45 * MIN(MIN(TblMili[[#This Row],[Spellblade]]+Races!$E$47,TblMili[[#This Row],[Adept-DP]]+Races!$F$47),6)  +  0.2 * ( MAX(TblMili[[#This Row],[Spellblade]]+Races!$E$47-6,0) + MAX(TblMili[[#This Row],[Adept-DP]]+Races!$F$47-6,0) )  -  Races!$I$47</f>
        <v>0</v>
      </c>
      <c r="CV45" s="69" t="n">
        <f aca="false">dark_elf*(TblMili[[#This Row],[Adept bonus]]*TblMili[[#This Row],[Unit 3]])</f>
        <v>0</v>
      </c>
      <c r="CW45" s="148" t="e">
        <f aca="false">1.8 * MIN(MAX(TblMili[[#This Row],[Frost Mage]]+Races!$F$71,Races!$E$71),6)  +  0.45 * MIN(MIN(TblMili[[#This Row],[Frost Mage]]+Races!$F$71,Races!$E$71),6)  +  0.2 * ( MAX(TblMili[[#This Row],[Frost Mage]]+Races!$F$71-6,0) + MAX(Races!$E$71-6,0) )  -  Races!$I$71</f>
        <v>#VALUE!</v>
      </c>
      <c r="CX45" s="148" t="n">
        <f aca="false">1.8 * MIN(MAX(TblMili[[#This Row],[Ice Elemental]]+Races!$E$71,Races!$F$71),6)  +  0.45 * MIN(MIN(TblMili[[#This Row],[Ice Elemental]]+Races!$E$71,Races!$F$71),6)  +  0.2 * ( MAX(TblMili[[#This Row],[Ice Elemental]]+Races!$E$71-6,0) + MAX(Races!$F$71-6,0) )  -  Races!$I$71</f>
        <v>0</v>
      </c>
      <c r="CY45" s="69" t="e">
        <f aca="false">TblMili[[#This Row],[Frost Mage bonus]]*TblMili[[#This Row],[Unit 3]]+TblMili[[#This Row],[Ice Elemental bonus]]*TblMili[[#This Row],[Unit 4]]</f>
        <v>#VALUE!</v>
      </c>
      <c r="CZ45" s="290"/>
      <c r="DA45" s="109" t="n">
        <f aca="false">MIN(SUM(TblConstr[[#This Row],[Plain]:[Water]])/TblMili[[#This Row],[Land]]/favorable_terrain_bonus/100,favorable_terrain_max)</f>
        <v>0</v>
      </c>
      <c r="DB45" s="290"/>
      <c r="DC4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5" s="132"/>
      <c r="DE45" s="291" t="n">
        <f aca="false">(TblMili[[#This Row],[Wizards]]+2*TblMili[[#This Row],[Archmages]])/TblConstr[[#This Row],[Land]]</f>
        <v>0</v>
      </c>
      <c r="DF45" s="291" t="n">
        <f aca="false">TblMili[[#This Row],[Raw (2)]]*(1+race_wizard_strength+IF(TblMili[[#This Row],[Hour]]&gt;72,tech_magical_weaponry_wiz*TblTech[[#This Row],[3-5]],0))</f>
        <v>0</v>
      </c>
    </row>
    <row r="46" customFormat="false" ht="12.75" hidden="false" customHeight="false" outlineLevel="0" collapsed="false">
      <c r="A46" s="128" t="n">
        <f aca="false">TblRezone[[#This Row],[Hour]]</f>
        <v>43</v>
      </c>
      <c r="B46" s="282" t="n">
        <f aca="false">SUM(TblMili[[#This Row],[Unit 1]:[Archmages]])+SUM(OFFSET(TblMili[[#This Row],[Train Unit 1]],-8,0):TblMili[[#This Row],[Train Unit 2]]) + SUM(OFFSET(TblMili[[#This Row],[Train Unit 3]],-11,0):TblMili[[#This Row],[Train AM]]) + TblMili[[#This Row],[Draftees]]</f>
        <v>27</v>
      </c>
      <c r="C46" s="150" t="n">
        <f aca="false">TblPop[[#This Row],[Military%]]</f>
        <v>0.00346109473144469</v>
      </c>
      <c r="D46" s="132"/>
      <c r="E46" s="151" t="n">
        <f aca="false">OFFSET(TblMili[[#This Row],[Unit 1]],-1,0) + OFFSET(TblMili[[#This Row],[Train Unit 1]],-9,0) - TblMili[[#This Row],[Release Unit 1]]</f>
        <v>0</v>
      </c>
      <c r="F46" s="151" t="n">
        <f aca="false">OFFSET(TblMili[[#This Row],[Unit 2]],-1,0) + OFFSET(TblMili[[#This Row],[Train Unit 2]],-9,0)-TblMili[[#This Row],[Release Unit 2]]</f>
        <v>0</v>
      </c>
      <c r="G46" s="151" t="n">
        <f aca="false">OFFSET(TblMili[[#This Row],[Unit 3]],-1,0) + OFFSET(TblMili[[#This Row],[Train Unit 3]],-12,0)-TblMili[[#This Row],[Release Unit 3]]</f>
        <v>0</v>
      </c>
      <c r="H46" s="151" t="n">
        <f aca="false">OFFSET(TblMili[[#This Row],[Unit 4]],-1,0) + OFFSET(TblMili[[#This Row],[Train Unit 4]],-12,0)-TblMili[[#This Row],[Release Unit 4]]</f>
        <v>0</v>
      </c>
      <c r="I46" s="151" t="n">
        <f aca="false">OFFSET(TblMili[[#This Row],[Spies]],-1,0) + OFFSET(TblMili[[#This Row],[Train Spies]],-12,0) - TblMili[[#This Row],[Release Spies]]-TblMili[[#This Row],[Train AS]]</f>
        <v>0</v>
      </c>
      <c r="J46" s="151" t="n">
        <f aca="false">OFFSET(TblMili[[#This Row],[Archspies]],-1,0) + OFFSET(TblMili[[#This Row],[Train AS]],-12,0) - TblMili[[#This Row],[Release AS]]</f>
        <v>0</v>
      </c>
      <c r="K46" s="151" t="n">
        <f aca="false">OFFSET(TblMili[[#This Row],[Wizards]],-1,0) + OFFSET(TblMili[[#This Row],[Train Wiz]],-12,0) - TblMili[[#This Row],[Release Wizards]]-TblMili[[#This Row],[Train AM]]</f>
        <v>0</v>
      </c>
      <c r="L46" s="151" t="n">
        <f aca="false">OFFSET(TblMili[[#This Row],[Archmages]],-1,0) + OFFSET(TblMili[[#This Row],[Train AM]],-12,0) - TblMili[[#This Row],[Release AM]]</f>
        <v>0</v>
      </c>
      <c r="M46" s="132"/>
      <c r="N46" s="69" t="e">
        <f aca="false">TblProd[[#This Row],[Networth]]</f>
        <v>#VALUE!</v>
      </c>
      <c r="O46" s="132"/>
      <c r="P4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6" s="285" t="e">
        <f aca="false">TblMili[[#This Row],[Raw]]*(1+TblMili[[#This Row],[Mods_Off]])</f>
        <v>#VALUE!</v>
      </c>
      <c r="S4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6" s="285" t="e">
        <f aca="false">TblMili[[#This Row],[Non Draft]]+TblMili[[#This Row],[Draftees]]</f>
        <v>#VALUE!</v>
      </c>
      <c r="U46" s="286" t="n">
        <f aca="false">race_defense + TblImps[[#This Row],[Walls]] + ROUND( MIN(gt_bonus*TblConstr[[#This Row],[Tot GT]]/TblConstr[[#This Row],[Land]],gt_bonus_cap), 4) + IF(TblMagic[[#This Row],[Active Howling]]&gt;0,howling_dp_bonus,IF(TblMagic[[#This Row],[Active Ares Call]]&gt;0,ares_call_bonus))</f>
        <v>0</v>
      </c>
      <c r="V46" s="274" t="e">
        <f aca="false">TblMili[[#This Row],[Non Draft]] * (1 + TblMili[[#This Row],[Mods_Def]])</f>
        <v>#VALUE!</v>
      </c>
      <c r="W46" s="285" t="e">
        <f aca="false">TblMili[[#This Row],[Draft]] * (1 + TblMili[[#This Row],[Mods_Def]])</f>
        <v>#VALUE!</v>
      </c>
      <c r="X46" s="285" t="n">
        <f aca="false">TblConstr[[#This Row],[Land]]</f>
        <v>520</v>
      </c>
      <c r="Y46" s="287"/>
      <c r="Z46" s="109" t="n">
        <f aca="false">IF(TblMili[[#This Row],[Set]]&lt;&gt;"",TblMili[[#This Row],[Set]],OFFSET(TblMili[[#This Row],[Draftrate]],-1,0))</f>
        <v>0.9</v>
      </c>
      <c r="AA46" s="69" t="n">
        <f aca="false">OFFSET(TblMili[[#This Row],[Draftees]],-1,0)+OFFSET(TblPop[[#This Row],[Draft Growth]],-1,0) - SUM(TblMili[[#This Row],[Train Unit 1]:[Train Spies]],TblMili[[#This Row],[Train Wiz]]) - TblMili[[#This Row],[Release Draft]] + SUM(TblMili[[#This Row],[Release Unit 1]:[Release AM]]) - TblExplore[[#This Row],[Draftees (2)]]</f>
        <v>27</v>
      </c>
      <c r="AB46" s="146"/>
      <c r="AC46" s="130" t="n">
        <f aca="false">(TblConstr[[#This Row],[Tot Smi]]+TblConstr[[#This Row],[Dest Smi]])/(TblConstr[[#This Row],[Land]]-TblExplore[[#This Row],[Land Bonus]]*20)</f>
        <v>0</v>
      </c>
      <c r="AD46" s="128"/>
      <c r="AE46" s="282" t="n">
        <f aca="false">TblMili[[#This Row],[Hour]]</f>
        <v>43</v>
      </c>
      <c r="AF46" s="129" t="n">
        <f aca="false">TblExplore[[#This Row],[Time]]</f>
        <v>45431.5</v>
      </c>
      <c r="AG46" s="182"/>
      <c r="AH46" s="182"/>
      <c r="AI46" s="182"/>
      <c r="AJ46" s="182"/>
      <c r="AK46" s="182"/>
      <c r="AL46" s="182"/>
      <c r="AM46" s="182"/>
      <c r="AN46" s="182"/>
      <c r="AO46" s="132"/>
      <c r="AP46" s="69" t="n">
        <f aca="false">TblProd[[#This Row],[Platinum]]</f>
        <v>75080</v>
      </c>
      <c r="AQ46" s="69" t="n">
        <f aca="false">INDEX(TblProd[[#Headers],[Lumber]]:TblProd[[#This Row],[Ore]],COUNTA(TblProd[[#Headers],[Lumber]]:TblProd[[#This Row],[Lumber]]),MATCH(Military!$AQ$2,TblProd[[#Headers],[Lumber]:[Ore]],0))</f>
        <v>0</v>
      </c>
      <c r="AR4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69" t="n">
        <f aca="false">TblMili[[#This Row],[Train Unit 1]]*TblMili[[#This Row],[OP Ore]]+TblMili[[#This Row],[Train Unit 2]]*TblMili[[#This Row],[DP Ore]]+TblMili[[#This Row],[Train Unit 3]]*TblMili[[#This Row],[E1 Ore]]+TblMili[[#This Row],[Train Unit 4]]*TblMili[[#This Row],[E2 Ore]]</f>
        <v>0</v>
      </c>
      <c r="AT46" s="132" t="n">
        <f aca="false">TblMili[[#This Row],[Hour]]</f>
        <v>43</v>
      </c>
      <c r="AU46" s="144" t="n">
        <f aca="false">TblMili[[#This Row],[Time]]</f>
        <v>45431.5</v>
      </c>
      <c r="AV46" s="69" t="n">
        <f aca="false">TblMili[[#This Row],[Draftees]]</f>
        <v>27</v>
      </c>
      <c r="AW46" s="182"/>
      <c r="AX46" s="182"/>
      <c r="AY46" s="182"/>
      <c r="AZ46" s="182"/>
      <c r="BA46" s="182"/>
      <c r="BB46" s="182"/>
      <c r="BC46" s="182"/>
      <c r="BD46" s="182"/>
      <c r="BE46" s="182"/>
      <c r="BF46" s="132"/>
      <c r="BG46" s="150" t="n">
        <f aca="false">TblConstr[[#This Row],[Tot WG]]/TblConstr[[#This Row],[Land]]</f>
        <v>0</v>
      </c>
      <c r="BH46" s="150" t="n">
        <f aca="false">TblConstr[[#This Row],[Tot Hav]]/TblConstr[[#This Row],[Land]]</f>
        <v>0</v>
      </c>
      <c r="BI46" s="69" t="n">
        <f aca="false">ROUNDUP((1-MIN(TblMili[[#This Row],[Smithies]]*smithy_bonus,smithy_bonus_cap) + tech_3_5*TblTech[[#This Row],[3-5]] + tech_5_3*TblTech[[#This Row],[5-3]] + tech_5_5*TblTech[[#This Row],[5-5]])*spec_op_plat,0)</f>
        <v>300</v>
      </c>
      <c r="BJ46" s="69" t="n">
        <f aca="false">ROUNDUP(IF(race="Gnome",1,(1-MIN(TblMili[[#This Row],[Smithies]]*smithy_bonus,smithy_bonus_cap) + tech_3_5*TblTech[[#This Row],[3-5]] + tech_5_3*TblTech[[#This Row],[5-3]] + tech_5_5*TblTech[[#This Row],[5-5]]))*spec_op_ore,0)</f>
        <v>0</v>
      </c>
      <c r="BK46" s="69" t="n">
        <f aca="false">ROUNDUP((1-MIN(TblMili[[#This Row],[Smithies]]*smithy_bonus,smithy_bonus_cap) + tech_3_5*TblTech[[#This Row],[3-5]] + tech_5_3*TblTech[[#This Row],[5-3]] + tech_5_5*TblTech[[#This Row],[5-5]])*spec_dp_plat,0)</f>
        <v>300</v>
      </c>
      <c r="BL46" s="69" t="n">
        <f aca="false">ROUNDUP(IF(race="Gnome",1,(1-MIN(TblMili[[#This Row],[Smithies]]*smithy_bonus,smithy_bonus_cap) + tech_3_5*TblTech[[#This Row],[3-5]] + tech_5_3*TblTech[[#This Row],[5-3]] + tech_5_5*TblTech[[#This Row],[5-5]]))*spec_dp_ore,0)</f>
        <v>0</v>
      </c>
      <c r="BM46" s="69" t="n">
        <f aca="false">ROUNDUP((1-MIN(TblMili[[#This Row],[Smithies]]*smithy_bonus,smithy_bonus_cap) + tech_3_5*TblTech[[#This Row],[3-5]] + tech_5_3*TblTech[[#This Row],[5-3]] + tech_5_5*TblTech[[#This Row],[5-5]])*elite1_plat,0)</f>
        <v>925</v>
      </c>
      <c r="BN46" s="69" t="n">
        <f aca="false">ROUNDUP(IF(race="Gnome",1,(1-MIN(TblMili[[#This Row],[Smithies]]*smithy_bonus,smithy_bonus_cap) + tech_3_5*TblTech[[#This Row],[3-5]] + tech_5_3*TblTech[[#This Row],[5-3]] + tech_5_5*TblTech[[#This Row],[5-5]]))*elite1_ore,0)</f>
        <v>0</v>
      </c>
      <c r="BO46" s="69" t="n">
        <f aca="false">ROUNDUP((1-MIN(TblMili[[#This Row],[Smithies]]*smithy_bonus,smithy_bonus_cap) + tech_3_5*TblTech[[#This Row],[3-5]] + tech_5_3*TblTech[[#This Row],[5-3]] + tech_5_5*TblTech[[#This Row],[5-5]])*elite2_plat,0)</f>
        <v>950</v>
      </c>
      <c r="BP46" s="69" t="n">
        <f aca="false">ROUNDUP(IF(race="Gnome",1,(1-MIN(TblMili[[#This Row],[Smithies]]*smithy_bonus,smithy_bonus_cap) + tech_3_5*TblTech[[#This Row],[3-5]] + tech_5_3*TblTech[[#This Row],[5-3]] + tech_5_5*TblTech[[#This Row],[5-5]]))*elite2_ore,0)</f>
        <v>0</v>
      </c>
      <c r="BQ46" s="69" t="n">
        <f aca="false">ROUNDUP((1-MIN(ROUND(fh_spy_cost_red*TblMili[[#This Row],[FH''s]],4),fh_spy_cost_cap)+ tech_1_9*TblTech[[#This Row],[1-9]] + tech_9_1*TblTech[[#This Row],[9-1]])*spy_plat,0)</f>
        <v>500</v>
      </c>
      <c r="BR46" s="69" t="n">
        <f aca="false">ROUNDUP((1-MIN(ROUND(fh_spy_cost_red*TblMili[[#This Row],[FH''s]],4),fh_spy_cost_cap)+ tech_1_9*TblTech[[#This Row],[1-9]] + tech_9_1*TblTech[[#This Row],[9-1]])*archspy_plat,0)</f>
        <v>1000</v>
      </c>
      <c r="BS46" s="69" t="n">
        <f aca="false">ROUNDUP((1-MIN(ROUND(wg_wiz_cost_bonus*TblMili[[#This Row],[WG''s]],4),wg_wiz_cost_cap) + tech_1_9_2*TblTech[[#This Row],[1-9]] + tech_9_1_2*TblTech[[#This Row],[9-1]])*wizard_plat,0)</f>
        <v>500</v>
      </c>
      <c r="BT46" s="69" t="n">
        <f aca="false">ROUNDUP((1-MIN(ROUND(wg_wiz_cost_bonus*TblMili[[#This Row],[WG''s]],4),wg_wiz_cost_cap) + tech_1_9_2*TblTech[[#This Row],[1-9]] + tech_9_1_2*TblTech[[#This Row],[9-1]])*archmage_plat,0)</f>
        <v>1000</v>
      </c>
      <c r="BU46" s="132"/>
      <c r="BV46" s="150" t="e">
        <f aca="false">TblConstr[[#This Row],[Homeland]]/TblConstr[[#This Row],[Land]]</f>
        <v>#VALUE!</v>
      </c>
      <c r="BW46" s="150" t="n">
        <f aca="false">TblMili[[#This Row],[WG''s]]</f>
        <v>0</v>
      </c>
      <c r="BX46" s="288" t="e">
        <f aca="false">IF(mystic_cap="none",TblMili[[#This Row],[Hill]]/mystic_bonus,MIN(mystic_cap,TblMili[[#This Row],[Hill]]/mystic_bonus))</f>
        <v>#VALUE!</v>
      </c>
      <c r="BY46" s="288" t="e">
        <f aca="false">IF(druid_op_cap="none",TblMili[[#This Row],[Hill]]/druid_op_bonus,MIN(druid_op_cap,TblMili[[#This Row],[Hill]]/druid_op_bonus))</f>
        <v>#VALUE!</v>
      </c>
      <c r="BZ46" s="288" t="e">
        <f aca="false">IF(druid_dp_cap="none",TblMili[[#This Row],[Hill]]/druid_dp_bonus,MIN(druid_dp_cap,TblMili[[#This Row],[Hill]]/druid_dp_bonus))</f>
        <v>#VALUE!</v>
      </c>
      <c r="CA46" s="288" t="e">
        <f aca="false">MIN(dryad_cap,TblMili[[#This Row],[Hill]]/dryad_bonus)</f>
        <v>#VALUE!</v>
      </c>
      <c r="CB46" s="288" t="e">
        <f aca="false">MIN(rocka_cap,TblMili[[#This Row],[Hill]]/rocka_bonus)</f>
        <v>#VALUE!</v>
      </c>
      <c r="CC46" s="288" t="n">
        <f aca="false">MIN(adept_op_cap,TblMili[[#This Row],[WG]]/adept_op_bonus)</f>
        <v>0</v>
      </c>
      <c r="CD46" s="288" t="n">
        <f aca="false">MIN(adept_dp_cap,TblMili[[#This Row],[WG]]/adept_dp_bonus)</f>
        <v>0</v>
      </c>
      <c r="CE46" s="69" t="n">
        <f aca="false">MIN(TblMili[[#This Row],[Unit 3]],TblMili[[#This Row],[Unit 2]])*2</f>
        <v>0</v>
      </c>
      <c r="CF46" s="69" t="n">
        <f aca="false">MIN(TblMili[[#This Row],[Unit 1]],TblMili[[#This Row],[Unit 4]])*2</f>
        <v>0</v>
      </c>
      <c r="CG46" s="288" t="e">
        <f aca="false">MIN(frost_mage_cap,TblMili[[#This Row],[Hill]]/frost_mage_bonus)</f>
        <v>#VALUE!</v>
      </c>
      <c r="CH46" s="151" t="n">
        <f aca="false">MIN(ice_elem_cap,TblMili[[#This Row],[Raw (2)]]*ice_elem_bonus)</f>
        <v>0</v>
      </c>
      <c r="CI46" s="288" t="n">
        <f aca="false">MIN(bone_breaker_cap,250/bone_breaker_bonus)</f>
        <v>0.833333333333333</v>
      </c>
      <c r="CJ46" s="288" t="e">
        <f aca="false">MIN(nox_nightshade_cap,TblConstr[[#This Row],[Homeland]]/TblConstr[[#This Row],[Land]]/nox_nightshade_swamp_bonus)</f>
        <v>#VALUE!</v>
      </c>
      <c r="CK46" s="289"/>
      <c r="CL46" s="289"/>
      <c r="CM46" s="289"/>
      <c r="CN46" s="288" t="e">
        <f aca="false">MIN(6,TblMili[[#This Row],[Mystic]]+Races!$F$19)*1.8 +  IF(TblMili[[#This Row],[Mystic]]+Races!$F$19&gt;6,(TblMili[[#This Row],[Mystic]]+Races!$F$19-6)*0.2,0) - Races!$I$19</f>
        <v>#VALUE!</v>
      </c>
      <c r="CO46" s="288" t="e">
        <f aca="false">1.8 * MIN(MAX(TblMili[[#This Row],[Druid (op)]]+Races!$E$20,TblMili[[#This Row],[Druid (dp)]]+Races!$F$20),6)  +  0.45 * MIN(MIN(TblMili[[#This Row],[Druid (op)]]+Races!$E$20,TblMili[[#This Row],[Druid (dp)]]+Races!$F$20),6)  +  0.2 * ( MAX(TblMili[[#This Row],[Druid (op)]]+Races!$E$20-6,0) + MAX(TblMili[[#This Row],[Druid (dp)]]+Races!$F$20-6,0) )  -  Races!$I$20</f>
        <v>#VALUE!</v>
      </c>
      <c r="CP46" s="69" t="e">
        <f aca="false">TblMili[[#This Row],[Mystic bonus]]*TblMili[[#This Row],[Unit 3]]+TblMili[[#This Row],[Druid bonus]]*TblMili[[#This Row],[Unit 4]]</f>
        <v>#VALUE!</v>
      </c>
      <c r="CQ46" s="148" t="e">
        <f aca="false">MIN(6,TblMili[[#This Row],[Dryad]]+Races!$F$35)*1.8 +  IF(TblMili[[#This Row],[Dryad]]+Races!$F$35&gt;6,(TblMili[[#This Row],[Dryad]]+Races!$F$35-6)*0.2,0) - Races!$I$19</f>
        <v>#VALUE!</v>
      </c>
      <c r="CR46" s="69" t="e">
        <f aca="false">sylvan*(TblMili[[#This Row],[Mystic bonus]]*TblMili[[#This Row],[Unit 3]])</f>
        <v>#VALUE!</v>
      </c>
      <c r="CS46" s="148" t="e">
        <f aca="false">1.8 * MIN(MAX(Races!$E$27,TblMili[[#This Row],[Rockapult]]+Races!$F$27),6)  +  0.45 * MIN(MIN(Races!$E$27,TblMili[[#This Row],[Rockapult]]+Races!$F$27),6)  +  0.2 * ( MAX(Races!$E$27-6,0) + MAX(TblMili[[#This Row],[Rockapult]]+Races!$F$27-6,0) )  -  Races!$I$20</f>
        <v>#VALUE!</v>
      </c>
      <c r="CT46" s="69" t="e">
        <f aca="false">gnome*(TblMili[[#This Row],[Rockapult bonus]]*TblMili[[#This Row],[Unit 3]])</f>
        <v>#VALUE!</v>
      </c>
      <c r="CU46" s="148" t="n">
        <f aca="false">1.8 * MIN(MAX(TblMili[[#This Row],[Spellblade]]+Races!$E$47,TblMili[[#This Row],[Adept-DP]]+Races!$F$47),6)  +  0.45 * MIN(MIN(TblMili[[#This Row],[Spellblade]]+Races!$E$47,TblMili[[#This Row],[Adept-DP]]+Races!$F$47),6)  +  0.2 * ( MAX(TblMili[[#This Row],[Spellblade]]+Races!$E$47-6,0) + MAX(TblMili[[#This Row],[Adept-DP]]+Races!$F$47-6,0) )  -  Races!$I$47</f>
        <v>0</v>
      </c>
      <c r="CV46" s="69" t="n">
        <f aca="false">dark_elf*(TblMili[[#This Row],[Adept bonus]]*TblMili[[#This Row],[Unit 3]])</f>
        <v>0</v>
      </c>
      <c r="CW46" s="148" t="e">
        <f aca="false">1.8 * MIN(MAX(TblMili[[#This Row],[Frost Mage]]+Races!$F$71,Races!$E$71),6)  +  0.45 * MIN(MIN(TblMili[[#This Row],[Frost Mage]]+Races!$F$71,Races!$E$71),6)  +  0.2 * ( MAX(TblMili[[#This Row],[Frost Mage]]+Races!$F$71-6,0) + MAX(Races!$E$71-6,0) )  -  Races!$I$71</f>
        <v>#VALUE!</v>
      </c>
      <c r="CX46" s="148" t="n">
        <f aca="false">1.8 * MIN(MAX(TblMili[[#This Row],[Ice Elemental]]+Races!$E$71,Races!$F$71),6)  +  0.45 * MIN(MIN(TblMili[[#This Row],[Ice Elemental]]+Races!$E$71,Races!$F$71),6)  +  0.2 * ( MAX(TblMili[[#This Row],[Ice Elemental]]+Races!$E$71-6,0) + MAX(Races!$F$71-6,0) )  -  Races!$I$71</f>
        <v>0</v>
      </c>
      <c r="CY46" s="69" t="e">
        <f aca="false">TblMili[[#This Row],[Frost Mage bonus]]*TblMili[[#This Row],[Unit 3]]+TblMili[[#This Row],[Ice Elemental bonus]]*TblMili[[#This Row],[Unit 4]]</f>
        <v>#VALUE!</v>
      </c>
      <c r="CZ46" s="290"/>
      <c r="DA46" s="109" t="n">
        <f aca="false">MIN(SUM(TblConstr[[#This Row],[Plain]:[Water]])/TblMili[[#This Row],[Land]]/favorable_terrain_bonus/100,favorable_terrain_max)</f>
        <v>0</v>
      </c>
      <c r="DB46" s="290"/>
      <c r="DC4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6" s="132"/>
      <c r="DE46" s="291" t="n">
        <f aca="false">(TblMili[[#This Row],[Wizards]]+2*TblMili[[#This Row],[Archmages]])/TblConstr[[#This Row],[Land]]</f>
        <v>0</v>
      </c>
      <c r="DF46" s="291" t="n">
        <f aca="false">TblMili[[#This Row],[Raw (2)]]*(1+race_wizard_strength+IF(TblMili[[#This Row],[Hour]]&gt;72,tech_magical_weaponry_wiz*TblTech[[#This Row],[3-5]],0))</f>
        <v>0</v>
      </c>
    </row>
    <row r="47" customFormat="false" ht="12.75" hidden="false" customHeight="false" outlineLevel="0" collapsed="false">
      <c r="A47" s="128" t="n">
        <f aca="false">TblRezone[[#This Row],[Hour]]</f>
        <v>44</v>
      </c>
      <c r="B47" s="282" t="n">
        <f aca="false">SUM(TblMili[[#This Row],[Unit 1]:[Archmages]])+SUM(OFFSET(TblMili[[#This Row],[Train Unit 1]],-8,0):TblMili[[#This Row],[Train Unit 2]]) + SUM(OFFSET(TblMili[[#This Row],[Train Unit 3]],-11,0):TblMili[[#This Row],[Train AM]]) + TblMili[[#This Row],[Draftees]]</f>
        <v>105</v>
      </c>
      <c r="C47" s="150" t="n">
        <f aca="false">TblPop[[#This Row],[Military%]]</f>
        <v>0.0126964933494559</v>
      </c>
      <c r="D47" s="132"/>
      <c r="E47" s="151" t="n">
        <f aca="false">OFFSET(TblMili[[#This Row],[Unit 1]],-1,0) + OFFSET(TblMili[[#This Row],[Train Unit 1]],-9,0) - TblMili[[#This Row],[Release Unit 1]]</f>
        <v>0</v>
      </c>
      <c r="F47" s="151" t="n">
        <f aca="false">OFFSET(TblMili[[#This Row],[Unit 2]],-1,0) + OFFSET(TblMili[[#This Row],[Train Unit 2]],-9,0)-TblMili[[#This Row],[Release Unit 2]]</f>
        <v>0</v>
      </c>
      <c r="G47" s="151" t="n">
        <f aca="false">OFFSET(TblMili[[#This Row],[Unit 3]],-1,0) + OFFSET(TblMili[[#This Row],[Train Unit 3]],-12,0)-TblMili[[#This Row],[Release Unit 3]]</f>
        <v>0</v>
      </c>
      <c r="H47" s="151" t="n">
        <f aca="false">OFFSET(TblMili[[#This Row],[Unit 4]],-1,0) + OFFSET(TblMili[[#This Row],[Train Unit 4]],-12,0)-TblMili[[#This Row],[Release Unit 4]]</f>
        <v>0</v>
      </c>
      <c r="I47" s="151" t="n">
        <f aca="false">OFFSET(TblMili[[#This Row],[Spies]],-1,0) + OFFSET(TblMili[[#This Row],[Train Spies]],-12,0) - TblMili[[#This Row],[Release Spies]]-TblMili[[#This Row],[Train AS]]</f>
        <v>0</v>
      </c>
      <c r="J47" s="151" t="n">
        <f aca="false">OFFSET(TblMili[[#This Row],[Archspies]],-1,0) + OFFSET(TblMili[[#This Row],[Train AS]],-12,0) - TblMili[[#This Row],[Release AS]]</f>
        <v>0</v>
      </c>
      <c r="K47" s="151" t="n">
        <f aca="false">OFFSET(TblMili[[#This Row],[Wizards]],-1,0) + OFFSET(TblMili[[#This Row],[Train Wiz]],-12,0) - TblMili[[#This Row],[Release Wizards]]-TblMili[[#This Row],[Train AM]]</f>
        <v>0</v>
      </c>
      <c r="L47" s="151" t="n">
        <f aca="false">OFFSET(TblMili[[#This Row],[Archmages]],-1,0) + OFFSET(TblMili[[#This Row],[Train AM]],-12,0) - TblMili[[#This Row],[Release AM]]</f>
        <v>0</v>
      </c>
      <c r="M47" s="132"/>
      <c r="N47" s="69" t="e">
        <f aca="false">TblProd[[#This Row],[Networth]]</f>
        <v>#VALUE!</v>
      </c>
      <c r="O47" s="132"/>
      <c r="P4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7" s="285" t="e">
        <f aca="false">TblMili[[#This Row],[Raw]]*(1+TblMili[[#This Row],[Mods_Off]])</f>
        <v>#VALUE!</v>
      </c>
      <c r="S4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7" s="285" t="e">
        <f aca="false">TblMili[[#This Row],[Non Draft]]+TblMili[[#This Row],[Draftees]]</f>
        <v>#VALUE!</v>
      </c>
      <c r="U47" s="286" t="n">
        <f aca="false">race_defense + TblImps[[#This Row],[Walls]] + ROUND( MIN(gt_bonus*TblConstr[[#This Row],[Tot GT]]/TblConstr[[#This Row],[Land]],gt_bonus_cap), 4) + IF(TblMagic[[#This Row],[Active Howling]]&gt;0,howling_dp_bonus,IF(TblMagic[[#This Row],[Active Ares Call]]&gt;0,ares_call_bonus))</f>
        <v>0</v>
      </c>
      <c r="V47" s="274" t="e">
        <f aca="false">TblMili[[#This Row],[Non Draft]] * (1 + TblMili[[#This Row],[Mods_Def]])</f>
        <v>#VALUE!</v>
      </c>
      <c r="W47" s="285" t="e">
        <f aca="false">TblMili[[#This Row],[Draft]] * (1 + TblMili[[#This Row],[Mods_Def]])</f>
        <v>#VALUE!</v>
      </c>
      <c r="X47" s="285" t="n">
        <f aca="false">TblConstr[[#This Row],[Land]]</f>
        <v>530</v>
      </c>
      <c r="Y47" s="287"/>
      <c r="Z47" s="109" t="n">
        <f aca="false">IF(TblMili[[#This Row],[Set]]&lt;&gt;"",TblMili[[#This Row],[Set]],OFFSET(TblMili[[#This Row],[Draftrate]],-1,0))</f>
        <v>0.9</v>
      </c>
      <c r="AA47" s="69" t="n">
        <f aca="false">OFFSET(TblMili[[#This Row],[Draftees]],-1,0)+OFFSET(TblPop[[#This Row],[Draft Growth]],-1,0) - SUM(TblMili[[#This Row],[Train Unit 1]:[Train Spies]],TblMili[[#This Row],[Train Wiz]]) - TblMili[[#This Row],[Release Draft]] + SUM(TblMili[[#This Row],[Release Unit 1]:[Release AM]]) - TblExplore[[#This Row],[Draftees (2)]]</f>
        <v>105</v>
      </c>
      <c r="AB47" s="146"/>
      <c r="AC47" s="130" t="n">
        <f aca="false">(TblConstr[[#This Row],[Tot Smi]]+TblConstr[[#This Row],[Dest Smi]])/(TblConstr[[#This Row],[Land]]-TblExplore[[#This Row],[Land Bonus]]*20)</f>
        <v>0</v>
      </c>
      <c r="AD47" s="128"/>
      <c r="AE47" s="282" t="n">
        <f aca="false">TblMili[[#This Row],[Hour]]</f>
        <v>44</v>
      </c>
      <c r="AF47" s="129" t="n">
        <f aca="false">TblExplore[[#This Row],[Time]]</f>
        <v>45431.5416666667</v>
      </c>
      <c r="AG47" s="182"/>
      <c r="AH47" s="182"/>
      <c r="AI47" s="182"/>
      <c r="AJ47" s="182"/>
      <c r="AK47" s="182"/>
      <c r="AL47" s="182"/>
      <c r="AM47" s="182"/>
      <c r="AN47" s="182"/>
      <c r="AO47" s="132"/>
      <c r="AP47" s="69" t="n">
        <f aca="false">TblProd[[#This Row],[Platinum]]</f>
        <v>107787</v>
      </c>
      <c r="AQ47" s="69" t="n">
        <f aca="false">INDEX(TblProd[[#Headers],[Lumber]]:TblProd[[#This Row],[Ore]],COUNTA(TblProd[[#Headers],[Lumber]]:TblProd[[#This Row],[Lumber]]),MATCH(Military!$AQ$2,TblProd[[#Headers],[Lumber]:[Ore]],0))</f>
        <v>0</v>
      </c>
      <c r="AR4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69" t="n">
        <f aca="false">TblMili[[#This Row],[Train Unit 1]]*TblMili[[#This Row],[OP Ore]]+TblMili[[#This Row],[Train Unit 2]]*TblMili[[#This Row],[DP Ore]]+TblMili[[#This Row],[Train Unit 3]]*TblMili[[#This Row],[E1 Ore]]+TblMili[[#This Row],[Train Unit 4]]*TblMili[[#This Row],[E2 Ore]]</f>
        <v>0</v>
      </c>
      <c r="AT47" s="132" t="n">
        <f aca="false">TblMili[[#This Row],[Hour]]</f>
        <v>44</v>
      </c>
      <c r="AU47" s="144" t="n">
        <f aca="false">TblMili[[#This Row],[Time]]</f>
        <v>45431.5416666667</v>
      </c>
      <c r="AV47" s="69" t="n">
        <f aca="false">TblMili[[#This Row],[Draftees]]</f>
        <v>105</v>
      </c>
      <c r="AW47" s="182"/>
      <c r="AX47" s="182"/>
      <c r="AY47" s="182"/>
      <c r="AZ47" s="182"/>
      <c r="BA47" s="182"/>
      <c r="BB47" s="182"/>
      <c r="BC47" s="182"/>
      <c r="BD47" s="182"/>
      <c r="BE47" s="182"/>
      <c r="BF47" s="132"/>
      <c r="BG47" s="150" t="n">
        <f aca="false">TblConstr[[#This Row],[Tot WG]]/TblConstr[[#This Row],[Land]]</f>
        <v>0</v>
      </c>
      <c r="BH47" s="150" t="n">
        <f aca="false">TblConstr[[#This Row],[Tot Hav]]/TblConstr[[#This Row],[Land]]</f>
        <v>0</v>
      </c>
      <c r="BI47" s="69" t="n">
        <f aca="false">ROUNDUP((1-MIN(TblMili[[#This Row],[Smithies]]*smithy_bonus,smithy_bonus_cap) + tech_3_5*TblTech[[#This Row],[3-5]] + tech_5_3*TblTech[[#This Row],[5-3]] + tech_5_5*TblTech[[#This Row],[5-5]])*spec_op_plat,0)</f>
        <v>300</v>
      </c>
      <c r="BJ47" s="69" t="n">
        <f aca="false">ROUNDUP(IF(race="Gnome",1,(1-MIN(TblMili[[#This Row],[Smithies]]*smithy_bonus,smithy_bonus_cap) + tech_3_5*TblTech[[#This Row],[3-5]] + tech_5_3*TblTech[[#This Row],[5-3]] + tech_5_5*TblTech[[#This Row],[5-5]]))*spec_op_ore,0)</f>
        <v>0</v>
      </c>
      <c r="BK47" s="69" t="n">
        <f aca="false">ROUNDUP((1-MIN(TblMili[[#This Row],[Smithies]]*smithy_bonus,smithy_bonus_cap) + tech_3_5*TblTech[[#This Row],[3-5]] + tech_5_3*TblTech[[#This Row],[5-3]] + tech_5_5*TblTech[[#This Row],[5-5]])*spec_dp_plat,0)</f>
        <v>300</v>
      </c>
      <c r="BL47" s="69" t="n">
        <f aca="false">ROUNDUP(IF(race="Gnome",1,(1-MIN(TblMili[[#This Row],[Smithies]]*smithy_bonus,smithy_bonus_cap) + tech_3_5*TblTech[[#This Row],[3-5]] + tech_5_3*TblTech[[#This Row],[5-3]] + tech_5_5*TblTech[[#This Row],[5-5]]))*spec_dp_ore,0)</f>
        <v>0</v>
      </c>
      <c r="BM47" s="69" t="n">
        <f aca="false">ROUNDUP((1-MIN(TblMili[[#This Row],[Smithies]]*smithy_bonus,smithy_bonus_cap) + tech_3_5*TblTech[[#This Row],[3-5]] + tech_5_3*TblTech[[#This Row],[5-3]] + tech_5_5*TblTech[[#This Row],[5-5]])*elite1_plat,0)</f>
        <v>925</v>
      </c>
      <c r="BN47" s="69" t="n">
        <f aca="false">ROUNDUP(IF(race="Gnome",1,(1-MIN(TblMili[[#This Row],[Smithies]]*smithy_bonus,smithy_bonus_cap) + tech_3_5*TblTech[[#This Row],[3-5]] + tech_5_3*TblTech[[#This Row],[5-3]] + tech_5_5*TblTech[[#This Row],[5-5]]))*elite1_ore,0)</f>
        <v>0</v>
      </c>
      <c r="BO47" s="69" t="n">
        <f aca="false">ROUNDUP((1-MIN(TblMili[[#This Row],[Smithies]]*smithy_bonus,smithy_bonus_cap) + tech_3_5*TblTech[[#This Row],[3-5]] + tech_5_3*TblTech[[#This Row],[5-3]] + tech_5_5*TblTech[[#This Row],[5-5]])*elite2_plat,0)</f>
        <v>950</v>
      </c>
      <c r="BP47" s="69" t="n">
        <f aca="false">ROUNDUP(IF(race="Gnome",1,(1-MIN(TblMili[[#This Row],[Smithies]]*smithy_bonus,smithy_bonus_cap) + tech_3_5*TblTech[[#This Row],[3-5]] + tech_5_3*TblTech[[#This Row],[5-3]] + tech_5_5*TblTech[[#This Row],[5-5]]))*elite2_ore,0)</f>
        <v>0</v>
      </c>
      <c r="BQ47" s="69" t="n">
        <f aca="false">ROUNDUP((1-MIN(ROUND(fh_spy_cost_red*TblMili[[#This Row],[FH''s]],4),fh_spy_cost_cap)+ tech_1_9*TblTech[[#This Row],[1-9]] + tech_9_1*TblTech[[#This Row],[9-1]])*spy_plat,0)</f>
        <v>500</v>
      </c>
      <c r="BR47" s="69" t="n">
        <f aca="false">ROUNDUP((1-MIN(ROUND(fh_spy_cost_red*TblMili[[#This Row],[FH''s]],4),fh_spy_cost_cap)+ tech_1_9*TblTech[[#This Row],[1-9]] + tech_9_1*TblTech[[#This Row],[9-1]])*archspy_plat,0)</f>
        <v>1000</v>
      </c>
      <c r="BS47" s="69" t="n">
        <f aca="false">ROUNDUP((1-MIN(ROUND(wg_wiz_cost_bonus*TblMili[[#This Row],[WG''s]],4),wg_wiz_cost_cap) + tech_1_9_2*TblTech[[#This Row],[1-9]] + tech_9_1_2*TblTech[[#This Row],[9-1]])*wizard_plat,0)</f>
        <v>500</v>
      </c>
      <c r="BT47" s="69" t="n">
        <f aca="false">ROUNDUP((1-MIN(ROUND(wg_wiz_cost_bonus*TblMili[[#This Row],[WG''s]],4),wg_wiz_cost_cap) + tech_1_9_2*TblTech[[#This Row],[1-9]] + tech_9_1_2*TblTech[[#This Row],[9-1]])*archmage_plat,0)</f>
        <v>1000</v>
      </c>
      <c r="BU47" s="132"/>
      <c r="BV47" s="150" t="e">
        <f aca="false">TblConstr[[#This Row],[Homeland]]/TblConstr[[#This Row],[Land]]</f>
        <v>#VALUE!</v>
      </c>
      <c r="BW47" s="150" t="n">
        <f aca="false">TblMili[[#This Row],[WG''s]]</f>
        <v>0</v>
      </c>
      <c r="BX47" s="288" t="e">
        <f aca="false">IF(mystic_cap="none",TblMili[[#This Row],[Hill]]/mystic_bonus,MIN(mystic_cap,TblMili[[#This Row],[Hill]]/mystic_bonus))</f>
        <v>#VALUE!</v>
      </c>
      <c r="BY47" s="288" t="e">
        <f aca="false">IF(druid_op_cap="none",TblMili[[#This Row],[Hill]]/druid_op_bonus,MIN(druid_op_cap,TblMili[[#This Row],[Hill]]/druid_op_bonus))</f>
        <v>#VALUE!</v>
      </c>
      <c r="BZ47" s="288" t="e">
        <f aca="false">IF(druid_dp_cap="none",TblMili[[#This Row],[Hill]]/druid_dp_bonus,MIN(druid_dp_cap,TblMili[[#This Row],[Hill]]/druid_dp_bonus))</f>
        <v>#VALUE!</v>
      </c>
      <c r="CA47" s="288" t="e">
        <f aca="false">MIN(dryad_cap,TblMili[[#This Row],[Hill]]/dryad_bonus)</f>
        <v>#VALUE!</v>
      </c>
      <c r="CB47" s="288" t="e">
        <f aca="false">MIN(rocka_cap,TblMili[[#This Row],[Hill]]/rocka_bonus)</f>
        <v>#VALUE!</v>
      </c>
      <c r="CC47" s="288" t="n">
        <f aca="false">MIN(adept_op_cap,TblMili[[#This Row],[WG]]/adept_op_bonus)</f>
        <v>0</v>
      </c>
      <c r="CD47" s="288" t="n">
        <f aca="false">MIN(adept_dp_cap,TblMili[[#This Row],[WG]]/adept_dp_bonus)</f>
        <v>0</v>
      </c>
      <c r="CE47" s="69" t="n">
        <f aca="false">MIN(TblMili[[#This Row],[Unit 3]],TblMili[[#This Row],[Unit 2]])*2</f>
        <v>0</v>
      </c>
      <c r="CF47" s="69" t="n">
        <f aca="false">MIN(TblMili[[#This Row],[Unit 1]],TblMili[[#This Row],[Unit 4]])*2</f>
        <v>0</v>
      </c>
      <c r="CG47" s="288" t="e">
        <f aca="false">MIN(frost_mage_cap,TblMili[[#This Row],[Hill]]/frost_mage_bonus)</f>
        <v>#VALUE!</v>
      </c>
      <c r="CH47" s="151" t="n">
        <f aca="false">MIN(ice_elem_cap,TblMili[[#This Row],[Raw (2)]]*ice_elem_bonus)</f>
        <v>0</v>
      </c>
      <c r="CI47" s="288" t="n">
        <f aca="false">MIN(bone_breaker_cap,250/bone_breaker_bonus)</f>
        <v>0.833333333333333</v>
      </c>
      <c r="CJ47" s="288" t="e">
        <f aca="false">MIN(nox_nightshade_cap,TblConstr[[#This Row],[Homeland]]/TblConstr[[#This Row],[Land]]/nox_nightshade_swamp_bonus)</f>
        <v>#VALUE!</v>
      </c>
      <c r="CK47" s="289"/>
      <c r="CL47" s="289"/>
      <c r="CM47" s="289"/>
      <c r="CN47" s="288" t="e">
        <f aca="false">MIN(6,TblMili[[#This Row],[Mystic]]+Races!$F$19)*1.8 +  IF(TblMili[[#This Row],[Mystic]]+Races!$F$19&gt;6,(TblMili[[#This Row],[Mystic]]+Races!$F$19-6)*0.2,0) - Races!$I$19</f>
        <v>#VALUE!</v>
      </c>
      <c r="CO47" s="288" t="e">
        <f aca="false">1.8 * MIN(MAX(TblMili[[#This Row],[Druid (op)]]+Races!$E$20,TblMili[[#This Row],[Druid (dp)]]+Races!$F$20),6)  +  0.45 * MIN(MIN(TblMili[[#This Row],[Druid (op)]]+Races!$E$20,TblMili[[#This Row],[Druid (dp)]]+Races!$F$20),6)  +  0.2 * ( MAX(TblMili[[#This Row],[Druid (op)]]+Races!$E$20-6,0) + MAX(TblMili[[#This Row],[Druid (dp)]]+Races!$F$20-6,0) )  -  Races!$I$20</f>
        <v>#VALUE!</v>
      </c>
      <c r="CP47" s="69" t="e">
        <f aca="false">TblMili[[#This Row],[Mystic bonus]]*TblMili[[#This Row],[Unit 3]]+TblMili[[#This Row],[Druid bonus]]*TblMili[[#This Row],[Unit 4]]</f>
        <v>#VALUE!</v>
      </c>
      <c r="CQ47" s="148" t="e">
        <f aca="false">MIN(6,TblMili[[#This Row],[Dryad]]+Races!$F$35)*1.8 +  IF(TblMili[[#This Row],[Dryad]]+Races!$F$35&gt;6,(TblMili[[#This Row],[Dryad]]+Races!$F$35-6)*0.2,0) - Races!$I$19</f>
        <v>#VALUE!</v>
      </c>
      <c r="CR47" s="69" t="e">
        <f aca="false">sylvan*(TblMili[[#This Row],[Mystic bonus]]*TblMili[[#This Row],[Unit 3]])</f>
        <v>#VALUE!</v>
      </c>
      <c r="CS47" s="148" t="e">
        <f aca="false">1.8 * MIN(MAX(Races!$E$27,TblMili[[#This Row],[Rockapult]]+Races!$F$27),6)  +  0.45 * MIN(MIN(Races!$E$27,TblMili[[#This Row],[Rockapult]]+Races!$F$27),6)  +  0.2 * ( MAX(Races!$E$27-6,0) + MAX(TblMili[[#This Row],[Rockapult]]+Races!$F$27-6,0) )  -  Races!$I$20</f>
        <v>#VALUE!</v>
      </c>
      <c r="CT47" s="69" t="e">
        <f aca="false">gnome*(TblMili[[#This Row],[Rockapult bonus]]*TblMili[[#This Row],[Unit 3]])</f>
        <v>#VALUE!</v>
      </c>
      <c r="CU47" s="148" t="n">
        <f aca="false">1.8 * MIN(MAX(TblMili[[#This Row],[Spellblade]]+Races!$E$47,TblMili[[#This Row],[Adept-DP]]+Races!$F$47),6)  +  0.45 * MIN(MIN(TblMili[[#This Row],[Spellblade]]+Races!$E$47,TblMili[[#This Row],[Adept-DP]]+Races!$F$47),6)  +  0.2 * ( MAX(TblMili[[#This Row],[Spellblade]]+Races!$E$47-6,0) + MAX(TblMili[[#This Row],[Adept-DP]]+Races!$F$47-6,0) )  -  Races!$I$47</f>
        <v>0</v>
      </c>
      <c r="CV47" s="69" t="n">
        <f aca="false">dark_elf*(TblMili[[#This Row],[Adept bonus]]*TblMili[[#This Row],[Unit 3]])</f>
        <v>0</v>
      </c>
      <c r="CW47" s="148" t="e">
        <f aca="false">1.8 * MIN(MAX(TblMili[[#This Row],[Frost Mage]]+Races!$F$71,Races!$E$71),6)  +  0.45 * MIN(MIN(TblMili[[#This Row],[Frost Mage]]+Races!$F$71,Races!$E$71),6)  +  0.2 * ( MAX(TblMili[[#This Row],[Frost Mage]]+Races!$F$71-6,0) + MAX(Races!$E$71-6,0) )  -  Races!$I$71</f>
        <v>#VALUE!</v>
      </c>
      <c r="CX47" s="148" t="n">
        <f aca="false">1.8 * MIN(MAX(TblMili[[#This Row],[Ice Elemental]]+Races!$E$71,Races!$F$71),6)  +  0.45 * MIN(MIN(TblMili[[#This Row],[Ice Elemental]]+Races!$E$71,Races!$F$71),6)  +  0.2 * ( MAX(TblMili[[#This Row],[Ice Elemental]]+Races!$E$71-6,0) + MAX(Races!$F$71-6,0) )  -  Races!$I$71</f>
        <v>0</v>
      </c>
      <c r="CY47" s="69" t="e">
        <f aca="false">TblMili[[#This Row],[Frost Mage bonus]]*TblMili[[#This Row],[Unit 3]]+TblMili[[#This Row],[Ice Elemental bonus]]*TblMili[[#This Row],[Unit 4]]</f>
        <v>#VALUE!</v>
      </c>
      <c r="CZ47" s="290"/>
      <c r="DA47" s="109" t="n">
        <f aca="false">MIN(SUM(TblConstr[[#This Row],[Plain]:[Water]])/TblMili[[#This Row],[Land]]/favorable_terrain_bonus/100,favorable_terrain_max)</f>
        <v>0</v>
      </c>
      <c r="DB47" s="290"/>
      <c r="DC4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7" s="132"/>
      <c r="DE47" s="291" t="n">
        <f aca="false">(TblMili[[#This Row],[Wizards]]+2*TblMili[[#This Row],[Archmages]])/TblConstr[[#This Row],[Land]]</f>
        <v>0</v>
      </c>
      <c r="DF47" s="291" t="n">
        <f aca="false">TblMili[[#This Row],[Raw (2)]]*(1+race_wizard_strength+IF(TblMili[[#This Row],[Hour]]&gt;72,tech_magical_weaponry_wiz*TblTech[[#This Row],[3-5]],0))</f>
        <v>0</v>
      </c>
    </row>
    <row r="48" customFormat="false" ht="12.75" hidden="false" customHeight="false" outlineLevel="0" collapsed="false">
      <c r="A48" s="128" t="n">
        <f aca="false">TblRezone[[#This Row],[Hour]]</f>
        <v>45</v>
      </c>
      <c r="B48" s="282" t="n">
        <f aca="false">SUM(TblMili[[#This Row],[Unit 1]:[Archmages]])+SUM(OFFSET(TblMili[[#This Row],[Train Unit 1]],-8,0):TblMili[[#This Row],[Train Unit 2]]) + SUM(OFFSET(TblMili[[#This Row],[Train Unit 3]],-11,0):TblMili[[#This Row],[Train AM]]) + TblMili[[#This Row],[Draftees]]</f>
        <v>187</v>
      </c>
      <c r="C48" s="150" t="n">
        <f aca="false">TblPop[[#This Row],[Military%]]</f>
        <v>0.021718931475029</v>
      </c>
      <c r="D48" s="132"/>
      <c r="E48" s="151" t="n">
        <f aca="false">OFFSET(TblMili[[#This Row],[Unit 1]],-1,0) + OFFSET(TblMili[[#This Row],[Train Unit 1]],-9,0) - TblMili[[#This Row],[Release Unit 1]]</f>
        <v>0</v>
      </c>
      <c r="F48" s="151" t="n">
        <f aca="false">OFFSET(TblMili[[#This Row],[Unit 2]],-1,0) + OFFSET(TblMili[[#This Row],[Train Unit 2]],-9,0)-TblMili[[#This Row],[Release Unit 2]]</f>
        <v>0</v>
      </c>
      <c r="G48" s="151" t="n">
        <f aca="false">OFFSET(TblMili[[#This Row],[Unit 3]],-1,0) + OFFSET(TblMili[[#This Row],[Train Unit 3]],-12,0)-TblMili[[#This Row],[Release Unit 3]]</f>
        <v>0</v>
      </c>
      <c r="H48" s="151" t="n">
        <f aca="false">OFFSET(TblMili[[#This Row],[Unit 4]],-1,0) + OFFSET(TblMili[[#This Row],[Train Unit 4]],-12,0)-TblMili[[#This Row],[Release Unit 4]]</f>
        <v>0</v>
      </c>
      <c r="I48" s="151" t="n">
        <f aca="false">OFFSET(TblMili[[#This Row],[Spies]],-1,0) + OFFSET(TblMili[[#This Row],[Train Spies]],-12,0) - TblMili[[#This Row],[Release Spies]]-TblMili[[#This Row],[Train AS]]</f>
        <v>0</v>
      </c>
      <c r="J48" s="151" t="n">
        <f aca="false">OFFSET(TblMili[[#This Row],[Archspies]],-1,0) + OFFSET(TblMili[[#This Row],[Train AS]],-12,0) - TblMili[[#This Row],[Release AS]]</f>
        <v>0</v>
      </c>
      <c r="K48" s="151" t="n">
        <f aca="false">OFFSET(TblMili[[#This Row],[Wizards]],-1,0) + OFFSET(TblMili[[#This Row],[Train Wiz]],-12,0) - TblMili[[#This Row],[Release Wizards]]-TblMili[[#This Row],[Train AM]]</f>
        <v>0</v>
      </c>
      <c r="L48" s="151" t="n">
        <f aca="false">OFFSET(TblMili[[#This Row],[Archmages]],-1,0) + OFFSET(TblMili[[#This Row],[Train AM]],-12,0) - TblMili[[#This Row],[Release AM]]</f>
        <v>0</v>
      </c>
      <c r="M48" s="132"/>
      <c r="N48" s="69" t="e">
        <f aca="false">TblProd[[#This Row],[Networth]]</f>
        <v>#VALUE!</v>
      </c>
      <c r="O48" s="132"/>
      <c r="P4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8" s="285" t="e">
        <f aca="false">TblMili[[#This Row],[Raw]]*(1+TblMili[[#This Row],[Mods_Off]])</f>
        <v>#VALUE!</v>
      </c>
      <c r="S4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8" s="285" t="e">
        <f aca="false">TblMili[[#This Row],[Non Draft]]+TblMili[[#This Row],[Draftees]]</f>
        <v>#VALUE!</v>
      </c>
      <c r="U48" s="286" t="n">
        <f aca="false">race_defense + TblImps[[#This Row],[Walls]] + ROUND( MIN(gt_bonus*TblConstr[[#This Row],[Tot GT]]/TblConstr[[#This Row],[Land]],gt_bonus_cap), 4) + IF(TblMagic[[#This Row],[Active Howling]]&gt;0,howling_dp_bonus,IF(TblMagic[[#This Row],[Active Ares Call]]&gt;0,ares_call_bonus))</f>
        <v>0</v>
      </c>
      <c r="V48" s="274" t="e">
        <f aca="false">TblMili[[#This Row],[Non Draft]] * (1 + TblMili[[#This Row],[Mods_Def]])</f>
        <v>#VALUE!</v>
      </c>
      <c r="W48" s="285" t="e">
        <f aca="false">TblMili[[#This Row],[Draft]] * (1 + TblMili[[#This Row],[Mods_Def]])</f>
        <v>#VALUE!</v>
      </c>
      <c r="X48" s="285" t="n">
        <f aca="false">TblConstr[[#This Row],[Land]]</f>
        <v>540</v>
      </c>
      <c r="Y48" s="287"/>
      <c r="Z48" s="109" t="n">
        <f aca="false">IF(TblMili[[#This Row],[Set]]&lt;&gt;"",TblMili[[#This Row],[Set]],OFFSET(TblMili[[#This Row],[Draftrate]],-1,0))</f>
        <v>0.9</v>
      </c>
      <c r="AA48" s="69" t="n">
        <f aca="false">OFFSET(TblMili[[#This Row],[Draftees]],-1,0)+OFFSET(TblPop[[#This Row],[Draft Growth]],-1,0) - SUM(TblMili[[#This Row],[Train Unit 1]:[Train Spies]],TblMili[[#This Row],[Train Wiz]]) - TblMili[[#This Row],[Release Draft]] + SUM(TblMili[[#This Row],[Release Unit 1]:[Release AM]]) - TblExplore[[#This Row],[Draftees (2)]]</f>
        <v>187</v>
      </c>
      <c r="AB48" s="146"/>
      <c r="AC48" s="130" t="n">
        <f aca="false">(TblConstr[[#This Row],[Tot Smi]]+TblConstr[[#This Row],[Dest Smi]])/(TblConstr[[#This Row],[Land]]-TblExplore[[#This Row],[Land Bonus]]*20)</f>
        <v>0</v>
      </c>
      <c r="AD48" s="128"/>
      <c r="AE48" s="282" t="n">
        <f aca="false">TblMili[[#This Row],[Hour]]</f>
        <v>45</v>
      </c>
      <c r="AF48" s="129" t="n">
        <f aca="false">TblExplore[[#This Row],[Time]]</f>
        <v>45431.5833333333</v>
      </c>
      <c r="AG48" s="182"/>
      <c r="AH48" s="182"/>
      <c r="AI48" s="182"/>
      <c r="AJ48" s="182"/>
      <c r="AK48" s="182"/>
      <c r="AL48" s="182"/>
      <c r="AM48" s="182"/>
      <c r="AN48" s="182"/>
      <c r="AO48" s="132"/>
      <c r="AP48" s="69" t="n">
        <f aca="false">TblProd[[#This Row],[Platinum]]</f>
        <v>141605</v>
      </c>
      <c r="AQ48" s="69" t="n">
        <f aca="false">INDEX(TblProd[[#Headers],[Lumber]]:TblProd[[#This Row],[Ore]],COUNTA(TblProd[[#Headers],[Lumber]]:TblProd[[#This Row],[Lumber]]),MATCH(Military!$AQ$2,TblProd[[#Headers],[Lumber]:[Ore]],0))</f>
        <v>0</v>
      </c>
      <c r="AR4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69" t="n">
        <f aca="false">TblMili[[#This Row],[Train Unit 1]]*TblMili[[#This Row],[OP Ore]]+TblMili[[#This Row],[Train Unit 2]]*TblMili[[#This Row],[DP Ore]]+TblMili[[#This Row],[Train Unit 3]]*TblMili[[#This Row],[E1 Ore]]+TblMili[[#This Row],[Train Unit 4]]*TblMili[[#This Row],[E2 Ore]]</f>
        <v>0</v>
      </c>
      <c r="AT48" s="132" t="n">
        <f aca="false">TblMili[[#This Row],[Hour]]</f>
        <v>45</v>
      </c>
      <c r="AU48" s="144" t="n">
        <f aca="false">TblMili[[#This Row],[Time]]</f>
        <v>45431.5833333333</v>
      </c>
      <c r="AV48" s="69" t="n">
        <f aca="false">TblMili[[#This Row],[Draftees]]</f>
        <v>187</v>
      </c>
      <c r="AW48" s="182"/>
      <c r="AX48" s="182"/>
      <c r="AY48" s="182"/>
      <c r="AZ48" s="182"/>
      <c r="BA48" s="182"/>
      <c r="BB48" s="182"/>
      <c r="BC48" s="182"/>
      <c r="BD48" s="182"/>
      <c r="BE48" s="182"/>
      <c r="BF48" s="132"/>
      <c r="BG48" s="150" t="n">
        <f aca="false">TblConstr[[#This Row],[Tot WG]]/TblConstr[[#This Row],[Land]]</f>
        <v>0</v>
      </c>
      <c r="BH48" s="150" t="n">
        <f aca="false">TblConstr[[#This Row],[Tot Hav]]/TblConstr[[#This Row],[Land]]</f>
        <v>0</v>
      </c>
      <c r="BI48" s="69" t="n">
        <f aca="false">ROUNDUP((1-MIN(TblMili[[#This Row],[Smithies]]*smithy_bonus,smithy_bonus_cap) + tech_3_5*TblTech[[#This Row],[3-5]] + tech_5_3*TblTech[[#This Row],[5-3]] + tech_5_5*TblTech[[#This Row],[5-5]])*spec_op_plat,0)</f>
        <v>300</v>
      </c>
      <c r="BJ48" s="69" t="n">
        <f aca="false">ROUNDUP(IF(race="Gnome",1,(1-MIN(TblMili[[#This Row],[Smithies]]*smithy_bonus,smithy_bonus_cap) + tech_3_5*TblTech[[#This Row],[3-5]] + tech_5_3*TblTech[[#This Row],[5-3]] + tech_5_5*TblTech[[#This Row],[5-5]]))*spec_op_ore,0)</f>
        <v>0</v>
      </c>
      <c r="BK48" s="69" t="n">
        <f aca="false">ROUNDUP((1-MIN(TblMili[[#This Row],[Smithies]]*smithy_bonus,smithy_bonus_cap) + tech_3_5*TblTech[[#This Row],[3-5]] + tech_5_3*TblTech[[#This Row],[5-3]] + tech_5_5*TblTech[[#This Row],[5-5]])*spec_dp_plat,0)</f>
        <v>300</v>
      </c>
      <c r="BL48" s="69" t="n">
        <f aca="false">ROUNDUP(IF(race="Gnome",1,(1-MIN(TblMili[[#This Row],[Smithies]]*smithy_bonus,smithy_bonus_cap) + tech_3_5*TblTech[[#This Row],[3-5]] + tech_5_3*TblTech[[#This Row],[5-3]] + tech_5_5*TblTech[[#This Row],[5-5]]))*spec_dp_ore,0)</f>
        <v>0</v>
      </c>
      <c r="BM48" s="69" t="n">
        <f aca="false">ROUNDUP((1-MIN(TblMili[[#This Row],[Smithies]]*smithy_bonus,smithy_bonus_cap) + tech_3_5*TblTech[[#This Row],[3-5]] + tech_5_3*TblTech[[#This Row],[5-3]] + tech_5_5*TblTech[[#This Row],[5-5]])*elite1_plat,0)</f>
        <v>925</v>
      </c>
      <c r="BN48" s="69" t="n">
        <f aca="false">ROUNDUP(IF(race="Gnome",1,(1-MIN(TblMili[[#This Row],[Smithies]]*smithy_bonus,smithy_bonus_cap) + tech_3_5*TblTech[[#This Row],[3-5]] + tech_5_3*TblTech[[#This Row],[5-3]] + tech_5_5*TblTech[[#This Row],[5-5]]))*elite1_ore,0)</f>
        <v>0</v>
      </c>
      <c r="BO48" s="69" t="n">
        <f aca="false">ROUNDUP((1-MIN(TblMili[[#This Row],[Smithies]]*smithy_bonus,smithy_bonus_cap) + tech_3_5*TblTech[[#This Row],[3-5]] + tech_5_3*TblTech[[#This Row],[5-3]] + tech_5_5*TblTech[[#This Row],[5-5]])*elite2_plat,0)</f>
        <v>950</v>
      </c>
      <c r="BP48" s="69" t="n">
        <f aca="false">ROUNDUP(IF(race="Gnome",1,(1-MIN(TblMili[[#This Row],[Smithies]]*smithy_bonus,smithy_bonus_cap) + tech_3_5*TblTech[[#This Row],[3-5]] + tech_5_3*TblTech[[#This Row],[5-3]] + tech_5_5*TblTech[[#This Row],[5-5]]))*elite2_ore,0)</f>
        <v>0</v>
      </c>
      <c r="BQ48" s="69" t="n">
        <f aca="false">ROUNDUP((1-MIN(ROUND(fh_spy_cost_red*TblMili[[#This Row],[FH''s]],4),fh_spy_cost_cap)+ tech_1_9*TblTech[[#This Row],[1-9]] + tech_9_1*TblTech[[#This Row],[9-1]])*spy_plat,0)</f>
        <v>500</v>
      </c>
      <c r="BR48" s="69" t="n">
        <f aca="false">ROUNDUP((1-MIN(ROUND(fh_spy_cost_red*TblMili[[#This Row],[FH''s]],4),fh_spy_cost_cap)+ tech_1_9*TblTech[[#This Row],[1-9]] + tech_9_1*TblTech[[#This Row],[9-1]])*archspy_plat,0)</f>
        <v>1000</v>
      </c>
      <c r="BS48" s="69" t="n">
        <f aca="false">ROUNDUP((1-MIN(ROUND(wg_wiz_cost_bonus*TblMili[[#This Row],[WG''s]],4),wg_wiz_cost_cap) + tech_1_9_2*TblTech[[#This Row],[1-9]] + tech_9_1_2*TblTech[[#This Row],[9-1]])*wizard_plat,0)</f>
        <v>500</v>
      </c>
      <c r="BT48" s="69" t="n">
        <f aca="false">ROUNDUP((1-MIN(ROUND(wg_wiz_cost_bonus*TblMili[[#This Row],[WG''s]],4),wg_wiz_cost_cap) + tech_1_9_2*TblTech[[#This Row],[1-9]] + tech_9_1_2*TblTech[[#This Row],[9-1]])*archmage_plat,0)</f>
        <v>1000</v>
      </c>
      <c r="BU48" s="132"/>
      <c r="BV48" s="150" t="e">
        <f aca="false">TblConstr[[#This Row],[Homeland]]/TblConstr[[#This Row],[Land]]</f>
        <v>#VALUE!</v>
      </c>
      <c r="BW48" s="150" t="n">
        <f aca="false">TblMili[[#This Row],[WG''s]]</f>
        <v>0</v>
      </c>
      <c r="BX48" s="288" t="e">
        <f aca="false">IF(mystic_cap="none",TblMili[[#This Row],[Hill]]/mystic_bonus,MIN(mystic_cap,TblMili[[#This Row],[Hill]]/mystic_bonus))</f>
        <v>#VALUE!</v>
      </c>
      <c r="BY48" s="288" t="e">
        <f aca="false">IF(druid_op_cap="none",TblMili[[#This Row],[Hill]]/druid_op_bonus,MIN(druid_op_cap,TblMili[[#This Row],[Hill]]/druid_op_bonus))</f>
        <v>#VALUE!</v>
      </c>
      <c r="BZ48" s="288" t="e">
        <f aca="false">IF(druid_dp_cap="none",TblMili[[#This Row],[Hill]]/druid_dp_bonus,MIN(druid_dp_cap,TblMili[[#This Row],[Hill]]/druid_dp_bonus))</f>
        <v>#VALUE!</v>
      </c>
      <c r="CA48" s="288" t="e">
        <f aca="false">MIN(dryad_cap,TblMili[[#This Row],[Hill]]/dryad_bonus)</f>
        <v>#VALUE!</v>
      </c>
      <c r="CB48" s="288" t="e">
        <f aca="false">MIN(rocka_cap,TblMili[[#This Row],[Hill]]/rocka_bonus)</f>
        <v>#VALUE!</v>
      </c>
      <c r="CC48" s="288" t="n">
        <f aca="false">MIN(adept_op_cap,TblMili[[#This Row],[WG]]/adept_op_bonus)</f>
        <v>0</v>
      </c>
      <c r="CD48" s="288" t="n">
        <f aca="false">MIN(adept_dp_cap,TblMili[[#This Row],[WG]]/adept_dp_bonus)</f>
        <v>0</v>
      </c>
      <c r="CE48" s="69" t="n">
        <f aca="false">MIN(TblMili[[#This Row],[Unit 3]],TblMili[[#This Row],[Unit 2]])*2</f>
        <v>0</v>
      </c>
      <c r="CF48" s="69" t="n">
        <f aca="false">MIN(TblMili[[#This Row],[Unit 1]],TblMili[[#This Row],[Unit 4]])*2</f>
        <v>0</v>
      </c>
      <c r="CG48" s="288" t="e">
        <f aca="false">MIN(frost_mage_cap,TblMili[[#This Row],[Hill]]/frost_mage_bonus)</f>
        <v>#VALUE!</v>
      </c>
      <c r="CH48" s="151" t="n">
        <f aca="false">MIN(ice_elem_cap,TblMili[[#This Row],[Raw (2)]]*ice_elem_bonus)</f>
        <v>0</v>
      </c>
      <c r="CI48" s="288" t="n">
        <f aca="false">MIN(bone_breaker_cap,250/bone_breaker_bonus)</f>
        <v>0.833333333333333</v>
      </c>
      <c r="CJ48" s="288" t="e">
        <f aca="false">MIN(nox_nightshade_cap,TblConstr[[#This Row],[Homeland]]/TblConstr[[#This Row],[Land]]/nox_nightshade_swamp_bonus)</f>
        <v>#VALUE!</v>
      </c>
      <c r="CK48" s="289"/>
      <c r="CL48" s="289"/>
      <c r="CM48" s="289"/>
      <c r="CN48" s="288" t="e">
        <f aca="false">MIN(6,TblMili[[#This Row],[Mystic]]+Races!$F$19)*1.8 +  IF(TblMili[[#This Row],[Mystic]]+Races!$F$19&gt;6,(TblMili[[#This Row],[Mystic]]+Races!$F$19-6)*0.2,0) - Races!$I$19</f>
        <v>#VALUE!</v>
      </c>
      <c r="CO48" s="288" t="e">
        <f aca="false">1.8 * MIN(MAX(TblMili[[#This Row],[Druid (op)]]+Races!$E$20,TblMili[[#This Row],[Druid (dp)]]+Races!$F$20),6)  +  0.45 * MIN(MIN(TblMili[[#This Row],[Druid (op)]]+Races!$E$20,TblMili[[#This Row],[Druid (dp)]]+Races!$F$20),6)  +  0.2 * ( MAX(TblMili[[#This Row],[Druid (op)]]+Races!$E$20-6,0) + MAX(TblMili[[#This Row],[Druid (dp)]]+Races!$F$20-6,0) )  -  Races!$I$20</f>
        <v>#VALUE!</v>
      </c>
      <c r="CP48" s="69" t="e">
        <f aca="false">TblMili[[#This Row],[Mystic bonus]]*TblMili[[#This Row],[Unit 3]]+TblMili[[#This Row],[Druid bonus]]*TblMili[[#This Row],[Unit 4]]</f>
        <v>#VALUE!</v>
      </c>
      <c r="CQ48" s="148" t="e">
        <f aca="false">MIN(6,TblMili[[#This Row],[Dryad]]+Races!$F$35)*1.8 +  IF(TblMili[[#This Row],[Dryad]]+Races!$F$35&gt;6,(TblMili[[#This Row],[Dryad]]+Races!$F$35-6)*0.2,0) - Races!$I$19</f>
        <v>#VALUE!</v>
      </c>
      <c r="CR48" s="69" t="e">
        <f aca="false">sylvan*(TblMili[[#This Row],[Mystic bonus]]*TblMili[[#This Row],[Unit 3]])</f>
        <v>#VALUE!</v>
      </c>
      <c r="CS48" s="148" t="e">
        <f aca="false">1.8 * MIN(MAX(Races!$E$27,TblMili[[#This Row],[Rockapult]]+Races!$F$27),6)  +  0.45 * MIN(MIN(Races!$E$27,TblMili[[#This Row],[Rockapult]]+Races!$F$27),6)  +  0.2 * ( MAX(Races!$E$27-6,0) + MAX(TblMili[[#This Row],[Rockapult]]+Races!$F$27-6,0) )  -  Races!$I$20</f>
        <v>#VALUE!</v>
      </c>
      <c r="CT48" s="69" t="e">
        <f aca="false">gnome*(TblMili[[#This Row],[Rockapult bonus]]*TblMili[[#This Row],[Unit 3]])</f>
        <v>#VALUE!</v>
      </c>
      <c r="CU48" s="148" t="n">
        <f aca="false">1.8 * MIN(MAX(TblMili[[#This Row],[Spellblade]]+Races!$E$47,TblMili[[#This Row],[Adept-DP]]+Races!$F$47),6)  +  0.45 * MIN(MIN(TblMili[[#This Row],[Spellblade]]+Races!$E$47,TblMili[[#This Row],[Adept-DP]]+Races!$F$47),6)  +  0.2 * ( MAX(TblMili[[#This Row],[Spellblade]]+Races!$E$47-6,0) + MAX(TblMili[[#This Row],[Adept-DP]]+Races!$F$47-6,0) )  -  Races!$I$47</f>
        <v>0</v>
      </c>
      <c r="CV48" s="69" t="n">
        <f aca="false">dark_elf*(TblMili[[#This Row],[Adept bonus]]*TblMili[[#This Row],[Unit 3]])</f>
        <v>0</v>
      </c>
      <c r="CW48" s="148" t="e">
        <f aca="false">1.8 * MIN(MAX(TblMili[[#This Row],[Frost Mage]]+Races!$F$71,Races!$E$71),6)  +  0.45 * MIN(MIN(TblMili[[#This Row],[Frost Mage]]+Races!$F$71,Races!$E$71),6)  +  0.2 * ( MAX(TblMili[[#This Row],[Frost Mage]]+Races!$F$71-6,0) + MAX(Races!$E$71-6,0) )  -  Races!$I$71</f>
        <v>#VALUE!</v>
      </c>
      <c r="CX48" s="148" t="n">
        <f aca="false">1.8 * MIN(MAX(TblMili[[#This Row],[Ice Elemental]]+Races!$E$71,Races!$F$71),6)  +  0.45 * MIN(MIN(TblMili[[#This Row],[Ice Elemental]]+Races!$E$71,Races!$F$71),6)  +  0.2 * ( MAX(TblMili[[#This Row],[Ice Elemental]]+Races!$E$71-6,0) + MAX(Races!$F$71-6,0) )  -  Races!$I$71</f>
        <v>0</v>
      </c>
      <c r="CY48" s="69" t="e">
        <f aca="false">TblMili[[#This Row],[Frost Mage bonus]]*TblMili[[#This Row],[Unit 3]]+TblMili[[#This Row],[Ice Elemental bonus]]*TblMili[[#This Row],[Unit 4]]</f>
        <v>#VALUE!</v>
      </c>
      <c r="CZ48" s="290"/>
      <c r="DA48" s="109" t="n">
        <f aca="false">MIN(SUM(TblConstr[[#This Row],[Plain]:[Water]])/TblMili[[#This Row],[Land]]/favorable_terrain_bonus/100,favorable_terrain_max)</f>
        <v>0</v>
      </c>
      <c r="DB48" s="290"/>
      <c r="DC4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8" s="132"/>
      <c r="DE48" s="291" t="n">
        <f aca="false">(TblMili[[#This Row],[Wizards]]+2*TblMili[[#This Row],[Archmages]])/TblConstr[[#This Row],[Land]]</f>
        <v>0</v>
      </c>
      <c r="DF48" s="291" t="n">
        <f aca="false">TblMili[[#This Row],[Raw (2)]]*(1+race_wizard_strength+IF(TblMili[[#This Row],[Hour]]&gt;72,tech_magical_weaponry_wiz*TblTech[[#This Row],[3-5]],0))</f>
        <v>0</v>
      </c>
    </row>
    <row r="49" customFormat="false" ht="12.75" hidden="false" customHeight="false" outlineLevel="0" collapsed="false">
      <c r="A49" s="128" t="n">
        <f aca="false">TblRezone[[#This Row],[Hour]]</f>
        <v>46</v>
      </c>
      <c r="B49" s="282" t="n">
        <f aca="false">SUM(TblMili[[#This Row],[Unit 1]:[Archmages]])+SUM(OFFSET(TblMili[[#This Row],[Train Unit 1]],-8,0):TblMili[[#This Row],[Train Unit 2]]) + SUM(OFFSET(TblMili[[#This Row],[Train Unit 3]],-11,0):TblMili[[#This Row],[Train AM]]) + TblMili[[#This Row],[Draftees]]</f>
        <v>271</v>
      </c>
      <c r="C49" s="150" t="n">
        <f aca="false">TblPop[[#This Row],[Military%]]</f>
        <v>0.0308761535832289</v>
      </c>
      <c r="D49" s="132"/>
      <c r="E49" s="151" t="n">
        <f aca="false">OFFSET(TblMili[[#This Row],[Unit 1]],-1,0) + OFFSET(TblMili[[#This Row],[Train Unit 1]],-9,0) - TblMili[[#This Row],[Release Unit 1]]</f>
        <v>0</v>
      </c>
      <c r="F49" s="151" t="n">
        <f aca="false">OFFSET(TblMili[[#This Row],[Unit 2]],-1,0) + OFFSET(TblMili[[#This Row],[Train Unit 2]],-9,0)-TblMili[[#This Row],[Release Unit 2]]</f>
        <v>0</v>
      </c>
      <c r="G49" s="151" t="n">
        <f aca="false">OFFSET(TblMili[[#This Row],[Unit 3]],-1,0) + OFFSET(TblMili[[#This Row],[Train Unit 3]],-12,0)-TblMili[[#This Row],[Release Unit 3]]</f>
        <v>0</v>
      </c>
      <c r="H49" s="151" t="n">
        <f aca="false">OFFSET(TblMili[[#This Row],[Unit 4]],-1,0) + OFFSET(TblMili[[#This Row],[Train Unit 4]],-12,0)-TblMili[[#This Row],[Release Unit 4]]</f>
        <v>0</v>
      </c>
      <c r="I49" s="151" t="n">
        <f aca="false">OFFSET(TblMili[[#This Row],[Spies]],-1,0) + OFFSET(TblMili[[#This Row],[Train Spies]],-12,0) - TblMili[[#This Row],[Release Spies]]-TblMili[[#This Row],[Train AS]]</f>
        <v>0</v>
      </c>
      <c r="J49" s="151" t="n">
        <f aca="false">OFFSET(TblMili[[#This Row],[Archspies]],-1,0) + OFFSET(TblMili[[#This Row],[Train AS]],-12,0) - TblMili[[#This Row],[Release AS]]</f>
        <v>0</v>
      </c>
      <c r="K49" s="151" t="n">
        <f aca="false">OFFSET(TblMili[[#This Row],[Wizards]],-1,0) + OFFSET(TblMili[[#This Row],[Train Wiz]],-12,0) - TblMili[[#This Row],[Release Wizards]]-TblMili[[#This Row],[Train AM]]</f>
        <v>0</v>
      </c>
      <c r="L49" s="151" t="n">
        <f aca="false">OFFSET(TblMili[[#This Row],[Archmages]],-1,0) + OFFSET(TblMili[[#This Row],[Train AM]],-12,0) - TblMili[[#This Row],[Release AM]]</f>
        <v>0</v>
      </c>
      <c r="M49" s="132"/>
      <c r="N49" s="69" t="e">
        <f aca="false">TblProd[[#This Row],[Networth]]</f>
        <v>#VALUE!</v>
      </c>
      <c r="O49" s="132"/>
      <c r="P4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9" s="285" t="e">
        <f aca="false">TblMili[[#This Row],[Raw]]*(1+TblMili[[#This Row],[Mods_Off]])</f>
        <v>#VALUE!</v>
      </c>
      <c r="S4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9" s="285" t="e">
        <f aca="false">TblMili[[#This Row],[Non Draft]]+TblMili[[#This Row],[Draftees]]</f>
        <v>#VALUE!</v>
      </c>
      <c r="U49" s="286" t="n">
        <f aca="false">race_defense + TblImps[[#This Row],[Walls]] + ROUND( MIN(gt_bonus*TblConstr[[#This Row],[Tot GT]]/TblConstr[[#This Row],[Land]],gt_bonus_cap), 4) + IF(TblMagic[[#This Row],[Active Howling]]&gt;0,howling_dp_bonus,IF(TblMagic[[#This Row],[Active Ares Call]]&gt;0,ares_call_bonus))</f>
        <v>0</v>
      </c>
      <c r="V49" s="274" t="e">
        <f aca="false">TblMili[[#This Row],[Non Draft]] * (1 + TblMili[[#This Row],[Mods_Def]])</f>
        <v>#VALUE!</v>
      </c>
      <c r="W49" s="285" t="e">
        <f aca="false">TblMili[[#This Row],[Draft]] * (1 + TblMili[[#This Row],[Mods_Def]])</f>
        <v>#VALUE!</v>
      </c>
      <c r="X49" s="285" t="n">
        <f aca="false">TblConstr[[#This Row],[Land]]</f>
        <v>551</v>
      </c>
      <c r="Y49" s="287"/>
      <c r="Z49" s="109" t="n">
        <f aca="false">IF(TblMili[[#This Row],[Set]]&lt;&gt;"",TblMili[[#This Row],[Set]],OFFSET(TblMili[[#This Row],[Draftrate]],-1,0))</f>
        <v>0.9</v>
      </c>
      <c r="AA49" s="69" t="n">
        <f aca="false">OFFSET(TblMili[[#This Row],[Draftees]],-1,0)+OFFSET(TblPop[[#This Row],[Draft Growth]],-1,0) - SUM(TblMili[[#This Row],[Train Unit 1]:[Train Spies]],TblMili[[#This Row],[Train Wiz]]) - TblMili[[#This Row],[Release Draft]] + SUM(TblMili[[#This Row],[Release Unit 1]:[Release AM]]) - TblExplore[[#This Row],[Draftees (2)]]</f>
        <v>271</v>
      </c>
      <c r="AB49" s="146"/>
      <c r="AC49" s="130" t="n">
        <f aca="false">(TblConstr[[#This Row],[Tot Smi]]+TblConstr[[#This Row],[Dest Smi]])/(TblConstr[[#This Row],[Land]]-TblExplore[[#This Row],[Land Bonus]]*20)</f>
        <v>0</v>
      </c>
      <c r="AD49" s="128"/>
      <c r="AE49" s="282" t="n">
        <f aca="false">TblMili[[#This Row],[Hour]]</f>
        <v>46</v>
      </c>
      <c r="AF49" s="129" t="n">
        <f aca="false">TblExplore[[#This Row],[Time]]</f>
        <v>45431.625</v>
      </c>
      <c r="AG49" s="182"/>
      <c r="AH49" s="182"/>
      <c r="AI49" s="182"/>
      <c r="AJ49" s="182"/>
      <c r="AK49" s="182"/>
      <c r="AL49" s="182"/>
      <c r="AM49" s="182"/>
      <c r="AN49" s="182"/>
      <c r="AO49" s="132"/>
      <c r="AP49" s="69" t="n">
        <f aca="false">TblProd[[#This Row],[Platinum]]</f>
        <v>175641</v>
      </c>
      <c r="AQ49" s="69" t="n">
        <f aca="false">INDEX(TblProd[[#Headers],[Lumber]]:TblProd[[#This Row],[Ore]],COUNTA(TblProd[[#Headers],[Lumber]]:TblProd[[#This Row],[Lumber]]),MATCH(Military!$AQ$2,TblProd[[#Headers],[Lumber]:[Ore]],0))</f>
        <v>0</v>
      </c>
      <c r="AR4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69" t="n">
        <f aca="false">TblMili[[#This Row],[Train Unit 1]]*TblMili[[#This Row],[OP Ore]]+TblMili[[#This Row],[Train Unit 2]]*TblMili[[#This Row],[DP Ore]]+TblMili[[#This Row],[Train Unit 3]]*TblMili[[#This Row],[E1 Ore]]+TblMili[[#This Row],[Train Unit 4]]*TblMili[[#This Row],[E2 Ore]]</f>
        <v>0</v>
      </c>
      <c r="AT49" s="132" t="n">
        <f aca="false">TblMili[[#This Row],[Hour]]</f>
        <v>46</v>
      </c>
      <c r="AU49" s="144" t="n">
        <f aca="false">TblMili[[#This Row],[Time]]</f>
        <v>45431.625</v>
      </c>
      <c r="AV49" s="69" t="n">
        <f aca="false">TblMili[[#This Row],[Draftees]]</f>
        <v>271</v>
      </c>
      <c r="AW49" s="182"/>
      <c r="AX49" s="182"/>
      <c r="AY49" s="182"/>
      <c r="AZ49" s="182"/>
      <c r="BA49" s="182"/>
      <c r="BB49" s="182"/>
      <c r="BC49" s="182"/>
      <c r="BD49" s="182"/>
      <c r="BE49" s="182"/>
      <c r="BF49" s="132"/>
      <c r="BG49" s="150" t="n">
        <f aca="false">TblConstr[[#This Row],[Tot WG]]/TblConstr[[#This Row],[Land]]</f>
        <v>0</v>
      </c>
      <c r="BH49" s="150" t="n">
        <f aca="false">TblConstr[[#This Row],[Tot Hav]]/TblConstr[[#This Row],[Land]]</f>
        <v>0</v>
      </c>
      <c r="BI49" s="69" t="n">
        <f aca="false">ROUNDUP((1-MIN(TblMili[[#This Row],[Smithies]]*smithy_bonus,smithy_bonus_cap) + tech_3_5*TblTech[[#This Row],[3-5]] + tech_5_3*TblTech[[#This Row],[5-3]] + tech_5_5*TblTech[[#This Row],[5-5]])*spec_op_plat,0)</f>
        <v>300</v>
      </c>
      <c r="BJ49" s="69" t="n">
        <f aca="false">ROUNDUP(IF(race="Gnome",1,(1-MIN(TblMili[[#This Row],[Smithies]]*smithy_bonus,smithy_bonus_cap) + tech_3_5*TblTech[[#This Row],[3-5]] + tech_5_3*TblTech[[#This Row],[5-3]] + tech_5_5*TblTech[[#This Row],[5-5]]))*spec_op_ore,0)</f>
        <v>0</v>
      </c>
      <c r="BK49" s="69" t="n">
        <f aca="false">ROUNDUP((1-MIN(TblMili[[#This Row],[Smithies]]*smithy_bonus,smithy_bonus_cap) + tech_3_5*TblTech[[#This Row],[3-5]] + tech_5_3*TblTech[[#This Row],[5-3]] + tech_5_5*TblTech[[#This Row],[5-5]])*spec_dp_plat,0)</f>
        <v>300</v>
      </c>
      <c r="BL49" s="69" t="n">
        <f aca="false">ROUNDUP(IF(race="Gnome",1,(1-MIN(TblMili[[#This Row],[Smithies]]*smithy_bonus,smithy_bonus_cap) + tech_3_5*TblTech[[#This Row],[3-5]] + tech_5_3*TblTech[[#This Row],[5-3]] + tech_5_5*TblTech[[#This Row],[5-5]]))*spec_dp_ore,0)</f>
        <v>0</v>
      </c>
      <c r="BM49" s="69" t="n">
        <f aca="false">ROUNDUP((1-MIN(TblMili[[#This Row],[Smithies]]*smithy_bonus,smithy_bonus_cap) + tech_3_5*TblTech[[#This Row],[3-5]] + tech_5_3*TblTech[[#This Row],[5-3]] + tech_5_5*TblTech[[#This Row],[5-5]])*elite1_plat,0)</f>
        <v>925</v>
      </c>
      <c r="BN49" s="69" t="n">
        <f aca="false">ROUNDUP(IF(race="Gnome",1,(1-MIN(TblMili[[#This Row],[Smithies]]*smithy_bonus,smithy_bonus_cap) + tech_3_5*TblTech[[#This Row],[3-5]] + tech_5_3*TblTech[[#This Row],[5-3]] + tech_5_5*TblTech[[#This Row],[5-5]]))*elite1_ore,0)</f>
        <v>0</v>
      </c>
      <c r="BO49" s="69" t="n">
        <f aca="false">ROUNDUP((1-MIN(TblMili[[#This Row],[Smithies]]*smithy_bonus,smithy_bonus_cap) + tech_3_5*TblTech[[#This Row],[3-5]] + tech_5_3*TblTech[[#This Row],[5-3]] + tech_5_5*TblTech[[#This Row],[5-5]])*elite2_plat,0)</f>
        <v>950</v>
      </c>
      <c r="BP49" s="69" t="n">
        <f aca="false">ROUNDUP(IF(race="Gnome",1,(1-MIN(TblMili[[#This Row],[Smithies]]*smithy_bonus,smithy_bonus_cap) + tech_3_5*TblTech[[#This Row],[3-5]] + tech_5_3*TblTech[[#This Row],[5-3]] + tech_5_5*TblTech[[#This Row],[5-5]]))*elite2_ore,0)</f>
        <v>0</v>
      </c>
      <c r="BQ49" s="69" t="n">
        <f aca="false">ROUNDUP((1-MIN(ROUND(fh_spy_cost_red*TblMili[[#This Row],[FH''s]],4),fh_spy_cost_cap)+ tech_1_9*TblTech[[#This Row],[1-9]] + tech_9_1*TblTech[[#This Row],[9-1]])*spy_plat,0)</f>
        <v>500</v>
      </c>
      <c r="BR49" s="69" t="n">
        <f aca="false">ROUNDUP((1-MIN(ROUND(fh_spy_cost_red*TblMili[[#This Row],[FH''s]],4),fh_spy_cost_cap)+ tech_1_9*TblTech[[#This Row],[1-9]] + tech_9_1*TblTech[[#This Row],[9-1]])*archspy_plat,0)</f>
        <v>1000</v>
      </c>
      <c r="BS49" s="69" t="n">
        <f aca="false">ROUNDUP((1-MIN(ROUND(wg_wiz_cost_bonus*TblMili[[#This Row],[WG''s]],4),wg_wiz_cost_cap) + tech_1_9_2*TblTech[[#This Row],[1-9]] + tech_9_1_2*TblTech[[#This Row],[9-1]])*wizard_plat,0)</f>
        <v>500</v>
      </c>
      <c r="BT49" s="69" t="n">
        <f aca="false">ROUNDUP((1-MIN(ROUND(wg_wiz_cost_bonus*TblMili[[#This Row],[WG''s]],4),wg_wiz_cost_cap) + tech_1_9_2*TblTech[[#This Row],[1-9]] + tech_9_1_2*TblTech[[#This Row],[9-1]])*archmage_plat,0)</f>
        <v>1000</v>
      </c>
      <c r="BU49" s="132"/>
      <c r="BV49" s="150" t="e">
        <f aca="false">TblConstr[[#This Row],[Homeland]]/TblConstr[[#This Row],[Land]]</f>
        <v>#VALUE!</v>
      </c>
      <c r="BW49" s="150" t="n">
        <f aca="false">TblMili[[#This Row],[WG''s]]</f>
        <v>0</v>
      </c>
      <c r="BX49" s="288" t="e">
        <f aca="false">IF(mystic_cap="none",TblMili[[#This Row],[Hill]]/mystic_bonus,MIN(mystic_cap,TblMili[[#This Row],[Hill]]/mystic_bonus))</f>
        <v>#VALUE!</v>
      </c>
      <c r="BY49" s="288" t="e">
        <f aca="false">IF(druid_op_cap="none",TblMili[[#This Row],[Hill]]/druid_op_bonus,MIN(druid_op_cap,TblMili[[#This Row],[Hill]]/druid_op_bonus))</f>
        <v>#VALUE!</v>
      </c>
      <c r="BZ49" s="288" t="e">
        <f aca="false">IF(druid_dp_cap="none",TblMili[[#This Row],[Hill]]/druid_dp_bonus,MIN(druid_dp_cap,TblMili[[#This Row],[Hill]]/druid_dp_bonus))</f>
        <v>#VALUE!</v>
      </c>
      <c r="CA49" s="288" t="e">
        <f aca="false">MIN(dryad_cap,TblMili[[#This Row],[Hill]]/dryad_bonus)</f>
        <v>#VALUE!</v>
      </c>
      <c r="CB49" s="288" t="e">
        <f aca="false">MIN(rocka_cap,TblMili[[#This Row],[Hill]]/rocka_bonus)</f>
        <v>#VALUE!</v>
      </c>
      <c r="CC49" s="288" t="n">
        <f aca="false">MIN(adept_op_cap,TblMili[[#This Row],[WG]]/adept_op_bonus)</f>
        <v>0</v>
      </c>
      <c r="CD49" s="288" t="n">
        <f aca="false">MIN(adept_dp_cap,TblMili[[#This Row],[WG]]/adept_dp_bonus)</f>
        <v>0</v>
      </c>
      <c r="CE49" s="69" t="n">
        <f aca="false">MIN(TblMili[[#This Row],[Unit 3]],TblMili[[#This Row],[Unit 2]])*2</f>
        <v>0</v>
      </c>
      <c r="CF49" s="69" t="n">
        <f aca="false">MIN(TblMili[[#This Row],[Unit 1]],TblMili[[#This Row],[Unit 4]])*2</f>
        <v>0</v>
      </c>
      <c r="CG49" s="288" t="e">
        <f aca="false">MIN(frost_mage_cap,TblMili[[#This Row],[Hill]]/frost_mage_bonus)</f>
        <v>#VALUE!</v>
      </c>
      <c r="CH49" s="151" t="n">
        <f aca="false">MIN(ice_elem_cap,TblMili[[#This Row],[Raw (2)]]*ice_elem_bonus)</f>
        <v>0</v>
      </c>
      <c r="CI49" s="288" t="n">
        <f aca="false">MIN(bone_breaker_cap,250/bone_breaker_bonus)</f>
        <v>0.833333333333333</v>
      </c>
      <c r="CJ49" s="288" t="e">
        <f aca="false">MIN(nox_nightshade_cap,TblConstr[[#This Row],[Homeland]]/TblConstr[[#This Row],[Land]]/nox_nightshade_swamp_bonus)</f>
        <v>#VALUE!</v>
      </c>
      <c r="CK49" s="289"/>
      <c r="CL49" s="289"/>
      <c r="CM49" s="289"/>
      <c r="CN49" s="288" t="e">
        <f aca="false">MIN(6,TblMili[[#This Row],[Mystic]]+Races!$F$19)*1.8 +  IF(TblMili[[#This Row],[Mystic]]+Races!$F$19&gt;6,(TblMili[[#This Row],[Mystic]]+Races!$F$19-6)*0.2,0) - Races!$I$19</f>
        <v>#VALUE!</v>
      </c>
      <c r="CO49" s="288" t="e">
        <f aca="false">1.8 * MIN(MAX(TblMili[[#This Row],[Druid (op)]]+Races!$E$20,TblMili[[#This Row],[Druid (dp)]]+Races!$F$20),6)  +  0.45 * MIN(MIN(TblMili[[#This Row],[Druid (op)]]+Races!$E$20,TblMili[[#This Row],[Druid (dp)]]+Races!$F$20),6)  +  0.2 * ( MAX(TblMili[[#This Row],[Druid (op)]]+Races!$E$20-6,0) + MAX(TblMili[[#This Row],[Druid (dp)]]+Races!$F$20-6,0) )  -  Races!$I$20</f>
        <v>#VALUE!</v>
      </c>
      <c r="CP49" s="69" t="e">
        <f aca="false">TblMili[[#This Row],[Mystic bonus]]*TblMili[[#This Row],[Unit 3]]+TblMili[[#This Row],[Druid bonus]]*TblMili[[#This Row],[Unit 4]]</f>
        <v>#VALUE!</v>
      </c>
      <c r="CQ49" s="148" t="e">
        <f aca="false">MIN(6,TblMili[[#This Row],[Dryad]]+Races!$F$35)*1.8 +  IF(TblMili[[#This Row],[Dryad]]+Races!$F$35&gt;6,(TblMili[[#This Row],[Dryad]]+Races!$F$35-6)*0.2,0) - Races!$I$19</f>
        <v>#VALUE!</v>
      </c>
      <c r="CR49" s="69" t="e">
        <f aca="false">sylvan*(TblMili[[#This Row],[Mystic bonus]]*TblMili[[#This Row],[Unit 3]])</f>
        <v>#VALUE!</v>
      </c>
      <c r="CS49" s="148" t="e">
        <f aca="false">1.8 * MIN(MAX(Races!$E$27,TblMili[[#This Row],[Rockapult]]+Races!$F$27),6)  +  0.45 * MIN(MIN(Races!$E$27,TblMili[[#This Row],[Rockapult]]+Races!$F$27),6)  +  0.2 * ( MAX(Races!$E$27-6,0) + MAX(TblMili[[#This Row],[Rockapult]]+Races!$F$27-6,0) )  -  Races!$I$20</f>
        <v>#VALUE!</v>
      </c>
      <c r="CT49" s="69" t="e">
        <f aca="false">gnome*(TblMili[[#This Row],[Rockapult bonus]]*TblMili[[#This Row],[Unit 3]])</f>
        <v>#VALUE!</v>
      </c>
      <c r="CU49" s="148" t="n">
        <f aca="false">1.8 * MIN(MAX(TblMili[[#This Row],[Spellblade]]+Races!$E$47,TblMili[[#This Row],[Adept-DP]]+Races!$F$47),6)  +  0.45 * MIN(MIN(TblMili[[#This Row],[Spellblade]]+Races!$E$47,TblMili[[#This Row],[Adept-DP]]+Races!$F$47),6)  +  0.2 * ( MAX(TblMili[[#This Row],[Spellblade]]+Races!$E$47-6,0) + MAX(TblMili[[#This Row],[Adept-DP]]+Races!$F$47-6,0) )  -  Races!$I$47</f>
        <v>0</v>
      </c>
      <c r="CV49" s="69" t="n">
        <f aca="false">dark_elf*(TblMili[[#This Row],[Adept bonus]]*TblMili[[#This Row],[Unit 3]])</f>
        <v>0</v>
      </c>
      <c r="CW49" s="148" t="e">
        <f aca="false">1.8 * MIN(MAX(TblMili[[#This Row],[Frost Mage]]+Races!$F$71,Races!$E$71),6)  +  0.45 * MIN(MIN(TblMili[[#This Row],[Frost Mage]]+Races!$F$71,Races!$E$71),6)  +  0.2 * ( MAX(TblMili[[#This Row],[Frost Mage]]+Races!$F$71-6,0) + MAX(Races!$E$71-6,0) )  -  Races!$I$71</f>
        <v>#VALUE!</v>
      </c>
      <c r="CX49" s="148" t="n">
        <f aca="false">1.8 * MIN(MAX(TblMili[[#This Row],[Ice Elemental]]+Races!$E$71,Races!$F$71),6)  +  0.45 * MIN(MIN(TblMili[[#This Row],[Ice Elemental]]+Races!$E$71,Races!$F$71),6)  +  0.2 * ( MAX(TblMili[[#This Row],[Ice Elemental]]+Races!$E$71-6,0) + MAX(Races!$F$71-6,0) )  -  Races!$I$71</f>
        <v>0</v>
      </c>
      <c r="CY49" s="69" t="e">
        <f aca="false">TblMili[[#This Row],[Frost Mage bonus]]*TblMili[[#This Row],[Unit 3]]+TblMili[[#This Row],[Ice Elemental bonus]]*TblMili[[#This Row],[Unit 4]]</f>
        <v>#VALUE!</v>
      </c>
      <c r="CZ49" s="290"/>
      <c r="DA49" s="109" t="n">
        <f aca="false">MIN(SUM(TblConstr[[#This Row],[Plain]:[Water]])/TblMili[[#This Row],[Land]]/favorable_terrain_bonus/100,favorable_terrain_max)</f>
        <v>0</v>
      </c>
      <c r="DB49" s="290"/>
      <c r="DC4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9" s="132"/>
      <c r="DE49" s="291" t="n">
        <f aca="false">(TblMili[[#This Row],[Wizards]]+2*TblMili[[#This Row],[Archmages]])/TblConstr[[#This Row],[Land]]</f>
        <v>0</v>
      </c>
      <c r="DF49" s="291" t="n">
        <f aca="false">TblMili[[#This Row],[Raw (2)]]*(1+race_wizard_strength+IF(TblMili[[#This Row],[Hour]]&gt;72,tech_magical_weaponry_wiz*TblTech[[#This Row],[3-5]],0))</f>
        <v>0</v>
      </c>
    </row>
    <row r="50" customFormat="false" ht="12.75" hidden="false" customHeight="false" outlineLevel="0" collapsed="false">
      <c r="A50" s="128" t="n">
        <f aca="false">TblRezone[[#This Row],[Hour]]</f>
        <v>47</v>
      </c>
      <c r="B50" s="282" t="n">
        <f aca="false">SUM(TblMili[[#This Row],[Unit 1]:[Archmages]])+SUM(OFFSET(TblMili[[#This Row],[Train Unit 1]],-8,0):TblMili[[#This Row],[Train Unit 2]]) + SUM(OFFSET(TblMili[[#This Row],[Train Unit 3]],-11,0):TblMili[[#This Row],[Train AM]]) + TblMili[[#This Row],[Draftees]]</f>
        <v>356</v>
      </c>
      <c r="C50" s="150" t="n">
        <f aca="false">TblPop[[#This Row],[Military%]]</f>
        <v>0.0397321428571429</v>
      </c>
      <c r="D50" s="132"/>
      <c r="E50" s="151" t="n">
        <f aca="false">OFFSET(TblMili[[#This Row],[Unit 1]],-1,0) + OFFSET(TblMili[[#This Row],[Train Unit 1]],-9,0) - TblMili[[#This Row],[Release Unit 1]]</f>
        <v>0</v>
      </c>
      <c r="F50" s="151" t="n">
        <f aca="false">OFFSET(TblMili[[#This Row],[Unit 2]],-1,0) + OFFSET(TblMili[[#This Row],[Train Unit 2]],-9,0)-TblMili[[#This Row],[Release Unit 2]]</f>
        <v>0</v>
      </c>
      <c r="G50" s="151" t="n">
        <f aca="false">OFFSET(TblMili[[#This Row],[Unit 3]],-1,0) + OFFSET(TblMili[[#This Row],[Train Unit 3]],-12,0)-TblMili[[#This Row],[Release Unit 3]]</f>
        <v>0</v>
      </c>
      <c r="H50" s="151" t="n">
        <f aca="false">OFFSET(TblMili[[#This Row],[Unit 4]],-1,0) + OFFSET(TblMili[[#This Row],[Train Unit 4]],-12,0)-TblMili[[#This Row],[Release Unit 4]]</f>
        <v>0</v>
      </c>
      <c r="I50" s="151" t="n">
        <f aca="false">OFFSET(TblMili[[#This Row],[Spies]],-1,0) + OFFSET(TblMili[[#This Row],[Train Spies]],-12,0) - TblMili[[#This Row],[Release Spies]]-TblMili[[#This Row],[Train AS]]</f>
        <v>0</v>
      </c>
      <c r="J50" s="151" t="n">
        <f aca="false">OFFSET(TblMili[[#This Row],[Archspies]],-1,0) + OFFSET(TblMili[[#This Row],[Train AS]],-12,0) - TblMili[[#This Row],[Release AS]]</f>
        <v>0</v>
      </c>
      <c r="K50" s="151" t="n">
        <f aca="false">OFFSET(TblMili[[#This Row],[Wizards]],-1,0) + OFFSET(TblMili[[#This Row],[Train Wiz]],-12,0) - TblMili[[#This Row],[Release Wizards]]-TblMili[[#This Row],[Train AM]]</f>
        <v>0</v>
      </c>
      <c r="L50" s="151" t="n">
        <f aca="false">OFFSET(TblMili[[#This Row],[Archmages]],-1,0) + OFFSET(TblMili[[#This Row],[Train AM]],-12,0) - TblMili[[#This Row],[Release AM]]</f>
        <v>0</v>
      </c>
      <c r="M50" s="132"/>
      <c r="N50" s="69" t="e">
        <f aca="false">TblProd[[#This Row],[Networth]]</f>
        <v>#VALUE!</v>
      </c>
      <c r="O50" s="132"/>
      <c r="P5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0" s="285" t="e">
        <f aca="false">TblMili[[#This Row],[Raw]]*(1+TblMili[[#This Row],[Mods_Off]])</f>
        <v>#VALUE!</v>
      </c>
      <c r="S5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0" s="285" t="e">
        <f aca="false">TblMili[[#This Row],[Non Draft]]+TblMili[[#This Row],[Draftees]]</f>
        <v>#VALUE!</v>
      </c>
      <c r="U50" s="286" t="n">
        <f aca="false">race_defense + TblImps[[#This Row],[Walls]] + ROUND( MIN(gt_bonus*TblConstr[[#This Row],[Tot GT]]/TblConstr[[#This Row],[Land]],gt_bonus_cap), 4) + IF(TblMagic[[#This Row],[Active Howling]]&gt;0,howling_dp_bonus,IF(TblMagic[[#This Row],[Active Ares Call]]&gt;0,ares_call_bonus))</f>
        <v>0</v>
      </c>
      <c r="V50" s="274" t="e">
        <f aca="false">TblMili[[#This Row],[Non Draft]] * (1 + TblMili[[#This Row],[Mods_Def]])</f>
        <v>#VALUE!</v>
      </c>
      <c r="W50" s="285" t="e">
        <f aca="false">TblMili[[#This Row],[Draft]] * (1 + TblMili[[#This Row],[Mods_Def]])</f>
        <v>#VALUE!</v>
      </c>
      <c r="X50" s="285" t="n">
        <f aca="false">TblConstr[[#This Row],[Land]]</f>
        <v>563</v>
      </c>
      <c r="Y50" s="287"/>
      <c r="Z50" s="109" t="n">
        <f aca="false">IF(TblMili[[#This Row],[Set]]&lt;&gt;"",TblMili[[#This Row],[Set]],OFFSET(TblMili[[#This Row],[Draftrate]],-1,0))</f>
        <v>0.9</v>
      </c>
      <c r="AA50" s="69" t="n">
        <f aca="false">OFFSET(TblMili[[#This Row],[Draftees]],-1,0)+OFFSET(TblPop[[#This Row],[Draft Growth]],-1,0) - SUM(TblMili[[#This Row],[Train Unit 1]:[Train Spies]],TblMili[[#This Row],[Train Wiz]]) - TblMili[[#This Row],[Release Draft]] + SUM(TblMili[[#This Row],[Release Unit 1]:[Release AM]]) - TblExplore[[#This Row],[Draftees (2)]]</f>
        <v>356</v>
      </c>
      <c r="AB50" s="146"/>
      <c r="AC50" s="130" t="n">
        <f aca="false">(TblConstr[[#This Row],[Tot Smi]]+TblConstr[[#This Row],[Dest Smi]])/(TblConstr[[#This Row],[Land]]-TblExplore[[#This Row],[Land Bonus]]*20)</f>
        <v>0</v>
      </c>
      <c r="AD50" s="128"/>
      <c r="AE50" s="282" t="n">
        <f aca="false">TblMili[[#This Row],[Hour]]</f>
        <v>47</v>
      </c>
      <c r="AF50" s="129" t="n">
        <f aca="false">TblExplore[[#This Row],[Time]]</f>
        <v>45431.6666666667</v>
      </c>
      <c r="AG50" s="182"/>
      <c r="AH50" s="182"/>
      <c r="AI50" s="182"/>
      <c r="AJ50" s="182"/>
      <c r="AK50" s="182"/>
      <c r="AL50" s="182"/>
      <c r="AM50" s="182"/>
      <c r="AN50" s="182"/>
      <c r="AO50" s="132"/>
      <c r="AP50" s="69" t="n">
        <f aca="false">TblProd[[#This Row],[Platinum]]</f>
        <v>209248</v>
      </c>
      <c r="AQ50" s="69" t="n">
        <f aca="false">INDEX(TblProd[[#Headers],[Lumber]]:TblProd[[#This Row],[Ore]],COUNTA(TblProd[[#Headers],[Lumber]]:TblProd[[#This Row],[Lumber]]),MATCH(Military!$AQ$2,TblProd[[#Headers],[Lumber]:[Ore]],0))</f>
        <v>0</v>
      </c>
      <c r="AR5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69" t="n">
        <f aca="false">TblMili[[#This Row],[Train Unit 1]]*TblMili[[#This Row],[OP Ore]]+TblMili[[#This Row],[Train Unit 2]]*TblMili[[#This Row],[DP Ore]]+TblMili[[#This Row],[Train Unit 3]]*TblMili[[#This Row],[E1 Ore]]+TblMili[[#This Row],[Train Unit 4]]*TblMili[[#This Row],[E2 Ore]]</f>
        <v>0</v>
      </c>
      <c r="AT50" s="132" t="n">
        <f aca="false">TblMili[[#This Row],[Hour]]</f>
        <v>47</v>
      </c>
      <c r="AU50" s="144" t="n">
        <f aca="false">TblMili[[#This Row],[Time]]</f>
        <v>45431.6666666667</v>
      </c>
      <c r="AV50" s="69" t="n">
        <f aca="false">TblMili[[#This Row],[Draftees]]</f>
        <v>356</v>
      </c>
      <c r="AW50" s="182"/>
      <c r="AX50" s="182"/>
      <c r="AY50" s="182"/>
      <c r="AZ50" s="182"/>
      <c r="BA50" s="182"/>
      <c r="BB50" s="182"/>
      <c r="BC50" s="182"/>
      <c r="BD50" s="182"/>
      <c r="BE50" s="182"/>
      <c r="BF50" s="132"/>
      <c r="BG50" s="150" t="n">
        <f aca="false">TblConstr[[#This Row],[Tot WG]]/TblConstr[[#This Row],[Land]]</f>
        <v>0</v>
      </c>
      <c r="BH50" s="150" t="n">
        <f aca="false">TblConstr[[#This Row],[Tot Hav]]/TblConstr[[#This Row],[Land]]</f>
        <v>0</v>
      </c>
      <c r="BI50" s="69" t="n">
        <f aca="false">ROUNDUP((1-MIN(TblMili[[#This Row],[Smithies]]*smithy_bonus,smithy_bonus_cap) + tech_3_5*TblTech[[#This Row],[3-5]] + tech_5_3*TblTech[[#This Row],[5-3]] + tech_5_5*TblTech[[#This Row],[5-5]])*spec_op_plat,0)</f>
        <v>300</v>
      </c>
      <c r="BJ50" s="69" t="n">
        <f aca="false">ROUNDUP(IF(race="Gnome",1,(1-MIN(TblMili[[#This Row],[Smithies]]*smithy_bonus,smithy_bonus_cap) + tech_3_5*TblTech[[#This Row],[3-5]] + tech_5_3*TblTech[[#This Row],[5-3]] + tech_5_5*TblTech[[#This Row],[5-5]]))*spec_op_ore,0)</f>
        <v>0</v>
      </c>
      <c r="BK50" s="69" t="n">
        <f aca="false">ROUNDUP((1-MIN(TblMili[[#This Row],[Smithies]]*smithy_bonus,smithy_bonus_cap) + tech_3_5*TblTech[[#This Row],[3-5]] + tech_5_3*TblTech[[#This Row],[5-3]] + tech_5_5*TblTech[[#This Row],[5-5]])*spec_dp_plat,0)</f>
        <v>300</v>
      </c>
      <c r="BL50" s="69" t="n">
        <f aca="false">ROUNDUP(IF(race="Gnome",1,(1-MIN(TblMili[[#This Row],[Smithies]]*smithy_bonus,smithy_bonus_cap) + tech_3_5*TblTech[[#This Row],[3-5]] + tech_5_3*TblTech[[#This Row],[5-3]] + tech_5_5*TblTech[[#This Row],[5-5]]))*spec_dp_ore,0)</f>
        <v>0</v>
      </c>
      <c r="BM50" s="69" t="n">
        <f aca="false">ROUNDUP((1-MIN(TblMili[[#This Row],[Smithies]]*smithy_bonus,smithy_bonus_cap) + tech_3_5*TblTech[[#This Row],[3-5]] + tech_5_3*TblTech[[#This Row],[5-3]] + tech_5_5*TblTech[[#This Row],[5-5]])*elite1_plat,0)</f>
        <v>925</v>
      </c>
      <c r="BN50" s="69" t="n">
        <f aca="false">ROUNDUP(IF(race="Gnome",1,(1-MIN(TblMili[[#This Row],[Smithies]]*smithy_bonus,smithy_bonus_cap) + tech_3_5*TblTech[[#This Row],[3-5]] + tech_5_3*TblTech[[#This Row],[5-3]] + tech_5_5*TblTech[[#This Row],[5-5]]))*elite1_ore,0)</f>
        <v>0</v>
      </c>
      <c r="BO50" s="69" t="n">
        <f aca="false">ROUNDUP((1-MIN(TblMili[[#This Row],[Smithies]]*smithy_bonus,smithy_bonus_cap) + tech_3_5*TblTech[[#This Row],[3-5]] + tech_5_3*TblTech[[#This Row],[5-3]] + tech_5_5*TblTech[[#This Row],[5-5]])*elite2_plat,0)</f>
        <v>950</v>
      </c>
      <c r="BP50" s="69" t="n">
        <f aca="false">ROUNDUP(IF(race="Gnome",1,(1-MIN(TblMili[[#This Row],[Smithies]]*smithy_bonus,smithy_bonus_cap) + tech_3_5*TblTech[[#This Row],[3-5]] + tech_5_3*TblTech[[#This Row],[5-3]] + tech_5_5*TblTech[[#This Row],[5-5]]))*elite2_ore,0)</f>
        <v>0</v>
      </c>
      <c r="BQ50" s="69" t="n">
        <f aca="false">ROUNDUP((1-MIN(ROUND(fh_spy_cost_red*TblMili[[#This Row],[FH''s]],4),fh_spy_cost_cap)+ tech_1_9*TblTech[[#This Row],[1-9]] + tech_9_1*TblTech[[#This Row],[9-1]])*spy_plat,0)</f>
        <v>500</v>
      </c>
      <c r="BR50" s="69" t="n">
        <f aca="false">ROUNDUP((1-MIN(ROUND(fh_spy_cost_red*TblMili[[#This Row],[FH''s]],4),fh_spy_cost_cap)+ tech_1_9*TblTech[[#This Row],[1-9]] + tech_9_1*TblTech[[#This Row],[9-1]])*archspy_plat,0)</f>
        <v>1000</v>
      </c>
      <c r="BS50" s="69" t="n">
        <f aca="false">ROUNDUP((1-MIN(ROUND(wg_wiz_cost_bonus*TblMili[[#This Row],[WG''s]],4),wg_wiz_cost_cap) + tech_1_9_2*TblTech[[#This Row],[1-9]] + tech_9_1_2*TblTech[[#This Row],[9-1]])*wizard_plat,0)</f>
        <v>500</v>
      </c>
      <c r="BT50" s="69" t="n">
        <f aca="false">ROUNDUP((1-MIN(ROUND(wg_wiz_cost_bonus*TblMili[[#This Row],[WG''s]],4),wg_wiz_cost_cap) + tech_1_9_2*TblTech[[#This Row],[1-9]] + tech_9_1_2*TblTech[[#This Row],[9-1]])*archmage_plat,0)</f>
        <v>1000</v>
      </c>
      <c r="BU50" s="132"/>
      <c r="BV50" s="150" t="e">
        <f aca="false">TblConstr[[#This Row],[Homeland]]/TblConstr[[#This Row],[Land]]</f>
        <v>#VALUE!</v>
      </c>
      <c r="BW50" s="150" t="n">
        <f aca="false">TblMili[[#This Row],[WG''s]]</f>
        <v>0</v>
      </c>
      <c r="BX50" s="288" t="e">
        <f aca="false">IF(mystic_cap="none",TblMili[[#This Row],[Hill]]/mystic_bonus,MIN(mystic_cap,TblMili[[#This Row],[Hill]]/mystic_bonus))</f>
        <v>#VALUE!</v>
      </c>
      <c r="BY50" s="288" t="e">
        <f aca="false">IF(druid_op_cap="none",TblMili[[#This Row],[Hill]]/druid_op_bonus,MIN(druid_op_cap,TblMili[[#This Row],[Hill]]/druid_op_bonus))</f>
        <v>#VALUE!</v>
      </c>
      <c r="BZ50" s="288" t="e">
        <f aca="false">IF(druid_dp_cap="none",TblMili[[#This Row],[Hill]]/druid_dp_bonus,MIN(druid_dp_cap,TblMili[[#This Row],[Hill]]/druid_dp_bonus))</f>
        <v>#VALUE!</v>
      </c>
      <c r="CA50" s="288" t="e">
        <f aca="false">MIN(dryad_cap,TblMili[[#This Row],[Hill]]/dryad_bonus)</f>
        <v>#VALUE!</v>
      </c>
      <c r="CB50" s="288" t="e">
        <f aca="false">MIN(rocka_cap,TblMili[[#This Row],[Hill]]/rocka_bonus)</f>
        <v>#VALUE!</v>
      </c>
      <c r="CC50" s="288" t="n">
        <f aca="false">MIN(adept_op_cap,TblMili[[#This Row],[WG]]/adept_op_bonus)</f>
        <v>0</v>
      </c>
      <c r="CD50" s="288" t="n">
        <f aca="false">MIN(adept_dp_cap,TblMili[[#This Row],[WG]]/adept_dp_bonus)</f>
        <v>0</v>
      </c>
      <c r="CE50" s="69" t="n">
        <f aca="false">MIN(TblMili[[#This Row],[Unit 3]],TblMili[[#This Row],[Unit 2]])*2</f>
        <v>0</v>
      </c>
      <c r="CF50" s="69" t="n">
        <f aca="false">MIN(TblMili[[#This Row],[Unit 1]],TblMili[[#This Row],[Unit 4]])*2</f>
        <v>0</v>
      </c>
      <c r="CG50" s="288" t="e">
        <f aca="false">MIN(frost_mage_cap,TblMili[[#This Row],[Hill]]/frost_mage_bonus)</f>
        <v>#VALUE!</v>
      </c>
      <c r="CH50" s="151" t="n">
        <f aca="false">MIN(ice_elem_cap,TblMili[[#This Row],[Raw (2)]]*ice_elem_bonus)</f>
        <v>0</v>
      </c>
      <c r="CI50" s="288" t="n">
        <f aca="false">MIN(bone_breaker_cap,250/bone_breaker_bonus)</f>
        <v>0.833333333333333</v>
      </c>
      <c r="CJ50" s="288" t="e">
        <f aca="false">MIN(nox_nightshade_cap,TblConstr[[#This Row],[Homeland]]/TblConstr[[#This Row],[Land]]/nox_nightshade_swamp_bonus)</f>
        <v>#VALUE!</v>
      </c>
      <c r="CK50" s="289"/>
      <c r="CL50" s="289"/>
      <c r="CM50" s="289"/>
      <c r="CN50" s="288" t="e">
        <f aca="false">MIN(6,TblMili[[#This Row],[Mystic]]+Races!$F$19)*1.8 +  IF(TblMili[[#This Row],[Mystic]]+Races!$F$19&gt;6,(TblMili[[#This Row],[Mystic]]+Races!$F$19-6)*0.2,0) - Races!$I$19</f>
        <v>#VALUE!</v>
      </c>
      <c r="CO50" s="288" t="e">
        <f aca="false">1.8 * MIN(MAX(TblMili[[#This Row],[Druid (op)]]+Races!$E$20,TblMili[[#This Row],[Druid (dp)]]+Races!$F$20),6)  +  0.45 * MIN(MIN(TblMili[[#This Row],[Druid (op)]]+Races!$E$20,TblMili[[#This Row],[Druid (dp)]]+Races!$F$20),6)  +  0.2 * ( MAX(TblMili[[#This Row],[Druid (op)]]+Races!$E$20-6,0) + MAX(TblMili[[#This Row],[Druid (dp)]]+Races!$F$20-6,0) )  -  Races!$I$20</f>
        <v>#VALUE!</v>
      </c>
      <c r="CP50" s="69" t="e">
        <f aca="false">TblMili[[#This Row],[Mystic bonus]]*TblMili[[#This Row],[Unit 3]]+TblMili[[#This Row],[Druid bonus]]*TblMili[[#This Row],[Unit 4]]</f>
        <v>#VALUE!</v>
      </c>
      <c r="CQ50" s="148" t="e">
        <f aca="false">MIN(6,TblMili[[#This Row],[Dryad]]+Races!$F$35)*1.8 +  IF(TblMili[[#This Row],[Dryad]]+Races!$F$35&gt;6,(TblMili[[#This Row],[Dryad]]+Races!$F$35-6)*0.2,0) - Races!$I$19</f>
        <v>#VALUE!</v>
      </c>
      <c r="CR50" s="69" t="e">
        <f aca="false">sylvan*(TblMili[[#This Row],[Mystic bonus]]*TblMili[[#This Row],[Unit 3]])</f>
        <v>#VALUE!</v>
      </c>
      <c r="CS50" s="148" t="e">
        <f aca="false">1.8 * MIN(MAX(Races!$E$27,TblMili[[#This Row],[Rockapult]]+Races!$F$27),6)  +  0.45 * MIN(MIN(Races!$E$27,TblMili[[#This Row],[Rockapult]]+Races!$F$27),6)  +  0.2 * ( MAX(Races!$E$27-6,0) + MAX(TblMili[[#This Row],[Rockapult]]+Races!$F$27-6,0) )  -  Races!$I$20</f>
        <v>#VALUE!</v>
      </c>
      <c r="CT50" s="69" t="e">
        <f aca="false">gnome*(TblMili[[#This Row],[Rockapult bonus]]*TblMili[[#This Row],[Unit 3]])</f>
        <v>#VALUE!</v>
      </c>
      <c r="CU50" s="148" t="n">
        <f aca="false">1.8 * MIN(MAX(TblMili[[#This Row],[Spellblade]]+Races!$E$47,TblMili[[#This Row],[Adept-DP]]+Races!$F$47),6)  +  0.45 * MIN(MIN(TblMili[[#This Row],[Spellblade]]+Races!$E$47,TblMili[[#This Row],[Adept-DP]]+Races!$F$47),6)  +  0.2 * ( MAX(TblMili[[#This Row],[Spellblade]]+Races!$E$47-6,0) + MAX(TblMili[[#This Row],[Adept-DP]]+Races!$F$47-6,0) )  -  Races!$I$47</f>
        <v>0</v>
      </c>
      <c r="CV50" s="69" t="n">
        <f aca="false">dark_elf*(TblMili[[#This Row],[Adept bonus]]*TblMili[[#This Row],[Unit 3]])</f>
        <v>0</v>
      </c>
      <c r="CW50" s="148" t="e">
        <f aca="false">1.8 * MIN(MAX(TblMili[[#This Row],[Frost Mage]]+Races!$F$71,Races!$E$71),6)  +  0.45 * MIN(MIN(TblMili[[#This Row],[Frost Mage]]+Races!$F$71,Races!$E$71),6)  +  0.2 * ( MAX(TblMili[[#This Row],[Frost Mage]]+Races!$F$71-6,0) + MAX(Races!$E$71-6,0) )  -  Races!$I$71</f>
        <v>#VALUE!</v>
      </c>
      <c r="CX50" s="148" t="n">
        <f aca="false">1.8 * MIN(MAX(TblMili[[#This Row],[Ice Elemental]]+Races!$E$71,Races!$F$71),6)  +  0.45 * MIN(MIN(TblMili[[#This Row],[Ice Elemental]]+Races!$E$71,Races!$F$71),6)  +  0.2 * ( MAX(TblMili[[#This Row],[Ice Elemental]]+Races!$E$71-6,0) + MAX(Races!$F$71-6,0) )  -  Races!$I$71</f>
        <v>0</v>
      </c>
      <c r="CY50" s="69" t="e">
        <f aca="false">TblMili[[#This Row],[Frost Mage bonus]]*TblMili[[#This Row],[Unit 3]]+TblMili[[#This Row],[Ice Elemental bonus]]*TblMili[[#This Row],[Unit 4]]</f>
        <v>#VALUE!</v>
      </c>
      <c r="CZ50" s="290"/>
      <c r="DA50" s="109" t="n">
        <f aca="false">MIN(SUM(TblConstr[[#This Row],[Plain]:[Water]])/TblMili[[#This Row],[Land]]/favorable_terrain_bonus/100,favorable_terrain_max)</f>
        <v>0</v>
      </c>
      <c r="DB50" s="290"/>
      <c r="DC5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0" s="132"/>
      <c r="DE50" s="291" t="n">
        <f aca="false">(TblMili[[#This Row],[Wizards]]+2*TblMili[[#This Row],[Archmages]])/TblConstr[[#This Row],[Land]]</f>
        <v>0</v>
      </c>
      <c r="DF50" s="291" t="n">
        <f aca="false">TblMili[[#This Row],[Raw (2)]]*(1+race_wizard_strength+IF(TblMili[[#This Row],[Hour]]&gt;72,tech_magical_weaponry_wiz*TblTech[[#This Row],[3-5]],0))</f>
        <v>0</v>
      </c>
    </row>
    <row r="51" customFormat="false" ht="12.75" hidden="false" customHeight="false" outlineLevel="0" collapsed="false">
      <c r="A51" s="128" t="n">
        <f aca="false">TblRezone[[#This Row],[Hour]]</f>
        <v>48</v>
      </c>
      <c r="B51" s="282" t="n">
        <f aca="false">SUM(TblMili[[#This Row],[Unit 1]:[Archmages]])+SUM(OFFSET(TblMili[[#This Row],[Train Unit 1]],-8,0):TblMili[[#This Row],[Train Unit 2]]) + SUM(OFFSET(TblMili[[#This Row],[Train Unit 3]],-11,0):TblMili[[#This Row],[Train AM]]) + TblMili[[#This Row],[Draftees]]</f>
        <v>442</v>
      </c>
      <c r="C51" s="150" t="n">
        <f aca="false">TblPop[[#This Row],[Military%]]</f>
        <v>0.0482585435091167</v>
      </c>
      <c r="D51" s="132"/>
      <c r="E51" s="151" t="n">
        <f aca="false">OFFSET(TblMili[[#This Row],[Unit 1]],-1,0) + OFFSET(TblMili[[#This Row],[Train Unit 1]],-9,0) - TblMili[[#This Row],[Release Unit 1]]</f>
        <v>0</v>
      </c>
      <c r="F51" s="151" t="n">
        <f aca="false">OFFSET(TblMili[[#This Row],[Unit 2]],-1,0) + OFFSET(TblMili[[#This Row],[Train Unit 2]],-9,0)-TblMili[[#This Row],[Release Unit 2]]</f>
        <v>0</v>
      </c>
      <c r="G51" s="151" t="n">
        <f aca="false">OFFSET(TblMili[[#This Row],[Unit 3]],-1,0) + OFFSET(TblMili[[#This Row],[Train Unit 3]],-12,0)-TblMili[[#This Row],[Release Unit 3]]</f>
        <v>0</v>
      </c>
      <c r="H51" s="151" t="n">
        <f aca="false">OFFSET(TblMili[[#This Row],[Unit 4]],-1,0) + OFFSET(TblMili[[#This Row],[Train Unit 4]],-12,0)-TblMili[[#This Row],[Release Unit 4]]</f>
        <v>0</v>
      </c>
      <c r="I51" s="151" t="n">
        <f aca="false">OFFSET(TblMili[[#This Row],[Spies]],-1,0) + OFFSET(TblMili[[#This Row],[Train Spies]],-12,0) - TblMili[[#This Row],[Release Spies]]-TblMili[[#This Row],[Train AS]]</f>
        <v>0</v>
      </c>
      <c r="J51" s="151" t="n">
        <f aca="false">OFFSET(TblMili[[#This Row],[Archspies]],-1,0) + OFFSET(TblMili[[#This Row],[Train AS]],-12,0) - TblMili[[#This Row],[Release AS]]</f>
        <v>0</v>
      </c>
      <c r="K51" s="151" t="n">
        <f aca="false">OFFSET(TblMili[[#This Row],[Wizards]],-1,0) + OFFSET(TblMili[[#This Row],[Train Wiz]],-12,0) - TblMili[[#This Row],[Release Wizards]]-TblMili[[#This Row],[Train AM]]</f>
        <v>0</v>
      </c>
      <c r="L51" s="151" t="n">
        <f aca="false">OFFSET(TblMili[[#This Row],[Archmages]],-1,0) + OFFSET(TblMili[[#This Row],[Train AM]],-12,0) - TblMili[[#This Row],[Release AM]]</f>
        <v>0</v>
      </c>
      <c r="M51" s="132"/>
      <c r="N51" s="69" t="e">
        <f aca="false">TblProd[[#This Row],[Networth]]</f>
        <v>#VALUE!</v>
      </c>
      <c r="O51" s="132"/>
      <c r="P5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1" s="285" t="e">
        <f aca="false">TblMili[[#This Row],[Raw]]*(1+TblMili[[#This Row],[Mods_Off]])</f>
        <v>#VALUE!</v>
      </c>
      <c r="S5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1" s="285" t="e">
        <f aca="false">TblMili[[#This Row],[Non Draft]]+TblMili[[#This Row],[Draftees]]</f>
        <v>#VALUE!</v>
      </c>
      <c r="U51" s="286" t="n">
        <f aca="false">race_defense + TblImps[[#This Row],[Walls]] + ROUND( MIN(gt_bonus*TblConstr[[#This Row],[Tot GT]]/TblConstr[[#This Row],[Land]],gt_bonus_cap), 4) + IF(TblMagic[[#This Row],[Active Howling]]&gt;0,howling_dp_bonus,IF(TblMagic[[#This Row],[Active Ares Call]]&gt;0,ares_call_bonus))</f>
        <v>0</v>
      </c>
      <c r="V51" s="274" t="e">
        <f aca="false">TblMili[[#This Row],[Non Draft]] * (1 + TblMili[[#This Row],[Mods_Def]])</f>
        <v>#VALUE!</v>
      </c>
      <c r="W51" s="285" t="e">
        <f aca="false">TblMili[[#This Row],[Draft]] * (1 + TblMili[[#This Row],[Mods_Def]])</f>
        <v>#VALUE!</v>
      </c>
      <c r="X51" s="285" t="n">
        <f aca="false">TblConstr[[#This Row],[Land]]</f>
        <v>596</v>
      </c>
      <c r="Y51" s="287"/>
      <c r="Z51" s="109" t="n">
        <f aca="false">IF(TblMili[[#This Row],[Set]]&lt;&gt;"",TblMili[[#This Row],[Set]],OFFSET(TblMili[[#This Row],[Draftrate]],-1,0))</f>
        <v>0.9</v>
      </c>
      <c r="AA51" s="69" t="n">
        <f aca="false">OFFSET(TblMili[[#This Row],[Draftees]],-1,0)+OFFSET(TblPop[[#This Row],[Draft Growth]],-1,0) - SUM(TblMili[[#This Row],[Train Unit 1]:[Train Spies]],TblMili[[#This Row],[Train Wiz]]) - TblMili[[#This Row],[Release Draft]] + SUM(TblMili[[#This Row],[Release Unit 1]:[Release AM]]) - TblExplore[[#This Row],[Draftees (2)]]</f>
        <v>442</v>
      </c>
      <c r="AB51" s="146"/>
      <c r="AC51" s="130" t="n">
        <f aca="false">(TblConstr[[#This Row],[Tot Smi]]+TblConstr[[#This Row],[Dest Smi]])/(TblConstr[[#This Row],[Land]]-TblExplore[[#This Row],[Land Bonus]]*20)</f>
        <v>0</v>
      </c>
      <c r="AD51" s="128"/>
      <c r="AE51" s="282" t="n">
        <f aca="false">TblMili[[#This Row],[Hour]]</f>
        <v>48</v>
      </c>
      <c r="AF51" s="129" t="n">
        <f aca="false">TblExplore[[#This Row],[Time]]</f>
        <v>45431.7083333333</v>
      </c>
      <c r="AG51" s="182"/>
      <c r="AH51" s="182"/>
      <c r="AI51" s="182"/>
      <c r="AJ51" s="182"/>
      <c r="AK51" s="182"/>
      <c r="AL51" s="182"/>
      <c r="AM51" s="182"/>
      <c r="AN51" s="182"/>
      <c r="AO51" s="132"/>
      <c r="AP51" s="69" t="n">
        <f aca="false">TblProd[[#This Row],[Platinum]]</f>
        <v>267289</v>
      </c>
      <c r="AQ51" s="69" t="n">
        <f aca="false">INDEX(TblProd[[#Headers],[Lumber]]:TblProd[[#This Row],[Ore]],COUNTA(TblProd[[#Headers],[Lumber]]:TblProd[[#This Row],[Lumber]]),MATCH(Military!$AQ$2,TblProd[[#Headers],[Lumber]:[Ore]],0))</f>
        <v>0</v>
      </c>
      <c r="AR5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69" t="n">
        <f aca="false">TblMili[[#This Row],[Train Unit 1]]*TblMili[[#This Row],[OP Ore]]+TblMili[[#This Row],[Train Unit 2]]*TblMili[[#This Row],[DP Ore]]+TblMili[[#This Row],[Train Unit 3]]*TblMili[[#This Row],[E1 Ore]]+TblMili[[#This Row],[Train Unit 4]]*TblMili[[#This Row],[E2 Ore]]</f>
        <v>0</v>
      </c>
      <c r="AT51" s="132" t="n">
        <f aca="false">TblMili[[#This Row],[Hour]]</f>
        <v>48</v>
      </c>
      <c r="AU51" s="144" t="n">
        <f aca="false">TblMili[[#This Row],[Time]]</f>
        <v>45431.7083333333</v>
      </c>
      <c r="AV51" s="69" t="n">
        <f aca="false">TblMili[[#This Row],[Draftees]]</f>
        <v>442</v>
      </c>
      <c r="AW51" s="182"/>
      <c r="AX51" s="182"/>
      <c r="AY51" s="182"/>
      <c r="AZ51" s="182"/>
      <c r="BA51" s="182"/>
      <c r="BB51" s="182"/>
      <c r="BC51" s="182"/>
      <c r="BD51" s="182"/>
      <c r="BE51" s="182"/>
      <c r="BF51" s="132"/>
      <c r="BG51" s="150" t="n">
        <f aca="false">TblConstr[[#This Row],[Tot WG]]/TblConstr[[#This Row],[Land]]</f>
        <v>0</v>
      </c>
      <c r="BH51" s="150" t="n">
        <f aca="false">TblConstr[[#This Row],[Tot Hav]]/TblConstr[[#This Row],[Land]]</f>
        <v>0</v>
      </c>
      <c r="BI51" s="69" t="n">
        <f aca="false">ROUNDUP((1-MIN(TblMili[[#This Row],[Smithies]]*smithy_bonus,smithy_bonus_cap) + tech_3_5*TblTech[[#This Row],[3-5]] + tech_5_3*TblTech[[#This Row],[5-3]] + tech_5_5*TblTech[[#This Row],[5-5]])*spec_op_plat,0)</f>
        <v>300</v>
      </c>
      <c r="BJ51" s="69" t="n">
        <f aca="false">ROUNDUP(IF(race="Gnome",1,(1-MIN(TblMili[[#This Row],[Smithies]]*smithy_bonus,smithy_bonus_cap) + tech_3_5*TblTech[[#This Row],[3-5]] + tech_5_3*TblTech[[#This Row],[5-3]] + tech_5_5*TblTech[[#This Row],[5-5]]))*spec_op_ore,0)</f>
        <v>0</v>
      </c>
      <c r="BK51" s="69" t="n">
        <f aca="false">ROUNDUP((1-MIN(TblMili[[#This Row],[Smithies]]*smithy_bonus,smithy_bonus_cap) + tech_3_5*TblTech[[#This Row],[3-5]] + tech_5_3*TblTech[[#This Row],[5-3]] + tech_5_5*TblTech[[#This Row],[5-5]])*spec_dp_plat,0)</f>
        <v>300</v>
      </c>
      <c r="BL51" s="69" t="n">
        <f aca="false">ROUNDUP(IF(race="Gnome",1,(1-MIN(TblMili[[#This Row],[Smithies]]*smithy_bonus,smithy_bonus_cap) + tech_3_5*TblTech[[#This Row],[3-5]] + tech_5_3*TblTech[[#This Row],[5-3]] + tech_5_5*TblTech[[#This Row],[5-5]]))*spec_dp_ore,0)</f>
        <v>0</v>
      </c>
      <c r="BM51" s="69" t="n">
        <f aca="false">ROUNDUP((1-MIN(TblMili[[#This Row],[Smithies]]*smithy_bonus,smithy_bonus_cap) + tech_3_5*TblTech[[#This Row],[3-5]] + tech_5_3*TblTech[[#This Row],[5-3]] + tech_5_5*TblTech[[#This Row],[5-5]])*elite1_plat,0)</f>
        <v>925</v>
      </c>
      <c r="BN51" s="69" t="n">
        <f aca="false">ROUNDUP(IF(race="Gnome",1,(1-MIN(TblMili[[#This Row],[Smithies]]*smithy_bonus,smithy_bonus_cap) + tech_3_5*TblTech[[#This Row],[3-5]] + tech_5_3*TblTech[[#This Row],[5-3]] + tech_5_5*TblTech[[#This Row],[5-5]]))*elite1_ore,0)</f>
        <v>0</v>
      </c>
      <c r="BO51" s="69" t="n">
        <f aca="false">ROUNDUP((1-MIN(TblMili[[#This Row],[Smithies]]*smithy_bonus,smithy_bonus_cap) + tech_3_5*TblTech[[#This Row],[3-5]] + tech_5_3*TblTech[[#This Row],[5-3]] + tech_5_5*TblTech[[#This Row],[5-5]])*elite2_plat,0)</f>
        <v>950</v>
      </c>
      <c r="BP51" s="69" t="n">
        <f aca="false">ROUNDUP(IF(race="Gnome",1,(1-MIN(TblMili[[#This Row],[Smithies]]*smithy_bonus,smithy_bonus_cap) + tech_3_5*TblTech[[#This Row],[3-5]] + tech_5_3*TblTech[[#This Row],[5-3]] + tech_5_5*TblTech[[#This Row],[5-5]]))*elite2_ore,0)</f>
        <v>0</v>
      </c>
      <c r="BQ51" s="69" t="n">
        <f aca="false">ROUNDUP((1-MIN(ROUND(fh_spy_cost_red*TblMili[[#This Row],[FH''s]],4),fh_spy_cost_cap)+ tech_1_9*TblTech[[#This Row],[1-9]] + tech_9_1*TblTech[[#This Row],[9-1]])*spy_plat,0)</f>
        <v>500</v>
      </c>
      <c r="BR51" s="69" t="n">
        <f aca="false">ROUNDUP((1-MIN(ROUND(fh_spy_cost_red*TblMili[[#This Row],[FH''s]],4),fh_spy_cost_cap)+ tech_1_9*TblTech[[#This Row],[1-9]] + tech_9_1*TblTech[[#This Row],[9-1]])*archspy_plat,0)</f>
        <v>1000</v>
      </c>
      <c r="BS51" s="69" t="n">
        <f aca="false">ROUNDUP((1-MIN(ROUND(wg_wiz_cost_bonus*TblMili[[#This Row],[WG''s]],4),wg_wiz_cost_cap) + tech_1_9_2*TblTech[[#This Row],[1-9]] + tech_9_1_2*TblTech[[#This Row],[9-1]])*wizard_plat,0)</f>
        <v>500</v>
      </c>
      <c r="BT51" s="69" t="n">
        <f aca="false">ROUNDUP((1-MIN(ROUND(wg_wiz_cost_bonus*TblMili[[#This Row],[WG''s]],4),wg_wiz_cost_cap) + tech_1_9_2*TblTech[[#This Row],[1-9]] + tech_9_1_2*TblTech[[#This Row],[9-1]])*archmage_plat,0)</f>
        <v>1000</v>
      </c>
      <c r="BU51" s="132"/>
      <c r="BV51" s="150" t="e">
        <f aca="false">TblConstr[[#This Row],[Homeland]]/TblConstr[[#This Row],[Land]]</f>
        <v>#VALUE!</v>
      </c>
      <c r="BW51" s="150" t="n">
        <f aca="false">TblMili[[#This Row],[WG''s]]</f>
        <v>0</v>
      </c>
      <c r="BX51" s="288" t="e">
        <f aca="false">IF(mystic_cap="none",TblMili[[#This Row],[Hill]]/mystic_bonus,MIN(mystic_cap,TblMili[[#This Row],[Hill]]/mystic_bonus))</f>
        <v>#VALUE!</v>
      </c>
      <c r="BY51" s="288" t="e">
        <f aca="false">IF(druid_op_cap="none",TblMili[[#This Row],[Hill]]/druid_op_bonus,MIN(druid_op_cap,TblMili[[#This Row],[Hill]]/druid_op_bonus))</f>
        <v>#VALUE!</v>
      </c>
      <c r="BZ51" s="288" t="e">
        <f aca="false">IF(druid_dp_cap="none",TblMili[[#This Row],[Hill]]/druid_dp_bonus,MIN(druid_dp_cap,TblMili[[#This Row],[Hill]]/druid_dp_bonus))</f>
        <v>#VALUE!</v>
      </c>
      <c r="CA51" s="288" t="e">
        <f aca="false">MIN(dryad_cap,TblMili[[#This Row],[Hill]]/dryad_bonus)</f>
        <v>#VALUE!</v>
      </c>
      <c r="CB51" s="288" t="e">
        <f aca="false">MIN(rocka_cap,TblMili[[#This Row],[Hill]]/rocka_bonus)</f>
        <v>#VALUE!</v>
      </c>
      <c r="CC51" s="288" t="n">
        <f aca="false">MIN(adept_op_cap,TblMili[[#This Row],[WG]]/adept_op_bonus)</f>
        <v>0</v>
      </c>
      <c r="CD51" s="288" t="n">
        <f aca="false">MIN(adept_dp_cap,TblMili[[#This Row],[WG]]/adept_dp_bonus)</f>
        <v>0</v>
      </c>
      <c r="CE51" s="69" t="n">
        <f aca="false">MIN(TblMili[[#This Row],[Unit 3]],TblMili[[#This Row],[Unit 2]])*2</f>
        <v>0</v>
      </c>
      <c r="CF51" s="69" t="n">
        <f aca="false">MIN(TblMili[[#This Row],[Unit 1]],TblMili[[#This Row],[Unit 4]])*2</f>
        <v>0</v>
      </c>
      <c r="CG51" s="288" t="e">
        <f aca="false">MIN(frost_mage_cap,TblMili[[#This Row],[Hill]]/frost_mage_bonus)</f>
        <v>#VALUE!</v>
      </c>
      <c r="CH51" s="151" t="n">
        <f aca="false">MIN(ice_elem_cap,TblMili[[#This Row],[Raw (2)]]*ice_elem_bonus)</f>
        <v>0</v>
      </c>
      <c r="CI51" s="288" t="n">
        <f aca="false">MIN(bone_breaker_cap,250/bone_breaker_bonus)</f>
        <v>0.833333333333333</v>
      </c>
      <c r="CJ51" s="288" t="e">
        <f aca="false">MIN(nox_nightshade_cap,TblConstr[[#This Row],[Homeland]]/TblConstr[[#This Row],[Land]]/nox_nightshade_swamp_bonus)</f>
        <v>#VALUE!</v>
      </c>
      <c r="CK51" s="289"/>
      <c r="CL51" s="289"/>
      <c r="CM51" s="289"/>
      <c r="CN51" s="288" t="e">
        <f aca="false">MIN(6,TblMili[[#This Row],[Mystic]]+Races!$F$19)*1.8 +  IF(TblMili[[#This Row],[Mystic]]+Races!$F$19&gt;6,(TblMili[[#This Row],[Mystic]]+Races!$F$19-6)*0.2,0) - Races!$I$19</f>
        <v>#VALUE!</v>
      </c>
      <c r="CO51" s="288" t="e">
        <f aca="false">1.8 * MIN(MAX(TblMili[[#This Row],[Druid (op)]]+Races!$E$20,TblMili[[#This Row],[Druid (dp)]]+Races!$F$20),6)  +  0.45 * MIN(MIN(TblMili[[#This Row],[Druid (op)]]+Races!$E$20,TblMili[[#This Row],[Druid (dp)]]+Races!$F$20),6)  +  0.2 * ( MAX(TblMili[[#This Row],[Druid (op)]]+Races!$E$20-6,0) + MAX(TblMili[[#This Row],[Druid (dp)]]+Races!$F$20-6,0) )  -  Races!$I$20</f>
        <v>#VALUE!</v>
      </c>
      <c r="CP51" s="69" t="e">
        <f aca="false">TblMili[[#This Row],[Mystic bonus]]*TblMili[[#This Row],[Unit 3]]+TblMili[[#This Row],[Druid bonus]]*TblMili[[#This Row],[Unit 4]]</f>
        <v>#VALUE!</v>
      </c>
      <c r="CQ51" s="148" t="e">
        <f aca="false">MIN(6,TblMili[[#This Row],[Dryad]]+Races!$F$35)*1.8 +  IF(TblMili[[#This Row],[Dryad]]+Races!$F$35&gt;6,(TblMili[[#This Row],[Dryad]]+Races!$F$35-6)*0.2,0) - Races!$I$19</f>
        <v>#VALUE!</v>
      </c>
      <c r="CR51" s="69" t="e">
        <f aca="false">sylvan*(TblMili[[#This Row],[Mystic bonus]]*TblMili[[#This Row],[Unit 3]])</f>
        <v>#VALUE!</v>
      </c>
      <c r="CS51" s="148" t="e">
        <f aca="false">1.8 * MIN(MAX(Races!$E$27,TblMili[[#This Row],[Rockapult]]+Races!$F$27),6)  +  0.45 * MIN(MIN(Races!$E$27,TblMili[[#This Row],[Rockapult]]+Races!$F$27),6)  +  0.2 * ( MAX(Races!$E$27-6,0) + MAX(TblMili[[#This Row],[Rockapult]]+Races!$F$27-6,0) )  -  Races!$I$20</f>
        <v>#VALUE!</v>
      </c>
      <c r="CT51" s="69" t="e">
        <f aca="false">gnome*(TblMili[[#This Row],[Rockapult bonus]]*TblMili[[#This Row],[Unit 3]])</f>
        <v>#VALUE!</v>
      </c>
      <c r="CU51" s="148" t="n">
        <f aca="false">1.8 * MIN(MAX(TblMili[[#This Row],[Spellblade]]+Races!$E$47,TblMili[[#This Row],[Adept-DP]]+Races!$F$47),6)  +  0.45 * MIN(MIN(TblMili[[#This Row],[Spellblade]]+Races!$E$47,TblMili[[#This Row],[Adept-DP]]+Races!$F$47),6)  +  0.2 * ( MAX(TblMili[[#This Row],[Spellblade]]+Races!$E$47-6,0) + MAX(TblMili[[#This Row],[Adept-DP]]+Races!$F$47-6,0) )  -  Races!$I$47</f>
        <v>0</v>
      </c>
      <c r="CV51" s="69" t="n">
        <f aca="false">dark_elf*(TblMili[[#This Row],[Adept bonus]]*TblMili[[#This Row],[Unit 3]])</f>
        <v>0</v>
      </c>
      <c r="CW51" s="148" t="e">
        <f aca="false">1.8 * MIN(MAX(TblMili[[#This Row],[Frost Mage]]+Races!$F$71,Races!$E$71),6)  +  0.45 * MIN(MIN(TblMili[[#This Row],[Frost Mage]]+Races!$F$71,Races!$E$71),6)  +  0.2 * ( MAX(TblMili[[#This Row],[Frost Mage]]+Races!$F$71-6,0) + MAX(Races!$E$71-6,0) )  -  Races!$I$71</f>
        <v>#VALUE!</v>
      </c>
      <c r="CX51" s="148" t="n">
        <f aca="false">1.8 * MIN(MAX(TblMili[[#This Row],[Ice Elemental]]+Races!$E$71,Races!$F$71),6)  +  0.45 * MIN(MIN(TblMili[[#This Row],[Ice Elemental]]+Races!$E$71,Races!$F$71),6)  +  0.2 * ( MAX(TblMili[[#This Row],[Ice Elemental]]+Races!$E$71-6,0) + MAX(Races!$F$71-6,0) )  -  Races!$I$71</f>
        <v>0</v>
      </c>
      <c r="CY51" s="69" t="e">
        <f aca="false">TblMili[[#This Row],[Frost Mage bonus]]*TblMili[[#This Row],[Unit 3]]+TblMili[[#This Row],[Ice Elemental bonus]]*TblMili[[#This Row],[Unit 4]]</f>
        <v>#VALUE!</v>
      </c>
      <c r="CZ51" s="290"/>
      <c r="DA51" s="109" t="n">
        <f aca="false">MIN(SUM(TblConstr[[#This Row],[Plain]:[Water]])/TblMili[[#This Row],[Land]]/favorable_terrain_bonus/100,favorable_terrain_max)</f>
        <v>0</v>
      </c>
      <c r="DB51" s="290"/>
      <c r="DC5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1" s="132"/>
      <c r="DE51" s="291" t="n">
        <f aca="false">(TblMili[[#This Row],[Wizards]]+2*TblMili[[#This Row],[Archmages]])/TblConstr[[#This Row],[Land]]</f>
        <v>0</v>
      </c>
      <c r="DF51" s="291" t="n">
        <f aca="false">TblMili[[#This Row],[Raw (2)]]*(1+race_wizard_strength+IF(TblMili[[#This Row],[Hour]]&gt;72,tech_magical_weaponry_wiz*TblTech[[#This Row],[3-5]],0))</f>
        <v>0</v>
      </c>
    </row>
    <row r="52" customFormat="false" ht="12.75" hidden="false" customHeight="false" outlineLevel="0" collapsed="false">
      <c r="A52" s="128" t="n">
        <f aca="false">TblRezone[[#This Row],[Hour]]</f>
        <v>49</v>
      </c>
      <c r="B52" s="282" t="n">
        <f aca="false">SUM(TblMili[[#This Row],[Unit 1]:[Archmages]])+SUM(OFFSET(TblMili[[#This Row],[Train Unit 1]],-8,0):TblMili[[#This Row],[Train Unit 2]]) + SUM(OFFSET(TblMili[[#This Row],[Train Unit 3]],-11,0):TblMili[[#This Row],[Train AM]]) + TblMili[[#This Row],[Draftees]]</f>
        <v>529</v>
      </c>
      <c r="C52" s="150" t="n">
        <f aca="false">TblPop[[#This Row],[Military%]]</f>
        <v>0.0547222509568636</v>
      </c>
      <c r="D52" s="132"/>
      <c r="E52" s="151" t="n">
        <f aca="false">OFFSET(TblMili[[#This Row],[Unit 1]],-1,0) + OFFSET(TblMili[[#This Row],[Train Unit 1]],-9,0) - TblMili[[#This Row],[Release Unit 1]]</f>
        <v>0</v>
      </c>
      <c r="F52" s="151" t="n">
        <f aca="false">OFFSET(TblMili[[#This Row],[Unit 2]],-1,0) + OFFSET(TblMili[[#This Row],[Train Unit 2]],-9,0)-TblMili[[#This Row],[Release Unit 2]]</f>
        <v>0</v>
      </c>
      <c r="G52" s="151" t="n">
        <f aca="false">OFFSET(TblMili[[#This Row],[Unit 3]],-1,0) + OFFSET(TblMili[[#This Row],[Train Unit 3]],-12,0)-TblMili[[#This Row],[Release Unit 3]]</f>
        <v>0</v>
      </c>
      <c r="H52" s="151" t="n">
        <f aca="false">OFFSET(TblMili[[#This Row],[Unit 4]],-1,0) + OFFSET(TblMili[[#This Row],[Train Unit 4]],-12,0)-TblMili[[#This Row],[Release Unit 4]]</f>
        <v>0</v>
      </c>
      <c r="I52" s="151" t="n">
        <f aca="false">OFFSET(TblMili[[#This Row],[Spies]],-1,0) + OFFSET(TblMili[[#This Row],[Train Spies]],-12,0) - TblMili[[#This Row],[Release Spies]]-TblMili[[#This Row],[Train AS]]</f>
        <v>0</v>
      </c>
      <c r="J52" s="151" t="n">
        <f aca="false">OFFSET(TblMili[[#This Row],[Archspies]],-1,0) + OFFSET(TblMili[[#This Row],[Train AS]],-12,0) - TblMili[[#This Row],[Release AS]]</f>
        <v>0</v>
      </c>
      <c r="K52" s="151" t="n">
        <f aca="false">OFFSET(TblMili[[#This Row],[Wizards]],-1,0) + OFFSET(TblMili[[#This Row],[Train Wiz]],-12,0) - TblMili[[#This Row],[Release Wizards]]-TblMili[[#This Row],[Train AM]]</f>
        <v>0</v>
      </c>
      <c r="L52" s="151" t="n">
        <f aca="false">OFFSET(TblMili[[#This Row],[Archmages]],-1,0) + OFFSET(TblMili[[#This Row],[Train AM]],-12,0) - TblMili[[#This Row],[Release AM]]</f>
        <v>0</v>
      </c>
      <c r="M52" s="132"/>
      <c r="N52" s="69" t="e">
        <f aca="false">TblProd[[#This Row],[Networth]]</f>
        <v>#VALUE!</v>
      </c>
      <c r="O52" s="132"/>
      <c r="P5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2" s="285" t="e">
        <f aca="false">TblMili[[#This Row],[Raw]]*(1+TblMili[[#This Row],[Mods_Off]])</f>
        <v>#VALUE!</v>
      </c>
      <c r="S5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2" s="285" t="e">
        <f aca="false">TblMili[[#This Row],[Non Draft]]+TblMili[[#This Row],[Draftees]]</f>
        <v>#VALUE!</v>
      </c>
      <c r="U52" s="286" t="n">
        <f aca="false">race_defense + TblImps[[#This Row],[Walls]] + ROUND( MIN(gt_bonus*TblConstr[[#This Row],[Tot GT]]/TblConstr[[#This Row],[Land]],gt_bonus_cap), 4) + IF(TblMagic[[#This Row],[Active Howling]]&gt;0,howling_dp_bonus,IF(TblMagic[[#This Row],[Active Ares Call]]&gt;0,ares_call_bonus))</f>
        <v>0</v>
      </c>
      <c r="V52" s="274" t="e">
        <f aca="false">TblMili[[#This Row],[Non Draft]] * (1 + TblMili[[#This Row],[Mods_Def]])</f>
        <v>#VALUE!</v>
      </c>
      <c r="W52" s="285" t="e">
        <f aca="false">TblMili[[#This Row],[Draft]] * (1 + TblMili[[#This Row],[Mods_Def]])</f>
        <v>#VALUE!</v>
      </c>
      <c r="X52" s="285" t="n">
        <f aca="false">TblConstr[[#This Row],[Land]]</f>
        <v>629</v>
      </c>
      <c r="Y52" s="287"/>
      <c r="Z52" s="109" t="n">
        <f aca="false">IF(TblMili[[#This Row],[Set]]&lt;&gt;"",TblMili[[#This Row],[Set]],OFFSET(TblMili[[#This Row],[Draftrate]],-1,0))</f>
        <v>0.9</v>
      </c>
      <c r="AA52" s="69" t="n">
        <f aca="false">OFFSET(TblMili[[#This Row],[Draftees]],-1,0)+OFFSET(TblPop[[#This Row],[Draft Growth]],-1,0) - SUM(TblMili[[#This Row],[Train Unit 1]:[Train Spies]],TblMili[[#This Row],[Train Wiz]]) - TblMili[[#This Row],[Release Draft]] + SUM(TblMili[[#This Row],[Release Unit 1]:[Release AM]]) - TblExplore[[#This Row],[Draftees (2)]]</f>
        <v>529</v>
      </c>
      <c r="AB52" s="146"/>
      <c r="AC52" s="130" t="n">
        <f aca="false">(TblConstr[[#This Row],[Tot Smi]]+TblConstr[[#This Row],[Dest Smi]])/(TblConstr[[#This Row],[Land]]-TblExplore[[#This Row],[Land Bonus]]*20)</f>
        <v>0</v>
      </c>
      <c r="AD52" s="128"/>
      <c r="AE52" s="282" t="n">
        <f aca="false">TblMili[[#This Row],[Hour]]</f>
        <v>49</v>
      </c>
      <c r="AF52" s="129" t="n">
        <f aca="false">TblExplore[[#This Row],[Time]]</f>
        <v>45431.75</v>
      </c>
      <c r="AG52" s="182"/>
      <c r="AH52" s="182"/>
      <c r="AI52" s="182"/>
      <c r="AJ52" s="182"/>
      <c r="AK52" s="182"/>
      <c r="AL52" s="182"/>
      <c r="AM52" s="182"/>
      <c r="AN52" s="182"/>
      <c r="AO52" s="132"/>
      <c r="AP52" s="69" t="n">
        <f aca="false">TblProd[[#This Row],[Platinum]]</f>
        <v>290264</v>
      </c>
      <c r="AQ52" s="69" t="n">
        <f aca="false">INDEX(TblProd[[#Headers],[Lumber]]:TblProd[[#This Row],[Ore]],COUNTA(TblProd[[#Headers],[Lumber]]:TblProd[[#This Row],[Lumber]]),MATCH(Military!$AQ$2,TblProd[[#Headers],[Lumber]:[Ore]],0))</f>
        <v>0</v>
      </c>
      <c r="AR5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69" t="n">
        <f aca="false">TblMili[[#This Row],[Train Unit 1]]*TblMili[[#This Row],[OP Ore]]+TblMili[[#This Row],[Train Unit 2]]*TblMili[[#This Row],[DP Ore]]+TblMili[[#This Row],[Train Unit 3]]*TblMili[[#This Row],[E1 Ore]]+TblMili[[#This Row],[Train Unit 4]]*TblMili[[#This Row],[E2 Ore]]</f>
        <v>0</v>
      </c>
      <c r="AT52" s="132" t="n">
        <f aca="false">TblMili[[#This Row],[Hour]]</f>
        <v>49</v>
      </c>
      <c r="AU52" s="144" t="n">
        <f aca="false">TblMili[[#This Row],[Time]]</f>
        <v>45431.75</v>
      </c>
      <c r="AV52" s="69" t="n">
        <f aca="false">TblMili[[#This Row],[Draftees]]</f>
        <v>529</v>
      </c>
      <c r="AW52" s="182"/>
      <c r="AX52" s="182"/>
      <c r="AY52" s="182"/>
      <c r="AZ52" s="182"/>
      <c r="BA52" s="182"/>
      <c r="BB52" s="182"/>
      <c r="BC52" s="182"/>
      <c r="BD52" s="182"/>
      <c r="BE52" s="182"/>
      <c r="BF52" s="132"/>
      <c r="BG52" s="150" t="n">
        <f aca="false">TblConstr[[#This Row],[Tot WG]]/TblConstr[[#This Row],[Land]]</f>
        <v>0</v>
      </c>
      <c r="BH52" s="150" t="n">
        <f aca="false">TblConstr[[#This Row],[Tot Hav]]/TblConstr[[#This Row],[Land]]</f>
        <v>0</v>
      </c>
      <c r="BI52" s="69" t="n">
        <f aca="false">ROUNDUP((1-MIN(TblMili[[#This Row],[Smithies]]*smithy_bonus,smithy_bonus_cap) + tech_3_5*TblTech[[#This Row],[3-5]] + tech_5_3*TblTech[[#This Row],[5-3]] + tech_5_5*TblTech[[#This Row],[5-5]])*spec_op_plat,0)</f>
        <v>300</v>
      </c>
      <c r="BJ52" s="69" t="n">
        <f aca="false">ROUNDUP(IF(race="Gnome",1,(1-MIN(TblMili[[#This Row],[Smithies]]*smithy_bonus,smithy_bonus_cap) + tech_3_5*TblTech[[#This Row],[3-5]] + tech_5_3*TblTech[[#This Row],[5-3]] + tech_5_5*TblTech[[#This Row],[5-5]]))*spec_op_ore,0)</f>
        <v>0</v>
      </c>
      <c r="BK52" s="69" t="n">
        <f aca="false">ROUNDUP((1-MIN(TblMili[[#This Row],[Smithies]]*smithy_bonus,smithy_bonus_cap) + tech_3_5*TblTech[[#This Row],[3-5]] + tech_5_3*TblTech[[#This Row],[5-3]] + tech_5_5*TblTech[[#This Row],[5-5]])*spec_dp_plat,0)</f>
        <v>300</v>
      </c>
      <c r="BL52" s="69" t="n">
        <f aca="false">ROUNDUP(IF(race="Gnome",1,(1-MIN(TblMili[[#This Row],[Smithies]]*smithy_bonus,smithy_bonus_cap) + tech_3_5*TblTech[[#This Row],[3-5]] + tech_5_3*TblTech[[#This Row],[5-3]] + tech_5_5*TblTech[[#This Row],[5-5]]))*spec_dp_ore,0)</f>
        <v>0</v>
      </c>
      <c r="BM52" s="69" t="n">
        <f aca="false">ROUNDUP((1-MIN(TblMili[[#This Row],[Smithies]]*smithy_bonus,smithy_bonus_cap) + tech_3_5*TblTech[[#This Row],[3-5]] + tech_5_3*TblTech[[#This Row],[5-3]] + tech_5_5*TblTech[[#This Row],[5-5]])*elite1_plat,0)</f>
        <v>925</v>
      </c>
      <c r="BN52" s="69" t="n">
        <f aca="false">ROUNDUP(IF(race="Gnome",1,(1-MIN(TblMili[[#This Row],[Smithies]]*smithy_bonus,smithy_bonus_cap) + tech_3_5*TblTech[[#This Row],[3-5]] + tech_5_3*TblTech[[#This Row],[5-3]] + tech_5_5*TblTech[[#This Row],[5-5]]))*elite1_ore,0)</f>
        <v>0</v>
      </c>
      <c r="BO52" s="69" t="n">
        <f aca="false">ROUNDUP((1-MIN(TblMili[[#This Row],[Smithies]]*smithy_bonus,smithy_bonus_cap) + tech_3_5*TblTech[[#This Row],[3-5]] + tech_5_3*TblTech[[#This Row],[5-3]] + tech_5_5*TblTech[[#This Row],[5-5]])*elite2_plat,0)</f>
        <v>950</v>
      </c>
      <c r="BP52" s="69" t="n">
        <f aca="false">ROUNDUP(IF(race="Gnome",1,(1-MIN(TblMili[[#This Row],[Smithies]]*smithy_bonus,smithy_bonus_cap) + tech_3_5*TblTech[[#This Row],[3-5]] + tech_5_3*TblTech[[#This Row],[5-3]] + tech_5_5*TblTech[[#This Row],[5-5]]))*elite2_ore,0)</f>
        <v>0</v>
      </c>
      <c r="BQ52" s="69" t="n">
        <f aca="false">ROUNDUP((1-MIN(ROUND(fh_spy_cost_red*TblMili[[#This Row],[FH''s]],4),fh_spy_cost_cap)+ tech_1_9*TblTech[[#This Row],[1-9]] + tech_9_1*TblTech[[#This Row],[9-1]])*spy_plat,0)</f>
        <v>500</v>
      </c>
      <c r="BR52" s="69" t="n">
        <f aca="false">ROUNDUP((1-MIN(ROUND(fh_spy_cost_red*TblMili[[#This Row],[FH''s]],4),fh_spy_cost_cap)+ tech_1_9*TblTech[[#This Row],[1-9]] + tech_9_1*TblTech[[#This Row],[9-1]])*archspy_plat,0)</f>
        <v>1000</v>
      </c>
      <c r="BS52" s="69" t="n">
        <f aca="false">ROUNDUP((1-MIN(ROUND(wg_wiz_cost_bonus*TblMili[[#This Row],[WG''s]],4),wg_wiz_cost_cap) + tech_1_9_2*TblTech[[#This Row],[1-9]] + tech_9_1_2*TblTech[[#This Row],[9-1]])*wizard_plat,0)</f>
        <v>500</v>
      </c>
      <c r="BT52" s="69" t="n">
        <f aca="false">ROUNDUP((1-MIN(ROUND(wg_wiz_cost_bonus*TblMili[[#This Row],[WG''s]],4),wg_wiz_cost_cap) + tech_1_9_2*TblTech[[#This Row],[1-9]] + tech_9_1_2*TblTech[[#This Row],[9-1]])*archmage_plat,0)</f>
        <v>1000</v>
      </c>
      <c r="BU52" s="132"/>
      <c r="BV52" s="150" t="e">
        <f aca="false">TblConstr[[#This Row],[Homeland]]/TblConstr[[#This Row],[Land]]</f>
        <v>#VALUE!</v>
      </c>
      <c r="BW52" s="150" t="n">
        <f aca="false">TblMili[[#This Row],[WG''s]]</f>
        <v>0</v>
      </c>
      <c r="BX52" s="288" t="e">
        <f aca="false">IF(mystic_cap="none",TblMili[[#This Row],[Hill]]/mystic_bonus,MIN(mystic_cap,TblMili[[#This Row],[Hill]]/mystic_bonus))</f>
        <v>#VALUE!</v>
      </c>
      <c r="BY52" s="288" t="e">
        <f aca="false">IF(druid_op_cap="none",TblMili[[#This Row],[Hill]]/druid_op_bonus,MIN(druid_op_cap,TblMili[[#This Row],[Hill]]/druid_op_bonus))</f>
        <v>#VALUE!</v>
      </c>
      <c r="BZ52" s="288" t="e">
        <f aca="false">IF(druid_dp_cap="none",TblMili[[#This Row],[Hill]]/druid_dp_bonus,MIN(druid_dp_cap,TblMili[[#This Row],[Hill]]/druid_dp_bonus))</f>
        <v>#VALUE!</v>
      </c>
      <c r="CA52" s="288" t="e">
        <f aca="false">MIN(dryad_cap,TblMili[[#This Row],[Hill]]/dryad_bonus)</f>
        <v>#VALUE!</v>
      </c>
      <c r="CB52" s="288" t="e">
        <f aca="false">MIN(rocka_cap,TblMili[[#This Row],[Hill]]/rocka_bonus)</f>
        <v>#VALUE!</v>
      </c>
      <c r="CC52" s="288" t="n">
        <f aca="false">MIN(adept_op_cap,TblMili[[#This Row],[WG]]/adept_op_bonus)</f>
        <v>0</v>
      </c>
      <c r="CD52" s="288" t="n">
        <f aca="false">MIN(adept_dp_cap,TblMili[[#This Row],[WG]]/adept_dp_bonus)</f>
        <v>0</v>
      </c>
      <c r="CE52" s="69" t="n">
        <f aca="false">MIN(TblMili[[#This Row],[Unit 3]],TblMili[[#This Row],[Unit 2]])*2</f>
        <v>0</v>
      </c>
      <c r="CF52" s="69" t="n">
        <f aca="false">MIN(TblMili[[#This Row],[Unit 1]],TblMili[[#This Row],[Unit 4]])*2</f>
        <v>0</v>
      </c>
      <c r="CG52" s="288" t="e">
        <f aca="false">MIN(frost_mage_cap,TblMili[[#This Row],[Hill]]/frost_mage_bonus)</f>
        <v>#VALUE!</v>
      </c>
      <c r="CH52" s="151" t="n">
        <f aca="false">MIN(ice_elem_cap,TblMili[[#This Row],[Raw (2)]]*ice_elem_bonus)</f>
        <v>0</v>
      </c>
      <c r="CI52" s="288" t="n">
        <f aca="false">MIN(bone_breaker_cap,250/bone_breaker_bonus)</f>
        <v>0.833333333333333</v>
      </c>
      <c r="CJ52" s="288" t="e">
        <f aca="false">MIN(nox_nightshade_cap,TblConstr[[#This Row],[Homeland]]/TblConstr[[#This Row],[Land]]/nox_nightshade_swamp_bonus)</f>
        <v>#VALUE!</v>
      </c>
      <c r="CK52" s="289"/>
      <c r="CL52" s="289"/>
      <c r="CM52" s="289"/>
      <c r="CN52" s="288" t="e">
        <f aca="false">MIN(6,TblMili[[#This Row],[Mystic]]+Races!$F$19)*1.8 +  IF(TblMili[[#This Row],[Mystic]]+Races!$F$19&gt;6,(TblMili[[#This Row],[Mystic]]+Races!$F$19-6)*0.2,0) - Races!$I$19</f>
        <v>#VALUE!</v>
      </c>
      <c r="CO52" s="288" t="e">
        <f aca="false">1.8 * MIN(MAX(TblMili[[#This Row],[Druid (op)]]+Races!$E$20,TblMili[[#This Row],[Druid (dp)]]+Races!$F$20),6)  +  0.45 * MIN(MIN(TblMili[[#This Row],[Druid (op)]]+Races!$E$20,TblMili[[#This Row],[Druid (dp)]]+Races!$F$20),6)  +  0.2 * ( MAX(TblMili[[#This Row],[Druid (op)]]+Races!$E$20-6,0) + MAX(TblMili[[#This Row],[Druid (dp)]]+Races!$F$20-6,0) )  -  Races!$I$20</f>
        <v>#VALUE!</v>
      </c>
      <c r="CP52" s="69" t="e">
        <f aca="false">TblMili[[#This Row],[Mystic bonus]]*TblMili[[#This Row],[Unit 3]]+TblMili[[#This Row],[Druid bonus]]*TblMili[[#This Row],[Unit 4]]</f>
        <v>#VALUE!</v>
      </c>
      <c r="CQ52" s="148" t="e">
        <f aca="false">MIN(6,TblMili[[#This Row],[Dryad]]+Races!$F$35)*1.8 +  IF(TblMili[[#This Row],[Dryad]]+Races!$F$35&gt;6,(TblMili[[#This Row],[Dryad]]+Races!$F$35-6)*0.2,0) - Races!$I$19</f>
        <v>#VALUE!</v>
      </c>
      <c r="CR52" s="69" t="e">
        <f aca="false">sylvan*(TblMili[[#This Row],[Mystic bonus]]*TblMili[[#This Row],[Unit 3]])</f>
        <v>#VALUE!</v>
      </c>
      <c r="CS52" s="148" t="e">
        <f aca="false">1.8 * MIN(MAX(Races!$E$27,TblMili[[#This Row],[Rockapult]]+Races!$F$27),6)  +  0.45 * MIN(MIN(Races!$E$27,TblMili[[#This Row],[Rockapult]]+Races!$F$27),6)  +  0.2 * ( MAX(Races!$E$27-6,0) + MAX(TblMili[[#This Row],[Rockapult]]+Races!$F$27-6,0) )  -  Races!$I$20</f>
        <v>#VALUE!</v>
      </c>
      <c r="CT52" s="69" t="e">
        <f aca="false">gnome*(TblMili[[#This Row],[Rockapult bonus]]*TblMili[[#This Row],[Unit 3]])</f>
        <v>#VALUE!</v>
      </c>
      <c r="CU52" s="148" t="n">
        <f aca="false">1.8 * MIN(MAX(TblMili[[#This Row],[Spellblade]]+Races!$E$47,TblMili[[#This Row],[Adept-DP]]+Races!$F$47),6)  +  0.45 * MIN(MIN(TblMili[[#This Row],[Spellblade]]+Races!$E$47,TblMili[[#This Row],[Adept-DP]]+Races!$F$47),6)  +  0.2 * ( MAX(TblMili[[#This Row],[Spellblade]]+Races!$E$47-6,0) + MAX(TblMili[[#This Row],[Adept-DP]]+Races!$F$47-6,0) )  -  Races!$I$47</f>
        <v>0</v>
      </c>
      <c r="CV52" s="69" t="n">
        <f aca="false">dark_elf*(TblMili[[#This Row],[Adept bonus]]*TblMili[[#This Row],[Unit 3]])</f>
        <v>0</v>
      </c>
      <c r="CW52" s="148" t="e">
        <f aca="false">1.8 * MIN(MAX(TblMili[[#This Row],[Frost Mage]]+Races!$F$71,Races!$E$71),6)  +  0.45 * MIN(MIN(TblMili[[#This Row],[Frost Mage]]+Races!$F$71,Races!$E$71),6)  +  0.2 * ( MAX(TblMili[[#This Row],[Frost Mage]]+Races!$F$71-6,0) + MAX(Races!$E$71-6,0) )  -  Races!$I$71</f>
        <v>#VALUE!</v>
      </c>
      <c r="CX52" s="148" t="n">
        <f aca="false">1.8 * MIN(MAX(TblMili[[#This Row],[Ice Elemental]]+Races!$E$71,Races!$F$71),6)  +  0.45 * MIN(MIN(TblMili[[#This Row],[Ice Elemental]]+Races!$E$71,Races!$F$71),6)  +  0.2 * ( MAX(TblMili[[#This Row],[Ice Elemental]]+Races!$E$71-6,0) + MAX(Races!$F$71-6,0) )  -  Races!$I$71</f>
        <v>0</v>
      </c>
      <c r="CY52" s="69" t="e">
        <f aca="false">TblMili[[#This Row],[Frost Mage bonus]]*TblMili[[#This Row],[Unit 3]]+TblMili[[#This Row],[Ice Elemental bonus]]*TblMili[[#This Row],[Unit 4]]</f>
        <v>#VALUE!</v>
      </c>
      <c r="CZ52" s="290"/>
      <c r="DA52" s="109" t="n">
        <f aca="false">MIN(SUM(TblConstr[[#This Row],[Plain]:[Water]])/TblMili[[#This Row],[Land]]/favorable_terrain_bonus/100,favorable_terrain_max)</f>
        <v>0</v>
      </c>
      <c r="DB52" s="290"/>
      <c r="DC5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2" s="132"/>
      <c r="DE52" s="291" t="n">
        <f aca="false">(TblMili[[#This Row],[Wizards]]+2*TblMili[[#This Row],[Archmages]])/TblConstr[[#This Row],[Land]]</f>
        <v>0</v>
      </c>
      <c r="DF52" s="291" t="n">
        <f aca="false">TblMili[[#This Row],[Raw (2)]]*(1+race_wizard_strength+IF(TblMili[[#This Row],[Hour]]&gt;72,tech_magical_weaponry_wiz*TblTech[[#This Row],[3-5]],0))</f>
        <v>0</v>
      </c>
    </row>
    <row r="53" customFormat="false" ht="12.75" hidden="false" customHeight="false" outlineLevel="0" collapsed="false">
      <c r="A53" s="128" t="n">
        <f aca="false">TblRezone[[#This Row],[Hour]]</f>
        <v>50</v>
      </c>
      <c r="B53" s="282" t="n">
        <f aca="false">SUM(TblMili[[#This Row],[Unit 1]:[Archmages]])+SUM(OFFSET(TblMili[[#This Row],[Train Unit 1]],-8,0):TblMili[[#This Row],[Train Unit 2]]) + SUM(OFFSET(TblMili[[#This Row],[Train Unit 3]],-11,0):TblMili[[#This Row],[Train AM]]) + TblMili[[#This Row],[Draftees]]</f>
        <v>620</v>
      </c>
      <c r="C53" s="150" t="n">
        <f aca="false">TblPop[[#This Row],[Military%]]</f>
        <v>0.0608260570980084</v>
      </c>
      <c r="D53" s="132"/>
      <c r="E53" s="151" t="n">
        <f aca="false">OFFSET(TblMili[[#This Row],[Unit 1]],-1,0) + OFFSET(TblMili[[#This Row],[Train Unit 1]],-9,0) - TblMili[[#This Row],[Release Unit 1]]</f>
        <v>0</v>
      </c>
      <c r="F53" s="151" t="n">
        <f aca="false">OFFSET(TblMili[[#This Row],[Unit 2]],-1,0) + OFFSET(TblMili[[#This Row],[Train Unit 2]],-9,0)-TblMili[[#This Row],[Release Unit 2]]</f>
        <v>0</v>
      </c>
      <c r="G53" s="151" t="n">
        <f aca="false">OFFSET(TblMili[[#This Row],[Unit 3]],-1,0) + OFFSET(TblMili[[#This Row],[Train Unit 3]],-12,0)-TblMili[[#This Row],[Release Unit 3]]</f>
        <v>0</v>
      </c>
      <c r="H53" s="151" t="n">
        <f aca="false">OFFSET(TblMili[[#This Row],[Unit 4]],-1,0) + OFFSET(TblMili[[#This Row],[Train Unit 4]],-12,0)-TblMili[[#This Row],[Release Unit 4]]</f>
        <v>0</v>
      </c>
      <c r="I53" s="151" t="n">
        <f aca="false">OFFSET(TblMili[[#This Row],[Spies]],-1,0) + OFFSET(TblMili[[#This Row],[Train Spies]],-12,0) - TblMili[[#This Row],[Release Spies]]-TblMili[[#This Row],[Train AS]]</f>
        <v>0</v>
      </c>
      <c r="J53" s="151" t="n">
        <f aca="false">OFFSET(TblMili[[#This Row],[Archspies]],-1,0) + OFFSET(TblMili[[#This Row],[Train AS]],-12,0) - TblMili[[#This Row],[Release AS]]</f>
        <v>0</v>
      </c>
      <c r="K53" s="151" t="n">
        <f aca="false">OFFSET(TblMili[[#This Row],[Wizards]],-1,0) + OFFSET(TblMili[[#This Row],[Train Wiz]],-12,0) - TblMili[[#This Row],[Release Wizards]]-TblMili[[#This Row],[Train AM]]</f>
        <v>0</v>
      </c>
      <c r="L53" s="151" t="n">
        <f aca="false">OFFSET(TblMili[[#This Row],[Archmages]],-1,0) + OFFSET(TblMili[[#This Row],[Train AM]],-12,0) - TblMili[[#This Row],[Release AM]]</f>
        <v>0</v>
      </c>
      <c r="M53" s="132"/>
      <c r="N53" s="69" t="e">
        <f aca="false">TblProd[[#This Row],[Networth]]</f>
        <v>#VALUE!</v>
      </c>
      <c r="O53" s="132"/>
      <c r="P5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3" s="285" t="e">
        <f aca="false">TblMili[[#This Row],[Raw]]*(1+TblMili[[#This Row],[Mods_Off]])</f>
        <v>#VALUE!</v>
      </c>
      <c r="S5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3" s="285" t="e">
        <f aca="false">TblMili[[#This Row],[Non Draft]]+TblMili[[#This Row],[Draftees]]</f>
        <v>#VALUE!</v>
      </c>
      <c r="U53" s="286" t="n">
        <f aca="false">race_defense + TblImps[[#This Row],[Walls]] + ROUND( MIN(gt_bonus*TblConstr[[#This Row],[Tot GT]]/TblConstr[[#This Row],[Land]],gt_bonus_cap), 4) + IF(TblMagic[[#This Row],[Active Howling]]&gt;0,howling_dp_bonus,IF(TblMagic[[#This Row],[Active Ares Call]]&gt;0,ares_call_bonus))</f>
        <v>0</v>
      </c>
      <c r="V53" s="274" t="e">
        <f aca="false">TblMili[[#This Row],[Non Draft]] * (1 + TblMili[[#This Row],[Mods_Def]])</f>
        <v>#VALUE!</v>
      </c>
      <c r="W53" s="285" t="e">
        <f aca="false">TblMili[[#This Row],[Draft]] * (1 + TblMili[[#This Row],[Mods_Def]])</f>
        <v>#VALUE!</v>
      </c>
      <c r="X53" s="285" t="n">
        <f aca="false">TblConstr[[#This Row],[Land]]</f>
        <v>642</v>
      </c>
      <c r="Y53" s="287"/>
      <c r="Z53" s="109" t="n">
        <f aca="false">IF(TblMili[[#This Row],[Set]]&lt;&gt;"",TblMili[[#This Row],[Set]],OFFSET(TblMili[[#This Row],[Draftrate]],-1,0))</f>
        <v>0.9</v>
      </c>
      <c r="AA53" s="69" t="n">
        <f aca="false">OFFSET(TblMili[[#This Row],[Draftees]],-1,0)+OFFSET(TblPop[[#This Row],[Draft Growth]],-1,0) - SUM(TblMili[[#This Row],[Train Unit 1]:[Train Spies]],TblMili[[#This Row],[Train Wiz]]) - TblMili[[#This Row],[Release Draft]] + SUM(TblMili[[#This Row],[Release Unit 1]:[Release AM]]) - TblExplore[[#This Row],[Draftees (2)]]</f>
        <v>620</v>
      </c>
      <c r="AB53" s="146"/>
      <c r="AC53" s="130" t="n">
        <f aca="false">(TblConstr[[#This Row],[Tot Smi]]+TblConstr[[#This Row],[Dest Smi]])/(TblConstr[[#This Row],[Land]]-TblExplore[[#This Row],[Land Bonus]]*20)</f>
        <v>0</v>
      </c>
      <c r="AD53" s="128"/>
      <c r="AE53" s="282" t="n">
        <f aca="false">TblMili[[#This Row],[Hour]]</f>
        <v>50</v>
      </c>
      <c r="AF53" s="129" t="n">
        <f aca="false">TblExplore[[#This Row],[Time]]</f>
        <v>45431.7916666667</v>
      </c>
      <c r="AG53" s="152"/>
      <c r="AH53" s="182"/>
      <c r="AI53" s="152"/>
      <c r="AJ53" s="182"/>
      <c r="AK53" s="182"/>
      <c r="AL53" s="182"/>
      <c r="AM53" s="182"/>
      <c r="AN53" s="182"/>
      <c r="AO53" s="132"/>
      <c r="AP53" s="69" t="n">
        <f aca="false">TblProd[[#This Row],[Platinum]]</f>
        <v>323598</v>
      </c>
      <c r="AQ53" s="69" t="n">
        <f aca="false">INDEX(TblProd[[#Headers],[Lumber]]:TblProd[[#This Row],[Ore]],COUNTA(TblProd[[#Headers],[Lumber]]:TblProd[[#This Row],[Lumber]]),MATCH(Military!$AQ$2,TblProd[[#Headers],[Lumber]:[Ore]],0))</f>
        <v>0</v>
      </c>
      <c r="AR5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69" t="n">
        <f aca="false">TblMili[[#This Row],[Train Unit 1]]*TblMili[[#This Row],[OP Ore]]+TblMili[[#This Row],[Train Unit 2]]*TblMili[[#This Row],[DP Ore]]+TblMili[[#This Row],[Train Unit 3]]*TblMili[[#This Row],[E1 Ore]]+TblMili[[#This Row],[Train Unit 4]]*TblMili[[#This Row],[E2 Ore]]</f>
        <v>0</v>
      </c>
      <c r="AT53" s="132" t="n">
        <f aca="false">TblMili[[#This Row],[Hour]]</f>
        <v>50</v>
      </c>
      <c r="AU53" s="144" t="n">
        <f aca="false">TblMili[[#This Row],[Time]]</f>
        <v>45431.7916666667</v>
      </c>
      <c r="AV53" s="69" t="n">
        <f aca="false">TblMili[[#This Row],[Draftees]]</f>
        <v>620</v>
      </c>
      <c r="AW53" s="182"/>
      <c r="AX53" s="182"/>
      <c r="AY53" s="182"/>
      <c r="AZ53" s="182"/>
      <c r="BA53" s="182"/>
      <c r="BB53" s="182"/>
      <c r="BC53" s="182"/>
      <c r="BD53" s="182"/>
      <c r="BE53" s="182"/>
      <c r="BF53" s="132"/>
      <c r="BG53" s="150" t="n">
        <f aca="false">TblConstr[[#This Row],[Tot WG]]/TblConstr[[#This Row],[Land]]</f>
        <v>0</v>
      </c>
      <c r="BH53" s="150" t="n">
        <f aca="false">TblConstr[[#This Row],[Tot Hav]]/TblConstr[[#This Row],[Land]]</f>
        <v>0</v>
      </c>
      <c r="BI53" s="69" t="n">
        <f aca="false">ROUNDUP((1-MIN(TblMili[[#This Row],[Smithies]]*smithy_bonus,smithy_bonus_cap) + tech_3_5*TblTech[[#This Row],[3-5]] + tech_5_3*TblTech[[#This Row],[5-3]] + tech_5_5*TblTech[[#This Row],[5-5]])*spec_op_plat,0)</f>
        <v>300</v>
      </c>
      <c r="BJ53" s="69" t="n">
        <f aca="false">ROUNDUP(IF(race="Gnome",1,(1-MIN(TblMili[[#This Row],[Smithies]]*smithy_bonus,smithy_bonus_cap) + tech_3_5*TblTech[[#This Row],[3-5]] + tech_5_3*TblTech[[#This Row],[5-3]] + tech_5_5*TblTech[[#This Row],[5-5]]))*spec_op_ore,0)</f>
        <v>0</v>
      </c>
      <c r="BK53" s="69" t="n">
        <f aca="false">ROUNDUP((1-MIN(TblMili[[#This Row],[Smithies]]*smithy_bonus,smithy_bonus_cap) + tech_3_5*TblTech[[#This Row],[3-5]] + tech_5_3*TblTech[[#This Row],[5-3]] + tech_5_5*TblTech[[#This Row],[5-5]])*spec_dp_plat,0)</f>
        <v>300</v>
      </c>
      <c r="BL53" s="69" t="n">
        <f aca="false">ROUNDUP(IF(race="Gnome",1,(1-MIN(TblMili[[#This Row],[Smithies]]*smithy_bonus,smithy_bonus_cap) + tech_3_5*TblTech[[#This Row],[3-5]] + tech_5_3*TblTech[[#This Row],[5-3]] + tech_5_5*TblTech[[#This Row],[5-5]]))*spec_dp_ore,0)</f>
        <v>0</v>
      </c>
      <c r="BM53" s="69" t="n">
        <f aca="false">ROUNDUP((1-MIN(TblMili[[#This Row],[Smithies]]*smithy_bonus,smithy_bonus_cap) + tech_3_5*TblTech[[#This Row],[3-5]] + tech_5_3*TblTech[[#This Row],[5-3]] + tech_5_5*TblTech[[#This Row],[5-5]])*elite1_plat,0)</f>
        <v>925</v>
      </c>
      <c r="BN53" s="69" t="n">
        <f aca="false">ROUNDUP(IF(race="Gnome",1,(1-MIN(TblMili[[#This Row],[Smithies]]*smithy_bonus,smithy_bonus_cap) + tech_3_5*TblTech[[#This Row],[3-5]] + tech_5_3*TblTech[[#This Row],[5-3]] + tech_5_5*TblTech[[#This Row],[5-5]]))*elite1_ore,0)</f>
        <v>0</v>
      </c>
      <c r="BO53" s="69" t="n">
        <f aca="false">ROUNDUP((1-MIN(TblMili[[#This Row],[Smithies]]*smithy_bonus,smithy_bonus_cap) + tech_3_5*TblTech[[#This Row],[3-5]] + tech_5_3*TblTech[[#This Row],[5-3]] + tech_5_5*TblTech[[#This Row],[5-5]])*elite2_plat,0)</f>
        <v>950</v>
      </c>
      <c r="BP53" s="69" t="n">
        <f aca="false">ROUNDUP(IF(race="Gnome",1,(1-MIN(TblMili[[#This Row],[Smithies]]*smithy_bonus,smithy_bonus_cap) + tech_3_5*TblTech[[#This Row],[3-5]] + tech_5_3*TblTech[[#This Row],[5-3]] + tech_5_5*TblTech[[#This Row],[5-5]]))*elite2_ore,0)</f>
        <v>0</v>
      </c>
      <c r="BQ53" s="69" t="n">
        <f aca="false">ROUNDUP((1-MIN(ROUND(fh_spy_cost_red*TblMili[[#This Row],[FH''s]],4),fh_spy_cost_cap)+ tech_1_9*TblTech[[#This Row],[1-9]] + tech_9_1*TblTech[[#This Row],[9-1]])*spy_plat,0)</f>
        <v>500</v>
      </c>
      <c r="BR53" s="69" t="n">
        <f aca="false">ROUNDUP((1-MIN(ROUND(fh_spy_cost_red*TblMili[[#This Row],[FH''s]],4),fh_spy_cost_cap)+ tech_1_9*TblTech[[#This Row],[1-9]] + tech_9_1*TblTech[[#This Row],[9-1]])*archspy_plat,0)</f>
        <v>1000</v>
      </c>
      <c r="BS53" s="69" t="n">
        <f aca="false">ROUNDUP((1-MIN(ROUND(wg_wiz_cost_bonus*TblMili[[#This Row],[WG''s]],4),wg_wiz_cost_cap) + tech_1_9_2*TblTech[[#This Row],[1-9]] + tech_9_1_2*TblTech[[#This Row],[9-1]])*wizard_plat,0)</f>
        <v>500</v>
      </c>
      <c r="BT53" s="69" t="n">
        <f aca="false">ROUNDUP((1-MIN(ROUND(wg_wiz_cost_bonus*TblMili[[#This Row],[WG''s]],4),wg_wiz_cost_cap) + tech_1_9_2*TblTech[[#This Row],[1-9]] + tech_9_1_2*TblTech[[#This Row],[9-1]])*archmage_plat,0)</f>
        <v>1000</v>
      </c>
      <c r="BU53" s="132"/>
      <c r="BV53" s="150" t="e">
        <f aca="false">TblConstr[[#This Row],[Homeland]]/TblConstr[[#This Row],[Land]]</f>
        <v>#VALUE!</v>
      </c>
      <c r="BW53" s="150" t="n">
        <f aca="false">TblMili[[#This Row],[WG''s]]</f>
        <v>0</v>
      </c>
      <c r="BX53" s="288" t="e">
        <f aca="false">IF(mystic_cap="none",TblMili[[#This Row],[Hill]]/mystic_bonus,MIN(mystic_cap,TblMili[[#This Row],[Hill]]/mystic_bonus))</f>
        <v>#VALUE!</v>
      </c>
      <c r="BY53" s="288" t="e">
        <f aca="false">IF(druid_op_cap="none",TblMili[[#This Row],[Hill]]/druid_op_bonus,MIN(druid_op_cap,TblMili[[#This Row],[Hill]]/druid_op_bonus))</f>
        <v>#VALUE!</v>
      </c>
      <c r="BZ53" s="288" t="e">
        <f aca="false">IF(druid_dp_cap="none",TblMili[[#This Row],[Hill]]/druid_dp_bonus,MIN(druid_dp_cap,TblMili[[#This Row],[Hill]]/druid_dp_bonus))</f>
        <v>#VALUE!</v>
      </c>
      <c r="CA53" s="288" t="e">
        <f aca="false">MIN(dryad_cap,TblMili[[#This Row],[Hill]]/dryad_bonus)</f>
        <v>#VALUE!</v>
      </c>
      <c r="CB53" s="288" t="e">
        <f aca="false">MIN(rocka_cap,TblMili[[#This Row],[Hill]]/rocka_bonus)</f>
        <v>#VALUE!</v>
      </c>
      <c r="CC53" s="288" t="n">
        <f aca="false">MIN(adept_op_cap,TblMili[[#This Row],[WG]]/adept_op_bonus)</f>
        <v>0</v>
      </c>
      <c r="CD53" s="288" t="n">
        <f aca="false">MIN(adept_dp_cap,TblMili[[#This Row],[WG]]/adept_dp_bonus)</f>
        <v>0</v>
      </c>
      <c r="CE53" s="69" t="n">
        <f aca="false">MIN(TblMili[[#This Row],[Unit 3]],TblMili[[#This Row],[Unit 2]])*2</f>
        <v>0</v>
      </c>
      <c r="CF53" s="69" t="n">
        <f aca="false">MIN(TblMili[[#This Row],[Unit 1]],TblMili[[#This Row],[Unit 4]])*2</f>
        <v>0</v>
      </c>
      <c r="CG53" s="288" t="e">
        <f aca="false">MIN(frost_mage_cap,TblMili[[#This Row],[Hill]]/frost_mage_bonus)</f>
        <v>#VALUE!</v>
      </c>
      <c r="CH53" s="151" t="n">
        <f aca="false">MIN(ice_elem_cap,TblMili[[#This Row],[Raw (2)]]*ice_elem_bonus)</f>
        <v>0</v>
      </c>
      <c r="CI53" s="288" t="n">
        <f aca="false">MIN(bone_breaker_cap,250/bone_breaker_bonus)</f>
        <v>0.833333333333333</v>
      </c>
      <c r="CJ53" s="288" t="e">
        <f aca="false">MIN(nox_nightshade_cap,TblConstr[[#This Row],[Homeland]]/TblConstr[[#This Row],[Land]]/nox_nightshade_swamp_bonus)</f>
        <v>#VALUE!</v>
      </c>
      <c r="CK53" s="289"/>
      <c r="CL53" s="289"/>
      <c r="CM53" s="289"/>
      <c r="CN53" s="288" t="e">
        <f aca="false">MIN(6,TblMili[[#This Row],[Mystic]]+Races!$F$19)*1.8 +  IF(TblMili[[#This Row],[Mystic]]+Races!$F$19&gt;6,(TblMili[[#This Row],[Mystic]]+Races!$F$19-6)*0.2,0) - Races!$I$19</f>
        <v>#VALUE!</v>
      </c>
      <c r="CO53" s="288" t="e">
        <f aca="false">1.8 * MIN(MAX(TblMili[[#This Row],[Druid (op)]]+Races!$E$20,TblMili[[#This Row],[Druid (dp)]]+Races!$F$20),6)  +  0.45 * MIN(MIN(TblMili[[#This Row],[Druid (op)]]+Races!$E$20,TblMili[[#This Row],[Druid (dp)]]+Races!$F$20),6)  +  0.2 * ( MAX(TblMili[[#This Row],[Druid (op)]]+Races!$E$20-6,0) + MAX(TblMili[[#This Row],[Druid (dp)]]+Races!$F$20-6,0) )  -  Races!$I$20</f>
        <v>#VALUE!</v>
      </c>
      <c r="CP53" s="69" t="e">
        <f aca="false">TblMili[[#This Row],[Mystic bonus]]*TblMili[[#This Row],[Unit 3]]+TblMili[[#This Row],[Druid bonus]]*TblMili[[#This Row],[Unit 4]]</f>
        <v>#VALUE!</v>
      </c>
      <c r="CQ53" s="148" t="e">
        <f aca="false">MIN(6,TblMili[[#This Row],[Dryad]]+Races!$F$35)*1.8 +  IF(TblMili[[#This Row],[Dryad]]+Races!$F$35&gt;6,(TblMili[[#This Row],[Dryad]]+Races!$F$35-6)*0.2,0) - Races!$I$19</f>
        <v>#VALUE!</v>
      </c>
      <c r="CR53" s="69" t="e">
        <f aca="false">sylvan*(TblMili[[#This Row],[Mystic bonus]]*TblMili[[#This Row],[Unit 3]])</f>
        <v>#VALUE!</v>
      </c>
      <c r="CS53" s="148" t="e">
        <f aca="false">1.8 * MIN(MAX(Races!$E$27,TblMili[[#This Row],[Rockapult]]+Races!$F$27),6)  +  0.45 * MIN(MIN(Races!$E$27,TblMili[[#This Row],[Rockapult]]+Races!$F$27),6)  +  0.2 * ( MAX(Races!$E$27-6,0) + MAX(TblMili[[#This Row],[Rockapult]]+Races!$F$27-6,0) )  -  Races!$I$20</f>
        <v>#VALUE!</v>
      </c>
      <c r="CT53" s="69" t="e">
        <f aca="false">gnome*(TblMili[[#This Row],[Rockapult bonus]]*TblMili[[#This Row],[Unit 3]])</f>
        <v>#VALUE!</v>
      </c>
      <c r="CU53" s="148" t="n">
        <f aca="false">1.8 * MIN(MAX(TblMili[[#This Row],[Spellblade]]+Races!$E$47,TblMili[[#This Row],[Adept-DP]]+Races!$F$47),6)  +  0.45 * MIN(MIN(TblMili[[#This Row],[Spellblade]]+Races!$E$47,TblMili[[#This Row],[Adept-DP]]+Races!$F$47),6)  +  0.2 * ( MAX(TblMili[[#This Row],[Spellblade]]+Races!$E$47-6,0) + MAX(TblMili[[#This Row],[Adept-DP]]+Races!$F$47-6,0) )  -  Races!$I$47</f>
        <v>0</v>
      </c>
      <c r="CV53" s="69" t="n">
        <f aca="false">dark_elf*(TblMili[[#This Row],[Adept bonus]]*TblMili[[#This Row],[Unit 3]])</f>
        <v>0</v>
      </c>
      <c r="CW53" s="148" t="e">
        <f aca="false">1.8 * MIN(MAX(TblMili[[#This Row],[Frost Mage]]+Races!$F$71,Races!$E$71),6)  +  0.45 * MIN(MIN(TblMili[[#This Row],[Frost Mage]]+Races!$F$71,Races!$E$71),6)  +  0.2 * ( MAX(TblMili[[#This Row],[Frost Mage]]+Races!$F$71-6,0) + MAX(Races!$E$71-6,0) )  -  Races!$I$71</f>
        <v>#VALUE!</v>
      </c>
      <c r="CX53" s="148" t="n">
        <f aca="false">1.8 * MIN(MAX(TblMili[[#This Row],[Ice Elemental]]+Races!$E$71,Races!$F$71),6)  +  0.45 * MIN(MIN(TblMili[[#This Row],[Ice Elemental]]+Races!$E$71,Races!$F$71),6)  +  0.2 * ( MAX(TblMili[[#This Row],[Ice Elemental]]+Races!$E$71-6,0) + MAX(Races!$F$71-6,0) )  -  Races!$I$71</f>
        <v>0</v>
      </c>
      <c r="CY53" s="69" t="e">
        <f aca="false">TblMili[[#This Row],[Frost Mage bonus]]*TblMili[[#This Row],[Unit 3]]+TblMili[[#This Row],[Ice Elemental bonus]]*TblMili[[#This Row],[Unit 4]]</f>
        <v>#VALUE!</v>
      </c>
      <c r="CZ53" s="290"/>
      <c r="DA53" s="109" t="n">
        <f aca="false">MIN(SUM(TblConstr[[#This Row],[Plain]:[Water]])/TblMili[[#This Row],[Land]]/favorable_terrain_bonus/100,favorable_terrain_max)</f>
        <v>0</v>
      </c>
      <c r="DB53" s="290"/>
      <c r="DC5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3" s="132"/>
      <c r="DE53" s="291" t="n">
        <f aca="false">(TblMili[[#This Row],[Wizards]]+2*TblMili[[#This Row],[Archmages]])/TblConstr[[#This Row],[Land]]</f>
        <v>0</v>
      </c>
      <c r="DF53" s="291" t="n">
        <f aca="false">TblMili[[#This Row],[Raw (2)]]*(1+race_wizard_strength+IF(TblMili[[#This Row],[Hour]]&gt;72,tech_magical_weaponry_wiz*TblTech[[#This Row],[3-5]],0))</f>
        <v>0</v>
      </c>
    </row>
    <row r="54" customFormat="false" ht="12.75" hidden="false" customHeight="false" outlineLevel="0" collapsed="false">
      <c r="A54" s="128" t="n">
        <f aca="false">TblRezone[[#This Row],[Hour]]</f>
        <v>51</v>
      </c>
      <c r="B54" s="282" t="n">
        <f aca="false">SUM(TblMili[[#This Row],[Unit 1]:[Archmages]])+SUM(OFFSET(TblMili[[#This Row],[Train Unit 1]],-8,0):TblMili[[#This Row],[Train Unit 2]]) + SUM(OFFSET(TblMili[[#This Row],[Train Unit 3]],-11,0):TblMili[[#This Row],[Train AM]]) + TblMili[[#This Row],[Draftees]]</f>
        <v>716</v>
      </c>
      <c r="C54" s="150" t="n">
        <f aca="false">TblPop[[#This Row],[Military%]]</f>
        <v>0.0685823754789272</v>
      </c>
      <c r="D54" s="132"/>
      <c r="E54" s="151" t="n">
        <f aca="false">OFFSET(TblMili[[#This Row],[Unit 1]],-1,0) + OFFSET(TblMili[[#This Row],[Train Unit 1]],-9,0) - TblMili[[#This Row],[Release Unit 1]]</f>
        <v>0</v>
      </c>
      <c r="F54" s="151" t="n">
        <f aca="false">OFFSET(TblMili[[#This Row],[Unit 2]],-1,0) + OFFSET(TblMili[[#This Row],[Train Unit 2]],-9,0)-TblMili[[#This Row],[Release Unit 2]]</f>
        <v>0</v>
      </c>
      <c r="G54" s="151" t="n">
        <f aca="false">OFFSET(TblMili[[#This Row],[Unit 3]],-1,0) + OFFSET(TblMili[[#This Row],[Train Unit 3]],-12,0)-TblMili[[#This Row],[Release Unit 3]]</f>
        <v>0</v>
      </c>
      <c r="H54" s="151" t="n">
        <f aca="false">OFFSET(TblMili[[#This Row],[Unit 4]],-1,0) + OFFSET(TblMili[[#This Row],[Train Unit 4]],-12,0)-TblMili[[#This Row],[Release Unit 4]]</f>
        <v>0</v>
      </c>
      <c r="I54" s="151" t="n">
        <f aca="false">OFFSET(TblMili[[#This Row],[Spies]],-1,0) + OFFSET(TblMili[[#This Row],[Train Spies]],-12,0) - TblMili[[#This Row],[Release Spies]]-TblMili[[#This Row],[Train AS]]</f>
        <v>0</v>
      </c>
      <c r="J54" s="151" t="n">
        <f aca="false">OFFSET(TblMili[[#This Row],[Archspies]],-1,0) + OFFSET(TblMili[[#This Row],[Train AS]],-12,0) - TblMili[[#This Row],[Release AS]]</f>
        <v>0</v>
      </c>
      <c r="K54" s="151" t="n">
        <f aca="false">OFFSET(TblMili[[#This Row],[Wizards]],-1,0) + OFFSET(TblMili[[#This Row],[Train Wiz]],-12,0) - TblMili[[#This Row],[Release Wizards]]-TblMili[[#This Row],[Train AM]]</f>
        <v>0</v>
      </c>
      <c r="L54" s="151" t="n">
        <f aca="false">OFFSET(TblMili[[#This Row],[Archmages]],-1,0) + OFFSET(TblMili[[#This Row],[Train AM]],-12,0) - TblMili[[#This Row],[Release AM]]</f>
        <v>0</v>
      </c>
      <c r="M54" s="132"/>
      <c r="N54" s="69" t="e">
        <f aca="false">TblProd[[#This Row],[Networth]]</f>
        <v>#VALUE!</v>
      </c>
      <c r="O54" s="132"/>
      <c r="P5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4" s="285" t="e">
        <f aca="false">TblMili[[#This Row],[Raw]]*(1+TblMili[[#This Row],[Mods_Off]])</f>
        <v>#VALUE!</v>
      </c>
      <c r="S5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4" s="285" t="e">
        <f aca="false">TblMili[[#This Row],[Non Draft]]+TblMili[[#This Row],[Draftees]]</f>
        <v>#VALUE!</v>
      </c>
      <c r="U54" s="286" t="n">
        <f aca="false">race_defense + TblImps[[#This Row],[Walls]] + ROUND( MIN(gt_bonus*TblConstr[[#This Row],[Tot GT]]/TblConstr[[#This Row],[Land]],gt_bonus_cap), 4) + IF(TblMagic[[#This Row],[Active Howling]]&gt;0,howling_dp_bonus,IF(TblMagic[[#This Row],[Active Ares Call]]&gt;0,ares_call_bonus))</f>
        <v>0</v>
      </c>
      <c r="V54" s="274" t="e">
        <f aca="false">TblMili[[#This Row],[Non Draft]] * (1 + TblMili[[#This Row],[Mods_Def]])</f>
        <v>#VALUE!</v>
      </c>
      <c r="W54" s="285" t="e">
        <f aca="false">TblMili[[#This Row],[Draft]] * (1 + TblMili[[#This Row],[Mods_Def]])</f>
        <v>#VALUE!</v>
      </c>
      <c r="X54" s="285" t="n">
        <f aca="false">TblConstr[[#This Row],[Land]]</f>
        <v>656</v>
      </c>
      <c r="Y54" s="287"/>
      <c r="Z54" s="109" t="n">
        <f aca="false">IF(TblMili[[#This Row],[Set]]&lt;&gt;"",TblMili[[#This Row],[Set]],OFFSET(TblMili[[#This Row],[Draftrate]],-1,0))</f>
        <v>0.9</v>
      </c>
      <c r="AA54" s="69" t="n">
        <f aca="false">OFFSET(TblMili[[#This Row],[Draftees]],-1,0)+OFFSET(TblPop[[#This Row],[Draft Growth]],-1,0) - SUM(TblMili[[#This Row],[Train Unit 1]:[Train Spies]],TblMili[[#This Row],[Train Wiz]]) - TblMili[[#This Row],[Release Draft]] + SUM(TblMili[[#This Row],[Release Unit 1]:[Release AM]]) - TblExplore[[#This Row],[Draftees (2)]]</f>
        <v>716</v>
      </c>
      <c r="AB54" s="146"/>
      <c r="AC54" s="130" t="n">
        <f aca="false">(TblConstr[[#This Row],[Tot Smi]]+TblConstr[[#This Row],[Dest Smi]])/(TblConstr[[#This Row],[Land]]-TblExplore[[#This Row],[Land Bonus]]*20)</f>
        <v>0</v>
      </c>
      <c r="AD54" s="128"/>
      <c r="AE54" s="282" t="n">
        <f aca="false">TblMili[[#This Row],[Hour]]</f>
        <v>51</v>
      </c>
      <c r="AF54" s="129" t="n">
        <f aca="false">TblExplore[[#This Row],[Time]]</f>
        <v>45431.8333333333</v>
      </c>
      <c r="AG54" s="182"/>
      <c r="AH54" s="182"/>
      <c r="AI54" s="182"/>
      <c r="AJ54" s="182"/>
      <c r="AK54" s="182"/>
      <c r="AL54" s="182"/>
      <c r="AM54" s="182"/>
      <c r="AN54" s="182"/>
      <c r="AO54" s="132"/>
      <c r="AP54" s="69" t="n">
        <f aca="false">TblProd[[#This Row],[Platinum]]</f>
        <v>356298</v>
      </c>
      <c r="AQ54" s="69" t="n">
        <f aca="false">INDEX(TblProd[[#Headers],[Lumber]]:TblProd[[#This Row],[Ore]],COUNTA(TblProd[[#Headers],[Lumber]]:TblProd[[#This Row],[Lumber]]),MATCH(Military!$AQ$2,TblProd[[#Headers],[Lumber]:[Ore]],0))</f>
        <v>0</v>
      </c>
      <c r="AR5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69" t="n">
        <f aca="false">TblMili[[#This Row],[Train Unit 1]]*TblMili[[#This Row],[OP Ore]]+TblMili[[#This Row],[Train Unit 2]]*TblMili[[#This Row],[DP Ore]]+TblMili[[#This Row],[Train Unit 3]]*TblMili[[#This Row],[E1 Ore]]+TblMili[[#This Row],[Train Unit 4]]*TblMili[[#This Row],[E2 Ore]]</f>
        <v>0</v>
      </c>
      <c r="AT54" s="132" t="n">
        <f aca="false">TblMili[[#This Row],[Hour]]</f>
        <v>51</v>
      </c>
      <c r="AU54" s="144" t="n">
        <f aca="false">TblMili[[#This Row],[Time]]</f>
        <v>45431.8333333333</v>
      </c>
      <c r="AV54" s="69" t="n">
        <f aca="false">TblMili[[#This Row],[Draftees]]</f>
        <v>716</v>
      </c>
      <c r="AW54" s="182"/>
      <c r="AX54" s="182"/>
      <c r="AY54" s="182"/>
      <c r="AZ54" s="182"/>
      <c r="BA54" s="182"/>
      <c r="BB54" s="182"/>
      <c r="BC54" s="182"/>
      <c r="BD54" s="182"/>
      <c r="BE54" s="182"/>
      <c r="BF54" s="132"/>
      <c r="BG54" s="150" t="n">
        <f aca="false">TblConstr[[#This Row],[Tot WG]]/TblConstr[[#This Row],[Land]]</f>
        <v>0</v>
      </c>
      <c r="BH54" s="150" t="n">
        <f aca="false">TblConstr[[#This Row],[Tot Hav]]/TblConstr[[#This Row],[Land]]</f>
        <v>0</v>
      </c>
      <c r="BI54" s="69" t="n">
        <f aca="false">ROUNDUP((1-MIN(TblMili[[#This Row],[Smithies]]*smithy_bonus,smithy_bonus_cap) + tech_3_5*TblTech[[#This Row],[3-5]] + tech_5_3*TblTech[[#This Row],[5-3]] + tech_5_5*TblTech[[#This Row],[5-5]])*spec_op_plat,0)</f>
        <v>300</v>
      </c>
      <c r="BJ54" s="69" t="n">
        <f aca="false">ROUNDUP(IF(race="Gnome",1,(1-MIN(TblMili[[#This Row],[Smithies]]*smithy_bonus,smithy_bonus_cap) + tech_3_5*TblTech[[#This Row],[3-5]] + tech_5_3*TblTech[[#This Row],[5-3]] + tech_5_5*TblTech[[#This Row],[5-5]]))*spec_op_ore,0)</f>
        <v>0</v>
      </c>
      <c r="BK54" s="69" t="n">
        <f aca="false">ROUNDUP((1-MIN(TblMili[[#This Row],[Smithies]]*smithy_bonus,smithy_bonus_cap) + tech_3_5*TblTech[[#This Row],[3-5]] + tech_5_3*TblTech[[#This Row],[5-3]] + tech_5_5*TblTech[[#This Row],[5-5]])*spec_dp_plat,0)</f>
        <v>300</v>
      </c>
      <c r="BL54" s="69" t="n">
        <f aca="false">ROUNDUP(IF(race="Gnome",1,(1-MIN(TblMili[[#This Row],[Smithies]]*smithy_bonus,smithy_bonus_cap) + tech_3_5*TblTech[[#This Row],[3-5]] + tech_5_3*TblTech[[#This Row],[5-3]] + tech_5_5*TblTech[[#This Row],[5-5]]))*spec_dp_ore,0)</f>
        <v>0</v>
      </c>
      <c r="BM54" s="69" t="n">
        <f aca="false">ROUNDUP((1-MIN(TblMili[[#This Row],[Smithies]]*smithy_bonus,smithy_bonus_cap) + tech_3_5*TblTech[[#This Row],[3-5]] + tech_5_3*TblTech[[#This Row],[5-3]] + tech_5_5*TblTech[[#This Row],[5-5]])*elite1_plat,0)</f>
        <v>925</v>
      </c>
      <c r="BN54" s="69" t="n">
        <f aca="false">ROUNDUP(IF(race="Gnome",1,(1-MIN(TblMili[[#This Row],[Smithies]]*smithy_bonus,smithy_bonus_cap) + tech_3_5*TblTech[[#This Row],[3-5]] + tech_5_3*TblTech[[#This Row],[5-3]] + tech_5_5*TblTech[[#This Row],[5-5]]))*elite1_ore,0)</f>
        <v>0</v>
      </c>
      <c r="BO54" s="69" t="n">
        <f aca="false">ROUNDUP((1-MIN(TblMili[[#This Row],[Smithies]]*smithy_bonus,smithy_bonus_cap) + tech_3_5*TblTech[[#This Row],[3-5]] + tech_5_3*TblTech[[#This Row],[5-3]] + tech_5_5*TblTech[[#This Row],[5-5]])*elite2_plat,0)</f>
        <v>950</v>
      </c>
      <c r="BP54" s="69" t="n">
        <f aca="false">ROUNDUP(IF(race="Gnome",1,(1-MIN(TblMili[[#This Row],[Smithies]]*smithy_bonus,smithy_bonus_cap) + tech_3_5*TblTech[[#This Row],[3-5]] + tech_5_3*TblTech[[#This Row],[5-3]] + tech_5_5*TblTech[[#This Row],[5-5]]))*elite2_ore,0)</f>
        <v>0</v>
      </c>
      <c r="BQ54" s="69" t="n">
        <f aca="false">ROUNDUP((1-MIN(ROUND(fh_spy_cost_red*TblMili[[#This Row],[FH''s]],4),fh_spy_cost_cap)+ tech_1_9*TblTech[[#This Row],[1-9]] + tech_9_1*TblTech[[#This Row],[9-1]])*spy_plat,0)</f>
        <v>500</v>
      </c>
      <c r="BR54" s="69" t="n">
        <f aca="false">ROUNDUP((1-MIN(ROUND(fh_spy_cost_red*TblMili[[#This Row],[FH''s]],4),fh_spy_cost_cap)+ tech_1_9*TblTech[[#This Row],[1-9]] + tech_9_1*TblTech[[#This Row],[9-1]])*archspy_plat,0)</f>
        <v>1000</v>
      </c>
      <c r="BS54" s="69" t="n">
        <f aca="false">ROUNDUP((1-MIN(ROUND(wg_wiz_cost_bonus*TblMili[[#This Row],[WG''s]],4),wg_wiz_cost_cap) + tech_1_9_2*TblTech[[#This Row],[1-9]] + tech_9_1_2*TblTech[[#This Row],[9-1]])*wizard_plat,0)</f>
        <v>500</v>
      </c>
      <c r="BT54" s="69" t="n">
        <f aca="false">ROUNDUP((1-MIN(ROUND(wg_wiz_cost_bonus*TblMili[[#This Row],[WG''s]],4),wg_wiz_cost_cap) + tech_1_9_2*TblTech[[#This Row],[1-9]] + tech_9_1_2*TblTech[[#This Row],[9-1]])*archmage_plat,0)</f>
        <v>1000</v>
      </c>
      <c r="BU54" s="132"/>
      <c r="BV54" s="150" t="e">
        <f aca="false">TblConstr[[#This Row],[Homeland]]/TblConstr[[#This Row],[Land]]</f>
        <v>#VALUE!</v>
      </c>
      <c r="BW54" s="150" t="n">
        <f aca="false">TblMili[[#This Row],[WG''s]]</f>
        <v>0</v>
      </c>
      <c r="BX54" s="288" t="e">
        <f aca="false">IF(mystic_cap="none",TblMili[[#This Row],[Hill]]/mystic_bonus,MIN(mystic_cap,TblMili[[#This Row],[Hill]]/mystic_bonus))</f>
        <v>#VALUE!</v>
      </c>
      <c r="BY54" s="288" t="e">
        <f aca="false">IF(druid_op_cap="none",TblMili[[#This Row],[Hill]]/druid_op_bonus,MIN(druid_op_cap,TblMili[[#This Row],[Hill]]/druid_op_bonus))</f>
        <v>#VALUE!</v>
      </c>
      <c r="BZ54" s="288" t="e">
        <f aca="false">IF(druid_dp_cap="none",TblMili[[#This Row],[Hill]]/druid_dp_bonus,MIN(druid_dp_cap,TblMili[[#This Row],[Hill]]/druid_dp_bonus))</f>
        <v>#VALUE!</v>
      </c>
      <c r="CA54" s="288" t="e">
        <f aca="false">MIN(dryad_cap,TblMili[[#This Row],[Hill]]/dryad_bonus)</f>
        <v>#VALUE!</v>
      </c>
      <c r="CB54" s="288" t="e">
        <f aca="false">MIN(rocka_cap,TblMili[[#This Row],[Hill]]/rocka_bonus)</f>
        <v>#VALUE!</v>
      </c>
      <c r="CC54" s="288" t="n">
        <f aca="false">MIN(adept_op_cap,TblMili[[#This Row],[WG]]/adept_op_bonus)</f>
        <v>0</v>
      </c>
      <c r="CD54" s="288" t="n">
        <f aca="false">MIN(adept_dp_cap,TblMili[[#This Row],[WG]]/adept_dp_bonus)</f>
        <v>0</v>
      </c>
      <c r="CE54" s="69" t="n">
        <f aca="false">MIN(TblMili[[#This Row],[Unit 3]],TblMili[[#This Row],[Unit 2]])*2</f>
        <v>0</v>
      </c>
      <c r="CF54" s="69" t="n">
        <f aca="false">MIN(TblMili[[#This Row],[Unit 1]],TblMili[[#This Row],[Unit 4]])*2</f>
        <v>0</v>
      </c>
      <c r="CG54" s="288" t="e">
        <f aca="false">MIN(frost_mage_cap,TblMili[[#This Row],[Hill]]/frost_mage_bonus)</f>
        <v>#VALUE!</v>
      </c>
      <c r="CH54" s="151" t="n">
        <f aca="false">MIN(ice_elem_cap,TblMili[[#This Row],[Raw (2)]]*ice_elem_bonus)</f>
        <v>0</v>
      </c>
      <c r="CI54" s="288" t="n">
        <f aca="false">MIN(bone_breaker_cap,250/bone_breaker_bonus)</f>
        <v>0.833333333333333</v>
      </c>
      <c r="CJ54" s="288" t="e">
        <f aca="false">MIN(nox_nightshade_cap,TblConstr[[#This Row],[Homeland]]/TblConstr[[#This Row],[Land]]/nox_nightshade_swamp_bonus)</f>
        <v>#VALUE!</v>
      </c>
      <c r="CK54" s="289"/>
      <c r="CL54" s="289"/>
      <c r="CM54" s="289"/>
      <c r="CN54" s="288" t="e">
        <f aca="false">MIN(6,TblMili[[#This Row],[Mystic]]+Races!$F$19)*1.8 +  IF(TblMili[[#This Row],[Mystic]]+Races!$F$19&gt;6,(TblMili[[#This Row],[Mystic]]+Races!$F$19-6)*0.2,0) - Races!$I$19</f>
        <v>#VALUE!</v>
      </c>
      <c r="CO54" s="288" t="e">
        <f aca="false">1.8 * MIN(MAX(TblMili[[#This Row],[Druid (op)]]+Races!$E$20,TblMili[[#This Row],[Druid (dp)]]+Races!$F$20),6)  +  0.45 * MIN(MIN(TblMili[[#This Row],[Druid (op)]]+Races!$E$20,TblMili[[#This Row],[Druid (dp)]]+Races!$F$20),6)  +  0.2 * ( MAX(TblMili[[#This Row],[Druid (op)]]+Races!$E$20-6,0) + MAX(TblMili[[#This Row],[Druid (dp)]]+Races!$F$20-6,0) )  -  Races!$I$20</f>
        <v>#VALUE!</v>
      </c>
      <c r="CP54" s="69" t="e">
        <f aca="false">TblMili[[#This Row],[Mystic bonus]]*TblMili[[#This Row],[Unit 3]]+TblMili[[#This Row],[Druid bonus]]*TblMili[[#This Row],[Unit 4]]</f>
        <v>#VALUE!</v>
      </c>
      <c r="CQ54" s="148" t="e">
        <f aca="false">MIN(6,TblMili[[#This Row],[Dryad]]+Races!$F$35)*1.8 +  IF(TblMili[[#This Row],[Dryad]]+Races!$F$35&gt;6,(TblMili[[#This Row],[Dryad]]+Races!$F$35-6)*0.2,0) - Races!$I$19</f>
        <v>#VALUE!</v>
      </c>
      <c r="CR54" s="69" t="e">
        <f aca="false">sylvan*(TblMili[[#This Row],[Mystic bonus]]*TblMili[[#This Row],[Unit 3]])</f>
        <v>#VALUE!</v>
      </c>
      <c r="CS54" s="148" t="e">
        <f aca="false">1.8 * MIN(MAX(Races!$E$27,TblMili[[#This Row],[Rockapult]]+Races!$F$27),6)  +  0.45 * MIN(MIN(Races!$E$27,TblMili[[#This Row],[Rockapult]]+Races!$F$27),6)  +  0.2 * ( MAX(Races!$E$27-6,0) + MAX(TblMili[[#This Row],[Rockapult]]+Races!$F$27-6,0) )  -  Races!$I$20</f>
        <v>#VALUE!</v>
      </c>
      <c r="CT54" s="69" t="e">
        <f aca="false">gnome*(TblMili[[#This Row],[Rockapult bonus]]*TblMili[[#This Row],[Unit 3]])</f>
        <v>#VALUE!</v>
      </c>
      <c r="CU54" s="148" t="n">
        <f aca="false">1.8 * MIN(MAX(TblMili[[#This Row],[Spellblade]]+Races!$E$47,TblMili[[#This Row],[Adept-DP]]+Races!$F$47),6)  +  0.45 * MIN(MIN(TblMili[[#This Row],[Spellblade]]+Races!$E$47,TblMili[[#This Row],[Adept-DP]]+Races!$F$47),6)  +  0.2 * ( MAX(TblMili[[#This Row],[Spellblade]]+Races!$E$47-6,0) + MAX(TblMili[[#This Row],[Adept-DP]]+Races!$F$47-6,0) )  -  Races!$I$47</f>
        <v>0</v>
      </c>
      <c r="CV54" s="69" t="n">
        <f aca="false">dark_elf*(TblMili[[#This Row],[Adept bonus]]*TblMili[[#This Row],[Unit 3]])</f>
        <v>0</v>
      </c>
      <c r="CW54" s="148" t="e">
        <f aca="false">1.8 * MIN(MAX(TblMili[[#This Row],[Frost Mage]]+Races!$F$71,Races!$E$71),6)  +  0.45 * MIN(MIN(TblMili[[#This Row],[Frost Mage]]+Races!$F$71,Races!$E$71),6)  +  0.2 * ( MAX(TblMili[[#This Row],[Frost Mage]]+Races!$F$71-6,0) + MAX(Races!$E$71-6,0) )  -  Races!$I$71</f>
        <v>#VALUE!</v>
      </c>
      <c r="CX54" s="148" t="n">
        <f aca="false">1.8 * MIN(MAX(TblMili[[#This Row],[Ice Elemental]]+Races!$E$71,Races!$F$71),6)  +  0.45 * MIN(MIN(TblMili[[#This Row],[Ice Elemental]]+Races!$E$71,Races!$F$71),6)  +  0.2 * ( MAX(TblMili[[#This Row],[Ice Elemental]]+Races!$E$71-6,0) + MAX(Races!$F$71-6,0) )  -  Races!$I$71</f>
        <v>0</v>
      </c>
      <c r="CY54" s="69" t="e">
        <f aca="false">TblMili[[#This Row],[Frost Mage bonus]]*TblMili[[#This Row],[Unit 3]]+TblMili[[#This Row],[Ice Elemental bonus]]*TblMili[[#This Row],[Unit 4]]</f>
        <v>#VALUE!</v>
      </c>
      <c r="CZ54" s="290"/>
      <c r="DA54" s="109" t="n">
        <f aca="false">MIN(SUM(TblConstr[[#This Row],[Plain]:[Water]])/TblMili[[#This Row],[Land]]/favorable_terrain_bonus/100,favorable_terrain_max)</f>
        <v>0</v>
      </c>
      <c r="DB54" s="290"/>
      <c r="DC5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4" s="132"/>
      <c r="DE54" s="291" t="n">
        <f aca="false">(TblMili[[#This Row],[Wizards]]+2*TblMili[[#This Row],[Archmages]])/TblConstr[[#This Row],[Land]]</f>
        <v>0</v>
      </c>
      <c r="DF54" s="291" t="n">
        <f aca="false">TblMili[[#This Row],[Raw (2)]]*(1+race_wizard_strength+IF(TblMili[[#This Row],[Hour]]&gt;72,tech_magical_weaponry_wiz*TblTech[[#This Row],[3-5]],0))</f>
        <v>0</v>
      </c>
    </row>
    <row r="55" customFormat="false" ht="12.75" hidden="false" customHeight="false" outlineLevel="0" collapsed="false">
      <c r="A55" s="128" t="n">
        <f aca="false">TblRezone[[#This Row],[Hour]]</f>
        <v>52</v>
      </c>
      <c r="B55" s="282" t="n">
        <f aca="false">SUM(TblMili[[#This Row],[Unit 1]:[Archmages]])+SUM(OFFSET(TblMili[[#This Row],[Train Unit 1]],-8,0):TblMili[[#This Row],[Train Unit 2]]) + SUM(OFFSET(TblMili[[#This Row],[Train Unit 3]],-11,0):TblMili[[#This Row],[Train AM]]) + TblMili[[#This Row],[Draftees]]</f>
        <v>813</v>
      </c>
      <c r="C55" s="150" t="n">
        <f aca="false">TblPop[[#This Row],[Military%]]</f>
        <v>0.0762664165103189</v>
      </c>
      <c r="D55" s="132"/>
      <c r="E55" s="151" t="n">
        <f aca="false">OFFSET(TblMili[[#This Row],[Unit 1]],-1,0) + OFFSET(TblMili[[#This Row],[Train Unit 1]],-9,0) - TblMili[[#This Row],[Release Unit 1]]</f>
        <v>0</v>
      </c>
      <c r="F55" s="151" t="n">
        <f aca="false">OFFSET(TblMili[[#This Row],[Unit 2]],-1,0) + OFFSET(TblMili[[#This Row],[Train Unit 2]],-9,0)-TblMili[[#This Row],[Release Unit 2]]</f>
        <v>0</v>
      </c>
      <c r="G55" s="151" t="n">
        <f aca="false">OFFSET(TblMili[[#This Row],[Unit 3]],-1,0) + OFFSET(TblMili[[#This Row],[Train Unit 3]],-12,0)-TblMili[[#This Row],[Release Unit 3]]</f>
        <v>0</v>
      </c>
      <c r="H55" s="151" t="n">
        <f aca="false">OFFSET(TblMili[[#This Row],[Unit 4]],-1,0) + OFFSET(TblMili[[#This Row],[Train Unit 4]],-12,0)-TblMili[[#This Row],[Release Unit 4]]</f>
        <v>0</v>
      </c>
      <c r="I55" s="151" t="n">
        <f aca="false">OFFSET(TblMili[[#This Row],[Spies]],-1,0) + OFFSET(TblMili[[#This Row],[Train Spies]],-12,0) - TblMili[[#This Row],[Release Spies]]-TblMili[[#This Row],[Train AS]]</f>
        <v>0</v>
      </c>
      <c r="J55" s="151" t="n">
        <f aca="false">OFFSET(TblMili[[#This Row],[Archspies]],-1,0) + OFFSET(TblMili[[#This Row],[Train AS]],-12,0) - TblMili[[#This Row],[Release AS]]</f>
        <v>0</v>
      </c>
      <c r="K55" s="151" t="n">
        <f aca="false">OFFSET(TblMili[[#This Row],[Wizards]],-1,0) + OFFSET(TblMili[[#This Row],[Train Wiz]],-12,0) - TblMili[[#This Row],[Release Wizards]]-TblMili[[#This Row],[Train AM]]</f>
        <v>0</v>
      </c>
      <c r="L55" s="151" t="n">
        <f aca="false">OFFSET(TblMili[[#This Row],[Archmages]],-1,0) + OFFSET(TblMili[[#This Row],[Train AM]],-12,0) - TblMili[[#This Row],[Release AM]]</f>
        <v>0</v>
      </c>
      <c r="M55" s="132"/>
      <c r="N55" s="69" t="e">
        <f aca="false">TblProd[[#This Row],[Networth]]</f>
        <v>#VALUE!</v>
      </c>
      <c r="O55" s="132"/>
      <c r="P5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5" s="285" t="e">
        <f aca="false">TblMili[[#This Row],[Raw]]*(1+TblMili[[#This Row],[Mods_Off]])</f>
        <v>#VALUE!</v>
      </c>
      <c r="S5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5" s="285" t="e">
        <f aca="false">TblMili[[#This Row],[Non Draft]]+TblMili[[#This Row],[Draftees]]</f>
        <v>#VALUE!</v>
      </c>
      <c r="U55" s="286" t="n">
        <f aca="false">race_defense + TblImps[[#This Row],[Walls]] + ROUND( MIN(gt_bonus*TblConstr[[#This Row],[Tot GT]]/TblConstr[[#This Row],[Land]],gt_bonus_cap), 4) + IF(TblMagic[[#This Row],[Active Howling]]&gt;0,howling_dp_bonus,IF(TblMagic[[#This Row],[Active Ares Call]]&gt;0,ares_call_bonus))</f>
        <v>0</v>
      </c>
      <c r="V55" s="274" t="e">
        <f aca="false">TblMili[[#This Row],[Non Draft]] * (1 + TblMili[[#This Row],[Mods_Def]])</f>
        <v>#VALUE!</v>
      </c>
      <c r="W55" s="285" t="e">
        <f aca="false">TblMili[[#This Row],[Draft]] * (1 + TblMili[[#This Row],[Mods_Def]])</f>
        <v>#VALUE!</v>
      </c>
      <c r="X55" s="285" t="n">
        <f aca="false">TblConstr[[#This Row],[Land]]</f>
        <v>669</v>
      </c>
      <c r="Y55" s="287"/>
      <c r="Z55" s="109" t="n">
        <f aca="false">IF(TblMili[[#This Row],[Set]]&lt;&gt;"",TblMili[[#This Row],[Set]],OFFSET(TblMili[[#This Row],[Draftrate]],-1,0))</f>
        <v>0.9</v>
      </c>
      <c r="AA55" s="69" t="n">
        <f aca="false">OFFSET(TblMili[[#This Row],[Draftees]],-1,0)+OFFSET(TblPop[[#This Row],[Draft Growth]],-1,0) - SUM(TblMili[[#This Row],[Train Unit 1]:[Train Spies]],TblMili[[#This Row],[Train Wiz]]) - TblMili[[#This Row],[Release Draft]] + SUM(TblMili[[#This Row],[Release Unit 1]:[Release AM]]) - TblExplore[[#This Row],[Draftees (2)]]</f>
        <v>813</v>
      </c>
      <c r="AB55" s="146"/>
      <c r="AC55" s="130" t="n">
        <f aca="false">(TblConstr[[#This Row],[Tot Smi]]+TblConstr[[#This Row],[Dest Smi]])/(TblConstr[[#This Row],[Land]]-TblExplore[[#This Row],[Land Bonus]]*20)</f>
        <v>0</v>
      </c>
      <c r="AD55" s="128"/>
      <c r="AE55" s="282" t="n">
        <f aca="false">TblMili[[#This Row],[Hour]]</f>
        <v>52</v>
      </c>
      <c r="AF55" s="129" t="n">
        <f aca="false">TblExplore[[#This Row],[Time]]</f>
        <v>45431.875</v>
      </c>
      <c r="AG55" s="182"/>
      <c r="AH55" s="182"/>
      <c r="AI55" s="182"/>
      <c r="AJ55" s="182"/>
      <c r="AK55" s="182"/>
      <c r="AL55" s="182"/>
      <c r="AM55" s="182"/>
      <c r="AN55" s="182"/>
      <c r="AO55" s="132"/>
      <c r="AP55" s="69" t="n">
        <f aca="false">TblProd[[#This Row],[Platinum]]</f>
        <v>389463</v>
      </c>
      <c r="AQ55" s="69" t="n">
        <f aca="false">INDEX(TblProd[[#Headers],[Lumber]]:TblProd[[#This Row],[Ore]],COUNTA(TblProd[[#Headers],[Lumber]]:TblProd[[#This Row],[Lumber]]),MATCH(Military!$AQ$2,TblProd[[#Headers],[Lumber]:[Ore]],0))</f>
        <v>0</v>
      </c>
      <c r="AR5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69" t="n">
        <f aca="false">TblMili[[#This Row],[Train Unit 1]]*TblMili[[#This Row],[OP Ore]]+TblMili[[#This Row],[Train Unit 2]]*TblMili[[#This Row],[DP Ore]]+TblMili[[#This Row],[Train Unit 3]]*TblMili[[#This Row],[E1 Ore]]+TblMili[[#This Row],[Train Unit 4]]*TblMili[[#This Row],[E2 Ore]]</f>
        <v>0</v>
      </c>
      <c r="AT55" s="132" t="n">
        <f aca="false">TblMili[[#This Row],[Hour]]</f>
        <v>52</v>
      </c>
      <c r="AU55" s="144" t="n">
        <f aca="false">TblMili[[#This Row],[Time]]</f>
        <v>45431.875</v>
      </c>
      <c r="AV55" s="69" t="n">
        <f aca="false">TblMili[[#This Row],[Draftees]]</f>
        <v>813</v>
      </c>
      <c r="AW55" s="182"/>
      <c r="AX55" s="182"/>
      <c r="AY55" s="182"/>
      <c r="AZ55" s="182"/>
      <c r="BA55" s="182"/>
      <c r="BB55" s="182"/>
      <c r="BC55" s="182"/>
      <c r="BD55" s="182"/>
      <c r="BE55" s="182"/>
      <c r="BF55" s="132"/>
      <c r="BG55" s="150" t="n">
        <f aca="false">TblConstr[[#This Row],[Tot WG]]/TblConstr[[#This Row],[Land]]</f>
        <v>0</v>
      </c>
      <c r="BH55" s="150" t="n">
        <f aca="false">TblConstr[[#This Row],[Tot Hav]]/TblConstr[[#This Row],[Land]]</f>
        <v>0</v>
      </c>
      <c r="BI55" s="69" t="n">
        <f aca="false">ROUNDUP((1-MIN(TblMili[[#This Row],[Smithies]]*smithy_bonus,smithy_bonus_cap) + tech_3_5*TblTech[[#This Row],[3-5]] + tech_5_3*TblTech[[#This Row],[5-3]] + tech_5_5*TblTech[[#This Row],[5-5]])*spec_op_plat,0)</f>
        <v>300</v>
      </c>
      <c r="BJ55" s="69" t="n">
        <f aca="false">ROUNDUP(IF(race="Gnome",1,(1-MIN(TblMili[[#This Row],[Smithies]]*smithy_bonus,smithy_bonus_cap) + tech_3_5*TblTech[[#This Row],[3-5]] + tech_5_3*TblTech[[#This Row],[5-3]] + tech_5_5*TblTech[[#This Row],[5-5]]))*spec_op_ore,0)</f>
        <v>0</v>
      </c>
      <c r="BK55" s="69" t="n">
        <f aca="false">ROUNDUP((1-MIN(TblMili[[#This Row],[Smithies]]*smithy_bonus,smithy_bonus_cap) + tech_3_5*TblTech[[#This Row],[3-5]] + tech_5_3*TblTech[[#This Row],[5-3]] + tech_5_5*TblTech[[#This Row],[5-5]])*spec_dp_plat,0)</f>
        <v>300</v>
      </c>
      <c r="BL55" s="69" t="n">
        <f aca="false">ROUNDUP(IF(race="Gnome",1,(1-MIN(TblMili[[#This Row],[Smithies]]*smithy_bonus,smithy_bonus_cap) + tech_3_5*TblTech[[#This Row],[3-5]] + tech_5_3*TblTech[[#This Row],[5-3]] + tech_5_5*TblTech[[#This Row],[5-5]]))*spec_dp_ore,0)</f>
        <v>0</v>
      </c>
      <c r="BM55" s="69" t="n">
        <f aca="false">ROUNDUP((1-MIN(TblMili[[#This Row],[Smithies]]*smithy_bonus,smithy_bonus_cap) + tech_3_5*TblTech[[#This Row],[3-5]] + tech_5_3*TblTech[[#This Row],[5-3]] + tech_5_5*TblTech[[#This Row],[5-5]])*elite1_plat,0)</f>
        <v>925</v>
      </c>
      <c r="BN55" s="69" t="n">
        <f aca="false">ROUNDUP(IF(race="Gnome",1,(1-MIN(TblMili[[#This Row],[Smithies]]*smithy_bonus,smithy_bonus_cap) + tech_3_5*TblTech[[#This Row],[3-5]] + tech_5_3*TblTech[[#This Row],[5-3]] + tech_5_5*TblTech[[#This Row],[5-5]]))*elite1_ore,0)</f>
        <v>0</v>
      </c>
      <c r="BO55" s="69" t="n">
        <f aca="false">ROUNDUP((1-MIN(TblMili[[#This Row],[Smithies]]*smithy_bonus,smithy_bonus_cap) + tech_3_5*TblTech[[#This Row],[3-5]] + tech_5_3*TblTech[[#This Row],[5-3]] + tech_5_5*TblTech[[#This Row],[5-5]])*elite2_plat,0)</f>
        <v>950</v>
      </c>
      <c r="BP55" s="69" t="n">
        <f aca="false">ROUNDUP(IF(race="Gnome",1,(1-MIN(TblMili[[#This Row],[Smithies]]*smithy_bonus,smithy_bonus_cap) + tech_3_5*TblTech[[#This Row],[3-5]] + tech_5_3*TblTech[[#This Row],[5-3]] + tech_5_5*TblTech[[#This Row],[5-5]]))*elite2_ore,0)</f>
        <v>0</v>
      </c>
      <c r="BQ55" s="69" t="n">
        <f aca="false">ROUNDUP((1-MIN(ROUND(fh_spy_cost_red*TblMili[[#This Row],[FH''s]],4),fh_spy_cost_cap)+ tech_1_9*TblTech[[#This Row],[1-9]] + tech_9_1*TblTech[[#This Row],[9-1]])*spy_plat,0)</f>
        <v>500</v>
      </c>
      <c r="BR55" s="69" t="n">
        <f aca="false">ROUNDUP((1-MIN(ROUND(fh_spy_cost_red*TblMili[[#This Row],[FH''s]],4),fh_spy_cost_cap)+ tech_1_9*TblTech[[#This Row],[1-9]] + tech_9_1*TblTech[[#This Row],[9-1]])*archspy_plat,0)</f>
        <v>1000</v>
      </c>
      <c r="BS55" s="69" t="n">
        <f aca="false">ROUNDUP((1-MIN(ROUND(wg_wiz_cost_bonus*TblMili[[#This Row],[WG''s]],4),wg_wiz_cost_cap) + tech_1_9_2*TblTech[[#This Row],[1-9]] + tech_9_1_2*TblTech[[#This Row],[9-1]])*wizard_plat,0)</f>
        <v>500</v>
      </c>
      <c r="BT55" s="69" t="n">
        <f aca="false">ROUNDUP((1-MIN(ROUND(wg_wiz_cost_bonus*TblMili[[#This Row],[WG''s]],4),wg_wiz_cost_cap) + tech_1_9_2*TblTech[[#This Row],[1-9]] + tech_9_1_2*TblTech[[#This Row],[9-1]])*archmage_plat,0)</f>
        <v>1000</v>
      </c>
      <c r="BU55" s="132"/>
      <c r="BV55" s="150" t="e">
        <f aca="false">TblConstr[[#This Row],[Homeland]]/TblConstr[[#This Row],[Land]]</f>
        <v>#VALUE!</v>
      </c>
      <c r="BW55" s="150" t="n">
        <f aca="false">TblMili[[#This Row],[WG''s]]</f>
        <v>0</v>
      </c>
      <c r="BX55" s="288" t="e">
        <f aca="false">IF(mystic_cap="none",TblMili[[#This Row],[Hill]]/mystic_bonus,MIN(mystic_cap,TblMili[[#This Row],[Hill]]/mystic_bonus))</f>
        <v>#VALUE!</v>
      </c>
      <c r="BY55" s="288" t="e">
        <f aca="false">IF(druid_op_cap="none",TblMili[[#This Row],[Hill]]/druid_op_bonus,MIN(druid_op_cap,TblMili[[#This Row],[Hill]]/druid_op_bonus))</f>
        <v>#VALUE!</v>
      </c>
      <c r="BZ55" s="288" t="e">
        <f aca="false">IF(druid_dp_cap="none",TblMili[[#This Row],[Hill]]/druid_dp_bonus,MIN(druid_dp_cap,TblMili[[#This Row],[Hill]]/druid_dp_bonus))</f>
        <v>#VALUE!</v>
      </c>
      <c r="CA55" s="288" t="e">
        <f aca="false">MIN(dryad_cap,TblMili[[#This Row],[Hill]]/dryad_bonus)</f>
        <v>#VALUE!</v>
      </c>
      <c r="CB55" s="288" t="e">
        <f aca="false">MIN(rocka_cap,TblMili[[#This Row],[Hill]]/rocka_bonus)</f>
        <v>#VALUE!</v>
      </c>
      <c r="CC55" s="288" t="n">
        <f aca="false">MIN(adept_op_cap,TblMili[[#This Row],[WG]]/adept_op_bonus)</f>
        <v>0</v>
      </c>
      <c r="CD55" s="288" t="n">
        <f aca="false">MIN(adept_dp_cap,TblMili[[#This Row],[WG]]/adept_dp_bonus)</f>
        <v>0</v>
      </c>
      <c r="CE55" s="69" t="n">
        <f aca="false">MIN(TblMili[[#This Row],[Unit 3]],TblMili[[#This Row],[Unit 2]])*2</f>
        <v>0</v>
      </c>
      <c r="CF55" s="69" t="n">
        <f aca="false">MIN(TblMili[[#This Row],[Unit 1]],TblMili[[#This Row],[Unit 4]])*2</f>
        <v>0</v>
      </c>
      <c r="CG55" s="288" t="e">
        <f aca="false">MIN(frost_mage_cap,TblMili[[#This Row],[Hill]]/frost_mage_bonus)</f>
        <v>#VALUE!</v>
      </c>
      <c r="CH55" s="151" t="n">
        <f aca="false">MIN(ice_elem_cap,TblMili[[#This Row],[Raw (2)]]*ice_elem_bonus)</f>
        <v>0</v>
      </c>
      <c r="CI55" s="288" t="n">
        <f aca="false">MIN(bone_breaker_cap,250/bone_breaker_bonus)</f>
        <v>0.833333333333333</v>
      </c>
      <c r="CJ55" s="288" t="e">
        <f aca="false">MIN(nox_nightshade_cap,TblConstr[[#This Row],[Homeland]]/TblConstr[[#This Row],[Land]]/nox_nightshade_swamp_bonus)</f>
        <v>#VALUE!</v>
      </c>
      <c r="CK55" s="289"/>
      <c r="CL55" s="289"/>
      <c r="CM55" s="289"/>
      <c r="CN55" s="288" t="e">
        <f aca="false">MIN(6,TblMili[[#This Row],[Mystic]]+Races!$F$19)*1.8 +  IF(TblMili[[#This Row],[Mystic]]+Races!$F$19&gt;6,(TblMili[[#This Row],[Mystic]]+Races!$F$19-6)*0.2,0) - Races!$I$19</f>
        <v>#VALUE!</v>
      </c>
      <c r="CO55" s="288" t="e">
        <f aca="false">1.8 * MIN(MAX(TblMili[[#This Row],[Druid (op)]]+Races!$E$20,TblMili[[#This Row],[Druid (dp)]]+Races!$F$20),6)  +  0.45 * MIN(MIN(TblMili[[#This Row],[Druid (op)]]+Races!$E$20,TblMili[[#This Row],[Druid (dp)]]+Races!$F$20),6)  +  0.2 * ( MAX(TblMili[[#This Row],[Druid (op)]]+Races!$E$20-6,0) + MAX(TblMili[[#This Row],[Druid (dp)]]+Races!$F$20-6,0) )  -  Races!$I$20</f>
        <v>#VALUE!</v>
      </c>
      <c r="CP55" s="69" t="e">
        <f aca="false">TblMili[[#This Row],[Mystic bonus]]*TblMili[[#This Row],[Unit 3]]+TblMili[[#This Row],[Druid bonus]]*TblMili[[#This Row],[Unit 4]]</f>
        <v>#VALUE!</v>
      </c>
      <c r="CQ55" s="148" t="e">
        <f aca="false">MIN(6,TblMili[[#This Row],[Dryad]]+Races!$F$35)*1.8 +  IF(TblMili[[#This Row],[Dryad]]+Races!$F$35&gt;6,(TblMili[[#This Row],[Dryad]]+Races!$F$35-6)*0.2,0) - Races!$I$19</f>
        <v>#VALUE!</v>
      </c>
      <c r="CR55" s="69" t="e">
        <f aca="false">sylvan*(TblMili[[#This Row],[Mystic bonus]]*TblMili[[#This Row],[Unit 3]])</f>
        <v>#VALUE!</v>
      </c>
      <c r="CS55" s="148" t="e">
        <f aca="false">1.8 * MIN(MAX(Races!$E$27,TblMili[[#This Row],[Rockapult]]+Races!$F$27),6)  +  0.45 * MIN(MIN(Races!$E$27,TblMili[[#This Row],[Rockapult]]+Races!$F$27),6)  +  0.2 * ( MAX(Races!$E$27-6,0) + MAX(TblMili[[#This Row],[Rockapult]]+Races!$F$27-6,0) )  -  Races!$I$20</f>
        <v>#VALUE!</v>
      </c>
      <c r="CT55" s="69" t="e">
        <f aca="false">gnome*(TblMili[[#This Row],[Rockapult bonus]]*TblMili[[#This Row],[Unit 3]])</f>
        <v>#VALUE!</v>
      </c>
      <c r="CU55" s="148" t="n">
        <f aca="false">1.8 * MIN(MAX(TblMili[[#This Row],[Spellblade]]+Races!$E$47,TblMili[[#This Row],[Adept-DP]]+Races!$F$47),6)  +  0.45 * MIN(MIN(TblMili[[#This Row],[Spellblade]]+Races!$E$47,TblMili[[#This Row],[Adept-DP]]+Races!$F$47),6)  +  0.2 * ( MAX(TblMili[[#This Row],[Spellblade]]+Races!$E$47-6,0) + MAX(TblMili[[#This Row],[Adept-DP]]+Races!$F$47-6,0) )  -  Races!$I$47</f>
        <v>0</v>
      </c>
      <c r="CV55" s="69" t="n">
        <f aca="false">dark_elf*(TblMili[[#This Row],[Adept bonus]]*TblMili[[#This Row],[Unit 3]])</f>
        <v>0</v>
      </c>
      <c r="CW55" s="148" t="e">
        <f aca="false">1.8 * MIN(MAX(TblMili[[#This Row],[Frost Mage]]+Races!$F$71,Races!$E$71),6)  +  0.45 * MIN(MIN(TblMili[[#This Row],[Frost Mage]]+Races!$F$71,Races!$E$71),6)  +  0.2 * ( MAX(TblMili[[#This Row],[Frost Mage]]+Races!$F$71-6,0) + MAX(Races!$E$71-6,0) )  -  Races!$I$71</f>
        <v>#VALUE!</v>
      </c>
      <c r="CX55" s="148" t="n">
        <f aca="false">1.8 * MIN(MAX(TblMili[[#This Row],[Ice Elemental]]+Races!$E$71,Races!$F$71),6)  +  0.45 * MIN(MIN(TblMili[[#This Row],[Ice Elemental]]+Races!$E$71,Races!$F$71),6)  +  0.2 * ( MAX(TblMili[[#This Row],[Ice Elemental]]+Races!$E$71-6,0) + MAX(Races!$F$71-6,0) )  -  Races!$I$71</f>
        <v>0</v>
      </c>
      <c r="CY55" s="69" t="e">
        <f aca="false">TblMili[[#This Row],[Frost Mage bonus]]*TblMili[[#This Row],[Unit 3]]+TblMili[[#This Row],[Ice Elemental bonus]]*TblMili[[#This Row],[Unit 4]]</f>
        <v>#VALUE!</v>
      </c>
      <c r="CZ55" s="290"/>
      <c r="DA55" s="109" t="n">
        <f aca="false">MIN(SUM(TblConstr[[#This Row],[Plain]:[Water]])/TblMili[[#This Row],[Land]]/favorable_terrain_bonus/100,favorable_terrain_max)</f>
        <v>0</v>
      </c>
      <c r="DB55" s="290"/>
      <c r="DC5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5" s="132"/>
      <c r="DE55" s="291" t="n">
        <f aca="false">(TblMili[[#This Row],[Wizards]]+2*TblMili[[#This Row],[Archmages]])/TblConstr[[#This Row],[Land]]</f>
        <v>0</v>
      </c>
      <c r="DF55" s="291" t="n">
        <f aca="false">TblMili[[#This Row],[Raw (2)]]*(1+race_wizard_strength+IF(TblMili[[#This Row],[Hour]]&gt;72,tech_magical_weaponry_wiz*TblTech[[#This Row],[3-5]],0))</f>
        <v>0</v>
      </c>
    </row>
    <row r="56" customFormat="false" ht="12.75" hidden="false" customHeight="false" outlineLevel="0" collapsed="false">
      <c r="A56" s="128" t="n">
        <f aca="false">TblRezone[[#This Row],[Hour]]</f>
        <v>53</v>
      </c>
      <c r="B56" s="282" t="n">
        <f aca="false">SUM(TblMili[[#This Row],[Unit 1]:[Archmages]])+SUM(OFFSET(TblMili[[#This Row],[Train Unit 1]],-8,0):TblMili[[#This Row],[Train Unit 2]]) + SUM(OFFSET(TblMili[[#This Row],[Train Unit 3]],-11,0):TblMili[[#This Row],[Train AM]]) + TblMili[[#This Row],[Draftees]]</f>
        <v>911</v>
      </c>
      <c r="C56" s="150" t="n">
        <f aca="false">TblPop[[#This Row],[Military%]]</f>
        <v>0.0838935445252786</v>
      </c>
      <c r="D56" s="132"/>
      <c r="E56" s="151" t="n">
        <f aca="false">OFFSET(TblMili[[#This Row],[Unit 1]],-1,0) + OFFSET(TblMili[[#This Row],[Train Unit 1]],-9,0) - TblMili[[#This Row],[Release Unit 1]]</f>
        <v>0</v>
      </c>
      <c r="F56" s="151" t="n">
        <f aca="false">OFFSET(TblMili[[#This Row],[Unit 2]],-1,0) + OFFSET(TblMili[[#This Row],[Train Unit 2]],-9,0)-TblMili[[#This Row],[Release Unit 2]]</f>
        <v>0</v>
      </c>
      <c r="G56" s="151" t="n">
        <f aca="false">OFFSET(TblMili[[#This Row],[Unit 3]],-1,0) + OFFSET(TblMili[[#This Row],[Train Unit 3]],-12,0)-TblMili[[#This Row],[Release Unit 3]]</f>
        <v>0</v>
      </c>
      <c r="H56" s="151" t="n">
        <f aca="false">OFFSET(TblMili[[#This Row],[Unit 4]],-1,0) + OFFSET(TblMili[[#This Row],[Train Unit 4]],-12,0)-TblMili[[#This Row],[Release Unit 4]]</f>
        <v>0</v>
      </c>
      <c r="I56" s="151" t="n">
        <f aca="false">OFFSET(TblMili[[#This Row],[Spies]],-1,0) + OFFSET(TblMili[[#This Row],[Train Spies]],-12,0) - TblMili[[#This Row],[Release Spies]]-TblMili[[#This Row],[Train AS]]</f>
        <v>0</v>
      </c>
      <c r="J56" s="151" t="n">
        <f aca="false">OFFSET(TblMili[[#This Row],[Archspies]],-1,0) + OFFSET(TblMili[[#This Row],[Train AS]],-12,0) - TblMili[[#This Row],[Release AS]]</f>
        <v>0</v>
      </c>
      <c r="K56" s="151" t="n">
        <f aca="false">OFFSET(TblMili[[#This Row],[Wizards]],-1,0) + OFFSET(TblMili[[#This Row],[Train Wiz]],-12,0) - TblMili[[#This Row],[Release Wizards]]-TblMili[[#This Row],[Train AM]]</f>
        <v>0</v>
      </c>
      <c r="L56" s="151" t="n">
        <f aca="false">OFFSET(TblMili[[#This Row],[Archmages]],-1,0) + OFFSET(TblMili[[#This Row],[Train AM]],-12,0) - TblMili[[#This Row],[Release AM]]</f>
        <v>0</v>
      </c>
      <c r="M56" s="132"/>
      <c r="N56" s="69" t="e">
        <f aca="false">TblProd[[#This Row],[Networth]]</f>
        <v>#VALUE!</v>
      </c>
      <c r="O56" s="132"/>
      <c r="P5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6" s="285" t="e">
        <f aca="false">TblMili[[#This Row],[Raw]]*(1+TblMili[[#This Row],[Mods_Off]])</f>
        <v>#VALUE!</v>
      </c>
      <c r="S5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6" s="285" t="e">
        <f aca="false">TblMili[[#This Row],[Non Draft]]+TblMili[[#This Row],[Draftees]]</f>
        <v>#VALUE!</v>
      </c>
      <c r="U56" s="286" t="n">
        <f aca="false">race_defense + TblImps[[#This Row],[Walls]] + ROUND( MIN(gt_bonus*TblConstr[[#This Row],[Tot GT]]/TblConstr[[#This Row],[Land]],gt_bonus_cap), 4) + IF(TblMagic[[#This Row],[Active Howling]]&gt;0,howling_dp_bonus,IF(TblMagic[[#This Row],[Active Ares Call]]&gt;0,ares_call_bonus))</f>
        <v>0</v>
      </c>
      <c r="V56" s="274" t="e">
        <f aca="false">TblMili[[#This Row],[Non Draft]] * (1 + TblMili[[#This Row],[Mods_Def]])</f>
        <v>#VALUE!</v>
      </c>
      <c r="W56" s="285" t="e">
        <f aca="false">TblMili[[#This Row],[Draft]] * (1 + TblMili[[#This Row],[Mods_Def]])</f>
        <v>#VALUE!</v>
      </c>
      <c r="X56" s="285" t="n">
        <f aca="false">TblConstr[[#This Row],[Land]]</f>
        <v>680</v>
      </c>
      <c r="Y56" s="287"/>
      <c r="Z56" s="109" t="n">
        <f aca="false">IF(TblMili[[#This Row],[Set]]&lt;&gt;"",TblMili[[#This Row],[Set]],OFFSET(TblMili[[#This Row],[Draftrate]],-1,0))</f>
        <v>0.9</v>
      </c>
      <c r="AA56" s="69" t="n">
        <f aca="false">OFFSET(TblMili[[#This Row],[Draftees]],-1,0)+OFFSET(TblPop[[#This Row],[Draft Growth]],-1,0) - SUM(TblMili[[#This Row],[Train Unit 1]:[Train Spies]],TblMili[[#This Row],[Train Wiz]]) - TblMili[[#This Row],[Release Draft]] + SUM(TblMili[[#This Row],[Release Unit 1]:[Release AM]]) - TblExplore[[#This Row],[Draftees (2)]]</f>
        <v>911</v>
      </c>
      <c r="AB56" s="146"/>
      <c r="AC56" s="130" t="n">
        <f aca="false">(TblConstr[[#This Row],[Tot Smi]]+TblConstr[[#This Row],[Dest Smi]])/(TblConstr[[#This Row],[Land]]-TblExplore[[#This Row],[Land Bonus]]*20)</f>
        <v>0.0691176470588235</v>
      </c>
      <c r="AD56" s="128"/>
      <c r="AE56" s="282" t="n">
        <f aca="false">TblMili[[#This Row],[Hour]]</f>
        <v>53</v>
      </c>
      <c r="AF56" s="129" t="n">
        <f aca="false">TblExplore[[#This Row],[Time]]</f>
        <v>45431.9166666667</v>
      </c>
      <c r="AG56" s="182"/>
      <c r="AH56" s="182"/>
      <c r="AI56" s="182"/>
      <c r="AJ56" s="182"/>
      <c r="AK56" s="182"/>
      <c r="AL56" s="182"/>
      <c r="AM56" s="182"/>
      <c r="AN56" s="182"/>
      <c r="AO56" s="132"/>
      <c r="AP56" s="69" t="n">
        <f aca="false">TblProd[[#This Row],[Platinum]]</f>
        <v>429145</v>
      </c>
      <c r="AQ56" s="69" t="n">
        <f aca="false">INDEX(TblProd[[#Headers],[Lumber]]:TblProd[[#This Row],[Ore]],COUNTA(TblProd[[#Headers],[Lumber]]:TblProd[[#This Row],[Lumber]]),MATCH(Military!$AQ$2,TblProd[[#Headers],[Lumber]:[Ore]],0))</f>
        <v>0</v>
      </c>
      <c r="AR5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69" t="n">
        <f aca="false">TblMili[[#This Row],[Train Unit 1]]*TblMili[[#This Row],[OP Ore]]+TblMili[[#This Row],[Train Unit 2]]*TblMili[[#This Row],[DP Ore]]+TblMili[[#This Row],[Train Unit 3]]*TblMili[[#This Row],[E1 Ore]]+TblMili[[#This Row],[Train Unit 4]]*TblMili[[#This Row],[E2 Ore]]</f>
        <v>0</v>
      </c>
      <c r="AT56" s="132" t="n">
        <f aca="false">TblMili[[#This Row],[Hour]]</f>
        <v>53</v>
      </c>
      <c r="AU56" s="144" t="n">
        <f aca="false">TblMili[[#This Row],[Time]]</f>
        <v>45431.9166666667</v>
      </c>
      <c r="AV56" s="69" t="n">
        <f aca="false">TblMili[[#This Row],[Draftees]]</f>
        <v>911</v>
      </c>
      <c r="AW56" s="182"/>
      <c r="AX56" s="182"/>
      <c r="AY56" s="182"/>
      <c r="AZ56" s="182"/>
      <c r="BA56" s="182"/>
      <c r="BB56" s="182"/>
      <c r="BC56" s="182"/>
      <c r="BD56" s="182"/>
      <c r="BE56" s="182"/>
      <c r="BF56" s="132"/>
      <c r="BG56" s="150" t="n">
        <f aca="false">TblConstr[[#This Row],[Tot WG]]/TblConstr[[#This Row],[Land]]</f>
        <v>0</v>
      </c>
      <c r="BH56" s="150" t="n">
        <f aca="false">TblConstr[[#This Row],[Tot Hav]]/TblConstr[[#This Row],[Land]]</f>
        <v>0</v>
      </c>
      <c r="BI56" s="69" t="n">
        <f aca="false">ROUNDUP((1-MIN(TblMili[[#This Row],[Smithies]]*smithy_bonus,smithy_bonus_cap) + tech_3_5*TblTech[[#This Row],[3-5]] + tech_5_3*TblTech[[#This Row],[5-3]] + tech_5_5*TblTech[[#This Row],[5-5]])*spec_op_plat,0)</f>
        <v>259</v>
      </c>
      <c r="BJ56" s="69" t="n">
        <f aca="false">ROUNDUP(IF(race="Gnome",1,(1-MIN(TblMili[[#This Row],[Smithies]]*smithy_bonus,smithy_bonus_cap) + tech_3_5*TblTech[[#This Row],[3-5]] + tech_5_3*TblTech[[#This Row],[5-3]] + tech_5_5*TblTech[[#This Row],[5-5]]))*spec_op_ore,0)</f>
        <v>0</v>
      </c>
      <c r="BK56" s="69" t="n">
        <f aca="false">ROUNDUP((1-MIN(TblMili[[#This Row],[Smithies]]*smithy_bonus,smithy_bonus_cap) + tech_3_5*TblTech[[#This Row],[3-5]] + tech_5_3*TblTech[[#This Row],[5-3]] + tech_5_5*TblTech[[#This Row],[5-5]])*spec_dp_plat,0)</f>
        <v>259</v>
      </c>
      <c r="BL56" s="69" t="n">
        <f aca="false">ROUNDUP(IF(race="Gnome",1,(1-MIN(TblMili[[#This Row],[Smithies]]*smithy_bonus,smithy_bonus_cap) + tech_3_5*TblTech[[#This Row],[3-5]] + tech_5_3*TblTech[[#This Row],[5-3]] + tech_5_5*TblTech[[#This Row],[5-5]]))*spec_dp_ore,0)</f>
        <v>0</v>
      </c>
      <c r="BM56" s="69" t="n">
        <f aca="false">ROUNDUP((1-MIN(TblMili[[#This Row],[Smithies]]*smithy_bonus,smithy_bonus_cap) + tech_3_5*TblTech[[#This Row],[3-5]] + tech_5_3*TblTech[[#This Row],[5-3]] + tech_5_5*TblTech[[#This Row],[5-5]])*elite1_plat,0)</f>
        <v>798</v>
      </c>
      <c r="BN56" s="69" t="n">
        <f aca="false">ROUNDUP(IF(race="Gnome",1,(1-MIN(TblMili[[#This Row],[Smithies]]*smithy_bonus,smithy_bonus_cap) + tech_3_5*TblTech[[#This Row],[3-5]] + tech_5_3*TblTech[[#This Row],[5-3]] + tech_5_5*TblTech[[#This Row],[5-5]]))*elite1_ore,0)</f>
        <v>0</v>
      </c>
      <c r="BO56" s="69" t="n">
        <f aca="false">ROUNDUP((1-MIN(TblMili[[#This Row],[Smithies]]*smithy_bonus,smithy_bonus_cap) + tech_3_5*TblTech[[#This Row],[3-5]] + tech_5_3*TblTech[[#This Row],[5-3]] + tech_5_5*TblTech[[#This Row],[5-5]])*elite2_plat,0)</f>
        <v>819</v>
      </c>
      <c r="BP56" s="69" t="n">
        <f aca="false">ROUNDUP(IF(race="Gnome",1,(1-MIN(TblMili[[#This Row],[Smithies]]*smithy_bonus,smithy_bonus_cap) + tech_3_5*TblTech[[#This Row],[3-5]] + tech_5_3*TblTech[[#This Row],[5-3]] + tech_5_5*TblTech[[#This Row],[5-5]]))*elite2_ore,0)</f>
        <v>0</v>
      </c>
      <c r="BQ56" s="69" t="n">
        <f aca="false">ROUNDUP((1-MIN(ROUND(fh_spy_cost_red*TblMili[[#This Row],[FH''s]],4),fh_spy_cost_cap)+ tech_1_9*TblTech[[#This Row],[1-9]] + tech_9_1*TblTech[[#This Row],[9-1]])*spy_plat,0)</f>
        <v>500</v>
      </c>
      <c r="BR56" s="69" t="n">
        <f aca="false">ROUNDUP((1-MIN(ROUND(fh_spy_cost_red*TblMili[[#This Row],[FH''s]],4),fh_spy_cost_cap)+ tech_1_9*TblTech[[#This Row],[1-9]] + tech_9_1*TblTech[[#This Row],[9-1]])*archspy_plat,0)</f>
        <v>1000</v>
      </c>
      <c r="BS56" s="69" t="n">
        <f aca="false">ROUNDUP((1-MIN(ROUND(wg_wiz_cost_bonus*TblMili[[#This Row],[WG''s]],4),wg_wiz_cost_cap) + tech_1_9_2*TblTech[[#This Row],[1-9]] + tech_9_1_2*TblTech[[#This Row],[9-1]])*wizard_plat,0)</f>
        <v>500</v>
      </c>
      <c r="BT56" s="69" t="n">
        <f aca="false">ROUNDUP((1-MIN(ROUND(wg_wiz_cost_bonus*TblMili[[#This Row],[WG''s]],4),wg_wiz_cost_cap) + tech_1_9_2*TblTech[[#This Row],[1-9]] + tech_9_1_2*TblTech[[#This Row],[9-1]])*archmage_plat,0)</f>
        <v>1000</v>
      </c>
      <c r="BU56" s="132"/>
      <c r="BV56" s="150" t="e">
        <f aca="false">TblConstr[[#This Row],[Homeland]]/TblConstr[[#This Row],[Land]]</f>
        <v>#VALUE!</v>
      </c>
      <c r="BW56" s="150" t="n">
        <f aca="false">TblMili[[#This Row],[WG''s]]</f>
        <v>0</v>
      </c>
      <c r="BX56" s="288" t="e">
        <f aca="false">IF(mystic_cap="none",TblMili[[#This Row],[Hill]]/mystic_bonus,MIN(mystic_cap,TblMili[[#This Row],[Hill]]/mystic_bonus))</f>
        <v>#VALUE!</v>
      </c>
      <c r="BY56" s="288" t="e">
        <f aca="false">IF(druid_op_cap="none",TblMili[[#This Row],[Hill]]/druid_op_bonus,MIN(druid_op_cap,TblMili[[#This Row],[Hill]]/druid_op_bonus))</f>
        <v>#VALUE!</v>
      </c>
      <c r="BZ56" s="288" t="e">
        <f aca="false">IF(druid_dp_cap="none",TblMili[[#This Row],[Hill]]/druid_dp_bonus,MIN(druid_dp_cap,TblMili[[#This Row],[Hill]]/druid_dp_bonus))</f>
        <v>#VALUE!</v>
      </c>
      <c r="CA56" s="288" t="e">
        <f aca="false">MIN(dryad_cap,TblMili[[#This Row],[Hill]]/dryad_bonus)</f>
        <v>#VALUE!</v>
      </c>
      <c r="CB56" s="288" t="e">
        <f aca="false">MIN(rocka_cap,TblMili[[#This Row],[Hill]]/rocka_bonus)</f>
        <v>#VALUE!</v>
      </c>
      <c r="CC56" s="288" t="n">
        <f aca="false">MIN(adept_op_cap,TblMili[[#This Row],[WG]]/adept_op_bonus)</f>
        <v>0</v>
      </c>
      <c r="CD56" s="288" t="n">
        <f aca="false">MIN(adept_dp_cap,TblMili[[#This Row],[WG]]/adept_dp_bonus)</f>
        <v>0</v>
      </c>
      <c r="CE56" s="69" t="n">
        <f aca="false">MIN(TblMili[[#This Row],[Unit 3]],TblMili[[#This Row],[Unit 2]])*2</f>
        <v>0</v>
      </c>
      <c r="CF56" s="69" t="n">
        <f aca="false">MIN(TblMili[[#This Row],[Unit 1]],TblMili[[#This Row],[Unit 4]])*2</f>
        <v>0</v>
      </c>
      <c r="CG56" s="288" t="e">
        <f aca="false">MIN(frost_mage_cap,TblMili[[#This Row],[Hill]]/frost_mage_bonus)</f>
        <v>#VALUE!</v>
      </c>
      <c r="CH56" s="151" t="n">
        <f aca="false">MIN(ice_elem_cap,TblMili[[#This Row],[Raw (2)]]*ice_elem_bonus)</f>
        <v>0</v>
      </c>
      <c r="CI56" s="288" t="n">
        <f aca="false">MIN(bone_breaker_cap,250/bone_breaker_bonus)</f>
        <v>0.833333333333333</v>
      </c>
      <c r="CJ56" s="288" t="e">
        <f aca="false">MIN(nox_nightshade_cap,TblConstr[[#This Row],[Homeland]]/TblConstr[[#This Row],[Land]]/nox_nightshade_swamp_bonus)</f>
        <v>#VALUE!</v>
      </c>
      <c r="CK56" s="289"/>
      <c r="CL56" s="289"/>
      <c r="CM56" s="289"/>
      <c r="CN56" s="288" t="e">
        <f aca="false">MIN(6,TblMili[[#This Row],[Mystic]]+Races!$F$19)*1.8 +  IF(TblMili[[#This Row],[Mystic]]+Races!$F$19&gt;6,(TblMili[[#This Row],[Mystic]]+Races!$F$19-6)*0.2,0) - Races!$I$19</f>
        <v>#VALUE!</v>
      </c>
      <c r="CO56" s="288" t="e">
        <f aca="false">1.8 * MIN(MAX(TblMili[[#This Row],[Druid (op)]]+Races!$E$20,TblMili[[#This Row],[Druid (dp)]]+Races!$F$20),6)  +  0.45 * MIN(MIN(TblMili[[#This Row],[Druid (op)]]+Races!$E$20,TblMili[[#This Row],[Druid (dp)]]+Races!$F$20),6)  +  0.2 * ( MAX(TblMili[[#This Row],[Druid (op)]]+Races!$E$20-6,0) + MAX(TblMili[[#This Row],[Druid (dp)]]+Races!$F$20-6,0) )  -  Races!$I$20</f>
        <v>#VALUE!</v>
      </c>
      <c r="CP56" s="69" t="e">
        <f aca="false">TblMili[[#This Row],[Mystic bonus]]*TblMili[[#This Row],[Unit 3]]+TblMili[[#This Row],[Druid bonus]]*TblMili[[#This Row],[Unit 4]]</f>
        <v>#VALUE!</v>
      </c>
      <c r="CQ56" s="148" t="e">
        <f aca="false">MIN(6,TblMili[[#This Row],[Dryad]]+Races!$F$35)*1.8 +  IF(TblMili[[#This Row],[Dryad]]+Races!$F$35&gt;6,(TblMili[[#This Row],[Dryad]]+Races!$F$35-6)*0.2,0) - Races!$I$19</f>
        <v>#VALUE!</v>
      </c>
      <c r="CR56" s="69" t="e">
        <f aca="false">sylvan*(TblMili[[#This Row],[Mystic bonus]]*TblMili[[#This Row],[Unit 3]])</f>
        <v>#VALUE!</v>
      </c>
      <c r="CS56" s="148" t="e">
        <f aca="false">1.8 * MIN(MAX(Races!$E$27,TblMili[[#This Row],[Rockapult]]+Races!$F$27),6)  +  0.45 * MIN(MIN(Races!$E$27,TblMili[[#This Row],[Rockapult]]+Races!$F$27),6)  +  0.2 * ( MAX(Races!$E$27-6,0) + MAX(TblMili[[#This Row],[Rockapult]]+Races!$F$27-6,0) )  -  Races!$I$20</f>
        <v>#VALUE!</v>
      </c>
      <c r="CT56" s="69" t="e">
        <f aca="false">gnome*(TblMili[[#This Row],[Rockapult bonus]]*TblMili[[#This Row],[Unit 3]])</f>
        <v>#VALUE!</v>
      </c>
      <c r="CU56" s="148" t="n">
        <f aca="false">1.8 * MIN(MAX(TblMili[[#This Row],[Spellblade]]+Races!$E$47,TblMili[[#This Row],[Adept-DP]]+Races!$F$47),6)  +  0.45 * MIN(MIN(TblMili[[#This Row],[Spellblade]]+Races!$E$47,TblMili[[#This Row],[Adept-DP]]+Races!$F$47),6)  +  0.2 * ( MAX(TblMili[[#This Row],[Spellblade]]+Races!$E$47-6,0) + MAX(TblMili[[#This Row],[Adept-DP]]+Races!$F$47-6,0) )  -  Races!$I$47</f>
        <v>0</v>
      </c>
      <c r="CV56" s="69" t="n">
        <f aca="false">dark_elf*(TblMili[[#This Row],[Adept bonus]]*TblMili[[#This Row],[Unit 3]])</f>
        <v>0</v>
      </c>
      <c r="CW56" s="148" t="e">
        <f aca="false">1.8 * MIN(MAX(TblMili[[#This Row],[Frost Mage]]+Races!$F$71,Races!$E$71),6)  +  0.45 * MIN(MIN(TblMili[[#This Row],[Frost Mage]]+Races!$F$71,Races!$E$71),6)  +  0.2 * ( MAX(TblMili[[#This Row],[Frost Mage]]+Races!$F$71-6,0) + MAX(Races!$E$71-6,0) )  -  Races!$I$71</f>
        <v>#VALUE!</v>
      </c>
      <c r="CX56" s="148" t="n">
        <f aca="false">1.8 * MIN(MAX(TblMili[[#This Row],[Ice Elemental]]+Races!$E$71,Races!$F$71),6)  +  0.45 * MIN(MIN(TblMili[[#This Row],[Ice Elemental]]+Races!$E$71,Races!$F$71),6)  +  0.2 * ( MAX(TblMili[[#This Row],[Ice Elemental]]+Races!$E$71-6,0) + MAX(Races!$F$71-6,0) )  -  Races!$I$71</f>
        <v>0</v>
      </c>
      <c r="CY56" s="69" t="e">
        <f aca="false">TblMili[[#This Row],[Frost Mage bonus]]*TblMili[[#This Row],[Unit 3]]+TblMili[[#This Row],[Ice Elemental bonus]]*TblMili[[#This Row],[Unit 4]]</f>
        <v>#VALUE!</v>
      </c>
      <c r="CZ56" s="290"/>
      <c r="DA56" s="109" t="n">
        <f aca="false">MIN(SUM(TblConstr[[#This Row],[Plain]:[Water]])/TblMili[[#This Row],[Land]]/favorable_terrain_bonus/100,favorable_terrain_max)</f>
        <v>0</v>
      </c>
      <c r="DB56" s="290"/>
      <c r="DC5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6" s="132"/>
      <c r="DE56" s="291" t="n">
        <f aca="false">(TblMili[[#This Row],[Wizards]]+2*TblMili[[#This Row],[Archmages]])/TblConstr[[#This Row],[Land]]</f>
        <v>0</v>
      </c>
      <c r="DF56" s="291" t="n">
        <f aca="false">TblMili[[#This Row],[Raw (2)]]*(1+race_wizard_strength+IF(TblMili[[#This Row],[Hour]]&gt;72,tech_magical_weaponry_wiz*TblTech[[#This Row],[3-5]],0))</f>
        <v>0</v>
      </c>
    </row>
    <row r="57" customFormat="false" ht="12.75" hidden="false" customHeight="false" outlineLevel="0" collapsed="false">
      <c r="A57" s="128" t="n">
        <f aca="false">TblRezone[[#This Row],[Hour]]</f>
        <v>54</v>
      </c>
      <c r="B57" s="282" t="n">
        <f aca="false">SUM(TblMili[[#This Row],[Unit 1]:[Archmages]])+SUM(OFFSET(TblMili[[#This Row],[Train Unit 1]],-8,0):TblMili[[#This Row],[Train Unit 2]]) + SUM(OFFSET(TblMili[[#This Row],[Train Unit 3]],-11,0):TblMili[[#This Row],[Train AM]]) + TblMili[[#This Row],[Draftees]]</f>
        <v>1010</v>
      </c>
      <c r="C57" s="150" t="n">
        <f aca="false">TblPop[[#This Row],[Military%]]</f>
        <v>0.091468936786814</v>
      </c>
      <c r="D57" s="132"/>
      <c r="E57" s="151" t="n">
        <f aca="false">OFFSET(TblMili[[#This Row],[Unit 1]],-1,0) + OFFSET(TblMili[[#This Row],[Train Unit 1]],-9,0) - TblMili[[#This Row],[Release Unit 1]]</f>
        <v>0</v>
      </c>
      <c r="F57" s="151" t="n">
        <f aca="false">OFFSET(TblMili[[#This Row],[Unit 2]],-1,0) + OFFSET(TblMili[[#This Row],[Train Unit 2]],-9,0)-TblMili[[#This Row],[Release Unit 2]]</f>
        <v>0</v>
      </c>
      <c r="G57" s="151" t="n">
        <f aca="false">OFFSET(TblMili[[#This Row],[Unit 3]],-1,0) + OFFSET(TblMili[[#This Row],[Train Unit 3]],-12,0)-TblMili[[#This Row],[Release Unit 3]]</f>
        <v>0</v>
      </c>
      <c r="H57" s="151" t="n">
        <f aca="false">OFFSET(TblMili[[#This Row],[Unit 4]],-1,0) + OFFSET(TblMili[[#This Row],[Train Unit 4]],-12,0)-TblMili[[#This Row],[Release Unit 4]]</f>
        <v>0</v>
      </c>
      <c r="I57" s="151" t="n">
        <f aca="false">OFFSET(TblMili[[#This Row],[Spies]],-1,0) + OFFSET(TblMili[[#This Row],[Train Spies]],-12,0) - TblMili[[#This Row],[Release Spies]]-TblMili[[#This Row],[Train AS]]</f>
        <v>0</v>
      </c>
      <c r="J57" s="151" t="n">
        <f aca="false">OFFSET(TblMili[[#This Row],[Archspies]],-1,0) + OFFSET(TblMili[[#This Row],[Train AS]],-12,0) - TblMili[[#This Row],[Release AS]]</f>
        <v>0</v>
      </c>
      <c r="K57" s="151" t="n">
        <f aca="false">OFFSET(TblMili[[#This Row],[Wizards]],-1,0) + OFFSET(TblMili[[#This Row],[Train Wiz]],-12,0) - TblMili[[#This Row],[Release Wizards]]-TblMili[[#This Row],[Train AM]]</f>
        <v>0</v>
      </c>
      <c r="L57" s="151" t="n">
        <f aca="false">OFFSET(TblMili[[#This Row],[Archmages]],-1,0) + OFFSET(TblMili[[#This Row],[Train AM]],-12,0) - TblMili[[#This Row],[Release AM]]</f>
        <v>0</v>
      </c>
      <c r="M57" s="132"/>
      <c r="N57" s="69" t="e">
        <f aca="false">TblProd[[#This Row],[Networth]]</f>
        <v>#VALUE!</v>
      </c>
      <c r="O57" s="132"/>
      <c r="P5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7" s="285" t="e">
        <f aca="false">TblMili[[#This Row],[Raw]]*(1+TblMili[[#This Row],[Mods_Off]])</f>
        <v>#VALUE!</v>
      </c>
      <c r="S5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7" s="285" t="e">
        <f aca="false">TblMili[[#This Row],[Non Draft]]+TblMili[[#This Row],[Draftees]]</f>
        <v>#VALUE!</v>
      </c>
      <c r="U57" s="286" t="n">
        <f aca="false">race_defense + TblImps[[#This Row],[Walls]] + ROUND( MIN(gt_bonus*TblConstr[[#This Row],[Tot GT]]/TblConstr[[#This Row],[Land]],gt_bonus_cap), 4) + IF(TblMagic[[#This Row],[Active Howling]]&gt;0,howling_dp_bonus,IF(TblMagic[[#This Row],[Active Ares Call]]&gt;0,ares_call_bonus))</f>
        <v>0</v>
      </c>
      <c r="V57" s="274" t="e">
        <f aca="false">TblMili[[#This Row],[Non Draft]] * (1 + TblMili[[#This Row],[Mods_Def]])</f>
        <v>#VALUE!</v>
      </c>
      <c r="W57" s="285" t="e">
        <f aca="false">TblMili[[#This Row],[Draft]] * (1 + TblMili[[#This Row],[Mods_Def]])</f>
        <v>#VALUE!</v>
      </c>
      <c r="X57" s="285" t="n">
        <f aca="false">TblConstr[[#This Row],[Land]]</f>
        <v>692</v>
      </c>
      <c r="Y57" s="287"/>
      <c r="Z57" s="109" t="n">
        <f aca="false">IF(TblMili[[#This Row],[Set]]&lt;&gt;"",TblMili[[#This Row],[Set]],OFFSET(TblMili[[#This Row],[Draftrate]],-1,0))</f>
        <v>0.9</v>
      </c>
      <c r="AA57" s="69" t="n">
        <f aca="false">OFFSET(TblMili[[#This Row],[Draftees]],-1,0)+OFFSET(TblPop[[#This Row],[Draft Growth]],-1,0) - SUM(TblMili[[#This Row],[Train Unit 1]:[Train Spies]],TblMili[[#This Row],[Train Wiz]]) - TblMili[[#This Row],[Release Draft]] + SUM(TblMili[[#This Row],[Release Unit 1]:[Release AM]]) - TblExplore[[#This Row],[Draftees (2)]]</f>
        <v>1010</v>
      </c>
      <c r="AB57" s="146"/>
      <c r="AC57" s="130" t="n">
        <f aca="false">(TblConstr[[#This Row],[Tot Smi]]+TblConstr[[#This Row],[Dest Smi]])/(TblConstr[[#This Row],[Land]]-TblExplore[[#This Row],[Land Bonus]]*20)</f>
        <v>0.0794797687861272</v>
      </c>
      <c r="AD57" s="128"/>
      <c r="AE57" s="282" t="n">
        <f aca="false">TblMili[[#This Row],[Hour]]</f>
        <v>54</v>
      </c>
      <c r="AF57" s="129" t="n">
        <f aca="false">TblExplore[[#This Row],[Time]]</f>
        <v>45431.9583333333</v>
      </c>
      <c r="AG57" s="182"/>
      <c r="AH57" s="182"/>
      <c r="AI57" s="182"/>
      <c r="AJ57" s="182"/>
      <c r="AK57" s="182"/>
      <c r="AL57" s="182"/>
      <c r="AM57" s="182"/>
      <c r="AN57" s="182"/>
      <c r="AO57" s="132"/>
      <c r="AP57" s="69" t="n">
        <f aca="false">TblProd[[#This Row],[Platinum]]</f>
        <v>468410</v>
      </c>
      <c r="AQ57" s="69" t="n">
        <f aca="false">INDEX(TblProd[[#Headers],[Lumber]]:TblProd[[#This Row],[Ore]],COUNTA(TblProd[[#Headers],[Lumber]]:TblProd[[#This Row],[Lumber]]),MATCH(Military!$AQ$2,TblProd[[#Headers],[Lumber]:[Ore]],0))</f>
        <v>0</v>
      </c>
      <c r="AR5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69" t="n">
        <f aca="false">TblMili[[#This Row],[Train Unit 1]]*TblMili[[#This Row],[OP Ore]]+TblMili[[#This Row],[Train Unit 2]]*TblMili[[#This Row],[DP Ore]]+TblMili[[#This Row],[Train Unit 3]]*TblMili[[#This Row],[E1 Ore]]+TblMili[[#This Row],[Train Unit 4]]*TblMili[[#This Row],[E2 Ore]]</f>
        <v>0</v>
      </c>
      <c r="AT57" s="132" t="n">
        <f aca="false">TblMili[[#This Row],[Hour]]</f>
        <v>54</v>
      </c>
      <c r="AU57" s="144" t="n">
        <f aca="false">TblMili[[#This Row],[Time]]</f>
        <v>45431.9583333333</v>
      </c>
      <c r="AV57" s="69" t="n">
        <f aca="false">TblMili[[#This Row],[Draftees]]</f>
        <v>1010</v>
      </c>
      <c r="AW57" s="182"/>
      <c r="AX57" s="182"/>
      <c r="AY57" s="182"/>
      <c r="AZ57" s="182"/>
      <c r="BA57" s="182"/>
      <c r="BB57" s="182"/>
      <c r="BC57" s="182"/>
      <c r="BD57" s="182"/>
      <c r="BE57" s="182"/>
      <c r="BF57" s="132"/>
      <c r="BG57" s="150" t="n">
        <f aca="false">TblConstr[[#This Row],[Tot WG]]/TblConstr[[#This Row],[Land]]</f>
        <v>0</v>
      </c>
      <c r="BH57" s="150" t="n">
        <f aca="false">TblConstr[[#This Row],[Tot Hav]]/TblConstr[[#This Row],[Land]]</f>
        <v>0</v>
      </c>
      <c r="BI57" s="69" t="n">
        <f aca="false">ROUNDUP((1-MIN(TblMili[[#This Row],[Smithies]]*smithy_bonus,smithy_bonus_cap) + tech_3_5*TblTech[[#This Row],[3-5]] + tech_5_3*TblTech[[#This Row],[5-3]] + tech_5_5*TblTech[[#This Row],[5-5]])*spec_op_plat,0)</f>
        <v>253</v>
      </c>
      <c r="BJ57" s="69" t="n">
        <f aca="false">ROUNDUP(IF(race="Gnome",1,(1-MIN(TblMili[[#This Row],[Smithies]]*smithy_bonus,smithy_bonus_cap) + tech_3_5*TblTech[[#This Row],[3-5]] + tech_5_3*TblTech[[#This Row],[5-3]] + tech_5_5*TblTech[[#This Row],[5-5]]))*spec_op_ore,0)</f>
        <v>0</v>
      </c>
      <c r="BK57" s="69" t="n">
        <f aca="false">ROUNDUP((1-MIN(TblMili[[#This Row],[Smithies]]*smithy_bonus,smithy_bonus_cap) + tech_3_5*TblTech[[#This Row],[3-5]] + tech_5_3*TblTech[[#This Row],[5-3]] + tech_5_5*TblTech[[#This Row],[5-5]])*spec_dp_plat,0)</f>
        <v>253</v>
      </c>
      <c r="BL57" s="69" t="n">
        <f aca="false">ROUNDUP(IF(race="Gnome",1,(1-MIN(TblMili[[#This Row],[Smithies]]*smithy_bonus,smithy_bonus_cap) + tech_3_5*TblTech[[#This Row],[3-5]] + tech_5_3*TblTech[[#This Row],[5-3]] + tech_5_5*TblTech[[#This Row],[5-5]]))*spec_dp_ore,0)</f>
        <v>0</v>
      </c>
      <c r="BM57" s="69" t="n">
        <f aca="false">ROUNDUP((1-MIN(TblMili[[#This Row],[Smithies]]*smithy_bonus,smithy_bonus_cap) + tech_3_5*TblTech[[#This Row],[3-5]] + tech_5_3*TblTech[[#This Row],[5-3]] + tech_5_5*TblTech[[#This Row],[5-5]])*elite1_plat,0)</f>
        <v>778</v>
      </c>
      <c r="BN57" s="69" t="n">
        <f aca="false">ROUNDUP(IF(race="Gnome",1,(1-MIN(TblMili[[#This Row],[Smithies]]*smithy_bonus,smithy_bonus_cap) + tech_3_5*TblTech[[#This Row],[3-5]] + tech_5_3*TblTech[[#This Row],[5-3]] + tech_5_5*TblTech[[#This Row],[5-5]]))*elite1_ore,0)</f>
        <v>0</v>
      </c>
      <c r="BO57" s="69" t="n">
        <f aca="false">ROUNDUP((1-MIN(TblMili[[#This Row],[Smithies]]*smithy_bonus,smithy_bonus_cap) + tech_3_5*TblTech[[#This Row],[3-5]] + tech_5_3*TblTech[[#This Row],[5-3]] + tech_5_5*TblTech[[#This Row],[5-5]])*elite2_plat,0)</f>
        <v>799</v>
      </c>
      <c r="BP57" s="69" t="n">
        <f aca="false">ROUNDUP(IF(race="Gnome",1,(1-MIN(TblMili[[#This Row],[Smithies]]*smithy_bonus,smithy_bonus_cap) + tech_3_5*TblTech[[#This Row],[3-5]] + tech_5_3*TblTech[[#This Row],[5-3]] + tech_5_5*TblTech[[#This Row],[5-5]]))*elite2_ore,0)</f>
        <v>0</v>
      </c>
      <c r="BQ57" s="69" t="n">
        <f aca="false">ROUNDUP((1-MIN(ROUND(fh_spy_cost_red*TblMili[[#This Row],[FH''s]],4),fh_spy_cost_cap)+ tech_1_9*TblTech[[#This Row],[1-9]] + tech_9_1*TblTech[[#This Row],[9-1]])*spy_plat,0)</f>
        <v>500</v>
      </c>
      <c r="BR57" s="69" t="n">
        <f aca="false">ROUNDUP((1-MIN(ROUND(fh_spy_cost_red*TblMili[[#This Row],[FH''s]],4),fh_spy_cost_cap)+ tech_1_9*TblTech[[#This Row],[1-9]] + tech_9_1*TblTech[[#This Row],[9-1]])*archspy_plat,0)</f>
        <v>1000</v>
      </c>
      <c r="BS57" s="69" t="n">
        <f aca="false">ROUNDUP((1-MIN(ROUND(wg_wiz_cost_bonus*TblMili[[#This Row],[WG''s]],4),wg_wiz_cost_cap) + tech_1_9_2*TblTech[[#This Row],[1-9]] + tech_9_1_2*TblTech[[#This Row],[9-1]])*wizard_plat,0)</f>
        <v>500</v>
      </c>
      <c r="BT57" s="69" t="n">
        <f aca="false">ROUNDUP((1-MIN(ROUND(wg_wiz_cost_bonus*TblMili[[#This Row],[WG''s]],4),wg_wiz_cost_cap) + tech_1_9_2*TblTech[[#This Row],[1-9]] + tech_9_1_2*TblTech[[#This Row],[9-1]])*archmage_plat,0)</f>
        <v>1000</v>
      </c>
      <c r="BU57" s="132"/>
      <c r="BV57" s="150" t="e">
        <f aca="false">TblConstr[[#This Row],[Homeland]]/TblConstr[[#This Row],[Land]]</f>
        <v>#VALUE!</v>
      </c>
      <c r="BW57" s="150" t="n">
        <f aca="false">TblMili[[#This Row],[WG''s]]</f>
        <v>0</v>
      </c>
      <c r="BX57" s="288" t="e">
        <f aca="false">IF(mystic_cap="none",TblMili[[#This Row],[Hill]]/mystic_bonus,MIN(mystic_cap,TblMili[[#This Row],[Hill]]/mystic_bonus))</f>
        <v>#VALUE!</v>
      </c>
      <c r="BY57" s="288" t="e">
        <f aca="false">IF(druid_op_cap="none",TblMili[[#This Row],[Hill]]/druid_op_bonus,MIN(druid_op_cap,TblMili[[#This Row],[Hill]]/druid_op_bonus))</f>
        <v>#VALUE!</v>
      </c>
      <c r="BZ57" s="288" t="e">
        <f aca="false">IF(druid_dp_cap="none",TblMili[[#This Row],[Hill]]/druid_dp_bonus,MIN(druid_dp_cap,TblMili[[#This Row],[Hill]]/druid_dp_bonus))</f>
        <v>#VALUE!</v>
      </c>
      <c r="CA57" s="288" t="e">
        <f aca="false">MIN(dryad_cap,TblMili[[#This Row],[Hill]]/dryad_bonus)</f>
        <v>#VALUE!</v>
      </c>
      <c r="CB57" s="288" t="e">
        <f aca="false">MIN(rocka_cap,TblMili[[#This Row],[Hill]]/rocka_bonus)</f>
        <v>#VALUE!</v>
      </c>
      <c r="CC57" s="288" t="n">
        <f aca="false">MIN(adept_op_cap,TblMili[[#This Row],[WG]]/adept_op_bonus)</f>
        <v>0</v>
      </c>
      <c r="CD57" s="288" t="n">
        <f aca="false">MIN(adept_dp_cap,TblMili[[#This Row],[WG]]/adept_dp_bonus)</f>
        <v>0</v>
      </c>
      <c r="CE57" s="69" t="n">
        <f aca="false">MIN(TblMili[[#This Row],[Unit 3]],TblMili[[#This Row],[Unit 2]])*2</f>
        <v>0</v>
      </c>
      <c r="CF57" s="69" t="n">
        <f aca="false">MIN(TblMili[[#This Row],[Unit 1]],TblMili[[#This Row],[Unit 4]])*2</f>
        <v>0</v>
      </c>
      <c r="CG57" s="288" t="e">
        <f aca="false">MIN(frost_mage_cap,TblMili[[#This Row],[Hill]]/frost_mage_bonus)</f>
        <v>#VALUE!</v>
      </c>
      <c r="CH57" s="151" t="n">
        <f aca="false">MIN(ice_elem_cap,TblMili[[#This Row],[Raw (2)]]*ice_elem_bonus)</f>
        <v>0</v>
      </c>
      <c r="CI57" s="288" t="n">
        <f aca="false">MIN(bone_breaker_cap,250/bone_breaker_bonus)</f>
        <v>0.833333333333333</v>
      </c>
      <c r="CJ57" s="288" t="e">
        <f aca="false">MIN(nox_nightshade_cap,TblConstr[[#This Row],[Homeland]]/TblConstr[[#This Row],[Land]]/nox_nightshade_swamp_bonus)</f>
        <v>#VALUE!</v>
      </c>
      <c r="CK57" s="289"/>
      <c r="CL57" s="289"/>
      <c r="CM57" s="289"/>
      <c r="CN57" s="288" t="e">
        <f aca="false">MIN(6,TblMili[[#This Row],[Mystic]]+Races!$F$19)*1.8 +  IF(TblMili[[#This Row],[Mystic]]+Races!$F$19&gt;6,(TblMili[[#This Row],[Mystic]]+Races!$F$19-6)*0.2,0) - Races!$I$19</f>
        <v>#VALUE!</v>
      </c>
      <c r="CO57" s="288" t="e">
        <f aca="false">1.8 * MIN(MAX(TblMili[[#This Row],[Druid (op)]]+Races!$E$20,TblMili[[#This Row],[Druid (dp)]]+Races!$F$20),6)  +  0.45 * MIN(MIN(TblMili[[#This Row],[Druid (op)]]+Races!$E$20,TblMili[[#This Row],[Druid (dp)]]+Races!$F$20),6)  +  0.2 * ( MAX(TblMili[[#This Row],[Druid (op)]]+Races!$E$20-6,0) + MAX(TblMili[[#This Row],[Druid (dp)]]+Races!$F$20-6,0) )  -  Races!$I$20</f>
        <v>#VALUE!</v>
      </c>
      <c r="CP57" s="69" t="e">
        <f aca="false">TblMili[[#This Row],[Mystic bonus]]*TblMili[[#This Row],[Unit 3]]+TblMili[[#This Row],[Druid bonus]]*TblMili[[#This Row],[Unit 4]]</f>
        <v>#VALUE!</v>
      </c>
      <c r="CQ57" s="148" t="e">
        <f aca="false">MIN(6,TblMili[[#This Row],[Dryad]]+Races!$F$35)*1.8 +  IF(TblMili[[#This Row],[Dryad]]+Races!$F$35&gt;6,(TblMili[[#This Row],[Dryad]]+Races!$F$35-6)*0.2,0) - Races!$I$19</f>
        <v>#VALUE!</v>
      </c>
      <c r="CR57" s="69" t="e">
        <f aca="false">sylvan*(TblMili[[#This Row],[Mystic bonus]]*TblMili[[#This Row],[Unit 3]])</f>
        <v>#VALUE!</v>
      </c>
      <c r="CS57" s="148" t="e">
        <f aca="false">1.8 * MIN(MAX(Races!$E$27,TblMili[[#This Row],[Rockapult]]+Races!$F$27),6)  +  0.45 * MIN(MIN(Races!$E$27,TblMili[[#This Row],[Rockapult]]+Races!$F$27),6)  +  0.2 * ( MAX(Races!$E$27-6,0) + MAX(TblMili[[#This Row],[Rockapult]]+Races!$F$27-6,0) )  -  Races!$I$20</f>
        <v>#VALUE!</v>
      </c>
      <c r="CT57" s="69" t="e">
        <f aca="false">gnome*(TblMili[[#This Row],[Rockapult bonus]]*TblMili[[#This Row],[Unit 3]])</f>
        <v>#VALUE!</v>
      </c>
      <c r="CU57" s="148" t="n">
        <f aca="false">1.8 * MIN(MAX(TblMili[[#This Row],[Spellblade]]+Races!$E$47,TblMili[[#This Row],[Adept-DP]]+Races!$F$47),6)  +  0.45 * MIN(MIN(TblMili[[#This Row],[Spellblade]]+Races!$E$47,TblMili[[#This Row],[Adept-DP]]+Races!$F$47),6)  +  0.2 * ( MAX(TblMili[[#This Row],[Spellblade]]+Races!$E$47-6,0) + MAX(TblMili[[#This Row],[Adept-DP]]+Races!$F$47-6,0) )  -  Races!$I$47</f>
        <v>0</v>
      </c>
      <c r="CV57" s="69" t="n">
        <f aca="false">dark_elf*(TblMili[[#This Row],[Adept bonus]]*TblMili[[#This Row],[Unit 3]])</f>
        <v>0</v>
      </c>
      <c r="CW57" s="148" t="e">
        <f aca="false">1.8 * MIN(MAX(TblMili[[#This Row],[Frost Mage]]+Races!$F$71,Races!$E$71),6)  +  0.45 * MIN(MIN(TblMili[[#This Row],[Frost Mage]]+Races!$F$71,Races!$E$71),6)  +  0.2 * ( MAX(TblMili[[#This Row],[Frost Mage]]+Races!$F$71-6,0) + MAX(Races!$E$71-6,0) )  -  Races!$I$71</f>
        <v>#VALUE!</v>
      </c>
      <c r="CX57" s="148" t="n">
        <f aca="false">1.8 * MIN(MAX(TblMili[[#This Row],[Ice Elemental]]+Races!$E$71,Races!$F$71),6)  +  0.45 * MIN(MIN(TblMili[[#This Row],[Ice Elemental]]+Races!$E$71,Races!$F$71),6)  +  0.2 * ( MAX(TblMili[[#This Row],[Ice Elemental]]+Races!$E$71-6,0) + MAX(Races!$F$71-6,0) )  -  Races!$I$71</f>
        <v>0</v>
      </c>
      <c r="CY57" s="69" t="e">
        <f aca="false">TblMili[[#This Row],[Frost Mage bonus]]*TblMili[[#This Row],[Unit 3]]+TblMili[[#This Row],[Ice Elemental bonus]]*TblMili[[#This Row],[Unit 4]]</f>
        <v>#VALUE!</v>
      </c>
      <c r="CZ57" s="290"/>
      <c r="DA57" s="109" t="n">
        <f aca="false">MIN(SUM(TblConstr[[#This Row],[Plain]:[Water]])/TblMili[[#This Row],[Land]]/favorable_terrain_bonus/100,favorable_terrain_max)</f>
        <v>0</v>
      </c>
      <c r="DB57" s="290"/>
      <c r="DC5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7" s="132"/>
      <c r="DE57" s="291" t="n">
        <f aca="false">(TblMili[[#This Row],[Wizards]]+2*TblMili[[#This Row],[Archmages]])/TblConstr[[#This Row],[Land]]</f>
        <v>0</v>
      </c>
      <c r="DF57" s="291" t="n">
        <f aca="false">TblMili[[#This Row],[Raw (2)]]*(1+race_wizard_strength+IF(TblMili[[#This Row],[Hour]]&gt;72,tech_magical_weaponry_wiz*TblTech[[#This Row],[3-5]],0))</f>
        <v>0</v>
      </c>
    </row>
    <row r="58" customFormat="false" ht="12.75" hidden="false" customHeight="false" outlineLevel="0" collapsed="false">
      <c r="A58" s="128" t="n">
        <f aca="false">TblRezone[[#This Row],[Hour]]</f>
        <v>55</v>
      </c>
      <c r="B58" s="282" t="n">
        <f aca="false">SUM(TblMili[[#This Row],[Unit 1]:[Archmages]])+SUM(OFFSET(TblMili[[#This Row],[Train Unit 1]],-8,0):TblMili[[#This Row],[Train Unit 2]]) + SUM(OFFSET(TblMili[[#This Row],[Train Unit 3]],-11,0):TblMili[[#This Row],[Train AM]]) + TblMili[[#This Row],[Draftees]]</f>
        <v>1110</v>
      </c>
      <c r="C58" s="150" t="n">
        <f aca="false">TblPop[[#This Row],[Military%]]</f>
        <v>0.098974587605885</v>
      </c>
      <c r="D58" s="132"/>
      <c r="E58" s="151" t="n">
        <f aca="false">OFFSET(TblMili[[#This Row],[Unit 1]],-1,0) + OFFSET(TblMili[[#This Row],[Train Unit 1]],-9,0) - TblMili[[#This Row],[Release Unit 1]]</f>
        <v>0</v>
      </c>
      <c r="F58" s="151" t="n">
        <f aca="false">OFFSET(TblMili[[#This Row],[Unit 2]],-1,0) + OFFSET(TblMili[[#This Row],[Train Unit 2]],-9,0)-TblMili[[#This Row],[Release Unit 2]]</f>
        <v>0</v>
      </c>
      <c r="G58" s="151" t="n">
        <f aca="false">OFFSET(TblMili[[#This Row],[Unit 3]],-1,0) + OFFSET(TblMili[[#This Row],[Train Unit 3]],-12,0)-TblMili[[#This Row],[Release Unit 3]]</f>
        <v>0</v>
      </c>
      <c r="H58" s="151" t="n">
        <f aca="false">OFFSET(TblMili[[#This Row],[Unit 4]],-1,0) + OFFSET(TblMili[[#This Row],[Train Unit 4]],-12,0)-TblMili[[#This Row],[Release Unit 4]]</f>
        <v>0</v>
      </c>
      <c r="I58" s="151" t="n">
        <f aca="false">OFFSET(TblMili[[#This Row],[Spies]],-1,0) + OFFSET(TblMili[[#This Row],[Train Spies]],-12,0) - TblMili[[#This Row],[Release Spies]]-TblMili[[#This Row],[Train AS]]</f>
        <v>0</v>
      </c>
      <c r="J58" s="151" t="n">
        <f aca="false">OFFSET(TblMili[[#This Row],[Archspies]],-1,0) + OFFSET(TblMili[[#This Row],[Train AS]],-12,0) - TblMili[[#This Row],[Release AS]]</f>
        <v>0</v>
      </c>
      <c r="K58" s="151" t="n">
        <f aca="false">OFFSET(TblMili[[#This Row],[Wizards]],-1,0) + OFFSET(TblMili[[#This Row],[Train Wiz]],-12,0) - TblMili[[#This Row],[Release Wizards]]-TblMili[[#This Row],[Train AM]]</f>
        <v>0</v>
      </c>
      <c r="L58" s="151" t="n">
        <f aca="false">OFFSET(TblMili[[#This Row],[Archmages]],-1,0) + OFFSET(TblMili[[#This Row],[Train AM]],-12,0) - TblMili[[#This Row],[Release AM]]</f>
        <v>0</v>
      </c>
      <c r="M58" s="132"/>
      <c r="N58" s="69" t="e">
        <f aca="false">TblProd[[#This Row],[Networth]]</f>
        <v>#VALUE!</v>
      </c>
      <c r="O58" s="132"/>
      <c r="P5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8" s="285" t="e">
        <f aca="false">TblMili[[#This Row],[Raw]]*(1+TblMili[[#This Row],[Mods_Off]])</f>
        <v>#VALUE!</v>
      </c>
      <c r="S5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8" s="285" t="e">
        <f aca="false">TblMili[[#This Row],[Non Draft]]+TblMili[[#This Row],[Draftees]]</f>
        <v>#VALUE!</v>
      </c>
      <c r="U58" s="286" t="n">
        <f aca="false">race_defense + TblImps[[#This Row],[Walls]] + ROUND( MIN(gt_bonus*TblConstr[[#This Row],[Tot GT]]/TblConstr[[#This Row],[Land]],gt_bonus_cap), 4) + IF(TblMagic[[#This Row],[Active Howling]]&gt;0,howling_dp_bonus,IF(TblMagic[[#This Row],[Active Ares Call]]&gt;0,ares_call_bonus))</f>
        <v>0</v>
      </c>
      <c r="V58" s="274" t="e">
        <f aca="false">TblMili[[#This Row],[Non Draft]] * (1 + TblMili[[#This Row],[Mods_Def]])</f>
        <v>#VALUE!</v>
      </c>
      <c r="W58" s="285" t="e">
        <f aca="false">TblMili[[#This Row],[Draft]] * (1 + TblMili[[#This Row],[Mods_Def]])</f>
        <v>#VALUE!</v>
      </c>
      <c r="X58" s="285" t="n">
        <f aca="false">TblConstr[[#This Row],[Land]]</f>
        <v>700</v>
      </c>
      <c r="Y58" s="287"/>
      <c r="Z58" s="109" t="n">
        <f aca="false">IF(TblMili[[#This Row],[Set]]&lt;&gt;"",TblMili[[#This Row],[Set]],OFFSET(TblMili[[#This Row],[Draftrate]],-1,0))</f>
        <v>0.9</v>
      </c>
      <c r="AA58" s="69" t="n">
        <f aca="false">OFFSET(TblMili[[#This Row],[Draftees]],-1,0)+OFFSET(TblPop[[#This Row],[Draft Growth]],-1,0) - SUM(TblMili[[#This Row],[Train Unit 1]:[Train Spies]],TblMili[[#This Row],[Train Wiz]]) - TblMili[[#This Row],[Release Draft]] + SUM(TblMili[[#This Row],[Release Unit 1]:[Release AM]]) - TblExplore[[#This Row],[Draftees (2)]]</f>
        <v>1110</v>
      </c>
      <c r="AB58" s="146"/>
      <c r="AC58" s="130" t="n">
        <f aca="false">(TblConstr[[#This Row],[Tot Smi]]+TblConstr[[#This Row],[Dest Smi]])/(TblConstr[[#This Row],[Land]]-TblExplore[[#This Row],[Land Bonus]]*20)</f>
        <v>0.0914285714285714</v>
      </c>
      <c r="AD58" s="128"/>
      <c r="AE58" s="282" t="n">
        <f aca="false">TblMili[[#This Row],[Hour]]</f>
        <v>55</v>
      </c>
      <c r="AF58" s="129" t="n">
        <f aca="false">TblExplore[[#This Row],[Time]]</f>
        <v>45432</v>
      </c>
      <c r="AG58" s="182"/>
      <c r="AH58" s="182"/>
      <c r="AI58" s="182"/>
      <c r="AJ58" s="182"/>
      <c r="AK58" s="182"/>
      <c r="AL58" s="182"/>
      <c r="AM58" s="182"/>
      <c r="AN58" s="182"/>
      <c r="AO58" s="132"/>
      <c r="AP58" s="69" t="n">
        <f aca="false">TblProd[[#This Row],[Platinum]]</f>
        <v>510224</v>
      </c>
      <c r="AQ58" s="69" t="n">
        <f aca="false">INDEX(TblProd[[#Headers],[Lumber]]:TblProd[[#This Row],[Ore]],COUNTA(TblProd[[#Headers],[Lumber]]:TblProd[[#This Row],[Lumber]]),MATCH(Military!$AQ$2,TblProd[[#Headers],[Lumber]:[Ore]],0))</f>
        <v>0</v>
      </c>
      <c r="AR5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69" t="n">
        <f aca="false">TblMili[[#This Row],[Train Unit 1]]*TblMili[[#This Row],[OP Ore]]+TblMili[[#This Row],[Train Unit 2]]*TblMili[[#This Row],[DP Ore]]+TblMili[[#This Row],[Train Unit 3]]*TblMili[[#This Row],[E1 Ore]]+TblMili[[#This Row],[Train Unit 4]]*TblMili[[#This Row],[E2 Ore]]</f>
        <v>0</v>
      </c>
      <c r="AT58" s="132" t="n">
        <f aca="false">TblMili[[#This Row],[Hour]]</f>
        <v>55</v>
      </c>
      <c r="AU58" s="144" t="n">
        <f aca="false">TblMili[[#This Row],[Time]]</f>
        <v>45432</v>
      </c>
      <c r="AV58" s="69" t="n">
        <f aca="false">TblMili[[#This Row],[Draftees]]</f>
        <v>1110</v>
      </c>
      <c r="AW58" s="182"/>
      <c r="AX58" s="182"/>
      <c r="AY58" s="182"/>
      <c r="AZ58" s="182"/>
      <c r="BA58" s="182"/>
      <c r="BB58" s="182"/>
      <c r="BC58" s="182"/>
      <c r="BD58" s="182"/>
      <c r="BE58" s="182"/>
      <c r="BF58" s="132"/>
      <c r="BG58" s="150" t="n">
        <f aca="false">TblConstr[[#This Row],[Tot WG]]/TblConstr[[#This Row],[Land]]</f>
        <v>0</v>
      </c>
      <c r="BH58" s="150" t="n">
        <f aca="false">TblConstr[[#This Row],[Tot Hav]]/TblConstr[[#This Row],[Land]]</f>
        <v>0</v>
      </c>
      <c r="BI58" s="69" t="n">
        <f aca="false">ROUNDUP((1-MIN(TblMili[[#This Row],[Smithies]]*smithy_bonus,smithy_bonus_cap) + tech_3_5*TblTech[[#This Row],[3-5]] + tech_5_3*TblTech[[#This Row],[5-3]] + tech_5_5*TblTech[[#This Row],[5-5]])*spec_op_plat,0)</f>
        <v>246</v>
      </c>
      <c r="BJ58" s="69" t="n">
        <f aca="false">ROUNDUP(IF(race="Gnome",1,(1-MIN(TblMili[[#This Row],[Smithies]]*smithy_bonus,smithy_bonus_cap) + tech_3_5*TblTech[[#This Row],[3-5]] + tech_5_3*TblTech[[#This Row],[5-3]] + tech_5_5*TblTech[[#This Row],[5-5]]))*spec_op_ore,0)</f>
        <v>0</v>
      </c>
      <c r="BK58" s="69" t="n">
        <f aca="false">ROUNDUP((1-MIN(TblMili[[#This Row],[Smithies]]*smithy_bonus,smithy_bonus_cap) + tech_3_5*TblTech[[#This Row],[3-5]] + tech_5_3*TblTech[[#This Row],[5-3]] + tech_5_5*TblTech[[#This Row],[5-5]])*spec_dp_plat,0)</f>
        <v>246</v>
      </c>
      <c r="BL58" s="69" t="n">
        <f aca="false">ROUNDUP(IF(race="Gnome",1,(1-MIN(TblMili[[#This Row],[Smithies]]*smithy_bonus,smithy_bonus_cap) + tech_3_5*TblTech[[#This Row],[3-5]] + tech_5_3*TblTech[[#This Row],[5-3]] + tech_5_5*TblTech[[#This Row],[5-5]]))*spec_dp_ore,0)</f>
        <v>0</v>
      </c>
      <c r="BM58" s="69" t="n">
        <f aca="false">ROUNDUP((1-MIN(TblMili[[#This Row],[Smithies]]*smithy_bonus,smithy_bonus_cap) + tech_3_5*TblTech[[#This Row],[3-5]] + tech_5_3*TblTech[[#This Row],[5-3]] + tech_5_5*TblTech[[#This Row],[5-5]])*elite1_plat,0)</f>
        <v>756</v>
      </c>
      <c r="BN58" s="69" t="n">
        <f aca="false">ROUNDUP(IF(race="Gnome",1,(1-MIN(TblMili[[#This Row],[Smithies]]*smithy_bonus,smithy_bonus_cap) + tech_3_5*TblTech[[#This Row],[3-5]] + tech_5_3*TblTech[[#This Row],[5-3]] + tech_5_5*TblTech[[#This Row],[5-5]]))*elite1_ore,0)</f>
        <v>0</v>
      </c>
      <c r="BO58" s="69" t="n">
        <f aca="false">ROUNDUP((1-MIN(TblMili[[#This Row],[Smithies]]*smithy_bonus,smithy_bonus_cap) + tech_3_5*TblTech[[#This Row],[3-5]] + tech_5_3*TblTech[[#This Row],[5-3]] + tech_5_5*TblTech[[#This Row],[5-5]])*elite2_plat,0)</f>
        <v>777</v>
      </c>
      <c r="BP58" s="69" t="n">
        <f aca="false">ROUNDUP(IF(race="Gnome",1,(1-MIN(TblMili[[#This Row],[Smithies]]*smithy_bonus,smithy_bonus_cap) + tech_3_5*TblTech[[#This Row],[3-5]] + tech_5_3*TblTech[[#This Row],[5-3]] + tech_5_5*TblTech[[#This Row],[5-5]]))*elite2_ore,0)</f>
        <v>0</v>
      </c>
      <c r="BQ58" s="69" t="n">
        <f aca="false">ROUNDUP((1-MIN(ROUND(fh_spy_cost_red*TblMili[[#This Row],[FH''s]],4),fh_spy_cost_cap)+ tech_1_9*TblTech[[#This Row],[1-9]] + tech_9_1*TblTech[[#This Row],[9-1]])*spy_plat,0)</f>
        <v>500</v>
      </c>
      <c r="BR58" s="69" t="n">
        <f aca="false">ROUNDUP((1-MIN(ROUND(fh_spy_cost_red*TblMili[[#This Row],[FH''s]],4),fh_spy_cost_cap)+ tech_1_9*TblTech[[#This Row],[1-9]] + tech_9_1*TblTech[[#This Row],[9-1]])*archspy_plat,0)</f>
        <v>1000</v>
      </c>
      <c r="BS58" s="69" t="n">
        <f aca="false">ROUNDUP((1-MIN(ROUND(wg_wiz_cost_bonus*TblMili[[#This Row],[WG''s]],4),wg_wiz_cost_cap) + tech_1_9_2*TblTech[[#This Row],[1-9]] + tech_9_1_2*TblTech[[#This Row],[9-1]])*wizard_plat,0)</f>
        <v>500</v>
      </c>
      <c r="BT58" s="69" t="n">
        <f aca="false">ROUNDUP((1-MIN(ROUND(wg_wiz_cost_bonus*TblMili[[#This Row],[WG''s]],4),wg_wiz_cost_cap) + tech_1_9_2*TblTech[[#This Row],[1-9]] + tech_9_1_2*TblTech[[#This Row],[9-1]])*archmage_plat,0)</f>
        <v>1000</v>
      </c>
      <c r="BU58" s="132"/>
      <c r="BV58" s="150" t="e">
        <f aca="false">TblConstr[[#This Row],[Homeland]]/TblConstr[[#This Row],[Land]]</f>
        <v>#VALUE!</v>
      </c>
      <c r="BW58" s="150" t="n">
        <f aca="false">TblMili[[#This Row],[WG''s]]</f>
        <v>0</v>
      </c>
      <c r="BX58" s="288" t="e">
        <f aca="false">IF(mystic_cap="none",TblMili[[#This Row],[Hill]]/mystic_bonus,MIN(mystic_cap,TblMili[[#This Row],[Hill]]/mystic_bonus))</f>
        <v>#VALUE!</v>
      </c>
      <c r="BY58" s="288" t="e">
        <f aca="false">IF(druid_op_cap="none",TblMili[[#This Row],[Hill]]/druid_op_bonus,MIN(druid_op_cap,TblMili[[#This Row],[Hill]]/druid_op_bonus))</f>
        <v>#VALUE!</v>
      </c>
      <c r="BZ58" s="288" t="e">
        <f aca="false">IF(druid_dp_cap="none",TblMili[[#This Row],[Hill]]/druid_dp_bonus,MIN(druid_dp_cap,TblMili[[#This Row],[Hill]]/druid_dp_bonus))</f>
        <v>#VALUE!</v>
      </c>
      <c r="CA58" s="288" t="e">
        <f aca="false">MIN(dryad_cap,TblMili[[#This Row],[Hill]]/dryad_bonus)</f>
        <v>#VALUE!</v>
      </c>
      <c r="CB58" s="288" t="e">
        <f aca="false">MIN(rocka_cap,TblMili[[#This Row],[Hill]]/rocka_bonus)</f>
        <v>#VALUE!</v>
      </c>
      <c r="CC58" s="288" t="n">
        <f aca="false">MIN(adept_op_cap,TblMili[[#This Row],[WG]]/adept_op_bonus)</f>
        <v>0</v>
      </c>
      <c r="CD58" s="288" t="n">
        <f aca="false">MIN(adept_dp_cap,TblMili[[#This Row],[WG]]/adept_dp_bonus)</f>
        <v>0</v>
      </c>
      <c r="CE58" s="69" t="n">
        <f aca="false">MIN(TblMili[[#This Row],[Unit 3]],TblMili[[#This Row],[Unit 2]])*2</f>
        <v>0</v>
      </c>
      <c r="CF58" s="69" t="n">
        <f aca="false">MIN(TblMili[[#This Row],[Unit 1]],TblMili[[#This Row],[Unit 4]])*2</f>
        <v>0</v>
      </c>
      <c r="CG58" s="288" t="e">
        <f aca="false">MIN(frost_mage_cap,TblMili[[#This Row],[Hill]]/frost_mage_bonus)</f>
        <v>#VALUE!</v>
      </c>
      <c r="CH58" s="151" t="n">
        <f aca="false">MIN(ice_elem_cap,TblMili[[#This Row],[Raw (2)]]*ice_elem_bonus)</f>
        <v>0</v>
      </c>
      <c r="CI58" s="288" t="n">
        <f aca="false">MIN(bone_breaker_cap,250/bone_breaker_bonus)</f>
        <v>0.833333333333333</v>
      </c>
      <c r="CJ58" s="288" t="e">
        <f aca="false">MIN(nox_nightshade_cap,TblConstr[[#This Row],[Homeland]]/TblConstr[[#This Row],[Land]]/nox_nightshade_swamp_bonus)</f>
        <v>#VALUE!</v>
      </c>
      <c r="CK58" s="289"/>
      <c r="CL58" s="289"/>
      <c r="CM58" s="289"/>
      <c r="CN58" s="288" t="e">
        <f aca="false">MIN(6,TblMili[[#This Row],[Mystic]]+Races!$F$19)*1.8 +  IF(TblMili[[#This Row],[Mystic]]+Races!$F$19&gt;6,(TblMili[[#This Row],[Mystic]]+Races!$F$19-6)*0.2,0) - Races!$I$19</f>
        <v>#VALUE!</v>
      </c>
      <c r="CO58" s="288" t="e">
        <f aca="false">1.8 * MIN(MAX(TblMili[[#This Row],[Druid (op)]]+Races!$E$20,TblMili[[#This Row],[Druid (dp)]]+Races!$F$20),6)  +  0.45 * MIN(MIN(TblMili[[#This Row],[Druid (op)]]+Races!$E$20,TblMili[[#This Row],[Druid (dp)]]+Races!$F$20),6)  +  0.2 * ( MAX(TblMili[[#This Row],[Druid (op)]]+Races!$E$20-6,0) + MAX(TblMili[[#This Row],[Druid (dp)]]+Races!$F$20-6,0) )  -  Races!$I$20</f>
        <v>#VALUE!</v>
      </c>
      <c r="CP58" s="69" t="e">
        <f aca="false">TblMili[[#This Row],[Mystic bonus]]*TblMili[[#This Row],[Unit 3]]+TblMili[[#This Row],[Druid bonus]]*TblMili[[#This Row],[Unit 4]]</f>
        <v>#VALUE!</v>
      </c>
      <c r="CQ58" s="148" t="e">
        <f aca="false">MIN(6,TblMili[[#This Row],[Dryad]]+Races!$F$35)*1.8 +  IF(TblMili[[#This Row],[Dryad]]+Races!$F$35&gt;6,(TblMili[[#This Row],[Dryad]]+Races!$F$35-6)*0.2,0) - Races!$I$19</f>
        <v>#VALUE!</v>
      </c>
      <c r="CR58" s="69" t="e">
        <f aca="false">sylvan*(TblMili[[#This Row],[Mystic bonus]]*TblMili[[#This Row],[Unit 3]])</f>
        <v>#VALUE!</v>
      </c>
      <c r="CS58" s="148" t="e">
        <f aca="false">1.8 * MIN(MAX(Races!$E$27,TblMili[[#This Row],[Rockapult]]+Races!$F$27),6)  +  0.45 * MIN(MIN(Races!$E$27,TblMili[[#This Row],[Rockapult]]+Races!$F$27),6)  +  0.2 * ( MAX(Races!$E$27-6,0) + MAX(TblMili[[#This Row],[Rockapult]]+Races!$F$27-6,0) )  -  Races!$I$20</f>
        <v>#VALUE!</v>
      </c>
      <c r="CT58" s="69" t="e">
        <f aca="false">gnome*(TblMili[[#This Row],[Rockapult bonus]]*TblMili[[#This Row],[Unit 3]])</f>
        <v>#VALUE!</v>
      </c>
      <c r="CU58" s="148" t="n">
        <f aca="false">1.8 * MIN(MAX(TblMili[[#This Row],[Spellblade]]+Races!$E$47,TblMili[[#This Row],[Adept-DP]]+Races!$F$47),6)  +  0.45 * MIN(MIN(TblMili[[#This Row],[Spellblade]]+Races!$E$47,TblMili[[#This Row],[Adept-DP]]+Races!$F$47),6)  +  0.2 * ( MAX(TblMili[[#This Row],[Spellblade]]+Races!$E$47-6,0) + MAX(TblMili[[#This Row],[Adept-DP]]+Races!$F$47-6,0) )  -  Races!$I$47</f>
        <v>0</v>
      </c>
      <c r="CV58" s="69" t="n">
        <f aca="false">dark_elf*(TblMili[[#This Row],[Adept bonus]]*TblMili[[#This Row],[Unit 3]])</f>
        <v>0</v>
      </c>
      <c r="CW58" s="148" t="e">
        <f aca="false">1.8 * MIN(MAX(TblMili[[#This Row],[Frost Mage]]+Races!$F$71,Races!$E$71),6)  +  0.45 * MIN(MIN(TblMili[[#This Row],[Frost Mage]]+Races!$F$71,Races!$E$71),6)  +  0.2 * ( MAX(TblMili[[#This Row],[Frost Mage]]+Races!$F$71-6,0) + MAX(Races!$E$71-6,0) )  -  Races!$I$71</f>
        <v>#VALUE!</v>
      </c>
      <c r="CX58" s="148" t="n">
        <f aca="false">1.8 * MIN(MAX(TblMili[[#This Row],[Ice Elemental]]+Races!$E$71,Races!$F$71),6)  +  0.45 * MIN(MIN(TblMili[[#This Row],[Ice Elemental]]+Races!$E$71,Races!$F$71),6)  +  0.2 * ( MAX(TblMili[[#This Row],[Ice Elemental]]+Races!$E$71-6,0) + MAX(Races!$F$71-6,0) )  -  Races!$I$71</f>
        <v>0</v>
      </c>
      <c r="CY58" s="69" t="e">
        <f aca="false">TblMili[[#This Row],[Frost Mage bonus]]*TblMili[[#This Row],[Unit 3]]+TblMili[[#This Row],[Ice Elemental bonus]]*TblMili[[#This Row],[Unit 4]]</f>
        <v>#VALUE!</v>
      </c>
      <c r="CZ58" s="290"/>
      <c r="DA58" s="109" t="n">
        <f aca="false">MIN(SUM(TblConstr[[#This Row],[Plain]:[Water]])/TblMili[[#This Row],[Land]]/favorable_terrain_bonus/100,favorable_terrain_max)</f>
        <v>0</v>
      </c>
      <c r="DB58" s="290"/>
      <c r="DC5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8" s="132"/>
      <c r="DE58" s="291" t="n">
        <f aca="false">(TblMili[[#This Row],[Wizards]]+2*TblMili[[#This Row],[Archmages]])/TblConstr[[#This Row],[Land]]</f>
        <v>0</v>
      </c>
      <c r="DF58" s="291" t="n">
        <f aca="false">TblMili[[#This Row],[Raw (2)]]*(1+race_wizard_strength+IF(TblMili[[#This Row],[Hour]]&gt;72,tech_magical_weaponry_wiz*TblTech[[#This Row],[3-5]],0))</f>
        <v>0</v>
      </c>
    </row>
    <row r="59" customFormat="false" ht="12.75" hidden="false" customHeight="false" outlineLevel="0" collapsed="false">
      <c r="A59" s="128" t="n">
        <f aca="false">TblRezone[[#This Row],[Hour]]</f>
        <v>56</v>
      </c>
      <c r="B59" s="282" t="n">
        <f aca="false">SUM(TblMili[[#This Row],[Unit 1]:[Archmages]])+SUM(OFFSET(TblMili[[#This Row],[Train Unit 1]],-8,0):TblMili[[#This Row],[Train Unit 2]]) + SUM(OFFSET(TblMili[[#This Row],[Train Unit 3]],-11,0):TblMili[[#This Row],[Train AM]]) + TblMili[[#This Row],[Draftees]]</f>
        <v>1211</v>
      </c>
      <c r="C59" s="150" t="n">
        <f aca="false">TblPop[[#This Row],[Military%]]</f>
        <v>0.107158658525794</v>
      </c>
      <c r="D59" s="132"/>
      <c r="E59" s="151" t="n">
        <f aca="false">OFFSET(TblMili[[#This Row],[Unit 1]],-1,0) + OFFSET(TblMili[[#This Row],[Train Unit 1]],-9,0) - TblMili[[#This Row],[Release Unit 1]]</f>
        <v>0</v>
      </c>
      <c r="F59" s="151" t="n">
        <f aca="false">OFFSET(TblMili[[#This Row],[Unit 2]],-1,0) + OFFSET(TblMili[[#This Row],[Train Unit 2]],-9,0)-TblMili[[#This Row],[Release Unit 2]]</f>
        <v>0</v>
      </c>
      <c r="G59" s="151" t="n">
        <f aca="false">OFFSET(TblMili[[#This Row],[Unit 3]],-1,0) + OFFSET(TblMili[[#This Row],[Train Unit 3]],-12,0)-TblMili[[#This Row],[Release Unit 3]]</f>
        <v>0</v>
      </c>
      <c r="H59" s="151" t="n">
        <f aca="false">OFFSET(TblMili[[#This Row],[Unit 4]],-1,0) + OFFSET(TblMili[[#This Row],[Train Unit 4]],-12,0)-TblMili[[#This Row],[Release Unit 4]]</f>
        <v>0</v>
      </c>
      <c r="I59" s="151" t="n">
        <f aca="false">OFFSET(TblMili[[#This Row],[Spies]],-1,0) + OFFSET(TblMili[[#This Row],[Train Spies]],-12,0) - TblMili[[#This Row],[Release Spies]]-TblMili[[#This Row],[Train AS]]</f>
        <v>0</v>
      </c>
      <c r="J59" s="151" t="n">
        <f aca="false">OFFSET(TblMili[[#This Row],[Archspies]],-1,0) + OFFSET(TblMili[[#This Row],[Train AS]],-12,0) - TblMili[[#This Row],[Release AS]]</f>
        <v>0</v>
      </c>
      <c r="K59" s="151" t="n">
        <f aca="false">OFFSET(TblMili[[#This Row],[Wizards]],-1,0) + OFFSET(TblMili[[#This Row],[Train Wiz]],-12,0) - TblMili[[#This Row],[Release Wizards]]-TblMili[[#This Row],[Train AM]]</f>
        <v>0</v>
      </c>
      <c r="L59" s="151" t="n">
        <f aca="false">OFFSET(TblMili[[#This Row],[Archmages]],-1,0) + OFFSET(TblMili[[#This Row],[Train AM]],-12,0) - TblMili[[#This Row],[Release AM]]</f>
        <v>0</v>
      </c>
      <c r="M59" s="132"/>
      <c r="N59" s="69" t="e">
        <f aca="false">TblProd[[#This Row],[Networth]]</f>
        <v>#VALUE!</v>
      </c>
      <c r="O59" s="132"/>
      <c r="P5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9" s="285" t="e">
        <f aca="false">TblMili[[#This Row],[Raw]]*(1+TblMili[[#This Row],[Mods_Off]])</f>
        <v>#VALUE!</v>
      </c>
      <c r="S5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9" s="285" t="e">
        <f aca="false">TblMili[[#This Row],[Non Draft]]+TblMili[[#This Row],[Draftees]]</f>
        <v>#VALUE!</v>
      </c>
      <c r="U59" s="286" t="n">
        <f aca="false">race_defense + TblImps[[#This Row],[Walls]] + ROUND( MIN(gt_bonus*TblConstr[[#This Row],[Tot GT]]/TblConstr[[#This Row],[Land]],gt_bonus_cap), 4) + IF(TblMagic[[#This Row],[Active Howling]]&gt;0,howling_dp_bonus,IF(TblMagic[[#This Row],[Active Ares Call]]&gt;0,ares_call_bonus))</f>
        <v>0</v>
      </c>
      <c r="V59" s="274" t="e">
        <f aca="false">TblMili[[#This Row],[Non Draft]] * (1 + TblMili[[#This Row],[Mods_Def]])</f>
        <v>#VALUE!</v>
      </c>
      <c r="W59" s="285" t="e">
        <f aca="false">TblMili[[#This Row],[Draft]] * (1 + TblMili[[#This Row],[Mods_Def]])</f>
        <v>#VALUE!</v>
      </c>
      <c r="X59" s="285" t="n">
        <f aca="false">TblConstr[[#This Row],[Land]]</f>
        <v>700</v>
      </c>
      <c r="Y59" s="287"/>
      <c r="Z59" s="109" t="n">
        <f aca="false">IF(TblMili[[#This Row],[Set]]&lt;&gt;"",TblMili[[#This Row],[Set]],OFFSET(TblMili[[#This Row],[Draftrate]],-1,0))</f>
        <v>0.9</v>
      </c>
      <c r="AA59" s="69" t="n">
        <f aca="false">OFFSET(TblMili[[#This Row],[Draftees]],-1,0)+OFFSET(TblPop[[#This Row],[Draft Growth]],-1,0) - SUM(TblMili[[#This Row],[Train Unit 1]:[Train Spies]],TblMili[[#This Row],[Train Wiz]]) - TblMili[[#This Row],[Release Draft]] + SUM(TblMili[[#This Row],[Release Unit 1]:[Release AM]]) - TblExplore[[#This Row],[Draftees (2)]]</f>
        <v>1211</v>
      </c>
      <c r="AB59" s="146"/>
      <c r="AC59" s="130" t="n">
        <f aca="false">(TblConstr[[#This Row],[Tot Smi]]+TblConstr[[#This Row],[Dest Smi]])/(TblConstr[[#This Row],[Land]]-TblExplore[[#This Row],[Land Bonus]]*20)</f>
        <v>0.104285714285714</v>
      </c>
      <c r="AD59" s="128"/>
      <c r="AE59" s="282" t="n">
        <f aca="false">TblMili[[#This Row],[Hour]]</f>
        <v>56</v>
      </c>
      <c r="AF59" s="129" t="n">
        <f aca="false">TblExplore[[#This Row],[Time]]</f>
        <v>45432.0416666667</v>
      </c>
      <c r="AG59" s="182"/>
      <c r="AH59" s="182"/>
      <c r="AI59" s="182"/>
      <c r="AJ59" s="182"/>
      <c r="AK59" s="182"/>
      <c r="AL59" s="182"/>
      <c r="AM59" s="182"/>
      <c r="AN59" s="182"/>
      <c r="AO59" s="132"/>
      <c r="AP59" s="69" t="n">
        <f aca="false">TblProd[[#This Row],[Platinum]]</f>
        <v>556484</v>
      </c>
      <c r="AQ59" s="69" t="n">
        <f aca="false">INDEX(TblProd[[#Headers],[Lumber]]:TblProd[[#This Row],[Ore]],COUNTA(TblProd[[#Headers],[Lumber]]:TblProd[[#This Row],[Lumber]]),MATCH(Military!$AQ$2,TblProd[[#Headers],[Lumber]:[Ore]],0))</f>
        <v>0</v>
      </c>
      <c r="AR5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69" t="n">
        <f aca="false">TblMili[[#This Row],[Train Unit 1]]*TblMili[[#This Row],[OP Ore]]+TblMili[[#This Row],[Train Unit 2]]*TblMili[[#This Row],[DP Ore]]+TblMili[[#This Row],[Train Unit 3]]*TblMili[[#This Row],[E1 Ore]]+TblMili[[#This Row],[Train Unit 4]]*TblMili[[#This Row],[E2 Ore]]</f>
        <v>0</v>
      </c>
      <c r="AT59" s="132" t="n">
        <f aca="false">TblMili[[#This Row],[Hour]]</f>
        <v>56</v>
      </c>
      <c r="AU59" s="144" t="n">
        <f aca="false">TblMili[[#This Row],[Time]]</f>
        <v>45432.0416666667</v>
      </c>
      <c r="AV59" s="69" t="n">
        <f aca="false">TblMili[[#This Row],[Draftees]]</f>
        <v>1211</v>
      </c>
      <c r="AW59" s="182"/>
      <c r="AX59" s="182"/>
      <c r="AY59" s="182"/>
      <c r="AZ59" s="182"/>
      <c r="BA59" s="182"/>
      <c r="BB59" s="182"/>
      <c r="BC59" s="182"/>
      <c r="BD59" s="182"/>
      <c r="BE59" s="182"/>
      <c r="BF59" s="132"/>
      <c r="BG59" s="150" t="n">
        <f aca="false">TblConstr[[#This Row],[Tot WG]]/TblConstr[[#This Row],[Land]]</f>
        <v>0</v>
      </c>
      <c r="BH59" s="150" t="n">
        <f aca="false">TblConstr[[#This Row],[Tot Hav]]/TblConstr[[#This Row],[Land]]</f>
        <v>0</v>
      </c>
      <c r="BI59" s="69" t="n">
        <f aca="false">ROUNDUP((1-MIN(TblMili[[#This Row],[Smithies]]*smithy_bonus,smithy_bonus_cap) + tech_3_5*TblTech[[#This Row],[3-5]] + tech_5_3*TblTech[[#This Row],[5-3]] + tech_5_5*TblTech[[#This Row],[5-5]])*spec_op_plat,0)</f>
        <v>238</v>
      </c>
      <c r="BJ59" s="69" t="n">
        <f aca="false">ROUNDUP(IF(race="Gnome",1,(1-MIN(TblMili[[#This Row],[Smithies]]*smithy_bonus,smithy_bonus_cap) + tech_3_5*TblTech[[#This Row],[3-5]] + tech_5_3*TblTech[[#This Row],[5-3]] + tech_5_5*TblTech[[#This Row],[5-5]]))*spec_op_ore,0)</f>
        <v>0</v>
      </c>
      <c r="BK59" s="69" t="n">
        <f aca="false">ROUNDUP((1-MIN(TblMili[[#This Row],[Smithies]]*smithy_bonus,smithy_bonus_cap) + tech_3_5*TblTech[[#This Row],[3-5]] + tech_5_3*TblTech[[#This Row],[5-3]] + tech_5_5*TblTech[[#This Row],[5-5]])*spec_dp_plat,0)</f>
        <v>238</v>
      </c>
      <c r="BL59" s="69" t="n">
        <f aca="false">ROUNDUP(IF(race="Gnome",1,(1-MIN(TblMili[[#This Row],[Smithies]]*smithy_bonus,smithy_bonus_cap) + tech_3_5*TblTech[[#This Row],[3-5]] + tech_5_3*TblTech[[#This Row],[5-3]] + tech_5_5*TblTech[[#This Row],[5-5]]))*spec_dp_ore,0)</f>
        <v>0</v>
      </c>
      <c r="BM59" s="69" t="n">
        <f aca="false">ROUNDUP((1-MIN(TblMili[[#This Row],[Smithies]]*smithy_bonus,smithy_bonus_cap) + tech_3_5*TblTech[[#This Row],[3-5]] + tech_5_3*TblTech[[#This Row],[5-3]] + tech_5_5*TblTech[[#This Row],[5-5]])*elite1_plat,0)</f>
        <v>733</v>
      </c>
      <c r="BN59" s="69" t="n">
        <f aca="false">ROUNDUP(IF(race="Gnome",1,(1-MIN(TblMili[[#This Row],[Smithies]]*smithy_bonus,smithy_bonus_cap) + tech_3_5*TblTech[[#This Row],[3-5]] + tech_5_3*TblTech[[#This Row],[5-3]] + tech_5_5*TblTech[[#This Row],[5-5]]))*elite1_ore,0)</f>
        <v>0</v>
      </c>
      <c r="BO59" s="69" t="n">
        <f aca="false">ROUNDUP((1-MIN(TblMili[[#This Row],[Smithies]]*smithy_bonus,smithy_bonus_cap) + tech_3_5*TblTech[[#This Row],[3-5]] + tech_5_3*TblTech[[#This Row],[5-3]] + tech_5_5*TblTech[[#This Row],[5-5]])*elite2_plat,0)</f>
        <v>752</v>
      </c>
      <c r="BP59" s="69" t="n">
        <f aca="false">ROUNDUP(IF(race="Gnome",1,(1-MIN(TblMili[[#This Row],[Smithies]]*smithy_bonus,smithy_bonus_cap) + tech_3_5*TblTech[[#This Row],[3-5]] + tech_5_3*TblTech[[#This Row],[5-3]] + tech_5_5*TblTech[[#This Row],[5-5]]))*elite2_ore,0)</f>
        <v>0</v>
      </c>
      <c r="BQ59" s="69" t="n">
        <f aca="false">ROUNDUP((1-MIN(ROUND(fh_spy_cost_red*TblMili[[#This Row],[FH''s]],4),fh_spy_cost_cap)+ tech_1_9*TblTech[[#This Row],[1-9]] + tech_9_1*TblTech[[#This Row],[9-1]])*spy_plat,0)</f>
        <v>500</v>
      </c>
      <c r="BR59" s="69" t="n">
        <f aca="false">ROUNDUP((1-MIN(ROUND(fh_spy_cost_red*TblMili[[#This Row],[FH''s]],4),fh_spy_cost_cap)+ tech_1_9*TblTech[[#This Row],[1-9]] + tech_9_1*TblTech[[#This Row],[9-1]])*archspy_plat,0)</f>
        <v>1000</v>
      </c>
      <c r="BS59" s="69" t="n">
        <f aca="false">ROUNDUP((1-MIN(ROUND(wg_wiz_cost_bonus*TblMili[[#This Row],[WG''s]],4),wg_wiz_cost_cap) + tech_1_9_2*TblTech[[#This Row],[1-9]] + tech_9_1_2*TblTech[[#This Row],[9-1]])*wizard_plat,0)</f>
        <v>500</v>
      </c>
      <c r="BT59" s="69" t="n">
        <f aca="false">ROUNDUP((1-MIN(ROUND(wg_wiz_cost_bonus*TblMili[[#This Row],[WG''s]],4),wg_wiz_cost_cap) + tech_1_9_2*TblTech[[#This Row],[1-9]] + tech_9_1_2*TblTech[[#This Row],[9-1]])*archmage_plat,0)</f>
        <v>1000</v>
      </c>
      <c r="BU59" s="132"/>
      <c r="BV59" s="150" t="e">
        <f aca="false">TblConstr[[#This Row],[Homeland]]/TblConstr[[#This Row],[Land]]</f>
        <v>#VALUE!</v>
      </c>
      <c r="BW59" s="150" t="n">
        <f aca="false">TblMili[[#This Row],[WG''s]]</f>
        <v>0</v>
      </c>
      <c r="BX59" s="288" t="e">
        <f aca="false">IF(mystic_cap="none",TblMili[[#This Row],[Hill]]/mystic_bonus,MIN(mystic_cap,TblMili[[#This Row],[Hill]]/mystic_bonus))</f>
        <v>#VALUE!</v>
      </c>
      <c r="BY59" s="288" t="e">
        <f aca="false">IF(druid_op_cap="none",TblMili[[#This Row],[Hill]]/druid_op_bonus,MIN(druid_op_cap,TblMili[[#This Row],[Hill]]/druid_op_bonus))</f>
        <v>#VALUE!</v>
      </c>
      <c r="BZ59" s="288" t="e">
        <f aca="false">IF(druid_dp_cap="none",TblMili[[#This Row],[Hill]]/druid_dp_bonus,MIN(druid_dp_cap,TblMili[[#This Row],[Hill]]/druid_dp_bonus))</f>
        <v>#VALUE!</v>
      </c>
      <c r="CA59" s="288" t="e">
        <f aca="false">MIN(dryad_cap,TblMili[[#This Row],[Hill]]/dryad_bonus)</f>
        <v>#VALUE!</v>
      </c>
      <c r="CB59" s="288" t="e">
        <f aca="false">MIN(rocka_cap,TblMili[[#This Row],[Hill]]/rocka_bonus)</f>
        <v>#VALUE!</v>
      </c>
      <c r="CC59" s="288" t="n">
        <f aca="false">MIN(adept_op_cap,TblMili[[#This Row],[WG]]/adept_op_bonus)</f>
        <v>0</v>
      </c>
      <c r="CD59" s="288" t="n">
        <f aca="false">MIN(adept_dp_cap,TblMili[[#This Row],[WG]]/adept_dp_bonus)</f>
        <v>0</v>
      </c>
      <c r="CE59" s="69" t="n">
        <f aca="false">MIN(TblMili[[#This Row],[Unit 3]],TblMili[[#This Row],[Unit 2]])*2</f>
        <v>0</v>
      </c>
      <c r="CF59" s="69" t="n">
        <f aca="false">MIN(TblMili[[#This Row],[Unit 1]],TblMili[[#This Row],[Unit 4]])*2</f>
        <v>0</v>
      </c>
      <c r="CG59" s="288" t="e">
        <f aca="false">MIN(frost_mage_cap,TblMili[[#This Row],[Hill]]/frost_mage_bonus)</f>
        <v>#VALUE!</v>
      </c>
      <c r="CH59" s="151" t="n">
        <f aca="false">MIN(ice_elem_cap,TblMili[[#This Row],[Raw (2)]]*ice_elem_bonus)</f>
        <v>0</v>
      </c>
      <c r="CI59" s="288" t="n">
        <f aca="false">MIN(bone_breaker_cap,250/bone_breaker_bonus)</f>
        <v>0.833333333333333</v>
      </c>
      <c r="CJ59" s="288" t="e">
        <f aca="false">MIN(nox_nightshade_cap,TblConstr[[#This Row],[Homeland]]/TblConstr[[#This Row],[Land]]/nox_nightshade_swamp_bonus)</f>
        <v>#VALUE!</v>
      </c>
      <c r="CK59" s="289"/>
      <c r="CL59" s="289"/>
      <c r="CM59" s="289"/>
      <c r="CN59" s="288" t="e">
        <f aca="false">MIN(6,TblMili[[#This Row],[Mystic]]+Races!$F$19)*1.8 +  IF(TblMili[[#This Row],[Mystic]]+Races!$F$19&gt;6,(TblMili[[#This Row],[Mystic]]+Races!$F$19-6)*0.2,0) - Races!$I$19</f>
        <v>#VALUE!</v>
      </c>
      <c r="CO59" s="288" t="e">
        <f aca="false">1.8 * MIN(MAX(TblMili[[#This Row],[Druid (op)]]+Races!$E$20,TblMili[[#This Row],[Druid (dp)]]+Races!$F$20),6)  +  0.45 * MIN(MIN(TblMili[[#This Row],[Druid (op)]]+Races!$E$20,TblMili[[#This Row],[Druid (dp)]]+Races!$F$20),6)  +  0.2 * ( MAX(TblMili[[#This Row],[Druid (op)]]+Races!$E$20-6,0) + MAX(TblMili[[#This Row],[Druid (dp)]]+Races!$F$20-6,0) )  -  Races!$I$20</f>
        <v>#VALUE!</v>
      </c>
      <c r="CP59" s="69" t="e">
        <f aca="false">TblMili[[#This Row],[Mystic bonus]]*TblMili[[#This Row],[Unit 3]]+TblMili[[#This Row],[Druid bonus]]*TblMili[[#This Row],[Unit 4]]</f>
        <v>#VALUE!</v>
      </c>
      <c r="CQ59" s="148" t="e">
        <f aca="false">MIN(6,TblMili[[#This Row],[Dryad]]+Races!$F$35)*1.8 +  IF(TblMili[[#This Row],[Dryad]]+Races!$F$35&gt;6,(TblMili[[#This Row],[Dryad]]+Races!$F$35-6)*0.2,0) - Races!$I$19</f>
        <v>#VALUE!</v>
      </c>
      <c r="CR59" s="69" t="e">
        <f aca="false">sylvan*(TblMili[[#This Row],[Mystic bonus]]*TblMili[[#This Row],[Unit 3]])</f>
        <v>#VALUE!</v>
      </c>
      <c r="CS59" s="148" t="e">
        <f aca="false">1.8 * MIN(MAX(Races!$E$27,TblMili[[#This Row],[Rockapult]]+Races!$F$27),6)  +  0.45 * MIN(MIN(Races!$E$27,TblMili[[#This Row],[Rockapult]]+Races!$F$27),6)  +  0.2 * ( MAX(Races!$E$27-6,0) + MAX(TblMili[[#This Row],[Rockapult]]+Races!$F$27-6,0) )  -  Races!$I$20</f>
        <v>#VALUE!</v>
      </c>
      <c r="CT59" s="69" t="e">
        <f aca="false">gnome*(TblMili[[#This Row],[Rockapult bonus]]*TblMili[[#This Row],[Unit 3]])</f>
        <v>#VALUE!</v>
      </c>
      <c r="CU59" s="148" t="n">
        <f aca="false">1.8 * MIN(MAX(TblMili[[#This Row],[Spellblade]]+Races!$E$47,TblMili[[#This Row],[Adept-DP]]+Races!$F$47),6)  +  0.45 * MIN(MIN(TblMili[[#This Row],[Spellblade]]+Races!$E$47,TblMili[[#This Row],[Adept-DP]]+Races!$F$47),6)  +  0.2 * ( MAX(TblMili[[#This Row],[Spellblade]]+Races!$E$47-6,0) + MAX(TblMili[[#This Row],[Adept-DP]]+Races!$F$47-6,0) )  -  Races!$I$47</f>
        <v>0</v>
      </c>
      <c r="CV59" s="69" t="n">
        <f aca="false">dark_elf*(TblMili[[#This Row],[Adept bonus]]*TblMili[[#This Row],[Unit 3]])</f>
        <v>0</v>
      </c>
      <c r="CW59" s="148" t="e">
        <f aca="false">1.8 * MIN(MAX(TblMili[[#This Row],[Frost Mage]]+Races!$F$71,Races!$E$71),6)  +  0.45 * MIN(MIN(TblMili[[#This Row],[Frost Mage]]+Races!$F$71,Races!$E$71),6)  +  0.2 * ( MAX(TblMili[[#This Row],[Frost Mage]]+Races!$F$71-6,0) + MAX(Races!$E$71-6,0) )  -  Races!$I$71</f>
        <v>#VALUE!</v>
      </c>
      <c r="CX59" s="148" t="n">
        <f aca="false">1.8 * MIN(MAX(TblMili[[#This Row],[Ice Elemental]]+Races!$E$71,Races!$F$71),6)  +  0.45 * MIN(MIN(TblMili[[#This Row],[Ice Elemental]]+Races!$E$71,Races!$F$71),6)  +  0.2 * ( MAX(TblMili[[#This Row],[Ice Elemental]]+Races!$E$71-6,0) + MAX(Races!$F$71-6,0) )  -  Races!$I$71</f>
        <v>0</v>
      </c>
      <c r="CY59" s="69" t="e">
        <f aca="false">TblMili[[#This Row],[Frost Mage bonus]]*TblMili[[#This Row],[Unit 3]]+TblMili[[#This Row],[Ice Elemental bonus]]*TblMili[[#This Row],[Unit 4]]</f>
        <v>#VALUE!</v>
      </c>
      <c r="CZ59" s="290"/>
      <c r="DA59" s="109" t="n">
        <f aca="false">MIN(SUM(TblConstr[[#This Row],[Plain]:[Water]])/TblMili[[#This Row],[Land]]/favorable_terrain_bonus/100,favorable_terrain_max)</f>
        <v>0</v>
      </c>
      <c r="DB59" s="290"/>
      <c r="DC5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9" s="132"/>
      <c r="DE59" s="291" t="n">
        <f aca="false">(TblMili[[#This Row],[Wizards]]+2*TblMili[[#This Row],[Archmages]])/TblConstr[[#This Row],[Land]]</f>
        <v>0</v>
      </c>
      <c r="DF59" s="291" t="n">
        <f aca="false">TblMili[[#This Row],[Raw (2)]]*(1+race_wizard_strength+IF(TblMili[[#This Row],[Hour]]&gt;72,tech_magical_weaponry_wiz*TblTech[[#This Row],[3-5]],0))</f>
        <v>0</v>
      </c>
    </row>
    <row r="60" customFormat="false" ht="12.75" hidden="false" customHeight="false" outlineLevel="0" collapsed="false">
      <c r="A60" s="128" t="n">
        <f aca="false">TblRezone[[#This Row],[Hour]]</f>
        <v>57</v>
      </c>
      <c r="B60" s="282" t="n">
        <f aca="false">SUM(TblMili[[#This Row],[Unit 1]:[Archmages]])+SUM(OFFSET(TblMili[[#This Row],[Train Unit 1]],-8,0):TblMili[[#This Row],[Train Unit 2]]) + SUM(OFFSET(TblMili[[#This Row],[Train Unit 3]],-11,0):TblMili[[#This Row],[Train AM]]) + TblMili[[#This Row],[Draftees]]</f>
        <v>1312</v>
      </c>
      <c r="C60" s="150" t="n">
        <f aca="false">TblPop[[#This Row],[Military%]]</f>
        <v>0.116095920714981</v>
      </c>
      <c r="D60" s="132"/>
      <c r="E60" s="151" t="n">
        <f aca="false">OFFSET(TblMili[[#This Row],[Unit 1]],-1,0) + OFFSET(TblMili[[#This Row],[Train Unit 1]],-9,0) - TblMili[[#This Row],[Release Unit 1]]</f>
        <v>0</v>
      </c>
      <c r="F60" s="151" t="n">
        <f aca="false">OFFSET(TblMili[[#This Row],[Unit 2]],-1,0) + OFFSET(TblMili[[#This Row],[Train Unit 2]],-9,0)-TblMili[[#This Row],[Release Unit 2]]</f>
        <v>0</v>
      </c>
      <c r="G60" s="151" t="n">
        <f aca="false">OFFSET(TblMili[[#This Row],[Unit 3]],-1,0) + OFFSET(TblMili[[#This Row],[Train Unit 3]],-12,0)-TblMili[[#This Row],[Release Unit 3]]</f>
        <v>0</v>
      </c>
      <c r="H60" s="151" t="n">
        <f aca="false">OFFSET(TblMili[[#This Row],[Unit 4]],-1,0) + OFFSET(TblMili[[#This Row],[Train Unit 4]],-12,0)-TblMili[[#This Row],[Release Unit 4]]</f>
        <v>0</v>
      </c>
      <c r="I60" s="151" t="n">
        <f aca="false">OFFSET(TblMili[[#This Row],[Spies]],-1,0) + OFFSET(TblMili[[#This Row],[Train Spies]],-12,0) - TblMili[[#This Row],[Release Spies]]-TblMili[[#This Row],[Train AS]]</f>
        <v>0</v>
      </c>
      <c r="J60" s="151" t="n">
        <f aca="false">OFFSET(TblMili[[#This Row],[Archspies]],-1,0) + OFFSET(TblMili[[#This Row],[Train AS]],-12,0) - TblMili[[#This Row],[Release AS]]</f>
        <v>0</v>
      </c>
      <c r="K60" s="151" t="n">
        <f aca="false">OFFSET(TblMili[[#This Row],[Wizards]],-1,0) + OFFSET(TblMili[[#This Row],[Train Wiz]],-12,0) - TblMili[[#This Row],[Release Wizards]]-TblMili[[#This Row],[Train AM]]</f>
        <v>0</v>
      </c>
      <c r="L60" s="151" t="n">
        <f aca="false">OFFSET(TblMili[[#This Row],[Archmages]],-1,0) + OFFSET(TblMili[[#This Row],[Train AM]],-12,0) - TblMili[[#This Row],[Release AM]]</f>
        <v>0</v>
      </c>
      <c r="M60" s="132"/>
      <c r="N60" s="69" t="e">
        <f aca="false">TblProd[[#This Row],[Networth]]</f>
        <v>#VALUE!</v>
      </c>
      <c r="O60" s="132"/>
      <c r="P6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0" s="285" t="e">
        <f aca="false">TblMili[[#This Row],[Raw]]*(1+TblMili[[#This Row],[Mods_Off]])</f>
        <v>#VALUE!</v>
      </c>
      <c r="S6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0" s="285" t="e">
        <f aca="false">TblMili[[#This Row],[Non Draft]]+TblMili[[#This Row],[Draftees]]</f>
        <v>#VALUE!</v>
      </c>
      <c r="U60" s="286" t="n">
        <f aca="false">race_defense + TblImps[[#This Row],[Walls]] + ROUND( MIN(gt_bonus*TblConstr[[#This Row],[Tot GT]]/TblConstr[[#This Row],[Land]],gt_bonus_cap), 4) + IF(TblMagic[[#This Row],[Active Howling]]&gt;0,howling_dp_bonus,IF(TblMagic[[#This Row],[Active Ares Call]]&gt;0,ares_call_bonus))</f>
        <v>0</v>
      </c>
      <c r="V60" s="274" t="e">
        <f aca="false">TblMili[[#This Row],[Non Draft]] * (1 + TblMili[[#This Row],[Mods_Def]])</f>
        <v>#VALUE!</v>
      </c>
      <c r="W60" s="285" t="e">
        <f aca="false">TblMili[[#This Row],[Draft]] * (1 + TblMili[[#This Row],[Mods_Def]])</f>
        <v>#VALUE!</v>
      </c>
      <c r="X60" s="285" t="n">
        <f aca="false">TblConstr[[#This Row],[Land]]</f>
        <v>700</v>
      </c>
      <c r="Y60" s="287"/>
      <c r="Z60" s="109" t="n">
        <f aca="false">IF(TblMili[[#This Row],[Set]]&lt;&gt;"",TblMili[[#This Row],[Set]],OFFSET(TblMili[[#This Row],[Draftrate]],-1,0))</f>
        <v>0.9</v>
      </c>
      <c r="AA60" s="69" t="n">
        <f aca="false">OFFSET(TblMili[[#This Row],[Draftees]],-1,0)+OFFSET(TblPop[[#This Row],[Draft Growth]],-1,0) - SUM(TblMili[[#This Row],[Train Unit 1]:[Train Spies]],TblMili[[#This Row],[Train Wiz]]) - TblMili[[#This Row],[Release Draft]] + SUM(TblMili[[#This Row],[Release Unit 1]:[Release AM]]) - TblExplore[[#This Row],[Draftees (2)]]</f>
        <v>1312</v>
      </c>
      <c r="AB60" s="146"/>
      <c r="AC60" s="130" t="n">
        <f aca="false">(TblConstr[[#This Row],[Tot Smi]]+TblConstr[[#This Row],[Dest Smi]])/(TblConstr[[#This Row],[Land]]-TblExplore[[#This Row],[Land Bonus]]*20)</f>
        <v>0.117142857142857</v>
      </c>
      <c r="AD60" s="128"/>
      <c r="AE60" s="282" t="n">
        <f aca="false">TblMili[[#This Row],[Hour]]</f>
        <v>57</v>
      </c>
      <c r="AF60" s="129" t="n">
        <f aca="false">TblExplore[[#This Row],[Time]]</f>
        <v>45432.0833333333</v>
      </c>
      <c r="AG60" s="182"/>
      <c r="AH60" s="182"/>
      <c r="AI60" s="182"/>
      <c r="AJ60" s="182"/>
      <c r="AK60" s="182"/>
      <c r="AL60" s="182"/>
      <c r="AM60" s="182"/>
      <c r="AN60" s="182"/>
      <c r="AO60" s="132"/>
      <c r="AP60" s="69" t="n">
        <f aca="false">TblProd[[#This Row],[Platinum]]</f>
        <v>602753</v>
      </c>
      <c r="AQ60" s="69" t="n">
        <f aca="false">INDEX(TblProd[[#Headers],[Lumber]]:TblProd[[#This Row],[Ore]],COUNTA(TblProd[[#Headers],[Lumber]]:TblProd[[#This Row],[Lumber]]),MATCH(Military!$AQ$2,TblProd[[#Headers],[Lumber]:[Ore]],0))</f>
        <v>0</v>
      </c>
      <c r="AR6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69" t="n">
        <f aca="false">TblMili[[#This Row],[Train Unit 1]]*TblMili[[#This Row],[OP Ore]]+TblMili[[#This Row],[Train Unit 2]]*TblMili[[#This Row],[DP Ore]]+TblMili[[#This Row],[Train Unit 3]]*TblMili[[#This Row],[E1 Ore]]+TblMili[[#This Row],[Train Unit 4]]*TblMili[[#This Row],[E2 Ore]]</f>
        <v>0</v>
      </c>
      <c r="AT60" s="132" t="n">
        <f aca="false">TblMili[[#This Row],[Hour]]</f>
        <v>57</v>
      </c>
      <c r="AU60" s="144" t="n">
        <f aca="false">TblMili[[#This Row],[Time]]</f>
        <v>45432.0833333333</v>
      </c>
      <c r="AV60" s="69" t="n">
        <f aca="false">TblMili[[#This Row],[Draftees]]</f>
        <v>1312</v>
      </c>
      <c r="AW60" s="182"/>
      <c r="AX60" s="182"/>
      <c r="AY60" s="182"/>
      <c r="AZ60" s="182"/>
      <c r="BA60" s="182"/>
      <c r="BB60" s="182"/>
      <c r="BC60" s="182"/>
      <c r="BD60" s="182"/>
      <c r="BE60" s="182"/>
      <c r="BF60" s="132"/>
      <c r="BG60" s="150" t="n">
        <f aca="false">TblConstr[[#This Row],[Tot WG]]/TblConstr[[#This Row],[Land]]</f>
        <v>0</v>
      </c>
      <c r="BH60" s="150" t="n">
        <f aca="false">TblConstr[[#This Row],[Tot Hav]]/TblConstr[[#This Row],[Land]]</f>
        <v>0</v>
      </c>
      <c r="BI60" s="69" t="n">
        <f aca="false">ROUNDUP((1-MIN(TblMili[[#This Row],[Smithies]]*smithy_bonus,smithy_bonus_cap) + tech_3_5*TblTech[[#This Row],[3-5]] + tech_5_3*TblTech[[#This Row],[5-3]] + tech_5_5*TblTech[[#This Row],[5-5]])*spec_op_plat,0)</f>
        <v>230</v>
      </c>
      <c r="BJ60" s="69" t="n">
        <f aca="false">ROUNDUP(IF(race="Gnome",1,(1-MIN(TblMili[[#This Row],[Smithies]]*smithy_bonus,smithy_bonus_cap) + tech_3_5*TblTech[[#This Row],[3-5]] + tech_5_3*TblTech[[#This Row],[5-3]] + tech_5_5*TblTech[[#This Row],[5-5]]))*spec_op_ore,0)</f>
        <v>0</v>
      </c>
      <c r="BK60" s="69" t="n">
        <f aca="false">ROUNDUP((1-MIN(TblMili[[#This Row],[Smithies]]*smithy_bonus,smithy_bonus_cap) + tech_3_5*TblTech[[#This Row],[3-5]] + tech_5_3*TblTech[[#This Row],[5-3]] + tech_5_5*TblTech[[#This Row],[5-5]])*spec_dp_plat,0)</f>
        <v>230</v>
      </c>
      <c r="BL60" s="69" t="n">
        <f aca="false">ROUNDUP(IF(race="Gnome",1,(1-MIN(TblMili[[#This Row],[Smithies]]*smithy_bonus,smithy_bonus_cap) + tech_3_5*TblTech[[#This Row],[3-5]] + tech_5_3*TblTech[[#This Row],[5-3]] + tech_5_5*TblTech[[#This Row],[5-5]]))*spec_dp_ore,0)</f>
        <v>0</v>
      </c>
      <c r="BM60" s="69" t="n">
        <f aca="false">ROUNDUP((1-MIN(TblMili[[#This Row],[Smithies]]*smithy_bonus,smithy_bonus_cap) + tech_3_5*TblTech[[#This Row],[3-5]] + tech_5_3*TblTech[[#This Row],[5-3]] + tech_5_5*TblTech[[#This Row],[5-5]])*elite1_plat,0)</f>
        <v>709</v>
      </c>
      <c r="BN60" s="69" t="n">
        <f aca="false">ROUNDUP(IF(race="Gnome",1,(1-MIN(TblMili[[#This Row],[Smithies]]*smithy_bonus,smithy_bonus_cap) + tech_3_5*TblTech[[#This Row],[3-5]] + tech_5_3*TblTech[[#This Row],[5-3]] + tech_5_5*TblTech[[#This Row],[5-5]]))*elite1_ore,0)</f>
        <v>0</v>
      </c>
      <c r="BO60" s="69" t="n">
        <f aca="false">ROUNDUP((1-MIN(TblMili[[#This Row],[Smithies]]*smithy_bonus,smithy_bonus_cap) + tech_3_5*TblTech[[#This Row],[3-5]] + tech_5_3*TblTech[[#This Row],[5-3]] + tech_5_5*TblTech[[#This Row],[5-5]])*elite2_plat,0)</f>
        <v>728</v>
      </c>
      <c r="BP60" s="69" t="n">
        <f aca="false">ROUNDUP(IF(race="Gnome",1,(1-MIN(TblMili[[#This Row],[Smithies]]*smithy_bonus,smithy_bonus_cap) + tech_3_5*TblTech[[#This Row],[3-5]] + tech_5_3*TblTech[[#This Row],[5-3]] + tech_5_5*TblTech[[#This Row],[5-5]]))*elite2_ore,0)</f>
        <v>0</v>
      </c>
      <c r="BQ60" s="69" t="n">
        <f aca="false">ROUNDUP((1-MIN(ROUND(fh_spy_cost_red*TblMili[[#This Row],[FH''s]],4),fh_spy_cost_cap)+ tech_1_9*TblTech[[#This Row],[1-9]] + tech_9_1*TblTech[[#This Row],[9-1]])*spy_plat,0)</f>
        <v>500</v>
      </c>
      <c r="BR60" s="69" t="n">
        <f aca="false">ROUNDUP((1-MIN(ROUND(fh_spy_cost_red*TblMili[[#This Row],[FH''s]],4),fh_spy_cost_cap)+ tech_1_9*TblTech[[#This Row],[1-9]] + tech_9_1*TblTech[[#This Row],[9-1]])*archspy_plat,0)</f>
        <v>1000</v>
      </c>
      <c r="BS60" s="69" t="n">
        <f aca="false">ROUNDUP((1-MIN(ROUND(wg_wiz_cost_bonus*TblMili[[#This Row],[WG''s]],4),wg_wiz_cost_cap) + tech_1_9_2*TblTech[[#This Row],[1-9]] + tech_9_1_2*TblTech[[#This Row],[9-1]])*wizard_plat,0)</f>
        <v>500</v>
      </c>
      <c r="BT60" s="69" t="n">
        <f aca="false">ROUNDUP((1-MIN(ROUND(wg_wiz_cost_bonus*TblMili[[#This Row],[WG''s]],4),wg_wiz_cost_cap) + tech_1_9_2*TblTech[[#This Row],[1-9]] + tech_9_1_2*TblTech[[#This Row],[9-1]])*archmage_plat,0)</f>
        <v>1000</v>
      </c>
      <c r="BU60" s="132"/>
      <c r="BV60" s="150" t="e">
        <f aca="false">TblConstr[[#This Row],[Homeland]]/TblConstr[[#This Row],[Land]]</f>
        <v>#VALUE!</v>
      </c>
      <c r="BW60" s="150" t="n">
        <f aca="false">TblMili[[#This Row],[WG''s]]</f>
        <v>0</v>
      </c>
      <c r="BX60" s="288" t="e">
        <f aca="false">IF(mystic_cap="none",TblMili[[#This Row],[Hill]]/mystic_bonus,MIN(mystic_cap,TblMili[[#This Row],[Hill]]/mystic_bonus))</f>
        <v>#VALUE!</v>
      </c>
      <c r="BY60" s="288" t="e">
        <f aca="false">IF(druid_op_cap="none",TblMili[[#This Row],[Hill]]/druid_op_bonus,MIN(druid_op_cap,TblMili[[#This Row],[Hill]]/druid_op_bonus))</f>
        <v>#VALUE!</v>
      </c>
      <c r="BZ60" s="288" t="e">
        <f aca="false">IF(druid_dp_cap="none",TblMili[[#This Row],[Hill]]/druid_dp_bonus,MIN(druid_dp_cap,TblMili[[#This Row],[Hill]]/druid_dp_bonus))</f>
        <v>#VALUE!</v>
      </c>
      <c r="CA60" s="288" t="e">
        <f aca="false">MIN(dryad_cap,TblMili[[#This Row],[Hill]]/dryad_bonus)</f>
        <v>#VALUE!</v>
      </c>
      <c r="CB60" s="288" t="e">
        <f aca="false">MIN(rocka_cap,TblMili[[#This Row],[Hill]]/rocka_bonus)</f>
        <v>#VALUE!</v>
      </c>
      <c r="CC60" s="288" t="n">
        <f aca="false">MIN(adept_op_cap,TblMili[[#This Row],[WG]]/adept_op_bonus)</f>
        <v>0</v>
      </c>
      <c r="CD60" s="288" t="n">
        <f aca="false">MIN(adept_dp_cap,TblMili[[#This Row],[WG]]/adept_dp_bonus)</f>
        <v>0</v>
      </c>
      <c r="CE60" s="69" t="n">
        <f aca="false">MIN(TblMili[[#This Row],[Unit 3]],TblMili[[#This Row],[Unit 2]])*2</f>
        <v>0</v>
      </c>
      <c r="CF60" s="69" t="n">
        <f aca="false">MIN(TblMili[[#This Row],[Unit 1]],TblMili[[#This Row],[Unit 4]])*2</f>
        <v>0</v>
      </c>
      <c r="CG60" s="288" t="e">
        <f aca="false">MIN(frost_mage_cap,TblMili[[#This Row],[Hill]]/frost_mage_bonus)</f>
        <v>#VALUE!</v>
      </c>
      <c r="CH60" s="151" t="n">
        <f aca="false">MIN(ice_elem_cap,TblMili[[#This Row],[Raw (2)]]*ice_elem_bonus)</f>
        <v>0</v>
      </c>
      <c r="CI60" s="288" t="n">
        <f aca="false">MIN(bone_breaker_cap,250/bone_breaker_bonus)</f>
        <v>0.833333333333333</v>
      </c>
      <c r="CJ60" s="288" t="e">
        <f aca="false">MIN(nox_nightshade_cap,TblConstr[[#This Row],[Homeland]]/TblConstr[[#This Row],[Land]]/nox_nightshade_swamp_bonus)</f>
        <v>#VALUE!</v>
      </c>
      <c r="CK60" s="289"/>
      <c r="CL60" s="289"/>
      <c r="CM60" s="289"/>
      <c r="CN60" s="288" t="e">
        <f aca="false">MIN(6,TblMili[[#This Row],[Mystic]]+Races!$F$19)*1.8 +  IF(TblMili[[#This Row],[Mystic]]+Races!$F$19&gt;6,(TblMili[[#This Row],[Mystic]]+Races!$F$19-6)*0.2,0) - Races!$I$19</f>
        <v>#VALUE!</v>
      </c>
      <c r="CO60" s="288" t="e">
        <f aca="false">1.8 * MIN(MAX(TblMili[[#This Row],[Druid (op)]]+Races!$E$20,TblMili[[#This Row],[Druid (dp)]]+Races!$F$20),6)  +  0.45 * MIN(MIN(TblMili[[#This Row],[Druid (op)]]+Races!$E$20,TblMili[[#This Row],[Druid (dp)]]+Races!$F$20),6)  +  0.2 * ( MAX(TblMili[[#This Row],[Druid (op)]]+Races!$E$20-6,0) + MAX(TblMili[[#This Row],[Druid (dp)]]+Races!$F$20-6,0) )  -  Races!$I$20</f>
        <v>#VALUE!</v>
      </c>
      <c r="CP60" s="69" t="e">
        <f aca="false">TblMili[[#This Row],[Mystic bonus]]*TblMili[[#This Row],[Unit 3]]+TblMili[[#This Row],[Druid bonus]]*TblMili[[#This Row],[Unit 4]]</f>
        <v>#VALUE!</v>
      </c>
      <c r="CQ60" s="148" t="e">
        <f aca="false">MIN(6,TblMili[[#This Row],[Dryad]]+Races!$F$35)*1.8 +  IF(TblMili[[#This Row],[Dryad]]+Races!$F$35&gt;6,(TblMili[[#This Row],[Dryad]]+Races!$F$35-6)*0.2,0) - Races!$I$19</f>
        <v>#VALUE!</v>
      </c>
      <c r="CR60" s="69" t="e">
        <f aca="false">sylvan*(TblMili[[#This Row],[Mystic bonus]]*TblMili[[#This Row],[Unit 3]])</f>
        <v>#VALUE!</v>
      </c>
      <c r="CS60" s="148" t="e">
        <f aca="false">1.8 * MIN(MAX(Races!$E$27,TblMili[[#This Row],[Rockapult]]+Races!$F$27),6)  +  0.45 * MIN(MIN(Races!$E$27,TblMili[[#This Row],[Rockapult]]+Races!$F$27),6)  +  0.2 * ( MAX(Races!$E$27-6,0) + MAX(TblMili[[#This Row],[Rockapult]]+Races!$F$27-6,0) )  -  Races!$I$20</f>
        <v>#VALUE!</v>
      </c>
      <c r="CT60" s="69" t="e">
        <f aca="false">gnome*(TblMili[[#This Row],[Rockapult bonus]]*TblMili[[#This Row],[Unit 3]])</f>
        <v>#VALUE!</v>
      </c>
      <c r="CU60" s="148" t="n">
        <f aca="false">1.8 * MIN(MAX(TblMili[[#This Row],[Spellblade]]+Races!$E$47,TblMili[[#This Row],[Adept-DP]]+Races!$F$47),6)  +  0.45 * MIN(MIN(TblMili[[#This Row],[Spellblade]]+Races!$E$47,TblMili[[#This Row],[Adept-DP]]+Races!$F$47),6)  +  0.2 * ( MAX(TblMili[[#This Row],[Spellblade]]+Races!$E$47-6,0) + MAX(TblMili[[#This Row],[Adept-DP]]+Races!$F$47-6,0) )  -  Races!$I$47</f>
        <v>0</v>
      </c>
      <c r="CV60" s="69" t="n">
        <f aca="false">dark_elf*(TblMili[[#This Row],[Adept bonus]]*TblMili[[#This Row],[Unit 3]])</f>
        <v>0</v>
      </c>
      <c r="CW60" s="148" t="e">
        <f aca="false">1.8 * MIN(MAX(TblMili[[#This Row],[Frost Mage]]+Races!$F$71,Races!$E$71),6)  +  0.45 * MIN(MIN(TblMili[[#This Row],[Frost Mage]]+Races!$F$71,Races!$E$71),6)  +  0.2 * ( MAX(TblMili[[#This Row],[Frost Mage]]+Races!$F$71-6,0) + MAX(Races!$E$71-6,0) )  -  Races!$I$71</f>
        <v>#VALUE!</v>
      </c>
      <c r="CX60" s="148" t="n">
        <f aca="false">1.8 * MIN(MAX(TblMili[[#This Row],[Ice Elemental]]+Races!$E$71,Races!$F$71),6)  +  0.45 * MIN(MIN(TblMili[[#This Row],[Ice Elemental]]+Races!$E$71,Races!$F$71),6)  +  0.2 * ( MAX(TblMili[[#This Row],[Ice Elemental]]+Races!$E$71-6,0) + MAX(Races!$F$71-6,0) )  -  Races!$I$71</f>
        <v>0</v>
      </c>
      <c r="CY60" s="69" t="e">
        <f aca="false">TblMili[[#This Row],[Frost Mage bonus]]*TblMili[[#This Row],[Unit 3]]+TblMili[[#This Row],[Ice Elemental bonus]]*TblMili[[#This Row],[Unit 4]]</f>
        <v>#VALUE!</v>
      </c>
      <c r="CZ60" s="290"/>
      <c r="DA60" s="109" t="n">
        <f aca="false">MIN(SUM(TblConstr[[#This Row],[Plain]:[Water]])/TblMili[[#This Row],[Land]]/favorable_terrain_bonus/100,favorable_terrain_max)</f>
        <v>0</v>
      </c>
      <c r="DB60" s="290"/>
      <c r="DC6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0" s="132"/>
      <c r="DE60" s="291" t="n">
        <f aca="false">(TblMili[[#This Row],[Wizards]]+2*TblMili[[#This Row],[Archmages]])/TblConstr[[#This Row],[Land]]</f>
        <v>0</v>
      </c>
      <c r="DF60" s="291" t="n">
        <f aca="false">TblMili[[#This Row],[Raw (2)]]*(1+race_wizard_strength+IF(TblMili[[#This Row],[Hour]]&gt;72,tech_magical_weaponry_wiz*TblTech[[#This Row],[3-5]],0))</f>
        <v>0</v>
      </c>
    </row>
    <row r="61" customFormat="false" ht="12.75" hidden="false" customHeight="false" outlineLevel="0" collapsed="false">
      <c r="A61" s="128" t="n">
        <f aca="false">TblRezone[[#This Row],[Hour]]</f>
        <v>58</v>
      </c>
      <c r="B61" s="282" t="n">
        <f aca="false">SUM(TblMili[[#This Row],[Unit 1]:[Archmages]])+SUM(OFFSET(TblMili[[#This Row],[Train Unit 1]],-8,0):TblMili[[#This Row],[Train Unit 2]]) + SUM(OFFSET(TblMili[[#This Row],[Train Unit 3]],-11,0):TblMili[[#This Row],[Train AM]]) + TblMili[[#This Row],[Draftees]]</f>
        <v>1412</v>
      </c>
      <c r="C61" s="150" t="n">
        <f aca="false">TblPop[[#This Row],[Military%]]</f>
        <v>0.12494469515972</v>
      </c>
      <c r="D61" s="132"/>
      <c r="E61" s="151" t="n">
        <f aca="false">OFFSET(TblMili[[#This Row],[Unit 1]],-1,0) + OFFSET(TblMili[[#This Row],[Train Unit 1]],-9,0) - TblMili[[#This Row],[Release Unit 1]]</f>
        <v>0</v>
      </c>
      <c r="F61" s="151" t="n">
        <f aca="false">OFFSET(TblMili[[#This Row],[Unit 2]],-1,0) + OFFSET(TblMili[[#This Row],[Train Unit 2]],-9,0)-TblMili[[#This Row],[Release Unit 2]]</f>
        <v>0</v>
      </c>
      <c r="G61" s="151" t="n">
        <f aca="false">OFFSET(TblMili[[#This Row],[Unit 3]],-1,0) + OFFSET(TblMili[[#This Row],[Train Unit 3]],-12,0)-TblMili[[#This Row],[Release Unit 3]]</f>
        <v>0</v>
      </c>
      <c r="H61" s="151" t="n">
        <f aca="false">OFFSET(TblMili[[#This Row],[Unit 4]],-1,0) + OFFSET(TblMili[[#This Row],[Train Unit 4]],-12,0)-TblMili[[#This Row],[Release Unit 4]]</f>
        <v>0</v>
      </c>
      <c r="I61" s="151" t="n">
        <f aca="false">OFFSET(TblMili[[#This Row],[Spies]],-1,0) + OFFSET(TblMili[[#This Row],[Train Spies]],-12,0) - TblMili[[#This Row],[Release Spies]]-TblMili[[#This Row],[Train AS]]</f>
        <v>0</v>
      </c>
      <c r="J61" s="151" t="n">
        <f aca="false">OFFSET(TblMili[[#This Row],[Archspies]],-1,0) + OFFSET(TblMili[[#This Row],[Train AS]],-12,0) - TblMili[[#This Row],[Release AS]]</f>
        <v>0</v>
      </c>
      <c r="K61" s="151" t="n">
        <f aca="false">OFFSET(TblMili[[#This Row],[Wizards]],-1,0) + OFFSET(TblMili[[#This Row],[Train Wiz]],-12,0) - TblMili[[#This Row],[Release Wizards]]-TblMili[[#This Row],[Train AM]]</f>
        <v>0</v>
      </c>
      <c r="L61" s="151" t="n">
        <f aca="false">OFFSET(TblMili[[#This Row],[Archmages]],-1,0) + OFFSET(TblMili[[#This Row],[Train AM]],-12,0) - TblMili[[#This Row],[Release AM]]</f>
        <v>0</v>
      </c>
      <c r="M61" s="132"/>
      <c r="N61" s="69" t="e">
        <f aca="false">TblProd[[#This Row],[Networth]]</f>
        <v>#VALUE!</v>
      </c>
      <c r="O61" s="132"/>
      <c r="P6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1" s="285" t="e">
        <f aca="false">TblMili[[#This Row],[Raw]]*(1+TblMili[[#This Row],[Mods_Off]])</f>
        <v>#VALUE!</v>
      </c>
      <c r="S6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1" s="285" t="e">
        <f aca="false">TblMili[[#This Row],[Non Draft]]+TblMili[[#This Row],[Draftees]]</f>
        <v>#VALUE!</v>
      </c>
      <c r="U61" s="286" t="n">
        <f aca="false">race_defense + TblImps[[#This Row],[Walls]] + ROUND( MIN(gt_bonus*TblConstr[[#This Row],[Tot GT]]/TblConstr[[#This Row],[Land]],gt_bonus_cap), 4) + IF(TblMagic[[#This Row],[Active Howling]]&gt;0,howling_dp_bonus,IF(TblMagic[[#This Row],[Active Ares Call]]&gt;0,ares_call_bonus))</f>
        <v>0</v>
      </c>
      <c r="V61" s="274" t="e">
        <f aca="false">TblMili[[#This Row],[Non Draft]] * (1 + TblMili[[#This Row],[Mods_Def]])</f>
        <v>#VALUE!</v>
      </c>
      <c r="W61" s="285" t="e">
        <f aca="false">TblMili[[#This Row],[Draft]] * (1 + TblMili[[#This Row],[Mods_Def]])</f>
        <v>#VALUE!</v>
      </c>
      <c r="X61" s="285" t="n">
        <f aca="false">TblConstr[[#This Row],[Land]]</f>
        <v>700</v>
      </c>
      <c r="Y61" s="287"/>
      <c r="Z61" s="109" t="n">
        <f aca="false">IF(TblMili[[#This Row],[Set]]&lt;&gt;"",TblMili[[#This Row],[Set]],OFFSET(TblMili[[#This Row],[Draftrate]],-1,0))</f>
        <v>0.9</v>
      </c>
      <c r="AA61" s="69" t="n">
        <f aca="false">OFFSET(TblMili[[#This Row],[Draftees]],-1,0)+OFFSET(TblPop[[#This Row],[Draft Growth]],-1,0) - SUM(TblMili[[#This Row],[Train Unit 1]:[Train Spies]],TblMili[[#This Row],[Train Wiz]]) - TblMili[[#This Row],[Release Draft]] + SUM(TblMili[[#This Row],[Release Unit 1]:[Release AM]]) - TblExplore[[#This Row],[Draftees (2)]]</f>
        <v>1412</v>
      </c>
      <c r="AB61" s="146"/>
      <c r="AC61" s="130" t="n">
        <f aca="false">(TblConstr[[#This Row],[Tot Smi]]+TblConstr[[#This Row],[Dest Smi]])/(TblConstr[[#This Row],[Land]]-TblExplore[[#This Row],[Land Bonus]]*20)</f>
        <v>0.131428571428571</v>
      </c>
      <c r="AD61" s="128"/>
      <c r="AE61" s="282" t="n">
        <f aca="false">TblMili[[#This Row],[Hour]]</f>
        <v>58</v>
      </c>
      <c r="AF61" s="129" t="n">
        <f aca="false">TblExplore[[#This Row],[Time]]</f>
        <v>45432.125</v>
      </c>
      <c r="AG61" s="182"/>
      <c r="AH61" s="182"/>
      <c r="AI61" s="182"/>
      <c r="AJ61" s="182"/>
      <c r="AK61" s="182"/>
      <c r="AL61" s="182"/>
      <c r="AM61" s="182"/>
      <c r="AN61" s="182"/>
      <c r="AO61" s="132"/>
      <c r="AP61" s="69" t="n">
        <f aca="false">TblProd[[#This Row],[Platinum]]</f>
        <v>648776</v>
      </c>
      <c r="AQ61" s="69" t="n">
        <f aca="false">INDEX(TblProd[[#Headers],[Lumber]]:TblProd[[#This Row],[Ore]],COUNTA(TblProd[[#Headers],[Lumber]]:TblProd[[#This Row],[Lumber]]),MATCH(Military!$AQ$2,TblProd[[#Headers],[Lumber]:[Ore]],0))</f>
        <v>0</v>
      </c>
      <c r="AR6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69" t="n">
        <f aca="false">TblMili[[#This Row],[Train Unit 1]]*TblMili[[#This Row],[OP Ore]]+TblMili[[#This Row],[Train Unit 2]]*TblMili[[#This Row],[DP Ore]]+TblMili[[#This Row],[Train Unit 3]]*TblMili[[#This Row],[E1 Ore]]+TblMili[[#This Row],[Train Unit 4]]*TblMili[[#This Row],[E2 Ore]]</f>
        <v>0</v>
      </c>
      <c r="AT61" s="132" t="n">
        <f aca="false">TblMili[[#This Row],[Hour]]</f>
        <v>58</v>
      </c>
      <c r="AU61" s="144" t="n">
        <f aca="false">TblMili[[#This Row],[Time]]</f>
        <v>45432.125</v>
      </c>
      <c r="AV61" s="69" t="n">
        <f aca="false">TblMili[[#This Row],[Draftees]]</f>
        <v>1412</v>
      </c>
      <c r="AW61" s="182"/>
      <c r="AX61" s="182"/>
      <c r="AY61" s="182"/>
      <c r="AZ61" s="182"/>
      <c r="BA61" s="182"/>
      <c r="BB61" s="182"/>
      <c r="BC61" s="182"/>
      <c r="BD61" s="182"/>
      <c r="BE61" s="182"/>
      <c r="BF61" s="132"/>
      <c r="BG61" s="150" t="n">
        <f aca="false">TblConstr[[#This Row],[Tot WG]]/TblConstr[[#This Row],[Land]]</f>
        <v>0</v>
      </c>
      <c r="BH61" s="150" t="n">
        <f aca="false">TblConstr[[#This Row],[Tot Hav]]/TblConstr[[#This Row],[Land]]</f>
        <v>0</v>
      </c>
      <c r="BI61" s="69" t="n">
        <f aca="false">ROUNDUP((1-MIN(TblMili[[#This Row],[Smithies]]*smithy_bonus,smithy_bonus_cap) + tech_3_5*TblTech[[#This Row],[3-5]] + tech_5_3*TblTech[[#This Row],[5-3]] + tech_5_5*TblTech[[#This Row],[5-5]])*spec_op_plat,0)</f>
        <v>222</v>
      </c>
      <c r="BJ61" s="69" t="n">
        <f aca="false">ROUNDUP(IF(race="Gnome",1,(1-MIN(TblMili[[#This Row],[Smithies]]*smithy_bonus,smithy_bonus_cap) + tech_3_5*TblTech[[#This Row],[3-5]] + tech_5_3*TblTech[[#This Row],[5-3]] + tech_5_5*TblTech[[#This Row],[5-5]]))*spec_op_ore,0)</f>
        <v>0</v>
      </c>
      <c r="BK61" s="69" t="n">
        <f aca="false">ROUNDUP((1-MIN(TblMili[[#This Row],[Smithies]]*smithy_bonus,smithy_bonus_cap) + tech_3_5*TblTech[[#This Row],[3-5]] + tech_5_3*TblTech[[#This Row],[5-3]] + tech_5_5*TblTech[[#This Row],[5-5]])*spec_dp_plat,0)</f>
        <v>222</v>
      </c>
      <c r="BL61" s="69" t="n">
        <f aca="false">ROUNDUP(IF(race="Gnome",1,(1-MIN(TblMili[[#This Row],[Smithies]]*smithy_bonus,smithy_bonus_cap) + tech_3_5*TblTech[[#This Row],[3-5]] + tech_5_3*TblTech[[#This Row],[5-3]] + tech_5_5*TblTech[[#This Row],[5-5]]))*spec_dp_ore,0)</f>
        <v>0</v>
      </c>
      <c r="BM61" s="69" t="n">
        <f aca="false">ROUNDUP((1-MIN(TblMili[[#This Row],[Smithies]]*smithy_bonus,smithy_bonus_cap) + tech_3_5*TblTech[[#This Row],[3-5]] + tech_5_3*TblTech[[#This Row],[5-3]] + tech_5_5*TblTech[[#This Row],[5-5]])*elite1_plat,0)</f>
        <v>682</v>
      </c>
      <c r="BN61" s="69" t="n">
        <f aca="false">ROUNDUP(IF(race="Gnome",1,(1-MIN(TblMili[[#This Row],[Smithies]]*smithy_bonus,smithy_bonus_cap) + tech_3_5*TblTech[[#This Row],[3-5]] + tech_5_3*TblTech[[#This Row],[5-3]] + tech_5_5*TblTech[[#This Row],[5-5]]))*elite1_ore,0)</f>
        <v>0</v>
      </c>
      <c r="BO61" s="69" t="n">
        <f aca="false">ROUNDUP((1-MIN(TblMili[[#This Row],[Smithies]]*smithy_bonus,smithy_bonus_cap) + tech_3_5*TblTech[[#This Row],[3-5]] + tech_5_3*TblTech[[#This Row],[5-3]] + tech_5_5*TblTech[[#This Row],[5-5]])*elite2_plat,0)</f>
        <v>701</v>
      </c>
      <c r="BP61" s="69" t="n">
        <f aca="false">ROUNDUP(IF(race="Gnome",1,(1-MIN(TblMili[[#This Row],[Smithies]]*smithy_bonus,smithy_bonus_cap) + tech_3_5*TblTech[[#This Row],[3-5]] + tech_5_3*TblTech[[#This Row],[5-3]] + tech_5_5*TblTech[[#This Row],[5-5]]))*elite2_ore,0)</f>
        <v>0</v>
      </c>
      <c r="BQ61" s="69" t="n">
        <f aca="false">ROUNDUP((1-MIN(ROUND(fh_spy_cost_red*TblMili[[#This Row],[FH''s]],4),fh_spy_cost_cap)+ tech_1_9*TblTech[[#This Row],[1-9]] + tech_9_1*TblTech[[#This Row],[9-1]])*spy_plat,0)</f>
        <v>500</v>
      </c>
      <c r="BR61" s="69" t="n">
        <f aca="false">ROUNDUP((1-MIN(ROUND(fh_spy_cost_red*TblMili[[#This Row],[FH''s]],4),fh_spy_cost_cap)+ tech_1_9*TblTech[[#This Row],[1-9]] + tech_9_1*TblTech[[#This Row],[9-1]])*archspy_plat,0)</f>
        <v>1000</v>
      </c>
      <c r="BS61" s="69" t="n">
        <f aca="false">ROUNDUP((1-MIN(ROUND(wg_wiz_cost_bonus*TblMili[[#This Row],[WG''s]],4),wg_wiz_cost_cap) + tech_1_9_2*TblTech[[#This Row],[1-9]] + tech_9_1_2*TblTech[[#This Row],[9-1]])*wizard_plat,0)</f>
        <v>500</v>
      </c>
      <c r="BT61" s="69" t="n">
        <f aca="false">ROUNDUP((1-MIN(ROUND(wg_wiz_cost_bonus*TblMili[[#This Row],[WG''s]],4),wg_wiz_cost_cap) + tech_1_9_2*TblTech[[#This Row],[1-9]] + tech_9_1_2*TblTech[[#This Row],[9-1]])*archmage_plat,0)</f>
        <v>1000</v>
      </c>
      <c r="BU61" s="132"/>
      <c r="BV61" s="150" t="e">
        <f aca="false">TblConstr[[#This Row],[Homeland]]/TblConstr[[#This Row],[Land]]</f>
        <v>#VALUE!</v>
      </c>
      <c r="BW61" s="150" t="n">
        <f aca="false">TblMili[[#This Row],[WG''s]]</f>
        <v>0</v>
      </c>
      <c r="BX61" s="288" t="e">
        <f aca="false">IF(mystic_cap="none",TblMili[[#This Row],[Hill]]/mystic_bonus,MIN(mystic_cap,TblMili[[#This Row],[Hill]]/mystic_bonus))</f>
        <v>#VALUE!</v>
      </c>
      <c r="BY61" s="288" t="e">
        <f aca="false">IF(druid_op_cap="none",TblMili[[#This Row],[Hill]]/druid_op_bonus,MIN(druid_op_cap,TblMili[[#This Row],[Hill]]/druid_op_bonus))</f>
        <v>#VALUE!</v>
      </c>
      <c r="BZ61" s="288" t="e">
        <f aca="false">IF(druid_dp_cap="none",TblMili[[#This Row],[Hill]]/druid_dp_bonus,MIN(druid_dp_cap,TblMili[[#This Row],[Hill]]/druid_dp_bonus))</f>
        <v>#VALUE!</v>
      </c>
      <c r="CA61" s="288" t="e">
        <f aca="false">MIN(dryad_cap,TblMili[[#This Row],[Hill]]/dryad_bonus)</f>
        <v>#VALUE!</v>
      </c>
      <c r="CB61" s="288" t="e">
        <f aca="false">MIN(rocka_cap,TblMili[[#This Row],[Hill]]/rocka_bonus)</f>
        <v>#VALUE!</v>
      </c>
      <c r="CC61" s="288" t="n">
        <f aca="false">MIN(adept_op_cap,TblMili[[#This Row],[WG]]/adept_op_bonus)</f>
        <v>0</v>
      </c>
      <c r="CD61" s="288" t="n">
        <f aca="false">MIN(adept_dp_cap,TblMili[[#This Row],[WG]]/adept_dp_bonus)</f>
        <v>0</v>
      </c>
      <c r="CE61" s="69" t="n">
        <f aca="false">MIN(TblMili[[#This Row],[Unit 3]],TblMili[[#This Row],[Unit 2]])*2</f>
        <v>0</v>
      </c>
      <c r="CF61" s="69" t="n">
        <f aca="false">MIN(TblMili[[#This Row],[Unit 1]],TblMili[[#This Row],[Unit 4]])*2</f>
        <v>0</v>
      </c>
      <c r="CG61" s="288" t="e">
        <f aca="false">MIN(frost_mage_cap,TblMili[[#This Row],[Hill]]/frost_mage_bonus)</f>
        <v>#VALUE!</v>
      </c>
      <c r="CH61" s="151" t="n">
        <f aca="false">MIN(ice_elem_cap,TblMili[[#This Row],[Raw (2)]]*ice_elem_bonus)</f>
        <v>0</v>
      </c>
      <c r="CI61" s="288" t="n">
        <f aca="false">MIN(bone_breaker_cap,250/bone_breaker_bonus)</f>
        <v>0.833333333333333</v>
      </c>
      <c r="CJ61" s="288" t="e">
        <f aca="false">MIN(nox_nightshade_cap,TblConstr[[#This Row],[Homeland]]/TblConstr[[#This Row],[Land]]/nox_nightshade_swamp_bonus)</f>
        <v>#VALUE!</v>
      </c>
      <c r="CK61" s="289"/>
      <c r="CL61" s="289"/>
      <c r="CM61" s="289"/>
      <c r="CN61" s="288" t="e">
        <f aca="false">MIN(6,TblMili[[#This Row],[Mystic]]+Races!$F$19)*1.8 +  IF(TblMili[[#This Row],[Mystic]]+Races!$F$19&gt;6,(TblMili[[#This Row],[Mystic]]+Races!$F$19-6)*0.2,0) - Races!$I$19</f>
        <v>#VALUE!</v>
      </c>
      <c r="CO61" s="288" t="e">
        <f aca="false">1.8 * MIN(MAX(TblMili[[#This Row],[Druid (op)]]+Races!$E$20,TblMili[[#This Row],[Druid (dp)]]+Races!$F$20),6)  +  0.45 * MIN(MIN(TblMili[[#This Row],[Druid (op)]]+Races!$E$20,TblMili[[#This Row],[Druid (dp)]]+Races!$F$20),6)  +  0.2 * ( MAX(TblMili[[#This Row],[Druid (op)]]+Races!$E$20-6,0) + MAX(TblMili[[#This Row],[Druid (dp)]]+Races!$F$20-6,0) )  -  Races!$I$20</f>
        <v>#VALUE!</v>
      </c>
      <c r="CP61" s="69" t="e">
        <f aca="false">TblMili[[#This Row],[Mystic bonus]]*TblMili[[#This Row],[Unit 3]]+TblMili[[#This Row],[Druid bonus]]*TblMili[[#This Row],[Unit 4]]</f>
        <v>#VALUE!</v>
      </c>
      <c r="CQ61" s="148" t="e">
        <f aca="false">MIN(6,TblMili[[#This Row],[Dryad]]+Races!$F$35)*1.8 +  IF(TblMili[[#This Row],[Dryad]]+Races!$F$35&gt;6,(TblMili[[#This Row],[Dryad]]+Races!$F$35-6)*0.2,0) - Races!$I$19</f>
        <v>#VALUE!</v>
      </c>
      <c r="CR61" s="69" t="e">
        <f aca="false">sylvan*(TblMili[[#This Row],[Mystic bonus]]*TblMili[[#This Row],[Unit 3]])</f>
        <v>#VALUE!</v>
      </c>
      <c r="CS61" s="148" t="e">
        <f aca="false">1.8 * MIN(MAX(Races!$E$27,TblMili[[#This Row],[Rockapult]]+Races!$F$27),6)  +  0.45 * MIN(MIN(Races!$E$27,TblMili[[#This Row],[Rockapult]]+Races!$F$27),6)  +  0.2 * ( MAX(Races!$E$27-6,0) + MAX(TblMili[[#This Row],[Rockapult]]+Races!$F$27-6,0) )  -  Races!$I$20</f>
        <v>#VALUE!</v>
      </c>
      <c r="CT61" s="69" t="e">
        <f aca="false">gnome*(TblMili[[#This Row],[Rockapult bonus]]*TblMili[[#This Row],[Unit 3]])</f>
        <v>#VALUE!</v>
      </c>
      <c r="CU61" s="148" t="n">
        <f aca="false">1.8 * MIN(MAX(TblMili[[#This Row],[Spellblade]]+Races!$E$47,TblMili[[#This Row],[Adept-DP]]+Races!$F$47),6)  +  0.45 * MIN(MIN(TblMili[[#This Row],[Spellblade]]+Races!$E$47,TblMili[[#This Row],[Adept-DP]]+Races!$F$47),6)  +  0.2 * ( MAX(TblMili[[#This Row],[Spellblade]]+Races!$E$47-6,0) + MAX(TblMili[[#This Row],[Adept-DP]]+Races!$F$47-6,0) )  -  Races!$I$47</f>
        <v>0</v>
      </c>
      <c r="CV61" s="69" t="n">
        <f aca="false">dark_elf*(TblMili[[#This Row],[Adept bonus]]*TblMili[[#This Row],[Unit 3]])</f>
        <v>0</v>
      </c>
      <c r="CW61" s="148" t="e">
        <f aca="false">1.8 * MIN(MAX(TblMili[[#This Row],[Frost Mage]]+Races!$F$71,Races!$E$71),6)  +  0.45 * MIN(MIN(TblMili[[#This Row],[Frost Mage]]+Races!$F$71,Races!$E$71),6)  +  0.2 * ( MAX(TblMili[[#This Row],[Frost Mage]]+Races!$F$71-6,0) + MAX(Races!$E$71-6,0) )  -  Races!$I$71</f>
        <v>#VALUE!</v>
      </c>
      <c r="CX61" s="148" t="n">
        <f aca="false">1.8 * MIN(MAX(TblMili[[#This Row],[Ice Elemental]]+Races!$E$71,Races!$F$71),6)  +  0.45 * MIN(MIN(TblMili[[#This Row],[Ice Elemental]]+Races!$E$71,Races!$F$71),6)  +  0.2 * ( MAX(TblMili[[#This Row],[Ice Elemental]]+Races!$E$71-6,0) + MAX(Races!$F$71-6,0) )  -  Races!$I$71</f>
        <v>0</v>
      </c>
      <c r="CY61" s="69" t="e">
        <f aca="false">TblMili[[#This Row],[Frost Mage bonus]]*TblMili[[#This Row],[Unit 3]]+TblMili[[#This Row],[Ice Elemental bonus]]*TblMili[[#This Row],[Unit 4]]</f>
        <v>#VALUE!</v>
      </c>
      <c r="CZ61" s="290"/>
      <c r="DA61" s="109" t="n">
        <f aca="false">MIN(SUM(TblConstr[[#This Row],[Plain]:[Water]])/TblMili[[#This Row],[Land]]/favorable_terrain_bonus/100,favorable_terrain_max)</f>
        <v>0</v>
      </c>
      <c r="DB61" s="290"/>
      <c r="DC6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1" s="132"/>
      <c r="DE61" s="291" t="n">
        <f aca="false">(TblMili[[#This Row],[Wizards]]+2*TblMili[[#This Row],[Archmages]])/TblConstr[[#This Row],[Land]]</f>
        <v>0</v>
      </c>
      <c r="DF61" s="291" t="n">
        <f aca="false">TblMili[[#This Row],[Raw (2)]]*(1+race_wizard_strength+IF(TblMili[[#This Row],[Hour]]&gt;72,tech_magical_weaponry_wiz*TblTech[[#This Row],[3-5]],0))</f>
        <v>0</v>
      </c>
    </row>
    <row r="62" customFormat="false" ht="12.75" hidden="false" customHeight="false" outlineLevel="0" collapsed="false">
      <c r="A62" s="128" t="n">
        <f aca="false">TblRezone[[#This Row],[Hour]]</f>
        <v>59</v>
      </c>
      <c r="B62" s="282" t="n">
        <f aca="false">SUM(TblMili[[#This Row],[Unit 1]:[Archmages]])+SUM(OFFSET(TblMili[[#This Row],[Train Unit 1]],-8,0):TblMili[[#This Row],[Train Unit 2]]) + SUM(OFFSET(TblMili[[#This Row],[Train Unit 3]],-11,0):TblMili[[#This Row],[Train AM]]) + TblMili[[#This Row],[Draftees]]</f>
        <v>1511</v>
      </c>
      <c r="C62" s="150" t="n">
        <f aca="false">TblPop[[#This Row],[Military%]]</f>
        <v>0.133704981860012</v>
      </c>
      <c r="D62" s="132"/>
      <c r="E62" s="151" t="n">
        <f aca="false">OFFSET(TblMili[[#This Row],[Unit 1]],-1,0) + OFFSET(TblMili[[#This Row],[Train Unit 1]],-9,0) - TblMili[[#This Row],[Release Unit 1]]</f>
        <v>0</v>
      </c>
      <c r="F62" s="151" t="n">
        <f aca="false">OFFSET(TblMili[[#This Row],[Unit 2]],-1,0) + OFFSET(TblMili[[#This Row],[Train Unit 2]],-9,0)-TblMili[[#This Row],[Release Unit 2]]</f>
        <v>0</v>
      </c>
      <c r="G62" s="151" t="n">
        <f aca="false">OFFSET(TblMili[[#This Row],[Unit 3]],-1,0) + OFFSET(TblMili[[#This Row],[Train Unit 3]],-12,0)-TblMili[[#This Row],[Release Unit 3]]</f>
        <v>0</v>
      </c>
      <c r="H62" s="151" t="n">
        <f aca="false">OFFSET(TblMili[[#This Row],[Unit 4]],-1,0) + OFFSET(TblMili[[#This Row],[Train Unit 4]],-12,0)-TblMili[[#This Row],[Release Unit 4]]</f>
        <v>0</v>
      </c>
      <c r="I62" s="151" t="n">
        <f aca="false">OFFSET(TblMili[[#This Row],[Spies]],-1,0) + OFFSET(TblMili[[#This Row],[Train Spies]],-12,0) - TblMili[[#This Row],[Release Spies]]-TblMili[[#This Row],[Train AS]]</f>
        <v>0</v>
      </c>
      <c r="J62" s="151" t="n">
        <f aca="false">OFFSET(TblMili[[#This Row],[Archspies]],-1,0) + OFFSET(TblMili[[#This Row],[Train AS]],-12,0) - TblMili[[#This Row],[Release AS]]</f>
        <v>0</v>
      </c>
      <c r="K62" s="151" t="n">
        <f aca="false">OFFSET(TblMili[[#This Row],[Wizards]],-1,0) + OFFSET(TblMili[[#This Row],[Train Wiz]],-12,0) - TblMili[[#This Row],[Release Wizards]]-TblMili[[#This Row],[Train AM]]</f>
        <v>0</v>
      </c>
      <c r="L62" s="151" t="n">
        <f aca="false">OFFSET(TblMili[[#This Row],[Archmages]],-1,0) + OFFSET(TblMili[[#This Row],[Train AM]],-12,0) - TblMili[[#This Row],[Release AM]]</f>
        <v>0</v>
      </c>
      <c r="M62" s="132"/>
      <c r="N62" s="69" t="e">
        <f aca="false">TblProd[[#This Row],[Networth]]</f>
        <v>#VALUE!</v>
      </c>
      <c r="O62" s="132"/>
      <c r="P6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2" s="285" t="e">
        <f aca="false">TblMili[[#This Row],[Raw]]*(1+TblMili[[#This Row],[Mods_Off]])</f>
        <v>#VALUE!</v>
      </c>
      <c r="S6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2" s="285" t="e">
        <f aca="false">TblMili[[#This Row],[Non Draft]]+TblMili[[#This Row],[Draftees]]</f>
        <v>#VALUE!</v>
      </c>
      <c r="U62" s="286" t="n">
        <f aca="false">race_defense + TblImps[[#This Row],[Walls]] + ROUND( MIN(gt_bonus*TblConstr[[#This Row],[Tot GT]]/TblConstr[[#This Row],[Land]],gt_bonus_cap), 4) + IF(TblMagic[[#This Row],[Active Howling]]&gt;0,howling_dp_bonus,IF(TblMagic[[#This Row],[Active Ares Call]]&gt;0,ares_call_bonus))</f>
        <v>0</v>
      </c>
      <c r="V62" s="274" t="e">
        <f aca="false">TblMili[[#This Row],[Non Draft]] * (1 + TblMili[[#This Row],[Mods_Def]])</f>
        <v>#VALUE!</v>
      </c>
      <c r="W62" s="285" t="e">
        <f aca="false">TblMili[[#This Row],[Draft]] * (1 + TblMili[[#This Row],[Mods_Def]])</f>
        <v>#VALUE!</v>
      </c>
      <c r="X62" s="285" t="n">
        <f aca="false">TblConstr[[#This Row],[Land]]</f>
        <v>700</v>
      </c>
      <c r="Y62" s="287"/>
      <c r="Z62" s="109" t="n">
        <f aca="false">IF(TblMili[[#This Row],[Set]]&lt;&gt;"",TblMili[[#This Row],[Set]],OFFSET(TblMili[[#This Row],[Draftrate]],-1,0))</f>
        <v>0.9</v>
      </c>
      <c r="AA62" s="69" t="n">
        <f aca="false">OFFSET(TblMili[[#This Row],[Draftees]],-1,0)+OFFSET(TblPop[[#This Row],[Draft Growth]],-1,0) - SUM(TblMili[[#This Row],[Train Unit 1]:[Train Spies]],TblMili[[#This Row],[Train Wiz]]) - TblMili[[#This Row],[Release Draft]] + SUM(TblMili[[#This Row],[Release Unit 1]:[Release AM]]) - TblExplore[[#This Row],[Draftees (2)]]</f>
        <v>1511</v>
      </c>
      <c r="AB62" s="146"/>
      <c r="AC62" s="130" t="n">
        <f aca="false">(TblConstr[[#This Row],[Tot Smi]]+TblConstr[[#This Row],[Dest Smi]])/(TblConstr[[#This Row],[Land]]-TblExplore[[#This Row],[Land Bonus]]*20)</f>
        <v>0.145714285714286</v>
      </c>
      <c r="AD62" s="128"/>
      <c r="AE62" s="282" t="n">
        <f aca="false">TblMili[[#This Row],[Hour]]</f>
        <v>59</v>
      </c>
      <c r="AF62" s="129" t="n">
        <f aca="false">TblExplore[[#This Row],[Time]]</f>
        <v>45432.1666666667</v>
      </c>
      <c r="AG62" s="182"/>
      <c r="AH62" s="182"/>
      <c r="AI62" s="182"/>
      <c r="AJ62" s="182"/>
      <c r="AK62" s="182"/>
      <c r="AL62" s="182"/>
      <c r="AM62" s="182"/>
      <c r="AN62" s="182"/>
      <c r="AO62" s="132"/>
      <c r="AP62" s="69" t="n">
        <f aca="false">TblProd[[#This Row],[Platinum]]</f>
        <v>694619</v>
      </c>
      <c r="AQ62" s="69" t="n">
        <f aca="false">INDEX(TblProd[[#Headers],[Lumber]]:TblProd[[#This Row],[Ore]],COUNTA(TblProd[[#Headers],[Lumber]]:TblProd[[#This Row],[Lumber]]),MATCH(Military!$AQ$2,TblProd[[#Headers],[Lumber]:[Ore]],0))</f>
        <v>0</v>
      </c>
      <c r="AR6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69" t="n">
        <f aca="false">TblMili[[#This Row],[Train Unit 1]]*TblMili[[#This Row],[OP Ore]]+TblMili[[#This Row],[Train Unit 2]]*TblMili[[#This Row],[DP Ore]]+TblMili[[#This Row],[Train Unit 3]]*TblMili[[#This Row],[E1 Ore]]+TblMili[[#This Row],[Train Unit 4]]*TblMili[[#This Row],[E2 Ore]]</f>
        <v>0</v>
      </c>
      <c r="AT62" s="132" t="n">
        <f aca="false">TblMili[[#This Row],[Hour]]</f>
        <v>59</v>
      </c>
      <c r="AU62" s="144" t="n">
        <f aca="false">TblMili[[#This Row],[Time]]</f>
        <v>45432.1666666667</v>
      </c>
      <c r="AV62" s="69" t="n">
        <f aca="false">TblMili[[#This Row],[Draftees]]</f>
        <v>1511</v>
      </c>
      <c r="AW62" s="182"/>
      <c r="AX62" s="182"/>
      <c r="AY62" s="182"/>
      <c r="AZ62" s="182"/>
      <c r="BA62" s="182"/>
      <c r="BB62" s="182"/>
      <c r="BC62" s="182"/>
      <c r="BD62" s="182"/>
      <c r="BE62" s="182"/>
      <c r="BF62" s="132"/>
      <c r="BG62" s="150" t="n">
        <f aca="false">TblConstr[[#This Row],[Tot WG]]/TblConstr[[#This Row],[Land]]</f>
        <v>0</v>
      </c>
      <c r="BH62" s="150" t="n">
        <f aca="false">TblConstr[[#This Row],[Tot Hav]]/TblConstr[[#This Row],[Land]]</f>
        <v>0</v>
      </c>
      <c r="BI62" s="69" t="n">
        <f aca="false">ROUNDUP((1-MIN(TblMili[[#This Row],[Smithies]]*smithy_bonus,smithy_bonus_cap) + tech_3_5*TblTech[[#This Row],[3-5]] + tech_5_3*TblTech[[#This Row],[5-3]] + tech_5_5*TblTech[[#This Row],[5-5]])*spec_op_plat,0)</f>
        <v>213</v>
      </c>
      <c r="BJ62" s="69" t="n">
        <f aca="false">ROUNDUP(IF(race="Gnome",1,(1-MIN(TblMili[[#This Row],[Smithies]]*smithy_bonus,smithy_bonus_cap) + tech_3_5*TblTech[[#This Row],[3-5]] + tech_5_3*TblTech[[#This Row],[5-3]] + tech_5_5*TblTech[[#This Row],[5-5]]))*spec_op_ore,0)</f>
        <v>0</v>
      </c>
      <c r="BK62" s="69" t="n">
        <f aca="false">ROUNDUP((1-MIN(TblMili[[#This Row],[Smithies]]*smithy_bonus,smithy_bonus_cap) + tech_3_5*TblTech[[#This Row],[3-5]] + tech_5_3*TblTech[[#This Row],[5-3]] + tech_5_5*TblTech[[#This Row],[5-5]])*spec_dp_plat,0)</f>
        <v>213</v>
      </c>
      <c r="BL62" s="69" t="n">
        <f aca="false">ROUNDUP(IF(race="Gnome",1,(1-MIN(TblMili[[#This Row],[Smithies]]*smithy_bonus,smithy_bonus_cap) + tech_3_5*TblTech[[#This Row],[3-5]] + tech_5_3*TblTech[[#This Row],[5-3]] + tech_5_5*TblTech[[#This Row],[5-5]]))*spec_dp_ore,0)</f>
        <v>0</v>
      </c>
      <c r="BM62" s="69" t="n">
        <f aca="false">ROUNDUP((1-MIN(TblMili[[#This Row],[Smithies]]*smithy_bonus,smithy_bonus_cap) + tech_3_5*TblTech[[#This Row],[3-5]] + tech_5_3*TblTech[[#This Row],[5-3]] + tech_5_5*TblTech[[#This Row],[5-5]])*elite1_plat,0)</f>
        <v>656</v>
      </c>
      <c r="BN62" s="69" t="n">
        <f aca="false">ROUNDUP(IF(race="Gnome",1,(1-MIN(TblMili[[#This Row],[Smithies]]*smithy_bonus,smithy_bonus_cap) + tech_3_5*TblTech[[#This Row],[3-5]] + tech_5_3*TblTech[[#This Row],[5-3]] + tech_5_5*TblTech[[#This Row],[5-5]]))*elite1_ore,0)</f>
        <v>0</v>
      </c>
      <c r="BO62" s="69" t="n">
        <f aca="false">ROUNDUP((1-MIN(TblMili[[#This Row],[Smithies]]*smithy_bonus,smithy_bonus_cap) + tech_3_5*TblTech[[#This Row],[3-5]] + tech_5_3*TblTech[[#This Row],[5-3]] + tech_5_5*TblTech[[#This Row],[5-5]])*elite2_plat,0)</f>
        <v>674</v>
      </c>
      <c r="BP62" s="69" t="n">
        <f aca="false">ROUNDUP(IF(race="Gnome",1,(1-MIN(TblMili[[#This Row],[Smithies]]*smithy_bonus,smithy_bonus_cap) + tech_3_5*TblTech[[#This Row],[3-5]] + tech_5_3*TblTech[[#This Row],[5-3]] + tech_5_5*TblTech[[#This Row],[5-5]]))*elite2_ore,0)</f>
        <v>0</v>
      </c>
      <c r="BQ62" s="69" t="n">
        <f aca="false">ROUNDUP((1-MIN(ROUND(fh_spy_cost_red*TblMili[[#This Row],[FH''s]],4),fh_spy_cost_cap)+ tech_1_9*TblTech[[#This Row],[1-9]] + tech_9_1*TblTech[[#This Row],[9-1]])*spy_plat,0)</f>
        <v>500</v>
      </c>
      <c r="BR62" s="69" t="n">
        <f aca="false">ROUNDUP((1-MIN(ROUND(fh_spy_cost_red*TblMili[[#This Row],[FH''s]],4),fh_spy_cost_cap)+ tech_1_9*TblTech[[#This Row],[1-9]] + tech_9_1*TblTech[[#This Row],[9-1]])*archspy_plat,0)</f>
        <v>1000</v>
      </c>
      <c r="BS62" s="69" t="n">
        <f aca="false">ROUNDUP((1-MIN(ROUND(wg_wiz_cost_bonus*TblMili[[#This Row],[WG''s]],4),wg_wiz_cost_cap) + tech_1_9_2*TblTech[[#This Row],[1-9]] + tech_9_1_2*TblTech[[#This Row],[9-1]])*wizard_plat,0)</f>
        <v>500</v>
      </c>
      <c r="BT62" s="69" t="n">
        <f aca="false">ROUNDUP((1-MIN(ROUND(wg_wiz_cost_bonus*TblMili[[#This Row],[WG''s]],4),wg_wiz_cost_cap) + tech_1_9_2*TblTech[[#This Row],[1-9]] + tech_9_1_2*TblTech[[#This Row],[9-1]])*archmage_plat,0)</f>
        <v>1000</v>
      </c>
      <c r="BU62" s="132"/>
      <c r="BV62" s="150" t="e">
        <f aca="false">TblConstr[[#This Row],[Homeland]]/TblConstr[[#This Row],[Land]]</f>
        <v>#VALUE!</v>
      </c>
      <c r="BW62" s="150" t="n">
        <f aca="false">TblMili[[#This Row],[WG''s]]</f>
        <v>0</v>
      </c>
      <c r="BX62" s="288" t="e">
        <f aca="false">IF(mystic_cap="none",TblMili[[#This Row],[Hill]]/mystic_bonus,MIN(mystic_cap,TblMili[[#This Row],[Hill]]/mystic_bonus))</f>
        <v>#VALUE!</v>
      </c>
      <c r="BY62" s="288" t="e">
        <f aca="false">IF(druid_op_cap="none",TblMili[[#This Row],[Hill]]/druid_op_bonus,MIN(druid_op_cap,TblMili[[#This Row],[Hill]]/druid_op_bonus))</f>
        <v>#VALUE!</v>
      </c>
      <c r="BZ62" s="288" t="e">
        <f aca="false">IF(druid_dp_cap="none",TblMili[[#This Row],[Hill]]/druid_dp_bonus,MIN(druid_dp_cap,TblMili[[#This Row],[Hill]]/druid_dp_bonus))</f>
        <v>#VALUE!</v>
      </c>
      <c r="CA62" s="288" t="e">
        <f aca="false">MIN(dryad_cap,TblMili[[#This Row],[Hill]]/dryad_bonus)</f>
        <v>#VALUE!</v>
      </c>
      <c r="CB62" s="288" t="e">
        <f aca="false">MIN(rocka_cap,TblMili[[#This Row],[Hill]]/rocka_bonus)</f>
        <v>#VALUE!</v>
      </c>
      <c r="CC62" s="288" t="n">
        <f aca="false">MIN(adept_op_cap,TblMili[[#This Row],[WG]]/adept_op_bonus)</f>
        <v>0</v>
      </c>
      <c r="CD62" s="288" t="n">
        <f aca="false">MIN(adept_dp_cap,TblMili[[#This Row],[WG]]/adept_dp_bonus)</f>
        <v>0</v>
      </c>
      <c r="CE62" s="69" t="n">
        <f aca="false">MIN(TblMili[[#This Row],[Unit 3]],TblMili[[#This Row],[Unit 2]])*2</f>
        <v>0</v>
      </c>
      <c r="CF62" s="69" t="n">
        <f aca="false">MIN(TblMili[[#This Row],[Unit 1]],TblMili[[#This Row],[Unit 4]])*2</f>
        <v>0</v>
      </c>
      <c r="CG62" s="288" t="e">
        <f aca="false">MIN(frost_mage_cap,TblMili[[#This Row],[Hill]]/frost_mage_bonus)</f>
        <v>#VALUE!</v>
      </c>
      <c r="CH62" s="151" t="n">
        <f aca="false">MIN(ice_elem_cap,TblMili[[#This Row],[Raw (2)]]*ice_elem_bonus)</f>
        <v>0</v>
      </c>
      <c r="CI62" s="288" t="n">
        <f aca="false">MIN(bone_breaker_cap,250/bone_breaker_bonus)</f>
        <v>0.833333333333333</v>
      </c>
      <c r="CJ62" s="288" t="e">
        <f aca="false">MIN(nox_nightshade_cap,TblConstr[[#This Row],[Homeland]]/TblConstr[[#This Row],[Land]]/nox_nightshade_swamp_bonus)</f>
        <v>#VALUE!</v>
      </c>
      <c r="CK62" s="289"/>
      <c r="CL62" s="289"/>
      <c r="CM62" s="289"/>
      <c r="CN62" s="288" t="e">
        <f aca="false">MIN(6,TblMili[[#This Row],[Mystic]]+Races!$F$19)*1.8 +  IF(TblMili[[#This Row],[Mystic]]+Races!$F$19&gt;6,(TblMili[[#This Row],[Mystic]]+Races!$F$19-6)*0.2,0) - Races!$I$19</f>
        <v>#VALUE!</v>
      </c>
      <c r="CO62" s="288" t="e">
        <f aca="false">1.8 * MIN(MAX(TblMili[[#This Row],[Druid (op)]]+Races!$E$20,TblMili[[#This Row],[Druid (dp)]]+Races!$F$20),6)  +  0.45 * MIN(MIN(TblMili[[#This Row],[Druid (op)]]+Races!$E$20,TblMili[[#This Row],[Druid (dp)]]+Races!$F$20),6)  +  0.2 * ( MAX(TblMili[[#This Row],[Druid (op)]]+Races!$E$20-6,0) + MAX(TblMili[[#This Row],[Druid (dp)]]+Races!$F$20-6,0) )  -  Races!$I$20</f>
        <v>#VALUE!</v>
      </c>
      <c r="CP62" s="69" t="e">
        <f aca="false">TblMili[[#This Row],[Mystic bonus]]*TblMili[[#This Row],[Unit 3]]+TblMili[[#This Row],[Druid bonus]]*TblMili[[#This Row],[Unit 4]]</f>
        <v>#VALUE!</v>
      </c>
      <c r="CQ62" s="148" t="e">
        <f aca="false">MIN(6,TblMili[[#This Row],[Dryad]]+Races!$F$35)*1.8 +  IF(TblMili[[#This Row],[Dryad]]+Races!$F$35&gt;6,(TblMili[[#This Row],[Dryad]]+Races!$F$35-6)*0.2,0) - Races!$I$19</f>
        <v>#VALUE!</v>
      </c>
      <c r="CR62" s="69" t="e">
        <f aca="false">sylvan*(TblMili[[#This Row],[Mystic bonus]]*TblMili[[#This Row],[Unit 3]])</f>
        <v>#VALUE!</v>
      </c>
      <c r="CS62" s="148" t="e">
        <f aca="false">1.8 * MIN(MAX(Races!$E$27,TblMili[[#This Row],[Rockapult]]+Races!$F$27),6)  +  0.45 * MIN(MIN(Races!$E$27,TblMili[[#This Row],[Rockapult]]+Races!$F$27),6)  +  0.2 * ( MAX(Races!$E$27-6,0) + MAX(TblMili[[#This Row],[Rockapult]]+Races!$F$27-6,0) )  -  Races!$I$20</f>
        <v>#VALUE!</v>
      </c>
      <c r="CT62" s="69" t="e">
        <f aca="false">gnome*(TblMili[[#This Row],[Rockapult bonus]]*TblMili[[#This Row],[Unit 3]])</f>
        <v>#VALUE!</v>
      </c>
      <c r="CU62" s="148" t="n">
        <f aca="false">1.8 * MIN(MAX(TblMili[[#This Row],[Spellblade]]+Races!$E$47,TblMili[[#This Row],[Adept-DP]]+Races!$F$47),6)  +  0.45 * MIN(MIN(TblMili[[#This Row],[Spellblade]]+Races!$E$47,TblMili[[#This Row],[Adept-DP]]+Races!$F$47),6)  +  0.2 * ( MAX(TblMili[[#This Row],[Spellblade]]+Races!$E$47-6,0) + MAX(TblMili[[#This Row],[Adept-DP]]+Races!$F$47-6,0) )  -  Races!$I$47</f>
        <v>0</v>
      </c>
      <c r="CV62" s="69" t="n">
        <f aca="false">dark_elf*(TblMili[[#This Row],[Adept bonus]]*TblMili[[#This Row],[Unit 3]])</f>
        <v>0</v>
      </c>
      <c r="CW62" s="148" t="e">
        <f aca="false">1.8 * MIN(MAX(TblMili[[#This Row],[Frost Mage]]+Races!$F$71,Races!$E$71),6)  +  0.45 * MIN(MIN(TblMili[[#This Row],[Frost Mage]]+Races!$F$71,Races!$E$71),6)  +  0.2 * ( MAX(TblMili[[#This Row],[Frost Mage]]+Races!$F$71-6,0) + MAX(Races!$E$71-6,0) )  -  Races!$I$71</f>
        <v>#VALUE!</v>
      </c>
      <c r="CX62" s="148" t="n">
        <f aca="false">1.8 * MIN(MAX(TblMili[[#This Row],[Ice Elemental]]+Races!$E$71,Races!$F$71),6)  +  0.45 * MIN(MIN(TblMili[[#This Row],[Ice Elemental]]+Races!$E$71,Races!$F$71),6)  +  0.2 * ( MAX(TblMili[[#This Row],[Ice Elemental]]+Races!$E$71-6,0) + MAX(Races!$F$71-6,0) )  -  Races!$I$71</f>
        <v>0</v>
      </c>
      <c r="CY62" s="69" t="e">
        <f aca="false">TblMili[[#This Row],[Frost Mage bonus]]*TblMili[[#This Row],[Unit 3]]+TblMili[[#This Row],[Ice Elemental bonus]]*TblMili[[#This Row],[Unit 4]]</f>
        <v>#VALUE!</v>
      </c>
      <c r="CZ62" s="290"/>
      <c r="DA62" s="109" t="n">
        <f aca="false">MIN(SUM(TblConstr[[#This Row],[Plain]:[Water]])/TblMili[[#This Row],[Land]]/favorable_terrain_bonus/100,favorable_terrain_max)</f>
        <v>0</v>
      </c>
      <c r="DB62" s="290"/>
      <c r="DC6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2" s="132"/>
      <c r="DE62" s="291" t="n">
        <f aca="false">(TblMili[[#This Row],[Wizards]]+2*TblMili[[#This Row],[Archmages]])/TblConstr[[#This Row],[Land]]</f>
        <v>0</v>
      </c>
      <c r="DF62" s="291" t="n">
        <f aca="false">TblMili[[#This Row],[Raw (2)]]*(1+race_wizard_strength+IF(TblMili[[#This Row],[Hour]]&gt;72,tech_magical_weaponry_wiz*TblTech[[#This Row],[3-5]],0))</f>
        <v>0</v>
      </c>
    </row>
    <row r="63" customFormat="false" ht="12.75" hidden="false" customHeight="false" outlineLevel="0" collapsed="false">
      <c r="A63" s="128" t="n">
        <f aca="false">TblRezone[[#This Row],[Hour]]</f>
        <v>60</v>
      </c>
      <c r="B63" s="282" t="n">
        <f aca="false">SUM(TblMili[[#This Row],[Unit 1]:[Archmages]])+SUM(OFFSET(TblMili[[#This Row],[Train Unit 1]],-8,0):TblMili[[#This Row],[Train Unit 2]]) + SUM(OFFSET(TblMili[[#This Row],[Train Unit 3]],-11,0):TblMili[[#This Row],[Train AM]]) + TblMili[[#This Row],[Draftees]]</f>
        <v>1609</v>
      </c>
      <c r="C63" s="150" t="n">
        <f aca="false">TblPop[[#This Row],[Military%]]</f>
        <v>0.138420509291122</v>
      </c>
      <c r="D63" s="132"/>
      <c r="E63" s="151" t="n">
        <f aca="false">OFFSET(TblMili[[#This Row],[Unit 1]],-1,0) + OFFSET(TblMili[[#This Row],[Train Unit 1]],-9,0) - TblMili[[#This Row],[Release Unit 1]]</f>
        <v>0</v>
      </c>
      <c r="F63" s="151" t="n">
        <f aca="false">OFFSET(TblMili[[#This Row],[Unit 2]],-1,0) + OFFSET(TblMili[[#This Row],[Train Unit 2]],-9,0)-TblMili[[#This Row],[Release Unit 2]]</f>
        <v>0</v>
      </c>
      <c r="G63" s="151" t="n">
        <f aca="false">OFFSET(TblMili[[#This Row],[Unit 3]],-1,0) + OFFSET(TblMili[[#This Row],[Train Unit 3]],-12,0)-TblMili[[#This Row],[Release Unit 3]]</f>
        <v>0</v>
      </c>
      <c r="H63" s="151" t="n">
        <f aca="false">OFFSET(TblMili[[#This Row],[Unit 4]],-1,0) + OFFSET(TblMili[[#This Row],[Train Unit 4]],-12,0)-TblMili[[#This Row],[Release Unit 4]]</f>
        <v>0</v>
      </c>
      <c r="I63" s="151" t="n">
        <f aca="false">OFFSET(TblMili[[#This Row],[Spies]],-1,0) + OFFSET(TblMili[[#This Row],[Train Spies]],-12,0) - TblMili[[#This Row],[Release Spies]]-TblMili[[#This Row],[Train AS]]</f>
        <v>0</v>
      </c>
      <c r="J63" s="151" t="n">
        <f aca="false">OFFSET(TblMili[[#This Row],[Archspies]],-1,0) + OFFSET(TblMili[[#This Row],[Train AS]],-12,0) - TblMili[[#This Row],[Release AS]]</f>
        <v>0</v>
      </c>
      <c r="K63" s="151" t="n">
        <f aca="false">OFFSET(TblMili[[#This Row],[Wizards]],-1,0) + OFFSET(TblMili[[#This Row],[Train Wiz]],-12,0) - TblMili[[#This Row],[Release Wizards]]-TblMili[[#This Row],[Train AM]]</f>
        <v>0</v>
      </c>
      <c r="L63" s="151" t="n">
        <f aca="false">OFFSET(TblMili[[#This Row],[Archmages]],-1,0) + OFFSET(TblMili[[#This Row],[Train AM]],-12,0) - TblMili[[#This Row],[Release AM]]</f>
        <v>0</v>
      </c>
      <c r="M63" s="132"/>
      <c r="N63" s="69" t="e">
        <f aca="false">TblProd[[#This Row],[Networth]]</f>
        <v>#VALUE!</v>
      </c>
      <c r="O63" s="132"/>
      <c r="P6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3" s="285" t="e">
        <f aca="false">TblMili[[#This Row],[Raw]]*(1+TblMili[[#This Row],[Mods_Off]])</f>
        <v>#VALUE!</v>
      </c>
      <c r="S6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3" s="285" t="e">
        <f aca="false">TblMili[[#This Row],[Non Draft]]+TblMili[[#This Row],[Draftees]]</f>
        <v>#VALUE!</v>
      </c>
      <c r="U63" s="286" t="n">
        <f aca="false">race_defense + TblImps[[#This Row],[Walls]] + ROUND( MIN(gt_bonus*TblConstr[[#This Row],[Tot GT]]/TblConstr[[#This Row],[Land]],gt_bonus_cap), 4) + IF(TblMagic[[#This Row],[Active Howling]]&gt;0,howling_dp_bonus,IF(TblMagic[[#This Row],[Active Ares Call]]&gt;0,ares_call_bonus))</f>
        <v>0</v>
      </c>
      <c r="V63" s="274" t="e">
        <f aca="false">TblMili[[#This Row],[Non Draft]] * (1 + TblMili[[#This Row],[Mods_Def]])</f>
        <v>#VALUE!</v>
      </c>
      <c r="W63" s="285" t="e">
        <f aca="false">TblMili[[#This Row],[Draft]] * (1 + TblMili[[#This Row],[Mods_Def]])</f>
        <v>#VALUE!</v>
      </c>
      <c r="X63" s="285" t="n">
        <f aca="false">TblConstr[[#This Row],[Land]]</f>
        <v>700</v>
      </c>
      <c r="Y63" s="287"/>
      <c r="Z63" s="109" t="n">
        <f aca="false">IF(TblMili[[#This Row],[Set]]&lt;&gt;"",TblMili[[#This Row],[Set]],OFFSET(TblMili[[#This Row],[Draftrate]],-1,0))</f>
        <v>0.9</v>
      </c>
      <c r="AA63" s="69" t="n">
        <f aca="false">OFFSET(TblMili[[#This Row],[Draftees]],-1,0)+OFFSET(TblPop[[#This Row],[Draft Growth]],-1,0) - SUM(TblMili[[#This Row],[Train Unit 1]:[Train Spies]],TblMili[[#This Row],[Train Wiz]]) - TblMili[[#This Row],[Release Draft]] + SUM(TblMili[[#This Row],[Release Unit 1]:[Release AM]]) - TblExplore[[#This Row],[Draftees (2)]]</f>
        <v>1609</v>
      </c>
      <c r="AB63" s="146"/>
      <c r="AC63" s="130" t="n">
        <f aca="false">(TblConstr[[#This Row],[Tot Smi]]+TblConstr[[#This Row],[Dest Smi]])/(TblConstr[[#This Row],[Land]]-TblExplore[[#This Row],[Land Bonus]]*20)</f>
        <v>0.162857142857143</v>
      </c>
      <c r="AD63" s="128"/>
      <c r="AE63" s="282" t="n">
        <f aca="false">TblMili[[#This Row],[Hour]]</f>
        <v>60</v>
      </c>
      <c r="AF63" s="129" t="n">
        <f aca="false">TblExplore[[#This Row],[Time]]</f>
        <v>45432.2083333333</v>
      </c>
      <c r="AG63" s="182"/>
      <c r="AH63" s="182"/>
      <c r="AI63" s="182"/>
      <c r="AJ63" s="182"/>
      <c r="AK63" s="182"/>
      <c r="AL63" s="182"/>
      <c r="AM63" s="182"/>
      <c r="AN63" s="182"/>
      <c r="AO63" s="132"/>
      <c r="AP63" s="69" t="n">
        <f aca="false">TblProd[[#This Row],[Platinum]]</f>
        <v>740222</v>
      </c>
      <c r="AQ63" s="69" t="n">
        <f aca="false">INDEX(TblProd[[#Headers],[Lumber]]:TblProd[[#This Row],[Ore]],COUNTA(TblProd[[#Headers],[Lumber]]:TblProd[[#This Row],[Lumber]]),MATCH(Military!$AQ$2,TblProd[[#Headers],[Lumber]:[Ore]],0))</f>
        <v>0</v>
      </c>
      <c r="AR6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69" t="n">
        <f aca="false">TblMili[[#This Row],[Train Unit 1]]*TblMili[[#This Row],[OP Ore]]+TblMili[[#This Row],[Train Unit 2]]*TblMili[[#This Row],[DP Ore]]+TblMili[[#This Row],[Train Unit 3]]*TblMili[[#This Row],[E1 Ore]]+TblMili[[#This Row],[Train Unit 4]]*TblMili[[#This Row],[E2 Ore]]</f>
        <v>0</v>
      </c>
      <c r="AT63" s="132" t="n">
        <f aca="false">TblMili[[#This Row],[Hour]]</f>
        <v>60</v>
      </c>
      <c r="AU63" s="144" t="n">
        <f aca="false">TblMili[[#This Row],[Time]]</f>
        <v>45432.2083333333</v>
      </c>
      <c r="AV63" s="69" t="n">
        <f aca="false">TblMili[[#This Row],[Draftees]]</f>
        <v>1609</v>
      </c>
      <c r="AW63" s="182"/>
      <c r="AX63" s="182"/>
      <c r="AY63" s="182"/>
      <c r="AZ63" s="182"/>
      <c r="BA63" s="182"/>
      <c r="BB63" s="182"/>
      <c r="BC63" s="182"/>
      <c r="BD63" s="182"/>
      <c r="BE63" s="182"/>
      <c r="BF63" s="132"/>
      <c r="BG63" s="150" t="n">
        <f aca="false">TblConstr[[#This Row],[Tot WG]]/TblConstr[[#This Row],[Land]]</f>
        <v>0</v>
      </c>
      <c r="BH63" s="150" t="n">
        <f aca="false">TblConstr[[#This Row],[Tot Hav]]/TblConstr[[#This Row],[Land]]</f>
        <v>0</v>
      </c>
      <c r="BI63" s="69" t="n">
        <f aca="false">ROUNDUP((1-MIN(TblMili[[#This Row],[Smithies]]*smithy_bonus,smithy_bonus_cap) + tech_3_5*TblTech[[#This Row],[3-5]] + tech_5_3*TblTech[[#This Row],[5-3]] + tech_5_5*TblTech[[#This Row],[5-5]])*spec_op_plat,0)</f>
        <v>203</v>
      </c>
      <c r="BJ63" s="69" t="n">
        <f aca="false">ROUNDUP(IF(race="Gnome",1,(1-MIN(TblMili[[#This Row],[Smithies]]*smithy_bonus,smithy_bonus_cap) + tech_3_5*TblTech[[#This Row],[3-5]] + tech_5_3*TblTech[[#This Row],[5-3]] + tech_5_5*TblTech[[#This Row],[5-5]]))*spec_op_ore,0)</f>
        <v>0</v>
      </c>
      <c r="BK63" s="69" t="n">
        <f aca="false">ROUNDUP((1-MIN(TblMili[[#This Row],[Smithies]]*smithy_bonus,smithy_bonus_cap) + tech_3_5*TblTech[[#This Row],[3-5]] + tech_5_3*TblTech[[#This Row],[5-3]] + tech_5_5*TblTech[[#This Row],[5-5]])*spec_dp_plat,0)</f>
        <v>203</v>
      </c>
      <c r="BL63" s="69" t="n">
        <f aca="false">ROUNDUP(IF(race="Gnome",1,(1-MIN(TblMili[[#This Row],[Smithies]]*smithy_bonus,smithy_bonus_cap) + tech_3_5*TblTech[[#This Row],[3-5]] + tech_5_3*TblTech[[#This Row],[5-3]] + tech_5_5*TblTech[[#This Row],[5-5]]))*spec_dp_ore,0)</f>
        <v>0</v>
      </c>
      <c r="BM63" s="69" t="n">
        <f aca="false">ROUNDUP((1-MIN(TblMili[[#This Row],[Smithies]]*smithy_bonus,smithy_bonus_cap) + tech_3_5*TblTech[[#This Row],[3-5]] + tech_5_3*TblTech[[#This Row],[5-3]] + tech_5_5*TblTech[[#This Row],[5-5]])*elite1_plat,0)</f>
        <v>624</v>
      </c>
      <c r="BN63" s="69" t="n">
        <f aca="false">ROUNDUP(IF(race="Gnome",1,(1-MIN(TblMili[[#This Row],[Smithies]]*smithy_bonus,smithy_bonus_cap) + tech_3_5*TblTech[[#This Row],[3-5]] + tech_5_3*TblTech[[#This Row],[5-3]] + tech_5_5*TblTech[[#This Row],[5-5]]))*elite1_ore,0)</f>
        <v>0</v>
      </c>
      <c r="BO63" s="69" t="n">
        <f aca="false">ROUNDUP((1-MIN(TblMili[[#This Row],[Smithies]]*smithy_bonus,smithy_bonus_cap) + tech_3_5*TblTech[[#This Row],[3-5]] + tech_5_3*TblTech[[#This Row],[5-3]] + tech_5_5*TblTech[[#This Row],[5-5]])*elite2_plat,0)</f>
        <v>641</v>
      </c>
      <c r="BP63" s="69" t="n">
        <f aca="false">ROUNDUP(IF(race="Gnome",1,(1-MIN(TblMili[[#This Row],[Smithies]]*smithy_bonus,smithy_bonus_cap) + tech_3_5*TblTech[[#This Row],[3-5]] + tech_5_3*TblTech[[#This Row],[5-3]] + tech_5_5*TblTech[[#This Row],[5-5]]))*elite2_ore,0)</f>
        <v>0</v>
      </c>
      <c r="BQ63" s="69" t="n">
        <f aca="false">ROUNDUP((1-MIN(ROUND(fh_spy_cost_red*TblMili[[#This Row],[FH''s]],4),fh_spy_cost_cap)+ tech_1_9*TblTech[[#This Row],[1-9]] + tech_9_1*TblTech[[#This Row],[9-1]])*spy_plat,0)</f>
        <v>500</v>
      </c>
      <c r="BR63" s="69" t="n">
        <f aca="false">ROUNDUP((1-MIN(ROUND(fh_spy_cost_red*TblMili[[#This Row],[FH''s]],4),fh_spy_cost_cap)+ tech_1_9*TblTech[[#This Row],[1-9]] + tech_9_1*TblTech[[#This Row],[9-1]])*archspy_plat,0)</f>
        <v>1000</v>
      </c>
      <c r="BS63" s="69" t="n">
        <f aca="false">ROUNDUP((1-MIN(ROUND(wg_wiz_cost_bonus*TblMili[[#This Row],[WG''s]],4),wg_wiz_cost_cap) + tech_1_9_2*TblTech[[#This Row],[1-9]] + tech_9_1_2*TblTech[[#This Row],[9-1]])*wizard_plat,0)</f>
        <v>500</v>
      </c>
      <c r="BT63" s="69" t="n">
        <f aca="false">ROUNDUP((1-MIN(ROUND(wg_wiz_cost_bonus*TblMili[[#This Row],[WG''s]],4),wg_wiz_cost_cap) + tech_1_9_2*TblTech[[#This Row],[1-9]] + tech_9_1_2*TblTech[[#This Row],[9-1]])*archmage_plat,0)</f>
        <v>1000</v>
      </c>
      <c r="BU63" s="132"/>
      <c r="BV63" s="150" t="e">
        <f aca="false">TblConstr[[#This Row],[Homeland]]/TblConstr[[#This Row],[Land]]</f>
        <v>#VALUE!</v>
      </c>
      <c r="BW63" s="150" t="n">
        <f aca="false">TblMili[[#This Row],[WG''s]]</f>
        <v>0</v>
      </c>
      <c r="BX63" s="288" t="e">
        <f aca="false">IF(mystic_cap="none",TblMili[[#This Row],[Hill]]/mystic_bonus,MIN(mystic_cap,TblMili[[#This Row],[Hill]]/mystic_bonus))</f>
        <v>#VALUE!</v>
      </c>
      <c r="BY63" s="288" t="e">
        <f aca="false">IF(druid_op_cap="none",TblMili[[#This Row],[Hill]]/druid_op_bonus,MIN(druid_op_cap,TblMili[[#This Row],[Hill]]/druid_op_bonus))</f>
        <v>#VALUE!</v>
      </c>
      <c r="BZ63" s="288" t="e">
        <f aca="false">IF(druid_dp_cap="none",TblMili[[#This Row],[Hill]]/druid_dp_bonus,MIN(druid_dp_cap,TblMili[[#This Row],[Hill]]/druid_dp_bonus))</f>
        <v>#VALUE!</v>
      </c>
      <c r="CA63" s="288" t="e">
        <f aca="false">MIN(dryad_cap,TblMili[[#This Row],[Hill]]/dryad_bonus)</f>
        <v>#VALUE!</v>
      </c>
      <c r="CB63" s="288" t="e">
        <f aca="false">MIN(rocka_cap,TblMili[[#This Row],[Hill]]/rocka_bonus)</f>
        <v>#VALUE!</v>
      </c>
      <c r="CC63" s="288" t="n">
        <f aca="false">MIN(adept_op_cap,TblMili[[#This Row],[WG]]/adept_op_bonus)</f>
        <v>0</v>
      </c>
      <c r="CD63" s="288" t="n">
        <f aca="false">MIN(adept_dp_cap,TblMili[[#This Row],[WG]]/adept_dp_bonus)</f>
        <v>0</v>
      </c>
      <c r="CE63" s="69" t="n">
        <f aca="false">MIN(TblMili[[#This Row],[Unit 3]],TblMili[[#This Row],[Unit 2]])*2</f>
        <v>0</v>
      </c>
      <c r="CF63" s="69" t="n">
        <f aca="false">MIN(TblMili[[#This Row],[Unit 1]],TblMili[[#This Row],[Unit 4]])*2</f>
        <v>0</v>
      </c>
      <c r="CG63" s="288" t="e">
        <f aca="false">MIN(frost_mage_cap,TblMili[[#This Row],[Hill]]/frost_mage_bonus)</f>
        <v>#VALUE!</v>
      </c>
      <c r="CH63" s="151" t="n">
        <f aca="false">MIN(ice_elem_cap,TblMili[[#This Row],[Raw (2)]]*ice_elem_bonus)</f>
        <v>0</v>
      </c>
      <c r="CI63" s="288" t="n">
        <f aca="false">MIN(bone_breaker_cap,250/bone_breaker_bonus)</f>
        <v>0.833333333333333</v>
      </c>
      <c r="CJ63" s="288" t="e">
        <f aca="false">MIN(nox_nightshade_cap,TblConstr[[#This Row],[Homeland]]/TblConstr[[#This Row],[Land]]/nox_nightshade_swamp_bonus)</f>
        <v>#VALUE!</v>
      </c>
      <c r="CK63" s="289"/>
      <c r="CL63" s="289"/>
      <c r="CM63" s="289"/>
      <c r="CN63" s="288" t="e">
        <f aca="false">MIN(6,TblMili[[#This Row],[Mystic]]+Races!$F$19)*1.8 +  IF(TblMili[[#This Row],[Mystic]]+Races!$F$19&gt;6,(TblMili[[#This Row],[Mystic]]+Races!$F$19-6)*0.2,0) - Races!$I$19</f>
        <v>#VALUE!</v>
      </c>
      <c r="CO63" s="288" t="e">
        <f aca="false">1.8 * MIN(MAX(TblMili[[#This Row],[Druid (op)]]+Races!$E$20,TblMili[[#This Row],[Druid (dp)]]+Races!$F$20),6)  +  0.45 * MIN(MIN(TblMili[[#This Row],[Druid (op)]]+Races!$E$20,TblMili[[#This Row],[Druid (dp)]]+Races!$F$20),6)  +  0.2 * ( MAX(TblMili[[#This Row],[Druid (op)]]+Races!$E$20-6,0) + MAX(TblMili[[#This Row],[Druid (dp)]]+Races!$F$20-6,0) )  -  Races!$I$20</f>
        <v>#VALUE!</v>
      </c>
      <c r="CP63" s="69" t="e">
        <f aca="false">TblMili[[#This Row],[Mystic bonus]]*TblMili[[#This Row],[Unit 3]]+TblMili[[#This Row],[Druid bonus]]*TblMili[[#This Row],[Unit 4]]</f>
        <v>#VALUE!</v>
      </c>
      <c r="CQ63" s="148" t="e">
        <f aca="false">MIN(6,TblMili[[#This Row],[Dryad]]+Races!$F$35)*1.8 +  IF(TblMili[[#This Row],[Dryad]]+Races!$F$35&gt;6,(TblMili[[#This Row],[Dryad]]+Races!$F$35-6)*0.2,0) - Races!$I$19</f>
        <v>#VALUE!</v>
      </c>
      <c r="CR63" s="69" t="e">
        <f aca="false">sylvan*(TblMili[[#This Row],[Mystic bonus]]*TblMili[[#This Row],[Unit 3]])</f>
        <v>#VALUE!</v>
      </c>
      <c r="CS63" s="148" t="e">
        <f aca="false">1.8 * MIN(MAX(Races!$E$27,TblMili[[#This Row],[Rockapult]]+Races!$F$27),6)  +  0.45 * MIN(MIN(Races!$E$27,TblMili[[#This Row],[Rockapult]]+Races!$F$27),6)  +  0.2 * ( MAX(Races!$E$27-6,0) + MAX(TblMili[[#This Row],[Rockapult]]+Races!$F$27-6,0) )  -  Races!$I$20</f>
        <v>#VALUE!</v>
      </c>
      <c r="CT63" s="69" t="e">
        <f aca="false">gnome*(TblMili[[#This Row],[Rockapult bonus]]*TblMili[[#This Row],[Unit 3]])</f>
        <v>#VALUE!</v>
      </c>
      <c r="CU63" s="148" t="n">
        <f aca="false">1.8 * MIN(MAX(TblMili[[#This Row],[Spellblade]]+Races!$E$47,TblMili[[#This Row],[Adept-DP]]+Races!$F$47),6)  +  0.45 * MIN(MIN(TblMili[[#This Row],[Spellblade]]+Races!$E$47,TblMili[[#This Row],[Adept-DP]]+Races!$F$47),6)  +  0.2 * ( MAX(TblMili[[#This Row],[Spellblade]]+Races!$E$47-6,0) + MAX(TblMili[[#This Row],[Adept-DP]]+Races!$F$47-6,0) )  -  Races!$I$47</f>
        <v>0</v>
      </c>
      <c r="CV63" s="69" t="n">
        <f aca="false">dark_elf*(TblMili[[#This Row],[Adept bonus]]*TblMili[[#This Row],[Unit 3]])</f>
        <v>0</v>
      </c>
      <c r="CW63" s="148" t="e">
        <f aca="false">1.8 * MIN(MAX(TblMili[[#This Row],[Frost Mage]]+Races!$F$71,Races!$E$71),6)  +  0.45 * MIN(MIN(TblMili[[#This Row],[Frost Mage]]+Races!$F$71,Races!$E$71),6)  +  0.2 * ( MAX(TblMili[[#This Row],[Frost Mage]]+Races!$F$71-6,0) + MAX(Races!$E$71-6,0) )  -  Races!$I$71</f>
        <v>#VALUE!</v>
      </c>
      <c r="CX63" s="148" t="n">
        <f aca="false">1.8 * MIN(MAX(TblMili[[#This Row],[Ice Elemental]]+Races!$E$71,Races!$F$71),6)  +  0.45 * MIN(MIN(TblMili[[#This Row],[Ice Elemental]]+Races!$E$71,Races!$F$71),6)  +  0.2 * ( MAX(TblMili[[#This Row],[Ice Elemental]]+Races!$E$71-6,0) + MAX(Races!$F$71-6,0) )  -  Races!$I$71</f>
        <v>0</v>
      </c>
      <c r="CY63" s="69" t="e">
        <f aca="false">TblMili[[#This Row],[Frost Mage bonus]]*TblMili[[#This Row],[Unit 3]]+TblMili[[#This Row],[Ice Elemental bonus]]*TblMili[[#This Row],[Unit 4]]</f>
        <v>#VALUE!</v>
      </c>
      <c r="CZ63" s="290"/>
      <c r="DA63" s="109" t="n">
        <f aca="false">MIN(SUM(TblConstr[[#This Row],[Plain]:[Water]])/TblMili[[#This Row],[Land]]/favorable_terrain_bonus/100,favorable_terrain_max)</f>
        <v>0</v>
      </c>
      <c r="DB63" s="290"/>
      <c r="DC6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3" s="132"/>
      <c r="DE63" s="291" t="n">
        <f aca="false">(TblMili[[#This Row],[Wizards]]+2*TblMili[[#This Row],[Archmages]])/TblConstr[[#This Row],[Land]]</f>
        <v>0</v>
      </c>
      <c r="DF63" s="291" t="n">
        <f aca="false">TblMili[[#This Row],[Raw (2)]]*(1+race_wizard_strength+IF(TblMili[[#This Row],[Hour]]&gt;72,tech_magical_weaponry_wiz*TblTech[[#This Row],[3-5]],0))</f>
        <v>0</v>
      </c>
    </row>
    <row r="64" customFormat="false" ht="12.75" hidden="false" customHeight="false" outlineLevel="0" collapsed="false">
      <c r="A64" s="128" t="n">
        <f aca="false">TblRezone[[#This Row],[Hour]]</f>
        <v>61</v>
      </c>
      <c r="B64" s="282" t="n">
        <f aca="false">SUM(TblMili[[#This Row],[Unit 1]:[Archmages]])+SUM(OFFSET(TblMili[[#This Row],[Train Unit 1]],-8,0):TblMili[[#This Row],[Train Unit 2]]) + SUM(OFFSET(TblMili[[#This Row],[Train Unit 3]],-11,0):TblMili[[#This Row],[Train AM]]) + TblMili[[#This Row],[Draftees]]</f>
        <v>1709</v>
      </c>
      <c r="C64" s="150" t="n">
        <f aca="false">TblPop[[#This Row],[Military%]]</f>
        <v>0.143060438640549</v>
      </c>
      <c r="D64" s="132"/>
      <c r="E64" s="151" t="n">
        <f aca="false">OFFSET(TblMili[[#This Row],[Unit 1]],-1,0) + OFFSET(TblMili[[#This Row],[Train Unit 1]],-9,0) - TblMili[[#This Row],[Release Unit 1]]</f>
        <v>0</v>
      </c>
      <c r="F64" s="151" t="n">
        <f aca="false">OFFSET(TblMili[[#This Row],[Unit 2]],-1,0) + OFFSET(TblMili[[#This Row],[Train Unit 2]],-9,0)-TblMili[[#This Row],[Release Unit 2]]</f>
        <v>0</v>
      </c>
      <c r="G64" s="151" t="n">
        <f aca="false">OFFSET(TblMili[[#This Row],[Unit 3]],-1,0) + OFFSET(TblMili[[#This Row],[Train Unit 3]],-12,0)-TblMili[[#This Row],[Release Unit 3]]</f>
        <v>0</v>
      </c>
      <c r="H64" s="151" t="n">
        <f aca="false">OFFSET(TblMili[[#This Row],[Unit 4]],-1,0) + OFFSET(TblMili[[#This Row],[Train Unit 4]],-12,0)-TblMili[[#This Row],[Release Unit 4]]</f>
        <v>0</v>
      </c>
      <c r="I64" s="151" t="n">
        <f aca="false">OFFSET(TblMili[[#This Row],[Spies]],-1,0) + OFFSET(TblMili[[#This Row],[Train Spies]],-12,0) - TblMili[[#This Row],[Release Spies]]-TblMili[[#This Row],[Train AS]]</f>
        <v>0</v>
      </c>
      <c r="J64" s="151" t="n">
        <f aca="false">OFFSET(TblMili[[#This Row],[Archspies]],-1,0) + OFFSET(TblMili[[#This Row],[Train AS]],-12,0) - TblMili[[#This Row],[Release AS]]</f>
        <v>0</v>
      </c>
      <c r="K64" s="151" t="n">
        <f aca="false">OFFSET(TblMili[[#This Row],[Wizards]],-1,0) + OFFSET(TblMili[[#This Row],[Train Wiz]],-12,0) - TblMili[[#This Row],[Release Wizards]]-TblMili[[#This Row],[Train AM]]</f>
        <v>0</v>
      </c>
      <c r="L64" s="151" t="n">
        <f aca="false">OFFSET(TblMili[[#This Row],[Archmages]],-1,0) + OFFSET(TblMili[[#This Row],[Train AM]],-12,0) - TblMili[[#This Row],[Release AM]]</f>
        <v>0</v>
      </c>
      <c r="M64" s="132"/>
      <c r="N64" s="69" t="e">
        <f aca="false">TblProd[[#This Row],[Networth]]</f>
        <v>#VALUE!</v>
      </c>
      <c r="O64" s="132"/>
      <c r="P6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4" s="285" t="e">
        <f aca="false">TblMili[[#This Row],[Raw]]*(1+TblMili[[#This Row],[Mods_Off]])</f>
        <v>#VALUE!</v>
      </c>
      <c r="S6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4" s="285" t="e">
        <f aca="false">TblMili[[#This Row],[Non Draft]]+TblMili[[#This Row],[Draftees]]</f>
        <v>#VALUE!</v>
      </c>
      <c r="U64" s="286" t="n">
        <f aca="false">race_defense + TblImps[[#This Row],[Walls]] + ROUND( MIN(gt_bonus*TblConstr[[#This Row],[Tot GT]]/TblConstr[[#This Row],[Land]],gt_bonus_cap), 4) + IF(TblMagic[[#This Row],[Active Howling]]&gt;0,howling_dp_bonus,IF(TblMagic[[#This Row],[Active Ares Call]]&gt;0,ares_call_bonus))</f>
        <v>0</v>
      </c>
      <c r="V64" s="274" t="e">
        <f aca="false">TblMili[[#This Row],[Non Draft]] * (1 + TblMili[[#This Row],[Mods_Def]])</f>
        <v>#VALUE!</v>
      </c>
      <c r="W64" s="285" t="e">
        <f aca="false">TblMili[[#This Row],[Draft]] * (1 + TblMili[[#This Row],[Mods_Def]])</f>
        <v>#VALUE!</v>
      </c>
      <c r="X64" s="285" t="n">
        <f aca="false">TblConstr[[#This Row],[Land]]</f>
        <v>700</v>
      </c>
      <c r="Y64" s="287"/>
      <c r="Z64" s="109" t="n">
        <f aca="false">IF(TblMili[[#This Row],[Set]]&lt;&gt;"",TblMili[[#This Row],[Set]],OFFSET(TblMili[[#This Row],[Draftrate]],-1,0))</f>
        <v>0.9</v>
      </c>
      <c r="AA64" s="69" t="n">
        <f aca="false">OFFSET(TblMili[[#This Row],[Draftees]],-1,0)+OFFSET(TblPop[[#This Row],[Draft Growth]],-1,0) - SUM(TblMili[[#This Row],[Train Unit 1]:[Train Spies]],TblMili[[#This Row],[Train Wiz]]) - TblMili[[#This Row],[Release Draft]] + SUM(TblMili[[#This Row],[Release Unit 1]:[Release AM]]) - TblExplore[[#This Row],[Draftees (2)]]</f>
        <v>396</v>
      </c>
      <c r="AB64" s="146"/>
      <c r="AC64" s="130" t="n">
        <f aca="false">(TblConstr[[#This Row],[Tot Smi]]+TblConstr[[#This Row],[Dest Smi]])/(TblConstr[[#This Row],[Land]]-TblExplore[[#This Row],[Land Bonus]]*20)</f>
        <v>0.18</v>
      </c>
      <c r="AD64" s="282"/>
      <c r="AE64" s="282" t="n">
        <f aca="false">TblMili[[#This Row],[Hour]]</f>
        <v>61</v>
      </c>
      <c r="AF64" s="129" t="n">
        <f aca="false">TblExplore[[#This Row],[Time]]</f>
        <v>45432.25</v>
      </c>
      <c r="AG64" s="182"/>
      <c r="AH64" s="152"/>
      <c r="AI64" s="182" t="n">
        <v>625</v>
      </c>
      <c r="AJ64" s="152" t="n">
        <v>638</v>
      </c>
      <c r="AK64" s="152" t="n">
        <v>25</v>
      </c>
      <c r="AL64" s="152"/>
      <c r="AM64" s="152" t="n">
        <v>25</v>
      </c>
      <c r="AN64" s="182"/>
      <c r="AO64" s="132"/>
      <c r="AP64" s="69" t="n">
        <f aca="false">TblProd[[#This Row],[Platinum]]</f>
        <v>12986</v>
      </c>
      <c r="AQ64" s="69" t="n">
        <f aca="false">INDEX(TblProd[[#Headers],[Lumber]]:TblProd[[#This Row],[Ore]],COUNTA(TblProd[[#Headers],[Lumber]]:TblProd[[#This Row],[Lumber]]),MATCH(Military!$AQ$2,TblProd[[#Headers],[Lumber]:[Ore]],0))</f>
        <v>0</v>
      </c>
      <c r="AR6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782904</v>
      </c>
      <c r="AS64" s="69" t="n">
        <f aca="false">TblMili[[#This Row],[Train Unit 1]]*TblMili[[#This Row],[OP Ore]]+TblMili[[#This Row],[Train Unit 2]]*TblMili[[#This Row],[DP Ore]]+TblMili[[#This Row],[Train Unit 3]]*TblMili[[#This Row],[E1 Ore]]+TblMili[[#This Row],[Train Unit 4]]*TblMili[[#This Row],[E2 Ore]]</f>
        <v>0</v>
      </c>
      <c r="AT64" s="132" t="n">
        <f aca="false">TblMili[[#This Row],[Hour]]</f>
        <v>61</v>
      </c>
      <c r="AU64" s="144" t="n">
        <f aca="false">TblMili[[#This Row],[Time]]</f>
        <v>45432.25</v>
      </c>
      <c r="AV64" s="69" t="n">
        <f aca="false">TblMili[[#This Row],[Draftees]]</f>
        <v>396</v>
      </c>
      <c r="AW64" s="182"/>
      <c r="AX64" s="182"/>
      <c r="AY64" s="182"/>
      <c r="AZ64" s="182"/>
      <c r="BA64" s="182"/>
      <c r="BB64" s="182"/>
      <c r="BC64" s="182"/>
      <c r="BD64" s="182"/>
      <c r="BE64" s="182"/>
      <c r="BF64" s="132"/>
      <c r="BG64" s="150" t="n">
        <f aca="false">TblConstr[[#This Row],[Tot WG]]/TblConstr[[#This Row],[Land]]</f>
        <v>0</v>
      </c>
      <c r="BH64" s="150" t="n">
        <f aca="false">TblConstr[[#This Row],[Tot Hav]]/TblConstr[[#This Row],[Land]]</f>
        <v>0</v>
      </c>
      <c r="BI64" s="69" t="n">
        <f aca="false">ROUNDUP((1-MIN(TblMili[[#This Row],[Smithies]]*smithy_bonus,smithy_bonus_cap) + tech_3_5*TblTech[[#This Row],[3-5]] + tech_5_3*TblTech[[#This Row],[5-3]] + tech_5_5*TblTech[[#This Row],[5-5]])*spec_op_plat,0)</f>
        <v>192</v>
      </c>
      <c r="BJ64" s="69" t="n">
        <f aca="false">ROUNDUP(IF(race="Gnome",1,(1-MIN(TblMili[[#This Row],[Smithies]]*smithy_bonus,smithy_bonus_cap) + tech_3_5*TblTech[[#This Row],[3-5]] + tech_5_3*TblTech[[#This Row],[5-3]] + tech_5_5*TblTech[[#This Row],[5-5]]))*spec_op_ore,0)</f>
        <v>0</v>
      </c>
      <c r="BK64" s="69" t="n">
        <f aca="false">ROUNDUP((1-MIN(TblMili[[#This Row],[Smithies]]*smithy_bonus,smithy_bonus_cap) + tech_3_5*TblTech[[#This Row],[3-5]] + tech_5_3*TblTech[[#This Row],[5-3]] + tech_5_5*TblTech[[#This Row],[5-5]])*spec_dp_plat,0)</f>
        <v>192</v>
      </c>
      <c r="BL64" s="69" t="n">
        <f aca="false">ROUNDUP(IF(race="Gnome",1,(1-MIN(TblMili[[#This Row],[Smithies]]*smithy_bonus,smithy_bonus_cap) + tech_3_5*TblTech[[#This Row],[3-5]] + tech_5_3*TblTech[[#This Row],[5-3]] + tech_5_5*TblTech[[#This Row],[5-5]]))*spec_dp_ore,0)</f>
        <v>0</v>
      </c>
      <c r="BM64" s="69" t="n">
        <f aca="false">ROUNDUP((1-MIN(TblMili[[#This Row],[Smithies]]*smithy_bonus,smithy_bonus_cap) + tech_3_5*TblTech[[#This Row],[3-5]] + tech_5_3*TblTech[[#This Row],[5-3]] + tech_5_5*TblTech[[#This Row],[5-5]])*elite1_plat,0)</f>
        <v>592</v>
      </c>
      <c r="BN64" s="69" t="n">
        <f aca="false">ROUNDUP(IF(race="Gnome",1,(1-MIN(TblMili[[#This Row],[Smithies]]*smithy_bonus,smithy_bonus_cap) + tech_3_5*TblTech[[#This Row],[3-5]] + tech_5_3*TblTech[[#This Row],[5-3]] + tech_5_5*TblTech[[#This Row],[5-5]]))*elite1_ore,0)</f>
        <v>0</v>
      </c>
      <c r="BO64" s="69" t="n">
        <f aca="false">ROUNDUP((1-MIN(TblMili[[#This Row],[Smithies]]*smithy_bonus,smithy_bonus_cap) + tech_3_5*TblTech[[#This Row],[3-5]] + tech_5_3*TblTech[[#This Row],[5-3]] + tech_5_5*TblTech[[#This Row],[5-5]])*elite2_plat,0)</f>
        <v>608</v>
      </c>
      <c r="BP64" s="69" t="n">
        <f aca="false">ROUNDUP(IF(race="Gnome",1,(1-MIN(TblMili[[#This Row],[Smithies]]*smithy_bonus,smithy_bonus_cap) + tech_3_5*TblTech[[#This Row],[3-5]] + tech_5_3*TblTech[[#This Row],[5-3]] + tech_5_5*TblTech[[#This Row],[5-5]]))*elite2_ore,0)</f>
        <v>0</v>
      </c>
      <c r="BQ64" s="69" t="n">
        <f aca="false">ROUNDUP((1-MIN(ROUND(fh_spy_cost_red*TblMili[[#This Row],[FH''s]],4),fh_spy_cost_cap)+ tech_1_9*TblTech[[#This Row],[1-9]] + tech_9_1*TblTech[[#This Row],[9-1]])*spy_plat,0)</f>
        <v>500</v>
      </c>
      <c r="BR64" s="69" t="n">
        <f aca="false">ROUNDUP((1-MIN(ROUND(fh_spy_cost_red*TblMili[[#This Row],[FH''s]],4),fh_spy_cost_cap)+ tech_1_9*TblTech[[#This Row],[1-9]] + tech_9_1*TblTech[[#This Row],[9-1]])*archspy_plat,0)</f>
        <v>1000</v>
      </c>
      <c r="BS64" s="69" t="n">
        <f aca="false">ROUNDUP((1-MIN(ROUND(wg_wiz_cost_bonus*TblMili[[#This Row],[WG''s]],4),wg_wiz_cost_cap) + tech_1_9_2*TblTech[[#This Row],[1-9]] + tech_9_1_2*TblTech[[#This Row],[9-1]])*wizard_plat,0)</f>
        <v>500</v>
      </c>
      <c r="BT64" s="69" t="n">
        <f aca="false">ROUNDUP((1-MIN(ROUND(wg_wiz_cost_bonus*TblMili[[#This Row],[WG''s]],4),wg_wiz_cost_cap) + tech_1_9_2*TblTech[[#This Row],[1-9]] + tech_9_1_2*TblTech[[#This Row],[9-1]])*archmage_plat,0)</f>
        <v>1000</v>
      </c>
      <c r="BU64" s="132"/>
      <c r="BV64" s="150" t="e">
        <f aca="false">TblConstr[[#This Row],[Homeland]]/TblConstr[[#This Row],[Land]]</f>
        <v>#VALUE!</v>
      </c>
      <c r="BW64" s="150" t="n">
        <f aca="false">TblMili[[#This Row],[WG''s]]</f>
        <v>0</v>
      </c>
      <c r="BX64" s="288" t="e">
        <f aca="false">IF(mystic_cap="none",TblMili[[#This Row],[Hill]]/mystic_bonus,MIN(mystic_cap,TblMili[[#This Row],[Hill]]/mystic_bonus))</f>
        <v>#VALUE!</v>
      </c>
      <c r="BY64" s="288" t="e">
        <f aca="false">IF(druid_op_cap="none",TblMili[[#This Row],[Hill]]/druid_op_bonus,MIN(druid_op_cap,TblMili[[#This Row],[Hill]]/druid_op_bonus))</f>
        <v>#VALUE!</v>
      </c>
      <c r="BZ64" s="288" t="e">
        <f aca="false">IF(druid_dp_cap="none",TblMili[[#This Row],[Hill]]/druid_dp_bonus,MIN(druid_dp_cap,TblMili[[#This Row],[Hill]]/druid_dp_bonus))</f>
        <v>#VALUE!</v>
      </c>
      <c r="CA64" s="288" t="e">
        <f aca="false">MIN(dryad_cap,TblMili[[#This Row],[Hill]]/dryad_bonus)</f>
        <v>#VALUE!</v>
      </c>
      <c r="CB64" s="288" t="e">
        <f aca="false">MIN(rocka_cap,TblMili[[#This Row],[Hill]]/rocka_bonus)</f>
        <v>#VALUE!</v>
      </c>
      <c r="CC64" s="288" t="n">
        <f aca="false">MIN(adept_op_cap,TblMili[[#This Row],[WG]]/adept_op_bonus)</f>
        <v>0</v>
      </c>
      <c r="CD64" s="288" t="n">
        <f aca="false">MIN(adept_dp_cap,TblMili[[#This Row],[WG]]/adept_dp_bonus)</f>
        <v>0</v>
      </c>
      <c r="CE64" s="69" t="n">
        <f aca="false">MIN(TblMili[[#This Row],[Unit 3]],TblMili[[#This Row],[Unit 2]])*2</f>
        <v>0</v>
      </c>
      <c r="CF64" s="69" t="n">
        <f aca="false">MIN(TblMili[[#This Row],[Unit 1]],TblMili[[#This Row],[Unit 4]])*2</f>
        <v>0</v>
      </c>
      <c r="CG64" s="288" t="e">
        <f aca="false">MIN(frost_mage_cap,TblMili[[#This Row],[Hill]]/frost_mage_bonus)</f>
        <v>#VALUE!</v>
      </c>
      <c r="CH64" s="151" t="n">
        <f aca="false">MIN(ice_elem_cap,TblMili[[#This Row],[Raw (2)]]*ice_elem_bonus)</f>
        <v>0</v>
      </c>
      <c r="CI64" s="288" t="n">
        <f aca="false">MIN(bone_breaker_cap,250/bone_breaker_bonus)</f>
        <v>0.833333333333333</v>
      </c>
      <c r="CJ64" s="288" t="e">
        <f aca="false">MIN(nox_nightshade_cap,TblConstr[[#This Row],[Homeland]]/TblConstr[[#This Row],[Land]]/nox_nightshade_swamp_bonus)</f>
        <v>#VALUE!</v>
      </c>
      <c r="CK64" s="289"/>
      <c r="CL64" s="289"/>
      <c r="CM64" s="289"/>
      <c r="CN64" s="288" t="e">
        <f aca="false">MIN(6,TblMili[[#This Row],[Mystic]]+Races!$F$19)*1.8 +  IF(TblMili[[#This Row],[Mystic]]+Races!$F$19&gt;6,(TblMili[[#This Row],[Mystic]]+Races!$F$19-6)*0.2,0) - Races!$I$19</f>
        <v>#VALUE!</v>
      </c>
      <c r="CO64" s="288" t="e">
        <f aca="false">1.8 * MIN(MAX(TblMili[[#This Row],[Druid (op)]]+Races!$E$20,TblMili[[#This Row],[Druid (dp)]]+Races!$F$20),6)  +  0.45 * MIN(MIN(TblMili[[#This Row],[Druid (op)]]+Races!$E$20,TblMili[[#This Row],[Druid (dp)]]+Races!$F$20),6)  +  0.2 * ( MAX(TblMili[[#This Row],[Druid (op)]]+Races!$E$20-6,0) + MAX(TblMili[[#This Row],[Druid (dp)]]+Races!$F$20-6,0) )  -  Races!$I$20</f>
        <v>#VALUE!</v>
      </c>
      <c r="CP64" s="69" t="e">
        <f aca="false">TblMili[[#This Row],[Mystic bonus]]*TblMili[[#This Row],[Unit 3]]+TblMili[[#This Row],[Druid bonus]]*TblMili[[#This Row],[Unit 4]]</f>
        <v>#VALUE!</v>
      </c>
      <c r="CQ64" s="148" t="e">
        <f aca="false">MIN(6,TblMili[[#This Row],[Dryad]]+Races!$F$35)*1.8 +  IF(TblMili[[#This Row],[Dryad]]+Races!$F$35&gt;6,(TblMili[[#This Row],[Dryad]]+Races!$F$35-6)*0.2,0) - Races!$I$19</f>
        <v>#VALUE!</v>
      </c>
      <c r="CR64" s="69" t="e">
        <f aca="false">sylvan*(TblMili[[#This Row],[Mystic bonus]]*TblMili[[#This Row],[Unit 3]])</f>
        <v>#VALUE!</v>
      </c>
      <c r="CS64" s="148" t="e">
        <f aca="false">1.8 * MIN(MAX(Races!$E$27,TblMili[[#This Row],[Rockapult]]+Races!$F$27),6)  +  0.45 * MIN(MIN(Races!$E$27,TblMili[[#This Row],[Rockapult]]+Races!$F$27),6)  +  0.2 * ( MAX(Races!$E$27-6,0) + MAX(TblMili[[#This Row],[Rockapult]]+Races!$F$27-6,0) )  -  Races!$I$20</f>
        <v>#VALUE!</v>
      </c>
      <c r="CT64" s="69" t="e">
        <f aca="false">gnome*(TblMili[[#This Row],[Rockapult bonus]]*TblMili[[#This Row],[Unit 3]])</f>
        <v>#VALUE!</v>
      </c>
      <c r="CU64" s="148" t="n">
        <f aca="false">1.8 * MIN(MAX(TblMili[[#This Row],[Spellblade]]+Races!$E$47,TblMili[[#This Row],[Adept-DP]]+Races!$F$47),6)  +  0.45 * MIN(MIN(TblMili[[#This Row],[Spellblade]]+Races!$E$47,TblMili[[#This Row],[Adept-DP]]+Races!$F$47),6)  +  0.2 * ( MAX(TblMili[[#This Row],[Spellblade]]+Races!$E$47-6,0) + MAX(TblMili[[#This Row],[Adept-DP]]+Races!$F$47-6,0) )  -  Races!$I$47</f>
        <v>0</v>
      </c>
      <c r="CV64" s="69" t="n">
        <f aca="false">dark_elf*(TblMili[[#This Row],[Adept bonus]]*TblMili[[#This Row],[Unit 3]])</f>
        <v>0</v>
      </c>
      <c r="CW64" s="148" t="e">
        <f aca="false">1.8 * MIN(MAX(TblMili[[#This Row],[Frost Mage]]+Races!$F$71,Races!$E$71),6)  +  0.45 * MIN(MIN(TblMili[[#This Row],[Frost Mage]]+Races!$F$71,Races!$E$71),6)  +  0.2 * ( MAX(TblMili[[#This Row],[Frost Mage]]+Races!$F$71-6,0) + MAX(Races!$E$71-6,0) )  -  Races!$I$71</f>
        <v>#VALUE!</v>
      </c>
      <c r="CX64" s="148" t="n">
        <f aca="false">1.8 * MIN(MAX(TblMili[[#This Row],[Ice Elemental]]+Races!$E$71,Races!$F$71),6)  +  0.45 * MIN(MIN(TblMili[[#This Row],[Ice Elemental]]+Races!$E$71,Races!$F$71),6)  +  0.2 * ( MAX(TblMili[[#This Row],[Ice Elemental]]+Races!$E$71-6,0) + MAX(Races!$F$71-6,0) )  -  Races!$I$71</f>
        <v>0</v>
      </c>
      <c r="CY64" s="69" t="e">
        <f aca="false">TblMili[[#This Row],[Frost Mage bonus]]*TblMili[[#This Row],[Unit 3]]+TblMili[[#This Row],[Ice Elemental bonus]]*TblMili[[#This Row],[Unit 4]]</f>
        <v>#VALUE!</v>
      </c>
      <c r="CZ64" s="290"/>
      <c r="DA64" s="109" t="n">
        <f aca="false">MIN(SUM(TblConstr[[#This Row],[Plain]:[Water]])/TblMili[[#This Row],[Land]]/favorable_terrain_bonus/100,favorable_terrain_max)</f>
        <v>0</v>
      </c>
      <c r="DB64" s="290"/>
      <c r="DC6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4" s="132"/>
      <c r="DE64" s="291" t="n">
        <f aca="false">(TblMili[[#This Row],[Wizards]]+2*TblMili[[#This Row],[Archmages]])/TblConstr[[#This Row],[Land]]</f>
        <v>0</v>
      </c>
      <c r="DF64" s="291" t="n">
        <f aca="false">TblMili[[#This Row],[Raw (2)]]*(1+race_wizard_strength+IF(TblMili[[#This Row],[Hour]]&gt;72,tech_magical_weaponry_wiz*TblTech[[#This Row],[3-5]],0))</f>
        <v>0</v>
      </c>
    </row>
    <row r="65" customFormat="false" ht="12.75" hidden="false" customHeight="false" outlineLevel="0" collapsed="false">
      <c r="A65" s="128" t="n">
        <f aca="false">TblRezone[[#This Row],[Hour]]</f>
        <v>62</v>
      </c>
      <c r="B65" s="282" t="n">
        <f aca="false">SUM(TblMili[[#This Row],[Unit 1]:[Archmages]])+SUM(OFFSET(TblMili[[#This Row],[Train Unit 1]],-8,0):TblMili[[#This Row],[Train Unit 2]]) + SUM(OFFSET(TblMili[[#This Row],[Train Unit 3]],-11,0):TblMili[[#This Row],[Train AM]]) + TblMili[[#This Row],[Draftees]]</f>
        <v>1811</v>
      </c>
      <c r="C65" s="150" t="n">
        <f aca="false">TblPop[[#This Row],[Military%]]</f>
        <v>0.151598861543613</v>
      </c>
      <c r="D65" s="132"/>
      <c r="E65" s="151" t="n">
        <f aca="false">OFFSET(TblMili[[#This Row],[Unit 1]],-1,0) + OFFSET(TblMili[[#This Row],[Train Unit 1]],-9,0) - TblMili[[#This Row],[Release Unit 1]]</f>
        <v>0</v>
      </c>
      <c r="F65" s="151" t="n">
        <f aca="false">OFFSET(TblMili[[#This Row],[Unit 2]],-1,0) + OFFSET(TblMili[[#This Row],[Train Unit 2]],-9,0)-TblMili[[#This Row],[Release Unit 2]]</f>
        <v>0</v>
      </c>
      <c r="G65" s="151" t="n">
        <f aca="false">OFFSET(TblMili[[#This Row],[Unit 3]],-1,0) + OFFSET(TblMili[[#This Row],[Train Unit 3]],-12,0)-TblMili[[#This Row],[Release Unit 3]]</f>
        <v>0</v>
      </c>
      <c r="H65" s="151" t="n">
        <f aca="false">OFFSET(TblMili[[#This Row],[Unit 4]],-1,0) + OFFSET(TblMili[[#This Row],[Train Unit 4]],-12,0)-TblMili[[#This Row],[Release Unit 4]]</f>
        <v>0</v>
      </c>
      <c r="I65" s="151" t="n">
        <f aca="false">OFFSET(TblMili[[#This Row],[Spies]],-1,0) + OFFSET(TblMili[[#This Row],[Train Spies]],-12,0) - TblMili[[#This Row],[Release Spies]]-TblMili[[#This Row],[Train AS]]</f>
        <v>0</v>
      </c>
      <c r="J65" s="151" t="n">
        <f aca="false">OFFSET(TblMili[[#This Row],[Archspies]],-1,0) + OFFSET(TblMili[[#This Row],[Train AS]],-12,0) - TblMili[[#This Row],[Release AS]]</f>
        <v>0</v>
      </c>
      <c r="K65" s="151" t="n">
        <f aca="false">OFFSET(TblMili[[#This Row],[Wizards]],-1,0) + OFFSET(TblMili[[#This Row],[Train Wiz]],-12,0) - TblMili[[#This Row],[Release Wizards]]-TblMili[[#This Row],[Train AM]]</f>
        <v>0</v>
      </c>
      <c r="L65" s="151" t="n">
        <f aca="false">OFFSET(TblMili[[#This Row],[Archmages]],-1,0) + OFFSET(TblMili[[#This Row],[Train AM]],-12,0) - TblMili[[#This Row],[Release AM]]</f>
        <v>0</v>
      </c>
      <c r="M65" s="132"/>
      <c r="N65" s="69" t="e">
        <f aca="false">TblProd[[#This Row],[Networth]]</f>
        <v>#VALUE!</v>
      </c>
      <c r="O65" s="132"/>
      <c r="P6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5" s="285" t="e">
        <f aca="false">TblMili[[#This Row],[Raw]]*(1+TblMili[[#This Row],[Mods_Off]])</f>
        <v>#VALUE!</v>
      </c>
      <c r="S6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5" s="285" t="e">
        <f aca="false">TblMili[[#This Row],[Non Draft]]+TblMili[[#This Row],[Draftees]]</f>
        <v>#VALUE!</v>
      </c>
      <c r="U65" s="286" t="n">
        <f aca="false">race_defense + TblImps[[#This Row],[Walls]] + ROUND( MIN(gt_bonus*TblConstr[[#This Row],[Tot GT]]/TblConstr[[#This Row],[Land]],gt_bonus_cap), 4) + IF(TblMagic[[#This Row],[Active Howling]]&gt;0,howling_dp_bonus,IF(TblMagic[[#This Row],[Active Ares Call]]&gt;0,ares_call_bonus))</f>
        <v>0</v>
      </c>
      <c r="V65" s="274" t="e">
        <f aca="false">TblMili[[#This Row],[Non Draft]] * (1 + TblMili[[#This Row],[Mods_Def]])</f>
        <v>#VALUE!</v>
      </c>
      <c r="W65" s="285" t="e">
        <f aca="false">TblMili[[#This Row],[Draft]] * (1 + TblMili[[#This Row],[Mods_Def]])</f>
        <v>#VALUE!</v>
      </c>
      <c r="X65" s="285" t="n">
        <f aca="false">TblConstr[[#This Row],[Land]]</f>
        <v>700</v>
      </c>
      <c r="Y65" s="287"/>
      <c r="Z65" s="109" t="n">
        <f aca="false">IF(TblMili[[#This Row],[Set]]&lt;&gt;"",TblMili[[#This Row],[Set]],OFFSET(TblMili[[#This Row],[Draftrate]],-1,0))</f>
        <v>0.9</v>
      </c>
      <c r="AA65" s="69" t="n">
        <f aca="false">OFFSET(TblMili[[#This Row],[Draftees]],-1,0)+OFFSET(TblPop[[#This Row],[Draft Growth]],-1,0) - SUM(TblMili[[#This Row],[Train Unit 1]:[Train Spies]],TblMili[[#This Row],[Train Wiz]]) - TblMili[[#This Row],[Release Draft]] + SUM(TblMili[[#This Row],[Release Unit 1]:[Release AM]]) - TblExplore[[#This Row],[Draftees (2)]]</f>
        <v>498</v>
      </c>
      <c r="AB65" s="146"/>
      <c r="AC65" s="130" t="n">
        <f aca="false">(TblConstr[[#This Row],[Tot Smi]]+TblConstr[[#This Row],[Dest Smi]])/(TblConstr[[#This Row],[Land]]-TblExplore[[#This Row],[Land Bonus]]*20)</f>
        <v>0.18</v>
      </c>
      <c r="AD65" s="128"/>
      <c r="AE65" s="282" t="n">
        <f aca="false">TblMili[[#This Row],[Hour]]</f>
        <v>62</v>
      </c>
      <c r="AF65" s="129" t="n">
        <f aca="false">TblExplore[[#This Row],[Time]]</f>
        <v>45432.2916666667</v>
      </c>
      <c r="AG65" s="152"/>
      <c r="AH65" s="182"/>
      <c r="AI65" s="182"/>
      <c r="AJ65" s="182"/>
      <c r="AK65" s="182"/>
      <c r="AL65" s="182"/>
      <c r="AM65" s="182"/>
      <c r="AN65" s="182"/>
      <c r="AO65" s="132"/>
      <c r="AP65" s="69" t="n">
        <f aca="false">TblProd[[#This Row],[Platinum]]</f>
        <v>55184</v>
      </c>
      <c r="AQ65" s="69" t="n">
        <f aca="false">INDEX(TblProd[[#Headers],[Lumber]]:TblProd[[#This Row],[Ore]],COUNTA(TblProd[[#Headers],[Lumber]]:TblProd[[#This Row],[Lumber]]),MATCH(Military!$AQ$2,TblProd[[#Headers],[Lumber]:[Ore]],0))</f>
        <v>0</v>
      </c>
      <c r="AR6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69" t="n">
        <f aca="false">TblMili[[#This Row],[Train Unit 1]]*TblMili[[#This Row],[OP Ore]]+TblMili[[#This Row],[Train Unit 2]]*TblMili[[#This Row],[DP Ore]]+TblMili[[#This Row],[Train Unit 3]]*TblMili[[#This Row],[E1 Ore]]+TblMili[[#This Row],[Train Unit 4]]*TblMili[[#This Row],[E2 Ore]]</f>
        <v>0</v>
      </c>
      <c r="AT65" s="132" t="n">
        <f aca="false">TblMili[[#This Row],[Hour]]</f>
        <v>62</v>
      </c>
      <c r="AU65" s="144" t="n">
        <f aca="false">TblMili[[#This Row],[Time]]</f>
        <v>45432.2916666667</v>
      </c>
      <c r="AV65" s="69" t="n">
        <f aca="false">TblMili[[#This Row],[Draftees]]</f>
        <v>498</v>
      </c>
      <c r="AW65" s="152"/>
      <c r="AX65" s="182"/>
      <c r="AY65" s="182"/>
      <c r="AZ65" s="182"/>
      <c r="BA65" s="182"/>
      <c r="BB65" s="182"/>
      <c r="BC65" s="182"/>
      <c r="BD65" s="182"/>
      <c r="BE65" s="182"/>
      <c r="BF65" s="132"/>
      <c r="BG65" s="150" t="n">
        <f aca="false">TblConstr[[#This Row],[Tot WG]]/TblConstr[[#This Row],[Land]]</f>
        <v>0</v>
      </c>
      <c r="BH65" s="150" t="n">
        <f aca="false">TblConstr[[#This Row],[Tot Hav]]/TblConstr[[#This Row],[Land]]</f>
        <v>0</v>
      </c>
      <c r="BI65" s="69" t="n">
        <f aca="false">ROUNDUP((1-MIN(TblMili[[#This Row],[Smithies]]*smithy_bonus,smithy_bonus_cap) + tech_3_5*TblTech[[#This Row],[3-5]] + tech_5_3*TblTech[[#This Row],[5-3]] + tech_5_5*TblTech[[#This Row],[5-5]])*spec_op_plat,0)</f>
        <v>192</v>
      </c>
      <c r="BJ65" s="69" t="n">
        <f aca="false">ROUNDUP(IF(race="Gnome",1,(1-MIN(TblMili[[#This Row],[Smithies]]*smithy_bonus,smithy_bonus_cap) + tech_3_5*TblTech[[#This Row],[3-5]] + tech_5_3*TblTech[[#This Row],[5-3]] + tech_5_5*TblTech[[#This Row],[5-5]]))*spec_op_ore,0)</f>
        <v>0</v>
      </c>
      <c r="BK65" s="69" t="n">
        <f aca="false">ROUNDUP((1-MIN(TblMili[[#This Row],[Smithies]]*smithy_bonus,smithy_bonus_cap) + tech_3_5*TblTech[[#This Row],[3-5]] + tech_5_3*TblTech[[#This Row],[5-3]] + tech_5_5*TblTech[[#This Row],[5-5]])*spec_dp_plat,0)</f>
        <v>192</v>
      </c>
      <c r="BL65" s="69" t="n">
        <f aca="false">ROUNDUP(IF(race="Gnome",1,(1-MIN(TblMili[[#This Row],[Smithies]]*smithy_bonus,smithy_bonus_cap) + tech_3_5*TblTech[[#This Row],[3-5]] + tech_5_3*TblTech[[#This Row],[5-3]] + tech_5_5*TblTech[[#This Row],[5-5]]))*spec_dp_ore,0)</f>
        <v>0</v>
      </c>
      <c r="BM65" s="69" t="n">
        <f aca="false">ROUNDUP((1-MIN(TblMili[[#This Row],[Smithies]]*smithy_bonus,smithy_bonus_cap) + tech_3_5*TblTech[[#This Row],[3-5]] + tech_5_3*TblTech[[#This Row],[5-3]] + tech_5_5*TblTech[[#This Row],[5-5]])*elite1_plat,0)</f>
        <v>592</v>
      </c>
      <c r="BN65" s="69" t="n">
        <f aca="false">ROUNDUP(IF(race="Gnome",1,(1-MIN(TblMili[[#This Row],[Smithies]]*smithy_bonus,smithy_bonus_cap) + tech_3_5*TblTech[[#This Row],[3-5]] + tech_5_3*TblTech[[#This Row],[5-3]] + tech_5_5*TblTech[[#This Row],[5-5]]))*elite1_ore,0)</f>
        <v>0</v>
      </c>
      <c r="BO65" s="69" t="n">
        <f aca="false">ROUNDUP((1-MIN(TblMili[[#This Row],[Smithies]]*smithy_bonus,smithy_bonus_cap) + tech_3_5*TblTech[[#This Row],[3-5]] + tech_5_3*TblTech[[#This Row],[5-3]] + tech_5_5*TblTech[[#This Row],[5-5]])*elite2_plat,0)</f>
        <v>608</v>
      </c>
      <c r="BP65" s="69" t="n">
        <f aca="false">ROUNDUP(IF(race="Gnome",1,(1-MIN(TblMili[[#This Row],[Smithies]]*smithy_bonus,smithy_bonus_cap) + tech_3_5*TblTech[[#This Row],[3-5]] + tech_5_3*TblTech[[#This Row],[5-3]] + tech_5_5*TblTech[[#This Row],[5-5]]))*elite2_ore,0)</f>
        <v>0</v>
      </c>
      <c r="BQ65" s="69" t="n">
        <f aca="false">ROUNDUP((1-MIN(ROUND(fh_spy_cost_red*TblMili[[#This Row],[FH''s]],4),fh_spy_cost_cap)+ tech_1_9*TblTech[[#This Row],[1-9]] + tech_9_1*TblTech[[#This Row],[9-1]])*spy_plat,0)</f>
        <v>500</v>
      </c>
      <c r="BR65" s="69" t="n">
        <f aca="false">ROUNDUP((1-MIN(ROUND(fh_spy_cost_red*TblMili[[#This Row],[FH''s]],4),fh_spy_cost_cap)+ tech_1_9*TblTech[[#This Row],[1-9]] + tech_9_1*TblTech[[#This Row],[9-1]])*archspy_plat,0)</f>
        <v>1000</v>
      </c>
      <c r="BS65" s="69" t="n">
        <f aca="false">ROUNDUP((1-MIN(ROUND(wg_wiz_cost_bonus*TblMili[[#This Row],[WG''s]],4),wg_wiz_cost_cap) + tech_1_9_2*TblTech[[#This Row],[1-9]] + tech_9_1_2*TblTech[[#This Row],[9-1]])*wizard_plat,0)</f>
        <v>500</v>
      </c>
      <c r="BT65" s="69" t="n">
        <f aca="false">ROUNDUP((1-MIN(ROUND(wg_wiz_cost_bonus*TblMili[[#This Row],[WG''s]],4),wg_wiz_cost_cap) + tech_1_9_2*TblTech[[#This Row],[1-9]] + tech_9_1_2*TblTech[[#This Row],[9-1]])*archmage_plat,0)</f>
        <v>1000</v>
      </c>
      <c r="BU65" s="132"/>
      <c r="BV65" s="150" t="e">
        <f aca="false">TblConstr[[#This Row],[Homeland]]/TblConstr[[#This Row],[Land]]</f>
        <v>#VALUE!</v>
      </c>
      <c r="BW65" s="150" t="n">
        <f aca="false">TblMili[[#This Row],[WG''s]]</f>
        <v>0</v>
      </c>
      <c r="BX65" s="288" t="e">
        <f aca="false">IF(mystic_cap="none",TblMili[[#This Row],[Hill]]/mystic_bonus,MIN(mystic_cap,TblMili[[#This Row],[Hill]]/mystic_bonus))</f>
        <v>#VALUE!</v>
      </c>
      <c r="BY65" s="288" t="e">
        <f aca="false">IF(druid_op_cap="none",TblMili[[#This Row],[Hill]]/druid_op_bonus,MIN(druid_op_cap,TblMili[[#This Row],[Hill]]/druid_op_bonus))</f>
        <v>#VALUE!</v>
      </c>
      <c r="BZ65" s="288" t="e">
        <f aca="false">IF(druid_dp_cap="none",TblMili[[#This Row],[Hill]]/druid_dp_bonus,MIN(druid_dp_cap,TblMili[[#This Row],[Hill]]/druid_dp_bonus))</f>
        <v>#VALUE!</v>
      </c>
      <c r="CA65" s="288" t="e">
        <f aca="false">MIN(dryad_cap,TblMili[[#This Row],[Hill]]/dryad_bonus)</f>
        <v>#VALUE!</v>
      </c>
      <c r="CB65" s="288" t="e">
        <f aca="false">MIN(rocka_cap,TblMili[[#This Row],[Hill]]/rocka_bonus)</f>
        <v>#VALUE!</v>
      </c>
      <c r="CC65" s="288" t="n">
        <f aca="false">MIN(adept_op_cap,TblMili[[#This Row],[WG]]/adept_op_bonus)</f>
        <v>0</v>
      </c>
      <c r="CD65" s="288" t="n">
        <f aca="false">MIN(adept_dp_cap,TblMili[[#This Row],[WG]]/adept_dp_bonus)</f>
        <v>0</v>
      </c>
      <c r="CE65" s="69" t="n">
        <f aca="false">MIN(TblMili[[#This Row],[Unit 3]],TblMili[[#This Row],[Unit 2]])*2</f>
        <v>0</v>
      </c>
      <c r="CF65" s="69" t="n">
        <f aca="false">MIN(TblMili[[#This Row],[Unit 1]],TblMili[[#This Row],[Unit 4]])*2</f>
        <v>0</v>
      </c>
      <c r="CG65" s="288" t="e">
        <f aca="false">MIN(frost_mage_cap,TblMili[[#This Row],[Hill]]/frost_mage_bonus)</f>
        <v>#VALUE!</v>
      </c>
      <c r="CH65" s="151" t="n">
        <f aca="false">MIN(ice_elem_cap,TblMili[[#This Row],[Raw (2)]]*ice_elem_bonus)</f>
        <v>0</v>
      </c>
      <c r="CI65" s="288" t="n">
        <f aca="false">MIN(bone_breaker_cap,250/bone_breaker_bonus)</f>
        <v>0.833333333333333</v>
      </c>
      <c r="CJ65" s="288" t="e">
        <f aca="false">MIN(nox_nightshade_cap,TblConstr[[#This Row],[Homeland]]/TblConstr[[#This Row],[Land]]/nox_nightshade_swamp_bonus)</f>
        <v>#VALUE!</v>
      </c>
      <c r="CK65" s="289"/>
      <c r="CL65" s="289"/>
      <c r="CM65" s="289"/>
      <c r="CN65" s="288" t="e">
        <f aca="false">MIN(6,TblMili[[#This Row],[Mystic]]+Races!$F$19)*1.8 +  IF(TblMili[[#This Row],[Mystic]]+Races!$F$19&gt;6,(TblMili[[#This Row],[Mystic]]+Races!$F$19-6)*0.2,0) - Races!$I$19</f>
        <v>#VALUE!</v>
      </c>
      <c r="CO65" s="288" t="e">
        <f aca="false">1.8 * MIN(MAX(TblMili[[#This Row],[Druid (op)]]+Races!$E$20,TblMili[[#This Row],[Druid (dp)]]+Races!$F$20),6)  +  0.45 * MIN(MIN(TblMili[[#This Row],[Druid (op)]]+Races!$E$20,TblMili[[#This Row],[Druid (dp)]]+Races!$F$20),6)  +  0.2 * ( MAX(TblMili[[#This Row],[Druid (op)]]+Races!$E$20-6,0) + MAX(TblMili[[#This Row],[Druid (dp)]]+Races!$F$20-6,0) )  -  Races!$I$20</f>
        <v>#VALUE!</v>
      </c>
      <c r="CP65" s="69" t="e">
        <f aca="false">TblMili[[#This Row],[Mystic bonus]]*TblMili[[#This Row],[Unit 3]]+TblMili[[#This Row],[Druid bonus]]*TblMili[[#This Row],[Unit 4]]</f>
        <v>#VALUE!</v>
      </c>
      <c r="CQ65" s="148" t="e">
        <f aca="false">MIN(6,TblMili[[#This Row],[Dryad]]+Races!$F$35)*1.8 +  IF(TblMili[[#This Row],[Dryad]]+Races!$F$35&gt;6,(TblMili[[#This Row],[Dryad]]+Races!$F$35-6)*0.2,0) - Races!$I$19</f>
        <v>#VALUE!</v>
      </c>
      <c r="CR65" s="69" t="e">
        <f aca="false">sylvan*(TblMili[[#This Row],[Mystic bonus]]*TblMili[[#This Row],[Unit 3]])</f>
        <v>#VALUE!</v>
      </c>
      <c r="CS65" s="148" t="e">
        <f aca="false">1.8 * MIN(MAX(Races!$E$27,TblMili[[#This Row],[Rockapult]]+Races!$F$27),6)  +  0.45 * MIN(MIN(Races!$E$27,TblMili[[#This Row],[Rockapult]]+Races!$F$27),6)  +  0.2 * ( MAX(Races!$E$27-6,0) + MAX(TblMili[[#This Row],[Rockapult]]+Races!$F$27-6,0) )  -  Races!$I$20</f>
        <v>#VALUE!</v>
      </c>
      <c r="CT65" s="69" t="e">
        <f aca="false">gnome*(TblMili[[#This Row],[Rockapult bonus]]*TblMili[[#This Row],[Unit 3]])</f>
        <v>#VALUE!</v>
      </c>
      <c r="CU65" s="148" t="n">
        <f aca="false">1.8 * MIN(MAX(TblMili[[#This Row],[Spellblade]]+Races!$E$47,TblMili[[#This Row],[Adept-DP]]+Races!$F$47),6)  +  0.45 * MIN(MIN(TblMili[[#This Row],[Spellblade]]+Races!$E$47,TblMili[[#This Row],[Adept-DP]]+Races!$F$47),6)  +  0.2 * ( MAX(TblMili[[#This Row],[Spellblade]]+Races!$E$47-6,0) + MAX(TblMili[[#This Row],[Adept-DP]]+Races!$F$47-6,0) )  -  Races!$I$47</f>
        <v>0</v>
      </c>
      <c r="CV65" s="69" t="n">
        <f aca="false">dark_elf*(TblMili[[#This Row],[Adept bonus]]*TblMili[[#This Row],[Unit 3]])</f>
        <v>0</v>
      </c>
      <c r="CW65" s="148" t="e">
        <f aca="false">1.8 * MIN(MAX(TblMili[[#This Row],[Frost Mage]]+Races!$F$71,Races!$E$71),6)  +  0.45 * MIN(MIN(TblMili[[#This Row],[Frost Mage]]+Races!$F$71,Races!$E$71),6)  +  0.2 * ( MAX(TblMili[[#This Row],[Frost Mage]]+Races!$F$71-6,0) + MAX(Races!$E$71-6,0) )  -  Races!$I$71</f>
        <v>#VALUE!</v>
      </c>
      <c r="CX65" s="148" t="n">
        <f aca="false">1.8 * MIN(MAX(TblMili[[#This Row],[Ice Elemental]]+Races!$E$71,Races!$F$71),6)  +  0.45 * MIN(MIN(TblMili[[#This Row],[Ice Elemental]]+Races!$E$71,Races!$F$71),6)  +  0.2 * ( MAX(TblMili[[#This Row],[Ice Elemental]]+Races!$E$71-6,0) + MAX(Races!$F$71-6,0) )  -  Races!$I$71</f>
        <v>0</v>
      </c>
      <c r="CY65" s="69" t="e">
        <f aca="false">TblMili[[#This Row],[Frost Mage bonus]]*TblMili[[#This Row],[Unit 3]]+TblMili[[#This Row],[Ice Elemental bonus]]*TblMili[[#This Row],[Unit 4]]</f>
        <v>#VALUE!</v>
      </c>
      <c r="CZ65" s="290"/>
      <c r="DA65" s="109" t="n">
        <f aca="false">MIN(SUM(TblConstr[[#This Row],[Plain]:[Water]])/TblMili[[#This Row],[Land]]/favorable_terrain_bonus/100,favorable_terrain_max)</f>
        <v>0</v>
      </c>
      <c r="DB65" s="290"/>
      <c r="DC6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5" s="132"/>
      <c r="DE65" s="291" t="n">
        <f aca="false">(TblMili[[#This Row],[Wizards]]+2*TblMili[[#This Row],[Archmages]])/TblConstr[[#This Row],[Land]]</f>
        <v>0</v>
      </c>
      <c r="DF65" s="291" t="n">
        <f aca="false">TblMili[[#This Row],[Raw (2)]]*(1+race_wizard_strength+IF(TblMili[[#This Row],[Hour]]&gt;72,tech_magical_weaponry_wiz*TblTech[[#This Row],[3-5]],0))</f>
        <v>0</v>
      </c>
    </row>
    <row r="66" customFormat="false" ht="12.75" hidden="false" customHeight="false" outlineLevel="0" collapsed="false">
      <c r="A66" s="128" t="n">
        <f aca="false">TblRezone[[#This Row],[Hour]]</f>
        <v>63</v>
      </c>
      <c r="B66" s="282" t="n">
        <f aca="false">SUM(TblMili[[#This Row],[Unit 1]:[Archmages]])+SUM(OFFSET(TblMili[[#This Row],[Train Unit 1]],-8,0):TblMili[[#This Row],[Train Unit 2]]) + SUM(OFFSET(TblMili[[#This Row],[Train Unit 3]],-11,0):TblMili[[#This Row],[Train AM]]) + TblMili[[#This Row],[Draftees]]</f>
        <v>1912</v>
      </c>
      <c r="C66" s="150" t="n">
        <f aca="false">TblPop[[#This Row],[Military%]]</f>
        <v>0.160053574418215</v>
      </c>
      <c r="D66" s="132"/>
      <c r="E66" s="151" t="n">
        <f aca="false">OFFSET(TblMili[[#This Row],[Unit 1]],-1,0) + OFFSET(TblMili[[#This Row],[Train Unit 1]],-9,0) - TblMili[[#This Row],[Release Unit 1]]</f>
        <v>0</v>
      </c>
      <c r="F66" s="151" t="n">
        <f aca="false">OFFSET(TblMili[[#This Row],[Unit 2]],-1,0) + OFFSET(TblMili[[#This Row],[Train Unit 2]],-9,0)-TblMili[[#This Row],[Release Unit 2]]</f>
        <v>0</v>
      </c>
      <c r="G66" s="151" t="n">
        <f aca="false">OFFSET(TblMili[[#This Row],[Unit 3]],-1,0) + OFFSET(TblMili[[#This Row],[Train Unit 3]],-12,0)-TblMili[[#This Row],[Release Unit 3]]</f>
        <v>0</v>
      </c>
      <c r="H66" s="151" t="n">
        <f aca="false">OFFSET(TblMili[[#This Row],[Unit 4]],-1,0) + OFFSET(TblMili[[#This Row],[Train Unit 4]],-12,0)-TblMili[[#This Row],[Release Unit 4]]</f>
        <v>0</v>
      </c>
      <c r="I66" s="151" t="n">
        <f aca="false">OFFSET(TblMili[[#This Row],[Spies]],-1,0) + OFFSET(TblMili[[#This Row],[Train Spies]],-12,0) - TblMili[[#This Row],[Release Spies]]-TblMili[[#This Row],[Train AS]]</f>
        <v>0</v>
      </c>
      <c r="J66" s="151" t="n">
        <f aca="false">OFFSET(TblMili[[#This Row],[Archspies]],-1,0) + OFFSET(TblMili[[#This Row],[Train AS]],-12,0) - TblMili[[#This Row],[Release AS]]</f>
        <v>0</v>
      </c>
      <c r="K66" s="151" t="n">
        <f aca="false">OFFSET(TblMili[[#This Row],[Wizards]],-1,0) + OFFSET(TblMili[[#This Row],[Train Wiz]],-12,0) - TblMili[[#This Row],[Release Wizards]]-TblMili[[#This Row],[Train AM]]</f>
        <v>0</v>
      </c>
      <c r="L66" s="151" t="n">
        <f aca="false">OFFSET(TblMili[[#This Row],[Archmages]],-1,0) + OFFSET(TblMili[[#This Row],[Train AM]],-12,0) - TblMili[[#This Row],[Release AM]]</f>
        <v>0</v>
      </c>
      <c r="M66" s="132"/>
      <c r="N66" s="69" t="e">
        <f aca="false">TblProd[[#This Row],[Networth]]</f>
        <v>#VALUE!</v>
      </c>
      <c r="O66" s="132"/>
      <c r="P6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6" s="285" t="e">
        <f aca="false">TblMili[[#This Row],[Raw]]*(1+TblMili[[#This Row],[Mods_Off]])</f>
        <v>#VALUE!</v>
      </c>
      <c r="S6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6" s="285" t="e">
        <f aca="false">TblMili[[#This Row],[Non Draft]]+TblMili[[#This Row],[Draftees]]</f>
        <v>#VALUE!</v>
      </c>
      <c r="U66" s="286" t="n">
        <f aca="false">race_defense + TblImps[[#This Row],[Walls]] + ROUND( MIN(gt_bonus*TblConstr[[#This Row],[Tot GT]]/TblConstr[[#This Row],[Land]],gt_bonus_cap), 4) + IF(TblMagic[[#This Row],[Active Howling]]&gt;0,howling_dp_bonus,IF(TblMagic[[#This Row],[Active Ares Call]]&gt;0,ares_call_bonus))</f>
        <v>0</v>
      </c>
      <c r="V66" s="274" t="e">
        <f aca="false">TblMili[[#This Row],[Non Draft]] * (1 + TblMili[[#This Row],[Mods_Def]])</f>
        <v>#VALUE!</v>
      </c>
      <c r="W66" s="285" t="e">
        <f aca="false">TblMili[[#This Row],[Draft]] * (1 + TblMili[[#This Row],[Mods_Def]])</f>
        <v>#VALUE!</v>
      </c>
      <c r="X66" s="285" t="n">
        <f aca="false">TblConstr[[#This Row],[Land]]</f>
        <v>700</v>
      </c>
      <c r="Y66" s="287"/>
      <c r="Z66" s="109" t="n">
        <f aca="false">IF(TblMili[[#This Row],[Set]]&lt;&gt;"",TblMili[[#This Row],[Set]],OFFSET(TblMili[[#This Row],[Draftrate]],-1,0))</f>
        <v>0.9</v>
      </c>
      <c r="AA66" s="69" t="n">
        <f aca="false">OFFSET(TblMili[[#This Row],[Draftees]],-1,0)+OFFSET(TblPop[[#This Row],[Draft Growth]],-1,0) - SUM(TblMili[[#This Row],[Train Unit 1]:[Train Spies]],TblMili[[#This Row],[Train Wiz]]) - TblMili[[#This Row],[Release Draft]] + SUM(TblMili[[#This Row],[Release Unit 1]:[Release AM]]) - TblExplore[[#This Row],[Draftees (2)]]</f>
        <v>599</v>
      </c>
      <c r="AB66" s="146"/>
      <c r="AC66" s="130" t="n">
        <f aca="false">(TblConstr[[#This Row],[Tot Smi]]+TblConstr[[#This Row],[Dest Smi]])/(TblConstr[[#This Row],[Land]]-TblExplore[[#This Row],[Land Bonus]]*20)</f>
        <v>0.18</v>
      </c>
      <c r="AD66" s="128"/>
      <c r="AE66" s="282" t="n">
        <f aca="false">TblMili[[#This Row],[Hour]]</f>
        <v>63</v>
      </c>
      <c r="AF66" s="129" t="n">
        <f aca="false">TblExplore[[#This Row],[Time]]</f>
        <v>45432.3333333333</v>
      </c>
      <c r="AG66" s="182"/>
      <c r="AH66" s="182"/>
      <c r="AI66" s="182"/>
      <c r="AJ66" s="182"/>
      <c r="AK66" s="182"/>
      <c r="AL66" s="182"/>
      <c r="AM66" s="182"/>
      <c r="AN66" s="182"/>
      <c r="AO66" s="132"/>
      <c r="AP66" s="69" t="n">
        <f aca="false">TblProd[[#This Row],[Platinum]]</f>
        <v>96824</v>
      </c>
      <c r="AQ66" s="69" t="n">
        <f aca="false">INDEX(TblProd[[#Headers],[Lumber]]:TblProd[[#This Row],[Ore]],COUNTA(TblProd[[#Headers],[Lumber]]:TblProd[[#This Row],[Lumber]]),MATCH(Military!$AQ$2,TblProd[[#Headers],[Lumber]:[Ore]],0))</f>
        <v>0</v>
      </c>
      <c r="AR6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69" t="n">
        <f aca="false">TblMili[[#This Row],[Train Unit 1]]*TblMili[[#This Row],[OP Ore]]+TblMili[[#This Row],[Train Unit 2]]*TblMili[[#This Row],[DP Ore]]+TblMili[[#This Row],[Train Unit 3]]*TblMili[[#This Row],[E1 Ore]]+TblMili[[#This Row],[Train Unit 4]]*TblMili[[#This Row],[E2 Ore]]</f>
        <v>0</v>
      </c>
      <c r="AT66" s="132" t="n">
        <f aca="false">TblMili[[#This Row],[Hour]]</f>
        <v>63</v>
      </c>
      <c r="AU66" s="144" t="n">
        <f aca="false">TblMili[[#This Row],[Time]]</f>
        <v>45432.3333333333</v>
      </c>
      <c r="AV66" s="69" t="n">
        <f aca="false">TblMili[[#This Row],[Draftees]]</f>
        <v>599</v>
      </c>
      <c r="AW66" s="182"/>
      <c r="AX66" s="182"/>
      <c r="AY66" s="182"/>
      <c r="AZ66" s="182"/>
      <c r="BA66" s="182"/>
      <c r="BB66" s="182"/>
      <c r="BC66" s="182"/>
      <c r="BD66" s="182"/>
      <c r="BE66" s="182"/>
      <c r="BF66" s="132"/>
      <c r="BG66" s="150" t="n">
        <f aca="false">TblConstr[[#This Row],[Tot WG]]/TblConstr[[#This Row],[Land]]</f>
        <v>0</v>
      </c>
      <c r="BH66" s="150" t="n">
        <f aca="false">TblConstr[[#This Row],[Tot Hav]]/TblConstr[[#This Row],[Land]]</f>
        <v>0</v>
      </c>
      <c r="BI66" s="69" t="n">
        <f aca="false">ROUNDUP((1-MIN(TblMili[[#This Row],[Smithies]]*smithy_bonus,smithy_bonus_cap) + tech_3_5*TblTech[[#This Row],[3-5]] + tech_5_3*TblTech[[#This Row],[5-3]] + tech_5_5*TblTech[[#This Row],[5-5]])*spec_op_plat,0)</f>
        <v>192</v>
      </c>
      <c r="BJ66" s="69" t="n">
        <f aca="false">ROUNDUP(IF(race="Gnome",1,(1-MIN(TblMili[[#This Row],[Smithies]]*smithy_bonus,smithy_bonus_cap) + tech_3_5*TblTech[[#This Row],[3-5]] + tech_5_3*TblTech[[#This Row],[5-3]] + tech_5_5*TblTech[[#This Row],[5-5]]))*spec_op_ore,0)</f>
        <v>0</v>
      </c>
      <c r="BK66" s="69" t="n">
        <f aca="false">ROUNDUP((1-MIN(TblMili[[#This Row],[Smithies]]*smithy_bonus,smithy_bonus_cap) + tech_3_5*TblTech[[#This Row],[3-5]] + tech_5_3*TblTech[[#This Row],[5-3]] + tech_5_5*TblTech[[#This Row],[5-5]])*spec_dp_plat,0)</f>
        <v>192</v>
      </c>
      <c r="BL66" s="69" t="n">
        <f aca="false">ROUNDUP(IF(race="Gnome",1,(1-MIN(TblMili[[#This Row],[Smithies]]*smithy_bonus,smithy_bonus_cap) + tech_3_5*TblTech[[#This Row],[3-5]] + tech_5_3*TblTech[[#This Row],[5-3]] + tech_5_5*TblTech[[#This Row],[5-5]]))*spec_dp_ore,0)</f>
        <v>0</v>
      </c>
      <c r="BM66" s="69" t="n">
        <f aca="false">ROUNDUP((1-MIN(TblMili[[#This Row],[Smithies]]*smithy_bonus,smithy_bonus_cap) + tech_3_5*TblTech[[#This Row],[3-5]] + tech_5_3*TblTech[[#This Row],[5-3]] + tech_5_5*TblTech[[#This Row],[5-5]])*elite1_plat,0)</f>
        <v>592</v>
      </c>
      <c r="BN66" s="69" t="n">
        <f aca="false">ROUNDUP(IF(race="Gnome",1,(1-MIN(TblMili[[#This Row],[Smithies]]*smithy_bonus,smithy_bonus_cap) + tech_3_5*TblTech[[#This Row],[3-5]] + tech_5_3*TblTech[[#This Row],[5-3]] + tech_5_5*TblTech[[#This Row],[5-5]]))*elite1_ore,0)</f>
        <v>0</v>
      </c>
      <c r="BO66" s="69" t="n">
        <f aca="false">ROUNDUP((1-MIN(TblMili[[#This Row],[Smithies]]*smithy_bonus,smithy_bonus_cap) + tech_3_5*TblTech[[#This Row],[3-5]] + tech_5_3*TblTech[[#This Row],[5-3]] + tech_5_5*TblTech[[#This Row],[5-5]])*elite2_plat,0)</f>
        <v>608</v>
      </c>
      <c r="BP66" s="69" t="n">
        <f aca="false">ROUNDUP(IF(race="Gnome",1,(1-MIN(TblMili[[#This Row],[Smithies]]*smithy_bonus,smithy_bonus_cap) + tech_3_5*TblTech[[#This Row],[3-5]] + tech_5_3*TblTech[[#This Row],[5-3]] + tech_5_5*TblTech[[#This Row],[5-5]]))*elite2_ore,0)</f>
        <v>0</v>
      </c>
      <c r="BQ66" s="69" t="n">
        <f aca="false">ROUNDUP((1-MIN(ROUND(fh_spy_cost_red*TblMili[[#This Row],[FH''s]],4),fh_spy_cost_cap)+ tech_1_9*TblTech[[#This Row],[1-9]] + tech_9_1*TblTech[[#This Row],[9-1]])*spy_plat,0)</f>
        <v>500</v>
      </c>
      <c r="BR66" s="69" t="n">
        <f aca="false">ROUNDUP((1-MIN(ROUND(fh_spy_cost_red*TblMili[[#This Row],[FH''s]],4),fh_spy_cost_cap)+ tech_1_9*TblTech[[#This Row],[1-9]] + tech_9_1*TblTech[[#This Row],[9-1]])*archspy_plat,0)</f>
        <v>1000</v>
      </c>
      <c r="BS66" s="69" t="n">
        <f aca="false">ROUNDUP((1-MIN(ROUND(wg_wiz_cost_bonus*TblMili[[#This Row],[WG''s]],4),wg_wiz_cost_cap) + tech_1_9_2*TblTech[[#This Row],[1-9]] + tech_9_1_2*TblTech[[#This Row],[9-1]])*wizard_plat,0)</f>
        <v>500</v>
      </c>
      <c r="BT66" s="69" t="n">
        <f aca="false">ROUNDUP((1-MIN(ROUND(wg_wiz_cost_bonus*TblMili[[#This Row],[WG''s]],4),wg_wiz_cost_cap) + tech_1_9_2*TblTech[[#This Row],[1-9]] + tech_9_1_2*TblTech[[#This Row],[9-1]])*archmage_plat,0)</f>
        <v>1000</v>
      </c>
      <c r="BU66" s="132"/>
      <c r="BV66" s="150" t="e">
        <f aca="false">TblConstr[[#This Row],[Homeland]]/TblConstr[[#This Row],[Land]]</f>
        <v>#VALUE!</v>
      </c>
      <c r="BW66" s="150" t="n">
        <f aca="false">TblMili[[#This Row],[WG''s]]</f>
        <v>0</v>
      </c>
      <c r="BX66" s="288" t="e">
        <f aca="false">IF(mystic_cap="none",TblMili[[#This Row],[Hill]]/mystic_bonus,MIN(mystic_cap,TblMili[[#This Row],[Hill]]/mystic_bonus))</f>
        <v>#VALUE!</v>
      </c>
      <c r="BY66" s="288" t="e">
        <f aca="false">IF(druid_op_cap="none",TblMili[[#This Row],[Hill]]/druid_op_bonus,MIN(druid_op_cap,TblMili[[#This Row],[Hill]]/druid_op_bonus))</f>
        <v>#VALUE!</v>
      </c>
      <c r="BZ66" s="288" t="e">
        <f aca="false">IF(druid_dp_cap="none",TblMili[[#This Row],[Hill]]/druid_dp_bonus,MIN(druid_dp_cap,TblMili[[#This Row],[Hill]]/druid_dp_bonus))</f>
        <v>#VALUE!</v>
      </c>
      <c r="CA66" s="288" t="e">
        <f aca="false">MIN(dryad_cap,TblMili[[#This Row],[Hill]]/dryad_bonus)</f>
        <v>#VALUE!</v>
      </c>
      <c r="CB66" s="288" t="e">
        <f aca="false">MIN(rocka_cap,TblMili[[#This Row],[Hill]]/rocka_bonus)</f>
        <v>#VALUE!</v>
      </c>
      <c r="CC66" s="288" t="n">
        <f aca="false">MIN(adept_op_cap,TblMili[[#This Row],[WG]]/adept_op_bonus)</f>
        <v>0</v>
      </c>
      <c r="CD66" s="288" t="n">
        <f aca="false">MIN(adept_dp_cap,TblMili[[#This Row],[WG]]/adept_dp_bonus)</f>
        <v>0</v>
      </c>
      <c r="CE66" s="69" t="n">
        <f aca="false">MIN(TblMili[[#This Row],[Unit 3]],TblMili[[#This Row],[Unit 2]])*2</f>
        <v>0</v>
      </c>
      <c r="CF66" s="69" t="n">
        <f aca="false">MIN(TblMili[[#This Row],[Unit 1]],TblMili[[#This Row],[Unit 4]])*2</f>
        <v>0</v>
      </c>
      <c r="CG66" s="288" t="e">
        <f aca="false">MIN(frost_mage_cap,TblMili[[#This Row],[Hill]]/frost_mage_bonus)</f>
        <v>#VALUE!</v>
      </c>
      <c r="CH66" s="151" t="n">
        <f aca="false">MIN(ice_elem_cap,TblMili[[#This Row],[Raw (2)]]*ice_elem_bonus)</f>
        <v>0</v>
      </c>
      <c r="CI66" s="288" t="n">
        <f aca="false">MIN(bone_breaker_cap,250/bone_breaker_bonus)</f>
        <v>0.833333333333333</v>
      </c>
      <c r="CJ66" s="288" t="e">
        <f aca="false">MIN(nox_nightshade_cap,TblConstr[[#This Row],[Homeland]]/TblConstr[[#This Row],[Land]]/nox_nightshade_swamp_bonus)</f>
        <v>#VALUE!</v>
      </c>
      <c r="CK66" s="289"/>
      <c r="CL66" s="289"/>
      <c r="CM66" s="289"/>
      <c r="CN66" s="288" t="e">
        <f aca="false">MIN(6,TblMili[[#This Row],[Mystic]]+Races!$F$19)*1.8 +  IF(TblMili[[#This Row],[Mystic]]+Races!$F$19&gt;6,(TblMili[[#This Row],[Mystic]]+Races!$F$19-6)*0.2,0) - Races!$I$19</f>
        <v>#VALUE!</v>
      </c>
      <c r="CO66" s="288" t="e">
        <f aca="false">1.8 * MIN(MAX(TblMili[[#This Row],[Druid (op)]]+Races!$E$20,TblMili[[#This Row],[Druid (dp)]]+Races!$F$20),6)  +  0.45 * MIN(MIN(TblMili[[#This Row],[Druid (op)]]+Races!$E$20,TblMili[[#This Row],[Druid (dp)]]+Races!$F$20),6)  +  0.2 * ( MAX(TblMili[[#This Row],[Druid (op)]]+Races!$E$20-6,0) + MAX(TblMili[[#This Row],[Druid (dp)]]+Races!$F$20-6,0) )  -  Races!$I$20</f>
        <v>#VALUE!</v>
      </c>
      <c r="CP66" s="69" t="e">
        <f aca="false">TblMili[[#This Row],[Mystic bonus]]*TblMili[[#This Row],[Unit 3]]+TblMili[[#This Row],[Druid bonus]]*TblMili[[#This Row],[Unit 4]]</f>
        <v>#VALUE!</v>
      </c>
      <c r="CQ66" s="148" t="e">
        <f aca="false">MIN(6,TblMili[[#This Row],[Dryad]]+Races!$F$35)*1.8 +  IF(TblMili[[#This Row],[Dryad]]+Races!$F$35&gt;6,(TblMili[[#This Row],[Dryad]]+Races!$F$35-6)*0.2,0) - Races!$I$19</f>
        <v>#VALUE!</v>
      </c>
      <c r="CR66" s="69" t="e">
        <f aca="false">sylvan*(TblMili[[#This Row],[Mystic bonus]]*TblMili[[#This Row],[Unit 3]])</f>
        <v>#VALUE!</v>
      </c>
      <c r="CS66" s="148" t="e">
        <f aca="false">1.8 * MIN(MAX(Races!$E$27,TblMili[[#This Row],[Rockapult]]+Races!$F$27),6)  +  0.45 * MIN(MIN(Races!$E$27,TblMili[[#This Row],[Rockapult]]+Races!$F$27),6)  +  0.2 * ( MAX(Races!$E$27-6,0) + MAX(TblMili[[#This Row],[Rockapult]]+Races!$F$27-6,0) )  -  Races!$I$20</f>
        <v>#VALUE!</v>
      </c>
      <c r="CT66" s="69" t="e">
        <f aca="false">gnome*(TblMili[[#This Row],[Rockapult bonus]]*TblMili[[#This Row],[Unit 3]])</f>
        <v>#VALUE!</v>
      </c>
      <c r="CU66" s="148" t="n">
        <f aca="false">1.8 * MIN(MAX(TblMili[[#This Row],[Spellblade]]+Races!$E$47,TblMili[[#This Row],[Adept-DP]]+Races!$F$47),6)  +  0.45 * MIN(MIN(TblMili[[#This Row],[Spellblade]]+Races!$E$47,TblMili[[#This Row],[Adept-DP]]+Races!$F$47),6)  +  0.2 * ( MAX(TblMili[[#This Row],[Spellblade]]+Races!$E$47-6,0) + MAX(TblMili[[#This Row],[Adept-DP]]+Races!$F$47-6,0) )  -  Races!$I$47</f>
        <v>0</v>
      </c>
      <c r="CV66" s="69" t="n">
        <f aca="false">dark_elf*(TblMili[[#This Row],[Adept bonus]]*TblMili[[#This Row],[Unit 3]])</f>
        <v>0</v>
      </c>
      <c r="CW66" s="148" t="e">
        <f aca="false">1.8 * MIN(MAX(TblMili[[#This Row],[Frost Mage]]+Races!$F$71,Races!$E$71),6)  +  0.45 * MIN(MIN(TblMili[[#This Row],[Frost Mage]]+Races!$F$71,Races!$E$71),6)  +  0.2 * ( MAX(TblMili[[#This Row],[Frost Mage]]+Races!$F$71-6,0) + MAX(Races!$E$71-6,0) )  -  Races!$I$71</f>
        <v>#VALUE!</v>
      </c>
      <c r="CX66" s="148" t="n">
        <f aca="false">1.8 * MIN(MAX(TblMili[[#This Row],[Ice Elemental]]+Races!$E$71,Races!$F$71),6)  +  0.45 * MIN(MIN(TblMili[[#This Row],[Ice Elemental]]+Races!$E$71,Races!$F$71),6)  +  0.2 * ( MAX(TblMili[[#This Row],[Ice Elemental]]+Races!$E$71-6,0) + MAX(Races!$F$71-6,0) )  -  Races!$I$71</f>
        <v>0</v>
      </c>
      <c r="CY66" s="69" t="e">
        <f aca="false">TblMili[[#This Row],[Frost Mage bonus]]*TblMili[[#This Row],[Unit 3]]+TblMili[[#This Row],[Ice Elemental bonus]]*TblMili[[#This Row],[Unit 4]]</f>
        <v>#VALUE!</v>
      </c>
      <c r="CZ66" s="290"/>
      <c r="DA66" s="109" t="n">
        <f aca="false">MIN(SUM(TblConstr[[#This Row],[Plain]:[Water]])/TblMili[[#This Row],[Land]]/favorable_terrain_bonus/100,favorable_terrain_max)</f>
        <v>0</v>
      </c>
      <c r="DB66" s="290"/>
      <c r="DC6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6" s="132"/>
      <c r="DE66" s="291" t="n">
        <f aca="false">(TblMili[[#This Row],[Wizards]]+2*TblMili[[#This Row],[Archmages]])/TblConstr[[#This Row],[Land]]</f>
        <v>0</v>
      </c>
      <c r="DF66" s="291" t="n">
        <f aca="false">TblMili[[#This Row],[Raw (2)]]*(1+race_wizard_strength+IF(TblMili[[#This Row],[Hour]]&gt;72,tech_magical_weaponry_wiz*TblTech[[#This Row],[3-5]],0))</f>
        <v>0</v>
      </c>
    </row>
    <row r="67" customFormat="false" ht="12.75" hidden="false" customHeight="false" outlineLevel="0" collapsed="false">
      <c r="A67" s="128" t="n">
        <f aca="false">TblRezone[[#This Row],[Hour]]</f>
        <v>64</v>
      </c>
      <c r="B67" s="282" t="n">
        <f aca="false">SUM(TblMili[[#This Row],[Unit 1]:[Archmages]])+SUM(OFFSET(TblMili[[#This Row],[Train Unit 1]],-8,0):TblMili[[#This Row],[Train Unit 2]]) + SUM(OFFSET(TblMili[[#This Row],[Train Unit 3]],-11,0):TblMili[[#This Row],[Train AM]]) + TblMili[[#This Row],[Draftees]]</f>
        <v>2012</v>
      </c>
      <c r="C67" s="150" t="n">
        <f aca="false">TblPop[[#This Row],[Military%]]</f>
        <v>0.165392519523222</v>
      </c>
      <c r="D67" s="132"/>
      <c r="E67" s="151" t="n">
        <f aca="false">OFFSET(TblMili[[#This Row],[Unit 1]],-1,0) + OFFSET(TblMili[[#This Row],[Train Unit 1]],-9,0) - TblMili[[#This Row],[Release Unit 1]]</f>
        <v>0</v>
      </c>
      <c r="F67" s="151" t="n">
        <f aca="false">OFFSET(TblMili[[#This Row],[Unit 2]],-1,0) + OFFSET(TblMili[[#This Row],[Train Unit 2]],-9,0)-TblMili[[#This Row],[Release Unit 2]]</f>
        <v>0</v>
      </c>
      <c r="G67" s="151" t="n">
        <f aca="false">OFFSET(TblMili[[#This Row],[Unit 3]],-1,0) + OFFSET(TblMili[[#This Row],[Train Unit 3]],-12,0)-TblMili[[#This Row],[Release Unit 3]]</f>
        <v>0</v>
      </c>
      <c r="H67" s="151" t="n">
        <f aca="false">OFFSET(TblMili[[#This Row],[Unit 4]],-1,0) + OFFSET(TblMili[[#This Row],[Train Unit 4]],-12,0)-TblMili[[#This Row],[Release Unit 4]]</f>
        <v>0</v>
      </c>
      <c r="I67" s="151" t="n">
        <f aca="false">OFFSET(TblMili[[#This Row],[Spies]],-1,0) + OFFSET(TblMili[[#This Row],[Train Spies]],-12,0) - TblMili[[#This Row],[Release Spies]]-TblMili[[#This Row],[Train AS]]</f>
        <v>0</v>
      </c>
      <c r="J67" s="151" t="n">
        <f aca="false">OFFSET(TblMili[[#This Row],[Archspies]],-1,0) + OFFSET(TblMili[[#This Row],[Train AS]],-12,0) - TblMili[[#This Row],[Release AS]]</f>
        <v>0</v>
      </c>
      <c r="K67" s="151" t="n">
        <f aca="false">OFFSET(TblMili[[#This Row],[Wizards]],-1,0) + OFFSET(TblMili[[#This Row],[Train Wiz]],-12,0) - TblMili[[#This Row],[Release Wizards]]-TblMili[[#This Row],[Train AM]]</f>
        <v>0</v>
      </c>
      <c r="L67" s="151" t="n">
        <f aca="false">OFFSET(TblMili[[#This Row],[Archmages]],-1,0) + OFFSET(TblMili[[#This Row],[Train AM]],-12,0) - TblMili[[#This Row],[Release AM]]</f>
        <v>0</v>
      </c>
      <c r="M67" s="132"/>
      <c r="N67" s="69" t="e">
        <f aca="false">TblProd[[#This Row],[Networth]]</f>
        <v>#VALUE!</v>
      </c>
      <c r="O67" s="132"/>
      <c r="P6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7" s="285" t="e">
        <f aca="false">TblMili[[#This Row],[Raw]]*(1+TblMili[[#This Row],[Mods_Off]])</f>
        <v>#VALUE!</v>
      </c>
      <c r="S6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7" s="285" t="e">
        <f aca="false">TblMili[[#This Row],[Non Draft]]+TblMili[[#This Row],[Draftees]]</f>
        <v>#VALUE!</v>
      </c>
      <c r="U67" s="286" t="n">
        <f aca="false">race_defense + TblImps[[#This Row],[Walls]] + ROUND( MIN(gt_bonus*TblConstr[[#This Row],[Tot GT]]/TblConstr[[#This Row],[Land]],gt_bonus_cap), 4) + IF(TblMagic[[#This Row],[Active Howling]]&gt;0,howling_dp_bonus,IF(TblMagic[[#This Row],[Active Ares Call]]&gt;0,ares_call_bonus))</f>
        <v>0</v>
      </c>
      <c r="V67" s="274" t="e">
        <f aca="false">TblMili[[#This Row],[Non Draft]] * (1 + TblMili[[#This Row],[Mods_Def]])</f>
        <v>#VALUE!</v>
      </c>
      <c r="W67" s="285" t="e">
        <f aca="false">TblMili[[#This Row],[Draft]] * (1 + TblMili[[#This Row],[Mods_Def]])</f>
        <v>#VALUE!</v>
      </c>
      <c r="X67" s="285" t="n">
        <f aca="false">TblConstr[[#This Row],[Land]]</f>
        <v>700</v>
      </c>
      <c r="Y67" s="287"/>
      <c r="Z67" s="109" t="n">
        <f aca="false">IF(TblMili[[#This Row],[Set]]&lt;&gt;"",TblMili[[#This Row],[Set]],OFFSET(TblMili[[#This Row],[Draftrate]],-1,0))</f>
        <v>0.9</v>
      </c>
      <c r="AA67" s="69" t="n">
        <f aca="false">OFFSET(TblMili[[#This Row],[Draftees]],-1,0)+OFFSET(TblPop[[#This Row],[Draft Growth]],-1,0) - SUM(TblMili[[#This Row],[Train Unit 1]:[Train Spies]],TblMili[[#This Row],[Train Wiz]]) - TblMili[[#This Row],[Release Draft]] + SUM(TblMili[[#This Row],[Release Unit 1]:[Release AM]]) - TblExplore[[#This Row],[Draftees (2)]]</f>
        <v>0</v>
      </c>
      <c r="AB67" s="146"/>
      <c r="AC67" s="130" t="n">
        <f aca="false">(TblConstr[[#This Row],[Tot Smi]]+TblConstr[[#This Row],[Dest Smi]])/(TblConstr[[#This Row],[Land]]-TblExplore[[#This Row],[Land Bonus]]*20)</f>
        <v>0.18</v>
      </c>
      <c r="AD67" s="128"/>
      <c r="AE67" s="282" t="n">
        <f aca="false">TblMili[[#This Row],[Hour]]</f>
        <v>64</v>
      </c>
      <c r="AF67" s="129" t="n">
        <f aca="false">TblExplore[[#This Row],[Time]]</f>
        <v>45432.375</v>
      </c>
      <c r="AG67" s="152"/>
      <c r="AH67" s="152" t="n">
        <v>699</v>
      </c>
      <c r="AI67" s="182"/>
      <c r="AJ67" s="182"/>
      <c r="AK67" s="182"/>
      <c r="AL67" s="182"/>
      <c r="AM67" s="182"/>
      <c r="AN67" s="182"/>
      <c r="AO67" s="132"/>
      <c r="AP67" s="69" t="n">
        <f aca="false">TblProd[[#This Row],[Platinum]]</f>
        <v>7459</v>
      </c>
      <c r="AQ67" s="69" t="n">
        <f aca="false">INDEX(TblProd[[#Headers],[Lumber]]:TblProd[[#This Row],[Ore]],COUNTA(TblProd[[#Headers],[Lumber]]:TblProd[[#This Row],[Lumber]]),MATCH(Military!$AQ$2,TblProd[[#Headers],[Lumber]:[Ore]],0))</f>
        <v>0</v>
      </c>
      <c r="AR6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134208</v>
      </c>
      <c r="AS67" s="69" t="n">
        <f aca="false">TblMili[[#This Row],[Train Unit 1]]*TblMili[[#This Row],[OP Ore]]+TblMili[[#This Row],[Train Unit 2]]*TblMili[[#This Row],[DP Ore]]+TblMili[[#This Row],[Train Unit 3]]*TblMili[[#This Row],[E1 Ore]]+TblMili[[#This Row],[Train Unit 4]]*TblMili[[#This Row],[E2 Ore]]</f>
        <v>0</v>
      </c>
      <c r="AT67" s="132" t="n">
        <f aca="false">TblMili[[#This Row],[Hour]]</f>
        <v>64</v>
      </c>
      <c r="AU67" s="144" t="n">
        <f aca="false">TblMili[[#This Row],[Time]]</f>
        <v>45432.375</v>
      </c>
      <c r="AV67" s="69" t="n">
        <f aca="false">TblMili[[#This Row],[Draftees]]</f>
        <v>0</v>
      </c>
      <c r="AW67" s="182"/>
      <c r="AX67" s="182"/>
      <c r="AY67" s="182"/>
      <c r="AZ67" s="182"/>
      <c r="BA67" s="182"/>
      <c r="BB67" s="182"/>
      <c r="BC67" s="182"/>
      <c r="BD67" s="182"/>
      <c r="BE67" s="182"/>
      <c r="BF67" s="132"/>
      <c r="BG67" s="150" t="n">
        <f aca="false">TblConstr[[#This Row],[Tot WG]]/TblConstr[[#This Row],[Land]]</f>
        <v>0</v>
      </c>
      <c r="BH67" s="150" t="n">
        <f aca="false">TblConstr[[#This Row],[Tot Hav]]/TblConstr[[#This Row],[Land]]</f>
        <v>0</v>
      </c>
      <c r="BI67" s="69" t="n">
        <f aca="false">ROUNDUP((1-MIN(TblMili[[#This Row],[Smithies]]*smithy_bonus,smithy_bonus_cap) + tech_3_5*TblTech[[#This Row],[3-5]] + tech_5_3*TblTech[[#This Row],[5-3]] + tech_5_5*TblTech[[#This Row],[5-5]])*spec_op_plat,0)</f>
        <v>192</v>
      </c>
      <c r="BJ67" s="69" t="n">
        <f aca="false">ROUNDUP(IF(race="Gnome",1,(1-MIN(TblMili[[#This Row],[Smithies]]*smithy_bonus,smithy_bonus_cap) + tech_3_5*TblTech[[#This Row],[3-5]] + tech_5_3*TblTech[[#This Row],[5-3]] + tech_5_5*TblTech[[#This Row],[5-5]]))*spec_op_ore,0)</f>
        <v>0</v>
      </c>
      <c r="BK67" s="69" t="n">
        <f aca="false">ROUNDUP((1-MIN(TblMili[[#This Row],[Smithies]]*smithy_bonus,smithy_bonus_cap) + tech_3_5*TblTech[[#This Row],[3-5]] + tech_5_3*TblTech[[#This Row],[5-3]] + tech_5_5*TblTech[[#This Row],[5-5]])*spec_dp_plat,0)</f>
        <v>192</v>
      </c>
      <c r="BL67" s="69" t="n">
        <f aca="false">ROUNDUP(IF(race="Gnome",1,(1-MIN(TblMili[[#This Row],[Smithies]]*smithy_bonus,smithy_bonus_cap) + tech_3_5*TblTech[[#This Row],[3-5]] + tech_5_3*TblTech[[#This Row],[5-3]] + tech_5_5*TblTech[[#This Row],[5-5]]))*spec_dp_ore,0)</f>
        <v>0</v>
      </c>
      <c r="BM67" s="69" t="n">
        <f aca="false">ROUNDUP((1-MIN(TblMili[[#This Row],[Smithies]]*smithy_bonus,smithy_bonus_cap) + tech_3_5*TblTech[[#This Row],[3-5]] + tech_5_3*TblTech[[#This Row],[5-3]] + tech_5_5*TblTech[[#This Row],[5-5]])*elite1_plat,0)</f>
        <v>592</v>
      </c>
      <c r="BN67" s="69" t="n">
        <f aca="false">ROUNDUP(IF(race="Gnome",1,(1-MIN(TblMili[[#This Row],[Smithies]]*smithy_bonus,smithy_bonus_cap) + tech_3_5*TblTech[[#This Row],[3-5]] + tech_5_3*TblTech[[#This Row],[5-3]] + tech_5_5*TblTech[[#This Row],[5-5]]))*elite1_ore,0)</f>
        <v>0</v>
      </c>
      <c r="BO67" s="69" t="n">
        <f aca="false">ROUNDUP((1-MIN(TblMili[[#This Row],[Smithies]]*smithy_bonus,smithy_bonus_cap) + tech_3_5*TblTech[[#This Row],[3-5]] + tech_5_3*TblTech[[#This Row],[5-3]] + tech_5_5*TblTech[[#This Row],[5-5]])*elite2_plat,0)</f>
        <v>608</v>
      </c>
      <c r="BP67" s="69" t="n">
        <f aca="false">ROUNDUP(IF(race="Gnome",1,(1-MIN(TblMili[[#This Row],[Smithies]]*smithy_bonus,smithy_bonus_cap) + tech_3_5*TblTech[[#This Row],[3-5]] + tech_5_3*TblTech[[#This Row],[5-3]] + tech_5_5*TblTech[[#This Row],[5-5]]))*elite2_ore,0)</f>
        <v>0</v>
      </c>
      <c r="BQ67" s="69" t="n">
        <f aca="false">ROUNDUP((1-MIN(ROUND(fh_spy_cost_red*TblMili[[#This Row],[FH''s]],4),fh_spy_cost_cap)+ tech_1_9*TblTech[[#This Row],[1-9]] + tech_9_1*TblTech[[#This Row],[9-1]])*spy_plat,0)</f>
        <v>500</v>
      </c>
      <c r="BR67" s="69" t="n">
        <f aca="false">ROUNDUP((1-MIN(ROUND(fh_spy_cost_red*TblMili[[#This Row],[FH''s]],4),fh_spy_cost_cap)+ tech_1_9*TblTech[[#This Row],[1-9]] + tech_9_1*TblTech[[#This Row],[9-1]])*archspy_plat,0)</f>
        <v>1000</v>
      </c>
      <c r="BS67" s="69" t="n">
        <f aca="false">ROUNDUP((1-MIN(ROUND(wg_wiz_cost_bonus*TblMili[[#This Row],[WG''s]],4),wg_wiz_cost_cap) + tech_1_9_2*TblTech[[#This Row],[1-9]] + tech_9_1_2*TblTech[[#This Row],[9-1]])*wizard_plat,0)</f>
        <v>500</v>
      </c>
      <c r="BT67" s="69" t="n">
        <f aca="false">ROUNDUP((1-MIN(ROUND(wg_wiz_cost_bonus*TblMili[[#This Row],[WG''s]],4),wg_wiz_cost_cap) + tech_1_9_2*TblTech[[#This Row],[1-9]] + tech_9_1_2*TblTech[[#This Row],[9-1]])*archmage_plat,0)</f>
        <v>1000</v>
      </c>
      <c r="BU67" s="132"/>
      <c r="BV67" s="150" t="e">
        <f aca="false">TblConstr[[#This Row],[Homeland]]/TblConstr[[#This Row],[Land]]</f>
        <v>#VALUE!</v>
      </c>
      <c r="BW67" s="150" t="n">
        <f aca="false">TblMili[[#This Row],[WG''s]]</f>
        <v>0</v>
      </c>
      <c r="BX67" s="288" t="e">
        <f aca="false">IF(mystic_cap="none",TblMili[[#This Row],[Hill]]/mystic_bonus,MIN(mystic_cap,TblMili[[#This Row],[Hill]]/mystic_bonus))</f>
        <v>#VALUE!</v>
      </c>
      <c r="BY67" s="288" t="e">
        <f aca="false">IF(druid_op_cap="none",TblMili[[#This Row],[Hill]]/druid_op_bonus,MIN(druid_op_cap,TblMili[[#This Row],[Hill]]/druid_op_bonus))</f>
        <v>#VALUE!</v>
      </c>
      <c r="BZ67" s="288" t="e">
        <f aca="false">IF(druid_dp_cap="none",TblMili[[#This Row],[Hill]]/druid_dp_bonus,MIN(druid_dp_cap,TblMili[[#This Row],[Hill]]/druid_dp_bonus))</f>
        <v>#VALUE!</v>
      </c>
      <c r="CA67" s="288" t="e">
        <f aca="false">MIN(dryad_cap,TblMili[[#This Row],[Hill]]/dryad_bonus)</f>
        <v>#VALUE!</v>
      </c>
      <c r="CB67" s="288" t="e">
        <f aca="false">MIN(rocka_cap,TblMili[[#This Row],[Hill]]/rocka_bonus)</f>
        <v>#VALUE!</v>
      </c>
      <c r="CC67" s="288" t="n">
        <f aca="false">MIN(adept_op_cap,TblMili[[#This Row],[WG]]/adept_op_bonus)</f>
        <v>0</v>
      </c>
      <c r="CD67" s="288" t="n">
        <f aca="false">MIN(adept_dp_cap,TblMili[[#This Row],[WG]]/adept_dp_bonus)</f>
        <v>0</v>
      </c>
      <c r="CE67" s="69" t="n">
        <f aca="false">MIN(TblMili[[#This Row],[Unit 3]],TblMili[[#This Row],[Unit 2]])*2</f>
        <v>0</v>
      </c>
      <c r="CF67" s="69" t="n">
        <f aca="false">MIN(TblMili[[#This Row],[Unit 1]],TblMili[[#This Row],[Unit 4]])*2</f>
        <v>0</v>
      </c>
      <c r="CG67" s="288" t="e">
        <f aca="false">MIN(frost_mage_cap,TblMili[[#This Row],[Hill]]/frost_mage_bonus)</f>
        <v>#VALUE!</v>
      </c>
      <c r="CH67" s="151" t="n">
        <f aca="false">MIN(ice_elem_cap,TblMili[[#This Row],[Raw (2)]]*ice_elem_bonus)</f>
        <v>0</v>
      </c>
      <c r="CI67" s="288" t="n">
        <f aca="false">MIN(bone_breaker_cap,250/bone_breaker_bonus)</f>
        <v>0.833333333333333</v>
      </c>
      <c r="CJ67" s="288" t="e">
        <f aca="false">MIN(nox_nightshade_cap,TblConstr[[#This Row],[Homeland]]/TblConstr[[#This Row],[Land]]/nox_nightshade_swamp_bonus)</f>
        <v>#VALUE!</v>
      </c>
      <c r="CK67" s="289"/>
      <c r="CL67" s="289"/>
      <c r="CM67" s="289"/>
      <c r="CN67" s="288" t="e">
        <f aca="false">MIN(6,TblMili[[#This Row],[Mystic]]+Races!$F$19)*1.8 +  IF(TblMili[[#This Row],[Mystic]]+Races!$F$19&gt;6,(TblMili[[#This Row],[Mystic]]+Races!$F$19-6)*0.2,0) - Races!$I$19</f>
        <v>#VALUE!</v>
      </c>
      <c r="CO67" s="288" t="e">
        <f aca="false">1.8 * MIN(MAX(TblMili[[#This Row],[Druid (op)]]+Races!$E$20,TblMili[[#This Row],[Druid (dp)]]+Races!$F$20),6)  +  0.45 * MIN(MIN(TblMili[[#This Row],[Druid (op)]]+Races!$E$20,TblMili[[#This Row],[Druid (dp)]]+Races!$F$20),6)  +  0.2 * ( MAX(TblMili[[#This Row],[Druid (op)]]+Races!$E$20-6,0) + MAX(TblMili[[#This Row],[Druid (dp)]]+Races!$F$20-6,0) )  -  Races!$I$20</f>
        <v>#VALUE!</v>
      </c>
      <c r="CP67" s="69" t="e">
        <f aca="false">TblMili[[#This Row],[Mystic bonus]]*TblMili[[#This Row],[Unit 3]]+TblMili[[#This Row],[Druid bonus]]*TblMili[[#This Row],[Unit 4]]</f>
        <v>#VALUE!</v>
      </c>
      <c r="CQ67" s="148" t="e">
        <f aca="false">MIN(6,TblMili[[#This Row],[Dryad]]+Races!$F$35)*1.8 +  IF(TblMili[[#This Row],[Dryad]]+Races!$F$35&gt;6,(TblMili[[#This Row],[Dryad]]+Races!$F$35-6)*0.2,0) - Races!$I$19</f>
        <v>#VALUE!</v>
      </c>
      <c r="CR67" s="69" t="e">
        <f aca="false">sylvan*(TblMili[[#This Row],[Mystic bonus]]*TblMili[[#This Row],[Unit 3]])</f>
        <v>#VALUE!</v>
      </c>
      <c r="CS67" s="148" t="e">
        <f aca="false">1.8 * MIN(MAX(Races!$E$27,TblMili[[#This Row],[Rockapult]]+Races!$F$27),6)  +  0.45 * MIN(MIN(Races!$E$27,TblMili[[#This Row],[Rockapult]]+Races!$F$27),6)  +  0.2 * ( MAX(Races!$E$27-6,0) + MAX(TblMili[[#This Row],[Rockapult]]+Races!$F$27-6,0) )  -  Races!$I$20</f>
        <v>#VALUE!</v>
      </c>
      <c r="CT67" s="69" t="e">
        <f aca="false">gnome*(TblMili[[#This Row],[Rockapult bonus]]*TblMili[[#This Row],[Unit 3]])</f>
        <v>#VALUE!</v>
      </c>
      <c r="CU67" s="148" t="n">
        <f aca="false">1.8 * MIN(MAX(TblMili[[#This Row],[Spellblade]]+Races!$E$47,TblMili[[#This Row],[Adept-DP]]+Races!$F$47),6)  +  0.45 * MIN(MIN(TblMili[[#This Row],[Spellblade]]+Races!$E$47,TblMili[[#This Row],[Adept-DP]]+Races!$F$47),6)  +  0.2 * ( MAX(TblMili[[#This Row],[Spellblade]]+Races!$E$47-6,0) + MAX(TblMili[[#This Row],[Adept-DP]]+Races!$F$47-6,0) )  -  Races!$I$47</f>
        <v>0</v>
      </c>
      <c r="CV67" s="69" t="n">
        <f aca="false">dark_elf*(TblMili[[#This Row],[Adept bonus]]*TblMili[[#This Row],[Unit 3]])</f>
        <v>0</v>
      </c>
      <c r="CW67" s="148" t="e">
        <f aca="false">1.8 * MIN(MAX(TblMili[[#This Row],[Frost Mage]]+Races!$F$71,Races!$E$71),6)  +  0.45 * MIN(MIN(TblMili[[#This Row],[Frost Mage]]+Races!$F$71,Races!$E$71),6)  +  0.2 * ( MAX(TblMili[[#This Row],[Frost Mage]]+Races!$F$71-6,0) + MAX(Races!$E$71-6,0) )  -  Races!$I$71</f>
        <v>#VALUE!</v>
      </c>
      <c r="CX67" s="148" t="n">
        <f aca="false">1.8 * MIN(MAX(TblMili[[#This Row],[Ice Elemental]]+Races!$E$71,Races!$F$71),6)  +  0.45 * MIN(MIN(TblMili[[#This Row],[Ice Elemental]]+Races!$E$71,Races!$F$71),6)  +  0.2 * ( MAX(TblMili[[#This Row],[Ice Elemental]]+Races!$E$71-6,0) + MAX(Races!$F$71-6,0) )  -  Races!$I$71</f>
        <v>0</v>
      </c>
      <c r="CY67" s="69" t="e">
        <f aca="false">TblMili[[#This Row],[Frost Mage bonus]]*TblMili[[#This Row],[Unit 3]]+TblMili[[#This Row],[Ice Elemental bonus]]*TblMili[[#This Row],[Unit 4]]</f>
        <v>#VALUE!</v>
      </c>
      <c r="CZ67" s="290"/>
      <c r="DA67" s="109" t="n">
        <f aca="false">MIN(SUM(TblConstr[[#This Row],[Plain]:[Water]])/TblMili[[#This Row],[Land]]/favorable_terrain_bonus/100,favorable_terrain_max)</f>
        <v>0</v>
      </c>
      <c r="DB67" s="290"/>
      <c r="DC6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7" s="132"/>
      <c r="DE67" s="291" t="n">
        <f aca="false">(TblMili[[#This Row],[Wizards]]+2*TblMili[[#This Row],[Archmages]])/TblConstr[[#This Row],[Land]]</f>
        <v>0</v>
      </c>
      <c r="DF67" s="291" t="n">
        <f aca="false">TblMili[[#This Row],[Raw (2)]]*(1+race_wizard_strength+IF(TblMili[[#This Row],[Hour]]&gt;72,tech_magical_weaponry_wiz*TblTech[[#This Row],[3-5]],0))</f>
        <v>0</v>
      </c>
    </row>
    <row r="68" customFormat="false" ht="12.75" hidden="false" customHeight="false" outlineLevel="0" collapsed="false">
      <c r="A68" s="128" t="n">
        <f aca="false">TblRezone[[#This Row],[Hour]]</f>
        <v>65</v>
      </c>
      <c r="B68" s="282" t="n">
        <f aca="false">SUM(TblMili[[#This Row],[Unit 1]:[Archmages]])+SUM(OFFSET(TblMili[[#This Row],[Train Unit 1]],-8,0):TblMili[[#This Row],[Train Unit 2]]) + SUM(OFFSET(TblMili[[#This Row],[Train Unit 3]],-11,0):TblMili[[#This Row],[Train AM]]) + TblMili[[#This Row],[Draftees]]</f>
        <v>2114</v>
      </c>
      <c r="C68" s="150" t="n">
        <f aca="false">TblPop[[#This Row],[Military%]]</f>
        <v>0.17071791972866</v>
      </c>
      <c r="D68" s="132"/>
      <c r="E68" s="151" t="n">
        <f aca="false">OFFSET(TblMili[[#This Row],[Unit 1]],-1,0) + OFFSET(TblMili[[#This Row],[Train Unit 1]],-9,0) - TblMili[[#This Row],[Release Unit 1]]</f>
        <v>0</v>
      </c>
      <c r="F68" s="151" t="n">
        <f aca="false">OFFSET(TblMili[[#This Row],[Unit 2]],-1,0) + OFFSET(TblMili[[#This Row],[Train Unit 2]],-9,0)-TblMili[[#This Row],[Release Unit 2]]</f>
        <v>0</v>
      </c>
      <c r="G68" s="151" t="n">
        <f aca="false">OFFSET(TblMili[[#This Row],[Unit 3]],-1,0) + OFFSET(TblMili[[#This Row],[Train Unit 3]],-12,0)-TblMili[[#This Row],[Release Unit 3]]</f>
        <v>0</v>
      </c>
      <c r="H68" s="151" t="n">
        <f aca="false">OFFSET(TblMili[[#This Row],[Unit 4]],-1,0) + OFFSET(TblMili[[#This Row],[Train Unit 4]],-12,0)-TblMili[[#This Row],[Release Unit 4]]</f>
        <v>0</v>
      </c>
      <c r="I68" s="151" t="n">
        <f aca="false">OFFSET(TblMili[[#This Row],[Spies]],-1,0) + OFFSET(TblMili[[#This Row],[Train Spies]],-12,0) - TblMili[[#This Row],[Release Spies]]-TblMili[[#This Row],[Train AS]]</f>
        <v>0</v>
      </c>
      <c r="J68" s="151" t="n">
        <f aca="false">OFFSET(TblMili[[#This Row],[Archspies]],-1,0) + OFFSET(TblMili[[#This Row],[Train AS]],-12,0) - TblMili[[#This Row],[Release AS]]</f>
        <v>0</v>
      </c>
      <c r="K68" s="151" t="n">
        <f aca="false">OFFSET(TblMili[[#This Row],[Wizards]],-1,0) + OFFSET(TblMili[[#This Row],[Train Wiz]],-12,0) - TblMili[[#This Row],[Release Wizards]]-TblMili[[#This Row],[Train AM]]</f>
        <v>0</v>
      </c>
      <c r="L68" s="151" t="n">
        <f aca="false">OFFSET(TblMili[[#This Row],[Archmages]],-1,0) + OFFSET(TblMili[[#This Row],[Train AM]],-12,0) - TblMili[[#This Row],[Release AM]]</f>
        <v>0</v>
      </c>
      <c r="M68" s="132"/>
      <c r="N68" s="69" t="e">
        <f aca="false">TblProd[[#This Row],[Networth]]</f>
        <v>#VALUE!</v>
      </c>
      <c r="O68" s="132"/>
      <c r="P6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8" s="285" t="e">
        <f aca="false">TblMili[[#This Row],[Raw]]*(1+TblMili[[#This Row],[Mods_Off]])</f>
        <v>#VALUE!</v>
      </c>
      <c r="S6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8" s="285" t="e">
        <f aca="false">TblMili[[#This Row],[Non Draft]]+TblMili[[#This Row],[Draftees]]</f>
        <v>#VALUE!</v>
      </c>
      <c r="U68" s="286" t="n">
        <f aca="false">race_defense + TblImps[[#This Row],[Walls]] + ROUND( MIN(gt_bonus*TblConstr[[#This Row],[Tot GT]]/TblConstr[[#This Row],[Land]],gt_bonus_cap), 4) + IF(TblMagic[[#This Row],[Active Howling]]&gt;0,howling_dp_bonus,IF(TblMagic[[#This Row],[Active Ares Call]]&gt;0,ares_call_bonus))</f>
        <v>0</v>
      </c>
      <c r="V68" s="274" t="e">
        <f aca="false">TblMili[[#This Row],[Non Draft]] * (1 + TblMili[[#This Row],[Mods_Def]])</f>
        <v>#VALUE!</v>
      </c>
      <c r="W68" s="285" t="e">
        <f aca="false">TblMili[[#This Row],[Draft]] * (1 + TblMili[[#This Row],[Mods_Def]])</f>
        <v>#VALUE!</v>
      </c>
      <c r="X68" s="285" t="n">
        <f aca="false">TblConstr[[#This Row],[Land]]</f>
        <v>700</v>
      </c>
      <c r="Y68" s="287"/>
      <c r="Z68" s="109" t="n">
        <f aca="false">IF(TblMili[[#This Row],[Set]]&lt;&gt;"",TblMili[[#This Row],[Set]],OFFSET(TblMili[[#This Row],[Draftrate]],-1,0))</f>
        <v>0.9</v>
      </c>
      <c r="AA68" s="69" t="n">
        <f aca="false">OFFSET(TblMili[[#This Row],[Draftees]],-1,0)+OFFSET(TblPop[[#This Row],[Draft Growth]],-1,0) - SUM(TblMili[[#This Row],[Train Unit 1]:[Train Spies]],TblMili[[#This Row],[Train Wiz]]) - TblMili[[#This Row],[Release Draft]] + SUM(TblMili[[#This Row],[Release Unit 1]:[Release AM]]) - TblExplore[[#This Row],[Draftees (2)]]</f>
        <v>3</v>
      </c>
      <c r="AB68" s="146"/>
      <c r="AC68" s="130" t="n">
        <f aca="false">(TblConstr[[#This Row],[Tot Smi]]+TblConstr[[#This Row],[Dest Smi]])/(TblConstr[[#This Row],[Land]]-TblExplore[[#This Row],[Land Bonus]]*20)</f>
        <v>0.18</v>
      </c>
      <c r="AD68" s="128"/>
      <c r="AE68" s="282" t="n">
        <f aca="false">TblMili[[#This Row],[Hour]]</f>
        <v>65</v>
      </c>
      <c r="AF68" s="129" t="n">
        <f aca="false">TblExplore[[#This Row],[Time]]</f>
        <v>45432.4166666667</v>
      </c>
      <c r="AG68" s="152"/>
      <c r="AH68" s="152" t="n">
        <v>99</v>
      </c>
      <c r="AI68" s="182"/>
      <c r="AJ68" s="182"/>
      <c r="AK68" s="182"/>
      <c r="AL68" s="182"/>
      <c r="AM68" s="182"/>
      <c r="AN68" s="182"/>
      <c r="AO68" s="132"/>
      <c r="AP68" s="69" t="n">
        <f aca="false">TblProd[[#This Row],[Platinum]]</f>
        <v>36150</v>
      </c>
      <c r="AQ68" s="69" t="n">
        <f aca="false">INDEX(TblProd[[#Headers],[Lumber]]:TblProd[[#This Row],[Ore]],COUNTA(TblProd[[#Headers],[Lumber]]:TblProd[[#This Row],[Lumber]]),MATCH(Military!$AQ$2,TblProd[[#Headers],[Lumber]:[Ore]],0))</f>
        <v>0</v>
      </c>
      <c r="AR6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19008</v>
      </c>
      <c r="AS68" s="69" t="n">
        <f aca="false">TblMili[[#This Row],[Train Unit 1]]*TblMili[[#This Row],[OP Ore]]+TblMili[[#This Row],[Train Unit 2]]*TblMili[[#This Row],[DP Ore]]+TblMili[[#This Row],[Train Unit 3]]*TblMili[[#This Row],[E1 Ore]]+TblMili[[#This Row],[Train Unit 4]]*TblMili[[#This Row],[E2 Ore]]</f>
        <v>0</v>
      </c>
      <c r="AT68" s="132" t="n">
        <f aca="false">TblMili[[#This Row],[Hour]]</f>
        <v>65</v>
      </c>
      <c r="AU68" s="144" t="n">
        <f aca="false">TblMili[[#This Row],[Time]]</f>
        <v>45432.4166666667</v>
      </c>
      <c r="AV68" s="69" t="n">
        <f aca="false">TblMili[[#This Row],[Draftees]]</f>
        <v>3</v>
      </c>
      <c r="AW68" s="182"/>
      <c r="AX68" s="182"/>
      <c r="AY68" s="182"/>
      <c r="AZ68" s="182"/>
      <c r="BA68" s="182"/>
      <c r="BB68" s="182"/>
      <c r="BC68" s="182"/>
      <c r="BD68" s="182"/>
      <c r="BE68" s="182"/>
      <c r="BF68" s="132"/>
      <c r="BG68" s="150" t="n">
        <f aca="false">TblConstr[[#This Row],[Tot WG]]/TblConstr[[#This Row],[Land]]</f>
        <v>0</v>
      </c>
      <c r="BH68" s="150" t="n">
        <f aca="false">TblConstr[[#This Row],[Tot Hav]]/TblConstr[[#This Row],[Land]]</f>
        <v>0</v>
      </c>
      <c r="BI68" s="69" t="n">
        <f aca="false">ROUNDUP((1-MIN(TblMili[[#This Row],[Smithies]]*smithy_bonus,smithy_bonus_cap) + tech_3_5*TblTech[[#This Row],[3-5]] + tech_5_3*TblTech[[#This Row],[5-3]] + tech_5_5*TblTech[[#This Row],[5-5]])*spec_op_plat,0)</f>
        <v>192</v>
      </c>
      <c r="BJ68" s="69" t="n">
        <f aca="false">ROUNDUP(IF(race="Gnome",1,(1-MIN(TblMili[[#This Row],[Smithies]]*smithy_bonus,smithy_bonus_cap) + tech_3_5*TblTech[[#This Row],[3-5]] + tech_5_3*TblTech[[#This Row],[5-3]] + tech_5_5*TblTech[[#This Row],[5-5]]))*spec_op_ore,0)</f>
        <v>0</v>
      </c>
      <c r="BK68" s="69" t="n">
        <f aca="false">ROUNDUP((1-MIN(TblMili[[#This Row],[Smithies]]*smithy_bonus,smithy_bonus_cap) + tech_3_5*TblTech[[#This Row],[3-5]] + tech_5_3*TblTech[[#This Row],[5-3]] + tech_5_5*TblTech[[#This Row],[5-5]])*spec_dp_plat,0)</f>
        <v>192</v>
      </c>
      <c r="BL68" s="69" t="n">
        <f aca="false">ROUNDUP(IF(race="Gnome",1,(1-MIN(TblMili[[#This Row],[Smithies]]*smithy_bonus,smithy_bonus_cap) + tech_3_5*TblTech[[#This Row],[3-5]] + tech_5_3*TblTech[[#This Row],[5-3]] + tech_5_5*TblTech[[#This Row],[5-5]]))*spec_dp_ore,0)</f>
        <v>0</v>
      </c>
      <c r="BM68" s="69" t="n">
        <f aca="false">ROUNDUP((1-MIN(TblMili[[#This Row],[Smithies]]*smithy_bonus,smithy_bonus_cap) + tech_3_5*TblTech[[#This Row],[3-5]] + tech_5_3*TblTech[[#This Row],[5-3]] + tech_5_5*TblTech[[#This Row],[5-5]])*elite1_plat,0)</f>
        <v>592</v>
      </c>
      <c r="BN68" s="69" t="n">
        <f aca="false">ROUNDUP(IF(race="Gnome",1,(1-MIN(TblMili[[#This Row],[Smithies]]*smithy_bonus,smithy_bonus_cap) + tech_3_5*TblTech[[#This Row],[3-5]] + tech_5_3*TblTech[[#This Row],[5-3]] + tech_5_5*TblTech[[#This Row],[5-5]]))*elite1_ore,0)</f>
        <v>0</v>
      </c>
      <c r="BO68" s="69" t="n">
        <f aca="false">ROUNDUP((1-MIN(TblMili[[#This Row],[Smithies]]*smithy_bonus,smithy_bonus_cap) + tech_3_5*TblTech[[#This Row],[3-5]] + tech_5_3*TblTech[[#This Row],[5-3]] + tech_5_5*TblTech[[#This Row],[5-5]])*elite2_plat,0)</f>
        <v>608</v>
      </c>
      <c r="BP68" s="69" t="n">
        <f aca="false">ROUNDUP(IF(race="Gnome",1,(1-MIN(TblMili[[#This Row],[Smithies]]*smithy_bonus,smithy_bonus_cap) + tech_3_5*TblTech[[#This Row],[3-5]] + tech_5_3*TblTech[[#This Row],[5-3]] + tech_5_5*TblTech[[#This Row],[5-5]]))*elite2_ore,0)</f>
        <v>0</v>
      </c>
      <c r="BQ68" s="69" t="n">
        <f aca="false">ROUNDUP((1-MIN(ROUND(fh_spy_cost_red*TblMili[[#This Row],[FH''s]],4),fh_spy_cost_cap)+ tech_1_9*TblTech[[#This Row],[1-9]] + tech_9_1*TblTech[[#This Row],[9-1]])*spy_plat,0)</f>
        <v>500</v>
      </c>
      <c r="BR68" s="69" t="n">
        <f aca="false">ROUNDUP((1-MIN(ROUND(fh_spy_cost_red*TblMili[[#This Row],[FH''s]],4),fh_spy_cost_cap)+ tech_1_9*TblTech[[#This Row],[1-9]] + tech_9_1*TblTech[[#This Row],[9-1]])*archspy_plat,0)</f>
        <v>1000</v>
      </c>
      <c r="BS68" s="69" t="n">
        <f aca="false">ROUNDUP((1-MIN(ROUND(wg_wiz_cost_bonus*TblMili[[#This Row],[WG''s]],4),wg_wiz_cost_cap) + tech_1_9_2*TblTech[[#This Row],[1-9]] + tech_9_1_2*TblTech[[#This Row],[9-1]])*wizard_plat,0)</f>
        <v>500</v>
      </c>
      <c r="BT68" s="69" t="n">
        <f aca="false">ROUNDUP((1-MIN(ROUND(wg_wiz_cost_bonus*TblMili[[#This Row],[WG''s]],4),wg_wiz_cost_cap) + tech_1_9_2*TblTech[[#This Row],[1-9]] + tech_9_1_2*TblTech[[#This Row],[9-1]])*archmage_plat,0)</f>
        <v>1000</v>
      </c>
      <c r="BU68" s="132"/>
      <c r="BV68" s="150" t="e">
        <f aca="false">TblConstr[[#This Row],[Homeland]]/TblConstr[[#This Row],[Land]]</f>
        <v>#VALUE!</v>
      </c>
      <c r="BW68" s="150" t="n">
        <f aca="false">TblMili[[#This Row],[WG''s]]</f>
        <v>0</v>
      </c>
      <c r="BX68" s="288" t="e">
        <f aca="false">IF(mystic_cap="none",TblMili[[#This Row],[Hill]]/mystic_bonus,MIN(mystic_cap,TblMili[[#This Row],[Hill]]/mystic_bonus))</f>
        <v>#VALUE!</v>
      </c>
      <c r="BY68" s="288" t="e">
        <f aca="false">IF(druid_op_cap="none",TblMili[[#This Row],[Hill]]/druid_op_bonus,MIN(druid_op_cap,TblMili[[#This Row],[Hill]]/druid_op_bonus))</f>
        <v>#VALUE!</v>
      </c>
      <c r="BZ68" s="288" t="e">
        <f aca="false">IF(druid_dp_cap="none",TblMili[[#This Row],[Hill]]/druid_dp_bonus,MIN(druid_dp_cap,TblMili[[#This Row],[Hill]]/druid_dp_bonus))</f>
        <v>#VALUE!</v>
      </c>
      <c r="CA68" s="288" t="e">
        <f aca="false">MIN(dryad_cap,TblMili[[#This Row],[Hill]]/dryad_bonus)</f>
        <v>#VALUE!</v>
      </c>
      <c r="CB68" s="288" t="e">
        <f aca="false">MIN(rocka_cap,TblMili[[#This Row],[Hill]]/rocka_bonus)</f>
        <v>#VALUE!</v>
      </c>
      <c r="CC68" s="288" t="n">
        <f aca="false">MIN(adept_op_cap,TblMili[[#This Row],[WG]]/adept_op_bonus)</f>
        <v>0</v>
      </c>
      <c r="CD68" s="288" t="n">
        <f aca="false">MIN(adept_dp_cap,TblMili[[#This Row],[WG]]/adept_dp_bonus)</f>
        <v>0</v>
      </c>
      <c r="CE68" s="69" t="n">
        <f aca="false">MIN(TblMili[[#This Row],[Unit 3]],TblMili[[#This Row],[Unit 2]])*2</f>
        <v>0</v>
      </c>
      <c r="CF68" s="69" t="n">
        <f aca="false">MIN(TblMili[[#This Row],[Unit 1]],TblMili[[#This Row],[Unit 4]])*2</f>
        <v>0</v>
      </c>
      <c r="CG68" s="288" t="e">
        <f aca="false">MIN(frost_mage_cap,TblMili[[#This Row],[Hill]]/frost_mage_bonus)</f>
        <v>#VALUE!</v>
      </c>
      <c r="CH68" s="151" t="n">
        <f aca="false">MIN(ice_elem_cap,TblMili[[#This Row],[Raw (2)]]*ice_elem_bonus)</f>
        <v>0</v>
      </c>
      <c r="CI68" s="288" t="n">
        <f aca="false">MIN(bone_breaker_cap,250/bone_breaker_bonus)</f>
        <v>0.833333333333333</v>
      </c>
      <c r="CJ68" s="288" t="e">
        <f aca="false">MIN(nox_nightshade_cap,TblConstr[[#This Row],[Homeland]]/TblConstr[[#This Row],[Land]]/nox_nightshade_swamp_bonus)</f>
        <v>#VALUE!</v>
      </c>
      <c r="CK68" s="289"/>
      <c r="CL68" s="289"/>
      <c r="CM68" s="289"/>
      <c r="CN68" s="288" t="e">
        <f aca="false">MIN(6,TblMili[[#This Row],[Mystic]]+Races!$F$19)*1.8 +  IF(TblMili[[#This Row],[Mystic]]+Races!$F$19&gt;6,(TblMili[[#This Row],[Mystic]]+Races!$F$19-6)*0.2,0) - Races!$I$19</f>
        <v>#VALUE!</v>
      </c>
      <c r="CO68" s="288" t="e">
        <f aca="false">1.8 * MIN(MAX(TblMili[[#This Row],[Druid (op)]]+Races!$E$20,TblMili[[#This Row],[Druid (dp)]]+Races!$F$20),6)  +  0.45 * MIN(MIN(TblMili[[#This Row],[Druid (op)]]+Races!$E$20,TblMili[[#This Row],[Druid (dp)]]+Races!$F$20),6)  +  0.2 * ( MAX(TblMili[[#This Row],[Druid (op)]]+Races!$E$20-6,0) + MAX(TblMili[[#This Row],[Druid (dp)]]+Races!$F$20-6,0) )  -  Races!$I$20</f>
        <v>#VALUE!</v>
      </c>
      <c r="CP68" s="69" t="e">
        <f aca="false">TblMili[[#This Row],[Mystic bonus]]*TblMili[[#This Row],[Unit 3]]+TblMili[[#This Row],[Druid bonus]]*TblMili[[#This Row],[Unit 4]]</f>
        <v>#VALUE!</v>
      </c>
      <c r="CQ68" s="148" t="e">
        <f aca="false">MIN(6,TblMili[[#This Row],[Dryad]]+Races!$F$35)*1.8 +  IF(TblMili[[#This Row],[Dryad]]+Races!$F$35&gt;6,(TblMili[[#This Row],[Dryad]]+Races!$F$35-6)*0.2,0) - Races!$I$19</f>
        <v>#VALUE!</v>
      </c>
      <c r="CR68" s="69" t="e">
        <f aca="false">sylvan*(TblMili[[#This Row],[Mystic bonus]]*TblMili[[#This Row],[Unit 3]])</f>
        <v>#VALUE!</v>
      </c>
      <c r="CS68" s="148" t="e">
        <f aca="false">1.8 * MIN(MAX(Races!$E$27,TblMili[[#This Row],[Rockapult]]+Races!$F$27),6)  +  0.45 * MIN(MIN(Races!$E$27,TblMili[[#This Row],[Rockapult]]+Races!$F$27),6)  +  0.2 * ( MAX(Races!$E$27-6,0) + MAX(TblMili[[#This Row],[Rockapult]]+Races!$F$27-6,0) )  -  Races!$I$20</f>
        <v>#VALUE!</v>
      </c>
      <c r="CT68" s="69" t="e">
        <f aca="false">gnome*(TblMili[[#This Row],[Rockapult bonus]]*TblMili[[#This Row],[Unit 3]])</f>
        <v>#VALUE!</v>
      </c>
      <c r="CU68" s="148" t="n">
        <f aca="false">1.8 * MIN(MAX(TblMili[[#This Row],[Spellblade]]+Races!$E$47,TblMili[[#This Row],[Adept-DP]]+Races!$F$47),6)  +  0.45 * MIN(MIN(TblMili[[#This Row],[Spellblade]]+Races!$E$47,TblMili[[#This Row],[Adept-DP]]+Races!$F$47),6)  +  0.2 * ( MAX(TblMili[[#This Row],[Spellblade]]+Races!$E$47-6,0) + MAX(TblMili[[#This Row],[Adept-DP]]+Races!$F$47-6,0) )  -  Races!$I$47</f>
        <v>0</v>
      </c>
      <c r="CV68" s="69" t="n">
        <f aca="false">dark_elf*(TblMili[[#This Row],[Adept bonus]]*TblMili[[#This Row],[Unit 3]])</f>
        <v>0</v>
      </c>
      <c r="CW68" s="148" t="e">
        <f aca="false">1.8 * MIN(MAX(TblMili[[#This Row],[Frost Mage]]+Races!$F$71,Races!$E$71),6)  +  0.45 * MIN(MIN(TblMili[[#This Row],[Frost Mage]]+Races!$F$71,Races!$E$71),6)  +  0.2 * ( MAX(TblMili[[#This Row],[Frost Mage]]+Races!$F$71-6,0) + MAX(Races!$E$71-6,0) )  -  Races!$I$71</f>
        <v>#VALUE!</v>
      </c>
      <c r="CX68" s="148" t="n">
        <f aca="false">1.8 * MIN(MAX(TblMili[[#This Row],[Ice Elemental]]+Races!$E$71,Races!$F$71),6)  +  0.45 * MIN(MIN(TblMili[[#This Row],[Ice Elemental]]+Races!$E$71,Races!$F$71),6)  +  0.2 * ( MAX(TblMili[[#This Row],[Ice Elemental]]+Races!$E$71-6,0) + MAX(Races!$F$71-6,0) )  -  Races!$I$71</f>
        <v>0</v>
      </c>
      <c r="CY68" s="69" t="e">
        <f aca="false">TblMili[[#This Row],[Frost Mage bonus]]*TblMili[[#This Row],[Unit 3]]+TblMili[[#This Row],[Ice Elemental bonus]]*TblMili[[#This Row],[Unit 4]]</f>
        <v>#VALUE!</v>
      </c>
      <c r="CZ68" s="290"/>
      <c r="DA68" s="109" t="n">
        <f aca="false">MIN(SUM(TblConstr[[#This Row],[Plain]:[Water]])/TblMili[[#This Row],[Land]]/favorable_terrain_bonus/100,favorable_terrain_max)</f>
        <v>0</v>
      </c>
      <c r="DB68" s="290"/>
      <c r="DC6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8" s="132"/>
      <c r="DE68" s="291" t="n">
        <f aca="false">(TblMili[[#This Row],[Wizards]]+2*TblMili[[#This Row],[Archmages]])/TblConstr[[#This Row],[Land]]</f>
        <v>0</v>
      </c>
      <c r="DF68" s="291" t="n">
        <f aca="false">TblMili[[#This Row],[Raw (2)]]*(1+race_wizard_strength+IF(TblMili[[#This Row],[Hour]]&gt;72,tech_magical_weaponry_wiz*TblTech[[#This Row],[3-5]],0))</f>
        <v>0</v>
      </c>
    </row>
    <row r="69" customFormat="false" ht="12.75" hidden="false" customHeight="false" outlineLevel="0" collapsed="false">
      <c r="A69" s="128" t="n">
        <f aca="false">TblRezone[[#This Row],[Hour]]</f>
        <v>66</v>
      </c>
      <c r="B69" s="282" t="n">
        <f aca="false">SUM(TblMili[[#This Row],[Unit 1]:[Archmages]])+SUM(OFFSET(TblMili[[#This Row],[Train Unit 1]],-8,0):TblMili[[#This Row],[Train Unit 2]]) + SUM(OFFSET(TblMili[[#This Row],[Train Unit 3]],-11,0):TblMili[[#This Row],[Train AM]]) + TblMili[[#This Row],[Draftees]]</f>
        <v>2217</v>
      </c>
      <c r="C69" s="150" t="n">
        <f aca="false">TblPop[[#This Row],[Military%]]</f>
        <v>0.175659614927502</v>
      </c>
      <c r="D69" s="132"/>
      <c r="E69" s="151" t="n">
        <f aca="false">OFFSET(TblMili[[#This Row],[Unit 1]],-1,0) + OFFSET(TblMili[[#This Row],[Train Unit 1]],-9,0) - TblMili[[#This Row],[Release Unit 1]]</f>
        <v>0</v>
      </c>
      <c r="F69" s="151" t="n">
        <f aca="false">OFFSET(TblMili[[#This Row],[Unit 2]],-1,0) + OFFSET(TblMili[[#This Row],[Train Unit 2]],-9,0)-TblMili[[#This Row],[Release Unit 2]]</f>
        <v>0</v>
      </c>
      <c r="G69" s="151" t="n">
        <f aca="false">OFFSET(TblMili[[#This Row],[Unit 3]],-1,0) + OFFSET(TblMili[[#This Row],[Train Unit 3]],-12,0)-TblMili[[#This Row],[Release Unit 3]]</f>
        <v>0</v>
      </c>
      <c r="H69" s="151" t="n">
        <f aca="false">OFFSET(TblMili[[#This Row],[Unit 4]],-1,0) + OFFSET(TblMili[[#This Row],[Train Unit 4]],-12,0)-TblMili[[#This Row],[Release Unit 4]]</f>
        <v>0</v>
      </c>
      <c r="I69" s="151" t="n">
        <f aca="false">OFFSET(TblMili[[#This Row],[Spies]],-1,0) + OFFSET(TblMili[[#This Row],[Train Spies]],-12,0) - TblMili[[#This Row],[Release Spies]]-TblMili[[#This Row],[Train AS]]</f>
        <v>0</v>
      </c>
      <c r="J69" s="151" t="n">
        <f aca="false">OFFSET(TblMili[[#This Row],[Archspies]],-1,0) + OFFSET(TblMili[[#This Row],[Train AS]],-12,0) - TblMili[[#This Row],[Release AS]]</f>
        <v>0</v>
      </c>
      <c r="K69" s="151" t="n">
        <f aca="false">OFFSET(TblMili[[#This Row],[Wizards]],-1,0) + OFFSET(TblMili[[#This Row],[Train Wiz]],-12,0) - TblMili[[#This Row],[Release Wizards]]-TblMili[[#This Row],[Train AM]]</f>
        <v>0</v>
      </c>
      <c r="L69" s="151" t="n">
        <f aca="false">OFFSET(TblMili[[#This Row],[Archmages]],-1,0) + OFFSET(TblMili[[#This Row],[Train AM]],-12,0) - TblMili[[#This Row],[Release AM]]</f>
        <v>0</v>
      </c>
      <c r="M69" s="132"/>
      <c r="N69" s="69" t="e">
        <f aca="false">TblProd[[#This Row],[Networth]]</f>
        <v>#VALUE!</v>
      </c>
      <c r="O69" s="132"/>
      <c r="P6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9" s="285" t="e">
        <f aca="false">TblMili[[#This Row],[Raw]]*(1+TblMili[[#This Row],[Mods_Off]])</f>
        <v>#VALUE!</v>
      </c>
      <c r="S6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9" s="285" t="e">
        <f aca="false">TblMili[[#This Row],[Non Draft]]+TblMili[[#This Row],[Draftees]]</f>
        <v>#VALUE!</v>
      </c>
      <c r="U69" s="286" t="n">
        <f aca="false">race_defense + TblImps[[#This Row],[Walls]] + ROUND( MIN(gt_bonus*TblConstr[[#This Row],[Tot GT]]/TblConstr[[#This Row],[Land]],gt_bonus_cap), 4) + IF(TblMagic[[#This Row],[Active Howling]]&gt;0,howling_dp_bonus,IF(TblMagic[[#This Row],[Active Ares Call]]&gt;0,ares_call_bonus))</f>
        <v>0</v>
      </c>
      <c r="V69" s="274" t="e">
        <f aca="false">TblMili[[#This Row],[Non Draft]] * (1 + TblMili[[#This Row],[Mods_Def]])</f>
        <v>#VALUE!</v>
      </c>
      <c r="W69" s="285" t="e">
        <f aca="false">TblMili[[#This Row],[Draft]] * (1 + TblMili[[#This Row],[Mods_Def]])</f>
        <v>#VALUE!</v>
      </c>
      <c r="X69" s="285" t="n">
        <f aca="false">TblConstr[[#This Row],[Land]]</f>
        <v>700</v>
      </c>
      <c r="Y69" s="287"/>
      <c r="Z69" s="109" t="n">
        <f aca="false">IF(TblMili[[#This Row],[Set]]&lt;&gt;"",TblMili[[#This Row],[Set]],OFFSET(TblMili[[#This Row],[Draftrate]],-1,0))</f>
        <v>0.9</v>
      </c>
      <c r="AA69" s="69" t="n">
        <f aca="false">OFFSET(TblMili[[#This Row],[Draftees]],-1,0)+OFFSET(TblPop[[#This Row],[Draft Growth]],-1,0) - SUM(TblMili[[#This Row],[Train Unit 1]:[Train Spies]],TblMili[[#This Row],[Train Wiz]]) - TblMili[[#This Row],[Release Draft]] + SUM(TblMili[[#This Row],[Release Unit 1]:[Release AM]]) - TblExplore[[#This Row],[Draftees (2)]]</f>
        <v>6</v>
      </c>
      <c r="AB69" s="146"/>
      <c r="AC69" s="130" t="n">
        <f aca="false">(TblConstr[[#This Row],[Tot Smi]]+TblConstr[[#This Row],[Dest Smi]])/(TblConstr[[#This Row],[Land]]-TblExplore[[#This Row],[Land Bonus]]*20)</f>
        <v>0.18</v>
      </c>
      <c r="AD69" s="128"/>
      <c r="AE69" s="282" t="n">
        <f aca="false">TblMili[[#This Row],[Hour]]</f>
        <v>66</v>
      </c>
      <c r="AF69" s="129" t="n">
        <f aca="false">TblExplore[[#This Row],[Time]]</f>
        <v>45432.4583333333</v>
      </c>
      <c r="AG69" s="182"/>
      <c r="AH69" s="152" t="n">
        <v>100</v>
      </c>
      <c r="AI69" s="182"/>
      <c r="AJ69" s="182"/>
      <c r="AK69" s="182"/>
      <c r="AL69" s="182"/>
      <c r="AM69" s="182"/>
      <c r="AN69" s="182"/>
      <c r="AO69" s="132"/>
      <c r="AP69" s="69" t="n">
        <f aca="false">TblProd[[#This Row],[Platinum]]</f>
        <v>64993</v>
      </c>
      <c r="AQ69" s="69" t="n">
        <f aca="false">INDEX(TblProd[[#Headers],[Lumber]]:TblProd[[#This Row],[Ore]],COUNTA(TblProd[[#Headers],[Lumber]]:TblProd[[#This Row],[Lumber]]),MATCH(Military!$AQ$2,TblProd[[#Headers],[Lumber]:[Ore]],0))</f>
        <v>0</v>
      </c>
      <c r="AR6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19200</v>
      </c>
      <c r="AS69" s="69" t="n">
        <f aca="false">TblMili[[#This Row],[Train Unit 1]]*TblMili[[#This Row],[OP Ore]]+TblMili[[#This Row],[Train Unit 2]]*TblMili[[#This Row],[DP Ore]]+TblMili[[#This Row],[Train Unit 3]]*TblMili[[#This Row],[E1 Ore]]+TblMili[[#This Row],[Train Unit 4]]*TblMili[[#This Row],[E2 Ore]]</f>
        <v>0</v>
      </c>
      <c r="AT69" s="132" t="n">
        <f aca="false">TblMili[[#This Row],[Hour]]</f>
        <v>66</v>
      </c>
      <c r="AU69" s="144" t="n">
        <f aca="false">TblMili[[#This Row],[Time]]</f>
        <v>45432.4583333333</v>
      </c>
      <c r="AV69" s="69" t="n">
        <f aca="false">TblMili[[#This Row],[Draftees]]</f>
        <v>6</v>
      </c>
      <c r="AW69" s="182"/>
      <c r="AX69" s="182"/>
      <c r="AY69" s="182"/>
      <c r="AZ69" s="182"/>
      <c r="BA69" s="182"/>
      <c r="BB69" s="182"/>
      <c r="BC69" s="182"/>
      <c r="BD69" s="182"/>
      <c r="BE69" s="182"/>
      <c r="BF69" s="132"/>
      <c r="BG69" s="150" t="n">
        <f aca="false">TblConstr[[#This Row],[Tot WG]]/TblConstr[[#This Row],[Land]]</f>
        <v>0</v>
      </c>
      <c r="BH69" s="150" t="n">
        <f aca="false">TblConstr[[#This Row],[Tot Hav]]/TblConstr[[#This Row],[Land]]</f>
        <v>0</v>
      </c>
      <c r="BI69" s="69" t="n">
        <f aca="false">ROUNDUP((1-MIN(TblMili[[#This Row],[Smithies]]*smithy_bonus,smithy_bonus_cap) + tech_3_5*TblTech[[#This Row],[3-5]] + tech_5_3*TblTech[[#This Row],[5-3]] + tech_5_5*TblTech[[#This Row],[5-5]])*spec_op_plat,0)</f>
        <v>192</v>
      </c>
      <c r="BJ69" s="69" t="n">
        <f aca="false">ROUNDUP(IF(race="Gnome",1,(1-MIN(TblMili[[#This Row],[Smithies]]*smithy_bonus,smithy_bonus_cap) + tech_3_5*TblTech[[#This Row],[3-5]] + tech_5_3*TblTech[[#This Row],[5-3]] + tech_5_5*TblTech[[#This Row],[5-5]]))*spec_op_ore,0)</f>
        <v>0</v>
      </c>
      <c r="BK69" s="69" t="n">
        <f aca="false">ROUNDUP((1-MIN(TblMili[[#This Row],[Smithies]]*smithy_bonus,smithy_bonus_cap) + tech_3_5*TblTech[[#This Row],[3-5]] + tech_5_3*TblTech[[#This Row],[5-3]] + tech_5_5*TblTech[[#This Row],[5-5]])*spec_dp_plat,0)</f>
        <v>192</v>
      </c>
      <c r="BL69" s="69" t="n">
        <f aca="false">ROUNDUP(IF(race="Gnome",1,(1-MIN(TblMili[[#This Row],[Smithies]]*smithy_bonus,smithy_bonus_cap) + tech_3_5*TblTech[[#This Row],[3-5]] + tech_5_3*TblTech[[#This Row],[5-3]] + tech_5_5*TblTech[[#This Row],[5-5]]))*spec_dp_ore,0)</f>
        <v>0</v>
      </c>
      <c r="BM69" s="69" t="n">
        <f aca="false">ROUNDUP((1-MIN(TblMili[[#This Row],[Smithies]]*smithy_bonus,smithy_bonus_cap) + tech_3_5*TblTech[[#This Row],[3-5]] + tech_5_3*TblTech[[#This Row],[5-3]] + tech_5_5*TblTech[[#This Row],[5-5]])*elite1_plat,0)</f>
        <v>592</v>
      </c>
      <c r="BN69" s="69" t="n">
        <f aca="false">ROUNDUP(IF(race="Gnome",1,(1-MIN(TblMili[[#This Row],[Smithies]]*smithy_bonus,smithy_bonus_cap) + tech_3_5*TblTech[[#This Row],[3-5]] + tech_5_3*TblTech[[#This Row],[5-3]] + tech_5_5*TblTech[[#This Row],[5-5]]))*elite1_ore,0)</f>
        <v>0</v>
      </c>
      <c r="BO69" s="69" t="n">
        <f aca="false">ROUNDUP((1-MIN(TblMili[[#This Row],[Smithies]]*smithy_bonus,smithy_bonus_cap) + tech_3_5*TblTech[[#This Row],[3-5]] + tech_5_3*TblTech[[#This Row],[5-3]] + tech_5_5*TblTech[[#This Row],[5-5]])*elite2_plat,0)</f>
        <v>608</v>
      </c>
      <c r="BP69" s="69" t="n">
        <f aca="false">ROUNDUP(IF(race="Gnome",1,(1-MIN(TblMili[[#This Row],[Smithies]]*smithy_bonus,smithy_bonus_cap) + tech_3_5*TblTech[[#This Row],[3-5]] + tech_5_3*TblTech[[#This Row],[5-3]] + tech_5_5*TblTech[[#This Row],[5-5]]))*elite2_ore,0)</f>
        <v>0</v>
      </c>
      <c r="BQ69" s="69" t="n">
        <f aca="false">ROUNDUP((1-MIN(ROUND(fh_spy_cost_red*TblMili[[#This Row],[FH''s]],4),fh_spy_cost_cap)+ tech_1_9*TblTech[[#This Row],[1-9]] + tech_9_1*TblTech[[#This Row],[9-1]])*spy_plat,0)</f>
        <v>500</v>
      </c>
      <c r="BR69" s="69" t="n">
        <f aca="false">ROUNDUP((1-MIN(ROUND(fh_spy_cost_red*TblMili[[#This Row],[FH''s]],4),fh_spy_cost_cap)+ tech_1_9*TblTech[[#This Row],[1-9]] + tech_9_1*TblTech[[#This Row],[9-1]])*archspy_plat,0)</f>
        <v>1000</v>
      </c>
      <c r="BS69" s="69" t="n">
        <f aca="false">ROUNDUP((1-MIN(ROUND(wg_wiz_cost_bonus*TblMili[[#This Row],[WG''s]],4),wg_wiz_cost_cap) + tech_1_9_2*TblTech[[#This Row],[1-9]] + tech_9_1_2*TblTech[[#This Row],[9-1]])*wizard_plat,0)</f>
        <v>500</v>
      </c>
      <c r="BT69" s="69" t="n">
        <f aca="false">ROUNDUP((1-MIN(ROUND(wg_wiz_cost_bonus*TblMili[[#This Row],[WG''s]],4),wg_wiz_cost_cap) + tech_1_9_2*TblTech[[#This Row],[1-9]] + tech_9_1_2*TblTech[[#This Row],[9-1]])*archmage_plat,0)</f>
        <v>1000</v>
      </c>
      <c r="BU69" s="132"/>
      <c r="BV69" s="150" t="e">
        <f aca="false">TblConstr[[#This Row],[Homeland]]/TblConstr[[#This Row],[Land]]</f>
        <v>#VALUE!</v>
      </c>
      <c r="BW69" s="150" t="n">
        <f aca="false">TblMili[[#This Row],[WG''s]]</f>
        <v>0</v>
      </c>
      <c r="BX69" s="288" t="e">
        <f aca="false">IF(mystic_cap="none",TblMili[[#This Row],[Hill]]/mystic_bonus,MIN(mystic_cap,TblMili[[#This Row],[Hill]]/mystic_bonus))</f>
        <v>#VALUE!</v>
      </c>
      <c r="BY69" s="288" t="e">
        <f aca="false">IF(druid_op_cap="none",TblMili[[#This Row],[Hill]]/druid_op_bonus,MIN(druid_op_cap,TblMili[[#This Row],[Hill]]/druid_op_bonus))</f>
        <v>#VALUE!</v>
      </c>
      <c r="BZ69" s="288" t="e">
        <f aca="false">IF(druid_dp_cap="none",TblMili[[#This Row],[Hill]]/druid_dp_bonus,MIN(druid_dp_cap,TblMili[[#This Row],[Hill]]/druid_dp_bonus))</f>
        <v>#VALUE!</v>
      </c>
      <c r="CA69" s="288" t="e">
        <f aca="false">MIN(dryad_cap,TblMili[[#This Row],[Hill]]/dryad_bonus)</f>
        <v>#VALUE!</v>
      </c>
      <c r="CB69" s="288" t="e">
        <f aca="false">MIN(rocka_cap,TblMili[[#This Row],[Hill]]/rocka_bonus)</f>
        <v>#VALUE!</v>
      </c>
      <c r="CC69" s="288" t="n">
        <f aca="false">MIN(adept_op_cap,TblMili[[#This Row],[WG]]/adept_op_bonus)</f>
        <v>0</v>
      </c>
      <c r="CD69" s="288" t="n">
        <f aca="false">MIN(adept_dp_cap,TblMili[[#This Row],[WG]]/adept_dp_bonus)</f>
        <v>0</v>
      </c>
      <c r="CE69" s="69" t="n">
        <f aca="false">MIN(TblMili[[#This Row],[Unit 3]],TblMili[[#This Row],[Unit 2]])*2</f>
        <v>0</v>
      </c>
      <c r="CF69" s="69" t="n">
        <f aca="false">MIN(TblMili[[#This Row],[Unit 1]],TblMili[[#This Row],[Unit 4]])*2</f>
        <v>0</v>
      </c>
      <c r="CG69" s="288" t="e">
        <f aca="false">MIN(frost_mage_cap,TblMili[[#This Row],[Hill]]/frost_mage_bonus)</f>
        <v>#VALUE!</v>
      </c>
      <c r="CH69" s="151" t="n">
        <f aca="false">MIN(ice_elem_cap,TblMili[[#This Row],[Raw (2)]]*ice_elem_bonus)</f>
        <v>0</v>
      </c>
      <c r="CI69" s="288" t="n">
        <f aca="false">MIN(bone_breaker_cap,250/bone_breaker_bonus)</f>
        <v>0.833333333333333</v>
      </c>
      <c r="CJ69" s="288" t="e">
        <f aca="false">MIN(nox_nightshade_cap,TblConstr[[#This Row],[Homeland]]/TblConstr[[#This Row],[Land]]/nox_nightshade_swamp_bonus)</f>
        <v>#VALUE!</v>
      </c>
      <c r="CK69" s="289"/>
      <c r="CL69" s="289"/>
      <c r="CM69" s="289"/>
      <c r="CN69" s="288" t="e">
        <f aca="false">MIN(6,TblMili[[#This Row],[Mystic]]+Races!$F$19)*1.8 +  IF(TblMili[[#This Row],[Mystic]]+Races!$F$19&gt;6,(TblMili[[#This Row],[Mystic]]+Races!$F$19-6)*0.2,0) - Races!$I$19</f>
        <v>#VALUE!</v>
      </c>
      <c r="CO69" s="288" t="e">
        <f aca="false">1.8 * MIN(MAX(TblMili[[#This Row],[Druid (op)]]+Races!$E$20,TblMili[[#This Row],[Druid (dp)]]+Races!$F$20),6)  +  0.45 * MIN(MIN(TblMili[[#This Row],[Druid (op)]]+Races!$E$20,TblMili[[#This Row],[Druid (dp)]]+Races!$F$20),6)  +  0.2 * ( MAX(TblMili[[#This Row],[Druid (op)]]+Races!$E$20-6,0) + MAX(TblMili[[#This Row],[Druid (dp)]]+Races!$F$20-6,0) )  -  Races!$I$20</f>
        <v>#VALUE!</v>
      </c>
      <c r="CP69" s="69" t="e">
        <f aca="false">TblMili[[#This Row],[Mystic bonus]]*TblMili[[#This Row],[Unit 3]]+TblMili[[#This Row],[Druid bonus]]*TblMili[[#This Row],[Unit 4]]</f>
        <v>#VALUE!</v>
      </c>
      <c r="CQ69" s="148" t="e">
        <f aca="false">MIN(6,TblMili[[#This Row],[Dryad]]+Races!$F$35)*1.8 +  IF(TblMili[[#This Row],[Dryad]]+Races!$F$35&gt;6,(TblMili[[#This Row],[Dryad]]+Races!$F$35-6)*0.2,0) - Races!$I$19</f>
        <v>#VALUE!</v>
      </c>
      <c r="CR69" s="69" t="e">
        <f aca="false">sylvan*(TblMili[[#This Row],[Mystic bonus]]*TblMili[[#This Row],[Unit 3]])</f>
        <v>#VALUE!</v>
      </c>
      <c r="CS69" s="148" t="e">
        <f aca="false">1.8 * MIN(MAX(Races!$E$27,TblMili[[#This Row],[Rockapult]]+Races!$F$27),6)  +  0.45 * MIN(MIN(Races!$E$27,TblMili[[#This Row],[Rockapult]]+Races!$F$27),6)  +  0.2 * ( MAX(Races!$E$27-6,0) + MAX(TblMili[[#This Row],[Rockapult]]+Races!$F$27-6,0) )  -  Races!$I$20</f>
        <v>#VALUE!</v>
      </c>
      <c r="CT69" s="69" t="e">
        <f aca="false">gnome*(TblMili[[#This Row],[Rockapult bonus]]*TblMili[[#This Row],[Unit 3]])</f>
        <v>#VALUE!</v>
      </c>
      <c r="CU69" s="148" t="n">
        <f aca="false">1.8 * MIN(MAX(TblMili[[#This Row],[Spellblade]]+Races!$E$47,TblMili[[#This Row],[Adept-DP]]+Races!$F$47),6)  +  0.45 * MIN(MIN(TblMili[[#This Row],[Spellblade]]+Races!$E$47,TblMili[[#This Row],[Adept-DP]]+Races!$F$47),6)  +  0.2 * ( MAX(TblMili[[#This Row],[Spellblade]]+Races!$E$47-6,0) + MAX(TblMili[[#This Row],[Adept-DP]]+Races!$F$47-6,0) )  -  Races!$I$47</f>
        <v>0</v>
      </c>
      <c r="CV69" s="69" t="n">
        <f aca="false">dark_elf*(TblMili[[#This Row],[Adept bonus]]*TblMili[[#This Row],[Unit 3]])</f>
        <v>0</v>
      </c>
      <c r="CW69" s="148" t="e">
        <f aca="false">1.8 * MIN(MAX(TblMili[[#This Row],[Frost Mage]]+Races!$F$71,Races!$E$71),6)  +  0.45 * MIN(MIN(TblMili[[#This Row],[Frost Mage]]+Races!$F$71,Races!$E$71),6)  +  0.2 * ( MAX(TblMili[[#This Row],[Frost Mage]]+Races!$F$71-6,0) + MAX(Races!$E$71-6,0) )  -  Races!$I$71</f>
        <v>#VALUE!</v>
      </c>
      <c r="CX69" s="148" t="n">
        <f aca="false">1.8 * MIN(MAX(TblMili[[#This Row],[Ice Elemental]]+Races!$E$71,Races!$F$71),6)  +  0.45 * MIN(MIN(TblMili[[#This Row],[Ice Elemental]]+Races!$E$71,Races!$F$71),6)  +  0.2 * ( MAX(TblMili[[#This Row],[Ice Elemental]]+Races!$E$71-6,0) + MAX(Races!$F$71-6,0) )  -  Races!$I$71</f>
        <v>0</v>
      </c>
      <c r="CY69" s="69" t="e">
        <f aca="false">TblMili[[#This Row],[Frost Mage bonus]]*TblMili[[#This Row],[Unit 3]]+TblMili[[#This Row],[Ice Elemental bonus]]*TblMili[[#This Row],[Unit 4]]</f>
        <v>#VALUE!</v>
      </c>
      <c r="CZ69" s="290"/>
      <c r="DA69" s="109" t="n">
        <f aca="false">MIN(SUM(TblConstr[[#This Row],[Plain]:[Water]])/TblMili[[#This Row],[Land]]/favorable_terrain_bonus/100,favorable_terrain_max)</f>
        <v>0</v>
      </c>
      <c r="DB69" s="290"/>
      <c r="DC6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9" s="132"/>
      <c r="DE69" s="291" t="n">
        <f aca="false">(TblMili[[#This Row],[Wizards]]+2*TblMili[[#This Row],[Archmages]])/TblConstr[[#This Row],[Land]]</f>
        <v>0</v>
      </c>
      <c r="DF69" s="291" t="n">
        <f aca="false">TblMili[[#This Row],[Raw (2)]]*(1+race_wizard_strength+IF(TblMili[[#This Row],[Hour]]&gt;72,tech_magical_weaponry_wiz*TblTech[[#This Row],[3-5]],0))</f>
        <v>0</v>
      </c>
    </row>
    <row r="70" customFormat="false" ht="12.75" hidden="false" customHeight="false" outlineLevel="0" collapsed="false">
      <c r="A70" s="128" t="n">
        <f aca="false">TblRezone[[#This Row],[Hour]]</f>
        <v>67</v>
      </c>
      <c r="B70" s="282" t="n">
        <f aca="false">SUM(TblMili[[#This Row],[Unit 1]:[Archmages]])+SUM(OFFSET(TblMili[[#This Row],[Train Unit 1]],-8,0):TblMili[[#This Row],[Train Unit 2]]) + SUM(OFFSET(TblMili[[#This Row],[Train Unit 3]],-11,0):TblMili[[#This Row],[Train AM]]) + TblMili[[#This Row],[Draftees]]</f>
        <v>2321</v>
      </c>
      <c r="C70" s="150" t="n">
        <f aca="false">TblPop[[#This Row],[Military%]]</f>
        <v>0.18274151641603</v>
      </c>
      <c r="D70" s="132"/>
      <c r="E70" s="151" t="n">
        <f aca="false">OFFSET(TblMili[[#This Row],[Unit 1]],-1,0) + OFFSET(TblMili[[#This Row],[Train Unit 1]],-9,0) - TblMili[[#This Row],[Release Unit 1]]</f>
        <v>0</v>
      </c>
      <c r="F70" s="151" t="n">
        <f aca="false">OFFSET(TblMili[[#This Row],[Unit 2]],-1,0) + OFFSET(TblMili[[#This Row],[Train Unit 2]],-9,0)-TblMili[[#This Row],[Release Unit 2]]</f>
        <v>0</v>
      </c>
      <c r="G70" s="151" t="n">
        <f aca="false">OFFSET(TblMili[[#This Row],[Unit 3]],-1,0) + OFFSET(TblMili[[#This Row],[Train Unit 3]],-12,0)-TblMili[[#This Row],[Release Unit 3]]</f>
        <v>0</v>
      </c>
      <c r="H70" s="151" t="n">
        <f aca="false">OFFSET(TblMili[[#This Row],[Unit 4]],-1,0) + OFFSET(TblMili[[#This Row],[Train Unit 4]],-12,0)-TblMili[[#This Row],[Release Unit 4]]</f>
        <v>0</v>
      </c>
      <c r="I70" s="151" t="n">
        <f aca="false">OFFSET(TblMili[[#This Row],[Spies]],-1,0) + OFFSET(TblMili[[#This Row],[Train Spies]],-12,0) - TblMili[[#This Row],[Release Spies]]-TblMili[[#This Row],[Train AS]]</f>
        <v>0</v>
      </c>
      <c r="J70" s="151" t="n">
        <f aca="false">OFFSET(TblMili[[#This Row],[Archspies]],-1,0) + OFFSET(TblMili[[#This Row],[Train AS]],-12,0) - TblMili[[#This Row],[Release AS]]</f>
        <v>0</v>
      </c>
      <c r="K70" s="151" t="n">
        <f aca="false">OFFSET(TblMili[[#This Row],[Wizards]],-1,0) + OFFSET(TblMili[[#This Row],[Train Wiz]],-12,0) - TblMili[[#This Row],[Release Wizards]]-TblMili[[#This Row],[Train AM]]</f>
        <v>0</v>
      </c>
      <c r="L70" s="151" t="n">
        <f aca="false">OFFSET(TblMili[[#This Row],[Archmages]],-1,0) + OFFSET(TblMili[[#This Row],[Train AM]],-12,0) - TblMili[[#This Row],[Release AM]]</f>
        <v>0</v>
      </c>
      <c r="M70" s="132"/>
      <c r="N70" s="69" t="e">
        <f aca="false">TblProd[[#This Row],[Networth]]</f>
        <v>#VALUE!</v>
      </c>
      <c r="O70" s="132"/>
      <c r="P7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0" s="285" t="e">
        <f aca="false">TblMili[[#This Row],[Raw]]*(1+TblMili[[#This Row],[Mods_Off]])</f>
        <v>#VALUE!</v>
      </c>
      <c r="S7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0" s="285" t="e">
        <f aca="false">TblMili[[#This Row],[Non Draft]]+TblMili[[#This Row],[Draftees]]</f>
        <v>#VALUE!</v>
      </c>
      <c r="U70" s="286" t="n">
        <f aca="false">race_defense + TblImps[[#This Row],[Walls]] + ROUND( MIN(gt_bonus*TblConstr[[#This Row],[Tot GT]]/TblConstr[[#This Row],[Land]],gt_bonus_cap), 4) + IF(TblMagic[[#This Row],[Active Howling]]&gt;0,howling_dp_bonus,IF(TblMagic[[#This Row],[Active Ares Call]]&gt;0,ares_call_bonus))</f>
        <v>0</v>
      </c>
      <c r="V70" s="274" t="e">
        <f aca="false">TblMili[[#This Row],[Non Draft]] * (1 + TblMili[[#This Row],[Mods_Def]])</f>
        <v>#VALUE!</v>
      </c>
      <c r="W70" s="285" t="e">
        <f aca="false">TblMili[[#This Row],[Draft]] * (1 + TblMili[[#This Row],[Mods_Def]])</f>
        <v>#VALUE!</v>
      </c>
      <c r="X70" s="285" t="n">
        <f aca="false">TblConstr[[#This Row],[Land]]</f>
        <v>700</v>
      </c>
      <c r="Y70" s="287"/>
      <c r="Z70" s="109" t="n">
        <f aca="false">IF(TblMili[[#This Row],[Set]]&lt;&gt;"",TblMili[[#This Row],[Set]],OFFSET(TblMili[[#This Row],[Draftrate]],-1,0))</f>
        <v>0.9</v>
      </c>
      <c r="AA70" s="69" t="n">
        <f aca="false">OFFSET(TblMili[[#This Row],[Draftees]],-1,0)+OFFSET(TblPop[[#This Row],[Draft Growth]],-1,0) - SUM(TblMili[[#This Row],[Train Unit 1]:[Train Spies]],TblMili[[#This Row],[Train Wiz]]) - TblMili[[#This Row],[Release Draft]] + SUM(TblMili[[#This Row],[Release Unit 1]:[Release AM]]) - TblExplore[[#This Row],[Draftees (2)]]</f>
        <v>0</v>
      </c>
      <c r="AB70" s="146"/>
      <c r="AC70" s="130" t="n">
        <f aca="false">(TblConstr[[#This Row],[Tot Smi]]+TblConstr[[#This Row],[Dest Smi]])/(TblConstr[[#This Row],[Land]]-TblExplore[[#This Row],[Land Bonus]]*20)</f>
        <v>0.18</v>
      </c>
      <c r="AD70" s="128"/>
      <c r="AE70" s="282" t="n">
        <f aca="false">TblMili[[#This Row],[Hour]]</f>
        <v>67</v>
      </c>
      <c r="AF70" s="129" t="n">
        <f aca="false">TblExplore[[#This Row],[Time]]</f>
        <v>45432.5</v>
      </c>
      <c r="AG70" s="182"/>
      <c r="AH70" s="152" t="n">
        <v>52</v>
      </c>
      <c r="AI70" s="182"/>
      <c r="AJ70" s="182" t="n">
        <v>58</v>
      </c>
      <c r="AK70" s="182"/>
      <c r="AL70" s="182"/>
      <c r="AM70" s="182"/>
      <c r="AN70" s="182"/>
      <c r="AO70" s="132"/>
      <c r="AP70" s="69" t="n">
        <f aca="false">TblProd[[#This Row],[Platinum]]</f>
        <v>68189</v>
      </c>
      <c r="AQ70" s="69" t="n">
        <f aca="false">INDEX(TblProd[[#Headers],[Lumber]]:TblProd[[#This Row],[Ore]],COUNTA(TblProd[[#Headers],[Lumber]]:TblProd[[#This Row],[Lumber]]),MATCH(Military!$AQ$2,TblProd[[#Headers],[Lumber]:[Ore]],0))</f>
        <v>0</v>
      </c>
      <c r="AR7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45248</v>
      </c>
      <c r="AS70" s="69" t="n">
        <f aca="false">TblMili[[#This Row],[Train Unit 1]]*TblMili[[#This Row],[OP Ore]]+TblMili[[#This Row],[Train Unit 2]]*TblMili[[#This Row],[DP Ore]]+TblMili[[#This Row],[Train Unit 3]]*TblMili[[#This Row],[E1 Ore]]+TblMili[[#This Row],[Train Unit 4]]*TblMili[[#This Row],[E2 Ore]]</f>
        <v>0</v>
      </c>
      <c r="AT70" s="132" t="n">
        <f aca="false">TblMili[[#This Row],[Hour]]</f>
        <v>67</v>
      </c>
      <c r="AU70" s="144" t="n">
        <f aca="false">TblMili[[#This Row],[Time]]</f>
        <v>45432.5</v>
      </c>
      <c r="AV70" s="69" t="n">
        <f aca="false">TblMili[[#This Row],[Draftees]]</f>
        <v>0</v>
      </c>
      <c r="AW70" s="182"/>
      <c r="AX70" s="182"/>
      <c r="AY70" s="182"/>
      <c r="AZ70" s="182"/>
      <c r="BA70" s="182"/>
      <c r="BB70" s="182"/>
      <c r="BC70" s="182"/>
      <c r="BD70" s="182"/>
      <c r="BE70" s="182"/>
      <c r="BF70" s="132"/>
      <c r="BG70" s="150" t="n">
        <f aca="false">TblConstr[[#This Row],[Tot WG]]/TblConstr[[#This Row],[Land]]</f>
        <v>0</v>
      </c>
      <c r="BH70" s="150" t="n">
        <f aca="false">TblConstr[[#This Row],[Tot Hav]]/TblConstr[[#This Row],[Land]]</f>
        <v>0</v>
      </c>
      <c r="BI70" s="69" t="n">
        <f aca="false">ROUNDUP((1-MIN(TblMili[[#This Row],[Smithies]]*smithy_bonus,smithy_bonus_cap) + tech_3_5*TblTech[[#This Row],[3-5]] + tech_5_3*TblTech[[#This Row],[5-3]] + tech_5_5*TblTech[[#This Row],[5-5]])*spec_op_plat,0)</f>
        <v>192</v>
      </c>
      <c r="BJ70" s="69" t="n">
        <f aca="false">ROUNDUP(IF(race="Gnome",1,(1-MIN(TblMili[[#This Row],[Smithies]]*smithy_bonus,smithy_bonus_cap) + tech_3_5*TblTech[[#This Row],[3-5]] + tech_5_3*TblTech[[#This Row],[5-3]] + tech_5_5*TblTech[[#This Row],[5-5]]))*spec_op_ore,0)</f>
        <v>0</v>
      </c>
      <c r="BK70" s="69" t="n">
        <f aca="false">ROUNDUP((1-MIN(TblMili[[#This Row],[Smithies]]*smithy_bonus,smithy_bonus_cap) + tech_3_5*TblTech[[#This Row],[3-5]] + tech_5_3*TblTech[[#This Row],[5-3]] + tech_5_5*TblTech[[#This Row],[5-5]])*spec_dp_plat,0)</f>
        <v>192</v>
      </c>
      <c r="BL70" s="69" t="n">
        <f aca="false">ROUNDUP(IF(race="Gnome",1,(1-MIN(TblMili[[#This Row],[Smithies]]*smithy_bonus,smithy_bonus_cap) + tech_3_5*TblTech[[#This Row],[3-5]] + tech_5_3*TblTech[[#This Row],[5-3]] + tech_5_5*TblTech[[#This Row],[5-5]]))*spec_dp_ore,0)</f>
        <v>0</v>
      </c>
      <c r="BM70" s="69" t="n">
        <f aca="false">ROUNDUP((1-MIN(TblMili[[#This Row],[Smithies]]*smithy_bonus,smithy_bonus_cap) + tech_3_5*TblTech[[#This Row],[3-5]] + tech_5_3*TblTech[[#This Row],[5-3]] + tech_5_5*TblTech[[#This Row],[5-5]])*elite1_plat,0)</f>
        <v>592</v>
      </c>
      <c r="BN70" s="69" t="n">
        <f aca="false">ROUNDUP(IF(race="Gnome",1,(1-MIN(TblMili[[#This Row],[Smithies]]*smithy_bonus,smithy_bonus_cap) + tech_3_5*TblTech[[#This Row],[3-5]] + tech_5_3*TblTech[[#This Row],[5-3]] + tech_5_5*TblTech[[#This Row],[5-5]]))*elite1_ore,0)</f>
        <v>0</v>
      </c>
      <c r="BO70" s="69" t="n">
        <f aca="false">ROUNDUP((1-MIN(TblMili[[#This Row],[Smithies]]*smithy_bonus,smithy_bonus_cap) + tech_3_5*TblTech[[#This Row],[3-5]] + tech_5_3*TblTech[[#This Row],[5-3]] + tech_5_5*TblTech[[#This Row],[5-5]])*elite2_plat,0)</f>
        <v>608</v>
      </c>
      <c r="BP70" s="69" t="n">
        <f aca="false">ROUNDUP(IF(race="Gnome",1,(1-MIN(TblMili[[#This Row],[Smithies]]*smithy_bonus,smithy_bonus_cap) + tech_3_5*TblTech[[#This Row],[3-5]] + tech_5_3*TblTech[[#This Row],[5-3]] + tech_5_5*TblTech[[#This Row],[5-5]]))*elite2_ore,0)</f>
        <v>0</v>
      </c>
      <c r="BQ70" s="69" t="n">
        <f aca="false">ROUNDUP((1-MIN(ROUND(fh_spy_cost_red*TblMili[[#This Row],[FH''s]],4),fh_spy_cost_cap)+ tech_1_9*TblTech[[#This Row],[1-9]] + tech_9_1*TblTech[[#This Row],[9-1]])*spy_plat,0)</f>
        <v>500</v>
      </c>
      <c r="BR70" s="69" t="n">
        <f aca="false">ROUNDUP((1-MIN(ROUND(fh_spy_cost_red*TblMili[[#This Row],[FH''s]],4),fh_spy_cost_cap)+ tech_1_9*TblTech[[#This Row],[1-9]] + tech_9_1*TblTech[[#This Row],[9-1]])*archspy_plat,0)</f>
        <v>1000</v>
      </c>
      <c r="BS70" s="69" t="n">
        <f aca="false">ROUNDUP((1-MIN(ROUND(wg_wiz_cost_bonus*TblMili[[#This Row],[WG''s]],4),wg_wiz_cost_cap) + tech_1_9_2*TblTech[[#This Row],[1-9]] + tech_9_1_2*TblTech[[#This Row],[9-1]])*wizard_plat,0)</f>
        <v>500</v>
      </c>
      <c r="BT70" s="69" t="n">
        <f aca="false">ROUNDUP((1-MIN(ROUND(wg_wiz_cost_bonus*TblMili[[#This Row],[WG''s]],4),wg_wiz_cost_cap) + tech_1_9_2*TblTech[[#This Row],[1-9]] + tech_9_1_2*TblTech[[#This Row],[9-1]])*archmage_plat,0)</f>
        <v>1000</v>
      </c>
      <c r="BU70" s="132"/>
      <c r="BV70" s="150" t="e">
        <f aca="false">TblConstr[[#This Row],[Homeland]]/TblConstr[[#This Row],[Land]]</f>
        <v>#VALUE!</v>
      </c>
      <c r="BW70" s="150" t="n">
        <f aca="false">TblMili[[#This Row],[WG''s]]</f>
        <v>0</v>
      </c>
      <c r="BX70" s="288" t="e">
        <f aca="false">IF(mystic_cap="none",TblMili[[#This Row],[Hill]]/mystic_bonus,MIN(mystic_cap,TblMili[[#This Row],[Hill]]/mystic_bonus))</f>
        <v>#VALUE!</v>
      </c>
      <c r="BY70" s="288" t="e">
        <f aca="false">IF(druid_op_cap="none",TblMili[[#This Row],[Hill]]/druid_op_bonus,MIN(druid_op_cap,TblMili[[#This Row],[Hill]]/druid_op_bonus))</f>
        <v>#VALUE!</v>
      </c>
      <c r="BZ70" s="288" t="e">
        <f aca="false">IF(druid_dp_cap="none",TblMili[[#This Row],[Hill]]/druid_dp_bonus,MIN(druid_dp_cap,TblMili[[#This Row],[Hill]]/druid_dp_bonus))</f>
        <v>#VALUE!</v>
      </c>
      <c r="CA70" s="288" t="e">
        <f aca="false">MIN(dryad_cap,TblMili[[#This Row],[Hill]]/dryad_bonus)</f>
        <v>#VALUE!</v>
      </c>
      <c r="CB70" s="288" t="e">
        <f aca="false">MIN(rocka_cap,TblMili[[#This Row],[Hill]]/rocka_bonus)</f>
        <v>#VALUE!</v>
      </c>
      <c r="CC70" s="288" t="n">
        <f aca="false">MIN(adept_op_cap,TblMili[[#This Row],[WG]]/adept_op_bonus)</f>
        <v>0</v>
      </c>
      <c r="CD70" s="288" t="n">
        <f aca="false">MIN(adept_dp_cap,TblMili[[#This Row],[WG]]/adept_dp_bonus)</f>
        <v>0</v>
      </c>
      <c r="CE70" s="69" t="n">
        <f aca="false">MIN(TblMili[[#This Row],[Unit 3]],TblMili[[#This Row],[Unit 2]])*2</f>
        <v>0</v>
      </c>
      <c r="CF70" s="69" t="n">
        <f aca="false">MIN(TblMili[[#This Row],[Unit 1]],TblMili[[#This Row],[Unit 4]])*2</f>
        <v>0</v>
      </c>
      <c r="CG70" s="288" t="e">
        <f aca="false">MIN(frost_mage_cap,TblMili[[#This Row],[Hill]]/frost_mage_bonus)</f>
        <v>#VALUE!</v>
      </c>
      <c r="CH70" s="151" t="n">
        <f aca="false">MIN(ice_elem_cap,TblMili[[#This Row],[Raw (2)]]*ice_elem_bonus)</f>
        <v>0</v>
      </c>
      <c r="CI70" s="288" t="n">
        <f aca="false">MIN(bone_breaker_cap,250/bone_breaker_bonus)</f>
        <v>0.833333333333333</v>
      </c>
      <c r="CJ70" s="288" t="e">
        <f aca="false">MIN(nox_nightshade_cap,TblConstr[[#This Row],[Homeland]]/TblConstr[[#This Row],[Land]]/nox_nightshade_swamp_bonus)</f>
        <v>#VALUE!</v>
      </c>
      <c r="CK70" s="289"/>
      <c r="CL70" s="289"/>
      <c r="CM70" s="289"/>
      <c r="CN70" s="288" t="e">
        <f aca="false">MIN(6,TblMili[[#This Row],[Mystic]]+Races!$F$19)*1.8 +  IF(TblMili[[#This Row],[Mystic]]+Races!$F$19&gt;6,(TblMili[[#This Row],[Mystic]]+Races!$F$19-6)*0.2,0) - Races!$I$19</f>
        <v>#VALUE!</v>
      </c>
      <c r="CO70" s="288" t="e">
        <f aca="false">1.8 * MIN(MAX(TblMili[[#This Row],[Druid (op)]]+Races!$E$20,TblMili[[#This Row],[Druid (dp)]]+Races!$F$20),6)  +  0.45 * MIN(MIN(TblMili[[#This Row],[Druid (op)]]+Races!$E$20,TblMili[[#This Row],[Druid (dp)]]+Races!$F$20),6)  +  0.2 * ( MAX(TblMili[[#This Row],[Druid (op)]]+Races!$E$20-6,0) + MAX(TblMili[[#This Row],[Druid (dp)]]+Races!$F$20-6,0) )  -  Races!$I$20</f>
        <v>#VALUE!</v>
      </c>
      <c r="CP70" s="69" t="e">
        <f aca="false">TblMili[[#This Row],[Mystic bonus]]*TblMili[[#This Row],[Unit 3]]+TblMili[[#This Row],[Druid bonus]]*TblMili[[#This Row],[Unit 4]]</f>
        <v>#VALUE!</v>
      </c>
      <c r="CQ70" s="148" t="e">
        <f aca="false">MIN(6,TblMili[[#This Row],[Dryad]]+Races!$F$35)*1.8 +  IF(TblMili[[#This Row],[Dryad]]+Races!$F$35&gt;6,(TblMili[[#This Row],[Dryad]]+Races!$F$35-6)*0.2,0) - Races!$I$19</f>
        <v>#VALUE!</v>
      </c>
      <c r="CR70" s="69" t="e">
        <f aca="false">sylvan*(TblMili[[#This Row],[Mystic bonus]]*TblMili[[#This Row],[Unit 3]])</f>
        <v>#VALUE!</v>
      </c>
      <c r="CS70" s="148" t="e">
        <f aca="false">1.8 * MIN(MAX(Races!$E$27,TblMili[[#This Row],[Rockapult]]+Races!$F$27),6)  +  0.45 * MIN(MIN(Races!$E$27,TblMili[[#This Row],[Rockapult]]+Races!$F$27),6)  +  0.2 * ( MAX(Races!$E$27-6,0) + MAX(TblMili[[#This Row],[Rockapult]]+Races!$F$27-6,0) )  -  Races!$I$20</f>
        <v>#VALUE!</v>
      </c>
      <c r="CT70" s="69" t="e">
        <f aca="false">gnome*(TblMili[[#This Row],[Rockapult bonus]]*TblMili[[#This Row],[Unit 3]])</f>
        <v>#VALUE!</v>
      </c>
      <c r="CU70" s="148" t="n">
        <f aca="false">1.8 * MIN(MAX(TblMili[[#This Row],[Spellblade]]+Races!$E$47,TblMili[[#This Row],[Adept-DP]]+Races!$F$47),6)  +  0.45 * MIN(MIN(TblMili[[#This Row],[Spellblade]]+Races!$E$47,TblMili[[#This Row],[Adept-DP]]+Races!$F$47),6)  +  0.2 * ( MAX(TblMili[[#This Row],[Spellblade]]+Races!$E$47-6,0) + MAX(TblMili[[#This Row],[Adept-DP]]+Races!$F$47-6,0) )  -  Races!$I$47</f>
        <v>0</v>
      </c>
      <c r="CV70" s="69" t="n">
        <f aca="false">dark_elf*(TblMili[[#This Row],[Adept bonus]]*TblMili[[#This Row],[Unit 3]])</f>
        <v>0</v>
      </c>
      <c r="CW70" s="148" t="e">
        <f aca="false">1.8 * MIN(MAX(TblMili[[#This Row],[Frost Mage]]+Races!$F$71,Races!$E$71),6)  +  0.45 * MIN(MIN(TblMili[[#This Row],[Frost Mage]]+Races!$F$71,Races!$E$71),6)  +  0.2 * ( MAX(TblMili[[#This Row],[Frost Mage]]+Races!$F$71-6,0) + MAX(Races!$E$71-6,0) )  -  Races!$I$71</f>
        <v>#VALUE!</v>
      </c>
      <c r="CX70" s="148" t="n">
        <f aca="false">1.8 * MIN(MAX(TblMili[[#This Row],[Ice Elemental]]+Races!$E$71,Races!$F$71),6)  +  0.45 * MIN(MIN(TblMili[[#This Row],[Ice Elemental]]+Races!$E$71,Races!$F$71),6)  +  0.2 * ( MAX(TblMili[[#This Row],[Ice Elemental]]+Races!$E$71-6,0) + MAX(Races!$F$71-6,0) )  -  Races!$I$71</f>
        <v>0</v>
      </c>
      <c r="CY70" s="69" t="e">
        <f aca="false">TblMili[[#This Row],[Frost Mage bonus]]*TblMili[[#This Row],[Unit 3]]+TblMili[[#This Row],[Ice Elemental bonus]]*TblMili[[#This Row],[Unit 4]]</f>
        <v>#VALUE!</v>
      </c>
      <c r="CZ70" s="290"/>
      <c r="DA70" s="109" t="n">
        <f aca="false">MIN(SUM(TblConstr[[#This Row],[Plain]:[Water]])/TblMili[[#This Row],[Land]]/favorable_terrain_bonus/100,favorable_terrain_max)</f>
        <v>0</v>
      </c>
      <c r="DB70" s="290"/>
      <c r="DC7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0" s="132"/>
      <c r="DE70" s="291" t="n">
        <f aca="false">(TblMili[[#This Row],[Wizards]]+2*TblMili[[#This Row],[Archmages]])/TblConstr[[#This Row],[Land]]</f>
        <v>0</v>
      </c>
      <c r="DF70" s="291" t="n">
        <f aca="false">TblMili[[#This Row],[Raw (2)]]*(1+race_wizard_strength+IF(TblMili[[#This Row],[Hour]]&gt;72,tech_magical_weaponry_wiz*TblTech[[#This Row],[3-5]],0))</f>
        <v>0</v>
      </c>
    </row>
    <row r="71" customFormat="false" ht="12.75" hidden="false" customHeight="false" outlineLevel="0" collapsed="false">
      <c r="A71" s="128" t="n">
        <f aca="false">TblRezone[[#This Row],[Hour]]</f>
        <v>68</v>
      </c>
      <c r="B71" s="282" t="n">
        <f aca="false">SUM(TblMili[[#This Row],[Unit 1]:[Archmages]])+SUM(OFFSET(TblMili[[#This Row],[Train Unit 1]],-8,0):TblMili[[#This Row],[Train Unit 2]]) + SUM(OFFSET(TblMili[[#This Row],[Train Unit 3]],-11,0):TblMili[[#This Row],[Train AM]]) + TblMili[[#This Row],[Draftees]]</f>
        <v>2425</v>
      </c>
      <c r="C71" s="150" t="n">
        <f aca="false">TblPop[[#This Row],[Military%]]</f>
        <v>0.190929848043461</v>
      </c>
      <c r="D71" s="132"/>
      <c r="E71" s="151" t="n">
        <f aca="false">OFFSET(TblMili[[#This Row],[Unit 1]],-1,0) + OFFSET(TblMili[[#This Row],[Train Unit 1]],-9,0) - TblMili[[#This Row],[Release Unit 1]]</f>
        <v>0</v>
      </c>
      <c r="F71" s="151" t="n">
        <f aca="false">OFFSET(TblMili[[#This Row],[Unit 2]],-1,0) + OFFSET(TblMili[[#This Row],[Train Unit 2]],-9,0)-TblMili[[#This Row],[Release Unit 2]]</f>
        <v>0</v>
      </c>
      <c r="G71" s="151" t="n">
        <f aca="false">OFFSET(TblMili[[#This Row],[Unit 3]],-1,0) + OFFSET(TblMili[[#This Row],[Train Unit 3]],-12,0)-TblMili[[#This Row],[Release Unit 3]]</f>
        <v>0</v>
      </c>
      <c r="H71" s="151" t="n">
        <f aca="false">OFFSET(TblMili[[#This Row],[Unit 4]],-1,0) + OFFSET(TblMili[[#This Row],[Train Unit 4]],-12,0)-TblMili[[#This Row],[Release Unit 4]]</f>
        <v>0</v>
      </c>
      <c r="I71" s="151" t="n">
        <f aca="false">OFFSET(TblMili[[#This Row],[Spies]],-1,0) + OFFSET(TblMili[[#This Row],[Train Spies]],-12,0) - TblMili[[#This Row],[Release Spies]]-TblMili[[#This Row],[Train AS]]</f>
        <v>0</v>
      </c>
      <c r="J71" s="151" t="n">
        <f aca="false">OFFSET(TblMili[[#This Row],[Archspies]],-1,0) + OFFSET(TblMili[[#This Row],[Train AS]],-12,0) - TblMili[[#This Row],[Release AS]]</f>
        <v>0</v>
      </c>
      <c r="K71" s="151" t="n">
        <f aca="false">OFFSET(TblMili[[#This Row],[Wizards]],-1,0) + OFFSET(TblMili[[#This Row],[Train Wiz]],-12,0) - TblMili[[#This Row],[Release Wizards]]-TblMili[[#This Row],[Train AM]]</f>
        <v>0</v>
      </c>
      <c r="L71" s="151" t="n">
        <f aca="false">OFFSET(TblMili[[#This Row],[Archmages]],-1,0) + OFFSET(TblMili[[#This Row],[Train AM]],-12,0) - TblMili[[#This Row],[Release AM]]</f>
        <v>0</v>
      </c>
      <c r="M71" s="132"/>
      <c r="N71" s="69" t="e">
        <f aca="false">TblProd[[#This Row],[Networth]]</f>
        <v>#VALUE!</v>
      </c>
      <c r="O71" s="132"/>
      <c r="P7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1" s="285" t="e">
        <f aca="false">TblMili[[#This Row],[Raw]]*(1+TblMili[[#This Row],[Mods_Off]])</f>
        <v>#VALUE!</v>
      </c>
      <c r="S7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1" s="285" t="e">
        <f aca="false">TblMili[[#This Row],[Non Draft]]+TblMili[[#This Row],[Draftees]]</f>
        <v>#VALUE!</v>
      </c>
      <c r="U71" s="286" t="n">
        <f aca="false">race_defense + TblImps[[#This Row],[Walls]] + ROUND( MIN(gt_bonus*TblConstr[[#This Row],[Tot GT]]/TblConstr[[#This Row],[Land]],gt_bonus_cap), 4) + IF(TblMagic[[#This Row],[Active Howling]]&gt;0,howling_dp_bonus,IF(TblMagic[[#This Row],[Active Ares Call]]&gt;0,ares_call_bonus))</f>
        <v>0.0025</v>
      </c>
      <c r="V71" s="274" t="e">
        <f aca="false">TblMili[[#This Row],[Non Draft]] * (1 + TblMili[[#This Row],[Mods_Def]])</f>
        <v>#VALUE!</v>
      </c>
      <c r="W71" s="285" t="e">
        <f aca="false">TblMili[[#This Row],[Draft]] * (1 + TblMili[[#This Row],[Mods_Def]])</f>
        <v>#VALUE!</v>
      </c>
      <c r="X71" s="285" t="n">
        <f aca="false">TblConstr[[#This Row],[Land]]</f>
        <v>700</v>
      </c>
      <c r="Y71" s="287"/>
      <c r="Z71" s="109" t="n">
        <f aca="false">IF(TblMili[[#This Row],[Set]]&lt;&gt;"",TblMili[[#This Row],[Set]],OFFSET(TblMili[[#This Row],[Draftrate]],-1,0))</f>
        <v>0.9</v>
      </c>
      <c r="AA71" s="69" t="n">
        <f aca="false">OFFSET(TblMili[[#This Row],[Draftees]],-1,0)+OFFSET(TblPop[[#This Row],[Draft Growth]],-1,0) - SUM(TblMili[[#This Row],[Train Unit 1]:[Train Spies]],TblMili[[#This Row],[Train Wiz]]) - TblMili[[#This Row],[Release Draft]] + SUM(TblMili[[#This Row],[Release Unit 1]:[Release AM]]) - TblExplore[[#This Row],[Draftees (2)]]</f>
        <v>0</v>
      </c>
      <c r="AB71" s="146"/>
      <c r="AC71" s="130" t="n">
        <f aca="false">(TblConstr[[#This Row],[Tot Smi]]+TblConstr[[#This Row],[Dest Smi]])/(TblConstr[[#This Row],[Land]]-TblExplore[[#This Row],[Land Bonus]]*20)</f>
        <v>0.18</v>
      </c>
      <c r="AD71" s="128"/>
      <c r="AE71" s="282" t="n">
        <f aca="false">TblMili[[#This Row],[Hour]]</f>
        <v>68</v>
      </c>
      <c r="AF71" s="129" t="n">
        <f aca="false">TblExplore[[#This Row],[Time]]</f>
        <v>45432.5416666667</v>
      </c>
      <c r="AG71" s="182"/>
      <c r="AH71" s="152" t="n">
        <v>52</v>
      </c>
      <c r="AI71" s="182"/>
      <c r="AJ71" s="182" t="n">
        <v>52</v>
      </c>
      <c r="AK71" s="182"/>
      <c r="AL71" s="182"/>
      <c r="AM71" s="182"/>
      <c r="AN71" s="182"/>
      <c r="AO71" s="132"/>
      <c r="AP71" s="69" t="n">
        <f aca="false">TblProd[[#This Row],[Platinum]]</f>
        <v>74962</v>
      </c>
      <c r="AQ71" s="69" t="n">
        <f aca="false">INDEX(TblProd[[#Headers],[Lumber]]:TblProd[[#This Row],[Ore]],COUNTA(TblProd[[#Headers],[Lumber]]:TblProd[[#This Row],[Lumber]]),MATCH(Military!$AQ$2,TblProd[[#Headers],[Lumber]:[Ore]],0))</f>
        <v>0</v>
      </c>
      <c r="AR7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41600</v>
      </c>
      <c r="AS71" s="69" t="n">
        <f aca="false">TblMili[[#This Row],[Train Unit 1]]*TblMili[[#This Row],[OP Ore]]+TblMili[[#This Row],[Train Unit 2]]*TblMili[[#This Row],[DP Ore]]+TblMili[[#This Row],[Train Unit 3]]*TblMili[[#This Row],[E1 Ore]]+TblMili[[#This Row],[Train Unit 4]]*TblMili[[#This Row],[E2 Ore]]</f>
        <v>0</v>
      </c>
      <c r="AT71" s="132" t="n">
        <f aca="false">TblMili[[#This Row],[Hour]]</f>
        <v>68</v>
      </c>
      <c r="AU71" s="144" t="n">
        <f aca="false">TblMili[[#This Row],[Time]]</f>
        <v>45432.5416666667</v>
      </c>
      <c r="AV71" s="69" t="n">
        <f aca="false">TblMili[[#This Row],[Draftees]]</f>
        <v>0</v>
      </c>
      <c r="AW71" s="182"/>
      <c r="AX71" s="182"/>
      <c r="AY71" s="182"/>
      <c r="AZ71" s="182"/>
      <c r="BA71" s="182"/>
      <c r="BB71" s="182"/>
      <c r="BC71" s="182"/>
      <c r="BD71" s="182"/>
      <c r="BE71" s="182"/>
      <c r="BF71" s="132"/>
      <c r="BG71" s="150" t="n">
        <f aca="false">TblConstr[[#This Row],[Tot WG]]/TblConstr[[#This Row],[Land]]</f>
        <v>0</v>
      </c>
      <c r="BH71" s="150" t="n">
        <f aca="false">TblConstr[[#This Row],[Tot Hav]]/TblConstr[[#This Row],[Land]]</f>
        <v>0</v>
      </c>
      <c r="BI71" s="69" t="n">
        <f aca="false">ROUNDUP((1-MIN(TblMili[[#This Row],[Smithies]]*smithy_bonus,smithy_bonus_cap) + tech_3_5*TblTech[[#This Row],[3-5]] + tech_5_3*TblTech[[#This Row],[5-3]] + tech_5_5*TblTech[[#This Row],[5-5]])*spec_op_plat,0)</f>
        <v>192</v>
      </c>
      <c r="BJ71" s="69" t="n">
        <f aca="false">ROUNDUP(IF(race="Gnome",1,(1-MIN(TblMili[[#This Row],[Smithies]]*smithy_bonus,smithy_bonus_cap) + tech_3_5*TblTech[[#This Row],[3-5]] + tech_5_3*TblTech[[#This Row],[5-3]] + tech_5_5*TblTech[[#This Row],[5-5]]))*spec_op_ore,0)</f>
        <v>0</v>
      </c>
      <c r="BK71" s="69" t="n">
        <f aca="false">ROUNDUP((1-MIN(TblMili[[#This Row],[Smithies]]*smithy_bonus,smithy_bonus_cap) + tech_3_5*TblTech[[#This Row],[3-5]] + tech_5_3*TblTech[[#This Row],[5-3]] + tech_5_5*TblTech[[#This Row],[5-5]])*spec_dp_plat,0)</f>
        <v>192</v>
      </c>
      <c r="BL71" s="69" t="n">
        <f aca="false">ROUNDUP(IF(race="Gnome",1,(1-MIN(TblMili[[#This Row],[Smithies]]*smithy_bonus,smithy_bonus_cap) + tech_3_5*TblTech[[#This Row],[3-5]] + tech_5_3*TblTech[[#This Row],[5-3]] + tech_5_5*TblTech[[#This Row],[5-5]]))*spec_dp_ore,0)</f>
        <v>0</v>
      </c>
      <c r="BM71" s="69" t="n">
        <f aca="false">ROUNDUP((1-MIN(TblMili[[#This Row],[Smithies]]*smithy_bonus,smithy_bonus_cap) + tech_3_5*TblTech[[#This Row],[3-5]] + tech_5_3*TblTech[[#This Row],[5-3]] + tech_5_5*TblTech[[#This Row],[5-5]])*elite1_plat,0)</f>
        <v>592</v>
      </c>
      <c r="BN71" s="69" t="n">
        <f aca="false">ROUNDUP(IF(race="Gnome",1,(1-MIN(TblMili[[#This Row],[Smithies]]*smithy_bonus,smithy_bonus_cap) + tech_3_5*TblTech[[#This Row],[3-5]] + tech_5_3*TblTech[[#This Row],[5-3]] + tech_5_5*TblTech[[#This Row],[5-5]]))*elite1_ore,0)</f>
        <v>0</v>
      </c>
      <c r="BO71" s="69" t="n">
        <f aca="false">ROUNDUP((1-MIN(TblMili[[#This Row],[Smithies]]*smithy_bonus,smithy_bonus_cap) + tech_3_5*TblTech[[#This Row],[3-5]] + tech_5_3*TblTech[[#This Row],[5-3]] + tech_5_5*TblTech[[#This Row],[5-5]])*elite2_plat,0)</f>
        <v>608</v>
      </c>
      <c r="BP71" s="69" t="n">
        <f aca="false">ROUNDUP(IF(race="Gnome",1,(1-MIN(TblMili[[#This Row],[Smithies]]*smithy_bonus,smithy_bonus_cap) + tech_3_5*TblTech[[#This Row],[3-5]] + tech_5_3*TblTech[[#This Row],[5-3]] + tech_5_5*TblTech[[#This Row],[5-5]]))*elite2_ore,0)</f>
        <v>0</v>
      </c>
      <c r="BQ71" s="69" t="n">
        <f aca="false">ROUNDUP((1-MIN(ROUND(fh_spy_cost_red*TblMili[[#This Row],[FH''s]],4),fh_spy_cost_cap)+ tech_1_9*TblTech[[#This Row],[1-9]] + tech_9_1*TblTech[[#This Row],[9-1]])*spy_plat,0)</f>
        <v>500</v>
      </c>
      <c r="BR71" s="69" t="n">
        <f aca="false">ROUNDUP((1-MIN(ROUND(fh_spy_cost_red*TblMili[[#This Row],[FH''s]],4),fh_spy_cost_cap)+ tech_1_9*TblTech[[#This Row],[1-9]] + tech_9_1*TblTech[[#This Row],[9-1]])*archspy_plat,0)</f>
        <v>1000</v>
      </c>
      <c r="BS71" s="69" t="n">
        <f aca="false">ROUNDUP((1-MIN(ROUND(wg_wiz_cost_bonus*TblMili[[#This Row],[WG''s]],4),wg_wiz_cost_cap) + tech_1_9_2*TblTech[[#This Row],[1-9]] + tech_9_1_2*TblTech[[#This Row],[9-1]])*wizard_plat,0)</f>
        <v>500</v>
      </c>
      <c r="BT71" s="69" t="n">
        <f aca="false">ROUNDUP((1-MIN(ROUND(wg_wiz_cost_bonus*TblMili[[#This Row],[WG''s]],4),wg_wiz_cost_cap) + tech_1_9_2*TblTech[[#This Row],[1-9]] + tech_9_1_2*TblTech[[#This Row],[9-1]])*archmage_plat,0)</f>
        <v>1000</v>
      </c>
      <c r="BU71" s="132"/>
      <c r="BV71" s="150" t="e">
        <f aca="false">TblConstr[[#This Row],[Homeland]]/TblConstr[[#This Row],[Land]]</f>
        <v>#VALUE!</v>
      </c>
      <c r="BW71" s="150" t="n">
        <f aca="false">TblMili[[#This Row],[WG''s]]</f>
        <v>0</v>
      </c>
      <c r="BX71" s="288" t="e">
        <f aca="false">IF(mystic_cap="none",TblMili[[#This Row],[Hill]]/mystic_bonus,MIN(mystic_cap,TblMili[[#This Row],[Hill]]/mystic_bonus))</f>
        <v>#VALUE!</v>
      </c>
      <c r="BY71" s="288" t="e">
        <f aca="false">IF(druid_op_cap="none",TblMili[[#This Row],[Hill]]/druid_op_bonus,MIN(druid_op_cap,TblMili[[#This Row],[Hill]]/druid_op_bonus))</f>
        <v>#VALUE!</v>
      </c>
      <c r="BZ71" s="288" t="e">
        <f aca="false">IF(druid_dp_cap="none",TblMili[[#This Row],[Hill]]/druid_dp_bonus,MIN(druid_dp_cap,TblMili[[#This Row],[Hill]]/druid_dp_bonus))</f>
        <v>#VALUE!</v>
      </c>
      <c r="CA71" s="288" t="e">
        <f aca="false">MIN(dryad_cap,TblMili[[#This Row],[Hill]]/dryad_bonus)</f>
        <v>#VALUE!</v>
      </c>
      <c r="CB71" s="288" t="e">
        <f aca="false">MIN(rocka_cap,TblMili[[#This Row],[Hill]]/rocka_bonus)</f>
        <v>#VALUE!</v>
      </c>
      <c r="CC71" s="288" t="n">
        <f aca="false">MIN(adept_op_cap,TblMili[[#This Row],[WG]]/adept_op_bonus)</f>
        <v>0</v>
      </c>
      <c r="CD71" s="288" t="n">
        <f aca="false">MIN(adept_dp_cap,TblMili[[#This Row],[WG]]/adept_dp_bonus)</f>
        <v>0</v>
      </c>
      <c r="CE71" s="69" t="n">
        <f aca="false">MIN(TblMili[[#This Row],[Unit 3]],TblMili[[#This Row],[Unit 2]])*2</f>
        <v>0</v>
      </c>
      <c r="CF71" s="69" t="n">
        <f aca="false">MIN(TblMili[[#This Row],[Unit 1]],TblMili[[#This Row],[Unit 4]])*2</f>
        <v>0</v>
      </c>
      <c r="CG71" s="288" t="e">
        <f aca="false">MIN(frost_mage_cap,TblMili[[#This Row],[Hill]]/frost_mage_bonus)</f>
        <v>#VALUE!</v>
      </c>
      <c r="CH71" s="151" t="n">
        <f aca="false">MIN(ice_elem_cap,TblMili[[#This Row],[Raw (2)]]*ice_elem_bonus)</f>
        <v>0</v>
      </c>
      <c r="CI71" s="288" t="n">
        <f aca="false">MIN(bone_breaker_cap,250/bone_breaker_bonus)</f>
        <v>0.833333333333333</v>
      </c>
      <c r="CJ71" s="288" t="e">
        <f aca="false">MIN(nox_nightshade_cap,TblConstr[[#This Row],[Homeland]]/TblConstr[[#This Row],[Land]]/nox_nightshade_swamp_bonus)</f>
        <v>#VALUE!</v>
      </c>
      <c r="CK71" s="289"/>
      <c r="CL71" s="289"/>
      <c r="CM71" s="289"/>
      <c r="CN71" s="288" t="e">
        <f aca="false">MIN(6,TblMili[[#This Row],[Mystic]]+Races!$F$19)*1.8 +  IF(TblMili[[#This Row],[Mystic]]+Races!$F$19&gt;6,(TblMili[[#This Row],[Mystic]]+Races!$F$19-6)*0.2,0) - Races!$I$19</f>
        <v>#VALUE!</v>
      </c>
      <c r="CO71" s="288" t="e">
        <f aca="false">1.8 * MIN(MAX(TblMili[[#This Row],[Druid (op)]]+Races!$E$20,TblMili[[#This Row],[Druid (dp)]]+Races!$F$20),6)  +  0.45 * MIN(MIN(TblMili[[#This Row],[Druid (op)]]+Races!$E$20,TblMili[[#This Row],[Druid (dp)]]+Races!$F$20),6)  +  0.2 * ( MAX(TblMili[[#This Row],[Druid (op)]]+Races!$E$20-6,0) + MAX(TblMili[[#This Row],[Druid (dp)]]+Races!$F$20-6,0) )  -  Races!$I$20</f>
        <v>#VALUE!</v>
      </c>
      <c r="CP71" s="69" t="e">
        <f aca="false">TblMili[[#This Row],[Mystic bonus]]*TblMili[[#This Row],[Unit 3]]+TblMili[[#This Row],[Druid bonus]]*TblMili[[#This Row],[Unit 4]]</f>
        <v>#VALUE!</v>
      </c>
      <c r="CQ71" s="148" t="e">
        <f aca="false">MIN(6,TblMili[[#This Row],[Dryad]]+Races!$F$35)*1.8 +  IF(TblMili[[#This Row],[Dryad]]+Races!$F$35&gt;6,(TblMili[[#This Row],[Dryad]]+Races!$F$35-6)*0.2,0) - Races!$I$19</f>
        <v>#VALUE!</v>
      </c>
      <c r="CR71" s="69" t="e">
        <f aca="false">sylvan*(TblMili[[#This Row],[Mystic bonus]]*TblMili[[#This Row],[Unit 3]])</f>
        <v>#VALUE!</v>
      </c>
      <c r="CS71" s="148" t="e">
        <f aca="false">1.8 * MIN(MAX(Races!$E$27,TblMili[[#This Row],[Rockapult]]+Races!$F$27),6)  +  0.45 * MIN(MIN(Races!$E$27,TblMili[[#This Row],[Rockapult]]+Races!$F$27),6)  +  0.2 * ( MAX(Races!$E$27-6,0) + MAX(TblMili[[#This Row],[Rockapult]]+Races!$F$27-6,0) )  -  Races!$I$20</f>
        <v>#VALUE!</v>
      </c>
      <c r="CT71" s="69" t="e">
        <f aca="false">gnome*(TblMili[[#This Row],[Rockapult bonus]]*TblMili[[#This Row],[Unit 3]])</f>
        <v>#VALUE!</v>
      </c>
      <c r="CU71" s="148" t="n">
        <f aca="false">1.8 * MIN(MAX(TblMili[[#This Row],[Spellblade]]+Races!$E$47,TblMili[[#This Row],[Adept-DP]]+Races!$F$47),6)  +  0.45 * MIN(MIN(TblMili[[#This Row],[Spellblade]]+Races!$E$47,TblMili[[#This Row],[Adept-DP]]+Races!$F$47),6)  +  0.2 * ( MAX(TblMili[[#This Row],[Spellblade]]+Races!$E$47-6,0) + MAX(TblMili[[#This Row],[Adept-DP]]+Races!$F$47-6,0) )  -  Races!$I$47</f>
        <v>0</v>
      </c>
      <c r="CV71" s="69" t="n">
        <f aca="false">dark_elf*(TblMili[[#This Row],[Adept bonus]]*TblMili[[#This Row],[Unit 3]])</f>
        <v>0</v>
      </c>
      <c r="CW71" s="148" t="e">
        <f aca="false">1.8 * MIN(MAX(TblMili[[#This Row],[Frost Mage]]+Races!$F$71,Races!$E$71),6)  +  0.45 * MIN(MIN(TblMili[[#This Row],[Frost Mage]]+Races!$F$71,Races!$E$71),6)  +  0.2 * ( MAX(TblMili[[#This Row],[Frost Mage]]+Races!$F$71-6,0) + MAX(Races!$E$71-6,0) )  -  Races!$I$71</f>
        <v>#VALUE!</v>
      </c>
      <c r="CX71" s="148" t="n">
        <f aca="false">1.8 * MIN(MAX(TblMili[[#This Row],[Ice Elemental]]+Races!$E$71,Races!$F$71),6)  +  0.45 * MIN(MIN(TblMili[[#This Row],[Ice Elemental]]+Races!$E$71,Races!$F$71),6)  +  0.2 * ( MAX(TblMili[[#This Row],[Ice Elemental]]+Races!$E$71-6,0) + MAX(Races!$F$71-6,0) )  -  Races!$I$71</f>
        <v>0</v>
      </c>
      <c r="CY71" s="69" t="e">
        <f aca="false">TblMili[[#This Row],[Frost Mage bonus]]*TblMili[[#This Row],[Unit 3]]+TblMili[[#This Row],[Ice Elemental bonus]]*TblMili[[#This Row],[Unit 4]]</f>
        <v>#VALUE!</v>
      </c>
      <c r="CZ71" s="290"/>
      <c r="DA71" s="109" t="n">
        <f aca="false">MIN(SUM(TblConstr[[#This Row],[Plain]:[Water]])/TblMili[[#This Row],[Land]]/favorable_terrain_bonus/100,favorable_terrain_max)</f>
        <v>0</v>
      </c>
      <c r="DB71" s="290"/>
      <c r="DC7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1" s="132"/>
      <c r="DE71" s="291" t="n">
        <f aca="false">(TblMili[[#This Row],[Wizards]]+2*TblMili[[#This Row],[Archmages]])/TblConstr[[#This Row],[Land]]</f>
        <v>0</v>
      </c>
      <c r="DF71" s="291" t="n">
        <f aca="false">TblMili[[#This Row],[Raw (2)]]*(1+race_wizard_strength+IF(TblMili[[#This Row],[Hour]]&gt;72,tech_magical_weaponry_wiz*TblTech[[#This Row],[3-5]],0))</f>
        <v>0</v>
      </c>
    </row>
    <row r="72" customFormat="false" ht="12.75" hidden="false" customHeight="false" outlineLevel="0" collapsed="false">
      <c r="A72" s="128" t="n">
        <f aca="false">TblRezone[[#This Row],[Hour]]</f>
        <v>69</v>
      </c>
      <c r="B72" s="282" t="n">
        <f aca="false">SUM(TblMili[[#This Row],[Unit 1]:[Archmages]])+SUM(OFFSET(TblMili[[#This Row],[Train Unit 1]],-8,0):TblMili[[#This Row],[Train Unit 2]]) + SUM(OFFSET(TblMili[[#This Row],[Train Unit 3]],-11,0):TblMili[[#This Row],[Train AM]]) + TblMili[[#This Row],[Draftees]]</f>
        <v>2528</v>
      </c>
      <c r="C72" s="150" t="n">
        <f aca="false">TblPop[[#This Row],[Military%]]</f>
        <v>0.199039445712936</v>
      </c>
      <c r="D72" s="132"/>
      <c r="E72" s="151" t="n">
        <f aca="false">OFFSET(TblMili[[#This Row],[Unit 1]],-1,0) + OFFSET(TblMili[[#This Row],[Train Unit 1]],-9,0) - TblMili[[#This Row],[Release Unit 1]]</f>
        <v>0</v>
      </c>
      <c r="F72" s="151" t="n">
        <f aca="false">OFFSET(TblMili[[#This Row],[Unit 2]],-1,0) + OFFSET(TblMili[[#This Row],[Train Unit 2]],-9,0)-TblMili[[#This Row],[Release Unit 2]]</f>
        <v>0</v>
      </c>
      <c r="G72" s="151" t="n">
        <f aca="false">OFFSET(TblMili[[#This Row],[Unit 3]],-1,0) + OFFSET(TblMili[[#This Row],[Train Unit 3]],-12,0)-TblMili[[#This Row],[Release Unit 3]]</f>
        <v>0</v>
      </c>
      <c r="H72" s="151" t="n">
        <f aca="false">OFFSET(TblMili[[#This Row],[Unit 4]],-1,0) + OFFSET(TblMili[[#This Row],[Train Unit 4]],-12,0)-TblMili[[#This Row],[Release Unit 4]]</f>
        <v>0</v>
      </c>
      <c r="I72" s="151" t="n">
        <f aca="false">OFFSET(TblMili[[#This Row],[Spies]],-1,0) + OFFSET(TblMili[[#This Row],[Train Spies]],-12,0) - TblMili[[#This Row],[Release Spies]]-TblMili[[#This Row],[Train AS]]</f>
        <v>0</v>
      </c>
      <c r="J72" s="151" t="n">
        <f aca="false">OFFSET(TblMili[[#This Row],[Archspies]],-1,0) + OFFSET(TblMili[[#This Row],[Train AS]],-12,0) - TblMili[[#This Row],[Release AS]]</f>
        <v>0</v>
      </c>
      <c r="K72" s="151" t="n">
        <f aca="false">OFFSET(TblMili[[#This Row],[Wizards]],-1,0) + OFFSET(TblMili[[#This Row],[Train Wiz]],-12,0) - TblMili[[#This Row],[Release Wizards]]-TblMili[[#This Row],[Train AM]]</f>
        <v>0</v>
      </c>
      <c r="L72" s="151" t="n">
        <f aca="false">OFFSET(TblMili[[#This Row],[Archmages]],-1,0) + OFFSET(TblMili[[#This Row],[Train AM]],-12,0) - TblMili[[#This Row],[Release AM]]</f>
        <v>0</v>
      </c>
      <c r="M72" s="132"/>
      <c r="N72" s="69" t="e">
        <f aca="false">TblProd[[#This Row],[Networth]]</f>
        <v>#VALUE!</v>
      </c>
      <c r="O72" s="132"/>
      <c r="P7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2" s="285" t="e">
        <f aca="false">TblMili[[#This Row],[Raw]]*(1+TblMili[[#This Row],[Mods_Off]])</f>
        <v>#VALUE!</v>
      </c>
      <c r="S7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2" s="285" t="e">
        <f aca="false">TblMili[[#This Row],[Non Draft]]+TblMili[[#This Row],[Draftees]]</f>
        <v>#VALUE!</v>
      </c>
      <c r="U72" s="286" t="n">
        <f aca="false">race_defense + TblImps[[#This Row],[Walls]] + ROUND( MIN(gt_bonus*TblConstr[[#This Row],[Tot GT]]/TblConstr[[#This Row],[Land]],gt_bonus_cap), 4) + IF(TblMagic[[#This Row],[Active Howling]]&gt;0,howling_dp_bonus,IF(TblMagic[[#This Row],[Active Ares Call]]&gt;0,ares_call_bonus))</f>
        <v>0.005</v>
      </c>
      <c r="V72" s="274" t="e">
        <f aca="false">TblMili[[#This Row],[Non Draft]] * (1 + TblMili[[#This Row],[Mods_Def]])</f>
        <v>#VALUE!</v>
      </c>
      <c r="W72" s="285" t="e">
        <f aca="false">TblMili[[#This Row],[Draft]] * (1 + TblMili[[#This Row],[Mods_Def]])</f>
        <v>#VALUE!</v>
      </c>
      <c r="X72" s="285" t="n">
        <f aca="false">TblConstr[[#This Row],[Land]]</f>
        <v>700</v>
      </c>
      <c r="Y72" s="287"/>
      <c r="Z72" s="109" t="n">
        <f aca="false">IF(TblMili[[#This Row],[Set]]&lt;&gt;"",TblMili[[#This Row],[Set]],OFFSET(TblMili[[#This Row],[Draftrate]],-1,0))</f>
        <v>0.9</v>
      </c>
      <c r="AA72" s="69" t="n">
        <f aca="false">OFFSET(TblMili[[#This Row],[Draftees]],-1,0)+OFFSET(TblPop[[#This Row],[Draft Growth]],-1,0) - SUM(TblMili[[#This Row],[Train Unit 1]:[Train Spies]],TblMili[[#This Row],[Train Wiz]]) - TblMili[[#This Row],[Release Draft]] + SUM(TblMili[[#This Row],[Release Unit 1]:[Release AM]]) - TblExplore[[#This Row],[Draftees (2)]]</f>
        <v>0</v>
      </c>
      <c r="AB72" s="146"/>
      <c r="AC72" s="130" t="n">
        <f aca="false">(TblConstr[[#This Row],[Tot Smi]]+TblConstr[[#This Row],[Dest Smi]])/(TblConstr[[#This Row],[Land]]-TblExplore[[#This Row],[Land Bonus]]*20)</f>
        <v>0.18</v>
      </c>
      <c r="AD72" s="128"/>
      <c r="AE72" s="282" t="n">
        <f aca="false">TblMili[[#This Row],[Hour]]</f>
        <v>69</v>
      </c>
      <c r="AF72" s="129" t="n">
        <f aca="false">TblExplore[[#This Row],[Time]]</f>
        <v>45432.5833333333</v>
      </c>
      <c r="AG72" s="182"/>
      <c r="AH72" s="152"/>
      <c r="AI72" s="182"/>
      <c r="AJ72" s="182" t="n">
        <v>103</v>
      </c>
      <c r="AK72" s="182"/>
      <c r="AL72" s="182"/>
      <c r="AM72" s="182"/>
      <c r="AN72" s="182"/>
      <c r="AO72" s="132"/>
      <c r="AP72" s="69" t="n">
        <f aca="false">TblProd[[#This Row],[Platinum]]</f>
        <v>60402</v>
      </c>
      <c r="AQ72" s="69" t="n">
        <f aca="false">INDEX(TblProd[[#Headers],[Lumber]]:TblProd[[#This Row],[Ore]],COUNTA(TblProd[[#Headers],[Lumber]]:TblProd[[#This Row],[Lumber]]),MATCH(Military!$AQ$2,TblProd[[#Headers],[Lumber]:[Ore]],0))</f>
        <v>0</v>
      </c>
      <c r="AR7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62624</v>
      </c>
      <c r="AS72" s="69" t="n">
        <f aca="false">TblMili[[#This Row],[Train Unit 1]]*TblMili[[#This Row],[OP Ore]]+TblMili[[#This Row],[Train Unit 2]]*TblMili[[#This Row],[DP Ore]]+TblMili[[#This Row],[Train Unit 3]]*TblMili[[#This Row],[E1 Ore]]+TblMili[[#This Row],[Train Unit 4]]*TblMili[[#This Row],[E2 Ore]]</f>
        <v>0</v>
      </c>
      <c r="AT72" s="132" t="n">
        <f aca="false">TblMili[[#This Row],[Hour]]</f>
        <v>69</v>
      </c>
      <c r="AU72" s="144" t="n">
        <f aca="false">TblMili[[#This Row],[Time]]</f>
        <v>45432.5833333333</v>
      </c>
      <c r="AV72" s="69" t="n">
        <f aca="false">TblMili[[#This Row],[Draftees]]</f>
        <v>0</v>
      </c>
      <c r="AW72" s="182"/>
      <c r="AX72" s="182"/>
      <c r="AY72" s="182"/>
      <c r="AZ72" s="182"/>
      <c r="BA72" s="182"/>
      <c r="BB72" s="182"/>
      <c r="BC72" s="182"/>
      <c r="BD72" s="182"/>
      <c r="BE72" s="182"/>
      <c r="BF72" s="132"/>
      <c r="BG72" s="150" t="n">
        <f aca="false">TblConstr[[#This Row],[Tot WG]]/TblConstr[[#This Row],[Land]]</f>
        <v>0</v>
      </c>
      <c r="BH72" s="150" t="n">
        <f aca="false">TblConstr[[#This Row],[Tot Hav]]/TblConstr[[#This Row],[Land]]</f>
        <v>0</v>
      </c>
      <c r="BI72" s="69" t="n">
        <f aca="false">ROUNDUP((1-MIN(TblMili[[#This Row],[Smithies]]*smithy_bonus,smithy_bonus_cap) + tech_3_5*TblTech[[#This Row],[3-5]] + tech_5_3*TblTech[[#This Row],[5-3]] + tech_5_5*TblTech[[#This Row],[5-5]])*spec_op_plat,0)</f>
        <v>192</v>
      </c>
      <c r="BJ72" s="69" t="n">
        <f aca="false">ROUNDUP(IF(race="Gnome",1,(1-MIN(TblMili[[#This Row],[Smithies]]*smithy_bonus,smithy_bonus_cap) + tech_3_5*TblTech[[#This Row],[3-5]] + tech_5_3*TblTech[[#This Row],[5-3]] + tech_5_5*TblTech[[#This Row],[5-5]]))*spec_op_ore,0)</f>
        <v>0</v>
      </c>
      <c r="BK72" s="69" t="n">
        <f aca="false">ROUNDUP((1-MIN(TblMili[[#This Row],[Smithies]]*smithy_bonus,smithy_bonus_cap) + tech_3_5*TblTech[[#This Row],[3-5]] + tech_5_3*TblTech[[#This Row],[5-3]] + tech_5_5*TblTech[[#This Row],[5-5]])*spec_dp_plat,0)</f>
        <v>192</v>
      </c>
      <c r="BL72" s="69" t="n">
        <f aca="false">ROUNDUP(IF(race="Gnome",1,(1-MIN(TblMili[[#This Row],[Smithies]]*smithy_bonus,smithy_bonus_cap) + tech_3_5*TblTech[[#This Row],[3-5]] + tech_5_3*TblTech[[#This Row],[5-3]] + tech_5_5*TblTech[[#This Row],[5-5]]))*spec_dp_ore,0)</f>
        <v>0</v>
      </c>
      <c r="BM72" s="69" t="n">
        <f aca="false">ROUNDUP((1-MIN(TblMili[[#This Row],[Smithies]]*smithy_bonus,smithy_bonus_cap) + tech_3_5*TblTech[[#This Row],[3-5]] + tech_5_3*TblTech[[#This Row],[5-3]] + tech_5_5*TblTech[[#This Row],[5-5]])*elite1_plat,0)</f>
        <v>592</v>
      </c>
      <c r="BN72" s="69" t="n">
        <f aca="false">ROUNDUP(IF(race="Gnome",1,(1-MIN(TblMili[[#This Row],[Smithies]]*smithy_bonus,smithy_bonus_cap) + tech_3_5*TblTech[[#This Row],[3-5]] + tech_5_3*TblTech[[#This Row],[5-3]] + tech_5_5*TblTech[[#This Row],[5-5]]))*elite1_ore,0)</f>
        <v>0</v>
      </c>
      <c r="BO72" s="69" t="n">
        <f aca="false">ROUNDUP((1-MIN(TblMili[[#This Row],[Smithies]]*smithy_bonus,smithy_bonus_cap) + tech_3_5*TblTech[[#This Row],[3-5]] + tech_5_3*TblTech[[#This Row],[5-3]] + tech_5_5*TblTech[[#This Row],[5-5]])*elite2_plat,0)</f>
        <v>608</v>
      </c>
      <c r="BP72" s="69" t="n">
        <f aca="false">ROUNDUP(IF(race="Gnome",1,(1-MIN(TblMili[[#This Row],[Smithies]]*smithy_bonus,smithy_bonus_cap) + tech_3_5*TblTech[[#This Row],[3-5]] + tech_5_3*TblTech[[#This Row],[5-3]] + tech_5_5*TblTech[[#This Row],[5-5]]))*elite2_ore,0)</f>
        <v>0</v>
      </c>
      <c r="BQ72" s="69" t="n">
        <f aca="false">ROUNDUP((1-MIN(ROUND(fh_spy_cost_red*TblMili[[#This Row],[FH''s]],4),fh_spy_cost_cap)+ tech_1_9*TblTech[[#This Row],[1-9]] + tech_9_1*TblTech[[#This Row],[9-1]])*spy_plat,0)</f>
        <v>500</v>
      </c>
      <c r="BR72" s="69" t="n">
        <f aca="false">ROUNDUP((1-MIN(ROUND(fh_spy_cost_red*TblMili[[#This Row],[FH''s]],4),fh_spy_cost_cap)+ tech_1_9*TblTech[[#This Row],[1-9]] + tech_9_1*TblTech[[#This Row],[9-1]])*archspy_plat,0)</f>
        <v>1000</v>
      </c>
      <c r="BS72" s="69" t="n">
        <f aca="false">ROUNDUP((1-MIN(ROUND(wg_wiz_cost_bonus*TblMili[[#This Row],[WG''s]],4),wg_wiz_cost_cap) + tech_1_9_2*TblTech[[#This Row],[1-9]] + tech_9_1_2*TblTech[[#This Row],[9-1]])*wizard_plat,0)</f>
        <v>500</v>
      </c>
      <c r="BT72" s="69" t="n">
        <f aca="false">ROUNDUP((1-MIN(ROUND(wg_wiz_cost_bonus*TblMili[[#This Row],[WG''s]],4),wg_wiz_cost_cap) + tech_1_9_2*TblTech[[#This Row],[1-9]] + tech_9_1_2*TblTech[[#This Row],[9-1]])*archmage_plat,0)</f>
        <v>1000</v>
      </c>
      <c r="BU72" s="132"/>
      <c r="BV72" s="150" t="e">
        <f aca="false">TblConstr[[#This Row],[Homeland]]/TblConstr[[#This Row],[Land]]</f>
        <v>#VALUE!</v>
      </c>
      <c r="BW72" s="150" t="n">
        <f aca="false">TblMili[[#This Row],[WG''s]]</f>
        <v>0</v>
      </c>
      <c r="BX72" s="288" t="e">
        <f aca="false">IF(mystic_cap="none",TblMili[[#This Row],[Hill]]/mystic_bonus,MIN(mystic_cap,TblMili[[#This Row],[Hill]]/mystic_bonus))</f>
        <v>#VALUE!</v>
      </c>
      <c r="BY72" s="288" t="e">
        <f aca="false">IF(druid_op_cap="none",TblMili[[#This Row],[Hill]]/druid_op_bonus,MIN(druid_op_cap,TblMili[[#This Row],[Hill]]/druid_op_bonus))</f>
        <v>#VALUE!</v>
      </c>
      <c r="BZ72" s="288" t="e">
        <f aca="false">IF(druid_dp_cap="none",TblMili[[#This Row],[Hill]]/druid_dp_bonus,MIN(druid_dp_cap,TblMili[[#This Row],[Hill]]/druid_dp_bonus))</f>
        <v>#VALUE!</v>
      </c>
      <c r="CA72" s="288" t="e">
        <f aca="false">MIN(dryad_cap,TblMili[[#This Row],[Hill]]/dryad_bonus)</f>
        <v>#VALUE!</v>
      </c>
      <c r="CB72" s="288" t="e">
        <f aca="false">MIN(rocka_cap,TblMili[[#This Row],[Hill]]/rocka_bonus)</f>
        <v>#VALUE!</v>
      </c>
      <c r="CC72" s="288" t="n">
        <f aca="false">MIN(adept_op_cap,TblMili[[#This Row],[WG]]/adept_op_bonus)</f>
        <v>0</v>
      </c>
      <c r="CD72" s="288" t="n">
        <f aca="false">MIN(adept_dp_cap,TblMili[[#This Row],[WG]]/adept_dp_bonus)</f>
        <v>0</v>
      </c>
      <c r="CE72" s="69" t="n">
        <f aca="false">MIN(TblMili[[#This Row],[Unit 3]],TblMili[[#This Row],[Unit 2]])*2</f>
        <v>0</v>
      </c>
      <c r="CF72" s="69" t="n">
        <f aca="false">MIN(TblMili[[#This Row],[Unit 1]],TblMili[[#This Row],[Unit 4]])*2</f>
        <v>0</v>
      </c>
      <c r="CG72" s="288" t="e">
        <f aca="false">MIN(frost_mage_cap,TblMili[[#This Row],[Hill]]/frost_mage_bonus)</f>
        <v>#VALUE!</v>
      </c>
      <c r="CH72" s="151" t="n">
        <f aca="false">MIN(ice_elem_cap,TblMili[[#This Row],[Raw (2)]]*ice_elem_bonus)</f>
        <v>0</v>
      </c>
      <c r="CI72" s="288" t="n">
        <f aca="false">MIN(bone_breaker_cap,250/bone_breaker_bonus)</f>
        <v>0.833333333333333</v>
      </c>
      <c r="CJ72" s="288" t="e">
        <f aca="false">MIN(nox_nightshade_cap,TblConstr[[#This Row],[Homeland]]/TblConstr[[#This Row],[Land]]/nox_nightshade_swamp_bonus)</f>
        <v>#VALUE!</v>
      </c>
      <c r="CK72" s="289"/>
      <c r="CL72" s="289"/>
      <c r="CM72" s="289"/>
      <c r="CN72" s="288" t="e">
        <f aca="false">MIN(6,TblMili[[#This Row],[Mystic]]+Races!$F$19)*1.8 +  IF(TblMili[[#This Row],[Mystic]]+Races!$F$19&gt;6,(TblMili[[#This Row],[Mystic]]+Races!$F$19-6)*0.2,0) - Races!$I$19</f>
        <v>#VALUE!</v>
      </c>
      <c r="CO72" s="288" t="e">
        <f aca="false">1.8 * MIN(MAX(TblMili[[#This Row],[Druid (op)]]+Races!$E$20,TblMili[[#This Row],[Druid (dp)]]+Races!$F$20),6)  +  0.45 * MIN(MIN(TblMili[[#This Row],[Druid (op)]]+Races!$E$20,TblMili[[#This Row],[Druid (dp)]]+Races!$F$20),6)  +  0.2 * ( MAX(TblMili[[#This Row],[Druid (op)]]+Races!$E$20-6,0) + MAX(TblMili[[#This Row],[Druid (dp)]]+Races!$F$20-6,0) )  -  Races!$I$20</f>
        <v>#VALUE!</v>
      </c>
      <c r="CP72" s="69" t="e">
        <f aca="false">TblMili[[#This Row],[Mystic bonus]]*TblMili[[#This Row],[Unit 3]]+TblMili[[#This Row],[Druid bonus]]*TblMili[[#This Row],[Unit 4]]</f>
        <v>#VALUE!</v>
      </c>
      <c r="CQ72" s="148" t="e">
        <f aca="false">MIN(6,TblMili[[#This Row],[Dryad]]+Races!$F$35)*1.8 +  IF(TblMili[[#This Row],[Dryad]]+Races!$F$35&gt;6,(TblMili[[#This Row],[Dryad]]+Races!$F$35-6)*0.2,0) - Races!$I$19</f>
        <v>#VALUE!</v>
      </c>
      <c r="CR72" s="69" t="e">
        <f aca="false">sylvan*(TblMili[[#This Row],[Mystic bonus]]*TblMili[[#This Row],[Unit 3]])</f>
        <v>#VALUE!</v>
      </c>
      <c r="CS72" s="148" t="e">
        <f aca="false">1.8 * MIN(MAX(Races!$E$27,TblMili[[#This Row],[Rockapult]]+Races!$F$27),6)  +  0.45 * MIN(MIN(Races!$E$27,TblMili[[#This Row],[Rockapult]]+Races!$F$27),6)  +  0.2 * ( MAX(Races!$E$27-6,0) + MAX(TblMili[[#This Row],[Rockapult]]+Races!$F$27-6,0) )  -  Races!$I$20</f>
        <v>#VALUE!</v>
      </c>
      <c r="CT72" s="69" t="e">
        <f aca="false">gnome*(TblMili[[#This Row],[Rockapult bonus]]*TblMili[[#This Row],[Unit 3]])</f>
        <v>#VALUE!</v>
      </c>
      <c r="CU72" s="148" t="n">
        <f aca="false">1.8 * MIN(MAX(TblMili[[#This Row],[Spellblade]]+Races!$E$47,TblMili[[#This Row],[Adept-DP]]+Races!$F$47),6)  +  0.45 * MIN(MIN(TblMili[[#This Row],[Spellblade]]+Races!$E$47,TblMili[[#This Row],[Adept-DP]]+Races!$F$47),6)  +  0.2 * ( MAX(TblMili[[#This Row],[Spellblade]]+Races!$E$47-6,0) + MAX(TblMili[[#This Row],[Adept-DP]]+Races!$F$47-6,0) )  -  Races!$I$47</f>
        <v>0</v>
      </c>
      <c r="CV72" s="69" t="n">
        <f aca="false">dark_elf*(TblMili[[#This Row],[Adept bonus]]*TblMili[[#This Row],[Unit 3]])</f>
        <v>0</v>
      </c>
      <c r="CW72" s="148" t="e">
        <f aca="false">1.8 * MIN(MAX(TblMili[[#This Row],[Frost Mage]]+Races!$F$71,Races!$E$71),6)  +  0.45 * MIN(MIN(TblMili[[#This Row],[Frost Mage]]+Races!$F$71,Races!$E$71),6)  +  0.2 * ( MAX(TblMili[[#This Row],[Frost Mage]]+Races!$F$71-6,0) + MAX(Races!$E$71-6,0) )  -  Races!$I$71</f>
        <v>#VALUE!</v>
      </c>
      <c r="CX72" s="148" t="n">
        <f aca="false">1.8 * MIN(MAX(TblMili[[#This Row],[Ice Elemental]]+Races!$E$71,Races!$F$71),6)  +  0.45 * MIN(MIN(TblMili[[#This Row],[Ice Elemental]]+Races!$E$71,Races!$F$71),6)  +  0.2 * ( MAX(TblMili[[#This Row],[Ice Elemental]]+Races!$E$71-6,0) + MAX(Races!$F$71-6,0) )  -  Races!$I$71</f>
        <v>0</v>
      </c>
      <c r="CY72" s="69" t="e">
        <f aca="false">TblMili[[#This Row],[Frost Mage bonus]]*TblMili[[#This Row],[Unit 3]]+TblMili[[#This Row],[Ice Elemental bonus]]*TblMili[[#This Row],[Unit 4]]</f>
        <v>#VALUE!</v>
      </c>
      <c r="CZ72" s="290"/>
      <c r="DA72" s="109" t="n">
        <f aca="false">MIN(SUM(TblConstr[[#This Row],[Plain]:[Water]])/TblMili[[#This Row],[Land]]/favorable_terrain_bonus/100,favorable_terrain_max)</f>
        <v>0</v>
      </c>
      <c r="DB72" s="290"/>
      <c r="DC7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2" s="132"/>
      <c r="DE72" s="291" t="n">
        <f aca="false">(TblMili[[#This Row],[Wizards]]+2*TblMili[[#This Row],[Archmages]])/TblConstr[[#This Row],[Land]]</f>
        <v>0</v>
      </c>
      <c r="DF72" s="291" t="n">
        <f aca="false">TblMili[[#This Row],[Raw (2)]]*(1+race_wizard_strength+IF(TblMili[[#This Row],[Hour]]&gt;72,tech_magical_weaponry_wiz*TblTech[[#This Row],[3-5]],0))</f>
        <v>0</v>
      </c>
    </row>
    <row r="73" customFormat="false" ht="12.75" hidden="false" customHeight="false" outlineLevel="0" collapsed="false">
      <c r="A73" s="128" t="n">
        <f aca="false">TblRezone[[#This Row],[Hour]]</f>
        <v>70</v>
      </c>
      <c r="B73" s="282" t="n">
        <f aca="false">SUM(TblMili[[#This Row],[Unit 1]:[Archmages]])+SUM(OFFSET(TblMili[[#This Row],[Train Unit 1]],-8,0):TblMili[[#This Row],[Train Unit 2]]) + SUM(OFFSET(TblMili[[#This Row],[Train Unit 3]],-11,0):TblMili[[#This Row],[Train AM]]) + TblMili[[#This Row],[Draftees]]</f>
        <v>2630</v>
      </c>
      <c r="C73" s="150" t="n">
        <f aca="false">TblPop[[#This Row],[Military%]]</f>
        <v>0.207070309424455</v>
      </c>
      <c r="D73" s="132"/>
      <c r="E73" s="151" t="n">
        <f aca="false">OFFSET(TblMili[[#This Row],[Unit 1]],-1,0) + OFFSET(TblMili[[#This Row],[Train Unit 1]],-9,0) - TblMili[[#This Row],[Release Unit 1]]</f>
        <v>0</v>
      </c>
      <c r="F73" s="151" t="n">
        <f aca="false">OFFSET(TblMili[[#This Row],[Unit 2]],-1,0) + OFFSET(TblMili[[#This Row],[Train Unit 2]],-9,0)-TblMili[[#This Row],[Release Unit 2]]</f>
        <v>0</v>
      </c>
      <c r="G73" s="151" t="n">
        <f aca="false">OFFSET(TblMili[[#This Row],[Unit 3]],-1,0) + OFFSET(TblMili[[#This Row],[Train Unit 3]],-12,0)-TblMili[[#This Row],[Release Unit 3]]</f>
        <v>0</v>
      </c>
      <c r="H73" s="151" t="n">
        <f aca="false">OFFSET(TblMili[[#This Row],[Unit 4]],-1,0) + OFFSET(TblMili[[#This Row],[Train Unit 4]],-12,0)-TblMili[[#This Row],[Release Unit 4]]</f>
        <v>0</v>
      </c>
      <c r="I73" s="151" t="n">
        <f aca="false">OFFSET(TblMili[[#This Row],[Spies]],-1,0) + OFFSET(TblMili[[#This Row],[Train Spies]],-12,0) - TblMili[[#This Row],[Release Spies]]-TblMili[[#This Row],[Train AS]]</f>
        <v>0</v>
      </c>
      <c r="J73" s="151" t="n">
        <f aca="false">OFFSET(TblMili[[#This Row],[Archspies]],-1,0) + OFFSET(TblMili[[#This Row],[Train AS]],-12,0) - TblMili[[#This Row],[Release AS]]</f>
        <v>0</v>
      </c>
      <c r="K73" s="151" t="n">
        <f aca="false">OFFSET(TblMili[[#This Row],[Wizards]],-1,0) + OFFSET(TblMili[[#This Row],[Train Wiz]],-12,0) - TblMili[[#This Row],[Release Wizards]]-TblMili[[#This Row],[Train AM]]</f>
        <v>0</v>
      </c>
      <c r="L73" s="151" t="n">
        <f aca="false">OFFSET(TblMili[[#This Row],[Archmages]],-1,0) + OFFSET(TblMili[[#This Row],[Train AM]],-12,0) - TblMili[[#This Row],[Release AM]]</f>
        <v>0</v>
      </c>
      <c r="M73" s="132"/>
      <c r="N73" s="69" t="e">
        <f aca="false">TblProd[[#This Row],[Networth]]</f>
        <v>#VALUE!</v>
      </c>
      <c r="O73" s="132"/>
      <c r="P7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3" s="285" t="e">
        <f aca="false">TblMili[[#This Row],[Raw]]*(1+TblMili[[#This Row],[Mods_Off]])</f>
        <v>#VALUE!</v>
      </c>
      <c r="S7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3" s="285" t="e">
        <f aca="false">TblMili[[#This Row],[Non Draft]]+TblMili[[#This Row],[Draftees]]</f>
        <v>#VALUE!</v>
      </c>
      <c r="U73" s="286" t="n">
        <f aca="false">race_defense + TblImps[[#This Row],[Walls]] + ROUND( MIN(gt_bonus*TblConstr[[#This Row],[Tot GT]]/TblConstr[[#This Row],[Land]],gt_bonus_cap), 4) + IF(TblMagic[[#This Row],[Active Howling]]&gt;0,howling_dp_bonus,IF(TblMagic[[#This Row],[Active Ares Call]]&gt;0,ares_call_bonus))</f>
        <v>0.0075</v>
      </c>
      <c r="V73" s="274" t="e">
        <f aca="false">TblMili[[#This Row],[Non Draft]] * (1 + TblMili[[#This Row],[Mods_Def]])</f>
        <v>#VALUE!</v>
      </c>
      <c r="W73" s="285" t="e">
        <f aca="false">TblMili[[#This Row],[Draft]] * (1 + TblMili[[#This Row],[Mods_Def]])</f>
        <v>#VALUE!</v>
      </c>
      <c r="X73" s="285" t="n">
        <f aca="false">TblConstr[[#This Row],[Land]]</f>
        <v>700</v>
      </c>
      <c r="Y73" s="287"/>
      <c r="Z73" s="109" t="n">
        <f aca="false">IF(TblMili[[#This Row],[Set]]&lt;&gt;"",TblMili[[#This Row],[Set]],OFFSET(TblMili[[#This Row],[Draftrate]],-1,0))</f>
        <v>0.9</v>
      </c>
      <c r="AA73" s="69" t="n">
        <f aca="false">OFFSET(TblMili[[#This Row],[Draftees]],-1,0)+OFFSET(TblPop[[#This Row],[Draft Growth]],-1,0) - SUM(TblMili[[#This Row],[Train Unit 1]:[Train Spies]],TblMili[[#This Row],[Train Wiz]]) - TblMili[[#This Row],[Release Draft]] + SUM(TblMili[[#This Row],[Release Unit 1]:[Release AM]]) - TblExplore[[#This Row],[Draftees (2)]]</f>
        <v>0</v>
      </c>
      <c r="AB73" s="146"/>
      <c r="AC73" s="130" t="n">
        <f aca="false">(TblConstr[[#This Row],[Tot Smi]]+TblConstr[[#This Row],[Dest Smi]])/(TblConstr[[#This Row],[Land]]-TblExplore[[#This Row],[Land Bonus]]*20)</f>
        <v>0.18</v>
      </c>
      <c r="AD73" s="128"/>
      <c r="AE73" s="282" t="n">
        <f aca="false">TblMili[[#This Row],[Hour]]</f>
        <v>70</v>
      </c>
      <c r="AF73" s="129" t="n">
        <f aca="false">TblExplore[[#This Row],[Time]]</f>
        <v>45432.625</v>
      </c>
      <c r="AG73" s="182"/>
      <c r="AH73" s="152"/>
      <c r="AI73" s="182"/>
      <c r="AJ73" s="182" t="n">
        <v>102</v>
      </c>
      <c r="AK73" s="182"/>
      <c r="AL73" s="182"/>
      <c r="AM73" s="182"/>
      <c r="AN73" s="182"/>
      <c r="AO73" s="132"/>
      <c r="AP73" s="69" t="n">
        <f aca="false">TblProd[[#This Row],[Platinum]]</f>
        <v>46144</v>
      </c>
      <c r="AQ73" s="69" t="n">
        <f aca="false">INDEX(TblProd[[#Headers],[Lumber]]:TblProd[[#This Row],[Ore]],COUNTA(TblProd[[#Headers],[Lumber]]:TblProd[[#This Row],[Lumber]]),MATCH(Military!$AQ$2,TblProd[[#Headers],[Lumber]:[Ore]],0))</f>
        <v>0</v>
      </c>
      <c r="AR7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62016</v>
      </c>
      <c r="AS73" s="69" t="n">
        <f aca="false">TblMili[[#This Row],[Train Unit 1]]*TblMili[[#This Row],[OP Ore]]+TblMili[[#This Row],[Train Unit 2]]*TblMili[[#This Row],[DP Ore]]+TblMili[[#This Row],[Train Unit 3]]*TblMili[[#This Row],[E1 Ore]]+TblMili[[#This Row],[Train Unit 4]]*TblMili[[#This Row],[E2 Ore]]</f>
        <v>0</v>
      </c>
      <c r="AT73" s="132" t="n">
        <f aca="false">TblMili[[#This Row],[Hour]]</f>
        <v>70</v>
      </c>
      <c r="AU73" s="144" t="n">
        <f aca="false">TblMili[[#This Row],[Time]]</f>
        <v>45432.625</v>
      </c>
      <c r="AV73" s="69" t="n">
        <f aca="false">TblMili[[#This Row],[Draftees]]</f>
        <v>0</v>
      </c>
      <c r="AW73" s="182"/>
      <c r="AX73" s="182"/>
      <c r="AY73" s="182"/>
      <c r="AZ73" s="182"/>
      <c r="BA73" s="182"/>
      <c r="BB73" s="182"/>
      <c r="BC73" s="182"/>
      <c r="BD73" s="182"/>
      <c r="BE73" s="182"/>
      <c r="BF73" s="132"/>
      <c r="BG73" s="150" t="n">
        <f aca="false">TblConstr[[#This Row],[Tot WG]]/TblConstr[[#This Row],[Land]]</f>
        <v>0</v>
      </c>
      <c r="BH73" s="150" t="n">
        <f aca="false">TblConstr[[#This Row],[Tot Hav]]/TblConstr[[#This Row],[Land]]</f>
        <v>0</v>
      </c>
      <c r="BI73" s="69" t="n">
        <f aca="false">ROUNDUP((1-MIN(TblMili[[#This Row],[Smithies]]*smithy_bonus,smithy_bonus_cap) + tech_3_5*TblTech[[#This Row],[3-5]] + tech_5_3*TblTech[[#This Row],[5-3]] + tech_5_5*TblTech[[#This Row],[5-5]])*spec_op_plat,0)</f>
        <v>192</v>
      </c>
      <c r="BJ73" s="69" t="n">
        <f aca="false">ROUNDUP(IF(race="Gnome",1,(1-MIN(TblMili[[#This Row],[Smithies]]*smithy_bonus,smithy_bonus_cap) + tech_3_5*TblTech[[#This Row],[3-5]] + tech_5_3*TblTech[[#This Row],[5-3]] + tech_5_5*TblTech[[#This Row],[5-5]]))*spec_op_ore,0)</f>
        <v>0</v>
      </c>
      <c r="BK73" s="69" t="n">
        <f aca="false">ROUNDUP((1-MIN(TblMili[[#This Row],[Smithies]]*smithy_bonus,smithy_bonus_cap) + tech_3_5*TblTech[[#This Row],[3-5]] + tech_5_3*TblTech[[#This Row],[5-3]] + tech_5_5*TblTech[[#This Row],[5-5]])*spec_dp_plat,0)</f>
        <v>192</v>
      </c>
      <c r="BL73" s="69" t="n">
        <f aca="false">ROUNDUP(IF(race="Gnome",1,(1-MIN(TblMili[[#This Row],[Smithies]]*smithy_bonus,smithy_bonus_cap) + tech_3_5*TblTech[[#This Row],[3-5]] + tech_5_3*TblTech[[#This Row],[5-3]] + tech_5_5*TblTech[[#This Row],[5-5]]))*spec_dp_ore,0)</f>
        <v>0</v>
      </c>
      <c r="BM73" s="69" t="n">
        <f aca="false">ROUNDUP((1-MIN(TblMili[[#This Row],[Smithies]]*smithy_bonus,smithy_bonus_cap) + tech_3_5*TblTech[[#This Row],[3-5]] + tech_5_3*TblTech[[#This Row],[5-3]] + tech_5_5*TblTech[[#This Row],[5-5]])*elite1_plat,0)</f>
        <v>592</v>
      </c>
      <c r="BN73" s="69" t="n">
        <f aca="false">ROUNDUP(IF(race="Gnome",1,(1-MIN(TblMili[[#This Row],[Smithies]]*smithy_bonus,smithy_bonus_cap) + tech_3_5*TblTech[[#This Row],[3-5]] + tech_5_3*TblTech[[#This Row],[5-3]] + tech_5_5*TblTech[[#This Row],[5-5]]))*elite1_ore,0)</f>
        <v>0</v>
      </c>
      <c r="BO73" s="69" t="n">
        <f aca="false">ROUNDUP((1-MIN(TblMili[[#This Row],[Smithies]]*smithy_bonus,smithy_bonus_cap) + tech_3_5*TblTech[[#This Row],[3-5]] + tech_5_3*TblTech[[#This Row],[5-3]] + tech_5_5*TblTech[[#This Row],[5-5]])*elite2_plat,0)</f>
        <v>608</v>
      </c>
      <c r="BP73" s="69" t="n">
        <f aca="false">ROUNDUP(IF(race="Gnome",1,(1-MIN(TblMili[[#This Row],[Smithies]]*smithy_bonus,smithy_bonus_cap) + tech_3_5*TblTech[[#This Row],[3-5]] + tech_5_3*TblTech[[#This Row],[5-3]] + tech_5_5*TblTech[[#This Row],[5-5]]))*elite2_ore,0)</f>
        <v>0</v>
      </c>
      <c r="BQ73" s="69" t="n">
        <f aca="false">ROUNDUP((1-MIN(ROUND(fh_spy_cost_red*TblMili[[#This Row],[FH''s]],4),fh_spy_cost_cap)+ tech_1_9*TblTech[[#This Row],[1-9]] + tech_9_1*TblTech[[#This Row],[9-1]])*spy_plat,0)</f>
        <v>500</v>
      </c>
      <c r="BR73" s="69" t="n">
        <f aca="false">ROUNDUP((1-MIN(ROUND(fh_spy_cost_red*TblMili[[#This Row],[FH''s]],4),fh_spy_cost_cap)+ tech_1_9*TblTech[[#This Row],[1-9]] + tech_9_1*TblTech[[#This Row],[9-1]])*archspy_plat,0)</f>
        <v>1000</v>
      </c>
      <c r="BS73" s="69" t="n">
        <f aca="false">ROUNDUP((1-MIN(ROUND(wg_wiz_cost_bonus*TblMili[[#This Row],[WG''s]],4),wg_wiz_cost_cap) + tech_1_9_2*TblTech[[#This Row],[1-9]] + tech_9_1_2*TblTech[[#This Row],[9-1]])*wizard_plat,0)</f>
        <v>500</v>
      </c>
      <c r="BT73" s="69" t="n">
        <f aca="false">ROUNDUP((1-MIN(ROUND(wg_wiz_cost_bonus*TblMili[[#This Row],[WG''s]],4),wg_wiz_cost_cap) + tech_1_9_2*TblTech[[#This Row],[1-9]] + tech_9_1_2*TblTech[[#This Row],[9-1]])*archmage_plat,0)</f>
        <v>1000</v>
      </c>
      <c r="BU73" s="132"/>
      <c r="BV73" s="150" t="e">
        <f aca="false">TblConstr[[#This Row],[Homeland]]/TblConstr[[#This Row],[Land]]</f>
        <v>#VALUE!</v>
      </c>
      <c r="BW73" s="150" t="n">
        <f aca="false">TblMili[[#This Row],[WG''s]]</f>
        <v>0</v>
      </c>
      <c r="BX73" s="288" t="e">
        <f aca="false">IF(mystic_cap="none",TblMili[[#This Row],[Hill]]/mystic_bonus,MIN(mystic_cap,TblMili[[#This Row],[Hill]]/mystic_bonus))</f>
        <v>#VALUE!</v>
      </c>
      <c r="BY73" s="288" t="e">
        <f aca="false">IF(druid_op_cap="none",TblMili[[#This Row],[Hill]]/druid_op_bonus,MIN(druid_op_cap,TblMili[[#This Row],[Hill]]/druid_op_bonus))</f>
        <v>#VALUE!</v>
      </c>
      <c r="BZ73" s="288" t="e">
        <f aca="false">IF(druid_dp_cap="none",TblMili[[#This Row],[Hill]]/druid_dp_bonus,MIN(druid_dp_cap,TblMili[[#This Row],[Hill]]/druid_dp_bonus))</f>
        <v>#VALUE!</v>
      </c>
      <c r="CA73" s="288" t="e">
        <f aca="false">MIN(dryad_cap,TblMili[[#This Row],[Hill]]/dryad_bonus)</f>
        <v>#VALUE!</v>
      </c>
      <c r="CB73" s="288" t="e">
        <f aca="false">MIN(rocka_cap,TblMili[[#This Row],[Hill]]/rocka_bonus)</f>
        <v>#VALUE!</v>
      </c>
      <c r="CC73" s="288" t="n">
        <f aca="false">MIN(adept_op_cap,TblMili[[#This Row],[WG]]/adept_op_bonus)</f>
        <v>0</v>
      </c>
      <c r="CD73" s="288" t="n">
        <f aca="false">MIN(adept_dp_cap,TblMili[[#This Row],[WG]]/adept_dp_bonus)</f>
        <v>0</v>
      </c>
      <c r="CE73" s="69" t="n">
        <f aca="false">MIN(TblMili[[#This Row],[Unit 3]],TblMili[[#This Row],[Unit 2]])*2</f>
        <v>0</v>
      </c>
      <c r="CF73" s="69" t="n">
        <f aca="false">MIN(TblMili[[#This Row],[Unit 1]],TblMili[[#This Row],[Unit 4]])*2</f>
        <v>0</v>
      </c>
      <c r="CG73" s="288" t="e">
        <f aca="false">MIN(frost_mage_cap,TblMili[[#This Row],[Hill]]/frost_mage_bonus)</f>
        <v>#VALUE!</v>
      </c>
      <c r="CH73" s="151" t="n">
        <f aca="false">MIN(ice_elem_cap,TblMili[[#This Row],[Raw (2)]]*ice_elem_bonus)</f>
        <v>0</v>
      </c>
      <c r="CI73" s="288" t="n">
        <f aca="false">MIN(bone_breaker_cap,250/bone_breaker_bonus)</f>
        <v>0.833333333333333</v>
      </c>
      <c r="CJ73" s="288" t="e">
        <f aca="false">MIN(nox_nightshade_cap,TblConstr[[#This Row],[Homeland]]/TblConstr[[#This Row],[Land]]/nox_nightshade_swamp_bonus)</f>
        <v>#VALUE!</v>
      </c>
      <c r="CK73" s="289"/>
      <c r="CL73" s="289"/>
      <c r="CM73" s="289"/>
      <c r="CN73" s="288" t="e">
        <f aca="false">MIN(6,TblMili[[#This Row],[Mystic]]+Races!$F$19)*1.8 +  IF(TblMili[[#This Row],[Mystic]]+Races!$F$19&gt;6,(TblMili[[#This Row],[Mystic]]+Races!$F$19-6)*0.2,0) - Races!$I$19</f>
        <v>#VALUE!</v>
      </c>
      <c r="CO73" s="288" t="e">
        <f aca="false">1.8 * MIN(MAX(TblMili[[#This Row],[Druid (op)]]+Races!$E$20,TblMili[[#This Row],[Druid (dp)]]+Races!$F$20),6)  +  0.45 * MIN(MIN(TblMili[[#This Row],[Druid (op)]]+Races!$E$20,TblMili[[#This Row],[Druid (dp)]]+Races!$F$20),6)  +  0.2 * ( MAX(TblMili[[#This Row],[Druid (op)]]+Races!$E$20-6,0) + MAX(TblMili[[#This Row],[Druid (dp)]]+Races!$F$20-6,0) )  -  Races!$I$20</f>
        <v>#VALUE!</v>
      </c>
      <c r="CP73" s="69" t="e">
        <f aca="false">TblMili[[#This Row],[Mystic bonus]]*TblMili[[#This Row],[Unit 3]]+TblMili[[#This Row],[Druid bonus]]*TblMili[[#This Row],[Unit 4]]</f>
        <v>#VALUE!</v>
      </c>
      <c r="CQ73" s="148" t="e">
        <f aca="false">MIN(6,TblMili[[#This Row],[Dryad]]+Races!$F$35)*1.8 +  IF(TblMili[[#This Row],[Dryad]]+Races!$F$35&gt;6,(TblMili[[#This Row],[Dryad]]+Races!$F$35-6)*0.2,0) - Races!$I$19</f>
        <v>#VALUE!</v>
      </c>
      <c r="CR73" s="69" t="e">
        <f aca="false">sylvan*(TblMili[[#This Row],[Mystic bonus]]*TblMili[[#This Row],[Unit 3]])</f>
        <v>#VALUE!</v>
      </c>
      <c r="CS73" s="148" t="e">
        <f aca="false">1.8 * MIN(MAX(Races!$E$27,TblMili[[#This Row],[Rockapult]]+Races!$F$27),6)  +  0.45 * MIN(MIN(Races!$E$27,TblMili[[#This Row],[Rockapult]]+Races!$F$27),6)  +  0.2 * ( MAX(Races!$E$27-6,0) + MAX(TblMili[[#This Row],[Rockapult]]+Races!$F$27-6,0) )  -  Races!$I$20</f>
        <v>#VALUE!</v>
      </c>
      <c r="CT73" s="69" t="e">
        <f aca="false">gnome*(TblMili[[#This Row],[Rockapult bonus]]*TblMili[[#This Row],[Unit 3]])</f>
        <v>#VALUE!</v>
      </c>
      <c r="CU73" s="148" t="n">
        <f aca="false">1.8 * MIN(MAX(TblMili[[#This Row],[Spellblade]]+Races!$E$47,TblMili[[#This Row],[Adept-DP]]+Races!$F$47),6)  +  0.45 * MIN(MIN(TblMili[[#This Row],[Spellblade]]+Races!$E$47,TblMili[[#This Row],[Adept-DP]]+Races!$F$47),6)  +  0.2 * ( MAX(TblMili[[#This Row],[Spellblade]]+Races!$E$47-6,0) + MAX(TblMili[[#This Row],[Adept-DP]]+Races!$F$47-6,0) )  -  Races!$I$47</f>
        <v>0</v>
      </c>
      <c r="CV73" s="69" t="n">
        <f aca="false">dark_elf*(TblMili[[#This Row],[Adept bonus]]*TblMili[[#This Row],[Unit 3]])</f>
        <v>0</v>
      </c>
      <c r="CW73" s="148" t="e">
        <f aca="false">1.8 * MIN(MAX(TblMili[[#This Row],[Frost Mage]]+Races!$F$71,Races!$E$71),6)  +  0.45 * MIN(MIN(TblMili[[#This Row],[Frost Mage]]+Races!$F$71,Races!$E$71),6)  +  0.2 * ( MAX(TblMili[[#This Row],[Frost Mage]]+Races!$F$71-6,0) + MAX(Races!$E$71-6,0) )  -  Races!$I$71</f>
        <v>#VALUE!</v>
      </c>
      <c r="CX73" s="148" t="n">
        <f aca="false">1.8 * MIN(MAX(TblMili[[#This Row],[Ice Elemental]]+Races!$E$71,Races!$F$71),6)  +  0.45 * MIN(MIN(TblMili[[#This Row],[Ice Elemental]]+Races!$E$71,Races!$F$71),6)  +  0.2 * ( MAX(TblMili[[#This Row],[Ice Elemental]]+Races!$E$71-6,0) + MAX(Races!$F$71-6,0) )  -  Races!$I$71</f>
        <v>0</v>
      </c>
      <c r="CY73" s="69" t="e">
        <f aca="false">TblMili[[#This Row],[Frost Mage bonus]]*TblMili[[#This Row],[Unit 3]]+TblMili[[#This Row],[Ice Elemental bonus]]*TblMili[[#This Row],[Unit 4]]</f>
        <v>#VALUE!</v>
      </c>
      <c r="CZ73" s="290"/>
      <c r="DA73" s="109" t="n">
        <f aca="false">MIN(SUM(TblConstr[[#This Row],[Plain]:[Water]])/TblMili[[#This Row],[Land]]/favorable_terrain_bonus/100,favorable_terrain_max)</f>
        <v>0</v>
      </c>
      <c r="DB73" s="290"/>
      <c r="DC7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3" s="132"/>
      <c r="DE73" s="291" t="n">
        <f aca="false">(TblMili[[#This Row],[Wizards]]+2*TblMili[[#This Row],[Archmages]])/TblConstr[[#This Row],[Land]]</f>
        <v>0</v>
      </c>
      <c r="DF73" s="291" t="n">
        <f aca="false">TblMili[[#This Row],[Raw (2)]]*(1+race_wizard_strength+IF(TblMili[[#This Row],[Hour]]&gt;72,tech_magical_weaponry_wiz*TblTech[[#This Row],[3-5]],0))</f>
        <v>0</v>
      </c>
    </row>
    <row r="74" customFormat="false" ht="12.75" hidden="false" customHeight="false" outlineLevel="0" collapsed="false">
      <c r="A74" s="128" t="n">
        <f aca="false">TblRezone[[#This Row],[Hour]]</f>
        <v>71</v>
      </c>
      <c r="B74" s="282" t="n">
        <f aca="false">SUM(TblMili[[#This Row],[Unit 1]:[Archmages]])+SUM(OFFSET(TblMili[[#This Row],[Train Unit 1]],-8,0):TblMili[[#This Row],[Train Unit 2]]) + SUM(OFFSET(TblMili[[#This Row],[Train Unit 3]],-11,0):TblMili[[#This Row],[Train AM]]) + TblMili[[#This Row],[Draftees]]</f>
        <v>2731</v>
      </c>
      <c r="C74" s="150" t="n">
        <f aca="false">TblPop[[#This Row],[Military%]]</f>
        <v>0.215022439178017</v>
      </c>
      <c r="D74" s="132"/>
      <c r="E74" s="151" t="n">
        <f aca="false">OFFSET(TblMili[[#This Row],[Unit 1]],-1,0) + OFFSET(TblMili[[#This Row],[Train Unit 1]],-9,0) - TblMili[[#This Row],[Release Unit 1]]</f>
        <v>0</v>
      </c>
      <c r="F74" s="151" t="n">
        <f aca="false">OFFSET(TblMili[[#This Row],[Unit 2]],-1,0) + OFFSET(TblMili[[#This Row],[Train Unit 2]],-9,0)-TblMili[[#This Row],[Release Unit 2]]</f>
        <v>0</v>
      </c>
      <c r="G74" s="151" t="n">
        <f aca="false">OFFSET(TblMili[[#This Row],[Unit 3]],-1,0) + OFFSET(TblMili[[#This Row],[Train Unit 3]],-12,0)-TblMili[[#This Row],[Release Unit 3]]</f>
        <v>0</v>
      </c>
      <c r="H74" s="151" t="n">
        <f aca="false">OFFSET(TblMili[[#This Row],[Unit 4]],-1,0) + OFFSET(TblMili[[#This Row],[Train Unit 4]],-12,0)-TblMili[[#This Row],[Release Unit 4]]</f>
        <v>0</v>
      </c>
      <c r="I74" s="151" t="n">
        <f aca="false">OFFSET(TblMili[[#This Row],[Spies]],-1,0) + OFFSET(TblMili[[#This Row],[Train Spies]],-12,0) - TblMili[[#This Row],[Release Spies]]-TblMili[[#This Row],[Train AS]]</f>
        <v>0</v>
      </c>
      <c r="J74" s="151" t="n">
        <f aca="false">OFFSET(TblMili[[#This Row],[Archspies]],-1,0) + OFFSET(TblMili[[#This Row],[Train AS]],-12,0) - TblMili[[#This Row],[Release AS]]</f>
        <v>0</v>
      </c>
      <c r="K74" s="151" t="n">
        <f aca="false">OFFSET(TblMili[[#This Row],[Wizards]],-1,0) + OFFSET(TblMili[[#This Row],[Train Wiz]],-12,0) - TblMili[[#This Row],[Release Wizards]]-TblMili[[#This Row],[Train AM]]</f>
        <v>0</v>
      </c>
      <c r="L74" s="151" t="n">
        <f aca="false">OFFSET(TblMili[[#This Row],[Archmages]],-1,0) + OFFSET(TblMili[[#This Row],[Train AM]],-12,0) - TblMili[[#This Row],[Release AM]]</f>
        <v>0</v>
      </c>
      <c r="M74" s="132"/>
      <c r="N74" s="69" t="e">
        <f aca="false">TblProd[[#This Row],[Networth]]</f>
        <v>#VALUE!</v>
      </c>
      <c r="O74" s="132"/>
      <c r="P7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4" s="285" t="e">
        <f aca="false">TblMili[[#This Row],[Raw]]*(1+TblMili[[#This Row],[Mods_Off]])</f>
        <v>#VALUE!</v>
      </c>
      <c r="S7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4" s="285" t="e">
        <f aca="false">TblMili[[#This Row],[Non Draft]]+TblMili[[#This Row],[Draftees]]</f>
        <v>#VALUE!</v>
      </c>
      <c r="U74" s="286" t="n">
        <f aca="false">race_defense + TblImps[[#This Row],[Walls]] + ROUND( MIN(gt_bonus*TblConstr[[#This Row],[Tot GT]]/TblConstr[[#This Row],[Land]],gt_bonus_cap), 4) + IF(TblMagic[[#This Row],[Active Howling]]&gt;0,howling_dp_bonus,IF(TblMagic[[#This Row],[Active Ares Call]]&gt;0,ares_call_bonus))</f>
        <v>0.01</v>
      </c>
      <c r="V74" s="274" t="e">
        <f aca="false">TblMili[[#This Row],[Non Draft]] * (1 + TblMili[[#This Row],[Mods_Def]])</f>
        <v>#VALUE!</v>
      </c>
      <c r="W74" s="285" t="e">
        <f aca="false">TblMili[[#This Row],[Draft]] * (1 + TblMili[[#This Row],[Mods_Def]])</f>
        <v>#VALUE!</v>
      </c>
      <c r="X74" s="285" t="n">
        <f aca="false">TblConstr[[#This Row],[Land]]</f>
        <v>700</v>
      </c>
      <c r="Y74" s="287"/>
      <c r="Z74" s="109" t="n">
        <f aca="false">IF(TblMili[[#This Row],[Set]]&lt;&gt;"",TblMili[[#This Row],[Set]],OFFSET(TblMili[[#This Row],[Draftrate]],-1,0))</f>
        <v>0.9</v>
      </c>
      <c r="AA74" s="69" t="n">
        <f aca="false">OFFSET(TblMili[[#This Row],[Draftees]],-1,0)+OFFSET(TblPop[[#This Row],[Draft Growth]],-1,0) - SUM(TblMili[[#This Row],[Train Unit 1]:[Train Spies]],TblMili[[#This Row],[Train Wiz]]) - TblMili[[#This Row],[Release Draft]] + SUM(TblMili[[#This Row],[Release Unit 1]:[Release AM]]) - TblExplore[[#This Row],[Draftees (2)]]</f>
        <v>0</v>
      </c>
      <c r="AB74" s="146"/>
      <c r="AC74" s="130" t="n">
        <f aca="false">(TblConstr[[#This Row],[Tot Smi]]+TblConstr[[#This Row],[Dest Smi]])/(TblConstr[[#This Row],[Land]]-TblExplore[[#This Row],[Land Bonus]]*20)</f>
        <v>0.18</v>
      </c>
      <c r="AD74" s="128"/>
      <c r="AE74" s="282" t="n">
        <f aca="false">TblMili[[#This Row],[Hour]]</f>
        <v>71</v>
      </c>
      <c r="AF74" s="129" t="n">
        <f aca="false">TblExplore[[#This Row],[Time]]</f>
        <v>45432.6666666667</v>
      </c>
      <c r="AG74" s="182"/>
      <c r="AH74" s="152"/>
      <c r="AI74" s="182"/>
      <c r="AJ74" s="182" t="n">
        <v>101</v>
      </c>
      <c r="AK74" s="182"/>
      <c r="AL74" s="182"/>
      <c r="AM74" s="182"/>
      <c r="AN74" s="182"/>
      <c r="AO74" s="132"/>
      <c r="AP74" s="69" t="n">
        <f aca="false">TblProd[[#This Row],[Platinum]]</f>
        <v>32191</v>
      </c>
      <c r="AQ74" s="69" t="n">
        <f aca="false">INDEX(TblProd[[#Headers],[Lumber]]:TblProd[[#This Row],[Ore]],COUNTA(TblProd[[#Headers],[Lumber]]:TblProd[[#This Row],[Lumber]]),MATCH(Military!$AQ$2,TblProd[[#Headers],[Lumber]:[Ore]],0))</f>
        <v>0</v>
      </c>
      <c r="AR7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61408</v>
      </c>
      <c r="AS74" s="69" t="n">
        <f aca="false">TblMili[[#This Row],[Train Unit 1]]*TblMili[[#This Row],[OP Ore]]+TblMili[[#This Row],[Train Unit 2]]*TblMili[[#This Row],[DP Ore]]+TblMili[[#This Row],[Train Unit 3]]*TblMili[[#This Row],[E1 Ore]]+TblMili[[#This Row],[Train Unit 4]]*TblMili[[#This Row],[E2 Ore]]</f>
        <v>0</v>
      </c>
      <c r="AT74" s="132" t="n">
        <f aca="false">TblMili[[#This Row],[Hour]]</f>
        <v>71</v>
      </c>
      <c r="AU74" s="144" t="n">
        <f aca="false">TblMili[[#This Row],[Time]]</f>
        <v>45432.6666666667</v>
      </c>
      <c r="AV74" s="69" t="n">
        <f aca="false">TblMili[[#This Row],[Draftees]]</f>
        <v>0</v>
      </c>
      <c r="AW74" s="182"/>
      <c r="AX74" s="182"/>
      <c r="AY74" s="182"/>
      <c r="AZ74" s="182"/>
      <c r="BA74" s="182"/>
      <c r="BB74" s="182"/>
      <c r="BC74" s="182"/>
      <c r="BD74" s="182"/>
      <c r="BE74" s="182"/>
      <c r="BF74" s="132"/>
      <c r="BG74" s="150" t="n">
        <f aca="false">TblConstr[[#This Row],[Tot WG]]/TblConstr[[#This Row],[Land]]</f>
        <v>0</v>
      </c>
      <c r="BH74" s="150" t="n">
        <f aca="false">TblConstr[[#This Row],[Tot Hav]]/TblConstr[[#This Row],[Land]]</f>
        <v>0</v>
      </c>
      <c r="BI74" s="69" t="n">
        <f aca="false">ROUNDUP((1-MIN(TblMili[[#This Row],[Smithies]]*smithy_bonus,smithy_bonus_cap) + tech_3_5*TblTech[[#This Row],[3-5]] + tech_5_3*TblTech[[#This Row],[5-3]] + tech_5_5*TblTech[[#This Row],[5-5]])*spec_op_plat,0)</f>
        <v>192</v>
      </c>
      <c r="BJ74" s="69" t="n">
        <f aca="false">ROUNDUP(IF(race="Gnome",1,(1-MIN(TblMili[[#This Row],[Smithies]]*smithy_bonus,smithy_bonus_cap) + tech_3_5*TblTech[[#This Row],[3-5]] + tech_5_3*TblTech[[#This Row],[5-3]] + tech_5_5*TblTech[[#This Row],[5-5]]))*spec_op_ore,0)</f>
        <v>0</v>
      </c>
      <c r="BK74" s="69" t="n">
        <f aca="false">ROUNDUP((1-MIN(TblMili[[#This Row],[Smithies]]*smithy_bonus,smithy_bonus_cap) + tech_3_5*TblTech[[#This Row],[3-5]] + tech_5_3*TblTech[[#This Row],[5-3]] + tech_5_5*TblTech[[#This Row],[5-5]])*spec_dp_plat,0)</f>
        <v>192</v>
      </c>
      <c r="BL74" s="69" t="n">
        <f aca="false">ROUNDUP(IF(race="Gnome",1,(1-MIN(TblMili[[#This Row],[Smithies]]*smithy_bonus,smithy_bonus_cap) + tech_3_5*TblTech[[#This Row],[3-5]] + tech_5_3*TblTech[[#This Row],[5-3]] + tech_5_5*TblTech[[#This Row],[5-5]]))*spec_dp_ore,0)</f>
        <v>0</v>
      </c>
      <c r="BM74" s="69" t="n">
        <f aca="false">ROUNDUP((1-MIN(TblMili[[#This Row],[Smithies]]*smithy_bonus,smithy_bonus_cap) + tech_3_5*TblTech[[#This Row],[3-5]] + tech_5_3*TblTech[[#This Row],[5-3]] + tech_5_5*TblTech[[#This Row],[5-5]])*elite1_plat,0)</f>
        <v>592</v>
      </c>
      <c r="BN74" s="69" t="n">
        <f aca="false">ROUNDUP(IF(race="Gnome",1,(1-MIN(TblMili[[#This Row],[Smithies]]*smithy_bonus,smithy_bonus_cap) + tech_3_5*TblTech[[#This Row],[3-5]] + tech_5_3*TblTech[[#This Row],[5-3]] + tech_5_5*TblTech[[#This Row],[5-5]]))*elite1_ore,0)</f>
        <v>0</v>
      </c>
      <c r="BO74" s="69" t="n">
        <f aca="false">ROUNDUP((1-MIN(TblMili[[#This Row],[Smithies]]*smithy_bonus,smithy_bonus_cap) + tech_3_5*TblTech[[#This Row],[3-5]] + tech_5_3*TblTech[[#This Row],[5-3]] + tech_5_5*TblTech[[#This Row],[5-5]])*elite2_plat,0)</f>
        <v>608</v>
      </c>
      <c r="BP74" s="69" t="n">
        <f aca="false">ROUNDUP(IF(race="Gnome",1,(1-MIN(TblMili[[#This Row],[Smithies]]*smithy_bonus,smithy_bonus_cap) + tech_3_5*TblTech[[#This Row],[3-5]] + tech_5_3*TblTech[[#This Row],[5-3]] + tech_5_5*TblTech[[#This Row],[5-5]]))*elite2_ore,0)</f>
        <v>0</v>
      </c>
      <c r="BQ74" s="69" t="n">
        <f aca="false">ROUNDUP((1-MIN(ROUND(fh_spy_cost_red*TblMili[[#This Row],[FH''s]],4),fh_spy_cost_cap)+ tech_1_9*TblTech[[#This Row],[1-9]] + tech_9_1*TblTech[[#This Row],[9-1]])*spy_plat,0)</f>
        <v>500</v>
      </c>
      <c r="BR74" s="69" t="n">
        <f aca="false">ROUNDUP((1-MIN(ROUND(fh_spy_cost_red*TblMili[[#This Row],[FH''s]],4),fh_spy_cost_cap)+ tech_1_9*TblTech[[#This Row],[1-9]] + tech_9_1*TblTech[[#This Row],[9-1]])*archspy_plat,0)</f>
        <v>1000</v>
      </c>
      <c r="BS74" s="69" t="n">
        <f aca="false">ROUNDUP((1-MIN(ROUND(wg_wiz_cost_bonus*TblMili[[#This Row],[WG''s]],4),wg_wiz_cost_cap) + tech_1_9_2*TblTech[[#This Row],[1-9]] + tech_9_1_2*TblTech[[#This Row],[9-1]])*wizard_plat,0)</f>
        <v>500</v>
      </c>
      <c r="BT74" s="69" t="n">
        <f aca="false">ROUNDUP((1-MIN(ROUND(wg_wiz_cost_bonus*TblMili[[#This Row],[WG''s]],4),wg_wiz_cost_cap) + tech_1_9_2*TblTech[[#This Row],[1-9]] + tech_9_1_2*TblTech[[#This Row],[9-1]])*archmage_plat,0)</f>
        <v>1000</v>
      </c>
      <c r="BU74" s="132"/>
      <c r="BV74" s="150" t="e">
        <f aca="false">TblConstr[[#This Row],[Homeland]]/TblConstr[[#This Row],[Land]]</f>
        <v>#VALUE!</v>
      </c>
      <c r="BW74" s="150" t="n">
        <f aca="false">TblMili[[#This Row],[WG''s]]</f>
        <v>0</v>
      </c>
      <c r="BX74" s="288" t="e">
        <f aca="false">IF(mystic_cap="none",TblMili[[#This Row],[Hill]]/mystic_bonus,MIN(mystic_cap,TblMili[[#This Row],[Hill]]/mystic_bonus))</f>
        <v>#VALUE!</v>
      </c>
      <c r="BY74" s="288" t="e">
        <f aca="false">IF(druid_op_cap="none",TblMili[[#This Row],[Hill]]/druid_op_bonus,MIN(druid_op_cap,TblMili[[#This Row],[Hill]]/druid_op_bonus))</f>
        <v>#VALUE!</v>
      </c>
      <c r="BZ74" s="288" t="e">
        <f aca="false">IF(druid_dp_cap="none",TblMili[[#This Row],[Hill]]/druid_dp_bonus,MIN(druid_dp_cap,TblMili[[#This Row],[Hill]]/druid_dp_bonus))</f>
        <v>#VALUE!</v>
      </c>
      <c r="CA74" s="288" t="e">
        <f aca="false">MIN(dryad_cap,TblMili[[#This Row],[Hill]]/dryad_bonus)</f>
        <v>#VALUE!</v>
      </c>
      <c r="CB74" s="288" t="e">
        <f aca="false">MIN(rocka_cap,TblMili[[#This Row],[Hill]]/rocka_bonus)</f>
        <v>#VALUE!</v>
      </c>
      <c r="CC74" s="288" t="n">
        <f aca="false">MIN(adept_op_cap,TblMili[[#This Row],[WG]]/adept_op_bonus)</f>
        <v>0</v>
      </c>
      <c r="CD74" s="288" t="n">
        <f aca="false">MIN(adept_dp_cap,TblMili[[#This Row],[WG]]/adept_dp_bonus)</f>
        <v>0</v>
      </c>
      <c r="CE74" s="69" t="n">
        <f aca="false">MIN(TblMili[[#This Row],[Unit 3]],TblMili[[#This Row],[Unit 2]])*2</f>
        <v>0</v>
      </c>
      <c r="CF74" s="69" t="n">
        <f aca="false">MIN(TblMili[[#This Row],[Unit 1]],TblMili[[#This Row],[Unit 4]])*2</f>
        <v>0</v>
      </c>
      <c r="CG74" s="288" t="e">
        <f aca="false">MIN(frost_mage_cap,TblMili[[#This Row],[Hill]]/frost_mage_bonus)</f>
        <v>#VALUE!</v>
      </c>
      <c r="CH74" s="151" t="n">
        <f aca="false">MIN(ice_elem_cap,TblMili[[#This Row],[Raw (2)]]*ice_elem_bonus)</f>
        <v>0</v>
      </c>
      <c r="CI74" s="288" t="n">
        <f aca="false">MIN(bone_breaker_cap,250/bone_breaker_bonus)</f>
        <v>0.833333333333333</v>
      </c>
      <c r="CJ74" s="288" t="e">
        <f aca="false">MIN(nox_nightshade_cap,TblConstr[[#This Row],[Homeland]]/TblConstr[[#This Row],[Land]]/nox_nightshade_swamp_bonus)</f>
        <v>#VALUE!</v>
      </c>
      <c r="CK74" s="289"/>
      <c r="CL74" s="289"/>
      <c r="CM74" s="289"/>
      <c r="CN74" s="288" t="e">
        <f aca="false">MIN(6,TblMili[[#This Row],[Mystic]]+Races!$F$19)*1.8 +  IF(TblMili[[#This Row],[Mystic]]+Races!$F$19&gt;6,(TblMili[[#This Row],[Mystic]]+Races!$F$19-6)*0.2,0) - Races!$I$19</f>
        <v>#VALUE!</v>
      </c>
      <c r="CO74" s="288" t="e">
        <f aca="false">1.8 * MIN(MAX(TblMili[[#This Row],[Druid (op)]]+Races!$E$20,TblMili[[#This Row],[Druid (dp)]]+Races!$F$20),6)  +  0.45 * MIN(MIN(TblMili[[#This Row],[Druid (op)]]+Races!$E$20,TblMili[[#This Row],[Druid (dp)]]+Races!$F$20),6)  +  0.2 * ( MAX(TblMili[[#This Row],[Druid (op)]]+Races!$E$20-6,0) + MAX(TblMili[[#This Row],[Druid (dp)]]+Races!$F$20-6,0) )  -  Races!$I$20</f>
        <v>#VALUE!</v>
      </c>
      <c r="CP74" s="69" t="e">
        <f aca="false">TblMili[[#This Row],[Mystic bonus]]*TblMili[[#This Row],[Unit 3]]+TblMili[[#This Row],[Druid bonus]]*TblMili[[#This Row],[Unit 4]]</f>
        <v>#VALUE!</v>
      </c>
      <c r="CQ74" s="148" t="e">
        <f aca="false">MIN(6,TblMili[[#This Row],[Dryad]]+Races!$F$35)*1.8 +  IF(TblMili[[#This Row],[Dryad]]+Races!$F$35&gt;6,(TblMili[[#This Row],[Dryad]]+Races!$F$35-6)*0.2,0) - Races!$I$19</f>
        <v>#VALUE!</v>
      </c>
      <c r="CR74" s="69" t="e">
        <f aca="false">sylvan*(TblMili[[#This Row],[Mystic bonus]]*TblMili[[#This Row],[Unit 3]])</f>
        <v>#VALUE!</v>
      </c>
      <c r="CS74" s="148" t="e">
        <f aca="false">1.8 * MIN(MAX(Races!$E$27,TblMili[[#This Row],[Rockapult]]+Races!$F$27),6)  +  0.45 * MIN(MIN(Races!$E$27,TblMili[[#This Row],[Rockapult]]+Races!$F$27),6)  +  0.2 * ( MAX(Races!$E$27-6,0) + MAX(TblMili[[#This Row],[Rockapult]]+Races!$F$27-6,0) )  -  Races!$I$20</f>
        <v>#VALUE!</v>
      </c>
      <c r="CT74" s="69" t="e">
        <f aca="false">gnome*(TblMili[[#This Row],[Rockapult bonus]]*TblMili[[#This Row],[Unit 3]])</f>
        <v>#VALUE!</v>
      </c>
      <c r="CU74" s="148" t="n">
        <f aca="false">1.8 * MIN(MAX(TblMili[[#This Row],[Spellblade]]+Races!$E$47,TblMili[[#This Row],[Adept-DP]]+Races!$F$47),6)  +  0.45 * MIN(MIN(TblMili[[#This Row],[Spellblade]]+Races!$E$47,TblMili[[#This Row],[Adept-DP]]+Races!$F$47),6)  +  0.2 * ( MAX(TblMili[[#This Row],[Spellblade]]+Races!$E$47-6,0) + MAX(TblMili[[#This Row],[Adept-DP]]+Races!$F$47-6,0) )  -  Races!$I$47</f>
        <v>0</v>
      </c>
      <c r="CV74" s="69" t="n">
        <f aca="false">dark_elf*(TblMili[[#This Row],[Adept bonus]]*TblMili[[#This Row],[Unit 3]])</f>
        <v>0</v>
      </c>
      <c r="CW74" s="148" t="e">
        <f aca="false">1.8 * MIN(MAX(TblMili[[#This Row],[Frost Mage]]+Races!$F$71,Races!$E$71),6)  +  0.45 * MIN(MIN(TblMili[[#This Row],[Frost Mage]]+Races!$F$71,Races!$E$71),6)  +  0.2 * ( MAX(TblMili[[#This Row],[Frost Mage]]+Races!$F$71-6,0) + MAX(Races!$E$71-6,0) )  -  Races!$I$71</f>
        <v>#VALUE!</v>
      </c>
      <c r="CX74" s="148" t="n">
        <f aca="false">1.8 * MIN(MAX(TblMili[[#This Row],[Ice Elemental]]+Races!$E$71,Races!$F$71),6)  +  0.45 * MIN(MIN(TblMili[[#This Row],[Ice Elemental]]+Races!$E$71,Races!$F$71),6)  +  0.2 * ( MAX(TblMili[[#This Row],[Ice Elemental]]+Races!$E$71-6,0) + MAX(Races!$F$71-6,0) )  -  Races!$I$71</f>
        <v>0</v>
      </c>
      <c r="CY74" s="69" t="e">
        <f aca="false">TblMili[[#This Row],[Frost Mage bonus]]*TblMili[[#This Row],[Unit 3]]+TblMili[[#This Row],[Ice Elemental bonus]]*TblMili[[#This Row],[Unit 4]]</f>
        <v>#VALUE!</v>
      </c>
      <c r="CZ74" s="290"/>
      <c r="DA74" s="109" t="n">
        <f aca="false">MIN(SUM(TblConstr[[#This Row],[Plain]:[Water]])/TblMili[[#This Row],[Land]]/favorable_terrain_bonus/100,favorable_terrain_max)</f>
        <v>0</v>
      </c>
      <c r="DB74" s="290"/>
      <c r="DC7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4" s="132"/>
      <c r="DE74" s="291" t="n">
        <f aca="false">(TblMili[[#This Row],[Wizards]]+2*TblMili[[#This Row],[Archmages]])/TblConstr[[#This Row],[Land]]</f>
        <v>0</v>
      </c>
      <c r="DF74" s="291" t="n">
        <f aca="false">TblMili[[#This Row],[Raw (2)]]*(1+race_wizard_strength+IF(TblMili[[#This Row],[Hour]]&gt;72,tech_magical_weaponry_wiz*TblTech[[#This Row],[3-5]],0))</f>
        <v>0</v>
      </c>
    </row>
    <row r="75" customFormat="false" ht="12.75" hidden="false" customHeight="false" outlineLevel="0" collapsed="false">
      <c r="A75" s="128" t="n">
        <f aca="false">TblRezone[[#This Row],[Hour]]</f>
        <v>72</v>
      </c>
      <c r="B75" s="282" t="n">
        <f aca="false">SUM(TblMili[[#This Row],[Unit 1]:[Archmages]])+SUM(OFFSET(TblMili[[#This Row],[Train Unit 1]],-8,0):TblMili[[#This Row],[Train Unit 2]]) + SUM(OFFSET(TblMili[[#This Row],[Train Unit 3]],-11,0):TblMili[[#This Row],[Train AM]]) + TblMili[[#This Row],[Draftees]]</f>
        <v>2831</v>
      </c>
      <c r="C75" s="150" t="n">
        <f aca="false">TblPop[[#This Row],[Military%]]</f>
        <v>0.222895834973624</v>
      </c>
      <c r="D75" s="132"/>
      <c r="E75" s="151" t="n">
        <f aca="false">OFFSET(TblMili[[#This Row],[Unit 1]],-1,0) + OFFSET(TblMili[[#This Row],[Train Unit 1]],-9,0) - TblMili[[#This Row],[Release Unit 1]]</f>
        <v>0</v>
      </c>
      <c r="F75" s="151" t="n">
        <f aca="false">OFFSET(TblMili[[#This Row],[Unit 2]],-1,0) + OFFSET(TblMili[[#This Row],[Train Unit 2]],-9,0)-TblMili[[#This Row],[Release Unit 2]]</f>
        <v>0</v>
      </c>
      <c r="G75" s="151" t="n">
        <f aca="false">OFFSET(TblMili[[#This Row],[Unit 3]],-1,0) + OFFSET(TblMili[[#This Row],[Train Unit 3]],-12,0)-TblMili[[#This Row],[Release Unit 3]]</f>
        <v>0</v>
      </c>
      <c r="H75" s="151" t="n">
        <f aca="false">OFFSET(TblMili[[#This Row],[Unit 4]],-1,0) + OFFSET(TblMili[[#This Row],[Train Unit 4]],-12,0)-TblMili[[#This Row],[Release Unit 4]]</f>
        <v>0</v>
      </c>
      <c r="I75" s="151" t="n">
        <f aca="false">OFFSET(TblMili[[#This Row],[Spies]],-1,0) + OFFSET(TblMili[[#This Row],[Train Spies]],-12,0) - TblMili[[#This Row],[Release Spies]]-TblMili[[#This Row],[Train AS]]</f>
        <v>0</v>
      </c>
      <c r="J75" s="151" t="n">
        <f aca="false">OFFSET(TblMili[[#This Row],[Archspies]],-1,0) + OFFSET(TblMili[[#This Row],[Train AS]],-12,0) - TblMili[[#This Row],[Release AS]]</f>
        <v>0</v>
      </c>
      <c r="K75" s="151" t="n">
        <f aca="false">OFFSET(TblMili[[#This Row],[Wizards]],-1,0) + OFFSET(TblMili[[#This Row],[Train Wiz]],-12,0) - TblMili[[#This Row],[Release Wizards]]-TblMili[[#This Row],[Train AM]]</f>
        <v>0</v>
      </c>
      <c r="L75" s="151" t="n">
        <f aca="false">OFFSET(TblMili[[#This Row],[Archmages]],-1,0) + OFFSET(TblMili[[#This Row],[Train AM]],-12,0) - TblMili[[#This Row],[Release AM]]</f>
        <v>0</v>
      </c>
      <c r="M75" s="132"/>
      <c r="N75" s="69" t="e">
        <f aca="false">TblProd[[#This Row],[Networth]]</f>
        <v>#VALUE!</v>
      </c>
      <c r="O75" s="132"/>
      <c r="P7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5" s="285" t="e">
        <f aca="false">TblMili[[#This Row],[Raw]]*(1+TblMili[[#This Row],[Mods_Off]])</f>
        <v>#VALUE!</v>
      </c>
      <c r="S7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5" s="285" t="e">
        <f aca="false">TblMili[[#This Row],[Non Draft]]+TblMili[[#This Row],[Draftees]]</f>
        <v>#VALUE!</v>
      </c>
      <c r="U75" s="286" t="n">
        <f aca="false">race_defense + TblImps[[#This Row],[Walls]] + ROUND( MIN(gt_bonus*TblConstr[[#This Row],[Tot GT]]/TblConstr[[#This Row],[Land]],gt_bonus_cap), 4) + IF(TblMagic[[#This Row],[Active Howling]]&gt;0,howling_dp_bonus,IF(TblMagic[[#This Row],[Active Ares Call]]&gt;0,ares_call_bonus))</f>
        <v>0.0125</v>
      </c>
      <c r="V75" s="274" t="e">
        <f aca="false">TblMili[[#This Row],[Non Draft]] * (1 + TblMili[[#This Row],[Mods_Def]])</f>
        <v>#VALUE!</v>
      </c>
      <c r="W75" s="285" t="e">
        <f aca="false">TblMili[[#This Row],[Draft]] * (1 + TblMili[[#This Row],[Mods_Def]])</f>
        <v>#VALUE!</v>
      </c>
      <c r="X75" s="285" t="n">
        <f aca="false">TblConstr[[#This Row],[Land]]</f>
        <v>700</v>
      </c>
      <c r="Y75" s="287"/>
      <c r="Z75" s="109" t="n">
        <f aca="false">IF(TblMili[[#This Row],[Set]]&lt;&gt;"",TblMili[[#This Row],[Set]],OFFSET(TblMili[[#This Row],[Draftrate]],-1,0))</f>
        <v>0.9</v>
      </c>
      <c r="AA75" s="69" t="n">
        <f aca="false">OFFSET(TblMili[[#This Row],[Draftees]],-1,0)+OFFSET(TblPop[[#This Row],[Draft Growth]],-1,0) - SUM(TblMili[[#This Row],[Train Unit 1]:[Train Spies]],TblMili[[#This Row],[Train Wiz]]) - TblMili[[#This Row],[Release Draft]] + SUM(TblMili[[#This Row],[Release Unit 1]:[Release AM]]) - TblExplore[[#This Row],[Draftees (2)]]</f>
        <v>0</v>
      </c>
      <c r="AB75" s="146"/>
      <c r="AC75" s="130" t="n">
        <f aca="false">(TblConstr[[#This Row],[Tot Smi]]+TblConstr[[#This Row],[Dest Smi]])/(TblConstr[[#This Row],[Land]]-TblExplore[[#This Row],[Land Bonus]]*20)</f>
        <v>0.18</v>
      </c>
      <c r="AD75" s="128"/>
      <c r="AE75" s="282" t="n">
        <f aca="false">TblMili[[#This Row],[Hour]]</f>
        <v>72</v>
      </c>
      <c r="AF75" s="129" t="n">
        <f aca="false">TblExplore[[#This Row],[Time]]</f>
        <v>45432.7083333333</v>
      </c>
      <c r="AG75" s="182"/>
      <c r="AH75" s="152"/>
      <c r="AI75" s="182"/>
      <c r="AJ75" s="182" t="n">
        <v>100</v>
      </c>
      <c r="AK75" s="182"/>
      <c r="AL75" s="182"/>
      <c r="AM75" s="182"/>
      <c r="AN75" s="182"/>
      <c r="AO75" s="132"/>
      <c r="AP75" s="69" t="n">
        <f aca="false">TblProd[[#This Row],[Platinum]]</f>
        <v>18546</v>
      </c>
      <c r="AQ75" s="69" t="n">
        <f aca="false">INDEX(TblProd[[#Headers],[Lumber]]:TblProd[[#This Row],[Ore]],COUNTA(TblProd[[#Headers],[Lumber]]:TblProd[[#This Row],[Lumber]]),MATCH(Military!$AQ$2,TblProd[[#Headers],[Lumber]:[Ore]],0))</f>
        <v>0</v>
      </c>
      <c r="AR7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60800</v>
      </c>
      <c r="AS75" s="69" t="n">
        <f aca="false">TblMili[[#This Row],[Train Unit 1]]*TblMili[[#This Row],[OP Ore]]+TblMili[[#This Row],[Train Unit 2]]*TblMili[[#This Row],[DP Ore]]+TblMili[[#This Row],[Train Unit 3]]*TblMili[[#This Row],[E1 Ore]]+TblMili[[#This Row],[Train Unit 4]]*TblMili[[#This Row],[E2 Ore]]</f>
        <v>0</v>
      </c>
      <c r="AT75" s="132" t="n">
        <f aca="false">TblMili[[#This Row],[Hour]]</f>
        <v>72</v>
      </c>
      <c r="AU75" s="144" t="n">
        <f aca="false">TblMili[[#This Row],[Time]]</f>
        <v>45432.7083333333</v>
      </c>
      <c r="AV75" s="69" t="n">
        <f aca="false">TblMili[[#This Row],[Draftees]]</f>
        <v>0</v>
      </c>
      <c r="AW75" s="182"/>
      <c r="AX75" s="182"/>
      <c r="AY75" s="182"/>
      <c r="AZ75" s="182"/>
      <c r="BA75" s="182"/>
      <c r="BB75" s="182"/>
      <c r="BC75" s="182"/>
      <c r="BD75" s="182"/>
      <c r="BE75" s="182"/>
      <c r="BF75" s="132"/>
      <c r="BG75" s="150" t="n">
        <f aca="false">TblConstr[[#This Row],[Tot WG]]/TblConstr[[#This Row],[Land]]</f>
        <v>0</v>
      </c>
      <c r="BH75" s="150" t="n">
        <f aca="false">TblConstr[[#This Row],[Tot Hav]]/TblConstr[[#This Row],[Land]]</f>
        <v>0</v>
      </c>
      <c r="BI75" s="69" t="n">
        <f aca="false">ROUNDUP((1-MIN(TblMili[[#This Row],[Smithies]]*smithy_bonus,smithy_bonus_cap) + tech_3_5*TblTech[[#This Row],[3-5]] + tech_5_3*TblTech[[#This Row],[5-3]] + tech_5_5*TblTech[[#This Row],[5-5]])*spec_op_plat,0)</f>
        <v>192</v>
      </c>
      <c r="BJ75" s="69" t="n">
        <f aca="false">ROUNDUP(IF(race="Gnome",1,(1-MIN(TblMili[[#This Row],[Smithies]]*smithy_bonus,smithy_bonus_cap) + tech_3_5*TblTech[[#This Row],[3-5]] + tech_5_3*TblTech[[#This Row],[5-3]] + tech_5_5*TblTech[[#This Row],[5-5]]))*spec_op_ore,0)</f>
        <v>0</v>
      </c>
      <c r="BK75" s="69" t="n">
        <f aca="false">ROUNDUP((1-MIN(TblMili[[#This Row],[Smithies]]*smithy_bonus,smithy_bonus_cap) + tech_3_5*TblTech[[#This Row],[3-5]] + tech_5_3*TblTech[[#This Row],[5-3]] + tech_5_5*TblTech[[#This Row],[5-5]])*spec_dp_plat,0)</f>
        <v>192</v>
      </c>
      <c r="BL75" s="69" t="n">
        <f aca="false">ROUNDUP(IF(race="Gnome",1,(1-MIN(TblMili[[#This Row],[Smithies]]*smithy_bonus,smithy_bonus_cap) + tech_3_5*TblTech[[#This Row],[3-5]] + tech_5_3*TblTech[[#This Row],[5-3]] + tech_5_5*TblTech[[#This Row],[5-5]]))*spec_dp_ore,0)</f>
        <v>0</v>
      </c>
      <c r="BM75" s="69" t="n">
        <f aca="false">ROUNDUP((1-MIN(TblMili[[#This Row],[Smithies]]*smithy_bonus,smithy_bonus_cap) + tech_3_5*TblTech[[#This Row],[3-5]] + tech_5_3*TblTech[[#This Row],[5-3]] + tech_5_5*TblTech[[#This Row],[5-5]])*elite1_plat,0)</f>
        <v>592</v>
      </c>
      <c r="BN75" s="69" t="n">
        <f aca="false">ROUNDUP(IF(race="Gnome",1,(1-MIN(TblMili[[#This Row],[Smithies]]*smithy_bonus,smithy_bonus_cap) + tech_3_5*TblTech[[#This Row],[3-5]] + tech_5_3*TblTech[[#This Row],[5-3]] + tech_5_5*TblTech[[#This Row],[5-5]]))*elite1_ore,0)</f>
        <v>0</v>
      </c>
      <c r="BO75" s="69" t="n">
        <f aca="false">ROUNDUP((1-MIN(TblMili[[#This Row],[Smithies]]*smithy_bonus,smithy_bonus_cap) + tech_3_5*TblTech[[#This Row],[3-5]] + tech_5_3*TblTech[[#This Row],[5-3]] + tech_5_5*TblTech[[#This Row],[5-5]])*elite2_plat,0)</f>
        <v>608</v>
      </c>
      <c r="BP75" s="69" t="n">
        <f aca="false">ROUNDUP(IF(race="Gnome",1,(1-MIN(TblMili[[#This Row],[Smithies]]*smithy_bonus,smithy_bonus_cap) + tech_3_5*TblTech[[#This Row],[3-5]] + tech_5_3*TblTech[[#This Row],[5-3]] + tech_5_5*TblTech[[#This Row],[5-5]]))*elite2_ore,0)</f>
        <v>0</v>
      </c>
      <c r="BQ75" s="69" t="n">
        <f aca="false">ROUNDUP((1-MIN(ROUND(fh_spy_cost_red*TblMili[[#This Row],[FH''s]],4),fh_spy_cost_cap)+ tech_1_9*TblTech[[#This Row],[1-9]] + tech_9_1*TblTech[[#This Row],[9-1]])*spy_plat,0)</f>
        <v>500</v>
      </c>
      <c r="BR75" s="69" t="n">
        <f aca="false">ROUNDUP((1-MIN(ROUND(fh_spy_cost_red*TblMili[[#This Row],[FH''s]],4),fh_spy_cost_cap)+ tech_1_9*TblTech[[#This Row],[1-9]] + tech_9_1*TblTech[[#This Row],[9-1]])*archspy_plat,0)</f>
        <v>1000</v>
      </c>
      <c r="BS75" s="69" t="n">
        <f aca="false">ROUNDUP((1-MIN(ROUND(wg_wiz_cost_bonus*TblMili[[#This Row],[WG''s]],4),wg_wiz_cost_cap) + tech_1_9_2*TblTech[[#This Row],[1-9]] + tech_9_1_2*TblTech[[#This Row],[9-1]])*wizard_plat,0)</f>
        <v>500</v>
      </c>
      <c r="BT75" s="69" t="n">
        <f aca="false">ROUNDUP((1-MIN(ROUND(wg_wiz_cost_bonus*TblMili[[#This Row],[WG''s]],4),wg_wiz_cost_cap) + tech_1_9_2*TblTech[[#This Row],[1-9]] + tech_9_1_2*TblTech[[#This Row],[9-1]])*archmage_plat,0)</f>
        <v>1000</v>
      </c>
      <c r="BU75" s="132"/>
      <c r="BV75" s="150" t="e">
        <f aca="false">TblConstr[[#This Row],[Homeland]]/TblConstr[[#This Row],[Land]]</f>
        <v>#VALUE!</v>
      </c>
      <c r="BW75" s="150" t="n">
        <f aca="false">TblMili[[#This Row],[WG''s]]</f>
        <v>0</v>
      </c>
      <c r="BX75" s="288" t="e">
        <f aca="false">IF(mystic_cap="none",TblMili[[#This Row],[Hill]]/mystic_bonus,MIN(mystic_cap,TblMili[[#This Row],[Hill]]/mystic_bonus))</f>
        <v>#VALUE!</v>
      </c>
      <c r="BY75" s="288" t="e">
        <f aca="false">IF(druid_op_cap="none",TblMili[[#This Row],[Hill]]/druid_op_bonus,MIN(druid_op_cap,TblMili[[#This Row],[Hill]]/druid_op_bonus))</f>
        <v>#VALUE!</v>
      </c>
      <c r="BZ75" s="288" t="e">
        <f aca="false">IF(druid_dp_cap="none",TblMili[[#This Row],[Hill]]/druid_dp_bonus,MIN(druid_dp_cap,TblMili[[#This Row],[Hill]]/druid_dp_bonus))</f>
        <v>#VALUE!</v>
      </c>
      <c r="CA75" s="288" t="e">
        <f aca="false">MIN(dryad_cap,TblMili[[#This Row],[Hill]]/dryad_bonus)</f>
        <v>#VALUE!</v>
      </c>
      <c r="CB75" s="288" t="e">
        <f aca="false">MIN(rocka_cap,TblMili[[#This Row],[Hill]]/rocka_bonus)</f>
        <v>#VALUE!</v>
      </c>
      <c r="CC75" s="288" t="n">
        <f aca="false">MIN(adept_op_cap,TblMili[[#This Row],[WG]]/adept_op_bonus)</f>
        <v>0</v>
      </c>
      <c r="CD75" s="288" t="n">
        <f aca="false">MIN(adept_dp_cap,TblMili[[#This Row],[WG]]/adept_dp_bonus)</f>
        <v>0</v>
      </c>
      <c r="CE75" s="69" t="n">
        <f aca="false">MIN(TblMili[[#This Row],[Unit 3]],TblMili[[#This Row],[Unit 2]])*2</f>
        <v>0</v>
      </c>
      <c r="CF75" s="69" t="n">
        <f aca="false">MIN(TblMili[[#This Row],[Unit 1]],TblMili[[#This Row],[Unit 4]])*2</f>
        <v>0</v>
      </c>
      <c r="CG75" s="288" t="e">
        <f aca="false">MIN(frost_mage_cap,TblMili[[#This Row],[Hill]]/frost_mage_bonus)</f>
        <v>#VALUE!</v>
      </c>
      <c r="CH75" s="151" t="n">
        <f aca="false">MIN(ice_elem_cap,TblMili[[#This Row],[Raw (2)]]*ice_elem_bonus)</f>
        <v>0</v>
      </c>
      <c r="CI75" s="288" t="n">
        <f aca="false">MIN(bone_breaker_cap,250/bone_breaker_bonus)</f>
        <v>0.833333333333333</v>
      </c>
      <c r="CJ75" s="288" t="e">
        <f aca="false">MIN(nox_nightshade_cap,TblConstr[[#This Row],[Homeland]]/TblConstr[[#This Row],[Land]]/nox_nightshade_swamp_bonus)</f>
        <v>#VALUE!</v>
      </c>
      <c r="CK75" s="289"/>
      <c r="CL75" s="289"/>
      <c r="CM75" s="289"/>
      <c r="CN75" s="288" t="e">
        <f aca="false">MIN(6,TblMili[[#This Row],[Mystic]]+Races!$F$19)*1.8 +  IF(TblMili[[#This Row],[Mystic]]+Races!$F$19&gt;6,(TblMili[[#This Row],[Mystic]]+Races!$F$19-6)*0.2,0) - Races!$I$19</f>
        <v>#VALUE!</v>
      </c>
      <c r="CO75" s="288" t="e">
        <f aca="false">1.8 * MIN(MAX(TblMili[[#This Row],[Druid (op)]]+Races!$E$20,TblMili[[#This Row],[Druid (dp)]]+Races!$F$20),6)  +  0.45 * MIN(MIN(TblMili[[#This Row],[Druid (op)]]+Races!$E$20,TblMili[[#This Row],[Druid (dp)]]+Races!$F$20),6)  +  0.2 * ( MAX(TblMili[[#This Row],[Druid (op)]]+Races!$E$20-6,0) + MAX(TblMili[[#This Row],[Druid (dp)]]+Races!$F$20-6,0) )  -  Races!$I$20</f>
        <v>#VALUE!</v>
      </c>
      <c r="CP75" s="69" t="e">
        <f aca="false">TblMili[[#This Row],[Mystic bonus]]*TblMili[[#This Row],[Unit 3]]+TblMili[[#This Row],[Druid bonus]]*TblMili[[#This Row],[Unit 4]]</f>
        <v>#VALUE!</v>
      </c>
      <c r="CQ75" s="148" t="e">
        <f aca="false">MIN(6,TblMili[[#This Row],[Dryad]]+Races!$F$35)*1.8 +  IF(TblMili[[#This Row],[Dryad]]+Races!$F$35&gt;6,(TblMili[[#This Row],[Dryad]]+Races!$F$35-6)*0.2,0) - Races!$I$19</f>
        <v>#VALUE!</v>
      </c>
      <c r="CR75" s="69" t="e">
        <f aca="false">sylvan*(TblMili[[#This Row],[Mystic bonus]]*TblMili[[#This Row],[Unit 3]])</f>
        <v>#VALUE!</v>
      </c>
      <c r="CS75" s="148" t="e">
        <f aca="false">1.8 * MIN(MAX(Races!$E$27,TblMili[[#This Row],[Rockapult]]+Races!$F$27),6)  +  0.45 * MIN(MIN(Races!$E$27,TblMili[[#This Row],[Rockapult]]+Races!$F$27),6)  +  0.2 * ( MAX(Races!$E$27-6,0) + MAX(TblMili[[#This Row],[Rockapult]]+Races!$F$27-6,0) )  -  Races!$I$20</f>
        <v>#VALUE!</v>
      </c>
      <c r="CT75" s="69" t="e">
        <f aca="false">gnome*(TblMili[[#This Row],[Rockapult bonus]]*TblMili[[#This Row],[Unit 3]])</f>
        <v>#VALUE!</v>
      </c>
      <c r="CU75" s="148" t="n">
        <f aca="false">1.8 * MIN(MAX(TblMili[[#This Row],[Spellblade]]+Races!$E$47,TblMili[[#This Row],[Adept-DP]]+Races!$F$47),6)  +  0.45 * MIN(MIN(TblMili[[#This Row],[Spellblade]]+Races!$E$47,TblMili[[#This Row],[Adept-DP]]+Races!$F$47),6)  +  0.2 * ( MAX(TblMili[[#This Row],[Spellblade]]+Races!$E$47-6,0) + MAX(TblMili[[#This Row],[Adept-DP]]+Races!$F$47-6,0) )  -  Races!$I$47</f>
        <v>0</v>
      </c>
      <c r="CV75" s="69" t="n">
        <f aca="false">dark_elf*(TblMili[[#This Row],[Adept bonus]]*TblMili[[#This Row],[Unit 3]])</f>
        <v>0</v>
      </c>
      <c r="CW75" s="148" t="e">
        <f aca="false">1.8 * MIN(MAX(TblMili[[#This Row],[Frost Mage]]+Races!$F$71,Races!$E$71),6)  +  0.45 * MIN(MIN(TblMili[[#This Row],[Frost Mage]]+Races!$F$71,Races!$E$71),6)  +  0.2 * ( MAX(TblMili[[#This Row],[Frost Mage]]+Races!$F$71-6,0) + MAX(Races!$E$71-6,0) )  -  Races!$I$71</f>
        <v>#VALUE!</v>
      </c>
      <c r="CX75" s="148" t="n">
        <f aca="false">1.8 * MIN(MAX(TblMili[[#This Row],[Ice Elemental]]+Races!$E$71,Races!$F$71),6)  +  0.45 * MIN(MIN(TblMili[[#This Row],[Ice Elemental]]+Races!$E$71,Races!$F$71),6)  +  0.2 * ( MAX(TblMili[[#This Row],[Ice Elemental]]+Races!$E$71-6,0) + MAX(Races!$F$71-6,0) )  -  Races!$I$71</f>
        <v>0</v>
      </c>
      <c r="CY75" s="69" t="e">
        <f aca="false">TblMili[[#This Row],[Frost Mage bonus]]*TblMili[[#This Row],[Unit 3]]+TblMili[[#This Row],[Ice Elemental bonus]]*TblMili[[#This Row],[Unit 4]]</f>
        <v>#VALUE!</v>
      </c>
      <c r="CZ75" s="290"/>
      <c r="DA75" s="109" t="n">
        <f aca="false">MIN(SUM(TblConstr[[#This Row],[Plain]:[Water]])/TblMili[[#This Row],[Land]]/favorable_terrain_bonus/100,favorable_terrain_max)</f>
        <v>0</v>
      </c>
      <c r="DB75" s="290"/>
      <c r="DC7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5" s="132"/>
      <c r="DE75" s="291" t="n">
        <f aca="false">(TblMili[[#This Row],[Wizards]]+2*TblMili[[#This Row],[Archmages]])/TblConstr[[#This Row],[Land]]</f>
        <v>0</v>
      </c>
      <c r="DF75" s="291" t="n">
        <f aca="false">TblMili[[#This Row],[Raw (2)]]*(1+race_wizard_strength+IF(TblMili[[#This Row],[Hour]]&gt;72,tech_magical_weaponry_wiz*TblTech[[#This Row],[3-5]],0))</f>
        <v>0</v>
      </c>
    </row>
    <row r="76" customFormat="false" ht="12.75" hidden="false" customHeight="false" outlineLevel="0" collapsed="false">
      <c r="A76" s="133" t="n">
        <f aca="false">TblRezone[[#This Row],[Hour]]</f>
        <v>73</v>
      </c>
      <c r="B76" s="293" t="n">
        <f aca="false">SUM(TblMili[[#This Row],[Unit 1]:[Archmages]])+SUM(OFFSET(TblMili[[#This Row],[Train Unit 1]],-8,0):TblMili[[#This Row],[Train Unit 2]]) + SUM(OFFSET(TblMili[[#This Row],[Train Unit 3]],-11,0):TblMili[[#This Row],[Train AM]]) + TblMili[[#This Row],[Draftees]]</f>
        <v>2930</v>
      </c>
      <c r="C76" s="272" t="n">
        <f aca="false">TblPop[[#This Row],[Military%]]</f>
        <v>0.230690496811275</v>
      </c>
      <c r="D76" s="138"/>
      <c r="E76" s="239" t="n">
        <f aca="false">OFFSET(TblMili[[#This Row],[Unit 1]],-1,0) + OFFSET(TblMili[[#This Row],[Train Unit 1]],-9,0) - TblMili[[#This Row],[Release Unit 1]]</f>
        <v>0</v>
      </c>
      <c r="F76" s="239" t="n">
        <f aca="false">OFFSET(TblMili[[#This Row],[Unit 2]],-1,0) + OFFSET(TblMili[[#This Row],[Train Unit 2]],-9,0)-TblMili[[#This Row],[Release Unit 2]]</f>
        <v>699</v>
      </c>
      <c r="G76" s="226" t="n">
        <f aca="false">OFFSET(TblMili[[#This Row],[Unit 3]],-1,0) + OFFSET(TblMili[[#This Row],[Train Unit 3]],-12,0)-TblMili[[#This Row],[Release Unit 3]]</f>
        <v>625</v>
      </c>
      <c r="H76" s="239" t="n">
        <f aca="false">OFFSET(TblMili[[#This Row],[Unit 4]],-1,0) + OFFSET(TblMili[[#This Row],[Train Unit 4]],-12,0)-TblMili[[#This Row],[Release Unit 4]]</f>
        <v>638</v>
      </c>
      <c r="I76" s="239" t="n">
        <f aca="false">OFFSET(TblMili[[#This Row],[Spies]],-1,0) + OFFSET(TblMili[[#This Row],[Train Spies]],-12,0) - TblMili[[#This Row],[Release Spies]]-TblMili[[#This Row],[Train AS]]</f>
        <v>25</v>
      </c>
      <c r="J76" s="239" t="n">
        <f aca="false">OFFSET(TblMili[[#This Row],[Archspies]],-1,0) + OFFSET(TblMili[[#This Row],[Train AS]],-12,0) - TblMili[[#This Row],[Release AS]]</f>
        <v>0</v>
      </c>
      <c r="K76" s="239" t="n">
        <f aca="false">OFFSET(TblMili[[#This Row],[Wizards]],-1,0) + OFFSET(TblMili[[#This Row],[Train Wiz]],-12,0) - TblMili[[#This Row],[Release Wizards]]-TblMili[[#This Row],[Train AM]]</f>
        <v>25</v>
      </c>
      <c r="L76" s="239" t="n">
        <f aca="false">OFFSET(TblMili[[#This Row],[Archmages]],-1,0) + OFFSET(TblMili[[#This Row],[Train AM]],-12,0) - TblMili[[#This Row],[Release AM]]</f>
        <v>0</v>
      </c>
      <c r="M76" s="138"/>
      <c r="N76" s="226" t="e">
        <f aca="false">TblProd[[#This Row],[Networth]]</f>
        <v>#VALUE!</v>
      </c>
      <c r="O76" s="138"/>
      <c r="P76" s="294" t="e">
        <f aca="false">TblMili[[#This Row],[Unit 1]]*spec_op+TblMili[[#This Row],[Unit 3]]*(elite1_base_op)+TblMili[[#This Row],[Unit 4]]*(elite2_base_op+dark_elf*TblMili[[#This Row],[Spellblade]]+icekin*TblMili[[#This Row],[Ice Elemental]]+woodie*TblMili[[#This Row],[Druid (op)]]+orc*TblMili[[#This Row],[Orc]])+kobold*TblMili[[#This Row],[Overlords]]</f>
        <v>#VALUE!</v>
      </c>
      <c r="Q76" s="272"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6" s="294" t="e">
        <f aca="false">TblMili[[#This Row],[Raw]]*(1+TblMili[[#This Row],[Mods_Off]])</f>
        <v>#VALUE!</v>
      </c>
      <c r="S76" s="294"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6" s="294" t="e">
        <f aca="false">TblMili[[#This Row],[Non Draft]]+TblMili[[#This Row],[Draftees]]</f>
        <v>#VALUE!</v>
      </c>
      <c r="U76" s="295" t="n">
        <f aca="false">race_defense + TblImps[[#This Row],[Walls]] + ROUND( MIN(gt_bonus*TblConstr[[#This Row],[Tot GT]]/TblConstr[[#This Row],[Land]],gt_bonus_cap), 4) + IF(TblMagic[[#This Row],[Active Howling]]&gt;0,howling_dp_bonus,IF(TblMagic[[#This Row],[Active Ares Call]]&gt;0,ares_call_bonus))</f>
        <v>0.2375</v>
      </c>
      <c r="V76" s="296" t="e">
        <f aca="false">TblMili[[#This Row],[Non Draft]] * (1 + TblMili[[#This Row],[Mods_Def]])</f>
        <v>#VALUE!</v>
      </c>
      <c r="W76" s="294" t="e">
        <f aca="false">TblMili[[#This Row],[Draft]] * (1 + TblMili[[#This Row],[Mods_Def]])</f>
        <v>#VALUE!</v>
      </c>
      <c r="X76" s="294" t="n">
        <f aca="false">TblConstr[[#This Row],[Land]]</f>
        <v>700</v>
      </c>
      <c r="Y76" s="297"/>
      <c r="Z76" s="298" t="n">
        <f aca="false">IF(TblMili[[#This Row],[Set]]&lt;&gt;"",TblMili[[#This Row],[Set]],OFFSET(TblMili[[#This Row],[Draftrate]],-1,0))</f>
        <v>0.9</v>
      </c>
      <c r="AA76" s="69" t="n">
        <f aca="false">OFFSET(TblMili[[#This Row],[Draftees]],-1,0)+OFFSET(TblPop[[#This Row],[Draft Growth]],-1,0) - SUM(TblMili[[#This Row],[Train Unit 1]:[Train Spies]],TblMili[[#This Row],[Train Wiz]]) - TblMili[[#This Row],[Release Draft]] + SUM(TblMili[[#This Row],[Release Unit 1]:[Release AM]]) - TblExplore[[#This Row],[Draftees (2)]]</f>
        <v>0</v>
      </c>
      <c r="AB76" s="157"/>
      <c r="AC76" s="225" t="n">
        <f aca="false">(TblConstr[[#This Row],[Tot Smi]]+TblConstr[[#This Row],[Dest Smi]])/(TblConstr[[#This Row],[Land]]-TblExplore[[#This Row],[Land Bonus]]*20)</f>
        <v>0.18</v>
      </c>
      <c r="AD76" s="133"/>
      <c r="AE76" s="293" t="n">
        <f aca="false">TblMili[[#This Row],[Hour]]</f>
        <v>73</v>
      </c>
      <c r="AF76" s="134" t="n">
        <f aca="false">TblExplore[[#This Row],[Time]]</f>
        <v>45432.75</v>
      </c>
      <c r="AG76" s="223"/>
      <c r="AH76" s="152"/>
      <c r="AI76" s="182" t="n">
        <v>25</v>
      </c>
      <c r="AJ76" s="223" t="n">
        <v>74</v>
      </c>
      <c r="AK76" s="223"/>
      <c r="AL76" s="223"/>
      <c r="AM76" s="223"/>
      <c r="AN76" s="223"/>
      <c r="AO76" s="138"/>
      <c r="AP76" s="226" t="n">
        <f aca="false">TblProd[[#This Row],[Platinum]]</f>
        <v>5612</v>
      </c>
      <c r="AQ76" s="226" t="n">
        <f aca="false">INDEX(TblProd[[#Headers],[Lumber]]:TblProd[[#This Row],[Ore]],COUNTA(TblProd[[#Headers],[Lumber]]:TblProd[[#This Row],[Lumber]]),MATCH(Military!$AQ$2,TblProd[[#Headers],[Lumber]:[Ore]],0))</f>
        <v>0</v>
      </c>
      <c r="AR76" s="226"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59792</v>
      </c>
      <c r="AS76" s="226" t="n">
        <f aca="false">TblMili[[#This Row],[Train Unit 1]]*TblMili[[#This Row],[OP Ore]]+TblMili[[#This Row],[Train Unit 2]]*TblMili[[#This Row],[DP Ore]]+TblMili[[#This Row],[Train Unit 3]]*TblMili[[#This Row],[E1 Ore]]+TblMili[[#This Row],[Train Unit 4]]*TblMili[[#This Row],[E2 Ore]]</f>
        <v>0</v>
      </c>
      <c r="AT76" s="138" t="n">
        <f aca="false">TblMili[[#This Row],[Hour]]</f>
        <v>73</v>
      </c>
      <c r="AU76" s="155" t="n">
        <f aca="false">TblMili[[#This Row],[Time]]</f>
        <v>45432.75</v>
      </c>
      <c r="AV76" s="226" t="n">
        <f aca="false">TblMili[[#This Row],[Draftees]]</f>
        <v>0</v>
      </c>
      <c r="AW76" s="161"/>
      <c r="AX76" s="223"/>
      <c r="AY76" s="223"/>
      <c r="AZ76" s="223"/>
      <c r="BA76" s="223"/>
      <c r="BB76" s="223"/>
      <c r="BC76" s="223"/>
      <c r="BD76" s="223"/>
      <c r="BE76" s="223"/>
      <c r="BF76" s="138"/>
      <c r="BG76" s="272" t="n">
        <f aca="false">TblConstr[[#This Row],[Tot WG]]/TblConstr[[#This Row],[Land]]</f>
        <v>0</v>
      </c>
      <c r="BH76" s="272" t="n">
        <f aca="false">TblConstr[[#This Row],[Tot Hav]]/TblConstr[[#This Row],[Land]]</f>
        <v>0</v>
      </c>
      <c r="BI76" s="226" t="n">
        <f aca="false">ROUNDUP((1-MIN(TblMili[[#This Row],[Smithies]]*smithy_bonus,smithy_bonus_cap) + tech_3_5*TblTech[[#This Row],[3-5]] + tech_5_3*TblTech[[#This Row],[5-3]] + tech_5_5*TblTech[[#This Row],[5-5]])*spec_op_plat,0)</f>
        <v>192</v>
      </c>
      <c r="BJ76" s="226" t="n">
        <f aca="false">ROUNDUP(IF(race="Gnome",1,(1-MIN(TblMili[[#This Row],[Smithies]]*smithy_bonus,smithy_bonus_cap) + tech_3_5*TblTech[[#This Row],[3-5]] + tech_5_3*TblTech[[#This Row],[5-3]] + tech_5_5*TblTech[[#This Row],[5-5]]))*spec_op_ore,0)</f>
        <v>0</v>
      </c>
      <c r="BK76" s="226" t="n">
        <f aca="false">ROUNDUP((1-MIN(TblMili[[#This Row],[Smithies]]*smithy_bonus,smithy_bonus_cap) + tech_3_5*TblTech[[#This Row],[3-5]] + tech_5_3*TblTech[[#This Row],[5-3]] + tech_5_5*TblTech[[#This Row],[5-5]])*spec_dp_plat,0)</f>
        <v>192</v>
      </c>
      <c r="BL76" s="226" t="n">
        <f aca="false">ROUNDUP(IF(race="Gnome",1,(1-MIN(TblMili[[#This Row],[Smithies]]*smithy_bonus,smithy_bonus_cap) + tech_3_5*TblTech[[#This Row],[3-5]] + tech_5_3*TblTech[[#This Row],[5-3]] + tech_5_5*TblTech[[#This Row],[5-5]]))*spec_dp_ore,0)</f>
        <v>0</v>
      </c>
      <c r="BM76" s="226" t="n">
        <f aca="false">ROUNDUP((1-MIN(TblMili[[#This Row],[Smithies]]*smithy_bonus,smithy_bonus_cap) + tech_3_5*TblTech[[#This Row],[3-5]] + tech_5_3*TblTech[[#This Row],[5-3]] + tech_5_5*TblTech[[#This Row],[5-5]])*elite1_plat,0)</f>
        <v>592</v>
      </c>
      <c r="BN76" s="226" t="n">
        <f aca="false">ROUNDUP(IF(race="Gnome",1,(1-MIN(TblMili[[#This Row],[Smithies]]*smithy_bonus,smithy_bonus_cap) + tech_3_5*TblTech[[#This Row],[3-5]] + tech_5_3*TblTech[[#This Row],[5-3]] + tech_5_5*TblTech[[#This Row],[5-5]]))*elite1_ore,0)</f>
        <v>0</v>
      </c>
      <c r="BO76" s="226" t="n">
        <f aca="false">ROUNDUP((1-MIN(TblMili[[#This Row],[Smithies]]*smithy_bonus,smithy_bonus_cap) + tech_3_5*TblTech[[#This Row],[3-5]] + tech_5_3*TblTech[[#This Row],[5-3]] + tech_5_5*TblTech[[#This Row],[5-5]])*elite2_plat,0)</f>
        <v>608</v>
      </c>
      <c r="BP76" s="226" t="n">
        <f aca="false">ROUNDUP(IF(race="Gnome",1,(1-MIN(TblMili[[#This Row],[Smithies]]*smithy_bonus,smithy_bonus_cap) + tech_3_5*TblTech[[#This Row],[3-5]] + tech_5_3*TblTech[[#This Row],[5-3]] + tech_5_5*TblTech[[#This Row],[5-5]]))*elite2_ore,0)</f>
        <v>0</v>
      </c>
      <c r="BQ76" s="226" t="n">
        <f aca="false">ROUNDUP((1-MIN(ROUND(fh_spy_cost_red*TblMili[[#This Row],[FH''s]],4),fh_spy_cost_cap)+ tech_1_9*TblTech[[#This Row],[1-9]] + tech_9_1*TblTech[[#This Row],[9-1]])*spy_plat,0)</f>
        <v>500</v>
      </c>
      <c r="BR76" s="226" t="n">
        <f aca="false">ROUNDUP((1-MIN(ROUND(fh_spy_cost_red*TblMili[[#This Row],[FH''s]],4),fh_spy_cost_cap)+ tech_1_9*TblTech[[#This Row],[1-9]] + tech_9_1*TblTech[[#This Row],[9-1]])*archspy_plat,0)</f>
        <v>1000</v>
      </c>
      <c r="BS76" s="226" t="n">
        <f aca="false">ROUNDUP((1-MIN(ROUND(wg_wiz_cost_bonus*TblMili[[#This Row],[WG''s]],4),wg_wiz_cost_cap) + tech_1_9_2*TblTech[[#This Row],[1-9]] + tech_9_1_2*TblTech[[#This Row],[9-1]])*wizard_plat,0)</f>
        <v>500</v>
      </c>
      <c r="BT76" s="226" t="n">
        <f aca="false">ROUNDUP((1-MIN(ROUND(wg_wiz_cost_bonus*TblMili[[#This Row],[WG''s]],4),wg_wiz_cost_cap) + tech_1_9_2*TblTech[[#This Row],[1-9]] + tech_9_1_2*TblTech[[#This Row],[9-1]])*archmage_plat,0)</f>
        <v>1000</v>
      </c>
      <c r="BU76" s="138"/>
      <c r="BV76" s="272" t="e">
        <f aca="false">TblConstr[[#This Row],[Homeland]]/TblConstr[[#This Row],[Land]]</f>
        <v>#VALUE!</v>
      </c>
      <c r="BW76" s="272" t="n">
        <f aca="false">TblMili[[#This Row],[WG''s]]</f>
        <v>0</v>
      </c>
      <c r="BX76" s="299" t="e">
        <f aca="false">IF(mystic_cap="none",TblMili[[#This Row],[Hill]]/mystic_bonus,MIN(mystic_cap,TblMili[[#This Row],[Hill]]/mystic_bonus))</f>
        <v>#VALUE!</v>
      </c>
      <c r="BY76" s="299" t="e">
        <f aca="false">IF(druid_op_cap="none",TblMili[[#This Row],[Hill]]/druid_op_bonus,MIN(druid_op_cap,TblMili[[#This Row],[Hill]]/druid_op_bonus))</f>
        <v>#VALUE!</v>
      </c>
      <c r="BZ76" s="299" t="e">
        <f aca="false">IF(druid_dp_cap="none",TblMili[[#This Row],[Hill]]/druid_dp_bonus,MIN(druid_dp_cap,TblMili[[#This Row],[Hill]]/druid_dp_bonus))</f>
        <v>#VALUE!</v>
      </c>
      <c r="CA76" s="299" t="e">
        <f aca="false">MIN(dryad_cap,TblMili[[#This Row],[Hill]]/dryad_bonus)</f>
        <v>#VALUE!</v>
      </c>
      <c r="CB76" s="299" t="e">
        <f aca="false">MIN(rocka_cap,TblMili[[#This Row],[Hill]]/rocka_bonus)</f>
        <v>#VALUE!</v>
      </c>
      <c r="CC76" s="299" t="n">
        <f aca="false">MIN(adept_op_cap,TblMili[[#This Row],[WG]]/adept_op_bonus)</f>
        <v>0</v>
      </c>
      <c r="CD76" s="299" t="n">
        <f aca="false">MIN(adept_dp_cap,TblMili[[#This Row],[WG]]/adept_dp_bonus)</f>
        <v>0</v>
      </c>
      <c r="CE76" s="226" t="n">
        <f aca="false">MIN(TblMili[[#This Row],[Unit 3]],TblMili[[#This Row],[Unit 2]])*2</f>
        <v>1250</v>
      </c>
      <c r="CF76" s="226" t="n">
        <f aca="false">MIN(TblMili[[#This Row],[Unit 1]],TblMili[[#This Row],[Unit 4]])*2</f>
        <v>0</v>
      </c>
      <c r="CG76" s="299" t="e">
        <f aca="false">MIN(frost_mage_cap,TblMili[[#This Row],[Hill]]/frost_mage_bonus)</f>
        <v>#VALUE!</v>
      </c>
      <c r="CH76" s="239" t="n">
        <f aca="false">MIN(ice_elem_cap,TblMili[[#This Row],[Raw (2)]]*ice_elem_bonus)</f>
        <v>0.0357142857142857</v>
      </c>
      <c r="CI76" s="299" t="n">
        <f aca="false">MIN(bone_breaker_cap,250/bone_breaker_bonus)</f>
        <v>0.833333333333333</v>
      </c>
      <c r="CJ76" s="299" t="e">
        <f aca="false">MIN(nox_nightshade_cap,TblConstr[[#This Row],[Homeland]]/TblConstr[[#This Row],[Land]]/nox_nightshade_swamp_bonus)</f>
        <v>#VALUE!</v>
      </c>
      <c r="CK76" s="300"/>
      <c r="CL76" s="300"/>
      <c r="CM76" s="300"/>
      <c r="CN76" s="299" t="e">
        <f aca="false">MIN(6,TblMili[[#This Row],[Mystic]]+Races!$F$19)*1.8 +  IF(TblMili[[#This Row],[Mystic]]+Races!$F$19&gt;6,(TblMili[[#This Row],[Mystic]]+Races!$F$19-6)*0.2,0) - Races!$I$19</f>
        <v>#VALUE!</v>
      </c>
      <c r="CO76" s="299" t="e">
        <f aca="false">1.8 * MIN(MAX(TblMili[[#This Row],[Druid (op)]]+Races!$E$20,TblMili[[#This Row],[Druid (dp)]]+Races!$F$20),6)  +  0.45 * MIN(MIN(TblMili[[#This Row],[Druid (op)]]+Races!$E$20,TblMili[[#This Row],[Druid (dp)]]+Races!$F$20),6)  +  0.2 * ( MAX(TblMili[[#This Row],[Druid (op)]]+Races!$E$20-6,0) + MAX(TblMili[[#This Row],[Druid (dp)]]+Races!$F$20-6,0) )  -  Races!$I$20</f>
        <v>#VALUE!</v>
      </c>
      <c r="CP76" s="226" t="e">
        <f aca="false">TblMili[[#This Row],[Mystic bonus]]*TblMili[[#This Row],[Unit 3]]+TblMili[[#This Row],[Druid bonus]]*TblMili[[#This Row],[Unit 4]]</f>
        <v>#VALUE!</v>
      </c>
      <c r="CQ76" s="301" t="e">
        <f aca="false">MIN(6,TblMili[[#This Row],[Dryad]]+Races!$F$35)*1.8 +  IF(TblMili[[#This Row],[Dryad]]+Races!$F$35&gt;6,(TblMili[[#This Row],[Dryad]]+Races!$F$35-6)*0.2,0) - Races!$I$19</f>
        <v>#VALUE!</v>
      </c>
      <c r="CR76" s="226" t="e">
        <f aca="false">sylvan*(TblMili[[#This Row],[Mystic bonus]]*TblMili[[#This Row],[Unit 3]])</f>
        <v>#VALUE!</v>
      </c>
      <c r="CS76" s="301" t="e">
        <f aca="false">1.8 * MIN(MAX(Races!$E$27,TblMili[[#This Row],[Rockapult]]+Races!$F$27),6)  +  0.45 * MIN(MIN(Races!$E$27,TblMili[[#This Row],[Rockapult]]+Races!$F$27),6)  +  0.2 * ( MAX(Races!$E$27-6,0) + MAX(TblMili[[#This Row],[Rockapult]]+Races!$F$27-6,0) )  -  Races!$I$20</f>
        <v>#VALUE!</v>
      </c>
      <c r="CT76" s="226" t="e">
        <f aca="false">gnome*(TblMili[[#This Row],[Rockapult bonus]]*TblMili[[#This Row],[Unit 3]])</f>
        <v>#VALUE!</v>
      </c>
      <c r="CU76" s="301" t="n">
        <f aca="false">1.8 * MIN(MAX(TblMili[[#This Row],[Spellblade]]+Races!$E$47,TblMili[[#This Row],[Adept-DP]]+Races!$F$47),6)  +  0.45 * MIN(MIN(TblMili[[#This Row],[Spellblade]]+Races!$E$47,TblMili[[#This Row],[Adept-DP]]+Races!$F$47),6)  +  0.2 * ( MAX(TblMili[[#This Row],[Spellblade]]+Races!$E$47-6,0) + MAX(TblMili[[#This Row],[Adept-DP]]+Races!$F$47-6,0) )  -  Races!$I$47</f>
        <v>0</v>
      </c>
      <c r="CV76" s="226" t="n">
        <f aca="false">dark_elf*(TblMili[[#This Row],[Adept bonus]]*TblMili[[#This Row],[Unit 3]])</f>
        <v>0</v>
      </c>
      <c r="CW76" s="301" t="e">
        <f aca="false">1.8 * MIN(MAX(TblMili[[#This Row],[Frost Mage]]+Races!$F$71,Races!$E$71),6)  +  0.45 * MIN(MIN(TblMili[[#This Row],[Frost Mage]]+Races!$F$71,Races!$E$71),6)  +  0.2 * ( MAX(TblMili[[#This Row],[Frost Mage]]+Races!$F$71-6,0) + MAX(Races!$E$71-6,0) )  -  Races!$I$71</f>
        <v>#VALUE!</v>
      </c>
      <c r="CX76" s="301" t="n">
        <f aca="false">1.8 * MIN(MAX(TblMili[[#This Row],[Ice Elemental]]+Races!$E$71,Races!$F$71),6)  +  0.45 * MIN(MIN(TblMili[[#This Row],[Ice Elemental]]+Races!$E$71,Races!$F$71),6)  +  0.2 * ( MAX(TblMili[[#This Row],[Ice Elemental]]+Races!$E$71-6,0) + MAX(Races!$F$71-6,0) )  -  Races!$I$71</f>
        <v>0.064285714285715</v>
      </c>
      <c r="CY76" s="226" t="e">
        <f aca="false">TblMili[[#This Row],[Frost Mage bonus]]*TblMili[[#This Row],[Unit 3]]+TblMili[[#This Row],[Ice Elemental bonus]]*TblMili[[#This Row],[Unit 4]]</f>
        <v>#VALUE!</v>
      </c>
      <c r="CZ76" s="302"/>
      <c r="DA76" s="139" t="n">
        <f aca="false">MIN(SUM(TblConstr[[#This Row],[Plain]:[Water]])/TblMili[[#This Row],[Land]]/favorable_terrain_bonus/100,favorable_terrain_max)</f>
        <v>0</v>
      </c>
      <c r="DB76" s="302"/>
      <c r="DC76" s="226"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6" s="138"/>
      <c r="DE76" s="303" t="n">
        <f aca="false">(TblMili[[#This Row],[Wizards]]+2*TblMili[[#This Row],[Archmages]])/TblConstr[[#This Row],[Land]]</f>
        <v>0.0357142857142857</v>
      </c>
      <c r="DF76" s="303" t="n">
        <f aca="false">TblMili[[#This Row],[Raw (2)]]*(1+race_wizard_strength+IF(TblMili[[#This Row],[Hour]]&gt;72,tech_magical_weaponry_wiz*TblTech[[#This Row],[3-5]],0))</f>
        <v>0.0357142857142857</v>
      </c>
    </row>
    <row r="77" customFormat="false" ht="12.75" hidden="false" customHeight="false" outlineLevel="0" collapsed="false">
      <c r="A77" s="128" t="n">
        <f aca="false">TblRezone[[#This Row],[Hour]]</f>
        <v>74</v>
      </c>
      <c r="B77" s="282" t="n">
        <f aca="false">SUM(TblMili[[#This Row],[Unit 1]:[Archmages]])+SUM(OFFSET(TblMili[[#This Row],[Train Unit 1]],-8,0):TblMili[[#This Row],[Train Unit 2]]) + SUM(OFFSET(TblMili[[#This Row],[Train Unit 3]],-11,0):TblMili[[#This Row],[Train AM]]) + TblMili[[#This Row],[Draftees]]</f>
        <v>3028</v>
      </c>
      <c r="C77" s="150" t="n">
        <f aca="false">TblPop[[#This Row],[Military%]]</f>
        <v>0.2365625</v>
      </c>
      <c r="D77" s="132"/>
      <c r="E77" s="151" t="n">
        <f aca="false">OFFSET(TblMili[[#This Row],[Unit 1]],-1,0) + OFFSET(TblMili[[#This Row],[Train Unit 1]],-9,0) - TblMili[[#This Row],[Release Unit 1]]</f>
        <v>0</v>
      </c>
      <c r="F77" s="151" t="n">
        <f aca="false">OFFSET(TblMili[[#This Row],[Unit 2]],-1,0) + OFFSET(TblMili[[#This Row],[Train Unit 2]],-9,0)-TblMili[[#This Row],[Release Unit 2]]</f>
        <v>798</v>
      </c>
      <c r="G77" s="151" t="n">
        <f aca="false">OFFSET(TblMili[[#This Row],[Unit 3]],-1,0) + OFFSET(TblMili[[#This Row],[Train Unit 3]],-12,0)-TblMili[[#This Row],[Release Unit 3]]</f>
        <v>625</v>
      </c>
      <c r="H77" s="151" t="n">
        <f aca="false">OFFSET(TblMili[[#This Row],[Unit 4]],-1,0) + OFFSET(TblMili[[#This Row],[Train Unit 4]],-12,0)-TblMili[[#This Row],[Release Unit 4]]</f>
        <v>638</v>
      </c>
      <c r="I77" s="151" t="n">
        <f aca="false">OFFSET(TblMili[[#This Row],[Spies]],-1,0) + OFFSET(TblMili[[#This Row],[Train Spies]],-12,0) - TblMili[[#This Row],[Release Spies]]-TblMili[[#This Row],[Train AS]]</f>
        <v>25</v>
      </c>
      <c r="J77" s="151" t="n">
        <f aca="false">OFFSET(TblMili[[#This Row],[Archspies]],-1,0) + OFFSET(TblMili[[#This Row],[Train AS]],-12,0) - TblMili[[#This Row],[Release AS]]</f>
        <v>0</v>
      </c>
      <c r="K77" s="151" t="n">
        <f aca="false">OFFSET(TblMili[[#This Row],[Wizards]],-1,0) + OFFSET(TblMili[[#This Row],[Train Wiz]],-12,0) - TblMili[[#This Row],[Release Wizards]]-TblMili[[#This Row],[Train AM]]</f>
        <v>25</v>
      </c>
      <c r="L77" s="151" t="n">
        <f aca="false">OFFSET(TblMili[[#This Row],[Archmages]],-1,0) + OFFSET(TblMili[[#This Row],[Train AM]],-12,0) - TblMili[[#This Row],[Release AM]]</f>
        <v>0</v>
      </c>
      <c r="M77" s="132"/>
      <c r="N77" s="69" t="e">
        <f aca="false">TblProd[[#This Row],[Networth]]</f>
        <v>#VALUE!</v>
      </c>
      <c r="O77" s="132"/>
      <c r="P7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7" s="285" t="e">
        <f aca="false">TblMili[[#This Row],[Raw]]*(1+TblMili[[#This Row],[Mods_Off]])</f>
        <v>#VALUE!</v>
      </c>
      <c r="S7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7" s="285" t="e">
        <f aca="false">TblMili[[#This Row],[Non Draft]]+TblMili[[#This Row],[Draftees]]</f>
        <v>#VALUE!</v>
      </c>
      <c r="U77" s="286" t="n">
        <f aca="false">race_defense + TblImps[[#This Row],[Walls]] + ROUND( MIN(gt_bonus*TblConstr[[#This Row],[Tot GT]]/TblConstr[[#This Row],[Land]],gt_bonus_cap), 4) + IF(TblMagic[[#This Row],[Active Howling]]&gt;0,howling_dp_bonus,IF(TblMagic[[#This Row],[Active Ares Call]]&gt;0,ares_call_bonus))</f>
        <v>0.2375</v>
      </c>
      <c r="V77" s="274" t="e">
        <f aca="false">TblMili[[#This Row],[Non Draft]] * (1 + TblMili[[#This Row],[Mods_Def]])</f>
        <v>#VALUE!</v>
      </c>
      <c r="W77" s="285" t="e">
        <f aca="false">TblMili[[#This Row],[Draft]] * (1 + TblMili[[#This Row],[Mods_Def]])</f>
        <v>#VALUE!</v>
      </c>
      <c r="X77" s="285" t="n">
        <f aca="false">TblConstr[[#This Row],[Land]]</f>
        <v>700</v>
      </c>
      <c r="Y77" s="287"/>
      <c r="Z77" s="109" t="n">
        <f aca="false">IF(TblMili[[#This Row],[Set]]&lt;&gt;"",TblMili[[#This Row],[Set]],OFFSET(TblMili[[#This Row],[Draftrate]],-1,0))</f>
        <v>0.9</v>
      </c>
      <c r="AA77" s="69" t="n">
        <f aca="false">OFFSET(TblMili[[#This Row],[Draftees]],-1,0)+OFFSET(TblPop[[#This Row],[Draft Growth]],-1,0) - SUM(TblMili[[#This Row],[Train Unit 1]:[Train Spies]],TblMili[[#This Row],[Train Wiz]]) - TblMili[[#This Row],[Release Draft]] + SUM(TblMili[[#This Row],[Release Unit 1]:[Release AM]]) - TblExplore[[#This Row],[Draftees (2)]]</f>
        <v>0</v>
      </c>
      <c r="AB77" s="146"/>
      <c r="AC77" s="130" t="n">
        <f aca="false">(TblConstr[[#This Row],[Tot Smi]]+TblConstr[[#This Row],[Dest Smi]])/(TblConstr[[#This Row],[Land]]-TblExplore[[#This Row],[Land Bonus]]*20)</f>
        <v>0.18</v>
      </c>
      <c r="AD77" s="128"/>
      <c r="AE77" s="282" t="n">
        <f aca="false">TblMili[[#This Row],[Hour]]</f>
        <v>74</v>
      </c>
      <c r="AF77" s="129" t="n">
        <f aca="false">TblExplore[[#This Row],[Time]]</f>
        <v>45432.7916666667</v>
      </c>
      <c r="AG77" s="182"/>
      <c r="AH77" s="152" t="n">
        <v>48</v>
      </c>
      <c r="AI77" s="182" t="n">
        <v>50</v>
      </c>
      <c r="AJ77" s="182"/>
      <c r="AK77" s="182"/>
      <c r="AL77" s="182"/>
      <c r="AM77" s="182"/>
      <c r="AN77" s="182"/>
      <c r="AO77" s="132"/>
      <c r="AP77" s="69" t="n">
        <f aca="false">TblProd[[#This Row],[Platinum]]</f>
        <v>13360</v>
      </c>
      <c r="AQ77" s="69" t="n">
        <f aca="false">INDEX(TblProd[[#Headers],[Lumber]]:TblProd[[#This Row],[Ore]],COUNTA(TblProd[[#Headers],[Lumber]]:TblProd[[#This Row],[Lumber]]),MATCH(Military!$AQ$2,TblProd[[#Headers],[Lumber]:[Ore]],0))</f>
        <v>0</v>
      </c>
      <c r="AR7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38816</v>
      </c>
      <c r="AS77" s="69" t="n">
        <f aca="false">TblMili[[#This Row],[Train Unit 1]]*TblMili[[#This Row],[OP Ore]]+TblMili[[#This Row],[Train Unit 2]]*TblMili[[#This Row],[DP Ore]]+TblMili[[#This Row],[Train Unit 3]]*TblMili[[#This Row],[E1 Ore]]+TblMili[[#This Row],[Train Unit 4]]*TblMili[[#This Row],[E2 Ore]]</f>
        <v>0</v>
      </c>
      <c r="AT77" s="132" t="n">
        <f aca="false">TblMili[[#This Row],[Hour]]</f>
        <v>74</v>
      </c>
      <c r="AU77" s="144" t="n">
        <f aca="false">TblMili[[#This Row],[Time]]</f>
        <v>45432.7916666667</v>
      </c>
      <c r="AV77" s="69" t="n">
        <f aca="false">TblMili[[#This Row],[Draftees]]</f>
        <v>0</v>
      </c>
      <c r="AW77" s="152"/>
      <c r="AX77" s="182"/>
      <c r="AY77" s="182"/>
      <c r="AZ77" s="182"/>
      <c r="BA77" s="182"/>
      <c r="BB77" s="182"/>
      <c r="BC77" s="182"/>
      <c r="BD77" s="182"/>
      <c r="BE77" s="182"/>
      <c r="BF77" s="132"/>
      <c r="BG77" s="150" t="n">
        <f aca="false">TblConstr[[#This Row],[Tot WG]]/TblConstr[[#This Row],[Land]]</f>
        <v>0</v>
      </c>
      <c r="BH77" s="150" t="n">
        <f aca="false">TblConstr[[#This Row],[Tot Hav]]/TblConstr[[#This Row],[Land]]</f>
        <v>0</v>
      </c>
      <c r="BI77" s="69" t="n">
        <f aca="false">ROUNDUP((1-MIN(TblMili[[#This Row],[Smithies]]*smithy_bonus,smithy_bonus_cap) + tech_3_5*TblTech[[#This Row],[3-5]] + tech_5_3*TblTech[[#This Row],[5-3]] + tech_5_5*TblTech[[#This Row],[5-5]])*spec_op_plat,0)</f>
        <v>192</v>
      </c>
      <c r="BJ77" s="69" t="n">
        <f aca="false">ROUNDUP(IF(race="Gnome",1,(1-MIN(TblMili[[#This Row],[Smithies]]*smithy_bonus,smithy_bonus_cap) + tech_3_5*TblTech[[#This Row],[3-5]] + tech_5_3*TblTech[[#This Row],[5-3]] + tech_5_5*TblTech[[#This Row],[5-5]]))*spec_op_ore,0)</f>
        <v>0</v>
      </c>
      <c r="BK77" s="69" t="n">
        <f aca="false">ROUNDUP((1-MIN(TblMili[[#This Row],[Smithies]]*smithy_bonus,smithy_bonus_cap) + tech_3_5*TblTech[[#This Row],[3-5]] + tech_5_3*TblTech[[#This Row],[5-3]] + tech_5_5*TblTech[[#This Row],[5-5]])*spec_dp_plat,0)</f>
        <v>192</v>
      </c>
      <c r="BL77" s="69" t="n">
        <f aca="false">ROUNDUP(IF(race="Gnome",1,(1-MIN(TblMili[[#This Row],[Smithies]]*smithy_bonus,smithy_bonus_cap) + tech_3_5*TblTech[[#This Row],[3-5]] + tech_5_3*TblTech[[#This Row],[5-3]] + tech_5_5*TblTech[[#This Row],[5-5]]))*spec_dp_ore,0)</f>
        <v>0</v>
      </c>
      <c r="BM77" s="69" t="n">
        <f aca="false">ROUNDUP((1-MIN(TblMili[[#This Row],[Smithies]]*smithy_bonus,smithy_bonus_cap) + tech_3_5*TblTech[[#This Row],[3-5]] + tech_5_3*TblTech[[#This Row],[5-3]] + tech_5_5*TblTech[[#This Row],[5-5]])*elite1_plat,0)</f>
        <v>592</v>
      </c>
      <c r="BN77" s="69" t="n">
        <f aca="false">ROUNDUP(IF(race="Gnome",1,(1-MIN(TblMili[[#This Row],[Smithies]]*smithy_bonus,smithy_bonus_cap) + tech_3_5*TblTech[[#This Row],[3-5]] + tech_5_3*TblTech[[#This Row],[5-3]] + tech_5_5*TblTech[[#This Row],[5-5]]))*elite1_ore,0)</f>
        <v>0</v>
      </c>
      <c r="BO77" s="69" t="n">
        <f aca="false">ROUNDUP((1-MIN(TblMili[[#This Row],[Smithies]]*smithy_bonus,smithy_bonus_cap) + tech_3_5*TblTech[[#This Row],[3-5]] + tech_5_3*TblTech[[#This Row],[5-3]] + tech_5_5*TblTech[[#This Row],[5-5]])*elite2_plat,0)</f>
        <v>608</v>
      </c>
      <c r="BP77" s="69" t="n">
        <f aca="false">ROUNDUP(IF(race="Gnome",1,(1-MIN(TblMili[[#This Row],[Smithies]]*smithy_bonus,smithy_bonus_cap) + tech_3_5*TblTech[[#This Row],[3-5]] + tech_5_3*TblTech[[#This Row],[5-3]] + tech_5_5*TblTech[[#This Row],[5-5]]))*elite2_ore,0)</f>
        <v>0</v>
      </c>
      <c r="BQ77" s="69" t="n">
        <f aca="false">ROUNDUP((1-MIN(ROUND(fh_spy_cost_red*TblMili[[#This Row],[FH''s]],4),fh_spy_cost_cap)+ tech_1_9*TblTech[[#This Row],[1-9]] + tech_9_1*TblTech[[#This Row],[9-1]])*spy_plat,0)</f>
        <v>500</v>
      </c>
      <c r="BR77" s="69" t="n">
        <f aca="false">ROUNDUP((1-MIN(ROUND(fh_spy_cost_red*TblMili[[#This Row],[FH''s]],4),fh_spy_cost_cap)+ tech_1_9*TblTech[[#This Row],[1-9]] + tech_9_1*TblTech[[#This Row],[9-1]])*archspy_plat,0)</f>
        <v>1000</v>
      </c>
      <c r="BS77" s="69" t="n">
        <f aca="false">ROUNDUP((1-MIN(ROUND(wg_wiz_cost_bonus*TblMili[[#This Row],[WG''s]],4),wg_wiz_cost_cap) + tech_1_9_2*TblTech[[#This Row],[1-9]] + tech_9_1_2*TblTech[[#This Row],[9-1]])*wizard_plat,0)</f>
        <v>500</v>
      </c>
      <c r="BT77" s="69" t="n">
        <f aca="false">ROUNDUP((1-MIN(ROUND(wg_wiz_cost_bonus*TblMili[[#This Row],[WG''s]],4),wg_wiz_cost_cap) + tech_1_9_2*TblTech[[#This Row],[1-9]] + tech_9_1_2*TblTech[[#This Row],[9-1]])*archmage_plat,0)</f>
        <v>1000</v>
      </c>
      <c r="BU77" s="132"/>
      <c r="BV77" s="150" t="e">
        <f aca="false">TblConstr[[#This Row],[Homeland]]/TblConstr[[#This Row],[Land]]</f>
        <v>#VALUE!</v>
      </c>
      <c r="BW77" s="150" t="n">
        <f aca="false">TblMili[[#This Row],[WG''s]]</f>
        <v>0</v>
      </c>
      <c r="BX77" s="288" t="e">
        <f aca="false">IF(mystic_cap="none",TblMili[[#This Row],[Hill]]/mystic_bonus,MIN(mystic_cap,TblMili[[#This Row],[Hill]]/mystic_bonus))</f>
        <v>#VALUE!</v>
      </c>
      <c r="BY77" s="288" t="e">
        <f aca="false">IF(druid_op_cap="none",TblMili[[#This Row],[Hill]]/druid_op_bonus,MIN(druid_op_cap,TblMili[[#This Row],[Hill]]/druid_op_bonus))</f>
        <v>#VALUE!</v>
      </c>
      <c r="BZ77" s="288" t="e">
        <f aca="false">IF(druid_dp_cap="none",TblMili[[#This Row],[Hill]]/druid_dp_bonus,MIN(druid_dp_cap,TblMili[[#This Row],[Hill]]/druid_dp_bonus))</f>
        <v>#VALUE!</v>
      </c>
      <c r="CA77" s="288" t="e">
        <f aca="false">MIN(dryad_cap,TblMili[[#This Row],[Hill]]/dryad_bonus)</f>
        <v>#VALUE!</v>
      </c>
      <c r="CB77" s="288" t="e">
        <f aca="false">MIN(rocka_cap,TblMili[[#This Row],[Hill]]/rocka_bonus)</f>
        <v>#VALUE!</v>
      </c>
      <c r="CC77" s="288" t="n">
        <f aca="false">MIN(adept_op_cap,TblMili[[#This Row],[WG]]/adept_op_bonus)</f>
        <v>0</v>
      </c>
      <c r="CD77" s="288" t="n">
        <f aca="false">MIN(adept_dp_cap,TblMili[[#This Row],[WG]]/adept_dp_bonus)</f>
        <v>0</v>
      </c>
      <c r="CE77" s="69" t="n">
        <f aca="false">MIN(TblMili[[#This Row],[Unit 3]],TblMili[[#This Row],[Unit 2]])*2</f>
        <v>1250</v>
      </c>
      <c r="CF77" s="69" t="n">
        <f aca="false">MIN(TblMili[[#This Row],[Unit 1]],TblMili[[#This Row],[Unit 4]])*2</f>
        <v>0</v>
      </c>
      <c r="CG77" s="288" t="e">
        <f aca="false">MIN(frost_mage_cap,TblMili[[#This Row],[Hill]]/frost_mage_bonus)</f>
        <v>#VALUE!</v>
      </c>
      <c r="CH77" s="151" t="n">
        <f aca="false">MIN(ice_elem_cap,TblMili[[#This Row],[Raw (2)]]*ice_elem_bonus)</f>
        <v>0.0357142857142857</v>
      </c>
      <c r="CI77" s="288" t="n">
        <f aca="false">MIN(bone_breaker_cap,250/bone_breaker_bonus)</f>
        <v>0.833333333333333</v>
      </c>
      <c r="CJ77" s="288" t="e">
        <f aca="false">MIN(nox_nightshade_cap,TblConstr[[#This Row],[Homeland]]/TblConstr[[#This Row],[Land]]/nox_nightshade_swamp_bonus)</f>
        <v>#VALUE!</v>
      </c>
      <c r="CK77" s="289"/>
      <c r="CL77" s="289"/>
      <c r="CM77" s="289"/>
      <c r="CN77" s="288" t="e">
        <f aca="false">MIN(6,TblMili[[#This Row],[Mystic]]+Races!$F$19)*1.8 +  IF(TblMili[[#This Row],[Mystic]]+Races!$F$19&gt;6,(TblMili[[#This Row],[Mystic]]+Races!$F$19-6)*0.2,0) - Races!$I$19</f>
        <v>#VALUE!</v>
      </c>
      <c r="CO77" s="288" t="e">
        <f aca="false">1.8 * MIN(MAX(TblMili[[#This Row],[Druid (op)]]+Races!$E$20,TblMili[[#This Row],[Druid (dp)]]+Races!$F$20),6)  +  0.45 * MIN(MIN(TblMili[[#This Row],[Druid (op)]]+Races!$E$20,TblMili[[#This Row],[Druid (dp)]]+Races!$F$20),6)  +  0.2 * ( MAX(TblMili[[#This Row],[Druid (op)]]+Races!$E$20-6,0) + MAX(TblMili[[#This Row],[Druid (dp)]]+Races!$F$20-6,0) )  -  Races!$I$20</f>
        <v>#VALUE!</v>
      </c>
      <c r="CP77" s="69" t="e">
        <f aca="false">TblMili[[#This Row],[Mystic bonus]]*TblMili[[#This Row],[Unit 3]]+TblMili[[#This Row],[Druid bonus]]*TblMili[[#This Row],[Unit 4]]</f>
        <v>#VALUE!</v>
      </c>
      <c r="CQ77" s="148" t="e">
        <f aca="false">MIN(6,TblMili[[#This Row],[Dryad]]+Races!$F$35)*1.8 +  IF(TblMili[[#This Row],[Dryad]]+Races!$F$35&gt;6,(TblMili[[#This Row],[Dryad]]+Races!$F$35-6)*0.2,0) - Races!$I$19</f>
        <v>#VALUE!</v>
      </c>
      <c r="CR77" s="69" t="e">
        <f aca="false">sylvan*(TblMili[[#This Row],[Mystic bonus]]*TblMili[[#This Row],[Unit 3]])</f>
        <v>#VALUE!</v>
      </c>
      <c r="CS77" s="148" t="e">
        <f aca="false">1.8 * MIN(MAX(Races!$E$27,TblMili[[#This Row],[Rockapult]]+Races!$F$27),6)  +  0.45 * MIN(MIN(Races!$E$27,TblMili[[#This Row],[Rockapult]]+Races!$F$27),6)  +  0.2 * ( MAX(Races!$E$27-6,0) + MAX(TblMili[[#This Row],[Rockapult]]+Races!$F$27-6,0) )  -  Races!$I$20</f>
        <v>#VALUE!</v>
      </c>
      <c r="CT77" s="69" t="e">
        <f aca="false">gnome*(TblMili[[#This Row],[Rockapult bonus]]*TblMili[[#This Row],[Unit 3]])</f>
        <v>#VALUE!</v>
      </c>
      <c r="CU77" s="148" t="n">
        <f aca="false">1.8 * MIN(MAX(TblMili[[#This Row],[Spellblade]]+Races!$E$47,TblMili[[#This Row],[Adept-DP]]+Races!$F$47),6)  +  0.45 * MIN(MIN(TblMili[[#This Row],[Spellblade]]+Races!$E$47,TblMili[[#This Row],[Adept-DP]]+Races!$F$47),6)  +  0.2 * ( MAX(TblMili[[#This Row],[Spellblade]]+Races!$E$47-6,0) + MAX(TblMili[[#This Row],[Adept-DP]]+Races!$F$47-6,0) )  -  Races!$I$47</f>
        <v>0</v>
      </c>
      <c r="CV77" s="69" t="n">
        <f aca="false">dark_elf*(TblMili[[#This Row],[Adept bonus]]*TblMili[[#This Row],[Unit 3]])</f>
        <v>0</v>
      </c>
      <c r="CW77" s="148" t="e">
        <f aca="false">1.8 * MIN(MAX(TblMili[[#This Row],[Frost Mage]]+Races!$F$71,Races!$E$71),6)  +  0.45 * MIN(MIN(TblMili[[#This Row],[Frost Mage]]+Races!$F$71,Races!$E$71),6)  +  0.2 * ( MAX(TblMili[[#This Row],[Frost Mage]]+Races!$F$71-6,0) + MAX(Races!$E$71-6,0) )  -  Races!$I$71</f>
        <v>#VALUE!</v>
      </c>
      <c r="CX77" s="148" t="n">
        <f aca="false">1.8 * MIN(MAX(TblMili[[#This Row],[Ice Elemental]]+Races!$E$71,Races!$F$71),6)  +  0.45 * MIN(MIN(TblMili[[#This Row],[Ice Elemental]]+Races!$E$71,Races!$F$71),6)  +  0.2 * ( MAX(TblMili[[#This Row],[Ice Elemental]]+Races!$E$71-6,0) + MAX(Races!$F$71-6,0) )  -  Races!$I$71</f>
        <v>0.064285714285715</v>
      </c>
      <c r="CY77" s="69" t="e">
        <f aca="false">TblMili[[#This Row],[Frost Mage bonus]]*TblMili[[#This Row],[Unit 3]]+TblMili[[#This Row],[Ice Elemental bonus]]*TblMili[[#This Row],[Unit 4]]</f>
        <v>#VALUE!</v>
      </c>
      <c r="CZ77" s="290"/>
      <c r="DA77" s="109" t="n">
        <f aca="false">MIN(SUM(TblConstr[[#This Row],[Plain]:[Water]])/TblMili[[#This Row],[Land]]/favorable_terrain_bonus/100,favorable_terrain_max)</f>
        <v>0</v>
      </c>
      <c r="DB77" s="290"/>
      <c r="DC7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7" s="132"/>
      <c r="DE77" s="291" t="n">
        <f aca="false">(TblMili[[#This Row],[Wizards]]+2*TblMili[[#This Row],[Archmages]])/TblConstr[[#This Row],[Land]]</f>
        <v>0.0357142857142857</v>
      </c>
      <c r="DF77" s="291" t="n">
        <f aca="false">TblMili[[#This Row],[Raw (2)]]*(1+race_wizard_strength+IF(TblMili[[#This Row],[Hour]]&gt;72,tech_magical_weaponry_wiz*TblTech[[#This Row],[3-5]],0))</f>
        <v>0.0357142857142857</v>
      </c>
    </row>
    <row r="78" customFormat="false" ht="12.75" hidden="false" customHeight="false" outlineLevel="0" collapsed="false">
      <c r="A78" s="128" t="n">
        <f aca="false">TblRezone[[#This Row],[Hour]]</f>
        <v>75</v>
      </c>
      <c r="B78" s="282" t="n">
        <f aca="false">SUM(TblMili[[#This Row],[Unit 1]:[Archmages]])+SUM(OFFSET(TblMili[[#This Row],[Train Unit 1]],-8,0):TblMili[[#This Row],[Train Unit 2]]) + SUM(OFFSET(TblMili[[#This Row],[Train Unit 3]],-11,0):TblMili[[#This Row],[Train AM]]) + TblMili[[#This Row],[Draftees]]</f>
        <v>3126</v>
      </c>
      <c r="C78" s="150" t="n">
        <f aca="false">TblPop[[#This Row],[Military%]]</f>
        <v>0.242344367780448</v>
      </c>
      <c r="D78" s="132"/>
      <c r="E78" s="151" t="n">
        <f aca="false">OFFSET(TblMili[[#This Row],[Unit 1]],-1,0) + OFFSET(TblMili[[#This Row],[Train Unit 1]],-9,0) - TblMili[[#This Row],[Release Unit 1]]</f>
        <v>0</v>
      </c>
      <c r="F78" s="151" t="n">
        <f aca="false">OFFSET(TblMili[[#This Row],[Unit 2]],-1,0) + OFFSET(TblMili[[#This Row],[Train Unit 2]],-9,0)-TblMili[[#This Row],[Release Unit 2]]</f>
        <v>898</v>
      </c>
      <c r="G78" s="151" t="n">
        <f aca="false">OFFSET(TblMili[[#This Row],[Unit 3]],-1,0) + OFFSET(TblMili[[#This Row],[Train Unit 3]],-12,0)-TblMili[[#This Row],[Release Unit 3]]</f>
        <v>625</v>
      </c>
      <c r="H78" s="151" t="n">
        <f aca="false">OFFSET(TblMili[[#This Row],[Unit 4]],-1,0) + OFFSET(TblMili[[#This Row],[Train Unit 4]],-12,0)-TblMili[[#This Row],[Release Unit 4]]</f>
        <v>638</v>
      </c>
      <c r="I78" s="151" t="n">
        <f aca="false">OFFSET(TblMili[[#This Row],[Spies]],-1,0) + OFFSET(TblMili[[#This Row],[Train Spies]],-12,0) - TblMili[[#This Row],[Release Spies]]-TblMili[[#This Row],[Train AS]]</f>
        <v>25</v>
      </c>
      <c r="J78" s="151" t="n">
        <f aca="false">OFFSET(TblMili[[#This Row],[Archspies]],-1,0) + OFFSET(TblMili[[#This Row],[Train AS]],-12,0) - TblMili[[#This Row],[Release AS]]</f>
        <v>0</v>
      </c>
      <c r="K78" s="151" t="n">
        <f aca="false">OFFSET(TblMili[[#This Row],[Wizards]],-1,0) + OFFSET(TblMili[[#This Row],[Train Wiz]],-12,0) - TblMili[[#This Row],[Release Wizards]]-TblMili[[#This Row],[Train AM]]</f>
        <v>25</v>
      </c>
      <c r="L78" s="151" t="n">
        <f aca="false">OFFSET(TblMili[[#This Row],[Archmages]],-1,0) + OFFSET(TblMili[[#This Row],[Train AM]],-12,0) - TblMili[[#This Row],[Release AM]]</f>
        <v>0</v>
      </c>
      <c r="M78" s="132"/>
      <c r="N78" s="69" t="e">
        <f aca="false">TblProd[[#This Row],[Networth]]</f>
        <v>#VALUE!</v>
      </c>
      <c r="O78" s="132"/>
      <c r="P7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8" s="285" t="e">
        <f aca="false">TblMili[[#This Row],[Raw]]*(1+TblMili[[#This Row],[Mods_Off]])</f>
        <v>#VALUE!</v>
      </c>
      <c r="S7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8" s="285" t="e">
        <f aca="false">TblMili[[#This Row],[Non Draft]]+TblMili[[#This Row],[Draftees]]</f>
        <v>#VALUE!</v>
      </c>
      <c r="U78" s="286" t="n">
        <f aca="false">race_defense + TblImps[[#This Row],[Walls]] + ROUND( MIN(gt_bonus*TblConstr[[#This Row],[Tot GT]]/TblConstr[[#This Row],[Land]],gt_bonus_cap), 4) + IF(TblMagic[[#This Row],[Active Howling]]&gt;0,howling_dp_bonus,IF(TblMagic[[#This Row],[Active Ares Call]]&gt;0,ares_call_bonus))</f>
        <v>0.2375</v>
      </c>
      <c r="V78" s="274" t="e">
        <f aca="false">TblMili[[#This Row],[Non Draft]] * (1 + TblMili[[#This Row],[Mods_Def]])</f>
        <v>#VALUE!</v>
      </c>
      <c r="W78" s="285" t="e">
        <f aca="false">TblMili[[#This Row],[Draft]] * (1 + TblMili[[#This Row],[Mods_Def]])</f>
        <v>#VALUE!</v>
      </c>
      <c r="X78" s="285" t="n">
        <f aca="false">TblConstr[[#This Row],[Land]]</f>
        <v>700</v>
      </c>
      <c r="Y78" s="287"/>
      <c r="Z78" s="109" t="n">
        <f aca="false">IF(TblMili[[#This Row],[Set]]&lt;&gt;"",TblMili[[#This Row],[Set]],OFFSET(TblMili[[#This Row],[Draftrate]],-1,0))</f>
        <v>0.9</v>
      </c>
      <c r="AA78" s="69" t="n">
        <f aca="false">OFFSET(TblMili[[#This Row],[Draftees]],-1,0)+OFFSET(TblPop[[#This Row],[Draft Growth]],-1,0) - SUM(TblMili[[#This Row],[Train Unit 1]:[Train Spies]],TblMili[[#This Row],[Train Wiz]]) - TblMili[[#This Row],[Release Draft]] + SUM(TblMili[[#This Row],[Release Unit 1]:[Release AM]]) - TblExplore[[#This Row],[Draftees (2)]]</f>
        <v>0</v>
      </c>
      <c r="AB78" s="146"/>
      <c r="AC78" s="130" t="n">
        <f aca="false">(TblConstr[[#This Row],[Tot Smi]]+TblConstr[[#This Row],[Dest Smi]])/(TblConstr[[#This Row],[Land]]-TblExplore[[#This Row],[Land Bonus]]*20)</f>
        <v>0.18</v>
      </c>
      <c r="AD78" s="128"/>
      <c r="AE78" s="282" t="n">
        <f aca="false">TblMili[[#This Row],[Hour]]</f>
        <v>75</v>
      </c>
      <c r="AF78" s="129" t="n">
        <f aca="false">TblExplore[[#This Row],[Time]]</f>
        <v>45432.8333333333</v>
      </c>
      <c r="AG78" s="182"/>
      <c r="AH78" s="152" t="n">
        <v>98</v>
      </c>
      <c r="AI78" s="182"/>
      <c r="AJ78" s="182"/>
      <c r="AK78" s="182"/>
      <c r="AL78" s="182"/>
      <c r="AM78" s="182"/>
      <c r="AN78" s="182"/>
      <c r="AO78" s="132"/>
      <c r="AP78" s="69" t="n">
        <f aca="false">TblProd[[#This Row],[Platinum]]</f>
        <v>41111</v>
      </c>
      <c r="AQ78" s="69" t="n">
        <f aca="false">INDEX(TblProd[[#Headers],[Lumber]]:TblProd[[#This Row],[Ore]],COUNTA(TblProd[[#Headers],[Lumber]]:TblProd[[#This Row],[Lumber]]),MATCH(Military!$AQ$2,TblProd[[#Headers],[Lumber]:[Ore]],0))</f>
        <v>0</v>
      </c>
      <c r="AR7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8" s="69" t="n">
        <f aca="false">TblMili[[#This Row],[Train Unit 1]]*TblMili[[#This Row],[OP Ore]]+TblMili[[#This Row],[Train Unit 2]]*TblMili[[#This Row],[DP Ore]]+TblMili[[#This Row],[Train Unit 3]]*TblMili[[#This Row],[E1 Ore]]+TblMili[[#This Row],[Train Unit 4]]*TblMili[[#This Row],[E2 Ore]]</f>
        <v>0</v>
      </c>
      <c r="AT78" s="132" t="n">
        <f aca="false">TblMili[[#This Row],[Hour]]</f>
        <v>75</v>
      </c>
      <c r="AU78" s="144" t="n">
        <f aca="false">TblMili[[#This Row],[Time]]</f>
        <v>45432.8333333333</v>
      </c>
      <c r="AV78" s="69" t="n">
        <f aca="false">TblMili[[#This Row],[Draftees]]</f>
        <v>0</v>
      </c>
      <c r="AW78" s="182"/>
      <c r="AX78" s="182"/>
      <c r="AY78" s="182"/>
      <c r="AZ78" s="182"/>
      <c r="BA78" s="182"/>
      <c r="BB78" s="182"/>
      <c r="BC78" s="182"/>
      <c r="BD78" s="182"/>
      <c r="BE78" s="182"/>
      <c r="BF78" s="132"/>
      <c r="BG78" s="150" t="n">
        <f aca="false">TblConstr[[#This Row],[Tot WG]]/TblConstr[[#This Row],[Land]]</f>
        <v>0</v>
      </c>
      <c r="BH78" s="150" t="n">
        <f aca="false">TblConstr[[#This Row],[Tot Hav]]/TblConstr[[#This Row],[Land]]</f>
        <v>0</v>
      </c>
      <c r="BI78" s="69" t="n">
        <f aca="false">ROUNDUP((1-MIN(TblMili[[#This Row],[Smithies]]*smithy_bonus,smithy_bonus_cap) + tech_3_5*TblTech[[#This Row],[3-5]] + tech_5_3*TblTech[[#This Row],[5-3]] + tech_5_5*TblTech[[#This Row],[5-5]])*spec_op_plat,0)</f>
        <v>192</v>
      </c>
      <c r="BJ78" s="69" t="n">
        <f aca="false">ROUNDUP(IF(race="Gnome",1,(1-MIN(TblMili[[#This Row],[Smithies]]*smithy_bonus,smithy_bonus_cap) + tech_3_5*TblTech[[#This Row],[3-5]] + tech_5_3*TblTech[[#This Row],[5-3]] + tech_5_5*TblTech[[#This Row],[5-5]]))*spec_op_ore,0)</f>
        <v>0</v>
      </c>
      <c r="BK78" s="69" t="n">
        <f aca="false">ROUNDUP((1-MIN(TblMili[[#This Row],[Smithies]]*smithy_bonus,smithy_bonus_cap) + tech_3_5*TblTech[[#This Row],[3-5]] + tech_5_3*TblTech[[#This Row],[5-3]] + tech_5_5*TblTech[[#This Row],[5-5]])*spec_dp_plat,0)</f>
        <v>192</v>
      </c>
      <c r="BL78" s="69" t="n">
        <f aca="false">ROUNDUP(IF(race="Gnome",1,(1-MIN(TblMili[[#This Row],[Smithies]]*smithy_bonus,smithy_bonus_cap) + tech_3_5*TblTech[[#This Row],[3-5]] + tech_5_3*TblTech[[#This Row],[5-3]] + tech_5_5*TblTech[[#This Row],[5-5]]))*spec_dp_ore,0)</f>
        <v>0</v>
      </c>
      <c r="BM78" s="69" t="n">
        <f aca="false">ROUNDUP((1-MIN(TblMili[[#This Row],[Smithies]]*smithy_bonus,smithy_bonus_cap) + tech_3_5*TblTech[[#This Row],[3-5]] + tech_5_3*TblTech[[#This Row],[5-3]] + tech_5_5*TblTech[[#This Row],[5-5]])*elite1_plat,0)</f>
        <v>592</v>
      </c>
      <c r="BN78" s="69" t="n">
        <f aca="false">ROUNDUP(IF(race="Gnome",1,(1-MIN(TblMili[[#This Row],[Smithies]]*smithy_bonus,smithy_bonus_cap) + tech_3_5*TblTech[[#This Row],[3-5]] + tech_5_3*TblTech[[#This Row],[5-3]] + tech_5_5*TblTech[[#This Row],[5-5]]))*elite1_ore,0)</f>
        <v>0</v>
      </c>
      <c r="BO78" s="69" t="n">
        <f aca="false">ROUNDUP((1-MIN(TblMili[[#This Row],[Smithies]]*smithy_bonus,smithy_bonus_cap) + tech_3_5*TblTech[[#This Row],[3-5]] + tech_5_3*TblTech[[#This Row],[5-3]] + tech_5_5*TblTech[[#This Row],[5-5]])*elite2_plat,0)</f>
        <v>608</v>
      </c>
      <c r="BP78" s="69" t="n">
        <f aca="false">ROUNDUP(IF(race="Gnome",1,(1-MIN(TblMili[[#This Row],[Smithies]]*smithy_bonus,smithy_bonus_cap) + tech_3_5*TblTech[[#This Row],[3-5]] + tech_5_3*TblTech[[#This Row],[5-3]] + tech_5_5*TblTech[[#This Row],[5-5]]))*elite2_ore,0)</f>
        <v>0</v>
      </c>
      <c r="BQ78" s="69" t="n">
        <f aca="false">ROUNDUP((1-MIN(ROUND(fh_spy_cost_red*TblMili[[#This Row],[FH''s]],4),fh_spy_cost_cap)+ tech_1_9*TblTech[[#This Row],[1-9]] + tech_9_1*TblTech[[#This Row],[9-1]])*spy_plat,0)</f>
        <v>500</v>
      </c>
      <c r="BR78" s="69" t="n">
        <f aca="false">ROUNDUP((1-MIN(ROUND(fh_spy_cost_red*TblMili[[#This Row],[FH''s]],4),fh_spy_cost_cap)+ tech_1_9*TblTech[[#This Row],[1-9]] + tech_9_1*TblTech[[#This Row],[9-1]])*archspy_plat,0)</f>
        <v>1000</v>
      </c>
      <c r="BS78" s="69" t="n">
        <f aca="false">ROUNDUP((1-MIN(ROUND(wg_wiz_cost_bonus*TblMili[[#This Row],[WG''s]],4),wg_wiz_cost_cap) + tech_1_9_2*TblTech[[#This Row],[1-9]] + tech_9_1_2*TblTech[[#This Row],[9-1]])*wizard_plat,0)</f>
        <v>500</v>
      </c>
      <c r="BT78" s="69" t="n">
        <f aca="false">ROUNDUP((1-MIN(ROUND(wg_wiz_cost_bonus*TblMili[[#This Row],[WG''s]],4),wg_wiz_cost_cap) + tech_1_9_2*TblTech[[#This Row],[1-9]] + tech_9_1_2*TblTech[[#This Row],[9-1]])*archmage_plat,0)</f>
        <v>1000</v>
      </c>
      <c r="BU78" s="132"/>
      <c r="BV78" s="150" t="e">
        <f aca="false">TblConstr[[#This Row],[Homeland]]/TblConstr[[#This Row],[Land]]</f>
        <v>#VALUE!</v>
      </c>
      <c r="BW78" s="150" t="n">
        <f aca="false">TblMili[[#This Row],[WG''s]]</f>
        <v>0</v>
      </c>
      <c r="BX78" s="288" t="e">
        <f aca="false">IF(mystic_cap="none",TblMili[[#This Row],[Hill]]/mystic_bonus,MIN(mystic_cap,TblMili[[#This Row],[Hill]]/mystic_bonus))</f>
        <v>#VALUE!</v>
      </c>
      <c r="BY78" s="288" t="e">
        <f aca="false">IF(druid_op_cap="none",TblMili[[#This Row],[Hill]]/druid_op_bonus,MIN(druid_op_cap,TblMili[[#This Row],[Hill]]/druid_op_bonus))</f>
        <v>#VALUE!</v>
      </c>
      <c r="BZ78" s="288" t="e">
        <f aca="false">IF(druid_dp_cap="none",TblMili[[#This Row],[Hill]]/druid_dp_bonus,MIN(druid_dp_cap,TblMili[[#This Row],[Hill]]/druid_dp_bonus))</f>
        <v>#VALUE!</v>
      </c>
      <c r="CA78" s="288" t="e">
        <f aca="false">MIN(dryad_cap,TblMili[[#This Row],[Hill]]/dryad_bonus)</f>
        <v>#VALUE!</v>
      </c>
      <c r="CB78" s="288" t="e">
        <f aca="false">MIN(rocka_cap,TblMili[[#This Row],[Hill]]/rocka_bonus)</f>
        <v>#VALUE!</v>
      </c>
      <c r="CC78" s="288" t="n">
        <f aca="false">MIN(adept_op_cap,TblMili[[#This Row],[WG]]/adept_op_bonus)</f>
        <v>0</v>
      </c>
      <c r="CD78" s="288" t="n">
        <f aca="false">MIN(adept_dp_cap,TblMili[[#This Row],[WG]]/adept_dp_bonus)</f>
        <v>0</v>
      </c>
      <c r="CE78" s="69" t="n">
        <f aca="false">MIN(TblMili[[#This Row],[Unit 3]],TblMili[[#This Row],[Unit 2]])*2</f>
        <v>1250</v>
      </c>
      <c r="CF78" s="69" t="n">
        <f aca="false">MIN(TblMili[[#This Row],[Unit 1]],TblMili[[#This Row],[Unit 4]])*2</f>
        <v>0</v>
      </c>
      <c r="CG78" s="288" t="e">
        <f aca="false">MIN(frost_mage_cap,TblMili[[#This Row],[Hill]]/frost_mage_bonus)</f>
        <v>#VALUE!</v>
      </c>
      <c r="CH78" s="151" t="n">
        <f aca="false">MIN(ice_elem_cap,TblMili[[#This Row],[Raw (2)]]*ice_elem_bonus)</f>
        <v>0.0357142857142857</v>
      </c>
      <c r="CI78" s="288" t="n">
        <f aca="false">MIN(bone_breaker_cap,250/bone_breaker_bonus)</f>
        <v>0.833333333333333</v>
      </c>
      <c r="CJ78" s="288" t="e">
        <f aca="false">MIN(nox_nightshade_cap,TblConstr[[#This Row],[Homeland]]/TblConstr[[#This Row],[Land]]/nox_nightshade_swamp_bonus)</f>
        <v>#VALUE!</v>
      </c>
      <c r="CK78" s="289"/>
      <c r="CL78" s="289"/>
      <c r="CM78" s="289"/>
      <c r="CN78" s="288" t="e">
        <f aca="false">MIN(6,TblMili[[#This Row],[Mystic]]+Races!$F$19)*1.8 +  IF(TblMili[[#This Row],[Mystic]]+Races!$F$19&gt;6,(TblMili[[#This Row],[Mystic]]+Races!$F$19-6)*0.2,0) - Races!$I$19</f>
        <v>#VALUE!</v>
      </c>
      <c r="CO78" s="288" t="e">
        <f aca="false">1.8 * MIN(MAX(TblMili[[#This Row],[Druid (op)]]+Races!$E$20,TblMili[[#This Row],[Druid (dp)]]+Races!$F$20),6)  +  0.45 * MIN(MIN(TblMili[[#This Row],[Druid (op)]]+Races!$E$20,TblMili[[#This Row],[Druid (dp)]]+Races!$F$20),6)  +  0.2 * ( MAX(TblMili[[#This Row],[Druid (op)]]+Races!$E$20-6,0) + MAX(TblMili[[#This Row],[Druid (dp)]]+Races!$F$20-6,0) )  -  Races!$I$20</f>
        <v>#VALUE!</v>
      </c>
      <c r="CP78" s="69" t="e">
        <f aca="false">TblMili[[#This Row],[Mystic bonus]]*TblMili[[#This Row],[Unit 3]]+TblMili[[#This Row],[Druid bonus]]*TblMili[[#This Row],[Unit 4]]</f>
        <v>#VALUE!</v>
      </c>
      <c r="CQ78" s="148" t="e">
        <f aca="false">MIN(6,TblMili[[#This Row],[Dryad]]+Races!$F$35)*1.8 +  IF(TblMili[[#This Row],[Dryad]]+Races!$F$35&gt;6,(TblMili[[#This Row],[Dryad]]+Races!$F$35-6)*0.2,0) - Races!$I$19</f>
        <v>#VALUE!</v>
      </c>
      <c r="CR78" s="69" t="e">
        <f aca="false">sylvan*(TblMili[[#This Row],[Mystic bonus]]*TblMili[[#This Row],[Unit 3]])</f>
        <v>#VALUE!</v>
      </c>
      <c r="CS78" s="148" t="e">
        <f aca="false">1.8 * MIN(MAX(Races!$E$27,TblMili[[#This Row],[Rockapult]]+Races!$F$27),6)  +  0.45 * MIN(MIN(Races!$E$27,TblMili[[#This Row],[Rockapult]]+Races!$F$27),6)  +  0.2 * ( MAX(Races!$E$27-6,0) + MAX(TblMili[[#This Row],[Rockapult]]+Races!$F$27-6,0) )  -  Races!$I$20</f>
        <v>#VALUE!</v>
      </c>
      <c r="CT78" s="69" t="e">
        <f aca="false">gnome*(TblMili[[#This Row],[Rockapult bonus]]*TblMili[[#This Row],[Unit 3]])</f>
        <v>#VALUE!</v>
      </c>
      <c r="CU78" s="148" t="n">
        <f aca="false">1.8 * MIN(MAX(TblMili[[#This Row],[Spellblade]]+Races!$E$47,TblMili[[#This Row],[Adept-DP]]+Races!$F$47),6)  +  0.45 * MIN(MIN(TblMili[[#This Row],[Spellblade]]+Races!$E$47,TblMili[[#This Row],[Adept-DP]]+Races!$F$47),6)  +  0.2 * ( MAX(TblMili[[#This Row],[Spellblade]]+Races!$E$47-6,0) + MAX(TblMili[[#This Row],[Adept-DP]]+Races!$F$47-6,0) )  -  Races!$I$47</f>
        <v>0</v>
      </c>
      <c r="CV78" s="69" t="n">
        <f aca="false">dark_elf*(TblMili[[#This Row],[Adept bonus]]*TblMili[[#This Row],[Unit 3]])</f>
        <v>0</v>
      </c>
      <c r="CW78" s="148" t="e">
        <f aca="false">1.8 * MIN(MAX(TblMili[[#This Row],[Frost Mage]]+Races!$F$71,Races!$E$71),6)  +  0.45 * MIN(MIN(TblMili[[#This Row],[Frost Mage]]+Races!$F$71,Races!$E$71),6)  +  0.2 * ( MAX(TblMili[[#This Row],[Frost Mage]]+Races!$F$71-6,0) + MAX(Races!$E$71-6,0) )  -  Races!$I$71</f>
        <v>#VALUE!</v>
      </c>
      <c r="CX78" s="148" t="n">
        <f aca="false">1.8 * MIN(MAX(TblMili[[#This Row],[Ice Elemental]]+Races!$E$71,Races!$F$71),6)  +  0.45 * MIN(MIN(TblMili[[#This Row],[Ice Elemental]]+Races!$E$71,Races!$F$71),6)  +  0.2 * ( MAX(TblMili[[#This Row],[Ice Elemental]]+Races!$E$71-6,0) + MAX(Races!$F$71-6,0) )  -  Races!$I$71</f>
        <v>0.064285714285715</v>
      </c>
      <c r="CY78" s="69" t="e">
        <f aca="false">TblMili[[#This Row],[Frost Mage bonus]]*TblMili[[#This Row],[Unit 3]]+TblMili[[#This Row],[Ice Elemental bonus]]*TblMili[[#This Row],[Unit 4]]</f>
        <v>#VALUE!</v>
      </c>
      <c r="CZ78" s="290"/>
      <c r="DA78" s="109" t="n">
        <f aca="false">MIN(SUM(TblConstr[[#This Row],[Plain]:[Water]])/TblMili[[#This Row],[Land]]/favorable_terrain_bonus/100,favorable_terrain_max)</f>
        <v>0</v>
      </c>
      <c r="DB78" s="290"/>
      <c r="DC7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8" s="132"/>
      <c r="DE78" s="291" t="n">
        <f aca="false">(TblMili[[#This Row],[Wizards]]+2*TblMili[[#This Row],[Archmages]])/TblConstr[[#This Row],[Land]]</f>
        <v>0.0357142857142857</v>
      </c>
      <c r="DF78" s="291" t="n">
        <f aca="false">TblMili[[#This Row],[Raw (2)]]*(1+race_wizard_strength+IF(TblMili[[#This Row],[Hour]]&gt;72,tech_magical_weaponry_wiz*TblTech[[#This Row],[3-5]],0))</f>
        <v>0.0357142857142857</v>
      </c>
    </row>
    <row r="79" customFormat="false" ht="12.75" hidden="false" customHeight="false" outlineLevel="0" collapsed="false">
      <c r="A79" s="128" t="n">
        <f aca="false">TblRezone[[#This Row],[Hour]]</f>
        <v>76</v>
      </c>
      <c r="B79" s="282" t="n">
        <f aca="false">SUM(TblMili[[#This Row],[Unit 1]:[Archmages]])+SUM(OFFSET(TblMili[[#This Row],[Train Unit 1]],-8,0):TblMili[[#This Row],[Train Unit 2]]) + SUM(OFFSET(TblMili[[#This Row],[Train Unit 3]],-11,0):TblMili[[#This Row],[Train AM]]) + TblMili[[#This Row],[Draftees]]</f>
        <v>3224</v>
      </c>
      <c r="C79" s="150" t="n">
        <f aca="false">TblPop[[#This Row],[Military%]]</f>
        <v>0.24916917845274</v>
      </c>
      <c r="D79" s="132"/>
      <c r="E79" s="151" t="n">
        <f aca="false">OFFSET(TblMili[[#This Row],[Unit 1]],-1,0) + OFFSET(TblMili[[#This Row],[Train Unit 1]],-9,0) - TblMili[[#This Row],[Release Unit 1]]</f>
        <v>0</v>
      </c>
      <c r="F79" s="151" t="n">
        <f aca="false">OFFSET(TblMili[[#This Row],[Unit 2]],-1,0) + OFFSET(TblMili[[#This Row],[Train Unit 2]],-9,0)-TblMili[[#This Row],[Release Unit 2]]</f>
        <v>950</v>
      </c>
      <c r="G79" s="151" t="n">
        <f aca="false">OFFSET(TblMili[[#This Row],[Unit 3]],-1,0) + OFFSET(TblMili[[#This Row],[Train Unit 3]],-12,0)-TblMili[[#This Row],[Release Unit 3]]</f>
        <v>625</v>
      </c>
      <c r="H79" s="151" t="n">
        <f aca="false">OFFSET(TblMili[[#This Row],[Unit 4]],-1,0) + OFFSET(TblMili[[#This Row],[Train Unit 4]],-12,0)-TblMili[[#This Row],[Release Unit 4]]</f>
        <v>638</v>
      </c>
      <c r="I79" s="151" t="n">
        <f aca="false">OFFSET(TblMili[[#This Row],[Spies]],-1,0) + OFFSET(TblMili[[#This Row],[Train Spies]],-12,0) - TblMili[[#This Row],[Release Spies]]-TblMili[[#This Row],[Train AS]]</f>
        <v>25</v>
      </c>
      <c r="J79" s="151" t="n">
        <f aca="false">OFFSET(TblMili[[#This Row],[Archspies]],-1,0) + OFFSET(TblMili[[#This Row],[Train AS]],-12,0) - TblMili[[#This Row],[Release AS]]</f>
        <v>0</v>
      </c>
      <c r="K79" s="151" t="n">
        <f aca="false">OFFSET(TblMili[[#This Row],[Wizards]],-1,0) + OFFSET(TblMili[[#This Row],[Train Wiz]],-12,0) - TblMili[[#This Row],[Release Wizards]]-TblMili[[#This Row],[Train AM]]</f>
        <v>25</v>
      </c>
      <c r="L79" s="151" t="n">
        <f aca="false">OFFSET(TblMili[[#This Row],[Archmages]],-1,0) + OFFSET(TblMili[[#This Row],[Train AM]],-12,0) - TblMili[[#This Row],[Release AM]]</f>
        <v>0</v>
      </c>
      <c r="M79" s="132"/>
      <c r="N79" s="69" t="e">
        <f aca="false">TblProd[[#This Row],[Networth]]</f>
        <v>#VALUE!</v>
      </c>
      <c r="O79" s="132"/>
      <c r="P7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9" s="285" t="e">
        <f aca="false">TblMili[[#This Row],[Raw]]*(1+TblMili[[#This Row],[Mods_Off]])</f>
        <v>#VALUE!</v>
      </c>
      <c r="S7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9" s="285" t="e">
        <f aca="false">TblMili[[#This Row],[Non Draft]]+TblMili[[#This Row],[Draftees]]</f>
        <v>#VALUE!</v>
      </c>
      <c r="U79" s="286" t="n">
        <f aca="false">race_defense + TblImps[[#This Row],[Walls]] + ROUND( MIN(gt_bonus*TblConstr[[#This Row],[Tot GT]]/TblConstr[[#This Row],[Land]],gt_bonus_cap), 4) + IF(TblMagic[[#This Row],[Active Howling]]&gt;0,howling_dp_bonus,IF(TblMagic[[#This Row],[Active Ares Call]]&gt;0,ares_call_bonus))</f>
        <v>0.2375</v>
      </c>
      <c r="V79" s="274" t="e">
        <f aca="false">TblMili[[#This Row],[Non Draft]] * (1 + TblMili[[#This Row],[Mods_Def]])</f>
        <v>#VALUE!</v>
      </c>
      <c r="W79" s="285" t="e">
        <f aca="false">TblMili[[#This Row],[Draft]] * (1 + TblMili[[#This Row],[Mods_Def]])</f>
        <v>#VALUE!</v>
      </c>
      <c r="X79" s="285" t="n">
        <f aca="false">TblConstr[[#This Row],[Land]]</f>
        <v>700</v>
      </c>
      <c r="Y79" s="287"/>
      <c r="Z79" s="109" t="n">
        <f aca="false">IF(TblMili[[#This Row],[Set]]&lt;&gt;"",TblMili[[#This Row],[Set]],OFFSET(TblMili[[#This Row],[Draftrate]],-1,0))</f>
        <v>0.9</v>
      </c>
      <c r="AA79" s="69" t="n">
        <f aca="false">OFFSET(TblMili[[#This Row],[Draftees]],-1,0)+OFFSET(TblPop[[#This Row],[Draft Growth]],-1,0) - SUM(TblMili[[#This Row],[Train Unit 1]:[Train Spies]],TblMili[[#This Row],[Train Wiz]]) - TblMili[[#This Row],[Release Draft]] + SUM(TblMili[[#This Row],[Release Unit 1]:[Release AM]]) - TblExplore[[#This Row],[Draftees (2)]]</f>
        <v>0</v>
      </c>
      <c r="AB79" s="146"/>
      <c r="AC79" s="130" t="n">
        <f aca="false">(TblConstr[[#This Row],[Tot Smi]]+TblConstr[[#This Row],[Dest Smi]])/(TblConstr[[#This Row],[Land]]-TblExplore[[#This Row],[Land Bonus]]*20)</f>
        <v>0.18</v>
      </c>
      <c r="AD79" s="128"/>
      <c r="AE79" s="282" t="n">
        <f aca="false">TblMili[[#This Row],[Hour]]</f>
        <v>76</v>
      </c>
      <c r="AF79" s="129" t="n">
        <f aca="false">TblExplore[[#This Row],[Time]]</f>
        <v>45432.875</v>
      </c>
      <c r="AG79" s="182"/>
      <c r="AH79" s="182" t="n">
        <v>98</v>
      </c>
      <c r="AI79" s="182"/>
      <c r="AJ79" s="182"/>
      <c r="AK79" s="182"/>
      <c r="AL79" s="182"/>
      <c r="AM79" s="182"/>
      <c r="AN79" s="182"/>
      <c r="AO79" s="132"/>
      <c r="AP79" s="69" t="n">
        <f aca="false">TblProd[[#This Row],[Platinum]]</f>
        <v>68865</v>
      </c>
      <c r="AQ79" s="69" t="n">
        <f aca="false">INDEX(TblProd[[#Headers],[Lumber]]:TblProd[[#This Row],[Ore]],COUNTA(TblProd[[#Headers],[Lumber]]:TblProd[[#This Row],[Lumber]]),MATCH(Military!$AQ$2,TblProd[[#Headers],[Lumber]:[Ore]],0))</f>
        <v>0</v>
      </c>
      <c r="AR7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9" s="69" t="n">
        <f aca="false">TblMili[[#This Row],[Train Unit 1]]*TblMili[[#This Row],[OP Ore]]+TblMili[[#This Row],[Train Unit 2]]*TblMili[[#This Row],[DP Ore]]+TblMili[[#This Row],[Train Unit 3]]*TblMili[[#This Row],[E1 Ore]]+TblMili[[#This Row],[Train Unit 4]]*TblMili[[#This Row],[E2 Ore]]</f>
        <v>0</v>
      </c>
      <c r="AT79" s="132" t="n">
        <f aca="false">TblMili[[#This Row],[Hour]]</f>
        <v>76</v>
      </c>
      <c r="AU79" s="144" t="n">
        <f aca="false">TblMili[[#This Row],[Time]]</f>
        <v>45432.875</v>
      </c>
      <c r="AV79" s="69" t="n">
        <f aca="false">TblMili[[#This Row],[Draftees]]</f>
        <v>0</v>
      </c>
      <c r="AW79" s="152"/>
      <c r="AX79" s="182"/>
      <c r="AY79" s="182"/>
      <c r="AZ79" s="182"/>
      <c r="BA79" s="182"/>
      <c r="BB79" s="182"/>
      <c r="BC79" s="182"/>
      <c r="BD79" s="182"/>
      <c r="BE79" s="182"/>
      <c r="BF79" s="132"/>
      <c r="BG79" s="150" t="n">
        <f aca="false">TblConstr[[#This Row],[Tot WG]]/TblConstr[[#This Row],[Land]]</f>
        <v>0</v>
      </c>
      <c r="BH79" s="150" t="n">
        <f aca="false">TblConstr[[#This Row],[Tot Hav]]/TblConstr[[#This Row],[Land]]</f>
        <v>0</v>
      </c>
      <c r="BI79" s="69" t="n">
        <f aca="false">ROUNDUP((1-MIN(TblMili[[#This Row],[Smithies]]*smithy_bonus,smithy_bonus_cap) + tech_3_5*TblTech[[#This Row],[3-5]] + tech_5_3*TblTech[[#This Row],[5-3]] + tech_5_5*TblTech[[#This Row],[5-5]])*spec_op_plat,0)</f>
        <v>192</v>
      </c>
      <c r="BJ79" s="69" t="n">
        <f aca="false">ROUNDUP(IF(race="Gnome",1,(1-MIN(TblMili[[#This Row],[Smithies]]*smithy_bonus,smithy_bonus_cap) + tech_3_5*TblTech[[#This Row],[3-5]] + tech_5_3*TblTech[[#This Row],[5-3]] + tech_5_5*TblTech[[#This Row],[5-5]]))*spec_op_ore,0)</f>
        <v>0</v>
      </c>
      <c r="BK79" s="69" t="n">
        <f aca="false">ROUNDUP((1-MIN(TblMili[[#This Row],[Smithies]]*smithy_bonus,smithy_bonus_cap) + tech_3_5*TblTech[[#This Row],[3-5]] + tech_5_3*TblTech[[#This Row],[5-3]] + tech_5_5*TblTech[[#This Row],[5-5]])*spec_dp_plat,0)</f>
        <v>192</v>
      </c>
      <c r="BL79" s="69" t="n">
        <f aca="false">ROUNDUP(IF(race="Gnome",1,(1-MIN(TblMili[[#This Row],[Smithies]]*smithy_bonus,smithy_bonus_cap) + tech_3_5*TblTech[[#This Row],[3-5]] + tech_5_3*TblTech[[#This Row],[5-3]] + tech_5_5*TblTech[[#This Row],[5-5]]))*spec_dp_ore,0)</f>
        <v>0</v>
      </c>
      <c r="BM79" s="69" t="n">
        <f aca="false">ROUNDUP((1-MIN(TblMili[[#This Row],[Smithies]]*smithy_bonus,smithy_bonus_cap) + tech_3_5*TblTech[[#This Row],[3-5]] + tech_5_3*TblTech[[#This Row],[5-3]] + tech_5_5*TblTech[[#This Row],[5-5]])*elite1_plat,0)</f>
        <v>592</v>
      </c>
      <c r="BN79" s="69" t="n">
        <f aca="false">ROUNDUP(IF(race="Gnome",1,(1-MIN(TblMili[[#This Row],[Smithies]]*smithy_bonus,smithy_bonus_cap) + tech_3_5*TblTech[[#This Row],[3-5]] + tech_5_3*TblTech[[#This Row],[5-3]] + tech_5_5*TblTech[[#This Row],[5-5]]))*elite1_ore,0)</f>
        <v>0</v>
      </c>
      <c r="BO79" s="69" t="n">
        <f aca="false">ROUNDUP((1-MIN(TblMili[[#This Row],[Smithies]]*smithy_bonus,smithy_bonus_cap) + tech_3_5*TblTech[[#This Row],[3-5]] + tech_5_3*TblTech[[#This Row],[5-3]] + tech_5_5*TblTech[[#This Row],[5-5]])*elite2_plat,0)</f>
        <v>608</v>
      </c>
      <c r="BP79" s="69" t="n">
        <f aca="false">ROUNDUP(IF(race="Gnome",1,(1-MIN(TblMili[[#This Row],[Smithies]]*smithy_bonus,smithy_bonus_cap) + tech_3_5*TblTech[[#This Row],[3-5]] + tech_5_3*TblTech[[#This Row],[5-3]] + tech_5_5*TblTech[[#This Row],[5-5]]))*elite2_ore,0)</f>
        <v>0</v>
      </c>
      <c r="BQ79" s="69" t="n">
        <f aca="false">ROUNDUP((1-MIN(ROUND(fh_spy_cost_red*TblMili[[#This Row],[FH''s]],4),fh_spy_cost_cap)+ tech_1_9*TblTech[[#This Row],[1-9]] + tech_9_1*TblTech[[#This Row],[9-1]])*spy_plat,0)</f>
        <v>500</v>
      </c>
      <c r="BR79" s="69" t="n">
        <f aca="false">ROUNDUP((1-MIN(ROUND(fh_spy_cost_red*TblMili[[#This Row],[FH''s]],4),fh_spy_cost_cap)+ tech_1_9*TblTech[[#This Row],[1-9]] + tech_9_1*TblTech[[#This Row],[9-1]])*archspy_plat,0)</f>
        <v>1000</v>
      </c>
      <c r="BS79" s="69" t="n">
        <f aca="false">ROUNDUP((1-MIN(ROUND(wg_wiz_cost_bonus*TblMili[[#This Row],[WG''s]],4),wg_wiz_cost_cap) + tech_1_9_2*TblTech[[#This Row],[1-9]] + tech_9_1_2*TblTech[[#This Row],[9-1]])*wizard_plat,0)</f>
        <v>500</v>
      </c>
      <c r="BT79" s="69" t="n">
        <f aca="false">ROUNDUP((1-MIN(ROUND(wg_wiz_cost_bonus*TblMili[[#This Row],[WG''s]],4),wg_wiz_cost_cap) + tech_1_9_2*TblTech[[#This Row],[1-9]] + tech_9_1_2*TblTech[[#This Row],[9-1]])*archmage_plat,0)</f>
        <v>1000</v>
      </c>
      <c r="BU79" s="132"/>
      <c r="BV79" s="150" t="e">
        <f aca="false">TblConstr[[#This Row],[Homeland]]/TblConstr[[#This Row],[Land]]</f>
        <v>#VALUE!</v>
      </c>
      <c r="BW79" s="150" t="n">
        <f aca="false">TblMili[[#This Row],[WG''s]]</f>
        <v>0</v>
      </c>
      <c r="BX79" s="288" t="e">
        <f aca="false">IF(mystic_cap="none",TblMili[[#This Row],[Hill]]/mystic_bonus,MIN(mystic_cap,TblMili[[#This Row],[Hill]]/mystic_bonus))</f>
        <v>#VALUE!</v>
      </c>
      <c r="BY79" s="288" t="e">
        <f aca="false">IF(druid_op_cap="none",TblMili[[#This Row],[Hill]]/druid_op_bonus,MIN(druid_op_cap,TblMili[[#This Row],[Hill]]/druid_op_bonus))</f>
        <v>#VALUE!</v>
      </c>
      <c r="BZ79" s="288" t="e">
        <f aca="false">IF(druid_dp_cap="none",TblMili[[#This Row],[Hill]]/druid_dp_bonus,MIN(druid_dp_cap,TblMili[[#This Row],[Hill]]/druid_dp_bonus))</f>
        <v>#VALUE!</v>
      </c>
      <c r="CA79" s="288" t="e">
        <f aca="false">MIN(dryad_cap,TblMili[[#This Row],[Hill]]/dryad_bonus)</f>
        <v>#VALUE!</v>
      </c>
      <c r="CB79" s="288" t="e">
        <f aca="false">MIN(rocka_cap,TblMili[[#This Row],[Hill]]/rocka_bonus)</f>
        <v>#VALUE!</v>
      </c>
      <c r="CC79" s="288" t="n">
        <f aca="false">MIN(adept_op_cap,TblMili[[#This Row],[WG]]/adept_op_bonus)</f>
        <v>0</v>
      </c>
      <c r="CD79" s="288" t="n">
        <f aca="false">MIN(adept_dp_cap,TblMili[[#This Row],[WG]]/adept_dp_bonus)</f>
        <v>0</v>
      </c>
      <c r="CE79" s="69" t="n">
        <f aca="false">MIN(TblMili[[#This Row],[Unit 3]],TblMili[[#This Row],[Unit 2]])*2</f>
        <v>1250</v>
      </c>
      <c r="CF79" s="69" t="n">
        <f aca="false">MIN(TblMili[[#This Row],[Unit 1]],TblMili[[#This Row],[Unit 4]])*2</f>
        <v>0</v>
      </c>
      <c r="CG79" s="288" t="e">
        <f aca="false">MIN(frost_mage_cap,TblMili[[#This Row],[Hill]]/frost_mage_bonus)</f>
        <v>#VALUE!</v>
      </c>
      <c r="CH79" s="151" t="n">
        <f aca="false">MIN(ice_elem_cap,TblMili[[#This Row],[Raw (2)]]*ice_elem_bonus)</f>
        <v>0.0357142857142857</v>
      </c>
      <c r="CI79" s="288" t="n">
        <f aca="false">MIN(bone_breaker_cap,250/bone_breaker_bonus)</f>
        <v>0.833333333333333</v>
      </c>
      <c r="CJ79" s="288" t="e">
        <f aca="false">MIN(nox_nightshade_cap,TblConstr[[#This Row],[Homeland]]/TblConstr[[#This Row],[Land]]/nox_nightshade_swamp_bonus)</f>
        <v>#VALUE!</v>
      </c>
      <c r="CK79" s="289"/>
      <c r="CL79" s="289"/>
      <c r="CM79" s="289"/>
      <c r="CN79" s="288" t="e">
        <f aca="false">MIN(6,TblMili[[#This Row],[Mystic]]+Races!$F$19)*1.8 +  IF(TblMili[[#This Row],[Mystic]]+Races!$F$19&gt;6,(TblMili[[#This Row],[Mystic]]+Races!$F$19-6)*0.2,0) - Races!$I$19</f>
        <v>#VALUE!</v>
      </c>
      <c r="CO79" s="288" t="e">
        <f aca="false">1.8 * MIN(MAX(TblMili[[#This Row],[Druid (op)]]+Races!$E$20,TblMili[[#This Row],[Druid (dp)]]+Races!$F$20),6)  +  0.45 * MIN(MIN(TblMili[[#This Row],[Druid (op)]]+Races!$E$20,TblMili[[#This Row],[Druid (dp)]]+Races!$F$20),6)  +  0.2 * ( MAX(TblMili[[#This Row],[Druid (op)]]+Races!$E$20-6,0) + MAX(TblMili[[#This Row],[Druid (dp)]]+Races!$F$20-6,0) )  -  Races!$I$20</f>
        <v>#VALUE!</v>
      </c>
      <c r="CP79" s="69" t="e">
        <f aca="false">TblMili[[#This Row],[Mystic bonus]]*TblMili[[#This Row],[Unit 3]]+TblMili[[#This Row],[Druid bonus]]*TblMili[[#This Row],[Unit 4]]</f>
        <v>#VALUE!</v>
      </c>
      <c r="CQ79" s="148" t="e">
        <f aca="false">MIN(6,TblMili[[#This Row],[Dryad]]+Races!$F$35)*1.8 +  IF(TblMili[[#This Row],[Dryad]]+Races!$F$35&gt;6,(TblMili[[#This Row],[Dryad]]+Races!$F$35-6)*0.2,0) - Races!$I$19</f>
        <v>#VALUE!</v>
      </c>
      <c r="CR79" s="69" t="e">
        <f aca="false">sylvan*(TblMili[[#This Row],[Mystic bonus]]*TblMili[[#This Row],[Unit 3]])</f>
        <v>#VALUE!</v>
      </c>
      <c r="CS79" s="148" t="e">
        <f aca="false">1.8 * MIN(MAX(Races!$E$27,TblMili[[#This Row],[Rockapult]]+Races!$F$27),6)  +  0.45 * MIN(MIN(Races!$E$27,TblMili[[#This Row],[Rockapult]]+Races!$F$27),6)  +  0.2 * ( MAX(Races!$E$27-6,0) + MAX(TblMili[[#This Row],[Rockapult]]+Races!$F$27-6,0) )  -  Races!$I$20</f>
        <v>#VALUE!</v>
      </c>
      <c r="CT79" s="69" t="e">
        <f aca="false">gnome*(TblMili[[#This Row],[Rockapult bonus]]*TblMili[[#This Row],[Unit 3]])</f>
        <v>#VALUE!</v>
      </c>
      <c r="CU79" s="148" t="n">
        <f aca="false">1.8 * MIN(MAX(TblMili[[#This Row],[Spellblade]]+Races!$E$47,TblMili[[#This Row],[Adept-DP]]+Races!$F$47),6)  +  0.45 * MIN(MIN(TblMili[[#This Row],[Spellblade]]+Races!$E$47,TblMili[[#This Row],[Adept-DP]]+Races!$F$47),6)  +  0.2 * ( MAX(TblMili[[#This Row],[Spellblade]]+Races!$E$47-6,0) + MAX(TblMili[[#This Row],[Adept-DP]]+Races!$F$47-6,0) )  -  Races!$I$47</f>
        <v>0</v>
      </c>
      <c r="CV79" s="69" t="n">
        <f aca="false">dark_elf*(TblMili[[#This Row],[Adept bonus]]*TblMili[[#This Row],[Unit 3]])</f>
        <v>0</v>
      </c>
      <c r="CW79" s="148" t="e">
        <f aca="false">1.8 * MIN(MAX(TblMili[[#This Row],[Frost Mage]]+Races!$F$71,Races!$E$71),6)  +  0.45 * MIN(MIN(TblMili[[#This Row],[Frost Mage]]+Races!$F$71,Races!$E$71),6)  +  0.2 * ( MAX(TblMili[[#This Row],[Frost Mage]]+Races!$F$71-6,0) + MAX(Races!$E$71-6,0) )  -  Races!$I$71</f>
        <v>#VALUE!</v>
      </c>
      <c r="CX79" s="148" t="n">
        <f aca="false">1.8 * MIN(MAX(TblMili[[#This Row],[Ice Elemental]]+Races!$E$71,Races!$F$71),6)  +  0.45 * MIN(MIN(TblMili[[#This Row],[Ice Elemental]]+Races!$E$71,Races!$F$71),6)  +  0.2 * ( MAX(TblMili[[#This Row],[Ice Elemental]]+Races!$E$71-6,0) + MAX(Races!$F$71-6,0) )  -  Races!$I$71</f>
        <v>0.064285714285715</v>
      </c>
      <c r="CY79" s="69" t="e">
        <f aca="false">TblMili[[#This Row],[Frost Mage bonus]]*TblMili[[#This Row],[Unit 3]]+TblMili[[#This Row],[Ice Elemental bonus]]*TblMili[[#This Row],[Unit 4]]</f>
        <v>#VALUE!</v>
      </c>
      <c r="CZ79" s="290"/>
      <c r="DA79" s="109" t="n">
        <f aca="false">MIN(SUM(TblConstr[[#This Row],[Plain]:[Water]])/TblMili[[#This Row],[Land]]/favorable_terrain_bonus/100,favorable_terrain_max)</f>
        <v>0</v>
      </c>
      <c r="DB79" s="290"/>
      <c r="DC7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9" s="132"/>
      <c r="DE79" s="291" t="n">
        <f aca="false">(TblMili[[#This Row],[Wizards]]+2*TblMili[[#This Row],[Archmages]])/TblConstr[[#This Row],[Land]]</f>
        <v>0.0357142857142857</v>
      </c>
      <c r="DF79" s="291" t="n">
        <f aca="false">TblMili[[#This Row],[Raw (2)]]*(1+race_wizard_strength+IF(TblMili[[#This Row],[Hour]]&gt;72,tech_magical_weaponry_wiz*TblTech[[#This Row],[3-5]],0))</f>
        <v>0.0357142857142857</v>
      </c>
    </row>
    <row r="80" customFormat="false" ht="12.75" hidden="false" customHeight="false" outlineLevel="0" collapsed="false">
      <c r="A80" s="128" t="n">
        <f aca="false">TblRezone[[#This Row],[Hour]]</f>
        <v>77</v>
      </c>
      <c r="B80" s="282" t="n">
        <f aca="false">SUM(TblMili[[#This Row],[Unit 1]:[Archmages]])+SUM(OFFSET(TblMili[[#This Row],[Train Unit 1]],-8,0):TblMili[[#This Row],[Train Unit 2]]) + SUM(OFFSET(TblMili[[#This Row],[Train Unit 3]],-11,0):TblMili[[#This Row],[Train AM]]) + TblMili[[#This Row],[Draftees]]</f>
        <v>3321</v>
      </c>
      <c r="C80" s="150" t="n">
        <f aca="false">TblPop[[#This Row],[Military%]]</f>
        <v>0.256665893809413</v>
      </c>
      <c r="D80" s="132"/>
      <c r="E80" s="151" t="n">
        <f aca="false">OFFSET(TblMili[[#This Row],[Unit 1]],-1,0) + OFFSET(TblMili[[#This Row],[Train Unit 1]],-9,0) - TblMili[[#This Row],[Release Unit 1]]</f>
        <v>0</v>
      </c>
      <c r="F80" s="151" t="n">
        <f aca="false">OFFSET(TblMili[[#This Row],[Unit 2]],-1,0) + OFFSET(TblMili[[#This Row],[Train Unit 2]],-9,0)-TblMili[[#This Row],[Release Unit 2]]</f>
        <v>1002</v>
      </c>
      <c r="G80" s="151" t="n">
        <f aca="false">OFFSET(TblMili[[#This Row],[Unit 3]],-1,0) + OFFSET(TblMili[[#This Row],[Train Unit 3]],-12,0)-TblMili[[#This Row],[Release Unit 3]]</f>
        <v>625</v>
      </c>
      <c r="H80" s="151" t="n">
        <f aca="false">OFFSET(TblMili[[#This Row],[Unit 4]],-1,0) + OFFSET(TblMili[[#This Row],[Train Unit 4]],-12,0)-TblMili[[#This Row],[Release Unit 4]]</f>
        <v>638</v>
      </c>
      <c r="I80" s="151" t="n">
        <f aca="false">OFFSET(TblMili[[#This Row],[Spies]],-1,0) + OFFSET(TblMili[[#This Row],[Train Spies]],-12,0) - TblMili[[#This Row],[Release Spies]]-TblMili[[#This Row],[Train AS]]</f>
        <v>25</v>
      </c>
      <c r="J80" s="151" t="n">
        <f aca="false">OFFSET(TblMili[[#This Row],[Archspies]],-1,0) + OFFSET(TblMili[[#This Row],[Train AS]],-12,0) - TblMili[[#This Row],[Release AS]]</f>
        <v>0</v>
      </c>
      <c r="K80" s="151" t="n">
        <f aca="false">OFFSET(TblMili[[#This Row],[Wizards]],-1,0) + OFFSET(TblMili[[#This Row],[Train Wiz]],-12,0) - TblMili[[#This Row],[Release Wizards]]-TblMili[[#This Row],[Train AM]]</f>
        <v>25</v>
      </c>
      <c r="L80" s="151" t="n">
        <f aca="false">OFFSET(TblMili[[#This Row],[Archmages]],-1,0) + OFFSET(TblMili[[#This Row],[Train AM]],-12,0) - TblMili[[#This Row],[Release AM]]</f>
        <v>0</v>
      </c>
      <c r="M80" s="132"/>
      <c r="N80" s="69" t="e">
        <f aca="false">TblProd[[#This Row],[Networth]]</f>
        <v>#VALUE!</v>
      </c>
      <c r="O80" s="132"/>
      <c r="P8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0" s="285" t="e">
        <f aca="false">TblMili[[#This Row],[Raw]]*(1+TblMili[[#This Row],[Mods_Off]])</f>
        <v>#VALUE!</v>
      </c>
      <c r="S8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0" s="285" t="e">
        <f aca="false">TblMili[[#This Row],[Non Draft]]+TblMili[[#This Row],[Draftees]]</f>
        <v>#VALUE!</v>
      </c>
      <c r="U80" s="286" t="n">
        <f aca="false">race_defense + TblImps[[#This Row],[Walls]] + ROUND( MIN(gt_bonus*TblConstr[[#This Row],[Tot GT]]/TblConstr[[#This Row],[Land]],gt_bonus_cap), 4) + IF(TblMagic[[#This Row],[Active Howling]]&gt;0,howling_dp_bonus,IF(TblMagic[[#This Row],[Active Ares Call]]&gt;0,ares_call_bonus))</f>
        <v>0.2375</v>
      </c>
      <c r="V80" s="274" t="e">
        <f aca="false">TblMili[[#This Row],[Non Draft]] * (1 + TblMili[[#This Row],[Mods_Def]])</f>
        <v>#VALUE!</v>
      </c>
      <c r="W80" s="285" t="e">
        <f aca="false">TblMili[[#This Row],[Draft]] * (1 + TblMili[[#This Row],[Mods_Def]])</f>
        <v>#VALUE!</v>
      </c>
      <c r="X80" s="285" t="n">
        <f aca="false">TblConstr[[#This Row],[Land]]</f>
        <v>700</v>
      </c>
      <c r="Y80" s="287"/>
      <c r="Z80" s="109" t="n">
        <f aca="false">IF(TblMili[[#This Row],[Set]]&lt;&gt;"",TblMili[[#This Row],[Set]],OFFSET(TblMili[[#This Row],[Draftrate]],-1,0))</f>
        <v>0.9</v>
      </c>
      <c r="AA80" s="69" t="n">
        <f aca="false">OFFSET(TblMili[[#This Row],[Draftees]],-1,0)+OFFSET(TblPop[[#This Row],[Draft Growth]],-1,0) - SUM(TblMili[[#This Row],[Train Unit 1]:[Train Spies]],TblMili[[#This Row],[Train Wiz]]) - TblMili[[#This Row],[Release Draft]] + SUM(TblMili[[#This Row],[Release Unit 1]:[Release AM]]) - TblExplore[[#This Row],[Draftees (2)]]</f>
        <v>97</v>
      </c>
      <c r="AB80" s="146"/>
      <c r="AC80" s="130" t="n">
        <f aca="false">(TblConstr[[#This Row],[Tot Smi]]+TblConstr[[#This Row],[Dest Smi]])/(TblConstr[[#This Row],[Land]]-TblExplore[[#This Row],[Land Bonus]]*20)</f>
        <v>0.18</v>
      </c>
      <c r="AD80" s="128"/>
      <c r="AE80" s="282" t="n">
        <f aca="false">TblMili[[#This Row],[Hour]]</f>
        <v>77</v>
      </c>
      <c r="AF80" s="129" t="n">
        <f aca="false">TblExplore[[#This Row],[Time]]</f>
        <v>45432.9166666667</v>
      </c>
      <c r="AG80" s="182"/>
      <c r="AH80" s="182"/>
      <c r="AI80" s="182"/>
      <c r="AJ80" s="182"/>
      <c r="AK80" s="182"/>
      <c r="AL80" s="182"/>
      <c r="AM80" s="182"/>
      <c r="AN80" s="182"/>
      <c r="AO80" s="132"/>
      <c r="AP80" s="69" t="n">
        <f aca="false">TblProd[[#This Row],[Platinum]]</f>
        <v>153735</v>
      </c>
      <c r="AQ80" s="69" t="n">
        <f aca="false">INDEX(TblProd[[#Headers],[Lumber]]:TblProd[[#This Row],[Ore]],COUNTA(TblProd[[#Headers],[Lumber]]:TblProd[[#This Row],[Lumber]]),MATCH(Military!$AQ$2,TblProd[[#Headers],[Lumber]:[Ore]],0))</f>
        <v>0</v>
      </c>
      <c r="AR8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69" t="n">
        <f aca="false">TblMili[[#This Row],[Train Unit 1]]*TblMili[[#This Row],[OP Ore]]+TblMili[[#This Row],[Train Unit 2]]*TblMili[[#This Row],[DP Ore]]+TblMili[[#This Row],[Train Unit 3]]*TblMili[[#This Row],[E1 Ore]]+TblMili[[#This Row],[Train Unit 4]]*TblMili[[#This Row],[E2 Ore]]</f>
        <v>0</v>
      </c>
      <c r="AT80" s="132" t="n">
        <f aca="false">TblMili[[#This Row],[Hour]]</f>
        <v>77</v>
      </c>
      <c r="AU80" s="144" t="n">
        <f aca="false">TblMili[[#This Row],[Time]]</f>
        <v>45432.9166666667</v>
      </c>
      <c r="AV80" s="69" t="n">
        <f aca="false">TblMili[[#This Row],[Draftees]]</f>
        <v>97</v>
      </c>
      <c r="AW80" s="152"/>
      <c r="AX80" s="182"/>
      <c r="AY80" s="182"/>
      <c r="AZ80" s="182"/>
      <c r="BA80" s="182"/>
      <c r="BB80" s="182"/>
      <c r="BC80" s="182"/>
      <c r="BD80" s="182"/>
      <c r="BE80" s="182"/>
      <c r="BF80" s="132"/>
      <c r="BG80" s="150" t="n">
        <f aca="false">TblConstr[[#This Row],[Tot WG]]/TblConstr[[#This Row],[Land]]</f>
        <v>0</v>
      </c>
      <c r="BH80" s="150" t="n">
        <f aca="false">TblConstr[[#This Row],[Tot Hav]]/TblConstr[[#This Row],[Land]]</f>
        <v>0</v>
      </c>
      <c r="BI80" s="69" t="n">
        <f aca="false">ROUNDUP((1-MIN(TblMili[[#This Row],[Smithies]]*smithy_bonus,smithy_bonus_cap) + tech_3_5*TblTech[[#This Row],[3-5]] + tech_5_3*TblTech[[#This Row],[5-3]] + tech_5_5*TblTech[[#This Row],[5-5]])*spec_op_plat,0)</f>
        <v>192</v>
      </c>
      <c r="BJ80" s="69" t="n">
        <f aca="false">ROUNDUP(IF(race="Gnome",1,(1-MIN(TblMili[[#This Row],[Smithies]]*smithy_bonus,smithy_bonus_cap) + tech_3_5*TblTech[[#This Row],[3-5]] + tech_5_3*TblTech[[#This Row],[5-3]] + tech_5_5*TblTech[[#This Row],[5-5]]))*spec_op_ore,0)</f>
        <v>0</v>
      </c>
      <c r="BK80" s="69" t="n">
        <f aca="false">ROUNDUP((1-MIN(TblMili[[#This Row],[Smithies]]*smithy_bonus,smithy_bonus_cap) + tech_3_5*TblTech[[#This Row],[3-5]] + tech_5_3*TblTech[[#This Row],[5-3]] + tech_5_5*TblTech[[#This Row],[5-5]])*spec_dp_plat,0)</f>
        <v>192</v>
      </c>
      <c r="BL80" s="69" t="n">
        <f aca="false">ROUNDUP(IF(race="Gnome",1,(1-MIN(TblMili[[#This Row],[Smithies]]*smithy_bonus,smithy_bonus_cap) + tech_3_5*TblTech[[#This Row],[3-5]] + tech_5_3*TblTech[[#This Row],[5-3]] + tech_5_5*TblTech[[#This Row],[5-5]]))*spec_dp_ore,0)</f>
        <v>0</v>
      </c>
      <c r="BM80" s="69" t="n">
        <f aca="false">ROUNDUP((1-MIN(TblMili[[#This Row],[Smithies]]*smithy_bonus,smithy_bonus_cap) + tech_3_5*TblTech[[#This Row],[3-5]] + tech_5_3*TblTech[[#This Row],[5-3]] + tech_5_5*TblTech[[#This Row],[5-5]])*elite1_plat,0)</f>
        <v>592</v>
      </c>
      <c r="BN80" s="69" t="n">
        <f aca="false">ROUNDUP(IF(race="Gnome",1,(1-MIN(TblMili[[#This Row],[Smithies]]*smithy_bonus,smithy_bonus_cap) + tech_3_5*TblTech[[#This Row],[3-5]] + tech_5_3*TblTech[[#This Row],[5-3]] + tech_5_5*TblTech[[#This Row],[5-5]]))*elite1_ore,0)</f>
        <v>0</v>
      </c>
      <c r="BO80" s="69" t="n">
        <f aca="false">ROUNDUP((1-MIN(TblMili[[#This Row],[Smithies]]*smithy_bonus,smithy_bonus_cap) + tech_3_5*TblTech[[#This Row],[3-5]] + tech_5_3*TblTech[[#This Row],[5-3]] + tech_5_5*TblTech[[#This Row],[5-5]])*elite2_plat,0)</f>
        <v>608</v>
      </c>
      <c r="BP80" s="69" t="n">
        <f aca="false">ROUNDUP(IF(race="Gnome",1,(1-MIN(TblMili[[#This Row],[Smithies]]*smithy_bonus,smithy_bonus_cap) + tech_3_5*TblTech[[#This Row],[3-5]] + tech_5_3*TblTech[[#This Row],[5-3]] + tech_5_5*TblTech[[#This Row],[5-5]]))*elite2_ore,0)</f>
        <v>0</v>
      </c>
      <c r="BQ80" s="69" t="n">
        <f aca="false">ROUNDUP((1-MIN(ROUND(fh_spy_cost_red*TblMili[[#This Row],[FH''s]],4),fh_spy_cost_cap)+ tech_1_9*TblTech[[#This Row],[1-9]] + tech_9_1*TblTech[[#This Row],[9-1]])*spy_plat,0)</f>
        <v>500</v>
      </c>
      <c r="BR80" s="69" t="n">
        <f aca="false">ROUNDUP((1-MIN(ROUND(fh_spy_cost_red*TblMili[[#This Row],[FH''s]],4),fh_spy_cost_cap)+ tech_1_9*TblTech[[#This Row],[1-9]] + tech_9_1*TblTech[[#This Row],[9-1]])*archspy_plat,0)</f>
        <v>1000</v>
      </c>
      <c r="BS80" s="69" t="n">
        <f aca="false">ROUNDUP((1-MIN(ROUND(wg_wiz_cost_bonus*TblMili[[#This Row],[WG''s]],4),wg_wiz_cost_cap) + tech_1_9_2*TblTech[[#This Row],[1-9]] + tech_9_1_2*TblTech[[#This Row],[9-1]])*wizard_plat,0)</f>
        <v>500</v>
      </c>
      <c r="BT80" s="69" t="n">
        <f aca="false">ROUNDUP((1-MIN(ROUND(wg_wiz_cost_bonus*TblMili[[#This Row],[WG''s]],4),wg_wiz_cost_cap) + tech_1_9_2*TblTech[[#This Row],[1-9]] + tech_9_1_2*TblTech[[#This Row],[9-1]])*archmage_plat,0)</f>
        <v>1000</v>
      </c>
      <c r="BU80" s="132"/>
      <c r="BV80" s="150" t="e">
        <f aca="false">TblConstr[[#This Row],[Homeland]]/TblConstr[[#This Row],[Land]]</f>
        <v>#VALUE!</v>
      </c>
      <c r="BW80" s="150" t="n">
        <f aca="false">TblMili[[#This Row],[WG''s]]</f>
        <v>0</v>
      </c>
      <c r="BX80" s="288" t="e">
        <f aca="false">IF(mystic_cap="none",TblMili[[#This Row],[Hill]]/mystic_bonus,MIN(mystic_cap,TblMili[[#This Row],[Hill]]/mystic_bonus))</f>
        <v>#VALUE!</v>
      </c>
      <c r="BY80" s="288" t="e">
        <f aca="false">IF(druid_op_cap="none",TblMili[[#This Row],[Hill]]/druid_op_bonus,MIN(druid_op_cap,TblMili[[#This Row],[Hill]]/druid_op_bonus))</f>
        <v>#VALUE!</v>
      </c>
      <c r="BZ80" s="288" t="e">
        <f aca="false">IF(druid_dp_cap="none",TblMili[[#This Row],[Hill]]/druid_dp_bonus,MIN(druid_dp_cap,TblMili[[#This Row],[Hill]]/druid_dp_bonus))</f>
        <v>#VALUE!</v>
      </c>
      <c r="CA80" s="288" t="e">
        <f aca="false">MIN(dryad_cap,TblMili[[#This Row],[Hill]]/dryad_bonus)</f>
        <v>#VALUE!</v>
      </c>
      <c r="CB80" s="288" t="e">
        <f aca="false">MIN(rocka_cap,TblMili[[#This Row],[Hill]]/rocka_bonus)</f>
        <v>#VALUE!</v>
      </c>
      <c r="CC80" s="288" t="n">
        <f aca="false">MIN(adept_op_cap,TblMili[[#This Row],[WG]]/adept_op_bonus)</f>
        <v>0</v>
      </c>
      <c r="CD80" s="288" t="n">
        <f aca="false">MIN(adept_dp_cap,TblMili[[#This Row],[WG]]/adept_dp_bonus)</f>
        <v>0</v>
      </c>
      <c r="CE80" s="69" t="n">
        <f aca="false">MIN(TblMili[[#This Row],[Unit 3]],TblMili[[#This Row],[Unit 2]])*2</f>
        <v>1250</v>
      </c>
      <c r="CF80" s="69" t="n">
        <f aca="false">MIN(TblMili[[#This Row],[Unit 1]],TblMili[[#This Row],[Unit 4]])*2</f>
        <v>0</v>
      </c>
      <c r="CG80" s="288" t="e">
        <f aca="false">MIN(frost_mage_cap,TblMili[[#This Row],[Hill]]/frost_mage_bonus)</f>
        <v>#VALUE!</v>
      </c>
      <c r="CH80" s="151" t="n">
        <f aca="false">MIN(ice_elem_cap,TblMili[[#This Row],[Raw (2)]]*ice_elem_bonus)</f>
        <v>0.0357142857142857</v>
      </c>
      <c r="CI80" s="288" t="n">
        <f aca="false">MIN(bone_breaker_cap,250/bone_breaker_bonus)</f>
        <v>0.833333333333333</v>
      </c>
      <c r="CJ80" s="288" t="e">
        <f aca="false">MIN(nox_nightshade_cap,TblConstr[[#This Row],[Homeland]]/TblConstr[[#This Row],[Land]]/nox_nightshade_swamp_bonus)</f>
        <v>#VALUE!</v>
      </c>
      <c r="CK80" s="289"/>
      <c r="CL80" s="289"/>
      <c r="CM80" s="289"/>
      <c r="CN80" s="288" t="e">
        <f aca="false">MIN(6,TblMili[[#This Row],[Mystic]]+Races!$F$19)*1.8 +  IF(TblMili[[#This Row],[Mystic]]+Races!$F$19&gt;6,(TblMili[[#This Row],[Mystic]]+Races!$F$19-6)*0.2,0) - Races!$I$19</f>
        <v>#VALUE!</v>
      </c>
      <c r="CO80" s="288" t="e">
        <f aca="false">1.8 * MIN(MAX(TblMili[[#This Row],[Druid (op)]]+Races!$E$20,TblMili[[#This Row],[Druid (dp)]]+Races!$F$20),6)  +  0.45 * MIN(MIN(TblMili[[#This Row],[Druid (op)]]+Races!$E$20,TblMili[[#This Row],[Druid (dp)]]+Races!$F$20),6)  +  0.2 * ( MAX(TblMili[[#This Row],[Druid (op)]]+Races!$E$20-6,0) + MAX(TblMili[[#This Row],[Druid (dp)]]+Races!$F$20-6,0) )  -  Races!$I$20</f>
        <v>#VALUE!</v>
      </c>
      <c r="CP80" s="69" t="e">
        <f aca="false">TblMili[[#This Row],[Mystic bonus]]*TblMili[[#This Row],[Unit 3]]+TblMili[[#This Row],[Druid bonus]]*TblMili[[#This Row],[Unit 4]]</f>
        <v>#VALUE!</v>
      </c>
      <c r="CQ80" s="148" t="e">
        <f aca="false">MIN(6,TblMili[[#This Row],[Dryad]]+Races!$F$35)*1.8 +  IF(TblMili[[#This Row],[Dryad]]+Races!$F$35&gt;6,(TblMili[[#This Row],[Dryad]]+Races!$F$35-6)*0.2,0) - Races!$I$19</f>
        <v>#VALUE!</v>
      </c>
      <c r="CR80" s="69" t="e">
        <f aca="false">sylvan*(TblMili[[#This Row],[Mystic bonus]]*TblMili[[#This Row],[Unit 3]])</f>
        <v>#VALUE!</v>
      </c>
      <c r="CS80" s="148" t="e">
        <f aca="false">1.8 * MIN(MAX(Races!$E$27,TblMili[[#This Row],[Rockapult]]+Races!$F$27),6)  +  0.45 * MIN(MIN(Races!$E$27,TblMili[[#This Row],[Rockapult]]+Races!$F$27),6)  +  0.2 * ( MAX(Races!$E$27-6,0) + MAX(TblMili[[#This Row],[Rockapult]]+Races!$F$27-6,0) )  -  Races!$I$20</f>
        <v>#VALUE!</v>
      </c>
      <c r="CT80" s="69" t="e">
        <f aca="false">gnome*(TblMili[[#This Row],[Rockapult bonus]]*TblMili[[#This Row],[Unit 3]])</f>
        <v>#VALUE!</v>
      </c>
      <c r="CU80" s="148" t="n">
        <f aca="false">1.8 * MIN(MAX(TblMili[[#This Row],[Spellblade]]+Races!$E$47,TblMili[[#This Row],[Adept-DP]]+Races!$F$47),6)  +  0.45 * MIN(MIN(TblMili[[#This Row],[Spellblade]]+Races!$E$47,TblMili[[#This Row],[Adept-DP]]+Races!$F$47),6)  +  0.2 * ( MAX(TblMili[[#This Row],[Spellblade]]+Races!$E$47-6,0) + MAX(TblMili[[#This Row],[Adept-DP]]+Races!$F$47-6,0) )  -  Races!$I$47</f>
        <v>0</v>
      </c>
      <c r="CV80" s="69" t="n">
        <f aca="false">dark_elf*(TblMili[[#This Row],[Adept bonus]]*TblMili[[#This Row],[Unit 3]])</f>
        <v>0</v>
      </c>
      <c r="CW80" s="148" t="e">
        <f aca="false">1.8 * MIN(MAX(TblMili[[#This Row],[Frost Mage]]+Races!$F$71,Races!$E$71),6)  +  0.45 * MIN(MIN(TblMili[[#This Row],[Frost Mage]]+Races!$F$71,Races!$E$71),6)  +  0.2 * ( MAX(TblMili[[#This Row],[Frost Mage]]+Races!$F$71-6,0) + MAX(Races!$E$71-6,0) )  -  Races!$I$71</f>
        <v>#VALUE!</v>
      </c>
      <c r="CX80" s="148" t="n">
        <f aca="false">1.8 * MIN(MAX(TblMili[[#This Row],[Ice Elemental]]+Races!$E$71,Races!$F$71),6)  +  0.45 * MIN(MIN(TblMili[[#This Row],[Ice Elemental]]+Races!$E$71,Races!$F$71),6)  +  0.2 * ( MAX(TblMili[[#This Row],[Ice Elemental]]+Races!$E$71-6,0) + MAX(Races!$F$71-6,0) )  -  Races!$I$71</f>
        <v>0.064285714285715</v>
      </c>
      <c r="CY80" s="69" t="e">
        <f aca="false">TblMili[[#This Row],[Frost Mage bonus]]*TblMili[[#This Row],[Unit 3]]+TblMili[[#This Row],[Ice Elemental bonus]]*TblMili[[#This Row],[Unit 4]]</f>
        <v>#VALUE!</v>
      </c>
      <c r="CZ80" s="290"/>
      <c r="DA80" s="109" t="n">
        <f aca="false">MIN(SUM(TblConstr[[#This Row],[Plain]:[Water]])/TblMili[[#This Row],[Land]]/favorable_terrain_bonus/100,favorable_terrain_max)</f>
        <v>0</v>
      </c>
      <c r="DB80" s="290"/>
      <c r="DC8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0" s="132"/>
      <c r="DE80" s="291" t="n">
        <f aca="false">(TblMili[[#This Row],[Wizards]]+2*TblMili[[#This Row],[Archmages]])/TblConstr[[#This Row],[Land]]</f>
        <v>0.0357142857142857</v>
      </c>
      <c r="DF80" s="291" t="n">
        <f aca="false">TblMili[[#This Row],[Raw (2)]]*(1+race_wizard_strength+IF(TblMili[[#This Row],[Hour]]&gt;72,tech_magical_weaponry_wiz*TblTech[[#This Row],[3-5]],0))</f>
        <v>0.0357142857142857</v>
      </c>
    </row>
    <row r="81" customFormat="false" ht="12.75" hidden="false" customHeight="false" outlineLevel="0" collapsed="false">
      <c r="A81" s="128" t="n">
        <f aca="false">TblRezone[[#This Row],[Hour]]</f>
        <v>78</v>
      </c>
      <c r="B81" s="282" t="n">
        <f aca="false">SUM(TblMili[[#This Row],[Unit 1]:[Archmages]])+SUM(OFFSET(TblMili[[#This Row],[Train Unit 1]],-8,0):TblMili[[#This Row],[Train Unit 2]]) + SUM(OFFSET(TblMili[[#This Row],[Train Unit 3]],-11,0):TblMili[[#This Row],[Train AM]]) + TblMili[[#This Row],[Draftees]]</f>
        <v>3417</v>
      </c>
      <c r="C81" s="150" t="n">
        <f aca="false">TblPop[[#This Row],[Military%]]</f>
        <v>0.26408532344076</v>
      </c>
      <c r="D81" s="132"/>
      <c r="E81" s="151" t="n">
        <f aca="false">OFFSET(TblMili[[#This Row],[Unit 1]],-1,0) + OFFSET(TblMili[[#This Row],[Train Unit 1]],-9,0) - TblMili[[#This Row],[Release Unit 1]]</f>
        <v>0</v>
      </c>
      <c r="F81" s="151" t="n">
        <f aca="false">OFFSET(TblMili[[#This Row],[Unit 2]],-1,0) + OFFSET(TblMili[[#This Row],[Train Unit 2]],-9,0)-TblMili[[#This Row],[Release Unit 2]]</f>
        <v>1002</v>
      </c>
      <c r="G81" s="151" t="n">
        <f aca="false">OFFSET(TblMili[[#This Row],[Unit 3]],-1,0) + OFFSET(TblMili[[#This Row],[Train Unit 3]],-12,0)-TblMili[[#This Row],[Release Unit 3]]</f>
        <v>625</v>
      </c>
      <c r="H81" s="151" t="n">
        <f aca="false">OFFSET(TblMili[[#This Row],[Unit 4]],-1,0) + OFFSET(TblMili[[#This Row],[Train Unit 4]],-12,0)-TblMili[[#This Row],[Release Unit 4]]</f>
        <v>638</v>
      </c>
      <c r="I81" s="151" t="n">
        <f aca="false">OFFSET(TblMili[[#This Row],[Spies]],-1,0) + OFFSET(TblMili[[#This Row],[Train Spies]],-12,0) - TblMili[[#This Row],[Release Spies]]-TblMili[[#This Row],[Train AS]]</f>
        <v>25</v>
      </c>
      <c r="J81" s="151" t="n">
        <f aca="false">OFFSET(TblMili[[#This Row],[Archspies]],-1,0) + OFFSET(TblMili[[#This Row],[Train AS]],-12,0) - TblMili[[#This Row],[Release AS]]</f>
        <v>0</v>
      </c>
      <c r="K81" s="151" t="n">
        <f aca="false">OFFSET(TblMili[[#This Row],[Wizards]],-1,0) + OFFSET(TblMili[[#This Row],[Train Wiz]],-12,0) - TblMili[[#This Row],[Release Wizards]]-TblMili[[#This Row],[Train AM]]</f>
        <v>25</v>
      </c>
      <c r="L81" s="151" t="n">
        <f aca="false">OFFSET(TblMili[[#This Row],[Archmages]],-1,0) + OFFSET(TblMili[[#This Row],[Train AM]],-12,0) - TblMili[[#This Row],[Release AM]]</f>
        <v>0</v>
      </c>
      <c r="M81" s="132"/>
      <c r="N81" s="69" t="e">
        <f aca="false">TblProd[[#This Row],[Networth]]</f>
        <v>#VALUE!</v>
      </c>
      <c r="O81" s="132"/>
      <c r="P8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1" s="285" t="e">
        <f aca="false">TblMili[[#This Row],[Raw]]*(1+TblMili[[#This Row],[Mods_Off]])</f>
        <v>#VALUE!</v>
      </c>
      <c r="S8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1" s="285" t="e">
        <f aca="false">TblMili[[#This Row],[Non Draft]]+TblMili[[#This Row],[Draftees]]</f>
        <v>#VALUE!</v>
      </c>
      <c r="U81" s="286" t="n">
        <f aca="false">race_defense + TblImps[[#This Row],[Walls]] + ROUND( MIN(gt_bonus*TblConstr[[#This Row],[Tot GT]]/TblConstr[[#This Row],[Land]],gt_bonus_cap), 4) + IF(TblMagic[[#This Row],[Active Howling]]&gt;0,howling_dp_bonus,IF(TblMagic[[#This Row],[Active Ares Call]]&gt;0,ares_call_bonus))</f>
        <v>0.2375</v>
      </c>
      <c r="V81" s="274" t="e">
        <f aca="false">TblMili[[#This Row],[Non Draft]] * (1 + TblMili[[#This Row],[Mods_Def]])</f>
        <v>#VALUE!</v>
      </c>
      <c r="W81" s="285" t="e">
        <f aca="false">TblMili[[#This Row],[Draft]] * (1 + TblMili[[#This Row],[Mods_Def]])</f>
        <v>#VALUE!</v>
      </c>
      <c r="X81" s="285" t="n">
        <f aca="false">TblConstr[[#This Row],[Land]]</f>
        <v>700</v>
      </c>
      <c r="Y81" s="287"/>
      <c r="Z81" s="109" t="n">
        <f aca="false">IF(TblMili[[#This Row],[Set]]&lt;&gt;"",TblMili[[#This Row],[Set]],OFFSET(TblMili[[#This Row],[Draftrate]],-1,0))</f>
        <v>0.9</v>
      </c>
      <c r="AA81" s="69" t="n">
        <f aca="false">OFFSET(TblMili[[#This Row],[Draftees]],-1,0)+OFFSET(TblPop[[#This Row],[Draft Growth]],-1,0) - SUM(TblMili[[#This Row],[Train Unit 1]:[Train Spies]],TblMili[[#This Row],[Train Wiz]]) - TblMili[[#This Row],[Release Draft]] + SUM(TblMili[[#This Row],[Release Unit 1]:[Release AM]]) - TblExplore[[#This Row],[Draftees (2)]]</f>
        <v>193</v>
      </c>
      <c r="AB81" s="146"/>
      <c r="AC81" s="130" t="n">
        <f aca="false">(TblConstr[[#This Row],[Tot Smi]]+TblConstr[[#This Row],[Dest Smi]])/(TblConstr[[#This Row],[Land]]-TblExplore[[#This Row],[Land Bonus]]*20)</f>
        <v>0.18</v>
      </c>
      <c r="AD81" s="128"/>
      <c r="AE81" s="282" t="n">
        <f aca="false">TblMili[[#This Row],[Hour]]</f>
        <v>78</v>
      </c>
      <c r="AF81" s="129" t="n">
        <f aca="false">TblExplore[[#This Row],[Time]]</f>
        <v>45432.9583333333</v>
      </c>
      <c r="AG81" s="182"/>
      <c r="AH81" s="182"/>
      <c r="AI81" s="182"/>
      <c r="AJ81" s="182"/>
      <c r="AK81" s="182"/>
      <c r="AL81" s="182"/>
      <c r="AM81" s="182"/>
      <c r="AN81" s="182"/>
      <c r="AO81" s="132"/>
      <c r="AP81" s="69" t="n">
        <f aca="false">TblProd[[#This Row],[Platinum]]</f>
        <v>199845</v>
      </c>
      <c r="AQ81" s="69" t="n">
        <f aca="false">INDEX(TblProd[[#Headers],[Lumber]]:TblProd[[#This Row],[Ore]],COUNTA(TblProd[[#Headers],[Lumber]]:TblProd[[#This Row],[Lumber]]),MATCH(Military!$AQ$2,TblProd[[#Headers],[Lumber]:[Ore]],0))</f>
        <v>0</v>
      </c>
      <c r="AR8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69" t="n">
        <f aca="false">TblMili[[#This Row],[Train Unit 1]]*TblMili[[#This Row],[OP Ore]]+TblMili[[#This Row],[Train Unit 2]]*TblMili[[#This Row],[DP Ore]]+TblMili[[#This Row],[Train Unit 3]]*TblMili[[#This Row],[E1 Ore]]+TblMili[[#This Row],[Train Unit 4]]*TblMili[[#This Row],[E2 Ore]]</f>
        <v>0</v>
      </c>
      <c r="AT81" s="132" t="n">
        <f aca="false">TblMili[[#This Row],[Hour]]</f>
        <v>78</v>
      </c>
      <c r="AU81" s="144" t="n">
        <f aca="false">TblMili[[#This Row],[Time]]</f>
        <v>45432.9583333333</v>
      </c>
      <c r="AV81" s="69" t="n">
        <f aca="false">TblMili[[#This Row],[Draftees]]</f>
        <v>193</v>
      </c>
      <c r="AW81" s="152"/>
      <c r="AX81" s="182"/>
      <c r="AY81" s="182"/>
      <c r="AZ81" s="182"/>
      <c r="BA81" s="182"/>
      <c r="BB81" s="182"/>
      <c r="BC81" s="182"/>
      <c r="BD81" s="182"/>
      <c r="BE81" s="182"/>
      <c r="BF81" s="132"/>
      <c r="BG81" s="150" t="n">
        <f aca="false">TblConstr[[#This Row],[Tot WG]]/TblConstr[[#This Row],[Land]]</f>
        <v>0</v>
      </c>
      <c r="BH81" s="150" t="n">
        <f aca="false">TblConstr[[#This Row],[Tot Hav]]/TblConstr[[#This Row],[Land]]</f>
        <v>0</v>
      </c>
      <c r="BI81" s="69" t="n">
        <f aca="false">ROUNDUP((1-MIN(TblMili[[#This Row],[Smithies]]*smithy_bonus,smithy_bonus_cap) + tech_3_5*TblTech[[#This Row],[3-5]] + tech_5_3*TblTech[[#This Row],[5-3]] + tech_5_5*TblTech[[#This Row],[5-5]])*spec_op_plat,0)</f>
        <v>192</v>
      </c>
      <c r="BJ81" s="69" t="n">
        <f aca="false">ROUNDUP(IF(race="Gnome",1,(1-MIN(TblMili[[#This Row],[Smithies]]*smithy_bonus,smithy_bonus_cap) + tech_3_5*TblTech[[#This Row],[3-5]] + tech_5_3*TblTech[[#This Row],[5-3]] + tech_5_5*TblTech[[#This Row],[5-5]]))*spec_op_ore,0)</f>
        <v>0</v>
      </c>
      <c r="BK81" s="69" t="n">
        <f aca="false">ROUNDUP((1-MIN(TblMili[[#This Row],[Smithies]]*smithy_bonus,smithy_bonus_cap) + tech_3_5*TblTech[[#This Row],[3-5]] + tech_5_3*TblTech[[#This Row],[5-3]] + tech_5_5*TblTech[[#This Row],[5-5]])*spec_dp_plat,0)</f>
        <v>192</v>
      </c>
      <c r="BL81" s="69" t="n">
        <f aca="false">ROUNDUP(IF(race="Gnome",1,(1-MIN(TblMili[[#This Row],[Smithies]]*smithy_bonus,smithy_bonus_cap) + tech_3_5*TblTech[[#This Row],[3-5]] + tech_5_3*TblTech[[#This Row],[5-3]] + tech_5_5*TblTech[[#This Row],[5-5]]))*spec_dp_ore,0)</f>
        <v>0</v>
      </c>
      <c r="BM81" s="69" t="n">
        <f aca="false">ROUNDUP((1-MIN(TblMili[[#This Row],[Smithies]]*smithy_bonus,smithy_bonus_cap) + tech_3_5*TblTech[[#This Row],[3-5]] + tech_5_3*TblTech[[#This Row],[5-3]] + tech_5_5*TblTech[[#This Row],[5-5]])*elite1_plat,0)</f>
        <v>592</v>
      </c>
      <c r="BN81" s="69" t="n">
        <f aca="false">ROUNDUP(IF(race="Gnome",1,(1-MIN(TblMili[[#This Row],[Smithies]]*smithy_bonus,smithy_bonus_cap) + tech_3_5*TblTech[[#This Row],[3-5]] + tech_5_3*TblTech[[#This Row],[5-3]] + tech_5_5*TblTech[[#This Row],[5-5]]))*elite1_ore,0)</f>
        <v>0</v>
      </c>
      <c r="BO81" s="69" t="n">
        <f aca="false">ROUNDUP((1-MIN(TblMili[[#This Row],[Smithies]]*smithy_bonus,smithy_bonus_cap) + tech_3_5*TblTech[[#This Row],[3-5]] + tech_5_3*TblTech[[#This Row],[5-3]] + tech_5_5*TblTech[[#This Row],[5-5]])*elite2_plat,0)</f>
        <v>608</v>
      </c>
      <c r="BP81" s="69" t="n">
        <f aca="false">ROUNDUP(IF(race="Gnome",1,(1-MIN(TblMili[[#This Row],[Smithies]]*smithy_bonus,smithy_bonus_cap) + tech_3_5*TblTech[[#This Row],[3-5]] + tech_5_3*TblTech[[#This Row],[5-3]] + tech_5_5*TblTech[[#This Row],[5-5]]))*elite2_ore,0)</f>
        <v>0</v>
      </c>
      <c r="BQ81" s="69" t="n">
        <f aca="false">ROUNDUP((1-MIN(ROUND(fh_spy_cost_red*TblMili[[#This Row],[FH''s]],4),fh_spy_cost_cap)+ tech_1_9*TblTech[[#This Row],[1-9]] + tech_9_1*TblTech[[#This Row],[9-1]])*spy_plat,0)</f>
        <v>500</v>
      </c>
      <c r="BR81" s="69" t="n">
        <f aca="false">ROUNDUP((1-MIN(ROUND(fh_spy_cost_red*TblMili[[#This Row],[FH''s]],4),fh_spy_cost_cap)+ tech_1_9*TblTech[[#This Row],[1-9]] + tech_9_1*TblTech[[#This Row],[9-1]])*archspy_plat,0)</f>
        <v>1000</v>
      </c>
      <c r="BS81" s="69" t="n">
        <f aca="false">ROUNDUP((1-MIN(ROUND(wg_wiz_cost_bonus*TblMili[[#This Row],[WG''s]],4),wg_wiz_cost_cap) + tech_1_9_2*TblTech[[#This Row],[1-9]] + tech_9_1_2*TblTech[[#This Row],[9-1]])*wizard_plat,0)</f>
        <v>500</v>
      </c>
      <c r="BT81" s="69" t="n">
        <f aca="false">ROUNDUP((1-MIN(ROUND(wg_wiz_cost_bonus*TblMili[[#This Row],[WG''s]],4),wg_wiz_cost_cap) + tech_1_9_2*TblTech[[#This Row],[1-9]] + tech_9_1_2*TblTech[[#This Row],[9-1]])*archmage_plat,0)</f>
        <v>1000</v>
      </c>
      <c r="BU81" s="132"/>
      <c r="BV81" s="150" t="e">
        <f aca="false">TblConstr[[#This Row],[Homeland]]/TblConstr[[#This Row],[Land]]</f>
        <v>#VALUE!</v>
      </c>
      <c r="BW81" s="150" t="n">
        <f aca="false">TblMili[[#This Row],[WG''s]]</f>
        <v>0</v>
      </c>
      <c r="BX81" s="288" t="e">
        <f aca="false">IF(mystic_cap="none",TblMili[[#This Row],[Hill]]/mystic_bonus,MIN(mystic_cap,TblMili[[#This Row],[Hill]]/mystic_bonus))</f>
        <v>#VALUE!</v>
      </c>
      <c r="BY81" s="288" t="e">
        <f aca="false">IF(druid_op_cap="none",TblMili[[#This Row],[Hill]]/druid_op_bonus,MIN(druid_op_cap,TblMili[[#This Row],[Hill]]/druid_op_bonus))</f>
        <v>#VALUE!</v>
      </c>
      <c r="BZ81" s="288" t="e">
        <f aca="false">IF(druid_dp_cap="none",TblMili[[#This Row],[Hill]]/druid_dp_bonus,MIN(druid_dp_cap,TblMili[[#This Row],[Hill]]/druid_dp_bonus))</f>
        <v>#VALUE!</v>
      </c>
      <c r="CA81" s="288" t="e">
        <f aca="false">MIN(dryad_cap,TblMili[[#This Row],[Hill]]/dryad_bonus)</f>
        <v>#VALUE!</v>
      </c>
      <c r="CB81" s="288" t="e">
        <f aca="false">MIN(rocka_cap,TblMili[[#This Row],[Hill]]/rocka_bonus)</f>
        <v>#VALUE!</v>
      </c>
      <c r="CC81" s="288" t="n">
        <f aca="false">MIN(adept_op_cap,TblMili[[#This Row],[WG]]/adept_op_bonus)</f>
        <v>0</v>
      </c>
      <c r="CD81" s="288" t="n">
        <f aca="false">MIN(adept_dp_cap,TblMili[[#This Row],[WG]]/adept_dp_bonus)</f>
        <v>0</v>
      </c>
      <c r="CE81" s="69" t="n">
        <f aca="false">MIN(TblMili[[#This Row],[Unit 3]],TblMili[[#This Row],[Unit 2]])*2</f>
        <v>1250</v>
      </c>
      <c r="CF81" s="69" t="n">
        <f aca="false">MIN(TblMili[[#This Row],[Unit 1]],TblMili[[#This Row],[Unit 4]])*2</f>
        <v>0</v>
      </c>
      <c r="CG81" s="288" t="e">
        <f aca="false">MIN(frost_mage_cap,TblMili[[#This Row],[Hill]]/frost_mage_bonus)</f>
        <v>#VALUE!</v>
      </c>
      <c r="CH81" s="151" t="n">
        <f aca="false">MIN(ice_elem_cap,TblMili[[#This Row],[Raw (2)]]*ice_elem_bonus)</f>
        <v>0.0357142857142857</v>
      </c>
      <c r="CI81" s="288" t="n">
        <f aca="false">MIN(bone_breaker_cap,250/bone_breaker_bonus)</f>
        <v>0.833333333333333</v>
      </c>
      <c r="CJ81" s="288" t="e">
        <f aca="false">MIN(nox_nightshade_cap,TblConstr[[#This Row],[Homeland]]/TblConstr[[#This Row],[Land]]/nox_nightshade_swamp_bonus)</f>
        <v>#VALUE!</v>
      </c>
      <c r="CK81" s="289"/>
      <c r="CL81" s="289"/>
      <c r="CM81" s="289"/>
      <c r="CN81" s="288" t="e">
        <f aca="false">MIN(6,TblMili[[#This Row],[Mystic]]+Races!$F$19)*1.8 +  IF(TblMili[[#This Row],[Mystic]]+Races!$F$19&gt;6,(TblMili[[#This Row],[Mystic]]+Races!$F$19-6)*0.2,0) - Races!$I$19</f>
        <v>#VALUE!</v>
      </c>
      <c r="CO81" s="288" t="e">
        <f aca="false">1.8 * MIN(MAX(TblMili[[#This Row],[Druid (op)]]+Races!$E$20,TblMili[[#This Row],[Druid (dp)]]+Races!$F$20),6)  +  0.45 * MIN(MIN(TblMili[[#This Row],[Druid (op)]]+Races!$E$20,TblMili[[#This Row],[Druid (dp)]]+Races!$F$20),6)  +  0.2 * ( MAX(TblMili[[#This Row],[Druid (op)]]+Races!$E$20-6,0) + MAX(TblMili[[#This Row],[Druid (dp)]]+Races!$F$20-6,0) )  -  Races!$I$20</f>
        <v>#VALUE!</v>
      </c>
      <c r="CP81" s="69" t="e">
        <f aca="false">TblMili[[#This Row],[Mystic bonus]]*TblMili[[#This Row],[Unit 3]]+TblMili[[#This Row],[Druid bonus]]*TblMili[[#This Row],[Unit 4]]</f>
        <v>#VALUE!</v>
      </c>
      <c r="CQ81" s="148" t="e">
        <f aca="false">MIN(6,TblMili[[#This Row],[Dryad]]+Races!$F$35)*1.8 +  IF(TblMili[[#This Row],[Dryad]]+Races!$F$35&gt;6,(TblMili[[#This Row],[Dryad]]+Races!$F$35-6)*0.2,0) - Races!$I$19</f>
        <v>#VALUE!</v>
      </c>
      <c r="CR81" s="69" t="e">
        <f aca="false">sylvan*(TblMili[[#This Row],[Mystic bonus]]*TblMili[[#This Row],[Unit 3]])</f>
        <v>#VALUE!</v>
      </c>
      <c r="CS81" s="148" t="e">
        <f aca="false">1.8 * MIN(MAX(Races!$E$27,TblMili[[#This Row],[Rockapult]]+Races!$F$27),6)  +  0.45 * MIN(MIN(Races!$E$27,TblMili[[#This Row],[Rockapult]]+Races!$F$27),6)  +  0.2 * ( MAX(Races!$E$27-6,0) + MAX(TblMili[[#This Row],[Rockapult]]+Races!$F$27-6,0) )  -  Races!$I$20</f>
        <v>#VALUE!</v>
      </c>
      <c r="CT81" s="69" t="e">
        <f aca="false">gnome*(TblMili[[#This Row],[Rockapult bonus]]*TblMili[[#This Row],[Unit 3]])</f>
        <v>#VALUE!</v>
      </c>
      <c r="CU81" s="148" t="n">
        <f aca="false">1.8 * MIN(MAX(TblMili[[#This Row],[Spellblade]]+Races!$E$47,TblMili[[#This Row],[Adept-DP]]+Races!$F$47),6)  +  0.45 * MIN(MIN(TblMili[[#This Row],[Spellblade]]+Races!$E$47,TblMili[[#This Row],[Adept-DP]]+Races!$F$47),6)  +  0.2 * ( MAX(TblMili[[#This Row],[Spellblade]]+Races!$E$47-6,0) + MAX(TblMili[[#This Row],[Adept-DP]]+Races!$F$47-6,0) )  -  Races!$I$47</f>
        <v>0</v>
      </c>
      <c r="CV81" s="69" t="n">
        <f aca="false">dark_elf*(TblMili[[#This Row],[Adept bonus]]*TblMili[[#This Row],[Unit 3]])</f>
        <v>0</v>
      </c>
      <c r="CW81" s="148" t="e">
        <f aca="false">1.8 * MIN(MAX(TblMili[[#This Row],[Frost Mage]]+Races!$F$71,Races!$E$71),6)  +  0.45 * MIN(MIN(TblMili[[#This Row],[Frost Mage]]+Races!$F$71,Races!$E$71),6)  +  0.2 * ( MAX(TblMili[[#This Row],[Frost Mage]]+Races!$F$71-6,0) + MAX(Races!$E$71-6,0) )  -  Races!$I$71</f>
        <v>#VALUE!</v>
      </c>
      <c r="CX81" s="148" t="n">
        <f aca="false">1.8 * MIN(MAX(TblMili[[#This Row],[Ice Elemental]]+Races!$E$71,Races!$F$71),6)  +  0.45 * MIN(MIN(TblMili[[#This Row],[Ice Elemental]]+Races!$E$71,Races!$F$71),6)  +  0.2 * ( MAX(TblMili[[#This Row],[Ice Elemental]]+Races!$E$71-6,0) + MAX(Races!$F$71-6,0) )  -  Races!$I$71</f>
        <v>0.064285714285715</v>
      </c>
      <c r="CY81" s="69" t="e">
        <f aca="false">TblMili[[#This Row],[Frost Mage bonus]]*TblMili[[#This Row],[Unit 3]]+TblMili[[#This Row],[Ice Elemental bonus]]*TblMili[[#This Row],[Unit 4]]</f>
        <v>#VALUE!</v>
      </c>
      <c r="CZ81" s="290"/>
      <c r="DA81" s="109" t="n">
        <f aca="false">MIN(SUM(TblConstr[[#This Row],[Plain]:[Water]])/TblMili[[#This Row],[Land]]/favorable_terrain_bonus/100,favorable_terrain_max)</f>
        <v>0</v>
      </c>
      <c r="DB81" s="290"/>
      <c r="DC8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1" s="132"/>
      <c r="DE81" s="291" t="n">
        <f aca="false">(TblMili[[#This Row],[Wizards]]+2*TblMili[[#This Row],[Archmages]])/TblConstr[[#This Row],[Land]]</f>
        <v>0.0357142857142857</v>
      </c>
      <c r="DF81" s="291" t="n">
        <f aca="false">TblMili[[#This Row],[Raw (2)]]*(1+race_wizard_strength+IF(TblMili[[#This Row],[Hour]]&gt;72,tech_magical_weaponry_wiz*TblTech[[#This Row],[3-5]],0))</f>
        <v>0.0357142857142857</v>
      </c>
    </row>
    <row r="82" customFormat="false" ht="12.75" hidden="false" customHeight="false" outlineLevel="0" collapsed="false">
      <c r="A82" s="128" t="n">
        <f aca="false">TblRezone[[#This Row],[Hour]]</f>
        <v>79</v>
      </c>
      <c r="B82" s="282" t="n">
        <f aca="false">SUM(TblMili[[#This Row],[Unit 1]:[Archmages]])+SUM(OFFSET(TblMili[[#This Row],[Train Unit 1]],-8,0):TblMili[[#This Row],[Train Unit 2]]) + SUM(OFFSET(TblMili[[#This Row],[Train Unit 3]],-11,0):TblMili[[#This Row],[Train AM]]) + TblMili[[#This Row],[Draftees]]</f>
        <v>3512</v>
      </c>
      <c r="C82" s="150" t="n">
        <f aca="false">TblPop[[#This Row],[Military%]]</f>
        <v>0.271427467346781</v>
      </c>
      <c r="D82" s="132"/>
      <c r="E82" s="151" t="n">
        <f aca="false">OFFSET(TblMili[[#This Row],[Unit 1]],-1,0) + OFFSET(TblMili[[#This Row],[Train Unit 1]],-9,0) - TblMili[[#This Row],[Release Unit 1]]</f>
        <v>0</v>
      </c>
      <c r="F82" s="151" t="n">
        <f aca="false">OFFSET(TblMili[[#This Row],[Unit 2]],-1,0) + OFFSET(TblMili[[#This Row],[Train Unit 2]],-9,0)-TblMili[[#This Row],[Release Unit 2]]</f>
        <v>1002</v>
      </c>
      <c r="G82" s="151" t="n">
        <f aca="false">OFFSET(TblMili[[#This Row],[Unit 3]],-1,0) + OFFSET(TblMili[[#This Row],[Train Unit 3]],-12,0)-TblMili[[#This Row],[Release Unit 3]]</f>
        <v>625</v>
      </c>
      <c r="H82" s="151" t="n">
        <f aca="false">OFFSET(TblMili[[#This Row],[Unit 4]],-1,0) + OFFSET(TblMili[[#This Row],[Train Unit 4]],-12,0)-TblMili[[#This Row],[Release Unit 4]]</f>
        <v>696</v>
      </c>
      <c r="I82" s="151" t="n">
        <f aca="false">OFFSET(TblMili[[#This Row],[Spies]],-1,0) + OFFSET(TblMili[[#This Row],[Train Spies]],-12,0) - TblMili[[#This Row],[Release Spies]]-TblMili[[#This Row],[Train AS]]</f>
        <v>25</v>
      </c>
      <c r="J82" s="151" t="n">
        <f aca="false">OFFSET(TblMili[[#This Row],[Archspies]],-1,0) + OFFSET(TblMili[[#This Row],[Train AS]],-12,0) - TblMili[[#This Row],[Release AS]]</f>
        <v>0</v>
      </c>
      <c r="K82" s="151" t="n">
        <f aca="false">OFFSET(TblMili[[#This Row],[Wizards]],-1,0) + OFFSET(TblMili[[#This Row],[Train Wiz]],-12,0) - TblMili[[#This Row],[Release Wizards]]-TblMili[[#This Row],[Train AM]]</f>
        <v>25</v>
      </c>
      <c r="L82" s="151" t="n">
        <f aca="false">OFFSET(TblMili[[#This Row],[Archmages]],-1,0) + OFFSET(TblMili[[#This Row],[Train AM]],-12,0) - TblMili[[#This Row],[Release AM]]</f>
        <v>0</v>
      </c>
      <c r="M82" s="132"/>
      <c r="N82" s="69" t="e">
        <f aca="false">TblProd[[#This Row],[Networth]]</f>
        <v>#VALUE!</v>
      </c>
      <c r="O82" s="132"/>
      <c r="P8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2" s="285" t="e">
        <f aca="false">TblMili[[#This Row],[Raw]]*(1+TblMili[[#This Row],[Mods_Off]])</f>
        <v>#VALUE!</v>
      </c>
      <c r="S8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2" s="285" t="e">
        <f aca="false">TblMili[[#This Row],[Non Draft]]+TblMili[[#This Row],[Draftees]]</f>
        <v>#VALUE!</v>
      </c>
      <c r="U82" s="286" t="n">
        <f aca="false">race_defense + TblImps[[#This Row],[Walls]] + ROUND( MIN(gt_bonus*TblConstr[[#This Row],[Tot GT]]/TblConstr[[#This Row],[Land]],gt_bonus_cap), 4) + IF(TblMagic[[#This Row],[Active Howling]]&gt;0,howling_dp_bonus,IF(TblMagic[[#This Row],[Active Ares Call]]&gt;0,ares_call_bonus))</f>
        <v>0.2375</v>
      </c>
      <c r="V82" s="274" t="e">
        <f aca="false">TblMili[[#This Row],[Non Draft]] * (1 + TblMili[[#This Row],[Mods_Def]])</f>
        <v>#VALUE!</v>
      </c>
      <c r="W82" s="285" t="e">
        <f aca="false">TblMili[[#This Row],[Draft]] * (1 + TblMili[[#This Row],[Mods_Def]])</f>
        <v>#VALUE!</v>
      </c>
      <c r="X82" s="285" t="n">
        <f aca="false">TblConstr[[#This Row],[Land]]</f>
        <v>700</v>
      </c>
      <c r="Y82" s="287"/>
      <c r="Z82" s="109" t="n">
        <f aca="false">IF(TblMili[[#This Row],[Set]]&lt;&gt;"",TblMili[[#This Row],[Set]],OFFSET(TblMili[[#This Row],[Draftrate]],-1,0))</f>
        <v>0.9</v>
      </c>
      <c r="AA82" s="69" t="n">
        <f aca="false">OFFSET(TblMili[[#This Row],[Draftees]],-1,0)+OFFSET(TblPop[[#This Row],[Draft Growth]],-1,0) - SUM(TblMili[[#This Row],[Train Unit 1]:[Train Spies]],TblMili[[#This Row],[Train Wiz]]) - TblMili[[#This Row],[Release Draft]] + SUM(TblMili[[#This Row],[Release Unit 1]:[Release AM]]) - TblExplore[[#This Row],[Draftees (2)]]</f>
        <v>288</v>
      </c>
      <c r="AB82" s="146"/>
      <c r="AC82" s="130" t="n">
        <f aca="false">(TblConstr[[#This Row],[Tot Smi]]+TblConstr[[#This Row],[Dest Smi]])/(TblConstr[[#This Row],[Land]]-TblExplore[[#This Row],[Land Bonus]]*20)</f>
        <v>0.18</v>
      </c>
      <c r="AD82" s="128"/>
      <c r="AE82" s="282" t="n">
        <f aca="false">TblMili[[#This Row],[Hour]]</f>
        <v>79</v>
      </c>
      <c r="AF82" s="129" t="n">
        <f aca="false">TblExplore[[#This Row],[Time]]</f>
        <v>45433</v>
      </c>
      <c r="AG82" s="182"/>
      <c r="AH82" s="182"/>
      <c r="AI82" s="182"/>
      <c r="AJ82" s="182"/>
      <c r="AK82" s="182"/>
      <c r="AL82" s="182"/>
      <c r="AM82" s="182"/>
      <c r="AN82" s="182"/>
      <c r="AO82" s="132"/>
      <c r="AP82" s="69" t="n">
        <f aca="false">TblProd[[#This Row],[Platinum]]</f>
        <v>245670</v>
      </c>
      <c r="AQ82" s="69" t="n">
        <f aca="false">INDEX(TblProd[[#Headers],[Lumber]]:TblProd[[#This Row],[Ore]],COUNTA(TblProd[[#Headers],[Lumber]]:TblProd[[#This Row],[Lumber]]),MATCH(Military!$AQ$2,TblProd[[#Headers],[Lumber]:[Ore]],0))</f>
        <v>0</v>
      </c>
      <c r="AR8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69" t="n">
        <f aca="false">TblMili[[#This Row],[Train Unit 1]]*TblMili[[#This Row],[OP Ore]]+TblMili[[#This Row],[Train Unit 2]]*TblMili[[#This Row],[DP Ore]]+TblMili[[#This Row],[Train Unit 3]]*TblMili[[#This Row],[E1 Ore]]+TblMili[[#This Row],[Train Unit 4]]*TblMili[[#This Row],[E2 Ore]]</f>
        <v>0</v>
      </c>
      <c r="AT82" s="132" t="n">
        <f aca="false">TblMili[[#This Row],[Hour]]</f>
        <v>79</v>
      </c>
      <c r="AU82" s="144" t="n">
        <f aca="false">TblMili[[#This Row],[Time]]</f>
        <v>45433</v>
      </c>
      <c r="AV82" s="69" t="n">
        <f aca="false">TblMili[[#This Row],[Draftees]]</f>
        <v>288</v>
      </c>
      <c r="AW82" s="152"/>
      <c r="AX82" s="182"/>
      <c r="AY82" s="182"/>
      <c r="AZ82" s="182"/>
      <c r="BA82" s="182"/>
      <c r="BB82" s="182"/>
      <c r="BC82" s="182"/>
      <c r="BD82" s="182"/>
      <c r="BE82" s="182"/>
      <c r="BF82" s="132"/>
      <c r="BG82" s="150" t="n">
        <f aca="false">TblConstr[[#This Row],[Tot WG]]/TblConstr[[#This Row],[Land]]</f>
        <v>0</v>
      </c>
      <c r="BH82" s="150" t="n">
        <f aca="false">TblConstr[[#This Row],[Tot Hav]]/TblConstr[[#This Row],[Land]]</f>
        <v>0</v>
      </c>
      <c r="BI82" s="69" t="n">
        <f aca="false">ROUNDUP((1-MIN(TblMili[[#This Row],[Smithies]]*smithy_bonus,smithy_bonus_cap) + tech_3_5*TblTech[[#This Row],[3-5]] + tech_5_3*TblTech[[#This Row],[5-3]] + tech_5_5*TblTech[[#This Row],[5-5]])*spec_op_plat,0)</f>
        <v>192</v>
      </c>
      <c r="BJ82" s="69" t="n">
        <f aca="false">ROUNDUP(IF(race="Gnome",1,(1-MIN(TblMili[[#This Row],[Smithies]]*smithy_bonus,smithy_bonus_cap) + tech_3_5*TblTech[[#This Row],[3-5]] + tech_5_3*TblTech[[#This Row],[5-3]] + tech_5_5*TblTech[[#This Row],[5-5]]))*spec_op_ore,0)</f>
        <v>0</v>
      </c>
      <c r="BK82" s="69" t="n">
        <f aca="false">ROUNDUP((1-MIN(TblMili[[#This Row],[Smithies]]*smithy_bonus,smithy_bonus_cap) + tech_3_5*TblTech[[#This Row],[3-5]] + tech_5_3*TblTech[[#This Row],[5-3]] + tech_5_5*TblTech[[#This Row],[5-5]])*spec_dp_plat,0)</f>
        <v>192</v>
      </c>
      <c r="BL82" s="69" t="n">
        <f aca="false">ROUNDUP(IF(race="Gnome",1,(1-MIN(TblMili[[#This Row],[Smithies]]*smithy_bonus,smithy_bonus_cap) + tech_3_5*TblTech[[#This Row],[3-5]] + tech_5_3*TblTech[[#This Row],[5-3]] + tech_5_5*TblTech[[#This Row],[5-5]]))*spec_dp_ore,0)</f>
        <v>0</v>
      </c>
      <c r="BM82" s="69" t="n">
        <f aca="false">ROUNDUP((1-MIN(TblMili[[#This Row],[Smithies]]*smithy_bonus,smithy_bonus_cap) + tech_3_5*TblTech[[#This Row],[3-5]] + tech_5_3*TblTech[[#This Row],[5-3]] + tech_5_5*TblTech[[#This Row],[5-5]])*elite1_plat,0)</f>
        <v>592</v>
      </c>
      <c r="BN82" s="69" t="n">
        <f aca="false">ROUNDUP(IF(race="Gnome",1,(1-MIN(TblMili[[#This Row],[Smithies]]*smithy_bonus,smithy_bonus_cap) + tech_3_5*TblTech[[#This Row],[3-5]] + tech_5_3*TblTech[[#This Row],[5-3]] + tech_5_5*TblTech[[#This Row],[5-5]]))*elite1_ore,0)</f>
        <v>0</v>
      </c>
      <c r="BO82" s="69" t="n">
        <f aca="false">ROUNDUP((1-MIN(TblMili[[#This Row],[Smithies]]*smithy_bonus,smithy_bonus_cap) + tech_3_5*TblTech[[#This Row],[3-5]] + tech_5_3*TblTech[[#This Row],[5-3]] + tech_5_5*TblTech[[#This Row],[5-5]])*elite2_plat,0)</f>
        <v>608</v>
      </c>
      <c r="BP82" s="69" t="n">
        <f aca="false">ROUNDUP(IF(race="Gnome",1,(1-MIN(TblMili[[#This Row],[Smithies]]*smithy_bonus,smithy_bonus_cap) + tech_3_5*TblTech[[#This Row],[3-5]] + tech_5_3*TblTech[[#This Row],[5-3]] + tech_5_5*TblTech[[#This Row],[5-5]]))*elite2_ore,0)</f>
        <v>0</v>
      </c>
      <c r="BQ82" s="69" t="n">
        <f aca="false">ROUNDUP((1-MIN(ROUND(fh_spy_cost_red*TblMili[[#This Row],[FH''s]],4),fh_spy_cost_cap)+ tech_1_9*TblTech[[#This Row],[1-9]] + tech_9_1*TblTech[[#This Row],[9-1]])*spy_plat,0)</f>
        <v>500</v>
      </c>
      <c r="BR82" s="69" t="n">
        <f aca="false">ROUNDUP((1-MIN(ROUND(fh_spy_cost_red*TblMili[[#This Row],[FH''s]],4),fh_spy_cost_cap)+ tech_1_9*TblTech[[#This Row],[1-9]] + tech_9_1*TblTech[[#This Row],[9-1]])*archspy_plat,0)</f>
        <v>1000</v>
      </c>
      <c r="BS82" s="69" t="n">
        <f aca="false">ROUNDUP((1-MIN(ROUND(wg_wiz_cost_bonus*TblMili[[#This Row],[WG''s]],4),wg_wiz_cost_cap) + tech_1_9_2*TblTech[[#This Row],[1-9]] + tech_9_1_2*TblTech[[#This Row],[9-1]])*wizard_plat,0)</f>
        <v>500</v>
      </c>
      <c r="BT82" s="69" t="n">
        <f aca="false">ROUNDUP((1-MIN(ROUND(wg_wiz_cost_bonus*TblMili[[#This Row],[WG''s]],4),wg_wiz_cost_cap) + tech_1_9_2*TblTech[[#This Row],[1-9]] + tech_9_1_2*TblTech[[#This Row],[9-1]])*archmage_plat,0)</f>
        <v>1000</v>
      </c>
      <c r="BU82" s="132"/>
      <c r="BV82" s="150" t="e">
        <f aca="false">TblConstr[[#This Row],[Homeland]]/TblConstr[[#This Row],[Land]]</f>
        <v>#VALUE!</v>
      </c>
      <c r="BW82" s="150" t="n">
        <f aca="false">TblMili[[#This Row],[WG''s]]</f>
        <v>0</v>
      </c>
      <c r="BX82" s="288" t="e">
        <f aca="false">IF(mystic_cap="none",TblMili[[#This Row],[Hill]]/mystic_bonus,MIN(mystic_cap,TblMili[[#This Row],[Hill]]/mystic_bonus))</f>
        <v>#VALUE!</v>
      </c>
      <c r="BY82" s="288" t="e">
        <f aca="false">IF(druid_op_cap="none",TblMili[[#This Row],[Hill]]/druid_op_bonus,MIN(druid_op_cap,TblMili[[#This Row],[Hill]]/druid_op_bonus))</f>
        <v>#VALUE!</v>
      </c>
      <c r="BZ82" s="288" t="e">
        <f aca="false">IF(druid_dp_cap="none",TblMili[[#This Row],[Hill]]/druid_dp_bonus,MIN(druid_dp_cap,TblMili[[#This Row],[Hill]]/druid_dp_bonus))</f>
        <v>#VALUE!</v>
      </c>
      <c r="CA82" s="288" t="e">
        <f aca="false">MIN(dryad_cap,TblMili[[#This Row],[Hill]]/dryad_bonus)</f>
        <v>#VALUE!</v>
      </c>
      <c r="CB82" s="288" t="e">
        <f aca="false">MIN(rocka_cap,TblMili[[#This Row],[Hill]]/rocka_bonus)</f>
        <v>#VALUE!</v>
      </c>
      <c r="CC82" s="288" t="n">
        <f aca="false">MIN(adept_op_cap,TblMili[[#This Row],[WG]]/adept_op_bonus)</f>
        <v>0</v>
      </c>
      <c r="CD82" s="288" t="n">
        <f aca="false">MIN(adept_dp_cap,TblMili[[#This Row],[WG]]/adept_dp_bonus)</f>
        <v>0</v>
      </c>
      <c r="CE82" s="69" t="n">
        <f aca="false">MIN(TblMili[[#This Row],[Unit 3]],TblMili[[#This Row],[Unit 2]])*2</f>
        <v>1250</v>
      </c>
      <c r="CF82" s="69" t="n">
        <f aca="false">MIN(TblMili[[#This Row],[Unit 1]],TblMili[[#This Row],[Unit 4]])*2</f>
        <v>0</v>
      </c>
      <c r="CG82" s="288" t="e">
        <f aca="false">MIN(frost_mage_cap,TblMili[[#This Row],[Hill]]/frost_mage_bonus)</f>
        <v>#VALUE!</v>
      </c>
      <c r="CH82" s="151" t="n">
        <f aca="false">MIN(ice_elem_cap,TblMili[[#This Row],[Raw (2)]]*ice_elem_bonus)</f>
        <v>0.0357142857142857</v>
      </c>
      <c r="CI82" s="288" t="n">
        <f aca="false">MIN(bone_breaker_cap,250/bone_breaker_bonus)</f>
        <v>0.833333333333333</v>
      </c>
      <c r="CJ82" s="288" t="e">
        <f aca="false">MIN(nox_nightshade_cap,TblConstr[[#This Row],[Homeland]]/TblConstr[[#This Row],[Land]]/nox_nightshade_swamp_bonus)</f>
        <v>#VALUE!</v>
      </c>
      <c r="CK82" s="289"/>
      <c r="CL82" s="289"/>
      <c r="CM82" s="289"/>
      <c r="CN82" s="288" t="e">
        <f aca="false">MIN(6,TblMili[[#This Row],[Mystic]]+Races!$F$19)*1.8 +  IF(TblMili[[#This Row],[Mystic]]+Races!$F$19&gt;6,(TblMili[[#This Row],[Mystic]]+Races!$F$19-6)*0.2,0) - Races!$I$19</f>
        <v>#VALUE!</v>
      </c>
      <c r="CO82" s="288" t="e">
        <f aca="false">1.8 * MIN(MAX(TblMili[[#This Row],[Druid (op)]]+Races!$E$20,TblMili[[#This Row],[Druid (dp)]]+Races!$F$20),6)  +  0.45 * MIN(MIN(TblMili[[#This Row],[Druid (op)]]+Races!$E$20,TblMili[[#This Row],[Druid (dp)]]+Races!$F$20),6)  +  0.2 * ( MAX(TblMili[[#This Row],[Druid (op)]]+Races!$E$20-6,0) + MAX(TblMili[[#This Row],[Druid (dp)]]+Races!$F$20-6,0) )  -  Races!$I$20</f>
        <v>#VALUE!</v>
      </c>
      <c r="CP82" s="69" t="e">
        <f aca="false">TblMili[[#This Row],[Mystic bonus]]*TblMili[[#This Row],[Unit 3]]+TblMili[[#This Row],[Druid bonus]]*TblMili[[#This Row],[Unit 4]]</f>
        <v>#VALUE!</v>
      </c>
      <c r="CQ82" s="148" t="e">
        <f aca="false">MIN(6,TblMili[[#This Row],[Dryad]]+Races!$F$35)*1.8 +  IF(TblMili[[#This Row],[Dryad]]+Races!$F$35&gt;6,(TblMili[[#This Row],[Dryad]]+Races!$F$35-6)*0.2,0) - Races!$I$19</f>
        <v>#VALUE!</v>
      </c>
      <c r="CR82" s="69" t="e">
        <f aca="false">sylvan*(TblMili[[#This Row],[Mystic bonus]]*TblMili[[#This Row],[Unit 3]])</f>
        <v>#VALUE!</v>
      </c>
      <c r="CS82" s="148" t="e">
        <f aca="false">1.8 * MIN(MAX(Races!$E$27,TblMili[[#This Row],[Rockapult]]+Races!$F$27),6)  +  0.45 * MIN(MIN(Races!$E$27,TblMili[[#This Row],[Rockapult]]+Races!$F$27),6)  +  0.2 * ( MAX(Races!$E$27-6,0) + MAX(TblMili[[#This Row],[Rockapult]]+Races!$F$27-6,0) )  -  Races!$I$20</f>
        <v>#VALUE!</v>
      </c>
      <c r="CT82" s="69" t="e">
        <f aca="false">gnome*(TblMili[[#This Row],[Rockapult bonus]]*TblMili[[#This Row],[Unit 3]])</f>
        <v>#VALUE!</v>
      </c>
      <c r="CU82" s="148" t="n">
        <f aca="false">1.8 * MIN(MAX(TblMili[[#This Row],[Spellblade]]+Races!$E$47,TblMili[[#This Row],[Adept-DP]]+Races!$F$47),6)  +  0.45 * MIN(MIN(TblMili[[#This Row],[Spellblade]]+Races!$E$47,TblMili[[#This Row],[Adept-DP]]+Races!$F$47),6)  +  0.2 * ( MAX(TblMili[[#This Row],[Spellblade]]+Races!$E$47-6,0) + MAX(TblMili[[#This Row],[Adept-DP]]+Races!$F$47-6,0) )  -  Races!$I$47</f>
        <v>0</v>
      </c>
      <c r="CV82" s="69" t="n">
        <f aca="false">dark_elf*(TblMili[[#This Row],[Adept bonus]]*TblMili[[#This Row],[Unit 3]])</f>
        <v>0</v>
      </c>
      <c r="CW82" s="148" t="e">
        <f aca="false">1.8 * MIN(MAX(TblMili[[#This Row],[Frost Mage]]+Races!$F$71,Races!$E$71),6)  +  0.45 * MIN(MIN(TblMili[[#This Row],[Frost Mage]]+Races!$F$71,Races!$E$71),6)  +  0.2 * ( MAX(TblMili[[#This Row],[Frost Mage]]+Races!$F$71-6,0) + MAX(Races!$E$71-6,0) )  -  Races!$I$71</f>
        <v>#VALUE!</v>
      </c>
      <c r="CX82" s="148" t="n">
        <f aca="false">1.8 * MIN(MAX(TblMili[[#This Row],[Ice Elemental]]+Races!$E$71,Races!$F$71),6)  +  0.45 * MIN(MIN(TblMili[[#This Row],[Ice Elemental]]+Races!$E$71,Races!$F$71),6)  +  0.2 * ( MAX(TblMili[[#This Row],[Ice Elemental]]+Races!$E$71-6,0) + MAX(Races!$F$71-6,0) )  -  Races!$I$71</f>
        <v>0.064285714285715</v>
      </c>
      <c r="CY82" s="69" t="e">
        <f aca="false">TblMili[[#This Row],[Frost Mage bonus]]*TblMili[[#This Row],[Unit 3]]+TblMili[[#This Row],[Ice Elemental bonus]]*TblMili[[#This Row],[Unit 4]]</f>
        <v>#VALUE!</v>
      </c>
      <c r="CZ82" s="290"/>
      <c r="DA82" s="109" t="n">
        <f aca="false">MIN(SUM(TblConstr[[#This Row],[Plain]:[Water]])/TblMili[[#This Row],[Land]]/favorable_terrain_bonus/100,favorable_terrain_max)</f>
        <v>0</v>
      </c>
      <c r="DB82" s="290"/>
      <c r="DC8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2" s="132"/>
      <c r="DE82" s="291" t="n">
        <f aca="false">(TblMili[[#This Row],[Wizards]]+2*TblMili[[#This Row],[Archmages]])/TblConstr[[#This Row],[Land]]</f>
        <v>0.0357142857142857</v>
      </c>
      <c r="DF82" s="291" t="n">
        <f aca="false">TblMili[[#This Row],[Raw (2)]]*(1+race_wizard_strength+IF(TblMili[[#This Row],[Hour]]&gt;72,tech_magical_weaponry_wiz*TblTech[[#This Row],[3-5]],0))</f>
        <v>0.0357142857142857</v>
      </c>
    </row>
    <row r="83" customFormat="false" ht="12.75" hidden="false" customHeight="false" outlineLevel="0" collapsed="false">
      <c r="A83" s="128" t="n">
        <f aca="false">TblRezone[[#This Row],[Hour]]</f>
        <v>80</v>
      </c>
      <c r="B83" s="282" t="n">
        <f aca="false">SUM(TblMili[[#This Row],[Unit 1]:[Archmages]])+SUM(OFFSET(TblMili[[#This Row],[Train Unit 1]],-8,0):TblMili[[#This Row],[Train Unit 2]]) + SUM(OFFSET(TblMili[[#This Row],[Train Unit 3]],-11,0):TblMili[[#This Row],[Train AM]]) + TblMili[[#This Row],[Draftees]]</f>
        <v>3606</v>
      </c>
      <c r="C83" s="150" t="n">
        <f aca="false">TblPop[[#This Row],[Military%]]</f>
        <v>0.278692325527475</v>
      </c>
      <c r="D83" s="132"/>
      <c r="E83" s="151" t="n">
        <f aca="false">OFFSET(TblMili[[#This Row],[Unit 1]],-1,0) + OFFSET(TblMili[[#This Row],[Train Unit 1]],-9,0) - TblMili[[#This Row],[Release Unit 1]]</f>
        <v>0</v>
      </c>
      <c r="F83" s="151" t="n">
        <f aca="false">OFFSET(TblMili[[#This Row],[Unit 2]],-1,0) + OFFSET(TblMili[[#This Row],[Train Unit 2]],-9,0)-TblMili[[#This Row],[Release Unit 2]]</f>
        <v>1002</v>
      </c>
      <c r="G83" s="151" t="n">
        <f aca="false">OFFSET(TblMili[[#This Row],[Unit 3]],-1,0) + OFFSET(TblMili[[#This Row],[Train Unit 3]],-12,0)-TblMili[[#This Row],[Release Unit 3]]</f>
        <v>625</v>
      </c>
      <c r="H83" s="151" t="n">
        <f aca="false">OFFSET(TblMili[[#This Row],[Unit 4]],-1,0) + OFFSET(TblMili[[#This Row],[Train Unit 4]],-12,0)-TblMili[[#This Row],[Release Unit 4]]</f>
        <v>748</v>
      </c>
      <c r="I83" s="151" t="n">
        <f aca="false">OFFSET(TblMili[[#This Row],[Spies]],-1,0) + OFFSET(TblMili[[#This Row],[Train Spies]],-12,0) - TblMili[[#This Row],[Release Spies]]-TblMili[[#This Row],[Train AS]]</f>
        <v>25</v>
      </c>
      <c r="J83" s="151" t="n">
        <f aca="false">OFFSET(TblMili[[#This Row],[Archspies]],-1,0) + OFFSET(TblMili[[#This Row],[Train AS]],-12,0) - TblMili[[#This Row],[Release AS]]</f>
        <v>0</v>
      </c>
      <c r="K83" s="151" t="n">
        <f aca="false">OFFSET(TblMili[[#This Row],[Wizards]],-1,0) + OFFSET(TblMili[[#This Row],[Train Wiz]],-12,0) - TblMili[[#This Row],[Release Wizards]]-TblMili[[#This Row],[Train AM]]</f>
        <v>25</v>
      </c>
      <c r="L83" s="151" t="n">
        <f aca="false">OFFSET(TblMili[[#This Row],[Archmages]],-1,0) + OFFSET(TblMili[[#This Row],[Train AM]],-12,0) - TblMili[[#This Row],[Release AM]]</f>
        <v>0</v>
      </c>
      <c r="M83" s="132"/>
      <c r="N83" s="69" t="e">
        <f aca="false">TblProd[[#This Row],[Networth]]</f>
        <v>#VALUE!</v>
      </c>
      <c r="O83" s="132"/>
      <c r="P8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3" s="285" t="e">
        <f aca="false">TblMili[[#This Row],[Raw]]*(1+TblMili[[#This Row],[Mods_Off]])</f>
        <v>#VALUE!</v>
      </c>
      <c r="S8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3" s="285" t="e">
        <f aca="false">TblMili[[#This Row],[Non Draft]]+TblMili[[#This Row],[Draftees]]</f>
        <v>#VALUE!</v>
      </c>
      <c r="U83" s="286" t="n">
        <f aca="false">race_defense + TblImps[[#This Row],[Walls]] + ROUND( MIN(gt_bonus*TblConstr[[#This Row],[Tot GT]]/TblConstr[[#This Row],[Land]],gt_bonus_cap), 4) + IF(TblMagic[[#This Row],[Active Howling]]&gt;0,howling_dp_bonus,IF(TblMagic[[#This Row],[Active Ares Call]]&gt;0,ares_call_bonus))</f>
        <v>0.2375</v>
      </c>
      <c r="V83" s="274" t="e">
        <f aca="false">TblMili[[#This Row],[Non Draft]] * (1 + TblMili[[#This Row],[Mods_Def]])</f>
        <v>#VALUE!</v>
      </c>
      <c r="W83" s="285" t="e">
        <f aca="false">TblMili[[#This Row],[Draft]] * (1 + TblMili[[#This Row],[Mods_Def]])</f>
        <v>#VALUE!</v>
      </c>
      <c r="X83" s="285" t="n">
        <f aca="false">TblConstr[[#This Row],[Land]]</f>
        <v>700</v>
      </c>
      <c r="Y83" s="287"/>
      <c r="Z83" s="109" t="n">
        <f aca="false">IF(TblMili[[#This Row],[Set]]&lt;&gt;"",TblMili[[#This Row],[Set]],OFFSET(TblMili[[#This Row],[Draftrate]],-1,0))</f>
        <v>0.9</v>
      </c>
      <c r="AA83" s="69" t="n">
        <f aca="false">OFFSET(TblMili[[#This Row],[Draftees]],-1,0)+OFFSET(TblPop[[#This Row],[Draft Growth]],-1,0) - SUM(TblMili[[#This Row],[Train Unit 1]:[Train Spies]],TblMili[[#This Row],[Train Wiz]]) - TblMili[[#This Row],[Release Draft]] + SUM(TblMili[[#This Row],[Release Unit 1]:[Release AM]]) - TblExplore[[#This Row],[Draftees (2)]]</f>
        <v>382</v>
      </c>
      <c r="AB83" s="146"/>
      <c r="AC83" s="130" t="n">
        <f aca="false">(TblConstr[[#This Row],[Tot Smi]]+TblConstr[[#This Row],[Dest Smi]])/(TblConstr[[#This Row],[Land]]-TblExplore[[#This Row],[Land Bonus]]*20)</f>
        <v>0.18</v>
      </c>
      <c r="AD83" s="128"/>
      <c r="AE83" s="282" t="n">
        <f aca="false">TblMili[[#This Row],[Hour]]</f>
        <v>80</v>
      </c>
      <c r="AF83" s="129" t="n">
        <f aca="false">TblExplore[[#This Row],[Time]]</f>
        <v>45433.0416666667</v>
      </c>
      <c r="AG83" s="182"/>
      <c r="AH83" s="182"/>
      <c r="AI83" s="182"/>
      <c r="AJ83" s="182"/>
      <c r="AK83" s="182"/>
      <c r="AL83" s="182"/>
      <c r="AM83" s="182"/>
      <c r="AN83" s="182"/>
      <c r="AO83" s="132"/>
      <c r="AP83" s="69" t="n">
        <f aca="false">TblProd[[#This Row],[Platinum]]</f>
        <v>291213</v>
      </c>
      <c r="AQ83" s="69" t="n">
        <f aca="false">INDEX(TblProd[[#Headers],[Lumber]]:TblProd[[#This Row],[Ore]],COUNTA(TblProd[[#Headers],[Lumber]]:TblProd[[#This Row],[Lumber]]),MATCH(Military!$AQ$2,TblProd[[#Headers],[Lumber]:[Ore]],0))</f>
        <v>0</v>
      </c>
      <c r="AR8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69" t="n">
        <f aca="false">TblMili[[#This Row],[Train Unit 1]]*TblMili[[#This Row],[OP Ore]]+TblMili[[#This Row],[Train Unit 2]]*TblMili[[#This Row],[DP Ore]]+TblMili[[#This Row],[Train Unit 3]]*TblMili[[#This Row],[E1 Ore]]+TblMili[[#This Row],[Train Unit 4]]*TblMili[[#This Row],[E2 Ore]]</f>
        <v>0</v>
      </c>
      <c r="AT83" s="132" t="n">
        <f aca="false">TblMili[[#This Row],[Hour]]</f>
        <v>80</v>
      </c>
      <c r="AU83" s="144" t="n">
        <f aca="false">TblMili[[#This Row],[Time]]</f>
        <v>45433.0416666667</v>
      </c>
      <c r="AV83" s="69" t="n">
        <f aca="false">TblMili[[#This Row],[Draftees]]</f>
        <v>382</v>
      </c>
      <c r="AW83" s="152"/>
      <c r="AX83" s="182"/>
      <c r="AY83" s="182"/>
      <c r="AZ83" s="182"/>
      <c r="BA83" s="182"/>
      <c r="BB83" s="182"/>
      <c r="BC83" s="182"/>
      <c r="BD83" s="182"/>
      <c r="BE83" s="182"/>
      <c r="BF83" s="132"/>
      <c r="BG83" s="150" t="n">
        <f aca="false">TblConstr[[#This Row],[Tot WG]]/TblConstr[[#This Row],[Land]]</f>
        <v>0</v>
      </c>
      <c r="BH83" s="150" t="n">
        <f aca="false">TblConstr[[#This Row],[Tot Hav]]/TblConstr[[#This Row],[Land]]</f>
        <v>0</v>
      </c>
      <c r="BI83" s="69" t="n">
        <f aca="false">ROUNDUP((1-MIN(TblMili[[#This Row],[Smithies]]*smithy_bonus,smithy_bonus_cap) + tech_3_5*TblTech[[#This Row],[3-5]] + tech_5_3*TblTech[[#This Row],[5-3]] + tech_5_5*TblTech[[#This Row],[5-5]])*spec_op_plat,0)</f>
        <v>192</v>
      </c>
      <c r="BJ83" s="69" t="n">
        <f aca="false">ROUNDUP(IF(race="Gnome",1,(1-MIN(TblMili[[#This Row],[Smithies]]*smithy_bonus,smithy_bonus_cap) + tech_3_5*TblTech[[#This Row],[3-5]] + tech_5_3*TblTech[[#This Row],[5-3]] + tech_5_5*TblTech[[#This Row],[5-5]]))*spec_op_ore,0)</f>
        <v>0</v>
      </c>
      <c r="BK83" s="69" t="n">
        <f aca="false">ROUNDUP((1-MIN(TblMili[[#This Row],[Smithies]]*smithy_bonus,smithy_bonus_cap) + tech_3_5*TblTech[[#This Row],[3-5]] + tech_5_3*TblTech[[#This Row],[5-3]] + tech_5_5*TblTech[[#This Row],[5-5]])*spec_dp_plat,0)</f>
        <v>192</v>
      </c>
      <c r="BL83" s="69" t="n">
        <f aca="false">ROUNDUP(IF(race="Gnome",1,(1-MIN(TblMili[[#This Row],[Smithies]]*smithy_bonus,smithy_bonus_cap) + tech_3_5*TblTech[[#This Row],[3-5]] + tech_5_3*TblTech[[#This Row],[5-3]] + tech_5_5*TblTech[[#This Row],[5-5]]))*spec_dp_ore,0)</f>
        <v>0</v>
      </c>
      <c r="BM83" s="69" t="n">
        <f aca="false">ROUNDUP((1-MIN(TblMili[[#This Row],[Smithies]]*smithy_bonus,smithy_bonus_cap) + tech_3_5*TblTech[[#This Row],[3-5]] + tech_5_3*TblTech[[#This Row],[5-3]] + tech_5_5*TblTech[[#This Row],[5-5]])*elite1_plat,0)</f>
        <v>592</v>
      </c>
      <c r="BN83" s="69" t="n">
        <f aca="false">ROUNDUP(IF(race="Gnome",1,(1-MIN(TblMili[[#This Row],[Smithies]]*smithy_bonus,smithy_bonus_cap) + tech_3_5*TblTech[[#This Row],[3-5]] + tech_5_3*TblTech[[#This Row],[5-3]] + tech_5_5*TblTech[[#This Row],[5-5]]))*elite1_ore,0)</f>
        <v>0</v>
      </c>
      <c r="BO83" s="69" t="n">
        <f aca="false">ROUNDUP((1-MIN(TblMili[[#This Row],[Smithies]]*smithy_bonus,smithy_bonus_cap) + tech_3_5*TblTech[[#This Row],[3-5]] + tech_5_3*TblTech[[#This Row],[5-3]] + tech_5_5*TblTech[[#This Row],[5-5]])*elite2_plat,0)</f>
        <v>608</v>
      </c>
      <c r="BP83" s="69" t="n">
        <f aca="false">ROUNDUP(IF(race="Gnome",1,(1-MIN(TblMili[[#This Row],[Smithies]]*smithy_bonus,smithy_bonus_cap) + tech_3_5*TblTech[[#This Row],[3-5]] + tech_5_3*TblTech[[#This Row],[5-3]] + tech_5_5*TblTech[[#This Row],[5-5]]))*elite2_ore,0)</f>
        <v>0</v>
      </c>
      <c r="BQ83" s="69" t="n">
        <f aca="false">ROUNDUP((1-MIN(ROUND(fh_spy_cost_red*TblMili[[#This Row],[FH''s]],4),fh_spy_cost_cap)+ tech_1_9*TblTech[[#This Row],[1-9]] + tech_9_1*TblTech[[#This Row],[9-1]])*spy_plat,0)</f>
        <v>500</v>
      </c>
      <c r="BR83" s="69" t="n">
        <f aca="false">ROUNDUP((1-MIN(ROUND(fh_spy_cost_red*TblMili[[#This Row],[FH''s]],4),fh_spy_cost_cap)+ tech_1_9*TblTech[[#This Row],[1-9]] + tech_9_1*TblTech[[#This Row],[9-1]])*archspy_plat,0)</f>
        <v>1000</v>
      </c>
      <c r="BS83" s="69" t="n">
        <f aca="false">ROUNDUP((1-MIN(ROUND(wg_wiz_cost_bonus*TblMili[[#This Row],[WG''s]],4),wg_wiz_cost_cap) + tech_1_9_2*TblTech[[#This Row],[1-9]] + tech_9_1_2*TblTech[[#This Row],[9-1]])*wizard_plat,0)</f>
        <v>500</v>
      </c>
      <c r="BT83" s="69" t="n">
        <f aca="false">ROUNDUP((1-MIN(ROUND(wg_wiz_cost_bonus*TblMili[[#This Row],[WG''s]],4),wg_wiz_cost_cap) + tech_1_9_2*TblTech[[#This Row],[1-9]] + tech_9_1_2*TblTech[[#This Row],[9-1]])*archmage_plat,0)</f>
        <v>1000</v>
      </c>
      <c r="BU83" s="132"/>
      <c r="BV83" s="150" t="e">
        <f aca="false">TblConstr[[#This Row],[Homeland]]/TblConstr[[#This Row],[Land]]</f>
        <v>#VALUE!</v>
      </c>
      <c r="BW83" s="150" t="n">
        <f aca="false">TblMili[[#This Row],[WG''s]]</f>
        <v>0</v>
      </c>
      <c r="BX83" s="288" t="e">
        <f aca="false">IF(mystic_cap="none",TblMili[[#This Row],[Hill]]/mystic_bonus,MIN(mystic_cap,TblMili[[#This Row],[Hill]]/mystic_bonus))</f>
        <v>#VALUE!</v>
      </c>
      <c r="BY83" s="288" t="e">
        <f aca="false">IF(druid_op_cap="none",TblMili[[#This Row],[Hill]]/druid_op_bonus,MIN(druid_op_cap,TblMili[[#This Row],[Hill]]/druid_op_bonus))</f>
        <v>#VALUE!</v>
      </c>
      <c r="BZ83" s="288" t="e">
        <f aca="false">IF(druid_dp_cap="none",TblMili[[#This Row],[Hill]]/druid_dp_bonus,MIN(druid_dp_cap,TblMili[[#This Row],[Hill]]/druid_dp_bonus))</f>
        <v>#VALUE!</v>
      </c>
      <c r="CA83" s="288" t="e">
        <f aca="false">MIN(dryad_cap,TblMili[[#This Row],[Hill]]/dryad_bonus)</f>
        <v>#VALUE!</v>
      </c>
      <c r="CB83" s="288" t="e">
        <f aca="false">MIN(rocka_cap,TblMili[[#This Row],[Hill]]/rocka_bonus)</f>
        <v>#VALUE!</v>
      </c>
      <c r="CC83" s="288" t="n">
        <f aca="false">MIN(adept_op_cap,TblMili[[#This Row],[WG]]/adept_op_bonus)</f>
        <v>0</v>
      </c>
      <c r="CD83" s="288" t="n">
        <f aca="false">MIN(adept_dp_cap,TblMili[[#This Row],[WG]]/adept_dp_bonus)</f>
        <v>0</v>
      </c>
      <c r="CE83" s="69" t="n">
        <f aca="false">MIN(TblMili[[#This Row],[Unit 3]],TblMili[[#This Row],[Unit 2]])*2</f>
        <v>1250</v>
      </c>
      <c r="CF83" s="69" t="n">
        <f aca="false">MIN(TblMili[[#This Row],[Unit 1]],TblMili[[#This Row],[Unit 4]])*2</f>
        <v>0</v>
      </c>
      <c r="CG83" s="288" t="e">
        <f aca="false">MIN(frost_mage_cap,TblMili[[#This Row],[Hill]]/frost_mage_bonus)</f>
        <v>#VALUE!</v>
      </c>
      <c r="CH83" s="151" t="n">
        <f aca="false">MIN(ice_elem_cap,TblMili[[#This Row],[Raw (2)]]*ice_elem_bonus)</f>
        <v>0.0357142857142857</v>
      </c>
      <c r="CI83" s="288" t="n">
        <f aca="false">MIN(bone_breaker_cap,250/bone_breaker_bonus)</f>
        <v>0.833333333333333</v>
      </c>
      <c r="CJ83" s="288" t="e">
        <f aca="false">MIN(nox_nightshade_cap,TblConstr[[#This Row],[Homeland]]/TblConstr[[#This Row],[Land]]/nox_nightshade_swamp_bonus)</f>
        <v>#VALUE!</v>
      </c>
      <c r="CK83" s="289"/>
      <c r="CL83" s="289"/>
      <c r="CM83" s="289"/>
      <c r="CN83" s="288" t="e">
        <f aca="false">MIN(6,TblMili[[#This Row],[Mystic]]+Races!$F$19)*1.8 +  IF(TblMili[[#This Row],[Mystic]]+Races!$F$19&gt;6,(TblMili[[#This Row],[Mystic]]+Races!$F$19-6)*0.2,0) - Races!$I$19</f>
        <v>#VALUE!</v>
      </c>
      <c r="CO83" s="288" t="e">
        <f aca="false">1.8 * MIN(MAX(TblMili[[#This Row],[Druid (op)]]+Races!$E$20,TblMili[[#This Row],[Druid (dp)]]+Races!$F$20),6)  +  0.45 * MIN(MIN(TblMili[[#This Row],[Druid (op)]]+Races!$E$20,TblMili[[#This Row],[Druid (dp)]]+Races!$F$20),6)  +  0.2 * ( MAX(TblMili[[#This Row],[Druid (op)]]+Races!$E$20-6,0) + MAX(TblMili[[#This Row],[Druid (dp)]]+Races!$F$20-6,0) )  -  Races!$I$20</f>
        <v>#VALUE!</v>
      </c>
      <c r="CP83" s="69" t="e">
        <f aca="false">TblMili[[#This Row],[Mystic bonus]]*TblMili[[#This Row],[Unit 3]]+TblMili[[#This Row],[Druid bonus]]*TblMili[[#This Row],[Unit 4]]</f>
        <v>#VALUE!</v>
      </c>
      <c r="CQ83" s="148" t="e">
        <f aca="false">MIN(6,TblMili[[#This Row],[Dryad]]+Races!$F$35)*1.8 +  IF(TblMili[[#This Row],[Dryad]]+Races!$F$35&gt;6,(TblMili[[#This Row],[Dryad]]+Races!$F$35-6)*0.2,0) - Races!$I$19</f>
        <v>#VALUE!</v>
      </c>
      <c r="CR83" s="69" t="e">
        <f aca="false">sylvan*(TblMili[[#This Row],[Mystic bonus]]*TblMili[[#This Row],[Unit 3]])</f>
        <v>#VALUE!</v>
      </c>
      <c r="CS83" s="148" t="e">
        <f aca="false">1.8 * MIN(MAX(Races!$E$27,TblMili[[#This Row],[Rockapult]]+Races!$F$27),6)  +  0.45 * MIN(MIN(Races!$E$27,TblMili[[#This Row],[Rockapult]]+Races!$F$27),6)  +  0.2 * ( MAX(Races!$E$27-6,0) + MAX(TblMili[[#This Row],[Rockapult]]+Races!$F$27-6,0) )  -  Races!$I$20</f>
        <v>#VALUE!</v>
      </c>
      <c r="CT83" s="69" t="e">
        <f aca="false">gnome*(TblMili[[#This Row],[Rockapult bonus]]*TblMili[[#This Row],[Unit 3]])</f>
        <v>#VALUE!</v>
      </c>
      <c r="CU83" s="148" t="n">
        <f aca="false">1.8 * MIN(MAX(TblMili[[#This Row],[Spellblade]]+Races!$E$47,TblMili[[#This Row],[Adept-DP]]+Races!$F$47),6)  +  0.45 * MIN(MIN(TblMili[[#This Row],[Spellblade]]+Races!$E$47,TblMili[[#This Row],[Adept-DP]]+Races!$F$47),6)  +  0.2 * ( MAX(TblMili[[#This Row],[Spellblade]]+Races!$E$47-6,0) + MAX(TblMili[[#This Row],[Adept-DP]]+Races!$F$47-6,0) )  -  Races!$I$47</f>
        <v>0</v>
      </c>
      <c r="CV83" s="69" t="n">
        <f aca="false">dark_elf*(TblMili[[#This Row],[Adept bonus]]*TblMili[[#This Row],[Unit 3]])</f>
        <v>0</v>
      </c>
      <c r="CW83" s="148" t="e">
        <f aca="false">1.8 * MIN(MAX(TblMili[[#This Row],[Frost Mage]]+Races!$F$71,Races!$E$71),6)  +  0.45 * MIN(MIN(TblMili[[#This Row],[Frost Mage]]+Races!$F$71,Races!$E$71),6)  +  0.2 * ( MAX(TblMili[[#This Row],[Frost Mage]]+Races!$F$71-6,0) + MAX(Races!$E$71-6,0) )  -  Races!$I$71</f>
        <v>#VALUE!</v>
      </c>
      <c r="CX83" s="148" t="n">
        <f aca="false">1.8 * MIN(MAX(TblMili[[#This Row],[Ice Elemental]]+Races!$E$71,Races!$F$71),6)  +  0.45 * MIN(MIN(TblMili[[#This Row],[Ice Elemental]]+Races!$E$71,Races!$F$71),6)  +  0.2 * ( MAX(TblMili[[#This Row],[Ice Elemental]]+Races!$E$71-6,0) + MAX(Races!$F$71-6,0) )  -  Races!$I$71</f>
        <v>0.064285714285715</v>
      </c>
      <c r="CY83" s="69" t="e">
        <f aca="false">TblMili[[#This Row],[Frost Mage bonus]]*TblMili[[#This Row],[Unit 3]]+TblMili[[#This Row],[Ice Elemental bonus]]*TblMili[[#This Row],[Unit 4]]</f>
        <v>#VALUE!</v>
      </c>
      <c r="CZ83" s="290"/>
      <c r="DA83" s="109" t="n">
        <f aca="false">MIN(SUM(TblConstr[[#This Row],[Plain]:[Water]])/TblMili[[#This Row],[Land]]/favorable_terrain_bonus/100,favorable_terrain_max)</f>
        <v>0</v>
      </c>
      <c r="DB83" s="290"/>
      <c r="DC8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3" s="132"/>
      <c r="DE83" s="291" t="n">
        <f aca="false">(TblMili[[#This Row],[Wizards]]+2*TblMili[[#This Row],[Archmages]])/TblConstr[[#This Row],[Land]]</f>
        <v>0.0357142857142857</v>
      </c>
      <c r="DF83" s="291" t="n">
        <f aca="false">TblMili[[#This Row],[Raw (2)]]*(1+race_wizard_strength+IF(TblMili[[#This Row],[Hour]]&gt;72,tech_magical_weaponry_wiz*TblTech[[#This Row],[3-5]],0))</f>
        <v>0.0357142857142857</v>
      </c>
    </row>
    <row r="84" customFormat="false" ht="12.75" hidden="false" customHeight="false" outlineLevel="0" collapsed="false">
      <c r="A84" s="128" t="n">
        <f aca="false">TblRezone[[#This Row],[Hour]]</f>
        <v>81</v>
      </c>
      <c r="B84" s="282" t="n">
        <f aca="false">SUM(TblMili[[#This Row],[Unit 1]:[Archmages]])+SUM(OFFSET(TblMili[[#This Row],[Train Unit 1]],-8,0):TblMili[[#This Row],[Train Unit 2]]) + SUM(OFFSET(TblMili[[#This Row],[Train Unit 3]],-11,0):TblMili[[#This Row],[Train AM]]) + TblMili[[#This Row],[Draftees]]</f>
        <v>3699</v>
      </c>
      <c r="C84" s="150" t="n">
        <f aca="false">TblPop[[#This Row],[Military%]]</f>
        <v>0.285879897982843</v>
      </c>
      <c r="D84" s="132"/>
      <c r="E84" s="151" t="n">
        <f aca="false">OFFSET(TblMili[[#This Row],[Unit 1]],-1,0) + OFFSET(TblMili[[#This Row],[Train Unit 1]],-9,0) - TblMili[[#This Row],[Release Unit 1]]</f>
        <v>0</v>
      </c>
      <c r="F84" s="151" t="n">
        <f aca="false">OFFSET(TblMili[[#This Row],[Unit 2]],-1,0) + OFFSET(TblMili[[#This Row],[Train Unit 2]],-9,0)-TblMili[[#This Row],[Release Unit 2]]</f>
        <v>1002</v>
      </c>
      <c r="G84" s="151" t="n">
        <f aca="false">OFFSET(TblMili[[#This Row],[Unit 3]],-1,0) + OFFSET(TblMili[[#This Row],[Train Unit 3]],-12,0)-TblMili[[#This Row],[Release Unit 3]]</f>
        <v>625</v>
      </c>
      <c r="H84" s="151" t="n">
        <f aca="false">OFFSET(TblMili[[#This Row],[Unit 4]],-1,0) + OFFSET(TblMili[[#This Row],[Train Unit 4]],-12,0)-TblMili[[#This Row],[Release Unit 4]]</f>
        <v>851</v>
      </c>
      <c r="I84" s="151" t="n">
        <f aca="false">OFFSET(TblMili[[#This Row],[Spies]],-1,0) + OFFSET(TblMili[[#This Row],[Train Spies]],-12,0) - TblMili[[#This Row],[Release Spies]]-TblMili[[#This Row],[Train AS]]</f>
        <v>25</v>
      </c>
      <c r="J84" s="151" t="n">
        <f aca="false">OFFSET(TblMili[[#This Row],[Archspies]],-1,0) + OFFSET(TblMili[[#This Row],[Train AS]],-12,0) - TblMili[[#This Row],[Release AS]]</f>
        <v>0</v>
      </c>
      <c r="K84" s="151" t="n">
        <f aca="false">OFFSET(TblMili[[#This Row],[Wizards]],-1,0) + OFFSET(TblMili[[#This Row],[Train Wiz]],-12,0) - TblMili[[#This Row],[Release Wizards]]-TblMili[[#This Row],[Train AM]]</f>
        <v>25</v>
      </c>
      <c r="L84" s="151" t="n">
        <f aca="false">OFFSET(TblMili[[#This Row],[Archmages]],-1,0) + OFFSET(TblMili[[#This Row],[Train AM]],-12,0) - TblMili[[#This Row],[Release AM]]</f>
        <v>0</v>
      </c>
      <c r="M84" s="132"/>
      <c r="N84" s="69" t="e">
        <f aca="false">TblProd[[#This Row],[Networth]]</f>
        <v>#VALUE!</v>
      </c>
      <c r="O84" s="132"/>
      <c r="P8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4" s="285" t="e">
        <f aca="false">TblMili[[#This Row],[Raw]]*(1+TblMili[[#This Row],[Mods_Off]])</f>
        <v>#VALUE!</v>
      </c>
      <c r="S8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4" s="285" t="e">
        <f aca="false">TblMili[[#This Row],[Non Draft]]+TblMili[[#This Row],[Draftees]]</f>
        <v>#VALUE!</v>
      </c>
      <c r="U84" s="286" t="n">
        <f aca="false">race_defense + TblImps[[#This Row],[Walls]] + ROUND( MIN(gt_bonus*TblConstr[[#This Row],[Tot GT]]/TblConstr[[#This Row],[Land]],gt_bonus_cap), 4) + IF(TblMagic[[#This Row],[Active Howling]]&gt;0,howling_dp_bonus,IF(TblMagic[[#This Row],[Active Ares Call]]&gt;0,ares_call_bonus))</f>
        <v>0.2375</v>
      </c>
      <c r="V84" s="274" t="e">
        <f aca="false">TblMili[[#This Row],[Non Draft]] * (1 + TblMili[[#This Row],[Mods_Def]])</f>
        <v>#VALUE!</v>
      </c>
      <c r="W84" s="285" t="e">
        <f aca="false">TblMili[[#This Row],[Draft]] * (1 + TblMili[[#This Row],[Mods_Def]])</f>
        <v>#VALUE!</v>
      </c>
      <c r="X84" s="285" t="n">
        <f aca="false">TblConstr[[#This Row],[Land]]</f>
        <v>700</v>
      </c>
      <c r="Y84" s="287"/>
      <c r="Z84" s="109" t="n">
        <f aca="false">IF(TblMili[[#This Row],[Set]]&lt;&gt;"",TblMili[[#This Row],[Set]],OFFSET(TblMili[[#This Row],[Draftrate]],-1,0))</f>
        <v>0.9</v>
      </c>
      <c r="AA84" s="69" t="n">
        <f aca="false">OFFSET(TblMili[[#This Row],[Draftees]],-1,0)+OFFSET(TblPop[[#This Row],[Draft Growth]],-1,0) - SUM(TblMili[[#This Row],[Train Unit 1]:[Train Spies]],TblMili[[#This Row],[Train Wiz]]) - TblMili[[#This Row],[Release Draft]] + SUM(TblMili[[#This Row],[Release Unit 1]:[Release AM]]) - TblExplore[[#This Row],[Draftees (2)]]</f>
        <v>475</v>
      </c>
      <c r="AB84" s="146"/>
      <c r="AC84" s="130" t="n">
        <f aca="false">(TblConstr[[#This Row],[Tot Smi]]+TblConstr[[#This Row],[Dest Smi]])/(TblConstr[[#This Row],[Land]]-TblExplore[[#This Row],[Land Bonus]]*20)</f>
        <v>0.18</v>
      </c>
      <c r="AD84" s="128"/>
      <c r="AE84" s="282" t="n">
        <f aca="false">TblMili[[#This Row],[Hour]]</f>
        <v>81</v>
      </c>
      <c r="AF84" s="129" t="n">
        <f aca="false">TblExplore[[#This Row],[Time]]</f>
        <v>45433.0833333333</v>
      </c>
      <c r="AG84" s="182"/>
      <c r="AH84" s="182"/>
      <c r="AI84" s="182"/>
      <c r="AJ84" s="182"/>
      <c r="AK84" s="182"/>
      <c r="AL84" s="182"/>
      <c r="AM84" s="182"/>
      <c r="AN84" s="182"/>
      <c r="AO84" s="132"/>
      <c r="AP84" s="69" t="n">
        <f aca="false">TblProd[[#This Row],[Platinum]]</f>
        <v>336477</v>
      </c>
      <c r="AQ84" s="69" t="n">
        <f aca="false">INDEX(TblProd[[#Headers],[Lumber]]:TblProd[[#This Row],[Ore]],COUNTA(TblProd[[#Headers],[Lumber]]:TblProd[[#This Row],[Lumber]]),MATCH(Military!$AQ$2,TblProd[[#Headers],[Lumber]:[Ore]],0))</f>
        <v>0</v>
      </c>
      <c r="AR8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69" t="n">
        <f aca="false">TblMili[[#This Row],[Train Unit 1]]*TblMili[[#This Row],[OP Ore]]+TblMili[[#This Row],[Train Unit 2]]*TblMili[[#This Row],[DP Ore]]+TblMili[[#This Row],[Train Unit 3]]*TblMili[[#This Row],[E1 Ore]]+TblMili[[#This Row],[Train Unit 4]]*TblMili[[#This Row],[E2 Ore]]</f>
        <v>0</v>
      </c>
      <c r="AT84" s="132" t="n">
        <f aca="false">TblMili[[#This Row],[Hour]]</f>
        <v>81</v>
      </c>
      <c r="AU84" s="144" t="n">
        <f aca="false">TblMili[[#This Row],[Time]]</f>
        <v>45433.0833333333</v>
      </c>
      <c r="AV84" s="69" t="n">
        <f aca="false">TblMili[[#This Row],[Draftees]]</f>
        <v>475</v>
      </c>
      <c r="AW84" s="152"/>
      <c r="AX84" s="182"/>
      <c r="AY84" s="182"/>
      <c r="AZ84" s="182"/>
      <c r="BA84" s="182"/>
      <c r="BB84" s="182"/>
      <c r="BC84" s="182"/>
      <c r="BD84" s="182"/>
      <c r="BE84" s="182"/>
      <c r="BF84" s="132"/>
      <c r="BG84" s="150" t="n">
        <f aca="false">TblConstr[[#This Row],[Tot WG]]/TblConstr[[#This Row],[Land]]</f>
        <v>0</v>
      </c>
      <c r="BH84" s="150" t="n">
        <f aca="false">TblConstr[[#This Row],[Tot Hav]]/TblConstr[[#This Row],[Land]]</f>
        <v>0</v>
      </c>
      <c r="BI84" s="69" t="n">
        <f aca="false">ROUNDUP((1-MIN(TblMili[[#This Row],[Smithies]]*smithy_bonus,smithy_bonus_cap) + tech_3_5*TblTech[[#This Row],[3-5]] + tech_5_3*TblTech[[#This Row],[5-3]] + tech_5_5*TblTech[[#This Row],[5-5]])*spec_op_plat,0)</f>
        <v>192</v>
      </c>
      <c r="BJ84" s="69" t="n">
        <f aca="false">ROUNDUP(IF(race="Gnome",1,(1-MIN(TblMili[[#This Row],[Smithies]]*smithy_bonus,smithy_bonus_cap) + tech_3_5*TblTech[[#This Row],[3-5]] + tech_5_3*TblTech[[#This Row],[5-3]] + tech_5_5*TblTech[[#This Row],[5-5]]))*spec_op_ore,0)</f>
        <v>0</v>
      </c>
      <c r="BK84" s="69" t="n">
        <f aca="false">ROUNDUP((1-MIN(TblMili[[#This Row],[Smithies]]*smithy_bonus,smithy_bonus_cap) + tech_3_5*TblTech[[#This Row],[3-5]] + tech_5_3*TblTech[[#This Row],[5-3]] + tech_5_5*TblTech[[#This Row],[5-5]])*spec_dp_plat,0)</f>
        <v>192</v>
      </c>
      <c r="BL84" s="69" t="n">
        <f aca="false">ROUNDUP(IF(race="Gnome",1,(1-MIN(TblMili[[#This Row],[Smithies]]*smithy_bonus,smithy_bonus_cap) + tech_3_5*TblTech[[#This Row],[3-5]] + tech_5_3*TblTech[[#This Row],[5-3]] + tech_5_5*TblTech[[#This Row],[5-5]]))*spec_dp_ore,0)</f>
        <v>0</v>
      </c>
      <c r="BM84" s="69" t="n">
        <f aca="false">ROUNDUP((1-MIN(TblMili[[#This Row],[Smithies]]*smithy_bonus,smithy_bonus_cap) + tech_3_5*TblTech[[#This Row],[3-5]] + tech_5_3*TblTech[[#This Row],[5-3]] + tech_5_5*TblTech[[#This Row],[5-5]])*elite1_plat,0)</f>
        <v>592</v>
      </c>
      <c r="BN84" s="69" t="n">
        <f aca="false">ROUNDUP(IF(race="Gnome",1,(1-MIN(TblMili[[#This Row],[Smithies]]*smithy_bonus,smithy_bonus_cap) + tech_3_5*TblTech[[#This Row],[3-5]] + tech_5_3*TblTech[[#This Row],[5-3]] + tech_5_5*TblTech[[#This Row],[5-5]]))*elite1_ore,0)</f>
        <v>0</v>
      </c>
      <c r="BO84" s="69" t="n">
        <f aca="false">ROUNDUP((1-MIN(TblMili[[#This Row],[Smithies]]*smithy_bonus,smithy_bonus_cap) + tech_3_5*TblTech[[#This Row],[3-5]] + tech_5_3*TblTech[[#This Row],[5-3]] + tech_5_5*TblTech[[#This Row],[5-5]])*elite2_plat,0)</f>
        <v>608</v>
      </c>
      <c r="BP84" s="69" t="n">
        <f aca="false">ROUNDUP(IF(race="Gnome",1,(1-MIN(TblMili[[#This Row],[Smithies]]*smithy_bonus,smithy_bonus_cap) + tech_3_5*TblTech[[#This Row],[3-5]] + tech_5_3*TblTech[[#This Row],[5-3]] + tech_5_5*TblTech[[#This Row],[5-5]]))*elite2_ore,0)</f>
        <v>0</v>
      </c>
      <c r="BQ84" s="69" t="n">
        <f aca="false">ROUNDUP((1-MIN(ROUND(fh_spy_cost_red*TblMili[[#This Row],[FH''s]],4),fh_spy_cost_cap)+ tech_1_9*TblTech[[#This Row],[1-9]] + tech_9_1*TblTech[[#This Row],[9-1]])*spy_plat,0)</f>
        <v>500</v>
      </c>
      <c r="BR84" s="69" t="n">
        <f aca="false">ROUNDUP((1-MIN(ROUND(fh_spy_cost_red*TblMili[[#This Row],[FH''s]],4),fh_spy_cost_cap)+ tech_1_9*TblTech[[#This Row],[1-9]] + tech_9_1*TblTech[[#This Row],[9-1]])*archspy_plat,0)</f>
        <v>1000</v>
      </c>
      <c r="BS84" s="69" t="n">
        <f aca="false">ROUNDUP((1-MIN(ROUND(wg_wiz_cost_bonus*TblMili[[#This Row],[WG''s]],4),wg_wiz_cost_cap) + tech_1_9_2*TblTech[[#This Row],[1-9]] + tech_9_1_2*TblTech[[#This Row],[9-1]])*wizard_plat,0)</f>
        <v>500</v>
      </c>
      <c r="BT84" s="69" t="n">
        <f aca="false">ROUNDUP((1-MIN(ROUND(wg_wiz_cost_bonus*TblMili[[#This Row],[WG''s]],4),wg_wiz_cost_cap) + tech_1_9_2*TblTech[[#This Row],[1-9]] + tech_9_1_2*TblTech[[#This Row],[9-1]])*archmage_plat,0)</f>
        <v>1000</v>
      </c>
      <c r="BU84" s="132"/>
      <c r="BV84" s="150" t="e">
        <f aca="false">TblConstr[[#This Row],[Homeland]]/TblConstr[[#This Row],[Land]]</f>
        <v>#VALUE!</v>
      </c>
      <c r="BW84" s="150" t="n">
        <f aca="false">TblMili[[#This Row],[WG''s]]</f>
        <v>0</v>
      </c>
      <c r="BX84" s="288" t="e">
        <f aca="false">IF(mystic_cap="none",TblMili[[#This Row],[Hill]]/mystic_bonus,MIN(mystic_cap,TblMili[[#This Row],[Hill]]/mystic_bonus))</f>
        <v>#VALUE!</v>
      </c>
      <c r="BY84" s="288" t="e">
        <f aca="false">IF(druid_op_cap="none",TblMili[[#This Row],[Hill]]/druid_op_bonus,MIN(druid_op_cap,TblMili[[#This Row],[Hill]]/druid_op_bonus))</f>
        <v>#VALUE!</v>
      </c>
      <c r="BZ84" s="288" t="e">
        <f aca="false">IF(druid_dp_cap="none",TblMili[[#This Row],[Hill]]/druid_dp_bonus,MIN(druid_dp_cap,TblMili[[#This Row],[Hill]]/druid_dp_bonus))</f>
        <v>#VALUE!</v>
      </c>
      <c r="CA84" s="288" t="e">
        <f aca="false">MIN(dryad_cap,TblMili[[#This Row],[Hill]]/dryad_bonus)</f>
        <v>#VALUE!</v>
      </c>
      <c r="CB84" s="288" t="e">
        <f aca="false">MIN(rocka_cap,TblMili[[#This Row],[Hill]]/rocka_bonus)</f>
        <v>#VALUE!</v>
      </c>
      <c r="CC84" s="288" t="n">
        <f aca="false">MIN(adept_op_cap,TblMili[[#This Row],[WG]]/adept_op_bonus)</f>
        <v>0</v>
      </c>
      <c r="CD84" s="288" t="n">
        <f aca="false">MIN(adept_dp_cap,TblMili[[#This Row],[WG]]/adept_dp_bonus)</f>
        <v>0</v>
      </c>
      <c r="CE84" s="69" t="n">
        <f aca="false">MIN(TblMili[[#This Row],[Unit 3]],TblMili[[#This Row],[Unit 2]])*2</f>
        <v>1250</v>
      </c>
      <c r="CF84" s="69" t="n">
        <f aca="false">MIN(TblMili[[#This Row],[Unit 1]],TblMili[[#This Row],[Unit 4]])*2</f>
        <v>0</v>
      </c>
      <c r="CG84" s="288" t="e">
        <f aca="false">MIN(frost_mage_cap,TblMili[[#This Row],[Hill]]/frost_mage_bonus)</f>
        <v>#VALUE!</v>
      </c>
      <c r="CH84" s="151" t="n">
        <f aca="false">MIN(ice_elem_cap,TblMili[[#This Row],[Raw (2)]]*ice_elem_bonus)</f>
        <v>0.0357142857142857</v>
      </c>
      <c r="CI84" s="288" t="n">
        <f aca="false">MIN(bone_breaker_cap,250/bone_breaker_bonus)</f>
        <v>0.833333333333333</v>
      </c>
      <c r="CJ84" s="288" t="e">
        <f aca="false">MIN(nox_nightshade_cap,TblConstr[[#This Row],[Homeland]]/TblConstr[[#This Row],[Land]]/nox_nightshade_swamp_bonus)</f>
        <v>#VALUE!</v>
      </c>
      <c r="CK84" s="289"/>
      <c r="CL84" s="289"/>
      <c r="CM84" s="289"/>
      <c r="CN84" s="288" t="e">
        <f aca="false">MIN(6,TblMili[[#This Row],[Mystic]]+Races!$F$19)*1.8 +  IF(TblMili[[#This Row],[Mystic]]+Races!$F$19&gt;6,(TblMili[[#This Row],[Mystic]]+Races!$F$19-6)*0.2,0) - Races!$I$19</f>
        <v>#VALUE!</v>
      </c>
      <c r="CO84" s="288" t="e">
        <f aca="false">1.8 * MIN(MAX(TblMili[[#This Row],[Druid (op)]]+Races!$E$20,TblMili[[#This Row],[Druid (dp)]]+Races!$F$20),6)  +  0.45 * MIN(MIN(TblMili[[#This Row],[Druid (op)]]+Races!$E$20,TblMili[[#This Row],[Druid (dp)]]+Races!$F$20),6)  +  0.2 * ( MAX(TblMili[[#This Row],[Druid (op)]]+Races!$E$20-6,0) + MAX(TblMili[[#This Row],[Druid (dp)]]+Races!$F$20-6,0) )  -  Races!$I$20</f>
        <v>#VALUE!</v>
      </c>
      <c r="CP84" s="69" t="e">
        <f aca="false">TblMili[[#This Row],[Mystic bonus]]*TblMili[[#This Row],[Unit 3]]+TblMili[[#This Row],[Druid bonus]]*TblMili[[#This Row],[Unit 4]]</f>
        <v>#VALUE!</v>
      </c>
      <c r="CQ84" s="148" t="e">
        <f aca="false">MIN(6,TblMili[[#This Row],[Dryad]]+Races!$F$35)*1.8 +  IF(TblMili[[#This Row],[Dryad]]+Races!$F$35&gt;6,(TblMili[[#This Row],[Dryad]]+Races!$F$35-6)*0.2,0) - Races!$I$19</f>
        <v>#VALUE!</v>
      </c>
      <c r="CR84" s="69" t="e">
        <f aca="false">sylvan*(TblMili[[#This Row],[Mystic bonus]]*TblMili[[#This Row],[Unit 3]])</f>
        <v>#VALUE!</v>
      </c>
      <c r="CS84" s="148" t="e">
        <f aca="false">1.8 * MIN(MAX(Races!$E$27,TblMili[[#This Row],[Rockapult]]+Races!$F$27),6)  +  0.45 * MIN(MIN(Races!$E$27,TblMili[[#This Row],[Rockapult]]+Races!$F$27),6)  +  0.2 * ( MAX(Races!$E$27-6,0) + MAX(TblMili[[#This Row],[Rockapult]]+Races!$F$27-6,0) )  -  Races!$I$20</f>
        <v>#VALUE!</v>
      </c>
      <c r="CT84" s="69" t="e">
        <f aca="false">gnome*(TblMili[[#This Row],[Rockapult bonus]]*TblMili[[#This Row],[Unit 3]])</f>
        <v>#VALUE!</v>
      </c>
      <c r="CU84" s="148" t="n">
        <f aca="false">1.8 * MIN(MAX(TblMili[[#This Row],[Spellblade]]+Races!$E$47,TblMili[[#This Row],[Adept-DP]]+Races!$F$47),6)  +  0.45 * MIN(MIN(TblMili[[#This Row],[Spellblade]]+Races!$E$47,TblMili[[#This Row],[Adept-DP]]+Races!$F$47),6)  +  0.2 * ( MAX(TblMili[[#This Row],[Spellblade]]+Races!$E$47-6,0) + MAX(TblMili[[#This Row],[Adept-DP]]+Races!$F$47-6,0) )  -  Races!$I$47</f>
        <v>0</v>
      </c>
      <c r="CV84" s="69" t="n">
        <f aca="false">dark_elf*(TblMili[[#This Row],[Adept bonus]]*TblMili[[#This Row],[Unit 3]])</f>
        <v>0</v>
      </c>
      <c r="CW84" s="148" t="e">
        <f aca="false">1.8 * MIN(MAX(TblMili[[#This Row],[Frost Mage]]+Races!$F$71,Races!$E$71),6)  +  0.45 * MIN(MIN(TblMili[[#This Row],[Frost Mage]]+Races!$F$71,Races!$E$71),6)  +  0.2 * ( MAX(TblMili[[#This Row],[Frost Mage]]+Races!$F$71-6,0) + MAX(Races!$E$71-6,0) )  -  Races!$I$71</f>
        <v>#VALUE!</v>
      </c>
      <c r="CX84" s="148" t="n">
        <f aca="false">1.8 * MIN(MAX(TblMili[[#This Row],[Ice Elemental]]+Races!$E$71,Races!$F$71),6)  +  0.45 * MIN(MIN(TblMili[[#This Row],[Ice Elemental]]+Races!$E$71,Races!$F$71),6)  +  0.2 * ( MAX(TblMili[[#This Row],[Ice Elemental]]+Races!$E$71-6,0) + MAX(Races!$F$71-6,0) )  -  Races!$I$71</f>
        <v>0.064285714285715</v>
      </c>
      <c r="CY84" s="69" t="e">
        <f aca="false">TblMili[[#This Row],[Frost Mage bonus]]*TblMili[[#This Row],[Unit 3]]+TblMili[[#This Row],[Ice Elemental bonus]]*TblMili[[#This Row],[Unit 4]]</f>
        <v>#VALUE!</v>
      </c>
      <c r="CZ84" s="290"/>
      <c r="DA84" s="109" t="n">
        <f aca="false">MIN(SUM(TblConstr[[#This Row],[Plain]:[Water]])/TblMili[[#This Row],[Land]]/favorable_terrain_bonus/100,favorable_terrain_max)</f>
        <v>0</v>
      </c>
      <c r="DB84" s="290"/>
      <c r="DC8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4" s="132"/>
      <c r="DE84" s="291" t="n">
        <f aca="false">(TblMili[[#This Row],[Wizards]]+2*TblMili[[#This Row],[Archmages]])/TblConstr[[#This Row],[Land]]</f>
        <v>0.0357142857142857</v>
      </c>
      <c r="DF84" s="291" t="n">
        <f aca="false">TblMili[[#This Row],[Raw (2)]]*(1+race_wizard_strength+IF(TblMili[[#This Row],[Hour]]&gt;72,tech_magical_weaponry_wiz*TblTech[[#This Row],[3-5]],0))</f>
        <v>0.0357142857142857</v>
      </c>
    </row>
    <row r="85" customFormat="false" ht="12.75" hidden="false" customHeight="false" outlineLevel="0" collapsed="false">
      <c r="A85" s="128" t="n">
        <f aca="false">TblRezone[[#This Row],[Hour]]</f>
        <v>82</v>
      </c>
      <c r="B85" s="282" t="n">
        <f aca="false">SUM(TblMili[[#This Row],[Unit 1]:[Archmages]])+SUM(OFFSET(TblMili[[#This Row],[Train Unit 1]],-8,0):TblMili[[#This Row],[Train Unit 2]]) + SUM(OFFSET(TblMili[[#This Row],[Train Unit 3]],-11,0):TblMili[[#This Row],[Train AM]]) + TblMili[[#This Row],[Draftees]]</f>
        <v>3791</v>
      </c>
      <c r="C85" s="150" t="n">
        <f aca="false">TblPop[[#This Row],[Military%]]</f>
        <v>0.292990184712884</v>
      </c>
      <c r="D85" s="132"/>
      <c r="E85" s="151" t="n">
        <f aca="false">OFFSET(TblMili[[#This Row],[Unit 1]],-1,0) + OFFSET(TblMili[[#This Row],[Train Unit 1]],-9,0) - TblMili[[#This Row],[Release Unit 1]]</f>
        <v>0</v>
      </c>
      <c r="F85" s="151" t="n">
        <f aca="false">OFFSET(TblMili[[#This Row],[Unit 2]],-1,0) + OFFSET(TblMili[[#This Row],[Train Unit 2]],-9,0)-TblMili[[#This Row],[Release Unit 2]]</f>
        <v>1002</v>
      </c>
      <c r="G85" s="151" t="n">
        <f aca="false">OFFSET(TblMili[[#This Row],[Unit 3]],-1,0) + OFFSET(TblMili[[#This Row],[Train Unit 3]],-12,0)-TblMili[[#This Row],[Release Unit 3]]</f>
        <v>625</v>
      </c>
      <c r="H85" s="151" t="n">
        <f aca="false">OFFSET(TblMili[[#This Row],[Unit 4]],-1,0) + OFFSET(TblMili[[#This Row],[Train Unit 4]],-12,0)-TblMili[[#This Row],[Release Unit 4]]</f>
        <v>953</v>
      </c>
      <c r="I85" s="151" t="n">
        <f aca="false">OFFSET(TblMili[[#This Row],[Spies]],-1,0) + OFFSET(TblMili[[#This Row],[Train Spies]],-12,0) - TblMili[[#This Row],[Release Spies]]-TblMili[[#This Row],[Train AS]]</f>
        <v>25</v>
      </c>
      <c r="J85" s="151" t="n">
        <f aca="false">OFFSET(TblMili[[#This Row],[Archspies]],-1,0) + OFFSET(TblMili[[#This Row],[Train AS]],-12,0) - TblMili[[#This Row],[Release AS]]</f>
        <v>0</v>
      </c>
      <c r="K85" s="151" t="n">
        <f aca="false">OFFSET(TblMili[[#This Row],[Wizards]],-1,0) + OFFSET(TblMili[[#This Row],[Train Wiz]],-12,0) - TblMili[[#This Row],[Release Wizards]]-TblMili[[#This Row],[Train AM]]</f>
        <v>25</v>
      </c>
      <c r="L85" s="151" t="n">
        <f aca="false">OFFSET(TblMili[[#This Row],[Archmages]],-1,0) + OFFSET(TblMili[[#This Row],[Train AM]],-12,0) - TblMili[[#This Row],[Release AM]]</f>
        <v>0</v>
      </c>
      <c r="M85" s="132"/>
      <c r="N85" s="69" t="e">
        <f aca="false">TblProd[[#This Row],[Networth]]</f>
        <v>#VALUE!</v>
      </c>
      <c r="O85" s="132"/>
      <c r="P8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5" s="285" t="e">
        <f aca="false">TblMili[[#This Row],[Raw]]*(1+TblMili[[#This Row],[Mods_Off]])</f>
        <v>#VALUE!</v>
      </c>
      <c r="S8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5" s="285" t="e">
        <f aca="false">TblMili[[#This Row],[Non Draft]]+TblMili[[#This Row],[Draftees]]</f>
        <v>#VALUE!</v>
      </c>
      <c r="U85" s="286" t="n">
        <f aca="false">race_defense + TblImps[[#This Row],[Walls]] + ROUND( MIN(gt_bonus*TblConstr[[#This Row],[Tot GT]]/TblConstr[[#This Row],[Land]],gt_bonus_cap), 4) + IF(TblMagic[[#This Row],[Active Howling]]&gt;0,howling_dp_bonus,IF(TblMagic[[#This Row],[Active Ares Call]]&gt;0,ares_call_bonus))</f>
        <v>0.2375</v>
      </c>
      <c r="V85" s="274" t="e">
        <f aca="false">TblMili[[#This Row],[Non Draft]] * (1 + TblMili[[#This Row],[Mods_Def]])</f>
        <v>#VALUE!</v>
      </c>
      <c r="W85" s="285" t="e">
        <f aca="false">TblMili[[#This Row],[Draft]] * (1 + TblMili[[#This Row],[Mods_Def]])</f>
        <v>#VALUE!</v>
      </c>
      <c r="X85" s="285" t="n">
        <f aca="false">TblConstr[[#This Row],[Land]]</f>
        <v>700</v>
      </c>
      <c r="Y85" s="287"/>
      <c r="Z85" s="109" t="n">
        <f aca="false">IF(TblMili[[#This Row],[Set]]&lt;&gt;"",TblMili[[#This Row],[Set]],OFFSET(TblMili[[#This Row],[Draftrate]],-1,0))</f>
        <v>0.9</v>
      </c>
      <c r="AA85" s="69" t="n">
        <f aca="false">OFFSET(TblMili[[#This Row],[Draftees]],-1,0)+OFFSET(TblPop[[#This Row],[Draft Growth]],-1,0) - SUM(TblMili[[#This Row],[Train Unit 1]:[Train Spies]],TblMili[[#This Row],[Train Wiz]]) - TblMili[[#This Row],[Release Draft]] + SUM(TblMili[[#This Row],[Release Unit 1]:[Release AM]]) - TblExplore[[#This Row],[Draftees (2)]]</f>
        <v>567</v>
      </c>
      <c r="AB85" s="146"/>
      <c r="AC85" s="130" t="n">
        <f aca="false">(TblConstr[[#This Row],[Tot Smi]]+TblConstr[[#This Row],[Dest Smi]])/(TblConstr[[#This Row],[Land]]-TblExplore[[#This Row],[Land Bonus]]*20)</f>
        <v>0.18</v>
      </c>
      <c r="AD85" s="128"/>
      <c r="AE85" s="282" t="n">
        <f aca="false">TblMili[[#This Row],[Hour]]</f>
        <v>82</v>
      </c>
      <c r="AF85" s="129" t="n">
        <f aca="false">TblExplore[[#This Row],[Time]]</f>
        <v>45433.125</v>
      </c>
      <c r="AG85" s="182"/>
      <c r="AH85" s="182"/>
      <c r="AI85" s="182"/>
      <c r="AJ85" s="182"/>
      <c r="AK85" s="182"/>
      <c r="AL85" s="182"/>
      <c r="AM85" s="182"/>
      <c r="AN85" s="182"/>
      <c r="AO85" s="132"/>
      <c r="AP85" s="69" t="n">
        <f aca="false">TblProd[[#This Row],[Platinum]]</f>
        <v>381464</v>
      </c>
      <c r="AQ85" s="69" t="n">
        <f aca="false">INDEX(TblProd[[#Headers],[Lumber]]:TblProd[[#This Row],[Ore]],COUNTA(TblProd[[#Headers],[Lumber]]:TblProd[[#This Row],[Lumber]]),MATCH(Military!$AQ$2,TblProd[[#Headers],[Lumber]:[Ore]],0))</f>
        <v>0</v>
      </c>
      <c r="AR8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69" t="n">
        <f aca="false">TblMili[[#This Row],[Train Unit 1]]*TblMili[[#This Row],[OP Ore]]+TblMili[[#This Row],[Train Unit 2]]*TblMili[[#This Row],[DP Ore]]+TblMili[[#This Row],[Train Unit 3]]*TblMili[[#This Row],[E1 Ore]]+TblMili[[#This Row],[Train Unit 4]]*TblMili[[#This Row],[E2 Ore]]</f>
        <v>0</v>
      </c>
      <c r="AT85" s="132" t="n">
        <f aca="false">TblMili[[#This Row],[Hour]]</f>
        <v>82</v>
      </c>
      <c r="AU85" s="144" t="n">
        <f aca="false">TblMili[[#This Row],[Time]]</f>
        <v>45433.125</v>
      </c>
      <c r="AV85" s="69" t="n">
        <f aca="false">TblMili[[#This Row],[Draftees]]</f>
        <v>567</v>
      </c>
      <c r="AW85" s="152"/>
      <c r="AX85" s="182"/>
      <c r="AY85" s="182"/>
      <c r="AZ85" s="182"/>
      <c r="BA85" s="182"/>
      <c r="BB85" s="182"/>
      <c r="BC85" s="182"/>
      <c r="BD85" s="182"/>
      <c r="BE85" s="182"/>
      <c r="BF85" s="132"/>
      <c r="BG85" s="150" t="n">
        <f aca="false">TblConstr[[#This Row],[Tot WG]]/TblConstr[[#This Row],[Land]]</f>
        <v>0</v>
      </c>
      <c r="BH85" s="150" t="n">
        <f aca="false">TblConstr[[#This Row],[Tot Hav]]/TblConstr[[#This Row],[Land]]</f>
        <v>0</v>
      </c>
      <c r="BI85" s="69" t="n">
        <f aca="false">ROUNDUP((1-MIN(TblMili[[#This Row],[Smithies]]*smithy_bonus,smithy_bonus_cap) + tech_3_5*TblTech[[#This Row],[3-5]] + tech_5_3*TblTech[[#This Row],[5-3]] + tech_5_5*TblTech[[#This Row],[5-5]])*spec_op_plat,0)</f>
        <v>192</v>
      </c>
      <c r="BJ85" s="69" t="n">
        <f aca="false">ROUNDUP(IF(race="Gnome",1,(1-MIN(TblMili[[#This Row],[Smithies]]*smithy_bonus,smithy_bonus_cap) + tech_3_5*TblTech[[#This Row],[3-5]] + tech_5_3*TblTech[[#This Row],[5-3]] + tech_5_5*TblTech[[#This Row],[5-5]]))*spec_op_ore,0)</f>
        <v>0</v>
      </c>
      <c r="BK85" s="69" t="n">
        <f aca="false">ROUNDUP((1-MIN(TblMili[[#This Row],[Smithies]]*smithy_bonus,smithy_bonus_cap) + tech_3_5*TblTech[[#This Row],[3-5]] + tech_5_3*TblTech[[#This Row],[5-3]] + tech_5_5*TblTech[[#This Row],[5-5]])*spec_dp_plat,0)</f>
        <v>192</v>
      </c>
      <c r="BL85" s="69" t="n">
        <f aca="false">ROUNDUP(IF(race="Gnome",1,(1-MIN(TblMili[[#This Row],[Smithies]]*smithy_bonus,smithy_bonus_cap) + tech_3_5*TblTech[[#This Row],[3-5]] + tech_5_3*TblTech[[#This Row],[5-3]] + tech_5_5*TblTech[[#This Row],[5-5]]))*spec_dp_ore,0)</f>
        <v>0</v>
      </c>
      <c r="BM85" s="69" t="n">
        <f aca="false">ROUNDUP((1-MIN(TblMili[[#This Row],[Smithies]]*smithy_bonus,smithy_bonus_cap) + tech_3_5*TblTech[[#This Row],[3-5]] + tech_5_3*TblTech[[#This Row],[5-3]] + tech_5_5*TblTech[[#This Row],[5-5]])*elite1_plat,0)</f>
        <v>592</v>
      </c>
      <c r="BN85" s="69" t="n">
        <f aca="false">ROUNDUP(IF(race="Gnome",1,(1-MIN(TblMili[[#This Row],[Smithies]]*smithy_bonus,smithy_bonus_cap) + tech_3_5*TblTech[[#This Row],[3-5]] + tech_5_3*TblTech[[#This Row],[5-3]] + tech_5_5*TblTech[[#This Row],[5-5]]))*elite1_ore,0)</f>
        <v>0</v>
      </c>
      <c r="BO85" s="69" t="n">
        <f aca="false">ROUNDUP((1-MIN(TblMili[[#This Row],[Smithies]]*smithy_bonus,smithy_bonus_cap) + tech_3_5*TblTech[[#This Row],[3-5]] + tech_5_3*TblTech[[#This Row],[5-3]] + tech_5_5*TblTech[[#This Row],[5-5]])*elite2_plat,0)</f>
        <v>608</v>
      </c>
      <c r="BP85" s="69" t="n">
        <f aca="false">ROUNDUP(IF(race="Gnome",1,(1-MIN(TblMili[[#This Row],[Smithies]]*smithy_bonus,smithy_bonus_cap) + tech_3_5*TblTech[[#This Row],[3-5]] + tech_5_3*TblTech[[#This Row],[5-3]] + tech_5_5*TblTech[[#This Row],[5-5]]))*elite2_ore,0)</f>
        <v>0</v>
      </c>
      <c r="BQ85" s="69" t="n">
        <f aca="false">ROUNDUP((1-MIN(ROUND(fh_spy_cost_red*TblMili[[#This Row],[FH''s]],4),fh_spy_cost_cap)+ tech_1_9*TblTech[[#This Row],[1-9]] + tech_9_1*TblTech[[#This Row],[9-1]])*spy_plat,0)</f>
        <v>500</v>
      </c>
      <c r="BR85" s="69" t="n">
        <f aca="false">ROUNDUP((1-MIN(ROUND(fh_spy_cost_red*TblMili[[#This Row],[FH''s]],4),fh_spy_cost_cap)+ tech_1_9*TblTech[[#This Row],[1-9]] + tech_9_1*TblTech[[#This Row],[9-1]])*archspy_plat,0)</f>
        <v>1000</v>
      </c>
      <c r="BS85" s="69" t="n">
        <f aca="false">ROUNDUP((1-MIN(ROUND(wg_wiz_cost_bonus*TblMili[[#This Row],[WG''s]],4),wg_wiz_cost_cap) + tech_1_9_2*TblTech[[#This Row],[1-9]] + tech_9_1_2*TblTech[[#This Row],[9-1]])*wizard_plat,0)</f>
        <v>500</v>
      </c>
      <c r="BT85" s="69" t="n">
        <f aca="false">ROUNDUP((1-MIN(ROUND(wg_wiz_cost_bonus*TblMili[[#This Row],[WG''s]],4),wg_wiz_cost_cap) + tech_1_9_2*TblTech[[#This Row],[1-9]] + tech_9_1_2*TblTech[[#This Row],[9-1]])*archmage_plat,0)</f>
        <v>1000</v>
      </c>
      <c r="BU85" s="132"/>
      <c r="BV85" s="150" t="e">
        <f aca="false">TblConstr[[#This Row],[Homeland]]/TblConstr[[#This Row],[Land]]</f>
        <v>#VALUE!</v>
      </c>
      <c r="BW85" s="150" t="n">
        <f aca="false">TblMili[[#This Row],[WG''s]]</f>
        <v>0</v>
      </c>
      <c r="BX85" s="288" t="e">
        <f aca="false">IF(mystic_cap="none",TblMili[[#This Row],[Hill]]/mystic_bonus,MIN(mystic_cap,TblMili[[#This Row],[Hill]]/mystic_bonus))</f>
        <v>#VALUE!</v>
      </c>
      <c r="BY85" s="288" t="e">
        <f aca="false">IF(druid_op_cap="none",TblMili[[#This Row],[Hill]]/druid_op_bonus,MIN(druid_op_cap,TblMili[[#This Row],[Hill]]/druid_op_bonus))</f>
        <v>#VALUE!</v>
      </c>
      <c r="BZ85" s="288" t="e">
        <f aca="false">IF(druid_dp_cap="none",TblMili[[#This Row],[Hill]]/druid_dp_bonus,MIN(druid_dp_cap,TblMili[[#This Row],[Hill]]/druid_dp_bonus))</f>
        <v>#VALUE!</v>
      </c>
      <c r="CA85" s="288" t="e">
        <f aca="false">MIN(dryad_cap,TblMili[[#This Row],[Hill]]/dryad_bonus)</f>
        <v>#VALUE!</v>
      </c>
      <c r="CB85" s="288" t="e">
        <f aca="false">MIN(rocka_cap,TblMili[[#This Row],[Hill]]/rocka_bonus)</f>
        <v>#VALUE!</v>
      </c>
      <c r="CC85" s="288" t="n">
        <f aca="false">MIN(adept_op_cap,TblMili[[#This Row],[WG]]/adept_op_bonus)</f>
        <v>0</v>
      </c>
      <c r="CD85" s="288" t="n">
        <f aca="false">MIN(adept_dp_cap,TblMili[[#This Row],[WG]]/adept_dp_bonus)</f>
        <v>0</v>
      </c>
      <c r="CE85" s="69" t="n">
        <f aca="false">MIN(TblMili[[#This Row],[Unit 3]],TblMili[[#This Row],[Unit 2]])*2</f>
        <v>1250</v>
      </c>
      <c r="CF85" s="69" t="n">
        <f aca="false">MIN(TblMili[[#This Row],[Unit 1]],TblMili[[#This Row],[Unit 4]])*2</f>
        <v>0</v>
      </c>
      <c r="CG85" s="288" t="e">
        <f aca="false">MIN(frost_mage_cap,TblMili[[#This Row],[Hill]]/frost_mage_bonus)</f>
        <v>#VALUE!</v>
      </c>
      <c r="CH85" s="151" t="n">
        <f aca="false">MIN(ice_elem_cap,TblMili[[#This Row],[Raw (2)]]*ice_elem_bonus)</f>
        <v>0.0357142857142857</v>
      </c>
      <c r="CI85" s="288" t="n">
        <f aca="false">MIN(bone_breaker_cap,250/bone_breaker_bonus)</f>
        <v>0.833333333333333</v>
      </c>
      <c r="CJ85" s="288" t="e">
        <f aca="false">MIN(nox_nightshade_cap,TblConstr[[#This Row],[Homeland]]/TblConstr[[#This Row],[Land]]/nox_nightshade_swamp_bonus)</f>
        <v>#VALUE!</v>
      </c>
      <c r="CK85" s="289"/>
      <c r="CL85" s="289"/>
      <c r="CM85" s="289"/>
      <c r="CN85" s="288" t="e">
        <f aca="false">MIN(6,TblMili[[#This Row],[Mystic]]+Races!$F$19)*1.8 +  IF(TblMili[[#This Row],[Mystic]]+Races!$F$19&gt;6,(TblMili[[#This Row],[Mystic]]+Races!$F$19-6)*0.2,0) - Races!$I$19</f>
        <v>#VALUE!</v>
      </c>
      <c r="CO85" s="288" t="e">
        <f aca="false">1.8 * MIN(MAX(TblMili[[#This Row],[Druid (op)]]+Races!$E$20,TblMili[[#This Row],[Druid (dp)]]+Races!$F$20),6)  +  0.45 * MIN(MIN(TblMili[[#This Row],[Druid (op)]]+Races!$E$20,TblMili[[#This Row],[Druid (dp)]]+Races!$F$20),6)  +  0.2 * ( MAX(TblMili[[#This Row],[Druid (op)]]+Races!$E$20-6,0) + MAX(TblMili[[#This Row],[Druid (dp)]]+Races!$F$20-6,0) )  -  Races!$I$20</f>
        <v>#VALUE!</v>
      </c>
      <c r="CP85" s="69" t="e">
        <f aca="false">TblMili[[#This Row],[Mystic bonus]]*TblMili[[#This Row],[Unit 3]]+TblMili[[#This Row],[Druid bonus]]*TblMili[[#This Row],[Unit 4]]</f>
        <v>#VALUE!</v>
      </c>
      <c r="CQ85" s="148" t="e">
        <f aca="false">MIN(6,TblMili[[#This Row],[Dryad]]+Races!$F$35)*1.8 +  IF(TblMili[[#This Row],[Dryad]]+Races!$F$35&gt;6,(TblMili[[#This Row],[Dryad]]+Races!$F$35-6)*0.2,0) - Races!$I$19</f>
        <v>#VALUE!</v>
      </c>
      <c r="CR85" s="69" t="e">
        <f aca="false">sylvan*(TblMili[[#This Row],[Mystic bonus]]*TblMili[[#This Row],[Unit 3]])</f>
        <v>#VALUE!</v>
      </c>
      <c r="CS85" s="148" t="e">
        <f aca="false">1.8 * MIN(MAX(Races!$E$27,TblMili[[#This Row],[Rockapult]]+Races!$F$27),6)  +  0.45 * MIN(MIN(Races!$E$27,TblMili[[#This Row],[Rockapult]]+Races!$F$27),6)  +  0.2 * ( MAX(Races!$E$27-6,0) + MAX(TblMili[[#This Row],[Rockapult]]+Races!$F$27-6,0) )  -  Races!$I$20</f>
        <v>#VALUE!</v>
      </c>
      <c r="CT85" s="69" t="e">
        <f aca="false">gnome*(TblMili[[#This Row],[Rockapult bonus]]*TblMili[[#This Row],[Unit 3]])</f>
        <v>#VALUE!</v>
      </c>
      <c r="CU85" s="148" t="n">
        <f aca="false">1.8 * MIN(MAX(TblMili[[#This Row],[Spellblade]]+Races!$E$47,TblMili[[#This Row],[Adept-DP]]+Races!$F$47),6)  +  0.45 * MIN(MIN(TblMili[[#This Row],[Spellblade]]+Races!$E$47,TblMili[[#This Row],[Adept-DP]]+Races!$F$47),6)  +  0.2 * ( MAX(TblMili[[#This Row],[Spellblade]]+Races!$E$47-6,0) + MAX(TblMili[[#This Row],[Adept-DP]]+Races!$F$47-6,0) )  -  Races!$I$47</f>
        <v>0</v>
      </c>
      <c r="CV85" s="69" t="n">
        <f aca="false">dark_elf*(TblMili[[#This Row],[Adept bonus]]*TblMili[[#This Row],[Unit 3]])</f>
        <v>0</v>
      </c>
      <c r="CW85" s="148" t="e">
        <f aca="false">1.8 * MIN(MAX(TblMili[[#This Row],[Frost Mage]]+Races!$F$71,Races!$E$71),6)  +  0.45 * MIN(MIN(TblMili[[#This Row],[Frost Mage]]+Races!$F$71,Races!$E$71),6)  +  0.2 * ( MAX(TblMili[[#This Row],[Frost Mage]]+Races!$F$71-6,0) + MAX(Races!$E$71-6,0) )  -  Races!$I$71</f>
        <v>#VALUE!</v>
      </c>
      <c r="CX85" s="148" t="n">
        <f aca="false">1.8 * MIN(MAX(TblMili[[#This Row],[Ice Elemental]]+Races!$E$71,Races!$F$71),6)  +  0.45 * MIN(MIN(TblMili[[#This Row],[Ice Elemental]]+Races!$E$71,Races!$F$71),6)  +  0.2 * ( MAX(TblMili[[#This Row],[Ice Elemental]]+Races!$E$71-6,0) + MAX(Races!$F$71-6,0) )  -  Races!$I$71</f>
        <v>0.064285714285715</v>
      </c>
      <c r="CY85" s="69" t="e">
        <f aca="false">TblMili[[#This Row],[Frost Mage bonus]]*TblMili[[#This Row],[Unit 3]]+TblMili[[#This Row],[Ice Elemental bonus]]*TblMili[[#This Row],[Unit 4]]</f>
        <v>#VALUE!</v>
      </c>
      <c r="CZ85" s="290"/>
      <c r="DA85" s="109" t="n">
        <f aca="false">MIN(SUM(TblConstr[[#This Row],[Plain]:[Water]])/TblMili[[#This Row],[Land]]/favorable_terrain_bonus/100,favorable_terrain_max)</f>
        <v>0</v>
      </c>
      <c r="DB85" s="290"/>
      <c r="DC8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5" s="132"/>
      <c r="DE85" s="291" t="n">
        <f aca="false">(TblMili[[#This Row],[Wizards]]+2*TblMili[[#This Row],[Archmages]])/TblConstr[[#This Row],[Land]]</f>
        <v>0.0357142857142857</v>
      </c>
      <c r="DF85" s="291" t="n">
        <f aca="false">TblMili[[#This Row],[Raw (2)]]*(1+race_wizard_strength+IF(TblMili[[#This Row],[Hour]]&gt;72,tech_magical_weaponry_wiz*TblTech[[#This Row],[3-5]],0))</f>
        <v>0.0357142857142857</v>
      </c>
    </row>
    <row r="86" customFormat="false" ht="12.75" hidden="false" customHeight="false" outlineLevel="0" collapsed="false">
      <c r="A86" s="128" t="n">
        <f aca="false">TblRezone[[#This Row],[Hour]]</f>
        <v>83</v>
      </c>
      <c r="B86" s="282" t="n">
        <f aca="false">SUM(TblMili[[#This Row],[Unit 1]:[Archmages]])+SUM(OFFSET(TblMili[[#This Row],[Train Unit 1]],-8,0):TblMili[[#This Row],[Train Unit 2]]) + SUM(OFFSET(TblMili[[#This Row],[Train Unit 3]],-11,0):TblMili[[#This Row],[Train AM]]) + TblMili[[#This Row],[Draftees]]</f>
        <v>3882</v>
      </c>
      <c r="C86" s="150" t="n">
        <f aca="false">TblPop[[#This Row],[Military%]]</f>
        <v>0.300023185717598</v>
      </c>
      <c r="D86" s="132"/>
      <c r="E86" s="151" t="n">
        <f aca="false">OFFSET(TblMili[[#This Row],[Unit 1]],-1,0) + OFFSET(TblMili[[#This Row],[Train Unit 1]],-9,0) - TblMili[[#This Row],[Release Unit 1]]</f>
        <v>0</v>
      </c>
      <c r="F86" s="151" t="n">
        <f aca="false">OFFSET(TblMili[[#This Row],[Unit 2]],-1,0) + OFFSET(TblMili[[#This Row],[Train Unit 2]],-9,0)-TblMili[[#This Row],[Release Unit 2]]</f>
        <v>1050</v>
      </c>
      <c r="G86" s="151" t="n">
        <f aca="false">OFFSET(TblMili[[#This Row],[Unit 3]],-1,0) + OFFSET(TblMili[[#This Row],[Train Unit 3]],-12,0)-TblMili[[#This Row],[Release Unit 3]]</f>
        <v>625</v>
      </c>
      <c r="H86" s="151" t="n">
        <f aca="false">OFFSET(TblMili[[#This Row],[Unit 4]],-1,0) + OFFSET(TblMili[[#This Row],[Train Unit 4]],-12,0)-TblMili[[#This Row],[Release Unit 4]]</f>
        <v>1054</v>
      </c>
      <c r="I86" s="151" t="n">
        <f aca="false">OFFSET(TblMili[[#This Row],[Spies]],-1,0) + OFFSET(TblMili[[#This Row],[Train Spies]],-12,0) - TblMili[[#This Row],[Release Spies]]-TblMili[[#This Row],[Train AS]]</f>
        <v>25</v>
      </c>
      <c r="J86" s="151" t="n">
        <f aca="false">OFFSET(TblMili[[#This Row],[Archspies]],-1,0) + OFFSET(TblMili[[#This Row],[Train AS]],-12,0) - TblMili[[#This Row],[Release AS]]</f>
        <v>0</v>
      </c>
      <c r="K86" s="151" t="n">
        <f aca="false">OFFSET(TblMili[[#This Row],[Wizards]],-1,0) + OFFSET(TblMili[[#This Row],[Train Wiz]],-12,0) - TblMili[[#This Row],[Release Wizards]]-TblMili[[#This Row],[Train AM]]</f>
        <v>25</v>
      </c>
      <c r="L86" s="151" t="n">
        <f aca="false">OFFSET(TblMili[[#This Row],[Archmages]],-1,0) + OFFSET(TblMili[[#This Row],[Train AM]],-12,0) - TblMili[[#This Row],[Release AM]]</f>
        <v>0</v>
      </c>
      <c r="M86" s="132"/>
      <c r="N86" s="69" t="e">
        <f aca="false">TblProd[[#This Row],[Networth]]</f>
        <v>#VALUE!</v>
      </c>
      <c r="O86" s="132"/>
      <c r="P8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6" s="285" t="e">
        <f aca="false">TblMili[[#This Row],[Raw]]*(1+TblMili[[#This Row],[Mods_Off]])</f>
        <v>#VALUE!</v>
      </c>
      <c r="S8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6" s="285" t="e">
        <f aca="false">TblMili[[#This Row],[Non Draft]]+TblMili[[#This Row],[Draftees]]</f>
        <v>#VALUE!</v>
      </c>
      <c r="U86" s="286" t="n">
        <f aca="false">race_defense + TblImps[[#This Row],[Walls]] + ROUND( MIN(gt_bonus*TblConstr[[#This Row],[Tot GT]]/TblConstr[[#This Row],[Land]],gt_bonus_cap), 4) + IF(TblMagic[[#This Row],[Active Howling]]&gt;0,howling_dp_bonus,IF(TblMagic[[#This Row],[Active Ares Call]]&gt;0,ares_call_bonus))</f>
        <v>0.2375</v>
      </c>
      <c r="V86" s="274" t="e">
        <f aca="false">TblMili[[#This Row],[Non Draft]] * (1 + TblMili[[#This Row],[Mods_Def]])</f>
        <v>#VALUE!</v>
      </c>
      <c r="W86" s="285" t="e">
        <f aca="false">TblMili[[#This Row],[Draft]] * (1 + TblMili[[#This Row],[Mods_Def]])</f>
        <v>#VALUE!</v>
      </c>
      <c r="X86" s="285" t="n">
        <f aca="false">TblConstr[[#This Row],[Land]]</f>
        <v>700</v>
      </c>
      <c r="Y86" s="287"/>
      <c r="Z86" s="109" t="n">
        <f aca="false">IF(TblMili[[#This Row],[Set]]&lt;&gt;"",TblMili[[#This Row],[Set]],OFFSET(TblMili[[#This Row],[Draftrate]],-1,0))</f>
        <v>0.9</v>
      </c>
      <c r="AA86" s="69" t="n">
        <f aca="false">OFFSET(TblMili[[#This Row],[Draftees]],-1,0)+OFFSET(TblPop[[#This Row],[Draft Growth]],-1,0) - SUM(TblMili[[#This Row],[Train Unit 1]:[Train Spies]],TblMili[[#This Row],[Train Wiz]]) - TblMili[[#This Row],[Release Draft]] + SUM(TblMili[[#This Row],[Release Unit 1]:[Release AM]]) - TblExplore[[#This Row],[Draftees (2)]]</f>
        <v>658</v>
      </c>
      <c r="AB86" s="146"/>
      <c r="AC86" s="130" t="n">
        <f aca="false">(TblConstr[[#This Row],[Tot Smi]]+TblConstr[[#This Row],[Dest Smi]])/(TblConstr[[#This Row],[Land]]-TblExplore[[#This Row],[Land Bonus]]*20)</f>
        <v>0.18</v>
      </c>
      <c r="AD86" s="128"/>
      <c r="AE86" s="282" t="n">
        <f aca="false">TblMili[[#This Row],[Hour]]</f>
        <v>83</v>
      </c>
      <c r="AF86" s="129" t="n">
        <f aca="false">TblExplore[[#This Row],[Time]]</f>
        <v>45433.1666666667</v>
      </c>
      <c r="AG86" s="182"/>
      <c r="AH86" s="182"/>
      <c r="AI86" s="182"/>
      <c r="AJ86" s="182"/>
      <c r="AK86" s="182"/>
      <c r="AL86" s="182"/>
      <c r="AM86" s="182"/>
      <c r="AN86" s="182"/>
      <c r="AO86" s="132"/>
      <c r="AP86" s="69" t="n">
        <f aca="false">TblProd[[#This Row],[Platinum]]</f>
        <v>426178</v>
      </c>
      <c r="AQ86" s="69" t="n">
        <f aca="false">INDEX(TblProd[[#Headers],[Lumber]]:TblProd[[#This Row],[Ore]],COUNTA(TblProd[[#Headers],[Lumber]]:TblProd[[#This Row],[Lumber]]),MATCH(Military!$AQ$2,TblProd[[#Headers],[Lumber]:[Ore]],0))</f>
        <v>0</v>
      </c>
      <c r="AR8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69" t="n">
        <f aca="false">TblMili[[#This Row],[Train Unit 1]]*TblMili[[#This Row],[OP Ore]]+TblMili[[#This Row],[Train Unit 2]]*TblMili[[#This Row],[DP Ore]]+TblMili[[#This Row],[Train Unit 3]]*TblMili[[#This Row],[E1 Ore]]+TblMili[[#This Row],[Train Unit 4]]*TblMili[[#This Row],[E2 Ore]]</f>
        <v>0</v>
      </c>
      <c r="AT86" s="132" t="n">
        <f aca="false">TblMili[[#This Row],[Hour]]</f>
        <v>83</v>
      </c>
      <c r="AU86" s="144" t="n">
        <f aca="false">TblMili[[#This Row],[Time]]</f>
        <v>45433.1666666667</v>
      </c>
      <c r="AV86" s="69" t="n">
        <f aca="false">TblMili[[#This Row],[Draftees]]</f>
        <v>658</v>
      </c>
      <c r="AW86" s="152"/>
      <c r="AX86" s="182"/>
      <c r="AY86" s="182"/>
      <c r="AZ86" s="182"/>
      <c r="BA86" s="182"/>
      <c r="BB86" s="182"/>
      <c r="BC86" s="182"/>
      <c r="BD86" s="182"/>
      <c r="BE86" s="182"/>
      <c r="BF86" s="132"/>
      <c r="BG86" s="150" t="n">
        <f aca="false">TblConstr[[#This Row],[Tot WG]]/TblConstr[[#This Row],[Land]]</f>
        <v>0</v>
      </c>
      <c r="BH86" s="150" t="n">
        <f aca="false">TblConstr[[#This Row],[Tot Hav]]/TblConstr[[#This Row],[Land]]</f>
        <v>0</v>
      </c>
      <c r="BI86" s="69" t="n">
        <f aca="false">ROUNDUP((1-MIN(TblMili[[#This Row],[Smithies]]*smithy_bonus,smithy_bonus_cap) + tech_3_5*TblTech[[#This Row],[3-5]] + tech_5_3*TblTech[[#This Row],[5-3]] + tech_5_5*TblTech[[#This Row],[5-5]])*spec_op_plat,0)</f>
        <v>192</v>
      </c>
      <c r="BJ86" s="69" t="n">
        <f aca="false">ROUNDUP(IF(race="Gnome",1,(1-MIN(TblMili[[#This Row],[Smithies]]*smithy_bonus,smithy_bonus_cap) + tech_3_5*TblTech[[#This Row],[3-5]] + tech_5_3*TblTech[[#This Row],[5-3]] + tech_5_5*TblTech[[#This Row],[5-5]]))*spec_op_ore,0)</f>
        <v>0</v>
      </c>
      <c r="BK86" s="69" t="n">
        <f aca="false">ROUNDUP((1-MIN(TblMili[[#This Row],[Smithies]]*smithy_bonus,smithy_bonus_cap) + tech_3_5*TblTech[[#This Row],[3-5]] + tech_5_3*TblTech[[#This Row],[5-3]] + tech_5_5*TblTech[[#This Row],[5-5]])*spec_dp_plat,0)</f>
        <v>192</v>
      </c>
      <c r="BL86" s="69" t="n">
        <f aca="false">ROUNDUP(IF(race="Gnome",1,(1-MIN(TblMili[[#This Row],[Smithies]]*smithy_bonus,smithy_bonus_cap) + tech_3_5*TblTech[[#This Row],[3-5]] + tech_5_3*TblTech[[#This Row],[5-3]] + tech_5_5*TblTech[[#This Row],[5-5]]))*spec_dp_ore,0)</f>
        <v>0</v>
      </c>
      <c r="BM86" s="69" t="n">
        <f aca="false">ROUNDUP((1-MIN(TblMili[[#This Row],[Smithies]]*smithy_bonus,smithy_bonus_cap) + tech_3_5*TblTech[[#This Row],[3-5]] + tech_5_3*TblTech[[#This Row],[5-3]] + tech_5_5*TblTech[[#This Row],[5-5]])*elite1_plat,0)</f>
        <v>592</v>
      </c>
      <c r="BN86" s="69" t="n">
        <f aca="false">ROUNDUP(IF(race="Gnome",1,(1-MIN(TblMili[[#This Row],[Smithies]]*smithy_bonus,smithy_bonus_cap) + tech_3_5*TblTech[[#This Row],[3-5]] + tech_5_3*TblTech[[#This Row],[5-3]] + tech_5_5*TblTech[[#This Row],[5-5]]))*elite1_ore,0)</f>
        <v>0</v>
      </c>
      <c r="BO86" s="69" t="n">
        <f aca="false">ROUNDUP((1-MIN(TblMili[[#This Row],[Smithies]]*smithy_bonus,smithy_bonus_cap) + tech_3_5*TblTech[[#This Row],[3-5]] + tech_5_3*TblTech[[#This Row],[5-3]] + tech_5_5*TblTech[[#This Row],[5-5]])*elite2_plat,0)</f>
        <v>608</v>
      </c>
      <c r="BP86" s="69" t="n">
        <f aca="false">ROUNDUP(IF(race="Gnome",1,(1-MIN(TblMili[[#This Row],[Smithies]]*smithy_bonus,smithy_bonus_cap) + tech_3_5*TblTech[[#This Row],[3-5]] + tech_5_3*TblTech[[#This Row],[5-3]] + tech_5_5*TblTech[[#This Row],[5-5]]))*elite2_ore,0)</f>
        <v>0</v>
      </c>
      <c r="BQ86" s="69" t="n">
        <f aca="false">ROUNDUP((1-MIN(ROUND(fh_spy_cost_red*TblMili[[#This Row],[FH''s]],4),fh_spy_cost_cap)+ tech_1_9*TblTech[[#This Row],[1-9]] + tech_9_1*TblTech[[#This Row],[9-1]])*spy_plat,0)</f>
        <v>500</v>
      </c>
      <c r="BR86" s="69" t="n">
        <f aca="false">ROUNDUP((1-MIN(ROUND(fh_spy_cost_red*TblMili[[#This Row],[FH''s]],4),fh_spy_cost_cap)+ tech_1_9*TblTech[[#This Row],[1-9]] + tech_9_1*TblTech[[#This Row],[9-1]])*archspy_plat,0)</f>
        <v>1000</v>
      </c>
      <c r="BS86" s="69" t="n">
        <f aca="false">ROUNDUP((1-MIN(ROUND(wg_wiz_cost_bonus*TblMili[[#This Row],[WG''s]],4),wg_wiz_cost_cap) + tech_1_9_2*TblTech[[#This Row],[1-9]] + tech_9_1_2*TblTech[[#This Row],[9-1]])*wizard_plat,0)</f>
        <v>500</v>
      </c>
      <c r="BT86" s="69" t="n">
        <f aca="false">ROUNDUP((1-MIN(ROUND(wg_wiz_cost_bonus*TblMili[[#This Row],[WG''s]],4),wg_wiz_cost_cap) + tech_1_9_2*TblTech[[#This Row],[1-9]] + tech_9_1_2*TblTech[[#This Row],[9-1]])*archmage_plat,0)</f>
        <v>1000</v>
      </c>
      <c r="BU86" s="132"/>
      <c r="BV86" s="150" t="e">
        <f aca="false">TblConstr[[#This Row],[Homeland]]/TblConstr[[#This Row],[Land]]</f>
        <v>#VALUE!</v>
      </c>
      <c r="BW86" s="150" t="n">
        <f aca="false">TblMili[[#This Row],[WG''s]]</f>
        <v>0</v>
      </c>
      <c r="BX86" s="288" t="e">
        <f aca="false">IF(mystic_cap="none",TblMili[[#This Row],[Hill]]/mystic_bonus,MIN(mystic_cap,TblMili[[#This Row],[Hill]]/mystic_bonus))</f>
        <v>#VALUE!</v>
      </c>
      <c r="BY86" s="288" t="e">
        <f aca="false">IF(druid_op_cap="none",TblMili[[#This Row],[Hill]]/druid_op_bonus,MIN(druid_op_cap,TblMili[[#This Row],[Hill]]/druid_op_bonus))</f>
        <v>#VALUE!</v>
      </c>
      <c r="BZ86" s="288" t="e">
        <f aca="false">IF(druid_dp_cap="none",TblMili[[#This Row],[Hill]]/druid_dp_bonus,MIN(druid_dp_cap,TblMili[[#This Row],[Hill]]/druid_dp_bonus))</f>
        <v>#VALUE!</v>
      </c>
      <c r="CA86" s="288" t="e">
        <f aca="false">MIN(dryad_cap,TblMili[[#This Row],[Hill]]/dryad_bonus)</f>
        <v>#VALUE!</v>
      </c>
      <c r="CB86" s="288" t="e">
        <f aca="false">MIN(rocka_cap,TblMili[[#This Row],[Hill]]/rocka_bonus)</f>
        <v>#VALUE!</v>
      </c>
      <c r="CC86" s="288" t="n">
        <f aca="false">MIN(adept_op_cap,TblMili[[#This Row],[WG]]/adept_op_bonus)</f>
        <v>0</v>
      </c>
      <c r="CD86" s="288" t="n">
        <f aca="false">MIN(adept_dp_cap,TblMili[[#This Row],[WG]]/adept_dp_bonus)</f>
        <v>0</v>
      </c>
      <c r="CE86" s="69" t="n">
        <f aca="false">MIN(TblMili[[#This Row],[Unit 3]],TblMili[[#This Row],[Unit 2]])*2</f>
        <v>1250</v>
      </c>
      <c r="CF86" s="69" t="n">
        <f aca="false">MIN(TblMili[[#This Row],[Unit 1]],TblMili[[#This Row],[Unit 4]])*2</f>
        <v>0</v>
      </c>
      <c r="CG86" s="288" t="e">
        <f aca="false">MIN(frost_mage_cap,TblMili[[#This Row],[Hill]]/frost_mage_bonus)</f>
        <v>#VALUE!</v>
      </c>
      <c r="CH86" s="151" t="n">
        <f aca="false">MIN(ice_elem_cap,TblMili[[#This Row],[Raw (2)]]*ice_elem_bonus)</f>
        <v>0.0357142857142857</v>
      </c>
      <c r="CI86" s="288" t="n">
        <f aca="false">MIN(bone_breaker_cap,250/bone_breaker_bonus)</f>
        <v>0.833333333333333</v>
      </c>
      <c r="CJ86" s="288" t="e">
        <f aca="false">MIN(nox_nightshade_cap,TblConstr[[#This Row],[Homeland]]/TblConstr[[#This Row],[Land]]/nox_nightshade_swamp_bonus)</f>
        <v>#VALUE!</v>
      </c>
      <c r="CK86" s="289"/>
      <c r="CL86" s="289"/>
      <c r="CM86" s="289"/>
      <c r="CN86" s="288" t="e">
        <f aca="false">MIN(6,TblMili[[#This Row],[Mystic]]+Races!$F$19)*1.8 +  IF(TblMili[[#This Row],[Mystic]]+Races!$F$19&gt;6,(TblMili[[#This Row],[Mystic]]+Races!$F$19-6)*0.2,0) - Races!$I$19</f>
        <v>#VALUE!</v>
      </c>
      <c r="CO86" s="288" t="e">
        <f aca="false">1.8 * MIN(MAX(TblMili[[#This Row],[Druid (op)]]+Races!$E$20,TblMili[[#This Row],[Druid (dp)]]+Races!$F$20),6)  +  0.45 * MIN(MIN(TblMili[[#This Row],[Druid (op)]]+Races!$E$20,TblMili[[#This Row],[Druid (dp)]]+Races!$F$20),6)  +  0.2 * ( MAX(TblMili[[#This Row],[Druid (op)]]+Races!$E$20-6,0) + MAX(TblMili[[#This Row],[Druid (dp)]]+Races!$F$20-6,0) )  -  Races!$I$20</f>
        <v>#VALUE!</v>
      </c>
      <c r="CP86" s="69" t="e">
        <f aca="false">TblMili[[#This Row],[Mystic bonus]]*TblMili[[#This Row],[Unit 3]]+TblMili[[#This Row],[Druid bonus]]*TblMili[[#This Row],[Unit 4]]</f>
        <v>#VALUE!</v>
      </c>
      <c r="CQ86" s="148" t="e">
        <f aca="false">MIN(6,TblMili[[#This Row],[Dryad]]+Races!$F$35)*1.8 +  IF(TblMili[[#This Row],[Dryad]]+Races!$F$35&gt;6,(TblMili[[#This Row],[Dryad]]+Races!$F$35-6)*0.2,0) - Races!$I$19</f>
        <v>#VALUE!</v>
      </c>
      <c r="CR86" s="69" t="e">
        <f aca="false">sylvan*(TblMili[[#This Row],[Mystic bonus]]*TblMili[[#This Row],[Unit 3]])</f>
        <v>#VALUE!</v>
      </c>
      <c r="CS86" s="148" t="e">
        <f aca="false">1.8 * MIN(MAX(Races!$E$27,TblMili[[#This Row],[Rockapult]]+Races!$F$27),6)  +  0.45 * MIN(MIN(Races!$E$27,TblMili[[#This Row],[Rockapult]]+Races!$F$27),6)  +  0.2 * ( MAX(Races!$E$27-6,0) + MAX(TblMili[[#This Row],[Rockapult]]+Races!$F$27-6,0) )  -  Races!$I$20</f>
        <v>#VALUE!</v>
      </c>
      <c r="CT86" s="69" t="e">
        <f aca="false">gnome*(TblMili[[#This Row],[Rockapult bonus]]*TblMili[[#This Row],[Unit 3]])</f>
        <v>#VALUE!</v>
      </c>
      <c r="CU86" s="148" t="n">
        <f aca="false">1.8 * MIN(MAX(TblMili[[#This Row],[Spellblade]]+Races!$E$47,TblMili[[#This Row],[Adept-DP]]+Races!$F$47),6)  +  0.45 * MIN(MIN(TblMili[[#This Row],[Spellblade]]+Races!$E$47,TblMili[[#This Row],[Adept-DP]]+Races!$F$47),6)  +  0.2 * ( MAX(TblMili[[#This Row],[Spellblade]]+Races!$E$47-6,0) + MAX(TblMili[[#This Row],[Adept-DP]]+Races!$F$47-6,0) )  -  Races!$I$47</f>
        <v>0</v>
      </c>
      <c r="CV86" s="69" t="n">
        <f aca="false">dark_elf*(TblMili[[#This Row],[Adept bonus]]*TblMili[[#This Row],[Unit 3]])</f>
        <v>0</v>
      </c>
      <c r="CW86" s="148" t="e">
        <f aca="false">1.8 * MIN(MAX(TblMili[[#This Row],[Frost Mage]]+Races!$F$71,Races!$E$71),6)  +  0.45 * MIN(MIN(TblMili[[#This Row],[Frost Mage]]+Races!$F$71,Races!$E$71),6)  +  0.2 * ( MAX(TblMili[[#This Row],[Frost Mage]]+Races!$F$71-6,0) + MAX(Races!$E$71-6,0) )  -  Races!$I$71</f>
        <v>#VALUE!</v>
      </c>
      <c r="CX86" s="148" t="n">
        <f aca="false">1.8 * MIN(MAX(TblMili[[#This Row],[Ice Elemental]]+Races!$E$71,Races!$F$71),6)  +  0.45 * MIN(MIN(TblMili[[#This Row],[Ice Elemental]]+Races!$E$71,Races!$F$71),6)  +  0.2 * ( MAX(TblMili[[#This Row],[Ice Elemental]]+Races!$E$71-6,0) + MAX(Races!$F$71-6,0) )  -  Races!$I$71</f>
        <v>0.064285714285715</v>
      </c>
      <c r="CY86" s="69" t="e">
        <f aca="false">TblMili[[#This Row],[Frost Mage bonus]]*TblMili[[#This Row],[Unit 3]]+TblMili[[#This Row],[Ice Elemental bonus]]*TblMili[[#This Row],[Unit 4]]</f>
        <v>#VALUE!</v>
      </c>
      <c r="CZ86" s="290"/>
      <c r="DA86" s="109" t="n">
        <f aca="false">MIN(SUM(TblConstr[[#This Row],[Plain]:[Water]])/TblMili[[#This Row],[Land]]/favorable_terrain_bonus/100,favorable_terrain_max)</f>
        <v>0</v>
      </c>
      <c r="DB86" s="290"/>
      <c r="DC8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6" s="132"/>
      <c r="DE86" s="291" t="n">
        <f aca="false">(TblMili[[#This Row],[Wizards]]+2*TblMili[[#This Row],[Archmages]])/TblConstr[[#This Row],[Land]]</f>
        <v>0.0357142857142857</v>
      </c>
      <c r="DF86" s="291" t="n">
        <f aca="false">TblMili[[#This Row],[Raw (2)]]*(1+race_wizard_strength+IF(TblMili[[#This Row],[Hour]]&gt;72,tech_magical_weaponry_wiz*TblTech[[#This Row],[3-5]],0))</f>
        <v>0.0357142857142857</v>
      </c>
    </row>
    <row r="87" customFormat="false" ht="12.75" hidden="false" customHeight="false" outlineLevel="0" collapsed="false">
      <c r="A87" s="128" t="n">
        <f aca="false">TblRezone[[#This Row],[Hour]]</f>
        <v>84</v>
      </c>
      <c r="B87" s="282" t="n">
        <f aca="false">SUM(TblMili[[#This Row],[Unit 1]:[Archmages]])+SUM(OFFSET(TblMili[[#This Row],[Train Unit 1]],-8,0):TblMili[[#This Row],[Train Unit 2]]) + SUM(OFFSET(TblMili[[#This Row],[Train Unit 3]],-11,0):TblMili[[#This Row],[Train AM]]) + TblMili[[#This Row],[Draftees]]</f>
        <v>3973</v>
      </c>
      <c r="C87" s="150" t="n">
        <f aca="false">TblPop[[#This Row],[Military%]]</f>
        <v>0.307056186722312</v>
      </c>
      <c r="D87" s="132"/>
      <c r="E87" s="151" t="n">
        <f aca="false">OFFSET(TblMili[[#This Row],[Unit 1]],-1,0) + OFFSET(TblMili[[#This Row],[Train Unit 1]],-9,0) - TblMili[[#This Row],[Release Unit 1]]</f>
        <v>0</v>
      </c>
      <c r="F87" s="151" t="n">
        <f aca="false">OFFSET(TblMili[[#This Row],[Unit 2]],-1,0) + OFFSET(TblMili[[#This Row],[Train Unit 2]],-9,0)-TblMili[[#This Row],[Release Unit 2]]</f>
        <v>1148</v>
      </c>
      <c r="G87" s="151" t="n">
        <f aca="false">OFFSET(TblMili[[#This Row],[Unit 3]],-1,0) + OFFSET(TblMili[[#This Row],[Train Unit 3]],-12,0)-TblMili[[#This Row],[Release Unit 3]]</f>
        <v>625</v>
      </c>
      <c r="H87" s="151" t="n">
        <f aca="false">OFFSET(TblMili[[#This Row],[Unit 4]],-1,0) + OFFSET(TblMili[[#This Row],[Train Unit 4]],-12,0)-TblMili[[#This Row],[Release Unit 4]]</f>
        <v>1154</v>
      </c>
      <c r="I87" s="151" t="n">
        <f aca="false">OFFSET(TblMili[[#This Row],[Spies]],-1,0) + OFFSET(TblMili[[#This Row],[Train Spies]],-12,0) - TblMili[[#This Row],[Release Spies]]-TblMili[[#This Row],[Train AS]]</f>
        <v>25</v>
      </c>
      <c r="J87" s="151" t="n">
        <f aca="false">OFFSET(TblMili[[#This Row],[Archspies]],-1,0) + OFFSET(TblMili[[#This Row],[Train AS]],-12,0) - TblMili[[#This Row],[Release AS]]</f>
        <v>0</v>
      </c>
      <c r="K87" s="151" t="n">
        <f aca="false">OFFSET(TblMili[[#This Row],[Wizards]],-1,0) + OFFSET(TblMili[[#This Row],[Train Wiz]],-12,0) - TblMili[[#This Row],[Release Wizards]]-TblMili[[#This Row],[Train AM]]</f>
        <v>25</v>
      </c>
      <c r="L87" s="151" t="n">
        <f aca="false">OFFSET(TblMili[[#This Row],[Archmages]],-1,0) + OFFSET(TblMili[[#This Row],[Train AM]],-12,0) - TblMili[[#This Row],[Release AM]]</f>
        <v>0</v>
      </c>
      <c r="M87" s="132"/>
      <c r="N87" s="69" t="e">
        <f aca="false">TblProd[[#This Row],[Networth]]</f>
        <v>#VALUE!</v>
      </c>
      <c r="O87" s="132"/>
      <c r="P8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7" s="285" t="e">
        <f aca="false">TblMili[[#This Row],[Raw]]*(1+TblMili[[#This Row],[Mods_Off]])</f>
        <v>#VALUE!</v>
      </c>
      <c r="S8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7" s="285" t="e">
        <f aca="false">TblMili[[#This Row],[Non Draft]]+TblMili[[#This Row],[Draftees]]</f>
        <v>#VALUE!</v>
      </c>
      <c r="U87" s="286" t="n">
        <f aca="false">race_defense + TblImps[[#This Row],[Walls]] + ROUND( MIN(gt_bonus*TblConstr[[#This Row],[Tot GT]]/TblConstr[[#This Row],[Land]],gt_bonus_cap), 4) + IF(TblMagic[[#This Row],[Active Howling]]&gt;0,howling_dp_bonus,IF(TblMagic[[#This Row],[Active Ares Call]]&gt;0,ares_call_bonus))</f>
        <v>0.2375</v>
      </c>
      <c r="V87" s="274" t="e">
        <f aca="false">TblMili[[#This Row],[Non Draft]] * (1 + TblMili[[#This Row],[Mods_Def]])</f>
        <v>#VALUE!</v>
      </c>
      <c r="W87" s="285" t="e">
        <f aca="false">TblMili[[#This Row],[Draft]] * (1 + TblMili[[#This Row],[Mods_Def]])</f>
        <v>#VALUE!</v>
      </c>
      <c r="X87" s="285" t="n">
        <f aca="false">TblConstr[[#This Row],[Land]]</f>
        <v>700</v>
      </c>
      <c r="Y87" s="287"/>
      <c r="Z87" s="109" t="n">
        <f aca="false">IF(TblMili[[#This Row],[Set]]&lt;&gt;"",TblMili[[#This Row],[Set]],OFFSET(TblMili[[#This Row],[Draftrate]],-1,0))</f>
        <v>0.9</v>
      </c>
      <c r="AA87" s="69" t="n">
        <f aca="false">OFFSET(TblMili[[#This Row],[Draftees]],-1,0)+OFFSET(TblPop[[#This Row],[Draft Growth]],-1,0) - SUM(TblMili[[#This Row],[Train Unit 1]:[Train Spies]],TblMili[[#This Row],[Train Wiz]]) - TblMili[[#This Row],[Release Draft]] + SUM(TblMili[[#This Row],[Release Unit 1]:[Release AM]]) - TblExplore[[#This Row],[Draftees (2)]]</f>
        <v>749</v>
      </c>
      <c r="AB87" s="146"/>
      <c r="AC87" s="130" t="n">
        <f aca="false">(TblConstr[[#This Row],[Tot Smi]]+TblConstr[[#This Row],[Dest Smi]])/(TblConstr[[#This Row],[Land]]-TblExplore[[#This Row],[Land Bonus]]*20)</f>
        <v>0.18</v>
      </c>
      <c r="AD87" s="128"/>
      <c r="AE87" s="282" t="n">
        <f aca="false">TblMili[[#This Row],[Hour]]</f>
        <v>84</v>
      </c>
      <c r="AF87" s="129" t="n">
        <f aca="false">TblExplore[[#This Row],[Time]]</f>
        <v>45433.2083333333</v>
      </c>
      <c r="AG87" s="182"/>
      <c r="AH87" s="182"/>
      <c r="AI87" s="182"/>
      <c r="AJ87" s="182"/>
      <c r="AK87" s="182"/>
      <c r="AL87" s="182"/>
      <c r="AM87" s="182"/>
      <c r="AN87" s="182"/>
      <c r="AO87" s="132"/>
      <c r="AP87" s="69" t="n">
        <f aca="false">TblProd[[#This Row],[Platinum]]</f>
        <v>470622</v>
      </c>
      <c r="AQ87" s="69" t="n">
        <f aca="false">INDEX(TblProd[[#Headers],[Lumber]]:TblProd[[#This Row],[Ore]],COUNTA(TblProd[[#Headers],[Lumber]]:TblProd[[#This Row],[Lumber]]),MATCH(Military!$AQ$2,TblProd[[#Headers],[Lumber]:[Ore]],0))</f>
        <v>0</v>
      </c>
      <c r="AR8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69" t="n">
        <f aca="false">TblMili[[#This Row],[Train Unit 1]]*TblMili[[#This Row],[OP Ore]]+TblMili[[#This Row],[Train Unit 2]]*TblMili[[#This Row],[DP Ore]]+TblMili[[#This Row],[Train Unit 3]]*TblMili[[#This Row],[E1 Ore]]+TblMili[[#This Row],[Train Unit 4]]*TblMili[[#This Row],[E2 Ore]]</f>
        <v>0</v>
      </c>
      <c r="AT87" s="132" t="n">
        <f aca="false">TblMili[[#This Row],[Hour]]</f>
        <v>84</v>
      </c>
      <c r="AU87" s="144" t="n">
        <f aca="false">TblMili[[#This Row],[Time]]</f>
        <v>45433.2083333333</v>
      </c>
      <c r="AV87" s="69" t="n">
        <f aca="false">TblMili[[#This Row],[Draftees]]</f>
        <v>749</v>
      </c>
      <c r="AW87" s="152"/>
      <c r="AX87" s="182"/>
      <c r="AY87" s="182"/>
      <c r="AZ87" s="182"/>
      <c r="BA87" s="182"/>
      <c r="BB87" s="182"/>
      <c r="BC87" s="182"/>
      <c r="BD87" s="182"/>
      <c r="BE87" s="182"/>
      <c r="BF87" s="132"/>
      <c r="BG87" s="150" t="n">
        <f aca="false">TblConstr[[#This Row],[Tot WG]]/TblConstr[[#This Row],[Land]]</f>
        <v>0</v>
      </c>
      <c r="BH87" s="150" t="n">
        <f aca="false">TblConstr[[#This Row],[Tot Hav]]/TblConstr[[#This Row],[Land]]</f>
        <v>0</v>
      </c>
      <c r="BI87" s="69" t="n">
        <f aca="false">ROUNDUP((1-MIN(TblMili[[#This Row],[Smithies]]*smithy_bonus,smithy_bonus_cap) + tech_3_5*TblTech[[#This Row],[3-5]] + tech_5_3*TblTech[[#This Row],[5-3]] + tech_5_5*TblTech[[#This Row],[5-5]])*spec_op_plat,0)</f>
        <v>192</v>
      </c>
      <c r="BJ87" s="69" t="n">
        <f aca="false">ROUNDUP(IF(race="Gnome",1,(1-MIN(TblMili[[#This Row],[Smithies]]*smithy_bonus,smithy_bonus_cap) + tech_3_5*TblTech[[#This Row],[3-5]] + tech_5_3*TblTech[[#This Row],[5-3]] + tech_5_5*TblTech[[#This Row],[5-5]]))*spec_op_ore,0)</f>
        <v>0</v>
      </c>
      <c r="BK87" s="69" t="n">
        <f aca="false">ROUNDUP((1-MIN(TblMili[[#This Row],[Smithies]]*smithy_bonus,smithy_bonus_cap) + tech_3_5*TblTech[[#This Row],[3-5]] + tech_5_3*TblTech[[#This Row],[5-3]] + tech_5_5*TblTech[[#This Row],[5-5]])*spec_dp_plat,0)</f>
        <v>192</v>
      </c>
      <c r="BL87" s="69" t="n">
        <f aca="false">ROUNDUP(IF(race="Gnome",1,(1-MIN(TblMili[[#This Row],[Smithies]]*smithy_bonus,smithy_bonus_cap) + tech_3_5*TblTech[[#This Row],[3-5]] + tech_5_3*TblTech[[#This Row],[5-3]] + tech_5_5*TblTech[[#This Row],[5-5]]))*spec_dp_ore,0)</f>
        <v>0</v>
      </c>
      <c r="BM87" s="69" t="n">
        <f aca="false">ROUNDUP((1-MIN(TblMili[[#This Row],[Smithies]]*smithy_bonus,smithy_bonus_cap) + tech_3_5*TblTech[[#This Row],[3-5]] + tech_5_3*TblTech[[#This Row],[5-3]] + tech_5_5*TblTech[[#This Row],[5-5]])*elite1_plat,0)</f>
        <v>592</v>
      </c>
      <c r="BN87" s="69" t="n">
        <f aca="false">ROUNDUP(IF(race="Gnome",1,(1-MIN(TblMili[[#This Row],[Smithies]]*smithy_bonus,smithy_bonus_cap) + tech_3_5*TblTech[[#This Row],[3-5]] + tech_5_3*TblTech[[#This Row],[5-3]] + tech_5_5*TblTech[[#This Row],[5-5]]))*elite1_ore,0)</f>
        <v>0</v>
      </c>
      <c r="BO87" s="69" t="n">
        <f aca="false">ROUNDUP((1-MIN(TblMili[[#This Row],[Smithies]]*smithy_bonus,smithy_bonus_cap) + tech_3_5*TblTech[[#This Row],[3-5]] + tech_5_3*TblTech[[#This Row],[5-3]] + tech_5_5*TblTech[[#This Row],[5-5]])*elite2_plat,0)</f>
        <v>608</v>
      </c>
      <c r="BP87" s="69" t="n">
        <f aca="false">ROUNDUP(IF(race="Gnome",1,(1-MIN(TblMili[[#This Row],[Smithies]]*smithy_bonus,smithy_bonus_cap) + tech_3_5*TblTech[[#This Row],[3-5]] + tech_5_3*TblTech[[#This Row],[5-3]] + tech_5_5*TblTech[[#This Row],[5-5]]))*elite2_ore,0)</f>
        <v>0</v>
      </c>
      <c r="BQ87" s="69" t="n">
        <f aca="false">ROUNDUP((1-MIN(ROUND(fh_spy_cost_red*TblMili[[#This Row],[FH''s]],4),fh_spy_cost_cap)+ tech_1_9*TblTech[[#This Row],[1-9]] + tech_9_1*TblTech[[#This Row],[9-1]])*spy_plat,0)</f>
        <v>500</v>
      </c>
      <c r="BR87" s="69" t="n">
        <f aca="false">ROUNDUP((1-MIN(ROUND(fh_spy_cost_red*TblMili[[#This Row],[FH''s]],4),fh_spy_cost_cap)+ tech_1_9*TblTech[[#This Row],[1-9]] + tech_9_1*TblTech[[#This Row],[9-1]])*archspy_plat,0)</f>
        <v>1000</v>
      </c>
      <c r="BS87" s="69" t="n">
        <f aca="false">ROUNDUP((1-MIN(ROUND(wg_wiz_cost_bonus*TblMili[[#This Row],[WG''s]],4),wg_wiz_cost_cap) + tech_1_9_2*TblTech[[#This Row],[1-9]] + tech_9_1_2*TblTech[[#This Row],[9-1]])*wizard_plat,0)</f>
        <v>500</v>
      </c>
      <c r="BT87" s="69" t="n">
        <f aca="false">ROUNDUP((1-MIN(ROUND(wg_wiz_cost_bonus*TblMili[[#This Row],[WG''s]],4),wg_wiz_cost_cap) + tech_1_9_2*TblTech[[#This Row],[1-9]] + tech_9_1_2*TblTech[[#This Row],[9-1]])*archmage_plat,0)</f>
        <v>1000</v>
      </c>
      <c r="BU87" s="132"/>
      <c r="BV87" s="150" t="e">
        <f aca="false">TblConstr[[#This Row],[Homeland]]/TblConstr[[#This Row],[Land]]</f>
        <v>#VALUE!</v>
      </c>
      <c r="BW87" s="150" t="n">
        <f aca="false">TblMili[[#This Row],[WG''s]]</f>
        <v>0</v>
      </c>
      <c r="BX87" s="288" t="e">
        <f aca="false">IF(mystic_cap="none",TblMili[[#This Row],[Hill]]/mystic_bonus,MIN(mystic_cap,TblMili[[#This Row],[Hill]]/mystic_bonus))</f>
        <v>#VALUE!</v>
      </c>
      <c r="BY87" s="288" t="e">
        <f aca="false">IF(druid_op_cap="none",TblMili[[#This Row],[Hill]]/druid_op_bonus,MIN(druid_op_cap,TblMili[[#This Row],[Hill]]/druid_op_bonus))</f>
        <v>#VALUE!</v>
      </c>
      <c r="BZ87" s="288" t="e">
        <f aca="false">IF(druid_dp_cap="none",TblMili[[#This Row],[Hill]]/druid_dp_bonus,MIN(druid_dp_cap,TblMili[[#This Row],[Hill]]/druid_dp_bonus))</f>
        <v>#VALUE!</v>
      </c>
      <c r="CA87" s="288" t="e">
        <f aca="false">MIN(dryad_cap,TblMili[[#This Row],[Hill]]/dryad_bonus)</f>
        <v>#VALUE!</v>
      </c>
      <c r="CB87" s="288" t="e">
        <f aca="false">MIN(rocka_cap,TblMili[[#This Row],[Hill]]/rocka_bonus)</f>
        <v>#VALUE!</v>
      </c>
      <c r="CC87" s="288" t="n">
        <f aca="false">MIN(adept_op_cap,TblMili[[#This Row],[WG]]/adept_op_bonus)</f>
        <v>0</v>
      </c>
      <c r="CD87" s="288" t="n">
        <f aca="false">MIN(adept_dp_cap,TblMili[[#This Row],[WG]]/adept_dp_bonus)</f>
        <v>0</v>
      </c>
      <c r="CE87" s="69" t="n">
        <f aca="false">MIN(TblMili[[#This Row],[Unit 3]],TblMili[[#This Row],[Unit 2]])*2</f>
        <v>1250</v>
      </c>
      <c r="CF87" s="69" t="n">
        <f aca="false">MIN(TblMili[[#This Row],[Unit 1]],TblMili[[#This Row],[Unit 4]])*2</f>
        <v>0</v>
      </c>
      <c r="CG87" s="288" t="e">
        <f aca="false">MIN(frost_mage_cap,TblMili[[#This Row],[Hill]]/frost_mage_bonus)</f>
        <v>#VALUE!</v>
      </c>
      <c r="CH87" s="151" t="n">
        <f aca="false">MIN(ice_elem_cap,TblMili[[#This Row],[Raw (2)]]*ice_elem_bonus)</f>
        <v>0.0357142857142857</v>
      </c>
      <c r="CI87" s="288" t="n">
        <f aca="false">MIN(bone_breaker_cap,250/bone_breaker_bonus)</f>
        <v>0.833333333333333</v>
      </c>
      <c r="CJ87" s="288" t="e">
        <f aca="false">MIN(nox_nightshade_cap,TblConstr[[#This Row],[Homeland]]/TblConstr[[#This Row],[Land]]/nox_nightshade_swamp_bonus)</f>
        <v>#VALUE!</v>
      </c>
      <c r="CK87" s="289"/>
      <c r="CL87" s="289"/>
      <c r="CM87" s="289"/>
      <c r="CN87" s="288" t="e">
        <f aca="false">MIN(6,TblMili[[#This Row],[Mystic]]+Races!$F$19)*1.8 +  IF(TblMili[[#This Row],[Mystic]]+Races!$F$19&gt;6,(TblMili[[#This Row],[Mystic]]+Races!$F$19-6)*0.2,0) - Races!$I$19</f>
        <v>#VALUE!</v>
      </c>
      <c r="CO87" s="288" t="e">
        <f aca="false">1.8 * MIN(MAX(TblMili[[#This Row],[Druid (op)]]+Races!$E$20,TblMili[[#This Row],[Druid (dp)]]+Races!$F$20),6)  +  0.45 * MIN(MIN(TblMili[[#This Row],[Druid (op)]]+Races!$E$20,TblMili[[#This Row],[Druid (dp)]]+Races!$F$20),6)  +  0.2 * ( MAX(TblMili[[#This Row],[Druid (op)]]+Races!$E$20-6,0) + MAX(TblMili[[#This Row],[Druid (dp)]]+Races!$F$20-6,0) )  -  Races!$I$20</f>
        <v>#VALUE!</v>
      </c>
      <c r="CP87" s="69" t="e">
        <f aca="false">TblMili[[#This Row],[Mystic bonus]]*TblMili[[#This Row],[Unit 3]]+TblMili[[#This Row],[Druid bonus]]*TblMili[[#This Row],[Unit 4]]</f>
        <v>#VALUE!</v>
      </c>
      <c r="CQ87" s="148" t="e">
        <f aca="false">MIN(6,TblMili[[#This Row],[Dryad]]+Races!$F$35)*1.8 +  IF(TblMili[[#This Row],[Dryad]]+Races!$F$35&gt;6,(TblMili[[#This Row],[Dryad]]+Races!$F$35-6)*0.2,0) - Races!$I$19</f>
        <v>#VALUE!</v>
      </c>
      <c r="CR87" s="69" t="e">
        <f aca="false">sylvan*(TblMili[[#This Row],[Mystic bonus]]*TblMili[[#This Row],[Unit 3]])</f>
        <v>#VALUE!</v>
      </c>
      <c r="CS87" s="148" t="e">
        <f aca="false">1.8 * MIN(MAX(Races!$E$27,TblMili[[#This Row],[Rockapult]]+Races!$F$27),6)  +  0.45 * MIN(MIN(Races!$E$27,TblMili[[#This Row],[Rockapult]]+Races!$F$27),6)  +  0.2 * ( MAX(Races!$E$27-6,0) + MAX(TblMili[[#This Row],[Rockapult]]+Races!$F$27-6,0) )  -  Races!$I$20</f>
        <v>#VALUE!</v>
      </c>
      <c r="CT87" s="69" t="e">
        <f aca="false">gnome*(TblMili[[#This Row],[Rockapult bonus]]*TblMili[[#This Row],[Unit 3]])</f>
        <v>#VALUE!</v>
      </c>
      <c r="CU87" s="148" t="n">
        <f aca="false">1.8 * MIN(MAX(TblMili[[#This Row],[Spellblade]]+Races!$E$47,TblMili[[#This Row],[Adept-DP]]+Races!$F$47),6)  +  0.45 * MIN(MIN(TblMili[[#This Row],[Spellblade]]+Races!$E$47,TblMili[[#This Row],[Adept-DP]]+Races!$F$47),6)  +  0.2 * ( MAX(TblMili[[#This Row],[Spellblade]]+Races!$E$47-6,0) + MAX(TblMili[[#This Row],[Adept-DP]]+Races!$F$47-6,0) )  -  Races!$I$47</f>
        <v>0</v>
      </c>
      <c r="CV87" s="69" t="n">
        <f aca="false">dark_elf*(TblMili[[#This Row],[Adept bonus]]*TblMili[[#This Row],[Unit 3]])</f>
        <v>0</v>
      </c>
      <c r="CW87" s="148" t="e">
        <f aca="false">1.8 * MIN(MAX(TblMili[[#This Row],[Frost Mage]]+Races!$F$71,Races!$E$71),6)  +  0.45 * MIN(MIN(TblMili[[#This Row],[Frost Mage]]+Races!$F$71,Races!$E$71),6)  +  0.2 * ( MAX(TblMili[[#This Row],[Frost Mage]]+Races!$F$71-6,0) + MAX(Races!$E$71-6,0) )  -  Races!$I$71</f>
        <v>#VALUE!</v>
      </c>
      <c r="CX87" s="148" t="n">
        <f aca="false">1.8 * MIN(MAX(TblMili[[#This Row],[Ice Elemental]]+Races!$E$71,Races!$F$71),6)  +  0.45 * MIN(MIN(TblMili[[#This Row],[Ice Elemental]]+Races!$E$71,Races!$F$71),6)  +  0.2 * ( MAX(TblMili[[#This Row],[Ice Elemental]]+Races!$E$71-6,0) + MAX(Races!$F$71-6,0) )  -  Races!$I$71</f>
        <v>0.064285714285715</v>
      </c>
      <c r="CY87" s="69" t="e">
        <f aca="false">TblMili[[#This Row],[Frost Mage bonus]]*TblMili[[#This Row],[Unit 3]]+TblMili[[#This Row],[Ice Elemental bonus]]*TblMili[[#This Row],[Unit 4]]</f>
        <v>#VALUE!</v>
      </c>
      <c r="CZ87" s="290"/>
      <c r="DA87" s="109" t="n">
        <f aca="false">MIN(SUM(TblConstr[[#This Row],[Plain]:[Water]])/TblMili[[#This Row],[Land]]/favorable_terrain_bonus/100,favorable_terrain_max)</f>
        <v>0</v>
      </c>
      <c r="DB87" s="290"/>
      <c r="DC8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7" s="132"/>
      <c r="DE87" s="291" t="n">
        <f aca="false">(TblMili[[#This Row],[Wizards]]+2*TblMili[[#This Row],[Archmages]])/TblConstr[[#This Row],[Land]]</f>
        <v>0.0357142857142857</v>
      </c>
      <c r="DF87" s="291" t="n">
        <f aca="false">TblMili[[#This Row],[Raw (2)]]*(1+race_wizard_strength+IF(TblMili[[#This Row],[Hour]]&gt;72,tech_magical_weaponry_wiz*TblTech[[#This Row],[3-5]],0))</f>
        <v>0.0357142857142857</v>
      </c>
    </row>
    <row r="88" customFormat="false" ht="12.75" hidden="false" customHeight="false" outlineLevel="0" collapsed="false">
      <c r="A88" s="128" t="n">
        <f aca="false">TblRezone[[#This Row],[Hour]]</f>
        <v>85</v>
      </c>
      <c r="B88" s="282" t="n">
        <f aca="false">SUM(TblMili[[#This Row],[Unit 1]:[Archmages]])+SUM(OFFSET(TblMili[[#This Row],[Train Unit 1]],-8,0):TblMili[[#This Row],[Train Unit 2]]) + SUM(OFFSET(TblMili[[#This Row],[Train Unit 3]],-11,0):TblMili[[#This Row],[Train AM]]) + TblMili[[#This Row],[Draftees]]</f>
        <v>4063</v>
      </c>
      <c r="C88" s="150" t="n">
        <f aca="false">TblPop[[#This Row],[Military%]]</f>
        <v>0.3140119020017</v>
      </c>
      <c r="D88" s="132"/>
      <c r="E88" s="151" t="n">
        <f aca="false">OFFSET(TblMili[[#This Row],[Unit 1]],-1,0) + OFFSET(TblMili[[#This Row],[Train Unit 1]],-9,0) - TblMili[[#This Row],[Release Unit 1]]</f>
        <v>0</v>
      </c>
      <c r="F88" s="151" t="n">
        <f aca="false">OFFSET(TblMili[[#This Row],[Unit 2]],-1,0) + OFFSET(TblMili[[#This Row],[Train Unit 2]],-9,0)-TblMili[[#This Row],[Release Unit 2]]</f>
        <v>1246</v>
      </c>
      <c r="G88" s="151" t="n">
        <f aca="false">OFFSET(TblMili[[#This Row],[Unit 3]],-1,0) + OFFSET(TblMili[[#This Row],[Train Unit 3]],-12,0)-TblMili[[#This Row],[Release Unit 3]]</f>
        <v>650</v>
      </c>
      <c r="H88" s="151" t="n">
        <f aca="false">OFFSET(TblMili[[#This Row],[Unit 4]],-1,0) + OFFSET(TblMili[[#This Row],[Train Unit 4]],-12,0)-TblMili[[#This Row],[Release Unit 4]]</f>
        <v>1228</v>
      </c>
      <c r="I88" s="151" t="n">
        <f aca="false">OFFSET(TblMili[[#This Row],[Spies]],-1,0) + OFFSET(TblMili[[#This Row],[Train Spies]],-12,0) - TblMili[[#This Row],[Release Spies]]-TblMili[[#This Row],[Train AS]]</f>
        <v>25</v>
      </c>
      <c r="J88" s="151" t="n">
        <f aca="false">OFFSET(TblMili[[#This Row],[Archspies]],-1,0) + OFFSET(TblMili[[#This Row],[Train AS]],-12,0) - TblMili[[#This Row],[Release AS]]</f>
        <v>0</v>
      </c>
      <c r="K88" s="151" t="n">
        <f aca="false">OFFSET(TblMili[[#This Row],[Wizards]],-1,0) + OFFSET(TblMili[[#This Row],[Train Wiz]],-12,0) - TblMili[[#This Row],[Release Wizards]]-TblMili[[#This Row],[Train AM]]</f>
        <v>25</v>
      </c>
      <c r="L88" s="151" t="n">
        <f aca="false">OFFSET(TblMili[[#This Row],[Archmages]],-1,0) + OFFSET(TblMili[[#This Row],[Train AM]],-12,0) - TblMili[[#This Row],[Release AM]]</f>
        <v>0</v>
      </c>
      <c r="M88" s="132"/>
      <c r="N88" s="69" t="e">
        <f aca="false">TblProd[[#This Row],[Networth]]</f>
        <v>#VALUE!</v>
      </c>
      <c r="O88" s="132"/>
      <c r="P8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8" s="285" t="e">
        <f aca="false">TblMili[[#This Row],[Raw]]*(1+TblMili[[#This Row],[Mods_Off]])</f>
        <v>#VALUE!</v>
      </c>
      <c r="S8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8" s="285" t="e">
        <f aca="false">TblMili[[#This Row],[Non Draft]]+TblMili[[#This Row],[Draftees]]</f>
        <v>#VALUE!</v>
      </c>
      <c r="U88" s="286" t="n">
        <f aca="false">race_defense + TblImps[[#This Row],[Walls]] + ROUND( MIN(gt_bonus*TblConstr[[#This Row],[Tot GT]]/TblConstr[[#This Row],[Land]],gt_bonus_cap), 4) + IF(TblMagic[[#This Row],[Active Howling]]&gt;0,howling_dp_bonus,IF(TblMagic[[#This Row],[Active Ares Call]]&gt;0,ares_call_bonus))</f>
        <v>0.2375</v>
      </c>
      <c r="V88" s="274" t="e">
        <f aca="false">TblMili[[#This Row],[Non Draft]] * (1 + TblMili[[#This Row],[Mods_Def]])</f>
        <v>#VALUE!</v>
      </c>
      <c r="W88" s="285" t="e">
        <f aca="false">TblMili[[#This Row],[Draft]] * (1 + TblMili[[#This Row],[Mods_Def]])</f>
        <v>#VALUE!</v>
      </c>
      <c r="X88" s="285" t="n">
        <f aca="false">TblConstr[[#This Row],[Land]]</f>
        <v>700</v>
      </c>
      <c r="Y88" s="287"/>
      <c r="Z88" s="109" t="n">
        <f aca="false">IF(TblMili[[#This Row],[Set]]&lt;&gt;"",TblMili[[#This Row],[Set]],OFFSET(TblMili[[#This Row],[Draftrate]],-1,0))</f>
        <v>0.9</v>
      </c>
      <c r="AA88" s="69" t="n">
        <f aca="false">OFFSET(TblMili[[#This Row],[Draftees]],-1,0)+OFFSET(TblPop[[#This Row],[Draft Growth]],-1,0) - SUM(TblMili[[#This Row],[Train Unit 1]:[Train Spies]],TblMili[[#This Row],[Train Wiz]]) - TblMili[[#This Row],[Release Draft]] + SUM(TblMili[[#This Row],[Release Unit 1]:[Release AM]]) - TblExplore[[#This Row],[Draftees (2)]]</f>
        <v>839</v>
      </c>
      <c r="AB88" s="146"/>
      <c r="AC88" s="130" t="n">
        <f aca="false">(TblConstr[[#This Row],[Tot Smi]]+TblConstr[[#This Row],[Dest Smi]])/(TblConstr[[#This Row],[Land]]-TblExplore[[#This Row],[Land Bonus]]*20)</f>
        <v>0.18</v>
      </c>
      <c r="AD88" s="282"/>
      <c r="AE88" s="282" t="n">
        <f aca="false">TblMili[[#This Row],[Hour]]</f>
        <v>85</v>
      </c>
      <c r="AF88" s="129" t="n">
        <f aca="false">TblExplore[[#This Row],[Time]]</f>
        <v>45433.25</v>
      </c>
      <c r="AG88" s="182"/>
      <c r="AH88" s="182"/>
      <c r="AI88" s="182"/>
      <c r="AJ88" s="182"/>
      <c r="AK88" s="182"/>
      <c r="AL88" s="182"/>
      <c r="AM88" s="182"/>
      <c r="AN88" s="182"/>
      <c r="AO88" s="132"/>
      <c r="AP88" s="69" t="n">
        <f aca="false">TblProd[[#This Row],[Platinum]]</f>
        <v>514796</v>
      </c>
      <c r="AQ88" s="69" t="n">
        <f aca="false">INDEX(TblProd[[#Headers],[Lumber]]:TblProd[[#This Row],[Ore]],COUNTA(TblProd[[#Headers],[Lumber]]:TblProd[[#This Row],[Lumber]]),MATCH(Military!$AQ$2,TblProd[[#Headers],[Lumber]:[Ore]],0))</f>
        <v>0</v>
      </c>
      <c r="AR8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69" t="n">
        <f aca="false">TblMili[[#This Row],[Train Unit 1]]*TblMili[[#This Row],[OP Ore]]+TblMili[[#This Row],[Train Unit 2]]*TblMili[[#This Row],[DP Ore]]+TblMili[[#This Row],[Train Unit 3]]*TblMili[[#This Row],[E1 Ore]]+TblMili[[#This Row],[Train Unit 4]]*TblMili[[#This Row],[E2 Ore]]</f>
        <v>0</v>
      </c>
      <c r="AT88" s="132" t="n">
        <f aca="false">TblMili[[#This Row],[Hour]]</f>
        <v>85</v>
      </c>
      <c r="AU88" s="144" t="n">
        <f aca="false">TblMili[[#This Row],[Time]]</f>
        <v>45433.25</v>
      </c>
      <c r="AV88" s="69" t="n">
        <f aca="false">TblMili[[#This Row],[Draftees]]</f>
        <v>839</v>
      </c>
      <c r="AW88" s="182"/>
      <c r="AX88" s="182"/>
      <c r="AY88" s="182"/>
      <c r="AZ88" s="182"/>
      <c r="BA88" s="182"/>
      <c r="BB88" s="182"/>
      <c r="BC88" s="182"/>
      <c r="BD88" s="182"/>
      <c r="BE88" s="182"/>
      <c r="BF88" s="132"/>
      <c r="BG88" s="150" t="n">
        <f aca="false">TblConstr[[#This Row],[Tot WG]]/TblConstr[[#This Row],[Land]]</f>
        <v>0</v>
      </c>
      <c r="BH88" s="150" t="n">
        <f aca="false">TblConstr[[#This Row],[Tot Hav]]/TblConstr[[#This Row],[Land]]</f>
        <v>0</v>
      </c>
      <c r="BI88" s="69" t="n">
        <f aca="false">ROUNDUP((1-MIN(TblMili[[#This Row],[Smithies]]*smithy_bonus,smithy_bonus_cap) + tech_3_5*TblTech[[#This Row],[3-5]] + tech_5_3*TblTech[[#This Row],[5-3]] + tech_5_5*TblTech[[#This Row],[5-5]])*spec_op_plat,0)</f>
        <v>192</v>
      </c>
      <c r="BJ88" s="69" t="n">
        <f aca="false">ROUNDUP(IF(race="Gnome",1,(1-MIN(TblMili[[#This Row],[Smithies]]*smithy_bonus,smithy_bonus_cap) + tech_3_5*TblTech[[#This Row],[3-5]] + tech_5_3*TblTech[[#This Row],[5-3]] + tech_5_5*TblTech[[#This Row],[5-5]]))*spec_op_ore,0)</f>
        <v>0</v>
      </c>
      <c r="BK88" s="69" t="n">
        <f aca="false">ROUNDUP((1-MIN(TblMili[[#This Row],[Smithies]]*smithy_bonus,smithy_bonus_cap) + tech_3_5*TblTech[[#This Row],[3-5]] + tech_5_3*TblTech[[#This Row],[5-3]] + tech_5_5*TblTech[[#This Row],[5-5]])*spec_dp_plat,0)</f>
        <v>192</v>
      </c>
      <c r="BL88" s="69" t="n">
        <f aca="false">ROUNDUP(IF(race="Gnome",1,(1-MIN(TblMili[[#This Row],[Smithies]]*smithy_bonus,smithy_bonus_cap) + tech_3_5*TblTech[[#This Row],[3-5]] + tech_5_3*TblTech[[#This Row],[5-3]] + tech_5_5*TblTech[[#This Row],[5-5]]))*spec_dp_ore,0)</f>
        <v>0</v>
      </c>
      <c r="BM88" s="69" t="n">
        <f aca="false">ROUNDUP((1-MIN(TblMili[[#This Row],[Smithies]]*smithy_bonus,smithy_bonus_cap) + tech_3_5*TblTech[[#This Row],[3-5]] + tech_5_3*TblTech[[#This Row],[5-3]] + tech_5_5*TblTech[[#This Row],[5-5]])*elite1_plat,0)</f>
        <v>592</v>
      </c>
      <c r="BN88" s="69" t="n">
        <f aca="false">ROUNDUP(IF(race="Gnome",1,(1-MIN(TblMili[[#This Row],[Smithies]]*smithy_bonus,smithy_bonus_cap) + tech_3_5*TblTech[[#This Row],[3-5]] + tech_5_3*TblTech[[#This Row],[5-3]] + tech_5_5*TblTech[[#This Row],[5-5]]))*elite1_ore,0)</f>
        <v>0</v>
      </c>
      <c r="BO88" s="69" t="n">
        <f aca="false">ROUNDUP((1-MIN(TblMili[[#This Row],[Smithies]]*smithy_bonus,smithy_bonus_cap) + tech_3_5*TblTech[[#This Row],[3-5]] + tech_5_3*TblTech[[#This Row],[5-3]] + tech_5_5*TblTech[[#This Row],[5-5]])*elite2_plat,0)</f>
        <v>608</v>
      </c>
      <c r="BP88" s="69" t="n">
        <f aca="false">ROUNDUP(IF(race="Gnome",1,(1-MIN(TblMili[[#This Row],[Smithies]]*smithy_bonus,smithy_bonus_cap) + tech_3_5*TblTech[[#This Row],[3-5]] + tech_5_3*TblTech[[#This Row],[5-3]] + tech_5_5*TblTech[[#This Row],[5-5]]))*elite2_ore,0)</f>
        <v>0</v>
      </c>
      <c r="BQ88" s="69" t="n">
        <f aca="false">ROUNDUP((1-MIN(ROUND(fh_spy_cost_red*TblMili[[#This Row],[FH''s]],4),fh_spy_cost_cap)+ tech_1_9*TblTech[[#This Row],[1-9]] + tech_9_1*TblTech[[#This Row],[9-1]])*spy_plat,0)</f>
        <v>500</v>
      </c>
      <c r="BR88" s="69" t="n">
        <f aca="false">ROUNDUP((1-MIN(ROUND(fh_spy_cost_red*TblMili[[#This Row],[FH''s]],4),fh_spy_cost_cap)+ tech_1_9*TblTech[[#This Row],[1-9]] + tech_9_1*TblTech[[#This Row],[9-1]])*archspy_plat,0)</f>
        <v>1000</v>
      </c>
      <c r="BS88" s="69" t="n">
        <f aca="false">ROUNDUP((1-MIN(ROUND(wg_wiz_cost_bonus*TblMili[[#This Row],[WG''s]],4),wg_wiz_cost_cap) + tech_1_9_2*TblTech[[#This Row],[1-9]] + tech_9_1_2*TblTech[[#This Row],[9-1]])*wizard_plat,0)</f>
        <v>500</v>
      </c>
      <c r="BT88" s="69" t="n">
        <f aca="false">ROUNDUP((1-MIN(ROUND(wg_wiz_cost_bonus*TblMili[[#This Row],[WG''s]],4),wg_wiz_cost_cap) + tech_1_9_2*TblTech[[#This Row],[1-9]] + tech_9_1_2*TblTech[[#This Row],[9-1]])*archmage_plat,0)</f>
        <v>1000</v>
      </c>
      <c r="BU88" s="132"/>
      <c r="BV88" s="150" t="e">
        <f aca="false">TblConstr[[#This Row],[Homeland]]/TblConstr[[#This Row],[Land]]</f>
        <v>#VALUE!</v>
      </c>
      <c r="BW88" s="150" t="n">
        <f aca="false">TblMili[[#This Row],[WG''s]]</f>
        <v>0</v>
      </c>
      <c r="BX88" s="288" t="e">
        <f aca="false">IF(mystic_cap="none",TblMili[[#This Row],[Hill]]/mystic_bonus,MIN(mystic_cap,TblMili[[#This Row],[Hill]]/mystic_bonus))</f>
        <v>#VALUE!</v>
      </c>
      <c r="BY88" s="288" t="e">
        <f aca="false">IF(druid_op_cap="none",TblMili[[#This Row],[Hill]]/druid_op_bonus,MIN(druid_op_cap,TblMili[[#This Row],[Hill]]/druid_op_bonus))</f>
        <v>#VALUE!</v>
      </c>
      <c r="BZ88" s="288" t="e">
        <f aca="false">IF(druid_dp_cap="none",TblMili[[#This Row],[Hill]]/druid_dp_bonus,MIN(druid_dp_cap,TblMili[[#This Row],[Hill]]/druid_dp_bonus))</f>
        <v>#VALUE!</v>
      </c>
      <c r="CA88" s="288" t="e">
        <f aca="false">MIN(dryad_cap,TblMili[[#This Row],[Hill]]/dryad_bonus)</f>
        <v>#VALUE!</v>
      </c>
      <c r="CB88" s="288" t="e">
        <f aca="false">MIN(rocka_cap,TblMili[[#This Row],[Hill]]/rocka_bonus)</f>
        <v>#VALUE!</v>
      </c>
      <c r="CC88" s="288" t="n">
        <f aca="false">MIN(adept_op_cap,TblMili[[#This Row],[WG]]/adept_op_bonus)</f>
        <v>0</v>
      </c>
      <c r="CD88" s="288" t="n">
        <f aca="false">MIN(adept_dp_cap,TblMili[[#This Row],[WG]]/adept_dp_bonus)</f>
        <v>0</v>
      </c>
      <c r="CE88" s="69" t="n">
        <f aca="false">MIN(TblMili[[#This Row],[Unit 3]],TblMili[[#This Row],[Unit 2]])*2</f>
        <v>1300</v>
      </c>
      <c r="CF88" s="69" t="n">
        <f aca="false">MIN(TblMili[[#This Row],[Unit 1]],TblMili[[#This Row],[Unit 4]])*2</f>
        <v>0</v>
      </c>
      <c r="CG88" s="288" t="e">
        <f aca="false">MIN(frost_mage_cap,TblMili[[#This Row],[Hill]]/frost_mage_bonus)</f>
        <v>#VALUE!</v>
      </c>
      <c r="CH88" s="151" t="n">
        <f aca="false">MIN(ice_elem_cap,TblMili[[#This Row],[Raw (2)]]*ice_elem_bonus)</f>
        <v>0.0357142857142857</v>
      </c>
      <c r="CI88" s="288" t="n">
        <f aca="false">MIN(bone_breaker_cap,250/bone_breaker_bonus)</f>
        <v>0.833333333333333</v>
      </c>
      <c r="CJ88" s="288" t="e">
        <f aca="false">MIN(nox_nightshade_cap,TblConstr[[#This Row],[Homeland]]/TblConstr[[#This Row],[Land]]/nox_nightshade_swamp_bonus)</f>
        <v>#VALUE!</v>
      </c>
      <c r="CK88" s="289"/>
      <c r="CL88" s="289"/>
      <c r="CM88" s="289"/>
      <c r="CN88" s="288" t="e">
        <f aca="false">MIN(6,TblMili[[#This Row],[Mystic]]+Races!$F$19)*1.8 +  IF(TblMili[[#This Row],[Mystic]]+Races!$F$19&gt;6,(TblMili[[#This Row],[Mystic]]+Races!$F$19-6)*0.2,0) - Races!$I$19</f>
        <v>#VALUE!</v>
      </c>
      <c r="CO88" s="288" t="e">
        <f aca="false">1.8 * MIN(MAX(TblMili[[#This Row],[Druid (op)]]+Races!$E$20,TblMili[[#This Row],[Druid (dp)]]+Races!$F$20),6)  +  0.45 * MIN(MIN(TblMili[[#This Row],[Druid (op)]]+Races!$E$20,TblMili[[#This Row],[Druid (dp)]]+Races!$F$20),6)  +  0.2 * ( MAX(TblMili[[#This Row],[Druid (op)]]+Races!$E$20-6,0) + MAX(TblMili[[#This Row],[Druid (dp)]]+Races!$F$20-6,0) )  -  Races!$I$20</f>
        <v>#VALUE!</v>
      </c>
      <c r="CP88" s="69" t="e">
        <f aca="false">TblMili[[#This Row],[Mystic bonus]]*TblMili[[#This Row],[Unit 3]]+TblMili[[#This Row],[Druid bonus]]*TblMili[[#This Row],[Unit 4]]</f>
        <v>#VALUE!</v>
      </c>
      <c r="CQ88" s="148" t="e">
        <f aca="false">MIN(6,TblMili[[#This Row],[Dryad]]+Races!$F$35)*1.8 +  IF(TblMili[[#This Row],[Dryad]]+Races!$F$35&gt;6,(TblMili[[#This Row],[Dryad]]+Races!$F$35-6)*0.2,0) - Races!$I$19</f>
        <v>#VALUE!</v>
      </c>
      <c r="CR88" s="69" t="e">
        <f aca="false">sylvan*(TblMili[[#This Row],[Mystic bonus]]*TblMili[[#This Row],[Unit 3]])</f>
        <v>#VALUE!</v>
      </c>
      <c r="CS88" s="148" t="e">
        <f aca="false">1.8 * MIN(MAX(Races!$E$27,TblMili[[#This Row],[Rockapult]]+Races!$F$27),6)  +  0.45 * MIN(MIN(Races!$E$27,TblMili[[#This Row],[Rockapult]]+Races!$F$27),6)  +  0.2 * ( MAX(Races!$E$27-6,0) + MAX(TblMili[[#This Row],[Rockapult]]+Races!$F$27-6,0) )  -  Races!$I$20</f>
        <v>#VALUE!</v>
      </c>
      <c r="CT88" s="69" t="e">
        <f aca="false">gnome*(TblMili[[#This Row],[Rockapult bonus]]*TblMili[[#This Row],[Unit 3]])</f>
        <v>#VALUE!</v>
      </c>
      <c r="CU88" s="148" t="n">
        <f aca="false">1.8 * MIN(MAX(TblMili[[#This Row],[Spellblade]]+Races!$E$47,TblMili[[#This Row],[Adept-DP]]+Races!$F$47),6)  +  0.45 * MIN(MIN(TblMili[[#This Row],[Spellblade]]+Races!$E$47,TblMili[[#This Row],[Adept-DP]]+Races!$F$47),6)  +  0.2 * ( MAX(TblMili[[#This Row],[Spellblade]]+Races!$E$47-6,0) + MAX(TblMili[[#This Row],[Adept-DP]]+Races!$F$47-6,0) )  -  Races!$I$47</f>
        <v>0</v>
      </c>
      <c r="CV88" s="69" t="n">
        <f aca="false">dark_elf*(TblMili[[#This Row],[Adept bonus]]*TblMili[[#This Row],[Unit 3]])</f>
        <v>0</v>
      </c>
      <c r="CW88" s="148" t="e">
        <f aca="false">1.8 * MIN(MAX(TblMili[[#This Row],[Frost Mage]]+Races!$F$71,Races!$E$71),6)  +  0.45 * MIN(MIN(TblMili[[#This Row],[Frost Mage]]+Races!$F$71,Races!$E$71),6)  +  0.2 * ( MAX(TblMili[[#This Row],[Frost Mage]]+Races!$F$71-6,0) + MAX(Races!$E$71-6,0) )  -  Races!$I$71</f>
        <v>#VALUE!</v>
      </c>
      <c r="CX88" s="148" t="n">
        <f aca="false">1.8 * MIN(MAX(TblMili[[#This Row],[Ice Elemental]]+Races!$E$71,Races!$F$71),6)  +  0.45 * MIN(MIN(TblMili[[#This Row],[Ice Elemental]]+Races!$E$71,Races!$F$71),6)  +  0.2 * ( MAX(TblMili[[#This Row],[Ice Elemental]]+Races!$E$71-6,0) + MAX(Races!$F$71-6,0) )  -  Races!$I$71</f>
        <v>0.064285714285715</v>
      </c>
      <c r="CY88" s="69" t="e">
        <f aca="false">TblMili[[#This Row],[Frost Mage bonus]]*TblMili[[#This Row],[Unit 3]]+TblMili[[#This Row],[Ice Elemental bonus]]*TblMili[[#This Row],[Unit 4]]</f>
        <v>#VALUE!</v>
      </c>
      <c r="CZ88" s="290"/>
      <c r="DA88" s="109" t="n">
        <f aca="false">MIN(SUM(TblConstr[[#This Row],[Plain]:[Water]])/TblMili[[#This Row],[Land]]/favorable_terrain_bonus/100,favorable_terrain_max)</f>
        <v>0</v>
      </c>
      <c r="DB88" s="290"/>
      <c r="DC8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8" s="132"/>
      <c r="DE88" s="291" t="n">
        <f aca="false">(TblMili[[#This Row],[Wizards]]+2*TblMili[[#This Row],[Archmages]])/TblConstr[[#This Row],[Land]]</f>
        <v>0.0357142857142857</v>
      </c>
      <c r="DF88" s="291" t="n">
        <f aca="false">TblMili[[#This Row],[Raw (2)]]*(1+race_wizard_strength+IF(TblMili[[#This Row],[Hour]]&gt;72,tech_magical_weaponry_wiz*TblTech[[#This Row],[3-5]],0))</f>
        <v>0.0357142857142857</v>
      </c>
    </row>
    <row r="89" customFormat="false" ht="12.75" hidden="false" customHeight="false" outlineLevel="0" collapsed="false">
      <c r="A89" s="128" t="n">
        <f aca="false">TblRezone[[#This Row],[Hour]]</f>
        <v>86</v>
      </c>
      <c r="B89" s="282" t="n">
        <f aca="false">SUM(TblMili[[#This Row],[Unit 1]:[Archmages]])+SUM(OFFSET(TblMili[[#This Row],[Train Unit 1]],-8,0):TblMili[[#This Row],[Train Unit 2]]) + SUM(OFFSET(TblMili[[#This Row],[Train Unit 3]],-11,0):TblMili[[#This Row],[Train AM]]) + TblMili[[#This Row],[Draftees]]</f>
        <v>4152</v>
      </c>
      <c r="C89" s="150" t="n">
        <f aca="false">TblPop[[#This Row],[Military%]]</f>
        <v>0.320890331555762</v>
      </c>
      <c r="D89" s="132"/>
      <c r="E89" s="151" t="n">
        <f aca="false">OFFSET(TblMili[[#This Row],[Unit 1]],-1,0) + OFFSET(TblMili[[#This Row],[Train Unit 1]],-9,0) - TblMili[[#This Row],[Release Unit 1]]</f>
        <v>0</v>
      </c>
      <c r="F89" s="151" t="n">
        <f aca="false">OFFSET(TblMili[[#This Row],[Unit 2]],-1,0) + OFFSET(TblMili[[#This Row],[Train Unit 2]],-9,0)-TblMili[[#This Row],[Release Unit 2]]</f>
        <v>1246</v>
      </c>
      <c r="G89" s="151" t="n">
        <f aca="false">OFFSET(TblMili[[#This Row],[Unit 3]],-1,0) + OFFSET(TblMili[[#This Row],[Train Unit 3]],-12,0)-TblMili[[#This Row],[Release Unit 3]]</f>
        <v>700</v>
      </c>
      <c r="H89" s="151" t="n">
        <f aca="false">OFFSET(TblMili[[#This Row],[Unit 4]],-1,0) + OFFSET(TblMili[[#This Row],[Train Unit 4]],-12,0)-TblMili[[#This Row],[Release Unit 4]]</f>
        <v>1228</v>
      </c>
      <c r="I89" s="151" t="n">
        <f aca="false">OFFSET(TblMili[[#This Row],[Spies]],-1,0) + OFFSET(TblMili[[#This Row],[Train Spies]],-12,0) - TblMili[[#This Row],[Release Spies]]-TblMili[[#This Row],[Train AS]]</f>
        <v>25</v>
      </c>
      <c r="J89" s="151" t="n">
        <f aca="false">OFFSET(TblMili[[#This Row],[Archspies]],-1,0) + OFFSET(TblMili[[#This Row],[Train AS]],-12,0) - TblMili[[#This Row],[Release AS]]</f>
        <v>0</v>
      </c>
      <c r="K89" s="151" t="n">
        <f aca="false">OFFSET(TblMili[[#This Row],[Wizards]],-1,0) + OFFSET(TblMili[[#This Row],[Train Wiz]],-12,0) - TblMili[[#This Row],[Release Wizards]]-TblMili[[#This Row],[Train AM]]</f>
        <v>25</v>
      </c>
      <c r="L89" s="151" t="n">
        <f aca="false">OFFSET(TblMili[[#This Row],[Archmages]],-1,0) + OFFSET(TblMili[[#This Row],[Train AM]],-12,0) - TblMili[[#This Row],[Release AM]]</f>
        <v>0</v>
      </c>
      <c r="M89" s="132"/>
      <c r="N89" s="69" t="e">
        <f aca="false">TblProd[[#This Row],[Networth]]</f>
        <v>#VALUE!</v>
      </c>
      <c r="O89" s="132"/>
      <c r="P8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9" s="285" t="e">
        <f aca="false">TblMili[[#This Row],[Raw]]*(1+TblMili[[#This Row],[Mods_Off]])</f>
        <v>#VALUE!</v>
      </c>
      <c r="S8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9" s="285" t="e">
        <f aca="false">TblMili[[#This Row],[Non Draft]]+TblMili[[#This Row],[Draftees]]</f>
        <v>#VALUE!</v>
      </c>
      <c r="U89" s="286" t="n">
        <f aca="false">race_defense + TblImps[[#This Row],[Walls]] + ROUND( MIN(gt_bonus*TblConstr[[#This Row],[Tot GT]]/TblConstr[[#This Row],[Land]],gt_bonus_cap), 4) + IF(TblMagic[[#This Row],[Active Howling]]&gt;0,howling_dp_bonus,IF(TblMagic[[#This Row],[Active Ares Call]]&gt;0,ares_call_bonus))</f>
        <v>0.2375</v>
      </c>
      <c r="V89" s="274" t="e">
        <f aca="false">TblMili[[#This Row],[Non Draft]] * (1 + TblMili[[#This Row],[Mods_Def]])</f>
        <v>#VALUE!</v>
      </c>
      <c r="W89" s="285" t="e">
        <f aca="false">TblMili[[#This Row],[Draft]] * (1 + TblMili[[#This Row],[Mods_Def]])</f>
        <v>#VALUE!</v>
      </c>
      <c r="X89" s="285" t="n">
        <f aca="false">TblConstr[[#This Row],[Land]]</f>
        <v>700</v>
      </c>
      <c r="Y89" s="287"/>
      <c r="Z89" s="109" t="n">
        <f aca="false">IF(TblMili[[#This Row],[Set]]&lt;&gt;"",TblMili[[#This Row],[Set]],OFFSET(TblMili[[#This Row],[Draftrate]],-1,0))</f>
        <v>0.9</v>
      </c>
      <c r="AA89" s="69" t="n">
        <f aca="false">OFFSET(TblMili[[#This Row],[Draftees]],-1,0)+OFFSET(TblPop[[#This Row],[Draft Growth]],-1,0) - SUM(TblMili[[#This Row],[Train Unit 1]:[Train Spies]],TblMili[[#This Row],[Train Wiz]]) - TblMili[[#This Row],[Release Draft]] + SUM(TblMili[[#This Row],[Release Unit 1]:[Release AM]]) - TblExplore[[#This Row],[Draftees (2)]]</f>
        <v>928</v>
      </c>
      <c r="AB89" s="146"/>
      <c r="AC89" s="130" t="n">
        <f aca="false">(TblConstr[[#This Row],[Tot Smi]]+TblConstr[[#This Row],[Dest Smi]])/(TblConstr[[#This Row],[Land]]-TblExplore[[#This Row],[Land Bonus]]*20)</f>
        <v>0.18</v>
      </c>
      <c r="AD89" s="128"/>
      <c r="AE89" s="282" t="n">
        <f aca="false">TblMili[[#This Row],[Hour]]</f>
        <v>86</v>
      </c>
      <c r="AF89" s="129" t="n">
        <f aca="false">TblExplore[[#This Row],[Time]]</f>
        <v>45433.2916666667</v>
      </c>
      <c r="AG89" s="182"/>
      <c r="AH89" s="182"/>
      <c r="AI89" s="182"/>
      <c r="AJ89" s="182"/>
      <c r="AK89" s="182"/>
      <c r="AL89" s="182"/>
      <c r="AM89" s="182"/>
      <c r="AN89" s="182"/>
      <c r="AO89" s="132"/>
      <c r="AP89" s="69" t="n">
        <f aca="false">TblProd[[#This Row],[Platinum]]</f>
        <v>558702</v>
      </c>
      <c r="AQ89" s="69" t="n">
        <f aca="false">INDEX(TblProd[[#Headers],[Lumber]]:TblProd[[#This Row],[Ore]],COUNTA(TblProd[[#Headers],[Lumber]]:TblProd[[#This Row],[Lumber]]),MATCH(Military!$AQ$2,TblProd[[#Headers],[Lumber]:[Ore]],0))</f>
        <v>0</v>
      </c>
      <c r="AR8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69" t="n">
        <f aca="false">TblMili[[#This Row],[Train Unit 1]]*TblMili[[#This Row],[OP Ore]]+TblMili[[#This Row],[Train Unit 2]]*TblMili[[#This Row],[DP Ore]]+TblMili[[#This Row],[Train Unit 3]]*TblMili[[#This Row],[E1 Ore]]+TblMili[[#This Row],[Train Unit 4]]*TblMili[[#This Row],[E2 Ore]]</f>
        <v>0</v>
      </c>
      <c r="AT89" s="132" t="n">
        <f aca="false">TblMili[[#This Row],[Hour]]</f>
        <v>86</v>
      </c>
      <c r="AU89" s="144" t="n">
        <f aca="false">TblMili[[#This Row],[Time]]</f>
        <v>45433.2916666667</v>
      </c>
      <c r="AV89" s="69" t="n">
        <f aca="false">TblMili[[#This Row],[Draftees]]</f>
        <v>928</v>
      </c>
      <c r="AW89" s="182"/>
      <c r="AX89" s="182"/>
      <c r="AY89" s="182"/>
      <c r="AZ89" s="182"/>
      <c r="BA89" s="182"/>
      <c r="BB89" s="182"/>
      <c r="BC89" s="182"/>
      <c r="BD89" s="182"/>
      <c r="BE89" s="182"/>
      <c r="BF89" s="132"/>
      <c r="BG89" s="150" t="n">
        <f aca="false">TblConstr[[#This Row],[Tot WG]]/TblConstr[[#This Row],[Land]]</f>
        <v>0</v>
      </c>
      <c r="BH89" s="150" t="n">
        <f aca="false">TblConstr[[#This Row],[Tot Hav]]/TblConstr[[#This Row],[Land]]</f>
        <v>0</v>
      </c>
      <c r="BI89" s="69" t="n">
        <f aca="false">ROUNDUP((1-MIN(TblMili[[#This Row],[Smithies]]*smithy_bonus,smithy_bonus_cap) + tech_3_5*TblTech[[#This Row],[3-5]] + tech_5_3*TblTech[[#This Row],[5-3]] + tech_5_5*TblTech[[#This Row],[5-5]])*spec_op_plat,0)</f>
        <v>192</v>
      </c>
      <c r="BJ89" s="69" t="n">
        <f aca="false">ROUNDUP(IF(race="Gnome",1,(1-MIN(TblMili[[#This Row],[Smithies]]*smithy_bonus,smithy_bonus_cap) + tech_3_5*TblTech[[#This Row],[3-5]] + tech_5_3*TblTech[[#This Row],[5-3]] + tech_5_5*TblTech[[#This Row],[5-5]]))*spec_op_ore,0)</f>
        <v>0</v>
      </c>
      <c r="BK89" s="69" t="n">
        <f aca="false">ROUNDUP((1-MIN(TblMili[[#This Row],[Smithies]]*smithy_bonus,smithy_bonus_cap) + tech_3_5*TblTech[[#This Row],[3-5]] + tech_5_3*TblTech[[#This Row],[5-3]] + tech_5_5*TblTech[[#This Row],[5-5]])*spec_dp_plat,0)</f>
        <v>192</v>
      </c>
      <c r="BL89" s="69" t="n">
        <f aca="false">ROUNDUP(IF(race="Gnome",1,(1-MIN(TblMili[[#This Row],[Smithies]]*smithy_bonus,smithy_bonus_cap) + tech_3_5*TblTech[[#This Row],[3-5]] + tech_5_3*TblTech[[#This Row],[5-3]] + tech_5_5*TblTech[[#This Row],[5-5]]))*spec_dp_ore,0)</f>
        <v>0</v>
      </c>
      <c r="BM89" s="69" t="n">
        <f aca="false">ROUNDUP((1-MIN(TblMili[[#This Row],[Smithies]]*smithy_bonus,smithy_bonus_cap) + tech_3_5*TblTech[[#This Row],[3-5]] + tech_5_3*TblTech[[#This Row],[5-3]] + tech_5_5*TblTech[[#This Row],[5-5]])*elite1_plat,0)</f>
        <v>592</v>
      </c>
      <c r="BN89" s="69" t="n">
        <f aca="false">ROUNDUP(IF(race="Gnome",1,(1-MIN(TblMili[[#This Row],[Smithies]]*smithy_bonus,smithy_bonus_cap) + tech_3_5*TblTech[[#This Row],[3-5]] + tech_5_3*TblTech[[#This Row],[5-3]] + tech_5_5*TblTech[[#This Row],[5-5]]))*elite1_ore,0)</f>
        <v>0</v>
      </c>
      <c r="BO89" s="69" t="n">
        <f aca="false">ROUNDUP((1-MIN(TblMili[[#This Row],[Smithies]]*smithy_bonus,smithy_bonus_cap) + tech_3_5*TblTech[[#This Row],[3-5]] + tech_5_3*TblTech[[#This Row],[5-3]] + tech_5_5*TblTech[[#This Row],[5-5]])*elite2_plat,0)</f>
        <v>608</v>
      </c>
      <c r="BP89" s="69" t="n">
        <f aca="false">ROUNDUP(IF(race="Gnome",1,(1-MIN(TblMili[[#This Row],[Smithies]]*smithy_bonus,smithy_bonus_cap) + tech_3_5*TblTech[[#This Row],[3-5]] + tech_5_3*TblTech[[#This Row],[5-3]] + tech_5_5*TblTech[[#This Row],[5-5]]))*elite2_ore,0)</f>
        <v>0</v>
      </c>
      <c r="BQ89" s="69" t="n">
        <f aca="false">ROUNDUP((1-MIN(ROUND(fh_spy_cost_red*TblMili[[#This Row],[FH''s]],4),fh_spy_cost_cap)+ tech_1_9*TblTech[[#This Row],[1-9]] + tech_9_1*TblTech[[#This Row],[9-1]])*spy_plat,0)</f>
        <v>500</v>
      </c>
      <c r="BR89" s="69" t="n">
        <f aca="false">ROUNDUP((1-MIN(ROUND(fh_spy_cost_red*TblMili[[#This Row],[FH''s]],4),fh_spy_cost_cap)+ tech_1_9*TblTech[[#This Row],[1-9]] + tech_9_1*TblTech[[#This Row],[9-1]])*archspy_plat,0)</f>
        <v>1000</v>
      </c>
      <c r="BS89" s="69" t="n">
        <f aca="false">ROUNDUP((1-MIN(ROUND(wg_wiz_cost_bonus*TblMili[[#This Row],[WG''s]],4),wg_wiz_cost_cap) + tech_1_9_2*TblTech[[#This Row],[1-9]] + tech_9_1_2*TblTech[[#This Row],[9-1]])*wizard_plat,0)</f>
        <v>500</v>
      </c>
      <c r="BT89" s="69" t="n">
        <f aca="false">ROUNDUP((1-MIN(ROUND(wg_wiz_cost_bonus*TblMili[[#This Row],[WG''s]],4),wg_wiz_cost_cap) + tech_1_9_2*TblTech[[#This Row],[1-9]] + tech_9_1_2*TblTech[[#This Row],[9-1]])*archmage_plat,0)</f>
        <v>1000</v>
      </c>
      <c r="BU89" s="132"/>
      <c r="BV89" s="150" t="e">
        <f aca="false">TblConstr[[#This Row],[Homeland]]/TblConstr[[#This Row],[Land]]</f>
        <v>#VALUE!</v>
      </c>
      <c r="BW89" s="150" t="n">
        <f aca="false">TblMili[[#This Row],[WG''s]]</f>
        <v>0</v>
      </c>
      <c r="BX89" s="288" t="e">
        <f aca="false">IF(mystic_cap="none",TblMili[[#This Row],[Hill]]/mystic_bonus,MIN(mystic_cap,TblMili[[#This Row],[Hill]]/mystic_bonus))</f>
        <v>#VALUE!</v>
      </c>
      <c r="BY89" s="288" t="e">
        <f aca="false">IF(druid_op_cap="none",TblMili[[#This Row],[Hill]]/druid_op_bonus,MIN(druid_op_cap,TblMili[[#This Row],[Hill]]/druid_op_bonus))</f>
        <v>#VALUE!</v>
      </c>
      <c r="BZ89" s="288" t="e">
        <f aca="false">IF(druid_dp_cap="none",TblMili[[#This Row],[Hill]]/druid_dp_bonus,MIN(druid_dp_cap,TblMili[[#This Row],[Hill]]/druid_dp_bonus))</f>
        <v>#VALUE!</v>
      </c>
      <c r="CA89" s="288" t="e">
        <f aca="false">MIN(dryad_cap,TblMili[[#This Row],[Hill]]/dryad_bonus)</f>
        <v>#VALUE!</v>
      </c>
      <c r="CB89" s="288" t="e">
        <f aca="false">MIN(rocka_cap,TblMili[[#This Row],[Hill]]/rocka_bonus)</f>
        <v>#VALUE!</v>
      </c>
      <c r="CC89" s="288" t="n">
        <f aca="false">MIN(adept_op_cap,TblMili[[#This Row],[WG]]/adept_op_bonus)</f>
        <v>0</v>
      </c>
      <c r="CD89" s="288" t="n">
        <f aca="false">MIN(adept_dp_cap,TblMili[[#This Row],[WG]]/adept_dp_bonus)</f>
        <v>0</v>
      </c>
      <c r="CE89" s="69" t="n">
        <f aca="false">MIN(TblMili[[#This Row],[Unit 3]],TblMili[[#This Row],[Unit 2]])*2</f>
        <v>1400</v>
      </c>
      <c r="CF89" s="69" t="n">
        <f aca="false">MIN(TblMili[[#This Row],[Unit 1]],TblMili[[#This Row],[Unit 4]])*2</f>
        <v>0</v>
      </c>
      <c r="CG89" s="288" t="e">
        <f aca="false">MIN(frost_mage_cap,TblMili[[#This Row],[Hill]]/frost_mage_bonus)</f>
        <v>#VALUE!</v>
      </c>
      <c r="CH89" s="151" t="n">
        <f aca="false">MIN(ice_elem_cap,TblMili[[#This Row],[Raw (2)]]*ice_elem_bonus)</f>
        <v>0.0357142857142857</v>
      </c>
      <c r="CI89" s="288" t="n">
        <f aca="false">MIN(bone_breaker_cap,250/bone_breaker_bonus)</f>
        <v>0.833333333333333</v>
      </c>
      <c r="CJ89" s="288" t="e">
        <f aca="false">MIN(nox_nightshade_cap,TblConstr[[#This Row],[Homeland]]/TblConstr[[#This Row],[Land]]/nox_nightshade_swamp_bonus)</f>
        <v>#VALUE!</v>
      </c>
      <c r="CK89" s="289"/>
      <c r="CL89" s="289"/>
      <c r="CM89" s="289"/>
      <c r="CN89" s="288" t="e">
        <f aca="false">MIN(6,TblMili[[#This Row],[Mystic]]+Races!$F$19)*1.8 +  IF(TblMili[[#This Row],[Mystic]]+Races!$F$19&gt;6,(TblMili[[#This Row],[Mystic]]+Races!$F$19-6)*0.2,0) - Races!$I$19</f>
        <v>#VALUE!</v>
      </c>
      <c r="CO89" s="288" t="e">
        <f aca="false">1.8 * MIN(MAX(TblMili[[#This Row],[Druid (op)]]+Races!$E$20,TblMili[[#This Row],[Druid (dp)]]+Races!$F$20),6)  +  0.45 * MIN(MIN(TblMili[[#This Row],[Druid (op)]]+Races!$E$20,TblMili[[#This Row],[Druid (dp)]]+Races!$F$20),6)  +  0.2 * ( MAX(TblMili[[#This Row],[Druid (op)]]+Races!$E$20-6,0) + MAX(TblMili[[#This Row],[Druid (dp)]]+Races!$F$20-6,0) )  -  Races!$I$20</f>
        <v>#VALUE!</v>
      </c>
      <c r="CP89" s="69" t="e">
        <f aca="false">TblMili[[#This Row],[Mystic bonus]]*TblMili[[#This Row],[Unit 3]]+TblMili[[#This Row],[Druid bonus]]*TblMili[[#This Row],[Unit 4]]</f>
        <v>#VALUE!</v>
      </c>
      <c r="CQ89" s="148" t="e">
        <f aca="false">MIN(6,TblMili[[#This Row],[Dryad]]+Races!$F$35)*1.8 +  IF(TblMili[[#This Row],[Dryad]]+Races!$F$35&gt;6,(TblMili[[#This Row],[Dryad]]+Races!$F$35-6)*0.2,0) - Races!$I$19</f>
        <v>#VALUE!</v>
      </c>
      <c r="CR89" s="69" t="e">
        <f aca="false">sylvan*(TblMili[[#This Row],[Mystic bonus]]*TblMili[[#This Row],[Unit 3]])</f>
        <v>#VALUE!</v>
      </c>
      <c r="CS89" s="148" t="e">
        <f aca="false">1.8 * MIN(MAX(Races!$E$27,TblMili[[#This Row],[Rockapult]]+Races!$F$27),6)  +  0.45 * MIN(MIN(Races!$E$27,TblMili[[#This Row],[Rockapult]]+Races!$F$27),6)  +  0.2 * ( MAX(Races!$E$27-6,0) + MAX(TblMili[[#This Row],[Rockapult]]+Races!$F$27-6,0) )  -  Races!$I$20</f>
        <v>#VALUE!</v>
      </c>
      <c r="CT89" s="69" t="e">
        <f aca="false">gnome*(TblMili[[#This Row],[Rockapult bonus]]*TblMili[[#This Row],[Unit 3]])</f>
        <v>#VALUE!</v>
      </c>
      <c r="CU89" s="148" t="n">
        <f aca="false">1.8 * MIN(MAX(TblMili[[#This Row],[Spellblade]]+Races!$E$47,TblMili[[#This Row],[Adept-DP]]+Races!$F$47),6)  +  0.45 * MIN(MIN(TblMili[[#This Row],[Spellblade]]+Races!$E$47,TblMili[[#This Row],[Adept-DP]]+Races!$F$47),6)  +  0.2 * ( MAX(TblMili[[#This Row],[Spellblade]]+Races!$E$47-6,0) + MAX(TblMili[[#This Row],[Adept-DP]]+Races!$F$47-6,0) )  -  Races!$I$47</f>
        <v>0</v>
      </c>
      <c r="CV89" s="69" t="n">
        <f aca="false">dark_elf*(TblMili[[#This Row],[Adept bonus]]*TblMili[[#This Row],[Unit 3]])</f>
        <v>0</v>
      </c>
      <c r="CW89" s="148" t="e">
        <f aca="false">1.8 * MIN(MAX(TblMili[[#This Row],[Frost Mage]]+Races!$F$71,Races!$E$71),6)  +  0.45 * MIN(MIN(TblMili[[#This Row],[Frost Mage]]+Races!$F$71,Races!$E$71),6)  +  0.2 * ( MAX(TblMili[[#This Row],[Frost Mage]]+Races!$F$71-6,0) + MAX(Races!$E$71-6,0) )  -  Races!$I$71</f>
        <v>#VALUE!</v>
      </c>
      <c r="CX89" s="148" t="n">
        <f aca="false">1.8 * MIN(MAX(TblMili[[#This Row],[Ice Elemental]]+Races!$E$71,Races!$F$71),6)  +  0.45 * MIN(MIN(TblMili[[#This Row],[Ice Elemental]]+Races!$E$71,Races!$F$71),6)  +  0.2 * ( MAX(TblMili[[#This Row],[Ice Elemental]]+Races!$E$71-6,0) + MAX(Races!$F$71-6,0) )  -  Races!$I$71</f>
        <v>0.064285714285715</v>
      </c>
      <c r="CY89" s="69" t="e">
        <f aca="false">TblMili[[#This Row],[Frost Mage bonus]]*TblMili[[#This Row],[Unit 3]]+TblMili[[#This Row],[Ice Elemental bonus]]*TblMili[[#This Row],[Unit 4]]</f>
        <v>#VALUE!</v>
      </c>
      <c r="CZ89" s="290"/>
      <c r="DA89" s="109" t="n">
        <f aca="false">MIN(SUM(TblConstr[[#This Row],[Plain]:[Water]])/TblMili[[#This Row],[Land]]/favorable_terrain_bonus/100,favorable_terrain_max)</f>
        <v>0</v>
      </c>
      <c r="DB89" s="290"/>
      <c r="DC8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9" s="132"/>
      <c r="DE89" s="291" t="n">
        <f aca="false">(TblMili[[#This Row],[Wizards]]+2*TblMili[[#This Row],[Archmages]])/TblConstr[[#This Row],[Land]]</f>
        <v>0.0357142857142857</v>
      </c>
      <c r="DF89" s="291" t="n">
        <f aca="false">TblMili[[#This Row],[Raw (2)]]*(1+race_wizard_strength+IF(TblMili[[#This Row],[Hour]]&gt;72,tech_magical_weaponry_wiz*TblTech[[#This Row],[3-5]],0))</f>
        <v>0.0357142857142857</v>
      </c>
    </row>
    <row r="90" customFormat="false" ht="12.75" hidden="false" customHeight="false" outlineLevel="0" collapsed="false">
      <c r="A90" s="128" t="n">
        <f aca="false">TblRezone[[#This Row],[Hour]]</f>
        <v>87</v>
      </c>
      <c r="B90" s="282" t="n">
        <f aca="false">SUM(TblMili[[#This Row],[Unit 1]:[Archmages]])+SUM(OFFSET(TblMili[[#This Row],[Train Unit 1]],-8,0):TblMili[[#This Row],[Train Unit 2]]) + SUM(OFFSET(TblMili[[#This Row],[Train Unit 3]],-11,0):TblMili[[#This Row],[Train AM]]) + TblMili[[#This Row],[Draftees]]</f>
        <v>4240</v>
      </c>
      <c r="C90" s="150" t="n">
        <f aca="false">TblPop[[#This Row],[Military%]]</f>
        <v>0.327691475384497</v>
      </c>
      <c r="D90" s="132"/>
      <c r="E90" s="151" t="n">
        <f aca="false">OFFSET(TblMili[[#This Row],[Unit 1]],-1,0) + OFFSET(TblMili[[#This Row],[Train Unit 1]],-9,0) - TblMili[[#This Row],[Release Unit 1]]</f>
        <v>0</v>
      </c>
      <c r="F90" s="151" t="n">
        <f aca="false">OFFSET(TblMili[[#This Row],[Unit 2]],-1,0) + OFFSET(TblMili[[#This Row],[Train Unit 2]],-9,0)-TblMili[[#This Row],[Release Unit 2]]</f>
        <v>1246</v>
      </c>
      <c r="G90" s="151" t="n">
        <f aca="false">OFFSET(TblMili[[#This Row],[Unit 3]],-1,0) + OFFSET(TblMili[[#This Row],[Train Unit 3]],-12,0)-TblMili[[#This Row],[Release Unit 3]]</f>
        <v>700</v>
      </c>
      <c r="H90" s="151" t="n">
        <f aca="false">OFFSET(TblMili[[#This Row],[Unit 4]],-1,0) + OFFSET(TblMili[[#This Row],[Train Unit 4]],-12,0)-TblMili[[#This Row],[Release Unit 4]]</f>
        <v>1228</v>
      </c>
      <c r="I90" s="151" t="n">
        <f aca="false">OFFSET(TblMili[[#This Row],[Spies]],-1,0) + OFFSET(TblMili[[#This Row],[Train Spies]],-12,0) - TblMili[[#This Row],[Release Spies]]-TblMili[[#This Row],[Train AS]]</f>
        <v>25</v>
      </c>
      <c r="J90" s="151" t="n">
        <f aca="false">OFFSET(TblMili[[#This Row],[Archspies]],-1,0) + OFFSET(TblMili[[#This Row],[Train AS]],-12,0) - TblMili[[#This Row],[Release AS]]</f>
        <v>0</v>
      </c>
      <c r="K90" s="151" t="n">
        <f aca="false">OFFSET(TblMili[[#This Row],[Wizards]],-1,0) + OFFSET(TblMili[[#This Row],[Train Wiz]],-12,0) - TblMili[[#This Row],[Release Wizards]]-TblMili[[#This Row],[Train AM]]</f>
        <v>25</v>
      </c>
      <c r="L90" s="151" t="n">
        <f aca="false">OFFSET(TblMili[[#This Row],[Archmages]],-1,0) + OFFSET(TblMili[[#This Row],[Train AM]],-12,0) - TblMili[[#This Row],[Release AM]]</f>
        <v>0</v>
      </c>
      <c r="M90" s="132"/>
      <c r="N90" s="69" t="e">
        <f aca="false">TblProd[[#This Row],[Networth]]</f>
        <v>#VALUE!</v>
      </c>
      <c r="O90" s="132"/>
      <c r="P9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0" s="285" t="e">
        <f aca="false">TblMili[[#This Row],[Raw]]*(1+TblMili[[#This Row],[Mods_Off]])</f>
        <v>#VALUE!</v>
      </c>
      <c r="S9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0" s="285" t="e">
        <f aca="false">TblMili[[#This Row],[Non Draft]]+TblMili[[#This Row],[Draftees]]</f>
        <v>#VALUE!</v>
      </c>
      <c r="U90" s="286" t="n">
        <f aca="false">race_defense + TblImps[[#This Row],[Walls]] + ROUND( MIN(gt_bonus*TblConstr[[#This Row],[Tot GT]]/TblConstr[[#This Row],[Land]],gt_bonus_cap), 4) + IF(TblMagic[[#This Row],[Active Howling]]&gt;0,howling_dp_bonus,IF(TblMagic[[#This Row],[Active Ares Call]]&gt;0,ares_call_bonus))</f>
        <v>0.2375</v>
      </c>
      <c r="V90" s="274" t="e">
        <f aca="false">TblMili[[#This Row],[Non Draft]] * (1 + TblMili[[#This Row],[Mods_Def]])</f>
        <v>#VALUE!</v>
      </c>
      <c r="W90" s="285" t="e">
        <f aca="false">TblMili[[#This Row],[Draft]] * (1 + TblMili[[#This Row],[Mods_Def]])</f>
        <v>#VALUE!</v>
      </c>
      <c r="X90" s="285" t="n">
        <f aca="false">TblConstr[[#This Row],[Land]]</f>
        <v>700</v>
      </c>
      <c r="Y90" s="287"/>
      <c r="Z90" s="109" t="n">
        <f aca="false">IF(TblMili[[#This Row],[Set]]&lt;&gt;"",TblMili[[#This Row],[Set]],OFFSET(TblMili[[#This Row],[Draftrate]],-1,0))</f>
        <v>0.9</v>
      </c>
      <c r="AA90" s="69" t="n">
        <f aca="false">OFFSET(TblMili[[#This Row],[Draftees]],-1,0)+OFFSET(TblPop[[#This Row],[Draft Growth]],-1,0) - SUM(TblMili[[#This Row],[Train Unit 1]:[Train Spies]],TblMili[[#This Row],[Train Wiz]]) - TblMili[[#This Row],[Release Draft]] + SUM(TblMili[[#This Row],[Release Unit 1]:[Release AM]]) - TblExplore[[#This Row],[Draftees (2)]]</f>
        <v>1016</v>
      </c>
      <c r="AB90" s="146"/>
      <c r="AC90" s="130" t="n">
        <f aca="false">(TblConstr[[#This Row],[Tot Smi]]+TblConstr[[#This Row],[Dest Smi]])/(TblConstr[[#This Row],[Land]]-TblExplore[[#This Row],[Land Bonus]]*20)</f>
        <v>0.18</v>
      </c>
      <c r="AD90" s="128"/>
      <c r="AE90" s="282" t="n">
        <f aca="false">TblMili[[#This Row],[Hour]]</f>
        <v>87</v>
      </c>
      <c r="AF90" s="129" t="n">
        <f aca="false">TblExplore[[#This Row],[Time]]</f>
        <v>45433.3333333333</v>
      </c>
      <c r="AG90" s="182"/>
      <c r="AH90" s="182"/>
      <c r="AI90" s="182"/>
      <c r="AJ90" s="182"/>
      <c r="AK90" s="182"/>
      <c r="AL90" s="182"/>
      <c r="AM90" s="182"/>
      <c r="AN90" s="182"/>
      <c r="AO90" s="132"/>
      <c r="AP90" s="69" t="n">
        <f aca="false">TblProd[[#This Row],[Platinum]]</f>
        <v>602344</v>
      </c>
      <c r="AQ90" s="69" t="n">
        <f aca="false">INDEX(TblProd[[#Headers],[Lumber]]:TblProd[[#This Row],[Ore]],COUNTA(TblProd[[#Headers],[Lumber]]:TblProd[[#This Row],[Lumber]]),MATCH(Military!$AQ$2,TblProd[[#Headers],[Lumber]:[Ore]],0))</f>
        <v>0</v>
      </c>
      <c r="AR9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69" t="n">
        <f aca="false">TblMili[[#This Row],[Train Unit 1]]*TblMili[[#This Row],[OP Ore]]+TblMili[[#This Row],[Train Unit 2]]*TblMili[[#This Row],[DP Ore]]+TblMili[[#This Row],[Train Unit 3]]*TblMili[[#This Row],[E1 Ore]]+TblMili[[#This Row],[Train Unit 4]]*TblMili[[#This Row],[E2 Ore]]</f>
        <v>0</v>
      </c>
      <c r="AT90" s="132" t="n">
        <f aca="false">TblMili[[#This Row],[Hour]]</f>
        <v>87</v>
      </c>
      <c r="AU90" s="144" t="n">
        <f aca="false">TblMili[[#This Row],[Time]]</f>
        <v>45433.3333333333</v>
      </c>
      <c r="AV90" s="69" t="n">
        <f aca="false">TblMili[[#This Row],[Draftees]]</f>
        <v>1016</v>
      </c>
      <c r="AW90" s="182"/>
      <c r="AX90" s="182"/>
      <c r="AY90" s="182"/>
      <c r="AZ90" s="182"/>
      <c r="BA90" s="182"/>
      <c r="BB90" s="182"/>
      <c r="BC90" s="182"/>
      <c r="BD90" s="182"/>
      <c r="BE90" s="182"/>
      <c r="BF90" s="132"/>
      <c r="BG90" s="150" t="n">
        <f aca="false">TblConstr[[#This Row],[Tot WG]]/TblConstr[[#This Row],[Land]]</f>
        <v>0</v>
      </c>
      <c r="BH90" s="150" t="n">
        <f aca="false">TblConstr[[#This Row],[Tot Hav]]/TblConstr[[#This Row],[Land]]</f>
        <v>0</v>
      </c>
      <c r="BI90" s="69" t="n">
        <f aca="false">ROUNDUP((1-MIN(TblMili[[#This Row],[Smithies]]*smithy_bonus,smithy_bonus_cap) + tech_3_5*TblTech[[#This Row],[3-5]] + tech_5_3*TblTech[[#This Row],[5-3]] + tech_5_5*TblTech[[#This Row],[5-5]])*spec_op_plat,0)</f>
        <v>192</v>
      </c>
      <c r="BJ90" s="69" t="n">
        <f aca="false">ROUNDUP(IF(race="Gnome",1,(1-MIN(TblMili[[#This Row],[Smithies]]*smithy_bonus,smithy_bonus_cap) + tech_3_5*TblTech[[#This Row],[3-5]] + tech_5_3*TblTech[[#This Row],[5-3]] + tech_5_5*TblTech[[#This Row],[5-5]]))*spec_op_ore,0)</f>
        <v>0</v>
      </c>
      <c r="BK90" s="69" t="n">
        <f aca="false">ROUNDUP((1-MIN(TblMili[[#This Row],[Smithies]]*smithy_bonus,smithy_bonus_cap) + tech_3_5*TblTech[[#This Row],[3-5]] + tech_5_3*TblTech[[#This Row],[5-3]] + tech_5_5*TblTech[[#This Row],[5-5]])*spec_dp_plat,0)</f>
        <v>192</v>
      </c>
      <c r="BL90" s="69" t="n">
        <f aca="false">ROUNDUP(IF(race="Gnome",1,(1-MIN(TblMili[[#This Row],[Smithies]]*smithy_bonus,smithy_bonus_cap) + tech_3_5*TblTech[[#This Row],[3-5]] + tech_5_3*TblTech[[#This Row],[5-3]] + tech_5_5*TblTech[[#This Row],[5-5]]))*spec_dp_ore,0)</f>
        <v>0</v>
      </c>
      <c r="BM90" s="69" t="n">
        <f aca="false">ROUNDUP((1-MIN(TblMili[[#This Row],[Smithies]]*smithy_bonus,smithy_bonus_cap) + tech_3_5*TblTech[[#This Row],[3-5]] + tech_5_3*TblTech[[#This Row],[5-3]] + tech_5_5*TblTech[[#This Row],[5-5]])*elite1_plat,0)</f>
        <v>592</v>
      </c>
      <c r="BN90" s="69" t="n">
        <f aca="false">ROUNDUP(IF(race="Gnome",1,(1-MIN(TblMili[[#This Row],[Smithies]]*smithy_bonus,smithy_bonus_cap) + tech_3_5*TblTech[[#This Row],[3-5]] + tech_5_3*TblTech[[#This Row],[5-3]] + tech_5_5*TblTech[[#This Row],[5-5]]))*elite1_ore,0)</f>
        <v>0</v>
      </c>
      <c r="BO90" s="69" t="n">
        <f aca="false">ROUNDUP((1-MIN(TblMili[[#This Row],[Smithies]]*smithy_bonus,smithy_bonus_cap) + tech_3_5*TblTech[[#This Row],[3-5]] + tech_5_3*TblTech[[#This Row],[5-3]] + tech_5_5*TblTech[[#This Row],[5-5]])*elite2_plat,0)</f>
        <v>608</v>
      </c>
      <c r="BP90" s="69" t="n">
        <f aca="false">ROUNDUP(IF(race="Gnome",1,(1-MIN(TblMili[[#This Row],[Smithies]]*smithy_bonus,smithy_bonus_cap) + tech_3_5*TblTech[[#This Row],[3-5]] + tech_5_3*TblTech[[#This Row],[5-3]] + tech_5_5*TblTech[[#This Row],[5-5]]))*elite2_ore,0)</f>
        <v>0</v>
      </c>
      <c r="BQ90" s="69" t="n">
        <f aca="false">ROUNDUP((1-MIN(ROUND(fh_spy_cost_red*TblMili[[#This Row],[FH''s]],4),fh_spy_cost_cap)+ tech_1_9*TblTech[[#This Row],[1-9]] + tech_9_1*TblTech[[#This Row],[9-1]])*spy_plat,0)</f>
        <v>500</v>
      </c>
      <c r="BR90" s="69" t="n">
        <f aca="false">ROUNDUP((1-MIN(ROUND(fh_spy_cost_red*TblMili[[#This Row],[FH''s]],4),fh_spy_cost_cap)+ tech_1_9*TblTech[[#This Row],[1-9]] + tech_9_1*TblTech[[#This Row],[9-1]])*archspy_plat,0)</f>
        <v>1000</v>
      </c>
      <c r="BS90" s="69" t="n">
        <f aca="false">ROUNDUP((1-MIN(ROUND(wg_wiz_cost_bonus*TblMili[[#This Row],[WG''s]],4),wg_wiz_cost_cap) + tech_1_9_2*TblTech[[#This Row],[1-9]] + tech_9_1_2*TblTech[[#This Row],[9-1]])*wizard_plat,0)</f>
        <v>500</v>
      </c>
      <c r="BT90" s="69" t="n">
        <f aca="false">ROUNDUP((1-MIN(ROUND(wg_wiz_cost_bonus*TblMili[[#This Row],[WG''s]],4),wg_wiz_cost_cap) + tech_1_9_2*TblTech[[#This Row],[1-9]] + tech_9_1_2*TblTech[[#This Row],[9-1]])*archmage_plat,0)</f>
        <v>1000</v>
      </c>
      <c r="BU90" s="132"/>
      <c r="BV90" s="150" t="e">
        <f aca="false">TblConstr[[#This Row],[Homeland]]/TblConstr[[#This Row],[Land]]</f>
        <v>#VALUE!</v>
      </c>
      <c r="BW90" s="150" t="n">
        <f aca="false">TblMili[[#This Row],[WG''s]]</f>
        <v>0</v>
      </c>
      <c r="BX90" s="288" t="e">
        <f aca="false">IF(mystic_cap="none",TblMili[[#This Row],[Hill]]/mystic_bonus,MIN(mystic_cap,TblMili[[#This Row],[Hill]]/mystic_bonus))</f>
        <v>#VALUE!</v>
      </c>
      <c r="BY90" s="288" t="e">
        <f aca="false">IF(druid_op_cap="none",TblMili[[#This Row],[Hill]]/druid_op_bonus,MIN(druid_op_cap,TblMili[[#This Row],[Hill]]/druid_op_bonus))</f>
        <v>#VALUE!</v>
      </c>
      <c r="BZ90" s="288" t="e">
        <f aca="false">IF(druid_dp_cap="none",TblMili[[#This Row],[Hill]]/druid_dp_bonus,MIN(druid_dp_cap,TblMili[[#This Row],[Hill]]/druid_dp_bonus))</f>
        <v>#VALUE!</v>
      </c>
      <c r="CA90" s="288" t="e">
        <f aca="false">MIN(dryad_cap,TblMili[[#This Row],[Hill]]/dryad_bonus)</f>
        <v>#VALUE!</v>
      </c>
      <c r="CB90" s="288" t="e">
        <f aca="false">MIN(rocka_cap,TblMili[[#This Row],[Hill]]/rocka_bonus)</f>
        <v>#VALUE!</v>
      </c>
      <c r="CC90" s="288" t="n">
        <f aca="false">MIN(adept_op_cap,TblMili[[#This Row],[WG]]/adept_op_bonus)</f>
        <v>0</v>
      </c>
      <c r="CD90" s="288" t="n">
        <f aca="false">MIN(adept_dp_cap,TblMili[[#This Row],[WG]]/adept_dp_bonus)</f>
        <v>0</v>
      </c>
      <c r="CE90" s="69" t="n">
        <f aca="false">MIN(TblMili[[#This Row],[Unit 3]],TblMili[[#This Row],[Unit 2]])*2</f>
        <v>1400</v>
      </c>
      <c r="CF90" s="69" t="n">
        <f aca="false">MIN(TblMili[[#This Row],[Unit 1]],TblMili[[#This Row],[Unit 4]])*2</f>
        <v>0</v>
      </c>
      <c r="CG90" s="288" t="e">
        <f aca="false">MIN(frost_mage_cap,TblMili[[#This Row],[Hill]]/frost_mage_bonus)</f>
        <v>#VALUE!</v>
      </c>
      <c r="CH90" s="151" t="n">
        <f aca="false">MIN(ice_elem_cap,TblMili[[#This Row],[Raw (2)]]*ice_elem_bonus)</f>
        <v>0.0357142857142857</v>
      </c>
      <c r="CI90" s="288" t="n">
        <f aca="false">MIN(bone_breaker_cap,250/bone_breaker_bonus)</f>
        <v>0.833333333333333</v>
      </c>
      <c r="CJ90" s="288" t="e">
        <f aca="false">MIN(nox_nightshade_cap,TblConstr[[#This Row],[Homeland]]/TblConstr[[#This Row],[Land]]/nox_nightshade_swamp_bonus)</f>
        <v>#VALUE!</v>
      </c>
      <c r="CK90" s="289"/>
      <c r="CL90" s="289"/>
      <c r="CM90" s="289"/>
      <c r="CN90" s="288" t="e">
        <f aca="false">MIN(6,TblMili[[#This Row],[Mystic]]+Races!$F$19)*1.8 +  IF(TblMili[[#This Row],[Mystic]]+Races!$F$19&gt;6,(TblMili[[#This Row],[Mystic]]+Races!$F$19-6)*0.2,0) - Races!$I$19</f>
        <v>#VALUE!</v>
      </c>
      <c r="CO90" s="288" t="e">
        <f aca="false">1.8 * MIN(MAX(TblMili[[#This Row],[Druid (op)]]+Races!$E$20,TblMili[[#This Row],[Druid (dp)]]+Races!$F$20),6)  +  0.45 * MIN(MIN(TblMili[[#This Row],[Druid (op)]]+Races!$E$20,TblMili[[#This Row],[Druid (dp)]]+Races!$F$20),6)  +  0.2 * ( MAX(TblMili[[#This Row],[Druid (op)]]+Races!$E$20-6,0) + MAX(TblMili[[#This Row],[Druid (dp)]]+Races!$F$20-6,0) )  -  Races!$I$20</f>
        <v>#VALUE!</v>
      </c>
      <c r="CP90" s="69" t="e">
        <f aca="false">TblMili[[#This Row],[Mystic bonus]]*TblMili[[#This Row],[Unit 3]]+TblMili[[#This Row],[Druid bonus]]*TblMili[[#This Row],[Unit 4]]</f>
        <v>#VALUE!</v>
      </c>
      <c r="CQ90" s="148" t="e">
        <f aca="false">MIN(6,TblMili[[#This Row],[Dryad]]+Races!$F$35)*1.8 +  IF(TblMili[[#This Row],[Dryad]]+Races!$F$35&gt;6,(TblMili[[#This Row],[Dryad]]+Races!$F$35-6)*0.2,0) - Races!$I$19</f>
        <v>#VALUE!</v>
      </c>
      <c r="CR90" s="69" t="e">
        <f aca="false">sylvan*(TblMili[[#This Row],[Mystic bonus]]*TblMili[[#This Row],[Unit 3]])</f>
        <v>#VALUE!</v>
      </c>
      <c r="CS90" s="148" t="e">
        <f aca="false">1.8 * MIN(MAX(Races!$E$27,TblMili[[#This Row],[Rockapult]]+Races!$F$27),6)  +  0.45 * MIN(MIN(Races!$E$27,TblMili[[#This Row],[Rockapult]]+Races!$F$27),6)  +  0.2 * ( MAX(Races!$E$27-6,0) + MAX(TblMili[[#This Row],[Rockapult]]+Races!$F$27-6,0) )  -  Races!$I$20</f>
        <v>#VALUE!</v>
      </c>
      <c r="CT90" s="69" t="e">
        <f aca="false">gnome*(TblMili[[#This Row],[Rockapult bonus]]*TblMili[[#This Row],[Unit 3]])</f>
        <v>#VALUE!</v>
      </c>
      <c r="CU90" s="148" t="n">
        <f aca="false">1.8 * MIN(MAX(TblMili[[#This Row],[Spellblade]]+Races!$E$47,TblMili[[#This Row],[Adept-DP]]+Races!$F$47),6)  +  0.45 * MIN(MIN(TblMili[[#This Row],[Spellblade]]+Races!$E$47,TblMili[[#This Row],[Adept-DP]]+Races!$F$47),6)  +  0.2 * ( MAX(TblMili[[#This Row],[Spellblade]]+Races!$E$47-6,0) + MAX(TblMili[[#This Row],[Adept-DP]]+Races!$F$47-6,0) )  -  Races!$I$47</f>
        <v>0</v>
      </c>
      <c r="CV90" s="69" t="n">
        <f aca="false">dark_elf*(TblMili[[#This Row],[Adept bonus]]*TblMili[[#This Row],[Unit 3]])</f>
        <v>0</v>
      </c>
      <c r="CW90" s="148" t="e">
        <f aca="false">1.8 * MIN(MAX(TblMili[[#This Row],[Frost Mage]]+Races!$F$71,Races!$E$71),6)  +  0.45 * MIN(MIN(TblMili[[#This Row],[Frost Mage]]+Races!$F$71,Races!$E$71),6)  +  0.2 * ( MAX(TblMili[[#This Row],[Frost Mage]]+Races!$F$71-6,0) + MAX(Races!$E$71-6,0) )  -  Races!$I$71</f>
        <v>#VALUE!</v>
      </c>
      <c r="CX90" s="148" t="n">
        <f aca="false">1.8 * MIN(MAX(TblMili[[#This Row],[Ice Elemental]]+Races!$E$71,Races!$F$71),6)  +  0.45 * MIN(MIN(TblMili[[#This Row],[Ice Elemental]]+Races!$E$71,Races!$F$71),6)  +  0.2 * ( MAX(TblMili[[#This Row],[Ice Elemental]]+Races!$E$71-6,0) + MAX(Races!$F$71-6,0) )  -  Races!$I$71</f>
        <v>0.064285714285715</v>
      </c>
      <c r="CY90" s="69" t="e">
        <f aca="false">TblMili[[#This Row],[Frost Mage bonus]]*TblMili[[#This Row],[Unit 3]]+TblMili[[#This Row],[Ice Elemental bonus]]*TblMili[[#This Row],[Unit 4]]</f>
        <v>#VALUE!</v>
      </c>
      <c r="CZ90" s="290"/>
      <c r="DA90" s="109" t="n">
        <f aca="false">MIN(SUM(TblConstr[[#This Row],[Plain]:[Water]])/TblMili[[#This Row],[Land]]/favorable_terrain_bonus/100,favorable_terrain_max)</f>
        <v>0</v>
      </c>
      <c r="DB90" s="290"/>
      <c r="DC9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0" s="132"/>
      <c r="DE90" s="291" t="n">
        <f aca="false">(TblMili[[#This Row],[Wizards]]+2*TblMili[[#This Row],[Archmages]])/TblConstr[[#This Row],[Land]]</f>
        <v>0.0357142857142857</v>
      </c>
      <c r="DF90" s="291" t="n">
        <f aca="false">TblMili[[#This Row],[Raw (2)]]*(1+race_wizard_strength+IF(TblMili[[#This Row],[Hour]]&gt;72,tech_magical_weaponry_wiz*TblTech[[#This Row],[3-5]],0))</f>
        <v>0.0357142857142857</v>
      </c>
    </row>
    <row r="91" customFormat="false" ht="12.75" hidden="false" customHeight="false" outlineLevel="0" collapsed="false">
      <c r="A91" s="128" t="n">
        <f aca="false">TblRezone[[#This Row],[Hour]]</f>
        <v>88</v>
      </c>
      <c r="B91" s="282" t="n">
        <f aca="false">SUM(TblMili[[#This Row],[Unit 1]:[Archmages]])+SUM(OFFSET(TblMili[[#This Row],[Train Unit 1]],-8,0):TblMili[[#This Row],[Train Unit 2]]) + SUM(OFFSET(TblMili[[#This Row],[Train Unit 3]],-11,0):TblMili[[#This Row],[Train AM]]) + TblMili[[#This Row],[Draftees]]</f>
        <v>4327</v>
      </c>
      <c r="C91" s="150" t="n">
        <f aca="false">TblPop[[#This Row],[Military%]]</f>
        <v>0.334415333487905</v>
      </c>
      <c r="D91" s="132"/>
      <c r="E91" s="151" t="n">
        <f aca="false">OFFSET(TblMili[[#This Row],[Unit 1]],-1,0) + OFFSET(TblMili[[#This Row],[Train Unit 1]],-9,0) - TblMili[[#This Row],[Release Unit 1]]</f>
        <v>0</v>
      </c>
      <c r="F91" s="151" t="n">
        <f aca="false">OFFSET(TblMili[[#This Row],[Unit 2]],-1,0) + OFFSET(TblMili[[#This Row],[Train Unit 2]],-9,0)-TblMili[[#This Row],[Release Unit 2]]</f>
        <v>1246</v>
      </c>
      <c r="G91" s="151" t="n">
        <f aca="false">OFFSET(TblMili[[#This Row],[Unit 3]],-1,0) + OFFSET(TblMili[[#This Row],[Train Unit 3]],-12,0)-TblMili[[#This Row],[Release Unit 3]]</f>
        <v>700</v>
      </c>
      <c r="H91" s="151" t="n">
        <f aca="false">OFFSET(TblMili[[#This Row],[Unit 4]],-1,0) + OFFSET(TblMili[[#This Row],[Train Unit 4]],-12,0)-TblMili[[#This Row],[Release Unit 4]]</f>
        <v>1228</v>
      </c>
      <c r="I91" s="151" t="n">
        <f aca="false">OFFSET(TblMili[[#This Row],[Spies]],-1,0) + OFFSET(TblMili[[#This Row],[Train Spies]],-12,0) - TblMili[[#This Row],[Release Spies]]-TblMili[[#This Row],[Train AS]]</f>
        <v>25</v>
      </c>
      <c r="J91" s="151" t="n">
        <f aca="false">OFFSET(TblMili[[#This Row],[Archspies]],-1,0) + OFFSET(TblMili[[#This Row],[Train AS]],-12,0) - TblMili[[#This Row],[Release AS]]</f>
        <v>0</v>
      </c>
      <c r="K91" s="151" t="n">
        <f aca="false">OFFSET(TblMili[[#This Row],[Wizards]],-1,0) + OFFSET(TblMili[[#This Row],[Train Wiz]],-12,0) - TblMili[[#This Row],[Release Wizards]]-TblMili[[#This Row],[Train AM]]</f>
        <v>25</v>
      </c>
      <c r="L91" s="151" t="n">
        <f aca="false">OFFSET(TblMili[[#This Row],[Archmages]],-1,0) + OFFSET(TblMili[[#This Row],[Train AM]],-12,0) - TblMili[[#This Row],[Release AM]]</f>
        <v>0</v>
      </c>
      <c r="M91" s="132"/>
      <c r="N91" s="69" t="e">
        <f aca="false">TblProd[[#This Row],[Networth]]</f>
        <v>#VALUE!</v>
      </c>
      <c r="O91" s="132"/>
      <c r="P9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1" s="285" t="e">
        <f aca="false">TblMili[[#This Row],[Raw]]*(1+TblMili[[#This Row],[Mods_Off]])</f>
        <v>#VALUE!</v>
      </c>
      <c r="S9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1" s="285" t="e">
        <f aca="false">TblMili[[#This Row],[Non Draft]]+TblMili[[#This Row],[Draftees]]</f>
        <v>#VALUE!</v>
      </c>
      <c r="U91" s="286" t="n">
        <f aca="false">race_defense + TblImps[[#This Row],[Walls]] + ROUND( MIN(gt_bonus*TblConstr[[#This Row],[Tot GT]]/TblConstr[[#This Row],[Land]],gt_bonus_cap), 4) + IF(TblMagic[[#This Row],[Active Howling]]&gt;0,howling_dp_bonus,IF(TblMagic[[#This Row],[Active Ares Call]]&gt;0,ares_call_bonus))</f>
        <v>0.2375</v>
      </c>
      <c r="V91" s="274" t="e">
        <f aca="false">TblMili[[#This Row],[Non Draft]] * (1 + TblMili[[#This Row],[Mods_Def]])</f>
        <v>#VALUE!</v>
      </c>
      <c r="W91" s="285" t="e">
        <f aca="false">TblMili[[#This Row],[Draft]] * (1 + TblMili[[#This Row],[Mods_Def]])</f>
        <v>#VALUE!</v>
      </c>
      <c r="X91" s="285" t="n">
        <f aca="false">TblConstr[[#This Row],[Land]]</f>
        <v>700</v>
      </c>
      <c r="Y91" s="287"/>
      <c r="Z91" s="109" t="n">
        <f aca="false">IF(TblMili[[#This Row],[Set]]&lt;&gt;"",TblMili[[#This Row],[Set]],OFFSET(TblMili[[#This Row],[Draftrate]],-1,0))</f>
        <v>0.9</v>
      </c>
      <c r="AA91" s="69" t="n">
        <f aca="false">OFFSET(TblMili[[#This Row],[Draftees]],-1,0)+OFFSET(TblPop[[#This Row],[Draft Growth]],-1,0) - SUM(TblMili[[#This Row],[Train Unit 1]:[Train Spies]],TblMili[[#This Row],[Train Wiz]]) - TblMili[[#This Row],[Release Draft]] + SUM(TblMili[[#This Row],[Release Unit 1]:[Release AM]]) - TblExplore[[#This Row],[Draftees (2)]]</f>
        <v>1103</v>
      </c>
      <c r="AB91" s="146"/>
      <c r="AC91" s="130" t="n">
        <f aca="false">(TblConstr[[#This Row],[Tot Smi]]+TblConstr[[#This Row],[Dest Smi]])/(TblConstr[[#This Row],[Land]]-TblExplore[[#This Row],[Land Bonus]]*20)</f>
        <v>0.18</v>
      </c>
      <c r="AD91" s="128"/>
      <c r="AE91" s="282" t="n">
        <f aca="false">TblMili[[#This Row],[Hour]]</f>
        <v>88</v>
      </c>
      <c r="AF91" s="129" t="n">
        <f aca="false">TblExplore[[#This Row],[Time]]</f>
        <v>45433.375</v>
      </c>
      <c r="AG91" s="182"/>
      <c r="AH91" s="182"/>
      <c r="AI91" s="182"/>
      <c r="AJ91" s="182"/>
      <c r="AK91" s="182"/>
      <c r="AL91" s="182"/>
      <c r="AM91" s="182"/>
      <c r="AN91" s="182"/>
      <c r="AO91" s="132"/>
      <c r="AP91" s="69" t="n">
        <f aca="false">TblProd[[#This Row],[Platinum]]</f>
        <v>645725</v>
      </c>
      <c r="AQ91" s="69" t="n">
        <f aca="false">INDEX(TblProd[[#Headers],[Lumber]]:TblProd[[#This Row],[Ore]],COUNTA(TblProd[[#Headers],[Lumber]]:TblProd[[#This Row],[Lumber]]),MATCH(Military!$AQ$2,TblProd[[#Headers],[Lumber]:[Ore]],0))</f>
        <v>0</v>
      </c>
      <c r="AR9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69" t="n">
        <f aca="false">TblMili[[#This Row],[Train Unit 1]]*TblMili[[#This Row],[OP Ore]]+TblMili[[#This Row],[Train Unit 2]]*TblMili[[#This Row],[DP Ore]]+TblMili[[#This Row],[Train Unit 3]]*TblMili[[#This Row],[E1 Ore]]+TblMili[[#This Row],[Train Unit 4]]*TblMili[[#This Row],[E2 Ore]]</f>
        <v>0</v>
      </c>
      <c r="AT91" s="132" t="n">
        <f aca="false">TblMili[[#This Row],[Hour]]</f>
        <v>88</v>
      </c>
      <c r="AU91" s="144" t="n">
        <f aca="false">TblMili[[#This Row],[Time]]</f>
        <v>45433.375</v>
      </c>
      <c r="AV91" s="69" t="n">
        <f aca="false">TblMili[[#This Row],[Draftees]]</f>
        <v>1103</v>
      </c>
      <c r="AW91" s="182"/>
      <c r="AX91" s="182"/>
      <c r="AY91" s="182"/>
      <c r="AZ91" s="182"/>
      <c r="BA91" s="182"/>
      <c r="BB91" s="182"/>
      <c r="BC91" s="182"/>
      <c r="BD91" s="182"/>
      <c r="BE91" s="182"/>
      <c r="BF91" s="132"/>
      <c r="BG91" s="150" t="n">
        <f aca="false">TblConstr[[#This Row],[Tot WG]]/TblConstr[[#This Row],[Land]]</f>
        <v>0</v>
      </c>
      <c r="BH91" s="150" t="n">
        <f aca="false">TblConstr[[#This Row],[Tot Hav]]/TblConstr[[#This Row],[Land]]</f>
        <v>0</v>
      </c>
      <c r="BI91" s="69" t="n">
        <f aca="false">ROUNDUP((1-MIN(TblMili[[#This Row],[Smithies]]*smithy_bonus,smithy_bonus_cap) + tech_3_5*TblTech[[#This Row],[3-5]] + tech_5_3*TblTech[[#This Row],[5-3]] + tech_5_5*TblTech[[#This Row],[5-5]])*spec_op_plat,0)</f>
        <v>192</v>
      </c>
      <c r="BJ91" s="69" t="n">
        <f aca="false">ROUNDUP(IF(race="Gnome",1,(1-MIN(TblMili[[#This Row],[Smithies]]*smithy_bonus,smithy_bonus_cap) + tech_3_5*TblTech[[#This Row],[3-5]] + tech_5_3*TblTech[[#This Row],[5-3]] + tech_5_5*TblTech[[#This Row],[5-5]]))*spec_op_ore,0)</f>
        <v>0</v>
      </c>
      <c r="BK91" s="69" t="n">
        <f aca="false">ROUNDUP((1-MIN(TblMili[[#This Row],[Smithies]]*smithy_bonus,smithy_bonus_cap) + tech_3_5*TblTech[[#This Row],[3-5]] + tech_5_3*TblTech[[#This Row],[5-3]] + tech_5_5*TblTech[[#This Row],[5-5]])*spec_dp_plat,0)</f>
        <v>192</v>
      </c>
      <c r="BL91" s="69" t="n">
        <f aca="false">ROUNDUP(IF(race="Gnome",1,(1-MIN(TblMili[[#This Row],[Smithies]]*smithy_bonus,smithy_bonus_cap) + tech_3_5*TblTech[[#This Row],[3-5]] + tech_5_3*TblTech[[#This Row],[5-3]] + tech_5_5*TblTech[[#This Row],[5-5]]))*spec_dp_ore,0)</f>
        <v>0</v>
      </c>
      <c r="BM91" s="69" t="n">
        <f aca="false">ROUNDUP((1-MIN(TblMili[[#This Row],[Smithies]]*smithy_bonus,smithy_bonus_cap) + tech_3_5*TblTech[[#This Row],[3-5]] + tech_5_3*TblTech[[#This Row],[5-3]] + tech_5_5*TblTech[[#This Row],[5-5]])*elite1_plat,0)</f>
        <v>592</v>
      </c>
      <c r="BN91" s="69" t="n">
        <f aca="false">ROUNDUP(IF(race="Gnome",1,(1-MIN(TblMili[[#This Row],[Smithies]]*smithy_bonus,smithy_bonus_cap) + tech_3_5*TblTech[[#This Row],[3-5]] + tech_5_3*TblTech[[#This Row],[5-3]] + tech_5_5*TblTech[[#This Row],[5-5]]))*elite1_ore,0)</f>
        <v>0</v>
      </c>
      <c r="BO91" s="69" t="n">
        <f aca="false">ROUNDUP((1-MIN(TblMili[[#This Row],[Smithies]]*smithy_bonus,smithy_bonus_cap) + tech_3_5*TblTech[[#This Row],[3-5]] + tech_5_3*TblTech[[#This Row],[5-3]] + tech_5_5*TblTech[[#This Row],[5-5]])*elite2_plat,0)</f>
        <v>608</v>
      </c>
      <c r="BP91" s="69" t="n">
        <f aca="false">ROUNDUP(IF(race="Gnome",1,(1-MIN(TblMili[[#This Row],[Smithies]]*smithy_bonus,smithy_bonus_cap) + tech_3_5*TblTech[[#This Row],[3-5]] + tech_5_3*TblTech[[#This Row],[5-3]] + tech_5_5*TblTech[[#This Row],[5-5]]))*elite2_ore,0)</f>
        <v>0</v>
      </c>
      <c r="BQ91" s="69" t="n">
        <f aca="false">ROUNDUP((1-MIN(ROUND(fh_spy_cost_red*TblMili[[#This Row],[FH''s]],4),fh_spy_cost_cap)+ tech_1_9*TblTech[[#This Row],[1-9]] + tech_9_1*TblTech[[#This Row],[9-1]])*spy_plat,0)</f>
        <v>500</v>
      </c>
      <c r="BR91" s="69" t="n">
        <f aca="false">ROUNDUP((1-MIN(ROUND(fh_spy_cost_red*TblMili[[#This Row],[FH''s]],4),fh_spy_cost_cap)+ tech_1_9*TblTech[[#This Row],[1-9]] + tech_9_1*TblTech[[#This Row],[9-1]])*archspy_plat,0)</f>
        <v>1000</v>
      </c>
      <c r="BS91" s="69" t="n">
        <f aca="false">ROUNDUP((1-MIN(ROUND(wg_wiz_cost_bonus*TblMili[[#This Row],[WG''s]],4),wg_wiz_cost_cap) + tech_1_9_2*TblTech[[#This Row],[1-9]] + tech_9_1_2*TblTech[[#This Row],[9-1]])*wizard_plat,0)</f>
        <v>500</v>
      </c>
      <c r="BT91" s="69" t="n">
        <f aca="false">ROUNDUP((1-MIN(ROUND(wg_wiz_cost_bonus*TblMili[[#This Row],[WG''s]],4),wg_wiz_cost_cap) + tech_1_9_2*TblTech[[#This Row],[1-9]] + tech_9_1_2*TblTech[[#This Row],[9-1]])*archmage_plat,0)</f>
        <v>1000</v>
      </c>
      <c r="BU91" s="132"/>
      <c r="BV91" s="150" t="e">
        <f aca="false">TblConstr[[#This Row],[Homeland]]/TblConstr[[#This Row],[Land]]</f>
        <v>#VALUE!</v>
      </c>
      <c r="BW91" s="150" t="n">
        <f aca="false">TblMili[[#This Row],[WG''s]]</f>
        <v>0</v>
      </c>
      <c r="BX91" s="288" t="e">
        <f aca="false">IF(mystic_cap="none",TblMili[[#This Row],[Hill]]/mystic_bonus,MIN(mystic_cap,TblMili[[#This Row],[Hill]]/mystic_bonus))</f>
        <v>#VALUE!</v>
      </c>
      <c r="BY91" s="288" t="e">
        <f aca="false">IF(druid_op_cap="none",TblMili[[#This Row],[Hill]]/druid_op_bonus,MIN(druid_op_cap,TblMili[[#This Row],[Hill]]/druid_op_bonus))</f>
        <v>#VALUE!</v>
      </c>
      <c r="BZ91" s="288" t="e">
        <f aca="false">IF(druid_dp_cap="none",TblMili[[#This Row],[Hill]]/druid_dp_bonus,MIN(druid_dp_cap,TblMili[[#This Row],[Hill]]/druid_dp_bonus))</f>
        <v>#VALUE!</v>
      </c>
      <c r="CA91" s="288" t="e">
        <f aca="false">MIN(dryad_cap,TblMili[[#This Row],[Hill]]/dryad_bonus)</f>
        <v>#VALUE!</v>
      </c>
      <c r="CB91" s="288" t="e">
        <f aca="false">MIN(rocka_cap,TblMili[[#This Row],[Hill]]/rocka_bonus)</f>
        <v>#VALUE!</v>
      </c>
      <c r="CC91" s="288" t="n">
        <f aca="false">MIN(adept_op_cap,TblMili[[#This Row],[WG]]/adept_op_bonus)</f>
        <v>0</v>
      </c>
      <c r="CD91" s="288" t="n">
        <f aca="false">MIN(adept_dp_cap,TblMili[[#This Row],[WG]]/adept_dp_bonus)</f>
        <v>0</v>
      </c>
      <c r="CE91" s="69" t="n">
        <f aca="false">MIN(TblMili[[#This Row],[Unit 3]],TblMili[[#This Row],[Unit 2]])*2</f>
        <v>1400</v>
      </c>
      <c r="CF91" s="69" t="n">
        <f aca="false">MIN(TblMili[[#This Row],[Unit 1]],TblMili[[#This Row],[Unit 4]])*2</f>
        <v>0</v>
      </c>
      <c r="CG91" s="288" t="e">
        <f aca="false">MIN(frost_mage_cap,TblMili[[#This Row],[Hill]]/frost_mage_bonus)</f>
        <v>#VALUE!</v>
      </c>
      <c r="CH91" s="151" t="n">
        <f aca="false">MIN(ice_elem_cap,TblMili[[#This Row],[Raw (2)]]*ice_elem_bonus)</f>
        <v>0.0357142857142857</v>
      </c>
      <c r="CI91" s="288" t="n">
        <f aca="false">MIN(bone_breaker_cap,250/bone_breaker_bonus)</f>
        <v>0.833333333333333</v>
      </c>
      <c r="CJ91" s="288" t="e">
        <f aca="false">MIN(nox_nightshade_cap,TblConstr[[#This Row],[Homeland]]/TblConstr[[#This Row],[Land]]/nox_nightshade_swamp_bonus)</f>
        <v>#VALUE!</v>
      </c>
      <c r="CK91" s="289"/>
      <c r="CL91" s="289"/>
      <c r="CM91" s="289"/>
      <c r="CN91" s="288" t="e">
        <f aca="false">MIN(6,TblMili[[#This Row],[Mystic]]+Races!$F$19)*1.8 +  IF(TblMili[[#This Row],[Mystic]]+Races!$F$19&gt;6,(TblMili[[#This Row],[Mystic]]+Races!$F$19-6)*0.2,0) - Races!$I$19</f>
        <v>#VALUE!</v>
      </c>
      <c r="CO91" s="288" t="e">
        <f aca="false">1.8 * MIN(MAX(TblMili[[#This Row],[Druid (op)]]+Races!$E$20,TblMili[[#This Row],[Druid (dp)]]+Races!$F$20),6)  +  0.45 * MIN(MIN(TblMili[[#This Row],[Druid (op)]]+Races!$E$20,TblMili[[#This Row],[Druid (dp)]]+Races!$F$20),6)  +  0.2 * ( MAX(TblMili[[#This Row],[Druid (op)]]+Races!$E$20-6,0) + MAX(TblMili[[#This Row],[Druid (dp)]]+Races!$F$20-6,0) )  -  Races!$I$20</f>
        <v>#VALUE!</v>
      </c>
      <c r="CP91" s="69" t="e">
        <f aca="false">TblMili[[#This Row],[Mystic bonus]]*TblMili[[#This Row],[Unit 3]]+TblMili[[#This Row],[Druid bonus]]*TblMili[[#This Row],[Unit 4]]</f>
        <v>#VALUE!</v>
      </c>
      <c r="CQ91" s="148" t="e">
        <f aca="false">MIN(6,TblMili[[#This Row],[Dryad]]+Races!$F$35)*1.8 +  IF(TblMili[[#This Row],[Dryad]]+Races!$F$35&gt;6,(TblMili[[#This Row],[Dryad]]+Races!$F$35-6)*0.2,0) - Races!$I$19</f>
        <v>#VALUE!</v>
      </c>
      <c r="CR91" s="69" t="e">
        <f aca="false">sylvan*(TblMili[[#This Row],[Mystic bonus]]*TblMili[[#This Row],[Unit 3]])</f>
        <v>#VALUE!</v>
      </c>
      <c r="CS91" s="148" t="e">
        <f aca="false">1.8 * MIN(MAX(Races!$E$27,TblMili[[#This Row],[Rockapult]]+Races!$F$27),6)  +  0.45 * MIN(MIN(Races!$E$27,TblMili[[#This Row],[Rockapult]]+Races!$F$27),6)  +  0.2 * ( MAX(Races!$E$27-6,0) + MAX(TblMili[[#This Row],[Rockapult]]+Races!$F$27-6,0) )  -  Races!$I$20</f>
        <v>#VALUE!</v>
      </c>
      <c r="CT91" s="69" t="e">
        <f aca="false">gnome*(TblMili[[#This Row],[Rockapult bonus]]*TblMili[[#This Row],[Unit 3]])</f>
        <v>#VALUE!</v>
      </c>
      <c r="CU91" s="148" t="n">
        <f aca="false">1.8 * MIN(MAX(TblMili[[#This Row],[Spellblade]]+Races!$E$47,TblMili[[#This Row],[Adept-DP]]+Races!$F$47),6)  +  0.45 * MIN(MIN(TblMili[[#This Row],[Spellblade]]+Races!$E$47,TblMili[[#This Row],[Adept-DP]]+Races!$F$47),6)  +  0.2 * ( MAX(TblMili[[#This Row],[Spellblade]]+Races!$E$47-6,0) + MAX(TblMili[[#This Row],[Adept-DP]]+Races!$F$47-6,0) )  -  Races!$I$47</f>
        <v>0</v>
      </c>
      <c r="CV91" s="69" t="n">
        <f aca="false">dark_elf*(TblMili[[#This Row],[Adept bonus]]*TblMili[[#This Row],[Unit 3]])</f>
        <v>0</v>
      </c>
      <c r="CW91" s="148" t="e">
        <f aca="false">1.8 * MIN(MAX(TblMili[[#This Row],[Frost Mage]]+Races!$F$71,Races!$E$71),6)  +  0.45 * MIN(MIN(TblMili[[#This Row],[Frost Mage]]+Races!$F$71,Races!$E$71),6)  +  0.2 * ( MAX(TblMili[[#This Row],[Frost Mage]]+Races!$F$71-6,0) + MAX(Races!$E$71-6,0) )  -  Races!$I$71</f>
        <v>#VALUE!</v>
      </c>
      <c r="CX91" s="148" t="n">
        <f aca="false">1.8 * MIN(MAX(TblMili[[#This Row],[Ice Elemental]]+Races!$E$71,Races!$F$71),6)  +  0.45 * MIN(MIN(TblMili[[#This Row],[Ice Elemental]]+Races!$E$71,Races!$F$71),6)  +  0.2 * ( MAX(TblMili[[#This Row],[Ice Elemental]]+Races!$E$71-6,0) + MAX(Races!$F$71-6,0) )  -  Races!$I$71</f>
        <v>0.064285714285715</v>
      </c>
      <c r="CY91" s="69" t="e">
        <f aca="false">TblMili[[#This Row],[Frost Mage bonus]]*TblMili[[#This Row],[Unit 3]]+TblMili[[#This Row],[Ice Elemental bonus]]*TblMili[[#This Row],[Unit 4]]</f>
        <v>#VALUE!</v>
      </c>
      <c r="CZ91" s="290"/>
      <c r="DA91" s="109" t="n">
        <f aca="false">MIN(SUM(TblConstr[[#This Row],[Plain]:[Water]])/TblMili[[#This Row],[Land]]/favorable_terrain_bonus/100,favorable_terrain_max)</f>
        <v>0</v>
      </c>
      <c r="DB91" s="290"/>
      <c r="DC9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1" s="132"/>
      <c r="DE91" s="291" t="n">
        <f aca="false">(TblMili[[#This Row],[Wizards]]+2*TblMili[[#This Row],[Archmages]])/TblConstr[[#This Row],[Land]]</f>
        <v>0.0357142857142857</v>
      </c>
      <c r="DF91" s="291" t="n">
        <f aca="false">TblMili[[#This Row],[Raw (2)]]*(1+race_wizard_strength+IF(TblMili[[#This Row],[Hour]]&gt;72,tech_magical_weaponry_wiz*TblTech[[#This Row],[3-5]],0))</f>
        <v>0.0357142857142857</v>
      </c>
    </row>
    <row r="92" customFormat="false" ht="12.75" hidden="false" customHeight="false" outlineLevel="0" collapsed="false">
      <c r="A92" s="128" t="n">
        <f aca="false">TblRezone[[#This Row],[Hour]]</f>
        <v>89</v>
      </c>
      <c r="B92" s="282" t="n">
        <f aca="false">SUM(TblMili[[#This Row],[Unit 1]:[Archmages]])+SUM(OFFSET(TblMili[[#This Row],[Train Unit 1]],-8,0):TblMili[[#This Row],[Train Unit 2]]) + SUM(OFFSET(TblMili[[#This Row],[Train Unit 3]],-11,0):TblMili[[#This Row],[Train AM]]) + TblMili[[#This Row],[Draftees]]</f>
        <v>4413</v>
      </c>
      <c r="C92" s="150" t="n">
        <f aca="false">TblPop[[#This Row],[Military%]]</f>
        <v>0.341061905865987</v>
      </c>
      <c r="D92" s="132"/>
      <c r="E92" s="151" t="n">
        <f aca="false">OFFSET(TblMili[[#This Row],[Unit 1]],-1,0) + OFFSET(TblMili[[#This Row],[Train Unit 1]],-9,0) - TblMili[[#This Row],[Release Unit 1]]</f>
        <v>0</v>
      </c>
      <c r="F92" s="151" t="n">
        <f aca="false">OFFSET(TblMili[[#This Row],[Unit 2]],-1,0) + OFFSET(TblMili[[#This Row],[Train Unit 2]],-9,0)-TblMili[[#This Row],[Release Unit 2]]</f>
        <v>1246</v>
      </c>
      <c r="G92" s="151" t="n">
        <f aca="false">OFFSET(TblMili[[#This Row],[Unit 3]],-1,0) + OFFSET(TblMili[[#This Row],[Train Unit 3]],-12,0)-TblMili[[#This Row],[Release Unit 3]]</f>
        <v>700</v>
      </c>
      <c r="H92" s="151" t="n">
        <f aca="false">OFFSET(TblMili[[#This Row],[Unit 4]],-1,0) + OFFSET(TblMili[[#This Row],[Train Unit 4]],-12,0)-TblMili[[#This Row],[Release Unit 4]]</f>
        <v>1228</v>
      </c>
      <c r="I92" s="151" t="n">
        <f aca="false">OFFSET(TblMili[[#This Row],[Spies]],-1,0) + OFFSET(TblMili[[#This Row],[Train Spies]],-12,0) - TblMili[[#This Row],[Release Spies]]-TblMili[[#This Row],[Train AS]]</f>
        <v>25</v>
      </c>
      <c r="J92" s="151" t="n">
        <f aca="false">OFFSET(TblMili[[#This Row],[Archspies]],-1,0) + OFFSET(TblMili[[#This Row],[Train AS]],-12,0) - TblMili[[#This Row],[Release AS]]</f>
        <v>0</v>
      </c>
      <c r="K92" s="151" t="n">
        <f aca="false">OFFSET(TblMili[[#This Row],[Wizards]],-1,0) + OFFSET(TblMili[[#This Row],[Train Wiz]],-12,0) - TblMili[[#This Row],[Release Wizards]]-TblMili[[#This Row],[Train AM]]</f>
        <v>25</v>
      </c>
      <c r="L92" s="151" t="n">
        <f aca="false">OFFSET(TblMili[[#This Row],[Archmages]],-1,0) + OFFSET(TblMili[[#This Row],[Train AM]],-12,0) - TblMili[[#This Row],[Release AM]]</f>
        <v>0</v>
      </c>
      <c r="M92" s="132"/>
      <c r="N92" s="69" t="e">
        <f aca="false">TblProd[[#This Row],[Networth]]</f>
        <v>#VALUE!</v>
      </c>
      <c r="O92" s="132"/>
      <c r="P9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2" s="285" t="e">
        <f aca="false">TblMili[[#This Row],[Raw]]*(1+TblMili[[#This Row],[Mods_Off]])</f>
        <v>#VALUE!</v>
      </c>
      <c r="S9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2" s="285" t="e">
        <f aca="false">TblMili[[#This Row],[Non Draft]]+TblMili[[#This Row],[Draftees]]</f>
        <v>#VALUE!</v>
      </c>
      <c r="U92" s="286" t="n">
        <f aca="false">race_defense + TblImps[[#This Row],[Walls]] + ROUND( MIN(gt_bonus*TblConstr[[#This Row],[Tot GT]]/TblConstr[[#This Row],[Land]],gt_bonus_cap), 4) + IF(TblMagic[[#This Row],[Active Howling]]&gt;0,howling_dp_bonus,IF(TblMagic[[#This Row],[Active Ares Call]]&gt;0,ares_call_bonus))</f>
        <v>0.2375</v>
      </c>
      <c r="V92" s="274" t="e">
        <f aca="false">TblMili[[#This Row],[Non Draft]] * (1 + TblMili[[#This Row],[Mods_Def]])</f>
        <v>#VALUE!</v>
      </c>
      <c r="W92" s="285" t="e">
        <f aca="false">TblMili[[#This Row],[Draft]] * (1 + TblMili[[#This Row],[Mods_Def]])</f>
        <v>#VALUE!</v>
      </c>
      <c r="X92" s="285" t="n">
        <f aca="false">TblConstr[[#This Row],[Land]]</f>
        <v>700</v>
      </c>
      <c r="Y92" s="287"/>
      <c r="Z92" s="109" t="n">
        <f aca="false">IF(TblMili[[#This Row],[Set]]&lt;&gt;"",TblMili[[#This Row],[Set]],OFFSET(TblMili[[#This Row],[Draftrate]],-1,0))</f>
        <v>0.9</v>
      </c>
      <c r="AA92" s="69" t="n">
        <f aca="false">OFFSET(TblMili[[#This Row],[Draftees]],-1,0)+OFFSET(TblPop[[#This Row],[Draft Growth]],-1,0) - SUM(TblMili[[#This Row],[Train Unit 1]:[Train Spies]],TblMili[[#This Row],[Train Wiz]]) - TblMili[[#This Row],[Release Draft]] + SUM(TblMili[[#This Row],[Release Unit 1]:[Release AM]]) - TblExplore[[#This Row],[Draftees (2)]]</f>
        <v>1189</v>
      </c>
      <c r="AB92" s="146"/>
      <c r="AC92" s="130" t="n">
        <f aca="false">(TblConstr[[#This Row],[Tot Smi]]+TblConstr[[#This Row],[Dest Smi]])/(TblConstr[[#This Row],[Land]]-TblExplore[[#This Row],[Land Bonus]]*20)</f>
        <v>0.18</v>
      </c>
      <c r="AD92" s="128"/>
      <c r="AE92" s="282" t="n">
        <f aca="false">TblMili[[#This Row],[Hour]]</f>
        <v>89</v>
      </c>
      <c r="AF92" s="129" t="n">
        <f aca="false">TblExplore[[#This Row],[Time]]</f>
        <v>45433.4166666667</v>
      </c>
      <c r="AG92" s="182"/>
      <c r="AH92" s="182"/>
      <c r="AI92" s="182"/>
      <c r="AJ92" s="182"/>
      <c r="AK92" s="182"/>
      <c r="AL92" s="182"/>
      <c r="AM92" s="182"/>
      <c r="AN92" s="182"/>
      <c r="AO92" s="132"/>
      <c r="AP92" s="69" t="n">
        <f aca="false">TblProd[[#This Row],[Platinum]]</f>
        <v>688847</v>
      </c>
      <c r="AQ92" s="69" t="n">
        <f aca="false">INDEX(TblProd[[#Headers],[Lumber]]:TblProd[[#This Row],[Ore]],COUNTA(TblProd[[#Headers],[Lumber]]:TblProd[[#This Row],[Lumber]]),MATCH(Military!$AQ$2,TblProd[[#Headers],[Lumber]:[Ore]],0))</f>
        <v>0</v>
      </c>
      <c r="AR9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69" t="n">
        <f aca="false">TblMili[[#This Row],[Train Unit 1]]*TblMili[[#This Row],[OP Ore]]+TblMili[[#This Row],[Train Unit 2]]*TblMili[[#This Row],[DP Ore]]+TblMili[[#This Row],[Train Unit 3]]*TblMili[[#This Row],[E1 Ore]]+TblMili[[#This Row],[Train Unit 4]]*TblMili[[#This Row],[E2 Ore]]</f>
        <v>0</v>
      </c>
      <c r="AT92" s="132" t="n">
        <f aca="false">TblMili[[#This Row],[Hour]]</f>
        <v>89</v>
      </c>
      <c r="AU92" s="144" t="n">
        <f aca="false">TblMili[[#This Row],[Time]]</f>
        <v>45433.4166666667</v>
      </c>
      <c r="AV92" s="69" t="n">
        <f aca="false">TblMili[[#This Row],[Draftees]]</f>
        <v>1189</v>
      </c>
      <c r="AW92" s="182"/>
      <c r="AX92" s="182"/>
      <c r="AY92" s="182"/>
      <c r="AZ92" s="182"/>
      <c r="BA92" s="182"/>
      <c r="BB92" s="182"/>
      <c r="BC92" s="182"/>
      <c r="BD92" s="182"/>
      <c r="BE92" s="182"/>
      <c r="BF92" s="132"/>
      <c r="BG92" s="150" t="n">
        <f aca="false">TblConstr[[#This Row],[Tot WG]]/TblConstr[[#This Row],[Land]]</f>
        <v>0</v>
      </c>
      <c r="BH92" s="150" t="n">
        <f aca="false">TblConstr[[#This Row],[Tot Hav]]/TblConstr[[#This Row],[Land]]</f>
        <v>0</v>
      </c>
      <c r="BI92" s="69" t="n">
        <f aca="false">ROUNDUP((1-MIN(TblMili[[#This Row],[Smithies]]*smithy_bonus,smithy_bonus_cap) + tech_3_5*TblTech[[#This Row],[3-5]] + tech_5_3*TblTech[[#This Row],[5-3]] + tech_5_5*TblTech[[#This Row],[5-5]])*spec_op_plat,0)</f>
        <v>192</v>
      </c>
      <c r="BJ92" s="69" t="n">
        <f aca="false">ROUNDUP(IF(race="Gnome",1,(1-MIN(TblMili[[#This Row],[Smithies]]*smithy_bonus,smithy_bonus_cap) + tech_3_5*TblTech[[#This Row],[3-5]] + tech_5_3*TblTech[[#This Row],[5-3]] + tech_5_5*TblTech[[#This Row],[5-5]]))*spec_op_ore,0)</f>
        <v>0</v>
      </c>
      <c r="BK92" s="69" t="n">
        <f aca="false">ROUNDUP((1-MIN(TblMili[[#This Row],[Smithies]]*smithy_bonus,smithy_bonus_cap) + tech_3_5*TblTech[[#This Row],[3-5]] + tech_5_3*TblTech[[#This Row],[5-3]] + tech_5_5*TblTech[[#This Row],[5-5]])*spec_dp_plat,0)</f>
        <v>192</v>
      </c>
      <c r="BL92" s="69" t="n">
        <f aca="false">ROUNDUP(IF(race="Gnome",1,(1-MIN(TblMili[[#This Row],[Smithies]]*smithy_bonus,smithy_bonus_cap) + tech_3_5*TblTech[[#This Row],[3-5]] + tech_5_3*TblTech[[#This Row],[5-3]] + tech_5_5*TblTech[[#This Row],[5-5]]))*spec_dp_ore,0)</f>
        <v>0</v>
      </c>
      <c r="BM92" s="69" t="n">
        <f aca="false">ROUNDUP((1-MIN(TblMili[[#This Row],[Smithies]]*smithy_bonus,smithy_bonus_cap) + tech_3_5*TblTech[[#This Row],[3-5]] + tech_5_3*TblTech[[#This Row],[5-3]] + tech_5_5*TblTech[[#This Row],[5-5]])*elite1_plat,0)</f>
        <v>592</v>
      </c>
      <c r="BN92" s="69" t="n">
        <f aca="false">ROUNDUP(IF(race="Gnome",1,(1-MIN(TblMili[[#This Row],[Smithies]]*smithy_bonus,smithy_bonus_cap) + tech_3_5*TblTech[[#This Row],[3-5]] + tech_5_3*TblTech[[#This Row],[5-3]] + tech_5_5*TblTech[[#This Row],[5-5]]))*elite1_ore,0)</f>
        <v>0</v>
      </c>
      <c r="BO92" s="69" t="n">
        <f aca="false">ROUNDUP((1-MIN(TblMili[[#This Row],[Smithies]]*smithy_bonus,smithy_bonus_cap) + tech_3_5*TblTech[[#This Row],[3-5]] + tech_5_3*TblTech[[#This Row],[5-3]] + tech_5_5*TblTech[[#This Row],[5-5]])*elite2_plat,0)</f>
        <v>608</v>
      </c>
      <c r="BP92" s="69" t="n">
        <f aca="false">ROUNDUP(IF(race="Gnome",1,(1-MIN(TblMili[[#This Row],[Smithies]]*smithy_bonus,smithy_bonus_cap) + tech_3_5*TblTech[[#This Row],[3-5]] + tech_5_3*TblTech[[#This Row],[5-3]] + tech_5_5*TblTech[[#This Row],[5-5]]))*elite2_ore,0)</f>
        <v>0</v>
      </c>
      <c r="BQ92" s="69" t="n">
        <f aca="false">ROUNDUP((1-MIN(ROUND(fh_spy_cost_red*TblMili[[#This Row],[FH''s]],4),fh_spy_cost_cap)+ tech_1_9*TblTech[[#This Row],[1-9]] + tech_9_1*TblTech[[#This Row],[9-1]])*spy_plat,0)</f>
        <v>500</v>
      </c>
      <c r="BR92" s="69" t="n">
        <f aca="false">ROUNDUP((1-MIN(ROUND(fh_spy_cost_red*TblMili[[#This Row],[FH''s]],4),fh_spy_cost_cap)+ tech_1_9*TblTech[[#This Row],[1-9]] + tech_9_1*TblTech[[#This Row],[9-1]])*archspy_plat,0)</f>
        <v>1000</v>
      </c>
      <c r="BS92" s="69" t="n">
        <f aca="false">ROUNDUP((1-MIN(ROUND(wg_wiz_cost_bonus*TblMili[[#This Row],[WG''s]],4),wg_wiz_cost_cap) + tech_1_9_2*TblTech[[#This Row],[1-9]] + tech_9_1_2*TblTech[[#This Row],[9-1]])*wizard_plat,0)</f>
        <v>500</v>
      </c>
      <c r="BT92" s="69" t="n">
        <f aca="false">ROUNDUP((1-MIN(ROUND(wg_wiz_cost_bonus*TblMili[[#This Row],[WG''s]],4),wg_wiz_cost_cap) + tech_1_9_2*TblTech[[#This Row],[1-9]] + tech_9_1_2*TblTech[[#This Row],[9-1]])*archmage_plat,0)</f>
        <v>1000</v>
      </c>
      <c r="BU92" s="132"/>
      <c r="BV92" s="150" t="e">
        <f aca="false">TblConstr[[#This Row],[Homeland]]/TblConstr[[#This Row],[Land]]</f>
        <v>#VALUE!</v>
      </c>
      <c r="BW92" s="150" t="n">
        <f aca="false">TblMili[[#This Row],[WG''s]]</f>
        <v>0</v>
      </c>
      <c r="BX92" s="288" t="e">
        <f aca="false">IF(mystic_cap="none",TblMili[[#This Row],[Hill]]/mystic_bonus,MIN(mystic_cap,TblMili[[#This Row],[Hill]]/mystic_bonus))</f>
        <v>#VALUE!</v>
      </c>
      <c r="BY92" s="288" t="e">
        <f aca="false">IF(druid_op_cap="none",TblMili[[#This Row],[Hill]]/druid_op_bonus,MIN(druid_op_cap,TblMili[[#This Row],[Hill]]/druid_op_bonus))</f>
        <v>#VALUE!</v>
      </c>
      <c r="BZ92" s="288" t="e">
        <f aca="false">IF(druid_dp_cap="none",TblMili[[#This Row],[Hill]]/druid_dp_bonus,MIN(druid_dp_cap,TblMili[[#This Row],[Hill]]/druid_dp_bonus))</f>
        <v>#VALUE!</v>
      </c>
      <c r="CA92" s="288" t="e">
        <f aca="false">MIN(dryad_cap,TblMili[[#This Row],[Hill]]/dryad_bonus)</f>
        <v>#VALUE!</v>
      </c>
      <c r="CB92" s="288" t="e">
        <f aca="false">MIN(rocka_cap,TblMili[[#This Row],[Hill]]/rocka_bonus)</f>
        <v>#VALUE!</v>
      </c>
      <c r="CC92" s="288" t="n">
        <f aca="false">MIN(adept_op_cap,TblMili[[#This Row],[WG]]/adept_op_bonus)</f>
        <v>0</v>
      </c>
      <c r="CD92" s="288" t="n">
        <f aca="false">MIN(adept_dp_cap,TblMili[[#This Row],[WG]]/adept_dp_bonus)</f>
        <v>0</v>
      </c>
      <c r="CE92" s="69" t="n">
        <f aca="false">MIN(TblMili[[#This Row],[Unit 3]],TblMili[[#This Row],[Unit 2]])*2</f>
        <v>1400</v>
      </c>
      <c r="CF92" s="69" t="n">
        <f aca="false">MIN(TblMili[[#This Row],[Unit 1]],TblMili[[#This Row],[Unit 4]])*2</f>
        <v>0</v>
      </c>
      <c r="CG92" s="288" t="e">
        <f aca="false">MIN(frost_mage_cap,TblMili[[#This Row],[Hill]]/frost_mage_bonus)</f>
        <v>#VALUE!</v>
      </c>
      <c r="CH92" s="151" t="n">
        <f aca="false">MIN(ice_elem_cap,TblMili[[#This Row],[Raw (2)]]*ice_elem_bonus)</f>
        <v>0.0357142857142857</v>
      </c>
      <c r="CI92" s="288" t="n">
        <f aca="false">MIN(bone_breaker_cap,250/bone_breaker_bonus)</f>
        <v>0.833333333333333</v>
      </c>
      <c r="CJ92" s="288" t="e">
        <f aca="false">MIN(nox_nightshade_cap,TblConstr[[#This Row],[Homeland]]/TblConstr[[#This Row],[Land]]/nox_nightshade_swamp_bonus)</f>
        <v>#VALUE!</v>
      </c>
      <c r="CK92" s="289"/>
      <c r="CL92" s="289"/>
      <c r="CM92" s="289"/>
      <c r="CN92" s="288" t="e">
        <f aca="false">MIN(6,TblMili[[#This Row],[Mystic]]+Races!$F$19)*1.8 +  IF(TblMili[[#This Row],[Mystic]]+Races!$F$19&gt;6,(TblMili[[#This Row],[Mystic]]+Races!$F$19-6)*0.2,0) - Races!$I$19</f>
        <v>#VALUE!</v>
      </c>
      <c r="CO92" s="288" t="e">
        <f aca="false">1.8 * MIN(MAX(TblMili[[#This Row],[Druid (op)]]+Races!$E$20,TblMili[[#This Row],[Druid (dp)]]+Races!$F$20),6)  +  0.45 * MIN(MIN(TblMili[[#This Row],[Druid (op)]]+Races!$E$20,TblMili[[#This Row],[Druid (dp)]]+Races!$F$20),6)  +  0.2 * ( MAX(TblMili[[#This Row],[Druid (op)]]+Races!$E$20-6,0) + MAX(TblMili[[#This Row],[Druid (dp)]]+Races!$F$20-6,0) )  -  Races!$I$20</f>
        <v>#VALUE!</v>
      </c>
      <c r="CP92" s="69" t="e">
        <f aca="false">TblMili[[#This Row],[Mystic bonus]]*TblMili[[#This Row],[Unit 3]]+TblMili[[#This Row],[Druid bonus]]*TblMili[[#This Row],[Unit 4]]</f>
        <v>#VALUE!</v>
      </c>
      <c r="CQ92" s="148" t="e">
        <f aca="false">MIN(6,TblMili[[#This Row],[Dryad]]+Races!$F$35)*1.8 +  IF(TblMili[[#This Row],[Dryad]]+Races!$F$35&gt;6,(TblMili[[#This Row],[Dryad]]+Races!$F$35-6)*0.2,0) - Races!$I$19</f>
        <v>#VALUE!</v>
      </c>
      <c r="CR92" s="69" t="e">
        <f aca="false">sylvan*(TblMili[[#This Row],[Mystic bonus]]*TblMili[[#This Row],[Unit 3]])</f>
        <v>#VALUE!</v>
      </c>
      <c r="CS92" s="148" t="e">
        <f aca="false">1.8 * MIN(MAX(Races!$E$27,TblMili[[#This Row],[Rockapult]]+Races!$F$27),6)  +  0.45 * MIN(MIN(Races!$E$27,TblMili[[#This Row],[Rockapult]]+Races!$F$27),6)  +  0.2 * ( MAX(Races!$E$27-6,0) + MAX(TblMili[[#This Row],[Rockapult]]+Races!$F$27-6,0) )  -  Races!$I$20</f>
        <v>#VALUE!</v>
      </c>
      <c r="CT92" s="69" t="e">
        <f aca="false">gnome*(TblMili[[#This Row],[Rockapult bonus]]*TblMili[[#This Row],[Unit 3]])</f>
        <v>#VALUE!</v>
      </c>
      <c r="CU92" s="148" t="n">
        <f aca="false">1.8 * MIN(MAX(TblMili[[#This Row],[Spellblade]]+Races!$E$47,TblMili[[#This Row],[Adept-DP]]+Races!$F$47),6)  +  0.45 * MIN(MIN(TblMili[[#This Row],[Spellblade]]+Races!$E$47,TblMili[[#This Row],[Adept-DP]]+Races!$F$47),6)  +  0.2 * ( MAX(TblMili[[#This Row],[Spellblade]]+Races!$E$47-6,0) + MAX(TblMili[[#This Row],[Adept-DP]]+Races!$F$47-6,0) )  -  Races!$I$47</f>
        <v>0</v>
      </c>
      <c r="CV92" s="69" t="n">
        <f aca="false">dark_elf*(TblMili[[#This Row],[Adept bonus]]*TblMili[[#This Row],[Unit 3]])</f>
        <v>0</v>
      </c>
      <c r="CW92" s="148" t="e">
        <f aca="false">1.8 * MIN(MAX(TblMili[[#This Row],[Frost Mage]]+Races!$F$71,Races!$E$71),6)  +  0.45 * MIN(MIN(TblMili[[#This Row],[Frost Mage]]+Races!$F$71,Races!$E$71),6)  +  0.2 * ( MAX(TblMili[[#This Row],[Frost Mage]]+Races!$F$71-6,0) + MAX(Races!$E$71-6,0) )  -  Races!$I$71</f>
        <v>#VALUE!</v>
      </c>
      <c r="CX92" s="148" t="n">
        <f aca="false">1.8 * MIN(MAX(TblMili[[#This Row],[Ice Elemental]]+Races!$E$71,Races!$F$71),6)  +  0.45 * MIN(MIN(TblMili[[#This Row],[Ice Elemental]]+Races!$E$71,Races!$F$71),6)  +  0.2 * ( MAX(TblMili[[#This Row],[Ice Elemental]]+Races!$E$71-6,0) + MAX(Races!$F$71-6,0) )  -  Races!$I$71</f>
        <v>0.064285714285715</v>
      </c>
      <c r="CY92" s="69" t="e">
        <f aca="false">TblMili[[#This Row],[Frost Mage bonus]]*TblMili[[#This Row],[Unit 3]]+TblMili[[#This Row],[Ice Elemental bonus]]*TblMili[[#This Row],[Unit 4]]</f>
        <v>#VALUE!</v>
      </c>
      <c r="CZ92" s="290"/>
      <c r="DA92" s="109" t="n">
        <f aca="false">MIN(SUM(TblConstr[[#This Row],[Plain]:[Water]])/TblMili[[#This Row],[Land]]/favorable_terrain_bonus/100,favorable_terrain_max)</f>
        <v>0</v>
      </c>
      <c r="DB92" s="290"/>
      <c r="DC9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2" s="132"/>
      <c r="DE92" s="291" t="n">
        <f aca="false">(TblMili[[#This Row],[Wizards]]+2*TblMili[[#This Row],[Archmages]])/TblConstr[[#This Row],[Land]]</f>
        <v>0.0357142857142857</v>
      </c>
      <c r="DF92" s="291" t="n">
        <f aca="false">TblMili[[#This Row],[Raw (2)]]*(1+race_wizard_strength+IF(TblMili[[#This Row],[Hour]]&gt;72,tech_magical_weaponry_wiz*TblTech[[#This Row],[3-5]],0))</f>
        <v>0.0357142857142857</v>
      </c>
    </row>
    <row r="93" customFormat="false" ht="12.75" hidden="false" customHeight="false" outlineLevel="0" collapsed="false">
      <c r="A93" s="128" t="n">
        <f aca="false">TblRezone[[#This Row],[Hour]]</f>
        <v>90</v>
      </c>
      <c r="B93" s="282" t="n">
        <f aca="false">SUM(TblMili[[#This Row],[Unit 1]:[Archmages]])+SUM(OFFSET(TblMili[[#This Row],[Train Unit 1]],-8,0):TblMili[[#This Row],[Train Unit 2]]) + SUM(OFFSET(TblMili[[#This Row],[Train Unit 3]],-11,0):TblMili[[#This Row],[Train AM]]) + TblMili[[#This Row],[Draftees]]</f>
        <v>4498</v>
      </c>
      <c r="C93" s="150" t="n">
        <f aca="false">TblPop[[#This Row],[Military%]]</f>
        <v>0.347631192518742</v>
      </c>
      <c r="D93" s="132"/>
      <c r="E93" s="151" t="n">
        <f aca="false">OFFSET(TblMili[[#This Row],[Unit 1]],-1,0) + OFFSET(TblMili[[#This Row],[Train Unit 1]],-9,0) - TblMili[[#This Row],[Release Unit 1]]</f>
        <v>0</v>
      </c>
      <c r="F93" s="151" t="n">
        <f aca="false">OFFSET(TblMili[[#This Row],[Unit 2]],-1,0) + OFFSET(TblMili[[#This Row],[Train Unit 2]],-9,0)-TblMili[[#This Row],[Release Unit 2]]</f>
        <v>1246</v>
      </c>
      <c r="G93" s="151" t="n">
        <f aca="false">OFFSET(TblMili[[#This Row],[Unit 3]],-1,0) + OFFSET(TblMili[[#This Row],[Train Unit 3]],-12,0)-TblMili[[#This Row],[Release Unit 3]]</f>
        <v>700</v>
      </c>
      <c r="H93" s="151" t="n">
        <f aca="false">OFFSET(TblMili[[#This Row],[Unit 4]],-1,0) + OFFSET(TblMili[[#This Row],[Train Unit 4]],-12,0)-TblMili[[#This Row],[Release Unit 4]]</f>
        <v>1228</v>
      </c>
      <c r="I93" s="151" t="n">
        <f aca="false">OFFSET(TblMili[[#This Row],[Spies]],-1,0) + OFFSET(TblMili[[#This Row],[Train Spies]],-12,0) - TblMili[[#This Row],[Release Spies]]-TblMili[[#This Row],[Train AS]]</f>
        <v>25</v>
      </c>
      <c r="J93" s="151" t="n">
        <f aca="false">OFFSET(TblMili[[#This Row],[Archspies]],-1,0) + OFFSET(TblMili[[#This Row],[Train AS]],-12,0) - TblMili[[#This Row],[Release AS]]</f>
        <v>0</v>
      </c>
      <c r="K93" s="151" t="n">
        <f aca="false">OFFSET(TblMili[[#This Row],[Wizards]],-1,0) + OFFSET(TblMili[[#This Row],[Train Wiz]],-12,0) - TblMili[[#This Row],[Release Wizards]]-TblMili[[#This Row],[Train AM]]</f>
        <v>25</v>
      </c>
      <c r="L93" s="151" t="n">
        <f aca="false">OFFSET(TblMili[[#This Row],[Archmages]],-1,0) + OFFSET(TblMili[[#This Row],[Train AM]],-12,0) - TblMili[[#This Row],[Release AM]]</f>
        <v>0</v>
      </c>
      <c r="M93" s="132"/>
      <c r="N93" s="69" t="e">
        <f aca="false">TblProd[[#This Row],[Networth]]</f>
        <v>#VALUE!</v>
      </c>
      <c r="O93" s="132"/>
      <c r="P9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3" s="285" t="e">
        <f aca="false">TblMili[[#This Row],[Raw]]*(1+TblMili[[#This Row],[Mods_Off]])</f>
        <v>#VALUE!</v>
      </c>
      <c r="S9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3" s="285" t="e">
        <f aca="false">TblMili[[#This Row],[Non Draft]]+TblMili[[#This Row],[Draftees]]</f>
        <v>#VALUE!</v>
      </c>
      <c r="U93" s="286" t="n">
        <f aca="false">race_defense + TblImps[[#This Row],[Walls]] + ROUND( MIN(gt_bonus*TblConstr[[#This Row],[Tot GT]]/TblConstr[[#This Row],[Land]],gt_bonus_cap), 4) + IF(TblMagic[[#This Row],[Active Howling]]&gt;0,howling_dp_bonus,IF(TblMagic[[#This Row],[Active Ares Call]]&gt;0,ares_call_bonus))</f>
        <v>0.2375</v>
      </c>
      <c r="V93" s="274" t="e">
        <f aca="false">TblMili[[#This Row],[Non Draft]] * (1 + TblMili[[#This Row],[Mods_Def]])</f>
        <v>#VALUE!</v>
      </c>
      <c r="W93" s="285" t="e">
        <f aca="false">TblMili[[#This Row],[Draft]] * (1 + TblMili[[#This Row],[Mods_Def]])</f>
        <v>#VALUE!</v>
      </c>
      <c r="X93" s="285" t="n">
        <f aca="false">TblConstr[[#This Row],[Land]]</f>
        <v>700</v>
      </c>
      <c r="Y93" s="287"/>
      <c r="Z93" s="109" t="n">
        <f aca="false">IF(TblMili[[#This Row],[Set]]&lt;&gt;"",TblMili[[#This Row],[Set]],OFFSET(TblMili[[#This Row],[Draftrate]],-1,0))</f>
        <v>0.9</v>
      </c>
      <c r="AA93" s="69" t="n">
        <f aca="false">OFFSET(TblMili[[#This Row],[Draftees]],-1,0)+OFFSET(TblPop[[#This Row],[Draft Growth]],-1,0) - SUM(TblMili[[#This Row],[Train Unit 1]:[Train Spies]],TblMili[[#This Row],[Train Wiz]]) - TblMili[[#This Row],[Release Draft]] + SUM(TblMili[[#This Row],[Release Unit 1]:[Release AM]]) - TblExplore[[#This Row],[Draftees (2)]]</f>
        <v>1274</v>
      </c>
      <c r="AB93" s="146"/>
      <c r="AC93" s="130" t="n">
        <f aca="false">(TblConstr[[#This Row],[Tot Smi]]+TblConstr[[#This Row],[Dest Smi]])/(TblConstr[[#This Row],[Land]]-TblExplore[[#This Row],[Land Bonus]]*20)</f>
        <v>0.18</v>
      </c>
      <c r="AD93" s="128"/>
      <c r="AE93" s="282" t="n">
        <f aca="false">TblMili[[#This Row],[Hour]]</f>
        <v>90</v>
      </c>
      <c r="AF93" s="129" t="n">
        <f aca="false">TblExplore[[#This Row],[Time]]</f>
        <v>45433.4583333333</v>
      </c>
      <c r="AG93" s="182"/>
      <c r="AH93" s="182"/>
      <c r="AI93" s="182"/>
      <c r="AJ93" s="182"/>
      <c r="AK93" s="182"/>
      <c r="AL93" s="182"/>
      <c r="AM93" s="182"/>
      <c r="AN93" s="182"/>
      <c r="AO93" s="132"/>
      <c r="AP93" s="69" t="n">
        <f aca="false">TblProd[[#This Row],[Platinum]]</f>
        <v>731714</v>
      </c>
      <c r="AQ93" s="69" t="n">
        <f aca="false">INDEX(TblProd[[#Headers],[Lumber]]:TblProd[[#This Row],[Ore]],COUNTA(TblProd[[#Headers],[Lumber]]:TblProd[[#This Row],[Lumber]]),MATCH(Military!$AQ$2,TblProd[[#Headers],[Lumber]:[Ore]],0))</f>
        <v>0</v>
      </c>
      <c r="AR9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69" t="n">
        <f aca="false">TblMili[[#This Row],[Train Unit 1]]*TblMili[[#This Row],[OP Ore]]+TblMili[[#This Row],[Train Unit 2]]*TblMili[[#This Row],[DP Ore]]+TblMili[[#This Row],[Train Unit 3]]*TblMili[[#This Row],[E1 Ore]]+TblMili[[#This Row],[Train Unit 4]]*TblMili[[#This Row],[E2 Ore]]</f>
        <v>0</v>
      </c>
      <c r="AT93" s="132" t="n">
        <f aca="false">TblMili[[#This Row],[Hour]]</f>
        <v>90</v>
      </c>
      <c r="AU93" s="144" t="n">
        <f aca="false">TblMili[[#This Row],[Time]]</f>
        <v>45433.4583333333</v>
      </c>
      <c r="AV93" s="69" t="n">
        <f aca="false">TblMili[[#This Row],[Draftees]]</f>
        <v>1274</v>
      </c>
      <c r="AW93" s="182"/>
      <c r="AX93" s="182"/>
      <c r="AY93" s="182"/>
      <c r="AZ93" s="182"/>
      <c r="BA93" s="182"/>
      <c r="BB93" s="182"/>
      <c r="BC93" s="182"/>
      <c r="BD93" s="182"/>
      <c r="BE93" s="182"/>
      <c r="BF93" s="132"/>
      <c r="BG93" s="150" t="n">
        <f aca="false">TblConstr[[#This Row],[Tot WG]]/TblConstr[[#This Row],[Land]]</f>
        <v>0</v>
      </c>
      <c r="BH93" s="150" t="n">
        <f aca="false">TblConstr[[#This Row],[Tot Hav]]/TblConstr[[#This Row],[Land]]</f>
        <v>0</v>
      </c>
      <c r="BI93" s="69" t="n">
        <f aca="false">ROUNDUP((1-MIN(TblMili[[#This Row],[Smithies]]*smithy_bonus,smithy_bonus_cap) + tech_3_5*TblTech[[#This Row],[3-5]] + tech_5_3*TblTech[[#This Row],[5-3]] + tech_5_5*TblTech[[#This Row],[5-5]])*spec_op_plat,0)</f>
        <v>192</v>
      </c>
      <c r="BJ93" s="69" t="n">
        <f aca="false">ROUNDUP(IF(race="Gnome",1,(1-MIN(TblMili[[#This Row],[Smithies]]*smithy_bonus,smithy_bonus_cap) + tech_3_5*TblTech[[#This Row],[3-5]] + tech_5_3*TblTech[[#This Row],[5-3]] + tech_5_5*TblTech[[#This Row],[5-5]]))*spec_op_ore,0)</f>
        <v>0</v>
      </c>
      <c r="BK93" s="69" t="n">
        <f aca="false">ROUNDUP((1-MIN(TblMili[[#This Row],[Smithies]]*smithy_bonus,smithy_bonus_cap) + tech_3_5*TblTech[[#This Row],[3-5]] + tech_5_3*TblTech[[#This Row],[5-3]] + tech_5_5*TblTech[[#This Row],[5-5]])*spec_dp_plat,0)</f>
        <v>192</v>
      </c>
      <c r="BL93" s="69" t="n">
        <f aca="false">ROUNDUP(IF(race="Gnome",1,(1-MIN(TblMili[[#This Row],[Smithies]]*smithy_bonus,smithy_bonus_cap) + tech_3_5*TblTech[[#This Row],[3-5]] + tech_5_3*TblTech[[#This Row],[5-3]] + tech_5_5*TblTech[[#This Row],[5-5]]))*spec_dp_ore,0)</f>
        <v>0</v>
      </c>
      <c r="BM93" s="69" t="n">
        <f aca="false">ROUNDUP((1-MIN(TblMili[[#This Row],[Smithies]]*smithy_bonus,smithy_bonus_cap) + tech_3_5*TblTech[[#This Row],[3-5]] + tech_5_3*TblTech[[#This Row],[5-3]] + tech_5_5*TblTech[[#This Row],[5-5]])*elite1_plat,0)</f>
        <v>592</v>
      </c>
      <c r="BN93" s="69" t="n">
        <f aca="false">ROUNDUP(IF(race="Gnome",1,(1-MIN(TblMili[[#This Row],[Smithies]]*smithy_bonus,smithy_bonus_cap) + tech_3_5*TblTech[[#This Row],[3-5]] + tech_5_3*TblTech[[#This Row],[5-3]] + tech_5_5*TblTech[[#This Row],[5-5]]))*elite1_ore,0)</f>
        <v>0</v>
      </c>
      <c r="BO93" s="69" t="n">
        <f aca="false">ROUNDUP((1-MIN(TblMili[[#This Row],[Smithies]]*smithy_bonus,smithy_bonus_cap) + tech_3_5*TblTech[[#This Row],[3-5]] + tech_5_3*TblTech[[#This Row],[5-3]] + tech_5_5*TblTech[[#This Row],[5-5]])*elite2_plat,0)</f>
        <v>608</v>
      </c>
      <c r="BP93" s="69" t="n">
        <f aca="false">ROUNDUP(IF(race="Gnome",1,(1-MIN(TblMili[[#This Row],[Smithies]]*smithy_bonus,smithy_bonus_cap) + tech_3_5*TblTech[[#This Row],[3-5]] + tech_5_3*TblTech[[#This Row],[5-3]] + tech_5_5*TblTech[[#This Row],[5-5]]))*elite2_ore,0)</f>
        <v>0</v>
      </c>
      <c r="BQ93" s="69" t="n">
        <f aca="false">ROUNDUP((1-MIN(ROUND(fh_spy_cost_red*TblMili[[#This Row],[FH''s]],4),fh_spy_cost_cap)+ tech_1_9*TblTech[[#This Row],[1-9]] + tech_9_1*TblTech[[#This Row],[9-1]])*spy_plat,0)</f>
        <v>500</v>
      </c>
      <c r="BR93" s="69" t="n">
        <f aca="false">ROUNDUP((1-MIN(ROUND(fh_spy_cost_red*TblMili[[#This Row],[FH''s]],4),fh_spy_cost_cap)+ tech_1_9*TblTech[[#This Row],[1-9]] + tech_9_1*TblTech[[#This Row],[9-1]])*archspy_plat,0)</f>
        <v>1000</v>
      </c>
      <c r="BS93" s="69" t="n">
        <f aca="false">ROUNDUP((1-MIN(ROUND(wg_wiz_cost_bonus*TblMili[[#This Row],[WG''s]],4),wg_wiz_cost_cap) + tech_1_9_2*TblTech[[#This Row],[1-9]] + tech_9_1_2*TblTech[[#This Row],[9-1]])*wizard_plat,0)</f>
        <v>500</v>
      </c>
      <c r="BT93" s="69" t="n">
        <f aca="false">ROUNDUP((1-MIN(ROUND(wg_wiz_cost_bonus*TblMili[[#This Row],[WG''s]],4),wg_wiz_cost_cap) + tech_1_9_2*TblTech[[#This Row],[1-9]] + tech_9_1_2*TblTech[[#This Row],[9-1]])*archmage_plat,0)</f>
        <v>1000</v>
      </c>
      <c r="BU93" s="132"/>
      <c r="BV93" s="150" t="e">
        <f aca="false">TblConstr[[#This Row],[Homeland]]/TblConstr[[#This Row],[Land]]</f>
        <v>#VALUE!</v>
      </c>
      <c r="BW93" s="150" t="n">
        <f aca="false">TblMili[[#This Row],[WG''s]]</f>
        <v>0</v>
      </c>
      <c r="BX93" s="288" t="e">
        <f aca="false">IF(mystic_cap="none",TblMili[[#This Row],[Hill]]/mystic_bonus,MIN(mystic_cap,TblMili[[#This Row],[Hill]]/mystic_bonus))</f>
        <v>#VALUE!</v>
      </c>
      <c r="BY93" s="288" t="e">
        <f aca="false">IF(druid_op_cap="none",TblMili[[#This Row],[Hill]]/druid_op_bonus,MIN(druid_op_cap,TblMili[[#This Row],[Hill]]/druid_op_bonus))</f>
        <v>#VALUE!</v>
      </c>
      <c r="BZ93" s="288" t="e">
        <f aca="false">IF(druid_dp_cap="none",TblMili[[#This Row],[Hill]]/druid_dp_bonus,MIN(druid_dp_cap,TblMili[[#This Row],[Hill]]/druid_dp_bonus))</f>
        <v>#VALUE!</v>
      </c>
      <c r="CA93" s="288" t="e">
        <f aca="false">MIN(dryad_cap,TblMili[[#This Row],[Hill]]/dryad_bonus)</f>
        <v>#VALUE!</v>
      </c>
      <c r="CB93" s="288" t="e">
        <f aca="false">MIN(rocka_cap,TblMili[[#This Row],[Hill]]/rocka_bonus)</f>
        <v>#VALUE!</v>
      </c>
      <c r="CC93" s="288" t="n">
        <f aca="false">MIN(adept_op_cap,TblMili[[#This Row],[WG]]/adept_op_bonus)</f>
        <v>0</v>
      </c>
      <c r="CD93" s="288" t="n">
        <f aca="false">MIN(adept_dp_cap,TblMili[[#This Row],[WG]]/adept_dp_bonus)</f>
        <v>0</v>
      </c>
      <c r="CE93" s="69" t="n">
        <f aca="false">MIN(TblMili[[#This Row],[Unit 3]],TblMili[[#This Row],[Unit 2]])*2</f>
        <v>1400</v>
      </c>
      <c r="CF93" s="69" t="n">
        <f aca="false">MIN(TblMili[[#This Row],[Unit 1]],TblMili[[#This Row],[Unit 4]])*2</f>
        <v>0</v>
      </c>
      <c r="CG93" s="288" t="e">
        <f aca="false">MIN(frost_mage_cap,TblMili[[#This Row],[Hill]]/frost_mage_bonus)</f>
        <v>#VALUE!</v>
      </c>
      <c r="CH93" s="151" t="n">
        <f aca="false">MIN(ice_elem_cap,TblMili[[#This Row],[Raw (2)]]*ice_elem_bonus)</f>
        <v>0.0357142857142857</v>
      </c>
      <c r="CI93" s="288" t="n">
        <f aca="false">MIN(bone_breaker_cap,250/bone_breaker_bonus)</f>
        <v>0.833333333333333</v>
      </c>
      <c r="CJ93" s="288" t="e">
        <f aca="false">MIN(nox_nightshade_cap,TblConstr[[#This Row],[Homeland]]/TblConstr[[#This Row],[Land]]/nox_nightshade_swamp_bonus)</f>
        <v>#VALUE!</v>
      </c>
      <c r="CK93" s="289"/>
      <c r="CL93" s="289"/>
      <c r="CM93" s="289"/>
      <c r="CN93" s="288" t="e">
        <f aca="false">MIN(6,TblMili[[#This Row],[Mystic]]+Races!$F$19)*1.8 +  IF(TblMili[[#This Row],[Mystic]]+Races!$F$19&gt;6,(TblMili[[#This Row],[Mystic]]+Races!$F$19-6)*0.2,0) - Races!$I$19</f>
        <v>#VALUE!</v>
      </c>
      <c r="CO93" s="288" t="e">
        <f aca="false">1.8 * MIN(MAX(TblMili[[#This Row],[Druid (op)]]+Races!$E$20,TblMili[[#This Row],[Druid (dp)]]+Races!$F$20),6)  +  0.45 * MIN(MIN(TblMili[[#This Row],[Druid (op)]]+Races!$E$20,TblMili[[#This Row],[Druid (dp)]]+Races!$F$20),6)  +  0.2 * ( MAX(TblMili[[#This Row],[Druid (op)]]+Races!$E$20-6,0) + MAX(TblMili[[#This Row],[Druid (dp)]]+Races!$F$20-6,0) )  -  Races!$I$20</f>
        <v>#VALUE!</v>
      </c>
      <c r="CP93" s="69" t="e">
        <f aca="false">TblMili[[#This Row],[Mystic bonus]]*TblMili[[#This Row],[Unit 3]]+TblMili[[#This Row],[Druid bonus]]*TblMili[[#This Row],[Unit 4]]</f>
        <v>#VALUE!</v>
      </c>
      <c r="CQ93" s="148" t="e">
        <f aca="false">MIN(6,TblMili[[#This Row],[Dryad]]+Races!$F$35)*1.8 +  IF(TblMili[[#This Row],[Dryad]]+Races!$F$35&gt;6,(TblMili[[#This Row],[Dryad]]+Races!$F$35-6)*0.2,0) - Races!$I$19</f>
        <v>#VALUE!</v>
      </c>
      <c r="CR93" s="69" t="e">
        <f aca="false">sylvan*(TblMili[[#This Row],[Mystic bonus]]*TblMili[[#This Row],[Unit 3]])</f>
        <v>#VALUE!</v>
      </c>
      <c r="CS93" s="148" t="e">
        <f aca="false">1.8 * MIN(MAX(Races!$E$27,TblMili[[#This Row],[Rockapult]]+Races!$F$27),6)  +  0.45 * MIN(MIN(Races!$E$27,TblMili[[#This Row],[Rockapult]]+Races!$F$27),6)  +  0.2 * ( MAX(Races!$E$27-6,0) + MAX(TblMili[[#This Row],[Rockapult]]+Races!$F$27-6,0) )  -  Races!$I$20</f>
        <v>#VALUE!</v>
      </c>
      <c r="CT93" s="69" t="e">
        <f aca="false">gnome*(TblMili[[#This Row],[Rockapult bonus]]*TblMili[[#This Row],[Unit 3]])</f>
        <v>#VALUE!</v>
      </c>
      <c r="CU93" s="148" t="n">
        <f aca="false">1.8 * MIN(MAX(TblMili[[#This Row],[Spellblade]]+Races!$E$47,TblMili[[#This Row],[Adept-DP]]+Races!$F$47),6)  +  0.45 * MIN(MIN(TblMili[[#This Row],[Spellblade]]+Races!$E$47,TblMili[[#This Row],[Adept-DP]]+Races!$F$47),6)  +  0.2 * ( MAX(TblMili[[#This Row],[Spellblade]]+Races!$E$47-6,0) + MAX(TblMili[[#This Row],[Adept-DP]]+Races!$F$47-6,0) )  -  Races!$I$47</f>
        <v>0</v>
      </c>
      <c r="CV93" s="69" t="n">
        <f aca="false">dark_elf*(TblMili[[#This Row],[Adept bonus]]*TblMili[[#This Row],[Unit 3]])</f>
        <v>0</v>
      </c>
      <c r="CW93" s="148" t="e">
        <f aca="false">1.8 * MIN(MAX(TblMili[[#This Row],[Frost Mage]]+Races!$F$71,Races!$E$71),6)  +  0.45 * MIN(MIN(TblMili[[#This Row],[Frost Mage]]+Races!$F$71,Races!$E$71),6)  +  0.2 * ( MAX(TblMili[[#This Row],[Frost Mage]]+Races!$F$71-6,0) + MAX(Races!$E$71-6,0) )  -  Races!$I$71</f>
        <v>#VALUE!</v>
      </c>
      <c r="CX93" s="148" t="n">
        <f aca="false">1.8 * MIN(MAX(TblMili[[#This Row],[Ice Elemental]]+Races!$E$71,Races!$F$71),6)  +  0.45 * MIN(MIN(TblMili[[#This Row],[Ice Elemental]]+Races!$E$71,Races!$F$71),6)  +  0.2 * ( MAX(TblMili[[#This Row],[Ice Elemental]]+Races!$E$71-6,0) + MAX(Races!$F$71-6,0) )  -  Races!$I$71</f>
        <v>0.064285714285715</v>
      </c>
      <c r="CY93" s="69" t="e">
        <f aca="false">TblMili[[#This Row],[Frost Mage bonus]]*TblMili[[#This Row],[Unit 3]]+TblMili[[#This Row],[Ice Elemental bonus]]*TblMili[[#This Row],[Unit 4]]</f>
        <v>#VALUE!</v>
      </c>
      <c r="CZ93" s="290"/>
      <c r="DA93" s="109" t="n">
        <f aca="false">MIN(SUM(TblConstr[[#This Row],[Plain]:[Water]])/TblMili[[#This Row],[Land]]/favorable_terrain_bonus/100,favorable_terrain_max)</f>
        <v>0</v>
      </c>
      <c r="DB93" s="290"/>
      <c r="DC9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3" s="132"/>
      <c r="DE93" s="291" t="n">
        <f aca="false">(TblMili[[#This Row],[Wizards]]+2*TblMili[[#This Row],[Archmages]])/TblConstr[[#This Row],[Land]]</f>
        <v>0.0357142857142857</v>
      </c>
      <c r="DF93" s="291" t="n">
        <f aca="false">TblMili[[#This Row],[Raw (2)]]*(1+race_wizard_strength+IF(TblMili[[#This Row],[Hour]]&gt;72,tech_magical_weaponry_wiz*TblTech[[#This Row],[3-5]],0))</f>
        <v>0.0357142857142857</v>
      </c>
    </row>
    <row r="94" customFormat="false" ht="12.75" hidden="false" customHeight="false" outlineLevel="0" collapsed="false">
      <c r="A94" s="128" t="n">
        <f aca="false">TblRezone[[#This Row],[Hour]]</f>
        <v>91</v>
      </c>
      <c r="B94" s="282" t="n">
        <f aca="false">SUM(TblMili[[#This Row],[Unit 1]:[Archmages]])+SUM(OFFSET(TblMili[[#This Row],[Train Unit 1]],-8,0):TblMili[[#This Row],[Train Unit 2]]) + SUM(OFFSET(TblMili[[#This Row],[Train Unit 3]],-11,0):TblMili[[#This Row],[Train AM]]) + TblMili[[#This Row],[Draftees]]</f>
        <v>4582</v>
      </c>
      <c r="C94" s="150" t="n">
        <f aca="false">TblPop[[#This Row],[Military%]]</f>
        <v>0.354123193446171</v>
      </c>
      <c r="D94" s="132"/>
      <c r="E94" s="151" t="n">
        <f aca="false">OFFSET(TblMili[[#This Row],[Unit 1]],-1,0) + OFFSET(TblMili[[#This Row],[Train Unit 1]],-9,0) - TblMili[[#This Row],[Release Unit 1]]</f>
        <v>0</v>
      </c>
      <c r="F94" s="151" t="n">
        <f aca="false">OFFSET(TblMili[[#This Row],[Unit 2]],-1,0) + OFFSET(TblMili[[#This Row],[Train Unit 2]],-9,0)-TblMili[[#This Row],[Release Unit 2]]</f>
        <v>1246</v>
      </c>
      <c r="G94" s="151" t="n">
        <f aca="false">OFFSET(TblMili[[#This Row],[Unit 3]],-1,0) + OFFSET(TblMili[[#This Row],[Train Unit 3]],-12,0)-TblMili[[#This Row],[Release Unit 3]]</f>
        <v>700</v>
      </c>
      <c r="H94" s="151" t="n">
        <f aca="false">OFFSET(TblMili[[#This Row],[Unit 4]],-1,0) + OFFSET(TblMili[[#This Row],[Train Unit 4]],-12,0)-TblMili[[#This Row],[Release Unit 4]]</f>
        <v>1228</v>
      </c>
      <c r="I94" s="151" t="n">
        <f aca="false">OFFSET(TblMili[[#This Row],[Spies]],-1,0) + OFFSET(TblMili[[#This Row],[Train Spies]],-12,0) - TblMili[[#This Row],[Release Spies]]-TblMili[[#This Row],[Train AS]]</f>
        <v>25</v>
      </c>
      <c r="J94" s="151" t="n">
        <f aca="false">OFFSET(TblMili[[#This Row],[Archspies]],-1,0) + OFFSET(TblMili[[#This Row],[Train AS]],-12,0) - TblMili[[#This Row],[Release AS]]</f>
        <v>0</v>
      </c>
      <c r="K94" s="151" t="n">
        <f aca="false">OFFSET(TblMili[[#This Row],[Wizards]],-1,0) + OFFSET(TblMili[[#This Row],[Train Wiz]],-12,0) - TblMili[[#This Row],[Release Wizards]]-TblMili[[#This Row],[Train AM]]</f>
        <v>25</v>
      </c>
      <c r="L94" s="151" t="n">
        <f aca="false">OFFSET(TblMili[[#This Row],[Archmages]],-1,0) + OFFSET(TblMili[[#This Row],[Train AM]],-12,0) - TblMili[[#This Row],[Release AM]]</f>
        <v>0</v>
      </c>
      <c r="M94" s="132"/>
      <c r="N94" s="69" t="e">
        <f aca="false">TblProd[[#This Row],[Networth]]</f>
        <v>#VALUE!</v>
      </c>
      <c r="O94" s="132"/>
      <c r="P9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4" s="285" t="e">
        <f aca="false">TblMili[[#This Row],[Raw]]*(1+TblMili[[#This Row],[Mods_Off]])</f>
        <v>#VALUE!</v>
      </c>
      <c r="S9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4" s="285" t="e">
        <f aca="false">TblMili[[#This Row],[Non Draft]]+TblMili[[#This Row],[Draftees]]</f>
        <v>#VALUE!</v>
      </c>
      <c r="U94" s="286" t="n">
        <f aca="false">race_defense + TblImps[[#This Row],[Walls]] + ROUND( MIN(gt_bonus*TblConstr[[#This Row],[Tot GT]]/TblConstr[[#This Row],[Land]],gt_bonus_cap), 4) + IF(TblMagic[[#This Row],[Active Howling]]&gt;0,howling_dp_bonus,IF(TblMagic[[#This Row],[Active Ares Call]]&gt;0,ares_call_bonus))</f>
        <v>0.2375</v>
      </c>
      <c r="V94" s="274" t="e">
        <f aca="false">TblMili[[#This Row],[Non Draft]] * (1 + TblMili[[#This Row],[Mods_Def]])</f>
        <v>#VALUE!</v>
      </c>
      <c r="W94" s="285" t="e">
        <f aca="false">TblMili[[#This Row],[Draft]] * (1 + TblMili[[#This Row],[Mods_Def]])</f>
        <v>#VALUE!</v>
      </c>
      <c r="X94" s="285" t="n">
        <f aca="false">TblConstr[[#This Row],[Land]]</f>
        <v>700</v>
      </c>
      <c r="Y94" s="287"/>
      <c r="Z94" s="109" t="n">
        <f aca="false">IF(TblMili[[#This Row],[Set]]&lt;&gt;"",TblMili[[#This Row],[Set]],OFFSET(TblMili[[#This Row],[Draftrate]],-1,0))</f>
        <v>0.9</v>
      </c>
      <c r="AA94" s="69" t="n">
        <f aca="false">OFFSET(TblMili[[#This Row],[Draftees]],-1,0)+OFFSET(TblPop[[#This Row],[Draft Growth]],-1,0) - SUM(TblMili[[#This Row],[Train Unit 1]:[Train Spies]],TblMili[[#This Row],[Train Wiz]]) - TblMili[[#This Row],[Release Draft]] + SUM(TblMili[[#This Row],[Release Unit 1]:[Release AM]]) - TblExplore[[#This Row],[Draftees (2)]]</f>
        <v>1358</v>
      </c>
      <c r="AB94" s="146"/>
      <c r="AC94" s="130" t="n">
        <f aca="false">(TblConstr[[#This Row],[Tot Smi]]+TblConstr[[#This Row],[Dest Smi]])/(TblConstr[[#This Row],[Land]]-TblExplore[[#This Row],[Land Bonus]]*20)</f>
        <v>0.18</v>
      </c>
      <c r="AD94" s="128"/>
      <c r="AE94" s="282" t="n">
        <f aca="false">TblMili[[#This Row],[Hour]]</f>
        <v>91</v>
      </c>
      <c r="AF94" s="129" t="n">
        <f aca="false">TblExplore[[#This Row],[Time]]</f>
        <v>45433.5</v>
      </c>
      <c r="AG94" s="182"/>
      <c r="AH94" s="182"/>
      <c r="AI94" s="182"/>
      <c r="AJ94" s="182"/>
      <c r="AK94" s="182"/>
      <c r="AL94" s="182"/>
      <c r="AM94" s="182"/>
      <c r="AN94" s="182"/>
      <c r="AO94" s="132"/>
      <c r="AP94" s="69" t="n">
        <f aca="false">TblProd[[#This Row],[Platinum]]</f>
        <v>774328</v>
      </c>
      <c r="AQ94" s="69" t="n">
        <f aca="false">INDEX(TblProd[[#Headers],[Lumber]]:TblProd[[#This Row],[Ore]],COUNTA(TblProd[[#Headers],[Lumber]]:TblProd[[#This Row],[Lumber]]),MATCH(Military!$AQ$2,TblProd[[#Headers],[Lumber]:[Ore]],0))</f>
        <v>0</v>
      </c>
      <c r="AR9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69" t="n">
        <f aca="false">TblMili[[#This Row],[Train Unit 1]]*TblMili[[#This Row],[OP Ore]]+TblMili[[#This Row],[Train Unit 2]]*TblMili[[#This Row],[DP Ore]]+TblMili[[#This Row],[Train Unit 3]]*TblMili[[#This Row],[E1 Ore]]+TblMili[[#This Row],[Train Unit 4]]*TblMili[[#This Row],[E2 Ore]]</f>
        <v>0</v>
      </c>
      <c r="AT94" s="132" t="n">
        <f aca="false">TblMili[[#This Row],[Hour]]</f>
        <v>91</v>
      </c>
      <c r="AU94" s="144" t="n">
        <f aca="false">TblMili[[#This Row],[Time]]</f>
        <v>45433.5</v>
      </c>
      <c r="AV94" s="69" t="n">
        <f aca="false">TblMili[[#This Row],[Draftees]]</f>
        <v>1358</v>
      </c>
      <c r="AW94" s="182"/>
      <c r="AX94" s="182"/>
      <c r="AY94" s="182"/>
      <c r="AZ94" s="182"/>
      <c r="BA94" s="182"/>
      <c r="BB94" s="182"/>
      <c r="BC94" s="182"/>
      <c r="BD94" s="182"/>
      <c r="BE94" s="182"/>
      <c r="BF94" s="132"/>
      <c r="BG94" s="150" t="n">
        <f aca="false">TblConstr[[#This Row],[Tot WG]]/TblConstr[[#This Row],[Land]]</f>
        <v>0</v>
      </c>
      <c r="BH94" s="150" t="n">
        <f aca="false">TblConstr[[#This Row],[Tot Hav]]/TblConstr[[#This Row],[Land]]</f>
        <v>0</v>
      </c>
      <c r="BI94" s="69" t="n">
        <f aca="false">ROUNDUP((1-MIN(TblMili[[#This Row],[Smithies]]*smithy_bonus,smithy_bonus_cap) + tech_3_5*TblTech[[#This Row],[3-5]] + tech_5_3*TblTech[[#This Row],[5-3]] + tech_5_5*TblTech[[#This Row],[5-5]])*spec_op_plat,0)</f>
        <v>192</v>
      </c>
      <c r="BJ94" s="69" t="n">
        <f aca="false">ROUNDUP(IF(race="Gnome",1,(1-MIN(TblMili[[#This Row],[Smithies]]*smithy_bonus,smithy_bonus_cap) + tech_3_5*TblTech[[#This Row],[3-5]] + tech_5_3*TblTech[[#This Row],[5-3]] + tech_5_5*TblTech[[#This Row],[5-5]]))*spec_op_ore,0)</f>
        <v>0</v>
      </c>
      <c r="BK94" s="69" t="n">
        <f aca="false">ROUNDUP((1-MIN(TblMili[[#This Row],[Smithies]]*smithy_bonus,smithy_bonus_cap) + tech_3_5*TblTech[[#This Row],[3-5]] + tech_5_3*TblTech[[#This Row],[5-3]] + tech_5_5*TblTech[[#This Row],[5-5]])*spec_dp_plat,0)</f>
        <v>192</v>
      </c>
      <c r="BL94" s="69" t="n">
        <f aca="false">ROUNDUP(IF(race="Gnome",1,(1-MIN(TblMili[[#This Row],[Smithies]]*smithy_bonus,smithy_bonus_cap) + tech_3_5*TblTech[[#This Row],[3-5]] + tech_5_3*TblTech[[#This Row],[5-3]] + tech_5_5*TblTech[[#This Row],[5-5]]))*spec_dp_ore,0)</f>
        <v>0</v>
      </c>
      <c r="BM94" s="69" t="n">
        <f aca="false">ROUNDUP((1-MIN(TblMili[[#This Row],[Smithies]]*smithy_bonus,smithy_bonus_cap) + tech_3_5*TblTech[[#This Row],[3-5]] + tech_5_3*TblTech[[#This Row],[5-3]] + tech_5_5*TblTech[[#This Row],[5-5]])*elite1_plat,0)</f>
        <v>592</v>
      </c>
      <c r="BN94" s="69" t="n">
        <f aca="false">ROUNDUP(IF(race="Gnome",1,(1-MIN(TblMili[[#This Row],[Smithies]]*smithy_bonus,smithy_bonus_cap) + tech_3_5*TblTech[[#This Row],[3-5]] + tech_5_3*TblTech[[#This Row],[5-3]] + tech_5_5*TblTech[[#This Row],[5-5]]))*elite1_ore,0)</f>
        <v>0</v>
      </c>
      <c r="BO94" s="69" t="n">
        <f aca="false">ROUNDUP((1-MIN(TblMili[[#This Row],[Smithies]]*smithy_bonus,smithy_bonus_cap) + tech_3_5*TblTech[[#This Row],[3-5]] + tech_5_3*TblTech[[#This Row],[5-3]] + tech_5_5*TblTech[[#This Row],[5-5]])*elite2_plat,0)</f>
        <v>608</v>
      </c>
      <c r="BP94" s="69" t="n">
        <f aca="false">ROUNDUP(IF(race="Gnome",1,(1-MIN(TblMili[[#This Row],[Smithies]]*smithy_bonus,smithy_bonus_cap) + tech_3_5*TblTech[[#This Row],[3-5]] + tech_5_3*TblTech[[#This Row],[5-3]] + tech_5_5*TblTech[[#This Row],[5-5]]))*elite2_ore,0)</f>
        <v>0</v>
      </c>
      <c r="BQ94" s="69" t="n">
        <f aca="false">ROUNDUP((1-MIN(ROUND(fh_spy_cost_red*TblMili[[#This Row],[FH''s]],4),fh_spy_cost_cap)+ tech_1_9*TblTech[[#This Row],[1-9]] + tech_9_1*TblTech[[#This Row],[9-1]])*spy_plat,0)</f>
        <v>500</v>
      </c>
      <c r="BR94" s="69" t="n">
        <f aca="false">ROUNDUP((1-MIN(ROUND(fh_spy_cost_red*TblMili[[#This Row],[FH''s]],4),fh_spy_cost_cap)+ tech_1_9*TblTech[[#This Row],[1-9]] + tech_9_1*TblTech[[#This Row],[9-1]])*archspy_plat,0)</f>
        <v>1000</v>
      </c>
      <c r="BS94" s="69" t="n">
        <f aca="false">ROUNDUP((1-MIN(ROUND(wg_wiz_cost_bonus*TblMili[[#This Row],[WG''s]],4),wg_wiz_cost_cap) + tech_1_9_2*TblTech[[#This Row],[1-9]] + tech_9_1_2*TblTech[[#This Row],[9-1]])*wizard_plat,0)</f>
        <v>500</v>
      </c>
      <c r="BT94" s="69" t="n">
        <f aca="false">ROUNDUP((1-MIN(ROUND(wg_wiz_cost_bonus*TblMili[[#This Row],[WG''s]],4),wg_wiz_cost_cap) + tech_1_9_2*TblTech[[#This Row],[1-9]] + tech_9_1_2*TblTech[[#This Row],[9-1]])*archmage_plat,0)</f>
        <v>1000</v>
      </c>
      <c r="BU94" s="132"/>
      <c r="BV94" s="150" t="e">
        <f aca="false">TblConstr[[#This Row],[Homeland]]/TblConstr[[#This Row],[Land]]</f>
        <v>#VALUE!</v>
      </c>
      <c r="BW94" s="150" t="n">
        <f aca="false">TblMili[[#This Row],[WG''s]]</f>
        <v>0</v>
      </c>
      <c r="BX94" s="288" t="e">
        <f aca="false">IF(mystic_cap="none",TblMili[[#This Row],[Hill]]/mystic_bonus,MIN(mystic_cap,TblMili[[#This Row],[Hill]]/mystic_bonus))</f>
        <v>#VALUE!</v>
      </c>
      <c r="BY94" s="288" t="e">
        <f aca="false">IF(druid_op_cap="none",TblMili[[#This Row],[Hill]]/druid_op_bonus,MIN(druid_op_cap,TblMili[[#This Row],[Hill]]/druid_op_bonus))</f>
        <v>#VALUE!</v>
      </c>
      <c r="BZ94" s="288" t="e">
        <f aca="false">IF(druid_dp_cap="none",TblMili[[#This Row],[Hill]]/druid_dp_bonus,MIN(druid_dp_cap,TblMili[[#This Row],[Hill]]/druid_dp_bonus))</f>
        <v>#VALUE!</v>
      </c>
      <c r="CA94" s="288" t="e">
        <f aca="false">MIN(dryad_cap,TblMili[[#This Row],[Hill]]/dryad_bonus)</f>
        <v>#VALUE!</v>
      </c>
      <c r="CB94" s="288" t="e">
        <f aca="false">MIN(rocka_cap,TblMili[[#This Row],[Hill]]/rocka_bonus)</f>
        <v>#VALUE!</v>
      </c>
      <c r="CC94" s="288" t="n">
        <f aca="false">MIN(adept_op_cap,TblMili[[#This Row],[WG]]/adept_op_bonus)</f>
        <v>0</v>
      </c>
      <c r="CD94" s="288" t="n">
        <f aca="false">MIN(adept_dp_cap,TblMili[[#This Row],[WG]]/adept_dp_bonus)</f>
        <v>0</v>
      </c>
      <c r="CE94" s="69" t="n">
        <f aca="false">MIN(TblMili[[#This Row],[Unit 3]],TblMili[[#This Row],[Unit 2]])*2</f>
        <v>1400</v>
      </c>
      <c r="CF94" s="69" t="n">
        <f aca="false">MIN(TblMili[[#This Row],[Unit 1]],TblMili[[#This Row],[Unit 4]])*2</f>
        <v>0</v>
      </c>
      <c r="CG94" s="288" t="e">
        <f aca="false">MIN(frost_mage_cap,TblMili[[#This Row],[Hill]]/frost_mage_bonus)</f>
        <v>#VALUE!</v>
      </c>
      <c r="CH94" s="151" t="n">
        <f aca="false">MIN(ice_elem_cap,TblMili[[#This Row],[Raw (2)]]*ice_elem_bonus)</f>
        <v>0.0357142857142857</v>
      </c>
      <c r="CI94" s="288" t="n">
        <f aca="false">MIN(bone_breaker_cap,250/bone_breaker_bonus)</f>
        <v>0.833333333333333</v>
      </c>
      <c r="CJ94" s="288" t="e">
        <f aca="false">MIN(nox_nightshade_cap,TblConstr[[#This Row],[Homeland]]/TblConstr[[#This Row],[Land]]/nox_nightshade_swamp_bonus)</f>
        <v>#VALUE!</v>
      </c>
      <c r="CK94" s="289"/>
      <c r="CL94" s="289"/>
      <c r="CM94" s="289"/>
      <c r="CN94" s="288" t="e">
        <f aca="false">MIN(6,TblMili[[#This Row],[Mystic]]+Races!$F$19)*1.8 +  IF(TblMili[[#This Row],[Mystic]]+Races!$F$19&gt;6,(TblMili[[#This Row],[Mystic]]+Races!$F$19-6)*0.2,0) - Races!$I$19</f>
        <v>#VALUE!</v>
      </c>
      <c r="CO94" s="288" t="e">
        <f aca="false">1.8 * MIN(MAX(TblMili[[#This Row],[Druid (op)]]+Races!$E$20,TblMili[[#This Row],[Druid (dp)]]+Races!$F$20),6)  +  0.45 * MIN(MIN(TblMili[[#This Row],[Druid (op)]]+Races!$E$20,TblMili[[#This Row],[Druid (dp)]]+Races!$F$20),6)  +  0.2 * ( MAX(TblMili[[#This Row],[Druid (op)]]+Races!$E$20-6,0) + MAX(TblMili[[#This Row],[Druid (dp)]]+Races!$F$20-6,0) )  -  Races!$I$20</f>
        <v>#VALUE!</v>
      </c>
      <c r="CP94" s="69" t="e">
        <f aca="false">TblMili[[#This Row],[Mystic bonus]]*TblMili[[#This Row],[Unit 3]]+TblMili[[#This Row],[Druid bonus]]*TblMili[[#This Row],[Unit 4]]</f>
        <v>#VALUE!</v>
      </c>
      <c r="CQ94" s="148" t="e">
        <f aca="false">MIN(6,TblMili[[#This Row],[Dryad]]+Races!$F$35)*1.8 +  IF(TblMili[[#This Row],[Dryad]]+Races!$F$35&gt;6,(TblMili[[#This Row],[Dryad]]+Races!$F$35-6)*0.2,0) - Races!$I$19</f>
        <v>#VALUE!</v>
      </c>
      <c r="CR94" s="69" t="e">
        <f aca="false">sylvan*(TblMili[[#This Row],[Mystic bonus]]*TblMili[[#This Row],[Unit 3]])</f>
        <v>#VALUE!</v>
      </c>
      <c r="CS94" s="148" t="e">
        <f aca="false">1.8 * MIN(MAX(Races!$E$27,TblMili[[#This Row],[Rockapult]]+Races!$F$27),6)  +  0.45 * MIN(MIN(Races!$E$27,TblMili[[#This Row],[Rockapult]]+Races!$F$27),6)  +  0.2 * ( MAX(Races!$E$27-6,0) + MAX(TblMili[[#This Row],[Rockapult]]+Races!$F$27-6,0) )  -  Races!$I$20</f>
        <v>#VALUE!</v>
      </c>
      <c r="CT94" s="69" t="e">
        <f aca="false">gnome*(TblMili[[#This Row],[Rockapult bonus]]*TblMili[[#This Row],[Unit 3]])</f>
        <v>#VALUE!</v>
      </c>
      <c r="CU94" s="148" t="n">
        <f aca="false">1.8 * MIN(MAX(TblMili[[#This Row],[Spellblade]]+Races!$E$47,TblMili[[#This Row],[Adept-DP]]+Races!$F$47),6)  +  0.45 * MIN(MIN(TblMili[[#This Row],[Spellblade]]+Races!$E$47,TblMili[[#This Row],[Adept-DP]]+Races!$F$47),6)  +  0.2 * ( MAX(TblMili[[#This Row],[Spellblade]]+Races!$E$47-6,0) + MAX(TblMili[[#This Row],[Adept-DP]]+Races!$F$47-6,0) )  -  Races!$I$47</f>
        <v>0</v>
      </c>
      <c r="CV94" s="69" t="n">
        <f aca="false">dark_elf*(TblMili[[#This Row],[Adept bonus]]*TblMili[[#This Row],[Unit 3]])</f>
        <v>0</v>
      </c>
      <c r="CW94" s="148" t="e">
        <f aca="false">1.8 * MIN(MAX(TblMili[[#This Row],[Frost Mage]]+Races!$F$71,Races!$E$71),6)  +  0.45 * MIN(MIN(TblMili[[#This Row],[Frost Mage]]+Races!$F$71,Races!$E$71),6)  +  0.2 * ( MAX(TblMili[[#This Row],[Frost Mage]]+Races!$F$71-6,0) + MAX(Races!$E$71-6,0) )  -  Races!$I$71</f>
        <v>#VALUE!</v>
      </c>
      <c r="CX94" s="148" t="n">
        <f aca="false">1.8 * MIN(MAX(TblMili[[#This Row],[Ice Elemental]]+Races!$E$71,Races!$F$71),6)  +  0.45 * MIN(MIN(TblMili[[#This Row],[Ice Elemental]]+Races!$E$71,Races!$F$71),6)  +  0.2 * ( MAX(TblMili[[#This Row],[Ice Elemental]]+Races!$E$71-6,0) + MAX(Races!$F$71-6,0) )  -  Races!$I$71</f>
        <v>0.064285714285715</v>
      </c>
      <c r="CY94" s="69" t="e">
        <f aca="false">TblMili[[#This Row],[Frost Mage bonus]]*TblMili[[#This Row],[Unit 3]]+TblMili[[#This Row],[Ice Elemental bonus]]*TblMili[[#This Row],[Unit 4]]</f>
        <v>#VALUE!</v>
      </c>
      <c r="CZ94" s="290"/>
      <c r="DA94" s="109" t="n">
        <f aca="false">MIN(SUM(TblConstr[[#This Row],[Plain]:[Water]])/TblMili[[#This Row],[Land]]/favorable_terrain_bonus/100,favorable_terrain_max)</f>
        <v>0</v>
      </c>
      <c r="DB94" s="290"/>
      <c r="DC9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4" s="132"/>
      <c r="DE94" s="291" t="n">
        <f aca="false">(TblMili[[#This Row],[Wizards]]+2*TblMili[[#This Row],[Archmages]])/TblConstr[[#This Row],[Land]]</f>
        <v>0.0357142857142857</v>
      </c>
      <c r="DF94" s="291" t="n">
        <f aca="false">TblMili[[#This Row],[Raw (2)]]*(1+race_wizard_strength+IF(TblMili[[#This Row],[Hour]]&gt;72,tech_magical_weaponry_wiz*TblTech[[#This Row],[3-5]],0))</f>
        <v>0.0357142857142857</v>
      </c>
    </row>
    <row r="95" customFormat="false" ht="12.75" hidden="false" customHeight="false" outlineLevel="0" collapsed="false">
      <c r="A95" s="128" t="n">
        <f aca="false">TblRezone[[#This Row],[Hour]]</f>
        <v>92</v>
      </c>
      <c r="B95" s="282" t="n">
        <f aca="false">SUM(TblMili[[#This Row],[Unit 1]:[Archmages]])+SUM(OFFSET(TblMili[[#This Row],[Train Unit 1]],-8,0):TblMili[[#This Row],[Train Unit 2]]) + SUM(OFFSET(TblMili[[#This Row],[Train Unit 3]],-11,0):TblMili[[#This Row],[Train AM]]) + TblMili[[#This Row],[Draftees]]</f>
        <v>4666</v>
      </c>
      <c r="C95" s="150" t="n">
        <f aca="false">TblPop[[#This Row],[Military%]]</f>
        <v>0.360615194373599</v>
      </c>
      <c r="D95" s="132"/>
      <c r="E95" s="151" t="n">
        <f aca="false">OFFSET(TblMili[[#This Row],[Unit 1]],-1,0) + OFFSET(TblMili[[#This Row],[Train Unit 1]],-9,0) - TblMili[[#This Row],[Release Unit 1]]</f>
        <v>0</v>
      </c>
      <c r="F95" s="151" t="n">
        <f aca="false">OFFSET(TblMili[[#This Row],[Unit 2]],-1,0) + OFFSET(TblMili[[#This Row],[Train Unit 2]],-9,0)-TblMili[[#This Row],[Release Unit 2]]</f>
        <v>1246</v>
      </c>
      <c r="G95" s="151" t="n">
        <f aca="false">OFFSET(TblMili[[#This Row],[Unit 3]],-1,0) + OFFSET(TblMili[[#This Row],[Train Unit 3]],-12,0)-TblMili[[#This Row],[Release Unit 3]]</f>
        <v>700</v>
      </c>
      <c r="H95" s="151" t="n">
        <f aca="false">OFFSET(TblMili[[#This Row],[Unit 4]],-1,0) + OFFSET(TblMili[[#This Row],[Train Unit 4]],-12,0)-TblMili[[#This Row],[Release Unit 4]]</f>
        <v>1228</v>
      </c>
      <c r="I95" s="151" t="n">
        <f aca="false">OFFSET(TblMili[[#This Row],[Spies]],-1,0) + OFFSET(TblMili[[#This Row],[Train Spies]],-12,0) - TblMili[[#This Row],[Release Spies]]-TblMili[[#This Row],[Train AS]]</f>
        <v>25</v>
      </c>
      <c r="J95" s="151" t="n">
        <f aca="false">OFFSET(TblMili[[#This Row],[Archspies]],-1,0) + OFFSET(TblMili[[#This Row],[Train AS]],-12,0) - TblMili[[#This Row],[Release AS]]</f>
        <v>0</v>
      </c>
      <c r="K95" s="151" t="n">
        <f aca="false">OFFSET(TblMili[[#This Row],[Wizards]],-1,0) + OFFSET(TblMili[[#This Row],[Train Wiz]],-12,0) - TblMili[[#This Row],[Release Wizards]]-TblMili[[#This Row],[Train AM]]</f>
        <v>25</v>
      </c>
      <c r="L95" s="151" t="n">
        <f aca="false">OFFSET(TblMili[[#This Row],[Archmages]],-1,0) + OFFSET(TblMili[[#This Row],[Train AM]],-12,0) - TblMili[[#This Row],[Release AM]]</f>
        <v>0</v>
      </c>
      <c r="M95" s="132"/>
      <c r="N95" s="69" t="e">
        <f aca="false">TblProd[[#This Row],[Networth]]</f>
        <v>#VALUE!</v>
      </c>
      <c r="O95" s="132"/>
      <c r="P9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5" s="285" t="e">
        <f aca="false">TblMili[[#This Row],[Raw]]*(1+TblMili[[#This Row],[Mods_Off]])</f>
        <v>#VALUE!</v>
      </c>
      <c r="S9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5" s="285" t="e">
        <f aca="false">TblMili[[#This Row],[Non Draft]]+TblMili[[#This Row],[Draftees]]</f>
        <v>#VALUE!</v>
      </c>
      <c r="U95" s="286" t="n">
        <f aca="false">race_defense + TblImps[[#This Row],[Walls]] + ROUND( MIN(gt_bonus*TblConstr[[#This Row],[Tot GT]]/TblConstr[[#This Row],[Land]],gt_bonus_cap), 4) + IF(TblMagic[[#This Row],[Active Howling]]&gt;0,howling_dp_bonus,IF(TblMagic[[#This Row],[Active Ares Call]]&gt;0,ares_call_bonus))</f>
        <v>0.2375</v>
      </c>
      <c r="V95" s="274" t="e">
        <f aca="false">TblMili[[#This Row],[Non Draft]] * (1 + TblMili[[#This Row],[Mods_Def]])</f>
        <v>#VALUE!</v>
      </c>
      <c r="W95" s="285" t="e">
        <f aca="false">TblMili[[#This Row],[Draft]] * (1 + TblMili[[#This Row],[Mods_Def]])</f>
        <v>#VALUE!</v>
      </c>
      <c r="X95" s="285" t="n">
        <f aca="false">TblConstr[[#This Row],[Land]]</f>
        <v>700</v>
      </c>
      <c r="Y95" s="287"/>
      <c r="Z95" s="109" t="n">
        <f aca="false">IF(TblMili[[#This Row],[Set]]&lt;&gt;"",TblMili[[#This Row],[Set]],OFFSET(TblMili[[#This Row],[Draftrate]],-1,0))</f>
        <v>0.9</v>
      </c>
      <c r="AA95" s="69" t="n">
        <f aca="false">OFFSET(TblMili[[#This Row],[Draftees]],-1,0)+OFFSET(TblPop[[#This Row],[Draft Growth]],-1,0) - SUM(TblMili[[#This Row],[Train Unit 1]:[Train Spies]],TblMili[[#This Row],[Train Wiz]]) - TblMili[[#This Row],[Release Draft]] + SUM(TblMili[[#This Row],[Release Unit 1]:[Release AM]]) - TblExplore[[#This Row],[Draftees (2)]]</f>
        <v>1442</v>
      </c>
      <c r="AB95" s="146"/>
      <c r="AC95" s="130" t="n">
        <f aca="false">(TblConstr[[#This Row],[Tot Smi]]+TblConstr[[#This Row],[Dest Smi]])/(TblConstr[[#This Row],[Land]]-TblExplore[[#This Row],[Land Bonus]]*20)</f>
        <v>0.18</v>
      </c>
      <c r="AD95" s="128"/>
      <c r="AE95" s="282" t="n">
        <f aca="false">TblMili[[#This Row],[Hour]]</f>
        <v>92</v>
      </c>
      <c r="AF95" s="129" t="n">
        <f aca="false">TblExplore[[#This Row],[Time]]</f>
        <v>45433.5416666667</v>
      </c>
      <c r="AG95" s="182"/>
      <c r="AH95" s="182"/>
      <c r="AI95" s="182"/>
      <c r="AJ95" s="182"/>
      <c r="AK95" s="182"/>
      <c r="AL95" s="182"/>
      <c r="AM95" s="182"/>
      <c r="AN95" s="182"/>
      <c r="AO95" s="132"/>
      <c r="AP95" s="69" t="n">
        <f aca="false">TblProd[[#This Row],[Platinum]]</f>
        <v>816693</v>
      </c>
      <c r="AQ95" s="69" t="n">
        <f aca="false">INDEX(TblProd[[#Headers],[Lumber]]:TblProd[[#This Row],[Ore]],COUNTA(TblProd[[#Headers],[Lumber]]:TblProd[[#This Row],[Lumber]]),MATCH(Military!$AQ$2,TblProd[[#Headers],[Lumber]:[Ore]],0))</f>
        <v>0</v>
      </c>
      <c r="AR9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69" t="n">
        <f aca="false">TblMili[[#This Row],[Train Unit 1]]*TblMili[[#This Row],[OP Ore]]+TblMili[[#This Row],[Train Unit 2]]*TblMili[[#This Row],[DP Ore]]+TblMili[[#This Row],[Train Unit 3]]*TblMili[[#This Row],[E1 Ore]]+TblMili[[#This Row],[Train Unit 4]]*TblMili[[#This Row],[E2 Ore]]</f>
        <v>0</v>
      </c>
      <c r="AT95" s="132" t="n">
        <f aca="false">TblMili[[#This Row],[Hour]]</f>
        <v>92</v>
      </c>
      <c r="AU95" s="144" t="n">
        <f aca="false">TblMili[[#This Row],[Time]]</f>
        <v>45433.5416666667</v>
      </c>
      <c r="AV95" s="69" t="n">
        <f aca="false">TblMili[[#This Row],[Draftees]]</f>
        <v>1442</v>
      </c>
      <c r="AW95" s="182"/>
      <c r="AX95" s="182"/>
      <c r="AY95" s="182"/>
      <c r="AZ95" s="182"/>
      <c r="BA95" s="182"/>
      <c r="BB95" s="182"/>
      <c r="BC95" s="182"/>
      <c r="BD95" s="182"/>
      <c r="BE95" s="182"/>
      <c r="BF95" s="132"/>
      <c r="BG95" s="150" t="n">
        <f aca="false">TblConstr[[#This Row],[Tot WG]]/TblConstr[[#This Row],[Land]]</f>
        <v>0</v>
      </c>
      <c r="BH95" s="150" t="n">
        <f aca="false">TblConstr[[#This Row],[Tot Hav]]/TblConstr[[#This Row],[Land]]</f>
        <v>0</v>
      </c>
      <c r="BI95" s="69" t="n">
        <f aca="false">ROUNDUP((1-MIN(TblMili[[#This Row],[Smithies]]*smithy_bonus,smithy_bonus_cap) + tech_3_5*TblTech[[#This Row],[3-5]] + tech_5_3*TblTech[[#This Row],[5-3]] + tech_5_5*TblTech[[#This Row],[5-5]])*spec_op_plat,0)</f>
        <v>192</v>
      </c>
      <c r="BJ95" s="69" t="n">
        <f aca="false">ROUNDUP(IF(race="Gnome",1,(1-MIN(TblMili[[#This Row],[Smithies]]*smithy_bonus,smithy_bonus_cap) + tech_3_5*TblTech[[#This Row],[3-5]] + tech_5_3*TblTech[[#This Row],[5-3]] + tech_5_5*TblTech[[#This Row],[5-5]]))*spec_op_ore,0)</f>
        <v>0</v>
      </c>
      <c r="BK95" s="69" t="n">
        <f aca="false">ROUNDUP((1-MIN(TblMili[[#This Row],[Smithies]]*smithy_bonus,smithy_bonus_cap) + tech_3_5*TblTech[[#This Row],[3-5]] + tech_5_3*TblTech[[#This Row],[5-3]] + tech_5_5*TblTech[[#This Row],[5-5]])*spec_dp_plat,0)</f>
        <v>192</v>
      </c>
      <c r="BL95" s="69" t="n">
        <f aca="false">ROUNDUP(IF(race="Gnome",1,(1-MIN(TblMili[[#This Row],[Smithies]]*smithy_bonus,smithy_bonus_cap) + tech_3_5*TblTech[[#This Row],[3-5]] + tech_5_3*TblTech[[#This Row],[5-3]] + tech_5_5*TblTech[[#This Row],[5-5]]))*spec_dp_ore,0)</f>
        <v>0</v>
      </c>
      <c r="BM95" s="69" t="n">
        <f aca="false">ROUNDUP((1-MIN(TblMili[[#This Row],[Smithies]]*smithy_bonus,smithy_bonus_cap) + tech_3_5*TblTech[[#This Row],[3-5]] + tech_5_3*TblTech[[#This Row],[5-3]] + tech_5_5*TblTech[[#This Row],[5-5]])*elite1_plat,0)</f>
        <v>592</v>
      </c>
      <c r="BN95" s="69" t="n">
        <f aca="false">ROUNDUP(IF(race="Gnome",1,(1-MIN(TblMili[[#This Row],[Smithies]]*smithy_bonus,smithy_bonus_cap) + tech_3_5*TblTech[[#This Row],[3-5]] + tech_5_3*TblTech[[#This Row],[5-3]] + tech_5_5*TblTech[[#This Row],[5-5]]))*elite1_ore,0)</f>
        <v>0</v>
      </c>
      <c r="BO95" s="69" t="n">
        <f aca="false">ROUNDUP((1-MIN(TblMili[[#This Row],[Smithies]]*smithy_bonus,smithy_bonus_cap) + tech_3_5*TblTech[[#This Row],[3-5]] + tech_5_3*TblTech[[#This Row],[5-3]] + tech_5_5*TblTech[[#This Row],[5-5]])*elite2_plat,0)</f>
        <v>608</v>
      </c>
      <c r="BP95" s="69" t="n">
        <f aca="false">ROUNDUP(IF(race="Gnome",1,(1-MIN(TblMili[[#This Row],[Smithies]]*smithy_bonus,smithy_bonus_cap) + tech_3_5*TblTech[[#This Row],[3-5]] + tech_5_3*TblTech[[#This Row],[5-3]] + tech_5_5*TblTech[[#This Row],[5-5]]))*elite2_ore,0)</f>
        <v>0</v>
      </c>
      <c r="BQ95" s="69" t="n">
        <f aca="false">ROUNDUP((1-MIN(ROUND(fh_spy_cost_red*TblMili[[#This Row],[FH''s]],4),fh_spy_cost_cap)+ tech_1_9*TblTech[[#This Row],[1-9]] + tech_9_1*TblTech[[#This Row],[9-1]])*spy_plat,0)</f>
        <v>500</v>
      </c>
      <c r="BR95" s="69" t="n">
        <f aca="false">ROUNDUP((1-MIN(ROUND(fh_spy_cost_red*TblMili[[#This Row],[FH''s]],4),fh_spy_cost_cap)+ tech_1_9*TblTech[[#This Row],[1-9]] + tech_9_1*TblTech[[#This Row],[9-1]])*archspy_plat,0)</f>
        <v>1000</v>
      </c>
      <c r="BS95" s="69" t="n">
        <f aca="false">ROUNDUP((1-MIN(ROUND(wg_wiz_cost_bonus*TblMili[[#This Row],[WG''s]],4),wg_wiz_cost_cap) + tech_1_9_2*TblTech[[#This Row],[1-9]] + tech_9_1_2*TblTech[[#This Row],[9-1]])*wizard_plat,0)</f>
        <v>500</v>
      </c>
      <c r="BT95" s="69" t="n">
        <f aca="false">ROUNDUP((1-MIN(ROUND(wg_wiz_cost_bonus*TblMili[[#This Row],[WG''s]],4),wg_wiz_cost_cap) + tech_1_9_2*TblTech[[#This Row],[1-9]] + tech_9_1_2*TblTech[[#This Row],[9-1]])*archmage_plat,0)</f>
        <v>1000</v>
      </c>
      <c r="BU95" s="132"/>
      <c r="BV95" s="150" t="e">
        <f aca="false">TblConstr[[#This Row],[Homeland]]/TblConstr[[#This Row],[Land]]</f>
        <v>#VALUE!</v>
      </c>
      <c r="BW95" s="150" t="n">
        <f aca="false">TblMili[[#This Row],[WG''s]]</f>
        <v>0</v>
      </c>
      <c r="BX95" s="288" t="e">
        <f aca="false">IF(mystic_cap="none",TblMili[[#This Row],[Hill]]/mystic_bonus,MIN(mystic_cap,TblMili[[#This Row],[Hill]]/mystic_bonus))</f>
        <v>#VALUE!</v>
      </c>
      <c r="BY95" s="288" t="e">
        <f aca="false">IF(druid_op_cap="none",TblMili[[#This Row],[Hill]]/druid_op_bonus,MIN(druid_op_cap,TblMili[[#This Row],[Hill]]/druid_op_bonus))</f>
        <v>#VALUE!</v>
      </c>
      <c r="BZ95" s="288" t="e">
        <f aca="false">IF(druid_dp_cap="none",TblMili[[#This Row],[Hill]]/druid_dp_bonus,MIN(druid_dp_cap,TblMili[[#This Row],[Hill]]/druid_dp_bonus))</f>
        <v>#VALUE!</v>
      </c>
      <c r="CA95" s="288" t="e">
        <f aca="false">MIN(dryad_cap,TblMili[[#This Row],[Hill]]/dryad_bonus)</f>
        <v>#VALUE!</v>
      </c>
      <c r="CB95" s="288" t="e">
        <f aca="false">MIN(rocka_cap,TblMili[[#This Row],[Hill]]/rocka_bonus)</f>
        <v>#VALUE!</v>
      </c>
      <c r="CC95" s="288" t="n">
        <f aca="false">MIN(adept_op_cap,TblMili[[#This Row],[WG]]/adept_op_bonus)</f>
        <v>0</v>
      </c>
      <c r="CD95" s="288" t="n">
        <f aca="false">MIN(adept_dp_cap,TblMili[[#This Row],[WG]]/adept_dp_bonus)</f>
        <v>0</v>
      </c>
      <c r="CE95" s="69" t="n">
        <f aca="false">MIN(TblMili[[#This Row],[Unit 3]],TblMili[[#This Row],[Unit 2]])*2</f>
        <v>1400</v>
      </c>
      <c r="CF95" s="69" t="n">
        <f aca="false">MIN(TblMili[[#This Row],[Unit 1]],TblMili[[#This Row],[Unit 4]])*2</f>
        <v>0</v>
      </c>
      <c r="CG95" s="288" t="e">
        <f aca="false">MIN(frost_mage_cap,TblMili[[#This Row],[Hill]]/frost_mage_bonus)</f>
        <v>#VALUE!</v>
      </c>
      <c r="CH95" s="151" t="n">
        <f aca="false">MIN(ice_elem_cap,TblMili[[#This Row],[Raw (2)]]*ice_elem_bonus)</f>
        <v>0.0357142857142857</v>
      </c>
      <c r="CI95" s="288" t="n">
        <f aca="false">MIN(bone_breaker_cap,250/bone_breaker_bonus)</f>
        <v>0.833333333333333</v>
      </c>
      <c r="CJ95" s="288" t="e">
        <f aca="false">MIN(nox_nightshade_cap,TblConstr[[#This Row],[Homeland]]/TblConstr[[#This Row],[Land]]/nox_nightshade_swamp_bonus)</f>
        <v>#VALUE!</v>
      </c>
      <c r="CK95" s="289"/>
      <c r="CL95" s="289"/>
      <c r="CM95" s="289"/>
      <c r="CN95" s="288" t="e">
        <f aca="false">MIN(6,TblMili[[#This Row],[Mystic]]+Races!$F$19)*1.8 +  IF(TblMili[[#This Row],[Mystic]]+Races!$F$19&gt;6,(TblMili[[#This Row],[Mystic]]+Races!$F$19-6)*0.2,0) - Races!$I$19</f>
        <v>#VALUE!</v>
      </c>
      <c r="CO95" s="288" t="e">
        <f aca="false">1.8 * MIN(MAX(TblMili[[#This Row],[Druid (op)]]+Races!$E$20,TblMili[[#This Row],[Druid (dp)]]+Races!$F$20),6)  +  0.45 * MIN(MIN(TblMili[[#This Row],[Druid (op)]]+Races!$E$20,TblMili[[#This Row],[Druid (dp)]]+Races!$F$20),6)  +  0.2 * ( MAX(TblMili[[#This Row],[Druid (op)]]+Races!$E$20-6,0) + MAX(TblMili[[#This Row],[Druid (dp)]]+Races!$F$20-6,0) )  -  Races!$I$20</f>
        <v>#VALUE!</v>
      </c>
      <c r="CP95" s="69" t="e">
        <f aca="false">TblMili[[#This Row],[Mystic bonus]]*TblMili[[#This Row],[Unit 3]]+TblMili[[#This Row],[Druid bonus]]*TblMili[[#This Row],[Unit 4]]</f>
        <v>#VALUE!</v>
      </c>
      <c r="CQ95" s="148" t="e">
        <f aca="false">MIN(6,TblMili[[#This Row],[Dryad]]+Races!$F$35)*1.8 +  IF(TblMili[[#This Row],[Dryad]]+Races!$F$35&gt;6,(TblMili[[#This Row],[Dryad]]+Races!$F$35-6)*0.2,0) - Races!$I$19</f>
        <v>#VALUE!</v>
      </c>
      <c r="CR95" s="69" t="e">
        <f aca="false">sylvan*(TblMili[[#This Row],[Mystic bonus]]*TblMili[[#This Row],[Unit 3]])</f>
        <v>#VALUE!</v>
      </c>
      <c r="CS95" s="148" t="e">
        <f aca="false">1.8 * MIN(MAX(Races!$E$27,TblMili[[#This Row],[Rockapult]]+Races!$F$27),6)  +  0.45 * MIN(MIN(Races!$E$27,TblMili[[#This Row],[Rockapult]]+Races!$F$27),6)  +  0.2 * ( MAX(Races!$E$27-6,0) + MAX(TblMili[[#This Row],[Rockapult]]+Races!$F$27-6,0) )  -  Races!$I$20</f>
        <v>#VALUE!</v>
      </c>
      <c r="CT95" s="69" t="e">
        <f aca="false">gnome*(TblMili[[#This Row],[Rockapult bonus]]*TblMili[[#This Row],[Unit 3]])</f>
        <v>#VALUE!</v>
      </c>
      <c r="CU95" s="148" t="n">
        <f aca="false">1.8 * MIN(MAX(TblMili[[#This Row],[Spellblade]]+Races!$E$47,TblMili[[#This Row],[Adept-DP]]+Races!$F$47),6)  +  0.45 * MIN(MIN(TblMili[[#This Row],[Spellblade]]+Races!$E$47,TblMili[[#This Row],[Adept-DP]]+Races!$F$47),6)  +  0.2 * ( MAX(TblMili[[#This Row],[Spellblade]]+Races!$E$47-6,0) + MAX(TblMili[[#This Row],[Adept-DP]]+Races!$F$47-6,0) )  -  Races!$I$47</f>
        <v>0</v>
      </c>
      <c r="CV95" s="69" t="n">
        <f aca="false">dark_elf*(TblMili[[#This Row],[Adept bonus]]*TblMili[[#This Row],[Unit 3]])</f>
        <v>0</v>
      </c>
      <c r="CW95" s="148" t="e">
        <f aca="false">1.8 * MIN(MAX(TblMili[[#This Row],[Frost Mage]]+Races!$F$71,Races!$E$71),6)  +  0.45 * MIN(MIN(TblMili[[#This Row],[Frost Mage]]+Races!$F$71,Races!$E$71),6)  +  0.2 * ( MAX(TblMili[[#This Row],[Frost Mage]]+Races!$F$71-6,0) + MAX(Races!$E$71-6,0) )  -  Races!$I$71</f>
        <v>#VALUE!</v>
      </c>
      <c r="CX95" s="148" t="n">
        <f aca="false">1.8 * MIN(MAX(TblMili[[#This Row],[Ice Elemental]]+Races!$E$71,Races!$F$71),6)  +  0.45 * MIN(MIN(TblMili[[#This Row],[Ice Elemental]]+Races!$E$71,Races!$F$71),6)  +  0.2 * ( MAX(TblMili[[#This Row],[Ice Elemental]]+Races!$E$71-6,0) + MAX(Races!$F$71-6,0) )  -  Races!$I$71</f>
        <v>0.064285714285715</v>
      </c>
      <c r="CY95" s="69" t="e">
        <f aca="false">TblMili[[#This Row],[Frost Mage bonus]]*TblMili[[#This Row],[Unit 3]]+TblMili[[#This Row],[Ice Elemental bonus]]*TblMili[[#This Row],[Unit 4]]</f>
        <v>#VALUE!</v>
      </c>
      <c r="CZ95" s="290"/>
      <c r="DA95" s="109" t="n">
        <f aca="false">MIN(SUM(TblConstr[[#This Row],[Plain]:[Water]])/TblMili[[#This Row],[Land]]/favorable_terrain_bonus/100,favorable_terrain_max)</f>
        <v>0</v>
      </c>
      <c r="DB95" s="290"/>
      <c r="DC9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5" s="132"/>
      <c r="DE95" s="291" t="n">
        <f aca="false">(TblMili[[#This Row],[Wizards]]+2*TblMili[[#This Row],[Archmages]])/TblConstr[[#This Row],[Land]]</f>
        <v>0.0357142857142857</v>
      </c>
      <c r="DF95" s="291" t="n">
        <f aca="false">TblMili[[#This Row],[Raw (2)]]*(1+race_wizard_strength+IF(TblMili[[#This Row],[Hour]]&gt;72,tech_magical_weaponry_wiz*TblTech[[#This Row],[3-5]],0))</f>
        <v>0.0357142857142857</v>
      </c>
    </row>
    <row r="96" customFormat="false" ht="12.75" hidden="false" customHeight="false" outlineLevel="0" collapsed="false">
      <c r="A96" s="128" t="n">
        <f aca="false">TblRezone[[#This Row],[Hour]]</f>
        <v>93</v>
      </c>
      <c r="B96" s="282" t="n">
        <f aca="false">SUM(TblMili[[#This Row],[Unit 1]:[Archmages]])+SUM(OFFSET(TblMili[[#This Row],[Train Unit 1]],-8,0):TblMili[[#This Row],[Train Unit 2]]) + SUM(OFFSET(TblMili[[#This Row],[Train Unit 3]],-11,0):TblMili[[#This Row],[Train AM]]) + TblMili[[#This Row],[Draftees]]</f>
        <v>4749</v>
      </c>
      <c r="C96" s="150" t="n">
        <f aca="false">TblPop[[#This Row],[Military%]]</f>
        <v>0.367029909575701</v>
      </c>
      <c r="D96" s="132"/>
      <c r="E96" s="151" t="n">
        <f aca="false">OFFSET(TblMili[[#This Row],[Unit 1]],-1,0) + OFFSET(TblMili[[#This Row],[Train Unit 1]],-9,0) - TblMili[[#This Row],[Release Unit 1]]</f>
        <v>0</v>
      </c>
      <c r="F96" s="151" t="n">
        <f aca="false">OFFSET(TblMili[[#This Row],[Unit 2]],-1,0) + OFFSET(TblMili[[#This Row],[Train Unit 2]],-9,0)-TblMili[[#This Row],[Release Unit 2]]</f>
        <v>1246</v>
      </c>
      <c r="G96" s="151" t="n">
        <f aca="false">OFFSET(TblMili[[#This Row],[Unit 3]],-1,0) + OFFSET(TblMili[[#This Row],[Train Unit 3]],-12,0)-TblMili[[#This Row],[Release Unit 3]]</f>
        <v>700</v>
      </c>
      <c r="H96" s="151" t="n">
        <f aca="false">OFFSET(TblMili[[#This Row],[Unit 4]],-1,0) + OFFSET(TblMili[[#This Row],[Train Unit 4]],-12,0)-TblMili[[#This Row],[Release Unit 4]]</f>
        <v>1228</v>
      </c>
      <c r="I96" s="151" t="n">
        <f aca="false">OFFSET(TblMili[[#This Row],[Spies]],-1,0) + OFFSET(TblMili[[#This Row],[Train Spies]],-12,0) - TblMili[[#This Row],[Release Spies]]-TblMili[[#This Row],[Train AS]]</f>
        <v>25</v>
      </c>
      <c r="J96" s="151" t="n">
        <f aca="false">OFFSET(TblMili[[#This Row],[Archspies]],-1,0) + OFFSET(TblMili[[#This Row],[Train AS]],-12,0) - TblMili[[#This Row],[Release AS]]</f>
        <v>0</v>
      </c>
      <c r="K96" s="151" t="n">
        <f aca="false">OFFSET(TblMili[[#This Row],[Wizards]],-1,0) + OFFSET(TblMili[[#This Row],[Train Wiz]],-12,0) - TblMili[[#This Row],[Release Wizards]]-TblMili[[#This Row],[Train AM]]</f>
        <v>25</v>
      </c>
      <c r="L96" s="151" t="n">
        <f aca="false">OFFSET(TblMili[[#This Row],[Archmages]],-1,0) + OFFSET(TblMili[[#This Row],[Train AM]],-12,0) - TblMili[[#This Row],[Release AM]]</f>
        <v>0</v>
      </c>
      <c r="M96" s="132"/>
      <c r="N96" s="69" t="e">
        <f aca="false">TblProd[[#This Row],[Networth]]</f>
        <v>#VALUE!</v>
      </c>
      <c r="O96" s="132"/>
      <c r="P9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6" s="285" t="e">
        <f aca="false">TblMili[[#This Row],[Raw]]*(1+TblMili[[#This Row],[Mods_Off]])</f>
        <v>#VALUE!</v>
      </c>
      <c r="S9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6" s="285" t="e">
        <f aca="false">TblMili[[#This Row],[Non Draft]]+TblMili[[#This Row],[Draftees]]</f>
        <v>#VALUE!</v>
      </c>
      <c r="U96" s="286" t="n">
        <f aca="false">race_defense + TblImps[[#This Row],[Walls]] + ROUND( MIN(gt_bonus*TblConstr[[#This Row],[Tot GT]]/TblConstr[[#This Row],[Land]],gt_bonus_cap), 4) + IF(TblMagic[[#This Row],[Active Howling]]&gt;0,howling_dp_bonus,IF(TblMagic[[#This Row],[Active Ares Call]]&gt;0,ares_call_bonus))</f>
        <v>0.2375</v>
      </c>
      <c r="V96" s="274" t="e">
        <f aca="false">TblMili[[#This Row],[Non Draft]] * (1 + TblMili[[#This Row],[Mods_Def]])</f>
        <v>#VALUE!</v>
      </c>
      <c r="W96" s="285" t="e">
        <f aca="false">TblMili[[#This Row],[Draft]] * (1 + TblMili[[#This Row],[Mods_Def]])</f>
        <v>#VALUE!</v>
      </c>
      <c r="X96" s="285" t="n">
        <f aca="false">TblConstr[[#This Row],[Land]]</f>
        <v>700</v>
      </c>
      <c r="Y96" s="287"/>
      <c r="Z96" s="109" t="n">
        <f aca="false">IF(TblMili[[#This Row],[Set]]&lt;&gt;"",TblMili[[#This Row],[Set]],OFFSET(TblMili[[#This Row],[Draftrate]],-1,0))</f>
        <v>0.9</v>
      </c>
      <c r="AA96" s="69" t="n">
        <f aca="false">OFFSET(TblMili[[#This Row],[Draftees]],-1,0)+OFFSET(TblPop[[#This Row],[Draft Growth]],-1,0) - SUM(TblMili[[#This Row],[Train Unit 1]:[Train Spies]],TblMili[[#This Row],[Train Wiz]]) - TblMili[[#This Row],[Release Draft]] + SUM(TblMili[[#This Row],[Release Unit 1]:[Release AM]]) - TblExplore[[#This Row],[Draftees (2)]]</f>
        <v>1525</v>
      </c>
      <c r="AB96" s="146"/>
      <c r="AC96" s="130" t="n">
        <f aca="false">(TblConstr[[#This Row],[Tot Smi]]+TblConstr[[#This Row],[Dest Smi]])/(TblConstr[[#This Row],[Land]]-TblExplore[[#This Row],[Land Bonus]]*20)</f>
        <v>0.18</v>
      </c>
      <c r="AD96" s="128"/>
      <c r="AE96" s="282" t="n">
        <f aca="false">TblMili[[#This Row],[Hour]]</f>
        <v>93</v>
      </c>
      <c r="AF96" s="129" t="n">
        <f aca="false">TblExplore[[#This Row],[Time]]</f>
        <v>45433.5833333333</v>
      </c>
      <c r="AG96" s="182"/>
      <c r="AH96" s="182"/>
      <c r="AI96" s="182"/>
      <c r="AJ96" s="182"/>
      <c r="AK96" s="182"/>
      <c r="AL96" s="182"/>
      <c r="AM96" s="182"/>
      <c r="AN96" s="182"/>
      <c r="AO96" s="132"/>
      <c r="AP96" s="69" t="n">
        <f aca="false">TblProd[[#This Row],[Platinum]]</f>
        <v>858808</v>
      </c>
      <c r="AQ96" s="69" t="n">
        <f aca="false">INDEX(TblProd[[#Headers],[Lumber]]:TblProd[[#This Row],[Ore]],COUNTA(TblProd[[#Headers],[Lumber]]:TblProd[[#This Row],[Lumber]]),MATCH(Military!$AQ$2,TblProd[[#Headers],[Lumber]:[Ore]],0))</f>
        <v>0</v>
      </c>
      <c r="AR9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69" t="n">
        <f aca="false">TblMili[[#This Row],[Train Unit 1]]*TblMili[[#This Row],[OP Ore]]+TblMili[[#This Row],[Train Unit 2]]*TblMili[[#This Row],[DP Ore]]+TblMili[[#This Row],[Train Unit 3]]*TblMili[[#This Row],[E1 Ore]]+TblMili[[#This Row],[Train Unit 4]]*TblMili[[#This Row],[E2 Ore]]</f>
        <v>0</v>
      </c>
      <c r="AT96" s="132" t="n">
        <f aca="false">TblMili[[#This Row],[Hour]]</f>
        <v>93</v>
      </c>
      <c r="AU96" s="144" t="n">
        <f aca="false">TblMili[[#This Row],[Time]]</f>
        <v>45433.5833333333</v>
      </c>
      <c r="AV96" s="69" t="n">
        <f aca="false">TblMili[[#This Row],[Draftees]]</f>
        <v>1525</v>
      </c>
      <c r="AW96" s="182"/>
      <c r="AX96" s="182"/>
      <c r="AY96" s="182"/>
      <c r="AZ96" s="182"/>
      <c r="BA96" s="182"/>
      <c r="BB96" s="182"/>
      <c r="BC96" s="182"/>
      <c r="BD96" s="182"/>
      <c r="BE96" s="182"/>
      <c r="BF96" s="132"/>
      <c r="BG96" s="150" t="n">
        <f aca="false">TblConstr[[#This Row],[Tot WG]]/TblConstr[[#This Row],[Land]]</f>
        <v>0</v>
      </c>
      <c r="BH96" s="150" t="n">
        <f aca="false">TblConstr[[#This Row],[Tot Hav]]/TblConstr[[#This Row],[Land]]</f>
        <v>0</v>
      </c>
      <c r="BI96" s="69" t="n">
        <f aca="false">ROUNDUP((1-MIN(TblMili[[#This Row],[Smithies]]*smithy_bonus,smithy_bonus_cap) + tech_3_5*TblTech[[#This Row],[3-5]] + tech_5_3*TblTech[[#This Row],[5-3]] + tech_5_5*TblTech[[#This Row],[5-5]])*spec_op_plat,0)</f>
        <v>192</v>
      </c>
      <c r="BJ96" s="69" t="n">
        <f aca="false">ROUNDUP(IF(race="Gnome",1,(1-MIN(TblMili[[#This Row],[Smithies]]*smithy_bonus,smithy_bonus_cap) + tech_3_5*TblTech[[#This Row],[3-5]] + tech_5_3*TblTech[[#This Row],[5-3]] + tech_5_5*TblTech[[#This Row],[5-5]]))*spec_op_ore,0)</f>
        <v>0</v>
      </c>
      <c r="BK96" s="69" t="n">
        <f aca="false">ROUNDUP((1-MIN(TblMili[[#This Row],[Smithies]]*smithy_bonus,smithy_bonus_cap) + tech_3_5*TblTech[[#This Row],[3-5]] + tech_5_3*TblTech[[#This Row],[5-3]] + tech_5_5*TblTech[[#This Row],[5-5]])*spec_dp_plat,0)</f>
        <v>192</v>
      </c>
      <c r="BL96" s="69" t="n">
        <f aca="false">ROUNDUP(IF(race="Gnome",1,(1-MIN(TblMili[[#This Row],[Smithies]]*smithy_bonus,smithy_bonus_cap) + tech_3_5*TblTech[[#This Row],[3-5]] + tech_5_3*TblTech[[#This Row],[5-3]] + tech_5_5*TblTech[[#This Row],[5-5]]))*spec_dp_ore,0)</f>
        <v>0</v>
      </c>
      <c r="BM96" s="69" t="n">
        <f aca="false">ROUNDUP((1-MIN(TblMili[[#This Row],[Smithies]]*smithy_bonus,smithy_bonus_cap) + tech_3_5*TblTech[[#This Row],[3-5]] + tech_5_3*TblTech[[#This Row],[5-3]] + tech_5_5*TblTech[[#This Row],[5-5]])*elite1_plat,0)</f>
        <v>592</v>
      </c>
      <c r="BN96" s="69" t="n">
        <f aca="false">ROUNDUP(IF(race="Gnome",1,(1-MIN(TblMili[[#This Row],[Smithies]]*smithy_bonus,smithy_bonus_cap) + tech_3_5*TblTech[[#This Row],[3-5]] + tech_5_3*TblTech[[#This Row],[5-3]] + tech_5_5*TblTech[[#This Row],[5-5]]))*elite1_ore,0)</f>
        <v>0</v>
      </c>
      <c r="BO96" s="69" t="n">
        <f aca="false">ROUNDUP((1-MIN(TblMili[[#This Row],[Smithies]]*smithy_bonus,smithy_bonus_cap) + tech_3_5*TblTech[[#This Row],[3-5]] + tech_5_3*TblTech[[#This Row],[5-3]] + tech_5_5*TblTech[[#This Row],[5-5]])*elite2_plat,0)</f>
        <v>608</v>
      </c>
      <c r="BP96" s="69" t="n">
        <f aca="false">ROUNDUP(IF(race="Gnome",1,(1-MIN(TblMili[[#This Row],[Smithies]]*smithy_bonus,smithy_bonus_cap) + tech_3_5*TblTech[[#This Row],[3-5]] + tech_5_3*TblTech[[#This Row],[5-3]] + tech_5_5*TblTech[[#This Row],[5-5]]))*elite2_ore,0)</f>
        <v>0</v>
      </c>
      <c r="BQ96" s="69" t="n">
        <f aca="false">ROUNDUP((1-MIN(ROUND(fh_spy_cost_red*TblMili[[#This Row],[FH''s]],4),fh_spy_cost_cap)+ tech_1_9*TblTech[[#This Row],[1-9]] + tech_9_1*TblTech[[#This Row],[9-1]])*spy_plat,0)</f>
        <v>500</v>
      </c>
      <c r="BR96" s="69" t="n">
        <f aca="false">ROUNDUP((1-MIN(ROUND(fh_spy_cost_red*TblMili[[#This Row],[FH''s]],4),fh_spy_cost_cap)+ tech_1_9*TblTech[[#This Row],[1-9]] + tech_9_1*TblTech[[#This Row],[9-1]])*archspy_plat,0)</f>
        <v>1000</v>
      </c>
      <c r="BS96" s="69" t="n">
        <f aca="false">ROUNDUP((1-MIN(ROUND(wg_wiz_cost_bonus*TblMili[[#This Row],[WG''s]],4),wg_wiz_cost_cap) + tech_1_9_2*TblTech[[#This Row],[1-9]] + tech_9_1_2*TblTech[[#This Row],[9-1]])*wizard_plat,0)</f>
        <v>500</v>
      </c>
      <c r="BT96" s="69" t="n">
        <f aca="false">ROUNDUP((1-MIN(ROUND(wg_wiz_cost_bonus*TblMili[[#This Row],[WG''s]],4),wg_wiz_cost_cap) + tech_1_9_2*TblTech[[#This Row],[1-9]] + tech_9_1_2*TblTech[[#This Row],[9-1]])*archmage_plat,0)</f>
        <v>1000</v>
      </c>
      <c r="BU96" s="132"/>
      <c r="BV96" s="150" t="e">
        <f aca="false">TblConstr[[#This Row],[Homeland]]/TblConstr[[#This Row],[Land]]</f>
        <v>#VALUE!</v>
      </c>
      <c r="BW96" s="150" t="n">
        <f aca="false">TblMili[[#This Row],[WG''s]]</f>
        <v>0</v>
      </c>
      <c r="BX96" s="288" t="e">
        <f aca="false">IF(mystic_cap="none",TblMili[[#This Row],[Hill]]/mystic_bonus,MIN(mystic_cap,TblMili[[#This Row],[Hill]]/mystic_bonus))</f>
        <v>#VALUE!</v>
      </c>
      <c r="BY96" s="288" t="e">
        <f aca="false">IF(druid_op_cap="none",TblMili[[#This Row],[Hill]]/druid_op_bonus,MIN(druid_op_cap,TblMili[[#This Row],[Hill]]/druid_op_bonus))</f>
        <v>#VALUE!</v>
      </c>
      <c r="BZ96" s="288" t="e">
        <f aca="false">IF(druid_dp_cap="none",TblMili[[#This Row],[Hill]]/druid_dp_bonus,MIN(druid_dp_cap,TblMili[[#This Row],[Hill]]/druid_dp_bonus))</f>
        <v>#VALUE!</v>
      </c>
      <c r="CA96" s="288" t="e">
        <f aca="false">MIN(dryad_cap,TblMili[[#This Row],[Hill]]/dryad_bonus)</f>
        <v>#VALUE!</v>
      </c>
      <c r="CB96" s="288" t="e">
        <f aca="false">MIN(rocka_cap,TblMili[[#This Row],[Hill]]/rocka_bonus)</f>
        <v>#VALUE!</v>
      </c>
      <c r="CC96" s="288" t="n">
        <f aca="false">MIN(adept_op_cap,TblMili[[#This Row],[WG]]/adept_op_bonus)</f>
        <v>0</v>
      </c>
      <c r="CD96" s="288" t="n">
        <f aca="false">MIN(adept_dp_cap,TblMili[[#This Row],[WG]]/adept_dp_bonus)</f>
        <v>0</v>
      </c>
      <c r="CE96" s="69" t="n">
        <f aca="false">MIN(TblMili[[#This Row],[Unit 3]],TblMili[[#This Row],[Unit 2]])*2</f>
        <v>1400</v>
      </c>
      <c r="CF96" s="69" t="n">
        <f aca="false">MIN(TblMili[[#This Row],[Unit 1]],TblMili[[#This Row],[Unit 4]])*2</f>
        <v>0</v>
      </c>
      <c r="CG96" s="288" t="e">
        <f aca="false">MIN(frost_mage_cap,TblMili[[#This Row],[Hill]]/frost_mage_bonus)</f>
        <v>#VALUE!</v>
      </c>
      <c r="CH96" s="151" t="n">
        <f aca="false">MIN(ice_elem_cap,TblMili[[#This Row],[Raw (2)]]*ice_elem_bonus)</f>
        <v>0.0357142857142857</v>
      </c>
      <c r="CI96" s="288" t="n">
        <f aca="false">MIN(bone_breaker_cap,250/bone_breaker_bonus)</f>
        <v>0.833333333333333</v>
      </c>
      <c r="CJ96" s="288" t="e">
        <f aca="false">MIN(nox_nightshade_cap,TblConstr[[#This Row],[Homeland]]/TblConstr[[#This Row],[Land]]/nox_nightshade_swamp_bonus)</f>
        <v>#VALUE!</v>
      </c>
      <c r="CK96" s="289"/>
      <c r="CL96" s="289"/>
      <c r="CM96" s="289"/>
      <c r="CN96" s="288" t="e">
        <f aca="false">MIN(6,TblMili[[#This Row],[Mystic]]+Races!$F$19)*1.8 +  IF(TblMili[[#This Row],[Mystic]]+Races!$F$19&gt;6,(TblMili[[#This Row],[Mystic]]+Races!$F$19-6)*0.2,0) - Races!$I$19</f>
        <v>#VALUE!</v>
      </c>
      <c r="CO96" s="288" t="e">
        <f aca="false">1.8 * MIN(MAX(TblMili[[#This Row],[Druid (op)]]+Races!$E$20,TblMili[[#This Row],[Druid (dp)]]+Races!$F$20),6)  +  0.45 * MIN(MIN(TblMili[[#This Row],[Druid (op)]]+Races!$E$20,TblMili[[#This Row],[Druid (dp)]]+Races!$F$20),6)  +  0.2 * ( MAX(TblMili[[#This Row],[Druid (op)]]+Races!$E$20-6,0) + MAX(TblMili[[#This Row],[Druid (dp)]]+Races!$F$20-6,0) )  -  Races!$I$20</f>
        <v>#VALUE!</v>
      </c>
      <c r="CP96" s="69" t="e">
        <f aca="false">TblMili[[#This Row],[Mystic bonus]]*TblMili[[#This Row],[Unit 3]]+TblMili[[#This Row],[Druid bonus]]*TblMili[[#This Row],[Unit 4]]</f>
        <v>#VALUE!</v>
      </c>
      <c r="CQ96" s="148" t="e">
        <f aca="false">MIN(6,TblMili[[#This Row],[Dryad]]+Races!$F$35)*1.8 +  IF(TblMili[[#This Row],[Dryad]]+Races!$F$35&gt;6,(TblMili[[#This Row],[Dryad]]+Races!$F$35-6)*0.2,0) - Races!$I$19</f>
        <v>#VALUE!</v>
      </c>
      <c r="CR96" s="69" t="e">
        <f aca="false">sylvan*(TblMili[[#This Row],[Mystic bonus]]*TblMili[[#This Row],[Unit 3]])</f>
        <v>#VALUE!</v>
      </c>
      <c r="CS96" s="148" t="e">
        <f aca="false">1.8 * MIN(MAX(Races!$E$27,TblMili[[#This Row],[Rockapult]]+Races!$F$27),6)  +  0.45 * MIN(MIN(Races!$E$27,TblMili[[#This Row],[Rockapult]]+Races!$F$27),6)  +  0.2 * ( MAX(Races!$E$27-6,0) + MAX(TblMili[[#This Row],[Rockapult]]+Races!$F$27-6,0) )  -  Races!$I$20</f>
        <v>#VALUE!</v>
      </c>
      <c r="CT96" s="69" t="e">
        <f aca="false">gnome*(TblMili[[#This Row],[Rockapult bonus]]*TblMili[[#This Row],[Unit 3]])</f>
        <v>#VALUE!</v>
      </c>
      <c r="CU96" s="148" t="n">
        <f aca="false">1.8 * MIN(MAX(TblMili[[#This Row],[Spellblade]]+Races!$E$47,TblMili[[#This Row],[Adept-DP]]+Races!$F$47),6)  +  0.45 * MIN(MIN(TblMili[[#This Row],[Spellblade]]+Races!$E$47,TblMili[[#This Row],[Adept-DP]]+Races!$F$47),6)  +  0.2 * ( MAX(TblMili[[#This Row],[Spellblade]]+Races!$E$47-6,0) + MAX(TblMili[[#This Row],[Adept-DP]]+Races!$F$47-6,0) )  -  Races!$I$47</f>
        <v>0</v>
      </c>
      <c r="CV96" s="69" t="n">
        <f aca="false">dark_elf*(TblMili[[#This Row],[Adept bonus]]*TblMili[[#This Row],[Unit 3]])</f>
        <v>0</v>
      </c>
      <c r="CW96" s="148" t="e">
        <f aca="false">1.8 * MIN(MAX(TblMili[[#This Row],[Frost Mage]]+Races!$F$71,Races!$E$71),6)  +  0.45 * MIN(MIN(TblMili[[#This Row],[Frost Mage]]+Races!$F$71,Races!$E$71),6)  +  0.2 * ( MAX(TblMili[[#This Row],[Frost Mage]]+Races!$F$71-6,0) + MAX(Races!$E$71-6,0) )  -  Races!$I$71</f>
        <v>#VALUE!</v>
      </c>
      <c r="CX96" s="148" t="n">
        <f aca="false">1.8 * MIN(MAX(TblMili[[#This Row],[Ice Elemental]]+Races!$E$71,Races!$F$71),6)  +  0.45 * MIN(MIN(TblMili[[#This Row],[Ice Elemental]]+Races!$E$71,Races!$F$71),6)  +  0.2 * ( MAX(TblMili[[#This Row],[Ice Elemental]]+Races!$E$71-6,0) + MAX(Races!$F$71-6,0) )  -  Races!$I$71</f>
        <v>0.064285714285715</v>
      </c>
      <c r="CY96" s="69" t="e">
        <f aca="false">TblMili[[#This Row],[Frost Mage bonus]]*TblMili[[#This Row],[Unit 3]]+TblMili[[#This Row],[Ice Elemental bonus]]*TblMili[[#This Row],[Unit 4]]</f>
        <v>#VALUE!</v>
      </c>
      <c r="CZ96" s="290"/>
      <c r="DA96" s="109" t="n">
        <f aca="false">MIN(SUM(TblConstr[[#This Row],[Plain]:[Water]])/TblMili[[#This Row],[Land]]/favorable_terrain_bonus/100,favorable_terrain_max)</f>
        <v>0</v>
      </c>
      <c r="DB96" s="290"/>
      <c r="DC9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6" s="132"/>
      <c r="DE96" s="291" t="n">
        <f aca="false">(TblMili[[#This Row],[Wizards]]+2*TblMili[[#This Row],[Archmages]])/TblConstr[[#This Row],[Land]]</f>
        <v>0.0357142857142857</v>
      </c>
      <c r="DF96" s="291" t="n">
        <f aca="false">TblMili[[#This Row],[Raw (2)]]*(1+race_wizard_strength+IF(TblMili[[#This Row],[Hour]]&gt;72,tech_magical_weaponry_wiz*TblTech[[#This Row],[3-5]],0))</f>
        <v>0.0357142857142857</v>
      </c>
    </row>
    <row r="97" customFormat="false" ht="12.75" hidden="false" customHeight="false" outlineLevel="0" collapsed="false">
      <c r="A97" s="128" t="n">
        <f aca="false">TblRezone[[#This Row],[Hour]]</f>
        <v>94</v>
      </c>
      <c r="B97" s="282" t="n">
        <f aca="false">SUM(TblMili[[#This Row],[Unit 1]:[Archmages]])+SUM(OFFSET(TblMili[[#This Row],[Train Unit 1]],-8,0):TblMili[[#This Row],[Train Unit 2]]) + SUM(OFFSET(TblMili[[#This Row],[Train Unit 3]],-11,0):TblMili[[#This Row],[Train AM]]) + TblMili[[#This Row],[Draftees]]</f>
        <v>4831</v>
      </c>
      <c r="C97" s="150" t="n">
        <f aca="false">TblPop[[#This Row],[Military%]]</f>
        <v>0.373367339052477</v>
      </c>
      <c r="D97" s="132"/>
      <c r="E97" s="151" t="n">
        <f aca="false">OFFSET(TblMili[[#This Row],[Unit 1]],-1,0) + OFFSET(TblMili[[#This Row],[Train Unit 1]],-9,0) - TblMili[[#This Row],[Release Unit 1]]</f>
        <v>0</v>
      </c>
      <c r="F97" s="151" t="n">
        <f aca="false">OFFSET(TblMili[[#This Row],[Unit 2]],-1,0) + OFFSET(TblMili[[#This Row],[Train Unit 2]],-9,0)-TblMili[[#This Row],[Release Unit 2]]</f>
        <v>1246</v>
      </c>
      <c r="G97" s="151" t="n">
        <f aca="false">OFFSET(TblMili[[#This Row],[Unit 3]],-1,0) + OFFSET(TblMili[[#This Row],[Train Unit 3]],-12,0)-TblMili[[#This Row],[Release Unit 3]]</f>
        <v>700</v>
      </c>
      <c r="H97" s="151" t="n">
        <f aca="false">OFFSET(TblMili[[#This Row],[Unit 4]],-1,0) + OFFSET(TblMili[[#This Row],[Train Unit 4]],-12,0)-TblMili[[#This Row],[Release Unit 4]]</f>
        <v>1228</v>
      </c>
      <c r="I97" s="151" t="n">
        <f aca="false">OFFSET(TblMili[[#This Row],[Spies]],-1,0) + OFFSET(TblMili[[#This Row],[Train Spies]],-12,0) - TblMili[[#This Row],[Release Spies]]-TblMili[[#This Row],[Train AS]]</f>
        <v>25</v>
      </c>
      <c r="J97" s="151" t="n">
        <f aca="false">OFFSET(TblMili[[#This Row],[Archspies]],-1,0) + OFFSET(TblMili[[#This Row],[Train AS]],-12,0) - TblMili[[#This Row],[Release AS]]</f>
        <v>0</v>
      </c>
      <c r="K97" s="151" t="n">
        <f aca="false">OFFSET(TblMili[[#This Row],[Wizards]],-1,0) + OFFSET(TblMili[[#This Row],[Train Wiz]],-12,0) - TblMili[[#This Row],[Release Wizards]]-TblMili[[#This Row],[Train AM]]</f>
        <v>25</v>
      </c>
      <c r="L97" s="151" t="n">
        <f aca="false">OFFSET(TblMili[[#This Row],[Archmages]],-1,0) + OFFSET(TblMili[[#This Row],[Train AM]],-12,0) - TblMili[[#This Row],[Release AM]]</f>
        <v>0</v>
      </c>
      <c r="M97" s="132"/>
      <c r="N97" s="69" t="e">
        <f aca="false">TblProd[[#This Row],[Networth]]</f>
        <v>#VALUE!</v>
      </c>
      <c r="O97" s="132"/>
      <c r="P9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7" s="285" t="e">
        <f aca="false">TblMili[[#This Row],[Raw]]*(1+TblMili[[#This Row],[Mods_Off]])</f>
        <v>#VALUE!</v>
      </c>
      <c r="S9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7" s="285" t="e">
        <f aca="false">TblMili[[#This Row],[Non Draft]]+TblMili[[#This Row],[Draftees]]</f>
        <v>#VALUE!</v>
      </c>
      <c r="U97" s="286" t="n">
        <f aca="false">race_defense + TblImps[[#This Row],[Walls]] + ROUND( MIN(gt_bonus*TblConstr[[#This Row],[Tot GT]]/TblConstr[[#This Row],[Land]],gt_bonus_cap), 4) + IF(TblMagic[[#This Row],[Active Howling]]&gt;0,howling_dp_bonus,IF(TblMagic[[#This Row],[Active Ares Call]]&gt;0,ares_call_bonus))</f>
        <v>0.2375</v>
      </c>
      <c r="V97" s="274" t="e">
        <f aca="false">TblMili[[#This Row],[Non Draft]] * (1 + TblMili[[#This Row],[Mods_Def]])</f>
        <v>#VALUE!</v>
      </c>
      <c r="W97" s="285" t="e">
        <f aca="false">TblMili[[#This Row],[Draft]] * (1 + TblMili[[#This Row],[Mods_Def]])</f>
        <v>#VALUE!</v>
      </c>
      <c r="X97" s="285" t="n">
        <f aca="false">TblConstr[[#This Row],[Land]]</f>
        <v>700</v>
      </c>
      <c r="Y97" s="287"/>
      <c r="Z97" s="109" t="n">
        <f aca="false">IF(TblMili[[#This Row],[Set]]&lt;&gt;"",TblMili[[#This Row],[Set]],OFFSET(TblMili[[#This Row],[Draftrate]],-1,0))</f>
        <v>0.9</v>
      </c>
      <c r="AA97" s="69" t="n">
        <f aca="false">OFFSET(TblMili[[#This Row],[Draftees]],-1,0)+OFFSET(TblPop[[#This Row],[Draft Growth]],-1,0) - SUM(TblMili[[#This Row],[Train Unit 1]:[Train Spies]],TblMili[[#This Row],[Train Wiz]]) - TblMili[[#This Row],[Release Draft]] + SUM(TblMili[[#This Row],[Release Unit 1]:[Release AM]]) - TblExplore[[#This Row],[Draftees (2)]]</f>
        <v>1607</v>
      </c>
      <c r="AB97" s="146"/>
      <c r="AC97" s="130" t="n">
        <f aca="false">(TblConstr[[#This Row],[Tot Smi]]+TblConstr[[#This Row],[Dest Smi]])/(TblConstr[[#This Row],[Land]]-TblExplore[[#This Row],[Land Bonus]]*20)</f>
        <v>0.18</v>
      </c>
      <c r="AD97" s="128"/>
      <c r="AE97" s="282" t="n">
        <f aca="false">TblMili[[#This Row],[Hour]]</f>
        <v>94</v>
      </c>
      <c r="AF97" s="129" t="n">
        <f aca="false">TblExplore[[#This Row],[Time]]</f>
        <v>45433.625</v>
      </c>
      <c r="AG97" s="182"/>
      <c r="AH97" s="182"/>
      <c r="AI97" s="182"/>
      <c r="AJ97" s="182"/>
      <c r="AK97" s="182"/>
      <c r="AL97" s="182"/>
      <c r="AM97" s="182"/>
      <c r="AN97" s="182"/>
      <c r="AO97" s="132"/>
      <c r="AP97" s="69" t="n">
        <f aca="false">TblProd[[#This Row],[Platinum]]</f>
        <v>900677</v>
      </c>
      <c r="AQ97" s="69" t="n">
        <f aca="false">INDEX(TblProd[[#Headers],[Lumber]]:TblProd[[#This Row],[Ore]],COUNTA(TblProd[[#Headers],[Lumber]]:TblProd[[#This Row],[Lumber]]),MATCH(Military!$AQ$2,TblProd[[#Headers],[Lumber]:[Ore]],0))</f>
        <v>0</v>
      </c>
      <c r="AR9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69" t="n">
        <f aca="false">TblMili[[#This Row],[Train Unit 1]]*TblMili[[#This Row],[OP Ore]]+TblMili[[#This Row],[Train Unit 2]]*TblMili[[#This Row],[DP Ore]]+TblMili[[#This Row],[Train Unit 3]]*TblMili[[#This Row],[E1 Ore]]+TblMili[[#This Row],[Train Unit 4]]*TblMili[[#This Row],[E2 Ore]]</f>
        <v>0</v>
      </c>
      <c r="AT97" s="132" t="n">
        <f aca="false">TblMili[[#This Row],[Hour]]</f>
        <v>94</v>
      </c>
      <c r="AU97" s="144" t="n">
        <f aca="false">TblMili[[#This Row],[Time]]</f>
        <v>45433.625</v>
      </c>
      <c r="AV97" s="69" t="n">
        <f aca="false">TblMili[[#This Row],[Draftees]]</f>
        <v>1607</v>
      </c>
      <c r="AW97" s="182"/>
      <c r="AX97" s="182"/>
      <c r="AY97" s="182"/>
      <c r="AZ97" s="182"/>
      <c r="BA97" s="182"/>
      <c r="BB97" s="182"/>
      <c r="BC97" s="182"/>
      <c r="BD97" s="182"/>
      <c r="BE97" s="182"/>
      <c r="BF97" s="132"/>
      <c r="BG97" s="150" t="n">
        <f aca="false">TblConstr[[#This Row],[Tot WG]]/TblConstr[[#This Row],[Land]]</f>
        <v>0</v>
      </c>
      <c r="BH97" s="150" t="n">
        <f aca="false">TblConstr[[#This Row],[Tot Hav]]/TblConstr[[#This Row],[Land]]</f>
        <v>0</v>
      </c>
      <c r="BI97" s="69" t="n">
        <f aca="false">ROUNDUP((1-MIN(TblMili[[#This Row],[Smithies]]*smithy_bonus,smithy_bonus_cap) + tech_3_5*TblTech[[#This Row],[3-5]] + tech_5_3*TblTech[[#This Row],[5-3]] + tech_5_5*TblTech[[#This Row],[5-5]])*spec_op_plat,0)</f>
        <v>192</v>
      </c>
      <c r="BJ97" s="69" t="n">
        <f aca="false">ROUNDUP(IF(race="Gnome",1,(1-MIN(TblMili[[#This Row],[Smithies]]*smithy_bonus,smithy_bonus_cap) + tech_3_5*TblTech[[#This Row],[3-5]] + tech_5_3*TblTech[[#This Row],[5-3]] + tech_5_5*TblTech[[#This Row],[5-5]]))*spec_op_ore,0)</f>
        <v>0</v>
      </c>
      <c r="BK97" s="69" t="n">
        <f aca="false">ROUNDUP((1-MIN(TblMili[[#This Row],[Smithies]]*smithy_bonus,smithy_bonus_cap) + tech_3_5*TblTech[[#This Row],[3-5]] + tech_5_3*TblTech[[#This Row],[5-3]] + tech_5_5*TblTech[[#This Row],[5-5]])*spec_dp_plat,0)</f>
        <v>192</v>
      </c>
      <c r="BL97" s="69" t="n">
        <f aca="false">ROUNDUP(IF(race="Gnome",1,(1-MIN(TblMili[[#This Row],[Smithies]]*smithy_bonus,smithy_bonus_cap) + tech_3_5*TblTech[[#This Row],[3-5]] + tech_5_3*TblTech[[#This Row],[5-3]] + tech_5_5*TblTech[[#This Row],[5-5]]))*spec_dp_ore,0)</f>
        <v>0</v>
      </c>
      <c r="BM97" s="69" t="n">
        <f aca="false">ROUNDUP((1-MIN(TblMili[[#This Row],[Smithies]]*smithy_bonus,smithy_bonus_cap) + tech_3_5*TblTech[[#This Row],[3-5]] + tech_5_3*TblTech[[#This Row],[5-3]] + tech_5_5*TblTech[[#This Row],[5-5]])*elite1_plat,0)</f>
        <v>592</v>
      </c>
      <c r="BN97" s="69" t="n">
        <f aca="false">ROUNDUP(IF(race="Gnome",1,(1-MIN(TblMili[[#This Row],[Smithies]]*smithy_bonus,smithy_bonus_cap) + tech_3_5*TblTech[[#This Row],[3-5]] + tech_5_3*TblTech[[#This Row],[5-3]] + tech_5_5*TblTech[[#This Row],[5-5]]))*elite1_ore,0)</f>
        <v>0</v>
      </c>
      <c r="BO97" s="69" t="n">
        <f aca="false">ROUNDUP((1-MIN(TblMili[[#This Row],[Smithies]]*smithy_bonus,smithy_bonus_cap) + tech_3_5*TblTech[[#This Row],[3-5]] + tech_5_3*TblTech[[#This Row],[5-3]] + tech_5_5*TblTech[[#This Row],[5-5]])*elite2_plat,0)</f>
        <v>608</v>
      </c>
      <c r="BP97" s="69" t="n">
        <f aca="false">ROUNDUP(IF(race="Gnome",1,(1-MIN(TblMili[[#This Row],[Smithies]]*smithy_bonus,smithy_bonus_cap) + tech_3_5*TblTech[[#This Row],[3-5]] + tech_5_3*TblTech[[#This Row],[5-3]] + tech_5_5*TblTech[[#This Row],[5-5]]))*elite2_ore,0)</f>
        <v>0</v>
      </c>
      <c r="BQ97" s="69" t="n">
        <f aca="false">ROUNDUP((1-MIN(ROUND(fh_spy_cost_red*TblMili[[#This Row],[FH''s]],4),fh_spy_cost_cap)+ tech_1_9*TblTech[[#This Row],[1-9]] + tech_9_1*TblTech[[#This Row],[9-1]])*spy_plat,0)</f>
        <v>500</v>
      </c>
      <c r="BR97" s="69" t="n">
        <f aca="false">ROUNDUP((1-MIN(ROUND(fh_spy_cost_red*TblMili[[#This Row],[FH''s]],4),fh_spy_cost_cap)+ tech_1_9*TblTech[[#This Row],[1-9]] + tech_9_1*TblTech[[#This Row],[9-1]])*archspy_plat,0)</f>
        <v>1000</v>
      </c>
      <c r="BS97" s="69" t="n">
        <f aca="false">ROUNDUP((1-MIN(ROUND(wg_wiz_cost_bonus*TblMili[[#This Row],[WG''s]],4),wg_wiz_cost_cap) + tech_1_9_2*TblTech[[#This Row],[1-9]] + tech_9_1_2*TblTech[[#This Row],[9-1]])*wizard_plat,0)</f>
        <v>500</v>
      </c>
      <c r="BT97" s="69" t="n">
        <f aca="false">ROUNDUP((1-MIN(ROUND(wg_wiz_cost_bonus*TblMili[[#This Row],[WG''s]],4),wg_wiz_cost_cap) + tech_1_9_2*TblTech[[#This Row],[1-9]] + tech_9_1_2*TblTech[[#This Row],[9-1]])*archmage_plat,0)</f>
        <v>1000</v>
      </c>
      <c r="BU97" s="132"/>
      <c r="BV97" s="150" t="e">
        <f aca="false">TblConstr[[#This Row],[Homeland]]/TblConstr[[#This Row],[Land]]</f>
        <v>#VALUE!</v>
      </c>
      <c r="BW97" s="150" t="n">
        <f aca="false">TblMili[[#This Row],[WG''s]]</f>
        <v>0</v>
      </c>
      <c r="BX97" s="288" t="e">
        <f aca="false">IF(mystic_cap="none",TblMili[[#This Row],[Hill]]/mystic_bonus,MIN(mystic_cap,TblMili[[#This Row],[Hill]]/mystic_bonus))</f>
        <v>#VALUE!</v>
      </c>
      <c r="BY97" s="288" t="e">
        <f aca="false">IF(druid_op_cap="none",TblMili[[#This Row],[Hill]]/druid_op_bonus,MIN(druid_op_cap,TblMili[[#This Row],[Hill]]/druid_op_bonus))</f>
        <v>#VALUE!</v>
      </c>
      <c r="BZ97" s="288" t="e">
        <f aca="false">IF(druid_dp_cap="none",TblMili[[#This Row],[Hill]]/druid_dp_bonus,MIN(druid_dp_cap,TblMili[[#This Row],[Hill]]/druid_dp_bonus))</f>
        <v>#VALUE!</v>
      </c>
      <c r="CA97" s="288" t="e">
        <f aca="false">MIN(dryad_cap,TblMili[[#This Row],[Hill]]/dryad_bonus)</f>
        <v>#VALUE!</v>
      </c>
      <c r="CB97" s="288" t="e">
        <f aca="false">MIN(rocka_cap,TblMili[[#This Row],[Hill]]/rocka_bonus)</f>
        <v>#VALUE!</v>
      </c>
      <c r="CC97" s="288" t="n">
        <f aca="false">MIN(adept_op_cap,TblMili[[#This Row],[WG]]/adept_op_bonus)</f>
        <v>0</v>
      </c>
      <c r="CD97" s="288" t="n">
        <f aca="false">MIN(adept_dp_cap,TblMili[[#This Row],[WG]]/adept_dp_bonus)</f>
        <v>0</v>
      </c>
      <c r="CE97" s="69" t="n">
        <f aca="false">MIN(TblMili[[#This Row],[Unit 3]],TblMili[[#This Row],[Unit 2]])*2</f>
        <v>1400</v>
      </c>
      <c r="CF97" s="69" t="n">
        <f aca="false">MIN(TblMili[[#This Row],[Unit 1]],TblMili[[#This Row],[Unit 4]])*2</f>
        <v>0</v>
      </c>
      <c r="CG97" s="288" t="e">
        <f aca="false">MIN(frost_mage_cap,TblMili[[#This Row],[Hill]]/frost_mage_bonus)</f>
        <v>#VALUE!</v>
      </c>
      <c r="CH97" s="151" t="n">
        <f aca="false">MIN(ice_elem_cap,TblMili[[#This Row],[Raw (2)]]*ice_elem_bonus)</f>
        <v>0.0357142857142857</v>
      </c>
      <c r="CI97" s="288" t="n">
        <f aca="false">MIN(bone_breaker_cap,250/bone_breaker_bonus)</f>
        <v>0.833333333333333</v>
      </c>
      <c r="CJ97" s="288" t="e">
        <f aca="false">MIN(nox_nightshade_cap,TblConstr[[#This Row],[Homeland]]/TblConstr[[#This Row],[Land]]/nox_nightshade_swamp_bonus)</f>
        <v>#VALUE!</v>
      </c>
      <c r="CK97" s="289"/>
      <c r="CL97" s="289"/>
      <c r="CM97" s="289"/>
      <c r="CN97" s="288" t="e">
        <f aca="false">MIN(6,TblMili[[#This Row],[Mystic]]+Races!$F$19)*1.8 +  IF(TblMili[[#This Row],[Mystic]]+Races!$F$19&gt;6,(TblMili[[#This Row],[Mystic]]+Races!$F$19-6)*0.2,0) - Races!$I$19</f>
        <v>#VALUE!</v>
      </c>
      <c r="CO97" s="288" t="e">
        <f aca="false">1.8 * MIN(MAX(TblMili[[#This Row],[Druid (op)]]+Races!$E$20,TblMili[[#This Row],[Druid (dp)]]+Races!$F$20),6)  +  0.45 * MIN(MIN(TblMili[[#This Row],[Druid (op)]]+Races!$E$20,TblMili[[#This Row],[Druid (dp)]]+Races!$F$20),6)  +  0.2 * ( MAX(TblMili[[#This Row],[Druid (op)]]+Races!$E$20-6,0) + MAX(TblMili[[#This Row],[Druid (dp)]]+Races!$F$20-6,0) )  -  Races!$I$20</f>
        <v>#VALUE!</v>
      </c>
      <c r="CP97" s="69" t="e">
        <f aca="false">TblMili[[#This Row],[Mystic bonus]]*TblMili[[#This Row],[Unit 3]]+TblMili[[#This Row],[Druid bonus]]*TblMili[[#This Row],[Unit 4]]</f>
        <v>#VALUE!</v>
      </c>
      <c r="CQ97" s="148" t="e">
        <f aca="false">MIN(6,TblMili[[#This Row],[Dryad]]+Races!$F$35)*1.8 +  IF(TblMili[[#This Row],[Dryad]]+Races!$F$35&gt;6,(TblMili[[#This Row],[Dryad]]+Races!$F$35-6)*0.2,0) - Races!$I$19</f>
        <v>#VALUE!</v>
      </c>
      <c r="CR97" s="69" t="e">
        <f aca="false">sylvan*(TblMili[[#This Row],[Mystic bonus]]*TblMili[[#This Row],[Unit 3]])</f>
        <v>#VALUE!</v>
      </c>
      <c r="CS97" s="148" t="e">
        <f aca="false">1.8 * MIN(MAX(Races!$E$27,TblMili[[#This Row],[Rockapult]]+Races!$F$27),6)  +  0.45 * MIN(MIN(Races!$E$27,TblMili[[#This Row],[Rockapult]]+Races!$F$27),6)  +  0.2 * ( MAX(Races!$E$27-6,0) + MAX(TblMili[[#This Row],[Rockapult]]+Races!$F$27-6,0) )  -  Races!$I$20</f>
        <v>#VALUE!</v>
      </c>
      <c r="CT97" s="69" t="e">
        <f aca="false">gnome*(TblMili[[#This Row],[Rockapult bonus]]*TblMili[[#This Row],[Unit 3]])</f>
        <v>#VALUE!</v>
      </c>
      <c r="CU97" s="148" t="n">
        <f aca="false">1.8 * MIN(MAX(TblMili[[#This Row],[Spellblade]]+Races!$E$47,TblMili[[#This Row],[Adept-DP]]+Races!$F$47),6)  +  0.45 * MIN(MIN(TblMili[[#This Row],[Spellblade]]+Races!$E$47,TblMili[[#This Row],[Adept-DP]]+Races!$F$47),6)  +  0.2 * ( MAX(TblMili[[#This Row],[Spellblade]]+Races!$E$47-6,0) + MAX(TblMili[[#This Row],[Adept-DP]]+Races!$F$47-6,0) )  -  Races!$I$47</f>
        <v>0</v>
      </c>
      <c r="CV97" s="69" t="n">
        <f aca="false">dark_elf*(TblMili[[#This Row],[Adept bonus]]*TblMili[[#This Row],[Unit 3]])</f>
        <v>0</v>
      </c>
      <c r="CW97" s="148" t="e">
        <f aca="false">1.8 * MIN(MAX(TblMili[[#This Row],[Frost Mage]]+Races!$F$71,Races!$E$71),6)  +  0.45 * MIN(MIN(TblMili[[#This Row],[Frost Mage]]+Races!$F$71,Races!$E$71),6)  +  0.2 * ( MAX(TblMili[[#This Row],[Frost Mage]]+Races!$F$71-6,0) + MAX(Races!$E$71-6,0) )  -  Races!$I$71</f>
        <v>#VALUE!</v>
      </c>
      <c r="CX97" s="148" t="n">
        <f aca="false">1.8 * MIN(MAX(TblMili[[#This Row],[Ice Elemental]]+Races!$E$71,Races!$F$71),6)  +  0.45 * MIN(MIN(TblMili[[#This Row],[Ice Elemental]]+Races!$E$71,Races!$F$71),6)  +  0.2 * ( MAX(TblMili[[#This Row],[Ice Elemental]]+Races!$E$71-6,0) + MAX(Races!$F$71-6,0) )  -  Races!$I$71</f>
        <v>0.064285714285715</v>
      </c>
      <c r="CY97" s="69" t="e">
        <f aca="false">TblMili[[#This Row],[Frost Mage bonus]]*TblMili[[#This Row],[Unit 3]]+TblMili[[#This Row],[Ice Elemental bonus]]*TblMili[[#This Row],[Unit 4]]</f>
        <v>#VALUE!</v>
      </c>
      <c r="CZ97" s="290"/>
      <c r="DA97" s="109" t="n">
        <f aca="false">MIN(SUM(TblConstr[[#This Row],[Plain]:[Water]])/TblMili[[#This Row],[Land]]/favorable_terrain_bonus/100,favorable_terrain_max)</f>
        <v>0</v>
      </c>
      <c r="DB97" s="290"/>
      <c r="DC9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7" s="132"/>
      <c r="DE97" s="291" t="n">
        <f aca="false">(TblMili[[#This Row],[Wizards]]+2*TblMili[[#This Row],[Archmages]])/TblConstr[[#This Row],[Land]]</f>
        <v>0.0357142857142857</v>
      </c>
      <c r="DF97" s="291" t="n">
        <f aca="false">TblMili[[#This Row],[Raw (2)]]*(1+race_wizard_strength+IF(TblMili[[#This Row],[Hour]]&gt;72,tech_magical_weaponry_wiz*TblTech[[#This Row],[3-5]],0))</f>
        <v>0.0357142857142857</v>
      </c>
    </row>
    <row r="98" customFormat="false" ht="12.75" hidden="false" customHeight="false" outlineLevel="0" collapsed="false">
      <c r="A98" s="128" t="n">
        <f aca="false">TblRezone[[#This Row],[Hour]]</f>
        <v>95</v>
      </c>
      <c r="B98" s="282" t="n">
        <f aca="false">SUM(TblMili[[#This Row],[Unit 1]:[Archmages]])+SUM(OFFSET(TblMili[[#This Row],[Train Unit 1]],-8,0):TblMili[[#This Row],[Train Unit 2]]) + SUM(OFFSET(TblMili[[#This Row],[Train Unit 3]],-11,0):TblMili[[#This Row],[Train AM]]) + TblMili[[#This Row],[Draftees]]</f>
        <v>4912</v>
      </c>
      <c r="C98" s="150" t="n">
        <f aca="false">TblPop[[#This Row],[Military%]]</f>
        <v>0.379627482803926</v>
      </c>
      <c r="D98" s="132"/>
      <c r="E98" s="151" t="n">
        <f aca="false">OFFSET(TblMili[[#This Row],[Unit 1]],-1,0) + OFFSET(TblMili[[#This Row],[Train Unit 1]],-9,0) - TblMili[[#This Row],[Release Unit 1]]</f>
        <v>0</v>
      </c>
      <c r="F98" s="151" t="n">
        <f aca="false">OFFSET(TblMili[[#This Row],[Unit 2]],-1,0) + OFFSET(TblMili[[#This Row],[Train Unit 2]],-9,0)-TblMili[[#This Row],[Release Unit 2]]</f>
        <v>1246</v>
      </c>
      <c r="G98" s="151" t="n">
        <f aca="false">OFFSET(TblMili[[#This Row],[Unit 3]],-1,0) + OFFSET(TblMili[[#This Row],[Train Unit 3]],-12,0)-TblMili[[#This Row],[Release Unit 3]]</f>
        <v>700</v>
      </c>
      <c r="H98" s="151" t="n">
        <f aca="false">OFFSET(TblMili[[#This Row],[Unit 4]],-1,0) + OFFSET(TblMili[[#This Row],[Train Unit 4]],-12,0)-TblMili[[#This Row],[Release Unit 4]]</f>
        <v>1228</v>
      </c>
      <c r="I98" s="151" t="n">
        <f aca="false">OFFSET(TblMili[[#This Row],[Spies]],-1,0) + OFFSET(TblMili[[#This Row],[Train Spies]],-12,0) - TblMili[[#This Row],[Release Spies]]-TblMili[[#This Row],[Train AS]]</f>
        <v>25</v>
      </c>
      <c r="J98" s="151" t="n">
        <f aca="false">OFFSET(TblMili[[#This Row],[Archspies]],-1,0) + OFFSET(TblMili[[#This Row],[Train AS]],-12,0) - TblMili[[#This Row],[Release AS]]</f>
        <v>0</v>
      </c>
      <c r="K98" s="151" t="n">
        <f aca="false">OFFSET(TblMili[[#This Row],[Wizards]],-1,0) + OFFSET(TblMili[[#This Row],[Train Wiz]],-12,0) - TblMili[[#This Row],[Release Wizards]]-TblMili[[#This Row],[Train AM]]</f>
        <v>25</v>
      </c>
      <c r="L98" s="151" t="n">
        <f aca="false">OFFSET(TblMili[[#This Row],[Archmages]],-1,0) + OFFSET(TblMili[[#This Row],[Train AM]],-12,0) - TblMili[[#This Row],[Release AM]]</f>
        <v>0</v>
      </c>
      <c r="M98" s="132"/>
      <c r="N98" s="69" t="e">
        <f aca="false">TblProd[[#This Row],[Networth]]</f>
        <v>#VALUE!</v>
      </c>
      <c r="O98" s="132"/>
      <c r="P9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8" s="285" t="e">
        <f aca="false">TblMili[[#This Row],[Raw]]*(1+TblMili[[#This Row],[Mods_Off]])</f>
        <v>#VALUE!</v>
      </c>
      <c r="S9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8" s="285" t="e">
        <f aca="false">TblMili[[#This Row],[Non Draft]]+TblMili[[#This Row],[Draftees]]</f>
        <v>#VALUE!</v>
      </c>
      <c r="U98" s="286" t="n">
        <f aca="false">race_defense + TblImps[[#This Row],[Walls]] + ROUND( MIN(gt_bonus*TblConstr[[#This Row],[Tot GT]]/TblConstr[[#This Row],[Land]],gt_bonus_cap), 4) + IF(TblMagic[[#This Row],[Active Howling]]&gt;0,howling_dp_bonus,IF(TblMagic[[#This Row],[Active Ares Call]]&gt;0,ares_call_bonus))</f>
        <v>0.2375</v>
      </c>
      <c r="V98" s="274" t="e">
        <f aca="false">TblMili[[#This Row],[Non Draft]] * (1 + TblMili[[#This Row],[Mods_Def]])</f>
        <v>#VALUE!</v>
      </c>
      <c r="W98" s="285" t="e">
        <f aca="false">TblMili[[#This Row],[Draft]] * (1 + TblMili[[#This Row],[Mods_Def]])</f>
        <v>#VALUE!</v>
      </c>
      <c r="X98" s="285" t="n">
        <f aca="false">TblConstr[[#This Row],[Land]]</f>
        <v>700</v>
      </c>
      <c r="Y98" s="287"/>
      <c r="Z98" s="109" t="n">
        <f aca="false">IF(TblMili[[#This Row],[Set]]&lt;&gt;"",TblMili[[#This Row],[Set]],OFFSET(TblMili[[#This Row],[Draftrate]],-1,0))</f>
        <v>0.9</v>
      </c>
      <c r="AA98" s="69" t="n">
        <f aca="false">OFFSET(TblMili[[#This Row],[Draftees]],-1,0)+OFFSET(TblPop[[#This Row],[Draft Growth]],-1,0) - SUM(TblMili[[#This Row],[Train Unit 1]:[Train Spies]],TblMili[[#This Row],[Train Wiz]]) - TblMili[[#This Row],[Release Draft]] + SUM(TblMili[[#This Row],[Release Unit 1]:[Release AM]]) - TblExplore[[#This Row],[Draftees (2)]]</f>
        <v>1688</v>
      </c>
      <c r="AB98" s="146"/>
      <c r="AC98" s="130" t="n">
        <f aca="false">(TblConstr[[#This Row],[Tot Smi]]+TblConstr[[#This Row],[Dest Smi]])/(TblConstr[[#This Row],[Land]]-TblExplore[[#This Row],[Land Bonus]]*20)</f>
        <v>0.18</v>
      </c>
      <c r="AD98" s="128"/>
      <c r="AE98" s="282" t="n">
        <f aca="false">TblMili[[#This Row],[Hour]]</f>
        <v>95</v>
      </c>
      <c r="AF98" s="129" t="n">
        <f aca="false">TblExplore[[#This Row],[Time]]</f>
        <v>45433.6666666667</v>
      </c>
      <c r="AG98" s="182"/>
      <c r="AH98" s="182"/>
      <c r="AI98" s="182"/>
      <c r="AJ98" s="182"/>
      <c r="AK98" s="182"/>
      <c r="AL98" s="182"/>
      <c r="AM98" s="182"/>
      <c r="AN98" s="182"/>
      <c r="AO98" s="132"/>
      <c r="AP98" s="69" t="n">
        <f aca="false">TblProd[[#This Row],[Platinum]]</f>
        <v>942302</v>
      </c>
      <c r="AQ98" s="69" t="n">
        <f aca="false">INDEX(TblProd[[#Headers],[Lumber]]:TblProd[[#This Row],[Ore]],COUNTA(TblProd[[#Headers],[Lumber]]:TblProd[[#This Row],[Lumber]]),MATCH(Military!$AQ$2,TblProd[[#Headers],[Lumber]:[Ore]],0))</f>
        <v>0</v>
      </c>
      <c r="AR9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69" t="n">
        <f aca="false">TblMili[[#This Row],[Train Unit 1]]*TblMili[[#This Row],[OP Ore]]+TblMili[[#This Row],[Train Unit 2]]*TblMili[[#This Row],[DP Ore]]+TblMili[[#This Row],[Train Unit 3]]*TblMili[[#This Row],[E1 Ore]]+TblMili[[#This Row],[Train Unit 4]]*TblMili[[#This Row],[E2 Ore]]</f>
        <v>0</v>
      </c>
      <c r="AT98" s="132" t="n">
        <f aca="false">TblMili[[#This Row],[Hour]]</f>
        <v>95</v>
      </c>
      <c r="AU98" s="144" t="n">
        <f aca="false">TblMili[[#This Row],[Time]]</f>
        <v>45433.6666666667</v>
      </c>
      <c r="AV98" s="69" t="n">
        <f aca="false">TblMili[[#This Row],[Draftees]]</f>
        <v>1688</v>
      </c>
      <c r="AW98" s="182"/>
      <c r="AX98" s="182"/>
      <c r="AY98" s="182"/>
      <c r="AZ98" s="182"/>
      <c r="BA98" s="182"/>
      <c r="BB98" s="182"/>
      <c r="BC98" s="182"/>
      <c r="BD98" s="182"/>
      <c r="BE98" s="182"/>
      <c r="BF98" s="132"/>
      <c r="BG98" s="150" t="n">
        <f aca="false">TblConstr[[#This Row],[Tot WG]]/TblConstr[[#This Row],[Land]]</f>
        <v>0</v>
      </c>
      <c r="BH98" s="150" t="n">
        <f aca="false">TblConstr[[#This Row],[Tot Hav]]/TblConstr[[#This Row],[Land]]</f>
        <v>0</v>
      </c>
      <c r="BI98" s="69" t="n">
        <f aca="false">ROUNDUP((1-MIN(TblMili[[#This Row],[Smithies]]*smithy_bonus,smithy_bonus_cap) + tech_3_5*TblTech[[#This Row],[3-5]] + tech_5_3*TblTech[[#This Row],[5-3]] + tech_5_5*TblTech[[#This Row],[5-5]])*spec_op_plat,0)</f>
        <v>192</v>
      </c>
      <c r="BJ98" s="69" t="n">
        <f aca="false">ROUNDUP(IF(race="Gnome",1,(1-MIN(TblMili[[#This Row],[Smithies]]*smithy_bonus,smithy_bonus_cap) + tech_3_5*TblTech[[#This Row],[3-5]] + tech_5_3*TblTech[[#This Row],[5-3]] + tech_5_5*TblTech[[#This Row],[5-5]]))*spec_op_ore,0)</f>
        <v>0</v>
      </c>
      <c r="BK98" s="69" t="n">
        <f aca="false">ROUNDUP((1-MIN(TblMili[[#This Row],[Smithies]]*smithy_bonus,smithy_bonus_cap) + tech_3_5*TblTech[[#This Row],[3-5]] + tech_5_3*TblTech[[#This Row],[5-3]] + tech_5_5*TblTech[[#This Row],[5-5]])*spec_dp_plat,0)</f>
        <v>192</v>
      </c>
      <c r="BL98" s="69" t="n">
        <f aca="false">ROUNDUP(IF(race="Gnome",1,(1-MIN(TblMili[[#This Row],[Smithies]]*smithy_bonus,smithy_bonus_cap) + tech_3_5*TblTech[[#This Row],[3-5]] + tech_5_3*TblTech[[#This Row],[5-3]] + tech_5_5*TblTech[[#This Row],[5-5]]))*spec_dp_ore,0)</f>
        <v>0</v>
      </c>
      <c r="BM98" s="69" t="n">
        <f aca="false">ROUNDUP((1-MIN(TblMili[[#This Row],[Smithies]]*smithy_bonus,smithy_bonus_cap) + tech_3_5*TblTech[[#This Row],[3-5]] + tech_5_3*TblTech[[#This Row],[5-3]] + tech_5_5*TblTech[[#This Row],[5-5]])*elite1_plat,0)</f>
        <v>592</v>
      </c>
      <c r="BN98" s="69" t="n">
        <f aca="false">ROUNDUP(IF(race="Gnome",1,(1-MIN(TblMili[[#This Row],[Smithies]]*smithy_bonus,smithy_bonus_cap) + tech_3_5*TblTech[[#This Row],[3-5]] + tech_5_3*TblTech[[#This Row],[5-3]] + tech_5_5*TblTech[[#This Row],[5-5]]))*elite1_ore,0)</f>
        <v>0</v>
      </c>
      <c r="BO98" s="69" t="n">
        <f aca="false">ROUNDUP((1-MIN(TblMili[[#This Row],[Smithies]]*smithy_bonus,smithy_bonus_cap) + tech_3_5*TblTech[[#This Row],[3-5]] + tech_5_3*TblTech[[#This Row],[5-3]] + tech_5_5*TblTech[[#This Row],[5-5]])*elite2_plat,0)</f>
        <v>608</v>
      </c>
      <c r="BP98" s="69" t="n">
        <f aca="false">ROUNDUP(IF(race="Gnome",1,(1-MIN(TblMili[[#This Row],[Smithies]]*smithy_bonus,smithy_bonus_cap) + tech_3_5*TblTech[[#This Row],[3-5]] + tech_5_3*TblTech[[#This Row],[5-3]] + tech_5_5*TblTech[[#This Row],[5-5]]))*elite2_ore,0)</f>
        <v>0</v>
      </c>
      <c r="BQ98" s="69" t="n">
        <f aca="false">ROUNDUP((1-MIN(ROUND(fh_spy_cost_red*TblMili[[#This Row],[FH''s]],4),fh_spy_cost_cap)+ tech_1_9*TblTech[[#This Row],[1-9]] + tech_9_1*TblTech[[#This Row],[9-1]])*spy_plat,0)</f>
        <v>500</v>
      </c>
      <c r="BR98" s="69" t="n">
        <f aca="false">ROUNDUP((1-MIN(ROUND(fh_spy_cost_red*TblMili[[#This Row],[FH''s]],4),fh_spy_cost_cap)+ tech_1_9*TblTech[[#This Row],[1-9]] + tech_9_1*TblTech[[#This Row],[9-1]])*archspy_plat,0)</f>
        <v>1000</v>
      </c>
      <c r="BS98" s="69" t="n">
        <f aca="false">ROUNDUP((1-MIN(ROUND(wg_wiz_cost_bonus*TblMili[[#This Row],[WG''s]],4),wg_wiz_cost_cap) + tech_1_9_2*TblTech[[#This Row],[1-9]] + tech_9_1_2*TblTech[[#This Row],[9-1]])*wizard_plat,0)</f>
        <v>500</v>
      </c>
      <c r="BT98" s="69" t="n">
        <f aca="false">ROUNDUP((1-MIN(ROUND(wg_wiz_cost_bonus*TblMili[[#This Row],[WG''s]],4),wg_wiz_cost_cap) + tech_1_9_2*TblTech[[#This Row],[1-9]] + tech_9_1_2*TblTech[[#This Row],[9-1]])*archmage_plat,0)</f>
        <v>1000</v>
      </c>
      <c r="BU98" s="132"/>
      <c r="BV98" s="150" t="e">
        <f aca="false">TblConstr[[#This Row],[Homeland]]/TblConstr[[#This Row],[Land]]</f>
        <v>#VALUE!</v>
      </c>
      <c r="BW98" s="150" t="n">
        <f aca="false">TblMili[[#This Row],[WG''s]]</f>
        <v>0</v>
      </c>
      <c r="BX98" s="288" t="e">
        <f aca="false">IF(mystic_cap="none",TblMili[[#This Row],[Hill]]/mystic_bonus,MIN(mystic_cap,TblMili[[#This Row],[Hill]]/mystic_bonus))</f>
        <v>#VALUE!</v>
      </c>
      <c r="BY98" s="288" t="e">
        <f aca="false">IF(druid_op_cap="none",TblMili[[#This Row],[Hill]]/druid_op_bonus,MIN(druid_op_cap,TblMili[[#This Row],[Hill]]/druid_op_bonus))</f>
        <v>#VALUE!</v>
      </c>
      <c r="BZ98" s="288" t="e">
        <f aca="false">IF(druid_dp_cap="none",TblMili[[#This Row],[Hill]]/druid_dp_bonus,MIN(druid_dp_cap,TblMili[[#This Row],[Hill]]/druid_dp_bonus))</f>
        <v>#VALUE!</v>
      </c>
      <c r="CA98" s="288" t="e">
        <f aca="false">MIN(dryad_cap,TblMili[[#This Row],[Hill]]/dryad_bonus)</f>
        <v>#VALUE!</v>
      </c>
      <c r="CB98" s="288" t="e">
        <f aca="false">MIN(rocka_cap,TblMili[[#This Row],[Hill]]/rocka_bonus)</f>
        <v>#VALUE!</v>
      </c>
      <c r="CC98" s="288" t="n">
        <f aca="false">MIN(adept_op_cap,TblMili[[#This Row],[WG]]/adept_op_bonus)</f>
        <v>0</v>
      </c>
      <c r="CD98" s="288" t="n">
        <f aca="false">MIN(adept_dp_cap,TblMili[[#This Row],[WG]]/adept_dp_bonus)</f>
        <v>0</v>
      </c>
      <c r="CE98" s="69" t="n">
        <f aca="false">MIN(TblMili[[#This Row],[Unit 3]],TblMili[[#This Row],[Unit 2]])*2</f>
        <v>1400</v>
      </c>
      <c r="CF98" s="69" t="n">
        <f aca="false">MIN(TblMili[[#This Row],[Unit 1]],TblMili[[#This Row],[Unit 4]])*2</f>
        <v>0</v>
      </c>
      <c r="CG98" s="288" t="e">
        <f aca="false">MIN(frost_mage_cap,TblMili[[#This Row],[Hill]]/frost_mage_bonus)</f>
        <v>#VALUE!</v>
      </c>
      <c r="CH98" s="151" t="n">
        <f aca="false">MIN(ice_elem_cap,TblMili[[#This Row],[Raw (2)]]*ice_elem_bonus)</f>
        <v>0.0357142857142857</v>
      </c>
      <c r="CI98" s="288" t="n">
        <f aca="false">MIN(bone_breaker_cap,250/bone_breaker_bonus)</f>
        <v>0.833333333333333</v>
      </c>
      <c r="CJ98" s="288" t="e">
        <f aca="false">MIN(nox_nightshade_cap,TblConstr[[#This Row],[Homeland]]/TblConstr[[#This Row],[Land]]/nox_nightshade_swamp_bonus)</f>
        <v>#VALUE!</v>
      </c>
      <c r="CK98" s="289"/>
      <c r="CL98" s="289"/>
      <c r="CM98" s="289"/>
      <c r="CN98" s="288" t="e">
        <f aca="false">MIN(6,TblMili[[#This Row],[Mystic]]+Races!$F$19)*1.8 +  IF(TblMili[[#This Row],[Mystic]]+Races!$F$19&gt;6,(TblMili[[#This Row],[Mystic]]+Races!$F$19-6)*0.2,0) - Races!$I$19</f>
        <v>#VALUE!</v>
      </c>
      <c r="CO98" s="288" t="e">
        <f aca="false">1.8 * MIN(MAX(TblMili[[#This Row],[Druid (op)]]+Races!$E$20,TblMili[[#This Row],[Druid (dp)]]+Races!$F$20),6)  +  0.45 * MIN(MIN(TblMili[[#This Row],[Druid (op)]]+Races!$E$20,TblMili[[#This Row],[Druid (dp)]]+Races!$F$20),6)  +  0.2 * ( MAX(TblMili[[#This Row],[Druid (op)]]+Races!$E$20-6,0) + MAX(TblMili[[#This Row],[Druid (dp)]]+Races!$F$20-6,0) )  -  Races!$I$20</f>
        <v>#VALUE!</v>
      </c>
      <c r="CP98" s="69" t="e">
        <f aca="false">TblMili[[#This Row],[Mystic bonus]]*TblMili[[#This Row],[Unit 3]]+TblMili[[#This Row],[Druid bonus]]*TblMili[[#This Row],[Unit 4]]</f>
        <v>#VALUE!</v>
      </c>
      <c r="CQ98" s="148" t="e">
        <f aca="false">MIN(6,TblMili[[#This Row],[Dryad]]+Races!$F$35)*1.8 +  IF(TblMili[[#This Row],[Dryad]]+Races!$F$35&gt;6,(TblMili[[#This Row],[Dryad]]+Races!$F$35-6)*0.2,0) - Races!$I$19</f>
        <v>#VALUE!</v>
      </c>
      <c r="CR98" s="69" t="e">
        <f aca="false">sylvan*(TblMili[[#This Row],[Mystic bonus]]*TblMili[[#This Row],[Unit 3]])</f>
        <v>#VALUE!</v>
      </c>
      <c r="CS98" s="148" t="e">
        <f aca="false">1.8 * MIN(MAX(Races!$E$27,TblMili[[#This Row],[Rockapult]]+Races!$F$27),6)  +  0.45 * MIN(MIN(Races!$E$27,TblMili[[#This Row],[Rockapult]]+Races!$F$27),6)  +  0.2 * ( MAX(Races!$E$27-6,0) + MAX(TblMili[[#This Row],[Rockapult]]+Races!$F$27-6,0) )  -  Races!$I$20</f>
        <v>#VALUE!</v>
      </c>
      <c r="CT98" s="69" t="e">
        <f aca="false">gnome*(TblMili[[#This Row],[Rockapult bonus]]*TblMili[[#This Row],[Unit 3]])</f>
        <v>#VALUE!</v>
      </c>
      <c r="CU98" s="148" t="n">
        <f aca="false">1.8 * MIN(MAX(TblMili[[#This Row],[Spellblade]]+Races!$E$47,TblMili[[#This Row],[Adept-DP]]+Races!$F$47),6)  +  0.45 * MIN(MIN(TblMili[[#This Row],[Spellblade]]+Races!$E$47,TblMili[[#This Row],[Adept-DP]]+Races!$F$47),6)  +  0.2 * ( MAX(TblMili[[#This Row],[Spellblade]]+Races!$E$47-6,0) + MAX(TblMili[[#This Row],[Adept-DP]]+Races!$F$47-6,0) )  -  Races!$I$47</f>
        <v>0</v>
      </c>
      <c r="CV98" s="69" t="n">
        <f aca="false">dark_elf*(TblMili[[#This Row],[Adept bonus]]*TblMili[[#This Row],[Unit 3]])</f>
        <v>0</v>
      </c>
      <c r="CW98" s="148" t="e">
        <f aca="false">1.8 * MIN(MAX(TblMili[[#This Row],[Frost Mage]]+Races!$F$71,Races!$E$71),6)  +  0.45 * MIN(MIN(TblMili[[#This Row],[Frost Mage]]+Races!$F$71,Races!$E$71),6)  +  0.2 * ( MAX(TblMili[[#This Row],[Frost Mage]]+Races!$F$71-6,0) + MAX(Races!$E$71-6,0) )  -  Races!$I$71</f>
        <v>#VALUE!</v>
      </c>
      <c r="CX98" s="148" t="n">
        <f aca="false">1.8 * MIN(MAX(TblMili[[#This Row],[Ice Elemental]]+Races!$E$71,Races!$F$71),6)  +  0.45 * MIN(MIN(TblMili[[#This Row],[Ice Elemental]]+Races!$E$71,Races!$F$71),6)  +  0.2 * ( MAX(TblMili[[#This Row],[Ice Elemental]]+Races!$E$71-6,0) + MAX(Races!$F$71-6,0) )  -  Races!$I$71</f>
        <v>0.064285714285715</v>
      </c>
      <c r="CY98" s="69" t="e">
        <f aca="false">TblMili[[#This Row],[Frost Mage bonus]]*TblMili[[#This Row],[Unit 3]]+TblMili[[#This Row],[Ice Elemental bonus]]*TblMili[[#This Row],[Unit 4]]</f>
        <v>#VALUE!</v>
      </c>
      <c r="CZ98" s="290"/>
      <c r="DA98" s="109" t="n">
        <f aca="false">MIN(SUM(TblConstr[[#This Row],[Plain]:[Water]])/TblMili[[#This Row],[Land]]/favorable_terrain_bonus/100,favorable_terrain_max)</f>
        <v>0</v>
      </c>
      <c r="DB98" s="290"/>
      <c r="DC9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8" s="132"/>
      <c r="DE98" s="291" t="n">
        <f aca="false">(TblMili[[#This Row],[Wizards]]+2*TblMili[[#This Row],[Archmages]])/TblConstr[[#This Row],[Land]]</f>
        <v>0.0357142857142857</v>
      </c>
      <c r="DF98" s="291" t="n">
        <f aca="false">TblMili[[#This Row],[Raw (2)]]*(1+race_wizard_strength+IF(TblMili[[#This Row],[Hour]]&gt;72,tech_magical_weaponry_wiz*TblTech[[#This Row],[3-5]],0))</f>
        <v>0.0357142857142857</v>
      </c>
    </row>
    <row r="99" customFormat="false" ht="12.75" hidden="false" customHeight="false" outlineLevel="0" collapsed="false">
      <c r="A99" s="128" t="n">
        <f aca="false">TblRezone[[#This Row],[Hour]]</f>
        <v>96</v>
      </c>
      <c r="B99" s="282" t="n">
        <f aca="false">SUM(TblMili[[#This Row],[Unit 1]:[Archmages]])+SUM(OFFSET(TblMili[[#This Row],[Train Unit 1]],-8,0):TblMili[[#This Row],[Train Unit 2]]) + SUM(OFFSET(TblMili[[#This Row],[Train Unit 3]],-11,0):TblMili[[#This Row],[Train AM]]) + TblMili[[#This Row],[Draftees]]</f>
        <v>4992</v>
      </c>
      <c r="C99" s="150" t="n">
        <f aca="false">TblPop[[#This Row],[Military%]]</f>
        <v>0.385810340830049</v>
      </c>
      <c r="D99" s="132"/>
      <c r="E99" s="151" t="n">
        <f aca="false">OFFSET(TblMili[[#This Row],[Unit 1]],-1,0) + OFFSET(TblMili[[#This Row],[Train Unit 1]],-9,0) - TblMili[[#This Row],[Release Unit 1]]</f>
        <v>0</v>
      </c>
      <c r="F99" s="151" t="n">
        <f aca="false">OFFSET(TblMili[[#This Row],[Unit 2]],-1,0) + OFFSET(TblMili[[#This Row],[Train Unit 2]],-9,0)-TblMili[[#This Row],[Release Unit 2]]</f>
        <v>1246</v>
      </c>
      <c r="G99" s="151" t="n">
        <f aca="false">OFFSET(TblMili[[#This Row],[Unit 3]],-1,0) + OFFSET(TblMili[[#This Row],[Train Unit 3]],-12,0)-TblMili[[#This Row],[Release Unit 3]]</f>
        <v>700</v>
      </c>
      <c r="H99" s="151" t="n">
        <f aca="false">OFFSET(TblMili[[#This Row],[Unit 4]],-1,0) + OFFSET(TblMili[[#This Row],[Train Unit 4]],-12,0)-TblMili[[#This Row],[Release Unit 4]]</f>
        <v>1228</v>
      </c>
      <c r="I99" s="151" t="n">
        <f aca="false">OFFSET(TblMili[[#This Row],[Spies]],-1,0) + OFFSET(TblMili[[#This Row],[Train Spies]],-12,0) - TblMili[[#This Row],[Release Spies]]-TblMili[[#This Row],[Train AS]]</f>
        <v>25</v>
      </c>
      <c r="J99" s="151" t="n">
        <f aca="false">OFFSET(TblMili[[#This Row],[Archspies]],-1,0) + OFFSET(TblMili[[#This Row],[Train AS]],-12,0) - TblMili[[#This Row],[Release AS]]</f>
        <v>0</v>
      </c>
      <c r="K99" s="151" t="n">
        <f aca="false">OFFSET(TblMili[[#This Row],[Wizards]],-1,0) + OFFSET(TblMili[[#This Row],[Train Wiz]],-12,0) - TblMili[[#This Row],[Release Wizards]]-TblMili[[#This Row],[Train AM]]</f>
        <v>25</v>
      </c>
      <c r="L99" s="151" t="n">
        <f aca="false">OFFSET(TblMili[[#This Row],[Archmages]],-1,0) + OFFSET(TblMili[[#This Row],[Train AM]],-12,0) - TblMili[[#This Row],[Release AM]]</f>
        <v>0</v>
      </c>
      <c r="M99" s="132"/>
      <c r="N99" s="69" t="e">
        <f aca="false">TblProd[[#This Row],[Networth]]</f>
        <v>#VALUE!</v>
      </c>
      <c r="O99" s="132"/>
      <c r="P9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9" s="285" t="e">
        <f aca="false">TblMili[[#This Row],[Raw]]*(1+TblMili[[#This Row],[Mods_Off]])</f>
        <v>#VALUE!</v>
      </c>
      <c r="S9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9" s="285" t="e">
        <f aca="false">TblMili[[#This Row],[Non Draft]]+TblMili[[#This Row],[Draftees]]</f>
        <v>#VALUE!</v>
      </c>
      <c r="U99" s="286" t="n">
        <f aca="false">race_defense + TblImps[[#This Row],[Walls]] + ROUND( MIN(gt_bonus*TblConstr[[#This Row],[Tot GT]]/TblConstr[[#This Row],[Land]],gt_bonus_cap), 4) + IF(TblMagic[[#This Row],[Active Howling]]&gt;0,howling_dp_bonus,IF(TblMagic[[#This Row],[Active Ares Call]]&gt;0,ares_call_bonus))</f>
        <v>0.2375</v>
      </c>
      <c r="V99" s="274" t="e">
        <f aca="false">TblMili[[#This Row],[Non Draft]] * (1 + TblMili[[#This Row],[Mods_Def]])</f>
        <v>#VALUE!</v>
      </c>
      <c r="W99" s="285" t="e">
        <f aca="false">TblMili[[#This Row],[Draft]] * (1 + TblMili[[#This Row],[Mods_Def]])</f>
        <v>#VALUE!</v>
      </c>
      <c r="X99" s="285" t="n">
        <f aca="false">TblConstr[[#This Row],[Land]]</f>
        <v>700</v>
      </c>
      <c r="Y99" s="287"/>
      <c r="Z99" s="109" t="n">
        <f aca="false">IF(TblMili[[#This Row],[Set]]&lt;&gt;"",TblMili[[#This Row],[Set]],OFFSET(TblMili[[#This Row],[Draftrate]],-1,0))</f>
        <v>0.9</v>
      </c>
      <c r="AA99" s="69" t="n">
        <f aca="false">OFFSET(TblMili[[#This Row],[Draftees]],-1,0)+OFFSET(TblPop[[#This Row],[Draft Growth]],-1,0) - SUM(TblMili[[#This Row],[Train Unit 1]:[Train Spies]],TblMili[[#This Row],[Train Wiz]]) - TblMili[[#This Row],[Release Draft]] + SUM(TblMili[[#This Row],[Release Unit 1]:[Release AM]]) - TblExplore[[#This Row],[Draftees (2)]]</f>
        <v>1768</v>
      </c>
      <c r="AB99" s="146"/>
      <c r="AC99" s="130" t="n">
        <f aca="false">(TblConstr[[#This Row],[Tot Smi]]+TblConstr[[#This Row],[Dest Smi]])/(TblConstr[[#This Row],[Land]]-TblExplore[[#This Row],[Land Bonus]]*20)</f>
        <v>0.18</v>
      </c>
      <c r="AD99" s="128"/>
      <c r="AE99" s="282" t="n">
        <f aca="false">TblMili[[#This Row],[Hour]]</f>
        <v>96</v>
      </c>
      <c r="AF99" s="129" t="n">
        <f aca="false">TblExplore[[#This Row],[Time]]</f>
        <v>45433.7083333333</v>
      </c>
      <c r="AG99" s="182"/>
      <c r="AH99" s="182"/>
      <c r="AI99" s="182"/>
      <c r="AJ99" s="182"/>
      <c r="AK99" s="182"/>
      <c r="AL99" s="182"/>
      <c r="AM99" s="182"/>
      <c r="AN99" s="182"/>
      <c r="AO99" s="132"/>
      <c r="AP99" s="69" t="n">
        <f aca="false">TblProd[[#This Row],[Platinum]]</f>
        <v>983687</v>
      </c>
      <c r="AQ99" s="69" t="n">
        <f aca="false">INDEX(TblProd[[#Headers],[Lumber]]:TblProd[[#This Row],[Ore]],COUNTA(TblProd[[#Headers],[Lumber]]:TblProd[[#This Row],[Lumber]]),MATCH(Military!$AQ$2,TblProd[[#Headers],[Lumber]:[Ore]],0))</f>
        <v>0</v>
      </c>
      <c r="AR9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69" t="n">
        <f aca="false">TblMili[[#This Row],[Train Unit 1]]*TblMili[[#This Row],[OP Ore]]+TblMili[[#This Row],[Train Unit 2]]*TblMili[[#This Row],[DP Ore]]+TblMili[[#This Row],[Train Unit 3]]*TblMili[[#This Row],[E1 Ore]]+TblMili[[#This Row],[Train Unit 4]]*TblMili[[#This Row],[E2 Ore]]</f>
        <v>0</v>
      </c>
      <c r="AT99" s="132" t="n">
        <f aca="false">TblMili[[#This Row],[Hour]]</f>
        <v>96</v>
      </c>
      <c r="AU99" s="144" t="n">
        <f aca="false">TblMili[[#This Row],[Time]]</f>
        <v>45433.7083333333</v>
      </c>
      <c r="AV99" s="69" t="n">
        <f aca="false">TblMili[[#This Row],[Draftees]]</f>
        <v>1768</v>
      </c>
      <c r="AW99" s="182"/>
      <c r="AX99" s="182"/>
      <c r="AY99" s="182"/>
      <c r="AZ99" s="182"/>
      <c r="BA99" s="182"/>
      <c r="BB99" s="182"/>
      <c r="BC99" s="182"/>
      <c r="BD99" s="182"/>
      <c r="BE99" s="182"/>
      <c r="BF99" s="132"/>
      <c r="BG99" s="150" t="n">
        <f aca="false">TblConstr[[#This Row],[Tot WG]]/TblConstr[[#This Row],[Land]]</f>
        <v>0</v>
      </c>
      <c r="BH99" s="150" t="n">
        <f aca="false">TblConstr[[#This Row],[Tot Hav]]/TblConstr[[#This Row],[Land]]</f>
        <v>0</v>
      </c>
      <c r="BI99" s="69" t="n">
        <f aca="false">ROUNDUP((1-MIN(TblMili[[#This Row],[Smithies]]*smithy_bonus,smithy_bonus_cap) + tech_3_5*TblTech[[#This Row],[3-5]] + tech_5_3*TblTech[[#This Row],[5-3]] + tech_5_5*TblTech[[#This Row],[5-5]])*spec_op_plat,0)</f>
        <v>192</v>
      </c>
      <c r="BJ99" s="69" t="n">
        <f aca="false">ROUNDUP(IF(race="Gnome",1,(1-MIN(TblMili[[#This Row],[Smithies]]*smithy_bonus,smithy_bonus_cap) + tech_3_5*TblTech[[#This Row],[3-5]] + tech_5_3*TblTech[[#This Row],[5-3]] + tech_5_5*TblTech[[#This Row],[5-5]]))*spec_op_ore,0)</f>
        <v>0</v>
      </c>
      <c r="BK99" s="69" t="n">
        <f aca="false">ROUNDUP((1-MIN(TblMili[[#This Row],[Smithies]]*smithy_bonus,smithy_bonus_cap) + tech_3_5*TblTech[[#This Row],[3-5]] + tech_5_3*TblTech[[#This Row],[5-3]] + tech_5_5*TblTech[[#This Row],[5-5]])*spec_dp_plat,0)</f>
        <v>192</v>
      </c>
      <c r="BL99" s="69" t="n">
        <f aca="false">ROUNDUP(IF(race="Gnome",1,(1-MIN(TblMili[[#This Row],[Smithies]]*smithy_bonus,smithy_bonus_cap) + tech_3_5*TblTech[[#This Row],[3-5]] + tech_5_3*TblTech[[#This Row],[5-3]] + tech_5_5*TblTech[[#This Row],[5-5]]))*spec_dp_ore,0)</f>
        <v>0</v>
      </c>
      <c r="BM99" s="69" t="n">
        <f aca="false">ROUNDUP((1-MIN(TblMili[[#This Row],[Smithies]]*smithy_bonus,smithy_bonus_cap) + tech_3_5*TblTech[[#This Row],[3-5]] + tech_5_3*TblTech[[#This Row],[5-3]] + tech_5_5*TblTech[[#This Row],[5-5]])*elite1_plat,0)</f>
        <v>592</v>
      </c>
      <c r="BN99" s="69" t="n">
        <f aca="false">ROUNDUP(IF(race="Gnome",1,(1-MIN(TblMili[[#This Row],[Smithies]]*smithy_bonus,smithy_bonus_cap) + tech_3_5*TblTech[[#This Row],[3-5]] + tech_5_3*TblTech[[#This Row],[5-3]] + tech_5_5*TblTech[[#This Row],[5-5]]))*elite1_ore,0)</f>
        <v>0</v>
      </c>
      <c r="BO99" s="69" t="n">
        <f aca="false">ROUNDUP((1-MIN(TblMili[[#This Row],[Smithies]]*smithy_bonus,smithy_bonus_cap) + tech_3_5*TblTech[[#This Row],[3-5]] + tech_5_3*TblTech[[#This Row],[5-3]] + tech_5_5*TblTech[[#This Row],[5-5]])*elite2_plat,0)</f>
        <v>608</v>
      </c>
      <c r="BP99" s="69" t="n">
        <f aca="false">ROUNDUP(IF(race="Gnome",1,(1-MIN(TblMili[[#This Row],[Smithies]]*smithy_bonus,smithy_bonus_cap) + tech_3_5*TblTech[[#This Row],[3-5]] + tech_5_3*TblTech[[#This Row],[5-3]] + tech_5_5*TblTech[[#This Row],[5-5]]))*elite2_ore,0)</f>
        <v>0</v>
      </c>
      <c r="BQ99" s="69" t="n">
        <f aca="false">ROUNDUP((1-MIN(ROUND(fh_spy_cost_red*TblMili[[#This Row],[FH''s]],4),fh_spy_cost_cap)+ tech_1_9*TblTech[[#This Row],[1-9]] + tech_9_1*TblTech[[#This Row],[9-1]])*spy_plat,0)</f>
        <v>500</v>
      </c>
      <c r="BR99" s="69" t="n">
        <f aca="false">ROUNDUP((1-MIN(ROUND(fh_spy_cost_red*TblMili[[#This Row],[FH''s]],4),fh_spy_cost_cap)+ tech_1_9*TblTech[[#This Row],[1-9]] + tech_9_1*TblTech[[#This Row],[9-1]])*archspy_plat,0)</f>
        <v>1000</v>
      </c>
      <c r="BS99" s="69" t="n">
        <f aca="false">ROUNDUP((1-MIN(ROUND(wg_wiz_cost_bonus*TblMili[[#This Row],[WG''s]],4),wg_wiz_cost_cap) + tech_1_9_2*TblTech[[#This Row],[1-9]] + tech_9_1_2*TblTech[[#This Row],[9-1]])*wizard_plat,0)</f>
        <v>500</v>
      </c>
      <c r="BT99" s="69" t="n">
        <f aca="false">ROUNDUP((1-MIN(ROUND(wg_wiz_cost_bonus*TblMili[[#This Row],[WG''s]],4),wg_wiz_cost_cap) + tech_1_9_2*TblTech[[#This Row],[1-9]] + tech_9_1_2*TblTech[[#This Row],[9-1]])*archmage_plat,0)</f>
        <v>1000</v>
      </c>
      <c r="BU99" s="132"/>
      <c r="BV99" s="150" t="e">
        <f aca="false">TblConstr[[#This Row],[Homeland]]/TblConstr[[#This Row],[Land]]</f>
        <v>#VALUE!</v>
      </c>
      <c r="BW99" s="150" t="n">
        <f aca="false">TblMili[[#This Row],[WG''s]]</f>
        <v>0</v>
      </c>
      <c r="BX99" s="288" t="e">
        <f aca="false">IF(mystic_cap="none",TblMili[[#This Row],[Hill]]/mystic_bonus,MIN(mystic_cap,TblMili[[#This Row],[Hill]]/mystic_bonus))</f>
        <v>#VALUE!</v>
      </c>
      <c r="BY99" s="288" t="e">
        <f aca="false">IF(druid_op_cap="none",TblMili[[#This Row],[Hill]]/druid_op_bonus,MIN(druid_op_cap,TblMili[[#This Row],[Hill]]/druid_op_bonus))</f>
        <v>#VALUE!</v>
      </c>
      <c r="BZ99" s="288" t="e">
        <f aca="false">IF(druid_dp_cap="none",TblMili[[#This Row],[Hill]]/druid_dp_bonus,MIN(druid_dp_cap,TblMili[[#This Row],[Hill]]/druid_dp_bonus))</f>
        <v>#VALUE!</v>
      </c>
      <c r="CA99" s="288" t="e">
        <f aca="false">MIN(dryad_cap,TblMili[[#This Row],[Hill]]/dryad_bonus)</f>
        <v>#VALUE!</v>
      </c>
      <c r="CB99" s="288" t="e">
        <f aca="false">MIN(rocka_cap,TblMili[[#This Row],[Hill]]/rocka_bonus)</f>
        <v>#VALUE!</v>
      </c>
      <c r="CC99" s="288" t="n">
        <f aca="false">MIN(adept_op_cap,TblMili[[#This Row],[WG]]/adept_op_bonus)</f>
        <v>0</v>
      </c>
      <c r="CD99" s="288" t="n">
        <f aca="false">MIN(adept_dp_cap,TblMili[[#This Row],[WG]]/adept_dp_bonus)</f>
        <v>0</v>
      </c>
      <c r="CE99" s="69" t="n">
        <f aca="false">MIN(TblMili[[#This Row],[Unit 3]],TblMili[[#This Row],[Unit 2]])*2</f>
        <v>1400</v>
      </c>
      <c r="CF99" s="69" t="n">
        <f aca="false">MIN(TblMili[[#This Row],[Unit 1]],TblMili[[#This Row],[Unit 4]])*2</f>
        <v>0</v>
      </c>
      <c r="CG99" s="288" t="e">
        <f aca="false">MIN(frost_mage_cap,TblMili[[#This Row],[Hill]]/frost_mage_bonus)</f>
        <v>#VALUE!</v>
      </c>
      <c r="CH99" s="151" t="n">
        <f aca="false">MIN(ice_elem_cap,TblMili[[#This Row],[Raw (2)]]*ice_elem_bonus)</f>
        <v>0.0357142857142857</v>
      </c>
      <c r="CI99" s="288" t="n">
        <f aca="false">MIN(bone_breaker_cap,250/bone_breaker_bonus)</f>
        <v>0.833333333333333</v>
      </c>
      <c r="CJ99" s="288" t="e">
        <f aca="false">MIN(nox_nightshade_cap,TblConstr[[#This Row],[Homeland]]/TblConstr[[#This Row],[Land]]/nox_nightshade_swamp_bonus)</f>
        <v>#VALUE!</v>
      </c>
      <c r="CK99" s="289"/>
      <c r="CL99" s="289"/>
      <c r="CM99" s="289"/>
      <c r="CN99" s="288" t="e">
        <f aca="false">MIN(6,TblMili[[#This Row],[Mystic]]+Races!$F$19)*1.8 +  IF(TblMili[[#This Row],[Mystic]]+Races!$F$19&gt;6,(TblMili[[#This Row],[Mystic]]+Races!$F$19-6)*0.2,0) - Races!$I$19</f>
        <v>#VALUE!</v>
      </c>
      <c r="CO99" s="288" t="e">
        <f aca="false">1.8 * MIN(MAX(TblMili[[#This Row],[Druid (op)]]+Races!$E$20,TblMili[[#This Row],[Druid (dp)]]+Races!$F$20),6)  +  0.45 * MIN(MIN(TblMili[[#This Row],[Druid (op)]]+Races!$E$20,TblMili[[#This Row],[Druid (dp)]]+Races!$F$20),6)  +  0.2 * ( MAX(TblMili[[#This Row],[Druid (op)]]+Races!$E$20-6,0) + MAX(TblMili[[#This Row],[Druid (dp)]]+Races!$F$20-6,0) )  -  Races!$I$20</f>
        <v>#VALUE!</v>
      </c>
      <c r="CP99" s="69" t="e">
        <f aca="false">TblMili[[#This Row],[Mystic bonus]]*TblMili[[#This Row],[Unit 3]]+TblMili[[#This Row],[Druid bonus]]*TblMili[[#This Row],[Unit 4]]</f>
        <v>#VALUE!</v>
      </c>
      <c r="CQ99" s="148" t="e">
        <f aca="false">MIN(6,TblMili[[#This Row],[Dryad]]+Races!$F$35)*1.8 +  IF(TblMili[[#This Row],[Dryad]]+Races!$F$35&gt;6,(TblMili[[#This Row],[Dryad]]+Races!$F$35-6)*0.2,0) - Races!$I$19</f>
        <v>#VALUE!</v>
      </c>
      <c r="CR99" s="69" t="e">
        <f aca="false">sylvan*(TblMili[[#This Row],[Mystic bonus]]*TblMili[[#This Row],[Unit 3]])</f>
        <v>#VALUE!</v>
      </c>
      <c r="CS99" s="148" t="e">
        <f aca="false">1.8 * MIN(MAX(Races!$E$27,TblMili[[#This Row],[Rockapult]]+Races!$F$27),6)  +  0.45 * MIN(MIN(Races!$E$27,TblMili[[#This Row],[Rockapult]]+Races!$F$27),6)  +  0.2 * ( MAX(Races!$E$27-6,0) + MAX(TblMili[[#This Row],[Rockapult]]+Races!$F$27-6,0) )  -  Races!$I$20</f>
        <v>#VALUE!</v>
      </c>
      <c r="CT99" s="69" t="e">
        <f aca="false">gnome*(TblMili[[#This Row],[Rockapult bonus]]*TblMili[[#This Row],[Unit 3]])</f>
        <v>#VALUE!</v>
      </c>
      <c r="CU99" s="148" t="n">
        <f aca="false">1.8 * MIN(MAX(TblMili[[#This Row],[Spellblade]]+Races!$E$47,TblMili[[#This Row],[Adept-DP]]+Races!$F$47),6)  +  0.45 * MIN(MIN(TblMili[[#This Row],[Spellblade]]+Races!$E$47,TblMili[[#This Row],[Adept-DP]]+Races!$F$47),6)  +  0.2 * ( MAX(TblMili[[#This Row],[Spellblade]]+Races!$E$47-6,0) + MAX(TblMili[[#This Row],[Adept-DP]]+Races!$F$47-6,0) )  -  Races!$I$47</f>
        <v>0</v>
      </c>
      <c r="CV99" s="69" t="n">
        <f aca="false">dark_elf*(TblMili[[#This Row],[Adept bonus]]*TblMili[[#This Row],[Unit 3]])</f>
        <v>0</v>
      </c>
      <c r="CW99" s="148" t="e">
        <f aca="false">1.8 * MIN(MAX(TblMili[[#This Row],[Frost Mage]]+Races!$F$71,Races!$E$71),6)  +  0.45 * MIN(MIN(TblMili[[#This Row],[Frost Mage]]+Races!$F$71,Races!$E$71),6)  +  0.2 * ( MAX(TblMili[[#This Row],[Frost Mage]]+Races!$F$71-6,0) + MAX(Races!$E$71-6,0) )  -  Races!$I$71</f>
        <v>#VALUE!</v>
      </c>
      <c r="CX99" s="148" t="n">
        <f aca="false">1.8 * MIN(MAX(TblMili[[#This Row],[Ice Elemental]]+Races!$E$71,Races!$F$71),6)  +  0.45 * MIN(MIN(TblMili[[#This Row],[Ice Elemental]]+Races!$E$71,Races!$F$71),6)  +  0.2 * ( MAX(TblMili[[#This Row],[Ice Elemental]]+Races!$E$71-6,0) + MAX(Races!$F$71-6,0) )  -  Races!$I$71</f>
        <v>0.064285714285715</v>
      </c>
      <c r="CY99" s="69" t="e">
        <f aca="false">TblMili[[#This Row],[Frost Mage bonus]]*TblMili[[#This Row],[Unit 3]]+TblMili[[#This Row],[Ice Elemental bonus]]*TblMili[[#This Row],[Unit 4]]</f>
        <v>#VALUE!</v>
      </c>
      <c r="CZ99" s="290"/>
      <c r="DA99" s="109" t="n">
        <f aca="false">MIN(SUM(TblConstr[[#This Row],[Plain]:[Water]])/TblMili[[#This Row],[Land]]/favorable_terrain_bonus/100,favorable_terrain_max)</f>
        <v>0</v>
      </c>
      <c r="DB99" s="290"/>
      <c r="DC9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9" s="132"/>
      <c r="DE99" s="291" t="n">
        <f aca="false">(TblMili[[#This Row],[Wizards]]+2*TblMili[[#This Row],[Archmages]])/TblConstr[[#This Row],[Land]]</f>
        <v>0.0357142857142857</v>
      </c>
      <c r="DF99" s="291" t="n">
        <f aca="false">TblMili[[#This Row],[Raw (2)]]*(1+race_wizard_strength+IF(TblMili[[#This Row],[Hour]]&gt;72,tech_magical_weaponry_wiz*TblTech[[#This Row],[3-5]],0))</f>
        <v>0.0357142857142857</v>
      </c>
    </row>
    <row r="100" customFormat="false" ht="12.75" hidden="false" customHeight="false" outlineLevel="0" collapsed="false">
      <c r="A100" s="128" t="n">
        <f aca="false">TblRezone[[#This Row],[Hour]]</f>
        <v>97</v>
      </c>
      <c r="B100" s="282" t="n">
        <f aca="false">SUM(TblMili[[#This Row],[Unit 1]:[Archmages]])+SUM(OFFSET(TblMili[[#This Row],[Train Unit 1]],-8,0):TblMili[[#This Row],[Train Unit 2]]) + SUM(OFFSET(TblMili[[#This Row],[Train Unit 3]],-11,0):TblMili[[#This Row],[Train AM]]) + TblMili[[#This Row],[Draftees]]</f>
        <v>5071</v>
      </c>
      <c r="C100" s="150" t="n">
        <f aca="false">TblPop[[#This Row],[Military%]]</f>
        <v>0.391915913130845</v>
      </c>
      <c r="D100" s="132"/>
      <c r="E100" s="151" t="n">
        <f aca="false">OFFSET(TblMili[[#This Row],[Unit 1]],-1,0) + OFFSET(TblMili[[#This Row],[Train Unit 1]],-9,0) - TblMili[[#This Row],[Release Unit 1]]</f>
        <v>0</v>
      </c>
      <c r="F100" s="151" t="n">
        <f aca="false">OFFSET(TblMili[[#This Row],[Unit 2]],-1,0) + OFFSET(TblMili[[#This Row],[Train Unit 2]],-9,0)-TblMili[[#This Row],[Release Unit 2]]</f>
        <v>1246</v>
      </c>
      <c r="G100" s="151" t="n">
        <f aca="false">OFFSET(TblMili[[#This Row],[Unit 3]],-1,0) + OFFSET(TblMili[[#This Row],[Train Unit 3]],-12,0)-TblMili[[#This Row],[Release Unit 3]]</f>
        <v>700</v>
      </c>
      <c r="H100" s="151" t="n">
        <f aca="false">OFFSET(TblMili[[#This Row],[Unit 4]],-1,0) + OFFSET(TblMili[[#This Row],[Train Unit 4]],-12,0)-TblMili[[#This Row],[Release Unit 4]]</f>
        <v>1228</v>
      </c>
      <c r="I100" s="151" t="n">
        <f aca="false">OFFSET(TblMili[[#This Row],[Spies]],-1,0) + OFFSET(TblMili[[#This Row],[Train Spies]],-12,0) - TblMili[[#This Row],[Release Spies]]-TblMili[[#This Row],[Train AS]]</f>
        <v>25</v>
      </c>
      <c r="J100" s="151" t="n">
        <f aca="false">OFFSET(TblMili[[#This Row],[Archspies]],-1,0) + OFFSET(TblMili[[#This Row],[Train AS]],-12,0) - TblMili[[#This Row],[Release AS]]</f>
        <v>0</v>
      </c>
      <c r="K100" s="151" t="n">
        <f aca="false">OFFSET(TblMili[[#This Row],[Wizards]],-1,0) + OFFSET(TblMili[[#This Row],[Train Wiz]],-12,0) - TblMili[[#This Row],[Release Wizards]]-TblMili[[#This Row],[Train AM]]</f>
        <v>25</v>
      </c>
      <c r="L100" s="151" t="n">
        <f aca="false">OFFSET(TblMili[[#This Row],[Archmages]],-1,0) + OFFSET(TblMili[[#This Row],[Train AM]],-12,0) - TblMili[[#This Row],[Release AM]]</f>
        <v>0</v>
      </c>
      <c r="M100" s="132"/>
      <c r="N100" s="69" t="e">
        <f aca="false">TblProd[[#This Row],[Networth]]</f>
        <v>#VALUE!</v>
      </c>
      <c r="O100" s="132"/>
      <c r="P10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0" s="285" t="e">
        <f aca="false">TblMili[[#This Row],[Raw]]*(1+TblMili[[#This Row],[Mods_Off]])</f>
        <v>#VALUE!</v>
      </c>
      <c r="S10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0" s="285" t="e">
        <f aca="false">TblMili[[#This Row],[Non Draft]]+TblMili[[#This Row],[Draftees]]</f>
        <v>#VALUE!</v>
      </c>
      <c r="U100" s="286" t="n">
        <f aca="false">race_defense + TblImps[[#This Row],[Walls]] + ROUND( MIN(gt_bonus*TblConstr[[#This Row],[Tot GT]]/TblConstr[[#This Row],[Land]],gt_bonus_cap), 4) + IF(TblMagic[[#This Row],[Active Howling]]&gt;0,howling_dp_bonus,IF(TblMagic[[#This Row],[Active Ares Call]]&gt;0,ares_call_bonus))</f>
        <v>0.2375</v>
      </c>
      <c r="V100" s="274" t="e">
        <f aca="false">TblMili[[#This Row],[Non Draft]] * (1 + TblMili[[#This Row],[Mods_Def]])</f>
        <v>#VALUE!</v>
      </c>
      <c r="W100" s="285" t="e">
        <f aca="false">TblMili[[#This Row],[Draft]] * (1 + TblMili[[#This Row],[Mods_Def]])</f>
        <v>#VALUE!</v>
      </c>
      <c r="X100" s="285" t="n">
        <f aca="false">TblConstr[[#This Row],[Land]]</f>
        <v>700</v>
      </c>
      <c r="Y100" s="287"/>
      <c r="Z100" s="109" t="n">
        <f aca="false">IF(TblMili[[#This Row],[Set]]&lt;&gt;"",TblMili[[#This Row],[Set]],OFFSET(TblMili[[#This Row],[Draftrate]],-1,0))</f>
        <v>0.9</v>
      </c>
      <c r="AA100" s="69" t="n">
        <f aca="false">OFFSET(TblMili[[#This Row],[Draftees]],-1,0)+OFFSET(TblPop[[#This Row],[Draft Growth]],-1,0) - SUM(TblMili[[#This Row],[Train Unit 1]:[Train Spies]],TblMili[[#This Row],[Train Wiz]]) - TblMili[[#This Row],[Release Draft]] + SUM(TblMili[[#This Row],[Release Unit 1]:[Release AM]]) - TblExplore[[#This Row],[Draftees (2)]]</f>
        <v>1847</v>
      </c>
      <c r="AB100" s="146"/>
      <c r="AC100" s="130" t="n">
        <f aca="false">(TblConstr[[#This Row],[Tot Smi]]+TblConstr[[#This Row],[Dest Smi]])/(TblConstr[[#This Row],[Land]]-TblExplore[[#This Row],[Land Bonus]]*20)</f>
        <v>0.18</v>
      </c>
      <c r="AD100" s="128"/>
      <c r="AE100" s="282" t="n">
        <f aca="false">TblMili[[#This Row],[Hour]]</f>
        <v>97</v>
      </c>
      <c r="AF100" s="129" t="n">
        <f aca="false">TblExplore[[#This Row],[Time]]</f>
        <v>45433.75</v>
      </c>
      <c r="AG100" s="182"/>
      <c r="AH100" s="182"/>
      <c r="AI100" s="182"/>
      <c r="AJ100" s="182"/>
      <c r="AK100" s="182"/>
      <c r="AL100" s="182"/>
      <c r="AM100" s="182"/>
      <c r="AN100" s="182"/>
      <c r="AO100" s="132"/>
      <c r="AP100" s="69" t="n">
        <f aca="false">TblProd[[#This Row],[Platinum]]</f>
        <v>1024834</v>
      </c>
      <c r="AQ100" s="69" t="n">
        <f aca="false">INDEX(TblProd[[#Headers],[Lumber]]:TblProd[[#This Row],[Ore]],COUNTA(TblProd[[#Headers],[Lumber]]:TblProd[[#This Row],[Lumber]]),MATCH(Military!$AQ$2,TblProd[[#Headers],[Lumber]:[Ore]],0))</f>
        <v>0</v>
      </c>
      <c r="AR10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69" t="n">
        <f aca="false">TblMili[[#This Row],[Train Unit 1]]*TblMili[[#This Row],[OP Ore]]+TblMili[[#This Row],[Train Unit 2]]*TblMili[[#This Row],[DP Ore]]+TblMili[[#This Row],[Train Unit 3]]*TblMili[[#This Row],[E1 Ore]]+TblMili[[#This Row],[Train Unit 4]]*TblMili[[#This Row],[E2 Ore]]</f>
        <v>0</v>
      </c>
      <c r="AT100" s="132" t="n">
        <f aca="false">TblMili[[#This Row],[Hour]]</f>
        <v>97</v>
      </c>
      <c r="AU100" s="144" t="n">
        <f aca="false">TblMili[[#This Row],[Time]]</f>
        <v>45433.75</v>
      </c>
      <c r="AV100" s="69" t="n">
        <f aca="false">TblMili[[#This Row],[Draftees]]</f>
        <v>1847</v>
      </c>
      <c r="AW100" s="182"/>
      <c r="AX100" s="182"/>
      <c r="AY100" s="182"/>
      <c r="AZ100" s="182"/>
      <c r="BA100" s="182"/>
      <c r="BB100" s="182"/>
      <c r="BC100" s="182"/>
      <c r="BD100" s="182"/>
      <c r="BE100" s="182"/>
      <c r="BF100" s="132"/>
      <c r="BG100" s="150" t="n">
        <f aca="false">TblConstr[[#This Row],[Tot WG]]/TblConstr[[#This Row],[Land]]</f>
        <v>0</v>
      </c>
      <c r="BH100" s="150" t="n">
        <f aca="false">TblConstr[[#This Row],[Tot Hav]]/TblConstr[[#This Row],[Land]]</f>
        <v>0</v>
      </c>
      <c r="BI100" s="69" t="n">
        <f aca="false">ROUNDUP((1-MIN(TblMili[[#This Row],[Smithies]]*smithy_bonus,smithy_bonus_cap) + tech_3_5*TblTech[[#This Row],[3-5]] + tech_5_3*TblTech[[#This Row],[5-3]] + tech_5_5*TblTech[[#This Row],[5-5]])*spec_op_plat,0)</f>
        <v>192</v>
      </c>
      <c r="BJ100" s="69" t="n">
        <f aca="false">ROUNDUP(IF(race="Gnome",1,(1-MIN(TblMili[[#This Row],[Smithies]]*smithy_bonus,smithy_bonus_cap) + tech_3_5*TblTech[[#This Row],[3-5]] + tech_5_3*TblTech[[#This Row],[5-3]] + tech_5_5*TblTech[[#This Row],[5-5]]))*spec_op_ore,0)</f>
        <v>0</v>
      </c>
      <c r="BK100" s="69" t="n">
        <f aca="false">ROUNDUP((1-MIN(TblMili[[#This Row],[Smithies]]*smithy_bonus,smithy_bonus_cap) + tech_3_5*TblTech[[#This Row],[3-5]] + tech_5_3*TblTech[[#This Row],[5-3]] + tech_5_5*TblTech[[#This Row],[5-5]])*spec_dp_plat,0)</f>
        <v>192</v>
      </c>
      <c r="BL100" s="69" t="n">
        <f aca="false">ROUNDUP(IF(race="Gnome",1,(1-MIN(TblMili[[#This Row],[Smithies]]*smithy_bonus,smithy_bonus_cap) + tech_3_5*TblTech[[#This Row],[3-5]] + tech_5_3*TblTech[[#This Row],[5-3]] + tech_5_5*TblTech[[#This Row],[5-5]]))*spec_dp_ore,0)</f>
        <v>0</v>
      </c>
      <c r="BM100" s="69" t="n">
        <f aca="false">ROUNDUP((1-MIN(TblMili[[#This Row],[Smithies]]*smithy_bonus,smithy_bonus_cap) + tech_3_5*TblTech[[#This Row],[3-5]] + tech_5_3*TblTech[[#This Row],[5-3]] + tech_5_5*TblTech[[#This Row],[5-5]])*elite1_plat,0)</f>
        <v>592</v>
      </c>
      <c r="BN100" s="69" t="n">
        <f aca="false">ROUNDUP(IF(race="Gnome",1,(1-MIN(TblMili[[#This Row],[Smithies]]*smithy_bonus,smithy_bonus_cap) + tech_3_5*TblTech[[#This Row],[3-5]] + tech_5_3*TblTech[[#This Row],[5-3]] + tech_5_5*TblTech[[#This Row],[5-5]]))*elite1_ore,0)</f>
        <v>0</v>
      </c>
      <c r="BO100" s="69" t="n">
        <f aca="false">ROUNDUP((1-MIN(TblMili[[#This Row],[Smithies]]*smithy_bonus,smithy_bonus_cap) + tech_3_5*TblTech[[#This Row],[3-5]] + tech_5_3*TblTech[[#This Row],[5-3]] + tech_5_5*TblTech[[#This Row],[5-5]])*elite2_plat,0)</f>
        <v>608</v>
      </c>
      <c r="BP100" s="69" t="n">
        <f aca="false">ROUNDUP(IF(race="Gnome",1,(1-MIN(TblMili[[#This Row],[Smithies]]*smithy_bonus,smithy_bonus_cap) + tech_3_5*TblTech[[#This Row],[3-5]] + tech_5_3*TblTech[[#This Row],[5-3]] + tech_5_5*TblTech[[#This Row],[5-5]]))*elite2_ore,0)</f>
        <v>0</v>
      </c>
      <c r="BQ100" s="69" t="n">
        <f aca="false">ROUNDUP((1-MIN(ROUND(fh_spy_cost_red*TblMili[[#This Row],[FH''s]],4),fh_spy_cost_cap)+ tech_1_9*TblTech[[#This Row],[1-9]] + tech_9_1*TblTech[[#This Row],[9-1]])*spy_plat,0)</f>
        <v>500</v>
      </c>
      <c r="BR100" s="69" t="n">
        <f aca="false">ROUNDUP((1-MIN(ROUND(fh_spy_cost_red*TblMili[[#This Row],[FH''s]],4),fh_spy_cost_cap)+ tech_1_9*TblTech[[#This Row],[1-9]] + tech_9_1*TblTech[[#This Row],[9-1]])*archspy_plat,0)</f>
        <v>1000</v>
      </c>
      <c r="BS100" s="69" t="n">
        <f aca="false">ROUNDUP((1-MIN(ROUND(wg_wiz_cost_bonus*TblMili[[#This Row],[WG''s]],4),wg_wiz_cost_cap) + tech_1_9_2*TblTech[[#This Row],[1-9]] + tech_9_1_2*TblTech[[#This Row],[9-1]])*wizard_plat,0)</f>
        <v>500</v>
      </c>
      <c r="BT100" s="69" t="n">
        <f aca="false">ROUNDUP((1-MIN(ROUND(wg_wiz_cost_bonus*TblMili[[#This Row],[WG''s]],4),wg_wiz_cost_cap) + tech_1_9_2*TblTech[[#This Row],[1-9]] + tech_9_1_2*TblTech[[#This Row],[9-1]])*archmage_plat,0)</f>
        <v>1000</v>
      </c>
      <c r="BU100" s="132"/>
      <c r="BV100" s="150" t="e">
        <f aca="false">TblConstr[[#This Row],[Homeland]]/TblConstr[[#This Row],[Land]]</f>
        <v>#VALUE!</v>
      </c>
      <c r="BW100" s="150" t="n">
        <f aca="false">TblMili[[#This Row],[WG''s]]</f>
        <v>0</v>
      </c>
      <c r="BX100" s="288" t="e">
        <f aca="false">IF(mystic_cap="none",TblMili[[#This Row],[Hill]]/mystic_bonus,MIN(mystic_cap,TblMili[[#This Row],[Hill]]/mystic_bonus))</f>
        <v>#VALUE!</v>
      </c>
      <c r="BY100" s="288" t="e">
        <f aca="false">IF(druid_op_cap="none",TblMili[[#This Row],[Hill]]/druid_op_bonus,MIN(druid_op_cap,TblMili[[#This Row],[Hill]]/druid_op_bonus))</f>
        <v>#VALUE!</v>
      </c>
      <c r="BZ100" s="288" t="e">
        <f aca="false">IF(druid_dp_cap="none",TblMili[[#This Row],[Hill]]/druid_dp_bonus,MIN(druid_dp_cap,TblMili[[#This Row],[Hill]]/druid_dp_bonus))</f>
        <v>#VALUE!</v>
      </c>
      <c r="CA100" s="288" t="e">
        <f aca="false">MIN(dryad_cap,TblMili[[#This Row],[Hill]]/dryad_bonus)</f>
        <v>#VALUE!</v>
      </c>
      <c r="CB100" s="288" t="e">
        <f aca="false">MIN(rocka_cap,TblMili[[#This Row],[Hill]]/rocka_bonus)</f>
        <v>#VALUE!</v>
      </c>
      <c r="CC100" s="288" t="n">
        <f aca="false">MIN(adept_op_cap,TblMili[[#This Row],[WG]]/adept_op_bonus)</f>
        <v>0</v>
      </c>
      <c r="CD100" s="288" t="n">
        <f aca="false">MIN(adept_dp_cap,TblMili[[#This Row],[WG]]/adept_dp_bonus)</f>
        <v>0</v>
      </c>
      <c r="CE100" s="69" t="n">
        <f aca="false">MIN(TblMili[[#This Row],[Unit 3]],TblMili[[#This Row],[Unit 2]])*2</f>
        <v>1400</v>
      </c>
      <c r="CF100" s="69" t="n">
        <f aca="false">MIN(TblMili[[#This Row],[Unit 1]],TblMili[[#This Row],[Unit 4]])*2</f>
        <v>0</v>
      </c>
      <c r="CG100" s="288" t="e">
        <f aca="false">MIN(frost_mage_cap,TblMili[[#This Row],[Hill]]/frost_mage_bonus)</f>
        <v>#VALUE!</v>
      </c>
      <c r="CH100" s="151" t="n">
        <f aca="false">MIN(ice_elem_cap,TblMili[[#This Row],[Raw (2)]]*ice_elem_bonus)</f>
        <v>0.0357142857142857</v>
      </c>
      <c r="CI100" s="288" t="n">
        <f aca="false">MIN(bone_breaker_cap,250/bone_breaker_bonus)</f>
        <v>0.833333333333333</v>
      </c>
      <c r="CJ100" s="288" t="e">
        <f aca="false">MIN(nox_nightshade_cap,TblConstr[[#This Row],[Homeland]]/TblConstr[[#This Row],[Land]]/nox_nightshade_swamp_bonus)</f>
        <v>#VALUE!</v>
      </c>
      <c r="CK100" s="289"/>
      <c r="CL100" s="289"/>
      <c r="CM100" s="289"/>
      <c r="CN100" s="288" t="e">
        <f aca="false">MIN(6,TblMili[[#This Row],[Mystic]]+Races!$F$19)*1.8 +  IF(TblMili[[#This Row],[Mystic]]+Races!$F$19&gt;6,(TblMili[[#This Row],[Mystic]]+Races!$F$19-6)*0.2,0) - Races!$I$19</f>
        <v>#VALUE!</v>
      </c>
      <c r="CO100" s="288" t="e">
        <f aca="false">1.8 * MIN(MAX(TblMili[[#This Row],[Druid (op)]]+Races!$E$20,TblMili[[#This Row],[Druid (dp)]]+Races!$F$20),6)  +  0.45 * MIN(MIN(TblMili[[#This Row],[Druid (op)]]+Races!$E$20,TblMili[[#This Row],[Druid (dp)]]+Races!$F$20),6)  +  0.2 * ( MAX(TblMili[[#This Row],[Druid (op)]]+Races!$E$20-6,0) + MAX(TblMili[[#This Row],[Druid (dp)]]+Races!$F$20-6,0) )  -  Races!$I$20</f>
        <v>#VALUE!</v>
      </c>
      <c r="CP100" s="69" t="e">
        <f aca="false">TblMili[[#This Row],[Mystic bonus]]*TblMili[[#This Row],[Unit 3]]+TblMili[[#This Row],[Druid bonus]]*TblMili[[#This Row],[Unit 4]]</f>
        <v>#VALUE!</v>
      </c>
      <c r="CQ100" s="148" t="e">
        <f aca="false">MIN(6,TblMili[[#This Row],[Dryad]]+Races!$F$35)*1.8 +  IF(TblMili[[#This Row],[Dryad]]+Races!$F$35&gt;6,(TblMili[[#This Row],[Dryad]]+Races!$F$35-6)*0.2,0) - Races!$I$19</f>
        <v>#VALUE!</v>
      </c>
      <c r="CR100" s="69" t="e">
        <f aca="false">sylvan*(TblMili[[#This Row],[Mystic bonus]]*TblMili[[#This Row],[Unit 3]])</f>
        <v>#VALUE!</v>
      </c>
      <c r="CS100" s="148" t="e">
        <f aca="false">1.8 * MIN(MAX(Races!$E$27,TblMili[[#This Row],[Rockapult]]+Races!$F$27),6)  +  0.45 * MIN(MIN(Races!$E$27,TblMili[[#This Row],[Rockapult]]+Races!$F$27),6)  +  0.2 * ( MAX(Races!$E$27-6,0) + MAX(TblMili[[#This Row],[Rockapult]]+Races!$F$27-6,0) )  -  Races!$I$20</f>
        <v>#VALUE!</v>
      </c>
      <c r="CT100" s="69" t="e">
        <f aca="false">gnome*(TblMili[[#This Row],[Rockapult bonus]]*TblMili[[#This Row],[Unit 3]])</f>
        <v>#VALUE!</v>
      </c>
      <c r="CU100" s="148" t="n">
        <f aca="false">1.8 * MIN(MAX(TblMili[[#This Row],[Spellblade]]+Races!$E$47,TblMili[[#This Row],[Adept-DP]]+Races!$F$47),6)  +  0.45 * MIN(MIN(TblMili[[#This Row],[Spellblade]]+Races!$E$47,TblMili[[#This Row],[Adept-DP]]+Races!$F$47),6)  +  0.2 * ( MAX(TblMili[[#This Row],[Spellblade]]+Races!$E$47-6,0) + MAX(TblMili[[#This Row],[Adept-DP]]+Races!$F$47-6,0) )  -  Races!$I$47</f>
        <v>0</v>
      </c>
      <c r="CV100" s="69" t="n">
        <f aca="false">dark_elf*(TblMili[[#This Row],[Adept bonus]]*TblMili[[#This Row],[Unit 3]])</f>
        <v>0</v>
      </c>
      <c r="CW100" s="148" t="e">
        <f aca="false">1.8 * MIN(MAX(TblMili[[#This Row],[Frost Mage]]+Races!$F$71,Races!$E$71),6)  +  0.45 * MIN(MIN(TblMili[[#This Row],[Frost Mage]]+Races!$F$71,Races!$E$71),6)  +  0.2 * ( MAX(TblMili[[#This Row],[Frost Mage]]+Races!$F$71-6,0) + MAX(Races!$E$71-6,0) )  -  Races!$I$71</f>
        <v>#VALUE!</v>
      </c>
      <c r="CX100" s="148" t="n">
        <f aca="false">1.8 * MIN(MAX(TblMili[[#This Row],[Ice Elemental]]+Races!$E$71,Races!$F$71),6)  +  0.45 * MIN(MIN(TblMili[[#This Row],[Ice Elemental]]+Races!$E$71,Races!$F$71),6)  +  0.2 * ( MAX(TblMili[[#This Row],[Ice Elemental]]+Races!$E$71-6,0) + MAX(Races!$F$71-6,0) )  -  Races!$I$71</f>
        <v>0.064285714285715</v>
      </c>
      <c r="CY100" s="69" t="e">
        <f aca="false">TblMili[[#This Row],[Frost Mage bonus]]*TblMili[[#This Row],[Unit 3]]+TblMili[[#This Row],[Ice Elemental bonus]]*TblMili[[#This Row],[Unit 4]]</f>
        <v>#VALUE!</v>
      </c>
      <c r="CZ100" s="290"/>
      <c r="DA100" s="109" t="n">
        <f aca="false">MIN(SUM(TblConstr[[#This Row],[Plain]:[Water]])/TblMili[[#This Row],[Land]]/favorable_terrain_bonus/100,favorable_terrain_max)</f>
        <v>0</v>
      </c>
      <c r="DB100" s="290"/>
      <c r="DC10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0" s="132"/>
      <c r="DE100" s="291" t="n">
        <f aca="false">(TblMili[[#This Row],[Wizards]]+2*TblMili[[#This Row],[Archmages]])/TblConstr[[#This Row],[Land]]</f>
        <v>0.0357142857142857</v>
      </c>
      <c r="DF100" s="291" t="n">
        <f aca="false">TblMili[[#This Row],[Raw (2)]]*(1+race_wizard_strength+IF(TblMili[[#This Row],[Hour]]&gt;72,tech_magical_weaponry_wiz*TblTech[[#This Row],[3-5]],0))</f>
        <v>0.0357142857142857</v>
      </c>
    </row>
    <row r="101" customFormat="false" ht="12.75" hidden="false" customHeight="false" outlineLevel="0" collapsed="false">
      <c r="A101" s="128" t="n">
        <f aca="false">TblRezone[[#This Row],[Hour]]</f>
        <v>98</v>
      </c>
      <c r="B101" s="282" t="n">
        <f aca="false">SUM(TblMili[[#This Row],[Unit 1]:[Archmages]])+SUM(OFFSET(TblMili[[#This Row],[Train Unit 1]],-8,0):TblMili[[#This Row],[Train Unit 2]]) + SUM(OFFSET(TblMili[[#This Row],[Train Unit 3]],-11,0):TblMili[[#This Row],[Train AM]]) + TblMili[[#This Row],[Draftees]]</f>
        <v>5150</v>
      </c>
      <c r="C101" s="150" t="n">
        <f aca="false">TblPop[[#This Row],[Military%]]</f>
        <v>0.398021485431641</v>
      </c>
      <c r="D101" s="132"/>
      <c r="E101" s="151" t="n">
        <f aca="false">OFFSET(TblMili[[#This Row],[Unit 1]],-1,0) + OFFSET(TblMili[[#This Row],[Train Unit 1]],-9,0) - TblMili[[#This Row],[Release Unit 1]]</f>
        <v>0</v>
      </c>
      <c r="F101" s="151" t="n">
        <f aca="false">OFFSET(TblMili[[#This Row],[Unit 2]],-1,0) + OFFSET(TblMili[[#This Row],[Train Unit 2]],-9,0)-TblMili[[#This Row],[Release Unit 2]]</f>
        <v>1246</v>
      </c>
      <c r="G101" s="151" t="n">
        <f aca="false">OFFSET(TblMili[[#This Row],[Unit 3]],-1,0) + OFFSET(TblMili[[#This Row],[Train Unit 3]],-12,0)-TblMili[[#This Row],[Release Unit 3]]</f>
        <v>700</v>
      </c>
      <c r="H101" s="151" t="n">
        <f aca="false">OFFSET(TblMili[[#This Row],[Unit 4]],-1,0) + OFFSET(TblMili[[#This Row],[Train Unit 4]],-12,0)-TblMili[[#This Row],[Release Unit 4]]</f>
        <v>1228</v>
      </c>
      <c r="I101" s="151" t="n">
        <f aca="false">OFFSET(TblMili[[#This Row],[Spies]],-1,0) + OFFSET(TblMili[[#This Row],[Train Spies]],-12,0) - TblMili[[#This Row],[Release Spies]]-TblMili[[#This Row],[Train AS]]</f>
        <v>25</v>
      </c>
      <c r="J101" s="151" t="n">
        <f aca="false">OFFSET(TblMili[[#This Row],[Archspies]],-1,0) + OFFSET(TblMili[[#This Row],[Train AS]],-12,0) - TblMili[[#This Row],[Release AS]]</f>
        <v>0</v>
      </c>
      <c r="K101" s="151" t="n">
        <f aca="false">OFFSET(TblMili[[#This Row],[Wizards]],-1,0) + OFFSET(TblMili[[#This Row],[Train Wiz]],-12,0) - TblMili[[#This Row],[Release Wizards]]-TblMili[[#This Row],[Train AM]]</f>
        <v>25</v>
      </c>
      <c r="L101" s="151" t="n">
        <f aca="false">OFFSET(TblMili[[#This Row],[Archmages]],-1,0) + OFFSET(TblMili[[#This Row],[Train AM]],-12,0) - TblMili[[#This Row],[Release AM]]</f>
        <v>0</v>
      </c>
      <c r="M101" s="132"/>
      <c r="N101" s="69" t="e">
        <f aca="false">TblProd[[#This Row],[Networth]]</f>
        <v>#VALUE!</v>
      </c>
      <c r="O101" s="132"/>
      <c r="P10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1" s="285" t="e">
        <f aca="false">TblMili[[#This Row],[Raw]]*(1+TblMili[[#This Row],[Mods_Off]])</f>
        <v>#VALUE!</v>
      </c>
      <c r="S10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1" s="285" t="e">
        <f aca="false">TblMili[[#This Row],[Non Draft]]+TblMili[[#This Row],[Draftees]]</f>
        <v>#VALUE!</v>
      </c>
      <c r="U101" s="286" t="n">
        <f aca="false">race_defense + TblImps[[#This Row],[Walls]] + ROUND( MIN(gt_bonus*TblConstr[[#This Row],[Tot GT]]/TblConstr[[#This Row],[Land]],gt_bonus_cap), 4) + IF(TblMagic[[#This Row],[Active Howling]]&gt;0,howling_dp_bonus,IF(TblMagic[[#This Row],[Active Ares Call]]&gt;0,ares_call_bonus))</f>
        <v>0.2375</v>
      </c>
      <c r="V101" s="274" t="e">
        <f aca="false">TblMili[[#This Row],[Non Draft]] * (1 + TblMili[[#This Row],[Mods_Def]])</f>
        <v>#VALUE!</v>
      </c>
      <c r="W101" s="285" t="e">
        <f aca="false">TblMili[[#This Row],[Draft]] * (1 + TblMili[[#This Row],[Mods_Def]])</f>
        <v>#VALUE!</v>
      </c>
      <c r="X101" s="285" t="n">
        <f aca="false">TblConstr[[#This Row],[Land]]</f>
        <v>700</v>
      </c>
      <c r="Y101" s="287"/>
      <c r="Z101" s="109" t="n">
        <f aca="false">IF(TblMili[[#This Row],[Set]]&lt;&gt;"",TblMili[[#This Row],[Set]],OFFSET(TblMili[[#This Row],[Draftrate]],-1,0))</f>
        <v>0.9</v>
      </c>
      <c r="AA101" s="69" t="n">
        <f aca="false">OFFSET(TblMili[[#This Row],[Draftees]],-1,0)+OFFSET(TblPop[[#This Row],[Draft Growth]],-1,0) - SUM(TblMili[[#This Row],[Train Unit 1]:[Train Spies]],TblMili[[#This Row],[Train Wiz]]) - TblMili[[#This Row],[Release Draft]] + SUM(TblMili[[#This Row],[Release Unit 1]:[Release AM]]) - TblExplore[[#This Row],[Draftees (2)]]</f>
        <v>1926</v>
      </c>
      <c r="AB101" s="146"/>
      <c r="AC101" s="130" t="n">
        <f aca="false">(TblConstr[[#This Row],[Tot Smi]]+TblConstr[[#This Row],[Dest Smi]])/(TblConstr[[#This Row],[Land]]-TblExplore[[#This Row],[Land Bonus]]*20)</f>
        <v>0.18</v>
      </c>
      <c r="AD101" s="128"/>
      <c r="AE101" s="282" t="n">
        <f aca="false">TblMili[[#This Row],[Hour]]</f>
        <v>98</v>
      </c>
      <c r="AF101" s="129" t="n">
        <f aca="false">TblExplore[[#This Row],[Time]]</f>
        <v>45433.7916666667</v>
      </c>
      <c r="AG101" s="182"/>
      <c r="AH101" s="182"/>
      <c r="AI101" s="182"/>
      <c r="AJ101" s="182"/>
      <c r="AK101" s="182"/>
      <c r="AL101" s="182"/>
      <c r="AM101" s="182"/>
      <c r="AN101" s="182"/>
      <c r="AO101" s="132"/>
      <c r="AP101" s="69" t="n">
        <f aca="false">TblProd[[#This Row],[Platinum]]</f>
        <v>1065746</v>
      </c>
      <c r="AQ101" s="69" t="n">
        <f aca="false">INDEX(TblProd[[#Headers],[Lumber]]:TblProd[[#This Row],[Ore]],COUNTA(TblProd[[#Headers],[Lumber]]:TblProd[[#This Row],[Lumber]]),MATCH(Military!$AQ$2,TblProd[[#Headers],[Lumber]:[Ore]],0))</f>
        <v>0</v>
      </c>
      <c r="AR10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69" t="n">
        <f aca="false">TblMili[[#This Row],[Train Unit 1]]*TblMili[[#This Row],[OP Ore]]+TblMili[[#This Row],[Train Unit 2]]*TblMili[[#This Row],[DP Ore]]+TblMili[[#This Row],[Train Unit 3]]*TblMili[[#This Row],[E1 Ore]]+TblMili[[#This Row],[Train Unit 4]]*TblMili[[#This Row],[E2 Ore]]</f>
        <v>0</v>
      </c>
      <c r="AT101" s="132" t="n">
        <f aca="false">TblMili[[#This Row],[Hour]]</f>
        <v>98</v>
      </c>
      <c r="AU101" s="144" t="n">
        <f aca="false">TblMili[[#This Row],[Time]]</f>
        <v>45433.7916666667</v>
      </c>
      <c r="AV101" s="69" t="n">
        <f aca="false">TblMili[[#This Row],[Draftees]]</f>
        <v>1926</v>
      </c>
      <c r="AW101" s="182"/>
      <c r="AX101" s="182"/>
      <c r="AY101" s="182"/>
      <c r="AZ101" s="182"/>
      <c r="BA101" s="182"/>
      <c r="BB101" s="182"/>
      <c r="BC101" s="182"/>
      <c r="BD101" s="182"/>
      <c r="BE101" s="182"/>
      <c r="BF101" s="132"/>
      <c r="BG101" s="150" t="n">
        <f aca="false">TblConstr[[#This Row],[Tot WG]]/TblConstr[[#This Row],[Land]]</f>
        <v>0</v>
      </c>
      <c r="BH101" s="150" t="n">
        <f aca="false">TblConstr[[#This Row],[Tot Hav]]/TblConstr[[#This Row],[Land]]</f>
        <v>0</v>
      </c>
      <c r="BI101" s="69" t="n">
        <f aca="false">ROUNDUP((1-MIN(TblMili[[#This Row],[Smithies]]*smithy_bonus,smithy_bonus_cap) + tech_3_5*TblTech[[#This Row],[3-5]] + tech_5_3*TblTech[[#This Row],[5-3]] + tech_5_5*TblTech[[#This Row],[5-5]])*spec_op_plat,0)</f>
        <v>192</v>
      </c>
      <c r="BJ101" s="69" t="n">
        <f aca="false">ROUNDUP(IF(race="Gnome",1,(1-MIN(TblMili[[#This Row],[Smithies]]*smithy_bonus,smithy_bonus_cap) + tech_3_5*TblTech[[#This Row],[3-5]] + tech_5_3*TblTech[[#This Row],[5-3]] + tech_5_5*TblTech[[#This Row],[5-5]]))*spec_op_ore,0)</f>
        <v>0</v>
      </c>
      <c r="BK101" s="69" t="n">
        <f aca="false">ROUNDUP((1-MIN(TblMili[[#This Row],[Smithies]]*smithy_bonus,smithy_bonus_cap) + tech_3_5*TblTech[[#This Row],[3-5]] + tech_5_3*TblTech[[#This Row],[5-3]] + tech_5_5*TblTech[[#This Row],[5-5]])*spec_dp_plat,0)</f>
        <v>192</v>
      </c>
      <c r="BL101" s="69" t="n">
        <f aca="false">ROUNDUP(IF(race="Gnome",1,(1-MIN(TblMili[[#This Row],[Smithies]]*smithy_bonus,smithy_bonus_cap) + tech_3_5*TblTech[[#This Row],[3-5]] + tech_5_3*TblTech[[#This Row],[5-3]] + tech_5_5*TblTech[[#This Row],[5-5]]))*spec_dp_ore,0)</f>
        <v>0</v>
      </c>
      <c r="BM101" s="69" t="n">
        <f aca="false">ROUNDUP((1-MIN(TblMili[[#This Row],[Smithies]]*smithy_bonus,smithy_bonus_cap) + tech_3_5*TblTech[[#This Row],[3-5]] + tech_5_3*TblTech[[#This Row],[5-3]] + tech_5_5*TblTech[[#This Row],[5-5]])*elite1_plat,0)</f>
        <v>592</v>
      </c>
      <c r="BN101" s="69" t="n">
        <f aca="false">ROUNDUP(IF(race="Gnome",1,(1-MIN(TblMili[[#This Row],[Smithies]]*smithy_bonus,smithy_bonus_cap) + tech_3_5*TblTech[[#This Row],[3-5]] + tech_5_3*TblTech[[#This Row],[5-3]] + tech_5_5*TblTech[[#This Row],[5-5]]))*elite1_ore,0)</f>
        <v>0</v>
      </c>
      <c r="BO101" s="69" t="n">
        <f aca="false">ROUNDUP((1-MIN(TblMili[[#This Row],[Smithies]]*smithy_bonus,smithy_bonus_cap) + tech_3_5*TblTech[[#This Row],[3-5]] + tech_5_3*TblTech[[#This Row],[5-3]] + tech_5_5*TblTech[[#This Row],[5-5]])*elite2_plat,0)</f>
        <v>608</v>
      </c>
      <c r="BP101" s="69" t="n">
        <f aca="false">ROUNDUP(IF(race="Gnome",1,(1-MIN(TblMili[[#This Row],[Smithies]]*smithy_bonus,smithy_bonus_cap) + tech_3_5*TblTech[[#This Row],[3-5]] + tech_5_3*TblTech[[#This Row],[5-3]] + tech_5_5*TblTech[[#This Row],[5-5]]))*elite2_ore,0)</f>
        <v>0</v>
      </c>
      <c r="BQ101" s="69" t="n">
        <f aca="false">ROUNDUP((1-MIN(ROUND(fh_spy_cost_red*TblMili[[#This Row],[FH''s]],4),fh_spy_cost_cap)+ tech_1_9*TblTech[[#This Row],[1-9]] + tech_9_1*TblTech[[#This Row],[9-1]])*spy_plat,0)</f>
        <v>500</v>
      </c>
      <c r="BR101" s="69" t="n">
        <f aca="false">ROUNDUP((1-MIN(ROUND(fh_spy_cost_red*TblMili[[#This Row],[FH''s]],4),fh_spy_cost_cap)+ tech_1_9*TblTech[[#This Row],[1-9]] + tech_9_1*TblTech[[#This Row],[9-1]])*archspy_plat,0)</f>
        <v>1000</v>
      </c>
      <c r="BS101" s="69" t="n">
        <f aca="false">ROUNDUP((1-MIN(ROUND(wg_wiz_cost_bonus*TblMili[[#This Row],[WG''s]],4),wg_wiz_cost_cap) + tech_1_9_2*TblTech[[#This Row],[1-9]] + tech_9_1_2*TblTech[[#This Row],[9-1]])*wizard_plat,0)</f>
        <v>500</v>
      </c>
      <c r="BT101" s="69" t="n">
        <f aca="false">ROUNDUP((1-MIN(ROUND(wg_wiz_cost_bonus*TblMili[[#This Row],[WG''s]],4),wg_wiz_cost_cap) + tech_1_9_2*TblTech[[#This Row],[1-9]] + tech_9_1_2*TblTech[[#This Row],[9-1]])*archmage_plat,0)</f>
        <v>1000</v>
      </c>
      <c r="BU101" s="132"/>
      <c r="BV101" s="150" t="e">
        <f aca="false">TblConstr[[#This Row],[Homeland]]/TblConstr[[#This Row],[Land]]</f>
        <v>#VALUE!</v>
      </c>
      <c r="BW101" s="150" t="n">
        <f aca="false">TblMili[[#This Row],[WG''s]]</f>
        <v>0</v>
      </c>
      <c r="BX101" s="288" t="e">
        <f aca="false">IF(mystic_cap="none",TblMili[[#This Row],[Hill]]/mystic_bonus,MIN(mystic_cap,TblMili[[#This Row],[Hill]]/mystic_bonus))</f>
        <v>#VALUE!</v>
      </c>
      <c r="BY101" s="288" t="e">
        <f aca="false">IF(druid_op_cap="none",TblMili[[#This Row],[Hill]]/druid_op_bonus,MIN(druid_op_cap,TblMili[[#This Row],[Hill]]/druid_op_bonus))</f>
        <v>#VALUE!</v>
      </c>
      <c r="BZ101" s="288" t="e">
        <f aca="false">IF(druid_dp_cap="none",TblMili[[#This Row],[Hill]]/druid_dp_bonus,MIN(druid_dp_cap,TblMili[[#This Row],[Hill]]/druid_dp_bonus))</f>
        <v>#VALUE!</v>
      </c>
      <c r="CA101" s="288" t="e">
        <f aca="false">MIN(dryad_cap,TblMili[[#This Row],[Hill]]/dryad_bonus)</f>
        <v>#VALUE!</v>
      </c>
      <c r="CB101" s="288" t="e">
        <f aca="false">MIN(rocka_cap,TblMili[[#This Row],[Hill]]/rocka_bonus)</f>
        <v>#VALUE!</v>
      </c>
      <c r="CC101" s="288" t="n">
        <f aca="false">MIN(adept_op_cap,TblMili[[#This Row],[WG]]/adept_op_bonus)</f>
        <v>0</v>
      </c>
      <c r="CD101" s="288" t="n">
        <f aca="false">MIN(adept_dp_cap,TblMili[[#This Row],[WG]]/adept_dp_bonus)</f>
        <v>0</v>
      </c>
      <c r="CE101" s="69" t="n">
        <f aca="false">MIN(TblMili[[#This Row],[Unit 3]],TblMili[[#This Row],[Unit 2]])*2</f>
        <v>1400</v>
      </c>
      <c r="CF101" s="69" t="n">
        <f aca="false">MIN(TblMili[[#This Row],[Unit 1]],TblMili[[#This Row],[Unit 4]])*2</f>
        <v>0</v>
      </c>
      <c r="CG101" s="288" t="e">
        <f aca="false">MIN(frost_mage_cap,TblMili[[#This Row],[Hill]]/frost_mage_bonus)</f>
        <v>#VALUE!</v>
      </c>
      <c r="CH101" s="151" t="n">
        <f aca="false">MIN(ice_elem_cap,TblMili[[#This Row],[Raw (2)]]*ice_elem_bonus)</f>
        <v>0.0357142857142857</v>
      </c>
      <c r="CI101" s="288" t="n">
        <f aca="false">MIN(bone_breaker_cap,250/bone_breaker_bonus)</f>
        <v>0.833333333333333</v>
      </c>
      <c r="CJ101" s="288" t="e">
        <f aca="false">MIN(nox_nightshade_cap,TblConstr[[#This Row],[Homeland]]/TblConstr[[#This Row],[Land]]/nox_nightshade_swamp_bonus)</f>
        <v>#VALUE!</v>
      </c>
      <c r="CK101" s="289"/>
      <c r="CL101" s="289"/>
      <c r="CM101" s="289"/>
      <c r="CN101" s="288" t="e">
        <f aca="false">MIN(6,TblMili[[#This Row],[Mystic]]+Races!$F$19)*1.8 +  IF(TblMili[[#This Row],[Mystic]]+Races!$F$19&gt;6,(TblMili[[#This Row],[Mystic]]+Races!$F$19-6)*0.2,0) - Races!$I$19</f>
        <v>#VALUE!</v>
      </c>
      <c r="CO101" s="288" t="e">
        <f aca="false">1.8 * MIN(MAX(TblMili[[#This Row],[Druid (op)]]+Races!$E$20,TblMili[[#This Row],[Druid (dp)]]+Races!$F$20),6)  +  0.45 * MIN(MIN(TblMili[[#This Row],[Druid (op)]]+Races!$E$20,TblMili[[#This Row],[Druid (dp)]]+Races!$F$20),6)  +  0.2 * ( MAX(TblMili[[#This Row],[Druid (op)]]+Races!$E$20-6,0) + MAX(TblMili[[#This Row],[Druid (dp)]]+Races!$F$20-6,0) )  -  Races!$I$20</f>
        <v>#VALUE!</v>
      </c>
      <c r="CP101" s="69" t="e">
        <f aca="false">TblMili[[#This Row],[Mystic bonus]]*TblMili[[#This Row],[Unit 3]]+TblMili[[#This Row],[Druid bonus]]*TblMili[[#This Row],[Unit 4]]</f>
        <v>#VALUE!</v>
      </c>
      <c r="CQ101" s="148" t="e">
        <f aca="false">MIN(6,TblMili[[#This Row],[Dryad]]+Races!$F$35)*1.8 +  IF(TblMili[[#This Row],[Dryad]]+Races!$F$35&gt;6,(TblMili[[#This Row],[Dryad]]+Races!$F$35-6)*0.2,0) - Races!$I$19</f>
        <v>#VALUE!</v>
      </c>
      <c r="CR101" s="69" t="e">
        <f aca="false">sylvan*(TblMili[[#This Row],[Mystic bonus]]*TblMili[[#This Row],[Unit 3]])</f>
        <v>#VALUE!</v>
      </c>
      <c r="CS101" s="148" t="e">
        <f aca="false">1.8 * MIN(MAX(Races!$E$27,TblMili[[#This Row],[Rockapult]]+Races!$F$27),6)  +  0.45 * MIN(MIN(Races!$E$27,TblMili[[#This Row],[Rockapult]]+Races!$F$27),6)  +  0.2 * ( MAX(Races!$E$27-6,0) + MAX(TblMili[[#This Row],[Rockapult]]+Races!$F$27-6,0) )  -  Races!$I$20</f>
        <v>#VALUE!</v>
      </c>
      <c r="CT101" s="69" t="e">
        <f aca="false">gnome*(TblMili[[#This Row],[Rockapult bonus]]*TblMili[[#This Row],[Unit 3]])</f>
        <v>#VALUE!</v>
      </c>
      <c r="CU101" s="148" t="n">
        <f aca="false">1.8 * MIN(MAX(TblMili[[#This Row],[Spellblade]]+Races!$E$47,TblMili[[#This Row],[Adept-DP]]+Races!$F$47),6)  +  0.45 * MIN(MIN(TblMili[[#This Row],[Spellblade]]+Races!$E$47,TblMili[[#This Row],[Adept-DP]]+Races!$F$47),6)  +  0.2 * ( MAX(TblMili[[#This Row],[Spellblade]]+Races!$E$47-6,0) + MAX(TblMili[[#This Row],[Adept-DP]]+Races!$F$47-6,0) )  -  Races!$I$47</f>
        <v>0</v>
      </c>
      <c r="CV101" s="69" t="n">
        <f aca="false">dark_elf*(TblMili[[#This Row],[Adept bonus]]*TblMili[[#This Row],[Unit 3]])</f>
        <v>0</v>
      </c>
      <c r="CW101" s="148" t="e">
        <f aca="false">1.8 * MIN(MAX(TblMili[[#This Row],[Frost Mage]]+Races!$F$71,Races!$E$71),6)  +  0.45 * MIN(MIN(TblMili[[#This Row],[Frost Mage]]+Races!$F$71,Races!$E$71),6)  +  0.2 * ( MAX(TblMili[[#This Row],[Frost Mage]]+Races!$F$71-6,0) + MAX(Races!$E$71-6,0) )  -  Races!$I$71</f>
        <v>#VALUE!</v>
      </c>
      <c r="CX101" s="148" t="n">
        <f aca="false">1.8 * MIN(MAX(TblMili[[#This Row],[Ice Elemental]]+Races!$E$71,Races!$F$71),6)  +  0.45 * MIN(MIN(TblMili[[#This Row],[Ice Elemental]]+Races!$E$71,Races!$F$71),6)  +  0.2 * ( MAX(TblMili[[#This Row],[Ice Elemental]]+Races!$E$71-6,0) + MAX(Races!$F$71-6,0) )  -  Races!$I$71</f>
        <v>0.064285714285715</v>
      </c>
      <c r="CY101" s="69" t="e">
        <f aca="false">TblMili[[#This Row],[Frost Mage bonus]]*TblMili[[#This Row],[Unit 3]]+TblMili[[#This Row],[Ice Elemental bonus]]*TblMili[[#This Row],[Unit 4]]</f>
        <v>#VALUE!</v>
      </c>
      <c r="CZ101" s="290"/>
      <c r="DA101" s="109" t="n">
        <f aca="false">MIN(SUM(TblConstr[[#This Row],[Plain]:[Water]])/TblMili[[#This Row],[Land]]/favorable_terrain_bonus/100,favorable_terrain_max)</f>
        <v>0</v>
      </c>
      <c r="DB101" s="290"/>
      <c r="DC10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1" s="132"/>
      <c r="DE101" s="291" t="n">
        <f aca="false">(TblMili[[#This Row],[Wizards]]+2*TblMili[[#This Row],[Archmages]])/TblConstr[[#This Row],[Land]]</f>
        <v>0.0357142857142857</v>
      </c>
      <c r="DF101" s="291" t="n">
        <f aca="false">TblMili[[#This Row],[Raw (2)]]*(1+race_wizard_strength+IF(TblMili[[#This Row],[Hour]]&gt;72,tech_magical_weaponry_wiz*TblTech[[#This Row],[3-5]],0))</f>
        <v>0.0357142857142857</v>
      </c>
    </row>
    <row r="102" customFormat="false" ht="12.75" hidden="false" customHeight="false" outlineLevel="0" collapsed="false">
      <c r="A102" s="128" t="n">
        <f aca="false">TblRezone[[#This Row],[Hour]]</f>
        <v>99</v>
      </c>
      <c r="B102" s="282" t="n">
        <f aca="false">SUM(TblMili[[#This Row],[Unit 1]:[Archmages]])+SUM(OFFSET(TblMili[[#This Row],[Train Unit 1]],-8,0):TblMili[[#This Row],[Train Unit 2]]) + SUM(OFFSET(TblMili[[#This Row],[Train Unit 3]],-11,0):TblMili[[#This Row],[Train AM]]) + TblMili[[#This Row],[Draftees]]</f>
        <v>5228</v>
      </c>
      <c r="C102" s="150" t="n">
        <f aca="false">TblPop[[#This Row],[Military%]]</f>
        <v>0.40404977200711</v>
      </c>
      <c r="D102" s="132"/>
      <c r="E102" s="151" t="n">
        <f aca="false">OFFSET(TblMili[[#This Row],[Unit 1]],-1,0) + OFFSET(TblMili[[#This Row],[Train Unit 1]],-9,0) - TblMili[[#This Row],[Release Unit 1]]</f>
        <v>0</v>
      </c>
      <c r="F102" s="151" t="n">
        <f aca="false">OFFSET(TblMili[[#This Row],[Unit 2]],-1,0) + OFFSET(TblMili[[#This Row],[Train Unit 2]],-9,0)-TblMili[[#This Row],[Release Unit 2]]</f>
        <v>1246</v>
      </c>
      <c r="G102" s="151" t="n">
        <f aca="false">OFFSET(TblMili[[#This Row],[Unit 3]],-1,0) + OFFSET(TblMili[[#This Row],[Train Unit 3]],-12,0)-TblMili[[#This Row],[Release Unit 3]]</f>
        <v>700</v>
      </c>
      <c r="H102" s="151" t="n">
        <f aca="false">OFFSET(TblMili[[#This Row],[Unit 4]],-1,0) + OFFSET(TblMili[[#This Row],[Train Unit 4]],-12,0)-TblMili[[#This Row],[Release Unit 4]]</f>
        <v>1228</v>
      </c>
      <c r="I102" s="151" t="n">
        <f aca="false">OFFSET(TblMili[[#This Row],[Spies]],-1,0) + OFFSET(TblMili[[#This Row],[Train Spies]],-12,0) - TblMili[[#This Row],[Release Spies]]-TblMili[[#This Row],[Train AS]]</f>
        <v>25</v>
      </c>
      <c r="J102" s="151" t="n">
        <f aca="false">OFFSET(TblMili[[#This Row],[Archspies]],-1,0) + OFFSET(TblMili[[#This Row],[Train AS]],-12,0) - TblMili[[#This Row],[Release AS]]</f>
        <v>0</v>
      </c>
      <c r="K102" s="151" t="n">
        <f aca="false">OFFSET(TblMili[[#This Row],[Wizards]],-1,0) + OFFSET(TblMili[[#This Row],[Train Wiz]],-12,0) - TblMili[[#This Row],[Release Wizards]]-TblMili[[#This Row],[Train AM]]</f>
        <v>25</v>
      </c>
      <c r="L102" s="151" t="n">
        <f aca="false">OFFSET(TblMili[[#This Row],[Archmages]],-1,0) + OFFSET(TblMili[[#This Row],[Train AM]],-12,0) - TblMili[[#This Row],[Release AM]]</f>
        <v>0</v>
      </c>
      <c r="M102" s="132"/>
      <c r="N102" s="69" t="e">
        <f aca="false">TblProd[[#This Row],[Networth]]</f>
        <v>#VALUE!</v>
      </c>
      <c r="O102" s="132"/>
      <c r="P10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2" s="285" t="e">
        <f aca="false">TblMili[[#This Row],[Raw]]*(1+TblMili[[#This Row],[Mods_Off]])</f>
        <v>#VALUE!</v>
      </c>
      <c r="S10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2" s="285" t="e">
        <f aca="false">TblMili[[#This Row],[Non Draft]]+TblMili[[#This Row],[Draftees]]</f>
        <v>#VALUE!</v>
      </c>
      <c r="U102" s="286" t="n">
        <f aca="false">race_defense + TblImps[[#This Row],[Walls]] + ROUND( MIN(gt_bonus*TblConstr[[#This Row],[Tot GT]]/TblConstr[[#This Row],[Land]],gt_bonus_cap), 4) + IF(TblMagic[[#This Row],[Active Howling]]&gt;0,howling_dp_bonus,IF(TblMagic[[#This Row],[Active Ares Call]]&gt;0,ares_call_bonus))</f>
        <v>0.2375</v>
      </c>
      <c r="V102" s="274" t="e">
        <f aca="false">TblMili[[#This Row],[Non Draft]] * (1 + TblMili[[#This Row],[Mods_Def]])</f>
        <v>#VALUE!</v>
      </c>
      <c r="W102" s="285" t="e">
        <f aca="false">TblMili[[#This Row],[Draft]] * (1 + TblMili[[#This Row],[Mods_Def]])</f>
        <v>#VALUE!</v>
      </c>
      <c r="X102" s="285" t="n">
        <f aca="false">TblConstr[[#This Row],[Land]]</f>
        <v>700</v>
      </c>
      <c r="Y102" s="287"/>
      <c r="Z102" s="109" t="n">
        <f aca="false">IF(TblMili[[#This Row],[Set]]&lt;&gt;"",TblMili[[#This Row],[Set]],OFFSET(TblMili[[#This Row],[Draftrate]],-1,0))</f>
        <v>0.9</v>
      </c>
      <c r="AA102" s="69" t="n">
        <f aca="false">OFFSET(TblMili[[#This Row],[Draftees]],-1,0)+OFFSET(TblPop[[#This Row],[Draft Growth]],-1,0) - SUM(TblMili[[#This Row],[Train Unit 1]:[Train Spies]],TblMili[[#This Row],[Train Wiz]]) - TblMili[[#This Row],[Release Draft]] + SUM(TblMili[[#This Row],[Release Unit 1]:[Release AM]]) - TblExplore[[#This Row],[Draftees (2)]]</f>
        <v>2004</v>
      </c>
      <c r="AB102" s="146"/>
      <c r="AC102" s="130" t="n">
        <f aca="false">(TblConstr[[#This Row],[Tot Smi]]+TblConstr[[#This Row],[Dest Smi]])/(TblConstr[[#This Row],[Land]]-TblExplore[[#This Row],[Land Bonus]]*20)</f>
        <v>0.18</v>
      </c>
      <c r="AD102" s="128"/>
      <c r="AE102" s="282" t="n">
        <f aca="false">TblMili[[#This Row],[Hour]]</f>
        <v>99</v>
      </c>
      <c r="AF102" s="129" t="n">
        <f aca="false">TblExplore[[#This Row],[Time]]</f>
        <v>45433.8333333333</v>
      </c>
      <c r="AG102" s="182"/>
      <c r="AH102" s="182"/>
      <c r="AI102" s="182"/>
      <c r="AJ102" s="182"/>
      <c r="AK102" s="182"/>
      <c r="AL102" s="182"/>
      <c r="AM102" s="182"/>
      <c r="AN102" s="182"/>
      <c r="AO102" s="132"/>
      <c r="AP102" s="69" t="n">
        <f aca="false">TblProd[[#This Row],[Platinum]]</f>
        <v>1106424</v>
      </c>
      <c r="AQ102" s="69" t="n">
        <f aca="false">INDEX(TblProd[[#Headers],[Lumber]]:TblProd[[#This Row],[Ore]],COUNTA(TblProd[[#Headers],[Lumber]]:TblProd[[#This Row],[Lumber]]),MATCH(Military!$AQ$2,TblProd[[#Headers],[Lumber]:[Ore]],0))</f>
        <v>0</v>
      </c>
      <c r="AR10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69" t="n">
        <f aca="false">TblMili[[#This Row],[Train Unit 1]]*TblMili[[#This Row],[OP Ore]]+TblMili[[#This Row],[Train Unit 2]]*TblMili[[#This Row],[DP Ore]]+TblMili[[#This Row],[Train Unit 3]]*TblMili[[#This Row],[E1 Ore]]+TblMili[[#This Row],[Train Unit 4]]*TblMili[[#This Row],[E2 Ore]]</f>
        <v>0</v>
      </c>
      <c r="AT102" s="132" t="n">
        <f aca="false">TblMili[[#This Row],[Hour]]</f>
        <v>99</v>
      </c>
      <c r="AU102" s="144" t="n">
        <f aca="false">TblMili[[#This Row],[Time]]</f>
        <v>45433.8333333333</v>
      </c>
      <c r="AV102" s="69" t="n">
        <f aca="false">TblMili[[#This Row],[Draftees]]</f>
        <v>2004</v>
      </c>
      <c r="AW102" s="182"/>
      <c r="AX102" s="182"/>
      <c r="AY102" s="182"/>
      <c r="AZ102" s="182"/>
      <c r="BA102" s="182"/>
      <c r="BB102" s="182"/>
      <c r="BC102" s="182"/>
      <c r="BD102" s="182"/>
      <c r="BE102" s="182"/>
      <c r="BF102" s="132"/>
      <c r="BG102" s="150" t="n">
        <f aca="false">TblConstr[[#This Row],[Tot WG]]/TblConstr[[#This Row],[Land]]</f>
        <v>0</v>
      </c>
      <c r="BH102" s="150" t="n">
        <f aca="false">TblConstr[[#This Row],[Tot Hav]]/TblConstr[[#This Row],[Land]]</f>
        <v>0</v>
      </c>
      <c r="BI102" s="69" t="n">
        <f aca="false">ROUNDUP((1-MIN(TblMili[[#This Row],[Smithies]]*smithy_bonus,smithy_bonus_cap) + tech_3_5*TblTech[[#This Row],[3-5]] + tech_5_3*TblTech[[#This Row],[5-3]] + tech_5_5*TblTech[[#This Row],[5-5]])*spec_op_plat,0)</f>
        <v>192</v>
      </c>
      <c r="BJ102" s="69" t="n">
        <f aca="false">ROUNDUP(IF(race="Gnome",1,(1-MIN(TblMili[[#This Row],[Smithies]]*smithy_bonus,smithy_bonus_cap) + tech_3_5*TblTech[[#This Row],[3-5]] + tech_5_3*TblTech[[#This Row],[5-3]] + tech_5_5*TblTech[[#This Row],[5-5]]))*spec_op_ore,0)</f>
        <v>0</v>
      </c>
      <c r="BK102" s="69" t="n">
        <f aca="false">ROUNDUP((1-MIN(TblMili[[#This Row],[Smithies]]*smithy_bonus,smithy_bonus_cap) + tech_3_5*TblTech[[#This Row],[3-5]] + tech_5_3*TblTech[[#This Row],[5-3]] + tech_5_5*TblTech[[#This Row],[5-5]])*spec_dp_plat,0)</f>
        <v>192</v>
      </c>
      <c r="BL102" s="69" t="n">
        <f aca="false">ROUNDUP(IF(race="Gnome",1,(1-MIN(TblMili[[#This Row],[Smithies]]*smithy_bonus,smithy_bonus_cap) + tech_3_5*TblTech[[#This Row],[3-5]] + tech_5_3*TblTech[[#This Row],[5-3]] + tech_5_5*TblTech[[#This Row],[5-5]]))*spec_dp_ore,0)</f>
        <v>0</v>
      </c>
      <c r="BM102" s="69" t="n">
        <f aca="false">ROUNDUP((1-MIN(TblMili[[#This Row],[Smithies]]*smithy_bonus,smithy_bonus_cap) + tech_3_5*TblTech[[#This Row],[3-5]] + tech_5_3*TblTech[[#This Row],[5-3]] + tech_5_5*TblTech[[#This Row],[5-5]])*elite1_plat,0)</f>
        <v>592</v>
      </c>
      <c r="BN102" s="69" t="n">
        <f aca="false">ROUNDUP(IF(race="Gnome",1,(1-MIN(TblMili[[#This Row],[Smithies]]*smithy_bonus,smithy_bonus_cap) + tech_3_5*TblTech[[#This Row],[3-5]] + tech_5_3*TblTech[[#This Row],[5-3]] + tech_5_5*TblTech[[#This Row],[5-5]]))*elite1_ore,0)</f>
        <v>0</v>
      </c>
      <c r="BO102" s="69" t="n">
        <f aca="false">ROUNDUP((1-MIN(TblMili[[#This Row],[Smithies]]*smithy_bonus,smithy_bonus_cap) + tech_3_5*TblTech[[#This Row],[3-5]] + tech_5_3*TblTech[[#This Row],[5-3]] + tech_5_5*TblTech[[#This Row],[5-5]])*elite2_plat,0)</f>
        <v>608</v>
      </c>
      <c r="BP102" s="69" t="n">
        <f aca="false">ROUNDUP(IF(race="Gnome",1,(1-MIN(TblMili[[#This Row],[Smithies]]*smithy_bonus,smithy_bonus_cap) + tech_3_5*TblTech[[#This Row],[3-5]] + tech_5_3*TblTech[[#This Row],[5-3]] + tech_5_5*TblTech[[#This Row],[5-5]]))*elite2_ore,0)</f>
        <v>0</v>
      </c>
      <c r="BQ102" s="69" t="n">
        <f aca="false">ROUNDUP((1-MIN(ROUND(fh_spy_cost_red*TblMili[[#This Row],[FH''s]],4),fh_spy_cost_cap)+ tech_1_9*TblTech[[#This Row],[1-9]] + tech_9_1*TblTech[[#This Row],[9-1]])*spy_plat,0)</f>
        <v>500</v>
      </c>
      <c r="BR102" s="69" t="n">
        <f aca="false">ROUNDUP((1-MIN(ROUND(fh_spy_cost_red*TblMili[[#This Row],[FH''s]],4),fh_spy_cost_cap)+ tech_1_9*TblTech[[#This Row],[1-9]] + tech_9_1*TblTech[[#This Row],[9-1]])*archspy_plat,0)</f>
        <v>1000</v>
      </c>
      <c r="BS102" s="69" t="n">
        <f aca="false">ROUNDUP((1-MIN(ROUND(wg_wiz_cost_bonus*TblMili[[#This Row],[WG''s]],4),wg_wiz_cost_cap) + tech_1_9_2*TblTech[[#This Row],[1-9]] + tech_9_1_2*TblTech[[#This Row],[9-1]])*wizard_plat,0)</f>
        <v>500</v>
      </c>
      <c r="BT102" s="69" t="n">
        <f aca="false">ROUNDUP((1-MIN(ROUND(wg_wiz_cost_bonus*TblMili[[#This Row],[WG''s]],4),wg_wiz_cost_cap) + tech_1_9_2*TblTech[[#This Row],[1-9]] + tech_9_1_2*TblTech[[#This Row],[9-1]])*archmage_plat,0)</f>
        <v>1000</v>
      </c>
      <c r="BU102" s="132"/>
      <c r="BV102" s="150" t="e">
        <f aca="false">TblConstr[[#This Row],[Homeland]]/TblConstr[[#This Row],[Land]]</f>
        <v>#VALUE!</v>
      </c>
      <c r="BW102" s="150" t="n">
        <f aca="false">TblMili[[#This Row],[WG''s]]</f>
        <v>0</v>
      </c>
      <c r="BX102" s="288" t="e">
        <f aca="false">IF(mystic_cap="none",TblMili[[#This Row],[Hill]]/mystic_bonus,MIN(mystic_cap,TblMili[[#This Row],[Hill]]/mystic_bonus))</f>
        <v>#VALUE!</v>
      </c>
      <c r="BY102" s="288" t="e">
        <f aca="false">IF(druid_op_cap="none",TblMili[[#This Row],[Hill]]/druid_op_bonus,MIN(druid_op_cap,TblMili[[#This Row],[Hill]]/druid_op_bonus))</f>
        <v>#VALUE!</v>
      </c>
      <c r="BZ102" s="288" t="e">
        <f aca="false">IF(druid_dp_cap="none",TblMili[[#This Row],[Hill]]/druid_dp_bonus,MIN(druid_dp_cap,TblMili[[#This Row],[Hill]]/druid_dp_bonus))</f>
        <v>#VALUE!</v>
      </c>
      <c r="CA102" s="288" t="e">
        <f aca="false">MIN(dryad_cap,TblMili[[#This Row],[Hill]]/dryad_bonus)</f>
        <v>#VALUE!</v>
      </c>
      <c r="CB102" s="288" t="e">
        <f aca="false">MIN(rocka_cap,TblMili[[#This Row],[Hill]]/rocka_bonus)</f>
        <v>#VALUE!</v>
      </c>
      <c r="CC102" s="288" t="n">
        <f aca="false">MIN(adept_op_cap,TblMili[[#This Row],[WG]]/adept_op_bonus)</f>
        <v>0</v>
      </c>
      <c r="CD102" s="288" t="n">
        <f aca="false">MIN(adept_dp_cap,TblMili[[#This Row],[WG]]/adept_dp_bonus)</f>
        <v>0</v>
      </c>
      <c r="CE102" s="69" t="n">
        <f aca="false">MIN(TblMili[[#This Row],[Unit 3]],TblMili[[#This Row],[Unit 2]])*2</f>
        <v>1400</v>
      </c>
      <c r="CF102" s="69" t="n">
        <f aca="false">MIN(TblMili[[#This Row],[Unit 1]],TblMili[[#This Row],[Unit 4]])*2</f>
        <v>0</v>
      </c>
      <c r="CG102" s="288" t="e">
        <f aca="false">MIN(frost_mage_cap,TblMili[[#This Row],[Hill]]/frost_mage_bonus)</f>
        <v>#VALUE!</v>
      </c>
      <c r="CH102" s="151" t="n">
        <f aca="false">MIN(ice_elem_cap,TblMili[[#This Row],[Raw (2)]]*ice_elem_bonus)</f>
        <v>0.0357142857142857</v>
      </c>
      <c r="CI102" s="288" t="n">
        <f aca="false">MIN(bone_breaker_cap,250/bone_breaker_bonus)</f>
        <v>0.833333333333333</v>
      </c>
      <c r="CJ102" s="288" t="e">
        <f aca="false">MIN(nox_nightshade_cap,TblConstr[[#This Row],[Homeland]]/TblConstr[[#This Row],[Land]]/nox_nightshade_swamp_bonus)</f>
        <v>#VALUE!</v>
      </c>
      <c r="CK102" s="289"/>
      <c r="CL102" s="289"/>
      <c r="CM102" s="289"/>
      <c r="CN102" s="288" t="e">
        <f aca="false">MIN(6,TblMili[[#This Row],[Mystic]]+Races!$F$19)*1.8 +  IF(TblMili[[#This Row],[Mystic]]+Races!$F$19&gt;6,(TblMili[[#This Row],[Mystic]]+Races!$F$19-6)*0.2,0) - Races!$I$19</f>
        <v>#VALUE!</v>
      </c>
      <c r="CO102" s="288" t="e">
        <f aca="false">1.8 * MIN(MAX(TblMili[[#This Row],[Druid (op)]]+Races!$E$20,TblMili[[#This Row],[Druid (dp)]]+Races!$F$20),6)  +  0.45 * MIN(MIN(TblMili[[#This Row],[Druid (op)]]+Races!$E$20,TblMili[[#This Row],[Druid (dp)]]+Races!$F$20),6)  +  0.2 * ( MAX(TblMili[[#This Row],[Druid (op)]]+Races!$E$20-6,0) + MAX(TblMili[[#This Row],[Druid (dp)]]+Races!$F$20-6,0) )  -  Races!$I$20</f>
        <v>#VALUE!</v>
      </c>
      <c r="CP102" s="69" t="e">
        <f aca="false">TblMili[[#This Row],[Mystic bonus]]*TblMili[[#This Row],[Unit 3]]+TblMili[[#This Row],[Druid bonus]]*TblMili[[#This Row],[Unit 4]]</f>
        <v>#VALUE!</v>
      </c>
      <c r="CQ102" s="148" t="e">
        <f aca="false">MIN(6,TblMili[[#This Row],[Dryad]]+Races!$F$35)*1.8 +  IF(TblMili[[#This Row],[Dryad]]+Races!$F$35&gt;6,(TblMili[[#This Row],[Dryad]]+Races!$F$35-6)*0.2,0) - Races!$I$19</f>
        <v>#VALUE!</v>
      </c>
      <c r="CR102" s="69" t="e">
        <f aca="false">sylvan*(TblMili[[#This Row],[Mystic bonus]]*TblMili[[#This Row],[Unit 3]])</f>
        <v>#VALUE!</v>
      </c>
      <c r="CS102" s="148" t="e">
        <f aca="false">1.8 * MIN(MAX(Races!$E$27,TblMili[[#This Row],[Rockapult]]+Races!$F$27),6)  +  0.45 * MIN(MIN(Races!$E$27,TblMili[[#This Row],[Rockapult]]+Races!$F$27),6)  +  0.2 * ( MAX(Races!$E$27-6,0) + MAX(TblMili[[#This Row],[Rockapult]]+Races!$F$27-6,0) )  -  Races!$I$20</f>
        <v>#VALUE!</v>
      </c>
      <c r="CT102" s="69" t="e">
        <f aca="false">gnome*(TblMili[[#This Row],[Rockapult bonus]]*TblMili[[#This Row],[Unit 3]])</f>
        <v>#VALUE!</v>
      </c>
      <c r="CU102" s="148" t="n">
        <f aca="false">1.8 * MIN(MAX(TblMili[[#This Row],[Spellblade]]+Races!$E$47,TblMili[[#This Row],[Adept-DP]]+Races!$F$47),6)  +  0.45 * MIN(MIN(TblMili[[#This Row],[Spellblade]]+Races!$E$47,TblMili[[#This Row],[Adept-DP]]+Races!$F$47),6)  +  0.2 * ( MAX(TblMili[[#This Row],[Spellblade]]+Races!$E$47-6,0) + MAX(TblMili[[#This Row],[Adept-DP]]+Races!$F$47-6,0) )  -  Races!$I$47</f>
        <v>0</v>
      </c>
      <c r="CV102" s="69" t="n">
        <f aca="false">dark_elf*(TblMili[[#This Row],[Adept bonus]]*TblMili[[#This Row],[Unit 3]])</f>
        <v>0</v>
      </c>
      <c r="CW102" s="148" t="e">
        <f aca="false">1.8 * MIN(MAX(TblMili[[#This Row],[Frost Mage]]+Races!$F$71,Races!$E$71),6)  +  0.45 * MIN(MIN(TblMili[[#This Row],[Frost Mage]]+Races!$F$71,Races!$E$71),6)  +  0.2 * ( MAX(TblMili[[#This Row],[Frost Mage]]+Races!$F$71-6,0) + MAX(Races!$E$71-6,0) )  -  Races!$I$71</f>
        <v>#VALUE!</v>
      </c>
      <c r="CX102" s="148" t="n">
        <f aca="false">1.8 * MIN(MAX(TblMili[[#This Row],[Ice Elemental]]+Races!$E$71,Races!$F$71),6)  +  0.45 * MIN(MIN(TblMili[[#This Row],[Ice Elemental]]+Races!$E$71,Races!$F$71),6)  +  0.2 * ( MAX(TblMili[[#This Row],[Ice Elemental]]+Races!$E$71-6,0) + MAX(Races!$F$71-6,0) )  -  Races!$I$71</f>
        <v>0.064285714285715</v>
      </c>
      <c r="CY102" s="69" t="e">
        <f aca="false">TblMili[[#This Row],[Frost Mage bonus]]*TblMili[[#This Row],[Unit 3]]+TblMili[[#This Row],[Ice Elemental bonus]]*TblMili[[#This Row],[Unit 4]]</f>
        <v>#VALUE!</v>
      </c>
      <c r="CZ102" s="290"/>
      <c r="DA102" s="109" t="n">
        <f aca="false">MIN(SUM(TblConstr[[#This Row],[Plain]:[Water]])/TblMili[[#This Row],[Land]]/favorable_terrain_bonus/100,favorable_terrain_max)</f>
        <v>0</v>
      </c>
      <c r="DB102" s="290"/>
      <c r="DC10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2" s="132"/>
      <c r="DE102" s="291" t="n">
        <f aca="false">(TblMili[[#This Row],[Wizards]]+2*TblMili[[#This Row],[Archmages]])/TblConstr[[#This Row],[Land]]</f>
        <v>0.0357142857142857</v>
      </c>
      <c r="DF102" s="291" t="n">
        <f aca="false">TblMili[[#This Row],[Raw (2)]]*(1+race_wizard_strength+IF(TblMili[[#This Row],[Hour]]&gt;72,tech_magical_weaponry_wiz*TblTech[[#This Row],[3-5]],0))</f>
        <v>0.0357142857142857</v>
      </c>
    </row>
    <row r="103" customFormat="false" ht="12.75" hidden="false" customHeight="false" outlineLevel="0" collapsed="false">
      <c r="A103" s="128" t="n">
        <f aca="false">TblRezone[[#This Row],[Hour]]</f>
        <v>100</v>
      </c>
      <c r="B103" s="282" t="n">
        <f aca="false">SUM(TblMili[[#This Row],[Unit 1]:[Archmages]])+SUM(OFFSET(TblMili[[#This Row],[Train Unit 1]],-8,0):TblMili[[#This Row],[Train Unit 2]]) + SUM(OFFSET(TblMili[[#This Row],[Train Unit 3]],-11,0):TblMili[[#This Row],[Train AM]]) + TblMili[[#This Row],[Draftees]]</f>
        <v>5305</v>
      </c>
      <c r="C103" s="150" t="n">
        <f aca="false">TblPop[[#This Row],[Military%]]</f>
        <v>0.410000772857253</v>
      </c>
      <c r="D103" s="132"/>
      <c r="E103" s="151" t="n">
        <f aca="false">OFFSET(TblMili[[#This Row],[Unit 1]],-1,0) + OFFSET(TblMili[[#This Row],[Train Unit 1]],-9,0) - TblMili[[#This Row],[Release Unit 1]]</f>
        <v>0</v>
      </c>
      <c r="F103" s="151" t="n">
        <f aca="false">OFFSET(TblMili[[#This Row],[Unit 2]],-1,0) + OFFSET(TblMili[[#This Row],[Train Unit 2]],-9,0)-TblMili[[#This Row],[Release Unit 2]]</f>
        <v>1246</v>
      </c>
      <c r="G103" s="151" t="n">
        <f aca="false">OFFSET(TblMili[[#This Row],[Unit 3]],-1,0) + OFFSET(TblMili[[#This Row],[Train Unit 3]],-12,0)-TblMili[[#This Row],[Release Unit 3]]</f>
        <v>700</v>
      </c>
      <c r="H103" s="151" t="n">
        <f aca="false">OFFSET(TblMili[[#This Row],[Unit 4]],-1,0) + OFFSET(TblMili[[#This Row],[Train Unit 4]],-12,0)-TblMili[[#This Row],[Release Unit 4]]</f>
        <v>1228</v>
      </c>
      <c r="I103" s="151" t="n">
        <f aca="false">OFFSET(TblMili[[#This Row],[Spies]],-1,0) + OFFSET(TblMili[[#This Row],[Train Spies]],-12,0) - TblMili[[#This Row],[Release Spies]]-TblMili[[#This Row],[Train AS]]</f>
        <v>25</v>
      </c>
      <c r="J103" s="151" t="n">
        <f aca="false">OFFSET(TblMili[[#This Row],[Archspies]],-1,0) + OFFSET(TblMili[[#This Row],[Train AS]],-12,0) - TblMili[[#This Row],[Release AS]]</f>
        <v>0</v>
      </c>
      <c r="K103" s="151" t="n">
        <f aca="false">OFFSET(TblMili[[#This Row],[Wizards]],-1,0) + OFFSET(TblMili[[#This Row],[Train Wiz]],-12,0) - TblMili[[#This Row],[Release Wizards]]-TblMili[[#This Row],[Train AM]]</f>
        <v>25</v>
      </c>
      <c r="L103" s="151" t="n">
        <f aca="false">OFFSET(TblMili[[#This Row],[Archmages]],-1,0) + OFFSET(TblMili[[#This Row],[Train AM]],-12,0) - TblMili[[#This Row],[Release AM]]</f>
        <v>0</v>
      </c>
      <c r="M103" s="132"/>
      <c r="N103" s="69" t="e">
        <f aca="false">TblProd[[#This Row],[Networth]]</f>
        <v>#VALUE!</v>
      </c>
      <c r="O103" s="132"/>
      <c r="P10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3" s="285" t="e">
        <f aca="false">TblMili[[#This Row],[Raw]]*(1+TblMili[[#This Row],[Mods_Off]])</f>
        <v>#VALUE!</v>
      </c>
      <c r="S10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3" s="285" t="e">
        <f aca="false">TblMili[[#This Row],[Non Draft]]+TblMili[[#This Row],[Draftees]]</f>
        <v>#VALUE!</v>
      </c>
      <c r="U103" s="286" t="n">
        <f aca="false">race_defense + TblImps[[#This Row],[Walls]] + ROUND( MIN(gt_bonus*TblConstr[[#This Row],[Tot GT]]/TblConstr[[#This Row],[Land]],gt_bonus_cap), 4) + IF(TblMagic[[#This Row],[Active Howling]]&gt;0,howling_dp_bonus,IF(TblMagic[[#This Row],[Active Ares Call]]&gt;0,ares_call_bonus))</f>
        <v>0.2375</v>
      </c>
      <c r="V103" s="274" t="e">
        <f aca="false">TblMili[[#This Row],[Non Draft]] * (1 + TblMili[[#This Row],[Mods_Def]])</f>
        <v>#VALUE!</v>
      </c>
      <c r="W103" s="285" t="e">
        <f aca="false">TblMili[[#This Row],[Draft]] * (1 + TblMili[[#This Row],[Mods_Def]])</f>
        <v>#VALUE!</v>
      </c>
      <c r="X103" s="285" t="n">
        <f aca="false">TblConstr[[#This Row],[Land]]</f>
        <v>700</v>
      </c>
      <c r="Y103" s="287"/>
      <c r="Z103" s="109" t="n">
        <f aca="false">IF(TblMili[[#This Row],[Set]]&lt;&gt;"",TblMili[[#This Row],[Set]],OFFSET(TblMili[[#This Row],[Draftrate]],-1,0))</f>
        <v>0.9</v>
      </c>
      <c r="AA103" s="69" t="n">
        <f aca="false">OFFSET(TblMili[[#This Row],[Draftees]],-1,0)+OFFSET(TblPop[[#This Row],[Draft Growth]],-1,0) - SUM(TblMili[[#This Row],[Train Unit 1]:[Train Spies]],TblMili[[#This Row],[Train Wiz]]) - TblMili[[#This Row],[Release Draft]] + SUM(TblMili[[#This Row],[Release Unit 1]:[Release AM]]) - TblExplore[[#This Row],[Draftees (2)]]</f>
        <v>2081</v>
      </c>
      <c r="AB103" s="146"/>
      <c r="AC103" s="130" t="n">
        <f aca="false">(TblConstr[[#This Row],[Tot Smi]]+TblConstr[[#This Row],[Dest Smi]])/(TblConstr[[#This Row],[Land]]-TblExplore[[#This Row],[Land Bonus]]*20)</f>
        <v>0.18</v>
      </c>
      <c r="AD103" s="128"/>
      <c r="AE103" s="282" t="n">
        <f aca="false">TblMili[[#This Row],[Hour]]</f>
        <v>100</v>
      </c>
      <c r="AF103" s="129" t="n">
        <f aca="false">TblExplore[[#This Row],[Time]]</f>
        <v>45433.875</v>
      </c>
      <c r="AG103" s="182"/>
      <c r="AH103" s="182"/>
      <c r="AI103" s="182"/>
      <c r="AJ103" s="182"/>
      <c r="AK103" s="182"/>
      <c r="AL103" s="182"/>
      <c r="AM103" s="182"/>
      <c r="AN103" s="182"/>
      <c r="AO103" s="132"/>
      <c r="AP103" s="69" t="n">
        <f aca="false">TblProd[[#This Row],[Platinum]]</f>
        <v>1146870</v>
      </c>
      <c r="AQ103" s="69" t="n">
        <f aca="false">INDEX(TblProd[[#Headers],[Lumber]]:TblProd[[#This Row],[Ore]],COUNTA(TblProd[[#Headers],[Lumber]]:TblProd[[#This Row],[Lumber]]),MATCH(Military!$AQ$2,TblProd[[#Headers],[Lumber]:[Ore]],0))</f>
        <v>0</v>
      </c>
      <c r="AR10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69" t="n">
        <f aca="false">TblMili[[#This Row],[Train Unit 1]]*TblMili[[#This Row],[OP Ore]]+TblMili[[#This Row],[Train Unit 2]]*TblMili[[#This Row],[DP Ore]]+TblMili[[#This Row],[Train Unit 3]]*TblMili[[#This Row],[E1 Ore]]+TblMili[[#This Row],[Train Unit 4]]*TblMili[[#This Row],[E2 Ore]]</f>
        <v>0</v>
      </c>
      <c r="AT103" s="132" t="n">
        <f aca="false">TblMili[[#This Row],[Hour]]</f>
        <v>100</v>
      </c>
      <c r="AU103" s="144" t="n">
        <f aca="false">TblMili[[#This Row],[Time]]</f>
        <v>45433.875</v>
      </c>
      <c r="AV103" s="69" t="n">
        <f aca="false">TblMili[[#This Row],[Draftees]]</f>
        <v>2081</v>
      </c>
      <c r="AW103" s="182"/>
      <c r="AX103" s="182"/>
      <c r="AY103" s="182"/>
      <c r="AZ103" s="182"/>
      <c r="BA103" s="182"/>
      <c r="BB103" s="182"/>
      <c r="BC103" s="182"/>
      <c r="BD103" s="182"/>
      <c r="BE103" s="182"/>
      <c r="BF103" s="132"/>
      <c r="BG103" s="150" t="n">
        <f aca="false">TblConstr[[#This Row],[Tot WG]]/TblConstr[[#This Row],[Land]]</f>
        <v>0</v>
      </c>
      <c r="BH103" s="150" t="n">
        <f aca="false">TblConstr[[#This Row],[Tot Hav]]/TblConstr[[#This Row],[Land]]</f>
        <v>0</v>
      </c>
      <c r="BI103" s="69" t="n">
        <f aca="false">ROUNDUP((1-MIN(TblMili[[#This Row],[Smithies]]*smithy_bonus,smithy_bonus_cap) + tech_3_5*TblTech[[#This Row],[3-5]] + tech_5_3*TblTech[[#This Row],[5-3]] + tech_5_5*TblTech[[#This Row],[5-5]])*spec_op_plat,0)</f>
        <v>192</v>
      </c>
      <c r="BJ103" s="69" t="n">
        <f aca="false">ROUNDUP(IF(race="Gnome",1,(1-MIN(TblMili[[#This Row],[Smithies]]*smithy_bonus,smithy_bonus_cap) + tech_3_5*TblTech[[#This Row],[3-5]] + tech_5_3*TblTech[[#This Row],[5-3]] + tech_5_5*TblTech[[#This Row],[5-5]]))*spec_op_ore,0)</f>
        <v>0</v>
      </c>
      <c r="BK103" s="69" t="n">
        <f aca="false">ROUNDUP((1-MIN(TblMili[[#This Row],[Smithies]]*smithy_bonus,smithy_bonus_cap) + tech_3_5*TblTech[[#This Row],[3-5]] + tech_5_3*TblTech[[#This Row],[5-3]] + tech_5_5*TblTech[[#This Row],[5-5]])*spec_dp_plat,0)</f>
        <v>192</v>
      </c>
      <c r="BL103" s="69" t="n">
        <f aca="false">ROUNDUP(IF(race="Gnome",1,(1-MIN(TblMili[[#This Row],[Smithies]]*smithy_bonus,smithy_bonus_cap) + tech_3_5*TblTech[[#This Row],[3-5]] + tech_5_3*TblTech[[#This Row],[5-3]] + tech_5_5*TblTech[[#This Row],[5-5]]))*spec_dp_ore,0)</f>
        <v>0</v>
      </c>
      <c r="BM103" s="69" t="n">
        <f aca="false">ROUNDUP((1-MIN(TblMili[[#This Row],[Smithies]]*smithy_bonus,smithy_bonus_cap) + tech_3_5*TblTech[[#This Row],[3-5]] + tech_5_3*TblTech[[#This Row],[5-3]] + tech_5_5*TblTech[[#This Row],[5-5]])*elite1_plat,0)</f>
        <v>592</v>
      </c>
      <c r="BN103" s="69" t="n">
        <f aca="false">ROUNDUP(IF(race="Gnome",1,(1-MIN(TblMili[[#This Row],[Smithies]]*smithy_bonus,smithy_bonus_cap) + tech_3_5*TblTech[[#This Row],[3-5]] + tech_5_3*TblTech[[#This Row],[5-3]] + tech_5_5*TblTech[[#This Row],[5-5]]))*elite1_ore,0)</f>
        <v>0</v>
      </c>
      <c r="BO103" s="69" t="n">
        <f aca="false">ROUNDUP((1-MIN(TblMili[[#This Row],[Smithies]]*smithy_bonus,smithy_bonus_cap) + tech_3_5*TblTech[[#This Row],[3-5]] + tech_5_3*TblTech[[#This Row],[5-3]] + tech_5_5*TblTech[[#This Row],[5-5]])*elite2_plat,0)</f>
        <v>608</v>
      </c>
      <c r="BP103" s="69" t="n">
        <f aca="false">ROUNDUP(IF(race="Gnome",1,(1-MIN(TblMili[[#This Row],[Smithies]]*smithy_bonus,smithy_bonus_cap) + tech_3_5*TblTech[[#This Row],[3-5]] + tech_5_3*TblTech[[#This Row],[5-3]] + tech_5_5*TblTech[[#This Row],[5-5]]))*elite2_ore,0)</f>
        <v>0</v>
      </c>
      <c r="BQ103" s="69" t="n">
        <f aca="false">ROUNDUP((1-MIN(ROUND(fh_spy_cost_red*TblMili[[#This Row],[FH''s]],4),fh_spy_cost_cap)+ tech_1_9*TblTech[[#This Row],[1-9]] + tech_9_1*TblTech[[#This Row],[9-1]])*spy_plat,0)</f>
        <v>500</v>
      </c>
      <c r="BR103" s="69" t="n">
        <f aca="false">ROUNDUP((1-MIN(ROUND(fh_spy_cost_red*TblMili[[#This Row],[FH''s]],4),fh_spy_cost_cap)+ tech_1_9*TblTech[[#This Row],[1-9]] + tech_9_1*TblTech[[#This Row],[9-1]])*archspy_plat,0)</f>
        <v>1000</v>
      </c>
      <c r="BS103" s="69" t="n">
        <f aca="false">ROUNDUP((1-MIN(ROUND(wg_wiz_cost_bonus*TblMili[[#This Row],[WG''s]],4),wg_wiz_cost_cap) + tech_1_9_2*TblTech[[#This Row],[1-9]] + tech_9_1_2*TblTech[[#This Row],[9-1]])*wizard_plat,0)</f>
        <v>500</v>
      </c>
      <c r="BT103" s="69" t="n">
        <f aca="false">ROUNDUP((1-MIN(ROUND(wg_wiz_cost_bonus*TblMili[[#This Row],[WG''s]],4),wg_wiz_cost_cap) + tech_1_9_2*TblTech[[#This Row],[1-9]] + tech_9_1_2*TblTech[[#This Row],[9-1]])*archmage_plat,0)</f>
        <v>1000</v>
      </c>
      <c r="BU103" s="132"/>
      <c r="BV103" s="150" t="e">
        <f aca="false">TblConstr[[#This Row],[Homeland]]/TblConstr[[#This Row],[Land]]</f>
        <v>#VALUE!</v>
      </c>
      <c r="BW103" s="150" t="n">
        <f aca="false">TblMili[[#This Row],[WG''s]]</f>
        <v>0</v>
      </c>
      <c r="BX103" s="288" t="e">
        <f aca="false">IF(mystic_cap="none",TblMili[[#This Row],[Hill]]/mystic_bonus,MIN(mystic_cap,TblMili[[#This Row],[Hill]]/mystic_bonus))</f>
        <v>#VALUE!</v>
      </c>
      <c r="BY103" s="288" t="e">
        <f aca="false">IF(druid_op_cap="none",TblMili[[#This Row],[Hill]]/druid_op_bonus,MIN(druid_op_cap,TblMili[[#This Row],[Hill]]/druid_op_bonus))</f>
        <v>#VALUE!</v>
      </c>
      <c r="BZ103" s="288" t="e">
        <f aca="false">IF(druid_dp_cap="none",TblMili[[#This Row],[Hill]]/druid_dp_bonus,MIN(druid_dp_cap,TblMili[[#This Row],[Hill]]/druid_dp_bonus))</f>
        <v>#VALUE!</v>
      </c>
      <c r="CA103" s="288" t="e">
        <f aca="false">MIN(dryad_cap,TblMili[[#This Row],[Hill]]/dryad_bonus)</f>
        <v>#VALUE!</v>
      </c>
      <c r="CB103" s="288" t="e">
        <f aca="false">MIN(rocka_cap,TblMili[[#This Row],[Hill]]/rocka_bonus)</f>
        <v>#VALUE!</v>
      </c>
      <c r="CC103" s="288" t="n">
        <f aca="false">MIN(adept_op_cap,TblMili[[#This Row],[WG]]/adept_op_bonus)</f>
        <v>0</v>
      </c>
      <c r="CD103" s="288" t="n">
        <f aca="false">MIN(adept_dp_cap,TblMili[[#This Row],[WG]]/adept_dp_bonus)</f>
        <v>0</v>
      </c>
      <c r="CE103" s="69" t="n">
        <f aca="false">MIN(TblMili[[#This Row],[Unit 3]],TblMili[[#This Row],[Unit 2]])*2</f>
        <v>1400</v>
      </c>
      <c r="CF103" s="69" t="n">
        <f aca="false">MIN(TblMili[[#This Row],[Unit 1]],TblMili[[#This Row],[Unit 4]])*2</f>
        <v>0</v>
      </c>
      <c r="CG103" s="288" t="e">
        <f aca="false">MIN(frost_mage_cap,TblMili[[#This Row],[Hill]]/frost_mage_bonus)</f>
        <v>#VALUE!</v>
      </c>
      <c r="CH103" s="151" t="n">
        <f aca="false">MIN(ice_elem_cap,TblMili[[#This Row],[Raw (2)]]*ice_elem_bonus)</f>
        <v>0.0357142857142857</v>
      </c>
      <c r="CI103" s="288" t="n">
        <f aca="false">MIN(bone_breaker_cap,250/bone_breaker_bonus)</f>
        <v>0.833333333333333</v>
      </c>
      <c r="CJ103" s="288" t="e">
        <f aca="false">MIN(nox_nightshade_cap,TblConstr[[#This Row],[Homeland]]/TblConstr[[#This Row],[Land]]/nox_nightshade_swamp_bonus)</f>
        <v>#VALUE!</v>
      </c>
      <c r="CK103" s="289"/>
      <c r="CL103" s="289"/>
      <c r="CM103" s="289"/>
      <c r="CN103" s="288" t="e">
        <f aca="false">MIN(6,TblMili[[#This Row],[Mystic]]+Races!$F$19)*1.8 +  IF(TblMili[[#This Row],[Mystic]]+Races!$F$19&gt;6,(TblMili[[#This Row],[Mystic]]+Races!$F$19-6)*0.2,0) - Races!$I$19</f>
        <v>#VALUE!</v>
      </c>
      <c r="CO103" s="288" t="e">
        <f aca="false">1.8 * MIN(MAX(TblMili[[#This Row],[Druid (op)]]+Races!$E$20,TblMili[[#This Row],[Druid (dp)]]+Races!$F$20),6)  +  0.45 * MIN(MIN(TblMili[[#This Row],[Druid (op)]]+Races!$E$20,TblMili[[#This Row],[Druid (dp)]]+Races!$F$20),6)  +  0.2 * ( MAX(TblMili[[#This Row],[Druid (op)]]+Races!$E$20-6,0) + MAX(TblMili[[#This Row],[Druid (dp)]]+Races!$F$20-6,0) )  -  Races!$I$20</f>
        <v>#VALUE!</v>
      </c>
      <c r="CP103" s="69" t="e">
        <f aca="false">TblMili[[#This Row],[Mystic bonus]]*TblMili[[#This Row],[Unit 3]]+TblMili[[#This Row],[Druid bonus]]*TblMili[[#This Row],[Unit 4]]</f>
        <v>#VALUE!</v>
      </c>
      <c r="CQ103" s="148" t="e">
        <f aca="false">MIN(6,TblMili[[#This Row],[Dryad]]+Races!$F$35)*1.8 +  IF(TblMili[[#This Row],[Dryad]]+Races!$F$35&gt;6,(TblMili[[#This Row],[Dryad]]+Races!$F$35-6)*0.2,0) - Races!$I$19</f>
        <v>#VALUE!</v>
      </c>
      <c r="CR103" s="69" t="e">
        <f aca="false">sylvan*(TblMili[[#This Row],[Mystic bonus]]*TblMili[[#This Row],[Unit 3]])</f>
        <v>#VALUE!</v>
      </c>
      <c r="CS103" s="148" t="e">
        <f aca="false">1.8 * MIN(MAX(Races!$E$27,TblMili[[#This Row],[Rockapult]]+Races!$F$27),6)  +  0.45 * MIN(MIN(Races!$E$27,TblMili[[#This Row],[Rockapult]]+Races!$F$27),6)  +  0.2 * ( MAX(Races!$E$27-6,0) + MAX(TblMili[[#This Row],[Rockapult]]+Races!$F$27-6,0) )  -  Races!$I$20</f>
        <v>#VALUE!</v>
      </c>
      <c r="CT103" s="69" t="e">
        <f aca="false">gnome*(TblMili[[#This Row],[Rockapult bonus]]*TblMili[[#This Row],[Unit 3]])</f>
        <v>#VALUE!</v>
      </c>
      <c r="CU103" s="148" t="n">
        <f aca="false">1.8 * MIN(MAX(TblMili[[#This Row],[Spellblade]]+Races!$E$47,TblMili[[#This Row],[Adept-DP]]+Races!$F$47),6)  +  0.45 * MIN(MIN(TblMili[[#This Row],[Spellblade]]+Races!$E$47,TblMili[[#This Row],[Adept-DP]]+Races!$F$47),6)  +  0.2 * ( MAX(TblMili[[#This Row],[Spellblade]]+Races!$E$47-6,0) + MAX(TblMili[[#This Row],[Adept-DP]]+Races!$F$47-6,0) )  -  Races!$I$47</f>
        <v>0</v>
      </c>
      <c r="CV103" s="69" t="n">
        <f aca="false">dark_elf*(TblMili[[#This Row],[Adept bonus]]*TblMili[[#This Row],[Unit 3]])</f>
        <v>0</v>
      </c>
      <c r="CW103" s="148" t="e">
        <f aca="false">1.8 * MIN(MAX(TblMili[[#This Row],[Frost Mage]]+Races!$F$71,Races!$E$71),6)  +  0.45 * MIN(MIN(TblMili[[#This Row],[Frost Mage]]+Races!$F$71,Races!$E$71),6)  +  0.2 * ( MAX(TblMili[[#This Row],[Frost Mage]]+Races!$F$71-6,0) + MAX(Races!$E$71-6,0) )  -  Races!$I$71</f>
        <v>#VALUE!</v>
      </c>
      <c r="CX103" s="148" t="n">
        <f aca="false">1.8 * MIN(MAX(TblMili[[#This Row],[Ice Elemental]]+Races!$E$71,Races!$F$71),6)  +  0.45 * MIN(MIN(TblMili[[#This Row],[Ice Elemental]]+Races!$E$71,Races!$F$71),6)  +  0.2 * ( MAX(TblMili[[#This Row],[Ice Elemental]]+Races!$E$71-6,0) + MAX(Races!$F$71-6,0) )  -  Races!$I$71</f>
        <v>0.064285714285715</v>
      </c>
      <c r="CY103" s="69" t="e">
        <f aca="false">TblMili[[#This Row],[Frost Mage bonus]]*TblMili[[#This Row],[Unit 3]]+TblMili[[#This Row],[Ice Elemental bonus]]*TblMili[[#This Row],[Unit 4]]</f>
        <v>#VALUE!</v>
      </c>
      <c r="CZ103" s="290"/>
      <c r="DA103" s="109" t="n">
        <f aca="false">MIN(SUM(TblConstr[[#This Row],[Plain]:[Water]])/TblMili[[#This Row],[Land]]/favorable_terrain_bonus/100,favorable_terrain_max)</f>
        <v>0</v>
      </c>
      <c r="DB103" s="290"/>
      <c r="DC10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3" s="132"/>
      <c r="DE103" s="291" t="n">
        <f aca="false">(TblMili[[#This Row],[Wizards]]+2*TblMili[[#This Row],[Archmages]])/TblConstr[[#This Row],[Land]]</f>
        <v>0.0357142857142857</v>
      </c>
      <c r="DF103" s="291" t="n">
        <f aca="false">TblMili[[#This Row],[Raw (2)]]*(1+race_wizard_strength+IF(TblMili[[#This Row],[Hour]]&gt;72,tech_magical_weaponry_wiz*TblTech[[#This Row],[3-5]],0))</f>
        <v>0.0357142857142857</v>
      </c>
    </row>
    <row r="104" customFormat="false" ht="12.75" hidden="false" customHeight="false" outlineLevel="0" collapsed="false">
      <c r="A104" s="128" t="n">
        <f aca="false">TblRezone[[#This Row],[Hour]]</f>
        <v>101</v>
      </c>
      <c r="B104" s="282" t="n">
        <f aca="false">SUM(TblMili[[#This Row],[Unit 1]:[Archmages]])+SUM(OFFSET(TblMili[[#This Row],[Train Unit 1]],-8,0):TblMili[[#This Row],[Train Unit 2]]) + SUM(OFFSET(TblMili[[#This Row],[Train Unit 3]],-11,0):TblMili[[#This Row],[Train AM]]) + TblMili[[#This Row],[Draftees]]</f>
        <v>5381</v>
      </c>
      <c r="C104" s="150" t="n">
        <f aca="false">TblPop[[#This Row],[Military%]]</f>
        <v>0.41587448798207</v>
      </c>
      <c r="D104" s="132"/>
      <c r="E104" s="151" t="n">
        <f aca="false">OFFSET(TblMili[[#This Row],[Unit 1]],-1,0) + OFFSET(TblMili[[#This Row],[Train Unit 1]],-9,0) - TblMili[[#This Row],[Release Unit 1]]</f>
        <v>0</v>
      </c>
      <c r="F104" s="151" t="n">
        <f aca="false">OFFSET(TblMili[[#This Row],[Unit 2]],-1,0) + OFFSET(TblMili[[#This Row],[Train Unit 2]],-9,0)-TblMili[[#This Row],[Release Unit 2]]</f>
        <v>1246</v>
      </c>
      <c r="G104" s="151" t="n">
        <f aca="false">OFFSET(TblMili[[#This Row],[Unit 3]],-1,0) + OFFSET(TblMili[[#This Row],[Train Unit 3]],-12,0)-TblMili[[#This Row],[Release Unit 3]]</f>
        <v>700</v>
      </c>
      <c r="H104" s="151" t="n">
        <f aca="false">OFFSET(TblMili[[#This Row],[Unit 4]],-1,0) + OFFSET(TblMili[[#This Row],[Train Unit 4]],-12,0)-TblMili[[#This Row],[Release Unit 4]]</f>
        <v>1228</v>
      </c>
      <c r="I104" s="151" t="n">
        <f aca="false">OFFSET(TblMili[[#This Row],[Spies]],-1,0) + OFFSET(TblMili[[#This Row],[Train Spies]],-12,0) - TblMili[[#This Row],[Release Spies]]-TblMili[[#This Row],[Train AS]]</f>
        <v>25</v>
      </c>
      <c r="J104" s="151" t="n">
        <f aca="false">OFFSET(TblMili[[#This Row],[Archspies]],-1,0) + OFFSET(TblMili[[#This Row],[Train AS]],-12,0) - TblMili[[#This Row],[Release AS]]</f>
        <v>0</v>
      </c>
      <c r="K104" s="151" t="n">
        <f aca="false">OFFSET(TblMili[[#This Row],[Wizards]],-1,0) + OFFSET(TblMili[[#This Row],[Train Wiz]],-12,0) - TblMili[[#This Row],[Release Wizards]]-TblMili[[#This Row],[Train AM]]</f>
        <v>25</v>
      </c>
      <c r="L104" s="151" t="n">
        <f aca="false">OFFSET(TblMili[[#This Row],[Archmages]],-1,0) + OFFSET(TblMili[[#This Row],[Train AM]],-12,0) - TblMili[[#This Row],[Release AM]]</f>
        <v>0</v>
      </c>
      <c r="M104" s="132"/>
      <c r="N104" s="69" t="e">
        <f aca="false">TblProd[[#This Row],[Networth]]</f>
        <v>#VALUE!</v>
      </c>
      <c r="O104" s="132"/>
      <c r="P10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4" s="285" t="e">
        <f aca="false">TblMili[[#This Row],[Raw]]*(1+TblMili[[#This Row],[Mods_Off]])</f>
        <v>#VALUE!</v>
      </c>
      <c r="S10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4" s="285" t="e">
        <f aca="false">TblMili[[#This Row],[Non Draft]]+TblMili[[#This Row],[Draftees]]</f>
        <v>#VALUE!</v>
      </c>
      <c r="U104" s="286" t="n">
        <f aca="false">race_defense + TblImps[[#This Row],[Walls]] + ROUND( MIN(gt_bonus*TblConstr[[#This Row],[Tot GT]]/TblConstr[[#This Row],[Land]],gt_bonus_cap), 4) + IF(TblMagic[[#This Row],[Active Howling]]&gt;0,howling_dp_bonus,IF(TblMagic[[#This Row],[Active Ares Call]]&gt;0,ares_call_bonus))</f>
        <v>0.2375</v>
      </c>
      <c r="V104" s="274" t="e">
        <f aca="false">TblMili[[#This Row],[Non Draft]] * (1 + TblMili[[#This Row],[Mods_Def]])</f>
        <v>#VALUE!</v>
      </c>
      <c r="W104" s="285" t="e">
        <f aca="false">TblMili[[#This Row],[Draft]] * (1 + TblMili[[#This Row],[Mods_Def]])</f>
        <v>#VALUE!</v>
      </c>
      <c r="X104" s="285" t="n">
        <f aca="false">TblConstr[[#This Row],[Land]]</f>
        <v>700</v>
      </c>
      <c r="Y104" s="287"/>
      <c r="Z104" s="109" t="n">
        <f aca="false">IF(TblMili[[#This Row],[Set]]&lt;&gt;"",TblMili[[#This Row],[Set]],OFFSET(TblMili[[#This Row],[Draftrate]],-1,0))</f>
        <v>0.9</v>
      </c>
      <c r="AA104" s="69" t="n">
        <f aca="false">OFFSET(TblMili[[#This Row],[Draftees]],-1,0)+OFFSET(TblPop[[#This Row],[Draft Growth]],-1,0) - SUM(TblMili[[#This Row],[Train Unit 1]:[Train Spies]],TblMili[[#This Row],[Train Wiz]]) - TblMili[[#This Row],[Release Draft]] + SUM(TblMili[[#This Row],[Release Unit 1]:[Release AM]]) - TblExplore[[#This Row],[Draftees (2)]]</f>
        <v>2157</v>
      </c>
      <c r="AB104" s="146"/>
      <c r="AC104" s="130" t="n">
        <f aca="false">(TblConstr[[#This Row],[Tot Smi]]+TblConstr[[#This Row],[Dest Smi]])/(TblConstr[[#This Row],[Land]]-TblExplore[[#This Row],[Land Bonus]]*20)</f>
        <v>0.18</v>
      </c>
      <c r="AD104" s="128"/>
      <c r="AE104" s="282" t="n">
        <f aca="false">TblMili[[#This Row],[Hour]]</f>
        <v>101</v>
      </c>
      <c r="AF104" s="129" t="n">
        <f aca="false">TblExplore[[#This Row],[Time]]</f>
        <v>45433.9166666667</v>
      </c>
      <c r="AG104" s="182"/>
      <c r="AH104" s="182"/>
      <c r="AI104" s="182"/>
      <c r="AJ104" s="182"/>
      <c r="AK104" s="182"/>
      <c r="AL104" s="182"/>
      <c r="AM104" s="182"/>
      <c r="AN104" s="182"/>
      <c r="AO104" s="132"/>
      <c r="AP104" s="69" t="n">
        <f aca="false">TblProd[[#This Row],[Platinum]]</f>
        <v>1187087</v>
      </c>
      <c r="AQ104" s="69" t="n">
        <f aca="false">INDEX(TblProd[[#Headers],[Lumber]]:TblProd[[#This Row],[Ore]],COUNTA(TblProd[[#Headers],[Lumber]]:TblProd[[#This Row],[Lumber]]),MATCH(Military!$AQ$2,TblProd[[#Headers],[Lumber]:[Ore]],0))</f>
        <v>0</v>
      </c>
      <c r="AR10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69" t="n">
        <f aca="false">TblMili[[#This Row],[Train Unit 1]]*TblMili[[#This Row],[OP Ore]]+TblMili[[#This Row],[Train Unit 2]]*TblMili[[#This Row],[DP Ore]]+TblMili[[#This Row],[Train Unit 3]]*TblMili[[#This Row],[E1 Ore]]+TblMili[[#This Row],[Train Unit 4]]*TblMili[[#This Row],[E2 Ore]]</f>
        <v>0</v>
      </c>
      <c r="AT104" s="132" t="n">
        <f aca="false">TblMili[[#This Row],[Hour]]</f>
        <v>101</v>
      </c>
      <c r="AU104" s="144" t="n">
        <f aca="false">TblMili[[#This Row],[Time]]</f>
        <v>45433.9166666667</v>
      </c>
      <c r="AV104" s="69" t="n">
        <f aca="false">TblMili[[#This Row],[Draftees]]</f>
        <v>2157</v>
      </c>
      <c r="AW104" s="182"/>
      <c r="AX104" s="182"/>
      <c r="AY104" s="182"/>
      <c r="AZ104" s="182"/>
      <c r="BA104" s="182"/>
      <c r="BB104" s="182"/>
      <c r="BC104" s="182"/>
      <c r="BD104" s="182"/>
      <c r="BE104" s="182"/>
      <c r="BF104" s="132"/>
      <c r="BG104" s="150" t="n">
        <f aca="false">TblConstr[[#This Row],[Tot WG]]/TblConstr[[#This Row],[Land]]</f>
        <v>0</v>
      </c>
      <c r="BH104" s="150" t="n">
        <f aca="false">TblConstr[[#This Row],[Tot Hav]]/TblConstr[[#This Row],[Land]]</f>
        <v>0</v>
      </c>
      <c r="BI104" s="69" t="n">
        <f aca="false">ROUNDUP((1-MIN(TblMili[[#This Row],[Smithies]]*smithy_bonus,smithy_bonus_cap) + tech_3_5*TblTech[[#This Row],[3-5]] + tech_5_3*TblTech[[#This Row],[5-3]] + tech_5_5*TblTech[[#This Row],[5-5]])*spec_op_plat,0)</f>
        <v>192</v>
      </c>
      <c r="BJ104" s="69" t="n">
        <f aca="false">ROUNDUP(IF(race="Gnome",1,(1-MIN(TblMili[[#This Row],[Smithies]]*smithy_bonus,smithy_bonus_cap) + tech_3_5*TblTech[[#This Row],[3-5]] + tech_5_3*TblTech[[#This Row],[5-3]] + tech_5_5*TblTech[[#This Row],[5-5]]))*spec_op_ore,0)</f>
        <v>0</v>
      </c>
      <c r="BK104" s="69" t="n">
        <f aca="false">ROUNDUP((1-MIN(TblMili[[#This Row],[Smithies]]*smithy_bonus,smithy_bonus_cap) + tech_3_5*TblTech[[#This Row],[3-5]] + tech_5_3*TblTech[[#This Row],[5-3]] + tech_5_5*TblTech[[#This Row],[5-5]])*spec_dp_plat,0)</f>
        <v>192</v>
      </c>
      <c r="BL104" s="69" t="n">
        <f aca="false">ROUNDUP(IF(race="Gnome",1,(1-MIN(TblMili[[#This Row],[Smithies]]*smithy_bonus,smithy_bonus_cap) + tech_3_5*TblTech[[#This Row],[3-5]] + tech_5_3*TblTech[[#This Row],[5-3]] + tech_5_5*TblTech[[#This Row],[5-5]]))*spec_dp_ore,0)</f>
        <v>0</v>
      </c>
      <c r="BM104" s="69" t="n">
        <f aca="false">ROUNDUP((1-MIN(TblMili[[#This Row],[Smithies]]*smithy_bonus,smithy_bonus_cap) + tech_3_5*TblTech[[#This Row],[3-5]] + tech_5_3*TblTech[[#This Row],[5-3]] + tech_5_5*TblTech[[#This Row],[5-5]])*elite1_plat,0)</f>
        <v>592</v>
      </c>
      <c r="BN104" s="69" t="n">
        <f aca="false">ROUNDUP(IF(race="Gnome",1,(1-MIN(TblMili[[#This Row],[Smithies]]*smithy_bonus,smithy_bonus_cap) + tech_3_5*TblTech[[#This Row],[3-5]] + tech_5_3*TblTech[[#This Row],[5-3]] + tech_5_5*TblTech[[#This Row],[5-5]]))*elite1_ore,0)</f>
        <v>0</v>
      </c>
      <c r="BO104" s="69" t="n">
        <f aca="false">ROUNDUP((1-MIN(TblMili[[#This Row],[Smithies]]*smithy_bonus,smithy_bonus_cap) + tech_3_5*TblTech[[#This Row],[3-5]] + tech_5_3*TblTech[[#This Row],[5-3]] + tech_5_5*TblTech[[#This Row],[5-5]])*elite2_plat,0)</f>
        <v>608</v>
      </c>
      <c r="BP104" s="69" t="n">
        <f aca="false">ROUNDUP(IF(race="Gnome",1,(1-MIN(TblMili[[#This Row],[Smithies]]*smithy_bonus,smithy_bonus_cap) + tech_3_5*TblTech[[#This Row],[3-5]] + tech_5_3*TblTech[[#This Row],[5-3]] + tech_5_5*TblTech[[#This Row],[5-5]]))*elite2_ore,0)</f>
        <v>0</v>
      </c>
      <c r="BQ104" s="69" t="n">
        <f aca="false">ROUNDUP((1-MIN(ROUND(fh_spy_cost_red*TblMili[[#This Row],[FH''s]],4),fh_spy_cost_cap)+ tech_1_9*TblTech[[#This Row],[1-9]] + tech_9_1*TblTech[[#This Row],[9-1]])*spy_plat,0)</f>
        <v>500</v>
      </c>
      <c r="BR104" s="69" t="n">
        <f aca="false">ROUNDUP((1-MIN(ROUND(fh_spy_cost_red*TblMili[[#This Row],[FH''s]],4),fh_spy_cost_cap)+ tech_1_9*TblTech[[#This Row],[1-9]] + tech_9_1*TblTech[[#This Row],[9-1]])*archspy_plat,0)</f>
        <v>1000</v>
      </c>
      <c r="BS104" s="69" t="n">
        <f aca="false">ROUNDUP((1-MIN(ROUND(wg_wiz_cost_bonus*TblMili[[#This Row],[WG''s]],4),wg_wiz_cost_cap) + tech_1_9_2*TblTech[[#This Row],[1-9]] + tech_9_1_2*TblTech[[#This Row],[9-1]])*wizard_plat,0)</f>
        <v>500</v>
      </c>
      <c r="BT104" s="69" t="n">
        <f aca="false">ROUNDUP((1-MIN(ROUND(wg_wiz_cost_bonus*TblMili[[#This Row],[WG''s]],4),wg_wiz_cost_cap) + tech_1_9_2*TblTech[[#This Row],[1-9]] + tech_9_1_2*TblTech[[#This Row],[9-1]])*archmage_plat,0)</f>
        <v>1000</v>
      </c>
      <c r="BU104" s="132"/>
      <c r="BV104" s="150" t="e">
        <f aca="false">TblConstr[[#This Row],[Homeland]]/TblConstr[[#This Row],[Land]]</f>
        <v>#VALUE!</v>
      </c>
      <c r="BW104" s="150" t="n">
        <f aca="false">TblMili[[#This Row],[WG''s]]</f>
        <v>0</v>
      </c>
      <c r="BX104" s="288" t="e">
        <f aca="false">IF(mystic_cap="none",TblMili[[#This Row],[Hill]]/mystic_bonus,MIN(mystic_cap,TblMili[[#This Row],[Hill]]/mystic_bonus))</f>
        <v>#VALUE!</v>
      </c>
      <c r="BY104" s="288" t="e">
        <f aca="false">IF(druid_op_cap="none",TblMili[[#This Row],[Hill]]/druid_op_bonus,MIN(druid_op_cap,TblMili[[#This Row],[Hill]]/druid_op_bonus))</f>
        <v>#VALUE!</v>
      </c>
      <c r="BZ104" s="288" t="e">
        <f aca="false">IF(druid_dp_cap="none",TblMili[[#This Row],[Hill]]/druid_dp_bonus,MIN(druid_dp_cap,TblMili[[#This Row],[Hill]]/druid_dp_bonus))</f>
        <v>#VALUE!</v>
      </c>
      <c r="CA104" s="288" t="e">
        <f aca="false">MIN(dryad_cap,TblMili[[#This Row],[Hill]]/dryad_bonus)</f>
        <v>#VALUE!</v>
      </c>
      <c r="CB104" s="288" t="e">
        <f aca="false">MIN(rocka_cap,TblMili[[#This Row],[Hill]]/rocka_bonus)</f>
        <v>#VALUE!</v>
      </c>
      <c r="CC104" s="288" t="n">
        <f aca="false">MIN(adept_op_cap,TblMili[[#This Row],[WG]]/adept_op_bonus)</f>
        <v>0</v>
      </c>
      <c r="CD104" s="288" t="n">
        <f aca="false">MIN(adept_dp_cap,TblMili[[#This Row],[WG]]/adept_dp_bonus)</f>
        <v>0</v>
      </c>
      <c r="CE104" s="69" t="n">
        <f aca="false">MIN(TblMili[[#This Row],[Unit 3]],TblMili[[#This Row],[Unit 2]])*2</f>
        <v>1400</v>
      </c>
      <c r="CF104" s="69" t="n">
        <f aca="false">MIN(TblMili[[#This Row],[Unit 1]],TblMili[[#This Row],[Unit 4]])*2</f>
        <v>0</v>
      </c>
      <c r="CG104" s="288" t="e">
        <f aca="false">MIN(frost_mage_cap,TblMili[[#This Row],[Hill]]/frost_mage_bonus)</f>
        <v>#VALUE!</v>
      </c>
      <c r="CH104" s="151" t="n">
        <f aca="false">MIN(ice_elem_cap,TblMili[[#This Row],[Raw (2)]]*ice_elem_bonus)</f>
        <v>0.0357142857142857</v>
      </c>
      <c r="CI104" s="288" t="n">
        <f aca="false">MIN(bone_breaker_cap,250/bone_breaker_bonus)</f>
        <v>0.833333333333333</v>
      </c>
      <c r="CJ104" s="288" t="e">
        <f aca="false">MIN(nox_nightshade_cap,TblConstr[[#This Row],[Homeland]]/TblConstr[[#This Row],[Land]]/nox_nightshade_swamp_bonus)</f>
        <v>#VALUE!</v>
      </c>
      <c r="CK104" s="289"/>
      <c r="CL104" s="289"/>
      <c r="CM104" s="289"/>
      <c r="CN104" s="288" t="e">
        <f aca="false">MIN(6,TblMili[[#This Row],[Mystic]]+Races!$F$19)*1.8 +  IF(TblMili[[#This Row],[Mystic]]+Races!$F$19&gt;6,(TblMili[[#This Row],[Mystic]]+Races!$F$19-6)*0.2,0) - Races!$I$19</f>
        <v>#VALUE!</v>
      </c>
      <c r="CO104" s="288" t="e">
        <f aca="false">1.8 * MIN(MAX(TblMili[[#This Row],[Druid (op)]]+Races!$E$20,TblMili[[#This Row],[Druid (dp)]]+Races!$F$20),6)  +  0.45 * MIN(MIN(TblMili[[#This Row],[Druid (op)]]+Races!$E$20,TblMili[[#This Row],[Druid (dp)]]+Races!$F$20),6)  +  0.2 * ( MAX(TblMili[[#This Row],[Druid (op)]]+Races!$E$20-6,0) + MAX(TblMili[[#This Row],[Druid (dp)]]+Races!$F$20-6,0) )  -  Races!$I$20</f>
        <v>#VALUE!</v>
      </c>
      <c r="CP104" s="69" t="e">
        <f aca="false">TblMili[[#This Row],[Mystic bonus]]*TblMili[[#This Row],[Unit 3]]+TblMili[[#This Row],[Druid bonus]]*TblMili[[#This Row],[Unit 4]]</f>
        <v>#VALUE!</v>
      </c>
      <c r="CQ104" s="148" t="e">
        <f aca="false">MIN(6,TblMili[[#This Row],[Dryad]]+Races!$F$35)*1.8 +  IF(TblMili[[#This Row],[Dryad]]+Races!$F$35&gt;6,(TblMili[[#This Row],[Dryad]]+Races!$F$35-6)*0.2,0) - Races!$I$19</f>
        <v>#VALUE!</v>
      </c>
      <c r="CR104" s="69" t="e">
        <f aca="false">sylvan*(TblMili[[#This Row],[Mystic bonus]]*TblMili[[#This Row],[Unit 3]])</f>
        <v>#VALUE!</v>
      </c>
      <c r="CS104" s="148" t="e">
        <f aca="false">1.8 * MIN(MAX(Races!$E$27,TblMili[[#This Row],[Rockapult]]+Races!$F$27),6)  +  0.45 * MIN(MIN(Races!$E$27,TblMili[[#This Row],[Rockapult]]+Races!$F$27),6)  +  0.2 * ( MAX(Races!$E$27-6,0) + MAX(TblMili[[#This Row],[Rockapult]]+Races!$F$27-6,0) )  -  Races!$I$20</f>
        <v>#VALUE!</v>
      </c>
      <c r="CT104" s="69" t="e">
        <f aca="false">gnome*(TblMili[[#This Row],[Rockapult bonus]]*TblMili[[#This Row],[Unit 3]])</f>
        <v>#VALUE!</v>
      </c>
      <c r="CU104" s="148" t="n">
        <f aca="false">1.8 * MIN(MAX(TblMili[[#This Row],[Spellblade]]+Races!$E$47,TblMili[[#This Row],[Adept-DP]]+Races!$F$47),6)  +  0.45 * MIN(MIN(TblMili[[#This Row],[Spellblade]]+Races!$E$47,TblMili[[#This Row],[Adept-DP]]+Races!$F$47),6)  +  0.2 * ( MAX(TblMili[[#This Row],[Spellblade]]+Races!$E$47-6,0) + MAX(TblMili[[#This Row],[Adept-DP]]+Races!$F$47-6,0) )  -  Races!$I$47</f>
        <v>0</v>
      </c>
      <c r="CV104" s="69" t="n">
        <f aca="false">dark_elf*(TblMili[[#This Row],[Adept bonus]]*TblMili[[#This Row],[Unit 3]])</f>
        <v>0</v>
      </c>
      <c r="CW104" s="148" t="e">
        <f aca="false">1.8 * MIN(MAX(TblMili[[#This Row],[Frost Mage]]+Races!$F$71,Races!$E$71),6)  +  0.45 * MIN(MIN(TblMili[[#This Row],[Frost Mage]]+Races!$F$71,Races!$E$71),6)  +  0.2 * ( MAX(TblMili[[#This Row],[Frost Mage]]+Races!$F$71-6,0) + MAX(Races!$E$71-6,0) )  -  Races!$I$71</f>
        <v>#VALUE!</v>
      </c>
      <c r="CX104" s="148" t="n">
        <f aca="false">1.8 * MIN(MAX(TblMili[[#This Row],[Ice Elemental]]+Races!$E$71,Races!$F$71),6)  +  0.45 * MIN(MIN(TblMili[[#This Row],[Ice Elemental]]+Races!$E$71,Races!$F$71),6)  +  0.2 * ( MAX(TblMili[[#This Row],[Ice Elemental]]+Races!$E$71-6,0) + MAX(Races!$F$71-6,0) )  -  Races!$I$71</f>
        <v>0.064285714285715</v>
      </c>
      <c r="CY104" s="69" t="e">
        <f aca="false">TblMili[[#This Row],[Frost Mage bonus]]*TblMili[[#This Row],[Unit 3]]+TblMili[[#This Row],[Ice Elemental bonus]]*TblMili[[#This Row],[Unit 4]]</f>
        <v>#VALUE!</v>
      </c>
      <c r="CZ104" s="290"/>
      <c r="DA104" s="109" t="n">
        <f aca="false">MIN(SUM(TblConstr[[#This Row],[Plain]:[Water]])/TblMili[[#This Row],[Land]]/favorable_terrain_bonus/100,favorable_terrain_max)</f>
        <v>0</v>
      </c>
      <c r="DB104" s="290"/>
      <c r="DC10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4" s="132"/>
      <c r="DE104" s="291" t="n">
        <f aca="false">(TblMili[[#This Row],[Wizards]]+2*TblMili[[#This Row],[Archmages]])/TblConstr[[#This Row],[Land]]</f>
        <v>0.0357142857142857</v>
      </c>
      <c r="DF104" s="291" t="n">
        <f aca="false">TblMili[[#This Row],[Raw (2)]]*(1+race_wizard_strength+IF(TblMili[[#This Row],[Hour]]&gt;72,tech_magical_weaponry_wiz*TblTech[[#This Row],[3-5]],0))</f>
        <v>0.0357142857142857</v>
      </c>
    </row>
    <row r="105" customFormat="false" ht="12.75" hidden="false" customHeight="false" outlineLevel="0" collapsed="false">
      <c r="A105" s="128" t="n">
        <f aca="false">TblRezone[[#This Row],[Hour]]</f>
        <v>102</v>
      </c>
      <c r="B105" s="282" t="n">
        <f aca="false">SUM(TblMili[[#This Row],[Unit 1]:[Archmages]])+SUM(OFFSET(TblMili[[#This Row],[Train Unit 1]],-8,0):TblMili[[#This Row],[Train Unit 2]]) + SUM(OFFSET(TblMili[[#This Row],[Train Unit 3]],-11,0):TblMili[[#This Row],[Train AM]]) + TblMili[[#This Row],[Draftees]]</f>
        <v>5457</v>
      </c>
      <c r="C105" s="150" t="n">
        <f aca="false">TblPop[[#This Row],[Military%]]</f>
        <v>0.421748203106886</v>
      </c>
      <c r="D105" s="132"/>
      <c r="E105" s="151" t="n">
        <f aca="false">OFFSET(TblMili[[#This Row],[Unit 1]],-1,0) + OFFSET(TblMili[[#This Row],[Train Unit 1]],-9,0) - TblMili[[#This Row],[Release Unit 1]]</f>
        <v>0</v>
      </c>
      <c r="F105" s="151" t="n">
        <f aca="false">OFFSET(TblMili[[#This Row],[Unit 2]],-1,0) + OFFSET(TblMili[[#This Row],[Train Unit 2]],-9,0)-TblMili[[#This Row],[Release Unit 2]]</f>
        <v>1246</v>
      </c>
      <c r="G105" s="151" t="n">
        <f aca="false">OFFSET(TblMili[[#This Row],[Unit 3]],-1,0) + OFFSET(TblMili[[#This Row],[Train Unit 3]],-12,0)-TblMili[[#This Row],[Release Unit 3]]</f>
        <v>700</v>
      </c>
      <c r="H105" s="151" t="n">
        <f aca="false">OFFSET(TblMili[[#This Row],[Unit 4]],-1,0) + OFFSET(TblMili[[#This Row],[Train Unit 4]],-12,0)-TblMili[[#This Row],[Release Unit 4]]</f>
        <v>1228</v>
      </c>
      <c r="I105" s="151" t="n">
        <f aca="false">OFFSET(TblMili[[#This Row],[Spies]],-1,0) + OFFSET(TblMili[[#This Row],[Train Spies]],-12,0) - TblMili[[#This Row],[Release Spies]]-TblMili[[#This Row],[Train AS]]</f>
        <v>25</v>
      </c>
      <c r="J105" s="151" t="n">
        <f aca="false">OFFSET(TblMili[[#This Row],[Archspies]],-1,0) + OFFSET(TblMili[[#This Row],[Train AS]],-12,0) - TblMili[[#This Row],[Release AS]]</f>
        <v>0</v>
      </c>
      <c r="K105" s="151" t="n">
        <f aca="false">OFFSET(TblMili[[#This Row],[Wizards]],-1,0) + OFFSET(TblMili[[#This Row],[Train Wiz]],-12,0) - TblMili[[#This Row],[Release Wizards]]-TblMili[[#This Row],[Train AM]]</f>
        <v>25</v>
      </c>
      <c r="L105" s="151" t="n">
        <f aca="false">OFFSET(TblMili[[#This Row],[Archmages]],-1,0) + OFFSET(TblMili[[#This Row],[Train AM]],-12,0) - TblMili[[#This Row],[Release AM]]</f>
        <v>0</v>
      </c>
      <c r="M105" s="132"/>
      <c r="N105" s="69" t="e">
        <f aca="false">TblProd[[#This Row],[Networth]]</f>
        <v>#VALUE!</v>
      </c>
      <c r="O105" s="132"/>
      <c r="P10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5" s="285" t="e">
        <f aca="false">TblMili[[#This Row],[Raw]]*(1+TblMili[[#This Row],[Mods_Off]])</f>
        <v>#VALUE!</v>
      </c>
      <c r="S10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5" s="285" t="e">
        <f aca="false">TblMili[[#This Row],[Non Draft]]+TblMili[[#This Row],[Draftees]]</f>
        <v>#VALUE!</v>
      </c>
      <c r="U105" s="286" t="n">
        <f aca="false">race_defense + TblImps[[#This Row],[Walls]] + ROUND( MIN(gt_bonus*TblConstr[[#This Row],[Tot GT]]/TblConstr[[#This Row],[Land]],gt_bonus_cap), 4) + IF(TblMagic[[#This Row],[Active Howling]]&gt;0,howling_dp_bonus,IF(TblMagic[[#This Row],[Active Ares Call]]&gt;0,ares_call_bonus))</f>
        <v>0.2375</v>
      </c>
      <c r="V105" s="274" t="e">
        <f aca="false">TblMili[[#This Row],[Non Draft]] * (1 + TblMili[[#This Row],[Mods_Def]])</f>
        <v>#VALUE!</v>
      </c>
      <c r="W105" s="285" t="e">
        <f aca="false">TblMili[[#This Row],[Draft]] * (1 + TblMili[[#This Row],[Mods_Def]])</f>
        <v>#VALUE!</v>
      </c>
      <c r="X105" s="285" t="n">
        <f aca="false">TblConstr[[#This Row],[Land]]</f>
        <v>700</v>
      </c>
      <c r="Y105" s="287"/>
      <c r="Z105" s="109" t="n">
        <f aca="false">IF(TblMili[[#This Row],[Set]]&lt;&gt;"",TblMili[[#This Row],[Set]],OFFSET(TblMili[[#This Row],[Draftrate]],-1,0))</f>
        <v>0.9</v>
      </c>
      <c r="AA105" s="69" t="n">
        <f aca="false">OFFSET(TblMili[[#This Row],[Draftees]],-1,0)+OFFSET(TblPop[[#This Row],[Draft Growth]],-1,0) - SUM(TblMili[[#This Row],[Train Unit 1]:[Train Spies]],TblMili[[#This Row],[Train Wiz]]) - TblMili[[#This Row],[Release Draft]] + SUM(TblMili[[#This Row],[Release Unit 1]:[Release AM]]) - TblExplore[[#This Row],[Draftees (2)]]</f>
        <v>2233</v>
      </c>
      <c r="AB105" s="146"/>
      <c r="AC105" s="130" t="n">
        <f aca="false">(TblConstr[[#This Row],[Tot Smi]]+TblConstr[[#This Row],[Dest Smi]])/(TblConstr[[#This Row],[Land]]-TblExplore[[#This Row],[Land Bonus]]*20)</f>
        <v>0.18</v>
      </c>
      <c r="AD105" s="128"/>
      <c r="AE105" s="282" t="n">
        <f aca="false">TblMili[[#This Row],[Hour]]</f>
        <v>102</v>
      </c>
      <c r="AF105" s="129" t="n">
        <f aca="false">TblExplore[[#This Row],[Time]]</f>
        <v>45433.9583333333</v>
      </c>
      <c r="AG105" s="182"/>
      <c r="AH105" s="182"/>
      <c r="AI105" s="182"/>
      <c r="AJ105" s="182"/>
      <c r="AK105" s="182"/>
      <c r="AL105" s="182"/>
      <c r="AM105" s="182"/>
      <c r="AN105" s="182"/>
      <c r="AO105" s="132"/>
      <c r="AP105" s="69" t="n">
        <f aca="false">TblProd[[#This Row],[Platinum]]</f>
        <v>1227079</v>
      </c>
      <c r="AQ105" s="69" t="n">
        <f aca="false">INDEX(TblProd[[#Headers],[Lumber]]:TblProd[[#This Row],[Ore]],COUNTA(TblProd[[#Headers],[Lumber]]:TblProd[[#This Row],[Lumber]]),MATCH(Military!$AQ$2,TblProd[[#Headers],[Lumber]:[Ore]],0))</f>
        <v>0</v>
      </c>
      <c r="AR10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69" t="n">
        <f aca="false">TblMili[[#This Row],[Train Unit 1]]*TblMili[[#This Row],[OP Ore]]+TblMili[[#This Row],[Train Unit 2]]*TblMili[[#This Row],[DP Ore]]+TblMili[[#This Row],[Train Unit 3]]*TblMili[[#This Row],[E1 Ore]]+TblMili[[#This Row],[Train Unit 4]]*TblMili[[#This Row],[E2 Ore]]</f>
        <v>0</v>
      </c>
      <c r="AT105" s="132" t="n">
        <f aca="false">TblMili[[#This Row],[Hour]]</f>
        <v>102</v>
      </c>
      <c r="AU105" s="144" t="n">
        <f aca="false">TblMili[[#This Row],[Time]]</f>
        <v>45433.9583333333</v>
      </c>
      <c r="AV105" s="69" t="n">
        <f aca="false">TblMili[[#This Row],[Draftees]]</f>
        <v>2233</v>
      </c>
      <c r="AW105" s="182"/>
      <c r="AX105" s="182"/>
      <c r="AY105" s="182"/>
      <c r="AZ105" s="182"/>
      <c r="BA105" s="182"/>
      <c r="BB105" s="182"/>
      <c r="BC105" s="182"/>
      <c r="BD105" s="182"/>
      <c r="BE105" s="182"/>
      <c r="BF105" s="132"/>
      <c r="BG105" s="150" t="n">
        <f aca="false">TblConstr[[#This Row],[Tot WG]]/TblConstr[[#This Row],[Land]]</f>
        <v>0</v>
      </c>
      <c r="BH105" s="150" t="n">
        <f aca="false">TblConstr[[#This Row],[Tot Hav]]/TblConstr[[#This Row],[Land]]</f>
        <v>0</v>
      </c>
      <c r="BI105" s="69" t="n">
        <f aca="false">ROUNDUP((1-MIN(TblMili[[#This Row],[Smithies]]*smithy_bonus,smithy_bonus_cap) + tech_3_5*TblTech[[#This Row],[3-5]] + tech_5_3*TblTech[[#This Row],[5-3]] + tech_5_5*TblTech[[#This Row],[5-5]])*spec_op_plat,0)</f>
        <v>192</v>
      </c>
      <c r="BJ105" s="69" t="n">
        <f aca="false">ROUNDUP(IF(race="Gnome",1,(1-MIN(TblMili[[#This Row],[Smithies]]*smithy_bonus,smithy_bonus_cap) + tech_3_5*TblTech[[#This Row],[3-5]] + tech_5_3*TblTech[[#This Row],[5-3]] + tech_5_5*TblTech[[#This Row],[5-5]]))*spec_op_ore,0)</f>
        <v>0</v>
      </c>
      <c r="BK105" s="69" t="n">
        <f aca="false">ROUNDUP((1-MIN(TblMili[[#This Row],[Smithies]]*smithy_bonus,smithy_bonus_cap) + tech_3_5*TblTech[[#This Row],[3-5]] + tech_5_3*TblTech[[#This Row],[5-3]] + tech_5_5*TblTech[[#This Row],[5-5]])*spec_dp_plat,0)</f>
        <v>192</v>
      </c>
      <c r="BL105" s="69" t="n">
        <f aca="false">ROUNDUP(IF(race="Gnome",1,(1-MIN(TblMili[[#This Row],[Smithies]]*smithy_bonus,smithy_bonus_cap) + tech_3_5*TblTech[[#This Row],[3-5]] + tech_5_3*TblTech[[#This Row],[5-3]] + tech_5_5*TblTech[[#This Row],[5-5]]))*spec_dp_ore,0)</f>
        <v>0</v>
      </c>
      <c r="BM105" s="69" t="n">
        <f aca="false">ROUNDUP((1-MIN(TblMili[[#This Row],[Smithies]]*smithy_bonus,smithy_bonus_cap) + tech_3_5*TblTech[[#This Row],[3-5]] + tech_5_3*TblTech[[#This Row],[5-3]] + tech_5_5*TblTech[[#This Row],[5-5]])*elite1_plat,0)</f>
        <v>592</v>
      </c>
      <c r="BN105" s="69" t="n">
        <f aca="false">ROUNDUP(IF(race="Gnome",1,(1-MIN(TblMili[[#This Row],[Smithies]]*smithy_bonus,smithy_bonus_cap) + tech_3_5*TblTech[[#This Row],[3-5]] + tech_5_3*TblTech[[#This Row],[5-3]] + tech_5_5*TblTech[[#This Row],[5-5]]))*elite1_ore,0)</f>
        <v>0</v>
      </c>
      <c r="BO105" s="69" t="n">
        <f aca="false">ROUNDUP((1-MIN(TblMili[[#This Row],[Smithies]]*smithy_bonus,smithy_bonus_cap) + tech_3_5*TblTech[[#This Row],[3-5]] + tech_5_3*TblTech[[#This Row],[5-3]] + tech_5_5*TblTech[[#This Row],[5-5]])*elite2_plat,0)</f>
        <v>608</v>
      </c>
      <c r="BP105" s="69" t="n">
        <f aca="false">ROUNDUP(IF(race="Gnome",1,(1-MIN(TblMili[[#This Row],[Smithies]]*smithy_bonus,smithy_bonus_cap) + tech_3_5*TblTech[[#This Row],[3-5]] + tech_5_3*TblTech[[#This Row],[5-3]] + tech_5_5*TblTech[[#This Row],[5-5]]))*elite2_ore,0)</f>
        <v>0</v>
      </c>
      <c r="BQ105" s="69" t="n">
        <f aca="false">ROUNDUP((1-MIN(ROUND(fh_spy_cost_red*TblMili[[#This Row],[FH''s]],4),fh_spy_cost_cap)+ tech_1_9*TblTech[[#This Row],[1-9]] + tech_9_1*TblTech[[#This Row],[9-1]])*spy_plat,0)</f>
        <v>500</v>
      </c>
      <c r="BR105" s="69" t="n">
        <f aca="false">ROUNDUP((1-MIN(ROUND(fh_spy_cost_red*TblMili[[#This Row],[FH''s]],4),fh_spy_cost_cap)+ tech_1_9*TblTech[[#This Row],[1-9]] + tech_9_1*TblTech[[#This Row],[9-1]])*archspy_plat,0)</f>
        <v>1000</v>
      </c>
      <c r="BS105" s="69" t="n">
        <f aca="false">ROUNDUP((1-MIN(ROUND(wg_wiz_cost_bonus*TblMili[[#This Row],[WG''s]],4),wg_wiz_cost_cap) + tech_1_9_2*TblTech[[#This Row],[1-9]] + tech_9_1_2*TblTech[[#This Row],[9-1]])*wizard_plat,0)</f>
        <v>500</v>
      </c>
      <c r="BT105" s="69" t="n">
        <f aca="false">ROUNDUP((1-MIN(ROUND(wg_wiz_cost_bonus*TblMili[[#This Row],[WG''s]],4),wg_wiz_cost_cap) + tech_1_9_2*TblTech[[#This Row],[1-9]] + tech_9_1_2*TblTech[[#This Row],[9-1]])*archmage_plat,0)</f>
        <v>1000</v>
      </c>
      <c r="BU105" s="132"/>
      <c r="BV105" s="150" t="e">
        <f aca="false">TblConstr[[#This Row],[Homeland]]/TblConstr[[#This Row],[Land]]</f>
        <v>#VALUE!</v>
      </c>
      <c r="BW105" s="150" t="n">
        <f aca="false">TblMili[[#This Row],[WG''s]]</f>
        <v>0</v>
      </c>
      <c r="BX105" s="288" t="e">
        <f aca="false">IF(mystic_cap="none",TblMili[[#This Row],[Hill]]/mystic_bonus,MIN(mystic_cap,TblMili[[#This Row],[Hill]]/mystic_bonus))</f>
        <v>#VALUE!</v>
      </c>
      <c r="BY105" s="288" t="e">
        <f aca="false">IF(druid_op_cap="none",TblMili[[#This Row],[Hill]]/druid_op_bonus,MIN(druid_op_cap,TblMili[[#This Row],[Hill]]/druid_op_bonus))</f>
        <v>#VALUE!</v>
      </c>
      <c r="BZ105" s="288" t="e">
        <f aca="false">IF(druid_dp_cap="none",TblMili[[#This Row],[Hill]]/druid_dp_bonus,MIN(druid_dp_cap,TblMili[[#This Row],[Hill]]/druid_dp_bonus))</f>
        <v>#VALUE!</v>
      </c>
      <c r="CA105" s="288" t="e">
        <f aca="false">MIN(dryad_cap,TblMili[[#This Row],[Hill]]/dryad_bonus)</f>
        <v>#VALUE!</v>
      </c>
      <c r="CB105" s="288" t="e">
        <f aca="false">MIN(rocka_cap,TblMili[[#This Row],[Hill]]/rocka_bonus)</f>
        <v>#VALUE!</v>
      </c>
      <c r="CC105" s="288" t="n">
        <f aca="false">MIN(adept_op_cap,TblMili[[#This Row],[WG]]/adept_op_bonus)</f>
        <v>0</v>
      </c>
      <c r="CD105" s="288" t="n">
        <f aca="false">MIN(adept_dp_cap,TblMili[[#This Row],[WG]]/adept_dp_bonus)</f>
        <v>0</v>
      </c>
      <c r="CE105" s="69" t="n">
        <f aca="false">MIN(TblMili[[#This Row],[Unit 3]],TblMili[[#This Row],[Unit 2]])*2</f>
        <v>1400</v>
      </c>
      <c r="CF105" s="69" t="n">
        <f aca="false">MIN(TblMili[[#This Row],[Unit 1]],TblMili[[#This Row],[Unit 4]])*2</f>
        <v>0</v>
      </c>
      <c r="CG105" s="288" t="e">
        <f aca="false">MIN(frost_mage_cap,TblMili[[#This Row],[Hill]]/frost_mage_bonus)</f>
        <v>#VALUE!</v>
      </c>
      <c r="CH105" s="151" t="n">
        <f aca="false">MIN(ice_elem_cap,TblMili[[#This Row],[Raw (2)]]*ice_elem_bonus)</f>
        <v>0.0357142857142857</v>
      </c>
      <c r="CI105" s="288" t="n">
        <f aca="false">MIN(bone_breaker_cap,250/bone_breaker_bonus)</f>
        <v>0.833333333333333</v>
      </c>
      <c r="CJ105" s="288" t="e">
        <f aca="false">MIN(nox_nightshade_cap,TblConstr[[#This Row],[Homeland]]/TblConstr[[#This Row],[Land]]/nox_nightshade_swamp_bonus)</f>
        <v>#VALUE!</v>
      </c>
      <c r="CK105" s="289"/>
      <c r="CL105" s="289"/>
      <c r="CM105" s="289"/>
      <c r="CN105" s="288" t="e">
        <f aca="false">MIN(6,TblMili[[#This Row],[Mystic]]+Races!$F$19)*1.8 +  IF(TblMili[[#This Row],[Mystic]]+Races!$F$19&gt;6,(TblMili[[#This Row],[Mystic]]+Races!$F$19-6)*0.2,0) - Races!$I$19</f>
        <v>#VALUE!</v>
      </c>
      <c r="CO105" s="288" t="e">
        <f aca="false">1.8 * MIN(MAX(TblMili[[#This Row],[Druid (op)]]+Races!$E$20,TblMili[[#This Row],[Druid (dp)]]+Races!$F$20),6)  +  0.45 * MIN(MIN(TblMili[[#This Row],[Druid (op)]]+Races!$E$20,TblMili[[#This Row],[Druid (dp)]]+Races!$F$20),6)  +  0.2 * ( MAX(TblMili[[#This Row],[Druid (op)]]+Races!$E$20-6,0) + MAX(TblMili[[#This Row],[Druid (dp)]]+Races!$F$20-6,0) )  -  Races!$I$20</f>
        <v>#VALUE!</v>
      </c>
      <c r="CP105" s="69" t="e">
        <f aca="false">TblMili[[#This Row],[Mystic bonus]]*TblMili[[#This Row],[Unit 3]]+TblMili[[#This Row],[Druid bonus]]*TblMili[[#This Row],[Unit 4]]</f>
        <v>#VALUE!</v>
      </c>
      <c r="CQ105" s="148" t="e">
        <f aca="false">MIN(6,TblMili[[#This Row],[Dryad]]+Races!$F$35)*1.8 +  IF(TblMili[[#This Row],[Dryad]]+Races!$F$35&gt;6,(TblMili[[#This Row],[Dryad]]+Races!$F$35-6)*0.2,0) - Races!$I$19</f>
        <v>#VALUE!</v>
      </c>
      <c r="CR105" s="69" t="e">
        <f aca="false">sylvan*(TblMili[[#This Row],[Mystic bonus]]*TblMili[[#This Row],[Unit 3]])</f>
        <v>#VALUE!</v>
      </c>
      <c r="CS105" s="148" t="e">
        <f aca="false">1.8 * MIN(MAX(Races!$E$27,TblMili[[#This Row],[Rockapult]]+Races!$F$27),6)  +  0.45 * MIN(MIN(Races!$E$27,TblMili[[#This Row],[Rockapult]]+Races!$F$27),6)  +  0.2 * ( MAX(Races!$E$27-6,0) + MAX(TblMili[[#This Row],[Rockapult]]+Races!$F$27-6,0) )  -  Races!$I$20</f>
        <v>#VALUE!</v>
      </c>
      <c r="CT105" s="69" t="e">
        <f aca="false">gnome*(TblMili[[#This Row],[Rockapult bonus]]*TblMili[[#This Row],[Unit 3]])</f>
        <v>#VALUE!</v>
      </c>
      <c r="CU105" s="148" t="n">
        <f aca="false">1.8 * MIN(MAX(TblMili[[#This Row],[Spellblade]]+Races!$E$47,TblMili[[#This Row],[Adept-DP]]+Races!$F$47),6)  +  0.45 * MIN(MIN(TblMili[[#This Row],[Spellblade]]+Races!$E$47,TblMili[[#This Row],[Adept-DP]]+Races!$F$47),6)  +  0.2 * ( MAX(TblMili[[#This Row],[Spellblade]]+Races!$E$47-6,0) + MAX(TblMili[[#This Row],[Adept-DP]]+Races!$F$47-6,0) )  -  Races!$I$47</f>
        <v>0</v>
      </c>
      <c r="CV105" s="69" t="n">
        <f aca="false">dark_elf*(TblMili[[#This Row],[Adept bonus]]*TblMili[[#This Row],[Unit 3]])</f>
        <v>0</v>
      </c>
      <c r="CW105" s="148" t="e">
        <f aca="false">1.8 * MIN(MAX(TblMili[[#This Row],[Frost Mage]]+Races!$F$71,Races!$E$71),6)  +  0.45 * MIN(MIN(TblMili[[#This Row],[Frost Mage]]+Races!$F$71,Races!$E$71),6)  +  0.2 * ( MAX(TblMili[[#This Row],[Frost Mage]]+Races!$F$71-6,0) + MAX(Races!$E$71-6,0) )  -  Races!$I$71</f>
        <v>#VALUE!</v>
      </c>
      <c r="CX105" s="148" t="n">
        <f aca="false">1.8 * MIN(MAX(TblMili[[#This Row],[Ice Elemental]]+Races!$E$71,Races!$F$71),6)  +  0.45 * MIN(MIN(TblMili[[#This Row],[Ice Elemental]]+Races!$E$71,Races!$F$71),6)  +  0.2 * ( MAX(TblMili[[#This Row],[Ice Elemental]]+Races!$E$71-6,0) + MAX(Races!$F$71-6,0) )  -  Races!$I$71</f>
        <v>0.064285714285715</v>
      </c>
      <c r="CY105" s="69" t="e">
        <f aca="false">TblMili[[#This Row],[Frost Mage bonus]]*TblMili[[#This Row],[Unit 3]]+TblMili[[#This Row],[Ice Elemental bonus]]*TblMili[[#This Row],[Unit 4]]</f>
        <v>#VALUE!</v>
      </c>
      <c r="CZ105" s="290"/>
      <c r="DA105" s="109" t="n">
        <f aca="false">MIN(SUM(TblConstr[[#This Row],[Plain]:[Water]])/TblMili[[#This Row],[Land]]/favorable_terrain_bonus/100,favorable_terrain_max)</f>
        <v>0</v>
      </c>
      <c r="DB105" s="290"/>
      <c r="DC10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5" s="132"/>
      <c r="DE105" s="291" t="n">
        <f aca="false">(TblMili[[#This Row],[Wizards]]+2*TblMili[[#This Row],[Archmages]])/TblConstr[[#This Row],[Land]]</f>
        <v>0.0357142857142857</v>
      </c>
      <c r="DF105" s="291" t="n">
        <f aca="false">TblMili[[#This Row],[Raw (2)]]*(1+race_wizard_strength+IF(TblMili[[#This Row],[Hour]]&gt;72,tech_magical_weaponry_wiz*TblTech[[#This Row],[3-5]],0))</f>
        <v>0.0357142857142857</v>
      </c>
    </row>
    <row r="106" customFormat="false" ht="12.75" hidden="false" customHeight="false" outlineLevel="0" collapsed="false">
      <c r="A106" s="128" t="n">
        <f aca="false">TblRezone[[#This Row],[Hour]]</f>
        <v>103</v>
      </c>
      <c r="B106" s="282" t="n">
        <f aca="false">SUM(TblMili[[#This Row],[Unit 1]:[Archmages]])+SUM(OFFSET(TblMili[[#This Row],[Train Unit 1]],-8,0):TblMili[[#This Row],[Train Unit 2]]) + SUM(OFFSET(TblMili[[#This Row],[Train Unit 3]],-11,0):TblMili[[#This Row],[Train AM]]) + TblMili[[#This Row],[Draftees]]</f>
        <v>5532</v>
      </c>
      <c r="C106" s="150" t="n">
        <f aca="false">TblPop[[#This Row],[Military%]]</f>
        <v>0.427544632506376</v>
      </c>
      <c r="D106" s="132"/>
      <c r="E106" s="151" t="n">
        <f aca="false">OFFSET(TblMili[[#This Row],[Unit 1]],-1,0) + OFFSET(TblMili[[#This Row],[Train Unit 1]],-9,0) - TblMili[[#This Row],[Release Unit 1]]</f>
        <v>0</v>
      </c>
      <c r="F106" s="151" t="n">
        <f aca="false">OFFSET(TblMili[[#This Row],[Unit 2]],-1,0) + OFFSET(TblMili[[#This Row],[Train Unit 2]],-9,0)-TblMili[[#This Row],[Release Unit 2]]</f>
        <v>1246</v>
      </c>
      <c r="G106" s="151" t="n">
        <f aca="false">OFFSET(TblMili[[#This Row],[Unit 3]],-1,0) + OFFSET(TblMili[[#This Row],[Train Unit 3]],-12,0)-TblMili[[#This Row],[Release Unit 3]]</f>
        <v>700</v>
      </c>
      <c r="H106" s="151" t="n">
        <f aca="false">OFFSET(TblMili[[#This Row],[Unit 4]],-1,0) + OFFSET(TblMili[[#This Row],[Train Unit 4]],-12,0)-TblMili[[#This Row],[Release Unit 4]]</f>
        <v>1228</v>
      </c>
      <c r="I106" s="151" t="n">
        <f aca="false">OFFSET(TblMili[[#This Row],[Spies]],-1,0) + OFFSET(TblMili[[#This Row],[Train Spies]],-12,0) - TblMili[[#This Row],[Release Spies]]-TblMili[[#This Row],[Train AS]]</f>
        <v>25</v>
      </c>
      <c r="J106" s="151" t="n">
        <f aca="false">OFFSET(TblMili[[#This Row],[Archspies]],-1,0) + OFFSET(TblMili[[#This Row],[Train AS]],-12,0) - TblMili[[#This Row],[Release AS]]</f>
        <v>0</v>
      </c>
      <c r="K106" s="151" t="n">
        <f aca="false">OFFSET(TblMili[[#This Row],[Wizards]],-1,0) + OFFSET(TblMili[[#This Row],[Train Wiz]],-12,0) - TblMili[[#This Row],[Release Wizards]]-TblMili[[#This Row],[Train AM]]</f>
        <v>25</v>
      </c>
      <c r="L106" s="151" t="n">
        <f aca="false">OFFSET(TblMili[[#This Row],[Archmages]],-1,0) + OFFSET(TblMili[[#This Row],[Train AM]],-12,0) - TblMili[[#This Row],[Release AM]]</f>
        <v>0</v>
      </c>
      <c r="M106" s="132"/>
      <c r="N106" s="69" t="e">
        <f aca="false">TblProd[[#This Row],[Networth]]</f>
        <v>#VALUE!</v>
      </c>
      <c r="O106" s="132"/>
      <c r="P10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6" s="285" t="e">
        <f aca="false">TblMili[[#This Row],[Raw]]*(1+TblMili[[#This Row],[Mods_Off]])</f>
        <v>#VALUE!</v>
      </c>
      <c r="S10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6" s="285" t="e">
        <f aca="false">TblMili[[#This Row],[Non Draft]]+TblMili[[#This Row],[Draftees]]</f>
        <v>#VALUE!</v>
      </c>
      <c r="U106" s="286" t="n">
        <f aca="false">race_defense + TblImps[[#This Row],[Walls]] + ROUND( MIN(gt_bonus*TblConstr[[#This Row],[Tot GT]]/TblConstr[[#This Row],[Land]],gt_bonus_cap), 4) + IF(TblMagic[[#This Row],[Active Howling]]&gt;0,howling_dp_bonus,IF(TblMagic[[#This Row],[Active Ares Call]]&gt;0,ares_call_bonus))</f>
        <v>0.2375</v>
      </c>
      <c r="V106" s="274" t="e">
        <f aca="false">TblMili[[#This Row],[Non Draft]] * (1 + TblMili[[#This Row],[Mods_Def]])</f>
        <v>#VALUE!</v>
      </c>
      <c r="W106" s="285" t="e">
        <f aca="false">TblMili[[#This Row],[Draft]] * (1 + TblMili[[#This Row],[Mods_Def]])</f>
        <v>#VALUE!</v>
      </c>
      <c r="X106" s="285" t="n">
        <f aca="false">TblConstr[[#This Row],[Land]]</f>
        <v>700</v>
      </c>
      <c r="Y106" s="287"/>
      <c r="Z106" s="109" t="n">
        <f aca="false">IF(TblMili[[#This Row],[Set]]&lt;&gt;"",TblMili[[#This Row],[Set]],OFFSET(TblMili[[#This Row],[Draftrate]],-1,0))</f>
        <v>0.9</v>
      </c>
      <c r="AA106" s="69" t="n">
        <f aca="false">OFFSET(TblMili[[#This Row],[Draftees]],-1,0)+OFFSET(TblPop[[#This Row],[Draft Growth]],-1,0) - SUM(TblMili[[#This Row],[Train Unit 1]:[Train Spies]],TblMili[[#This Row],[Train Wiz]]) - TblMili[[#This Row],[Release Draft]] + SUM(TblMili[[#This Row],[Release Unit 1]:[Release AM]]) - TblExplore[[#This Row],[Draftees (2)]]</f>
        <v>2308</v>
      </c>
      <c r="AB106" s="146"/>
      <c r="AC106" s="130" t="n">
        <f aca="false">(TblConstr[[#This Row],[Tot Smi]]+TblConstr[[#This Row],[Dest Smi]])/(TblConstr[[#This Row],[Land]]-TblExplore[[#This Row],[Land Bonus]]*20)</f>
        <v>0.18</v>
      </c>
      <c r="AD106" s="128"/>
      <c r="AE106" s="282" t="n">
        <f aca="false">TblMili[[#This Row],[Hour]]</f>
        <v>103</v>
      </c>
      <c r="AF106" s="129" t="n">
        <f aca="false">TblExplore[[#This Row],[Time]]</f>
        <v>45434</v>
      </c>
      <c r="AG106" s="182"/>
      <c r="AH106" s="182"/>
      <c r="AI106" s="182"/>
      <c r="AJ106" s="182"/>
      <c r="AK106" s="182"/>
      <c r="AL106" s="182"/>
      <c r="AM106" s="182"/>
      <c r="AN106" s="182"/>
      <c r="AO106" s="132"/>
      <c r="AP106" s="69" t="n">
        <f aca="false">TblProd[[#This Row],[Platinum]]</f>
        <v>1266845</v>
      </c>
      <c r="AQ106" s="69" t="n">
        <f aca="false">INDEX(TblProd[[#Headers],[Lumber]]:TblProd[[#This Row],[Ore]],COUNTA(TblProd[[#Headers],[Lumber]]:TblProd[[#This Row],[Lumber]]),MATCH(Military!$AQ$2,TblProd[[#Headers],[Lumber]:[Ore]],0))</f>
        <v>0</v>
      </c>
      <c r="AR10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69" t="n">
        <f aca="false">TblMili[[#This Row],[Train Unit 1]]*TblMili[[#This Row],[OP Ore]]+TblMili[[#This Row],[Train Unit 2]]*TblMili[[#This Row],[DP Ore]]+TblMili[[#This Row],[Train Unit 3]]*TblMili[[#This Row],[E1 Ore]]+TblMili[[#This Row],[Train Unit 4]]*TblMili[[#This Row],[E2 Ore]]</f>
        <v>0</v>
      </c>
      <c r="AT106" s="132" t="n">
        <f aca="false">TblMili[[#This Row],[Hour]]</f>
        <v>103</v>
      </c>
      <c r="AU106" s="144" t="n">
        <f aca="false">TblMili[[#This Row],[Time]]</f>
        <v>45434</v>
      </c>
      <c r="AV106" s="69" t="n">
        <f aca="false">TblMili[[#This Row],[Draftees]]</f>
        <v>2308</v>
      </c>
      <c r="AW106" s="182"/>
      <c r="AX106" s="182"/>
      <c r="AY106" s="182"/>
      <c r="AZ106" s="182"/>
      <c r="BA106" s="182"/>
      <c r="BB106" s="182"/>
      <c r="BC106" s="182"/>
      <c r="BD106" s="182"/>
      <c r="BE106" s="182"/>
      <c r="BF106" s="132"/>
      <c r="BG106" s="150" t="n">
        <f aca="false">TblConstr[[#This Row],[Tot WG]]/TblConstr[[#This Row],[Land]]</f>
        <v>0</v>
      </c>
      <c r="BH106" s="150" t="n">
        <f aca="false">TblConstr[[#This Row],[Tot Hav]]/TblConstr[[#This Row],[Land]]</f>
        <v>0</v>
      </c>
      <c r="BI106" s="69" t="n">
        <f aca="false">ROUNDUP((1-MIN(TblMili[[#This Row],[Smithies]]*smithy_bonus,smithy_bonus_cap) + tech_3_5*TblTech[[#This Row],[3-5]] + tech_5_3*TblTech[[#This Row],[5-3]] + tech_5_5*TblTech[[#This Row],[5-5]])*spec_op_plat,0)</f>
        <v>192</v>
      </c>
      <c r="BJ106" s="69" t="n">
        <f aca="false">ROUNDUP(IF(race="Gnome",1,(1-MIN(TblMili[[#This Row],[Smithies]]*smithy_bonus,smithy_bonus_cap) + tech_3_5*TblTech[[#This Row],[3-5]] + tech_5_3*TblTech[[#This Row],[5-3]] + tech_5_5*TblTech[[#This Row],[5-5]]))*spec_op_ore,0)</f>
        <v>0</v>
      </c>
      <c r="BK106" s="69" t="n">
        <f aca="false">ROUNDUP((1-MIN(TblMili[[#This Row],[Smithies]]*smithy_bonus,smithy_bonus_cap) + tech_3_5*TblTech[[#This Row],[3-5]] + tech_5_3*TblTech[[#This Row],[5-3]] + tech_5_5*TblTech[[#This Row],[5-5]])*spec_dp_plat,0)</f>
        <v>192</v>
      </c>
      <c r="BL106" s="69" t="n">
        <f aca="false">ROUNDUP(IF(race="Gnome",1,(1-MIN(TblMili[[#This Row],[Smithies]]*smithy_bonus,smithy_bonus_cap) + tech_3_5*TblTech[[#This Row],[3-5]] + tech_5_3*TblTech[[#This Row],[5-3]] + tech_5_5*TblTech[[#This Row],[5-5]]))*spec_dp_ore,0)</f>
        <v>0</v>
      </c>
      <c r="BM106" s="69" t="n">
        <f aca="false">ROUNDUP((1-MIN(TblMili[[#This Row],[Smithies]]*smithy_bonus,smithy_bonus_cap) + tech_3_5*TblTech[[#This Row],[3-5]] + tech_5_3*TblTech[[#This Row],[5-3]] + tech_5_5*TblTech[[#This Row],[5-5]])*elite1_plat,0)</f>
        <v>592</v>
      </c>
      <c r="BN106" s="69" t="n">
        <f aca="false">ROUNDUP(IF(race="Gnome",1,(1-MIN(TblMili[[#This Row],[Smithies]]*smithy_bonus,smithy_bonus_cap) + tech_3_5*TblTech[[#This Row],[3-5]] + tech_5_3*TblTech[[#This Row],[5-3]] + tech_5_5*TblTech[[#This Row],[5-5]]))*elite1_ore,0)</f>
        <v>0</v>
      </c>
      <c r="BO106" s="69" t="n">
        <f aca="false">ROUNDUP((1-MIN(TblMili[[#This Row],[Smithies]]*smithy_bonus,smithy_bonus_cap) + tech_3_5*TblTech[[#This Row],[3-5]] + tech_5_3*TblTech[[#This Row],[5-3]] + tech_5_5*TblTech[[#This Row],[5-5]])*elite2_plat,0)</f>
        <v>608</v>
      </c>
      <c r="BP106" s="69" t="n">
        <f aca="false">ROUNDUP(IF(race="Gnome",1,(1-MIN(TblMili[[#This Row],[Smithies]]*smithy_bonus,smithy_bonus_cap) + tech_3_5*TblTech[[#This Row],[3-5]] + tech_5_3*TblTech[[#This Row],[5-3]] + tech_5_5*TblTech[[#This Row],[5-5]]))*elite2_ore,0)</f>
        <v>0</v>
      </c>
      <c r="BQ106" s="69" t="n">
        <f aca="false">ROUNDUP((1-MIN(ROUND(fh_spy_cost_red*TblMili[[#This Row],[FH''s]],4),fh_spy_cost_cap)+ tech_1_9*TblTech[[#This Row],[1-9]] + tech_9_1*TblTech[[#This Row],[9-1]])*spy_plat,0)</f>
        <v>500</v>
      </c>
      <c r="BR106" s="69" t="n">
        <f aca="false">ROUNDUP((1-MIN(ROUND(fh_spy_cost_red*TblMili[[#This Row],[FH''s]],4),fh_spy_cost_cap)+ tech_1_9*TblTech[[#This Row],[1-9]] + tech_9_1*TblTech[[#This Row],[9-1]])*archspy_plat,0)</f>
        <v>1000</v>
      </c>
      <c r="BS106" s="69" t="n">
        <f aca="false">ROUNDUP((1-MIN(ROUND(wg_wiz_cost_bonus*TblMili[[#This Row],[WG''s]],4),wg_wiz_cost_cap) + tech_1_9_2*TblTech[[#This Row],[1-9]] + tech_9_1_2*TblTech[[#This Row],[9-1]])*wizard_plat,0)</f>
        <v>500</v>
      </c>
      <c r="BT106" s="69" t="n">
        <f aca="false">ROUNDUP((1-MIN(ROUND(wg_wiz_cost_bonus*TblMili[[#This Row],[WG''s]],4),wg_wiz_cost_cap) + tech_1_9_2*TblTech[[#This Row],[1-9]] + tech_9_1_2*TblTech[[#This Row],[9-1]])*archmage_plat,0)</f>
        <v>1000</v>
      </c>
      <c r="BU106" s="132"/>
      <c r="BV106" s="150" t="e">
        <f aca="false">TblConstr[[#This Row],[Homeland]]/TblConstr[[#This Row],[Land]]</f>
        <v>#VALUE!</v>
      </c>
      <c r="BW106" s="150" t="n">
        <f aca="false">TblMili[[#This Row],[WG''s]]</f>
        <v>0</v>
      </c>
      <c r="BX106" s="288" t="e">
        <f aca="false">IF(mystic_cap="none",TblMili[[#This Row],[Hill]]/mystic_bonus,MIN(mystic_cap,TblMili[[#This Row],[Hill]]/mystic_bonus))</f>
        <v>#VALUE!</v>
      </c>
      <c r="BY106" s="288" t="e">
        <f aca="false">IF(druid_op_cap="none",TblMili[[#This Row],[Hill]]/druid_op_bonus,MIN(druid_op_cap,TblMili[[#This Row],[Hill]]/druid_op_bonus))</f>
        <v>#VALUE!</v>
      </c>
      <c r="BZ106" s="288" t="e">
        <f aca="false">IF(druid_dp_cap="none",TblMili[[#This Row],[Hill]]/druid_dp_bonus,MIN(druid_dp_cap,TblMili[[#This Row],[Hill]]/druid_dp_bonus))</f>
        <v>#VALUE!</v>
      </c>
      <c r="CA106" s="288" t="e">
        <f aca="false">MIN(dryad_cap,TblMili[[#This Row],[Hill]]/dryad_bonus)</f>
        <v>#VALUE!</v>
      </c>
      <c r="CB106" s="288" t="e">
        <f aca="false">MIN(rocka_cap,TblMili[[#This Row],[Hill]]/rocka_bonus)</f>
        <v>#VALUE!</v>
      </c>
      <c r="CC106" s="288" t="n">
        <f aca="false">MIN(adept_op_cap,TblMili[[#This Row],[WG]]/adept_op_bonus)</f>
        <v>0</v>
      </c>
      <c r="CD106" s="288" t="n">
        <f aca="false">MIN(adept_dp_cap,TblMili[[#This Row],[WG]]/adept_dp_bonus)</f>
        <v>0</v>
      </c>
      <c r="CE106" s="69" t="n">
        <f aca="false">MIN(TblMili[[#This Row],[Unit 3]],TblMili[[#This Row],[Unit 2]])*2</f>
        <v>1400</v>
      </c>
      <c r="CF106" s="69" t="n">
        <f aca="false">MIN(TblMili[[#This Row],[Unit 1]],TblMili[[#This Row],[Unit 4]])*2</f>
        <v>0</v>
      </c>
      <c r="CG106" s="288" t="e">
        <f aca="false">MIN(frost_mage_cap,TblMili[[#This Row],[Hill]]/frost_mage_bonus)</f>
        <v>#VALUE!</v>
      </c>
      <c r="CH106" s="151" t="n">
        <f aca="false">MIN(ice_elem_cap,TblMili[[#This Row],[Raw (2)]]*ice_elem_bonus)</f>
        <v>0.0357142857142857</v>
      </c>
      <c r="CI106" s="288" t="n">
        <f aca="false">MIN(bone_breaker_cap,250/bone_breaker_bonus)</f>
        <v>0.833333333333333</v>
      </c>
      <c r="CJ106" s="288" t="e">
        <f aca="false">MIN(nox_nightshade_cap,TblConstr[[#This Row],[Homeland]]/TblConstr[[#This Row],[Land]]/nox_nightshade_swamp_bonus)</f>
        <v>#VALUE!</v>
      </c>
      <c r="CK106" s="289"/>
      <c r="CL106" s="289"/>
      <c r="CM106" s="289"/>
      <c r="CN106" s="288" t="e">
        <f aca="false">MIN(6,TblMili[[#This Row],[Mystic]]+Races!$F$19)*1.8 +  IF(TblMili[[#This Row],[Mystic]]+Races!$F$19&gt;6,(TblMili[[#This Row],[Mystic]]+Races!$F$19-6)*0.2,0) - Races!$I$19</f>
        <v>#VALUE!</v>
      </c>
      <c r="CO106" s="288" t="e">
        <f aca="false">1.8 * MIN(MAX(TblMili[[#This Row],[Druid (op)]]+Races!$E$20,TblMili[[#This Row],[Druid (dp)]]+Races!$F$20),6)  +  0.45 * MIN(MIN(TblMili[[#This Row],[Druid (op)]]+Races!$E$20,TblMili[[#This Row],[Druid (dp)]]+Races!$F$20),6)  +  0.2 * ( MAX(TblMili[[#This Row],[Druid (op)]]+Races!$E$20-6,0) + MAX(TblMili[[#This Row],[Druid (dp)]]+Races!$F$20-6,0) )  -  Races!$I$20</f>
        <v>#VALUE!</v>
      </c>
      <c r="CP106" s="69" t="e">
        <f aca="false">TblMili[[#This Row],[Mystic bonus]]*TblMili[[#This Row],[Unit 3]]+TblMili[[#This Row],[Druid bonus]]*TblMili[[#This Row],[Unit 4]]</f>
        <v>#VALUE!</v>
      </c>
      <c r="CQ106" s="148" t="e">
        <f aca="false">MIN(6,TblMili[[#This Row],[Dryad]]+Races!$F$35)*1.8 +  IF(TblMili[[#This Row],[Dryad]]+Races!$F$35&gt;6,(TblMili[[#This Row],[Dryad]]+Races!$F$35-6)*0.2,0) - Races!$I$19</f>
        <v>#VALUE!</v>
      </c>
      <c r="CR106" s="69" t="e">
        <f aca="false">sylvan*(TblMili[[#This Row],[Mystic bonus]]*TblMili[[#This Row],[Unit 3]])</f>
        <v>#VALUE!</v>
      </c>
      <c r="CS106" s="148" t="e">
        <f aca="false">1.8 * MIN(MAX(Races!$E$27,TblMili[[#This Row],[Rockapult]]+Races!$F$27),6)  +  0.45 * MIN(MIN(Races!$E$27,TblMili[[#This Row],[Rockapult]]+Races!$F$27),6)  +  0.2 * ( MAX(Races!$E$27-6,0) + MAX(TblMili[[#This Row],[Rockapult]]+Races!$F$27-6,0) )  -  Races!$I$20</f>
        <v>#VALUE!</v>
      </c>
      <c r="CT106" s="69" t="e">
        <f aca="false">gnome*(TblMili[[#This Row],[Rockapult bonus]]*TblMili[[#This Row],[Unit 3]])</f>
        <v>#VALUE!</v>
      </c>
      <c r="CU106" s="148" t="n">
        <f aca="false">1.8 * MIN(MAX(TblMili[[#This Row],[Spellblade]]+Races!$E$47,TblMili[[#This Row],[Adept-DP]]+Races!$F$47),6)  +  0.45 * MIN(MIN(TblMili[[#This Row],[Spellblade]]+Races!$E$47,TblMili[[#This Row],[Adept-DP]]+Races!$F$47),6)  +  0.2 * ( MAX(TblMili[[#This Row],[Spellblade]]+Races!$E$47-6,0) + MAX(TblMili[[#This Row],[Adept-DP]]+Races!$F$47-6,0) )  -  Races!$I$47</f>
        <v>0</v>
      </c>
      <c r="CV106" s="69" t="n">
        <f aca="false">dark_elf*(TblMili[[#This Row],[Adept bonus]]*TblMili[[#This Row],[Unit 3]])</f>
        <v>0</v>
      </c>
      <c r="CW106" s="148" t="e">
        <f aca="false">1.8 * MIN(MAX(TblMili[[#This Row],[Frost Mage]]+Races!$F$71,Races!$E$71),6)  +  0.45 * MIN(MIN(TblMili[[#This Row],[Frost Mage]]+Races!$F$71,Races!$E$71),6)  +  0.2 * ( MAX(TblMili[[#This Row],[Frost Mage]]+Races!$F$71-6,0) + MAX(Races!$E$71-6,0) )  -  Races!$I$71</f>
        <v>#VALUE!</v>
      </c>
      <c r="CX106" s="148" t="n">
        <f aca="false">1.8 * MIN(MAX(TblMili[[#This Row],[Ice Elemental]]+Races!$E$71,Races!$F$71),6)  +  0.45 * MIN(MIN(TblMili[[#This Row],[Ice Elemental]]+Races!$E$71,Races!$F$71),6)  +  0.2 * ( MAX(TblMili[[#This Row],[Ice Elemental]]+Races!$E$71-6,0) + MAX(Races!$F$71-6,0) )  -  Races!$I$71</f>
        <v>0.064285714285715</v>
      </c>
      <c r="CY106" s="69" t="e">
        <f aca="false">TblMili[[#This Row],[Frost Mage bonus]]*TblMili[[#This Row],[Unit 3]]+TblMili[[#This Row],[Ice Elemental bonus]]*TblMili[[#This Row],[Unit 4]]</f>
        <v>#VALUE!</v>
      </c>
      <c r="CZ106" s="290"/>
      <c r="DA106" s="109" t="n">
        <f aca="false">MIN(SUM(TblConstr[[#This Row],[Plain]:[Water]])/TblMili[[#This Row],[Land]]/favorable_terrain_bonus/100,favorable_terrain_max)</f>
        <v>0</v>
      </c>
      <c r="DB106" s="290"/>
      <c r="DC10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6" s="132"/>
      <c r="DE106" s="291" t="n">
        <f aca="false">(TblMili[[#This Row],[Wizards]]+2*TblMili[[#This Row],[Archmages]])/TblConstr[[#This Row],[Land]]</f>
        <v>0.0357142857142857</v>
      </c>
      <c r="DF106" s="291" t="n">
        <f aca="false">TblMili[[#This Row],[Raw (2)]]*(1+race_wizard_strength+IF(TblMili[[#This Row],[Hour]]&gt;72,tech_magical_weaponry_wiz*TblTech[[#This Row],[3-5]],0))</f>
        <v>0.0357142857142857</v>
      </c>
    </row>
    <row r="107" customFormat="false" ht="12.75" hidden="false" customHeight="false" outlineLevel="0" collapsed="false">
      <c r="A107" s="128" t="n">
        <f aca="false">TblRezone[[#This Row],[Hour]]</f>
        <v>104</v>
      </c>
      <c r="B107" s="282" t="n">
        <f aca="false">SUM(TblMili[[#This Row],[Unit 1]:[Archmages]])+SUM(OFFSET(TblMili[[#This Row],[Train Unit 1]],-8,0):TblMili[[#This Row],[Train Unit 2]]) + SUM(OFFSET(TblMili[[#This Row],[Train Unit 3]],-11,0):TblMili[[#This Row],[Train AM]]) + TblMili[[#This Row],[Draftees]]</f>
        <v>5606</v>
      </c>
      <c r="C107" s="150" t="n">
        <f aca="false">TblPop[[#This Row],[Military%]]</f>
        <v>0.433263776180539</v>
      </c>
      <c r="D107" s="132"/>
      <c r="E107" s="151" t="n">
        <f aca="false">OFFSET(TblMili[[#This Row],[Unit 1]],-1,0) + OFFSET(TblMili[[#This Row],[Train Unit 1]],-9,0) - TblMili[[#This Row],[Release Unit 1]]</f>
        <v>0</v>
      </c>
      <c r="F107" s="151" t="n">
        <f aca="false">OFFSET(TblMili[[#This Row],[Unit 2]],-1,0) + OFFSET(TblMili[[#This Row],[Train Unit 2]],-9,0)-TblMili[[#This Row],[Release Unit 2]]</f>
        <v>1246</v>
      </c>
      <c r="G107" s="151" t="n">
        <f aca="false">OFFSET(TblMili[[#This Row],[Unit 3]],-1,0) + OFFSET(TblMili[[#This Row],[Train Unit 3]],-12,0)-TblMili[[#This Row],[Release Unit 3]]</f>
        <v>700</v>
      </c>
      <c r="H107" s="151" t="n">
        <f aca="false">OFFSET(TblMili[[#This Row],[Unit 4]],-1,0) + OFFSET(TblMili[[#This Row],[Train Unit 4]],-12,0)-TblMili[[#This Row],[Release Unit 4]]</f>
        <v>1228</v>
      </c>
      <c r="I107" s="151" t="n">
        <f aca="false">OFFSET(TblMili[[#This Row],[Spies]],-1,0) + OFFSET(TblMili[[#This Row],[Train Spies]],-12,0) - TblMili[[#This Row],[Release Spies]]-TblMili[[#This Row],[Train AS]]</f>
        <v>25</v>
      </c>
      <c r="J107" s="151" t="n">
        <f aca="false">OFFSET(TblMili[[#This Row],[Archspies]],-1,0) + OFFSET(TblMili[[#This Row],[Train AS]],-12,0) - TblMili[[#This Row],[Release AS]]</f>
        <v>0</v>
      </c>
      <c r="K107" s="151" t="n">
        <f aca="false">OFFSET(TblMili[[#This Row],[Wizards]],-1,0) + OFFSET(TblMili[[#This Row],[Train Wiz]],-12,0) - TblMili[[#This Row],[Release Wizards]]-TblMili[[#This Row],[Train AM]]</f>
        <v>25</v>
      </c>
      <c r="L107" s="151" t="n">
        <f aca="false">OFFSET(TblMili[[#This Row],[Archmages]],-1,0) + OFFSET(TblMili[[#This Row],[Train AM]],-12,0) - TblMili[[#This Row],[Release AM]]</f>
        <v>0</v>
      </c>
      <c r="M107" s="132"/>
      <c r="N107" s="69" t="e">
        <f aca="false">TblProd[[#This Row],[Networth]]</f>
        <v>#VALUE!</v>
      </c>
      <c r="O107" s="132"/>
      <c r="P10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7" s="285" t="e">
        <f aca="false">TblMili[[#This Row],[Raw]]*(1+TblMili[[#This Row],[Mods_Off]])</f>
        <v>#VALUE!</v>
      </c>
      <c r="S10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7" s="285" t="e">
        <f aca="false">TblMili[[#This Row],[Non Draft]]+TblMili[[#This Row],[Draftees]]</f>
        <v>#VALUE!</v>
      </c>
      <c r="U107" s="286" t="n">
        <f aca="false">race_defense + TblImps[[#This Row],[Walls]] + ROUND( MIN(gt_bonus*TblConstr[[#This Row],[Tot GT]]/TblConstr[[#This Row],[Land]],gt_bonus_cap), 4) + IF(TblMagic[[#This Row],[Active Howling]]&gt;0,howling_dp_bonus,IF(TblMagic[[#This Row],[Active Ares Call]]&gt;0,ares_call_bonus))</f>
        <v>0.2375</v>
      </c>
      <c r="V107" s="274" t="e">
        <f aca="false">TblMili[[#This Row],[Non Draft]] * (1 + TblMili[[#This Row],[Mods_Def]])</f>
        <v>#VALUE!</v>
      </c>
      <c r="W107" s="285" t="e">
        <f aca="false">TblMili[[#This Row],[Draft]] * (1 + TblMili[[#This Row],[Mods_Def]])</f>
        <v>#VALUE!</v>
      </c>
      <c r="X107" s="285" t="n">
        <f aca="false">TblConstr[[#This Row],[Land]]</f>
        <v>700</v>
      </c>
      <c r="Y107" s="287"/>
      <c r="Z107" s="109" t="n">
        <f aca="false">IF(TblMili[[#This Row],[Set]]&lt;&gt;"",TblMili[[#This Row],[Set]],OFFSET(TblMili[[#This Row],[Draftrate]],-1,0))</f>
        <v>0.9</v>
      </c>
      <c r="AA107" s="69" t="n">
        <f aca="false">OFFSET(TblMili[[#This Row],[Draftees]],-1,0)+OFFSET(TblPop[[#This Row],[Draft Growth]],-1,0) - SUM(TblMili[[#This Row],[Train Unit 1]:[Train Spies]],TblMili[[#This Row],[Train Wiz]]) - TblMili[[#This Row],[Release Draft]] + SUM(TblMili[[#This Row],[Release Unit 1]:[Release AM]]) - TblExplore[[#This Row],[Draftees (2)]]</f>
        <v>2382</v>
      </c>
      <c r="AB107" s="146"/>
      <c r="AC107" s="130" t="n">
        <f aca="false">(TblConstr[[#This Row],[Tot Smi]]+TblConstr[[#This Row],[Dest Smi]])/(TblConstr[[#This Row],[Land]]-TblExplore[[#This Row],[Land Bonus]]*20)</f>
        <v>0.18</v>
      </c>
      <c r="AD107" s="128"/>
      <c r="AE107" s="282" t="n">
        <f aca="false">TblMili[[#This Row],[Hour]]</f>
        <v>104</v>
      </c>
      <c r="AF107" s="129" t="n">
        <f aca="false">TblExplore[[#This Row],[Time]]</f>
        <v>45434.0416666667</v>
      </c>
      <c r="AG107" s="182"/>
      <c r="AH107" s="182"/>
      <c r="AI107" s="182"/>
      <c r="AJ107" s="182"/>
      <c r="AK107" s="182"/>
      <c r="AL107" s="182"/>
      <c r="AM107" s="182"/>
      <c r="AN107" s="182"/>
      <c r="AO107" s="132"/>
      <c r="AP107" s="69" t="n">
        <f aca="false">TblProd[[#This Row],[Platinum]]</f>
        <v>1306388</v>
      </c>
      <c r="AQ107" s="69" t="n">
        <f aca="false">INDEX(TblProd[[#Headers],[Lumber]]:TblProd[[#This Row],[Ore]],COUNTA(TblProd[[#Headers],[Lumber]]:TblProd[[#This Row],[Lumber]]),MATCH(Military!$AQ$2,TblProd[[#Headers],[Lumber]:[Ore]],0))</f>
        <v>0</v>
      </c>
      <c r="AR10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69" t="n">
        <f aca="false">TblMili[[#This Row],[Train Unit 1]]*TblMili[[#This Row],[OP Ore]]+TblMili[[#This Row],[Train Unit 2]]*TblMili[[#This Row],[DP Ore]]+TblMili[[#This Row],[Train Unit 3]]*TblMili[[#This Row],[E1 Ore]]+TblMili[[#This Row],[Train Unit 4]]*TblMili[[#This Row],[E2 Ore]]</f>
        <v>0</v>
      </c>
      <c r="AT107" s="132" t="n">
        <f aca="false">TblMili[[#This Row],[Hour]]</f>
        <v>104</v>
      </c>
      <c r="AU107" s="144" t="n">
        <f aca="false">TblMili[[#This Row],[Time]]</f>
        <v>45434.0416666667</v>
      </c>
      <c r="AV107" s="69" t="n">
        <f aca="false">TblMili[[#This Row],[Draftees]]</f>
        <v>2382</v>
      </c>
      <c r="AW107" s="182"/>
      <c r="AX107" s="182"/>
      <c r="AY107" s="182"/>
      <c r="AZ107" s="182"/>
      <c r="BA107" s="182"/>
      <c r="BB107" s="182"/>
      <c r="BC107" s="182"/>
      <c r="BD107" s="182"/>
      <c r="BE107" s="182"/>
      <c r="BF107" s="132"/>
      <c r="BG107" s="150" t="n">
        <f aca="false">TblConstr[[#This Row],[Tot WG]]/TblConstr[[#This Row],[Land]]</f>
        <v>0</v>
      </c>
      <c r="BH107" s="150" t="n">
        <f aca="false">TblConstr[[#This Row],[Tot Hav]]/TblConstr[[#This Row],[Land]]</f>
        <v>0</v>
      </c>
      <c r="BI107" s="69" t="n">
        <f aca="false">ROUNDUP((1-MIN(TblMili[[#This Row],[Smithies]]*smithy_bonus,smithy_bonus_cap) + tech_3_5*TblTech[[#This Row],[3-5]] + tech_5_3*TblTech[[#This Row],[5-3]] + tech_5_5*TblTech[[#This Row],[5-5]])*spec_op_plat,0)</f>
        <v>192</v>
      </c>
      <c r="BJ107" s="69" t="n">
        <f aca="false">ROUNDUP(IF(race="Gnome",1,(1-MIN(TblMili[[#This Row],[Smithies]]*smithy_bonus,smithy_bonus_cap) + tech_3_5*TblTech[[#This Row],[3-5]] + tech_5_3*TblTech[[#This Row],[5-3]] + tech_5_5*TblTech[[#This Row],[5-5]]))*spec_op_ore,0)</f>
        <v>0</v>
      </c>
      <c r="BK107" s="69" t="n">
        <f aca="false">ROUNDUP((1-MIN(TblMili[[#This Row],[Smithies]]*smithy_bonus,smithy_bonus_cap) + tech_3_5*TblTech[[#This Row],[3-5]] + tech_5_3*TblTech[[#This Row],[5-3]] + tech_5_5*TblTech[[#This Row],[5-5]])*spec_dp_plat,0)</f>
        <v>192</v>
      </c>
      <c r="BL107" s="69" t="n">
        <f aca="false">ROUNDUP(IF(race="Gnome",1,(1-MIN(TblMili[[#This Row],[Smithies]]*smithy_bonus,smithy_bonus_cap) + tech_3_5*TblTech[[#This Row],[3-5]] + tech_5_3*TblTech[[#This Row],[5-3]] + tech_5_5*TblTech[[#This Row],[5-5]]))*spec_dp_ore,0)</f>
        <v>0</v>
      </c>
      <c r="BM107" s="69" t="n">
        <f aca="false">ROUNDUP((1-MIN(TblMili[[#This Row],[Smithies]]*smithy_bonus,smithy_bonus_cap) + tech_3_5*TblTech[[#This Row],[3-5]] + tech_5_3*TblTech[[#This Row],[5-3]] + tech_5_5*TblTech[[#This Row],[5-5]])*elite1_plat,0)</f>
        <v>592</v>
      </c>
      <c r="BN107" s="69" t="n">
        <f aca="false">ROUNDUP(IF(race="Gnome",1,(1-MIN(TblMili[[#This Row],[Smithies]]*smithy_bonus,smithy_bonus_cap) + tech_3_5*TblTech[[#This Row],[3-5]] + tech_5_3*TblTech[[#This Row],[5-3]] + tech_5_5*TblTech[[#This Row],[5-5]]))*elite1_ore,0)</f>
        <v>0</v>
      </c>
      <c r="BO107" s="69" t="n">
        <f aca="false">ROUNDUP((1-MIN(TblMili[[#This Row],[Smithies]]*smithy_bonus,smithy_bonus_cap) + tech_3_5*TblTech[[#This Row],[3-5]] + tech_5_3*TblTech[[#This Row],[5-3]] + tech_5_5*TblTech[[#This Row],[5-5]])*elite2_plat,0)</f>
        <v>608</v>
      </c>
      <c r="BP107" s="69" t="n">
        <f aca="false">ROUNDUP(IF(race="Gnome",1,(1-MIN(TblMili[[#This Row],[Smithies]]*smithy_bonus,smithy_bonus_cap) + tech_3_5*TblTech[[#This Row],[3-5]] + tech_5_3*TblTech[[#This Row],[5-3]] + tech_5_5*TblTech[[#This Row],[5-5]]))*elite2_ore,0)</f>
        <v>0</v>
      </c>
      <c r="BQ107" s="69" t="n">
        <f aca="false">ROUNDUP((1-MIN(ROUND(fh_spy_cost_red*TblMili[[#This Row],[FH''s]],4),fh_spy_cost_cap)+ tech_1_9*TblTech[[#This Row],[1-9]] + tech_9_1*TblTech[[#This Row],[9-1]])*spy_plat,0)</f>
        <v>500</v>
      </c>
      <c r="BR107" s="69" t="n">
        <f aca="false">ROUNDUP((1-MIN(ROUND(fh_spy_cost_red*TblMili[[#This Row],[FH''s]],4),fh_spy_cost_cap)+ tech_1_9*TblTech[[#This Row],[1-9]] + tech_9_1*TblTech[[#This Row],[9-1]])*archspy_plat,0)</f>
        <v>1000</v>
      </c>
      <c r="BS107" s="69" t="n">
        <f aca="false">ROUNDUP((1-MIN(ROUND(wg_wiz_cost_bonus*TblMili[[#This Row],[WG''s]],4),wg_wiz_cost_cap) + tech_1_9_2*TblTech[[#This Row],[1-9]] + tech_9_1_2*TblTech[[#This Row],[9-1]])*wizard_plat,0)</f>
        <v>500</v>
      </c>
      <c r="BT107" s="69" t="n">
        <f aca="false">ROUNDUP((1-MIN(ROUND(wg_wiz_cost_bonus*TblMili[[#This Row],[WG''s]],4),wg_wiz_cost_cap) + tech_1_9_2*TblTech[[#This Row],[1-9]] + tech_9_1_2*TblTech[[#This Row],[9-1]])*archmage_plat,0)</f>
        <v>1000</v>
      </c>
      <c r="BU107" s="132"/>
      <c r="BV107" s="150" t="e">
        <f aca="false">TblConstr[[#This Row],[Homeland]]/TblConstr[[#This Row],[Land]]</f>
        <v>#VALUE!</v>
      </c>
      <c r="BW107" s="150" t="n">
        <f aca="false">TblMili[[#This Row],[WG''s]]</f>
        <v>0</v>
      </c>
      <c r="BX107" s="288" t="e">
        <f aca="false">IF(mystic_cap="none",TblMili[[#This Row],[Hill]]/mystic_bonus,MIN(mystic_cap,TblMili[[#This Row],[Hill]]/mystic_bonus))</f>
        <v>#VALUE!</v>
      </c>
      <c r="BY107" s="288" t="e">
        <f aca="false">IF(druid_op_cap="none",TblMili[[#This Row],[Hill]]/druid_op_bonus,MIN(druid_op_cap,TblMili[[#This Row],[Hill]]/druid_op_bonus))</f>
        <v>#VALUE!</v>
      </c>
      <c r="BZ107" s="288" t="e">
        <f aca="false">IF(druid_dp_cap="none",TblMili[[#This Row],[Hill]]/druid_dp_bonus,MIN(druid_dp_cap,TblMili[[#This Row],[Hill]]/druid_dp_bonus))</f>
        <v>#VALUE!</v>
      </c>
      <c r="CA107" s="288" t="e">
        <f aca="false">MIN(dryad_cap,TblMili[[#This Row],[Hill]]/dryad_bonus)</f>
        <v>#VALUE!</v>
      </c>
      <c r="CB107" s="288" t="e">
        <f aca="false">MIN(rocka_cap,TblMili[[#This Row],[Hill]]/rocka_bonus)</f>
        <v>#VALUE!</v>
      </c>
      <c r="CC107" s="288" t="n">
        <f aca="false">MIN(adept_op_cap,TblMili[[#This Row],[WG]]/adept_op_bonus)</f>
        <v>0</v>
      </c>
      <c r="CD107" s="288" t="n">
        <f aca="false">MIN(adept_dp_cap,TblMili[[#This Row],[WG]]/adept_dp_bonus)</f>
        <v>0</v>
      </c>
      <c r="CE107" s="69" t="n">
        <f aca="false">MIN(TblMili[[#This Row],[Unit 3]],TblMili[[#This Row],[Unit 2]])*2</f>
        <v>1400</v>
      </c>
      <c r="CF107" s="69" t="n">
        <f aca="false">MIN(TblMili[[#This Row],[Unit 1]],TblMili[[#This Row],[Unit 4]])*2</f>
        <v>0</v>
      </c>
      <c r="CG107" s="288" t="e">
        <f aca="false">MIN(frost_mage_cap,TblMili[[#This Row],[Hill]]/frost_mage_bonus)</f>
        <v>#VALUE!</v>
      </c>
      <c r="CH107" s="151" t="n">
        <f aca="false">MIN(ice_elem_cap,TblMili[[#This Row],[Raw (2)]]*ice_elem_bonus)</f>
        <v>0.0357142857142857</v>
      </c>
      <c r="CI107" s="288" t="n">
        <f aca="false">MIN(bone_breaker_cap,250/bone_breaker_bonus)</f>
        <v>0.833333333333333</v>
      </c>
      <c r="CJ107" s="288" t="e">
        <f aca="false">MIN(nox_nightshade_cap,TblConstr[[#This Row],[Homeland]]/TblConstr[[#This Row],[Land]]/nox_nightshade_swamp_bonus)</f>
        <v>#VALUE!</v>
      </c>
      <c r="CK107" s="289"/>
      <c r="CL107" s="289"/>
      <c r="CM107" s="289"/>
      <c r="CN107" s="288" t="e">
        <f aca="false">MIN(6,TblMili[[#This Row],[Mystic]]+Races!$F$19)*1.8 +  IF(TblMili[[#This Row],[Mystic]]+Races!$F$19&gt;6,(TblMili[[#This Row],[Mystic]]+Races!$F$19-6)*0.2,0) - Races!$I$19</f>
        <v>#VALUE!</v>
      </c>
      <c r="CO107" s="288" t="e">
        <f aca="false">1.8 * MIN(MAX(TblMili[[#This Row],[Druid (op)]]+Races!$E$20,TblMili[[#This Row],[Druid (dp)]]+Races!$F$20),6)  +  0.45 * MIN(MIN(TblMili[[#This Row],[Druid (op)]]+Races!$E$20,TblMili[[#This Row],[Druid (dp)]]+Races!$F$20),6)  +  0.2 * ( MAX(TblMili[[#This Row],[Druid (op)]]+Races!$E$20-6,0) + MAX(TblMili[[#This Row],[Druid (dp)]]+Races!$F$20-6,0) )  -  Races!$I$20</f>
        <v>#VALUE!</v>
      </c>
      <c r="CP107" s="69" t="e">
        <f aca="false">TblMili[[#This Row],[Mystic bonus]]*TblMili[[#This Row],[Unit 3]]+TblMili[[#This Row],[Druid bonus]]*TblMili[[#This Row],[Unit 4]]</f>
        <v>#VALUE!</v>
      </c>
      <c r="CQ107" s="148" t="e">
        <f aca="false">MIN(6,TblMili[[#This Row],[Dryad]]+Races!$F$35)*1.8 +  IF(TblMili[[#This Row],[Dryad]]+Races!$F$35&gt;6,(TblMili[[#This Row],[Dryad]]+Races!$F$35-6)*0.2,0) - Races!$I$19</f>
        <v>#VALUE!</v>
      </c>
      <c r="CR107" s="69" t="e">
        <f aca="false">sylvan*(TblMili[[#This Row],[Mystic bonus]]*TblMili[[#This Row],[Unit 3]])</f>
        <v>#VALUE!</v>
      </c>
      <c r="CS107" s="148" t="e">
        <f aca="false">1.8 * MIN(MAX(Races!$E$27,TblMili[[#This Row],[Rockapult]]+Races!$F$27),6)  +  0.45 * MIN(MIN(Races!$E$27,TblMili[[#This Row],[Rockapult]]+Races!$F$27),6)  +  0.2 * ( MAX(Races!$E$27-6,0) + MAX(TblMili[[#This Row],[Rockapult]]+Races!$F$27-6,0) )  -  Races!$I$20</f>
        <v>#VALUE!</v>
      </c>
      <c r="CT107" s="69" t="e">
        <f aca="false">gnome*(TblMili[[#This Row],[Rockapult bonus]]*TblMili[[#This Row],[Unit 3]])</f>
        <v>#VALUE!</v>
      </c>
      <c r="CU107" s="148" t="n">
        <f aca="false">1.8 * MIN(MAX(TblMili[[#This Row],[Spellblade]]+Races!$E$47,TblMili[[#This Row],[Adept-DP]]+Races!$F$47),6)  +  0.45 * MIN(MIN(TblMili[[#This Row],[Spellblade]]+Races!$E$47,TblMili[[#This Row],[Adept-DP]]+Races!$F$47),6)  +  0.2 * ( MAX(TblMili[[#This Row],[Spellblade]]+Races!$E$47-6,0) + MAX(TblMili[[#This Row],[Adept-DP]]+Races!$F$47-6,0) )  -  Races!$I$47</f>
        <v>0</v>
      </c>
      <c r="CV107" s="69" t="n">
        <f aca="false">dark_elf*(TblMili[[#This Row],[Adept bonus]]*TblMili[[#This Row],[Unit 3]])</f>
        <v>0</v>
      </c>
      <c r="CW107" s="148" t="e">
        <f aca="false">1.8 * MIN(MAX(TblMili[[#This Row],[Frost Mage]]+Races!$F$71,Races!$E$71),6)  +  0.45 * MIN(MIN(TblMili[[#This Row],[Frost Mage]]+Races!$F$71,Races!$E$71),6)  +  0.2 * ( MAX(TblMili[[#This Row],[Frost Mage]]+Races!$F$71-6,0) + MAX(Races!$E$71-6,0) )  -  Races!$I$71</f>
        <v>#VALUE!</v>
      </c>
      <c r="CX107" s="148" t="n">
        <f aca="false">1.8 * MIN(MAX(TblMili[[#This Row],[Ice Elemental]]+Races!$E$71,Races!$F$71),6)  +  0.45 * MIN(MIN(TblMili[[#This Row],[Ice Elemental]]+Races!$E$71,Races!$F$71),6)  +  0.2 * ( MAX(TblMili[[#This Row],[Ice Elemental]]+Races!$E$71-6,0) + MAX(Races!$F$71-6,0) )  -  Races!$I$71</f>
        <v>0.064285714285715</v>
      </c>
      <c r="CY107" s="69" t="e">
        <f aca="false">TblMili[[#This Row],[Frost Mage bonus]]*TblMili[[#This Row],[Unit 3]]+TblMili[[#This Row],[Ice Elemental bonus]]*TblMili[[#This Row],[Unit 4]]</f>
        <v>#VALUE!</v>
      </c>
      <c r="CZ107" s="290"/>
      <c r="DA107" s="109" t="n">
        <f aca="false">MIN(SUM(TblConstr[[#This Row],[Plain]:[Water]])/TblMili[[#This Row],[Land]]/favorable_terrain_bonus/100,favorable_terrain_max)</f>
        <v>0</v>
      </c>
      <c r="DB107" s="290"/>
      <c r="DC10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7" s="132"/>
      <c r="DE107" s="291" t="n">
        <f aca="false">(TblMili[[#This Row],[Wizards]]+2*TblMili[[#This Row],[Archmages]])/TblConstr[[#This Row],[Land]]</f>
        <v>0.0357142857142857</v>
      </c>
      <c r="DF107" s="291" t="n">
        <f aca="false">TblMili[[#This Row],[Raw (2)]]*(1+race_wizard_strength+IF(TblMili[[#This Row],[Hour]]&gt;72,tech_magical_weaponry_wiz*TblTech[[#This Row],[3-5]],0))</f>
        <v>0.0357142857142857</v>
      </c>
    </row>
    <row r="108" customFormat="false" ht="12.75" hidden="false" customHeight="false" outlineLevel="0" collapsed="false">
      <c r="A108" s="128" t="n">
        <f aca="false">TblRezone[[#This Row],[Hour]]</f>
        <v>105</v>
      </c>
      <c r="B108" s="282" t="n">
        <f aca="false">SUM(TblMili[[#This Row],[Unit 1]:[Archmages]])+SUM(OFFSET(TblMili[[#This Row],[Train Unit 1]],-8,0):TblMili[[#This Row],[Train Unit 2]]) + SUM(OFFSET(TblMili[[#This Row],[Train Unit 3]],-11,0):TblMili[[#This Row],[Train AM]]) + TblMili[[#This Row],[Draftees]]</f>
        <v>5679</v>
      </c>
      <c r="C108" s="150" t="n">
        <f aca="false">TblPop[[#This Row],[Military%]]</f>
        <v>0.438905634129376</v>
      </c>
      <c r="D108" s="132"/>
      <c r="E108" s="151" t="n">
        <f aca="false">OFFSET(TblMili[[#This Row],[Unit 1]],-1,0) + OFFSET(TblMili[[#This Row],[Train Unit 1]],-9,0) - TblMili[[#This Row],[Release Unit 1]]</f>
        <v>0</v>
      </c>
      <c r="F108" s="151" t="n">
        <f aca="false">OFFSET(TblMili[[#This Row],[Unit 2]],-1,0) + OFFSET(TblMili[[#This Row],[Train Unit 2]],-9,0)-TblMili[[#This Row],[Release Unit 2]]</f>
        <v>1246</v>
      </c>
      <c r="G108" s="151" t="n">
        <f aca="false">OFFSET(TblMili[[#This Row],[Unit 3]],-1,0) + OFFSET(TblMili[[#This Row],[Train Unit 3]],-12,0)-TblMili[[#This Row],[Release Unit 3]]</f>
        <v>700</v>
      </c>
      <c r="H108" s="151" t="n">
        <f aca="false">OFFSET(TblMili[[#This Row],[Unit 4]],-1,0) + OFFSET(TblMili[[#This Row],[Train Unit 4]],-12,0)-TblMili[[#This Row],[Release Unit 4]]</f>
        <v>1228</v>
      </c>
      <c r="I108" s="151" t="n">
        <f aca="false">OFFSET(TblMili[[#This Row],[Spies]],-1,0) + OFFSET(TblMili[[#This Row],[Train Spies]],-12,0) - TblMili[[#This Row],[Release Spies]]-TblMili[[#This Row],[Train AS]]</f>
        <v>25</v>
      </c>
      <c r="J108" s="151" t="n">
        <f aca="false">OFFSET(TblMili[[#This Row],[Archspies]],-1,0) + OFFSET(TblMili[[#This Row],[Train AS]],-12,0) - TblMili[[#This Row],[Release AS]]</f>
        <v>0</v>
      </c>
      <c r="K108" s="151" t="n">
        <f aca="false">OFFSET(TblMili[[#This Row],[Wizards]],-1,0) + OFFSET(TblMili[[#This Row],[Train Wiz]],-12,0) - TblMili[[#This Row],[Release Wizards]]-TblMili[[#This Row],[Train AM]]</f>
        <v>25</v>
      </c>
      <c r="L108" s="151" t="n">
        <f aca="false">OFFSET(TblMili[[#This Row],[Archmages]],-1,0) + OFFSET(TblMili[[#This Row],[Train AM]],-12,0) - TblMili[[#This Row],[Release AM]]</f>
        <v>0</v>
      </c>
      <c r="M108" s="132"/>
      <c r="N108" s="69" t="e">
        <f aca="false">TblProd[[#This Row],[Networth]]</f>
        <v>#VALUE!</v>
      </c>
      <c r="O108" s="132"/>
      <c r="P10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8" s="285" t="e">
        <f aca="false">TblMili[[#This Row],[Raw]]*(1+TblMili[[#This Row],[Mods_Off]])</f>
        <v>#VALUE!</v>
      </c>
      <c r="S10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8" s="285" t="e">
        <f aca="false">TblMili[[#This Row],[Non Draft]]+TblMili[[#This Row],[Draftees]]</f>
        <v>#VALUE!</v>
      </c>
      <c r="U108" s="286" t="n">
        <f aca="false">race_defense + TblImps[[#This Row],[Walls]] + ROUND( MIN(gt_bonus*TblConstr[[#This Row],[Tot GT]]/TblConstr[[#This Row],[Land]],gt_bonus_cap), 4) + IF(TblMagic[[#This Row],[Active Howling]]&gt;0,howling_dp_bonus,IF(TblMagic[[#This Row],[Active Ares Call]]&gt;0,ares_call_bonus))</f>
        <v>0.2375</v>
      </c>
      <c r="V108" s="274" t="e">
        <f aca="false">TblMili[[#This Row],[Non Draft]] * (1 + TblMili[[#This Row],[Mods_Def]])</f>
        <v>#VALUE!</v>
      </c>
      <c r="W108" s="285" t="e">
        <f aca="false">TblMili[[#This Row],[Draft]] * (1 + TblMili[[#This Row],[Mods_Def]])</f>
        <v>#VALUE!</v>
      </c>
      <c r="X108" s="285" t="n">
        <f aca="false">TblConstr[[#This Row],[Land]]</f>
        <v>700</v>
      </c>
      <c r="Y108" s="287"/>
      <c r="Z108" s="109" t="n">
        <f aca="false">IF(TblMili[[#This Row],[Set]]&lt;&gt;"",TblMili[[#This Row],[Set]],OFFSET(TblMili[[#This Row],[Draftrate]],-1,0))</f>
        <v>0.9</v>
      </c>
      <c r="AA108" s="69" t="n">
        <f aca="false">OFFSET(TblMili[[#This Row],[Draftees]],-1,0)+OFFSET(TblPop[[#This Row],[Draft Growth]],-1,0) - SUM(TblMili[[#This Row],[Train Unit 1]:[Train Spies]],TblMili[[#This Row],[Train Wiz]]) - TblMili[[#This Row],[Release Draft]] + SUM(TblMili[[#This Row],[Release Unit 1]:[Release AM]]) - TblExplore[[#This Row],[Draftees (2)]]</f>
        <v>2455</v>
      </c>
      <c r="AB108" s="146"/>
      <c r="AC108" s="130" t="n">
        <f aca="false">(TblConstr[[#This Row],[Tot Smi]]+TblConstr[[#This Row],[Dest Smi]])/(TblConstr[[#This Row],[Land]]-TblExplore[[#This Row],[Land Bonus]]*20)</f>
        <v>0.18</v>
      </c>
      <c r="AD108" s="128"/>
      <c r="AE108" s="282" t="n">
        <f aca="false">TblMili[[#This Row],[Hour]]</f>
        <v>105</v>
      </c>
      <c r="AF108" s="129" t="n">
        <f aca="false">TblExplore[[#This Row],[Time]]</f>
        <v>45434.0833333333</v>
      </c>
      <c r="AG108" s="182"/>
      <c r="AH108" s="182"/>
      <c r="AI108" s="182"/>
      <c r="AJ108" s="182"/>
      <c r="AK108" s="182"/>
      <c r="AL108" s="182"/>
      <c r="AM108" s="182"/>
      <c r="AN108" s="182"/>
      <c r="AO108" s="132"/>
      <c r="AP108" s="69" t="n">
        <f aca="false">TblProd[[#This Row],[Platinum]]</f>
        <v>1345712</v>
      </c>
      <c r="AQ108" s="69" t="n">
        <f aca="false">INDEX(TblProd[[#Headers],[Lumber]]:TblProd[[#This Row],[Ore]],COUNTA(TblProd[[#Headers],[Lumber]]:TblProd[[#This Row],[Lumber]]),MATCH(Military!$AQ$2,TblProd[[#Headers],[Lumber]:[Ore]],0))</f>
        <v>0</v>
      </c>
      <c r="AR10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69" t="n">
        <f aca="false">TblMili[[#This Row],[Train Unit 1]]*TblMili[[#This Row],[OP Ore]]+TblMili[[#This Row],[Train Unit 2]]*TblMili[[#This Row],[DP Ore]]+TblMili[[#This Row],[Train Unit 3]]*TblMili[[#This Row],[E1 Ore]]+TblMili[[#This Row],[Train Unit 4]]*TblMili[[#This Row],[E2 Ore]]</f>
        <v>0</v>
      </c>
      <c r="AT108" s="132" t="n">
        <f aca="false">TblMili[[#This Row],[Hour]]</f>
        <v>105</v>
      </c>
      <c r="AU108" s="144" t="n">
        <f aca="false">TblMili[[#This Row],[Time]]</f>
        <v>45434.0833333333</v>
      </c>
      <c r="AV108" s="69" t="n">
        <f aca="false">TblMili[[#This Row],[Draftees]]</f>
        <v>2455</v>
      </c>
      <c r="AW108" s="182"/>
      <c r="AX108" s="182"/>
      <c r="AY108" s="182"/>
      <c r="AZ108" s="182"/>
      <c r="BA108" s="182"/>
      <c r="BB108" s="182"/>
      <c r="BC108" s="182"/>
      <c r="BD108" s="182"/>
      <c r="BE108" s="182"/>
      <c r="BF108" s="132"/>
      <c r="BG108" s="150" t="n">
        <f aca="false">TblConstr[[#This Row],[Tot WG]]/TblConstr[[#This Row],[Land]]</f>
        <v>0</v>
      </c>
      <c r="BH108" s="150" t="n">
        <f aca="false">TblConstr[[#This Row],[Tot Hav]]/TblConstr[[#This Row],[Land]]</f>
        <v>0</v>
      </c>
      <c r="BI108" s="69" t="n">
        <f aca="false">ROUNDUP((1-MIN(TblMili[[#This Row],[Smithies]]*smithy_bonus,smithy_bonus_cap) + tech_3_5*TblTech[[#This Row],[3-5]] + tech_5_3*TblTech[[#This Row],[5-3]] + tech_5_5*TblTech[[#This Row],[5-5]])*spec_op_plat,0)</f>
        <v>192</v>
      </c>
      <c r="BJ108" s="69" t="n">
        <f aca="false">ROUNDUP(IF(race="Gnome",1,(1-MIN(TblMili[[#This Row],[Smithies]]*smithy_bonus,smithy_bonus_cap) + tech_3_5*TblTech[[#This Row],[3-5]] + tech_5_3*TblTech[[#This Row],[5-3]] + tech_5_5*TblTech[[#This Row],[5-5]]))*spec_op_ore,0)</f>
        <v>0</v>
      </c>
      <c r="BK108" s="69" t="n">
        <f aca="false">ROUNDUP((1-MIN(TblMili[[#This Row],[Smithies]]*smithy_bonus,smithy_bonus_cap) + tech_3_5*TblTech[[#This Row],[3-5]] + tech_5_3*TblTech[[#This Row],[5-3]] + tech_5_5*TblTech[[#This Row],[5-5]])*spec_dp_plat,0)</f>
        <v>192</v>
      </c>
      <c r="BL108" s="69" t="n">
        <f aca="false">ROUNDUP(IF(race="Gnome",1,(1-MIN(TblMili[[#This Row],[Smithies]]*smithy_bonus,smithy_bonus_cap) + tech_3_5*TblTech[[#This Row],[3-5]] + tech_5_3*TblTech[[#This Row],[5-3]] + tech_5_5*TblTech[[#This Row],[5-5]]))*spec_dp_ore,0)</f>
        <v>0</v>
      </c>
      <c r="BM108" s="69" t="n">
        <f aca="false">ROUNDUP((1-MIN(TblMili[[#This Row],[Smithies]]*smithy_bonus,smithy_bonus_cap) + tech_3_5*TblTech[[#This Row],[3-5]] + tech_5_3*TblTech[[#This Row],[5-3]] + tech_5_5*TblTech[[#This Row],[5-5]])*elite1_plat,0)</f>
        <v>592</v>
      </c>
      <c r="BN108" s="69" t="n">
        <f aca="false">ROUNDUP(IF(race="Gnome",1,(1-MIN(TblMili[[#This Row],[Smithies]]*smithy_bonus,smithy_bonus_cap) + tech_3_5*TblTech[[#This Row],[3-5]] + tech_5_3*TblTech[[#This Row],[5-3]] + tech_5_5*TblTech[[#This Row],[5-5]]))*elite1_ore,0)</f>
        <v>0</v>
      </c>
      <c r="BO108" s="69" t="n">
        <f aca="false">ROUNDUP((1-MIN(TblMili[[#This Row],[Smithies]]*smithy_bonus,smithy_bonus_cap) + tech_3_5*TblTech[[#This Row],[3-5]] + tech_5_3*TblTech[[#This Row],[5-3]] + tech_5_5*TblTech[[#This Row],[5-5]])*elite2_plat,0)</f>
        <v>608</v>
      </c>
      <c r="BP108" s="69" t="n">
        <f aca="false">ROUNDUP(IF(race="Gnome",1,(1-MIN(TblMili[[#This Row],[Smithies]]*smithy_bonus,smithy_bonus_cap) + tech_3_5*TblTech[[#This Row],[3-5]] + tech_5_3*TblTech[[#This Row],[5-3]] + tech_5_5*TblTech[[#This Row],[5-5]]))*elite2_ore,0)</f>
        <v>0</v>
      </c>
      <c r="BQ108" s="69" t="n">
        <f aca="false">ROUNDUP((1-MIN(ROUND(fh_spy_cost_red*TblMili[[#This Row],[FH''s]],4),fh_spy_cost_cap)+ tech_1_9*TblTech[[#This Row],[1-9]] + tech_9_1*TblTech[[#This Row],[9-1]])*spy_plat,0)</f>
        <v>500</v>
      </c>
      <c r="BR108" s="69" t="n">
        <f aca="false">ROUNDUP((1-MIN(ROUND(fh_spy_cost_red*TblMili[[#This Row],[FH''s]],4),fh_spy_cost_cap)+ tech_1_9*TblTech[[#This Row],[1-9]] + tech_9_1*TblTech[[#This Row],[9-1]])*archspy_plat,0)</f>
        <v>1000</v>
      </c>
      <c r="BS108" s="69" t="n">
        <f aca="false">ROUNDUP((1-MIN(ROUND(wg_wiz_cost_bonus*TblMili[[#This Row],[WG''s]],4),wg_wiz_cost_cap) + tech_1_9_2*TblTech[[#This Row],[1-9]] + tech_9_1_2*TblTech[[#This Row],[9-1]])*wizard_plat,0)</f>
        <v>500</v>
      </c>
      <c r="BT108" s="69" t="n">
        <f aca="false">ROUNDUP((1-MIN(ROUND(wg_wiz_cost_bonus*TblMili[[#This Row],[WG''s]],4),wg_wiz_cost_cap) + tech_1_9_2*TblTech[[#This Row],[1-9]] + tech_9_1_2*TblTech[[#This Row],[9-1]])*archmage_plat,0)</f>
        <v>1000</v>
      </c>
      <c r="BU108" s="132"/>
      <c r="BV108" s="150" t="e">
        <f aca="false">TblConstr[[#This Row],[Homeland]]/TblConstr[[#This Row],[Land]]</f>
        <v>#VALUE!</v>
      </c>
      <c r="BW108" s="150" t="n">
        <f aca="false">TblMili[[#This Row],[WG''s]]</f>
        <v>0</v>
      </c>
      <c r="BX108" s="288" t="e">
        <f aca="false">IF(mystic_cap="none",TblMili[[#This Row],[Hill]]/mystic_bonus,MIN(mystic_cap,TblMili[[#This Row],[Hill]]/mystic_bonus))</f>
        <v>#VALUE!</v>
      </c>
      <c r="BY108" s="288" t="e">
        <f aca="false">IF(druid_op_cap="none",TblMili[[#This Row],[Hill]]/druid_op_bonus,MIN(druid_op_cap,TblMili[[#This Row],[Hill]]/druid_op_bonus))</f>
        <v>#VALUE!</v>
      </c>
      <c r="BZ108" s="288" t="e">
        <f aca="false">IF(druid_dp_cap="none",TblMili[[#This Row],[Hill]]/druid_dp_bonus,MIN(druid_dp_cap,TblMili[[#This Row],[Hill]]/druid_dp_bonus))</f>
        <v>#VALUE!</v>
      </c>
      <c r="CA108" s="288" t="e">
        <f aca="false">MIN(dryad_cap,TblMili[[#This Row],[Hill]]/dryad_bonus)</f>
        <v>#VALUE!</v>
      </c>
      <c r="CB108" s="288" t="e">
        <f aca="false">MIN(rocka_cap,TblMili[[#This Row],[Hill]]/rocka_bonus)</f>
        <v>#VALUE!</v>
      </c>
      <c r="CC108" s="288" t="n">
        <f aca="false">MIN(adept_op_cap,TblMili[[#This Row],[WG]]/adept_op_bonus)</f>
        <v>0</v>
      </c>
      <c r="CD108" s="288" t="n">
        <f aca="false">MIN(adept_dp_cap,TblMili[[#This Row],[WG]]/adept_dp_bonus)</f>
        <v>0</v>
      </c>
      <c r="CE108" s="69" t="n">
        <f aca="false">MIN(TblMili[[#This Row],[Unit 3]],TblMili[[#This Row],[Unit 2]])*2</f>
        <v>1400</v>
      </c>
      <c r="CF108" s="69" t="n">
        <f aca="false">MIN(TblMili[[#This Row],[Unit 1]],TblMili[[#This Row],[Unit 4]])*2</f>
        <v>0</v>
      </c>
      <c r="CG108" s="288" t="e">
        <f aca="false">MIN(frost_mage_cap,TblMili[[#This Row],[Hill]]/frost_mage_bonus)</f>
        <v>#VALUE!</v>
      </c>
      <c r="CH108" s="151" t="n">
        <f aca="false">MIN(ice_elem_cap,TblMili[[#This Row],[Raw (2)]]*ice_elem_bonus)</f>
        <v>0.0357142857142857</v>
      </c>
      <c r="CI108" s="288" t="n">
        <f aca="false">MIN(bone_breaker_cap,250/bone_breaker_bonus)</f>
        <v>0.833333333333333</v>
      </c>
      <c r="CJ108" s="288" t="e">
        <f aca="false">MIN(nox_nightshade_cap,TblConstr[[#This Row],[Homeland]]/TblConstr[[#This Row],[Land]]/nox_nightshade_swamp_bonus)</f>
        <v>#VALUE!</v>
      </c>
      <c r="CK108" s="289"/>
      <c r="CL108" s="289"/>
      <c r="CM108" s="289"/>
      <c r="CN108" s="288" t="e">
        <f aca="false">MIN(6,TblMili[[#This Row],[Mystic]]+Races!$F$19)*1.8 +  IF(TblMili[[#This Row],[Mystic]]+Races!$F$19&gt;6,(TblMili[[#This Row],[Mystic]]+Races!$F$19-6)*0.2,0) - Races!$I$19</f>
        <v>#VALUE!</v>
      </c>
      <c r="CO108" s="288" t="e">
        <f aca="false">1.8 * MIN(MAX(TblMili[[#This Row],[Druid (op)]]+Races!$E$20,TblMili[[#This Row],[Druid (dp)]]+Races!$F$20),6)  +  0.45 * MIN(MIN(TblMili[[#This Row],[Druid (op)]]+Races!$E$20,TblMili[[#This Row],[Druid (dp)]]+Races!$F$20),6)  +  0.2 * ( MAX(TblMili[[#This Row],[Druid (op)]]+Races!$E$20-6,0) + MAX(TblMili[[#This Row],[Druid (dp)]]+Races!$F$20-6,0) )  -  Races!$I$20</f>
        <v>#VALUE!</v>
      </c>
      <c r="CP108" s="69" t="e">
        <f aca="false">TblMili[[#This Row],[Mystic bonus]]*TblMili[[#This Row],[Unit 3]]+TblMili[[#This Row],[Druid bonus]]*TblMili[[#This Row],[Unit 4]]</f>
        <v>#VALUE!</v>
      </c>
      <c r="CQ108" s="148" t="e">
        <f aca="false">MIN(6,TblMili[[#This Row],[Dryad]]+Races!$F$35)*1.8 +  IF(TblMili[[#This Row],[Dryad]]+Races!$F$35&gt;6,(TblMili[[#This Row],[Dryad]]+Races!$F$35-6)*0.2,0) - Races!$I$19</f>
        <v>#VALUE!</v>
      </c>
      <c r="CR108" s="69" t="e">
        <f aca="false">sylvan*(TblMili[[#This Row],[Mystic bonus]]*TblMili[[#This Row],[Unit 3]])</f>
        <v>#VALUE!</v>
      </c>
      <c r="CS108" s="148" t="e">
        <f aca="false">1.8 * MIN(MAX(Races!$E$27,TblMili[[#This Row],[Rockapult]]+Races!$F$27),6)  +  0.45 * MIN(MIN(Races!$E$27,TblMili[[#This Row],[Rockapult]]+Races!$F$27),6)  +  0.2 * ( MAX(Races!$E$27-6,0) + MAX(TblMili[[#This Row],[Rockapult]]+Races!$F$27-6,0) )  -  Races!$I$20</f>
        <v>#VALUE!</v>
      </c>
      <c r="CT108" s="69" t="e">
        <f aca="false">gnome*(TblMili[[#This Row],[Rockapult bonus]]*TblMili[[#This Row],[Unit 3]])</f>
        <v>#VALUE!</v>
      </c>
      <c r="CU108" s="148" t="n">
        <f aca="false">1.8 * MIN(MAX(TblMili[[#This Row],[Spellblade]]+Races!$E$47,TblMili[[#This Row],[Adept-DP]]+Races!$F$47),6)  +  0.45 * MIN(MIN(TblMili[[#This Row],[Spellblade]]+Races!$E$47,TblMili[[#This Row],[Adept-DP]]+Races!$F$47),6)  +  0.2 * ( MAX(TblMili[[#This Row],[Spellblade]]+Races!$E$47-6,0) + MAX(TblMili[[#This Row],[Adept-DP]]+Races!$F$47-6,0) )  -  Races!$I$47</f>
        <v>0</v>
      </c>
      <c r="CV108" s="69" t="n">
        <f aca="false">dark_elf*(TblMili[[#This Row],[Adept bonus]]*TblMili[[#This Row],[Unit 3]])</f>
        <v>0</v>
      </c>
      <c r="CW108" s="148" t="e">
        <f aca="false">1.8 * MIN(MAX(TblMili[[#This Row],[Frost Mage]]+Races!$F$71,Races!$E$71),6)  +  0.45 * MIN(MIN(TblMili[[#This Row],[Frost Mage]]+Races!$F$71,Races!$E$71),6)  +  0.2 * ( MAX(TblMili[[#This Row],[Frost Mage]]+Races!$F$71-6,0) + MAX(Races!$E$71-6,0) )  -  Races!$I$71</f>
        <v>#VALUE!</v>
      </c>
      <c r="CX108" s="148" t="n">
        <f aca="false">1.8 * MIN(MAX(TblMili[[#This Row],[Ice Elemental]]+Races!$E$71,Races!$F$71),6)  +  0.45 * MIN(MIN(TblMili[[#This Row],[Ice Elemental]]+Races!$E$71,Races!$F$71),6)  +  0.2 * ( MAX(TblMili[[#This Row],[Ice Elemental]]+Races!$E$71-6,0) + MAX(Races!$F$71-6,0) )  -  Races!$I$71</f>
        <v>0.064285714285715</v>
      </c>
      <c r="CY108" s="69" t="e">
        <f aca="false">TblMili[[#This Row],[Frost Mage bonus]]*TblMili[[#This Row],[Unit 3]]+TblMili[[#This Row],[Ice Elemental bonus]]*TblMili[[#This Row],[Unit 4]]</f>
        <v>#VALUE!</v>
      </c>
      <c r="CZ108" s="290"/>
      <c r="DA108" s="109" t="n">
        <f aca="false">MIN(SUM(TblConstr[[#This Row],[Plain]:[Water]])/TblMili[[#This Row],[Land]]/favorable_terrain_bonus/100,favorable_terrain_max)</f>
        <v>0</v>
      </c>
      <c r="DB108" s="290"/>
      <c r="DC10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8" s="132"/>
      <c r="DE108" s="291" t="n">
        <f aca="false">(TblMili[[#This Row],[Wizards]]+2*TblMili[[#This Row],[Archmages]])/TblConstr[[#This Row],[Land]]</f>
        <v>0.0357142857142857</v>
      </c>
      <c r="DF108" s="291" t="n">
        <f aca="false">TblMili[[#This Row],[Raw (2)]]*(1+race_wizard_strength+IF(TblMili[[#This Row],[Hour]]&gt;72,tech_magical_weaponry_wiz*TblTech[[#This Row],[3-5]],0))</f>
        <v>0.0357142857142857</v>
      </c>
    </row>
    <row r="109" customFormat="false" ht="12.75" hidden="false" customHeight="false" outlineLevel="0" collapsed="false">
      <c r="A109" s="128" t="n">
        <f aca="false">TblRezone[[#This Row],[Hour]]</f>
        <v>106</v>
      </c>
      <c r="B109" s="282" t="n">
        <f aca="false">SUM(TblMili[[#This Row],[Unit 1]:[Archmages]])+SUM(OFFSET(TblMili[[#This Row],[Train Unit 1]],-8,0):TblMili[[#This Row],[Train Unit 2]]) + SUM(OFFSET(TblMili[[#This Row],[Train Unit 3]],-11,0):TblMili[[#This Row],[Train AM]]) + TblMili[[#This Row],[Draftees]]</f>
        <v>5752</v>
      </c>
      <c r="C109" s="150" t="n">
        <f aca="false">TblPop[[#This Row],[Military%]]</f>
        <v>0.444547492078213</v>
      </c>
      <c r="D109" s="132"/>
      <c r="E109" s="151" t="n">
        <f aca="false">OFFSET(TblMili[[#This Row],[Unit 1]],-1,0) + OFFSET(TblMili[[#This Row],[Train Unit 1]],-9,0) - TblMili[[#This Row],[Release Unit 1]]</f>
        <v>0</v>
      </c>
      <c r="F109" s="151" t="n">
        <f aca="false">OFFSET(TblMili[[#This Row],[Unit 2]],-1,0) + OFFSET(TblMili[[#This Row],[Train Unit 2]],-9,0)-TblMili[[#This Row],[Release Unit 2]]</f>
        <v>1246</v>
      </c>
      <c r="G109" s="151" t="n">
        <f aca="false">OFFSET(TblMili[[#This Row],[Unit 3]],-1,0) + OFFSET(TblMili[[#This Row],[Train Unit 3]],-12,0)-TblMili[[#This Row],[Release Unit 3]]</f>
        <v>700</v>
      </c>
      <c r="H109" s="151" t="n">
        <f aca="false">OFFSET(TblMili[[#This Row],[Unit 4]],-1,0) + OFFSET(TblMili[[#This Row],[Train Unit 4]],-12,0)-TblMili[[#This Row],[Release Unit 4]]</f>
        <v>1228</v>
      </c>
      <c r="I109" s="151" t="n">
        <f aca="false">OFFSET(TblMili[[#This Row],[Spies]],-1,0) + OFFSET(TblMili[[#This Row],[Train Spies]],-12,0) - TblMili[[#This Row],[Release Spies]]-TblMili[[#This Row],[Train AS]]</f>
        <v>25</v>
      </c>
      <c r="J109" s="151" t="n">
        <f aca="false">OFFSET(TblMili[[#This Row],[Archspies]],-1,0) + OFFSET(TblMili[[#This Row],[Train AS]],-12,0) - TblMili[[#This Row],[Release AS]]</f>
        <v>0</v>
      </c>
      <c r="K109" s="151" t="n">
        <f aca="false">OFFSET(TblMili[[#This Row],[Wizards]],-1,0) + OFFSET(TblMili[[#This Row],[Train Wiz]],-12,0) - TblMili[[#This Row],[Release Wizards]]-TblMili[[#This Row],[Train AM]]</f>
        <v>25</v>
      </c>
      <c r="L109" s="151" t="n">
        <f aca="false">OFFSET(TblMili[[#This Row],[Archmages]],-1,0) + OFFSET(TblMili[[#This Row],[Train AM]],-12,0) - TblMili[[#This Row],[Release AM]]</f>
        <v>0</v>
      </c>
      <c r="M109" s="132"/>
      <c r="N109" s="69" t="e">
        <f aca="false">TblProd[[#This Row],[Networth]]</f>
        <v>#VALUE!</v>
      </c>
      <c r="O109" s="132"/>
      <c r="P10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9" s="285" t="e">
        <f aca="false">TblMili[[#This Row],[Raw]]*(1+TblMili[[#This Row],[Mods_Off]])</f>
        <v>#VALUE!</v>
      </c>
      <c r="S10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9" s="285" t="e">
        <f aca="false">TblMili[[#This Row],[Non Draft]]+TblMili[[#This Row],[Draftees]]</f>
        <v>#VALUE!</v>
      </c>
      <c r="U109" s="286" t="n">
        <f aca="false">race_defense + TblImps[[#This Row],[Walls]] + ROUND( MIN(gt_bonus*TblConstr[[#This Row],[Tot GT]]/TblConstr[[#This Row],[Land]],gt_bonus_cap), 4) + IF(TblMagic[[#This Row],[Active Howling]]&gt;0,howling_dp_bonus,IF(TblMagic[[#This Row],[Active Ares Call]]&gt;0,ares_call_bonus))</f>
        <v>0.2375</v>
      </c>
      <c r="V109" s="274" t="e">
        <f aca="false">TblMili[[#This Row],[Non Draft]] * (1 + TblMili[[#This Row],[Mods_Def]])</f>
        <v>#VALUE!</v>
      </c>
      <c r="W109" s="285" t="e">
        <f aca="false">TblMili[[#This Row],[Draft]] * (1 + TblMili[[#This Row],[Mods_Def]])</f>
        <v>#VALUE!</v>
      </c>
      <c r="X109" s="285" t="n">
        <f aca="false">TblConstr[[#This Row],[Land]]</f>
        <v>700</v>
      </c>
      <c r="Y109" s="287"/>
      <c r="Z109" s="109" t="n">
        <f aca="false">IF(TblMili[[#This Row],[Set]]&lt;&gt;"",TblMili[[#This Row],[Set]],OFFSET(TblMili[[#This Row],[Draftrate]],-1,0))</f>
        <v>0.9</v>
      </c>
      <c r="AA109" s="69" t="n">
        <f aca="false">OFFSET(TblMili[[#This Row],[Draftees]],-1,0)+OFFSET(TblPop[[#This Row],[Draft Growth]],-1,0) - SUM(TblMili[[#This Row],[Train Unit 1]:[Train Spies]],TblMili[[#This Row],[Train Wiz]]) - TblMili[[#This Row],[Release Draft]] + SUM(TblMili[[#This Row],[Release Unit 1]:[Release AM]]) - TblExplore[[#This Row],[Draftees (2)]]</f>
        <v>2528</v>
      </c>
      <c r="AB109" s="146"/>
      <c r="AC109" s="130" t="n">
        <f aca="false">(TblConstr[[#This Row],[Tot Smi]]+TblConstr[[#This Row],[Dest Smi]])/(TblConstr[[#This Row],[Land]]-TblExplore[[#This Row],[Land Bonus]]*20)</f>
        <v>0.18</v>
      </c>
      <c r="AD109" s="128"/>
      <c r="AE109" s="282" t="n">
        <f aca="false">TblMili[[#This Row],[Hour]]</f>
        <v>106</v>
      </c>
      <c r="AF109" s="129" t="n">
        <f aca="false">TblExplore[[#This Row],[Time]]</f>
        <v>45434.125</v>
      </c>
      <c r="AG109" s="182"/>
      <c r="AH109" s="182"/>
      <c r="AI109" s="182"/>
      <c r="AJ109" s="182"/>
      <c r="AK109" s="182"/>
      <c r="AL109" s="182"/>
      <c r="AM109" s="182"/>
      <c r="AN109" s="182"/>
      <c r="AO109" s="132"/>
      <c r="AP109" s="69" t="n">
        <f aca="false">TblProd[[#This Row],[Platinum]]</f>
        <v>1384819</v>
      </c>
      <c r="AQ109" s="69" t="n">
        <f aca="false">INDEX(TblProd[[#Headers],[Lumber]]:TblProd[[#This Row],[Ore]],COUNTA(TblProd[[#Headers],[Lumber]]:TblProd[[#This Row],[Lumber]]),MATCH(Military!$AQ$2,TblProd[[#Headers],[Lumber]:[Ore]],0))</f>
        <v>0</v>
      </c>
      <c r="AR10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69" t="n">
        <f aca="false">TblMili[[#This Row],[Train Unit 1]]*TblMili[[#This Row],[OP Ore]]+TblMili[[#This Row],[Train Unit 2]]*TblMili[[#This Row],[DP Ore]]+TblMili[[#This Row],[Train Unit 3]]*TblMili[[#This Row],[E1 Ore]]+TblMili[[#This Row],[Train Unit 4]]*TblMili[[#This Row],[E2 Ore]]</f>
        <v>0</v>
      </c>
      <c r="AT109" s="132" t="n">
        <f aca="false">TblMili[[#This Row],[Hour]]</f>
        <v>106</v>
      </c>
      <c r="AU109" s="144" t="n">
        <f aca="false">TblMili[[#This Row],[Time]]</f>
        <v>45434.125</v>
      </c>
      <c r="AV109" s="69" t="n">
        <f aca="false">TblMili[[#This Row],[Draftees]]</f>
        <v>2528</v>
      </c>
      <c r="AW109" s="182"/>
      <c r="AX109" s="182"/>
      <c r="AY109" s="182"/>
      <c r="AZ109" s="182"/>
      <c r="BA109" s="182"/>
      <c r="BB109" s="182"/>
      <c r="BC109" s="182"/>
      <c r="BD109" s="182"/>
      <c r="BE109" s="182"/>
      <c r="BF109" s="132"/>
      <c r="BG109" s="150" t="n">
        <f aca="false">TblConstr[[#This Row],[Tot WG]]/TblConstr[[#This Row],[Land]]</f>
        <v>0</v>
      </c>
      <c r="BH109" s="150" t="n">
        <f aca="false">TblConstr[[#This Row],[Tot Hav]]/TblConstr[[#This Row],[Land]]</f>
        <v>0</v>
      </c>
      <c r="BI109" s="69" t="n">
        <f aca="false">ROUNDUP((1-MIN(TblMili[[#This Row],[Smithies]]*smithy_bonus,smithy_bonus_cap) + tech_3_5*TblTech[[#This Row],[3-5]] + tech_5_3*TblTech[[#This Row],[5-3]] + tech_5_5*TblTech[[#This Row],[5-5]])*spec_op_plat,0)</f>
        <v>192</v>
      </c>
      <c r="BJ109" s="69" t="n">
        <f aca="false">ROUNDUP(IF(race="Gnome",1,(1-MIN(TblMili[[#This Row],[Smithies]]*smithy_bonus,smithy_bonus_cap) + tech_3_5*TblTech[[#This Row],[3-5]] + tech_5_3*TblTech[[#This Row],[5-3]] + tech_5_5*TblTech[[#This Row],[5-5]]))*spec_op_ore,0)</f>
        <v>0</v>
      </c>
      <c r="BK109" s="69" t="n">
        <f aca="false">ROUNDUP((1-MIN(TblMili[[#This Row],[Smithies]]*smithy_bonus,smithy_bonus_cap) + tech_3_5*TblTech[[#This Row],[3-5]] + tech_5_3*TblTech[[#This Row],[5-3]] + tech_5_5*TblTech[[#This Row],[5-5]])*spec_dp_plat,0)</f>
        <v>192</v>
      </c>
      <c r="BL109" s="69" t="n">
        <f aca="false">ROUNDUP(IF(race="Gnome",1,(1-MIN(TblMili[[#This Row],[Smithies]]*smithy_bonus,smithy_bonus_cap) + tech_3_5*TblTech[[#This Row],[3-5]] + tech_5_3*TblTech[[#This Row],[5-3]] + tech_5_5*TblTech[[#This Row],[5-5]]))*spec_dp_ore,0)</f>
        <v>0</v>
      </c>
      <c r="BM109" s="69" t="n">
        <f aca="false">ROUNDUP((1-MIN(TblMili[[#This Row],[Smithies]]*smithy_bonus,smithy_bonus_cap) + tech_3_5*TblTech[[#This Row],[3-5]] + tech_5_3*TblTech[[#This Row],[5-3]] + tech_5_5*TblTech[[#This Row],[5-5]])*elite1_plat,0)</f>
        <v>592</v>
      </c>
      <c r="BN109" s="69" t="n">
        <f aca="false">ROUNDUP(IF(race="Gnome",1,(1-MIN(TblMili[[#This Row],[Smithies]]*smithy_bonus,smithy_bonus_cap) + tech_3_5*TblTech[[#This Row],[3-5]] + tech_5_3*TblTech[[#This Row],[5-3]] + tech_5_5*TblTech[[#This Row],[5-5]]))*elite1_ore,0)</f>
        <v>0</v>
      </c>
      <c r="BO109" s="69" t="n">
        <f aca="false">ROUNDUP((1-MIN(TblMili[[#This Row],[Smithies]]*smithy_bonus,smithy_bonus_cap) + tech_3_5*TblTech[[#This Row],[3-5]] + tech_5_3*TblTech[[#This Row],[5-3]] + tech_5_5*TblTech[[#This Row],[5-5]])*elite2_plat,0)</f>
        <v>608</v>
      </c>
      <c r="BP109" s="69" t="n">
        <f aca="false">ROUNDUP(IF(race="Gnome",1,(1-MIN(TblMili[[#This Row],[Smithies]]*smithy_bonus,smithy_bonus_cap) + tech_3_5*TblTech[[#This Row],[3-5]] + tech_5_3*TblTech[[#This Row],[5-3]] + tech_5_5*TblTech[[#This Row],[5-5]]))*elite2_ore,0)</f>
        <v>0</v>
      </c>
      <c r="BQ109" s="69" t="n">
        <f aca="false">ROUNDUP((1-MIN(ROUND(fh_spy_cost_red*TblMili[[#This Row],[FH''s]],4),fh_spy_cost_cap)+ tech_1_9*TblTech[[#This Row],[1-9]] + tech_9_1*TblTech[[#This Row],[9-1]])*spy_plat,0)</f>
        <v>500</v>
      </c>
      <c r="BR109" s="69" t="n">
        <f aca="false">ROUNDUP((1-MIN(ROUND(fh_spy_cost_red*TblMili[[#This Row],[FH''s]],4),fh_spy_cost_cap)+ tech_1_9*TblTech[[#This Row],[1-9]] + tech_9_1*TblTech[[#This Row],[9-1]])*archspy_plat,0)</f>
        <v>1000</v>
      </c>
      <c r="BS109" s="69" t="n">
        <f aca="false">ROUNDUP((1-MIN(ROUND(wg_wiz_cost_bonus*TblMili[[#This Row],[WG''s]],4),wg_wiz_cost_cap) + tech_1_9_2*TblTech[[#This Row],[1-9]] + tech_9_1_2*TblTech[[#This Row],[9-1]])*wizard_plat,0)</f>
        <v>500</v>
      </c>
      <c r="BT109" s="69" t="n">
        <f aca="false">ROUNDUP((1-MIN(ROUND(wg_wiz_cost_bonus*TblMili[[#This Row],[WG''s]],4),wg_wiz_cost_cap) + tech_1_9_2*TblTech[[#This Row],[1-9]] + tech_9_1_2*TblTech[[#This Row],[9-1]])*archmage_plat,0)</f>
        <v>1000</v>
      </c>
      <c r="BU109" s="132"/>
      <c r="BV109" s="150" t="e">
        <f aca="false">TblConstr[[#This Row],[Homeland]]/TblConstr[[#This Row],[Land]]</f>
        <v>#VALUE!</v>
      </c>
      <c r="BW109" s="150" t="n">
        <f aca="false">TblMili[[#This Row],[WG''s]]</f>
        <v>0</v>
      </c>
      <c r="BX109" s="288" t="e">
        <f aca="false">IF(mystic_cap="none",TblMili[[#This Row],[Hill]]/mystic_bonus,MIN(mystic_cap,TblMili[[#This Row],[Hill]]/mystic_bonus))</f>
        <v>#VALUE!</v>
      </c>
      <c r="BY109" s="288" t="e">
        <f aca="false">IF(druid_op_cap="none",TblMili[[#This Row],[Hill]]/druid_op_bonus,MIN(druid_op_cap,TblMili[[#This Row],[Hill]]/druid_op_bonus))</f>
        <v>#VALUE!</v>
      </c>
      <c r="BZ109" s="288" t="e">
        <f aca="false">IF(druid_dp_cap="none",TblMili[[#This Row],[Hill]]/druid_dp_bonus,MIN(druid_dp_cap,TblMili[[#This Row],[Hill]]/druid_dp_bonus))</f>
        <v>#VALUE!</v>
      </c>
      <c r="CA109" s="288" t="e">
        <f aca="false">MIN(dryad_cap,TblMili[[#This Row],[Hill]]/dryad_bonus)</f>
        <v>#VALUE!</v>
      </c>
      <c r="CB109" s="288" t="e">
        <f aca="false">MIN(rocka_cap,TblMili[[#This Row],[Hill]]/rocka_bonus)</f>
        <v>#VALUE!</v>
      </c>
      <c r="CC109" s="288" t="n">
        <f aca="false">MIN(adept_op_cap,TblMili[[#This Row],[WG]]/adept_op_bonus)</f>
        <v>0</v>
      </c>
      <c r="CD109" s="288" t="n">
        <f aca="false">MIN(adept_dp_cap,TblMili[[#This Row],[WG]]/adept_dp_bonus)</f>
        <v>0</v>
      </c>
      <c r="CE109" s="69" t="n">
        <f aca="false">MIN(TblMili[[#This Row],[Unit 3]],TblMili[[#This Row],[Unit 2]])*2</f>
        <v>1400</v>
      </c>
      <c r="CF109" s="69" t="n">
        <f aca="false">MIN(TblMili[[#This Row],[Unit 1]],TblMili[[#This Row],[Unit 4]])*2</f>
        <v>0</v>
      </c>
      <c r="CG109" s="288" t="e">
        <f aca="false">MIN(frost_mage_cap,TblMili[[#This Row],[Hill]]/frost_mage_bonus)</f>
        <v>#VALUE!</v>
      </c>
      <c r="CH109" s="151" t="n">
        <f aca="false">MIN(ice_elem_cap,TblMili[[#This Row],[Raw (2)]]*ice_elem_bonus)</f>
        <v>0.0357142857142857</v>
      </c>
      <c r="CI109" s="288" t="n">
        <f aca="false">MIN(bone_breaker_cap,250/bone_breaker_bonus)</f>
        <v>0.833333333333333</v>
      </c>
      <c r="CJ109" s="288" t="e">
        <f aca="false">MIN(nox_nightshade_cap,TblConstr[[#This Row],[Homeland]]/TblConstr[[#This Row],[Land]]/nox_nightshade_swamp_bonus)</f>
        <v>#VALUE!</v>
      </c>
      <c r="CK109" s="289"/>
      <c r="CL109" s="289"/>
      <c r="CM109" s="289"/>
      <c r="CN109" s="288" t="e">
        <f aca="false">MIN(6,TblMili[[#This Row],[Mystic]]+Races!$F$19)*1.8 +  IF(TblMili[[#This Row],[Mystic]]+Races!$F$19&gt;6,(TblMili[[#This Row],[Mystic]]+Races!$F$19-6)*0.2,0) - Races!$I$19</f>
        <v>#VALUE!</v>
      </c>
      <c r="CO109" s="288" t="e">
        <f aca="false">1.8 * MIN(MAX(TblMili[[#This Row],[Druid (op)]]+Races!$E$20,TblMili[[#This Row],[Druid (dp)]]+Races!$F$20),6)  +  0.45 * MIN(MIN(TblMili[[#This Row],[Druid (op)]]+Races!$E$20,TblMili[[#This Row],[Druid (dp)]]+Races!$F$20),6)  +  0.2 * ( MAX(TblMili[[#This Row],[Druid (op)]]+Races!$E$20-6,0) + MAX(TblMili[[#This Row],[Druid (dp)]]+Races!$F$20-6,0) )  -  Races!$I$20</f>
        <v>#VALUE!</v>
      </c>
      <c r="CP109" s="69" t="e">
        <f aca="false">TblMili[[#This Row],[Mystic bonus]]*TblMili[[#This Row],[Unit 3]]+TblMili[[#This Row],[Druid bonus]]*TblMili[[#This Row],[Unit 4]]</f>
        <v>#VALUE!</v>
      </c>
      <c r="CQ109" s="148" t="e">
        <f aca="false">MIN(6,TblMili[[#This Row],[Dryad]]+Races!$F$35)*1.8 +  IF(TblMili[[#This Row],[Dryad]]+Races!$F$35&gt;6,(TblMili[[#This Row],[Dryad]]+Races!$F$35-6)*0.2,0) - Races!$I$19</f>
        <v>#VALUE!</v>
      </c>
      <c r="CR109" s="69" t="e">
        <f aca="false">sylvan*(TblMili[[#This Row],[Mystic bonus]]*TblMili[[#This Row],[Unit 3]])</f>
        <v>#VALUE!</v>
      </c>
      <c r="CS109" s="148" t="e">
        <f aca="false">1.8 * MIN(MAX(Races!$E$27,TblMili[[#This Row],[Rockapult]]+Races!$F$27),6)  +  0.45 * MIN(MIN(Races!$E$27,TblMili[[#This Row],[Rockapult]]+Races!$F$27),6)  +  0.2 * ( MAX(Races!$E$27-6,0) + MAX(TblMili[[#This Row],[Rockapult]]+Races!$F$27-6,0) )  -  Races!$I$20</f>
        <v>#VALUE!</v>
      </c>
      <c r="CT109" s="69" t="e">
        <f aca="false">gnome*(TblMili[[#This Row],[Rockapult bonus]]*TblMili[[#This Row],[Unit 3]])</f>
        <v>#VALUE!</v>
      </c>
      <c r="CU109" s="148" t="n">
        <f aca="false">1.8 * MIN(MAX(TblMili[[#This Row],[Spellblade]]+Races!$E$47,TblMili[[#This Row],[Adept-DP]]+Races!$F$47),6)  +  0.45 * MIN(MIN(TblMili[[#This Row],[Spellblade]]+Races!$E$47,TblMili[[#This Row],[Adept-DP]]+Races!$F$47),6)  +  0.2 * ( MAX(TblMili[[#This Row],[Spellblade]]+Races!$E$47-6,0) + MAX(TblMili[[#This Row],[Adept-DP]]+Races!$F$47-6,0) )  -  Races!$I$47</f>
        <v>0</v>
      </c>
      <c r="CV109" s="69" t="n">
        <f aca="false">dark_elf*(TblMili[[#This Row],[Adept bonus]]*TblMili[[#This Row],[Unit 3]])</f>
        <v>0</v>
      </c>
      <c r="CW109" s="148" t="e">
        <f aca="false">1.8 * MIN(MAX(TblMili[[#This Row],[Frost Mage]]+Races!$F$71,Races!$E$71),6)  +  0.45 * MIN(MIN(TblMili[[#This Row],[Frost Mage]]+Races!$F$71,Races!$E$71),6)  +  0.2 * ( MAX(TblMili[[#This Row],[Frost Mage]]+Races!$F$71-6,0) + MAX(Races!$E$71-6,0) )  -  Races!$I$71</f>
        <v>#VALUE!</v>
      </c>
      <c r="CX109" s="148" t="n">
        <f aca="false">1.8 * MIN(MAX(TblMili[[#This Row],[Ice Elemental]]+Races!$E$71,Races!$F$71),6)  +  0.45 * MIN(MIN(TblMili[[#This Row],[Ice Elemental]]+Races!$E$71,Races!$F$71),6)  +  0.2 * ( MAX(TblMili[[#This Row],[Ice Elemental]]+Races!$E$71-6,0) + MAX(Races!$F$71-6,0) )  -  Races!$I$71</f>
        <v>0.064285714285715</v>
      </c>
      <c r="CY109" s="69" t="e">
        <f aca="false">TblMili[[#This Row],[Frost Mage bonus]]*TblMili[[#This Row],[Unit 3]]+TblMili[[#This Row],[Ice Elemental bonus]]*TblMili[[#This Row],[Unit 4]]</f>
        <v>#VALUE!</v>
      </c>
      <c r="CZ109" s="290"/>
      <c r="DA109" s="109" t="n">
        <f aca="false">MIN(SUM(TblConstr[[#This Row],[Plain]:[Water]])/TblMili[[#This Row],[Land]]/favorable_terrain_bonus/100,favorable_terrain_max)</f>
        <v>0</v>
      </c>
      <c r="DB109" s="290"/>
      <c r="DC10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9" s="132"/>
      <c r="DE109" s="291" t="n">
        <f aca="false">(TblMili[[#This Row],[Wizards]]+2*TblMili[[#This Row],[Archmages]])/TblConstr[[#This Row],[Land]]</f>
        <v>0.0357142857142857</v>
      </c>
      <c r="DF109" s="291" t="n">
        <f aca="false">TblMili[[#This Row],[Raw (2)]]*(1+race_wizard_strength+IF(TblMili[[#This Row],[Hour]]&gt;72,tech_magical_weaponry_wiz*TblTech[[#This Row],[3-5]],0))</f>
        <v>0.0357142857142857</v>
      </c>
    </row>
    <row r="110" customFormat="false" ht="12.75" hidden="false" customHeight="false" outlineLevel="0" collapsed="false">
      <c r="A110" s="128" t="n">
        <f aca="false">TblRezone[[#This Row],[Hour]]</f>
        <v>107</v>
      </c>
      <c r="B110" s="282" t="n">
        <f aca="false">SUM(TblMili[[#This Row],[Unit 1]:[Archmages]])+SUM(OFFSET(TblMili[[#This Row],[Train Unit 1]],-8,0):TblMili[[#This Row],[Train Unit 2]]) + SUM(OFFSET(TblMili[[#This Row],[Train Unit 3]],-11,0):TblMili[[#This Row],[Train AM]]) + TblMili[[#This Row],[Draftees]]</f>
        <v>5824</v>
      </c>
      <c r="C110" s="150" t="n">
        <f aca="false">TblPop[[#This Row],[Military%]]</f>
        <v>0.450112064301723</v>
      </c>
      <c r="D110" s="132"/>
      <c r="E110" s="151" t="n">
        <f aca="false">OFFSET(TblMili[[#This Row],[Unit 1]],-1,0) + OFFSET(TblMili[[#This Row],[Train Unit 1]],-9,0) - TblMili[[#This Row],[Release Unit 1]]</f>
        <v>0</v>
      </c>
      <c r="F110" s="151" t="n">
        <f aca="false">OFFSET(TblMili[[#This Row],[Unit 2]],-1,0) + OFFSET(TblMili[[#This Row],[Train Unit 2]],-9,0)-TblMili[[#This Row],[Release Unit 2]]</f>
        <v>1246</v>
      </c>
      <c r="G110" s="151" t="n">
        <f aca="false">OFFSET(TblMili[[#This Row],[Unit 3]],-1,0) + OFFSET(TblMili[[#This Row],[Train Unit 3]],-12,0)-TblMili[[#This Row],[Release Unit 3]]</f>
        <v>700</v>
      </c>
      <c r="H110" s="151" t="n">
        <f aca="false">OFFSET(TblMili[[#This Row],[Unit 4]],-1,0) + OFFSET(TblMili[[#This Row],[Train Unit 4]],-12,0)-TblMili[[#This Row],[Release Unit 4]]</f>
        <v>1228</v>
      </c>
      <c r="I110" s="151" t="n">
        <f aca="false">OFFSET(TblMili[[#This Row],[Spies]],-1,0) + OFFSET(TblMili[[#This Row],[Train Spies]],-12,0) - TblMili[[#This Row],[Release Spies]]-TblMili[[#This Row],[Train AS]]</f>
        <v>25</v>
      </c>
      <c r="J110" s="151" t="n">
        <f aca="false">OFFSET(TblMili[[#This Row],[Archspies]],-1,0) + OFFSET(TblMili[[#This Row],[Train AS]],-12,0) - TblMili[[#This Row],[Release AS]]</f>
        <v>0</v>
      </c>
      <c r="K110" s="151" t="n">
        <f aca="false">OFFSET(TblMili[[#This Row],[Wizards]],-1,0) + OFFSET(TblMili[[#This Row],[Train Wiz]],-12,0) - TblMili[[#This Row],[Release Wizards]]-TblMili[[#This Row],[Train AM]]</f>
        <v>25</v>
      </c>
      <c r="L110" s="151" t="n">
        <f aca="false">OFFSET(TblMili[[#This Row],[Archmages]],-1,0) + OFFSET(TblMili[[#This Row],[Train AM]],-12,0) - TblMili[[#This Row],[Release AM]]</f>
        <v>0</v>
      </c>
      <c r="M110" s="132"/>
      <c r="N110" s="69" t="e">
        <f aca="false">TblProd[[#This Row],[Networth]]</f>
        <v>#VALUE!</v>
      </c>
      <c r="O110" s="132"/>
      <c r="P11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0" s="285" t="e">
        <f aca="false">TblMili[[#This Row],[Raw]]*(1+TblMili[[#This Row],[Mods_Off]])</f>
        <v>#VALUE!</v>
      </c>
      <c r="S11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0" s="285" t="e">
        <f aca="false">TblMili[[#This Row],[Non Draft]]+TblMili[[#This Row],[Draftees]]</f>
        <v>#VALUE!</v>
      </c>
      <c r="U110" s="286" t="n">
        <f aca="false">race_defense + TblImps[[#This Row],[Walls]] + ROUND( MIN(gt_bonus*TblConstr[[#This Row],[Tot GT]]/TblConstr[[#This Row],[Land]],gt_bonus_cap), 4) + IF(TblMagic[[#This Row],[Active Howling]]&gt;0,howling_dp_bonus,IF(TblMagic[[#This Row],[Active Ares Call]]&gt;0,ares_call_bonus))</f>
        <v>0.2375</v>
      </c>
      <c r="V110" s="274" t="e">
        <f aca="false">TblMili[[#This Row],[Non Draft]] * (1 + TblMili[[#This Row],[Mods_Def]])</f>
        <v>#VALUE!</v>
      </c>
      <c r="W110" s="285" t="e">
        <f aca="false">TblMili[[#This Row],[Draft]] * (1 + TblMili[[#This Row],[Mods_Def]])</f>
        <v>#VALUE!</v>
      </c>
      <c r="X110" s="285" t="n">
        <f aca="false">TblConstr[[#This Row],[Land]]</f>
        <v>700</v>
      </c>
      <c r="Y110" s="287"/>
      <c r="Z110" s="109" t="n">
        <f aca="false">IF(TblMili[[#This Row],[Set]]&lt;&gt;"",TblMili[[#This Row],[Set]],OFFSET(TblMili[[#This Row],[Draftrate]],-1,0))</f>
        <v>0.9</v>
      </c>
      <c r="AA110" s="69" t="n">
        <f aca="false">OFFSET(TblMili[[#This Row],[Draftees]],-1,0)+OFFSET(TblPop[[#This Row],[Draft Growth]],-1,0) - SUM(TblMili[[#This Row],[Train Unit 1]:[Train Spies]],TblMili[[#This Row],[Train Wiz]]) - TblMili[[#This Row],[Release Draft]] + SUM(TblMili[[#This Row],[Release Unit 1]:[Release AM]]) - TblExplore[[#This Row],[Draftees (2)]]</f>
        <v>2600</v>
      </c>
      <c r="AB110" s="146"/>
      <c r="AC110" s="130" t="n">
        <f aca="false">(TblConstr[[#This Row],[Tot Smi]]+TblConstr[[#This Row],[Dest Smi]])/(TblConstr[[#This Row],[Land]]-TblExplore[[#This Row],[Land Bonus]]*20)</f>
        <v>0.18</v>
      </c>
      <c r="AD110" s="128"/>
      <c r="AE110" s="282" t="n">
        <f aca="false">TblMili[[#This Row],[Hour]]</f>
        <v>107</v>
      </c>
      <c r="AF110" s="129" t="n">
        <f aca="false">TblExplore[[#This Row],[Time]]</f>
        <v>45434.1666666667</v>
      </c>
      <c r="AG110" s="182"/>
      <c r="AH110" s="182"/>
      <c r="AI110" s="182"/>
      <c r="AJ110" s="182"/>
      <c r="AK110" s="182"/>
      <c r="AL110" s="182"/>
      <c r="AM110" s="182"/>
      <c r="AN110" s="182"/>
      <c r="AO110" s="132"/>
      <c r="AP110" s="69" t="n">
        <f aca="false">TblProd[[#This Row],[Platinum]]</f>
        <v>1423709</v>
      </c>
      <c r="AQ110" s="69" t="n">
        <f aca="false">INDEX(TblProd[[#Headers],[Lumber]]:TblProd[[#This Row],[Ore]],COUNTA(TblProd[[#Headers],[Lumber]]:TblProd[[#This Row],[Lumber]]),MATCH(Military!$AQ$2,TblProd[[#Headers],[Lumber]:[Ore]],0))</f>
        <v>0</v>
      </c>
      <c r="AR11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69" t="n">
        <f aca="false">TblMili[[#This Row],[Train Unit 1]]*TblMili[[#This Row],[OP Ore]]+TblMili[[#This Row],[Train Unit 2]]*TblMili[[#This Row],[DP Ore]]+TblMili[[#This Row],[Train Unit 3]]*TblMili[[#This Row],[E1 Ore]]+TblMili[[#This Row],[Train Unit 4]]*TblMili[[#This Row],[E2 Ore]]</f>
        <v>0</v>
      </c>
      <c r="AT110" s="132" t="n">
        <f aca="false">TblMili[[#This Row],[Hour]]</f>
        <v>107</v>
      </c>
      <c r="AU110" s="144" t="n">
        <f aca="false">TblMili[[#This Row],[Time]]</f>
        <v>45434.1666666667</v>
      </c>
      <c r="AV110" s="69" t="n">
        <f aca="false">TblMili[[#This Row],[Draftees]]</f>
        <v>2600</v>
      </c>
      <c r="AW110" s="182"/>
      <c r="AX110" s="182"/>
      <c r="AY110" s="182"/>
      <c r="AZ110" s="182"/>
      <c r="BA110" s="182"/>
      <c r="BB110" s="182"/>
      <c r="BC110" s="182"/>
      <c r="BD110" s="182"/>
      <c r="BE110" s="182"/>
      <c r="BF110" s="132"/>
      <c r="BG110" s="150" t="n">
        <f aca="false">TblConstr[[#This Row],[Tot WG]]/TblConstr[[#This Row],[Land]]</f>
        <v>0</v>
      </c>
      <c r="BH110" s="150" t="n">
        <f aca="false">TblConstr[[#This Row],[Tot Hav]]/TblConstr[[#This Row],[Land]]</f>
        <v>0</v>
      </c>
      <c r="BI110" s="69" t="n">
        <f aca="false">ROUNDUP((1-MIN(TblMili[[#This Row],[Smithies]]*smithy_bonus,smithy_bonus_cap) + tech_3_5*TblTech[[#This Row],[3-5]] + tech_5_3*TblTech[[#This Row],[5-3]] + tech_5_5*TblTech[[#This Row],[5-5]])*spec_op_plat,0)</f>
        <v>192</v>
      </c>
      <c r="BJ110" s="69" t="n">
        <f aca="false">ROUNDUP(IF(race="Gnome",1,(1-MIN(TblMili[[#This Row],[Smithies]]*smithy_bonus,smithy_bonus_cap) + tech_3_5*TblTech[[#This Row],[3-5]] + tech_5_3*TblTech[[#This Row],[5-3]] + tech_5_5*TblTech[[#This Row],[5-5]]))*spec_op_ore,0)</f>
        <v>0</v>
      </c>
      <c r="BK110" s="69" t="n">
        <f aca="false">ROUNDUP((1-MIN(TblMili[[#This Row],[Smithies]]*smithy_bonus,smithy_bonus_cap) + tech_3_5*TblTech[[#This Row],[3-5]] + tech_5_3*TblTech[[#This Row],[5-3]] + tech_5_5*TblTech[[#This Row],[5-5]])*spec_dp_plat,0)</f>
        <v>192</v>
      </c>
      <c r="BL110" s="69" t="n">
        <f aca="false">ROUNDUP(IF(race="Gnome",1,(1-MIN(TblMili[[#This Row],[Smithies]]*smithy_bonus,smithy_bonus_cap) + tech_3_5*TblTech[[#This Row],[3-5]] + tech_5_3*TblTech[[#This Row],[5-3]] + tech_5_5*TblTech[[#This Row],[5-5]]))*spec_dp_ore,0)</f>
        <v>0</v>
      </c>
      <c r="BM110" s="69" t="n">
        <f aca="false">ROUNDUP((1-MIN(TblMili[[#This Row],[Smithies]]*smithy_bonus,smithy_bonus_cap) + tech_3_5*TblTech[[#This Row],[3-5]] + tech_5_3*TblTech[[#This Row],[5-3]] + tech_5_5*TblTech[[#This Row],[5-5]])*elite1_plat,0)</f>
        <v>592</v>
      </c>
      <c r="BN110" s="69" t="n">
        <f aca="false">ROUNDUP(IF(race="Gnome",1,(1-MIN(TblMili[[#This Row],[Smithies]]*smithy_bonus,smithy_bonus_cap) + tech_3_5*TblTech[[#This Row],[3-5]] + tech_5_3*TblTech[[#This Row],[5-3]] + tech_5_5*TblTech[[#This Row],[5-5]]))*elite1_ore,0)</f>
        <v>0</v>
      </c>
      <c r="BO110" s="69" t="n">
        <f aca="false">ROUNDUP((1-MIN(TblMili[[#This Row],[Smithies]]*smithy_bonus,smithy_bonus_cap) + tech_3_5*TblTech[[#This Row],[3-5]] + tech_5_3*TblTech[[#This Row],[5-3]] + tech_5_5*TblTech[[#This Row],[5-5]])*elite2_plat,0)</f>
        <v>608</v>
      </c>
      <c r="BP110" s="69" t="n">
        <f aca="false">ROUNDUP(IF(race="Gnome",1,(1-MIN(TblMili[[#This Row],[Smithies]]*smithy_bonus,smithy_bonus_cap) + tech_3_5*TblTech[[#This Row],[3-5]] + tech_5_3*TblTech[[#This Row],[5-3]] + tech_5_5*TblTech[[#This Row],[5-5]]))*elite2_ore,0)</f>
        <v>0</v>
      </c>
      <c r="BQ110" s="69" t="n">
        <f aca="false">ROUNDUP((1-MIN(ROUND(fh_spy_cost_red*TblMili[[#This Row],[FH''s]],4),fh_spy_cost_cap)+ tech_1_9*TblTech[[#This Row],[1-9]] + tech_9_1*TblTech[[#This Row],[9-1]])*spy_plat,0)</f>
        <v>500</v>
      </c>
      <c r="BR110" s="69" t="n">
        <f aca="false">ROUNDUP((1-MIN(ROUND(fh_spy_cost_red*TblMili[[#This Row],[FH''s]],4),fh_spy_cost_cap)+ tech_1_9*TblTech[[#This Row],[1-9]] + tech_9_1*TblTech[[#This Row],[9-1]])*archspy_plat,0)</f>
        <v>1000</v>
      </c>
      <c r="BS110" s="69" t="n">
        <f aca="false">ROUNDUP((1-MIN(ROUND(wg_wiz_cost_bonus*TblMili[[#This Row],[WG''s]],4),wg_wiz_cost_cap) + tech_1_9_2*TblTech[[#This Row],[1-9]] + tech_9_1_2*TblTech[[#This Row],[9-1]])*wizard_plat,0)</f>
        <v>500</v>
      </c>
      <c r="BT110" s="69" t="n">
        <f aca="false">ROUNDUP((1-MIN(ROUND(wg_wiz_cost_bonus*TblMili[[#This Row],[WG''s]],4),wg_wiz_cost_cap) + tech_1_9_2*TblTech[[#This Row],[1-9]] + tech_9_1_2*TblTech[[#This Row],[9-1]])*archmage_plat,0)</f>
        <v>1000</v>
      </c>
      <c r="BU110" s="132"/>
      <c r="BV110" s="150" t="e">
        <f aca="false">TblConstr[[#This Row],[Homeland]]/TblConstr[[#This Row],[Land]]</f>
        <v>#VALUE!</v>
      </c>
      <c r="BW110" s="150" t="n">
        <f aca="false">TblMili[[#This Row],[WG''s]]</f>
        <v>0</v>
      </c>
      <c r="BX110" s="288" t="e">
        <f aca="false">IF(mystic_cap="none",TblMili[[#This Row],[Hill]]/mystic_bonus,MIN(mystic_cap,TblMili[[#This Row],[Hill]]/mystic_bonus))</f>
        <v>#VALUE!</v>
      </c>
      <c r="BY110" s="288" t="e">
        <f aca="false">IF(druid_op_cap="none",TblMili[[#This Row],[Hill]]/druid_op_bonus,MIN(druid_op_cap,TblMili[[#This Row],[Hill]]/druid_op_bonus))</f>
        <v>#VALUE!</v>
      </c>
      <c r="BZ110" s="288" t="e">
        <f aca="false">IF(druid_dp_cap="none",TblMili[[#This Row],[Hill]]/druid_dp_bonus,MIN(druid_dp_cap,TblMili[[#This Row],[Hill]]/druid_dp_bonus))</f>
        <v>#VALUE!</v>
      </c>
      <c r="CA110" s="288" t="e">
        <f aca="false">MIN(dryad_cap,TblMili[[#This Row],[Hill]]/dryad_bonus)</f>
        <v>#VALUE!</v>
      </c>
      <c r="CB110" s="288" t="e">
        <f aca="false">MIN(rocka_cap,TblMili[[#This Row],[Hill]]/rocka_bonus)</f>
        <v>#VALUE!</v>
      </c>
      <c r="CC110" s="288" t="n">
        <f aca="false">MIN(adept_op_cap,TblMili[[#This Row],[WG]]/adept_op_bonus)</f>
        <v>0</v>
      </c>
      <c r="CD110" s="288" t="n">
        <f aca="false">MIN(adept_dp_cap,TblMili[[#This Row],[WG]]/adept_dp_bonus)</f>
        <v>0</v>
      </c>
      <c r="CE110" s="69" t="n">
        <f aca="false">MIN(TblMili[[#This Row],[Unit 3]],TblMili[[#This Row],[Unit 2]])*2</f>
        <v>1400</v>
      </c>
      <c r="CF110" s="69" t="n">
        <f aca="false">MIN(TblMili[[#This Row],[Unit 1]],TblMili[[#This Row],[Unit 4]])*2</f>
        <v>0</v>
      </c>
      <c r="CG110" s="288" t="e">
        <f aca="false">MIN(frost_mage_cap,TblMili[[#This Row],[Hill]]/frost_mage_bonus)</f>
        <v>#VALUE!</v>
      </c>
      <c r="CH110" s="151" t="n">
        <f aca="false">MIN(ice_elem_cap,TblMili[[#This Row],[Raw (2)]]*ice_elem_bonus)</f>
        <v>0.0357142857142857</v>
      </c>
      <c r="CI110" s="288" t="n">
        <f aca="false">MIN(bone_breaker_cap,250/bone_breaker_bonus)</f>
        <v>0.833333333333333</v>
      </c>
      <c r="CJ110" s="288" t="e">
        <f aca="false">MIN(nox_nightshade_cap,TblConstr[[#This Row],[Homeland]]/TblConstr[[#This Row],[Land]]/nox_nightshade_swamp_bonus)</f>
        <v>#VALUE!</v>
      </c>
      <c r="CK110" s="289"/>
      <c r="CL110" s="289"/>
      <c r="CM110" s="289"/>
      <c r="CN110" s="288" t="e">
        <f aca="false">MIN(6,TblMili[[#This Row],[Mystic]]+Races!$F$19)*1.8 +  IF(TblMili[[#This Row],[Mystic]]+Races!$F$19&gt;6,(TblMili[[#This Row],[Mystic]]+Races!$F$19-6)*0.2,0) - Races!$I$19</f>
        <v>#VALUE!</v>
      </c>
      <c r="CO110" s="288" t="e">
        <f aca="false">1.8 * MIN(MAX(TblMili[[#This Row],[Druid (op)]]+Races!$E$20,TblMili[[#This Row],[Druid (dp)]]+Races!$F$20),6)  +  0.45 * MIN(MIN(TblMili[[#This Row],[Druid (op)]]+Races!$E$20,TblMili[[#This Row],[Druid (dp)]]+Races!$F$20),6)  +  0.2 * ( MAX(TblMili[[#This Row],[Druid (op)]]+Races!$E$20-6,0) + MAX(TblMili[[#This Row],[Druid (dp)]]+Races!$F$20-6,0) )  -  Races!$I$20</f>
        <v>#VALUE!</v>
      </c>
      <c r="CP110" s="69" t="e">
        <f aca="false">TblMili[[#This Row],[Mystic bonus]]*TblMili[[#This Row],[Unit 3]]+TblMili[[#This Row],[Druid bonus]]*TblMili[[#This Row],[Unit 4]]</f>
        <v>#VALUE!</v>
      </c>
      <c r="CQ110" s="148" t="e">
        <f aca="false">MIN(6,TblMili[[#This Row],[Dryad]]+Races!$F$35)*1.8 +  IF(TblMili[[#This Row],[Dryad]]+Races!$F$35&gt;6,(TblMili[[#This Row],[Dryad]]+Races!$F$35-6)*0.2,0) - Races!$I$19</f>
        <v>#VALUE!</v>
      </c>
      <c r="CR110" s="69" t="e">
        <f aca="false">sylvan*(TblMili[[#This Row],[Mystic bonus]]*TblMili[[#This Row],[Unit 3]])</f>
        <v>#VALUE!</v>
      </c>
      <c r="CS110" s="148" t="e">
        <f aca="false">1.8 * MIN(MAX(Races!$E$27,TblMili[[#This Row],[Rockapult]]+Races!$F$27),6)  +  0.45 * MIN(MIN(Races!$E$27,TblMili[[#This Row],[Rockapult]]+Races!$F$27),6)  +  0.2 * ( MAX(Races!$E$27-6,0) + MAX(TblMili[[#This Row],[Rockapult]]+Races!$F$27-6,0) )  -  Races!$I$20</f>
        <v>#VALUE!</v>
      </c>
      <c r="CT110" s="69" t="e">
        <f aca="false">gnome*(TblMili[[#This Row],[Rockapult bonus]]*TblMili[[#This Row],[Unit 3]])</f>
        <v>#VALUE!</v>
      </c>
      <c r="CU110" s="148" t="n">
        <f aca="false">1.8 * MIN(MAX(TblMili[[#This Row],[Spellblade]]+Races!$E$47,TblMili[[#This Row],[Adept-DP]]+Races!$F$47),6)  +  0.45 * MIN(MIN(TblMili[[#This Row],[Spellblade]]+Races!$E$47,TblMili[[#This Row],[Adept-DP]]+Races!$F$47),6)  +  0.2 * ( MAX(TblMili[[#This Row],[Spellblade]]+Races!$E$47-6,0) + MAX(TblMili[[#This Row],[Adept-DP]]+Races!$F$47-6,0) )  -  Races!$I$47</f>
        <v>0</v>
      </c>
      <c r="CV110" s="69" t="n">
        <f aca="false">dark_elf*(TblMili[[#This Row],[Adept bonus]]*TblMili[[#This Row],[Unit 3]])</f>
        <v>0</v>
      </c>
      <c r="CW110" s="148" t="e">
        <f aca="false">1.8 * MIN(MAX(TblMili[[#This Row],[Frost Mage]]+Races!$F$71,Races!$E$71),6)  +  0.45 * MIN(MIN(TblMili[[#This Row],[Frost Mage]]+Races!$F$71,Races!$E$71),6)  +  0.2 * ( MAX(TblMili[[#This Row],[Frost Mage]]+Races!$F$71-6,0) + MAX(Races!$E$71-6,0) )  -  Races!$I$71</f>
        <v>#VALUE!</v>
      </c>
      <c r="CX110" s="148" t="n">
        <f aca="false">1.8 * MIN(MAX(TblMili[[#This Row],[Ice Elemental]]+Races!$E$71,Races!$F$71),6)  +  0.45 * MIN(MIN(TblMili[[#This Row],[Ice Elemental]]+Races!$E$71,Races!$F$71),6)  +  0.2 * ( MAX(TblMili[[#This Row],[Ice Elemental]]+Races!$E$71-6,0) + MAX(Races!$F$71-6,0) )  -  Races!$I$71</f>
        <v>0.064285714285715</v>
      </c>
      <c r="CY110" s="69" t="e">
        <f aca="false">TblMili[[#This Row],[Frost Mage bonus]]*TblMili[[#This Row],[Unit 3]]+TblMili[[#This Row],[Ice Elemental bonus]]*TblMili[[#This Row],[Unit 4]]</f>
        <v>#VALUE!</v>
      </c>
      <c r="CZ110" s="290"/>
      <c r="DA110" s="109" t="n">
        <f aca="false">MIN(SUM(TblConstr[[#This Row],[Plain]:[Water]])/TblMili[[#This Row],[Land]]/favorable_terrain_bonus/100,favorable_terrain_max)</f>
        <v>0</v>
      </c>
      <c r="DB110" s="290"/>
      <c r="DC11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0" s="132"/>
      <c r="DE110" s="291" t="n">
        <f aca="false">(TblMili[[#This Row],[Wizards]]+2*TblMili[[#This Row],[Archmages]])/TblConstr[[#This Row],[Land]]</f>
        <v>0.0357142857142857</v>
      </c>
      <c r="DF110" s="291" t="n">
        <f aca="false">TblMili[[#This Row],[Raw (2)]]*(1+race_wizard_strength+IF(TblMili[[#This Row],[Hour]]&gt;72,tech_magical_weaponry_wiz*TblTech[[#This Row],[3-5]],0))</f>
        <v>0.0357142857142857</v>
      </c>
    </row>
    <row r="111" customFormat="false" ht="12.75" hidden="false" customHeight="false" outlineLevel="0" collapsed="false">
      <c r="A111" s="128" t="n">
        <f aca="false">TblRezone[[#This Row],[Hour]]</f>
        <v>108</v>
      </c>
      <c r="B111" s="282" t="n">
        <f aca="false">SUM(TblMili[[#This Row],[Unit 1]:[Archmages]])+SUM(OFFSET(TblMili[[#This Row],[Train Unit 1]],-8,0):TblMili[[#This Row],[Train Unit 2]]) + SUM(OFFSET(TblMili[[#This Row],[Train Unit 3]],-11,0):TblMili[[#This Row],[Train AM]]) + TblMili[[#This Row],[Draftees]]</f>
        <v>5895</v>
      </c>
      <c r="C111" s="150" t="n">
        <f aca="false">TblPop[[#This Row],[Military%]]</f>
        <v>0.455599350799907</v>
      </c>
      <c r="D111" s="132"/>
      <c r="E111" s="151" t="n">
        <f aca="false">OFFSET(TblMili[[#This Row],[Unit 1]],-1,0) + OFFSET(TblMili[[#This Row],[Train Unit 1]],-9,0) - TblMili[[#This Row],[Release Unit 1]]</f>
        <v>0</v>
      </c>
      <c r="F111" s="151" t="n">
        <f aca="false">OFFSET(TblMili[[#This Row],[Unit 2]],-1,0) + OFFSET(TblMili[[#This Row],[Train Unit 2]],-9,0)-TblMili[[#This Row],[Release Unit 2]]</f>
        <v>1246</v>
      </c>
      <c r="G111" s="151" t="n">
        <f aca="false">OFFSET(TblMili[[#This Row],[Unit 3]],-1,0) + OFFSET(TblMili[[#This Row],[Train Unit 3]],-12,0)-TblMili[[#This Row],[Release Unit 3]]</f>
        <v>700</v>
      </c>
      <c r="H111" s="151" t="n">
        <f aca="false">OFFSET(TblMili[[#This Row],[Unit 4]],-1,0) + OFFSET(TblMili[[#This Row],[Train Unit 4]],-12,0)-TblMili[[#This Row],[Release Unit 4]]</f>
        <v>1228</v>
      </c>
      <c r="I111" s="151" t="n">
        <f aca="false">OFFSET(TblMili[[#This Row],[Spies]],-1,0) + OFFSET(TblMili[[#This Row],[Train Spies]],-12,0) - TblMili[[#This Row],[Release Spies]]-TblMili[[#This Row],[Train AS]]</f>
        <v>25</v>
      </c>
      <c r="J111" s="151" t="n">
        <f aca="false">OFFSET(TblMili[[#This Row],[Archspies]],-1,0) + OFFSET(TblMili[[#This Row],[Train AS]],-12,0) - TblMili[[#This Row],[Release AS]]</f>
        <v>0</v>
      </c>
      <c r="K111" s="151" t="n">
        <f aca="false">OFFSET(TblMili[[#This Row],[Wizards]],-1,0) + OFFSET(TblMili[[#This Row],[Train Wiz]],-12,0) - TblMili[[#This Row],[Release Wizards]]-TblMili[[#This Row],[Train AM]]</f>
        <v>25</v>
      </c>
      <c r="L111" s="151" t="n">
        <f aca="false">OFFSET(TblMili[[#This Row],[Archmages]],-1,0) + OFFSET(TblMili[[#This Row],[Train AM]],-12,0) - TblMili[[#This Row],[Release AM]]</f>
        <v>0</v>
      </c>
      <c r="M111" s="132"/>
      <c r="N111" s="69" t="e">
        <f aca="false">TblProd[[#This Row],[Networth]]</f>
        <v>#VALUE!</v>
      </c>
      <c r="O111" s="132"/>
      <c r="P11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1" s="285" t="e">
        <f aca="false">TblMili[[#This Row],[Raw]]*(1+TblMili[[#This Row],[Mods_Off]])</f>
        <v>#VALUE!</v>
      </c>
      <c r="S11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1" s="285" t="e">
        <f aca="false">TblMili[[#This Row],[Non Draft]]+TblMili[[#This Row],[Draftees]]</f>
        <v>#VALUE!</v>
      </c>
      <c r="U111" s="286" t="n">
        <f aca="false">race_defense + TblImps[[#This Row],[Walls]] + ROUND( MIN(gt_bonus*TblConstr[[#This Row],[Tot GT]]/TblConstr[[#This Row],[Land]],gt_bonus_cap), 4) + IF(TblMagic[[#This Row],[Active Howling]]&gt;0,howling_dp_bonus,IF(TblMagic[[#This Row],[Active Ares Call]]&gt;0,ares_call_bonus))</f>
        <v>0.2375</v>
      </c>
      <c r="V111" s="274" t="e">
        <f aca="false">TblMili[[#This Row],[Non Draft]] * (1 + TblMili[[#This Row],[Mods_Def]])</f>
        <v>#VALUE!</v>
      </c>
      <c r="W111" s="285" t="e">
        <f aca="false">TblMili[[#This Row],[Draft]] * (1 + TblMili[[#This Row],[Mods_Def]])</f>
        <v>#VALUE!</v>
      </c>
      <c r="X111" s="285" t="n">
        <f aca="false">TblConstr[[#This Row],[Land]]</f>
        <v>700</v>
      </c>
      <c r="Y111" s="287"/>
      <c r="Z111" s="109" t="n">
        <f aca="false">IF(TblMili[[#This Row],[Set]]&lt;&gt;"",TblMili[[#This Row],[Set]],OFFSET(TblMili[[#This Row],[Draftrate]],-1,0))</f>
        <v>0.9</v>
      </c>
      <c r="AA111" s="69" t="n">
        <f aca="false">OFFSET(TblMili[[#This Row],[Draftees]],-1,0)+OFFSET(TblPop[[#This Row],[Draft Growth]],-1,0) - SUM(TblMili[[#This Row],[Train Unit 1]:[Train Spies]],TblMili[[#This Row],[Train Wiz]]) - TblMili[[#This Row],[Release Draft]] + SUM(TblMili[[#This Row],[Release Unit 1]:[Release AM]]) - TblExplore[[#This Row],[Draftees (2)]]</f>
        <v>2671</v>
      </c>
      <c r="AB111" s="146"/>
      <c r="AC111" s="130" t="n">
        <f aca="false">(TblConstr[[#This Row],[Tot Smi]]+TblConstr[[#This Row],[Dest Smi]])/(TblConstr[[#This Row],[Land]]-TblExplore[[#This Row],[Land Bonus]]*20)</f>
        <v>0.18</v>
      </c>
      <c r="AD111" s="128"/>
      <c r="AE111" s="282" t="n">
        <f aca="false">TblMili[[#This Row],[Hour]]</f>
        <v>108</v>
      </c>
      <c r="AF111" s="129" t="n">
        <f aca="false">TblExplore[[#This Row],[Time]]</f>
        <v>45434.2083333333</v>
      </c>
      <c r="AG111" s="182"/>
      <c r="AH111" s="182"/>
      <c r="AI111" s="182"/>
      <c r="AJ111" s="182"/>
      <c r="AK111" s="182"/>
      <c r="AL111" s="182"/>
      <c r="AM111" s="182"/>
      <c r="AN111" s="182"/>
      <c r="AO111" s="132"/>
      <c r="AP111" s="69" t="n">
        <f aca="false">TblProd[[#This Row],[Platinum]]</f>
        <v>1462385</v>
      </c>
      <c r="AQ111" s="69" t="n">
        <f aca="false">INDEX(TblProd[[#Headers],[Lumber]]:TblProd[[#This Row],[Ore]],COUNTA(TblProd[[#Headers],[Lumber]]:TblProd[[#This Row],[Lumber]]),MATCH(Military!$AQ$2,TblProd[[#Headers],[Lumber]:[Ore]],0))</f>
        <v>0</v>
      </c>
      <c r="AR11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69" t="n">
        <f aca="false">TblMili[[#This Row],[Train Unit 1]]*TblMili[[#This Row],[OP Ore]]+TblMili[[#This Row],[Train Unit 2]]*TblMili[[#This Row],[DP Ore]]+TblMili[[#This Row],[Train Unit 3]]*TblMili[[#This Row],[E1 Ore]]+TblMili[[#This Row],[Train Unit 4]]*TblMili[[#This Row],[E2 Ore]]</f>
        <v>0</v>
      </c>
      <c r="AT111" s="132" t="n">
        <f aca="false">TblMili[[#This Row],[Hour]]</f>
        <v>108</v>
      </c>
      <c r="AU111" s="144" t="n">
        <f aca="false">TblMili[[#This Row],[Time]]</f>
        <v>45434.2083333333</v>
      </c>
      <c r="AV111" s="69" t="n">
        <f aca="false">TblMili[[#This Row],[Draftees]]</f>
        <v>2671</v>
      </c>
      <c r="AW111" s="182"/>
      <c r="AX111" s="182"/>
      <c r="AY111" s="182"/>
      <c r="AZ111" s="182"/>
      <c r="BA111" s="182"/>
      <c r="BB111" s="182"/>
      <c r="BC111" s="182"/>
      <c r="BD111" s="182"/>
      <c r="BE111" s="182"/>
      <c r="BF111" s="132"/>
      <c r="BG111" s="150" t="n">
        <f aca="false">TblConstr[[#This Row],[Tot WG]]/TblConstr[[#This Row],[Land]]</f>
        <v>0</v>
      </c>
      <c r="BH111" s="150" t="n">
        <f aca="false">TblConstr[[#This Row],[Tot Hav]]/TblConstr[[#This Row],[Land]]</f>
        <v>0</v>
      </c>
      <c r="BI111" s="69" t="n">
        <f aca="false">ROUNDUP((1-MIN(TblMili[[#This Row],[Smithies]]*smithy_bonus,smithy_bonus_cap) + tech_3_5*TblTech[[#This Row],[3-5]] + tech_5_3*TblTech[[#This Row],[5-3]] + tech_5_5*TblTech[[#This Row],[5-5]])*spec_op_plat,0)</f>
        <v>192</v>
      </c>
      <c r="BJ111" s="69" t="n">
        <f aca="false">ROUNDUP(IF(race="Gnome",1,(1-MIN(TblMili[[#This Row],[Smithies]]*smithy_bonus,smithy_bonus_cap) + tech_3_5*TblTech[[#This Row],[3-5]] + tech_5_3*TblTech[[#This Row],[5-3]] + tech_5_5*TblTech[[#This Row],[5-5]]))*spec_op_ore,0)</f>
        <v>0</v>
      </c>
      <c r="BK111" s="69" t="n">
        <f aca="false">ROUNDUP((1-MIN(TblMili[[#This Row],[Smithies]]*smithy_bonus,smithy_bonus_cap) + tech_3_5*TblTech[[#This Row],[3-5]] + tech_5_3*TblTech[[#This Row],[5-3]] + tech_5_5*TblTech[[#This Row],[5-5]])*spec_dp_plat,0)</f>
        <v>192</v>
      </c>
      <c r="BL111" s="69" t="n">
        <f aca="false">ROUNDUP(IF(race="Gnome",1,(1-MIN(TblMili[[#This Row],[Smithies]]*smithy_bonus,smithy_bonus_cap) + tech_3_5*TblTech[[#This Row],[3-5]] + tech_5_3*TblTech[[#This Row],[5-3]] + tech_5_5*TblTech[[#This Row],[5-5]]))*spec_dp_ore,0)</f>
        <v>0</v>
      </c>
      <c r="BM111" s="69" t="n">
        <f aca="false">ROUNDUP((1-MIN(TblMili[[#This Row],[Smithies]]*smithy_bonus,smithy_bonus_cap) + tech_3_5*TblTech[[#This Row],[3-5]] + tech_5_3*TblTech[[#This Row],[5-3]] + tech_5_5*TblTech[[#This Row],[5-5]])*elite1_plat,0)</f>
        <v>592</v>
      </c>
      <c r="BN111" s="69" t="n">
        <f aca="false">ROUNDUP(IF(race="Gnome",1,(1-MIN(TblMili[[#This Row],[Smithies]]*smithy_bonus,smithy_bonus_cap) + tech_3_5*TblTech[[#This Row],[3-5]] + tech_5_3*TblTech[[#This Row],[5-3]] + tech_5_5*TblTech[[#This Row],[5-5]]))*elite1_ore,0)</f>
        <v>0</v>
      </c>
      <c r="BO111" s="69" t="n">
        <f aca="false">ROUNDUP((1-MIN(TblMili[[#This Row],[Smithies]]*smithy_bonus,smithy_bonus_cap) + tech_3_5*TblTech[[#This Row],[3-5]] + tech_5_3*TblTech[[#This Row],[5-3]] + tech_5_5*TblTech[[#This Row],[5-5]])*elite2_plat,0)</f>
        <v>608</v>
      </c>
      <c r="BP111" s="69" t="n">
        <f aca="false">ROUNDUP(IF(race="Gnome",1,(1-MIN(TblMili[[#This Row],[Smithies]]*smithy_bonus,smithy_bonus_cap) + tech_3_5*TblTech[[#This Row],[3-5]] + tech_5_3*TblTech[[#This Row],[5-3]] + tech_5_5*TblTech[[#This Row],[5-5]]))*elite2_ore,0)</f>
        <v>0</v>
      </c>
      <c r="BQ111" s="69" t="n">
        <f aca="false">ROUNDUP((1-MIN(ROUND(fh_spy_cost_red*TblMili[[#This Row],[FH''s]],4),fh_spy_cost_cap)+ tech_1_9*TblTech[[#This Row],[1-9]] + tech_9_1*TblTech[[#This Row],[9-1]])*spy_plat,0)</f>
        <v>500</v>
      </c>
      <c r="BR111" s="69" t="n">
        <f aca="false">ROUNDUP((1-MIN(ROUND(fh_spy_cost_red*TblMili[[#This Row],[FH''s]],4),fh_spy_cost_cap)+ tech_1_9*TblTech[[#This Row],[1-9]] + tech_9_1*TblTech[[#This Row],[9-1]])*archspy_plat,0)</f>
        <v>1000</v>
      </c>
      <c r="BS111" s="69" t="n">
        <f aca="false">ROUNDUP((1-MIN(ROUND(wg_wiz_cost_bonus*TblMili[[#This Row],[WG''s]],4),wg_wiz_cost_cap) + tech_1_9_2*TblTech[[#This Row],[1-9]] + tech_9_1_2*TblTech[[#This Row],[9-1]])*wizard_plat,0)</f>
        <v>500</v>
      </c>
      <c r="BT111" s="69" t="n">
        <f aca="false">ROUNDUP((1-MIN(ROUND(wg_wiz_cost_bonus*TblMili[[#This Row],[WG''s]],4),wg_wiz_cost_cap) + tech_1_9_2*TblTech[[#This Row],[1-9]] + tech_9_1_2*TblTech[[#This Row],[9-1]])*archmage_plat,0)</f>
        <v>1000</v>
      </c>
      <c r="BU111" s="132"/>
      <c r="BV111" s="150" t="e">
        <f aca="false">TblConstr[[#This Row],[Homeland]]/TblConstr[[#This Row],[Land]]</f>
        <v>#VALUE!</v>
      </c>
      <c r="BW111" s="150" t="n">
        <f aca="false">TblMili[[#This Row],[WG''s]]</f>
        <v>0</v>
      </c>
      <c r="BX111" s="288" t="e">
        <f aca="false">IF(mystic_cap="none",TblMili[[#This Row],[Hill]]/mystic_bonus,MIN(mystic_cap,TblMili[[#This Row],[Hill]]/mystic_bonus))</f>
        <v>#VALUE!</v>
      </c>
      <c r="BY111" s="288" t="e">
        <f aca="false">IF(druid_op_cap="none",TblMili[[#This Row],[Hill]]/druid_op_bonus,MIN(druid_op_cap,TblMili[[#This Row],[Hill]]/druid_op_bonus))</f>
        <v>#VALUE!</v>
      </c>
      <c r="BZ111" s="288" t="e">
        <f aca="false">IF(druid_dp_cap="none",TblMili[[#This Row],[Hill]]/druid_dp_bonus,MIN(druid_dp_cap,TblMili[[#This Row],[Hill]]/druid_dp_bonus))</f>
        <v>#VALUE!</v>
      </c>
      <c r="CA111" s="288" t="e">
        <f aca="false">MIN(dryad_cap,TblMili[[#This Row],[Hill]]/dryad_bonus)</f>
        <v>#VALUE!</v>
      </c>
      <c r="CB111" s="288" t="e">
        <f aca="false">MIN(rocka_cap,TblMili[[#This Row],[Hill]]/rocka_bonus)</f>
        <v>#VALUE!</v>
      </c>
      <c r="CC111" s="288" t="n">
        <f aca="false">MIN(adept_op_cap,TblMili[[#This Row],[WG]]/adept_op_bonus)</f>
        <v>0</v>
      </c>
      <c r="CD111" s="288" t="n">
        <f aca="false">MIN(adept_dp_cap,TblMili[[#This Row],[WG]]/adept_dp_bonus)</f>
        <v>0</v>
      </c>
      <c r="CE111" s="69" t="n">
        <f aca="false">MIN(TblMili[[#This Row],[Unit 3]],TblMili[[#This Row],[Unit 2]])*2</f>
        <v>1400</v>
      </c>
      <c r="CF111" s="69" t="n">
        <f aca="false">MIN(TblMili[[#This Row],[Unit 1]],TblMili[[#This Row],[Unit 4]])*2</f>
        <v>0</v>
      </c>
      <c r="CG111" s="288" t="e">
        <f aca="false">MIN(frost_mage_cap,TblMili[[#This Row],[Hill]]/frost_mage_bonus)</f>
        <v>#VALUE!</v>
      </c>
      <c r="CH111" s="151" t="n">
        <f aca="false">MIN(ice_elem_cap,TblMili[[#This Row],[Raw (2)]]*ice_elem_bonus)</f>
        <v>0.0357142857142857</v>
      </c>
      <c r="CI111" s="288" t="n">
        <f aca="false">MIN(bone_breaker_cap,250/bone_breaker_bonus)</f>
        <v>0.833333333333333</v>
      </c>
      <c r="CJ111" s="288" t="e">
        <f aca="false">MIN(nox_nightshade_cap,TblConstr[[#This Row],[Homeland]]/TblConstr[[#This Row],[Land]]/nox_nightshade_swamp_bonus)</f>
        <v>#VALUE!</v>
      </c>
      <c r="CK111" s="289"/>
      <c r="CL111" s="289"/>
      <c r="CM111" s="289"/>
      <c r="CN111" s="288" t="e">
        <f aca="false">MIN(6,TblMili[[#This Row],[Mystic]]+Races!$F$19)*1.8 +  IF(TblMili[[#This Row],[Mystic]]+Races!$F$19&gt;6,(TblMili[[#This Row],[Mystic]]+Races!$F$19-6)*0.2,0) - Races!$I$19</f>
        <v>#VALUE!</v>
      </c>
      <c r="CO111" s="288" t="e">
        <f aca="false">1.8 * MIN(MAX(TblMili[[#This Row],[Druid (op)]]+Races!$E$20,TblMili[[#This Row],[Druid (dp)]]+Races!$F$20),6)  +  0.45 * MIN(MIN(TblMili[[#This Row],[Druid (op)]]+Races!$E$20,TblMili[[#This Row],[Druid (dp)]]+Races!$F$20),6)  +  0.2 * ( MAX(TblMili[[#This Row],[Druid (op)]]+Races!$E$20-6,0) + MAX(TblMili[[#This Row],[Druid (dp)]]+Races!$F$20-6,0) )  -  Races!$I$20</f>
        <v>#VALUE!</v>
      </c>
      <c r="CP111" s="69" t="e">
        <f aca="false">TblMili[[#This Row],[Mystic bonus]]*TblMili[[#This Row],[Unit 3]]+TblMili[[#This Row],[Druid bonus]]*TblMili[[#This Row],[Unit 4]]</f>
        <v>#VALUE!</v>
      </c>
      <c r="CQ111" s="148" t="e">
        <f aca="false">MIN(6,TblMili[[#This Row],[Dryad]]+Races!$F$35)*1.8 +  IF(TblMili[[#This Row],[Dryad]]+Races!$F$35&gt;6,(TblMili[[#This Row],[Dryad]]+Races!$F$35-6)*0.2,0) - Races!$I$19</f>
        <v>#VALUE!</v>
      </c>
      <c r="CR111" s="69" t="e">
        <f aca="false">sylvan*(TblMili[[#This Row],[Mystic bonus]]*TblMili[[#This Row],[Unit 3]])</f>
        <v>#VALUE!</v>
      </c>
      <c r="CS111" s="148" t="e">
        <f aca="false">1.8 * MIN(MAX(Races!$E$27,TblMili[[#This Row],[Rockapult]]+Races!$F$27),6)  +  0.45 * MIN(MIN(Races!$E$27,TblMili[[#This Row],[Rockapult]]+Races!$F$27),6)  +  0.2 * ( MAX(Races!$E$27-6,0) + MAX(TblMili[[#This Row],[Rockapult]]+Races!$F$27-6,0) )  -  Races!$I$20</f>
        <v>#VALUE!</v>
      </c>
      <c r="CT111" s="69" t="e">
        <f aca="false">gnome*(TblMili[[#This Row],[Rockapult bonus]]*TblMili[[#This Row],[Unit 3]])</f>
        <v>#VALUE!</v>
      </c>
      <c r="CU111" s="148" t="n">
        <f aca="false">1.8 * MIN(MAX(TblMili[[#This Row],[Spellblade]]+Races!$E$47,TblMili[[#This Row],[Adept-DP]]+Races!$F$47),6)  +  0.45 * MIN(MIN(TblMili[[#This Row],[Spellblade]]+Races!$E$47,TblMili[[#This Row],[Adept-DP]]+Races!$F$47),6)  +  0.2 * ( MAX(TblMili[[#This Row],[Spellblade]]+Races!$E$47-6,0) + MAX(TblMili[[#This Row],[Adept-DP]]+Races!$F$47-6,0) )  -  Races!$I$47</f>
        <v>0</v>
      </c>
      <c r="CV111" s="69" t="n">
        <f aca="false">dark_elf*(TblMili[[#This Row],[Adept bonus]]*TblMili[[#This Row],[Unit 3]])</f>
        <v>0</v>
      </c>
      <c r="CW111" s="148" t="e">
        <f aca="false">1.8 * MIN(MAX(TblMili[[#This Row],[Frost Mage]]+Races!$F$71,Races!$E$71),6)  +  0.45 * MIN(MIN(TblMili[[#This Row],[Frost Mage]]+Races!$F$71,Races!$E$71),6)  +  0.2 * ( MAX(TblMili[[#This Row],[Frost Mage]]+Races!$F$71-6,0) + MAX(Races!$E$71-6,0) )  -  Races!$I$71</f>
        <v>#VALUE!</v>
      </c>
      <c r="CX111" s="148" t="n">
        <f aca="false">1.8 * MIN(MAX(TblMili[[#This Row],[Ice Elemental]]+Races!$E$71,Races!$F$71),6)  +  0.45 * MIN(MIN(TblMili[[#This Row],[Ice Elemental]]+Races!$E$71,Races!$F$71),6)  +  0.2 * ( MAX(TblMili[[#This Row],[Ice Elemental]]+Races!$E$71-6,0) + MAX(Races!$F$71-6,0) )  -  Races!$I$71</f>
        <v>0.064285714285715</v>
      </c>
      <c r="CY111" s="69" t="e">
        <f aca="false">TblMili[[#This Row],[Frost Mage bonus]]*TblMili[[#This Row],[Unit 3]]+TblMili[[#This Row],[Ice Elemental bonus]]*TblMili[[#This Row],[Unit 4]]</f>
        <v>#VALUE!</v>
      </c>
      <c r="CZ111" s="290"/>
      <c r="DA111" s="109" t="n">
        <f aca="false">MIN(SUM(TblConstr[[#This Row],[Plain]:[Water]])/TblMili[[#This Row],[Land]]/favorable_terrain_bonus/100,favorable_terrain_max)</f>
        <v>0</v>
      </c>
      <c r="DB111" s="290"/>
      <c r="DC11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1" s="132"/>
      <c r="DE111" s="291" t="n">
        <f aca="false">(TblMili[[#This Row],[Wizards]]+2*TblMili[[#This Row],[Archmages]])/TblConstr[[#This Row],[Land]]</f>
        <v>0.0357142857142857</v>
      </c>
      <c r="DF111" s="291" t="n">
        <f aca="false">TblMili[[#This Row],[Raw (2)]]*(1+race_wizard_strength+IF(TblMili[[#This Row],[Hour]]&gt;72,tech_magical_weaponry_wiz*TblTech[[#This Row],[3-5]],0))</f>
        <v>0.0357142857142857</v>
      </c>
    </row>
    <row r="112" customFormat="false" ht="12.75" hidden="false" customHeight="false" outlineLevel="0" collapsed="false">
      <c r="A112" s="128" t="n">
        <f aca="false">TblRezone[[#This Row],[Hour]]</f>
        <v>109</v>
      </c>
      <c r="B112" s="282" t="n">
        <f aca="false">SUM(TblMili[[#This Row],[Unit 1]:[Archmages]])+SUM(OFFSET(TblMili[[#This Row],[Train Unit 1]],-8,0):TblMili[[#This Row],[Train Unit 2]]) + SUM(OFFSET(TblMili[[#This Row],[Train Unit 3]],-11,0):TblMili[[#This Row],[Train AM]]) + TblMili[[#This Row],[Draftees]]</f>
        <v>5965</v>
      </c>
      <c r="C112" s="150" t="n">
        <f aca="false">TblPop[[#This Row],[Military%]]</f>
        <v>0.461009351572765</v>
      </c>
      <c r="D112" s="132"/>
      <c r="E112" s="151" t="n">
        <f aca="false">OFFSET(TblMili[[#This Row],[Unit 1]],-1,0) + OFFSET(TblMili[[#This Row],[Train Unit 1]],-9,0) - TblMili[[#This Row],[Release Unit 1]]</f>
        <v>0</v>
      </c>
      <c r="F112" s="151" t="n">
        <f aca="false">OFFSET(TblMili[[#This Row],[Unit 2]],-1,0) + OFFSET(TblMili[[#This Row],[Train Unit 2]],-9,0)-TblMili[[#This Row],[Release Unit 2]]</f>
        <v>1246</v>
      </c>
      <c r="G112" s="151" t="n">
        <f aca="false">OFFSET(TblMili[[#This Row],[Unit 3]],-1,0) + OFFSET(TblMili[[#This Row],[Train Unit 3]],-12,0)-TblMili[[#This Row],[Release Unit 3]]</f>
        <v>700</v>
      </c>
      <c r="H112" s="151" t="n">
        <f aca="false">OFFSET(TblMili[[#This Row],[Unit 4]],-1,0) + OFFSET(TblMili[[#This Row],[Train Unit 4]],-12,0)-TblMili[[#This Row],[Release Unit 4]]</f>
        <v>1228</v>
      </c>
      <c r="I112" s="151" t="n">
        <f aca="false">OFFSET(TblMili[[#This Row],[Spies]],-1,0) + OFFSET(TblMili[[#This Row],[Train Spies]],-12,0) - TblMili[[#This Row],[Release Spies]]-TblMili[[#This Row],[Train AS]]</f>
        <v>25</v>
      </c>
      <c r="J112" s="151" t="n">
        <f aca="false">OFFSET(TblMili[[#This Row],[Archspies]],-1,0) + OFFSET(TblMili[[#This Row],[Train AS]],-12,0) - TblMili[[#This Row],[Release AS]]</f>
        <v>0</v>
      </c>
      <c r="K112" s="151" t="n">
        <f aca="false">OFFSET(TblMili[[#This Row],[Wizards]],-1,0) + OFFSET(TblMili[[#This Row],[Train Wiz]],-12,0) - TblMili[[#This Row],[Release Wizards]]-TblMili[[#This Row],[Train AM]]</f>
        <v>25</v>
      </c>
      <c r="L112" s="151" t="n">
        <f aca="false">OFFSET(TblMili[[#This Row],[Archmages]],-1,0) + OFFSET(TblMili[[#This Row],[Train AM]],-12,0) - TblMili[[#This Row],[Release AM]]</f>
        <v>0</v>
      </c>
      <c r="M112" s="132"/>
      <c r="N112" s="69" t="e">
        <f aca="false">TblProd[[#This Row],[Networth]]</f>
        <v>#VALUE!</v>
      </c>
      <c r="O112" s="132"/>
      <c r="P11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2" s="285" t="e">
        <f aca="false">TblMili[[#This Row],[Raw]]*(1+TblMili[[#This Row],[Mods_Off]])</f>
        <v>#VALUE!</v>
      </c>
      <c r="S11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2" s="285" t="e">
        <f aca="false">TblMili[[#This Row],[Non Draft]]+TblMili[[#This Row],[Draftees]]</f>
        <v>#VALUE!</v>
      </c>
      <c r="U112" s="286" t="n">
        <f aca="false">race_defense + TblImps[[#This Row],[Walls]] + ROUND( MIN(gt_bonus*TblConstr[[#This Row],[Tot GT]]/TblConstr[[#This Row],[Land]],gt_bonus_cap), 4) + IF(TblMagic[[#This Row],[Active Howling]]&gt;0,howling_dp_bonus,IF(TblMagic[[#This Row],[Active Ares Call]]&gt;0,ares_call_bonus))</f>
        <v>0.1375</v>
      </c>
      <c r="V112" s="274" t="e">
        <f aca="false">TblMili[[#This Row],[Non Draft]] * (1 + TblMili[[#This Row],[Mods_Def]])</f>
        <v>#VALUE!</v>
      </c>
      <c r="W112" s="285" t="e">
        <f aca="false">TblMili[[#This Row],[Draft]] * (1 + TblMili[[#This Row],[Mods_Def]])</f>
        <v>#VALUE!</v>
      </c>
      <c r="X112" s="285" t="n">
        <f aca="false">TblConstr[[#This Row],[Land]]</f>
        <v>700</v>
      </c>
      <c r="Y112" s="287"/>
      <c r="Z112" s="109" t="n">
        <f aca="false">IF(TblMili[[#This Row],[Set]]&lt;&gt;"",TblMili[[#This Row],[Set]],OFFSET(TblMili[[#This Row],[Draftrate]],-1,0))</f>
        <v>0.9</v>
      </c>
      <c r="AA112" s="69" t="n">
        <f aca="false">OFFSET(TblMili[[#This Row],[Draftees]],-1,0)+OFFSET(TblPop[[#This Row],[Draft Growth]],-1,0) - SUM(TblMili[[#This Row],[Train Unit 1]:[Train Spies]],TblMili[[#This Row],[Train Wiz]]) - TblMili[[#This Row],[Release Draft]] + SUM(TblMili[[#This Row],[Release Unit 1]:[Release AM]]) - TblExplore[[#This Row],[Draftees (2)]]</f>
        <v>2741</v>
      </c>
      <c r="AB112" s="146"/>
      <c r="AC112" s="130" t="n">
        <f aca="false">(TblConstr[[#This Row],[Tot Smi]]+TblConstr[[#This Row],[Dest Smi]])/(TblConstr[[#This Row],[Land]]-TblExplore[[#This Row],[Land Bonus]]*20)</f>
        <v>0.18</v>
      </c>
      <c r="AD112" s="128"/>
      <c r="AE112" s="282" t="n">
        <f aca="false">TblMili[[#This Row],[Hour]]</f>
        <v>109</v>
      </c>
      <c r="AF112" s="129" t="n">
        <f aca="false">TblExplore[[#This Row],[Time]]</f>
        <v>45434.25</v>
      </c>
      <c r="AG112" s="182"/>
      <c r="AH112" s="182"/>
      <c r="AI112" s="182"/>
      <c r="AJ112" s="182"/>
      <c r="AK112" s="182"/>
      <c r="AL112" s="182"/>
      <c r="AM112" s="182"/>
      <c r="AN112" s="182"/>
      <c r="AO112" s="132"/>
      <c r="AP112" s="69" t="n">
        <f aca="false">TblProd[[#This Row],[Platinum]]</f>
        <v>1500850</v>
      </c>
      <c r="AQ112" s="69" t="n">
        <f aca="false">INDEX(TblProd[[#Headers],[Lumber]]:TblProd[[#This Row],[Ore]],COUNTA(TblProd[[#Headers],[Lumber]]:TblProd[[#This Row],[Lumber]]),MATCH(Military!$AQ$2,TblProd[[#Headers],[Lumber]:[Ore]],0))</f>
        <v>0</v>
      </c>
      <c r="AR11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69" t="n">
        <f aca="false">TblMili[[#This Row],[Train Unit 1]]*TblMili[[#This Row],[OP Ore]]+TblMili[[#This Row],[Train Unit 2]]*TblMili[[#This Row],[DP Ore]]+TblMili[[#This Row],[Train Unit 3]]*TblMili[[#This Row],[E1 Ore]]+TblMili[[#This Row],[Train Unit 4]]*TblMili[[#This Row],[E2 Ore]]</f>
        <v>0</v>
      </c>
      <c r="AT112" s="132" t="n">
        <f aca="false">TblMili[[#This Row],[Hour]]</f>
        <v>109</v>
      </c>
      <c r="AU112" s="144" t="n">
        <f aca="false">TblMili[[#This Row],[Time]]</f>
        <v>45434.25</v>
      </c>
      <c r="AV112" s="69" t="n">
        <f aca="false">TblMili[[#This Row],[Draftees]]</f>
        <v>2741</v>
      </c>
      <c r="AW112" s="182"/>
      <c r="AX112" s="182"/>
      <c r="AY112" s="182"/>
      <c r="AZ112" s="182"/>
      <c r="BA112" s="182"/>
      <c r="BB112" s="182"/>
      <c r="BC112" s="182"/>
      <c r="BD112" s="182"/>
      <c r="BE112" s="182"/>
      <c r="BF112" s="132"/>
      <c r="BG112" s="150" t="n">
        <f aca="false">TblConstr[[#This Row],[Tot WG]]/TblConstr[[#This Row],[Land]]</f>
        <v>0</v>
      </c>
      <c r="BH112" s="150" t="n">
        <f aca="false">TblConstr[[#This Row],[Tot Hav]]/TblConstr[[#This Row],[Land]]</f>
        <v>0</v>
      </c>
      <c r="BI112" s="69" t="n">
        <f aca="false">ROUNDUP((1-MIN(TblMili[[#This Row],[Smithies]]*smithy_bonus,smithy_bonus_cap) + tech_3_5*TblTech[[#This Row],[3-5]] + tech_5_3*TblTech[[#This Row],[5-3]] + tech_5_5*TblTech[[#This Row],[5-5]])*spec_op_plat,0)</f>
        <v>192</v>
      </c>
      <c r="BJ112" s="69" t="n">
        <f aca="false">ROUNDUP(IF(race="Gnome",1,(1-MIN(TblMili[[#This Row],[Smithies]]*smithy_bonus,smithy_bonus_cap) + tech_3_5*TblTech[[#This Row],[3-5]] + tech_5_3*TblTech[[#This Row],[5-3]] + tech_5_5*TblTech[[#This Row],[5-5]]))*spec_op_ore,0)</f>
        <v>0</v>
      </c>
      <c r="BK112" s="69" t="n">
        <f aca="false">ROUNDUP((1-MIN(TblMili[[#This Row],[Smithies]]*smithy_bonus,smithy_bonus_cap) + tech_3_5*TblTech[[#This Row],[3-5]] + tech_5_3*TblTech[[#This Row],[5-3]] + tech_5_5*TblTech[[#This Row],[5-5]])*spec_dp_plat,0)</f>
        <v>192</v>
      </c>
      <c r="BL112" s="69" t="n">
        <f aca="false">ROUNDUP(IF(race="Gnome",1,(1-MIN(TblMili[[#This Row],[Smithies]]*smithy_bonus,smithy_bonus_cap) + tech_3_5*TblTech[[#This Row],[3-5]] + tech_5_3*TblTech[[#This Row],[5-3]] + tech_5_5*TblTech[[#This Row],[5-5]]))*spec_dp_ore,0)</f>
        <v>0</v>
      </c>
      <c r="BM112" s="69" t="n">
        <f aca="false">ROUNDUP((1-MIN(TblMili[[#This Row],[Smithies]]*smithy_bonus,smithy_bonus_cap) + tech_3_5*TblTech[[#This Row],[3-5]] + tech_5_3*TblTech[[#This Row],[5-3]] + tech_5_5*TblTech[[#This Row],[5-5]])*elite1_plat,0)</f>
        <v>592</v>
      </c>
      <c r="BN112" s="69" t="n">
        <f aca="false">ROUNDUP(IF(race="Gnome",1,(1-MIN(TblMili[[#This Row],[Smithies]]*smithy_bonus,smithy_bonus_cap) + tech_3_5*TblTech[[#This Row],[3-5]] + tech_5_3*TblTech[[#This Row],[5-3]] + tech_5_5*TblTech[[#This Row],[5-5]]))*elite1_ore,0)</f>
        <v>0</v>
      </c>
      <c r="BO112" s="69" t="n">
        <f aca="false">ROUNDUP((1-MIN(TblMili[[#This Row],[Smithies]]*smithy_bonus,smithy_bonus_cap) + tech_3_5*TblTech[[#This Row],[3-5]] + tech_5_3*TblTech[[#This Row],[5-3]] + tech_5_5*TblTech[[#This Row],[5-5]])*elite2_plat,0)</f>
        <v>608</v>
      </c>
      <c r="BP112" s="69" t="n">
        <f aca="false">ROUNDUP(IF(race="Gnome",1,(1-MIN(TblMili[[#This Row],[Smithies]]*smithy_bonus,smithy_bonus_cap) + tech_3_5*TblTech[[#This Row],[3-5]] + tech_5_3*TblTech[[#This Row],[5-3]] + tech_5_5*TblTech[[#This Row],[5-5]]))*elite2_ore,0)</f>
        <v>0</v>
      </c>
      <c r="BQ112" s="69" t="n">
        <f aca="false">ROUNDUP((1-MIN(ROUND(fh_spy_cost_red*TblMili[[#This Row],[FH''s]],4),fh_spy_cost_cap)+ tech_1_9*TblTech[[#This Row],[1-9]] + tech_9_1*TblTech[[#This Row],[9-1]])*spy_plat,0)</f>
        <v>500</v>
      </c>
      <c r="BR112" s="69" t="n">
        <f aca="false">ROUNDUP((1-MIN(ROUND(fh_spy_cost_red*TblMili[[#This Row],[FH''s]],4),fh_spy_cost_cap)+ tech_1_9*TblTech[[#This Row],[1-9]] + tech_9_1*TblTech[[#This Row],[9-1]])*archspy_plat,0)</f>
        <v>1000</v>
      </c>
      <c r="BS112" s="69" t="n">
        <f aca="false">ROUNDUP((1-MIN(ROUND(wg_wiz_cost_bonus*TblMili[[#This Row],[WG''s]],4),wg_wiz_cost_cap) + tech_1_9_2*TblTech[[#This Row],[1-9]] + tech_9_1_2*TblTech[[#This Row],[9-1]])*wizard_plat,0)</f>
        <v>500</v>
      </c>
      <c r="BT112" s="69" t="n">
        <f aca="false">ROUNDUP((1-MIN(ROUND(wg_wiz_cost_bonus*TblMili[[#This Row],[WG''s]],4),wg_wiz_cost_cap) + tech_1_9_2*TblTech[[#This Row],[1-9]] + tech_9_1_2*TblTech[[#This Row],[9-1]])*archmage_plat,0)</f>
        <v>1000</v>
      </c>
      <c r="BU112" s="132"/>
      <c r="BV112" s="150" t="e">
        <f aca="false">TblConstr[[#This Row],[Homeland]]/TblConstr[[#This Row],[Land]]</f>
        <v>#VALUE!</v>
      </c>
      <c r="BW112" s="150" t="n">
        <f aca="false">TblMili[[#This Row],[WG''s]]</f>
        <v>0</v>
      </c>
      <c r="BX112" s="288" t="e">
        <f aca="false">IF(mystic_cap="none",TblMili[[#This Row],[Hill]]/mystic_bonus,MIN(mystic_cap,TblMili[[#This Row],[Hill]]/mystic_bonus))</f>
        <v>#VALUE!</v>
      </c>
      <c r="BY112" s="288" t="e">
        <f aca="false">IF(druid_op_cap="none",TblMili[[#This Row],[Hill]]/druid_op_bonus,MIN(druid_op_cap,TblMili[[#This Row],[Hill]]/druid_op_bonus))</f>
        <v>#VALUE!</v>
      </c>
      <c r="BZ112" s="288" t="e">
        <f aca="false">IF(druid_dp_cap="none",TblMili[[#This Row],[Hill]]/druid_dp_bonus,MIN(druid_dp_cap,TblMili[[#This Row],[Hill]]/druid_dp_bonus))</f>
        <v>#VALUE!</v>
      </c>
      <c r="CA112" s="288" t="e">
        <f aca="false">MIN(dryad_cap,TblMili[[#This Row],[Hill]]/dryad_bonus)</f>
        <v>#VALUE!</v>
      </c>
      <c r="CB112" s="288" t="e">
        <f aca="false">MIN(rocka_cap,TblMili[[#This Row],[Hill]]/rocka_bonus)</f>
        <v>#VALUE!</v>
      </c>
      <c r="CC112" s="288" t="n">
        <f aca="false">MIN(adept_op_cap,TblMili[[#This Row],[WG]]/adept_op_bonus)</f>
        <v>0</v>
      </c>
      <c r="CD112" s="288" t="n">
        <f aca="false">MIN(adept_dp_cap,TblMili[[#This Row],[WG]]/adept_dp_bonus)</f>
        <v>0</v>
      </c>
      <c r="CE112" s="69" t="n">
        <f aca="false">MIN(TblMili[[#This Row],[Unit 3]],TblMili[[#This Row],[Unit 2]])*2</f>
        <v>1400</v>
      </c>
      <c r="CF112" s="69" t="n">
        <f aca="false">MIN(TblMili[[#This Row],[Unit 1]],TblMili[[#This Row],[Unit 4]])*2</f>
        <v>0</v>
      </c>
      <c r="CG112" s="288" t="e">
        <f aca="false">MIN(frost_mage_cap,TblMili[[#This Row],[Hill]]/frost_mage_bonus)</f>
        <v>#VALUE!</v>
      </c>
      <c r="CH112" s="151" t="n">
        <f aca="false">MIN(ice_elem_cap,TblMili[[#This Row],[Raw (2)]]*ice_elem_bonus)</f>
        <v>0.0357142857142857</v>
      </c>
      <c r="CI112" s="288" t="n">
        <f aca="false">MIN(bone_breaker_cap,250/bone_breaker_bonus)</f>
        <v>0.833333333333333</v>
      </c>
      <c r="CJ112" s="288" t="e">
        <f aca="false">MIN(nox_nightshade_cap,TblConstr[[#This Row],[Homeland]]/TblConstr[[#This Row],[Land]]/nox_nightshade_swamp_bonus)</f>
        <v>#VALUE!</v>
      </c>
      <c r="CK112" s="289"/>
      <c r="CL112" s="289"/>
      <c r="CM112" s="289"/>
      <c r="CN112" s="288" t="e">
        <f aca="false">MIN(6,TblMili[[#This Row],[Mystic]]+Races!$F$19)*1.8 +  IF(TblMili[[#This Row],[Mystic]]+Races!$F$19&gt;6,(TblMili[[#This Row],[Mystic]]+Races!$F$19-6)*0.2,0) - Races!$I$19</f>
        <v>#VALUE!</v>
      </c>
      <c r="CO112" s="288" t="e">
        <f aca="false">1.8 * MIN(MAX(TblMili[[#This Row],[Druid (op)]]+Races!$E$20,TblMili[[#This Row],[Druid (dp)]]+Races!$F$20),6)  +  0.45 * MIN(MIN(TblMili[[#This Row],[Druid (op)]]+Races!$E$20,TblMili[[#This Row],[Druid (dp)]]+Races!$F$20),6)  +  0.2 * ( MAX(TblMili[[#This Row],[Druid (op)]]+Races!$E$20-6,0) + MAX(TblMili[[#This Row],[Druid (dp)]]+Races!$F$20-6,0) )  -  Races!$I$20</f>
        <v>#VALUE!</v>
      </c>
      <c r="CP112" s="69" t="e">
        <f aca="false">TblMili[[#This Row],[Mystic bonus]]*TblMili[[#This Row],[Unit 3]]+TblMili[[#This Row],[Druid bonus]]*TblMili[[#This Row],[Unit 4]]</f>
        <v>#VALUE!</v>
      </c>
      <c r="CQ112" s="148" t="e">
        <f aca="false">MIN(6,TblMili[[#This Row],[Dryad]]+Races!$F$35)*1.8 +  IF(TblMili[[#This Row],[Dryad]]+Races!$F$35&gt;6,(TblMili[[#This Row],[Dryad]]+Races!$F$35-6)*0.2,0) - Races!$I$19</f>
        <v>#VALUE!</v>
      </c>
      <c r="CR112" s="69" t="e">
        <f aca="false">sylvan*(TblMili[[#This Row],[Mystic bonus]]*TblMili[[#This Row],[Unit 3]])</f>
        <v>#VALUE!</v>
      </c>
      <c r="CS112" s="148" t="e">
        <f aca="false">1.8 * MIN(MAX(Races!$E$27,TblMili[[#This Row],[Rockapult]]+Races!$F$27),6)  +  0.45 * MIN(MIN(Races!$E$27,TblMili[[#This Row],[Rockapult]]+Races!$F$27),6)  +  0.2 * ( MAX(Races!$E$27-6,0) + MAX(TblMili[[#This Row],[Rockapult]]+Races!$F$27-6,0) )  -  Races!$I$20</f>
        <v>#VALUE!</v>
      </c>
      <c r="CT112" s="69" t="e">
        <f aca="false">gnome*(TblMili[[#This Row],[Rockapult bonus]]*TblMili[[#This Row],[Unit 3]])</f>
        <v>#VALUE!</v>
      </c>
      <c r="CU112" s="148" t="n">
        <f aca="false">1.8 * MIN(MAX(TblMili[[#This Row],[Spellblade]]+Races!$E$47,TblMili[[#This Row],[Adept-DP]]+Races!$F$47),6)  +  0.45 * MIN(MIN(TblMili[[#This Row],[Spellblade]]+Races!$E$47,TblMili[[#This Row],[Adept-DP]]+Races!$F$47),6)  +  0.2 * ( MAX(TblMili[[#This Row],[Spellblade]]+Races!$E$47-6,0) + MAX(TblMili[[#This Row],[Adept-DP]]+Races!$F$47-6,0) )  -  Races!$I$47</f>
        <v>0</v>
      </c>
      <c r="CV112" s="69" t="n">
        <f aca="false">dark_elf*(TblMili[[#This Row],[Adept bonus]]*TblMili[[#This Row],[Unit 3]])</f>
        <v>0</v>
      </c>
      <c r="CW112" s="148" t="e">
        <f aca="false">1.8 * MIN(MAX(TblMili[[#This Row],[Frost Mage]]+Races!$F$71,Races!$E$71),6)  +  0.45 * MIN(MIN(TblMili[[#This Row],[Frost Mage]]+Races!$F$71,Races!$E$71),6)  +  0.2 * ( MAX(TblMili[[#This Row],[Frost Mage]]+Races!$F$71-6,0) + MAX(Races!$E$71-6,0) )  -  Races!$I$71</f>
        <v>#VALUE!</v>
      </c>
      <c r="CX112" s="148" t="n">
        <f aca="false">1.8 * MIN(MAX(TblMili[[#This Row],[Ice Elemental]]+Races!$E$71,Races!$F$71),6)  +  0.45 * MIN(MIN(TblMili[[#This Row],[Ice Elemental]]+Races!$E$71,Races!$F$71),6)  +  0.2 * ( MAX(TblMili[[#This Row],[Ice Elemental]]+Races!$E$71-6,0) + MAX(Races!$F$71-6,0) )  -  Races!$I$71</f>
        <v>0.064285714285715</v>
      </c>
      <c r="CY112" s="69" t="e">
        <f aca="false">TblMili[[#This Row],[Frost Mage bonus]]*TblMili[[#This Row],[Unit 3]]+TblMili[[#This Row],[Ice Elemental bonus]]*TblMili[[#This Row],[Unit 4]]</f>
        <v>#VALUE!</v>
      </c>
      <c r="CZ112" s="290"/>
      <c r="DA112" s="109" t="n">
        <f aca="false">MIN(SUM(TblConstr[[#This Row],[Plain]:[Water]])/TblMili[[#This Row],[Land]]/favorable_terrain_bonus/100,favorable_terrain_max)</f>
        <v>0</v>
      </c>
      <c r="DB112" s="290"/>
      <c r="DC11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2" s="132"/>
      <c r="DE112" s="291" t="n">
        <f aca="false">(TblMili[[#This Row],[Wizards]]+2*TblMili[[#This Row],[Archmages]])/TblConstr[[#This Row],[Land]]</f>
        <v>0.0357142857142857</v>
      </c>
      <c r="DF112" s="291" t="n">
        <f aca="false">TblMili[[#This Row],[Raw (2)]]*(1+race_wizard_strength+IF(TblMili[[#This Row],[Hour]]&gt;72,tech_magical_weaponry_wiz*TblTech[[#This Row],[3-5]],0))</f>
        <v>0.0357142857142857</v>
      </c>
    </row>
    <row r="113" customFormat="false" ht="12.75" hidden="false" customHeight="false" outlineLevel="0" collapsed="false">
      <c r="A113" s="128" t="n">
        <f aca="false">TblRezone[[#This Row],[Hour]]</f>
        <v>110</v>
      </c>
      <c r="B113" s="282" t="n">
        <f aca="false">SUM(TblMili[[#This Row],[Unit 1]:[Archmages]])+SUM(OFFSET(TblMili[[#This Row],[Train Unit 1]],-8,0):TblMili[[#This Row],[Train Unit 2]]) + SUM(OFFSET(TblMili[[#This Row],[Train Unit 3]],-11,0):TblMili[[#This Row],[Train AM]]) + TblMili[[#This Row],[Draftees]]</f>
        <v>6035</v>
      </c>
      <c r="C113" s="150" t="n">
        <f aca="false">TblPop[[#This Row],[Military%]]</f>
        <v>0.466419352345622</v>
      </c>
      <c r="D113" s="132"/>
      <c r="E113" s="151" t="n">
        <f aca="false">OFFSET(TblMili[[#This Row],[Unit 1]],-1,0) + OFFSET(TblMili[[#This Row],[Train Unit 1]],-9,0) - TblMili[[#This Row],[Release Unit 1]]</f>
        <v>0</v>
      </c>
      <c r="F113" s="151" t="n">
        <f aca="false">OFFSET(TblMili[[#This Row],[Unit 2]],-1,0) + OFFSET(TblMili[[#This Row],[Train Unit 2]],-9,0)-TblMili[[#This Row],[Release Unit 2]]</f>
        <v>1246</v>
      </c>
      <c r="G113" s="151" t="n">
        <f aca="false">OFFSET(TblMili[[#This Row],[Unit 3]],-1,0) + OFFSET(TblMili[[#This Row],[Train Unit 3]],-12,0)-TblMili[[#This Row],[Release Unit 3]]</f>
        <v>700</v>
      </c>
      <c r="H113" s="151" t="n">
        <f aca="false">OFFSET(TblMili[[#This Row],[Unit 4]],-1,0) + OFFSET(TblMili[[#This Row],[Train Unit 4]],-12,0)-TblMili[[#This Row],[Release Unit 4]]</f>
        <v>1228</v>
      </c>
      <c r="I113" s="151" t="n">
        <f aca="false">OFFSET(TblMili[[#This Row],[Spies]],-1,0) + OFFSET(TblMili[[#This Row],[Train Spies]],-12,0) - TblMili[[#This Row],[Release Spies]]-TblMili[[#This Row],[Train AS]]</f>
        <v>25</v>
      </c>
      <c r="J113" s="151" t="n">
        <f aca="false">OFFSET(TblMili[[#This Row],[Archspies]],-1,0) + OFFSET(TblMili[[#This Row],[Train AS]],-12,0) - TblMili[[#This Row],[Release AS]]</f>
        <v>0</v>
      </c>
      <c r="K113" s="151" t="n">
        <f aca="false">OFFSET(TblMili[[#This Row],[Wizards]],-1,0) + OFFSET(TblMili[[#This Row],[Train Wiz]],-12,0) - TblMili[[#This Row],[Release Wizards]]-TblMili[[#This Row],[Train AM]]</f>
        <v>25</v>
      </c>
      <c r="L113" s="151" t="n">
        <f aca="false">OFFSET(TblMili[[#This Row],[Archmages]],-1,0) + OFFSET(TblMili[[#This Row],[Train AM]],-12,0) - TblMili[[#This Row],[Release AM]]</f>
        <v>0</v>
      </c>
      <c r="M113" s="132"/>
      <c r="N113" s="69" t="e">
        <f aca="false">TblProd[[#This Row],[Networth]]</f>
        <v>#VALUE!</v>
      </c>
      <c r="O113" s="132"/>
      <c r="P11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3" s="285" t="e">
        <f aca="false">TblMili[[#This Row],[Raw]]*(1+TblMili[[#This Row],[Mods_Off]])</f>
        <v>#VALUE!</v>
      </c>
      <c r="S11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3" s="285" t="e">
        <f aca="false">TblMili[[#This Row],[Non Draft]]+TblMili[[#This Row],[Draftees]]</f>
        <v>#VALUE!</v>
      </c>
      <c r="U113" s="286" t="n">
        <f aca="false">race_defense + TblImps[[#This Row],[Walls]] + ROUND( MIN(gt_bonus*TblConstr[[#This Row],[Tot GT]]/TblConstr[[#This Row],[Land]],gt_bonus_cap), 4) + IF(TblMagic[[#This Row],[Active Howling]]&gt;0,howling_dp_bonus,IF(TblMagic[[#This Row],[Active Ares Call]]&gt;0,ares_call_bonus))</f>
        <v>0.1375</v>
      </c>
      <c r="V113" s="274" t="e">
        <f aca="false">TblMili[[#This Row],[Non Draft]] * (1 + TblMili[[#This Row],[Mods_Def]])</f>
        <v>#VALUE!</v>
      </c>
      <c r="W113" s="285" t="e">
        <f aca="false">TblMili[[#This Row],[Draft]] * (1 + TblMili[[#This Row],[Mods_Def]])</f>
        <v>#VALUE!</v>
      </c>
      <c r="X113" s="285" t="n">
        <f aca="false">TblConstr[[#This Row],[Land]]</f>
        <v>700</v>
      </c>
      <c r="Y113" s="287"/>
      <c r="Z113" s="109" t="n">
        <f aca="false">IF(TblMili[[#This Row],[Set]]&lt;&gt;"",TblMili[[#This Row],[Set]],OFFSET(TblMili[[#This Row],[Draftrate]],-1,0))</f>
        <v>0.9</v>
      </c>
      <c r="AA113" s="69" t="n">
        <f aca="false">OFFSET(TblMili[[#This Row],[Draftees]],-1,0)+OFFSET(TblPop[[#This Row],[Draft Growth]],-1,0) - SUM(TblMili[[#This Row],[Train Unit 1]:[Train Spies]],TblMili[[#This Row],[Train Wiz]]) - TblMili[[#This Row],[Release Draft]] + SUM(TblMili[[#This Row],[Release Unit 1]:[Release AM]]) - TblExplore[[#This Row],[Draftees (2)]]</f>
        <v>2811</v>
      </c>
      <c r="AB113" s="146"/>
      <c r="AC113" s="130" t="n">
        <f aca="false">(TblConstr[[#This Row],[Tot Smi]]+TblConstr[[#This Row],[Dest Smi]])/(TblConstr[[#This Row],[Land]]-TblExplore[[#This Row],[Land Bonus]]*20)</f>
        <v>0.18</v>
      </c>
      <c r="AD113" s="128"/>
      <c r="AE113" s="282" t="n">
        <f aca="false">TblMili[[#This Row],[Hour]]</f>
        <v>110</v>
      </c>
      <c r="AF113" s="129" t="n">
        <f aca="false">TblExplore[[#This Row],[Time]]</f>
        <v>45434.2916666667</v>
      </c>
      <c r="AG113" s="182"/>
      <c r="AH113" s="182"/>
      <c r="AI113" s="182"/>
      <c r="AJ113" s="182"/>
      <c r="AK113" s="182"/>
      <c r="AL113" s="182"/>
      <c r="AM113" s="182"/>
      <c r="AN113" s="182"/>
      <c r="AO113" s="132"/>
      <c r="AP113" s="69" t="n">
        <f aca="false">TblProd[[#This Row],[Platinum]]</f>
        <v>1532054</v>
      </c>
      <c r="AQ113" s="69" t="n">
        <f aca="false">INDEX(TblProd[[#Headers],[Lumber]]:TblProd[[#This Row],[Ore]],COUNTA(TblProd[[#Headers],[Lumber]]:TblProd[[#This Row],[Lumber]]),MATCH(Military!$AQ$2,TblProd[[#Headers],[Lumber]:[Ore]],0))</f>
        <v>0</v>
      </c>
      <c r="AR11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69" t="n">
        <f aca="false">TblMili[[#This Row],[Train Unit 1]]*TblMili[[#This Row],[OP Ore]]+TblMili[[#This Row],[Train Unit 2]]*TblMili[[#This Row],[DP Ore]]+TblMili[[#This Row],[Train Unit 3]]*TblMili[[#This Row],[E1 Ore]]+TblMili[[#This Row],[Train Unit 4]]*TblMili[[#This Row],[E2 Ore]]</f>
        <v>0</v>
      </c>
      <c r="AT113" s="132" t="n">
        <f aca="false">TblMili[[#This Row],[Hour]]</f>
        <v>110</v>
      </c>
      <c r="AU113" s="144" t="n">
        <f aca="false">TblMili[[#This Row],[Time]]</f>
        <v>45434.2916666667</v>
      </c>
      <c r="AV113" s="69" t="n">
        <f aca="false">TblMili[[#This Row],[Draftees]]</f>
        <v>2811</v>
      </c>
      <c r="AW113" s="182"/>
      <c r="AX113" s="182"/>
      <c r="AY113" s="182"/>
      <c r="AZ113" s="182"/>
      <c r="BA113" s="182"/>
      <c r="BB113" s="182"/>
      <c r="BC113" s="182"/>
      <c r="BD113" s="182"/>
      <c r="BE113" s="182"/>
      <c r="BF113" s="132"/>
      <c r="BG113" s="150" t="n">
        <f aca="false">TblConstr[[#This Row],[Tot WG]]/TblConstr[[#This Row],[Land]]</f>
        <v>0</v>
      </c>
      <c r="BH113" s="150" t="n">
        <f aca="false">TblConstr[[#This Row],[Tot Hav]]/TblConstr[[#This Row],[Land]]</f>
        <v>0</v>
      </c>
      <c r="BI113" s="69" t="n">
        <f aca="false">ROUNDUP((1-MIN(TblMili[[#This Row],[Smithies]]*smithy_bonus,smithy_bonus_cap) + tech_3_5*TblTech[[#This Row],[3-5]] + tech_5_3*TblTech[[#This Row],[5-3]] + tech_5_5*TblTech[[#This Row],[5-5]])*spec_op_plat,0)</f>
        <v>192</v>
      </c>
      <c r="BJ113" s="69" t="n">
        <f aca="false">ROUNDUP(IF(race="Gnome",1,(1-MIN(TblMili[[#This Row],[Smithies]]*smithy_bonus,smithy_bonus_cap) + tech_3_5*TblTech[[#This Row],[3-5]] + tech_5_3*TblTech[[#This Row],[5-3]] + tech_5_5*TblTech[[#This Row],[5-5]]))*spec_op_ore,0)</f>
        <v>0</v>
      </c>
      <c r="BK113" s="69" t="n">
        <f aca="false">ROUNDUP((1-MIN(TblMili[[#This Row],[Smithies]]*smithy_bonus,smithy_bonus_cap) + tech_3_5*TblTech[[#This Row],[3-5]] + tech_5_3*TblTech[[#This Row],[5-3]] + tech_5_5*TblTech[[#This Row],[5-5]])*spec_dp_plat,0)</f>
        <v>192</v>
      </c>
      <c r="BL113" s="69" t="n">
        <f aca="false">ROUNDUP(IF(race="Gnome",1,(1-MIN(TblMili[[#This Row],[Smithies]]*smithy_bonus,smithy_bonus_cap) + tech_3_5*TblTech[[#This Row],[3-5]] + tech_5_3*TblTech[[#This Row],[5-3]] + tech_5_5*TblTech[[#This Row],[5-5]]))*spec_dp_ore,0)</f>
        <v>0</v>
      </c>
      <c r="BM113" s="69" t="n">
        <f aca="false">ROUNDUP((1-MIN(TblMili[[#This Row],[Smithies]]*smithy_bonus,smithy_bonus_cap) + tech_3_5*TblTech[[#This Row],[3-5]] + tech_5_3*TblTech[[#This Row],[5-3]] + tech_5_5*TblTech[[#This Row],[5-5]])*elite1_plat,0)</f>
        <v>592</v>
      </c>
      <c r="BN113" s="69" t="n">
        <f aca="false">ROUNDUP(IF(race="Gnome",1,(1-MIN(TblMili[[#This Row],[Smithies]]*smithy_bonus,smithy_bonus_cap) + tech_3_5*TblTech[[#This Row],[3-5]] + tech_5_3*TblTech[[#This Row],[5-3]] + tech_5_5*TblTech[[#This Row],[5-5]]))*elite1_ore,0)</f>
        <v>0</v>
      </c>
      <c r="BO113" s="69" t="n">
        <f aca="false">ROUNDUP((1-MIN(TblMili[[#This Row],[Smithies]]*smithy_bonus,smithy_bonus_cap) + tech_3_5*TblTech[[#This Row],[3-5]] + tech_5_3*TblTech[[#This Row],[5-3]] + tech_5_5*TblTech[[#This Row],[5-5]])*elite2_plat,0)</f>
        <v>608</v>
      </c>
      <c r="BP113" s="69" t="n">
        <f aca="false">ROUNDUP(IF(race="Gnome",1,(1-MIN(TblMili[[#This Row],[Smithies]]*smithy_bonus,smithy_bonus_cap) + tech_3_5*TblTech[[#This Row],[3-5]] + tech_5_3*TblTech[[#This Row],[5-3]] + tech_5_5*TblTech[[#This Row],[5-5]]))*elite2_ore,0)</f>
        <v>0</v>
      </c>
      <c r="BQ113" s="69" t="n">
        <f aca="false">ROUNDUP((1-MIN(ROUND(fh_spy_cost_red*TblMili[[#This Row],[FH''s]],4),fh_spy_cost_cap)+ tech_1_9*TblTech[[#This Row],[1-9]] + tech_9_1*TblTech[[#This Row],[9-1]])*spy_plat,0)</f>
        <v>500</v>
      </c>
      <c r="BR113" s="69" t="n">
        <f aca="false">ROUNDUP((1-MIN(ROUND(fh_spy_cost_red*TblMili[[#This Row],[FH''s]],4),fh_spy_cost_cap)+ tech_1_9*TblTech[[#This Row],[1-9]] + tech_9_1*TblTech[[#This Row],[9-1]])*archspy_plat,0)</f>
        <v>1000</v>
      </c>
      <c r="BS113" s="69" t="n">
        <f aca="false">ROUNDUP((1-MIN(ROUND(wg_wiz_cost_bonus*TblMili[[#This Row],[WG''s]],4),wg_wiz_cost_cap) + tech_1_9_2*TblTech[[#This Row],[1-9]] + tech_9_1_2*TblTech[[#This Row],[9-1]])*wizard_plat,0)</f>
        <v>500</v>
      </c>
      <c r="BT113" s="69" t="n">
        <f aca="false">ROUNDUP((1-MIN(ROUND(wg_wiz_cost_bonus*TblMili[[#This Row],[WG''s]],4),wg_wiz_cost_cap) + tech_1_9_2*TblTech[[#This Row],[1-9]] + tech_9_1_2*TblTech[[#This Row],[9-1]])*archmage_plat,0)</f>
        <v>1000</v>
      </c>
      <c r="BU113" s="132"/>
      <c r="BV113" s="150" t="e">
        <f aca="false">TblConstr[[#This Row],[Homeland]]/TblConstr[[#This Row],[Land]]</f>
        <v>#VALUE!</v>
      </c>
      <c r="BW113" s="150" t="n">
        <f aca="false">TblMili[[#This Row],[WG''s]]</f>
        <v>0</v>
      </c>
      <c r="BX113" s="288" t="e">
        <f aca="false">IF(mystic_cap="none",TblMili[[#This Row],[Hill]]/mystic_bonus,MIN(mystic_cap,TblMili[[#This Row],[Hill]]/mystic_bonus))</f>
        <v>#VALUE!</v>
      </c>
      <c r="BY113" s="288" t="e">
        <f aca="false">IF(druid_op_cap="none",TblMili[[#This Row],[Hill]]/druid_op_bonus,MIN(druid_op_cap,TblMili[[#This Row],[Hill]]/druid_op_bonus))</f>
        <v>#VALUE!</v>
      </c>
      <c r="BZ113" s="288" t="e">
        <f aca="false">IF(druid_dp_cap="none",TblMili[[#This Row],[Hill]]/druid_dp_bonus,MIN(druid_dp_cap,TblMili[[#This Row],[Hill]]/druid_dp_bonus))</f>
        <v>#VALUE!</v>
      </c>
      <c r="CA113" s="288" t="e">
        <f aca="false">MIN(dryad_cap,TblMili[[#This Row],[Hill]]/dryad_bonus)</f>
        <v>#VALUE!</v>
      </c>
      <c r="CB113" s="288" t="e">
        <f aca="false">MIN(rocka_cap,TblMili[[#This Row],[Hill]]/rocka_bonus)</f>
        <v>#VALUE!</v>
      </c>
      <c r="CC113" s="288" t="n">
        <f aca="false">MIN(adept_op_cap,TblMili[[#This Row],[WG]]/adept_op_bonus)</f>
        <v>0</v>
      </c>
      <c r="CD113" s="288" t="n">
        <f aca="false">MIN(adept_dp_cap,TblMili[[#This Row],[WG]]/adept_dp_bonus)</f>
        <v>0</v>
      </c>
      <c r="CE113" s="69" t="n">
        <f aca="false">MIN(TblMili[[#This Row],[Unit 3]],TblMili[[#This Row],[Unit 2]])*2</f>
        <v>1400</v>
      </c>
      <c r="CF113" s="69" t="n">
        <f aca="false">MIN(TblMili[[#This Row],[Unit 1]],TblMili[[#This Row],[Unit 4]])*2</f>
        <v>0</v>
      </c>
      <c r="CG113" s="288" t="e">
        <f aca="false">MIN(frost_mage_cap,TblMili[[#This Row],[Hill]]/frost_mage_bonus)</f>
        <v>#VALUE!</v>
      </c>
      <c r="CH113" s="151" t="n">
        <f aca="false">MIN(ice_elem_cap,TblMili[[#This Row],[Raw (2)]]*ice_elem_bonus)</f>
        <v>0.0357142857142857</v>
      </c>
      <c r="CI113" s="288" t="n">
        <f aca="false">MIN(bone_breaker_cap,250/bone_breaker_bonus)</f>
        <v>0.833333333333333</v>
      </c>
      <c r="CJ113" s="288" t="e">
        <f aca="false">MIN(nox_nightshade_cap,TblConstr[[#This Row],[Homeland]]/TblConstr[[#This Row],[Land]]/nox_nightshade_swamp_bonus)</f>
        <v>#VALUE!</v>
      </c>
      <c r="CK113" s="289"/>
      <c r="CL113" s="289"/>
      <c r="CM113" s="289"/>
      <c r="CN113" s="288" t="e">
        <f aca="false">MIN(6,TblMili[[#This Row],[Mystic]]+Races!$F$19)*1.8 +  IF(TblMili[[#This Row],[Mystic]]+Races!$F$19&gt;6,(TblMili[[#This Row],[Mystic]]+Races!$F$19-6)*0.2,0) - Races!$I$19</f>
        <v>#VALUE!</v>
      </c>
      <c r="CO113" s="288" t="e">
        <f aca="false">1.8 * MIN(MAX(TblMili[[#This Row],[Druid (op)]]+Races!$E$20,TblMili[[#This Row],[Druid (dp)]]+Races!$F$20),6)  +  0.45 * MIN(MIN(TblMili[[#This Row],[Druid (op)]]+Races!$E$20,TblMili[[#This Row],[Druid (dp)]]+Races!$F$20),6)  +  0.2 * ( MAX(TblMili[[#This Row],[Druid (op)]]+Races!$E$20-6,0) + MAX(TblMili[[#This Row],[Druid (dp)]]+Races!$F$20-6,0) )  -  Races!$I$20</f>
        <v>#VALUE!</v>
      </c>
      <c r="CP113" s="69" t="e">
        <f aca="false">TblMili[[#This Row],[Mystic bonus]]*TblMili[[#This Row],[Unit 3]]+TblMili[[#This Row],[Druid bonus]]*TblMili[[#This Row],[Unit 4]]</f>
        <v>#VALUE!</v>
      </c>
      <c r="CQ113" s="148" t="e">
        <f aca="false">MIN(6,TblMili[[#This Row],[Dryad]]+Races!$F$35)*1.8 +  IF(TblMili[[#This Row],[Dryad]]+Races!$F$35&gt;6,(TblMili[[#This Row],[Dryad]]+Races!$F$35-6)*0.2,0) - Races!$I$19</f>
        <v>#VALUE!</v>
      </c>
      <c r="CR113" s="69" t="e">
        <f aca="false">sylvan*(TblMili[[#This Row],[Mystic bonus]]*TblMili[[#This Row],[Unit 3]])</f>
        <v>#VALUE!</v>
      </c>
      <c r="CS113" s="148" t="e">
        <f aca="false">1.8 * MIN(MAX(Races!$E$27,TblMili[[#This Row],[Rockapult]]+Races!$F$27),6)  +  0.45 * MIN(MIN(Races!$E$27,TblMili[[#This Row],[Rockapult]]+Races!$F$27),6)  +  0.2 * ( MAX(Races!$E$27-6,0) + MAX(TblMili[[#This Row],[Rockapult]]+Races!$F$27-6,0) )  -  Races!$I$20</f>
        <v>#VALUE!</v>
      </c>
      <c r="CT113" s="69" t="e">
        <f aca="false">gnome*(TblMili[[#This Row],[Rockapult bonus]]*TblMili[[#This Row],[Unit 3]])</f>
        <v>#VALUE!</v>
      </c>
      <c r="CU113" s="148" t="n">
        <f aca="false">1.8 * MIN(MAX(TblMili[[#This Row],[Spellblade]]+Races!$E$47,TblMili[[#This Row],[Adept-DP]]+Races!$F$47),6)  +  0.45 * MIN(MIN(TblMili[[#This Row],[Spellblade]]+Races!$E$47,TblMili[[#This Row],[Adept-DP]]+Races!$F$47),6)  +  0.2 * ( MAX(TblMili[[#This Row],[Spellblade]]+Races!$E$47-6,0) + MAX(TblMili[[#This Row],[Adept-DP]]+Races!$F$47-6,0) )  -  Races!$I$47</f>
        <v>0</v>
      </c>
      <c r="CV113" s="69" t="n">
        <f aca="false">dark_elf*(TblMili[[#This Row],[Adept bonus]]*TblMili[[#This Row],[Unit 3]])</f>
        <v>0</v>
      </c>
      <c r="CW113" s="148" t="e">
        <f aca="false">1.8 * MIN(MAX(TblMili[[#This Row],[Frost Mage]]+Races!$F$71,Races!$E$71),6)  +  0.45 * MIN(MIN(TblMili[[#This Row],[Frost Mage]]+Races!$F$71,Races!$E$71),6)  +  0.2 * ( MAX(TblMili[[#This Row],[Frost Mage]]+Races!$F$71-6,0) + MAX(Races!$E$71-6,0) )  -  Races!$I$71</f>
        <v>#VALUE!</v>
      </c>
      <c r="CX113" s="148" t="n">
        <f aca="false">1.8 * MIN(MAX(TblMili[[#This Row],[Ice Elemental]]+Races!$E$71,Races!$F$71),6)  +  0.45 * MIN(MIN(TblMili[[#This Row],[Ice Elemental]]+Races!$E$71,Races!$F$71),6)  +  0.2 * ( MAX(TblMili[[#This Row],[Ice Elemental]]+Races!$E$71-6,0) + MAX(Races!$F$71-6,0) )  -  Races!$I$71</f>
        <v>0.064285714285715</v>
      </c>
      <c r="CY113" s="69" t="e">
        <f aca="false">TblMili[[#This Row],[Frost Mage bonus]]*TblMili[[#This Row],[Unit 3]]+TblMili[[#This Row],[Ice Elemental bonus]]*TblMili[[#This Row],[Unit 4]]</f>
        <v>#VALUE!</v>
      </c>
      <c r="CZ113" s="290"/>
      <c r="DA113" s="109" t="n">
        <f aca="false">MIN(SUM(TblConstr[[#This Row],[Plain]:[Water]])/TblMili[[#This Row],[Land]]/favorable_terrain_bonus/100,favorable_terrain_max)</f>
        <v>0</v>
      </c>
      <c r="DB113" s="290"/>
      <c r="DC11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3" s="132"/>
      <c r="DE113" s="291" t="n">
        <f aca="false">(TblMili[[#This Row],[Wizards]]+2*TblMili[[#This Row],[Archmages]])/TblConstr[[#This Row],[Land]]</f>
        <v>0.0357142857142857</v>
      </c>
      <c r="DF113" s="291" t="n">
        <f aca="false">TblMili[[#This Row],[Raw (2)]]*(1+race_wizard_strength+IF(TblMili[[#This Row],[Hour]]&gt;72,tech_magical_weaponry_wiz*TblTech[[#This Row],[3-5]],0))</f>
        <v>0.0357142857142857</v>
      </c>
    </row>
    <row r="114" customFormat="false" ht="12.75" hidden="false" customHeight="false" outlineLevel="0" collapsed="false">
      <c r="A114" s="128" t="n">
        <f aca="false">TblRezone[[#This Row],[Hour]]</f>
        <v>111</v>
      </c>
      <c r="B114" s="282" t="n">
        <f aca="false">SUM(TblMili[[#This Row],[Unit 1]:[Archmages]])+SUM(OFFSET(TblMili[[#This Row],[Train Unit 1]],-8,0):TblMili[[#This Row],[Train Unit 2]]) + SUM(OFFSET(TblMili[[#This Row],[Train Unit 3]],-11,0):TblMili[[#This Row],[Train AM]]) + TblMili[[#This Row],[Draftees]]</f>
        <v>6104</v>
      </c>
      <c r="C114" s="150" t="n">
        <f aca="false">TblPop[[#This Row],[Military%]]</f>
        <v>0.471752067393153</v>
      </c>
      <c r="D114" s="132"/>
      <c r="E114" s="151" t="n">
        <f aca="false">OFFSET(TblMili[[#This Row],[Unit 1]],-1,0) + OFFSET(TblMili[[#This Row],[Train Unit 1]],-9,0) - TblMili[[#This Row],[Release Unit 1]]</f>
        <v>0</v>
      </c>
      <c r="F114" s="151" t="n">
        <f aca="false">OFFSET(TblMili[[#This Row],[Unit 2]],-1,0) + OFFSET(TblMili[[#This Row],[Train Unit 2]],-9,0)-TblMili[[#This Row],[Release Unit 2]]</f>
        <v>1246</v>
      </c>
      <c r="G114" s="151" t="n">
        <f aca="false">OFFSET(TblMili[[#This Row],[Unit 3]],-1,0) + OFFSET(TblMili[[#This Row],[Train Unit 3]],-12,0)-TblMili[[#This Row],[Release Unit 3]]</f>
        <v>700</v>
      </c>
      <c r="H114" s="151" t="n">
        <f aca="false">OFFSET(TblMili[[#This Row],[Unit 4]],-1,0) + OFFSET(TblMili[[#This Row],[Train Unit 4]],-12,0)-TblMili[[#This Row],[Release Unit 4]]</f>
        <v>1228</v>
      </c>
      <c r="I114" s="151" t="n">
        <f aca="false">OFFSET(TblMili[[#This Row],[Spies]],-1,0) + OFFSET(TblMili[[#This Row],[Train Spies]],-12,0) - TblMili[[#This Row],[Release Spies]]-TblMili[[#This Row],[Train AS]]</f>
        <v>25</v>
      </c>
      <c r="J114" s="151" t="n">
        <f aca="false">OFFSET(TblMili[[#This Row],[Archspies]],-1,0) + OFFSET(TblMili[[#This Row],[Train AS]],-12,0) - TblMili[[#This Row],[Release AS]]</f>
        <v>0</v>
      </c>
      <c r="K114" s="151" t="n">
        <f aca="false">OFFSET(TblMili[[#This Row],[Wizards]],-1,0) + OFFSET(TblMili[[#This Row],[Train Wiz]],-12,0) - TblMili[[#This Row],[Release Wizards]]-TblMili[[#This Row],[Train AM]]</f>
        <v>25</v>
      </c>
      <c r="L114" s="151" t="n">
        <f aca="false">OFFSET(TblMili[[#This Row],[Archmages]],-1,0) + OFFSET(TblMili[[#This Row],[Train AM]],-12,0) - TblMili[[#This Row],[Release AM]]</f>
        <v>0</v>
      </c>
      <c r="M114" s="132"/>
      <c r="N114" s="69" t="e">
        <f aca="false">TblProd[[#This Row],[Networth]]</f>
        <v>#VALUE!</v>
      </c>
      <c r="O114" s="132"/>
      <c r="P11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4" s="285" t="e">
        <f aca="false">TblMili[[#This Row],[Raw]]*(1+TblMili[[#This Row],[Mods_Off]])</f>
        <v>#VALUE!</v>
      </c>
      <c r="S11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4" s="285" t="e">
        <f aca="false">TblMili[[#This Row],[Non Draft]]+TblMili[[#This Row],[Draftees]]</f>
        <v>#VALUE!</v>
      </c>
      <c r="U114" s="286" t="n">
        <f aca="false">race_defense + TblImps[[#This Row],[Walls]] + ROUND( MIN(gt_bonus*TblConstr[[#This Row],[Tot GT]]/TblConstr[[#This Row],[Land]],gt_bonus_cap), 4) + IF(TblMagic[[#This Row],[Active Howling]]&gt;0,howling_dp_bonus,IF(TblMagic[[#This Row],[Active Ares Call]]&gt;0,ares_call_bonus))</f>
        <v>0.1375</v>
      </c>
      <c r="V114" s="274" t="e">
        <f aca="false">TblMili[[#This Row],[Non Draft]] * (1 + TblMili[[#This Row],[Mods_Def]])</f>
        <v>#VALUE!</v>
      </c>
      <c r="W114" s="285" t="e">
        <f aca="false">TblMili[[#This Row],[Draft]] * (1 + TblMili[[#This Row],[Mods_Def]])</f>
        <v>#VALUE!</v>
      </c>
      <c r="X114" s="285" t="n">
        <f aca="false">TblConstr[[#This Row],[Land]]</f>
        <v>700</v>
      </c>
      <c r="Y114" s="287"/>
      <c r="Z114" s="109" t="n">
        <f aca="false">IF(TblMili[[#This Row],[Set]]&lt;&gt;"",TblMili[[#This Row],[Set]],OFFSET(TblMili[[#This Row],[Draftrate]],-1,0))</f>
        <v>0.9</v>
      </c>
      <c r="AA114" s="69" t="n">
        <f aca="false">OFFSET(TblMili[[#This Row],[Draftees]],-1,0)+OFFSET(TblPop[[#This Row],[Draft Growth]],-1,0) - SUM(TblMili[[#This Row],[Train Unit 1]:[Train Spies]],TblMili[[#This Row],[Train Wiz]]) - TblMili[[#This Row],[Release Draft]] + SUM(TblMili[[#This Row],[Release Unit 1]:[Release AM]]) - TblExplore[[#This Row],[Draftees (2)]]</f>
        <v>2880</v>
      </c>
      <c r="AB114" s="146"/>
      <c r="AC114" s="130" t="n">
        <f aca="false">(TblConstr[[#This Row],[Tot Smi]]+TblConstr[[#This Row],[Dest Smi]])/(TblConstr[[#This Row],[Land]]-TblExplore[[#This Row],[Land Bonus]]*20)</f>
        <v>0.18</v>
      </c>
      <c r="AD114" s="128"/>
      <c r="AE114" s="282" t="n">
        <f aca="false">TblMili[[#This Row],[Hour]]</f>
        <v>111</v>
      </c>
      <c r="AF114" s="129" t="n">
        <f aca="false">TblExplore[[#This Row],[Time]]</f>
        <v>45434.3333333333</v>
      </c>
      <c r="AG114" s="182"/>
      <c r="AH114" s="182"/>
      <c r="AI114" s="182"/>
      <c r="AJ114" s="182"/>
      <c r="AK114" s="182"/>
      <c r="AL114" s="182"/>
      <c r="AM114" s="182"/>
      <c r="AN114" s="182"/>
      <c r="AO114" s="132"/>
      <c r="AP114" s="69" t="n">
        <f aca="false">TblProd[[#This Row],[Platinum]]</f>
        <v>1563069</v>
      </c>
      <c r="AQ114" s="69" t="n">
        <f aca="false">INDEX(TblProd[[#Headers],[Lumber]]:TblProd[[#This Row],[Ore]],COUNTA(TblProd[[#Headers],[Lumber]]:TblProd[[#This Row],[Lumber]]),MATCH(Military!$AQ$2,TblProd[[#Headers],[Lumber]:[Ore]],0))</f>
        <v>0</v>
      </c>
      <c r="AR11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69" t="n">
        <f aca="false">TblMili[[#This Row],[Train Unit 1]]*TblMili[[#This Row],[OP Ore]]+TblMili[[#This Row],[Train Unit 2]]*TblMili[[#This Row],[DP Ore]]+TblMili[[#This Row],[Train Unit 3]]*TblMili[[#This Row],[E1 Ore]]+TblMili[[#This Row],[Train Unit 4]]*TblMili[[#This Row],[E2 Ore]]</f>
        <v>0</v>
      </c>
      <c r="AT114" s="132" t="n">
        <f aca="false">TblMili[[#This Row],[Hour]]</f>
        <v>111</v>
      </c>
      <c r="AU114" s="144" t="n">
        <f aca="false">TblMili[[#This Row],[Time]]</f>
        <v>45434.3333333333</v>
      </c>
      <c r="AV114" s="69" t="n">
        <f aca="false">TblMili[[#This Row],[Draftees]]</f>
        <v>2880</v>
      </c>
      <c r="AW114" s="182"/>
      <c r="AX114" s="182"/>
      <c r="AY114" s="182"/>
      <c r="AZ114" s="182"/>
      <c r="BA114" s="182"/>
      <c r="BB114" s="182"/>
      <c r="BC114" s="182"/>
      <c r="BD114" s="182"/>
      <c r="BE114" s="182"/>
      <c r="BF114" s="132"/>
      <c r="BG114" s="150" t="n">
        <f aca="false">TblConstr[[#This Row],[Tot WG]]/TblConstr[[#This Row],[Land]]</f>
        <v>0</v>
      </c>
      <c r="BH114" s="150" t="n">
        <f aca="false">TblConstr[[#This Row],[Tot Hav]]/TblConstr[[#This Row],[Land]]</f>
        <v>0</v>
      </c>
      <c r="BI114" s="69" t="n">
        <f aca="false">ROUNDUP((1-MIN(TblMili[[#This Row],[Smithies]]*smithy_bonus,smithy_bonus_cap) + tech_3_5*TblTech[[#This Row],[3-5]] + tech_5_3*TblTech[[#This Row],[5-3]] + tech_5_5*TblTech[[#This Row],[5-5]])*spec_op_plat,0)</f>
        <v>192</v>
      </c>
      <c r="BJ114" s="69" t="n">
        <f aca="false">ROUNDUP(IF(race="Gnome",1,(1-MIN(TblMili[[#This Row],[Smithies]]*smithy_bonus,smithy_bonus_cap) + tech_3_5*TblTech[[#This Row],[3-5]] + tech_5_3*TblTech[[#This Row],[5-3]] + tech_5_5*TblTech[[#This Row],[5-5]]))*spec_op_ore,0)</f>
        <v>0</v>
      </c>
      <c r="BK114" s="69" t="n">
        <f aca="false">ROUNDUP((1-MIN(TblMili[[#This Row],[Smithies]]*smithy_bonus,smithy_bonus_cap) + tech_3_5*TblTech[[#This Row],[3-5]] + tech_5_3*TblTech[[#This Row],[5-3]] + tech_5_5*TblTech[[#This Row],[5-5]])*spec_dp_plat,0)</f>
        <v>192</v>
      </c>
      <c r="BL114" s="69" t="n">
        <f aca="false">ROUNDUP(IF(race="Gnome",1,(1-MIN(TblMili[[#This Row],[Smithies]]*smithy_bonus,smithy_bonus_cap) + tech_3_5*TblTech[[#This Row],[3-5]] + tech_5_3*TblTech[[#This Row],[5-3]] + tech_5_5*TblTech[[#This Row],[5-5]]))*spec_dp_ore,0)</f>
        <v>0</v>
      </c>
      <c r="BM114" s="69" t="n">
        <f aca="false">ROUNDUP((1-MIN(TblMili[[#This Row],[Smithies]]*smithy_bonus,smithy_bonus_cap) + tech_3_5*TblTech[[#This Row],[3-5]] + tech_5_3*TblTech[[#This Row],[5-3]] + tech_5_5*TblTech[[#This Row],[5-5]])*elite1_plat,0)</f>
        <v>592</v>
      </c>
      <c r="BN114" s="69" t="n">
        <f aca="false">ROUNDUP(IF(race="Gnome",1,(1-MIN(TblMili[[#This Row],[Smithies]]*smithy_bonus,smithy_bonus_cap) + tech_3_5*TblTech[[#This Row],[3-5]] + tech_5_3*TblTech[[#This Row],[5-3]] + tech_5_5*TblTech[[#This Row],[5-5]]))*elite1_ore,0)</f>
        <v>0</v>
      </c>
      <c r="BO114" s="69" t="n">
        <f aca="false">ROUNDUP((1-MIN(TblMili[[#This Row],[Smithies]]*smithy_bonus,smithy_bonus_cap) + tech_3_5*TblTech[[#This Row],[3-5]] + tech_5_3*TblTech[[#This Row],[5-3]] + tech_5_5*TblTech[[#This Row],[5-5]])*elite2_plat,0)</f>
        <v>608</v>
      </c>
      <c r="BP114" s="69" t="n">
        <f aca="false">ROUNDUP(IF(race="Gnome",1,(1-MIN(TblMili[[#This Row],[Smithies]]*smithy_bonus,smithy_bonus_cap) + tech_3_5*TblTech[[#This Row],[3-5]] + tech_5_3*TblTech[[#This Row],[5-3]] + tech_5_5*TblTech[[#This Row],[5-5]]))*elite2_ore,0)</f>
        <v>0</v>
      </c>
      <c r="BQ114" s="69" t="n">
        <f aca="false">ROUNDUP((1-MIN(ROUND(fh_spy_cost_red*TblMili[[#This Row],[FH''s]],4),fh_spy_cost_cap)+ tech_1_9*TblTech[[#This Row],[1-9]] + tech_9_1*TblTech[[#This Row],[9-1]])*spy_plat,0)</f>
        <v>500</v>
      </c>
      <c r="BR114" s="69" t="n">
        <f aca="false">ROUNDUP((1-MIN(ROUND(fh_spy_cost_red*TblMili[[#This Row],[FH''s]],4),fh_spy_cost_cap)+ tech_1_9*TblTech[[#This Row],[1-9]] + tech_9_1*TblTech[[#This Row],[9-1]])*archspy_plat,0)</f>
        <v>1000</v>
      </c>
      <c r="BS114" s="69" t="n">
        <f aca="false">ROUNDUP((1-MIN(ROUND(wg_wiz_cost_bonus*TblMili[[#This Row],[WG''s]],4),wg_wiz_cost_cap) + tech_1_9_2*TblTech[[#This Row],[1-9]] + tech_9_1_2*TblTech[[#This Row],[9-1]])*wizard_plat,0)</f>
        <v>500</v>
      </c>
      <c r="BT114" s="69" t="n">
        <f aca="false">ROUNDUP((1-MIN(ROUND(wg_wiz_cost_bonus*TblMili[[#This Row],[WG''s]],4),wg_wiz_cost_cap) + tech_1_9_2*TblTech[[#This Row],[1-9]] + tech_9_1_2*TblTech[[#This Row],[9-1]])*archmage_plat,0)</f>
        <v>1000</v>
      </c>
      <c r="BU114" s="132"/>
      <c r="BV114" s="150" t="e">
        <f aca="false">TblConstr[[#This Row],[Homeland]]/TblConstr[[#This Row],[Land]]</f>
        <v>#VALUE!</v>
      </c>
      <c r="BW114" s="150" t="n">
        <f aca="false">TblMili[[#This Row],[WG''s]]</f>
        <v>0</v>
      </c>
      <c r="BX114" s="288" t="e">
        <f aca="false">IF(mystic_cap="none",TblMili[[#This Row],[Hill]]/mystic_bonus,MIN(mystic_cap,TblMili[[#This Row],[Hill]]/mystic_bonus))</f>
        <v>#VALUE!</v>
      </c>
      <c r="BY114" s="288" t="e">
        <f aca="false">IF(druid_op_cap="none",TblMili[[#This Row],[Hill]]/druid_op_bonus,MIN(druid_op_cap,TblMili[[#This Row],[Hill]]/druid_op_bonus))</f>
        <v>#VALUE!</v>
      </c>
      <c r="BZ114" s="288" t="e">
        <f aca="false">IF(druid_dp_cap="none",TblMili[[#This Row],[Hill]]/druid_dp_bonus,MIN(druid_dp_cap,TblMili[[#This Row],[Hill]]/druid_dp_bonus))</f>
        <v>#VALUE!</v>
      </c>
      <c r="CA114" s="288" t="e">
        <f aca="false">MIN(dryad_cap,TblMili[[#This Row],[Hill]]/dryad_bonus)</f>
        <v>#VALUE!</v>
      </c>
      <c r="CB114" s="288" t="e">
        <f aca="false">MIN(rocka_cap,TblMili[[#This Row],[Hill]]/rocka_bonus)</f>
        <v>#VALUE!</v>
      </c>
      <c r="CC114" s="288" t="n">
        <f aca="false">MIN(adept_op_cap,TblMili[[#This Row],[WG]]/adept_op_bonus)</f>
        <v>0</v>
      </c>
      <c r="CD114" s="288" t="n">
        <f aca="false">MIN(adept_dp_cap,TblMili[[#This Row],[WG]]/adept_dp_bonus)</f>
        <v>0</v>
      </c>
      <c r="CE114" s="69" t="n">
        <f aca="false">MIN(TblMili[[#This Row],[Unit 3]],TblMili[[#This Row],[Unit 2]])*2</f>
        <v>1400</v>
      </c>
      <c r="CF114" s="69" t="n">
        <f aca="false">MIN(TblMili[[#This Row],[Unit 1]],TblMili[[#This Row],[Unit 4]])*2</f>
        <v>0</v>
      </c>
      <c r="CG114" s="288" t="e">
        <f aca="false">MIN(frost_mage_cap,TblMili[[#This Row],[Hill]]/frost_mage_bonus)</f>
        <v>#VALUE!</v>
      </c>
      <c r="CH114" s="151" t="n">
        <f aca="false">MIN(ice_elem_cap,TblMili[[#This Row],[Raw (2)]]*ice_elem_bonus)</f>
        <v>0.0357142857142857</v>
      </c>
      <c r="CI114" s="288" t="n">
        <f aca="false">MIN(bone_breaker_cap,250/bone_breaker_bonus)</f>
        <v>0.833333333333333</v>
      </c>
      <c r="CJ114" s="288" t="e">
        <f aca="false">MIN(nox_nightshade_cap,TblConstr[[#This Row],[Homeland]]/TblConstr[[#This Row],[Land]]/nox_nightshade_swamp_bonus)</f>
        <v>#VALUE!</v>
      </c>
      <c r="CK114" s="289"/>
      <c r="CL114" s="289"/>
      <c r="CM114" s="289"/>
      <c r="CN114" s="288" t="e">
        <f aca="false">MIN(6,TblMili[[#This Row],[Mystic]]+Races!$F$19)*1.8 +  IF(TblMili[[#This Row],[Mystic]]+Races!$F$19&gt;6,(TblMili[[#This Row],[Mystic]]+Races!$F$19-6)*0.2,0) - Races!$I$19</f>
        <v>#VALUE!</v>
      </c>
      <c r="CO114" s="288" t="e">
        <f aca="false">1.8 * MIN(MAX(TblMili[[#This Row],[Druid (op)]]+Races!$E$20,TblMili[[#This Row],[Druid (dp)]]+Races!$F$20),6)  +  0.45 * MIN(MIN(TblMili[[#This Row],[Druid (op)]]+Races!$E$20,TblMili[[#This Row],[Druid (dp)]]+Races!$F$20),6)  +  0.2 * ( MAX(TblMili[[#This Row],[Druid (op)]]+Races!$E$20-6,0) + MAX(TblMili[[#This Row],[Druid (dp)]]+Races!$F$20-6,0) )  -  Races!$I$20</f>
        <v>#VALUE!</v>
      </c>
      <c r="CP114" s="69" t="e">
        <f aca="false">TblMili[[#This Row],[Mystic bonus]]*TblMili[[#This Row],[Unit 3]]+TblMili[[#This Row],[Druid bonus]]*TblMili[[#This Row],[Unit 4]]</f>
        <v>#VALUE!</v>
      </c>
      <c r="CQ114" s="148" t="e">
        <f aca="false">MIN(6,TblMili[[#This Row],[Dryad]]+Races!$F$35)*1.8 +  IF(TblMili[[#This Row],[Dryad]]+Races!$F$35&gt;6,(TblMili[[#This Row],[Dryad]]+Races!$F$35-6)*0.2,0) - Races!$I$19</f>
        <v>#VALUE!</v>
      </c>
      <c r="CR114" s="69" t="e">
        <f aca="false">sylvan*(TblMili[[#This Row],[Mystic bonus]]*TblMili[[#This Row],[Unit 3]])</f>
        <v>#VALUE!</v>
      </c>
      <c r="CS114" s="148" t="e">
        <f aca="false">1.8 * MIN(MAX(Races!$E$27,TblMili[[#This Row],[Rockapult]]+Races!$F$27),6)  +  0.45 * MIN(MIN(Races!$E$27,TblMili[[#This Row],[Rockapult]]+Races!$F$27),6)  +  0.2 * ( MAX(Races!$E$27-6,0) + MAX(TblMili[[#This Row],[Rockapult]]+Races!$F$27-6,0) )  -  Races!$I$20</f>
        <v>#VALUE!</v>
      </c>
      <c r="CT114" s="69" t="e">
        <f aca="false">gnome*(TblMili[[#This Row],[Rockapult bonus]]*TblMili[[#This Row],[Unit 3]])</f>
        <v>#VALUE!</v>
      </c>
      <c r="CU114" s="148" t="n">
        <f aca="false">1.8 * MIN(MAX(TblMili[[#This Row],[Spellblade]]+Races!$E$47,TblMili[[#This Row],[Adept-DP]]+Races!$F$47),6)  +  0.45 * MIN(MIN(TblMili[[#This Row],[Spellblade]]+Races!$E$47,TblMili[[#This Row],[Adept-DP]]+Races!$F$47),6)  +  0.2 * ( MAX(TblMili[[#This Row],[Spellblade]]+Races!$E$47-6,0) + MAX(TblMili[[#This Row],[Adept-DP]]+Races!$F$47-6,0) )  -  Races!$I$47</f>
        <v>0</v>
      </c>
      <c r="CV114" s="69" t="n">
        <f aca="false">dark_elf*(TblMili[[#This Row],[Adept bonus]]*TblMili[[#This Row],[Unit 3]])</f>
        <v>0</v>
      </c>
      <c r="CW114" s="148" t="e">
        <f aca="false">1.8 * MIN(MAX(TblMili[[#This Row],[Frost Mage]]+Races!$F$71,Races!$E$71),6)  +  0.45 * MIN(MIN(TblMili[[#This Row],[Frost Mage]]+Races!$F$71,Races!$E$71),6)  +  0.2 * ( MAX(TblMili[[#This Row],[Frost Mage]]+Races!$F$71-6,0) + MAX(Races!$E$71-6,0) )  -  Races!$I$71</f>
        <v>#VALUE!</v>
      </c>
      <c r="CX114" s="148" t="n">
        <f aca="false">1.8 * MIN(MAX(TblMili[[#This Row],[Ice Elemental]]+Races!$E$71,Races!$F$71),6)  +  0.45 * MIN(MIN(TblMili[[#This Row],[Ice Elemental]]+Races!$E$71,Races!$F$71),6)  +  0.2 * ( MAX(TblMili[[#This Row],[Ice Elemental]]+Races!$E$71-6,0) + MAX(Races!$F$71-6,0) )  -  Races!$I$71</f>
        <v>0.064285714285715</v>
      </c>
      <c r="CY114" s="69" t="e">
        <f aca="false">TblMili[[#This Row],[Frost Mage bonus]]*TblMili[[#This Row],[Unit 3]]+TblMili[[#This Row],[Ice Elemental bonus]]*TblMili[[#This Row],[Unit 4]]</f>
        <v>#VALUE!</v>
      </c>
      <c r="CZ114" s="290"/>
      <c r="DA114" s="109" t="n">
        <f aca="false">MIN(SUM(TblConstr[[#This Row],[Plain]:[Water]])/TblMili[[#This Row],[Land]]/favorable_terrain_bonus/100,favorable_terrain_max)</f>
        <v>0</v>
      </c>
      <c r="DB114" s="290"/>
      <c r="DC11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4" s="132"/>
      <c r="DE114" s="291" t="n">
        <f aca="false">(TblMili[[#This Row],[Wizards]]+2*TblMili[[#This Row],[Archmages]])/TblConstr[[#This Row],[Land]]</f>
        <v>0.0357142857142857</v>
      </c>
      <c r="DF114" s="291" t="n">
        <f aca="false">TblMili[[#This Row],[Raw (2)]]*(1+race_wizard_strength+IF(TblMili[[#This Row],[Hour]]&gt;72,tech_magical_weaponry_wiz*TblTech[[#This Row],[3-5]],0))</f>
        <v>0.0357142857142857</v>
      </c>
    </row>
    <row r="115" customFormat="false" ht="12.75" hidden="false" customHeight="false" outlineLevel="0" collapsed="false">
      <c r="A115" s="128" t="n">
        <f aca="false">TblRezone[[#This Row],[Hour]]</f>
        <v>112</v>
      </c>
      <c r="B115" s="282" t="n">
        <f aca="false">SUM(TblMili[[#This Row],[Unit 1]:[Archmages]])+SUM(OFFSET(TblMili[[#This Row],[Train Unit 1]],-8,0):TblMili[[#This Row],[Train Unit 2]]) + SUM(OFFSET(TblMili[[#This Row],[Train Unit 3]],-11,0):TblMili[[#This Row],[Train AM]]) + TblMili[[#This Row],[Draftees]]</f>
        <v>6172</v>
      </c>
      <c r="C115" s="150" t="n">
        <f aca="false">TblPop[[#This Row],[Military%]]</f>
        <v>0.477007496715357</v>
      </c>
      <c r="D115" s="132"/>
      <c r="E115" s="151" t="n">
        <f aca="false">OFFSET(TblMili[[#This Row],[Unit 1]],-1,0) + OFFSET(TblMili[[#This Row],[Train Unit 1]],-9,0) - TblMili[[#This Row],[Release Unit 1]]</f>
        <v>0</v>
      </c>
      <c r="F115" s="151" t="n">
        <f aca="false">OFFSET(TblMili[[#This Row],[Unit 2]],-1,0) + OFFSET(TblMili[[#This Row],[Train Unit 2]],-9,0)-TblMili[[#This Row],[Release Unit 2]]</f>
        <v>1246</v>
      </c>
      <c r="G115" s="151" t="n">
        <f aca="false">OFFSET(TblMili[[#This Row],[Unit 3]],-1,0) + OFFSET(TblMili[[#This Row],[Train Unit 3]],-12,0)-TblMili[[#This Row],[Release Unit 3]]</f>
        <v>700</v>
      </c>
      <c r="H115" s="151" t="n">
        <f aca="false">OFFSET(TblMili[[#This Row],[Unit 4]],-1,0) + OFFSET(TblMili[[#This Row],[Train Unit 4]],-12,0)-TblMili[[#This Row],[Release Unit 4]]</f>
        <v>1228</v>
      </c>
      <c r="I115" s="151" t="n">
        <f aca="false">OFFSET(TblMili[[#This Row],[Spies]],-1,0) + OFFSET(TblMili[[#This Row],[Train Spies]],-12,0) - TblMili[[#This Row],[Release Spies]]-TblMili[[#This Row],[Train AS]]</f>
        <v>25</v>
      </c>
      <c r="J115" s="151" t="n">
        <f aca="false">OFFSET(TblMili[[#This Row],[Archspies]],-1,0) + OFFSET(TblMili[[#This Row],[Train AS]],-12,0) - TblMili[[#This Row],[Release AS]]</f>
        <v>0</v>
      </c>
      <c r="K115" s="151" t="n">
        <f aca="false">OFFSET(TblMili[[#This Row],[Wizards]],-1,0) + OFFSET(TblMili[[#This Row],[Train Wiz]],-12,0) - TblMili[[#This Row],[Release Wizards]]-TblMili[[#This Row],[Train AM]]</f>
        <v>25</v>
      </c>
      <c r="L115" s="151" t="n">
        <f aca="false">OFFSET(TblMili[[#This Row],[Archmages]],-1,0) + OFFSET(TblMili[[#This Row],[Train AM]],-12,0) - TblMili[[#This Row],[Release AM]]</f>
        <v>0</v>
      </c>
      <c r="M115" s="132"/>
      <c r="N115" s="69" t="e">
        <f aca="false">TblProd[[#This Row],[Networth]]</f>
        <v>#VALUE!</v>
      </c>
      <c r="O115" s="132"/>
      <c r="P11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5" s="285" t="e">
        <f aca="false">TblMili[[#This Row],[Raw]]*(1+TblMili[[#This Row],[Mods_Off]])</f>
        <v>#VALUE!</v>
      </c>
      <c r="S11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5" s="285" t="e">
        <f aca="false">TblMili[[#This Row],[Non Draft]]+TblMili[[#This Row],[Draftees]]</f>
        <v>#VALUE!</v>
      </c>
      <c r="U115" s="286" t="n">
        <f aca="false">race_defense + TblImps[[#This Row],[Walls]] + ROUND( MIN(gt_bonus*TblConstr[[#This Row],[Tot GT]]/TblConstr[[#This Row],[Land]],gt_bonus_cap), 4) + IF(TblMagic[[#This Row],[Active Howling]]&gt;0,howling_dp_bonus,IF(TblMagic[[#This Row],[Active Ares Call]]&gt;0,ares_call_bonus))</f>
        <v>0.1375</v>
      </c>
      <c r="V115" s="274" t="e">
        <f aca="false">TblMili[[#This Row],[Non Draft]] * (1 + TblMili[[#This Row],[Mods_Def]])</f>
        <v>#VALUE!</v>
      </c>
      <c r="W115" s="285" t="e">
        <f aca="false">TblMili[[#This Row],[Draft]] * (1 + TblMili[[#This Row],[Mods_Def]])</f>
        <v>#VALUE!</v>
      </c>
      <c r="X115" s="285" t="n">
        <f aca="false">TblConstr[[#This Row],[Land]]</f>
        <v>700</v>
      </c>
      <c r="Y115" s="287"/>
      <c r="Z115" s="109" t="n">
        <f aca="false">IF(TblMili[[#This Row],[Set]]&lt;&gt;"",TblMili[[#This Row],[Set]],OFFSET(TblMili[[#This Row],[Draftrate]],-1,0))</f>
        <v>0.9</v>
      </c>
      <c r="AA115" s="69" t="n">
        <f aca="false">OFFSET(TblMili[[#This Row],[Draftees]],-1,0)+OFFSET(TblPop[[#This Row],[Draft Growth]],-1,0) - SUM(TblMili[[#This Row],[Train Unit 1]:[Train Spies]],TblMili[[#This Row],[Train Wiz]]) - TblMili[[#This Row],[Release Draft]] + SUM(TblMili[[#This Row],[Release Unit 1]:[Release AM]]) - TblExplore[[#This Row],[Draftees (2)]]</f>
        <v>2948</v>
      </c>
      <c r="AB115" s="146"/>
      <c r="AC115" s="130" t="n">
        <f aca="false">(TblConstr[[#This Row],[Tot Smi]]+TblConstr[[#This Row],[Dest Smi]])/(TblConstr[[#This Row],[Land]]-TblExplore[[#This Row],[Land Bonus]]*20)</f>
        <v>0.18</v>
      </c>
      <c r="AD115" s="128"/>
      <c r="AE115" s="282" t="n">
        <f aca="false">TblMili[[#This Row],[Hour]]</f>
        <v>112</v>
      </c>
      <c r="AF115" s="129" t="n">
        <f aca="false">TblExplore[[#This Row],[Time]]</f>
        <v>45434.375</v>
      </c>
      <c r="AG115" s="182"/>
      <c r="AH115" s="182"/>
      <c r="AI115" s="182"/>
      <c r="AJ115" s="182"/>
      <c r="AK115" s="182"/>
      <c r="AL115" s="182"/>
      <c r="AM115" s="182"/>
      <c r="AN115" s="182"/>
      <c r="AO115" s="132"/>
      <c r="AP115" s="69" t="n">
        <f aca="false">TblProd[[#This Row],[Platinum]]</f>
        <v>1593898</v>
      </c>
      <c r="AQ115" s="69" t="n">
        <f aca="false">INDEX(TblProd[[#Headers],[Lumber]]:TblProd[[#This Row],[Ore]],COUNTA(TblProd[[#Headers],[Lumber]]:TblProd[[#This Row],[Lumber]]),MATCH(Military!$AQ$2,TblProd[[#Headers],[Lumber]:[Ore]],0))</f>
        <v>0</v>
      </c>
      <c r="AR11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69" t="n">
        <f aca="false">TblMili[[#This Row],[Train Unit 1]]*TblMili[[#This Row],[OP Ore]]+TblMili[[#This Row],[Train Unit 2]]*TblMili[[#This Row],[DP Ore]]+TblMili[[#This Row],[Train Unit 3]]*TblMili[[#This Row],[E1 Ore]]+TblMili[[#This Row],[Train Unit 4]]*TblMili[[#This Row],[E2 Ore]]</f>
        <v>0</v>
      </c>
      <c r="AT115" s="132" t="n">
        <f aca="false">TblMili[[#This Row],[Hour]]</f>
        <v>112</v>
      </c>
      <c r="AU115" s="144" t="n">
        <f aca="false">TblMili[[#This Row],[Time]]</f>
        <v>45434.375</v>
      </c>
      <c r="AV115" s="69" t="n">
        <f aca="false">TblMili[[#This Row],[Draftees]]</f>
        <v>2948</v>
      </c>
      <c r="AW115" s="182"/>
      <c r="AX115" s="182"/>
      <c r="AY115" s="182"/>
      <c r="AZ115" s="182"/>
      <c r="BA115" s="182"/>
      <c r="BB115" s="182"/>
      <c r="BC115" s="182"/>
      <c r="BD115" s="182"/>
      <c r="BE115" s="182"/>
      <c r="BF115" s="132"/>
      <c r="BG115" s="150" t="n">
        <f aca="false">TblConstr[[#This Row],[Tot WG]]/TblConstr[[#This Row],[Land]]</f>
        <v>0</v>
      </c>
      <c r="BH115" s="150" t="n">
        <f aca="false">TblConstr[[#This Row],[Tot Hav]]/TblConstr[[#This Row],[Land]]</f>
        <v>0</v>
      </c>
      <c r="BI115" s="69" t="n">
        <f aca="false">ROUNDUP((1-MIN(TblMili[[#This Row],[Smithies]]*smithy_bonus,smithy_bonus_cap) + tech_3_5*TblTech[[#This Row],[3-5]] + tech_5_3*TblTech[[#This Row],[5-3]] + tech_5_5*TblTech[[#This Row],[5-5]])*spec_op_plat,0)</f>
        <v>192</v>
      </c>
      <c r="BJ115" s="69" t="n">
        <f aca="false">ROUNDUP(IF(race="Gnome",1,(1-MIN(TblMili[[#This Row],[Smithies]]*smithy_bonus,smithy_bonus_cap) + tech_3_5*TblTech[[#This Row],[3-5]] + tech_5_3*TblTech[[#This Row],[5-3]] + tech_5_5*TblTech[[#This Row],[5-5]]))*spec_op_ore,0)</f>
        <v>0</v>
      </c>
      <c r="BK115" s="69" t="n">
        <f aca="false">ROUNDUP((1-MIN(TblMili[[#This Row],[Smithies]]*smithy_bonus,smithy_bonus_cap) + tech_3_5*TblTech[[#This Row],[3-5]] + tech_5_3*TblTech[[#This Row],[5-3]] + tech_5_5*TblTech[[#This Row],[5-5]])*spec_dp_plat,0)</f>
        <v>192</v>
      </c>
      <c r="BL115" s="69" t="n">
        <f aca="false">ROUNDUP(IF(race="Gnome",1,(1-MIN(TblMili[[#This Row],[Smithies]]*smithy_bonus,smithy_bonus_cap) + tech_3_5*TblTech[[#This Row],[3-5]] + tech_5_3*TblTech[[#This Row],[5-3]] + tech_5_5*TblTech[[#This Row],[5-5]]))*spec_dp_ore,0)</f>
        <v>0</v>
      </c>
      <c r="BM115" s="69" t="n">
        <f aca="false">ROUNDUP((1-MIN(TblMili[[#This Row],[Smithies]]*smithy_bonus,smithy_bonus_cap) + tech_3_5*TblTech[[#This Row],[3-5]] + tech_5_3*TblTech[[#This Row],[5-3]] + tech_5_5*TblTech[[#This Row],[5-5]])*elite1_plat,0)</f>
        <v>592</v>
      </c>
      <c r="BN115" s="69" t="n">
        <f aca="false">ROUNDUP(IF(race="Gnome",1,(1-MIN(TblMili[[#This Row],[Smithies]]*smithy_bonus,smithy_bonus_cap) + tech_3_5*TblTech[[#This Row],[3-5]] + tech_5_3*TblTech[[#This Row],[5-3]] + tech_5_5*TblTech[[#This Row],[5-5]]))*elite1_ore,0)</f>
        <v>0</v>
      </c>
      <c r="BO115" s="69" t="n">
        <f aca="false">ROUNDUP((1-MIN(TblMili[[#This Row],[Smithies]]*smithy_bonus,smithy_bonus_cap) + tech_3_5*TblTech[[#This Row],[3-5]] + tech_5_3*TblTech[[#This Row],[5-3]] + tech_5_5*TblTech[[#This Row],[5-5]])*elite2_plat,0)</f>
        <v>608</v>
      </c>
      <c r="BP115" s="69" t="n">
        <f aca="false">ROUNDUP(IF(race="Gnome",1,(1-MIN(TblMili[[#This Row],[Smithies]]*smithy_bonus,smithy_bonus_cap) + tech_3_5*TblTech[[#This Row],[3-5]] + tech_5_3*TblTech[[#This Row],[5-3]] + tech_5_5*TblTech[[#This Row],[5-5]]))*elite2_ore,0)</f>
        <v>0</v>
      </c>
      <c r="BQ115" s="69" t="n">
        <f aca="false">ROUNDUP((1-MIN(ROUND(fh_spy_cost_red*TblMili[[#This Row],[FH''s]],4),fh_spy_cost_cap)+ tech_1_9*TblTech[[#This Row],[1-9]] + tech_9_1*TblTech[[#This Row],[9-1]])*spy_plat,0)</f>
        <v>500</v>
      </c>
      <c r="BR115" s="69" t="n">
        <f aca="false">ROUNDUP((1-MIN(ROUND(fh_spy_cost_red*TblMili[[#This Row],[FH''s]],4),fh_spy_cost_cap)+ tech_1_9*TblTech[[#This Row],[1-9]] + tech_9_1*TblTech[[#This Row],[9-1]])*archspy_plat,0)</f>
        <v>1000</v>
      </c>
      <c r="BS115" s="69" t="n">
        <f aca="false">ROUNDUP((1-MIN(ROUND(wg_wiz_cost_bonus*TblMili[[#This Row],[WG''s]],4),wg_wiz_cost_cap) + tech_1_9_2*TblTech[[#This Row],[1-9]] + tech_9_1_2*TblTech[[#This Row],[9-1]])*wizard_plat,0)</f>
        <v>500</v>
      </c>
      <c r="BT115" s="69" t="n">
        <f aca="false">ROUNDUP((1-MIN(ROUND(wg_wiz_cost_bonus*TblMili[[#This Row],[WG''s]],4),wg_wiz_cost_cap) + tech_1_9_2*TblTech[[#This Row],[1-9]] + tech_9_1_2*TblTech[[#This Row],[9-1]])*archmage_plat,0)</f>
        <v>1000</v>
      </c>
      <c r="BU115" s="132"/>
      <c r="BV115" s="150" t="e">
        <f aca="false">TblConstr[[#This Row],[Homeland]]/TblConstr[[#This Row],[Land]]</f>
        <v>#VALUE!</v>
      </c>
      <c r="BW115" s="150" t="n">
        <f aca="false">TblMili[[#This Row],[WG''s]]</f>
        <v>0</v>
      </c>
      <c r="BX115" s="288" t="e">
        <f aca="false">IF(mystic_cap="none",TblMili[[#This Row],[Hill]]/mystic_bonus,MIN(mystic_cap,TblMili[[#This Row],[Hill]]/mystic_bonus))</f>
        <v>#VALUE!</v>
      </c>
      <c r="BY115" s="288" t="e">
        <f aca="false">IF(druid_op_cap="none",TblMili[[#This Row],[Hill]]/druid_op_bonus,MIN(druid_op_cap,TblMili[[#This Row],[Hill]]/druid_op_bonus))</f>
        <v>#VALUE!</v>
      </c>
      <c r="BZ115" s="288" t="e">
        <f aca="false">IF(druid_dp_cap="none",TblMili[[#This Row],[Hill]]/druid_dp_bonus,MIN(druid_dp_cap,TblMili[[#This Row],[Hill]]/druid_dp_bonus))</f>
        <v>#VALUE!</v>
      </c>
      <c r="CA115" s="288" t="e">
        <f aca="false">MIN(dryad_cap,TblMili[[#This Row],[Hill]]/dryad_bonus)</f>
        <v>#VALUE!</v>
      </c>
      <c r="CB115" s="288" t="e">
        <f aca="false">MIN(rocka_cap,TblMili[[#This Row],[Hill]]/rocka_bonus)</f>
        <v>#VALUE!</v>
      </c>
      <c r="CC115" s="288" t="n">
        <f aca="false">MIN(adept_op_cap,TblMili[[#This Row],[WG]]/adept_op_bonus)</f>
        <v>0</v>
      </c>
      <c r="CD115" s="288" t="n">
        <f aca="false">MIN(adept_dp_cap,TblMili[[#This Row],[WG]]/adept_dp_bonus)</f>
        <v>0</v>
      </c>
      <c r="CE115" s="69" t="n">
        <f aca="false">MIN(TblMili[[#This Row],[Unit 3]],TblMili[[#This Row],[Unit 2]])*2</f>
        <v>1400</v>
      </c>
      <c r="CF115" s="69" t="n">
        <f aca="false">MIN(TblMili[[#This Row],[Unit 1]],TblMili[[#This Row],[Unit 4]])*2</f>
        <v>0</v>
      </c>
      <c r="CG115" s="288" t="e">
        <f aca="false">MIN(frost_mage_cap,TblMili[[#This Row],[Hill]]/frost_mage_bonus)</f>
        <v>#VALUE!</v>
      </c>
      <c r="CH115" s="151" t="n">
        <f aca="false">MIN(ice_elem_cap,TblMili[[#This Row],[Raw (2)]]*ice_elem_bonus)</f>
        <v>0.0357142857142857</v>
      </c>
      <c r="CI115" s="288" t="n">
        <f aca="false">MIN(bone_breaker_cap,250/bone_breaker_bonus)</f>
        <v>0.833333333333333</v>
      </c>
      <c r="CJ115" s="288" t="e">
        <f aca="false">MIN(nox_nightshade_cap,TblConstr[[#This Row],[Homeland]]/TblConstr[[#This Row],[Land]]/nox_nightshade_swamp_bonus)</f>
        <v>#VALUE!</v>
      </c>
      <c r="CK115" s="289"/>
      <c r="CL115" s="289"/>
      <c r="CM115" s="289"/>
      <c r="CN115" s="288" t="e">
        <f aca="false">MIN(6,TblMili[[#This Row],[Mystic]]+Races!$F$19)*1.8 +  IF(TblMili[[#This Row],[Mystic]]+Races!$F$19&gt;6,(TblMili[[#This Row],[Mystic]]+Races!$F$19-6)*0.2,0) - Races!$I$19</f>
        <v>#VALUE!</v>
      </c>
      <c r="CO115" s="288" t="e">
        <f aca="false">1.8 * MIN(MAX(TblMili[[#This Row],[Druid (op)]]+Races!$E$20,TblMili[[#This Row],[Druid (dp)]]+Races!$F$20),6)  +  0.45 * MIN(MIN(TblMili[[#This Row],[Druid (op)]]+Races!$E$20,TblMili[[#This Row],[Druid (dp)]]+Races!$F$20),6)  +  0.2 * ( MAX(TblMili[[#This Row],[Druid (op)]]+Races!$E$20-6,0) + MAX(TblMili[[#This Row],[Druid (dp)]]+Races!$F$20-6,0) )  -  Races!$I$20</f>
        <v>#VALUE!</v>
      </c>
      <c r="CP115" s="69" t="e">
        <f aca="false">TblMili[[#This Row],[Mystic bonus]]*TblMili[[#This Row],[Unit 3]]+TblMili[[#This Row],[Druid bonus]]*TblMili[[#This Row],[Unit 4]]</f>
        <v>#VALUE!</v>
      </c>
      <c r="CQ115" s="148" t="e">
        <f aca="false">MIN(6,TblMili[[#This Row],[Dryad]]+Races!$F$35)*1.8 +  IF(TblMili[[#This Row],[Dryad]]+Races!$F$35&gt;6,(TblMili[[#This Row],[Dryad]]+Races!$F$35-6)*0.2,0) - Races!$I$19</f>
        <v>#VALUE!</v>
      </c>
      <c r="CR115" s="69" t="e">
        <f aca="false">sylvan*(TblMili[[#This Row],[Mystic bonus]]*TblMili[[#This Row],[Unit 3]])</f>
        <v>#VALUE!</v>
      </c>
      <c r="CS115" s="148" t="e">
        <f aca="false">1.8 * MIN(MAX(Races!$E$27,TblMili[[#This Row],[Rockapult]]+Races!$F$27),6)  +  0.45 * MIN(MIN(Races!$E$27,TblMili[[#This Row],[Rockapult]]+Races!$F$27),6)  +  0.2 * ( MAX(Races!$E$27-6,0) + MAX(TblMili[[#This Row],[Rockapult]]+Races!$F$27-6,0) )  -  Races!$I$20</f>
        <v>#VALUE!</v>
      </c>
      <c r="CT115" s="69" t="e">
        <f aca="false">gnome*(TblMili[[#This Row],[Rockapult bonus]]*TblMili[[#This Row],[Unit 3]])</f>
        <v>#VALUE!</v>
      </c>
      <c r="CU115" s="148" t="n">
        <f aca="false">1.8 * MIN(MAX(TblMili[[#This Row],[Spellblade]]+Races!$E$47,TblMili[[#This Row],[Adept-DP]]+Races!$F$47),6)  +  0.45 * MIN(MIN(TblMili[[#This Row],[Spellblade]]+Races!$E$47,TblMili[[#This Row],[Adept-DP]]+Races!$F$47),6)  +  0.2 * ( MAX(TblMili[[#This Row],[Spellblade]]+Races!$E$47-6,0) + MAX(TblMili[[#This Row],[Adept-DP]]+Races!$F$47-6,0) )  -  Races!$I$47</f>
        <v>0</v>
      </c>
      <c r="CV115" s="69" t="n">
        <f aca="false">dark_elf*(TblMili[[#This Row],[Adept bonus]]*TblMili[[#This Row],[Unit 3]])</f>
        <v>0</v>
      </c>
      <c r="CW115" s="148" t="e">
        <f aca="false">1.8 * MIN(MAX(TblMili[[#This Row],[Frost Mage]]+Races!$F$71,Races!$E$71),6)  +  0.45 * MIN(MIN(TblMili[[#This Row],[Frost Mage]]+Races!$F$71,Races!$E$71),6)  +  0.2 * ( MAX(TblMili[[#This Row],[Frost Mage]]+Races!$F$71-6,0) + MAX(Races!$E$71-6,0) )  -  Races!$I$71</f>
        <v>#VALUE!</v>
      </c>
      <c r="CX115" s="148" t="n">
        <f aca="false">1.8 * MIN(MAX(TblMili[[#This Row],[Ice Elemental]]+Races!$E$71,Races!$F$71),6)  +  0.45 * MIN(MIN(TblMili[[#This Row],[Ice Elemental]]+Races!$E$71,Races!$F$71),6)  +  0.2 * ( MAX(TblMili[[#This Row],[Ice Elemental]]+Races!$E$71-6,0) + MAX(Races!$F$71-6,0) )  -  Races!$I$71</f>
        <v>0.064285714285715</v>
      </c>
      <c r="CY115" s="69" t="e">
        <f aca="false">TblMili[[#This Row],[Frost Mage bonus]]*TblMili[[#This Row],[Unit 3]]+TblMili[[#This Row],[Ice Elemental bonus]]*TblMili[[#This Row],[Unit 4]]</f>
        <v>#VALUE!</v>
      </c>
      <c r="CZ115" s="290"/>
      <c r="DA115" s="109" t="n">
        <f aca="false">MIN(SUM(TblConstr[[#This Row],[Plain]:[Water]])/TblMili[[#This Row],[Land]]/favorable_terrain_bonus/100,favorable_terrain_max)</f>
        <v>0</v>
      </c>
      <c r="DB115" s="290"/>
      <c r="DC11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5" s="132"/>
      <c r="DE115" s="291" t="n">
        <f aca="false">(TblMili[[#This Row],[Wizards]]+2*TblMili[[#This Row],[Archmages]])/TblConstr[[#This Row],[Land]]</f>
        <v>0.0357142857142857</v>
      </c>
      <c r="DF115" s="291" t="n">
        <f aca="false">TblMili[[#This Row],[Raw (2)]]*(1+race_wizard_strength+IF(TblMili[[#This Row],[Hour]]&gt;72,tech_magical_weaponry_wiz*TblTech[[#This Row],[3-5]],0))</f>
        <v>0.0357142857142857</v>
      </c>
    </row>
    <row r="116" customFormat="false" ht="12.75" hidden="false" customHeight="false" outlineLevel="0" collapsed="false">
      <c r="A116" s="128" t="n">
        <f aca="false">TblRezone[[#This Row],[Hour]]</f>
        <v>113</v>
      </c>
      <c r="B116" s="282" t="n">
        <f aca="false">SUM(TblMili[[#This Row],[Unit 1]:[Archmages]])+SUM(OFFSET(TblMili[[#This Row],[Train Unit 1]],-8,0):TblMili[[#This Row],[Train Unit 2]]) + SUM(OFFSET(TblMili[[#This Row],[Train Unit 3]],-11,0):TblMili[[#This Row],[Train AM]]) + TblMili[[#This Row],[Draftees]]</f>
        <v>6240</v>
      </c>
      <c r="C116" s="150" t="n">
        <f aca="false">TblPop[[#This Row],[Military%]]</f>
        <v>0.482262926037561</v>
      </c>
      <c r="D116" s="132"/>
      <c r="E116" s="151" t="n">
        <f aca="false">OFFSET(TblMili[[#This Row],[Unit 1]],-1,0) + OFFSET(TblMili[[#This Row],[Train Unit 1]],-9,0) - TblMili[[#This Row],[Release Unit 1]]</f>
        <v>0</v>
      </c>
      <c r="F116" s="151" t="n">
        <f aca="false">OFFSET(TblMili[[#This Row],[Unit 2]],-1,0) + OFFSET(TblMili[[#This Row],[Train Unit 2]],-9,0)-TblMili[[#This Row],[Release Unit 2]]</f>
        <v>1246</v>
      </c>
      <c r="G116" s="151" t="n">
        <f aca="false">OFFSET(TblMili[[#This Row],[Unit 3]],-1,0) + OFFSET(TblMili[[#This Row],[Train Unit 3]],-12,0)-TblMili[[#This Row],[Release Unit 3]]</f>
        <v>700</v>
      </c>
      <c r="H116" s="151" t="n">
        <f aca="false">OFFSET(TblMili[[#This Row],[Unit 4]],-1,0) + OFFSET(TblMili[[#This Row],[Train Unit 4]],-12,0)-TblMili[[#This Row],[Release Unit 4]]</f>
        <v>1228</v>
      </c>
      <c r="I116" s="151" t="n">
        <f aca="false">OFFSET(TblMili[[#This Row],[Spies]],-1,0) + OFFSET(TblMili[[#This Row],[Train Spies]],-12,0) - TblMili[[#This Row],[Release Spies]]-TblMili[[#This Row],[Train AS]]</f>
        <v>25</v>
      </c>
      <c r="J116" s="151" t="n">
        <f aca="false">OFFSET(TblMili[[#This Row],[Archspies]],-1,0) + OFFSET(TblMili[[#This Row],[Train AS]],-12,0) - TblMili[[#This Row],[Release AS]]</f>
        <v>0</v>
      </c>
      <c r="K116" s="151" t="n">
        <f aca="false">OFFSET(TblMili[[#This Row],[Wizards]],-1,0) + OFFSET(TblMili[[#This Row],[Train Wiz]],-12,0) - TblMili[[#This Row],[Release Wizards]]-TblMili[[#This Row],[Train AM]]</f>
        <v>25</v>
      </c>
      <c r="L116" s="151" t="n">
        <f aca="false">OFFSET(TblMili[[#This Row],[Archmages]],-1,0) + OFFSET(TblMili[[#This Row],[Train AM]],-12,0) - TblMili[[#This Row],[Release AM]]</f>
        <v>0</v>
      </c>
      <c r="M116" s="132"/>
      <c r="N116" s="69" t="e">
        <f aca="false">TblProd[[#This Row],[Networth]]</f>
        <v>#VALUE!</v>
      </c>
      <c r="O116" s="132"/>
      <c r="P11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6" s="285" t="e">
        <f aca="false">TblMili[[#This Row],[Raw]]*(1+TblMili[[#This Row],[Mods_Off]])</f>
        <v>#VALUE!</v>
      </c>
      <c r="S11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6" s="285" t="e">
        <f aca="false">TblMili[[#This Row],[Non Draft]]+TblMili[[#This Row],[Draftees]]</f>
        <v>#VALUE!</v>
      </c>
      <c r="U116" s="286" t="n">
        <f aca="false">race_defense + TblImps[[#This Row],[Walls]] + ROUND( MIN(gt_bonus*TblConstr[[#This Row],[Tot GT]]/TblConstr[[#This Row],[Land]],gt_bonus_cap), 4) + IF(TblMagic[[#This Row],[Active Howling]]&gt;0,howling_dp_bonus,IF(TblMagic[[#This Row],[Active Ares Call]]&gt;0,ares_call_bonus))</f>
        <v>0.1375</v>
      </c>
      <c r="V116" s="274" t="e">
        <f aca="false">TblMili[[#This Row],[Non Draft]] * (1 + TblMili[[#This Row],[Mods_Def]])</f>
        <v>#VALUE!</v>
      </c>
      <c r="W116" s="285" t="e">
        <f aca="false">TblMili[[#This Row],[Draft]] * (1 + TblMili[[#This Row],[Mods_Def]])</f>
        <v>#VALUE!</v>
      </c>
      <c r="X116" s="285" t="n">
        <f aca="false">TblConstr[[#This Row],[Land]]</f>
        <v>700</v>
      </c>
      <c r="Y116" s="287"/>
      <c r="Z116" s="109" t="n">
        <f aca="false">IF(TblMili[[#This Row],[Set]]&lt;&gt;"",TblMili[[#This Row],[Set]],OFFSET(TblMili[[#This Row],[Draftrate]],-1,0))</f>
        <v>0.9</v>
      </c>
      <c r="AA116" s="69" t="n">
        <f aca="false">OFFSET(TblMili[[#This Row],[Draftees]],-1,0)+OFFSET(TblPop[[#This Row],[Draft Growth]],-1,0) - SUM(TblMili[[#This Row],[Train Unit 1]:[Train Spies]],TblMili[[#This Row],[Train Wiz]]) - TblMili[[#This Row],[Release Draft]] + SUM(TblMili[[#This Row],[Release Unit 1]:[Release AM]]) - TblExplore[[#This Row],[Draftees (2)]]</f>
        <v>3016</v>
      </c>
      <c r="AB116" s="146"/>
      <c r="AC116" s="130" t="n">
        <f aca="false">(TblConstr[[#This Row],[Tot Smi]]+TblConstr[[#This Row],[Dest Smi]])/(TblConstr[[#This Row],[Land]]-TblExplore[[#This Row],[Land Bonus]]*20)</f>
        <v>0.18</v>
      </c>
      <c r="AD116" s="128"/>
      <c r="AE116" s="282" t="n">
        <f aca="false">TblMili[[#This Row],[Hour]]</f>
        <v>113</v>
      </c>
      <c r="AF116" s="129" t="n">
        <f aca="false">TblExplore[[#This Row],[Time]]</f>
        <v>45434.4166666667</v>
      </c>
      <c r="AG116" s="182"/>
      <c r="AH116" s="182"/>
      <c r="AI116" s="182"/>
      <c r="AJ116" s="182"/>
      <c r="AK116" s="182"/>
      <c r="AL116" s="182"/>
      <c r="AM116" s="182"/>
      <c r="AN116" s="182"/>
      <c r="AO116" s="132"/>
      <c r="AP116" s="69" t="n">
        <f aca="false">TblProd[[#This Row],[Platinum]]</f>
        <v>1624543</v>
      </c>
      <c r="AQ116" s="69" t="n">
        <f aca="false">INDEX(TblProd[[#Headers],[Lumber]]:TblProd[[#This Row],[Ore]],COUNTA(TblProd[[#Headers],[Lumber]]:TblProd[[#This Row],[Lumber]]),MATCH(Military!$AQ$2,TblProd[[#Headers],[Lumber]:[Ore]],0))</f>
        <v>0</v>
      </c>
      <c r="AR11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69" t="n">
        <f aca="false">TblMili[[#This Row],[Train Unit 1]]*TblMili[[#This Row],[OP Ore]]+TblMili[[#This Row],[Train Unit 2]]*TblMili[[#This Row],[DP Ore]]+TblMili[[#This Row],[Train Unit 3]]*TblMili[[#This Row],[E1 Ore]]+TblMili[[#This Row],[Train Unit 4]]*TblMili[[#This Row],[E2 Ore]]</f>
        <v>0</v>
      </c>
      <c r="AT116" s="132" t="n">
        <f aca="false">TblMili[[#This Row],[Hour]]</f>
        <v>113</v>
      </c>
      <c r="AU116" s="144" t="n">
        <f aca="false">TblMili[[#This Row],[Time]]</f>
        <v>45434.4166666667</v>
      </c>
      <c r="AV116" s="69" t="n">
        <f aca="false">TblMili[[#This Row],[Draftees]]</f>
        <v>3016</v>
      </c>
      <c r="AW116" s="182"/>
      <c r="AX116" s="182"/>
      <c r="AY116" s="182"/>
      <c r="AZ116" s="182"/>
      <c r="BA116" s="182"/>
      <c r="BB116" s="182"/>
      <c r="BC116" s="182"/>
      <c r="BD116" s="182"/>
      <c r="BE116" s="182"/>
      <c r="BF116" s="132"/>
      <c r="BG116" s="150" t="n">
        <f aca="false">TblConstr[[#This Row],[Tot WG]]/TblConstr[[#This Row],[Land]]</f>
        <v>0</v>
      </c>
      <c r="BH116" s="150" t="n">
        <f aca="false">TblConstr[[#This Row],[Tot Hav]]/TblConstr[[#This Row],[Land]]</f>
        <v>0</v>
      </c>
      <c r="BI116" s="69" t="n">
        <f aca="false">ROUNDUP((1-MIN(TblMili[[#This Row],[Smithies]]*smithy_bonus,smithy_bonus_cap) + tech_3_5*TblTech[[#This Row],[3-5]] + tech_5_3*TblTech[[#This Row],[5-3]] + tech_5_5*TblTech[[#This Row],[5-5]])*spec_op_plat,0)</f>
        <v>192</v>
      </c>
      <c r="BJ116" s="69" t="n">
        <f aca="false">ROUNDUP(IF(race="Gnome",1,(1-MIN(TblMili[[#This Row],[Smithies]]*smithy_bonus,smithy_bonus_cap) + tech_3_5*TblTech[[#This Row],[3-5]] + tech_5_3*TblTech[[#This Row],[5-3]] + tech_5_5*TblTech[[#This Row],[5-5]]))*spec_op_ore,0)</f>
        <v>0</v>
      </c>
      <c r="BK116" s="69" t="n">
        <f aca="false">ROUNDUP((1-MIN(TblMili[[#This Row],[Smithies]]*smithy_bonus,smithy_bonus_cap) + tech_3_5*TblTech[[#This Row],[3-5]] + tech_5_3*TblTech[[#This Row],[5-3]] + tech_5_5*TblTech[[#This Row],[5-5]])*spec_dp_plat,0)</f>
        <v>192</v>
      </c>
      <c r="BL116" s="69" t="n">
        <f aca="false">ROUNDUP(IF(race="Gnome",1,(1-MIN(TblMili[[#This Row],[Smithies]]*smithy_bonus,smithy_bonus_cap) + tech_3_5*TblTech[[#This Row],[3-5]] + tech_5_3*TblTech[[#This Row],[5-3]] + tech_5_5*TblTech[[#This Row],[5-5]]))*spec_dp_ore,0)</f>
        <v>0</v>
      </c>
      <c r="BM116" s="69" t="n">
        <f aca="false">ROUNDUP((1-MIN(TblMili[[#This Row],[Smithies]]*smithy_bonus,smithy_bonus_cap) + tech_3_5*TblTech[[#This Row],[3-5]] + tech_5_3*TblTech[[#This Row],[5-3]] + tech_5_5*TblTech[[#This Row],[5-5]])*elite1_plat,0)</f>
        <v>592</v>
      </c>
      <c r="BN116" s="69" t="n">
        <f aca="false">ROUNDUP(IF(race="Gnome",1,(1-MIN(TblMili[[#This Row],[Smithies]]*smithy_bonus,smithy_bonus_cap) + tech_3_5*TblTech[[#This Row],[3-5]] + tech_5_3*TblTech[[#This Row],[5-3]] + tech_5_5*TblTech[[#This Row],[5-5]]))*elite1_ore,0)</f>
        <v>0</v>
      </c>
      <c r="BO116" s="69" t="n">
        <f aca="false">ROUNDUP((1-MIN(TblMili[[#This Row],[Smithies]]*smithy_bonus,smithy_bonus_cap) + tech_3_5*TblTech[[#This Row],[3-5]] + tech_5_3*TblTech[[#This Row],[5-3]] + tech_5_5*TblTech[[#This Row],[5-5]])*elite2_plat,0)</f>
        <v>608</v>
      </c>
      <c r="BP116" s="69" t="n">
        <f aca="false">ROUNDUP(IF(race="Gnome",1,(1-MIN(TblMili[[#This Row],[Smithies]]*smithy_bonus,smithy_bonus_cap) + tech_3_5*TblTech[[#This Row],[3-5]] + tech_5_3*TblTech[[#This Row],[5-3]] + tech_5_5*TblTech[[#This Row],[5-5]]))*elite2_ore,0)</f>
        <v>0</v>
      </c>
      <c r="BQ116" s="69" t="n">
        <f aca="false">ROUNDUP((1-MIN(ROUND(fh_spy_cost_red*TblMili[[#This Row],[FH''s]],4),fh_spy_cost_cap)+ tech_1_9*TblTech[[#This Row],[1-9]] + tech_9_1*TblTech[[#This Row],[9-1]])*spy_plat,0)</f>
        <v>500</v>
      </c>
      <c r="BR116" s="69" t="n">
        <f aca="false">ROUNDUP((1-MIN(ROUND(fh_spy_cost_red*TblMili[[#This Row],[FH''s]],4),fh_spy_cost_cap)+ tech_1_9*TblTech[[#This Row],[1-9]] + tech_9_1*TblTech[[#This Row],[9-1]])*archspy_plat,0)</f>
        <v>1000</v>
      </c>
      <c r="BS116" s="69" t="n">
        <f aca="false">ROUNDUP((1-MIN(ROUND(wg_wiz_cost_bonus*TblMili[[#This Row],[WG''s]],4),wg_wiz_cost_cap) + tech_1_9_2*TblTech[[#This Row],[1-9]] + tech_9_1_2*TblTech[[#This Row],[9-1]])*wizard_plat,0)</f>
        <v>500</v>
      </c>
      <c r="BT116" s="69" t="n">
        <f aca="false">ROUNDUP((1-MIN(ROUND(wg_wiz_cost_bonus*TblMili[[#This Row],[WG''s]],4),wg_wiz_cost_cap) + tech_1_9_2*TblTech[[#This Row],[1-9]] + tech_9_1_2*TblTech[[#This Row],[9-1]])*archmage_plat,0)</f>
        <v>1000</v>
      </c>
      <c r="BU116" s="132"/>
      <c r="BV116" s="150" t="e">
        <f aca="false">TblConstr[[#This Row],[Homeland]]/TblConstr[[#This Row],[Land]]</f>
        <v>#VALUE!</v>
      </c>
      <c r="BW116" s="150" t="n">
        <f aca="false">TblMili[[#This Row],[WG''s]]</f>
        <v>0</v>
      </c>
      <c r="BX116" s="288" t="e">
        <f aca="false">IF(mystic_cap="none",TblMili[[#This Row],[Hill]]/mystic_bonus,MIN(mystic_cap,TblMili[[#This Row],[Hill]]/mystic_bonus))</f>
        <v>#VALUE!</v>
      </c>
      <c r="BY116" s="288" t="e">
        <f aca="false">IF(druid_op_cap="none",TblMili[[#This Row],[Hill]]/druid_op_bonus,MIN(druid_op_cap,TblMili[[#This Row],[Hill]]/druid_op_bonus))</f>
        <v>#VALUE!</v>
      </c>
      <c r="BZ116" s="288" t="e">
        <f aca="false">IF(druid_dp_cap="none",TblMili[[#This Row],[Hill]]/druid_dp_bonus,MIN(druid_dp_cap,TblMili[[#This Row],[Hill]]/druid_dp_bonus))</f>
        <v>#VALUE!</v>
      </c>
      <c r="CA116" s="288" t="e">
        <f aca="false">MIN(dryad_cap,TblMili[[#This Row],[Hill]]/dryad_bonus)</f>
        <v>#VALUE!</v>
      </c>
      <c r="CB116" s="288" t="e">
        <f aca="false">MIN(rocka_cap,TblMili[[#This Row],[Hill]]/rocka_bonus)</f>
        <v>#VALUE!</v>
      </c>
      <c r="CC116" s="288" t="n">
        <f aca="false">MIN(adept_op_cap,TblMili[[#This Row],[WG]]/adept_op_bonus)</f>
        <v>0</v>
      </c>
      <c r="CD116" s="288" t="n">
        <f aca="false">MIN(adept_dp_cap,TblMili[[#This Row],[WG]]/adept_dp_bonus)</f>
        <v>0</v>
      </c>
      <c r="CE116" s="69" t="n">
        <f aca="false">MIN(TblMili[[#This Row],[Unit 3]],TblMili[[#This Row],[Unit 2]])*2</f>
        <v>1400</v>
      </c>
      <c r="CF116" s="69" t="n">
        <f aca="false">MIN(TblMili[[#This Row],[Unit 1]],TblMili[[#This Row],[Unit 4]])*2</f>
        <v>0</v>
      </c>
      <c r="CG116" s="288" t="e">
        <f aca="false">MIN(frost_mage_cap,TblMili[[#This Row],[Hill]]/frost_mage_bonus)</f>
        <v>#VALUE!</v>
      </c>
      <c r="CH116" s="151" t="n">
        <f aca="false">MIN(ice_elem_cap,TblMili[[#This Row],[Raw (2)]]*ice_elem_bonus)</f>
        <v>0.0357142857142857</v>
      </c>
      <c r="CI116" s="288" t="n">
        <f aca="false">MIN(bone_breaker_cap,250/bone_breaker_bonus)</f>
        <v>0.833333333333333</v>
      </c>
      <c r="CJ116" s="288" t="e">
        <f aca="false">MIN(nox_nightshade_cap,TblConstr[[#This Row],[Homeland]]/TblConstr[[#This Row],[Land]]/nox_nightshade_swamp_bonus)</f>
        <v>#VALUE!</v>
      </c>
      <c r="CK116" s="289"/>
      <c r="CL116" s="289"/>
      <c r="CM116" s="289"/>
      <c r="CN116" s="288" t="e">
        <f aca="false">MIN(6,TblMili[[#This Row],[Mystic]]+Races!$F$19)*1.8 +  IF(TblMili[[#This Row],[Mystic]]+Races!$F$19&gt;6,(TblMili[[#This Row],[Mystic]]+Races!$F$19-6)*0.2,0) - Races!$I$19</f>
        <v>#VALUE!</v>
      </c>
      <c r="CO116" s="288" t="e">
        <f aca="false">1.8 * MIN(MAX(TblMili[[#This Row],[Druid (op)]]+Races!$E$20,TblMili[[#This Row],[Druid (dp)]]+Races!$F$20),6)  +  0.45 * MIN(MIN(TblMili[[#This Row],[Druid (op)]]+Races!$E$20,TblMili[[#This Row],[Druid (dp)]]+Races!$F$20),6)  +  0.2 * ( MAX(TblMili[[#This Row],[Druid (op)]]+Races!$E$20-6,0) + MAX(TblMili[[#This Row],[Druid (dp)]]+Races!$F$20-6,0) )  -  Races!$I$20</f>
        <v>#VALUE!</v>
      </c>
      <c r="CP116" s="69" t="e">
        <f aca="false">TblMili[[#This Row],[Mystic bonus]]*TblMili[[#This Row],[Unit 3]]+TblMili[[#This Row],[Druid bonus]]*TblMili[[#This Row],[Unit 4]]</f>
        <v>#VALUE!</v>
      </c>
      <c r="CQ116" s="148" t="e">
        <f aca="false">MIN(6,TblMili[[#This Row],[Dryad]]+Races!$F$35)*1.8 +  IF(TblMili[[#This Row],[Dryad]]+Races!$F$35&gt;6,(TblMili[[#This Row],[Dryad]]+Races!$F$35-6)*0.2,0) - Races!$I$19</f>
        <v>#VALUE!</v>
      </c>
      <c r="CR116" s="69" t="e">
        <f aca="false">sylvan*(TblMili[[#This Row],[Mystic bonus]]*TblMili[[#This Row],[Unit 3]])</f>
        <v>#VALUE!</v>
      </c>
      <c r="CS116" s="148" t="e">
        <f aca="false">1.8 * MIN(MAX(Races!$E$27,TblMili[[#This Row],[Rockapult]]+Races!$F$27),6)  +  0.45 * MIN(MIN(Races!$E$27,TblMili[[#This Row],[Rockapult]]+Races!$F$27),6)  +  0.2 * ( MAX(Races!$E$27-6,0) + MAX(TblMili[[#This Row],[Rockapult]]+Races!$F$27-6,0) )  -  Races!$I$20</f>
        <v>#VALUE!</v>
      </c>
      <c r="CT116" s="69" t="e">
        <f aca="false">gnome*(TblMili[[#This Row],[Rockapult bonus]]*TblMili[[#This Row],[Unit 3]])</f>
        <v>#VALUE!</v>
      </c>
      <c r="CU116" s="148" t="n">
        <f aca="false">1.8 * MIN(MAX(TblMili[[#This Row],[Spellblade]]+Races!$E$47,TblMili[[#This Row],[Adept-DP]]+Races!$F$47),6)  +  0.45 * MIN(MIN(TblMili[[#This Row],[Spellblade]]+Races!$E$47,TblMili[[#This Row],[Adept-DP]]+Races!$F$47),6)  +  0.2 * ( MAX(TblMili[[#This Row],[Spellblade]]+Races!$E$47-6,0) + MAX(TblMili[[#This Row],[Adept-DP]]+Races!$F$47-6,0) )  -  Races!$I$47</f>
        <v>0</v>
      </c>
      <c r="CV116" s="69" t="n">
        <f aca="false">dark_elf*(TblMili[[#This Row],[Adept bonus]]*TblMili[[#This Row],[Unit 3]])</f>
        <v>0</v>
      </c>
      <c r="CW116" s="148" t="e">
        <f aca="false">1.8 * MIN(MAX(TblMili[[#This Row],[Frost Mage]]+Races!$F$71,Races!$E$71),6)  +  0.45 * MIN(MIN(TblMili[[#This Row],[Frost Mage]]+Races!$F$71,Races!$E$71),6)  +  0.2 * ( MAX(TblMili[[#This Row],[Frost Mage]]+Races!$F$71-6,0) + MAX(Races!$E$71-6,0) )  -  Races!$I$71</f>
        <v>#VALUE!</v>
      </c>
      <c r="CX116" s="148" t="n">
        <f aca="false">1.8 * MIN(MAX(TblMili[[#This Row],[Ice Elemental]]+Races!$E$71,Races!$F$71),6)  +  0.45 * MIN(MIN(TblMili[[#This Row],[Ice Elemental]]+Races!$E$71,Races!$F$71),6)  +  0.2 * ( MAX(TblMili[[#This Row],[Ice Elemental]]+Races!$E$71-6,0) + MAX(Races!$F$71-6,0) )  -  Races!$I$71</f>
        <v>0.064285714285715</v>
      </c>
      <c r="CY116" s="69" t="e">
        <f aca="false">TblMili[[#This Row],[Frost Mage bonus]]*TblMili[[#This Row],[Unit 3]]+TblMili[[#This Row],[Ice Elemental bonus]]*TblMili[[#This Row],[Unit 4]]</f>
        <v>#VALUE!</v>
      </c>
      <c r="CZ116" s="290"/>
      <c r="DA116" s="109" t="n">
        <f aca="false">MIN(SUM(TblConstr[[#This Row],[Plain]:[Water]])/TblMili[[#This Row],[Land]]/favorable_terrain_bonus/100,favorable_terrain_max)</f>
        <v>0</v>
      </c>
      <c r="DB116" s="290"/>
      <c r="DC11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6" s="132"/>
      <c r="DE116" s="291" t="n">
        <f aca="false">(TblMili[[#This Row],[Wizards]]+2*TblMili[[#This Row],[Archmages]])/TblConstr[[#This Row],[Land]]</f>
        <v>0.0357142857142857</v>
      </c>
      <c r="DF116" s="291" t="n">
        <f aca="false">TblMili[[#This Row],[Raw (2)]]*(1+race_wizard_strength+IF(TblMili[[#This Row],[Hour]]&gt;72,tech_magical_weaponry_wiz*TblTech[[#This Row],[3-5]],0))</f>
        <v>0.0357142857142857</v>
      </c>
    </row>
    <row r="117" customFormat="false" ht="12.75" hidden="false" customHeight="false" outlineLevel="0" collapsed="false">
      <c r="A117" s="128" t="n">
        <f aca="false">TblRezone[[#This Row],[Hour]]</f>
        <v>114</v>
      </c>
      <c r="B117" s="282" t="n">
        <f aca="false">SUM(TblMili[[#This Row],[Unit 1]:[Archmages]])+SUM(OFFSET(TblMili[[#This Row],[Train Unit 1]],-8,0):TblMili[[#This Row],[Train Unit 2]]) + SUM(OFFSET(TblMili[[#This Row],[Train Unit 3]],-11,0):TblMili[[#This Row],[Train AM]]) + TblMili[[#This Row],[Draftees]]</f>
        <v>6307</v>
      </c>
      <c r="C117" s="150" t="n">
        <f aca="false">TblPop[[#This Row],[Military%]]</f>
        <v>0.487441069634439</v>
      </c>
      <c r="D117" s="132"/>
      <c r="E117" s="151" t="n">
        <f aca="false">OFFSET(TblMili[[#This Row],[Unit 1]],-1,0) + OFFSET(TblMili[[#This Row],[Train Unit 1]],-9,0) - TblMili[[#This Row],[Release Unit 1]]</f>
        <v>0</v>
      </c>
      <c r="F117" s="151" t="n">
        <f aca="false">OFFSET(TblMili[[#This Row],[Unit 2]],-1,0) + OFFSET(TblMili[[#This Row],[Train Unit 2]],-9,0)-TblMili[[#This Row],[Release Unit 2]]</f>
        <v>1246</v>
      </c>
      <c r="G117" s="151" t="n">
        <f aca="false">OFFSET(TblMili[[#This Row],[Unit 3]],-1,0) + OFFSET(TblMili[[#This Row],[Train Unit 3]],-12,0)-TblMili[[#This Row],[Release Unit 3]]</f>
        <v>700</v>
      </c>
      <c r="H117" s="151" t="n">
        <f aca="false">OFFSET(TblMili[[#This Row],[Unit 4]],-1,0) + OFFSET(TblMili[[#This Row],[Train Unit 4]],-12,0)-TblMili[[#This Row],[Release Unit 4]]</f>
        <v>1228</v>
      </c>
      <c r="I117" s="151" t="n">
        <f aca="false">OFFSET(TblMili[[#This Row],[Spies]],-1,0) + OFFSET(TblMili[[#This Row],[Train Spies]],-12,0) - TblMili[[#This Row],[Release Spies]]-TblMili[[#This Row],[Train AS]]</f>
        <v>25</v>
      </c>
      <c r="J117" s="151" t="n">
        <f aca="false">OFFSET(TblMili[[#This Row],[Archspies]],-1,0) + OFFSET(TblMili[[#This Row],[Train AS]],-12,0) - TblMili[[#This Row],[Release AS]]</f>
        <v>0</v>
      </c>
      <c r="K117" s="151" t="n">
        <f aca="false">OFFSET(TblMili[[#This Row],[Wizards]],-1,0) + OFFSET(TblMili[[#This Row],[Train Wiz]],-12,0) - TblMili[[#This Row],[Release Wizards]]-TblMili[[#This Row],[Train AM]]</f>
        <v>25</v>
      </c>
      <c r="L117" s="151" t="n">
        <f aca="false">OFFSET(TblMili[[#This Row],[Archmages]],-1,0) + OFFSET(TblMili[[#This Row],[Train AM]],-12,0) - TblMili[[#This Row],[Release AM]]</f>
        <v>0</v>
      </c>
      <c r="M117" s="132"/>
      <c r="N117" s="69" t="e">
        <f aca="false">TblProd[[#This Row],[Networth]]</f>
        <v>#VALUE!</v>
      </c>
      <c r="O117" s="132"/>
      <c r="P11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7" s="285" t="e">
        <f aca="false">TblMili[[#This Row],[Raw]]*(1+TblMili[[#This Row],[Mods_Off]])</f>
        <v>#VALUE!</v>
      </c>
      <c r="S11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7" s="285" t="e">
        <f aca="false">TblMili[[#This Row],[Non Draft]]+TblMili[[#This Row],[Draftees]]</f>
        <v>#VALUE!</v>
      </c>
      <c r="U117" s="286" t="n">
        <f aca="false">race_defense + TblImps[[#This Row],[Walls]] + ROUND( MIN(gt_bonus*TblConstr[[#This Row],[Tot GT]]/TblConstr[[#This Row],[Land]],gt_bonus_cap), 4) + IF(TblMagic[[#This Row],[Active Howling]]&gt;0,howling_dp_bonus,IF(TblMagic[[#This Row],[Active Ares Call]]&gt;0,ares_call_bonus))</f>
        <v>0.1375</v>
      </c>
      <c r="V117" s="274" t="e">
        <f aca="false">TblMili[[#This Row],[Non Draft]] * (1 + TblMili[[#This Row],[Mods_Def]])</f>
        <v>#VALUE!</v>
      </c>
      <c r="W117" s="285" t="e">
        <f aca="false">TblMili[[#This Row],[Draft]] * (1 + TblMili[[#This Row],[Mods_Def]])</f>
        <v>#VALUE!</v>
      </c>
      <c r="X117" s="285" t="n">
        <f aca="false">TblConstr[[#This Row],[Land]]</f>
        <v>700</v>
      </c>
      <c r="Y117" s="287"/>
      <c r="Z117" s="109" t="n">
        <f aca="false">IF(TblMili[[#This Row],[Set]]&lt;&gt;"",TblMili[[#This Row],[Set]],OFFSET(TblMili[[#This Row],[Draftrate]],-1,0))</f>
        <v>0.9</v>
      </c>
      <c r="AA117" s="69" t="n">
        <f aca="false">OFFSET(TblMili[[#This Row],[Draftees]],-1,0)+OFFSET(TblPop[[#This Row],[Draft Growth]],-1,0) - SUM(TblMili[[#This Row],[Train Unit 1]:[Train Spies]],TblMili[[#This Row],[Train Wiz]]) - TblMili[[#This Row],[Release Draft]] + SUM(TblMili[[#This Row],[Release Unit 1]:[Release AM]]) - TblExplore[[#This Row],[Draftees (2)]]</f>
        <v>3083</v>
      </c>
      <c r="AB117" s="146"/>
      <c r="AC117" s="130" t="n">
        <f aca="false">(TblConstr[[#This Row],[Tot Smi]]+TblConstr[[#This Row],[Dest Smi]])/(TblConstr[[#This Row],[Land]]-TblExplore[[#This Row],[Land Bonus]]*20)</f>
        <v>0.18</v>
      </c>
      <c r="AD117" s="128"/>
      <c r="AE117" s="282" t="n">
        <f aca="false">TblMili[[#This Row],[Hour]]</f>
        <v>114</v>
      </c>
      <c r="AF117" s="129" t="n">
        <f aca="false">TblExplore[[#This Row],[Time]]</f>
        <v>45434.4583333333</v>
      </c>
      <c r="AG117" s="182"/>
      <c r="AH117" s="182"/>
      <c r="AI117" s="182"/>
      <c r="AJ117" s="182"/>
      <c r="AK117" s="182"/>
      <c r="AL117" s="182"/>
      <c r="AM117" s="182"/>
      <c r="AN117" s="182"/>
      <c r="AO117" s="132"/>
      <c r="AP117" s="69" t="n">
        <f aca="false">TblProd[[#This Row],[Platinum]]</f>
        <v>1655005</v>
      </c>
      <c r="AQ117" s="69" t="n">
        <f aca="false">INDEX(TblProd[[#Headers],[Lumber]]:TblProd[[#This Row],[Ore]],COUNTA(TblProd[[#Headers],[Lumber]]:TblProd[[#This Row],[Lumber]]),MATCH(Military!$AQ$2,TblProd[[#Headers],[Lumber]:[Ore]],0))</f>
        <v>0</v>
      </c>
      <c r="AR11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69" t="n">
        <f aca="false">TblMili[[#This Row],[Train Unit 1]]*TblMili[[#This Row],[OP Ore]]+TblMili[[#This Row],[Train Unit 2]]*TblMili[[#This Row],[DP Ore]]+TblMili[[#This Row],[Train Unit 3]]*TblMili[[#This Row],[E1 Ore]]+TblMili[[#This Row],[Train Unit 4]]*TblMili[[#This Row],[E2 Ore]]</f>
        <v>0</v>
      </c>
      <c r="AT117" s="132" t="n">
        <f aca="false">TblMili[[#This Row],[Hour]]</f>
        <v>114</v>
      </c>
      <c r="AU117" s="144" t="n">
        <f aca="false">TblMili[[#This Row],[Time]]</f>
        <v>45434.4583333333</v>
      </c>
      <c r="AV117" s="69" t="n">
        <f aca="false">TblMili[[#This Row],[Draftees]]</f>
        <v>3083</v>
      </c>
      <c r="AW117" s="182"/>
      <c r="AX117" s="182"/>
      <c r="AY117" s="182"/>
      <c r="AZ117" s="182"/>
      <c r="BA117" s="182"/>
      <c r="BB117" s="182"/>
      <c r="BC117" s="182"/>
      <c r="BD117" s="182"/>
      <c r="BE117" s="182"/>
      <c r="BF117" s="132"/>
      <c r="BG117" s="150" t="n">
        <f aca="false">TblConstr[[#This Row],[Tot WG]]/TblConstr[[#This Row],[Land]]</f>
        <v>0</v>
      </c>
      <c r="BH117" s="150" t="n">
        <f aca="false">TblConstr[[#This Row],[Tot Hav]]/TblConstr[[#This Row],[Land]]</f>
        <v>0</v>
      </c>
      <c r="BI117" s="69" t="n">
        <f aca="false">ROUNDUP((1-MIN(TblMili[[#This Row],[Smithies]]*smithy_bonus,smithy_bonus_cap) + tech_3_5*TblTech[[#This Row],[3-5]] + tech_5_3*TblTech[[#This Row],[5-3]] + tech_5_5*TblTech[[#This Row],[5-5]])*spec_op_plat,0)</f>
        <v>192</v>
      </c>
      <c r="BJ117" s="69" t="n">
        <f aca="false">ROUNDUP(IF(race="Gnome",1,(1-MIN(TblMili[[#This Row],[Smithies]]*smithy_bonus,smithy_bonus_cap) + tech_3_5*TblTech[[#This Row],[3-5]] + tech_5_3*TblTech[[#This Row],[5-3]] + tech_5_5*TblTech[[#This Row],[5-5]]))*spec_op_ore,0)</f>
        <v>0</v>
      </c>
      <c r="BK117" s="69" t="n">
        <f aca="false">ROUNDUP((1-MIN(TblMili[[#This Row],[Smithies]]*smithy_bonus,smithy_bonus_cap) + tech_3_5*TblTech[[#This Row],[3-5]] + tech_5_3*TblTech[[#This Row],[5-3]] + tech_5_5*TblTech[[#This Row],[5-5]])*spec_dp_plat,0)</f>
        <v>192</v>
      </c>
      <c r="BL117" s="69" t="n">
        <f aca="false">ROUNDUP(IF(race="Gnome",1,(1-MIN(TblMili[[#This Row],[Smithies]]*smithy_bonus,smithy_bonus_cap) + tech_3_5*TblTech[[#This Row],[3-5]] + tech_5_3*TblTech[[#This Row],[5-3]] + tech_5_5*TblTech[[#This Row],[5-5]]))*spec_dp_ore,0)</f>
        <v>0</v>
      </c>
      <c r="BM117" s="69" t="n">
        <f aca="false">ROUNDUP((1-MIN(TblMili[[#This Row],[Smithies]]*smithy_bonus,smithy_bonus_cap) + tech_3_5*TblTech[[#This Row],[3-5]] + tech_5_3*TblTech[[#This Row],[5-3]] + tech_5_5*TblTech[[#This Row],[5-5]])*elite1_plat,0)</f>
        <v>592</v>
      </c>
      <c r="BN117" s="69" t="n">
        <f aca="false">ROUNDUP(IF(race="Gnome",1,(1-MIN(TblMili[[#This Row],[Smithies]]*smithy_bonus,smithy_bonus_cap) + tech_3_5*TblTech[[#This Row],[3-5]] + tech_5_3*TblTech[[#This Row],[5-3]] + tech_5_5*TblTech[[#This Row],[5-5]]))*elite1_ore,0)</f>
        <v>0</v>
      </c>
      <c r="BO117" s="69" t="n">
        <f aca="false">ROUNDUP((1-MIN(TblMili[[#This Row],[Smithies]]*smithy_bonus,smithy_bonus_cap) + tech_3_5*TblTech[[#This Row],[3-5]] + tech_5_3*TblTech[[#This Row],[5-3]] + tech_5_5*TblTech[[#This Row],[5-5]])*elite2_plat,0)</f>
        <v>608</v>
      </c>
      <c r="BP117" s="69" t="n">
        <f aca="false">ROUNDUP(IF(race="Gnome",1,(1-MIN(TblMili[[#This Row],[Smithies]]*smithy_bonus,smithy_bonus_cap) + tech_3_5*TblTech[[#This Row],[3-5]] + tech_5_3*TblTech[[#This Row],[5-3]] + tech_5_5*TblTech[[#This Row],[5-5]]))*elite2_ore,0)</f>
        <v>0</v>
      </c>
      <c r="BQ117" s="69" t="n">
        <f aca="false">ROUNDUP((1-MIN(ROUND(fh_spy_cost_red*TblMili[[#This Row],[FH''s]],4),fh_spy_cost_cap)+ tech_1_9*TblTech[[#This Row],[1-9]] + tech_9_1*TblTech[[#This Row],[9-1]])*spy_plat,0)</f>
        <v>500</v>
      </c>
      <c r="BR117" s="69" t="n">
        <f aca="false">ROUNDUP((1-MIN(ROUND(fh_spy_cost_red*TblMili[[#This Row],[FH''s]],4),fh_spy_cost_cap)+ tech_1_9*TblTech[[#This Row],[1-9]] + tech_9_1*TblTech[[#This Row],[9-1]])*archspy_plat,0)</f>
        <v>1000</v>
      </c>
      <c r="BS117" s="69" t="n">
        <f aca="false">ROUNDUP((1-MIN(ROUND(wg_wiz_cost_bonus*TblMili[[#This Row],[WG''s]],4),wg_wiz_cost_cap) + tech_1_9_2*TblTech[[#This Row],[1-9]] + tech_9_1_2*TblTech[[#This Row],[9-1]])*wizard_plat,0)</f>
        <v>500</v>
      </c>
      <c r="BT117" s="69" t="n">
        <f aca="false">ROUNDUP((1-MIN(ROUND(wg_wiz_cost_bonus*TblMili[[#This Row],[WG''s]],4),wg_wiz_cost_cap) + tech_1_9_2*TblTech[[#This Row],[1-9]] + tech_9_1_2*TblTech[[#This Row],[9-1]])*archmage_plat,0)</f>
        <v>1000</v>
      </c>
      <c r="BU117" s="132"/>
      <c r="BV117" s="150" t="e">
        <f aca="false">TblConstr[[#This Row],[Homeland]]/TblConstr[[#This Row],[Land]]</f>
        <v>#VALUE!</v>
      </c>
      <c r="BW117" s="150" t="n">
        <f aca="false">TblMili[[#This Row],[WG''s]]</f>
        <v>0</v>
      </c>
      <c r="BX117" s="288" t="e">
        <f aca="false">IF(mystic_cap="none",TblMili[[#This Row],[Hill]]/mystic_bonus,MIN(mystic_cap,TblMili[[#This Row],[Hill]]/mystic_bonus))</f>
        <v>#VALUE!</v>
      </c>
      <c r="BY117" s="288" t="e">
        <f aca="false">IF(druid_op_cap="none",TblMili[[#This Row],[Hill]]/druid_op_bonus,MIN(druid_op_cap,TblMili[[#This Row],[Hill]]/druid_op_bonus))</f>
        <v>#VALUE!</v>
      </c>
      <c r="BZ117" s="288" t="e">
        <f aca="false">IF(druid_dp_cap="none",TblMili[[#This Row],[Hill]]/druid_dp_bonus,MIN(druid_dp_cap,TblMili[[#This Row],[Hill]]/druid_dp_bonus))</f>
        <v>#VALUE!</v>
      </c>
      <c r="CA117" s="288" t="e">
        <f aca="false">MIN(dryad_cap,TblMili[[#This Row],[Hill]]/dryad_bonus)</f>
        <v>#VALUE!</v>
      </c>
      <c r="CB117" s="288" t="e">
        <f aca="false">MIN(rocka_cap,TblMili[[#This Row],[Hill]]/rocka_bonus)</f>
        <v>#VALUE!</v>
      </c>
      <c r="CC117" s="288" t="n">
        <f aca="false">MIN(adept_op_cap,TblMili[[#This Row],[WG]]/adept_op_bonus)</f>
        <v>0</v>
      </c>
      <c r="CD117" s="288" t="n">
        <f aca="false">MIN(adept_dp_cap,TblMili[[#This Row],[WG]]/adept_dp_bonus)</f>
        <v>0</v>
      </c>
      <c r="CE117" s="69" t="n">
        <f aca="false">MIN(TblMili[[#This Row],[Unit 3]],TblMili[[#This Row],[Unit 2]])*2</f>
        <v>1400</v>
      </c>
      <c r="CF117" s="69" t="n">
        <f aca="false">MIN(TblMili[[#This Row],[Unit 1]],TblMili[[#This Row],[Unit 4]])*2</f>
        <v>0</v>
      </c>
      <c r="CG117" s="288" t="e">
        <f aca="false">MIN(frost_mage_cap,TblMili[[#This Row],[Hill]]/frost_mage_bonus)</f>
        <v>#VALUE!</v>
      </c>
      <c r="CH117" s="151" t="n">
        <f aca="false">MIN(ice_elem_cap,TblMili[[#This Row],[Raw (2)]]*ice_elem_bonus)</f>
        <v>0.0357142857142857</v>
      </c>
      <c r="CI117" s="288" t="n">
        <f aca="false">MIN(bone_breaker_cap,250/bone_breaker_bonus)</f>
        <v>0.833333333333333</v>
      </c>
      <c r="CJ117" s="288" t="e">
        <f aca="false">MIN(nox_nightshade_cap,TblConstr[[#This Row],[Homeland]]/TblConstr[[#This Row],[Land]]/nox_nightshade_swamp_bonus)</f>
        <v>#VALUE!</v>
      </c>
      <c r="CK117" s="289"/>
      <c r="CL117" s="289"/>
      <c r="CM117" s="289"/>
      <c r="CN117" s="288" t="e">
        <f aca="false">MIN(6,TblMili[[#This Row],[Mystic]]+Races!$F$19)*1.8 +  IF(TblMili[[#This Row],[Mystic]]+Races!$F$19&gt;6,(TblMili[[#This Row],[Mystic]]+Races!$F$19-6)*0.2,0) - Races!$I$19</f>
        <v>#VALUE!</v>
      </c>
      <c r="CO117" s="288" t="e">
        <f aca="false">1.8 * MIN(MAX(TblMili[[#This Row],[Druid (op)]]+Races!$E$20,TblMili[[#This Row],[Druid (dp)]]+Races!$F$20),6)  +  0.45 * MIN(MIN(TblMili[[#This Row],[Druid (op)]]+Races!$E$20,TblMili[[#This Row],[Druid (dp)]]+Races!$F$20),6)  +  0.2 * ( MAX(TblMili[[#This Row],[Druid (op)]]+Races!$E$20-6,0) + MAX(TblMili[[#This Row],[Druid (dp)]]+Races!$F$20-6,0) )  -  Races!$I$20</f>
        <v>#VALUE!</v>
      </c>
      <c r="CP117" s="69" t="e">
        <f aca="false">TblMili[[#This Row],[Mystic bonus]]*TblMili[[#This Row],[Unit 3]]+TblMili[[#This Row],[Druid bonus]]*TblMili[[#This Row],[Unit 4]]</f>
        <v>#VALUE!</v>
      </c>
      <c r="CQ117" s="148" t="e">
        <f aca="false">MIN(6,TblMili[[#This Row],[Dryad]]+Races!$F$35)*1.8 +  IF(TblMili[[#This Row],[Dryad]]+Races!$F$35&gt;6,(TblMili[[#This Row],[Dryad]]+Races!$F$35-6)*0.2,0) - Races!$I$19</f>
        <v>#VALUE!</v>
      </c>
      <c r="CR117" s="69" t="e">
        <f aca="false">sylvan*(TblMili[[#This Row],[Mystic bonus]]*TblMili[[#This Row],[Unit 3]])</f>
        <v>#VALUE!</v>
      </c>
      <c r="CS117" s="148" t="e">
        <f aca="false">1.8 * MIN(MAX(Races!$E$27,TblMili[[#This Row],[Rockapult]]+Races!$F$27),6)  +  0.45 * MIN(MIN(Races!$E$27,TblMili[[#This Row],[Rockapult]]+Races!$F$27),6)  +  0.2 * ( MAX(Races!$E$27-6,0) + MAX(TblMili[[#This Row],[Rockapult]]+Races!$F$27-6,0) )  -  Races!$I$20</f>
        <v>#VALUE!</v>
      </c>
      <c r="CT117" s="69" t="e">
        <f aca="false">gnome*(TblMili[[#This Row],[Rockapult bonus]]*TblMili[[#This Row],[Unit 3]])</f>
        <v>#VALUE!</v>
      </c>
      <c r="CU117" s="148" t="n">
        <f aca="false">1.8 * MIN(MAX(TblMili[[#This Row],[Spellblade]]+Races!$E$47,TblMili[[#This Row],[Adept-DP]]+Races!$F$47),6)  +  0.45 * MIN(MIN(TblMili[[#This Row],[Spellblade]]+Races!$E$47,TblMili[[#This Row],[Adept-DP]]+Races!$F$47),6)  +  0.2 * ( MAX(TblMili[[#This Row],[Spellblade]]+Races!$E$47-6,0) + MAX(TblMili[[#This Row],[Adept-DP]]+Races!$F$47-6,0) )  -  Races!$I$47</f>
        <v>0</v>
      </c>
      <c r="CV117" s="69" t="n">
        <f aca="false">dark_elf*(TblMili[[#This Row],[Adept bonus]]*TblMili[[#This Row],[Unit 3]])</f>
        <v>0</v>
      </c>
      <c r="CW117" s="148" t="e">
        <f aca="false">1.8 * MIN(MAX(TblMili[[#This Row],[Frost Mage]]+Races!$F$71,Races!$E$71),6)  +  0.45 * MIN(MIN(TblMili[[#This Row],[Frost Mage]]+Races!$F$71,Races!$E$71),6)  +  0.2 * ( MAX(TblMili[[#This Row],[Frost Mage]]+Races!$F$71-6,0) + MAX(Races!$E$71-6,0) )  -  Races!$I$71</f>
        <v>#VALUE!</v>
      </c>
      <c r="CX117" s="148" t="n">
        <f aca="false">1.8 * MIN(MAX(TblMili[[#This Row],[Ice Elemental]]+Races!$E$71,Races!$F$71),6)  +  0.45 * MIN(MIN(TblMili[[#This Row],[Ice Elemental]]+Races!$E$71,Races!$F$71),6)  +  0.2 * ( MAX(TblMili[[#This Row],[Ice Elemental]]+Races!$E$71-6,0) + MAX(Races!$F$71-6,0) )  -  Races!$I$71</f>
        <v>0.064285714285715</v>
      </c>
      <c r="CY117" s="69" t="e">
        <f aca="false">TblMili[[#This Row],[Frost Mage bonus]]*TblMili[[#This Row],[Unit 3]]+TblMili[[#This Row],[Ice Elemental bonus]]*TblMili[[#This Row],[Unit 4]]</f>
        <v>#VALUE!</v>
      </c>
      <c r="CZ117" s="290"/>
      <c r="DA117" s="109" t="n">
        <f aca="false">MIN(SUM(TblConstr[[#This Row],[Plain]:[Water]])/TblMili[[#This Row],[Land]]/favorable_terrain_bonus/100,favorable_terrain_max)</f>
        <v>0</v>
      </c>
      <c r="DB117" s="290"/>
      <c r="DC11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7" s="132"/>
      <c r="DE117" s="291" t="n">
        <f aca="false">(TblMili[[#This Row],[Wizards]]+2*TblMili[[#This Row],[Archmages]])/TblConstr[[#This Row],[Land]]</f>
        <v>0.0357142857142857</v>
      </c>
      <c r="DF117" s="291" t="n">
        <f aca="false">TblMili[[#This Row],[Raw (2)]]*(1+race_wizard_strength+IF(TblMili[[#This Row],[Hour]]&gt;72,tech_magical_weaponry_wiz*TblTech[[#This Row],[3-5]],0))</f>
        <v>0.0357142857142857</v>
      </c>
    </row>
    <row r="118" customFormat="false" ht="12.75" hidden="false" customHeight="false" outlineLevel="0" collapsed="false">
      <c r="A118" s="128" t="n">
        <f aca="false">TblRezone[[#This Row],[Hour]]</f>
        <v>115</v>
      </c>
      <c r="B118" s="282" t="n">
        <f aca="false">SUM(TblMili[[#This Row],[Unit 1]:[Archmages]])+SUM(OFFSET(TblMili[[#This Row],[Train Unit 1]],-8,0):TblMili[[#This Row],[Train Unit 2]]) + SUM(OFFSET(TblMili[[#This Row],[Train Unit 3]],-11,0):TblMili[[#This Row],[Train AM]]) + TblMili[[#This Row],[Draftees]]</f>
        <v>6373</v>
      </c>
      <c r="C118" s="150" t="n">
        <f aca="false">TblPop[[#This Row],[Military%]]</f>
        <v>0.49254192750599</v>
      </c>
      <c r="D118" s="132"/>
      <c r="E118" s="151" t="n">
        <f aca="false">OFFSET(TblMili[[#This Row],[Unit 1]],-1,0) + OFFSET(TblMili[[#This Row],[Train Unit 1]],-9,0) - TblMili[[#This Row],[Release Unit 1]]</f>
        <v>0</v>
      </c>
      <c r="F118" s="151" t="n">
        <f aca="false">OFFSET(TblMili[[#This Row],[Unit 2]],-1,0) + OFFSET(TblMili[[#This Row],[Train Unit 2]],-9,0)-TblMili[[#This Row],[Release Unit 2]]</f>
        <v>1246</v>
      </c>
      <c r="G118" s="151" t="n">
        <f aca="false">OFFSET(TblMili[[#This Row],[Unit 3]],-1,0) + OFFSET(TblMili[[#This Row],[Train Unit 3]],-12,0)-TblMili[[#This Row],[Release Unit 3]]</f>
        <v>700</v>
      </c>
      <c r="H118" s="151" t="n">
        <f aca="false">OFFSET(TblMili[[#This Row],[Unit 4]],-1,0) + OFFSET(TblMili[[#This Row],[Train Unit 4]],-12,0)-TblMili[[#This Row],[Release Unit 4]]</f>
        <v>1228</v>
      </c>
      <c r="I118" s="151" t="n">
        <f aca="false">OFFSET(TblMili[[#This Row],[Spies]],-1,0) + OFFSET(TblMili[[#This Row],[Train Spies]],-12,0) - TblMili[[#This Row],[Release Spies]]-TblMili[[#This Row],[Train AS]]</f>
        <v>25</v>
      </c>
      <c r="J118" s="151" t="n">
        <f aca="false">OFFSET(TblMili[[#This Row],[Archspies]],-1,0) + OFFSET(TblMili[[#This Row],[Train AS]],-12,0) - TblMili[[#This Row],[Release AS]]</f>
        <v>0</v>
      </c>
      <c r="K118" s="151" t="n">
        <f aca="false">OFFSET(TblMili[[#This Row],[Wizards]],-1,0) + OFFSET(TblMili[[#This Row],[Train Wiz]],-12,0) - TblMili[[#This Row],[Release Wizards]]-TblMili[[#This Row],[Train AM]]</f>
        <v>25</v>
      </c>
      <c r="L118" s="151" t="n">
        <f aca="false">OFFSET(TblMili[[#This Row],[Archmages]],-1,0) + OFFSET(TblMili[[#This Row],[Train AM]],-12,0) - TblMili[[#This Row],[Release AM]]</f>
        <v>0</v>
      </c>
      <c r="M118" s="132"/>
      <c r="N118" s="69" t="e">
        <f aca="false">TblProd[[#This Row],[Networth]]</f>
        <v>#VALUE!</v>
      </c>
      <c r="O118" s="132"/>
      <c r="P11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8" s="285" t="e">
        <f aca="false">TblMili[[#This Row],[Raw]]*(1+TblMili[[#This Row],[Mods_Off]])</f>
        <v>#VALUE!</v>
      </c>
      <c r="S11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8" s="285" t="e">
        <f aca="false">TblMili[[#This Row],[Non Draft]]+TblMili[[#This Row],[Draftees]]</f>
        <v>#VALUE!</v>
      </c>
      <c r="U118" s="286" t="n">
        <f aca="false">race_defense + TblImps[[#This Row],[Walls]] + ROUND( MIN(gt_bonus*TblConstr[[#This Row],[Tot GT]]/TblConstr[[#This Row],[Land]],gt_bonus_cap), 4) + IF(TblMagic[[#This Row],[Active Howling]]&gt;0,howling_dp_bonus,IF(TblMagic[[#This Row],[Active Ares Call]]&gt;0,ares_call_bonus))</f>
        <v>0.1375</v>
      </c>
      <c r="V118" s="274" t="e">
        <f aca="false">TblMili[[#This Row],[Non Draft]] * (1 + TblMili[[#This Row],[Mods_Def]])</f>
        <v>#VALUE!</v>
      </c>
      <c r="W118" s="285" t="e">
        <f aca="false">TblMili[[#This Row],[Draft]] * (1 + TblMili[[#This Row],[Mods_Def]])</f>
        <v>#VALUE!</v>
      </c>
      <c r="X118" s="285" t="n">
        <f aca="false">TblConstr[[#This Row],[Land]]</f>
        <v>700</v>
      </c>
      <c r="Y118" s="287"/>
      <c r="Z118" s="109" t="n">
        <f aca="false">IF(TblMili[[#This Row],[Set]]&lt;&gt;"",TblMili[[#This Row],[Set]],OFFSET(TblMili[[#This Row],[Draftrate]],-1,0))</f>
        <v>0.9</v>
      </c>
      <c r="AA118" s="69" t="n">
        <f aca="false">OFFSET(TblMili[[#This Row],[Draftees]],-1,0)+OFFSET(TblPop[[#This Row],[Draft Growth]],-1,0) - SUM(TblMili[[#This Row],[Train Unit 1]:[Train Spies]],TblMili[[#This Row],[Train Wiz]]) - TblMili[[#This Row],[Release Draft]] + SUM(TblMili[[#This Row],[Release Unit 1]:[Release AM]]) - TblExplore[[#This Row],[Draftees (2)]]</f>
        <v>3149</v>
      </c>
      <c r="AB118" s="146"/>
      <c r="AC118" s="130" t="n">
        <f aca="false">(TblConstr[[#This Row],[Tot Smi]]+TblConstr[[#This Row],[Dest Smi]])/(TblConstr[[#This Row],[Land]]-TblExplore[[#This Row],[Land Bonus]]*20)</f>
        <v>0.18</v>
      </c>
      <c r="AD118" s="128"/>
      <c r="AE118" s="282" t="n">
        <f aca="false">TblMili[[#This Row],[Hour]]</f>
        <v>115</v>
      </c>
      <c r="AF118" s="129" t="n">
        <f aca="false">TblExplore[[#This Row],[Time]]</f>
        <v>45434.5</v>
      </c>
      <c r="AG118" s="182"/>
      <c r="AH118" s="182"/>
      <c r="AI118" s="182"/>
      <c r="AJ118" s="182"/>
      <c r="AK118" s="182"/>
      <c r="AL118" s="182"/>
      <c r="AM118" s="182"/>
      <c r="AN118" s="182"/>
      <c r="AO118" s="132"/>
      <c r="AP118" s="69" t="n">
        <f aca="false">TblProd[[#This Row],[Platinum]]</f>
        <v>1685286</v>
      </c>
      <c r="AQ118" s="69" t="n">
        <f aca="false">INDEX(TblProd[[#Headers],[Lumber]]:TblProd[[#This Row],[Ore]],COUNTA(TblProd[[#Headers],[Lumber]]:TblProd[[#This Row],[Lumber]]),MATCH(Military!$AQ$2,TblProd[[#Headers],[Lumber]:[Ore]],0))</f>
        <v>0</v>
      </c>
      <c r="AR11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69" t="n">
        <f aca="false">TblMili[[#This Row],[Train Unit 1]]*TblMili[[#This Row],[OP Ore]]+TblMili[[#This Row],[Train Unit 2]]*TblMili[[#This Row],[DP Ore]]+TblMili[[#This Row],[Train Unit 3]]*TblMili[[#This Row],[E1 Ore]]+TblMili[[#This Row],[Train Unit 4]]*TblMili[[#This Row],[E2 Ore]]</f>
        <v>0</v>
      </c>
      <c r="AT118" s="132" t="n">
        <f aca="false">TblMili[[#This Row],[Hour]]</f>
        <v>115</v>
      </c>
      <c r="AU118" s="144" t="n">
        <f aca="false">TblMili[[#This Row],[Time]]</f>
        <v>45434.5</v>
      </c>
      <c r="AV118" s="69" t="n">
        <f aca="false">TblMili[[#This Row],[Draftees]]</f>
        <v>3149</v>
      </c>
      <c r="AW118" s="182"/>
      <c r="AX118" s="182"/>
      <c r="AY118" s="182"/>
      <c r="AZ118" s="182"/>
      <c r="BA118" s="182"/>
      <c r="BB118" s="182"/>
      <c r="BC118" s="182"/>
      <c r="BD118" s="182"/>
      <c r="BE118" s="182"/>
      <c r="BF118" s="132"/>
      <c r="BG118" s="150" t="n">
        <f aca="false">TblConstr[[#This Row],[Tot WG]]/TblConstr[[#This Row],[Land]]</f>
        <v>0</v>
      </c>
      <c r="BH118" s="150" t="n">
        <f aca="false">TblConstr[[#This Row],[Tot Hav]]/TblConstr[[#This Row],[Land]]</f>
        <v>0</v>
      </c>
      <c r="BI118" s="69" t="n">
        <f aca="false">ROUNDUP((1-MIN(TblMili[[#This Row],[Smithies]]*smithy_bonus,smithy_bonus_cap) + tech_3_5*TblTech[[#This Row],[3-5]] + tech_5_3*TblTech[[#This Row],[5-3]] + tech_5_5*TblTech[[#This Row],[5-5]])*spec_op_plat,0)</f>
        <v>192</v>
      </c>
      <c r="BJ118" s="69" t="n">
        <f aca="false">ROUNDUP(IF(race="Gnome",1,(1-MIN(TblMili[[#This Row],[Smithies]]*smithy_bonus,smithy_bonus_cap) + tech_3_5*TblTech[[#This Row],[3-5]] + tech_5_3*TblTech[[#This Row],[5-3]] + tech_5_5*TblTech[[#This Row],[5-5]]))*spec_op_ore,0)</f>
        <v>0</v>
      </c>
      <c r="BK118" s="69" t="n">
        <f aca="false">ROUNDUP((1-MIN(TblMili[[#This Row],[Smithies]]*smithy_bonus,smithy_bonus_cap) + tech_3_5*TblTech[[#This Row],[3-5]] + tech_5_3*TblTech[[#This Row],[5-3]] + tech_5_5*TblTech[[#This Row],[5-5]])*spec_dp_plat,0)</f>
        <v>192</v>
      </c>
      <c r="BL118" s="69" t="n">
        <f aca="false">ROUNDUP(IF(race="Gnome",1,(1-MIN(TblMili[[#This Row],[Smithies]]*smithy_bonus,smithy_bonus_cap) + tech_3_5*TblTech[[#This Row],[3-5]] + tech_5_3*TblTech[[#This Row],[5-3]] + tech_5_5*TblTech[[#This Row],[5-5]]))*spec_dp_ore,0)</f>
        <v>0</v>
      </c>
      <c r="BM118" s="69" t="n">
        <f aca="false">ROUNDUP((1-MIN(TblMili[[#This Row],[Smithies]]*smithy_bonus,smithy_bonus_cap) + tech_3_5*TblTech[[#This Row],[3-5]] + tech_5_3*TblTech[[#This Row],[5-3]] + tech_5_5*TblTech[[#This Row],[5-5]])*elite1_plat,0)</f>
        <v>592</v>
      </c>
      <c r="BN118" s="69" t="n">
        <f aca="false">ROUNDUP(IF(race="Gnome",1,(1-MIN(TblMili[[#This Row],[Smithies]]*smithy_bonus,smithy_bonus_cap) + tech_3_5*TblTech[[#This Row],[3-5]] + tech_5_3*TblTech[[#This Row],[5-3]] + tech_5_5*TblTech[[#This Row],[5-5]]))*elite1_ore,0)</f>
        <v>0</v>
      </c>
      <c r="BO118" s="69" t="n">
        <f aca="false">ROUNDUP((1-MIN(TblMili[[#This Row],[Smithies]]*smithy_bonus,smithy_bonus_cap) + tech_3_5*TblTech[[#This Row],[3-5]] + tech_5_3*TblTech[[#This Row],[5-3]] + tech_5_5*TblTech[[#This Row],[5-5]])*elite2_plat,0)</f>
        <v>608</v>
      </c>
      <c r="BP118" s="69" t="n">
        <f aca="false">ROUNDUP(IF(race="Gnome",1,(1-MIN(TblMili[[#This Row],[Smithies]]*smithy_bonus,smithy_bonus_cap) + tech_3_5*TblTech[[#This Row],[3-5]] + tech_5_3*TblTech[[#This Row],[5-3]] + tech_5_5*TblTech[[#This Row],[5-5]]))*elite2_ore,0)</f>
        <v>0</v>
      </c>
      <c r="BQ118" s="69" t="n">
        <f aca="false">ROUNDUP((1-MIN(ROUND(fh_spy_cost_red*TblMili[[#This Row],[FH''s]],4),fh_spy_cost_cap)+ tech_1_9*TblTech[[#This Row],[1-9]] + tech_9_1*TblTech[[#This Row],[9-1]])*spy_plat,0)</f>
        <v>500</v>
      </c>
      <c r="BR118" s="69" t="n">
        <f aca="false">ROUNDUP((1-MIN(ROUND(fh_spy_cost_red*TblMili[[#This Row],[FH''s]],4),fh_spy_cost_cap)+ tech_1_9*TblTech[[#This Row],[1-9]] + tech_9_1*TblTech[[#This Row],[9-1]])*archspy_plat,0)</f>
        <v>1000</v>
      </c>
      <c r="BS118" s="69" t="n">
        <f aca="false">ROUNDUP((1-MIN(ROUND(wg_wiz_cost_bonus*TblMili[[#This Row],[WG''s]],4),wg_wiz_cost_cap) + tech_1_9_2*TblTech[[#This Row],[1-9]] + tech_9_1_2*TblTech[[#This Row],[9-1]])*wizard_plat,0)</f>
        <v>500</v>
      </c>
      <c r="BT118" s="69" t="n">
        <f aca="false">ROUNDUP((1-MIN(ROUND(wg_wiz_cost_bonus*TblMili[[#This Row],[WG''s]],4),wg_wiz_cost_cap) + tech_1_9_2*TblTech[[#This Row],[1-9]] + tech_9_1_2*TblTech[[#This Row],[9-1]])*archmage_plat,0)</f>
        <v>1000</v>
      </c>
      <c r="BU118" s="132"/>
      <c r="BV118" s="150" t="e">
        <f aca="false">TblConstr[[#This Row],[Homeland]]/TblConstr[[#This Row],[Land]]</f>
        <v>#VALUE!</v>
      </c>
      <c r="BW118" s="150" t="n">
        <f aca="false">TblMili[[#This Row],[WG''s]]</f>
        <v>0</v>
      </c>
      <c r="BX118" s="288" t="e">
        <f aca="false">IF(mystic_cap="none",TblMili[[#This Row],[Hill]]/mystic_bonus,MIN(mystic_cap,TblMili[[#This Row],[Hill]]/mystic_bonus))</f>
        <v>#VALUE!</v>
      </c>
      <c r="BY118" s="288" t="e">
        <f aca="false">IF(druid_op_cap="none",TblMili[[#This Row],[Hill]]/druid_op_bonus,MIN(druid_op_cap,TblMili[[#This Row],[Hill]]/druid_op_bonus))</f>
        <v>#VALUE!</v>
      </c>
      <c r="BZ118" s="288" t="e">
        <f aca="false">IF(druid_dp_cap="none",TblMili[[#This Row],[Hill]]/druid_dp_bonus,MIN(druid_dp_cap,TblMili[[#This Row],[Hill]]/druid_dp_bonus))</f>
        <v>#VALUE!</v>
      </c>
      <c r="CA118" s="288" t="e">
        <f aca="false">MIN(dryad_cap,TblMili[[#This Row],[Hill]]/dryad_bonus)</f>
        <v>#VALUE!</v>
      </c>
      <c r="CB118" s="288" t="e">
        <f aca="false">MIN(rocka_cap,TblMili[[#This Row],[Hill]]/rocka_bonus)</f>
        <v>#VALUE!</v>
      </c>
      <c r="CC118" s="288" t="n">
        <f aca="false">MIN(adept_op_cap,TblMili[[#This Row],[WG]]/adept_op_bonus)</f>
        <v>0</v>
      </c>
      <c r="CD118" s="288" t="n">
        <f aca="false">MIN(adept_dp_cap,TblMili[[#This Row],[WG]]/adept_dp_bonus)</f>
        <v>0</v>
      </c>
      <c r="CE118" s="69" t="n">
        <f aca="false">MIN(TblMili[[#This Row],[Unit 3]],TblMili[[#This Row],[Unit 2]])*2</f>
        <v>1400</v>
      </c>
      <c r="CF118" s="69" t="n">
        <f aca="false">MIN(TblMili[[#This Row],[Unit 1]],TblMili[[#This Row],[Unit 4]])*2</f>
        <v>0</v>
      </c>
      <c r="CG118" s="288" t="e">
        <f aca="false">MIN(frost_mage_cap,TblMili[[#This Row],[Hill]]/frost_mage_bonus)</f>
        <v>#VALUE!</v>
      </c>
      <c r="CH118" s="151" t="n">
        <f aca="false">MIN(ice_elem_cap,TblMili[[#This Row],[Raw (2)]]*ice_elem_bonus)</f>
        <v>0.0357142857142857</v>
      </c>
      <c r="CI118" s="288" t="n">
        <f aca="false">MIN(bone_breaker_cap,250/bone_breaker_bonus)</f>
        <v>0.833333333333333</v>
      </c>
      <c r="CJ118" s="288" t="e">
        <f aca="false">MIN(nox_nightshade_cap,TblConstr[[#This Row],[Homeland]]/TblConstr[[#This Row],[Land]]/nox_nightshade_swamp_bonus)</f>
        <v>#VALUE!</v>
      </c>
      <c r="CK118" s="289"/>
      <c r="CL118" s="289"/>
      <c r="CM118" s="289"/>
      <c r="CN118" s="288" t="e">
        <f aca="false">MIN(6,TblMili[[#This Row],[Mystic]]+Races!$F$19)*1.8 +  IF(TblMili[[#This Row],[Mystic]]+Races!$F$19&gt;6,(TblMili[[#This Row],[Mystic]]+Races!$F$19-6)*0.2,0) - Races!$I$19</f>
        <v>#VALUE!</v>
      </c>
      <c r="CO118" s="288" t="e">
        <f aca="false">1.8 * MIN(MAX(TblMili[[#This Row],[Druid (op)]]+Races!$E$20,TblMili[[#This Row],[Druid (dp)]]+Races!$F$20),6)  +  0.45 * MIN(MIN(TblMili[[#This Row],[Druid (op)]]+Races!$E$20,TblMili[[#This Row],[Druid (dp)]]+Races!$F$20),6)  +  0.2 * ( MAX(TblMili[[#This Row],[Druid (op)]]+Races!$E$20-6,0) + MAX(TblMili[[#This Row],[Druid (dp)]]+Races!$F$20-6,0) )  -  Races!$I$20</f>
        <v>#VALUE!</v>
      </c>
      <c r="CP118" s="69" t="e">
        <f aca="false">TblMili[[#This Row],[Mystic bonus]]*TblMili[[#This Row],[Unit 3]]+TblMili[[#This Row],[Druid bonus]]*TblMili[[#This Row],[Unit 4]]</f>
        <v>#VALUE!</v>
      </c>
      <c r="CQ118" s="148" t="e">
        <f aca="false">MIN(6,TblMili[[#This Row],[Dryad]]+Races!$F$35)*1.8 +  IF(TblMili[[#This Row],[Dryad]]+Races!$F$35&gt;6,(TblMili[[#This Row],[Dryad]]+Races!$F$35-6)*0.2,0) - Races!$I$19</f>
        <v>#VALUE!</v>
      </c>
      <c r="CR118" s="69" t="e">
        <f aca="false">sylvan*(TblMili[[#This Row],[Mystic bonus]]*TblMili[[#This Row],[Unit 3]])</f>
        <v>#VALUE!</v>
      </c>
      <c r="CS118" s="148" t="e">
        <f aca="false">1.8 * MIN(MAX(Races!$E$27,TblMili[[#This Row],[Rockapult]]+Races!$F$27),6)  +  0.45 * MIN(MIN(Races!$E$27,TblMili[[#This Row],[Rockapult]]+Races!$F$27),6)  +  0.2 * ( MAX(Races!$E$27-6,0) + MAX(TblMili[[#This Row],[Rockapult]]+Races!$F$27-6,0) )  -  Races!$I$20</f>
        <v>#VALUE!</v>
      </c>
      <c r="CT118" s="69" t="e">
        <f aca="false">gnome*(TblMili[[#This Row],[Rockapult bonus]]*TblMili[[#This Row],[Unit 3]])</f>
        <v>#VALUE!</v>
      </c>
      <c r="CU118" s="148" t="n">
        <f aca="false">1.8 * MIN(MAX(TblMili[[#This Row],[Spellblade]]+Races!$E$47,TblMili[[#This Row],[Adept-DP]]+Races!$F$47),6)  +  0.45 * MIN(MIN(TblMili[[#This Row],[Spellblade]]+Races!$E$47,TblMili[[#This Row],[Adept-DP]]+Races!$F$47),6)  +  0.2 * ( MAX(TblMili[[#This Row],[Spellblade]]+Races!$E$47-6,0) + MAX(TblMili[[#This Row],[Adept-DP]]+Races!$F$47-6,0) )  -  Races!$I$47</f>
        <v>0</v>
      </c>
      <c r="CV118" s="69" t="n">
        <f aca="false">dark_elf*(TblMili[[#This Row],[Adept bonus]]*TblMili[[#This Row],[Unit 3]])</f>
        <v>0</v>
      </c>
      <c r="CW118" s="148" t="e">
        <f aca="false">1.8 * MIN(MAX(TblMili[[#This Row],[Frost Mage]]+Races!$F$71,Races!$E$71),6)  +  0.45 * MIN(MIN(TblMili[[#This Row],[Frost Mage]]+Races!$F$71,Races!$E$71),6)  +  0.2 * ( MAX(TblMili[[#This Row],[Frost Mage]]+Races!$F$71-6,0) + MAX(Races!$E$71-6,0) )  -  Races!$I$71</f>
        <v>#VALUE!</v>
      </c>
      <c r="CX118" s="148" t="n">
        <f aca="false">1.8 * MIN(MAX(TblMili[[#This Row],[Ice Elemental]]+Races!$E$71,Races!$F$71),6)  +  0.45 * MIN(MIN(TblMili[[#This Row],[Ice Elemental]]+Races!$E$71,Races!$F$71),6)  +  0.2 * ( MAX(TblMili[[#This Row],[Ice Elemental]]+Races!$E$71-6,0) + MAX(Races!$F$71-6,0) )  -  Races!$I$71</f>
        <v>0.064285714285715</v>
      </c>
      <c r="CY118" s="69" t="e">
        <f aca="false">TblMili[[#This Row],[Frost Mage bonus]]*TblMili[[#This Row],[Unit 3]]+TblMili[[#This Row],[Ice Elemental bonus]]*TblMili[[#This Row],[Unit 4]]</f>
        <v>#VALUE!</v>
      </c>
      <c r="CZ118" s="290"/>
      <c r="DA118" s="109" t="n">
        <f aca="false">MIN(SUM(TblConstr[[#This Row],[Plain]:[Water]])/TblMili[[#This Row],[Land]]/favorable_terrain_bonus/100,favorable_terrain_max)</f>
        <v>0</v>
      </c>
      <c r="DB118" s="290"/>
      <c r="DC11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8" s="132"/>
      <c r="DE118" s="291" t="n">
        <f aca="false">(TblMili[[#This Row],[Wizards]]+2*TblMili[[#This Row],[Archmages]])/TblConstr[[#This Row],[Land]]</f>
        <v>0.0357142857142857</v>
      </c>
      <c r="DF118" s="291" t="n">
        <f aca="false">TblMili[[#This Row],[Raw (2)]]*(1+race_wizard_strength+IF(TblMili[[#This Row],[Hour]]&gt;72,tech_magical_weaponry_wiz*TblTech[[#This Row],[3-5]],0))</f>
        <v>0.0357142857142857</v>
      </c>
    </row>
    <row r="119" customFormat="false" ht="12.75" hidden="false" customHeight="false" outlineLevel="0" collapsed="false">
      <c r="A119" s="128" t="n">
        <f aca="false">TblRezone[[#This Row],[Hour]]</f>
        <v>116</v>
      </c>
      <c r="B119" s="282" t="n">
        <f aca="false">SUM(TblMili[[#This Row],[Unit 1]:[Archmages]])+SUM(OFFSET(TblMili[[#This Row],[Train Unit 1]],-8,0):TblMili[[#This Row],[Train Unit 2]]) + SUM(OFFSET(TblMili[[#This Row],[Train Unit 3]],-11,0):TblMili[[#This Row],[Train AM]]) + TblMili[[#This Row],[Draftees]]</f>
        <v>6439</v>
      </c>
      <c r="C119" s="150" t="n">
        <f aca="false">TblPop[[#This Row],[Military%]]</f>
        <v>0.497642785377541</v>
      </c>
      <c r="D119" s="132"/>
      <c r="E119" s="151" t="n">
        <f aca="false">OFFSET(TblMili[[#This Row],[Unit 1]],-1,0) + OFFSET(TblMili[[#This Row],[Train Unit 1]],-9,0) - TblMili[[#This Row],[Release Unit 1]]</f>
        <v>0</v>
      </c>
      <c r="F119" s="151" t="n">
        <f aca="false">OFFSET(TblMili[[#This Row],[Unit 2]],-1,0) + OFFSET(TblMili[[#This Row],[Train Unit 2]],-9,0)-TblMili[[#This Row],[Release Unit 2]]</f>
        <v>1246</v>
      </c>
      <c r="G119" s="151" t="n">
        <f aca="false">OFFSET(TblMili[[#This Row],[Unit 3]],-1,0) + OFFSET(TblMili[[#This Row],[Train Unit 3]],-12,0)-TblMili[[#This Row],[Release Unit 3]]</f>
        <v>700</v>
      </c>
      <c r="H119" s="151" t="n">
        <f aca="false">OFFSET(TblMili[[#This Row],[Unit 4]],-1,0) + OFFSET(TblMili[[#This Row],[Train Unit 4]],-12,0)-TblMili[[#This Row],[Release Unit 4]]</f>
        <v>1228</v>
      </c>
      <c r="I119" s="151" t="n">
        <f aca="false">OFFSET(TblMili[[#This Row],[Spies]],-1,0) + OFFSET(TblMili[[#This Row],[Train Spies]],-12,0) - TblMili[[#This Row],[Release Spies]]-TblMili[[#This Row],[Train AS]]</f>
        <v>25</v>
      </c>
      <c r="J119" s="151" t="n">
        <f aca="false">OFFSET(TblMili[[#This Row],[Archspies]],-1,0) + OFFSET(TblMili[[#This Row],[Train AS]],-12,0) - TblMili[[#This Row],[Release AS]]</f>
        <v>0</v>
      </c>
      <c r="K119" s="151" t="n">
        <f aca="false">OFFSET(TblMili[[#This Row],[Wizards]],-1,0) + OFFSET(TblMili[[#This Row],[Train Wiz]],-12,0) - TblMili[[#This Row],[Release Wizards]]-TblMili[[#This Row],[Train AM]]</f>
        <v>25</v>
      </c>
      <c r="L119" s="151" t="n">
        <f aca="false">OFFSET(TblMili[[#This Row],[Archmages]],-1,0) + OFFSET(TblMili[[#This Row],[Train AM]],-12,0) - TblMili[[#This Row],[Release AM]]</f>
        <v>0</v>
      </c>
      <c r="M119" s="132"/>
      <c r="N119" s="69" t="e">
        <f aca="false">TblProd[[#This Row],[Networth]]</f>
        <v>#VALUE!</v>
      </c>
      <c r="O119" s="132"/>
      <c r="P11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9" s="285" t="e">
        <f aca="false">TblMili[[#This Row],[Raw]]*(1+TblMili[[#This Row],[Mods_Off]])</f>
        <v>#VALUE!</v>
      </c>
      <c r="S11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9" s="285" t="e">
        <f aca="false">TblMili[[#This Row],[Non Draft]]+TblMili[[#This Row],[Draftees]]</f>
        <v>#VALUE!</v>
      </c>
      <c r="U119" s="286" t="n">
        <f aca="false">race_defense + TblImps[[#This Row],[Walls]] + ROUND( MIN(gt_bonus*TblConstr[[#This Row],[Tot GT]]/TblConstr[[#This Row],[Land]],gt_bonus_cap), 4) + IF(TblMagic[[#This Row],[Active Howling]]&gt;0,howling_dp_bonus,IF(TblMagic[[#This Row],[Active Ares Call]]&gt;0,ares_call_bonus))</f>
        <v>0.1375</v>
      </c>
      <c r="V119" s="274" t="e">
        <f aca="false">TblMili[[#This Row],[Non Draft]] * (1 + TblMili[[#This Row],[Mods_Def]])</f>
        <v>#VALUE!</v>
      </c>
      <c r="W119" s="285" t="e">
        <f aca="false">TblMili[[#This Row],[Draft]] * (1 + TblMili[[#This Row],[Mods_Def]])</f>
        <v>#VALUE!</v>
      </c>
      <c r="X119" s="285" t="n">
        <f aca="false">TblConstr[[#This Row],[Land]]</f>
        <v>700</v>
      </c>
      <c r="Y119" s="287"/>
      <c r="Z119" s="109" t="n">
        <f aca="false">IF(TblMili[[#This Row],[Set]]&lt;&gt;"",TblMili[[#This Row],[Set]],OFFSET(TblMili[[#This Row],[Draftrate]],-1,0))</f>
        <v>0.9</v>
      </c>
      <c r="AA119" s="69" t="n">
        <f aca="false">OFFSET(TblMili[[#This Row],[Draftees]],-1,0)+OFFSET(TblPop[[#This Row],[Draft Growth]],-1,0) - SUM(TblMili[[#This Row],[Train Unit 1]:[Train Spies]],TblMili[[#This Row],[Train Wiz]]) - TblMili[[#This Row],[Release Draft]] + SUM(TblMili[[#This Row],[Release Unit 1]:[Release AM]]) - TblExplore[[#This Row],[Draftees (2)]]</f>
        <v>3215</v>
      </c>
      <c r="AB119" s="146"/>
      <c r="AC119" s="130" t="n">
        <f aca="false">(TblConstr[[#This Row],[Tot Smi]]+TblConstr[[#This Row],[Dest Smi]])/(TblConstr[[#This Row],[Land]]-TblExplore[[#This Row],[Land Bonus]]*20)</f>
        <v>0.18</v>
      </c>
      <c r="AD119" s="128"/>
      <c r="AE119" s="282" t="n">
        <f aca="false">TblMili[[#This Row],[Hour]]</f>
        <v>116</v>
      </c>
      <c r="AF119" s="129" t="n">
        <f aca="false">TblExplore[[#This Row],[Time]]</f>
        <v>45434.5416666667</v>
      </c>
      <c r="AG119" s="182"/>
      <c r="AH119" s="182"/>
      <c r="AI119" s="182"/>
      <c r="AJ119" s="182"/>
      <c r="AK119" s="182"/>
      <c r="AL119" s="182"/>
      <c r="AM119" s="182"/>
      <c r="AN119" s="182"/>
      <c r="AO119" s="132"/>
      <c r="AP119" s="69" t="n">
        <f aca="false">TblProd[[#This Row],[Platinum]]</f>
        <v>1715389</v>
      </c>
      <c r="AQ119" s="69" t="n">
        <f aca="false">INDEX(TblProd[[#Headers],[Lumber]]:TblProd[[#This Row],[Ore]],COUNTA(TblProd[[#Headers],[Lumber]]:TblProd[[#This Row],[Lumber]]),MATCH(Military!$AQ$2,TblProd[[#Headers],[Lumber]:[Ore]],0))</f>
        <v>0</v>
      </c>
      <c r="AR11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69" t="n">
        <f aca="false">TblMili[[#This Row],[Train Unit 1]]*TblMili[[#This Row],[OP Ore]]+TblMili[[#This Row],[Train Unit 2]]*TblMili[[#This Row],[DP Ore]]+TblMili[[#This Row],[Train Unit 3]]*TblMili[[#This Row],[E1 Ore]]+TblMili[[#This Row],[Train Unit 4]]*TblMili[[#This Row],[E2 Ore]]</f>
        <v>0</v>
      </c>
      <c r="AT119" s="132" t="n">
        <f aca="false">TblMili[[#This Row],[Hour]]</f>
        <v>116</v>
      </c>
      <c r="AU119" s="144" t="n">
        <f aca="false">TblMili[[#This Row],[Time]]</f>
        <v>45434.5416666667</v>
      </c>
      <c r="AV119" s="69" t="n">
        <f aca="false">TblMili[[#This Row],[Draftees]]</f>
        <v>3215</v>
      </c>
      <c r="AW119" s="182"/>
      <c r="AX119" s="182"/>
      <c r="AY119" s="182"/>
      <c r="AZ119" s="182"/>
      <c r="BA119" s="182"/>
      <c r="BB119" s="182"/>
      <c r="BC119" s="182"/>
      <c r="BD119" s="182"/>
      <c r="BE119" s="182"/>
      <c r="BF119" s="132"/>
      <c r="BG119" s="150" t="n">
        <f aca="false">TblConstr[[#This Row],[Tot WG]]/TblConstr[[#This Row],[Land]]</f>
        <v>0</v>
      </c>
      <c r="BH119" s="150" t="n">
        <f aca="false">TblConstr[[#This Row],[Tot Hav]]/TblConstr[[#This Row],[Land]]</f>
        <v>0</v>
      </c>
      <c r="BI119" s="69" t="n">
        <f aca="false">ROUNDUP((1-MIN(TblMili[[#This Row],[Smithies]]*smithy_bonus,smithy_bonus_cap) + tech_3_5*TblTech[[#This Row],[3-5]] + tech_5_3*TblTech[[#This Row],[5-3]] + tech_5_5*TblTech[[#This Row],[5-5]])*spec_op_plat,0)</f>
        <v>192</v>
      </c>
      <c r="BJ119" s="69" t="n">
        <f aca="false">ROUNDUP(IF(race="Gnome",1,(1-MIN(TblMili[[#This Row],[Smithies]]*smithy_bonus,smithy_bonus_cap) + tech_3_5*TblTech[[#This Row],[3-5]] + tech_5_3*TblTech[[#This Row],[5-3]] + tech_5_5*TblTech[[#This Row],[5-5]]))*spec_op_ore,0)</f>
        <v>0</v>
      </c>
      <c r="BK119" s="69" t="n">
        <f aca="false">ROUNDUP((1-MIN(TblMili[[#This Row],[Smithies]]*smithy_bonus,smithy_bonus_cap) + tech_3_5*TblTech[[#This Row],[3-5]] + tech_5_3*TblTech[[#This Row],[5-3]] + tech_5_5*TblTech[[#This Row],[5-5]])*spec_dp_plat,0)</f>
        <v>192</v>
      </c>
      <c r="BL119" s="69" t="n">
        <f aca="false">ROUNDUP(IF(race="Gnome",1,(1-MIN(TblMili[[#This Row],[Smithies]]*smithy_bonus,smithy_bonus_cap) + tech_3_5*TblTech[[#This Row],[3-5]] + tech_5_3*TblTech[[#This Row],[5-3]] + tech_5_5*TblTech[[#This Row],[5-5]]))*spec_dp_ore,0)</f>
        <v>0</v>
      </c>
      <c r="BM119" s="69" t="n">
        <f aca="false">ROUNDUP((1-MIN(TblMili[[#This Row],[Smithies]]*smithy_bonus,smithy_bonus_cap) + tech_3_5*TblTech[[#This Row],[3-5]] + tech_5_3*TblTech[[#This Row],[5-3]] + tech_5_5*TblTech[[#This Row],[5-5]])*elite1_plat,0)</f>
        <v>592</v>
      </c>
      <c r="BN119" s="69" t="n">
        <f aca="false">ROUNDUP(IF(race="Gnome",1,(1-MIN(TblMili[[#This Row],[Smithies]]*smithy_bonus,smithy_bonus_cap) + tech_3_5*TblTech[[#This Row],[3-5]] + tech_5_3*TblTech[[#This Row],[5-3]] + tech_5_5*TblTech[[#This Row],[5-5]]))*elite1_ore,0)</f>
        <v>0</v>
      </c>
      <c r="BO119" s="69" t="n">
        <f aca="false">ROUNDUP((1-MIN(TblMili[[#This Row],[Smithies]]*smithy_bonus,smithy_bonus_cap) + tech_3_5*TblTech[[#This Row],[3-5]] + tech_5_3*TblTech[[#This Row],[5-3]] + tech_5_5*TblTech[[#This Row],[5-5]])*elite2_plat,0)</f>
        <v>608</v>
      </c>
      <c r="BP119" s="69" t="n">
        <f aca="false">ROUNDUP(IF(race="Gnome",1,(1-MIN(TblMili[[#This Row],[Smithies]]*smithy_bonus,smithy_bonus_cap) + tech_3_5*TblTech[[#This Row],[3-5]] + tech_5_3*TblTech[[#This Row],[5-3]] + tech_5_5*TblTech[[#This Row],[5-5]]))*elite2_ore,0)</f>
        <v>0</v>
      </c>
      <c r="BQ119" s="69" t="n">
        <f aca="false">ROUNDUP((1-MIN(ROUND(fh_spy_cost_red*TblMili[[#This Row],[FH''s]],4),fh_spy_cost_cap)+ tech_1_9*TblTech[[#This Row],[1-9]] + tech_9_1*TblTech[[#This Row],[9-1]])*spy_plat,0)</f>
        <v>500</v>
      </c>
      <c r="BR119" s="69" t="n">
        <f aca="false">ROUNDUP((1-MIN(ROUND(fh_spy_cost_red*TblMili[[#This Row],[FH''s]],4),fh_spy_cost_cap)+ tech_1_9*TblTech[[#This Row],[1-9]] + tech_9_1*TblTech[[#This Row],[9-1]])*archspy_plat,0)</f>
        <v>1000</v>
      </c>
      <c r="BS119" s="69" t="n">
        <f aca="false">ROUNDUP((1-MIN(ROUND(wg_wiz_cost_bonus*TblMili[[#This Row],[WG''s]],4),wg_wiz_cost_cap) + tech_1_9_2*TblTech[[#This Row],[1-9]] + tech_9_1_2*TblTech[[#This Row],[9-1]])*wizard_plat,0)</f>
        <v>500</v>
      </c>
      <c r="BT119" s="69" t="n">
        <f aca="false">ROUNDUP((1-MIN(ROUND(wg_wiz_cost_bonus*TblMili[[#This Row],[WG''s]],4),wg_wiz_cost_cap) + tech_1_9_2*TblTech[[#This Row],[1-9]] + tech_9_1_2*TblTech[[#This Row],[9-1]])*archmage_plat,0)</f>
        <v>1000</v>
      </c>
      <c r="BU119" s="132"/>
      <c r="BV119" s="150" t="e">
        <f aca="false">TblConstr[[#This Row],[Homeland]]/TblConstr[[#This Row],[Land]]</f>
        <v>#VALUE!</v>
      </c>
      <c r="BW119" s="150" t="n">
        <f aca="false">TblMili[[#This Row],[WG''s]]</f>
        <v>0</v>
      </c>
      <c r="BX119" s="288" t="e">
        <f aca="false">IF(mystic_cap="none",TblMili[[#This Row],[Hill]]/mystic_bonus,MIN(mystic_cap,TblMili[[#This Row],[Hill]]/mystic_bonus))</f>
        <v>#VALUE!</v>
      </c>
      <c r="BY119" s="288" t="e">
        <f aca="false">IF(druid_op_cap="none",TblMili[[#This Row],[Hill]]/druid_op_bonus,MIN(druid_op_cap,TblMili[[#This Row],[Hill]]/druid_op_bonus))</f>
        <v>#VALUE!</v>
      </c>
      <c r="BZ119" s="288" t="e">
        <f aca="false">IF(druid_dp_cap="none",TblMili[[#This Row],[Hill]]/druid_dp_bonus,MIN(druid_dp_cap,TblMili[[#This Row],[Hill]]/druid_dp_bonus))</f>
        <v>#VALUE!</v>
      </c>
      <c r="CA119" s="288" t="e">
        <f aca="false">MIN(dryad_cap,TblMili[[#This Row],[Hill]]/dryad_bonus)</f>
        <v>#VALUE!</v>
      </c>
      <c r="CB119" s="288" t="e">
        <f aca="false">MIN(rocka_cap,TblMili[[#This Row],[Hill]]/rocka_bonus)</f>
        <v>#VALUE!</v>
      </c>
      <c r="CC119" s="288" t="n">
        <f aca="false">MIN(adept_op_cap,TblMili[[#This Row],[WG]]/adept_op_bonus)</f>
        <v>0</v>
      </c>
      <c r="CD119" s="288" t="n">
        <f aca="false">MIN(adept_dp_cap,TblMili[[#This Row],[WG]]/adept_dp_bonus)</f>
        <v>0</v>
      </c>
      <c r="CE119" s="69" t="n">
        <f aca="false">MIN(TblMili[[#This Row],[Unit 3]],TblMili[[#This Row],[Unit 2]])*2</f>
        <v>1400</v>
      </c>
      <c r="CF119" s="69" t="n">
        <f aca="false">MIN(TblMili[[#This Row],[Unit 1]],TblMili[[#This Row],[Unit 4]])*2</f>
        <v>0</v>
      </c>
      <c r="CG119" s="288" t="e">
        <f aca="false">MIN(frost_mage_cap,TblMili[[#This Row],[Hill]]/frost_mage_bonus)</f>
        <v>#VALUE!</v>
      </c>
      <c r="CH119" s="151" t="n">
        <f aca="false">MIN(ice_elem_cap,TblMili[[#This Row],[Raw (2)]]*ice_elem_bonus)</f>
        <v>0.0357142857142857</v>
      </c>
      <c r="CI119" s="288" t="n">
        <f aca="false">MIN(bone_breaker_cap,250/bone_breaker_bonus)</f>
        <v>0.833333333333333</v>
      </c>
      <c r="CJ119" s="288" t="e">
        <f aca="false">MIN(nox_nightshade_cap,TblConstr[[#This Row],[Homeland]]/TblConstr[[#This Row],[Land]]/nox_nightshade_swamp_bonus)</f>
        <v>#VALUE!</v>
      </c>
      <c r="CK119" s="289"/>
      <c r="CL119" s="289"/>
      <c r="CM119" s="289"/>
      <c r="CN119" s="288" t="e">
        <f aca="false">MIN(6,TblMili[[#This Row],[Mystic]]+Races!$F$19)*1.8 +  IF(TblMili[[#This Row],[Mystic]]+Races!$F$19&gt;6,(TblMili[[#This Row],[Mystic]]+Races!$F$19-6)*0.2,0) - Races!$I$19</f>
        <v>#VALUE!</v>
      </c>
      <c r="CO119" s="288" t="e">
        <f aca="false">1.8 * MIN(MAX(TblMili[[#This Row],[Druid (op)]]+Races!$E$20,TblMili[[#This Row],[Druid (dp)]]+Races!$F$20),6)  +  0.45 * MIN(MIN(TblMili[[#This Row],[Druid (op)]]+Races!$E$20,TblMili[[#This Row],[Druid (dp)]]+Races!$F$20),6)  +  0.2 * ( MAX(TblMili[[#This Row],[Druid (op)]]+Races!$E$20-6,0) + MAX(TblMili[[#This Row],[Druid (dp)]]+Races!$F$20-6,0) )  -  Races!$I$20</f>
        <v>#VALUE!</v>
      </c>
      <c r="CP119" s="69" t="e">
        <f aca="false">TblMili[[#This Row],[Mystic bonus]]*TblMili[[#This Row],[Unit 3]]+TblMili[[#This Row],[Druid bonus]]*TblMili[[#This Row],[Unit 4]]</f>
        <v>#VALUE!</v>
      </c>
      <c r="CQ119" s="148" t="e">
        <f aca="false">MIN(6,TblMili[[#This Row],[Dryad]]+Races!$F$35)*1.8 +  IF(TblMili[[#This Row],[Dryad]]+Races!$F$35&gt;6,(TblMili[[#This Row],[Dryad]]+Races!$F$35-6)*0.2,0) - Races!$I$19</f>
        <v>#VALUE!</v>
      </c>
      <c r="CR119" s="69" t="e">
        <f aca="false">sylvan*(TblMili[[#This Row],[Mystic bonus]]*TblMili[[#This Row],[Unit 3]])</f>
        <v>#VALUE!</v>
      </c>
      <c r="CS119" s="148" t="e">
        <f aca="false">1.8 * MIN(MAX(Races!$E$27,TblMili[[#This Row],[Rockapult]]+Races!$F$27),6)  +  0.45 * MIN(MIN(Races!$E$27,TblMili[[#This Row],[Rockapult]]+Races!$F$27),6)  +  0.2 * ( MAX(Races!$E$27-6,0) + MAX(TblMili[[#This Row],[Rockapult]]+Races!$F$27-6,0) )  -  Races!$I$20</f>
        <v>#VALUE!</v>
      </c>
      <c r="CT119" s="69" t="e">
        <f aca="false">gnome*(TblMili[[#This Row],[Rockapult bonus]]*TblMili[[#This Row],[Unit 3]])</f>
        <v>#VALUE!</v>
      </c>
      <c r="CU119" s="148" t="n">
        <f aca="false">1.8 * MIN(MAX(TblMili[[#This Row],[Spellblade]]+Races!$E$47,TblMili[[#This Row],[Adept-DP]]+Races!$F$47),6)  +  0.45 * MIN(MIN(TblMili[[#This Row],[Spellblade]]+Races!$E$47,TblMili[[#This Row],[Adept-DP]]+Races!$F$47),6)  +  0.2 * ( MAX(TblMili[[#This Row],[Spellblade]]+Races!$E$47-6,0) + MAX(TblMili[[#This Row],[Adept-DP]]+Races!$F$47-6,0) )  -  Races!$I$47</f>
        <v>0</v>
      </c>
      <c r="CV119" s="69" t="n">
        <f aca="false">dark_elf*(TblMili[[#This Row],[Adept bonus]]*TblMili[[#This Row],[Unit 3]])</f>
        <v>0</v>
      </c>
      <c r="CW119" s="148" t="e">
        <f aca="false">1.8 * MIN(MAX(TblMili[[#This Row],[Frost Mage]]+Races!$F$71,Races!$E$71),6)  +  0.45 * MIN(MIN(TblMili[[#This Row],[Frost Mage]]+Races!$F$71,Races!$E$71),6)  +  0.2 * ( MAX(TblMili[[#This Row],[Frost Mage]]+Races!$F$71-6,0) + MAX(Races!$E$71-6,0) )  -  Races!$I$71</f>
        <v>#VALUE!</v>
      </c>
      <c r="CX119" s="148" t="n">
        <f aca="false">1.8 * MIN(MAX(TblMili[[#This Row],[Ice Elemental]]+Races!$E$71,Races!$F$71),6)  +  0.45 * MIN(MIN(TblMili[[#This Row],[Ice Elemental]]+Races!$E$71,Races!$F$71),6)  +  0.2 * ( MAX(TblMili[[#This Row],[Ice Elemental]]+Races!$E$71-6,0) + MAX(Races!$F$71-6,0) )  -  Races!$I$71</f>
        <v>0.064285714285715</v>
      </c>
      <c r="CY119" s="69" t="e">
        <f aca="false">TblMili[[#This Row],[Frost Mage bonus]]*TblMili[[#This Row],[Unit 3]]+TblMili[[#This Row],[Ice Elemental bonus]]*TblMili[[#This Row],[Unit 4]]</f>
        <v>#VALUE!</v>
      </c>
      <c r="CZ119" s="290"/>
      <c r="DA119" s="109" t="n">
        <f aca="false">MIN(SUM(TblConstr[[#This Row],[Plain]:[Water]])/TblMili[[#This Row],[Land]]/favorable_terrain_bonus/100,favorable_terrain_max)</f>
        <v>0</v>
      </c>
      <c r="DB119" s="290"/>
      <c r="DC11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9" s="132"/>
      <c r="DE119" s="291" t="n">
        <f aca="false">(TblMili[[#This Row],[Wizards]]+2*TblMili[[#This Row],[Archmages]])/TblConstr[[#This Row],[Land]]</f>
        <v>0.0357142857142857</v>
      </c>
      <c r="DF119" s="291" t="n">
        <f aca="false">TblMili[[#This Row],[Raw (2)]]*(1+race_wizard_strength+IF(TblMili[[#This Row],[Hour]]&gt;72,tech_magical_weaponry_wiz*TblTech[[#This Row],[3-5]],0))</f>
        <v>0.0357142857142857</v>
      </c>
    </row>
    <row r="120" customFormat="false" ht="12.75" hidden="false" customHeight="false" outlineLevel="0" collapsed="false">
      <c r="A120" s="128" t="n">
        <f aca="false">TblRezone[[#This Row],[Hour]]</f>
        <v>117</v>
      </c>
      <c r="B120" s="282" t="n">
        <f aca="false">SUM(TblMili[[#This Row],[Unit 1]:[Archmages]])+SUM(OFFSET(TblMili[[#This Row],[Train Unit 1]],-8,0):TblMili[[#This Row],[Train Unit 2]]) + SUM(OFFSET(TblMili[[#This Row],[Train Unit 3]],-11,0):TblMili[[#This Row],[Train AM]]) + TblMili[[#This Row],[Draftees]]</f>
        <v>6504</v>
      </c>
      <c r="C120" s="150" t="n">
        <f aca="false">TblPop[[#This Row],[Military%]]</f>
        <v>0.502666357523765</v>
      </c>
      <c r="D120" s="132"/>
      <c r="E120" s="151" t="n">
        <f aca="false">OFFSET(TblMili[[#This Row],[Unit 1]],-1,0) + OFFSET(TblMili[[#This Row],[Train Unit 1]],-9,0) - TblMili[[#This Row],[Release Unit 1]]</f>
        <v>0</v>
      </c>
      <c r="F120" s="151" t="n">
        <f aca="false">OFFSET(TblMili[[#This Row],[Unit 2]],-1,0) + OFFSET(TblMili[[#This Row],[Train Unit 2]],-9,0)-TblMili[[#This Row],[Release Unit 2]]</f>
        <v>1246</v>
      </c>
      <c r="G120" s="151" t="n">
        <f aca="false">OFFSET(TblMili[[#This Row],[Unit 3]],-1,0) + OFFSET(TblMili[[#This Row],[Train Unit 3]],-12,0)-TblMili[[#This Row],[Release Unit 3]]</f>
        <v>700</v>
      </c>
      <c r="H120" s="151" t="n">
        <f aca="false">OFFSET(TblMili[[#This Row],[Unit 4]],-1,0) + OFFSET(TblMili[[#This Row],[Train Unit 4]],-12,0)-TblMili[[#This Row],[Release Unit 4]]</f>
        <v>1228</v>
      </c>
      <c r="I120" s="151" t="n">
        <f aca="false">OFFSET(TblMili[[#This Row],[Spies]],-1,0) + OFFSET(TblMili[[#This Row],[Train Spies]],-12,0) - TblMili[[#This Row],[Release Spies]]-TblMili[[#This Row],[Train AS]]</f>
        <v>25</v>
      </c>
      <c r="J120" s="151" t="n">
        <f aca="false">OFFSET(TblMili[[#This Row],[Archspies]],-1,0) + OFFSET(TblMili[[#This Row],[Train AS]],-12,0) - TblMili[[#This Row],[Release AS]]</f>
        <v>0</v>
      </c>
      <c r="K120" s="151" t="n">
        <f aca="false">OFFSET(TblMili[[#This Row],[Wizards]],-1,0) + OFFSET(TblMili[[#This Row],[Train Wiz]],-12,0) - TblMili[[#This Row],[Release Wizards]]-TblMili[[#This Row],[Train AM]]</f>
        <v>25</v>
      </c>
      <c r="L120" s="151" t="n">
        <f aca="false">OFFSET(TblMili[[#This Row],[Archmages]],-1,0) + OFFSET(TblMili[[#This Row],[Train AM]],-12,0) - TblMili[[#This Row],[Release AM]]</f>
        <v>0</v>
      </c>
      <c r="M120" s="132"/>
      <c r="N120" s="69" t="e">
        <f aca="false">TblProd[[#This Row],[Networth]]</f>
        <v>#VALUE!</v>
      </c>
      <c r="O120" s="132"/>
      <c r="P12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0" s="285" t="e">
        <f aca="false">TblMili[[#This Row],[Raw]]*(1+TblMili[[#This Row],[Mods_Off]])</f>
        <v>#VALUE!</v>
      </c>
      <c r="S12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0" s="285" t="e">
        <f aca="false">TblMili[[#This Row],[Non Draft]]+TblMili[[#This Row],[Draftees]]</f>
        <v>#VALUE!</v>
      </c>
      <c r="U120" s="286" t="n">
        <f aca="false">race_defense + TblImps[[#This Row],[Walls]] + ROUND( MIN(gt_bonus*TblConstr[[#This Row],[Tot GT]]/TblConstr[[#This Row],[Land]],gt_bonus_cap), 4) + IF(TblMagic[[#This Row],[Active Howling]]&gt;0,howling_dp_bonus,IF(TblMagic[[#This Row],[Active Ares Call]]&gt;0,ares_call_bonus))</f>
        <v>0.1375</v>
      </c>
      <c r="V120" s="274" t="e">
        <f aca="false">TblMili[[#This Row],[Non Draft]] * (1 + TblMili[[#This Row],[Mods_Def]])</f>
        <v>#VALUE!</v>
      </c>
      <c r="W120" s="285" t="e">
        <f aca="false">TblMili[[#This Row],[Draft]] * (1 + TblMili[[#This Row],[Mods_Def]])</f>
        <v>#VALUE!</v>
      </c>
      <c r="X120" s="285" t="n">
        <f aca="false">TblConstr[[#This Row],[Land]]</f>
        <v>700</v>
      </c>
      <c r="Y120" s="287"/>
      <c r="Z120" s="109" t="n">
        <f aca="false">IF(TblMili[[#This Row],[Set]]&lt;&gt;"",TblMili[[#This Row],[Set]],OFFSET(TblMili[[#This Row],[Draftrate]],-1,0))</f>
        <v>0.9</v>
      </c>
      <c r="AA120" s="69" t="n">
        <f aca="false">OFFSET(TblMili[[#This Row],[Draftees]],-1,0)+OFFSET(TblPop[[#This Row],[Draft Growth]],-1,0) - SUM(TblMili[[#This Row],[Train Unit 1]:[Train Spies]],TblMili[[#This Row],[Train Wiz]]) - TblMili[[#This Row],[Release Draft]] + SUM(TblMili[[#This Row],[Release Unit 1]:[Release AM]]) - TblExplore[[#This Row],[Draftees (2)]]</f>
        <v>3280</v>
      </c>
      <c r="AB120" s="146"/>
      <c r="AC120" s="130" t="n">
        <f aca="false">(TblConstr[[#This Row],[Tot Smi]]+TblConstr[[#This Row],[Dest Smi]])/(TblConstr[[#This Row],[Land]]-TblExplore[[#This Row],[Land Bonus]]*20)</f>
        <v>0.18</v>
      </c>
      <c r="AD120" s="128"/>
      <c r="AE120" s="282" t="n">
        <f aca="false">TblMili[[#This Row],[Hour]]</f>
        <v>117</v>
      </c>
      <c r="AF120" s="129" t="n">
        <f aca="false">TblExplore[[#This Row],[Time]]</f>
        <v>45434.5833333333</v>
      </c>
      <c r="AG120" s="182"/>
      <c r="AH120" s="182"/>
      <c r="AI120" s="182"/>
      <c r="AJ120" s="182"/>
      <c r="AK120" s="182"/>
      <c r="AL120" s="182"/>
      <c r="AM120" s="182"/>
      <c r="AN120" s="182"/>
      <c r="AO120" s="132"/>
      <c r="AP120" s="69" t="n">
        <f aca="false">TblProd[[#This Row],[Platinum]]</f>
        <v>1745314</v>
      </c>
      <c r="AQ120" s="69" t="n">
        <f aca="false">INDEX(TblProd[[#Headers],[Lumber]]:TblProd[[#This Row],[Ore]],COUNTA(TblProd[[#Headers],[Lumber]]:TblProd[[#This Row],[Lumber]]),MATCH(Military!$AQ$2,TblProd[[#Headers],[Lumber]:[Ore]],0))</f>
        <v>0</v>
      </c>
      <c r="AR12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69" t="n">
        <f aca="false">TblMili[[#This Row],[Train Unit 1]]*TblMili[[#This Row],[OP Ore]]+TblMili[[#This Row],[Train Unit 2]]*TblMili[[#This Row],[DP Ore]]+TblMili[[#This Row],[Train Unit 3]]*TblMili[[#This Row],[E1 Ore]]+TblMili[[#This Row],[Train Unit 4]]*TblMili[[#This Row],[E2 Ore]]</f>
        <v>0</v>
      </c>
      <c r="AT120" s="132" t="n">
        <f aca="false">TblMili[[#This Row],[Hour]]</f>
        <v>117</v>
      </c>
      <c r="AU120" s="144" t="n">
        <f aca="false">TblMili[[#This Row],[Time]]</f>
        <v>45434.5833333333</v>
      </c>
      <c r="AV120" s="69" t="n">
        <f aca="false">TblMili[[#This Row],[Draftees]]</f>
        <v>3280</v>
      </c>
      <c r="AW120" s="182"/>
      <c r="AX120" s="182"/>
      <c r="AY120" s="182"/>
      <c r="AZ120" s="182"/>
      <c r="BA120" s="182"/>
      <c r="BB120" s="182"/>
      <c r="BC120" s="182"/>
      <c r="BD120" s="182"/>
      <c r="BE120" s="182"/>
      <c r="BF120" s="132"/>
      <c r="BG120" s="150" t="n">
        <f aca="false">TblConstr[[#This Row],[Tot WG]]/TblConstr[[#This Row],[Land]]</f>
        <v>0</v>
      </c>
      <c r="BH120" s="150" t="n">
        <f aca="false">TblConstr[[#This Row],[Tot Hav]]/TblConstr[[#This Row],[Land]]</f>
        <v>0</v>
      </c>
      <c r="BI120" s="69" t="n">
        <f aca="false">ROUNDUP((1-MIN(TblMili[[#This Row],[Smithies]]*smithy_bonus,smithy_bonus_cap) + tech_3_5*TblTech[[#This Row],[3-5]] + tech_5_3*TblTech[[#This Row],[5-3]] + tech_5_5*TblTech[[#This Row],[5-5]])*spec_op_plat,0)</f>
        <v>192</v>
      </c>
      <c r="BJ120" s="69" t="n">
        <f aca="false">ROUNDUP(IF(race="Gnome",1,(1-MIN(TblMili[[#This Row],[Smithies]]*smithy_bonus,smithy_bonus_cap) + tech_3_5*TblTech[[#This Row],[3-5]] + tech_5_3*TblTech[[#This Row],[5-3]] + tech_5_5*TblTech[[#This Row],[5-5]]))*spec_op_ore,0)</f>
        <v>0</v>
      </c>
      <c r="BK120" s="69" t="n">
        <f aca="false">ROUNDUP((1-MIN(TblMili[[#This Row],[Smithies]]*smithy_bonus,smithy_bonus_cap) + tech_3_5*TblTech[[#This Row],[3-5]] + tech_5_3*TblTech[[#This Row],[5-3]] + tech_5_5*TblTech[[#This Row],[5-5]])*spec_dp_plat,0)</f>
        <v>192</v>
      </c>
      <c r="BL120" s="69" t="n">
        <f aca="false">ROUNDUP(IF(race="Gnome",1,(1-MIN(TblMili[[#This Row],[Smithies]]*smithy_bonus,smithy_bonus_cap) + tech_3_5*TblTech[[#This Row],[3-5]] + tech_5_3*TblTech[[#This Row],[5-3]] + tech_5_5*TblTech[[#This Row],[5-5]]))*spec_dp_ore,0)</f>
        <v>0</v>
      </c>
      <c r="BM120" s="69" t="n">
        <f aca="false">ROUNDUP((1-MIN(TblMili[[#This Row],[Smithies]]*smithy_bonus,smithy_bonus_cap) + tech_3_5*TblTech[[#This Row],[3-5]] + tech_5_3*TblTech[[#This Row],[5-3]] + tech_5_5*TblTech[[#This Row],[5-5]])*elite1_plat,0)</f>
        <v>592</v>
      </c>
      <c r="BN120" s="69" t="n">
        <f aca="false">ROUNDUP(IF(race="Gnome",1,(1-MIN(TblMili[[#This Row],[Smithies]]*smithy_bonus,smithy_bonus_cap) + tech_3_5*TblTech[[#This Row],[3-5]] + tech_5_3*TblTech[[#This Row],[5-3]] + tech_5_5*TblTech[[#This Row],[5-5]]))*elite1_ore,0)</f>
        <v>0</v>
      </c>
      <c r="BO120" s="69" t="n">
        <f aca="false">ROUNDUP((1-MIN(TblMili[[#This Row],[Smithies]]*smithy_bonus,smithy_bonus_cap) + tech_3_5*TblTech[[#This Row],[3-5]] + tech_5_3*TblTech[[#This Row],[5-3]] + tech_5_5*TblTech[[#This Row],[5-5]])*elite2_plat,0)</f>
        <v>608</v>
      </c>
      <c r="BP120" s="69" t="n">
        <f aca="false">ROUNDUP(IF(race="Gnome",1,(1-MIN(TblMili[[#This Row],[Smithies]]*smithy_bonus,smithy_bonus_cap) + tech_3_5*TblTech[[#This Row],[3-5]] + tech_5_3*TblTech[[#This Row],[5-3]] + tech_5_5*TblTech[[#This Row],[5-5]]))*elite2_ore,0)</f>
        <v>0</v>
      </c>
      <c r="BQ120" s="69" t="n">
        <f aca="false">ROUNDUP((1-MIN(ROUND(fh_spy_cost_red*TblMili[[#This Row],[FH''s]],4),fh_spy_cost_cap)+ tech_1_9*TblTech[[#This Row],[1-9]] + tech_9_1*TblTech[[#This Row],[9-1]])*spy_plat,0)</f>
        <v>500</v>
      </c>
      <c r="BR120" s="69" t="n">
        <f aca="false">ROUNDUP((1-MIN(ROUND(fh_spy_cost_red*TblMili[[#This Row],[FH''s]],4),fh_spy_cost_cap)+ tech_1_9*TblTech[[#This Row],[1-9]] + tech_9_1*TblTech[[#This Row],[9-1]])*archspy_plat,0)</f>
        <v>1000</v>
      </c>
      <c r="BS120" s="69" t="n">
        <f aca="false">ROUNDUP((1-MIN(ROUND(wg_wiz_cost_bonus*TblMili[[#This Row],[WG''s]],4),wg_wiz_cost_cap) + tech_1_9_2*TblTech[[#This Row],[1-9]] + tech_9_1_2*TblTech[[#This Row],[9-1]])*wizard_plat,0)</f>
        <v>500</v>
      </c>
      <c r="BT120" s="69" t="n">
        <f aca="false">ROUNDUP((1-MIN(ROUND(wg_wiz_cost_bonus*TblMili[[#This Row],[WG''s]],4),wg_wiz_cost_cap) + tech_1_9_2*TblTech[[#This Row],[1-9]] + tech_9_1_2*TblTech[[#This Row],[9-1]])*archmage_plat,0)</f>
        <v>1000</v>
      </c>
      <c r="BU120" s="132"/>
      <c r="BV120" s="150" t="e">
        <f aca="false">TblConstr[[#This Row],[Homeland]]/TblConstr[[#This Row],[Land]]</f>
        <v>#VALUE!</v>
      </c>
      <c r="BW120" s="150" t="n">
        <f aca="false">TblMili[[#This Row],[WG''s]]</f>
        <v>0</v>
      </c>
      <c r="BX120" s="288" t="e">
        <f aca="false">IF(mystic_cap="none",TblMili[[#This Row],[Hill]]/mystic_bonus,MIN(mystic_cap,TblMili[[#This Row],[Hill]]/mystic_bonus))</f>
        <v>#VALUE!</v>
      </c>
      <c r="BY120" s="288" t="e">
        <f aca="false">IF(druid_op_cap="none",TblMili[[#This Row],[Hill]]/druid_op_bonus,MIN(druid_op_cap,TblMili[[#This Row],[Hill]]/druid_op_bonus))</f>
        <v>#VALUE!</v>
      </c>
      <c r="BZ120" s="288" t="e">
        <f aca="false">IF(druid_dp_cap="none",TblMili[[#This Row],[Hill]]/druid_dp_bonus,MIN(druid_dp_cap,TblMili[[#This Row],[Hill]]/druid_dp_bonus))</f>
        <v>#VALUE!</v>
      </c>
      <c r="CA120" s="288" t="e">
        <f aca="false">MIN(dryad_cap,TblMili[[#This Row],[Hill]]/dryad_bonus)</f>
        <v>#VALUE!</v>
      </c>
      <c r="CB120" s="288" t="e">
        <f aca="false">MIN(rocka_cap,TblMili[[#This Row],[Hill]]/rocka_bonus)</f>
        <v>#VALUE!</v>
      </c>
      <c r="CC120" s="288" t="n">
        <f aca="false">MIN(adept_op_cap,TblMili[[#This Row],[WG]]/adept_op_bonus)</f>
        <v>0</v>
      </c>
      <c r="CD120" s="288" t="n">
        <f aca="false">MIN(adept_dp_cap,TblMili[[#This Row],[WG]]/adept_dp_bonus)</f>
        <v>0</v>
      </c>
      <c r="CE120" s="69" t="n">
        <f aca="false">MIN(TblMili[[#This Row],[Unit 3]],TblMili[[#This Row],[Unit 2]])*2</f>
        <v>1400</v>
      </c>
      <c r="CF120" s="69" t="n">
        <f aca="false">MIN(TblMili[[#This Row],[Unit 1]],TblMili[[#This Row],[Unit 4]])*2</f>
        <v>0</v>
      </c>
      <c r="CG120" s="288" t="e">
        <f aca="false">MIN(frost_mage_cap,TblMili[[#This Row],[Hill]]/frost_mage_bonus)</f>
        <v>#VALUE!</v>
      </c>
      <c r="CH120" s="151" t="n">
        <f aca="false">MIN(ice_elem_cap,TblMili[[#This Row],[Raw (2)]]*ice_elem_bonus)</f>
        <v>0.0357142857142857</v>
      </c>
      <c r="CI120" s="288" t="n">
        <f aca="false">MIN(bone_breaker_cap,250/bone_breaker_bonus)</f>
        <v>0.833333333333333</v>
      </c>
      <c r="CJ120" s="288" t="e">
        <f aca="false">MIN(nox_nightshade_cap,TblConstr[[#This Row],[Homeland]]/TblConstr[[#This Row],[Land]]/nox_nightshade_swamp_bonus)</f>
        <v>#VALUE!</v>
      </c>
      <c r="CK120" s="289"/>
      <c r="CL120" s="289"/>
      <c r="CM120" s="289"/>
      <c r="CN120" s="288" t="e">
        <f aca="false">MIN(6,TblMili[[#This Row],[Mystic]]+Races!$F$19)*1.8 +  IF(TblMili[[#This Row],[Mystic]]+Races!$F$19&gt;6,(TblMili[[#This Row],[Mystic]]+Races!$F$19-6)*0.2,0) - Races!$I$19</f>
        <v>#VALUE!</v>
      </c>
      <c r="CO120" s="288" t="e">
        <f aca="false">1.8 * MIN(MAX(TblMili[[#This Row],[Druid (op)]]+Races!$E$20,TblMili[[#This Row],[Druid (dp)]]+Races!$F$20),6)  +  0.45 * MIN(MIN(TblMili[[#This Row],[Druid (op)]]+Races!$E$20,TblMili[[#This Row],[Druid (dp)]]+Races!$F$20),6)  +  0.2 * ( MAX(TblMili[[#This Row],[Druid (op)]]+Races!$E$20-6,0) + MAX(TblMili[[#This Row],[Druid (dp)]]+Races!$F$20-6,0) )  -  Races!$I$20</f>
        <v>#VALUE!</v>
      </c>
      <c r="CP120" s="69" t="e">
        <f aca="false">TblMili[[#This Row],[Mystic bonus]]*TblMili[[#This Row],[Unit 3]]+TblMili[[#This Row],[Druid bonus]]*TblMili[[#This Row],[Unit 4]]</f>
        <v>#VALUE!</v>
      </c>
      <c r="CQ120" s="148" t="e">
        <f aca="false">MIN(6,TblMili[[#This Row],[Dryad]]+Races!$F$35)*1.8 +  IF(TblMili[[#This Row],[Dryad]]+Races!$F$35&gt;6,(TblMili[[#This Row],[Dryad]]+Races!$F$35-6)*0.2,0) - Races!$I$19</f>
        <v>#VALUE!</v>
      </c>
      <c r="CR120" s="69" t="e">
        <f aca="false">sylvan*(TblMili[[#This Row],[Mystic bonus]]*TblMili[[#This Row],[Unit 3]])</f>
        <v>#VALUE!</v>
      </c>
      <c r="CS120" s="148" t="e">
        <f aca="false">1.8 * MIN(MAX(Races!$E$27,TblMili[[#This Row],[Rockapult]]+Races!$F$27),6)  +  0.45 * MIN(MIN(Races!$E$27,TblMili[[#This Row],[Rockapult]]+Races!$F$27),6)  +  0.2 * ( MAX(Races!$E$27-6,0) + MAX(TblMili[[#This Row],[Rockapult]]+Races!$F$27-6,0) )  -  Races!$I$20</f>
        <v>#VALUE!</v>
      </c>
      <c r="CT120" s="69" t="e">
        <f aca="false">gnome*(TblMili[[#This Row],[Rockapult bonus]]*TblMili[[#This Row],[Unit 3]])</f>
        <v>#VALUE!</v>
      </c>
      <c r="CU120" s="148" t="n">
        <f aca="false">1.8 * MIN(MAX(TblMili[[#This Row],[Spellblade]]+Races!$E$47,TblMili[[#This Row],[Adept-DP]]+Races!$F$47),6)  +  0.45 * MIN(MIN(TblMili[[#This Row],[Spellblade]]+Races!$E$47,TblMili[[#This Row],[Adept-DP]]+Races!$F$47),6)  +  0.2 * ( MAX(TblMili[[#This Row],[Spellblade]]+Races!$E$47-6,0) + MAX(TblMili[[#This Row],[Adept-DP]]+Races!$F$47-6,0) )  -  Races!$I$47</f>
        <v>0</v>
      </c>
      <c r="CV120" s="69" t="n">
        <f aca="false">dark_elf*(TblMili[[#This Row],[Adept bonus]]*TblMili[[#This Row],[Unit 3]])</f>
        <v>0</v>
      </c>
      <c r="CW120" s="148" t="e">
        <f aca="false">1.8 * MIN(MAX(TblMili[[#This Row],[Frost Mage]]+Races!$F$71,Races!$E$71),6)  +  0.45 * MIN(MIN(TblMili[[#This Row],[Frost Mage]]+Races!$F$71,Races!$E$71),6)  +  0.2 * ( MAX(TblMili[[#This Row],[Frost Mage]]+Races!$F$71-6,0) + MAX(Races!$E$71-6,0) )  -  Races!$I$71</f>
        <v>#VALUE!</v>
      </c>
      <c r="CX120" s="148" t="n">
        <f aca="false">1.8 * MIN(MAX(TblMili[[#This Row],[Ice Elemental]]+Races!$E$71,Races!$F$71),6)  +  0.45 * MIN(MIN(TblMili[[#This Row],[Ice Elemental]]+Races!$E$71,Races!$F$71),6)  +  0.2 * ( MAX(TblMili[[#This Row],[Ice Elemental]]+Races!$E$71-6,0) + MAX(Races!$F$71-6,0) )  -  Races!$I$71</f>
        <v>0.064285714285715</v>
      </c>
      <c r="CY120" s="69" t="e">
        <f aca="false">TblMili[[#This Row],[Frost Mage bonus]]*TblMili[[#This Row],[Unit 3]]+TblMili[[#This Row],[Ice Elemental bonus]]*TblMili[[#This Row],[Unit 4]]</f>
        <v>#VALUE!</v>
      </c>
      <c r="CZ120" s="290"/>
      <c r="DA120" s="109" t="n">
        <f aca="false">MIN(SUM(TblConstr[[#This Row],[Plain]:[Water]])/TblMili[[#This Row],[Land]]/favorable_terrain_bonus/100,favorable_terrain_max)</f>
        <v>0</v>
      </c>
      <c r="DB120" s="290"/>
      <c r="DC12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0" s="132"/>
      <c r="DE120" s="291" t="n">
        <f aca="false">(TblMili[[#This Row],[Wizards]]+2*TblMili[[#This Row],[Archmages]])/TblConstr[[#This Row],[Land]]</f>
        <v>0.0357142857142857</v>
      </c>
      <c r="DF120" s="291" t="n">
        <f aca="false">TblMili[[#This Row],[Raw (2)]]*(1+race_wizard_strength+IF(TblMili[[#This Row],[Hour]]&gt;72,tech_magical_weaponry_wiz*TblTech[[#This Row],[3-5]],0))</f>
        <v>0.0357142857142857</v>
      </c>
    </row>
    <row r="121" customFormat="false" ht="12.75" hidden="false" customHeight="false" outlineLevel="0" collapsed="false">
      <c r="A121" s="128" t="n">
        <f aca="false">TblRezone[[#This Row],[Hour]]</f>
        <v>118</v>
      </c>
      <c r="B121" s="282" t="n">
        <f aca="false">SUM(TblMili[[#This Row],[Unit 1]:[Archmages]])+SUM(OFFSET(TblMili[[#This Row],[Train Unit 1]],-8,0):TblMili[[#This Row],[Train Unit 2]]) + SUM(OFFSET(TblMili[[#This Row],[Train Unit 3]],-11,0):TblMili[[#This Row],[Train AM]]) + TblMili[[#This Row],[Draftees]]</f>
        <v>6568</v>
      </c>
      <c r="C121" s="150" t="n">
        <f aca="false">TblPop[[#This Row],[Military%]]</f>
        <v>0.507612643944663</v>
      </c>
      <c r="D121" s="132"/>
      <c r="E121" s="151" t="n">
        <f aca="false">OFFSET(TblMili[[#This Row],[Unit 1]],-1,0) + OFFSET(TblMili[[#This Row],[Train Unit 1]],-9,0) - TblMili[[#This Row],[Release Unit 1]]</f>
        <v>0</v>
      </c>
      <c r="F121" s="151" t="n">
        <f aca="false">OFFSET(TblMili[[#This Row],[Unit 2]],-1,0) + OFFSET(TblMili[[#This Row],[Train Unit 2]],-9,0)-TblMili[[#This Row],[Release Unit 2]]</f>
        <v>1246</v>
      </c>
      <c r="G121" s="151" t="n">
        <f aca="false">OFFSET(TblMili[[#This Row],[Unit 3]],-1,0) + OFFSET(TblMili[[#This Row],[Train Unit 3]],-12,0)-TblMili[[#This Row],[Release Unit 3]]</f>
        <v>700</v>
      </c>
      <c r="H121" s="151" t="n">
        <f aca="false">OFFSET(TblMili[[#This Row],[Unit 4]],-1,0) + OFFSET(TblMili[[#This Row],[Train Unit 4]],-12,0)-TblMili[[#This Row],[Release Unit 4]]</f>
        <v>1228</v>
      </c>
      <c r="I121" s="151" t="n">
        <f aca="false">OFFSET(TblMili[[#This Row],[Spies]],-1,0) + OFFSET(TblMili[[#This Row],[Train Spies]],-12,0) - TblMili[[#This Row],[Release Spies]]-TblMili[[#This Row],[Train AS]]</f>
        <v>25</v>
      </c>
      <c r="J121" s="151" t="n">
        <f aca="false">OFFSET(TblMili[[#This Row],[Archspies]],-1,0) + OFFSET(TblMili[[#This Row],[Train AS]],-12,0) - TblMili[[#This Row],[Release AS]]</f>
        <v>0</v>
      </c>
      <c r="K121" s="151" t="n">
        <f aca="false">OFFSET(TblMili[[#This Row],[Wizards]],-1,0) + OFFSET(TblMili[[#This Row],[Train Wiz]],-12,0) - TblMili[[#This Row],[Release Wizards]]-TblMili[[#This Row],[Train AM]]</f>
        <v>25</v>
      </c>
      <c r="L121" s="151" t="n">
        <f aca="false">OFFSET(TblMili[[#This Row],[Archmages]],-1,0) + OFFSET(TblMili[[#This Row],[Train AM]],-12,0) - TblMili[[#This Row],[Release AM]]</f>
        <v>0</v>
      </c>
      <c r="M121" s="132"/>
      <c r="N121" s="69" t="e">
        <f aca="false">TblProd[[#This Row],[Networth]]</f>
        <v>#VALUE!</v>
      </c>
      <c r="O121" s="132"/>
      <c r="P12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1" s="285" t="e">
        <f aca="false">TblMili[[#This Row],[Raw]]*(1+TblMili[[#This Row],[Mods_Off]])</f>
        <v>#VALUE!</v>
      </c>
      <c r="S12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1" s="285" t="e">
        <f aca="false">TblMili[[#This Row],[Non Draft]]+TblMili[[#This Row],[Draftees]]</f>
        <v>#VALUE!</v>
      </c>
      <c r="U121" s="286" t="n">
        <f aca="false">race_defense + TblImps[[#This Row],[Walls]] + ROUND( MIN(gt_bonus*TblConstr[[#This Row],[Tot GT]]/TblConstr[[#This Row],[Land]],gt_bonus_cap), 4) + IF(TblMagic[[#This Row],[Active Howling]]&gt;0,howling_dp_bonus,IF(TblMagic[[#This Row],[Active Ares Call]]&gt;0,ares_call_bonus))</f>
        <v>0.1375</v>
      </c>
      <c r="V121" s="274" t="e">
        <f aca="false">TblMili[[#This Row],[Non Draft]] * (1 + TblMili[[#This Row],[Mods_Def]])</f>
        <v>#VALUE!</v>
      </c>
      <c r="W121" s="285" t="e">
        <f aca="false">TblMili[[#This Row],[Draft]] * (1 + TblMili[[#This Row],[Mods_Def]])</f>
        <v>#VALUE!</v>
      </c>
      <c r="X121" s="285" t="n">
        <f aca="false">TblConstr[[#This Row],[Land]]</f>
        <v>700</v>
      </c>
      <c r="Y121" s="287"/>
      <c r="Z121" s="109" t="n">
        <f aca="false">IF(TblMili[[#This Row],[Set]]&lt;&gt;"",TblMili[[#This Row],[Set]],OFFSET(TblMili[[#This Row],[Draftrate]],-1,0))</f>
        <v>0.9</v>
      </c>
      <c r="AA121" s="69" t="n">
        <f aca="false">OFFSET(TblMili[[#This Row],[Draftees]],-1,0)+OFFSET(TblPop[[#This Row],[Draft Growth]],-1,0) - SUM(TblMili[[#This Row],[Train Unit 1]:[Train Spies]],TblMili[[#This Row],[Train Wiz]]) - TblMili[[#This Row],[Release Draft]] + SUM(TblMili[[#This Row],[Release Unit 1]:[Release AM]]) - TblExplore[[#This Row],[Draftees (2)]]</f>
        <v>3344</v>
      </c>
      <c r="AB121" s="146"/>
      <c r="AC121" s="130" t="n">
        <f aca="false">(TblConstr[[#This Row],[Tot Smi]]+TblConstr[[#This Row],[Dest Smi]])/(TblConstr[[#This Row],[Land]]-TblExplore[[#This Row],[Land Bonus]]*20)</f>
        <v>0.18</v>
      </c>
      <c r="AD121" s="128"/>
      <c r="AE121" s="282" t="n">
        <f aca="false">TblMili[[#This Row],[Hour]]</f>
        <v>118</v>
      </c>
      <c r="AF121" s="129" t="n">
        <f aca="false">TblExplore[[#This Row],[Time]]</f>
        <v>45434.625</v>
      </c>
      <c r="AG121" s="182"/>
      <c r="AH121" s="182"/>
      <c r="AI121" s="182"/>
      <c r="AJ121" s="182"/>
      <c r="AK121" s="182"/>
      <c r="AL121" s="182"/>
      <c r="AM121" s="182"/>
      <c r="AN121" s="182"/>
      <c r="AO121" s="132"/>
      <c r="AP121" s="69" t="n">
        <f aca="false">TblProd[[#This Row],[Platinum]]</f>
        <v>1775063</v>
      </c>
      <c r="AQ121" s="69" t="n">
        <f aca="false">INDEX(TblProd[[#Headers],[Lumber]]:TblProd[[#This Row],[Ore]],COUNTA(TblProd[[#Headers],[Lumber]]:TblProd[[#This Row],[Lumber]]),MATCH(Military!$AQ$2,TblProd[[#Headers],[Lumber]:[Ore]],0))</f>
        <v>0</v>
      </c>
      <c r="AR12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69" t="n">
        <f aca="false">TblMili[[#This Row],[Train Unit 1]]*TblMili[[#This Row],[OP Ore]]+TblMili[[#This Row],[Train Unit 2]]*TblMili[[#This Row],[DP Ore]]+TblMili[[#This Row],[Train Unit 3]]*TblMili[[#This Row],[E1 Ore]]+TblMili[[#This Row],[Train Unit 4]]*TblMili[[#This Row],[E2 Ore]]</f>
        <v>0</v>
      </c>
      <c r="AT121" s="132" t="n">
        <f aca="false">TblMili[[#This Row],[Hour]]</f>
        <v>118</v>
      </c>
      <c r="AU121" s="144" t="n">
        <f aca="false">TblMili[[#This Row],[Time]]</f>
        <v>45434.625</v>
      </c>
      <c r="AV121" s="69" t="n">
        <f aca="false">TblMili[[#This Row],[Draftees]]</f>
        <v>3344</v>
      </c>
      <c r="AW121" s="182"/>
      <c r="AX121" s="182"/>
      <c r="AY121" s="182"/>
      <c r="AZ121" s="182"/>
      <c r="BA121" s="182"/>
      <c r="BB121" s="182"/>
      <c r="BC121" s="182"/>
      <c r="BD121" s="182"/>
      <c r="BE121" s="182"/>
      <c r="BF121" s="132"/>
      <c r="BG121" s="150" t="n">
        <f aca="false">TblConstr[[#This Row],[Tot WG]]/TblConstr[[#This Row],[Land]]</f>
        <v>0</v>
      </c>
      <c r="BH121" s="150" t="n">
        <f aca="false">TblConstr[[#This Row],[Tot Hav]]/TblConstr[[#This Row],[Land]]</f>
        <v>0</v>
      </c>
      <c r="BI121" s="69" t="n">
        <f aca="false">ROUNDUP((1-MIN(TblMili[[#This Row],[Smithies]]*smithy_bonus,smithy_bonus_cap) + tech_3_5*TblTech[[#This Row],[3-5]] + tech_5_3*TblTech[[#This Row],[5-3]] + tech_5_5*TblTech[[#This Row],[5-5]])*spec_op_plat,0)</f>
        <v>192</v>
      </c>
      <c r="BJ121" s="69" t="n">
        <f aca="false">ROUNDUP(IF(race="Gnome",1,(1-MIN(TblMili[[#This Row],[Smithies]]*smithy_bonus,smithy_bonus_cap) + tech_3_5*TblTech[[#This Row],[3-5]] + tech_5_3*TblTech[[#This Row],[5-3]] + tech_5_5*TblTech[[#This Row],[5-5]]))*spec_op_ore,0)</f>
        <v>0</v>
      </c>
      <c r="BK121" s="69" t="n">
        <f aca="false">ROUNDUP((1-MIN(TblMili[[#This Row],[Smithies]]*smithy_bonus,smithy_bonus_cap) + tech_3_5*TblTech[[#This Row],[3-5]] + tech_5_3*TblTech[[#This Row],[5-3]] + tech_5_5*TblTech[[#This Row],[5-5]])*spec_dp_plat,0)</f>
        <v>192</v>
      </c>
      <c r="BL121" s="69" t="n">
        <f aca="false">ROUNDUP(IF(race="Gnome",1,(1-MIN(TblMili[[#This Row],[Smithies]]*smithy_bonus,smithy_bonus_cap) + tech_3_5*TblTech[[#This Row],[3-5]] + tech_5_3*TblTech[[#This Row],[5-3]] + tech_5_5*TblTech[[#This Row],[5-5]]))*spec_dp_ore,0)</f>
        <v>0</v>
      </c>
      <c r="BM121" s="69" t="n">
        <f aca="false">ROUNDUP((1-MIN(TblMili[[#This Row],[Smithies]]*smithy_bonus,smithy_bonus_cap) + tech_3_5*TblTech[[#This Row],[3-5]] + tech_5_3*TblTech[[#This Row],[5-3]] + tech_5_5*TblTech[[#This Row],[5-5]])*elite1_plat,0)</f>
        <v>592</v>
      </c>
      <c r="BN121" s="69" t="n">
        <f aca="false">ROUNDUP(IF(race="Gnome",1,(1-MIN(TblMili[[#This Row],[Smithies]]*smithy_bonus,smithy_bonus_cap) + tech_3_5*TblTech[[#This Row],[3-5]] + tech_5_3*TblTech[[#This Row],[5-3]] + tech_5_5*TblTech[[#This Row],[5-5]]))*elite1_ore,0)</f>
        <v>0</v>
      </c>
      <c r="BO121" s="69" t="n">
        <f aca="false">ROUNDUP((1-MIN(TblMili[[#This Row],[Smithies]]*smithy_bonus,smithy_bonus_cap) + tech_3_5*TblTech[[#This Row],[3-5]] + tech_5_3*TblTech[[#This Row],[5-3]] + tech_5_5*TblTech[[#This Row],[5-5]])*elite2_plat,0)</f>
        <v>608</v>
      </c>
      <c r="BP121" s="69" t="n">
        <f aca="false">ROUNDUP(IF(race="Gnome",1,(1-MIN(TblMili[[#This Row],[Smithies]]*smithy_bonus,smithy_bonus_cap) + tech_3_5*TblTech[[#This Row],[3-5]] + tech_5_3*TblTech[[#This Row],[5-3]] + tech_5_5*TblTech[[#This Row],[5-5]]))*elite2_ore,0)</f>
        <v>0</v>
      </c>
      <c r="BQ121" s="69" t="n">
        <f aca="false">ROUNDUP((1-MIN(ROUND(fh_spy_cost_red*TblMili[[#This Row],[FH''s]],4),fh_spy_cost_cap)+ tech_1_9*TblTech[[#This Row],[1-9]] + tech_9_1*TblTech[[#This Row],[9-1]])*spy_plat,0)</f>
        <v>500</v>
      </c>
      <c r="BR121" s="69" t="n">
        <f aca="false">ROUNDUP((1-MIN(ROUND(fh_spy_cost_red*TblMili[[#This Row],[FH''s]],4),fh_spy_cost_cap)+ tech_1_9*TblTech[[#This Row],[1-9]] + tech_9_1*TblTech[[#This Row],[9-1]])*archspy_plat,0)</f>
        <v>1000</v>
      </c>
      <c r="BS121" s="69" t="n">
        <f aca="false">ROUNDUP((1-MIN(ROUND(wg_wiz_cost_bonus*TblMili[[#This Row],[WG''s]],4),wg_wiz_cost_cap) + tech_1_9_2*TblTech[[#This Row],[1-9]] + tech_9_1_2*TblTech[[#This Row],[9-1]])*wizard_plat,0)</f>
        <v>500</v>
      </c>
      <c r="BT121" s="69" t="n">
        <f aca="false">ROUNDUP((1-MIN(ROUND(wg_wiz_cost_bonus*TblMili[[#This Row],[WG''s]],4),wg_wiz_cost_cap) + tech_1_9_2*TblTech[[#This Row],[1-9]] + tech_9_1_2*TblTech[[#This Row],[9-1]])*archmage_plat,0)</f>
        <v>1000</v>
      </c>
      <c r="BU121" s="132"/>
      <c r="BV121" s="150" t="e">
        <f aca="false">TblConstr[[#This Row],[Homeland]]/TblConstr[[#This Row],[Land]]</f>
        <v>#VALUE!</v>
      </c>
      <c r="BW121" s="150" t="n">
        <f aca="false">TblMili[[#This Row],[WG''s]]</f>
        <v>0</v>
      </c>
      <c r="BX121" s="288" t="e">
        <f aca="false">IF(mystic_cap="none",TblMili[[#This Row],[Hill]]/mystic_bonus,MIN(mystic_cap,TblMili[[#This Row],[Hill]]/mystic_bonus))</f>
        <v>#VALUE!</v>
      </c>
      <c r="BY121" s="288" t="e">
        <f aca="false">IF(druid_op_cap="none",TblMili[[#This Row],[Hill]]/druid_op_bonus,MIN(druid_op_cap,TblMili[[#This Row],[Hill]]/druid_op_bonus))</f>
        <v>#VALUE!</v>
      </c>
      <c r="BZ121" s="288" t="e">
        <f aca="false">IF(druid_dp_cap="none",TblMili[[#This Row],[Hill]]/druid_dp_bonus,MIN(druid_dp_cap,TblMili[[#This Row],[Hill]]/druid_dp_bonus))</f>
        <v>#VALUE!</v>
      </c>
      <c r="CA121" s="288" t="e">
        <f aca="false">MIN(dryad_cap,TblMili[[#This Row],[Hill]]/dryad_bonus)</f>
        <v>#VALUE!</v>
      </c>
      <c r="CB121" s="288" t="e">
        <f aca="false">MIN(rocka_cap,TblMili[[#This Row],[Hill]]/rocka_bonus)</f>
        <v>#VALUE!</v>
      </c>
      <c r="CC121" s="288" t="n">
        <f aca="false">MIN(adept_op_cap,TblMili[[#This Row],[WG]]/adept_op_bonus)</f>
        <v>0</v>
      </c>
      <c r="CD121" s="288" t="n">
        <f aca="false">MIN(adept_dp_cap,TblMili[[#This Row],[WG]]/adept_dp_bonus)</f>
        <v>0</v>
      </c>
      <c r="CE121" s="69" t="n">
        <f aca="false">MIN(TblMili[[#This Row],[Unit 3]],TblMili[[#This Row],[Unit 2]])*2</f>
        <v>1400</v>
      </c>
      <c r="CF121" s="69" t="n">
        <f aca="false">MIN(TblMili[[#This Row],[Unit 1]],TblMili[[#This Row],[Unit 4]])*2</f>
        <v>0</v>
      </c>
      <c r="CG121" s="288" t="e">
        <f aca="false">MIN(frost_mage_cap,TblMili[[#This Row],[Hill]]/frost_mage_bonus)</f>
        <v>#VALUE!</v>
      </c>
      <c r="CH121" s="151" t="n">
        <f aca="false">MIN(ice_elem_cap,TblMili[[#This Row],[Raw (2)]]*ice_elem_bonus)</f>
        <v>0.0357142857142857</v>
      </c>
      <c r="CI121" s="288" t="n">
        <f aca="false">MIN(bone_breaker_cap,250/bone_breaker_bonus)</f>
        <v>0.833333333333333</v>
      </c>
      <c r="CJ121" s="288" t="e">
        <f aca="false">MIN(nox_nightshade_cap,TblConstr[[#This Row],[Homeland]]/TblConstr[[#This Row],[Land]]/nox_nightshade_swamp_bonus)</f>
        <v>#VALUE!</v>
      </c>
      <c r="CK121" s="289"/>
      <c r="CL121" s="289"/>
      <c r="CM121" s="289"/>
      <c r="CN121" s="288" t="e">
        <f aca="false">MIN(6,TblMili[[#This Row],[Mystic]]+Races!$F$19)*1.8 +  IF(TblMili[[#This Row],[Mystic]]+Races!$F$19&gt;6,(TblMili[[#This Row],[Mystic]]+Races!$F$19-6)*0.2,0) - Races!$I$19</f>
        <v>#VALUE!</v>
      </c>
      <c r="CO121" s="288" t="e">
        <f aca="false">1.8 * MIN(MAX(TblMili[[#This Row],[Druid (op)]]+Races!$E$20,TblMili[[#This Row],[Druid (dp)]]+Races!$F$20),6)  +  0.45 * MIN(MIN(TblMili[[#This Row],[Druid (op)]]+Races!$E$20,TblMili[[#This Row],[Druid (dp)]]+Races!$F$20),6)  +  0.2 * ( MAX(TblMili[[#This Row],[Druid (op)]]+Races!$E$20-6,0) + MAX(TblMili[[#This Row],[Druid (dp)]]+Races!$F$20-6,0) )  -  Races!$I$20</f>
        <v>#VALUE!</v>
      </c>
      <c r="CP121" s="69" t="e">
        <f aca="false">TblMili[[#This Row],[Mystic bonus]]*TblMili[[#This Row],[Unit 3]]+TblMili[[#This Row],[Druid bonus]]*TblMili[[#This Row],[Unit 4]]</f>
        <v>#VALUE!</v>
      </c>
      <c r="CQ121" s="148" t="e">
        <f aca="false">MIN(6,TblMili[[#This Row],[Dryad]]+Races!$F$35)*1.8 +  IF(TblMili[[#This Row],[Dryad]]+Races!$F$35&gt;6,(TblMili[[#This Row],[Dryad]]+Races!$F$35-6)*0.2,0) - Races!$I$19</f>
        <v>#VALUE!</v>
      </c>
      <c r="CR121" s="69" t="e">
        <f aca="false">sylvan*(TblMili[[#This Row],[Mystic bonus]]*TblMili[[#This Row],[Unit 3]])</f>
        <v>#VALUE!</v>
      </c>
      <c r="CS121" s="148" t="e">
        <f aca="false">1.8 * MIN(MAX(Races!$E$27,TblMili[[#This Row],[Rockapult]]+Races!$F$27),6)  +  0.45 * MIN(MIN(Races!$E$27,TblMili[[#This Row],[Rockapult]]+Races!$F$27),6)  +  0.2 * ( MAX(Races!$E$27-6,0) + MAX(TblMili[[#This Row],[Rockapult]]+Races!$F$27-6,0) )  -  Races!$I$20</f>
        <v>#VALUE!</v>
      </c>
      <c r="CT121" s="69" t="e">
        <f aca="false">gnome*(TblMili[[#This Row],[Rockapult bonus]]*TblMili[[#This Row],[Unit 3]])</f>
        <v>#VALUE!</v>
      </c>
      <c r="CU121" s="148" t="n">
        <f aca="false">1.8 * MIN(MAX(TblMili[[#This Row],[Spellblade]]+Races!$E$47,TblMili[[#This Row],[Adept-DP]]+Races!$F$47),6)  +  0.45 * MIN(MIN(TblMili[[#This Row],[Spellblade]]+Races!$E$47,TblMili[[#This Row],[Adept-DP]]+Races!$F$47),6)  +  0.2 * ( MAX(TblMili[[#This Row],[Spellblade]]+Races!$E$47-6,0) + MAX(TblMili[[#This Row],[Adept-DP]]+Races!$F$47-6,0) )  -  Races!$I$47</f>
        <v>0</v>
      </c>
      <c r="CV121" s="69" t="n">
        <f aca="false">dark_elf*(TblMili[[#This Row],[Adept bonus]]*TblMili[[#This Row],[Unit 3]])</f>
        <v>0</v>
      </c>
      <c r="CW121" s="148" t="e">
        <f aca="false">1.8 * MIN(MAX(TblMili[[#This Row],[Frost Mage]]+Races!$F$71,Races!$E$71),6)  +  0.45 * MIN(MIN(TblMili[[#This Row],[Frost Mage]]+Races!$F$71,Races!$E$71),6)  +  0.2 * ( MAX(TblMili[[#This Row],[Frost Mage]]+Races!$F$71-6,0) + MAX(Races!$E$71-6,0) )  -  Races!$I$71</f>
        <v>#VALUE!</v>
      </c>
      <c r="CX121" s="148" t="n">
        <f aca="false">1.8 * MIN(MAX(TblMili[[#This Row],[Ice Elemental]]+Races!$E$71,Races!$F$71),6)  +  0.45 * MIN(MIN(TblMili[[#This Row],[Ice Elemental]]+Races!$E$71,Races!$F$71),6)  +  0.2 * ( MAX(TblMili[[#This Row],[Ice Elemental]]+Races!$E$71-6,0) + MAX(Races!$F$71-6,0) )  -  Races!$I$71</f>
        <v>0.064285714285715</v>
      </c>
      <c r="CY121" s="69" t="e">
        <f aca="false">TblMili[[#This Row],[Frost Mage bonus]]*TblMili[[#This Row],[Unit 3]]+TblMili[[#This Row],[Ice Elemental bonus]]*TblMili[[#This Row],[Unit 4]]</f>
        <v>#VALUE!</v>
      </c>
      <c r="CZ121" s="290"/>
      <c r="DA121" s="109" t="n">
        <f aca="false">MIN(SUM(TblConstr[[#This Row],[Plain]:[Water]])/TblMili[[#This Row],[Land]]/favorable_terrain_bonus/100,favorable_terrain_max)</f>
        <v>0</v>
      </c>
      <c r="DB121" s="290"/>
      <c r="DC12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1" s="132"/>
      <c r="DE121" s="291" t="n">
        <f aca="false">(TblMili[[#This Row],[Wizards]]+2*TblMili[[#This Row],[Archmages]])/TblConstr[[#This Row],[Land]]</f>
        <v>0.0357142857142857</v>
      </c>
      <c r="DF121" s="291" t="n">
        <f aca="false">TblMili[[#This Row],[Raw (2)]]*(1+race_wizard_strength+IF(TblMili[[#This Row],[Hour]]&gt;72,tech_magical_weaponry_wiz*TblTech[[#This Row],[3-5]],0))</f>
        <v>0.0357142857142857</v>
      </c>
    </row>
    <row r="122" customFormat="false" ht="12.75" hidden="false" customHeight="false" outlineLevel="0" collapsed="false">
      <c r="A122" s="128" t="n">
        <f aca="false">TblRezone[[#This Row],[Hour]]</f>
        <v>119</v>
      </c>
      <c r="B122" s="282" t="n">
        <f aca="false">SUM(TblMili[[#This Row],[Unit 1]:[Archmages]])+SUM(OFFSET(TblMili[[#This Row],[Train Unit 1]],-8,0):TblMili[[#This Row],[Train Unit 2]]) + SUM(OFFSET(TblMili[[#This Row],[Train Unit 3]],-11,0):TblMili[[#This Row],[Train AM]]) + TblMili[[#This Row],[Draftees]]</f>
        <v>6632</v>
      </c>
      <c r="C122" s="150" t="n">
        <f aca="false">TblPop[[#This Row],[Military%]]</f>
        <v>0.512558930365561</v>
      </c>
      <c r="D122" s="132"/>
      <c r="E122" s="151" t="n">
        <f aca="false">OFFSET(TblMili[[#This Row],[Unit 1]],-1,0) + OFFSET(TblMili[[#This Row],[Train Unit 1]],-9,0) - TblMili[[#This Row],[Release Unit 1]]</f>
        <v>0</v>
      </c>
      <c r="F122" s="151" t="n">
        <f aca="false">OFFSET(TblMili[[#This Row],[Unit 2]],-1,0) + OFFSET(TblMili[[#This Row],[Train Unit 2]],-9,0)-TblMili[[#This Row],[Release Unit 2]]</f>
        <v>1246</v>
      </c>
      <c r="G122" s="151" t="n">
        <f aca="false">OFFSET(TblMili[[#This Row],[Unit 3]],-1,0) + OFFSET(TblMili[[#This Row],[Train Unit 3]],-12,0)-TblMili[[#This Row],[Release Unit 3]]</f>
        <v>700</v>
      </c>
      <c r="H122" s="151" t="n">
        <f aca="false">OFFSET(TblMili[[#This Row],[Unit 4]],-1,0) + OFFSET(TblMili[[#This Row],[Train Unit 4]],-12,0)-TblMili[[#This Row],[Release Unit 4]]</f>
        <v>1228</v>
      </c>
      <c r="I122" s="151" t="n">
        <f aca="false">OFFSET(TblMili[[#This Row],[Spies]],-1,0) + OFFSET(TblMili[[#This Row],[Train Spies]],-12,0) - TblMili[[#This Row],[Release Spies]]-TblMili[[#This Row],[Train AS]]</f>
        <v>25</v>
      </c>
      <c r="J122" s="151" t="n">
        <f aca="false">OFFSET(TblMili[[#This Row],[Archspies]],-1,0) + OFFSET(TblMili[[#This Row],[Train AS]],-12,0) - TblMili[[#This Row],[Release AS]]</f>
        <v>0</v>
      </c>
      <c r="K122" s="151" t="n">
        <f aca="false">OFFSET(TblMili[[#This Row],[Wizards]],-1,0) + OFFSET(TblMili[[#This Row],[Train Wiz]],-12,0) - TblMili[[#This Row],[Release Wizards]]-TblMili[[#This Row],[Train AM]]</f>
        <v>25</v>
      </c>
      <c r="L122" s="151" t="n">
        <f aca="false">OFFSET(TblMili[[#This Row],[Archmages]],-1,0) + OFFSET(TblMili[[#This Row],[Train AM]],-12,0) - TblMili[[#This Row],[Release AM]]</f>
        <v>0</v>
      </c>
      <c r="M122" s="132"/>
      <c r="N122" s="69" t="e">
        <f aca="false">TblProd[[#This Row],[Networth]]</f>
        <v>#VALUE!</v>
      </c>
      <c r="O122" s="132"/>
      <c r="P12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2" s="285" t="e">
        <f aca="false">TblMili[[#This Row],[Raw]]*(1+TblMili[[#This Row],[Mods_Off]])</f>
        <v>#VALUE!</v>
      </c>
      <c r="S12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2" s="285" t="e">
        <f aca="false">TblMili[[#This Row],[Non Draft]]+TblMili[[#This Row],[Draftees]]</f>
        <v>#VALUE!</v>
      </c>
      <c r="U122" s="286" t="n">
        <f aca="false">race_defense + TblImps[[#This Row],[Walls]] + ROUND( MIN(gt_bonus*TblConstr[[#This Row],[Tot GT]]/TblConstr[[#This Row],[Land]],gt_bonus_cap), 4) + IF(TblMagic[[#This Row],[Active Howling]]&gt;0,howling_dp_bonus,IF(TblMagic[[#This Row],[Active Ares Call]]&gt;0,ares_call_bonus))</f>
        <v>0.1375</v>
      </c>
      <c r="V122" s="274" t="e">
        <f aca="false">TblMili[[#This Row],[Non Draft]] * (1 + TblMili[[#This Row],[Mods_Def]])</f>
        <v>#VALUE!</v>
      </c>
      <c r="W122" s="285" t="e">
        <f aca="false">TblMili[[#This Row],[Draft]] * (1 + TblMili[[#This Row],[Mods_Def]])</f>
        <v>#VALUE!</v>
      </c>
      <c r="X122" s="285" t="n">
        <f aca="false">TblConstr[[#This Row],[Land]]</f>
        <v>700</v>
      </c>
      <c r="Y122" s="287"/>
      <c r="Z122" s="109" t="n">
        <f aca="false">IF(TblMili[[#This Row],[Set]]&lt;&gt;"",TblMili[[#This Row],[Set]],OFFSET(TblMili[[#This Row],[Draftrate]],-1,0))</f>
        <v>0.9</v>
      </c>
      <c r="AA122" s="69" t="n">
        <f aca="false">OFFSET(TblMili[[#This Row],[Draftees]],-1,0)+OFFSET(TblPop[[#This Row],[Draft Growth]],-1,0) - SUM(TblMili[[#This Row],[Train Unit 1]:[Train Spies]],TblMili[[#This Row],[Train Wiz]]) - TblMili[[#This Row],[Release Draft]] + SUM(TblMili[[#This Row],[Release Unit 1]:[Release AM]]) - TblExplore[[#This Row],[Draftees (2)]]</f>
        <v>3408</v>
      </c>
      <c r="AB122" s="146"/>
      <c r="AC122" s="130" t="n">
        <f aca="false">(TblConstr[[#This Row],[Tot Smi]]+TblConstr[[#This Row],[Dest Smi]])/(TblConstr[[#This Row],[Land]]-TblExplore[[#This Row],[Land Bonus]]*20)</f>
        <v>0.18</v>
      </c>
      <c r="AD122" s="128"/>
      <c r="AE122" s="282" t="n">
        <f aca="false">TblMili[[#This Row],[Hour]]</f>
        <v>119</v>
      </c>
      <c r="AF122" s="129" t="n">
        <f aca="false">TblExplore[[#This Row],[Time]]</f>
        <v>45434.6666666667</v>
      </c>
      <c r="AG122" s="182"/>
      <c r="AH122" s="182"/>
      <c r="AI122" s="182"/>
      <c r="AJ122" s="182"/>
      <c r="AK122" s="182"/>
      <c r="AL122" s="182"/>
      <c r="AM122" s="182"/>
      <c r="AN122" s="182"/>
      <c r="AO122" s="132"/>
      <c r="AP122" s="69" t="n">
        <f aca="false">TblProd[[#This Row],[Platinum]]</f>
        <v>1804639</v>
      </c>
      <c r="AQ122" s="69" t="n">
        <f aca="false">INDEX(TblProd[[#Headers],[Lumber]]:TblProd[[#This Row],[Ore]],COUNTA(TblProd[[#Headers],[Lumber]]:TblProd[[#This Row],[Lumber]]),MATCH(Military!$AQ$2,TblProd[[#Headers],[Lumber]:[Ore]],0))</f>
        <v>0</v>
      </c>
      <c r="AR12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69" t="n">
        <f aca="false">TblMili[[#This Row],[Train Unit 1]]*TblMili[[#This Row],[OP Ore]]+TblMili[[#This Row],[Train Unit 2]]*TblMili[[#This Row],[DP Ore]]+TblMili[[#This Row],[Train Unit 3]]*TblMili[[#This Row],[E1 Ore]]+TblMili[[#This Row],[Train Unit 4]]*TblMili[[#This Row],[E2 Ore]]</f>
        <v>0</v>
      </c>
      <c r="AT122" s="132" t="n">
        <f aca="false">TblMili[[#This Row],[Hour]]</f>
        <v>119</v>
      </c>
      <c r="AU122" s="144" t="n">
        <f aca="false">TblMili[[#This Row],[Time]]</f>
        <v>45434.6666666667</v>
      </c>
      <c r="AV122" s="69" t="n">
        <f aca="false">TblMili[[#This Row],[Draftees]]</f>
        <v>3408</v>
      </c>
      <c r="AW122" s="182"/>
      <c r="AX122" s="182"/>
      <c r="AY122" s="182"/>
      <c r="AZ122" s="182"/>
      <c r="BA122" s="182"/>
      <c r="BB122" s="182"/>
      <c r="BC122" s="182"/>
      <c r="BD122" s="182"/>
      <c r="BE122" s="182"/>
      <c r="BF122" s="132"/>
      <c r="BG122" s="150" t="n">
        <f aca="false">TblConstr[[#This Row],[Tot WG]]/TblConstr[[#This Row],[Land]]</f>
        <v>0</v>
      </c>
      <c r="BH122" s="150" t="n">
        <f aca="false">TblConstr[[#This Row],[Tot Hav]]/TblConstr[[#This Row],[Land]]</f>
        <v>0</v>
      </c>
      <c r="BI122" s="69" t="n">
        <f aca="false">ROUNDUP((1-MIN(TblMili[[#This Row],[Smithies]]*smithy_bonus,smithy_bonus_cap) + tech_3_5*TblTech[[#This Row],[3-5]] + tech_5_3*TblTech[[#This Row],[5-3]] + tech_5_5*TblTech[[#This Row],[5-5]])*spec_op_plat,0)</f>
        <v>192</v>
      </c>
      <c r="BJ122" s="69" t="n">
        <f aca="false">ROUNDUP(IF(race="Gnome",1,(1-MIN(TblMili[[#This Row],[Smithies]]*smithy_bonus,smithy_bonus_cap) + tech_3_5*TblTech[[#This Row],[3-5]] + tech_5_3*TblTech[[#This Row],[5-3]] + tech_5_5*TblTech[[#This Row],[5-5]]))*spec_op_ore,0)</f>
        <v>0</v>
      </c>
      <c r="BK122" s="69" t="n">
        <f aca="false">ROUNDUP((1-MIN(TblMili[[#This Row],[Smithies]]*smithy_bonus,smithy_bonus_cap) + tech_3_5*TblTech[[#This Row],[3-5]] + tech_5_3*TblTech[[#This Row],[5-3]] + tech_5_5*TblTech[[#This Row],[5-5]])*spec_dp_plat,0)</f>
        <v>192</v>
      </c>
      <c r="BL122" s="69" t="n">
        <f aca="false">ROUNDUP(IF(race="Gnome",1,(1-MIN(TblMili[[#This Row],[Smithies]]*smithy_bonus,smithy_bonus_cap) + tech_3_5*TblTech[[#This Row],[3-5]] + tech_5_3*TblTech[[#This Row],[5-3]] + tech_5_5*TblTech[[#This Row],[5-5]]))*spec_dp_ore,0)</f>
        <v>0</v>
      </c>
      <c r="BM122" s="69" t="n">
        <f aca="false">ROUNDUP((1-MIN(TblMili[[#This Row],[Smithies]]*smithy_bonus,smithy_bonus_cap) + tech_3_5*TblTech[[#This Row],[3-5]] + tech_5_3*TblTech[[#This Row],[5-3]] + tech_5_5*TblTech[[#This Row],[5-5]])*elite1_plat,0)</f>
        <v>592</v>
      </c>
      <c r="BN122" s="69" t="n">
        <f aca="false">ROUNDUP(IF(race="Gnome",1,(1-MIN(TblMili[[#This Row],[Smithies]]*smithy_bonus,smithy_bonus_cap) + tech_3_5*TblTech[[#This Row],[3-5]] + tech_5_3*TblTech[[#This Row],[5-3]] + tech_5_5*TblTech[[#This Row],[5-5]]))*elite1_ore,0)</f>
        <v>0</v>
      </c>
      <c r="BO122" s="69" t="n">
        <f aca="false">ROUNDUP((1-MIN(TblMili[[#This Row],[Smithies]]*smithy_bonus,smithy_bonus_cap) + tech_3_5*TblTech[[#This Row],[3-5]] + tech_5_3*TblTech[[#This Row],[5-3]] + tech_5_5*TblTech[[#This Row],[5-5]])*elite2_plat,0)</f>
        <v>608</v>
      </c>
      <c r="BP122" s="69" t="n">
        <f aca="false">ROUNDUP(IF(race="Gnome",1,(1-MIN(TblMili[[#This Row],[Smithies]]*smithy_bonus,smithy_bonus_cap) + tech_3_5*TblTech[[#This Row],[3-5]] + tech_5_3*TblTech[[#This Row],[5-3]] + tech_5_5*TblTech[[#This Row],[5-5]]))*elite2_ore,0)</f>
        <v>0</v>
      </c>
      <c r="BQ122" s="69" t="n">
        <f aca="false">ROUNDUP((1-MIN(ROUND(fh_spy_cost_red*TblMili[[#This Row],[FH''s]],4),fh_spy_cost_cap)+ tech_1_9*TblTech[[#This Row],[1-9]] + tech_9_1*TblTech[[#This Row],[9-1]])*spy_plat,0)</f>
        <v>500</v>
      </c>
      <c r="BR122" s="69" t="n">
        <f aca="false">ROUNDUP((1-MIN(ROUND(fh_spy_cost_red*TblMili[[#This Row],[FH''s]],4),fh_spy_cost_cap)+ tech_1_9*TblTech[[#This Row],[1-9]] + tech_9_1*TblTech[[#This Row],[9-1]])*archspy_plat,0)</f>
        <v>1000</v>
      </c>
      <c r="BS122" s="69" t="n">
        <f aca="false">ROUNDUP((1-MIN(ROUND(wg_wiz_cost_bonus*TblMili[[#This Row],[WG''s]],4),wg_wiz_cost_cap) + tech_1_9_2*TblTech[[#This Row],[1-9]] + tech_9_1_2*TblTech[[#This Row],[9-1]])*wizard_plat,0)</f>
        <v>500</v>
      </c>
      <c r="BT122" s="69" t="n">
        <f aca="false">ROUNDUP((1-MIN(ROUND(wg_wiz_cost_bonus*TblMili[[#This Row],[WG''s]],4),wg_wiz_cost_cap) + tech_1_9_2*TblTech[[#This Row],[1-9]] + tech_9_1_2*TblTech[[#This Row],[9-1]])*archmage_plat,0)</f>
        <v>1000</v>
      </c>
      <c r="BU122" s="132"/>
      <c r="BV122" s="150" t="e">
        <f aca="false">TblConstr[[#This Row],[Homeland]]/TblConstr[[#This Row],[Land]]</f>
        <v>#VALUE!</v>
      </c>
      <c r="BW122" s="150" t="n">
        <f aca="false">TblMili[[#This Row],[WG''s]]</f>
        <v>0</v>
      </c>
      <c r="BX122" s="288" t="e">
        <f aca="false">IF(mystic_cap="none",TblMili[[#This Row],[Hill]]/mystic_bonus,MIN(mystic_cap,TblMili[[#This Row],[Hill]]/mystic_bonus))</f>
        <v>#VALUE!</v>
      </c>
      <c r="BY122" s="288" t="e">
        <f aca="false">IF(druid_op_cap="none",TblMili[[#This Row],[Hill]]/druid_op_bonus,MIN(druid_op_cap,TblMili[[#This Row],[Hill]]/druid_op_bonus))</f>
        <v>#VALUE!</v>
      </c>
      <c r="BZ122" s="288" t="e">
        <f aca="false">IF(druid_dp_cap="none",TblMili[[#This Row],[Hill]]/druid_dp_bonus,MIN(druid_dp_cap,TblMili[[#This Row],[Hill]]/druid_dp_bonus))</f>
        <v>#VALUE!</v>
      </c>
      <c r="CA122" s="288" t="e">
        <f aca="false">MIN(dryad_cap,TblMili[[#This Row],[Hill]]/dryad_bonus)</f>
        <v>#VALUE!</v>
      </c>
      <c r="CB122" s="288" t="e">
        <f aca="false">MIN(rocka_cap,TblMili[[#This Row],[Hill]]/rocka_bonus)</f>
        <v>#VALUE!</v>
      </c>
      <c r="CC122" s="288" t="n">
        <f aca="false">MIN(adept_op_cap,TblMili[[#This Row],[WG]]/adept_op_bonus)</f>
        <v>0</v>
      </c>
      <c r="CD122" s="288" t="n">
        <f aca="false">MIN(adept_dp_cap,TblMili[[#This Row],[WG]]/adept_dp_bonus)</f>
        <v>0</v>
      </c>
      <c r="CE122" s="69" t="n">
        <f aca="false">MIN(TblMili[[#This Row],[Unit 3]],TblMili[[#This Row],[Unit 2]])*2</f>
        <v>1400</v>
      </c>
      <c r="CF122" s="69" t="n">
        <f aca="false">MIN(TblMili[[#This Row],[Unit 1]],TblMili[[#This Row],[Unit 4]])*2</f>
        <v>0</v>
      </c>
      <c r="CG122" s="288" t="e">
        <f aca="false">MIN(frost_mage_cap,TblMili[[#This Row],[Hill]]/frost_mage_bonus)</f>
        <v>#VALUE!</v>
      </c>
      <c r="CH122" s="151" t="n">
        <f aca="false">MIN(ice_elem_cap,TblMili[[#This Row],[Raw (2)]]*ice_elem_bonus)</f>
        <v>0.0357142857142857</v>
      </c>
      <c r="CI122" s="288" t="n">
        <f aca="false">MIN(bone_breaker_cap,250/bone_breaker_bonus)</f>
        <v>0.833333333333333</v>
      </c>
      <c r="CJ122" s="288" t="e">
        <f aca="false">MIN(nox_nightshade_cap,TblConstr[[#This Row],[Homeland]]/TblConstr[[#This Row],[Land]]/nox_nightshade_swamp_bonus)</f>
        <v>#VALUE!</v>
      </c>
      <c r="CK122" s="289"/>
      <c r="CL122" s="289"/>
      <c r="CM122" s="289"/>
      <c r="CN122" s="288" t="e">
        <f aca="false">MIN(6,TblMili[[#This Row],[Mystic]]+Races!$F$19)*1.8 +  IF(TblMili[[#This Row],[Mystic]]+Races!$F$19&gt;6,(TblMili[[#This Row],[Mystic]]+Races!$F$19-6)*0.2,0) - Races!$I$19</f>
        <v>#VALUE!</v>
      </c>
      <c r="CO122" s="288" t="e">
        <f aca="false">1.8 * MIN(MAX(TblMili[[#This Row],[Druid (op)]]+Races!$E$20,TblMili[[#This Row],[Druid (dp)]]+Races!$F$20),6)  +  0.45 * MIN(MIN(TblMili[[#This Row],[Druid (op)]]+Races!$E$20,TblMili[[#This Row],[Druid (dp)]]+Races!$F$20),6)  +  0.2 * ( MAX(TblMili[[#This Row],[Druid (op)]]+Races!$E$20-6,0) + MAX(TblMili[[#This Row],[Druid (dp)]]+Races!$F$20-6,0) )  -  Races!$I$20</f>
        <v>#VALUE!</v>
      </c>
      <c r="CP122" s="69" t="e">
        <f aca="false">TblMili[[#This Row],[Mystic bonus]]*TblMili[[#This Row],[Unit 3]]+TblMili[[#This Row],[Druid bonus]]*TblMili[[#This Row],[Unit 4]]</f>
        <v>#VALUE!</v>
      </c>
      <c r="CQ122" s="148" t="e">
        <f aca="false">MIN(6,TblMili[[#This Row],[Dryad]]+Races!$F$35)*1.8 +  IF(TblMili[[#This Row],[Dryad]]+Races!$F$35&gt;6,(TblMili[[#This Row],[Dryad]]+Races!$F$35-6)*0.2,0) - Races!$I$19</f>
        <v>#VALUE!</v>
      </c>
      <c r="CR122" s="69" t="e">
        <f aca="false">sylvan*(TblMili[[#This Row],[Mystic bonus]]*TblMili[[#This Row],[Unit 3]])</f>
        <v>#VALUE!</v>
      </c>
      <c r="CS122" s="148" t="e">
        <f aca="false">1.8 * MIN(MAX(Races!$E$27,TblMili[[#This Row],[Rockapult]]+Races!$F$27),6)  +  0.45 * MIN(MIN(Races!$E$27,TblMili[[#This Row],[Rockapult]]+Races!$F$27),6)  +  0.2 * ( MAX(Races!$E$27-6,0) + MAX(TblMili[[#This Row],[Rockapult]]+Races!$F$27-6,0) )  -  Races!$I$20</f>
        <v>#VALUE!</v>
      </c>
      <c r="CT122" s="69" t="e">
        <f aca="false">gnome*(TblMili[[#This Row],[Rockapult bonus]]*TblMili[[#This Row],[Unit 3]])</f>
        <v>#VALUE!</v>
      </c>
      <c r="CU122" s="148" t="n">
        <f aca="false">1.8 * MIN(MAX(TblMili[[#This Row],[Spellblade]]+Races!$E$47,TblMili[[#This Row],[Adept-DP]]+Races!$F$47),6)  +  0.45 * MIN(MIN(TblMili[[#This Row],[Spellblade]]+Races!$E$47,TblMili[[#This Row],[Adept-DP]]+Races!$F$47),6)  +  0.2 * ( MAX(TblMili[[#This Row],[Spellblade]]+Races!$E$47-6,0) + MAX(TblMili[[#This Row],[Adept-DP]]+Races!$F$47-6,0) )  -  Races!$I$47</f>
        <v>0</v>
      </c>
      <c r="CV122" s="69" t="n">
        <f aca="false">dark_elf*(TblMili[[#This Row],[Adept bonus]]*TblMili[[#This Row],[Unit 3]])</f>
        <v>0</v>
      </c>
      <c r="CW122" s="148" t="e">
        <f aca="false">1.8 * MIN(MAX(TblMili[[#This Row],[Frost Mage]]+Races!$F$71,Races!$E$71),6)  +  0.45 * MIN(MIN(TblMili[[#This Row],[Frost Mage]]+Races!$F$71,Races!$E$71),6)  +  0.2 * ( MAX(TblMili[[#This Row],[Frost Mage]]+Races!$F$71-6,0) + MAX(Races!$E$71-6,0) )  -  Races!$I$71</f>
        <v>#VALUE!</v>
      </c>
      <c r="CX122" s="148" t="n">
        <f aca="false">1.8 * MIN(MAX(TblMili[[#This Row],[Ice Elemental]]+Races!$E$71,Races!$F$71),6)  +  0.45 * MIN(MIN(TblMili[[#This Row],[Ice Elemental]]+Races!$E$71,Races!$F$71),6)  +  0.2 * ( MAX(TblMili[[#This Row],[Ice Elemental]]+Races!$E$71-6,0) + MAX(Races!$F$71-6,0) )  -  Races!$I$71</f>
        <v>0.064285714285715</v>
      </c>
      <c r="CY122" s="69" t="e">
        <f aca="false">TblMili[[#This Row],[Frost Mage bonus]]*TblMili[[#This Row],[Unit 3]]+TblMili[[#This Row],[Ice Elemental bonus]]*TblMili[[#This Row],[Unit 4]]</f>
        <v>#VALUE!</v>
      </c>
      <c r="CZ122" s="290"/>
      <c r="DA122" s="109" t="n">
        <f aca="false">MIN(SUM(TblConstr[[#This Row],[Plain]:[Water]])/TblMili[[#This Row],[Land]]/favorable_terrain_bonus/100,favorable_terrain_max)</f>
        <v>0</v>
      </c>
      <c r="DB122" s="290"/>
      <c r="DC12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2" s="132"/>
      <c r="DE122" s="291" t="n">
        <f aca="false">(TblMili[[#This Row],[Wizards]]+2*TblMili[[#This Row],[Archmages]])/TblConstr[[#This Row],[Land]]</f>
        <v>0.0357142857142857</v>
      </c>
      <c r="DF122" s="291" t="n">
        <f aca="false">TblMili[[#This Row],[Raw (2)]]*(1+race_wizard_strength+IF(TblMili[[#This Row],[Hour]]&gt;72,tech_magical_weaponry_wiz*TblTech[[#This Row],[3-5]],0))</f>
        <v>0.0357142857142857</v>
      </c>
    </row>
    <row r="123" customFormat="false" ht="12.75" hidden="false" customHeight="false" outlineLevel="0" collapsed="false">
      <c r="A123" s="128" t="n">
        <f aca="false">TblRezone[[#This Row],[Hour]]</f>
        <v>120</v>
      </c>
      <c r="B123" s="282" t="n">
        <f aca="false">SUM(TblMili[[#This Row],[Unit 1]:[Archmages]])+SUM(OFFSET(TblMili[[#This Row],[Train Unit 1]],-8,0):TblMili[[#This Row],[Train Unit 2]]) + SUM(OFFSET(TblMili[[#This Row],[Train Unit 3]],-11,0):TblMili[[#This Row],[Train AM]]) + TblMili[[#This Row],[Draftees]]</f>
        <v>6695</v>
      </c>
      <c r="C123" s="150" t="n">
        <f aca="false">TblPop[[#This Row],[Military%]]</f>
        <v>0.517427931061133</v>
      </c>
      <c r="D123" s="132"/>
      <c r="E123" s="151" t="n">
        <f aca="false">OFFSET(TblMili[[#This Row],[Unit 1]],-1,0) + OFFSET(TblMili[[#This Row],[Train Unit 1]],-9,0) - TblMili[[#This Row],[Release Unit 1]]</f>
        <v>0</v>
      </c>
      <c r="F123" s="151" t="n">
        <f aca="false">OFFSET(TblMili[[#This Row],[Unit 2]],-1,0) + OFFSET(TblMili[[#This Row],[Train Unit 2]],-9,0)-TblMili[[#This Row],[Release Unit 2]]</f>
        <v>1246</v>
      </c>
      <c r="G123" s="151" t="n">
        <f aca="false">OFFSET(TblMili[[#This Row],[Unit 3]],-1,0) + OFFSET(TblMili[[#This Row],[Train Unit 3]],-12,0)-TblMili[[#This Row],[Release Unit 3]]</f>
        <v>700</v>
      </c>
      <c r="H123" s="151" t="n">
        <f aca="false">OFFSET(TblMili[[#This Row],[Unit 4]],-1,0) + OFFSET(TblMili[[#This Row],[Train Unit 4]],-12,0)-TblMili[[#This Row],[Release Unit 4]]</f>
        <v>1228</v>
      </c>
      <c r="I123" s="151" t="n">
        <f aca="false">OFFSET(TblMili[[#This Row],[Spies]],-1,0) + OFFSET(TblMili[[#This Row],[Train Spies]],-12,0) - TblMili[[#This Row],[Release Spies]]-TblMili[[#This Row],[Train AS]]</f>
        <v>25</v>
      </c>
      <c r="J123" s="151" t="n">
        <f aca="false">OFFSET(TblMili[[#This Row],[Archspies]],-1,0) + OFFSET(TblMili[[#This Row],[Train AS]],-12,0) - TblMili[[#This Row],[Release AS]]</f>
        <v>0</v>
      </c>
      <c r="K123" s="151" t="n">
        <f aca="false">OFFSET(TblMili[[#This Row],[Wizards]],-1,0) + OFFSET(TblMili[[#This Row],[Train Wiz]],-12,0) - TblMili[[#This Row],[Release Wizards]]-TblMili[[#This Row],[Train AM]]</f>
        <v>25</v>
      </c>
      <c r="L123" s="151" t="n">
        <f aca="false">OFFSET(TblMili[[#This Row],[Archmages]],-1,0) + OFFSET(TblMili[[#This Row],[Train AM]],-12,0) - TblMili[[#This Row],[Release AM]]</f>
        <v>0</v>
      </c>
      <c r="M123" s="132"/>
      <c r="N123" s="69" t="e">
        <f aca="false">TblProd[[#This Row],[Networth]]</f>
        <v>#VALUE!</v>
      </c>
      <c r="O123" s="132"/>
      <c r="P12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3" s="285" t="e">
        <f aca="false">TblMili[[#This Row],[Raw]]*(1+TblMili[[#This Row],[Mods_Off]])</f>
        <v>#VALUE!</v>
      </c>
      <c r="S12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3" s="285" t="e">
        <f aca="false">TblMili[[#This Row],[Non Draft]]+TblMili[[#This Row],[Draftees]]</f>
        <v>#VALUE!</v>
      </c>
      <c r="U123" s="286" t="n">
        <f aca="false">race_defense + TblImps[[#This Row],[Walls]] + ROUND( MIN(gt_bonus*TblConstr[[#This Row],[Tot GT]]/TblConstr[[#This Row],[Land]],gt_bonus_cap), 4) + IF(TblMagic[[#This Row],[Active Howling]]&gt;0,howling_dp_bonus,IF(TblMagic[[#This Row],[Active Ares Call]]&gt;0,ares_call_bonus))</f>
        <v>0.1375</v>
      </c>
      <c r="V123" s="274" t="e">
        <f aca="false">TblMili[[#This Row],[Non Draft]] * (1 + TblMili[[#This Row],[Mods_Def]])</f>
        <v>#VALUE!</v>
      </c>
      <c r="W123" s="285" t="e">
        <f aca="false">TblMili[[#This Row],[Draft]] * (1 + TblMili[[#This Row],[Mods_Def]])</f>
        <v>#VALUE!</v>
      </c>
      <c r="X123" s="285" t="n">
        <f aca="false">TblConstr[[#This Row],[Land]]</f>
        <v>700</v>
      </c>
      <c r="Y123" s="287"/>
      <c r="Z123" s="109" t="n">
        <f aca="false">IF(TblMili[[#This Row],[Set]]&lt;&gt;"",TblMili[[#This Row],[Set]],OFFSET(TblMili[[#This Row],[Draftrate]],-1,0))</f>
        <v>0.9</v>
      </c>
      <c r="AA123" s="69" t="n">
        <f aca="false">OFFSET(TblMili[[#This Row],[Draftees]],-1,0)+OFFSET(TblPop[[#This Row],[Draft Growth]],-1,0) - SUM(TblMili[[#This Row],[Train Unit 1]:[Train Spies]],TblMili[[#This Row],[Train Wiz]]) - TblMili[[#This Row],[Release Draft]] + SUM(TblMili[[#This Row],[Release Unit 1]:[Release AM]]) - TblExplore[[#This Row],[Draftees (2)]]</f>
        <v>3471</v>
      </c>
      <c r="AB123" s="146"/>
      <c r="AC123" s="130" t="n">
        <f aca="false">(TblConstr[[#This Row],[Tot Smi]]+TblConstr[[#This Row],[Dest Smi]])/(TblConstr[[#This Row],[Land]]-TblExplore[[#This Row],[Land Bonus]]*20)</f>
        <v>0.18</v>
      </c>
      <c r="AD123" s="128"/>
      <c r="AE123" s="282" t="n">
        <f aca="false">TblMili[[#This Row],[Hour]]</f>
        <v>120</v>
      </c>
      <c r="AF123" s="129" t="n">
        <f aca="false">TblExplore[[#This Row],[Time]]</f>
        <v>45434.7083333333</v>
      </c>
      <c r="AG123" s="182"/>
      <c r="AH123" s="182"/>
      <c r="AI123" s="182"/>
      <c r="AJ123" s="182"/>
      <c r="AK123" s="182"/>
      <c r="AL123" s="182"/>
      <c r="AM123" s="182"/>
      <c r="AN123" s="182"/>
      <c r="AO123" s="132"/>
      <c r="AP123" s="69" t="n">
        <f aca="false">TblProd[[#This Row],[Platinum]]</f>
        <v>1834042</v>
      </c>
      <c r="AQ123" s="69" t="n">
        <f aca="false">INDEX(TblProd[[#Headers],[Lumber]]:TblProd[[#This Row],[Ore]],COUNTA(TblProd[[#Headers],[Lumber]]:TblProd[[#This Row],[Lumber]]),MATCH(Military!$AQ$2,TblProd[[#Headers],[Lumber]:[Ore]],0))</f>
        <v>0</v>
      </c>
      <c r="AR12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69" t="n">
        <f aca="false">TblMili[[#This Row],[Train Unit 1]]*TblMili[[#This Row],[OP Ore]]+TblMili[[#This Row],[Train Unit 2]]*TblMili[[#This Row],[DP Ore]]+TblMili[[#This Row],[Train Unit 3]]*TblMili[[#This Row],[E1 Ore]]+TblMili[[#This Row],[Train Unit 4]]*TblMili[[#This Row],[E2 Ore]]</f>
        <v>0</v>
      </c>
      <c r="AT123" s="132" t="n">
        <f aca="false">TblMili[[#This Row],[Hour]]</f>
        <v>120</v>
      </c>
      <c r="AU123" s="144" t="n">
        <f aca="false">TblMili[[#This Row],[Time]]</f>
        <v>45434.7083333333</v>
      </c>
      <c r="AV123" s="69" t="n">
        <f aca="false">TblMili[[#This Row],[Draftees]]</f>
        <v>3471</v>
      </c>
      <c r="AW123" s="182"/>
      <c r="AX123" s="182"/>
      <c r="AY123" s="182"/>
      <c r="AZ123" s="182"/>
      <c r="BA123" s="182"/>
      <c r="BB123" s="182"/>
      <c r="BC123" s="182"/>
      <c r="BD123" s="182"/>
      <c r="BE123" s="182"/>
      <c r="BF123" s="132"/>
      <c r="BG123" s="150" t="n">
        <f aca="false">TblConstr[[#This Row],[Tot WG]]/TblConstr[[#This Row],[Land]]</f>
        <v>0</v>
      </c>
      <c r="BH123" s="150" t="n">
        <f aca="false">TblConstr[[#This Row],[Tot Hav]]/TblConstr[[#This Row],[Land]]</f>
        <v>0</v>
      </c>
      <c r="BI123" s="69" t="n">
        <f aca="false">ROUNDUP((1-MIN(TblMili[[#This Row],[Smithies]]*smithy_bonus,smithy_bonus_cap) + tech_3_5*TblTech[[#This Row],[3-5]] + tech_5_3*TblTech[[#This Row],[5-3]] + tech_5_5*TblTech[[#This Row],[5-5]])*spec_op_plat,0)</f>
        <v>192</v>
      </c>
      <c r="BJ123" s="69" t="n">
        <f aca="false">ROUNDUP(IF(race="Gnome",1,(1-MIN(TblMili[[#This Row],[Smithies]]*smithy_bonus,smithy_bonus_cap) + tech_3_5*TblTech[[#This Row],[3-5]] + tech_5_3*TblTech[[#This Row],[5-3]] + tech_5_5*TblTech[[#This Row],[5-5]]))*spec_op_ore,0)</f>
        <v>0</v>
      </c>
      <c r="BK123" s="69" t="n">
        <f aca="false">ROUNDUP((1-MIN(TblMili[[#This Row],[Smithies]]*smithy_bonus,smithy_bonus_cap) + tech_3_5*TblTech[[#This Row],[3-5]] + tech_5_3*TblTech[[#This Row],[5-3]] + tech_5_5*TblTech[[#This Row],[5-5]])*spec_dp_plat,0)</f>
        <v>192</v>
      </c>
      <c r="BL123" s="69" t="n">
        <f aca="false">ROUNDUP(IF(race="Gnome",1,(1-MIN(TblMili[[#This Row],[Smithies]]*smithy_bonus,smithy_bonus_cap) + tech_3_5*TblTech[[#This Row],[3-5]] + tech_5_3*TblTech[[#This Row],[5-3]] + tech_5_5*TblTech[[#This Row],[5-5]]))*spec_dp_ore,0)</f>
        <v>0</v>
      </c>
      <c r="BM123" s="69" t="n">
        <f aca="false">ROUNDUP((1-MIN(TblMili[[#This Row],[Smithies]]*smithy_bonus,smithy_bonus_cap) + tech_3_5*TblTech[[#This Row],[3-5]] + tech_5_3*TblTech[[#This Row],[5-3]] + tech_5_5*TblTech[[#This Row],[5-5]])*elite1_plat,0)</f>
        <v>592</v>
      </c>
      <c r="BN123" s="69" t="n">
        <f aca="false">ROUNDUP(IF(race="Gnome",1,(1-MIN(TblMili[[#This Row],[Smithies]]*smithy_bonus,smithy_bonus_cap) + tech_3_5*TblTech[[#This Row],[3-5]] + tech_5_3*TblTech[[#This Row],[5-3]] + tech_5_5*TblTech[[#This Row],[5-5]]))*elite1_ore,0)</f>
        <v>0</v>
      </c>
      <c r="BO123" s="69" t="n">
        <f aca="false">ROUNDUP((1-MIN(TblMili[[#This Row],[Smithies]]*smithy_bonus,smithy_bonus_cap) + tech_3_5*TblTech[[#This Row],[3-5]] + tech_5_3*TblTech[[#This Row],[5-3]] + tech_5_5*TblTech[[#This Row],[5-5]])*elite2_plat,0)</f>
        <v>608</v>
      </c>
      <c r="BP123" s="69" t="n">
        <f aca="false">ROUNDUP(IF(race="Gnome",1,(1-MIN(TblMili[[#This Row],[Smithies]]*smithy_bonus,smithy_bonus_cap) + tech_3_5*TblTech[[#This Row],[3-5]] + tech_5_3*TblTech[[#This Row],[5-3]] + tech_5_5*TblTech[[#This Row],[5-5]]))*elite2_ore,0)</f>
        <v>0</v>
      </c>
      <c r="BQ123" s="69" t="n">
        <f aca="false">ROUNDUP((1-MIN(ROUND(fh_spy_cost_red*TblMili[[#This Row],[FH''s]],4),fh_spy_cost_cap)+ tech_1_9*TblTech[[#This Row],[1-9]] + tech_9_1*TblTech[[#This Row],[9-1]])*spy_plat,0)</f>
        <v>500</v>
      </c>
      <c r="BR123" s="69" t="n">
        <f aca="false">ROUNDUP((1-MIN(ROUND(fh_spy_cost_red*TblMili[[#This Row],[FH''s]],4),fh_spy_cost_cap)+ tech_1_9*TblTech[[#This Row],[1-9]] + tech_9_1*TblTech[[#This Row],[9-1]])*archspy_plat,0)</f>
        <v>1000</v>
      </c>
      <c r="BS123" s="69" t="n">
        <f aca="false">ROUNDUP((1-MIN(ROUND(wg_wiz_cost_bonus*TblMili[[#This Row],[WG''s]],4),wg_wiz_cost_cap) + tech_1_9_2*TblTech[[#This Row],[1-9]] + tech_9_1_2*TblTech[[#This Row],[9-1]])*wizard_plat,0)</f>
        <v>500</v>
      </c>
      <c r="BT123" s="69" t="n">
        <f aca="false">ROUNDUP((1-MIN(ROUND(wg_wiz_cost_bonus*TblMili[[#This Row],[WG''s]],4),wg_wiz_cost_cap) + tech_1_9_2*TblTech[[#This Row],[1-9]] + tech_9_1_2*TblTech[[#This Row],[9-1]])*archmage_plat,0)</f>
        <v>1000</v>
      </c>
      <c r="BU123" s="132"/>
      <c r="BV123" s="150" t="e">
        <f aca="false">TblConstr[[#This Row],[Homeland]]/TblConstr[[#This Row],[Land]]</f>
        <v>#VALUE!</v>
      </c>
      <c r="BW123" s="150" t="n">
        <f aca="false">TblMili[[#This Row],[WG''s]]</f>
        <v>0</v>
      </c>
      <c r="BX123" s="288" t="e">
        <f aca="false">IF(mystic_cap="none",TblMili[[#This Row],[Hill]]/mystic_bonus,MIN(mystic_cap,TblMili[[#This Row],[Hill]]/mystic_bonus))</f>
        <v>#VALUE!</v>
      </c>
      <c r="BY123" s="288" t="e">
        <f aca="false">IF(druid_op_cap="none",TblMili[[#This Row],[Hill]]/druid_op_bonus,MIN(druid_op_cap,TblMili[[#This Row],[Hill]]/druid_op_bonus))</f>
        <v>#VALUE!</v>
      </c>
      <c r="BZ123" s="288" t="e">
        <f aca="false">IF(druid_dp_cap="none",TblMili[[#This Row],[Hill]]/druid_dp_bonus,MIN(druid_dp_cap,TblMili[[#This Row],[Hill]]/druid_dp_bonus))</f>
        <v>#VALUE!</v>
      </c>
      <c r="CA123" s="288" t="e">
        <f aca="false">MIN(dryad_cap,TblMili[[#This Row],[Hill]]/dryad_bonus)</f>
        <v>#VALUE!</v>
      </c>
      <c r="CB123" s="288" t="e">
        <f aca="false">MIN(rocka_cap,TblMili[[#This Row],[Hill]]/rocka_bonus)</f>
        <v>#VALUE!</v>
      </c>
      <c r="CC123" s="288" t="n">
        <f aca="false">MIN(adept_op_cap,TblMili[[#This Row],[WG]]/adept_op_bonus)</f>
        <v>0</v>
      </c>
      <c r="CD123" s="288" t="n">
        <f aca="false">MIN(adept_dp_cap,TblMili[[#This Row],[WG]]/adept_dp_bonus)</f>
        <v>0</v>
      </c>
      <c r="CE123" s="69" t="n">
        <f aca="false">MIN(TblMili[[#This Row],[Unit 3]],TblMili[[#This Row],[Unit 2]])*2</f>
        <v>1400</v>
      </c>
      <c r="CF123" s="69" t="n">
        <f aca="false">MIN(TblMili[[#This Row],[Unit 1]],TblMili[[#This Row],[Unit 4]])*2</f>
        <v>0</v>
      </c>
      <c r="CG123" s="288" t="e">
        <f aca="false">MIN(frost_mage_cap,TblMili[[#This Row],[Hill]]/frost_mage_bonus)</f>
        <v>#VALUE!</v>
      </c>
      <c r="CH123" s="151" t="n">
        <f aca="false">MIN(ice_elem_cap,TblMili[[#This Row],[Raw (2)]]*ice_elem_bonus)</f>
        <v>0.0357142857142857</v>
      </c>
      <c r="CI123" s="288" t="n">
        <f aca="false">MIN(bone_breaker_cap,250/bone_breaker_bonus)</f>
        <v>0.833333333333333</v>
      </c>
      <c r="CJ123" s="288" t="e">
        <f aca="false">MIN(nox_nightshade_cap,TblConstr[[#This Row],[Homeland]]/TblConstr[[#This Row],[Land]]/nox_nightshade_swamp_bonus)</f>
        <v>#VALUE!</v>
      </c>
      <c r="CK123" s="289"/>
      <c r="CL123" s="289"/>
      <c r="CM123" s="289"/>
      <c r="CN123" s="288" t="e">
        <f aca="false">MIN(6,TblMili[[#This Row],[Mystic]]+Races!$F$19)*1.8 +  IF(TblMili[[#This Row],[Mystic]]+Races!$F$19&gt;6,(TblMili[[#This Row],[Mystic]]+Races!$F$19-6)*0.2,0) - Races!$I$19</f>
        <v>#VALUE!</v>
      </c>
      <c r="CO123" s="288" t="e">
        <f aca="false">1.8 * MIN(MAX(TblMili[[#This Row],[Druid (op)]]+Races!$E$20,TblMili[[#This Row],[Druid (dp)]]+Races!$F$20),6)  +  0.45 * MIN(MIN(TblMili[[#This Row],[Druid (op)]]+Races!$E$20,TblMili[[#This Row],[Druid (dp)]]+Races!$F$20),6)  +  0.2 * ( MAX(TblMili[[#This Row],[Druid (op)]]+Races!$E$20-6,0) + MAX(TblMili[[#This Row],[Druid (dp)]]+Races!$F$20-6,0) )  -  Races!$I$20</f>
        <v>#VALUE!</v>
      </c>
      <c r="CP123" s="69" t="e">
        <f aca="false">TblMili[[#This Row],[Mystic bonus]]*TblMili[[#This Row],[Unit 3]]+TblMili[[#This Row],[Druid bonus]]*TblMili[[#This Row],[Unit 4]]</f>
        <v>#VALUE!</v>
      </c>
      <c r="CQ123" s="148" t="e">
        <f aca="false">MIN(6,TblMili[[#This Row],[Dryad]]+Races!$F$35)*1.8 +  IF(TblMili[[#This Row],[Dryad]]+Races!$F$35&gt;6,(TblMili[[#This Row],[Dryad]]+Races!$F$35-6)*0.2,0) - Races!$I$19</f>
        <v>#VALUE!</v>
      </c>
      <c r="CR123" s="69" t="e">
        <f aca="false">sylvan*(TblMili[[#This Row],[Mystic bonus]]*TblMili[[#This Row],[Unit 3]])</f>
        <v>#VALUE!</v>
      </c>
      <c r="CS123" s="148" t="e">
        <f aca="false">1.8 * MIN(MAX(Races!$E$27,TblMili[[#This Row],[Rockapult]]+Races!$F$27),6)  +  0.45 * MIN(MIN(Races!$E$27,TblMili[[#This Row],[Rockapult]]+Races!$F$27),6)  +  0.2 * ( MAX(Races!$E$27-6,0) + MAX(TblMili[[#This Row],[Rockapult]]+Races!$F$27-6,0) )  -  Races!$I$20</f>
        <v>#VALUE!</v>
      </c>
      <c r="CT123" s="69" t="e">
        <f aca="false">gnome*(TblMili[[#This Row],[Rockapult bonus]]*TblMili[[#This Row],[Unit 3]])</f>
        <v>#VALUE!</v>
      </c>
      <c r="CU123" s="148" t="n">
        <f aca="false">1.8 * MIN(MAX(TblMili[[#This Row],[Spellblade]]+Races!$E$47,TblMili[[#This Row],[Adept-DP]]+Races!$F$47),6)  +  0.45 * MIN(MIN(TblMili[[#This Row],[Spellblade]]+Races!$E$47,TblMili[[#This Row],[Adept-DP]]+Races!$F$47),6)  +  0.2 * ( MAX(TblMili[[#This Row],[Spellblade]]+Races!$E$47-6,0) + MAX(TblMili[[#This Row],[Adept-DP]]+Races!$F$47-6,0) )  -  Races!$I$47</f>
        <v>0</v>
      </c>
      <c r="CV123" s="69" t="n">
        <f aca="false">dark_elf*(TblMili[[#This Row],[Adept bonus]]*TblMili[[#This Row],[Unit 3]])</f>
        <v>0</v>
      </c>
      <c r="CW123" s="148" t="e">
        <f aca="false">1.8 * MIN(MAX(TblMili[[#This Row],[Frost Mage]]+Races!$F$71,Races!$E$71),6)  +  0.45 * MIN(MIN(TblMili[[#This Row],[Frost Mage]]+Races!$F$71,Races!$E$71),6)  +  0.2 * ( MAX(TblMili[[#This Row],[Frost Mage]]+Races!$F$71-6,0) + MAX(Races!$E$71-6,0) )  -  Races!$I$71</f>
        <v>#VALUE!</v>
      </c>
      <c r="CX123" s="148" t="n">
        <f aca="false">1.8 * MIN(MAX(TblMili[[#This Row],[Ice Elemental]]+Races!$E$71,Races!$F$71),6)  +  0.45 * MIN(MIN(TblMili[[#This Row],[Ice Elemental]]+Races!$E$71,Races!$F$71),6)  +  0.2 * ( MAX(TblMili[[#This Row],[Ice Elemental]]+Races!$E$71-6,0) + MAX(Races!$F$71-6,0) )  -  Races!$I$71</f>
        <v>0.064285714285715</v>
      </c>
      <c r="CY123" s="69" t="e">
        <f aca="false">TblMili[[#This Row],[Frost Mage bonus]]*TblMili[[#This Row],[Unit 3]]+TblMili[[#This Row],[Ice Elemental bonus]]*TblMili[[#This Row],[Unit 4]]</f>
        <v>#VALUE!</v>
      </c>
      <c r="CZ123" s="290"/>
      <c r="DA123" s="109" t="n">
        <f aca="false">MIN(SUM(TblConstr[[#This Row],[Plain]:[Water]])/TblMili[[#This Row],[Land]]/favorable_terrain_bonus/100,favorable_terrain_max)</f>
        <v>0</v>
      </c>
      <c r="DB123" s="290"/>
      <c r="DC12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3" s="132"/>
      <c r="DE123" s="291" t="n">
        <f aca="false">(TblMili[[#This Row],[Wizards]]+2*TblMili[[#This Row],[Archmages]])/TblConstr[[#This Row],[Land]]</f>
        <v>0.0357142857142857</v>
      </c>
      <c r="DF123" s="291" t="n">
        <f aca="false">TblMili[[#This Row],[Raw (2)]]*(1+race_wizard_strength+IF(TblMili[[#This Row],[Hour]]&gt;72,tech_magical_weaponry_wiz*TblTech[[#This Row],[3-5]],0))</f>
        <v>0.0357142857142857</v>
      </c>
    </row>
    <row r="124" customFormat="false" ht="12.75" hidden="false" customHeight="false" outlineLevel="0" collapsed="false">
      <c r="A124" s="128" t="n">
        <f aca="false">TblRezone[[#This Row],[Hour]]</f>
        <v>121</v>
      </c>
      <c r="B124" s="282" t="n">
        <f aca="false">SUM(TblMili[[#This Row],[Unit 1]:[Archmages]])+SUM(OFFSET(TblMili[[#This Row],[Train Unit 1]],-8,0):TblMili[[#This Row],[Train Unit 2]]) + SUM(OFFSET(TblMili[[#This Row],[Train Unit 3]],-11,0):TblMili[[#This Row],[Train AM]]) + TblMili[[#This Row],[Draftees]]</f>
        <v>6757</v>
      </c>
      <c r="C124" s="150" t="n">
        <f aca="false">TblPop[[#This Row],[Military%]]</f>
        <v>0.522219646031378</v>
      </c>
      <c r="D124" s="132"/>
      <c r="E124" s="151" t="n">
        <f aca="false">OFFSET(TblMili[[#This Row],[Unit 1]],-1,0) + OFFSET(TblMili[[#This Row],[Train Unit 1]],-9,0) - TblMili[[#This Row],[Release Unit 1]]</f>
        <v>0</v>
      </c>
      <c r="F124" s="151" t="n">
        <f aca="false">OFFSET(TblMili[[#This Row],[Unit 2]],-1,0) + OFFSET(TblMili[[#This Row],[Train Unit 2]],-9,0)-TblMili[[#This Row],[Release Unit 2]]</f>
        <v>1246</v>
      </c>
      <c r="G124" s="151" t="n">
        <f aca="false">OFFSET(TblMili[[#This Row],[Unit 3]],-1,0) + OFFSET(TblMili[[#This Row],[Train Unit 3]],-12,0)-TblMili[[#This Row],[Release Unit 3]]</f>
        <v>700</v>
      </c>
      <c r="H124" s="151" t="n">
        <f aca="false">OFFSET(TblMili[[#This Row],[Unit 4]],-1,0) + OFFSET(TblMili[[#This Row],[Train Unit 4]],-12,0)-TblMili[[#This Row],[Release Unit 4]]</f>
        <v>1228</v>
      </c>
      <c r="I124" s="151" t="n">
        <f aca="false">OFFSET(TblMili[[#This Row],[Spies]],-1,0) + OFFSET(TblMili[[#This Row],[Train Spies]],-12,0) - TblMili[[#This Row],[Release Spies]]-TblMili[[#This Row],[Train AS]]</f>
        <v>25</v>
      </c>
      <c r="J124" s="151" t="n">
        <f aca="false">OFFSET(TblMili[[#This Row],[Archspies]],-1,0) + OFFSET(TblMili[[#This Row],[Train AS]],-12,0) - TblMili[[#This Row],[Release AS]]</f>
        <v>0</v>
      </c>
      <c r="K124" s="151" t="n">
        <f aca="false">OFFSET(TblMili[[#This Row],[Wizards]],-1,0) + OFFSET(TblMili[[#This Row],[Train Wiz]],-12,0) - TblMili[[#This Row],[Release Wizards]]-TblMili[[#This Row],[Train AM]]</f>
        <v>25</v>
      </c>
      <c r="L124" s="151" t="n">
        <f aca="false">OFFSET(TblMili[[#This Row],[Archmages]],-1,0) + OFFSET(TblMili[[#This Row],[Train AM]],-12,0) - TblMili[[#This Row],[Release AM]]</f>
        <v>0</v>
      </c>
      <c r="M124" s="132"/>
      <c r="N124" s="69" t="e">
        <f aca="false">TblProd[[#This Row],[Networth]]</f>
        <v>#VALUE!</v>
      </c>
      <c r="O124" s="132"/>
      <c r="P12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4" s="285" t="e">
        <f aca="false">TblMili[[#This Row],[Raw]]*(1+TblMili[[#This Row],[Mods_Off]])</f>
        <v>#VALUE!</v>
      </c>
      <c r="S12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4" s="285" t="e">
        <f aca="false">TblMili[[#This Row],[Non Draft]]+TblMili[[#This Row],[Draftees]]</f>
        <v>#VALUE!</v>
      </c>
      <c r="U124" s="286" t="n">
        <f aca="false">race_defense + TblImps[[#This Row],[Walls]] + ROUND( MIN(gt_bonus*TblConstr[[#This Row],[Tot GT]]/TblConstr[[#This Row],[Land]],gt_bonus_cap), 4) + IF(TblMagic[[#This Row],[Active Howling]]&gt;0,howling_dp_bonus,IF(TblMagic[[#This Row],[Active Ares Call]]&gt;0,ares_call_bonus))</f>
        <v>0.1375</v>
      </c>
      <c r="V124" s="274" t="e">
        <f aca="false">TblMili[[#This Row],[Non Draft]] * (1 + TblMili[[#This Row],[Mods_Def]])</f>
        <v>#VALUE!</v>
      </c>
      <c r="W124" s="285" t="e">
        <f aca="false">TblMili[[#This Row],[Draft]] * (1 + TblMili[[#This Row],[Mods_Def]])</f>
        <v>#VALUE!</v>
      </c>
      <c r="X124" s="285" t="n">
        <f aca="false">TblConstr[[#This Row],[Land]]</f>
        <v>700</v>
      </c>
      <c r="Y124" s="287"/>
      <c r="Z124" s="109" t="n">
        <f aca="false">IF(TblMili[[#This Row],[Set]]&lt;&gt;"",TblMili[[#This Row],[Set]],OFFSET(TblMili[[#This Row],[Draftrate]],-1,0))</f>
        <v>0.9</v>
      </c>
      <c r="AA124" s="69" t="n">
        <f aca="false">OFFSET(TblMili[[#This Row],[Draftees]],-1,0)+OFFSET(TblPop[[#This Row],[Draft Growth]],-1,0) - SUM(TblMili[[#This Row],[Train Unit 1]:[Train Spies]],TblMili[[#This Row],[Train Wiz]]) - TblMili[[#This Row],[Release Draft]] + SUM(TblMili[[#This Row],[Release Unit 1]:[Release AM]]) - TblExplore[[#This Row],[Draftees (2)]]</f>
        <v>3533</v>
      </c>
      <c r="AB124" s="146"/>
      <c r="AC124" s="130" t="n">
        <f aca="false">(TblConstr[[#This Row],[Tot Smi]]+TblConstr[[#This Row],[Dest Smi]])/(TblConstr[[#This Row],[Land]]-TblExplore[[#This Row],[Land Bonus]]*20)</f>
        <v>0.18</v>
      </c>
      <c r="AD124" s="128"/>
      <c r="AE124" s="282" t="n">
        <f aca="false">TblMili[[#This Row],[Hour]]</f>
        <v>121</v>
      </c>
      <c r="AF124" s="129" t="n">
        <f aca="false">TblExplore[[#This Row],[Time]]</f>
        <v>45434.75</v>
      </c>
      <c r="AG124" s="182"/>
      <c r="AH124" s="182"/>
      <c r="AI124" s="182"/>
      <c r="AJ124" s="182"/>
      <c r="AK124" s="182"/>
      <c r="AL124" s="182"/>
      <c r="AM124" s="182"/>
      <c r="AN124" s="182"/>
      <c r="AO124" s="132"/>
      <c r="AP124" s="69" t="n">
        <f aca="false">TblProd[[#This Row],[Platinum]]</f>
        <v>1863275</v>
      </c>
      <c r="AQ124" s="69" t="n">
        <f aca="false">INDEX(TblProd[[#Headers],[Lumber]]:TblProd[[#This Row],[Ore]],COUNTA(TblProd[[#Headers],[Lumber]]:TblProd[[#This Row],[Lumber]]),MATCH(Military!$AQ$2,TblProd[[#Headers],[Lumber]:[Ore]],0))</f>
        <v>0</v>
      </c>
      <c r="AR12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69" t="n">
        <f aca="false">TblMili[[#This Row],[Train Unit 1]]*TblMili[[#This Row],[OP Ore]]+TblMili[[#This Row],[Train Unit 2]]*TblMili[[#This Row],[DP Ore]]+TblMili[[#This Row],[Train Unit 3]]*TblMili[[#This Row],[E1 Ore]]+TblMili[[#This Row],[Train Unit 4]]*TblMili[[#This Row],[E2 Ore]]</f>
        <v>0</v>
      </c>
      <c r="AT124" s="132" t="n">
        <f aca="false">TblMili[[#This Row],[Hour]]</f>
        <v>121</v>
      </c>
      <c r="AU124" s="144" t="n">
        <f aca="false">TblMili[[#This Row],[Time]]</f>
        <v>45434.75</v>
      </c>
      <c r="AV124" s="69" t="n">
        <f aca="false">TblMili[[#This Row],[Draftees]]</f>
        <v>3533</v>
      </c>
      <c r="AW124" s="182"/>
      <c r="AX124" s="182"/>
      <c r="AY124" s="182"/>
      <c r="AZ124" s="182"/>
      <c r="BA124" s="182"/>
      <c r="BB124" s="182"/>
      <c r="BC124" s="182"/>
      <c r="BD124" s="182"/>
      <c r="BE124" s="182"/>
      <c r="BF124" s="132"/>
      <c r="BG124" s="150" t="n">
        <f aca="false">TblConstr[[#This Row],[Tot WG]]/TblConstr[[#This Row],[Land]]</f>
        <v>0</v>
      </c>
      <c r="BH124" s="150" t="n">
        <f aca="false">TblConstr[[#This Row],[Tot Hav]]/TblConstr[[#This Row],[Land]]</f>
        <v>0</v>
      </c>
      <c r="BI124" s="69" t="n">
        <f aca="false">ROUNDUP((1-MIN(TblMili[[#This Row],[Smithies]]*smithy_bonus,smithy_bonus_cap) + tech_3_5*TblTech[[#This Row],[3-5]] + tech_5_3*TblTech[[#This Row],[5-3]] + tech_5_5*TblTech[[#This Row],[5-5]])*spec_op_plat,0)</f>
        <v>192</v>
      </c>
      <c r="BJ124" s="69" t="n">
        <f aca="false">ROUNDUP(IF(race="Gnome",1,(1-MIN(TblMili[[#This Row],[Smithies]]*smithy_bonus,smithy_bonus_cap) + tech_3_5*TblTech[[#This Row],[3-5]] + tech_5_3*TblTech[[#This Row],[5-3]] + tech_5_5*TblTech[[#This Row],[5-5]]))*spec_op_ore,0)</f>
        <v>0</v>
      </c>
      <c r="BK124" s="69" t="n">
        <f aca="false">ROUNDUP((1-MIN(TblMili[[#This Row],[Smithies]]*smithy_bonus,smithy_bonus_cap) + tech_3_5*TblTech[[#This Row],[3-5]] + tech_5_3*TblTech[[#This Row],[5-3]] + tech_5_5*TblTech[[#This Row],[5-5]])*spec_dp_plat,0)</f>
        <v>192</v>
      </c>
      <c r="BL124" s="69" t="n">
        <f aca="false">ROUNDUP(IF(race="Gnome",1,(1-MIN(TblMili[[#This Row],[Smithies]]*smithy_bonus,smithy_bonus_cap) + tech_3_5*TblTech[[#This Row],[3-5]] + tech_5_3*TblTech[[#This Row],[5-3]] + tech_5_5*TblTech[[#This Row],[5-5]]))*spec_dp_ore,0)</f>
        <v>0</v>
      </c>
      <c r="BM124" s="69" t="n">
        <f aca="false">ROUNDUP((1-MIN(TblMili[[#This Row],[Smithies]]*smithy_bonus,smithy_bonus_cap) + tech_3_5*TblTech[[#This Row],[3-5]] + tech_5_3*TblTech[[#This Row],[5-3]] + tech_5_5*TblTech[[#This Row],[5-5]])*elite1_plat,0)</f>
        <v>592</v>
      </c>
      <c r="BN124" s="69" t="n">
        <f aca="false">ROUNDUP(IF(race="Gnome",1,(1-MIN(TblMili[[#This Row],[Smithies]]*smithy_bonus,smithy_bonus_cap) + tech_3_5*TblTech[[#This Row],[3-5]] + tech_5_3*TblTech[[#This Row],[5-3]] + tech_5_5*TblTech[[#This Row],[5-5]]))*elite1_ore,0)</f>
        <v>0</v>
      </c>
      <c r="BO124" s="69" t="n">
        <f aca="false">ROUNDUP((1-MIN(TblMili[[#This Row],[Smithies]]*smithy_bonus,smithy_bonus_cap) + tech_3_5*TblTech[[#This Row],[3-5]] + tech_5_3*TblTech[[#This Row],[5-3]] + tech_5_5*TblTech[[#This Row],[5-5]])*elite2_plat,0)</f>
        <v>608</v>
      </c>
      <c r="BP124" s="69" t="n">
        <f aca="false">ROUNDUP(IF(race="Gnome",1,(1-MIN(TblMili[[#This Row],[Smithies]]*smithy_bonus,smithy_bonus_cap) + tech_3_5*TblTech[[#This Row],[3-5]] + tech_5_3*TblTech[[#This Row],[5-3]] + tech_5_5*TblTech[[#This Row],[5-5]]))*elite2_ore,0)</f>
        <v>0</v>
      </c>
      <c r="BQ124" s="69" t="n">
        <f aca="false">ROUNDUP((1-MIN(ROUND(fh_spy_cost_red*TblMili[[#This Row],[FH''s]],4),fh_spy_cost_cap)+ tech_1_9*TblTech[[#This Row],[1-9]] + tech_9_1*TblTech[[#This Row],[9-1]])*spy_plat,0)</f>
        <v>500</v>
      </c>
      <c r="BR124" s="69" t="n">
        <f aca="false">ROUNDUP((1-MIN(ROUND(fh_spy_cost_red*TblMili[[#This Row],[FH''s]],4),fh_spy_cost_cap)+ tech_1_9*TblTech[[#This Row],[1-9]] + tech_9_1*TblTech[[#This Row],[9-1]])*archspy_plat,0)</f>
        <v>1000</v>
      </c>
      <c r="BS124" s="69" t="n">
        <f aca="false">ROUNDUP((1-MIN(ROUND(wg_wiz_cost_bonus*TblMili[[#This Row],[WG''s]],4),wg_wiz_cost_cap) + tech_1_9_2*TblTech[[#This Row],[1-9]] + tech_9_1_2*TblTech[[#This Row],[9-1]])*wizard_plat,0)</f>
        <v>500</v>
      </c>
      <c r="BT124" s="69" t="n">
        <f aca="false">ROUNDUP((1-MIN(ROUND(wg_wiz_cost_bonus*TblMili[[#This Row],[WG''s]],4),wg_wiz_cost_cap) + tech_1_9_2*TblTech[[#This Row],[1-9]] + tech_9_1_2*TblTech[[#This Row],[9-1]])*archmage_plat,0)</f>
        <v>1000</v>
      </c>
      <c r="BU124" s="132"/>
      <c r="BV124" s="150" t="e">
        <f aca="false">TblConstr[[#This Row],[Homeland]]/TblConstr[[#This Row],[Land]]</f>
        <v>#VALUE!</v>
      </c>
      <c r="BW124" s="150" t="n">
        <f aca="false">TblMili[[#This Row],[WG''s]]</f>
        <v>0</v>
      </c>
      <c r="BX124" s="288" t="e">
        <f aca="false">IF(mystic_cap="none",TblMili[[#This Row],[Hill]]/mystic_bonus,MIN(mystic_cap,TblMili[[#This Row],[Hill]]/mystic_bonus))</f>
        <v>#VALUE!</v>
      </c>
      <c r="BY124" s="288" t="e">
        <f aca="false">IF(druid_op_cap="none",TblMili[[#This Row],[Hill]]/druid_op_bonus,MIN(druid_op_cap,TblMili[[#This Row],[Hill]]/druid_op_bonus))</f>
        <v>#VALUE!</v>
      </c>
      <c r="BZ124" s="288" t="e">
        <f aca="false">IF(druid_dp_cap="none",TblMili[[#This Row],[Hill]]/druid_dp_bonus,MIN(druid_dp_cap,TblMili[[#This Row],[Hill]]/druid_dp_bonus))</f>
        <v>#VALUE!</v>
      </c>
      <c r="CA124" s="288" t="e">
        <f aca="false">MIN(dryad_cap,TblMili[[#This Row],[Hill]]/dryad_bonus)</f>
        <v>#VALUE!</v>
      </c>
      <c r="CB124" s="288" t="e">
        <f aca="false">MIN(rocka_cap,TblMili[[#This Row],[Hill]]/rocka_bonus)</f>
        <v>#VALUE!</v>
      </c>
      <c r="CC124" s="288" t="n">
        <f aca="false">MIN(adept_op_cap,TblMili[[#This Row],[WG]]/adept_op_bonus)</f>
        <v>0</v>
      </c>
      <c r="CD124" s="288" t="n">
        <f aca="false">MIN(adept_dp_cap,TblMili[[#This Row],[WG]]/adept_dp_bonus)</f>
        <v>0</v>
      </c>
      <c r="CE124" s="69" t="n">
        <f aca="false">MIN(TblMili[[#This Row],[Unit 3]],TblMili[[#This Row],[Unit 2]])*2</f>
        <v>1400</v>
      </c>
      <c r="CF124" s="69" t="n">
        <f aca="false">MIN(TblMili[[#This Row],[Unit 1]],TblMili[[#This Row],[Unit 4]])*2</f>
        <v>0</v>
      </c>
      <c r="CG124" s="288" t="e">
        <f aca="false">MIN(frost_mage_cap,TblMili[[#This Row],[Hill]]/frost_mage_bonus)</f>
        <v>#VALUE!</v>
      </c>
      <c r="CH124" s="151" t="n">
        <f aca="false">MIN(ice_elem_cap,TblMili[[#This Row],[Raw (2)]]*ice_elem_bonus)</f>
        <v>0.0357142857142857</v>
      </c>
      <c r="CI124" s="288" t="n">
        <f aca="false">MIN(bone_breaker_cap,250/bone_breaker_bonus)</f>
        <v>0.833333333333333</v>
      </c>
      <c r="CJ124" s="288" t="e">
        <f aca="false">MIN(nox_nightshade_cap,TblConstr[[#This Row],[Homeland]]/TblConstr[[#This Row],[Land]]/nox_nightshade_swamp_bonus)</f>
        <v>#VALUE!</v>
      </c>
      <c r="CK124" s="289"/>
      <c r="CL124" s="289"/>
      <c r="CM124" s="289"/>
      <c r="CN124" s="288" t="e">
        <f aca="false">MIN(6,TblMili[[#This Row],[Mystic]]+Races!$F$19)*1.8 +  IF(TblMili[[#This Row],[Mystic]]+Races!$F$19&gt;6,(TblMili[[#This Row],[Mystic]]+Races!$F$19-6)*0.2,0) - Races!$I$19</f>
        <v>#VALUE!</v>
      </c>
      <c r="CO124" s="288" t="e">
        <f aca="false">1.8 * MIN(MAX(TblMili[[#This Row],[Druid (op)]]+Races!$E$20,TblMili[[#This Row],[Druid (dp)]]+Races!$F$20),6)  +  0.45 * MIN(MIN(TblMili[[#This Row],[Druid (op)]]+Races!$E$20,TblMili[[#This Row],[Druid (dp)]]+Races!$F$20),6)  +  0.2 * ( MAX(TblMili[[#This Row],[Druid (op)]]+Races!$E$20-6,0) + MAX(TblMili[[#This Row],[Druid (dp)]]+Races!$F$20-6,0) )  -  Races!$I$20</f>
        <v>#VALUE!</v>
      </c>
      <c r="CP124" s="69" t="e">
        <f aca="false">TblMili[[#This Row],[Mystic bonus]]*TblMili[[#This Row],[Unit 3]]+TblMili[[#This Row],[Druid bonus]]*TblMili[[#This Row],[Unit 4]]</f>
        <v>#VALUE!</v>
      </c>
      <c r="CQ124" s="148" t="e">
        <f aca="false">MIN(6,TblMili[[#This Row],[Dryad]]+Races!$F$35)*1.8 +  IF(TblMili[[#This Row],[Dryad]]+Races!$F$35&gt;6,(TblMili[[#This Row],[Dryad]]+Races!$F$35-6)*0.2,0) - Races!$I$19</f>
        <v>#VALUE!</v>
      </c>
      <c r="CR124" s="69" t="e">
        <f aca="false">sylvan*(TblMili[[#This Row],[Mystic bonus]]*TblMili[[#This Row],[Unit 3]])</f>
        <v>#VALUE!</v>
      </c>
      <c r="CS124" s="148" t="e">
        <f aca="false">1.8 * MIN(MAX(Races!$E$27,TblMili[[#This Row],[Rockapult]]+Races!$F$27),6)  +  0.45 * MIN(MIN(Races!$E$27,TblMili[[#This Row],[Rockapult]]+Races!$F$27),6)  +  0.2 * ( MAX(Races!$E$27-6,0) + MAX(TblMili[[#This Row],[Rockapult]]+Races!$F$27-6,0) )  -  Races!$I$20</f>
        <v>#VALUE!</v>
      </c>
      <c r="CT124" s="69" t="e">
        <f aca="false">gnome*(TblMili[[#This Row],[Rockapult bonus]]*TblMili[[#This Row],[Unit 3]])</f>
        <v>#VALUE!</v>
      </c>
      <c r="CU124" s="148" t="n">
        <f aca="false">1.8 * MIN(MAX(TblMili[[#This Row],[Spellblade]]+Races!$E$47,TblMili[[#This Row],[Adept-DP]]+Races!$F$47),6)  +  0.45 * MIN(MIN(TblMili[[#This Row],[Spellblade]]+Races!$E$47,TblMili[[#This Row],[Adept-DP]]+Races!$F$47),6)  +  0.2 * ( MAX(TblMili[[#This Row],[Spellblade]]+Races!$E$47-6,0) + MAX(TblMili[[#This Row],[Adept-DP]]+Races!$F$47-6,0) )  -  Races!$I$47</f>
        <v>0</v>
      </c>
      <c r="CV124" s="69" t="n">
        <f aca="false">dark_elf*(TblMili[[#This Row],[Adept bonus]]*TblMili[[#This Row],[Unit 3]])</f>
        <v>0</v>
      </c>
      <c r="CW124" s="148" t="e">
        <f aca="false">1.8 * MIN(MAX(TblMili[[#This Row],[Frost Mage]]+Races!$F$71,Races!$E$71),6)  +  0.45 * MIN(MIN(TblMili[[#This Row],[Frost Mage]]+Races!$F$71,Races!$E$71),6)  +  0.2 * ( MAX(TblMili[[#This Row],[Frost Mage]]+Races!$F$71-6,0) + MAX(Races!$E$71-6,0) )  -  Races!$I$71</f>
        <v>#VALUE!</v>
      </c>
      <c r="CX124" s="148" t="n">
        <f aca="false">1.8 * MIN(MAX(TblMili[[#This Row],[Ice Elemental]]+Races!$E$71,Races!$F$71),6)  +  0.45 * MIN(MIN(TblMili[[#This Row],[Ice Elemental]]+Races!$E$71,Races!$F$71),6)  +  0.2 * ( MAX(TblMili[[#This Row],[Ice Elemental]]+Races!$E$71-6,0) + MAX(Races!$F$71-6,0) )  -  Races!$I$71</f>
        <v>0.064285714285715</v>
      </c>
      <c r="CY124" s="69" t="e">
        <f aca="false">TblMili[[#This Row],[Frost Mage bonus]]*TblMili[[#This Row],[Unit 3]]+TblMili[[#This Row],[Ice Elemental bonus]]*TblMili[[#This Row],[Unit 4]]</f>
        <v>#VALUE!</v>
      </c>
      <c r="CZ124" s="290"/>
      <c r="DA124" s="109" t="n">
        <f aca="false">MIN(SUM(TblConstr[[#This Row],[Plain]:[Water]])/TblMili[[#This Row],[Land]]/favorable_terrain_bonus/100,favorable_terrain_max)</f>
        <v>0</v>
      </c>
      <c r="DB124" s="290"/>
      <c r="DC12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4" s="132"/>
      <c r="DE124" s="291" t="n">
        <f aca="false">(TblMili[[#This Row],[Wizards]]+2*TblMili[[#This Row],[Archmages]])/TblConstr[[#This Row],[Land]]</f>
        <v>0.0357142857142857</v>
      </c>
      <c r="DF124" s="291" t="n">
        <f aca="false">TblMili[[#This Row],[Raw (2)]]*(1+race_wizard_strength+IF(TblMili[[#This Row],[Hour]]&gt;72,tech_magical_weaponry_wiz*TblTech[[#This Row],[3-5]],0))</f>
        <v>0.0357142857142857</v>
      </c>
    </row>
    <row r="125" customFormat="false" ht="12.75" hidden="false" customHeight="false" outlineLevel="0" collapsed="false">
      <c r="A125" s="128" t="n">
        <f aca="false">TblRezone[[#This Row],[Hour]]</f>
        <v>122</v>
      </c>
      <c r="B125" s="282" t="n">
        <f aca="false">SUM(TblMili[[#This Row],[Unit 1]:[Archmages]])+SUM(OFFSET(TblMili[[#This Row],[Train Unit 1]],-8,0):TblMili[[#This Row],[Train Unit 2]]) + SUM(OFFSET(TblMili[[#This Row],[Train Unit 3]],-11,0):TblMili[[#This Row],[Train AM]]) + TblMili[[#This Row],[Draftees]]</f>
        <v>6819</v>
      </c>
      <c r="C125" s="150" t="n">
        <f aca="false">TblPop[[#This Row],[Military%]]</f>
        <v>0.527011361001623</v>
      </c>
      <c r="D125" s="132"/>
      <c r="E125" s="151" t="n">
        <f aca="false">OFFSET(TblMili[[#This Row],[Unit 1]],-1,0) + OFFSET(TblMili[[#This Row],[Train Unit 1]],-9,0) - TblMili[[#This Row],[Release Unit 1]]</f>
        <v>0</v>
      </c>
      <c r="F125" s="151" t="n">
        <f aca="false">OFFSET(TblMili[[#This Row],[Unit 2]],-1,0) + OFFSET(TblMili[[#This Row],[Train Unit 2]],-9,0)-TblMili[[#This Row],[Release Unit 2]]</f>
        <v>1246</v>
      </c>
      <c r="G125" s="151" t="n">
        <f aca="false">OFFSET(TblMili[[#This Row],[Unit 3]],-1,0) + OFFSET(TblMili[[#This Row],[Train Unit 3]],-12,0)-TblMili[[#This Row],[Release Unit 3]]</f>
        <v>700</v>
      </c>
      <c r="H125" s="151" t="n">
        <f aca="false">OFFSET(TblMili[[#This Row],[Unit 4]],-1,0) + OFFSET(TblMili[[#This Row],[Train Unit 4]],-12,0)-TblMili[[#This Row],[Release Unit 4]]</f>
        <v>1228</v>
      </c>
      <c r="I125" s="151" t="n">
        <f aca="false">OFFSET(TblMili[[#This Row],[Spies]],-1,0) + OFFSET(TblMili[[#This Row],[Train Spies]],-12,0) - TblMili[[#This Row],[Release Spies]]-TblMili[[#This Row],[Train AS]]</f>
        <v>25</v>
      </c>
      <c r="J125" s="151" t="n">
        <f aca="false">OFFSET(TblMili[[#This Row],[Archspies]],-1,0) + OFFSET(TblMili[[#This Row],[Train AS]],-12,0) - TblMili[[#This Row],[Release AS]]</f>
        <v>0</v>
      </c>
      <c r="K125" s="151" t="n">
        <f aca="false">OFFSET(TblMili[[#This Row],[Wizards]],-1,0) + OFFSET(TblMili[[#This Row],[Train Wiz]],-12,0) - TblMili[[#This Row],[Release Wizards]]-TblMili[[#This Row],[Train AM]]</f>
        <v>25</v>
      </c>
      <c r="L125" s="151" t="n">
        <f aca="false">OFFSET(TblMili[[#This Row],[Archmages]],-1,0) + OFFSET(TblMili[[#This Row],[Train AM]],-12,0) - TblMili[[#This Row],[Release AM]]</f>
        <v>0</v>
      </c>
      <c r="M125" s="132"/>
      <c r="N125" s="69" t="e">
        <f aca="false">TblProd[[#This Row],[Networth]]</f>
        <v>#VALUE!</v>
      </c>
      <c r="O125" s="132"/>
      <c r="P12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5" s="285" t="e">
        <f aca="false">TblMili[[#This Row],[Raw]]*(1+TblMili[[#This Row],[Mods_Off]])</f>
        <v>#VALUE!</v>
      </c>
      <c r="S12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5" s="285" t="e">
        <f aca="false">TblMili[[#This Row],[Non Draft]]+TblMili[[#This Row],[Draftees]]</f>
        <v>#VALUE!</v>
      </c>
      <c r="U125" s="286" t="n">
        <f aca="false">race_defense + TblImps[[#This Row],[Walls]] + ROUND( MIN(gt_bonus*TblConstr[[#This Row],[Tot GT]]/TblConstr[[#This Row],[Land]],gt_bonus_cap), 4) + IF(TblMagic[[#This Row],[Active Howling]]&gt;0,howling_dp_bonus,IF(TblMagic[[#This Row],[Active Ares Call]]&gt;0,ares_call_bonus))</f>
        <v>0.1375</v>
      </c>
      <c r="V125" s="274" t="e">
        <f aca="false">TblMili[[#This Row],[Non Draft]] * (1 + TblMili[[#This Row],[Mods_Def]])</f>
        <v>#VALUE!</v>
      </c>
      <c r="W125" s="285" t="e">
        <f aca="false">TblMili[[#This Row],[Draft]] * (1 + TblMili[[#This Row],[Mods_Def]])</f>
        <v>#VALUE!</v>
      </c>
      <c r="X125" s="285" t="n">
        <f aca="false">TblConstr[[#This Row],[Land]]</f>
        <v>700</v>
      </c>
      <c r="Y125" s="287"/>
      <c r="Z125" s="109" t="n">
        <f aca="false">IF(TblMili[[#This Row],[Set]]&lt;&gt;"",TblMili[[#This Row],[Set]],OFFSET(TblMili[[#This Row],[Draftrate]],-1,0))</f>
        <v>0.9</v>
      </c>
      <c r="AA125" s="69" t="n">
        <f aca="false">OFFSET(TblMili[[#This Row],[Draftees]],-1,0)+OFFSET(TblPop[[#This Row],[Draft Growth]],-1,0) - SUM(TblMili[[#This Row],[Train Unit 1]:[Train Spies]],TblMili[[#This Row],[Train Wiz]]) - TblMili[[#This Row],[Release Draft]] + SUM(TblMili[[#This Row],[Release Unit 1]:[Release AM]]) - TblExplore[[#This Row],[Draftees (2)]]</f>
        <v>3595</v>
      </c>
      <c r="AB125" s="146"/>
      <c r="AC125" s="130" t="n">
        <f aca="false">(TblConstr[[#This Row],[Tot Smi]]+TblConstr[[#This Row],[Dest Smi]])/(TblConstr[[#This Row],[Land]]-TblExplore[[#This Row],[Land Bonus]]*20)</f>
        <v>0.18</v>
      </c>
      <c r="AD125" s="128"/>
      <c r="AE125" s="282" t="n">
        <f aca="false">TblMili[[#This Row],[Hour]]</f>
        <v>122</v>
      </c>
      <c r="AF125" s="129" t="n">
        <f aca="false">TblExplore[[#This Row],[Time]]</f>
        <v>45434.7916666667</v>
      </c>
      <c r="AG125" s="152"/>
      <c r="AH125" s="182"/>
      <c r="AI125" s="152"/>
      <c r="AJ125" s="182"/>
      <c r="AK125" s="182"/>
      <c r="AL125" s="182"/>
      <c r="AM125" s="182"/>
      <c r="AN125" s="182"/>
      <c r="AO125" s="132"/>
      <c r="AP125" s="69" t="n">
        <f aca="false">TblProd[[#This Row],[Platinum]]</f>
        <v>1892341</v>
      </c>
      <c r="AQ125" s="69" t="n">
        <f aca="false">INDEX(TblProd[[#Headers],[Lumber]]:TblProd[[#This Row],[Ore]],COUNTA(TblProd[[#Headers],[Lumber]]:TblProd[[#This Row],[Lumber]]),MATCH(Military!$AQ$2,TblProd[[#Headers],[Lumber]:[Ore]],0))</f>
        <v>0</v>
      </c>
      <c r="AR12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69" t="n">
        <f aca="false">TblMili[[#This Row],[Train Unit 1]]*TblMili[[#This Row],[OP Ore]]+TblMili[[#This Row],[Train Unit 2]]*TblMili[[#This Row],[DP Ore]]+TblMili[[#This Row],[Train Unit 3]]*TblMili[[#This Row],[E1 Ore]]+TblMili[[#This Row],[Train Unit 4]]*TblMili[[#This Row],[E2 Ore]]</f>
        <v>0</v>
      </c>
      <c r="AT125" s="132" t="n">
        <f aca="false">TblMili[[#This Row],[Hour]]</f>
        <v>122</v>
      </c>
      <c r="AU125" s="144" t="n">
        <f aca="false">TblMili[[#This Row],[Time]]</f>
        <v>45434.7916666667</v>
      </c>
      <c r="AV125" s="69" t="n">
        <f aca="false">TblMili[[#This Row],[Draftees]]</f>
        <v>3595</v>
      </c>
      <c r="AW125" s="182"/>
      <c r="AX125" s="182"/>
      <c r="AY125" s="182"/>
      <c r="AZ125" s="182"/>
      <c r="BA125" s="182"/>
      <c r="BB125" s="182"/>
      <c r="BC125" s="182"/>
      <c r="BD125" s="182"/>
      <c r="BE125" s="182"/>
      <c r="BF125" s="132"/>
      <c r="BG125" s="150" t="n">
        <f aca="false">TblConstr[[#This Row],[Tot WG]]/TblConstr[[#This Row],[Land]]</f>
        <v>0</v>
      </c>
      <c r="BH125" s="150" t="n">
        <f aca="false">TblConstr[[#This Row],[Tot Hav]]/TblConstr[[#This Row],[Land]]</f>
        <v>0</v>
      </c>
      <c r="BI125" s="69" t="n">
        <f aca="false">ROUNDUP((1-MIN(TblMili[[#This Row],[Smithies]]*smithy_bonus,smithy_bonus_cap) + tech_3_5*TblTech[[#This Row],[3-5]] + tech_5_3*TblTech[[#This Row],[5-3]] + tech_5_5*TblTech[[#This Row],[5-5]])*spec_op_plat,0)</f>
        <v>192</v>
      </c>
      <c r="BJ125" s="69" t="n">
        <f aca="false">ROUNDUP(IF(race="Gnome",1,(1-MIN(TblMili[[#This Row],[Smithies]]*smithy_bonus,smithy_bonus_cap) + tech_3_5*TblTech[[#This Row],[3-5]] + tech_5_3*TblTech[[#This Row],[5-3]] + tech_5_5*TblTech[[#This Row],[5-5]]))*spec_op_ore,0)</f>
        <v>0</v>
      </c>
      <c r="BK125" s="69" t="n">
        <f aca="false">ROUNDUP((1-MIN(TblMili[[#This Row],[Smithies]]*smithy_bonus,smithy_bonus_cap) + tech_3_5*TblTech[[#This Row],[3-5]] + tech_5_3*TblTech[[#This Row],[5-3]] + tech_5_5*TblTech[[#This Row],[5-5]])*spec_dp_plat,0)</f>
        <v>192</v>
      </c>
      <c r="BL125" s="69" t="n">
        <f aca="false">ROUNDUP(IF(race="Gnome",1,(1-MIN(TblMili[[#This Row],[Smithies]]*smithy_bonus,smithy_bonus_cap) + tech_3_5*TblTech[[#This Row],[3-5]] + tech_5_3*TblTech[[#This Row],[5-3]] + tech_5_5*TblTech[[#This Row],[5-5]]))*spec_dp_ore,0)</f>
        <v>0</v>
      </c>
      <c r="BM125" s="69" t="n">
        <f aca="false">ROUNDUP((1-MIN(TblMili[[#This Row],[Smithies]]*smithy_bonus,smithy_bonus_cap) + tech_3_5*TblTech[[#This Row],[3-5]] + tech_5_3*TblTech[[#This Row],[5-3]] + tech_5_5*TblTech[[#This Row],[5-5]])*elite1_plat,0)</f>
        <v>592</v>
      </c>
      <c r="BN125" s="69" t="n">
        <f aca="false">ROUNDUP(IF(race="Gnome",1,(1-MIN(TblMili[[#This Row],[Smithies]]*smithy_bonus,smithy_bonus_cap) + tech_3_5*TblTech[[#This Row],[3-5]] + tech_5_3*TblTech[[#This Row],[5-3]] + tech_5_5*TblTech[[#This Row],[5-5]]))*elite1_ore,0)</f>
        <v>0</v>
      </c>
      <c r="BO125" s="69" t="n">
        <f aca="false">ROUNDUP((1-MIN(TblMili[[#This Row],[Smithies]]*smithy_bonus,smithy_bonus_cap) + tech_3_5*TblTech[[#This Row],[3-5]] + tech_5_3*TblTech[[#This Row],[5-3]] + tech_5_5*TblTech[[#This Row],[5-5]])*elite2_plat,0)</f>
        <v>608</v>
      </c>
      <c r="BP125" s="69" t="n">
        <f aca="false">ROUNDUP(IF(race="Gnome",1,(1-MIN(TblMili[[#This Row],[Smithies]]*smithy_bonus,smithy_bonus_cap) + tech_3_5*TblTech[[#This Row],[3-5]] + tech_5_3*TblTech[[#This Row],[5-3]] + tech_5_5*TblTech[[#This Row],[5-5]]))*elite2_ore,0)</f>
        <v>0</v>
      </c>
      <c r="BQ125" s="69" t="n">
        <f aca="false">ROUNDUP((1-MIN(ROUND(fh_spy_cost_red*TblMili[[#This Row],[FH''s]],4),fh_spy_cost_cap)+ tech_1_9*TblTech[[#This Row],[1-9]] + tech_9_1*TblTech[[#This Row],[9-1]])*spy_plat,0)</f>
        <v>500</v>
      </c>
      <c r="BR125" s="69" t="n">
        <f aca="false">ROUNDUP((1-MIN(ROUND(fh_spy_cost_red*TblMili[[#This Row],[FH''s]],4),fh_spy_cost_cap)+ tech_1_9*TblTech[[#This Row],[1-9]] + tech_9_1*TblTech[[#This Row],[9-1]])*archspy_plat,0)</f>
        <v>1000</v>
      </c>
      <c r="BS125" s="69" t="n">
        <f aca="false">ROUNDUP((1-MIN(ROUND(wg_wiz_cost_bonus*TblMili[[#This Row],[WG''s]],4),wg_wiz_cost_cap) + tech_1_9_2*TblTech[[#This Row],[1-9]] + tech_9_1_2*TblTech[[#This Row],[9-1]])*wizard_plat,0)</f>
        <v>500</v>
      </c>
      <c r="BT125" s="69" t="n">
        <f aca="false">ROUNDUP((1-MIN(ROUND(wg_wiz_cost_bonus*TblMili[[#This Row],[WG''s]],4),wg_wiz_cost_cap) + tech_1_9_2*TblTech[[#This Row],[1-9]] + tech_9_1_2*TblTech[[#This Row],[9-1]])*archmage_plat,0)</f>
        <v>1000</v>
      </c>
      <c r="BU125" s="132"/>
      <c r="BV125" s="150" t="e">
        <f aca="false">TblConstr[[#This Row],[Homeland]]/TblConstr[[#This Row],[Land]]</f>
        <v>#VALUE!</v>
      </c>
      <c r="BW125" s="150" t="n">
        <f aca="false">TblMili[[#This Row],[WG''s]]</f>
        <v>0</v>
      </c>
      <c r="BX125" s="288" t="e">
        <f aca="false">IF(mystic_cap="none",TblMili[[#This Row],[Hill]]/mystic_bonus,MIN(mystic_cap,TblMili[[#This Row],[Hill]]/mystic_bonus))</f>
        <v>#VALUE!</v>
      </c>
      <c r="BY125" s="288" t="e">
        <f aca="false">IF(druid_op_cap="none",TblMili[[#This Row],[Hill]]/druid_op_bonus,MIN(druid_op_cap,TblMili[[#This Row],[Hill]]/druid_op_bonus))</f>
        <v>#VALUE!</v>
      </c>
      <c r="BZ125" s="288" t="e">
        <f aca="false">IF(druid_dp_cap="none",TblMili[[#This Row],[Hill]]/druid_dp_bonus,MIN(druid_dp_cap,TblMili[[#This Row],[Hill]]/druid_dp_bonus))</f>
        <v>#VALUE!</v>
      </c>
      <c r="CA125" s="288" t="e">
        <f aca="false">MIN(dryad_cap,TblMili[[#This Row],[Hill]]/dryad_bonus)</f>
        <v>#VALUE!</v>
      </c>
      <c r="CB125" s="288" t="e">
        <f aca="false">MIN(rocka_cap,TblMili[[#This Row],[Hill]]/rocka_bonus)</f>
        <v>#VALUE!</v>
      </c>
      <c r="CC125" s="288" t="n">
        <f aca="false">MIN(adept_op_cap,TblMili[[#This Row],[WG]]/adept_op_bonus)</f>
        <v>0</v>
      </c>
      <c r="CD125" s="288" t="n">
        <f aca="false">MIN(adept_dp_cap,TblMili[[#This Row],[WG]]/adept_dp_bonus)</f>
        <v>0</v>
      </c>
      <c r="CE125" s="69" t="n">
        <f aca="false">MIN(TblMili[[#This Row],[Unit 3]],TblMili[[#This Row],[Unit 2]])*2</f>
        <v>1400</v>
      </c>
      <c r="CF125" s="69" t="n">
        <f aca="false">MIN(TblMili[[#This Row],[Unit 1]],TblMili[[#This Row],[Unit 4]])*2</f>
        <v>0</v>
      </c>
      <c r="CG125" s="288" t="e">
        <f aca="false">MIN(frost_mage_cap,TblMili[[#This Row],[Hill]]/frost_mage_bonus)</f>
        <v>#VALUE!</v>
      </c>
      <c r="CH125" s="151" t="n">
        <f aca="false">MIN(ice_elem_cap,TblMili[[#This Row],[Raw (2)]]*ice_elem_bonus)</f>
        <v>0.0357142857142857</v>
      </c>
      <c r="CI125" s="288" t="n">
        <f aca="false">MIN(bone_breaker_cap,250/bone_breaker_bonus)</f>
        <v>0.833333333333333</v>
      </c>
      <c r="CJ125" s="288" t="e">
        <f aca="false">MIN(nox_nightshade_cap,TblConstr[[#This Row],[Homeland]]/TblConstr[[#This Row],[Land]]/nox_nightshade_swamp_bonus)</f>
        <v>#VALUE!</v>
      </c>
      <c r="CK125" s="289"/>
      <c r="CL125" s="289"/>
      <c r="CM125" s="289"/>
      <c r="CN125" s="288" t="e">
        <f aca="false">MIN(6,TblMili[[#This Row],[Mystic]]+Races!$F$19)*1.8 +  IF(TblMili[[#This Row],[Mystic]]+Races!$F$19&gt;6,(TblMili[[#This Row],[Mystic]]+Races!$F$19-6)*0.2,0) - Races!$I$19</f>
        <v>#VALUE!</v>
      </c>
      <c r="CO125" s="288" t="e">
        <f aca="false">1.8 * MIN(MAX(TblMili[[#This Row],[Druid (op)]]+Races!$E$20,TblMili[[#This Row],[Druid (dp)]]+Races!$F$20),6)  +  0.45 * MIN(MIN(TblMili[[#This Row],[Druid (op)]]+Races!$E$20,TblMili[[#This Row],[Druid (dp)]]+Races!$F$20),6)  +  0.2 * ( MAX(TblMili[[#This Row],[Druid (op)]]+Races!$E$20-6,0) + MAX(TblMili[[#This Row],[Druid (dp)]]+Races!$F$20-6,0) )  -  Races!$I$20</f>
        <v>#VALUE!</v>
      </c>
      <c r="CP125" s="69" t="e">
        <f aca="false">TblMili[[#This Row],[Mystic bonus]]*TblMili[[#This Row],[Unit 3]]+TblMili[[#This Row],[Druid bonus]]*TblMili[[#This Row],[Unit 4]]</f>
        <v>#VALUE!</v>
      </c>
      <c r="CQ125" s="148" t="e">
        <f aca="false">MIN(6,TblMili[[#This Row],[Dryad]]+Races!$F$35)*1.8 +  IF(TblMili[[#This Row],[Dryad]]+Races!$F$35&gt;6,(TblMili[[#This Row],[Dryad]]+Races!$F$35-6)*0.2,0) - Races!$I$19</f>
        <v>#VALUE!</v>
      </c>
      <c r="CR125" s="69" t="e">
        <f aca="false">sylvan*(TblMili[[#This Row],[Mystic bonus]]*TblMili[[#This Row],[Unit 3]])</f>
        <v>#VALUE!</v>
      </c>
      <c r="CS125" s="148" t="e">
        <f aca="false">1.8 * MIN(MAX(Races!$E$27,TblMili[[#This Row],[Rockapult]]+Races!$F$27),6)  +  0.45 * MIN(MIN(Races!$E$27,TblMili[[#This Row],[Rockapult]]+Races!$F$27),6)  +  0.2 * ( MAX(Races!$E$27-6,0) + MAX(TblMili[[#This Row],[Rockapult]]+Races!$F$27-6,0) )  -  Races!$I$20</f>
        <v>#VALUE!</v>
      </c>
      <c r="CT125" s="69" t="e">
        <f aca="false">gnome*(TblMili[[#This Row],[Rockapult bonus]]*TblMili[[#This Row],[Unit 3]])</f>
        <v>#VALUE!</v>
      </c>
      <c r="CU125" s="148" t="n">
        <f aca="false">1.8 * MIN(MAX(TblMili[[#This Row],[Spellblade]]+Races!$E$47,TblMili[[#This Row],[Adept-DP]]+Races!$F$47),6)  +  0.45 * MIN(MIN(TblMili[[#This Row],[Spellblade]]+Races!$E$47,TblMili[[#This Row],[Adept-DP]]+Races!$F$47),6)  +  0.2 * ( MAX(TblMili[[#This Row],[Spellblade]]+Races!$E$47-6,0) + MAX(TblMili[[#This Row],[Adept-DP]]+Races!$F$47-6,0) )  -  Races!$I$47</f>
        <v>0</v>
      </c>
      <c r="CV125" s="69" t="n">
        <f aca="false">dark_elf*(TblMili[[#This Row],[Adept bonus]]*TblMili[[#This Row],[Unit 3]])</f>
        <v>0</v>
      </c>
      <c r="CW125" s="148" t="e">
        <f aca="false">1.8 * MIN(MAX(TblMili[[#This Row],[Frost Mage]]+Races!$F$71,Races!$E$71),6)  +  0.45 * MIN(MIN(TblMili[[#This Row],[Frost Mage]]+Races!$F$71,Races!$E$71),6)  +  0.2 * ( MAX(TblMili[[#This Row],[Frost Mage]]+Races!$F$71-6,0) + MAX(Races!$E$71-6,0) )  -  Races!$I$71</f>
        <v>#VALUE!</v>
      </c>
      <c r="CX125" s="148" t="n">
        <f aca="false">1.8 * MIN(MAX(TblMili[[#This Row],[Ice Elemental]]+Races!$E$71,Races!$F$71),6)  +  0.45 * MIN(MIN(TblMili[[#This Row],[Ice Elemental]]+Races!$E$71,Races!$F$71),6)  +  0.2 * ( MAX(TblMili[[#This Row],[Ice Elemental]]+Races!$E$71-6,0) + MAX(Races!$F$71-6,0) )  -  Races!$I$71</f>
        <v>0.064285714285715</v>
      </c>
      <c r="CY125" s="69" t="e">
        <f aca="false">TblMili[[#This Row],[Frost Mage bonus]]*TblMili[[#This Row],[Unit 3]]+TblMili[[#This Row],[Ice Elemental bonus]]*TblMili[[#This Row],[Unit 4]]</f>
        <v>#VALUE!</v>
      </c>
      <c r="CZ125" s="290"/>
      <c r="DA125" s="109" t="n">
        <f aca="false">MIN(SUM(TblConstr[[#This Row],[Plain]:[Water]])/TblMili[[#This Row],[Land]]/favorable_terrain_bonus/100,favorable_terrain_max)</f>
        <v>0</v>
      </c>
      <c r="DB125" s="290"/>
      <c r="DC12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5" s="132"/>
      <c r="DE125" s="291" t="n">
        <f aca="false">(TblMili[[#This Row],[Wizards]]+2*TblMili[[#This Row],[Archmages]])/TblConstr[[#This Row],[Land]]</f>
        <v>0.0357142857142857</v>
      </c>
      <c r="DF125" s="291" t="n">
        <f aca="false">TblMili[[#This Row],[Raw (2)]]*(1+race_wizard_strength+IF(TblMili[[#This Row],[Hour]]&gt;72,tech_magical_weaponry_wiz*TblTech[[#This Row],[3-5]],0))</f>
        <v>0.0357142857142857</v>
      </c>
    </row>
    <row r="126" customFormat="false" ht="12.75" hidden="false" customHeight="false" outlineLevel="0" collapsed="false">
      <c r="A126" s="128" t="n">
        <f aca="false">TblRezone[[#This Row],[Hour]]</f>
        <v>123</v>
      </c>
      <c r="B126" s="282" t="n">
        <f aca="false">SUM(TblMili[[#This Row],[Unit 1]:[Archmages]])+SUM(OFFSET(TblMili[[#This Row],[Train Unit 1]],-8,0):TblMili[[#This Row],[Train Unit 2]]) + SUM(OFFSET(TblMili[[#This Row],[Train Unit 3]],-11,0):TblMili[[#This Row],[Train AM]]) + TblMili[[#This Row],[Draftees]]</f>
        <v>6880</v>
      </c>
      <c r="C126" s="150" t="n">
        <f aca="false">TblPop[[#This Row],[Military%]]</f>
        <v>0.531725790246541</v>
      </c>
      <c r="D126" s="132"/>
      <c r="E126" s="151" t="n">
        <f aca="false">OFFSET(TblMili[[#This Row],[Unit 1]],-1,0) + OFFSET(TblMili[[#This Row],[Train Unit 1]],-9,0) - TblMili[[#This Row],[Release Unit 1]]</f>
        <v>0</v>
      </c>
      <c r="F126" s="151" t="n">
        <f aca="false">OFFSET(TblMili[[#This Row],[Unit 2]],-1,0) + OFFSET(TblMili[[#This Row],[Train Unit 2]],-9,0)-TblMili[[#This Row],[Release Unit 2]]</f>
        <v>1246</v>
      </c>
      <c r="G126" s="151" t="n">
        <f aca="false">OFFSET(TblMili[[#This Row],[Unit 3]],-1,0) + OFFSET(TblMili[[#This Row],[Train Unit 3]],-12,0)-TblMili[[#This Row],[Release Unit 3]]</f>
        <v>700</v>
      </c>
      <c r="H126" s="151" t="n">
        <f aca="false">OFFSET(TblMili[[#This Row],[Unit 4]],-1,0) + OFFSET(TblMili[[#This Row],[Train Unit 4]],-12,0)-TblMili[[#This Row],[Release Unit 4]]</f>
        <v>1228</v>
      </c>
      <c r="I126" s="151" t="n">
        <f aca="false">OFFSET(TblMili[[#This Row],[Spies]],-1,0) + OFFSET(TblMili[[#This Row],[Train Spies]],-12,0) - TblMili[[#This Row],[Release Spies]]-TblMili[[#This Row],[Train AS]]</f>
        <v>25</v>
      </c>
      <c r="J126" s="151" t="n">
        <f aca="false">OFFSET(TblMili[[#This Row],[Archspies]],-1,0) + OFFSET(TblMili[[#This Row],[Train AS]],-12,0) - TblMili[[#This Row],[Release AS]]</f>
        <v>0</v>
      </c>
      <c r="K126" s="151" t="n">
        <f aca="false">OFFSET(TblMili[[#This Row],[Wizards]],-1,0) + OFFSET(TblMili[[#This Row],[Train Wiz]],-12,0) - TblMili[[#This Row],[Release Wizards]]-TblMili[[#This Row],[Train AM]]</f>
        <v>25</v>
      </c>
      <c r="L126" s="151" t="n">
        <f aca="false">OFFSET(TblMili[[#This Row],[Archmages]],-1,0) + OFFSET(TblMili[[#This Row],[Train AM]],-12,0) - TblMili[[#This Row],[Release AM]]</f>
        <v>0</v>
      </c>
      <c r="M126" s="132"/>
      <c r="N126" s="69" t="e">
        <f aca="false">TblProd[[#This Row],[Networth]]</f>
        <v>#VALUE!</v>
      </c>
      <c r="O126" s="132"/>
      <c r="P12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6" s="285" t="e">
        <f aca="false">TblMili[[#This Row],[Raw]]*(1+TblMili[[#This Row],[Mods_Off]])</f>
        <v>#VALUE!</v>
      </c>
      <c r="S12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6" s="285" t="e">
        <f aca="false">TblMili[[#This Row],[Non Draft]]+TblMili[[#This Row],[Draftees]]</f>
        <v>#VALUE!</v>
      </c>
      <c r="U126" s="286" t="n">
        <f aca="false">race_defense + TblImps[[#This Row],[Walls]] + ROUND( MIN(gt_bonus*TblConstr[[#This Row],[Tot GT]]/TblConstr[[#This Row],[Land]],gt_bonus_cap), 4) + IF(TblMagic[[#This Row],[Active Howling]]&gt;0,howling_dp_bonus,IF(TblMagic[[#This Row],[Active Ares Call]]&gt;0,ares_call_bonus))</f>
        <v>0.1375</v>
      </c>
      <c r="V126" s="274" t="e">
        <f aca="false">TblMili[[#This Row],[Non Draft]] * (1 + TblMili[[#This Row],[Mods_Def]])</f>
        <v>#VALUE!</v>
      </c>
      <c r="W126" s="285" t="e">
        <f aca="false">TblMili[[#This Row],[Draft]] * (1 + TblMili[[#This Row],[Mods_Def]])</f>
        <v>#VALUE!</v>
      </c>
      <c r="X126" s="285" t="n">
        <f aca="false">TblConstr[[#This Row],[Land]]</f>
        <v>700</v>
      </c>
      <c r="Y126" s="287"/>
      <c r="Z126" s="109" t="n">
        <f aca="false">IF(TblMili[[#This Row],[Set]]&lt;&gt;"",TblMili[[#This Row],[Set]],OFFSET(TblMili[[#This Row],[Draftrate]],-1,0))</f>
        <v>0.9</v>
      </c>
      <c r="AA126" s="69" t="n">
        <f aca="false">OFFSET(TblMili[[#This Row],[Draftees]],-1,0)+OFFSET(TblPop[[#This Row],[Draft Growth]],-1,0) - SUM(TblMili[[#This Row],[Train Unit 1]:[Train Spies]],TblMili[[#This Row],[Train Wiz]]) - TblMili[[#This Row],[Release Draft]] + SUM(TblMili[[#This Row],[Release Unit 1]:[Release AM]]) - TblExplore[[#This Row],[Draftees (2)]]</f>
        <v>3656</v>
      </c>
      <c r="AB126" s="146"/>
      <c r="AC126" s="130" t="n">
        <f aca="false">(TblConstr[[#This Row],[Tot Smi]]+TblConstr[[#This Row],[Dest Smi]])/(TblConstr[[#This Row],[Land]]-TblExplore[[#This Row],[Land Bonus]]*20)</f>
        <v>0.18</v>
      </c>
      <c r="AD126" s="128"/>
      <c r="AE126" s="282" t="n">
        <f aca="false">TblMili[[#This Row],[Hour]]</f>
        <v>123</v>
      </c>
      <c r="AF126" s="129" t="n">
        <f aca="false">TblExplore[[#This Row],[Time]]</f>
        <v>45434.8333333333</v>
      </c>
      <c r="AG126" s="182"/>
      <c r="AH126" s="182"/>
      <c r="AI126" s="182"/>
      <c r="AJ126" s="182"/>
      <c r="AK126" s="182"/>
      <c r="AL126" s="182"/>
      <c r="AM126" s="182"/>
      <c r="AN126" s="182"/>
      <c r="AO126" s="132"/>
      <c r="AP126" s="69" t="n">
        <f aca="false">TblProd[[#This Row],[Platinum]]</f>
        <v>1921240</v>
      </c>
      <c r="AQ126" s="69" t="n">
        <f aca="false">INDEX(TblProd[[#Headers],[Lumber]]:TblProd[[#This Row],[Ore]],COUNTA(TblProd[[#Headers],[Lumber]]:TblProd[[#This Row],[Lumber]]),MATCH(Military!$AQ$2,TblProd[[#Headers],[Lumber]:[Ore]],0))</f>
        <v>0</v>
      </c>
      <c r="AR12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69" t="n">
        <f aca="false">TblMili[[#This Row],[Train Unit 1]]*TblMili[[#This Row],[OP Ore]]+TblMili[[#This Row],[Train Unit 2]]*TblMili[[#This Row],[DP Ore]]+TblMili[[#This Row],[Train Unit 3]]*TblMili[[#This Row],[E1 Ore]]+TblMili[[#This Row],[Train Unit 4]]*TblMili[[#This Row],[E2 Ore]]</f>
        <v>0</v>
      </c>
      <c r="AT126" s="132" t="n">
        <f aca="false">TblMili[[#This Row],[Hour]]</f>
        <v>123</v>
      </c>
      <c r="AU126" s="144" t="n">
        <f aca="false">TblMili[[#This Row],[Time]]</f>
        <v>45434.8333333333</v>
      </c>
      <c r="AV126" s="69" t="n">
        <f aca="false">TblMili[[#This Row],[Draftees]]</f>
        <v>3656</v>
      </c>
      <c r="AW126" s="182"/>
      <c r="AX126" s="182"/>
      <c r="AY126" s="182"/>
      <c r="AZ126" s="182"/>
      <c r="BA126" s="182"/>
      <c r="BB126" s="182"/>
      <c r="BC126" s="182"/>
      <c r="BD126" s="182"/>
      <c r="BE126" s="182"/>
      <c r="BF126" s="132"/>
      <c r="BG126" s="150" t="n">
        <f aca="false">TblConstr[[#This Row],[Tot WG]]/TblConstr[[#This Row],[Land]]</f>
        <v>0</v>
      </c>
      <c r="BH126" s="150" t="n">
        <f aca="false">TblConstr[[#This Row],[Tot Hav]]/TblConstr[[#This Row],[Land]]</f>
        <v>0</v>
      </c>
      <c r="BI126" s="69" t="n">
        <f aca="false">ROUNDUP((1-MIN(TblMili[[#This Row],[Smithies]]*smithy_bonus,smithy_bonus_cap) + tech_3_5*TblTech[[#This Row],[3-5]] + tech_5_3*TblTech[[#This Row],[5-3]] + tech_5_5*TblTech[[#This Row],[5-5]])*spec_op_plat,0)</f>
        <v>192</v>
      </c>
      <c r="BJ126" s="69" t="n">
        <f aca="false">ROUNDUP(IF(race="Gnome",1,(1-MIN(TblMili[[#This Row],[Smithies]]*smithy_bonus,smithy_bonus_cap) + tech_3_5*TblTech[[#This Row],[3-5]] + tech_5_3*TblTech[[#This Row],[5-3]] + tech_5_5*TblTech[[#This Row],[5-5]]))*spec_op_ore,0)</f>
        <v>0</v>
      </c>
      <c r="BK126" s="69" t="n">
        <f aca="false">ROUNDUP((1-MIN(TblMili[[#This Row],[Smithies]]*smithy_bonus,smithy_bonus_cap) + tech_3_5*TblTech[[#This Row],[3-5]] + tech_5_3*TblTech[[#This Row],[5-3]] + tech_5_5*TblTech[[#This Row],[5-5]])*spec_dp_plat,0)</f>
        <v>192</v>
      </c>
      <c r="BL126" s="69" t="n">
        <f aca="false">ROUNDUP(IF(race="Gnome",1,(1-MIN(TblMili[[#This Row],[Smithies]]*smithy_bonus,smithy_bonus_cap) + tech_3_5*TblTech[[#This Row],[3-5]] + tech_5_3*TblTech[[#This Row],[5-3]] + tech_5_5*TblTech[[#This Row],[5-5]]))*spec_dp_ore,0)</f>
        <v>0</v>
      </c>
      <c r="BM126" s="69" t="n">
        <f aca="false">ROUNDUP((1-MIN(TblMili[[#This Row],[Smithies]]*smithy_bonus,smithy_bonus_cap) + tech_3_5*TblTech[[#This Row],[3-5]] + tech_5_3*TblTech[[#This Row],[5-3]] + tech_5_5*TblTech[[#This Row],[5-5]])*elite1_plat,0)</f>
        <v>592</v>
      </c>
      <c r="BN126" s="69" t="n">
        <f aca="false">ROUNDUP(IF(race="Gnome",1,(1-MIN(TblMili[[#This Row],[Smithies]]*smithy_bonus,smithy_bonus_cap) + tech_3_5*TblTech[[#This Row],[3-5]] + tech_5_3*TblTech[[#This Row],[5-3]] + tech_5_5*TblTech[[#This Row],[5-5]]))*elite1_ore,0)</f>
        <v>0</v>
      </c>
      <c r="BO126" s="69" t="n">
        <f aca="false">ROUNDUP((1-MIN(TblMili[[#This Row],[Smithies]]*smithy_bonus,smithy_bonus_cap) + tech_3_5*TblTech[[#This Row],[3-5]] + tech_5_3*TblTech[[#This Row],[5-3]] + tech_5_5*TblTech[[#This Row],[5-5]])*elite2_plat,0)</f>
        <v>608</v>
      </c>
      <c r="BP126" s="69" t="n">
        <f aca="false">ROUNDUP(IF(race="Gnome",1,(1-MIN(TblMili[[#This Row],[Smithies]]*smithy_bonus,smithy_bonus_cap) + tech_3_5*TblTech[[#This Row],[3-5]] + tech_5_3*TblTech[[#This Row],[5-3]] + tech_5_5*TblTech[[#This Row],[5-5]]))*elite2_ore,0)</f>
        <v>0</v>
      </c>
      <c r="BQ126" s="69" t="n">
        <f aca="false">ROUNDUP((1-MIN(ROUND(fh_spy_cost_red*TblMili[[#This Row],[FH''s]],4),fh_spy_cost_cap)+ tech_1_9*TblTech[[#This Row],[1-9]] + tech_9_1*TblTech[[#This Row],[9-1]])*spy_plat,0)</f>
        <v>500</v>
      </c>
      <c r="BR126" s="69" t="n">
        <f aca="false">ROUNDUP((1-MIN(ROUND(fh_spy_cost_red*TblMili[[#This Row],[FH''s]],4),fh_spy_cost_cap)+ tech_1_9*TblTech[[#This Row],[1-9]] + tech_9_1*TblTech[[#This Row],[9-1]])*archspy_plat,0)</f>
        <v>1000</v>
      </c>
      <c r="BS126" s="69" t="n">
        <f aca="false">ROUNDUP((1-MIN(ROUND(wg_wiz_cost_bonus*TblMili[[#This Row],[WG''s]],4),wg_wiz_cost_cap) + tech_1_9_2*TblTech[[#This Row],[1-9]] + tech_9_1_2*TblTech[[#This Row],[9-1]])*wizard_plat,0)</f>
        <v>500</v>
      </c>
      <c r="BT126" s="69" t="n">
        <f aca="false">ROUNDUP((1-MIN(ROUND(wg_wiz_cost_bonus*TblMili[[#This Row],[WG''s]],4),wg_wiz_cost_cap) + tech_1_9_2*TblTech[[#This Row],[1-9]] + tech_9_1_2*TblTech[[#This Row],[9-1]])*archmage_plat,0)</f>
        <v>1000</v>
      </c>
      <c r="BU126" s="132"/>
      <c r="BV126" s="150" t="e">
        <f aca="false">TblConstr[[#This Row],[Homeland]]/TblConstr[[#This Row],[Land]]</f>
        <v>#VALUE!</v>
      </c>
      <c r="BW126" s="150" t="n">
        <f aca="false">TblMili[[#This Row],[WG''s]]</f>
        <v>0</v>
      </c>
      <c r="BX126" s="288" t="e">
        <f aca="false">IF(mystic_cap="none",TblMili[[#This Row],[Hill]]/mystic_bonus,MIN(mystic_cap,TblMili[[#This Row],[Hill]]/mystic_bonus))</f>
        <v>#VALUE!</v>
      </c>
      <c r="BY126" s="288" t="e">
        <f aca="false">IF(druid_op_cap="none",TblMili[[#This Row],[Hill]]/druid_op_bonus,MIN(druid_op_cap,TblMili[[#This Row],[Hill]]/druid_op_bonus))</f>
        <v>#VALUE!</v>
      </c>
      <c r="BZ126" s="288" t="e">
        <f aca="false">IF(druid_dp_cap="none",TblMili[[#This Row],[Hill]]/druid_dp_bonus,MIN(druid_dp_cap,TblMili[[#This Row],[Hill]]/druid_dp_bonus))</f>
        <v>#VALUE!</v>
      </c>
      <c r="CA126" s="288" t="e">
        <f aca="false">MIN(dryad_cap,TblMili[[#This Row],[Hill]]/dryad_bonus)</f>
        <v>#VALUE!</v>
      </c>
      <c r="CB126" s="288" t="e">
        <f aca="false">MIN(rocka_cap,TblMili[[#This Row],[Hill]]/rocka_bonus)</f>
        <v>#VALUE!</v>
      </c>
      <c r="CC126" s="288" t="n">
        <f aca="false">MIN(adept_op_cap,TblMili[[#This Row],[WG]]/adept_op_bonus)</f>
        <v>0</v>
      </c>
      <c r="CD126" s="288" t="n">
        <f aca="false">MIN(adept_dp_cap,TblMili[[#This Row],[WG]]/adept_dp_bonus)</f>
        <v>0</v>
      </c>
      <c r="CE126" s="69" t="n">
        <f aca="false">MIN(TblMili[[#This Row],[Unit 3]],TblMili[[#This Row],[Unit 2]])*2</f>
        <v>1400</v>
      </c>
      <c r="CF126" s="69" t="n">
        <f aca="false">MIN(TblMili[[#This Row],[Unit 1]],TblMili[[#This Row],[Unit 4]])*2</f>
        <v>0</v>
      </c>
      <c r="CG126" s="288" t="e">
        <f aca="false">MIN(frost_mage_cap,TblMili[[#This Row],[Hill]]/frost_mage_bonus)</f>
        <v>#VALUE!</v>
      </c>
      <c r="CH126" s="151" t="n">
        <f aca="false">MIN(ice_elem_cap,TblMili[[#This Row],[Raw (2)]]*ice_elem_bonus)</f>
        <v>0.0357142857142857</v>
      </c>
      <c r="CI126" s="288" t="n">
        <f aca="false">MIN(bone_breaker_cap,250/bone_breaker_bonus)</f>
        <v>0.833333333333333</v>
      </c>
      <c r="CJ126" s="288" t="e">
        <f aca="false">MIN(nox_nightshade_cap,TblConstr[[#This Row],[Homeland]]/TblConstr[[#This Row],[Land]]/nox_nightshade_swamp_bonus)</f>
        <v>#VALUE!</v>
      </c>
      <c r="CK126" s="289"/>
      <c r="CL126" s="289"/>
      <c r="CM126" s="289"/>
      <c r="CN126" s="288" t="e">
        <f aca="false">MIN(6,TblMili[[#This Row],[Mystic]]+Races!$F$19)*1.8 +  IF(TblMili[[#This Row],[Mystic]]+Races!$F$19&gt;6,(TblMili[[#This Row],[Mystic]]+Races!$F$19-6)*0.2,0) - Races!$I$19</f>
        <v>#VALUE!</v>
      </c>
      <c r="CO126" s="288" t="e">
        <f aca="false">1.8 * MIN(MAX(TblMili[[#This Row],[Druid (op)]]+Races!$E$20,TblMili[[#This Row],[Druid (dp)]]+Races!$F$20),6)  +  0.45 * MIN(MIN(TblMili[[#This Row],[Druid (op)]]+Races!$E$20,TblMili[[#This Row],[Druid (dp)]]+Races!$F$20),6)  +  0.2 * ( MAX(TblMili[[#This Row],[Druid (op)]]+Races!$E$20-6,0) + MAX(TblMili[[#This Row],[Druid (dp)]]+Races!$F$20-6,0) )  -  Races!$I$20</f>
        <v>#VALUE!</v>
      </c>
      <c r="CP126" s="69" t="e">
        <f aca="false">TblMili[[#This Row],[Mystic bonus]]*TblMili[[#This Row],[Unit 3]]+TblMili[[#This Row],[Druid bonus]]*TblMili[[#This Row],[Unit 4]]</f>
        <v>#VALUE!</v>
      </c>
      <c r="CQ126" s="148" t="e">
        <f aca="false">MIN(6,TblMili[[#This Row],[Dryad]]+Races!$F$35)*1.8 +  IF(TblMili[[#This Row],[Dryad]]+Races!$F$35&gt;6,(TblMili[[#This Row],[Dryad]]+Races!$F$35-6)*0.2,0) - Races!$I$19</f>
        <v>#VALUE!</v>
      </c>
      <c r="CR126" s="69" t="e">
        <f aca="false">sylvan*(TblMili[[#This Row],[Mystic bonus]]*TblMili[[#This Row],[Unit 3]])</f>
        <v>#VALUE!</v>
      </c>
      <c r="CS126" s="148" t="e">
        <f aca="false">1.8 * MIN(MAX(Races!$E$27,TblMili[[#This Row],[Rockapult]]+Races!$F$27),6)  +  0.45 * MIN(MIN(Races!$E$27,TblMili[[#This Row],[Rockapult]]+Races!$F$27),6)  +  0.2 * ( MAX(Races!$E$27-6,0) + MAX(TblMili[[#This Row],[Rockapult]]+Races!$F$27-6,0) )  -  Races!$I$20</f>
        <v>#VALUE!</v>
      </c>
      <c r="CT126" s="69" t="e">
        <f aca="false">gnome*(TblMili[[#This Row],[Rockapult bonus]]*TblMili[[#This Row],[Unit 3]])</f>
        <v>#VALUE!</v>
      </c>
      <c r="CU126" s="148" t="n">
        <f aca="false">1.8 * MIN(MAX(TblMili[[#This Row],[Spellblade]]+Races!$E$47,TblMili[[#This Row],[Adept-DP]]+Races!$F$47),6)  +  0.45 * MIN(MIN(TblMili[[#This Row],[Spellblade]]+Races!$E$47,TblMili[[#This Row],[Adept-DP]]+Races!$F$47),6)  +  0.2 * ( MAX(TblMili[[#This Row],[Spellblade]]+Races!$E$47-6,0) + MAX(TblMili[[#This Row],[Adept-DP]]+Races!$F$47-6,0) )  -  Races!$I$47</f>
        <v>0</v>
      </c>
      <c r="CV126" s="69" t="n">
        <f aca="false">dark_elf*(TblMili[[#This Row],[Adept bonus]]*TblMili[[#This Row],[Unit 3]])</f>
        <v>0</v>
      </c>
      <c r="CW126" s="148" t="e">
        <f aca="false">1.8 * MIN(MAX(TblMili[[#This Row],[Frost Mage]]+Races!$F$71,Races!$E$71),6)  +  0.45 * MIN(MIN(TblMili[[#This Row],[Frost Mage]]+Races!$F$71,Races!$E$71),6)  +  0.2 * ( MAX(TblMili[[#This Row],[Frost Mage]]+Races!$F$71-6,0) + MAX(Races!$E$71-6,0) )  -  Races!$I$71</f>
        <v>#VALUE!</v>
      </c>
      <c r="CX126" s="148" t="n">
        <f aca="false">1.8 * MIN(MAX(TblMili[[#This Row],[Ice Elemental]]+Races!$E$71,Races!$F$71),6)  +  0.45 * MIN(MIN(TblMili[[#This Row],[Ice Elemental]]+Races!$E$71,Races!$F$71),6)  +  0.2 * ( MAX(TblMili[[#This Row],[Ice Elemental]]+Races!$E$71-6,0) + MAX(Races!$F$71-6,0) )  -  Races!$I$71</f>
        <v>0.064285714285715</v>
      </c>
      <c r="CY126" s="69" t="e">
        <f aca="false">TblMili[[#This Row],[Frost Mage bonus]]*TblMili[[#This Row],[Unit 3]]+TblMili[[#This Row],[Ice Elemental bonus]]*TblMili[[#This Row],[Unit 4]]</f>
        <v>#VALUE!</v>
      </c>
      <c r="CZ126" s="290"/>
      <c r="DA126" s="109" t="n">
        <f aca="false">MIN(SUM(TblConstr[[#This Row],[Plain]:[Water]])/TblMili[[#This Row],[Land]]/favorable_terrain_bonus/100,favorable_terrain_max)</f>
        <v>0</v>
      </c>
      <c r="DB126" s="290"/>
      <c r="DC12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6" s="132"/>
      <c r="DE126" s="291" t="n">
        <f aca="false">(TblMili[[#This Row],[Wizards]]+2*TblMili[[#This Row],[Archmages]])/TblConstr[[#This Row],[Land]]</f>
        <v>0.0357142857142857</v>
      </c>
      <c r="DF126" s="291" t="n">
        <f aca="false">TblMili[[#This Row],[Raw (2)]]*(1+race_wizard_strength+IF(TblMili[[#This Row],[Hour]]&gt;72,tech_magical_weaponry_wiz*TblTech[[#This Row],[3-5]],0))</f>
        <v>0.0357142857142857</v>
      </c>
    </row>
    <row r="127" customFormat="false" ht="12.75" hidden="false" customHeight="false" outlineLevel="0" collapsed="false">
      <c r="A127" s="128" t="n">
        <f aca="false">TblRezone[[#This Row],[Hour]]</f>
        <v>124</v>
      </c>
      <c r="B127" s="282" t="n">
        <f aca="false">SUM(TblMili[[#This Row],[Unit 1]:[Archmages]])+SUM(OFFSET(TblMili[[#This Row],[Train Unit 1]],-8,0):TblMili[[#This Row],[Train Unit 2]]) + SUM(OFFSET(TblMili[[#This Row],[Train Unit 3]],-11,0):TblMili[[#This Row],[Train AM]]) + TblMili[[#This Row],[Draftees]]</f>
        <v>6941</v>
      </c>
      <c r="C127" s="150" t="n">
        <f aca="false">TblPop[[#This Row],[Military%]]</f>
        <v>0.53644021949146</v>
      </c>
      <c r="D127" s="132"/>
      <c r="E127" s="151" t="n">
        <f aca="false">OFFSET(TblMili[[#This Row],[Unit 1]],-1,0) + OFFSET(TblMili[[#This Row],[Train Unit 1]],-9,0) - TblMili[[#This Row],[Release Unit 1]]</f>
        <v>0</v>
      </c>
      <c r="F127" s="151" t="n">
        <f aca="false">OFFSET(TblMili[[#This Row],[Unit 2]],-1,0) + OFFSET(TblMili[[#This Row],[Train Unit 2]],-9,0)-TblMili[[#This Row],[Release Unit 2]]</f>
        <v>1246</v>
      </c>
      <c r="G127" s="151" t="n">
        <f aca="false">OFFSET(TblMili[[#This Row],[Unit 3]],-1,0) + OFFSET(TblMili[[#This Row],[Train Unit 3]],-12,0)-TblMili[[#This Row],[Release Unit 3]]</f>
        <v>700</v>
      </c>
      <c r="H127" s="151" t="n">
        <f aca="false">OFFSET(TblMili[[#This Row],[Unit 4]],-1,0) + OFFSET(TblMili[[#This Row],[Train Unit 4]],-12,0)-TblMili[[#This Row],[Release Unit 4]]</f>
        <v>1228</v>
      </c>
      <c r="I127" s="151" t="n">
        <f aca="false">OFFSET(TblMili[[#This Row],[Spies]],-1,0) + OFFSET(TblMili[[#This Row],[Train Spies]],-12,0) - TblMili[[#This Row],[Release Spies]]-TblMili[[#This Row],[Train AS]]</f>
        <v>25</v>
      </c>
      <c r="J127" s="151" t="n">
        <f aca="false">OFFSET(TblMili[[#This Row],[Archspies]],-1,0) + OFFSET(TblMili[[#This Row],[Train AS]],-12,0) - TblMili[[#This Row],[Release AS]]</f>
        <v>0</v>
      </c>
      <c r="K127" s="151" t="n">
        <f aca="false">OFFSET(TblMili[[#This Row],[Wizards]],-1,0) + OFFSET(TblMili[[#This Row],[Train Wiz]],-12,0) - TblMili[[#This Row],[Release Wizards]]-TblMili[[#This Row],[Train AM]]</f>
        <v>25</v>
      </c>
      <c r="L127" s="151" t="n">
        <f aca="false">OFFSET(TblMili[[#This Row],[Archmages]],-1,0) + OFFSET(TblMili[[#This Row],[Train AM]],-12,0) - TblMili[[#This Row],[Release AM]]</f>
        <v>0</v>
      </c>
      <c r="M127" s="132"/>
      <c r="N127" s="69" t="e">
        <f aca="false">TblProd[[#This Row],[Networth]]</f>
        <v>#VALUE!</v>
      </c>
      <c r="O127" s="132"/>
      <c r="P12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7" s="285" t="e">
        <f aca="false">TblMili[[#This Row],[Raw]]*(1+TblMili[[#This Row],[Mods_Off]])</f>
        <v>#VALUE!</v>
      </c>
      <c r="S12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7" s="285" t="e">
        <f aca="false">TblMili[[#This Row],[Non Draft]]+TblMili[[#This Row],[Draftees]]</f>
        <v>#VALUE!</v>
      </c>
      <c r="U127" s="286" t="n">
        <f aca="false">race_defense + TblImps[[#This Row],[Walls]] + ROUND( MIN(gt_bonus*TblConstr[[#This Row],[Tot GT]]/TblConstr[[#This Row],[Land]],gt_bonus_cap), 4) + IF(TblMagic[[#This Row],[Active Howling]]&gt;0,howling_dp_bonus,IF(TblMagic[[#This Row],[Active Ares Call]]&gt;0,ares_call_bonus))</f>
        <v>0.1375</v>
      </c>
      <c r="V127" s="274" t="e">
        <f aca="false">TblMili[[#This Row],[Non Draft]] * (1 + TblMili[[#This Row],[Mods_Def]])</f>
        <v>#VALUE!</v>
      </c>
      <c r="W127" s="285" t="e">
        <f aca="false">TblMili[[#This Row],[Draft]] * (1 + TblMili[[#This Row],[Mods_Def]])</f>
        <v>#VALUE!</v>
      </c>
      <c r="X127" s="285" t="n">
        <f aca="false">TblConstr[[#This Row],[Land]]</f>
        <v>700</v>
      </c>
      <c r="Y127" s="287"/>
      <c r="Z127" s="109" t="n">
        <f aca="false">IF(TblMili[[#This Row],[Set]]&lt;&gt;"",TblMili[[#This Row],[Set]],OFFSET(TblMili[[#This Row],[Draftrate]],-1,0))</f>
        <v>0.9</v>
      </c>
      <c r="AA127" s="69" t="n">
        <f aca="false">OFFSET(TblMili[[#This Row],[Draftees]],-1,0)+OFFSET(TblPop[[#This Row],[Draft Growth]],-1,0) - SUM(TblMili[[#This Row],[Train Unit 1]:[Train Spies]],TblMili[[#This Row],[Train Wiz]]) - TblMili[[#This Row],[Release Draft]] + SUM(TblMili[[#This Row],[Release Unit 1]:[Release AM]]) - TblExplore[[#This Row],[Draftees (2)]]</f>
        <v>3717</v>
      </c>
      <c r="AB127" s="146"/>
      <c r="AC127" s="130" t="n">
        <f aca="false">(TblConstr[[#This Row],[Tot Smi]]+TblConstr[[#This Row],[Dest Smi]])/(TblConstr[[#This Row],[Land]]-TblExplore[[#This Row],[Land Bonus]]*20)</f>
        <v>0.18</v>
      </c>
      <c r="AD127" s="128"/>
      <c r="AE127" s="282" t="n">
        <f aca="false">TblMili[[#This Row],[Hour]]</f>
        <v>124</v>
      </c>
      <c r="AF127" s="129" t="n">
        <f aca="false">TblExplore[[#This Row],[Time]]</f>
        <v>45434.875</v>
      </c>
      <c r="AG127" s="182"/>
      <c r="AH127" s="182"/>
      <c r="AI127" s="182"/>
      <c r="AJ127" s="182"/>
      <c r="AK127" s="182"/>
      <c r="AL127" s="182"/>
      <c r="AM127" s="182"/>
      <c r="AN127" s="182"/>
      <c r="AO127" s="132"/>
      <c r="AP127" s="69" t="n">
        <f aca="false">TblProd[[#This Row],[Platinum]]</f>
        <v>1949974</v>
      </c>
      <c r="AQ127" s="69" t="n">
        <f aca="false">INDEX(TblProd[[#Headers],[Lumber]]:TblProd[[#This Row],[Ore]],COUNTA(TblProd[[#Headers],[Lumber]]:TblProd[[#This Row],[Lumber]]),MATCH(Military!$AQ$2,TblProd[[#Headers],[Lumber]:[Ore]],0))</f>
        <v>0</v>
      </c>
      <c r="AR12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69" t="n">
        <f aca="false">TblMili[[#This Row],[Train Unit 1]]*TblMili[[#This Row],[OP Ore]]+TblMili[[#This Row],[Train Unit 2]]*TblMili[[#This Row],[DP Ore]]+TblMili[[#This Row],[Train Unit 3]]*TblMili[[#This Row],[E1 Ore]]+TblMili[[#This Row],[Train Unit 4]]*TblMili[[#This Row],[E2 Ore]]</f>
        <v>0</v>
      </c>
      <c r="AT127" s="132" t="n">
        <f aca="false">TblMili[[#This Row],[Hour]]</f>
        <v>124</v>
      </c>
      <c r="AU127" s="144" t="n">
        <f aca="false">TblMili[[#This Row],[Time]]</f>
        <v>45434.875</v>
      </c>
      <c r="AV127" s="69" t="n">
        <f aca="false">TblMili[[#This Row],[Draftees]]</f>
        <v>3717</v>
      </c>
      <c r="AW127" s="182"/>
      <c r="AX127" s="182"/>
      <c r="AY127" s="182"/>
      <c r="AZ127" s="182"/>
      <c r="BA127" s="182"/>
      <c r="BB127" s="182"/>
      <c r="BC127" s="182"/>
      <c r="BD127" s="182"/>
      <c r="BE127" s="182"/>
      <c r="BF127" s="132"/>
      <c r="BG127" s="150" t="n">
        <f aca="false">TblConstr[[#This Row],[Tot WG]]/TblConstr[[#This Row],[Land]]</f>
        <v>0</v>
      </c>
      <c r="BH127" s="150" t="n">
        <f aca="false">TblConstr[[#This Row],[Tot Hav]]/TblConstr[[#This Row],[Land]]</f>
        <v>0</v>
      </c>
      <c r="BI127" s="69" t="n">
        <f aca="false">ROUNDUP((1-MIN(TblMili[[#This Row],[Smithies]]*smithy_bonus,smithy_bonus_cap) + tech_3_5*TblTech[[#This Row],[3-5]] + tech_5_3*TblTech[[#This Row],[5-3]] + tech_5_5*TblTech[[#This Row],[5-5]])*spec_op_plat,0)</f>
        <v>192</v>
      </c>
      <c r="BJ127" s="69" t="n">
        <f aca="false">ROUNDUP(IF(race="Gnome",1,(1-MIN(TblMili[[#This Row],[Smithies]]*smithy_bonus,smithy_bonus_cap) + tech_3_5*TblTech[[#This Row],[3-5]] + tech_5_3*TblTech[[#This Row],[5-3]] + tech_5_5*TblTech[[#This Row],[5-5]]))*spec_op_ore,0)</f>
        <v>0</v>
      </c>
      <c r="BK127" s="69" t="n">
        <f aca="false">ROUNDUP((1-MIN(TblMili[[#This Row],[Smithies]]*smithy_bonus,smithy_bonus_cap) + tech_3_5*TblTech[[#This Row],[3-5]] + tech_5_3*TblTech[[#This Row],[5-3]] + tech_5_5*TblTech[[#This Row],[5-5]])*spec_dp_plat,0)</f>
        <v>192</v>
      </c>
      <c r="BL127" s="69" t="n">
        <f aca="false">ROUNDUP(IF(race="Gnome",1,(1-MIN(TblMili[[#This Row],[Smithies]]*smithy_bonus,smithy_bonus_cap) + tech_3_5*TblTech[[#This Row],[3-5]] + tech_5_3*TblTech[[#This Row],[5-3]] + tech_5_5*TblTech[[#This Row],[5-5]]))*spec_dp_ore,0)</f>
        <v>0</v>
      </c>
      <c r="BM127" s="69" t="n">
        <f aca="false">ROUNDUP((1-MIN(TblMili[[#This Row],[Smithies]]*smithy_bonus,smithy_bonus_cap) + tech_3_5*TblTech[[#This Row],[3-5]] + tech_5_3*TblTech[[#This Row],[5-3]] + tech_5_5*TblTech[[#This Row],[5-5]])*elite1_plat,0)</f>
        <v>592</v>
      </c>
      <c r="BN127" s="69" t="n">
        <f aca="false">ROUNDUP(IF(race="Gnome",1,(1-MIN(TblMili[[#This Row],[Smithies]]*smithy_bonus,smithy_bonus_cap) + tech_3_5*TblTech[[#This Row],[3-5]] + tech_5_3*TblTech[[#This Row],[5-3]] + tech_5_5*TblTech[[#This Row],[5-5]]))*elite1_ore,0)</f>
        <v>0</v>
      </c>
      <c r="BO127" s="69" t="n">
        <f aca="false">ROUNDUP((1-MIN(TblMili[[#This Row],[Smithies]]*smithy_bonus,smithy_bonus_cap) + tech_3_5*TblTech[[#This Row],[3-5]] + tech_5_3*TblTech[[#This Row],[5-3]] + tech_5_5*TblTech[[#This Row],[5-5]])*elite2_plat,0)</f>
        <v>608</v>
      </c>
      <c r="BP127" s="69" t="n">
        <f aca="false">ROUNDUP(IF(race="Gnome",1,(1-MIN(TblMili[[#This Row],[Smithies]]*smithy_bonus,smithy_bonus_cap) + tech_3_5*TblTech[[#This Row],[3-5]] + tech_5_3*TblTech[[#This Row],[5-3]] + tech_5_5*TblTech[[#This Row],[5-5]]))*elite2_ore,0)</f>
        <v>0</v>
      </c>
      <c r="BQ127" s="69" t="n">
        <f aca="false">ROUNDUP((1-MIN(ROUND(fh_spy_cost_red*TblMili[[#This Row],[FH''s]],4),fh_spy_cost_cap)+ tech_1_9*TblTech[[#This Row],[1-9]] + tech_9_1*TblTech[[#This Row],[9-1]])*spy_plat,0)</f>
        <v>500</v>
      </c>
      <c r="BR127" s="69" t="n">
        <f aca="false">ROUNDUP((1-MIN(ROUND(fh_spy_cost_red*TblMili[[#This Row],[FH''s]],4),fh_spy_cost_cap)+ tech_1_9*TblTech[[#This Row],[1-9]] + tech_9_1*TblTech[[#This Row],[9-1]])*archspy_plat,0)</f>
        <v>1000</v>
      </c>
      <c r="BS127" s="69" t="n">
        <f aca="false">ROUNDUP((1-MIN(ROUND(wg_wiz_cost_bonus*TblMili[[#This Row],[WG''s]],4),wg_wiz_cost_cap) + tech_1_9_2*TblTech[[#This Row],[1-9]] + tech_9_1_2*TblTech[[#This Row],[9-1]])*wizard_plat,0)</f>
        <v>500</v>
      </c>
      <c r="BT127" s="69" t="n">
        <f aca="false">ROUNDUP((1-MIN(ROUND(wg_wiz_cost_bonus*TblMili[[#This Row],[WG''s]],4),wg_wiz_cost_cap) + tech_1_9_2*TblTech[[#This Row],[1-9]] + tech_9_1_2*TblTech[[#This Row],[9-1]])*archmage_plat,0)</f>
        <v>1000</v>
      </c>
      <c r="BU127" s="132"/>
      <c r="BV127" s="150" t="e">
        <f aca="false">TblConstr[[#This Row],[Homeland]]/TblConstr[[#This Row],[Land]]</f>
        <v>#VALUE!</v>
      </c>
      <c r="BW127" s="150" t="n">
        <f aca="false">TblMili[[#This Row],[WG''s]]</f>
        <v>0</v>
      </c>
      <c r="BX127" s="288" t="e">
        <f aca="false">IF(mystic_cap="none",TblMili[[#This Row],[Hill]]/mystic_bonus,MIN(mystic_cap,TblMili[[#This Row],[Hill]]/mystic_bonus))</f>
        <v>#VALUE!</v>
      </c>
      <c r="BY127" s="288" t="e">
        <f aca="false">IF(druid_op_cap="none",TblMili[[#This Row],[Hill]]/druid_op_bonus,MIN(druid_op_cap,TblMili[[#This Row],[Hill]]/druid_op_bonus))</f>
        <v>#VALUE!</v>
      </c>
      <c r="BZ127" s="288" t="e">
        <f aca="false">IF(druid_dp_cap="none",TblMili[[#This Row],[Hill]]/druid_dp_bonus,MIN(druid_dp_cap,TblMili[[#This Row],[Hill]]/druid_dp_bonus))</f>
        <v>#VALUE!</v>
      </c>
      <c r="CA127" s="288" t="e">
        <f aca="false">MIN(dryad_cap,TblMili[[#This Row],[Hill]]/dryad_bonus)</f>
        <v>#VALUE!</v>
      </c>
      <c r="CB127" s="288" t="e">
        <f aca="false">MIN(rocka_cap,TblMili[[#This Row],[Hill]]/rocka_bonus)</f>
        <v>#VALUE!</v>
      </c>
      <c r="CC127" s="288" t="n">
        <f aca="false">MIN(adept_op_cap,TblMili[[#This Row],[WG]]/adept_op_bonus)</f>
        <v>0</v>
      </c>
      <c r="CD127" s="288" t="n">
        <f aca="false">MIN(adept_dp_cap,TblMili[[#This Row],[WG]]/adept_dp_bonus)</f>
        <v>0</v>
      </c>
      <c r="CE127" s="69" t="n">
        <f aca="false">MIN(TblMili[[#This Row],[Unit 3]],TblMili[[#This Row],[Unit 2]])*2</f>
        <v>1400</v>
      </c>
      <c r="CF127" s="69" t="n">
        <f aca="false">MIN(TblMili[[#This Row],[Unit 1]],TblMili[[#This Row],[Unit 4]])*2</f>
        <v>0</v>
      </c>
      <c r="CG127" s="288" t="e">
        <f aca="false">MIN(frost_mage_cap,TblMili[[#This Row],[Hill]]/frost_mage_bonus)</f>
        <v>#VALUE!</v>
      </c>
      <c r="CH127" s="151" t="n">
        <f aca="false">MIN(ice_elem_cap,TblMili[[#This Row],[Raw (2)]]*ice_elem_bonus)</f>
        <v>0.0357142857142857</v>
      </c>
      <c r="CI127" s="288" t="n">
        <f aca="false">MIN(bone_breaker_cap,250/bone_breaker_bonus)</f>
        <v>0.833333333333333</v>
      </c>
      <c r="CJ127" s="288" t="e">
        <f aca="false">MIN(nox_nightshade_cap,TblConstr[[#This Row],[Homeland]]/TblConstr[[#This Row],[Land]]/nox_nightshade_swamp_bonus)</f>
        <v>#VALUE!</v>
      </c>
      <c r="CK127" s="289"/>
      <c r="CL127" s="289"/>
      <c r="CM127" s="289"/>
      <c r="CN127" s="288" t="e">
        <f aca="false">MIN(6,TblMili[[#This Row],[Mystic]]+Races!$F$19)*1.8 +  IF(TblMili[[#This Row],[Mystic]]+Races!$F$19&gt;6,(TblMili[[#This Row],[Mystic]]+Races!$F$19-6)*0.2,0) - Races!$I$19</f>
        <v>#VALUE!</v>
      </c>
      <c r="CO127" s="288" t="e">
        <f aca="false">1.8 * MIN(MAX(TblMili[[#This Row],[Druid (op)]]+Races!$E$20,TblMili[[#This Row],[Druid (dp)]]+Races!$F$20),6)  +  0.45 * MIN(MIN(TblMili[[#This Row],[Druid (op)]]+Races!$E$20,TblMili[[#This Row],[Druid (dp)]]+Races!$F$20),6)  +  0.2 * ( MAX(TblMili[[#This Row],[Druid (op)]]+Races!$E$20-6,0) + MAX(TblMili[[#This Row],[Druid (dp)]]+Races!$F$20-6,0) )  -  Races!$I$20</f>
        <v>#VALUE!</v>
      </c>
      <c r="CP127" s="69" t="e">
        <f aca="false">TblMili[[#This Row],[Mystic bonus]]*TblMili[[#This Row],[Unit 3]]+TblMili[[#This Row],[Druid bonus]]*TblMili[[#This Row],[Unit 4]]</f>
        <v>#VALUE!</v>
      </c>
      <c r="CQ127" s="148" t="e">
        <f aca="false">MIN(6,TblMili[[#This Row],[Dryad]]+Races!$F$35)*1.8 +  IF(TblMili[[#This Row],[Dryad]]+Races!$F$35&gt;6,(TblMili[[#This Row],[Dryad]]+Races!$F$35-6)*0.2,0) - Races!$I$19</f>
        <v>#VALUE!</v>
      </c>
      <c r="CR127" s="69" t="e">
        <f aca="false">sylvan*(TblMili[[#This Row],[Mystic bonus]]*TblMili[[#This Row],[Unit 3]])</f>
        <v>#VALUE!</v>
      </c>
      <c r="CS127" s="148" t="e">
        <f aca="false">1.8 * MIN(MAX(Races!$E$27,TblMili[[#This Row],[Rockapult]]+Races!$F$27),6)  +  0.45 * MIN(MIN(Races!$E$27,TblMili[[#This Row],[Rockapult]]+Races!$F$27),6)  +  0.2 * ( MAX(Races!$E$27-6,0) + MAX(TblMili[[#This Row],[Rockapult]]+Races!$F$27-6,0) )  -  Races!$I$20</f>
        <v>#VALUE!</v>
      </c>
      <c r="CT127" s="69" t="e">
        <f aca="false">gnome*(TblMili[[#This Row],[Rockapult bonus]]*TblMili[[#This Row],[Unit 3]])</f>
        <v>#VALUE!</v>
      </c>
      <c r="CU127" s="148" t="n">
        <f aca="false">1.8 * MIN(MAX(TblMili[[#This Row],[Spellblade]]+Races!$E$47,TblMili[[#This Row],[Adept-DP]]+Races!$F$47),6)  +  0.45 * MIN(MIN(TblMili[[#This Row],[Spellblade]]+Races!$E$47,TblMili[[#This Row],[Adept-DP]]+Races!$F$47),6)  +  0.2 * ( MAX(TblMili[[#This Row],[Spellblade]]+Races!$E$47-6,0) + MAX(TblMili[[#This Row],[Adept-DP]]+Races!$F$47-6,0) )  -  Races!$I$47</f>
        <v>0</v>
      </c>
      <c r="CV127" s="69" t="n">
        <f aca="false">dark_elf*(TblMili[[#This Row],[Adept bonus]]*TblMili[[#This Row],[Unit 3]])</f>
        <v>0</v>
      </c>
      <c r="CW127" s="148" t="e">
        <f aca="false">1.8 * MIN(MAX(TblMili[[#This Row],[Frost Mage]]+Races!$F$71,Races!$E$71),6)  +  0.45 * MIN(MIN(TblMili[[#This Row],[Frost Mage]]+Races!$F$71,Races!$E$71),6)  +  0.2 * ( MAX(TblMili[[#This Row],[Frost Mage]]+Races!$F$71-6,0) + MAX(Races!$E$71-6,0) )  -  Races!$I$71</f>
        <v>#VALUE!</v>
      </c>
      <c r="CX127" s="148" t="n">
        <f aca="false">1.8 * MIN(MAX(TblMili[[#This Row],[Ice Elemental]]+Races!$E$71,Races!$F$71),6)  +  0.45 * MIN(MIN(TblMili[[#This Row],[Ice Elemental]]+Races!$E$71,Races!$F$71),6)  +  0.2 * ( MAX(TblMili[[#This Row],[Ice Elemental]]+Races!$E$71-6,0) + MAX(Races!$F$71-6,0) )  -  Races!$I$71</f>
        <v>0.064285714285715</v>
      </c>
      <c r="CY127" s="69" t="e">
        <f aca="false">TblMili[[#This Row],[Frost Mage bonus]]*TblMili[[#This Row],[Unit 3]]+TblMili[[#This Row],[Ice Elemental bonus]]*TblMili[[#This Row],[Unit 4]]</f>
        <v>#VALUE!</v>
      </c>
      <c r="CZ127" s="290"/>
      <c r="DA127" s="109" t="n">
        <f aca="false">MIN(SUM(TblConstr[[#This Row],[Plain]:[Water]])/TblMili[[#This Row],[Land]]/favorable_terrain_bonus/100,favorable_terrain_max)</f>
        <v>0</v>
      </c>
      <c r="DB127" s="290"/>
      <c r="DC12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7" s="132"/>
      <c r="DE127" s="291" t="n">
        <f aca="false">(TblMili[[#This Row],[Wizards]]+2*TblMili[[#This Row],[Archmages]])/TblConstr[[#This Row],[Land]]</f>
        <v>0.0357142857142857</v>
      </c>
      <c r="DF127" s="291" t="n">
        <f aca="false">TblMili[[#This Row],[Raw (2)]]*(1+race_wizard_strength+IF(TblMili[[#This Row],[Hour]]&gt;72,tech_magical_weaponry_wiz*TblTech[[#This Row],[3-5]],0))</f>
        <v>0.0357142857142857</v>
      </c>
    </row>
    <row r="128" customFormat="false" ht="12.75" hidden="false" customHeight="false" outlineLevel="0" collapsed="false">
      <c r="A128" s="128" t="n">
        <f aca="false">TblRezone[[#This Row],[Hour]]</f>
        <v>125</v>
      </c>
      <c r="B128" s="282" t="n">
        <f aca="false">SUM(TblMili[[#This Row],[Unit 1]:[Archmages]])+SUM(OFFSET(TblMili[[#This Row],[Train Unit 1]],-8,0):TblMili[[#This Row],[Train Unit 2]]) + SUM(OFFSET(TblMili[[#This Row],[Train Unit 3]],-11,0):TblMili[[#This Row],[Train AM]]) + TblMili[[#This Row],[Draftees]]</f>
        <v>7001</v>
      </c>
      <c r="C128" s="150" t="n">
        <f aca="false">TblPop[[#This Row],[Military%]]</f>
        <v>0.541077363011052</v>
      </c>
      <c r="D128" s="132"/>
      <c r="E128" s="151" t="n">
        <f aca="false">OFFSET(TblMili[[#This Row],[Unit 1]],-1,0) + OFFSET(TblMili[[#This Row],[Train Unit 1]],-9,0) - TblMili[[#This Row],[Release Unit 1]]</f>
        <v>0</v>
      </c>
      <c r="F128" s="151" t="n">
        <f aca="false">OFFSET(TblMili[[#This Row],[Unit 2]],-1,0) + OFFSET(TblMili[[#This Row],[Train Unit 2]],-9,0)-TblMili[[#This Row],[Release Unit 2]]</f>
        <v>1246</v>
      </c>
      <c r="G128" s="151" t="n">
        <f aca="false">OFFSET(TblMili[[#This Row],[Unit 3]],-1,0) + OFFSET(TblMili[[#This Row],[Train Unit 3]],-12,0)-TblMili[[#This Row],[Release Unit 3]]</f>
        <v>700</v>
      </c>
      <c r="H128" s="151" t="n">
        <f aca="false">OFFSET(TblMili[[#This Row],[Unit 4]],-1,0) + OFFSET(TblMili[[#This Row],[Train Unit 4]],-12,0)-TblMili[[#This Row],[Release Unit 4]]</f>
        <v>1228</v>
      </c>
      <c r="I128" s="151" t="n">
        <f aca="false">OFFSET(TblMili[[#This Row],[Spies]],-1,0) + OFFSET(TblMili[[#This Row],[Train Spies]],-12,0) - TblMili[[#This Row],[Release Spies]]-TblMili[[#This Row],[Train AS]]</f>
        <v>25</v>
      </c>
      <c r="J128" s="151" t="n">
        <f aca="false">OFFSET(TblMili[[#This Row],[Archspies]],-1,0) + OFFSET(TblMili[[#This Row],[Train AS]],-12,0) - TblMili[[#This Row],[Release AS]]</f>
        <v>0</v>
      </c>
      <c r="K128" s="151" t="n">
        <f aca="false">OFFSET(TblMili[[#This Row],[Wizards]],-1,0) + OFFSET(TblMili[[#This Row],[Train Wiz]],-12,0) - TblMili[[#This Row],[Release Wizards]]-TblMili[[#This Row],[Train AM]]</f>
        <v>25</v>
      </c>
      <c r="L128" s="151" t="n">
        <f aca="false">OFFSET(TblMili[[#This Row],[Archmages]],-1,0) + OFFSET(TblMili[[#This Row],[Train AM]],-12,0) - TblMili[[#This Row],[Release AM]]</f>
        <v>0</v>
      </c>
      <c r="M128" s="132"/>
      <c r="N128" s="69" t="e">
        <f aca="false">TblProd[[#This Row],[Networth]]</f>
        <v>#VALUE!</v>
      </c>
      <c r="O128" s="132"/>
      <c r="P12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8" s="285" t="e">
        <f aca="false">TblMili[[#This Row],[Raw]]*(1+TblMili[[#This Row],[Mods_Off]])</f>
        <v>#VALUE!</v>
      </c>
      <c r="S12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8" s="285" t="e">
        <f aca="false">TblMili[[#This Row],[Non Draft]]+TblMili[[#This Row],[Draftees]]</f>
        <v>#VALUE!</v>
      </c>
      <c r="U128" s="286" t="n">
        <f aca="false">race_defense + TblImps[[#This Row],[Walls]] + ROUND( MIN(gt_bonus*TblConstr[[#This Row],[Tot GT]]/TblConstr[[#This Row],[Land]],gt_bonus_cap), 4) + IF(TblMagic[[#This Row],[Active Howling]]&gt;0,howling_dp_bonus,IF(TblMagic[[#This Row],[Active Ares Call]]&gt;0,ares_call_bonus))</f>
        <v>0.1375</v>
      </c>
      <c r="V128" s="274" t="e">
        <f aca="false">TblMili[[#This Row],[Non Draft]] * (1 + TblMili[[#This Row],[Mods_Def]])</f>
        <v>#VALUE!</v>
      </c>
      <c r="W128" s="285" t="e">
        <f aca="false">TblMili[[#This Row],[Draft]] * (1 + TblMili[[#This Row],[Mods_Def]])</f>
        <v>#VALUE!</v>
      </c>
      <c r="X128" s="285" t="n">
        <f aca="false">TblConstr[[#This Row],[Land]]</f>
        <v>700</v>
      </c>
      <c r="Y128" s="287"/>
      <c r="Z128" s="109" t="n">
        <f aca="false">IF(TblMili[[#This Row],[Set]]&lt;&gt;"",TblMili[[#This Row],[Set]],OFFSET(TblMili[[#This Row],[Draftrate]],-1,0))</f>
        <v>0.9</v>
      </c>
      <c r="AA128" s="69" t="n">
        <f aca="false">OFFSET(TblMili[[#This Row],[Draftees]],-1,0)+OFFSET(TblPop[[#This Row],[Draft Growth]],-1,0) - SUM(TblMili[[#This Row],[Train Unit 1]:[Train Spies]],TblMili[[#This Row],[Train Wiz]]) - TblMili[[#This Row],[Release Draft]] + SUM(TblMili[[#This Row],[Release Unit 1]:[Release AM]]) - TblExplore[[#This Row],[Draftees (2)]]</f>
        <v>3777</v>
      </c>
      <c r="AB128" s="146"/>
      <c r="AC128" s="130" t="n">
        <f aca="false">(TblConstr[[#This Row],[Tot Smi]]+TblConstr[[#This Row],[Dest Smi]])/(TblConstr[[#This Row],[Land]]-TblExplore[[#This Row],[Land Bonus]]*20)</f>
        <v>0.18</v>
      </c>
      <c r="AD128" s="128"/>
      <c r="AE128" s="282" t="n">
        <f aca="false">TblMili[[#This Row],[Hour]]</f>
        <v>125</v>
      </c>
      <c r="AF128" s="129" t="n">
        <f aca="false">TblExplore[[#This Row],[Time]]</f>
        <v>45434.9166666667</v>
      </c>
      <c r="AG128" s="182"/>
      <c r="AH128" s="182"/>
      <c r="AI128" s="182"/>
      <c r="AJ128" s="182"/>
      <c r="AK128" s="182"/>
      <c r="AL128" s="182"/>
      <c r="AM128" s="182"/>
      <c r="AN128" s="182"/>
      <c r="AO128" s="132"/>
      <c r="AP128" s="69" t="n">
        <f aca="false">TblProd[[#This Row],[Platinum]]</f>
        <v>1978543</v>
      </c>
      <c r="AQ128" s="69" t="n">
        <f aca="false">INDEX(TblProd[[#Headers],[Lumber]]:TblProd[[#This Row],[Ore]],COUNTA(TblProd[[#Headers],[Lumber]]:TblProd[[#This Row],[Lumber]]),MATCH(Military!$AQ$2,TblProd[[#Headers],[Lumber]:[Ore]],0))</f>
        <v>0</v>
      </c>
      <c r="AR12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69" t="n">
        <f aca="false">TblMili[[#This Row],[Train Unit 1]]*TblMili[[#This Row],[OP Ore]]+TblMili[[#This Row],[Train Unit 2]]*TblMili[[#This Row],[DP Ore]]+TblMili[[#This Row],[Train Unit 3]]*TblMili[[#This Row],[E1 Ore]]+TblMili[[#This Row],[Train Unit 4]]*TblMili[[#This Row],[E2 Ore]]</f>
        <v>0</v>
      </c>
      <c r="AT128" s="132" t="n">
        <f aca="false">TblMili[[#This Row],[Hour]]</f>
        <v>125</v>
      </c>
      <c r="AU128" s="144" t="n">
        <f aca="false">TblMili[[#This Row],[Time]]</f>
        <v>45434.9166666667</v>
      </c>
      <c r="AV128" s="69" t="n">
        <f aca="false">TblMili[[#This Row],[Draftees]]</f>
        <v>3777</v>
      </c>
      <c r="AW128" s="182"/>
      <c r="AX128" s="182"/>
      <c r="AY128" s="182"/>
      <c r="AZ128" s="182"/>
      <c r="BA128" s="182"/>
      <c r="BB128" s="182"/>
      <c r="BC128" s="182"/>
      <c r="BD128" s="182"/>
      <c r="BE128" s="182"/>
      <c r="BF128" s="132"/>
      <c r="BG128" s="150" t="n">
        <f aca="false">TblConstr[[#This Row],[Tot WG]]/TblConstr[[#This Row],[Land]]</f>
        <v>0</v>
      </c>
      <c r="BH128" s="150" t="n">
        <f aca="false">TblConstr[[#This Row],[Tot Hav]]/TblConstr[[#This Row],[Land]]</f>
        <v>0</v>
      </c>
      <c r="BI128" s="69" t="n">
        <f aca="false">ROUNDUP((1-MIN(TblMili[[#This Row],[Smithies]]*smithy_bonus,smithy_bonus_cap) + tech_3_5*TblTech[[#This Row],[3-5]] + tech_5_3*TblTech[[#This Row],[5-3]] + tech_5_5*TblTech[[#This Row],[5-5]])*spec_op_plat,0)</f>
        <v>192</v>
      </c>
      <c r="BJ128" s="69" t="n">
        <f aca="false">ROUNDUP(IF(race="Gnome",1,(1-MIN(TblMili[[#This Row],[Smithies]]*smithy_bonus,smithy_bonus_cap) + tech_3_5*TblTech[[#This Row],[3-5]] + tech_5_3*TblTech[[#This Row],[5-3]] + tech_5_5*TblTech[[#This Row],[5-5]]))*spec_op_ore,0)</f>
        <v>0</v>
      </c>
      <c r="BK128" s="69" t="n">
        <f aca="false">ROUNDUP((1-MIN(TblMili[[#This Row],[Smithies]]*smithy_bonus,smithy_bonus_cap) + tech_3_5*TblTech[[#This Row],[3-5]] + tech_5_3*TblTech[[#This Row],[5-3]] + tech_5_5*TblTech[[#This Row],[5-5]])*spec_dp_plat,0)</f>
        <v>192</v>
      </c>
      <c r="BL128" s="69" t="n">
        <f aca="false">ROUNDUP(IF(race="Gnome",1,(1-MIN(TblMili[[#This Row],[Smithies]]*smithy_bonus,smithy_bonus_cap) + tech_3_5*TblTech[[#This Row],[3-5]] + tech_5_3*TblTech[[#This Row],[5-3]] + tech_5_5*TblTech[[#This Row],[5-5]]))*spec_dp_ore,0)</f>
        <v>0</v>
      </c>
      <c r="BM128" s="69" t="n">
        <f aca="false">ROUNDUP((1-MIN(TblMili[[#This Row],[Smithies]]*smithy_bonus,smithy_bonus_cap) + tech_3_5*TblTech[[#This Row],[3-5]] + tech_5_3*TblTech[[#This Row],[5-3]] + tech_5_5*TblTech[[#This Row],[5-5]])*elite1_plat,0)</f>
        <v>592</v>
      </c>
      <c r="BN128" s="69" t="n">
        <f aca="false">ROUNDUP(IF(race="Gnome",1,(1-MIN(TblMili[[#This Row],[Smithies]]*smithy_bonus,smithy_bonus_cap) + tech_3_5*TblTech[[#This Row],[3-5]] + tech_5_3*TblTech[[#This Row],[5-3]] + tech_5_5*TblTech[[#This Row],[5-5]]))*elite1_ore,0)</f>
        <v>0</v>
      </c>
      <c r="BO128" s="69" t="n">
        <f aca="false">ROUNDUP((1-MIN(TblMili[[#This Row],[Smithies]]*smithy_bonus,smithy_bonus_cap) + tech_3_5*TblTech[[#This Row],[3-5]] + tech_5_3*TblTech[[#This Row],[5-3]] + tech_5_5*TblTech[[#This Row],[5-5]])*elite2_plat,0)</f>
        <v>608</v>
      </c>
      <c r="BP128" s="69" t="n">
        <f aca="false">ROUNDUP(IF(race="Gnome",1,(1-MIN(TblMili[[#This Row],[Smithies]]*smithy_bonus,smithy_bonus_cap) + tech_3_5*TblTech[[#This Row],[3-5]] + tech_5_3*TblTech[[#This Row],[5-3]] + tech_5_5*TblTech[[#This Row],[5-5]]))*elite2_ore,0)</f>
        <v>0</v>
      </c>
      <c r="BQ128" s="69" t="n">
        <f aca="false">ROUNDUP((1-MIN(ROUND(fh_spy_cost_red*TblMili[[#This Row],[FH''s]],4),fh_spy_cost_cap)+ tech_1_9*TblTech[[#This Row],[1-9]] + tech_9_1*TblTech[[#This Row],[9-1]])*spy_plat,0)</f>
        <v>500</v>
      </c>
      <c r="BR128" s="69" t="n">
        <f aca="false">ROUNDUP((1-MIN(ROUND(fh_spy_cost_red*TblMili[[#This Row],[FH''s]],4),fh_spy_cost_cap)+ tech_1_9*TblTech[[#This Row],[1-9]] + tech_9_1*TblTech[[#This Row],[9-1]])*archspy_plat,0)</f>
        <v>1000</v>
      </c>
      <c r="BS128" s="69" t="n">
        <f aca="false">ROUNDUP((1-MIN(ROUND(wg_wiz_cost_bonus*TblMili[[#This Row],[WG''s]],4),wg_wiz_cost_cap) + tech_1_9_2*TblTech[[#This Row],[1-9]] + tech_9_1_2*TblTech[[#This Row],[9-1]])*wizard_plat,0)</f>
        <v>500</v>
      </c>
      <c r="BT128" s="69" t="n">
        <f aca="false">ROUNDUP((1-MIN(ROUND(wg_wiz_cost_bonus*TblMili[[#This Row],[WG''s]],4),wg_wiz_cost_cap) + tech_1_9_2*TblTech[[#This Row],[1-9]] + tech_9_1_2*TblTech[[#This Row],[9-1]])*archmage_plat,0)</f>
        <v>1000</v>
      </c>
      <c r="BU128" s="132"/>
      <c r="BV128" s="150" t="e">
        <f aca="false">TblConstr[[#This Row],[Homeland]]/TblConstr[[#This Row],[Land]]</f>
        <v>#VALUE!</v>
      </c>
      <c r="BW128" s="150" t="n">
        <f aca="false">TblMili[[#This Row],[WG''s]]</f>
        <v>0</v>
      </c>
      <c r="BX128" s="288" t="e">
        <f aca="false">IF(mystic_cap="none",TblMili[[#This Row],[Hill]]/mystic_bonus,MIN(mystic_cap,TblMili[[#This Row],[Hill]]/mystic_bonus))</f>
        <v>#VALUE!</v>
      </c>
      <c r="BY128" s="288" t="e">
        <f aca="false">IF(druid_op_cap="none",TblMili[[#This Row],[Hill]]/druid_op_bonus,MIN(druid_op_cap,TblMili[[#This Row],[Hill]]/druid_op_bonus))</f>
        <v>#VALUE!</v>
      </c>
      <c r="BZ128" s="288" t="e">
        <f aca="false">IF(druid_dp_cap="none",TblMili[[#This Row],[Hill]]/druid_dp_bonus,MIN(druid_dp_cap,TblMili[[#This Row],[Hill]]/druid_dp_bonus))</f>
        <v>#VALUE!</v>
      </c>
      <c r="CA128" s="288" t="e">
        <f aca="false">MIN(dryad_cap,TblMili[[#This Row],[Hill]]/dryad_bonus)</f>
        <v>#VALUE!</v>
      </c>
      <c r="CB128" s="288" t="e">
        <f aca="false">MIN(rocka_cap,TblMili[[#This Row],[Hill]]/rocka_bonus)</f>
        <v>#VALUE!</v>
      </c>
      <c r="CC128" s="288" t="n">
        <f aca="false">MIN(adept_op_cap,TblMili[[#This Row],[WG]]/adept_op_bonus)</f>
        <v>0</v>
      </c>
      <c r="CD128" s="288" t="n">
        <f aca="false">MIN(adept_dp_cap,TblMili[[#This Row],[WG]]/adept_dp_bonus)</f>
        <v>0</v>
      </c>
      <c r="CE128" s="69" t="n">
        <f aca="false">MIN(TblMili[[#This Row],[Unit 3]],TblMili[[#This Row],[Unit 2]])*2</f>
        <v>1400</v>
      </c>
      <c r="CF128" s="69" t="n">
        <f aca="false">MIN(TblMili[[#This Row],[Unit 1]],TblMili[[#This Row],[Unit 4]])*2</f>
        <v>0</v>
      </c>
      <c r="CG128" s="288" t="e">
        <f aca="false">MIN(frost_mage_cap,TblMili[[#This Row],[Hill]]/frost_mage_bonus)</f>
        <v>#VALUE!</v>
      </c>
      <c r="CH128" s="151" t="n">
        <f aca="false">MIN(ice_elem_cap,TblMili[[#This Row],[Raw (2)]]*ice_elem_bonus)</f>
        <v>0.0357142857142857</v>
      </c>
      <c r="CI128" s="288" t="n">
        <f aca="false">MIN(bone_breaker_cap,250/bone_breaker_bonus)</f>
        <v>0.833333333333333</v>
      </c>
      <c r="CJ128" s="288" t="e">
        <f aca="false">MIN(nox_nightshade_cap,TblConstr[[#This Row],[Homeland]]/TblConstr[[#This Row],[Land]]/nox_nightshade_swamp_bonus)</f>
        <v>#VALUE!</v>
      </c>
      <c r="CK128" s="289"/>
      <c r="CL128" s="289"/>
      <c r="CM128" s="289"/>
      <c r="CN128" s="288" t="e">
        <f aca="false">MIN(6,TblMili[[#This Row],[Mystic]]+Races!$F$19)*1.8 +  IF(TblMili[[#This Row],[Mystic]]+Races!$F$19&gt;6,(TblMili[[#This Row],[Mystic]]+Races!$F$19-6)*0.2,0) - Races!$I$19</f>
        <v>#VALUE!</v>
      </c>
      <c r="CO128" s="288" t="e">
        <f aca="false">1.8 * MIN(MAX(TblMili[[#This Row],[Druid (op)]]+Races!$E$20,TblMili[[#This Row],[Druid (dp)]]+Races!$F$20),6)  +  0.45 * MIN(MIN(TblMili[[#This Row],[Druid (op)]]+Races!$E$20,TblMili[[#This Row],[Druid (dp)]]+Races!$F$20),6)  +  0.2 * ( MAX(TblMili[[#This Row],[Druid (op)]]+Races!$E$20-6,0) + MAX(TblMili[[#This Row],[Druid (dp)]]+Races!$F$20-6,0) )  -  Races!$I$20</f>
        <v>#VALUE!</v>
      </c>
      <c r="CP128" s="69" t="e">
        <f aca="false">TblMili[[#This Row],[Mystic bonus]]*TblMili[[#This Row],[Unit 3]]+TblMili[[#This Row],[Druid bonus]]*TblMili[[#This Row],[Unit 4]]</f>
        <v>#VALUE!</v>
      </c>
      <c r="CQ128" s="148" t="e">
        <f aca="false">MIN(6,TblMili[[#This Row],[Dryad]]+Races!$F$35)*1.8 +  IF(TblMili[[#This Row],[Dryad]]+Races!$F$35&gt;6,(TblMili[[#This Row],[Dryad]]+Races!$F$35-6)*0.2,0) - Races!$I$19</f>
        <v>#VALUE!</v>
      </c>
      <c r="CR128" s="69" t="e">
        <f aca="false">sylvan*(TblMili[[#This Row],[Mystic bonus]]*TblMili[[#This Row],[Unit 3]])</f>
        <v>#VALUE!</v>
      </c>
      <c r="CS128" s="148" t="e">
        <f aca="false">1.8 * MIN(MAX(Races!$E$27,TblMili[[#This Row],[Rockapult]]+Races!$F$27),6)  +  0.45 * MIN(MIN(Races!$E$27,TblMili[[#This Row],[Rockapult]]+Races!$F$27),6)  +  0.2 * ( MAX(Races!$E$27-6,0) + MAX(TblMili[[#This Row],[Rockapult]]+Races!$F$27-6,0) )  -  Races!$I$20</f>
        <v>#VALUE!</v>
      </c>
      <c r="CT128" s="69" t="e">
        <f aca="false">gnome*(TblMili[[#This Row],[Rockapult bonus]]*TblMili[[#This Row],[Unit 3]])</f>
        <v>#VALUE!</v>
      </c>
      <c r="CU128" s="148" t="n">
        <f aca="false">1.8 * MIN(MAX(TblMili[[#This Row],[Spellblade]]+Races!$E$47,TblMili[[#This Row],[Adept-DP]]+Races!$F$47),6)  +  0.45 * MIN(MIN(TblMili[[#This Row],[Spellblade]]+Races!$E$47,TblMili[[#This Row],[Adept-DP]]+Races!$F$47),6)  +  0.2 * ( MAX(TblMili[[#This Row],[Spellblade]]+Races!$E$47-6,0) + MAX(TblMili[[#This Row],[Adept-DP]]+Races!$F$47-6,0) )  -  Races!$I$47</f>
        <v>0</v>
      </c>
      <c r="CV128" s="69" t="n">
        <f aca="false">dark_elf*(TblMili[[#This Row],[Adept bonus]]*TblMili[[#This Row],[Unit 3]])</f>
        <v>0</v>
      </c>
      <c r="CW128" s="148" t="e">
        <f aca="false">1.8 * MIN(MAX(TblMili[[#This Row],[Frost Mage]]+Races!$F$71,Races!$E$71),6)  +  0.45 * MIN(MIN(TblMili[[#This Row],[Frost Mage]]+Races!$F$71,Races!$E$71),6)  +  0.2 * ( MAX(TblMili[[#This Row],[Frost Mage]]+Races!$F$71-6,0) + MAX(Races!$E$71-6,0) )  -  Races!$I$71</f>
        <v>#VALUE!</v>
      </c>
      <c r="CX128" s="148" t="n">
        <f aca="false">1.8 * MIN(MAX(TblMili[[#This Row],[Ice Elemental]]+Races!$E$71,Races!$F$71),6)  +  0.45 * MIN(MIN(TblMili[[#This Row],[Ice Elemental]]+Races!$E$71,Races!$F$71),6)  +  0.2 * ( MAX(TblMili[[#This Row],[Ice Elemental]]+Races!$E$71-6,0) + MAX(Races!$F$71-6,0) )  -  Races!$I$71</f>
        <v>0.064285714285715</v>
      </c>
      <c r="CY128" s="69" t="e">
        <f aca="false">TblMili[[#This Row],[Frost Mage bonus]]*TblMili[[#This Row],[Unit 3]]+TblMili[[#This Row],[Ice Elemental bonus]]*TblMili[[#This Row],[Unit 4]]</f>
        <v>#VALUE!</v>
      </c>
      <c r="CZ128" s="290"/>
      <c r="DA128" s="109" t="n">
        <f aca="false">MIN(SUM(TblConstr[[#This Row],[Plain]:[Water]])/TblMili[[#This Row],[Land]]/favorable_terrain_bonus/100,favorable_terrain_max)</f>
        <v>0</v>
      </c>
      <c r="DB128" s="290"/>
      <c r="DC12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8" s="132"/>
      <c r="DE128" s="291" t="n">
        <f aca="false">(TblMili[[#This Row],[Wizards]]+2*TblMili[[#This Row],[Archmages]])/TblConstr[[#This Row],[Land]]</f>
        <v>0.0357142857142857</v>
      </c>
      <c r="DF128" s="291" t="n">
        <f aca="false">TblMili[[#This Row],[Raw (2)]]*(1+race_wizard_strength+IF(TblMili[[#This Row],[Hour]]&gt;72,tech_magical_weaponry_wiz*TblTech[[#This Row],[3-5]],0))</f>
        <v>0.0357142857142857</v>
      </c>
    </row>
    <row r="129" customFormat="false" ht="12.75" hidden="false" customHeight="false" outlineLevel="0" collapsed="false">
      <c r="A129" s="128" t="n">
        <f aca="false">TblRezone[[#This Row],[Hour]]</f>
        <v>126</v>
      </c>
      <c r="B129" s="282" t="n">
        <f aca="false">SUM(TblMili[[#This Row],[Unit 1]:[Archmages]])+SUM(OFFSET(TblMili[[#This Row],[Train Unit 1]],-8,0):TblMili[[#This Row],[Train Unit 2]]) + SUM(OFFSET(TblMili[[#This Row],[Train Unit 3]],-11,0):TblMili[[#This Row],[Train AM]]) + TblMili[[#This Row],[Draftees]]</f>
        <v>7060</v>
      </c>
      <c r="C129" s="150" t="n">
        <f aca="false">TblPop[[#This Row],[Military%]]</f>
        <v>0.545637220805317</v>
      </c>
      <c r="D129" s="132"/>
      <c r="E129" s="151" t="n">
        <f aca="false">OFFSET(TblMili[[#This Row],[Unit 1]],-1,0) + OFFSET(TblMili[[#This Row],[Train Unit 1]],-9,0) - TblMili[[#This Row],[Release Unit 1]]</f>
        <v>0</v>
      </c>
      <c r="F129" s="151" t="n">
        <f aca="false">OFFSET(TblMili[[#This Row],[Unit 2]],-1,0) + OFFSET(TblMili[[#This Row],[Train Unit 2]],-9,0)-TblMili[[#This Row],[Release Unit 2]]</f>
        <v>1246</v>
      </c>
      <c r="G129" s="151" t="n">
        <f aca="false">OFFSET(TblMili[[#This Row],[Unit 3]],-1,0) + OFFSET(TblMili[[#This Row],[Train Unit 3]],-12,0)-TblMili[[#This Row],[Release Unit 3]]</f>
        <v>700</v>
      </c>
      <c r="H129" s="151" t="n">
        <f aca="false">OFFSET(TblMili[[#This Row],[Unit 4]],-1,0) + OFFSET(TblMili[[#This Row],[Train Unit 4]],-12,0)-TblMili[[#This Row],[Release Unit 4]]</f>
        <v>1228</v>
      </c>
      <c r="I129" s="151" t="n">
        <f aca="false">OFFSET(TblMili[[#This Row],[Spies]],-1,0) + OFFSET(TblMili[[#This Row],[Train Spies]],-12,0) - TblMili[[#This Row],[Release Spies]]-TblMili[[#This Row],[Train AS]]</f>
        <v>25</v>
      </c>
      <c r="J129" s="151" t="n">
        <f aca="false">OFFSET(TblMili[[#This Row],[Archspies]],-1,0) + OFFSET(TblMili[[#This Row],[Train AS]],-12,0) - TblMili[[#This Row],[Release AS]]</f>
        <v>0</v>
      </c>
      <c r="K129" s="151" t="n">
        <f aca="false">OFFSET(TblMili[[#This Row],[Wizards]],-1,0) + OFFSET(TblMili[[#This Row],[Train Wiz]],-12,0) - TblMili[[#This Row],[Release Wizards]]-TblMili[[#This Row],[Train AM]]</f>
        <v>25</v>
      </c>
      <c r="L129" s="151" t="n">
        <f aca="false">OFFSET(TblMili[[#This Row],[Archmages]],-1,0) + OFFSET(TblMili[[#This Row],[Train AM]],-12,0) - TblMili[[#This Row],[Release AM]]</f>
        <v>0</v>
      </c>
      <c r="M129" s="132"/>
      <c r="N129" s="69" t="e">
        <f aca="false">TblProd[[#This Row],[Networth]]</f>
        <v>#VALUE!</v>
      </c>
      <c r="O129" s="132"/>
      <c r="P12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9" s="285" t="e">
        <f aca="false">TblMili[[#This Row],[Raw]]*(1+TblMili[[#This Row],[Mods_Off]])</f>
        <v>#VALUE!</v>
      </c>
      <c r="S12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9" s="285" t="e">
        <f aca="false">TblMili[[#This Row],[Non Draft]]+TblMili[[#This Row],[Draftees]]</f>
        <v>#VALUE!</v>
      </c>
      <c r="U129" s="286" t="n">
        <f aca="false">race_defense + TblImps[[#This Row],[Walls]] + ROUND( MIN(gt_bonus*TblConstr[[#This Row],[Tot GT]]/TblConstr[[#This Row],[Land]],gt_bonus_cap), 4) + IF(TblMagic[[#This Row],[Active Howling]]&gt;0,howling_dp_bonus,IF(TblMagic[[#This Row],[Active Ares Call]]&gt;0,ares_call_bonus))</f>
        <v>0.1375</v>
      </c>
      <c r="V129" s="274" t="e">
        <f aca="false">TblMili[[#This Row],[Non Draft]] * (1 + TblMili[[#This Row],[Mods_Def]])</f>
        <v>#VALUE!</v>
      </c>
      <c r="W129" s="285" t="e">
        <f aca="false">TblMili[[#This Row],[Draft]] * (1 + TblMili[[#This Row],[Mods_Def]])</f>
        <v>#VALUE!</v>
      </c>
      <c r="X129" s="285" t="n">
        <f aca="false">TblConstr[[#This Row],[Land]]</f>
        <v>700</v>
      </c>
      <c r="Y129" s="287"/>
      <c r="Z129" s="109" t="n">
        <f aca="false">IF(TblMili[[#This Row],[Set]]&lt;&gt;"",TblMili[[#This Row],[Set]],OFFSET(TblMili[[#This Row],[Draftrate]],-1,0))</f>
        <v>0.9</v>
      </c>
      <c r="AA129" s="69" t="n">
        <f aca="false">OFFSET(TblMili[[#This Row],[Draftees]],-1,0)+OFFSET(TblPop[[#This Row],[Draft Growth]],-1,0) - SUM(TblMili[[#This Row],[Train Unit 1]:[Train Spies]],TblMili[[#This Row],[Train Wiz]]) - TblMili[[#This Row],[Release Draft]] + SUM(TblMili[[#This Row],[Release Unit 1]:[Release AM]]) - TblExplore[[#This Row],[Draftees (2)]]</f>
        <v>3836</v>
      </c>
      <c r="AB129" s="146"/>
      <c r="AC129" s="130" t="n">
        <f aca="false">(TblConstr[[#This Row],[Tot Smi]]+TblConstr[[#This Row],[Dest Smi]])/(TblConstr[[#This Row],[Land]]-TblExplore[[#This Row],[Land Bonus]]*20)</f>
        <v>0.18</v>
      </c>
      <c r="AD129" s="128"/>
      <c r="AE129" s="282" t="n">
        <f aca="false">TblMili[[#This Row],[Hour]]</f>
        <v>126</v>
      </c>
      <c r="AF129" s="129" t="n">
        <f aca="false">TblExplore[[#This Row],[Time]]</f>
        <v>45434.9583333333</v>
      </c>
      <c r="AG129" s="182"/>
      <c r="AH129" s="182"/>
      <c r="AI129" s="182"/>
      <c r="AJ129" s="182"/>
      <c r="AK129" s="182"/>
      <c r="AL129" s="182"/>
      <c r="AM129" s="182"/>
      <c r="AN129" s="182"/>
      <c r="AO129" s="132"/>
      <c r="AP129" s="69" t="n">
        <f aca="false">TblProd[[#This Row],[Platinum]]</f>
        <v>2006950</v>
      </c>
      <c r="AQ129" s="69" t="n">
        <f aca="false">INDEX(TblProd[[#Headers],[Lumber]]:TblProd[[#This Row],[Ore]],COUNTA(TblProd[[#Headers],[Lumber]]:TblProd[[#This Row],[Lumber]]),MATCH(Military!$AQ$2,TblProd[[#Headers],[Lumber]:[Ore]],0))</f>
        <v>0</v>
      </c>
      <c r="AR12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69" t="n">
        <f aca="false">TblMili[[#This Row],[Train Unit 1]]*TblMili[[#This Row],[OP Ore]]+TblMili[[#This Row],[Train Unit 2]]*TblMili[[#This Row],[DP Ore]]+TblMili[[#This Row],[Train Unit 3]]*TblMili[[#This Row],[E1 Ore]]+TblMili[[#This Row],[Train Unit 4]]*TblMili[[#This Row],[E2 Ore]]</f>
        <v>0</v>
      </c>
      <c r="AT129" s="132" t="n">
        <f aca="false">TblMili[[#This Row],[Hour]]</f>
        <v>126</v>
      </c>
      <c r="AU129" s="144" t="n">
        <f aca="false">TblMili[[#This Row],[Time]]</f>
        <v>45434.9583333333</v>
      </c>
      <c r="AV129" s="69" t="n">
        <f aca="false">TblMili[[#This Row],[Draftees]]</f>
        <v>3836</v>
      </c>
      <c r="AW129" s="182"/>
      <c r="AX129" s="182"/>
      <c r="AY129" s="182"/>
      <c r="AZ129" s="182"/>
      <c r="BA129" s="182"/>
      <c r="BB129" s="182"/>
      <c r="BC129" s="182"/>
      <c r="BD129" s="182"/>
      <c r="BE129" s="182"/>
      <c r="BF129" s="132"/>
      <c r="BG129" s="150" t="n">
        <f aca="false">TblConstr[[#This Row],[Tot WG]]/TblConstr[[#This Row],[Land]]</f>
        <v>0</v>
      </c>
      <c r="BH129" s="150" t="n">
        <f aca="false">TblConstr[[#This Row],[Tot Hav]]/TblConstr[[#This Row],[Land]]</f>
        <v>0</v>
      </c>
      <c r="BI129" s="69" t="n">
        <f aca="false">ROUNDUP((1-MIN(TblMili[[#This Row],[Smithies]]*smithy_bonus,smithy_bonus_cap) + tech_3_5*TblTech[[#This Row],[3-5]] + tech_5_3*TblTech[[#This Row],[5-3]] + tech_5_5*TblTech[[#This Row],[5-5]])*spec_op_plat,0)</f>
        <v>192</v>
      </c>
      <c r="BJ129" s="69" t="n">
        <f aca="false">ROUNDUP(IF(race="Gnome",1,(1-MIN(TblMili[[#This Row],[Smithies]]*smithy_bonus,smithy_bonus_cap) + tech_3_5*TblTech[[#This Row],[3-5]] + tech_5_3*TblTech[[#This Row],[5-3]] + tech_5_5*TblTech[[#This Row],[5-5]]))*spec_op_ore,0)</f>
        <v>0</v>
      </c>
      <c r="BK129" s="69" t="n">
        <f aca="false">ROUNDUP((1-MIN(TblMili[[#This Row],[Smithies]]*smithy_bonus,smithy_bonus_cap) + tech_3_5*TblTech[[#This Row],[3-5]] + tech_5_3*TblTech[[#This Row],[5-3]] + tech_5_5*TblTech[[#This Row],[5-5]])*spec_dp_plat,0)</f>
        <v>192</v>
      </c>
      <c r="BL129" s="69" t="n">
        <f aca="false">ROUNDUP(IF(race="Gnome",1,(1-MIN(TblMili[[#This Row],[Smithies]]*smithy_bonus,smithy_bonus_cap) + tech_3_5*TblTech[[#This Row],[3-5]] + tech_5_3*TblTech[[#This Row],[5-3]] + tech_5_5*TblTech[[#This Row],[5-5]]))*spec_dp_ore,0)</f>
        <v>0</v>
      </c>
      <c r="BM129" s="69" t="n">
        <f aca="false">ROUNDUP((1-MIN(TblMili[[#This Row],[Smithies]]*smithy_bonus,smithy_bonus_cap) + tech_3_5*TblTech[[#This Row],[3-5]] + tech_5_3*TblTech[[#This Row],[5-3]] + tech_5_5*TblTech[[#This Row],[5-5]])*elite1_plat,0)</f>
        <v>592</v>
      </c>
      <c r="BN129" s="69" t="n">
        <f aca="false">ROUNDUP(IF(race="Gnome",1,(1-MIN(TblMili[[#This Row],[Smithies]]*smithy_bonus,smithy_bonus_cap) + tech_3_5*TblTech[[#This Row],[3-5]] + tech_5_3*TblTech[[#This Row],[5-3]] + tech_5_5*TblTech[[#This Row],[5-5]]))*elite1_ore,0)</f>
        <v>0</v>
      </c>
      <c r="BO129" s="69" t="n">
        <f aca="false">ROUNDUP((1-MIN(TblMili[[#This Row],[Smithies]]*smithy_bonus,smithy_bonus_cap) + tech_3_5*TblTech[[#This Row],[3-5]] + tech_5_3*TblTech[[#This Row],[5-3]] + tech_5_5*TblTech[[#This Row],[5-5]])*elite2_plat,0)</f>
        <v>608</v>
      </c>
      <c r="BP129" s="69" t="n">
        <f aca="false">ROUNDUP(IF(race="Gnome",1,(1-MIN(TblMili[[#This Row],[Smithies]]*smithy_bonus,smithy_bonus_cap) + tech_3_5*TblTech[[#This Row],[3-5]] + tech_5_3*TblTech[[#This Row],[5-3]] + tech_5_5*TblTech[[#This Row],[5-5]]))*elite2_ore,0)</f>
        <v>0</v>
      </c>
      <c r="BQ129" s="69" t="n">
        <f aca="false">ROUNDUP((1-MIN(ROUND(fh_spy_cost_red*TblMili[[#This Row],[FH''s]],4),fh_spy_cost_cap)+ tech_1_9*TblTech[[#This Row],[1-9]] + tech_9_1*TblTech[[#This Row],[9-1]])*spy_plat,0)</f>
        <v>500</v>
      </c>
      <c r="BR129" s="69" t="n">
        <f aca="false">ROUNDUP((1-MIN(ROUND(fh_spy_cost_red*TblMili[[#This Row],[FH''s]],4),fh_spy_cost_cap)+ tech_1_9*TblTech[[#This Row],[1-9]] + tech_9_1*TblTech[[#This Row],[9-1]])*archspy_plat,0)</f>
        <v>1000</v>
      </c>
      <c r="BS129" s="69" t="n">
        <f aca="false">ROUNDUP((1-MIN(ROUND(wg_wiz_cost_bonus*TblMili[[#This Row],[WG''s]],4),wg_wiz_cost_cap) + tech_1_9_2*TblTech[[#This Row],[1-9]] + tech_9_1_2*TblTech[[#This Row],[9-1]])*wizard_plat,0)</f>
        <v>500</v>
      </c>
      <c r="BT129" s="69" t="n">
        <f aca="false">ROUNDUP((1-MIN(ROUND(wg_wiz_cost_bonus*TblMili[[#This Row],[WG''s]],4),wg_wiz_cost_cap) + tech_1_9_2*TblTech[[#This Row],[1-9]] + tech_9_1_2*TblTech[[#This Row],[9-1]])*archmage_plat,0)</f>
        <v>1000</v>
      </c>
      <c r="BU129" s="132"/>
      <c r="BV129" s="150" t="e">
        <f aca="false">TblConstr[[#This Row],[Homeland]]/TblConstr[[#This Row],[Land]]</f>
        <v>#VALUE!</v>
      </c>
      <c r="BW129" s="150" t="n">
        <f aca="false">TblMili[[#This Row],[WG''s]]</f>
        <v>0</v>
      </c>
      <c r="BX129" s="288" t="e">
        <f aca="false">IF(mystic_cap="none",TblMili[[#This Row],[Hill]]/mystic_bonus,MIN(mystic_cap,TblMili[[#This Row],[Hill]]/mystic_bonus))</f>
        <v>#VALUE!</v>
      </c>
      <c r="BY129" s="288" t="e">
        <f aca="false">IF(druid_op_cap="none",TblMili[[#This Row],[Hill]]/druid_op_bonus,MIN(druid_op_cap,TblMili[[#This Row],[Hill]]/druid_op_bonus))</f>
        <v>#VALUE!</v>
      </c>
      <c r="BZ129" s="288" t="e">
        <f aca="false">IF(druid_dp_cap="none",TblMili[[#This Row],[Hill]]/druid_dp_bonus,MIN(druid_dp_cap,TblMili[[#This Row],[Hill]]/druid_dp_bonus))</f>
        <v>#VALUE!</v>
      </c>
      <c r="CA129" s="288" t="e">
        <f aca="false">MIN(dryad_cap,TblMili[[#This Row],[Hill]]/dryad_bonus)</f>
        <v>#VALUE!</v>
      </c>
      <c r="CB129" s="288" t="e">
        <f aca="false">MIN(rocka_cap,TblMili[[#This Row],[Hill]]/rocka_bonus)</f>
        <v>#VALUE!</v>
      </c>
      <c r="CC129" s="288" t="n">
        <f aca="false">MIN(adept_op_cap,TblMili[[#This Row],[WG]]/adept_op_bonus)</f>
        <v>0</v>
      </c>
      <c r="CD129" s="288" t="n">
        <f aca="false">MIN(adept_dp_cap,TblMili[[#This Row],[WG]]/adept_dp_bonus)</f>
        <v>0</v>
      </c>
      <c r="CE129" s="69" t="n">
        <f aca="false">MIN(TblMili[[#This Row],[Unit 3]],TblMili[[#This Row],[Unit 2]])*2</f>
        <v>1400</v>
      </c>
      <c r="CF129" s="69" t="n">
        <f aca="false">MIN(TblMili[[#This Row],[Unit 1]],TblMili[[#This Row],[Unit 4]])*2</f>
        <v>0</v>
      </c>
      <c r="CG129" s="288" t="e">
        <f aca="false">MIN(frost_mage_cap,TblMili[[#This Row],[Hill]]/frost_mage_bonus)</f>
        <v>#VALUE!</v>
      </c>
      <c r="CH129" s="151" t="n">
        <f aca="false">MIN(ice_elem_cap,TblMili[[#This Row],[Raw (2)]]*ice_elem_bonus)</f>
        <v>0.0357142857142857</v>
      </c>
      <c r="CI129" s="288" t="n">
        <f aca="false">MIN(bone_breaker_cap,250/bone_breaker_bonus)</f>
        <v>0.833333333333333</v>
      </c>
      <c r="CJ129" s="288" t="e">
        <f aca="false">MIN(nox_nightshade_cap,TblConstr[[#This Row],[Homeland]]/TblConstr[[#This Row],[Land]]/nox_nightshade_swamp_bonus)</f>
        <v>#VALUE!</v>
      </c>
      <c r="CK129" s="289"/>
      <c r="CL129" s="289"/>
      <c r="CM129" s="289"/>
      <c r="CN129" s="288" t="e">
        <f aca="false">MIN(6,TblMili[[#This Row],[Mystic]]+Races!$F$19)*1.8 +  IF(TblMili[[#This Row],[Mystic]]+Races!$F$19&gt;6,(TblMili[[#This Row],[Mystic]]+Races!$F$19-6)*0.2,0) - Races!$I$19</f>
        <v>#VALUE!</v>
      </c>
      <c r="CO129" s="288" t="e">
        <f aca="false">1.8 * MIN(MAX(TblMili[[#This Row],[Druid (op)]]+Races!$E$20,TblMili[[#This Row],[Druid (dp)]]+Races!$F$20),6)  +  0.45 * MIN(MIN(TblMili[[#This Row],[Druid (op)]]+Races!$E$20,TblMili[[#This Row],[Druid (dp)]]+Races!$F$20),6)  +  0.2 * ( MAX(TblMili[[#This Row],[Druid (op)]]+Races!$E$20-6,0) + MAX(TblMili[[#This Row],[Druid (dp)]]+Races!$F$20-6,0) )  -  Races!$I$20</f>
        <v>#VALUE!</v>
      </c>
      <c r="CP129" s="69" t="e">
        <f aca="false">TblMili[[#This Row],[Mystic bonus]]*TblMili[[#This Row],[Unit 3]]+TblMili[[#This Row],[Druid bonus]]*TblMili[[#This Row],[Unit 4]]</f>
        <v>#VALUE!</v>
      </c>
      <c r="CQ129" s="148" t="e">
        <f aca="false">MIN(6,TblMili[[#This Row],[Dryad]]+Races!$F$35)*1.8 +  IF(TblMili[[#This Row],[Dryad]]+Races!$F$35&gt;6,(TblMili[[#This Row],[Dryad]]+Races!$F$35-6)*0.2,0) - Races!$I$19</f>
        <v>#VALUE!</v>
      </c>
      <c r="CR129" s="69" t="e">
        <f aca="false">sylvan*(TblMili[[#This Row],[Mystic bonus]]*TblMili[[#This Row],[Unit 3]])</f>
        <v>#VALUE!</v>
      </c>
      <c r="CS129" s="148" t="e">
        <f aca="false">1.8 * MIN(MAX(Races!$E$27,TblMili[[#This Row],[Rockapult]]+Races!$F$27),6)  +  0.45 * MIN(MIN(Races!$E$27,TblMili[[#This Row],[Rockapult]]+Races!$F$27),6)  +  0.2 * ( MAX(Races!$E$27-6,0) + MAX(TblMili[[#This Row],[Rockapult]]+Races!$F$27-6,0) )  -  Races!$I$20</f>
        <v>#VALUE!</v>
      </c>
      <c r="CT129" s="69" t="e">
        <f aca="false">gnome*(TblMili[[#This Row],[Rockapult bonus]]*TblMili[[#This Row],[Unit 3]])</f>
        <v>#VALUE!</v>
      </c>
      <c r="CU129" s="148" t="n">
        <f aca="false">1.8 * MIN(MAX(TblMili[[#This Row],[Spellblade]]+Races!$E$47,TblMili[[#This Row],[Adept-DP]]+Races!$F$47),6)  +  0.45 * MIN(MIN(TblMili[[#This Row],[Spellblade]]+Races!$E$47,TblMili[[#This Row],[Adept-DP]]+Races!$F$47),6)  +  0.2 * ( MAX(TblMili[[#This Row],[Spellblade]]+Races!$E$47-6,0) + MAX(TblMili[[#This Row],[Adept-DP]]+Races!$F$47-6,0) )  -  Races!$I$47</f>
        <v>0</v>
      </c>
      <c r="CV129" s="69" t="n">
        <f aca="false">dark_elf*(TblMili[[#This Row],[Adept bonus]]*TblMili[[#This Row],[Unit 3]])</f>
        <v>0</v>
      </c>
      <c r="CW129" s="148" t="e">
        <f aca="false">1.8 * MIN(MAX(TblMili[[#This Row],[Frost Mage]]+Races!$F$71,Races!$E$71),6)  +  0.45 * MIN(MIN(TblMili[[#This Row],[Frost Mage]]+Races!$F$71,Races!$E$71),6)  +  0.2 * ( MAX(TblMili[[#This Row],[Frost Mage]]+Races!$F$71-6,0) + MAX(Races!$E$71-6,0) )  -  Races!$I$71</f>
        <v>#VALUE!</v>
      </c>
      <c r="CX129" s="148" t="n">
        <f aca="false">1.8 * MIN(MAX(TblMili[[#This Row],[Ice Elemental]]+Races!$E$71,Races!$F$71),6)  +  0.45 * MIN(MIN(TblMili[[#This Row],[Ice Elemental]]+Races!$E$71,Races!$F$71),6)  +  0.2 * ( MAX(TblMili[[#This Row],[Ice Elemental]]+Races!$E$71-6,0) + MAX(Races!$F$71-6,0) )  -  Races!$I$71</f>
        <v>0.064285714285715</v>
      </c>
      <c r="CY129" s="69" t="e">
        <f aca="false">TblMili[[#This Row],[Frost Mage bonus]]*TblMili[[#This Row],[Unit 3]]+TblMili[[#This Row],[Ice Elemental bonus]]*TblMili[[#This Row],[Unit 4]]</f>
        <v>#VALUE!</v>
      </c>
      <c r="CZ129" s="290"/>
      <c r="DA129" s="109" t="n">
        <f aca="false">MIN(SUM(TblConstr[[#This Row],[Plain]:[Water]])/TblMili[[#This Row],[Land]]/favorable_terrain_bonus/100,favorable_terrain_max)</f>
        <v>0</v>
      </c>
      <c r="DB129" s="290"/>
      <c r="DC12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9" s="132"/>
      <c r="DE129" s="291" t="n">
        <f aca="false">(TblMili[[#This Row],[Wizards]]+2*TblMili[[#This Row],[Archmages]])/TblConstr[[#This Row],[Land]]</f>
        <v>0.0357142857142857</v>
      </c>
      <c r="DF129" s="291" t="n">
        <f aca="false">TblMili[[#This Row],[Raw (2)]]*(1+race_wizard_strength+IF(TblMili[[#This Row],[Hour]]&gt;72,tech_magical_weaponry_wiz*TblTech[[#This Row],[3-5]],0))</f>
        <v>0.0357142857142857</v>
      </c>
    </row>
    <row r="130" customFormat="false" ht="12.75" hidden="false" customHeight="false" outlineLevel="0" collapsed="false">
      <c r="A130" s="128" t="n">
        <f aca="false">TblRezone[[#This Row],[Hour]]</f>
        <v>127</v>
      </c>
      <c r="B130" s="282" t="n">
        <f aca="false">SUM(TblMili[[#This Row],[Unit 1]:[Archmages]])+SUM(OFFSET(TblMili[[#This Row],[Train Unit 1]],-8,0):TblMili[[#This Row],[Train Unit 2]]) + SUM(OFFSET(TblMili[[#This Row],[Train Unit 3]],-11,0):TblMili[[#This Row],[Train AM]]) + TblMili[[#This Row],[Draftees]]</f>
        <v>7119</v>
      </c>
      <c r="C130" s="150" t="n">
        <f aca="false">TblPop[[#This Row],[Military%]]</f>
        <v>0.550197078599583</v>
      </c>
      <c r="D130" s="132"/>
      <c r="E130" s="151" t="n">
        <f aca="false">OFFSET(TblMili[[#This Row],[Unit 1]],-1,0) + OFFSET(TblMili[[#This Row],[Train Unit 1]],-9,0) - TblMili[[#This Row],[Release Unit 1]]</f>
        <v>0</v>
      </c>
      <c r="F130" s="151" t="n">
        <f aca="false">OFFSET(TblMili[[#This Row],[Unit 2]],-1,0) + OFFSET(TblMili[[#This Row],[Train Unit 2]],-9,0)-TblMili[[#This Row],[Release Unit 2]]</f>
        <v>1246</v>
      </c>
      <c r="G130" s="151" t="n">
        <f aca="false">OFFSET(TblMili[[#This Row],[Unit 3]],-1,0) + OFFSET(TblMili[[#This Row],[Train Unit 3]],-12,0)-TblMili[[#This Row],[Release Unit 3]]</f>
        <v>700</v>
      </c>
      <c r="H130" s="151" t="n">
        <f aca="false">OFFSET(TblMili[[#This Row],[Unit 4]],-1,0) + OFFSET(TblMili[[#This Row],[Train Unit 4]],-12,0)-TblMili[[#This Row],[Release Unit 4]]</f>
        <v>1228</v>
      </c>
      <c r="I130" s="151" t="n">
        <f aca="false">OFFSET(TblMili[[#This Row],[Spies]],-1,0) + OFFSET(TblMili[[#This Row],[Train Spies]],-12,0) - TblMili[[#This Row],[Release Spies]]-TblMili[[#This Row],[Train AS]]</f>
        <v>25</v>
      </c>
      <c r="J130" s="151" t="n">
        <f aca="false">OFFSET(TblMili[[#This Row],[Archspies]],-1,0) + OFFSET(TblMili[[#This Row],[Train AS]],-12,0) - TblMili[[#This Row],[Release AS]]</f>
        <v>0</v>
      </c>
      <c r="K130" s="151" t="n">
        <f aca="false">OFFSET(TblMili[[#This Row],[Wizards]],-1,0) + OFFSET(TblMili[[#This Row],[Train Wiz]],-12,0) - TblMili[[#This Row],[Release Wizards]]-TblMili[[#This Row],[Train AM]]</f>
        <v>25</v>
      </c>
      <c r="L130" s="151" t="n">
        <f aca="false">OFFSET(TblMili[[#This Row],[Archmages]],-1,0) + OFFSET(TblMili[[#This Row],[Train AM]],-12,0) - TblMili[[#This Row],[Release AM]]</f>
        <v>0</v>
      </c>
      <c r="M130" s="132"/>
      <c r="N130" s="69" t="e">
        <f aca="false">TblProd[[#This Row],[Networth]]</f>
        <v>#VALUE!</v>
      </c>
      <c r="O130" s="132"/>
      <c r="P13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0" s="285" t="e">
        <f aca="false">TblMili[[#This Row],[Raw]]*(1+TblMili[[#This Row],[Mods_Off]])</f>
        <v>#VALUE!</v>
      </c>
      <c r="S13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0" s="285" t="e">
        <f aca="false">TblMili[[#This Row],[Non Draft]]+TblMili[[#This Row],[Draftees]]</f>
        <v>#VALUE!</v>
      </c>
      <c r="U130" s="286" t="n">
        <f aca="false">race_defense + TblImps[[#This Row],[Walls]] + ROUND( MIN(gt_bonus*TblConstr[[#This Row],[Tot GT]]/TblConstr[[#This Row],[Land]],gt_bonus_cap), 4) + IF(TblMagic[[#This Row],[Active Howling]]&gt;0,howling_dp_bonus,IF(TblMagic[[#This Row],[Active Ares Call]]&gt;0,ares_call_bonus))</f>
        <v>0.1375</v>
      </c>
      <c r="V130" s="274" t="e">
        <f aca="false">TblMili[[#This Row],[Non Draft]] * (1 + TblMili[[#This Row],[Mods_Def]])</f>
        <v>#VALUE!</v>
      </c>
      <c r="W130" s="285" t="e">
        <f aca="false">TblMili[[#This Row],[Draft]] * (1 + TblMili[[#This Row],[Mods_Def]])</f>
        <v>#VALUE!</v>
      </c>
      <c r="X130" s="285" t="n">
        <f aca="false">TblConstr[[#This Row],[Land]]</f>
        <v>700</v>
      </c>
      <c r="Y130" s="287"/>
      <c r="Z130" s="109" t="n">
        <f aca="false">IF(TblMili[[#This Row],[Set]]&lt;&gt;"",TblMili[[#This Row],[Set]],OFFSET(TblMili[[#This Row],[Draftrate]],-1,0))</f>
        <v>0.9</v>
      </c>
      <c r="AA130" s="69" t="n">
        <f aca="false">OFFSET(TblMili[[#This Row],[Draftees]],-1,0)+OFFSET(TblPop[[#This Row],[Draft Growth]],-1,0) - SUM(TblMili[[#This Row],[Train Unit 1]:[Train Spies]],TblMili[[#This Row],[Train Wiz]]) - TblMili[[#This Row],[Release Draft]] + SUM(TblMili[[#This Row],[Release Unit 1]:[Release AM]]) - TblExplore[[#This Row],[Draftees (2)]]</f>
        <v>3895</v>
      </c>
      <c r="AB130" s="146"/>
      <c r="AC130" s="130" t="n">
        <f aca="false">(TblConstr[[#This Row],[Tot Smi]]+TblConstr[[#This Row],[Dest Smi]])/(TblConstr[[#This Row],[Land]]-TblExplore[[#This Row],[Land Bonus]]*20)</f>
        <v>0.18</v>
      </c>
      <c r="AD130" s="128"/>
      <c r="AE130" s="282" t="n">
        <f aca="false">TblMili[[#This Row],[Hour]]</f>
        <v>127</v>
      </c>
      <c r="AF130" s="129" t="n">
        <f aca="false">TblExplore[[#This Row],[Time]]</f>
        <v>45435</v>
      </c>
      <c r="AG130" s="182"/>
      <c r="AH130" s="182"/>
      <c r="AI130" s="182"/>
      <c r="AJ130" s="182"/>
      <c r="AK130" s="182"/>
      <c r="AL130" s="182"/>
      <c r="AM130" s="182"/>
      <c r="AN130" s="182"/>
      <c r="AO130" s="132"/>
      <c r="AP130" s="69" t="n">
        <f aca="false">TblProd[[#This Row],[Platinum]]</f>
        <v>2035198</v>
      </c>
      <c r="AQ130" s="69" t="n">
        <f aca="false">INDEX(TblProd[[#Headers],[Lumber]]:TblProd[[#This Row],[Ore]],COUNTA(TblProd[[#Headers],[Lumber]]:TblProd[[#This Row],[Lumber]]),MATCH(Military!$AQ$2,TblProd[[#Headers],[Lumber]:[Ore]],0))</f>
        <v>0</v>
      </c>
      <c r="AR13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69" t="n">
        <f aca="false">TblMili[[#This Row],[Train Unit 1]]*TblMili[[#This Row],[OP Ore]]+TblMili[[#This Row],[Train Unit 2]]*TblMili[[#This Row],[DP Ore]]+TblMili[[#This Row],[Train Unit 3]]*TblMili[[#This Row],[E1 Ore]]+TblMili[[#This Row],[Train Unit 4]]*TblMili[[#This Row],[E2 Ore]]</f>
        <v>0</v>
      </c>
      <c r="AT130" s="132" t="n">
        <f aca="false">TblMili[[#This Row],[Hour]]</f>
        <v>127</v>
      </c>
      <c r="AU130" s="144" t="n">
        <f aca="false">TblMili[[#This Row],[Time]]</f>
        <v>45435</v>
      </c>
      <c r="AV130" s="69" t="n">
        <f aca="false">TblMili[[#This Row],[Draftees]]</f>
        <v>3895</v>
      </c>
      <c r="AW130" s="182"/>
      <c r="AX130" s="182"/>
      <c r="AY130" s="182"/>
      <c r="AZ130" s="182"/>
      <c r="BA130" s="182"/>
      <c r="BB130" s="182"/>
      <c r="BC130" s="182"/>
      <c r="BD130" s="182"/>
      <c r="BE130" s="182"/>
      <c r="BF130" s="132"/>
      <c r="BG130" s="150" t="n">
        <f aca="false">TblConstr[[#This Row],[Tot WG]]/TblConstr[[#This Row],[Land]]</f>
        <v>0</v>
      </c>
      <c r="BH130" s="150" t="n">
        <f aca="false">TblConstr[[#This Row],[Tot Hav]]/TblConstr[[#This Row],[Land]]</f>
        <v>0</v>
      </c>
      <c r="BI130" s="69" t="n">
        <f aca="false">ROUNDUP((1-MIN(TblMili[[#This Row],[Smithies]]*smithy_bonus,smithy_bonus_cap) + tech_3_5*TblTech[[#This Row],[3-5]] + tech_5_3*TblTech[[#This Row],[5-3]] + tech_5_5*TblTech[[#This Row],[5-5]])*spec_op_plat,0)</f>
        <v>192</v>
      </c>
      <c r="BJ130" s="69" t="n">
        <f aca="false">ROUNDUP(IF(race="Gnome",1,(1-MIN(TblMili[[#This Row],[Smithies]]*smithy_bonus,smithy_bonus_cap) + tech_3_5*TblTech[[#This Row],[3-5]] + tech_5_3*TblTech[[#This Row],[5-3]] + tech_5_5*TblTech[[#This Row],[5-5]]))*spec_op_ore,0)</f>
        <v>0</v>
      </c>
      <c r="BK130" s="69" t="n">
        <f aca="false">ROUNDUP((1-MIN(TblMili[[#This Row],[Smithies]]*smithy_bonus,smithy_bonus_cap) + tech_3_5*TblTech[[#This Row],[3-5]] + tech_5_3*TblTech[[#This Row],[5-3]] + tech_5_5*TblTech[[#This Row],[5-5]])*spec_dp_plat,0)</f>
        <v>192</v>
      </c>
      <c r="BL130" s="69" t="n">
        <f aca="false">ROUNDUP(IF(race="Gnome",1,(1-MIN(TblMili[[#This Row],[Smithies]]*smithy_bonus,smithy_bonus_cap) + tech_3_5*TblTech[[#This Row],[3-5]] + tech_5_3*TblTech[[#This Row],[5-3]] + tech_5_5*TblTech[[#This Row],[5-5]]))*spec_dp_ore,0)</f>
        <v>0</v>
      </c>
      <c r="BM130" s="69" t="n">
        <f aca="false">ROUNDUP((1-MIN(TblMili[[#This Row],[Smithies]]*smithy_bonus,smithy_bonus_cap) + tech_3_5*TblTech[[#This Row],[3-5]] + tech_5_3*TblTech[[#This Row],[5-3]] + tech_5_5*TblTech[[#This Row],[5-5]])*elite1_plat,0)</f>
        <v>592</v>
      </c>
      <c r="BN130" s="69" t="n">
        <f aca="false">ROUNDUP(IF(race="Gnome",1,(1-MIN(TblMili[[#This Row],[Smithies]]*smithy_bonus,smithy_bonus_cap) + tech_3_5*TblTech[[#This Row],[3-5]] + tech_5_3*TblTech[[#This Row],[5-3]] + tech_5_5*TblTech[[#This Row],[5-5]]))*elite1_ore,0)</f>
        <v>0</v>
      </c>
      <c r="BO130" s="69" t="n">
        <f aca="false">ROUNDUP((1-MIN(TblMili[[#This Row],[Smithies]]*smithy_bonus,smithy_bonus_cap) + tech_3_5*TblTech[[#This Row],[3-5]] + tech_5_3*TblTech[[#This Row],[5-3]] + tech_5_5*TblTech[[#This Row],[5-5]])*elite2_plat,0)</f>
        <v>608</v>
      </c>
      <c r="BP130" s="69" t="n">
        <f aca="false">ROUNDUP(IF(race="Gnome",1,(1-MIN(TblMili[[#This Row],[Smithies]]*smithy_bonus,smithy_bonus_cap) + tech_3_5*TblTech[[#This Row],[3-5]] + tech_5_3*TblTech[[#This Row],[5-3]] + tech_5_5*TblTech[[#This Row],[5-5]]))*elite2_ore,0)</f>
        <v>0</v>
      </c>
      <c r="BQ130" s="69" t="n">
        <f aca="false">ROUNDUP((1-MIN(ROUND(fh_spy_cost_red*TblMili[[#This Row],[FH''s]],4),fh_spy_cost_cap)+ tech_1_9*TblTech[[#This Row],[1-9]] + tech_9_1*TblTech[[#This Row],[9-1]])*spy_plat,0)</f>
        <v>500</v>
      </c>
      <c r="BR130" s="69" t="n">
        <f aca="false">ROUNDUP((1-MIN(ROUND(fh_spy_cost_red*TblMili[[#This Row],[FH''s]],4),fh_spy_cost_cap)+ tech_1_9*TblTech[[#This Row],[1-9]] + tech_9_1*TblTech[[#This Row],[9-1]])*archspy_plat,0)</f>
        <v>1000</v>
      </c>
      <c r="BS130" s="69" t="n">
        <f aca="false">ROUNDUP((1-MIN(ROUND(wg_wiz_cost_bonus*TblMili[[#This Row],[WG''s]],4),wg_wiz_cost_cap) + tech_1_9_2*TblTech[[#This Row],[1-9]] + tech_9_1_2*TblTech[[#This Row],[9-1]])*wizard_plat,0)</f>
        <v>500</v>
      </c>
      <c r="BT130" s="69" t="n">
        <f aca="false">ROUNDUP((1-MIN(ROUND(wg_wiz_cost_bonus*TblMili[[#This Row],[WG''s]],4),wg_wiz_cost_cap) + tech_1_9_2*TblTech[[#This Row],[1-9]] + tech_9_1_2*TblTech[[#This Row],[9-1]])*archmage_plat,0)</f>
        <v>1000</v>
      </c>
      <c r="BU130" s="132"/>
      <c r="BV130" s="150" t="e">
        <f aca="false">TblConstr[[#This Row],[Homeland]]/TblConstr[[#This Row],[Land]]</f>
        <v>#VALUE!</v>
      </c>
      <c r="BW130" s="150" t="n">
        <f aca="false">TblMili[[#This Row],[WG''s]]</f>
        <v>0</v>
      </c>
      <c r="BX130" s="288" t="e">
        <f aca="false">IF(mystic_cap="none",TblMili[[#This Row],[Hill]]/mystic_bonus,MIN(mystic_cap,TblMili[[#This Row],[Hill]]/mystic_bonus))</f>
        <v>#VALUE!</v>
      </c>
      <c r="BY130" s="288" t="e">
        <f aca="false">IF(druid_op_cap="none",TblMili[[#This Row],[Hill]]/druid_op_bonus,MIN(druid_op_cap,TblMili[[#This Row],[Hill]]/druid_op_bonus))</f>
        <v>#VALUE!</v>
      </c>
      <c r="BZ130" s="288" t="e">
        <f aca="false">IF(druid_dp_cap="none",TblMili[[#This Row],[Hill]]/druid_dp_bonus,MIN(druid_dp_cap,TblMili[[#This Row],[Hill]]/druid_dp_bonus))</f>
        <v>#VALUE!</v>
      </c>
      <c r="CA130" s="288" t="e">
        <f aca="false">MIN(dryad_cap,TblMili[[#This Row],[Hill]]/dryad_bonus)</f>
        <v>#VALUE!</v>
      </c>
      <c r="CB130" s="288" t="e">
        <f aca="false">MIN(rocka_cap,TblMili[[#This Row],[Hill]]/rocka_bonus)</f>
        <v>#VALUE!</v>
      </c>
      <c r="CC130" s="288" t="n">
        <f aca="false">MIN(adept_op_cap,TblMili[[#This Row],[WG]]/adept_op_bonus)</f>
        <v>0</v>
      </c>
      <c r="CD130" s="288" t="n">
        <f aca="false">MIN(adept_dp_cap,TblMili[[#This Row],[WG]]/adept_dp_bonus)</f>
        <v>0</v>
      </c>
      <c r="CE130" s="69" t="n">
        <f aca="false">MIN(TblMili[[#This Row],[Unit 3]],TblMili[[#This Row],[Unit 2]])*2</f>
        <v>1400</v>
      </c>
      <c r="CF130" s="69" t="n">
        <f aca="false">MIN(TblMili[[#This Row],[Unit 1]],TblMili[[#This Row],[Unit 4]])*2</f>
        <v>0</v>
      </c>
      <c r="CG130" s="288" t="e">
        <f aca="false">MIN(frost_mage_cap,TblMili[[#This Row],[Hill]]/frost_mage_bonus)</f>
        <v>#VALUE!</v>
      </c>
      <c r="CH130" s="151" t="n">
        <f aca="false">MIN(ice_elem_cap,TblMili[[#This Row],[Raw (2)]]*ice_elem_bonus)</f>
        <v>0.0357142857142857</v>
      </c>
      <c r="CI130" s="288" t="n">
        <f aca="false">MIN(bone_breaker_cap,250/bone_breaker_bonus)</f>
        <v>0.833333333333333</v>
      </c>
      <c r="CJ130" s="288" t="e">
        <f aca="false">MIN(nox_nightshade_cap,TblConstr[[#This Row],[Homeland]]/TblConstr[[#This Row],[Land]]/nox_nightshade_swamp_bonus)</f>
        <v>#VALUE!</v>
      </c>
      <c r="CK130" s="289"/>
      <c r="CL130" s="289"/>
      <c r="CM130" s="289"/>
      <c r="CN130" s="288" t="e">
        <f aca="false">MIN(6,TblMili[[#This Row],[Mystic]]+Races!$F$19)*1.8 +  IF(TblMili[[#This Row],[Mystic]]+Races!$F$19&gt;6,(TblMili[[#This Row],[Mystic]]+Races!$F$19-6)*0.2,0) - Races!$I$19</f>
        <v>#VALUE!</v>
      </c>
      <c r="CO130" s="288" t="e">
        <f aca="false">1.8 * MIN(MAX(TblMili[[#This Row],[Druid (op)]]+Races!$E$20,TblMili[[#This Row],[Druid (dp)]]+Races!$F$20),6)  +  0.45 * MIN(MIN(TblMili[[#This Row],[Druid (op)]]+Races!$E$20,TblMili[[#This Row],[Druid (dp)]]+Races!$F$20),6)  +  0.2 * ( MAX(TblMili[[#This Row],[Druid (op)]]+Races!$E$20-6,0) + MAX(TblMili[[#This Row],[Druid (dp)]]+Races!$F$20-6,0) )  -  Races!$I$20</f>
        <v>#VALUE!</v>
      </c>
      <c r="CP130" s="69" t="e">
        <f aca="false">TblMili[[#This Row],[Mystic bonus]]*TblMili[[#This Row],[Unit 3]]+TblMili[[#This Row],[Druid bonus]]*TblMili[[#This Row],[Unit 4]]</f>
        <v>#VALUE!</v>
      </c>
      <c r="CQ130" s="148" t="e">
        <f aca="false">MIN(6,TblMili[[#This Row],[Dryad]]+Races!$F$35)*1.8 +  IF(TblMili[[#This Row],[Dryad]]+Races!$F$35&gt;6,(TblMili[[#This Row],[Dryad]]+Races!$F$35-6)*0.2,0) - Races!$I$19</f>
        <v>#VALUE!</v>
      </c>
      <c r="CR130" s="69" t="e">
        <f aca="false">sylvan*(TblMili[[#This Row],[Mystic bonus]]*TblMili[[#This Row],[Unit 3]])</f>
        <v>#VALUE!</v>
      </c>
      <c r="CS130" s="148" t="e">
        <f aca="false">1.8 * MIN(MAX(Races!$E$27,TblMili[[#This Row],[Rockapult]]+Races!$F$27),6)  +  0.45 * MIN(MIN(Races!$E$27,TblMili[[#This Row],[Rockapult]]+Races!$F$27),6)  +  0.2 * ( MAX(Races!$E$27-6,0) + MAX(TblMili[[#This Row],[Rockapult]]+Races!$F$27-6,0) )  -  Races!$I$20</f>
        <v>#VALUE!</v>
      </c>
      <c r="CT130" s="69" t="e">
        <f aca="false">gnome*(TblMili[[#This Row],[Rockapult bonus]]*TblMili[[#This Row],[Unit 3]])</f>
        <v>#VALUE!</v>
      </c>
      <c r="CU130" s="148" t="n">
        <f aca="false">1.8 * MIN(MAX(TblMili[[#This Row],[Spellblade]]+Races!$E$47,TblMili[[#This Row],[Adept-DP]]+Races!$F$47),6)  +  0.45 * MIN(MIN(TblMili[[#This Row],[Spellblade]]+Races!$E$47,TblMili[[#This Row],[Adept-DP]]+Races!$F$47),6)  +  0.2 * ( MAX(TblMili[[#This Row],[Spellblade]]+Races!$E$47-6,0) + MAX(TblMili[[#This Row],[Adept-DP]]+Races!$F$47-6,0) )  -  Races!$I$47</f>
        <v>0</v>
      </c>
      <c r="CV130" s="69" t="n">
        <f aca="false">dark_elf*(TblMili[[#This Row],[Adept bonus]]*TblMili[[#This Row],[Unit 3]])</f>
        <v>0</v>
      </c>
      <c r="CW130" s="148" t="e">
        <f aca="false">1.8 * MIN(MAX(TblMili[[#This Row],[Frost Mage]]+Races!$F$71,Races!$E$71),6)  +  0.45 * MIN(MIN(TblMili[[#This Row],[Frost Mage]]+Races!$F$71,Races!$E$71),6)  +  0.2 * ( MAX(TblMili[[#This Row],[Frost Mage]]+Races!$F$71-6,0) + MAX(Races!$E$71-6,0) )  -  Races!$I$71</f>
        <v>#VALUE!</v>
      </c>
      <c r="CX130" s="148" t="n">
        <f aca="false">1.8 * MIN(MAX(TblMili[[#This Row],[Ice Elemental]]+Races!$E$71,Races!$F$71),6)  +  0.45 * MIN(MIN(TblMili[[#This Row],[Ice Elemental]]+Races!$E$71,Races!$F$71),6)  +  0.2 * ( MAX(TblMili[[#This Row],[Ice Elemental]]+Races!$E$71-6,0) + MAX(Races!$F$71-6,0) )  -  Races!$I$71</f>
        <v>0.064285714285715</v>
      </c>
      <c r="CY130" s="69" t="e">
        <f aca="false">TblMili[[#This Row],[Frost Mage bonus]]*TblMili[[#This Row],[Unit 3]]+TblMili[[#This Row],[Ice Elemental bonus]]*TblMili[[#This Row],[Unit 4]]</f>
        <v>#VALUE!</v>
      </c>
      <c r="CZ130" s="290"/>
      <c r="DA130" s="109" t="n">
        <f aca="false">MIN(SUM(TblConstr[[#This Row],[Plain]:[Water]])/TblMili[[#This Row],[Land]]/favorable_terrain_bonus/100,favorable_terrain_max)</f>
        <v>0</v>
      </c>
      <c r="DB130" s="290"/>
      <c r="DC13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0" s="132"/>
      <c r="DE130" s="291" t="n">
        <f aca="false">(TblMili[[#This Row],[Wizards]]+2*TblMili[[#This Row],[Archmages]])/TblConstr[[#This Row],[Land]]</f>
        <v>0.0357142857142857</v>
      </c>
      <c r="DF130" s="291" t="n">
        <f aca="false">TblMili[[#This Row],[Raw (2)]]*(1+race_wizard_strength+IF(TblMili[[#This Row],[Hour]]&gt;72,tech_magical_weaponry_wiz*TblTech[[#This Row],[3-5]],0))</f>
        <v>0.0357142857142857</v>
      </c>
    </row>
    <row r="131" customFormat="false" ht="12.75" hidden="false" customHeight="false" outlineLevel="0" collapsed="false">
      <c r="A131" s="128" t="n">
        <f aca="false">TblRezone[[#This Row],[Hour]]</f>
        <v>128</v>
      </c>
      <c r="B131" s="282" t="n">
        <f aca="false">SUM(TblMili[[#This Row],[Unit 1]:[Archmages]])+SUM(OFFSET(TblMili[[#This Row],[Train Unit 1]],-8,0):TblMili[[#This Row],[Train Unit 2]]) + SUM(OFFSET(TblMili[[#This Row],[Train Unit 3]],-11,0):TblMili[[#This Row],[Train AM]]) + TblMili[[#This Row],[Draftees]]</f>
        <v>7177</v>
      </c>
      <c r="C131" s="150" t="n">
        <f aca="false">TblPop[[#This Row],[Military%]]</f>
        <v>0.554679650668522</v>
      </c>
      <c r="D131" s="132"/>
      <c r="E131" s="151" t="n">
        <f aca="false">OFFSET(TblMili[[#This Row],[Unit 1]],-1,0) + OFFSET(TblMili[[#This Row],[Train Unit 1]],-9,0) - TblMili[[#This Row],[Release Unit 1]]</f>
        <v>0</v>
      </c>
      <c r="F131" s="151" t="n">
        <f aca="false">OFFSET(TblMili[[#This Row],[Unit 2]],-1,0) + OFFSET(TblMili[[#This Row],[Train Unit 2]],-9,0)-TblMili[[#This Row],[Release Unit 2]]</f>
        <v>1246</v>
      </c>
      <c r="G131" s="151" t="n">
        <f aca="false">OFFSET(TblMili[[#This Row],[Unit 3]],-1,0) + OFFSET(TblMili[[#This Row],[Train Unit 3]],-12,0)-TblMili[[#This Row],[Release Unit 3]]</f>
        <v>700</v>
      </c>
      <c r="H131" s="151" t="n">
        <f aca="false">OFFSET(TblMili[[#This Row],[Unit 4]],-1,0) + OFFSET(TblMili[[#This Row],[Train Unit 4]],-12,0)-TblMili[[#This Row],[Release Unit 4]]</f>
        <v>1228</v>
      </c>
      <c r="I131" s="151" t="n">
        <f aca="false">OFFSET(TblMili[[#This Row],[Spies]],-1,0) + OFFSET(TblMili[[#This Row],[Train Spies]],-12,0) - TblMili[[#This Row],[Release Spies]]-TblMili[[#This Row],[Train AS]]</f>
        <v>25</v>
      </c>
      <c r="J131" s="151" t="n">
        <f aca="false">OFFSET(TblMili[[#This Row],[Archspies]],-1,0) + OFFSET(TblMili[[#This Row],[Train AS]],-12,0) - TblMili[[#This Row],[Release AS]]</f>
        <v>0</v>
      </c>
      <c r="K131" s="151" t="n">
        <f aca="false">OFFSET(TblMili[[#This Row],[Wizards]],-1,0) + OFFSET(TblMili[[#This Row],[Train Wiz]],-12,0) - TblMili[[#This Row],[Release Wizards]]-TblMili[[#This Row],[Train AM]]</f>
        <v>25</v>
      </c>
      <c r="L131" s="151" t="n">
        <f aca="false">OFFSET(TblMili[[#This Row],[Archmages]],-1,0) + OFFSET(TblMili[[#This Row],[Train AM]],-12,0) - TblMili[[#This Row],[Release AM]]</f>
        <v>0</v>
      </c>
      <c r="M131" s="132"/>
      <c r="N131" s="69" t="e">
        <f aca="false">TblProd[[#This Row],[Networth]]</f>
        <v>#VALUE!</v>
      </c>
      <c r="O131" s="132"/>
      <c r="P13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1" s="285" t="e">
        <f aca="false">TblMili[[#This Row],[Raw]]*(1+TblMili[[#This Row],[Mods_Off]])</f>
        <v>#VALUE!</v>
      </c>
      <c r="S13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1" s="285" t="e">
        <f aca="false">TblMili[[#This Row],[Non Draft]]+TblMili[[#This Row],[Draftees]]</f>
        <v>#VALUE!</v>
      </c>
      <c r="U131" s="286" t="n">
        <f aca="false">race_defense + TblImps[[#This Row],[Walls]] + ROUND( MIN(gt_bonus*TblConstr[[#This Row],[Tot GT]]/TblConstr[[#This Row],[Land]],gt_bonus_cap), 4) + IF(TblMagic[[#This Row],[Active Howling]]&gt;0,howling_dp_bonus,IF(TblMagic[[#This Row],[Active Ares Call]]&gt;0,ares_call_bonus))</f>
        <v>0.1375</v>
      </c>
      <c r="V131" s="274" t="e">
        <f aca="false">TblMili[[#This Row],[Non Draft]] * (1 + TblMili[[#This Row],[Mods_Def]])</f>
        <v>#VALUE!</v>
      </c>
      <c r="W131" s="285" t="e">
        <f aca="false">TblMili[[#This Row],[Draft]] * (1 + TblMili[[#This Row],[Mods_Def]])</f>
        <v>#VALUE!</v>
      </c>
      <c r="X131" s="285" t="n">
        <f aca="false">TblConstr[[#This Row],[Land]]</f>
        <v>700</v>
      </c>
      <c r="Y131" s="287"/>
      <c r="Z131" s="109" t="n">
        <f aca="false">IF(TblMili[[#This Row],[Set]]&lt;&gt;"",TblMili[[#This Row],[Set]],OFFSET(TblMili[[#This Row],[Draftrate]],-1,0))</f>
        <v>0.9</v>
      </c>
      <c r="AA131" s="69" t="n">
        <f aca="false">OFFSET(TblMili[[#This Row],[Draftees]],-1,0)+OFFSET(TblPop[[#This Row],[Draft Growth]],-1,0) - SUM(TblMili[[#This Row],[Train Unit 1]:[Train Spies]],TblMili[[#This Row],[Train Wiz]]) - TblMili[[#This Row],[Release Draft]] + SUM(TblMili[[#This Row],[Release Unit 1]:[Release AM]]) - TblExplore[[#This Row],[Draftees (2)]]</f>
        <v>3953</v>
      </c>
      <c r="AB131" s="146"/>
      <c r="AC131" s="130" t="n">
        <f aca="false">(TblConstr[[#This Row],[Tot Smi]]+TblConstr[[#This Row],[Dest Smi]])/(TblConstr[[#This Row],[Land]]-TblExplore[[#This Row],[Land Bonus]]*20)</f>
        <v>0.18</v>
      </c>
      <c r="AD131" s="128"/>
      <c r="AE131" s="282" t="n">
        <f aca="false">TblMili[[#This Row],[Hour]]</f>
        <v>128</v>
      </c>
      <c r="AF131" s="129" t="n">
        <f aca="false">TblExplore[[#This Row],[Time]]</f>
        <v>45435.0416666667</v>
      </c>
      <c r="AG131" s="182"/>
      <c r="AH131" s="182"/>
      <c r="AI131" s="182"/>
      <c r="AJ131" s="182"/>
      <c r="AK131" s="182"/>
      <c r="AL131" s="182"/>
      <c r="AM131" s="182"/>
      <c r="AN131" s="182"/>
      <c r="AO131" s="132"/>
      <c r="AP131" s="69" t="n">
        <f aca="false">TblProd[[#This Row],[Platinum]]</f>
        <v>2063287</v>
      </c>
      <c r="AQ131" s="69" t="n">
        <f aca="false">INDEX(TblProd[[#Headers],[Lumber]]:TblProd[[#This Row],[Ore]],COUNTA(TblProd[[#Headers],[Lumber]]:TblProd[[#This Row],[Lumber]]),MATCH(Military!$AQ$2,TblProd[[#Headers],[Lumber]:[Ore]],0))</f>
        <v>0</v>
      </c>
      <c r="AR13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69" t="n">
        <f aca="false">TblMili[[#This Row],[Train Unit 1]]*TblMili[[#This Row],[OP Ore]]+TblMili[[#This Row],[Train Unit 2]]*TblMili[[#This Row],[DP Ore]]+TblMili[[#This Row],[Train Unit 3]]*TblMili[[#This Row],[E1 Ore]]+TblMili[[#This Row],[Train Unit 4]]*TblMili[[#This Row],[E2 Ore]]</f>
        <v>0</v>
      </c>
      <c r="AT131" s="132" t="n">
        <f aca="false">TblMili[[#This Row],[Hour]]</f>
        <v>128</v>
      </c>
      <c r="AU131" s="144" t="n">
        <f aca="false">TblMili[[#This Row],[Time]]</f>
        <v>45435.0416666667</v>
      </c>
      <c r="AV131" s="69" t="n">
        <f aca="false">TblMili[[#This Row],[Draftees]]</f>
        <v>3953</v>
      </c>
      <c r="AW131" s="182"/>
      <c r="AX131" s="182"/>
      <c r="AY131" s="182"/>
      <c r="AZ131" s="182"/>
      <c r="BA131" s="182"/>
      <c r="BB131" s="182"/>
      <c r="BC131" s="182"/>
      <c r="BD131" s="182"/>
      <c r="BE131" s="182"/>
      <c r="BF131" s="132"/>
      <c r="BG131" s="150" t="n">
        <f aca="false">TblConstr[[#This Row],[Tot WG]]/TblConstr[[#This Row],[Land]]</f>
        <v>0</v>
      </c>
      <c r="BH131" s="150" t="n">
        <f aca="false">TblConstr[[#This Row],[Tot Hav]]/TblConstr[[#This Row],[Land]]</f>
        <v>0</v>
      </c>
      <c r="BI131" s="69" t="n">
        <f aca="false">ROUNDUP((1-MIN(TblMili[[#This Row],[Smithies]]*smithy_bonus,smithy_bonus_cap) + tech_3_5*TblTech[[#This Row],[3-5]] + tech_5_3*TblTech[[#This Row],[5-3]] + tech_5_5*TblTech[[#This Row],[5-5]])*spec_op_plat,0)</f>
        <v>192</v>
      </c>
      <c r="BJ131" s="69" t="n">
        <f aca="false">ROUNDUP(IF(race="Gnome",1,(1-MIN(TblMili[[#This Row],[Smithies]]*smithy_bonus,smithy_bonus_cap) + tech_3_5*TblTech[[#This Row],[3-5]] + tech_5_3*TblTech[[#This Row],[5-3]] + tech_5_5*TblTech[[#This Row],[5-5]]))*spec_op_ore,0)</f>
        <v>0</v>
      </c>
      <c r="BK131" s="69" t="n">
        <f aca="false">ROUNDUP((1-MIN(TblMili[[#This Row],[Smithies]]*smithy_bonus,smithy_bonus_cap) + tech_3_5*TblTech[[#This Row],[3-5]] + tech_5_3*TblTech[[#This Row],[5-3]] + tech_5_5*TblTech[[#This Row],[5-5]])*spec_dp_plat,0)</f>
        <v>192</v>
      </c>
      <c r="BL131" s="69" t="n">
        <f aca="false">ROUNDUP(IF(race="Gnome",1,(1-MIN(TblMili[[#This Row],[Smithies]]*smithy_bonus,smithy_bonus_cap) + tech_3_5*TblTech[[#This Row],[3-5]] + tech_5_3*TblTech[[#This Row],[5-3]] + tech_5_5*TblTech[[#This Row],[5-5]]))*spec_dp_ore,0)</f>
        <v>0</v>
      </c>
      <c r="BM131" s="69" t="n">
        <f aca="false">ROUNDUP((1-MIN(TblMili[[#This Row],[Smithies]]*smithy_bonus,smithy_bonus_cap) + tech_3_5*TblTech[[#This Row],[3-5]] + tech_5_3*TblTech[[#This Row],[5-3]] + tech_5_5*TblTech[[#This Row],[5-5]])*elite1_plat,0)</f>
        <v>592</v>
      </c>
      <c r="BN131" s="69" t="n">
        <f aca="false">ROUNDUP(IF(race="Gnome",1,(1-MIN(TblMili[[#This Row],[Smithies]]*smithy_bonus,smithy_bonus_cap) + tech_3_5*TblTech[[#This Row],[3-5]] + tech_5_3*TblTech[[#This Row],[5-3]] + tech_5_5*TblTech[[#This Row],[5-5]]))*elite1_ore,0)</f>
        <v>0</v>
      </c>
      <c r="BO131" s="69" t="n">
        <f aca="false">ROUNDUP((1-MIN(TblMili[[#This Row],[Smithies]]*smithy_bonus,smithy_bonus_cap) + tech_3_5*TblTech[[#This Row],[3-5]] + tech_5_3*TblTech[[#This Row],[5-3]] + tech_5_5*TblTech[[#This Row],[5-5]])*elite2_plat,0)</f>
        <v>608</v>
      </c>
      <c r="BP131" s="69" t="n">
        <f aca="false">ROUNDUP(IF(race="Gnome",1,(1-MIN(TblMili[[#This Row],[Smithies]]*smithy_bonus,smithy_bonus_cap) + tech_3_5*TblTech[[#This Row],[3-5]] + tech_5_3*TblTech[[#This Row],[5-3]] + tech_5_5*TblTech[[#This Row],[5-5]]))*elite2_ore,0)</f>
        <v>0</v>
      </c>
      <c r="BQ131" s="69" t="n">
        <f aca="false">ROUNDUP((1-MIN(ROUND(fh_spy_cost_red*TblMili[[#This Row],[FH''s]],4),fh_spy_cost_cap)+ tech_1_9*TblTech[[#This Row],[1-9]] + tech_9_1*TblTech[[#This Row],[9-1]])*spy_plat,0)</f>
        <v>500</v>
      </c>
      <c r="BR131" s="69" t="n">
        <f aca="false">ROUNDUP((1-MIN(ROUND(fh_spy_cost_red*TblMili[[#This Row],[FH''s]],4),fh_spy_cost_cap)+ tech_1_9*TblTech[[#This Row],[1-9]] + tech_9_1*TblTech[[#This Row],[9-1]])*archspy_plat,0)</f>
        <v>1000</v>
      </c>
      <c r="BS131" s="69" t="n">
        <f aca="false">ROUNDUP((1-MIN(ROUND(wg_wiz_cost_bonus*TblMili[[#This Row],[WG''s]],4),wg_wiz_cost_cap) + tech_1_9_2*TblTech[[#This Row],[1-9]] + tech_9_1_2*TblTech[[#This Row],[9-1]])*wizard_plat,0)</f>
        <v>500</v>
      </c>
      <c r="BT131" s="69" t="n">
        <f aca="false">ROUNDUP((1-MIN(ROUND(wg_wiz_cost_bonus*TblMili[[#This Row],[WG''s]],4),wg_wiz_cost_cap) + tech_1_9_2*TblTech[[#This Row],[1-9]] + tech_9_1_2*TblTech[[#This Row],[9-1]])*archmage_plat,0)</f>
        <v>1000</v>
      </c>
      <c r="BU131" s="132"/>
      <c r="BV131" s="150" t="e">
        <f aca="false">TblConstr[[#This Row],[Homeland]]/TblConstr[[#This Row],[Land]]</f>
        <v>#VALUE!</v>
      </c>
      <c r="BW131" s="150" t="n">
        <f aca="false">TblMili[[#This Row],[WG''s]]</f>
        <v>0</v>
      </c>
      <c r="BX131" s="288" t="e">
        <f aca="false">IF(mystic_cap="none",TblMili[[#This Row],[Hill]]/mystic_bonus,MIN(mystic_cap,TblMili[[#This Row],[Hill]]/mystic_bonus))</f>
        <v>#VALUE!</v>
      </c>
      <c r="BY131" s="288" t="e">
        <f aca="false">IF(druid_op_cap="none",TblMili[[#This Row],[Hill]]/druid_op_bonus,MIN(druid_op_cap,TblMili[[#This Row],[Hill]]/druid_op_bonus))</f>
        <v>#VALUE!</v>
      </c>
      <c r="BZ131" s="288" t="e">
        <f aca="false">IF(druid_dp_cap="none",TblMili[[#This Row],[Hill]]/druid_dp_bonus,MIN(druid_dp_cap,TblMili[[#This Row],[Hill]]/druid_dp_bonus))</f>
        <v>#VALUE!</v>
      </c>
      <c r="CA131" s="288" t="e">
        <f aca="false">MIN(dryad_cap,TblMili[[#This Row],[Hill]]/dryad_bonus)</f>
        <v>#VALUE!</v>
      </c>
      <c r="CB131" s="288" t="e">
        <f aca="false">MIN(rocka_cap,TblMili[[#This Row],[Hill]]/rocka_bonus)</f>
        <v>#VALUE!</v>
      </c>
      <c r="CC131" s="288" t="n">
        <f aca="false">MIN(adept_op_cap,TblMili[[#This Row],[WG]]/adept_op_bonus)</f>
        <v>0</v>
      </c>
      <c r="CD131" s="288" t="n">
        <f aca="false">MIN(adept_dp_cap,TblMili[[#This Row],[WG]]/adept_dp_bonus)</f>
        <v>0</v>
      </c>
      <c r="CE131" s="69" t="n">
        <f aca="false">MIN(TblMili[[#This Row],[Unit 3]],TblMili[[#This Row],[Unit 2]])*2</f>
        <v>1400</v>
      </c>
      <c r="CF131" s="69" t="n">
        <f aca="false">MIN(TblMili[[#This Row],[Unit 1]],TblMili[[#This Row],[Unit 4]])*2</f>
        <v>0</v>
      </c>
      <c r="CG131" s="288" t="e">
        <f aca="false">MIN(frost_mage_cap,TblMili[[#This Row],[Hill]]/frost_mage_bonus)</f>
        <v>#VALUE!</v>
      </c>
      <c r="CH131" s="151" t="n">
        <f aca="false">MIN(ice_elem_cap,TblMili[[#This Row],[Raw (2)]]*ice_elem_bonus)</f>
        <v>0.0357142857142857</v>
      </c>
      <c r="CI131" s="288" t="n">
        <f aca="false">MIN(bone_breaker_cap,250/bone_breaker_bonus)</f>
        <v>0.833333333333333</v>
      </c>
      <c r="CJ131" s="288" t="e">
        <f aca="false">MIN(nox_nightshade_cap,TblConstr[[#This Row],[Homeland]]/TblConstr[[#This Row],[Land]]/nox_nightshade_swamp_bonus)</f>
        <v>#VALUE!</v>
      </c>
      <c r="CK131" s="289"/>
      <c r="CL131" s="289"/>
      <c r="CM131" s="289"/>
      <c r="CN131" s="288" t="e">
        <f aca="false">MIN(6,TblMili[[#This Row],[Mystic]]+Races!$F$19)*1.8 +  IF(TblMili[[#This Row],[Mystic]]+Races!$F$19&gt;6,(TblMili[[#This Row],[Mystic]]+Races!$F$19-6)*0.2,0) - Races!$I$19</f>
        <v>#VALUE!</v>
      </c>
      <c r="CO131" s="288" t="e">
        <f aca="false">1.8 * MIN(MAX(TblMili[[#This Row],[Druid (op)]]+Races!$E$20,TblMili[[#This Row],[Druid (dp)]]+Races!$F$20),6)  +  0.45 * MIN(MIN(TblMili[[#This Row],[Druid (op)]]+Races!$E$20,TblMili[[#This Row],[Druid (dp)]]+Races!$F$20),6)  +  0.2 * ( MAX(TblMili[[#This Row],[Druid (op)]]+Races!$E$20-6,0) + MAX(TblMili[[#This Row],[Druid (dp)]]+Races!$F$20-6,0) )  -  Races!$I$20</f>
        <v>#VALUE!</v>
      </c>
      <c r="CP131" s="69" t="e">
        <f aca="false">TblMili[[#This Row],[Mystic bonus]]*TblMili[[#This Row],[Unit 3]]+TblMili[[#This Row],[Druid bonus]]*TblMili[[#This Row],[Unit 4]]</f>
        <v>#VALUE!</v>
      </c>
      <c r="CQ131" s="148" t="e">
        <f aca="false">MIN(6,TblMili[[#This Row],[Dryad]]+Races!$F$35)*1.8 +  IF(TblMili[[#This Row],[Dryad]]+Races!$F$35&gt;6,(TblMili[[#This Row],[Dryad]]+Races!$F$35-6)*0.2,0) - Races!$I$19</f>
        <v>#VALUE!</v>
      </c>
      <c r="CR131" s="69" t="e">
        <f aca="false">sylvan*(TblMili[[#This Row],[Mystic bonus]]*TblMili[[#This Row],[Unit 3]])</f>
        <v>#VALUE!</v>
      </c>
      <c r="CS131" s="148" t="e">
        <f aca="false">1.8 * MIN(MAX(Races!$E$27,TblMili[[#This Row],[Rockapult]]+Races!$F$27),6)  +  0.45 * MIN(MIN(Races!$E$27,TblMili[[#This Row],[Rockapult]]+Races!$F$27),6)  +  0.2 * ( MAX(Races!$E$27-6,0) + MAX(TblMili[[#This Row],[Rockapult]]+Races!$F$27-6,0) )  -  Races!$I$20</f>
        <v>#VALUE!</v>
      </c>
      <c r="CT131" s="69" t="e">
        <f aca="false">gnome*(TblMili[[#This Row],[Rockapult bonus]]*TblMili[[#This Row],[Unit 3]])</f>
        <v>#VALUE!</v>
      </c>
      <c r="CU131" s="148" t="n">
        <f aca="false">1.8 * MIN(MAX(TblMili[[#This Row],[Spellblade]]+Races!$E$47,TblMili[[#This Row],[Adept-DP]]+Races!$F$47),6)  +  0.45 * MIN(MIN(TblMili[[#This Row],[Spellblade]]+Races!$E$47,TblMili[[#This Row],[Adept-DP]]+Races!$F$47),6)  +  0.2 * ( MAX(TblMili[[#This Row],[Spellblade]]+Races!$E$47-6,0) + MAX(TblMili[[#This Row],[Adept-DP]]+Races!$F$47-6,0) )  -  Races!$I$47</f>
        <v>0</v>
      </c>
      <c r="CV131" s="69" t="n">
        <f aca="false">dark_elf*(TblMili[[#This Row],[Adept bonus]]*TblMili[[#This Row],[Unit 3]])</f>
        <v>0</v>
      </c>
      <c r="CW131" s="148" t="e">
        <f aca="false">1.8 * MIN(MAX(TblMili[[#This Row],[Frost Mage]]+Races!$F$71,Races!$E$71),6)  +  0.45 * MIN(MIN(TblMili[[#This Row],[Frost Mage]]+Races!$F$71,Races!$E$71),6)  +  0.2 * ( MAX(TblMili[[#This Row],[Frost Mage]]+Races!$F$71-6,0) + MAX(Races!$E$71-6,0) )  -  Races!$I$71</f>
        <v>#VALUE!</v>
      </c>
      <c r="CX131" s="148" t="n">
        <f aca="false">1.8 * MIN(MAX(TblMili[[#This Row],[Ice Elemental]]+Races!$E$71,Races!$F$71),6)  +  0.45 * MIN(MIN(TblMili[[#This Row],[Ice Elemental]]+Races!$E$71,Races!$F$71),6)  +  0.2 * ( MAX(TblMili[[#This Row],[Ice Elemental]]+Races!$E$71-6,0) + MAX(Races!$F$71-6,0) )  -  Races!$I$71</f>
        <v>0.064285714285715</v>
      </c>
      <c r="CY131" s="69" t="e">
        <f aca="false">TblMili[[#This Row],[Frost Mage bonus]]*TblMili[[#This Row],[Unit 3]]+TblMili[[#This Row],[Ice Elemental bonus]]*TblMili[[#This Row],[Unit 4]]</f>
        <v>#VALUE!</v>
      </c>
      <c r="CZ131" s="290"/>
      <c r="DA131" s="109" t="n">
        <f aca="false">MIN(SUM(TblConstr[[#This Row],[Plain]:[Water]])/TblMili[[#This Row],[Land]]/favorable_terrain_bonus/100,favorable_terrain_max)</f>
        <v>0</v>
      </c>
      <c r="DB131" s="290"/>
      <c r="DC13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1" s="132"/>
      <c r="DE131" s="291" t="n">
        <f aca="false">(TblMili[[#This Row],[Wizards]]+2*TblMili[[#This Row],[Archmages]])/TblConstr[[#This Row],[Land]]</f>
        <v>0.0357142857142857</v>
      </c>
      <c r="DF131" s="291" t="n">
        <f aca="false">TblMili[[#This Row],[Raw (2)]]*(1+race_wizard_strength+IF(TblMili[[#This Row],[Hour]]&gt;72,tech_magical_weaponry_wiz*TblTech[[#This Row],[3-5]],0))</f>
        <v>0.0357142857142857</v>
      </c>
    </row>
    <row r="132" customFormat="false" ht="12.75" hidden="false" customHeight="false" outlineLevel="0" collapsed="false">
      <c r="A132" s="128" t="n">
        <f aca="false">TblRezone[[#This Row],[Hour]]</f>
        <v>129</v>
      </c>
      <c r="B132" s="282" t="n">
        <f aca="false">SUM(TblMili[[#This Row],[Unit 1]:[Archmages]])+SUM(OFFSET(TblMili[[#This Row],[Train Unit 1]],-8,0):TblMili[[#This Row],[Train Unit 2]]) + SUM(OFFSET(TblMili[[#This Row],[Train Unit 3]],-11,0):TblMili[[#This Row],[Train AM]]) + TblMili[[#This Row],[Draftees]]</f>
        <v>7235</v>
      </c>
      <c r="C132" s="150" t="n">
        <f aca="false">TblPop[[#This Row],[Military%]]</f>
        <v>0.55916222273746</v>
      </c>
      <c r="D132" s="132"/>
      <c r="E132" s="151" t="n">
        <f aca="false">OFFSET(TblMili[[#This Row],[Unit 1]],-1,0) + OFFSET(TblMili[[#This Row],[Train Unit 1]],-9,0) - TblMili[[#This Row],[Release Unit 1]]</f>
        <v>0</v>
      </c>
      <c r="F132" s="151" t="n">
        <f aca="false">OFFSET(TblMili[[#This Row],[Unit 2]],-1,0) + OFFSET(TblMili[[#This Row],[Train Unit 2]],-9,0)-TblMili[[#This Row],[Release Unit 2]]</f>
        <v>1246</v>
      </c>
      <c r="G132" s="151" t="n">
        <f aca="false">OFFSET(TblMili[[#This Row],[Unit 3]],-1,0) + OFFSET(TblMili[[#This Row],[Train Unit 3]],-12,0)-TblMili[[#This Row],[Release Unit 3]]</f>
        <v>700</v>
      </c>
      <c r="H132" s="151" t="n">
        <f aca="false">OFFSET(TblMili[[#This Row],[Unit 4]],-1,0) + OFFSET(TblMili[[#This Row],[Train Unit 4]],-12,0)-TblMili[[#This Row],[Release Unit 4]]</f>
        <v>1228</v>
      </c>
      <c r="I132" s="151" t="n">
        <f aca="false">OFFSET(TblMili[[#This Row],[Spies]],-1,0) + OFFSET(TblMili[[#This Row],[Train Spies]],-12,0) - TblMili[[#This Row],[Release Spies]]-TblMili[[#This Row],[Train AS]]</f>
        <v>25</v>
      </c>
      <c r="J132" s="151" t="n">
        <f aca="false">OFFSET(TblMili[[#This Row],[Archspies]],-1,0) + OFFSET(TblMili[[#This Row],[Train AS]],-12,0) - TblMili[[#This Row],[Release AS]]</f>
        <v>0</v>
      </c>
      <c r="K132" s="151" t="n">
        <f aca="false">OFFSET(TblMili[[#This Row],[Wizards]],-1,0) + OFFSET(TblMili[[#This Row],[Train Wiz]],-12,0) - TblMili[[#This Row],[Release Wizards]]-TblMili[[#This Row],[Train AM]]</f>
        <v>25</v>
      </c>
      <c r="L132" s="151" t="n">
        <f aca="false">OFFSET(TblMili[[#This Row],[Archmages]],-1,0) + OFFSET(TblMili[[#This Row],[Train AM]],-12,0) - TblMili[[#This Row],[Release AM]]</f>
        <v>0</v>
      </c>
      <c r="M132" s="132"/>
      <c r="N132" s="69" t="e">
        <f aca="false">TblProd[[#This Row],[Networth]]</f>
        <v>#VALUE!</v>
      </c>
      <c r="O132" s="132"/>
      <c r="P13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2" s="285" t="e">
        <f aca="false">TblMili[[#This Row],[Raw]]*(1+TblMili[[#This Row],[Mods_Off]])</f>
        <v>#VALUE!</v>
      </c>
      <c r="S13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2" s="285" t="e">
        <f aca="false">TblMili[[#This Row],[Non Draft]]+TblMili[[#This Row],[Draftees]]</f>
        <v>#VALUE!</v>
      </c>
      <c r="U132" s="286" t="n">
        <f aca="false">race_defense + TblImps[[#This Row],[Walls]] + ROUND( MIN(gt_bonus*TblConstr[[#This Row],[Tot GT]]/TblConstr[[#This Row],[Land]],gt_bonus_cap), 4) + IF(TblMagic[[#This Row],[Active Howling]]&gt;0,howling_dp_bonus,IF(TblMagic[[#This Row],[Active Ares Call]]&gt;0,ares_call_bonus))</f>
        <v>0.1375</v>
      </c>
      <c r="V132" s="274" t="e">
        <f aca="false">TblMili[[#This Row],[Non Draft]] * (1 + TblMili[[#This Row],[Mods_Def]])</f>
        <v>#VALUE!</v>
      </c>
      <c r="W132" s="285" t="e">
        <f aca="false">TblMili[[#This Row],[Draft]] * (1 + TblMili[[#This Row],[Mods_Def]])</f>
        <v>#VALUE!</v>
      </c>
      <c r="X132" s="285" t="n">
        <f aca="false">TblConstr[[#This Row],[Land]]</f>
        <v>700</v>
      </c>
      <c r="Y132" s="287"/>
      <c r="Z132" s="109" t="n">
        <f aca="false">IF(TblMili[[#This Row],[Set]]&lt;&gt;"",TblMili[[#This Row],[Set]],OFFSET(TblMili[[#This Row],[Draftrate]],-1,0))</f>
        <v>0.9</v>
      </c>
      <c r="AA132" s="69" t="n">
        <f aca="false">OFFSET(TblMili[[#This Row],[Draftees]],-1,0)+OFFSET(TblPop[[#This Row],[Draft Growth]],-1,0) - SUM(TblMili[[#This Row],[Train Unit 1]:[Train Spies]],TblMili[[#This Row],[Train Wiz]]) - TblMili[[#This Row],[Release Draft]] + SUM(TblMili[[#This Row],[Release Unit 1]:[Release AM]]) - TblExplore[[#This Row],[Draftees (2)]]</f>
        <v>4011</v>
      </c>
      <c r="AB132" s="146"/>
      <c r="AC132" s="130" t="n">
        <f aca="false">(TblConstr[[#This Row],[Tot Smi]]+TblConstr[[#This Row],[Dest Smi]])/(TblConstr[[#This Row],[Land]]-TblExplore[[#This Row],[Land Bonus]]*20)</f>
        <v>0.18</v>
      </c>
      <c r="AD132" s="128"/>
      <c r="AE132" s="282" t="n">
        <f aca="false">TblMili[[#This Row],[Hour]]</f>
        <v>129</v>
      </c>
      <c r="AF132" s="129" t="n">
        <f aca="false">TblExplore[[#This Row],[Time]]</f>
        <v>45435.0833333333</v>
      </c>
      <c r="AG132" s="182"/>
      <c r="AH132" s="182"/>
      <c r="AI132" s="182"/>
      <c r="AJ132" s="182"/>
      <c r="AK132" s="182"/>
      <c r="AL132" s="182"/>
      <c r="AM132" s="182"/>
      <c r="AN132" s="182"/>
      <c r="AO132" s="132"/>
      <c r="AP132" s="69" t="n">
        <f aca="false">TblProd[[#This Row],[Platinum]]</f>
        <v>2091219</v>
      </c>
      <c r="AQ132" s="69" t="n">
        <f aca="false">INDEX(TblProd[[#Headers],[Lumber]]:TblProd[[#This Row],[Ore]],COUNTA(TblProd[[#Headers],[Lumber]]:TblProd[[#This Row],[Lumber]]),MATCH(Military!$AQ$2,TblProd[[#Headers],[Lumber]:[Ore]],0))</f>
        <v>0</v>
      </c>
      <c r="AR13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69" t="n">
        <f aca="false">TblMili[[#This Row],[Train Unit 1]]*TblMili[[#This Row],[OP Ore]]+TblMili[[#This Row],[Train Unit 2]]*TblMili[[#This Row],[DP Ore]]+TblMili[[#This Row],[Train Unit 3]]*TblMili[[#This Row],[E1 Ore]]+TblMili[[#This Row],[Train Unit 4]]*TblMili[[#This Row],[E2 Ore]]</f>
        <v>0</v>
      </c>
      <c r="AT132" s="132" t="n">
        <f aca="false">TblMili[[#This Row],[Hour]]</f>
        <v>129</v>
      </c>
      <c r="AU132" s="144" t="n">
        <f aca="false">TblMili[[#This Row],[Time]]</f>
        <v>45435.0833333333</v>
      </c>
      <c r="AV132" s="69" t="n">
        <f aca="false">TblMili[[#This Row],[Draftees]]</f>
        <v>4011</v>
      </c>
      <c r="AW132" s="182"/>
      <c r="AX132" s="182"/>
      <c r="AY132" s="182"/>
      <c r="AZ132" s="182"/>
      <c r="BA132" s="182"/>
      <c r="BB132" s="182"/>
      <c r="BC132" s="182"/>
      <c r="BD132" s="182"/>
      <c r="BE132" s="182"/>
      <c r="BF132" s="132"/>
      <c r="BG132" s="150" t="n">
        <f aca="false">TblConstr[[#This Row],[Tot WG]]/TblConstr[[#This Row],[Land]]</f>
        <v>0</v>
      </c>
      <c r="BH132" s="150" t="n">
        <f aca="false">TblConstr[[#This Row],[Tot Hav]]/TblConstr[[#This Row],[Land]]</f>
        <v>0</v>
      </c>
      <c r="BI132" s="69" t="n">
        <f aca="false">ROUNDUP((1-MIN(TblMili[[#This Row],[Smithies]]*smithy_bonus,smithy_bonus_cap) + tech_3_5*TblTech[[#This Row],[3-5]] + tech_5_3*TblTech[[#This Row],[5-3]] + tech_5_5*TblTech[[#This Row],[5-5]])*spec_op_plat,0)</f>
        <v>192</v>
      </c>
      <c r="BJ132" s="69" t="n">
        <f aca="false">ROUNDUP(IF(race="Gnome",1,(1-MIN(TblMili[[#This Row],[Smithies]]*smithy_bonus,smithy_bonus_cap) + tech_3_5*TblTech[[#This Row],[3-5]] + tech_5_3*TblTech[[#This Row],[5-3]] + tech_5_5*TblTech[[#This Row],[5-5]]))*spec_op_ore,0)</f>
        <v>0</v>
      </c>
      <c r="BK132" s="69" t="n">
        <f aca="false">ROUNDUP((1-MIN(TblMili[[#This Row],[Smithies]]*smithy_bonus,smithy_bonus_cap) + tech_3_5*TblTech[[#This Row],[3-5]] + tech_5_3*TblTech[[#This Row],[5-3]] + tech_5_5*TblTech[[#This Row],[5-5]])*spec_dp_plat,0)</f>
        <v>192</v>
      </c>
      <c r="BL132" s="69" t="n">
        <f aca="false">ROUNDUP(IF(race="Gnome",1,(1-MIN(TblMili[[#This Row],[Smithies]]*smithy_bonus,smithy_bonus_cap) + tech_3_5*TblTech[[#This Row],[3-5]] + tech_5_3*TblTech[[#This Row],[5-3]] + tech_5_5*TblTech[[#This Row],[5-5]]))*spec_dp_ore,0)</f>
        <v>0</v>
      </c>
      <c r="BM132" s="69" t="n">
        <f aca="false">ROUNDUP((1-MIN(TblMili[[#This Row],[Smithies]]*smithy_bonus,smithy_bonus_cap) + tech_3_5*TblTech[[#This Row],[3-5]] + tech_5_3*TblTech[[#This Row],[5-3]] + tech_5_5*TblTech[[#This Row],[5-5]])*elite1_plat,0)</f>
        <v>592</v>
      </c>
      <c r="BN132" s="69" t="n">
        <f aca="false">ROUNDUP(IF(race="Gnome",1,(1-MIN(TblMili[[#This Row],[Smithies]]*smithy_bonus,smithy_bonus_cap) + tech_3_5*TblTech[[#This Row],[3-5]] + tech_5_3*TblTech[[#This Row],[5-3]] + tech_5_5*TblTech[[#This Row],[5-5]]))*elite1_ore,0)</f>
        <v>0</v>
      </c>
      <c r="BO132" s="69" t="n">
        <f aca="false">ROUNDUP((1-MIN(TblMili[[#This Row],[Smithies]]*smithy_bonus,smithy_bonus_cap) + tech_3_5*TblTech[[#This Row],[3-5]] + tech_5_3*TblTech[[#This Row],[5-3]] + tech_5_5*TblTech[[#This Row],[5-5]])*elite2_plat,0)</f>
        <v>608</v>
      </c>
      <c r="BP132" s="69" t="n">
        <f aca="false">ROUNDUP(IF(race="Gnome",1,(1-MIN(TblMili[[#This Row],[Smithies]]*smithy_bonus,smithy_bonus_cap) + tech_3_5*TblTech[[#This Row],[3-5]] + tech_5_3*TblTech[[#This Row],[5-3]] + tech_5_5*TblTech[[#This Row],[5-5]]))*elite2_ore,0)</f>
        <v>0</v>
      </c>
      <c r="BQ132" s="69" t="n">
        <f aca="false">ROUNDUP((1-MIN(ROUND(fh_spy_cost_red*TblMili[[#This Row],[FH''s]],4),fh_spy_cost_cap)+ tech_1_9*TblTech[[#This Row],[1-9]] + tech_9_1*TblTech[[#This Row],[9-1]])*spy_plat,0)</f>
        <v>500</v>
      </c>
      <c r="BR132" s="69" t="n">
        <f aca="false">ROUNDUP((1-MIN(ROUND(fh_spy_cost_red*TblMili[[#This Row],[FH''s]],4),fh_spy_cost_cap)+ tech_1_9*TblTech[[#This Row],[1-9]] + tech_9_1*TblTech[[#This Row],[9-1]])*archspy_plat,0)</f>
        <v>1000</v>
      </c>
      <c r="BS132" s="69" t="n">
        <f aca="false">ROUNDUP((1-MIN(ROUND(wg_wiz_cost_bonus*TblMili[[#This Row],[WG''s]],4),wg_wiz_cost_cap) + tech_1_9_2*TblTech[[#This Row],[1-9]] + tech_9_1_2*TblTech[[#This Row],[9-1]])*wizard_plat,0)</f>
        <v>500</v>
      </c>
      <c r="BT132" s="69" t="n">
        <f aca="false">ROUNDUP((1-MIN(ROUND(wg_wiz_cost_bonus*TblMili[[#This Row],[WG''s]],4),wg_wiz_cost_cap) + tech_1_9_2*TblTech[[#This Row],[1-9]] + tech_9_1_2*TblTech[[#This Row],[9-1]])*archmage_plat,0)</f>
        <v>1000</v>
      </c>
      <c r="BU132" s="132"/>
      <c r="BV132" s="150" t="e">
        <f aca="false">TblConstr[[#This Row],[Homeland]]/TblConstr[[#This Row],[Land]]</f>
        <v>#VALUE!</v>
      </c>
      <c r="BW132" s="150" t="n">
        <f aca="false">TblMili[[#This Row],[WG''s]]</f>
        <v>0</v>
      </c>
      <c r="BX132" s="288" t="e">
        <f aca="false">IF(mystic_cap="none",TblMili[[#This Row],[Hill]]/mystic_bonus,MIN(mystic_cap,TblMili[[#This Row],[Hill]]/mystic_bonus))</f>
        <v>#VALUE!</v>
      </c>
      <c r="BY132" s="288" t="e">
        <f aca="false">IF(druid_op_cap="none",TblMili[[#This Row],[Hill]]/druid_op_bonus,MIN(druid_op_cap,TblMili[[#This Row],[Hill]]/druid_op_bonus))</f>
        <v>#VALUE!</v>
      </c>
      <c r="BZ132" s="288" t="e">
        <f aca="false">IF(druid_dp_cap="none",TblMili[[#This Row],[Hill]]/druid_dp_bonus,MIN(druid_dp_cap,TblMili[[#This Row],[Hill]]/druid_dp_bonus))</f>
        <v>#VALUE!</v>
      </c>
      <c r="CA132" s="288" t="e">
        <f aca="false">MIN(dryad_cap,TblMili[[#This Row],[Hill]]/dryad_bonus)</f>
        <v>#VALUE!</v>
      </c>
      <c r="CB132" s="288" t="e">
        <f aca="false">MIN(rocka_cap,TblMili[[#This Row],[Hill]]/rocka_bonus)</f>
        <v>#VALUE!</v>
      </c>
      <c r="CC132" s="288" t="n">
        <f aca="false">MIN(adept_op_cap,TblMili[[#This Row],[WG]]/adept_op_bonus)</f>
        <v>0</v>
      </c>
      <c r="CD132" s="288" t="n">
        <f aca="false">MIN(adept_dp_cap,TblMili[[#This Row],[WG]]/adept_dp_bonus)</f>
        <v>0</v>
      </c>
      <c r="CE132" s="69" t="n">
        <f aca="false">MIN(TblMili[[#This Row],[Unit 3]],TblMili[[#This Row],[Unit 2]])*2</f>
        <v>1400</v>
      </c>
      <c r="CF132" s="69" t="n">
        <f aca="false">MIN(TblMili[[#This Row],[Unit 1]],TblMili[[#This Row],[Unit 4]])*2</f>
        <v>0</v>
      </c>
      <c r="CG132" s="288" t="e">
        <f aca="false">MIN(frost_mage_cap,TblMili[[#This Row],[Hill]]/frost_mage_bonus)</f>
        <v>#VALUE!</v>
      </c>
      <c r="CH132" s="151" t="n">
        <f aca="false">MIN(ice_elem_cap,TblMili[[#This Row],[Raw (2)]]*ice_elem_bonus)</f>
        <v>0.0357142857142857</v>
      </c>
      <c r="CI132" s="288" t="n">
        <f aca="false">MIN(bone_breaker_cap,250/bone_breaker_bonus)</f>
        <v>0.833333333333333</v>
      </c>
      <c r="CJ132" s="288" t="e">
        <f aca="false">MIN(nox_nightshade_cap,TblConstr[[#This Row],[Homeland]]/TblConstr[[#This Row],[Land]]/nox_nightshade_swamp_bonus)</f>
        <v>#VALUE!</v>
      </c>
      <c r="CK132" s="289"/>
      <c r="CL132" s="289"/>
      <c r="CM132" s="289"/>
      <c r="CN132" s="288" t="e">
        <f aca="false">MIN(6,TblMili[[#This Row],[Mystic]]+Races!$F$19)*1.8 +  IF(TblMili[[#This Row],[Mystic]]+Races!$F$19&gt;6,(TblMili[[#This Row],[Mystic]]+Races!$F$19-6)*0.2,0) - Races!$I$19</f>
        <v>#VALUE!</v>
      </c>
      <c r="CO132" s="288" t="e">
        <f aca="false">1.8 * MIN(MAX(TblMili[[#This Row],[Druid (op)]]+Races!$E$20,TblMili[[#This Row],[Druid (dp)]]+Races!$F$20),6)  +  0.45 * MIN(MIN(TblMili[[#This Row],[Druid (op)]]+Races!$E$20,TblMili[[#This Row],[Druid (dp)]]+Races!$F$20),6)  +  0.2 * ( MAX(TblMili[[#This Row],[Druid (op)]]+Races!$E$20-6,0) + MAX(TblMili[[#This Row],[Druid (dp)]]+Races!$F$20-6,0) )  -  Races!$I$20</f>
        <v>#VALUE!</v>
      </c>
      <c r="CP132" s="69" t="e">
        <f aca="false">TblMili[[#This Row],[Mystic bonus]]*TblMili[[#This Row],[Unit 3]]+TblMili[[#This Row],[Druid bonus]]*TblMili[[#This Row],[Unit 4]]</f>
        <v>#VALUE!</v>
      </c>
      <c r="CQ132" s="148" t="e">
        <f aca="false">MIN(6,TblMili[[#This Row],[Dryad]]+Races!$F$35)*1.8 +  IF(TblMili[[#This Row],[Dryad]]+Races!$F$35&gt;6,(TblMili[[#This Row],[Dryad]]+Races!$F$35-6)*0.2,0) - Races!$I$19</f>
        <v>#VALUE!</v>
      </c>
      <c r="CR132" s="69" t="e">
        <f aca="false">sylvan*(TblMili[[#This Row],[Mystic bonus]]*TblMili[[#This Row],[Unit 3]])</f>
        <v>#VALUE!</v>
      </c>
      <c r="CS132" s="148" t="e">
        <f aca="false">1.8 * MIN(MAX(Races!$E$27,TblMili[[#This Row],[Rockapult]]+Races!$F$27),6)  +  0.45 * MIN(MIN(Races!$E$27,TblMili[[#This Row],[Rockapult]]+Races!$F$27),6)  +  0.2 * ( MAX(Races!$E$27-6,0) + MAX(TblMili[[#This Row],[Rockapult]]+Races!$F$27-6,0) )  -  Races!$I$20</f>
        <v>#VALUE!</v>
      </c>
      <c r="CT132" s="69" t="e">
        <f aca="false">gnome*(TblMili[[#This Row],[Rockapult bonus]]*TblMili[[#This Row],[Unit 3]])</f>
        <v>#VALUE!</v>
      </c>
      <c r="CU132" s="148" t="n">
        <f aca="false">1.8 * MIN(MAX(TblMili[[#This Row],[Spellblade]]+Races!$E$47,TblMili[[#This Row],[Adept-DP]]+Races!$F$47),6)  +  0.45 * MIN(MIN(TblMili[[#This Row],[Spellblade]]+Races!$E$47,TblMili[[#This Row],[Adept-DP]]+Races!$F$47),6)  +  0.2 * ( MAX(TblMili[[#This Row],[Spellblade]]+Races!$E$47-6,0) + MAX(TblMili[[#This Row],[Adept-DP]]+Races!$F$47-6,0) )  -  Races!$I$47</f>
        <v>0</v>
      </c>
      <c r="CV132" s="69" t="n">
        <f aca="false">dark_elf*(TblMili[[#This Row],[Adept bonus]]*TblMili[[#This Row],[Unit 3]])</f>
        <v>0</v>
      </c>
      <c r="CW132" s="148" t="e">
        <f aca="false">1.8 * MIN(MAX(TblMili[[#This Row],[Frost Mage]]+Races!$F$71,Races!$E$71),6)  +  0.45 * MIN(MIN(TblMili[[#This Row],[Frost Mage]]+Races!$F$71,Races!$E$71),6)  +  0.2 * ( MAX(TblMili[[#This Row],[Frost Mage]]+Races!$F$71-6,0) + MAX(Races!$E$71-6,0) )  -  Races!$I$71</f>
        <v>#VALUE!</v>
      </c>
      <c r="CX132" s="148" t="n">
        <f aca="false">1.8 * MIN(MAX(TblMili[[#This Row],[Ice Elemental]]+Races!$E$71,Races!$F$71),6)  +  0.45 * MIN(MIN(TblMili[[#This Row],[Ice Elemental]]+Races!$E$71,Races!$F$71),6)  +  0.2 * ( MAX(TblMili[[#This Row],[Ice Elemental]]+Races!$E$71-6,0) + MAX(Races!$F$71-6,0) )  -  Races!$I$71</f>
        <v>0.064285714285715</v>
      </c>
      <c r="CY132" s="69" t="e">
        <f aca="false">TblMili[[#This Row],[Frost Mage bonus]]*TblMili[[#This Row],[Unit 3]]+TblMili[[#This Row],[Ice Elemental bonus]]*TblMili[[#This Row],[Unit 4]]</f>
        <v>#VALUE!</v>
      </c>
      <c r="CZ132" s="290"/>
      <c r="DA132" s="109" t="n">
        <f aca="false">MIN(SUM(TblConstr[[#This Row],[Plain]:[Water]])/TblMili[[#This Row],[Land]]/favorable_terrain_bonus/100,favorable_terrain_max)</f>
        <v>0</v>
      </c>
      <c r="DB132" s="290"/>
      <c r="DC13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2" s="132"/>
      <c r="DE132" s="291" t="n">
        <f aca="false">(TblMili[[#This Row],[Wizards]]+2*TblMili[[#This Row],[Archmages]])/TblConstr[[#This Row],[Land]]</f>
        <v>0.0357142857142857</v>
      </c>
      <c r="DF132" s="291" t="n">
        <f aca="false">TblMili[[#This Row],[Raw (2)]]*(1+race_wizard_strength+IF(TblMili[[#This Row],[Hour]]&gt;72,tech_magical_weaponry_wiz*TblTech[[#This Row],[3-5]],0))</f>
        <v>0.0357142857142857</v>
      </c>
    </row>
    <row r="133" customFormat="false" ht="12.75" hidden="false" customHeight="false" outlineLevel="0" collapsed="false">
      <c r="A133" s="128" t="n">
        <f aca="false">TblRezone[[#This Row],[Hour]]</f>
        <v>130</v>
      </c>
      <c r="B133" s="282" t="n">
        <f aca="false">SUM(TblMili[[#This Row],[Unit 1]:[Archmages]])+SUM(OFFSET(TblMili[[#This Row],[Train Unit 1]],-8,0):TblMili[[#This Row],[Train Unit 2]]) + SUM(OFFSET(TblMili[[#This Row],[Train Unit 3]],-11,0):TblMili[[#This Row],[Train AM]]) + TblMili[[#This Row],[Draftees]]</f>
        <v>7292</v>
      </c>
      <c r="C133" s="150" t="n">
        <f aca="false">TblPop[[#This Row],[Military%]]</f>
        <v>0.563567509081073</v>
      </c>
      <c r="D133" s="132"/>
      <c r="E133" s="151" t="n">
        <f aca="false">OFFSET(TblMili[[#This Row],[Unit 1]],-1,0) + OFFSET(TblMili[[#This Row],[Train Unit 1]],-9,0) - TblMili[[#This Row],[Release Unit 1]]</f>
        <v>0</v>
      </c>
      <c r="F133" s="151" t="n">
        <f aca="false">OFFSET(TblMili[[#This Row],[Unit 2]],-1,0) + OFFSET(TblMili[[#This Row],[Train Unit 2]],-9,0)-TblMili[[#This Row],[Release Unit 2]]</f>
        <v>1246</v>
      </c>
      <c r="G133" s="151" t="n">
        <f aca="false">OFFSET(TblMili[[#This Row],[Unit 3]],-1,0) + OFFSET(TblMili[[#This Row],[Train Unit 3]],-12,0)-TblMili[[#This Row],[Release Unit 3]]</f>
        <v>700</v>
      </c>
      <c r="H133" s="151" t="n">
        <f aca="false">OFFSET(TblMili[[#This Row],[Unit 4]],-1,0) + OFFSET(TblMili[[#This Row],[Train Unit 4]],-12,0)-TblMili[[#This Row],[Release Unit 4]]</f>
        <v>1228</v>
      </c>
      <c r="I133" s="151" t="n">
        <f aca="false">OFFSET(TblMili[[#This Row],[Spies]],-1,0) + OFFSET(TblMili[[#This Row],[Train Spies]],-12,0) - TblMili[[#This Row],[Release Spies]]-TblMili[[#This Row],[Train AS]]</f>
        <v>25</v>
      </c>
      <c r="J133" s="151" t="n">
        <f aca="false">OFFSET(TblMili[[#This Row],[Archspies]],-1,0) + OFFSET(TblMili[[#This Row],[Train AS]],-12,0) - TblMili[[#This Row],[Release AS]]</f>
        <v>0</v>
      </c>
      <c r="K133" s="151" t="n">
        <f aca="false">OFFSET(TblMili[[#This Row],[Wizards]],-1,0) + OFFSET(TblMili[[#This Row],[Train Wiz]],-12,0) - TblMili[[#This Row],[Release Wizards]]-TblMili[[#This Row],[Train AM]]</f>
        <v>25</v>
      </c>
      <c r="L133" s="151" t="n">
        <f aca="false">OFFSET(TblMili[[#This Row],[Archmages]],-1,0) + OFFSET(TblMili[[#This Row],[Train AM]],-12,0) - TblMili[[#This Row],[Release AM]]</f>
        <v>0</v>
      </c>
      <c r="M133" s="132"/>
      <c r="N133" s="69" t="e">
        <f aca="false">TblProd[[#This Row],[Networth]]</f>
        <v>#VALUE!</v>
      </c>
      <c r="O133" s="132"/>
      <c r="P13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3" s="285" t="e">
        <f aca="false">TblMili[[#This Row],[Raw]]*(1+TblMili[[#This Row],[Mods_Off]])</f>
        <v>#VALUE!</v>
      </c>
      <c r="S13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3" s="285" t="e">
        <f aca="false">TblMili[[#This Row],[Non Draft]]+TblMili[[#This Row],[Draftees]]</f>
        <v>#VALUE!</v>
      </c>
      <c r="U133" s="286" t="n">
        <f aca="false">race_defense + TblImps[[#This Row],[Walls]] + ROUND( MIN(gt_bonus*TblConstr[[#This Row],[Tot GT]]/TblConstr[[#This Row],[Land]],gt_bonus_cap), 4) + IF(TblMagic[[#This Row],[Active Howling]]&gt;0,howling_dp_bonus,IF(TblMagic[[#This Row],[Active Ares Call]]&gt;0,ares_call_bonus))</f>
        <v>0.1375</v>
      </c>
      <c r="V133" s="274" t="e">
        <f aca="false">TblMili[[#This Row],[Non Draft]] * (1 + TblMili[[#This Row],[Mods_Def]])</f>
        <v>#VALUE!</v>
      </c>
      <c r="W133" s="285" t="e">
        <f aca="false">TblMili[[#This Row],[Draft]] * (1 + TblMili[[#This Row],[Mods_Def]])</f>
        <v>#VALUE!</v>
      </c>
      <c r="X133" s="285" t="n">
        <f aca="false">TblConstr[[#This Row],[Land]]</f>
        <v>700</v>
      </c>
      <c r="Y133" s="287"/>
      <c r="Z133" s="109" t="n">
        <f aca="false">IF(TblMili[[#This Row],[Set]]&lt;&gt;"",TblMili[[#This Row],[Set]],OFFSET(TblMili[[#This Row],[Draftrate]],-1,0))</f>
        <v>0.9</v>
      </c>
      <c r="AA133" s="69" t="n">
        <f aca="false">OFFSET(TblMili[[#This Row],[Draftees]],-1,0)+OFFSET(TblPop[[#This Row],[Draft Growth]],-1,0) - SUM(TblMili[[#This Row],[Train Unit 1]:[Train Spies]],TblMili[[#This Row],[Train Wiz]]) - TblMili[[#This Row],[Release Draft]] + SUM(TblMili[[#This Row],[Release Unit 1]:[Release AM]]) - TblExplore[[#This Row],[Draftees (2)]]</f>
        <v>4068</v>
      </c>
      <c r="AB133" s="146"/>
      <c r="AC133" s="130" t="n">
        <f aca="false">(TblConstr[[#This Row],[Tot Smi]]+TblConstr[[#This Row],[Dest Smi]])/(TblConstr[[#This Row],[Land]]-TblExplore[[#This Row],[Land Bonus]]*20)</f>
        <v>0.18</v>
      </c>
      <c r="AD133" s="128"/>
      <c r="AE133" s="282" t="n">
        <f aca="false">TblMili[[#This Row],[Hour]]</f>
        <v>130</v>
      </c>
      <c r="AF133" s="129" t="n">
        <f aca="false">TblExplore[[#This Row],[Time]]</f>
        <v>45435.125</v>
      </c>
      <c r="AG133" s="182"/>
      <c r="AH133" s="182"/>
      <c r="AI133" s="182"/>
      <c r="AJ133" s="182"/>
      <c r="AK133" s="182"/>
      <c r="AL133" s="182"/>
      <c r="AM133" s="182"/>
      <c r="AN133" s="182"/>
      <c r="AO133" s="132"/>
      <c r="AP133" s="69" t="n">
        <f aca="false">TblProd[[#This Row],[Platinum]]</f>
        <v>2118994</v>
      </c>
      <c r="AQ133" s="69" t="n">
        <f aca="false">INDEX(TblProd[[#Headers],[Lumber]]:TblProd[[#This Row],[Ore]],COUNTA(TblProd[[#Headers],[Lumber]]:TblProd[[#This Row],[Lumber]]),MATCH(Military!$AQ$2,TblProd[[#Headers],[Lumber]:[Ore]],0))</f>
        <v>0</v>
      </c>
      <c r="AR13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69" t="n">
        <f aca="false">TblMili[[#This Row],[Train Unit 1]]*TblMili[[#This Row],[OP Ore]]+TblMili[[#This Row],[Train Unit 2]]*TblMili[[#This Row],[DP Ore]]+TblMili[[#This Row],[Train Unit 3]]*TblMili[[#This Row],[E1 Ore]]+TblMili[[#This Row],[Train Unit 4]]*TblMili[[#This Row],[E2 Ore]]</f>
        <v>0</v>
      </c>
      <c r="AT133" s="132" t="n">
        <f aca="false">TblMili[[#This Row],[Hour]]</f>
        <v>130</v>
      </c>
      <c r="AU133" s="144" t="n">
        <f aca="false">TblMili[[#This Row],[Time]]</f>
        <v>45435.125</v>
      </c>
      <c r="AV133" s="69" t="n">
        <f aca="false">TblMili[[#This Row],[Draftees]]</f>
        <v>4068</v>
      </c>
      <c r="AW133" s="182"/>
      <c r="AX133" s="182"/>
      <c r="AY133" s="182"/>
      <c r="AZ133" s="182"/>
      <c r="BA133" s="182"/>
      <c r="BB133" s="182"/>
      <c r="BC133" s="182"/>
      <c r="BD133" s="182"/>
      <c r="BE133" s="182"/>
      <c r="BF133" s="132"/>
      <c r="BG133" s="150" t="n">
        <f aca="false">TblConstr[[#This Row],[Tot WG]]/TblConstr[[#This Row],[Land]]</f>
        <v>0</v>
      </c>
      <c r="BH133" s="150" t="n">
        <f aca="false">TblConstr[[#This Row],[Tot Hav]]/TblConstr[[#This Row],[Land]]</f>
        <v>0</v>
      </c>
      <c r="BI133" s="69" t="n">
        <f aca="false">ROUNDUP((1-MIN(TblMili[[#This Row],[Smithies]]*smithy_bonus,smithy_bonus_cap) + tech_3_5*TblTech[[#This Row],[3-5]] + tech_5_3*TblTech[[#This Row],[5-3]] + tech_5_5*TblTech[[#This Row],[5-5]])*spec_op_plat,0)</f>
        <v>192</v>
      </c>
      <c r="BJ133" s="69" t="n">
        <f aca="false">ROUNDUP(IF(race="Gnome",1,(1-MIN(TblMili[[#This Row],[Smithies]]*smithy_bonus,smithy_bonus_cap) + tech_3_5*TblTech[[#This Row],[3-5]] + tech_5_3*TblTech[[#This Row],[5-3]] + tech_5_5*TblTech[[#This Row],[5-5]]))*spec_op_ore,0)</f>
        <v>0</v>
      </c>
      <c r="BK133" s="69" t="n">
        <f aca="false">ROUNDUP((1-MIN(TblMili[[#This Row],[Smithies]]*smithy_bonus,smithy_bonus_cap) + tech_3_5*TblTech[[#This Row],[3-5]] + tech_5_3*TblTech[[#This Row],[5-3]] + tech_5_5*TblTech[[#This Row],[5-5]])*spec_dp_plat,0)</f>
        <v>192</v>
      </c>
      <c r="BL133" s="69" t="n">
        <f aca="false">ROUNDUP(IF(race="Gnome",1,(1-MIN(TblMili[[#This Row],[Smithies]]*smithy_bonus,smithy_bonus_cap) + tech_3_5*TblTech[[#This Row],[3-5]] + tech_5_3*TblTech[[#This Row],[5-3]] + tech_5_5*TblTech[[#This Row],[5-5]]))*spec_dp_ore,0)</f>
        <v>0</v>
      </c>
      <c r="BM133" s="69" t="n">
        <f aca="false">ROUNDUP((1-MIN(TblMili[[#This Row],[Smithies]]*smithy_bonus,smithy_bonus_cap) + tech_3_5*TblTech[[#This Row],[3-5]] + tech_5_3*TblTech[[#This Row],[5-3]] + tech_5_5*TblTech[[#This Row],[5-5]])*elite1_plat,0)</f>
        <v>592</v>
      </c>
      <c r="BN133" s="69" t="n">
        <f aca="false">ROUNDUP(IF(race="Gnome",1,(1-MIN(TblMili[[#This Row],[Smithies]]*smithy_bonus,smithy_bonus_cap) + tech_3_5*TblTech[[#This Row],[3-5]] + tech_5_3*TblTech[[#This Row],[5-3]] + tech_5_5*TblTech[[#This Row],[5-5]]))*elite1_ore,0)</f>
        <v>0</v>
      </c>
      <c r="BO133" s="69" t="n">
        <f aca="false">ROUNDUP((1-MIN(TblMili[[#This Row],[Smithies]]*smithy_bonus,smithy_bonus_cap) + tech_3_5*TblTech[[#This Row],[3-5]] + tech_5_3*TblTech[[#This Row],[5-3]] + tech_5_5*TblTech[[#This Row],[5-5]])*elite2_plat,0)</f>
        <v>608</v>
      </c>
      <c r="BP133" s="69" t="n">
        <f aca="false">ROUNDUP(IF(race="Gnome",1,(1-MIN(TblMili[[#This Row],[Smithies]]*smithy_bonus,smithy_bonus_cap) + tech_3_5*TblTech[[#This Row],[3-5]] + tech_5_3*TblTech[[#This Row],[5-3]] + tech_5_5*TblTech[[#This Row],[5-5]]))*elite2_ore,0)</f>
        <v>0</v>
      </c>
      <c r="BQ133" s="69" t="n">
        <f aca="false">ROUNDUP((1-MIN(ROUND(fh_spy_cost_red*TblMili[[#This Row],[FH''s]],4),fh_spy_cost_cap)+ tech_1_9*TblTech[[#This Row],[1-9]] + tech_9_1*TblTech[[#This Row],[9-1]])*spy_plat,0)</f>
        <v>500</v>
      </c>
      <c r="BR133" s="69" t="n">
        <f aca="false">ROUNDUP((1-MIN(ROUND(fh_spy_cost_red*TblMili[[#This Row],[FH''s]],4),fh_spy_cost_cap)+ tech_1_9*TblTech[[#This Row],[1-9]] + tech_9_1*TblTech[[#This Row],[9-1]])*archspy_plat,0)</f>
        <v>1000</v>
      </c>
      <c r="BS133" s="69" t="n">
        <f aca="false">ROUNDUP((1-MIN(ROUND(wg_wiz_cost_bonus*TblMili[[#This Row],[WG''s]],4),wg_wiz_cost_cap) + tech_1_9_2*TblTech[[#This Row],[1-9]] + tech_9_1_2*TblTech[[#This Row],[9-1]])*wizard_plat,0)</f>
        <v>500</v>
      </c>
      <c r="BT133" s="69" t="n">
        <f aca="false">ROUNDUP((1-MIN(ROUND(wg_wiz_cost_bonus*TblMili[[#This Row],[WG''s]],4),wg_wiz_cost_cap) + tech_1_9_2*TblTech[[#This Row],[1-9]] + tech_9_1_2*TblTech[[#This Row],[9-1]])*archmage_plat,0)</f>
        <v>1000</v>
      </c>
      <c r="BU133" s="132"/>
      <c r="BV133" s="150" t="e">
        <f aca="false">TblConstr[[#This Row],[Homeland]]/TblConstr[[#This Row],[Land]]</f>
        <v>#VALUE!</v>
      </c>
      <c r="BW133" s="150" t="n">
        <f aca="false">TblMili[[#This Row],[WG''s]]</f>
        <v>0</v>
      </c>
      <c r="BX133" s="288" t="e">
        <f aca="false">IF(mystic_cap="none",TblMili[[#This Row],[Hill]]/mystic_bonus,MIN(mystic_cap,TblMili[[#This Row],[Hill]]/mystic_bonus))</f>
        <v>#VALUE!</v>
      </c>
      <c r="BY133" s="288" t="e">
        <f aca="false">IF(druid_op_cap="none",TblMili[[#This Row],[Hill]]/druid_op_bonus,MIN(druid_op_cap,TblMili[[#This Row],[Hill]]/druid_op_bonus))</f>
        <v>#VALUE!</v>
      </c>
      <c r="BZ133" s="288" t="e">
        <f aca="false">IF(druid_dp_cap="none",TblMili[[#This Row],[Hill]]/druid_dp_bonus,MIN(druid_dp_cap,TblMili[[#This Row],[Hill]]/druid_dp_bonus))</f>
        <v>#VALUE!</v>
      </c>
      <c r="CA133" s="288" t="e">
        <f aca="false">MIN(dryad_cap,TblMili[[#This Row],[Hill]]/dryad_bonus)</f>
        <v>#VALUE!</v>
      </c>
      <c r="CB133" s="288" t="e">
        <f aca="false">MIN(rocka_cap,TblMili[[#This Row],[Hill]]/rocka_bonus)</f>
        <v>#VALUE!</v>
      </c>
      <c r="CC133" s="288" t="n">
        <f aca="false">MIN(adept_op_cap,TblMili[[#This Row],[WG]]/adept_op_bonus)</f>
        <v>0</v>
      </c>
      <c r="CD133" s="288" t="n">
        <f aca="false">MIN(adept_dp_cap,TblMili[[#This Row],[WG]]/adept_dp_bonus)</f>
        <v>0</v>
      </c>
      <c r="CE133" s="69" t="n">
        <f aca="false">MIN(TblMili[[#This Row],[Unit 3]],TblMili[[#This Row],[Unit 2]])*2</f>
        <v>1400</v>
      </c>
      <c r="CF133" s="69" t="n">
        <f aca="false">MIN(TblMili[[#This Row],[Unit 1]],TblMili[[#This Row],[Unit 4]])*2</f>
        <v>0</v>
      </c>
      <c r="CG133" s="288" t="e">
        <f aca="false">MIN(frost_mage_cap,TblMili[[#This Row],[Hill]]/frost_mage_bonus)</f>
        <v>#VALUE!</v>
      </c>
      <c r="CH133" s="151" t="n">
        <f aca="false">MIN(ice_elem_cap,TblMili[[#This Row],[Raw (2)]]*ice_elem_bonus)</f>
        <v>0.0357142857142857</v>
      </c>
      <c r="CI133" s="288" t="n">
        <f aca="false">MIN(bone_breaker_cap,250/bone_breaker_bonus)</f>
        <v>0.833333333333333</v>
      </c>
      <c r="CJ133" s="288" t="e">
        <f aca="false">MIN(nox_nightshade_cap,TblConstr[[#This Row],[Homeland]]/TblConstr[[#This Row],[Land]]/nox_nightshade_swamp_bonus)</f>
        <v>#VALUE!</v>
      </c>
      <c r="CK133" s="289"/>
      <c r="CL133" s="289"/>
      <c r="CM133" s="289"/>
      <c r="CN133" s="288" t="e">
        <f aca="false">MIN(6,TblMili[[#This Row],[Mystic]]+Races!$F$19)*1.8 +  IF(TblMili[[#This Row],[Mystic]]+Races!$F$19&gt;6,(TblMili[[#This Row],[Mystic]]+Races!$F$19-6)*0.2,0) - Races!$I$19</f>
        <v>#VALUE!</v>
      </c>
      <c r="CO133" s="288" t="e">
        <f aca="false">1.8 * MIN(MAX(TblMili[[#This Row],[Druid (op)]]+Races!$E$20,TblMili[[#This Row],[Druid (dp)]]+Races!$F$20),6)  +  0.45 * MIN(MIN(TblMili[[#This Row],[Druid (op)]]+Races!$E$20,TblMili[[#This Row],[Druid (dp)]]+Races!$F$20),6)  +  0.2 * ( MAX(TblMili[[#This Row],[Druid (op)]]+Races!$E$20-6,0) + MAX(TblMili[[#This Row],[Druid (dp)]]+Races!$F$20-6,0) )  -  Races!$I$20</f>
        <v>#VALUE!</v>
      </c>
      <c r="CP133" s="69" t="e">
        <f aca="false">TblMili[[#This Row],[Mystic bonus]]*TblMili[[#This Row],[Unit 3]]+TblMili[[#This Row],[Druid bonus]]*TblMili[[#This Row],[Unit 4]]</f>
        <v>#VALUE!</v>
      </c>
      <c r="CQ133" s="148" t="e">
        <f aca="false">MIN(6,TblMili[[#This Row],[Dryad]]+Races!$F$35)*1.8 +  IF(TblMili[[#This Row],[Dryad]]+Races!$F$35&gt;6,(TblMili[[#This Row],[Dryad]]+Races!$F$35-6)*0.2,0) - Races!$I$19</f>
        <v>#VALUE!</v>
      </c>
      <c r="CR133" s="69" t="e">
        <f aca="false">sylvan*(TblMili[[#This Row],[Mystic bonus]]*TblMili[[#This Row],[Unit 3]])</f>
        <v>#VALUE!</v>
      </c>
      <c r="CS133" s="148" t="e">
        <f aca="false">1.8 * MIN(MAX(Races!$E$27,TblMili[[#This Row],[Rockapult]]+Races!$F$27),6)  +  0.45 * MIN(MIN(Races!$E$27,TblMili[[#This Row],[Rockapult]]+Races!$F$27),6)  +  0.2 * ( MAX(Races!$E$27-6,0) + MAX(TblMili[[#This Row],[Rockapult]]+Races!$F$27-6,0) )  -  Races!$I$20</f>
        <v>#VALUE!</v>
      </c>
      <c r="CT133" s="69" t="e">
        <f aca="false">gnome*(TblMili[[#This Row],[Rockapult bonus]]*TblMili[[#This Row],[Unit 3]])</f>
        <v>#VALUE!</v>
      </c>
      <c r="CU133" s="148" t="n">
        <f aca="false">1.8 * MIN(MAX(TblMili[[#This Row],[Spellblade]]+Races!$E$47,TblMili[[#This Row],[Adept-DP]]+Races!$F$47),6)  +  0.45 * MIN(MIN(TblMili[[#This Row],[Spellblade]]+Races!$E$47,TblMili[[#This Row],[Adept-DP]]+Races!$F$47),6)  +  0.2 * ( MAX(TblMili[[#This Row],[Spellblade]]+Races!$E$47-6,0) + MAX(TblMili[[#This Row],[Adept-DP]]+Races!$F$47-6,0) )  -  Races!$I$47</f>
        <v>0</v>
      </c>
      <c r="CV133" s="69" t="n">
        <f aca="false">dark_elf*(TblMili[[#This Row],[Adept bonus]]*TblMili[[#This Row],[Unit 3]])</f>
        <v>0</v>
      </c>
      <c r="CW133" s="148" t="e">
        <f aca="false">1.8 * MIN(MAX(TblMili[[#This Row],[Frost Mage]]+Races!$F$71,Races!$E$71),6)  +  0.45 * MIN(MIN(TblMili[[#This Row],[Frost Mage]]+Races!$F$71,Races!$E$71),6)  +  0.2 * ( MAX(TblMili[[#This Row],[Frost Mage]]+Races!$F$71-6,0) + MAX(Races!$E$71-6,0) )  -  Races!$I$71</f>
        <v>#VALUE!</v>
      </c>
      <c r="CX133" s="148" t="n">
        <f aca="false">1.8 * MIN(MAX(TblMili[[#This Row],[Ice Elemental]]+Races!$E$71,Races!$F$71),6)  +  0.45 * MIN(MIN(TblMili[[#This Row],[Ice Elemental]]+Races!$E$71,Races!$F$71),6)  +  0.2 * ( MAX(TblMili[[#This Row],[Ice Elemental]]+Races!$E$71-6,0) + MAX(Races!$F$71-6,0) )  -  Races!$I$71</f>
        <v>0.064285714285715</v>
      </c>
      <c r="CY133" s="69" t="e">
        <f aca="false">TblMili[[#This Row],[Frost Mage bonus]]*TblMili[[#This Row],[Unit 3]]+TblMili[[#This Row],[Ice Elemental bonus]]*TblMili[[#This Row],[Unit 4]]</f>
        <v>#VALUE!</v>
      </c>
      <c r="CZ133" s="290"/>
      <c r="DA133" s="109" t="n">
        <f aca="false">MIN(SUM(TblConstr[[#This Row],[Plain]:[Water]])/TblMili[[#This Row],[Land]]/favorable_terrain_bonus/100,favorable_terrain_max)</f>
        <v>0</v>
      </c>
      <c r="DB133" s="290"/>
      <c r="DC13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3" s="132"/>
      <c r="DE133" s="291" t="n">
        <f aca="false">(TblMili[[#This Row],[Wizards]]+2*TblMili[[#This Row],[Archmages]])/TblConstr[[#This Row],[Land]]</f>
        <v>0.0357142857142857</v>
      </c>
      <c r="DF133" s="291" t="n">
        <f aca="false">TblMili[[#This Row],[Raw (2)]]*(1+race_wizard_strength+IF(TblMili[[#This Row],[Hour]]&gt;72,tech_magical_weaponry_wiz*TblTech[[#This Row],[3-5]],0))</f>
        <v>0.0357142857142857</v>
      </c>
    </row>
    <row r="134" customFormat="false" ht="12.75" hidden="false" customHeight="false" outlineLevel="0" collapsed="false">
      <c r="A134" s="128" t="n">
        <f aca="false">TblRezone[[#This Row],[Hour]]</f>
        <v>131</v>
      </c>
      <c r="B134" s="282" t="n">
        <f aca="false">SUM(TblMili[[#This Row],[Unit 1]:[Archmages]])+SUM(OFFSET(TblMili[[#This Row],[Train Unit 1]],-8,0):TblMili[[#This Row],[Train Unit 2]]) + SUM(OFFSET(TblMili[[#This Row],[Train Unit 3]],-11,0):TblMili[[#This Row],[Train AM]]) + TblMili[[#This Row],[Draftees]]</f>
        <v>7348</v>
      </c>
      <c r="C134" s="150" t="n">
        <f aca="false">TblPop[[#This Row],[Military%]]</f>
        <v>0.567895509699359</v>
      </c>
      <c r="D134" s="132"/>
      <c r="E134" s="151" t="n">
        <f aca="false">OFFSET(TblMili[[#This Row],[Unit 1]],-1,0) + OFFSET(TblMili[[#This Row],[Train Unit 1]],-9,0) - TblMili[[#This Row],[Release Unit 1]]</f>
        <v>0</v>
      </c>
      <c r="F134" s="151" t="n">
        <f aca="false">OFFSET(TblMili[[#This Row],[Unit 2]],-1,0) + OFFSET(TblMili[[#This Row],[Train Unit 2]],-9,0)-TblMili[[#This Row],[Release Unit 2]]</f>
        <v>1246</v>
      </c>
      <c r="G134" s="151" t="n">
        <f aca="false">OFFSET(TblMili[[#This Row],[Unit 3]],-1,0) + OFFSET(TblMili[[#This Row],[Train Unit 3]],-12,0)-TblMili[[#This Row],[Release Unit 3]]</f>
        <v>700</v>
      </c>
      <c r="H134" s="151" t="n">
        <f aca="false">OFFSET(TblMili[[#This Row],[Unit 4]],-1,0) + OFFSET(TblMili[[#This Row],[Train Unit 4]],-12,0)-TblMili[[#This Row],[Release Unit 4]]</f>
        <v>1228</v>
      </c>
      <c r="I134" s="151" t="n">
        <f aca="false">OFFSET(TblMili[[#This Row],[Spies]],-1,0) + OFFSET(TblMili[[#This Row],[Train Spies]],-12,0) - TblMili[[#This Row],[Release Spies]]-TblMili[[#This Row],[Train AS]]</f>
        <v>25</v>
      </c>
      <c r="J134" s="151" t="n">
        <f aca="false">OFFSET(TblMili[[#This Row],[Archspies]],-1,0) + OFFSET(TblMili[[#This Row],[Train AS]],-12,0) - TblMili[[#This Row],[Release AS]]</f>
        <v>0</v>
      </c>
      <c r="K134" s="151" t="n">
        <f aca="false">OFFSET(TblMili[[#This Row],[Wizards]],-1,0) + OFFSET(TblMili[[#This Row],[Train Wiz]],-12,0) - TblMili[[#This Row],[Release Wizards]]-TblMili[[#This Row],[Train AM]]</f>
        <v>25</v>
      </c>
      <c r="L134" s="151" t="n">
        <f aca="false">OFFSET(TblMili[[#This Row],[Archmages]],-1,0) + OFFSET(TblMili[[#This Row],[Train AM]],-12,0) - TblMili[[#This Row],[Release AM]]</f>
        <v>0</v>
      </c>
      <c r="M134" s="132"/>
      <c r="N134" s="69" t="e">
        <f aca="false">TblProd[[#This Row],[Networth]]</f>
        <v>#VALUE!</v>
      </c>
      <c r="O134" s="132"/>
      <c r="P13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4" s="285" t="e">
        <f aca="false">TblMili[[#This Row],[Raw]]*(1+TblMili[[#This Row],[Mods_Off]])</f>
        <v>#VALUE!</v>
      </c>
      <c r="S13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4" s="285" t="e">
        <f aca="false">TblMili[[#This Row],[Non Draft]]+TblMili[[#This Row],[Draftees]]</f>
        <v>#VALUE!</v>
      </c>
      <c r="U134" s="286" t="n">
        <f aca="false">race_defense + TblImps[[#This Row],[Walls]] + ROUND( MIN(gt_bonus*TblConstr[[#This Row],[Tot GT]]/TblConstr[[#This Row],[Land]],gt_bonus_cap), 4) + IF(TblMagic[[#This Row],[Active Howling]]&gt;0,howling_dp_bonus,IF(TblMagic[[#This Row],[Active Ares Call]]&gt;0,ares_call_bonus))</f>
        <v>0.1375</v>
      </c>
      <c r="V134" s="274" t="e">
        <f aca="false">TblMili[[#This Row],[Non Draft]] * (1 + TblMili[[#This Row],[Mods_Def]])</f>
        <v>#VALUE!</v>
      </c>
      <c r="W134" s="285" t="e">
        <f aca="false">TblMili[[#This Row],[Draft]] * (1 + TblMili[[#This Row],[Mods_Def]])</f>
        <v>#VALUE!</v>
      </c>
      <c r="X134" s="285" t="n">
        <f aca="false">TblConstr[[#This Row],[Land]]</f>
        <v>700</v>
      </c>
      <c r="Y134" s="287"/>
      <c r="Z134" s="109" t="n">
        <f aca="false">IF(TblMili[[#This Row],[Set]]&lt;&gt;"",TblMili[[#This Row],[Set]],OFFSET(TblMili[[#This Row],[Draftrate]],-1,0))</f>
        <v>0.9</v>
      </c>
      <c r="AA134" s="69" t="n">
        <f aca="false">OFFSET(TblMili[[#This Row],[Draftees]],-1,0)+OFFSET(TblPop[[#This Row],[Draft Growth]],-1,0) - SUM(TblMili[[#This Row],[Train Unit 1]:[Train Spies]],TblMili[[#This Row],[Train Wiz]]) - TblMili[[#This Row],[Release Draft]] + SUM(TblMili[[#This Row],[Release Unit 1]:[Release AM]]) - TblExplore[[#This Row],[Draftees (2)]]</f>
        <v>4124</v>
      </c>
      <c r="AB134" s="146"/>
      <c r="AC134" s="130" t="n">
        <f aca="false">(TblConstr[[#This Row],[Tot Smi]]+TblConstr[[#This Row],[Dest Smi]])/(TblConstr[[#This Row],[Land]]-TblExplore[[#This Row],[Land Bonus]]*20)</f>
        <v>0.18</v>
      </c>
      <c r="AD134" s="128"/>
      <c r="AE134" s="282" t="n">
        <f aca="false">TblMili[[#This Row],[Hour]]</f>
        <v>131</v>
      </c>
      <c r="AF134" s="129" t="n">
        <f aca="false">TblExplore[[#This Row],[Time]]</f>
        <v>45435.1666666667</v>
      </c>
      <c r="AG134" s="182"/>
      <c r="AH134" s="182"/>
      <c r="AI134" s="182"/>
      <c r="AJ134" s="182"/>
      <c r="AK134" s="182"/>
      <c r="AL134" s="182"/>
      <c r="AM134" s="182"/>
      <c r="AN134" s="182"/>
      <c r="AO134" s="132"/>
      <c r="AP134" s="69" t="n">
        <f aca="false">TblProd[[#This Row],[Platinum]]</f>
        <v>2146615</v>
      </c>
      <c r="AQ134" s="69" t="n">
        <f aca="false">INDEX(TblProd[[#Headers],[Lumber]]:TblProd[[#This Row],[Ore]],COUNTA(TblProd[[#Headers],[Lumber]]:TblProd[[#This Row],[Lumber]]),MATCH(Military!$AQ$2,TblProd[[#Headers],[Lumber]:[Ore]],0))</f>
        <v>0</v>
      </c>
      <c r="AR13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69" t="n">
        <f aca="false">TblMili[[#This Row],[Train Unit 1]]*TblMili[[#This Row],[OP Ore]]+TblMili[[#This Row],[Train Unit 2]]*TblMili[[#This Row],[DP Ore]]+TblMili[[#This Row],[Train Unit 3]]*TblMili[[#This Row],[E1 Ore]]+TblMili[[#This Row],[Train Unit 4]]*TblMili[[#This Row],[E2 Ore]]</f>
        <v>0</v>
      </c>
      <c r="AT134" s="132" t="n">
        <f aca="false">TblMili[[#This Row],[Hour]]</f>
        <v>131</v>
      </c>
      <c r="AU134" s="144" t="n">
        <f aca="false">TblMili[[#This Row],[Time]]</f>
        <v>45435.1666666667</v>
      </c>
      <c r="AV134" s="69" t="n">
        <f aca="false">TblMili[[#This Row],[Draftees]]</f>
        <v>4124</v>
      </c>
      <c r="AW134" s="182"/>
      <c r="AX134" s="182"/>
      <c r="AY134" s="182"/>
      <c r="AZ134" s="182"/>
      <c r="BA134" s="182"/>
      <c r="BB134" s="182"/>
      <c r="BC134" s="182"/>
      <c r="BD134" s="182"/>
      <c r="BE134" s="182"/>
      <c r="BF134" s="132"/>
      <c r="BG134" s="150" t="n">
        <f aca="false">TblConstr[[#This Row],[Tot WG]]/TblConstr[[#This Row],[Land]]</f>
        <v>0</v>
      </c>
      <c r="BH134" s="150" t="n">
        <f aca="false">TblConstr[[#This Row],[Tot Hav]]/TblConstr[[#This Row],[Land]]</f>
        <v>0</v>
      </c>
      <c r="BI134" s="69" t="n">
        <f aca="false">ROUNDUP((1-MIN(TblMili[[#This Row],[Smithies]]*smithy_bonus,smithy_bonus_cap) + tech_3_5*TblTech[[#This Row],[3-5]] + tech_5_3*TblTech[[#This Row],[5-3]] + tech_5_5*TblTech[[#This Row],[5-5]])*spec_op_plat,0)</f>
        <v>192</v>
      </c>
      <c r="BJ134" s="69" t="n">
        <f aca="false">ROUNDUP(IF(race="Gnome",1,(1-MIN(TblMili[[#This Row],[Smithies]]*smithy_bonus,smithy_bonus_cap) + tech_3_5*TblTech[[#This Row],[3-5]] + tech_5_3*TblTech[[#This Row],[5-3]] + tech_5_5*TblTech[[#This Row],[5-5]]))*spec_op_ore,0)</f>
        <v>0</v>
      </c>
      <c r="BK134" s="69" t="n">
        <f aca="false">ROUNDUP((1-MIN(TblMili[[#This Row],[Smithies]]*smithy_bonus,smithy_bonus_cap) + tech_3_5*TblTech[[#This Row],[3-5]] + tech_5_3*TblTech[[#This Row],[5-3]] + tech_5_5*TblTech[[#This Row],[5-5]])*spec_dp_plat,0)</f>
        <v>192</v>
      </c>
      <c r="BL134" s="69" t="n">
        <f aca="false">ROUNDUP(IF(race="Gnome",1,(1-MIN(TblMili[[#This Row],[Smithies]]*smithy_bonus,smithy_bonus_cap) + tech_3_5*TblTech[[#This Row],[3-5]] + tech_5_3*TblTech[[#This Row],[5-3]] + tech_5_5*TblTech[[#This Row],[5-5]]))*spec_dp_ore,0)</f>
        <v>0</v>
      </c>
      <c r="BM134" s="69" t="n">
        <f aca="false">ROUNDUP((1-MIN(TblMili[[#This Row],[Smithies]]*smithy_bonus,smithy_bonus_cap) + tech_3_5*TblTech[[#This Row],[3-5]] + tech_5_3*TblTech[[#This Row],[5-3]] + tech_5_5*TblTech[[#This Row],[5-5]])*elite1_plat,0)</f>
        <v>592</v>
      </c>
      <c r="BN134" s="69" t="n">
        <f aca="false">ROUNDUP(IF(race="Gnome",1,(1-MIN(TblMili[[#This Row],[Smithies]]*smithy_bonus,smithy_bonus_cap) + tech_3_5*TblTech[[#This Row],[3-5]] + tech_5_3*TblTech[[#This Row],[5-3]] + tech_5_5*TblTech[[#This Row],[5-5]]))*elite1_ore,0)</f>
        <v>0</v>
      </c>
      <c r="BO134" s="69" t="n">
        <f aca="false">ROUNDUP((1-MIN(TblMili[[#This Row],[Smithies]]*smithy_bonus,smithy_bonus_cap) + tech_3_5*TblTech[[#This Row],[3-5]] + tech_5_3*TblTech[[#This Row],[5-3]] + tech_5_5*TblTech[[#This Row],[5-5]])*elite2_plat,0)</f>
        <v>608</v>
      </c>
      <c r="BP134" s="69" t="n">
        <f aca="false">ROUNDUP(IF(race="Gnome",1,(1-MIN(TblMili[[#This Row],[Smithies]]*smithy_bonus,smithy_bonus_cap) + tech_3_5*TblTech[[#This Row],[3-5]] + tech_5_3*TblTech[[#This Row],[5-3]] + tech_5_5*TblTech[[#This Row],[5-5]]))*elite2_ore,0)</f>
        <v>0</v>
      </c>
      <c r="BQ134" s="69" t="n">
        <f aca="false">ROUNDUP((1-MIN(ROUND(fh_spy_cost_red*TblMili[[#This Row],[FH''s]],4),fh_spy_cost_cap)+ tech_1_9*TblTech[[#This Row],[1-9]] + tech_9_1*TblTech[[#This Row],[9-1]])*spy_plat,0)</f>
        <v>500</v>
      </c>
      <c r="BR134" s="69" t="n">
        <f aca="false">ROUNDUP((1-MIN(ROUND(fh_spy_cost_red*TblMili[[#This Row],[FH''s]],4),fh_spy_cost_cap)+ tech_1_9*TblTech[[#This Row],[1-9]] + tech_9_1*TblTech[[#This Row],[9-1]])*archspy_plat,0)</f>
        <v>1000</v>
      </c>
      <c r="BS134" s="69" t="n">
        <f aca="false">ROUNDUP((1-MIN(ROUND(wg_wiz_cost_bonus*TblMili[[#This Row],[WG''s]],4),wg_wiz_cost_cap) + tech_1_9_2*TblTech[[#This Row],[1-9]] + tech_9_1_2*TblTech[[#This Row],[9-1]])*wizard_plat,0)</f>
        <v>500</v>
      </c>
      <c r="BT134" s="69" t="n">
        <f aca="false">ROUNDUP((1-MIN(ROUND(wg_wiz_cost_bonus*TblMili[[#This Row],[WG''s]],4),wg_wiz_cost_cap) + tech_1_9_2*TblTech[[#This Row],[1-9]] + tech_9_1_2*TblTech[[#This Row],[9-1]])*archmage_plat,0)</f>
        <v>1000</v>
      </c>
      <c r="BU134" s="132"/>
      <c r="BV134" s="150" t="e">
        <f aca="false">TblConstr[[#This Row],[Homeland]]/TblConstr[[#This Row],[Land]]</f>
        <v>#VALUE!</v>
      </c>
      <c r="BW134" s="150" t="n">
        <f aca="false">TblMili[[#This Row],[WG''s]]</f>
        <v>0</v>
      </c>
      <c r="BX134" s="288" t="e">
        <f aca="false">IF(mystic_cap="none",TblMili[[#This Row],[Hill]]/mystic_bonus,MIN(mystic_cap,TblMili[[#This Row],[Hill]]/mystic_bonus))</f>
        <v>#VALUE!</v>
      </c>
      <c r="BY134" s="288" t="e">
        <f aca="false">IF(druid_op_cap="none",TblMili[[#This Row],[Hill]]/druid_op_bonus,MIN(druid_op_cap,TblMili[[#This Row],[Hill]]/druid_op_bonus))</f>
        <v>#VALUE!</v>
      </c>
      <c r="BZ134" s="288" t="e">
        <f aca="false">IF(druid_dp_cap="none",TblMili[[#This Row],[Hill]]/druid_dp_bonus,MIN(druid_dp_cap,TblMili[[#This Row],[Hill]]/druid_dp_bonus))</f>
        <v>#VALUE!</v>
      </c>
      <c r="CA134" s="288" t="e">
        <f aca="false">MIN(dryad_cap,TblMili[[#This Row],[Hill]]/dryad_bonus)</f>
        <v>#VALUE!</v>
      </c>
      <c r="CB134" s="288" t="e">
        <f aca="false">MIN(rocka_cap,TblMili[[#This Row],[Hill]]/rocka_bonus)</f>
        <v>#VALUE!</v>
      </c>
      <c r="CC134" s="288" t="n">
        <f aca="false">MIN(adept_op_cap,TblMili[[#This Row],[WG]]/adept_op_bonus)</f>
        <v>0</v>
      </c>
      <c r="CD134" s="288" t="n">
        <f aca="false">MIN(adept_dp_cap,TblMili[[#This Row],[WG]]/adept_dp_bonus)</f>
        <v>0</v>
      </c>
      <c r="CE134" s="69" t="n">
        <f aca="false">MIN(TblMili[[#This Row],[Unit 3]],TblMili[[#This Row],[Unit 2]])*2</f>
        <v>1400</v>
      </c>
      <c r="CF134" s="69" t="n">
        <f aca="false">MIN(TblMili[[#This Row],[Unit 1]],TblMili[[#This Row],[Unit 4]])*2</f>
        <v>0</v>
      </c>
      <c r="CG134" s="288" t="e">
        <f aca="false">MIN(frost_mage_cap,TblMili[[#This Row],[Hill]]/frost_mage_bonus)</f>
        <v>#VALUE!</v>
      </c>
      <c r="CH134" s="151" t="n">
        <f aca="false">MIN(ice_elem_cap,TblMili[[#This Row],[Raw (2)]]*ice_elem_bonus)</f>
        <v>0.0357142857142857</v>
      </c>
      <c r="CI134" s="288" t="n">
        <f aca="false">MIN(bone_breaker_cap,250/bone_breaker_bonus)</f>
        <v>0.833333333333333</v>
      </c>
      <c r="CJ134" s="288" t="e">
        <f aca="false">MIN(nox_nightshade_cap,TblConstr[[#This Row],[Homeland]]/TblConstr[[#This Row],[Land]]/nox_nightshade_swamp_bonus)</f>
        <v>#VALUE!</v>
      </c>
      <c r="CK134" s="289"/>
      <c r="CL134" s="289"/>
      <c r="CM134" s="289"/>
      <c r="CN134" s="288" t="e">
        <f aca="false">MIN(6,TblMili[[#This Row],[Mystic]]+Races!$F$19)*1.8 +  IF(TblMili[[#This Row],[Mystic]]+Races!$F$19&gt;6,(TblMili[[#This Row],[Mystic]]+Races!$F$19-6)*0.2,0) - Races!$I$19</f>
        <v>#VALUE!</v>
      </c>
      <c r="CO134" s="288" t="e">
        <f aca="false">1.8 * MIN(MAX(TblMili[[#This Row],[Druid (op)]]+Races!$E$20,TblMili[[#This Row],[Druid (dp)]]+Races!$F$20),6)  +  0.45 * MIN(MIN(TblMili[[#This Row],[Druid (op)]]+Races!$E$20,TblMili[[#This Row],[Druid (dp)]]+Races!$F$20),6)  +  0.2 * ( MAX(TblMili[[#This Row],[Druid (op)]]+Races!$E$20-6,0) + MAX(TblMili[[#This Row],[Druid (dp)]]+Races!$F$20-6,0) )  -  Races!$I$20</f>
        <v>#VALUE!</v>
      </c>
      <c r="CP134" s="69" t="e">
        <f aca="false">TblMili[[#This Row],[Mystic bonus]]*TblMili[[#This Row],[Unit 3]]+TblMili[[#This Row],[Druid bonus]]*TblMili[[#This Row],[Unit 4]]</f>
        <v>#VALUE!</v>
      </c>
      <c r="CQ134" s="148" t="e">
        <f aca="false">MIN(6,TblMili[[#This Row],[Dryad]]+Races!$F$35)*1.8 +  IF(TblMili[[#This Row],[Dryad]]+Races!$F$35&gt;6,(TblMili[[#This Row],[Dryad]]+Races!$F$35-6)*0.2,0) - Races!$I$19</f>
        <v>#VALUE!</v>
      </c>
      <c r="CR134" s="69" t="e">
        <f aca="false">sylvan*(TblMili[[#This Row],[Mystic bonus]]*TblMili[[#This Row],[Unit 3]])</f>
        <v>#VALUE!</v>
      </c>
      <c r="CS134" s="148" t="e">
        <f aca="false">1.8 * MIN(MAX(Races!$E$27,TblMili[[#This Row],[Rockapult]]+Races!$F$27),6)  +  0.45 * MIN(MIN(Races!$E$27,TblMili[[#This Row],[Rockapult]]+Races!$F$27),6)  +  0.2 * ( MAX(Races!$E$27-6,0) + MAX(TblMili[[#This Row],[Rockapult]]+Races!$F$27-6,0) )  -  Races!$I$20</f>
        <v>#VALUE!</v>
      </c>
      <c r="CT134" s="69" t="e">
        <f aca="false">gnome*(TblMili[[#This Row],[Rockapult bonus]]*TblMili[[#This Row],[Unit 3]])</f>
        <v>#VALUE!</v>
      </c>
      <c r="CU134" s="148" t="n">
        <f aca="false">1.8 * MIN(MAX(TblMili[[#This Row],[Spellblade]]+Races!$E$47,TblMili[[#This Row],[Adept-DP]]+Races!$F$47),6)  +  0.45 * MIN(MIN(TblMili[[#This Row],[Spellblade]]+Races!$E$47,TblMili[[#This Row],[Adept-DP]]+Races!$F$47),6)  +  0.2 * ( MAX(TblMili[[#This Row],[Spellblade]]+Races!$E$47-6,0) + MAX(TblMili[[#This Row],[Adept-DP]]+Races!$F$47-6,0) )  -  Races!$I$47</f>
        <v>0</v>
      </c>
      <c r="CV134" s="69" t="n">
        <f aca="false">dark_elf*(TblMili[[#This Row],[Adept bonus]]*TblMili[[#This Row],[Unit 3]])</f>
        <v>0</v>
      </c>
      <c r="CW134" s="148" t="e">
        <f aca="false">1.8 * MIN(MAX(TblMili[[#This Row],[Frost Mage]]+Races!$F$71,Races!$E$71),6)  +  0.45 * MIN(MIN(TblMili[[#This Row],[Frost Mage]]+Races!$F$71,Races!$E$71),6)  +  0.2 * ( MAX(TblMili[[#This Row],[Frost Mage]]+Races!$F$71-6,0) + MAX(Races!$E$71-6,0) )  -  Races!$I$71</f>
        <v>#VALUE!</v>
      </c>
      <c r="CX134" s="148" t="n">
        <f aca="false">1.8 * MIN(MAX(TblMili[[#This Row],[Ice Elemental]]+Races!$E$71,Races!$F$71),6)  +  0.45 * MIN(MIN(TblMili[[#This Row],[Ice Elemental]]+Races!$E$71,Races!$F$71),6)  +  0.2 * ( MAX(TblMili[[#This Row],[Ice Elemental]]+Races!$E$71-6,0) + MAX(Races!$F$71-6,0) )  -  Races!$I$71</f>
        <v>0.064285714285715</v>
      </c>
      <c r="CY134" s="69" t="e">
        <f aca="false">TblMili[[#This Row],[Frost Mage bonus]]*TblMili[[#This Row],[Unit 3]]+TblMili[[#This Row],[Ice Elemental bonus]]*TblMili[[#This Row],[Unit 4]]</f>
        <v>#VALUE!</v>
      </c>
      <c r="CZ134" s="290"/>
      <c r="DA134" s="109" t="n">
        <f aca="false">MIN(SUM(TblConstr[[#This Row],[Plain]:[Water]])/TblMili[[#This Row],[Land]]/favorable_terrain_bonus/100,favorable_terrain_max)</f>
        <v>0</v>
      </c>
      <c r="DB134" s="290"/>
      <c r="DC13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4" s="132"/>
      <c r="DE134" s="291" t="n">
        <f aca="false">(TblMili[[#This Row],[Wizards]]+2*TblMili[[#This Row],[Archmages]])/TblConstr[[#This Row],[Land]]</f>
        <v>0.0357142857142857</v>
      </c>
      <c r="DF134" s="291" t="n">
        <f aca="false">TblMili[[#This Row],[Raw (2)]]*(1+race_wizard_strength+IF(TblMili[[#This Row],[Hour]]&gt;72,tech_magical_weaponry_wiz*TblTech[[#This Row],[3-5]],0))</f>
        <v>0.0357142857142857</v>
      </c>
    </row>
    <row r="135" customFormat="false" ht="12.75" hidden="false" customHeight="false" outlineLevel="0" collapsed="false">
      <c r="A135" s="128" t="n">
        <f aca="false">TblRezone[[#This Row],[Hour]]</f>
        <v>132</v>
      </c>
      <c r="B135" s="282" t="n">
        <f aca="false">SUM(TblMili[[#This Row],[Unit 1]:[Archmages]])+SUM(OFFSET(TblMili[[#This Row],[Train Unit 1]],-8,0):TblMili[[#This Row],[Train Unit 2]]) + SUM(OFFSET(TblMili[[#This Row],[Train Unit 3]],-11,0):TblMili[[#This Row],[Train AM]]) + TblMili[[#This Row],[Draftees]]</f>
        <v>7404</v>
      </c>
      <c r="C135" s="150" t="n">
        <f aca="false">TblPop[[#This Row],[Military%]]</f>
        <v>0.572223510317644</v>
      </c>
      <c r="D135" s="132"/>
      <c r="E135" s="151" t="n">
        <f aca="false">OFFSET(TblMili[[#This Row],[Unit 1]],-1,0) + OFFSET(TblMili[[#This Row],[Train Unit 1]],-9,0) - TblMili[[#This Row],[Release Unit 1]]</f>
        <v>0</v>
      </c>
      <c r="F135" s="151" t="n">
        <f aca="false">OFFSET(TblMili[[#This Row],[Unit 2]],-1,0) + OFFSET(TblMili[[#This Row],[Train Unit 2]],-9,0)-TblMili[[#This Row],[Release Unit 2]]</f>
        <v>1246</v>
      </c>
      <c r="G135" s="151" t="n">
        <f aca="false">OFFSET(TblMili[[#This Row],[Unit 3]],-1,0) + OFFSET(TblMili[[#This Row],[Train Unit 3]],-12,0)-TblMili[[#This Row],[Release Unit 3]]</f>
        <v>700</v>
      </c>
      <c r="H135" s="151" t="n">
        <f aca="false">OFFSET(TblMili[[#This Row],[Unit 4]],-1,0) + OFFSET(TblMili[[#This Row],[Train Unit 4]],-12,0)-TblMili[[#This Row],[Release Unit 4]]</f>
        <v>1228</v>
      </c>
      <c r="I135" s="151" t="n">
        <f aca="false">OFFSET(TblMili[[#This Row],[Spies]],-1,0) + OFFSET(TblMili[[#This Row],[Train Spies]],-12,0) - TblMili[[#This Row],[Release Spies]]-TblMili[[#This Row],[Train AS]]</f>
        <v>25</v>
      </c>
      <c r="J135" s="151" t="n">
        <f aca="false">OFFSET(TblMili[[#This Row],[Archspies]],-1,0) + OFFSET(TblMili[[#This Row],[Train AS]],-12,0) - TblMili[[#This Row],[Release AS]]</f>
        <v>0</v>
      </c>
      <c r="K135" s="151" t="n">
        <f aca="false">OFFSET(TblMili[[#This Row],[Wizards]],-1,0) + OFFSET(TblMili[[#This Row],[Train Wiz]],-12,0) - TblMili[[#This Row],[Release Wizards]]-TblMili[[#This Row],[Train AM]]</f>
        <v>25</v>
      </c>
      <c r="L135" s="151" t="n">
        <f aca="false">OFFSET(TblMili[[#This Row],[Archmages]],-1,0) + OFFSET(TblMili[[#This Row],[Train AM]],-12,0) - TblMili[[#This Row],[Release AM]]</f>
        <v>0</v>
      </c>
      <c r="M135" s="132"/>
      <c r="N135" s="69" t="e">
        <f aca="false">TblProd[[#This Row],[Networth]]</f>
        <v>#VALUE!</v>
      </c>
      <c r="O135" s="132"/>
      <c r="P13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5" s="285" t="e">
        <f aca="false">TblMili[[#This Row],[Raw]]*(1+TblMili[[#This Row],[Mods_Off]])</f>
        <v>#VALUE!</v>
      </c>
      <c r="S13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5" s="285" t="e">
        <f aca="false">TblMili[[#This Row],[Non Draft]]+TblMili[[#This Row],[Draftees]]</f>
        <v>#VALUE!</v>
      </c>
      <c r="U135" s="286" t="n">
        <f aca="false">race_defense + TblImps[[#This Row],[Walls]] + ROUND( MIN(gt_bonus*TblConstr[[#This Row],[Tot GT]]/TblConstr[[#This Row],[Land]],gt_bonus_cap), 4) + IF(TblMagic[[#This Row],[Active Howling]]&gt;0,howling_dp_bonus,IF(TblMagic[[#This Row],[Active Ares Call]]&gt;0,ares_call_bonus))</f>
        <v>0.1375</v>
      </c>
      <c r="V135" s="274" t="e">
        <f aca="false">TblMili[[#This Row],[Non Draft]] * (1 + TblMili[[#This Row],[Mods_Def]])</f>
        <v>#VALUE!</v>
      </c>
      <c r="W135" s="285" t="e">
        <f aca="false">TblMili[[#This Row],[Draft]] * (1 + TblMili[[#This Row],[Mods_Def]])</f>
        <v>#VALUE!</v>
      </c>
      <c r="X135" s="285" t="n">
        <f aca="false">TblConstr[[#This Row],[Land]]</f>
        <v>700</v>
      </c>
      <c r="Y135" s="287"/>
      <c r="Z135" s="109" t="n">
        <f aca="false">IF(TblMili[[#This Row],[Set]]&lt;&gt;"",TblMili[[#This Row],[Set]],OFFSET(TblMili[[#This Row],[Draftrate]],-1,0))</f>
        <v>0.9</v>
      </c>
      <c r="AA135" s="69" t="n">
        <f aca="false">OFFSET(TblMili[[#This Row],[Draftees]],-1,0)+OFFSET(TblPop[[#This Row],[Draft Growth]],-1,0) - SUM(TblMili[[#This Row],[Train Unit 1]:[Train Spies]],TblMili[[#This Row],[Train Wiz]]) - TblMili[[#This Row],[Release Draft]] + SUM(TblMili[[#This Row],[Release Unit 1]:[Release AM]]) - TblExplore[[#This Row],[Draftees (2)]]</f>
        <v>4180</v>
      </c>
      <c r="AB135" s="146"/>
      <c r="AC135" s="130" t="n">
        <f aca="false">(TblConstr[[#This Row],[Tot Smi]]+TblConstr[[#This Row],[Dest Smi]])/(TblConstr[[#This Row],[Land]]-TblExplore[[#This Row],[Land Bonus]]*20)</f>
        <v>0.18</v>
      </c>
      <c r="AD135" s="128"/>
      <c r="AE135" s="282" t="n">
        <f aca="false">TblMili[[#This Row],[Hour]]</f>
        <v>132</v>
      </c>
      <c r="AF135" s="129" t="n">
        <f aca="false">TblExplore[[#This Row],[Time]]</f>
        <v>45435.2083333333</v>
      </c>
      <c r="AG135" s="182"/>
      <c r="AH135" s="182"/>
      <c r="AI135" s="182"/>
      <c r="AJ135" s="182"/>
      <c r="AK135" s="182"/>
      <c r="AL135" s="182"/>
      <c r="AM135" s="182"/>
      <c r="AN135" s="182"/>
      <c r="AO135" s="132"/>
      <c r="AP135" s="69" t="n">
        <f aca="false">TblProd[[#This Row],[Platinum]]</f>
        <v>2174085</v>
      </c>
      <c r="AQ135" s="69" t="n">
        <f aca="false">INDEX(TblProd[[#Headers],[Lumber]]:TblProd[[#This Row],[Ore]],COUNTA(TblProd[[#Headers],[Lumber]]:TblProd[[#This Row],[Lumber]]),MATCH(Military!$AQ$2,TblProd[[#Headers],[Lumber]:[Ore]],0))</f>
        <v>0</v>
      </c>
      <c r="AR13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69" t="n">
        <f aca="false">TblMili[[#This Row],[Train Unit 1]]*TblMili[[#This Row],[OP Ore]]+TblMili[[#This Row],[Train Unit 2]]*TblMili[[#This Row],[DP Ore]]+TblMili[[#This Row],[Train Unit 3]]*TblMili[[#This Row],[E1 Ore]]+TblMili[[#This Row],[Train Unit 4]]*TblMili[[#This Row],[E2 Ore]]</f>
        <v>0</v>
      </c>
      <c r="AT135" s="132" t="n">
        <f aca="false">TblMili[[#This Row],[Hour]]</f>
        <v>132</v>
      </c>
      <c r="AU135" s="144" t="n">
        <f aca="false">TblMili[[#This Row],[Time]]</f>
        <v>45435.2083333333</v>
      </c>
      <c r="AV135" s="69" t="n">
        <f aca="false">TblMili[[#This Row],[Draftees]]</f>
        <v>4180</v>
      </c>
      <c r="AW135" s="182"/>
      <c r="AX135" s="182"/>
      <c r="AY135" s="182"/>
      <c r="AZ135" s="182"/>
      <c r="BA135" s="182"/>
      <c r="BB135" s="182"/>
      <c r="BC135" s="182"/>
      <c r="BD135" s="182"/>
      <c r="BE135" s="182"/>
      <c r="BF135" s="132"/>
      <c r="BG135" s="150" t="n">
        <f aca="false">TblConstr[[#This Row],[Tot WG]]/TblConstr[[#This Row],[Land]]</f>
        <v>0</v>
      </c>
      <c r="BH135" s="150" t="n">
        <f aca="false">TblConstr[[#This Row],[Tot Hav]]/TblConstr[[#This Row],[Land]]</f>
        <v>0</v>
      </c>
      <c r="BI135" s="69" t="n">
        <f aca="false">ROUNDUP((1-MIN(TblMili[[#This Row],[Smithies]]*smithy_bonus,smithy_bonus_cap) + tech_3_5*TblTech[[#This Row],[3-5]] + tech_5_3*TblTech[[#This Row],[5-3]] + tech_5_5*TblTech[[#This Row],[5-5]])*spec_op_plat,0)</f>
        <v>192</v>
      </c>
      <c r="BJ135" s="69" t="n">
        <f aca="false">ROUNDUP(IF(race="Gnome",1,(1-MIN(TblMili[[#This Row],[Smithies]]*smithy_bonus,smithy_bonus_cap) + tech_3_5*TblTech[[#This Row],[3-5]] + tech_5_3*TblTech[[#This Row],[5-3]] + tech_5_5*TblTech[[#This Row],[5-5]]))*spec_op_ore,0)</f>
        <v>0</v>
      </c>
      <c r="BK135" s="69" t="n">
        <f aca="false">ROUNDUP((1-MIN(TblMili[[#This Row],[Smithies]]*smithy_bonus,smithy_bonus_cap) + tech_3_5*TblTech[[#This Row],[3-5]] + tech_5_3*TblTech[[#This Row],[5-3]] + tech_5_5*TblTech[[#This Row],[5-5]])*spec_dp_plat,0)</f>
        <v>192</v>
      </c>
      <c r="BL135" s="69" t="n">
        <f aca="false">ROUNDUP(IF(race="Gnome",1,(1-MIN(TblMili[[#This Row],[Smithies]]*smithy_bonus,smithy_bonus_cap) + tech_3_5*TblTech[[#This Row],[3-5]] + tech_5_3*TblTech[[#This Row],[5-3]] + tech_5_5*TblTech[[#This Row],[5-5]]))*spec_dp_ore,0)</f>
        <v>0</v>
      </c>
      <c r="BM135" s="69" t="n">
        <f aca="false">ROUNDUP((1-MIN(TblMili[[#This Row],[Smithies]]*smithy_bonus,smithy_bonus_cap) + tech_3_5*TblTech[[#This Row],[3-5]] + tech_5_3*TblTech[[#This Row],[5-3]] + tech_5_5*TblTech[[#This Row],[5-5]])*elite1_plat,0)</f>
        <v>592</v>
      </c>
      <c r="BN135" s="69" t="n">
        <f aca="false">ROUNDUP(IF(race="Gnome",1,(1-MIN(TblMili[[#This Row],[Smithies]]*smithy_bonus,smithy_bonus_cap) + tech_3_5*TblTech[[#This Row],[3-5]] + tech_5_3*TblTech[[#This Row],[5-3]] + tech_5_5*TblTech[[#This Row],[5-5]]))*elite1_ore,0)</f>
        <v>0</v>
      </c>
      <c r="BO135" s="69" t="n">
        <f aca="false">ROUNDUP((1-MIN(TblMili[[#This Row],[Smithies]]*smithy_bonus,smithy_bonus_cap) + tech_3_5*TblTech[[#This Row],[3-5]] + tech_5_3*TblTech[[#This Row],[5-3]] + tech_5_5*TblTech[[#This Row],[5-5]])*elite2_plat,0)</f>
        <v>608</v>
      </c>
      <c r="BP135" s="69" t="n">
        <f aca="false">ROUNDUP(IF(race="Gnome",1,(1-MIN(TblMili[[#This Row],[Smithies]]*smithy_bonus,smithy_bonus_cap) + tech_3_5*TblTech[[#This Row],[3-5]] + tech_5_3*TblTech[[#This Row],[5-3]] + tech_5_5*TblTech[[#This Row],[5-5]]))*elite2_ore,0)</f>
        <v>0</v>
      </c>
      <c r="BQ135" s="69" t="n">
        <f aca="false">ROUNDUP((1-MIN(ROUND(fh_spy_cost_red*TblMili[[#This Row],[FH''s]],4),fh_spy_cost_cap)+ tech_1_9*TblTech[[#This Row],[1-9]] + tech_9_1*TblTech[[#This Row],[9-1]])*spy_plat,0)</f>
        <v>500</v>
      </c>
      <c r="BR135" s="69" t="n">
        <f aca="false">ROUNDUP((1-MIN(ROUND(fh_spy_cost_red*TblMili[[#This Row],[FH''s]],4),fh_spy_cost_cap)+ tech_1_9*TblTech[[#This Row],[1-9]] + tech_9_1*TblTech[[#This Row],[9-1]])*archspy_plat,0)</f>
        <v>1000</v>
      </c>
      <c r="BS135" s="69" t="n">
        <f aca="false">ROUNDUP((1-MIN(ROUND(wg_wiz_cost_bonus*TblMili[[#This Row],[WG''s]],4),wg_wiz_cost_cap) + tech_1_9_2*TblTech[[#This Row],[1-9]] + tech_9_1_2*TblTech[[#This Row],[9-1]])*wizard_plat,0)</f>
        <v>500</v>
      </c>
      <c r="BT135" s="69" t="n">
        <f aca="false">ROUNDUP((1-MIN(ROUND(wg_wiz_cost_bonus*TblMili[[#This Row],[WG''s]],4),wg_wiz_cost_cap) + tech_1_9_2*TblTech[[#This Row],[1-9]] + tech_9_1_2*TblTech[[#This Row],[9-1]])*archmage_plat,0)</f>
        <v>1000</v>
      </c>
      <c r="BU135" s="132"/>
      <c r="BV135" s="150" t="e">
        <f aca="false">TblConstr[[#This Row],[Homeland]]/TblConstr[[#This Row],[Land]]</f>
        <v>#VALUE!</v>
      </c>
      <c r="BW135" s="150" t="n">
        <f aca="false">TblMili[[#This Row],[WG''s]]</f>
        <v>0</v>
      </c>
      <c r="BX135" s="288" t="e">
        <f aca="false">IF(mystic_cap="none",TblMili[[#This Row],[Hill]]/mystic_bonus,MIN(mystic_cap,TblMili[[#This Row],[Hill]]/mystic_bonus))</f>
        <v>#VALUE!</v>
      </c>
      <c r="BY135" s="288" t="e">
        <f aca="false">IF(druid_op_cap="none",TblMili[[#This Row],[Hill]]/druid_op_bonus,MIN(druid_op_cap,TblMili[[#This Row],[Hill]]/druid_op_bonus))</f>
        <v>#VALUE!</v>
      </c>
      <c r="BZ135" s="288" t="e">
        <f aca="false">IF(druid_dp_cap="none",TblMili[[#This Row],[Hill]]/druid_dp_bonus,MIN(druid_dp_cap,TblMili[[#This Row],[Hill]]/druid_dp_bonus))</f>
        <v>#VALUE!</v>
      </c>
      <c r="CA135" s="288" t="e">
        <f aca="false">MIN(dryad_cap,TblMili[[#This Row],[Hill]]/dryad_bonus)</f>
        <v>#VALUE!</v>
      </c>
      <c r="CB135" s="288" t="e">
        <f aca="false">MIN(rocka_cap,TblMili[[#This Row],[Hill]]/rocka_bonus)</f>
        <v>#VALUE!</v>
      </c>
      <c r="CC135" s="288" t="n">
        <f aca="false">MIN(adept_op_cap,TblMili[[#This Row],[WG]]/adept_op_bonus)</f>
        <v>0</v>
      </c>
      <c r="CD135" s="288" t="n">
        <f aca="false">MIN(adept_dp_cap,TblMili[[#This Row],[WG]]/adept_dp_bonus)</f>
        <v>0</v>
      </c>
      <c r="CE135" s="69" t="n">
        <f aca="false">MIN(TblMili[[#This Row],[Unit 3]],TblMili[[#This Row],[Unit 2]])*2</f>
        <v>1400</v>
      </c>
      <c r="CF135" s="69" t="n">
        <f aca="false">MIN(TblMili[[#This Row],[Unit 1]],TblMili[[#This Row],[Unit 4]])*2</f>
        <v>0</v>
      </c>
      <c r="CG135" s="288" t="e">
        <f aca="false">MIN(frost_mage_cap,TblMili[[#This Row],[Hill]]/frost_mage_bonus)</f>
        <v>#VALUE!</v>
      </c>
      <c r="CH135" s="151" t="n">
        <f aca="false">MIN(ice_elem_cap,TblMili[[#This Row],[Raw (2)]]*ice_elem_bonus)</f>
        <v>0.0357142857142857</v>
      </c>
      <c r="CI135" s="288" t="n">
        <f aca="false">MIN(bone_breaker_cap,250/bone_breaker_bonus)</f>
        <v>0.833333333333333</v>
      </c>
      <c r="CJ135" s="288" t="e">
        <f aca="false">MIN(nox_nightshade_cap,TblConstr[[#This Row],[Homeland]]/TblConstr[[#This Row],[Land]]/nox_nightshade_swamp_bonus)</f>
        <v>#VALUE!</v>
      </c>
      <c r="CK135" s="289"/>
      <c r="CL135" s="289"/>
      <c r="CM135" s="289"/>
      <c r="CN135" s="288" t="e">
        <f aca="false">MIN(6,TblMili[[#This Row],[Mystic]]+Races!$F$19)*1.8 +  IF(TblMili[[#This Row],[Mystic]]+Races!$F$19&gt;6,(TblMili[[#This Row],[Mystic]]+Races!$F$19-6)*0.2,0) - Races!$I$19</f>
        <v>#VALUE!</v>
      </c>
      <c r="CO135" s="288" t="e">
        <f aca="false">1.8 * MIN(MAX(TblMili[[#This Row],[Druid (op)]]+Races!$E$20,TblMili[[#This Row],[Druid (dp)]]+Races!$F$20),6)  +  0.45 * MIN(MIN(TblMili[[#This Row],[Druid (op)]]+Races!$E$20,TblMili[[#This Row],[Druid (dp)]]+Races!$F$20),6)  +  0.2 * ( MAX(TblMili[[#This Row],[Druid (op)]]+Races!$E$20-6,0) + MAX(TblMili[[#This Row],[Druid (dp)]]+Races!$F$20-6,0) )  -  Races!$I$20</f>
        <v>#VALUE!</v>
      </c>
      <c r="CP135" s="69" t="e">
        <f aca="false">TblMili[[#This Row],[Mystic bonus]]*TblMili[[#This Row],[Unit 3]]+TblMili[[#This Row],[Druid bonus]]*TblMili[[#This Row],[Unit 4]]</f>
        <v>#VALUE!</v>
      </c>
      <c r="CQ135" s="148" t="e">
        <f aca="false">MIN(6,TblMili[[#This Row],[Dryad]]+Races!$F$35)*1.8 +  IF(TblMili[[#This Row],[Dryad]]+Races!$F$35&gt;6,(TblMili[[#This Row],[Dryad]]+Races!$F$35-6)*0.2,0) - Races!$I$19</f>
        <v>#VALUE!</v>
      </c>
      <c r="CR135" s="69" t="e">
        <f aca="false">sylvan*(TblMili[[#This Row],[Mystic bonus]]*TblMili[[#This Row],[Unit 3]])</f>
        <v>#VALUE!</v>
      </c>
      <c r="CS135" s="148" t="e">
        <f aca="false">1.8 * MIN(MAX(Races!$E$27,TblMili[[#This Row],[Rockapult]]+Races!$F$27),6)  +  0.45 * MIN(MIN(Races!$E$27,TblMili[[#This Row],[Rockapult]]+Races!$F$27),6)  +  0.2 * ( MAX(Races!$E$27-6,0) + MAX(TblMili[[#This Row],[Rockapult]]+Races!$F$27-6,0) )  -  Races!$I$20</f>
        <v>#VALUE!</v>
      </c>
      <c r="CT135" s="69" t="e">
        <f aca="false">gnome*(TblMili[[#This Row],[Rockapult bonus]]*TblMili[[#This Row],[Unit 3]])</f>
        <v>#VALUE!</v>
      </c>
      <c r="CU135" s="148" t="n">
        <f aca="false">1.8 * MIN(MAX(TblMili[[#This Row],[Spellblade]]+Races!$E$47,TblMili[[#This Row],[Adept-DP]]+Races!$F$47),6)  +  0.45 * MIN(MIN(TblMili[[#This Row],[Spellblade]]+Races!$E$47,TblMili[[#This Row],[Adept-DP]]+Races!$F$47),6)  +  0.2 * ( MAX(TblMili[[#This Row],[Spellblade]]+Races!$E$47-6,0) + MAX(TblMili[[#This Row],[Adept-DP]]+Races!$F$47-6,0) )  -  Races!$I$47</f>
        <v>0</v>
      </c>
      <c r="CV135" s="69" t="n">
        <f aca="false">dark_elf*(TblMili[[#This Row],[Adept bonus]]*TblMili[[#This Row],[Unit 3]])</f>
        <v>0</v>
      </c>
      <c r="CW135" s="148" t="e">
        <f aca="false">1.8 * MIN(MAX(TblMili[[#This Row],[Frost Mage]]+Races!$F$71,Races!$E$71),6)  +  0.45 * MIN(MIN(TblMili[[#This Row],[Frost Mage]]+Races!$F$71,Races!$E$71),6)  +  0.2 * ( MAX(TblMili[[#This Row],[Frost Mage]]+Races!$F$71-6,0) + MAX(Races!$E$71-6,0) )  -  Races!$I$71</f>
        <v>#VALUE!</v>
      </c>
      <c r="CX135" s="148" t="n">
        <f aca="false">1.8 * MIN(MAX(TblMili[[#This Row],[Ice Elemental]]+Races!$E$71,Races!$F$71),6)  +  0.45 * MIN(MIN(TblMili[[#This Row],[Ice Elemental]]+Races!$E$71,Races!$F$71),6)  +  0.2 * ( MAX(TblMili[[#This Row],[Ice Elemental]]+Races!$E$71-6,0) + MAX(Races!$F$71-6,0) )  -  Races!$I$71</f>
        <v>0.064285714285715</v>
      </c>
      <c r="CY135" s="69" t="e">
        <f aca="false">TblMili[[#This Row],[Frost Mage bonus]]*TblMili[[#This Row],[Unit 3]]+TblMili[[#This Row],[Ice Elemental bonus]]*TblMili[[#This Row],[Unit 4]]</f>
        <v>#VALUE!</v>
      </c>
      <c r="CZ135" s="290"/>
      <c r="DA135" s="109" t="n">
        <f aca="false">MIN(SUM(TblConstr[[#This Row],[Plain]:[Water]])/TblMili[[#This Row],[Land]]/favorable_terrain_bonus/100,favorable_terrain_max)</f>
        <v>0</v>
      </c>
      <c r="DB135" s="290"/>
      <c r="DC13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5" s="132"/>
      <c r="DE135" s="291" t="n">
        <f aca="false">(TblMili[[#This Row],[Wizards]]+2*TblMili[[#This Row],[Archmages]])/TblConstr[[#This Row],[Land]]</f>
        <v>0.0357142857142857</v>
      </c>
      <c r="DF135" s="291" t="n">
        <f aca="false">TblMili[[#This Row],[Raw (2)]]*(1+race_wizard_strength+IF(TblMili[[#This Row],[Hour]]&gt;72,tech_magical_weaponry_wiz*TblTech[[#This Row],[3-5]],0))</f>
        <v>0.0357142857142857</v>
      </c>
    </row>
    <row r="136" customFormat="false" ht="12.75" hidden="false" customHeight="false" outlineLevel="0" collapsed="false">
      <c r="A136" s="128" t="n">
        <f aca="false">TblRezone[[#This Row],[Hour]]</f>
        <v>133</v>
      </c>
      <c r="B136" s="282" t="n">
        <f aca="false">SUM(TblMili[[#This Row],[Unit 1]:[Archmages]])+SUM(OFFSET(TblMili[[#This Row],[Train Unit 1]],-8,0):TblMili[[#This Row],[Train Unit 2]]) + SUM(OFFSET(TblMili[[#This Row],[Train Unit 3]],-11,0):TblMili[[#This Row],[Train AM]]) + TblMili[[#This Row],[Draftees]]</f>
        <v>7459</v>
      </c>
      <c r="C136" s="150" t="n">
        <f aca="false">TblPop[[#This Row],[Military%]]</f>
        <v>0.576474225210604</v>
      </c>
      <c r="D136" s="132"/>
      <c r="E136" s="151" t="n">
        <f aca="false">OFFSET(TblMili[[#This Row],[Unit 1]],-1,0) + OFFSET(TblMili[[#This Row],[Train Unit 1]],-9,0) - TblMili[[#This Row],[Release Unit 1]]</f>
        <v>0</v>
      </c>
      <c r="F136" s="151" t="n">
        <f aca="false">OFFSET(TblMili[[#This Row],[Unit 2]],-1,0) + OFFSET(TblMili[[#This Row],[Train Unit 2]],-9,0)-TblMili[[#This Row],[Release Unit 2]]</f>
        <v>1246</v>
      </c>
      <c r="G136" s="151" t="n">
        <f aca="false">OFFSET(TblMili[[#This Row],[Unit 3]],-1,0) + OFFSET(TblMili[[#This Row],[Train Unit 3]],-12,0)-TblMili[[#This Row],[Release Unit 3]]</f>
        <v>700</v>
      </c>
      <c r="H136" s="151" t="n">
        <f aca="false">OFFSET(TblMili[[#This Row],[Unit 4]],-1,0) + OFFSET(TblMili[[#This Row],[Train Unit 4]],-12,0)-TblMili[[#This Row],[Release Unit 4]]</f>
        <v>1228</v>
      </c>
      <c r="I136" s="151" t="n">
        <f aca="false">OFFSET(TblMili[[#This Row],[Spies]],-1,0) + OFFSET(TblMili[[#This Row],[Train Spies]],-12,0) - TblMili[[#This Row],[Release Spies]]-TblMili[[#This Row],[Train AS]]</f>
        <v>25</v>
      </c>
      <c r="J136" s="151" t="n">
        <f aca="false">OFFSET(TblMili[[#This Row],[Archspies]],-1,0) + OFFSET(TblMili[[#This Row],[Train AS]],-12,0) - TblMili[[#This Row],[Release AS]]</f>
        <v>0</v>
      </c>
      <c r="K136" s="151" t="n">
        <f aca="false">OFFSET(TblMili[[#This Row],[Wizards]],-1,0) + OFFSET(TblMili[[#This Row],[Train Wiz]],-12,0) - TblMili[[#This Row],[Release Wizards]]-TblMili[[#This Row],[Train AM]]</f>
        <v>25</v>
      </c>
      <c r="L136" s="151" t="n">
        <f aca="false">OFFSET(TblMili[[#This Row],[Archmages]],-1,0) + OFFSET(TblMili[[#This Row],[Train AM]],-12,0) - TblMili[[#This Row],[Release AM]]</f>
        <v>0</v>
      </c>
      <c r="M136" s="132"/>
      <c r="N136" s="69" t="e">
        <f aca="false">TblProd[[#This Row],[Networth]]</f>
        <v>#VALUE!</v>
      </c>
      <c r="O136" s="132"/>
      <c r="P13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6" s="285" t="e">
        <f aca="false">TblMili[[#This Row],[Raw]]*(1+TblMili[[#This Row],[Mods_Off]])</f>
        <v>#VALUE!</v>
      </c>
      <c r="S13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6" s="285" t="e">
        <f aca="false">TblMili[[#This Row],[Non Draft]]+TblMili[[#This Row],[Draftees]]</f>
        <v>#VALUE!</v>
      </c>
      <c r="U136" s="286" t="n">
        <f aca="false">race_defense + TblImps[[#This Row],[Walls]] + ROUND( MIN(gt_bonus*TblConstr[[#This Row],[Tot GT]]/TblConstr[[#This Row],[Land]],gt_bonus_cap), 4) + IF(TblMagic[[#This Row],[Active Howling]]&gt;0,howling_dp_bonus,IF(TblMagic[[#This Row],[Active Ares Call]]&gt;0,ares_call_bonus))</f>
        <v>0.1375</v>
      </c>
      <c r="V136" s="274" t="e">
        <f aca="false">TblMili[[#This Row],[Non Draft]] * (1 + TblMili[[#This Row],[Mods_Def]])</f>
        <v>#VALUE!</v>
      </c>
      <c r="W136" s="285" t="e">
        <f aca="false">TblMili[[#This Row],[Draft]] * (1 + TblMili[[#This Row],[Mods_Def]])</f>
        <v>#VALUE!</v>
      </c>
      <c r="X136" s="285" t="n">
        <f aca="false">TblConstr[[#This Row],[Land]]</f>
        <v>700</v>
      </c>
      <c r="Y136" s="287"/>
      <c r="Z136" s="109" t="n">
        <f aca="false">IF(TblMili[[#This Row],[Set]]&lt;&gt;"",TblMili[[#This Row],[Set]],OFFSET(TblMili[[#This Row],[Draftrate]],-1,0))</f>
        <v>0.9</v>
      </c>
      <c r="AA136" s="69" t="n">
        <f aca="false">OFFSET(TblMili[[#This Row],[Draftees]],-1,0)+OFFSET(TblPop[[#This Row],[Draft Growth]],-1,0) - SUM(TblMili[[#This Row],[Train Unit 1]:[Train Spies]],TblMili[[#This Row],[Train Wiz]]) - TblMili[[#This Row],[Release Draft]] + SUM(TblMili[[#This Row],[Release Unit 1]:[Release AM]]) - TblExplore[[#This Row],[Draftees (2)]]</f>
        <v>4235</v>
      </c>
      <c r="AB136" s="146"/>
      <c r="AC136" s="130" t="n">
        <f aca="false">(TblConstr[[#This Row],[Tot Smi]]+TblConstr[[#This Row],[Dest Smi]])/(TblConstr[[#This Row],[Land]]-TblExplore[[#This Row],[Land Bonus]]*20)</f>
        <v>0.18</v>
      </c>
      <c r="AD136" s="282"/>
      <c r="AE136" s="282" t="n">
        <f aca="false">TblMili[[#This Row],[Hour]]</f>
        <v>133</v>
      </c>
      <c r="AF136" s="129" t="n">
        <f aca="false">TblExplore[[#This Row],[Time]]</f>
        <v>45435.25</v>
      </c>
      <c r="AG136" s="182"/>
      <c r="AH136" s="152"/>
      <c r="AI136" s="182"/>
      <c r="AJ136" s="152"/>
      <c r="AK136" s="152"/>
      <c r="AL136" s="152"/>
      <c r="AM136" s="152"/>
      <c r="AN136" s="182"/>
      <c r="AO136" s="132"/>
      <c r="AP136" s="69" t="n">
        <f aca="false">TblProd[[#This Row],[Platinum]]</f>
        <v>2201404</v>
      </c>
      <c r="AQ136" s="69" t="n">
        <f aca="false">INDEX(TblProd[[#Headers],[Lumber]]:TblProd[[#This Row],[Ore]],COUNTA(TblProd[[#Headers],[Lumber]]:TblProd[[#This Row],[Lumber]]),MATCH(Military!$AQ$2,TblProd[[#Headers],[Lumber]:[Ore]],0))</f>
        <v>0</v>
      </c>
      <c r="AR13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69" t="n">
        <f aca="false">TblMili[[#This Row],[Train Unit 1]]*TblMili[[#This Row],[OP Ore]]+TblMili[[#This Row],[Train Unit 2]]*TblMili[[#This Row],[DP Ore]]+TblMili[[#This Row],[Train Unit 3]]*TblMili[[#This Row],[E1 Ore]]+TblMili[[#This Row],[Train Unit 4]]*TblMili[[#This Row],[E2 Ore]]</f>
        <v>0</v>
      </c>
      <c r="AT136" s="132" t="n">
        <f aca="false">TblMili[[#This Row],[Hour]]</f>
        <v>133</v>
      </c>
      <c r="AU136" s="144" t="n">
        <f aca="false">TblMili[[#This Row],[Time]]</f>
        <v>45435.25</v>
      </c>
      <c r="AV136" s="69" t="n">
        <f aca="false">TblMili[[#This Row],[Draftees]]</f>
        <v>4235</v>
      </c>
      <c r="AW136" s="182"/>
      <c r="AX136" s="182"/>
      <c r="AY136" s="182"/>
      <c r="AZ136" s="182"/>
      <c r="BA136" s="182"/>
      <c r="BB136" s="182"/>
      <c r="BC136" s="182"/>
      <c r="BD136" s="182"/>
      <c r="BE136" s="182"/>
      <c r="BF136" s="132"/>
      <c r="BG136" s="150" t="n">
        <f aca="false">TblConstr[[#This Row],[Tot WG]]/TblConstr[[#This Row],[Land]]</f>
        <v>0</v>
      </c>
      <c r="BH136" s="150" t="n">
        <f aca="false">TblConstr[[#This Row],[Tot Hav]]/TblConstr[[#This Row],[Land]]</f>
        <v>0</v>
      </c>
      <c r="BI136" s="69" t="n">
        <f aca="false">ROUNDUP((1-MIN(TblMili[[#This Row],[Smithies]]*smithy_bonus,smithy_bonus_cap) + tech_3_5*TblTech[[#This Row],[3-5]] + tech_5_3*TblTech[[#This Row],[5-3]] + tech_5_5*TblTech[[#This Row],[5-5]])*spec_op_plat,0)</f>
        <v>192</v>
      </c>
      <c r="BJ136" s="69" t="n">
        <f aca="false">ROUNDUP(IF(race="Gnome",1,(1-MIN(TblMili[[#This Row],[Smithies]]*smithy_bonus,smithy_bonus_cap) + tech_3_5*TblTech[[#This Row],[3-5]] + tech_5_3*TblTech[[#This Row],[5-3]] + tech_5_5*TblTech[[#This Row],[5-5]]))*spec_op_ore,0)</f>
        <v>0</v>
      </c>
      <c r="BK136" s="69" t="n">
        <f aca="false">ROUNDUP((1-MIN(TblMili[[#This Row],[Smithies]]*smithy_bonus,smithy_bonus_cap) + tech_3_5*TblTech[[#This Row],[3-5]] + tech_5_3*TblTech[[#This Row],[5-3]] + tech_5_5*TblTech[[#This Row],[5-5]])*spec_dp_plat,0)</f>
        <v>192</v>
      </c>
      <c r="BL136" s="69" t="n">
        <f aca="false">ROUNDUP(IF(race="Gnome",1,(1-MIN(TblMili[[#This Row],[Smithies]]*smithy_bonus,smithy_bonus_cap) + tech_3_5*TblTech[[#This Row],[3-5]] + tech_5_3*TblTech[[#This Row],[5-3]] + tech_5_5*TblTech[[#This Row],[5-5]]))*spec_dp_ore,0)</f>
        <v>0</v>
      </c>
      <c r="BM136" s="69" t="n">
        <f aca="false">ROUNDUP((1-MIN(TblMili[[#This Row],[Smithies]]*smithy_bonus,smithy_bonus_cap) + tech_3_5*TblTech[[#This Row],[3-5]] + tech_5_3*TblTech[[#This Row],[5-3]] + tech_5_5*TblTech[[#This Row],[5-5]])*elite1_plat,0)</f>
        <v>592</v>
      </c>
      <c r="BN136" s="69" t="n">
        <f aca="false">ROUNDUP(IF(race="Gnome",1,(1-MIN(TblMili[[#This Row],[Smithies]]*smithy_bonus,smithy_bonus_cap) + tech_3_5*TblTech[[#This Row],[3-5]] + tech_5_3*TblTech[[#This Row],[5-3]] + tech_5_5*TblTech[[#This Row],[5-5]]))*elite1_ore,0)</f>
        <v>0</v>
      </c>
      <c r="BO136" s="69" t="n">
        <f aca="false">ROUNDUP((1-MIN(TblMili[[#This Row],[Smithies]]*smithy_bonus,smithy_bonus_cap) + tech_3_5*TblTech[[#This Row],[3-5]] + tech_5_3*TblTech[[#This Row],[5-3]] + tech_5_5*TblTech[[#This Row],[5-5]])*elite2_plat,0)</f>
        <v>608</v>
      </c>
      <c r="BP136" s="69" t="n">
        <f aca="false">ROUNDUP(IF(race="Gnome",1,(1-MIN(TblMili[[#This Row],[Smithies]]*smithy_bonus,smithy_bonus_cap) + tech_3_5*TblTech[[#This Row],[3-5]] + tech_5_3*TblTech[[#This Row],[5-3]] + tech_5_5*TblTech[[#This Row],[5-5]]))*elite2_ore,0)</f>
        <v>0</v>
      </c>
      <c r="BQ136" s="69" t="n">
        <f aca="false">ROUNDUP((1-MIN(ROUND(fh_spy_cost_red*TblMili[[#This Row],[FH''s]],4),fh_spy_cost_cap)+ tech_1_9*TblTech[[#This Row],[1-9]] + tech_9_1*TblTech[[#This Row],[9-1]])*spy_plat,0)</f>
        <v>500</v>
      </c>
      <c r="BR136" s="69" t="n">
        <f aca="false">ROUNDUP((1-MIN(ROUND(fh_spy_cost_red*TblMili[[#This Row],[FH''s]],4),fh_spy_cost_cap)+ tech_1_9*TblTech[[#This Row],[1-9]] + tech_9_1*TblTech[[#This Row],[9-1]])*archspy_plat,0)</f>
        <v>1000</v>
      </c>
      <c r="BS136" s="69" t="n">
        <f aca="false">ROUNDUP((1-MIN(ROUND(wg_wiz_cost_bonus*TblMili[[#This Row],[WG''s]],4),wg_wiz_cost_cap) + tech_1_9_2*TblTech[[#This Row],[1-9]] + tech_9_1_2*TblTech[[#This Row],[9-1]])*wizard_plat,0)</f>
        <v>500</v>
      </c>
      <c r="BT136" s="69" t="n">
        <f aca="false">ROUNDUP((1-MIN(ROUND(wg_wiz_cost_bonus*TblMili[[#This Row],[WG''s]],4),wg_wiz_cost_cap) + tech_1_9_2*TblTech[[#This Row],[1-9]] + tech_9_1_2*TblTech[[#This Row],[9-1]])*archmage_plat,0)</f>
        <v>1000</v>
      </c>
      <c r="BU136" s="132"/>
      <c r="BV136" s="150" t="e">
        <f aca="false">TblConstr[[#This Row],[Homeland]]/TblConstr[[#This Row],[Land]]</f>
        <v>#VALUE!</v>
      </c>
      <c r="BW136" s="150" t="n">
        <f aca="false">TblMili[[#This Row],[WG''s]]</f>
        <v>0</v>
      </c>
      <c r="BX136" s="288" t="e">
        <f aca="false">IF(mystic_cap="none",TblMili[[#This Row],[Hill]]/mystic_bonus,MIN(mystic_cap,TblMili[[#This Row],[Hill]]/mystic_bonus))</f>
        <v>#VALUE!</v>
      </c>
      <c r="BY136" s="288" t="e">
        <f aca="false">IF(druid_op_cap="none",TblMili[[#This Row],[Hill]]/druid_op_bonus,MIN(druid_op_cap,TblMili[[#This Row],[Hill]]/druid_op_bonus))</f>
        <v>#VALUE!</v>
      </c>
      <c r="BZ136" s="288" t="e">
        <f aca="false">IF(druid_dp_cap="none",TblMili[[#This Row],[Hill]]/druid_dp_bonus,MIN(druid_dp_cap,TblMili[[#This Row],[Hill]]/druid_dp_bonus))</f>
        <v>#VALUE!</v>
      </c>
      <c r="CA136" s="288" t="e">
        <f aca="false">MIN(dryad_cap,TblMili[[#This Row],[Hill]]/dryad_bonus)</f>
        <v>#VALUE!</v>
      </c>
      <c r="CB136" s="288" t="e">
        <f aca="false">MIN(rocka_cap,TblMili[[#This Row],[Hill]]/rocka_bonus)</f>
        <v>#VALUE!</v>
      </c>
      <c r="CC136" s="288" t="n">
        <f aca="false">MIN(adept_op_cap,TblMili[[#This Row],[WG]]/adept_op_bonus)</f>
        <v>0</v>
      </c>
      <c r="CD136" s="288" t="n">
        <f aca="false">MIN(adept_dp_cap,TblMili[[#This Row],[WG]]/adept_dp_bonus)</f>
        <v>0</v>
      </c>
      <c r="CE136" s="69" t="n">
        <f aca="false">MIN(TblMili[[#This Row],[Unit 3]],TblMili[[#This Row],[Unit 2]])*2</f>
        <v>1400</v>
      </c>
      <c r="CF136" s="69" t="n">
        <f aca="false">MIN(TblMili[[#This Row],[Unit 1]],TblMili[[#This Row],[Unit 4]])*2</f>
        <v>0</v>
      </c>
      <c r="CG136" s="288" t="e">
        <f aca="false">MIN(frost_mage_cap,TblMili[[#This Row],[Hill]]/frost_mage_bonus)</f>
        <v>#VALUE!</v>
      </c>
      <c r="CH136" s="151" t="n">
        <f aca="false">MIN(ice_elem_cap,TblMili[[#This Row],[Raw (2)]]*ice_elem_bonus)</f>
        <v>0.0357142857142857</v>
      </c>
      <c r="CI136" s="288" t="n">
        <f aca="false">MIN(bone_breaker_cap,250/bone_breaker_bonus)</f>
        <v>0.833333333333333</v>
      </c>
      <c r="CJ136" s="288" t="e">
        <f aca="false">MIN(nox_nightshade_cap,TblConstr[[#This Row],[Homeland]]/TblConstr[[#This Row],[Land]]/nox_nightshade_swamp_bonus)</f>
        <v>#VALUE!</v>
      </c>
      <c r="CK136" s="289"/>
      <c r="CL136" s="289"/>
      <c r="CM136" s="289"/>
      <c r="CN136" s="288" t="e">
        <f aca="false">MIN(6,TblMili[[#This Row],[Mystic]]+Races!$F$19)*1.8 +  IF(TblMili[[#This Row],[Mystic]]+Races!$F$19&gt;6,(TblMili[[#This Row],[Mystic]]+Races!$F$19-6)*0.2,0) - Races!$I$19</f>
        <v>#VALUE!</v>
      </c>
      <c r="CO136" s="288" t="e">
        <f aca="false">1.8 * MIN(MAX(TblMili[[#This Row],[Druid (op)]]+Races!$E$20,TblMili[[#This Row],[Druid (dp)]]+Races!$F$20),6)  +  0.45 * MIN(MIN(TblMili[[#This Row],[Druid (op)]]+Races!$E$20,TblMili[[#This Row],[Druid (dp)]]+Races!$F$20),6)  +  0.2 * ( MAX(TblMili[[#This Row],[Druid (op)]]+Races!$E$20-6,0) + MAX(TblMili[[#This Row],[Druid (dp)]]+Races!$F$20-6,0) )  -  Races!$I$20</f>
        <v>#VALUE!</v>
      </c>
      <c r="CP136" s="69" t="e">
        <f aca="false">TblMili[[#This Row],[Mystic bonus]]*TblMili[[#This Row],[Unit 3]]+TblMili[[#This Row],[Druid bonus]]*TblMili[[#This Row],[Unit 4]]</f>
        <v>#VALUE!</v>
      </c>
      <c r="CQ136" s="148" t="e">
        <f aca="false">MIN(6,TblMili[[#This Row],[Dryad]]+Races!$F$35)*1.8 +  IF(TblMili[[#This Row],[Dryad]]+Races!$F$35&gt;6,(TblMili[[#This Row],[Dryad]]+Races!$F$35-6)*0.2,0) - Races!$I$19</f>
        <v>#VALUE!</v>
      </c>
      <c r="CR136" s="69" t="e">
        <f aca="false">sylvan*(TblMili[[#This Row],[Mystic bonus]]*TblMili[[#This Row],[Unit 3]])</f>
        <v>#VALUE!</v>
      </c>
      <c r="CS136" s="148" t="e">
        <f aca="false">1.8 * MIN(MAX(Races!$E$27,TblMili[[#This Row],[Rockapult]]+Races!$F$27),6)  +  0.45 * MIN(MIN(Races!$E$27,TblMili[[#This Row],[Rockapult]]+Races!$F$27),6)  +  0.2 * ( MAX(Races!$E$27-6,0) + MAX(TblMili[[#This Row],[Rockapult]]+Races!$F$27-6,0) )  -  Races!$I$20</f>
        <v>#VALUE!</v>
      </c>
      <c r="CT136" s="69" t="e">
        <f aca="false">gnome*(TblMili[[#This Row],[Rockapult bonus]]*TblMili[[#This Row],[Unit 3]])</f>
        <v>#VALUE!</v>
      </c>
      <c r="CU136" s="148" t="n">
        <f aca="false">1.8 * MIN(MAX(TblMili[[#This Row],[Spellblade]]+Races!$E$47,TblMili[[#This Row],[Adept-DP]]+Races!$F$47),6)  +  0.45 * MIN(MIN(TblMili[[#This Row],[Spellblade]]+Races!$E$47,TblMili[[#This Row],[Adept-DP]]+Races!$F$47),6)  +  0.2 * ( MAX(TblMili[[#This Row],[Spellblade]]+Races!$E$47-6,0) + MAX(TblMili[[#This Row],[Adept-DP]]+Races!$F$47-6,0) )  -  Races!$I$47</f>
        <v>0</v>
      </c>
      <c r="CV136" s="69" t="n">
        <f aca="false">dark_elf*(TblMili[[#This Row],[Adept bonus]]*TblMili[[#This Row],[Unit 3]])</f>
        <v>0</v>
      </c>
      <c r="CW136" s="148" t="e">
        <f aca="false">1.8 * MIN(MAX(TblMili[[#This Row],[Frost Mage]]+Races!$F$71,Races!$E$71),6)  +  0.45 * MIN(MIN(TblMili[[#This Row],[Frost Mage]]+Races!$F$71,Races!$E$71),6)  +  0.2 * ( MAX(TblMili[[#This Row],[Frost Mage]]+Races!$F$71-6,0) + MAX(Races!$E$71-6,0) )  -  Races!$I$71</f>
        <v>#VALUE!</v>
      </c>
      <c r="CX136" s="148" t="n">
        <f aca="false">1.8 * MIN(MAX(TblMili[[#This Row],[Ice Elemental]]+Races!$E$71,Races!$F$71),6)  +  0.45 * MIN(MIN(TblMili[[#This Row],[Ice Elemental]]+Races!$E$71,Races!$F$71),6)  +  0.2 * ( MAX(TblMili[[#This Row],[Ice Elemental]]+Races!$E$71-6,0) + MAX(Races!$F$71-6,0) )  -  Races!$I$71</f>
        <v>0.064285714285715</v>
      </c>
      <c r="CY136" s="69" t="e">
        <f aca="false">TblMili[[#This Row],[Frost Mage bonus]]*TblMili[[#This Row],[Unit 3]]+TblMili[[#This Row],[Ice Elemental bonus]]*TblMili[[#This Row],[Unit 4]]</f>
        <v>#VALUE!</v>
      </c>
      <c r="CZ136" s="290"/>
      <c r="DA136" s="109" t="n">
        <f aca="false">MIN(SUM(TblConstr[[#This Row],[Plain]:[Water]])/TblMili[[#This Row],[Land]]/favorable_terrain_bonus/100,favorable_terrain_max)</f>
        <v>0</v>
      </c>
      <c r="DB136" s="290"/>
      <c r="DC13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6" s="132"/>
      <c r="DE136" s="291" t="n">
        <f aca="false">(TblMili[[#This Row],[Wizards]]+2*TblMili[[#This Row],[Archmages]])/TblConstr[[#This Row],[Land]]</f>
        <v>0.0357142857142857</v>
      </c>
      <c r="DF136" s="291" t="n">
        <f aca="false">TblMili[[#This Row],[Raw (2)]]*(1+race_wizard_strength+IF(TblMili[[#This Row],[Hour]]&gt;72,tech_magical_weaponry_wiz*TblTech[[#This Row],[3-5]],0))</f>
        <v>0.0357142857142857</v>
      </c>
    </row>
    <row r="137" customFormat="false" ht="12.75" hidden="false" customHeight="false" outlineLevel="0" collapsed="false">
      <c r="AJ137" s="1" t="n">
        <v>100</v>
      </c>
    </row>
    <row r="139" customFormat="false" ht="12.75" hidden="false" customHeight="false" outlineLevel="0" collapsed="false">
      <c r="AF139" s="1" t="n">
        <f aca="false">SUM(E136:L136)</f>
        <v>3224</v>
      </c>
    </row>
    <row r="1269" customFormat="false" ht="12.75" hidden="false" customHeight="false" outlineLevel="0" collapsed="false">
      <c r="B1269" s="140" t="s">
        <v>24</v>
      </c>
      <c r="C1269" s="140"/>
    </row>
    <row r="1270" customFormat="false" ht="12.75" hidden="false" customHeight="false" outlineLevel="0" collapsed="false">
      <c r="B1270" s="141" t="n">
        <f aca="false">Overview!E17</f>
        <v>0</v>
      </c>
      <c r="C1270" s="141"/>
    </row>
  </sheetData>
  <mergeCells count="8">
    <mergeCell ref="P1:R1"/>
    <mergeCell ref="S1:T1"/>
    <mergeCell ref="V1:W1"/>
    <mergeCell ref="Y1:AA1"/>
    <mergeCell ref="BI1:BT1"/>
    <mergeCell ref="BV1:BX1"/>
    <mergeCell ref="CN1:CV1"/>
    <mergeCell ref="B1269:C1269"/>
  </mergeCells>
  <conditionalFormatting sqref="A4:DF136">
    <cfRule type="expression" priority="2" aboveAverage="0" equalAverage="0" bottom="0" percent="0" rank="0" text="" dxfId="87">
      <formula>ROW()-3=$B$1270</formula>
    </cfRule>
    <cfRule type="expression" priority="3" aboveAverage="0" equalAverage="0" bottom="0" percent="0" rank="0" text="" dxfId="88">
      <formula>OR(ROW()-3=$B$1270,A4&lt;0)</formula>
    </cfRule>
    <cfRule type="expression" priority="4" aboveAverage="0" equalAverage="0" bottom="0" percent="0" rank="0" text="" dxfId="89">
      <formula>$A4=73</formula>
    </cfRule>
  </conditionalFormatting>
  <conditionalFormatting sqref="A6994:A65053 A1271:DF60143 A137:DF1268">
    <cfRule type="expression" priority="5" aboveAverage="0" equalAverage="0" bottom="0" percent="0" rank="0" text="" dxfId="90">
      <formula>ROW(-2=#ref!</formula>
    </cfRule>
  </conditionalFormatting>
  <conditionalFormatting sqref="A1269:DF1270">
    <cfRule type="expression" priority="6" aboveAverage="0" equalAverage="0" bottom="0" percent="0" rank="0" text="" dxfId="91">
      <formula>$B$1270&gt;144</formula>
    </cfRule>
  </conditionalFormatting>
  <conditionalFormatting sqref="A3:DF136">
    <cfRule type="expression" priority="7" aboveAverage="0" equalAverage="0" bottom="0" percent="0" rank="0" text="" dxfId="92">
      <formula>ROUND(($A3-1)/12,0)=INT($A3-1)/12</formula>
    </cfRule>
  </conditionalFormatting>
  <conditionalFormatting sqref="A1:XFD3">
    <cfRule type="expression" priority="8" aboveAverage="0" equalAverage="0" bottom="0" percent="0" rank="0" text="" dxfId="93">
      <formula>$B$1270&lt;0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2583"/>
    <pageSetUpPr fitToPage="false"/>
  </sheetPr>
  <dimension ref="A1:AO1270"/>
  <sheetViews>
    <sheetView showFormulas="false" showGridLines="true" showRowColHeaders="true" showZeros="true" rightToLeft="false" tabSelected="false" showOutlineSymbols="true" defaultGridColor="true" view="normal" topLeftCell="Y1" colorId="64" zoomScale="85" zoomScaleNormal="85" zoomScalePageLayoutView="100" workbookViewId="0">
      <pane xSplit="0" ySplit="3" topLeftCell="A40" activePane="bottomLeft" state="frozen"/>
      <selection pane="topLeft" activeCell="Y1" activeCellId="0" sqref="Y1"/>
      <selection pane="bottomLeft" activeCell="U104" activeCellId="0" sqref="U104"/>
    </sheetView>
  </sheetViews>
  <sheetFormatPr defaultColWidth="9.1484375" defaultRowHeight="12.75" zeroHeight="false" outlineLevelRow="0" outlineLevelCol="0"/>
  <cols>
    <col collapsed="false" customWidth="true" hidden="false" outlineLevel="0" max="1" min="1" style="26" width="7.57"/>
    <col collapsed="false" customWidth="true" hidden="false" outlineLevel="0" max="2" min="2" style="1" width="7.71"/>
    <col collapsed="false" customWidth="true" hidden="false" outlineLevel="0" max="6" min="3" style="1" width="8.57"/>
    <col collapsed="false" customWidth="true" hidden="false" outlineLevel="0" max="17" min="7" style="1" width="10.14"/>
    <col collapsed="false" customWidth="true" hidden="false" outlineLevel="0" max="18" min="18" style="1" width="11"/>
    <col collapsed="false" customWidth="true" hidden="false" outlineLevel="0" max="19" min="19" style="1" width="11.43"/>
    <col collapsed="false" customWidth="true" hidden="false" outlineLevel="0" max="22" min="20" style="1" width="10.14"/>
    <col collapsed="false" customWidth="true" hidden="false" outlineLevel="0" max="23" min="23" style="1" width="3.42"/>
    <col collapsed="false" customWidth="false" hidden="false" outlineLevel="0" max="24" min="24" style="1" width="9.14"/>
    <col collapsed="false" customWidth="true" hidden="false" outlineLevel="0" max="25" min="25" style="1" width="10.57"/>
    <col collapsed="false" customWidth="true" hidden="true" outlineLevel="0" max="26" min="26" style="1" width="3.86"/>
    <col collapsed="false" customWidth="true" hidden="true" outlineLevel="0" max="40" min="27" style="1" width="11.43"/>
    <col collapsed="false" customWidth="true" hidden="true" outlineLevel="0" max="41" min="41" style="1" width="11.53"/>
    <col collapsed="false" customWidth="false" hidden="false" outlineLevel="0" max="16384" min="42" style="1" width="9.14"/>
  </cols>
  <sheetData>
    <row r="1" s="141" customFormat="true" ht="12.75" hidden="false" customHeight="true" outlineLevel="0" collapsed="false">
      <c r="O1" s="304" t="s">
        <v>474</v>
      </c>
      <c r="T1" s="124"/>
      <c r="U1" s="305"/>
      <c r="X1" s="141" t="s">
        <v>337</v>
      </c>
      <c r="AA1" s="141" t="s">
        <v>475</v>
      </c>
      <c r="AF1" s="141" t="s">
        <v>476</v>
      </c>
      <c r="AG1" s="141" t="s">
        <v>118</v>
      </c>
      <c r="AH1" s="141" t="s">
        <v>134</v>
      </c>
      <c r="AI1" s="141" t="s">
        <v>477</v>
      </c>
      <c r="AJ1" s="141" t="s">
        <v>113</v>
      </c>
      <c r="AK1" s="141" t="s">
        <v>131</v>
      </c>
      <c r="AL1" s="141" t="s">
        <v>122</v>
      </c>
      <c r="AM1" s="141" t="s">
        <v>9</v>
      </c>
      <c r="AN1" s="141" t="s">
        <v>128</v>
      </c>
    </row>
    <row r="2" s="141" customFormat="true" ht="12.75" hidden="false" customHeight="false" outlineLevel="0" collapsed="false">
      <c r="G2" s="141" t="s">
        <v>478</v>
      </c>
      <c r="L2" s="305" t="s">
        <v>479</v>
      </c>
      <c r="M2" s="306" t="s">
        <v>118</v>
      </c>
      <c r="N2" s="306" t="s">
        <v>134</v>
      </c>
      <c r="O2" s="304"/>
      <c r="P2" s="305" t="s">
        <v>113</v>
      </c>
      <c r="Q2" s="305" t="s">
        <v>131</v>
      </c>
      <c r="R2" s="305" t="s">
        <v>122</v>
      </c>
      <c r="S2" s="305" t="s">
        <v>9</v>
      </c>
      <c r="T2" s="305" t="s">
        <v>128</v>
      </c>
      <c r="U2" s="305" t="s">
        <v>480</v>
      </c>
      <c r="V2" s="305" t="s">
        <v>481</v>
      </c>
    </row>
    <row r="3" s="310" customFormat="true" ht="29.25" hidden="false" customHeight="true" outlineLevel="0" collapsed="false">
      <c r="A3" s="127" t="s">
        <v>82</v>
      </c>
      <c r="B3" s="127" t="s">
        <v>73</v>
      </c>
      <c r="C3" s="127" t="s">
        <v>95</v>
      </c>
      <c r="D3" s="127" t="s">
        <v>482</v>
      </c>
      <c r="E3" s="127" t="s">
        <v>144</v>
      </c>
      <c r="F3" s="127" t="s">
        <v>483</v>
      </c>
      <c r="G3" s="127" t="s">
        <v>484</v>
      </c>
      <c r="H3" s="127" t="s">
        <v>485</v>
      </c>
      <c r="I3" s="127" t="s">
        <v>486</v>
      </c>
      <c r="J3" s="127" t="s">
        <v>487</v>
      </c>
      <c r="K3" s="307" t="s">
        <v>488</v>
      </c>
      <c r="L3" s="127" t="s">
        <v>489</v>
      </c>
      <c r="M3" s="308" t="s">
        <v>490</v>
      </c>
      <c r="N3" s="308" t="s">
        <v>491</v>
      </c>
      <c r="O3" s="127" t="s">
        <v>492</v>
      </c>
      <c r="P3" s="127" t="s">
        <v>493</v>
      </c>
      <c r="Q3" s="127" t="s">
        <v>494</v>
      </c>
      <c r="R3" s="127" t="s">
        <v>495</v>
      </c>
      <c r="S3" s="127" t="s">
        <v>496</v>
      </c>
      <c r="T3" s="127" t="s">
        <v>497</v>
      </c>
      <c r="U3" s="127" t="s">
        <v>498</v>
      </c>
      <c r="V3" s="127" t="s">
        <v>499</v>
      </c>
      <c r="W3" s="127" t="s">
        <v>11</v>
      </c>
      <c r="X3" s="127" t="s">
        <v>500</v>
      </c>
      <c r="Y3" s="127" t="s">
        <v>501</v>
      </c>
      <c r="Z3" s="127" t="s">
        <v>154</v>
      </c>
      <c r="AA3" s="127" t="s">
        <v>502</v>
      </c>
      <c r="AB3" s="127" t="s">
        <v>503</v>
      </c>
      <c r="AC3" s="127" t="s">
        <v>504</v>
      </c>
      <c r="AD3" s="127" t="s">
        <v>505</v>
      </c>
      <c r="AE3" s="127" t="s">
        <v>506</v>
      </c>
      <c r="AF3" s="127" t="s">
        <v>507</v>
      </c>
      <c r="AG3" s="127" t="s">
        <v>508</v>
      </c>
      <c r="AH3" s="127" t="s">
        <v>509</v>
      </c>
      <c r="AI3" s="127" t="s">
        <v>510</v>
      </c>
      <c r="AJ3" s="127" t="s">
        <v>511</v>
      </c>
      <c r="AK3" s="127" t="s">
        <v>512</v>
      </c>
      <c r="AL3" s="127" t="s">
        <v>513</v>
      </c>
      <c r="AM3" s="127" t="s">
        <v>514</v>
      </c>
      <c r="AN3" s="127" t="s">
        <v>515</v>
      </c>
      <c r="AO3" s="309" t="s">
        <v>516</v>
      </c>
    </row>
    <row r="4" customFormat="false" ht="12.75" hidden="false" customHeight="false" outlineLevel="0" collapsed="false">
      <c r="A4" s="128" t="n">
        <f aca="false">TblRezone[[#This Row],[Hour]]</f>
        <v>1</v>
      </c>
      <c r="B4" s="146" t="n">
        <f aca="false">TblConstr[[#This Row],[Land]]</f>
        <v>250</v>
      </c>
      <c r="C4" s="69" t="n">
        <f aca="false">TblProd[[#This Row],[Mana]]</f>
        <v>0</v>
      </c>
      <c r="D4" s="311" t="n">
        <f aca="false">1-TblMagic[[#This Row],[Wiz str cost]]</f>
        <v>1</v>
      </c>
      <c r="E4" s="153" t="n">
        <f aca="false">Imps!L4</f>
        <v>45429.75</v>
      </c>
      <c r="F4" s="149" t="n">
        <f aca="false">TblImps[[#This Row],[Population]]</f>
        <v>0.646464646464647</v>
      </c>
      <c r="G4" s="248"/>
      <c r="H4" s="248"/>
      <c r="I4" s="248"/>
      <c r="J4" s="248"/>
      <c r="K4" s="312"/>
      <c r="L4" s="248"/>
      <c r="M4" s="248"/>
      <c r="N4" s="248"/>
      <c r="O4" s="248"/>
      <c r="P4" s="248"/>
      <c r="Q4" s="248"/>
      <c r="R4" s="248"/>
      <c r="S4" s="248"/>
      <c r="T4" s="248"/>
      <c r="U4" s="248"/>
      <c r="V4" s="248"/>
      <c r="W4" s="132"/>
      <c r="X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49" t="n">
        <f aca="false">SUMIF(TblMagic[[#This Row],[Gaia''s Watch]:[Useless spell]],1)*0.05</f>
        <v>0</v>
      </c>
      <c r="Z4" s="132"/>
      <c r="AA4" s="313" t="n">
        <f aca="false">TblMagic[[#This Row],[Gaia''s Watch]]*12</f>
        <v>0</v>
      </c>
      <c r="AB4" s="313" t="n">
        <f aca="false">TblMagic[[#This Row],[Mining Strength]]*12</f>
        <v>0</v>
      </c>
      <c r="AC4" s="313" t="n">
        <f aca="false">TblMagic[[#This Row],[Ares Call]]*12</f>
        <v>0</v>
      </c>
      <c r="AD4" s="313" t="n">
        <f aca="false">TblMagic[[#This Row],[Midas Touch]]*12</f>
        <v>0</v>
      </c>
      <c r="AE4" s="313" t="n">
        <f aca="false">TblMagic[[#This Row],[Harmony]]*12</f>
        <v>0</v>
      </c>
      <c r="AF4" s="313" t="n">
        <f aca="false">TblMagic[[#This Row],[Miner''s Sight]]*12</f>
        <v>0</v>
      </c>
      <c r="AG4" s="313" t="n">
        <f aca="false">TblMagic[[#This Row],[Mechanical Genius]]*12</f>
        <v>0</v>
      </c>
      <c r="AH4" s="313" t="n">
        <f aca="false">TblMagic[[#This Row],[Frenzy]]*12</f>
        <v>0</v>
      </c>
      <c r="AI4" s="313" t="n">
        <f aca="false">TblMagic[[#This Row],[Killing Rage / Bloodrage / Crusade]]*12</f>
        <v>0</v>
      </c>
      <c r="AJ4" s="313" t="n">
        <f aca="false">TblMagic[[#This Row],[Gaia''s Blessing]]*12</f>
        <v>0</v>
      </c>
      <c r="AK4" s="313" t="n">
        <f aca="false">TblMagic[[#This Row],[Howling]]*12</f>
        <v>0</v>
      </c>
      <c r="AL4" s="313" t="n">
        <f aca="false">TblMagic[[#This Row],[Alchemist Frost]]*12</f>
        <v>0</v>
      </c>
      <c r="AM4" s="313" t="n">
        <f aca="false">TblMagic[[#This Row],[Alchemists Flame]]*12</f>
        <v>0</v>
      </c>
      <c r="AN4" s="313" t="n">
        <f aca="false">TblMagic[[#This Row],[Nightfall]]*12</f>
        <v>0</v>
      </c>
      <c r="AO4" s="269" t="n">
        <f aca="false">TblMagic[[#This Row],[Favorable Terrain]]*12</f>
        <v>0</v>
      </c>
    </row>
    <row r="5" customFormat="false" ht="12.75" hidden="false" customHeight="false" outlineLevel="0" collapsed="false">
      <c r="A5" s="128" t="n">
        <f aca="false">TblRezone[[#This Row],[Hour]]</f>
        <v>2</v>
      </c>
      <c r="B5" s="146" t="n">
        <f aca="false">TblConstr[[#This Row],[Land]]</f>
        <v>250</v>
      </c>
      <c r="C5" s="69" t="n">
        <f aca="false">TblProd[[#This Row],[Mana]]</f>
        <v>0</v>
      </c>
      <c r="D5" s="149" t="n">
        <f aca="false">MIN(1,OFFSET(TblMagic[[#This Row],[Wiz str]],-1,0)+0.04+ROUNDDOWN(10*OFFSET(TblMili[[#This Row],[WG''s]],-1,0),0)+ tech_2_7*OFFSET(TblTech[[#This Row],[2-7]],-1,0) + tech_5_6*OFFSET(TblTech[[#This Row],[5-6]],-1,0) )-TblMagic[[#This Row],[Wiz str cost]]</f>
        <v>1</v>
      </c>
      <c r="E5" s="153" t="n">
        <f aca="false">OFFSET(TblMagic[[#This Row],[Time]],-1,0)+1/24</f>
        <v>45429.7916666667</v>
      </c>
      <c r="F5" s="149" t="n">
        <f aca="false">TblImps[[#This Row],[Population]]</f>
        <v>0.423076923076923</v>
      </c>
      <c r="G5" s="248"/>
      <c r="H5" s="248"/>
      <c r="I5" s="248"/>
      <c r="J5" s="248"/>
      <c r="K5" s="312"/>
      <c r="L5" s="248"/>
      <c r="M5" s="248"/>
      <c r="N5" s="248"/>
      <c r="O5" s="248"/>
      <c r="P5" s="248"/>
      <c r="Q5" s="248"/>
      <c r="R5" s="248"/>
      <c r="S5" s="248"/>
      <c r="T5" s="248"/>
      <c r="U5" s="248"/>
      <c r="V5" s="248"/>
      <c r="W5" s="132"/>
      <c r="X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49" t="n">
        <f aca="false">SUMIF(TblMagic[[#This Row],[Gaia''s Watch]:[Useless spell]],1)*0.05</f>
        <v>0</v>
      </c>
      <c r="Z5" s="132"/>
      <c r="AA5" s="26" t="n">
        <f aca="false">IF(TblMagic[[#This Row],[Gaia''s Watch]],12,IF(OFFSET(TblMagic[[#This Row],[Active Gaia''s Watch]],-1,0)&gt;0,OFFSET(TblMagic[[#This Row],[Active Gaia''s Watch]],-1,0)-1,0))</f>
        <v>0</v>
      </c>
      <c r="AB5" s="26" t="n">
        <f aca="false">IF(TblMagic[[#This Row],[Mining Strength]],12,IF(OFFSET(TblMagic[[#This Row],[Active Mining Strength]],-1,0)&gt;0,OFFSET(TblMagic[[#This Row],[Active Mining Strength]],-1,0)-1,0))</f>
        <v>0</v>
      </c>
      <c r="AC5" s="26" t="n">
        <f aca="false">IF(TblMagic[[#This Row],[Ares Call]],12,IF(OFFSET(TblMagic[[#This Row],[Active Ares Call]],-1,0)&gt;0,OFFSET(TblMagic[[#This Row],[Active Ares Call]],-1,0)-1,0))</f>
        <v>0</v>
      </c>
      <c r="AD5" s="26" t="n">
        <f aca="false">IF(TblMagic[[#This Row],[Midas Touch]],12,IF(OFFSET(TblMagic[[#This Row],[Active Midas Touch]],-1,0)&gt;0,OFFSET(TblMagic[[#This Row],[Active Midas Touch]],-1,0)-1,0))</f>
        <v>0</v>
      </c>
      <c r="AE5" s="26" t="n">
        <f aca="false">IF(TblMagic[[#This Row],[Harmony]],12,IF(OFFSET(TblMagic[[#This Row],[Active Harmony]],-1,0)&gt;0,OFFSET(TblMagic[[#This Row],[Active Harmony]],-1,0)-1,0))</f>
        <v>0</v>
      </c>
      <c r="AF5" s="26" t="n">
        <f aca="false">IF(TblMagic[[#This Row],[Miner''s Sight]],12,IF(OFFSET(TblMagic[[#This Row],[Active Miner''s Sight]],-1,0)&gt;0,OFFSET(TblMagic[[#This Row],[Active Miner''s Sight]],-1,0)-1,0))</f>
        <v>0</v>
      </c>
      <c r="AG5" s="26" t="n">
        <f aca="false">IF(TblMagic[[#This Row],[Mechanical Genius]],12,IF(OFFSET(TblMagic[[#This Row],[Active Mechanical Genius]],-1,0)&gt;0,OFFSET(TblMagic[[#This Row],[Active Mechanical Genius]],-1,0)-1,0))</f>
        <v>0</v>
      </c>
      <c r="AH5" s="26" t="n">
        <f aca="false">IF(TblMagic[[#This Row],[Frenzy]],12,IF(OFFSET(TblMagic[[#This Row],[Active Frenzy]],-1,0)&gt;0,OFFSET(TblMagic[[#This Row],[Active Frenzy]],-1,0)-1,0))</f>
        <v>0</v>
      </c>
      <c r="AI5" s="26" t="n">
        <f aca="false">IF(TblMagic[[#This Row],[Killing Rage / Bloodrage / Crusade]],12,IF(OFFSET(TblMagic[[#This Row],[Active Warsong / Killing Rage / Bloodrage]],-1,0)&gt;0,OFFSET(TblMagic[[#This Row],[Active Warsong / Killing Rage / Bloodrage]],-1,0)-1,0))</f>
        <v>0</v>
      </c>
      <c r="AJ5" s="26" t="n">
        <f aca="false">IF(TblMagic[[#This Row],[Gaia''s Blessing]],12,IF(OFFSET(TblMagic[[#This Row],[Active Gaia''s Blessing]],-1,0)&gt;0,OFFSET(TblMagic[[#This Row],[Active Gaia''s Blessing]],-1,0)-1,0))</f>
        <v>0</v>
      </c>
      <c r="AK5" s="26" t="n">
        <f aca="false">IF(TblMagic[[#This Row],[Howling]],12,IF(OFFSET(TblMagic[[#This Row],[Active Howling]],-1,0)&gt;0,OFFSET(TblMagic[[#This Row],[Active Howling]],-1,0)-1,0))</f>
        <v>0</v>
      </c>
      <c r="AL5" s="26" t="n">
        <f aca="false">IF(TblMagic[[#This Row],[Alchemist Frost]],12,IF(OFFSET(TblMagic[[#This Row],[Active Alch Frost]],-1,0)&gt;0,OFFSET(TblMagic[[#This Row],[Active Alch Frost]],-1,0)-1,0))</f>
        <v>0</v>
      </c>
      <c r="AM5" s="26" t="n">
        <f aca="false">IF(TblMagic[[#This Row],[Alchemists Flame]],12,IF(OFFSET(TblMagic[[#This Row],[Active Alchemists Flame]],-1,0)&gt;0,OFFSET(TblMagic[[#This Row],[Active Alchemists Flame]],-1,0)-1,0))</f>
        <v>0</v>
      </c>
      <c r="AN5" s="26" t="n">
        <f aca="false">IF(TblMagic[[#This Row],[Nightfall]],12,IF(OFFSET(TblMagic[[#This Row],[Active Nightfall]],-1,0)&gt;0,OFFSET(TblMagic[[#This Row],[Active Nightfall]],-1,0)-1,0))</f>
        <v>0</v>
      </c>
      <c r="AO5" s="26" t="n">
        <f aca="false">IF(TblMagic[[#This Row],[Favorable Terrain]],12,IF(OFFSET(TblMagic[[#This Row],[Active Favorable Terrain]],-1,0)&gt;0,OFFSET(TblMagic[[#This Row],[Active Favorable Terrain]],-1,0)-1,0))</f>
        <v>0</v>
      </c>
    </row>
    <row r="6" customFormat="false" ht="12.75" hidden="false" customHeight="false" outlineLevel="0" collapsed="false">
      <c r="A6" s="128" t="n">
        <f aca="false">TblRezone[[#This Row],[Hour]]</f>
        <v>3</v>
      </c>
      <c r="B6" s="146" t="n">
        <f aca="false">TblConstr[[#This Row],[Land]]</f>
        <v>250</v>
      </c>
      <c r="C6" s="69" t="n">
        <f aca="false">TblProd[[#This Row],[Mana]]</f>
        <v>0</v>
      </c>
      <c r="D6" s="149" t="n">
        <f aca="false">MIN(1,OFFSET(TblMagic[[#This Row],[Wiz str]],-1,0)+0.04+ROUNDDOWN(10*OFFSET(TblMili[[#This Row],[WG''s]],-1,0),0)+ tech_2_7*OFFSET(TblTech[[#This Row],[2-7]],-1,0) + tech_5_6*OFFSET(TblTech[[#This Row],[5-6]],-1,0) )-TblMagic[[#This Row],[Wiz str cost]]</f>
        <v>1</v>
      </c>
      <c r="E6" s="153" t="n">
        <f aca="false">OFFSET(TblMagic[[#This Row],[Time]],-1,0)+1/24</f>
        <v>45429.8333333333</v>
      </c>
      <c r="F6" s="149" t="n">
        <f aca="false">TblImps[[#This Row],[Population]]</f>
        <v>0.433144037170883</v>
      </c>
      <c r="G6" s="248"/>
      <c r="H6" s="248"/>
      <c r="I6" s="248"/>
      <c r="J6" s="248"/>
      <c r="K6" s="312"/>
      <c r="L6" s="248"/>
      <c r="M6" s="248"/>
      <c r="N6" s="248"/>
      <c r="O6" s="248"/>
      <c r="P6" s="248"/>
      <c r="Q6" s="248"/>
      <c r="R6" s="248"/>
      <c r="S6" s="248"/>
      <c r="T6" s="248"/>
      <c r="U6" s="248"/>
      <c r="V6" s="248"/>
      <c r="W6" s="132"/>
      <c r="X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49" t="n">
        <f aca="false">SUMIF(TblMagic[[#This Row],[Gaia''s Watch]:[Useless spell]],1)*0.05</f>
        <v>0</v>
      </c>
      <c r="Z6" s="132"/>
      <c r="AA6" s="26" t="n">
        <f aca="false">IF(TblMagic[[#This Row],[Gaia''s Watch]],12,IF(OFFSET(TblMagic[[#This Row],[Active Gaia''s Watch]],-1,0)&gt;0,OFFSET(TblMagic[[#This Row],[Active Gaia''s Watch]],-1,0)-1,0))</f>
        <v>0</v>
      </c>
      <c r="AB6" s="26" t="n">
        <f aca="false">IF(TblMagic[[#This Row],[Mining Strength]],12,IF(OFFSET(TblMagic[[#This Row],[Active Mining Strength]],-1,0)&gt;0,OFFSET(TblMagic[[#This Row],[Active Mining Strength]],-1,0)-1,0))</f>
        <v>0</v>
      </c>
      <c r="AC6" s="26" t="n">
        <f aca="false">IF(TblMagic[[#This Row],[Ares Call]],12,IF(OFFSET(TblMagic[[#This Row],[Active Ares Call]],-1,0)&gt;0,OFFSET(TblMagic[[#This Row],[Active Ares Call]],-1,0)-1,0))</f>
        <v>0</v>
      </c>
      <c r="AD6" s="26" t="n">
        <f aca="false">IF(TblMagic[[#This Row],[Midas Touch]],12,IF(OFFSET(TblMagic[[#This Row],[Active Midas Touch]],-1,0)&gt;0,OFFSET(TblMagic[[#This Row],[Active Midas Touch]],-1,0)-1,0))</f>
        <v>0</v>
      </c>
      <c r="AE6" s="26" t="n">
        <f aca="false">IF(TblMagic[[#This Row],[Harmony]],12,IF(OFFSET(TblMagic[[#This Row],[Active Harmony]],-1,0)&gt;0,OFFSET(TblMagic[[#This Row],[Active Harmony]],-1,0)-1,0))</f>
        <v>0</v>
      </c>
      <c r="AF6" s="26" t="n">
        <f aca="false">IF(TblMagic[[#This Row],[Miner''s Sight]],12,IF(OFFSET(TblMagic[[#This Row],[Active Miner''s Sight]],-1,0)&gt;0,OFFSET(TblMagic[[#This Row],[Active Miner''s Sight]],-1,0)-1,0))</f>
        <v>0</v>
      </c>
      <c r="AG6" s="26" t="n">
        <f aca="false">IF(TblMagic[[#This Row],[Mechanical Genius]],12,IF(OFFSET(TblMagic[[#This Row],[Active Mechanical Genius]],-1,0)&gt;0,OFFSET(TblMagic[[#This Row],[Active Mechanical Genius]],-1,0)-1,0))</f>
        <v>0</v>
      </c>
      <c r="AH6" s="26" t="n">
        <f aca="false">IF(TblMagic[[#This Row],[Frenzy]],12,IF(OFFSET(TblMagic[[#This Row],[Active Frenzy]],-1,0)&gt;0,OFFSET(TblMagic[[#This Row],[Active Frenzy]],-1,0)-1,0))</f>
        <v>0</v>
      </c>
      <c r="AI6" s="26" t="n">
        <f aca="false">IF(TblMagic[[#This Row],[Killing Rage / Bloodrage / Crusade]],12,IF(OFFSET(TblMagic[[#This Row],[Active Warsong / Killing Rage / Bloodrage]],-1,0)&gt;0,OFFSET(TblMagic[[#This Row],[Active Warsong / Killing Rage / Bloodrage]],-1,0)-1,0))</f>
        <v>0</v>
      </c>
      <c r="AJ6" s="26" t="n">
        <f aca="false">IF(TblMagic[[#This Row],[Gaia''s Blessing]],12,IF(OFFSET(TblMagic[[#This Row],[Active Gaia''s Blessing]],-1,0)&gt;0,OFFSET(TblMagic[[#This Row],[Active Gaia''s Blessing]],-1,0)-1,0))</f>
        <v>0</v>
      </c>
      <c r="AK6" s="26" t="n">
        <f aca="false">IF(TblMagic[[#This Row],[Howling]],12,IF(OFFSET(TblMagic[[#This Row],[Active Howling]],-1,0)&gt;0,OFFSET(TblMagic[[#This Row],[Active Howling]],-1,0)-1,0))</f>
        <v>0</v>
      </c>
      <c r="AL6" s="26" t="n">
        <f aca="false">IF(TblMagic[[#This Row],[Alchemist Frost]],12,IF(OFFSET(TblMagic[[#This Row],[Active Alch Frost]],-1,0)&gt;0,OFFSET(TblMagic[[#This Row],[Active Alch Frost]],-1,0)-1,0))</f>
        <v>0</v>
      </c>
      <c r="AM6" s="26" t="n">
        <f aca="false">IF(TblMagic[[#This Row],[Alchemists Flame]],12,IF(OFFSET(TblMagic[[#This Row],[Active Alchemists Flame]],-1,0)&gt;0,OFFSET(TblMagic[[#This Row],[Active Alchemists Flame]],-1,0)-1,0))</f>
        <v>0</v>
      </c>
      <c r="AN6" s="26" t="n">
        <f aca="false">IF(TblMagic[[#This Row],[Nightfall]],12,IF(OFFSET(TblMagic[[#This Row],[Active Nightfall]],-1,0)&gt;0,OFFSET(TblMagic[[#This Row],[Active Nightfall]],-1,0)-1,0))</f>
        <v>0</v>
      </c>
      <c r="AO6" s="26" t="n">
        <f aca="false">IF(TblMagic[[#This Row],[Favorable Terrain]],12,IF(OFFSET(TblMagic[[#This Row],[Active Favorable Terrain]],-1,0)&gt;0,OFFSET(TblMagic[[#This Row],[Active Favorable Terrain]],-1,0)-1,0))</f>
        <v>0</v>
      </c>
    </row>
    <row r="7" customFormat="false" ht="12.75" hidden="false" customHeight="false" outlineLevel="0" collapsed="false">
      <c r="A7" s="128" t="n">
        <f aca="false">TblRezone[[#This Row],[Hour]]</f>
        <v>4</v>
      </c>
      <c r="B7" s="146" t="n">
        <f aca="false">TblConstr[[#This Row],[Land]]</f>
        <v>250</v>
      </c>
      <c r="C7" s="69" t="n">
        <f aca="false">TblProd[[#This Row],[Mana]]</f>
        <v>0</v>
      </c>
      <c r="D7" s="149" t="n">
        <f aca="false">MIN(1,OFFSET(TblMagic[[#This Row],[Wiz str]],-1,0)+0.04+ROUNDDOWN(10*OFFSET(TblMili[[#This Row],[WG''s]],-1,0),0)+ tech_2_7*OFFSET(TblTech[[#This Row],[2-7]],-1,0) + tech_5_6*OFFSET(TblTech[[#This Row],[5-6]],-1,0) )-TblMagic[[#This Row],[Wiz str cost]]</f>
        <v>1</v>
      </c>
      <c r="E7" s="153" t="n">
        <f aca="false">OFFSET(TblMagic[[#This Row],[Time]],-1,0)+1/24</f>
        <v>45429.875</v>
      </c>
      <c r="F7" s="149" t="n">
        <f aca="false">TblImps[[#This Row],[Population]]</f>
        <v>0.443469282395457</v>
      </c>
      <c r="G7" s="248"/>
      <c r="H7" s="248"/>
      <c r="I7" s="248"/>
      <c r="J7" s="248"/>
      <c r="K7" s="312"/>
      <c r="L7" s="248"/>
      <c r="M7" s="248"/>
      <c r="N7" s="248"/>
      <c r="O7" s="248"/>
      <c r="P7" s="248"/>
      <c r="Q7" s="248"/>
      <c r="R7" s="248"/>
      <c r="S7" s="248"/>
      <c r="T7" s="248"/>
      <c r="U7" s="248"/>
      <c r="V7" s="248"/>
      <c r="W7" s="132"/>
      <c r="X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49" t="n">
        <f aca="false">SUMIF(TblMagic[[#This Row],[Gaia''s Watch]:[Useless spell]],1)*0.05</f>
        <v>0</v>
      </c>
      <c r="Z7" s="132"/>
      <c r="AA7" s="26" t="n">
        <f aca="false">IF(TblMagic[[#This Row],[Gaia''s Watch]],12,IF(OFFSET(TblMagic[[#This Row],[Active Gaia''s Watch]],-1,0)&gt;0,OFFSET(TblMagic[[#This Row],[Active Gaia''s Watch]],-1,0)-1,0))</f>
        <v>0</v>
      </c>
      <c r="AB7" s="26" t="n">
        <f aca="false">IF(TblMagic[[#This Row],[Mining Strength]],12,IF(OFFSET(TblMagic[[#This Row],[Active Mining Strength]],-1,0)&gt;0,OFFSET(TblMagic[[#This Row],[Active Mining Strength]],-1,0)-1,0))</f>
        <v>0</v>
      </c>
      <c r="AC7" s="26" t="n">
        <f aca="false">IF(TblMagic[[#This Row],[Ares Call]],12,IF(OFFSET(TblMagic[[#This Row],[Active Ares Call]],-1,0)&gt;0,OFFSET(TblMagic[[#This Row],[Active Ares Call]],-1,0)-1,0))</f>
        <v>0</v>
      </c>
      <c r="AD7" s="26" t="n">
        <f aca="false">IF(TblMagic[[#This Row],[Midas Touch]],12,IF(OFFSET(TblMagic[[#This Row],[Active Midas Touch]],-1,0)&gt;0,OFFSET(TblMagic[[#This Row],[Active Midas Touch]],-1,0)-1,0))</f>
        <v>0</v>
      </c>
      <c r="AE7" s="26" t="n">
        <f aca="false">IF(TblMagic[[#This Row],[Harmony]],12,IF(OFFSET(TblMagic[[#This Row],[Active Harmony]],-1,0)&gt;0,OFFSET(TblMagic[[#This Row],[Active Harmony]],-1,0)-1,0))</f>
        <v>0</v>
      </c>
      <c r="AF7" s="26" t="n">
        <f aca="false">IF(TblMagic[[#This Row],[Miner''s Sight]],12,IF(OFFSET(TblMagic[[#This Row],[Active Miner''s Sight]],-1,0)&gt;0,OFFSET(TblMagic[[#This Row],[Active Miner''s Sight]],-1,0)-1,0))</f>
        <v>0</v>
      </c>
      <c r="AG7" s="26" t="n">
        <f aca="false">IF(TblMagic[[#This Row],[Mechanical Genius]],12,IF(OFFSET(TblMagic[[#This Row],[Active Mechanical Genius]],-1,0)&gt;0,OFFSET(TblMagic[[#This Row],[Active Mechanical Genius]],-1,0)-1,0))</f>
        <v>0</v>
      </c>
      <c r="AH7" s="26" t="n">
        <f aca="false">IF(TblMagic[[#This Row],[Frenzy]],12,IF(OFFSET(TblMagic[[#This Row],[Active Frenzy]],-1,0)&gt;0,OFFSET(TblMagic[[#This Row],[Active Frenzy]],-1,0)-1,0))</f>
        <v>0</v>
      </c>
      <c r="AI7" s="26" t="n">
        <f aca="false">IF(TblMagic[[#This Row],[Killing Rage / Bloodrage / Crusade]],12,IF(OFFSET(TblMagic[[#This Row],[Active Warsong / Killing Rage / Bloodrage]],-1,0)&gt;0,OFFSET(TblMagic[[#This Row],[Active Warsong / Killing Rage / Bloodrage]],-1,0)-1,0))</f>
        <v>0</v>
      </c>
      <c r="AJ7" s="26" t="n">
        <f aca="false">IF(TblMagic[[#This Row],[Gaia''s Blessing]],12,IF(OFFSET(TblMagic[[#This Row],[Active Gaia''s Blessing]],-1,0)&gt;0,OFFSET(TblMagic[[#This Row],[Active Gaia''s Blessing]],-1,0)-1,0))</f>
        <v>0</v>
      </c>
      <c r="AK7" s="26" t="n">
        <f aca="false">IF(TblMagic[[#This Row],[Howling]],12,IF(OFFSET(TblMagic[[#This Row],[Active Howling]],-1,0)&gt;0,OFFSET(TblMagic[[#This Row],[Active Howling]],-1,0)-1,0))</f>
        <v>0</v>
      </c>
      <c r="AL7" s="26" t="n">
        <f aca="false">IF(TblMagic[[#This Row],[Alchemist Frost]],12,IF(OFFSET(TblMagic[[#This Row],[Active Alch Frost]],-1,0)&gt;0,OFFSET(TblMagic[[#This Row],[Active Alch Frost]],-1,0)-1,0))</f>
        <v>0</v>
      </c>
      <c r="AM7" s="26" t="n">
        <f aca="false">IF(TblMagic[[#This Row],[Alchemists Flame]],12,IF(OFFSET(TblMagic[[#This Row],[Active Alchemists Flame]],-1,0)&gt;0,OFFSET(TblMagic[[#This Row],[Active Alchemists Flame]],-1,0)-1,0))</f>
        <v>0</v>
      </c>
      <c r="AN7" s="26" t="n">
        <f aca="false">IF(TblMagic[[#This Row],[Nightfall]],12,IF(OFFSET(TblMagic[[#This Row],[Active Nightfall]],-1,0)&gt;0,OFFSET(TblMagic[[#This Row],[Active Nightfall]],-1,0)-1,0))</f>
        <v>0</v>
      </c>
      <c r="AO7" s="26" t="n">
        <f aca="false">IF(TblMagic[[#This Row],[Favorable Terrain]],12,IF(OFFSET(TblMagic[[#This Row],[Active Favorable Terrain]],-1,0)&gt;0,OFFSET(TblMagic[[#This Row],[Active Favorable Terrain]],-1,0)-1,0))</f>
        <v>0</v>
      </c>
    </row>
    <row r="8" customFormat="false" ht="12.75" hidden="false" customHeight="false" outlineLevel="0" collapsed="false">
      <c r="A8" s="128" t="n">
        <f aca="false">TblRezone[[#This Row],[Hour]]</f>
        <v>5</v>
      </c>
      <c r="B8" s="146" t="n">
        <f aca="false">TblConstr[[#This Row],[Land]]</f>
        <v>250</v>
      </c>
      <c r="C8" s="69" t="n">
        <f aca="false">TblProd[[#This Row],[Mana]]</f>
        <v>0</v>
      </c>
      <c r="D8" s="149" t="n">
        <f aca="false">MIN(1,OFFSET(TblMagic[[#This Row],[Wiz str]],-1,0)+0.04+ROUNDDOWN(10*OFFSET(TblMili[[#This Row],[WG''s]],-1,0),0)+ tech_2_7*OFFSET(TblTech[[#This Row],[2-7]],-1,0) + tech_5_6*OFFSET(TblTech[[#This Row],[5-6]],-1,0) )-TblMagic[[#This Row],[Wiz str cost]]</f>
        <v>1</v>
      </c>
      <c r="E8" s="153" t="n">
        <f aca="false">OFFSET(TblMagic[[#This Row],[Time]],-1,0)+1/24</f>
        <v>45429.9166666667</v>
      </c>
      <c r="F8" s="149" t="n">
        <f aca="false">TblImps[[#This Row],[Population]]</f>
        <v>0.454052658750645</v>
      </c>
      <c r="G8" s="248"/>
      <c r="H8" s="248"/>
      <c r="I8" s="248"/>
      <c r="J8" s="248"/>
      <c r="K8" s="312"/>
      <c r="L8" s="248"/>
      <c r="M8" s="248"/>
      <c r="N8" s="248"/>
      <c r="O8" s="248"/>
      <c r="P8" s="248"/>
      <c r="Q8" s="248"/>
      <c r="R8" s="248"/>
      <c r="S8" s="248"/>
      <c r="T8" s="248"/>
      <c r="U8" s="248"/>
      <c r="V8" s="248"/>
      <c r="W8" s="132"/>
      <c r="X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49" t="n">
        <f aca="false">SUMIF(TblMagic[[#This Row],[Gaia''s Watch]:[Useless spell]],1)*0.05</f>
        <v>0</v>
      </c>
      <c r="Z8" s="132"/>
      <c r="AA8" s="26" t="n">
        <f aca="false">IF(TblMagic[[#This Row],[Gaia''s Watch]],12,IF(OFFSET(TblMagic[[#This Row],[Active Gaia''s Watch]],-1,0)&gt;0,OFFSET(TblMagic[[#This Row],[Active Gaia''s Watch]],-1,0)-1,0))</f>
        <v>0</v>
      </c>
      <c r="AB8" s="26" t="n">
        <f aca="false">IF(TblMagic[[#This Row],[Mining Strength]],12,IF(OFFSET(TblMagic[[#This Row],[Active Mining Strength]],-1,0)&gt;0,OFFSET(TblMagic[[#This Row],[Active Mining Strength]],-1,0)-1,0))</f>
        <v>0</v>
      </c>
      <c r="AC8" s="26" t="n">
        <f aca="false">IF(TblMagic[[#This Row],[Ares Call]],12,IF(OFFSET(TblMagic[[#This Row],[Active Ares Call]],-1,0)&gt;0,OFFSET(TblMagic[[#This Row],[Active Ares Call]],-1,0)-1,0))</f>
        <v>0</v>
      </c>
      <c r="AD8" s="26" t="n">
        <f aca="false">IF(TblMagic[[#This Row],[Midas Touch]],12,IF(OFFSET(TblMagic[[#This Row],[Active Midas Touch]],-1,0)&gt;0,OFFSET(TblMagic[[#This Row],[Active Midas Touch]],-1,0)-1,0))</f>
        <v>0</v>
      </c>
      <c r="AE8" s="26" t="n">
        <f aca="false">IF(TblMagic[[#This Row],[Harmony]],12,IF(OFFSET(TblMagic[[#This Row],[Active Harmony]],-1,0)&gt;0,OFFSET(TblMagic[[#This Row],[Active Harmony]],-1,0)-1,0))</f>
        <v>0</v>
      </c>
      <c r="AF8" s="26" t="n">
        <f aca="false">IF(TblMagic[[#This Row],[Miner''s Sight]],12,IF(OFFSET(TblMagic[[#This Row],[Active Miner''s Sight]],-1,0)&gt;0,OFFSET(TblMagic[[#This Row],[Active Miner''s Sight]],-1,0)-1,0))</f>
        <v>0</v>
      </c>
      <c r="AG8" s="26" t="n">
        <f aca="false">IF(TblMagic[[#This Row],[Mechanical Genius]],12,IF(OFFSET(TblMagic[[#This Row],[Active Mechanical Genius]],-1,0)&gt;0,OFFSET(TblMagic[[#This Row],[Active Mechanical Genius]],-1,0)-1,0))</f>
        <v>0</v>
      </c>
      <c r="AH8" s="26" t="n">
        <f aca="false">IF(TblMagic[[#This Row],[Frenzy]],12,IF(OFFSET(TblMagic[[#This Row],[Active Frenzy]],-1,0)&gt;0,OFFSET(TblMagic[[#This Row],[Active Frenzy]],-1,0)-1,0))</f>
        <v>0</v>
      </c>
      <c r="AI8" s="26" t="n">
        <f aca="false">IF(TblMagic[[#This Row],[Killing Rage / Bloodrage / Crusade]],12,IF(OFFSET(TblMagic[[#This Row],[Active Warsong / Killing Rage / Bloodrage]],-1,0)&gt;0,OFFSET(TblMagic[[#This Row],[Active Warsong / Killing Rage / Bloodrage]],-1,0)-1,0))</f>
        <v>0</v>
      </c>
      <c r="AJ8" s="26" t="n">
        <f aca="false">IF(TblMagic[[#This Row],[Gaia''s Blessing]],12,IF(OFFSET(TblMagic[[#This Row],[Active Gaia''s Blessing]],-1,0)&gt;0,OFFSET(TblMagic[[#This Row],[Active Gaia''s Blessing]],-1,0)-1,0))</f>
        <v>0</v>
      </c>
      <c r="AK8" s="26" t="n">
        <f aca="false">IF(TblMagic[[#This Row],[Howling]],12,IF(OFFSET(TblMagic[[#This Row],[Active Howling]],-1,0)&gt;0,OFFSET(TblMagic[[#This Row],[Active Howling]],-1,0)-1,0))</f>
        <v>0</v>
      </c>
      <c r="AL8" s="26" t="n">
        <f aca="false">IF(TblMagic[[#This Row],[Alchemist Frost]],12,IF(OFFSET(TblMagic[[#This Row],[Active Alch Frost]],-1,0)&gt;0,OFFSET(TblMagic[[#This Row],[Active Alch Frost]],-1,0)-1,0))</f>
        <v>0</v>
      </c>
      <c r="AM8" s="26" t="n">
        <f aca="false">IF(TblMagic[[#This Row],[Alchemists Flame]],12,IF(OFFSET(TblMagic[[#This Row],[Active Alchemists Flame]],-1,0)&gt;0,OFFSET(TblMagic[[#This Row],[Active Alchemists Flame]],-1,0)-1,0))</f>
        <v>0</v>
      </c>
      <c r="AN8" s="26" t="n">
        <f aca="false">IF(TblMagic[[#This Row],[Nightfall]],12,IF(OFFSET(TblMagic[[#This Row],[Active Nightfall]],-1,0)&gt;0,OFFSET(TblMagic[[#This Row],[Active Nightfall]],-1,0)-1,0))</f>
        <v>0</v>
      </c>
      <c r="AO8" s="26" t="n">
        <f aca="false">IF(TblMagic[[#This Row],[Favorable Terrain]],12,IF(OFFSET(TblMagic[[#This Row],[Active Favorable Terrain]],-1,0)&gt;0,OFFSET(TblMagic[[#This Row],[Active Favorable Terrain]],-1,0)-1,0))</f>
        <v>0</v>
      </c>
    </row>
    <row r="9" customFormat="false" ht="12.75" hidden="false" customHeight="false" outlineLevel="0" collapsed="false">
      <c r="A9" s="128" t="n">
        <f aca="false">TblRezone[[#This Row],[Hour]]</f>
        <v>6</v>
      </c>
      <c r="B9" s="146" t="n">
        <f aca="false">TblConstr[[#This Row],[Land]]</f>
        <v>250</v>
      </c>
      <c r="C9" s="69" t="n">
        <f aca="false">TblProd[[#This Row],[Mana]]</f>
        <v>0</v>
      </c>
      <c r="D9" s="149" t="n">
        <f aca="false">MIN(1,OFFSET(TblMagic[[#This Row],[Wiz str]],-1,0)+0.04+ROUNDDOWN(10*OFFSET(TblMili[[#This Row],[WG''s]],-1,0),0)+ tech_2_7*OFFSET(TblTech[[#This Row],[2-7]],-1,0) + tech_5_6*OFFSET(TblTech[[#This Row],[5-6]],-1,0) )-TblMagic[[#This Row],[Wiz str cost]]</f>
        <v>1</v>
      </c>
      <c r="E9" s="153" t="n">
        <f aca="false">OFFSET(TblMagic[[#This Row],[Time]],-1,0)+1/24</f>
        <v>45429.9583333333</v>
      </c>
      <c r="F9" s="149" t="n">
        <f aca="false">TblImps[[#This Row],[Population]]</f>
        <v>0.44011357769747</v>
      </c>
      <c r="G9" s="248"/>
      <c r="H9" s="248"/>
      <c r="I9" s="248"/>
      <c r="J9" s="248"/>
      <c r="K9" s="312"/>
      <c r="L9" s="248"/>
      <c r="M9" s="248"/>
      <c r="N9" s="248"/>
      <c r="O9" s="248"/>
      <c r="P9" s="248"/>
      <c r="Q9" s="248"/>
      <c r="R9" s="248"/>
      <c r="S9" s="248"/>
      <c r="T9" s="248"/>
      <c r="U9" s="248"/>
      <c r="V9" s="248"/>
      <c r="W9" s="132"/>
      <c r="X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49" t="n">
        <f aca="false">SUMIF(TblMagic[[#This Row],[Gaia''s Watch]:[Useless spell]],1)*0.05</f>
        <v>0</v>
      </c>
      <c r="Z9" s="132"/>
      <c r="AA9" s="26" t="n">
        <f aca="false">IF(TblMagic[[#This Row],[Gaia''s Watch]],12,IF(OFFSET(TblMagic[[#This Row],[Active Gaia''s Watch]],-1,0)&gt;0,OFFSET(TblMagic[[#This Row],[Active Gaia''s Watch]],-1,0)-1,0))</f>
        <v>0</v>
      </c>
      <c r="AB9" s="26" t="n">
        <f aca="false">IF(TblMagic[[#This Row],[Mining Strength]],12,IF(OFFSET(TblMagic[[#This Row],[Active Mining Strength]],-1,0)&gt;0,OFFSET(TblMagic[[#This Row],[Active Mining Strength]],-1,0)-1,0))</f>
        <v>0</v>
      </c>
      <c r="AC9" s="26" t="n">
        <f aca="false">IF(TblMagic[[#This Row],[Ares Call]],12,IF(OFFSET(TblMagic[[#This Row],[Active Ares Call]],-1,0)&gt;0,OFFSET(TblMagic[[#This Row],[Active Ares Call]],-1,0)-1,0))</f>
        <v>0</v>
      </c>
      <c r="AD9" s="26" t="n">
        <f aca="false">IF(TblMagic[[#This Row],[Midas Touch]],12,IF(OFFSET(TblMagic[[#This Row],[Active Midas Touch]],-1,0)&gt;0,OFFSET(TblMagic[[#This Row],[Active Midas Touch]],-1,0)-1,0))</f>
        <v>0</v>
      </c>
      <c r="AE9" s="26" t="n">
        <f aca="false">IF(TblMagic[[#This Row],[Harmony]],12,IF(OFFSET(TblMagic[[#This Row],[Active Harmony]],-1,0)&gt;0,OFFSET(TblMagic[[#This Row],[Active Harmony]],-1,0)-1,0))</f>
        <v>0</v>
      </c>
      <c r="AF9" s="26" t="n">
        <f aca="false">IF(TblMagic[[#This Row],[Miner''s Sight]],12,IF(OFFSET(TblMagic[[#This Row],[Active Miner''s Sight]],-1,0)&gt;0,OFFSET(TblMagic[[#This Row],[Active Miner''s Sight]],-1,0)-1,0))</f>
        <v>0</v>
      </c>
      <c r="AG9" s="26" t="n">
        <f aca="false">IF(TblMagic[[#This Row],[Mechanical Genius]],12,IF(OFFSET(TblMagic[[#This Row],[Active Mechanical Genius]],-1,0)&gt;0,OFFSET(TblMagic[[#This Row],[Active Mechanical Genius]],-1,0)-1,0))</f>
        <v>0</v>
      </c>
      <c r="AH9" s="26" t="n">
        <f aca="false">IF(TblMagic[[#This Row],[Frenzy]],12,IF(OFFSET(TblMagic[[#This Row],[Active Frenzy]],-1,0)&gt;0,OFFSET(TblMagic[[#This Row],[Active Frenzy]],-1,0)-1,0))</f>
        <v>0</v>
      </c>
      <c r="AI9" s="26" t="n">
        <f aca="false">IF(TblMagic[[#This Row],[Killing Rage / Bloodrage / Crusade]],12,IF(OFFSET(TblMagic[[#This Row],[Active Warsong / Killing Rage / Bloodrage]],-1,0)&gt;0,OFFSET(TblMagic[[#This Row],[Active Warsong / Killing Rage / Bloodrage]],-1,0)-1,0))</f>
        <v>0</v>
      </c>
      <c r="AJ9" s="26" t="n">
        <f aca="false">IF(TblMagic[[#This Row],[Gaia''s Blessing]],12,IF(OFFSET(TblMagic[[#This Row],[Active Gaia''s Blessing]],-1,0)&gt;0,OFFSET(TblMagic[[#This Row],[Active Gaia''s Blessing]],-1,0)-1,0))</f>
        <v>0</v>
      </c>
      <c r="AK9" s="26" t="n">
        <f aca="false">IF(TblMagic[[#This Row],[Howling]],12,IF(OFFSET(TblMagic[[#This Row],[Active Howling]],-1,0)&gt;0,OFFSET(TblMagic[[#This Row],[Active Howling]],-1,0)-1,0))</f>
        <v>0</v>
      </c>
      <c r="AL9" s="26" t="n">
        <f aca="false">IF(TblMagic[[#This Row],[Alchemist Frost]],12,IF(OFFSET(TblMagic[[#This Row],[Active Alch Frost]],-1,0)&gt;0,OFFSET(TblMagic[[#This Row],[Active Alch Frost]],-1,0)-1,0))</f>
        <v>0</v>
      </c>
      <c r="AM9" s="26" t="n">
        <f aca="false">IF(TblMagic[[#This Row],[Alchemists Flame]],12,IF(OFFSET(TblMagic[[#This Row],[Active Alchemists Flame]],-1,0)&gt;0,OFFSET(TblMagic[[#This Row],[Active Alchemists Flame]],-1,0)-1,0))</f>
        <v>0</v>
      </c>
      <c r="AN9" s="26" t="n">
        <f aca="false">IF(TblMagic[[#This Row],[Nightfall]],12,IF(OFFSET(TblMagic[[#This Row],[Active Nightfall]],-1,0)&gt;0,OFFSET(TblMagic[[#This Row],[Active Nightfall]],-1,0)-1,0))</f>
        <v>0</v>
      </c>
      <c r="AO9" s="26" t="n">
        <f aca="false">IF(TblMagic[[#This Row],[Favorable Terrain]],12,IF(OFFSET(TblMagic[[#This Row],[Active Favorable Terrain]],-1,0)&gt;0,OFFSET(TblMagic[[#This Row],[Active Favorable Terrain]],-1,0)-1,0))</f>
        <v>0</v>
      </c>
    </row>
    <row r="10" customFormat="false" ht="12.75" hidden="false" customHeight="false" outlineLevel="0" collapsed="false">
      <c r="A10" s="128" t="n">
        <f aca="false">TblRezone[[#This Row],[Hour]]</f>
        <v>7</v>
      </c>
      <c r="B10" s="146" t="n">
        <f aca="false">TblConstr[[#This Row],[Land]]</f>
        <v>250</v>
      </c>
      <c r="C10" s="69" t="n">
        <f aca="false">TblProd[[#This Row],[Mana]]</f>
        <v>0</v>
      </c>
      <c r="D10" s="149" t="n">
        <f aca="false">MIN(1,OFFSET(TblMagic[[#This Row],[Wiz str]],-1,0)+0.04+ROUNDDOWN(10*OFFSET(TblMili[[#This Row],[WG''s]],-1,0),0)+ tech_2_7*OFFSET(TblTech[[#This Row],[2-7]],-1,0) + tech_5_6*OFFSET(TblTech[[#This Row],[5-6]],-1,0) )-TblMagic[[#This Row],[Wiz str cost]]</f>
        <v>1</v>
      </c>
      <c r="E10" s="153" t="n">
        <f aca="false">OFFSET(TblMagic[[#This Row],[Time]],-1,0)+1/24</f>
        <v>45430</v>
      </c>
      <c r="F10" s="149" t="n">
        <f aca="false">TblImps[[#This Row],[Population]]</f>
        <v>0.45018069179143</v>
      </c>
      <c r="G10" s="248"/>
      <c r="H10" s="248"/>
      <c r="I10" s="248"/>
      <c r="J10" s="248"/>
      <c r="K10" s="312"/>
      <c r="L10" s="248"/>
      <c r="M10" s="248"/>
      <c r="N10" s="248"/>
      <c r="O10" s="248"/>
      <c r="P10" s="248"/>
      <c r="Q10" s="248"/>
      <c r="R10" s="248"/>
      <c r="S10" s="248"/>
      <c r="T10" s="248"/>
      <c r="U10" s="248"/>
      <c r="V10" s="248"/>
      <c r="W10" s="132"/>
      <c r="X1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49" t="n">
        <f aca="false">SUMIF(TblMagic[[#This Row],[Gaia''s Watch]:[Useless spell]],1)*0.05</f>
        <v>0</v>
      </c>
      <c r="Z10" s="132"/>
      <c r="AA10" s="26" t="n">
        <f aca="false">IF(TblMagic[[#This Row],[Gaia''s Watch]],12,IF(OFFSET(TblMagic[[#This Row],[Active Gaia''s Watch]],-1,0)&gt;0,OFFSET(TblMagic[[#This Row],[Active Gaia''s Watch]],-1,0)-1,0))</f>
        <v>0</v>
      </c>
      <c r="AB10" s="26" t="n">
        <f aca="false">IF(TblMagic[[#This Row],[Mining Strength]],12,IF(OFFSET(TblMagic[[#This Row],[Active Mining Strength]],-1,0)&gt;0,OFFSET(TblMagic[[#This Row],[Active Mining Strength]],-1,0)-1,0))</f>
        <v>0</v>
      </c>
      <c r="AC10" s="26" t="n">
        <f aca="false">IF(TblMagic[[#This Row],[Ares Call]],12,IF(OFFSET(TblMagic[[#This Row],[Active Ares Call]],-1,0)&gt;0,OFFSET(TblMagic[[#This Row],[Active Ares Call]],-1,0)-1,0))</f>
        <v>0</v>
      </c>
      <c r="AD10" s="26" t="n">
        <f aca="false">IF(TblMagic[[#This Row],[Midas Touch]],12,IF(OFFSET(TblMagic[[#This Row],[Active Midas Touch]],-1,0)&gt;0,OFFSET(TblMagic[[#This Row],[Active Midas Touch]],-1,0)-1,0))</f>
        <v>0</v>
      </c>
      <c r="AE10" s="26" t="n">
        <f aca="false">IF(TblMagic[[#This Row],[Harmony]],12,IF(OFFSET(TblMagic[[#This Row],[Active Harmony]],-1,0)&gt;0,OFFSET(TblMagic[[#This Row],[Active Harmony]],-1,0)-1,0))</f>
        <v>0</v>
      </c>
      <c r="AF10" s="26" t="n">
        <f aca="false">IF(TblMagic[[#This Row],[Miner''s Sight]],12,IF(OFFSET(TblMagic[[#This Row],[Active Miner''s Sight]],-1,0)&gt;0,OFFSET(TblMagic[[#This Row],[Active Miner''s Sight]],-1,0)-1,0))</f>
        <v>0</v>
      </c>
      <c r="AG10" s="26" t="n">
        <f aca="false">IF(TblMagic[[#This Row],[Mechanical Genius]],12,IF(OFFSET(TblMagic[[#This Row],[Active Mechanical Genius]],-1,0)&gt;0,OFFSET(TblMagic[[#This Row],[Active Mechanical Genius]],-1,0)-1,0))</f>
        <v>0</v>
      </c>
      <c r="AH10" s="26" t="n">
        <f aca="false">IF(TblMagic[[#This Row],[Frenzy]],12,IF(OFFSET(TblMagic[[#This Row],[Active Frenzy]],-1,0)&gt;0,OFFSET(TblMagic[[#This Row],[Active Frenzy]],-1,0)-1,0))</f>
        <v>0</v>
      </c>
      <c r="AI10" s="26" t="n">
        <f aca="false">IF(TblMagic[[#This Row],[Killing Rage / Bloodrage / Crusade]],12,IF(OFFSET(TblMagic[[#This Row],[Active Warsong / Killing Rage / Bloodrage]],-1,0)&gt;0,OFFSET(TblMagic[[#This Row],[Active Warsong / Killing Rage / Bloodrage]],-1,0)-1,0))</f>
        <v>0</v>
      </c>
      <c r="AJ10" s="26" t="n">
        <f aca="false">IF(TblMagic[[#This Row],[Gaia''s Blessing]],12,IF(OFFSET(TblMagic[[#This Row],[Active Gaia''s Blessing]],-1,0)&gt;0,OFFSET(TblMagic[[#This Row],[Active Gaia''s Blessing]],-1,0)-1,0))</f>
        <v>0</v>
      </c>
      <c r="AK10" s="26" t="n">
        <f aca="false">IF(TblMagic[[#This Row],[Howling]],12,IF(OFFSET(TblMagic[[#This Row],[Active Howling]],-1,0)&gt;0,OFFSET(TblMagic[[#This Row],[Active Howling]],-1,0)-1,0))</f>
        <v>0</v>
      </c>
      <c r="AL10" s="26" t="n">
        <f aca="false">IF(TblMagic[[#This Row],[Alchemist Frost]],12,IF(OFFSET(TblMagic[[#This Row],[Active Alch Frost]],-1,0)&gt;0,OFFSET(TblMagic[[#This Row],[Active Alch Frost]],-1,0)-1,0))</f>
        <v>0</v>
      </c>
      <c r="AM10" s="26" t="n">
        <f aca="false">IF(TblMagic[[#This Row],[Alchemists Flame]],12,IF(OFFSET(TblMagic[[#This Row],[Active Alchemists Flame]],-1,0)&gt;0,OFFSET(TblMagic[[#This Row],[Active Alchemists Flame]],-1,0)-1,0))</f>
        <v>0</v>
      </c>
      <c r="AN10" s="26" t="n">
        <f aca="false">IF(TblMagic[[#This Row],[Nightfall]],12,IF(OFFSET(TblMagic[[#This Row],[Active Nightfall]],-1,0)&gt;0,OFFSET(TblMagic[[#This Row],[Active Nightfall]],-1,0)-1,0))</f>
        <v>0</v>
      </c>
      <c r="AO10" s="26" t="n">
        <f aca="false">IF(TblMagic[[#This Row],[Favorable Terrain]],12,IF(OFFSET(TblMagic[[#This Row],[Active Favorable Terrain]],-1,0)&gt;0,OFFSET(TblMagic[[#This Row],[Active Favorable Terrain]],-1,0)-1,0))</f>
        <v>0</v>
      </c>
    </row>
    <row r="11" customFormat="false" ht="12.75" hidden="false" customHeight="false" outlineLevel="0" collapsed="false">
      <c r="A11" s="128" t="n">
        <f aca="false">TblRezone[[#This Row],[Hour]]</f>
        <v>8</v>
      </c>
      <c r="B11" s="146" t="n">
        <f aca="false">TblConstr[[#This Row],[Land]]</f>
        <v>250</v>
      </c>
      <c r="C11" s="69" t="n">
        <f aca="false">TblProd[[#This Row],[Mana]]</f>
        <v>0</v>
      </c>
      <c r="D11" s="149" t="n">
        <f aca="false">MIN(1,OFFSET(TblMagic[[#This Row],[Wiz str]],-1,0)+0.04+ROUNDDOWN(10*OFFSET(TblMili[[#This Row],[WG''s]],-1,0),0)+ tech_2_7*OFFSET(TblTech[[#This Row],[2-7]],-1,0) + tech_5_6*OFFSET(TblTech[[#This Row],[5-6]],-1,0) )-TblMagic[[#This Row],[Wiz str cost]]</f>
        <v>1</v>
      </c>
      <c r="E11" s="153" t="n">
        <f aca="false">OFFSET(TblMagic[[#This Row],[Time]],-1,0)+1/24</f>
        <v>45430.0416666667</v>
      </c>
      <c r="F11" s="149" t="n">
        <f aca="false">TblImps[[#This Row],[Population]]</f>
        <v>0.46024780588539</v>
      </c>
      <c r="G11" s="248"/>
      <c r="H11" s="248"/>
      <c r="I11" s="248"/>
      <c r="J11" s="248"/>
      <c r="K11" s="312"/>
      <c r="L11" s="248"/>
      <c r="M11" s="248"/>
      <c r="N11" s="248"/>
      <c r="O11" s="248"/>
      <c r="P11" s="248"/>
      <c r="Q11" s="248"/>
      <c r="R11" s="248"/>
      <c r="S11" s="248"/>
      <c r="T11" s="248"/>
      <c r="U11" s="248"/>
      <c r="V11" s="248"/>
      <c r="W11" s="132"/>
      <c r="X1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49" t="n">
        <f aca="false">SUMIF(TblMagic[[#This Row],[Gaia''s Watch]:[Useless spell]],1)*0.05</f>
        <v>0</v>
      </c>
      <c r="Z11" s="132"/>
      <c r="AA11" s="26" t="n">
        <f aca="false">IF(TblMagic[[#This Row],[Gaia''s Watch]],12,IF(OFFSET(TblMagic[[#This Row],[Active Gaia''s Watch]],-1,0)&gt;0,OFFSET(TblMagic[[#This Row],[Active Gaia''s Watch]],-1,0)-1,0))</f>
        <v>0</v>
      </c>
      <c r="AB11" s="26" t="n">
        <f aca="false">IF(TblMagic[[#This Row],[Mining Strength]],12,IF(OFFSET(TblMagic[[#This Row],[Active Mining Strength]],-1,0)&gt;0,OFFSET(TblMagic[[#This Row],[Active Mining Strength]],-1,0)-1,0))</f>
        <v>0</v>
      </c>
      <c r="AC11" s="26" t="n">
        <f aca="false">IF(TblMagic[[#This Row],[Ares Call]],12,IF(OFFSET(TblMagic[[#This Row],[Active Ares Call]],-1,0)&gt;0,OFFSET(TblMagic[[#This Row],[Active Ares Call]],-1,0)-1,0))</f>
        <v>0</v>
      </c>
      <c r="AD11" s="26" t="n">
        <f aca="false">IF(TblMagic[[#This Row],[Midas Touch]],12,IF(OFFSET(TblMagic[[#This Row],[Active Midas Touch]],-1,0)&gt;0,OFFSET(TblMagic[[#This Row],[Active Midas Touch]],-1,0)-1,0))</f>
        <v>0</v>
      </c>
      <c r="AE11" s="26" t="n">
        <f aca="false">IF(TblMagic[[#This Row],[Harmony]],12,IF(OFFSET(TblMagic[[#This Row],[Active Harmony]],-1,0)&gt;0,OFFSET(TblMagic[[#This Row],[Active Harmony]],-1,0)-1,0))</f>
        <v>0</v>
      </c>
      <c r="AF11" s="26" t="n">
        <f aca="false">IF(TblMagic[[#This Row],[Miner''s Sight]],12,IF(OFFSET(TblMagic[[#This Row],[Active Miner''s Sight]],-1,0)&gt;0,OFFSET(TblMagic[[#This Row],[Active Miner''s Sight]],-1,0)-1,0))</f>
        <v>0</v>
      </c>
      <c r="AG11" s="26" t="n">
        <f aca="false">IF(TblMagic[[#This Row],[Mechanical Genius]],12,IF(OFFSET(TblMagic[[#This Row],[Active Mechanical Genius]],-1,0)&gt;0,OFFSET(TblMagic[[#This Row],[Active Mechanical Genius]],-1,0)-1,0))</f>
        <v>0</v>
      </c>
      <c r="AH11" s="26" t="n">
        <f aca="false">IF(TblMagic[[#This Row],[Frenzy]],12,IF(OFFSET(TblMagic[[#This Row],[Active Frenzy]],-1,0)&gt;0,OFFSET(TblMagic[[#This Row],[Active Frenzy]],-1,0)-1,0))</f>
        <v>0</v>
      </c>
      <c r="AI11" s="26" t="n">
        <f aca="false">IF(TblMagic[[#This Row],[Killing Rage / Bloodrage / Crusade]],12,IF(OFFSET(TblMagic[[#This Row],[Active Warsong / Killing Rage / Bloodrage]],-1,0)&gt;0,OFFSET(TblMagic[[#This Row],[Active Warsong / Killing Rage / Bloodrage]],-1,0)-1,0))</f>
        <v>0</v>
      </c>
      <c r="AJ11" s="26" t="n">
        <f aca="false">IF(TblMagic[[#This Row],[Gaia''s Blessing]],12,IF(OFFSET(TblMagic[[#This Row],[Active Gaia''s Blessing]],-1,0)&gt;0,OFFSET(TblMagic[[#This Row],[Active Gaia''s Blessing]],-1,0)-1,0))</f>
        <v>0</v>
      </c>
      <c r="AK11" s="26" t="n">
        <f aca="false">IF(TblMagic[[#This Row],[Howling]],12,IF(OFFSET(TblMagic[[#This Row],[Active Howling]],-1,0)&gt;0,OFFSET(TblMagic[[#This Row],[Active Howling]],-1,0)-1,0))</f>
        <v>0</v>
      </c>
      <c r="AL11" s="26" t="n">
        <f aca="false">IF(TblMagic[[#This Row],[Alchemist Frost]],12,IF(OFFSET(TblMagic[[#This Row],[Active Alch Frost]],-1,0)&gt;0,OFFSET(TblMagic[[#This Row],[Active Alch Frost]],-1,0)-1,0))</f>
        <v>0</v>
      </c>
      <c r="AM11" s="26" t="n">
        <f aca="false">IF(TblMagic[[#This Row],[Alchemists Flame]],12,IF(OFFSET(TblMagic[[#This Row],[Active Alchemists Flame]],-1,0)&gt;0,OFFSET(TblMagic[[#This Row],[Active Alchemists Flame]],-1,0)-1,0))</f>
        <v>0</v>
      </c>
      <c r="AN11" s="26" t="n">
        <f aca="false">IF(TblMagic[[#This Row],[Nightfall]],12,IF(OFFSET(TblMagic[[#This Row],[Active Nightfall]],-1,0)&gt;0,OFFSET(TblMagic[[#This Row],[Active Nightfall]],-1,0)-1,0))</f>
        <v>0</v>
      </c>
      <c r="AO11" s="26" t="n">
        <f aca="false">IF(TblMagic[[#This Row],[Favorable Terrain]],12,IF(OFFSET(TblMagic[[#This Row],[Active Favorable Terrain]],-1,0)&gt;0,OFFSET(TblMagic[[#This Row],[Active Favorable Terrain]],-1,0)-1,0))</f>
        <v>0</v>
      </c>
    </row>
    <row r="12" customFormat="false" ht="12.75" hidden="false" customHeight="false" outlineLevel="0" collapsed="false">
      <c r="A12" s="128" t="n">
        <f aca="false">TblRezone[[#This Row],[Hour]]</f>
        <v>9</v>
      </c>
      <c r="B12" s="146" t="n">
        <f aca="false">TblConstr[[#This Row],[Land]]</f>
        <v>250</v>
      </c>
      <c r="C12" s="69" t="n">
        <f aca="false">TblProd[[#This Row],[Mana]]</f>
        <v>0</v>
      </c>
      <c r="D12" s="149" t="n">
        <f aca="false">MIN(1,OFFSET(TblMagic[[#This Row],[Wiz str]],-1,0)+0.04+ROUNDDOWN(10*OFFSET(TblMili[[#This Row],[WG''s]],-1,0),0)+ tech_2_7*OFFSET(TblTech[[#This Row],[2-7]],-1,0) + tech_5_6*OFFSET(TblTech[[#This Row],[5-6]],-1,0) )-TblMagic[[#This Row],[Wiz str cost]]</f>
        <v>1</v>
      </c>
      <c r="E12" s="153" t="n">
        <f aca="false">OFFSET(TblMagic[[#This Row],[Time]],-1,0)+1/24</f>
        <v>45430.0833333333</v>
      </c>
      <c r="F12" s="149" t="n">
        <f aca="false">TblImps[[#This Row],[Population]]</f>
        <v>0.470573051109964</v>
      </c>
      <c r="G12" s="248"/>
      <c r="H12" s="248"/>
      <c r="I12" s="248"/>
      <c r="J12" s="248"/>
      <c r="K12" s="312"/>
      <c r="L12" s="248"/>
      <c r="M12" s="248"/>
      <c r="N12" s="248"/>
      <c r="O12" s="248"/>
      <c r="P12" s="248"/>
      <c r="Q12" s="248"/>
      <c r="R12" s="248"/>
      <c r="S12" s="248"/>
      <c r="T12" s="248"/>
      <c r="U12" s="248"/>
      <c r="V12" s="248"/>
      <c r="W12" s="132"/>
      <c r="X1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49" t="n">
        <f aca="false">SUMIF(TblMagic[[#This Row],[Gaia''s Watch]:[Useless spell]],1)*0.05</f>
        <v>0</v>
      </c>
      <c r="Z12" s="132"/>
      <c r="AA12" s="26" t="n">
        <f aca="false">IF(TblMagic[[#This Row],[Gaia''s Watch]],12,IF(OFFSET(TblMagic[[#This Row],[Active Gaia''s Watch]],-1,0)&gt;0,OFFSET(TblMagic[[#This Row],[Active Gaia''s Watch]],-1,0)-1,0))</f>
        <v>0</v>
      </c>
      <c r="AB12" s="26" t="n">
        <f aca="false">IF(TblMagic[[#This Row],[Mining Strength]],12,IF(OFFSET(TblMagic[[#This Row],[Active Mining Strength]],-1,0)&gt;0,OFFSET(TblMagic[[#This Row],[Active Mining Strength]],-1,0)-1,0))</f>
        <v>0</v>
      </c>
      <c r="AC12" s="26" t="n">
        <f aca="false">IF(TblMagic[[#This Row],[Ares Call]],12,IF(OFFSET(TblMagic[[#This Row],[Active Ares Call]],-1,0)&gt;0,OFFSET(TblMagic[[#This Row],[Active Ares Call]],-1,0)-1,0))</f>
        <v>0</v>
      </c>
      <c r="AD12" s="26" t="n">
        <f aca="false">IF(TblMagic[[#This Row],[Midas Touch]],12,IF(OFFSET(TblMagic[[#This Row],[Active Midas Touch]],-1,0)&gt;0,OFFSET(TblMagic[[#This Row],[Active Midas Touch]],-1,0)-1,0))</f>
        <v>0</v>
      </c>
      <c r="AE12" s="26" t="n">
        <f aca="false">IF(TblMagic[[#This Row],[Harmony]],12,IF(OFFSET(TblMagic[[#This Row],[Active Harmony]],-1,0)&gt;0,OFFSET(TblMagic[[#This Row],[Active Harmony]],-1,0)-1,0))</f>
        <v>0</v>
      </c>
      <c r="AF12" s="26" t="n">
        <f aca="false">IF(TblMagic[[#This Row],[Miner''s Sight]],12,IF(OFFSET(TblMagic[[#This Row],[Active Miner''s Sight]],-1,0)&gt;0,OFFSET(TblMagic[[#This Row],[Active Miner''s Sight]],-1,0)-1,0))</f>
        <v>0</v>
      </c>
      <c r="AG12" s="26" t="n">
        <f aca="false">IF(TblMagic[[#This Row],[Mechanical Genius]],12,IF(OFFSET(TblMagic[[#This Row],[Active Mechanical Genius]],-1,0)&gt;0,OFFSET(TblMagic[[#This Row],[Active Mechanical Genius]],-1,0)-1,0))</f>
        <v>0</v>
      </c>
      <c r="AH12" s="26" t="n">
        <f aca="false">IF(TblMagic[[#This Row],[Frenzy]],12,IF(OFFSET(TblMagic[[#This Row],[Active Frenzy]],-1,0)&gt;0,OFFSET(TblMagic[[#This Row],[Active Frenzy]],-1,0)-1,0))</f>
        <v>0</v>
      </c>
      <c r="AI12" s="26" t="n">
        <f aca="false">IF(TblMagic[[#This Row],[Killing Rage / Bloodrage / Crusade]],12,IF(OFFSET(TblMagic[[#This Row],[Active Warsong / Killing Rage / Bloodrage]],-1,0)&gt;0,OFFSET(TblMagic[[#This Row],[Active Warsong / Killing Rage / Bloodrage]],-1,0)-1,0))</f>
        <v>0</v>
      </c>
      <c r="AJ12" s="26" t="n">
        <f aca="false">IF(TblMagic[[#This Row],[Gaia''s Blessing]],12,IF(OFFSET(TblMagic[[#This Row],[Active Gaia''s Blessing]],-1,0)&gt;0,OFFSET(TblMagic[[#This Row],[Active Gaia''s Blessing]],-1,0)-1,0))</f>
        <v>0</v>
      </c>
      <c r="AK12" s="26" t="n">
        <f aca="false">IF(TblMagic[[#This Row],[Howling]],12,IF(OFFSET(TblMagic[[#This Row],[Active Howling]],-1,0)&gt;0,OFFSET(TblMagic[[#This Row],[Active Howling]],-1,0)-1,0))</f>
        <v>0</v>
      </c>
      <c r="AL12" s="26" t="n">
        <f aca="false">IF(TblMagic[[#This Row],[Alchemist Frost]],12,IF(OFFSET(TblMagic[[#This Row],[Active Alch Frost]],-1,0)&gt;0,OFFSET(TblMagic[[#This Row],[Active Alch Frost]],-1,0)-1,0))</f>
        <v>0</v>
      </c>
      <c r="AM12" s="26" t="n">
        <f aca="false">IF(TblMagic[[#This Row],[Alchemists Flame]],12,IF(OFFSET(TblMagic[[#This Row],[Active Alchemists Flame]],-1,0)&gt;0,OFFSET(TblMagic[[#This Row],[Active Alchemists Flame]],-1,0)-1,0))</f>
        <v>0</v>
      </c>
      <c r="AN12" s="26" t="n">
        <f aca="false">IF(TblMagic[[#This Row],[Nightfall]],12,IF(OFFSET(TblMagic[[#This Row],[Active Nightfall]],-1,0)&gt;0,OFFSET(TblMagic[[#This Row],[Active Nightfall]],-1,0)-1,0))</f>
        <v>0</v>
      </c>
      <c r="AO12" s="26" t="n">
        <f aca="false">IF(TblMagic[[#This Row],[Favorable Terrain]],12,IF(OFFSET(TblMagic[[#This Row],[Active Favorable Terrain]],-1,0)&gt;0,OFFSET(TblMagic[[#This Row],[Active Favorable Terrain]],-1,0)-1,0))</f>
        <v>0</v>
      </c>
    </row>
    <row r="13" customFormat="false" ht="12.75" hidden="false" customHeight="false" outlineLevel="0" collapsed="false">
      <c r="A13" s="128" t="n">
        <f aca="false">TblRezone[[#This Row],[Hour]]</f>
        <v>10</v>
      </c>
      <c r="B13" s="146" t="n">
        <f aca="false">TblConstr[[#This Row],[Land]]</f>
        <v>250</v>
      </c>
      <c r="C13" s="69" t="n">
        <f aca="false">TblProd[[#This Row],[Mana]]</f>
        <v>0</v>
      </c>
      <c r="D13" s="149" t="n">
        <f aca="false">MIN(1,OFFSET(TblMagic[[#This Row],[Wiz str]],-1,0)+0.04+ROUNDDOWN(10*OFFSET(TblMili[[#This Row],[WG''s]],-1,0),0)+ tech_2_7*OFFSET(TblTech[[#This Row],[2-7]],-1,0) + tech_5_6*OFFSET(TblTech[[#This Row],[5-6]],-1,0) )-TblMagic[[#This Row],[Wiz str cost]]</f>
        <v>1</v>
      </c>
      <c r="E13" s="153" t="n">
        <f aca="false">OFFSET(TblMagic[[#This Row],[Time]],-1,0)+1/24</f>
        <v>45430.125</v>
      </c>
      <c r="F13" s="149" t="n">
        <f aca="false">TblImps[[#This Row],[Population]]</f>
        <v>0.481156427465152</v>
      </c>
      <c r="G13" s="248"/>
      <c r="H13" s="248"/>
      <c r="I13" s="248"/>
      <c r="J13" s="248"/>
      <c r="K13" s="312"/>
      <c r="L13" s="248"/>
      <c r="M13" s="248"/>
      <c r="N13" s="248"/>
      <c r="O13" s="248"/>
      <c r="P13" s="248"/>
      <c r="Q13" s="248"/>
      <c r="R13" s="248"/>
      <c r="S13" s="248"/>
      <c r="T13" s="248"/>
      <c r="U13" s="248"/>
      <c r="V13" s="248"/>
      <c r="W13" s="132"/>
      <c r="X1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49" t="n">
        <f aca="false">SUMIF(TblMagic[[#This Row],[Gaia''s Watch]:[Useless spell]],1)*0.05</f>
        <v>0</v>
      </c>
      <c r="Z13" s="132"/>
      <c r="AA13" s="26" t="n">
        <f aca="false">IF(TblMagic[[#This Row],[Gaia''s Watch]],12,IF(OFFSET(TblMagic[[#This Row],[Active Gaia''s Watch]],-1,0)&gt;0,OFFSET(TblMagic[[#This Row],[Active Gaia''s Watch]],-1,0)-1,0))</f>
        <v>0</v>
      </c>
      <c r="AB13" s="26" t="n">
        <f aca="false">IF(TblMagic[[#This Row],[Mining Strength]],12,IF(OFFSET(TblMagic[[#This Row],[Active Mining Strength]],-1,0)&gt;0,OFFSET(TblMagic[[#This Row],[Active Mining Strength]],-1,0)-1,0))</f>
        <v>0</v>
      </c>
      <c r="AC13" s="26" t="n">
        <f aca="false">IF(TblMagic[[#This Row],[Ares Call]],12,IF(OFFSET(TblMagic[[#This Row],[Active Ares Call]],-1,0)&gt;0,OFFSET(TblMagic[[#This Row],[Active Ares Call]],-1,0)-1,0))</f>
        <v>0</v>
      </c>
      <c r="AD13" s="26" t="n">
        <f aca="false">IF(TblMagic[[#This Row],[Midas Touch]],12,IF(OFFSET(TblMagic[[#This Row],[Active Midas Touch]],-1,0)&gt;0,OFFSET(TblMagic[[#This Row],[Active Midas Touch]],-1,0)-1,0))</f>
        <v>0</v>
      </c>
      <c r="AE13" s="26" t="n">
        <f aca="false">IF(TblMagic[[#This Row],[Harmony]],12,IF(OFFSET(TblMagic[[#This Row],[Active Harmony]],-1,0)&gt;0,OFFSET(TblMagic[[#This Row],[Active Harmony]],-1,0)-1,0))</f>
        <v>0</v>
      </c>
      <c r="AF13" s="26" t="n">
        <f aca="false">IF(TblMagic[[#This Row],[Miner''s Sight]],12,IF(OFFSET(TblMagic[[#This Row],[Active Miner''s Sight]],-1,0)&gt;0,OFFSET(TblMagic[[#This Row],[Active Miner''s Sight]],-1,0)-1,0))</f>
        <v>0</v>
      </c>
      <c r="AG13" s="26" t="n">
        <f aca="false">IF(TblMagic[[#This Row],[Mechanical Genius]],12,IF(OFFSET(TblMagic[[#This Row],[Active Mechanical Genius]],-1,0)&gt;0,OFFSET(TblMagic[[#This Row],[Active Mechanical Genius]],-1,0)-1,0))</f>
        <v>0</v>
      </c>
      <c r="AH13" s="26" t="n">
        <f aca="false">IF(TblMagic[[#This Row],[Frenzy]],12,IF(OFFSET(TblMagic[[#This Row],[Active Frenzy]],-1,0)&gt;0,OFFSET(TblMagic[[#This Row],[Active Frenzy]],-1,0)-1,0))</f>
        <v>0</v>
      </c>
      <c r="AI13" s="26" t="n">
        <f aca="false">IF(TblMagic[[#This Row],[Killing Rage / Bloodrage / Crusade]],12,IF(OFFSET(TblMagic[[#This Row],[Active Warsong / Killing Rage / Bloodrage]],-1,0)&gt;0,OFFSET(TblMagic[[#This Row],[Active Warsong / Killing Rage / Bloodrage]],-1,0)-1,0))</f>
        <v>0</v>
      </c>
      <c r="AJ13" s="26" t="n">
        <f aca="false">IF(TblMagic[[#This Row],[Gaia''s Blessing]],12,IF(OFFSET(TblMagic[[#This Row],[Active Gaia''s Blessing]],-1,0)&gt;0,OFFSET(TblMagic[[#This Row],[Active Gaia''s Blessing]],-1,0)-1,0))</f>
        <v>0</v>
      </c>
      <c r="AK13" s="26" t="n">
        <f aca="false">IF(TblMagic[[#This Row],[Howling]],12,IF(OFFSET(TblMagic[[#This Row],[Active Howling]],-1,0)&gt;0,OFFSET(TblMagic[[#This Row],[Active Howling]],-1,0)-1,0))</f>
        <v>0</v>
      </c>
      <c r="AL13" s="26" t="n">
        <f aca="false">IF(TblMagic[[#This Row],[Alchemist Frost]],12,IF(OFFSET(TblMagic[[#This Row],[Active Alch Frost]],-1,0)&gt;0,OFFSET(TblMagic[[#This Row],[Active Alch Frost]],-1,0)-1,0))</f>
        <v>0</v>
      </c>
      <c r="AM13" s="26" t="n">
        <f aca="false">IF(TblMagic[[#This Row],[Alchemists Flame]],12,IF(OFFSET(TblMagic[[#This Row],[Active Alchemists Flame]],-1,0)&gt;0,OFFSET(TblMagic[[#This Row],[Active Alchemists Flame]],-1,0)-1,0))</f>
        <v>0</v>
      </c>
      <c r="AN13" s="26" t="n">
        <f aca="false">IF(TblMagic[[#This Row],[Nightfall]],12,IF(OFFSET(TblMagic[[#This Row],[Active Nightfall]],-1,0)&gt;0,OFFSET(TblMagic[[#This Row],[Active Nightfall]],-1,0)-1,0))</f>
        <v>0</v>
      </c>
      <c r="AO13" s="26" t="n">
        <f aca="false">IF(TblMagic[[#This Row],[Favorable Terrain]],12,IF(OFFSET(TblMagic[[#This Row],[Active Favorable Terrain]],-1,0)&gt;0,OFFSET(TblMagic[[#This Row],[Active Favorable Terrain]],-1,0)-1,0))</f>
        <v>0</v>
      </c>
    </row>
    <row r="14" customFormat="false" ht="12.75" hidden="false" customHeight="false" outlineLevel="0" collapsed="false">
      <c r="A14" s="128" t="n">
        <f aca="false">TblRezone[[#This Row],[Hour]]</f>
        <v>11</v>
      </c>
      <c r="B14" s="146" t="n">
        <f aca="false">TblConstr[[#This Row],[Land]]</f>
        <v>250</v>
      </c>
      <c r="C14" s="69" t="n">
        <f aca="false">TblProd[[#This Row],[Mana]]</f>
        <v>0</v>
      </c>
      <c r="D14" s="149" t="n">
        <f aca="false">MIN(1,OFFSET(TblMagic[[#This Row],[Wiz str]],-1,0)+0.04+ROUNDDOWN(10*OFFSET(TblMili[[#This Row],[WG''s]],-1,0),0)+ tech_2_7*OFFSET(TblTech[[#This Row],[2-7]],-1,0) + tech_5_6*OFFSET(TblTech[[#This Row],[5-6]],-1,0) )-TblMagic[[#This Row],[Wiz str cost]]</f>
        <v>1</v>
      </c>
      <c r="E14" s="153" t="n">
        <f aca="false">OFFSET(TblMagic[[#This Row],[Time]],-1,0)+1/24</f>
        <v>45430.1666666667</v>
      </c>
      <c r="F14" s="149" t="n">
        <f aca="false">TblImps[[#This Row],[Population]]</f>
        <v>0.491997934950955</v>
      </c>
      <c r="G14" s="248"/>
      <c r="H14" s="248"/>
      <c r="I14" s="248"/>
      <c r="J14" s="248"/>
      <c r="K14" s="312"/>
      <c r="L14" s="248"/>
      <c r="M14" s="248"/>
      <c r="N14" s="248"/>
      <c r="O14" s="248"/>
      <c r="P14" s="248"/>
      <c r="Q14" s="248"/>
      <c r="R14" s="248"/>
      <c r="S14" s="248"/>
      <c r="T14" s="248"/>
      <c r="U14" s="248"/>
      <c r="V14" s="248"/>
      <c r="W14" s="132"/>
      <c r="X1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49" t="n">
        <f aca="false">SUMIF(TblMagic[[#This Row],[Gaia''s Watch]:[Useless spell]],1)*0.05</f>
        <v>0</v>
      </c>
      <c r="Z14" s="132"/>
      <c r="AA14" s="26" t="n">
        <f aca="false">IF(TblMagic[[#This Row],[Gaia''s Watch]],12,IF(OFFSET(TblMagic[[#This Row],[Active Gaia''s Watch]],-1,0)&gt;0,OFFSET(TblMagic[[#This Row],[Active Gaia''s Watch]],-1,0)-1,0))</f>
        <v>0</v>
      </c>
      <c r="AB14" s="26" t="n">
        <f aca="false">IF(TblMagic[[#This Row],[Mining Strength]],12,IF(OFFSET(TblMagic[[#This Row],[Active Mining Strength]],-1,0)&gt;0,OFFSET(TblMagic[[#This Row],[Active Mining Strength]],-1,0)-1,0))</f>
        <v>0</v>
      </c>
      <c r="AC14" s="26" t="n">
        <f aca="false">IF(TblMagic[[#This Row],[Ares Call]],12,IF(OFFSET(TblMagic[[#This Row],[Active Ares Call]],-1,0)&gt;0,OFFSET(TblMagic[[#This Row],[Active Ares Call]],-1,0)-1,0))</f>
        <v>0</v>
      </c>
      <c r="AD14" s="26" t="n">
        <f aca="false">IF(TblMagic[[#This Row],[Midas Touch]],12,IF(OFFSET(TblMagic[[#This Row],[Active Midas Touch]],-1,0)&gt;0,OFFSET(TblMagic[[#This Row],[Active Midas Touch]],-1,0)-1,0))</f>
        <v>0</v>
      </c>
      <c r="AE14" s="26" t="n">
        <f aca="false">IF(TblMagic[[#This Row],[Harmony]],12,IF(OFFSET(TblMagic[[#This Row],[Active Harmony]],-1,0)&gt;0,OFFSET(TblMagic[[#This Row],[Active Harmony]],-1,0)-1,0))</f>
        <v>0</v>
      </c>
      <c r="AF14" s="26" t="n">
        <f aca="false">IF(TblMagic[[#This Row],[Miner''s Sight]],12,IF(OFFSET(TblMagic[[#This Row],[Active Miner''s Sight]],-1,0)&gt;0,OFFSET(TblMagic[[#This Row],[Active Miner''s Sight]],-1,0)-1,0))</f>
        <v>0</v>
      </c>
      <c r="AG14" s="26" t="n">
        <f aca="false">IF(TblMagic[[#This Row],[Mechanical Genius]],12,IF(OFFSET(TblMagic[[#This Row],[Active Mechanical Genius]],-1,0)&gt;0,OFFSET(TblMagic[[#This Row],[Active Mechanical Genius]],-1,0)-1,0))</f>
        <v>0</v>
      </c>
      <c r="AH14" s="26" t="n">
        <f aca="false">IF(TblMagic[[#This Row],[Frenzy]],12,IF(OFFSET(TblMagic[[#This Row],[Active Frenzy]],-1,0)&gt;0,OFFSET(TblMagic[[#This Row],[Active Frenzy]],-1,0)-1,0))</f>
        <v>0</v>
      </c>
      <c r="AI14" s="26" t="n">
        <f aca="false">IF(TblMagic[[#This Row],[Killing Rage / Bloodrage / Crusade]],12,IF(OFFSET(TblMagic[[#This Row],[Active Warsong / Killing Rage / Bloodrage]],-1,0)&gt;0,OFFSET(TblMagic[[#This Row],[Active Warsong / Killing Rage / Bloodrage]],-1,0)-1,0))</f>
        <v>0</v>
      </c>
      <c r="AJ14" s="26" t="n">
        <f aca="false">IF(TblMagic[[#This Row],[Gaia''s Blessing]],12,IF(OFFSET(TblMagic[[#This Row],[Active Gaia''s Blessing]],-1,0)&gt;0,OFFSET(TblMagic[[#This Row],[Active Gaia''s Blessing]],-1,0)-1,0))</f>
        <v>0</v>
      </c>
      <c r="AK14" s="26" t="n">
        <f aca="false">IF(TblMagic[[#This Row],[Howling]],12,IF(OFFSET(TblMagic[[#This Row],[Active Howling]],-1,0)&gt;0,OFFSET(TblMagic[[#This Row],[Active Howling]],-1,0)-1,0))</f>
        <v>0</v>
      </c>
      <c r="AL14" s="26" t="n">
        <f aca="false">IF(TblMagic[[#This Row],[Alchemist Frost]],12,IF(OFFSET(TblMagic[[#This Row],[Active Alch Frost]],-1,0)&gt;0,OFFSET(TblMagic[[#This Row],[Active Alch Frost]],-1,0)-1,0))</f>
        <v>0</v>
      </c>
      <c r="AM14" s="26" t="n">
        <f aca="false">IF(TblMagic[[#This Row],[Alchemists Flame]],12,IF(OFFSET(TblMagic[[#This Row],[Active Alchemists Flame]],-1,0)&gt;0,OFFSET(TblMagic[[#This Row],[Active Alchemists Flame]],-1,0)-1,0))</f>
        <v>0</v>
      </c>
      <c r="AN14" s="26" t="n">
        <f aca="false">IF(TblMagic[[#This Row],[Nightfall]],12,IF(OFFSET(TblMagic[[#This Row],[Active Nightfall]],-1,0)&gt;0,OFFSET(TblMagic[[#This Row],[Active Nightfall]],-1,0)-1,0))</f>
        <v>0</v>
      </c>
      <c r="AO14" s="26" t="n">
        <f aca="false">IF(TblMagic[[#This Row],[Favorable Terrain]],12,IF(OFFSET(TblMagic[[#This Row],[Active Favorable Terrain]],-1,0)&gt;0,OFFSET(TblMagic[[#This Row],[Active Favorable Terrain]],-1,0)-1,0))</f>
        <v>0</v>
      </c>
    </row>
    <row r="15" customFormat="false" ht="12.75" hidden="false" customHeight="false" outlineLevel="0" collapsed="false">
      <c r="A15" s="128" t="n">
        <f aca="false">TblRezone[[#This Row],[Hour]]</f>
        <v>12</v>
      </c>
      <c r="B15" s="146" t="n">
        <f aca="false">TblConstr[[#This Row],[Land]]</f>
        <v>250</v>
      </c>
      <c r="C15" s="69" t="n">
        <f aca="false">TblProd[[#This Row],[Mana]]</f>
        <v>0</v>
      </c>
      <c r="D15" s="149" t="n">
        <f aca="false">MIN(1,OFFSET(TblMagic[[#This Row],[Wiz str]],-1,0)+0.04+ROUNDDOWN(10*OFFSET(TblMili[[#This Row],[WG''s]],-1,0),0)+ tech_2_7*OFFSET(TblTech[[#This Row],[2-7]],-1,0) + tech_5_6*OFFSET(TblTech[[#This Row],[5-6]],-1,0) )-TblMagic[[#This Row],[Wiz str cost]]</f>
        <v>1</v>
      </c>
      <c r="E15" s="153" t="n">
        <f aca="false">OFFSET(TblMagic[[#This Row],[Time]],-1,0)+1/24</f>
        <v>45430.2083333333</v>
      </c>
      <c r="F15" s="149" t="n">
        <f aca="false">TblImps[[#This Row],[Population]]</f>
        <v>0.50413009808983</v>
      </c>
      <c r="G15" s="248"/>
      <c r="H15" s="248"/>
      <c r="I15" s="248"/>
      <c r="J15" s="248"/>
      <c r="K15" s="312"/>
      <c r="L15" s="248"/>
      <c r="M15" s="248"/>
      <c r="N15" s="248"/>
      <c r="O15" s="248"/>
      <c r="P15" s="248"/>
      <c r="Q15" s="248"/>
      <c r="R15" s="248"/>
      <c r="S15" s="248"/>
      <c r="T15" s="248"/>
      <c r="U15" s="248"/>
      <c r="V15" s="248"/>
      <c r="W15" s="132"/>
      <c r="X1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49" t="n">
        <f aca="false">SUMIF(TblMagic[[#This Row],[Gaia''s Watch]:[Useless spell]],1)*0.05</f>
        <v>0</v>
      </c>
      <c r="Z15" s="132"/>
      <c r="AA15" s="26" t="n">
        <f aca="false">IF(TblMagic[[#This Row],[Gaia''s Watch]],12,IF(OFFSET(TblMagic[[#This Row],[Active Gaia''s Watch]],-1,0)&gt;0,OFFSET(TblMagic[[#This Row],[Active Gaia''s Watch]],-1,0)-1,0))</f>
        <v>0</v>
      </c>
      <c r="AB15" s="26" t="n">
        <f aca="false">IF(TblMagic[[#This Row],[Mining Strength]],12,IF(OFFSET(TblMagic[[#This Row],[Active Mining Strength]],-1,0)&gt;0,OFFSET(TblMagic[[#This Row],[Active Mining Strength]],-1,0)-1,0))</f>
        <v>0</v>
      </c>
      <c r="AC15" s="26" t="n">
        <f aca="false">IF(TblMagic[[#This Row],[Ares Call]],12,IF(OFFSET(TblMagic[[#This Row],[Active Ares Call]],-1,0)&gt;0,OFFSET(TblMagic[[#This Row],[Active Ares Call]],-1,0)-1,0))</f>
        <v>0</v>
      </c>
      <c r="AD15" s="26" t="n">
        <f aca="false">IF(TblMagic[[#This Row],[Midas Touch]],12,IF(OFFSET(TblMagic[[#This Row],[Active Midas Touch]],-1,0)&gt;0,OFFSET(TblMagic[[#This Row],[Active Midas Touch]],-1,0)-1,0))</f>
        <v>0</v>
      </c>
      <c r="AE15" s="26" t="n">
        <f aca="false">IF(TblMagic[[#This Row],[Harmony]],12,IF(OFFSET(TblMagic[[#This Row],[Active Harmony]],-1,0)&gt;0,OFFSET(TblMagic[[#This Row],[Active Harmony]],-1,0)-1,0))</f>
        <v>0</v>
      </c>
      <c r="AF15" s="26" t="n">
        <f aca="false">IF(TblMagic[[#This Row],[Miner''s Sight]],12,IF(OFFSET(TblMagic[[#This Row],[Active Miner''s Sight]],-1,0)&gt;0,OFFSET(TblMagic[[#This Row],[Active Miner''s Sight]],-1,0)-1,0))</f>
        <v>0</v>
      </c>
      <c r="AG15" s="26" t="n">
        <f aca="false">IF(TblMagic[[#This Row],[Mechanical Genius]],12,IF(OFFSET(TblMagic[[#This Row],[Active Mechanical Genius]],-1,0)&gt;0,OFFSET(TblMagic[[#This Row],[Active Mechanical Genius]],-1,0)-1,0))</f>
        <v>0</v>
      </c>
      <c r="AH15" s="26" t="n">
        <f aca="false">IF(TblMagic[[#This Row],[Frenzy]],12,IF(OFFSET(TblMagic[[#This Row],[Active Frenzy]],-1,0)&gt;0,OFFSET(TblMagic[[#This Row],[Active Frenzy]],-1,0)-1,0))</f>
        <v>0</v>
      </c>
      <c r="AI15" s="26" t="n">
        <f aca="false">IF(TblMagic[[#This Row],[Killing Rage / Bloodrage / Crusade]],12,IF(OFFSET(TblMagic[[#This Row],[Active Warsong / Killing Rage / Bloodrage]],-1,0)&gt;0,OFFSET(TblMagic[[#This Row],[Active Warsong / Killing Rage / Bloodrage]],-1,0)-1,0))</f>
        <v>0</v>
      </c>
      <c r="AJ15" s="26" t="n">
        <f aca="false">IF(TblMagic[[#This Row],[Gaia''s Blessing]],12,IF(OFFSET(TblMagic[[#This Row],[Active Gaia''s Blessing]],-1,0)&gt;0,OFFSET(TblMagic[[#This Row],[Active Gaia''s Blessing]],-1,0)-1,0))</f>
        <v>0</v>
      </c>
      <c r="AK15" s="26" t="n">
        <f aca="false">IF(TblMagic[[#This Row],[Howling]],12,IF(OFFSET(TblMagic[[#This Row],[Active Howling]],-1,0)&gt;0,OFFSET(TblMagic[[#This Row],[Active Howling]],-1,0)-1,0))</f>
        <v>0</v>
      </c>
      <c r="AL15" s="26" t="n">
        <f aca="false">IF(TblMagic[[#This Row],[Alchemist Frost]],12,IF(OFFSET(TblMagic[[#This Row],[Active Alch Frost]],-1,0)&gt;0,OFFSET(TblMagic[[#This Row],[Active Alch Frost]],-1,0)-1,0))</f>
        <v>0</v>
      </c>
      <c r="AM15" s="26" t="n">
        <f aca="false">IF(TblMagic[[#This Row],[Alchemists Flame]],12,IF(OFFSET(TblMagic[[#This Row],[Active Alchemists Flame]],-1,0)&gt;0,OFFSET(TblMagic[[#This Row],[Active Alchemists Flame]],-1,0)-1,0))</f>
        <v>0</v>
      </c>
      <c r="AN15" s="26" t="n">
        <f aca="false">IF(TblMagic[[#This Row],[Nightfall]],12,IF(OFFSET(TblMagic[[#This Row],[Active Nightfall]],-1,0)&gt;0,OFFSET(TblMagic[[#This Row],[Active Nightfall]],-1,0)-1,0))</f>
        <v>0</v>
      </c>
      <c r="AO15" s="26" t="n">
        <f aca="false">IF(TblMagic[[#This Row],[Favorable Terrain]],12,IF(OFFSET(TblMagic[[#This Row],[Active Favorable Terrain]],-1,0)&gt;0,OFFSET(TblMagic[[#This Row],[Active Favorable Terrain]],-1,0)-1,0))</f>
        <v>0</v>
      </c>
    </row>
    <row r="16" customFormat="false" ht="12.75" hidden="false" customHeight="false" outlineLevel="0" collapsed="false">
      <c r="A16" s="128" t="n">
        <f aca="false">TblRezone[[#This Row],[Hour]]</f>
        <v>13</v>
      </c>
      <c r="B16" s="146" t="n">
        <f aca="false">TblConstr[[#This Row],[Land]]</f>
        <v>250</v>
      </c>
      <c r="C16" s="69" t="n">
        <f aca="false">TblProd[[#This Row],[Mana]]</f>
        <v>375</v>
      </c>
      <c r="D16" s="149" t="n">
        <f aca="false">MIN(1,OFFSET(TblMagic[[#This Row],[Wiz str]],-1,0)+0.04+ROUNDDOWN(10*OFFSET(TblMili[[#This Row],[WG''s]],-1,0),0)+ tech_2_7*OFFSET(TblTech[[#This Row],[2-7]],-1,0) + tech_5_6*OFFSET(TblTech[[#This Row],[5-6]],-1,0) )-TblMagic[[#This Row],[Wiz str cost]]</f>
        <v>1</v>
      </c>
      <c r="E16" s="153" t="n">
        <f aca="false">OFFSET(TblMagic[[#This Row],[Time]],-1,0)+1/24</f>
        <v>45430.25</v>
      </c>
      <c r="F16" s="149" t="n">
        <f aca="false">TblImps[[#This Row],[Population]]</f>
        <v>0.530459473412494</v>
      </c>
      <c r="G16" s="248"/>
      <c r="H16" s="248"/>
      <c r="I16" s="248"/>
      <c r="J16" s="248"/>
      <c r="K16" s="312"/>
      <c r="L16" s="248"/>
      <c r="M16" s="248"/>
      <c r="N16" s="248"/>
      <c r="O16" s="248"/>
      <c r="P16" s="248"/>
      <c r="Q16" s="248"/>
      <c r="R16" s="248"/>
      <c r="S16" s="248"/>
      <c r="T16" s="248"/>
      <c r="U16" s="248"/>
      <c r="V16" s="248"/>
      <c r="W16" s="132"/>
      <c r="X1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49" t="n">
        <f aca="false">SUMIF(TblMagic[[#This Row],[Gaia''s Watch]:[Useless spell]],1)*0.05</f>
        <v>0</v>
      </c>
      <c r="Z16" s="132"/>
      <c r="AA16" s="26" t="n">
        <f aca="false">IF(TblMagic[[#This Row],[Gaia''s Watch]],12,IF(OFFSET(TblMagic[[#This Row],[Active Gaia''s Watch]],-1,0)&gt;0,OFFSET(TblMagic[[#This Row],[Active Gaia''s Watch]],-1,0)-1,0))</f>
        <v>0</v>
      </c>
      <c r="AB16" s="26" t="n">
        <f aca="false">IF(TblMagic[[#This Row],[Mining Strength]],12,IF(OFFSET(TblMagic[[#This Row],[Active Mining Strength]],-1,0)&gt;0,OFFSET(TblMagic[[#This Row],[Active Mining Strength]],-1,0)-1,0))</f>
        <v>0</v>
      </c>
      <c r="AC16" s="26" t="n">
        <f aca="false">IF(TblMagic[[#This Row],[Ares Call]],12,IF(OFFSET(TblMagic[[#This Row],[Active Ares Call]],-1,0)&gt;0,OFFSET(TblMagic[[#This Row],[Active Ares Call]],-1,0)-1,0))</f>
        <v>0</v>
      </c>
      <c r="AD16" s="26" t="n">
        <f aca="false">IF(TblMagic[[#This Row],[Midas Touch]],12,IF(OFFSET(TblMagic[[#This Row],[Active Midas Touch]],-1,0)&gt;0,OFFSET(TblMagic[[#This Row],[Active Midas Touch]],-1,0)-1,0))</f>
        <v>0</v>
      </c>
      <c r="AE16" s="26" t="n">
        <f aca="false">IF(TblMagic[[#This Row],[Harmony]],12,IF(OFFSET(TblMagic[[#This Row],[Active Harmony]],-1,0)&gt;0,OFFSET(TblMagic[[#This Row],[Active Harmony]],-1,0)-1,0))</f>
        <v>0</v>
      </c>
      <c r="AF16" s="26" t="n">
        <f aca="false">IF(TblMagic[[#This Row],[Miner''s Sight]],12,IF(OFFSET(TblMagic[[#This Row],[Active Miner''s Sight]],-1,0)&gt;0,OFFSET(TblMagic[[#This Row],[Active Miner''s Sight]],-1,0)-1,0))</f>
        <v>0</v>
      </c>
      <c r="AG16" s="26" t="n">
        <f aca="false">IF(TblMagic[[#This Row],[Mechanical Genius]],12,IF(OFFSET(TblMagic[[#This Row],[Active Mechanical Genius]],-1,0)&gt;0,OFFSET(TblMagic[[#This Row],[Active Mechanical Genius]],-1,0)-1,0))</f>
        <v>0</v>
      </c>
      <c r="AH16" s="26" t="n">
        <f aca="false">IF(TblMagic[[#This Row],[Frenzy]],12,IF(OFFSET(TblMagic[[#This Row],[Active Frenzy]],-1,0)&gt;0,OFFSET(TblMagic[[#This Row],[Active Frenzy]],-1,0)-1,0))</f>
        <v>0</v>
      </c>
      <c r="AI16" s="26" t="n">
        <f aca="false">IF(TblMagic[[#This Row],[Killing Rage / Bloodrage / Crusade]],12,IF(OFFSET(TblMagic[[#This Row],[Active Warsong / Killing Rage / Bloodrage]],-1,0)&gt;0,OFFSET(TblMagic[[#This Row],[Active Warsong / Killing Rage / Bloodrage]],-1,0)-1,0))</f>
        <v>0</v>
      </c>
      <c r="AJ16" s="26" t="n">
        <f aca="false">IF(TblMagic[[#This Row],[Gaia''s Blessing]],12,IF(OFFSET(TblMagic[[#This Row],[Active Gaia''s Blessing]],-1,0)&gt;0,OFFSET(TblMagic[[#This Row],[Active Gaia''s Blessing]],-1,0)-1,0))</f>
        <v>0</v>
      </c>
      <c r="AK16" s="26" t="n">
        <f aca="false">IF(TblMagic[[#This Row],[Howling]],12,IF(OFFSET(TblMagic[[#This Row],[Active Howling]],-1,0)&gt;0,OFFSET(TblMagic[[#This Row],[Active Howling]],-1,0)-1,0))</f>
        <v>0</v>
      </c>
      <c r="AL16" s="26" t="n">
        <f aca="false">IF(TblMagic[[#This Row],[Alchemist Frost]],12,IF(OFFSET(TblMagic[[#This Row],[Active Alch Frost]],-1,0)&gt;0,OFFSET(TblMagic[[#This Row],[Active Alch Frost]],-1,0)-1,0))</f>
        <v>0</v>
      </c>
      <c r="AM16" s="26" t="n">
        <f aca="false">IF(TblMagic[[#This Row],[Alchemists Flame]],12,IF(OFFSET(TblMagic[[#This Row],[Active Alchemists Flame]],-1,0)&gt;0,OFFSET(TblMagic[[#This Row],[Active Alchemists Flame]],-1,0)-1,0))</f>
        <v>0</v>
      </c>
      <c r="AN16" s="26" t="n">
        <f aca="false">IF(TblMagic[[#This Row],[Nightfall]],12,IF(OFFSET(TblMagic[[#This Row],[Active Nightfall]],-1,0)&gt;0,OFFSET(TblMagic[[#This Row],[Active Nightfall]],-1,0)-1,0))</f>
        <v>0</v>
      </c>
      <c r="AO16" s="26" t="n">
        <f aca="false">IF(TblMagic[[#This Row],[Favorable Terrain]],12,IF(OFFSET(TblMagic[[#This Row],[Active Favorable Terrain]],-1,0)&gt;0,OFFSET(TblMagic[[#This Row],[Active Favorable Terrain]],-1,0)-1,0))</f>
        <v>0</v>
      </c>
    </row>
    <row r="17" customFormat="false" ht="12.75" hidden="false" customHeight="false" outlineLevel="0" collapsed="false">
      <c r="A17" s="128" t="n">
        <f aca="false">TblRezone[[#This Row],[Hour]]</f>
        <v>14</v>
      </c>
      <c r="B17" s="146" t="n">
        <f aca="false">TblConstr[[#This Row],[Land]]</f>
        <v>250</v>
      </c>
      <c r="C17" s="69" t="n">
        <f aca="false">TblProd[[#This Row],[Mana]]</f>
        <v>118</v>
      </c>
      <c r="D17" s="149" t="n">
        <f aca="false">MIN(1,OFFSET(TblMagic[[#This Row],[Wiz str]],-1,0)+0.04+ROUNDDOWN(10*OFFSET(TblMili[[#This Row],[WG''s]],-1,0),0)+ tech_2_7*OFFSET(TblTech[[#This Row],[2-7]],-1,0) + tech_5_6*OFFSET(TblTech[[#This Row],[5-6]],-1,0) )-TblMagic[[#This Row],[Wiz str cost]]</f>
        <v>0.95</v>
      </c>
      <c r="E17" s="153" t="n">
        <f aca="false">OFFSET(TblMagic[[#This Row],[Time]],-1,0)+1/24</f>
        <v>45430.2916666667</v>
      </c>
      <c r="F17" s="149" t="n">
        <f aca="false">TblImps[[#This Row],[Population]]</f>
        <v>0.535678889990089</v>
      </c>
      <c r="G17" s="248"/>
      <c r="H17" s="248"/>
      <c r="I17" s="248"/>
      <c r="J17" s="248"/>
      <c r="K17" s="312" t="n">
        <v>1</v>
      </c>
      <c r="L17" s="248"/>
      <c r="M17" s="248"/>
      <c r="N17" s="248"/>
      <c r="O17" s="248"/>
      <c r="P17" s="248"/>
      <c r="Q17" s="248"/>
      <c r="R17" s="248"/>
      <c r="S17" s="248"/>
      <c r="T17" s="248"/>
      <c r="U17" s="248"/>
      <c r="V17" s="248"/>
      <c r="W17" s="132"/>
      <c r="X1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625</v>
      </c>
      <c r="Y17" s="149" t="n">
        <f aca="false">SUMIF(TblMagic[[#This Row],[Gaia''s Watch]:[Useless spell]],1)*0.05</f>
        <v>0.05</v>
      </c>
      <c r="Z17" s="132"/>
      <c r="AA17" s="26" t="n">
        <f aca="false">IF(TblMagic[[#This Row],[Gaia''s Watch]],12,IF(OFFSET(TblMagic[[#This Row],[Active Gaia''s Watch]],-1,0)&gt;0,OFFSET(TblMagic[[#This Row],[Active Gaia''s Watch]],-1,0)-1,0))</f>
        <v>0</v>
      </c>
      <c r="AB17" s="26" t="n">
        <f aca="false">IF(TblMagic[[#This Row],[Mining Strength]],12,IF(OFFSET(TblMagic[[#This Row],[Active Mining Strength]],-1,0)&gt;0,OFFSET(TblMagic[[#This Row],[Active Mining Strength]],-1,0)-1,0))</f>
        <v>0</v>
      </c>
      <c r="AC17" s="26" t="n">
        <f aca="false">IF(TblMagic[[#This Row],[Ares Call]],12,IF(OFFSET(TblMagic[[#This Row],[Active Ares Call]],-1,0)&gt;0,OFFSET(TblMagic[[#This Row],[Active Ares Call]],-1,0)-1,0))</f>
        <v>0</v>
      </c>
      <c r="AD17" s="26" t="n">
        <f aca="false">IF(TblMagic[[#This Row],[Midas Touch]],12,IF(OFFSET(TblMagic[[#This Row],[Active Midas Touch]],-1,0)&gt;0,OFFSET(TblMagic[[#This Row],[Active Midas Touch]],-1,0)-1,0))</f>
        <v>0</v>
      </c>
      <c r="AE17" s="26" t="n">
        <f aca="false">IF(TblMagic[[#This Row],[Harmony]],12,IF(OFFSET(TblMagic[[#This Row],[Active Harmony]],-1,0)&gt;0,OFFSET(TblMagic[[#This Row],[Active Harmony]],-1,0)-1,0))</f>
        <v>12</v>
      </c>
      <c r="AF17" s="26" t="n">
        <f aca="false">IF(TblMagic[[#This Row],[Miner''s Sight]],12,IF(OFFSET(TblMagic[[#This Row],[Active Miner''s Sight]],-1,0)&gt;0,OFFSET(TblMagic[[#This Row],[Active Miner''s Sight]],-1,0)-1,0))</f>
        <v>0</v>
      </c>
      <c r="AG17" s="26" t="n">
        <f aca="false">IF(TblMagic[[#This Row],[Mechanical Genius]],12,IF(OFFSET(TblMagic[[#This Row],[Active Mechanical Genius]],-1,0)&gt;0,OFFSET(TblMagic[[#This Row],[Active Mechanical Genius]],-1,0)-1,0))</f>
        <v>0</v>
      </c>
      <c r="AH17" s="26" t="n">
        <f aca="false">IF(TblMagic[[#This Row],[Frenzy]],12,IF(OFFSET(TblMagic[[#This Row],[Active Frenzy]],-1,0)&gt;0,OFFSET(TblMagic[[#This Row],[Active Frenzy]],-1,0)-1,0))</f>
        <v>0</v>
      </c>
      <c r="AI17" s="26" t="n">
        <f aca="false">IF(TblMagic[[#This Row],[Killing Rage / Bloodrage / Crusade]],12,IF(OFFSET(TblMagic[[#This Row],[Active Warsong / Killing Rage / Bloodrage]],-1,0)&gt;0,OFFSET(TblMagic[[#This Row],[Active Warsong / Killing Rage / Bloodrage]],-1,0)-1,0))</f>
        <v>0</v>
      </c>
      <c r="AJ17" s="26" t="n">
        <f aca="false">IF(TblMagic[[#This Row],[Gaia''s Blessing]],12,IF(OFFSET(TblMagic[[#This Row],[Active Gaia''s Blessing]],-1,0)&gt;0,OFFSET(TblMagic[[#This Row],[Active Gaia''s Blessing]],-1,0)-1,0))</f>
        <v>0</v>
      </c>
      <c r="AK17" s="26" t="n">
        <f aca="false">IF(TblMagic[[#This Row],[Howling]],12,IF(OFFSET(TblMagic[[#This Row],[Active Howling]],-1,0)&gt;0,OFFSET(TblMagic[[#This Row],[Active Howling]],-1,0)-1,0))</f>
        <v>0</v>
      </c>
      <c r="AL17" s="26" t="n">
        <f aca="false">IF(TblMagic[[#This Row],[Alchemist Frost]],12,IF(OFFSET(TblMagic[[#This Row],[Active Alch Frost]],-1,0)&gt;0,OFFSET(TblMagic[[#This Row],[Active Alch Frost]],-1,0)-1,0))</f>
        <v>0</v>
      </c>
      <c r="AM17" s="26" t="n">
        <f aca="false">IF(TblMagic[[#This Row],[Alchemists Flame]],12,IF(OFFSET(TblMagic[[#This Row],[Active Alchemists Flame]],-1,0)&gt;0,OFFSET(TblMagic[[#This Row],[Active Alchemists Flame]],-1,0)-1,0))</f>
        <v>0</v>
      </c>
      <c r="AN17" s="26" t="n">
        <f aca="false">IF(TblMagic[[#This Row],[Nightfall]],12,IF(OFFSET(TblMagic[[#This Row],[Active Nightfall]],-1,0)&gt;0,OFFSET(TblMagic[[#This Row],[Active Nightfall]],-1,0)-1,0))</f>
        <v>0</v>
      </c>
      <c r="AO17" s="26" t="n">
        <f aca="false">IF(TblMagic[[#This Row],[Favorable Terrain]],12,IF(OFFSET(TblMagic[[#This Row],[Active Favorable Terrain]],-1,0)&gt;0,OFFSET(TblMagic[[#This Row],[Active Favorable Terrain]],-1,0)-1,0))</f>
        <v>0</v>
      </c>
    </row>
    <row r="18" customFormat="false" ht="12.75" hidden="false" customHeight="false" outlineLevel="0" collapsed="false">
      <c r="A18" s="128" t="n">
        <f aca="false">TblRezone[[#This Row],[Hour]]</f>
        <v>15</v>
      </c>
      <c r="B18" s="146" t="n">
        <f aca="false">TblConstr[[#This Row],[Land]]</f>
        <v>250</v>
      </c>
      <c r="C18" s="69" t="n">
        <f aca="false">TblProd[[#This Row],[Mana]]</f>
        <v>491</v>
      </c>
      <c r="D18" s="149" t="n">
        <f aca="false">MIN(1,OFFSET(TblMagic[[#This Row],[Wiz str]],-1,0)+0.04+ROUNDDOWN(10*OFFSET(TblMili[[#This Row],[WG''s]],-1,0),0)+ tech_2_7*OFFSET(TblTech[[#This Row],[2-7]],-1,0) + tech_5_6*OFFSET(TblTech[[#This Row],[5-6]],-1,0) )-TblMagic[[#This Row],[Wiz str cost]]</f>
        <v>0.99</v>
      </c>
      <c r="E18" s="153" t="n">
        <f aca="false">OFFSET(TblMagic[[#This Row],[Time]],-1,0)+1/24</f>
        <v>45430.3333333333</v>
      </c>
      <c r="F18" s="149" t="n">
        <f aca="false">TblImps[[#This Row],[Population]]</f>
        <v>0.5701189296333</v>
      </c>
      <c r="G18" s="248"/>
      <c r="H18" s="248"/>
      <c r="I18" s="248"/>
      <c r="J18" s="248"/>
      <c r="K18" s="312"/>
      <c r="L18" s="248"/>
      <c r="M18" s="248"/>
      <c r="N18" s="248"/>
      <c r="O18" s="248"/>
      <c r="P18" s="248"/>
      <c r="Q18" s="248"/>
      <c r="R18" s="248"/>
      <c r="S18" s="248"/>
      <c r="T18" s="248"/>
      <c r="U18" s="248"/>
      <c r="V18" s="248"/>
      <c r="W18" s="132"/>
      <c r="X1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49" t="n">
        <f aca="false">SUMIF(TblMagic[[#This Row],[Gaia''s Watch]:[Useless spell]],1)*0.05</f>
        <v>0</v>
      </c>
      <c r="Z18" s="132"/>
      <c r="AA18" s="26" t="n">
        <f aca="false">IF(TblMagic[[#This Row],[Gaia''s Watch]],12,IF(OFFSET(TblMagic[[#This Row],[Active Gaia''s Watch]],-1,0)&gt;0,OFFSET(TblMagic[[#This Row],[Active Gaia''s Watch]],-1,0)-1,0))</f>
        <v>0</v>
      </c>
      <c r="AB18" s="26" t="n">
        <f aca="false">IF(TblMagic[[#This Row],[Mining Strength]],12,IF(OFFSET(TblMagic[[#This Row],[Active Mining Strength]],-1,0)&gt;0,OFFSET(TblMagic[[#This Row],[Active Mining Strength]],-1,0)-1,0))</f>
        <v>0</v>
      </c>
      <c r="AC18" s="26" t="n">
        <f aca="false">IF(TblMagic[[#This Row],[Ares Call]],12,IF(OFFSET(TblMagic[[#This Row],[Active Ares Call]],-1,0)&gt;0,OFFSET(TblMagic[[#This Row],[Active Ares Call]],-1,0)-1,0))</f>
        <v>0</v>
      </c>
      <c r="AD18" s="26" t="n">
        <f aca="false">IF(TblMagic[[#This Row],[Midas Touch]],12,IF(OFFSET(TblMagic[[#This Row],[Active Midas Touch]],-1,0)&gt;0,OFFSET(TblMagic[[#This Row],[Active Midas Touch]],-1,0)-1,0))</f>
        <v>0</v>
      </c>
      <c r="AE18" s="26" t="n">
        <f aca="false">IF(TblMagic[[#This Row],[Harmony]],12,IF(OFFSET(TblMagic[[#This Row],[Active Harmony]],-1,0)&gt;0,OFFSET(TblMagic[[#This Row],[Active Harmony]],-1,0)-1,0))</f>
        <v>11</v>
      </c>
      <c r="AF18" s="26" t="n">
        <f aca="false">IF(TblMagic[[#This Row],[Miner''s Sight]],12,IF(OFFSET(TblMagic[[#This Row],[Active Miner''s Sight]],-1,0)&gt;0,OFFSET(TblMagic[[#This Row],[Active Miner''s Sight]],-1,0)-1,0))</f>
        <v>0</v>
      </c>
      <c r="AG18" s="26" t="n">
        <f aca="false">IF(TblMagic[[#This Row],[Mechanical Genius]],12,IF(OFFSET(TblMagic[[#This Row],[Active Mechanical Genius]],-1,0)&gt;0,OFFSET(TblMagic[[#This Row],[Active Mechanical Genius]],-1,0)-1,0))</f>
        <v>0</v>
      </c>
      <c r="AH18" s="26" t="n">
        <f aca="false">IF(TblMagic[[#This Row],[Frenzy]],12,IF(OFFSET(TblMagic[[#This Row],[Active Frenzy]],-1,0)&gt;0,OFFSET(TblMagic[[#This Row],[Active Frenzy]],-1,0)-1,0))</f>
        <v>0</v>
      </c>
      <c r="AI18" s="26" t="n">
        <f aca="false">IF(TblMagic[[#This Row],[Killing Rage / Bloodrage / Crusade]],12,IF(OFFSET(TblMagic[[#This Row],[Active Warsong / Killing Rage / Bloodrage]],-1,0)&gt;0,OFFSET(TblMagic[[#This Row],[Active Warsong / Killing Rage / Bloodrage]],-1,0)-1,0))</f>
        <v>0</v>
      </c>
      <c r="AJ18" s="26" t="n">
        <f aca="false">IF(TblMagic[[#This Row],[Gaia''s Blessing]],12,IF(OFFSET(TblMagic[[#This Row],[Active Gaia''s Blessing]],-1,0)&gt;0,OFFSET(TblMagic[[#This Row],[Active Gaia''s Blessing]],-1,0)-1,0))</f>
        <v>0</v>
      </c>
      <c r="AK18" s="26" t="n">
        <f aca="false">IF(TblMagic[[#This Row],[Howling]],12,IF(OFFSET(TblMagic[[#This Row],[Active Howling]],-1,0)&gt;0,OFFSET(TblMagic[[#This Row],[Active Howling]],-1,0)-1,0))</f>
        <v>0</v>
      </c>
      <c r="AL18" s="26" t="n">
        <f aca="false">IF(TblMagic[[#This Row],[Alchemist Frost]],12,IF(OFFSET(TblMagic[[#This Row],[Active Alch Frost]],-1,0)&gt;0,OFFSET(TblMagic[[#This Row],[Active Alch Frost]],-1,0)-1,0))</f>
        <v>0</v>
      </c>
      <c r="AM18" s="26" t="n">
        <f aca="false">IF(TblMagic[[#This Row],[Alchemists Flame]],12,IF(OFFSET(TblMagic[[#This Row],[Active Alchemists Flame]],-1,0)&gt;0,OFFSET(TblMagic[[#This Row],[Active Alchemists Flame]],-1,0)-1,0))</f>
        <v>0</v>
      </c>
      <c r="AN18" s="26" t="n">
        <f aca="false">IF(TblMagic[[#This Row],[Nightfall]],12,IF(OFFSET(TblMagic[[#This Row],[Active Nightfall]],-1,0)&gt;0,OFFSET(TblMagic[[#This Row],[Active Nightfall]],-1,0)-1,0))</f>
        <v>0</v>
      </c>
      <c r="AO18" s="26" t="n">
        <f aca="false">IF(TblMagic[[#This Row],[Favorable Terrain]],12,IF(OFFSET(TblMagic[[#This Row],[Active Favorable Terrain]],-1,0)&gt;0,OFFSET(TblMagic[[#This Row],[Active Favorable Terrain]],-1,0)-1,0))</f>
        <v>0</v>
      </c>
    </row>
    <row r="19" customFormat="false" ht="12.75" hidden="false" customHeight="false" outlineLevel="0" collapsed="false">
      <c r="A19" s="128" t="n">
        <f aca="false">TblRezone[[#This Row],[Hour]]</f>
        <v>16</v>
      </c>
      <c r="B19" s="146" t="n">
        <f aca="false">TblConstr[[#This Row],[Land]]</f>
        <v>250</v>
      </c>
      <c r="C19" s="69" t="n">
        <f aca="false">TblProd[[#This Row],[Mana]]</f>
        <v>231</v>
      </c>
      <c r="D19" s="149" t="n">
        <f aca="false">MIN(1,OFFSET(TblMagic[[#This Row],[Wiz str]],-1,0)+0.04+ROUNDDOWN(10*OFFSET(TblMili[[#This Row],[WG''s]],-1,0),0)+ tech_2_7*OFFSET(TblTech[[#This Row],[2-7]],-1,0) + tech_5_6*OFFSET(TblTech[[#This Row],[5-6]],-1,0) )-TblMagic[[#This Row],[Wiz str cost]]</f>
        <v>0.95</v>
      </c>
      <c r="E19" s="153" t="n">
        <f aca="false">OFFSET(TblMagic[[#This Row],[Time]],-1,0)+1/24</f>
        <v>45430.375</v>
      </c>
      <c r="F19" s="149" t="n">
        <f aca="false">TblImps[[#This Row],[Population]]</f>
        <v>0.607036669970268</v>
      </c>
      <c r="G19" s="248"/>
      <c r="H19" s="248"/>
      <c r="I19" s="248"/>
      <c r="J19" s="248" t="n">
        <v>1</v>
      </c>
      <c r="K19" s="312"/>
      <c r="L19" s="248"/>
      <c r="M19" s="248"/>
      <c r="N19" s="248"/>
      <c r="O19" s="248"/>
      <c r="P19" s="248"/>
      <c r="Q19" s="248"/>
      <c r="R19" s="248"/>
      <c r="S19" s="248"/>
      <c r="T19" s="248"/>
      <c r="U19" s="248"/>
      <c r="V19" s="248"/>
      <c r="W19" s="132"/>
      <c r="X1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625</v>
      </c>
      <c r="Y19" s="149" t="n">
        <f aca="false">SUMIF(TblMagic[[#This Row],[Gaia''s Watch]:[Useless spell]],1)*0.05</f>
        <v>0.05</v>
      </c>
      <c r="Z19" s="132"/>
      <c r="AA19" s="26" t="n">
        <f aca="false">IF(TblMagic[[#This Row],[Gaia''s Watch]],12,IF(OFFSET(TblMagic[[#This Row],[Active Gaia''s Watch]],-1,0)&gt;0,OFFSET(TblMagic[[#This Row],[Active Gaia''s Watch]],-1,0)-1,0))</f>
        <v>0</v>
      </c>
      <c r="AB19" s="26" t="n">
        <f aca="false">IF(TblMagic[[#This Row],[Mining Strength]],12,IF(OFFSET(TblMagic[[#This Row],[Active Mining Strength]],-1,0)&gt;0,OFFSET(TblMagic[[#This Row],[Active Mining Strength]],-1,0)-1,0))</f>
        <v>0</v>
      </c>
      <c r="AC19" s="26" t="n">
        <f aca="false">IF(TblMagic[[#This Row],[Ares Call]],12,IF(OFFSET(TblMagic[[#This Row],[Active Ares Call]],-1,0)&gt;0,OFFSET(TblMagic[[#This Row],[Active Ares Call]],-1,0)-1,0))</f>
        <v>0</v>
      </c>
      <c r="AD19" s="26" t="n">
        <f aca="false">IF(TblMagic[[#This Row],[Midas Touch]],12,IF(OFFSET(TblMagic[[#This Row],[Active Midas Touch]],-1,0)&gt;0,OFFSET(TblMagic[[#This Row],[Active Midas Touch]],-1,0)-1,0))</f>
        <v>12</v>
      </c>
      <c r="AE19" s="26" t="n">
        <f aca="false">IF(TblMagic[[#This Row],[Harmony]],12,IF(OFFSET(TblMagic[[#This Row],[Active Harmony]],-1,0)&gt;0,OFFSET(TblMagic[[#This Row],[Active Harmony]],-1,0)-1,0))</f>
        <v>10</v>
      </c>
      <c r="AF19" s="26" t="n">
        <f aca="false">IF(TblMagic[[#This Row],[Miner''s Sight]],12,IF(OFFSET(TblMagic[[#This Row],[Active Miner''s Sight]],-1,0)&gt;0,OFFSET(TblMagic[[#This Row],[Active Miner''s Sight]],-1,0)-1,0))</f>
        <v>0</v>
      </c>
      <c r="AG19" s="26" t="n">
        <f aca="false">IF(TblMagic[[#This Row],[Mechanical Genius]],12,IF(OFFSET(TblMagic[[#This Row],[Active Mechanical Genius]],-1,0)&gt;0,OFFSET(TblMagic[[#This Row],[Active Mechanical Genius]],-1,0)-1,0))</f>
        <v>0</v>
      </c>
      <c r="AH19" s="26" t="n">
        <f aca="false">IF(TblMagic[[#This Row],[Frenzy]],12,IF(OFFSET(TblMagic[[#This Row],[Active Frenzy]],-1,0)&gt;0,OFFSET(TblMagic[[#This Row],[Active Frenzy]],-1,0)-1,0))</f>
        <v>0</v>
      </c>
      <c r="AI19" s="26" t="n">
        <f aca="false">IF(TblMagic[[#This Row],[Killing Rage / Bloodrage / Crusade]],12,IF(OFFSET(TblMagic[[#This Row],[Active Warsong / Killing Rage / Bloodrage]],-1,0)&gt;0,OFFSET(TblMagic[[#This Row],[Active Warsong / Killing Rage / Bloodrage]],-1,0)-1,0))</f>
        <v>0</v>
      </c>
      <c r="AJ19" s="26" t="n">
        <f aca="false">IF(TblMagic[[#This Row],[Gaia''s Blessing]],12,IF(OFFSET(TblMagic[[#This Row],[Active Gaia''s Blessing]],-1,0)&gt;0,OFFSET(TblMagic[[#This Row],[Active Gaia''s Blessing]],-1,0)-1,0))</f>
        <v>0</v>
      </c>
      <c r="AK19" s="26" t="n">
        <f aca="false">IF(TblMagic[[#This Row],[Howling]],12,IF(OFFSET(TblMagic[[#This Row],[Active Howling]],-1,0)&gt;0,OFFSET(TblMagic[[#This Row],[Active Howling]],-1,0)-1,0))</f>
        <v>0</v>
      </c>
      <c r="AL19" s="26" t="n">
        <f aca="false">IF(TblMagic[[#This Row],[Alchemist Frost]],12,IF(OFFSET(TblMagic[[#This Row],[Active Alch Frost]],-1,0)&gt;0,OFFSET(TblMagic[[#This Row],[Active Alch Frost]],-1,0)-1,0))</f>
        <v>0</v>
      </c>
      <c r="AM19" s="26" t="n">
        <f aca="false">IF(TblMagic[[#This Row],[Alchemists Flame]],12,IF(OFFSET(TblMagic[[#This Row],[Active Alchemists Flame]],-1,0)&gt;0,OFFSET(TblMagic[[#This Row],[Active Alchemists Flame]],-1,0)-1,0))</f>
        <v>0</v>
      </c>
      <c r="AN19" s="26" t="n">
        <f aca="false">IF(TblMagic[[#This Row],[Nightfall]],12,IF(OFFSET(TblMagic[[#This Row],[Active Nightfall]],-1,0)&gt;0,OFFSET(TblMagic[[#This Row],[Active Nightfall]],-1,0)-1,0))</f>
        <v>0</v>
      </c>
      <c r="AO19" s="26" t="n">
        <f aca="false">IF(TblMagic[[#This Row],[Favorable Terrain]],12,IF(OFFSET(TblMagic[[#This Row],[Active Favorable Terrain]],-1,0)&gt;0,OFFSET(TblMagic[[#This Row],[Active Favorable Terrain]],-1,0)-1,0))</f>
        <v>0</v>
      </c>
    </row>
    <row r="20" customFormat="false" ht="12.75" hidden="false" customHeight="false" outlineLevel="0" collapsed="false">
      <c r="A20" s="128" t="n">
        <f aca="false">TblRezone[[#This Row],[Hour]]</f>
        <v>17</v>
      </c>
      <c r="B20" s="146" t="n">
        <f aca="false">TblConstr[[#This Row],[Land]]</f>
        <v>250</v>
      </c>
      <c r="C20" s="69" t="n">
        <f aca="false">TblProd[[#This Row],[Mana]]</f>
        <v>601</v>
      </c>
      <c r="D20" s="149" t="n">
        <f aca="false">MIN(1,OFFSET(TblMagic[[#This Row],[Wiz str]],-1,0)+0.04+ROUNDDOWN(10*OFFSET(TblMili[[#This Row],[WG''s]],-1,0),0)+ tech_2_7*OFFSET(TblTech[[#This Row],[2-7]],-1,0) + tech_5_6*OFFSET(TblTech[[#This Row],[5-6]],-1,0) )-TblMagic[[#This Row],[Wiz str cost]]</f>
        <v>0.99</v>
      </c>
      <c r="E20" s="153" t="n">
        <f aca="false">OFFSET(TblMagic[[#This Row],[Time]],-1,0)+1/24</f>
        <v>45430.4166666667</v>
      </c>
      <c r="F20" s="149" t="n">
        <f aca="false">TblImps[[#This Row],[Population]]</f>
        <v>0.646432111000991</v>
      </c>
      <c r="G20" s="248"/>
      <c r="H20" s="248"/>
      <c r="I20" s="248"/>
      <c r="J20" s="248"/>
      <c r="K20" s="312"/>
      <c r="L20" s="248"/>
      <c r="M20" s="248"/>
      <c r="N20" s="248"/>
      <c r="O20" s="248"/>
      <c r="P20" s="248"/>
      <c r="Q20" s="248"/>
      <c r="R20" s="248"/>
      <c r="S20" s="248"/>
      <c r="T20" s="248"/>
      <c r="U20" s="248"/>
      <c r="V20" s="248"/>
      <c r="W20" s="132"/>
      <c r="X2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49" t="n">
        <f aca="false">SUMIF(TblMagic[[#This Row],[Gaia''s Watch]:[Useless spell]],1)*0.05</f>
        <v>0</v>
      </c>
      <c r="Z20" s="132"/>
      <c r="AA20" s="26" t="n">
        <f aca="false">IF(TblMagic[[#This Row],[Gaia''s Watch]],12,IF(OFFSET(TblMagic[[#This Row],[Active Gaia''s Watch]],-1,0)&gt;0,OFFSET(TblMagic[[#This Row],[Active Gaia''s Watch]],-1,0)-1,0))</f>
        <v>0</v>
      </c>
      <c r="AB20" s="26" t="n">
        <f aca="false">IF(TblMagic[[#This Row],[Mining Strength]],12,IF(OFFSET(TblMagic[[#This Row],[Active Mining Strength]],-1,0)&gt;0,OFFSET(TblMagic[[#This Row],[Active Mining Strength]],-1,0)-1,0))</f>
        <v>0</v>
      </c>
      <c r="AC20" s="26" t="n">
        <f aca="false">IF(TblMagic[[#This Row],[Ares Call]],12,IF(OFFSET(TblMagic[[#This Row],[Active Ares Call]],-1,0)&gt;0,OFFSET(TblMagic[[#This Row],[Active Ares Call]],-1,0)-1,0))</f>
        <v>0</v>
      </c>
      <c r="AD20" s="26" t="n">
        <f aca="false">IF(TblMagic[[#This Row],[Midas Touch]],12,IF(OFFSET(TblMagic[[#This Row],[Active Midas Touch]],-1,0)&gt;0,OFFSET(TblMagic[[#This Row],[Active Midas Touch]],-1,0)-1,0))</f>
        <v>11</v>
      </c>
      <c r="AE20" s="26" t="n">
        <f aca="false">IF(TblMagic[[#This Row],[Harmony]],12,IF(OFFSET(TblMagic[[#This Row],[Active Harmony]],-1,0)&gt;0,OFFSET(TblMagic[[#This Row],[Active Harmony]],-1,0)-1,0))</f>
        <v>9</v>
      </c>
      <c r="AF20" s="26" t="n">
        <f aca="false">IF(TblMagic[[#This Row],[Miner''s Sight]],12,IF(OFFSET(TblMagic[[#This Row],[Active Miner''s Sight]],-1,0)&gt;0,OFFSET(TblMagic[[#This Row],[Active Miner''s Sight]],-1,0)-1,0))</f>
        <v>0</v>
      </c>
      <c r="AG20" s="26" t="n">
        <f aca="false">IF(TblMagic[[#This Row],[Mechanical Genius]],12,IF(OFFSET(TblMagic[[#This Row],[Active Mechanical Genius]],-1,0)&gt;0,OFFSET(TblMagic[[#This Row],[Active Mechanical Genius]],-1,0)-1,0))</f>
        <v>0</v>
      </c>
      <c r="AH20" s="26" t="n">
        <f aca="false">IF(TblMagic[[#This Row],[Frenzy]],12,IF(OFFSET(TblMagic[[#This Row],[Active Frenzy]],-1,0)&gt;0,OFFSET(TblMagic[[#This Row],[Active Frenzy]],-1,0)-1,0))</f>
        <v>0</v>
      </c>
      <c r="AI20" s="26" t="n">
        <f aca="false">IF(TblMagic[[#This Row],[Killing Rage / Bloodrage / Crusade]],12,IF(OFFSET(TblMagic[[#This Row],[Active Warsong / Killing Rage / Bloodrage]],-1,0)&gt;0,OFFSET(TblMagic[[#This Row],[Active Warsong / Killing Rage / Bloodrage]],-1,0)-1,0))</f>
        <v>0</v>
      </c>
      <c r="AJ20" s="26" t="n">
        <f aca="false">IF(TblMagic[[#This Row],[Gaia''s Blessing]],12,IF(OFFSET(TblMagic[[#This Row],[Active Gaia''s Blessing]],-1,0)&gt;0,OFFSET(TblMagic[[#This Row],[Active Gaia''s Blessing]],-1,0)-1,0))</f>
        <v>0</v>
      </c>
      <c r="AK20" s="26" t="n">
        <f aca="false">IF(TblMagic[[#This Row],[Howling]],12,IF(OFFSET(TblMagic[[#This Row],[Active Howling]],-1,0)&gt;0,OFFSET(TblMagic[[#This Row],[Active Howling]],-1,0)-1,0))</f>
        <v>0</v>
      </c>
      <c r="AL20" s="26" t="n">
        <f aca="false">IF(TblMagic[[#This Row],[Alchemist Frost]],12,IF(OFFSET(TblMagic[[#This Row],[Active Alch Frost]],-1,0)&gt;0,OFFSET(TblMagic[[#This Row],[Active Alch Frost]],-1,0)-1,0))</f>
        <v>0</v>
      </c>
      <c r="AM20" s="26" t="n">
        <f aca="false">IF(TblMagic[[#This Row],[Alchemists Flame]],12,IF(OFFSET(TblMagic[[#This Row],[Active Alchemists Flame]],-1,0)&gt;0,OFFSET(TblMagic[[#This Row],[Active Alchemists Flame]],-1,0)-1,0))</f>
        <v>0</v>
      </c>
      <c r="AN20" s="26" t="n">
        <f aca="false">IF(TblMagic[[#This Row],[Nightfall]],12,IF(OFFSET(TblMagic[[#This Row],[Active Nightfall]],-1,0)&gt;0,OFFSET(TblMagic[[#This Row],[Active Nightfall]],-1,0)-1,0))</f>
        <v>0</v>
      </c>
      <c r="AO20" s="26" t="n">
        <f aca="false">IF(TblMagic[[#This Row],[Favorable Terrain]],12,IF(OFFSET(TblMagic[[#This Row],[Active Favorable Terrain]],-1,0)&gt;0,OFFSET(TblMagic[[#This Row],[Active Favorable Terrain]],-1,0)-1,0))</f>
        <v>0</v>
      </c>
    </row>
    <row r="21" customFormat="false" ht="12.75" hidden="false" customHeight="false" outlineLevel="0" collapsed="false">
      <c r="A21" s="128" t="n">
        <f aca="false">TblRezone[[#This Row],[Hour]]</f>
        <v>18</v>
      </c>
      <c r="B21" s="146" t="n">
        <f aca="false">TblConstr[[#This Row],[Land]]</f>
        <v>274</v>
      </c>
      <c r="C21" s="69" t="n">
        <f aca="false">TblProd[[#This Row],[Mana]]</f>
        <v>964</v>
      </c>
      <c r="D21" s="149" t="n">
        <f aca="false">MIN(1,OFFSET(TblMagic[[#This Row],[Wiz str]],-1,0)+0.04+ROUNDDOWN(10*OFFSET(TblMili[[#This Row],[WG''s]],-1,0),0)+ tech_2_7*OFFSET(TblTech[[#This Row],[2-7]],-1,0) + tech_5_6*OFFSET(TblTech[[#This Row],[5-6]],-1,0) )-TblMagic[[#This Row],[Wiz str cost]]</f>
        <v>1</v>
      </c>
      <c r="E21" s="153" t="n">
        <f aca="false">OFFSET(TblMagic[[#This Row],[Time]],-1,0)+1/24</f>
        <v>45430.4583333333</v>
      </c>
      <c r="F21" s="149" t="n">
        <f aca="false">TblImps[[#This Row],[Population]]</f>
        <v>0.598559423769508</v>
      </c>
      <c r="G21" s="248"/>
      <c r="H21" s="248"/>
      <c r="I21" s="248"/>
      <c r="J21" s="248"/>
      <c r="K21" s="312"/>
      <c r="L21" s="248"/>
      <c r="M21" s="248"/>
      <c r="N21" s="248"/>
      <c r="O21" s="248"/>
      <c r="P21" s="248"/>
      <c r="Q21" s="248"/>
      <c r="R21" s="248"/>
      <c r="S21" s="248"/>
      <c r="T21" s="248"/>
      <c r="U21" s="248"/>
      <c r="V21" s="248"/>
      <c r="W21" s="132"/>
      <c r="X2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49" t="n">
        <f aca="false">SUMIF(TblMagic[[#This Row],[Gaia''s Watch]:[Useless spell]],1)*0.05</f>
        <v>0</v>
      </c>
      <c r="Z21" s="132"/>
      <c r="AA21" s="26" t="n">
        <f aca="false">IF(TblMagic[[#This Row],[Gaia''s Watch]],12,IF(OFFSET(TblMagic[[#This Row],[Active Gaia''s Watch]],-1,0)&gt;0,OFFSET(TblMagic[[#This Row],[Active Gaia''s Watch]],-1,0)-1,0))</f>
        <v>0</v>
      </c>
      <c r="AB21" s="26" t="n">
        <f aca="false">IF(TblMagic[[#This Row],[Mining Strength]],12,IF(OFFSET(TblMagic[[#This Row],[Active Mining Strength]],-1,0)&gt;0,OFFSET(TblMagic[[#This Row],[Active Mining Strength]],-1,0)-1,0))</f>
        <v>0</v>
      </c>
      <c r="AC21" s="26" t="n">
        <f aca="false">IF(TblMagic[[#This Row],[Ares Call]],12,IF(OFFSET(TblMagic[[#This Row],[Active Ares Call]],-1,0)&gt;0,OFFSET(TblMagic[[#This Row],[Active Ares Call]],-1,0)-1,0))</f>
        <v>0</v>
      </c>
      <c r="AD21" s="26" t="n">
        <f aca="false">IF(TblMagic[[#This Row],[Midas Touch]],12,IF(OFFSET(TblMagic[[#This Row],[Active Midas Touch]],-1,0)&gt;0,OFFSET(TblMagic[[#This Row],[Active Midas Touch]],-1,0)-1,0))</f>
        <v>10</v>
      </c>
      <c r="AE21" s="26" t="n">
        <f aca="false">IF(TblMagic[[#This Row],[Harmony]],12,IF(OFFSET(TblMagic[[#This Row],[Active Harmony]],-1,0)&gt;0,OFFSET(TblMagic[[#This Row],[Active Harmony]],-1,0)-1,0))</f>
        <v>8</v>
      </c>
      <c r="AF21" s="26" t="n">
        <f aca="false">IF(TblMagic[[#This Row],[Miner''s Sight]],12,IF(OFFSET(TblMagic[[#This Row],[Active Miner''s Sight]],-1,0)&gt;0,OFFSET(TblMagic[[#This Row],[Active Miner''s Sight]],-1,0)-1,0))</f>
        <v>0</v>
      </c>
      <c r="AG21" s="26" t="n">
        <f aca="false">IF(TblMagic[[#This Row],[Mechanical Genius]],12,IF(OFFSET(TblMagic[[#This Row],[Active Mechanical Genius]],-1,0)&gt;0,OFFSET(TblMagic[[#This Row],[Active Mechanical Genius]],-1,0)-1,0))</f>
        <v>0</v>
      </c>
      <c r="AH21" s="26" t="n">
        <f aca="false">IF(TblMagic[[#This Row],[Frenzy]],12,IF(OFFSET(TblMagic[[#This Row],[Active Frenzy]],-1,0)&gt;0,OFFSET(TblMagic[[#This Row],[Active Frenzy]],-1,0)-1,0))</f>
        <v>0</v>
      </c>
      <c r="AI21" s="26" t="n">
        <f aca="false">IF(TblMagic[[#This Row],[Killing Rage / Bloodrage / Crusade]],12,IF(OFFSET(TblMagic[[#This Row],[Active Warsong / Killing Rage / Bloodrage]],-1,0)&gt;0,OFFSET(TblMagic[[#This Row],[Active Warsong / Killing Rage / Bloodrage]],-1,0)-1,0))</f>
        <v>0</v>
      </c>
      <c r="AJ21" s="26" t="n">
        <f aca="false">IF(TblMagic[[#This Row],[Gaia''s Blessing]],12,IF(OFFSET(TblMagic[[#This Row],[Active Gaia''s Blessing]],-1,0)&gt;0,OFFSET(TblMagic[[#This Row],[Active Gaia''s Blessing]],-1,0)-1,0))</f>
        <v>0</v>
      </c>
      <c r="AK21" s="26" t="n">
        <f aca="false">IF(TblMagic[[#This Row],[Howling]],12,IF(OFFSET(TblMagic[[#This Row],[Active Howling]],-1,0)&gt;0,OFFSET(TblMagic[[#This Row],[Active Howling]],-1,0)-1,0))</f>
        <v>0</v>
      </c>
      <c r="AL21" s="26" t="n">
        <f aca="false">IF(TblMagic[[#This Row],[Alchemist Frost]],12,IF(OFFSET(TblMagic[[#This Row],[Active Alch Frost]],-1,0)&gt;0,OFFSET(TblMagic[[#This Row],[Active Alch Frost]],-1,0)-1,0))</f>
        <v>0</v>
      </c>
      <c r="AM21" s="26" t="n">
        <f aca="false">IF(TblMagic[[#This Row],[Alchemists Flame]],12,IF(OFFSET(TblMagic[[#This Row],[Active Alchemists Flame]],-1,0)&gt;0,OFFSET(TblMagic[[#This Row],[Active Alchemists Flame]],-1,0)-1,0))</f>
        <v>0</v>
      </c>
      <c r="AN21" s="26" t="n">
        <f aca="false">IF(TblMagic[[#This Row],[Nightfall]],12,IF(OFFSET(TblMagic[[#This Row],[Active Nightfall]],-1,0)&gt;0,OFFSET(TblMagic[[#This Row],[Active Nightfall]],-1,0)-1,0))</f>
        <v>0</v>
      </c>
      <c r="AO21" s="26" t="n">
        <f aca="false">IF(TblMagic[[#This Row],[Favorable Terrain]],12,IF(OFFSET(TblMagic[[#This Row],[Active Favorable Terrain]],-1,0)&gt;0,OFFSET(TblMagic[[#This Row],[Active Favorable Terrain]],-1,0)-1,0))</f>
        <v>0</v>
      </c>
    </row>
    <row r="22" customFormat="false" ht="12.75" hidden="false" customHeight="false" outlineLevel="0" collapsed="false">
      <c r="A22" s="128" t="n">
        <f aca="false">TblRezone[[#This Row],[Hour]]</f>
        <v>19</v>
      </c>
      <c r="B22" s="146" t="n">
        <f aca="false">TblConstr[[#This Row],[Land]]</f>
        <v>275</v>
      </c>
      <c r="C22" s="69" t="n">
        <f aca="false">TblProd[[#This Row],[Mana]]</f>
        <v>1320</v>
      </c>
      <c r="D22" s="149" t="n">
        <f aca="false">MIN(1,OFFSET(TblMagic[[#This Row],[Wiz str]],-1,0)+0.04+ROUNDDOWN(10*OFFSET(TblMili[[#This Row],[WG''s]],-1,0),0)+ tech_2_7*OFFSET(TblTech[[#This Row],[2-7]],-1,0) + tech_5_6*OFFSET(TblTech[[#This Row],[5-6]],-1,0) )-TblMagic[[#This Row],[Wiz str cost]]</f>
        <v>1</v>
      </c>
      <c r="E22" s="153" t="n">
        <f aca="false">OFFSET(TblMagic[[#This Row],[Time]],-1,0)+1/24</f>
        <v>45430.5</v>
      </c>
      <c r="F22" s="149" t="n">
        <f aca="false">TblImps[[#This Row],[Population]]</f>
        <v>0.592233009708738</v>
      </c>
      <c r="G22" s="248"/>
      <c r="H22" s="248"/>
      <c r="I22" s="248"/>
      <c r="J22" s="248"/>
      <c r="K22" s="312"/>
      <c r="L22" s="248"/>
      <c r="M22" s="248"/>
      <c r="N22" s="248"/>
      <c r="O22" s="248"/>
      <c r="P22" s="248"/>
      <c r="Q22" s="248"/>
      <c r="R22" s="248"/>
      <c r="S22" s="248"/>
      <c r="T22" s="248"/>
      <c r="U22" s="248"/>
      <c r="V22" s="248"/>
      <c r="W22" s="132"/>
      <c r="X2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49" t="n">
        <f aca="false">SUMIF(TblMagic[[#This Row],[Gaia''s Watch]:[Useless spell]],1)*0.05</f>
        <v>0</v>
      </c>
      <c r="Z22" s="132"/>
      <c r="AA22" s="26" t="n">
        <f aca="false">IF(TblMagic[[#This Row],[Gaia''s Watch]],12,IF(OFFSET(TblMagic[[#This Row],[Active Gaia''s Watch]],-1,0)&gt;0,OFFSET(TblMagic[[#This Row],[Active Gaia''s Watch]],-1,0)-1,0))</f>
        <v>0</v>
      </c>
      <c r="AB22" s="26" t="n">
        <f aca="false">IF(TblMagic[[#This Row],[Mining Strength]],12,IF(OFFSET(TblMagic[[#This Row],[Active Mining Strength]],-1,0)&gt;0,OFFSET(TblMagic[[#This Row],[Active Mining Strength]],-1,0)-1,0))</f>
        <v>0</v>
      </c>
      <c r="AC22" s="26" t="n">
        <f aca="false">IF(TblMagic[[#This Row],[Ares Call]],12,IF(OFFSET(TblMagic[[#This Row],[Active Ares Call]],-1,0)&gt;0,OFFSET(TblMagic[[#This Row],[Active Ares Call]],-1,0)-1,0))</f>
        <v>0</v>
      </c>
      <c r="AD22" s="26" t="n">
        <f aca="false">IF(TblMagic[[#This Row],[Midas Touch]],12,IF(OFFSET(TblMagic[[#This Row],[Active Midas Touch]],-1,0)&gt;0,OFFSET(TblMagic[[#This Row],[Active Midas Touch]],-1,0)-1,0))</f>
        <v>9</v>
      </c>
      <c r="AE22" s="26" t="n">
        <f aca="false">IF(TblMagic[[#This Row],[Harmony]],12,IF(OFFSET(TblMagic[[#This Row],[Active Harmony]],-1,0)&gt;0,OFFSET(TblMagic[[#This Row],[Active Harmony]],-1,0)-1,0))</f>
        <v>7</v>
      </c>
      <c r="AF22" s="26" t="n">
        <f aca="false">IF(TblMagic[[#This Row],[Miner''s Sight]],12,IF(OFFSET(TblMagic[[#This Row],[Active Miner''s Sight]],-1,0)&gt;0,OFFSET(TblMagic[[#This Row],[Active Miner''s Sight]],-1,0)-1,0))</f>
        <v>0</v>
      </c>
      <c r="AG22" s="26" t="n">
        <f aca="false">IF(TblMagic[[#This Row],[Mechanical Genius]],12,IF(OFFSET(TblMagic[[#This Row],[Active Mechanical Genius]],-1,0)&gt;0,OFFSET(TblMagic[[#This Row],[Active Mechanical Genius]],-1,0)-1,0))</f>
        <v>0</v>
      </c>
      <c r="AH22" s="26" t="n">
        <f aca="false">IF(TblMagic[[#This Row],[Frenzy]],12,IF(OFFSET(TblMagic[[#This Row],[Active Frenzy]],-1,0)&gt;0,OFFSET(TblMagic[[#This Row],[Active Frenzy]],-1,0)-1,0))</f>
        <v>0</v>
      </c>
      <c r="AI22" s="26" t="n">
        <f aca="false">IF(TblMagic[[#This Row],[Killing Rage / Bloodrage / Crusade]],12,IF(OFFSET(TblMagic[[#This Row],[Active Warsong / Killing Rage / Bloodrage]],-1,0)&gt;0,OFFSET(TblMagic[[#This Row],[Active Warsong / Killing Rage / Bloodrage]],-1,0)-1,0))</f>
        <v>0</v>
      </c>
      <c r="AJ22" s="26" t="n">
        <f aca="false">IF(TblMagic[[#This Row],[Gaia''s Blessing]],12,IF(OFFSET(TblMagic[[#This Row],[Active Gaia''s Blessing]],-1,0)&gt;0,OFFSET(TblMagic[[#This Row],[Active Gaia''s Blessing]],-1,0)-1,0))</f>
        <v>0</v>
      </c>
      <c r="AK22" s="26" t="n">
        <f aca="false">IF(TblMagic[[#This Row],[Howling]],12,IF(OFFSET(TblMagic[[#This Row],[Active Howling]],-1,0)&gt;0,OFFSET(TblMagic[[#This Row],[Active Howling]],-1,0)-1,0))</f>
        <v>0</v>
      </c>
      <c r="AL22" s="26" t="n">
        <f aca="false">IF(TblMagic[[#This Row],[Alchemist Frost]],12,IF(OFFSET(TblMagic[[#This Row],[Active Alch Frost]],-1,0)&gt;0,OFFSET(TblMagic[[#This Row],[Active Alch Frost]],-1,0)-1,0))</f>
        <v>0</v>
      </c>
      <c r="AM22" s="26" t="n">
        <f aca="false">IF(TblMagic[[#This Row],[Alchemists Flame]],12,IF(OFFSET(TblMagic[[#This Row],[Active Alchemists Flame]],-1,0)&gt;0,OFFSET(TblMagic[[#This Row],[Active Alchemists Flame]],-1,0)-1,0))</f>
        <v>0</v>
      </c>
      <c r="AN22" s="26" t="n">
        <f aca="false">IF(TblMagic[[#This Row],[Nightfall]],12,IF(OFFSET(TblMagic[[#This Row],[Active Nightfall]],-1,0)&gt;0,OFFSET(TblMagic[[#This Row],[Active Nightfall]],-1,0)-1,0))</f>
        <v>0</v>
      </c>
      <c r="AO22" s="26" t="n">
        <f aca="false">IF(TblMagic[[#This Row],[Favorable Terrain]],12,IF(OFFSET(TblMagic[[#This Row],[Active Favorable Terrain]],-1,0)&gt;0,OFFSET(TblMagic[[#This Row],[Active Favorable Terrain]],-1,0)-1,0))</f>
        <v>0</v>
      </c>
    </row>
    <row r="23" customFormat="false" ht="12.75" hidden="false" customHeight="false" outlineLevel="0" collapsed="false">
      <c r="A23" s="128" t="n">
        <f aca="false">TblRezone[[#This Row],[Hour]]</f>
        <v>20</v>
      </c>
      <c r="B23" s="146" t="n">
        <f aca="false">TblConstr[[#This Row],[Land]]</f>
        <v>276</v>
      </c>
      <c r="C23" s="69" t="n">
        <f aca="false">TblProd[[#This Row],[Mana]]</f>
        <v>1669</v>
      </c>
      <c r="D23" s="149" t="n">
        <f aca="false">MIN(1,OFFSET(TblMagic[[#This Row],[Wiz str]],-1,0)+0.04+ROUNDDOWN(10*OFFSET(TblMili[[#This Row],[WG''s]],-1,0),0)+ tech_2_7*OFFSET(TblTech[[#This Row],[2-7]],-1,0) + tech_5_6*OFFSET(TblTech[[#This Row],[5-6]],-1,0) )-TblMagic[[#This Row],[Wiz str cost]]</f>
        <v>1</v>
      </c>
      <c r="E23" s="153" t="n">
        <f aca="false">OFFSET(TblMagic[[#This Row],[Time]],-1,0)+1/24</f>
        <v>45430.5416666667</v>
      </c>
      <c r="F23" s="149" t="n">
        <f aca="false">TblImps[[#This Row],[Population]]</f>
        <v>0.620922384701912</v>
      </c>
      <c r="G23" s="248"/>
      <c r="H23" s="248"/>
      <c r="I23" s="248"/>
      <c r="J23" s="248"/>
      <c r="K23" s="312"/>
      <c r="L23" s="248"/>
      <c r="M23" s="248"/>
      <c r="N23" s="248"/>
      <c r="O23" s="248"/>
      <c r="P23" s="248"/>
      <c r="Q23" s="248"/>
      <c r="R23" s="248"/>
      <c r="S23" s="248"/>
      <c r="T23" s="248"/>
      <c r="U23" s="248"/>
      <c r="V23" s="248"/>
      <c r="W23" s="132"/>
      <c r="X2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49" t="n">
        <f aca="false">SUMIF(TblMagic[[#This Row],[Gaia''s Watch]:[Useless spell]],1)*0.05</f>
        <v>0</v>
      </c>
      <c r="Z23" s="132"/>
      <c r="AA23" s="26" t="n">
        <f aca="false">IF(TblMagic[[#This Row],[Gaia''s Watch]],12,IF(OFFSET(TblMagic[[#This Row],[Active Gaia''s Watch]],-1,0)&gt;0,OFFSET(TblMagic[[#This Row],[Active Gaia''s Watch]],-1,0)-1,0))</f>
        <v>0</v>
      </c>
      <c r="AB23" s="26" t="n">
        <f aca="false">IF(TblMagic[[#This Row],[Mining Strength]],12,IF(OFFSET(TblMagic[[#This Row],[Active Mining Strength]],-1,0)&gt;0,OFFSET(TblMagic[[#This Row],[Active Mining Strength]],-1,0)-1,0))</f>
        <v>0</v>
      </c>
      <c r="AC23" s="26" t="n">
        <f aca="false">IF(TblMagic[[#This Row],[Ares Call]],12,IF(OFFSET(TblMagic[[#This Row],[Active Ares Call]],-1,0)&gt;0,OFFSET(TblMagic[[#This Row],[Active Ares Call]],-1,0)-1,0))</f>
        <v>0</v>
      </c>
      <c r="AD23" s="26" t="n">
        <f aca="false">IF(TblMagic[[#This Row],[Midas Touch]],12,IF(OFFSET(TblMagic[[#This Row],[Active Midas Touch]],-1,0)&gt;0,OFFSET(TblMagic[[#This Row],[Active Midas Touch]],-1,0)-1,0))</f>
        <v>8</v>
      </c>
      <c r="AE23" s="26" t="n">
        <f aca="false">IF(TblMagic[[#This Row],[Harmony]],12,IF(OFFSET(TblMagic[[#This Row],[Active Harmony]],-1,0)&gt;0,OFFSET(TblMagic[[#This Row],[Active Harmony]],-1,0)-1,0))</f>
        <v>6</v>
      </c>
      <c r="AF23" s="26" t="n">
        <f aca="false">IF(TblMagic[[#This Row],[Miner''s Sight]],12,IF(OFFSET(TblMagic[[#This Row],[Active Miner''s Sight]],-1,0)&gt;0,OFFSET(TblMagic[[#This Row],[Active Miner''s Sight]],-1,0)-1,0))</f>
        <v>0</v>
      </c>
      <c r="AG23" s="26" t="n">
        <f aca="false">IF(TblMagic[[#This Row],[Mechanical Genius]],12,IF(OFFSET(TblMagic[[#This Row],[Active Mechanical Genius]],-1,0)&gt;0,OFFSET(TblMagic[[#This Row],[Active Mechanical Genius]],-1,0)-1,0))</f>
        <v>0</v>
      </c>
      <c r="AH23" s="26" t="n">
        <f aca="false">IF(TblMagic[[#This Row],[Frenzy]],12,IF(OFFSET(TblMagic[[#This Row],[Active Frenzy]],-1,0)&gt;0,OFFSET(TblMagic[[#This Row],[Active Frenzy]],-1,0)-1,0))</f>
        <v>0</v>
      </c>
      <c r="AI23" s="26" t="n">
        <f aca="false">IF(TblMagic[[#This Row],[Killing Rage / Bloodrage / Crusade]],12,IF(OFFSET(TblMagic[[#This Row],[Active Warsong / Killing Rage / Bloodrage]],-1,0)&gt;0,OFFSET(TblMagic[[#This Row],[Active Warsong / Killing Rage / Bloodrage]],-1,0)-1,0))</f>
        <v>0</v>
      </c>
      <c r="AJ23" s="26" t="n">
        <f aca="false">IF(TblMagic[[#This Row],[Gaia''s Blessing]],12,IF(OFFSET(TblMagic[[#This Row],[Active Gaia''s Blessing]],-1,0)&gt;0,OFFSET(TblMagic[[#This Row],[Active Gaia''s Blessing]],-1,0)-1,0))</f>
        <v>0</v>
      </c>
      <c r="AK23" s="26" t="n">
        <f aca="false">IF(TblMagic[[#This Row],[Howling]],12,IF(OFFSET(TblMagic[[#This Row],[Active Howling]],-1,0)&gt;0,OFFSET(TblMagic[[#This Row],[Active Howling]],-1,0)-1,0))</f>
        <v>0</v>
      </c>
      <c r="AL23" s="26" t="n">
        <f aca="false">IF(TblMagic[[#This Row],[Alchemist Frost]],12,IF(OFFSET(TblMagic[[#This Row],[Active Alch Frost]],-1,0)&gt;0,OFFSET(TblMagic[[#This Row],[Active Alch Frost]],-1,0)-1,0))</f>
        <v>0</v>
      </c>
      <c r="AM23" s="26" t="n">
        <f aca="false">IF(TblMagic[[#This Row],[Alchemists Flame]],12,IF(OFFSET(TblMagic[[#This Row],[Active Alchemists Flame]],-1,0)&gt;0,OFFSET(TblMagic[[#This Row],[Active Alchemists Flame]],-1,0)-1,0))</f>
        <v>0</v>
      </c>
      <c r="AN23" s="26" t="n">
        <f aca="false">IF(TblMagic[[#This Row],[Nightfall]],12,IF(OFFSET(TblMagic[[#This Row],[Active Nightfall]],-1,0)&gt;0,OFFSET(TblMagic[[#This Row],[Active Nightfall]],-1,0)-1,0))</f>
        <v>0</v>
      </c>
      <c r="AO23" s="26" t="n">
        <f aca="false">IF(TblMagic[[#This Row],[Favorable Terrain]],12,IF(OFFSET(TblMagic[[#This Row],[Active Favorable Terrain]],-1,0)&gt;0,OFFSET(TblMagic[[#This Row],[Active Favorable Terrain]],-1,0)-1,0))</f>
        <v>0</v>
      </c>
    </row>
    <row r="24" customFormat="false" ht="12.75" hidden="false" customHeight="false" outlineLevel="0" collapsed="false">
      <c r="A24" s="128" t="n">
        <f aca="false">TblRezone[[#This Row],[Hour]]</f>
        <v>21</v>
      </c>
      <c r="B24" s="146" t="n">
        <f aca="false">TblConstr[[#This Row],[Land]]</f>
        <v>277</v>
      </c>
      <c r="C24" s="69" t="n">
        <f aca="false">TblProd[[#This Row],[Mana]]</f>
        <v>2011</v>
      </c>
      <c r="D24" s="149" t="n">
        <f aca="false">MIN(1,OFFSET(TblMagic[[#This Row],[Wiz str]],-1,0)+0.04+ROUNDDOWN(10*OFFSET(TblMili[[#This Row],[WG''s]],-1,0),0)+ tech_2_7*OFFSET(TblTech[[#This Row],[2-7]],-1,0) + tech_5_6*OFFSET(TblTech[[#This Row],[5-6]],-1,0) )-TblMagic[[#This Row],[Wiz str cost]]</f>
        <v>1</v>
      </c>
      <c r="E24" s="153" t="n">
        <f aca="false">OFFSET(TblMagic[[#This Row],[Time]],-1,0)+1/24</f>
        <v>45430.5833333333</v>
      </c>
      <c r="F24" s="149" t="n">
        <f aca="false">TblImps[[#This Row],[Population]]</f>
        <v>0.652095942613764</v>
      </c>
      <c r="G24" s="248"/>
      <c r="H24" s="248"/>
      <c r="I24" s="248"/>
      <c r="J24" s="248"/>
      <c r="K24" s="312"/>
      <c r="L24" s="248"/>
      <c r="M24" s="248"/>
      <c r="N24" s="248"/>
      <c r="O24" s="248"/>
      <c r="P24" s="248"/>
      <c r="Q24" s="248"/>
      <c r="R24" s="248"/>
      <c r="S24" s="248"/>
      <c r="T24" s="248"/>
      <c r="U24" s="248"/>
      <c r="V24" s="248"/>
      <c r="W24" s="132"/>
      <c r="X2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49" t="n">
        <f aca="false">SUMIF(TblMagic[[#This Row],[Gaia''s Watch]:[Useless spell]],1)*0.05</f>
        <v>0</v>
      </c>
      <c r="Z24" s="132"/>
      <c r="AA24" s="26" t="n">
        <f aca="false">IF(TblMagic[[#This Row],[Gaia''s Watch]],12,IF(OFFSET(TblMagic[[#This Row],[Active Gaia''s Watch]],-1,0)&gt;0,OFFSET(TblMagic[[#This Row],[Active Gaia''s Watch]],-1,0)-1,0))</f>
        <v>0</v>
      </c>
      <c r="AB24" s="26" t="n">
        <f aca="false">IF(TblMagic[[#This Row],[Mining Strength]],12,IF(OFFSET(TblMagic[[#This Row],[Active Mining Strength]],-1,0)&gt;0,OFFSET(TblMagic[[#This Row],[Active Mining Strength]],-1,0)-1,0))</f>
        <v>0</v>
      </c>
      <c r="AC24" s="26" t="n">
        <f aca="false">IF(TblMagic[[#This Row],[Ares Call]],12,IF(OFFSET(TblMagic[[#This Row],[Active Ares Call]],-1,0)&gt;0,OFFSET(TblMagic[[#This Row],[Active Ares Call]],-1,0)-1,0))</f>
        <v>0</v>
      </c>
      <c r="AD24" s="26" t="n">
        <f aca="false">IF(TblMagic[[#This Row],[Midas Touch]],12,IF(OFFSET(TblMagic[[#This Row],[Active Midas Touch]],-1,0)&gt;0,OFFSET(TblMagic[[#This Row],[Active Midas Touch]],-1,0)-1,0))</f>
        <v>7</v>
      </c>
      <c r="AE24" s="26" t="n">
        <f aca="false">IF(TblMagic[[#This Row],[Harmony]],12,IF(OFFSET(TblMagic[[#This Row],[Active Harmony]],-1,0)&gt;0,OFFSET(TblMagic[[#This Row],[Active Harmony]],-1,0)-1,0))</f>
        <v>5</v>
      </c>
      <c r="AF24" s="26" t="n">
        <f aca="false">IF(TblMagic[[#This Row],[Miner''s Sight]],12,IF(OFFSET(TblMagic[[#This Row],[Active Miner''s Sight]],-1,0)&gt;0,OFFSET(TblMagic[[#This Row],[Active Miner''s Sight]],-1,0)-1,0))</f>
        <v>0</v>
      </c>
      <c r="AG24" s="26" t="n">
        <f aca="false">IF(TblMagic[[#This Row],[Mechanical Genius]],12,IF(OFFSET(TblMagic[[#This Row],[Active Mechanical Genius]],-1,0)&gt;0,OFFSET(TblMagic[[#This Row],[Active Mechanical Genius]],-1,0)-1,0))</f>
        <v>0</v>
      </c>
      <c r="AH24" s="26" t="n">
        <f aca="false">IF(TblMagic[[#This Row],[Frenzy]],12,IF(OFFSET(TblMagic[[#This Row],[Active Frenzy]],-1,0)&gt;0,OFFSET(TblMagic[[#This Row],[Active Frenzy]],-1,0)-1,0))</f>
        <v>0</v>
      </c>
      <c r="AI24" s="26" t="n">
        <f aca="false">IF(TblMagic[[#This Row],[Killing Rage / Bloodrage / Crusade]],12,IF(OFFSET(TblMagic[[#This Row],[Active Warsong / Killing Rage / Bloodrage]],-1,0)&gt;0,OFFSET(TblMagic[[#This Row],[Active Warsong / Killing Rage / Bloodrage]],-1,0)-1,0))</f>
        <v>0</v>
      </c>
      <c r="AJ24" s="26" t="n">
        <f aca="false">IF(TblMagic[[#This Row],[Gaia''s Blessing]],12,IF(OFFSET(TblMagic[[#This Row],[Active Gaia''s Blessing]],-1,0)&gt;0,OFFSET(TblMagic[[#This Row],[Active Gaia''s Blessing]],-1,0)-1,0))</f>
        <v>0</v>
      </c>
      <c r="AK24" s="26" t="n">
        <f aca="false">IF(TblMagic[[#This Row],[Howling]],12,IF(OFFSET(TblMagic[[#This Row],[Active Howling]],-1,0)&gt;0,OFFSET(TblMagic[[#This Row],[Active Howling]],-1,0)-1,0))</f>
        <v>0</v>
      </c>
      <c r="AL24" s="26" t="n">
        <f aca="false">IF(TblMagic[[#This Row],[Alchemist Frost]],12,IF(OFFSET(TblMagic[[#This Row],[Active Alch Frost]],-1,0)&gt;0,OFFSET(TblMagic[[#This Row],[Active Alch Frost]],-1,0)-1,0))</f>
        <v>0</v>
      </c>
      <c r="AM24" s="26" t="n">
        <f aca="false">IF(TblMagic[[#This Row],[Alchemists Flame]],12,IF(OFFSET(TblMagic[[#This Row],[Active Alchemists Flame]],-1,0)&gt;0,OFFSET(TblMagic[[#This Row],[Active Alchemists Flame]],-1,0)-1,0))</f>
        <v>0</v>
      </c>
      <c r="AN24" s="26" t="n">
        <f aca="false">IF(TblMagic[[#This Row],[Nightfall]],12,IF(OFFSET(TblMagic[[#This Row],[Active Nightfall]],-1,0)&gt;0,OFFSET(TblMagic[[#This Row],[Active Nightfall]],-1,0)-1,0))</f>
        <v>0</v>
      </c>
      <c r="AO24" s="26" t="n">
        <f aca="false">IF(TblMagic[[#This Row],[Favorable Terrain]],12,IF(OFFSET(TblMagic[[#This Row],[Active Favorable Terrain]],-1,0)&gt;0,OFFSET(TblMagic[[#This Row],[Active Favorable Terrain]],-1,0)-1,0))</f>
        <v>0</v>
      </c>
    </row>
    <row r="25" customFormat="false" ht="12.75" hidden="false" customHeight="false" outlineLevel="0" collapsed="false">
      <c r="A25" s="128" t="n">
        <f aca="false">TblRezone[[#This Row],[Hour]]</f>
        <v>22</v>
      </c>
      <c r="B25" s="146" t="n">
        <f aca="false">TblConstr[[#This Row],[Land]]</f>
        <v>278</v>
      </c>
      <c r="C25" s="69" t="n">
        <f aca="false">TblProd[[#This Row],[Mana]]</f>
        <v>2346</v>
      </c>
      <c r="D25" s="149" t="n">
        <f aca="false">MIN(1,OFFSET(TblMagic[[#This Row],[Wiz str]],-1,0)+0.04+ROUNDDOWN(10*OFFSET(TblMili[[#This Row],[WG''s]],-1,0),0)+ tech_2_7*OFFSET(TblTech[[#This Row],[2-7]],-1,0) + tech_5_6*OFFSET(TblTech[[#This Row],[5-6]],-1,0) )-TblMagic[[#This Row],[Wiz str cost]]</f>
        <v>1</v>
      </c>
      <c r="E25" s="153" t="n">
        <f aca="false">OFFSET(TblMagic[[#This Row],[Time]],-1,0)+1/24</f>
        <v>45430.625</v>
      </c>
      <c r="F25" s="149" t="n">
        <f aca="false">TblImps[[#This Row],[Population]]</f>
        <v>0.693768148313603</v>
      </c>
      <c r="G25" s="248"/>
      <c r="H25" s="248"/>
      <c r="I25" s="248"/>
      <c r="J25" s="248"/>
      <c r="K25" s="312"/>
      <c r="L25" s="248"/>
      <c r="M25" s="248"/>
      <c r="N25" s="248"/>
      <c r="O25" s="248"/>
      <c r="P25" s="248"/>
      <c r="Q25" s="248"/>
      <c r="R25" s="248"/>
      <c r="S25" s="248"/>
      <c r="T25" s="248"/>
      <c r="U25" s="248"/>
      <c r="V25" s="248"/>
      <c r="W25" s="132"/>
      <c r="X2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49" t="n">
        <f aca="false">SUMIF(TblMagic[[#This Row],[Gaia''s Watch]:[Useless spell]],1)*0.05</f>
        <v>0</v>
      </c>
      <c r="Z25" s="132"/>
      <c r="AA25" s="26" t="n">
        <f aca="false">IF(TblMagic[[#This Row],[Gaia''s Watch]],12,IF(OFFSET(TblMagic[[#This Row],[Active Gaia''s Watch]],-1,0)&gt;0,OFFSET(TblMagic[[#This Row],[Active Gaia''s Watch]],-1,0)-1,0))</f>
        <v>0</v>
      </c>
      <c r="AB25" s="26" t="n">
        <f aca="false">IF(TblMagic[[#This Row],[Mining Strength]],12,IF(OFFSET(TblMagic[[#This Row],[Active Mining Strength]],-1,0)&gt;0,OFFSET(TblMagic[[#This Row],[Active Mining Strength]],-1,0)-1,0))</f>
        <v>0</v>
      </c>
      <c r="AC25" s="26" t="n">
        <f aca="false">IF(TblMagic[[#This Row],[Ares Call]],12,IF(OFFSET(TblMagic[[#This Row],[Active Ares Call]],-1,0)&gt;0,OFFSET(TblMagic[[#This Row],[Active Ares Call]],-1,0)-1,0))</f>
        <v>0</v>
      </c>
      <c r="AD25" s="26" t="n">
        <f aca="false">IF(TblMagic[[#This Row],[Midas Touch]],12,IF(OFFSET(TblMagic[[#This Row],[Active Midas Touch]],-1,0)&gt;0,OFFSET(TblMagic[[#This Row],[Active Midas Touch]],-1,0)-1,0))</f>
        <v>6</v>
      </c>
      <c r="AE25" s="26" t="n">
        <f aca="false">IF(TblMagic[[#This Row],[Harmony]],12,IF(OFFSET(TblMagic[[#This Row],[Active Harmony]],-1,0)&gt;0,OFFSET(TblMagic[[#This Row],[Active Harmony]],-1,0)-1,0))</f>
        <v>4</v>
      </c>
      <c r="AF25" s="26" t="n">
        <f aca="false">IF(TblMagic[[#This Row],[Miner''s Sight]],12,IF(OFFSET(TblMagic[[#This Row],[Active Miner''s Sight]],-1,0)&gt;0,OFFSET(TblMagic[[#This Row],[Active Miner''s Sight]],-1,0)-1,0))</f>
        <v>0</v>
      </c>
      <c r="AG25" s="26" t="n">
        <f aca="false">IF(TblMagic[[#This Row],[Mechanical Genius]],12,IF(OFFSET(TblMagic[[#This Row],[Active Mechanical Genius]],-1,0)&gt;0,OFFSET(TblMagic[[#This Row],[Active Mechanical Genius]],-1,0)-1,0))</f>
        <v>0</v>
      </c>
      <c r="AH25" s="26" t="n">
        <f aca="false">IF(TblMagic[[#This Row],[Frenzy]],12,IF(OFFSET(TblMagic[[#This Row],[Active Frenzy]],-1,0)&gt;0,OFFSET(TblMagic[[#This Row],[Active Frenzy]],-1,0)-1,0))</f>
        <v>0</v>
      </c>
      <c r="AI25" s="26" t="n">
        <f aca="false">IF(TblMagic[[#This Row],[Killing Rage / Bloodrage / Crusade]],12,IF(OFFSET(TblMagic[[#This Row],[Active Warsong / Killing Rage / Bloodrage]],-1,0)&gt;0,OFFSET(TblMagic[[#This Row],[Active Warsong / Killing Rage / Bloodrage]],-1,0)-1,0))</f>
        <v>0</v>
      </c>
      <c r="AJ25" s="26" t="n">
        <f aca="false">IF(TblMagic[[#This Row],[Gaia''s Blessing]],12,IF(OFFSET(TblMagic[[#This Row],[Active Gaia''s Blessing]],-1,0)&gt;0,OFFSET(TblMagic[[#This Row],[Active Gaia''s Blessing]],-1,0)-1,0))</f>
        <v>0</v>
      </c>
      <c r="AK25" s="26" t="n">
        <f aca="false">IF(TblMagic[[#This Row],[Howling]],12,IF(OFFSET(TblMagic[[#This Row],[Active Howling]],-1,0)&gt;0,OFFSET(TblMagic[[#This Row],[Active Howling]],-1,0)-1,0))</f>
        <v>0</v>
      </c>
      <c r="AL25" s="26" t="n">
        <f aca="false">IF(TblMagic[[#This Row],[Alchemist Frost]],12,IF(OFFSET(TblMagic[[#This Row],[Active Alch Frost]],-1,0)&gt;0,OFFSET(TblMagic[[#This Row],[Active Alch Frost]],-1,0)-1,0))</f>
        <v>0</v>
      </c>
      <c r="AM25" s="26" t="n">
        <f aca="false">IF(TblMagic[[#This Row],[Alchemists Flame]],12,IF(OFFSET(TblMagic[[#This Row],[Active Alchemists Flame]],-1,0)&gt;0,OFFSET(TblMagic[[#This Row],[Active Alchemists Flame]],-1,0)-1,0))</f>
        <v>0</v>
      </c>
      <c r="AN25" s="26" t="n">
        <f aca="false">IF(TblMagic[[#This Row],[Nightfall]],12,IF(OFFSET(TblMagic[[#This Row],[Active Nightfall]],-1,0)&gt;0,OFFSET(TblMagic[[#This Row],[Active Nightfall]],-1,0)-1,0))</f>
        <v>0</v>
      </c>
      <c r="AO25" s="26" t="n">
        <f aca="false">IF(TblMagic[[#This Row],[Favorable Terrain]],12,IF(OFFSET(TblMagic[[#This Row],[Active Favorable Terrain]],-1,0)&gt;0,OFFSET(TblMagic[[#This Row],[Active Favorable Terrain]],-1,0)-1,0))</f>
        <v>0</v>
      </c>
    </row>
    <row r="26" customFormat="false" ht="12.75" hidden="false" customHeight="false" outlineLevel="0" collapsed="false">
      <c r="A26" s="128" t="n">
        <f aca="false">TblRezone[[#This Row],[Hour]]</f>
        <v>23</v>
      </c>
      <c r="B26" s="146" t="n">
        <f aca="false">TblConstr[[#This Row],[Land]]</f>
        <v>279</v>
      </c>
      <c r="C26" s="69" t="n">
        <f aca="false">TblProd[[#This Row],[Mana]]</f>
        <v>2674</v>
      </c>
      <c r="D26" s="149" t="n">
        <f aca="false">MIN(1,OFFSET(TblMagic[[#This Row],[Wiz str]],-1,0)+0.04+ROUNDDOWN(10*OFFSET(TblMili[[#This Row],[WG''s]],-1,0),0)+ tech_2_7*OFFSET(TblTech[[#This Row],[2-7]],-1,0) + tech_5_6*OFFSET(TblTech[[#This Row],[5-6]],-1,0) )-TblMagic[[#This Row],[Wiz str cost]]</f>
        <v>1</v>
      </c>
      <c r="E26" s="153" t="n">
        <f aca="false">OFFSET(TblMagic[[#This Row],[Time]],-1,0)+1/24</f>
        <v>45430.6666666667</v>
      </c>
      <c r="F26" s="149" t="n">
        <f aca="false">TblImps[[#This Row],[Population]]</f>
        <v>0.738927220120187</v>
      </c>
      <c r="G26" s="248"/>
      <c r="H26" s="248"/>
      <c r="I26" s="248"/>
      <c r="J26" s="248"/>
      <c r="K26" s="312"/>
      <c r="L26" s="248"/>
      <c r="M26" s="248"/>
      <c r="N26" s="248"/>
      <c r="O26" s="248"/>
      <c r="P26" s="248"/>
      <c r="Q26" s="248"/>
      <c r="R26" s="248"/>
      <c r="S26" s="248"/>
      <c r="T26" s="248"/>
      <c r="U26" s="248"/>
      <c r="V26" s="248"/>
      <c r="W26" s="132"/>
      <c r="X2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49" t="n">
        <f aca="false">SUMIF(TblMagic[[#This Row],[Gaia''s Watch]:[Useless spell]],1)*0.05</f>
        <v>0</v>
      </c>
      <c r="Z26" s="132"/>
      <c r="AA26" s="26" t="n">
        <f aca="false">IF(TblMagic[[#This Row],[Gaia''s Watch]],12,IF(OFFSET(TblMagic[[#This Row],[Active Gaia''s Watch]],-1,0)&gt;0,OFFSET(TblMagic[[#This Row],[Active Gaia''s Watch]],-1,0)-1,0))</f>
        <v>0</v>
      </c>
      <c r="AB26" s="26" t="n">
        <f aca="false">IF(TblMagic[[#This Row],[Mining Strength]],12,IF(OFFSET(TblMagic[[#This Row],[Active Mining Strength]],-1,0)&gt;0,OFFSET(TblMagic[[#This Row],[Active Mining Strength]],-1,0)-1,0))</f>
        <v>0</v>
      </c>
      <c r="AC26" s="26" t="n">
        <f aca="false">IF(TblMagic[[#This Row],[Ares Call]],12,IF(OFFSET(TblMagic[[#This Row],[Active Ares Call]],-1,0)&gt;0,OFFSET(TblMagic[[#This Row],[Active Ares Call]],-1,0)-1,0))</f>
        <v>0</v>
      </c>
      <c r="AD26" s="26" t="n">
        <f aca="false">IF(TblMagic[[#This Row],[Midas Touch]],12,IF(OFFSET(TblMagic[[#This Row],[Active Midas Touch]],-1,0)&gt;0,OFFSET(TblMagic[[#This Row],[Active Midas Touch]],-1,0)-1,0))</f>
        <v>5</v>
      </c>
      <c r="AE26" s="26" t="n">
        <f aca="false">IF(TblMagic[[#This Row],[Harmony]],12,IF(OFFSET(TblMagic[[#This Row],[Active Harmony]],-1,0)&gt;0,OFFSET(TblMagic[[#This Row],[Active Harmony]],-1,0)-1,0))</f>
        <v>3</v>
      </c>
      <c r="AF26" s="26" t="n">
        <f aca="false">IF(TblMagic[[#This Row],[Miner''s Sight]],12,IF(OFFSET(TblMagic[[#This Row],[Active Miner''s Sight]],-1,0)&gt;0,OFFSET(TblMagic[[#This Row],[Active Miner''s Sight]],-1,0)-1,0))</f>
        <v>0</v>
      </c>
      <c r="AG26" s="26" t="n">
        <f aca="false">IF(TblMagic[[#This Row],[Mechanical Genius]],12,IF(OFFSET(TblMagic[[#This Row],[Active Mechanical Genius]],-1,0)&gt;0,OFFSET(TblMagic[[#This Row],[Active Mechanical Genius]],-1,0)-1,0))</f>
        <v>0</v>
      </c>
      <c r="AH26" s="26" t="n">
        <f aca="false">IF(TblMagic[[#This Row],[Frenzy]],12,IF(OFFSET(TblMagic[[#This Row],[Active Frenzy]],-1,0)&gt;0,OFFSET(TblMagic[[#This Row],[Active Frenzy]],-1,0)-1,0))</f>
        <v>0</v>
      </c>
      <c r="AI26" s="26" t="n">
        <f aca="false">IF(TblMagic[[#This Row],[Killing Rage / Bloodrage / Crusade]],12,IF(OFFSET(TblMagic[[#This Row],[Active Warsong / Killing Rage / Bloodrage]],-1,0)&gt;0,OFFSET(TblMagic[[#This Row],[Active Warsong / Killing Rage / Bloodrage]],-1,0)-1,0))</f>
        <v>0</v>
      </c>
      <c r="AJ26" s="26" t="n">
        <f aca="false">IF(TblMagic[[#This Row],[Gaia''s Blessing]],12,IF(OFFSET(TblMagic[[#This Row],[Active Gaia''s Blessing]],-1,0)&gt;0,OFFSET(TblMagic[[#This Row],[Active Gaia''s Blessing]],-1,0)-1,0))</f>
        <v>0</v>
      </c>
      <c r="AK26" s="26" t="n">
        <f aca="false">IF(TblMagic[[#This Row],[Howling]],12,IF(OFFSET(TblMagic[[#This Row],[Active Howling]],-1,0)&gt;0,OFFSET(TblMagic[[#This Row],[Active Howling]],-1,0)-1,0))</f>
        <v>0</v>
      </c>
      <c r="AL26" s="26" t="n">
        <f aca="false">IF(TblMagic[[#This Row],[Alchemist Frost]],12,IF(OFFSET(TblMagic[[#This Row],[Active Alch Frost]],-1,0)&gt;0,OFFSET(TblMagic[[#This Row],[Active Alch Frost]],-1,0)-1,0))</f>
        <v>0</v>
      </c>
      <c r="AM26" s="26" t="n">
        <f aca="false">IF(TblMagic[[#This Row],[Alchemists Flame]],12,IF(OFFSET(TblMagic[[#This Row],[Active Alchemists Flame]],-1,0)&gt;0,OFFSET(TblMagic[[#This Row],[Active Alchemists Flame]],-1,0)-1,0))</f>
        <v>0</v>
      </c>
      <c r="AN26" s="26" t="n">
        <f aca="false">IF(TblMagic[[#This Row],[Nightfall]],12,IF(OFFSET(TblMagic[[#This Row],[Active Nightfall]],-1,0)&gt;0,OFFSET(TblMagic[[#This Row],[Active Nightfall]],-1,0)-1,0))</f>
        <v>0</v>
      </c>
      <c r="AO26" s="26" t="n">
        <f aca="false">IF(TblMagic[[#This Row],[Favorable Terrain]],12,IF(OFFSET(TblMagic[[#This Row],[Active Favorable Terrain]],-1,0)&gt;0,OFFSET(TblMagic[[#This Row],[Active Favorable Terrain]],-1,0)-1,0))</f>
        <v>0</v>
      </c>
    </row>
    <row r="27" customFormat="false" ht="12.75" hidden="false" customHeight="false" outlineLevel="0" collapsed="false">
      <c r="A27" s="128" t="n">
        <f aca="false">TblRezone[[#This Row],[Hour]]</f>
        <v>24</v>
      </c>
      <c r="B27" s="146" t="n">
        <f aca="false">TblConstr[[#This Row],[Land]]</f>
        <v>299</v>
      </c>
      <c r="C27" s="69" t="n">
        <f aca="false">TblProd[[#This Row],[Mana]]</f>
        <v>2996</v>
      </c>
      <c r="D27" s="149" t="n">
        <f aca="false">MIN(1,OFFSET(TblMagic[[#This Row],[Wiz str]],-1,0)+0.04+ROUNDDOWN(10*OFFSET(TblMili[[#This Row],[WG''s]],-1,0),0)+ tech_2_7*OFFSET(TblTech[[#This Row],[2-7]],-1,0) + tech_5_6*OFFSET(TblTech[[#This Row],[5-6]],-1,0) )-TblMagic[[#This Row],[Wiz str cost]]</f>
        <v>1</v>
      </c>
      <c r="E27" s="153" t="n">
        <f aca="false">OFFSET(TblMagic[[#This Row],[Time]],-1,0)+1/24</f>
        <v>45430.7083333333</v>
      </c>
      <c r="F27" s="149" t="n">
        <f aca="false">TblImps[[#This Row],[Population]]</f>
        <v>0.780861456483126</v>
      </c>
      <c r="G27" s="248"/>
      <c r="H27" s="248"/>
      <c r="I27" s="248"/>
      <c r="J27" s="248"/>
      <c r="K27" s="312"/>
      <c r="L27" s="248"/>
      <c r="M27" s="248"/>
      <c r="N27" s="248"/>
      <c r="O27" s="248"/>
      <c r="P27" s="248"/>
      <c r="Q27" s="248"/>
      <c r="R27" s="248"/>
      <c r="S27" s="248"/>
      <c r="T27" s="248"/>
      <c r="U27" s="248"/>
      <c r="V27" s="248"/>
      <c r="W27" s="132"/>
      <c r="X2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49" t="n">
        <f aca="false">SUMIF(TblMagic[[#This Row],[Gaia''s Watch]:[Useless spell]],1)*0.05</f>
        <v>0</v>
      </c>
      <c r="Z27" s="132"/>
      <c r="AA27" s="26" t="n">
        <f aca="false">IF(TblMagic[[#This Row],[Gaia''s Watch]],12,IF(OFFSET(TblMagic[[#This Row],[Active Gaia''s Watch]],-1,0)&gt;0,OFFSET(TblMagic[[#This Row],[Active Gaia''s Watch]],-1,0)-1,0))</f>
        <v>0</v>
      </c>
      <c r="AB27" s="26" t="n">
        <f aca="false">IF(TblMagic[[#This Row],[Mining Strength]],12,IF(OFFSET(TblMagic[[#This Row],[Active Mining Strength]],-1,0)&gt;0,OFFSET(TblMagic[[#This Row],[Active Mining Strength]],-1,0)-1,0))</f>
        <v>0</v>
      </c>
      <c r="AC27" s="26" t="n">
        <f aca="false">IF(TblMagic[[#This Row],[Ares Call]],12,IF(OFFSET(TblMagic[[#This Row],[Active Ares Call]],-1,0)&gt;0,OFFSET(TblMagic[[#This Row],[Active Ares Call]],-1,0)-1,0))</f>
        <v>0</v>
      </c>
      <c r="AD27" s="26" t="n">
        <f aca="false">IF(TblMagic[[#This Row],[Midas Touch]],12,IF(OFFSET(TblMagic[[#This Row],[Active Midas Touch]],-1,0)&gt;0,OFFSET(TblMagic[[#This Row],[Active Midas Touch]],-1,0)-1,0))</f>
        <v>4</v>
      </c>
      <c r="AE27" s="26" t="n">
        <f aca="false">IF(TblMagic[[#This Row],[Harmony]],12,IF(OFFSET(TblMagic[[#This Row],[Active Harmony]],-1,0)&gt;0,OFFSET(TblMagic[[#This Row],[Active Harmony]],-1,0)-1,0))</f>
        <v>2</v>
      </c>
      <c r="AF27" s="26" t="n">
        <f aca="false">IF(TblMagic[[#This Row],[Miner''s Sight]],12,IF(OFFSET(TblMagic[[#This Row],[Active Miner''s Sight]],-1,0)&gt;0,OFFSET(TblMagic[[#This Row],[Active Miner''s Sight]],-1,0)-1,0))</f>
        <v>0</v>
      </c>
      <c r="AG27" s="26" t="n">
        <f aca="false">IF(TblMagic[[#This Row],[Mechanical Genius]],12,IF(OFFSET(TblMagic[[#This Row],[Active Mechanical Genius]],-1,0)&gt;0,OFFSET(TblMagic[[#This Row],[Active Mechanical Genius]],-1,0)-1,0))</f>
        <v>0</v>
      </c>
      <c r="AH27" s="26" t="n">
        <f aca="false">IF(TblMagic[[#This Row],[Frenzy]],12,IF(OFFSET(TblMagic[[#This Row],[Active Frenzy]],-1,0)&gt;0,OFFSET(TblMagic[[#This Row],[Active Frenzy]],-1,0)-1,0))</f>
        <v>0</v>
      </c>
      <c r="AI27" s="26" t="n">
        <f aca="false">IF(TblMagic[[#This Row],[Killing Rage / Bloodrage / Crusade]],12,IF(OFFSET(TblMagic[[#This Row],[Active Warsong / Killing Rage / Bloodrage]],-1,0)&gt;0,OFFSET(TblMagic[[#This Row],[Active Warsong / Killing Rage / Bloodrage]],-1,0)-1,0))</f>
        <v>0</v>
      </c>
      <c r="AJ27" s="26" t="n">
        <f aca="false">IF(TblMagic[[#This Row],[Gaia''s Blessing]],12,IF(OFFSET(TblMagic[[#This Row],[Active Gaia''s Blessing]],-1,0)&gt;0,OFFSET(TblMagic[[#This Row],[Active Gaia''s Blessing]],-1,0)-1,0))</f>
        <v>0</v>
      </c>
      <c r="AK27" s="26" t="n">
        <f aca="false">IF(TblMagic[[#This Row],[Howling]],12,IF(OFFSET(TblMagic[[#This Row],[Active Howling]],-1,0)&gt;0,OFFSET(TblMagic[[#This Row],[Active Howling]],-1,0)-1,0))</f>
        <v>0</v>
      </c>
      <c r="AL27" s="26" t="n">
        <f aca="false">IF(TblMagic[[#This Row],[Alchemist Frost]],12,IF(OFFSET(TblMagic[[#This Row],[Active Alch Frost]],-1,0)&gt;0,OFFSET(TblMagic[[#This Row],[Active Alch Frost]],-1,0)-1,0))</f>
        <v>0</v>
      </c>
      <c r="AM27" s="26" t="n">
        <f aca="false">IF(TblMagic[[#This Row],[Alchemists Flame]],12,IF(OFFSET(TblMagic[[#This Row],[Active Alchemists Flame]],-1,0)&gt;0,OFFSET(TblMagic[[#This Row],[Active Alchemists Flame]],-1,0)-1,0))</f>
        <v>0</v>
      </c>
      <c r="AN27" s="26" t="n">
        <f aca="false">IF(TblMagic[[#This Row],[Nightfall]],12,IF(OFFSET(TblMagic[[#This Row],[Active Nightfall]],-1,0)&gt;0,OFFSET(TblMagic[[#This Row],[Active Nightfall]],-1,0)-1,0))</f>
        <v>0</v>
      </c>
      <c r="AO27" s="26" t="n">
        <f aca="false">IF(TblMagic[[#This Row],[Favorable Terrain]],12,IF(OFFSET(TblMagic[[#This Row],[Active Favorable Terrain]],-1,0)&gt;0,OFFSET(TblMagic[[#This Row],[Active Favorable Terrain]],-1,0)-1,0))</f>
        <v>0</v>
      </c>
    </row>
    <row r="28" customFormat="false" ht="12.75" hidden="false" customHeight="false" outlineLevel="0" collapsed="false">
      <c r="A28" s="128" t="n">
        <f aca="false">TblRezone[[#This Row],[Hour]]</f>
        <v>25</v>
      </c>
      <c r="B28" s="146" t="n">
        <f aca="false">TblConstr[[#This Row],[Land]]</f>
        <v>299</v>
      </c>
      <c r="C28" s="69" t="n">
        <f aca="false">TblProd[[#This Row],[Mana]]</f>
        <v>3386</v>
      </c>
      <c r="D28" s="149" t="n">
        <f aca="false">MIN(1,OFFSET(TblMagic[[#This Row],[Wiz str]],-1,0)+0.04+ROUNDDOWN(10*OFFSET(TblMili[[#This Row],[WG''s]],-1,0),0)+ tech_2_7*OFFSET(TblTech[[#This Row],[2-7]],-1,0) + tech_5_6*OFFSET(TblTech[[#This Row],[5-6]],-1,0) )-TblMagic[[#This Row],[Wiz str cost]]</f>
        <v>1</v>
      </c>
      <c r="E28" s="153" t="n">
        <f aca="false">OFFSET(TblMagic[[#This Row],[Time]],-1,0)+1/24</f>
        <v>45430.75</v>
      </c>
      <c r="F28" s="149" t="n">
        <f aca="false">TblImps[[#This Row],[Population]]</f>
        <v>0.779366065879428</v>
      </c>
      <c r="G28" s="248"/>
      <c r="H28" s="248"/>
      <c r="I28" s="248"/>
      <c r="J28" s="248"/>
      <c r="K28" s="312"/>
      <c r="L28" s="248"/>
      <c r="M28" s="248"/>
      <c r="N28" s="248"/>
      <c r="O28" s="248"/>
      <c r="P28" s="248"/>
      <c r="Q28" s="248"/>
      <c r="R28" s="248"/>
      <c r="S28" s="248"/>
      <c r="T28" s="248"/>
      <c r="U28" s="248"/>
      <c r="V28" s="248"/>
      <c r="W28" s="132"/>
      <c r="X2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49" t="n">
        <f aca="false">SUMIF(TblMagic[[#This Row],[Gaia''s Watch]:[Useless spell]],1)*0.05</f>
        <v>0</v>
      </c>
      <c r="Z28" s="132"/>
      <c r="AA28" s="26" t="n">
        <f aca="false">IF(TblMagic[[#This Row],[Gaia''s Watch]],12,IF(OFFSET(TblMagic[[#This Row],[Active Gaia''s Watch]],-1,0)&gt;0,OFFSET(TblMagic[[#This Row],[Active Gaia''s Watch]],-1,0)-1,0))</f>
        <v>0</v>
      </c>
      <c r="AB28" s="26" t="n">
        <f aca="false">IF(TblMagic[[#This Row],[Mining Strength]],12,IF(OFFSET(TblMagic[[#This Row],[Active Mining Strength]],-1,0)&gt;0,OFFSET(TblMagic[[#This Row],[Active Mining Strength]],-1,0)-1,0))</f>
        <v>0</v>
      </c>
      <c r="AC28" s="26" t="n">
        <f aca="false">IF(TblMagic[[#This Row],[Ares Call]],12,IF(OFFSET(TblMagic[[#This Row],[Active Ares Call]],-1,0)&gt;0,OFFSET(TblMagic[[#This Row],[Active Ares Call]],-1,0)-1,0))</f>
        <v>0</v>
      </c>
      <c r="AD28" s="26" t="n">
        <f aca="false">IF(TblMagic[[#This Row],[Midas Touch]],12,IF(OFFSET(TblMagic[[#This Row],[Active Midas Touch]],-1,0)&gt;0,OFFSET(TblMagic[[#This Row],[Active Midas Touch]],-1,0)-1,0))</f>
        <v>3</v>
      </c>
      <c r="AE28" s="26" t="n">
        <f aca="false">IF(TblMagic[[#This Row],[Harmony]],12,IF(OFFSET(TblMagic[[#This Row],[Active Harmony]],-1,0)&gt;0,OFFSET(TblMagic[[#This Row],[Active Harmony]],-1,0)-1,0))</f>
        <v>1</v>
      </c>
      <c r="AF28" s="26" t="n">
        <f aca="false">IF(TblMagic[[#This Row],[Miner''s Sight]],12,IF(OFFSET(TblMagic[[#This Row],[Active Miner''s Sight]],-1,0)&gt;0,OFFSET(TblMagic[[#This Row],[Active Miner''s Sight]],-1,0)-1,0))</f>
        <v>0</v>
      </c>
      <c r="AG28" s="26" t="n">
        <f aca="false">IF(TblMagic[[#This Row],[Mechanical Genius]],12,IF(OFFSET(TblMagic[[#This Row],[Active Mechanical Genius]],-1,0)&gt;0,OFFSET(TblMagic[[#This Row],[Active Mechanical Genius]],-1,0)-1,0))</f>
        <v>0</v>
      </c>
      <c r="AH28" s="26" t="n">
        <f aca="false">IF(TblMagic[[#This Row],[Frenzy]],12,IF(OFFSET(TblMagic[[#This Row],[Active Frenzy]],-1,0)&gt;0,OFFSET(TblMagic[[#This Row],[Active Frenzy]],-1,0)-1,0))</f>
        <v>0</v>
      </c>
      <c r="AI28" s="26" t="n">
        <f aca="false">IF(TblMagic[[#This Row],[Killing Rage / Bloodrage / Crusade]],12,IF(OFFSET(TblMagic[[#This Row],[Active Warsong / Killing Rage / Bloodrage]],-1,0)&gt;0,OFFSET(TblMagic[[#This Row],[Active Warsong / Killing Rage / Bloodrage]],-1,0)-1,0))</f>
        <v>0</v>
      </c>
      <c r="AJ28" s="26" t="n">
        <f aca="false">IF(TblMagic[[#This Row],[Gaia''s Blessing]],12,IF(OFFSET(TblMagic[[#This Row],[Active Gaia''s Blessing]],-1,0)&gt;0,OFFSET(TblMagic[[#This Row],[Active Gaia''s Blessing]],-1,0)-1,0))</f>
        <v>0</v>
      </c>
      <c r="AK28" s="26" t="n">
        <f aca="false">IF(TblMagic[[#This Row],[Howling]],12,IF(OFFSET(TblMagic[[#This Row],[Active Howling]],-1,0)&gt;0,OFFSET(TblMagic[[#This Row],[Active Howling]],-1,0)-1,0))</f>
        <v>0</v>
      </c>
      <c r="AL28" s="26" t="n">
        <f aca="false">IF(TblMagic[[#This Row],[Alchemist Frost]],12,IF(OFFSET(TblMagic[[#This Row],[Active Alch Frost]],-1,0)&gt;0,OFFSET(TblMagic[[#This Row],[Active Alch Frost]],-1,0)-1,0))</f>
        <v>0</v>
      </c>
      <c r="AM28" s="26" t="n">
        <f aca="false">IF(TblMagic[[#This Row],[Alchemists Flame]],12,IF(OFFSET(TblMagic[[#This Row],[Active Alchemists Flame]],-1,0)&gt;0,OFFSET(TblMagic[[#This Row],[Active Alchemists Flame]],-1,0)-1,0))</f>
        <v>0</v>
      </c>
      <c r="AN28" s="26" t="n">
        <f aca="false">IF(TblMagic[[#This Row],[Nightfall]],12,IF(OFFSET(TblMagic[[#This Row],[Active Nightfall]],-1,0)&gt;0,OFFSET(TblMagic[[#This Row],[Active Nightfall]],-1,0)-1,0))</f>
        <v>0</v>
      </c>
      <c r="AO28" s="26" t="n">
        <f aca="false">IF(TblMagic[[#This Row],[Favorable Terrain]],12,IF(OFFSET(TblMagic[[#This Row],[Active Favorable Terrain]],-1,0)&gt;0,OFFSET(TblMagic[[#This Row],[Active Favorable Terrain]],-1,0)-1,0))</f>
        <v>0</v>
      </c>
    </row>
    <row r="29" customFormat="false" ht="12.75" hidden="false" customHeight="false" outlineLevel="0" collapsed="false">
      <c r="A29" s="128" t="n">
        <f aca="false">TblRezone[[#This Row],[Hour]]</f>
        <v>26</v>
      </c>
      <c r="B29" s="146" t="n">
        <f aca="false">TblConstr[[#This Row],[Land]]</f>
        <v>299</v>
      </c>
      <c r="C29" s="69" t="n">
        <f aca="false">TblProd[[#This Row],[Mana]]</f>
        <v>1525.5</v>
      </c>
      <c r="D29" s="149" t="n">
        <f aca="false">MIN(1,OFFSET(TblMagic[[#This Row],[Wiz str]],-1,0)+0.04+ROUNDDOWN(10*OFFSET(TblMili[[#This Row],[WG''s]],-1,0),0)+ tech_2_7*OFFSET(TblTech[[#This Row],[2-7]],-1,0) + tech_5_6*OFFSET(TblTech[[#This Row],[5-6]],-1,0) )-TblMagic[[#This Row],[Wiz str cost]]</f>
        <v>0.9</v>
      </c>
      <c r="E29" s="153" t="n">
        <f aca="false">OFFSET(TblMagic[[#This Row],[Time]],-1,0)+1/24</f>
        <v>45430.7916666667</v>
      </c>
      <c r="F29" s="149" t="n">
        <f aca="false">TblImps[[#This Row],[Population]]</f>
        <v>0.833229749326704</v>
      </c>
      <c r="G29" s="248"/>
      <c r="H29" s="248"/>
      <c r="I29" s="248"/>
      <c r="J29" s="248"/>
      <c r="K29" s="312" t="n">
        <v>1</v>
      </c>
      <c r="L29" s="248"/>
      <c r="M29" s="248"/>
      <c r="N29" s="248"/>
      <c r="O29" s="248"/>
      <c r="P29" s="248"/>
      <c r="Q29" s="248"/>
      <c r="R29" s="248"/>
      <c r="S29" s="248" t="n">
        <v>1</v>
      </c>
      <c r="T29" s="248"/>
      <c r="U29" s="248"/>
      <c r="V29" s="248"/>
      <c r="W29" s="132"/>
      <c r="X2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2242.5</v>
      </c>
      <c r="Y29" s="149" t="n">
        <f aca="false">SUMIF(TblMagic[[#This Row],[Gaia''s Watch]:[Useless spell]],1)*0.05</f>
        <v>0.1</v>
      </c>
      <c r="Z29" s="132"/>
      <c r="AA29" s="26" t="n">
        <f aca="false">IF(TblMagic[[#This Row],[Gaia''s Watch]],12,IF(OFFSET(TblMagic[[#This Row],[Active Gaia''s Watch]],-1,0)&gt;0,OFFSET(TblMagic[[#This Row],[Active Gaia''s Watch]],-1,0)-1,0))</f>
        <v>0</v>
      </c>
      <c r="AB29" s="26" t="n">
        <f aca="false">IF(TblMagic[[#This Row],[Mining Strength]],12,IF(OFFSET(TblMagic[[#This Row],[Active Mining Strength]],-1,0)&gt;0,OFFSET(TblMagic[[#This Row],[Active Mining Strength]],-1,0)-1,0))</f>
        <v>0</v>
      </c>
      <c r="AC29" s="26" t="n">
        <f aca="false">IF(TblMagic[[#This Row],[Ares Call]],12,IF(OFFSET(TblMagic[[#This Row],[Active Ares Call]],-1,0)&gt;0,OFFSET(TblMagic[[#This Row],[Active Ares Call]],-1,0)-1,0))</f>
        <v>0</v>
      </c>
      <c r="AD29" s="26" t="n">
        <f aca="false">IF(TblMagic[[#This Row],[Midas Touch]],12,IF(OFFSET(TblMagic[[#This Row],[Active Midas Touch]],-1,0)&gt;0,OFFSET(TblMagic[[#This Row],[Active Midas Touch]],-1,0)-1,0))</f>
        <v>2</v>
      </c>
      <c r="AE29" s="26" t="n">
        <f aca="false">IF(TblMagic[[#This Row],[Harmony]],12,IF(OFFSET(TblMagic[[#This Row],[Active Harmony]],-1,0)&gt;0,OFFSET(TblMagic[[#This Row],[Active Harmony]],-1,0)-1,0))</f>
        <v>12</v>
      </c>
      <c r="AF29" s="26" t="n">
        <f aca="false">IF(TblMagic[[#This Row],[Miner''s Sight]],12,IF(OFFSET(TblMagic[[#This Row],[Active Miner''s Sight]],-1,0)&gt;0,OFFSET(TblMagic[[#This Row],[Active Miner''s Sight]],-1,0)-1,0))</f>
        <v>0</v>
      </c>
      <c r="AG29" s="26" t="n">
        <f aca="false">IF(TblMagic[[#This Row],[Mechanical Genius]],12,IF(OFFSET(TblMagic[[#This Row],[Active Mechanical Genius]],-1,0)&gt;0,OFFSET(TblMagic[[#This Row],[Active Mechanical Genius]],-1,0)-1,0))</f>
        <v>0</v>
      </c>
      <c r="AH29" s="26" t="n">
        <f aca="false">IF(TblMagic[[#This Row],[Frenzy]],12,IF(OFFSET(TblMagic[[#This Row],[Active Frenzy]],-1,0)&gt;0,OFFSET(TblMagic[[#This Row],[Active Frenzy]],-1,0)-1,0))</f>
        <v>0</v>
      </c>
      <c r="AI29" s="26" t="n">
        <f aca="false">IF(TblMagic[[#This Row],[Killing Rage / Bloodrage / Crusade]],12,IF(OFFSET(TblMagic[[#This Row],[Active Warsong / Killing Rage / Bloodrage]],-1,0)&gt;0,OFFSET(TblMagic[[#This Row],[Active Warsong / Killing Rage / Bloodrage]],-1,0)-1,0))</f>
        <v>0</v>
      </c>
      <c r="AJ29" s="26" t="n">
        <f aca="false">IF(TblMagic[[#This Row],[Gaia''s Blessing]],12,IF(OFFSET(TblMagic[[#This Row],[Active Gaia''s Blessing]],-1,0)&gt;0,OFFSET(TblMagic[[#This Row],[Active Gaia''s Blessing]],-1,0)-1,0))</f>
        <v>0</v>
      </c>
      <c r="AK29" s="26" t="n">
        <f aca="false">IF(TblMagic[[#This Row],[Howling]],12,IF(OFFSET(TblMagic[[#This Row],[Active Howling]],-1,0)&gt;0,OFFSET(TblMagic[[#This Row],[Active Howling]],-1,0)-1,0))</f>
        <v>0</v>
      </c>
      <c r="AL29" s="26" t="n">
        <f aca="false">IF(TblMagic[[#This Row],[Alchemist Frost]],12,IF(OFFSET(TblMagic[[#This Row],[Active Alch Frost]],-1,0)&gt;0,OFFSET(TblMagic[[#This Row],[Active Alch Frost]],-1,0)-1,0))</f>
        <v>0</v>
      </c>
      <c r="AM29" s="26" t="n">
        <f aca="false">IF(TblMagic[[#This Row],[Alchemists Flame]],12,IF(OFFSET(TblMagic[[#This Row],[Active Alchemists Flame]],-1,0)&gt;0,OFFSET(TblMagic[[#This Row],[Active Alchemists Flame]],-1,0)-1,0))</f>
        <v>12</v>
      </c>
      <c r="AN29" s="26" t="n">
        <f aca="false">IF(TblMagic[[#This Row],[Nightfall]],12,IF(OFFSET(TblMagic[[#This Row],[Active Nightfall]],-1,0)&gt;0,OFFSET(TblMagic[[#This Row],[Active Nightfall]],-1,0)-1,0))</f>
        <v>0</v>
      </c>
      <c r="AO29" s="26" t="n">
        <f aca="false">IF(TblMagic[[#This Row],[Favorable Terrain]],12,IF(OFFSET(TblMagic[[#This Row],[Active Favorable Terrain]],-1,0)&gt;0,OFFSET(TblMagic[[#This Row],[Active Favorable Terrain]],-1,0)-1,0))</f>
        <v>0</v>
      </c>
    </row>
    <row r="30" customFormat="false" ht="12.75" hidden="false" customHeight="false" outlineLevel="0" collapsed="false">
      <c r="A30" s="128" t="n">
        <f aca="false">TblRezone[[#This Row],[Hour]]</f>
        <v>27</v>
      </c>
      <c r="B30" s="146" t="n">
        <f aca="false">TblConstr[[#This Row],[Land]]</f>
        <v>299</v>
      </c>
      <c r="C30" s="69" t="n">
        <f aca="false">TblProd[[#This Row],[Mana]]</f>
        <v>1944.5</v>
      </c>
      <c r="D30" s="149" t="n">
        <f aca="false">MIN(1,OFFSET(TblMagic[[#This Row],[Wiz str]],-1,0)+0.04+ROUNDDOWN(10*OFFSET(TblMili[[#This Row],[WG''s]],-1,0),0)+ tech_2_7*OFFSET(TblTech[[#This Row],[2-7]],-1,0) + tech_5_6*OFFSET(TblTech[[#This Row],[5-6]],-1,0) )-TblMagic[[#This Row],[Wiz str cost]]</f>
        <v>0.94</v>
      </c>
      <c r="E30" s="153" t="n">
        <f aca="false">OFFSET(TblMagic[[#This Row],[Time]],-1,0)+1/24</f>
        <v>45430.8333333333</v>
      </c>
      <c r="F30" s="149" t="n">
        <f aca="false">TblImps[[#This Row],[Population]]</f>
        <v>0.890615288999379</v>
      </c>
      <c r="G30" s="248"/>
      <c r="H30" s="248"/>
      <c r="I30" s="248"/>
      <c r="J30" s="248"/>
      <c r="K30" s="312"/>
      <c r="L30" s="248"/>
      <c r="M30" s="248"/>
      <c r="N30" s="248"/>
      <c r="O30" s="248"/>
      <c r="P30" s="248"/>
      <c r="Q30" s="248"/>
      <c r="R30" s="248"/>
      <c r="S30" s="248"/>
      <c r="T30" s="248"/>
      <c r="U30" s="248"/>
      <c r="V30" s="248"/>
      <c r="W30" s="132"/>
      <c r="X3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49" t="n">
        <f aca="false">SUMIF(TblMagic[[#This Row],[Gaia''s Watch]:[Useless spell]],1)*0.05</f>
        <v>0</v>
      </c>
      <c r="Z30" s="132"/>
      <c r="AA30" s="26" t="n">
        <f aca="false">IF(TblMagic[[#This Row],[Gaia''s Watch]],12,IF(OFFSET(TblMagic[[#This Row],[Active Gaia''s Watch]],-1,0)&gt;0,OFFSET(TblMagic[[#This Row],[Active Gaia''s Watch]],-1,0)-1,0))</f>
        <v>0</v>
      </c>
      <c r="AB30" s="26" t="n">
        <f aca="false">IF(TblMagic[[#This Row],[Mining Strength]],12,IF(OFFSET(TblMagic[[#This Row],[Active Mining Strength]],-1,0)&gt;0,OFFSET(TblMagic[[#This Row],[Active Mining Strength]],-1,0)-1,0))</f>
        <v>0</v>
      </c>
      <c r="AC30" s="26" t="n">
        <f aca="false">IF(TblMagic[[#This Row],[Ares Call]],12,IF(OFFSET(TblMagic[[#This Row],[Active Ares Call]],-1,0)&gt;0,OFFSET(TblMagic[[#This Row],[Active Ares Call]],-1,0)-1,0))</f>
        <v>0</v>
      </c>
      <c r="AD30" s="26" t="n">
        <f aca="false">IF(TblMagic[[#This Row],[Midas Touch]],12,IF(OFFSET(TblMagic[[#This Row],[Active Midas Touch]],-1,0)&gt;0,OFFSET(TblMagic[[#This Row],[Active Midas Touch]],-1,0)-1,0))</f>
        <v>1</v>
      </c>
      <c r="AE30" s="26" t="n">
        <f aca="false">IF(TblMagic[[#This Row],[Harmony]],12,IF(OFFSET(TblMagic[[#This Row],[Active Harmony]],-1,0)&gt;0,OFFSET(TblMagic[[#This Row],[Active Harmony]],-1,0)-1,0))</f>
        <v>11</v>
      </c>
      <c r="AF30" s="26" t="n">
        <f aca="false">IF(TblMagic[[#This Row],[Miner''s Sight]],12,IF(OFFSET(TblMagic[[#This Row],[Active Miner''s Sight]],-1,0)&gt;0,OFFSET(TblMagic[[#This Row],[Active Miner''s Sight]],-1,0)-1,0))</f>
        <v>0</v>
      </c>
      <c r="AG30" s="26" t="n">
        <f aca="false">IF(TblMagic[[#This Row],[Mechanical Genius]],12,IF(OFFSET(TblMagic[[#This Row],[Active Mechanical Genius]],-1,0)&gt;0,OFFSET(TblMagic[[#This Row],[Active Mechanical Genius]],-1,0)-1,0))</f>
        <v>0</v>
      </c>
      <c r="AH30" s="26" t="n">
        <f aca="false">IF(TblMagic[[#This Row],[Frenzy]],12,IF(OFFSET(TblMagic[[#This Row],[Active Frenzy]],-1,0)&gt;0,OFFSET(TblMagic[[#This Row],[Active Frenzy]],-1,0)-1,0))</f>
        <v>0</v>
      </c>
      <c r="AI30" s="26" t="n">
        <f aca="false">IF(TblMagic[[#This Row],[Killing Rage / Bloodrage / Crusade]],12,IF(OFFSET(TblMagic[[#This Row],[Active Warsong / Killing Rage / Bloodrage]],-1,0)&gt;0,OFFSET(TblMagic[[#This Row],[Active Warsong / Killing Rage / Bloodrage]],-1,0)-1,0))</f>
        <v>0</v>
      </c>
      <c r="AJ30" s="26" t="n">
        <f aca="false">IF(TblMagic[[#This Row],[Gaia''s Blessing]],12,IF(OFFSET(TblMagic[[#This Row],[Active Gaia''s Blessing]],-1,0)&gt;0,OFFSET(TblMagic[[#This Row],[Active Gaia''s Blessing]],-1,0)-1,0))</f>
        <v>0</v>
      </c>
      <c r="AK30" s="26" t="n">
        <f aca="false">IF(TblMagic[[#This Row],[Howling]],12,IF(OFFSET(TblMagic[[#This Row],[Active Howling]],-1,0)&gt;0,OFFSET(TblMagic[[#This Row],[Active Howling]],-1,0)-1,0))</f>
        <v>0</v>
      </c>
      <c r="AL30" s="26" t="n">
        <f aca="false">IF(TblMagic[[#This Row],[Alchemist Frost]],12,IF(OFFSET(TblMagic[[#This Row],[Active Alch Frost]],-1,0)&gt;0,OFFSET(TblMagic[[#This Row],[Active Alch Frost]],-1,0)-1,0))</f>
        <v>0</v>
      </c>
      <c r="AM30" s="26" t="n">
        <f aca="false">IF(TblMagic[[#This Row],[Alchemists Flame]],12,IF(OFFSET(TblMagic[[#This Row],[Active Alchemists Flame]],-1,0)&gt;0,OFFSET(TblMagic[[#This Row],[Active Alchemists Flame]],-1,0)-1,0))</f>
        <v>11</v>
      </c>
      <c r="AN30" s="26" t="n">
        <f aca="false">IF(TblMagic[[#This Row],[Nightfall]],12,IF(OFFSET(TblMagic[[#This Row],[Active Nightfall]],-1,0)&gt;0,OFFSET(TblMagic[[#This Row],[Active Nightfall]],-1,0)-1,0))</f>
        <v>0</v>
      </c>
      <c r="AO30" s="26" t="n">
        <f aca="false">IF(TblMagic[[#This Row],[Favorable Terrain]],12,IF(OFFSET(TblMagic[[#This Row],[Active Favorable Terrain]],-1,0)&gt;0,OFFSET(TblMagic[[#This Row],[Active Favorable Terrain]],-1,0)-1,0))</f>
        <v>0</v>
      </c>
    </row>
    <row r="31" customFormat="false" ht="12.75" hidden="false" customHeight="false" outlineLevel="0" collapsed="false">
      <c r="A31" s="128" t="n">
        <f aca="false">TblRezone[[#This Row],[Hour]]</f>
        <v>28</v>
      </c>
      <c r="B31" s="146" t="n">
        <f aca="false">TblConstr[[#This Row],[Land]]</f>
        <v>299</v>
      </c>
      <c r="C31" s="69" t="n">
        <f aca="false">TblProd[[#This Row],[Mana]]</f>
        <v>1608</v>
      </c>
      <c r="D31" s="149" t="n">
        <f aca="false">MIN(1,OFFSET(TblMagic[[#This Row],[Wiz str]],-1,0)+0.04+ROUNDDOWN(10*OFFSET(TblMili[[#This Row],[WG''s]],-1,0),0)+ tech_2_7*OFFSET(TblTech[[#This Row],[2-7]],-1,0) + tech_5_6*OFFSET(TblTech[[#This Row],[5-6]],-1,0) )-TblMagic[[#This Row],[Wiz str cost]]</f>
        <v>0.93</v>
      </c>
      <c r="E31" s="153" t="n">
        <f aca="false">OFFSET(TblMagic[[#This Row],[Time]],-1,0)+1/24</f>
        <v>45430.875</v>
      </c>
      <c r="F31" s="149" t="n">
        <f aca="false">TblImps[[#This Row],[Population]]</f>
        <v>0.951522684897452</v>
      </c>
      <c r="G31" s="248"/>
      <c r="H31" s="248"/>
      <c r="I31" s="248"/>
      <c r="J31" s="248" t="n">
        <v>1</v>
      </c>
      <c r="K31" s="312"/>
      <c r="L31" s="248"/>
      <c r="M31" s="248"/>
      <c r="N31" s="248"/>
      <c r="O31" s="248"/>
      <c r="P31" s="248"/>
      <c r="Q31" s="248"/>
      <c r="R31" s="248"/>
      <c r="S31" s="248"/>
      <c r="T31" s="248"/>
      <c r="U31" s="248"/>
      <c r="V31" s="248"/>
      <c r="W31" s="132"/>
      <c r="X3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747.5</v>
      </c>
      <c r="Y31" s="149" t="n">
        <f aca="false">SUMIF(TblMagic[[#This Row],[Gaia''s Watch]:[Useless spell]],1)*0.05</f>
        <v>0.05</v>
      </c>
      <c r="Z31" s="132"/>
      <c r="AA31" s="26" t="n">
        <f aca="false">IF(TblMagic[[#This Row],[Gaia''s Watch]],12,IF(OFFSET(TblMagic[[#This Row],[Active Gaia''s Watch]],-1,0)&gt;0,OFFSET(TblMagic[[#This Row],[Active Gaia''s Watch]],-1,0)-1,0))</f>
        <v>0</v>
      </c>
      <c r="AB31" s="26" t="n">
        <f aca="false">IF(TblMagic[[#This Row],[Mining Strength]],12,IF(OFFSET(TblMagic[[#This Row],[Active Mining Strength]],-1,0)&gt;0,OFFSET(TblMagic[[#This Row],[Active Mining Strength]],-1,0)-1,0))</f>
        <v>0</v>
      </c>
      <c r="AC31" s="26" t="n">
        <f aca="false">IF(TblMagic[[#This Row],[Ares Call]],12,IF(OFFSET(TblMagic[[#This Row],[Active Ares Call]],-1,0)&gt;0,OFFSET(TblMagic[[#This Row],[Active Ares Call]],-1,0)-1,0))</f>
        <v>0</v>
      </c>
      <c r="AD31" s="26" t="n">
        <f aca="false">IF(TblMagic[[#This Row],[Midas Touch]],12,IF(OFFSET(TblMagic[[#This Row],[Active Midas Touch]],-1,0)&gt;0,OFFSET(TblMagic[[#This Row],[Active Midas Touch]],-1,0)-1,0))</f>
        <v>12</v>
      </c>
      <c r="AE31" s="26" t="n">
        <f aca="false">IF(TblMagic[[#This Row],[Harmony]],12,IF(OFFSET(TblMagic[[#This Row],[Active Harmony]],-1,0)&gt;0,OFFSET(TblMagic[[#This Row],[Active Harmony]],-1,0)-1,0))</f>
        <v>10</v>
      </c>
      <c r="AF31" s="26" t="n">
        <f aca="false">IF(TblMagic[[#This Row],[Miner''s Sight]],12,IF(OFFSET(TblMagic[[#This Row],[Active Miner''s Sight]],-1,0)&gt;0,OFFSET(TblMagic[[#This Row],[Active Miner''s Sight]],-1,0)-1,0))</f>
        <v>0</v>
      </c>
      <c r="AG31" s="26" t="n">
        <f aca="false">IF(TblMagic[[#This Row],[Mechanical Genius]],12,IF(OFFSET(TblMagic[[#This Row],[Active Mechanical Genius]],-1,0)&gt;0,OFFSET(TblMagic[[#This Row],[Active Mechanical Genius]],-1,0)-1,0))</f>
        <v>0</v>
      </c>
      <c r="AH31" s="26" t="n">
        <f aca="false">IF(TblMagic[[#This Row],[Frenzy]],12,IF(OFFSET(TblMagic[[#This Row],[Active Frenzy]],-1,0)&gt;0,OFFSET(TblMagic[[#This Row],[Active Frenzy]],-1,0)-1,0))</f>
        <v>0</v>
      </c>
      <c r="AI31" s="26" t="n">
        <f aca="false">IF(TblMagic[[#This Row],[Killing Rage / Bloodrage / Crusade]],12,IF(OFFSET(TblMagic[[#This Row],[Active Warsong / Killing Rage / Bloodrage]],-1,0)&gt;0,OFFSET(TblMagic[[#This Row],[Active Warsong / Killing Rage / Bloodrage]],-1,0)-1,0))</f>
        <v>0</v>
      </c>
      <c r="AJ31" s="26" t="n">
        <f aca="false">IF(TblMagic[[#This Row],[Gaia''s Blessing]],12,IF(OFFSET(TblMagic[[#This Row],[Active Gaia''s Blessing]],-1,0)&gt;0,OFFSET(TblMagic[[#This Row],[Active Gaia''s Blessing]],-1,0)-1,0))</f>
        <v>0</v>
      </c>
      <c r="AK31" s="26" t="n">
        <f aca="false">IF(TblMagic[[#This Row],[Howling]],12,IF(OFFSET(TblMagic[[#This Row],[Active Howling]],-1,0)&gt;0,OFFSET(TblMagic[[#This Row],[Active Howling]],-1,0)-1,0))</f>
        <v>0</v>
      </c>
      <c r="AL31" s="26" t="n">
        <f aca="false">IF(TblMagic[[#This Row],[Alchemist Frost]],12,IF(OFFSET(TblMagic[[#This Row],[Active Alch Frost]],-1,0)&gt;0,OFFSET(TblMagic[[#This Row],[Active Alch Frost]],-1,0)-1,0))</f>
        <v>0</v>
      </c>
      <c r="AM31" s="26" t="n">
        <f aca="false">IF(TblMagic[[#This Row],[Alchemists Flame]],12,IF(OFFSET(TblMagic[[#This Row],[Active Alchemists Flame]],-1,0)&gt;0,OFFSET(TblMagic[[#This Row],[Active Alchemists Flame]],-1,0)-1,0))</f>
        <v>10</v>
      </c>
      <c r="AN31" s="26" t="n">
        <f aca="false">IF(TblMagic[[#This Row],[Nightfall]],12,IF(OFFSET(TblMagic[[#This Row],[Active Nightfall]],-1,0)&gt;0,OFFSET(TblMagic[[#This Row],[Active Nightfall]],-1,0)-1,0))</f>
        <v>0</v>
      </c>
      <c r="AO31" s="26" t="n">
        <f aca="false">IF(TblMagic[[#This Row],[Favorable Terrain]],12,IF(OFFSET(TblMagic[[#This Row],[Active Favorable Terrain]],-1,0)&gt;0,OFFSET(TblMagic[[#This Row],[Active Favorable Terrain]],-1,0)-1,0))</f>
        <v>0</v>
      </c>
    </row>
    <row r="32" customFormat="false" ht="12.75" hidden="false" customHeight="false" outlineLevel="0" collapsed="false">
      <c r="A32" s="128" t="n">
        <f aca="false">TblRezone[[#This Row],[Hour]]</f>
        <v>29</v>
      </c>
      <c r="B32" s="146" t="n">
        <f aca="false">TblConstr[[#This Row],[Land]]</f>
        <v>299</v>
      </c>
      <c r="C32" s="69" t="n">
        <f aca="false">TblProd[[#This Row],[Mana]]</f>
        <v>2026</v>
      </c>
      <c r="D32" s="149" t="n">
        <f aca="false">MIN(1,OFFSET(TblMagic[[#This Row],[Wiz str]],-1,0)+0.04+ROUNDDOWN(10*OFFSET(TblMili[[#This Row],[WG''s]],-1,0),0)+ tech_2_7*OFFSET(TblTech[[#This Row],[2-7]],-1,0) + tech_5_6*OFFSET(TblTech[[#This Row],[5-6]],-1,0) )-TblMagic[[#This Row],[Wiz str cost]]</f>
        <v>0.97</v>
      </c>
      <c r="E32" s="153" t="n">
        <f aca="false">OFFSET(TblMagic[[#This Row],[Time]],-1,0)+1/24</f>
        <v>45430.9166666667</v>
      </c>
      <c r="F32" s="149" t="n">
        <f aca="false">TblImps[[#This Row],[Population]]</f>
        <v>0.932048891651129</v>
      </c>
      <c r="G32" s="248"/>
      <c r="H32" s="248"/>
      <c r="I32" s="248"/>
      <c r="J32" s="248"/>
      <c r="K32" s="312"/>
      <c r="L32" s="248"/>
      <c r="M32" s="248"/>
      <c r="N32" s="248"/>
      <c r="O32" s="248"/>
      <c r="P32" s="248"/>
      <c r="Q32" s="248"/>
      <c r="R32" s="248"/>
      <c r="S32" s="248"/>
      <c r="T32" s="248"/>
      <c r="U32" s="248"/>
      <c r="V32" s="248"/>
      <c r="W32" s="132"/>
      <c r="X3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49" t="n">
        <f aca="false">SUMIF(TblMagic[[#This Row],[Gaia''s Watch]:[Useless spell]],1)*0.05</f>
        <v>0</v>
      </c>
      <c r="Z32" s="132"/>
      <c r="AA32" s="26" t="n">
        <f aca="false">IF(TblMagic[[#This Row],[Gaia''s Watch]],12,IF(OFFSET(TblMagic[[#This Row],[Active Gaia''s Watch]],-1,0)&gt;0,OFFSET(TblMagic[[#This Row],[Active Gaia''s Watch]],-1,0)-1,0))</f>
        <v>0</v>
      </c>
      <c r="AB32" s="26" t="n">
        <f aca="false">IF(TblMagic[[#This Row],[Mining Strength]],12,IF(OFFSET(TblMagic[[#This Row],[Active Mining Strength]],-1,0)&gt;0,OFFSET(TblMagic[[#This Row],[Active Mining Strength]],-1,0)-1,0))</f>
        <v>0</v>
      </c>
      <c r="AC32" s="26" t="n">
        <f aca="false">IF(TblMagic[[#This Row],[Ares Call]],12,IF(OFFSET(TblMagic[[#This Row],[Active Ares Call]],-1,0)&gt;0,OFFSET(TblMagic[[#This Row],[Active Ares Call]],-1,0)-1,0))</f>
        <v>0</v>
      </c>
      <c r="AD32" s="26" t="n">
        <f aca="false">IF(TblMagic[[#This Row],[Midas Touch]],12,IF(OFFSET(TblMagic[[#This Row],[Active Midas Touch]],-1,0)&gt;0,OFFSET(TblMagic[[#This Row],[Active Midas Touch]],-1,0)-1,0))</f>
        <v>11</v>
      </c>
      <c r="AE32" s="26" t="n">
        <f aca="false">IF(TblMagic[[#This Row],[Harmony]],12,IF(OFFSET(TblMagic[[#This Row],[Active Harmony]],-1,0)&gt;0,OFFSET(TblMagic[[#This Row],[Active Harmony]],-1,0)-1,0))</f>
        <v>9</v>
      </c>
      <c r="AF32" s="26" t="n">
        <f aca="false">IF(TblMagic[[#This Row],[Miner''s Sight]],12,IF(OFFSET(TblMagic[[#This Row],[Active Miner''s Sight]],-1,0)&gt;0,OFFSET(TblMagic[[#This Row],[Active Miner''s Sight]],-1,0)-1,0))</f>
        <v>0</v>
      </c>
      <c r="AG32" s="26" t="n">
        <f aca="false">IF(TblMagic[[#This Row],[Mechanical Genius]],12,IF(OFFSET(TblMagic[[#This Row],[Active Mechanical Genius]],-1,0)&gt;0,OFFSET(TblMagic[[#This Row],[Active Mechanical Genius]],-1,0)-1,0))</f>
        <v>0</v>
      </c>
      <c r="AH32" s="26" t="n">
        <f aca="false">IF(TblMagic[[#This Row],[Frenzy]],12,IF(OFFSET(TblMagic[[#This Row],[Active Frenzy]],-1,0)&gt;0,OFFSET(TblMagic[[#This Row],[Active Frenzy]],-1,0)-1,0))</f>
        <v>0</v>
      </c>
      <c r="AI32" s="26" t="n">
        <f aca="false">IF(TblMagic[[#This Row],[Killing Rage / Bloodrage / Crusade]],12,IF(OFFSET(TblMagic[[#This Row],[Active Warsong / Killing Rage / Bloodrage]],-1,0)&gt;0,OFFSET(TblMagic[[#This Row],[Active Warsong / Killing Rage / Bloodrage]],-1,0)-1,0))</f>
        <v>0</v>
      </c>
      <c r="AJ32" s="26" t="n">
        <f aca="false">IF(TblMagic[[#This Row],[Gaia''s Blessing]],12,IF(OFFSET(TblMagic[[#This Row],[Active Gaia''s Blessing]],-1,0)&gt;0,OFFSET(TblMagic[[#This Row],[Active Gaia''s Blessing]],-1,0)-1,0))</f>
        <v>0</v>
      </c>
      <c r="AK32" s="26" t="n">
        <f aca="false">IF(TblMagic[[#This Row],[Howling]],12,IF(OFFSET(TblMagic[[#This Row],[Active Howling]],-1,0)&gt;0,OFFSET(TblMagic[[#This Row],[Active Howling]],-1,0)-1,0))</f>
        <v>0</v>
      </c>
      <c r="AL32" s="26" t="n">
        <f aca="false">IF(TblMagic[[#This Row],[Alchemist Frost]],12,IF(OFFSET(TblMagic[[#This Row],[Active Alch Frost]],-1,0)&gt;0,OFFSET(TblMagic[[#This Row],[Active Alch Frost]],-1,0)-1,0))</f>
        <v>0</v>
      </c>
      <c r="AM32" s="26" t="n">
        <f aca="false">IF(TblMagic[[#This Row],[Alchemists Flame]],12,IF(OFFSET(TblMagic[[#This Row],[Active Alchemists Flame]],-1,0)&gt;0,OFFSET(TblMagic[[#This Row],[Active Alchemists Flame]],-1,0)-1,0))</f>
        <v>9</v>
      </c>
      <c r="AN32" s="26" t="n">
        <f aca="false">IF(TblMagic[[#This Row],[Nightfall]],12,IF(OFFSET(TblMagic[[#This Row],[Active Nightfall]],-1,0)&gt;0,OFFSET(TblMagic[[#This Row],[Active Nightfall]],-1,0)-1,0))</f>
        <v>0</v>
      </c>
      <c r="AO32" s="26" t="n">
        <f aca="false">IF(TblMagic[[#This Row],[Favorable Terrain]],12,IF(OFFSET(TblMagic[[#This Row],[Active Favorable Terrain]],-1,0)&gt;0,OFFSET(TblMagic[[#This Row],[Active Favorable Terrain]],-1,0)-1,0))</f>
        <v>0</v>
      </c>
    </row>
    <row r="33" customFormat="false" ht="12.75" hidden="false" customHeight="false" outlineLevel="0" collapsed="false">
      <c r="A33" s="128" t="n">
        <f aca="false">TblRezone[[#This Row],[Hour]]</f>
        <v>30</v>
      </c>
      <c r="B33" s="146" t="n">
        <f aca="false">TblConstr[[#This Row],[Land]]</f>
        <v>369</v>
      </c>
      <c r="C33" s="69" t="n">
        <f aca="false">TblProd[[#This Row],[Mana]]</f>
        <v>2435</v>
      </c>
      <c r="D33" s="149" t="n">
        <f aca="false">MIN(1,OFFSET(TblMagic[[#This Row],[Wiz str]],-1,0)+0.04+ROUNDDOWN(10*OFFSET(TblMili[[#This Row],[WG''s]],-1,0),0)+ tech_2_7*OFFSET(TblTech[[#This Row],[2-7]],-1,0) + tech_5_6*OFFSET(TblTech[[#This Row],[5-6]],-1,0) )-TblMagic[[#This Row],[Wiz str cost]]</f>
        <v>1</v>
      </c>
      <c r="E33" s="153" t="n">
        <f aca="false">OFFSET(TblMagic[[#This Row],[Time]],-1,0)+1/24</f>
        <v>45430.9583333333</v>
      </c>
      <c r="F33" s="149" t="n">
        <f aca="false">TblImps[[#This Row],[Population]]</f>
        <v>0.91391237509608</v>
      </c>
      <c r="G33" s="248"/>
      <c r="H33" s="248"/>
      <c r="I33" s="248"/>
      <c r="J33" s="248"/>
      <c r="K33" s="312"/>
      <c r="L33" s="248"/>
      <c r="M33" s="248"/>
      <c r="N33" s="248"/>
      <c r="O33" s="248"/>
      <c r="P33" s="248"/>
      <c r="Q33" s="248"/>
      <c r="R33" s="248"/>
      <c r="S33" s="248"/>
      <c r="T33" s="248"/>
      <c r="U33" s="248"/>
      <c r="V33" s="248"/>
      <c r="W33" s="132"/>
      <c r="X3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49" t="n">
        <f aca="false">SUMIF(TblMagic[[#This Row],[Gaia''s Watch]:[Useless spell]],1)*0.05</f>
        <v>0</v>
      </c>
      <c r="Z33" s="132"/>
      <c r="AA33" s="26" t="n">
        <f aca="false">IF(TblMagic[[#This Row],[Gaia''s Watch]],12,IF(OFFSET(TblMagic[[#This Row],[Active Gaia''s Watch]],-1,0)&gt;0,OFFSET(TblMagic[[#This Row],[Active Gaia''s Watch]],-1,0)-1,0))</f>
        <v>0</v>
      </c>
      <c r="AB33" s="26" t="n">
        <f aca="false">IF(TblMagic[[#This Row],[Mining Strength]],12,IF(OFFSET(TblMagic[[#This Row],[Active Mining Strength]],-1,0)&gt;0,OFFSET(TblMagic[[#This Row],[Active Mining Strength]],-1,0)-1,0))</f>
        <v>0</v>
      </c>
      <c r="AC33" s="26" t="n">
        <f aca="false">IF(TblMagic[[#This Row],[Ares Call]],12,IF(OFFSET(TblMagic[[#This Row],[Active Ares Call]],-1,0)&gt;0,OFFSET(TblMagic[[#This Row],[Active Ares Call]],-1,0)-1,0))</f>
        <v>0</v>
      </c>
      <c r="AD33" s="26" t="n">
        <f aca="false">IF(TblMagic[[#This Row],[Midas Touch]],12,IF(OFFSET(TblMagic[[#This Row],[Active Midas Touch]],-1,0)&gt;0,OFFSET(TblMagic[[#This Row],[Active Midas Touch]],-1,0)-1,0))</f>
        <v>10</v>
      </c>
      <c r="AE33" s="26" t="n">
        <f aca="false">IF(TblMagic[[#This Row],[Harmony]],12,IF(OFFSET(TblMagic[[#This Row],[Active Harmony]],-1,0)&gt;0,OFFSET(TblMagic[[#This Row],[Active Harmony]],-1,0)-1,0))</f>
        <v>8</v>
      </c>
      <c r="AF33" s="26" t="n">
        <f aca="false">IF(TblMagic[[#This Row],[Miner''s Sight]],12,IF(OFFSET(TblMagic[[#This Row],[Active Miner''s Sight]],-1,0)&gt;0,OFFSET(TblMagic[[#This Row],[Active Miner''s Sight]],-1,0)-1,0))</f>
        <v>0</v>
      </c>
      <c r="AG33" s="26" t="n">
        <f aca="false">IF(TblMagic[[#This Row],[Mechanical Genius]],12,IF(OFFSET(TblMagic[[#This Row],[Active Mechanical Genius]],-1,0)&gt;0,OFFSET(TblMagic[[#This Row],[Active Mechanical Genius]],-1,0)-1,0))</f>
        <v>0</v>
      </c>
      <c r="AH33" s="26" t="n">
        <f aca="false">IF(TblMagic[[#This Row],[Frenzy]],12,IF(OFFSET(TblMagic[[#This Row],[Active Frenzy]],-1,0)&gt;0,OFFSET(TblMagic[[#This Row],[Active Frenzy]],-1,0)-1,0))</f>
        <v>0</v>
      </c>
      <c r="AI33" s="26" t="n">
        <f aca="false">IF(TblMagic[[#This Row],[Killing Rage / Bloodrage / Crusade]],12,IF(OFFSET(TblMagic[[#This Row],[Active Warsong / Killing Rage / Bloodrage]],-1,0)&gt;0,OFFSET(TblMagic[[#This Row],[Active Warsong / Killing Rage / Bloodrage]],-1,0)-1,0))</f>
        <v>0</v>
      </c>
      <c r="AJ33" s="26" t="n">
        <f aca="false">IF(TblMagic[[#This Row],[Gaia''s Blessing]],12,IF(OFFSET(TblMagic[[#This Row],[Active Gaia''s Blessing]],-1,0)&gt;0,OFFSET(TblMagic[[#This Row],[Active Gaia''s Blessing]],-1,0)-1,0))</f>
        <v>0</v>
      </c>
      <c r="AK33" s="26" t="n">
        <f aca="false">IF(TblMagic[[#This Row],[Howling]],12,IF(OFFSET(TblMagic[[#This Row],[Active Howling]],-1,0)&gt;0,OFFSET(TblMagic[[#This Row],[Active Howling]],-1,0)-1,0))</f>
        <v>0</v>
      </c>
      <c r="AL33" s="26" t="n">
        <f aca="false">IF(TblMagic[[#This Row],[Alchemist Frost]],12,IF(OFFSET(TblMagic[[#This Row],[Active Alch Frost]],-1,0)&gt;0,OFFSET(TblMagic[[#This Row],[Active Alch Frost]],-1,0)-1,0))</f>
        <v>0</v>
      </c>
      <c r="AM33" s="26" t="n">
        <f aca="false">IF(TblMagic[[#This Row],[Alchemists Flame]],12,IF(OFFSET(TblMagic[[#This Row],[Active Alchemists Flame]],-1,0)&gt;0,OFFSET(TblMagic[[#This Row],[Active Alchemists Flame]],-1,0)-1,0))</f>
        <v>8</v>
      </c>
      <c r="AN33" s="26" t="n">
        <f aca="false">IF(TblMagic[[#This Row],[Nightfall]],12,IF(OFFSET(TblMagic[[#This Row],[Active Nightfall]],-1,0)&gt;0,OFFSET(TblMagic[[#This Row],[Active Nightfall]],-1,0)-1,0))</f>
        <v>0</v>
      </c>
      <c r="AO33" s="26" t="n">
        <f aca="false">IF(TblMagic[[#This Row],[Favorable Terrain]],12,IF(OFFSET(TblMagic[[#This Row],[Active Favorable Terrain]],-1,0)&gt;0,OFFSET(TblMagic[[#This Row],[Active Favorable Terrain]],-1,0)-1,0))</f>
        <v>0</v>
      </c>
    </row>
    <row r="34" customFormat="false" ht="12.75" hidden="false" customHeight="false" outlineLevel="0" collapsed="false">
      <c r="A34" s="128" t="n">
        <f aca="false">TblRezone[[#This Row],[Hour]]</f>
        <v>31</v>
      </c>
      <c r="B34" s="146" t="n">
        <f aca="false">TblConstr[[#This Row],[Land]]</f>
        <v>380</v>
      </c>
      <c r="C34" s="69" t="n">
        <f aca="false">TblProd[[#This Row],[Mana]]</f>
        <v>2836</v>
      </c>
      <c r="D34" s="149" t="n">
        <f aca="false">MIN(1,OFFSET(TblMagic[[#This Row],[Wiz str]],-1,0)+0.04+ROUNDDOWN(10*OFFSET(TblMili[[#This Row],[WG''s]],-1,0),0)+ tech_2_7*OFFSET(TblTech[[#This Row],[2-7]],-1,0) + tech_5_6*OFFSET(TblTech[[#This Row],[5-6]],-1,0) )-TblMagic[[#This Row],[Wiz str cost]]</f>
        <v>1</v>
      </c>
      <c r="E34" s="153" t="n">
        <f aca="false">OFFSET(TblMagic[[#This Row],[Time]],-1,0)+1/24</f>
        <v>45431</v>
      </c>
      <c r="F34" s="149" t="n">
        <f aca="false">TblImps[[#This Row],[Population]]</f>
        <v>0.834940159574468</v>
      </c>
      <c r="G34" s="248"/>
      <c r="H34" s="248"/>
      <c r="I34" s="248"/>
      <c r="J34" s="248"/>
      <c r="K34" s="312"/>
      <c r="L34" s="248"/>
      <c r="M34" s="248"/>
      <c r="N34" s="248"/>
      <c r="O34" s="248"/>
      <c r="P34" s="248"/>
      <c r="Q34" s="248"/>
      <c r="R34" s="248"/>
      <c r="S34" s="248"/>
      <c r="T34" s="248"/>
      <c r="U34" s="248"/>
      <c r="V34" s="248"/>
      <c r="W34" s="132"/>
      <c r="X3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49" t="n">
        <f aca="false">SUMIF(TblMagic[[#This Row],[Gaia''s Watch]:[Useless spell]],1)*0.05</f>
        <v>0</v>
      </c>
      <c r="Z34" s="132"/>
      <c r="AA34" s="26" t="n">
        <f aca="false">IF(TblMagic[[#This Row],[Gaia''s Watch]],12,IF(OFFSET(TblMagic[[#This Row],[Active Gaia''s Watch]],-1,0)&gt;0,OFFSET(TblMagic[[#This Row],[Active Gaia''s Watch]],-1,0)-1,0))</f>
        <v>0</v>
      </c>
      <c r="AB34" s="26" t="n">
        <f aca="false">IF(TblMagic[[#This Row],[Mining Strength]],12,IF(OFFSET(TblMagic[[#This Row],[Active Mining Strength]],-1,0)&gt;0,OFFSET(TblMagic[[#This Row],[Active Mining Strength]],-1,0)-1,0))</f>
        <v>0</v>
      </c>
      <c r="AC34" s="26" t="n">
        <f aca="false">IF(TblMagic[[#This Row],[Ares Call]],12,IF(OFFSET(TblMagic[[#This Row],[Active Ares Call]],-1,0)&gt;0,OFFSET(TblMagic[[#This Row],[Active Ares Call]],-1,0)-1,0))</f>
        <v>0</v>
      </c>
      <c r="AD34" s="26" t="n">
        <f aca="false">IF(TblMagic[[#This Row],[Midas Touch]],12,IF(OFFSET(TblMagic[[#This Row],[Active Midas Touch]],-1,0)&gt;0,OFFSET(TblMagic[[#This Row],[Active Midas Touch]],-1,0)-1,0))</f>
        <v>9</v>
      </c>
      <c r="AE34" s="26" t="n">
        <f aca="false">IF(TblMagic[[#This Row],[Harmony]],12,IF(OFFSET(TblMagic[[#This Row],[Active Harmony]],-1,0)&gt;0,OFFSET(TblMagic[[#This Row],[Active Harmony]],-1,0)-1,0))</f>
        <v>7</v>
      </c>
      <c r="AF34" s="26" t="n">
        <f aca="false">IF(TblMagic[[#This Row],[Miner''s Sight]],12,IF(OFFSET(TblMagic[[#This Row],[Active Miner''s Sight]],-1,0)&gt;0,OFFSET(TblMagic[[#This Row],[Active Miner''s Sight]],-1,0)-1,0))</f>
        <v>0</v>
      </c>
      <c r="AG34" s="26" t="n">
        <f aca="false">IF(TblMagic[[#This Row],[Mechanical Genius]],12,IF(OFFSET(TblMagic[[#This Row],[Active Mechanical Genius]],-1,0)&gt;0,OFFSET(TblMagic[[#This Row],[Active Mechanical Genius]],-1,0)-1,0))</f>
        <v>0</v>
      </c>
      <c r="AH34" s="26" t="n">
        <f aca="false">IF(TblMagic[[#This Row],[Frenzy]],12,IF(OFFSET(TblMagic[[#This Row],[Active Frenzy]],-1,0)&gt;0,OFFSET(TblMagic[[#This Row],[Active Frenzy]],-1,0)-1,0))</f>
        <v>0</v>
      </c>
      <c r="AI34" s="26" t="n">
        <f aca="false">IF(TblMagic[[#This Row],[Killing Rage / Bloodrage / Crusade]],12,IF(OFFSET(TblMagic[[#This Row],[Active Warsong / Killing Rage / Bloodrage]],-1,0)&gt;0,OFFSET(TblMagic[[#This Row],[Active Warsong / Killing Rage / Bloodrage]],-1,0)-1,0))</f>
        <v>0</v>
      </c>
      <c r="AJ34" s="26" t="n">
        <f aca="false">IF(TblMagic[[#This Row],[Gaia''s Blessing]],12,IF(OFFSET(TblMagic[[#This Row],[Active Gaia''s Blessing]],-1,0)&gt;0,OFFSET(TblMagic[[#This Row],[Active Gaia''s Blessing]],-1,0)-1,0))</f>
        <v>0</v>
      </c>
      <c r="AK34" s="26" t="n">
        <f aca="false">IF(TblMagic[[#This Row],[Howling]],12,IF(OFFSET(TblMagic[[#This Row],[Active Howling]],-1,0)&gt;0,OFFSET(TblMagic[[#This Row],[Active Howling]],-1,0)-1,0))</f>
        <v>0</v>
      </c>
      <c r="AL34" s="26" t="n">
        <f aca="false">IF(TblMagic[[#This Row],[Alchemist Frost]],12,IF(OFFSET(TblMagic[[#This Row],[Active Alch Frost]],-1,0)&gt;0,OFFSET(TblMagic[[#This Row],[Active Alch Frost]],-1,0)-1,0))</f>
        <v>0</v>
      </c>
      <c r="AM34" s="26" t="n">
        <f aca="false">IF(TblMagic[[#This Row],[Alchemists Flame]],12,IF(OFFSET(TblMagic[[#This Row],[Active Alchemists Flame]],-1,0)&gt;0,OFFSET(TblMagic[[#This Row],[Active Alchemists Flame]],-1,0)-1,0))</f>
        <v>7</v>
      </c>
      <c r="AN34" s="26" t="n">
        <f aca="false">IF(TblMagic[[#This Row],[Nightfall]],12,IF(OFFSET(TblMagic[[#This Row],[Active Nightfall]],-1,0)&gt;0,OFFSET(TblMagic[[#This Row],[Active Nightfall]],-1,0)-1,0))</f>
        <v>0</v>
      </c>
      <c r="AO34" s="26" t="n">
        <f aca="false">IF(TblMagic[[#This Row],[Favorable Terrain]],12,IF(OFFSET(TblMagic[[#This Row],[Active Favorable Terrain]],-1,0)&gt;0,OFFSET(TblMagic[[#This Row],[Active Favorable Terrain]],-1,0)-1,0))</f>
        <v>0</v>
      </c>
    </row>
    <row r="35" customFormat="false" ht="12.75" hidden="false" customHeight="false" outlineLevel="0" collapsed="false">
      <c r="A35" s="128" t="n">
        <f aca="false">TblRezone[[#This Row],[Hour]]</f>
        <v>32</v>
      </c>
      <c r="B35" s="146" t="n">
        <f aca="false">TblConstr[[#This Row],[Land]]</f>
        <v>392</v>
      </c>
      <c r="C35" s="69" t="n">
        <f aca="false">TblProd[[#This Row],[Mana]]</f>
        <v>3229</v>
      </c>
      <c r="D35" s="149" t="n">
        <f aca="false">MIN(1,OFFSET(TblMagic[[#This Row],[Wiz str]],-1,0)+0.04+ROUNDDOWN(10*OFFSET(TblMili[[#This Row],[WG''s]],-1,0),0)+ tech_2_7*OFFSET(TblTech[[#This Row],[2-7]],-1,0) + tech_5_6*OFFSET(TblTech[[#This Row],[5-6]],-1,0) )-TblMagic[[#This Row],[Wiz str cost]]</f>
        <v>1</v>
      </c>
      <c r="E35" s="153" t="n">
        <f aca="false">OFFSET(TblMagic[[#This Row],[Time]],-1,0)+1/24</f>
        <v>45431.0416666667</v>
      </c>
      <c r="F35" s="149" t="n">
        <f aca="false">TblImps[[#This Row],[Population]]</f>
        <v>0.855621874495886</v>
      </c>
      <c r="G35" s="248"/>
      <c r="H35" s="248"/>
      <c r="I35" s="248"/>
      <c r="J35" s="248"/>
      <c r="K35" s="312"/>
      <c r="L35" s="248"/>
      <c r="M35" s="248"/>
      <c r="N35" s="248"/>
      <c r="O35" s="248"/>
      <c r="P35" s="248"/>
      <c r="Q35" s="248"/>
      <c r="R35" s="248"/>
      <c r="S35" s="248"/>
      <c r="T35" s="248"/>
      <c r="U35" s="248"/>
      <c r="V35" s="248"/>
      <c r="W35" s="132"/>
      <c r="X3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49" t="n">
        <f aca="false">SUMIF(TblMagic[[#This Row],[Gaia''s Watch]:[Useless spell]],1)*0.05</f>
        <v>0</v>
      </c>
      <c r="Z35" s="132"/>
      <c r="AA35" s="26" t="n">
        <f aca="false">IF(TblMagic[[#This Row],[Gaia''s Watch]],12,IF(OFFSET(TblMagic[[#This Row],[Active Gaia''s Watch]],-1,0)&gt;0,OFFSET(TblMagic[[#This Row],[Active Gaia''s Watch]],-1,0)-1,0))</f>
        <v>0</v>
      </c>
      <c r="AB35" s="26" t="n">
        <f aca="false">IF(TblMagic[[#This Row],[Mining Strength]],12,IF(OFFSET(TblMagic[[#This Row],[Active Mining Strength]],-1,0)&gt;0,OFFSET(TblMagic[[#This Row],[Active Mining Strength]],-1,0)-1,0))</f>
        <v>0</v>
      </c>
      <c r="AC35" s="26" t="n">
        <f aca="false">IF(TblMagic[[#This Row],[Ares Call]],12,IF(OFFSET(TblMagic[[#This Row],[Active Ares Call]],-1,0)&gt;0,OFFSET(TblMagic[[#This Row],[Active Ares Call]],-1,0)-1,0))</f>
        <v>0</v>
      </c>
      <c r="AD35" s="26" t="n">
        <f aca="false">IF(TblMagic[[#This Row],[Midas Touch]],12,IF(OFFSET(TblMagic[[#This Row],[Active Midas Touch]],-1,0)&gt;0,OFFSET(TblMagic[[#This Row],[Active Midas Touch]],-1,0)-1,0))</f>
        <v>8</v>
      </c>
      <c r="AE35" s="26" t="n">
        <f aca="false">IF(TblMagic[[#This Row],[Harmony]],12,IF(OFFSET(TblMagic[[#This Row],[Active Harmony]],-1,0)&gt;0,OFFSET(TblMagic[[#This Row],[Active Harmony]],-1,0)-1,0))</f>
        <v>6</v>
      </c>
      <c r="AF35" s="26" t="n">
        <f aca="false">IF(TblMagic[[#This Row],[Miner''s Sight]],12,IF(OFFSET(TblMagic[[#This Row],[Active Miner''s Sight]],-1,0)&gt;0,OFFSET(TblMagic[[#This Row],[Active Miner''s Sight]],-1,0)-1,0))</f>
        <v>0</v>
      </c>
      <c r="AG35" s="26" t="n">
        <f aca="false">IF(TblMagic[[#This Row],[Mechanical Genius]],12,IF(OFFSET(TblMagic[[#This Row],[Active Mechanical Genius]],-1,0)&gt;0,OFFSET(TblMagic[[#This Row],[Active Mechanical Genius]],-1,0)-1,0))</f>
        <v>0</v>
      </c>
      <c r="AH35" s="26" t="n">
        <f aca="false">IF(TblMagic[[#This Row],[Frenzy]],12,IF(OFFSET(TblMagic[[#This Row],[Active Frenzy]],-1,0)&gt;0,OFFSET(TblMagic[[#This Row],[Active Frenzy]],-1,0)-1,0))</f>
        <v>0</v>
      </c>
      <c r="AI35" s="26" t="n">
        <f aca="false">IF(TblMagic[[#This Row],[Killing Rage / Bloodrage / Crusade]],12,IF(OFFSET(TblMagic[[#This Row],[Active Warsong / Killing Rage / Bloodrage]],-1,0)&gt;0,OFFSET(TblMagic[[#This Row],[Active Warsong / Killing Rage / Bloodrage]],-1,0)-1,0))</f>
        <v>0</v>
      </c>
      <c r="AJ35" s="26" t="n">
        <f aca="false">IF(TblMagic[[#This Row],[Gaia''s Blessing]],12,IF(OFFSET(TblMagic[[#This Row],[Active Gaia''s Blessing]],-1,0)&gt;0,OFFSET(TblMagic[[#This Row],[Active Gaia''s Blessing]],-1,0)-1,0))</f>
        <v>0</v>
      </c>
      <c r="AK35" s="26" t="n">
        <f aca="false">IF(TblMagic[[#This Row],[Howling]],12,IF(OFFSET(TblMagic[[#This Row],[Active Howling]],-1,0)&gt;0,OFFSET(TblMagic[[#This Row],[Active Howling]],-1,0)-1,0))</f>
        <v>0</v>
      </c>
      <c r="AL35" s="26" t="n">
        <f aca="false">IF(TblMagic[[#This Row],[Alchemist Frost]],12,IF(OFFSET(TblMagic[[#This Row],[Active Alch Frost]],-1,0)&gt;0,OFFSET(TblMagic[[#This Row],[Active Alch Frost]],-1,0)-1,0))</f>
        <v>0</v>
      </c>
      <c r="AM35" s="26" t="n">
        <f aca="false">IF(TblMagic[[#This Row],[Alchemists Flame]],12,IF(OFFSET(TblMagic[[#This Row],[Active Alchemists Flame]],-1,0)&gt;0,OFFSET(TblMagic[[#This Row],[Active Alchemists Flame]],-1,0)-1,0))</f>
        <v>6</v>
      </c>
      <c r="AN35" s="26" t="n">
        <f aca="false">IF(TblMagic[[#This Row],[Nightfall]],12,IF(OFFSET(TblMagic[[#This Row],[Active Nightfall]],-1,0)&gt;0,OFFSET(TblMagic[[#This Row],[Active Nightfall]],-1,0)-1,0))</f>
        <v>0</v>
      </c>
      <c r="AO35" s="26" t="n">
        <f aca="false">IF(TblMagic[[#This Row],[Favorable Terrain]],12,IF(OFFSET(TblMagic[[#This Row],[Active Favorable Terrain]],-1,0)&gt;0,OFFSET(TblMagic[[#This Row],[Active Favorable Terrain]],-1,0)-1,0))</f>
        <v>0</v>
      </c>
    </row>
    <row r="36" customFormat="false" ht="12.75" hidden="false" customHeight="false" outlineLevel="0" collapsed="false">
      <c r="A36" s="128" t="n">
        <f aca="false">TblRezone[[#This Row],[Hour]]</f>
        <v>33</v>
      </c>
      <c r="B36" s="146" t="n">
        <f aca="false">TblConstr[[#This Row],[Land]]</f>
        <v>404</v>
      </c>
      <c r="C36" s="69" t="n">
        <f aca="false">TblProd[[#This Row],[Mana]]</f>
        <v>3614</v>
      </c>
      <c r="D36" s="149" t="n">
        <f aca="false">MIN(1,OFFSET(TblMagic[[#This Row],[Wiz str]],-1,0)+0.04+ROUNDDOWN(10*OFFSET(TblMili[[#This Row],[WG''s]],-1,0),0)+ tech_2_7*OFFSET(TblTech[[#This Row],[2-7]],-1,0) + tech_5_6*OFFSET(TblTech[[#This Row],[5-6]],-1,0) )-TblMagic[[#This Row],[Wiz str cost]]</f>
        <v>1</v>
      </c>
      <c r="E36" s="153" t="n">
        <f aca="false">OFFSET(TblMagic[[#This Row],[Time]],-1,0)+1/24</f>
        <v>45431.0833333333</v>
      </c>
      <c r="F36" s="149" t="n">
        <f aca="false">TblImps[[#This Row],[Population]]</f>
        <v>0.875958079149069</v>
      </c>
      <c r="G36" s="248"/>
      <c r="H36" s="248"/>
      <c r="I36" s="248"/>
      <c r="J36" s="248"/>
      <c r="K36" s="312"/>
      <c r="L36" s="248"/>
      <c r="M36" s="248"/>
      <c r="N36" s="248"/>
      <c r="O36" s="248"/>
      <c r="P36" s="248"/>
      <c r="Q36" s="248"/>
      <c r="R36" s="248"/>
      <c r="S36" s="248"/>
      <c r="T36" s="248"/>
      <c r="U36" s="248"/>
      <c r="V36" s="248"/>
      <c r="W36" s="132"/>
      <c r="X3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49" t="n">
        <f aca="false">SUMIF(TblMagic[[#This Row],[Gaia''s Watch]:[Useless spell]],1)*0.05</f>
        <v>0</v>
      </c>
      <c r="Z36" s="132"/>
      <c r="AA36" s="26" t="n">
        <f aca="false">IF(TblMagic[[#This Row],[Gaia''s Watch]],12,IF(OFFSET(TblMagic[[#This Row],[Active Gaia''s Watch]],-1,0)&gt;0,OFFSET(TblMagic[[#This Row],[Active Gaia''s Watch]],-1,0)-1,0))</f>
        <v>0</v>
      </c>
      <c r="AB36" s="26" t="n">
        <f aca="false">IF(TblMagic[[#This Row],[Mining Strength]],12,IF(OFFSET(TblMagic[[#This Row],[Active Mining Strength]],-1,0)&gt;0,OFFSET(TblMagic[[#This Row],[Active Mining Strength]],-1,0)-1,0))</f>
        <v>0</v>
      </c>
      <c r="AC36" s="26" t="n">
        <f aca="false">IF(TblMagic[[#This Row],[Ares Call]],12,IF(OFFSET(TblMagic[[#This Row],[Active Ares Call]],-1,0)&gt;0,OFFSET(TblMagic[[#This Row],[Active Ares Call]],-1,0)-1,0))</f>
        <v>0</v>
      </c>
      <c r="AD36" s="26" t="n">
        <f aca="false">IF(TblMagic[[#This Row],[Midas Touch]],12,IF(OFFSET(TblMagic[[#This Row],[Active Midas Touch]],-1,0)&gt;0,OFFSET(TblMagic[[#This Row],[Active Midas Touch]],-1,0)-1,0))</f>
        <v>7</v>
      </c>
      <c r="AE36" s="26" t="n">
        <f aca="false">IF(TblMagic[[#This Row],[Harmony]],12,IF(OFFSET(TblMagic[[#This Row],[Active Harmony]],-1,0)&gt;0,OFFSET(TblMagic[[#This Row],[Active Harmony]],-1,0)-1,0))</f>
        <v>5</v>
      </c>
      <c r="AF36" s="26" t="n">
        <f aca="false">IF(TblMagic[[#This Row],[Miner''s Sight]],12,IF(OFFSET(TblMagic[[#This Row],[Active Miner''s Sight]],-1,0)&gt;0,OFFSET(TblMagic[[#This Row],[Active Miner''s Sight]],-1,0)-1,0))</f>
        <v>0</v>
      </c>
      <c r="AG36" s="26" t="n">
        <f aca="false">IF(TblMagic[[#This Row],[Mechanical Genius]],12,IF(OFFSET(TblMagic[[#This Row],[Active Mechanical Genius]],-1,0)&gt;0,OFFSET(TblMagic[[#This Row],[Active Mechanical Genius]],-1,0)-1,0))</f>
        <v>0</v>
      </c>
      <c r="AH36" s="26" t="n">
        <f aca="false">IF(TblMagic[[#This Row],[Frenzy]],12,IF(OFFSET(TblMagic[[#This Row],[Active Frenzy]],-1,0)&gt;0,OFFSET(TblMagic[[#This Row],[Active Frenzy]],-1,0)-1,0))</f>
        <v>0</v>
      </c>
      <c r="AI36" s="26" t="n">
        <f aca="false">IF(TblMagic[[#This Row],[Killing Rage / Bloodrage / Crusade]],12,IF(OFFSET(TblMagic[[#This Row],[Active Warsong / Killing Rage / Bloodrage]],-1,0)&gt;0,OFFSET(TblMagic[[#This Row],[Active Warsong / Killing Rage / Bloodrage]],-1,0)-1,0))</f>
        <v>0</v>
      </c>
      <c r="AJ36" s="26" t="n">
        <f aca="false">IF(TblMagic[[#This Row],[Gaia''s Blessing]],12,IF(OFFSET(TblMagic[[#This Row],[Active Gaia''s Blessing]],-1,0)&gt;0,OFFSET(TblMagic[[#This Row],[Active Gaia''s Blessing]],-1,0)-1,0))</f>
        <v>0</v>
      </c>
      <c r="AK36" s="26" t="n">
        <f aca="false">IF(TblMagic[[#This Row],[Howling]],12,IF(OFFSET(TblMagic[[#This Row],[Active Howling]],-1,0)&gt;0,OFFSET(TblMagic[[#This Row],[Active Howling]],-1,0)-1,0))</f>
        <v>0</v>
      </c>
      <c r="AL36" s="26" t="n">
        <f aca="false">IF(TblMagic[[#This Row],[Alchemist Frost]],12,IF(OFFSET(TblMagic[[#This Row],[Active Alch Frost]],-1,0)&gt;0,OFFSET(TblMagic[[#This Row],[Active Alch Frost]],-1,0)-1,0))</f>
        <v>0</v>
      </c>
      <c r="AM36" s="26" t="n">
        <f aca="false">IF(TblMagic[[#This Row],[Alchemists Flame]],12,IF(OFFSET(TblMagic[[#This Row],[Active Alchemists Flame]],-1,0)&gt;0,OFFSET(TblMagic[[#This Row],[Active Alchemists Flame]],-1,0)-1,0))</f>
        <v>5</v>
      </c>
      <c r="AN36" s="26" t="n">
        <f aca="false">IF(TblMagic[[#This Row],[Nightfall]],12,IF(OFFSET(TblMagic[[#This Row],[Active Nightfall]],-1,0)&gt;0,OFFSET(TblMagic[[#This Row],[Active Nightfall]],-1,0)-1,0))</f>
        <v>0</v>
      </c>
      <c r="AO36" s="26" t="n">
        <f aca="false">IF(TblMagic[[#This Row],[Favorable Terrain]],12,IF(OFFSET(TblMagic[[#This Row],[Active Favorable Terrain]],-1,0)&gt;0,OFFSET(TblMagic[[#This Row],[Active Favorable Terrain]],-1,0)-1,0))</f>
        <v>0</v>
      </c>
    </row>
    <row r="37" customFormat="false" ht="12.75" hidden="false" customHeight="false" outlineLevel="0" collapsed="false">
      <c r="A37" s="128" t="n">
        <f aca="false">TblRezone[[#This Row],[Hour]]</f>
        <v>34</v>
      </c>
      <c r="B37" s="146" t="n">
        <f aca="false">TblConstr[[#This Row],[Land]]</f>
        <v>407</v>
      </c>
      <c r="C37" s="69" t="n">
        <f aca="false">TblProd[[#This Row],[Mana]]</f>
        <v>3992</v>
      </c>
      <c r="D37" s="149" t="n">
        <f aca="false">MIN(1,OFFSET(TblMagic[[#This Row],[Wiz str]],-1,0)+0.04+ROUNDDOWN(10*OFFSET(TblMili[[#This Row],[WG''s]],-1,0),0)+ tech_2_7*OFFSET(TblTech[[#This Row],[2-7]],-1,0) + tech_5_6*OFFSET(TblTech[[#This Row],[5-6]],-1,0) )-TblMagic[[#This Row],[Wiz str cost]]</f>
        <v>1</v>
      </c>
      <c r="E37" s="153" t="n">
        <f aca="false">OFFSET(TblMagic[[#This Row],[Time]],-1,0)+1/24</f>
        <v>45431.125</v>
      </c>
      <c r="F37" s="149" t="n">
        <f aca="false">TblImps[[#This Row],[Population]]</f>
        <v>0.903946160905476</v>
      </c>
      <c r="G37" s="248"/>
      <c r="H37" s="248"/>
      <c r="I37" s="248"/>
      <c r="J37" s="248"/>
      <c r="K37" s="312"/>
      <c r="L37" s="248"/>
      <c r="M37" s="248"/>
      <c r="N37" s="248"/>
      <c r="O37" s="248"/>
      <c r="P37" s="248"/>
      <c r="Q37" s="248"/>
      <c r="R37" s="248"/>
      <c r="S37" s="248"/>
      <c r="T37" s="248"/>
      <c r="U37" s="248"/>
      <c r="V37" s="248"/>
      <c r="W37" s="132"/>
      <c r="X3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49" t="n">
        <f aca="false">SUMIF(TblMagic[[#This Row],[Gaia''s Watch]:[Useless spell]],1)*0.05</f>
        <v>0</v>
      </c>
      <c r="Z37" s="132"/>
      <c r="AA37" s="26" t="n">
        <f aca="false">IF(TblMagic[[#This Row],[Gaia''s Watch]],12,IF(OFFSET(TblMagic[[#This Row],[Active Gaia''s Watch]],-1,0)&gt;0,OFFSET(TblMagic[[#This Row],[Active Gaia''s Watch]],-1,0)-1,0))</f>
        <v>0</v>
      </c>
      <c r="AB37" s="26" t="n">
        <f aca="false">IF(TblMagic[[#This Row],[Mining Strength]],12,IF(OFFSET(TblMagic[[#This Row],[Active Mining Strength]],-1,0)&gt;0,OFFSET(TblMagic[[#This Row],[Active Mining Strength]],-1,0)-1,0))</f>
        <v>0</v>
      </c>
      <c r="AC37" s="26" t="n">
        <f aca="false">IF(TblMagic[[#This Row],[Ares Call]],12,IF(OFFSET(TblMagic[[#This Row],[Active Ares Call]],-1,0)&gt;0,OFFSET(TblMagic[[#This Row],[Active Ares Call]],-1,0)-1,0))</f>
        <v>0</v>
      </c>
      <c r="AD37" s="26" t="n">
        <f aca="false">IF(TblMagic[[#This Row],[Midas Touch]],12,IF(OFFSET(TblMagic[[#This Row],[Active Midas Touch]],-1,0)&gt;0,OFFSET(TblMagic[[#This Row],[Active Midas Touch]],-1,0)-1,0))</f>
        <v>6</v>
      </c>
      <c r="AE37" s="26" t="n">
        <f aca="false">IF(TblMagic[[#This Row],[Harmony]],12,IF(OFFSET(TblMagic[[#This Row],[Active Harmony]],-1,0)&gt;0,OFFSET(TblMagic[[#This Row],[Active Harmony]],-1,0)-1,0))</f>
        <v>4</v>
      </c>
      <c r="AF37" s="26" t="n">
        <f aca="false">IF(TblMagic[[#This Row],[Miner''s Sight]],12,IF(OFFSET(TblMagic[[#This Row],[Active Miner''s Sight]],-1,0)&gt;0,OFFSET(TblMagic[[#This Row],[Active Miner''s Sight]],-1,0)-1,0))</f>
        <v>0</v>
      </c>
      <c r="AG37" s="26" t="n">
        <f aca="false">IF(TblMagic[[#This Row],[Mechanical Genius]],12,IF(OFFSET(TblMagic[[#This Row],[Active Mechanical Genius]],-1,0)&gt;0,OFFSET(TblMagic[[#This Row],[Active Mechanical Genius]],-1,0)-1,0))</f>
        <v>0</v>
      </c>
      <c r="AH37" s="26" t="n">
        <f aca="false">IF(TblMagic[[#This Row],[Frenzy]],12,IF(OFFSET(TblMagic[[#This Row],[Active Frenzy]],-1,0)&gt;0,OFFSET(TblMagic[[#This Row],[Active Frenzy]],-1,0)-1,0))</f>
        <v>0</v>
      </c>
      <c r="AI37" s="26" t="n">
        <f aca="false">IF(TblMagic[[#This Row],[Killing Rage / Bloodrage / Crusade]],12,IF(OFFSET(TblMagic[[#This Row],[Active Warsong / Killing Rage / Bloodrage]],-1,0)&gt;0,OFFSET(TblMagic[[#This Row],[Active Warsong / Killing Rage / Bloodrage]],-1,0)-1,0))</f>
        <v>0</v>
      </c>
      <c r="AJ37" s="26" t="n">
        <f aca="false">IF(TblMagic[[#This Row],[Gaia''s Blessing]],12,IF(OFFSET(TblMagic[[#This Row],[Active Gaia''s Blessing]],-1,0)&gt;0,OFFSET(TblMagic[[#This Row],[Active Gaia''s Blessing]],-1,0)-1,0))</f>
        <v>0</v>
      </c>
      <c r="AK37" s="26" t="n">
        <f aca="false">IF(TblMagic[[#This Row],[Howling]],12,IF(OFFSET(TblMagic[[#This Row],[Active Howling]],-1,0)&gt;0,OFFSET(TblMagic[[#This Row],[Active Howling]],-1,0)-1,0))</f>
        <v>0</v>
      </c>
      <c r="AL37" s="26" t="n">
        <f aca="false">IF(TblMagic[[#This Row],[Alchemist Frost]],12,IF(OFFSET(TblMagic[[#This Row],[Active Alch Frost]],-1,0)&gt;0,OFFSET(TblMagic[[#This Row],[Active Alch Frost]],-1,0)-1,0))</f>
        <v>0</v>
      </c>
      <c r="AM37" s="26" t="n">
        <f aca="false">IF(TblMagic[[#This Row],[Alchemists Flame]],12,IF(OFFSET(TblMagic[[#This Row],[Active Alchemists Flame]],-1,0)&gt;0,OFFSET(TblMagic[[#This Row],[Active Alchemists Flame]],-1,0)-1,0))</f>
        <v>4</v>
      </c>
      <c r="AN37" s="26" t="n">
        <f aca="false">IF(TblMagic[[#This Row],[Nightfall]],12,IF(OFFSET(TblMagic[[#This Row],[Active Nightfall]],-1,0)&gt;0,OFFSET(TblMagic[[#This Row],[Active Nightfall]],-1,0)-1,0))</f>
        <v>0</v>
      </c>
      <c r="AO37" s="26" t="n">
        <f aca="false">IF(TblMagic[[#This Row],[Favorable Terrain]],12,IF(OFFSET(TblMagic[[#This Row],[Active Favorable Terrain]],-1,0)&gt;0,OFFSET(TblMagic[[#This Row],[Active Favorable Terrain]],-1,0)-1,0))</f>
        <v>0</v>
      </c>
    </row>
    <row r="38" customFormat="false" ht="12.75" hidden="false" customHeight="false" outlineLevel="0" collapsed="false">
      <c r="A38" s="128" t="n">
        <f aca="false">TblRezone[[#This Row],[Hour]]</f>
        <v>35</v>
      </c>
      <c r="B38" s="146" t="n">
        <f aca="false">TblConstr[[#This Row],[Land]]</f>
        <v>409</v>
      </c>
      <c r="C38" s="69" t="n">
        <f aca="false">TblProd[[#This Row],[Mana]]</f>
        <v>4362</v>
      </c>
      <c r="D38" s="149" t="n">
        <f aca="false">MIN(1,OFFSET(TblMagic[[#This Row],[Wiz str]],-1,0)+0.04+ROUNDDOWN(10*OFFSET(TblMili[[#This Row],[WG''s]],-1,0),0)+ tech_2_7*OFFSET(TblTech[[#This Row],[2-7]],-1,0) + tech_5_6*OFFSET(TblTech[[#This Row],[5-6]],-1,0) )-TblMagic[[#This Row],[Wiz str cost]]</f>
        <v>1</v>
      </c>
      <c r="E38" s="153" t="n">
        <f aca="false">OFFSET(TblMagic[[#This Row],[Time]],-1,0)+1/24</f>
        <v>45431.1666666667</v>
      </c>
      <c r="F38" s="149" t="n">
        <f aca="false">TblImps[[#This Row],[Population]]</f>
        <v>0.94727245099529</v>
      </c>
      <c r="G38" s="248"/>
      <c r="H38" s="248"/>
      <c r="I38" s="248"/>
      <c r="J38" s="248"/>
      <c r="K38" s="312"/>
      <c r="L38" s="248"/>
      <c r="M38" s="248"/>
      <c r="N38" s="248"/>
      <c r="O38" s="248"/>
      <c r="P38" s="248"/>
      <c r="Q38" s="248"/>
      <c r="R38" s="248"/>
      <c r="S38" s="248"/>
      <c r="T38" s="248"/>
      <c r="U38" s="248"/>
      <c r="V38" s="248"/>
      <c r="W38" s="132"/>
      <c r="X3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49" t="n">
        <f aca="false">SUMIF(TblMagic[[#This Row],[Gaia''s Watch]:[Useless spell]],1)*0.05</f>
        <v>0</v>
      </c>
      <c r="Z38" s="132"/>
      <c r="AA38" s="26" t="n">
        <f aca="false">IF(TblMagic[[#This Row],[Gaia''s Watch]],12,IF(OFFSET(TblMagic[[#This Row],[Active Gaia''s Watch]],-1,0)&gt;0,OFFSET(TblMagic[[#This Row],[Active Gaia''s Watch]],-1,0)-1,0))</f>
        <v>0</v>
      </c>
      <c r="AB38" s="26" t="n">
        <f aca="false">IF(TblMagic[[#This Row],[Mining Strength]],12,IF(OFFSET(TblMagic[[#This Row],[Active Mining Strength]],-1,0)&gt;0,OFFSET(TblMagic[[#This Row],[Active Mining Strength]],-1,0)-1,0))</f>
        <v>0</v>
      </c>
      <c r="AC38" s="26" t="n">
        <f aca="false">IF(TblMagic[[#This Row],[Ares Call]],12,IF(OFFSET(TblMagic[[#This Row],[Active Ares Call]],-1,0)&gt;0,OFFSET(TblMagic[[#This Row],[Active Ares Call]],-1,0)-1,0))</f>
        <v>0</v>
      </c>
      <c r="AD38" s="26" t="n">
        <f aca="false">IF(TblMagic[[#This Row],[Midas Touch]],12,IF(OFFSET(TblMagic[[#This Row],[Active Midas Touch]],-1,0)&gt;0,OFFSET(TblMagic[[#This Row],[Active Midas Touch]],-1,0)-1,0))</f>
        <v>5</v>
      </c>
      <c r="AE38" s="26" t="n">
        <f aca="false">IF(TblMagic[[#This Row],[Harmony]],12,IF(OFFSET(TblMagic[[#This Row],[Active Harmony]],-1,0)&gt;0,OFFSET(TblMagic[[#This Row],[Active Harmony]],-1,0)-1,0))</f>
        <v>3</v>
      </c>
      <c r="AF38" s="26" t="n">
        <f aca="false">IF(TblMagic[[#This Row],[Miner''s Sight]],12,IF(OFFSET(TblMagic[[#This Row],[Active Miner''s Sight]],-1,0)&gt;0,OFFSET(TblMagic[[#This Row],[Active Miner''s Sight]],-1,0)-1,0))</f>
        <v>0</v>
      </c>
      <c r="AG38" s="26" t="n">
        <f aca="false">IF(TblMagic[[#This Row],[Mechanical Genius]],12,IF(OFFSET(TblMagic[[#This Row],[Active Mechanical Genius]],-1,0)&gt;0,OFFSET(TblMagic[[#This Row],[Active Mechanical Genius]],-1,0)-1,0))</f>
        <v>0</v>
      </c>
      <c r="AH38" s="26" t="n">
        <f aca="false">IF(TblMagic[[#This Row],[Frenzy]],12,IF(OFFSET(TblMagic[[#This Row],[Active Frenzy]],-1,0)&gt;0,OFFSET(TblMagic[[#This Row],[Active Frenzy]],-1,0)-1,0))</f>
        <v>0</v>
      </c>
      <c r="AI38" s="26" t="n">
        <f aca="false">IF(TblMagic[[#This Row],[Killing Rage / Bloodrage / Crusade]],12,IF(OFFSET(TblMagic[[#This Row],[Active Warsong / Killing Rage / Bloodrage]],-1,0)&gt;0,OFFSET(TblMagic[[#This Row],[Active Warsong / Killing Rage / Bloodrage]],-1,0)-1,0))</f>
        <v>0</v>
      </c>
      <c r="AJ38" s="26" t="n">
        <f aca="false">IF(TblMagic[[#This Row],[Gaia''s Blessing]],12,IF(OFFSET(TblMagic[[#This Row],[Active Gaia''s Blessing]],-1,0)&gt;0,OFFSET(TblMagic[[#This Row],[Active Gaia''s Blessing]],-1,0)-1,0))</f>
        <v>0</v>
      </c>
      <c r="AK38" s="26" t="n">
        <f aca="false">IF(TblMagic[[#This Row],[Howling]],12,IF(OFFSET(TblMagic[[#This Row],[Active Howling]],-1,0)&gt;0,OFFSET(TblMagic[[#This Row],[Active Howling]],-1,0)-1,0))</f>
        <v>0</v>
      </c>
      <c r="AL38" s="26" t="n">
        <f aca="false">IF(TblMagic[[#This Row],[Alchemist Frost]],12,IF(OFFSET(TblMagic[[#This Row],[Active Alch Frost]],-1,0)&gt;0,OFFSET(TblMagic[[#This Row],[Active Alch Frost]],-1,0)-1,0))</f>
        <v>0</v>
      </c>
      <c r="AM38" s="26" t="n">
        <f aca="false">IF(TblMagic[[#This Row],[Alchemists Flame]],12,IF(OFFSET(TblMagic[[#This Row],[Active Alchemists Flame]],-1,0)&gt;0,OFFSET(TblMagic[[#This Row],[Active Alchemists Flame]],-1,0)-1,0))</f>
        <v>3</v>
      </c>
      <c r="AN38" s="26" t="n">
        <f aca="false">IF(TblMagic[[#This Row],[Nightfall]],12,IF(OFFSET(TblMagic[[#This Row],[Active Nightfall]],-1,0)&gt;0,OFFSET(TblMagic[[#This Row],[Active Nightfall]],-1,0)-1,0))</f>
        <v>0</v>
      </c>
      <c r="AO38" s="26" t="n">
        <f aca="false">IF(TblMagic[[#This Row],[Favorable Terrain]],12,IF(OFFSET(TblMagic[[#This Row],[Active Favorable Terrain]],-1,0)&gt;0,OFFSET(TblMagic[[#This Row],[Active Favorable Terrain]],-1,0)-1,0))</f>
        <v>0</v>
      </c>
    </row>
    <row r="39" customFormat="false" ht="12.75" hidden="false" customHeight="false" outlineLevel="0" collapsed="false">
      <c r="A39" s="128" t="n">
        <f aca="false">TblRezone[[#This Row],[Hour]]</f>
        <v>36</v>
      </c>
      <c r="B39" s="146" t="n">
        <f aca="false">TblConstr[[#This Row],[Land]]</f>
        <v>419</v>
      </c>
      <c r="C39" s="69" t="n">
        <f aca="false">TblProd[[#This Row],[Mana]]</f>
        <v>4725</v>
      </c>
      <c r="D39" s="149" t="n">
        <f aca="false">MIN(1,OFFSET(TblMagic[[#This Row],[Wiz str]],-1,0)+0.04+ROUNDDOWN(10*OFFSET(TblMili[[#This Row],[WG''s]],-1,0),0)+ tech_2_7*OFFSET(TblTech[[#This Row],[2-7]],-1,0) + tech_5_6*OFFSET(TblTech[[#This Row],[5-6]],-1,0) )-TblMagic[[#This Row],[Wiz str cost]]</f>
        <v>1</v>
      </c>
      <c r="E39" s="153" t="n">
        <f aca="false">OFFSET(TblMagic[[#This Row],[Time]],-1,0)+1/24</f>
        <v>45431.2083333333</v>
      </c>
      <c r="F39" s="149" t="n">
        <f aca="false">TblImps[[#This Row],[Population]]</f>
        <v>0.987081267838366</v>
      </c>
      <c r="G39" s="248"/>
      <c r="H39" s="248"/>
      <c r="I39" s="248"/>
      <c r="J39" s="248"/>
      <c r="K39" s="312"/>
      <c r="L39" s="248"/>
      <c r="M39" s="248"/>
      <c r="N39" s="248"/>
      <c r="O39" s="248"/>
      <c r="P39" s="248"/>
      <c r="Q39" s="248"/>
      <c r="R39" s="248"/>
      <c r="S39" s="248"/>
      <c r="T39" s="248"/>
      <c r="U39" s="248"/>
      <c r="V39" s="248"/>
      <c r="W39" s="132"/>
      <c r="X3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49" t="n">
        <f aca="false">SUMIF(TblMagic[[#This Row],[Gaia''s Watch]:[Useless spell]],1)*0.05</f>
        <v>0</v>
      </c>
      <c r="Z39" s="132"/>
      <c r="AA39" s="26" t="n">
        <f aca="false">IF(TblMagic[[#This Row],[Gaia''s Watch]],12,IF(OFFSET(TblMagic[[#This Row],[Active Gaia''s Watch]],-1,0)&gt;0,OFFSET(TblMagic[[#This Row],[Active Gaia''s Watch]],-1,0)-1,0))</f>
        <v>0</v>
      </c>
      <c r="AB39" s="26" t="n">
        <f aca="false">IF(TblMagic[[#This Row],[Mining Strength]],12,IF(OFFSET(TblMagic[[#This Row],[Active Mining Strength]],-1,0)&gt;0,OFFSET(TblMagic[[#This Row],[Active Mining Strength]],-1,0)-1,0))</f>
        <v>0</v>
      </c>
      <c r="AC39" s="26" t="n">
        <f aca="false">IF(TblMagic[[#This Row],[Ares Call]],12,IF(OFFSET(TblMagic[[#This Row],[Active Ares Call]],-1,0)&gt;0,OFFSET(TblMagic[[#This Row],[Active Ares Call]],-1,0)-1,0))</f>
        <v>0</v>
      </c>
      <c r="AD39" s="26" t="n">
        <f aca="false">IF(TblMagic[[#This Row],[Midas Touch]],12,IF(OFFSET(TblMagic[[#This Row],[Active Midas Touch]],-1,0)&gt;0,OFFSET(TblMagic[[#This Row],[Active Midas Touch]],-1,0)-1,0))</f>
        <v>4</v>
      </c>
      <c r="AE39" s="26" t="n">
        <f aca="false">IF(TblMagic[[#This Row],[Harmony]],12,IF(OFFSET(TblMagic[[#This Row],[Active Harmony]],-1,0)&gt;0,OFFSET(TblMagic[[#This Row],[Active Harmony]],-1,0)-1,0))</f>
        <v>2</v>
      </c>
      <c r="AF39" s="26" t="n">
        <f aca="false">IF(TblMagic[[#This Row],[Miner''s Sight]],12,IF(OFFSET(TblMagic[[#This Row],[Active Miner''s Sight]],-1,0)&gt;0,OFFSET(TblMagic[[#This Row],[Active Miner''s Sight]],-1,0)-1,0))</f>
        <v>0</v>
      </c>
      <c r="AG39" s="26" t="n">
        <f aca="false">IF(TblMagic[[#This Row],[Mechanical Genius]],12,IF(OFFSET(TblMagic[[#This Row],[Active Mechanical Genius]],-1,0)&gt;0,OFFSET(TblMagic[[#This Row],[Active Mechanical Genius]],-1,0)-1,0))</f>
        <v>0</v>
      </c>
      <c r="AH39" s="26" t="n">
        <f aca="false">IF(TblMagic[[#This Row],[Frenzy]],12,IF(OFFSET(TblMagic[[#This Row],[Active Frenzy]],-1,0)&gt;0,OFFSET(TblMagic[[#This Row],[Active Frenzy]],-1,0)-1,0))</f>
        <v>0</v>
      </c>
      <c r="AI39" s="26" t="n">
        <f aca="false">IF(TblMagic[[#This Row],[Killing Rage / Bloodrage / Crusade]],12,IF(OFFSET(TblMagic[[#This Row],[Active Warsong / Killing Rage / Bloodrage]],-1,0)&gt;0,OFFSET(TblMagic[[#This Row],[Active Warsong / Killing Rage / Bloodrage]],-1,0)-1,0))</f>
        <v>0</v>
      </c>
      <c r="AJ39" s="26" t="n">
        <f aca="false">IF(TblMagic[[#This Row],[Gaia''s Blessing]],12,IF(OFFSET(TblMagic[[#This Row],[Active Gaia''s Blessing]],-1,0)&gt;0,OFFSET(TblMagic[[#This Row],[Active Gaia''s Blessing]],-1,0)-1,0))</f>
        <v>0</v>
      </c>
      <c r="AK39" s="26" t="n">
        <f aca="false">IF(TblMagic[[#This Row],[Howling]],12,IF(OFFSET(TblMagic[[#This Row],[Active Howling]],-1,0)&gt;0,OFFSET(TblMagic[[#This Row],[Active Howling]],-1,0)-1,0))</f>
        <v>0</v>
      </c>
      <c r="AL39" s="26" t="n">
        <f aca="false">IF(TblMagic[[#This Row],[Alchemist Frost]],12,IF(OFFSET(TblMagic[[#This Row],[Active Alch Frost]],-1,0)&gt;0,OFFSET(TblMagic[[#This Row],[Active Alch Frost]],-1,0)-1,0))</f>
        <v>0</v>
      </c>
      <c r="AM39" s="26" t="n">
        <f aca="false">IF(TblMagic[[#This Row],[Alchemists Flame]],12,IF(OFFSET(TblMagic[[#This Row],[Active Alchemists Flame]],-1,0)&gt;0,OFFSET(TblMagic[[#This Row],[Active Alchemists Flame]],-1,0)-1,0))</f>
        <v>2</v>
      </c>
      <c r="AN39" s="26" t="n">
        <f aca="false">IF(TblMagic[[#This Row],[Nightfall]],12,IF(OFFSET(TblMagic[[#This Row],[Active Nightfall]],-1,0)&gt;0,OFFSET(TblMagic[[#This Row],[Active Nightfall]],-1,0)-1,0))</f>
        <v>0</v>
      </c>
      <c r="AO39" s="26" t="n">
        <f aca="false">IF(TblMagic[[#This Row],[Favorable Terrain]],12,IF(OFFSET(TblMagic[[#This Row],[Active Favorable Terrain]],-1,0)&gt;0,OFFSET(TblMagic[[#This Row],[Active Favorable Terrain]],-1,0)-1,0))</f>
        <v>0</v>
      </c>
    </row>
    <row r="40" customFormat="false" ht="12.75" hidden="false" customHeight="false" outlineLevel="0" collapsed="false">
      <c r="A40" s="128" t="n">
        <f aca="false">TblRezone[[#This Row],[Hour]]</f>
        <v>37</v>
      </c>
      <c r="B40" s="146" t="n">
        <f aca="false">TblConstr[[#This Row],[Land]]</f>
        <v>419</v>
      </c>
      <c r="C40" s="69" t="n">
        <f aca="false">TblProd[[#This Row],[Mana]]</f>
        <v>5081</v>
      </c>
      <c r="D40" s="149" t="n">
        <f aca="false">MIN(1,OFFSET(TblMagic[[#This Row],[Wiz str]],-1,0)+0.04+ROUNDDOWN(10*OFFSET(TblMili[[#This Row],[WG''s]],-1,0),0)+ tech_2_7*OFFSET(TblTech[[#This Row],[2-7]],-1,0) + tech_5_6*OFFSET(TblTech[[#This Row],[5-6]],-1,0) )-TblMagic[[#This Row],[Wiz str cost]]</f>
        <v>1</v>
      </c>
      <c r="E40" s="153" t="n">
        <f aca="false">OFFSET(TblMagic[[#This Row],[Time]],-1,0)+1/24</f>
        <v>45431.25</v>
      </c>
      <c r="F40" s="149" t="n">
        <f aca="false">TblImps[[#This Row],[Population]]</f>
        <v>0.990390301596688</v>
      </c>
      <c r="G40" s="248"/>
      <c r="H40" s="248"/>
      <c r="I40" s="248"/>
      <c r="J40" s="248"/>
      <c r="K40" s="312"/>
      <c r="L40" s="248"/>
      <c r="M40" s="248"/>
      <c r="N40" s="248"/>
      <c r="O40" s="248"/>
      <c r="P40" s="248"/>
      <c r="Q40" s="248"/>
      <c r="R40" s="248"/>
      <c r="S40" s="248"/>
      <c r="T40" s="248"/>
      <c r="U40" s="248"/>
      <c r="V40" s="248"/>
      <c r="W40" s="132"/>
      <c r="X4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49" t="n">
        <f aca="false">SUMIF(TblMagic[[#This Row],[Gaia''s Watch]:[Useless spell]],1)*0.05</f>
        <v>0</v>
      </c>
      <c r="Z40" s="132"/>
      <c r="AA40" s="26" t="n">
        <f aca="false">IF(TblMagic[[#This Row],[Gaia''s Watch]],12,IF(OFFSET(TblMagic[[#This Row],[Active Gaia''s Watch]],-1,0)&gt;0,OFFSET(TblMagic[[#This Row],[Active Gaia''s Watch]],-1,0)-1,0))</f>
        <v>0</v>
      </c>
      <c r="AB40" s="26" t="n">
        <f aca="false">IF(TblMagic[[#This Row],[Mining Strength]],12,IF(OFFSET(TblMagic[[#This Row],[Active Mining Strength]],-1,0)&gt;0,OFFSET(TblMagic[[#This Row],[Active Mining Strength]],-1,0)-1,0))</f>
        <v>0</v>
      </c>
      <c r="AC40" s="26" t="n">
        <f aca="false">IF(TblMagic[[#This Row],[Ares Call]],12,IF(OFFSET(TblMagic[[#This Row],[Active Ares Call]],-1,0)&gt;0,OFFSET(TblMagic[[#This Row],[Active Ares Call]],-1,0)-1,0))</f>
        <v>0</v>
      </c>
      <c r="AD40" s="26" t="n">
        <f aca="false">IF(TblMagic[[#This Row],[Midas Touch]],12,IF(OFFSET(TblMagic[[#This Row],[Active Midas Touch]],-1,0)&gt;0,OFFSET(TblMagic[[#This Row],[Active Midas Touch]],-1,0)-1,0))</f>
        <v>3</v>
      </c>
      <c r="AE40" s="26" t="n">
        <f aca="false">IF(TblMagic[[#This Row],[Harmony]],12,IF(OFFSET(TblMagic[[#This Row],[Active Harmony]],-1,0)&gt;0,OFFSET(TblMagic[[#This Row],[Active Harmony]],-1,0)-1,0))</f>
        <v>1</v>
      </c>
      <c r="AF40" s="26" t="n">
        <f aca="false">IF(TblMagic[[#This Row],[Miner''s Sight]],12,IF(OFFSET(TblMagic[[#This Row],[Active Miner''s Sight]],-1,0)&gt;0,OFFSET(TblMagic[[#This Row],[Active Miner''s Sight]],-1,0)-1,0))</f>
        <v>0</v>
      </c>
      <c r="AG40" s="26" t="n">
        <f aca="false">IF(TblMagic[[#This Row],[Mechanical Genius]],12,IF(OFFSET(TblMagic[[#This Row],[Active Mechanical Genius]],-1,0)&gt;0,OFFSET(TblMagic[[#This Row],[Active Mechanical Genius]],-1,0)-1,0))</f>
        <v>0</v>
      </c>
      <c r="AH40" s="26" t="n">
        <f aca="false">IF(TblMagic[[#This Row],[Frenzy]],12,IF(OFFSET(TblMagic[[#This Row],[Active Frenzy]],-1,0)&gt;0,OFFSET(TblMagic[[#This Row],[Active Frenzy]],-1,0)-1,0))</f>
        <v>0</v>
      </c>
      <c r="AI40" s="26" t="n">
        <f aca="false">IF(TblMagic[[#This Row],[Killing Rage / Bloodrage / Crusade]],12,IF(OFFSET(TblMagic[[#This Row],[Active Warsong / Killing Rage / Bloodrage]],-1,0)&gt;0,OFFSET(TblMagic[[#This Row],[Active Warsong / Killing Rage / Bloodrage]],-1,0)-1,0))</f>
        <v>0</v>
      </c>
      <c r="AJ40" s="26" t="n">
        <f aca="false">IF(TblMagic[[#This Row],[Gaia''s Blessing]],12,IF(OFFSET(TblMagic[[#This Row],[Active Gaia''s Blessing]],-1,0)&gt;0,OFFSET(TblMagic[[#This Row],[Active Gaia''s Blessing]],-1,0)-1,0))</f>
        <v>0</v>
      </c>
      <c r="AK40" s="26" t="n">
        <f aca="false">IF(TblMagic[[#This Row],[Howling]],12,IF(OFFSET(TblMagic[[#This Row],[Active Howling]],-1,0)&gt;0,OFFSET(TblMagic[[#This Row],[Active Howling]],-1,0)-1,0))</f>
        <v>0</v>
      </c>
      <c r="AL40" s="26" t="n">
        <f aca="false">IF(TblMagic[[#This Row],[Alchemist Frost]],12,IF(OFFSET(TblMagic[[#This Row],[Active Alch Frost]],-1,0)&gt;0,OFFSET(TblMagic[[#This Row],[Active Alch Frost]],-1,0)-1,0))</f>
        <v>0</v>
      </c>
      <c r="AM40" s="26" t="n">
        <f aca="false">IF(TblMagic[[#This Row],[Alchemists Flame]],12,IF(OFFSET(TblMagic[[#This Row],[Active Alchemists Flame]],-1,0)&gt;0,OFFSET(TblMagic[[#This Row],[Active Alchemists Flame]],-1,0)-1,0))</f>
        <v>1</v>
      </c>
      <c r="AN40" s="26" t="n">
        <f aca="false">IF(TblMagic[[#This Row],[Nightfall]],12,IF(OFFSET(TblMagic[[#This Row],[Active Nightfall]],-1,0)&gt;0,OFFSET(TblMagic[[#This Row],[Active Nightfall]],-1,0)-1,0))</f>
        <v>0</v>
      </c>
      <c r="AO40" s="26" t="n">
        <f aca="false">IF(TblMagic[[#This Row],[Favorable Terrain]],12,IF(OFFSET(TblMagic[[#This Row],[Active Favorable Terrain]],-1,0)&gt;0,OFFSET(TblMagic[[#This Row],[Active Favorable Terrain]],-1,0)-1,0))</f>
        <v>0</v>
      </c>
    </row>
    <row r="41" customFormat="false" ht="12.75" hidden="false" customHeight="false" outlineLevel="0" collapsed="false">
      <c r="A41" s="128" t="n">
        <f aca="false">TblRezone[[#This Row],[Hour]]</f>
        <v>38</v>
      </c>
      <c r="B41" s="146" t="n">
        <f aca="false">TblConstr[[#This Row],[Land]]</f>
        <v>419</v>
      </c>
      <c r="C41" s="69" t="n">
        <f aca="false">TblProd[[#This Row],[Mana]]</f>
        <v>2286.5</v>
      </c>
      <c r="D41" s="149" t="n">
        <f aca="false">MIN(1,OFFSET(TblMagic[[#This Row],[Wiz str]],-1,0)+0.04+ROUNDDOWN(10*OFFSET(TblMili[[#This Row],[WG''s]],-1,0),0)+ tech_2_7*OFFSET(TblTech[[#This Row],[2-7]],-1,0) + tech_5_6*OFFSET(TblTech[[#This Row],[5-6]],-1,0) )-TblMagic[[#This Row],[Wiz str cost]]</f>
        <v>0.9</v>
      </c>
      <c r="E41" s="153" t="n">
        <f aca="false">OFFSET(TblMagic[[#This Row],[Time]],-1,0)+1/24</f>
        <v>45431.2916666667</v>
      </c>
      <c r="F41" s="149" t="n">
        <f aca="false">TblImps[[#This Row],[Population]]</f>
        <v>0.990390301596688</v>
      </c>
      <c r="G41" s="248"/>
      <c r="H41" s="248"/>
      <c r="I41" s="248"/>
      <c r="J41" s="248"/>
      <c r="K41" s="312" t="n">
        <v>1</v>
      </c>
      <c r="L41" s="248"/>
      <c r="M41" s="248"/>
      <c r="N41" s="248"/>
      <c r="O41" s="248"/>
      <c r="P41" s="248"/>
      <c r="Q41" s="248"/>
      <c r="R41" s="248"/>
      <c r="S41" s="248" t="n">
        <v>1</v>
      </c>
      <c r="T41" s="248"/>
      <c r="U41" s="248"/>
      <c r="V41" s="248"/>
      <c r="W41" s="132"/>
      <c r="X4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3142.5</v>
      </c>
      <c r="Y41" s="149" t="n">
        <f aca="false">SUMIF(TblMagic[[#This Row],[Gaia''s Watch]:[Useless spell]],1)*0.05</f>
        <v>0.1</v>
      </c>
      <c r="Z41" s="132"/>
      <c r="AA41" s="26" t="n">
        <f aca="false">IF(TblMagic[[#This Row],[Gaia''s Watch]],12,IF(OFFSET(TblMagic[[#This Row],[Active Gaia''s Watch]],-1,0)&gt;0,OFFSET(TblMagic[[#This Row],[Active Gaia''s Watch]],-1,0)-1,0))</f>
        <v>0</v>
      </c>
      <c r="AB41" s="26" t="n">
        <f aca="false">IF(TblMagic[[#This Row],[Mining Strength]],12,IF(OFFSET(TblMagic[[#This Row],[Active Mining Strength]],-1,0)&gt;0,OFFSET(TblMagic[[#This Row],[Active Mining Strength]],-1,0)-1,0))</f>
        <v>0</v>
      </c>
      <c r="AC41" s="26" t="n">
        <f aca="false">IF(TblMagic[[#This Row],[Ares Call]],12,IF(OFFSET(TblMagic[[#This Row],[Active Ares Call]],-1,0)&gt;0,OFFSET(TblMagic[[#This Row],[Active Ares Call]],-1,0)-1,0))</f>
        <v>0</v>
      </c>
      <c r="AD41" s="26" t="n">
        <f aca="false">IF(TblMagic[[#This Row],[Midas Touch]],12,IF(OFFSET(TblMagic[[#This Row],[Active Midas Touch]],-1,0)&gt;0,OFFSET(TblMagic[[#This Row],[Active Midas Touch]],-1,0)-1,0))</f>
        <v>2</v>
      </c>
      <c r="AE41" s="26" t="n">
        <f aca="false">IF(TblMagic[[#This Row],[Harmony]],12,IF(OFFSET(TblMagic[[#This Row],[Active Harmony]],-1,0)&gt;0,OFFSET(TblMagic[[#This Row],[Active Harmony]],-1,0)-1,0))</f>
        <v>12</v>
      </c>
      <c r="AF41" s="26" t="n">
        <f aca="false">IF(TblMagic[[#This Row],[Miner''s Sight]],12,IF(OFFSET(TblMagic[[#This Row],[Active Miner''s Sight]],-1,0)&gt;0,OFFSET(TblMagic[[#This Row],[Active Miner''s Sight]],-1,0)-1,0))</f>
        <v>0</v>
      </c>
      <c r="AG41" s="26" t="n">
        <f aca="false">IF(TblMagic[[#This Row],[Mechanical Genius]],12,IF(OFFSET(TblMagic[[#This Row],[Active Mechanical Genius]],-1,0)&gt;0,OFFSET(TblMagic[[#This Row],[Active Mechanical Genius]],-1,0)-1,0))</f>
        <v>0</v>
      </c>
      <c r="AH41" s="26" t="n">
        <f aca="false">IF(TblMagic[[#This Row],[Frenzy]],12,IF(OFFSET(TblMagic[[#This Row],[Active Frenzy]],-1,0)&gt;0,OFFSET(TblMagic[[#This Row],[Active Frenzy]],-1,0)-1,0))</f>
        <v>0</v>
      </c>
      <c r="AI41" s="26" t="n">
        <f aca="false">IF(TblMagic[[#This Row],[Killing Rage / Bloodrage / Crusade]],12,IF(OFFSET(TblMagic[[#This Row],[Active Warsong / Killing Rage / Bloodrage]],-1,0)&gt;0,OFFSET(TblMagic[[#This Row],[Active Warsong / Killing Rage / Bloodrage]],-1,0)-1,0))</f>
        <v>0</v>
      </c>
      <c r="AJ41" s="26" t="n">
        <f aca="false">IF(TblMagic[[#This Row],[Gaia''s Blessing]],12,IF(OFFSET(TblMagic[[#This Row],[Active Gaia''s Blessing]],-1,0)&gt;0,OFFSET(TblMagic[[#This Row],[Active Gaia''s Blessing]],-1,0)-1,0))</f>
        <v>0</v>
      </c>
      <c r="AK41" s="26" t="n">
        <f aca="false">IF(TblMagic[[#This Row],[Howling]],12,IF(OFFSET(TblMagic[[#This Row],[Active Howling]],-1,0)&gt;0,OFFSET(TblMagic[[#This Row],[Active Howling]],-1,0)-1,0))</f>
        <v>0</v>
      </c>
      <c r="AL41" s="26" t="n">
        <f aca="false">IF(TblMagic[[#This Row],[Alchemist Frost]],12,IF(OFFSET(TblMagic[[#This Row],[Active Alch Frost]],-1,0)&gt;0,OFFSET(TblMagic[[#This Row],[Active Alch Frost]],-1,0)-1,0))</f>
        <v>0</v>
      </c>
      <c r="AM41" s="26" t="n">
        <f aca="false">IF(TblMagic[[#This Row],[Alchemists Flame]],12,IF(OFFSET(TblMagic[[#This Row],[Active Alchemists Flame]],-1,0)&gt;0,OFFSET(TblMagic[[#This Row],[Active Alchemists Flame]],-1,0)-1,0))</f>
        <v>12</v>
      </c>
      <c r="AN41" s="26" t="n">
        <f aca="false">IF(TblMagic[[#This Row],[Nightfall]],12,IF(OFFSET(TblMagic[[#This Row],[Active Nightfall]],-1,0)&gt;0,OFFSET(TblMagic[[#This Row],[Active Nightfall]],-1,0)-1,0))</f>
        <v>0</v>
      </c>
      <c r="AO41" s="26" t="n">
        <f aca="false">IF(TblMagic[[#This Row],[Favorable Terrain]],12,IF(OFFSET(TblMagic[[#This Row],[Active Favorable Terrain]],-1,0)&gt;0,OFFSET(TblMagic[[#This Row],[Active Favorable Terrain]],-1,0)-1,0))</f>
        <v>0</v>
      </c>
    </row>
    <row r="42" customFormat="false" ht="12.75" hidden="false" customHeight="false" outlineLevel="0" collapsed="false">
      <c r="A42" s="128" t="n">
        <f aca="false">TblRezone[[#This Row],[Hour]]</f>
        <v>39</v>
      </c>
      <c r="B42" s="146" t="n">
        <f aca="false">TblConstr[[#This Row],[Land]]</f>
        <v>419</v>
      </c>
      <c r="C42" s="69" t="n">
        <f aca="false">TblProd[[#This Row],[Mana]]</f>
        <v>2690.5</v>
      </c>
      <c r="D42" s="149" t="n">
        <f aca="false">MIN(1,OFFSET(TblMagic[[#This Row],[Wiz str]],-1,0)+0.04+ROUNDDOWN(10*OFFSET(TblMili[[#This Row],[WG''s]],-1,0),0)+ tech_2_7*OFFSET(TblTech[[#This Row],[2-7]],-1,0) + tech_5_6*OFFSET(TblTech[[#This Row],[5-6]],-1,0) )-TblMagic[[#This Row],[Wiz str cost]]</f>
        <v>0.94</v>
      </c>
      <c r="E42" s="153" t="n">
        <f aca="false">OFFSET(TblMagic[[#This Row],[Time]],-1,0)+1/24</f>
        <v>45431.3333333333</v>
      </c>
      <c r="F42" s="149" t="n">
        <f aca="false">TblImps[[#This Row],[Population]]</f>
        <v>0.989651094027203</v>
      </c>
      <c r="G42" s="248"/>
      <c r="H42" s="248"/>
      <c r="I42" s="248"/>
      <c r="J42" s="248"/>
      <c r="K42" s="312"/>
      <c r="L42" s="248"/>
      <c r="M42" s="248"/>
      <c r="N42" s="248"/>
      <c r="O42" s="248"/>
      <c r="P42" s="248"/>
      <c r="Q42" s="248"/>
      <c r="R42" s="248"/>
      <c r="S42" s="248"/>
      <c r="T42" s="248"/>
      <c r="U42" s="248"/>
      <c r="V42" s="248"/>
      <c r="W42" s="132"/>
      <c r="X4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49" t="n">
        <f aca="false">SUMIF(TblMagic[[#This Row],[Gaia''s Watch]:[Useless spell]],1)*0.05</f>
        <v>0</v>
      </c>
      <c r="Z42" s="132"/>
      <c r="AA42" s="26" t="n">
        <f aca="false">IF(TblMagic[[#This Row],[Gaia''s Watch]],12,IF(OFFSET(TblMagic[[#This Row],[Active Gaia''s Watch]],-1,0)&gt;0,OFFSET(TblMagic[[#This Row],[Active Gaia''s Watch]],-1,0)-1,0))</f>
        <v>0</v>
      </c>
      <c r="AB42" s="26" t="n">
        <f aca="false">IF(TblMagic[[#This Row],[Mining Strength]],12,IF(OFFSET(TblMagic[[#This Row],[Active Mining Strength]],-1,0)&gt;0,OFFSET(TblMagic[[#This Row],[Active Mining Strength]],-1,0)-1,0))</f>
        <v>0</v>
      </c>
      <c r="AC42" s="26" t="n">
        <f aca="false">IF(TblMagic[[#This Row],[Ares Call]],12,IF(OFFSET(TblMagic[[#This Row],[Active Ares Call]],-1,0)&gt;0,OFFSET(TblMagic[[#This Row],[Active Ares Call]],-1,0)-1,0))</f>
        <v>0</v>
      </c>
      <c r="AD42" s="26" t="n">
        <f aca="false">IF(TblMagic[[#This Row],[Midas Touch]],12,IF(OFFSET(TblMagic[[#This Row],[Active Midas Touch]],-1,0)&gt;0,OFFSET(TblMagic[[#This Row],[Active Midas Touch]],-1,0)-1,0))</f>
        <v>1</v>
      </c>
      <c r="AE42" s="26" t="n">
        <f aca="false">IF(TblMagic[[#This Row],[Harmony]],12,IF(OFFSET(TblMagic[[#This Row],[Active Harmony]],-1,0)&gt;0,OFFSET(TblMagic[[#This Row],[Active Harmony]],-1,0)-1,0))</f>
        <v>11</v>
      </c>
      <c r="AF42" s="26" t="n">
        <f aca="false">IF(TblMagic[[#This Row],[Miner''s Sight]],12,IF(OFFSET(TblMagic[[#This Row],[Active Miner''s Sight]],-1,0)&gt;0,OFFSET(TblMagic[[#This Row],[Active Miner''s Sight]],-1,0)-1,0))</f>
        <v>0</v>
      </c>
      <c r="AG42" s="26" t="n">
        <f aca="false">IF(TblMagic[[#This Row],[Mechanical Genius]],12,IF(OFFSET(TblMagic[[#This Row],[Active Mechanical Genius]],-1,0)&gt;0,OFFSET(TblMagic[[#This Row],[Active Mechanical Genius]],-1,0)-1,0))</f>
        <v>0</v>
      </c>
      <c r="AH42" s="26" t="n">
        <f aca="false">IF(TblMagic[[#This Row],[Frenzy]],12,IF(OFFSET(TblMagic[[#This Row],[Active Frenzy]],-1,0)&gt;0,OFFSET(TblMagic[[#This Row],[Active Frenzy]],-1,0)-1,0))</f>
        <v>0</v>
      </c>
      <c r="AI42" s="26" t="n">
        <f aca="false">IF(TblMagic[[#This Row],[Killing Rage / Bloodrage / Crusade]],12,IF(OFFSET(TblMagic[[#This Row],[Active Warsong / Killing Rage / Bloodrage]],-1,0)&gt;0,OFFSET(TblMagic[[#This Row],[Active Warsong / Killing Rage / Bloodrage]],-1,0)-1,0))</f>
        <v>0</v>
      </c>
      <c r="AJ42" s="26" t="n">
        <f aca="false">IF(TblMagic[[#This Row],[Gaia''s Blessing]],12,IF(OFFSET(TblMagic[[#This Row],[Active Gaia''s Blessing]],-1,0)&gt;0,OFFSET(TblMagic[[#This Row],[Active Gaia''s Blessing]],-1,0)-1,0))</f>
        <v>0</v>
      </c>
      <c r="AK42" s="26" t="n">
        <f aca="false">IF(TblMagic[[#This Row],[Howling]],12,IF(OFFSET(TblMagic[[#This Row],[Active Howling]],-1,0)&gt;0,OFFSET(TblMagic[[#This Row],[Active Howling]],-1,0)-1,0))</f>
        <v>0</v>
      </c>
      <c r="AL42" s="26" t="n">
        <f aca="false">IF(TblMagic[[#This Row],[Alchemist Frost]],12,IF(OFFSET(TblMagic[[#This Row],[Active Alch Frost]],-1,0)&gt;0,OFFSET(TblMagic[[#This Row],[Active Alch Frost]],-1,0)-1,0))</f>
        <v>0</v>
      </c>
      <c r="AM42" s="26" t="n">
        <f aca="false">IF(TblMagic[[#This Row],[Alchemists Flame]],12,IF(OFFSET(TblMagic[[#This Row],[Active Alchemists Flame]],-1,0)&gt;0,OFFSET(TblMagic[[#This Row],[Active Alchemists Flame]],-1,0)-1,0))</f>
        <v>11</v>
      </c>
      <c r="AN42" s="26" t="n">
        <f aca="false">IF(TblMagic[[#This Row],[Nightfall]],12,IF(OFFSET(TblMagic[[#This Row],[Active Nightfall]],-1,0)&gt;0,OFFSET(TblMagic[[#This Row],[Active Nightfall]],-1,0)-1,0))</f>
        <v>0</v>
      </c>
      <c r="AO42" s="26" t="n">
        <f aca="false">IF(TblMagic[[#This Row],[Favorable Terrain]],12,IF(OFFSET(TblMagic[[#This Row],[Active Favorable Terrain]],-1,0)&gt;0,OFFSET(TblMagic[[#This Row],[Active Favorable Terrain]],-1,0)-1,0))</f>
        <v>0</v>
      </c>
    </row>
    <row r="43" customFormat="false" ht="12.75" hidden="false" customHeight="false" outlineLevel="0" collapsed="false">
      <c r="A43" s="128" t="n">
        <f aca="false">TblRezone[[#This Row],[Hour]]</f>
        <v>40</v>
      </c>
      <c r="B43" s="146" t="n">
        <f aca="false">TblConstr[[#This Row],[Land]]</f>
        <v>419</v>
      </c>
      <c r="C43" s="69" t="n">
        <f aca="false">TblProd[[#This Row],[Mana]]</f>
        <v>2039</v>
      </c>
      <c r="D43" s="149" t="n">
        <f aca="false">MIN(1,OFFSET(TblMagic[[#This Row],[Wiz str]],-1,0)+0.04+ROUNDDOWN(10*OFFSET(TblMili[[#This Row],[WG''s]],-1,0),0)+ tech_2_7*OFFSET(TblTech[[#This Row],[2-7]],-1,0) + tech_5_6*OFFSET(TblTech[[#This Row],[5-6]],-1,0) )-TblMagic[[#This Row],[Wiz str cost]]</f>
        <v>0.93</v>
      </c>
      <c r="E43" s="153" t="n">
        <f aca="false">OFFSET(TblMagic[[#This Row],[Time]],-1,0)+1/24</f>
        <v>45431.375</v>
      </c>
      <c r="F43" s="149" t="n">
        <f aca="false">TblImps[[#This Row],[Population]]</f>
        <v>0.990390301596688</v>
      </c>
      <c r="G43" s="248"/>
      <c r="H43" s="248"/>
      <c r="I43" s="248"/>
      <c r="J43" s="248" t="n">
        <v>1</v>
      </c>
      <c r="K43" s="312"/>
      <c r="L43" s="248"/>
      <c r="M43" s="248"/>
      <c r="N43" s="248"/>
      <c r="O43" s="248"/>
      <c r="P43" s="248"/>
      <c r="Q43" s="248"/>
      <c r="R43" s="248"/>
      <c r="S43" s="248"/>
      <c r="T43" s="248"/>
      <c r="U43" s="248"/>
      <c r="V43" s="248"/>
      <c r="W43" s="132"/>
      <c r="X4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1047.5</v>
      </c>
      <c r="Y43" s="149" t="n">
        <f aca="false">SUMIF(TblMagic[[#This Row],[Gaia''s Watch]:[Useless spell]],1)*0.05</f>
        <v>0.05</v>
      </c>
      <c r="Z43" s="132"/>
      <c r="AA43" s="26" t="n">
        <f aca="false">IF(TblMagic[[#This Row],[Gaia''s Watch]],12,IF(OFFSET(TblMagic[[#This Row],[Active Gaia''s Watch]],-1,0)&gt;0,OFFSET(TblMagic[[#This Row],[Active Gaia''s Watch]],-1,0)-1,0))</f>
        <v>0</v>
      </c>
      <c r="AB43" s="26" t="n">
        <f aca="false">IF(TblMagic[[#This Row],[Mining Strength]],12,IF(OFFSET(TblMagic[[#This Row],[Active Mining Strength]],-1,0)&gt;0,OFFSET(TblMagic[[#This Row],[Active Mining Strength]],-1,0)-1,0))</f>
        <v>0</v>
      </c>
      <c r="AC43" s="26" t="n">
        <f aca="false">IF(TblMagic[[#This Row],[Ares Call]],12,IF(OFFSET(TblMagic[[#This Row],[Active Ares Call]],-1,0)&gt;0,OFFSET(TblMagic[[#This Row],[Active Ares Call]],-1,0)-1,0))</f>
        <v>0</v>
      </c>
      <c r="AD43" s="26" t="n">
        <f aca="false">IF(TblMagic[[#This Row],[Midas Touch]],12,IF(OFFSET(TblMagic[[#This Row],[Active Midas Touch]],-1,0)&gt;0,OFFSET(TblMagic[[#This Row],[Active Midas Touch]],-1,0)-1,0))</f>
        <v>12</v>
      </c>
      <c r="AE43" s="26" t="n">
        <f aca="false">IF(TblMagic[[#This Row],[Harmony]],12,IF(OFFSET(TblMagic[[#This Row],[Active Harmony]],-1,0)&gt;0,OFFSET(TblMagic[[#This Row],[Active Harmony]],-1,0)-1,0))</f>
        <v>10</v>
      </c>
      <c r="AF43" s="26" t="n">
        <f aca="false">IF(TblMagic[[#This Row],[Miner''s Sight]],12,IF(OFFSET(TblMagic[[#This Row],[Active Miner''s Sight]],-1,0)&gt;0,OFFSET(TblMagic[[#This Row],[Active Miner''s Sight]],-1,0)-1,0))</f>
        <v>0</v>
      </c>
      <c r="AG43" s="26" t="n">
        <f aca="false">IF(TblMagic[[#This Row],[Mechanical Genius]],12,IF(OFFSET(TblMagic[[#This Row],[Active Mechanical Genius]],-1,0)&gt;0,OFFSET(TblMagic[[#This Row],[Active Mechanical Genius]],-1,0)-1,0))</f>
        <v>0</v>
      </c>
      <c r="AH43" s="26" t="n">
        <f aca="false">IF(TblMagic[[#This Row],[Frenzy]],12,IF(OFFSET(TblMagic[[#This Row],[Active Frenzy]],-1,0)&gt;0,OFFSET(TblMagic[[#This Row],[Active Frenzy]],-1,0)-1,0))</f>
        <v>0</v>
      </c>
      <c r="AI43" s="26" t="n">
        <f aca="false">IF(TblMagic[[#This Row],[Killing Rage / Bloodrage / Crusade]],12,IF(OFFSET(TblMagic[[#This Row],[Active Warsong / Killing Rage / Bloodrage]],-1,0)&gt;0,OFFSET(TblMagic[[#This Row],[Active Warsong / Killing Rage / Bloodrage]],-1,0)-1,0))</f>
        <v>0</v>
      </c>
      <c r="AJ43" s="26" t="n">
        <f aca="false">IF(TblMagic[[#This Row],[Gaia''s Blessing]],12,IF(OFFSET(TblMagic[[#This Row],[Active Gaia''s Blessing]],-1,0)&gt;0,OFFSET(TblMagic[[#This Row],[Active Gaia''s Blessing]],-1,0)-1,0))</f>
        <v>0</v>
      </c>
      <c r="AK43" s="26" t="n">
        <f aca="false">IF(TblMagic[[#This Row],[Howling]],12,IF(OFFSET(TblMagic[[#This Row],[Active Howling]],-1,0)&gt;0,OFFSET(TblMagic[[#This Row],[Active Howling]],-1,0)-1,0))</f>
        <v>0</v>
      </c>
      <c r="AL43" s="26" t="n">
        <f aca="false">IF(TblMagic[[#This Row],[Alchemist Frost]],12,IF(OFFSET(TblMagic[[#This Row],[Active Alch Frost]],-1,0)&gt;0,OFFSET(TblMagic[[#This Row],[Active Alch Frost]],-1,0)-1,0))</f>
        <v>0</v>
      </c>
      <c r="AM43" s="26" t="n">
        <f aca="false">IF(TblMagic[[#This Row],[Alchemists Flame]],12,IF(OFFSET(TblMagic[[#This Row],[Active Alchemists Flame]],-1,0)&gt;0,OFFSET(TblMagic[[#This Row],[Active Alchemists Flame]],-1,0)-1,0))</f>
        <v>10</v>
      </c>
      <c r="AN43" s="26" t="n">
        <f aca="false">IF(TblMagic[[#This Row],[Nightfall]],12,IF(OFFSET(TblMagic[[#This Row],[Active Nightfall]],-1,0)&gt;0,OFFSET(TblMagic[[#This Row],[Active Nightfall]],-1,0)-1,0))</f>
        <v>0</v>
      </c>
      <c r="AO43" s="26" t="n">
        <f aca="false">IF(TblMagic[[#This Row],[Favorable Terrain]],12,IF(OFFSET(TblMagic[[#This Row],[Active Favorable Terrain]],-1,0)&gt;0,OFFSET(TblMagic[[#This Row],[Active Favorable Terrain]],-1,0)-1,0))</f>
        <v>0</v>
      </c>
    </row>
    <row r="44" customFormat="false" ht="12.75" hidden="false" customHeight="false" outlineLevel="0" collapsed="false">
      <c r="A44" s="128" t="n">
        <f aca="false">TblRezone[[#This Row],[Hour]]</f>
        <v>41</v>
      </c>
      <c r="B44" s="146" t="n">
        <f aca="false">TblConstr[[#This Row],[Land]]</f>
        <v>501</v>
      </c>
      <c r="C44" s="69" t="n">
        <f aca="false">TblProd[[#This Row],[Mana]]</f>
        <v>2448</v>
      </c>
      <c r="D44" s="149" t="n">
        <f aca="false">MIN(1,OFFSET(TblMagic[[#This Row],[Wiz str]],-1,0)+0.04+ROUNDDOWN(10*OFFSET(TblMili[[#This Row],[WG''s]],-1,0),0)+ tech_2_7*OFFSET(TblTech[[#This Row],[2-7]],-1,0) + tech_5_6*OFFSET(TblTech[[#This Row],[5-6]],-1,0) )-TblMagic[[#This Row],[Wiz str cost]]</f>
        <v>0.97</v>
      </c>
      <c r="E44" s="153" t="n">
        <f aca="false">OFFSET(TblMagic[[#This Row],[Time]],-1,0)+1/24</f>
        <v>45431.4166666667</v>
      </c>
      <c r="F44" s="149" t="n">
        <f aca="false">TblImps[[#This Row],[Population]]</f>
        <v>0.977515614156836</v>
      </c>
      <c r="G44" s="248"/>
      <c r="H44" s="248"/>
      <c r="I44" s="248"/>
      <c r="J44" s="248"/>
      <c r="K44" s="312"/>
      <c r="L44" s="248"/>
      <c r="M44" s="248"/>
      <c r="N44" s="248"/>
      <c r="O44" s="248"/>
      <c r="P44" s="248"/>
      <c r="Q44" s="248"/>
      <c r="R44" s="248"/>
      <c r="S44" s="248"/>
      <c r="T44" s="248"/>
      <c r="U44" s="248"/>
      <c r="V44" s="248"/>
      <c r="W44" s="132"/>
      <c r="X4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49" t="n">
        <f aca="false">SUMIF(TblMagic[[#This Row],[Gaia''s Watch]:[Useless spell]],1)*0.05</f>
        <v>0</v>
      </c>
      <c r="Z44" s="132"/>
      <c r="AA44" s="26" t="n">
        <f aca="false">IF(TblMagic[[#This Row],[Gaia''s Watch]],12,IF(OFFSET(TblMagic[[#This Row],[Active Gaia''s Watch]],-1,0)&gt;0,OFFSET(TblMagic[[#This Row],[Active Gaia''s Watch]],-1,0)-1,0))</f>
        <v>0</v>
      </c>
      <c r="AB44" s="26" t="n">
        <f aca="false">IF(TblMagic[[#This Row],[Mining Strength]],12,IF(OFFSET(TblMagic[[#This Row],[Active Mining Strength]],-1,0)&gt;0,OFFSET(TblMagic[[#This Row],[Active Mining Strength]],-1,0)-1,0))</f>
        <v>0</v>
      </c>
      <c r="AC44" s="26" t="n">
        <f aca="false">IF(TblMagic[[#This Row],[Ares Call]],12,IF(OFFSET(TblMagic[[#This Row],[Active Ares Call]],-1,0)&gt;0,OFFSET(TblMagic[[#This Row],[Active Ares Call]],-1,0)-1,0))</f>
        <v>0</v>
      </c>
      <c r="AD44" s="26" t="n">
        <f aca="false">IF(TblMagic[[#This Row],[Midas Touch]],12,IF(OFFSET(TblMagic[[#This Row],[Active Midas Touch]],-1,0)&gt;0,OFFSET(TblMagic[[#This Row],[Active Midas Touch]],-1,0)-1,0))</f>
        <v>11</v>
      </c>
      <c r="AE44" s="26" t="n">
        <f aca="false">IF(TblMagic[[#This Row],[Harmony]],12,IF(OFFSET(TblMagic[[#This Row],[Active Harmony]],-1,0)&gt;0,OFFSET(TblMagic[[#This Row],[Active Harmony]],-1,0)-1,0))</f>
        <v>9</v>
      </c>
      <c r="AF44" s="26" t="n">
        <f aca="false">IF(TblMagic[[#This Row],[Miner''s Sight]],12,IF(OFFSET(TblMagic[[#This Row],[Active Miner''s Sight]],-1,0)&gt;0,OFFSET(TblMagic[[#This Row],[Active Miner''s Sight]],-1,0)-1,0))</f>
        <v>0</v>
      </c>
      <c r="AG44" s="26" t="n">
        <f aca="false">IF(TblMagic[[#This Row],[Mechanical Genius]],12,IF(OFFSET(TblMagic[[#This Row],[Active Mechanical Genius]],-1,0)&gt;0,OFFSET(TblMagic[[#This Row],[Active Mechanical Genius]],-1,0)-1,0))</f>
        <v>0</v>
      </c>
      <c r="AH44" s="26" t="n">
        <f aca="false">IF(TblMagic[[#This Row],[Frenzy]],12,IF(OFFSET(TblMagic[[#This Row],[Active Frenzy]],-1,0)&gt;0,OFFSET(TblMagic[[#This Row],[Active Frenzy]],-1,0)-1,0))</f>
        <v>0</v>
      </c>
      <c r="AI44" s="26" t="n">
        <f aca="false">IF(TblMagic[[#This Row],[Killing Rage / Bloodrage / Crusade]],12,IF(OFFSET(TblMagic[[#This Row],[Active Warsong / Killing Rage / Bloodrage]],-1,0)&gt;0,OFFSET(TblMagic[[#This Row],[Active Warsong / Killing Rage / Bloodrage]],-1,0)-1,0))</f>
        <v>0</v>
      </c>
      <c r="AJ44" s="26" t="n">
        <f aca="false">IF(TblMagic[[#This Row],[Gaia''s Blessing]],12,IF(OFFSET(TblMagic[[#This Row],[Active Gaia''s Blessing]],-1,0)&gt;0,OFFSET(TblMagic[[#This Row],[Active Gaia''s Blessing]],-1,0)-1,0))</f>
        <v>0</v>
      </c>
      <c r="AK44" s="26" t="n">
        <f aca="false">IF(TblMagic[[#This Row],[Howling]],12,IF(OFFSET(TblMagic[[#This Row],[Active Howling]],-1,0)&gt;0,OFFSET(TblMagic[[#This Row],[Active Howling]],-1,0)-1,0))</f>
        <v>0</v>
      </c>
      <c r="AL44" s="26" t="n">
        <f aca="false">IF(TblMagic[[#This Row],[Alchemist Frost]],12,IF(OFFSET(TblMagic[[#This Row],[Active Alch Frost]],-1,0)&gt;0,OFFSET(TblMagic[[#This Row],[Active Alch Frost]],-1,0)-1,0))</f>
        <v>0</v>
      </c>
      <c r="AM44" s="26" t="n">
        <f aca="false">IF(TblMagic[[#This Row],[Alchemists Flame]],12,IF(OFFSET(TblMagic[[#This Row],[Active Alchemists Flame]],-1,0)&gt;0,OFFSET(TblMagic[[#This Row],[Active Alchemists Flame]],-1,0)-1,0))</f>
        <v>9</v>
      </c>
      <c r="AN44" s="26" t="n">
        <f aca="false">IF(TblMagic[[#This Row],[Nightfall]],12,IF(OFFSET(TblMagic[[#This Row],[Active Nightfall]],-1,0)&gt;0,OFFSET(TblMagic[[#This Row],[Active Nightfall]],-1,0)-1,0))</f>
        <v>0</v>
      </c>
      <c r="AO44" s="26" t="n">
        <f aca="false">IF(TblMagic[[#This Row],[Favorable Terrain]],12,IF(OFFSET(TblMagic[[#This Row],[Active Favorable Terrain]],-1,0)&gt;0,OFFSET(TblMagic[[#This Row],[Active Favorable Terrain]],-1,0)-1,0))</f>
        <v>0</v>
      </c>
    </row>
    <row r="45" customFormat="false" ht="12.75" hidden="false" customHeight="false" outlineLevel="0" collapsed="false">
      <c r="A45" s="128" t="n">
        <f aca="false">TblRezone[[#This Row],[Hour]]</f>
        <v>42</v>
      </c>
      <c r="B45" s="146" t="n">
        <f aca="false">TblConstr[[#This Row],[Land]]</f>
        <v>510</v>
      </c>
      <c r="C45" s="69" t="n">
        <f aca="false">TblProd[[#This Row],[Mana]]</f>
        <v>2849</v>
      </c>
      <c r="D45" s="149" t="n">
        <f aca="false">MIN(1,OFFSET(TblMagic[[#This Row],[Wiz str]],-1,0)+0.04+ROUNDDOWN(10*OFFSET(TblMili[[#This Row],[WG''s]],-1,0),0)+ tech_2_7*OFFSET(TblTech[[#This Row],[2-7]],-1,0) + tech_5_6*OFFSET(TblTech[[#This Row],[5-6]],-1,0) )-TblMagic[[#This Row],[Wiz str cost]]</f>
        <v>1</v>
      </c>
      <c r="E45" s="153" t="n">
        <f aca="false">OFFSET(TblMagic[[#This Row],[Time]],-1,0)+1/24</f>
        <v>45431.4583333333</v>
      </c>
      <c r="F45" s="149" t="n">
        <f aca="false">TblImps[[#This Row],[Population]]</f>
        <v>0.909537856440511</v>
      </c>
      <c r="G45" s="248"/>
      <c r="H45" s="248"/>
      <c r="I45" s="248"/>
      <c r="J45" s="248"/>
      <c r="K45" s="312"/>
      <c r="L45" s="248"/>
      <c r="M45" s="248"/>
      <c r="N45" s="248"/>
      <c r="O45" s="248"/>
      <c r="P45" s="248"/>
      <c r="Q45" s="248"/>
      <c r="R45" s="248"/>
      <c r="S45" s="248"/>
      <c r="T45" s="248"/>
      <c r="U45" s="248"/>
      <c r="V45" s="248"/>
      <c r="W45" s="132"/>
      <c r="X4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49" t="n">
        <f aca="false">SUMIF(TblMagic[[#This Row],[Gaia''s Watch]:[Useless spell]],1)*0.05</f>
        <v>0</v>
      </c>
      <c r="Z45" s="132"/>
      <c r="AA45" s="26" t="n">
        <f aca="false">IF(TblMagic[[#This Row],[Gaia''s Watch]],12,IF(OFFSET(TblMagic[[#This Row],[Active Gaia''s Watch]],-1,0)&gt;0,OFFSET(TblMagic[[#This Row],[Active Gaia''s Watch]],-1,0)-1,0))</f>
        <v>0</v>
      </c>
      <c r="AB45" s="26" t="n">
        <f aca="false">IF(TblMagic[[#This Row],[Mining Strength]],12,IF(OFFSET(TblMagic[[#This Row],[Active Mining Strength]],-1,0)&gt;0,OFFSET(TblMagic[[#This Row],[Active Mining Strength]],-1,0)-1,0))</f>
        <v>0</v>
      </c>
      <c r="AC45" s="26" t="n">
        <f aca="false">IF(TblMagic[[#This Row],[Ares Call]],12,IF(OFFSET(TblMagic[[#This Row],[Active Ares Call]],-1,0)&gt;0,OFFSET(TblMagic[[#This Row],[Active Ares Call]],-1,0)-1,0))</f>
        <v>0</v>
      </c>
      <c r="AD45" s="26" t="n">
        <f aca="false">IF(TblMagic[[#This Row],[Midas Touch]],12,IF(OFFSET(TblMagic[[#This Row],[Active Midas Touch]],-1,0)&gt;0,OFFSET(TblMagic[[#This Row],[Active Midas Touch]],-1,0)-1,0))</f>
        <v>10</v>
      </c>
      <c r="AE45" s="26" t="n">
        <f aca="false">IF(TblMagic[[#This Row],[Harmony]],12,IF(OFFSET(TblMagic[[#This Row],[Active Harmony]],-1,0)&gt;0,OFFSET(TblMagic[[#This Row],[Active Harmony]],-1,0)-1,0))</f>
        <v>8</v>
      </c>
      <c r="AF45" s="26" t="n">
        <f aca="false">IF(TblMagic[[#This Row],[Miner''s Sight]],12,IF(OFFSET(TblMagic[[#This Row],[Active Miner''s Sight]],-1,0)&gt;0,OFFSET(TblMagic[[#This Row],[Active Miner''s Sight]],-1,0)-1,0))</f>
        <v>0</v>
      </c>
      <c r="AG45" s="26" t="n">
        <f aca="false">IF(TblMagic[[#This Row],[Mechanical Genius]],12,IF(OFFSET(TblMagic[[#This Row],[Active Mechanical Genius]],-1,0)&gt;0,OFFSET(TblMagic[[#This Row],[Active Mechanical Genius]],-1,0)-1,0))</f>
        <v>0</v>
      </c>
      <c r="AH45" s="26" t="n">
        <f aca="false">IF(TblMagic[[#This Row],[Frenzy]],12,IF(OFFSET(TblMagic[[#This Row],[Active Frenzy]],-1,0)&gt;0,OFFSET(TblMagic[[#This Row],[Active Frenzy]],-1,0)-1,0))</f>
        <v>0</v>
      </c>
      <c r="AI45" s="26" t="n">
        <f aca="false">IF(TblMagic[[#This Row],[Killing Rage / Bloodrage / Crusade]],12,IF(OFFSET(TblMagic[[#This Row],[Active Warsong / Killing Rage / Bloodrage]],-1,0)&gt;0,OFFSET(TblMagic[[#This Row],[Active Warsong / Killing Rage / Bloodrage]],-1,0)-1,0))</f>
        <v>0</v>
      </c>
      <c r="AJ45" s="26" t="n">
        <f aca="false">IF(TblMagic[[#This Row],[Gaia''s Blessing]],12,IF(OFFSET(TblMagic[[#This Row],[Active Gaia''s Blessing]],-1,0)&gt;0,OFFSET(TblMagic[[#This Row],[Active Gaia''s Blessing]],-1,0)-1,0))</f>
        <v>0</v>
      </c>
      <c r="AK45" s="26" t="n">
        <f aca="false">IF(TblMagic[[#This Row],[Howling]],12,IF(OFFSET(TblMagic[[#This Row],[Active Howling]],-1,0)&gt;0,OFFSET(TblMagic[[#This Row],[Active Howling]],-1,0)-1,0))</f>
        <v>0</v>
      </c>
      <c r="AL45" s="26" t="n">
        <f aca="false">IF(TblMagic[[#This Row],[Alchemist Frost]],12,IF(OFFSET(TblMagic[[#This Row],[Active Alch Frost]],-1,0)&gt;0,OFFSET(TblMagic[[#This Row],[Active Alch Frost]],-1,0)-1,0))</f>
        <v>0</v>
      </c>
      <c r="AM45" s="26" t="n">
        <f aca="false">IF(TblMagic[[#This Row],[Alchemists Flame]],12,IF(OFFSET(TblMagic[[#This Row],[Active Alchemists Flame]],-1,0)&gt;0,OFFSET(TblMagic[[#This Row],[Active Alchemists Flame]],-1,0)-1,0))</f>
        <v>8</v>
      </c>
      <c r="AN45" s="26" t="n">
        <f aca="false">IF(TblMagic[[#This Row],[Nightfall]],12,IF(OFFSET(TblMagic[[#This Row],[Active Nightfall]],-1,0)&gt;0,OFFSET(TblMagic[[#This Row],[Active Nightfall]],-1,0)-1,0))</f>
        <v>0</v>
      </c>
      <c r="AO45" s="26" t="n">
        <f aca="false">IF(TblMagic[[#This Row],[Favorable Terrain]],12,IF(OFFSET(TblMagic[[#This Row],[Active Favorable Terrain]],-1,0)&gt;0,OFFSET(TblMagic[[#This Row],[Active Favorable Terrain]],-1,0)-1,0))</f>
        <v>0</v>
      </c>
    </row>
    <row r="46" customFormat="false" ht="12.75" hidden="false" customHeight="false" outlineLevel="0" collapsed="false">
      <c r="A46" s="128" t="n">
        <f aca="false">TblRezone[[#This Row],[Hour]]</f>
        <v>43</v>
      </c>
      <c r="B46" s="146" t="n">
        <f aca="false">TblConstr[[#This Row],[Land]]</f>
        <v>520</v>
      </c>
      <c r="C46" s="69" t="n">
        <f aca="false">TblProd[[#This Row],[Mana]]</f>
        <v>3242</v>
      </c>
      <c r="D46" s="149" t="n">
        <f aca="false">MIN(1,OFFSET(TblMagic[[#This Row],[Wiz str]],-1,0)+0.04+ROUNDDOWN(10*OFFSET(TblMili[[#This Row],[WG''s]],-1,0),0)+ tech_2_7*OFFSET(TblTech[[#This Row],[2-7]],-1,0) + tech_5_6*OFFSET(TblTech[[#This Row],[5-6]],-1,0) )-TblMagic[[#This Row],[Wiz str cost]]</f>
        <v>1</v>
      </c>
      <c r="E46" s="153" t="n">
        <f aca="false">OFFSET(TblMagic[[#This Row],[Time]],-1,0)+1/24</f>
        <v>45431.5</v>
      </c>
      <c r="F46" s="149" t="n">
        <f aca="false">TblImps[[#This Row],[Population]]</f>
        <v>0.941353927838784</v>
      </c>
      <c r="G46" s="248"/>
      <c r="H46" s="248"/>
      <c r="I46" s="248"/>
      <c r="J46" s="248"/>
      <c r="K46" s="312"/>
      <c r="L46" s="248"/>
      <c r="M46" s="248"/>
      <c r="N46" s="248"/>
      <c r="O46" s="248"/>
      <c r="P46" s="248"/>
      <c r="Q46" s="248"/>
      <c r="R46" s="248"/>
      <c r="S46" s="248"/>
      <c r="T46" s="248"/>
      <c r="U46" s="248"/>
      <c r="V46" s="248"/>
      <c r="W46" s="132"/>
      <c r="X4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49" t="n">
        <f aca="false">SUMIF(TblMagic[[#This Row],[Gaia''s Watch]:[Useless spell]],1)*0.05</f>
        <v>0</v>
      </c>
      <c r="Z46" s="132"/>
      <c r="AA46" s="26" t="n">
        <f aca="false">IF(TblMagic[[#This Row],[Gaia''s Watch]],12,IF(OFFSET(TblMagic[[#This Row],[Active Gaia''s Watch]],-1,0)&gt;0,OFFSET(TblMagic[[#This Row],[Active Gaia''s Watch]],-1,0)-1,0))</f>
        <v>0</v>
      </c>
      <c r="AB46" s="26" t="n">
        <f aca="false">IF(TblMagic[[#This Row],[Mining Strength]],12,IF(OFFSET(TblMagic[[#This Row],[Active Mining Strength]],-1,0)&gt;0,OFFSET(TblMagic[[#This Row],[Active Mining Strength]],-1,0)-1,0))</f>
        <v>0</v>
      </c>
      <c r="AC46" s="26" t="n">
        <f aca="false">IF(TblMagic[[#This Row],[Ares Call]],12,IF(OFFSET(TblMagic[[#This Row],[Active Ares Call]],-1,0)&gt;0,OFFSET(TblMagic[[#This Row],[Active Ares Call]],-1,0)-1,0))</f>
        <v>0</v>
      </c>
      <c r="AD46" s="26" t="n">
        <f aca="false">IF(TblMagic[[#This Row],[Midas Touch]],12,IF(OFFSET(TblMagic[[#This Row],[Active Midas Touch]],-1,0)&gt;0,OFFSET(TblMagic[[#This Row],[Active Midas Touch]],-1,0)-1,0))</f>
        <v>9</v>
      </c>
      <c r="AE46" s="26" t="n">
        <f aca="false">IF(TblMagic[[#This Row],[Harmony]],12,IF(OFFSET(TblMagic[[#This Row],[Active Harmony]],-1,0)&gt;0,OFFSET(TblMagic[[#This Row],[Active Harmony]],-1,0)-1,0))</f>
        <v>7</v>
      </c>
      <c r="AF46" s="26" t="n">
        <f aca="false">IF(TblMagic[[#This Row],[Miner''s Sight]],12,IF(OFFSET(TblMagic[[#This Row],[Active Miner''s Sight]],-1,0)&gt;0,OFFSET(TblMagic[[#This Row],[Active Miner''s Sight]],-1,0)-1,0))</f>
        <v>0</v>
      </c>
      <c r="AG46" s="26" t="n">
        <f aca="false">IF(TblMagic[[#This Row],[Mechanical Genius]],12,IF(OFFSET(TblMagic[[#This Row],[Active Mechanical Genius]],-1,0)&gt;0,OFFSET(TblMagic[[#This Row],[Active Mechanical Genius]],-1,0)-1,0))</f>
        <v>0</v>
      </c>
      <c r="AH46" s="26" t="n">
        <f aca="false">IF(TblMagic[[#This Row],[Frenzy]],12,IF(OFFSET(TblMagic[[#This Row],[Active Frenzy]],-1,0)&gt;0,OFFSET(TblMagic[[#This Row],[Active Frenzy]],-1,0)-1,0))</f>
        <v>0</v>
      </c>
      <c r="AI46" s="26" t="n">
        <f aca="false">IF(TblMagic[[#This Row],[Killing Rage / Bloodrage / Crusade]],12,IF(OFFSET(TblMagic[[#This Row],[Active Warsong / Killing Rage / Bloodrage]],-1,0)&gt;0,OFFSET(TblMagic[[#This Row],[Active Warsong / Killing Rage / Bloodrage]],-1,0)-1,0))</f>
        <v>0</v>
      </c>
      <c r="AJ46" s="26" t="n">
        <f aca="false">IF(TblMagic[[#This Row],[Gaia''s Blessing]],12,IF(OFFSET(TblMagic[[#This Row],[Active Gaia''s Blessing]],-1,0)&gt;0,OFFSET(TblMagic[[#This Row],[Active Gaia''s Blessing]],-1,0)-1,0))</f>
        <v>0</v>
      </c>
      <c r="AK46" s="26" t="n">
        <f aca="false">IF(TblMagic[[#This Row],[Howling]],12,IF(OFFSET(TblMagic[[#This Row],[Active Howling]],-1,0)&gt;0,OFFSET(TblMagic[[#This Row],[Active Howling]],-1,0)-1,0))</f>
        <v>0</v>
      </c>
      <c r="AL46" s="26" t="n">
        <f aca="false">IF(TblMagic[[#This Row],[Alchemist Frost]],12,IF(OFFSET(TblMagic[[#This Row],[Active Alch Frost]],-1,0)&gt;0,OFFSET(TblMagic[[#This Row],[Active Alch Frost]],-1,0)-1,0))</f>
        <v>0</v>
      </c>
      <c r="AM46" s="26" t="n">
        <f aca="false">IF(TblMagic[[#This Row],[Alchemists Flame]],12,IF(OFFSET(TblMagic[[#This Row],[Active Alchemists Flame]],-1,0)&gt;0,OFFSET(TblMagic[[#This Row],[Active Alchemists Flame]],-1,0)-1,0))</f>
        <v>7</v>
      </c>
      <c r="AN46" s="26" t="n">
        <f aca="false">IF(TblMagic[[#This Row],[Nightfall]],12,IF(OFFSET(TblMagic[[#This Row],[Active Nightfall]],-1,0)&gt;0,OFFSET(TblMagic[[#This Row],[Active Nightfall]],-1,0)-1,0))</f>
        <v>0</v>
      </c>
      <c r="AO46" s="26" t="n">
        <f aca="false">IF(TblMagic[[#This Row],[Favorable Terrain]],12,IF(OFFSET(TblMagic[[#This Row],[Active Favorable Terrain]],-1,0)&gt;0,OFFSET(TblMagic[[#This Row],[Active Favorable Terrain]],-1,0)-1,0))</f>
        <v>0</v>
      </c>
    </row>
    <row r="47" customFormat="false" ht="12.75" hidden="false" customHeight="false" outlineLevel="0" collapsed="false">
      <c r="A47" s="128" t="n">
        <f aca="false">TblRezone[[#This Row],[Hour]]</f>
        <v>44</v>
      </c>
      <c r="B47" s="146" t="n">
        <f aca="false">TblConstr[[#This Row],[Land]]</f>
        <v>530</v>
      </c>
      <c r="C47" s="69" t="n">
        <f aca="false">TblProd[[#This Row],[Mana]]</f>
        <v>3652</v>
      </c>
      <c r="D47" s="149" t="n">
        <f aca="false">MIN(1,OFFSET(TblMagic[[#This Row],[Wiz str]],-1,0)+0.04+ROUNDDOWN(10*OFFSET(TblMili[[#This Row],[WG''s]],-1,0),0)+ tech_2_7*OFFSET(TblTech[[#This Row],[2-7]],-1,0) + tech_5_6*OFFSET(TblTech[[#This Row],[5-6]],-1,0) )-TblMagic[[#This Row],[Wiz str cost]]</f>
        <v>1</v>
      </c>
      <c r="E47" s="153" t="n">
        <f aca="false">OFFSET(TblMagic[[#This Row],[Time]],-1,0)+1/24</f>
        <v>45431.5416666667</v>
      </c>
      <c r="F47" s="149" t="n">
        <f aca="false">TblImps[[#This Row],[Population]]</f>
        <v>0.978814060835602</v>
      </c>
      <c r="G47" s="248"/>
      <c r="H47" s="248"/>
      <c r="I47" s="248"/>
      <c r="J47" s="248"/>
      <c r="K47" s="312"/>
      <c r="L47" s="248"/>
      <c r="M47" s="248"/>
      <c r="N47" s="248"/>
      <c r="O47" s="248"/>
      <c r="P47" s="248"/>
      <c r="Q47" s="248"/>
      <c r="R47" s="248"/>
      <c r="S47" s="248"/>
      <c r="T47" s="248"/>
      <c r="U47" s="248"/>
      <c r="V47" s="248"/>
      <c r="W47" s="132"/>
      <c r="X4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49" t="n">
        <f aca="false">SUMIF(TblMagic[[#This Row],[Gaia''s Watch]:[Useless spell]],1)*0.05</f>
        <v>0</v>
      </c>
      <c r="Z47" s="132"/>
      <c r="AA47" s="26" t="n">
        <f aca="false">IF(TblMagic[[#This Row],[Gaia''s Watch]],12,IF(OFFSET(TblMagic[[#This Row],[Active Gaia''s Watch]],-1,0)&gt;0,OFFSET(TblMagic[[#This Row],[Active Gaia''s Watch]],-1,0)-1,0))</f>
        <v>0</v>
      </c>
      <c r="AB47" s="26" t="n">
        <f aca="false">IF(TblMagic[[#This Row],[Mining Strength]],12,IF(OFFSET(TblMagic[[#This Row],[Active Mining Strength]],-1,0)&gt;0,OFFSET(TblMagic[[#This Row],[Active Mining Strength]],-1,0)-1,0))</f>
        <v>0</v>
      </c>
      <c r="AC47" s="26" t="n">
        <f aca="false">IF(TblMagic[[#This Row],[Ares Call]],12,IF(OFFSET(TblMagic[[#This Row],[Active Ares Call]],-1,0)&gt;0,OFFSET(TblMagic[[#This Row],[Active Ares Call]],-1,0)-1,0))</f>
        <v>0</v>
      </c>
      <c r="AD47" s="26" t="n">
        <f aca="false">IF(TblMagic[[#This Row],[Midas Touch]],12,IF(OFFSET(TblMagic[[#This Row],[Active Midas Touch]],-1,0)&gt;0,OFFSET(TblMagic[[#This Row],[Active Midas Touch]],-1,0)-1,0))</f>
        <v>8</v>
      </c>
      <c r="AE47" s="26" t="n">
        <f aca="false">IF(TblMagic[[#This Row],[Harmony]],12,IF(OFFSET(TblMagic[[#This Row],[Active Harmony]],-1,0)&gt;0,OFFSET(TblMagic[[#This Row],[Active Harmony]],-1,0)-1,0))</f>
        <v>6</v>
      </c>
      <c r="AF47" s="26" t="n">
        <f aca="false">IF(TblMagic[[#This Row],[Miner''s Sight]],12,IF(OFFSET(TblMagic[[#This Row],[Active Miner''s Sight]],-1,0)&gt;0,OFFSET(TblMagic[[#This Row],[Active Miner''s Sight]],-1,0)-1,0))</f>
        <v>0</v>
      </c>
      <c r="AG47" s="26" t="n">
        <f aca="false">IF(TblMagic[[#This Row],[Mechanical Genius]],12,IF(OFFSET(TblMagic[[#This Row],[Active Mechanical Genius]],-1,0)&gt;0,OFFSET(TblMagic[[#This Row],[Active Mechanical Genius]],-1,0)-1,0))</f>
        <v>0</v>
      </c>
      <c r="AH47" s="26" t="n">
        <f aca="false">IF(TblMagic[[#This Row],[Frenzy]],12,IF(OFFSET(TblMagic[[#This Row],[Active Frenzy]],-1,0)&gt;0,OFFSET(TblMagic[[#This Row],[Active Frenzy]],-1,0)-1,0))</f>
        <v>0</v>
      </c>
      <c r="AI47" s="26" t="n">
        <f aca="false">IF(TblMagic[[#This Row],[Killing Rage / Bloodrage / Crusade]],12,IF(OFFSET(TblMagic[[#This Row],[Active Warsong / Killing Rage / Bloodrage]],-1,0)&gt;0,OFFSET(TblMagic[[#This Row],[Active Warsong / Killing Rage / Bloodrage]],-1,0)-1,0))</f>
        <v>0</v>
      </c>
      <c r="AJ47" s="26" t="n">
        <f aca="false">IF(TblMagic[[#This Row],[Gaia''s Blessing]],12,IF(OFFSET(TblMagic[[#This Row],[Active Gaia''s Blessing]],-1,0)&gt;0,OFFSET(TblMagic[[#This Row],[Active Gaia''s Blessing]],-1,0)-1,0))</f>
        <v>0</v>
      </c>
      <c r="AK47" s="26" t="n">
        <f aca="false">IF(TblMagic[[#This Row],[Howling]],12,IF(OFFSET(TblMagic[[#This Row],[Active Howling]],-1,0)&gt;0,OFFSET(TblMagic[[#This Row],[Active Howling]],-1,0)-1,0))</f>
        <v>0</v>
      </c>
      <c r="AL47" s="26" t="n">
        <f aca="false">IF(TblMagic[[#This Row],[Alchemist Frost]],12,IF(OFFSET(TblMagic[[#This Row],[Active Alch Frost]],-1,0)&gt;0,OFFSET(TblMagic[[#This Row],[Active Alch Frost]],-1,0)-1,0))</f>
        <v>0</v>
      </c>
      <c r="AM47" s="26" t="n">
        <f aca="false">IF(TblMagic[[#This Row],[Alchemists Flame]],12,IF(OFFSET(TblMagic[[#This Row],[Active Alchemists Flame]],-1,0)&gt;0,OFFSET(TblMagic[[#This Row],[Active Alchemists Flame]],-1,0)-1,0))</f>
        <v>6</v>
      </c>
      <c r="AN47" s="26" t="n">
        <f aca="false">IF(TblMagic[[#This Row],[Nightfall]],12,IF(OFFSET(TblMagic[[#This Row],[Active Nightfall]],-1,0)&gt;0,OFFSET(TblMagic[[#This Row],[Active Nightfall]],-1,0)-1,0))</f>
        <v>0</v>
      </c>
      <c r="AO47" s="26" t="n">
        <f aca="false">IF(TblMagic[[#This Row],[Favorable Terrain]],12,IF(OFFSET(TblMagic[[#This Row],[Active Favorable Terrain]],-1,0)&gt;0,OFFSET(TblMagic[[#This Row],[Active Favorable Terrain]],-1,0)-1,0))</f>
        <v>0</v>
      </c>
    </row>
    <row r="48" customFormat="false" ht="12.75" hidden="false" customHeight="false" outlineLevel="0" collapsed="false">
      <c r="A48" s="128" t="n">
        <f aca="false">TblRezone[[#This Row],[Hour]]</f>
        <v>45</v>
      </c>
      <c r="B48" s="146" t="n">
        <f aca="false">TblConstr[[#This Row],[Land]]</f>
        <v>540</v>
      </c>
      <c r="C48" s="69" t="n">
        <f aca="false">TblProd[[#This Row],[Mana]]</f>
        <v>4204</v>
      </c>
      <c r="D48" s="149" t="n">
        <f aca="false">MIN(1,OFFSET(TblMagic[[#This Row],[Wiz str]],-1,0)+0.04+ROUNDDOWN(10*OFFSET(TblMili[[#This Row],[WG''s]],-1,0),0)+ tech_2_7*OFFSET(TblTech[[#This Row],[2-7]],-1,0) + tech_5_6*OFFSET(TblTech[[#This Row],[5-6]],-1,0) )-TblMagic[[#This Row],[Wiz str cost]]</f>
        <v>1</v>
      </c>
      <c r="E48" s="153" t="n">
        <f aca="false">OFFSET(TblMagic[[#This Row],[Time]],-1,0)+1/24</f>
        <v>45431.5833333333</v>
      </c>
      <c r="F48" s="149" t="n">
        <f aca="false">TblImps[[#This Row],[Population]]</f>
        <v>1</v>
      </c>
      <c r="G48" s="248"/>
      <c r="H48" s="248"/>
      <c r="I48" s="248"/>
      <c r="J48" s="248"/>
      <c r="K48" s="312"/>
      <c r="L48" s="248"/>
      <c r="M48" s="248"/>
      <c r="N48" s="248"/>
      <c r="O48" s="248"/>
      <c r="P48" s="248"/>
      <c r="Q48" s="248"/>
      <c r="R48" s="248"/>
      <c r="S48" s="248"/>
      <c r="T48" s="248"/>
      <c r="U48" s="248"/>
      <c r="V48" s="248"/>
      <c r="W48" s="132"/>
      <c r="X4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49" t="n">
        <f aca="false">SUMIF(TblMagic[[#This Row],[Gaia''s Watch]:[Useless spell]],1)*0.05</f>
        <v>0</v>
      </c>
      <c r="Z48" s="132"/>
      <c r="AA48" s="26" t="n">
        <f aca="false">IF(TblMagic[[#This Row],[Gaia''s Watch]],12,IF(OFFSET(TblMagic[[#This Row],[Active Gaia''s Watch]],-1,0)&gt;0,OFFSET(TblMagic[[#This Row],[Active Gaia''s Watch]],-1,0)-1,0))</f>
        <v>0</v>
      </c>
      <c r="AB48" s="26" t="n">
        <f aca="false">IF(TblMagic[[#This Row],[Mining Strength]],12,IF(OFFSET(TblMagic[[#This Row],[Active Mining Strength]],-1,0)&gt;0,OFFSET(TblMagic[[#This Row],[Active Mining Strength]],-1,0)-1,0))</f>
        <v>0</v>
      </c>
      <c r="AC48" s="26" t="n">
        <f aca="false">IF(TblMagic[[#This Row],[Ares Call]],12,IF(OFFSET(TblMagic[[#This Row],[Active Ares Call]],-1,0)&gt;0,OFFSET(TblMagic[[#This Row],[Active Ares Call]],-1,0)-1,0))</f>
        <v>0</v>
      </c>
      <c r="AD48" s="26" t="n">
        <f aca="false">IF(TblMagic[[#This Row],[Midas Touch]],12,IF(OFFSET(TblMagic[[#This Row],[Active Midas Touch]],-1,0)&gt;0,OFFSET(TblMagic[[#This Row],[Active Midas Touch]],-1,0)-1,0))</f>
        <v>7</v>
      </c>
      <c r="AE48" s="26" t="n">
        <f aca="false">IF(TblMagic[[#This Row],[Harmony]],12,IF(OFFSET(TblMagic[[#This Row],[Active Harmony]],-1,0)&gt;0,OFFSET(TblMagic[[#This Row],[Active Harmony]],-1,0)-1,0))</f>
        <v>5</v>
      </c>
      <c r="AF48" s="26" t="n">
        <f aca="false">IF(TblMagic[[#This Row],[Miner''s Sight]],12,IF(OFFSET(TblMagic[[#This Row],[Active Miner''s Sight]],-1,0)&gt;0,OFFSET(TblMagic[[#This Row],[Active Miner''s Sight]],-1,0)-1,0))</f>
        <v>0</v>
      </c>
      <c r="AG48" s="26" t="n">
        <f aca="false">IF(TblMagic[[#This Row],[Mechanical Genius]],12,IF(OFFSET(TblMagic[[#This Row],[Active Mechanical Genius]],-1,0)&gt;0,OFFSET(TblMagic[[#This Row],[Active Mechanical Genius]],-1,0)-1,0))</f>
        <v>0</v>
      </c>
      <c r="AH48" s="26" t="n">
        <f aca="false">IF(TblMagic[[#This Row],[Frenzy]],12,IF(OFFSET(TblMagic[[#This Row],[Active Frenzy]],-1,0)&gt;0,OFFSET(TblMagic[[#This Row],[Active Frenzy]],-1,0)-1,0))</f>
        <v>0</v>
      </c>
      <c r="AI48" s="26" t="n">
        <f aca="false">IF(TblMagic[[#This Row],[Killing Rage / Bloodrage / Crusade]],12,IF(OFFSET(TblMagic[[#This Row],[Active Warsong / Killing Rage / Bloodrage]],-1,0)&gt;0,OFFSET(TblMagic[[#This Row],[Active Warsong / Killing Rage / Bloodrage]],-1,0)-1,0))</f>
        <v>0</v>
      </c>
      <c r="AJ48" s="26" t="n">
        <f aca="false">IF(TblMagic[[#This Row],[Gaia''s Blessing]],12,IF(OFFSET(TblMagic[[#This Row],[Active Gaia''s Blessing]],-1,0)&gt;0,OFFSET(TblMagic[[#This Row],[Active Gaia''s Blessing]],-1,0)-1,0))</f>
        <v>0</v>
      </c>
      <c r="AK48" s="26" t="n">
        <f aca="false">IF(TblMagic[[#This Row],[Howling]],12,IF(OFFSET(TblMagic[[#This Row],[Active Howling]],-1,0)&gt;0,OFFSET(TblMagic[[#This Row],[Active Howling]],-1,0)-1,0))</f>
        <v>0</v>
      </c>
      <c r="AL48" s="26" t="n">
        <f aca="false">IF(TblMagic[[#This Row],[Alchemist Frost]],12,IF(OFFSET(TblMagic[[#This Row],[Active Alch Frost]],-1,0)&gt;0,OFFSET(TblMagic[[#This Row],[Active Alch Frost]],-1,0)-1,0))</f>
        <v>0</v>
      </c>
      <c r="AM48" s="26" t="n">
        <f aca="false">IF(TblMagic[[#This Row],[Alchemists Flame]],12,IF(OFFSET(TblMagic[[#This Row],[Active Alchemists Flame]],-1,0)&gt;0,OFFSET(TblMagic[[#This Row],[Active Alchemists Flame]],-1,0)-1,0))</f>
        <v>5</v>
      </c>
      <c r="AN48" s="26" t="n">
        <f aca="false">IF(TblMagic[[#This Row],[Nightfall]],12,IF(OFFSET(TblMagic[[#This Row],[Active Nightfall]],-1,0)&gt;0,OFFSET(TblMagic[[#This Row],[Active Nightfall]],-1,0)-1,0))</f>
        <v>0</v>
      </c>
      <c r="AO48" s="26" t="n">
        <f aca="false">IF(TblMagic[[#This Row],[Favorable Terrain]],12,IF(OFFSET(TblMagic[[#This Row],[Active Favorable Terrain]],-1,0)&gt;0,OFFSET(TblMagic[[#This Row],[Active Favorable Terrain]],-1,0)-1,0))</f>
        <v>0</v>
      </c>
    </row>
    <row r="49" customFormat="false" ht="12.75" hidden="false" customHeight="false" outlineLevel="0" collapsed="false">
      <c r="A49" s="128" t="n">
        <f aca="false">TblRezone[[#This Row],[Hour]]</f>
        <v>46</v>
      </c>
      <c r="B49" s="146" t="n">
        <f aca="false">TblConstr[[#This Row],[Land]]</f>
        <v>551</v>
      </c>
      <c r="C49" s="69" t="n">
        <f aca="false">TblProd[[#This Row],[Mana]]</f>
        <v>4745</v>
      </c>
      <c r="D49" s="149" t="n">
        <f aca="false">MIN(1,OFFSET(TblMagic[[#This Row],[Wiz str]],-1,0)+0.04+ROUNDDOWN(10*OFFSET(TblMili[[#This Row],[WG''s]],-1,0),0)+ tech_2_7*OFFSET(TblTech[[#This Row],[2-7]],-1,0) + tech_5_6*OFFSET(TblTech[[#This Row],[5-6]],-1,0) )-TblMagic[[#This Row],[Wiz str cost]]</f>
        <v>1</v>
      </c>
      <c r="E49" s="153" t="n">
        <f aca="false">OFFSET(TblMagic[[#This Row],[Time]],-1,0)+1/24</f>
        <v>45431.625</v>
      </c>
      <c r="F49" s="149" t="n">
        <f aca="false">TblImps[[#This Row],[Population]]</f>
        <v>1</v>
      </c>
      <c r="G49" s="248"/>
      <c r="H49" s="248"/>
      <c r="I49" s="248"/>
      <c r="J49" s="248"/>
      <c r="K49" s="312"/>
      <c r="L49" s="248"/>
      <c r="M49" s="248"/>
      <c r="N49" s="248"/>
      <c r="O49" s="248"/>
      <c r="P49" s="248"/>
      <c r="Q49" s="248"/>
      <c r="R49" s="248"/>
      <c r="S49" s="248"/>
      <c r="T49" s="248"/>
      <c r="U49" s="248"/>
      <c r="V49" s="248"/>
      <c r="W49" s="132"/>
      <c r="X4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49" t="n">
        <f aca="false">SUMIF(TblMagic[[#This Row],[Gaia''s Watch]:[Useless spell]],1)*0.05</f>
        <v>0</v>
      </c>
      <c r="Z49" s="132"/>
      <c r="AA49" s="26" t="n">
        <f aca="false">IF(TblMagic[[#This Row],[Gaia''s Watch]],12,IF(OFFSET(TblMagic[[#This Row],[Active Gaia''s Watch]],-1,0)&gt;0,OFFSET(TblMagic[[#This Row],[Active Gaia''s Watch]],-1,0)-1,0))</f>
        <v>0</v>
      </c>
      <c r="AB49" s="26" t="n">
        <f aca="false">IF(TblMagic[[#This Row],[Mining Strength]],12,IF(OFFSET(TblMagic[[#This Row],[Active Mining Strength]],-1,0)&gt;0,OFFSET(TblMagic[[#This Row],[Active Mining Strength]],-1,0)-1,0))</f>
        <v>0</v>
      </c>
      <c r="AC49" s="26" t="n">
        <f aca="false">IF(TblMagic[[#This Row],[Ares Call]],12,IF(OFFSET(TblMagic[[#This Row],[Active Ares Call]],-1,0)&gt;0,OFFSET(TblMagic[[#This Row],[Active Ares Call]],-1,0)-1,0))</f>
        <v>0</v>
      </c>
      <c r="AD49" s="26" t="n">
        <f aca="false">IF(TblMagic[[#This Row],[Midas Touch]],12,IF(OFFSET(TblMagic[[#This Row],[Active Midas Touch]],-1,0)&gt;0,OFFSET(TblMagic[[#This Row],[Active Midas Touch]],-1,0)-1,0))</f>
        <v>6</v>
      </c>
      <c r="AE49" s="26" t="n">
        <f aca="false">IF(TblMagic[[#This Row],[Harmony]],12,IF(OFFSET(TblMagic[[#This Row],[Active Harmony]],-1,0)&gt;0,OFFSET(TblMagic[[#This Row],[Active Harmony]],-1,0)-1,0))</f>
        <v>4</v>
      </c>
      <c r="AF49" s="26" t="n">
        <f aca="false">IF(TblMagic[[#This Row],[Miner''s Sight]],12,IF(OFFSET(TblMagic[[#This Row],[Active Miner''s Sight]],-1,0)&gt;0,OFFSET(TblMagic[[#This Row],[Active Miner''s Sight]],-1,0)-1,0))</f>
        <v>0</v>
      </c>
      <c r="AG49" s="26" t="n">
        <f aca="false">IF(TblMagic[[#This Row],[Mechanical Genius]],12,IF(OFFSET(TblMagic[[#This Row],[Active Mechanical Genius]],-1,0)&gt;0,OFFSET(TblMagic[[#This Row],[Active Mechanical Genius]],-1,0)-1,0))</f>
        <v>0</v>
      </c>
      <c r="AH49" s="26" t="n">
        <f aca="false">IF(TblMagic[[#This Row],[Frenzy]],12,IF(OFFSET(TblMagic[[#This Row],[Active Frenzy]],-1,0)&gt;0,OFFSET(TblMagic[[#This Row],[Active Frenzy]],-1,0)-1,0))</f>
        <v>0</v>
      </c>
      <c r="AI49" s="26" t="n">
        <f aca="false">IF(TblMagic[[#This Row],[Killing Rage / Bloodrage / Crusade]],12,IF(OFFSET(TblMagic[[#This Row],[Active Warsong / Killing Rage / Bloodrage]],-1,0)&gt;0,OFFSET(TblMagic[[#This Row],[Active Warsong / Killing Rage / Bloodrage]],-1,0)-1,0))</f>
        <v>0</v>
      </c>
      <c r="AJ49" s="26" t="n">
        <f aca="false">IF(TblMagic[[#This Row],[Gaia''s Blessing]],12,IF(OFFSET(TblMagic[[#This Row],[Active Gaia''s Blessing]],-1,0)&gt;0,OFFSET(TblMagic[[#This Row],[Active Gaia''s Blessing]],-1,0)-1,0))</f>
        <v>0</v>
      </c>
      <c r="AK49" s="26" t="n">
        <f aca="false">IF(TblMagic[[#This Row],[Howling]],12,IF(OFFSET(TblMagic[[#This Row],[Active Howling]],-1,0)&gt;0,OFFSET(TblMagic[[#This Row],[Active Howling]],-1,0)-1,0))</f>
        <v>0</v>
      </c>
      <c r="AL49" s="26" t="n">
        <f aca="false">IF(TblMagic[[#This Row],[Alchemist Frost]],12,IF(OFFSET(TblMagic[[#This Row],[Active Alch Frost]],-1,0)&gt;0,OFFSET(TblMagic[[#This Row],[Active Alch Frost]],-1,0)-1,0))</f>
        <v>0</v>
      </c>
      <c r="AM49" s="26" t="n">
        <f aca="false">IF(TblMagic[[#This Row],[Alchemists Flame]],12,IF(OFFSET(TblMagic[[#This Row],[Active Alchemists Flame]],-1,0)&gt;0,OFFSET(TblMagic[[#This Row],[Active Alchemists Flame]],-1,0)-1,0))</f>
        <v>4</v>
      </c>
      <c r="AN49" s="26" t="n">
        <f aca="false">IF(TblMagic[[#This Row],[Nightfall]],12,IF(OFFSET(TblMagic[[#This Row],[Active Nightfall]],-1,0)&gt;0,OFFSET(TblMagic[[#This Row],[Active Nightfall]],-1,0)-1,0))</f>
        <v>0</v>
      </c>
      <c r="AO49" s="26" t="n">
        <f aca="false">IF(TblMagic[[#This Row],[Favorable Terrain]],12,IF(OFFSET(TblMagic[[#This Row],[Active Favorable Terrain]],-1,0)&gt;0,OFFSET(TblMagic[[#This Row],[Active Favorable Terrain]],-1,0)-1,0))</f>
        <v>0</v>
      </c>
    </row>
    <row r="50" customFormat="false" ht="12.75" hidden="false" customHeight="false" outlineLevel="0" collapsed="false">
      <c r="A50" s="128" t="n">
        <f aca="false">TblRezone[[#This Row],[Hour]]</f>
        <v>47</v>
      </c>
      <c r="B50" s="146" t="n">
        <f aca="false">TblConstr[[#This Row],[Land]]</f>
        <v>563</v>
      </c>
      <c r="C50" s="69" t="n">
        <f aca="false">TblProd[[#This Row],[Mana]]</f>
        <v>5275</v>
      </c>
      <c r="D50" s="149" t="n">
        <f aca="false">MIN(1,OFFSET(TblMagic[[#This Row],[Wiz str]],-1,0)+0.04+ROUNDDOWN(10*OFFSET(TblMili[[#This Row],[WG''s]],-1,0),0)+ tech_2_7*OFFSET(TblTech[[#This Row],[2-7]],-1,0) + tech_5_6*OFFSET(TblTech[[#This Row],[5-6]],-1,0) )-TblMagic[[#This Row],[Wiz str cost]]</f>
        <v>1</v>
      </c>
      <c r="E50" s="153" t="n">
        <f aca="false">OFFSET(TblMagic[[#This Row],[Time]],-1,0)+1/24</f>
        <v>45431.6666666667</v>
      </c>
      <c r="F50" s="149" t="n">
        <f aca="false">TblImps[[#This Row],[Population]]</f>
        <v>1</v>
      </c>
      <c r="G50" s="248"/>
      <c r="H50" s="248"/>
      <c r="I50" s="248"/>
      <c r="J50" s="248"/>
      <c r="K50" s="312"/>
      <c r="L50" s="248"/>
      <c r="M50" s="248"/>
      <c r="N50" s="248"/>
      <c r="O50" s="248"/>
      <c r="P50" s="248"/>
      <c r="Q50" s="248"/>
      <c r="R50" s="248"/>
      <c r="S50" s="248"/>
      <c r="T50" s="248"/>
      <c r="U50" s="248"/>
      <c r="V50" s="248"/>
      <c r="W50" s="132"/>
      <c r="X5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49" t="n">
        <f aca="false">SUMIF(TblMagic[[#This Row],[Gaia''s Watch]:[Useless spell]],1)*0.05</f>
        <v>0</v>
      </c>
      <c r="Z50" s="132"/>
      <c r="AA50" s="26" t="n">
        <f aca="false">IF(TblMagic[[#This Row],[Gaia''s Watch]],12,IF(OFFSET(TblMagic[[#This Row],[Active Gaia''s Watch]],-1,0)&gt;0,OFFSET(TblMagic[[#This Row],[Active Gaia''s Watch]],-1,0)-1,0))</f>
        <v>0</v>
      </c>
      <c r="AB50" s="26" t="n">
        <f aca="false">IF(TblMagic[[#This Row],[Mining Strength]],12,IF(OFFSET(TblMagic[[#This Row],[Active Mining Strength]],-1,0)&gt;0,OFFSET(TblMagic[[#This Row],[Active Mining Strength]],-1,0)-1,0))</f>
        <v>0</v>
      </c>
      <c r="AC50" s="26" t="n">
        <f aca="false">IF(TblMagic[[#This Row],[Ares Call]],12,IF(OFFSET(TblMagic[[#This Row],[Active Ares Call]],-1,0)&gt;0,OFFSET(TblMagic[[#This Row],[Active Ares Call]],-1,0)-1,0))</f>
        <v>0</v>
      </c>
      <c r="AD50" s="26" t="n">
        <f aca="false">IF(TblMagic[[#This Row],[Midas Touch]],12,IF(OFFSET(TblMagic[[#This Row],[Active Midas Touch]],-1,0)&gt;0,OFFSET(TblMagic[[#This Row],[Active Midas Touch]],-1,0)-1,0))</f>
        <v>5</v>
      </c>
      <c r="AE50" s="26" t="n">
        <f aca="false">IF(TblMagic[[#This Row],[Harmony]],12,IF(OFFSET(TblMagic[[#This Row],[Active Harmony]],-1,0)&gt;0,OFFSET(TblMagic[[#This Row],[Active Harmony]],-1,0)-1,0))</f>
        <v>3</v>
      </c>
      <c r="AF50" s="26" t="n">
        <f aca="false">IF(TblMagic[[#This Row],[Miner''s Sight]],12,IF(OFFSET(TblMagic[[#This Row],[Active Miner''s Sight]],-1,0)&gt;0,OFFSET(TblMagic[[#This Row],[Active Miner''s Sight]],-1,0)-1,0))</f>
        <v>0</v>
      </c>
      <c r="AG50" s="26" t="n">
        <f aca="false">IF(TblMagic[[#This Row],[Mechanical Genius]],12,IF(OFFSET(TblMagic[[#This Row],[Active Mechanical Genius]],-1,0)&gt;0,OFFSET(TblMagic[[#This Row],[Active Mechanical Genius]],-1,0)-1,0))</f>
        <v>0</v>
      </c>
      <c r="AH50" s="26" t="n">
        <f aca="false">IF(TblMagic[[#This Row],[Frenzy]],12,IF(OFFSET(TblMagic[[#This Row],[Active Frenzy]],-1,0)&gt;0,OFFSET(TblMagic[[#This Row],[Active Frenzy]],-1,0)-1,0))</f>
        <v>0</v>
      </c>
      <c r="AI50" s="26" t="n">
        <f aca="false">IF(TblMagic[[#This Row],[Killing Rage / Bloodrage / Crusade]],12,IF(OFFSET(TblMagic[[#This Row],[Active Warsong / Killing Rage / Bloodrage]],-1,0)&gt;0,OFFSET(TblMagic[[#This Row],[Active Warsong / Killing Rage / Bloodrage]],-1,0)-1,0))</f>
        <v>0</v>
      </c>
      <c r="AJ50" s="26" t="n">
        <f aca="false">IF(TblMagic[[#This Row],[Gaia''s Blessing]],12,IF(OFFSET(TblMagic[[#This Row],[Active Gaia''s Blessing]],-1,0)&gt;0,OFFSET(TblMagic[[#This Row],[Active Gaia''s Blessing]],-1,0)-1,0))</f>
        <v>0</v>
      </c>
      <c r="AK50" s="26" t="n">
        <f aca="false">IF(TblMagic[[#This Row],[Howling]],12,IF(OFFSET(TblMagic[[#This Row],[Active Howling]],-1,0)&gt;0,OFFSET(TblMagic[[#This Row],[Active Howling]],-1,0)-1,0))</f>
        <v>0</v>
      </c>
      <c r="AL50" s="26" t="n">
        <f aca="false">IF(TblMagic[[#This Row],[Alchemist Frost]],12,IF(OFFSET(TblMagic[[#This Row],[Active Alch Frost]],-1,0)&gt;0,OFFSET(TblMagic[[#This Row],[Active Alch Frost]],-1,0)-1,0))</f>
        <v>0</v>
      </c>
      <c r="AM50" s="26" t="n">
        <f aca="false">IF(TblMagic[[#This Row],[Alchemists Flame]],12,IF(OFFSET(TblMagic[[#This Row],[Active Alchemists Flame]],-1,0)&gt;0,OFFSET(TblMagic[[#This Row],[Active Alchemists Flame]],-1,0)-1,0))</f>
        <v>3</v>
      </c>
      <c r="AN50" s="26" t="n">
        <f aca="false">IF(TblMagic[[#This Row],[Nightfall]],12,IF(OFFSET(TblMagic[[#This Row],[Active Nightfall]],-1,0)&gt;0,OFFSET(TblMagic[[#This Row],[Active Nightfall]],-1,0)-1,0))</f>
        <v>0</v>
      </c>
      <c r="AO50" s="26" t="n">
        <f aca="false">IF(TblMagic[[#This Row],[Favorable Terrain]],12,IF(OFFSET(TblMagic[[#This Row],[Active Favorable Terrain]],-1,0)&gt;0,OFFSET(TblMagic[[#This Row],[Active Favorable Terrain]],-1,0)-1,0))</f>
        <v>0</v>
      </c>
    </row>
    <row r="51" customFormat="false" ht="12.75" hidden="false" customHeight="false" outlineLevel="0" collapsed="false">
      <c r="A51" s="128" t="n">
        <f aca="false">TblRezone[[#This Row],[Hour]]</f>
        <v>48</v>
      </c>
      <c r="B51" s="146" t="n">
        <f aca="false">TblConstr[[#This Row],[Land]]</f>
        <v>596</v>
      </c>
      <c r="C51" s="69" t="n">
        <f aca="false">TblProd[[#This Row],[Mana]]</f>
        <v>5795</v>
      </c>
      <c r="D51" s="149" t="n">
        <f aca="false">MIN(1,OFFSET(TblMagic[[#This Row],[Wiz str]],-1,0)+0.04+ROUNDDOWN(10*OFFSET(TblMili[[#This Row],[WG''s]],-1,0),0)+ tech_2_7*OFFSET(TblTech[[#This Row],[2-7]],-1,0) + tech_5_6*OFFSET(TblTech[[#This Row],[5-6]],-1,0) )-TblMagic[[#This Row],[Wiz str cost]]</f>
        <v>1</v>
      </c>
      <c r="E51" s="153" t="n">
        <f aca="false">OFFSET(TblMagic[[#This Row],[Time]],-1,0)+1/24</f>
        <v>45431.7083333333</v>
      </c>
      <c r="F51" s="149" t="n">
        <f aca="false">TblImps[[#This Row],[Population]]</f>
        <v>1</v>
      </c>
      <c r="G51" s="248"/>
      <c r="H51" s="248"/>
      <c r="I51" s="248"/>
      <c r="J51" s="248"/>
      <c r="K51" s="312"/>
      <c r="L51" s="248"/>
      <c r="M51" s="248"/>
      <c r="N51" s="248"/>
      <c r="O51" s="248"/>
      <c r="P51" s="248"/>
      <c r="Q51" s="248"/>
      <c r="R51" s="248"/>
      <c r="S51" s="248"/>
      <c r="T51" s="248"/>
      <c r="U51" s="248"/>
      <c r="V51" s="248"/>
      <c r="W51" s="132"/>
      <c r="X5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49" t="n">
        <f aca="false">SUMIF(TblMagic[[#This Row],[Gaia''s Watch]:[Useless spell]],1)*0.05</f>
        <v>0</v>
      </c>
      <c r="Z51" s="132"/>
      <c r="AA51" s="26" t="n">
        <f aca="false">IF(TblMagic[[#This Row],[Gaia''s Watch]],12,IF(OFFSET(TblMagic[[#This Row],[Active Gaia''s Watch]],-1,0)&gt;0,OFFSET(TblMagic[[#This Row],[Active Gaia''s Watch]],-1,0)-1,0))</f>
        <v>0</v>
      </c>
      <c r="AB51" s="26" t="n">
        <f aca="false">IF(TblMagic[[#This Row],[Mining Strength]],12,IF(OFFSET(TblMagic[[#This Row],[Active Mining Strength]],-1,0)&gt;0,OFFSET(TblMagic[[#This Row],[Active Mining Strength]],-1,0)-1,0))</f>
        <v>0</v>
      </c>
      <c r="AC51" s="26" t="n">
        <f aca="false">IF(TblMagic[[#This Row],[Ares Call]],12,IF(OFFSET(TblMagic[[#This Row],[Active Ares Call]],-1,0)&gt;0,OFFSET(TblMagic[[#This Row],[Active Ares Call]],-1,0)-1,0))</f>
        <v>0</v>
      </c>
      <c r="AD51" s="26" t="n">
        <f aca="false">IF(TblMagic[[#This Row],[Midas Touch]],12,IF(OFFSET(TblMagic[[#This Row],[Active Midas Touch]],-1,0)&gt;0,OFFSET(TblMagic[[#This Row],[Active Midas Touch]],-1,0)-1,0))</f>
        <v>4</v>
      </c>
      <c r="AE51" s="26" t="n">
        <f aca="false">IF(TblMagic[[#This Row],[Harmony]],12,IF(OFFSET(TblMagic[[#This Row],[Active Harmony]],-1,0)&gt;0,OFFSET(TblMagic[[#This Row],[Active Harmony]],-1,0)-1,0))</f>
        <v>2</v>
      </c>
      <c r="AF51" s="26" t="n">
        <f aca="false">IF(TblMagic[[#This Row],[Miner''s Sight]],12,IF(OFFSET(TblMagic[[#This Row],[Active Miner''s Sight]],-1,0)&gt;0,OFFSET(TblMagic[[#This Row],[Active Miner''s Sight]],-1,0)-1,0))</f>
        <v>0</v>
      </c>
      <c r="AG51" s="26" t="n">
        <f aca="false">IF(TblMagic[[#This Row],[Mechanical Genius]],12,IF(OFFSET(TblMagic[[#This Row],[Active Mechanical Genius]],-1,0)&gt;0,OFFSET(TblMagic[[#This Row],[Active Mechanical Genius]],-1,0)-1,0))</f>
        <v>0</v>
      </c>
      <c r="AH51" s="26" t="n">
        <f aca="false">IF(TblMagic[[#This Row],[Frenzy]],12,IF(OFFSET(TblMagic[[#This Row],[Active Frenzy]],-1,0)&gt;0,OFFSET(TblMagic[[#This Row],[Active Frenzy]],-1,0)-1,0))</f>
        <v>0</v>
      </c>
      <c r="AI51" s="26" t="n">
        <f aca="false">IF(TblMagic[[#This Row],[Killing Rage / Bloodrage / Crusade]],12,IF(OFFSET(TblMagic[[#This Row],[Active Warsong / Killing Rage / Bloodrage]],-1,0)&gt;0,OFFSET(TblMagic[[#This Row],[Active Warsong / Killing Rage / Bloodrage]],-1,0)-1,0))</f>
        <v>0</v>
      </c>
      <c r="AJ51" s="26" t="n">
        <f aca="false">IF(TblMagic[[#This Row],[Gaia''s Blessing]],12,IF(OFFSET(TblMagic[[#This Row],[Active Gaia''s Blessing]],-1,0)&gt;0,OFFSET(TblMagic[[#This Row],[Active Gaia''s Blessing]],-1,0)-1,0))</f>
        <v>0</v>
      </c>
      <c r="AK51" s="26" t="n">
        <f aca="false">IF(TblMagic[[#This Row],[Howling]],12,IF(OFFSET(TblMagic[[#This Row],[Active Howling]],-1,0)&gt;0,OFFSET(TblMagic[[#This Row],[Active Howling]],-1,0)-1,0))</f>
        <v>0</v>
      </c>
      <c r="AL51" s="26" t="n">
        <f aca="false">IF(TblMagic[[#This Row],[Alchemist Frost]],12,IF(OFFSET(TblMagic[[#This Row],[Active Alch Frost]],-1,0)&gt;0,OFFSET(TblMagic[[#This Row],[Active Alch Frost]],-1,0)-1,0))</f>
        <v>0</v>
      </c>
      <c r="AM51" s="26" t="n">
        <f aca="false">IF(TblMagic[[#This Row],[Alchemists Flame]],12,IF(OFFSET(TblMagic[[#This Row],[Active Alchemists Flame]],-1,0)&gt;0,OFFSET(TblMagic[[#This Row],[Active Alchemists Flame]],-1,0)-1,0))</f>
        <v>2</v>
      </c>
      <c r="AN51" s="26" t="n">
        <f aca="false">IF(TblMagic[[#This Row],[Nightfall]],12,IF(OFFSET(TblMagic[[#This Row],[Active Nightfall]],-1,0)&gt;0,OFFSET(TblMagic[[#This Row],[Active Nightfall]],-1,0)-1,0))</f>
        <v>0</v>
      </c>
      <c r="AO51" s="26" t="n">
        <f aca="false">IF(TblMagic[[#This Row],[Favorable Terrain]],12,IF(OFFSET(TblMagic[[#This Row],[Active Favorable Terrain]],-1,0)&gt;0,OFFSET(TblMagic[[#This Row],[Active Favorable Terrain]],-1,0)-1,0))</f>
        <v>0</v>
      </c>
    </row>
    <row r="52" customFormat="false" ht="12.75" hidden="false" customHeight="false" outlineLevel="0" collapsed="false">
      <c r="A52" s="128" t="n">
        <f aca="false">TblRezone[[#This Row],[Hour]]</f>
        <v>49</v>
      </c>
      <c r="B52" s="146" t="n">
        <f aca="false">TblConstr[[#This Row],[Land]]</f>
        <v>629</v>
      </c>
      <c r="C52" s="69" t="n">
        <f aca="false">TblProd[[#This Row],[Mana]]</f>
        <v>6304</v>
      </c>
      <c r="D52" s="149" t="n">
        <f aca="false">MIN(1,OFFSET(TblMagic[[#This Row],[Wiz str]],-1,0)+0.04+ROUNDDOWN(10*OFFSET(TblMili[[#This Row],[WG''s]],-1,0),0)+ tech_2_7*OFFSET(TblTech[[#This Row],[2-7]],-1,0) + tech_5_6*OFFSET(TblTech[[#This Row],[5-6]],-1,0) )-TblMagic[[#This Row],[Wiz str cost]]</f>
        <v>1</v>
      </c>
      <c r="E52" s="153" t="n">
        <f aca="false">OFFSET(TblMagic[[#This Row],[Time]],-1,0)+1/24</f>
        <v>45431.75</v>
      </c>
      <c r="F52" s="149" t="n">
        <f aca="false">TblImps[[#This Row],[Population]]</f>
        <v>0.99742055303343</v>
      </c>
      <c r="G52" s="248"/>
      <c r="H52" s="248"/>
      <c r="I52" s="248"/>
      <c r="J52" s="248"/>
      <c r="K52" s="312"/>
      <c r="L52" s="248"/>
      <c r="M52" s="248"/>
      <c r="N52" s="248"/>
      <c r="O52" s="248"/>
      <c r="P52" s="248"/>
      <c r="Q52" s="248"/>
      <c r="R52" s="248"/>
      <c r="S52" s="248"/>
      <c r="T52" s="248"/>
      <c r="U52" s="248"/>
      <c r="V52" s="248"/>
      <c r="W52" s="132"/>
      <c r="X5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49" t="n">
        <f aca="false">SUMIF(TblMagic[[#This Row],[Gaia''s Watch]:[Useless spell]],1)*0.05</f>
        <v>0</v>
      </c>
      <c r="Z52" s="132"/>
      <c r="AA52" s="26" t="n">
        <f aca="false">IF(TblMagic[[#This Row],[Gaia''s Watch]],12,IF(OFFSET(TblMagic[[#This Row],[Active Gaia''s Watch]],-1,0)&gt;0,OFFSET(TblMagic[[#This Row],[Active Gaia''s Watch]],-1,0)-1,0))</f>
        <v>0</v>
      </c>
      <c r="AB52" s="26" t="n">
        <f aca="false">IF(TblMagic[[#This Row],[Mining Strength]],12,IF(OFFSET(TblMagic[[#This Row],[Active Mining Strength]],-1,0)&gt;0,OFFSET(TblMagic[[#This Row],[Active Mining Strength]],-1,0)-1,0))</f>
        <v>0</v>
      </c>
      <c r="AC52" s="26" t="n">
        <f aca="false">IF(TblMagic[[#This Row],[Ares Call]],12,IF(OFFSET(TblMagic[[#This Row],[Active Ares Call]],-1,0)&gt;0,OFFSET(TblMagic[[#This Row],[Active Ares Call]],-1,0)-1,0))</f>
        <v>0</v>
      </c>
      <c r="AD52" s="26" t="n">
        <f aca="false">IF(TblMagic[[#This Row],[Midas Touch]],12,IF(OFFSET(TblMagic[[#This Row],[Active Midas Touch]],-1,0)&gt;0,OFFSET(TblMagic[[#This Row],[Active Midas Touch]],-1,0)-1,0))</f>
        <v>3</v>
      </c>
      <c r="AE52" s="26" t="n">
        <f aca="false">IF(TblMagic[[#This Row],[Harmony]],12,IF(OFFSET(TblMagic[[#This Row],[Active Harmony]],-1,0)&gt;0,OFFSET(TblMagic[[#This Row],[Active Harmony]],-1,0)-1,0))</f>
        <v>1</v>
      </c>
      <c r="AF52" s="26" t="n">
        <f aca="false">IF(TblMagic[[#This Row],[Miner''s Sight]],12,IF(OFFSET(TblMagic[[#This Row],[Active Miner''s Sight]],-1,0)&gt;0,OFFSET(TblMagic[[#This Row],[Active Miner''s Sight]],-1,0)-1,0))</f>
        <v>0</v>
      </c>
      <c r="AG52" s="26" t="n">
        <f aca="false">IF(TblMagic[[#This Row],[Mechanical Genius]],12,IF(OFFSET(TblMagic[[#This Row],[Active Mechanical Genius]],-1,0)&gt;0,OFFSET(TblMagic[[#This Row],[Active Mechanical Genius]],-1,0)-1,0))</f>
        <v>0</v>
      </c>
      <c r="AH52" s="26" t="n">
        <f aca="false">IF(TblMagic[[#This Row],[Frenzy]],12,IF(OFFSET(TblMagic[[#This Row],[Active Frenzy]],-1,0)&gt;0,OFFSET(TblMagic[[#This Row],[Active Frenzy]],-1,0)-1,0))</f>
        <v>0</v>
      </c>
      <c r="AI52" s="26" t="n">
        <f aca="false">IF(TblMagic[[#This Row],[Killing Rage / Bloodrage / Crusade]],12,IF(OFFSET(TblMagic[[#This Row],[Active Warsong / Killing Rage / Bloodrage]],-1,0)&gt;0,OFFSET(TblMagic[[#This Row],[Active Warsong / Killing Rage / Bloodrage]],-1,0)-1,0))</f>
        <v>0</v>
      </c>
      <c r="AJ52" s="26" t="n">
        <f aca="false">IF(TblMagic[[#This Row],[Gaia''s Blessing]],12,IF(OFFSET(TblMagic[[#This Row],[Active Gaia''s Blessing]],-1,0)&gt;0,OFFSET(TblMagic[[#This Row],[Active Gaia''s Blessing]],-1,0)-1,0))</f>
        <v>0</v>
      </c>
      <c r="AK52" s="26" t="n">
        <f aca="false">IF(TblMagic[[#This Row],[Howling]],12,IF(OFFSET(TblMagic[[#This Row],[Active Howling]],-1,0)&gt;0,OFFSET(TblMagic[[#This Row],[Active Howling]],-1,0)-1,0))</f>
        <v>0</v>
      </c>
      <c r="AL52" s="26" t="n">
        <f aca="false">IF(TblMagic[[#This Row],[Alchemist Frost]],12,IF(OFFSET(TblMagic[[#This Row],[Active Alch Frost]],-1,0)&gt;0,OFFSET(TblMagic[[#This Row],[Active Alch Frost]],-1,0)-1,0))</f>
        <v>0</v>
      </c>
      <c r="AM52" s="26" t="n">
        <f aca="false">IF(TblMagic[[#This Row],[Alchemists Flame]],12,IF(OFFSET(TblMagic[[#This Row],[Active Alchemists Flame]],-1,0)&gt;0,OFFSET(TblMagic[[#This Row],[Active Alchemists Flame]],-1,0)-1,0))</f>
        <v>1</v>
      </c>
      <c r="AN52" s="26" t="n">
        <f aca="false">IF(TblMagic[[#This Row],[Nightfall]],12,IF(OFFSET(TblMagic[[#This Row],[Active Nightfall]],-1,0)&gt;0,OFFSET(TblMagic[[#This Row],[Active Nightfall]],-1,0)-1,0))</f>
        <v>0</v>
      </c>
      <c r="AO52" s="26" t="n">
        <f aca="false">IF(TblMagic[[#This Row],[Favorable Terrain]],12,IF(OFFSET(TblMagic[[#This Row],[Active Favorable Terrain]],-1,0)&gt;0,OFFSET(TblMagic[[#This Row],[Active Favorable Terrain]],-1,0)-1,0))</f>
        <v>0</v>
      </c>
    </row>
    <row r="53" customFormat="false" ht="12.75" hidden="false" customHeight="false" outlineLevel="0" collapsed="false">
      <c r="A53" s="128" t="n">
        <f aca="false">TblRezone[[#This Row],[Hour]]</f>
        <v>50</v>
      </c>
      <c r="B53" s="146" t="n">
        <f aca="false">TblConstr[[#This Row],[Land]]</f>
        <v>642</v>
      </c>
      <c r="C53" s="69" t="n">
        <f aca="false">TblProd[[#This Row],[Mana]]</f>
        <v>3593</v>
      </c>
      <c r="D53" s="149" t="n">
        <f aca="false">MIN(1,OFFSET(TblMagic[[#This Row],[Wiz str]],-1,0)+0.04+ROUNDDOWN(10*OFFSET(TblMili[[#This Row],[WG''s]],-1,0),0)+ tech_2_7*OFFSET(TblTech[[#This Row],[2-7]],-1,0) + tech_5_6*OFFSET(TblTech[[#This Row],[5-6]],-1,0) )-TblMagic[[#This Row],[Wiz str cost]]</f>
        <v>0.95</v>
      </c>
      <c r="E53" s="153" t="n">
        <f aca="false">OFFSET(TblMagic[[#This Row],[Time]],-1,0)+1/24</f>
        <v>45431.7916666667</v>
      </c>
      <c r="F53" s="149" t="n">
        <f aca="false">TblImps[[#This Row],[Population]]</f>
        <v>0.996967918622848</v>
      </c>
      <c r="G53" s="248"/>
      <c r="H53" s="248"/>
      <c r="I53" s="248"/>
      <c r="J53" s="248"/>
      <c r="K53" s="312"/>
      <c r="L53" s="248"/>
      <c r="M53" s="248"/>
      <c r="N53" s="248"/>
      <c r="O53" s="248"/>
      <c r="P53" s="248"/>
      <c r="Q53" s="248"/>
      <c r="R53" s="248"/>
      <c r="S53" s="248" t="n">
        <v>1</v>
      </c>
      <c r="T53" s="248"/>
      <c r="U53" s="248"/>
      <c r="V53" s="248"/>
      <c r="W53" s="132"/>
      <c r="X5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3210</v>
      </c>
      <c r="Y53" s="149" t="n">
        <f aca="false">SUMIF(TblMagic[[#This Row],[Gaia''s Watch]:[Useless spell]],1)*0.05</f>
        <v>0.05</v>
      </c>
      <c r="Z53" s="132"/>
      <c r="AA53" s="26" t="n">
        <f aca="false">IF(TblMagic[[#This Row],[Gaia''s Watch]],12,IF(OFFSET(TblMagic[[#This Row],[Active Gaia''s Watch]],-1,0)&gt;0,OFFSET(TblMagic[[#This Row],[Active Gaia''s Watch]],-1,0)-1,0))</f>
        <v>0</v>
      </c>
      <c r="AB53" s="26" t="n">
        <f aca="false">IF(TblMagic[[#This Row],[Mining Strength]],12,IF(OFFSET(TblMagic[[#This Row],[Active Mining Strength]],-1,0)&gt;0,OFFSET(TblMagic[[#This Row],[Active Mining Strength]],-1,0)-1,0))</f>
        <v>0</v>
      </c>
      <c r="AC53" s="26" t="n">
        <f aca="false">IF(TblMagic[[#This Row],[Ares Call]],12,IF(OFFSET(TblMagic[[#This Row],[Active Ares Call]],-1,0)&gt;0,OFFSET(TblMagic[[#This Row],[Active Ares Call]],-1,0)-1,0))</f>
        <v>0</v>
      </c>
      <c r="AD53" s="26" t="n">
        <f aca="false">IF(TblMagic[[#This Row],[Midas Touch]],12,IF(OFFSET(TblMagic[[#This Row],[Active Midas Touch]],-1,0)&gt;0,OFFSET(TblMagic[[#This Row],[Active Midas Touch]],-1,0)-1,0))</f>
        <v>2</v>
      </c>
      <c r="AE53" s="26" t="n">
        <f aca="false">IF(TblMagic[[#This Row],[Harmony]],12,IF(OFFSET(TblMagic[[#This Row],[Active Harmony]],-1,0)&gt;0,OFFSET(TblMagic[[#This Row],[Active Harmony]],-1,0)-1,0))</f>
        <v>0</v>
      </c>
      <c r="AF53" s="26" t="n">
        <f aca="false">IF(TblMagic[[#This Row],[Miner''s Sight]],12,IF(OFFSET(TblMagic[[#This Row],[Active Miner''s Sight]],-1,0)&gt;0,OFFSET(TblMagic[[#This Row],[Active Miner''s Sight]],-1,0)-1,0))</f>
        <v>0</v>
      </c>
      <c r="AG53" s="26" t="n">
        <f aca="false">IF(TblMagic[[#This Row],[Mechanical Genius]],12,IF(OFFSET(TblMagic[[#This Row],[Active Mechanical Genius]],-1,0)&gt;0,OFFSET(TblMagic[[#This Row],[Active Mechanical Genius]],-1,0)-1,0))</f>
        <v>0</v>
      </c>
      <c r="AH53" s="26" t="n">
        <f aca="false">IF(TblMagic[[#This Row],[Frenzy]],12,IF(OFFSET(TblMagic[[#This Row],[Active Frenzy]],-1,0)&gt;0,OFFSET(TblMagic[[#This Row],[Active Frenzy]],-1,0)-1,0))</f>
        <v>0</v>
      </c>
      <c r="AI53" s="26" t="n">
        <f aca="false">IF(TblMagic[[#This Row],[Killing Rage / Bloodrage / Crusade]],12,IF(OFFSET(TblMagic[[#This Row],[Active Warsong / Killing Rage / Bloodrage]],-1,0)&gt;0,OFFSET(TblMagic[[#This Row],[Active Warsong / Killing Rage / Bloodrage]],-1,0)-1,0))</f>
        <v>0</v>
      </c>
      <c r="AJ53" s="26" t="n">
        <f aca="false">IF(TblMagic[[#This Row],[Gaia''s Blessing]],12,IF(OFFSET(TblMagic[[#This Row],[Active Gaia''s Blessing]],-1,0)&gt;0,OFFSET(TblMagic[[#This Row],[Active Gaia''s Blessing]],-1,0)-1,0))</f>
        <v>0</v>
      </c>
      <c r="AK53" s="26" t="n">
        <f aca="false">IF(TblMagic[[#This Row],[Howling]],12,IF(OFFSET(TblMagic[[#This Row],[Active Howling]],-1,0)&gt;0,OFFSET(TblMagic[[#This Row],[Active Howling]],-1,0)-1,0))</f>
        <v>0</v>
      </c>
      <c r="AL53" s="26" t="n">
        <f aca="false">IF(TblMagic[[#This Row],[Alchemist Frost]],12,IF(OFFSET(TblMagic[[#This Row],[Active Alch Frost]],-1,0)&gt;0,OFFSET(TblMagic[[#This Row],[Active Alch Frost]],-1,0)-1,0))</f>
        <v>0</v>
      </c>
      <c r="AM53" s="26" t="n">
        <f aca="false">IF(TblMagic[[#This Row],[Alchemists Flame]],12,IF(OFFSET(TblMagic[[#This Row],[Active Alchemists Flame]],-1,0)&gt;0,OFFSET(TblMagic[[#This Row],[Active Alchemists Flame]],-1,0)-1,0))</f>
        <v>12</v>
      </c>
      <c r="AN53" s="26" t="n">
        <f aca="false">IF(TblMagic[[#This Row],[Nightfall]],12,IF(OFFSET(TblMagic[[#This Row],[Active Nightfall]],-1,0)&gt;0,OFFSET(TblMagic[[#This Row],[Active Nightfall]],-1,0)-1,0))</f>
        <v>0</v>
      </c>
      <c r="AO53" s="26" t="n">
        <f aca="false">IF(TblMagic[[#This Row],[Favorable Terrain]],12,IF(OFFSET(TblMagic[[#This Row],[Active Favorable Terrain]],-1,0)&gt;0,OFFSET(TblMagic[[#This Row],[Active Favorable Terrain]],-1,0)-1,0))</f>
        <v>0</v>
      </c>
    </row>
    <row r="54" customFormat="false" ht="12.75" hidden="false" customHeight="false" outlineLevel="0" collapsed="false">
      <c r="A54" s="128" t="n">
        <f aca="false">TblRezone[[#This Row],[Hour]]</f>
        <v>51</v>
      </c>
      <c r="B54" s="146" t="n">
        <f aca="false">TblConstr[[#This Row],[Land]]</f>
        <v>656</v>
      </c>
      <c r="C54" s="69" t="n">
        <f aca="false">TblProd[[#This Row],[Mana]]</f>
        <v>4146</v>
      </c>
      <c r="D54" s="149" t="n">
        <f aca="false">MIN(1,OFFSET(TblMagic[[#This Row],[Wiz str]],-1,0)+0.04+ROUNDDOWN(10*OFFSET(TblMili[[#This Row],[WG''s]],-1,0),0)+ tech_2_7*OFFSET(TblTech[[#This Row],[2-7]],-1,0) + tech_5_6*OFFSET(TblTech[[#This Row],[5-6]],-1,0) )-TblMagic[[#This Row],[Wiz str cost]]</f>
        <v>0.99</v>
      </c>
      <c r="E54" s="153" t="n">
        <f aca="false">OFFSET(TblMagic[[#This Row],[Time]],-1,0)+1/24</f>
        <v>45431.8333333333</v>
      </c>
      <c r="F54" s="149" t="n">
        <f aca="false">TblImps[[#This Row],[Population]]</f>
        <v>1</v>
      </c>
      <c r="G54" s="248"/>
      <c r="H54" s="248"/>
      <c r="I54" s="248"/>
      <c r="J54" s="248"/>
      <c r="K54" s="312"/>
      <c r="L54" s="248"/>
      <c r="M54" s="248"/>
      <c r="N54" s="248"/>
      <c r="O54" s="248"/>
      <c r="P54" s="248"/>
      <c r="Q54" s="248"/>
      <c r="R54" s="248"/>
      <c r="S54" s="248"/>
      <c r="T54" s="248"/>
      <c r="U54" s="248"/>
      <c r="V54" s="248"/>
      <c r="W54" s="132"/>
      <c r="X5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49" t="n">
        <f aca="false">SUMIF(TblMagic[[#This Row],[Gaia''s Watch]:[Useless spell]],1)*0.05</f>
        <v>0</v>
      </c>
      <c r="Z54" s="132"/>
      <c r="AA54" s="26" t="n">
        <f aca="false">IF(TblMagic[[#This Row],[Gaia''s Watch]],12,IF(OFFSET(TblMagic[[#This Row],[Active Gaia''s Watch]],-1,0)&gt;0,OFFSET(TblMagic[[#This Row],[Active Gaia''s Watch]],-1,0)-1,0))</f>
        <v>0</v>
      </c>
      <c r="AB54" s="26" t="n">
        <f aca="false">IF(TblMagic[[#This Row],[Mining Strength]],12,IF(OFFSET(TblMagic[[#This Row],[Active Mining Strength]],-1,0)&gt;0,OFFSET(TblMagic[[#This Row],[Active Mining Strength]],-1,0)-1,0))</f>
        <v>0</v>
      </c>
      <c r="AC54" s="26" t="n">
        <f aca="false">IF(TblMagic[[#This Row],[Ares Call]],12,IF(OFFSET(TblMagic[[#This Row],[Active Ares Call]],-1,0)&gt;0,OFFSET(TblMagic[[#This Row],[Active Ares Call]],-1,0)-1,0))</f>
        <v>0</v>
      </c>
      <c r="AD54" s="26" t="n">
        <f aca="false">IF(TblMagic[[#This Row],[Midas Touch]],12,IF(OFFSET(TblMagic[[#This Row],[Active Midas Touch]],-1,0)&gt;0,OFFSET(TblMagic[[#This Row],[Active Midas Touch]],-1,0)-1,0))</f>
        <v>1</v>
      </c>
      <c r="AE54" s="26" t="n">
        <f aca="false">IF(TblMagic[[#This Row],[Harmony]],12,IF(OFFSET(TblMagic[[#This Row],[Active Harmony]],-1,0)&gt;0,OFFSET(TblMagic[[#This Row],[Active Harmony]],-1,0)-1,0))</f>
        <v>0</v>
      </c>
      <c r="AF54" s="26" t="n">
        <f aca="false">IF(TblMagic[[#This Row],[Miner''s Sight]],12,IF(OFFSET(TblMagic[[#This Row],[Active Miner''s Sight]],-1,0)&gt;0,OFFSET(TblMagic[[#This Row],[Active Miner''s Sight]],-1,0)-1,0))</f>
        <v>0</v>
      </c>
      <c r="AG54" s="26" t="n">
        <f aca="false">IF(TblMagic[[#This Row],[Mechanical Genius]],12,IF(OFFSET(TblMagic[[#This Row],[Active Mechanical Genius]],-1,0)&gt;0,OFFSET(TblMagic[[#This Row],[Active Mechanical Genius]],-1,0)-1,0))</f>
        <v>0</v>
      </c>
      <c r="AH54" s="26" t="n">
        <f aca="false">IF(TblMagic[[#This Row],[Frenzy]],12,IF(OFFSET(TblMagic[[#This Row],[Active Frenzy]],-1,0)&gt;0,OFFSET(TblMagic[[#This Row],[Active Frenzy]],-1,0)-1,0))</f>
        <v>0</v>
      </c>
      <c r="AI54" s="26" t="n">
        <f aca="false">IF(TblMagic[[#This Row],[Killing Rage / Bloodrage / Crusade]],12,IF(OFFSET(TblMagic[[#This Row],[Active Warsong / Killing Rage / Bloodrage]],-1,0)&gt;0,OFFSET(TblMagic[[#This Row],[Active Warsong / Killing Rage / Bloodrage]],-1,0)-1,0))</f>
        <v>0</v>
      </c>
      <c r="AJ54" s="26" t="n">
        <f aca="false">IF(TblMagic[[#This Row],[Gaia''s Blessing]],12,IF(OFFSET(TblMagic[[#This Row],[Active Gaia''s Blessing]],-1,0)&gt;0,OFFSET(TblMagic[[#This Row],[Active Gaia''s Blessing]],-1,0)-1,0))</f>
        <v>0</v>
      </c>
      <c r="AK54" s="26" t="n">
        <f aca="false">IF(TblMagic[[#This Row],[Howling]],12,IF(OFFSET(TblMagic[[#This Row],[Active Howling]],-1,0)&gt;0,OFFSET(TblMagic[[#This Row],[Active Howling]],-1,0)-1,0))</f>
        <v>0</v>
      </c>
      <c r="AL54" s="26" t="n">
        <f aca="false">IF(TblMagic[[#This Row],[Alchemist Frost]],12,IF(OFFSET(TblMagic[[#This Row],[Active Alch Frost]],-1,0)&gt;0,OFFSET(TblMagic[[#This Row],[Active Alch Frost]],-1,0)-1,0))</f>
        <v>0</v>
      </c>
      <c r="AM54" s="26" t="n">
        <f aca="false">IF(TblMagic[[#This Row],[Alchemists Flame]],12,IF(OFFSET(TblMagic[[#This Row],[Active Alchemists Flame]],-1,0)&gt;0,OFFSET(TblMagic[[#This Row],[Active Alchemists Flame]],-1,0)-1,0))</f>
        <v>11</v>
      </c>
      <c r="AN54" s="26" t="n">
        <f aca="false">IF(TblMagic[[#This Row],[Nightfall]],12,IF(OFFSET(TblMagic[[#This Row],[Active Nightfall]],-1,0)&gt;0,OFFSET(TblMagic[[#This Row],[Active Nightfall]],-1,0)-1,0))</f>
        <v>0</v>
      </c>
      <c r="AO54" s="26" t="n">
        <f aca="false">IF(TblMagic[[#This Row],[Favorable Terrain]],12,IF(OFFSET(TblMagic[[#This Row],[Active Favorable Terrain]],-1,0)&gt;0,OFFSET(TblMagic[[#This Row],[Active Favorable Terrain]],-1,0)-1,0))</f>
        <v>0</v>
      </c>
    </row>
    <row r="55" customFormat="false" ht="12.75" hidden="false" customHeight="false" outlineLevel="0" collapsed="false">
      <c r="A55" s="128" t="n">
        <f aca="false">TblRezone[[#This Row],[Hour]]</f>
        <v>52</v>
      </c>
      <c r="B55" s="146" t="n">
        <f aca="false">TblConstr[[#This Row],[Land]]</f>
        <v>669</v>
      </c>
      <c r="C55" s="69" t="n">
        <f aca="false">TblProd[[#This Row],[Mana]]</f>
        <v>3015.5</v>
      </c>
      <c r="D55" s="149" t="n">
        <f aca="false">MIN(1,OFFSET(TblMagic[[#This Row],[Wiz str]],-1,0)+0.04+ROUNDDOWN(10*OFFSET(TblMili[[#This Row],[WG''s]],-1,0),0)+ tech_2_7*OFFSET(TblTech[[#This Row],[2-7]],-1,0) + tech_5_6*OFFSET(TblTech[[#This Row],[5-6]],-1,0) )-TblMagic[[#This Row],[Wiz str cost]]</f>
        <v>0.95</v>
      </c>
      <c r="E55" s="153" t="n">
        <f aca="false">OFFSET(TblMagic[[#This Row],[Time]],-1,0)+1/24</f>
        <v>45431.875</v>
      </c>
      <c r="F55" s="149" t="n">
        <f aca="false">TblImps[[#This Row],[Population]]</f>
        <v>1</v>
      </c>
      <c r="G55" s="248"/>
      <c r="H55" s="248"/>
      <c r="I55" s="248"/>
      <c r="J55" s="248" t="n">
        <v>1</v>
      </c>
      <c r="K55" s="312"/>
      <c r="L55" s="248"/>
      <c r="M55" s="248"/>
      <c r="N55" s="248"/>
      <c r="O55" s="248"/>
      <c r="P55" s="248"/>
      <c r="Q55" s="248"/>
      <c r="R55" s="248"/>
      <c r="S55" s="248"/>
      <c r="T55" s="248"/>
      <c r="U55" s="248"/>
      <c r="V55" s="248"/>
      <c r="W55" s="132"/>
      <c r="X5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1672.5</v>
      </c>
      <c r="Y55" s="149" t="n">
        <f aca="false">SUMIF(TblMagic[[#This Row],[Gaia''s Watch]:[Useless spell]],1)*0.05</f>
        <v>0.05</v>
      </c>
      <c r="Z55" s="132"/>
      <c r="AA55" s="26" t="n">
        <f aca="false">IF(TblMagic[[#This Row],[Gaia''s Watch]],12,IF(OFFSET(TblMagic[[#This Row],[Active Gaia''s Watch]],-1,0)&gt;0,OFFSET(TblMagic[[#This Row],[Active Gaia''s Watch]],-1,0)-1,0))</f>
        <v>0</v>
      </c>
      <c r="AB55" s="26" t="n">
        <f aca="false">IF(TblMagic[[#This Row],[Mining Strength]],12,IF(OFFSET(TblMagic[[#This Row],[Active Mining Strength]],-1,0)&gt;0,OFFSET(TblMagic[[#This Row],[Active Mining Strength]],-1,0)-1,0))</f>
        <v>0</v>
      </c>
      <c r="AC55" s="26" t="n">
        <f aca="false">IF(TblMagic[[#This Row],[Ares Call]],12,IF(OFFSET(TblMagic[[#This Row],[Active Ares Call]],-1,0)&gt;0,OFFSET(TblMagic[[#This Row],[Active Ares Call]],-1,0)-1,0))</f>
        <v>0</v>
      </c>
      <c r="AD55" s="26" t="n">
        <f aca="false">IF(TblMagic[[#This Row],[Midas Touch]],12,IF(OFFSET(TblMagic[[#This Row],[Active Midas Touch]],-1,0)&gt;0,OFFSET(TblMagic[[#This Row],[Active Midas Touch]],-1,0)-1,0))</f>
        <v>12</v>
      </c>
      <c r="AE55" s="26" t="n">
        <f aca="false">IF(TblMagic[[#This Row],[Harmony]],12,IF(OFFSET(TblMagic[[#This Row],[Active Harmony]],-1,0)&gt;0,OFFSET(TblMagic[[#This Row],[Active Harmony]],-1,0)-1,0))</f>
        <v>0</v>
      </c>
      <c r="AF55" s="26" t="n">
        <f aca="false">IF(TblMagic[[#This Row],[Miner''s Sight]],12,IF(OFFSET(TblMagic[[#This Row],[Active Miner''s Sight]],-1,0)&gt;0,OFFSET(TblMagic[[#This Row],[Active Miner''s Sight]],-1,0)-1,0))</f>
        <v>0</v>
      </c>
      <c r="AG55" s="26" t="n">
        <f aca="false">IF(TblMagic[[#This Row],[Mechanical Genius]],12,IF(OFFSET(TblMagic[[#This Row],[Active Mechanical Genius]],-1,0)&gt;0,OFFSET(TblMagic[[#This Row],[Active Mechanical Genius]],-1,0)-1,0))</f>
        <v>0</v>
      </c>
      <c r="AH55" s="26" t="n">
        <f aca="false">IF(TblMagic[[#This Row],[Frenzy]],12,IF(OFFSET(TblMagic[[#This Row],[Active Frenzy]],-1,0)&gt;0,OFFSET(TblMagic[[#This Row],[Active Frenzy]],-1,0)-1,0))</f>
        <v>0</v>
      </c>
      <c r="AI55" s="26" t="n">
        <f aca="false">IF(TblMagic[[#This Row],[Killing Rage / Bloodrage / Crusade]],12,IF(OFFSET(TblMagic[[#This Row],[Active Warsong / Killing Rage / Bloodrage]],-1,0)&gt;0,OFFSET(TblMagic[[#This Row],[Active Warsong / Killing Rage / Bloodrage]],-1,0)-1,0))</f>
        <v>0</v>
      </c>
      <c r="AJ55" s="26" t="n">
        <f aca="false">IF(TblMagic[[#This Row],[Gaia''s Blessing]],12,IF(OFFSET(TblMagic[[#This Row],[Active Gaia''s Blessing]],-1,0)&gt;0,OFFSET(TblMagic[[#This Row],[Active Gaia''s Blessing]],-1,0)-1,0))</f>
        <v>0</v>
      </c>
      <c r="AK55" s="26" t="n">
        <f aca="false">IF(TblMagic[[#This Row],[Howling]],12,IF(OFFSET(TblMagic[[#This Row],[Active Howling]],-1,0)&gt;0,OFFSET(TblMagic[[#This Row],[Active Howling]],-1,0)-1,0))</f>
        <v>0</v>
      </c>
      <c r="AL55" s="26" t="n">
        <f aca="false">IF(TblMagic[[#This Row],[Alchemist Frost]],12,IF(OFFSET(TblMagic[[#This Row],[Active Alch Frost]],-1,0)&gt;0,OFFSET(TblMagic[[#This Row],[Active Alch Frost]],-1,0)-1,0))</f>
        <v>0</v>
      </c>
      <c r="AM55" s="26" t="n">
        <f aca="false">IF(TblMagic[[#This Row],[Alchemists Flame]],12,IF(OFFSET(TblMagic[[#This Row],[Active Alchemists Flame]],-1,0)&gt;0,OFFSET(TblMagic[[#This Row],[Active Alchemists Flame]],-1,0)-1,0))</f>
        <v>10</v>
      </c>
      <c r="AN55" s="26" t="n">
        <f aca="false">IF(TblMagic[[#This Row],[Nightfall]],12,IF(OFFSET(TblMagic[[#This Row],[Active Nightfall]],-1,0)&gt;0,OFFSET(TblMagic[[#This Row],[Active Nightfall]],-1,0)-1,0))</f>
        <v>0</v>
      </c>
      <c r="AO55" s="26" t="n">
        <f aca="false">IF(TblMagic[[#This Row],[Favorable Terrain]],12,IF(OFFSET(TblMagic[[#This Row],[Active Favorable Terrain]],-1,0)&gt;0,OFFSET(TblMagic[[#This Row],[Active Favorable Terrain]],-1,0)-1,0))</f>
        <v>0</v>
      </c>
    </row>
    <row r="56" customFormat="false" ht="12.75" hidden="false" customHeight="false" outlineLevel="0" collapsed="false">
      <c r="A56" s="128" t="n">
        <f aca="false">TblRezone[[#This Row],[Hour]]</f>
        <v>53</v>
      </c>
      <c r="B56" s="146" t="n">
        <f aca="false">TblConstr[[#This Row],[Land]]</f>
        <v>680</v>
      </c>
      <c r="C56" s="69" t="n">
        <f aca="false">TblProd[[#This Row],[Mana]]</f>
        <v>3580.5</v>
      </c>
      <c r="D56" s="149" t="n">
        <f aca="false">MIN(1,OFFSET(TblMagic[[#This Row],[Wiz str]],-1,0)+0.04+ROUNDDOWN(10*OFFSET(TblMili[[#This Row],[WG''s]],-1,0),0)+ tech_2_7*OFFSET(TblTech[[#This Row],[2-7]],-1,0) + tech_5_6*OFFSET(TblTech[[#This Row],[5-6]],-1,0) )-TblMagic[[#This Row],[Wiz str cost]]</f>
        <v>0.99</v>
      </c>
      <c r="E56" s="153" t="n">
        <f aca="false">OFFSET(TblMagic[[#This Row],[Time]],-1,0)+1/24</f>
        <v>45431.9166666667</v>
      </c>
      <c r="F56" s="149" t="n">
        <f aca="false">TblImps[[#This Row],[Population]]</f>
        <v>1</v>
      </c>
      <c r="G56" s="248"/>
      <c r="H56" s="248"/>
      <c r="I56" s="248"/>
      <c r="J56" s="248"/>
      <c r="K56" s="312"/>
      <c r="L56" s="248"/>
      <c r="M56" s="248"/>
      <c r="N56" s="248"/>
      <c r="O56" s="248"/>
      <c r="P56" s="248"/>
      <c r="Q56" s="248"/>
      <c r="R56" s="248"/>
      <c r="S56" s="248"/>
      <c r="T56" s="248"/>
      <c r="U56" s="248"/>
      <c r="V56" s="248"/>
      <c r="W56" s="132"/>
      <c r="X5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49" t="n">
        <f aca="false">SUMIF(TblMagic[[#This Row],[Gaia''s Watch]:[Useless spell]],1)*0.05</f>
        <v>0</v>
      </c>
      <c r="Z56" s="132"/>
      <c r="AA56" s="26" t="n">
        <f aca="false">IF(TblMagic[[#This Row],[Gaia''s Watch]],12,IF(OFFSET(TblMagic[[#This Row],[Active Gaia''s Watch]],-1,0)&gt;0,OFFSET(TblMagic[[#This Row],[Active Gaia''s Watch]],-1,0)-1,0))</f>
        <v>0</v>
      </c>
      <c r="AB56" s="26" t="n">
        <f aca="false">IF(TblMagic[[#This Row],[Mining Strength]],12,IF(OFFSET(TblMagic[[#This Row],[Active Mining Strength]],-1,0)&gt;0,OFFSET(TblMagic[[#This Row],[Active Mining Strength]],-1,0)-1,0))</f>
        <v>0</v>
      </c>
      <c r="AC56" s="26" t="n">
        <f aca="false">IF(TblMagic[[#This Row],[Ares Call]],12,IF(OFFSET(TblMagic[[#This Row],[Active Ares Call]],-1,0)&gt;0,OFFSET(TblMagic[[#This Row],[Active Ares Call]],-1,0)-1,0))</f>
        <v>0</v>
      </c>
      <c r="AD56" s="26" t="n">
        <f aca="false">IF(TblMagic[[#This Row],[Midas Touch]],12,IF(OFFSET(TblMagic[[#This Row],[Active Midas Touch]],-1,0)&gt;0,OFFSET(TblMagic[[#This Row],[Active Midas Touch]],-1,0)-1,0))</f>
        <v>11</v>
      </c>
      <c r="AE56" s="26" t="n">
        <f aca="false">IF(TblMagic[[#This Row],[Harmony]],12,IF(OFFSET(TblMagic[[#This Row],[Active Harmony]],-1,0)&gt;0,OFFSET(TblMagic[[#This Row],[Active Harmony]],-1,0)-1,0))</f>
        <v>0</v>
      </c>
      <c r="AF56" s="26" t="n">
        <f aca="false">IF(TblMagic[[#This Row],[Miner''s Sight]],12,IF(OFFSET(TblMagic[[#This Row],[Active Miner''s Sight]],-1,0)&gt;0,OFFSET(TblMagic[[#This Row],[Active Miner''s Sight]],-1,0)-1,0))</f>
        <v>0</v>
      </c>
      <c r="AG56" s="26" t="n">
        <f aca="false">IF(TblMagic[[#This Row],[Mechanical Genius]],12,IF(OFFSET(TblMagic[[#This Row],[Active Mechanical Genius]],-1,0)&gt;0,OFFSET(TblMagic[[#This Row],[Active Mechanical Genius]],-1,0)-1,0))</f>
        <v>0</v>
      </c>
      <c r="AH56" s="26" t="n">
        <f aca="false">IF(TblMagic[[#This Row],[Frenzy]],12,IF(OFFSET(TblMagic[[#This Row],[Active Frenzy]],-1,0)&gt;0,OFFSET(TblMagic[[#This Row],[Active Frenzy]],-1,0)-1,0))</f>
        <v>0</v>
      </c>
      <c r="AI56" s="26" t="n">
        <f aca="false">IF(TblMagic[[#This Row],[Killing Rage / Bloodrage / Crusade]],12,IF(OFFSET(TblMagic[[#This Row],[Active Warsong / Killing Rage / Bloodrage]],-1,0)&gt;0,OFFSET(TblMagic[[#This Row],[Active Warsong / Killing Rage / Bloodrage]],-1,0)-1,0))</f>
        <v>0</v>
      </c>
      <c r="AJ56" s="26" t="n">
        <f aca="false">IF(TblMagic[[#This Row],[Gaia''s Blessing]],12,IF(OFFSET(TblMagic[[#This Row],[Active Gaia''s Blessing]],-1,0)&gt;0,OFFSET(TblMagic[[#This Row],[Active Gaia''s Blessing]],-1,0)-1,0))</f>
        <v>0</v>
      </c>
      <c r="AK56" s="26" t="n">
        <f aca="false">IF(TblMagic[[#This Row],[Howling]],12,IF(OFFSET(TblMagic[[#This Row],[Active Howling]],-1,0)&gt;0,OFFSET(TblMagic[[#This Row],[Active Howling]],-1,0)-1,0))</f>
        <v>0</v>
      </c>
      <c r="AL56" s="26" t="n">
        <f aca="false">IF(TblMagic[[#This Row],[Alchemist Frost]],12,IF(OFFSET(TblMagic[[#This Row],[Active Alch Frost]],-1,0)&gt;0,OFFSET(TblMagic[[#This Row],[Active Alch Frost]],-1,0)-1,0))</f>
        <v>0</v>
      </c>
      <c r="AM56" s="26" t="n">
        <f aca="false">IF(TblMagic[[#This Row],[Alchemists Flame]],12,IF(OFFSET(TblMagic[[#This Row],[Active Alchemists Flame]],-1,0)&gt;0,OFFSET(TblMagic[[#This Row],[Active Alchemists Flame]],-1,0)-1,0))</f>
        <v>9</v>
      </c>
      <c r="AN56" s="26" t="n">
        <f aca="false">IF(TblMagic[[#This Row],[Nightfall]],12,IF(OFFSET(TblMagic[[#This Row],[Active Nightfall]],-1,0)&gt;0,OFFSET(TblMagic[[#This Row],[Active Nightfall]],-1,0)-1,0))</f>
        <v>0</v>
      </c>
      <c r="AO56" s="26" t="n">
        <f aca="false">IF(TblMagic[[#This Row],[Favorable Terrain]],12,IF(OFFSET(TblMagic[[#This Row],[Active Favorable Terrain]],-1,0)&gt;0,OFFSET(TblMagic[[#This Row],[Active Favorable Terrain]],-1,0)-1,0))</f>
        <v>0</v>
      </c>
    </row>
    <row r="57" customFormat="false" ht="12.75" hidden="false" customHeight="false" outlineLevel="0" collapsed="false">
      <c r="A57" s="128" t="n">
        <f aca="false">TblRezone[[#This Row],[Hour]]</f>
        <v>54</v>
      </c>
      <c r="B57" s="146" t="n">
        <f aca="false">TblConstr[[#This Row],[Land]]</f>
        <v>692</v>
      </c>
      <c r="C57" s="69" t="n">
        <f aca="false">TblProd[[#This Row],[Mana]]</f>
        <v>4133.5</v>
      </c>
      <c r="D57" s="149" t="n">
        <f aca="false">MIN(1,OFFSET(TblMagic[[#This Row],[Wiz str]],-1,0)+0.04+ROUNDDOWN(10*OFFSET(TblMili[[#This Row],[WG''s]],-1,0),0)+ tech_2_7*OFFSET(TblTech[[#This Row],[2-7]],-1,0) + tech_5_6*OFFSET(TblTech[[#This Row],[5-6]],-1,0) )-TblMagic[[#This Row],[Wiz str cost]]</f>
        <v>1</v>
      </c>
      <c r="E57" s="153" t="n">
        <f aca="false">OFFSET(TblMagic[[#This Row],[Time]],-1,0)+1/24</f>
        <v>45431.9583333333</v>
      </c>
      <c r="F57" s="149" t="n">
        <f aca="false">TblImps[[#This Row],[Population]]</f>
        <v>1</v>
      </c>
      <c r="G57" s="248"/>
      <c r="H57" s="248"/>
      <c r="I57" s="248"/>
      <c r="J57" s="248"/>
      <c r="K57" s="312"/>
      <c r="L57" s="248"/>
      <c r="M57" s="248"/>
      <c r="N57" s="248"/>
      <c r="O57" s="248"/>
      <c r="P57" s="248"/>
      <c r="Q57" s="248"/>
      <c r="R57" s="248"/>
      <c r="S57" s="248"/>
      <c r="T57" s="248"/>
      <c r="U57" s="248"/>
      <c r="V57" s="248"/>
      <c r="W57" s="132"/>
      <c r="X5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49" t="n">
        <f aca="false">SUMIF(TblMagic[[#This Row],[Gaia''s Watch]:[Useless spell]],1)*0.05</f>
        <v>0</v>
      </c>
      <c r="Z57" s="132"/>
      <c r="AA57" s="26" t="n">
        <f aca="false">IF(TblMagic[[#This Row],[Gaia''s Watch]],12,IF(OFFSET(TblMagic[[#This Row],[Active Gaia''s Watch]],-1,0)&gt;0,OFFSET(TblMagic[[#This Row],[Active Gaia''s Watch]],-1,0)-1,0))</f>
        <v>0</v>
      </c>
      <c r="AB57" s="26" t="n">
        <f aca="false">IF(TblMagic[[#This Row],[Mining Strength]],12,IF(OFFSET(TblMagic[[#This Row],[Active Mining Strength]],-1,0)&gt;0,OFFSET(TblMagic[[#This Row],[Active Mining Strength]],-1,0)-1,0))</f>
        <v>0</v>
      </c>
      <c r="AC57" s="26" t="n">
        <f aca="false">IF(TblMagic[[#This Row],[Ares Call]],12,IF(OFFSET(TblMagic[[#This Row],[Active Ares Call]],-1,0)&gt;0,OFFSET(TblMagic[[#This Row],[Active Ares Call]],-1,0)-1,0))</f>
        <v>0</v>
      </c>
      <c r="AD57" s="26" t="n">
        <f aca="false">IF(TblMagic[[#This Row],[Midas Touch]],12,IF(OFFSET(TblMagic[[#This Row],[Active Midas Touch]],-1,0)&gt;0,OFFSET(TblMagic[[#This Row],[Active Midas Touch]],-1,0)-1,0))</f>
        <v>10</v>
      </c>
      <c r="AE57" s="26" t="n">
        <f aca="false">IF(TblMagic[[#This Row],[Harmony]],12,IF(OFFSET(TblMagic[[#This Row],[Active Harmony]],-1,0)&gt;0,OFFSET(TblMagic[[#This Row],[Active Harmony]],-1,0)-1,0))</f>
        <v>0</v>
      </c>
      <c r="AF57" s="26" t="n">
        <f aca="false">IF(TblMagic[[#This Row],[Miner''s Sight]],12,IF(OFFSET(TblMagic[[#This Row],[Active Miner''s Sight]],-1,0)&gt;0,OFFSET(TblMagic[[#This Row],[Active Miner''s Sight]],-1,0)-1,0))</f>
        <v>0</v>
      </c>
      <c r="AG57" s="26" t="n">
        <f aca="false">IF(TblMagic[[#This Row],[Mechanical Genius]],12,IF(OFFSET(TblMagic[[#This Row],[Active Mechanical Genius]],-1,0)&gt;0,OFFSET(TblMagic[[#This Row],[Active Mechanical Genius]],-1,0)-1,0))</f>
        <v>0</v>
      </c>
      <c r="AH57" s="26" t="n">
        <f aca="false">IF(TblMagic[[#This Row],[Frenzy]],12,IF(OFFSET(TblMagic[[#This Row],[Active Frenzy]],-1,0)&gt;0,OFFSET(TblMagic[[#This Row],[Active Frenzy]],-1,0)-1,0))</f>
        <v>0</v>
      </c>
      <c r="AI57" s="26" t="n">
        <f aca="false">IF(TblMagic[[#This Row],[Killing Rage / Bloodrage / Crusade]],12,IF(OFFSET(TblMagic[[#This Row],[Active Warsong / Killing Rage / Bloodrage]],-1,0)&gt;0,OFFSET(TblMagic[[#This Row],[Active Warsong / Killing Rage / Bloodrage]],-1,0)-1,0))</f>
        <v>0</v>
      </c>
      <c r="AJ57" s="26" t="n">
        <f aca="false">IF(TblMagic[[#This Row],[Gaia''s Blessing]],12,IF(OFFSET(TblMagic[[#This Row],[Active Gaia''s Blessing]],-1,0)&gt;0,OFFSET(TblMagic[[#This Row],[Active Gaia''s Blessing]],-1,0)-1,0))</f>
        <v>0</v>
      </c>
      <c r="AK57" s="26" t="n">
        <f aca="false">IF(TblMagic[[#This Row],[Howling]],12,IF(OFFSET(TblMagic[[#This Row],[Active Howling]],-1,0)&gt;0,OFFSET(TblMagic[[#This Row],[Active Howling]],-1,0)-1,0))</f>
        <v>0</v>
      </c>
      <c r="AL57" s="26" t="n">
        <f aca="false">IF(TblMagic[[#This Row],[Alchemist Frost]],12,IF(OFFSET(TblMagic[[#This Row],[Active Alch Frost]],-1,0)&gt;0,OFFSET(TblMagic[[#This Row],[Active Alch Frost]],-1,0)-1,0))</f>
        <v>0</v>
      </c>
      <c r="AM57" s="26" t="n">
        <f aca="false">IF(TblMagic[[#This Row],[Alchemists Flame]],12,IF(OFFSET(TblMagic[[#This Row],[Active Alchemists Flame]],-1,0)&gt;0,OFFSET(TblMagic[[#This Row],[Active Alchemists Flame]],-1,0)-1,0))</f>
        <v>8</v>
      </c>
      <c r="AN57" s="26" t="n">
        <f aca="false">IF(TblMagic[[#This Row],[Nightfall]],12,IF(OFFSET(TblMagic[[#This Row],[Active Nightfall]],-1,0)&gt;0,OFFSET(TblMagic[[#This Row],[Active Nightfall]],-1,0)-1,0))</f>
        <v>0</v>
      </c>
      <c r="AO57" s="26" t="n">
        <f aca="false">IF(TblMagic[[#This Row],[Favorable Terrain]],12,IF(OFFSET(TblMagic[[#This Row],[Active Favorable Terrain]],-1,0)&gt;0,OFFSET(TblMagic[[#This Row],[Active Favorable Terrain]],-1,0)-1,0))</f>
        <v>0</v>
      </c>
    </row>
    <row r="58" customFormat="false" ht="12.75" hidden="false" customHeight="false" outlineLevel="0" collapsed="false">
      <c r="A58" s="128" t="n">
        <f aca="false">TblRezone[[#This Row],[Hour]]</f>
        <v>55</v>
      </c>
      <c r="B58" s="146" t="n">
        <f aca="false">TblConstr[[#This Row],[Land]]</f>
        <v>700</v>
      </c>
      <c r="C58" s="69" t="n">
        <f aca="false">TblProd[[#This Row],[Mana]]</f>
        <v>4675.5</v>
      </c>
      <c r="D58" s="149" t="n">
        <f aca="false">MIN(1,OFFSET(TblMagic[[#This Row],[Wiz str]],-1,0)+0.04+ROUNDDOWN(10*OFFSET(TblMili[[#This Row],[WG''s]],-1,0),0)+ tech_2_7*OFFSET(TblTech[[#This Row],[2-7]],-1,0) + tech_5_6*OFFSET(TblTech[[#This Row],[5-6]],-1,0) )-TblMagic[[#This Row],[Wiz str cost]]</f>
        <v>1</v>
      </c>
      <c r="E58" s="153" t="n">
        <f aca="false">OFFSET(TblMagic[[#This Row],[Time]],-1,0)+1/24</f>
        <v>45432</v>
      </c>
      <c r="F58" s="149" t="n">
        <f aca="false">TblImps[[#This Row],[Population]]</f>
        <v>1</v>
      </c>
      <c r="G58" s="248"/>
      <c r="H58" s="248"/>
      <c r="I58" s="248"/>
      <c r="J58" s="248"/>
      <c r="K58" s="312"/>
      <c r="L58" s="248"/>
      <c r="M58" s="248"/>
      <c r="N58" s="248"/>
      <c r="O58" s="248"/>
      <c r="P58" s="248"/>
      <c r="Q58" s="248"/>
      <c r="R58" s="248"/>
      <c r="S58" s="248"/>
      <c r="T58" s="248"/>
      <c r="U58" s="248"/>
      <c r="V58" s="248"/>
      <c r="W58" s="132"/>
      <c r="X5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49" t="n">
        <f aca="false">SUMIF(TblMagic[[#This Row],[Gaia''s Watch]:[Useless spell]],1)*0.05</f>
        <v>0</v>
      </c>
      <c r="Z58" s="132"/>
      <c r="AA58" s="26" t="n">
        <f aca="false">IF(TblMagic[[#This Row],[Gaia''s Watch]],12,IF(OFFSET(TblMagic[[#This Row],[Active Gaia''s Watch]],-1,0)&gt;0,OFFSET(TblMagic[[#This Row],[Active Gaia''s Watch]],-1,0)-1,0))</f>
        <v>0</v>
      </c>
      <c r="AB58" s="26" t="n">
        <f aca="false">IF(TblMagic[[#This Row],[Mining Strength]],12,IF(OFFSET(TblMagic[[#This Row],[Active Mining Strength]],-1,0)&gt;0,OFFSET(TblMagic[[#This Row],[Active Mining Strength]],-1,0)-1,0))</f>
        <v>0</v>
      </c>
      <c r="AC58" s="26" t="n">
        <f aca="false">IF(TblMagic[[#This Row],[Ares Call]],12,IF(OFFSET(TblMagic[[#This Row],[Active Ares Call]],-1,0)&gt;0,OFFSET(TblMagic[[#This Row],[Active Ares Call]],-1,0)-1,0))</f>
        <v>0</v>
      </c>
      <c r="AD58" s="26" t="n">
        <f aca="false">IF(TblMagic[[#This Row],[Midas Touch]],12,IF(OFFSET(TblMagic[[#This Row],[Active Midas Touch]],-1,0)&gt;0,OFFSET(TblMagic[[#This Row],[Active Midas Touch]],-1,0)-1,0))</f>
        <v>9</v>
      </c>
      <c r="AE58" s="26" t="n">
        <f aca="false">IF(TblMagic[[#This Row],[Harmony]],12,IF(OFFSET(TblMagic[[#This Row],[Active Harmony]],-1,0)&gt;0,OFFSET(TblMagic[[#This Row],[Active Harmony]],-1,0)-1,0))</f>
        <v>0</v>
      </c>
      <c r="AF58" s="26" t="n">
        <f aca="false">IF(TblMagic[[#This Row],[Miner''s Sight]],12,IF(OFFSET(TblMagic[[#This Row],[Active Miner''s Sight]],-1,0)&gt;0,OFFSET(TblMagic[[#This Row],[Active Miner''s Sight]],-1,0)-1,0))</f>
        <v>0</v>
      </c>
      <c r="AG58" s="26" t="n">
        <f aca="false">IF(TblMagic[[#This Row],[Mechanical Genius]],12,IF(OFFSET(TblMagic[[#This Row],[Active Mechanical Genius]],-1,0)&gt;0,OFFSET(TblMagic[[#This Row],[Active Mechanical Genius]],-1,0)-1,0))</f>
        <v>0</v>
      </c>
      <c r="AH58" s="26" t="n">
        <f aca="false">IF(TblMagic[[#This Row],[Frenzy]],12,IF(OFFSET(TblMagic[[#This Row],[Active Frenzy]],-1,0)&gt;0,OFFSET(TblMagic[[#This Row],[Active Frenzy]],-1,0)-1,0))</f>
        <v>0</v>
      </c>
      <c r="AI58" s="26" t="n">
        <f aca="false">IF(TblMagic[[#This Row],[Killing Rage / Bloodrage / Crusade]],12,IF(OFFSET(TblMagic[[#This Row],[Active Warsong / Killing Rage / Bloodrage]],-1,0)&gt;0,OFFSET(TblMagic[[#This Row],[Active Warsong / Killing Rage / Bloodrage]],-1,0)-1,0))</f>
        <v>0</v>
      </c>
      <c r="AJ58" s="26" t="n">
        <f aca="false">IF(TblMagic[[#This Row],[Gaia''s Blessing]],12,IF(OFFSET(TblMagic[[#This Row],[Active Gaia''s Blessing]],-1,0)&gt;0,OFFSET(TblMagic[[#This Row],[Active Gaia''s Blessing]],-1,0)-1,0))</f>
        <v>0</v>
      </c>
      <c r="AK58" s="26" t="n">
        <f aca="false">IF(TblMagic[[#This Row],[Howling]],12,IF(OFFSET(TblMagic[[#This Row],[Active Howling]],-1,0)&gt;0,OFFSET(TblMagic[[#This Row],[Active Howling]],-1,0)-1,0))</f>
        <v>0</v>
      </c>
      <c r="AL58" s="26" t="n">
        <f aca="false">IF(TblMagic[[#This Row],[Alchemist Frost]],12,IF(OFFSET(TblMagic[[#This Row],[Active Alch Frost]],-1,0)&gt;0,OFFSET(TblMagic[[#This Row],[Active Alch Frost]],-1,0)-1,0))</f>
        <v>0</v>
      </c>
      <c r="AM58" s="26" t="n">
        <f aca="false">IF(TblMagic[[#This Row],[Alchemists Flame]],12,IF(OFFSET(TblMagic[[#This Row],[Active Alchemists Flame]],-1,0)&gt;0,OFFSET(TblMagic[[#This Row],[Active Alchemists Flame]],-1,0)-1,0))</f>
        <v>7</v>
      </c>
      <c r="AN58" s="26" t="n">
        <f aca="false">IF(TblMagic[[#This Row],[Nightfall]],12,IF(OFFSET(TblMagic[[#This Row],[Active Nightfall]],-1,0)&gt;0,OFFSET(TblMagic[[#This Row],[Active Nightfall]],-1,0)-1,0))</f>
        <v>0</v>
      </c>
      <c r="AO58" s="26" t="n">
        <f aca="false">IF(TblMagic[[#This Row],[Favorable Terrain]],12,IF(OFFSET(TblMagic[[#This Row],[Active Favorable Terrain]],-1,0)&gt;0,OFFSET(TblMagic[[#This Row],[Active Favorable Terrain]],-1,0)-1,0))</f>
        <v>0</v>
      </c>
    </row>
    <row r="59" customFormat="false" ht="12.75" hidden="false" customHeight="false" outlineLevel="0" collapsed="false">
      <c r="A59" s="128" t="n">
        <f aca="false">TblRezone[[#This Row],[Hour]]</f>
        <v>56</v>
      </c>
      <c r="B59" s="146" t="n">
        <f aca="false">TblConstr[[#This Row],[Land]]</f>
        <v>700</v>
      </c>
      <c r="C59" s="69" t="n">
        <f aca="false">TblProd[[#This Row],[Mana]]</f>
        <v>5206.5</v>
      </c>
      <c r="D59" s="149" t="n">
        <f aca="false">MIN(1,OFFSET(TblMagic[[#This Row],[Wiz str]],-1,0)+0.04+ROUNDDOWN(10*OFFSET(TblMili[[#This Row],[WG''s]],-1,0),0)+ tech_2_7*OFFSET(TblTech[[#This Row],[2-7]],-1,0) + tech_5_6*OFFSET(TblTech[[#This Row],[5-6]],-1,0) )-TblMagic[[#This Row],[Wiz str cost]]</f>
        <v>1</v>
      </c>
      <c r="E59" s="153" t="n">
        <f aca="false">OFFSET(TblMagic[[#This Row],[Time]],-1,0)+1/24</f>
        <v>45432.0416666667</v>
      </c>
      <c r="F59" s="149" t="n">
        <f aca="false">TblImps[[#This Row],[Population]]</f>
        <v>1</v>
      </c>
      <c r="G59" s="248"/>
      <c r="H59" s="248"/>
      <c r="I59" s="248"/>
      <c r="J59" s="248"/>
      <c r="K59" s="312"/>
      <c r="L59" s="248"/>
      <c r="M59" s="248"/>
      <c r="N59" s="248"/>
      <c r="O59" s="248"/>
      <c r="P59" s="248"/>
      <c r="Q59" s="248"/>
      <c r="R59" s="248"/>
      <c r="S59" s="248"/>
      <c r="T59" s="248"/>
      <c r="U59" s="248"/>
      <c r="V59" s="248"/>
      <c r="W59" s="132"/>
      <c r="X5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49" t="n">
        <f aca="false">SUMIF(TblMagic[[#This Row],[Gaia''s Watch]:[Useless spell]],1)*0.05</f>
        <v>0</v>
      </c>
      <c r="Z59" s="132"/>
      <c r="AA59" s="26" t="n">
        <f aca="false">IF(TblMagic[[#This Row],[Gaia''s Watch]],12,IF(OFFSET(TblMagic[[#This Row],[Active Gaia''s Watch]],-1,0)&gt;0,OFFSET(TblMagic[[#This Row],[Active Gaia''s Watch]],-1,0)-1,0))</f>
        <v>0</v>
      </c>
      <c r="AB59" s="26" t="n">
        <f aca="false">IF(TblMagic[[#This Row],[Mining Strength]],12,IF(OFFSET(TblMagic[[#This Row],[Active Mining Strength]],-1,0)&gt;0,OFFSET(TblMagic[[#This Row],[Active Mining Strength]],-1,0)-1,0))</f>
        <v>0</v>
      </c>
      <c r="AC59" s="26" t="n">
        <f aca="false">IF(TblMagic[[#This Row],[Ares Call]],12,IF(OFFSET(TblMagic[[#This Row],[Active Ares Call]],-1,0)&gt;0,OFFSET(TblMagic[[#This Row],[Active Ares Call]],-1,0)-1,0))</f>
        <v>0</v>
      </c>
      <c r="AD59" s="26" t="n">
        <f aca="false">IF(TblMagic[[#This Row],[Midas Touch]],12,IF(OFFSET(TblMagic[[#This Row],[Active Midas Touch]],-1,0)&gt;0,OFFSET(TblMagic[[#This Row],[Active Midas Touch]],-1,0)-1,0))</f>
        <v>8</v>
      </c>
      <c r="AE59" s="26" t="n">
        <f aca="false">IF(TblMagic[[#This Row],[Harmony]],12,IF(OFFSET(TblMagic[[#This Row],[Active Harmony]],-1,0)&gt;0,OFFSET(TblMagic[[#This Row],[Active Harmony]],-1,0)-1,0))</f>
        <v>0</v>
      </c>
      <c r="AF59" s="26" t="n">
        <f aca="false">IF(TblMagic[[#This Row],[Miner''s Sight]],12,IF(OFFSET(TblMagic[[#This Row],[Active Miner''s Sight]],-1,0)&gt;0,OFFSET(TblMagic[[#This Row],[Active Miner''s Sight]],-1,0)-1,0))</f>
        <v>0</v>
      </c>
      <c r="AG59" s="26" t="n">
        <f aca="false">IF(TblMagic[[#This Row],[Mechanical Genius]],12,IF(OFFSET(TblMagic[[#This Row],[Active Mechanical Genius]],-1,0)&gt;0,OFFSET(TblMagic[[#This Row],[Active Mechanical Genius]],-1,0)-1,0))</f>
        <v>0</v>
      </c>
      <c r="AH59" s="26" t="n">
        <f aca="false">IF(TblMagic[[#This Row],[Frenzy]],12,IF(OFFSET(TblMagic[[#This Row],[Active Frenzy]],-1,0)&gt;0,OFFSET(TblMagic[[#This Row],[Active Frenzy]],-1,0)-1,0))</f>
        <v>0</v>
      </c>
      <c r="AI59" s="26" t="n">
        <f aca="false">IF(TblMagic[[#This Row],[Killing Rage / Bloodrage / Crusade]],12,IF(OFFSET(TblMagic[[#This Row],[Active Warsong / Killing Rage / Bloodrage]],-1,0)&gt;0,OFFSET(TblMagic[[#This Row],[Active Warsong / Killing Rage / Bloodrage]],-1,0)-1,0))</f>
        <v>0</v>
      </c>
      <c r="AJ59" s="26" t="n">
        <f aca="false">IF(TblMagic[[#This Row],[Gaia''s Blessing]],12,IF(OFFSET(TblMagic[[#This Row],[Active Gaia''s Blessing]],-1,0)&gt;0,OFFSET(TblMagic[[#This Row],[Active Gaia''s Blessing]],-1,0)-1,0))</f>
        <v>0</v>
      </c>
      <c r="AK59" s="26" t="n">
        <f aca="false">IF(TblMagic[[#This Row],[Howling]],12,IF(OFFSET(TblMagic[[#This Row],[Active Howling]],-1,0)&gt;0,OFFSET(TblMagic[[#This Row],[Active Howling]],-1,0)-1,0))</f>
        <v>0</v>
      </c>
      <c r="AL59" s="26" t="n">
        <f aca="false">IF(TblMagic[[#This Row],[Alchemist Frost]],12,IF(OFFSET(TblMagic[[#This Row],[Active Alch Frost]],-1,0)&gt;0,OFFSET(TblMagic[[#This Row],[Active Alch Frost]],-1,0)-1,0))</f>
        <v>0</v>
      </c>
      <c r="AM59" s="26" t="n">
        <f aca="false">IF(TblMagic[[#This Row],[Alchemists Flame]],12,IF(OFFSET(TblMagic[[#This Row],[Active Alchemists Flame]],-1,0)&gt;0,OFFSET(TblMagic[[#This Row],[Active Alchemists Flame]],-1,0)-1,0))</f>
        <v>6</v>
      </c>
      <c r="AN59" s="26" t="n">
        <f aca="false">IF(TblMagic[[#This Row],[Nightfall]],12,IF(OFFSET(TblMagic[[#This Row],[Active Nightfall]],-1,0)&gt;0,OFFSET(TblMagic[[#This Row],[Active Nightfall]],-1,0)-1,0))</f>
        <v>0</v>
      </c>
      <c r="AO59" s="26" t="n">
        <f aca="false">IF(TblMagic[[#This Row],[Favorable Terrain]],12,IF(OFFSET(TblMagic[[#This Row],[Active Favorable Terrain]],-1,0)&gt;0,OFFSET(TblMagic[[#This Row],[Active Favorable Terrain]],-1,0)-1,0))</f>
        <v>0</v>
      </c>
    </row>
    <row r="60" customFormat="false" ht="12.75" hidden="false" customHeight="false" outlineLevel="0" collapsed="false">
      <c r="A60" s="128" t="n">
        <f aca="false">TblRezone[[#This Row],[Hour]]</f>
        <v>57</v>
      </c>
      <c r="B60" s="146" t="n">
        <f aca="false">TblConstr[[#This Row],[Land]]</f>
        <v>700</v>
      </c>
      <c r="C60" s="69" t="n">
        <f aca="false">TblProd[[#This Row],[Mana]]</f>
        <v>5727.5</v>
      </c>
      <c r="D60" s="149" t="n">
        <f aca="false">MIN(1,OFFSET(TblMagic[[#This Row],[Wiz str]],-1,0)+0.04+ROUNDDOWN(10*OFFSET(TblMili[[#This Row],[WG''s]],-1,0),0)+ tech_2_7*OFFSET(TblTech[[#This Row],[2-7]],-1,0) + tech_5_6*OFFSET(TblTech[[#This Row],[5-6]],-1,0) )-TblMagic[[#This Row],[Wiz str cost]]</f>
        <v>1</v>
      </c>
      <c r="E60" s="153" t="n">
        <f aca="false">OFFSET(TblMagic[[#This Row],[Time]],-1,0)+1/24</f>
        <v>45432.0833333333</v>
      </c>
      <c r="F60" s="149" t="n">
        <f aca="false">TblImps[[#This Row],[Population]]</f>
        <v>1</v>
      </c>
      <c r="G60" s="248"/>
      <c r="H60" s="248"/>
      <c r="I60" s="248"/>
      <c r="J60" s="248"/>
      <c r="K60" s="312"/>
      <c r="L60" s="248"/>
      <c r="M60" s="248"/>
      <c r="N60" s="248"/>
      <c r="O60" s="248"/>
      <c r="P60" s="248"/>
      <c r="Q60" s="248"/>
      <c r="R60" s="248"/>
      <c r="S60" s="248"/>
      <c r="T60" s="248"/>
      <c r="U60" s="248"/>
      <c r="V60" s="248"/>
      <c r="W60" s="132"/>
      <c r="X6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49" t="n">
        <f aca="false">SUMIF(TblMagic[[#This Row],[Gaia''s Watch]:[Useless spell]],1)*0.05</f>
        <v>0</v>
      </c>
      <c r="Z60" s="132"/>
      <c r="AA60" s="26" t="n">
        <f aca="false">IF(TblMagic[[#This Row],[Gaia''s Watch]],12,IF(OFFSET(TblMagic[[#This Row],[Active Gaia''s Watch]],-1,0)&gt;0,OFFSET(TblMagic[[#This Row],[Active Gaia''s Watch]],-1,0)-1,0))</f>
        <v>0</v>
      </c>
      <c r="AB60" s="26" t="n">
        <f aca="false">IF(TblMagic[[#This Row],[Mining Strength]],12,IF(OFFSET(TblMagic[[#This Row],[Active Mining Strength]],-1,0)&gt;0,OFFSET(TblMagic[[#This Row],[Active Mining Strength]],-1,0)-1,0))</f>
        <v>0</v>
      </c>
      <c r="AC60" s="26" t="n">
        <f aca="false">IF(TblMagic[[#This Row],[Ares Call]],12,IF(OFFSET(TblMagic[[#This Row],[Active Ares Call]],-1,0)&gt;0,OFFSET(TblMagic[[#This Row],[Active Ares Call]],-1,0)-1,0))</f>
        <v>0</v>
      </c>
      <c r="AD60" s="26" t="n">
        <f aca="false">IF(TblMagic[[#This Row],[Midas Touch]],12,IF(OFFSET(TblMagic[[#This Row],[Active Midas Touch]],-1,0)&gt;0,OFFSET(TblMagic[[#This Row],[Active Midas Touch]],-1,0)-1,0))</f>
        <v>7</v>
      </c>
      <c r="AE60" s="26" t="n">
        <f aca="false">IF(TblMagic[[#This Row],[Harmony]],12,IF(OFFSET(TblMagic[[#This Row],[Active Harmony]],-1,0)&gt;0,OFFSET(TblMagic[[#This Row],[Active Harmony]],-1,0)-1,0))</f>
        <v>0</v>
      </c>
      <c r="AF60" s="26" t="n">
        <f aca="false">IF(TblMagic[[#This Row],[Miner''s Sight]],12,IF(OFFSET(TblMagic[[#This Row],[Active Miner''s Sight]],-1,0)&gt;0,OFFSET(TblMagic[[#This Row],[Active Miner''s Sight]],-1,0)-1,0))</f>
        <v>0</v>
      </c>
      <c r="AG60" s="26" t="n">
        <f aca="false">IF(TblMagic[[#This Row],[Mechanical Genius]],12,IF(OFFSET(TblMagic[[#This Row],[Active Mechanical Genius]],-1,0)&gt;0,OFFSET(TblMagic[[#This Row],[Active Mechanical Genius]],-1,0)-1,0))</f>
        <v>0</v>
      </c>
      <c r="AH60" s="26" t="n">
        <f aca="false">IF(TblMagic[[#This Row],[Frenzy]],12,IF(OFFSET(TblMagic[[#This Row],[Active Frenzy]],-1,0)&gt;0,OFFSET(TblMagic[[#This Row],[Active Frenzy]],-1,0)-1,0))</f>
        <v>0</v>
      </c>
      <c r="AI60" s="26" t="n">
        <f aca="false">IF(TblMagic[[#This Row],[Killing Rage / Bloodrage / Crusade]],12,IF(OFFSET(TblMagic[[#This Row],[Active Warsong / Killing Rage / Bloodrage]],-1,0)&gt;0,OFFSET(TblMagic[[#This Row],[Active Warsong / Killing Rage / Bloodrage]],-1,0)-1,0))</f>
        <v>0</v>
      </c>
      <c r="AJ60" s="26" t="n">
        <f aca="false">IF(TblMagic[[#This Row],[Gaia''s Blessing]],12,IF(OFFSET(TblMagic[[#This Row],[Active Gaia''s Blessing]],-1,0)&gt;0,OFFSET(TblMagic[[#This Row],[Active Gaia''s Blessing]],-1,0)-1,0))</f>
        <v>0</v>
      </c>
      <c r="AK60" s="26" t="n">
        <f aca="false">IF(TblMagic[[#This Row],[Howling]],12,IF(OFFSET(TblMagic[[#This Row],[Active Howling]],-1,0)&gt;0,OFFSET(TblMagic[[#This Row],[Active Howling]],-1,0)-1,0))</f>
        <v>0</v>
      </c>
      <c r="AL60" s="26" t="n">
        <f aca="false">IF(TblMagic[[#This Row],[Alchemist Frost]],12,IF(OFFSET(TblMagic[[#This Row],[Active Alch Frost]],-1,0)&gt;0,OFFSET(TblMagic[[#This Row],[Active Alch Frost]],-1,0)-1,0))</f>
        <v>0</v>
      </c>
      <c r="AM60" s="26" t="n">
        <f aca="false">IF(TblMagic[[#This Row],[Alchemists Flame]],12,IF(OFFSET(TblMagic[[#This Row],[Active Alchemists Flame]],-1,0)&gt;0,OFFSET(TblMagic[[#This Row],[Active Alchemists Flame]],-1,0)-1,0))</f>
        <v>5</v>
      </c>
      <c r="AN60" s="26" t="n">
        <f aca="false">IF(TblMagic[[#This Row],[Nightfall]],12,IF(OFFSET(TblMagic[[#This Row],[Active Nightfall]],-1,0)&gt;0,OFFSET(TblMagic[[#This Row],[Active Nightfall]],-1,0)-1,0))</f>
        <v>0</v>
      </c>
      <c r="AO60" s="26" t="n">
        <f aca="false">IF(TblMagic[[#This Row],[Favorable Terrain]],12,IF(OFFSET(TblMagic[[#This Row],[Active Favorable Terrain]],-1,0)&gt;0,OFFSET(TblMagic[[#This Row],[Active Favorable Terrain]],-1,0)-1,0))</f>
        <v>0</v>
      </c>
    </row>
    <row r="61" customFormat="false" ht="12.75" hidden="false" customHeight="false" outlineLevel="0" collapsed="false">
      <c r="A61" s="128" t="n">
        <f aca="false">TblRezone[[#This Row],[Hour]]</f>
        <v>58</v>
      </c>
      <c r="B61" s="146" t="n">
        <f aca="false">TblConstr[[#This Row],[Land]]</f>
        <v>700</v>
      </c>
      <c r="C61" s="69" t="n">
        <f aca="false">TblProd[[#This Row],[Mana]]</f>
        <v>6237.5</v>
      </c>
      <c r="D61" s="149" t="n">
        <f aca="false">MIN(1,OFFSET(TblMagic[[#This Row],[Wiz str]],-1,0)+0.04+ROUNDDOWN(10*OFFSET(TblMili[[#This Row],[WG''s]],-1,0),0)+ tech_2_7*OFFSET(TblTech[[#This Row],[2-7]],-1,0) + tech_5_6*OFFSET(TblTech[[#This Row],[5-6]],-1,0) )-TblMagic[[#This Row],[Wiz str cost]]</f>
        <v>1</v>
      </c>
      <c r="E61" s="153" t="n">
        <f aca="false">OFFSET(TblMagic[[#This Row],[Time]],-1,0)+1/24</f>
        <v>45432.125</v>
      </c>
      <c r="F61" s="149" t="n">
        <f aca="false">TblImps[[#This Row],[Population]]</f>
        <v>1</v>
      </c>
      <c r="G61" s="248"/>
      <c r="H61" s="248"/>
      <c r="I61" s="248"/>
      <c r="J61" s="248"/>
      <c r="K61" s="312"/>
      <c r="L61" s="248"/>
      <c r="M61" s="248"/>
      <c r="N61" s="248"/>
      <c r="O61" s="248"/>
      <c r="P61" s="248"/>
      <c r="Q61" s="248"/>
      <c r="R61" s="248"/>
      <c r="S61" s="248"/>
      <c r="T61" s="248"/>
      <c r="U61" s="248"/>
      <c r="V61" s="248"/>
      <c r="W61" s="132"/>
      <c r="X6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49" t="n">
        <f aca="false">SUMIF(TblMagic[[#This Row],[Gaia''s Watch]:[Useless spell]],1)*0.05</f>
        <v>0</v>
      </c>
      <c r="Z61" s="132"/>
      <c r="AA61" s="26" t="n">
        <f aca="false">IF(TblMagic[[#This Row],[Gaia''s Watch]],12,IF(OFFSET(TblMagic[[#This Row],[Active Gaia''s Watch]],-1,0)&gt;0,OFFSET(TblMagic[[#This Row],[Active Gaia''s Watch]],-1,0)-1,0))</f>
        <v>0</v>
      </c>
      <c r="AB61" s="26" t="n">
        <f aca="false">IF(TblMagic[[#This Row],[Mining Strength]],12,IF(OFFSET(TblMagic[[#This Row],[Active Mining Strength]],-1,0)&gt;0,OFFSET(TblMagic[[#This Row],[Active Mining Strength]],-1,0)-1,0))</f>
        <v>0</v>
      </c>
      <c r="AC61" s="26" t="n">
        <f aca="false">IF(TblMagic[[#This Row],[Ares Call]],12,IF(OFFSET(TblMagic[[#This Row],[Active Ares Call]],-1,0)&gt;0,OFFSET(TblMagic[[#This Row],[Active Ares Call]],-1,0)-1,0))</f>
        <v>0</v>
      </c>
      <c r="AD61" s="26" t="n">
        <f aca="false">IF(TblMagic[[#This Row],[Midas Touch]],12,IF(OFFSET(TblMagic[[#This Row],[Active Midas Touch]],-1,0)&gt;0,OFFSET(TblMagic[[#This Row],[Active Midas Touch]],-1,0)-1,0))</f>
        <v>6</v>
      </c>
      <c r="AE61" s="26" t="n">
        <f aca="false">IF(TblMagic[[#This Row],[Harmony]],12,IF(OFFSET(TblMagic[[#This Row],[Active Harmony]],-1,0)&gt;0,OFFSET(TblMagic[[#This Row],[Active Harmony]],-1,0)-1,0))</f>
        <v>0</v>
      </c>
      <c r="AF61" s="26" t="n">
        <f aca="false">IF(TblMagic[[#This Row],[Miner''s Sight]],12,IF(OFFSET(TblMagic[[#This Row],[Active Miner''s Sight]],-1,0)&gt;0,OFFSET(TblMagic[[#This Row],[Active Miner''s Sight]],-1,0)-1,0))</f>
        <v>0</v>
      </c>
      <c r="AG61" s="26" t="n">
        <f aca="false">IF(TblMagic[[#This Row],[Mechanical Genius]],12,IF(OFFSET(TblMagic[[#This Row],[Active Mechanical Genius]],-1,0)&gt;0,OFFSET(TblMagic[[#This Row],[Active Mechanical Genius]],-1,0)-1,0))</f>
        <v>0</v>
      </c>
      <c r="AH61" s="26" t="n">
        <f aca="false">IF(TblMagic[[#This Row],[Frenzy]],12,IF(OFFSET(TblMagic[[#This Row],[Active Frenzy]],-1,0)&gt;0,OFFSET(TblMagic[[#This Row],[Active Frenzy]],-1,0)-1,0))</f>
        <v>0</v>
      </c>
      <c r="AI61" s="26" t="n">
        <f aca="false">IF(TblMagic[[#This Row],[Killing Rage / Bloodrage / Crusade]],12,IF(OFFSET(TblMagic[[#This Row],[Active Warsong / Killing Rage / Bloodrage]],-1,0)&gt;0,OFFSET(TblMagic[[#This Row],[Active Warsong / Killing Rage / Bloodrage]],-1,0)-1,0))</f>
        <v>0</v>
      </c>
      <c r="AJ61" s="26" t="n">
        <f aca="false">IF(TblMagic[[#This Row],[Gaia''s Blessing]],12,IF(OFFSET(TblMagic[[#This Row],[Active Gaia''s Blessing]],-1,0)&gt;0,OFFSET(TblMagic[[#This Row],[Active Gaia''s Blessing]],-1,0)-1,0))</f>
        <v>0</v>
      </c>
      <c r="AK61" s="26" t="n">
        <f aca="false">IF(TblMagic[[#This Row],[Howling]],12,IF(OFFSET(TblMagic[[#This Row],[Active Howling]],-1,0)&gt;0,OFFSET(TblMagic[[#This Row],[Active Howling]],-1,0)-1,0))</f>
        <v>0</v>
      </c>
      <c r="AL61" s="26" t="n">
        <f aca="false">IF(TblMagic[[#This Row],[Alchemist Frost]],12,IF(OFFSET(TblMagic[[#This Row],[Active Alch Frost]],-1,0)&gt;0,OFFSET(TblMagic[[#This Row],[Active Alch Frost]],-1,0)-1,0))</f>
        <v>0</v>
      </c>
      <c r="AM61" s="26" t="n">
        <f aca="false">IF(TblMagic[[#This Row],[Alchemists Flame]],12,IF(OFFSET(TblMagic[[#This Row],[Active Alchemists Flame]],-1,0)&gt;0,OFFSET(TblMagic[[#This Row],[Active Alchemists Flame]],-1,0)-1,0))</f>
        <v>4</v>
      </c>
      <c r="AN61" s="26" t="n">
        <f aca="false">IF(TblMagic[[#This Row],[Nightfall]],12,IF(OFFSET(TblMagic[[#This Row],[Active Nightfall]],-1,0)&gt;0,OFFSET(TblMagic[[#This Row],[Active Nightfall]],-1,0)-1,0))</f>
        <v>0</v>
      </c>
      <c r="AO61" s="26" t="n">
        <f aca="false">IF(TblMagic[[#This Row],[Favorable Terrain]],12,IF(OFFSET(TblMagic[[#This Row],[Active Favorable Terrain]],-1,0)&gt;0,OFFSET(TblMagic[[#This Row],[Active Favorable Terrain]],-1,0)-1,0))</f>
        <v>0</v>
      </c>
    </row>
    <row r="62" customFormat="false" ht="12.75" hidden="false" customHeight="false" outlineLevel="0" collapsed="false">
      <c r="A62" s="128" t="n">
        <f aca="false">TblRezone[[#This Row],[Hour]]</f>
        <v>59</v>
      </c>
      <c r="B62" s="146" t="n">
        <f aca="false">TblConstr[[#This Row],[Land]]</f>
        <v>700</v>
      </c>
      <c r="C62" s="69" t="n">
        <f aca="false">TblProd[[#This Row],[Mana]]</f>
        <v>6737.5</v>
      </c>
      <c r="D62" s="149" t="n">
        <f aca="false">MIN(1,OFFSET(TblMagic[[#This Row],[Wiz str]],-1,0)+0.04+ROUNDDOWN(10*OFFSET(TblMili[[#This Row],[WG''s]],-1,0),0)+ tech_2_7*OFFSET(TblTech[[#This Row],[2-7]],-1,0) + tech_5_6*OFFSET(TblTech[[#This Row],[5-6]],-1,0) )-TblMagic[[#This Row],[Wiz str cost]]</f>
        <v>1</v>
      </c>
      <c r="E62" s="153" t="n">
        <f aca="false">OFFSET(TblMagic[[#This Row],[Time]],-1,0)+1/24</f>
        <v>45432.1666666667</v>
      </c>
      <c r="F62" s="149" t="n">
        <f aca="false">TblImps[[#This Row],[Population]]</f>
        <v>1</v>
      </c>
      <c r="G62" s="248"/>
      <c r="H62" s="248"/>
      <c r="I62" s="248"/>
      <c r="J62" s="248"/>
      <c r="K62" s="312"/>
      <c r="L62" s="248"/>
      <c r="M62" s="248"/>
      <c r="N62" s="248"/>
      <c r="O62" s="248"/>
      <c r="P62" s="248"/>
      <c r="Q62" s="248"/>
      <c r="R62" s="248"/>
      <c r="S62" s="248"/>
      <c r="T62" s="248"/>
      <c r="U62" s="248"/>
      <c r="V62" s="248"/>
      <c r="W62" s="132"/>
      <c r="X6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49" t="n">
        <f aca="false">SUMIF(TblMagic[[#This Row],[Gaia''s Watch]:[Useless spell]],1)*0.05</f>
        <v>0</v>
      </c>
      <c r="Z62" s="132"/>
      <c r="AA62" s="26" t="n">
        <f aca="false">IF(TblMagic[[#This Row],[Gaia''s Watch]],12,IF(OFFSET(TblMagic[[#This Row],[Active Gaia''s Watch]],-1,0)&gt;0,OFFSET(TblMagic[[#This Row],[Active Gaia''s Watch]],-1,0)-1,0))</f>
        <v>0</v>
      </c>
      <c r="AB62" s="26" t="n">
        <f aca="false">IF(TblMagic[[#This Row],[Mining Strength]],12,IF(OFFSET(TblMagic[[#This Row],[Active Mining Strength]],-1,0)&gt;0,OFFSET(TblMagic[[#This Row],[Active Mining Strength]],-1,0)-1,0))</f>
        <v>0</v>
      </c>
      <c r="AC62" s="26" t="n">
        <f aca="false">IF(TblMagic[[#This Row],[Ares Call]],12,IF(OFFSET(TblMagic[[#This Row],[Active Ares Call]],-1,0)&gt;0,OFFSET(TblMagic[[#This Row],[Active Ares Call]],-1,0)-1,0))</f>
        <v>0</v>
      </c>
      <c r="AD62" s="26" t="n">
        <f aca="false">IF(TblMagic[[#This Row],[Midas Touch]],12,IF(OFFSET(TblMagic[[#This Row],[Active Midas Touch]],-1,0)&gt;0,OFFSET(TblMagic[[#This Row],[Active Midas Touch]],-1,0)-1,0))</f>
        <v>5</v>
      </c>
      <c r="AE62" s="26" t="n">
        <f aca="false">IF(TblMagic[[#This Row],[Harmony]],12,IF(OFFSET(TblMagic[[#This Row],[Active Harmony]],-1,0)&gt;0,OFFSET(TblMagic[[#This Row],[Active Harmony]],-1,0)-1,0))</f>
        <v>0</v>
      </c>
      <c r="AF62" s="26" t="n">
        <f aca="false">IF(TblMagic[[#This Row],[Miner''s Sight]],12,IF(OFFSET(TblMagic[[#This Row],[Active Miner''s Sight]],-1,0)&gt;0,OFFSET(TblMagic[[#This Row],[Active Miner''s Sight]],-1,0)-1,0))</f>
        <v>0</v>
      </c>
      <c r="AG62" s="26" t="n">
        <f aca="false">IF(TblMagic[[#This Row],[Mechanical Genius]],12,IF(OFFSET(TblMagic[[#This Row],[Active Mechanical Genius]],-1,0)&gt;0,OFFSET(TblMagic[[#This Row],[Active Mechanical Genius]],-1,0)-1,0))</f>
        <v>0</v>
      </c>
      <c r="AH62" s="26" t="n">
        <f aca="false">IF(TblMagic[[#This Row],[Frenzy]],12,IF(OFFSET(TblMagic[[#This Row],[Active Frenzy]],-1,0)&gt;0,OFFSET(TblMagic[[#This Row],[Active Frenzy]],-1,0)-1,0))</f>
        <v>0</v>
      </c>
      <c r="AI62" s="26" t="n">
        <f aca="false">IF(TblMagic[[#This Row],[Killing Rage / Bloodrage / Crusade]],12,IF(OFFSET(TblMagic[[#This Row],[Active Warsong / Killing Rage / Bloodrage]],-1,0)&gt;0,OFFSET(TblMagic[[#This Row],[Active Warsong / Killing Rage / Bloodrage]],-1,0)-1,0))</f>
        <v>0</v>
      </c>
      <c r="AJ62" s="26" t="n">
        <f aca="false">IF(TblMagic[[#This Row],[Gaia''s Blessing]],12,IF(OFFSET(TblMagic[[#This Row],[Active Gaia''s Blessing]],-1,0)&gt;0,OFFSET(TblMagic[[#This Row],[Active Gaia''s Blessing]],-1,0)-1,0))</f>
        <v>0</v>
      </c>
      <c r="AK62" s="26" t="n">
        <f aca="false">IF(TblMagic[[#This Row],[Howling]],12,IF(OFFSET(TblMagic[[#This Row],[Active Howling]],-1,0)&gt;0,OFFSET(TblMagic[[#This Row],[Active Howling]],-1,0)-1,0))</f>
        <v>0</v>
      </c>
      <c r="AL62" s="26" t="n">
        <f aca="false">IF(TblMagic[[#This Row],[Alchemist Frost]],12,IF(OFFSET(TblMagic[[#This Row],[Active Alch Frost]],-1,0)&gt;0,OFFSET(TblMagic[[#This Row],[Active Alch Frost]],-1,0)-1,0))</f>
        <v>0</v>
      </c>
      <c r="AM62" s="26" t="n">
        <f aca="false">IF(TblMagic[[#This Row],[Alchemists Flame]],12,IF(OFFSET(TblMagic[[#This Row],[Active Alchemists Flame]],-1,0)&gt;0,OFFSET(TblMagic[[#This Row],[Active Alchemists Flame]],-1,0)-1,0))</f>
        <v>3</v>
      </c>
      <c r="AN62" s="26" t="n">
        <f aca="false">IF(TblMagic[[#This Row],[Nightfall]],12,IF(OFFSET(TblMagic[[#This Row],[Active Nightfall]],-1,0)&gt;0,OFFSET(TblMagic[[#This Row],[Active Nightfall]],-1,0)-1,0))</f>
        <v>0</v>
      </c>
      <c r="AO62" s="26" t="n">
        <f aca="false">IF(TblMagic[[#This Row],[Favorable Terrain]],12,IF(OFFSET(TblMagic[[#This Row],[Active Favorable Terrain]],-1,0)&gt;0,OFFSET(TblMagic[[#This Row],[Active Favorable Terrain]],-1,0)-1,0))</f>
        <v>0</v>
      </c>
    </row>
    <row r="63" customFormat="false" ht="12.75" hidden="false" customHeight="false" outlineLevel="0" collapsed="false">
      <c r="A63" s="128" t="n">
        <f aca="false">TblRezone[[#This Row],[Hour]]</f>
        <v>60</v>
      </c>
      <c r="B63" s="146" t="n">
        <f aca="false">TblConstr[[#This Row],[Land]]</f>
        <v>700</v>
      </c>
      <c r="C63" s="69" t="n">
        <f aca="false">TblProd[[#This Row],[Mana]]</f>
        <v>7227.5</v>
      </c>
      <c r="D63" s="149" t="n">
        <f aca="false">MIN(1,OFFSET(TblMagic[[#This Row],[Wiz str]],-1,0)+0.04+ROUNDDOWN(10*OFFSET(TblMili[[#This Row],[WG''s]],-1,0),0)+ tech_2_7*OFFSET(TblTech[[#This Row],[2-7]],-1,0) + tech_5_6*OFFSET(TblTech[[#This Row],[5-6]],-1,0) )-TblMagic[[#This Row],[Wiz str cost]]</f>
        <v>1</v>
      </c>
      <c r="E63" s="153" t="n">
        <f aca="false">OFFSET(TblMagic[[#This Row],[Time]],-1,0)+1/24</f>
        <v>45432.2083333333</v>
      </c>
      <c r="F63" s="149" t="n">
        <f aca="false">TblImps[[#This Row],[Population]]</f>
        <v>1</v>
      </c>
      <c r="G63" s="248"/>
      <c r="H63" s="248"/>
      <c r="I63" s="248"/>
      <c r="J63" s="248"/>
      <c r="K63" s="312"/>
      <c r="L63" s="248"/>
      <c r="M63" s="248"/>
      <c r="N63" s="248"/>
      <c r="O63" s="248"/>
      <c r="P63" s="248"/>
      <c r="Q63" s="248"/>
      <c r="R63" s="248"/>
      <c r="S63" s="248"/>
      <c r="T63" s="248"/>
      <c r="U63" s="248"/>
      <c r="V63" s="248"/>
      <c r="W63" s="132"/>
      <c r="X6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49" t="n">
        <f aca="false">SUMIF(TblMagic[[#This Row],[Gaia''s Watch]:[Useless spell]],1)*0.05</f>
        <v>0</v>
      </c>
      <c r="Z63" s="132"/>
      <c r="AA63" s="26" t="n">
        <f aca="false">IF(TblMagic[[#This Row],[Gaia''s Watch]],12,IF(OFFSET(TblMagic[[#This Row],[Active Gaia''s Watch]],-1,0)&gt;0,OFFSET(TblMagic[[#This Row],[Active Gaia''s Watch]],-1,0)-1,0))</f>
        <v>0</v>
      </c>
      <c r="AB63" s="26" t="n">
        <f aca="false">IF(TblMagic[[#This Row],[Mining Strength]],12,IF(OFFSET(TblMagic[[#This Row],[Active Mining Strength]],-1,0)&gt;0,OFFSET(TblMagic[[#This Row],[Active Mining Strength]],-1,0)-1,0))</f>
        <v>0</v>
      </c>
      <c r="AC63" s="26" t="n">
        <f aca="false">IF(TblMagic[[#This Row],[Ares Call]],12,IF(OFFSET(TblMagic[[#This Row],[Active Ares Call]],-1,0)&gt;0,OFFSET(TblMagic[[#This Row],[Active Ares Call]],-1,0)-1,0))</f>
        <v>0</v>
      </c>
      <c r="AD63" s="26" t="n">
        <f aca="false">IF(TblMagic[[#This Row],[Midas Touch]],12,IF(OFFSET(TblMagic[[#This Row],[Active Midas Touch]],-1,0)&gt;0,OFFSET(TblMagic[[#This Row],[Active Midas Touch]],-1,0)-1,0))</f>
        <v>4</v>
      </c>
      <c r="AE63" s="26" t="n">
        <f aca="false">IF(TblMagic[[#This Row],[Harmony]],12,IF(OFFSET(TblMagic[[#This Row],[Active Harmony]],-1,0)&gt;0,OFFSET(TblMagic[[#This Row],[Active Harmony]],-1,0)-1,0))</f>
        <v>0</v>
      </c>
      <c r="AF63" s="26" t="n">
        <f aca="false">IF(TblMagic[[#This Row],[Miner''s Sight]],12,IF(OFFSET(TblMagic[[#This Row],[Active Miner''s Sight]],-1,0)&gt;0,OFFSET(TblMagic[[#This Row],[Active Miner''s Sight]],-1,0)-1,0))</f>
        <v>0</v>
      </c>
      <c r="AG63" s="26" t="n">
        <f aca="false">IF(TblMagic[[#This Row],[Mechanical Genius]],12,IF(OFFSET(TblMagic[[#This Row],[Active Mechanical Genius]],-1,0)&gt;0,OFFSET(TblMagic[[#This Row],[Active Mechanical Genius]],-1,0)-1,0))</f>
        <v>0</v>
      </c>
      <c r="AH63" s="26" t="n">
        <f aca="false">IF(TblMagic[[#This Row],[Frenzy]],12,IF(OFFSET(TblMagic[[#This Row],[Active Frenzy]],-1,0)&gt;0,OFFSET(TblMagic[[#This Row],[Active Frenzy]],-1,0)-1,0))</f>
        <v>0</v>
      </c>
      <c r="AI63" s="26" t="n">
        <f aca="false">IF(TblMagic[[#This Row],[Killing Rage / Bloodrage / Crusade]],12,IF(OFFSET(TblMagic[[#This Row],[Active Warsong / Killing Rage / Bloodrage]],-1,0)&gt;0,OFFSET(TblMagic[[#This Row],[Active Warsong / Killing Rage / Bloodrage]],-1,0)-1,0))</f>
        <v>0</v>
      </c>
      <c r="AJ63" s="26" t="n">
        <f aca="false">IF(TblMagic[[#This Row],[Gaia''s Blessing]],12,IF(OFFSET(TblMagic[[#This Row],[Active Gaia''s Blessing]],-1,0)&gt;0,OFFSET(TblMagic[[#This Row],[Active Gaia''s Blessing]],-1,0)-1,0))</f>
        <v>0</v>
      </c>
      <c r="AK63" s="26" t="n">
        <f aca="false">IF(TblMagic[[#This Row],[Howling]],12,IF(OFFSET(TblMagic[[#This Row],[Active Howling]],-1,0)&gt;0,OFFSET(TblMagic[[#This Row],[Active Howling]],-1,0)-1,0))</f>
        <v>0</v>
      </c>
      <c r="AL63" s="26" t="n">
        <f aca="false">IF(TblMagic[[#This Row],[Alchemist Frost]],12,IF(OFFSET(TblMagic[[#This Row],[Active Alch Frost]],-1,0)&gt;0,OFFSET(TblMagic[[#This Row],[Active Alch Frost]],-1,0)-1,0))</f>
        <v>0</v>
      </c>
      <c r="AM63" s="26" t="n">
        <f aca="false">IF(TblMagic[[#This Row],[Alchemists Flame]],12,IF(OFFSET(TblMagic[[#This Row],[Active Alchemists Flame]],-1,0)&gt;0,OFFSET(TblMagic[[#This Row],[Active Alchemists Flame]],-1,0)-1,0))</f>
        <v>2</v>
      </c>
      <c r="AN63" s="26" t="n">
        <f aca="false">IF(TblMagic[[#This Row],[Nightfall]],12,IF(OFFSET(TblMagic[[#This Row],[Active Nightfall]],-1,0)&gt;0,OFFSET(TblMagic[[#This Row],[Active Nightfall]],-1,0)-1,0))</f>
        <v>0</v>
      </c>
      <c r="AO63" s="26" t="n">
        <f aca="false">IF(TblMagic[[#This Row],[Favorable Terrain]],12,IF(OFFSET(TblMagic[[#This Row],[Active Favorable Terrain]],-1,0)&gt;0,OFFSET(TblMagic[[#This Row],[Active Favorable Terrain]],-1,0)-1,0))</f>
        <v>0</v>
      </c>
    </row>
    <row r="64" customFormat="false" ht="12.75" hidden="false" customHeight="false" outlineLevel="0" collapsed="false">
      <c r="A64" s="128" t="n">
        <f aca="false">TblRezone[[#This Row],[Hour]]</f>
        <v>61</v>
      </c>
      <c r="B64" s="146" t="n">
        <f aca="false">TblConstr[[#This Row],[Land]]</f>
        <v>700</v>
      </c>
      <c r="C64" s="69" t="n">
        <f aca="false">TblProd[[#This Row],[Mana]]</f>
        <v>7707.5</v>
      </c>
      <c r="D64" s="149" t="n">
        <f aca="false">MIN(1,OFFSET(TblMagic[[#This Row],[Wiz str]],-1,0)+0.04+ROUNDDOWN(10*OFFSET(TblMili[[#This Row],[WG''s]],-1,0),0)+ tech_2_7*OFFSET(TblTech[[#This Row],[2-7]],-1,0) + tech_5_6*OFFSET(TblTech[[#This Row],[5-6]],-1,0) )-TblMagic[[#This Row],[Wiz str cost]]</f>
        <v>1</v>
      </c>
      <c r="E64" s="153" t="n">
        <f aca="false">OFFSET(TblMagic[[#This Row],[Time]],-1,0)+1/24</f>
        <v>45432.25</v>
      </c>
      <c r="F64" s="149" t="n">
        <f aca="false">TblImps[[#This Row],[Population]]</f>
        <v>1</v>
      </c>
      <c r="G64" s="248"/>
      <c r="H64" s="248"/>
      <c r="I64" s="248"/>
      <c r="J64" s="248"/>
      <c r="K64" s="312"/>
      <c r="L64" s="248"/>
      <c r="M64" s="248"/>
      <c r="N64" s="248"/>
      <c r="O64" s="248"/>
      <c r="P64" s="248"/>
      <c r="Q64" s="248"/>
      <c r="R64" s="248"/>
      <c r="S64" s="248"/>
      <c r="T64" s="248"/>
      <c r="U64" s="248"/>
      <c r="V64" s="248"/>
      <c r="W64" s="132"/>
      <c r="X6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49" t="n">
        <f aca="false">SUMIF(TblMagic[[#This Row],[Gaia''s Watch]:[Useless spell]],1)*0.05</f>
        <v>0</v>
      </c>
      <c r="Z64" s="132"/>
      <c r="AA64" s="26" t="n">
        <f aca="false">IF(TblMagic[[#This Row],[Gaia''s Watch]],12,IF(OFFSET(TblMagic[[#This Row],[Active Gaia''s Watch]],-1,0)&gt;0,OFFSET(TblMagic[[#This Row],[Active Gaia''s Watch]],-1,0)-1,0))</f>
        <v>0</v>
      </c>
      <c r="AB64" s="26" t="n">
        <f aca="false">IF(TblMagic[[#This Row],[Mining Strength]],12,IF(OFFSET(TblMagic[[#This Row],[Active Mining Strength]],-1,0)&gt;0,OFFSET(TblMagic[[#This Row],[Active Mining Strength]],-1,0)-1,0))</f>
        <v>0</v>
      </c>
      <c r="AC64" s="26" t="n">
        <f aca="false">IF(TblMagic[[#This Row],[Ares Call]],12,IF(OFFSET(TblMagic[[#This Row],[Active Ares Call]],-1,0)&gt;0,OFFSET(TblMagic[[#This Row],[Active Ares Call]],-1,0)-1,0))</f>
        <v>0</v>
      </c>
      <c r="AD64" s="26" t="n">
        <f aca="false">IF(TblMagic[[#This Row],[Midas Touch]],12,IF(OFFSET(TblMagic[[#This Row],[Active Midas Touch]],-1,0)&gt;0,OFFSET(TblMagic[[#This Row],[Active Midas Touch]],-1,0)-1,0))</f>
        <v>3</v>
      </c>
      <c r="AE64" s="26" t="n">
        <f aca="false">IF(TblMagic[[#This Row],[Harmony]],12,IF(OFFSET(TblMagic[[#This Row],[Active Harmony]],-1,0)&gt;0,OFFSET(TblMagic[[#This Row],[Active Harmony]],-1,0)-1,0))</f>
        <v>0</v>
      </c>
      <c r="AF64" s="26" t="n">
        <f aca="false">IF(TblMagic[[#This Row],[Miner''s Sight]],12,IF(OFFSET(TblMagic[[#This Row],[Active Miner''s Sight]],-1,0)&gt;0,OFFSET(TblMagic[[#This Row],[Active Miner''s Sight]],-1,0)-1,0))</f>
        <v>0</v>
      </c>
      <c r="AG64" s="26" t="n">
        <f aca="false">IF(TblMagic[[#This Row],[Mechanical Genius]],12,IF(OFFSET(TblMagic[[#This Row],[Active Mechanical Genius]],-1,0)&gt;0,OFFSET(TblMagic[[#This Row],[Active Mechanical Genius]],-1,0)-1,0))</f>
        <v>0</v>
      </c>
      <c r="AH64" s="26" t="n">
        <f aca="false">IF(TblMagic[[#This Row],[Frenzy]],12,IF(OFFSET(TblMagic[[#This Row],[Active Frenzy]],-1,0)&gt;0,OFFSET(TblMagic[[#This Row],[Active Frenzy]],-1,0)-1,0))</f>
        <v>0</v>
      </c>
      <c r="AI64" s="26" t="n">
        <f aca="false">IF(TblMagic[[#This Row],[Killing Rage / Bloodrage / Crusade]],12,IF(OFFSET(TblMagic[[#This Row],[Active Warsong / Killing Rage / Bloodrage]],-1,0)&gt;0,OFFSET(TblMagic[[#This Row],[Active Warsong / Killing Rage / Bloodrage]],-1,0)-1,0))</f>
        <v>0</v>
      </c>
      <c r="AJ64" s="26" t="n">
        <f aca="false">IF(TblMagic[[#This Row],[Gaia''s Blessing]],12,IF(OFFSET(TblMagic[[#This Row],[Active Gaia''s Blessing]],-1,0)&gt;0,OFFSET(TblMagic[[#This Row],[Active Gaia''s Blessing]],-1,0)-1,0))</f>
        <v>0</v>
      </c>
      <c r="AK64" s="26" t="n">
        <f aca="false">IF(TblMagic[[#This Row],[Howling]],12,IF(OFFSET(TblMagic[[#This Row],[Active Howling]],-1,0)&gt;0,OFFSET(TblMagic[[#This Row],[Active Howling]],-1,0)-1,0))</f>
        <v>0</v>
      </c>
      <c r="AL64" s="26" t="n">
        <f aca="false">IF(TblMagic[[#This Row],[Alchemist Frost]],12,IF(OFFSET(TblMagic[[#This Row],[Active Alch Frost]],-1,0)&gt;0,OFFSET(TblMagic[[#This Row],[Active Alch Frost]],-1,0)-1,0))</f>
        <v>0</v>
      </c>
      <c r="AM64" s="26" t="n">
        <f aca="false">IF(TblMagic[[#This Row],[Alchemists Flame]],12,IF(OFFSET(TblMagic[[#This Row],[Active Alchemists Flame]],-1,0)&gt;0,OFFSET(TblMagic[[#This Row],[Active Alchemists Flame]],-1,0)-1,0))</f>
        <v>1</v>
      </c>
      <c r="AN64" s="26" t="n">
        <f aca="false">IF(TblMagic[[#This Row],[Nightfall]],12,IF(OFFSET(TblMagic[[#This Row],[Active Nightfall]],-1,0)&gt;0,OFFSET(TblMagic[[#This Row],[Active Nightfall]],-1,0)-1,0))</f>
        <v>0</v>
      </c>
      <c r="AO64" s="26" t="n">
        <f aca="false">IF(TblMagic[[#This Row],[Favorable Terrain]],12,IF(OFFSET(TblMagic[[#This Row],[Active Favorable Terrain]],-1,0)&gt;0,OFFSET(TblMagic[[#This Row],[Active Favorable Terrain]],-1,0)-1,0))</f>
        <v>0</v>
      </c>
    </row>
    <row r="65" customFormat="false" ht="12.75" hidden="false" customHeight="false" outlineLevel="0" collapsed="false">
      <c r="A65" s="128" t="n">
        <f aca="false">TblRezone[[#This Row],[Hour]]</f>
        <v>62</v>
      </c>
      <c r="B65" s="146" t="n">
        <f aca="false">TblConstr[[#This Row],[Land]]</f>
        <v>700</v>
      </c>
      <c r="C65" s="69" t="n">
        <f aca="false">TblProd[[#This Row],[Mana]]</f>
        <v>4678.5</v>
      </c>
      <c r="D65" s="149" t="n">
        <f aca="false">MIN(1,OFFSET(TblMagic[[#This Row],[Wiz str]],-1,0)+0.04+ROUNDDOWN(10*OFFSET(TblMili[[#This Row],[WG''s]],-1,0),0)+ tech_2_7*OFFSET(TblTech[[#This Row],[2-7]],-1,0) + tech_5_6*OFFSET(TblTech[[#This Row],[5-6]],-1,0) )-TblMagic[[#This Row],[Wiz str cost]]</f>
        <v>0.95</v>
      </c>
      <c r="E65" s="153" t="n">
        <f aca="false">OFFSET(TblMagic[[#This Row],[Time]],-1,0)+1/24</f>
        <v>45432.2916666667</v>
      </c>
      <c r="F65" s="149" t="n">
        <f aca="false">TblImps[[#This Row],[Population]]</f>
        <v>1</v>
      </c>
      <c r="G65" s="248"/>
      <c r="H65" s="248"/>
      <c r="I65" s="248"/>
      <c r="J65" s="248"/>
      <c r="K65" s="312"/>
      <c r="L65" s="248"/>
      <c r="M65" s="248"/>
      <c r="N65" s="248"/>
      <c r="O65" s="248"/>
      <c r="P65" s="248"/>
      <c r="Q65" s="248"/>
      <c r="R65" s="248"/>
      <c r="S65" s="248" t="n">
        <v>1</v>
      </c>
      <c r="T65" s="248"/>
      <c r="U65" s="248"/>
      <c r="V65" s="248"/>
      <c r="W65" s="132"/>
      <c r="X6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3500</v>
      </c>
      <c r="Y65" s="149" t="n">
        <f aca="false">SUMIF(TblMagic[[#This Row],[Gaia''s Watch]:[Useless spell]],1)*0.05</f>
        <v>0.05</v>
      </c>
      <c r="Z65" s="132"/>
      <c r="AA65" s="26" t="n">
        <f aca="false">IF(TblMagic[[#This Row],[Gaia''s Watch]],12,IF(OFFSET(TblMagic[[#This Row],[Active Gaia''s Watch]],-1,0)&gt;0,OFFSET(TblMagic[[#This Row],[Active Gaia''s Watch]],-1,0)-1,0))</f>
        <v>0</v>
      </c>
      <c r="AB65" s="26" t="n">
        <f aca="false">IF(TblMagic[[#This Row],[Mining Strength]],12,IF(OFFSET(TblMagic[[#This Row],[Active Mining Strength]],-1,0)&gt;0,OFFSET(TblMagic[[#This Row],[Active Mining Strength]],-1,0)-1,0))</f>
        <v>0</v>
      </c>
      <c r="AC65" s="26" t="n">
        <f aca="false">IF(TblMagic[[#This Row],[Ares Call]],12,IF(OFFSET(TblMagic[[#This Row],[Active Ares Call]],-1,0)&gt;0,OFFSET(TblMagic[[#This Row],[Active Ares Call]],-1,0)-1,0))</f>
        <v>0</v>
      </c>
      <c r="AD65" s="26" t="n">
        <f aca="false">IF(TblMagic[[#This Row],[Midas Touch]],12,IF(OFFSET(TblMagic[[#This Row],[Active Midas Touch]],-1,0)&gt;0,OFFSET(TblMagic[[#This Row],[Active Midas Touch]],-1,0)-1,0))</f>
        <v>2</v>
      </c>
      <c r="AE65" s="26" t="n">
        <f aca="false">IF(TblMagic[[#This Row],[Harmony]],12,IF(OFFSET(TblMagic[[#This Row],[Active Harmony]],-1,0)&gt;0,OFFSET(TblMagic[[#This Row],[Active Harmony]],-1,0)-1,0))</f>
        <v>0</v>
      </c>
      <c r="AF65" s="26" t="n">
        <f aca="false">IF(TblMagic[[#This Row],[Miner''s Sight]],12,IF(OFFSET(TblMagic[[#This Row],[Active Miner''s Sight]],-1,0)&gt;0,OFFSET(TblMagic[[#This Row],[Active Miner''s Sight]],-1,0)-1,0))</f>
        <v>0</v>
      </c>
      <c r="AG65" s="26" t="n">
        <f aca="false">IF(TblMagic[[#This Row],[Mechanical Genius]],12,IF(OFFSET(TblMagic[[#This Row],[Active Mechanical Genius]],-1,0)&gt;0,OFFSET(TblMagic[[#This Row],[Active Mechanical Genius]],-1,0)-1,0))</f>
        <v>0</v>
      </c>
      <c r="AH65" s="26" t="n">
        <f aca="false">IF(TblMagic[[#This Row],[Frenzy]],12,IF(OFFSET(TblMagic[[#This Row],[Active Frenzy]],-1,0)&gt;0,OFFSET(TblMagic[[#This Row],[Active Frenzy]],-1,0)-1,0))</f>
        <v>0</v>
      </c>
      <c r="AI65" s="26" t="n">
        <f aca="false">IF(TblMagic[[#This Row],[Killing Rage / Bloodrage / Crusade]],12,IF(OFFSET(TblMagic[[#This Row],[Active Warsong / Killing Rage / Bloodrage]],-1,0)&gt;0,OFFSET(TblMagic[[#This Row],[Active Warsong / Killing Rage / Bloodrage]],-1,0)-1,0))</f>
        <v>0</v>
      </c>
      <c r="AJ65" s="26" t="n">
        <f aca="false">IF(TblMagic[[#This Row],[Gaia''s Blessing]],12,IF(OFFSET(TblMagic[[#This Row],[Active Gaia''s Blessing]],-1,0)&gt;0,OFFSET(TblMagic[[#This Row],[Active Gaia''s Blessing]],-1,0)-1,0))</f>
        <v>0</v>
      </c>
      <c r="AK65" s="26" t="n">
        <f aca="false">IF(TblMagic[[#This Row],[Howling]],12,IF(OFFSET(TblMagic[[#This Row],[Active Howling]],-1,0)&gt;0,OFFSET(TblMagic[[#This Row],[Active Howling]],-1,0)-1,0))</f>
        <v>0</v>
      </c>
      <c r="AL65" s="26" t="n">
        <f aca="false">IF(TblMagic[[#This Row],[Alchemist Frost]],12,IF(OFFSET(TblMagic[[#This Row],[Active Alch Frost]],-1,0)&gt;0,OFFSET(TblMagic[[#This Row],[Active Alch Frost]],-1,0)-1,0))</f>
        <v>0</v>
      </c>
      <c r="AM65" s="26" t="n">
        <f aca="false">IF(TblMagic[[#This Row],[Alchemists Flame]],12,IF(OFFSET(TblMagic[[#This Row],[Active Alchemists Flame]],-1,0)&gt;0,OFFSET(TblMagic[[#This Row],[Active Alchemists Flame]],-1,0)-1,0))</f>
        <v>12</v>
      </c>
      <c r="AN65" s="26" t="n">
        <f aca="false">IF(TblMagic[[#This Row],[Nightfall]],12,IF(OFFSET(TblMagic[[#This Row],[Active Nightfall]],-1,0)&gt;0,OFFSET(TblMagic[[#This Row],[Active Nightfall]],-1,0)-1,0))</f>
        <v>0</v>
      </c>
      <c r="AO65" s="26" t="n">
        <f aca="false">IF(TblMagic[[#This Row],[Favorable Terrain]],12,IF(OFFSET(TblMagic[[#This Row],[Active Favorable Terrain]],-1,0)&gt;0,OFFSET(TblMagic[[#This Row],[Active Favorable Terrain]],-1,0)-1,0))</f>
        <v>0</v>
      </c>
    </row>
    <row r="66" customFormat="false" ht="12.75" hidden="false" customHeight="false" outlineLevel="0" collapsed="false">
      <c r="A66" s="128" t="n">
        <f aca="false">TblRezone[[#This Row],[Hour]]</f>
        <v>63</v>
      </c>
      <c r="B66" s="146" t="n">
        <f aca="false">TblConstr[[#This Row],[Land]]</f>
        <v>700</v>
      </c>
      <c r="C66" s="69" t="n">
        <f aca="false">TblProd[[#This Row],[Mana]]</f>
        <v>5209.5</v>
      </c>
      <c r="D66" s="149" t="n">
        <f aca="false">MIN(1,OFFSET(TblMagic[[#This Row],[Wiz str]],-1,0)+0.04+ROUNDDOWN(10*OFFSET(TblMili[[#This Row],[WG''s]],-1,0),0)+ tech_2_7*OFFSET(TblTech[[#This Row],[2-7]],-1,0) + tech_5_6*OFFSET(TblTech[[#This Row],[5-6]],-1,0) )-TblMagic[[#This Row],[Wiz str cost]]</f>
        <v>0.99</v>
      </c>
      <c r="E66" s="153" t="n">
        <f aca="false">OFFSET(TblMagic[[#This Row],[Time]],-1,0)+1/24</f>
        <v>45432.3333333333</v>
      </c>
      <c r="F66" s="149" t="n">
        <f aca="false">TblImps[[#This Row],[Population]]</f>
        <v>1</v>
      </c>
      <c r="G66" s="248"/>
      <c r="H66" s="248"/>
      <c r="I66" s="248"/>
      <c r="J66" s="248"/>
      <c r="K66" s="312"/>
      <c r="L66" s="248"/>
      <c r="M66" s="248"/>
      <c r="N66" s="248"/>
      <c r="O66" s="248"/>
      <c r="P66" s="248"/>
      <c r="Q66" s="248"/>
      <c r="R66" s="248"/>
      <c r="S66" s="248"/>
      <c r="T66" s="248"/>
      <c r="U66" s="248"/>
      <c r="V66" s="248"/>
      <c r="W66" s="132"/>
      <c r="X6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49" t="n">
        <f aca="false">SUMIF(TblMagic[[#This Row],[Gaia''s Watch]:[Useless spell]],1)*0.05</f>
        <v>0</v>
      </c>
      <c r="Z66" s="132"/>
      <c r="AA66" s="26" t="n">
        <f aca="false">IF(TblMagic[[#This Row],[Gaia''s Watch]],12,IF(OFFSET(TblMagic[[#This Row],[Active Gaia''s Watch]],-1,0)&gt;0,OFFSET(TblMagic[[#This Row],[Active Gaia''s Watch]],-1,0)-1,0))</f>
        <v>0</v>
      </c>
      <c r="AB66" s="26" t="n">
        <f aca="false">IF(TblMagic[[#This Row],[Mining Strength]],12,IF(OFFSET(TblMagic[[#This Row],[Active Mining Strength]],-1,0)&gt;0,OFFSET(TblMagic[[#This Row],[Active Mining Strength]],-1,0)-1,0))</f>
        <v>0</v>
      </c>
      <c r="AC66" s="26" t="n">
        <f aca="false">IF(TblMagic[[#This Row],[Ares Call]],12,IF(OFFSET(TblMagic[[#This Row],[Active Ares Call]],-1,0)&gt;0,OFFSET(TblMagic[[#This Row],[Active Ares Call]],-1,0)-1,0))</f>
        <v>0</v>
      </c>
      <c r="AD66" s="26" t="n">
        <f aca="false">IF(TblMagic[[#This Row],[Midas Touch]],12,IF(OFFSET(TblMagic[[#This Row],[Active Midas Touch]],-1,0)&gt;0,OFFSET(TblMagic[[#This Row],[Active Midas Touch]],-1,0)-1,0))</f>
        <v>1</v>
      </c>
      <c r="AE66" s="26" t="n">
        <f aca="false">IF(TblMagic[[#This Row],[Harmony]],12,IF(OFFSET(TblMagic[[#This Row],[Active Harmony]],-1,0)&gt;0,OFFSET(TblMagic[[#This Row],[Active Harmony]],-1,0)-1,0))</f>
        <v>0</v>
      </c>
      <c r="AF66" s="26" t="n">
        <f aca="false">IF(TblMagic[[#This Row],[Miner''s Sight]],12,IF(OFFSET(TblMagic[[#This Row],[Active Miner''s Sight]],-1,0)&gt;0,OFFSET(TblMagic[[#This Row],[Active Miner''s Sight]],-1,0)-1,0))</f>
        <v>0</v>
      </c>
      <c r="AG66" s="26" t="n">
        <f aca="false">IF(TblMagic[[#This Row],[Mechanical Genius]],12,IF(OFFSET(TblMagic[[#This Row],[Active Mechanical Genius]],-1,0)&gt;0,OFFSET(TblMagic[[#This Row],[Active Mechanical Genius]],-1,0)-1,0))</f>
        <v>0</v>
      </c>
      <c r="AH66" s="26" t="n">
        <f aca="false">IF(TblMagic[[#This Row],[Frenzy]],12,IF(OFFSET(TblMagic[[#This Row],[Active Frenzy]],-1,0)&gt;0,OFFSET(TblMagic[[#This Row],[Active Frenzy]],-1,0)-1,0))</f>
        <v>0</v>
      </c>
      <c r="AI66" s="26" t="n">
        <f aca="false">IF(TblMagic[[#This Row],[Killing Rage / Bloodrage / Crusade]],12,IF(OFFSET(TblMagic[[#This Row],[Active Warsong / Killing Rage / Bloodrage]],-1,0)&gt;0,OFFSET(TblMagic[[#This Row],[Active Warsong / Killing Rage / Bloodrage]],-1,0)-1,0))</f>
        <v>0</v>
      </c>
      <c r="AJ66" s="26" t="n">
        <f aca="false">IF(TblMagic[[#This Row],[Gaia''s Blessing]],12,IF(OFFSET(TblMagic[[#This Row],[Active Gaia''s Blessing]],-1,0)&gt;0,OFFSET(TblMagic[[#This Row],[Active Gaia''s Blessing]],-1,0)-1,0))</f>
        <v>0</v>
      </c>
      <c r="AK66" s="26" t="n">
        <f aca="false">IF(TblMagic[[#This Row],[Howling]],12,IF(OFFSET(TblMagic[[#This Row],[Active Howling]],-1,0)&gt;0,OFFSET(TblMagic[[#This Row],[Active Howling]],-1,0)-1,0))</f>
        <v>0</v>
      </c>
      <c r="AL66" s="26" t="n">
        <f aca="false">IF(TblMagic[[#This Row],[Alchemist Frost]],12,IF(OFFSET(TblMagic[[#This Row],[Active Alch Frost]],-1,0)&gt;0,OFFSET(TblMagic[[#This Row],[Active Alch Frost]],-1,0)-1,0))</f>
        <v>0</v>
      </c>
      <c r="AM66" s="26" t="n">
        <f aca="false">IF(TblMagic[[#This Row],[Alchemists Flame]],12,IF(OFFSET(TblMagic[[#This Row],[Active Alchemists Flame]],-1,0)&gt;0,OFFSET(TblMagic[[#This Row],[Active Alchemists Flame]],-1,0)-1,0))</f>
        <v>11</v>
      </c>
      <c r="AN66" s="26" t="n">
        <f aca="false">IF(TblMagic[[#This Row],[Nightfall]],12,IF(OFFSET(TblMagic[[#This Row],[Active Nightfall]],-1,0)&gt;0,OFFSET(TblMagic[[#This Row],[Active Nightfall]],-1,0)-1,0))</f>
        <v>0</v>
      </c>
      <c r="AO66" s="26" t="n">
        <f aca="false">IF(TblMagic[[#This Row],[Favorable Terrain]],12,IF(OFFSET(TblMagic[[#This Row],[Active Favorable Terrain]],-1,0)&gt;0,OFFSET(TblMagic[[#This Row],[Active Favorable Terrain]],-1,0)-1,0))</f>
        <v>0</v>
      </c>
    </row>
    <row r="67" customFormat="false" ht="12.75" hidden="false" customHeight="false" outlineLevel="0" collapsed="false">
      <c r="A67" s="128" t="n">
        <f aca="false">TblRezone[[#This Row],[Hour]]</f>
        <v>64</v>
      </c>
      <c r="B67" s="146" t="n">
        <f aca="false">TblConstr[[#This Row],[Land]]</f>
        <v>700</v>
      </c>
      <c r="C67" s="69" t="n">
        <f aca="false">TblProd[[#This Row],[Mana]]</f>
        <v>3980.5</v>
      </c>
      <c r="D67" s="149" t="n">
        <f aca="false">MIN(1,OFFSET(TblMagic[[#This Row],[Wiz str]],-1,0)+0.04+ROUNDDOWN(10*OFFSET(TblMili[[#This Row],[WG''s]],-1,0),0)+ tech_2_7*OFFSET(TblTech[[#This Row],[2-7]],-1,0) + tech_5_6*OFFSET(TblTech[[#This Row],[5-6]],-1,0) )-TblMagic[[#This Row],[Wiz str cost]]</f>
        <v>0.95</v>
      </c>
      <c r="E67" s="153" t="n">
        <f aca="false">OFFSET(TblMagic[[#This Row],[Time]],-1,0)+1/24</f>
        <v>45432.375</v>
      </c>
      <c r="F67" s="149" t="n">
        <f aca="false">TblImps[[#This Row],[Population]]</f>
        <v>1</v>
      </c>
      <c r="G67" s="248"/>
      <c r="H67" s="248"/>
      <c r="I67" s="248"/>
      <c r="J67" s="248" t="n">
        <v>1</v>
      </c>
      <c r="K67" s="312"/>
      <c r="L67" s="248"/>
      <c r="M67" s="248"/>
      <c r="N67" s="248"/>
      <c r="O67" s="248"/>
      <c r="P67" s="248"/>
      <c r="Q67" s="248"/>
      <c r="R67" s="248"/>
      <c r="S67" s="248"/>
      <c r="T67" s="248"/>
      <c r="U67" s="248"/>
      <c r="V67" s="248"/>
      <c r="W67" s="132"/>
      <c r="X6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1750</v>
      </c>
      <c r="Y67" s="149" t="n">
        <f aca="false">SUMIF(TblMagic[[#This Row],[Gaia''s Watch]:[Useless spell]],1)*0.05</f>
        <v>0.05</v>
      </c>
      <c r="Z67" s="132"/>
      <c r="AA67" s="26" t="n">
        <f aca="false">IF(TblMagic[[#This Row],[Gaia''s Watch]],12,IF(OFFSET(TblMagic[[#This Row],[Active Gaia''s Watch]],-1,0)&gt;0,OFFSET(TblMagic[[#This Row],[Active Gaia''s Watch]],-1,0)-1,0))</f>
        <v>0</v>
      </c>
      <c r="AB67" s="26" t="n">
        <f aca="false">IF(TblMagic[[#This Row],[Mining Strength]],12,IF(OFFSET(TblMagic[[#This Row],[Active Mining Strength]],-1,0)&gt;0,OFFSET(TblMagic[[#This Row],[Active Mining Strength]],-1,0)-1,0))</f>
        <v>0</v>
      </c>
      <c r="AC67" s="26" t="n">
        <f aca="false">IF(TblMagic[[#This Row],[Ares Call]],12,IF(OFFSET(TblMagic[[#This Row],[Active Ares Call]],-1,0)&gt;0,OFFSET(TblMagic[[#This Row],[Active Ares Call]],-1,0)-1,0))</f>
        <v>0</v>
      </c>
      <c r="AD67" s="26" t="n">
        <f aca="false">IF(TblMagic[[#This Row],[Midas Touch]],12,IF(OFFSET(TblMagic[[#This Row],[Active Midas Touch]],-1,0)&gt;0,OFFSET(TblMagic[[#This Row],[Active Midas Touch]],-1,0)-1,0))</f>
        <v>12</v>
      </c>
      <c r="AE67" s="26" t="n">
        <f aca="false">IF(TblMagic[[#This Row],[Harmony]],12,IF(OFFSET(TblMagic[[#This Row],[Active Harmony]],-1,0)&gt;0,OFFSET(TblMagic[[#This Row],[Active Harmony]],-1,0)-1,0))</f>
        <v>0</v>
      </c>
      <c r="AF67" s="26" t="n">
        <f aca="false">IF(TblMagic[[#This Row],[Miner''s Sight]],12,IF(OFFSET(TblMagic[[#This Row],[Active Miner''s Sight]],-1,0)&gt;0,OFFSET(TblMagic[[#This Row],[Active Miner''s Sight]],-1,0)-1,0))</f>
        <v>0</v>
      </c>
      <c r="AG67" s="26" t="n">
        <f aca="false">IF(TblMagic[[#This Row],[Mechanical Genius]],12,IF(OFFSET(TblMagic[[#This Row],[Active Mechanical Genius]],-1,0)&gt;0,OFFSET(TblMagic[[#This Row],[Active Mechanical Genius]],-1,0)-1,0))</f>
        <v>0</v>
      </c>
      <c r="AH67" s="26" t="n">
        <f aca="false">IF(TblMagic[[#This Row],[Frenzy]],12,IF(OFFSET(TblMagic[[#This Row],[Active Frenzy]],-1,0)&gt;0,OFFSET(TblMagic[[#This Row],[Active Frenzy]],-1,0)-1,0))</f>
        <v>0</v>
      </c>
      <c r="AI67" s="26" t="n">
        <f aca="false">IF(TblMagic[[#This Row],[Killing Rage / Bloodrage / Crusade]],12,IF(OFFSET(TblMagic[[#This Row],[Active Warsong / Killing Rage / Bloodrage]],-1,0)&gt;0,OFFSET(TblMagic[[#This Row],[Active Warsong / Killing Rage / Bloodrage]],-1,0)-1,0))</f>
        <v>0</v>
      </c>
      <c r="AJ67" s="26" t="n">
        <f aca="false">IF(TblMagic[[#This Row],[Gaia''s Blessing]],12,IF(OFFSET(TblMagic[[#This Row],[Active Gaia''s Blessing]],-1,0)&gt;0,OFFSET(TblMagic[[#This Row],[Active Gaia''s Blessing]],-1,0)-1,0))</f>
        <v>0</v>
      </c>
      <c r="AK67" s="26" t="n">
        <f aca="false">IF(TblMagic[[#This Row],[Howling]],12,IF(OFFSET(TblMagic[[#This Row],[Active Howling]],-1,0)&gt;0,OFFSET(TblMagic[[#This Row],[Active Howling]],-1,0)-1,0))</f>
        <v>0</v>
      </c>
      <c r="AL67" s="26" t="n">
        <f aca="false">IF(TblMagic[[#This Row],[Alchemist Frost]],12,IF(OFFSET(TblMagic[[#This Row],[Active Alch Frost]],-1,0)&gt;0,OFFSET(TblMagic[[#This Row],[Active Alch Frost]],-1,0)-1,0))</f>
        <v>0</v>
      </c>
      <c r="AM67" s="26" t="n">
        <f aca="false">IF(TblMagic[[#This Row],[Alchemists Flame]],12,IF(OFFSET(TblMagic[[#This Row],[Active Alchemists Flame]],-1,0)&gt;0,OFFSET(TblMagic[[#This Row],[Active Alchemists Flame]],-1,0)-1,0))</f>
        <v>10</v>
      </c>
      <c r="AN67" s="26" t="n">
        <f aca="false">IF(TblMagic[[#This Row],[Nightfall]],12,IF(OFFSET(TblMagic[[#This Row],[Active Nightfall]],-1,0)&gt;0,OFFSET(TblMagic[[#This Row],[Active Nightfall]],-1,0)-1,0))</f>
        <v>0</v>
      </c>
      <c r="AO67" s="26" t="n">
        <f aca="false">IF(TblMagic[[#This Row],[Favorable Terrain]],12,IF(OFFSET(TblMagic[[#This Row],[Active Favorable Terrain]],-1,0)&gt;0,OFFSET(TblMagic[[#This Row],[Active Favorable Terrain]],-1,0)-1,0))</f>
        <v>0</v>
      </c>
    </row>
    <row r="68" customFormat="false" ht="12.75" hidden="false" customHeight="false" outlineLevel="0" collapsed="false">
      <c r="A68" s="128" t="n">
        <f aca="false">TblRezone[[#This Row],[Hour]]</f>
        <v>65</v>
      </c>
      <c r="B68" s="146" t="n">
        <f aca="false">TblConstr[[#This Row],[Land]]</f>
        <v>700</v>
      </c>
      <c r="C68" s="69" t="n">
        <f aca="false">TblProd[[#This Row],[Mana]]</f>
        <v>4525.5</v>
      </c>
      <c r="D68" s="149" t="n">
        <f aca="false">MIN(1,OFFSET(TblMagic[[#This Row],[Wiz str]],-1,0)+0.04+ROUNDDOWN(10*OFFSET(TblMili[[#This Row],[WG''s]],-1,0),0)+ tech_2_7*OFFSET(TblTech[[#This Row],[2-7]],-1,0) + tech_5_6*OFFSET(TblTech[[#This Row],[5-6]],-1,0) )-TblMagic[[#This Row],[Wiz str cost]]</f>
        <v>0.99</v>
      </c>
      <c r="E68" s="153" t="n">
        <f aca="false">OFFSET(TblMagic[[#This Row],[Time]],-1,0)+1/24</f>
        <v>45432.4166666667</v>
      </c>
      <c r="F68" s="149" t="n">
        <f aca="false">TblImps[[#This Row],[Population]]</f>
        <v>1</v>
      </c>
      <c r="G68" s="248"/>
      <c r="H68" s="248"/>
      <c r="I68" s="248"/>
      <c r="J68" s="248"/>
      <c r="K68" s="312"/>
      <c r="L68" s="248"/>
      <c r="M68" s="248"/>
      <c r="N68" s="248"/>
      <c r="O68" s="248"/>
      <c r="P68" s="248"/>
      <c r="Q68" s="248"/>
      <c r="R68" s="248"/>
      <c r="S68" s="248"/>
      <c r="T68" s="248"/>
      <c r="U68" s="248"/>
      <c r="V68" s="248"/>
      <c r="W68" s="132"/>
      <c r="X6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49" t="n">
        <f aca="false">SUMIF(TblMagic[[#This Row],[Gaia''s Watch]:[Useless spell]],1)*0.05</f>
        <v>0</v>
      </c>
      <c r="Z68" s="132"/>
      <c r="AA68" s="26" t="n">
        <f aca="false">IF(TblMagic[[#This Row],[Gaia''s Watch]],12,IF(OFFSET(TblMagic[[#This Row],[Active Gaia''s Watch]],-1,0)&gt;0,OFFSET(TblMagic[[#This Row],[Active Gaia''s Watch]],-1,0)-1,0))</f>
        <v>0</v>
      </c>
      <c r="AB68" s="26" t="n">
        <f aca="false">IF(TblMagic[[#This Row],[Mining Strength]],12,IF(OFFSET(TblMagic[[#This Row],[Active Mining Strength]],-1,0)&gt;0,OFFSET(TblMagic[[#This Row],[Active Mining Strength]],-1,0)-1,0))</f>
        <v>0</v>
      </c>
      <c r="AC68" s="26" t="n">
        <f aca="false">IF(TblMagic[[#This Row],[Ares Call]],12,IF(OFFSET(TblMagic[[#This Row],[Active Ares Call]],-1,0)&gt;0,OFFSET(TblMagic[[#This Row],[Active Ares Call]],-1,0)-1,0))</f>
        <v>0</v>
      </c>
      <c r="AD68" s="26" t="n">
        <f aca="false">IF(TblMagic[[#This Row],[Midas Touch]],12,IF(OFFSET(TblMagic[[#This Row],[Active Midas Touch]],-1,0)&gt;0,OFFSET(TblMagic[[#This Row],[Active Midas Touch]],-1,0)-1,0))</f>
        <v>11</v>
      </c>
      <c r="AE68" s="26" t="n">
        <f aca="false">IF(TblMagic[[#This Row],[Harmony]],12,IF(OFFSET(TblMagic[[#This Row],[Active Harmony]],-1,0)&gt;0,OFFSET(TblMagic[[#This Row],[Active Harmony]],-1,0)-1,0))</f>
        <v>0</v>
      </c>
      <c r="AF68" s="26" t="n">
        <f aca="false">IF(TblMagic[[#This Row],[Miner''s Sight]],12,IF(OFFSET(TblMagic[[#This Row],[Active Miner''s Sight]],-1,0)&gt;0,OFFSET(TblMagic[[#This Row],[Active Miner''s Sight]],-1,0)-1,0))</f>
        <v>0</v>
      </c>
      <c r="AG68" s="26" t="n">
        <f aca="false">IF(TblMagic[[#This Row],[Mechanical Genius]],12,IF(OFFSET(TblMagic[[#This Row],[Active Mechanical Genius]],-1,0)&gt;0,OFFSET(TblMagic[[#This Row],[Active Mechanical Genius]],-1,0)-1,0))</f>
        <v>0</v>
      </c>
      <c r="AH68" s="26" t="n">
        <f aca="false">IF(TblMagic[[#This Row],[Frenzy]],12,IF(OFFSET(TblMagic[[#This Row],[Active Frenzy]],-1,0)&gt;0,OFFSET(TblMagic[[#This Row],[Active Frenzy]],-1,0)-1,0))</f>
        <v>0</v>
      </c>
      <c r="AI68" s="26" t="n">
        <f aca="false">IF(TblMagic[[#This Row],[Killing Rage / Bloodrage / Crusade]],12,IF(OFFSET(TblMagic[[#This Row],[Active Warsong / Killing Rage / Bloodrage]],-1,0)&gt;0,OFFSET(TblMagic[[#This Row],[Active Warsong / Killing Rage / Bloodrage]],-1,0)-1,0))</f>
        <v>0</v>
      </c>
      <c r="AJ68" s="26" t="n">
        <f aca="false">IF(TblMagic[[#This Row],[Gaia''s Blessing]],12,IF(OFFSET(TblMagic[[#This Row],[Active Gaia''s Blessing]],-1,0)&gt;0,OFFSET(TblMagic[[#This Row],[Active Gaia''s Blessing]],-1,0)-1,0))</f>
        <v>0</v>
      </c>
      <c r="AK68" s="26" t="n">
        <f aca="false">IF(TblMagic[[#This Row],[Howling]],12,IF(OFFSET(TblMagic[[#This Row],[Active Howling]],-1,0)&gt;0,OFFSET(TblMagic[[#This Row],[Active Howling]],-1,0)-1,0))</f>
        <v>0</v>
      </c>
      <c r="AL68" s="26" t="n">
        <f aca="false">IF(TblMagic[[#This Row],[Alchemist Frost]],12,IF(OFFSET(TblMagic[[#This Row],[Active Alch Frost]],-1,0)&gt;0,OFFSET(TblMagic[[#This Row],[Active Alch Frost]],-1,0)-1,0))</f>
        <v>0</v>
      </c>
      <c r="AM68" s="26" t="n">
        <f aca="false">IF(TblMagic[[#This Row],[Alchemists Flame]],12,IF(OFFSET(TblMagic[[#This Row],[Active Alchemists Flame]],-1,0)&gt;0,OFFSET(TblMagic[[#This Row],[Active Alchemists Flame]],-1,0)-1,0))</f>
        <v>9</v>
      </c>
      <c r="AN68" s="26" t="n">
        <f aca="false">IF(TblMagic[[#This Row],[Nightfall]],12,IF(OFFSET(TblMagic[[#This Row],[Active Nightfall]],-1,0)&gt;0,OFFSET(TblMagic[[#This Row],[Active Nightfall]],-1,0)-1,0))</f>
        <v>0</v>
      </c>
      <c r="AO68" s="26" t="n">
        <f aca="false">IF(TblMagic[[#This Row],[Favorable Terrain]],12,IF(OFFSET(TblMagic[[#This Row],[Active Favorable Terrain]],-1,0)&gt;0,OFFSET(TblMagic[[#This Row],[Active Favorable Terrain]],-1,0)-1,0))</f>
        <v>0</v>
      </c>
    </row>
    <row r="69" customFormat="false" ht="12.75" hidden="false" customHeight="false" outlineLevel="0" collapsed="false">
      <c r="A69" s="128" t="n">
        <f aca="false">TblRezone[[#This Row],[Hour]]</f>
        <v>66</v>
      </c>
      <c r="B69" s="146" t="n">
        <f aca="false">TblConstr[[#This Row],[Land]]</f>
        <v>700</v>
      </c>
      <c r="C69" s="69" t="n">
        <f aca="false">TblProd[[#This Row],[Mana]]</f>
        <v>5059.5</v>
      </c>
      <c r="D69" s="149" t="n">
        <f aca="false">MIN(1,OFFSET(TblMagic[[#This Row],[Wiz str]],-1,0)+0.04+ROUNDDOWN(10*OFFSET(TblMili[[#This Row],[WG''s]],-1,0),0)+ tech_2_7*OFFSET(TblTech[[#This Row],[2-7]],-1,0) + tech_5_6*OFFSET(TblTech[[#This Row],[5-6]],-1,0) )-TblMagic[[#This Row],[Wiz str cost]]</f>
        <v>1</v>
      </c>
      <c r="E69" s="153" t="n">
        <f aca="false">OFFSET(TblMagic[[#This Row],[Time]],-1,0)+1/24</f>
        <v>45432.4583333333</v>
      </c>
      <c r="F69" s="149" t="n">
        <f aca="false">TblImps[[#This Row],[Population]]</f>
        <v>1</v>
      </c>
      <c r="G69" s="248"/>
      <c r="H69" s="248"/>
      <c r="I69" s="248"/>
      <c r="J69" s="248"/>
      <c r="K69" s="312"/>
      <c r="L69" s="248"/>
      <c r="M69" s="248"/>
      <c r="N69" s="248"/>
      <c r="O69" s="248"/>
      <c r="P69" s="248"/>
      <c r="Q69" s="248"/>
      <c r="R69" s="248"/>
      <c r="S69" s="248"/>
      <c r="T69" s="248"/>
      <c r="U69" s="248"/>
      <c r="V69" s="248"/>
      <c r="W69" s="132"/>
      <c r="X6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49" t="n">
        <f aca="false">SUMIF(TblMagic[[#This Row],[Gaia''s Watch]:[Useless spell]],1)*0.05</f>
        <v>0</v>
      </c>
      <c r="Z69" s="132"/>
      <c r="AA69" s="26" t="n">
        <f aca="false">IF(TblMagic[[#This Row],[Gaia''s Watch]],12,IF(OFFSET(TblMagic[[#This Row],[Active Gaia''s Watch]],-1,0)&gt;0,OFFSET(TblMagic[[#This Row],[Active Gaia''s Watch]],-1,0)-1,0))</f>
        <v>0</v>
      </c>
      <c r="AB69" s="26" t="n">
        <f aca="false">IF(TblMagic[[#This Row],[Mining Strength]],12,IF(OFFSET(TblMagic[[#This Row],[Active Mining Strength]],-1,0)&gt;0,OFFSET(TblMagic[[#This Row],[Active Mining Strength]],-1,0)-1,0))</f>
        <v>0</v>
      </c>
      <c r="AC69" s="26" t="n">
        <f aca="false">IF(TblMagic[[#This Row],[Ares Call]],12,IF(OFFSET(TblMagic[[#This Row],[Active Ares Call]],-1,0)&gt;0,OFFSET(TblMagic[[#This Row],[Active Ares Call]],-1,0)-1,0))</f>
        <v>0</v>
      </c>
      <c r="AD69" s="26" t="n">
        <f aca="false">IF(TblMagic[[#This Row],[Midas Touch]],12,IF(OFFSET(TblMagic[[#This Row],[Active Midas Touch]],-1,0)&gt;0,OFFSET(TblMagic[[#This Row],[Active Midas Touch]],-1,0)-1,0))</f>
        <v>10</v>
      </c>
      <c r="AE69" s="26" t="n">
        <f aca="false">IF(TblMagic[[#This Row],[Harmony]],12,IF(OFFSET(TblMagic[[#This Row],[Active Harmony]],-1,0)&gt;0,OFFSET(TblMagic[[#This Row],[Active Harmony]],-1,0)-1,0))</f>
        <v>0</v>
      </c>
      <c r="AF69" s="26" t="n">
        <f aca="false">IF(TblMagic[[#This Row],[Miner''s Sight]],12,IF(OFFSET(TblMagic[[#This Row],[Active Miner''s Sight]],-1,0)&gt;0,OFFSET(TblMagic[[#This Row],[Active Miner''s Sight]],-1,0)-1,0))</f>
        <v>0</v>
      </c>
      <c r="AG69" s="26" t="n">
        <f aca="false">IF(TblMagic[[#This Row],[Mechanical Genius]],12,IF(OFFSET(TblMagic[[#This Row],[Active Mechanical Genius]],-1,0)&gt;0,OFFSET(TblMagic[[#This Row],[Active Mechanical Genius]],-1,0)-1,0))</f>
        <v>0</v>
      </c>
      <c r="AH69" s="26" t="n">
        <f aca="false">IF(TblMagic[[#This Row],[Frenzy]],12,IF(OFFSET(TblMagic[[#This Row],[Active Frenzy]],-1,0)&gt;0,OFFSET(TblMagic[[#This Row],[Active Frenzy]],-1,0)-1,0))</f>
        <v>0</v>
      </c>
      <c r="AI69" s="26" t="n">
        <f aca="false">IF(TblMagic[[#This Row],[Killing Rage / Bloodrage / Crusade]],12,IF(OFFSET(TblMagic[[#This Row],[Active Warsong / Killing Rage / Bloodrage]],-1,0)&gt;0,OFFSET(TblMagic[[#This Row],[Active Warsong / Killing Rage / Bloodrage]],-1,0)-1,0))</f>
        <v>0</v>
      </c>
      <c r="AJ69" s="26" t="n">
        <f aca="false">IF(TblMagic[[#This Row],[Gaia''s Blessing]],12,IF(OFFSET(TblMagic[[#This Row],[Active Gaia''s Blessing]],-1,0)&gt;0,OFFSET(TblMagic[[#This Row],[Active Gaia''s Blessing]],-1,0)-1,0))</f>
        <v>0</v>
      </c>
      <c r="AK69" s="26" t="n">
        <f aca="false">IF(TblMagic[[#This Row],[Howling]],12,IF(OFFSET(TblMagic[[#This Row],[Active Howling]],-1,0)&gt;0,OFFSET(TblMagic[[#This Row],[Active Howling]],-1,0)-1,0))</f>
        <v>0</v>
      </c>
      <c r="AL69" s="26" t="n">
        <f aca="false">IF(TblMagic[[#This Row],[Alchemist Frost]],12,IF(OFFSET(TblMagic[[#This Row],[Active Alch Frost]],-1,0)&gt;0,OFFSET(TblMagic[[#This Row],[Active Alch Frost]],-1,0)-1,0))</f>
        <v>0</v>
      </c>
      <c r="AM69" s="26" t="n">
        <f aca="false">IF(TblMagic[[#This Row],[Alchemists Flame]],12,IF(OFFSET(TblMagic[[#This Row],[Active Alchemists Flame]],-1,0)&gt;0,OFFSET(TblMagic[[#This Row],[Active Alchemists Flame]],-1,0)-1,0))</f>
        <v>8</v>
      </c>
      <c r="AN69" s="26" t="n">
        <f aca="false">IF(TblMagic[[#This Row],[Nightfall]],12,IF(OFFSET(TblMagic[[#This Row],[Active Nightfall]],-1,0)&gt;0,OFFSET(TblMagic[[#This Row],[Active Nightfall]],-1,0)-1,0))</f>
        <v>0</v>
      </c>
      <c r="AO69" s="26" t="n">
        <f aca="false">IF(TblMagic[[#This Row],[Favorable Terrain]],12,IF(OFFSET(TblMagic[[#This Row],[Active Favorable Terrain]],-1,0)&gt;0,OFFSET(TblMagic[[#This Row],[Active Favorable Terrain]],-1,0)-1,0))</f>
        <v>0</v>
      </c>
    </row>
    <row r="70" customFormat="false" ht="12.75" hidden="false" customHeight="false" outlineLevel="0" collapsed="false">
      <c r="A70" s="128" t="n">
        <f aca="false">TblRezone[[#This Row],[Hour]]</f>
        <v>67</v>
      </c>
      <c r="B70" s="146" t="n">
        <f aca="false">TblConstr[[#This Row],[Land]]</f>
        <v>700</v>
      </c>
      <c r="C70" s="69" t="n">
        <f aca="false">TblProd[[#This Row],[Mana]]</f>
        <v>5683.5</v>
      </c>
      <c r="D70" s="149" t="n">
        <f aca="false">MIN(1,OFFSET(TblMagic[[#This Row],[Wiz str]],-1,0)+0.04+ROUNDDOWN(10*OFFSET(TblMili[[#This Row],[WG''s]],-1,0),0)+ tech_2_7*OFFSET(TblTech[[#This Row],[2-7]],-1,0) + tech_5_6*OFFSET(TblTech[[#This Row],[5-6]],-1,0) )-TblMagic[[#This Row],[Wiz str cost]]</f>
        <v>1</v>
      </c>
      <c r="E70" s="153" t="n">
        <f aca="false">OFFSET(TblMagic[[#This Row],[Time]],-1,0)+1/24</f>
        <v>45432.5</v>
      </c>
      <c r="F70" s="149" t="n">
        <f aca="false">TblImps[[#This Row],[Population]]</f>
        <v>1</v>
      </c>
      <c r="G70" s="248"/>
      <c r="H70" s="248"/>
      <c r="I70" s="248"/>
      <c r="J70" s="248"/>
      <c r="K70" s="312"/>
      <c r="L70" s="248"/>
      <c r="M70" s="248"/>
      <c r="N70" s="248"/>
      <c r="O70" s="248"/>
      <c r="P70" s="248"/>
      <c r="Q70" s="248"/>
      <c r="R70" s="248"/>
      <c r="S70" s="248"/>
      <c r="T70" s="248"/>
      <c r="U70" s="248"/>
      <c r="V70" s="248"/>
      <c r="W70" s="132"/>
      <c r="X7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49" t="n">
        <f aca="false">SUMIF(TblMagic[[#This Row],[Gaia''s Watch]:[Useless spell]],1)*0.05</f>
        <v>0</v>
      </c>
      <c r="Z70" s="132"/>
      <c r="AA70" s="26" t="n">
        <f aca="false">IF(TblMagic[[#This Row],[Gaia''s Watch]],12,IF(OFFSET(TblMagic[[#This Row],[Active Gaia''s Watch]],-1,0)&gt;0,OFFSET(TblMagic[[#This Row],[Active Gaia''s Watch]],-1,0)-1,0))</f>
        <v>0</v>
      </c>
      <c r="AB70" s="26" t="n">
        <f aca="false">IF(TblMagic[[#This Row],[Mining Strength]],12,IF(OFFSET(TblMagic[[#This Row],[Active Mining Strength]],-1,0)&gt;0,OFFSET(TblMagic[[#This Row],[Active Mining Strength]],-1,0)-1,0))</f>
        <v>0</v>
      </c>
      <c r="AC70" s="26" t="n">
        <f aca="false">IF(TblMagic[[#This Row],[Ares Call]],12,IF(OFFSET(TblMagic[[#This Row],[Active Ares Call]],-1,0)&gt;0,OFFSET(TblMagic[[#This Row],[Active Ares Call]],-1,0)-1,0))</f>
        <v>0</v>
      </c>
      <c r="AD70" s="26" t="n">
        <f aca="false">IF(TblMagic[[#This Row],[Midas Touch]],12,IF(OFFSET(TblMagic[[#This Row],[Active Midas Touch]],-1,0)&gt;0,OFFSET(TblMagic[[#This Row],[Active Midas Touch]],-1,0)-1,0))</f>
        <v>9</v>
      </c>
      <c r="AE70" s="26" t="n">
        <f aca="false">IF(TblMagic[[#This Row],[Harmony]],12,IF(OFFSET(TblMagic[[#This Row],[Active Harmony]],-1,0)&gt;0,OFFSET(TblMagic[[#This Row],[Active Harmony]],-1,0)-1,0))</f>
        <v>0</v>
      </c>
      <c r="AF70" s="26" t="n">
        <f aca="false">IF(TblMagic[[#This Row],[Miner''s Sight]],12,IF(OFFSET(TblMagic[[#This Row],[Active Miner''s Sight]],-1,0)&gt;0,OFFSET(TblMagic[[#This Row],[Active Miner''s Sight]],-1,0)-1,0))</f>
        <v>0</v>
      </c>
      <c r="AG70" s="26" t="n">
        <f aca="false">IF(TblMagic[[#This Row],[Mechanical Genius]],12,IF(OFFSET(TblMagic[[#This Row],[Active Mechanical Genius]],-1,0)&gt;0,OFFSET(TblMagic[[#This Row],[Active Mechanical Genius]],-1,0)-1,0))</f>
        <v>0</v>
      </c>
      <c r="AH70" s="26" t="n">
        <f aca="false">IF(TblMagic[[#This Row],[Frenzy]],12,IF(OFFSET(TblMagic[[#This Row],[Active Frenzy]],-1,0)&gt;0,OFFSET(TblMagic[[#This Row],[Active Frenzy]],-1,0)-1,0))</f>
        <v>0</v>
      </c>
      <c r="AI70" s="26" t="n">
        <f aca="false">IF(TblMagic[[#This Row],[Killing Rage / Bloodrage / Crusade]],12,IF(OFFSET(TblMagic[[#This Row],[Active Warsong / Killing Rage / Bloodrage]],-1,0)&gt;0,OFFSET(TblMagic[[#This Row],[Active Warsong / Killing Rage / Bloodrage]],-1,0)-1,0))</f>
        <v>0</v>
      </c>
      <c r="AJ70" s="26" t="n">
        <f aca="false">IF(TblMagic[[#This Row],[Gaia''s Blessing]],12,IF(OFFSET(TblMagic[[#This Row],[Active Gaia''s Blessing]],-1,0)&gt;0,OFFSET(TblMagic[[#This Row],[Active Gaia''s Blessing]],-1,0)-1,0))</f>
        <v>0</v>
      </c>
      <c r="AK70" s="26" t="n">
        <f aca="false">IF(TblMagic[[#This Row],[Howling]],12,IF(OFFSET(TblMagic[[#This Row],[Active Howling]],-1,0)&gt;0,OFFSET(TblMagic[[#This Row],[Active Howling]],-1,0)-1,0))</f>
        <v>0</v>
      </c>
      <c r="AL70" s="26" t="n">
        <f aca="false">IF(TblMagic[[#This Row],[Alchemist Frost]],12,IF(OFFSET(TblMagic[[#This Row],[Active Alch Frost]],-1,0)&gt;0,OFFSET(TblMagic[[#This Row],[Active Alch Frost]],-1,0)-1,0))</f>
        <v>0</v>
      </c>
      <c r="AM70" s="26" t="n">
        <f aca="false">IF(TblMagic[[#This Row],[Alchemists Flame]],12,IF(OFFSET(TblMagic[[#This Row],[Active Alchemists Flame]],-1,0)&gt;0,OFFSET(TblMagic[[#This Row],[Active Alchemists Flame]],-1,0)-1,0))</f>
        <v>7</v>
      </c>
      <c r="AN70" s="26" t="n">
        <f aca="false">IF(TblMagic[[#This Row],[Nightfall]],12,IF(OFFSET(TblMagic[[#This Row],[Active Nightfall]],-1,0)&gt;0,OFFSET(TblMagic[[#This Row],[Active Nightfall]],-1,0)-1,0))</f>
        <v>0</v>
      </c>
      <c r="AO70" s="26" t="n">
        <f aca="false">IF(TblMagic[[#This Row],[Favorable Terrain]],12,IF(OFFSET(TblMagic[[#This Row],[Active Favorable Terrain]],-1,0)&gt;0,OFFSET(TblMagic[[#This Row],[Active Favorable Terrain]],-1,0)-1,0))</f>
        <v>0</v>
      </c>
    </row>
    <row r="71" customFormat="false" ht="12.75" hidden="false" customHeight="false" outlineLevel="0" collapsed="false">
      <c r="A71" s="128" t="n">
        <f aca="false">TblRezone[[#This Row],[Hour]]</f>
        <v>68</v>
      </c>
      <c r="B71" s="146" t="n">
        <f aca="false">TblConstr[[#This Row],[Land]]</f>
        <v>700</v>
      </c>
      <c r="C71" s="69" t="n">
        <f aca="false">TblProd[[#This Row],[Mana]]</f>
        <v>6294.5</v>
      </c>
      <c r="D71" s="149" t="n">
        <f aca="false">MIN(1,OFFSET(TblMagic[[#This Row],[Wiz str]],-1,0)+0.04+ROUNDDOWN(10*OFFSET(TblMili[[#This Row],[WG''s]],-1,0),0)+ tech_2_7*OFFSET(TblTech[[#This Row],[2-7]],-1,0) + tech_5_6*OFFSET(TblTech[[#This Row],[5-6]],-1,0) )-TblMagic[[#This Row],[Wiz str cost]]</f>
        <v>1</v>
      </c>
      <c r="E71" s="153" t="n">
        <f aca="false">OFFSET(TblMagic[[#This Row],[Time]],-1,0)+1/24</f>
        <v>45432.5416666667</v>
      </c>
      <c r="F71" s="149" t="n">
        <f aca="false">TblImps[[#This Row],[Population]]</f>
        <v>1</v>
      </c>
      <c r="G71" s="248"/>
      <c r="H71" s="248"/>
      <c r="I71" s="248"/>
      <c r="J71" s="248"/>
      <c r="K71" s="312"/>
      <c r="L71" s="248"/>
      <c r="M71" s="248"/>
      <c r="N71" s="248"/>
      <c r="O71" s="248"/>
      <c r="P71" s="248"/>
      <c r="Q71" s="248"/>
      <c r="R71" s="248"/>
      <c r="S71" s="248"/>
      <c r="T71" s="248"/>
      <c r="U71" s="248"/>
      <c r="V71" s="248"/>
      <c r="W71" s="132"/>
      <c r="X7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49" t="n">
        <f aca="false">SUMIF(TblMagic[[#This Row],[Gaia''s Watch]:[Useless spell]],1)*0.05</f>
        <v>0</v>
      </c>
      <c r="Z71" s="132"/>
      <c r="AA71" s="26" t="n">
        <f aca="false">IF(TblMagic[[#This Row],[Gaia''s Watch]],12,IF(OFFSET(TblMagic[[#This Row],[Active Gaia''s Watch]],-1,0)&gt;0,OFFSET(TblMagic[[#This Row],[Active Gaia''s Watch]],-1,0)-1,0))</f>
        <v>0</v>
      </c>
      <c r="AB71" s="26" t="n">
        <f aca="false">IF(TblMagic[[#This Row],[Mining Strength]],12,IF(OFFSET(TblMagic[[#This Row],[Active Mining Strength]],-1,0)&gt;0,OFFSET(TblMagic[[#This Row],[Active Mining Strength]],-1,0)-1,0))</f>
        <v>0</v>
      </c>
      <c r="AC71" s="26" t="n">
        <f aca="false">IF(TblMagic[[#This Row],[Ares Call]],12,IF(OFFSET(TblMagic[[#This Row],[Active Ares Call]],-1,0)&gt;0,OFFSET(TblMagic[[#This Row],[Active Ares Call]],-1,0)-1,0))</f>
        <v>0</v>
      </c>
      <c r="AD71" s="26" t="n">
        <f aca="false">IF(TblMagic[[#This Row],[Midas Touch]],12,IF(OFFSET(TblMagic[[#This Row],[Active Midas Touch]],-1,0)&gt;0,OFFSET(TblMagic[[#This Row],[Active Midas Touch]],-1,0)-1,0))</f>
        <v>8</v>
      </c>
      <c r="AE71" s="26" t="n">
        <f aca="false">IF(TblMagic[[#This Row],[Harmony]],12,IF(OFFSET(TblMagic[[#This Row],[Active Harmony]],-1,0)&gt;0,OFFSET(TblMagic[[#This Row],[Active Harmony]],-1,0)-1,0))</f>
        <v>0</v>
      </c>
      <c r="AF71" s="26" t="n">
        <f aca="false">IF(TblMagic[[#This Row],[Miner''s Sight]],12,IF(OFFSET(TblMagic[[#This Row],[Active Miner''s Sight]],-1,0)&gt;0,OFFSET(TblMagic[[#This Row],[Active Miner''s Sight]],-1,0)-1,0))</f>
        <v>0</v>
      </c>
      <c r="AG71" s="26" t="n">
        <f aca="false">IF(TblMagic[[#This Row],[Mechanical Genius]],12,IF(OFFSET(TblMagic[[#This Row],[Active Mechanical Genius]],-1,0)&gt;0,OFFSET(TblMagic[[#This Row],[Active Mechanical Genius]],-1,0)-1,0))</f>
        <v>0</v>
      </c>
      <c r="AH71" s="26" t="n">
        <f aca="false">IF(TblMagic[[#This Row],[Frenzy]],12,IF(OFFSET(TblMagic[[#This Row],[Active Frenzy]],-1,0)&gt;0,OFFSET(TblMagic[[#This Row],[Active Frenzy]],-1,0)-1,0))</f>
        <v>0</v>
      </c>
      <c r="AI71" s="26" t="n">
        <f aca="false">IF(TblMagic[[#This Row],[Killing Rage / Bloodrage / Crusade]],12,IF(OFFSET(TblMagic[[#This Row],[Active Warsong / Killing Rage / Bloodrage]],-1,0)&gt;0,OFFSET(TblMagic[[#This Row],[Active Warsong / Killing Rage / Bloodrage]],-1,0)-1,0))</f>
        <v>0</v>
      </c>
      <c r="AJ71" s="26" t="n">
        <f aca="false">IF(TblMagic[[#This Row],[Gaia''s Blessing]],12,IF(OFFSET(TblMagic[[#This Row],[Active Gaia''s Blessing]],-1,0)&gt;0,OFFSET(TblMagic[[#This Row],[Active Gaia''s Blessing]],-1,0)-1,0))</f>
        <v>0</v>
      </c>
      <c r="AK71" s="26" t="n">
        <f aca="false">IF(TblMagic[[#This Row],[Howling]],12,IF(OFFSET(TblMagic[[#This Row],[Active Howling]],-1,0)&gt;0,OFFSET(TblMagic[[#This Row],[Active Howling]],-1,0)-1,0))</f>
        <v>0</v>
      </c>
      <c r="AL71" s="26" t="n">
        <f aca="false">IF(TblMagic[[#This Row],[Alchemist Frost]],12,IF(OFFSET(TblMagic[[#This Row],[Active Alch Frost]],-1,0)&gt;0,OFFSET(TblMagic[[#This Row],[Active Alch Frost]],-1,0)-1,0))</f>
        <v>0</v>
      </c>
      <c r="AM71" s="26" t="n">
        <f aca="false">IF(TblMagic[[#This Row],[Alchemists Flame]],12,IF(OFFSET(TblMagic[[#This Row],[Active Alchemists Flame]],-1,0)&gt;0,OFFSET(TblMagic[[#This Row],[Active Alchemists Flame]],-1,0)-1,0))</f>
        <v>6</v>
      </c>
      <c r="AN71" s="26" t="n">
        <f aca="false">IF(TblMagic[[#This Row],[Nightfall]],12,IF(OFFSET(TblMagic[[#This Row],[Active Nightfall]],-1,0)&gt;0,OFFSET(TblMagic[[#This Row],[Active Nightfall]],-1,0)-1,0))</f>
        <v>0</v>
      </c>
      <c r="AO71" s="26" t="n">
        <f aca="false">IF(TblMagic[[#This Row],[Favorable Terrain]],12,IF(OFFSET(TblMagic[[#This Row],[Active Favorable Terrain]],-1,0)&gt;0,OFFSET(TblMagic[[#This Row],[Active Favorable Terrain]],-1,0)-1,0))</f>
        <v>0</v>
      </c>
    </row>
    <row r="72" customFormat="false" ht="12.75" hidden="false" customHeight="false" outlineLevel="0" collapsed="false">
      <c r="A72" s="128" t="n">
        <f aca="false">TblRezone[[#This Row],[Hour]]</f>
        <v>69</v>
      </c>
      <c r="B72" s="146" t="n">
        <f aca="false">TblConstr[[#This Row],[Land]]</f>
        <v>700</v>
      </c>
      <c r="C72" s="69" t="n">
        <f aca="false">TblProd[[#This Row],[Mana]]</f>
        <v>6893.5</v>
      </c>
      <c r="D72" s="149" t="n">
        <f aca="false">MIN(1,OFFSET(TblMagic[[#This Row],[Wiz str]],-1,0)+0.04+ROUNDDOWN(10*OFFSET(TblMili[[#This Row],[WG''s]],-1,0),0)+ tech_2_7*OFFSET(TblTech[[#This Row],[2-7]],-1,0) + tech_5_6*OFFSET(TblTech[[#This Row],[5-6]],-1,0) )-TblMagic[[#This Row],[Wiz str cost]]</f>
        <v>1</v>
      </c>
      <c r="E72" s="153" t="n">
        <f aca="false">OFFSET(TblMagic[[#This Row],[Time]],-1,0)+1/24</f>
        <v>45432.5833333333</v>
      </c>
      <c r="F72" s="149" t="n">
        <f aca="false">TblImps[[#This Row],[Population]]</f>
        <v>1</v>
      </c>
      <c r="G72" s="248"/>
      <c r="H72" s="248"/>
      <c r="I72" s="248"/>
      <c r="J72" s="248"/>
      <c r="K72" s="312"/>
      <c r="L72" s="248"/>
      <c r="M72" s="248"/>
      <c r="N72" s="248"/>
      <c r="O72" s="248"/>
      <c r="P72" s="248"/>
      <c r="Q72" s="248"/>
      <c r="R72" s="248"/>
      <c r="S72" s="248"/>
      <c r="T72" s="248"/>
      <c r="U72" s="248"/>
      <c r="V72" s="248"/>
      <c r="W72" s="132"/>
      <c r="X7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49" t="n">
        <f aca="false">SUMIF(TblMagic[[#This Row],[Gaia''s Watch]:[Useless spell]],1)*0.05</f>
        <v>0</v>
      </c>
      <c r="Z72" s="132"/>
      <c r="AA72" s="26" t="n">
        <f aca="false">IF(TblMagic[[#This Row],[Gaia''s Watch]],12,IF(OFFSET(TblMagic[[#This Row],[Active Gaia''s Watch]],-1,0)&gt;0,OFFSET(TblMagic[[#This Row],[Active Gaia''s Watch]],-1,0)-1,0))</f>
        <v>0</v>
      </c>
      <c r="AB72" s="26" t="n">
        <f aca="false">IF(TblMagic[[#This Row],[Mining Strength]],12,IF(OFFSET(TblMagic[[#This Row],[Active Mining Strength]],-1,0)&gt;0,OFFSET(TblMagic[[#This Row],[Active Mining Strength]],-1,0)-1,0))</f>
        <v>0</v>
      </c>
      <c r="AC72" s="26" t="n">
        <f aca="false">IF(TblMagic[[#This Row],[Ares Call]],12,IF(OFFSET(TblMagic[[#This Row],[Active Ares Call]],-1,0)&gt;0,OFFSET(TblMagic[[#This Row],[Active Ares Call]],-1,0)-1,0))</f>
        <v>0</v>
      </c>
      <c r="AD72" s="26" t="n">
        <f aca="false">IF(TblMagic[[#This Row],[Midas Touch]],12,IF(OFFSET(TblMagic[[#This Row],[Active Midas Touch]],-1,0)&gt;0,OFFSET(TblMagic[[#This Row],[Active Midas Touch]],-1,0)-1,0))</f>
        <v>7</v>
      </c>
      <c r="AE72" s="26" t="n">
        <f aca="false">IF(TblMagic[[#This Row],[Harmony]],12,IF(OFFSET(TblMagic[[#This Row],[Active Harmony]],-1,0)&gt;0,OFFSET(TblMagic[[#This Row],[Active Harmony]],-1,0)-1,0))</f>
        <v>0</v>
      </c>
      <c r="AF72" s="26" t="n">
        <f aca="false">IF(TblMagic[[#This Row],[Miner''s Sight]],12,IF(OFFSET(TblMagic[[#This Row],[Active Miner''s Sight]],-1,0)&gt;0,OFFSET(TblMagic[[#This Row],[Active Miner''s Sight]],-1,0)-1,0))</f>
        <v>0</v>
      </c>
      <c r="AG72" s="26" t="n">
        <f aca="false">IF(TblMagic[[#This Row],[Mechanical Genius]],12,IF(OFFSET(TblMagic[[#This Row],[Active Mechanical Genius]],-1,0)&gt;0,OFFSET(TblMagic[[#This Row],[Active Mechanical Genius]],-1,0)-1,0))</f>
        <v>0</v>
      </c>
      <c r="AH72" s="26" t="n">
        <f aca="false">IF(TblMagic[[#This Row],[Frenzy]],12,IF(OFFSET(TblMagic[[#This Row],[Active Frenzy]],-1,0)&gt;0,OFFSET(TblMagic[[#This Row],[Active Frenzy]],-1,0)-1,0))</f>
        <v>0</v>
      </c>
      <c r="AI72" s="26" t="n">
        <f aca="false">IF(TblMagic[[#This Row],[Killing Rage / Bloodrage / Crusade]],12,IF(OFFSET(TblMagic[[#This Row],[Active Warsong / Killing Rage / Bloodrage]],-1,0)&gt;0,OFFSET(TblMagic[[#This Row],[Active Warsong / Killing Rage / Bloodrage]],-1,0)-1,0))</f>
        <v>0</v>
      </c>
      <c r="AJ72" s="26" t="n">
        <f aca="false">IF(TblMagic[[#This Row],[Gaia''s Blessing]],12,IF(OFFSET(TblMagic[[#This Row],[Active Gaia''s Blessing]],-1,0)&gt;0,OFFSET(TblMagic[[#This Row],[Active Gaia''s Blessing]],-1,0)-1,0))</f>
        <v>0</v>
      </c>
      <c r="AK72" s="26" t="n">
        <f aca="false">IF(TblMagic[[#This Row],[Howling]],12,IF(OFFSET(TblMagic[[#This Row],[Active Howling]],-1,0)&gt;0,OFFSET(TblMagic[[#This Row],[Active Howling]],-1,0)-1,0))</f>
        <v>0</v>
      </c>
      <c r="AL72" s="26" t="n">
        <f aca="false">IF(TblMagic[[#This Row],[Alchemist Frost]],12,IF(OFFSET(TblMagic[[#This Row],[Active Alch Frost]],-1,0)&gt;0,OFFSET(TblMagic[[#This Row],[Active Alch Frost]],-1,0)-1,0))</f>
        <v>0</v>
      </c>
      <c r="AM72" s="26" t="n">
        <f aca="false">IF(TblMagic[[#This Row],[Alchemists Flame]],12,IF(OFFSET(TblMagic[[#This Row],[Active Alchemists Flame]],-1,0)&gt;0,OFFSET(TblMagic[[#This Row],[Active Alchemists Flame]],-1,0)-1,0))</f>
        <v>5</v>
      </c>
      <c r="AN72" s="26" t="n">
        <f aca="false">IF(TblMagic[[#This Row],[Nightfall]],12,IF(OFFSET(TblMagic[[#This Row],[Active Nightfall]],-1,0)&gt;0,OFFSET(TblMagic[[#This Row],[Active Nightfall]],-1,0)-1,0))</f>
        <v>0</v>
      </c>
      <c r="AO72" s="26" t="n">
        <f aca="false">IF(TblMagic[[#This Row],[Favorable Terrain]],12,IF(OFFSET(TblMagic[[#This Row],[Active Favorable Terrain]],-1,0)&gt;0,OFFSET(TblMagic[[#This Row],[Active Favorable Terrain]],-1,0)-1,0))</f>
        <v>0</v>
      </c>
    </row>
    <row r="73" customFormat="false" ht="12.75" hidden="false" customHeight="false" outlineLevel="0" collapsed="false">
      <c r="A73" s="128" t="n">
        <f aca="false">TblRezone[[#This Row],[Hour]]</f>
        <v>70</v>
      </c>
      <c r="B73" s="146" t="n">
        <f aca="false">TblConstr[[#This Row],[Land]]</f>
        <v>700</v>
      </c>
      <c r="C73" s="69" t="n">
        <f aca="false">TblProd[[#This Row],[Mana]]</f>
        <v>7480.5</v>
      </c>
      <c r="D73" s="149" t="n">
        <f aca="false">MIN(1,OFFSET(TblMagic[[#This Row],[Wiz str]],-1,0)+0.04+ROUNDDOWN(10*OFFSET(TblMili[[#This Row],[WG''s]],-1,0),0)+ tech_2_7*OFFSET(TblTech[[#This Row],[2-7]],-1,0) + tech_5_6*OFFSET(TblTech[[#This Row],[5-6]],-1,0) )-TblMagic[[#This Row],[Wiz str cost]]</f>
        <v>1</v>
      </c>
      <c r="E73" s="153" t="n">
        <f aca="false">OFFSET(TblMagic[[#This Row],[Time]],-1,0)+1/24</f>
        <v>45432.625</v>
      </c>
      <c r="F73" s="149" t="n">
        <f aca="false">TblImps[[#This Row],[Population]]</f>
        <v>1</v>
      </c>
      <c r="G73" s="248"/>
      <c r="H73" s="248"/>
      <c r="I73" s="248"/>
      <c r="J73" s="248"/>
      <c r="K73" s="312"/>
      <c r="L73" s="248"/>
      <c r="M73" s="248"/>
      <c r="N73" s="248"/>
      <c r="O73" s="248"/>
      <c r="P73" s="248"/>
      <c r="Q73" s="248"/>
      <c r="R73" s="248"/>
      <c r="S73" s="248"/>
      <c r="T73" s="248"/>
      <c r="U73" s="248"/>
      <c r="V73" s="248"/>
      <c r="W73" s="132"/>
      <c r="X7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49" t="n">
        <f aca="false">SUMIF(TblMagic[[#This Row],[Gaia''s Watch]:[Useless spell]],1)*0.05</f>
        <v>0</v>
      </c>
      <c r="Z73" s="132"/>
      <c r="AA73" s="26" t="n">
        <f aca="false">IF(TblMagic[[#This Row],[Gaia''s Watch]],12,IF(OFFSET(TblMagic[[#This Row],[Active Gaia''s Watch]],-1,0)&gt;0,OFFSET(TblMagic[[#This Row],[Active Gaia''s Watch]],-1,0)-1,0))</f>
        <v>0</v>
      </c>
      <c r="AB73" s="26" t="n">
        <f aca="false">IF(TblMagic[[#This Row],[Mining Strength]],12,IF(OFFSET(TblMagic[[#This Row],[Active Mining Strength]],-1,0)&gt;0,OFFSET(TblMagic[[#This Row],[Active Mining Strength]],-1,0)-1,0))</f>
        <v>0</v>
      </c>
      <c r="AC73" s="26" t="n">
        <f aca="false">IF(TblMagic[[#This Row],[Ares Call]],12,IF(OFFSET(TblMagic[[#This Row],[Active Ares Call]],-1,0)&gt;0,OFFSET(TblMagic[[#This Row],[Active Ares Call]],-1,0)-1,0))</f>
        <v>0</v>
      </c>
      <c r="AD73" s="26" t="n">
        <f aca="false">IF(TblMagic[[#This Row],[Midas Touch]],12,IF(OFFSET(TblMagic[[#This Row],[Active Midas Touch]],-1,0)&gt;0,OFFSET(TblMagic[[#This Row],[Active Midas Touch]],-1,0)-1,0))</f>
        <v>6</v>
      </c>
      <c r="AE73" s="26" t="n">
        <f aca="false">IF(TblMagic[[#This Row],[Harmony]],12,IF(OFFSET(TblMagic[[#This Row],[Active Harmony]],-1,0)&gt;0,OFFSET(TblMagic[[#This Row],[Active Harmony]],-1,0)-1,0))</f>
        <v>0</v>
      </c>
      <c r="AF73" s="26" t="n">
        <f aca="false">IF(TblMagic[[#This Row],[Miner''s Sight]],12,IF(OFFSET(TblMagic[[#This Row],[Active Miner''s Sight]],-1,0)&gt;0,OFFSET(TblMagic[[#This Row],[Active Miner''s Sight]],-1,0)-1,0))</f>
        <v>0</v>
      </c>
      <c r="AG73" s="26" t="n">
        <f aca="false">IF(TblMagic[[#This Row],[Mechanical Genius]],12,IF(OFFSET(TblMagic[[#This Row],[Active Mechanical Genius]],-1,0)&gt;0,OFFSET(TblMagic[[#This Row],[Active Mechanical Genius]],-1,0)-1,0))</f>
        <v>0</v>
      </c>
      <c r="AH73" s="26" t="n">
        <f aca="false">IF(TblMagic[[#This Row],[Frenzy]],12,IF(OFFSET(TblMagic[[#This Row],[Active Frenzy]],-1,0)&gt;0,OFFSET(TblMagic[[#This Row],[Active Frenzy]],-1,0)-1,0))</f>
        <v>0</v>
      </c>
      <c r="AI73" s="26" t="n">
        <f aca="false">IF(TblMagic[[#This Row],[Killing Rage / Bloodrage / Crusade]],12,IF(OFFSET(TblMagic[[#This Row],[Active Warsong / Killing Rage / Bloodrage]],-1,0)&gt;0,OFFSET(TblMagic[[#This Row],[Active Warsong / Killing Rage / Bloodrage]],-1,0)-1,0))</f>
        <v>0</v>
      </c>
      <c r="AJ73" s="26" t="n">
        <f aca="false">IF(TblMagic[[#This Row],[Gaia''s Blessing]],12,IF(OFFSET(TblMagic[[#This Row],[Active Gaia''s Blessing]],-1,0)&gt;0,OFFSET(TblMagic[[#This Row],[Active Gaia''s Blessing]],-1,0)-1,0))</f>
        <v>0</v>
      </c>
      <c r="AK73" s="26" t="n">
        <f aca="false">IF(TblMagic[[#This Row],[Howling]],12,IF(OFFSET(TblMagic[[#This Row],[Active Howling]],-1,0)&gt;0,OFFSET(TblMagic[[#This Row],[Active Howling]],-1,0)-1,0))</f>
        <v>0</v>
      </c>
      <c r="AL73" s="26" t="n">
        <f aca="false">IF(TblMagic[[#This Row],[Alchemist Frost]],12,IF(OFFSET(TblMagic[[#This Row],[Active Alch Frost]],-1,0)&gt;0,OFFSET(TblMagic[[#This Row],[Active Alch Frost]],-1,0)-1,0))</f>
        <v>0</v>
      </c>
      <c r="AM73" s="26" t="n">
        <f aca="false">IF(TblMagic[[#This Row],[Alchemists Flame]],12,IF(OFFSET(TblMagic[[#This Row],[Active Alchemists Flame]],-1,0)&gt;0,OFFSET(TblMagic[[#This Row],[Active Alchemists Flame]],-1,0)-1,0))</f>
        <v>4</v>
      </c>
      <c r="AN73" s="26" t="n">
        <f aca="false">IF(TblMagic[[#This Row],[Nightfall]],12,IF(OFFSET(TblMagic[[#This Row],[Active Nightfall]],-1,0)&gt;0,OFFSET(TblMagic[[#This Row],[Active Nightfall]],-1,0)-1,0))</f>
        <v>0</v>
      </c>
      <c r="AO73" s="26" t="n">
        <f aca="false">IF(TblMagic[[#This Row],[Favorable Terrain]],12,IF(OFFSET(TblMagic[[#This Row],[Active Favorable Terrain]],-1,0)&gt;0,OFFSET(TblMagic[[#This Row],[Active Favorable Terrain]],-1,0)-1,0))</f>
        <v>0</v>
      </c>
    </row>
    <row r="74" customFormat="false" ht="12.75" hidden="false" customHeight="false" outlineLevel="0" collapsed="false">
      <c r="A74" s="128" t="n">
        <f aca="false">TblRezone[[#This Row],[Hour]]</f>
        <v>71</v>
      </c>
      <c r="B74" s="146" t="n">
        <f aca="false">TblConstr[[#This Row],[Land]]</f>
        <v>700</v>
      </c>
      <c r="C74" s="69" t="n">
        <f aca="false">TblProd[[#This Row],[Mana]]</f>
        <v>8055.5</v>
      </c>
      <c r="D74" s="149" t="n">
        <f aca="false">MIN(1,OFFSET(TblMagic[[#This Row],[Wiz str]],-1,0)+0.04+ROUNDDOWN(10*OFFSET(TblMili[[#This Row],[WG''s]],-1,0),0)+ tech_2_7*OFFSET(TblTech[[#This Row],[2-7]],-1,0) + tech_5_6*OFFSET(TblTech[[#This Row],[5-6]],-1,0) )-TblMagic[[#This Row],[Wiz str cost]]</f>
        <v>1</v>
      </c>
      <c r="E74" s="153" t="n">
        <f aca="false">OFFSET(TblMagic[[#This Row],[Time]],-1,0)+1/24</f>
        <v>45432.6666666667</v>
      </c>
      <c r="F74" s="149" t="n">
        <f aca="false">TblImps[[#This Row],[Population]]</f>
        <v>1</v>
      </c>
      <c r="G74" s="248"/>
      <c r="H74" s="248"/>
      <c r="I74" s="248"/>
      <c r="J74" s="248"/>
      <c r="K74" s="312"/>
      <c r="L74" s="248"/>
      <c r="M74" s="248"/>
      <c r="N74" s="248"/>
      <c r="O74" s="248"/>
      <c r="P74" s="248"/>
      <c r="Q74" s="248"/>
      <c r="R74" s="248"/>
      <c r="S74" s="248"/>
      <c r="T74" s="248"/>
      <c r="U74" s="248"/>
      <c r="V74" s="248"/>
      <c r="W74" s="132"/>
      <c r="X7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49" t="n">
        <f aca="false">SUMIF(TblMagic[[#This Row],[Gaia''s Watch]:[Useless spell]],1)*0.05</f>
        <v>0</v>
      </c>
      <c r="Z74" s="132"/>
      <c r="AA74" s="26" t="n">
        <f aca="false">IF(TblMagic[[#This Row],[Gaia''s Watch]],12,IF(OFFSET(TblMagic[[#This Row],[Active Gaia''s Watch]],-1,0)&gt;0,OFFSET(TblMagic[[#This Row],[Active Gaia''s Watch]],-1,0)-1,0))</f>
        <v>0</v>
      </c>
      <c r="AB74" s="26" t="n">
        <f aca="false">IF(TblMagic[[#This Row],[Mining Strength]],12,IF(OFFSET(TblMagic[[#This Row],[Active Mining Strength]],-1,0)&gt;0,OFFSET(TblMagic[[#This Row],[Active Mining Strength]],-1,0)-1,0))</f>
        <v>0</v>
      </c>
      <c r="AC74" s="26" t="n">
        <f aca="false">IF(TblMagic[[#This Row],[Ares Call]],12,IF(OFFSET(TblMagic[[#This Row],[Active Ares Call]],-1,0)&gt;0,OFFSET(TblMagic[[#This Row],[Active Ares Call]],-1,0)-1,0))</f>
        <v>0</v>
      </c>
      <c r="AD74" s="26" t="n">
        <f aca="false">IF(TblMagic[[#This Row],[Midas Touch]],12,IF(OFFSET(TblMagic[[#This Row],[Active Midas Touch]],-1,0)&gt;0,OFFSET(TblMagic[[#This Row],[Active Midas Touch]],-1,0)-1,0))</f>
        <v>5</v>
      </c>
      <c r="AE74" s="26" t="n">
        <f aca="false">IF(TblMagic[[#This Row],[Harmony]],12,IF(OFFSET(TblMagic[[#This Row],[Active Harmony]],-1,0)&gt;0,OFFSET(TblMagic[[#This Row],[Active Harmony]],-1,0)-1,0))</f>
        <v>0</v>
      </c>
      <c r="AF74" s="26" t="n">
        <f aca="false">IF(TblMagic[[#This Row],[Miner''s Sight]],12,IF(OFFSET(TblMagic[[#This Row],[Active Miner''s Sight]],-1,0)&gt;0,OFFSET(TblMagic[[#This Row],[Active Miner''s Sight]],-1,0)-1,0))</f>
        <v>0</v>
      </c>
      <c r="AG74" s="26" t="n">
        <f aca="false">IF(TblMagic[[#This Row],[Mechanical Genius]],12,IF(OFFSET(TblMagic[[#This Row],[Active Mechanical Genius]],-1,0)&gt;0,OFFSET(TblMagic[[#This Row],[Active Mechanical Genius]],-1,0)-1,0))</f>
        <v>0</v>
      </c>
      <c r="AH74" s="26" t="n">
        <f aca="false">IF(TblMagic[[#This Row],[Frenzy]],12,IF(OFFSET(TblMagic[[#This Row],[Active Frenzy]],-1,0)&gt;0,OFFSET(TblMagic[[#This Row],[Active Frenzy]],-1,0)-1,0))</f>
        <v>0</v>
      </c>
      <c r="AI74" s="26" t="n">
        <f aca="false">IF(TblMagic[[#This Row],[Killing Rage / Bloodrage / Crusade]],12,IF(OFFSET(TblMagic[[#This Row],[Active Warsong / Killing Rage / Bloodrage]],-1,0)&gt;0,OFFSET(TblMagic[[#This Row],[Active Warsong / Killing Rage / Bloodrage]],-1,0)-1,0))</f>
        <v>0</v>
      </c>
      <c r="AJ74" s="26" t="n">
        <f aca="false">IF(TblMagic[[#This Row],[Gaia''s Blessing]],12,IF(OFFSET(TblMagic[[#This Row],[Active Gaia''s Blessing]],-1,0)&gt;0,OFFSET(TblMagic[[#This Row],[Active Gaia''s Blessing]],-1,0)-1,0))</f>
        <v>0</v>
      </c>
      <c r="AK74" s="26" t="n">
        <f aca="false">IF(TblMagic[[#This Row],[Howling]],12,IF(OFFSET(TblMagic[[#This Row],[Active Howling]],-1,0)&gt;0,OFFSET(TblMagic[[#This Row],[Active Howling]],-1,0)-1,0))</f>
        <v>0</v>
      </c>
      <c r="AL74" s="26" t="n">
        <f aca="false">IF(TblMagic[[#This Row],[Alchemist Frost]],12,IF(OFFSET(TblMagic[[#This Row],[Active Alch Frost]],-1,0)&gt;0,OFFSET(TblMagic[[#This Row],[Active Alch Frost]],-1,0)-1,0))</f>
        <v>0</v>
      </c>
      <c r="AM74" s="26" t="n">
        <f aca="false">IF(TblMagic[[#This Row],[Alchemists Flame]],12,IF(OFFSET(TblMagic[[#This Row],[Active Alchemists Flame]],-1,0)&gt;0,OFFSET(TblMagic[[#This Row],[Active Alchemists Flame]],-1,0)-1,0))</f>
        <v>3</v>
      </c>
      <c r="AN74" s="26" t="n">
        <f aca="false">IF(TblMagic[[#This Row],[Nightfall]],12,IF(OFFSET(TblMagic[[#This Row],[Active Nightfall]],-1,0)&gt;0,OFFSET(TblMagic[[#This Row],[Active Nightfall]],-1,0)-1,0))</f>
        <v>0</v>
      </c>
      <c r="AO74" s="26" t="n">
        <f aca="false">IF(TblMagic[[#This Row],[Favorable Terrain]],12,IF(OFFSET(TblMagic[[#This Row],[Active Favorable Terrain]],-1,0)&gt;0,OFFSET(TblMagic[[#This Row],[Active Favorable Terrain]],-1,0)-1,0))</f>
        <v>0</v>
      </c>
    </row>
    <row r="75" customFormat="false" ht="12.75" hidden="false" customHeight="false" outlineLevel="0" collapsed="false">
      <c r="A75" s="128" t="n">
        <f aca="false">TblRezone[[#This Row],[Hour]]</f>
        <v>72</v>
      </c>
      <c r="B75" s="146" t="n">
        <f aca="false">TblConstr[[#This Row],[Land]]</f>
        <v>700</v>
      </c>
      <c r="C75" s="69" t="n">
        <f aca="false">TblProd[[#This Row],[Mana]]</f>
        <v>8619.5</v>
      </c>
      <c r="D75" s="149" t="n">
        <f aca="false">MIN(1,OFFSET(TblMagic[[#This Row],[Wiz str]],-1,0)+0.04+ROUNDDOWN(10*OFFSET(TblMili[[#This Row],[WG''s]],-1,0),0)+ tech_2_7*OFFSET(TblTech[[#This Row],[2-7]],-1,0) + tech_5_6*OFFSET(TblTech[[#This Row],[5-6]],-1,0) )-TblMagic[[#This Row],[Wiz str cost]]</f>
        <v>1</v>
      </c>
      <c r="E75" s="153" t="n">
        <f aca="false">OFFSET(TblMagic[[#This Row],[Time]],-1,0)+1/24</f>
        <v>45432.7083333333</v>
      </c>
      <c r="F75" s="149" t="n">
        <f aca="false">TblImps[[#This Row],[Population]]</f>
        <v>1</v>
      </c>
      <c r="G75" s="248"/>
      <c r="H75" s="248"/>
      <c r="I75" s="248"/>
      <c r="J75" s="248"/>
      <c r="K75" s="312"/>
      <c r="L75" s="248"/>
      <c r="M75" s="248"/>
      <c r="N75" s="248"/>
      <c r="O75" s="248"/>
      <c r="P75" s="248"/>
      <c r="Q75" s="248"/>
      <c r="R75" s="248"/>
      <c r="S75" s="248"/>
      <c r="T75" s="248"/>
      <c r="U75" s="248"/>
      <c r="V75" s="248"/>
      <c r="W75" s="132"/>
      <c r="X7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49" t="n">
        <f aca="false">SUMIF(TblMagic[[#This Row],[Gaia''s Watch]:[Useless spell]],1)*0.05</f>
        <v>0</v>
      </c>
      <c r="Z75" s="132"/>
      <c r="AA75" s="26" t="n">
        <f aca="false">IF(TblMagic[[#This Row],[Gaia''s Watch]],12,IF(OFFSET(TblMagic[[#This Row],[Active Gaia''s Watch]],-1,0)&gt;0,OFFSET(TblMagic[[#This Row],[Active Gaia''s Watch]],-1,0)-1,0))</f>
        <v>0</v>
      </c>
      <c r="AB75" s="26" t="n">
        <f aca="false">IF(TblMagic[[#This Row],[Mining Strength]],12,IF(OFFSET(TblMagic[[#This Row],[Active Mining Strength]],-1,0)&gt;0,OFFSET(TblMagic[[#This Row],[Active Mining Strength]],-1,0)-1,0))</f>
        <v>0</v>
      </c>
      <c r="AC75" s="26" t="n">
        <f aca="false">IF(TblMagic[[#This Row],[Ares Call]],12,IF(OFFSET(TblMagic[[#This Row],[Active Ares Call]],-1,0)&gt;0,OFFSET(TblMagic[[#This Row],[Active Ares Call]],-1,0)-1,0))</f>
        <v>0</v>
      </c>
      <c r="AD75" s="26" t="n">
        <f aca="false">IF(TblMagic[[#This Row],[Midas Touch]],12,IF(OFFSET(TblMagic[[#This Row],[Active Midas Touch]],-1,0)&gt;0,OFFSET(TblMagic[[#This Row],[Active Midas Touch]],-1,0)-1,0))</f>
        <v>4</v>
      </c>
      <c r="AE75" s="26" t="n">
        <f aca="false">IF(TblMagic[[#This Row],[Harmony]],12,IF(OFFSET(TblMagic[[#This Row],[Active Harmony]],-1,0)&gt;0,OFFSET(TblMagic[[#This Row],[Active Harmony]],-1,0)-1,0))</f>
        <v>0</v>
      </c>
      <c r="AF75" s="26" t="n">
        <f aca="false">IF(TblMagic[[#This Row],[Miner''s Sight]],12,IF(OFFSET(TblMagic[[#This Row],[Active Miner''s Sight]],-1,0)&gt;0,OFFSET(TblMagic[[#This Row],[Active Miner''s Sight]],-1,0)-1,0))</f>
        <v>0</v>
      </c>
      <c r="AG75" s="26" t="n">
        <f aca="false">IF(TblMagic[[#This Row],[Mechanical Genius]],12,IF(OFFSET(TblMagic[[#This Row],[Active Mechanical Genius]],-1,0)&gt;0,OFFSET(TblMagic[[#This Row],[Active Mechanical Genius]],-1,0)-1,0))</f>
        <v>0</v>
      </c>
      <c r="AH75" s="26" t="n">
        <f aca="false">IF(TblMagic[[#This Row],[Frenzy]],12,IF(OFFSET(TblMagic[[#This Row],[Active Frenzy]],-1,0)&gt;0,OFFSET(TblMagic[[#This Row],[Active Frenzy]],-1,0)-1,0))</f>
        <v>0</v>
      </c>
      <c r="AI75" s="26" t="n">
        <f aca="false">IF(TblMagic[[#This Row],[Killing Rage / Bloodrage / Crusade]],12,IF(OFFSET(TblMagic[[#This Row],[Active Warsong / Killing Rage / Bloodrage]],-1,0)&gt;0,OFFSET(TblMagic[[#This Row],[Active Warsong / Killing Rage / Bloodrage]],-1,0)-1,0))</f>
        <v>0</v>
      </c>
      <c r="AJ75" s="26" t="n">
        <f aca="false">IF(TblMagic[[#This Row],[Gaia''s Blessing]],12,IF(OFFSET(TblMagic[[#This Row],[Active Gaia''s Blessing]],-1,0)&gt;0,OFFSET(TblMagic[[#This Row],[Active Gaia''s Blessing]],-1,0)-1,0))</f>
        <v>0</v>
      </c>
      <c r="AK75" s="26" t="n">
        <f aca="false">IF(TblMagic[[#This Row],[Howling]],12,IF(OFFSET(TblMagic[[#This Row],[Active Howling]],-1,0)&gt;0,OFFSET(TblMagic[[#This Row],[Active Howling]],-1,0)-1,0))</f>
        <v>0</v>
      </c>
      <c r="AL75" s="26" t="n">
        <f aca="false">IF(TblMagic[[#This Row],[Alchemist Frost]],12,IF(OFFSET(TblMagic[[#This Row],[Active Alch Frost]],-1,0)&gt;0,OFFSET(TblMagic[[#This Row],[Active Alch Frost]],-1,0)-1,0))</f>
        <v>0</v>
      </c>
      <c r="AM75" s="26" t="n">
        <f aca="false">IF(TblMagic[[#This Row],[Alchemists Flame]],12,IF(OFFSET(TblMagic[[#This Row],[Active Alchemists Flame]],-1,0)&gt;0,OFFSET(TblMagic[[#This Row],[Active Alchemists Flame]],-1,0)-1,0))</f>
        <v>2</v>
      </c>
      <c r="AN75" s="26" t="n">
        <f aca="false">IF(TblMagic[[#This Row],[Nightfall]],12,IF(OFFSET(TblMagic[[#This Row],[Active Nightfall]],-1,0)&gt;0,OFFSET(TblMagic[[#This Row],[Active Nightfall]],-1,0)-1,0))</f>
        <v>0</v>
      </c>
      <c r="AO75" s="26" t="n">
        <f aca="false">IF(TblMagic[[#This Row],[Favorable Terrain]],12,IF(OFFSET(TblMagic[[#This Row],[Active Favorable Terrain]],-1,0)&gt;0,OFFSET(TblMagic[[#This Row],[Active Favorable Terrain]],-1,0)-1,0))</f>
        <v>0</v>
      </c>
    </row>
    <row r="76" s="268" customFormat="true" ht="12.75" hidden="false" customHeight="false" outlineLevel="0" collapsed="false">
      <c r="A76" s="154" t="n">
        <f aca="false">TblRezone[[#This Row],[Hour]]</f>
        <v>73</v>
      </c>
      <c r="B76" s="157" t="n">
        <f aca="false">TblConstr[[#This Row],[Land]]</f>
        <v>700</v>
      </c>
      <c r="C76" s="226" t="n">
        <f aca="false">TblProd[[#This Row],[Mana]]</f>
        <v>2172.5</v>
      </c>
      <c r="D76" s="314" t="n">
        <f aca="false">MIN(1,OFFSET(TblMagic[[#This Row],[Wiz str]],-1,0)+0.04+ROUNDDOWN(10*OFFSET(TblMili[[#This Row],[WG''s]],-1,0),0)+ tech_2_7*OFFSET(TblTech[[#This Row],[2-7]],-1,0) + tech_5_6*OFFSET(TblTech[[#This Row],[5-6]],-1,0) )-TblMagic[[#This Row],[Wiz str cost]]</f>
        <v>0.85</v>
      </c>
      <c r="E76" s="235" t="n">
        <f aca="false">OFFSET(TblMagic[[#This Row],[Time]],-1,0)+1/24</f>
        <v>45432.75</v>
      </c>
      <c r="F76" s="314" t="n">
        <f aca="false">TblImps[[#This Row],[Population]]</f>
        <v>1</v>
      </c>
      <c r="G76" s="267"/>
      <c r="H76" s="267"/>
      <c r="I76" s="267" t="n">
        <v>1</v>
      </c>
      <c r="J76" s="267" t="n">
        <v>1</v>
      </c>
      <c r="K76" s="315"/>
      <c r="L76" s="267"/>
      <c r="M76" s="267"/>
      <c r="N76" s="267"/>
      <c r="O76" s="267"/>
      <c r="P76" s="267"/>
      <c r="Q76" s="267"/>
      <c r="R76" s="267"/>
      <c r="S76" s="267" t="n">
        <v>1</v>
      </c>
      <c r="T76" s="267"/>
      <c r="U76" s="267"/>
      <c r="V76" s="267"/>
      <c r="W76" s="138"/>
      <c r="X76" s="226"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76" s="314" t="n">
        <f aca="false">SUMIF(TblMagic[[#This Row],[Gaia''s Watch]:[Useless spell]],1)*0.05</f>
        <v>0.15</v>
      </c>
      <c r="Z76" s="138"/>
      <c r="AA76" s="227" t="n">
        <f aca="false">IF(TblMagic[[#This Row],[Gaia''s Watch]],12,IF(OFFSET(TblMagic[[#This Row],[Active Gaia''s Watch]],-1,0)&gt;0,OFFSET(TblMagic[[#This Row],[Active Gaia''s Watch]],-1,0)-1,0))</f>
        <v>0</v>
      </c>
      <c r="AB76" s="227" t="n">
        <f aca="false">IF(TblMagic[[#This Row],[Mining Strength]],12,IF(OFFSET(TblMagic[[#This Row],[Active Mining Strength]],-1,0)&gt;0,OFFSET(TblMagic[[#This Row],[Active Mining Strength]],-1,0)-1,0))</f>
        <v>0</v>
      </c>
      <c r="AC76" s="227" t="n">
        <f aca="false">IF(TblMagic[[#This Row],[Ares Call]],12,IF(OFFSET(TblMagic[[#This Row],[Active Ares Call]],-1,0)&gt;0,OFFSET(TblMagic[[#This Row],[Active Ares Call]],-1,0)-1,0))</f>
        <v>12</v>
      </c>
      <c r="AD76" s="227" t="n">
        <f aca="false">IF(TblMagic[[#This Row],[Midas Touch]],12,IF(OFFSET(TblMagic[[#This Row],[Active Midas Touch]],-1,0)&gt;0,OFFSET(TblMagic[[#This Row],[Active Midas Touch]],-1,0)-1,0))</f>
        <v>12</v>
      </c>
      <c r="AE76" s="227" t="n">
        <f aca="false">IF(TblMagic[[#This Row],[Harmony]],12,IF(OFFSET(TblMagic[[#This Row],[Active Harmony]],-1,0)&gt;0,OFFSET(TblMagic[[#This Row],[Active Harmony]],-1,0)-1,0))</f>
        <v>0</v>
      </c>
      <c r="AF76" s="227" t="n">
        <f aca="false">IF(TblMagic[[#This Row],[Miner''s Sight]],12,IF(OFFSET(TblMagic[[#This Row],[Active Miner''s Sight]],-1,0)&gt;0,OFFSET(TblMagic[[#This Row],[Active Miner''s Sight]],-1,0)-1,0))</f>
        <v>0</v>
      </c>
      <c r="AG76" s="227" t="n">
        <f aca="false">IF(TblMagic[[#This Row],[Mechanical Genius]],12,IF(OFFSET(TblMagic[[#This Row],[Active Mechanical Genius]],-1,0)&gt;0,OFFSET(TblMagic[[#This Row],[Active Mechanical Genius]],-1,0)-1,0))</f>
        <v>0</v>
      </c>
      <c r="AH76" s="227" t="n">
        <f aca="false">IF(TblMagic[[#This Row],[Frenzy]],12,IF(OFFSET(TblMagic[[#This Row],[Active Frenzy]],-1,0)&gt;0,OFFSET(TblMagic[[#This Row],[Active Frenzy]],-1,0)-1,0))</f>
        <v>0</v>
      </c>
      <c r="AI76" s="227" t="n">
        <f aca="false">IF(TblMagic[[#This Row],[Killing Rage / Bloodrage / Crusade]],12,IF(OFFSET(TblMagic[[#This Row],[Active Warsong / Killing Rage / Bloodrage]],-1,0)&gt;0,OFFSET(TblMagic[[#This Row],[Active Warsong / Killing Rage / Bloodrage]],-1,0)-1,0))</f>
        <v>0</v>
      </c>
      <c r="AJ76" s="227" t="n">
        <f aca="false">IF(TblMagic[[#This Row],[Gaia''s Blessing]],12,IF(OFFSET(TblMagic[[#This Row],[Active Gaia''s Blessing]],-1,0)&gt;0,OFFSET(TblMagic[[#This Row],[Active Gaia''s Blessing]],-1,0)-1,0))</f>
        <v>0</v>
      </c>
      <c r="AK76" s="227" t="n">
        <f aca="false">IF(TblMagic[[#This Row],[Howling]],12,IF(OFFSET(TblMagic[[#This Row],[Active Howling]],-1,0)&gt;0,OFFSET(TblMagic[[#This Row],[Active Howling]],-1,0)-1,0))</f>
        <v>0</v>
      </c>
      <c r="AL76" s="227" t="n">
        <f aca="false">IF(TblMagic[[#This Row],[Alchemist Frost]],12,IF(OFFSET(TblMagic[[#This Row],[Active Alch Frost]],-1,0)&gt;0,OFFSET(TblMagic[[#This Row],[Active Alch Frost]],-1,0)-1,0))</f>
        <v>0</v>
      </c>
      <c r="AM76" s="227" t="n">
        <f aca="false">IF(TblMagic[[#This Row],[Alchemists Flame]],12,IF(OFFSET(TblMagic[[#This Row],[Active Alchemists Flame]],-1,0)&gt;0,OFFSET(TblMagic[[#This Row],[Active Alchemists Flame]],-1,0)-1,0))</f>
        <v>12</v>
      </c>
      <c r="AN76" s="227" t="n">
        <f aca="false">IF(TblMagic[[#This Row],[Nightfall]],12,IF(OFFSET(TblMagic[[#This Row],[Active Nightfall]],-1,0)&gt;0,OFFSET(TblMagic[[#This Row],[Active Nightfall]],-1,0)-1,0))</f>
        <v>0</v>
      </c>
      <c r="AO76" s="227" t="n">
        <f aca="false">IF(TblMagic[[#This Row],[Favorable Terrain]],12,IF(OFFSET(TblMagic[[#This Row],[Active Favorable Terrain]],-1,0)&gt;0,OFFSET(TblMagic[[#This Row],[Active Favorable Terrain]],-1,0)-1,0))</f>
        <v>0</v>
      </c>
    </row>
    <row r="77" customFormat="false" ht="12.75" hidden="false" customHeight="false" outlineLevel="0" collapsed="false">
      <c r="A77" s="128" t="n">
        <f aca="false">TblRezone[[#This Row],[Hour]]</f>
        <v>74</v>
      </c>
      <c r="B77" s="146" t="n">
        <f aca="false">TblConstr[[#This Row],[Land]]</f>
        <v>700</v>
      </c>
      <c r="C77" s="69" t="n">
        <f aca="false">TblProd[[#This Row],[Mana]]</f>
        <v>2854.5</v>
      </c>
      <c r="D77" s="149" t="n">
        <f aca="false">MIN(1,OFFSET(TblMagic[[#This Row],[Wiz str]],-1,0)+0.04+ROUNDDOWN(10*OFFSET(TblMili[[#This Row],[WG''s]],-1,0),0)+ tech_2_7*OFFSET(TblTech[[#This Row],[2-7]],-1,0) + tech_5_6*OFFSET(TblTech[[#This Row],[5-6]],-1,0) )-TblMagic[[#This Row],[Wiz str cost]]</f>
        <v>0.89</v>
      </c>
      <c r="E77" s="153" t="n">
        <f aca="false">OFFSET(TblMagic[[#This Row],[Time]],-1,0)+1/24</f>
        <v>45432.7916666667</v>
      </c>
      <c r="F77" s="149" t="n">
        <f aca="false">TblImps[[#This Row],[Population]]</f>
        <v>1</v>
      </c>
      <c r="G77" s="248"/>
      <c r="H77" s="248"/>
      <c r="I77" s="248"/>
      <c r="J77" s="248"/>
      <c r="K77" s="312"/>
      <c r="L77" s="248"/>
      <c r="M77" s="248"/>
      <c r="N77" s="248"/>
      <c r="O77" s="248"/>
      <c r="P77" s="248"/>
      <c r="Q77" s="248"/>
      <c r="R77" s="248"/>
      <c r="S77" s="248"/>
      <c r="T77" s="248"/>
      <c r="U77" s="248"/>
      <c r="V77" s="248"/>
      <c r="W77" s="132"/>
      <c r="X7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49" t="n">
        <f aca="false">SUMIF(TblMagic[[#This Row],[Gaia''s Watch]:[Useless spell]],1)*0.05</f>
        <v>0</v>
      </c>
      <c r="Z77" s="132"/>
      <c r="AA77" s="26" t="n">
        <f aca="false">IF(TblMagic[[#This Row],[Gaia''s Watch]],12,IF(OFFSET(TblMagic[[#This Row],[Active Gaia''s Watch]],-1,0)&gt;0,OFFSET(TblMagic[[#This Row],[Active Gaia''s Watch]],-1,0)-1,0))</f>
        <v>0</v>
      </c>
      <c r="AB77" s="26" t="n">
        <f aca="false">IF(TblMagic[[#This Row],[Mining Strength]],12,IF(OFFSET(TblMagic[[#This Row],[Active Mining Strength]],-1,0)&gt;0,OFFSET(TblMagic[[#This Row],[Active Mining Strength]],-1,0)-1,0))</f>
        <v>0</v>
      </c>
      <c r="AC77" s="26" t="n">
        <f aca="false">IF(TblMagic[[#This Row],[Ares Call]],12,IF(OFFSET(TblMagic[[#This Row],[Active Ares Call]],-1,0)&gt;0,OFFSET(TblMagic[[#This Row],[Active Ares Call]],-1,0)-1,0))</f>
        <v>11</v>
      </c>
      <c r="AD77" s="26" t="n">
        <f aca="false">IF(TblMagic[[#This Row],[Midas Touch]],12,IF(OFFSET(TblMagic[[#This Row],[Active Midas Touch]],-1,0)&gt;0,OFFSET(TblMagic[[#This Row],[Active Midas Touch]],-1,0)-1,0))</f>
        <v>11</v>
      </c>
      <c r="AE77" s="26" t="n">
        <f aca="false">IF(TblMagic[[#This Row],[Harmony]],12,IF(OFFSET(TblMagic[[#This Row],[Active Harmony]],-1,0)&gt;0,OFFSET(TblMagic[[#This Row],[Active Harmony]],-1,0)-1,0))</f>
        <v>0</v>
      </c>
      <c r="AF77" s="26" t="n">
        <f aca="false">IF(TblMagic[[#This Row],[Miner''s Sight]],12,IF(OFFSET(TblMagic[[#This Row],[Active Miner''s Sight]],-1,0)&gt;0,OFFSET(TblMagic[[#This Row],[Active Miner''s Sight]],-1,0)-1,0))</f>
        <v>0</v>
      </c>
      <c r="AG77" s="26" t="n">
        <f aca="false">IF(TblMagic[[#This Row],[Mechanical Genius]],12,IF(OFFSET(TblMagic[[#This Row],[Active Mechanical Genius]],-1,0)&gt;0,OFFSET(TblMagic[[#This Row],[Active Mechanical Genius]],-1,0)-1,0))</f>
        <v>0</v>
      </c>
      <c r="AH77" s="26" t="n">
        <f aca="false">IF(TblMagic[[#This Row],[Frenzy]],12,IF(OFFSET(TblMagic[[#This Row],[Active Frenzy]],-1,0)&gt;0,OFFSET(TblMagic[[#This Row],[Active Frenzy]],-1,0)-1,0))</f>
        <v>0</v>
      </c>
      <c r="AI77" s="26" t="n">
        <f aca="false">IF(TblMagic[[#This Row],[Killing Rage / Bloodrage / Crusade]],12,IF(OFFSET(TblMagic[[#This Row],[Active Warsong / Killing Rage / Bloodrage]],-1,0)&gt;0,OFFSET(TblMagic[[#This Row],[Active Warsong / Killing Rage / Bloodrage]],-1,0)-1,0))</f>
        <v>0</v>
      </c>
      <c r="AJ77" s="26" t="n">
        <f aca="false">IF(TblMagic[[#This Row],[Gaia''s Blessing]],12,IF(OFFSET(TblMagic[[#This Row],[Active Gaia''s Blessing]],-1,0)&gt;0,OFFSET(TblMagic[[#This Row],[Active Gaia''s Blessing]],-1,0)-1,0))</f>
        <v>0</v>
      </c>
      <c r="AK77" s="26" t="n">
        <f aca="false">IF(TblMagic[[#This Row],[Howling]],12,IF(OFFSET(TblMagic[[#This Row],[Active Howling]],-1,0)&gt;0,OFFSET(TblMagic[[#This Row],[Active Howling]],-1,0)-1,0))</f>
        <v>0</v>
      </c>
      <c r="AL77" s="26" t="n">
        <f aca="false">IF(TblMagic[[#This Row],[Alchemist Frost]],12,IF(OFFSET(TblMagic[[#This Row],[Active Alch Frost]],-1,0)&gt;0,OFFSET(TblMagic[[#This Row],[Active Alch Frost]],-1,0)-1,0))</f>
        <v>0</v>
      </c>
      <c r="AM77" s="26" t="n">
        <f aca="false">IF(TblMagic[[#This Row],[Alchemists Flame]],12,IF(OFFSET(TblMagic[[#This Row],[Active Alchemists Flame]],-1,0)&gt;0,OFFSET(TblMagic[[#This Row],[Active Alchemists Flame]],-1,0)-1,0))</f>
        <v>11</v>
      </c>
      <c r="AN77" s="26" t="n">
        <f aca="false">IF(TblMagic[[#This Row],[Nightfall]],12,IF(OFFSET(TblMagic[[#This Row],[Active Nightfall]],-1,0)&gt;0,OFFSET(TblMagic[[#This Row],[Active Nightfall]],-1,0)-1,0))</f>
        <v>0</v>
      </c>
      <c r="AO77" s="26" t="n">
        <f aca="false">IF(TblMagic[[#This Row],[Favorable Terrain]],12,IF(OFFSET(TblMagic[[#This Row],[Active Favorable Terrain]],-1,0)&gt;0,OFFSET(TblMagic[[#This Row],[Active Favorable Terrain]],-1,0)-1,0))</f>
        <v>0</v>
      </c>
    </row>
    <row r="78" customFormat="false" ht="12.75" hidden="false" customHeight="false" outlineLevel="0" collapsed="false">
      <c r="A78" s="128" t="n">
        <f aca="false">TblRezone[[#This Row],[Hour]]</f>
        <v>75</v>
      </c>
      <c r="B78" s="146" t="n">
        <f aca="false">TblConstr[[#This Row],[Land]]</f>
        <v>700</v>
      </c>
      <c r="C78" s="69" t="n">
        <f aca="false">TblProd[[#This Row],[Mana]]</f>
        <v>3522.5</v>
      </c>
      <c r="D78" s="149" t="n">
        <f aca="false">MIN(1,OFFSET(TblMagic[[#This Row],[Wiz str]],-1,0)+0.04+ROUNDDOWN(10*OFFSET(TblMili[[#This Row],[WG''s]],-1,0),0)+ tech_2_7*OFFSET(TblTech[[#This Row],[2-7]],-1,0) + tech_5_6*OFFSET(TblTech[[#This Row],[5-6]],-1,0) )-TblMagic[[#This Row],[Wiz str cost]]</f>
        <v>0.93</v>
      </c>
      <c r="E78" s="153" t="n">
        <f aca="false">OFFSET(TblMagic[[#This Row],[Time]],-1,0)+1/24</f>
        <v>45432.8333333333</v>
      </c>
      <c r="F78" s="149" t="n">
        <f aca="false">TblImps[[#This Row],[Population]]</f>
        <v>1</v>
      </c>
      <c r="G78" s="248"/>
      <c r="H78" s="248"/>
      <c r="I78" s="248"/>
      <c r="J78" s="248"/>
      <c r="K78" s="312"/>
      <c r="L78" s="248"/>
      <c r="M78" s="248"/>
      <c r="N78" s="248"/>
      <c r="O78" s="248"/>
      <c r="P78" s="248"/>
      <c r="Q78" s="248"/>
      <c r="R78" s="248"/>
      <c r="S78" s="248"/>
      <c r="T78" s="248"/>
      <c r="U78" s="248"/>
      <c r="V78" s="248"/>
      <c r="W78" s="132"/>
      <c r="X7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49" t="n">
        <f aca="false">SUMIF(TblMagic[[#This Row],[Gaia''s Watch]:[Useless spell]],1)*0.05</f>
        <v>0</v>
      </c>
      <c r="Z78" s="132"/>
      <c r="AA78" s="26" t="n">
        <f aca="false">IF(TblMagic[[#This Row],[Gaia''s Watch]],12,IF(OFFSET(TblMagic[[#This Row],[Active Gaia''s Watch]],-1,0)&gt;0,OFFSET(TblMagic[[#This Row],[Active Gaia''s Watch]],-1,0)-1,0))</f>
        <v>0</v>
      </c>
      <c r="AB78" s="26" t="n">
        <f aca="false">IF(TblMagic[[#This Row],[Mining Strength]],12,IF(OFFSET(TblMagic[[#This Row],[Active Mining Strength]],-1,0)&gt;0,OFFSET(TblMagic[[#This Row],[Active Mining Strength]],-1,0)-1,0))</f>
        <v>0</v>
      </c>
      <c r="AC78" s="26" t="n">
        <f aca="false">IF(TblMagic[[#This Row],[Ares Call]],12,IF(OFFSET(TblMagic[[#This Row],[Active Ares Call]],-1,0)&gt;0,OFFSET(TblMagic[[#This Row],[Active Ares Call]],-1,0)-1,0))</f>
        <v>10</v>
      </c>
      <c r="AD78" s="26" t="n">
        <f aca="false">IF(TblMagic[[#This Row],[Midas Touch]],12,IF(OFFSET(TblMagic[[#This Row],[Active Midas Touch]],-1,0)&gt;0,OFFSET(TblMagic[[#This Row],[Active Midas Touch]],-1,0)-1,0))</f>
        <v>10</v>
      </c>
      <c r="AE78" s="26" t="n">
        <f aca="false">IF(TblMagic[[#This Row],[Harmony]],12,IF(OFFSET(TblMagic[[#This Row],[Active Harmony]],-1,0)&gt;0,OFFSET(TblMagic[[#This Row],[Active Harmony]],-1,0)-1,0))</f>
        <v>0</v>
      </c>
      <c r="AF78" s="26" t="n">
        <f aca="false">IF(TblMagic[[#This Row],[Miner''s Sight]],12,IF(OFFSET(TblMagic[[#This Row],[Active Miner''s Sight]],-1,0)&gt;0,OFFSET(TblMagic[[#This Row],[Active Miner''s Sight]],-1,0)-1,0))</f>
        <v>0</v>
      </c>
      <c r="AG78" s="26" t="n">
        <f aca="false">IF(TblMagic[[#This Row],[Mechanical Genius]],12,IF(OFFSET(TblMagic[[#This Row],[Active Mechanical Genius]],-1,0)&gt;0,OFFSET(TblMagic[[#This Row],[Active Mechanical Genius]],-1,0)-1,0))</f>
        <v>0</v>
      </c>
      <c r="AH78" s="26" t="n">
        <f aca="false">IF(TblMagic[[#This Row],[Frenzy]],12,IF(OFFSET(TblMagic[[#This Row],[Active Frenzy]],-1,0)&gt;0,OFFSET(TblMagic[[#This Row],[Active Frenzy]],-1,0)-1,0))</f>
        <v>0</v>
      </c>
      <c r="AI78" s="26" t="n">
        <f aca="false">IF(TblMagic[[#This Row],[Killing Rage / Bloodrage / Crusade]],12,IF(OFFSET(TblMagic[[#This Row],[Active Warsong / Killing Rage / Bloodrage]],-1,0)&gt;0,OFFSET(TblMagic[[#This Row],[Active Warsong / Killing Rage / Bloodrage]],-1,0)-1,0))</f>
        <v>0</v>
      </c>
      <c r="AJ78" s="26" t="n">
        <f aca="false">IF(TblMagic[[#This Row],[Gaia''s Blessing]],12,IF(OFFSET(TblMagic[[#This Row],[Active Gaia''s Blessing]],-1,0)&gt;0,OFFSET(TblMagic[[#This Row],[Active Gaia''s Blessing]],-1,0)-1,0))</f>
        <v>0</v>
      </c>
      <c r="AK78" s="26" t="n">
        <f aca="false">IF(TblMagic[[#This Row],[Howling]],12,IF(OFFSET(TblMagic[[#This Row],[Active Howling]],-1,0)&gt;0,OFFSET(TblMagic[[#This Row],[Active Howling]],-1,0)-1,0))</f>
        <v>0</v>
      </c>
      <c r="AL78" s="26" t="n">
        <f aca="false">IF(TblMagic[[#This Row],[Alchemist Frost]],12,IF(OFFSET(TblMagic[[#This Row],[Active Alch Frost]],-1,0)&gt;0,OFFSET(TblMagic[[#This Row],[Active Alch Frost]],-1,0)-1,0))</f>
        <v>0</v>
      </c>
      <c r="AM78" s="26" t="n">
        <f aca="false">IF(TblMagic[[#This Row],[Alchemists Flame]],12,IF(OFFSET(TblMagic[[#This Row],[Active Alchemists Flame]],-1,0)&gt;0,OFFSET(TblMagic[[#This Row],[Active Alchemists Flame]],-1,0)-1,0))</f>
        <v>10</v>
      </c>
      <c r="AN78" s="26" t="n">
        <f aca="false">IF(TblMagic[[#This Row],[Nightfall]],12,IF(OFFSET(TblMagic[[#This Row],[Active Nightfall]],-1,0)&gt;0,OFFSET(TblMagic[[#This Row],[Active Nightfall]],-1,0)-1,0))</f>
        <v>0</v>
      </c>
      <c r="AO78" s="26" t="n">
        <f aca="false">IF(TblMagic[[#This Row],[Favorable Terrain]],12,IF(OFFSET(TblMagic[[#This Row],[Active Favorable Terrain]],-1,0)&gt;0,OFFSET(TblMagic[[#This Row],[Active Favorable Terrain]],-1,0)-1,0))</f>
        <v>0</v>
      </c>
    </row>
    <row r="79" customFormat="false" ht="12.75" hidden="false" customHeight="false" outlineLevel="0" collapsed="false">
      <c r="A79" s="128" t="n">
        <f aca="false">TblRezone[[#This Row],[Hour]]</f>
        <v>76</v>
      </c>
      <c r="B79" s="146" t="n">
        <f aca="false">TblConstr[[#This Row],[Land]]</f>
        <v>700</v>
      </c>
      <c r="C79" s="69" t="n">
        <f aca="false">TblProd[[#This Row],[Mana]]</f>
        <v>4177.5</v>
      </c>
      <c r="D79" s="149" t="n">
        <f aca="false">MIN(1,OFFSET(TblMagic[[#This Row],[Wiz str]],-1,0)+0.04+ROUNDDOWN(10*OFFSET(TblMili[[#This Row],[WG''s]],-1,0),0)+ tech_2_7*OFFSET(TblTech[[#This Row],[2-7]],-1,0) + tech_5_6*OFFSET(TblTech[[#This Row],[5-6]],-1,0) )-TblMagic[[#This Row],[Wiz str cost]]</f>
        <v>0.97</v>
      </c>
      <c r="E79" s="153" t="n">
        <f aca="false">OFFSET(TblMagic[[#This Row],[Time]],-1,0)+1/24</f>
        <v>45432.875</v>
      </c>
      <c r="F79" s="149" t="n">
        <f aca="false">TblImps[[#This Row],[Population]]</f>
        <v>1</v>
      </c>
      <c r="G79" s="248"/>
      <c r="H79" s="248"/>
      <c r="I79" s="248"/>
      <c r="J79" s="248"/>
      <c r="K79" s="312"/>
      <c r="L79" s="248"/>
      <c r="M79" s="248"/>
      <c r="N79" s="248"/>
      <c r="O79" s="248"/>
      <c r="P79" s="248"/>
      <c r="Q79" s="248"/>
      <c r="R79" s="248"/>
      <c r="S79" s="248"/>
      <c r="T79" s="248"/>
      <c r="U79" s="248"/>
      <c r="V79" s="248"/>
      <c r="W79" s="132"/>
      <c r="X7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49" t="n">
        <f aca="false">SUMIF(TblMagic[[#This Row],[Gaia''s Watch]:[Useless spell]],1)*0.05</f>
        <v>0</v>
      </c>
      <c r="Z79" s="132"/>
      <c r="AA79" s="26" t="n">
        <f aca="false">IF(TblMagic[[#This Row],[Gaia''s Watch]],12,IF(OFFSET(TblMagic[[#This Row],[Active Gaia''s Watch]],-1,0)&gt;0,OFFSET(TblMagic[[#This Row],[Active Gaia''s Watch]],-1,0)-1,0))</f>
        <v>0</v>
      </c>
      <c r="AB79" s="26" t="n">
        <f aca="false">IF(TblMagic[[#This Row],[Mining Strength]],12,IF(OFFSET(TblMagic[[#This Row],[Active Mining Strength]],-1,0)&gt;0,OFFSET(TblMagic[[#This Row],[Active Mining Strength]],-1,0)-1,0))</f>
        <v>0</v>
      </c>
      <c r="AC79" s="26" t="n">
        <f aca="false">IF(TblMagic[[#This Row],[Ares Call]],12,IF(OFFSET(TblMagic[[#This Row],[Active Ares Call]],-1,0)&gt;0,OFFSET(TblMagic[[#This Row],[Active Ares Call]],-1,0)-1,0))</f>
        <v>9</v>
      </c>
      <c r="AD79" s="26" t="n">
        <f aca="false">IF(TblMagic[[#This Row],[Midas Touch]],12,IF(OFFSET(TblMagic[[#This Row],[Active Midas Touch]],-1,0)&gt;0,OFFSET(TblMagic[[#This Row],[Active Midas Touch]],-1,0)-1,0))</f>
        <v>9</v>
      </c>
      <c r="AE79" s="26" t="n">
        <f aca="false">IF(TblMagic[[#This Row],[Harmony]],12,IF(OFFSET(TblMagic[[#This Row],[Active Harmony]],-1,0)&gt;0,OFFSET(TblMagic[[#This Row],[Active Harmony]],-1,0)-1,0))</f>
        <v>0</v>
      </c>
      <c r="AF79" s="26" t="n">
        <f aca="false">IF(TblMagic[[#This Row],[Miner''s Sight]],12,IF(OFFSET(TblMagic[[#This Row],[Active Miner''s Sight]],-1,0)&gt;0,OFFSET(TblMagic[[#This Row],[Active Miner''s Sight]],-1,0)-1,0))</f>
        <v>0</v>
      </c>
      <c r="AG79" s="26" t="n">
        <f aca="false">IF(TblMagic[[#This Row],[Mechanical Genius]],12,IF(OFFSET(TblMagic[[#This Row],[Active Mechanical Genius]],-1,0)&gt;0,OFFSET(TblMagic[[#This Row],[Active Mechanical Genius]],-1,0)-1,0))</f>
        <v>0</v>
      </c>
      <c r="AH79" s="26" t="n">
        <f aca="false">IF(TblMagic[[#This Row],[Frenzy]],12,IF(OFFSET(TblMagic[[#This Row],[Active Frenzy]],-1,0)&gt;0,OFFSET(TblMagic[[#This Row],[Active Frenzy]],-1,0)-1,0))</f>
        <v>0</v>
      </c>
      <c r="AI79" s="26" t="n">
        <f aca="false">IF(TblMagic[[#This Row],[Killing Rage / Bloodrage / Crusade]],12,IF(OFFSET(TblMagic[[#This Row],[Active Warsong / Killing Rage / Bloodrage]],-1,0)&gt;0,OFFSET(TblMagic[[#This Row],[Active Warsong / Killing Rage / Bloodrage]],-1,0)-1,0))</f>
        <v>0</v>
      </c>
      <c r="AJ79" s="26" t="n">
        <f aca="false">IF(TblMagic[[#This Row],[Gaia''s Blessing]],12,IF(OFFSET(TblMagic[[#This Row],[Active Gaia''s Blessing]],-1,0)&gt;0,OFFSET(TblMagic[[#This Row],[Active Gaia''s Blessing]],-1,0)-1,0))</f>
        <v>0</v>
      </c>
      <c r="AK79" s="26" t="n">
        <f aca="false">IF(TblMagic[[#This Row],[Howling]],12,IF(OFFSET(TblMagic[[#This Row],[Active Howling]],-1,0)&gt;0,OFFSET(TblMagic[[#This Row],[Active Howling]],-1,0)-1,0))</f>
        <v>0</v>
      </c>
      <c r="AL79" s="26" t="n">
        <f aca="false">IF(TblMagic[[#This Row],[Alchemist Frost]],12,IF(OFFSET(TblMagic[[#This Row],[Active Alch Frost]],-1,0)&gt;0,OFFSET(TblMagic[[#This Row],[Active Alch Frost]],-1,0)-1,0))</f>
        <v>0</v>
      </c>
      <c r="AM79" s="26" t="n">
        <f aca="false">IF(TblMagic[[#This Row],[Alchemists Flame]],12,IF(OFFSET(TblMagic[[#This Row],[Active Alchemists Flame]],-1,0)&gt;0,OFFSET(TblMagic[[#This Row],[Active Alchemists Flame]],-1,0)-1,0))</f>
        <v>9</v>
      </c>
      <c r="AN79" s="26" t="n">
        <f aca="false">IF(TblMagic[[#This Row],[Nightfall]],12,IF(OFFSET(TblMagic[[#This Row],[Active Nightfall]],-1,0)&gt;0,OFFSET(TblMagic[[#This Row],[Active Nightfall]],-1,0)-1,0))</f>
        <v>0</v>
      </c>
      <c r="AO79" s="26" t="n">
        <f aca="false">IF(TblMagic[[#This Row],[Favorable Terrain]],12,IF(OFFSET(TblMagic[[#This Row],[Active Favorable Terrain]],-1,0)&gt;0,OFFSET(TblMagic[[#This Row],[Active Favorable Terrain]],-1,0)-1,0))</f>
        <v>0</v>
      </c>
    </row>
    <row r="80" customFormat="false" ht="12.75" hidden="false" customHeight="false" outlineLevel="0" collapsed="false">
      <c r="A80" s="128" t="n">
        <f aca="false">TblRezone[[#This Row],[Hour]]</f>
        <v>77</v>
      </c>
      <c r="B80" s="146" t="n">
        <f aca="false">TblConstr[[#This Row],[Land]]</f>
        <v>700</v>
      </c>
      <c r="C80" s="69" t="n">
        <f aca="false">TblProd[[#This Row],[Mana]]</f>
        <v>4818.5</v>
      </c>
      <c r="D80" s="149" t="n">
        <f aca="false">MIN(1,OFFSET(TblMagic[[#This Row],[Wiz str]],-1,0)+0.04+ROUNDDOWN(10*OFFSET(TblMili[[#This Row],[WG''s]],-1,0),0)+ tech_2_7*OFFSET(TblTech[[#This Row],[2-7]],-1,0) + tech_5_6*OFFSET(TblTech[[#This Row],[5-6]],-1,0) )-TblMagic[[#This Row],[Wiz str cost]]</f>
        <v>1</v>
      </c>
      <c r="E80" s="153" t="n">
        <f aca="false">OFFSET(TblMagic[[#This Row],[Time]],-1,0)+1/24</f>
        <v>45432.9166666667</v>
      </c>
      <c r="F80" s="149" t="n">
        <f aca="false">TblImps[[#This Row],[Population]]</f>
        <v>1</v>
      </c>
      <c r="G80" s="248"/>
      <c r="H80" s="248"/>
      <c r="I80" s="248"/>
      <c r="J80" s="248"/>
      <c r="K80" s="312"/>
      <c r="L80" s="248"/>
      <c r="M80" s="248"/>
      <c r="N80" s="248"/>
      <c r="O80" s="248"/>
      <c r="P80" s="248"/>
      <c r="Q80" s="248"/>
      <c r="R80" s="248"/>
      <c r="S80" s="248"/>
      <c r="T80" s="248"/>
      <c r="U80" s="248"/>
      <c r="V80" s="248"/>
      <c r="W80" s="132"/>
      <c r="X8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49" t="n">
        <f aca="false">SUMIF(TblMagic[[#This Row],[Gaia''s Watch]:[Useless spell]],1)*0.05</f>
        <v>0</v>
      </c>
      <c r="Z80" s="132"/>
      <c r="AA80" s="26" t="n">
        <f aca="false">IF(TblMagic[[#This Row],[Gaia''s Watch]],12,IF(OFFSET(TblMagic[[#This Row],[Active Gaia''s Watch]],-1,0)&gt;0,OFFSET(TblMagic[[#This Row],[Active Gaia''s Watch]],-1,0)-1,0))</f>
        <v>0</v>
      </c>
      <c r="AB80" s="26" t="n">
        <f aca="false">IF(TblMagic[[#This Row],[Mining Strength]],12,IF(OFFSET(TblMagic[[#This Row],[Active Mining Strength]],-1,0)&gt;0,OFFSET(TblMagic[[#This Row],[Active Mining Strength]],-1,0)-1,0))</f>
        <v>0</v>
      </c>
      <c r="AC80" s="26" t="n">
        <f aca="false">IF(TblMagic[[#This Row],[Ares Call]],12,IF(OFFSET(TblMagic[[#This Row],[Active Ares Call]],-1,0)&gt;0,OFFSET(TblMagic[[#This Row],[Active Ares Call]],-1,0)-1,0))</f>
        <v>8</v>
      </c>
      <c r="AD80" s="26" t="n">
        <f aca="false">IF(TblMagic[[#This Row],[Midas Touch]],12,IF(OFFSET(TblMagic[[#This Row],[Active Midas Touch]],-1,0)&gt;0,OFFSET(TblMagic[[#This Row],[Active Midas Touch]],-1,0)-1,0))</f>
        <v>8</v>
      </c>
      <c r="AE80" s="26" t="n">
        <f aca="false">IF(TblMagic[[#This Row],[Harmony]],12,IF(OFFSET(TblMagic[[#This Row],[Active Harmony]],-1,0)&gt;0,OFFSET(TblMagic[[#This Row],[Active Harmony]],-1,0)-1,0))</f>
        <v>0</v>
      </c>
      <c r="AF80" s="26" t="n">
        <f aca="false">IF(TblMagic[[#This Row],[Miner''s Sight]],12,IF(OFFSET(TblMagic[[#This Row],[Active Miner''s Sight]],-1,0)&gt;0,OFFSET(TblMagic[[#This Row],[Active Miner''s Sight]],-1,0)-1,0))</f>
        <v>0</v>
      </c>
      <c r="AG80" s="26" t="n">
        <f aca="false">IF(TblMagic[[#This Row],[Mechanical Genius]],12,IF(OFFSET(TblMagic[[#This Row],[Active Mechanical Genius]],-1,0)&gt;0,OFFSET(TblMagic[[#This Row],[Active Mechanical Genius]],-1,0)-1,0))</f>
        <v>0</v>
      </c>
      <c r="AH80" s="26" t="n">
        <f aca="false">IF(TblMagic[[#This Row],[Frenzy]],12,IF(OFFSET(TblMagic[[#This Row],[Active Frenzy]],-1,0)&gt;0,OFFSET(TblMagic[[#This Row],[Active Frenzy]],-1,0)-1,0))</f>
        <v>0</v>
      </c>
      <c r="AI80" s="26" t="n">
        <f aca="false">IF(TblMagic[[#This Row],[Killing Rage / Bloodrage / Crusade]],12,IF(OFFSET(TblMagic[[#This Row],[Active Warsong / Killing Rage / Bloodrage]],-1,0)&gt;0,OFFSET(TblMagic[[#This Row],[Active Warsong / Killing Rage / Bloodrage]],-1,0)-1,0))</f>
        <v>0</v>
      </c>
      <c r="AJ80" s="26" t="n">
        <f aca="false">IF(TblMagic[[#This Row],[Gaia''s Blessing]],12,IF(OFFSET(TblMagic[[#This Row],[Active Gaia''s Blessing]],-1,0)&gt;0,OFFSET(TblMagic[[#This Row],[Active Gaia''s Blessing]],-1,0)-1,0))</f>
        <v>0</v>
      </c>
      <c r="AK80" s="26" t="n">
        <f aca="false">IF(TblMagic[[#This Row],[Howling]],12,IF(OFFSET(TblMagic[[#This Row],[Active Howling]],-1,0)&gt;0,OFFSET(TblMagic[[#This Row],[Active Howling]],-1,0)-1,0))</f>
        <v>0</v>
      </c>
      <c r="AL80" s="26" t="n">
        <f aca="false">IF(TblMagic[[#This Row],[Alchemist Frost]],12,IF(OFFSET(TblMagic[[#This Row],[Active Alch Frost]],-1,0)&gt;0,OFFSET(TblMagic[[#This Row],[Active Alch Frost]],-1,0)-1,0))</f>
        <v>0</v>
      </c>
      <c r="AM80" s="26" t="n">
        <f aca="false">IF(TblMagic[[#This Row],[Alchemists Flame]],12,IF(OFFSET(TblMagic[[#This Row],[Active Alchemists Flame]],-1,0)&gt;0,OFFSET(TblMagic[[#This Row],[Active Alchemists Flame]],-1,0)-1,0))</f>
        <v>8</v>
      </c>
      <c r="AN80" s="26" t="n">
        <f aca="false">IF(TblMagic[[#This Row],[Nightfall]],12,IF(OFFSET(TblMagic[[#This Row],[Active Nightfall]],-1,0)&gt;0,OFFSET(TblMagic[[#This Row],[Active Nightfall]],-1,0)-1,0))</f>
        <v>0</v>
      </c>
      <c r="AO80" s="26" t="n">
        <f aca="false">IF(TblMagic[[#This Row],[Favorable Terrain]],12,IF(OFFSET(TblMagic[[#This Row],[Active Favorable Terrain]],-1,0)&gt;0,OFFSET(TblMagic[[#This Row],[Active Favorable Terrain]],-1,0)-1,0))</f>
        <v>0</v>
      </c>
    </row>
    <row r="81" customFormat="false" ht="12.75" hidden="false" customHeight="false" outlineLevel="0" collapsed="false">
      <c r="A81" s="128" t="n">
        <f aca="false">TblRezone[[#This Row],[Hour]]</f>
        <v>78</v>
      </c>
      <c r="B81" s="146" t="n">
        <f aca="false">TblConstr[[#This Row],[Land]]</f>
        <v>700</v>
      </c>
      <c r="C81" s="69" t="n">
        <f aca="false">TblProd[[#This Row],[Mana]]</f>
        <v>5447.5</v>
      </c>
      <c r="D81" s="149" t="n">
        <f aca="false">MIN(1,OFFSET(TblMagic[[#This Row],[Wiz str]],-1,0)+0.04+ROUNDDOWN(10*OFFSET(TblMili[[#This Row],[WG''s]],-1,0),0)+ tech_2_7*OFFSET(TblTech[[#This Row],[2-7]],-1,0) + tech_5_6*OFFSET(TblTech[[#This Row],[5-6]],-1,0) )-TblMagic[[#This Row],[Wiz str cost]]</f>
        <v>1</v>
      </c>
      <c r="E81" s="153" t="n">
        <f aca="false">OFFSET(TblMagic[[#This Row],[Time]],-1,0)+1/24</f>
        <v>45432.9583333333</v>
      </c>
      <c r="F81" s="149" t="n">
        <f aca="false">TblImps[[#This Row],[Population]]</f>
        <v>1</v>
      </c>
      <c r="G81" s="248"/>
      <c r="H81" s="248"/>
      <c r="I81" s="248"/>
      <c r="J81" s="248"/>
      <c r="K81" s="312"/>
      <c r="L81" s="248"/>
      <c r="M81" s="248"/>
      <c r="N81" s="248"/>
      <c r="O81" s="248"/>
      <c r="P81" s="248"/>
      <c r="Q81" s="248"/>
      <c r="R81" s="248"/>
      <c r="S81" s="248"/>
      <c r="T81" s="248"/>
      <c r="U81" s="248"/>
      <c r="V81" s="248"/>
      <c r="W81" s="132"/>
      <c r="X8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49" t="n">
        <f aca="false">SUMIF(TblMagic[[#This Row],[Gaia''s Watch]:[Useless spell]],1)*0.05</f>
        <v>0</v>
      </c>
      <c r="Z81" s="132"/>
      <c r="AA81" s="26" t="n">
        <f aca="false">IF(TblMagic[[#This Row],[Gaia''s Watch]],12,IF(OFFSET(TblMagic[[#This Row],[Active Gaia''s Watch]],-1,0)&gt;0,OFFSET(TblMagic[[#This Row],[Active Gaia''s Watch]],-1,0)-1,0))</f>
        <v>0</v>
      </c>
      <c r="AB81" s="26" t="n">
        <f aca="false">IF(TblMagic[[#This Row],[Mining Strength]],12,IF(OFFSET(TblMagic[[#This Row],[Active Mining Strength]],-1,0)&gt;0,OFFSET(TblMagic[[#This Row],[Active Mining Strength]],-1,0)-1,0))</f>
        <v>0</v>
      </c>
      <c r="AC81" s="26" t="n">
        <f aca="false">IF(TblMagic[[#This Row],[Ares Call]],12,IF(OFFSET(TblMagic[[#This Row],[Active Ares Call]],-1,0)&gt;0,OFFSET(TblMagic[[#This Row],[Active Ares Call]],-1,0)-1,0))</f>
        <v>7</v>
      </c>
      <c r="AD81" s="26" t="n">
        <f aca="false">IF(TblMagic[[#This Row],[Midas Touch]],12,IF(OFFSET(TblMagic[[#This Row],[Active Midas Touch]],-1,0)&gt;0,OFFSET(TblMagic[[#This Row],[Active Midas Touch]],-1,0)-1,0))</f>
        <v>7</v>
      </c>
      <c r="AE81" s="26" t="n">
        <f aca="false">IF(TblMagic[[#This Row],[Harmony]],12,IF(OFFSET(TblMagic[[#This Row],[Active Harmony]],-1,0)&gt;0,OFFSET(TblMagic[[#This Row],[Active Harmony]],-1,0)-1,0))</f>
        <v>0</v>
      </c>
      <c r="AF81" s="26" t="n">
        <f aca="false">IF(TblMagic[[#This Row],[Miner''s Sight]],12,IF(OFFSET(TblMagic[[#This Row],[Active Miner''s Sight]],-1,0)&gt;0,OFFSET(TblMagic[[#This Row],[Active Miner''s Sight]],-1,0)-1,0))</f>
        <v>0</v>
      </c>
      <c r="AG81" s="26" t="n">
        <f aca="false">IF(TblMagic[[#This Row],[Mechanical Genius]],12,IF(OFFSET(TblMagic[[#This Row],[Active Mechanical Genius]],-1,0)&gt;0,OFFSET(TblMagic[[#This Row],[Active Mechanical Genius]],-1,0)-1,0))</f>
        <v>0</v>
      </c>
      <c r="AH81" s="26" t="n">
        <f aca="false">IF(TblMagic[[#This Row],[Frenzy]],12,IF(OFFSET(TblMagic[[#This Row],[Active Frenzy]],-1,0)&gt;0,OFFSET(TblMagic[[#This Row],[Active Frenzy]],-1,0)-1,0))</f>
        <v>0</v>
      </c>
      <c r="AI81" s="26" t="n">
        <f aca="false">IF(TblMagic[[#This Row],[Killing Rage / Bloodrage / Crusade]],12,IF(OFFSET(TblMagic[[#This Row],[Active Warsong / Killing Rage / Bloodrage]],-1,0)&gt;0,OFFSET(TblMagic[[#This Row],[Active Warsong / Killing Rage / Bloodrage]],-1,0)-1,0))</f>
        <v>0</v>
      </c>
      <c r="AJ81" s="26" t="n">
        <f aca="false">IF(TblMagic[[#This Row],[Gaia''s Blessing]],12,IF(OFFSET(TblMagic[[#This Row],[Active Gaia''s Blessing]],-1,0)&gt;0,OFFSET(TblMagic[[#This Row],[Active Gaia''s Blessing]],-1,0)-1,0))</f>
        <v>0</v>
      </c>
      <c r="AK81" s="26" t="n">
        <f aca="false">IF(TblMagic[[#This Row],[Howling]],12,IF(OFFSET(TblMagic[[#This Row],[Active Howling]],-1,0)&gt;0,OFFSET(TblMagic[[#This Row],[Active Howling]],-1,0)-1,0))</f>
        <v>0</v>
      </c>
      <c r="AL81" s="26" t="n">
        <f aca="false">IF(TblMagic[[#This Row],[Alchemist Frost]],12,IF(OFFSET(TblMagic[[#This Row],[Active Alch Frost]],-1,0)&gt;0,OFFSET(TblMagic[[#This Row],[Active Alch Frost]],-1,0)-1,0))</f>
        <v>0</v>
      </c>
      <c r="AM81" s="26" t="n">
        <f aca="false">IF(TblMagic[[#This Row],[Alchemists Flame]],12,IF(OFFSET(TblMagic[[#This Row],[Active Alchemists Flame]],-1,0)&gt;0,OFFSET(TblMagic[[#This Row],[Active Alchemists Flame]],-1,0)-1,0))</f>
        <v>7</v>
      </c>
      <c r="AN81" s="26" t="n">
        <f aca="false">IF(TblMagic[[#This Row],[Nightfall]],12,IF(OFFSET(TblMagic[[#This Row],[Active Nightfall]],-1,0)&gt;0,OFFSET(TblMagic[[#This Row],[Active Nightfall]],-1,0)-1,0))</f>
        <v>0</v>
      </c>
      <c r="AO81" s="26" t="n">
        <f aca="false">IF(TblMagic[[#This Row],[Favorable Terrain]],12,IF(OFFSET(TblMagic[[#This Row],[Active Favorable Terrain]],-1,0)&gt;0,OFFSET(TblMagic[[#This Row],[Active Favorable Terrain]],-1,0)-1,0))</f>
        <v>0</v>
      </c>
    </row>
    <row r="82" customFormat="false" ht="12.75" hidden="false" customHeight="false" outlineLevel="0" collapsed="false">
      <c r="A82" s="128" t="n">
        <f aca="false">TblRezone[[#This Row],[Hour]]</f>
        <v>79</v>
      </c>
      <c r="B82" s="146" t="n">
        <f aca="false">TblConstr[[#This Row],[Land]]</f>
        <v>700</v>
      </c>
      <c r="C82" s="69" t="n">
        <f aca="false">TblProd[[#This Row],[Mana]]</f>
        <v>6063.5</v>
      </c>
      <c r="D82" s="149" t="n">
        <f aca="false">MIN(1,OFFSET(TblMagic[[#This Row],[Wiz str]],-1,0)+0.04+ROUNDDOWN(10*OFFSET(TblMili[[#This Row],[WG''s]],-1,0),0)+ tech_2_7*OFFSET(TblTech[[#This Row],[2-7]],-1,0) + tech_5_6*OFFSET(TblTech[[#This Row],[5-6]],-1,0) )-TblMagic[[#This Row],[Wiz str cost]]</f>
        <v>1</v>
      </c>
      <c r="E82" s="153" t="n">
        <f aca="false">OFFSET(TblMagic[[#This Row],[Time]],-1,0)+1/24</f>
        <v>45433</v>
      </c>
      <c r="F82" s="149" t="n">
        <f aca="false">TblImps[[#This Row],[Population]]</f>
        <v>1</v>
      </c>
      <c r="G82" s="248"/>
      <c r="H82" s="248"/>
      <c r="I82" s="248"/>
      <c r="J82" s="248"/>
      <c r="K82" s="312"/>
      <c r="L82" s="248"/>
      <c r="M82" s="248"/>
      <c r="N82" s="248"/>
      <c r="O82" s="248"/>
      <c r="P82" s="248"/>
      <c r="Q82" s="248"/>
      <c r="R82" s="248"/>
      <c r="S82" s="248"/>
      <c r="T82" s="248"/>
      <c r="U82" s="248"/>
      <c r="V82" s="248"/>
      <c r="W82" s="132"/>
      <c r="X8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49" t="n">
        <f aca="false">SUMIF(TblMagic[[#This Row],[Gaia''s Watch]:[Useless spell]],1)*0.05</f>
        <v>0</v>
      </c>
      <c r="Z82" s="132"/>
      <c r="AA82" s="26" t="n">
        <f aca="false">IF(TblMagic[[#This Row],[Gaia''s Watch]],12,IF(OFFSET(TblMagic[[#This Row],[Active Gaia''s Watch]],-1,0)&gt;0,OFFSET(TblMagic[[#This Row],[Active Gaia''s Watch]],-1,0)-1,0))</f>
        <v>0</v>
      </c>
      <c r="AB82" s="26" t="n">
        <f aca="false">IF(TblMagic[[#This Row],[Mining Strength]],12,IF(OFFSET(TblMagic[[#This Row],[Active Mining Strength]],-1,0)&gt;0,OFFSET(TblMagic[[#This Row],[Active Mining Strength]],-1,0)-1,0))</f>
        <v>0</v>
      </c>
      <c r="AC82" s="26" t="n">
        <f aca="false">IF(TblMagic[[#This Row],[Ares Call]],12,IF(OFFSET(TblMagic[[#This Row],[Active Ares Call]],-1,0)&gt;0,OFFSET(TblMagic[[#This Row],[Active Ares Call]],-1,0)-1,0))</f>
        <v>6</v>
      </c>
      <c r="AD82" s="26" t="n">
        <f aca="false">IF(TblMagic[[#This Row],[Midas Touch]],12,IF(OFFSET(TblMagic[[#This Row],[Active Midas Touch]],-1,0)&gt;0,OFFSET(TblMagic[[#This Row],[Active Midas Touch]],-1,0)-1,0))</f>
        <v>6</v>
      </c>
      <c r="AE82" s="26" t="n">
        <f aca="false">IF(TblMagic[[#This Row],[Harmony]],12,IF(OFFSET(TblMagic[[#This Row],[Active Harmony]],-1,0)&gt;0,OFFSET(TblMagic[[#This Row],[Active Harmony]],-1,0)-1,0))</f>
        <v>0</v>
      </c>
      <c r="AF82" s="26" t="n">
        <f aca="false">IF(TblMagic[[#This Row],[Miner''s Sight]],12,IF(OFFSET(TblMagic[[#This Row],[Active Miner''s Sight]],-1,0)&gt;0,OFFSET(TblMagic[[#This Row],[Active Miner''s Sight]],-1,0)-1,0))</f>
        <v>0</v>
      </c>
      <c r="AG82" s="26" t="n">
        <f aca="false">IF(TblMagic[[#This Row],[Mechanical Genius]],12,IF(OFFSET(TblMagic[[#This Row],[Active Mechanical Genius]],-1,0)&gt;0,OFFSET(TblMagic[[#This Row],[Active Mechanical Genius]],-1,0)-1,0))</f>
        <v>0</v>
      </c>
      <c r="AH82" s="26" t="n">
        <f aca="false">IF(TblMagic[[#This Row],[Frenzy]],12,IF(OFFSET(TblMagic[[#This Row],[Active Frenzy]],-1,0)&gt;0,OFFSET(TblMagic[[#This Row],[Active Frenzy]],-1,0)-1,0))</f>
        <v>0</v>
      </c>
      <c r="AI82" s="26" t="n">
        <f aca="false">IF(TblMagic[[#This Row],[Killing Rage / Bloodrage / Crusade]],12,IF(OFFSET(TblMagic[[#This Row],[Active Warsong / Killing Rage / Bloodrage]],-1,0)&gt;0,OFFSET(TblMagic[[#This Row],[Active Warsong / Killing Rage / Bloodrage]],-1,0)-1,0))</f>
        <v>0</v>
      </c>
      <c r="AJ82" s="26" t="n">
        <f aca="false">IF(TblMagic[[#This Row],[Gaia''s Blessing]],12,IF(OFFSET(TblMagic[[#This Row],[Active Gaia''s Blessing]],-1,0)&gt;0,OFFSET(TblMagic[[#This Row],[Active Gaia''s Blessing]],-1,0)-1,0))</f>
        <v>0</v>
      </c>
      <c r="AK82" s="26" t="n">
        <f aca="false">IF(TblMagic[[#This Row],[Howling]],12,IF(OFFSET(TblMagic[[#This Row],[Active Howling]],-1,0)&gt;0,OFFSET(TblMagic[[#This Row],[Active Howling]],-1,0)-1,0))</f>
        <v>0</v>
      </c>
      <c r="AL82" s="26" t="n">
        <f aca="false">IF(TblMagic[[#This Row],[Alchemist Frost]],12,IF(OFFSET(TblMagic[[#This Row],[Active Alch Frost]],-1,0)&gt;0,OFFSET(TblMagic[[#This Row],[Active Alch Frost]],-1,0)-1,0))</f>
        <v>0</v>
      </c>
      <c r="AM82" s="26" t="n">
        <f aca="false">IF(TblMagic[[#This Row],[Alchemists Flame]],12,IF(OFFSET(TblMagic[[#This Row],[Active Alchemists Flame]],-1,0)&gt;0,OFFSET(TblMagic[[#This Row],[Active Alchemists Flame]],-1,0)-1,0))</f>
        <v>6</v>
      </c>
      <c r="AN82" s="26" t="n">
        <f aca="false">IF(TblMagic[[#This Row],[Nightfall]],12,IF(OFFSET(TblMagic[[#This Row],[Active Nightfall]],-1,0)&gt;0,OFFSET(TblMagic[[#This Row],[Active Nightfall]],-1,0)-1,0))</f>
        <v>0</v>
      </c>
      <c r="AO82" s="26" t="n">
        <f aca="false">IF(TblMagic[[#This Row],[Favorable Terrain]],12,IF(OFFSET(TblMagic[[#This Row],[Active Favorable Terrain]],-1,0)&gt;0,OFFSET(TblMagic[[#This Row],[Active Favorable Terrain]],-1,0)-1,0))</f>
        <v>0</v>
      </c>
    </row>
    <row r="83" customFormat="false" ht="12.75" hidden="false" customHeight="false" outlineLevel="0" collapsed="false">
      <c r="A83" s="128" t="n">
        <f aca="false">TblRezone[[#This Row],[Hour]]</f>
        <v>80</v>
      </c>
      <c r="B83" s="146" t="n">
        <f aca="false">TblConstr[[#This Row],[Land]]</f>
        <v>700</v>
      </c>
      <c r="C83" s="69" t="n">
        <f aca="false">TblProd[[#This Row],[Mana]]</f>
        <v>6667.5</v>
      </c>
      <c r="D83" s="149" t="n">
        <f aca="false">MIN(1,OFFSET(TblMagic[[#This Row],[Wiz str]],-1,0)+0.04+ROUNDDOWN(10*OFFSET(TblMili[[#This Row],[WG''s]],-1,0),0)+ tech_2_7*OFFSET(TblTech[[#This Row],[2-7]],-1,0) + tech_5_6*OFFSET(TblTech[[#This Row],[5-6]],-1,0) )-TblMagic[[#This Row],[Wiz str cost]]</f>
        <v>1</v>
      </c>
      <c r="E83" s="153" t="n">
        <f aca="false">OFFSET(TblMagic[[#This Row],[Time]],-1,0)+1/24</f>
        <v>45433.0416666667</v>
      </c>
      <c r="F83" s="149" t="n">
        <f aca="false">TblImps[[#This Row],[Population]]</f>
        <v>1</v>
      </c>
      <c r="G83" s="248"/>
      <c r="H83" s="248"/>
      <c r="I83" s="248"/>
      <c r="J83" s="248"/>
      <c r="K83" s="312"/>
      <c r="L83" s="248"/>
      <c r="M83" s="248"/>
      <c r="N83" s="248"/>
      <c r="O83" s="248"/>
      <c r="P83" s="248"/>
      <c r="Q83" s="248"/>
      <c r="R83" s="248"/>
      <c r="S83" s="248"/>
      <c r="T83" s="248"/>
      <c r="U83" s="248"/>
      <c r="V83" s="248"/>
      <c r="W83" s="132"/>
      <c r="X8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49" t="n">
        <f aca="false">SUMIF(TblMagic[[#This Row],[Gaia''s Watch]:[Useless spell]],1)*0.05</f>
        <v>0</v>
      </c>
      <c r="Z83" s="132"/>
      <c r="AA83" s="26" t="n">
        <f aca="false">IF(TblMagic[[#This Row],[Gaia''s Watch]],12,IF(OFFSET(TblMagic[[#This Row],[Active Gaia''s Watch]],-1,0)&gt;0,OFFSET(TblMagic[[#This Row],[Active Gaia''s Watch]],-1,0)-1,0))</f>
        <v>0</v>
      </c>
      <c r="AB83" s="26" t="n">
        <f aca="false">IF(TblMagic[[#This Row],[Mining Strength]],12,IF(OFFSET(TblMagic[[#This Row],[Active Mining Strength]],-1,0)&gt;0,OFFSET(TblMagic[[#This Row],[Active Mining Strength]],-1,0)-1,0))</f>
        <v>0</v>
      </c>
      <c r="AC83" s="26" t="n">
        <f aca="false">IF(TblMagic[[#This Row],[Ares Call]],12,IF(OFFSET(TblMagic[[#This Row],[Active Ares Call]],-1,0)&gt;0,OFFSET(TblMagic[[#This Row],[Active Ares Call]],-1,0)-1,0))</f>
        <v>5</v>
      </c>
      <c r="AD83" s="26" t="n">
        <f aca="false">IF(TblMagic[[#This Row],[Midas Touch]],12,IF(OFFSET(TblMagic[[#This Row],[Active Midas Touch]],-1,0)&gt;0,OFFSET(TblMagic[[#This Row],[Active Midas Touch]],-1,0)-1,0))</f>
        <v>5</v>
      </c>
      <c r="AE83" s="26" t="n">
        <f aca="false">IF(TblMagic[[#This Row],[Harmony]],12,IF(OFFSET(TblMagic[[#This Row],[Active Harmony]],-1,0)&gt;0,OFFSET(TblMagic[[#This Row],[Active Harmony]],-1,0)-1,0))</f>
        <v>0</v>
      </c>
      <c r="AF83" s="26" t="n">
        <f aca="false">IF(TblMagic[[#This Row],[Miner''s Sight]],12,IF(OFFSET(TblMagic[[#This Row],[Active Miner''s Sight]],-1,0)&gt;0,OFFSET(TblMagic[[#This Row],[Active Miner''s Sight]],-1,0)-1,0))</f>
        <v>0</v>
      </c>
      <c r="AG83" s="26" t="n">
        <f aca="false">IF(TblMagic[[#This Row],[Mechanical Genius]],12,IF(OFFSET(TblMagic[[#This Row],[Active Mechanical Genius]],-1,0)&gt;0,OFFSET(TblMagic[[#This Row],[Active Mechanical Genius]],-1,0)-1,0))</f>
        <v>0</v>
      </c>
      <c r="AH83" s="26" t="n">
        <f aca="false">IF(TblMagic[[#This Row],[Frenzy]],12,IF(OFFSET(TblMagic[[#This Row],[Active Frenzy]],-1,0)&gt;0,OFFSET(TblMagic[[#This Row],[Active Frenzy]],-1,0)-1,0))</f>
        <v>0</v>
      </c>
      <c r="AI83" s="26" t="n">
        <f aca="false">IF(TblMagic[[#This Row],[Killing Rage / Bloodrage / Crusade]],12,IF(OFFSET(TblMagic[[#This Row],[Active Warsong / Killing Rage / Bloodrage]],-1,0)&gt;0,OFFSET(TblMagic[[#This Row],[Active Warsong / Killing Rage / Bloodrage]],-1,0)-1,0))</f>
        <v>0</v>
      </c>
      <c r="AJ83" s="26" t="n">
        <f aca="false">IF(TblMagic[[#This Row],[Gaia''s Blessing]],12,IF(OFFSET(TblMagic[[#This Row],[Active Gaia''s Blessing]],-1,0)&gt;0,OFFSET(TblMagic[[#This Row],[Active Gaia''s Blessing]],-1,0)-1,0))</f>
        <v>0</v>
      </c>
      <c r="AK83" s="26" t="n">
        <f aca="false">IF(TblMagic[[#This Row],[Howling]],12,IF(OFFSET(TblMagic[[#This Row],[Active Howling]],-1,0)&gt;0,OFFSET(TblMagic[[#This Row],[Active Howling]],-1,0)-1,0))</f>
        <v>0</v>
      </c>
      <c r="AL83" s="26" t="n">
        <f aca="false">IF(TblMagic[[#This Row],[Alchemist Frost]],12,IF(OFFSET(TblMagic[[#This Row],[Active Alch Frost]],-1,0)&gt;0,OFFSET(TblMagic[[#This Row],[Active Alch Frost]],-1,0)-1,0))</f>
        <v>0</v>
      </c>
      <c r="AM83" s="26" t="n">
        <f aca="false">IF(TblMagic[[#This Row],[Alchemists Flame]],12,IF(OFFSET(TblMagic[[#This Row],[Active Alchemists Flame]],-1,0)&gt;0,OFFSET(TblMagic[[#This Row],[Active Alchemists Flame]],-1,0)-1,0))</f>
        <v>5</v>
      </c>
      <c r="AN83" s="26" t="n">
        <f aca="false">IF(TblMagic[[#This Row],[Nightfall]],12,IF(OFFSET(TblMagic[[#This Row],[Active Nightfall]],-1,0)&gt;0,OFFSET(TblMagic[[#This Row],[Active Nightfall]],-1,0)-1,0))</f>
        <v>0</v>
      </c>
      <c r="AO83" s="26" t="n">
        <f aca="false">IF(TblMagic[[#This Row],[Favorable Terrain]],12,IF(OFFSET(TblMagic[[#This Row],[Active Favorable Terrain]],-1,0)&gt;0,OFFSET(TblMagic[[#This Row],[Active Favorable Terrain]],-1,0)-1,0))</f>
        <v>0</v>
      </c>
    </row>
    <row r="84" customFormat="false" ht="12.75" hidden="false" customHeight="false" outlineLevel="0" collapsed="false">
      <c r="A84" s="128" t="n">
        <f aca="false">TblRezone[[#This Row],[Hour]]</f>
        <v>81</v>
      </c>
      <c r="B84" s="146" t="n">
        <f aca="false">TblConstr[[#This Row],[Land]]</f>
        <v>700</v>
      </c>
      <c r="C84" s="69" t="n">
        <f aca="false">TblProd[[#This Row],[Mana]]</f>
        <v>7259.5</v>
      </c>
      <c r="D84" s="149" t="n">
        <f aca="false">MIN(1,OFFSET(TblMagic[[#This Row],[Wiz str]],-1,0)+0.04+ROUNDDOWN(10*OFFSET(TblMili[[#This Row],[WG''s]],-1,0),0)+ tech_2_7*OFFSET(TblTech[[#This Row],[2-7]],-1,0) + tech_5_6*OFFSET(TblTech[[#This Row],[5-6]],-1,0) )-TblMagic[[#This Row],[Wiz str cost]]</f>
        <v>1</v>
      </c>
      <c r="E84" s="153" t="n">
        <f aca="false">OFFSET(TblMagic[[#This Row],[Time]],-1,0)+1/24</f>
        <v>45433.0833333333</v>
      </c>
      <c r="F84" s="149" t="n">
        <f aca="false">TblImps[[#This Row],[Population]]</f>
        <v>1</v>
      </c>
      <c r="G84" s="248"/>
      <c r="H84" s="248"/>
      <c r="I84" s="248"/>
      <c r="J84" s="248"/>
      <c r="K84" s="312"/>
      <c r="L84" s="248"/>
      <c r="M84" s="248"/>
      <c r="N84" s="248"/>
      <c r="O84" s="248"/>
      <c r="P84" s="248"/>
      <c r="Q84" s="248"/>
      <c r="R84" s="248"/>
      <c r="S84" s="248"/>
      <c r="T84" s="248"/>
      <c r="U84" s="248"/>
      <c r="V84" s="248"/>
      <c r="W84" s="132"/>
      <c r="X8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49" t="n">
        <f aca="false">SUMIF(TblMagic[[#This Row],[Gaia''s Watch]:[Useless spell]],1)*0.05</f>
        <v>0</v>
      </c>
      <c r="Z84" s="132"/>
      <c r="AA84" s="26" t="n">
        <f aca="false">IF(TblMagic[[#This Row],[Gaia''s Watch]],12,IF(OFFSET(TblMagic[[#This Row],[Active Gaia''s Watch]],-1,0)&gt;0,OFFSET(TblMagic[[#This Row],[Active Gaia''s Watch]],-1,0)-1,0))</f>
        <v>0</v>
      </c>
      <c r="AB84" s="26" t="n">
        <f aca="false">IF(TblMagic[[#This Row],[Mining Strength]],12,IF(OFFSET(TblMagic[[#This Row],[Active Mining Strength]],-1,0)&gt;0,OFFSET(TblMagic[[#This Row],[Active Mining Strength]],-1,0)-1,0))</f>
        <v>0</v>
      </c>
      <c r="AC84" s="26" t="n">
        <f aca="false">IF(TblMagic[[#This Row],[Ares Call]],12,IF(OFFSET(TblMagic[[#This Row],[Active Ares Call]],-1,0)&gt;0,OFFSET(TblMagic[[#This Row],[Active Ares Call]],-1,0)-1,0))</f>
        <v>4</v>
      </c>
      <c r="AD84" s="26" t="n">
        <f aca="false">IF(TblMagic[[#This Row],[Midas Touch]],12,IF(OFFSET(TblMagic[[#This Row],[Active Midas Touch]],-1,0)&gt;0,OFFSET(TblMagic[[#This Row],[Active Midas Touch]],-1,0)-1,0))</f>
        <v>4</v>
      </c>
      <c r="AE84" s="26" t="n">
        <f aca="false">IF(TblMagic[[#This Row],[Harmony]],12,IF(OFFSET(TblMagic[[#This Row],[Active Harmony]],-1,0)&gt;0,OFFSET(TblMagic[[#This Row],[Active Harmony]],-1,0)-1,0))</f>
        <v>0</v>
      </c>
      <c r="AF84" s="26" t="n">
        <f aca="false">IF(TblMagic[[#This Row],[Miner''s Sight]],12,IF(OFFSET(TblMagic[[#This Row],[Active Miner''s Sight]],-1,0)&gt;0,OFFSET(TblMagic[[#This Row],[Active Miner''s Sight]],-1,0)-1,0))</f>
        <v>0</v>
      </c>
      <c r="AG84" s="26" t="n">
        <f aca="false">IF(TblMagic[[#This Row],[Mechanical Genius]],12,IF(OFFSET(TblMagic[[#This Row],[Active Mechanical Genius]],-1,0)&gt;0,OFFSET(TblMagic[[#This Row],[Active Mechanical Genius]],-1,0)-1,0))</f>
        <v>0</v>
      </c>
      <c r="AH84" s="26" t="n">
        <f aca="false">IF(TblMagic[[#This Row],[Frenzy]],12,IF(OFFSET(TblMagic[[#This Row],[Active Frenzy]],-1,0)&gt;0,OFFSET(TblMagic[[#This Row],[Active Frenzy]],-1,0)-1,0))</f>
        <v>0</v>
      </c>
      <c r="AI84" s="26" t="n">
        <f aca="false">IF(TblMagic[[#This Row],[Killing Rage / Bloodrage / Crusade]],12,IF(OFFSET(TblMagic[[#This Row],[Active Warsong / Killing Rage / Bloodrage]],-1,0)&gt;0,OFFSET(TblMagic[[#This Row],[Active Warsong / Killing Rage / Bloodrage]],-1,0)-1,0))</f>
        <v>0</v>
      </c>
      <c r="AJ84" s="26" t="n">
        <f aca="false">IF(TblMagic[[#This Row],[Gaia''s Blessing]],12,IF(OFFSET(TblMagic[[#This Row],[Active Gaia''s Blessing]],-1,0)&gt;0,OFFSET(TblMagic[[#This Row],[Active Gaia''s Blessing]],-1,0)-1,0))</f>
        <v>0</v>
      </c>
      <c r="AK84" s="26" t="n">
        <f aca="false">IF(TblMagic[[#This Row],[Howling]],12,IF(OFFSET(TblMagic[[#This Row],[Active Howling]],-1,0)&gt;0,OFFSET(TblMagic[[#This Row],[Active Howling]],-1,0)-1,0))</f>
        <v>0</v>
      </c>
      <c r="AL84" s="26" t="n">
        <f aca="false">IF(TblMagic[[#This Row],[Alchemist Frost]],12,IF(OFFSET(TblMagic[[#This Row],[Active Alch Frost]],-1,0)&gt;0,OFFSET(TblMagic[[#This Row],[Active Alch Frost]],-1,0)-1,0))</f>
        <v>0</v>
      </c>
      <c r="AM84" s="26" t="n">
        <f aca="false">IF(TblMagic[[#This Row],[Alchemists Flame]],12,IF(OFFSET(TblMagic[[#This Row],[Active Alchemists Flame]],-1,0)&gt;0,OFFSET(TblMagic[[#This Row],[Active Alchemists Flame]],-1,0)-1,0))</f>
        <v>4</v>
      </c>
      <c r="AN84" s="26" t="n">
        <f aca="false">IF(TblMagic[[#This Row],[Nightfall]],12,IF(OFFSET(TblMagic[[#This Row],[Active Nightfall]],-1,0)&gt;0,OFFSET(TblMagic[[#This Row],[Active Nightfall]],-1,0)-1,0))</f>
        <v>0</v>
      </c>
      <c r="AO84" s="26" t="n">
        <f aca="false">IF(TblMagic[[#This Row],[Favorable Terrain]],12,IF(OFFSET(TblMagic[[#This Row],[Active Favorable Terrain]],-1,0)&gt;0,OFFSET(TblMagic[[#This Row],[Active Favorable Terrain]],-1,0)-1,0))</f>
        <v>0</v>
      </c>
    </row>
    <row r="85" customFormat="false" ht="12.75" hidden="false" customHeight="false" outlineLevel="0" collapsed="false">
      <c r="A85" s="128" t="n">
        <f aca="false">TblRezone[[#This Row],[Hour]]</f>
        <v>82</v>
      </c>
      <c r="B85" s="146" t="n">
        <f aca="false">TblConstr[[#This Row],[Land]]</f>
        <v>700</v>
      </c>
      <c r="C85" s="69" t="n">
        <f aca="false">TblProd[[#This Row],[Mana]]</f>
        <v>7839.5</v>
      </c>
      <c r="D85" s="149" t="n">
        <f aca="false">MIN(1,OFFSET(TblMagic[[#This Row],[Wiz str]],-1,0)+0.04+ROUNDDOWN(10*OFFSET(TblMili[[#This Row],[WG''s]],-1,0),0)+ tech_2_7*OFFSET(TblTech[[#This Row],[2-7]],-1,0) + tech_5_6*OFFSET(TblTech[[#This Row],[5-6]],-1,0) )-TblMagic[[#This Row],[Wiz str cost]]</f>
        <v>1</v>
      </c>
      <c r="E85" s="153" t="n">
        <f aca="false">OFFSET(TblMagic[[#This Row],[Time]],-1,0)+1/24</f>
        <v>45433.125</v>
      </c>
      <c r="F85" s="149" t="n">
        <f aca="false">TblImps[[#This Row],[Population]]</f>
        <v>1</v>
      </c>
      <c r="G85" s="248"/>
      <c r="H85" s="248"/>
      <c r="I85" s="248"/>
      <c r="J85" s="248"/>
      <c r="K85" s="312"/>
      <c r="L85" s="248"/>
      <c r="M85" s="248"/>
      <c r="N85" s="248"/>
      <c r="O85" s="248"/>
      <c r="P85" s="248"/>
      <c r="Q85" s="248"/>
      <c r="R85" s="248"/>
      <c r="S85" s="248"/>
      <c r="T85" s="248"/>
      <c r="U85" s="248"/>
      <c r="V85" s="248"/>
      <c r="W85" s="132"/>
      <c r="X8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49" t="n">
        <f aca="false">SUMIF(TblMagic[[#This Row],[Gaia''s Watch]:[Useless spell]],1)*0.05</f>
        <v>0</v>
      </c>
      <c r="Z85" s="132"/>
      <c r="AA85" s="26" t="n">
        <f aca="false">IF(TblMagic[[#This Row],[Gaia''s Watch]],12,IF(OFFSET(TblMagic[[#This Row],[Active Gaia''s Watch]],-1,0)&gt;0,OFFSET(TblMagic[[#This Row],[Active Gaia''s Watch]],-1,0)-1,0))</f>
        <v>0</v>
      </c>
      <c r="AB85" s="26" t="n">
        <f aca="false">IF(TblMagic[[#This Row],[Mining Strength]],12,IF(OFFSET(TblMagic[[#This Row],[Active Mining Strength]],-1,0)&gt;0,OFFSET(TblMagic[[#This Row],[Active Mining Strength]],-1,0)-1,0))</f>
        <v>0</v>
      </c>
      <c r="AC85" s="26" t="n">
        <f aca="false">IF(TblMagic[[#This Row],[Ares Call]],12,IF(OFFSET(TblMagic[[#This Row],[Active Ares Call]],-1,0)&gt;0,OFFSET(TblMagic[[#This Row],[Active Ares Call]],-1,0)-1,0))</f>
        <v>3</v>
      </c>
      <c r="AD85" s="26" t="n">
        <f aca="false">IF(TblMagic[[#This Row],[Midas Touch]],12,IF(OFFSET(TblMagic[[#This Row],[Active Midas Touch]],-1,0)&gt;0,OFFSET(TblMagic[[#This Row],[Active Midas Touch]],-1,0)-1,0))</f>
        <v>3</v>
      </c>
      <c r="AE85" s="26" t="n">
        <f aca="false">IF(TblMagic[[#This Row],[Harmony]],12,IF(OFFSET(TblMagic[[#This Row],[Active Harmony]],-1,0)&gt;0,OFFSET(TblMagic[[#This Row],[Active Harmony]],-1,0)-1,0))</f>
        <v>0</v>
      </c>
      <c r="AF85" s="26" t="n">
        <f aca="false">IF(TblMagic[[#This Row],[Miner''s Sight]],12,IF(OFFSET(TblMagic[[#This Row],[Active Miner''s Sight]],-1,0)&gt;0,OFFSET(TblMagic[[#This Row],[Active Miner''s Sight]],-1,0)-1,0))</f>
        <v>0</v>
      </c>
      <c r="AG85" s="26" t="n">
        <f aca="false">IF(TblMagic[[#This Row],[Mechanical Genius]],12,IF(OFFSET(TblMagic[[#This Row],[Active Mechanical Genius]],-1,0)&gt;0,OFFSET(TblMagic[[#This Row],[Active Mechanical Genius]],-1,0)-1,0))</f>
        <v>0</v>
      </c>
      <c r="AH85" s="26" t="n">
        <f aca="false">IF(TblMagic[[#This Row],[Frenzy]],12,IF(OFFSET(TblMagic[[#This Row],[Active Frenzy]],-1,0)&gt;0,OFFSET(TblMagic[[#This Row],[Active Frenzy]],-1,0)-1,0))</f>
        <v>0</v>
      </c>
      <c r="AI85" s="26" t="n">
        <f aca="false">IF(TblMagic[[#This Row],[Killing Rage / Bloodrage / Crusade]],12,IF(OFFSET(TblMagic[[#This Row],[Active Warsong / Killing Rage / Bloodrage]],-1,0)&gt;0,OFFSET(TblMagic[[#This Row],[Active Warsong / Killing Rage / Bloodrage]],-1,0)-1,0))</f>
        <v>0</v>
      </c>
      <c r="AJ85" s="26" t="n">
        <f aca="false">IF(TblMagic[[#This Row],[Gaia''s Blessing]],12,IF(OFFSET(TblMagic[[#This Row],[Active Gaia''s Blessing]],-1,0)&gt;0,OFFSET(TblMagic[[#This Row],[Active Gaia''s Blessing]],-1,0)-1,0))</f>
        <v>0</v>
      </c>
      <c r="AK85" s="26" t="n">
        <f aca="false">IF(TblMagic[[#This Row],[Howling]],12,IF(OFFSET(TblMagic[[#This Row],[Active Howling]],-1,0)&gt;0,OFFSET(TblMagic[[#This Row],[Active Howling]],-1,0)-1,0))</f>
        <v>0</v>
      </c>
      <c r="AL85" s="26" t="n">
        <f aca="false">IF(TblMagic[[#This Row],[Alchemist Frost]],12,IF(OFFSET(TblMagic[[#This Row],[Active Alch Frost]],-1,0)&gt;0,OFFSET(TblMagic[[#This Row],[Active Alch Frost]],-1,0)-1,0))</f>
        <v>0</v>
      </c>
      <c r="AM85" s="26" t="n">
        <f aca="false">IF(TblMagic[[#This Row],[Alchemists Flame]],12,IF(OFFSET(TblMagic[[#This Row],[Active Alchemists Flame]],-1,0)&gt;0,OFFSET(TblMagic[[#This Row],[Active Alchemists Flame]],-1,0)-1,0))</f>
        <v>3</v>
      </c>
      <c r="AN85" s="26" t="n">
        <f aca="false">IF(TblMagic[[#This Row],[Nightfall]],12,IF(OFFSET(TblMagic[[#This Row],[Active Nightfall]],-1,0)&gt;0,OFFSET(TblMagic[[#This Row],[Active Nightfall]],-1,0)-1,0))</f>
        <v>0</v>
      </c>
      <c r="AO85" s="26" t="n">
        <f aca="false">IF(TblMagic[[#This Row],[Favorable Terrain]],12,IF(OFFSET(TblMagic[[#This Row],[Active Favorable Terrain]],-1,0)&gt;0,OFFSET(TblMagic[[#This Row],[Active Favorable Terrain]],-1,0)-1,0))</f>
        <v>0</v>
      </c>
    </row>
    <row r="86" customFormat="false" ht="12.75" hidden="false" customHeight="false" outlineLevel="0" collapsed="false">
      <c r="A86" s="128" t="n">
        <f aca="false">TblRezone[[#This Row],[Hour]]</f>
        <v>83</v>
      </c>
      <c r="B86" s="146" t="n">
        <f aca="false">TblConstr[[#This Row],[Land]]</f>
        <v>700</v>
      </c>
      <c r="C86" s="69" t="n">
        <f aca="false">TblProd[[#This Row],[Mana]]</f>
        <v>8407.5</v>
      </c>
      <c r="D86" s="149" t="n">
        <f aca="false">MIN(1,OFFSET(TblMagic[[#This Row],[Wiz str]],-1,0)+0.04+ROUNDDOWN(10*OFFSET(TblMili[[#This Row],[WG''s]],-1,0),0)+ tech_2_7*OFFSET(TblTech[[#This Row],[2-7]],-1,0) + tech_5_6*OFFSET(TblTech[[#This Row],[5-6]],-1,0) )-TblMagic[[#This Row],[Wiz str cost]]</f>
        <v>1</v>
      </c>
      <c r="E86" s="153" t="n">
        <f aca="false">OFFSET(TblMagic[[#This Row],[Time]],-1,0)+1/24</f>
        <v>45433.1666666667</v>
      </c>
      <c r="F86" s="149" t="n">
        <f aca="false">TblImps[[#This Row],[Population]]</f>
        <v>1</v>
      </c>
      <c r="G86" s="248"/>
      <c r="H86" s="248"/>
      <c r="I86" s="248"/>
      <c r="J86" s="248"/>
      <c r="K86" s="312"/>
      <c r="L86" s="248"/>
      <c r="M86" s="248"/>
      <c r="N86" s="248"/>
      <c r="O86" s="248"/>
      <c r="P86" s="248"/>
      <c r="Q86" s="248"/>
      <c r="R86" s="248"/>
      <c r="S86" s="248"/>
      <c r="T86" s="248"/>
      <c r="U86" s="248"/>
      <c r="V86" s="248"/>
      <c r="W86" s="132"/>
      <c r="X8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49" t="n">
        <f aca="false">SUMIF(TblMagic[[#This Row],[Gaia''s Watch]:[Useless spell]],1)*0.05</f>
        <v>0</v>
      </c>
      <c r="Z86" s="132"/>
      <c r="AA86" s="26" t="n">
        <f aca="false">IF(TblMagic[[#This Row],[Gaia''s Watch]],12,IF(OFFSET(TblMagic[[#This Row],[Active Gaia''s Watch]],-1,0)&gt;0,OFFSET(TblMagic[[#This Row],[Active Gaia''s Watch]],-1,0)-1,0))</f>
        <v>0</v>
      </c>
      <c r="AB86" s="26" t="n">
        <f aca="false">IF(TblMagic[[#This Row],[Mining Strength]],12,IF(OFFSET(TblMagic[[#This Row],[Active Mining Strength]],-1,0)&gt;0,OFFSET(TblMagic[[#This Row],[Active Mining Strength]],-1,0)-1,0))</f>
        <v>0</v>
      </c>
      <c r="AC86" s="26" t="n">
        <f aca="false">IF(TblMagic[[#This Row],[Ares Call]],12,IF(OFFSET(TblMagic[[#This Row],[Active Ares Call]],-1,0)&gt;0,OFFSET(TblMagic[[#This Row],[Active Ares Call]],-1,0)-1,0))</f>
        <v>2</v>
      </c>
      <c r="AD86" s="26" t="n">
        <f aca="false">IF(TblMagic[[#This Row],[Midas Touch]],12,IF(OFFSET(TblMagic[[#This Row],[Active Midas Touch]],-1,0)&gt;0,OFFSET(TblMagic[[#This Row],[Active Midas Touch]],-1,0)-1,0))</f>
        <v>2</v>
      </c>
      <c r="AE86" s="26" t="n">
        <f aca="false">IF(TblMagic[[#This Row],[Harmony]],12,IF(OFFSET(TblMagic[[#This Row],[Active Harmony]],-1,0)&gt;0,OFFSET(TblMagic[[#This Row],[Active Harmony]],-1,0)-1,0))</f>
        <v>0</v>
      </c>
      <c r="AF86" s="26" t="n">
        <f aca="false">IF(TblMagic[[#This Row],[Miner''s Sight]],12,IF(OFFSET(TblMagic[[#This Row],[Active Miner''s Sight]],-1,0)&gt;0,OFFSET(TblMagic[[#This Row],[Active Miner''s Sight]],-1,0)-1,0))</f>
        <v>0</v>
      </c>
      <c r="AG86" s="26" t="n">
        <f aca="false">IF(TblMagic[[#This Row],[Mechanical Genius]],12,IF(OFFSET(TblMagic[[#This Row],[Active Mechanical Genius]],-1,0)&gt;0,OFFSET(TblMagic[[#This Row],[Active Mechanical Genius]],-1,0)-1,0))</f>
        <v>0</v>
      </c>
      <c r="AH86" s="26" t="n">
        <f aca="false">IF(TblMagic[[#This Row],[Frenzy]],12,IF(OFFSET(TblMagic[[#This Row],[Active Frenzy]],-1,0)&gt;0,OFFSET(TblMagic[[#This Row],[Active Frenzy]],-1,0)-1,0))</f>
        <v>0</v>
      </c>
      <c r="AI86" s="26" t="n">
        <f aca="false">IF(TblMagic[[#This Row],[Killing Rage / Bloodrage / Crusade]],12,IF(OFFSET(TblMagic[[#This Row],[Active Warsong / Killing Rage / Bloodrage]],-1,0)&gt;0,OFFSET(TblMagic[[#This Row],[Active Warsong / Killing Rage / Bloodrage]],-1,0)-1,0))</f>
        <v>0</v>
      </c>
      <c r="AJ86" s="26" t="n">
        <f aca="false">IF(TblMagic[[#This Row],[Gaia''s Blessing]],12,IF(OFFSET(TblMagic[[#This Row],[Active Gaia''s Blessing]],-1,0)&gt;0,OFFSET(TblMagic[[#This Row],[Active Gaia''s Blessing]],-1,0)-1,0))</f>
        <v>0</v>
      </c>
      <c r="AK86" s="26" t="n">
        <f aca="false">IF(TblMagic[[#This Row],[Howling]],12,IF(OFFSET(TblMagic[[#This Row],[Active Howling]],-1,0)&gt;0,OFFSET(TblMagic[[#This Row],[Active Howling]],-1,0)-1,0))</f>
        <v>0</v>
      </c>
      <c r="AL86" s="26" t="n">
        <f aca="false">IF(TblMagic[[#This Row],[Alchemist Frost]],12,IF(OFFSET(TblMagic[[#This Row],[Active Alch Frost]],-1,0)&gt;0,OFFSET(TblMagic[[#This Row],[Active Alch Frost]],-1,0)-1,0))</f>
        <v>0</v>
      </c>
      <c r="AM86" s="26" t="n">
        <f aca="false">IF(TblMagic[[#This Row],[Alchemists Flame]],12,IF(OFFSET(TblMagic[[#This Row],[Active Alchemists Flame]],-1,0)&gt;0,OFFSET(TblMagic[[#This Row],[Active Alchemists Flame]],-1,0)-1,0))</f>
        <v>2</v>
      </c>
      <c r="AN86" s="26" t="n">
        <f aca="false">IF(TblMagic[[#This Row],[Nightfall]],12,IF(OFFSET(TblMagic[[#This Row],[Active Nightfall]],-1,0)&gt;0,OFFSET(TblMagic[[#This Row],[Active Nightfall]],-1,0)-1,0))</f>
        <v>0</v>
      </c>
      <c r="AO86" s="26" t="n">
        <f aca="false">IF(TblMagic[[#This Row],[Favorable Terrain]],12,IF(OFFSET(TblMagic[[#This Row],[Active Favorable Terrain]],-1,0)&gt;0,OFFSET(TblMagic[[#This Row],[Active Favorable Terrain]],-1,0)-1,0))</f>
        <v>0</v>
      </c>
    </row>
    <row r="87" customFormat="false" ht="12.75" hidden="false" customHeight="false" outlineLevel="0" collapsed="false">
      <c r="A87" s="128" t="n">
        <f aca="false">TblRezone[[#This Row],[Hour]]</f>
        <v>84</v>
      </c>
      <c r="B87" s="146" t="n">
        <f aca="false">TblConstr[[#This Row],[Land]]</f>
        <v>700</v>
      </c>
      <c r="C87" s="69" t="n">
        <f aca="false">TblProd[[#This Row],[Mana]]</f>
        <v>8964.5</v>
      </c>
      <c r="D87" s="149" t="n">
        <f aca="false">MIN(1,OFFSET(TblMagic[[#This Row],[Wiz str]],-1,0)+0.04+ROUNDDOWN(10*OFFSET(TblMili[[#This Row],[WG''s]],-1,0),0)+ tech_2_7*OFFSET(TblTech[[#This Row],[2-7]],-1,0) + tech_5_6*OFFSET(TblTech[[#This Row],[5-6]],-1,0) )-TblMagic[[#This Row],[Wiz str cost]]</f>
        <v>1</v>
      </c>
      <c r="E87" s="153" t="n">
        <f aca="false">OFFSET(TblMagic[[#This Row],[Time]],-1,0)+1/24</f>
        <v>45433.2083333333</v>
      </c>
      <c r="F87" s="149" t="n">
        <f aca="false">TblImps[[#This Row],[Population]]</f>
        <v>1</v>
      </c>
      <c r="G87" s="248"/>
      <c r="H87" s="248"/>
      <c r="I87" s="248"/>
      <c r="J87" s="248"/>
      <c r="K87" s="312"/>
      <c r="L87" s="248"/>
      <c r="M87" s="248"/>
      <c r="N87" s="248"/>
      <c r="O87" s="248"/>
      <c r="P87" s="248"/>
      <c r="Q87" s="248"/>
      <c r="R87" s="248"/>
      <c r="S87" s="248"/>
      <c r="T87" s="248"/>
      <c r="U87" s="248"/>
      <c r="V87" s="248"/>
      <c r="W87" s="132"/>
      <c r="X8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49" t="n">
        <f aca="false">SUMIF(TblMagic[[#This Row],[Gaia''s Watch]:[Useless spell]],1)*0.05</f>
        <v>0</v>
      </c>
      <c r="Z87" s="132"/>
      <c r="AA87" s="26" t="n">
        <f aca="false">IF(TblMagic[[#This Row],[Gaia''s Watch]],12,IF(OFFSET(TblMagic[[#This Row],[Active Gaia''s Watch]],-1,0)&gt;0,OFFSET(TblMagic[[#This Row],[Active Gaia''s Watch]],-1,0)-1,0))</f>
        <v>0</v>
      </c>
      <c r="AB87" s="26" t="n">
        <f aca="false">IF(TblMagic[[#This Row],[Mining Strength]],12,IF(OFFSET(TblMagic[[#This Row],[Active Mining Strength]],-1,0)&gt;0,OFFSET(TblMagic[[#This Row],[Active Mining Strength]],-1,0)-1,0))</f>
        <v>0</v>
      </c>
      <c r="AC87" s="26" t="n">
        <f aca="false">IF(TblMagic[[#This Row],[Ares Call]],12,IF(OFFSET(TblMagic[[#This Row],[Active Ares Call]],-1,0)&gt;0,OFFSET(TblMagic[[#This Row],[Active Ares Call]],-1,0)-1,0))</f>
        <v>1</v>
      </c>
      <c r="AD87" s="26" t="n">
        <f aca="false">IF(TblMagic[[#This Row],[Midas Touch]],12,IF(OFFSET(TblMagic[[#This Row],[Active Midas Touch]],-1,0)&gt;0,OFFSET(TblMagic[[#This Row],[Active Midas Touch]],-1,0)-1,0))</f>
        <v>1</v>
      </c>
      <c r="AE87" s="26" t="n">
        <f aca="false">IF(TblMagic[[#This Row],[Harmony]],12,IF(OFFSET(TblMagic[[#This Row],[Active Harmony]],-1,0)&gt;0,OFFSET(TblMagic[[#This Row],[Active Harmony]],-1,0)-1,0))</f>
        <v>0</v>
      </c>
      <c r="AF87" s="26" t="n">
        <f aca="false">IF(TblMagic[[#This Row],[Miner''s Sight]],12,IF(OFFSET(TblMagic[[#This Row],[Active Miner''s Sight]],-1,0)&gt;0,OFFSET(TblMagic[[#This Row],[Active Miner''s Sight]],-1,0)-1,0))</f>
        <v>0</v>
      </c>
      <c r="AG87" s="26" t="n">
        <f aca="false">IF(TblMagic[[#This Row],[Mechanical Genius]],12,IF(OFFSET(TblMagic[[#This Row],[Active Mechanical Genius]],-1,0)&gt;0,OFFSET(TblMagic[[#This Row],[Active Mechanical Genius]],-1,0)-1,0))</f>
        <v>0</v>
      </c>
      <c r="AH87" s="26" t="n">
        <f aca="false">IF(TblMagic[[#This Row],[Frenzy]],12,IF(OFFSET(TblMagic[[#This Row],[Active Frenzy]],-1,0)&gt;0,OFFSET(TblMagic[[#This Row],[Active Frenzy]],-1,0)-1,0))</f>
        <v>0</v>
      </c>
      <c r="AI87" s="26" t="n">
        <f aca="false">IF(TblMagic[[#This Row],[Killing Rage / Bloodrage / Crusade]],12,IF(OFFSET(TblMagic[[#This Row],[Active Warsong / Killing Rage / Bloodrage]],-1,0)&gt;0,OFFSET(TblMagic[[#This Row],[Active Warsong / Killing Rage / Bloodrage]],-1,0)-1,0))</f>
        <v>0</v>
      </c>
      <c r="AJ87" s="26" t="n">
        <f aca="false">IF(TblMagic[[#This Row],[Gaia''s Blessing]],12,IF(OFFSET(TblMagic[[#This Row],[Active Gaia''s Blessing]],-1,0)&gt;0,OFFSET(TblMagic[[#This Row],[Active Gaia''s Blessing]],-1,0)-1,0))</f>
        <v>0</v>
      </c>
      <c r="AK87" s="26" t="n">
        <f aca="false">IF(TblMagic[[#This Row],[Howling]],12,IF(OFFSET(TblMagic[[#This Row],[Active Howling]],-1,0)&gt;0,OFFSET(TblMagic[[#This Row],[Active Howling]],-1,0)-1,0))</f>
        <v>0</v>
      </c>
      <c r="AL87" s="26" t="n">
        <f aca="false">IF(TblMagic[[#This Row],[Alchemist Frost]],12,IF(OFFSET(TblMagic[[#This Row],[Active Alch Frost]],-1,0)&gt;0,OFFSET(TblMagic[[#This Row],[Active Alch Frost]],-1,0)-1,0))</f>
        <v>0</v>
      </c>
      <c r="AM87" s="26" t="n">
        <f aca="false">IF(TblMagic[[#This Row],[Alchemists Flame]],12,IF(OFFSET(TblMagic[[#This Row],[Active Alchemists Flame]],-1,0)&gt;0,OFFSET(TblMagic[[#This Row],[Active Alchemists Flame]],-1,0)-1,0))</f>
        <v>1</v>
      </c>
      <c r="AN87" s="26" t="n">
        <f aca="false">IF(TblMagic[[#This Row],[Nightfall]],12,IF(OFFSET(TblMagic[[#This Row],[Active Nightfall]],-1,0)&gt;0,OFFSET(TblMagic[[#This Row],[Active Nightfall]],-1,0)-1,0))</f>
        <v>0</v>
      </c>
      <c r="AO87" s="26" t="n">
        <f aca="false">IF(TblMagic[[#This Row],[Favorable Terrain]],12,IF(OFFSET(TblMagic[[#This Row],[Active Favorable Terrain]],-1,0)&gt;0,OFFSET(TblMagic[[#This Row],[Active Favorable Terrain]],-1,0)-1,0))</f>
        <v>0</v>
      </c>
    </row>
    <row r="88" customFormat="false" ht="12.75" hidden="false" customHeight="false" outlineLevel="0" collapsed="false">
      <c r="A88" s="128" t="n">
        <f aca="false">TblRezone[[#This Row],[Hour]]</f>
        <v>85</v>
      </c>
      <c r="B88" s="146" t="n">
        <f aca="false">TblConstr[[#This Row],[Land]]</f>
        <v>700</v>
      </c>
      <c r="C88" s="69" t="n">
        <f aca="false">TblProd[[#This Row],[Mana]]</f>
        <v>2510.5</v>
      </c>
      <c r="D88" s="149" t="n">
        <f aca="false">MIN(1,OFFSET(TblMagic[[#This Row],[Wiz str]],-1,0)+0.04+ROUNDDOWN(10*OFFSET(TblMili[[#This Row],[WG''s]],-1,0),0)+ tech_2_7*OFFSET(TblTech[[#This Row],[2-7]],-1,0) + tech_5_6*OFFSET(TblTech[[#This Row],[5-6]],-1,0) )-TblMagic[[#This Row],[Wiz str cost]]</f>
        <v>0.85</v>
      </c>
      <c r="E88" s="153" t="n">
        <f aca="false">OFFSET(TblMagic[[#This Row],[Time]],-1,0)+1/24</f>
        <v>45433.25</v>
      </c>
      <c r="F88" s="149" t="n">
        <f aca="false">TblImps[[#This Row],[Population]]</f>
        <v>1</v>
      </c>
      <c r="G88" s="248"/>
      <c r="H88" s="248"/>
      <c r="I88" s="248" t="n">
        <v>1</v>
      </c>
      <c r="J88" s="248" t="n">
        <v>1</v>
      </c>
      <c r="K88" s="312"/>
      <c r="L88" s="248"/>
      <c r="M88" s="248"/>
      <c r="N88" s="248"/>
      <c r="O88" s="248"/>
      <c r="P88" s="248"/>
      <c r="Q88" s="248"/>
      <c r="R88" s="248"/>
      <c r="S88" s="248" t="n">
        <v>1</v>
      </c>
      <c r="T88" s="248"/>
      <c r="U88" s="248"/>
      <c r="V88" s="248"/>
      <c r="W88" s="132"/>
      <c r="X8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88" s="149" t="n">
        <f aca="false">SUMIF(TblMagic[[#This Row],[Gaia''s Watch]:[Useless spell]],1)*0.05</f>
        <v>0.15</v>
      </c>
      <c r="Z88" s="132"/>
      <c r="AA88" s="26" t="n">
        <f aca="false">IF(TblMagic[[#This Row],[Gaia''s Watch]],12,IF(OFFSET(TblMagic[[#This Row],[Active Gaia''s Watch]],-1,0)&gt;0,OFFSET(TblMagic[[#This Row],[Active Gaia''s Watch]],-1,0)-1,0))</f>
        <v>0</v>
      </c>
      <c r="AB88" s="26" t="n">
        <f aca="false">IF(TblMagic[[#This Row],[Mining Strength]],12,IF(OFFSET(TblMagic[[#This Row],[Active Mining Strength]],-1,0)&gt;0,OFFSET(TblMagic[[#This Row],[Active Mining Strength]],-1,0)-1,0))</f>
        <v>0</v>
      </c>
      <c r="AC88" s="26" t="n">
        <f aca="false">IF(TblMagic[[#This Row],[Ares Call]],12,IF(OFFSET(TblMagic[[#This Row],[Active Ares Call]],-1,0)&gt;0,OFFSET(TblMagic[[#This Row],[Active Ares Call]],-1,0)-1,0))</f>
        <v>12</v>
      </c>
      <c r="AD88" s="26" t="n">
        <f aca="false">IF(TblMagic[[#This Row],[Midas Touch]],12,IF(OFFSET(TblMagic[[#This Row],[Active Midas Touch]],-1,0)&gt;0,OFFSET(TblMagic[[#This Row],[Active Midas Touch]],-1,0)-1,0))</f>
        <v>12</v>
      </c>
      <c r="AE88" s="26" t="n">
        <f aca="false">IF(TblMagic[[#This Row],[Harmony]],12,IF(OFFSET(TblMagic[[#This Row],[Active Harmony]],-1,0)&gt;0,OFFSET(TblMagic[[#This Row],[Active Harmony]],-1,0)-1,0))</f>
        <v>0</v>
      </c>
      <c r="AF88" s="26" t="n">
        <f aca="false">IF(TblMagic[[#This Row],[Miner''s Sight]],12,IF(OFFSET(TblMagic[[#This Row],[Active Miner''s Sight]],-1,0)&gt;0,OFFSET(TblMagic[[#This Row],[Active Miner''s Sight]],-1,0)-1,0))</f>
        <v>0</v>
      </c>
      <c r="AG88" s="26" t="n">
        <f aca="false">IF(TblMagic[[#This Row],[Mechanical Genius]],12,IF(OFFSET(TblMagic[[#This Row],[Active Mechanical Genius]],-1,0)&gt;0,OFFSET(TblMagic[[#This Row],[Active Mechanical Genius]],-1,0)-1,0))</f>
        <v>0</v>
      </c>
      <c r="AH88" s="26" t="n">
        <f aca="false">IF(TblMagic[[#This Row],[Frenzy]],12,IF(OFFSET(TblMagic[[#This Row],[Active Frenzy]],-1,0)&gt;0,OFFSET(TblMagic[[#This Row],[Active Frenzy]],-1,0)-1,0))</f>
        <v>0</v>
      </c>
      <c r="AI88" s="26" t="n">
        <f aca="false">IF(TblMagic[[#This Row],[Killing Rage / Bloodrage / Crusade]],12,IF(OFFSET(TblMagic[[#This Row],[Active Warsong / Killing Rage / Bloodrage]],-1,0)&gt;0,OFFSET(TblMagic[[#This Row],[Active Warsong / Killing Rage / Bloodrage]],-1,0)-1,0))</f>
        <v>0</v>
      </c>
      <c r="AJ88" s="26" t="n">
        <f aca="false">IF(TblMagic[[#This Row],[Gaia''s Blessing]],12,IF(OFFSET(TblMagic[[#This Row],[Active Gaia''s Blessing]],-1,0)&gt;0,OFFSET(TblMagic[[#This Row],[Active Gaia''s Blessing]],-1,0)-1,0))</f>
        <v>0</v>
      </c>
      <c r="AK88" s="26" t="n">
        <f aca="false">IF(TblMagic[[#This Row],[Howling]],12,IF(OFFSET(TblMagic[[#This Row],[Active Howling]],-1,0)&gt;0,OFFSET(TblMagic[[#This Row],[Active Howling]],-1,0)-1,0))</f>
        <v>0</v>
      </c>
      <c r="AL88" s="26" t="n">
        <f aca="false">IF(TblMagic[[#This Row],[Alchemist Frost]],12,IF(OFFSET(TblMagic[[#This Row],[Active Alch Frost]],-1,0)&gt;0,OFFSET(TblMagic[[#This Row],[Active Alch Frost]],-1,0)-1,0))</f>
        <v>0</v>
      </c>
      <c r="AM88" s="26" t="n">
        <f aca="false">IF(TblMagic[[#This Row],[Alchemists Flame]],12,IF(OFFSET(TblMagic[[#This Row],[Active Alchemists Flame]],-1,0)&gt;0,OFFSET(TblMagic[[#This Row],[Active Alchemists Flame]],-1,0)-1,0))</f>
        <v>12</v>
      </c>
      <c r="AN88" s="26" t="n">
        <f aca="false">IF(TblMagic[[#This Row],[Nightfall]],12,IF(OFFSET(TblMagic[[#This Row],[Active Nightfall]],-1,0)&gt;0,OFFSET(TblMagic[[#This Row],[Active Nightfall]],-1,0)-1,0))</f>
        <v>0</v>
      </c>
      <c r="AO88" s="26" t="n">
        <f aca="false">IF(TblMagic[[#This Row],[Favorable Terrain]],12,IF(OFFSET(TblMagic[[#This Row],[Active Favorable Terrain]],-1,0)&gt;0,OFFSET(TblMagic[[#This Row],[Active Favorable Terrain]],-1,0)-1,0))</f>
        <v>0</v>
      </c>
    </row>
    <row r="89" customFormat="false" ht="12.75" hidden="false" customHeight="false" outlineLevel="0" collapsed="false">
      <c r="A89" s="128" t="n">
        <f aca="false">TblRezone[[#This Row],[Hour]]</f>
        <v>86</v>
      </c>
      <c r="B89" s="146" t="n">
        <f aca="false">TblConstr[[#This Row],[Land]]</f>
        <v>700</v>
      </c>
      <c r="C89" s="69" t="n">
        <f aca="false">TblProd[[#This Row],[Mana]]</f>
        <v>3185.5</v>
      </c>
      <c r="D89" s="149" t="n">
        <f aca="false">MIN(1,OFFSET(TblMagic[[#This Row],[Wiz str]],-1,0)+0.04+ROUNDDOWN(10*OFFSET(TblMili[[#This Row],[WG''s]],-1,0),0)+ tech_2_7*OFFSET(TblTech[[#This Row],[2-7]],-1,0) + tech_5_6*OFFSET(TblTech[[#This Row],[5-6]],-1,0) )-TblMagic[[#This Row],[Wiz str cost]]</f>
        <v>0.89</v>
      </c>
      <c r="E89" s="153" t="n">
        <f aca="false">OFFSET(TblMagic[[#This Row],[Time]],-1,0)+1/24</f>
        <v>45433.2916666667</v>
      </c>
      <c r="F89" s="149" t="n">
        <f aca="false">TblImps[[#This Row],[Population]]</f>
        <v>1</v>
      </c>
      <c r="G89" s="248"/>
      <c r="H89" s="248"/>
      <c r="I89" s="248"/>
      <c r="J89" s="248"/>
      <c r="K89" s="312"/>
      <c r="L89" s="248"/>
      <c r="M89" s="248"/>
      <c r="N89" s="248"/>
      <c r="O89" s="248"/>
      <c r="P89" s="248"/>
      <c r="Q89" s="248"/>
      <c r="R89" s="248"/>
      <c r="S89" s="248"/>
      <c r="T89" s="248"/>
      <c r="U89" s="248"/>
      <c r="V89" s="248"/>
      <c r="W89" s="132"/>
      <c r="X8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49" t="n">
        <f aca="false">SUMIF(TblMagic[[#This Row],[Gaia''s Watch]:[Useless spell]],1)*0.05</f>
        <v>0</v>
      </c>
      <c r="Z89" s="132"/>
      <c r="AA89" s="26" t="n">
        <f aca="false">IF(TblMagic[[#This Row],[Gaia''s Watch]],12,IF(OFFSET(TblMagic[[#This Row],[Active Gaia''s Watch]],-1,0)&gt;0,OFFSET(TblMagic[[#This Row],[Active Gaia''s Watch]],-1,0)-1,0))</f>
        <v>0</v>
      </c>
      <c r="AB89" s="26" t="n">
        <f aca="false">IF(TblMagic[[#This Row],[Mining Strength]],12,IF(OFFSET(TblMagic[[#This Row],[Active Mining Strength]],-1,0)&gt;0,OFFSET(TblMagic[[#This Row],[Active Mining Strength]],-1,0)-1,0))</f>
        <v>0</v>
      </c>
      <c r="AC89" s="26" t="n">
        <f aca="false">IF(TblMagic[[#This Row],[Ares Call]],12,IF(OFFSET(TblMagic[[#This Row],[Active Ares Call]],-1,0)&gt;0,OFFSET(TblMagic[[#This Row],[Active Ares Call]],-1,0)-1,0))</f>
        <v>11</v>
      </c>
      <c r="AD89" s="26" t="n">
        <f aca="false">IF(TblMagic[[#This Row],[Midas Touch]],12,IF(OFFSET(TblMagic[[#This Row],[Active Midas Touch]],-1,0)&gt;0,OFFSET(TblMagic[[#This Row],[Active Midas Touch]],-1,0)-1,0))</f>
        <v>11</v>
      </c>
      <c r="AE89" s="26" t="n">
        <f aca="false">IF(TblMagic[[#This Row],[Harmony]],12,IF(OFFSET(TblMagic[[#This Row],[Active Harmony]],-1,0)&gt;0,OFFSET(TblMagic[[#This Row],[Active Harmony]],-1,0)-1,0))</f>
        <v>0</v>
      </c>
      <c r="AF89" s="26" t="n">
        <f aca="false">IF(TblMagic[[#This Row],[Miner''s Sight]],12,IF(OFFSET(TblMagic[[#This Row],[Active Miner''s Sight]],-1,0)&gt;0,OFFSET(TblMagic[[#This Row],[Active Miner''s Sight]],-1,0)-1,0))</f>
        <v>0</v>
      </c>
      <c r="AG89" s="26" t="n">
        <f aca="false">IF(TblMagic[[#This Row],[Mechanical Genius]],12,IF(OFFSET(TblMagic[[#This Row],[Active Mechanical Genius]],-1,0)&gt;0,OFFSET(TblMagic[[#This Row],[Active Mechanical Genius]],-1,0)-1,0))</f>
        <v>0</v>
      </c>
      <c r="AH89" s="26" t="n">
        <f aca="false">IF(TblMagic[[#This Row],[Frenzy]],12,IF(OFFSET(TblMagic[[#This Row],[Active Frenzy]],-1,0)&gt;0,OFFSET(TblMagic[[#This Row],[Active Frenzy]],-1,0)-1,0))</f>
        <v>0</v>
      </c>
      <c r="AI89" s="26" t="n">
        <f aca="false">IF(TblMagic[[#This Row],[Killing Rage / Bloodrage / Crusade]],12,IF(OFFSET(TblMagic[[#This Row],[Active Warsong / Killing Rage / Bloodrage]],-1,0)&gt;0,OFFSET(TblMagic[[#This Row],[Active Warsong / Killing Rage / Bloodrage]],-1,0)-1,0))</f>
        <v>0</v>
      </c>
      <c r="AJ89" s="26" t="n">
        <f aca="false">IF(TblMagic[[#This Row],[Gaia''s Blessing]],12,IF(OFFSET(TblMagic[[#This Row],[Active Gaia''s Blessing]],-1,0)&gt;0,OFFSET(TblMagic[[#This Row],[Active Gaia''s Blessing]],-1,0)-1,0))</f>
        <v>0</v>
      </c>
      <c r="AK89" s="26" t="n">
        <f aca="false">IF(TblMagic[[#This Row],[Howling]],12,IF(OFFSET(TblMagic[[#This Row],[Active Howling]],-1,0)&gt;0,OFFSET(TblMagic[[#This Row],[Active Howling]],-1,0)-1,0))</f>
        <v>0</v>
      </c>
      <c r="AL89" s="26" t="n">
        <f aca="false">IF(TblMagic[[#This Row],[Alchemist Frost]],12,IF(OFFSET(TblMagic[[#This Row],[Active Alch Frost]],-1,0)&gt;0,OFFSET(TblMagic[[#This Row],[Active Alch Frost]],-1,0)-1,0))</f>
        <v>0</v>
      </c>
      <c r="AM89" s="26" t="n">
        <f aca="false">IF(TblMagic[[#This Row],[Alchemists Flame]],12,IF(OFFSET(TblMagic[[#This Row],[Active Alchemists Flame]],-1,0)&gt;0,OFFSET(TblMagic[[#This Row],[Active Alchemists Flame]],-1,0)-1,0))</f>
        <v>11</v>
      </c>
      <c r="AN89" s="26" t="n">
        <f aca="false">IF(TblMagic[[#This Row],[Nightfall]],12,IF(OFFSET(TblMagic[[#This Row],[Active Nightfall]],-1,0)&gt;0,OFFSET(TblMagic[[#This Row],[Active Nightfall]],-1,0)-1,0))</f>
        <v>0</v>
      </c>
      <c r="AO89" s="26" t="n">
        <f aca="false">IF(TblMagic[[#This Row],[Favorable Terrain]],12,IF(OFFSET(TblMagic[[#This Row],[Active Favorable Terrain]],-1,0)&gt;0,OFFSET(TblMagic[[#This Row],[Active Favorable Terrain]],-1,0)-1,0))</f>
        <v>0</v>
      </c>
    </row>
    <row r="90" customFormat="false" ht="12.75" hidden="false" customHeight="false" outlineLevel="0" collapsed="false">
      <c r="A90" s="128" t="n">
        <f aca="false">TblRezone[[#This Row],[Hour]]</f>
        <v>87</v>
      </c>
      <c r="B90" s="146" t="n">
        <f aca="false">TblConstr[[#This Row],[Land]]</f>
        <v>700</v>
      </c>
      <c r="C90" s="69" t="n">
        <f aca="false">TblProd[[#This Row],[Mana]]</f>
        <v>3846.5</v>
      </c>
      <c r="D90" s="149" t="n">
        <f aca="false">MIN(1,OFFSET(TblMagic[[#This Row],[Wiz str]],-1,0)+0.04+ROUNDDOWN(10*OFFSET(TblMili[[#This Row],[WG''s]],-1,0),0)+ tech_2_7*OFFSET(TblTech[[#This Row],[2-7]],-1,0) + tech_5_6*OFFSET(TblTech[[#This Row],[5-6]],-1,0) )-TblMagic[[#This Row],[Wiz str cost]]</f>
        <v>0.93</v>
      </c>
      <c r="E90" s="153" t="n">
        <f aca="false">OFFSET(TblMagic[[#This Row],[Time]],-1,0)+1/24</f>
        <v>45433.3333333333</v>
      </c>
      <c r="F90" s="149" t="n">
        <f aca="false">TblImps[[#This Row],[Population]]</f>
        <v>1</v>
      </c>
      <c r="G90" s="248"/>
      <c r="H90" s="248"/>
      <c r="I90" s="248"/>
      <c r="J90" s="248"/>
      <c r="K90" s="312"/>
      <c r="L90" s="248"/>
      <c r="M90" s="248"/>
      <c r="N90" s="248"/>
      <c r="O90" s="248"/>
      <c r="P90" s="248"/>
      <c r="Q90" s="248"/>
      <c r="R90" s="248"/>
      <c r="S90" s="248"/>
      <c r="T90" s="248"/>
      <c r="U90" s="248"/>
      <c r="V90" s="248"/>
      <c r="W90" s="132"/>
      <c r="X9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49" t="n">
        <f aca="false">SUMIF(TblMagic[[#This Row],[Gaia''s Watch]:[Useless spell]],1)*0.05</f>
        <v>0</v>
      </c>
      <c r="Z90" s="132"/>
      <c r="AA90" s="26" t="n">
        <f aca="false">IF(TblMagic[[#This Row],[Gaia''s Watch]],12,IF(OFFSET(TblMagic[[#This Row],[Active Gaia''s Watch]],-1,0)&gt;0,OFFSET(TblMagic[[#This Row],[Active Gaia''s Watch]],-1,0)-1,0))</f>
        <v>0</v>
      </c>
      <c r="AB90" s="26" t="n">
        <f aca="false">IF(TblMagic[[#This Row],[Mining Strength]],12,IF(OFFSET(TblMagic[[#This Row],[Active Mining Strength]],-1,0)&gt;0,OFFSET(TblMagic[[#This Row],[Active Mining Strength]],-1,0)-1,0))</f>
        <v>0</v>
      </c>
      <c r="AC90" s="26" t="n">
        <f aca="false">IF(TblMagic[[#This Row],[Ares Call]],12,IF(OFFSET(TblMagic[[#This Row],[Active Ares Call]],-1,0)&gt;0,OFFSET(TblMagic[[#This Row],[Active Ares Call]],-1,0)-1,0))</f>
        <v>10</v>
      </c>
      <c r="AD90" s="26" t="n">
        <f aca="false">IF(TblMagic[[#This Row],[Midas Touch]],12,IF(OFFSET(TblMagic[[#This Row],[Active Midas Touch]],-1,0)&gt;0,OFFSET(TblMagic[[#This Row],[Active Midas Touch]],-1,0)-1,0))</f>
        <v>10</v>
      </c>
      <c r="AE90" s="26" t="n">
        <f aca="false">IF(TblMagic[[#This Row],[Harmony]],12,IF(OFFSET(TblMagic[[#This Row],[Active Harmony]],-1,0)&gt;0,OFFSET(TblMagic[[#This Row],[Active Harmony]],-1,0)-1,0))</f>
        <v>0</v>
      </c>
      <c r="AF90" s="26" t="n">
        <f aca="false">IF(TblMagic[[#This Row],[Miner''s Sight]],12,IF(OFFSET(TblMagic[[#This Row],[Active Miner''s Sight]],-1,0)&gt;0,OFFSET(TblMagic[[#This Row],[Active Miner''s Sight]],-1,0)-1,0))</f>
        <v>0</v>
      </c>
      <c r="AG90" s="26" t="n">
        <f aca="false">IF(TblMagic[[#This Row],[Mechanical Genius]],12,IF(OFFSET(TblMagic[[#This Row],[Active Mechanical Genius]],-1,0)&gt;0,OFFSET(TblMagic[[#This Row],[Active Mechanical Genius]],-1,0)-1,0))</f>
        <v>0</v>
      </c>
      <c r="AH90" s="26" t="n">
        <f aca="false">IF(TblMagic[[#This Row],[Frenzy]],12,IF(OFFSET(TblMagic[[#This Row],[Active Frenzy]],-1,0)&gt;0,OFFSET(TblMagic[[#This Row],[Active Frenzy]],-1,0)-1,0))</f>
        <v>0</v>
      </c>
      <c r="AI90" s="26" t="n">
        <f aca="false">IF(TblMagic[[#This Row],[Killing Rage / Bloodrage / Crusade]],12,IF(OFFSET(TblMagic[[#This Row],[Active Warsong / Killing Rage / Bloodrage]],-1,0)&gt;0,OFFSET(TblMagic[[#This Row],[Active Warsong / Killing Rage / Bloodrage]],-1,0)-1,0))</f>
        <v>0</v>
      </c>
      <c r="AJ90" s="26" t="n">
        <f aca="false">IF(TblMagic[[#This Row],[Gaia''s Blessing]],12,IF(OFFSET(TblMagic[[#This Row],[Active Gaia''s Blessing]],-1,0)&gt;0,OFFSET(TblMagic[[#This Row],[Active Gaia''s Blessing]],-1,0)-1,0))</f>
        <v>0</v>
      </c>
      <c r="AK90" s="26" t="n">
        <f aca="false">IF(TblMagic[[#This Row],[Howling]],12,IF(OFFSET(TblMagic[[#This Row],[Active Howling]],-1,0)&gt;0,OFFSET(TblMagic[[#This Row],[Active Howling]],-1,0)-1,0))</f>
        <v>0</v>
      </c>
      <c r="AL90" s="26" t="n">
        <f aca="false">IF(TblMagic[[#This Row],[Alchemist Frost]],12,IF(OFFSET(TblMagic[[#This Row],[Active Alch Frost]],-1,0)&gt;0,OFFSET(TblMagic[[#This Row],[Active Alch Frost]],-1,0)-1,0))</f>
        <v>0</v>
      </c>
      <c r="AM90" s="26" t="n">
        <f aca="false">IF(TblMagic[[#This Row],[Alchemists Flame]],12,IF(OFFSET(TblMagic[[#This Row],[Active Alchemists Flame]],-1,0)&gt;0,OFFSET(TblMagic[[#This Row],[Active Alchemists Flame]],-1,0)-1,0))</f>
        <v>10</v>
      </c>
      <c r="AN90" s="26" t="n">
        <f aca="false">IF(TblMagic[[#This Row],[Nightfall]],12,IF(OFFSET(TblMagic[[#This Row],[Active Nightfall]],-1,0)&gt;0,OFFSET(TblMagic[[#This Row],[Active Nightfall]],-1,0)-1,0))</f>
        <v>0</v>
      </c>
      <c r="AO90" s="26" t="n">
        <f aca="false">IF(TblMagic[[#This Row],[Favorable Terrain]],12,IF(OFFSET(TblMagic[[#This Row],[Active Favorable Terrain]],-1,0)&gt;0,OFFSET(TblMagic[[#This Row],[Active Favorable Terrain]],-1,0)-1,0))</f>
        <v>0</v>
      </c>
    </row>
    <row r="91" customFormat="false" ht="12.75" hidden="false" customHeight="false" outlineLevel="0" collapsed="false">
      <c r="A91" s="128" t="n">
        <f aca="false">TblRezone[[#This Row],[Hour]]</f>
        <v>88</v>
      </c>
      <c r="B91" s="146" t="n">
        <f aca="false">TblConstr[[#This Row],[Land]]</f>
        <v>700</v>
      </c>
      <c r="C91" s="69" t="n">
        <f aca="false">TblProd[[#This Row],[Mana]]</f>
        <v>4494.5</v>
      </c>
      <c r="D91" s="149" t="n">
        <f aca="false">MIN(1,OFFSET(TblMagic[[#This Row],[Wiz str]],-1,0)+0.04+ROUNDDOWN(10*OFFSET(TblMili[[#This Row],[WG''s]],-1,0),0)+ tech_2_7*OFFSET(TblTech[[#This Row],[2-7]],-1,0) + tech_5_6*OFFSET(TblTech[[#This Row],[5-6]],-1,0) )-TblMagic[[#This Row],[Wiz str cost]]</f>
        <v>0.97</v>
      </c>
      <c r="E91" s="153" t="n">
        <f aca="false">OFFSET(TblMagic[[#This Row],[Time]],-1,0)+1/24</f>
        <v>45433.375</v>
      </c>
      <c r="F91" s="149" t="n">
        <f aca="false">TblImps[[#This Row],[Population]]</f>
        <v>1</v>
      </c>
      <c r="G91" s="248"/>
      <c r="H91" s="248"/>
      <c r="I91" s="248"/>
      <c r="J91" s="248"/>
      <c r="K91" s="312"/>
      <c r="L91" s="248"/>
      <c r="M91" s="248"/>
      <c r="N91" s="248"/>
      <c r="O91" s="248"/>
      <c r="P91" s="248"/>
      <c r="Q91" s="248"/>
      <c r="R91" s="248"/>
      <c r="S91" s="248"/>
      <c r="T91" s="248"/>
      <c r="U91" s="248"/>
      <c r="V91" s="248"/>
      <c r="W91" s="132"/>
      <c r="X9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49" t="n">
        <f aca="false">SUMIF(TblMagic[[#This Row],[Gaia''s Watch]:[Useless spell]],1)*0.05</f>
        <v>0</v>
      </c>
      <c r="Z91" s="132"/>
      <c r="AA91" s="26" t="n">
        <f aca="false">IF(TblMagic[[#This Row],[Gaia''s Watch]],12,IF(OFFSET(TblMagic[[#This Row],[Active Gaia''s Watch]],-1,0)&gt;0,OFFSET(TblMagic[[#This Row],[Active Gaia''s Watch]],-1,0)-1,0))</f>
        <v>0</v>
      </c>
      <c r="AB91" s="26" t="n">
        <f aca="false">IF(TblMagic[[#This Row],[Mining Strength]],12,IF(OFFSET(TblMagic[[#This Row],[Active Mining Strength]],-1,0)&gt;0,OFFSET(TblMagic[[#This Row],[Active Mining Strength]],-1,0)-1,0))</f>
        <v>0</v>
      </c>
      <c r="AC91" s="26" t="n">
        <f aca="false">IF(TblMagic[[#This Row],[Ares Call]],12,IF(OFFSET(TblMagic[[#This Row],[Active Ares Call]],-1,0)&gt;0,OFFSET(TblMagic[[#This Row],[Active Ares Call]],-1,0)-1,0))</f>
        <v>9</v>
      </c>
      <c r="AD91" s="26" t="n">
        <f aca="false">IF(TblMagic[[#This Row],[Midas Touch]],12,IF(OFFSET(TblMagic[[#This Row],[Active Midas Touch]],-1,0)&gt;0,OFFSET(TblMagic[[#This Row],[Active Midas Touch]],-1,0)-1,0))</f>
        <v>9</v>
      </c>
      <c r="AE91" s="26" t="n">
        <f aca="false">IF(TblMagic[[#This Row],[Harmony]],12,IF(OFFSET(TblMagic[[#This Row],[Active Harmony]],-1,0)&gt;0,OFFSET(TblMagic[[#This Row],[Active Harmony]],-1,0)-1,0))</f>
        <v>0</v>
      </c>
      <c r="AF91" s="26" t="n">
        <f aca="false">IF(TblMagic[[#This Row],[Miner''s Sight]],12,IF(OFFSET(TblMagic[[#This Row],[Active Miner''s Sight]],-1,0)&gt;0,OFFSET(TblMagic[[#This Row],[Active Miner''s Sight]],-1,0)-1,0))</f>
        <v>0</v>
      </c>
      <c r="AG91" s="26" t="n">
        <f aca="false">IF(TblMagic[[#This Row],[Mechanical Genius]],12,IF(OFFSET(TblMagic[[#This Row],[Active Mechanical Genius]],-1,0)&gt;0,OFFSET(TblMagic[[#This Row],[Active Mechanical Genius]],-1,0)-1,0))</f>
        <v>0</v>
      </c>
      <c r="AH91" s="26" t="n">
        <f aca="false">IF(TblMagic[[#This Row],[Frenzy]],12,IF(OFFSET(TblMagic[[#This Row],[Active Frenzy]],-1,0)&gt;0,OFFSET(TblMagic[[#This Row],[Active Frenzy]],-1,0)-1,0))</f>
        <v>0</v>
      </c>
      <c r="AI91" s="26" t="n">
        <f aca="false">IF(TblMagic[[#This Row],[Killing Rage / Bloodrage / Crusade]],12,IF(OFFSET(TblMagic[[#This Row],[Active Warsong / Killing Rage / Bloodrage]],-1,0)&gt;0,OFFSET(TblMagic[[#This Row],[Active Warsong / Killing Rage / Bloodrage]],-1,0)-1,0))</f>
        <v>0</v>
      </c>
      <c r="AJ91" s="26" t="n">
        <f aca="false">IF(TblMagic[[#This Row],[Gaia''s Blessing]],12,IF(OFFSET(TblMagic[[#This Row],[Active Gaia''s Blessing]],-1,0)&gt;0,OFFSET(TblMagic[[#This Row],[Active Gaia''s Blessing]],-1,0)-1,0))</f>
        <v>0</v>
      </c>
      <c r="AK91" s="26" t="n">
        <f aca="false">IF(TblMagic[[#This Row],[Howling]],12,IF(OFFSET(TblMagic[[#This Row],[Active Howling]],-1,0)&gt;0,OFFSET(TblMagic[[#This Row],[Active Howling]],-1,0)-1,0))</f>
        <v>0</v>
      </c>
      <c r="AL91" s="26" t="n">
        <f aca="false">IF(TblMagic[[#This Row],[Alchemist Frost]],12,IF(OFFSET(TblMagic[[#This Row],[Active Alch Frost]],-1,0)&gt;0,OFFSET(TblMagic[[#This Row],[Active Alch Frost]],-1,0)-1,0))</f>
        <v>0</v>
      </c>
      <c r="AM91" s="26" t="n">
        <f aca="false">IF(TblMagic[[#This Row],[Alchemists Flame]],12,IF(OFFSET(TblMagic[[#This Row],[Active Alchemists Flame]],-1,0)&gt;0,OFFSET(TblMagic[[#This Row],[Active Alchemists Flame]],-1,0)-1,0))</f>
        <v>9</v>
      </c>
      <c r="AN91" s="26" t="n">
        <f aca="false">IF(TblMagic[[#This Row],[Nightfall]],12,IF(OFFSET(TblMagic[[#This Row],[Active Nightfall]],-1,0)&gt;0,OFFSET(TblMagic[[#This Row],[Active Nightfall]],-1,0)-1,0))</f>
        <v>0</v>
      </c>
      <c r="AO91" s="26" t="n">
        <f aca="false">IF(TblMagic[[#This Row],[Favorable Terrain]],12,IF(OFFSET(TblMagic[[#This Row],[Active Favorable Terrain]],-1,0)&gt;0,OFFSET(TblMagic[[#This Row],[Active Favorable Terrain]],-1,0)-1,0))</f>
        <v>0</v>
      </c>
    </row>
    <row r="92" customFormat="false" ht="12.75" hidden="false" customHeight="false" outlineLevel="0" collapsed="false">
      <c r="A92" s="128" t="n">
        <f aca="false">TblRezone[[#This Row],[Hour]]</f>
        <v>89</v>
      </c>
      <c r="B92" s="146" t="n">
        <f aca="false">TblConstr[[#This Row],[Land]]</f>
        <v>700</v>
      </c>
      <c r="C92" s="69" t="n">
        <f aca="false">TblProd[[#This Row],[Mana]]</f>
        <v>5129.5</v>
      </c>
      <c r="D92" s="149" t="n">
        <f aca="false">MIN(1,OFFSET(TblMagic[[#This Row],[Wiz str]],-1,0)+0.04+ROUNDDOWN(10*OFFSET(TblMili[[#This Row],[WG''s]],-1,0),0)+ tech_2_7*OFFSET(TblTech[[#This Row],[2-7]],-1,0) + tech_5_6*OFFSET(TblTech[[#This Row],[5-6]],-1,0) )-TblMagic[[#This Row],[Wiz str cost]]</f>
        <v>1</v>
      </c>
      <c r="E92" s="153" t="n">
        <f aca="false">OFFSET(TblMagic[[#This Row],[Time]],-1,0)+1/24</f>
        <v>45433.4166666667</v>
      </c>
      <c r="F92" s="149" t="n">
        <f aca="false">TblImps[[#This Row],[Population]]</f>
        <v>1</v>
      </c>
      <c r="G92" s="248"/>
      <c r="H92" s="248"/>
      <c r="I92" s="248"/>
      <c r="J92" s="248"/>
      <c r="K92" s="312"/>
      <c r="L92" s="248"/>
      <c r="M92" s="248"/>
      <c r="N92" s="248"/>
      <c r="O92" s="248"/>
      <c r="P92" s="248"/>
      <c r="Q92" s="248"/>
      <c r="R92" s="248"/>
      <c r="S92" s="248"/>
      <c r="T92" s="248"/>
      <c r="U92" s="248"/>
      <c r="V92" s="248"/>
      <c r="W92" s="132"/>
      <c r="X9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49" t="n">
        <f aca="false">SUMIF(TblMagic[[#This Row],[Gaia''s Watch]:[Useless spell]],1)*0.05</f>
        <v>0</v>
      </c>
      <c r="Z92" s="132"/>
      <c r="AA92" s="26" t="n">
        <f aca="false">IF(TblMagic[[#This Row],[Gaia''s Watch]],12,IF(OFFSET(TblMagic[[#This Row],[Active Gaia''s Watch]],-1,0)&gt;0,OFFSET(TblMagic[[#This Row],[Active Gaia''s Watch]],-1,0)-1,0))</f>
        <v>0</v>
      </c>
      <c r="AB92" s="26" t="n">
        <f aca="false">IF(TblMagic[[#This Row],[Mining Strength]],12,IF(OFFSET(TblMagic[[#This Row],[Active Mining Strength]],-1,0)&gt;0,OFFSET(TblMagic[[#This Row],[Active Mining Strength]],-1,0)-1,0))</f>
        <v>0</v>
      </c>
      <c r="AC92" s="26" t="n">
        <f aca="false">IF(TblMagic[[#This Row],[Ares Call]],12,IF(OFFSET(TblMagic[[#This Row],[Active Ares Call]],-1,0)&gt;0,OFFSET(TblMagic[[#This Row],[Active Ares Call]],-1,0)-1,0))</f>
        <v>8</v>
      </c>
      <c r="AD92" s="26" t="n">
        <f aca="false">IF(TblMagic[[#This Row],[Midas Touch]],12,IF(OFFSET(TblMagic[[#This Row],[Active Midas Touch]],-1,0)&gt;0,OFFSET(TblMagic[[#This Row],[Active Midas Touch]],-1,0)-1,0))</f>
        <v>8</v>
      </c>
      <c r="AE92" s="26" t="n">
        <f aca="false">IF(TblMagic[[#This Row],[Harmony]],12,IF(OFFSET(TblMagic[[#This Row],[Active Harmony]],-1,0)&gt;0,OFFSET(TblMagic[[#This Row],[Active Harmony]],-1,0)-1,0))</f>
        <v>0</v>
      </c>
      <c r="AF92" s="26" t="n">
        <f aca="false">IF(TblMagic[[#This Row],[Miner''s Sight]],12,IF(OFFSET(TblMagic[[#This Row],[Active Miner''s Sight]],-1,0)&gt;0,OFFSET(TblMagic[[#This Row],[Active Miner''s Sight]],-1,0)-1,0))</f>
        <v>0</v>
      </c>
      <c r="AG92" s="26" t="n">
        <f aca="false">IF(TblMagic[[#This Row],[Mechanical Genius]],12,IF(OFFSET(TblMagic[[#This Row],[Active Mechanical Genius]],-1,0)&gt;0,OFFSET(TblMagic[[#This Row],[Active Mechanical Genius]],-1,0)-1,0))</f>
        <v>0</v>
      </c>
      <c r="AH92" s="26" t="n">
        <f aca="false">IF(TblMagic[[#This Row],[Frenzy]],12,IF(OFFSET(TblMagic[[#This Row],[Active Frenzy]],-1,0)&gt;0,OFFSET(TblMagic[[#This Row],[Active Frenzy]],-1,0)-1,0))</f>
        <v>0</v>
      </c>
      <c r="AI92" s="26" t="n">
        <f aca="false">IF(TblMagic[[#This Row],[Killing Rage / Bloodrage / Crusade]],12,IF(OFFSET(TblMagic[[#This Row],[Active Warsong / Killing Rage / Bloodrage]],-1,0)&gt;0,OFFSET(TblMagic[[#This Row],[Active Warsong / Killing Rage / Bloodrage]],-1,0)-1,0))</f>
        <v>0</v>
      </c>
      <c r="AJ92" s="26" t="n">
        <f aca="false">IF(TblMagic[[#This Row],[Gaia''s Blessing]],12,IF(OFFSET(TblMagic[[#This Row],[Active Gaia''s Blessing]],-1,0)&gt;0,OFFSET(TblMagic[[#This Row],[Active Gaia''s Blessing]],-1,0)-1,0))</f>
        <v>0</v>
      </c>
      <c r="AK92" s="26" t="n">
        <f aca="false">IF(TblMagic[[#This Row],[Howling]],12,IF(OFFSET(TblMagic[[#This Row],[Active Howling]],-1,0)&gt;0,OFFSET(TblMagic[[#This Row],[Active Howling]],-1,0)-1,0))</f>
        <v>0</v>
      </c>
      <c r="AL92" s="26" t="n">
        <f aca="false">IF(TblMagic[[#This Row],[Alchemist Frost]],12,IF(OFFSET(TblMagic[[#This Row],[Active Alch Frost]],-1,0)&gt;0,OFFSET(TblMagic[[#This Row],[Active Alch Frost]],-1,0)-1,0))</f>
        <v>0</v>
      </c>
      <c r="AM92" s="26" t="n">
        <f aca="false">IF(TblMagic[[#This Row],[Alchemists Flame]],12,IF(OFFSET(TblMagic[[#This Row],[Active Alchemists Flame]],-1,0)&gt;0,OFFSET(TblMagic[[#This Row],[Active Alchemists Flame]],-1,0)-1,0))</f>
        <v>8</v>
      </c>
      <c r="AN92" s="26" t="n">
        <f aca="false">IF(TblMagic[[#This Row],[Nightfall]],12,IF(OFFSET(TblMagic[[#This Row],[Active Nightfall]],-1,0)&gt;0,OFFSET(TblMagic[[#This Row],[Active Nightfall]],-1,0)-1,0))</f>
        <v>0</v>
      </c>
      <c r="AO92" s="26" t="n">
        <f aca="false">IF(TblMagic[[#This Row],[Favorable Terrain]],12,IF(OFFSET(TblMagic[[#This Row],[Active Favorable Terrain]],-1,0)&gt;0,OFFSET(TblMagic[[#This Row],[Active Favorable Terrain]],-1,0)-1,0))</f>
        <v>0</v>
      </c>
    </row>
    <row r="93" customFormat="false" ht="12.75" hidden="false" customHeight="false" outlineLevel="0" collapsed="false">
      <c r="A93" s="128" t="n">
        <f aca="false">TblRezone[[#This Row],[Hour]]</f>
        <v>90</v>
      </c>
      <c r="B93" s="146" t="n">
        <f aca="false">TblConstr[[#This Row],[Land]]</f>
        <v>700</v>
      </c>
      <c r="C93" s="69" t="n">
        <f aca="false">TblProd[[#This Row],[Mana]]</f>
        <v>5751.5</v>
      </c>
      <c r="D93" s="149" t="n">
        <f aca="false">MIN(1,OFFSET(TblMagic[[#This Row],[Wiz str]],-1,0)+0.04+ROUNDDOWN(10*OFFSET(TblMili[[#This Row],[WG''s]],-1,0),0)+ tech_2_7*OFFSET(TblTech[[#This Row],[2-7]],-1,0) + tech_5_6*OFFSET(TblTech[[#This Row],[5-6]],-1,0) )-TblMagic[[#This Row],[Wiz str cost]]</f>
        <v>1</v>
      </c>
      <c r="E93" s="153" t="n">
        <f aca="false">OFFSET(TblMagic[[#This Row],[Time]],-1,0)+1/24</f>
        <v>45433.4583333333</v>
      </c>
      <c r="F93" s="149" t="n">
        <f aca="false">TblImps[[#This Row],[Population]]</f>
        <v>1</v>
      </c>
      <c r="G93" s="248"/>
      <c r="H93" s="248"/>
      <c r="I93" s="248"/>
      <c r="J93" s="248"/>
      <c r="K93" s="312"/>
      <c r="L93" s="248"/>
      <c r="M93" s="248"/>
      <c r="N93" s="248"/>
      <c r="O93" s="248"/>
      <c r="P93" s="248"/>
      <c r="Q93" s="248"/>
      <c r="R93" s="248"/>
      <c r="S93" s="248"/>
      <c r="T93" s="248"/>
      <c r="U93" s="248"/>
      <c r="V93" s="248"/>
      <c r="W93" s="132"/>
      <c r="X9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49" t="n">
        <f aca="false">SUMIF(TblMagic[[#This Row],[Gaia''s Watch]:[Useless spell]],1)*0.05</f>
        <v>0</v>
      </c>
      <c r="Z93" s="132"/>
      <c r="AA93" s="26" t="n">
        <f aca="false">IF(TblMagic[[#This Row],[Gaia''s Watch]],12,IF(OFFSET(TblMagic[[#This Row],[Active Gaia''s Watch]],-1,0)&gt;0,OFFSET(TblMagic[[#This Row],[Active Gaia''s Watch]],-1,0)-1,0))</f>
        <v>0</v>
      </c>
      <c r="AB93" s="26" t="n">
        <f aca="false">IF(TblMagic[[#This Row],[Mining Strength]],12,IF(OFFSET(TblMagic[[#This Row],[Active Mining Strength]],-1,0)&gt;0,OFFSET(TblMagic[[#This Row],[Active Mining Strength]],-1,0)-1,0))</f>
        <v>0</v>
      </c>
      <c r="AC93" s="26" t="n">
        <f aca="false">IF(TblMagic[[#This Row],[Ares Call]],12,IF(OFFSET(TblMagic[[#This Row],[Active Ares Call]],-1,0)&gt;0,OFFSET(TblMagic[[#This Row],[Active Ares Call]],-1,0)-1,0))</f>
        <v>7</v>
      </c>
      <c r="AD93" s="26" t="n">
        <f aca="false">IF(TblMagic[[#This Row],[Midas Touch]],12,IF(OFFSET(TblMagic[[#This Row],[Active Midas Touch]],-1,0)&gt;0,OFFSET(TblMagic[[#This Row],[Active Midas Touch]],-1,0)-1,0))</f>
        <v>7</v>
      </c>
      <c r="AE93" s="26" t="n">
        <f aca="false">IF(TblMagic[[#This Row],[Harmony]],12,IF(OFFSET(TblMagic[[#This Row],[Active Harmony]],-1,0)&gt;0,OFFSET(TblMagic[[#This Row],[Active Harmony]],-1,0)-1,0))</f>
        <v>0</v>
      </c>
      <c r="AF93" s="26" t="n">
        <f aca="false">IF(TblMagic[[#This Row],[Miner''s Sight]],12,IF(OFFSET(TblMagic[[#This Row],[Active Miner''s Sight]],-1,0)&gt;0,OFFSET(TblMagic[[#This Row],[Active Miner''s Sight]],-1,0)-1,0))</f>
        <v>0</v>
      </c>
      <c r="AG93" s="26" t="n">
        <f aca="false">IF(TblMagic[[#This Row],[Mechanical Genius]],12,IF(OFFSET(TblMagic[[#This Row],[Active Mechanical Genius]],-1,0)&gt;0,OFFSET(TblMagic[[#This Row],[Active Mechanical Genius]],-1,0)-1,0))</f>
        <v>0</v>
      </c>
      <c r="AH93" s="26" t="n">
        <f aca="false">IF(TblMagic[[#This Row],[Frenzy]],12,IF(OFFSET(TblMagic[[#This Row],[Active Frenzy]],-1,0)&gt;0,OFFSET(TblMagic[[#This Row],[Active Frenzy]],-1,0)-1,0))</f>
        <v>0</v>
      </c>
      <c r="AI93" s="26" t="n">
        <f aca="false">IF(TblMagic[[#This Row],[Killing Rage / Bloodrage / Crusade]],12,IF(OFFSET(TblMagic[[#This Row],[Active Warsong / Killing Rage / Bloodrage]],-1,0)&gt;0,OFFSET(TblMagic[[#This Row],[Active Warsong / Killing Rage / Bloodrage]],-1,0)-1,0))</f>
        <v>0</v>
      </c>
      <c r="AJ93" s="26" t="n">
        <f aca="false">IF(TblMagic[[#This Row],[Gaia''s Blessing]],12,IF(OFFSET(TblMagic[[#This Row],[Active Gaia''s Blessing]],-1,0)&gt;0,OFFSET(TblMagic[[#This Row],[Active Gaia''s Blessing]],-1,0)-1,0))</f>
        <v>0</v>
      </c>
      <c r="AK93" s="26" t="n">
        <f aca="false">IF(TblMagic[[#This Row],[Howling]],12,IF(OFFSET(TblMagic[[#This Row],[Active Howling]],-1,0)&gt;0,OFFSET(TblMagic[[#This Row],[Active Howling]],-1,0)-1,0))</f>
        <v>0</v>
      </c>
      <c r="AL93" s="26" t="n">
        <f aca="false">IF(TblMagic[[#This Row],[Alchemist Frost]],12,IF(OFFSET(TblMagic[[#This Row],[Active Alch Frost]],-1,0)&gt;0,OFFSET(TblMagic[[#This Row],[Active Alch Frost]],-1,0)-1,0))</f>
        <v>0</v>
      </c>
      <c r="AM93" s="26" t="n">
        <f aca="false">IF(TblMagic[[#This Row],[Alchemists Flame]],12,IF(OFFSET(TblMagic[[#This Row],[Active Alchemists Flame]],-1,0)&gt;0,OFFSET(TblMagic[[#This Row],[Active Alchemists Flame]],-1,0)-1,0))</f>
        <v>7</v>
      </c>
      <c r="AN93" s="26" t="n">
        <f aca="false">IF(TblMagic[[#This Row],[Nightfall]],12,IF(OFFSET(TblMagic[[#This Row],[Active Nightfall]],-1,0)&gt;0,OFFSET(TblMagic[[#This Row],[Active Nightfall]],-1,0)-1,0))</f>
        <v>0</v>
      </c>
      <c r="AO93" s="26" t="n">
        <f aca="false">IF(TblMagic[[#This Row],[Favorable Terrain]],12,IF(OFFSET(TblMagic[[#This Row],[Active Favorable Terrain]],-1,0)&gt;0,OFFSET(TblMagic[[#This Row],[Active Favorable Terrain]],-1,0)-1,0))</f>
        <v>0</v>
      </c>
    </row>
    <row r="94" customFormat="false" ht="12.75" hidden="false" customHeight="false" outlineLevel="0" collapsed="false">
      <c r="A94" s="128" t="n">
        <f aca="false">TblRezone[[#This Row],[Hour]]</f>
        <v>91</v>
      </c>
      <c r="B94" s="146" t="n">
        <f aca="false">TblConstr[[#This Row],[Land]]</f>
        <v>700</v>
      </c>
      <c r="C94" s="69" t="n">
        <f aca="false">TblProd[[#This Row],[Mana]]</f>
        <v>6361.5</v>
      </c>
      <c r="D94" s="149" t="n">
        <f aca="false">MIN(1,OFFSET(TblMagic[[#This Row],[Wiz str]],-1,0)+0.04+ROUNDDOWN(10*OFFSET(TblMili[[#This Row],[WG''s]],-1,0),0)+ tech_2_7*OFFSET(TblTech[[#This Row],[2-7]],-1,0) + tech_5_6*OFFSET(TblTech[[#This Row],[5-6]],-1,0) )-TblMagic[[#This Row],[Wiz str cost]]</f>
        <v>1</v>
      </c>
      <c r="E94" s="153" t="n">
        <f aca="false">OFFSET(TblMagic[[#This Row],[Time]],-1,0)+1/24</f>
        <v>45433.5</v>
      </c>
      <c r="F94" s="149" t="n">
        <f aca="false">TblImps[[#This Row],[Population]]</f>
        <v>1</v>
      </c>
      <c r="G94" s="248"/>
      <c r="H94" s="248"/>
      <c r="I94" s="248"/>
      <c r="J94" s="248"/>
      <c r="K94" s="312"/>
      <c r="L94" s="248"/>
      <c r="M94" s="248"/>
      <c r="N94" s="248"/>
      <c r="O94" s="248"/>
      <c r="P94" s="248"/>
      <c r="Q94" s="248"/>
      <c r="R94" s="248"/>
      <c r="S94" s="248"/>
      <c r="T94" s="248"/>
      <c r="U94" s="248"/>
      <c r="V94" s="248"/>
      <c r="W94" s="132"/>
      <c r="X9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49" t="n">
        <f aca="false">SUMIF(TblMagic[[#This Row],[Gaia''s Watch]:[Useless spell]],1)*0.05</f>
        <v>0</v>
      </c>
      <c r="Z94" s="132"/>
      <c r="AA94" s="26" t="n">
        <f aca="false">IF(TblMagic[[#This Row],[Gaia''s Watch]],12,IF(OFFSET(TblMagic[[#This Row],[Active Gaia''s Watch]],-1,0)&gt;0,OFFSET(TblMagic[[#This Row],[Active Gaia''s Watch]],-1,0)-1,0))</f>
        <v>0</v>
      </c>
      <c r="AB94" s="26" t="n">
        <f aca="false">IF(TblMagic[[#This Row],[Mining Strength]],12,IF(OFFSET(TblMagic[[#This Row],[Active Mining Strength]],-1,0)&gt;0,OFFSET(TblMagic[[#This Row],[Active Mining Strength]],-1,0)-1,0))</f>
        <v>0</v>
      </c>
      <c r="AC94" s="26" t="n">
        <f aca="false">IF(TblMagic[[#This Row],[Ares Call]],12,IF(OFFSET(TblMagic[[#This Row],[Active Ares Call]],-1,0)&gt;0,OFFSET(TblMagic[[#This Row],[Active Ares Call]],-1,0)-1,0))</f>
        <v>6</v>
      </c>
      <c r="AD94" s="26" t="n">
        <f aca="false">IF(TblMagic[[#This Row],[Midas Touch]],12,IF(OFFSET(TblMagic[[#This Row],[Active Midas Touch]],-1,0)&gt;0,OFFSET(TblMagic[[#This Row],[Active Midas Touch]],-1,0)-1,0))</f>
        <v>6</v>
      </c>
      <c r="AE94" s="26" t="n">
        <f aca="false">IF(TblMagic[[#This Row],[Harmony]],12,IF(OFFSET(TblMagic[[#This Row],[Active Harmony]],-1,0)&gt;0,OFFSET(TblMagic[[#This Row],[Active Harmony]],-1,0)-1,0))</f>
        <v>0</v>
      </c>
      <c r="AF94" s="26" t="n">
        <f aca="false">IF(TblMagic[[#This Row],[Miner''s Sight]],12,IF(OFFSET(TblMagic[[#This Row],[Active Miner''s Sight]],-1,0)&gt;0,OFFSET(TblMagic[[#This Row],[Active Miner''s Sight]],-1,0)-1,0))</f>
        <v>0</v>
      </c>
      <c r="AG94" s="26" t="n">
        <f aca="false">IF(TblMagic[[#This Row],[Mechanical Genius]],12,IF(OFFSET(TblMagic[[#This Row],[Active Mechanical Genius]],-1,0)&gt;0,OFFSET(TblMagic[[#This Row],[Active Mechanical Genius]],-1,0)-1,0))</f>
        <v>0</v>
      </c>
      <c r="AH94" s="26" t="n">
        <f aca="false">IF(TblMagic[[#This Row],[Frenzy]],12,IF(OFFSET(TblMagic[[#This Row],[Active Frenzy]],-1,0)&gt;0,OFFSET(TblMagic[[#This Row],[Active Frenzy]],-1,0)-1,0))</f>
        <v>0</v>
      </c>
      <c r="AI94" s="26" t="n">
        <f aca="false">IF(TblMagic[[#This Row],[Killing Rage / Bloodrage / Crusade]],12,IF(OFFSET(TblMagic[[#This Row],[Active Warsong / Killing Rage / Bloodrage]],-1,0)&gt;0,OFFSET(TblMagic[[#This Row],[Active Warsong / Killing Rage / Bloodrage]],-1,0)-1,0))</f>
        <v>0</v>
      </c>
      <c r="AJ94" s="26" t="n">
        <f aca="false">IF(TblMagic[[#This Row],[Gaia''s Blessing]],12,IF(OFFSET(TblMagic[[#This Row],[Active Gaia''s Blessing]],-1,0)&gt;0,OFFSET(TblMagic[[#This Row],[Active Gaia''s Blessing]],-1,0)-1,0))</f>
        <v>0</v>
      </c>
      <c r="AK94" s="26" t="n">
        <f aca="false">IF(TblMagic[[#This Row],[Howling]],12,IF(OFFSET(TblMagic[[#This Row],[Active Howling]],-1,0)&gt;0,OFFSET(TblMagic[[#This Row],[Active Howling]],-1,0)-1,0))</f>
        <v>0</v>
      </c>
      <c r="AL94" s="26" t="n">
        <f aca="false">IF(TblMagic[[#This Row],[Alchemist Frost]],12,IF(OFFSET(TblMagic[[#This Row],[Active Alch Frost]],-1,0)&gt;0,OFFSET(TblMagic[[#This Row],[Active Alch Frost]],-1,0)-1,0))</f>
        <v>0</v>
      </c>
      <c r="AM94" s="26" t="n">
        <f aca="false">IF(TblMagic[[#This Row],[Alchemists Flame]],12,IF(OFFSET(TblMagic[[#This Row],[Active Alchemists Flame]],-1,0)&gt;0,OFFSET(TblMagic[[#This Row],[Active Alchemists Flame]],-1,0)-1,0))</f>
        <v>6</v>
      </c>
      <c r="AN94" s="26" t="n">
        <f aca="false">IF(TblMagic[[#This Row],[Nightfall]],12,IF(OFFSET(TblMagic[[#This Row],[Active Nightfall]],-1,0)&gt;0,OFFSET(TblMagic[[#This Row],[Active Nightfall]],-1,0)-1,0))</f>
        <v>0</v>
      </c>
      <c r="AO94" s="26" t="n">
        <f aca="false">IF(TblMagic[[#This Row],[Favorable Terrain]],12,IF(OFFSET(TblMagic[[#This Row],[Active Favorable Terrain]],-1,0)&gt;0,OFFSET(TblMagic[[#This Row],[Active Favorable Terrain]],-1,0)-1,0))</f>
        <v>0</v>
      </c>
    </row>
    <row r="95" customFormat="false" ht="12.75" hidden="false" customHeight="false" outlineLevel="0" collapsed="false">
      <c r="A95" s="128" t="n">
        <f aca="false">TblRezone[[#This Row],[Hour]]</f>
        <v>92</v>
      </c>
      <c r="B95" s="146" t="n">
        <f aca="false">TblConstr[[#This Row],[Land]]</f>
        <v>700</v>
      </c>
      <c r="C95" s="69" t="n">
        <f aca="false">TblProd[[#This Row],[Mana]]</f>
        <v>6959.5</v>
      </c>
      <c r="D95" s="149" t="n">
        <f aca="false">MIN(1,OFFSET(TblMagic[[#This Row],[Wiz str]],-1,0)+0.04+ROUNDDOWN(10*OFFSET(TblMili[[#This Row],[WG''s]],-1,0),0)+ tech_2_7*OFFSET(TblTech[[#This Row],[2-7]],-1,0) + tech_5_6*OFFSET(TblTech[[#This Row],[5-6]],-1,0) )-TblMagic[[#This Row],[Wiz str cost]]</f>
        <v>1</v>
      </c>
      <c r="E95" s="153" t="n">
        <f aca="false">OFFSET(TblMagic[[#This Row],[Time]],-1,0)+1/24</f>
        <v>45433.5416666667</v>
      </c>
      <c r="F95" s="149" t="n">
        <f aca="false">TblImps[[#This Row],[Population]]</f>
        <v>1</v>
      </c>
      <c r="G95" s="248"/>
      <c r="H95" s="248"/>
      <c r="I95" s="248"/>
      <c r="J95" s="248"/>
      <c r="K95" s="312"/>
      <c r="L95" s="248"/>
      <c r="M95" s="248"/>
      <c r="N95" s="248"/>
      <c r="O95" s="248"/>
      <c r="P95" s="248"/>
      <c r="Q95" s="248"/>
      <c r="R95" s="248"/>
      <c r="S95" s="248"/>
      <c r="T95" s="248"/>
      <c r="U95" s="248"/>
      <c r="V95" s="248"/>
      <c r="W95" s="132"/>
      <c r="X9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49" t="n">
        <f aca="false">SUMIF(TblMagic[[#This Row],[Gaia''s Watch]:[Useless spell]],1)*0.05</f>
        <v>0</v>
      </c>
      <c r="Z95" s="132"/>
      <c r="AA95" s="26" t="n">
        <f aca="false">IF(TblMagic[[#This Row],[Gaia''s Watch]],12,IF(OFFSET(TblMagic[[#This Row],[Active Gaia''s Watch]],-1,0)&gt;0,OFFSET(TblMagic[[#This Row],[Active Gaia''s Watch]],-1,0)-1,0))</f>
        <v>0</v>
      </c>
      <c r="AB95" s="26" t="n">
        <f aca="false">IF(TblMagic[[#This Row],[Mining Strength]],12,IF(OFFSET(TblMagic[[#This Row],[Active Mining Strength]],-1,0)&gt;0,OFFSET(TblMagic[[#This Row],[Active Mining Strength]],-1,0)-1,0))</f>
        <v>0</v>
      </c>
      <c r="AC95" s="26" t="n">
        <f aca="false">IF(TblMagic[[#This Row],[Ares Call]],12,IF(OFFSET(TblMagic[[#This Row],[Active Ares Call]],-1,0)&gt;0,OFFSET(TblMagic[[#This Row],[Active Ares Call]],-1,0)-1,0))</f>
        <v>5</v>
      </c>
      <c r="AD95" s="26" t="n">
        <f aca="false">IF(TblMagic[[#This Row],[Midas Touch]],12,IF(OFFSET(TblMagic[[#This Row],[Active Midas Touch]],-1,0)&gt;0,OFFSET(TblMagic[[#This Row],[Active Midas Touch]],-1,0)-1,0))</f>
        <v>5</v>
      </c>
      <c r="AE95" s="26" t="n">
        <f aca="false">IF(TblMagic[[#This Row],[Harmony]],12,IF(OFFSET(TblMagic[[#This Row],[Active Harmony]],-1,0)&gt;0,OFFSET(TblMagic[[#This Row],[Active Harmony]],-1,0)-1,0))</f>
        <v>0</v>
      </c>
      <c r="AF95" s="26" t="n">
        <f aca="false">IF(TblMagic[[#This Row],[Miner''s Sight]],12,IF(OFFSET(TblMagic[[#This Row],[Active Miner''s Sight]],-1,0)&gt;0,OFFSET(TblMagic[[#This Row],[Active Miner''s Sight]],-1,0)-1,0))</f>
        <v>0</v>
      </c>
      <c r="AG95" s="26" t="n">
        <f aca="false">IF(TblMagic[[#This Row],[Mechanical Genius]],12,IF(OFFSET(TblMagic[[#This Row],[Active Mechanical Genius]],-1,0)&gt;0,OFFSET(TblMagic[[#This Row],[Active Mechanical Genius]],-1,0)-1,0))</f>
        <v>0</v>
      </c>
      <c r="AH95" s="26" t="n">
        <f aca="false">IF(TblMagic[[#This Row],[Frenzy]],12,IF(OFFSET(TblMagic[[#This Row],[Active Frenzy]],-1,0)&gt;0,OFFSET(TblMagic[[#This Row],[Active Frenzy]],-1,0)-1,0))</f>
        <v>0</v>
      </c>
      <c r="AI95" s="26" t="n">
        <f aca="false">IF(TblMagic[[#This Row],[Killing Rage / Bloodrage / Crusade]],12,IF(OFFSET(TblMagic[[#This Row],[Active Warsong / Killing Rage / Bloodrage]],-1,0)&gt;0,OFFSET(TblMagic[[#This Row],[Active Warsong / Killing Rage / Bloodrage]],-1,0)-1,0))</f>
        <v>0</v>
      </c>
      <c r="AJ95" s="26" t="n">
        <f aca="false">IF(TblMagic[[#This Row],[Gaia''s Blessing]],12,IF(OFFSET(TblMagic[[#This Row],[Active Gaia''s Blessing]],-1,0)&gt;0,OFFSET(TblMagic[[#This Row],[Active Gaia''s Blessing]],-1,0)-1,0))</f>
        <v>0</v>
      </c>
      <c r="AK95" s="26" t="n">
        <f aca="false">IF(TblMagic[[#This Row],[Howling]],12,IF(OFFSET(TblMagic[[#This Row],[Active Howling]],-1,0)&gt;0,OFFSET(TblMagic[[#This Row],[Active Howling]],-1,0)-1,0))</f>
        <v>0</v>
      </c>
      <c r="AL95" s="26" t="n">
        <f aca="false">IF(TblMagic[[#This Row],[Alchemist Frost]],12,IF(OFFSET(TblMagic[[#This Row],[Active Alch Frost]],-1,0)&gt;0,OFFSET(TblMagic[[#This Row],[Active Alch Frost]],-1,0)-1,0))</f>
        <v>0</v>
      </c>
      <c r="AM95" s="26" t="n">
        <f aca="false">IF(TblMagic[[#This Row],[Alchemists Flame]],12,IF(OFFSET(TblMagic[[#This Row],[Active Alchemists Flame]],-1,0)&gt;0,OFFSET(TblMagic[[#This Row],[Active Alchemists Flame]],-1,0)-1,0))</f>
        <v>5</v>
      </c>
      <c r="AN95" s="26" t="n">
        <f aca="false">IF(TblMagic[[#This Row],[Nightfall]],12,IF(OFFSET(TblMagic[[#This Row],[Active Nightfall]],-1,0)&gt;0,OFFSET(TblMagic[[#This Row],[Active Nightfall]],-1,0)-1,0))</f>
        <v>0</v>
      </c>
      <c r="AO95" s="26" t="n">
        <f aca="false">IF(TblMagic[[#This Row],[Favorable Terrain]],12,IF(OFFSET(TblMagic[[#This Row],[Active Favorable Terrain]],-1,0)&gt;0,OFFSET(TblMagic[[#This Row],[Active Favorable Terrain]],-1,0)-1,0))</f>
        <v>0</v>
      </c>
    </row>
    <row r="96" customFormat="false" ht="12.75" hidden="false" customHeight="false" outlineLevel="0" collapsed="false">
      <c r="A96" s="128" t="n">
        <f aca="false">TblRezone[[#This Row],[Hour]]</f>
        <v>93</v>
      </c>
      <c r="B96" s="146" t="n">
        <f aca="false">TblConstr[[#This Row],[Land]]</f>
        <v>700</v>
      </c>
      <c r="C96" s="69" t="n">
        <f aca="false">TblProd[[#This Row],[Mana]]</f>
        <v>7545.5</v>
      </c>
      <c r="D96" s="149" t="n">
        <f aca="false">MIN(1,OFFSET(TblMagic[[#This Row],[Wiz str]],-1,0)+0.04+ROUNDDOWN(10*OFFSET(TblMili[[#This Row],[WG''s]],-1,0),0)+ tech_2_7*OFFSET(TblTech[[#This Row],[2-7]],-1,0) + tech_5_6*OFFSET(TblTech[[#This Row],[5-6]],-1,0) )-TblMagic[[#This Row],[Wiz str cost]]</f>
        <v>1</v>
      </c>
      <c r="E96" s="153" t="n">
        <f aca="false">OFFSET(TblMagic[[#This Row],[Time]],-1,0)+1/24</f>
        <v>45433.5833333333</v>
      </c>
      <c r="F96" s="149" t="n">
        <f aca="false">TblImps[[#This Row],[Population]]</f>
        <v>1</v>
      </c>
      <c r="G96" s="248"/>
      <c r="H96" s="248"/>
      <c r="I96" s="248"/>
      <c r="J96" s="248"/>
      <c r="K96" s="312"/>
      <c r="L96" s="248"/>
      <c r="M96" s="248"/>
      <c r="N96" s="248"/>
      <c r="O96" s="248"/>
      <c r="P96" s="248"/>
      <c r="Q96" s="248"/>
      <c r="R96" s="248"/>
      <c r="S96" s="248"/>
      <c r="T96" s="248"/>
      <c r="U96" s="248"/>
      <c r="V96" s="248"/>
      <c r="W96" s="132"/>
      <c r="X9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49" t="n">
        <f aca="false">SUMIF(TblMagic[[#This Row],[Gaia''s Watch]:[Useless spell]],1)*0.05</f>
        <v>0</v>
      </c>
      <c r="Z96" s="132"/>
      <c r="AA96" s="26" t="n">
        <f aca="false">IF(TblMagic[[#This Row],[Gaia''s Watch]],12,IF(OFFSET(TblMagic[[#This Row],[Active Gaia''s Watch]],-1,0)&gt;0,OFFSET(TblMagic[[#This Row],[Active Gaia''s Watch]],-1,0)-1,0))</f>
        <v>0</v>
      </c>
      <c r="AB96" s="26" t="n">
        <f aca="false">IF(TblMagic[[#This Row],[Mining Strength]],12,IF(OFFSET(TblMagic[[#This Row],[Active Mining Strength]],-1,0)&gt;0,OFFSET(TblMagic[[#This Row],[Active Mining Strength]],-1,0)-1,0))</f>
        <v>0</v>
      </c>
      <c r="AC96" s="26" t="n">
        <f aca="false">IF(TblMagic[[#This Row],[Ares Call]],12,IF(OFFSET(TblMagic[[#This Row],[Active Ares Call]],-1,0)&gt;0,OFFSET(TblMagic[[#This Row],[Active Ares Call]],-1,0)-1,0))</f>
        <v>4</v>
      </c>
      <c r="AD96" s="26" t="n">
        <f aca="false">IF(TblMagic[[#This Row],[Midas Touch]],12,IF(OFFSET(TblMagic[[#This Row],[Active Midas Touch]],-1,0)&gt;0,OFFSET(TblMagic[[#This Row],[Active Midas Touch]],-1,0)-1,0))</f>
        <v>4</v>
      </c>
      <c r="AE96" s="26" t="n">
        <f aca="false">IF(TblMagic[[#This Row],[Harmony]],12,IF(OFFSET(TblMagic[[#This Row],[Active Harmony]],-1,0)&gt;0,OFFSET(TblMagic[[#This Row],[Active Harmony]],-1,0)-1,0))</f>
        <v>0</v>
      </c>
      <c r="AF96" s="26" t="n">
        <f aca="false">IF(TblMagic[[#This Row],[Miner''s Sight]],12,IF(OFFSET(TblMagic[[#This Row],[Active Miner''s Sight]],-1,0)&gt;0,OFFSET(TblMagic[[#This Row],[Active Miner''s Sight]],-1,0)-1,0))</f>
        <v>0</v>
      </c>
      <c r="AG96" s="26" t="n">
        <f aca="false">IF(TblMagic[[#This Row],[Mechanical Genius]],12,IF(OFFSET(TblMagic[[#This Row],[Active Mechanical Genius]],-1,0)&gt;0,OFFSET(TblMagic[[#This Row],[Active Mechanical Genius]],-1,0)-1,0))</f>
        <v>0</v>
      </c>
      <c r="AH96" s="26" t="n">
        <f aca="false">IF(TblMagic[[#This Row],[Frenzy]],12,IF(OFFSET(TblMagic[[#This Row],[Active Frenzy]],-1,0)&gt;0,OFFSET(TblMagic[[#This Row],[Active Frenzy]],-1,0)-1,0))</f>
        <v>0</v>
      </c>
      <c r="AI96" s="26" t="n">
        <f aca="false">IF(TblMagic[[#This Row],[Killing Rage / Bloodrage / Crusade]],12,IF(OFFSET(TblMagic[[#This Row],[Active Warsong / Killing Rage / Bloodrage]],-1,0)&gt;0,OFFSET(TblMagic[[#This Row],[Active Warsong / Killing Rage / Bloodrage]],-1,0)-1,0))</f>
        <v>0</v>
      </c>
      <c r="AJ96" s="26" t="n">
        <f aca="false">IF(TblMagic[[#This Row],[Gaia''s Blessing]],12,IF(OFFSET(TblMagic[[#This Row],[Active Gaia''s Blessing]],-1,0)&gt;0,OFFSET(TblMagic[[#This Row],[Active Gaia''s Blessing]],-1,0)-1,0))</f>
        <v>0</v>
      </c>
      <c r="AK96" s="26" t="n">
        <f aca="false">IF(TblMagic[[#This Row],[Howling]],12,IF(OFFSET(TblMagic[[#This Row],[Active Howling]],-1,0)&gt;0,OFFSET(TblMagic[[#This Row],[Active Howling]],-1,0)-1,0))</f>
        <v>0</v>
      </c>
      <c r="AL96" s="26" t="n">
        <f aca="false">IF(TblMagic[[#This Row],[Alchemist Frost]],12,IF(OFFSET(TblMagic[[#This Row],[Active Alch Frost]],-1,0)&gt;0,OFFSET(TblMagic[[#This Row],[Active Alch Frost]],-1,0)-1,0))</f>
        <v>0</v>
      </c>
      <c r="AM96" s="26" t="n">
        <f aca="false">IF(TblMagic[[#This Row],[Alchemists Flame]],12,IF(OFFSET(TblMagic[[#This Row],[Active Alchemists Flame]],-1,0)&gt;0,OFFSET(TblMagic[[#This Row],[Active Alchemists Flame]],-1,0)-1,0))</f>
        <v>4</v>
      </c>
      <c r="AN96" s="26" t="n">
        <f aca="false">IF(TblMagic[[#This Row],[Nightfall]],12,IF(OFFSET(TblMagic[[#This Row],[Active Nightfall]],-1,0)&gt;0,OFFSET(TblMagic[[#This Row],[Active Nightfall]],-1,0)-1,0))</f>
        <v>0</v>
      </c>
      <c r="AO96" s="26" t="n">
        <f aca="false">IF(TblMagic[[#This Row],[Favorable Terrain]],12,IF(OFFSET(TblMagic[[#This Row],[Active Favorable Terrain]],-1,0)&gt;0,OFFSET(TblMagic[[#This Row],[Active Favorable Terrain]],-1,0)-1,0))</f>
        <v>0</v>
      </c>
    </row>
    <row r="97" customFormat="false" ht="12.75" hidden="false" customHeight="false" outlineLevel="0" collapsed="false">
      <c r="A97" s="128" t="n">
        <f aca="false">TblRezone[[#This Row],[Hour]]</f>
        <v>94</v>
      </c>
      <c r="B97" s="146" t="n">
        <f aca="false">TblConstr[[#This Row],[Land]]</f>
        <v>700</v>
      </c>
      <c r="C97" s="69" t="n">
        <f aca="false">TblProd[[#This Row],[Mana]]</f>
        <v>8119.5</v>
      </c>
      <c r="D97" s="149" t="n">
        <f aca="false">MIN(1,OFFSET(TblMagic[[#This Row],[Wiz str]],-1,0)+0.04+ROUNDDOWN(10*OFFSET(TblMili[[#This Row],[WG''s]],-1,0),0)+ tech_2_7*OFFSET(TblTech[[#This Row],[2-7]],-1,0) + tech_5_6*OFFSET(TblTech[[#This Row],[5-6]],-1,0) )-TblMagic[[#This Row],[Wiz str cost]]</f>
        <v>1</v>
      </c>
      <c r="E97" s="153" t="n">
        <f aca="false">OFFSET(TblMagic[[#This Row],[Time]],-1,0)+1/24</f>
        <v>45433.625</v>
      </c>
      <c r="F97" s="149" t="n">
        <f aca="false">TblImps[[#This Row],[Population]]</f>
        <v>1</v>
      </c>
      <c r="G97" s="248"/>
      <c r="H97" s="248"/>
      <c r="I97" s="248"/>
      <c r="J97" s="248"/>
      <c r="K97" s="312"/>
      <c r="L97" s="248"/>
      <c r="M97" s="248"/>
      <c r="N97" s="248"/>
      <c r="O97" s="248"/>
      <c r="P97" s="248"/>
      <c r="Q97" s="248"/>
      <c r="R97" s="248"/>
      <c r="S97" s="248"/>
      <c r="T97" s="248"/>
      <c r="U97" s="248"/>
      <c r="V97" s="248"/>
      <c r="W97" s="132"/>
      <c r="X9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49" t="n">
        <f aca="false">SUMIF(TblMagic[[#This Row],[Gaia''s Watch]:[Useless spell]],1)*0.05</f>
        <v>0</v>
      </c>
      <c r="Z97" s="132"/>
      <c r="AA97" s="26" t="n">
        <f aca="false">IF(TblMagic[[#This Row],[Gaia''s Watch]],12,IF(OFFSET(TblMagic[[#This Row],[Active Gaia''s Watch]],-1,0)&gt;0,OFFSET(TblMagic[[#This Row],[Active Gaia''s Watch]],-1,0)-1,0))</f>
        <v>0</v>
      </c>
      <c r="AB97" s="26" t="n">
        <f aca="false">IF(TblMagic[[#This Row],[Mining Strength]],12,IF(OFFSET(TblMagic[[#This Row],[Active Mining Strength]],-1,0)&gt;0,OFFSET(TblMagic[[#This Row],[Active Mining Strength]],-1,0)-1,0))</f>
        <v>0</v>
      </c>
      <c r="AC97" s="26" t="n">
        <f aca="false">IF(TblMagic[[#This Row],[Ares Call]],12,IF(OFFSET(TblMagic[[#This Row],[Active Ares Call]],-1,0)&gt;0,OFFSET(TblMagic[[#This Row],[Active Ares Call]],-1,0)-1,0))</f>
        <v>3</v>
      </c>
      <c r="AD97" s="26" t="n">
        <f aca="false">IF(TblMagic[[#This Row],[Midas Touch]],12,IF(OFFSET(TblMagic[[#This Row],[Active Midas Touch]],-1,0)&gt;0,OFFSET(TblMagic[[#This Row],[Active Midas Touch]],-1,0)-1,0))</f>
        <v>3</v>
      </c>
      <c r="AE97" s="26" t="n">
        <f aca="false">IF(TblMagic[[#This Row],[Harmony]],12,IF(OFFSET(TblMagic[[#This Row],[Active Harmony]],-1,0)&gt;0,OFFSET(TblMagic[[#This Row],[Active Harmony]],-1,0)-1,0))</f>
        <v>0</v>
      </c>
      <c r="AF97" s="26" t="n">
        <f aca="false">IF(TblMagic[[#This Row],[Miner''s Sight]],12,IF(OFFSET(TblMagic[[#This Row],[Active Miner''s Sight]],-1,0)&gt;0,OFFSET(TblMagic[[#This Row],[Active Miner''s Sight]],-1,0)-1,0))</f>
        <v>0</v>
      </c>
      <c r="AG97" s="26" t="n">
        <f aca="false">IF(TblMagic[[#This Row],[Mechanical Genius]],12,IF(OFFSET(TblMagic[[#This Row],[Active Mechanical Genius]],-1,0)&gt;0,OFFSET(TblMagic[[#This Row],[Active Mechanical Genius]],-1,0)-1,0))</f>
        <v>0</v>
      </c>
      <c r="AH97" s="26" t="n">
        <f aca="false">IF(TblMagic[[#This Row],[Frenzy]],12,IF(OFFSET(TblMagic[[#This Row],[Active Frenzy]],-1,0)&gt;0,OFFSET(TblMagic[[#This Row],[Active Frenzy]],-1,0)-1,0))</f>
        <v>0</v>
      </c>
      <c r="AI97" s="26" t="n">
        <f aca="false">IF(TblMagic[[#This Row],[Killing Rage / Bloodrage / Crusade]],12,IF(OFFSET(TblMagic[[#This Row],[Active Warsong / Killing Rage / Bloodrage]],-1,0)&gt;0,OFFSET(TblMagic[[#This Row],[Active Warsong / Killing Rage / Bloodrage]],-1,0)-1,0))</f>
        <v>0</v>
      </c>
      <c r="AJ97" s="26" t="n">
        <f aca="false">IF(TblMagic[[#This Row],[Gaia''s Blessing]],12,IF(OFFSET(TblMagic[[#This Row],[Active Gaia''s Blessing]],-1,0)&gt;0,OFFSET(TblMagic[[#This Row],[Active Gaia''s Blessing]],-1,0)-1,0))</f>
        <v>0</v>
      </c>
      <c r="AK97" s="26" t="n">
        <f aca="false">IF(TblMagic[[#This Row],[Howling]],12,IF(OFFSET(TblMagic[[#This Row],[Active Howling]],-1,0)&gt;0,OFFSET(TblMagic[[#This Row],[Active Howling]],-1,0)-1,0))</f>
        <v>0</v>
      </c>
      <c r="AL97" s="26" t="n">
        <f aca="false">IF(TblMagic[[#This Row],[Alchemist Frost]],12,IF(OFFSET(TblMagic[[#This Row],[Active Alch Frost]],-1,0)&gt;0,OFFSET(TblMagic[[#This Row],[Active Alch Frost]],-1,0)-1,0))</f>
        <v>0</v>
      </c>
      <c r="AM97" s="26" t="n">
        <f aca="false">IF(TblMagic[[#This Row],[Alchemists Flame]],12,IF(OFFSET(TblMagic[[#This Row],[Active Alchemists Flame]],-1,0)&gt;0,OFFSET(TblMagic[[#This Row],[Active Alchemists Flame]],-1,0)-1,0))</f>
        <v>3</v>
      </c>
      <c r="AN97" s="26" t="n">
        <f aca="false">IF(TblMagic[[#This Row],[Nightfall]],12,IF(OFFSET(TblMagic[[#This Row],[Active Nightfall]],-1,0)&gt;0,OFFSET(TblMagic[[#This Row],[Active Nightfall]],-1,0)-1,0))</f>
        <v>0</v>
      </c>
      <c r="AO97" s="26" t="n">
        <f aca="false">IF(TblMagic[[#This Row],[Favorable Terrain]],12,IF(OFFSET(TblMagic[[#This Row],[Active Favorable Terrain]],-1,0)&gt;0,OFFSET(TblMagic[[#This Row],[Active Favorable Terrain]],-1,0)-1,0))</f>
        <v>0</v>
      </c>
    </row>
    <row r="98" customFormat="false" ht="12.75" hidden="false" customHeight="false" outlineLevel="0" collapsed="false">
      <c r="A98" s="128" t="n">
        <f aca="false">TblRezone[[#This Row],[Hour]]</f>
        <v>95</v>
      </c>
      <c r="B98" s="146" t="n">
        <f aca="false">TblConstr[[#This Row],[Land]]</f>
        <v>700</v>
      </c>
      <c r="C98" s="69" t="n">
        <f aca="false">TblProd[[#This Row],[Mana]]</f>
        <v>8682.5</v>
      </c>
      <c r="D98" s="149" t="n">
        <f aca="false">MIN(1,OFFSET(TblMagic[[#This Row],[Wiz str]],-1,0)+0.04+ROUNDDOWN(10*OFFSET(TblMili[[#This Row],[WG''s]],-1,0),0)+ tech_2_7*OFFSET(TblTech[[#This Row],[2-7]],-1,0) + tech_5_6*OFFSET(TblTech[[#This Row],[5-6]],-1,0) )-TblMagic[[#This Row],[Wiz str cost]]</f>
        <v>1</v>
      </c>
      <c r="E98" s="153" t="n">
        <f aca="false">OFFSET(TblMagic[[#This Row],[Time]],-1,0)+1/24</f>
        <v>45433.6666666667</v>
      </c>
      <c r="F98" s="149" t="n">
        <f aca="false">TblImps[[#This Row],[Population]]</f>
        <v>1</v>
      </c>
      <c r="G98" s="248"/>
      <c r="H98" s="248"/>
      <c r="I98" s="248"/>
      <c r="J98" s="248"/>
      <c r="K98" s="312"/>
      <c r="L98" s="248"/>
      <c r="M98" s="248"/>
      <c r="N98" s="248"/>
      <c r="O98" s="248"/>
      <c r="P98" s="248"/>
      <c r="Q98" s="248"/>
      <c r="R98" s="248"/>
      <c r="S98" s="248"/>
      <c r="T98" s="248"/>
      <c r="U98" s="248"/>
      <c r="V98" s="248"/>
      <c r="W98" s="132"/>
      <c r="X9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49" t="n">
        <f aca="false">SUMIF(TblMagic[[#This Row],[Gaia''s Watch]:[Useless spell]],1)*0.05</f>
        <v>0</v>
      </c>
      <c r="Z98" s="132"/>
      <c r="AA98" s="26" t="n">
        <f aca="false">IF(TblMagic[[#This Row],[Gaia''s Watch]],12,IF(OFFSET(TblMagic[[#This Row],[Active Gaia''s Watch]],-1,0)&gt;0,OFFSET(TblMagic[[#This Row],[Active Gaia''s Watch]],-1,0)-1,0))</f>
        <v>0</v>
      </c>
      <c r="AB98" s="26" t="n">
        <f aca="false">IF(TblMagic[[#This Row],[Mining Strength]],12,IF(OFFSET(TblMagic[[#This Row],[Active Mining Strength]],-1,0)&gt;0,OFFSET(TblMagic[[#This Row],[Active Mining Strength]],-1,0)-1,0))</f>
        <v>0</v>
      </c>
      <c r="AC98" s="26" t="n">
        <f aca="false">IF(TblMagic[[#This Row],[Ares Call]],12,IF(OFFSET(TblMagic[[#This Row],[Active Ares Call]],-1,0)&gt;0,OFFSET(TblMagic[[#This Row],[Active Ares Call]],-1,0)-1,0))</f>
        <v>2</v>
      </c>
      <c r="AD98" s="26" t="n">
        <f aca="false">IF(TblMagic[[#This Row],[Midas Touch]],12,IF(OFFSET(TblMagic[[#This Row],[Active Midas Touch]],-1,0)&gt;0,OFFSET(TblMagic[[#This Row],[Active Midas Touch]],-1,0)-1,0))</f>
        <v>2</v>
      </c>
      <c r="AE98" s="26" t="n">
        <f aca="false">IF(TblMagic[[#This Row],[Harmony]],12,IF(OFFSET(TblMagic[[#This Row],[Active Harmony]],-1,0)&gt;0,OFFSET(TblMagic[[#This Row],[Active Harmony]],-1,0)-1,0))</f>
        <v>0</v>
      </c>
      <c r="AF98" s="26" t="n">
        <f aca="false">IF(TblMagic[[#This Row],[Miner''s Sight]],12,IF(OFFSET(TblMagic[[#This Row],[Active Miner''s Sight]],-1,0)&gt;0,OFFSET(TblMagic[[#This Row],[Active Miner''s Sight]],-1,0)-1,0))</f>
        <v>0</v>
      </c>
      <c r="AG98" s="26" t="n">
        <f aca="false">IF(TblMagic[[#This Row],[Mechanical Genius]],12,IF(OFFSET(TblMagic[[#This Row],[Active Mechanical Genius]],-1,0)&gt;0,OFFSET(TblMagic[[#This Row],[Active Mechanical Genius]],-1,0)-1,0))</f>
        <v>0</v>
      </c>
      <c r="AH98" s="26" t="n">
        <f aca="false">IF(TblMagic[[#This Row],[Frenzy]],12,IF(OFFSET(TblMagic[[#This Row],[Active Frenzy]],-1,0)&gt;0,OFFSET(TblMagic[[#This Row],[Active Frenzy]],-1,0)-1,0))</f>
        <v>0</v>
      </c>
      <c r="AI98" s="26" t="n">
        <f aca="false">IF(TblMagic[[#This Row],[Killing Rage / Bloodrage / Crusade]],12,IF(OFFSET(TblMagic[[#This Row],[Active Warsong / Killing Rage / Bloodrage]],-1,0)&gt;0,OFFSET(TblMagic[[#This Row],[Active Warsong / Killing Rage / Bloodrage]],-1,0)-1,0))</f>
        <v>0</v>
      </c>
      <c r="AJ98" s="26" t="n">
        <f aca="false">IF(TblMagic[[#This Row],[Gaia''s Blessing]],12,IF(OFFSET(TblMagic[[#This Row],[Active Gaia''s Blessing]],-1,0)&gt;0,OFFSET(TblMagic[[#This Row],[Active Gaia''s Blessing]],-1,0)-1,0))</f>
        <v>0</v>
      </c>
      <c r="AK98" s="26" t="n">
        <f aca="false">IF(TblMagic[[#This Row],[Howling]],12,IF(OFFSET(TblMagic[[#This Row],[Active Howling]],-1,0)&gt;0,OFFSET(TblMagic[[#This Row],[Active Howling]],-1,0)-1,0))</f>
        <v>0</v>
      </c>
      <c r="AL98" s="26" t="n">
        <f aca="false">IF(TblMagic[[#This Row],[Alchemist Frost]],12,IF(OFFSET(TblMagic[[#This Row],[Active Alch Frost]],-1,0)&gt;0,OFFSET(TblMagic[[#This Row],[Active Alch Frost]],-1,0)-1,0))</f>
        <v>0</v>
      </c>
      <c r="AM98" s="26" t="n">
        <f aca="false">IF(TblMagic[[#This Row],[Alchemists Flame]],12,IF(OFFSET(TblMagic[[#This Row],[Active Alchemists Flame]],-1,0)&gt;0,OFFSET(TblMagic[[#This Row],[Active Alchemists Flame]],-1,0)-1,0))</f>
        <v>2</v>
      </c>
      <c r="AN98" s="26" t="n">
        <f aca="false">IF(TblMagic[[#This Row],[Nightfall]],12,IF(OFFSET(TblMagic[[#This Row],[Active Nightfall]],-1,0)&gt;0,OFFSET(TblMagic[[#This Row],[Active Nightfall]],-1,0)-1,0))</f>
        <v>0</v>
      </c>
      <c r="AO98" s="26" t="n">
        <f aca="false">IF(TblMagic[[#This Row],[Favorable Terrain]],12,IF(OFFSET(TblMagic[[#This Row],[Active Favorable Terrain]],-1,0)&gt;0,OFFSET(TblMagic[[#This Row],[Active Favorable Terrain]],-1,0)-1,0))</f>
        <v>0</v>
      </c>
    </row>
    <row r="99" customFormat="false" ht="12.75" hidden="false" customHeight="false" outlineLevel="0" collapsed="false">
      <c r="A99" s="128" t="n">
        <f aca="false">TblRezone[[#This Row],[Hour]]</f>
        <v>96</v>
      </c>
      <c r="B99" s="146" t="n">
        <f aca="false">TblConstr[[#This Row],[Land]]</f>
        <v>700</v>
      </c>
      <c r="C99" s="69" t="n">
        <f aca="false">TblProd[[#This Row],[Mana]]</f>
        <v>9233.5</v>
      </c>
      <c r="D99" s="149" t="n">
        <f aca="false">MIN(1,OFFSET(TblMagic[[#This Row],[Wiz str]],-1,0)+0.04+ROUNDDOWN(10*OFFSET(TblMili[[#This Row],[WG''s]],-1,0),0)+ tech_2_7*OFFSET(TblTech[[#This Row],[2-7]],-1,0) + tech_5_6*OFFSET(TblTech[[#This Row],[5-6]],-1,0) )-TblMagic[[#This Row],[Wiz str cost]]</f>
        <v>1</v>
      </c>
      <c r="E99" s="153" t="n">
        <f aca="false">OFFSET(TblMagic[[#This Row],[Time]],-1,0)+1/24</f>
        <v>45433.7083333333</v>
      </c>
      <c r="F99" s="149" t="n">
        <f aca="false">TblImps[[#This Row],[Population]]</f>
        <v>1</v>
      </c>
      <c r="G99" s="248"/>
      <c r="H99" s="248"/>
      <c r="I99" s="248"/>
      <c r="J99" s="248"/>
      <c r="K99" s="312"/>
      <c r="L99" s="248"/>
      <c r="M99" s="248"/>
      <c r="N99" s="248"/>
      <c r="O99" s="248"/>
      <c r="P99" s="248"/>
      <c r="Q99" s="248"/>
      <c r="R99" s="248"/>
      <c r="S99" s="248"/>
      <c r="T99" s="248"/>
      <c r="U99" s="248"/>
      <c r="V99" s="248"/>
      <c r="W99" s="132"/>
      <c r="X9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49" t="n">
        <f aca="false">SUMIF(TblMagic[[#This Row],[Gaia''s Watch]:[Useless spell]],1)*0.05</f>
        <v>0</v>
      </c>
      <c r="Z99" s="132"/>
      <c r="AA99" s="26" t="n">
        <f aca="false">IF(TblMagic[[#This Row],[Gaia''s Watch]],12,IF(OFFSET(TblMagic[[#This Row],[Active Gaia''s Watch]],-1,0)&gt;0,OFFSET(TblMagic[[#This Row],[Active Gaia''s Watch]],-1,0)-1,0))</f>
        <v>0</v>
      </c>
      <c r="AB99" s="26" t="n">
        <f aca="false">IF(TblMagic[[#This Row],[Mining Strength]],12,IF(OFFSET(TblMagic[[#This Row],[Active Mining Strength]],-1,0)&gt;0,OFFSET(TblMagic[[#This Row],[Active Mining Strength]],-1,0)-1,0))</f>
        <v>0</v>
      </c>
      <c r="AC99" s="26" t="n">
        <f aca="false">IF(TblMagic[[#This Row],[Ares Call]],12,IF(OFFSET(TblMagic[[#This Row],[Active Ares Call]],-1,0)&gt;0,OFFSET(TblMagic[[#This Row],[Active Ares Call]],-1,0)-1,0))</f>
        <v>1</v>
      </c>
      <c r="AD99" s="26" t="n">
        <f aca="false">IF(TblMagic[[#This Row],[Midas Touch]],12,IF(OFFSET(TblMagic[[#This Row],[Active Midas Touch]],-1,0)&gt;0,OFFSET(TblMagic[[#This Row],[Active Midas Touch]],-1,0)-1,0))</f>
        <v>1</v>
      </c>
      <c r="AE99" s="26" t="n">
        <f aca="false">IF(TblMagic[[#This Row],[Harmony]],12,IF(OFFSET(TblMagic[[#This Row],[Active Harmony]],-1,0)&gt;0,OFFSET(TblMagic[[#This Row],[Active Harmony]],-1,0)-1,0))</f>
        <v>0</v>
      </c>
      <c r="AF99" s="26" t="n">
        <f aca="false">IF(TblMagic[[#This Row],[Miner''s Sight]],12,IF(OFFSET(TblMagic[[#This Row],[Active Miner''s Sight]],-1,0)&gt;0,OFFSET(TblMagic[[#This Row],[Active Miner''s Sight]],-1,0)-1,0))</f>
        <v>0</v>
      </c>
      <c r="AG99" s="26" t="n">
        <f aca="false">IF(TblMagic[[#This Row],[Mechanical Genius]],12,IF(OFFSET(TblMagic[[#This Row],[Active Mechanical Genius]],-1,0)&gt;0,OFFSET(TblMagic[[#This Row],[Active Mechanical Genius]],-1,0)-1,0))</f>
        <v>0</v>
      </c>
      <c r="AH99" s="26" t="n">
        <f aca="false">IF(TblMagic[[#This Row],[Frenzy]],12,IF(OFFSET(TblMagic[[#This Row],[Active Frenzy]],-1,0)&gt;0,OFFSET(TblMagic[[#This Row],[Active Frenzy]],-1,0)-1,0))</f>
        <v>0</v>
      </c>
      <c r="AI99" s="26" t="n">
        <f aca="false">IF(TblMagic[[#This Row],[Killing Rage / Bloodrage / Crusade]],12,IF(OFFSET(TblMagic[[#This Row],[Active Warsong / Killing Rage / Bloodrage]],-1,0)&gt;0,OFFSET(TblMagic[[#This Row],[Active Warsong / Killing Rage / Bloodrage]],-1,0)-1,0))</f>
        <v>0</v>
      </c>
      <c r="AJ99" s="26" t="n">
        <f aca="false">IF(TblMagic[[#This Row],[Gaia''s Blessing]],12,IF(OFFSET(TblMagic[[#This Row],[Active Gaia''s Blessing]],-1,0)&gt;0,OFFSET(TblMagic[[#This Row],[Active Gaia''s Blessing]],-1,0)-1,0))</f>
        <v>0</v>
      </c>
      <c r="AK99" s="26" t="n">
        <f aca="false">IF(TblMagic[[#This Row],[Howling]],12,IF(OFFSET(TblMagic[[#This Row],[Active Howling]],-1,0)&gt;0,OFFSET(TblMagic[[#This Row],[Active Howling]],-1,0)-1,0))</f>
        <v>0</v>
      </c>
      <c r="AL99" s="26" t="n">
        <f aca="false">IF(TblMagic[[#This Row],[Alchemist Frost]],12,IF(OFFSET(TblMagic[[#This Row],[Active Alch Frost]],-1,0)&gt;0,OFFSET(TblMagic[[#This Row],[Active Alch Frost]],-1,0)-1,0))</f>
        <v>0</v>
      </c>
      <c r="AM99" s="26" t="n">
        <f aca="false">IF(TblMagic[[#This Row],[Alchemists Flame]],12,IF(OFFSET(TblMagic[[#This Row],[Active Alchemists Flame]],-1,0)&gt;0,OFFSET(TblMagic[[#This Row],[Active Alchemists Flame]],-1,0)-1,0))</f>
        <v>1</v>
      </c>
      <c r="AN99" s="26" t="n">
        <f aca="false">IF(TblMagic[[#This Row],[Nightfall]],12,IF(OFFSET(TblMagic[[#This Row],[Active Nightfall]],-1,0)&gt;0,OFFSET(TblMagic[[#This Row],[Active Nightfall]],-1,0)-1,0))</f>
        <v>0</v>
      </c>
      <c r="AO99" s="26" t="n">
        <f aca="false">IF(TblMagic[[#This Row],[Favorable Terrain]],12,IF(OFFSET(TblMagic[[#This Row],[Active Favorable Terrain]],-1,0)&gt;0,OFFSET(TblMagic[[#This Row],[Active Favorable Terrain]],-1,0)-1,0))</f>
        <v>0</v>
      </c>
    </row>
    <row r="100" customFormat="false" ht="12.75" hidden="false" customHeight="false" outlineLevel="0" collapsed="false">
      <c r="A100" s="128" t="n">
        <f aca="false">TblRezone[[#This Row],[Hour]]</f>
        <v>97</v>
      </c>
      <c r="B100" s="146" t="n">
        <f aca="false">TblConstr[[#This Row],[Land]]</f>
        <v>700</v>
      </c>
      <c r="C100" s="69" t="n">
        <f aca="false">TblProd[[#This Row],[Mana]]</f>
        <v>2773.5</v>
      </c>
      <c r="D100" s="149" t="n">
        <f aca="false">MIN(1,OFFSET(TblMagic[[#This Row],[Wiz str]],-1,0)+0.04+ROUNDDOWN(10*OFFSET(TblMili[[#This Row],[WG''s]],-1,0),0)+ tech_2_7*OFFSET(TblTech[[#This Row],[2-7]],-1,0) + tech_5_6*OFFSET(TblTech[[#This Row],[5-6]],-1,0) )-TblMagic[[#This Row],[Wiz str cost]]</f>
        <v>0.85</v>
      </c>
      <c r="E100" s="153" t="n">
        <f aca="false">OFFSET(TblMagic[[#This Row],[Time]],-1,0)+1/24</f>
        <v>45433.75</v>
      </c>
      <c r="F100" s="149" t="n">
        <f aca="false">TblImps[[#This Row],[Population]]</f>
        <v>1</v>
      </c>
      <c r="G100" s="248"/>
      <c r="H100" s="248"/>
      <c r="I100" s="248" t="n">
        <v>1</v>
      </c>
      <c r="J100" s="248" t="n">
        <v>1</v>
      </c>
      <c r="K100" s="312"/>
      <c r="L100" s="248"/>
      <c r="M100" s="248"/>
      <c r="N100" s="248"/>
      <c r="O100" s="248"/>
      <c r="P100" s="248"/>
      <c r="Q100" s="248"/>
      <c r="R100" s="248"/>
      <c r="S100" s="248" t="n">
        <v>1</v>
      </c>
      <c r="T100" s="248"/>
      <c r="U100" s="248"/>
      <c r="V100" s="248"/>
      <c r="W100" s="132"/>
      <c r="X10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100" s="149" t="n">
        <f aca="false">SUMIF(TblMagic[[#This Row],[Gaia''s Watch]:[Useless spell]],1)*0.05</f>
        <v>0.15</v>
      </c>
      <c r="Z100" s="132"/>
      <c r="AA100" s="26" t="n">
        <f aca="false">IF(TblMagic[[#This Row],[Gaia''s Watch]],12,IF(OFFSET(TblMagic[[#This Row],[Active Gaia''s Watch]],-1,0)&gt;0,OFFSET(TblMagic[[#This Row],[Active Gaia''s Watch]],-1,0)-1,0))</f>
        <v>0</v>
      </c>
      <c r="AB100" s="26" t="n">
        <f aca="false">IF(TblMagic[[#This Row],[Mining Strength]],12,IF(OFFSET(TblMagic[[#This Row],[Active Mining Strength]],-1,0)&gt;0,OFFSET(TblMagic[[#This Row],[Active Mining Strength]],-1,0)-1,0))</f>
        <v>0</v>
      </c>
      <c r="AC100" s="26" t="n">
        <f aca="false">IF(TblMagic[[#This Row],[Ares Call]],12,IF(OFFSET(TblMagic[[#This Row],[Active Ares Call]],-1,0)&gt;0,OFFSET(TblMagic[[#This Row],[Active Ares Call]],-1,0)-1,0))</f>
        <v>12</v>
      </c>
      <c r="AD100" s="26" t="n">
        <f aca="false">IF(TblMagic[[#This Row],[Midas Touch]],12,IF(OFFSET(TblMagic[[#This Row],[Active Midas Touch]],-1,0)&gt;0,OFFSET(TblMagic[[#This Row],[Active Midas Touch]],-1,0)-1,0))</f>
        <v>12</v>
      </c>
      <c r="AE100" s="26" t="n">
        <f aca="false">IF(TblMagic[[#This Row],[Harmony]],12,IF(OFFSET(TblMagic[[#This Row],[Active Harmony]],-1,0)&gt;0,OFFSET(TblMagic[[#This Row],[Active Harmony]],-1,0)-1,0))</f>
        <v>0</v>
      </c>
      <c r="AF100" s="26" t="n">
        <f aca="false">IF(TblMagic[[#This Row],[Miner''s Sight]],12,IF(OFFSET(TblMagic[[#This Row],[Active Miner''s Sight]],-1,0)&gt;0,OFFSET(TblMagic[[#This Row],[Active Miner''s Sight]],-1,0)-1,0))</f>
        <v>0</v>
      </c>
      <c r="AG100" s="26" t="n">
        <f aca="false">IF(TblMagic[[#This Row],[Mechanical Genius]],12,IF(OFFSET(TblMagic[[#This Row],[Active Mechanical Genius]],-1,0)&gt;0,OFFSET(TblMagic[[#This Row],[Active Mechanical Genius]],-1,0)-1,0))</f>
        <v>0</v>
      </c>
      <c r="AH100" s="26" t="n">
        <f aca="false">IF(TblMagic[[#This Row],[Frenzy]],12,IF(OFFSET(TblMagic[[#This Row],[Active Frenzy]],-1,0)&gt;0,OFFSET(TblMagic[[#This Row],[Active Frenzy]],-1,0)-1,0))</f>
        <v>0</v>
      </c>
      <c r="AI100" s="26" t="n">
        <f aca="false">IF(TblMagic[[#This Row],[Killing Rage / Bloodrage / Crusade]],12,IF(OFFSET(TblMagic[[#This Row],[Active Warsong / Killing Rage / Bloodrage]],-1,0)&gt;0,OFFSET(TblMagic[[#This Row],[Active Warsong / Killing Rage / Bloodrage]],-1,0)-1,0))</f>
        <v>0</v>
      </c>
      <c r="AJ100" s="26" t="n">
        <f aca="false">IF(TblMagic[[#This Row],[Gaia''s Blessing]],12,IF(OFFSET(TblMagic[[#This Row],[Active Gaia''s Blessing]],-1,0)&gt;0,OFFSET(TblMagic[[#This Row],[Active Gaia''s Blessing]],-1,0)-1,0))</f>
        <v>0</v>
      </c>
      <c r="AK100" s="26" t="n">
        <f aca="false">IF(TblMagic[[#This Row],[Howling]],12,IF(OFFSET(TblMagic[[#This Row],[Active Howling]],-1,0)&gt;0,OFFSET(TblMagic[[#This Row],[Active Howling]],-1,0)-1,0))</f>
        <v>0</v>
      </c>
      <c r="AL100" s="26" t="n">
        <f aca="false">IF(TblMagic[[#This Row],[Alchemist Frost]],12,IF(OFFSET(TblMagic[[#This Row],[Active Alch Frost]],-1,0)&gt;0,OFFSET(TblMagic[[#This Row],[Active Alch Frost]],-1,0)-1,0))</f>
        <v>0</v>
      </c>
      <c r="AM100" s="26" t="n">
        <f aca="false">IF(TblMagic[[#This Row],[Alchemists Flame]],12,IF(OFFSET(TblMagic[[#This Row],[Active Alchemists Flame]],-1,0)&gt;0,OFFSET(TblMagic[[#This Row],[Active Alchemists Flame]],-1,0)-1,0))</f>
        <v>12</v>
      </c>
      <c r="AN100" s="26" t="n">
        <f aca="false">IF(TblMagic[[#This Row],[Nightfall]],12,IF(OFFSET(TblMagic[[#This Row],[Active Nightfall]],-1,0)&gt;0,OFFSET(TblMagic[[#This Row],[Active Nightfall]],-1,0)-1,0))</f>
        <v>0</v>
      </c>
      <c r="AO100" s="26" t="n">
        <f aca="false">IF(TblMagic[[#This Row],[Favorable Terrain]],12,IF(OFFSET(TblMagic[[#This Row],[Active Favorable Terrain]],-1,0)&gt;0,OFFSET(TblMagic[[#This Row],[Active Favorable Terrain]],-1,0)-1,0))</f>
        <v>0</v>
      </c>
    </row>
    <row r="101" customFormat="false" ht="12.75" hidden="false" customHeight="false" outlineLevel="0" collapsed="false">
      <c r="A101" s="128" t="n">
        <f aca="false">TblRezone[[#This Row],[Hour]]</f>
        <v>98</v>
      </c>
      <c r="B101" s="146" t="n">
        <f aca="false">TblConstr[[#This Row],[Land]]</f>
        <v>700</v>
      </c>
      <c r="C101" s="69" t="n">
        <f aca="false">TblProd[[#This Row],[Mana]]</f>
        <v>3443.5</v>
      </c>
      <c r="D101" s="149" t="n">
        <f aca="false">MIN(1,OFFSET(TblMagic[[#This Row],[Wiz str]],-1,0)+0.04+ROUNDDOWN(10*OFFSET(TblMili[[#This Row],[WG''s]],-1,0),0)+ tech_2_7*OFFSET(TblTech[[#This Row],[2-7]],-1,0) + tech_5_6*OFFSET(TblTech[[#This Row],[5-6]],-1,0) )-TblMagic[[#This Row],[Wiz str cost]]</f>
        <v>0.89</v>
      </c>
      <c r="E101" s="153" t="n">
        <f aca="false">OFFSET(TblMagic[[#This Row],[Time]],-1,0)+1/24</f>
        <v>45433.7916666667</v>
      </c>
      <c r="F101" s="149" t="n">
        <f aca="false">TblImps[[#This Row],[Population]]</f>
        <v>1</v>
      </c>
      <c r="G101" s="248"/>
      <c r="H101" s="248"/>
      <c r="I101" s="248"/>
      <c r="J101" s="248"/>
      <c r="K101" s="312"/>
      <c r="L101" s="248"/>
      <c r="M101" s="248"/>
      <c r="N101" s="248"/>
      <c r="O101" s="248"/>
      <c r="P101" s="248"/>
      <c r="Q101" s="248"/>
      <c r="R101" s="248"/>
      <c r="S101" s="248"/>
      <c r="T101" s="248"/>
      <c r="U101" s="248"/>
      <c r="V101" s="248"/>
      <c r="W101" s="132"/>
      <c r="X10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49" t="n">
        <f aca="false">SUMIF(TblMagic[[#This Row],[Gaia''s Watch]:[Useless spell]],1)*0.05</f>
        <v>0</v>
      </c>
      <c r="Z101" s="132"/>
      <c r="AA101" s="26" t="n">
        <f aca="false">IF(TblMagic[[#This Row],[Gaia''s Watch]],12,IF(OFFSET(TblMagic[[#This Row],[Active Gaia''s Watch]],-1,0)&gt;0,OFFSET(TblMagic[[#This Row],[Active Gaia''s Watch]],-1,0)-1,0))</f>
        <v>0</v>
      </c>
      <c r="AB101" s="26" t="n">
        <f aca="false">IF(TblMagic[[#This Row],[Mining Strength]],12,IF(OFFSET(TblMagic[[#This Row],[Active Mining Strength]],-1,0)&gt;0,OFFSET(TblMagic[[#This Row],[Active Mining Strength]],-1,0)-1,0))</f>
        <v>0</v>
      </c>
      <c r="AC101" s="26" t="n">
        <f aca="false">IF(TblMagic[[#This Row],[Ares Call]],12,IF(OFFSET(TblMagic[[#This Row],[Active Ares Call]],-1,0)&gt;0,OFFSET(TblMagic[[#This Row],[Active Ares Call]],-1,0)-1,0))</f>
        <v>11</v>
      </c>
      <c r="AD101" s="26" t="n">
        <f aca="false">IF(TblMagic[[#This Row],[Midas Touch]],12,IF(OFFSET(TblMagic[[#This Row],[Active Midas Touch]],-1,0)&gt;0,OFFSET(TblMagic[[#This Row],[Active Midas Touch]],-1,0)-1,0))</f>
        <v>11</v>
      </c>
      <c r="AE101" s="26" t="n">
        <f aca="false">IF(TblMagic[[#This Row],[Harmony]],12,IF(OFFSET(TblMagic[[#This Row],[Active Harmony]],-1,0)&gt;0,OFFSET(TblMagic[[#This Row],[Active Harmony]],-1,0)-1,0))</f>
        <v>0</v>
      </c>
      <c r="AF101" s="26" t="n">
        <f aca="false">IF(TblMagic[[#This Row],[Miner''s Sight]],12,IF(OFFSET(TblMagic[[#This Row],[Active Miner''s Sight]],-1,0)&gt;0,OFFSET(TblMagic[[#This Row],[Active Miner''s Sight]],-1,0)-1,0))</f>
        <v>0</v>
      </c>
      <c r="AG101" s="26" t="n">
        <f aca="false">IF(TblMagic[[#This Row],[Mechanical Genius]],12,IF(OFFSET(TblMagic[[#This Row],[Active Mechanical Genius]],-1,0)&gt;0,OFFSET(TblMagic[[#This Row],[Active Mechanical Genius]],-1,0)-1,0))</f>
        <v>0</v>
      </c>
      <c r="AH101" s="26" t="n">
        <f aca="false">IF(TblMagic[[#This Row],[Frenzy]],12,IF(OFFSET(TblMagic[[#This Row],[Active Frenzy]],-1,0)&gt;0,OFFSET(TblMagic[[#This Row],[Active Frenzy]],-1,0)-1,0))</f>
        <v>0</v>
      </c>
      <c r="AI101" s="26" t="n">
        <f aca="false">IF(TblMagic[[#This Row],[Killing Rage / Bloodrage / Crusade]],12,IF(OFFSET(TblMagic[[#This Row],[Active Warsong / Killing Rage / Bloodrage]],-1,0)&gt;0,OFFSET(TblMagic[[#This Row],[Active Warsong / Killing Rage / Bloodrage]],-1,0)-1,0))</f>
        <v>0</v>
      </c>
      <c r="AJ101" s="26" t="n">
        <f aca="false">IF(TblMagic[[#This Row],[Gaia''s Blessing]],12,IF(OFFSET(TblMagic[[#This Row],[Active Gaia''s Blessing]],-1,0)&gt;0,OFFSET(TblMagic[[#This Row],[Active Gaia''s Blessing]],-1,0)-1,0))</f>
        <v>0</v>
      </c>
      <c r="AK101" s="26" t="n">
        <f aca="false">IF(TblMagic[[#This Row],[Howling]],12,IF(OFFSET(TblMagic[[#This Row],[Active Howling]],-1,0)&gt;0,OFFSET(TblMagic[[#This Row],[Active Howling]],-1,0)-1,0))</f>
        <v>0</v>
      </c>
      <c r="AL101" s="26" t="n">
        <f aca="false">IF(TblMagic[[#This Row],[Alchemist Frost]],12,IF(OFFSET(TblMagic[[#This Row],[Active Alch Frost]],-1,0)&gt;0,OFFSET(TblMagic[[#This Row],[Active Alch Frost]],-1,0)-1,0))</f>
        <v>0</v>
      </c>
      <c r="AM101" s="26" t="n">
        <f aca="false">IF(TblMagic[[#This Row],[Alchemists Flame]],12,IF(OFFSET(TblMagic[[#This Row],[Active Alchemists Flame]],-1,0)&gt;0,OFFSET(TblMagic[[#This Row],[Active Alchemists Flame]],-1,0)-1,0))</f>
        <v>11</v>
      </c>
      <c r="AN101" s="26" t="n">
        <f aca="false">IF(TblMagic[[#This Row],[Nightfall]],12,IF(OFFSET(TblMagic[[#This Row],[Active Nightfall]],-1,0)&gt;0,OFFSET(TblMagic[[#This Row],[Active Nightfall]],-1,0)-1,0))</f>
        <v>0</v>
      </c>
      <c r="AO101" s="26" t="n">
        <f aca="false">IF(TblMagic[[#This Row],[Favorable Terrain]],12,IF(OFFSET(TblMagic[[#This Row],[Active Favorable Terrain]],-1,0)&gt;0,OFFSET(TblMagic[[#This Row],[Active Favorable Terrain]],-1,0)-1,0))</f>
        <v>0</v>
      </c>
    </row>
    <row r="102" customFormat="false" ht="12.75" hidden="false" customHeight="false" outlineLevel="0" collapsed="false">
      <c r="A102" s="128" t="n">
        <f aca="false">TblRezone[[#This Row],[Hour]]</f>
        <v>99</v>
      </c>
      <c r="B102" s="146" t="n">
        <f aca="false">TblConstr[[#This Row],[Land]]</f>
        <v>700</v>
      </c>
      <c r="C102" s="69" t="n">
        <f aca="false">TblProd[[#This Row],[Mana]]</f>
        <v>4099.5</v>
      </c>
      <c r="D102" s="149" t="n">
        <f aca="false">MIN(1,OFFSET(TblMagic[[#This Row],[Wiz str]],-1,0)+0.04+ROUNDDOWN(10*OFFSET(TblMili[[#This Row],[WG''s]],-1,0),0)+ tech_2_7*OFFSET(TblTech[[#This Row],[2-7]],-1,0) + tech_5_6*OFFSET(TblTech[[#This Row],[5-6]],-1,0) )-TblMagic[[#This Row],[Wiz str cost]]</f>
        <v>0.93</v>
      </c>
      <c r="E102" s="153" t="n">
        <f aca="false">OFFSET(TblMagic[[#This Row],[Time]],-1,0)+1/24</f>
        <v>45433.8333333333</v>
      </c>
      <c r="F102" s="149" t="n">
        <f aca="false">TblImps[[#This Row],[Population]]</f>
        <v>1</v>
      </c>
      <c r="G102" s="248"/>
      <c r="H102" s="248"/>
      <c r="I102" s="248"/>
      <c r="J102" s="248"/>
      <c r="K102" s="312"/>
      <c r="L102" s="248"/>
      <c r="M102" s="248"/>
      <c r="N102" s="248"/>
      <c r="O102" s="248"/>
      <c r="P102" s="248"/>
      <c r="Q102" s="248"/>
      <c r="R102" s="248"/>
      <c r="S102" s="248"/>
      <c r="T102" s="248"/>
      <c r="U102" s="248"/>
      <c r="V102" s="248"/>
      <c r="W102" s="132"/>
      <c r="X10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49" t="n">
        <f aca="false">SUMIF(TblMagic[[#This Row],[Gaia''s Watch]:[Useless spell]],1)*0.05</f>
        <v>0</v>
      </c>
      <c r="Z102" s="132"/>
      <c r="AA102" s="26" t="n">
        <f aca="false">IF(TblMagic[[#This Row],[Gaia''s Watch]],12,IF(OFFSET(TblMagic[[#This Row],[Active Gaia''s Watch]],-1,0)&gt;0,OFFSET(TblMagic[[#This Row],[Active Gaia''s Watch]],-1,0)-1,0))</f>
        <v>0</v>
      </c>
      <c r="AB102" s="26" t="n">
        <f aca="false">IF(TblMagic[[#This Row],[Mining Strength]],12,IF(OFFSET(TblMagic[[#This Row],[Active Mining Strength]],-1,0)&gt;0,OFFSET(TblMagic[[#This Row],[Active Mining Strength]],-1,0)-1,0))</f>
        <v>0</v>
      </c>
      <c r="AC102" s="26" t="n">
        <f aca="false">IF(TblMagic[[#This Row],[Ares Call]],12,IF(OFFSET(TblMagic[[#This Row],[Active Ares Call]],-1,0)&gt;0,OFFSET(TblMagic[[#This Row],[Active Ares Call]],-1,0)-1,0))</f>
        <v>10</v>
      </c>
      <c r="AD102" s="26" t="n">
        <f aca="false">IF(TblMagic[[#This Row],[Midas Touch]],12,IF(OFFSET(TblMagic[[#This Row],[Active Midas Touch]],-1,0)&gt;0,OFFSET(TblMagic[[#This Row],[Active Midas Touch]],-1,0)-1,0))</f>
        <v>10</v>
      </c>
      <c r="AE102" s="26" t="n">
        <f aca="false">IF(TblMagic[[#This Row],[Harmony]],12,IF(OFFSET(TblMagic[[#This Row],[Active Harmony]],-1,0)&gt;0,OFFSET(TblMagic[[#This Row],[Active Harmony]],-1,0)-1,0))</f>
        <v>0</v>
      </c>
      <c r="AF102" s="26" t="n">
        <f aca="false">IF(TblMagic[[#This Row],[Miner''s Sight]],12,IF(OFFSET(TblMagic[[#This Row],[Active Miner''s Sight]],-1,0)&gt;0,OFFSET(TblMagic[[#This Row],[Active Miner''s Sight]],-1,0)-1,0))</f>
        <v>0</v>
      </c>
      <c r="AG102" s="26" t="n">
        <f aca="false">IF(TblMagic[[#This Row],[Mechanical Genius]],12,IF(OFFSET(TblMagic[[#This Row],[Active Mechanical Genius]],-1,0)&gt;0,OFFSET(TblMagic[[#This Row],[Active Mechanical Genius]],-1,0)-1,0))</f>
        <v>0</v>
      </c>
      <c r="AH102" s="26" t="n">
        <f aca="false">IF(TblMagic[[#This Row],[Frenzy]],12,IF(OFFSET(TblMagic[[#This Row],[Active Frenzy]],-1,0)&gt;0,OFFSET(TblMagic[[#This Row],[Active Frenzy]],-1,0)-1,0))</f>
        <v>0</v>
      </c>
      <c r="AI102" s="26" t="n">
        <f aca="false">IF(TblMagic[[#This Row],[Killing Rage / Bloodrage / Crusade]],12,IF(OFFSET(TblMagic[[#This Row],[Active Warsong / Killing Rage / Bloodrage]],-1,0)&gt;0,OFFSET(TblMagic[[#This Row],[Active Warsong / Killing Rage / Bloodrage]],-1,0)-1,0))</f>
        <v>0</v>
      </c>
      <c r="AJ102" s="26" t="n">
        <f aca="false">IF(TblMagic[[#This Row],[Gaia''s Blessing]],12,IF(OFFSET(TblMagic[[#This Row],[Active Gaia''s Blessing]],-1,0)&gt;0,OFFSET(TblMagic[[#This Row],[Active Gaia''s Blessing]],-1,0)-1,0))</f>
        <v>0</v>
      </c>
      <c r="AK102" s="26" t="n">
        <f aca="false">IF(TblMagic[[#This Row],[Howling]],12,IF(OFFSET(TblMagic[[#This Row],[Active Howling]],-1,0)&gt;0,OFFSET(TblMagic[[#This Row],[Active Howling]],-1,0)-1,0))</f>
        <v>0</v>
      </c>
      <c r="AL102" s="26" t="n">
        <f aca="false">IF(TblMagic[[#This Row],[Alchemist Frost]],12,IF(OFFSET(TblMagic[[#This Row],[Active Alch Frost]],-1,0)&gt;0,OFFSET(TblMagic[[#This Row],[Active Alch Frost]],-1,0)-1,0))</f>
        <v>0</v>
      </c>
      <c r="AM102" s="26" t="n">
        <f aca="false">IF(TblMagic[[#This Row],[Alchemists Flame]],12,IF(OFFSET(TblMagic[[#This Row],[Active Alchemists Flame]],-1,0)&gt;0,OFFSET(TblMagic[[#This Row],[Active Alchemists Flame]],-1,0)-1,0))</f>
        <v>10</v>
      </c>
      <c r="AN102" s="26" t="n">
        <f aca="false">IF(TblMagic[[#This Row],[Nightfall]],12,IF(OFFSET(TblMagic[[#This Row],[Active Nightfall]],-1,0)&gt;0,OFFSET(TblMagic[[#This Row],[Active Nightfall]],-1,0)-1,0))</f>
        <v>0</v>
      </c>
      <c r="AO102" s="26" t="n">
        <f aca="false">IF(TblMagic[[#This Row],[Favorable Terrain]],12,IF(OFFSET(TblMagic[[#This Row],[Active Favorable Terrain]],-1,0)&gt;0,OFFSET(TblMagic[[#This Row],[Active Favorable Terrain]],-1,0)-1,0))</f>
        <v>0</v>
      </c>
    </row>
    <row r="103" customFormat="false" ht="12.75" hidden="false" customHeight="false" outlineLevel="0" collapsed="false">
      <c r="A103" s="128" t="n">
        <f aca="false">TblRezone[[#This Row],[Hour]]</f>
        <v>100</v>
      </c>
      <c r="B103" s="146" t="n">
        <f aca="false">TblConstr[[#This Row],[Land]]</f>
        <v>700</v>
      </c>
      <c r="C103" s="69" t="n">
        <f aca="false">TblProd[[#This Row],[Mana]]</f>
        <v>4742.5</v>
      </c>
      <c r="D103" s="149" t="n">
        <f aca="false">MIN(1,OFFSET(TblMagic[[#This Row],[Wiz str]],-1,0)+0.04+ROUNDDOWN(10*OFFSET(TblMili[[#This Row],[WG''s]],-1,0),0)+ tech_2_7*OFFSET(TblTech[[#This Row],[2-7]],-1,0) + tech_5_6*OFFSET(TblTech[[#This Row],[5-6]],-1,0) )-TblMagic[[#This Row],[Wiz str cost]]</f>
        <v>0.97</v>
      </c>
      <c r="E103" s="153" t="n">
        <f aca="false">OFFSET(TblMagic[[#This Row],[Time]],-1,0)+1/24</f>
        <v>45433.875</v>
      </c>
      <c r="F103" s="149" t="n">
        <f aca="false">TblImps[[#This Row],[Population]]</f>
        <v>1</v>
      </c>
      <c r="G103" s="248"/>
      <c r="H103" s="248"/>
      <c r="I103" s="248"/>
      <c r="J103" s="248"/>
      <c r="K103" s="312"/>
      <c r="L103" s="248"/>
      <c r="M103" s="248"/>
      <c r="N103" s="248"/>
      <c r="O103" s="248"/>
      <c r="P103" s="248"/>
      <c r="Q103" s="248"/>
      <c r="R103" s="248"/>
      <c r="S103" s="248"/>
      <c r="T103" s="248"/>
      <c r="U103" s="248"/>
      <c r="V103" s="248"/>
      <c r="W103" s="132"/>
      <c r="X10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49" t="n">
        <f aca="false">SUMIF(TblMagic[[#This Row],[Gaia''s Watch]:[Useless spell]],1)*0.05</f>
        <v>0</v>
      </c>
      <c r="Z103" s="132"/>
      <c r="AA103" s="26" t="n">
        <f aca="false">IF(TblMagic[[#This Row],[Gaia''s Watch]],12,IF(OFFSET(TblMagic[[#This Row],[Active Gaia''s Watch]],-1,0)&gt;0,OFFSET(TblMagic[[#This Row],[Active Gaia''s Watch]],-1,0)-1,0))</f>
        <v>0</v>
      </c>
      <c r="AB103" s="26" t="n">
        <f aca="false">IF(TblMagic[[#This Row],[Mining Strength]],12,IF(OFFSET(TblMagic[[#This Row],[Active Mining Strength]],-1,0)&gt;0,OFFSET(TblMagic[[#This Row],[Active Mining Strength]],-1,0)-1,0))</f>
        <v>0</v>
      </c>
      <c r="AC103" s="26" t="n">
        <f aca="false">IF(TblMagic[[#This Row],[Ares Call]],12,IF(OFFSET(TblMagic[[#This Row],[Active Ares Call]],-1,0)&gt;0,OFFSET(TblMagic[[#This Row],[Active Ares Call]],-1,0)-1,0))</f>
        <v>9</v>
      </c>
      <c r="AD103" s="26" t="n">
        <f aca="false">IF(TblMagic[[#This Row],[Midas Touch]],12,IF(OFFSET(TblMagic[[#This Row],[Active Midas Touch]],-1,0)&gt;0,OFFSET(TblMagic[[#This Row],[Active Midas Touch]],-1,0)-1,0))</f>
        <v>9</v>
      </c>
      <c r="AE103" s="26" t="n">
        <f aca="false">IF(TblMagic[[#This Row],[Harmony]],12,IF(OFFSET(TblMagic[[#This Row],[Active Harmony]],-1,0)&gt;0,OFFSET(TblMagic[[#This Row],[Active Harmony]],-1,0)-1,0))</f>
        <v>0</v>
      </c>
      <c r="AF103" s="26" t="n">
        <f aca="false">IF(TblMagic[[#This Row],[Miner''s Sight]],12,IF(OFFSET(TblMagic[[#This Row],[Active Miner''s Sight]],-1,0)&gt;0,OFFSET(TblMagic[[#This Row],[Active Miner''s Sight]],-1,0)-1,0))</f>
        <v>0</v>
      </c>
      <c r="AG103" s="26" t="n">
        <f aca="false">IF(TblMagic[[#This Row],[Mechanical Genius]],12,IF(OFFSET(TblMagic[[#This Row],[Active Mechanical Genius]],-1,0)&gt;0,OFFSET(TblMagic[[#This Row],[Active Mechanical Genius]],-1,0)-1,0))</f>
        <v>0</v>
      </c>
      <c r="AH103" s="26" t="n">
        <f aca="false">IF(TblMagic[[#This Row],[Frenzy]],12,IF(OFFSET(TblMagic[[#This Row],[Active Frenzy]],-1,0)&gt;0,OFFSET(TblMagic[[#This Row],[Active Frenzy]],-1,0)-1,0))</f>
        <v>0</v>
      </c>
      <c r="AI103" s="26" t="n">
        <f aca="false">IF(TblMagic[[#This Row],[Killing Rage / Bloodrage / Crusade]],12,IF(OFFSET(TblMagic[[#This Row],[Active Warsong / Killing Rage / Bloodrage]],-1,0)&gt;0,OFFSET(TblMagic[[#This Row],[Active Warsong / Killing Rage / Bloodrage]],-1,0)-1,0))</f>
        <v>0</v>
      </c>
      <c r="AJ103" s="26" t="n">
        <f aca="false">IF(TblMagic[[#This Row],[Gaia''s Blessing]],12,IF(OFFSET(TblMagic[[#This Row],[Active Gaia''s Blessing]],-1,0)&gt;0,OFFSET(TblMagic[[#This Row],[Active Gaia''s Blessing]],-1,0)-1,0))</f>
        <v>0</v>
      </c>
      <c r="AK103" s="26" t="n">
        <f aca="false">IF(TblMagic[[#This Row],[Howling]],12,IF(OFFSET(TblMagic[[#This Row],[Active Howling]],-1,0)&gt;0,OFFSET(TblMagic[[#This Row],[Active Howling]],-1,0)-1,0))</f>
        <v>0</v>
      </c>
      <c r="AL103" s="26" t="n">
        <f aca="false">IF(TblMagic[[#This Row],[Alchemist Frost]],12,IF(OFFSET(TblMagic[[#This Row],[Active Alch Frost]],-1,0)&gt;0,OFFSET(TblMagic[[#This Row],[Active Alch Frost]],-1,0)-1,0))</f>
        <v>0</v>
      </c>
      <c r="AM103" s="26" t="n">
        <f aca="false">IF(TblMagic[[#This Row],[Alchemists Flame]],12,IF(OFFSET(TblMagic[[#This Row],[Active Alchemists Flame]],-1,0)&gt;0,OFFSET(TblMagic[[#This Row],[Active Alchemists Flame]],-1,0)-1,0))</f>
        <v>9</v>
      </c>
      <c r="AN103" s="26" t="n">
        <f aca="false">IF(TblMagic[[#This Row],[Nightfall]],12,IF(OFFSET(TblMagic[[#This Row],[Active Nightfall]],-1,0)&gt;0,OFFSET(TblMagic[[#This Row],[Active Nightfall]],-1,0)-1,0))</f>
        <v>0</v>
      </c>
      <c r="AO103" s="26" t="n">
        <f aca="false">IF(TblMagic[[#This Row],[Favorable Terrain]],12,IF(OFFSET(TblMagic[[#This Row],[Active Favorable Terrain]],-1,0)&gt;0,OFFSET(TblMagic[[#This Row],[Active Favorable Terrain]],-1,0)-1,0))</f>
        <v>0</v>
      </c>
    </row>
    <row r="104" customFormat="false" ht="12.75" hidden="false" customHeight="false" outlineLevel="0" collapsed="false">
      <c r="A104" s="128" t="n">
        <f aca="false">TblRezone[[#This Row],[Hour]]</f>
        <v>101</v>
      </c>
      <c r="B104" s="146" t="n">
        <f aca="false">TblConstr[[#This Row],[Land]]</f>
        <v>700</v>
      </c>
      <c r="C104" s="69" t="n">
        <f aca="false">TblProd[[#This Row],[Mana]]</f>
        <v>5372.5</v>
      </c>
      <c r="D104" s="149" t="n">
        <f aca="false">MIN(1,OFFSET(TblMagic[[#This Row],[Wiz str]],-1,0)+0.04+ROUNDDOWN(10*OFFSET(TblMili[[#This Row],[WG''s]],-1,0),0)+ tech_2_7*OFFSET(TblTech[[#This Row],[2-7]],-1,0) + tech_5_6*OFFSET(TblTech[[#This Row],[5-6]],-1,0) )-TblMagic[[#This Row],[Wiz str cost]]</f>
        <v>1</v>
      </c>
      <c r="E104" s="153" t="n">
        <f aca="false">OFFSET(TblMagic[[#This Row],[Time]],-1,0)+1/24</f>
        <v>45433.9166666667</v>
      </c>
      <c r="F104" s="149" t="n">
        <f aca="false">TblImps[[#This Row],[Population]]</f>
        <v>1</v>
      </c>
      <c r="G104" s="248"/>
      <c r="H104" s="248"/>
      <c r="I104" s="248"/>
      <c r="J104" s="248"/>
      <c r="K104" s="312"/>
      <c r="L104" s="248"/>
      <c r="M104" s="248"/>
      <c r="N104" s="248"/>
      <c r="O104" s="248"/>
      <c r="P104" s="248"/>
      <c r="Q104" s="248"/>
      <c r="R104" s="248"/>
      <c r="S104" s="248"/>
      <c r="T104" s="248"/>
      <c r="U104" s="248"/>
      <c r="V104" s="248"/>
      <c r="W104" s="132"/>
      <c r="X10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49" t="n">
        <f aca="false">SUMIF(TblMagic[[#This Row],[Gaia''s Watch]:[Useless spell]],1)*0.05</f>
        <v>0</v>
      </c>
      <c r="Z104" s="132"/>
      <c r="AA104" s="26" t="n">
        <f aca="false">IF(TblMagic[[#This Row],[Gaia''s Watch]],12,IF(OFFSET(TblMagic[[#This Row],[Active Gaia''s Watch]],-1,0)&gt;0,OFFSET(TblMagic[[#This Row],[Active Gaia''s Watch]],-1,0)-1,0))</f>
        <v>0</v>
      </c>
      <c r="AB104" s="26" t="n">
        <f aca="false">IF(TblMagic[[#This Row],[Mining Strength]],12,IF(OFFSET(TblMagic[[#This Row],[Active Mining Strength]],-1,0)&gt;0,OFFSET(TblMagic[[#This Row],[Active Mining Strength]],-1,0)-1,0))</f>
        <v>0</v>
      </c>
      <c r="AC104" s="26" t="n">
        <f aca="false">IF(TblMagic[[#This Row],[Ares Call]],12,IF(OFFSET(TblMagic[[#This Row],[Active Ares Call]],-1,0)&gt;0,OFFSET(TblMagic[[#This Row],[Active Ares Call]],-1,0)-1,0))</f>
        <v>8</v>
      </c>
      <c r="AD104" s="26" t="n">
        <f aca="false">IF(TblMagic[[#This Row],[Midas Touch]],12,IF(OFFSET(TblMagic[[#This Row],[Active Midas Touch]],-1,0)&gt;0,OFFSET(TblMagic[[#This Row],[Active Midas Touch]],-1,0)-1,0))</f>
        <v>8</v>
      </c>
      <c r="AE104" s="26" t="n">
        <f aca="false">IF(TblMagic[[#This Row],[Harmony]],12,IF(OFFSET(TblMagic[[#This Row],[Active Harmony]],-1,0)&gt;0,OFFSET(TblMagic[[#This Row],[Active Harmony]],-1,0)-1,0))</f>
        <v>0</v>
      </c>
      <c r="AF104" s="26" t="n">
        <f aca="false">IF(TblMagic[[#This Row],[Miner''s Sight]],12,IF(OFFSET(TblMagic[[#This Row],[Active Miner''s Sight]],-1,0)&gt;0,OFFSET(TblMagic[[#This Row],[Active Miner''s Sight]],-1,0)-1,0))</f>
        <v>0</v>
      </c>
      <c r="AG104" s="26" t="n">
        <f aca="false">IF(TblMagic[[#This Row],[Mechanical Genius]],12,IF(OFFSET(TblMagic[[#This Row],[Active Mechanical Genius]],-1,0)&gt;0,OFFSET(TblMagic[[#This Row],[Active Mechanical Genius]],-1,0)-1,0))</f>
        <v>0</v>
      </c>
      <c r="AH104" s="26" t="n">
        <f aca="false">IF(TblMagic[[#This Row],[Frenzy]],12,IF(OFFSET(TblMagic[[#This Row],[Active Frenzy]],-1,0)&gt;0,OFFSET(TblMagic[[#This Row],[Active Frenzy]],-1,0)-1,0))</f>
        <v>0</v>
      </c>
      <c r="AI104" s="26" t="n">
        <f aca="false">IF(TblMagic[[#This Row],[Killing Rage / Bloodrage / Crusade]],12,IF(OFFSET(TblMagic[[#This Row],[Active Warsong / Killing Rage / Bloodrage]],-1,0)&gt;0,OFFSET(TblMagic[[#This Row],[Active Warsong / Killing Rage / Bloodrage]],-1,0)-1,0))</f>
        <v>0</v>
      </c>
      <c r="AJ104" s="26" t="n">
        <f aca="false">IF(TblMagic[[#This Row],[Gaia''s Blessing]],12,IF(OFFSET(TblMagic[[#This Row],[Active Gaia''s Blessing]],-1,0)&gt;0,OFFSET(TblMagic[[#This Row],[Active Gaia''s Blessing]],-1,0)-1,0))</f>
        <v>0</v>
      </c>
      <c r="AK104" s="26" t="n">
        <f aca="false">IF(TblMagic[[#This Row],[Howling]],12,IF(OFFSET(TblMagic[[#This Row],[Active Howling]],-1,0)&gt;0,OFFSET(TblMagic[[#This Row],[Active Howling]],-1,0)-1,0))</f>
        <v>0</v>
      </c>
      <c r="AL104" s="26" t="n">
        <f aca="false">IF(TblMagic[[#This Row],[Alchemist Frost]],12,IF(OFFSET(TblMagic[[#This Row],[Active Alch Frost]],-1,0)&gt;0,OFFSET(TblMagic[[#This Row],[Active Alch Frost]],-1,0)-1,0))</f>
        <v>0</v>
      </c>
      <c r="AM104" s="26" t="n">
        <f aca="false">IF(TblMagic[[#This Row],[Alchemists Flame]],12,IF(OFFSET(TblMagic[[#This Row],[Active Alchemists Flame]],-1,0)&gt;0,OFFSET(TblMagic[[#This Row],[Active Alchemists Flame]],-1,0)-1,0))</f>
        <v>8</v>
      </c>
      <c r="AN104" s="26" t="n">
        <f aca="false">IF(TblMagic[[#This Row],[Nightfall]],12,IF(OFFSET(TblMagic[[#This Row],[Active Nightfall]],-1,0)&gt;0,OFFSET(TblMagic[[#This Row],[Active Nightfall]],-1,0)-1,0))</f>
        <v>0</v>
      </c>
      <c r="AO104" s="26" t="n">
        <f aca="false">IF(TblMagic[[#This Row],[Favorable Terrain]],12,IF(OFFSET(TblMagic[[#This Row],[Active Favorable Terrain]],-1,0)&gt;0,OFFSET(TblMagic[[#This Row],[Active Favorable Terrain]],-1,0)-1,0))</f>
        <v>0</v>
      </c>
    </row>
    <row r="105" customFormat="false" ht="12.75" hidden="false" customHeight="false" outlineLevel="0" collapsed="false">
      <c r="A105" s="128" t="n">
        <f aca="false">TblRezone[[#This Row],[Hour]]</f>
        <v>102</v>
      </c>
      <c r="B105" s="146" t="n">
        <f aca="false">TblConstr[[#This Row],[Land]]</f>
        <v>700</v>
      </c>
      <c r="C105" s="69" t="n">
        <f aca="false">TblProd[[#This Row],[Mana]]</f>
        <v>5990.5</v>
      </c>
      <c r="D105" s="149" t="n">
        <f aca="false">MIN(1,OFFSET(TblMagic[[#This Row],[Wiz str]],-1,0)+0.04+ROUNDDOWN(10*OFFSET(TblMili[[#This Row],[WG''s]],-1,0),0)+ tech_2_7*OFFSET(TblTech[[#This Row],[2-7]],-1,0) + tech_5_6*OFFSET(TblTech[[#This Row],[5-6]],-1,0) )-TblMagic[[#This Row],[Wiz str cost]]</f>
        <v>1</v>
      </c>
      <c r="E105" s="153" t="n">
        <f aca="false">OFFSET(TblMagic[[#This Row],[Time]],-1,0)+1/24</f>
        <v>45433.9583333333</v>
      </c>
      <c r="F105" s="149" t="n">
        <f aca="false">TblImps[[#This Row],[Population]]</f>
        <v>1</v>
      </c>
      <c r="G105" s="248"/>
      <c r="H105" s="248"/>
      <c r="I105" s="248"/>
      <c r="J105" s="248"/>
      <c r="K105" s="312"/>
      <c r="L105" s="248"/>
      <c r="M105" s="248"/>
      <c r="N105" s="248"/>
      <c r="O105" s="248"/>
      <c r="P105" s="248"/>
      <c r="Q105" s="248"/>
      <c r="R105" s="248"/>
      <c r="S105" s="248"/>
      <c r="T105" s="248"/>
      <c r="U105" s="248"/>
      <c r="V105" s="248"/>
      <c r="W105" s="132"/>
      <c r="X10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49" t="n">
        <f aca="false">SUMIF(TblMagic[[#This Row],[Gaia''s Watch]:[Useless spell]],1)*0.05</f>
        <v>0</v>
      </c>
      <c r="Z105" s="132"/>
      <c r="AA105" s="26" t="n">
        <f aca="false">IF(TblMagic[[#This Row],[Gaia''s Watch]],12,IF(OFFSET(TblMagic[[#This Row],[Active Gaia''s Watch]],-1,0)&gt;0,OFFSET(TblMagic[[#This Row],[Active Gaia''s Watch]],-1,0)-1,0))</f>
        <v>0</v>
      </c>
      <c r="AB105" s="26" t="n">
        <f aca="false">IF(TblMagic[[#This Row],[Mining Strength]],12,IF(OFFSET(TblMagic[[#This Row],[Active Mining Strength]],-1,0)&gt;0,OFFSET(TblMagic[[#This Row],[Active Mining Strength]],-1,0)-1,0))</f>
        <v>0</v>
      </c>
      <c r="AC105" s="26" t="n">
        <f aca="false">IF(TblMagic[[#This Row],[Ares Call]],12,IF(OFFSET(TblMagic[[#This Row],[Active Ares Call]],-1,0)&gt;0,OFFSET(TblMagic[[#This Row],[Active Ares Call]],-1,0)-1,0))</f>
        <v>7</v>
      </c>
      <c r="AD105" s="26" t="n">
        <f aca="false">IF(TblMagic[[#This Row],[Midas Touch]],12,IF(OFFSET(TblMagic[[#This Row],[Active Midas Touch]],-1,0)&gt;0,OFFSET(TblMagic[[#This Row],[Active Midas Touch]],-1,0)-1,0))</f>
        <v>7</v>
      </c>
      <c r="AE105" s="26" t="n">
        <f aca="false">IF(TblMagic[[#This Row],[Harmony]],12,IF(OFFSET(TblMagic[[#This Row],[Active Harmony]],-1,0)&gt;0,OFFSET(TblMagic[[#This Row],[Active Harmony]],-1,0)-1,0))</f>
        <v>0</v>
      </c>
      <c r="AF105" s="26" t="n">
        <f aca="false">IF(TblMagic[[#This Row],[Miner''s Sight]],12,IF(OFFSET(TblMagic[[#This Row],[Active Miner''s Sight]],-1,0)&gt;0,OFFSET(TblMagic[[#This Row],[Active Miner''s Sight]],-1,0)-1,0))</f>
        <v>0</v>
      </c>
      <c r="AG105" s="26" t="n">
        <f aca="false">IF(TblMagic[[#This Row],[Mechanical Genius]],12,IF(OFFSET(TblMagic[[#This Row],[Active Mechanical Genius]],-1,0)&gt;0,OFFSET(TblMagic[[#This Row],[Active Mechanical Genius]],-1,0)-1,0))</f>
        <v>0</v>
      </c>
      <c r="AH105" s="26" t="n">
        <f aca="false">IF(TblMagic[[#This Row],[Frenzy]],12,IF(OFFSET(TblMagic[[#This Row],[Active Frenzy]],-1,0)&gt;0,OFFSET(TblMagic[[#This Row],[Active Frenzy]],-1,0)-1,0))</f>
        <v>0</v>
      </c>
      <c r="AI105" s="26" t="n">
        <f aca="false">IF(TblMagic[[#This Row],[Killing Rage / Bloodrage / Crusade]],12,IF(OFFSET(TblMagic[[#This Row],[Active Warsong / Killing Rage / Bloodrage]],-1,0)&gt;0,OFFSET(TblMagic[[#This Row],[Active Warsong / Killing Rage / Bloodrage]],-1,0)-1,0))</f>
        <v>0</v>
      </c>
      <c r="AJ105" s="26" t="n">
        <f aca="false">IF(TblMagic[[#This Row],[Gaia''s Blessing]],12,IF(OFFSET(TblMagic[[#This Row],[Active Gaia''s Blessing]],-1,0)&gt;0,OFFSET(TblMagic[[#This Row],[Active Gaia''s Blessing]],-1,0)-1,0))</f>
        <v>0</v>
      </c>
      <c r="AK105" s="26" t="n">
        <f aca="false">IF(TblMagic[[#This Row],[Howling]],12,IF(OFFSET(TblMagic[[#This Row],[Active Howling]],-1,0)&gt;0,OFFSET(TblMagic[[#This Row],[Active Howling]],-1,0)-1,0))</f>
        <v>0</v>
      </c>
      <c r="AL105" s="26" t="n">
        <f aca="false">IF(TblMagic[[#This Row],[Alchemist Frost]],12,IF(OFFSET(TblMagic[[#This Row],[Active Alch Frost]],-1,0)&gt;0,OFFSET(TblMagic[[#This Row],[Active Alch Frost]],-1,0)-1,0))</f>
        <v>0</v>
      </c>
      <c r="AM105" s="26" t="n">
        <f aca="false">IF(TblMagic[[#This Row],[Alchemists Flame]],12,IF(OFFSET(TblMagic[[#This Row],[Active Alchemists Flame]],-1,0)&gt;0,OFFSET(TblMagic[[#This Row],[Active Alchemists Flame]],-1,0)-1,0))</f>
        <v>7</v>
      </c>
      <c r="AN105" s="26" t="n">
        <f aca="false">IF(TblMagic[[#This Row],[Nightfall]],12,IF(OFFSET(TblMagic[[#This Row],[Active Nightfall]],-1,0)&gt;0,OFFSET(TblMagic[[#This Row],[Active Nightfall]],-1,0)-1,0))</f>
        <v>0</v>
      </c>
      <c r="AO105" s="26" t="n">
        <f aca="false">IF(TblMagic[[#This Row],[Favorable Terrain]],12,IF(OFFSET(TblMagic[[#This Row],[Active Favorable Terrain]],-1,0)&gt;0,OFFSET(TblMagic[[#This Row],[Active Favorable Terrain]],-1,0)-1,0))</f>
        <v>0</v>
      </c>
    </row>
    <row r="106" customFormat="false" ht="12.75" hidden="false" customHeight="false" outlineLevel="0" collapsed="false">
      <c r="A106" s="128" t="n">
        <f aca="false">TblRezone[[#This Row],[Hour]]</f>
        <v>103</v>
      </c>
      <c r="B106" s="146" t="n">
        <f aca="false">TblConstr[[#This Row],[Land]]</f>
        <v>700</v>
      </c>
      <c r="C106" s="69" t="n">
        <f aca="false">TblProd[[#This Row],[Mana]]</f>
        <v>6595.5</v>
      </c>
      <c r="D106" s="149" t="n">
        <f aca="false">MIN(1,OFFSET(TblMagic[[#This Row],[Wiz str]],-1,0)+0.04+ROUNDDOWN(10*OFFSET(TblMili[[#This Row],[WG''s]],-1,0),0)+ tech_2_7*OFFSET(TblTech[[#This Row],[2-7]],-1,0) + tech_5_6*OFFSET(TblTech[[#This Row],[5-6]],-1,0) )-TblMagic[[#This Row],[Wiz str cost]]</f>
        <v>1</v>
      </c>
      <c r="E106" s="153" t="n">
        <f aca="false">OFFSET(TblMagic[[#This Row],[Time]],-1,0)+1/24</f>
        <v>45434</v>
      </c>
      <c r="F106" s="149" t="n">
        <f aca="false">TblImps[[#This Row],[Population]]</f>
        <v>1</v>
      </c>
      <c r="G106" s="248"/>
      <c r="H106" s="248"/>
      <c r="I106" s="248"/>
      <c r="J106" s="248"/>
      <c r="K106" s="312"/>
      <c r="L106" s="248"/>
      <c r="M106" s="248"/>
      <c r="N106" s="248"/>
      <c r="O106" s="248"/>
      <c r="P106" s="248"/>
      <c r="Q106" s="248"/>
      <c r="R106" s="248"/>
      <c r="S106" s="248"/>
      <c r="T106" s="248"/>
      <c r="U106" s="248"/>
      <c r="V106" s="248"/>
      <c r="W106" s="132"/>
      <c r="X10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49" t="n">
        <f aca="false">SUMIF(TblMagic[[#This Row],[Gaia''s Watch]:[Useless spell]],1)*0.05</f>
        <v>0</v>
      </c>
      <c r="Z106" s="132"/>
      <c r="AA106" s="26" t="n">
        <f aca="false">IF(TblMagic[[#This Row],[Gaia''s Watch]],12,IF(OFFSET(TblMagic[[#This Row],[Active Gaia''s Watch]],-1,0)&gt;0,OFFSET(TblMagic[[#This Row],[Active Gaia''s Watch]],-1,0)-1,0))</f>
        <v>0</v>
      </c>
      <c r="AB106" s="26" t="n">
        <f aca="false">IF(TblMagic[[#This Row],[Mining Strength]],12,IF(OFFSET(TblMagic[[#This Row],[Active Mining Strength]],-1,0)&gt;0,OFFSET(TblMagic[[#This Row],[Active Mining Strength]],-1,0)-1,0))</f>
        <v>0</v>
      </c>
      <c r="AC106" s="26" t="n">
        <f aca="false">IF(TblMagic[[#This Row],[Ares Call]],12,IF(OFFSET(TblMagic[[#This Row],[Active Ares Call]],-1,0)&gt;0,OFFSET(TblMagic[[#This Row],[Active Ares Call]],-1,0)-1,0))</f>
        <v>6</v>
      </c>
      <c r="AD106" s="26" t="n">
        <f aca="false">IF(TblMagic[[#This Row],[Midas Touch]],12,IF(OFFSET(TblMagic[[#This Row],[Active Midas Touch]],-1,0)&gt;0,OFFSET(TblMagic[[#This Row],[Active Midas Touch]],-1,0)-1,0))</f>
        <v>6</v>
      </c>
      <c r="AE106" s="26" t="n">
        <f aca="false">IF(TblMagic[[#This Row],[Harmony]],12,IF(OFFSET(TblMagic[[#This Row],[Active Harmony]],-1,0)&gt;0,OFFSET(TblMagic[[#This Row],[Active Harmony]],-1,0)-1,0))</f>
        <v>0</v>
      </c>
      <c r="AF106" s="26" t="n">
        <f aca="false">IF(TblMagic[[#This Row],[Miner''s Sight]],12,IF(OFFSET(TblMagic[[#This Row],[Active Miner''s Sight]],-1,0)&gt;0,OFFSET(TblMagic[[#This Row],[Active Miner''s Sight]],-1,0)-1,0))</f>
        <v>0</v>
      </c>
      <c r="AG106" s="26" t="n">
        <f aca="false">IF(TblMagic[[#This Row],[Mechanical Genius]],12,IF(OFFSET(TblMagic[[#This Row],[Active Mechanical Genius]],-1,0)&gt;0,OFFSET(TblMagic[[#This Row],[Active Mechanical Genius]],-1,0)-1,0))</f>
        <v>0</v>
      </c>
      <c r="AH106" s="26" t="n">
        <f aca="false">IF(TblMagic[[#This Row],[Frenzy]],12,IF(OFFSET(TblMagic[[#This Row],[Active Frenzy]],-1,0)&gt;0,OFFSET(TblMagic[[#This Row],[Active Frenzy]],-1,0)-1,0))</f>
        <v>0</v>
      </c>
      <c r="AI106" s="26" t="n">
        <f aca="false">IF(TblMagic[[#This Row],[Killing Rage / Bloodrage / Crusade]],12,IF(OFFSET(TblMagic[[#This Row],[Active Warsong / Killing Rage / Bloodrage]],-1,0)&gt;0,OFFSET(TblMagic[[#This Row],[Active Warsong / Killing Rage / Bloodrage]],-1,0)-1,0))</f>
        <v>0</v>
      </c>
      <c r="AJ106" s="26" t="n">
        <f aca="false">IF(TblMagic[[#This Row],[Gaia''s Blessing]],12,IF(OFFSET(TblMagic[[#This Row],[Active Gaia''s Blessing]],-1,0)&gt;0,OFFSET(TblMagic[[#This Row],[Active Gaia''s Blessing]],-1,0)-1,0))</f>
        <v>0</v>
      </c>
      <c r="AK106" s="26" t="n">
        <f aca="false">IF(TblMagic[[#This Row],[Howling]],12,IF(OFFSET(TblMagic[[#This Row],[Active Howling]],-1,0)&gt;0,OFFSET(TblMagic[[#This Row],[Active Howling]],-1,0)-1,0))</f>
        <v>0</v>
      </c>
      <c r="AL106" s="26" t="n">
        <f aca="false">IF(TblMagic[[#This Row],[Alchemist Frost]],12,IF(OFFSET(TblMagic[[#This Row],[Active Alch Frost]],-1,0)&gt;0,OFFSET(TblMagic[[#This Row],[Active Alch Frost]],-1,0)-1,0))</f>
        <v>0</v>
      </c>
      <c r="AM106" s="26" t="n">
        <f aca="false">IF(TblMagic[[#This Row],[Alchemists Flame]],12,IF(OFFSET(TblMagic[[#This Row],[Active Alchemists Flame]],-1,0)&gt;0,OFFSET(TblMagic[[#This Row],[Active Alchemists Flame]],-1,0)-1,0))</f>
        <v>6</v>
      </c>
      <c r="AN106" s="26" t="n">
        <f aca="false">IF(TblMagic[[#This Row],[Nightfall]],12,IF(OFFSET(TblMagic[[#This Row],[Active Nightfall]],-1,0)&gt;0,OFFSET(TblMagic[[#This Row],[Active Nightfall]],-1,0)-1,0))</f>
        <v>0</v>
      </c>
      <c r="AO106" s="26" t="n">
        <f aca="false">IF(TblMagic[[#This Row],[Favorable Terrain]],12,IF(OFFSET(TblMagic[[#This Row],[Active Favorable Terrain]],-1,0)&gt;0,OFFSET(TblMagic[[#This Row],[Active Favorable Terrain]],-1,0)-1,0))</f>
        <v>0</v>
      </c>
    </row>
    <row r="107" customFormat="false" ht="12.75" hidden="false" customHeight="false" outlineLevel="0" collapsed="false">
      <c r="A107" s="128" t="n">
        <f aca="false">TblRezone[[#This Row],[Hour]]</f>
        <v>104</v>
      </c>
      <c r="B107" s="146" t="n">
        <f aca="false">TblConstr[[#This Row],[Land]]</f>
        <v>700</v>
      </c>
      <c r="C107" s="69" t="n">
        <f aca="false">TblProd[[#This Row],[Mana]]</f>
        <v>7188.5</v>
      </c>
      <c r="D107" s="149" t="n">
        <f aca="false">MIN(1,OFFSET(TblMagic[[#This Row],[Wiz str]],-1,0)+0.04+ROUNDDOWN(10*OFFSET(TblMili[[#This Row],[WG''s]],-1,0),0)+ tech_2_7*OFFSET(TblTech[[#This Row],[2-7]],-1,0) + tech_5_6*OFFSET(TblTech[[#This Row],[5-6]],-1,0) )-TblMagic[[#This Row],[Wiz str cost]]</f>
        <v>1</v>
      </c>
      <c r="E107" s="153" t="n">
        <f aca="false">OFFSET(TblMagic[[#This Row],[Time]],-1,0)+1/24</f>
        <v>45434.0416666667</v>
      </c>
      <c r="F107" s="149" t="n">
        <f aca="false">TblImps[[#This Row],[Population]]</f>
        <v>1</v>
      </c>
      <c r="G107" s="248"/>
      <c r="H107" s="248"/>
      <c r="I107" s="248"/>
      <c r="J107" s="248"/>
      <c r="K107" s="312"/>
      <c r="L107" s="248"/>
      <c r="M107" s="248"/>
      <c r="N107" s="248"/>
      <c r="O107" s="248"/>
      <c r="P107" s="248"/>
      <c r="Q107" s="248"/>
      <c r="R107" s="248"/>
      <c r="S107" s="248"/>
      <c r="T107" s="248"/>
      <c r="U107" s="248"/>
      <c r="V107" s="248"/>
      <c r="W107" s="132"/>
      <c r="X10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49" t="n">
        <f aca="false">SUMIF(TblMagic[[#This Row],[Gaia''s Watch]:[Useless spell]],1)*0.05</f>
        <v>0</v>
      </c>
      <c r="Z107" s="132"/>
      <c r="AA107" s="26" t="n">
        <f aca="false">IF(TblMagic[[#This Row],[Gaia''s Watch]],12,IF(OFFSET(TblMagic[[#This Row],[Active Gaia''s Watch]],-1,0)&gt;0,OFFSET(TblMagic[[#This Row],[Active Gaia''s Watch]],-1,0)-1,0))</f>
        <v>0</v>
      </c>
      <c r="AB107" s="26" t="n">
        <f aca="false">IF(TblMagic[[#This Row],[Mining Strength]],12,IF(OFFSET(TblMagic[[#This Row],[Active Mining Strength]],-1,0)&gt;0,OFFSET(TblMagic[[#This Row],[Active Mining Strength]],-1,0)-1,0))</f>
        <v>0</v>
      </c>
      <c r="AC107" s="26" t="n">
        <f aca="false">IF(TblMagic[[#This Row],[Ares Call]],12,IF(OFFSET(TblMagic[[#This Row],[Active Ares Call]],-1,0)&gt;0,OFFSET(TblMagic[[#This Row],[Active Ares Call]],-1,0)-1,0))</f>
        <v>5</v>
      </c>
      <c r="AD107" s="26" t="n">
        <f aca="false">IF(TblMagic[[#This Row],[Midas Touch]],12,IF(OFFSET(TblMagic[[#This Row],[Active Midas Touch]],-1,0)&gt;0,OFFSET(TblMagic[[#This Row],[Active Midas Touch]],-1,0)-1,0))</f>
        <v>5</v>
      </c>
      <c r="AE107" s="26" t="n">
        <f aca="false">IF(TblMagic[[#This Row],[Harmony]],12,IF(OFFSET(TblMagic[[#This Row],[Active Harmony]],-1,0)&gt;0,OFFSET(TblMagic[[#This Row],[Active Harmony]],-1,0)-1,0))</f>
        <v>0</v>
      </c>
      <c r="AF107" s="26" t="n">
        <f aca="false">IF(TblMagic[[#This Row],[Miner''s Sight]],12,IF(OFFSET(TblMagic[[#This Row],[Active Miner''s Sight]],-1,0)&gt;0,OFFSET(TblMagic[[#This Row],[Active Miner''s Sight]],-1,0)-1,0))</f>
        <v>0</v>
      </c>
      <c r="AG107" s="26" t="n">
        <f aca="false">IF(TblMagic[[#This Row],[Mechanical Genius]],12,IF(OFFSET(TblMagic[[#This Row],[Active Mechanical Genius]],-1,0)&gt;0,OFFSET(TblMagic[[#This Row],[Active Mechanical Genius]],-1,0)-1,0))</f>
        <v>0</v>
      </c>
      <c r="AH107" s="26" t="n">
        <f aca="false">IF(TblMagic[[#This Row],[Frenzy]],12,IF(OFFSET(TblMagic[[#This Row],[Active Frenzy]],-1,0)&gt;0,OFFSET(TblMagic[[#This Row],[Active Frenzy]],-1,0)-1,0))</f>
        <v>0</v>
      </c>
      <c r="AI107" s="26" t="n">
        <f aca="false">IF(TblMagic[[#This Row],[Killing Rage / Bloodrage / Crusade]],12,IF(OFFSET(TblMagic[[#This Row],[Active Warsong / Killing Rage / Bloodrage]],-1,0)&gt;0,OFFSET(TblMagic[[#This Row],[Active Warsong / Killing Rage / Bloodrage]],-1,0)-1,0))</f>
        <v>0</v>
      </c>
      <c r="AJ107" s="26" t="n">
        <f aca="false">IF(TblMagic[[#This Row],[Gaia''s Blessing]],12,IF(OFFSET(TblMagic[[#This Row],[Active Gaia''s Blessing]],-1,0)&gt;0,OFFSET(TblMagic[[#This Row],[Active Gaia''s Blessing]],-1,0)-1,0))</f>
        <v>0</v>
      </c>
      <c r="AK107" s="26" t="n">
        <f aca="false">IF(TblMagic[[#This Row],[Howling]],12,IF(OFFSET(TblMagic[[#This Row],[Active Howling]],-1,0)&gt;0,OFFSET(TblMagic[[#This Row],[Active Howling]],-1,0)-1,0))</f>
        <v>0</v>
      </c>
      <c r="AL107" s="26" t="n">
        <f aca="false">IF(TblMagic[[#This Row],[Alchemist Frost]],12,IF(OFFSET(TblMagic[[#This Row],[Active Alch Frost]],-1,0)&gt;0,OFFSET(TblMagic[[#This Row],[Active Alch Frost]],-1,0)-1,0))</f>
        <v>0</v>
      </c>
      <c r="AM107" s="26" t="n">
        <f aca="false">IF(TblMagic[[#This Row],[Alchemists Flame]],12,IF(OFFSET(TblMagic[[#This Row],[Active Alchemists Flame]],-1,0)&gt;0,OFFSET(TblMagic[[#This Row],[Active Alchemists Flame]],-1,0)-1,0))</f>
        <v>5</v>
      </c>
      <c r="AN107" s="26" t="n">
        <f aca="false">IF(TblMagic[[#This Row],[Nightfall]],12,IF(OFFSET(TblMagic[[#This Row],[Active Nightfall]],-1,0)&gt;0,OFFSET(TblMagic[[#This Row],[Active Nightfall]],-1,0)-1,0))</f>
        <v>0</v>
      </c>
      <c r="AO107" s="26" t="n">
        <f aca="false">IF(TblMagic[[#This Row],[Favorable Terrain]],12,IF(OFFSET(TblMagic[[#This Row],[Active Favorable Terrain]],-1,0)&gt;0,OFFSET(TblMagic[[#This Row],[Active Favorable Terrain]],-1,0)-1,0))</f>
        <v>0</v>
      </c>
    </row>
    <row r="108" customFormat="false" ht="12.75" hidden="false" customHeight="false" outlineLevel="0" collapsed="false">
      <c r="A108" s="128" t="n">
        <f aca="false">TblRezone[[#This Row],[Hour]]</f>
        <v>105</v>
      </c>
      <c r="B108" s="146" t="n">
        <f aca="false">TblConstr[[#This Row],[Land]]</f>
        <v>700</v>
      </c>
      <c r="C108" s="69" t="n">
        <f aca="false">TblProd[[#This Row],[Mana]]</f>
        <v>7769.5</v>
      </c>
      <c r="D108" s="149" t="n">
        <f aca="false">MIN(1,OFFSET(TblMagic[[#This Row],[Wiz str]],-1,0)+0.04+ROUNDDOWN(10*OFFSET(TblMili[[#This Row],[WG''s]],-1,0),0)+ tech_2_7*OFFSET(TblTech[[#This Row],[2-7]],-1,0) + tech_5_6*OFFSET(TblTech[[#This Row],[5-6]],-1,0) )-TblMagic[[#This Row],[Wiz str cost]]</f>
        <v>1</v>
      </c>
      <c r="E108" s="153" t="n">
        <f aca="false">OFFSET(TblMagic[[#This Row],[Time]],-1,0)+1/24</f>
        <v>45434.0833333333</v>
      </c>
      <c r="F108" s="149" t="n">
        <f aca="false">TblImps[[#This Row],[Population]]</f>
        <v>1</v>
      </c>
      <c r="G108" s="248"/>
      <c r="H108" s="248"/>
      <c r="I108" s="248"/>
      <c r="J108" s="248"/>
      <c r="K108" s="312"/>
      <c r="L108" s="248"/>
      <c r="M108" s="248"/>
      <c r="N108" s="248"/>
      <c r="O108" s="248"/>
      <c r="P108" s="248"/>
      <c r="Q108" s="248"/>
      <c r="R108" s="248"/>
      <c r="S108" s="248"/>
      <c r="T108" s="248"/>
      <c r="U108" s="248"/>
      <c r="V108" s="248"/>
      <c r="W108" s="132"/>
      <c r="X10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49" t="n">
        <f aca="false">SUMIF(TblMagic[[#This Row],[Gaia''s Watch]:[Useless spell]],1)*0.05</f>
        <v>0</v>
      </c>
      <c r="Z108" s="132"/>
      <c r="AA108" s="26" t="n">
        <f aca="false">IF(TblMagic[[#This Row],[Gaia''s Watch]],12,IF(OFFSET(TblMagic[[#This Row],[Active Gaia''s Watch]],-1,0)&gt;0,OFFSET(TblMagic[[#This Row],[Active Gaia''s Watch]],-1,0)-1,0))</f>
        <v>0</v>
      </c>
      <c r="AB108" s="26" t="n">
        <f aca="false">IF(TblMagic[[#This Row],[Mining Strength]],12,IF(OFFSET(TblMagic[[#This Row],[Active Mining Strength]],-1,0)&gt;0,OFFSET(TblMagic[[#This Row],[Active Mining Strength]],-1,0)-1,0))</f>
        <v>0</v>
      </c>
      <c r="AC108" s="26" t="n">
        <f aca="false">IF(TblMagic[[#This Row],[Ares Call]],12,IF(OFFSET(TblMagic[[#This Row],[Active Ares Call]],-1,0)&gt;0,OFFSET(TblMagic[[#This Row],[Active Ares Call]],-1,0)-1,0))</f>
        <v>4</v>
      </c>
      <c r="AD108" s="26" t="n">
        <f aca="false">IF(TblMagic[[#This Row],[Midas Touch]],12,IF(OFFSET(TblMagic[[#This Row],[Active Midas Touch]],-1,0)&gt;0,OFFSET(TblMagic[[#This Row],[Active Midas Touch]],-1,0)-1,0))</f>
        <v>4</v>
      </c>
      <c r="AE108" s="26" t="n">
        <f aca="false">IF(TblMagic[[#This Row],[Harmony]],12,IF(OFFSET(TblMagic[[#This Row],[Active Harmony]],-1,0)&gt;0,OFFSET(TblMagic[[#This Row],[Active Harmony]],-1,0)-1,0))</f>
        <v>0</v>
      </c>
      <c r="AF108" s="26" t="n">
        <f aca="false">IF(TblMagic[[#This Row],[Miner''s Sight]],12,IF(OFFSET(TblMagic[[#This Row],[Active Miner''s Sight]],-1,0)&gt;0,OFFSET(TblMagic[[#This Row],[Active Miner''s Sight]],-1,0)-1,0))</f>
        <v>0</v>
      </c>
      <c r="AG108" s="26" t="n">
        <f aca="false">IF(TblMagic[[#This Row],[Mechanical Genius]],12,IF(OFFSET(TblMagic[[#This Row],[Active Mechanical Genius]],-1,0)&gt;0,OFFSET(TblMagic[[#This Row],[Active Mechanical Genius]],-1,0)-1,0))</f>
        <v>0</v>
      </c>
      <c r="AH108" s="26" t="n">
        <f aca="false">IF(TblMagic[[#This Row],[Frenzy]],12,IF(OFFSET(TblMagic[[#This Row],[Active Frenzy]],-1,0)&gt;0,OFFSET(TblMagic[[#This Row],[Active Frenzy]],-1,0)-1,0))</f>
        <v>0</v>
      </c>
      <c r="AI108" s="26" t="n">
        <f aca="false">IF(TblMagic[[#This Row],[Killing Rage / Bloodrage / Crusade]],12,IF(OFFSET(TblMagic[[#This Row],[Active Warsong / Killing Rage / Bloodrage]],-1,0)&gt;0,OFFSET(TblMagic[[#This Row],[Active Warsong / Killing Rage / Bloodrage]],-1,0)-1,0))</f>
        <v>0</v>
      </c>
      <c r="AJ108" s="26" t="n">
        <f aca="false">IF(TblMagic[[#This Row],[Gaia''s Blessing]],12,IF(OFFSET(TblMagic[[#This Row],[Active Gaia''s Blessing]],-1,0)&gt;0,OFFSET(TblMagic[[#This Row],[Active Gaia''s Blessing]],-1,0)-1,0))</f>
        <v>0</v>
      </c>
      <c r="AK108" s="26" t="n">
        <f aca="false">IF(TblMagic[[#This Row],[Howling]],12,IF(OFFSET(TblMagic[[#This Row],[Active Howling]],-1,0)&gt;0,OFFSET(TblMagic[[#This Row],[Active Howling]],-1,0)-1,0))</f>
        <v>0</v>
      </c>
      <c r="AL108" s="26" t="n">
        <f aca="false">IF(TblMagic[[#This Row],[Alchemist Frost]],12,IF(OFFSET(TblMagic[[#This Row],[Active Alch Frost]],-1,0)&gt;0,OFFSET(TblMagic[[#This Row],[Active Alch Frost]],-1,0)-1,0))</f>
        <v>0</v>
      </c>
      <c r="AM108" s="26" t="n">
        <f aca="false">IF(TblMagic[[#This Row],[Alchemists Flame]],12,IF(OFFSET(TblMagic[[#This Row],[Active Alchemists Flame]],-1,0)&gt;0,OFFSET(TblMagic[[#This Row],[Active Alchemists Flame]],-1,0)-1,0))</f>
        <v>4</v>
      </c>
      <c r="AN108" s="26" t="n">
        <f aca="false">IF(TblMagic[[#This Row],[Nightfall]],12,IF(OFFSET(TblMagic[[#This Row],[Active Nightfall]],-1,0)&gt;0,OFFSET(TblMagic[[#This Row],[Active Nightfall]],-1,0)-1,0))</f>
        <v>0</v>
      </c>
      <c r="AO108" s="26" t="n">
        <f aca="false">IF(TblMagic[[#This Row],[Favorable Terrain]],12,IF(OFFSET(TblMagic[[#This Row],[Active Favorable Terrain]],-1,0)&gt;0,OFFSET(TblMagic[[#This Row],[Active Favorable Terrain]],-1,0)-1,0))</f>
        <v>0</v>
      </c>
    </row>
    <row r="109" customFormat="false" ht="12.75" hidden="false" customHeight="false" outlineLevel="0" collapsed="false">
      <c r="A109" s="128" t="n">
        <f aca="false">TblRezone[[#This Row],[Hour]]</f>
        <v>106</v>
      </c>
      <c r="B109" s="146" t="n">
        <f aca="false">TblConstr[[#This Row],[Land]]</f>
        <v>700</v>
      </c>
      <c r="C109" s="69" t="n">
        <f aca="false">TblProd[[#This Row],[Mana]]</f>
        <v>8339.5</v>
      </c>
      <c r="D109" s="149" t="n">
        <f aca="false">MIN(1,OFFSET(TblMagic[[#This Row],[Wiz str]],-1,0)+0.04+ROUNDDOWN(10*OFFSET(TblMili[[#This Row],[WG''s]],-1,0),0)+ tech_2_7*OFFSET(TblTech[[#This Row],[2-7]],-1,0) + tech_5_6*OFFSET(TblTech[[#This Row],[5-6]],-1,0) )-TblMagic[[#This Row],[Wiz str cost]]</f>
        <v>1</v>
      </c>
      <c r="E109" s="153" t="n">
        <f aca="false">OFFSET(TblMagic[[#This Row],[Time]],-1,0)+1/24</f>
        <v>45434.125</v>
      </c>
      <c r="F109" s="149" t="n">
        <f aca="false">TblImps[[#This Row],[Population]]</f>
        <v>1</v>
      </c>
      <c r="G109" s="248"/>
      <c r="H109" s="248"/>
      <c r="I109" s="248"/>
      <c r="J109" s="248"/>
      <c r="K109" s="312"/>
      <c r="L109" s="248"/>
      <c r="M109" s="248"/>
      <c r="N109" s="248"/>
      <c r="O109" s="248"/>
      <c r="P109" s="248"/>
      <c r="Q109" s="248"/>
      <c r="R109" s="248"/>
      <c r="S109" s="248"/>
      <c r="T109" s="248"/>
      <c r="U109" s="248"/>
      <c r="V109" s="248"/>
      <c r="W109" s="132"/>
      <c r="X10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49" t="n">
        <f aca="false">SUMIF(TblMagic[[#This Row],[Gaia''s Watch]:[Useless spell]],1)*0.05</f>
        <v>0</v>
      </c>
      <c r="Z109" s="132"/>
      <c r="AA109" s="26" t="n">
        <f aca="false">IF(TblMagic[[#This Row],[Gaia''s Watch]],12,IF(OFFSET(TblMagic[[#This Row],[Active Gaia''s Watch]],-1,0)&gt;0,OFFSET(TblMagic[[#This Row],[Active Gaia''s Watch]],-1,0)-1,0))</f>
        <v>0</v>
      </c>
      <c r="AB109" s="26" t="n">
        <f aca="false">IF(TblMagic[[#This Row],[Mining Strength]],12,IF(OFFSET(TblMagic[[#This Row],[Active Mining Strength]],-1,0)&gt;0,OFFSET(TblMagic[[#This Row],[Active Mining Strength]],-1,0)-1,0))</f>
        <v>0</v>
      </c>
      <c r="AC109" s="26" t="n">
        <f aca="false">IF(TblMagic[[#This Row],[Ares Call]],12,IF(OFFSET(TblMagic[[#This Row],[Active Ares Call]],-1,0)&gt;0,OFFSET(TblMagic[[#This Row],[Active Ares Call]],-1,0)-1,0))</f>
        <v>3</v>
      </c>
      <c r="AD109" s="26" t="n">
        <f aca="false">IF(TblMagic[[#This Row],[Midas Touch]],12,IF(OFFSET(TblMagic[[#This Row],[Active Midas Touch]],-1,0)&gt;0,OFFSET(TblMagic[[#This Row],[Active Midas Touch]],-1,0)-1,0))</f>
        <v>3</v>
      </c>
      <c r="AE109" s="26" t="n">
        <f aca="false">IF(TblMagic[[#This Row],[Harmony]],12,IF(OFFSET(TblMagic[[#This Row],[Active Harmony]],-1,0)&gt;0,OFFSET(TblMagic[[#This Row],[Active Harmony]],-1,0)-1,0))</f>
        <v>0</v>
      </c>
      <c r="AF109" s="26" t="n">
        <f aca="false">IF(TblMagic[[#This Row],[Miner''s Sight]],12,IF(OFFSET(TblMagic[[#This Row],[Active Miner''s Sight]],-1,0)&gt;0,OFFSET(TblMagic[[#This Row],[Active Miner''s Sight]],-1,0)-1,0))</f>
        <v>0</v>
      </c>
      <c r="AG109" s="26" t="n">
        <f aca="false">IF(TblMagic[[#This Row],[Mechanical Genius]],12,IF(OFFSET(TblMagic[[#This Row],[Active Mechanical Genius]],-1,0)&gt;0,OFFSET(TblMagic[[#This Row],[Active Mechanical Genius]],-1,0)-1,0))</f>
        <v>0</v>
      </c>
      <c r="AH109" s="26" t="n">
        <f aca="false">IF(TblMagic[[#This Row],[Frenzy]],12,IF(OFFSET(TblMagic[[#This Row],[Active Frenzy]],-1,0)&gt;0,OFFSET(TblMagic[[#This Row],[Active Frenzy]],-1,0)-1,0))</f>
        <v>0</v>
      </c>
      <c r="AI109" s="26" t="n">
        <f aca="false">IF(TblMagic[[#This Row],[Killing Rage / Bloodrage / Crusade]],12,IF(OFFSET(TblMagic[[#This Row],[Active Warsong / Killing Rage / Bloodrage]],-1,0)&gt;0,OFFSET(TblMagic[[#This Row],[Active Warsong / Killing Rage / Bloodrage]],-1,0)-1,0))</f>
        <v>0</v>
      </c>
      <c r="AJ109" s="26" t="n">
        <f aca="false">IF(TblMagic[[#This Row],[Gaia''s Blessing]],12,IF(OFFSET(TblMagic[[#This Row],[Active Gaia''s Blessing]],-1,0)&gt;0,OFFSET(TblMagic[[#This Row],[Active Gaia''s Blessing]],-1,0)-1,0))</f>
        <v>0</v>
      </c>
      <c r="AK109" s="26" t="n">
        <f aca="false">IF(TblMagic[[#This Row],[Howling]],12,IF(OFFSET(TblMagic[[#This Row],[Active Howling]],-1,0)&gt;0,OFFSET(TblMagic[[#This Row],[Active Howling]],-1,0)-1,0))</f>
        <v>0</v>
      </c>
      <c r="AL109" s="26" t="n">
        <f aca="false">IF(TblMagic[[#This Row],[Alchemist Frost]],12,IF(OFFSET(TblMagic[[#This Row],[Active Alch Frost]],-1,0)&gt;0,OFFSET(TblMagic[[#This Row],[Active Alch Frost]],-1,0)-1,0))</f>
        <v>0</v>
      </c>
      <c r="AM109" s="26" t="n">
        <f aca="false">IF(TblMagic[[#This Row],[Alchemists Flame]],12,IF(OFFSET(TblMagic[[#This Row],[Active Alchemists Flame]],-1,0)&gt;0,OFFSET(TblMagic[[#This Row],[Active Alchemists Flame]],-1,0)-1,0))</f>
        <v>3</v>
      </c>
      <c r="AN109" s="26" t="n">
        <f aca="false">IF(TblMagic[[#This Row],[Nightfall]],12,IF(OFFSET(TblMagic[[#This Row],[Active Nightfall]],-1,0)&gt;0,OFFSET(TblMagic[[#This Row],[Active Nightfall]],-1,0)-1,0))</f>
        <v>0</v>
      </c>
      <c r="AO109" s="26" t="n">
        <f aca="false">IF(TblMagic[[#This Row],[Favorable Terrain]],12,IF(OFFSET(TblMagic[[#This Row],[Active Favorable Terrain]],-1,0)&gt;0,OFFSET(TblMagic[[#This Row],[Active Favorable Terrain]],-1,0)-1,0))</f>
        <v>0</v>
      </c>
    </row>
    <row r="110" customFormat="false" ht="12.75" hidden="false" customHeight="false" outlineLevel="0" collapsed="false">
      <c r="A110" s="128" t="n">
        <f aca="false">TblRezone[[#This Row],[Hour]]</f>
        <v>107</v>
      </c>
      <c r="B110" s="146" t="n">
        <f aca="false">TblConstr[[#This Row],[Land]]</f>
        <v>700</v>
      </c>
      <c r="C110" s="69" t="n">
        <f aca="false">TblProd[[#This Row],[Mana]]</f>
        <v>8897.5</v>
      </c>
      <c r="D110" s="149" t="n">
        <f aca="false">MIN(1,OFFSET(TblMagic[[#This Row],[Wiz str]],-1,0)+0.04+ROUNDDOWN(10*OFFSET(TblMili[[#This Row],[WG''s]],-1,0),0)+ tech_2_7*OFFSET(TblTech[[#This Row],[2-7]],-1,0) + tech_5_6*OFFSET(TblTech[[#This Row],[5-6]],-1,0) )-TblMagic[[#This Row],[Wiz str cost]]</f>
        <v>1</v>
      </c>
      <c r="E110" s="153" t="n">
        <f aca="false">OFFSET(TblMagic[[#This Row],[Time]],-1,0)+1/24</f>
        <v>45434.1666666667</v>
      </c>
      <c r="F110" s="149" t="n">
        <f aca="false">TblImps[[#This Row],[Population]]</f>
        <v>1</v>
      </c>
      <c r="G110" s="248"/>
      <c r="H110" s="248"/>
      <c r="I110" s="248"/>
      <c r="J110" s="248"/>
      <c r="K110" s="312"/>
      <c r="L110" s="248"/>
      <c r="M110" s="248"/>
      <c r="N110" s="248"/>
      <c r="O110" s="248"/>
      <c r="P110" s="248"/>
      <c r="Q110" s="248"/>
      <c r="R110" s="248"/>
      <c r="S110" s="248"/>
      <c r="T110" s="248"/>
      <c r="U110" s="248"/>
      <c r="V110" s="248"/>
      <c r="W110" s="132"/>
      <c r="X11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49" t="n">
        <f aca="false">SUMIF(TblMagic[[#This Row],[Gaia''s Watch]:[Useless spell]],1)*0.05</f>
        <v>0</v>
      </c>
      <c r="Z110" s="132"/>
      <c r="AA110" s="26" t="n">
        <f aca="false">IF(TblMagic[[#This Row],[Gaia''s Watch]],12,IF(OFFSET(TblMagic[[#This Row],[Active Gaia''s Watch]],-1,0)&gt;0,OFFSET(TblMagic[[#This Row],[Active Gaia''s Watch]],-1,0)-1,0))</f>
        <v>0</v>
      </c>
      <c r="AB110" s="26" t="n">
        <f aca="false">IF(TblMagic[[#This Row],[Mining Strength]],12,IF(OFFSET(TblMagic[[#This Row],[Active Mining Strength]],-1,0)&gt;0,OFFSET(TblMagic[[#This Row],[Active Mining Strength]],-1,0)-1,0))</f>
        <v>0</v>
      </c>
      <c r="AC110" s="26" t="n">
        <f aca="false">IF(TblMagic[[#This Row],[Ares Call]],12,IF(OFFSET(TblMagic[[#This Row],[Active Ares Call]],-1,0)&gt;0,OFFSET(TblMagic[[#This Row],[Active Ares Call]],-1,0)-1,0))</f>
        <v>2</v>
      </c>
      <c r="AD110" s="26" t="n">
        <f aca="false">IF(TblMagic[[#This Row],[Midas Touch]],12,IF(OFFSET(TblMagic[[#This Row],[Active Midas Touch]],-1,0)&gt;0,OFFSET(TblMagic[[#This Row],[Active Midas Touch]],-1,0)-1,0))</f>
        <v>2</v>
      </c>
      <c r="AE110" s="26" t="n">
        <f aca="false">IF(TblMagic[[#This Row],[Harmony]],12,IF(OFFSET(TblMagic[[#This Row],[Active Harmony]],-1,0)&gt;0,OFFSET(TblMagic[[#This Row],[Active Harmony]],-1,0)-1,0))</f>
        <v>0</v>
      </c>
      <c r="AF110" s="26" t="n">
        <f aca="false">IF(TblMagic[[#This Row],[Miner''s Sight]],12,IF(OFFSET(TblMagic[[#This Row],[Active Miner''s Sight]],-1,0)&gt;0,OFFSET(TblMagic[[#This Row],[Active Miner''s Sight]],-1,0)-1,0))</f>
        <v>0</v>
      </c>
      <c r="AG110" s="26" t="n">
        <f aca="false">IF(TblMagic[[#This Row],[Mechanical Genius]],12,IF(OFFSET(TblMagic[[#This Row],[Active Mechanical Genius]],-1,0)&gt;0,OFFSET(TblMagic[[#This Row],[Active Mechanical Genius]],-1,0)-1,0))</f>
        <v>0</v>
      </c>
      <c r="AH110" s="26" t="n">
        <f aca="false">IF(TblMagic[[#This Row],[Frenzy]],12,IF(OFFSET(TblMagic[[#This Row],[Active Frenzy]],-1,0)&gt;0,OFFSET(TblMagic[[#This Row],[Active Frenzy]],-1,0)-1,0))</f>
        <v>0</v>
      </c>
      <c r="AI110" s="26" t="n">
        <f aca="false">IF(TblMagic[[#This Row],[Killing Rage / Bloodrage / Crusade]],12,IF(OFFSET(TblMagic[[#This Row],[Active Warsong / Killing Rage / Bloodrage]],-1,0)&gt;0,OFFSET(TblMagic[[#This Row],[Active Warsong / Killing Rage / Bloodrage]],-1,0)-1,0))</f>
        <v>0</v>
      </c>
      <c r="AJ110" s="26" t="n">
        <f aca="false">IF(TblMagic[[#This Row],[Gaia''s Blessing]],12,IF(OFFSET(TblMagic[[#This Row],[Active Gaia''s Blessing]],-1,0)&gt;0,OFFSET(TblMagic[[#This Row],[Active Gaia''s Blessing]],-1,0)-1,0))</f>
        <v>0</v>
      </c>
      <c r="AK110" s="26" t="n">
        <f aca="false">IF(TblMagic[[#This Row],[Howling]],12,IF(OFFSET(TblMagic[[#This Row],[Active Howling]],-1,0)&gt;0,OFFSET(TblMagic[[#This Row],[Active Howling]],-1,0)-1,0))</f>
        <v>0</v>
      </c>
      <c r="AL110" s="26" t="n">
        <f aca="false">IF(TblMagic[[#This Row],[Alchemist Frost]],12,IF(OFFSET(TblMagic[[#This Row],[Active Alch Frost]],-1,0)&gt;0,OFFSET(TblMagic[[#This Row],[Active Alch Frost]],-1,0)-1,0))</f>
        <v>0</v>
      </c>
      <c r="AM110" s="26" t="n">
        <f aca="false">IF(TblMagic[[#This Row],[Alchemists Flame]],12,IF(OFFSET(TblMagic[[#This Row],[Active Alchemists Flame]],-1,0)&gt;0,OFFSET(TblMagic[[#This Row],[Active Alchemists Flame]],-1,0)-1,0))</f>
        <v>2</v>
      </c>
      <c r="AN110" s="26" t="n">
        <f aca="false">IF(TblMagic[[#This Row],[Nightfall]],12,IF(OFFSET(TblMagic[[#This Row],[Active Nightfall]],-1,0)&gt;0,OFFSET(TblMagic[[#This Row],[Active Nightfall]],-1,0)-1,0))</f>
        <v>0</v>
      </c>
      <c r="AO110" s="26" t="n">
        <f aca="false">IF(TblMagic[[#This Row],[Favorable Terrain]],12,IF(OFFSET(TblMagic[[#This Row],[Active Favorable Terrain]],-1,0)&gt;0,OFFSET(TblMagic[[#This Row],[Active Favorable Terrain]],-1,0)-1,0))</f>
        <v>0</v>
      </c>
    </row>
    <row r="111" customFormat="false" ht="12.75" hidden="false" customHeight="false" outlineLevel="0" collapsed="false">
      <c r="A111" s="128" t="n">
        <f aca="false">TblRezone[[#This Row],[Hour]]</f>
        <v>108</v>
      </c>
      <c r="B111" s="146" t="n">
        <f aca="false">TblConstr[[#This Row],[Land]]</f>
        <v>700</v>
      </c>
      <c r="C111" s="69" t="n">
        <f aca="false">TblProd[[#This Row],[Mana]]</f>
        <v>9444.5</v>
      </c>
      <c r="D111" s="149" t="n">
        <f aca="false">MIN(1,OFFSET(TblMagic[[#This Row],[Wiz str]],-1,0)+0.04+ROUNDDOWN(10*OFFSET(TblMili[[#This Row],[WG''s]],-1,0),0)+ tech_2_7*OFFSET(TblTech[[#This Row],[2-7]],-1,0) + tech_5_6*OFFSET(TblTech[[#This Row],[5-6]],-1,0) )-TblMagic[[#This Row],[Wiz str cost]]</f>
        <v>1</v>
      </c>
      <c r="E111" s="153" t="n">
        <f aca="false">OFFSET(TblMagic[[#This Row],[Time]],-1,0)+1/24</f>
        <v>45434.2083333333</v>
      </c>
      <c r="F111" s="149" t="n">
        <f aca="false">TblImps[[#This Row],[Population]]</f>
        <v>1</v>
      </c>
      <c r="G111" s="248"/>
      <c r="H111" s="248"/>
      <c r="I111" s="248"/>
      <c r="J111" s="248"/>
      <c r="K111" s="312"/>
      <c r="L111" s="248"/>
      <c r="M111" s="248"/>
      <c r="N111" s="248"/>
      <c r="O111" s="248"/>
      <c r="P111" s="248"/>
      <c r="Q111" s="248"/>
      <c r="R111" s="248"/>
      <c r="S111" s="248"/>
      <c r="T111" s="248"/>
      <c r="U111" s="248"/>
      <c r="V111" s="248"/>
      <c r="W111" s="132"/>
      <c r="X11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49" t="n">
        <f aca="false">SUMIF(TblMagic[[#This Row],[Gaia''s Watch]:[Useless spell]],1)*0.05</f>
        <v>0</v>
      </c>
      <c r="Z111" s="132"/>
      <c r="AA111" s="26" t="n">
        <f aca="false">IF(TblMagic[[#This Row],[Gaia''s Watch]],12,IF(OFFSET(TblMagic[[#This Row],[Active Gaia''s Watch]],-1,0)&gt;0,OFFSET(TblMagic[[#This Row],[Active Gaia''s Watch]],-1,0)-1,0))</f>
        <v>0</v>
      </c>
      <c r="AB111" s="26" t="n">
        <f aca="false">IF(TblMagic[[#This Row],[Mining Strength]],12,IF(OFFSET(TblMagic[[#This Row],[Active Mining Strength]],-1,0)&gt;0,OFFSET(TblMagic[[#This Row],[Active Mining Strength]],-1,0)-1,0))</f>
        <v>0</v>
      </c>
      <c r="AC111" s="26" t="n">
        <f aca="false">IF(TblMagic[[#This Row],[Ares Call]],12,IF(OFFSET(TblMagic[[#This Row],[Active Ares Call]],-1,0)&gt;0,OFFSET(TblMagic[[#This Row],[Active Ares Call]],-1,0)-1,0))</f>
        <v>1</v>
      </c>
      <c r="AD111" s="26" t="n">
        <f aca="false">IF(TblMagic[[#This Row],[Midas Touch]],12,IF(OFFSET(TblMagic[[#This Row],[Active Midas Touch]],-1,0)&gt;0,OFFSET(TblMagic[[#This Row],[Active Midas Touch]],-1,0)-1,0))</f>
        <v>1</v>
      </c>
      <c r="AE111" s="26" t="n">
        <f aca="false">IF(TblMagic[[#This Row],[Harmony]],12,IF(OFFSET(TblMagic[[#This Row],[Active Harmony]],-1,0)&gt;0,OFFSET(TblMagic[[#This Row],[Active Harmony]],-1,0)-1,0))</f>
        <v>0</v>
      </c>
      <c r="AF111" s="26" t="n">
        <f aca="false">IF(TblMagic[[#This Row],[Miner''s Sight]],12,IF(OFFSET(TblMagic[[#This Row],[Active Miner''s Sight]],-1,0)&gt;0,OFFSET(TblMagic[[#This Row],[Active Miner''s Sight]],-1,0)-1,0))</f>
        <v>0</v>
      </c>
      <c r="AG111" s="26" t="n">
        <f aca="false">IF(TblMagic[[#This Row],[Mechanical Genius]],12,IF(OFFSET(TblMagic[[#This Row],[Active Mechanical Genius]],-1,0)&gt;0,OFFSET(TblMagic[[#This Row],[Active Mechanical Genius]],-1,0)-1,0))</f>
        <v>0</v>
      </c>
      <c r="AH111" s="26" t="n">
        <f aca="false">IF(TblMagic[[#This Row],[Frenzy]],12,IF(OFFSET(TblMagic[[#This Row],[Active Frenzy]],-1,0)&gt;0,OFFSET(TblMagic[[#This Row],[Active Frenzy]],-1,0)-1,0))</f>
        <v>0</v>
      </c>
      <c r="AI111" s="26" t="n">
        <f aca="false">IF(TblMagic[[#This Row],[Killing Rage / Bloodrage / Crusade]],12,IF(OFFSET(TblMagic[[#This Row],[Active Warsong / Killing Rage / Bloodrage]],-1,0)&gt;0,OFFSET(TblMagic[[#This Row],[Active Warsong / Killing Rage / Bloodrage]],-1,0)-1,0))</f>
        <v>0</v>
      </c>
      <c r="AJ111" s="26" t="n">
        <f aca="false">IF(TblMagic[[#This Row],[Gaia''s Blessing]],12,IF(OFFSET(TblMagic[[#This Row],[Active Gaia''s Blessing]],-1,0)&gt;0,OFFSET(TblMagic[[#This Row],[Active Gaia''s Blessing]],-1,0)-1,0))</f>
        <v>0</v>
      </c>
      <c r="AK111" s="26" t="n">
        <f aca="false">IF(TblMagic[[#This Row],[Howling]],12,IF(OFFSET(TblMagic[[#This Row],[Active Howling]],-1,0)&gt;0,OFFSET(TblMagic[[#This Row],[Active Howling]],-1,0)-1,0))</f>
        <v>0</v>
      </c>
      <c r="AL111" s="26" t="n">
        <f aca="false">IF(TblMagic[[#This Row],[Alchemist Frost]],12,IF(OFFSET(TblMagic[[#This Row],[Active Alch Frost]],-1,0)&gt;0,OFFSET(TblMagic[[#This Row],[Active Alch Frost]],-1,0)-1,0))</f>
        <v>0</v>
      </c>
      <c r="AM111" s="26" t="n">
        <f aca="false">IF(TblMagic[[#This Row],[Alchemists Flame]],12,IF(OFFSET(TblMagic[[#This Row],[Active Alchemists Flame]],-1,0)&gt;0,OFFSET(TblMagic[[#This Row],[Active Alchemists Flame]],-1,0)-1,0))</f>
        <v>1</v>
      </c>
      <c r="AN111" s="26" t="n">
        <f aca="false">IF(TblMagic[[#This Row],[Nightfall]],12,IF(OFFSET(TblMagic[[#This Row],[Active Nightfall]],-1,0)&gt;0,OFFSET(TblMagic[[#This Row],[Active Nightfall]],-1,0)-1,0))</f>
        <v>0</v>
      </c>
      <c r="AO111" s="26" t="n">
        <f aca="false">IF(TblMagic[[#This Row],[Favorable Terrain]],12,IF(OFFSET(TblMagic[[#This Row],[Active Favorable Terrain]],-1,0)&gt;0,OFFSET(TblMagic[[#This Row],[Active Favorable Terrain]],-1,0)-1,0))</f>
        <v>0</v>
      </c>
    </row>
    <row r="112" customFormat="false" ht="12.75" hidden="false" customHeight="false" outlineLevel="0" collapsed="false">
      <c r="A112" s="128" t="n">
        <f aca="false">TblRezone[[#This Row],[Hour]]</f>
        <v>109</v>
      </c>
      <c r="B112" s="146" t="n">
        <f aca="false">TblConstr[[#This Row],[Land]]</f>
        <v>700</v>
      </c>
      <c r="C112" s="69" t="n">
        <f aca="false">TblProd[[#This Row],[Mana]]</f>
        <v>9980.5</v>
      </c>
      <c r="D112" s="149" t="n">
        <f aca="false">MIN(1,OFFSET(TblMagic[[#This Row],[Wiz str]],-1,0)+0.04+ROUNDDOWN(10*OFFSET(TblMili[[#This Row],[WG''s]],-1,0),0)+ tech_2_7*OFFSET(TblTech[[#This Row],[2-7]],-1,0) + tech_5_6*OFFSET(TblTech[[#This Row],[5-6]],-1,0) )-TblMagic[[#This Row],[Wiz str cost]]</f>
        <v>1</v>
      </c>
      <c r="E112" s="153" t="n">
        <f aca="false">OFFSET(TblMagic[[#This Row],[Time]],-1,0)+1/24</f>
        <v>45434.25</v>
      </c>
      <c r="F112" s="149" t="n">
        <f aca="false">TblImps[[#This Row],[Population]]</f>
        <v>1</v>
      </c>
      <c r="G112" s="248"/>
      <c r="H112" s="248"/>
      <c r="I112" s="248"/>
      <c r="J112" s="248"/>
      <c r="K112" s="312"/>
      <c r="L112" s="248"/>
      <c r="M112" s="248"/>
      <c r="N112" s="248"/>
      <c r="O112" s="248"/>
      <c r="P112" s="248"/>
      <c r="Q112" s="248"/>
      <c r="R112" s="248"/>
      <c r="S112" s="248"/>
      <c r="T112" s="248"/>
      <c r="U112" s="248"/>
      <c r="V112" s="248"/>
      <c r="W112" s="132"/>
      <c r="X11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49" t="n">
        <f aca="false">SUMIF(TblMagic[[#This Row],[Gaia''s Watch]:[Useless spell]],1)*0.05</f>
        <v>0</v>
      </c>
      <c r="Z112" s="132"/>
      <c r="AA112" s="26" t="n">
        <f aca="false">IF(TblMagic[[#This Row],[Gaia''s Watch]],12,IF(OFFSET(TblMagic[[#This Row],[Active Gaia''s Watch]],-1,0)&gt;0,OFFSET(TblMagic[[#This Row],[Active Gaia''s Watch]],-1,0)-1,0))</f>
        <v>0</v>
      </c>
      <c r="AB112" s="26" t="n">
        <f aca="false">IF(TblMagic[[#This Row],[Mining Strength]],12,IF(OFFSET(TblMagic[[#This Row],[Active Mining Strength]],-1,0)&gt;0,OFFSET(TblMagic[[#This Row],[Active Mining Strength]],-1,0)-1,0))</f>
        <v>0</v>
      </c>
      <c r="AC112" s="26" t="n">
        <f aca="false">IF(TblMagic[[#This Row],[Ares Call]],12,IF(OFFSET(TblMagic[[#This Row],[Active Ares Call]],-1,0)&gt;0,OFFSET(TblMagic[[#This Row],[Active Ares Call]],-1,0)-1,0))</f>
        <v>0</v>
      </c>
      <c r="AD112" s="26" t="n">
        <f aca="false">IF(TblMagic[[#This Row],[Midas Touch]],12,IF(OFFSET(TblMagic[[#This Row],[Active Midas Touch]],-1,0)&gt;0,OFFSET(TblMagic[[#This Row],[Active Midas Touch]],-1,0)-1,0))</f>
        <v>0</v>
      </c>
      <c r="AE112" s="26" t="n">
        <f aca="false">IF(TblMagic[[#This Row],[Harmony]],12,IF(OFFSET(TblMagic[[#This Row],[Active Harmony]],-1,0)&gt;0,OFFSET(TblMagic[[#This Row],[Active Harmony]],-1,0)-1,0))</f>
        <v>0</v>
      </c>
      <c r="AF112" s="26" t="n">
        <f aca="false">IF(TblMagic[[#This Row],[Miner''s Sight]],12,IF(OFFSET(TblMagic[[#This Row],[Active Miner''s Sight]],-1,0)&gt;0,OFFSET(TblMagic[[#This Row],[Active Miner''s Sight]],-1,0)-1,0))</f>
        <v>0</v>
      </c>
      <c r="AG112" s="26" t="n">
        <f aca="false">IF(TblMagic[[#This Row],[Mechanical Genius]],12,IF(OFFSET(TblMagic[[#This Row],[Active Mechanical Genius]],-1,0)&gt;0,OFFSET(TblMagic[[#This Row],[Active Mechanical Genius]],-1,0)-1,0))</f>
        <v>0</v>
      </c>
      <c r="AH112" s="26" t="n">
        <f aca="false">IF(TblMagic[[#This Row],[Frenzy]],12,IF(OFFSET(TblMagic[[#This Row],[Active Frenzy]],-1,0)&gt;0,OFFSET(TblMagic[[#This Row],[Active Frenzy]],-1,0)-1,0))</f>
        <v>0</v>
      </c>
      <c r="AI112" s="26" t="n">
        <f aca="false">IF(TblMagic[[#This Row],[Killing Rage / Bloodrage / Crusade]],12,IF(OFFSET(TblMagic[[#This Row],[Active Warsong / Killing Rage / Bloodrage]],-1,0)&gt;0,OFFSET(TblMagic[[#This Row],[Active Warsong / Killing Rage / Bloodrage]],-1,0)-1,0))</f>
        <v>0</v>
      </c>
      <c r="AJ112" s="26" t="n">
        <f aca="false">IF(TblMagic[[#This Row],[Gaia''s Blessing]],12,IF(OFFSET(TblMagic[[#This Row],[Active Gaia''s Blessing]],-1,0)&gt;0,OFFSET(TblMagic[[#This Row],[Active Gaia''s Blessing]],-1,0)-1,0))</f>
        <v>0</v>
      </c>
      <c r="AK112" s="26" t="n">
        <f aca="false">IF(TblMagic[[#This Row],[Howling]],12,IF(OFFSET(TblMagic[[#This Row],[Active Howling]],-1,0)&gt;0,OFFSET(TblMagic[[#This Row],[Active Howling]],-1,0)-1,0))</f>
        <v>0</v>
      </c>
      <c r="AL112" s="26" t="n">
        <f aca="false">IF(TblMagic[[#This Row],[Alchemist Frost]],12,IF(OFFSET(TblMagic[[#This Row],[Active Alch Frost]],-1,0)&gt;0,OFFSET(TblMagic[[#This Row],[Active Alch Frost]],-1,0)-1,0))</f>
        <v>0</v>
      </c>
      <c r="AM112" s="26" t="n">
        <f aca="false">IF(TblMagic[[#This Row],[Alchemists Flame]],12,IF(OFFSET(TblMagic[[#This Row],[Active Alchemists Flame]],-1,0)&gt;0,OFFSET(TblMagic[[#This Row],[Active Alchemists Flame]],-1,0)-1,0))</f>
        <v>0</v>
      </c>
      <c r="AN112" s="26" t="n">
        <f aca="false">IF(TblMagic[[#This Row],[Nightfall]],12,IF(OFFSET(TblMagic[[#This Row],[Active Nightfall]],-1,0)&gt;0,OFFSET(TblMagic[[#This Row],[Active Nightfall]],-1,0)-1,0))</f>
        <v>0</v>
      </c>
      <c r="AO112" s="26" t="n">
        <f aca="false">IF(TblMagic[[#This Row],[Favorable Terrain]],12,IF(OFFSET(TblMagic[[#This Row],[Active Favorable Terrain]],-1,0)&gt;0,OFFSET(TblMagic[[#This Row],[Active Favorable Terrain]],-1,0)-1,0))</f>
        <v>0</v>
      </c>
    </row>
    <row r="113" customFormat="false" ht="12.75" hidden="false" customHeight="false" outlineLevel="0" collapsed="false">
      <c r="A113" s="128" t="n">
        <f aca="false">TblRezone[[#This Row],[Hour]]</f>
        <v>110</v>
      </c>
      <c r="B113" s="146" t="n">
        <f aca="false">TblConstr[[#This Row],[Land]]</f>
        <v>700</v>
      </c>
      <c r="C113" s="69" t="n">
        <f aca="false">TblProd[[#This Row],[Mana]]</f>
        <v>10505.5</v>
      </c>
      <c r="D113" s="149" t="n">
        <f aca="false">MIN(1,OFFSET(TblMagic[[#This Row],[Wiz str]],-1,0)+0.04+ROUNDDOWN(10*OFFSET(TblMili[[#This Row],[WG''s]],-1,0),0)+ tech_2_7*OFFSET(TblTech[[#This Row],[2-7]],-1,0) + tech_5_6*OFFSET(TblTech[[#This Row],[5-6]],-1,0) )-TblMagic[[#This Row],[Wiz str cost]]</f>
        <v>1</v>
      </c>
      <c r="E113" s="153" t="n">
        <f aca="false">OFFSET(TblMagic[[#This Row],[Time]],-1,0)+1/24</f>
        <v>45434.2916666667</v>
      </c>
      <c r="F113" s="149" t="n">
        <f aca="false">TblImps[[#This Row],[Population]]</f>
        <v>1</v>
      </c>
      <c r="G113" s="248"/>
      <c r="H113" s="248"/>
      <c r="I113" s="248"/>
      <c r="J113" s="248"/>
      <c r="K113" s="312"/>
      <c r="L113" s="248"/>
      <c r="M113" s="248"/>
      <c r="N113" s="248"/>
      <c r="O113" s="248"/>
      <c r="P113" s="248"/>
      <c r="Q113" s="248"/>
      <c r="R113" s="248"/>
      <c r="S113" s="248"/>
      <c r="T113" s="248"/>
      <c r="U113" s="248"/>
      <c r="V113" s="248"/>
      <c r="W113" s="132"/>
      <c r="X11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49" t="n">
        <f aca="false">SUMIF(TblMagic[[#This Row],[Gaia''s Watch]:[Useless spell]],1)*0.05</f>
        <v>0</v>
      </c>
      <c r="Z113" s="132"/>
      <c r="AA113" s="26" t="n">
        <f aca="false">IF(TblMagic[[#This Row],[Gaia''s Watch]],12,IF(OFFSET(TblMagic[[#This Row],[Active Gaia''s Watch]],-1,0)&gt;0,OFFSET(TblMagic[[#This Row],[Active Gaia''s Watch]],-1,0)-1,0))</f>
        <v>0</v>
      </c>
      <c r="AB113" s="26" t="n">
        <f aca="false">IF(TblMagic[[#This Row],[Mining Strength]],12,IF(OFFSET(TblMagic[[#This Row],[Active Mining Strength]],-1,0)&gt;0,OFFSET(TblMagic[[#This Row],[Active Mining Strength]],-1,0)-1,0))</f>
        <v>0</v>
      </c>
      <c r="AC113" s="26" t="n">
        <f aca="false">IF(TblMagic[[#This Row],[Ares Call]],12,IF(OFFSET(TblMagic[[#This Row],[Active Ares Call]],-1,0)&gt;0,OFFSET(TblMagic[[#This Row],[Active Ares Call]],-1,0)-1,0))</f>
        <v>0</v>
      </c>
      <c r="AD113" s="26" t="n">
        <f aca="false">IF(TblMagic[[#This Row],[Midas Touch]],12,IF(OFFSET(TblMagic[[#This Row],[Active Midas Touch]],-1,0)&gt;0,OFFSET(TblMagic[[#This Row],[Active Midas Touch]],-1,0)-1,0))</f>
        <v>0</v>
      </c>
      <c r="AE113" s="26" t="n">
        <f aca="false">IF(TblMagic[[#This Row],[Harmony]],12,IF(OFFSET(TblMagic[[#This Row],[Active Harmony]],-1,0)&gt;0,OFFSET(TblMagic[[#This Row],[Active Harmony]],-1,0)-1,0))</f>
        <v>0</v>
      </c>
      <c r="AF113" s="26" t="n">
        <f aca="false">IF(TblMagic[[#This Row],[Miner''s Sight]],12,IF(OFFSET(TblMagic[[#This Row],[Active Miner''s Sight]],-1,0)&gt;0,OFFSET(TblMagic[[#This Row],[Active Miner''s Sight]],-1,0)-1,0))</f>
        <v>0</v>
      </c>
      <c r="AG113" s="26" t="n">
        <f aca="false">IF(TblMagic[[#This Row],[Mechanical Genius]],12,IF(OFFSET(TblMagic[[#This Row],[Active Mechanical Genius]],-1,0)&gt;0,OFFSET(TblMagic[[#This Row],[Active Mechanical Genius]],-1,0)-1,0))</f>
        <v>0</v>
      </c>
      <c r="AH113" s="26" t="n">
        <f aca="false">IF(TblMagic[[#This Row],[Frenzy]],12,IF(OFFSET(TblMagic[[#This Row],[Active Frenzy]],-1,0)&gt;0,OFFSET(TblMagic[[#This Row],[Active Frenzy]],-1,0)-1,0))</f>
        <v>0</v>
      </c>
      <c r="AI113" s="26" t="n">
        <f aca="false">IF(TblMagic[[#This Row],[Killing Rage / Bloodrage / Crusade]],12,IF(OFFSET(TblMagic[[#This Row],[Active Warsong / Killing Rage / Bloodrage]],-1,0)&gt;0,OFFSET(TblMagic[[#This Row],[Active Warsong / Killing Rage / Bloodrage]],-1,0)-1,0))</f>
        <v>0</v>
      </c>
      <c r="AJ113" s="26" t="n">
        <f aca="false">IF(TblMagic[[#This Row],[Gaia''s Blessing]],12,IF(OFFSET(TblMagic[[#This Row],[Active Gaia''s Blessing]],-1,0)&gt;0,OFFSET(TblMagic[[#This Row],[Active Gaia''s Blessing]],-1,0)-1,0))</f>
        <v>0</v>
      </c>
      <c r="AK113" s="26" t="n">
        <f aca="false">IF(TblMagic[[#This Row],[Howling]],12,IF(OFFSET(TblMagic[[#This Row],[Active Howling]],-1,0)&gt;0,OFFSET(TblMagic[[#This Row],[Active Howling]],-1,0)-1,0))</f>
        <v>0</v>
      </c>
      <c r="AL113" s="26" t="n">
        <f aca="false">IF(TblMagic[[#This Row],[Alchemist Frost]],12,IF(OFFSET(TblMagic[[#This Row],[Active Alch Frost]],-1,0)&gt;0,OFFSET(TblMagic[[#This Row],[Active Alch Frost]],-1,0)-1,0))</f>
        <v>0</v>
      </c>
      <c r="AM113" s="26" t="n">
        <f aca="false">IF(TblMagic[[#This Row],[Alchemists Flame]],12,IF(OFFSET(TblMagic[[#This Row],[Active Alchemists Flame]],-1,0)&gt;0,OFFSET(TblMagic[[#This Row],[Active Alchemists Flame]],-1,0)-1,0))</f>
        <v>0</v>
      </c>
      <c r="AN113" s="26" t="n">
        <f aca="false">IF(TblMagic[[#This Row],[Nightfall]],12,IF(OFFSET(TblMagic[[#This Row],[Active Nightfall]],-1,0)&gt;0,OFFSET(TblMagic[[#This Row],[Active Nightfall]],-1,0)-1,0))</f>
        <v>0</v>
      </c>
      <c r="AO113" s="26" t="n">
        <f aca="false">IF(TblMagic[[#This Row],[Favorable Terrain]],12,IF(OFFSET(TblMagic[[#This Row],[Active Favorable Terrain]],-1,0)&gt;0,OFFSET(TblMagic[[#This Row],[Active Favorable Terrain]],-1,0)-1,0))</f>
        <v>0</v>
      </c>
    </row>
    <row r="114" customFormat="false" ht="12.75" hidden="false" customHeight="false" outlineLevel="0" collapsed="false">
      <c r="A114" s="128" t="n">
        <f aca="false">TblRezone[[#This Row],[Hour]]</f>
        <v>111</v>
      </c>
      <c r="B114" s="146" t="n">
        <f aca="false">TblConstr[[#This Row],[Land]]</f>
        <v>700</v>
      </c>
      <c r="C114" s="69" t="n">
        <f aca="false">TblProd[[#This Row],[Mana]]</f>
        <v>11020.5</v>
      </c>
      <c r="D114" s="149" t="n">
        <f aca="false">MIN(1,OFFSET(TblMagic[[#This Row],[Wiz str]],-1,0)+0.04+ROUNDDOWN(10*OFFSET(TblMili[[#This Row],[WG''s]],-1,0),0)+ tech_2_7*OFFSET(TblTech[[#This Row],[2-7]],-1,0) + tech_5_6*OFFSET(TblTech[[#This Row],[5-6]],-1,0) )-TblMagic[[#This Row],[Wiz str cost]]</f>
        <v>1</v>
      </c>
      <c r="E114" s="153" t="n">
        <f aca="false">OFFSET(TblMagic[[#This Row],[Time]],-1,0)+1/24</f>
        <v>45434.3333333333</v>
      </c>
      <c r="F114" s="149" t="n">
        <f aca="false">TblImps[[#This Row],[Population]]</f>
        <v>1</v>
      </c>
      <c r="G114" s="248"/>
      <c r="H114" s="248"/>
      <c r="I114" s="248"/>
      <c r="J114" s="248"/>
      <c r="K114" s="312"/>
      <c r="L114" s="248"/>
      <c r="M114" s="248"/>
      <c r="N114" s="248"/>
      <c r="O114" s="248"/>
      <c r="P114" s="248"/>
      <c r="Q114" s="248"/>
      <c r="R114" s="248"/>
      <c r="S114" s="248"/>
      <c r="T114" s="248"/>
      <c r="U114" s="248"/>
      <c r="V114" s="248"/>
      <c r="W114" s="132"/>
      <c r="X11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49" t="n">
        <f aca="false">SUMIF(TblMagic[[#This Row],[Gaia''s Watch]:[Useless spell]],1)*0.05</f>
        <v>0</v>
      </c>
      <c r="Z114" s="132"/>
      <c r="AA114" s="26" t="n">
        <f aca="false">IF(TblMagic[[#This Row],[Gaia''s Watch]],12,IF(OFFSET(TblMagic[[#This Row],[Active Gaia''s Watch]],-1,0)&gt;0,OFFSET(TblMagic[[#This Row],[Active Gaia''s Watch]],-1,0)-1,0))</f>
        <v>0</v>
      </c>
      <c r="AB114" s="26" t="n">
        <f aca="false">IF(TblMagic[[#This Row],[Mining Strength]],12,IF(OFFSET(TblMagic[[#This Row],[Active Mining Strength]],-1,0)&gt;0,OFFSET(TblMagic[[#This Row],[Active Mining Strength]],-1,0)-1,0))</f>
        <v>0</v>
      </c>
      <c r="AC114" s="26" t="n">
        <f aca="false">IF(TblMagic[[#This Row],[Ares Call]],12,IF(OFFSET(TblMagic[[#This Row],[Active Ares Call]],-1,0)&gt;0,OFFSET(TblMagic[[#This Row],[Active Ares Call]],-1,0)-1,0))</f>
        <v>0</v>
      </c>
      <c r="AD114" s="26" t="n">
        <f aca="false">IF(TblMagic[[#This Row],[Midas Touch]],12,IF(OFFSET(TblMagic[[#This Row],[Active Midas Touch]],-1,0)&gt;0,OFFSET(TblMagic[[#This Row],[Active Midas Touch]],-1,0)-1,0))</f>
        <v>0</v>
      </c>
      <c r="AE114" s="26" t="n">
        <f aca="false">IF(TblMagic[[#This Row],[Harmony]],12,IF(OFFSET(TblMagic[[#This Row],[Active Harmony]],-1,0)&gt;0,OFFSET(TblMagic[[#This Row],[Active Harmony]],-1,0)-1,0))</f>
        <v>0</v>
      </c>
      <c r="AF114" s="26" t="n">
        <f aca="false">IF(TblMagic[[#This Row],[Miner''s Sight]],12,IF(OFFSET(TblMagic[[#This Row],[Active Miner''s Sight]],-1,0)&gt;0,OFFSET(TblMagic[[#This Row],[Active Miner''s Sight]],-1,0)-1,0))</f>
        <v>0</v>
      </c>
      <c r="AG114" s="26" t="n">
        <f aca="false">IF(TblMagic[[#This Row],[Mechanical Genius]],12,IF(OFFSET(TblMagic[[#This Row],[Active Mechanical Genius]],-1,0)&gt;0,OFFSET(TblMagic[[#This Row],[Active Mechanical Genius]],-1,0)-1,0))</f>
        <v>0</v>
      </c>
      <c r="AH114" s="26" t="n">
        <f aca="false">IF(TblMagic[[#This Row],[Frenzy]],12,IF(OFFSET(TblMagic[[#This Row],[Active Frenzy]],-1,0)&gt;0,OFFSET(TblMagic[[#This Row],[Active Frenzy]],-1,0)-1,0))</f>
        <v>0</v>
      </c>
      <c r="AI114" s="26" t="n">
        <f aca="false">IF(TblMagic[[#This Row],[Killing Rage / Bloodrage / Crusade]],12,IF(OFFSET(TblMagic[[#This Row],[Active Warsong / Killing Rage / Bloodrage]],-1,0)&gt;0,OFFSET(TblMagic[[#This Row],[Active Warsong / Killing Rage / Bloodrage]],-1,0)-1,0))</f>
        <v>0</v>
      </c>
      <c r="AJ114" s="26" t="n">
        <f aca="false">IF(TblMagic[[#This Row],[Gaia''s Blessing]],12,IF(OFFSET(TblMagic[[#This Row],[Active Gaia''s Blessing]],-1,0)&gt;0,OFFSET(TblMagic[[#This Row],[Active Gaia''s Blessing]],-1,0)-1,0))</f>
        <v>0</v>
      </c>
      <c r="AK114" s="26" t="n">
        <f aca="false">IF(TblMagic[[#This Row],[Howling]],12,IF(OFFSET(TblMagic[[#This Row],[Active Howling]],-1,0)&gt;0,OFFSET(TblMagic[[#This Row],[Active Howling]],-1,0)-1,0))</f>
        <v>0</v>
      </c>
      <c r="AL114" s="26" t="n">
        <f aca="false">IF(TblMagic[[#This Row],[Alchemist Frost]],12,IF(OFFSET(TblMagic[[#This Row],[Active Alch Frost]],-1,0)&gt;0,OFFSET(TblMagic[[#This Row],[Active Alch Frost]],-1,0)-1,0))</f>
        <v>0</v>
      </c>
      <c r="AM114" s="26" t="n">
        <f aca="false">IF(TblMagic[[#This Row],[Alchemists Flame]],12,IF(OFFSET(TblMagic[[#This Row],[Active Alchemists Flame]],-1,0)&gt;0,OFFSET(TblMagic[[#This Row],[Active Alchemists Flame]],-1,0)-1,0))</f>
        <v>0</v>
      </c>
      <c r="AN114" s="26" t="n">
        <f aca="false">IF(TblMagic[[#This Row],[Nightfall]],12,IF(OFFSET(TblMagic[[#This Row],[Active Nightfall]],-1,0)&gt;0,OFFSET(TblMagic[[#This Row],[Active Nightfall]],-1,0)-1,0))</f>
        <v>0</v>
      </c>
      <c r="AO114" s="26" t="n">
        <f aca="false">IF(TblMagic[[#This Row],[Favorable Terrain]],12,IF(OFFSET(TblMagic[[#This Row],[Active Favorable Terrain]],-1,0)&gt;0,OFFSET(TblMagic[[#This Row],[Active Favorable Terrain]],-1,0)-1,0))</f>
        <v>0</v>
      </c>
    </row>
    <row r="115" customFormat="false" ht="12.75" hidden="false" customHeight="false" outlineLevel="0" collapsed="false">
      <c r="A115" s="128" t="n">
        <f aca="false">TblRezone[[#This Row],[Hour]]</f>
        <v>112</v>
      </c>
      <c r="B115" s="146" t="n">
        <f aca="false">TblConstr[[#This Row],[Land]]</f>
        <v>700</v>
      </c>
      <c r="C115" s="69" t="n">
        <f aca="false">TblProd[[#This Row],[Mana]]</f>
        <v>11525.5</v>
      </c>
      <c r="D115" s="149" t="n">
        <f aca="false">MIN(1,OFFSET(TblMagic[[#This Row],[Wiz str]],-1,0)+0.04+ROUNDDOWN(10*OFFSET(TblMili[[#This Row],[WG''s]],-1,0),0)+ tech_2_7*OFFSET(TblTech[[#This Row],[2-7]],-1,0) + tech_5_6*OFFSET(TblTech[[#This Row],[5-6]],-1,0) )-TblMagic[[#This Row],[Wiz str cost]]</f>
        <v>1</v>
      </c>
      <c r="E115" s="153" t="n">
        <f aca="false">OFFSET(TblMagic[[#This Row],[Time]],-1,0)+1/24</f>
        <v>45434.375</v>
      </c>
      <c r="F115" s="149" t="n">
        <f aca="false">TblImps[[#This Row],[Population]]</f>
        <v>1</v>
      </c>
      <c r="G115" s="248"/>
      <c r="H115" s="248"/>
      <c r="I115" s="248"/>
      <c r="J115" s="248"/>
      <c r="K115" s="312"/>
      <c r="L115" s="248"/>
      <c r="M115" s="248"/>
      <c r="N115" s="248"/>
      <c r="O115" s="248"/>
      <c r="P115" s="248"/>
      <c r="Q115" s="248"/>
      <c r="R115" s="248"/>
      <c r="S115" s="248"/>
      <c r="T115" s="248"/>
      <c r="U115" s="248"/>
      <c r="V115" s="248"/>
      <c r="W115" s="132"/>
      <c r="X11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49" t="n">
        <f aca="false">SUMIF(TblMagic[[#This Row],[Gaia''s Watch]:[Useless spell]],1)*0.05</f>
        <v>0</v>
      </c>
      <c r="Z115" s="132"/>
      <c r="AA115" s="26" t="n">
        <f aca="false">IF(TblMagic[[#This Row],[Gaia''s Watch]],12,IF(OFFSET(TblMagic[[#This Row],[Active Gaia''s Watch]],-1,0)&gt;0,OFFSET(TblMagic[[#This Row],[Active Gaia''s Watch]],-1,0)-1,0))</f>
        <v>0</v>
      </c>
      <c r="AB115" s="26" t="n">
        <f aca="false">IF(TblMagic[[#This Row],[Mining Strength]],12,IF(OFFSET(TblMagic[[#This Row],[Active Mining Strength]],-1,0)&gt;0,OFFSET(TblMagic[[#This Row],[Active Mining Strength]],-1,0)-1,0))</f>
        <v>0</v>
      </c>
      <c r="AC115" s="26" t="n">
        <f aca="false">IF(TblMagic[[#This Row],[Ares Call]],12,IF(OFFSET(TblMagic[[#This Row],[Active Ares Call]],-1,0)&gt;0,OFFSET(TblMagic[[#This Row],[Active Ares Call]],-1,0)-1,0))</f>
        <v>0</v>
      </c>
      <c r="AD115" s="26" t="n">
        <f aca="false">IF(TblMagic[[#This Row],[Midas Touch]],12,IF(OFFSET(TblMagic[[#This Row],[Active Midas Touch]],-1,0)&gt;0,OFFSET(TblMagic[[#This Row],[Active Midas Touch]],-1,0)-1,0))</f>
        <v>0</v>
      </c>
      <c r="AE115" s="26" t="n">
        <f aca="false">IF(TblMagic[[#This Row],[Harmony]],12,IF(OFFSET(TblMagic[[#This Row],[Active Harmony]],-1,0)&gt;0,OFFSET(TblMagic[[#This Row],[Active Harmony]],-1,0)-1,0))</f>
        <v>0</v>
      </c>
      <c r="AF115" s="26" t="n">
        <f aca="false">IF(TblMagic[[#This Row],[Miner''s Sight]],12,IF(OFFSET(TblMagic[[#This Row],[Active Miner''s Sight]],-1,0)&gt;0,OFFSET(TblMagic[[#This Row],[Active Miner''s Sight]],-1,0)-1,0))</f>
        <v>0</v>
      </c>
      <c r="AG115" s="26" t="n">
        <f aca="false">IF(TblMagic[[#This Row],[Mechanical Genius]],12,IF(OFFSET(TblMagic[[#This Row],[Active Mechanical Genius]],-1,0)&gt;0,OFFSET(TblMagic[[#This Row],[Active Mechanical Genius]],-1,0)-1,0))</f>
        <v>0</v>
      </c>
      <c r="AH115" s="26" t="n">
        <f aca="false">IF(TblMagic[[#This Row],[Frenzy]],12,IF(OFFSET(TblMagic[[#This Row],[Active Frenzy]],-1,0)&gt;0,OFFSET(TblMagic[[#This Row],[Active Frenzy]],-1,0)-1,0))</f>
        <v>0</v>
      </c>
      <c r="AI115" s="26" t="n">
        <f aca="false">IF(TblMagic[[#This Row],[Killing Rage / Bloodrage / Crusade]],12,IF(OFFSET(TblMagic[[#This Row],[Active Warsong / Killing Rage / Bloodrage]],-1,0)&gt;0,OFFSET(TblMagic[[#This Row],[Active Warsong / Killing Rage / Bloodrage]],-1,0)-1,0))</f>
        <v>0</v>
      </c>
      <c r="AJ115" s="26" t="n">
        <f aca="false">IF(TblMagic[[#This Row],[Gaia''s Blessing]],12,IF(OFFSET(TblMagic[[#This Row],[Active Gaia''s Blessing]],-1,0)&gt;0,OFFSET(TblMagic[[#This Row],[Active Gaia''s Blessing]],-1,0)-1,0))</f>
        <v>0</v>
      </c>
      <c r="AK115" s="26" t="n">
        <f aca="false">IF(TblMagic[[#This Row],[Howling]],12,IF(OFFSET(TblMagic[[#This Row],[Active Howling]],-1,0)&gt;0,OFFSET(TblMagic[[#This Row],[Active Howling]],-1,0)-1,0))</f>
        <v>0</v>
      </c>
      <c r="AL115" s="26" t="n">
        <f aca="false">IF(TblMagic[[#This Row],[Alchemist Frost]],12,IF(OFFSET(TblMagic[[#This Row],[Active Alch Frost]],-1,0)&gt;0,OFFSET(TblMagic[[#This Row],[Active Alch Frost]],-1,0)-1,0))</f>
        <v>0</v>
      </c>
      <c r="AM115" s="26" t="n">
        <f aca="false">IF(TblMagic[[#This Row],[Alchemists Flame]],12,IF(OFFSET(TblMagic[[#This Row],[Active Alchemists Flame]],-1,0)&gt;0,OFFSET(TblMagic[[#This Row],[Active Alchemists Flame]],-1,0)-1,0))</f>
        <v>0</v>
      </c>
      <c r="AN115" s="26" t="n">
        <f aca="false">IF(TblMagic[[#This Row],[Nightfall]],12,IF(OFFSET(TblMagic[[#This Row],[Active Nightfall]],-1,0)&gt;0,OFFSET(TblMagic[[#This Row],[Active Nightfall]],-1,0)-1,0))</f>
        <v>0</v>
      </c>
      <c r="AO115" s="26" t="n">
        <f aca="false">IF(TblMagic[[#This Row],[Favorable Terrain]],12,IF(OFFSET(TblMagic[[#This Row],[Active Favorable Terrain]],-1,0)&gt;0,OFFSET(TblMagic[[#This Row],[Active Favorable Terrain]],-1,0)-1,0))</f>
        <v>0</v>
      </c>
    </row>
    <row r="116" customFormat="false" ht="12.75" hidden="false" customHeight="false" outlineLevel="0" collapsed="false">
      <c r="A116" s="128" t="n">
        <f aca="false">TblRezone[[#This Row],[Hour]]</f>
        <v>113</v>
      </c>
      <c r="B116" s="146" t="n">
        <f aca="false">TblConstr[[#This Row],[Land]]</f>
        <v>700</v>
      </c>
      <c r="C116" s="69" t="n">
        <f aca="false">TblProd[[#This Row],[Mana]]</f>
        <v>12019.5</v>
      </c>
      <c r="D116" s="149" t="n">
        <f aca="false">MIN(1,OFFSET(TblMagic[[#This Row],[Wiz str]],-1,0)+0.04+ROUNDDOWN(10*OFFSET(TblMili[[#This Row],[WG''s]],-1,0),0)+ tech_2_7*OFFSET(TblTech[[#This Row],[2-7]],-1,0) + tech_5_6*OFFSET(TblTech[[#This Row],[5-6]],-1,0) )-TblMagic[[#This Row],[Wiz str cost]]</f>
        <v>1</v>
      </c>
      <c r="E116" s="153" t="n">
        <f aca="false">OFFSET(TblMagic[[#This Row],[Time]],-1,0)+1/24</f>
        <v>45434.4166666667</v>
      </c>
      <c r="F116" s="149" t="n">
        <f aca="false">TblImps[[#This Row],[Population]]</f>
        <v>1</v>
      </c>
      <c r="G116" s="248"/>
      <c r="H116" s="248"/>
      <c r="I116" s="248"/>
      <c r="J116" s="248"/>
      <c r="K116" s="312"/>
      <c r="L116" s="248"/>
      <c r="M116" s="248"/>
      <c r="N116" s="248"/>
      <c r="O116" s="248"/>
      <c r="P116" s="248"/>
      <c r="Q116" s="248"/>
      <c r="R116" s="248"/>
      <c r="S116" s="248"/>
      <c r="T116" s="248"/>
      <c r="U116" s="248"/>
      <c r="V116" s="248"/>
      <c r="W116" s="132"/>
      <c r="X11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49" t="n">
        <f aca="false">SUMIF(TblMagic[[#This Row],[Gaia''s Watch]:[Useless spell]],1)*0.05</f>
        <v>0</v>
      </c>
      <c r="Z116" s="132"/>
      <c r="AA116" s="26" t="n">
        <f aca="false">IF(TblMagic[[#This Row],[Gaia''s Watch]],12,IF(OFFSET(TblMagic[[#This Row],[Active Gaia''s Watch]],-1,0)&gt;0,OFFSET(TblMagic[[#This Row],[Active Gaia''s Watch]],-1,0)-1,0))</f>
        <v>0</v>
      </c>
      <c r="AB116" s="26" t="n">
        <f aca="false">IF(TblMagic[[#This Row],[Mining Strength]],12,IF(OFFSET(TblMagic[[#This Row],[Active Mining Strength]],-1,0)&gt;0,OFFSET(TblMagic[[#This Row],[Active Mining Strength]],-1,0)-1,0))</f>
        <v>0</v>
      </c>
      <c r="AC116" s="26" t="n">
        <f aca="false">IF(TblMagic[[#This Row],[Ares Call]],12,IF(OFFSET(TblMagic[[#This Row],[Active Ares Call]],-1,0)&gt;0,OFFSET(TblMagic[[#This Row],[Active Ares Call]],-1,0)-1,0))</f>
        <v>0</v>
      </c>
      <c r="AD116" s="26" t="n">
        <f aca="false">IF(TblMagic[[#This Row],[Midas Touch]],12,IF(OFFSET(TblMagic[[#This Row],[Active Midas Touch]],-1,0)&gt;0,OFFSET(TblMagic[[#This Row],[Active Midas Touch]],-1,0)-1,0))</f>
        <v>0</v>
      </c>
      <c r="AE116" s="26" t="n">
        <f aca="false">IF(TblMagic[[#This Row],[Harmony]],12,IF(OFFSET(TblMagic[[#This Row],[Active Harmony]],-1,0)&gt;0,OFFSET(TblMagic[[#This Row],[Active Harmony]],-1,0)-1,0))</f>
        <v>0</v>
      </c>
      <c r="AF116" s="26" t="n">
        <f aca="false">IF(TblMagic[[#This Row],[Miner''s Sight]],12,IF(OFFSET(TblMagic[[#This Row],[Active Miner''s Sight]],-1,0)&gt;0,OFFSET(TblMagic[[#This Row],[Active Miner''s Sight]],-1,0)-1,0))</f>
        <v>0</v>
      </c>
      <c r="AG116" s="26" t="n">
        <f aca="false">IF(TblMagic[[#This Row],[Mechanical Genius]],12,IF(OFFSET(TblMagic[[#This Row],[Active Mechanical Genius]],-1,0)&gt;0,OFFSET(TblMagic[[#This Row],[Active Mechanical Genius]],-1,0)-1,0))</f>
        <v>0</v>
      </c>
      <c r="AH116" s="26" t="n">
        <f aca="false">IF(TblMagic[[#This Row],[Frenzy]],12,IF(OFFSET(TblMagic[[#This Row],[Active Frenzy]],-1,0)&gt;0,OFFSET(TblMagic[[#This Row],[Active Frenzy]],-1,0)-1,0))</f>
        <v>0</v>
      </c>
      <c r="AI116" s="26" t="n">
        <f aca="false">IF(TblMagic[[#This Row],[Killing Rage / Bloodrage / Crusade]],12,IF(OFFSET(TblMagic[[#This Row],[Active Warsong / Killing Rage / Bloodrage]],-1,0)&gt;0,OFFSET(TblMagic[[#This Row],[Active Warsong / Killing Rage / Bloodrage]],-1,0)-1,0))</f>
        <v>0</v>
      </c>
      <c r="AJ116" s="26" t="n">
        <f aca="false">IF(TblMagic[[#This Row],[Gaia''s Blessing]],12,IF(OFFSET(TblMagic[[#This Row],[Active Gaia''s Blessing]],-1,0)&gt;0,OFFSET(TblMagic[[#This Row],[Active Gaia''s Blessing]],-1,0)-1,0))</f>
        <v>0</v>
      </c>
      <c r="AK116" s="26" t="n">
        <f aca="false">IF(TblMagic[[#This Row],[Howling]],12,IF(OFFSET(TblMagic[[#This Row],[Active Howling]],-1,0)&gt;0,OFFSET(TblMagic[[#This Row],[Active Howling]],-1,0)-1,0))</f>
        <v>0</v>
      </c>
      <c r="AL116" s="26" t="n">
        <f aca="false">IF(TblMagic[[#This Row],[Alchemist Frost]],12,IF(OFFSET(TblMagic[[#This Row],[Active Alch Frost]],-1,0)&gt;0,OFFSET(TblMagic[[#This Row],[Active Alch Frost]],-1,0)-1,0))</f>
        <v>0</v>
      </c>
      <c r="AM116" s="26" t="n">
        <f aca="false">IF(TblMagic[[#This Row],[Alchemists Flame]],12,IF(OFFSET(TblMagic[[#This Row],[Active Alchemists Flame]],-1,0)&gt;0,OFFSET(TblMagic[[#This Row],[Active Alchemists Flame]],-1,0)-1,0))</f>
        <v>0</v>
      </c>
      <c r="AN116" s="26" t="n">
        <f aca="false">IF(TblMagic[[#This Row],[Nightfall]],12,IF(OFFSET(TblMagic[[#This Row],[Active Nightfall]],-1,0)&gt;0,OFFSET(TblMagic[[#This Row],[Active Nightfall]],-1,0)-1,0))</f>
        <v>0</v>
      </c>
      <c r="AO116" s="26" t="n">
        <f aca="false">IF(TblMagic[[#This Row],[Favorable Terrain]],12,IF(OFFSET(TblMagic[[#This Row],[Active Favorable Terrain]],-1,0)&gt;0,OFFSET(TblMagic[[#This Row],[Active Favorable Terrain]],-1,0)-1,0))</f>
        <v>0</v>
      </c>
    </row>
    <row r="117" customFormat="false" ht="12.75" hidden="false" customHeight="false" outlineLevel="0" collapsed="false">
      <c r="A117" s="128" t="n">
        <f aca="false">TblRezone[[#This Row],[Hour]]</f>
        <v>114</v>
      </c>
      <c r="B117" s="146" t="n">
        <f aca="false">TblConstr[[#This Row],[Land]]</f>
        <v>700</v>
      </c>
      <c r="C117" s="69" t="n">
        <f aca="false">TblProd[[#This Row],[Mana]]</f>
        <v>12504.5</v>
      </c>
      <c r="D117" s="149" t="n">
        <f aca="false">MIN(1,OFFSET(TblMagic[[#This Row],[Wiz str]],-1,0)+0.04+ROUNDDOWN(10*OFFSET(TblMili[[#This Row],[WG''s]],-1,0),0)+ tech_2_7*OFFSET(TblTech[[#This Row],[2-7]],-1,0) + tech_5_6*OFFSET(TblTech[[#This Row],[5-6]],-1,0) )-TblMagic[[#This Row],[Wiz str cost]]</f>
        <v>1</v>
      </c>
      <c r="E117" s="153" t="n">
        <f aca="false">OFFSET(TblMagic[[#This Row],[Time]],-1,0)+1/24</f>
        <v>45434.4583333333</v>
      </c>
      <c r="F117" s="149" t="n">
        <f aca="false">TblImps[[#This Row],[Population]]</f>
        <v>1</v>
      </c>
      <c r="G117" s="248"/>
      <c r="H117" s="248"/>
      <c r="I117" s="248"/>
      <c r="J117" s="248"/>
      <c r="K117" s="312"/>
      <c r="L117" s="248"/>
      <c r="M117" s="248"/>
      <c r="N117" s="248"/>
      <c r="O117" s="248"/>
      <c r="P117" s="248"/>
      <c r="Q117" s="248"/>
      <c r="R117" s="248"/>
      <c r="S117" s="248"/>
      <c r="T117" s="248"/>
      <c r="U117" s="248"/>
      <c r="V117" s="248"/>
      <c r="W117" s="132"/>
      <c r="X11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49" t="n">
        <f aca="false">SUMIF(TblMagic[[#This Row],[Gaia''s Watch]:[Useless spell]],1)*0.05</f>
        <v>0</v>
      </c>
      <c r="Z117" s="132"/>
      <c r="AA117" s="26" t="n">
        <f aca="false">IF(TblMagic[[#This Row],[Gaia''s Watch]],12,IF(OFFSET(TblMagic[[#This Row],[Active Gaia''s Watch]],-1,0)&gt;0,OFFSET(TblMagic[[#This Row],[Active Gaia''s Watch]],-1,0)-1,0))</f>
        <v>0</v>
      </c>
      <c r="AB117" s="26" t="n">
        <f aca="false">IF(TblMagic[[#This Row],[Mining Strength]],12,IF(OFFSET(TblMagic[[#This Row],[Active Mining Strength]],-1,0)&gt;0,OFFSET(TblMagic[[#This Row],[Active Mining Strength]],-1,0)-1,0))</f>
        <v>0</v>
      </c>
      <c r="AC117" s="26" t="n">
        <f aca="false">IF(TblMagic[[#This Row],[Ares Call]],12,IF(OFFSET(TblMagic[[#This Row],[Active Ares Call]],-1,0)&gt;0,OFFSET(TblMagic[[#This Row],[Active Ares Call]],-1,0)-1,0))</f>
        <v>0</v>
      </c>
      <c r="AD117" s="26" t="n">
        <f aca="false">IF(TblMagic[[#This Row],[Midas Touch]],12,IF(OFFSET(TblMagic[[#This Row],[Active Midas Touch]],-1,0)&gt;0,OFFSET(TblMagic[[#This Row],[Active Midas Touch]],-1,0)-1,0))</f>
        <v>0</v>
      </c>
      <c r="AE117" s="26" t="n">
        <f aca="false">IF(TblMagic[[#This Row],[Harmony]],12,IF(OFFSET(TblMagic[[#This Row],[Active Harmony]],-1,0)&gt;0,OFFSET(TblMagic[[#This Row],[Active Harmony]],-1,0)-1,0))</f>
        <v>0</v>
      </c>
      <c r="AF117" s="26" t="n">
        <f aca="false">IF(TblMagic[[#This Row],[Miner''s Sight]],12,IF(OFFSET(TblMagic[[#This Row],[Active Miner''s Sight]],-1,0)&gt;0,OFFSET(TblMagic[[#This Row],[Active Miner''s Sight]],-1,0)-1,0))</f>
        <v>0</v>
      </c>
      <c r="AG117" s="26" t="n">
        <f aca="false">IF(TblMagic[[#This Row],[Mechanical Genius]],12,IF(OFFSET(TblMagic[[#This Row],[Active Mechanical Genius]],-1,0)&gt;0,OFFSET(TblMagic[[#This Row],[Active Mechanical Genius]],-1,0)-1,0))</f>
        <v>0</v>
      </c>
      <c r="AH117" s="26" t="n">
        <f aca="false">IF(TblMagic[[#This Row],[Frenzy]],12,IF(OFFSET(TblMagic[[#This Row],[Active Frenzy]],-1,0)&gt;0,OFFSET(TblMagic[[#This Row],[Active Frenzy]],-1,0)-1,0))</f>
        <v>0</v>
      </c>
      <c r="AI117" s="26" t="n">
        <f aca="false">IF(TblMagic[[#This Row],[Killing Rage / Bloodrage / Crusade]],12,IF(OFFSET(TblMagic[[#This Row],[Active Warsong / Killing Rage / Bloodrage]],-1,0)&gt;0,OFFSET(TblMagic[[#This Row],[Active Warsong / Killing Rage / Bloodrage]],-1,0)-1,0))</f>
        <v>0</v>
      </c>
      <c r="AJ117" s="26" t="n">
        <f aca="false">IF(TblMagic[[#This Row],[Gaia''s Blessing]],12,IF(OFFSET(TblMagic[[#This Row],[Active Gaia''s Blessing]],-1,0)&gt;0,OFFSET(TblMagic[[#This Row],[Active Gaia''s Blessing]],-1,0)-1,0))</f>
        <v>0</v>
      </c>
      <c r="AK117" s="26" t="n">
        <f aca="false">IF(TblMagic[[#This Row],[Howling]],12,IF(OFFSET(TblMagic[[#This Row],[Active Howling]],-1,0)&gt;0,OFFSET(TblMagic[[#This Row],[Active Howling]],-1,0)-1,0))</f>
        <v>0</v>
      </c>
      <c r="AL117" s="26" t="n">
        <f aca="false">IF(TblMagic[[#This Row],[Alchemist Frost]],12,IF(OFFSET(TblMagic[[#This Row],[Active Alch Frost]],-1,0)&gt;0,OFFSET(TblMagic[[#This Row],[Active Alch Frost]],-1,0)-1,0))</f>
        <v>0</v>
      </c>
      <c r="AM117" s="26" t="n">
        <f aca="false">IF(TblMagic[[#This Row],[Alchemists Flame]],12,IF(OFFSET(TblMagic[[#This Row],[Active Alchemists Flame]],-1,0)&gt;0,OFFSET(TblMagic[[#This Row],[Active Alchemists Flame]],-1,0)-1,0))</f>
        <v>0</v>
      </c>
      <c r="AN117" s="26" t="n">
        <f aca="false">IF(TblMagic[[#This Row],[Nightfall]],12,IF(OFFSET(TblMagic[[#This Row],[Active Nightfall]],-1,0)&gt;0,OFFSET(TblMagic[[#This Row],[Active Nightfall]],-1,0)-1,0))</f>
        <v>0</v>
      </c>
      <c r="AO117" s="26" t="n">
        <f aca="false">IF(TblMagic[[#This Row],[Favorable Terrain]],12,IF(OFFSET(TblMagic[[#This Row],[Active Favorable Terrain]],-1,0)&gt;0,OFFSET(TblMagic[[#This Row],[Active Favorable Terrain]],-1,0)-1,0))</f>
        <v>0</v>
      </c>
    </row>
    <row r="118" customFormat="false" ht="12.75" hidden="false" customHeight="false" outlineLevel="0" collapsed="false">
      <c r="A118" s="128" t="n">
        <f aca="false">TblRezone[[#This Row],[Hour]]</f>
        <v>115</v>
      </c>
      <c r="B118" s="146" t="n">
        <f aca="false">TblConstr[[#This Row],[Land]]</f>
        <v>700</v>
      </c>
      <c r="C118" s="69" t="n">
        <f aca="false">TblProd[[#This Row],[Mana]]</f>
        <v>12979.5</v>
      </c>
      <c r="D118" s="149" t="n">
        <f aca="false">MIN(1,OFFSET(TblMagic[[#This Row],[Wiz str]],-1,0)+0.04+ROUNDDOWN(10*OFFSET(TblMili[[#This Row],[WG''s]],-1,0),0)+ tech_2_7*OFFSET(TblTech[[#This Row],[2-7]],-1,0) + tech_5_6*OFFSET(TblTech[[#This Row],[5-6]],-1,0) )-TblMagic[[#This Row],[Wiz str cost]]</f>
        <v>1</v>
      </c>
      <c r="E118" s="153" t="n">
        <f aca="false">OFFSET(TblMagic[[#This Row],[Time]],-1,0)+1/24</f>
        <v>45434.5</v>
      </c>
      <c r="F118" s="149" t="n">
        <f aca="false">TblImps[[#This Row],[Population]]</f>
        <v>1</v>
      </c>
      <c r="G118" s="248"/>
      <c r="H118" s="248"/>
      <c r="I118" s="248"/>
      <c r="J118" s="248"/>
      <c r="K118" s="312"/>
      <c r="L118" s="248"/>
      <c r="M118" s="248"/>
      <c r="N118" s="248"/>
      <c r="O118" s="248"/>
      <c r="P118" s="248"/>
      <c r="Q118" s="248"/>
      <c r="R118" s="248"/>
      <c r="S118" s="248"/>
      <c r="T118" s="248"/>
      <c r="U118" s="248"/>
      <c r="V118" s="248"/>
      <c r="W118" s="132"/>
      <c r="X11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49" t="n">
        <f aca="false">SUMIF(TblMagic[[#This Row],[Gaia''s Watch]:[Useless spell]],1)*0.05</f>
        <v>0</v>
      </c>
      <c r="Z118" s="132"/>
      <c r="AA118" s="26" t="n">
        <f aca="false">IF(TblMagic[[#This Row],[Gaia''s Watch]],12,IF(OFFSET(TblMagic[[#This Row],[Active Gaia''s Watch]],-1,0)&gt;0,OFFSET(TblMagic[[#This Row],[Active Gaia''s Watch]],-1,0)-1,0))</f>
        <v>0</v>
      </c>
      <c r="AB118" s="26" t="n">
        <f aca="false">IF(TblMagic[[#This Row],[Mining Strength]],12,IF(OFFSET(TblMagic[[#This Row],[Active Mining Strength]],-1,0)&gt;0,OFFSET(TblMagic[[#This Row],[Active Mining Strength]],-1,0)-1,0))</f>
        <v>0</v>
      </c>
      <c r="AC118" s="26" t="n">
        <f aca="false">IF(TblMagic[[#This Row],[Ares Call]],12,IF(OFFSET(TblMagic[[#This Row],[Active Ares Call]],-1,0)&gt;0,OFFSET(TblMagic[[#This Row],[Active Ares Call]],-1,0)-1,0))</f>
        <v>0</v>
      </c>
      <c r="AD118" s="26" t="n">
        <f aca="false">IF(TblMagic[[#This Row],[Midas Touch]],12,IF(OFFSET(TblMagic[[#This Row],[Active Midas Touch]],-1,0)&gt;0,OFFSET(TblMagic[[#This Row],[Active Midas Touch]],-1,0)-1,0))</f>
        <v>0</v>
      </c>
      <c r="AE118" s="26" t="n">
        <f aca="false">IF(TblMagic[[#This Row],[Harmony]],12,IF(OFFSET(TblMagic[[#This Row],[Active Harmony]],-1,0)&gt;0,OFFSET(TblMagic[[#This Row],[Active Harmony]],-1,0)-1,0))</f>
        <v>0</v>
      </c>
      <c r="AF118" s="26" t="n">
        <f aca="false">IF(TblMagic[[#This Row],[Miner''s Sight]],12,IF(OFFSET(TblMagic[[#This Row],[Active Miner''s Sight]],-1,0)&gt;0,OFFSET(TblMagic[[#This Row],[Active Miner''s Sight]],-1,0)-1,0))</f>
        <v>0</v>
      </c>
      <c r="AG118" s="26" t="n">
        <f aca="false">IF(TblMagic[[#This Row],[Mechanical Genius]],12,IF(OFFSET(TblMagic[[#This Row],[Active Mechanical Genius]],-1,0)&gt;0,OFFSET(TblMagic[[#This Row],[Active Mechanical Genius]],-1,0)-1,0))</f>
        <v>0</v>
      </c>
      <c r="AH118" s="26" t="n">
        <f aca="false">IF(TblMagic[[#This Row],[Frenzy]],12,IF(OFFSET(TblMagic[[#This Row],[Active Frenzy]],-1,0)&gt;0,OFFSET(TblMagic[[#This Row],[Active Frenzy]],-1,0)-1,0))</f>
        <v>0</v>
      </c>
      <c r="AI118" s="26" t="n">
        <f aca="false">IF(TblMagic[[#This Row],[Killing Rage / Bloodrage / Crusade]],12,IF(OFFSET(TblMagic[[#This Row],[Active Warsong / Killing Rage / Bloodrage]],-1,0)&gt;0,OFFSET(TblMagic[[#This Row],[Active Warsong / Killing Rage / Bloodrage]],-1,0)-1,0))</f>
        <v>0</v>
      </c>
      <c r="AJ118" s="26" t="n">
        <f aca="false">IF(TblMagic[[#This Row],[Gaia''s Blessing]],12,IF(OFFSET(TblMagic[[#This Row],[Active Gaia''s Blessing]],-1,0)&gt;0,OFFSET(TblMagic[[#This Row],[Active Gaia''s Blessing]],-1,0)-1,0))</f>
        <v>0</v>
      </c>
      <c r="AK118" s="26" t="n">
        <f aca="false">IF(TblMagic[[#This Row],[Howling]],12,IF(OFFSET(TblMagic[[#This Row],[Active Howling]],-1,0)&gt;0,OFFSET(TblMagic[[#This Row],[Active Howling]],-1,0)-1,0))</f>
        <v>0</v>
      </c>
      <c r="AL118" s="26" t="n">
        <f aca="false">IF(TblMagic[[#This Row],[Alchemist Frost]],12,IF(OFFSET(TblMagic[[#This Row],[Active Alch Frost]],-1,0)&gt;0,OFFSET(TblMagic[[#This Row],[Active Alch Frost]],-1,0)-1,0))</f>
        <v>0</v>
      </c>
      <c r="AM118" s="26" t="n">
        <f aca="false">IF(TblMagic[[#This Row],[Alchemists Flame]],12,IF(OFFSET(TblMagic[[#This Row],[Active Alchemists Flame]],-1,0)&gt;0,OFFSET(TblMagic[[#This Row],[Active Alchemists Flame]],-1,0)-1,0))</f>
        <v>0</v>
      </c>
      <c r="AN118" s="26" t="n">
        <f aca="false">IF(TblMagic[[#This Row],[Nightfall]],12,IF(OFFSET(TblMagic[[#This Row],[Active Nightfall]],-1,0)&gt;0,OFFSET(TblMagic[[#This Row],[Active Nightfall]],-1,0)-1,0))</f>
        <v>0</v>
      </c>
      <c r="AO118" s="26" t="n">
        <f aca="false">IF(TblMagic[[#This Row],[Favorable Terrain]],12,IF(OFFSET(TblMagic[[#This Row],[Active Favorable Terrain]],-1,0)&gt;0,OFFSET(TblMagic[[#This Row],[Active Favorable Terrain]],-1,0)-1,0))</f>
        <v>0</v>
      </c>
    </row>
    <row r="119" customFormat="false" ht="12.75" hidden="false" customHeight="false" outlineLevel="0" collapsed="false">
      <c r="A119" s="128" t="n">
        <f aca="false">TblRezone[[#This Row],[Hour]]</f>
        <v>116</v>
      </c>
      <c r="B119" s="146" t="n">
        <f aca="false">TblConstr[[#This Row],[Land]]</f>
        <v>700</v>
      </c>
      <c r="C119" s="69" t="n">
        <f aca="false">TblProd[[#This Row],[Mana]]</f>
        <v>13444.5</v>
      </c>
      <c r="D119" s="149" t="n">
        <f aca="false">MIN(1,OFFSET(TblMagic[[#This Row],[Wiz str]],-1,0)+0.04+ROUNDDOWN(10*OFFSET(TblMili[[#This Row],[WG''s]],-1,0),0)+ tech_2_7*OFFSET(TblTech[[#This Row],[2-7]],-1,0) + tech_5_6*OFFSET(TblTech[[#This Row],[5-6]],-1,0) )-TblMagic[[#This Row],[Wiz str cost]]</f>
        <v>1</v>
      </c>
      <c r="E119" s="153" t="n">
        <f aca="false">OFFSET(TblMagic[[#This Row],[Time]],-1,0)+1/24</f>
        <v>45434.5416666667</v>
      </c>
      <c r="F119" s="149" t="n">
        <f aca="false">TblImps[[#This Row],[Population]]</f>
        <v>1</v>
      </c>
      <c r="G119" s="248"/>
      <c r="H119" s="248"/>
      <c r="I119" s="248"/>
      <c r="J119" s="248"/>
      <c r="K119" s="312"/>
      <c r="L119" s="248"/>
      <c r="M119" s="248"/>
      <c r="N119" s="248"/>
      <c r="O119" s="248"/>
      <c r="P119" s="248"/>
      <c r="Q119" s="248"/>
      <c r="R119" s="248"/>
      <c r="S119" s="248"/>
      <c r="T119" s="248"/>
      <c r="U119" s="248"/>
      <c r="V119" s="248"/>
      <c r="W119" s="132"/>
      <c r="X11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49" t="n">
        <f aca="false">SUMIF(TblMagic[[#This Row],[Gaia''s Watch]:[Useless spell]],1)*0.05</f>
        <v>0</v>
      </c>
      <c r="Z119" s="132"/>
      <c r="AA119" s="26" t="n">
        <f aca="false">IF(TblMagic[[#This Row],[Gaia''s Watch]],12,IF(OFFSET(TblMagic[[#This Row],[Active Gaia''s Watch]],-1,0)&gt;0,OFFSET(TblMagic[[#This Row],[Active Gaia''s Watch]],-1,0)-1,0))</f>
        <v>0</v>
      </c>
      <c r="AB119" s="26" t="n">
        <f aca="false">IF(TblMagic[[#This Row],[Mining Strength]],12,IF(OFFSET(TblMagic[[#This Row],[Active Mining Strength]],-1,0)&gt;0,OFFSET(TblMagic[[#This Row],[Active Mining Strength]],-1,0)-1,0))</f>
        <v>0</v>
      </c>
      <c r="AC119" s="26" t="n">
        <f aca="false">IF(TblMagic[[#This Row],[Ares Call]],12,IF(OFFSET(TblMagic[[#This Row],[Active Ares Call]],-1,0)&gt;0,OFFSET(TblMagic[[#This Row],[Active Ares Call]],-1,0)-1,0))</f>
        <v>0</v>
      </c>
      <c r="AD119" s="26" t="n">
        <f aca="false">IF(TblMagic[[#This Row],[Midas Touch]],12,IF(OFFSET(TblMagic[[#This Row],[Active Midas Touch]],-1,0)&gt;0,OFFSET(TblMagic[[#This Row],[Active Midas Touch]],-1,0)-1,0))</f>
        <v>0</v>
      </c>
      <c r="AE119" s="26" t="n">
        <f aca="false">IF(TblMagic[[#This Row],[Harmony]],12,IF(OFFSET(TblMagic[[#This Row],[Active Harmony]],-1,0)&gt;0,OFFSET(TblMagic[[#This Row],[Active Harmony]],-1,0)-1,0))</f>
        <v>0</v>
      </c>
      <c r="AF119" s="26" t="n">
        <f aca="false">IF(TblMagic[[#This Row],[Miner''s Sight]],12,IF(OFFSET(TblMagic[[#This Row],[Active Miner''s Sight]],-1,0)&gt;0,OFFSET(TblMagic[[#This Row],[Active Miner''s Sight]],-1,0)-1,0))</f>
        <v>0</v>
      </c>
      <c r="AG119" s="26" t="n">
        <f aca="false">IF(TblMagic[[#This Row],[Mechanical Genius]],12,IF(OFFSET(TblMagic[[#This Row],[Active Mechanical Genius]],-1,0)&gt;0,OFFSET(TblMagic[[#This Row],[Active Mechanical Genius]],-1,0)-1,0))</f>
        <v>0</v>
      </c>
      <c r="AH119" s="26" t="n">
        <f aca="false">IF(TblMagic[[#This Row],[Frenzy]],12,IF(OFFSET(TblMagic[[#This Row],[Active Frenzy]],-1,0)&gt;0,OFFSET(TblMagic[[#This Row],[Active Frenzy]],-1,0)-1,0))</f>
        <v>0</v>
      </c>
      <c r="AI119" s="26" t="n">
        <f aca="false">IF(TblMagic[[#This Row],[Killing Rage / Bloodrage / Crusade]],12,IF(OFFSET(TblMagic[[#This Row],[Active Warsong / Killing Rage / Bloodrage]],-1,0)&gt;0,OFFSET(TblMagic[[#This Row],[Active Warsong / Killing Rage / Bloodrage]],-1,0)-1,0))</f>
        <v>0</v>
      </c>
      <c r="AJ119" s="26" t="n">
        <f aca="false">IF(TblMagic[[#This Row],[Gaia''s Blessing]],12,IF(OFFSET(TblMagic[[#This Row],[Active Gaia''s Blessing]],-1,0)&gt;0,OFFSET(TblMagic[[#This Row],[Active Gaia''s Blessing]],-1,0)-1,0))</f>
        <v>0</v>
      </c>
      <c r="AK119" s="26" t="n">
        <f aca="false">IF(TblMagic[[#This Row],[Howling]],12,IF(OFFSET(TblMagic[[#This Row],[Active Howling]],-1,0)&gt;0,OFFSET(TblMagic[[#This Row],[Active Howling]],-1,0)-1,0))</f>
        <v>0</v>
      </c>
      <c r="AL119" s="26" t="n">
        <f aca="false">IF(TblMagic[[#This Row],[Alchemist Frost]],12,IF(OFFSET(TblMagic[[#This Row],[Active Alch Frost]],-1,0)&gt;0,OFFSET(TblMagic[[#This Row],[Active Alch Frost]],-1,0)-1,0))</f>
        <v>0</v>
      </c>
      <c r="AM119" s="26" t="n">
        <f aca="false">IF(TblMagic[[#This Row],[Alchemists Flame]],12,IF(OFFSET(TblMagic[[#This Row],[Active Alchemists Flame]],-1,0)&gt;0,OFFSET(TblMagic[[#This Row],[Active Alchemists Flame]],-1,0)-1,0))</f>
        <v>0</v>
      </c>
      <c r="AN119" s="26" t="n">
        <f aca="false">IF(TblMagic[[#This Row],[Nightfall]],12,IF(OFFSET(TblMagic[[#This Row],[Active Nightfall]],-1,0)&gt;0,OFFSET(TblMagic[[#This Row],[Active Nightfall]],-1,0)-1,0))</f>
        <v>0</v>
      </c>
      <c r="AO119" s="26" t="n">
        <f aca="false">IF(TblMagic[[#This Row],[Favorable Terrain]],12,IF(OFFSET(TblMagic[[#This Row],[Active Favorable Terrain]],-1,0)&gt;0,OFFSET(TblMagic[[#This Row],[Active Favorable Terrain]],-1,0)-1,0))</f>
        <v>0</v>
      </c>
    </row>
    <row r="120" customFormat="false" ht="12.75" hidden="false" customHeight="false" outlineLevel="0" collapsed="false">
      <c r="A120" s="128" t="n">
        <f aca="false">TblRezone[[#This Row],[Hour]]</f>
        <v>117</v>
      </c>
      <c r="B120" s="146" t="n">
        <f aca="false">TblConstr[[#This Row],[Land]]</f>
        <v>700</v>
      </c>
      <c r="C120" s="69" t="n">
        <f aca="false">TblProd[[#This Row],[Mana]]</f>
        <v>13900.5</v>
      </c>
      <c r="D120" s="149" t="n">
        <f aca="false">MIN(1,OFFSET(TblMagic[[#This Row],[Wiz str]],-1,0)+0.04+ROUNDDOWN(10*OFFSET(TblMili[[#This Row],[WG''s]],-1,0),0)+ tech_2_7*OFFSET(TblTech[[#This Row],[2-7]],-1,0) + tech_5_6*OFFSET(TblTech[[#This Row],[5-6]],-1,0) )-TblMagic[[#This Row],[Wiz str cost]]</f>
        <v>1</v>
      </c>
      <c r="E120" s="153" t="n">
        <f aca="false">OFFSET(TblMagic[[#This Row],[Time]],-1,0)+1/24</f>
        <v>45434.5833333333</v>
      </c>
      <c r="F120" s="149" t="n">
        <f aca="false">TblImps[[#This Row],[Population]]</f>
        <v>1</v>
      </c>
      <c r="G120" s="248"/>
      <c r="H120" s="248"/>
      <c r="I120" s="248"/>
      <c r="J120" s="248"/>
      <c r="K120" s="312"/>
      <c r="L120" s="248"/>
      <c r="M120" s="248"/>
      <c r="N120" s="248"/>
      <c r="O120" s="248"/>
      <c r="P120" s="248"/>
      <c r="Q120" s="248"/>
      <c r="R120" s="248"/>
      <c r="S120" s="248"/>
      <c r="T120" s="248"/>
      <c r="U120" s="248"/>
      <c r="V120" s="248"/>
      <c r="W120" s="132"/>
      <c r="X12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49" t="n">
        <f aca="false">SUMIF(TblMagic[[#This Row],[Gaia''s Watch]:[Useless spell]],1)*0.05</f>
        <v>0</v>
      </c>
      <c r="Z120" s="132"/>
      <c r="AA120" s="26" t="n">
        <f aca="false">IF(TblMagic[[#This Row],[Gaia''s Watch]],12,IF(OFFSET(TblMagic[[#This Row],[Active Gaia''s Watch]],-1,0)&gt;0,OFFSET(TblMagic[[#This Row],[Active Gaia''s Watch]],-1,0)-1,0))</f>
        <v>0</v>
      </c>
      <c r="AB120" s="26" t="n">
        <f aca="false">IF(TblMagic[[#This Row],[Mining Strength]],12,IF(OFFSET(TblMagic[[#This Row],[Active Mining Strength]],-1,0)&gt;0,OFFSET(TblMagic[[#This Row],[Active Mining Strength]],-1,0)-1,0))</f>
        <v>0</v>
      </c>
      <c r="AC120" s="26" t="n">
        <f aca="false">IF(TblMagic[[#This Row],[Ares Call]],12,IF(OFFSET(TblMagic[[#This Row],[Active Ares Call]],-1,0)&gt;0,OFFSET(TblMagic[[#This Row],[Active Ares Call]],-1,0)-1,0))</f>
        <v>0</v>
      </c>
      <c r="AD120" s="26" t="n">
        <f aca="false">IF(TblMagic[[#This Row],[Midas Touch]],12,IF(OFFSET(TblMagic[[#This Row],[Active Midas Touch]],-1,0)&gt;0,OFFSET(TblMagic[[#This Row],[Active Midas Touch]],-1,0)-1,0))</f>
        <v>0</v>
      </c>
      <c r="AE120" s="26" t="n">
        <f aca="false">IF(TblMagic[[#This Row],[Harmony]],12,IF(OFFSET(TblMagic[[#This Row],[Active Harmony]],-1,0)&gt;0,OFFSET(TblMagic[[#This Row],[Active Harmony]],-1,0)-1,0))</f>
        <v>0</v>
      </c>
      <c r="AF120" s="26" t="n">
        <f aca="false">IF(TblMagic[[#This Row],[Miner''s Sight]],12,IF(OFFSET(TblMagic[[#This Row],[Active Miner''s Sight]],-1,0)&gt;0,OFFSET(TblMagic[[#This Row],[Active Miner''s Sight]],-1,0)-1,0))</f>
        <v>0</v>
      </c>
      <c r="AG120" s="26" t="n">
        <f aca="false">IF(TblMagic[[#This Row],[Mechanical Genius]],12,IF(OFFSET(TblMagic[[#This Row],[Active Mechanical Genius]],-1,0)&gt;0,OFFSET(TblMagic[[#This Row],[Active Mechanical Genius]],-1,0)-1,0))</f>
        <v>0</v>
      </c>
      <c r="AH120" s="26" t="n">
        <f aca="false">IF(TblMagic[[#This Row],[Frenzy]],12,IF(OFFSET(TblMagic[[#This Row],[Active Frenzy]],-1,0)&gt;0,OFFSET(TblMagic[[#This Row],[Active Frenzy]],-1,0)-1,0))</f>
        <v>0</v>
      </c>
      <c r="AI120" s="26" t="n">
        <f aca="false">IF(TblMagic[[#This Row],[Killing Rage / Bloodrage / Crusade]],12,IF(OFFSET(TblMagic[[#This Row],[Active Warsong / Killing Rage / Bloodrage]],-1,0)&gt;0,OFFSET(TblMagic[[#This Row],[Active Warsong / Killing Rage / Bloodrage]],-1,0)-1,0))</f>
        <v>0</v>
      </c>
      <c r="AJ120" s="26" t="n">
        <f aca="false">IF(TblMagic[[#This Row],[Gaia''s Blessing]],12,IF(OFFSET(TblMagic[[#This Row],[Active Gaia''s Blessing]],-1,0)&gt;0,OFFSET(TblMagic[[#This Row],[Active Gaia''s Blessing]],-1,0)-1,0))</f>
        <v>0</v>
      </c>
      <c r="AK120" s="26" t="n">
        <f aca="false">IF(TblMagic[[#This Row],[Howling]],12,IF(OFFSET(TblMagic[[#This Row],[Active Howling]],-1,0)&gt;0,OFFSET(TblMagic[[#This Row],[Active Howling]],-1,0)-1,0))</f>
        <v>0</v>
      </c>
      <c r="AL120" s="26" t="n">
        <f aca="false">IF(TblMagic[[#This Row],[Alchemist Frost]],12,IF(OFFSET(TblMagic[[#This Row],[Active Alch Frost]],-1,0)&gt;0,OFFSET(TblMagic[[#This Row],[Active Alch Frost]],-1,0)-1,0))</f>
        <v>0</v>
      </c>
      <c r="AM120" s="26" t="n">
        <f aca="false">IF(TblMagic[[#This Row],[Alchemists Flame]],12,IF(OFFSET(TblMagic[[#This Row],[Active Alchemists Flame]],-1,0)&gt;0,OFFSET(TblMagic[[#This Row],[Active Alchemists Flame]],-1,0)-1,0))</f>
        <v>0</v>
      </c>
      <c r="AN120" s="26" t="n">
        <f aca="false">IF(TblMagic[[#This Row],[Nightfall]],12,IF(OFFSET(TblMagic[[#This Row],[Active Nightfall]],-1,0)&gt;0,OFFSET(TblMagic[[#This Row],[Active Nightfall]],-1,0)-1,0))</f>
        <v>0</v>
      </c>
      <c r="AO120" s="26" t="n">
        <f aca="false">IF(TblMagic[[#This Row],[Favorable Terrain]],12,IF(OFFSET(TblMagic[[#This Row],[Active Favorable Terrain]],-1,0)&gt;0,OFFSET(TblMagic[[#This Row],[Active Favorable Terrain]],-1,0)-1,0))</f>
        <v>0</v>
      </c>
    </row>
    <row r="121" customFormat="false" ht="12.75" hidden="false" customHeight="false" outlineLevel="0" collapsed="false">
      <c r="A121" s="128" t="n">
        <f aca="false">TblRezone[[#This Row],[Hour]]</f>
        <v>118</v>
      </c>
      <c r="B121" s="146" t="n">
        <f aca="false">TblConstr[[#This Row],[Land]]</f>
        <v>700</v>
      </c>
      <c r="C121" s="69" t="n">
        <f aca="false">TblProd[[#This Row],[Mana]]</f>
        <v>14347.5</v>
      </c>
      <c r="D121" s="149" t="n">
        <f aca="false">MIN(1,OFFSET(TblMagic[[#This Row],[Wiz str]],-1,0)+0.04+ROUNDDOWN(10*OFFSET(TblMili[[#This Row],[WG''s]],-1,0),0)+ tech_2_7*OFFSET(TblTech[[#This Row],[2-7]],-1,0) + tech_5_6*OFFSET(TblTech[[#This Row],[5-6]],-1,0) )-TblMagic[[#This Row],[Wiz str cost]]</f>
        <v>1</v>
      </c>
      <c r="E121" s="153" t="n">
        <f aca="false">OFFSET(TblMagic[[#This Row],[Time]],-1,0)+1/24</f>
        <v>45434.625</v>
      </c>
      <c r="F121" s="149" t="n">
        <f aca="false">TblImps[[#This Row],[Population]]</f>
        <v>1</v>
      </c>
      <c r="G121" s="248"/>
      <c r="H121" s="248"/>
      <c r="I121" s="248"/>
      <c r="J121" s="248"/>
      <c r="K121" s="312"/>
      <c r="L121" s="248"/>
      <c r="M121" s="248"/>
      <c r="N121" s="248"/>
      <c r="O121" s="248"/>
      <c r="P121" s="248"/>
      <c r="Q121" s="248"/>
      <c r="R121" s="248"/>
      <c r="S121" s="248"/>
      <c r="T121" s="248"/>
      <c r="U121" s="248"/>
      <c r="V121" s="248"/>
      <c r="W121" s="132"/>
      <c r="X12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49" t="n">
        <f aca="false">SUMIF(TblMagic[[#This Row],[Gaia''s Watch]:[Useless spell]],1)*0.05</f>
        <v>0</v>
      </c>
      <c r="Z121" s="132"/>
      <c r="AA121" s="26" t="n">
        <f aca="false">IF(TblMagic[[#This Row],[Gaia''s Watch]],12,IF(OFFSET(TblMagic[[#This Row],[Active Gaia''s Watch]],-1,0)&gt;0,OFFSET(TblMagic[[#This Row],[Active Gaia''s Watch]],-1,0)-1,0))</f>
        <v>0</v>
      </c>
      <c r="AB121" s="26" t="n">
        <f aca="false">IF(TblMagic[[#This Row],[Mining Strength]],12,IF(OFFSET(TblMagic[[#This Row],[Active Mining Strength]],-1,0)&gt;0,OFFSET(TblMagic[[#This Row],[Active Mining Strength]],-1,0)-1,0))</f>
        <v>0</v>
      </c>
      <c r="AC121" s="26" t="n">
        <f aca="false">IF(TblMagic[[#This Row],[Ares Call]],12,IF(OFFSET(TblMagic[[#This Row],[Active Ares Call]],-1,0)&gt;0,OFFSET(TblMagic[[#This Row],[Active Ares Call]],-1,0)-1,0))</f>
        <v>0</v>
      </c>
      <c r="AD121" s="26" t="n">
        <f aca="false">IF(TblMagic[[#This Row],[Midas Touch]],12,IF(OFFSET(TblMagic[[#This Row],[Active Midas Touch]],-1,0)&gt;0,OFFSET(TblMagic[[#This Row],[Active Midas Touch]],-1,0)-1,0))</f>
        <v>0</v>
      </c>
      <c r="AE121" s="26" t="n">
        <f aca="false">IF(TblMagic[[#This Row],[Harmony]],12,IF(OFFSET(TblMagic[[#This Row],[Active Harmony]],-1,0)&gt;0,OFFSET(TblMagic[[#This Row],[Active Harmony]],-1,0)-1,0))</f>
        <v>0</v>
      </c>
      <c r="AF121" s="26" t="n">
        <f aca="false">IF(TblMagic[[#This Row],[Miner''s Sight]],12,IF(OFFSET(TblMagic[[#This Row],[Active Miner''s Sight]],-1,0)&gt;0,OFFSET(TblMagic[[#This Row],[Active Miner''s Sight]],-1,0)-1,0))</f>
        <v>0</v>
      </c>
      <c r="AG121" s="26" t="n">
        <f aca="false">IF(TblMagic[[#This Row],[Mechanical Genius]],12,IF(OFFSET(TblMagic[[#This Row],[Active Mechanical Genius]],-1,0)&gt;0,OFFSET(TblMagic[[#This Row],[Active Mechanical Genius]],-1,0)-1,0))</f>
        <v>0</v>
      </c>
      <c r="AH121" s="26" t="n">
        <f aca="false">IF(TblMagic[[#This Row],[Frenzy]],12,IF(OFFSET(TblMagic[[#This Row],[Active Frenzy]],-1,0)&gt;0,OFFSET(TblMagic[[#This Row],[Active Frenzy]],-1,0)-1,0))</f>
        <v>0</v>
      </c>
      <c r="AI121" s="26" t="n">
        <f aca="false">IF(TblMagic[[#This Row],[Killing Rage / Bloodrage / Crusade]],12,IF(OFFSET(TblMagic[[#This Row],[Active Warsong / Killing Rage / Bloodrage]],-1,0)&gt;0,OFFSET(TblMagic[[#This Row],[Active Warsong / Killing Rage / Bloodrage]],-1,0)-1,0))</f>
        <v>0</v>
      </c>
      <c r="AJ121" s="26" t="n">
        <f aca="false">IF(TblMagic[[#This Row],[Gaia''s Blessing]],12,IF(OFFSET(TblMagic[[#This Row],[Active Gaia''s Blessing]],-1,0)&gt;0,OFFSET(TblMagic[[#This Row],[Active Gaia''s Blessing]],-1,0)-1,0))</f>
        <v>0</v>
      </c>
      <c r="AK121" s="26" t="n">
        <f aca="false">IF(TblMagic[[#This Row],[Howling]],12,IF(OFFSET(TblMagic[[#This Row],[Active Howling]],-1,0)&gt;0,OFFSET(TblMagic[[#This Row],[Active Howling]],-1,0)-1,0))</f>
        <v>0</v>
      </c>
      <c r="AL121" s="26" t="n">
        <f aca="false">IF(TblMagic[[#This Row],[Alchemist Frost]],12,IF(OFFSET(TblMagic[[#This Row],[Active Alch Frost]],-1,0)&gt;0,OFFSET(TblMagic[[#This Row],[Active Alch Frost]],-1,0)-1,0))</f>
        <v>0</v>
      </c>
      <c r="AM121" s="26" t="n">
        <f aca="false">IF(TblMagic[[#This Row],[Alchemists Flame]],12,IF(OFFSET(TblMagic[[#This Row],[Active Alchemists Flame]],-1,0)&gt;0,OFFSET(TblMagic[[#This Row],[Active Alchemists Flame]],-1,0)-1,0))</f>
        <v>0</v>
      </c>
      <c r="AN121" s="26" t="n">
        <f aca="false">IF(TblMagic[[#This Row],[Nightfall]],12,IF(OFFSET(TblMagic[[#This Row],[Active Nightfall]],-1,0)&gt;0,OFFSET(TblMagic[[#This Row],[Active Nightfall]],-1,0)-1,0))</f>
        <v>0</v>
      </c>
      <c r="AO121" s="26" t="n">
        <f aca="false">IF(TblMagic[[#This Row],[Favorable Terrain]],12,IF(OFFSET(TblMagic[[#This Row],[Active Favorable Terrain]],-1,0)&gt;0,OFFSET(TblMagic[[#This Row],[Active Favorable Terrain]],-1,0)-1,0))</f>
        <v>0</v>
      </c>
    </row>
    <row r="122" customFormat="false" ht="12.75" hidden="false" customHeight="false" outlineLevel="0" collapsed="false">
      <c r="A122" s="128" t="n">
        <f aca="false">TblRezone[[#This Row],[Hour]]</f>
        <v>119</v>
      </c>
      <c r="B122" s="146" t="n">
        <f aca="false">TblConstr[[#This Row],[Land]]</f>
        <v>700</v>
      </c>
      <c r="C122" s="69" t="n">
        <f aca="false">TblProd[[#This Row],[Mana]]</f>
        <v>14785.5</v>
      </c>
      <c r="D122" s="149" t="n">
        <f aca="false">MIN(1,OFFSET(TblMagic[[#This Row],[Wiz str]],-1,0)+0.04+ROUNDDOWN(10*OFFSET(TblMili[[#This Row],[WG''s]],-1,0),0)+ tech_2_7*OFFSET(TblTech[[#This Row],[2-7]],-1,0) + tech_5_6*OFFSET(TblTech[[#This Row],[5-6]],-1,0) )-TblMagic[[#This Row],[Wiz str cost]]</f>
        <v>1</v>
      </c>
      <c r="E122" s="153" t="n">
        <f aca="false">OFFSET(TblMagic[[#This Row],[Time]],-1,0)+1/24</f>
        <v>45434.6666666667</v>
      </c>
      <c r="F122" s="149" t="n">
        <f aca="false">TblImps[[#This Row],[Population]]</f>
        <v>1</v>
      </c>
      <c r="G122" s="248"/>
      <c r="H122" s="248"/>
      <c r="I122" s="248"/>
      <c r="J122" s="248"/>
      <c r="K122" s="312"/>
      <c r="L122" s="248"/>
      <c r="M122" s="248"/>
      <c r="N122" s="248"/>
      <c r="O122" s="248"/>
      <c r="P122" s="248"/>
      <c r="Q122" s="248"/>
      <c r="R122" s="248"/>
      <c r="S122" s="248"/>
      <c r="T122" s="248"/>
      <c r="U122" s="248"/>
      <c r="V122" s="248"/>
      <c r="W122" s="132"/>
      <c r="X12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49" t="n">
        <f aca="false">SUMIF(TblMagic[[#This Row],[Gaia''s Watch]:[Useless spell]],1)*0.05</f>
        <v>0</v>
      </c>
      <c r="Z122" s="132"/>
      <c r="AA122" s="26" t="n">
        <f aca="false">IF(TblMagic[[#This Row],[Gaia''s Watch]],12,IF(OFFSET(TblMagic[[#This Row],[Active Gaia''s Watch]],-1,0)&gt;0,OFFSET(TblMagic[[#This Row],[Active Gaia''s Watch]],-1,0)-1,0))</f>
        <v>0</v>
      </c>
      <c r="AB122" s="26" t="n">
        <f aca="false">IF(TblMagic[[#This Row],[Mining Strength]],12,IF(OFFSET(TblMagic[[#This Row],[Active Mining Strength]],-1,0)&gt;0,OFFSET(TblMagic[[#This Row],[Active Mining Strength]],-1,0)-1,0))</f>
        <v>0</v>
      </c>
      <c r="AC122" s="26" t="n">
        <f aca="false">IF(TblMagic[[#This Row],[Ares Call]],12,IF(OFFSET(TblMagic[[#This Row],[Active Ares Call]],-1,0)&gt;0,OFFSET(TblMagic[[#This Row],[Active Ares Call]],-1,0)-1,0))</f>
        <v>0</v>
      </c>
      <c r="AD122" s="26" t="n">
        <f aca="false">IF(TblMagic[[#This Row],[Midas Touch]],12,IF(OFFSET(TblMagic[[#This Row],[Active Midas Touch]],-1,0)&gt;0,OFFSET(TblMagic[[#This Row],[Active Midas Touch]],-1,0)-1,0))</f>
        <v>0</v>
      </c>
      <c r="AE122" s="26" t="n">
        <f aca="false">IF(TblMagic[[#This Row],[Harmony]],12,IF(OFFSET(TblMagic[[#This Row],[Active Harmony]],-1,0)&gt;0,OFFSET(TblMagic[[#This Row],[Active Harmony]],-1,0)-1,0))</f>
        <v>0</v>
      </c>
      <c r="AF122" s="26" t="n">
        <f aca="false">IF(TblMagic[[#This Row],[Miner''s Sight]],12,IF(OFFSET(TblMagic[[#This Row],[Active Miner''s Sight]],-1,0)&gt;0,OFFSET(TblMagic[[#This Row],[Active Miner''s Sight]],-1,0)-1,0))</f>
        <v>0</v>
      </c>
      <c r="AG122" s="26" t="n">
        <f aca="false">IF(TblMagic[[#This Row],[Mechanical Genius]],12,IF(OFFSET(TblMagic[[#This Row],[Active Mechanical Genius]],-1,0)&gt;0,OFFSET(TblMagic[[#This Row],[Active Mechanical Genius]],-1,0)-1,0))</f>
        <v>0</v>
      </c>
      <c r="AH122" s="26" t="n">
        <f aca="false">IF(TblMagic[[#This Row],[Frenzy]],12,IF(OFFSET(TblMagic[[#This Row],[Active Frenzy]],-1,0)&gt;0,OFFSET(TblMagic[[#This Row],[Active Frenzy]],-1,0)-1,0))</f>
        <v>0</v>
      </c>
      <c r="AI122" s="26" t="n">
        <f aca="false">IF(TblMagic[[#This Row],[Killing Rage / Bloodrage / Crusade]],12,IF(OFFSET(TblMagic[[#This Row],[Active Warsong / Killing Rage / Bloodrage]],-1,0)&gt;0,OFFSET(TblMagic[[#This Row],[Active Warsong / Killing Rage / Bloodrage]],-1,0)-1,0))</f>
        <v>0</v>
      </c>
      <c r="AJ122" s="26" t="n">
        <f aca="false">IF(TblMagic[[#This Row],[Gaia''s Blessing]],12,IF(OFFSET(TblMagic[[#This Row],[Active Gaia''s Blessing]],-1,0)&gt;0,OFFSET(TblMagic[[#This Row],[Active Gaia''s Blessing]],-1,0)-1,0))</f>
        <v>0</v>
      </c>
      <c r="AK122" s="26" t="n">
        <f aca="false">IF(TblMagic[[#This Row],[Howling]],12,IF(OFFSET(TblMagic[[#This Row],[Active Howling]],-1,0)&gt;0,OFFSET(TblMagic[[#This Row],[Active Howling]],-1,0)-1,0))</f>
        <v>0</v>
      </c>
      <c r="AL122" s="26" t="n">
        <f aca="false">IF(TblMagic[[#This Row],[Alchemist Frost]],12,IF(OFFSET(TblMagic[[#This Row],[Active Alch Frost]],-1,0)&gt;0,OFFSET(TblMagic[[#This Row],[Active Alch Frost]],-1,0)-1,0))</f>
        <v>0</v>
      </c>
      <c r="AM122" s="26" t="n">
        <f aca="false">IF(TblMagic[[#This Row],[Alchemists Flame]],12,IF(OFFSET(TblMagic[[#This Row],[Active Alchemists Flame]],-1,0)&gt;0,OFFSET(TblMagic[[#This Row],[Active Alchemists Flame]],-1,0)-1,0))</f>
        <v>0</v>
      </c>
      <c r="AN122" s="26" t="n">
        <f aca="false">IF(TblMagic[[#This Row],[Nightfall]],12,IF(OFFSET(TblMagic[[#This Row],[Active Nightfall]],-1,0)&gt;0,OFFSET(TblMagic[[#This Row],[Active Nightfall]],-1,0)-1,0))</f>
        <v>0</v>
      </c>
      <c r="AO122" s="26" t="n">
        <f aca="false">IF(TblMagic[[#This Row],[Favorable Terrain]],12,IF(OFFSET(TblMagic[[#This Row],[Active Favorable Terrain]],-1,0)&gt;0,OFFSET(TblMagic[[#This Row],[Active Favorable Terrain]],-1,0)-1,0))</f>
        <v>0</v>
      </c>
    </row>
    <row r="123" customFormat="false" ht="12.75" hidden="false" customHeight="false" outlineLevel="0" collapsed="false">
      <c r="A123" s="128" t="n">
        <f aca="false">TblRezone[[#This Row],[Hour]]</f>
        <v>120</v>
      </c>
      <c r="B123" s="146" t="n">
        <f aca="false">TblConstr[[#This Row],[Land]]</f>
        <v>700</v>
      </c>
      <c r="C123" s="69" t="n">
        <f aca="false">TblProd[[#This Row],[Mana]]</f>
        <v>15214.5</v>
      </c>
      <c r="D123" s="149" t="n">
        <f aca="false">MIN(1,OFFSET(TblMagic[[#This Row],[Wiz str]],-1,0)+0.04+ROUNDDOWN(10*OFFSET(TblMili[[#This Row],[WG''s]],-1,0),0)+ tech_2_7*OFFSET(TblTech[[#This Row],[2-7]],-1,0) + tech_5_6*OFFSET(TblTech[[#This Row],[5-6]],-1,0) )-TblMagic[[#This Row],[Wiz str cost]]</f>
        <v>1</v>
      </c>
      <c r="E123" s="153" t="n">
        <f aca="false">OFFSET(TblMagic[[#This Row],[Time]],-1,0)+1/24</f>
        <v>45434.7083333333</v>
      </c>
      <c r="F123" s="149" t="n">
        <f aca="false">TblImps[[#This Row],[Population]]</f>
        <v>1</v>
      </c>
      <c r="G123" s="248"/>
      <c r="H123" s="248"/>
      <c r="I123" s="248"/>
      <c r="J123" s="248"/>
      <c r="K123" s="312"/>
      <c r="L123" s="248"/>
      <c r="M123" s="248"/>
      <c r="N123" s="248"/>
      <c r="O123" s="248"/>
      <c r="P123" s="248"/>
      <c r="Q123" s="248"/>
      <c r="R123" s="248"/>
      <c r="S123" s="248"/>
      <c r="T123" s="248"/>
      <c r="U123" s="248"/>
      <c r="V123" s="248"/>
      <c r="W123" s="132"/>
      <c r="X12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49" t="n">
        <f aca="false">SUMIF(TblMagic[[#This Row],[Gaia''s Watch]:[Useless spell]],1)*0.05</f>
        <v>0</v>
      </c>
      <c r="Z123" s="132"/>
      <c r="AA123" s="26" t="n">
        <f aca="false">IF(TblMagic[[#This Row],[Gaia''s Watch]],12,IF(OFFSET(TblMagic[[#This Row],[Active Gaia''s Watch]],-1,0)&gt;0,OFFSET(TblMagic[[#This Row],[Active Gaia''s Watch]],-1,0)-1,0))</f>
        <v>0</v>
      </c>
      <c r="AB123" s="26" t="n">
        <f aca="false">IF(TblMagic[[#This Row],[Mining Strength]],12,IF(OFFSET(TblMagic[[#This Row],[Active Mining Strength]],-1,0)&gt;0,OFFSET(TblMagic[[#This Row],[Active Mining Strength]],-1,0)-1,0))</f>
        <v>0</v>
      </c>
      <c r="AC123" s="26" t="n">
        <f aca="false">IF(TblMagic[[#This Row],[Ares Call]],12,IF(OFFSET(TblMagic[[#This Row],[Active Ares Call]],-1,0)&gt;0,OFFSET(TblMagic[[#This Row],[Active Ares Call]],-1,0)-1,0))</f>
        <v>0</v>
      </c>
      <c r="AD123" s="26" t="n">
        <f aca="false">IF(TblMagic[[#This Row],[Midas Touch]],12,IF(OFFSET(TblMagic[[#This Row],[Active Midas Touch]],-1,0)&gt;0,OFFSET(TblMagic[[#This Row],[Active Midas Touch]],-1,0)-1,0))</f>
        <v>0</v>
      </c>
      <c r="AE123" s="26" t="n">
        <f aca="false">IF(TblMagic[[#This Row],[Harmony]],12,IF(OFFSET(TblMagic[[#This Row],[Active Harmony]],-1,0)&gt;0,OFFSET(TblMagic[[#This Row],[Active Harmony]],-1,0)-1,0))</f>
        <v>0</v>
      </c>
      <c r="AF123" s="26" t="n">
        <f aca="false">IF(TblMagic[[#This Row],[Miner''s Sight]],12,IF(OFFSET(TblMagic[[#This Row],[Active Miner''s Sight]],-1,0)&gt;0,OFFSET(TblMagic[[#This Row],[Active Miner''s Sight]],-1,0)-1,0))</f>
        <v>0</v>
      </c>
      <c r="AG123" s="26" t="n">
        <f aca="false">IF(TblMagic[[#This Row],[Mechanical Genius]],12,IF(OFFSET(TblMagic[[#This Row],[Active Mechanical Genius]],-1,0)&gt;0,OFFSET(TblMagic[[#This Row],[Active Mechanical Genius]],-1,0)-1,0))</f>
        <v>0</v>
      </c>
      <c r="AH123" s="26" t="n">
        <f aca="false">IF(TblMagic[[#This Row],[Frenzy]],12,IF(OFFSET(TblMagic[[#This Row],[Active Frenzy]],-1,0)&gt;0,OFFSET(TblMagic[[#This Row],[Active Frenzy]],-1,0)-1,0))</f>
        <v>0</v>
      </c>
      <c r="AI123" s="26" t="n">
        <f aca="false">IF(TblMagic[[#This Row],[Killing Rage / Bloodrage / Crusade]],12,IF(OFFSET(TblMagic[[#This Row],[Active Warsong / Killing Rage / Bloodrage]],-1,0)&gt;0,OFFSET(TblMagic[[#This Row],[Active Warsong / Killing Rage / Bloodrage]],-1,0)-1,0))</f>
        <v>0</v>
      </c>
      <c r="AJ123" s="26" t="n">
        <f aca="false">IF(TblMagic[[#This Row],[Gaia''s Blessing]],12,IF(OFFSET(TblMagic[[#This Row],[Active Gaia''s Blessing]],-1,0)&gt;0,OFFSET(TblMagic[[#This Row],[Active Gaia''s Blessing]],-1,0)-1,0))</f>
        <v>0</v>
      </c>
      <c r="AK123" s="26" t="n">
        <f aca="false">IF(TblMagic[[#This Row],[Howling]],12,IF(OFFSET(TblMagic[[#This Row],[Active Howling]],-1,0)&gt;0,OFFSET(TblMagic[[#This Row],[Active Howling]],-1,0)-1,0))</f>
        <v>0</v>
      </c>
      <c r="AL123" s="26" t="n">
        <f aca="false">IF(TblMagic[[#This Row],[Alchemist Frost]],12,IF(OFFSET(TblMagic[[#This Row],[Active Alch Frost]],-1,0)&gt;0,OFFSET(TblMagic[[#This Row],[Active Alch Frost]],-1,0)-1,0))</f>
        <v>0</v>
      </c>
      <c r="AM123" s="26" t="n">
        <f aca="false">IF(TblMagic[[#This Row],[Alchemists Flame]],12,IF(OFFSET(TblMagic[[#This Row],[Active Alchemists Flame]],-1,0)&gt;0,OFFSET(TblMagic[[#This Row],[Active Alchemists Flame]],-1,0)-1,0))</f>
        <v>0</v>
      </c>
      <c r="AN123" s="26" t="n">
        <f aca="false">IF(TblMagic[[#This Row],[Nightfall]],12,IF(OFFSET(TblMagic[[#This Row],[Active Nightfall]],-1,0)&gt;0,OFFSET(TblMagic[[#This Row],[Active Nightfall]],-1,0)-1,0))</f>
        <v>0</v>
      </c>
      <c r="AO123" s="26" t="n">
        <f aca="false">IF(TblMagic[[#This Row],[Favorable Terrain]],12,IF(OFFSET(TblMagic[[#This Row],[Active Favorable Terrain]],-1,0)&gt;0,OFFSET(TblMagic[[#This Row],[Active Favorable Terrain]],-1,0)-1,0))</f>
        <v>0</v>
      </c>
    </row>
    <row r="124" customFormat="false" ht="12.75" hidden="false" customHeight="false" outlineLevel="0" collapsed="false">
      <c r="A124" s="128" t="n">
        <f aca="false">TblRezone[[#This Row],[Hour]]</f>
        <v>121</v>
      </c>
      <c r="B124" s="146" t="n">
        <f aca="false">TblConstr[[#This Row],[Land]]</f>
        <v>700</v>
      </c>
      <c r="C124" s="69" t="n">
        <f aca="false">TblProd[[#This Row],[Mana]]</f>
        <v>15635.5</v>
      </c>
      <c r="D124" s="149" t="n">
        <f aca="false">MIN(1,OFFSET(TblMagic[[#This Row],[Wiz str]],-1,0)+0.04+ROUNDDOWN(10*OFFSET(TblMili[[#This Row],[WG''s]],-1,0),0)+ tech_2_7*OFFSET(TblTech[[#This Row],[2-7]],-1,0) + tech_5_6*OFFSET(TblTech[[#This Row],[5-6]],-1,0) )-TblMagic[[#This Row],[Wiz str cost]]</f>
        <v>1</v>
      </c>
      <c r="E124" s="153" t="n">
        <f aca="false">OFFSET(TblMagic[[#This Row],[Time]],-1,0)+1/24</f>
        <v>45434.75</v>
      </c>
      <c r="F124" s="149" t="n">
        <f aca="false">TblImps[[#This Row],[Population]]</f>
        <v>1</v>
      </c>
      <c r="G124" s="248"/>
      <c r="H124" s="248"/>
      <c r="I124" s="248"/>
      <c r="J124" s="248"/>
      <c r="K124" s="312"/>
      <c r="L124" s="248"/>
      <c r="M124" s="248"/>
      <c r="N124" s="248"/>
      <c r="O124" s="248"/>
      <c r="P124" s="248"/>
      <c r="Q124" s="248"/>
      <c r="R124" s="248"/>
      <c r="S124" s="248"/>
      <c r="T124" s="248"/>
      <c r="U124" s="248"/>
      <c r="V124" s="248"/>
      <c r="W124" s="132"/>
      <c r="X12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49" t="n">
        <f aca="false">SUMIF(TblMagic[[#This Row],[Gaia''s Watch]:[Useless spell]],1)*0.05</f>
        <v>0</v>
      </c>
      <c r="Z124" s="132"/>
      <c r="AA124" s="26" t="n">
        <f aca="false">IF(TblMagic[[#This Row],[Gaia''s Watch]],12,IF(OFFSET(TblMagic[[#This Row],[Active Gaia''s Watch]],-1,0)&gt;0,OFFSET(TblMagic[[#This Row],[Active Gaia''s Watch]],-1,0)-1,0))</f>
        <v>0</v>
      </c>
      <c r="AB124" s="26" t="n">
        <f aca="false">IF(TblMagic[[#This Row],[Mining Strength]],12,IF(OFFSET(TblMagic[[#This Row],[Active Mining Strength]],-1,0)&gt;0,OFFSET(TblMagic[[#This Row],[Active Mining Strength]],-1,0)-1,0))</f>
        <v>0</v>
      </c>
      <c r="AC124" s="26" t="n">
        <f aca="false">IF(TblMagic[[#This Row],[Ares Call]],12,IF(OFFSET(TblMagic[[#This Row],[Active Ares Call]],-1,0)&gt;0,OFFSET(TblMagic[[#This Row],[Active Ares Call]],-1,0)-1,0))</f>
        <v>0</v>
      </c>
      <c r="AD124" s="26" t="n">
        <f aca="false">IF(TblMagic[[#This Row],[Midas Touch]],12,IF(OFFSET(TblMagic[[#This Row],[Active Midas Touch]],-1,0)&gt;0,OFFSET(TblMagic[[#This Row],[Active Midas Touch]],-1,0)-1,0))</f>
        <v>0</v>
      </c>
      <c r="AE124" s="26" t="n">
        <f aca="false">IF(TblMagic[[#This Row],[Harmony]],12,IF(OFFSET(TblMagic[[#This Row],[Active Harmony]],-1,0)&gt;0,OFFSET(TblMagic[[#This Row],[Active Harmony]],-1,0)-1,0))</f>
        <v>0</v>
      </c>
      <c r="AF124" s="26" t="n">
        <f aca="false">IF(TblMagic[[#This Row],[Miner''s Sight]],12,IF(OFFSET(TblMagic[[#This Row],[Active Miner''s Sight]],-1,0)&gt;0,OFFSET(TblMagic[[#This Row],[Active Miner''s Sight]],-1,0)-1,0))</f>
        <v>0</v>
      </c>
      <c r="AG124" s="26" t="n">
        <f aca="false">IF(TblMagic[[#This Row],[Mechanical Genius]],12,IF(OFFSET(TblMagic[[#This Row],[Active Mechanical Genius]],-1,0)&gt;0,OFFSET(TblMagic[[#This Row],[Active Mechanical Genius]],-1,0)-1,0))</f>
        <v>0</v>
      </c>
      <c r="AH124" s="26" t="n">
        <f aca="false">IF(TblMagic[[#This Row],[Frenzy]],12,IF(OFFSET(TblMagic[[#This Row],[Active Frenzy]],-1,0)&gt;0,OFFSET(TblMagic[[#This Row],[Active Frenzy]],-1,0)-1,0))</f>
        <v>0</v>
      </c>
      <c r="AI124" s="26" t="n">
        <f aca="false">IF(TblMagic[[#This Row],[Killing Rage / Bloodrage / Crusade]],12,IF(OFFSET(TblMagic[[#This Row],[Active Warsong / Killing Rage / Bloodrage]],-1,0)&gt;0,OFFSET(TblMagic[[#This Row],[Active Warsong / Killing Rage / Bloodrage]],-1,0)-1,0))</f>
        <v>0</v>
      </c>
      <c r="AJ124" s="26" t="n">
        <f aca="false">IF(TblMagic[[#This Row],[Gaia''s Blessing]],12,IF(OFFSET(TblMagic[[#This Row],[Active Gaia''s Blessing]],-1,0)&gt;0,OFFSET(TblMagic[[#This Row],[Active Gaia''s Blessing]],-1,0)-1,0))</f>
        <v>0</v>
      </c>
      <c r="AK124" s="26" t="n">
        <f aca="false">IF(TblMagic[[#This Row],[Howling]],12,IF(OFFSET(TblMagic[[#This Row],[Active Howling]],-1,0)&gt;0,OFFSET(TblMagic[[#This Row],[Active Howling]],-1,0)-1,0))</f>
        <v>0</v>
      </c>
      <c r="AL124" s="26" t="n">
        <f aca="false">IF(TblMagic[[#This Row],[Alchemist Frost]],12,IF(OFFSET(TblMagic[[#This Row],[Active Alch Frost]],-1,0)&gt;0,OFFSET(TblMagic[[#This Row],[Active Alch Frost]],-1,0)-1,0))</f>
        <v>0</v>
      </c>
      <c r="AM124" s="26" t="n">
        <f aca="false">IF(TblMagic[[#This Row],[Alchemists Flame]],12,IF(OFFSET(TblMagic[[#This Row],[Active Alchemists Flame]],-1,0)&gt;0,OFFSET(TblMagic[[#This Row],[Active Alchemists Flame]],-1,0)-1,0))</f>
        <v>0</v>
      </c>
      <c r="AN124" s="26" t="n">
        <f aca="false">IF(TblMagic[[#This Row],[Nightfall]],12,IF(OFFSET(TblMagic[[#This Row],[Active Nightfall]],-1,0)&gt;0,OFFSET(TblMagic[[#This Row],[Active Nightfall]],-1,0)-1,0))</f>
        <v>0</v>
      </c>
      <c r="AO124" s="26" t="n">
        <f aca="false">IF(TblMagic[[#This Row],[Favorable Terrain]],12,IF(OFFSET(TblMagic[[#This Row],[Active Favorable Terrain]],-1,0)&gt;0,OFFSET(TblMagic[[#This Row],[Active Favorable Terrain]],-1,0)-1,0))</f>
        <v>0</v>
      </c>
    </row>
    <row r="125" customFormat="false" ht="12.75" hidden="false" customHeight="false" outlineLevel="0" collapsed="false">
      <c r="A125" s="128" t="n">
        <f aca="false">TblRezone[[#This Row],[Hour]]</f>
        <v>122</v>
      </c>
      <c r="B125" s="146" t="n">
        <f aca="false">TblConstr[[#This Row],[Land]]</f>
        <v>700</v>
      </c>
      <c r="C125" s="69" t="n">
        <f aca="false">TblProd[[#This Row],[Mana]]</f>
        <v>16047.5</v>
      </c>
      <c r="D125" s="149" t="n">
        <f aca="false">MIN(1,OFFSET(TblMagic[[#This Row],[Wiz str]],-1,0)+0.04+ROUNDDOWN(10*OFFSET(TblMili[[#This Row],[WG''s]],-1,0),0)+ tech_2_7*OFFSET(TblTech[[#This Row],[2-7]],-1,0) + tech_5_6*OFFSET(TblTech[[#This Row],[5-6]],-1,0) )-TblMagic[[#This Row],[Wiz str cost]]</f>
        <v>1</v>
      </c>
      <c r="E125" s="153" t="n">
        <f aca="false">OFFSET(TblMagic[[#This Row],[Time]],-1,0)+1/24</f>
        <v>45434.7916666667</v>
      </c>
      <c r="F125" s="149" t="n">
        <f aca="false">TblImps[[#This Row],[Population]]</f>
        <v>1</v>
      </c>
      <c r="G125" s="248"/>
      <c r="H125" s="248"/>
      <c r="I125" s="248"/>
      <c r="J125" s="248"/>
      <c r="K125" s="312"/>
      <c r="L125" s="248"/>
      <c r="M125" s="248"/>
      <c r="N125" s="248"/>
      <c r="O125" s="248"/>
      <c r="P125" s="248"/>
      <c r="Q125" s="248"/>
      <c r="R125" s="248"/>
      <c r="S125" s="248"/>
      <c r="T125" s="248"/>
      <c r="U125" s="248"/>
      <c r="V125" s="248"/>
      <c r="W125" s="132"/>
      <c r="X12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49" t="n">
        <f aca="false">SUMIF(TblMagic[[#This Row],[Gaia''s Watch]:[Useless spell]],1)*0.05</f>
        <v>0</v>
      </c>
      <c r="Z125" s="132"/>
      <c r="AA125" s="26" t="n">
        <f aca="false">IF(TblMagic[[#This Row],[Gaia''s Watch]],12,IF(OFFSET(TblMagic[[#This Row],[Active Gaia''s Watch]],-1,0)&gt;0,OFFSET(TblMagic[[#This Row],[Active Gaia''s Watch]],-1,0)-1,0))</f>
        <v>0</v>
      </c>
      <c r="AB125" s="26" t="n">
        <f aca="false">IF(TblMagic[[#This Row],[Mining Strength]],12,IF(OFFSET(TblMagic[[#This Row],[Active Mining Strength]],-1,0)&gt;0,OFFSET(TblMagic[[#This Row],[Active Mining Strength]],-1,0)-1,0))</f>
        <v>0</v>
      </c>
      <c r="AC125" s="26" t="n">
        <f aca="false">IF(TblMagic[[#This Row],[Ares Call]],12,IF(OFFSET(TblMagic[[#This Row],[Active Ares Call]],-1,0)&gt;0,OFFSET(TblMagic[[#This Row],[Active Ares Call]],-1,0)-1,0))</f>
        <v>0</v>
      </c>
      <c r="AD125" s="26" t="n">
        <f aca="false">IF(TblMagic[[#This Row],[Midas Touch]],12,IF(OFFSET(TblMagic[[#This Row],[Active Midas Touch]],-1,0)&gt;0,OFFSET(TblMagic[[#This Row],[Active Midas Touch]],-1,0)-1,0))</f>
        <v>0</v>
      </c>
      <c r="AE125" s="26" t="n">
        <f aca="false">IF(TblMagic[[#This Row],[Harmony]],12,IF(OFFSET(TblMagic[[#This Row],[Active Harmony]],-1,0)&gt;0,OFFSET(TblMagic[[#This Row],[Active Harmony]],-1,0)-1,0))</f>
        <v>0</v>
      </c>
      <c r="AF125" s="26" t="n">
        <f aca="false">IF(TblMagic[[#This Row],[Miner''s Sight]],12,IF(OFFSET(TblMagic[[#This Row],[Active Miner''s Sight]],-1,0)&gt;0,OFFSET(TblMagic[[#This Row],[Active Miner''s Sight]],-1,0)-1,0))</f>
        <v>0</v>
      </c>
      <c r="AG125" s="26" t="n">
        <f aca="false">IF(TblMagic[[#This Row],[Mechanical Genius]],12,IF(OFFSET(TblMagic[[#This Row],[Active Mechanical Genius]],-1,0)&gt;0,OFFSET(TblMagic[[#This Row],[Active Mechanical Genius]],-1,0)-1,0))</f>
        <v>0</v>
      </c>
      <c r="AH125" s="26" t="n">
        <f aca="false">IF(TblMagic[[#This Row],[Frenzy]],12,IF(OFFSET(TblMagic[[#This Row],[Active Frenzy]],-1,0)&gt;0,OFFSET(TblMagic[[#This Row],[Active Frenzy]],-1,0)-1,0))</f>
        <v>0</v>
      </c>
      <c r="AI125" s="26" t="n">
        <f aca="false">IF(TblMagic[[#This Row],[Killing Rage / Bloodrage / Crusade]],12,IF(OFFSET(TblMagic[[#This Row],[Active Warsong / Killing Rage / Bloodrage]],-1,0)&gt;0,OFFSET(TblMagic[[#This Row],[Active Warsong / Killing Rage / Bloodrage]],-1,0)-1,0))</f>
        <v>0</v>
      </c>
      <c r="AJ125" s="26" t="n">
        <f aca="false">IF(TblMagic[[#This Row],[Gaia''s Blessing]],12,IF(OFFSET(TblMagic[[#This Row],[Active Gaia''s Blessing]],-1,0)&gt;0,OFFSET(TblMagic[[#This Row],[Active Gaia''s Blessing]],-1,0)-1,0))</f>
        <v>0</v>
      </c>
      <c r="AK125" s="26" t="n">
        <f aca="false">IF(TblMagic[[#This Row],[Howling]],12,IF(OFFSET(TblMagic[[#This Row],[Active Howling]],-1,0)&gt;0,OFFSET(TblMagic[[#This Row],[Active Howling]],-1,0)-1,0))</f>
        <v>0</v>
      </c>
      <c r="AL125" s="26" t="n">
        <f aca="false">IF(TblMagic[[#This Row],[Alchemist Frost]],12,IF(OFFSET(TblMagic[[#This Row],[Active Alch Frost]],-1,0)&gt;0,OFFSET(TblMagic[[#This Row],[Active Alch Frost]],-1,0)-1,0))</f>
        <v>0</v>
      </c>
      <c r="AM125" s="26" t="n">
        <f aca="false">IF(TblMagic[[#This Row],[Alchemists Flame]],12,IF(OFFSET(TblMagic[[#This Row],[Active Alchemists Flame]],-1,0)&gt;0,OFFSET(TblMagic[[#This Row],[Active Alchemists Flame]],-1,0)-1,0))</f>
        <v>0</v>
      </c>
      <c r="AN125" s="26" t="n">
        <f aca="false">IF(TblMagic[[#This Row],[Nightfall]],12,IF(OFFSET(TblMagic[[#This Row],[Active Nightfall]],-1,0)&gt;0,OFFSET(TblMagic[[#This Row],[Active Nightfall]],-1,0)-1,0))</f>
        <v>0</v>
      </c>
      <c r="AO125" s="26" t="n">
        <f aca="false">IF(TblMagic[[#This Row],[Favorable Terrain]],12,IF(OFFSET(TblMagic[[#This Row],[Active Favorable Terrain]],-1,0)&gt;0,OFFSET(TblMagic[[#This Row],[Active Favorable Terrain]],-1,0)-1,0))</f>
        <v>0</v>
      </c>
    </row>
    <row r="126" customFormat="false" ht="12.75" hidden="false" customHeight="false" outlineLevel="0" collapsed="false">
      <c r="A126" s="128" t="n">
        <f aca="false">TblRezone[[#This Row],[Hour]]</f>
        <v>123</v>
      </c>
      <c r="B126" s="146" t="n">
        <f aca="false">TblConstr[[#This Row],[Land]]</f>
        <v>700</v>
      </c>
      <c r="C126" s="69" t="n">
        <f aca="false">TblProd[[#This Row],[Mana]]</f>
        <v>16451.5</v>
      </c>
      <c r="D126" s="149" t="n">
        <f aca="false">MIN(1,OFFSET(TblMagic[[#This Row],[Wiz str]],-1,0)+0.04+ROUNDDOWN(10*OFFSET(TblMili[[#This Row],[WG''s]],-1,0),0)+ tech_2_7*OFFSET(TblTech[[#This Row],[2-7]],-1,0) + tech_5_6*OFFSET(TblTech[[#This Row],[5-6]],-1,0) )-TblMagic[[#This Row],[Wiz str cost]]</f>
        <v>1</v>
      </c>
      <c r="E126" s="153" t="n">
        <f aca="false">OFFSET(TblMagic[[#This Row],[Time]],-1,0)+1/24</f>
        <v>45434.8333333333</v>
      </c>
      <c r="F126" s="149" t="n">
        <f aca="false">TblImps[[#This Row],[Population]]</f>
        <v>1</v>
      </c>
      <c r="G126" s="248"/>
      <c r="H126" s="248"/>
      <c r="I126" s="248"/>
      <c r="J126" s="248"/>
      <c r="K126" s="312"/>
      <c r="L126" s="248"/>
      <c r="M126" s="248"/>
      <c r="N126" s="248"/>
      <c r="O126" s="248"/>
      <c r="P126" s="248"/>
      <c r="Q126" s="248"/>
      <c r="R126" s="248"/>
      <c r="S126" s="248"/>
      <c r="T126" s="248"/>
      <c r="U126" s="248"/>
      <c r="V126" s="248"/>
      <c r="W126" s="132"/>
      <c r="X12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49" t="n">
        <f aca="false">SUMIF(TblMagic[[#This Row],[Gaia''s Watch]:[Useless spell]],1)*0.05</f>
        <v>0</v>
      </c>
      <c r="Z126" s="132"/>
      <c r="AA126" s="26" t="n">
        <f aca="false">IF(TblMagic[[#This Row],[Gaia''s Watch]],12,IF(OFFSET(TblMagic[[#This Row],[Active Gaia''s Watch]],-1,0)&gt;0,OFFSET(TblMagic[[#This Row],[Active Gaia''s Watch]],-1,0)-1,0))</f>
        <v>0</v>
      </c>
      <c r="AB126" s="26" t="n">
        <f aca="false">IF(TblMagic[[#This Row],[Mining Strength]],12,IF(OFFSET(TblMagic[[#This Row],[Active Mining Strength]],-1,0)&gt;0,OFFSET(TblMagic[[#This Row],[Active Mining Strength]],-1,0)-1,0))</f>
        <v>0</v>
      </c>
      <c r="AC126" s="26" t="n">
        <f aca="false">IF(TblMagic[[#This Row],[Ares Call]],12,IF(OFFSET(TblMagic[[#This Row],[Active Ares Call]],-1,0)&gt;0,OFFSET(TblMagic[[#This Row],[Active Ares Call]],-1,0)-1,0))</f>
        <v>0</v>
      </c>
      <c r="AD126" s="26" t="n">
        <f aca="false">IF(TblMagic[[#This Row],[Midas Touch]],12,IF(OFFSET(TblMagic[[#This Row],[Active Midas Touch]],-1,0)&gt;0,OFFSET(TblMagic[[#This Row],[Active Midas Touch]],-1,0)-1,0))</f>
        <v>0</v>
      </c>
      <c r="AE126" s="26" t="n">
        <f aca="false">IF(TblMagic[[#This Row],[Harmony]],12,IF(OFFSET(TblMagic[[#This Row],[Active Harmony]],-1,0)&gt;0,OFFSET(TblMagic[[#This Row],[Active Harmony]],-1,0)-1,0))</f>
        <v>0</v>
      </c>
      <c r="AF126" s="26" t="n">
        <f aca="false">IF(TblMagic[[#This Row],[Miner''s Sight]],12,IF(OFFSET(TblMagic[[#This Row],[Active Miner''s Sight]],-1,0)&gt;0,OFFSET(TblMagic[[#This Row],[Active Miner''s Sight]],-1,0)-1,0))</f>
        <v>0</v>
      </c>
      <c r="AG126" s="26" t="n">
        <f aca="false">IF(TblMagic[[#This Row],[Mechanical Genius]],12,IF(OFFSET(TblMagic[[#This Row],[Active Mechanical Genius]],-1,0)&gt;0,OFFSET(TblMagic[[#This Row],[Active Mechanical Genius]],-1,0)-1,0))</f>
        <v>0</v>
      </c>
      <c r="AH126" s="26" t="n">
        <f aca="false">IF(TblMagic[[#This Row],[Frenzy]],12,IF(OFFSET(TblMagic[[#This Row],[Active Frenzy]],-1,0)&gt;0,OFFSET(TblMagic[[#This Row],[Active Frenzy]],-1,0)-1,0))</f>
        <v>0</v>
      </c>
      <c r="AI126" s="26" t="n">
        <f aca="false">IF(TblMagic[[#This Row],[Killing Rage / Bloodrage / Crusade]],12,IF(OFFSET(TblMagic[[#This Row],[Active Warsong / Killing Rage / Bloodrage]],-1,0)&gt;0,OFFSET(TblMagic[[#This Row],[Active Warsong / Killing Rage / Bloodrage]],-1,0)-1,0))</f>
        <v>0</v>
      </c>
      <c r="AJ126" s="26" t="n">
        <f aca="false">IF(TblMagic[[#This Row],[Gaia''s Blessing]],12,IF(OFFSET(TblMagic[[#This Row],[Active Gaia''s Blessing]],-1,0)&gt;0,OFFSET(TblMagic[[#This Row],[Active Gaia''s Blessing]],-1,0)-1,0))</f>
        <v>0</v>
      </c>
      <c r="AK126" s="26" t="n">
        <f aca="false">IF(TblMagic[[#This Row],[Howling]],12,IF(OFFSET(TblMagic[[#This Row],[Active Howling]],-1,0)&gt;0,OFFSET(TblMagic[[#This Row],[Active Howling]],-1,0)-1,0))</f>
        <v>0</v>
      </c>
      <c r="AL126" s="26" t="n">
        <f aca="false">IF(TblMagic[[#This Row],[Alchemist Frost]],12,IF(OFFSET(TblMagic[[#This Row],[Active Alch Frost]],-1,0)&gt;0,OFFSET(TblMagic[[#This Row],[Active Alch Frost]],-1,0)-1,0))</f>
        <v>0</v>
      </c>
      <c r="AM126" s="26" t="n">
        <f aca="false">IF(TblMagic[[#This Row],[Alchemists Flame]],12,IF(OFFSET(TblMagic[[#This Row],[Active Alchemists Flame]],-1,0)&gt;0,OFFSET(TblMagic[[#This Row],[Active Alchemists Flame]],-1,0)-1,0))</f>
        <v>0</v>
      </c>
      <c r="AN126" s="26" t="n">
        <f aca="false">IF(TblMagic[[#This Row],[Nightfall]],12,IF(OFFSET(TblMagic[[#This Row],[Active Nightfall]],-1,0)&gt;0,OFFSET(TblMagic[[#This Row],[Active Nightfall]],-1,0)-1,0))</f>
        <v>0</v>
      </c>
      <c r="AO126" s="26" t="n">
        <f aca="false">IF(TblMagic[[#This Row],[Favorable Terrain]],12,IF(OFFSET(TblMagic[[#This Row],[Active Favorable Terrain]],-1,0)&gt;0,OFFSET(TblMagic[[#This Row],[Active Favorable Terrain]],-1,0)-1,0))</f>
        <v>0</v>
      </c>
    </row>
    <row r="127" customFormat="false" ht="12.75" hidden="false" customHeight="false" outlineLevel="0" collapsed="false">
      <c r="A127" s="128" t="n">
        <f aca="false">TblRezone[[#This Row],[Hour]]</f>
        <v>124</v>
      </c>
      <c r="B127" s="146" t="n">
        <f aca="false">TblConstr[[#This Row],[Land]]</f>
        <v>700</v>
      </c>
      <c r="C127" s="69" t="n">
        <f aca="false">TblProd[[#This Row],[Mana]]</f>
        <v>16847.5</v>
      </c>
      <c r="D127" s="149" t="n">
        <f aca="false">MIN(1,OFFSET(TblMagic[[#This Row],[Wiz str]],-1,0)+0.04+ROUNDDOWN(10*OFFSET(TblMili[[#This Row],[WG''s]],-1,0),0)+ tech_2_7*OFFSET(TblTech[[#This Row],[2-7]],-1,0) + tech_5_6*OFFSET(TblTech[[#This Row],[5-6]],-1,0) )-TblMagic[[#This Row],[Wiz str cost]]</f>
        <v>1</v>
      </c>
      <c r="E127" s="153" t="n">
        <f aca="false">OFFSET(TblMagic[[#This Row],[Time]],-1,0)+1/24</f>
        <v>45434.875</v>
      </c>
      <c r="F127" s="149" t="n">
        <f aca="false">TblImps[[#This Row],[Population]]</f>
        <v>1</v>
      </c>
      <c r="G127" s="248"/>
      <c r="H127" s="248"/>
      <c r="I127" s="248"/>
      <c r="J127" s="248"/>
      <c r="K127" s="312"/>
      <c r="L127" s="248"/>
      <c r="M127" s="248"/>
      <c r="N127" s="248"/>
      <c r="O127" s="248"/>
      <c r="P127" s="248"/>
      <c r="Q127" s="248"/>
      <c r="R127" s="248"/>
      <c r="S127" s="248"/>
      <c r="T127" s="248"/>
      <c r="U127" s="248"/>
      <c r="V127" s="248"/>
      <c r="W127" s="132"/>
      <c r="X12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49" t="n">
        <f aca="false">SUMIF(TblMagic[[#This Row],[Gaia''s Watch]:[Useless spell]],1)*0.05</f>
        <v>0</v>
      </c>
      <c r="Z127" s="132"/>
      <c r="AA127" s="26" t="n">
        <f aca="false">IF(TblMagic[[#This Row],[Gaia''s Watch]],12,IF(OFFSET(TblMagic[[#This Row],[Active Gaia''s Watch]],-1,0)&gt;0,OFFSET(TblMagic[[#This Row],[Active Gaia''s Watch]],-1,0)-1,0))</f>
        <v>0</v>
      </c>
      <c r="AB127" s="26" t="n">
        <f aca="false">IF(TblMagic[[#This Row],[Mining Strength]],12,IF(OFFSET(TblMagic[[#This Row],[Active Mining Strength]],-1,0)&gt;0,OFFSET(TblMagic[[#This Row],[Active Mining Strength]],-1,0)-1,0))</f>
        <v>0</v>
      </c>
      <c r="AC127" s="26" t="n">
        <f aca="false">IF(TblMagic[[#This Row],[Ares Call]],12,IF(OFFSET(TblMagic[[#This Row],[Active Ares Call]],-1,0)&gt;0,OFFSET(TblMagic[[#This Row],[Active Ares Call]],-1,0)-1,0))</f>
        <v>0</v>
      </c>
      <c r="AD127" s="26" t="n">
        <f aca="false">IF(TblMagic[[#This Row],[Midas Touch]],12,IF(OFFSET(TblMagic[[#This Row],[Active Midas Touch]],-1,0)&gt;0,OFFSET(TblMagic[[#This Row],[Active Midas Touch]],-1,0)-1,0))</f>
        <v>0</v>
      </c>
      <c r="AE127" s="26" t="n">
        <f aca="false">IF(TblMagic[[#This Row],[Harmony]],12,IF(OFFSET(TblMagic[[#This Row],[Active Harmony]],-1,0)&gt;0,OFFSET(TblMagic[[#This Row],[Active Harmony]],-1,0)-1,0))</f>
        <v>0</v>
      </c>
      <c r="AF127" s="26" t="n">
        <f aca="false">IF(TblMagic[[#This Row],[Miner''s Sight]],12,IF(OFFSET(TblMagic[[#This Row],[Active Miner''s Sight]],-1,0)&gt;0,OFFSET(TblMagic[[#This Row],[Active Miner''s Sight]],-1,0)-1,0))</f>
        <v>0</v>
      </c>
      <c r="AG127" s="26" t="n">
        <f aca="false">IF(TblMagic[[#This Row],[Mechanical Genius]],12,IF(OFFSET(TblMagic[[#This Row],[Active Mechanical Genius]],-1,0)&gt;0,OFFSET(TblMagic[[#This Row],[Active Mechanical Genius]],-1,0)-1,0))</f>
        <v>0</v>
      </c>
      <c r="AH127" s="26" t="n">
        <f aca="false">IF(TblMagic[[#This Row],[Frenzy]],12,IF(OFFSET(TblMagic[[#This Row],[Active Frenzy]],-1,0)&gt;0,OFFSET(TblMagic[[#This Row],[Active Frenzy]],-1,0)-1,0))</f>
        <v>0</v>
      </c>
      <c r="AI127" s="26" t="n">
        <f aca="false">IF(TblMagic[[#This Row],[Killing Rage / Bloodrage / Crusade]],12,IF(OFFSET(TblMagic[[#This Row],[Active Warsong / Killing Rage / Bloodrage]],-1,0)&gt;0,OFFSET(TblMagic[[#This Row],[Active Warsong / Killing Rage / Bloodrage]],-1,0)-1,0))</f>
        <v>0</v>
      </c>
      <c r="AJ127" s="26" t="n">
        <f aca="false">IF(TblMagic[[#This Row],[Gaia''s Blessing]],12,IF(OFFSET(TblMagic[[#This Row],[Active Gaia''s Blessing]],-1,0)&gt;0,OFFSET(TblMagic[[#This Row],[Active Gaia''s Blessing]],-1,0)-1,0))</f>
        <v>0</v>
      </c>
      <c r="AK127" s="26" t="n">
        <f aca="false">IF(TblMagic[[#This Row],[Howling]],12,IF(OFFSET(TblMagic[[#This Row],[Active Howling]],-1,0)&gt;0,OFFSET(TblMagic[[#This Row],[Active Howling]],-1,0)-1,0))</f>
        <v>0</v>
      </c>
      <c r="AL127" s="26" t="n">
        <f aca="false">IF(TblMagic[[#This Row],[Alchemist Frost]],12,IF(OFFSET(TblMagic[[#This Row],[Active Alch Frost]],-1,0)&gt;0,OFFSET(TblMagic[[#This Row],[Active Alch Frost]],-1,0)-1,0))</f>
        <v>0</v>
      </c>
      <c r="AM127" s="26" t="n">
        <f aca="false">IF(TblMagic[[#This Row],[Alchemists Flame]],12,IF(OFFSET(TblMagic[[#This Row],[Active Alchemists Flame]],-1,0)&gt;0,OFFSET(TblMagic[[#This Row],[Active Alchemists Flame]],-1,0)-1,0))</f>
        <v>0</v>
      </c>
      <c r="AN127" s="26" t="n">
        <f aca="false">IF(TblMagic[[#This Row],[Nightfall]],12,IF(OFFSET(TblMagic[[#This Row],[Active Nightfall]],-1,0)&gt;0,OFFSET(TblMagic[[#This Row],[Active Nightfall]],-1,0)-1,0))</f>
        <v>0</v>
      </c>
      <c r="AO127" s="26" t="n">
        <f aca="false">IF(TblMagic[[#This Row],[Favorable Terrain]],12,IF(OFFSET(TblMagic[[#This Row],[Active Favorable Terrain]],-1,0)&gt;0,OFFSET(TblMagic[[#This Row],[Active Favorable Terrain]],-1,0)-1,0))</f>
        <v>0</v>
      </c>
    </row>
    <row r="128" customFormat="false" ht="12.75" hidden="false" customHeight="false" outlineLevel="0" collapsed="false">
      <c r="A128" s="128" t="n">
        <f aca="false">TblRezone[[#This Row],[Hour]]</f>
        <v>125</v>
      </c>
      <c r="B128" s="146" t="n">
        <f aca="false">TblConstr[[#This Row],[Land]]</f>
        <v>700</v>
      </c>
      <c r="C128" s="69" t="n">
        <f aca="false">TblProd[[#This Row],[Mana]]</f>
        <v>17235.5</v>
      </c>
      <c r="D128" s="149" t="n">
        <f aca="false">MIN(1,OFFSET(TblMagic[[#This Row],[Wiz str]],-1,0)+0.04+ROUNDDOWN(10*OFFSET(TblMili[[#This Row],[WG''s]],-1,0),0)+ tech_2_7*OFFSET(TblTech[[#This Row],[2-7]],-1,0) + tech_5_6*OFFSET(TblTech[[#This Row],[5-6]],-1,0) )-TblMagic[[#This Row],[Wiz str cost]]</f>
        <v>1</v>
      </c>
      <c r="E128" s="153" t="n">
        <f aca="false">OFFSET(TblMagic[[#This Row],[Time]],-1,0)+1/24</f>
        <v>45434.9166666667</v>
      </c>
      <c r="F128" s="149" t="n">
        <f aca="false">TblImps[[#This Row],[Population]]</f>
        <v>1</v>
      </c>
      <c r="G128" s="248"/>
      <c r="H128" s="248"/>
      <c r="I128" s="248"/>
      <c r="J128" s="248"/>
      <c r="K128" s="312"/>
      <c r="L128" s="248"/>
      <c r="M128" s="248"/>
      <c r="N128" s="248"/>
      <c r="O128" s="248"/>
      <c r="P128" s="248"/>
      <c r="Q128" s="248"/>
      <c r="R128" s="248"/>
      <c r="S128" s="248"/>
      <c r="T128" s="248"/>
      <c r="U128" s="248"/>
      <c r="V128" s="248"/>
      <c r="W128" s="132"/>
      <c r="X12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49" t="n">
        <f aca="false">SUMIF(TblMagic[[#This Row],[Gaia''s Watch]:[Useless spell]],1)*0.05</f>
        <v>0</v>
      </c>
      <c r="Z128" s="132"/>
      <c r="AA128" s="26" t="n">
        <f aca="false">IF(TblMagic[[#This Row],[Gaia''s Watch]],12,IF(OFFSET(TblMagic[[#This Row],[Active Gaia''s Watch]],-1,0)&gt;0,OFFSET(TblMagic[[#This Row],[Active Gaia''s Watch]],-1,0)-1,0))</f>
        <v>0</v>
      </c>
      <c r="AB128" s="26" t="n">
        <f aca="false">IF(TblMagic[[#This Row],[Mining Strength]],12,IF(OFFSET(TblMagic[[#This Row],[Active Mining Strength]],-1,0)&gt;0,OFFSET(TblMagic[[#This Row],[Active Mining Strength]],-1,0)-1,0))</f>
        <v>0</v>
      </c>
      <c r="AC128" s="26" t="n">
        <f aca="false">IF(TblMagic[[#This Row],[Ares Call]],12,IF(OFFSET(TblMagic[[#This Row],[Active Ares Call]],-1,0)&gt;0,OFFSET(TblMagic[[#This Row],[Active Ares Call]],-1,0)-1,0))</f>
        <v>0</v>
      </c>
      <c r="AD128" s="26" t="n">
        <f aca="false">IF(TblMagic[[#This Row],[Midas Touch]],12,IF(OFFSET(TblMagic[[#This Row],[Active Midas Touch]],-1,0)&gt;0,OFFSET(TblMagic[[#This Row],[Active Midas Touch]],-1,0)-1,0))</f>
        <v>0</v>
      </c>
      <c r="AE128" s="26" t="n">
        <f aca="false">IF(TblMagic[[#This Row],[Harmony]],12,IF(OFFSET(TblMagic[[#This Row],[Active Harmony]],-1,0)&gt;0,OFFSET(TblMagic[[#This Row],[Active Harmony]],-1,0)-1,0))</f>
        <v>0</v>
      </c>
      <c r="AF128" s="26" t="n">
        <f aca="false">IF(TblMagic[[#This Row],[Miner''s Sight]],12,IF(OFFSET(TblMagic[[#This Row],[Active Miner''s Sight]],-1,0)&gt;0,OFFSET(TblMagic[[#This Row],[Active Miner''s Sight]],-1,0)-1,0))</f>
        <v>0</v>
      </c>
      <c r="AG128" s="26" t="n">
        <f aca="false">IF(TblMagic[[#This Row],[Mechanical Genius]],12,IF(OFFSET(TblMagic[[#This Row],[Active Mechanical Genius]],-1,0)&gt;0,OFFSET(TblMagic[[#This Row],[Active Mechanical Genius]],-1,0)-1,0))</f>
        <v>0</v>
      </c>
      <c r="AH128" s="26" t="n">
        <f aca="false">IF(TblMagic[[#This Row],[Frenzy]],12,IF(OFFSET(TblMagic[[#This Row],[Active Frenzy]],-1,0)&gt;0,OFFSET(TblMagic[[#This Row],[Active Frenzy]],-1,0)-1,0))</f>
        <v>0</v>
      </c>
      <c r="AI128" s="26" t="n">
        <f aca="false">IF(TblMagic[[#This Row],[Killing Rage / Bloodrage / Crusade]],12,IF(OFFSET(TblMagic[[#This Row],[Active Warsong / Killing Rage / Bloodrage]],-1,0)&gt;0,OFFSET(TblMagic[[#This Row],[Active Warsong / Killing Rage / Bloodrage]],-1,0)-1,0))</f>
        <v>0</v>
      </c>
      <c r="AJ128" s="26" t="n">
        <f aca="false">IF(TblMagic[[#This Row],[Gaia''s Blessing]],12,IF(OFFSET(TblMagic[[#This Row],[Active Gaia''s Blessing]],-1,0)&gt;0,OFFSET(TblMagic[[#This Row],[Active Gaia''s Blessing]],-1,0)-1,0))</f>
        <v>0</v>
      </c>
      <c r="AK128" s="26" t="n">
        <f aca="false">IF(TblMagic[[#This Row],[Howling]],12,IF(OFFSET(TblMagic[[#This Row],[Active Howling]],-1,0)&gt;0,OFFSET(TblMagic[[#This Row],[Active Howling]],-1,0)-1,0))</f>
        <v>0</v>
      </c>
      <c r="AL128" s="26" t="n">
        <f aca="false">IF(TblMagic[[#This Row],[Alchemist Frost]],12,IF(OFFSET(TblMagic[[#This Row],[Active Alch Frost]],-1,0)&gt;0,OFFSET(TblMagic[[#This Row],[Active Alch Frost]],-1,0)-1,0))</f>
        <v>0</v>
      </c>
      <c r="AM128" s="26" t="n">
        <f aca="false">IF(TblMagic[[#This Row],[Alchemists Flame]],12,IF(OFFSET(TblMagic[[#This Row],[Active Alchemists Flame]],-1,0)&gt;0,OFFSET(TblMagic[[#This Row],[Active Alchemists Flame]],-1,0)-1,0))</f>
        <v>0</v>
      </c>
      <c r="AN128" s="26" t="n">
        <f aca="false">IF(TblMagic[[#This Row],[Nightfall]],12,IF(OFFSET(TblMagic[[#This Row],[Active Nightfall]],-1,0)&gt;0,OFFSET(TblMagic[[#This Row],[Active Nightfall]],-1,0)-1,0))</f>
        <v>0</v>
      </c>
      <c r="AO128" s="26" t="n">
        <f aca="false">IF(TblMagic[[#This Row],[Favorable Terrain]],12,IF(OFFSET(TblMagic[[#This Row],[Active Favorable Terrain]],-1,0)&gt;0,OFFSET(TblMagic[[#This Row],[Active Favorable Terrain]],-1,0)-1,0))</f>
        <v>0</v>
      </c>
    </row>
    <row r="129" customFormat="false" ht="12.75" hidden="false" customHeight="false" outlineLevel="0" collapsed="false">
      <c r="A129" s="128" t="n">
        <f aca="false">TblRezone[[#This Row],[Hour]]</f>
        <v>126</v>
      </c>
      <c r="B129" s="146" t="n">
        <f aca="false">TblConstr[[#This Row],[Land]]</f>
        <v>700</v>
      </c>
      <c r="C129" s="69" t="n">
        <f aca="false">TblProd[[#This Row],[Mana]]</f>
        <v>17615.5</v>
      </c>
      <c r="D129" s="149" t="n">
        <f aca="false">MIN(1,OFFSET(TblMagic[[#This Row],[Wiz str]],-1,0)+0.04+ROUNDDOWN(10*OFFSET(TblMili[[#This Row],[WG''s]],-1,0),0)+ tech_2_7*OFFSET(TblTech[[#This Row],[2-7]],-1,0) + tech_5_6*OFFSET(TblTech[[#This Row],[5-6]],-1,0) )-TblMagic[[#This Row],[Wiz str cost]]</f>
        <v>1</v>
      </c>
      <c r="E129" s="153" t="n">
        <f aca="false">OFFSET(TblMagic[[#This Row],[Time]],-1,0)+1/24</f>
        <v>45434.9583333333</v>
      </c>
      <c r="F129" s="149" t="n">
        <f aca="false">TblImps[[#This Row],[Population]]</f>
        <v>1</v>
      </c>
      <c r="G129" s="248"/>
      <c r="H129" s="248"/>
      <c r="I129" s="248"/>
      <c r="J129" s="248"/>
      <c r="K129" s="312"/>
      <c r="L129" s="248"/>
      <c r="M129" s="248"/>
      <c r="N129" s="248"/>
      <c r="O129" s="248"/>
      <c r="P129" s="248"/>
      <c r="Q129" s="248"/>
      <c r="R129" s="248"/>
      <c r="S129" s="248"/>
      <c r="T129" s="248"/>
      <c r="U129" s="248"/>
      <c r="V129" s="248"/>
      <c r="W129" s="132"/>
      <c r="X12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49" t="n">
        <f aca="false">SUMIF(TblMagic[[#This Row],[Gaia''s Watch]:[Useless spell]],1)*0.05</f>
        <v>0</v>
      </c>
      <c r="Z129" s="132"/>
      <c r="AA129" s="26" t="n">
        <f aca="false">IF(TblMagic[[#This Row],[Gaia''s Watch]],12,IF(OFFSET(TblMagic[[#This Row],[Active Gaia''s Watch]],-1,0)&gt;0,OFFSET(TblMagic[[#This Row],[Active Gaia''s Watch]],-1,0)-1,0))</f>
        <v>0</v>
      </c>
      <c r="AB129" s="26" t="n">
        <f aca="false">IF(TblMagic[[#This Row],[Mining Strength]],12,IF(OFFSET(TblMagic[[#This Row],[Active Mining Strength]],-1,0)&gt;0,OFFSET(TblMagic[[#This Row],[Active Mining Strength]],-1,0)-1,0))</f>
        <v>0</v>
      </c>
      <c r="AC129" s="26" t="n">
        <f aca="false">IF(TblMagic[[#This Row],[Ares Call]],12,IF(OFFSET(TblMagic[[#This Row],[Active Ares Call]],-1,0)&gt;0,OFFSET(TblMagic[[#This Row],[Active Ares Call]],-1,0)-1,0))</f>
        <v>0</v>
      </c>
      <c r="AD129" s="26" t="n">
        <f aca="false">IF(TblMagic[[#This Row],[Midas Touch]],12,IF(OFFSET(TblMagic[[#This Row],[Active Midas Touch]],-1,0)&gt;0,OFFSET(TblMagic[[#This Row],[Active Midas Touch]],-1,0)-1,0))</f>
        <v>0</v>
      </c>
      <c r="AE129" s="26" t="n">
        <f aca="false">IF(TblMagic[[#This Row],[Harmony]],12,IF(OFFSET(TblMagic[[#This Row],[Active Harmony]],-1,0)&gt;0,OFFSET(TblMagic[[#This Row],[Active Harmony]],-1,0)-1,0))</f>
        <v>0</v>
      </c>
      <c r="AF129" s="26" t="n">
        <f aca="false">IF(TblMagic[[#This Row],[Miner''s Sight]],12,IF(OFFSET(TblMagic[[#This Row],[Active Miner''s Sight]],-1,0)&gt;0,OFFSET(TblMagic[[#This Row],[Active Miner''s Sight]],-1,0)-1,0))</f>
        <v>0</v>
      </c>
      <c r="AG129" s="26" t="n">
        <f aca="false">IF(TblMagic[[#This Row],[Mechanical Genius]],12,IF(OFFSET(TblMagic[[#This Row],[Active Mechanical Genius]],-1,0)&gt;0,OFFSET(TblMagic[[#This Row],[Active Mechanical Genius]],-1,0)-1,0))</f>
        <v>0</v>
      </c>
      <c r="AH129" s="26" t="n">
        <f aca="false">IF(TblMagic[[#This Row],[Frenzy]],12,IF(OFFSET(TblMagic[[#This Row],[Active Frenzy]],-1,0)&gt;0,OFFSET(TblMagic[[#This Row],[Active Frenzy]],-1,0)-1,0))</f>
        <v>0</v>
      </c>
      <c r="AI129" s="26" t="n">
        <f aca="false">IF(TblMagic[[#This Row],[Killing Rage / Bloodrage / Crusade]],12,IF(OFFSET(TblMagic[[#This Row],[Active Warsong / Killing Rage / Bloodrage]],-1,0)&gt;0,OFFSET(TblMagic[[#This Row],[Active Warsong / Killing Rage / Bloodrage]],-1,0)-1,0))</f>
        <v>0</v>
      </c>
      <c r="AJ129" s="26" t="n">
        <f aca="false">IF(TblMagic[[#This Row],[Gaia''s Blessing]],12,IF(OFFSET(TblMagic[[#This Row],[Active Gaia''s Blessing]],-1,0)&gt;0,OFFSET(TblMagic[[#This Row],[Active Gaia''s Blessing]],-1,0)-1,0))</f>
        <v>0</v>
      </c>
      <c r="AK129" s="26" t="n">
        <f aca="false">IF(TblMagic[[#This Row],[Howling]],12,IF(OFFSET(TblMagic[[#This Row],[Active Howling]],-1,0)&gt;0,OFFSET(TblMagic[[#This Row],[Active Howling]],-1,0)-1,0))</f>
        <v>0</v>
      </c>
      <c r="AL129" s="26" t="n">
        <f aca="false">IF(TblMagic[[#This Row],[Alchemist Frost]],12,IF(OFFSET(TblMagic[[#This Row],[Active Alch Frost]],-1,0)&gt;0,OFFSET(TblMagic[[#This Row],[Active Alch Frost]],-1,0)-1,0))</f>
        <v>0</v>
      </c>
      <c r="AM129" s="26" t="n">
        <f aca="false">IF(TblMagic[[#This Row],[Alchemists Flame]],12,IF(OFFSET(TblMagic[[#This Row],[Active Alchemists Flame]],-1,0)&gt;0,OFFSET(TblMagic[[#This Row],[Active Alchemists Flame]],-1,0)-1,0))</f>
        <v>0</v>
      </c>
      <c r="AN129" s="26" t="n">
        <f aca="false">IF(TblMagic[[#This Row],[Nightfall]],12,IF(OFFSET(TblMagic[[#This Row],[Active Nightfall]],-1,0)&gt;0,OFFSET(TblMagic[[#This Row],[Active Nightfall]],-1,0)-1,0))</f>
        <v>0</v>
      </c>
      <c r="AO129" s="26" t="n">
        <f aca="false">IF(TblMagic[[#This Row],[Favorable Terrain]],12,IF(OFFSET(TblMagic[[#This Row],[Active Favorable Terrain]],-1,0)&gt;0,OFFSET(TblMagic[[#This Row],[Active Favorable Terrain]],-1,0)-1,0))</f>
        <v>0</v>
      </c>
    </row>
    <row r="130" customFormat="false" ht="12.75" hidden="false" customHeight="false" outlineLevel="0" collapsed="false">
      <c r="A130" s="128" t="n">
        <f aca="false">TblRezone[[#This Row],[Hour]]</f>
        <v>127</v>
      </c>
      <c r="B130" s="146" t="n">
        <f aca="false">TblConstr[[#This Row],[Land]]</f>
        <v>700</v>
      </c>
      <c r="C130" s="69" t="n">
        <f aca="false">TblProd[[#This Row],[Mana]]</f>
        <v>17988.5</v>
      </c>
      <c r="D130" s="149" t="n">
        <f aca="false">MIN(1,OFFSET(TblMagic[[#This Row],[Wiz str]],-1,0)+0.04+ROUNDDOWN(10*OFFSET(TblMili[[#This Row],[WG''s]],-1,0),0)+ tech_2_7*OFFSET(TblTech[[#This Row],[2-7]],-1,0) + tech_5_6*OFFSET(TblTech[[#This Row],[5-6]],-1,0) )-TblMagic[[#This Row],[Wiz str cost]]</f>
        <v>1</v>
      </c>
      <c r="E130" s="153" t="n">
        <f aca="false">OFFSET(TblMagic[[#This Row],[Time]],-1,0)+1/24</f>
        <v>45435</v>
      </c>
      <c r="F130" s="149" t="n">
        <f aca="false">TblImps[[#This Row],[Population]]</f>
        <v>1</v>
      </c>
      <c r="G130" s="248"/>
      <c r="H130" s="248"/>
      <c r="I130" s="248"/>
      <c r="J130" s="248"/>
      <c r="K130" s="312"/>
      <c r="L130" s="248"/>
      <c r="M130" s="248"/>
      <c r="N130" s="248"/>
      <c r="O130" s="248"/>
      <c r="P130" s="248"/>
      <c r="Q130" s="248"/>
      <c r="R130" s="248"/>
      <c r="S130" s="248"/>
      <c r="T130" s="248"/>
      <c r="U130" s="248"/>
      <c r="V130" s="248"/>
      <c r="W130" s="132"/>
      <c r="X13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49" t="n">
        <f aca="false">SUMIF(TblMagic[[#This Row],[Gaia''s Watch]:[Useless spell]],1)*0.05</f>
        <v>0</v>
      </c>
      <c r="Z130" s="132"/>
      <c r="AA130" s="26" t="n">
        <f aca="false">IF(TblMagic[[#This Row],[Gaia''s Watch]],12,IF(OFFSET(TblMagic[[#This Row],[Active Gaia''s Watch]],-1,0)&gt;0,OFFSET(TblMagic[[#This Row],[Active Gaia''s Watch]],-1,0)-1,0))</f>
        <v>0</v>
      </c>
      <c r="AB130" s="26" t="n">
        <f aca="false">IF(TblMagic[[#This Row],[Mining Strength]],12,IF(OFFSET(TblMagic[[#This Row],[Active Mining Strength]],-1,0)&gt;0,OFFSET(TblMagic[[#This Row],[Active Mining Strength]],-1,0)-1,0))</f>
        <v>0</v>
      </c>
      <c r="AC130" s="26" t="n">
        <f aca="false">IF(TblMagic[[#This Row],[Ares Call]],12,IF(OFFSET(TblMagic[[#This Row],[Active Ares Call]],-1,0)&gt;0,OFFSET(TblMagic[[#This Row],[Active Ares Call]],-1,0)-1,0))</f>
        <v>0</v>
      </c>
      <c r="AD130" s="26" t="n">
        <f aca="false">IF(TblMagic[[#This Row],[Midas Touch]],12,IF(OFFSET(TblMagic[[#This Row],[Active Midas Touch]],-1,0)&gt;0,OFFSET(TblMagic[[#This Row],[Active Midas Touch]],-1,0)-1,0))</f>
        <v>0</v>
      </c>
      <c r="AE130" s="26" t="n">
        <f aca="false">IF(TblMagic[[#This Row],[Harmony]],12,IF(OFFSET(TblMagic[[#This Row],[Active Harmony]],-1,0)&gt;0,OFFSET(TblMagic[[#This Row],[Active Harmony]],-1,0)-1,0))</f>
        <v>0</v>
      </c>
      <c r="AF130" s="26" t="n">
        <f aca="false">IF(TblMagic[[#This Row],[Miner''s Sight]],12,IF(OFFSET(TblMagic[[#This Row],[Active Miner''s Sight]],-1,0)&gt;0,OFFSET(TblMagic[[#This Row],[Active Miner''s Sight]],-1,0)-1,0))</f>
        <v>0</v>
      </c>
      <c r="AG130" s="26" t="n">
        <f aca="false">IF(TblMagic[[#This Row],[Mechanical Genius]],12,IF(OFFSET(TblMagic[[#This Row],[Active Mechanical Genius]],-1,0)&gt;0,OFFSET(TblMagic[[#This Row],[Active Mechanical Genius]],-1,0)-1,0))</f>
        <v>0</v>
      </c>
      <c r="AH130" s="26" t="n">
        <f aca="false">IF(TblMagic[[#This Row],[Frenzy]],12,IF(OFFSET(TblMagic[[#This Row],[Active Frenzy]],-1,0)&gt;0,OFFSET(TblMagic[[#This Row],[Active Frenzy]],-1,0)-1,0))</f>
        <v>0</v>
      </c>
      <c r="AI130" s="26" t="n">
        <f aca="false">IF(TblMagic[[#This Row],[Killing Rage / Bloodrage / Crusade]],12,IF(OFFSET(TblMagic[[#This Row],[Active Warsong / Killing Rage / Bloodrage]],-1,0)&gt;0,OFFSET(TblMagic[[#This Row],[Active Warsong / Killing Rage / Bloodrage]],-1,0)-1,0))</f>
        <v>0</v>
      </c>
      <c r="AJ130" s="26" t="n">
        <f aca="false">IF(TblMagic[[#This Row],[Gaia''s Blessing]],12,IF(OFFSET(TblMagic[[#This Row],[Active Gaia''s Blessing]],-1,0)&gt;0,OFFSET(TblMagic[[#This Row],[Active Gaia''s Blessing]],-1,0)-1,0))</f>
        <v>0</v>
      </c>
      <c r="AK130" s="26" t="n">
        <f aca="false">IF(TblMagic[[#This Row],[Howling]],12,IF(OFFSET(TblMagic[[#This Row],[Active Howling]],-1,0)&gt;0,OFFSET(TblMagic[[#This Row],[Active Howling]],-1,0)-1,0))</f>
        <v>0</v>
      </c>
      <c r="AL130" s="26" t="n">
        <f aca="false">IF(TblMagic[[#This Row],[Alchemist Frost]],12,IF(OFFSET(TblMagic[[#This Row],[Active Alch Frost]],-1,0)&gt;0,OFFSET(TblMagic[[#This Row],[Active Alch Frost]],-1,0)-1,0))</f>
        <v>0</v>
      </c>
      <c r="AM130" s="26" t="n">
        <f aca="false">IF(TblMagic[[#This Row],[Alchemists Flame]],12,IF(OFFSET(TblMagic[[#This Row],[Active Alchemists Flame]],-1,0)&gt;0,OFFSET(TblMagic[[#This Row],[Active Alchemists Flame]],-1,0)-1,0))</f>
        <v>0</v>
      </c>
      <c r="AN130" s="26" t="n">
        <f aca="false">IF(TblMagic[[#This Row],[Nightfall]],12,IF(OFFSET(TblMagic[[#This Row],[Active Nightfall]],-1,0)&gt;0,OFFSET(TblMagic[[#This Row],[Active Nightfall]],-1,0)-1,0))</f>
        <v>0</v>
      </c>
      <c r="AO130" s="26" t="n">
        <f aca="false">IF(TblMagic[[#This Row],[Favorable Terrain]],12,IF(OFFSET(TblMagic[[#This Row],[Active Favorable Terrain]],-1,0)&gt;0,OFFSET(TblMagic[[#This Row],[Active Favorable Terrain]],-1,0)-1,0))</f>
        <v>0</v>
      </c>
    </row>
    <row r="131" customFormat="false" ht="12.75" hidden="false" customHeight="false" outlineLevel="0" collapsed="false">
      <c r="A131" s="128" t="n">
        <f aca="false">TblRezone[[#This Row],[Hour]]</f>
        <v>128</v>
      </c>
      <c r="B131" s="146" t="n">
        <f aca="false">TblConstr[[#This Row],[Land]]</f>
        <v>700</v>
      </c>
      <c r="C131" s="69" t="n">
        <f aca="false">TblProd[[#This Row],[Mana]]</f>
        <v>18353.5</v>
      </c>
      <c r="D131" s="149" t="n">
        <f aca="false">MIN(1,OFFSET(TblMagic[[#This Row],[Wiz str]],-1,0)+0.04+ROUNDDOWN(10*OFFSET(TblMili[[#This Row],[WG''s]],-1,0),0)+ tech_2_7*OFFSET(TblTech[[#This Row],[2-7]],-1,0) + tech_5_6*OFFSET(TblTech[[#This Row],[5-6]],-1,0) )-TblMagic[[#This Row],[Wiz str cost]]</f>
        <v>1</v>
      </c>
      <c r="E131" s="153" t="n">
        <f aca="false">OFFSET(TblMagic[[#This Row],[Time]],-1,0)+1/24</f>
        <v>45435.0416666667</v>
      </c>
      <c r="F131" s="149" t="n">
        <f aca="false">TblImps[[#This Row],[Population]]</f>
        <v>1</v>
      </c>
      <c r="G131" s="248"/>
      <c r="H131" s="248"/>
      <c r="I131" s="248"/>
      <c r="J131" s="248"/>
      <c r="K131" s="312"/>
      <c r="L131" s="248"/>
      <c r="M131" s="248"/>
      <c r="N131" s="248"/>
      <c r="O131" s="248"/>
      <c r="P131" s="248"/>
      <c r="Q131" s="248"/>
      <c r="R131" s="248"/>
      <c r="S131" s="248"/>
      <c r="T131" s="248"/>
      <c r="U131" s="248"/>
      <c r="V131" s="248"/>
      <c r="W131" s="132"/>
      <c r="X13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49" t="n">
        <f aca="false">SUMIF(TblMagic[[#This Row],[Gaia''s Watch]:[Useless spell]],1)*0.05</f>
        <v>0</v>
      </c>
      <c r="Z131" s="132"/>
      <c r="AA131" s="26" t="n">
        <f aca="false">IF(TblMagic[[#This Row],[Gaia''s Watch]],12,IF(OFFSET(TblMagic[[#This Row],[Active Gaia''s Watch]],-1,0)&gt;0,OFFSET(TblMagic[[#This Row],[Active Gaia''s Watch]],-1,0)-1,0))</f>
        <v>0</v>
      </c>
      <c r="AB131" s="26" t="n">
        <f aca="false">IF(TblMagic[[#This Row],[Mining Strength]],12,IF(OFFSET(TblMagic[[#This Row],[Active Mining Strength]],-1,0)&gt;0,OFFSET(TblMagic[[#This Row],[Active Mining Strength]],-1,0)-1,0))</f>
        <v>0</v>
      </c>
      <c r="AC131" s="26" t="n">
        <f aca="false">IF(TblMagic[[#This Row],[Ares Call]],12,IF(OFFSET(TblMagic[[#This Row],[Active Ares Call]],-1,0)&gt;0,OFFSET(TblMagic[[#This Row],[Active Ares Call]],-1,0)-1,0))</f>
        <v>0</v>
      </c>
      <c r="AD131" s="26" t="n">
        <f aca="false">IF(TblMagic[[#This Row],[Midas Touch]],12,IF(OFFSET(TblMagic[[#This Row],[Active Midas Touch]],-1,0)&gt;0,OFFSET(TblMagic[[#This Row],[Active Midas Touch]],-1,0)-1,0))</f>
        <v>0</v>
      </c>
      <c r="AE131" s="26" t="n">
        <f aca="false">IF(TblMagic[[#This Row],[Harmony]],12,IF(OFFSET(TblMagic[[#This Row],[Active Harmony]],-1,0)&gt;0,OFFSET(TblMagic[[#This Row],[Active Harmony]],-1,0)-1,0))</f>
        <v>0</v>
      </c>
      <c r="AF131" s="26" t="n">
        <f aca="false">IF(TblMagic[[#This Row],[Miner''s Sight]],12,IF(OFFSET(TblMagic[[#This Row],[Active Miner''s Sight]],-1,0)&gt;0,OFFSET(TblMagic[[#This Row],[Active Miner''s Sight]],-1,0)-1,0))</f>
        <v>0</v>
      </c>
      <c r="AG131" s="26" t="n">
        <f aca="false">IF(TblMagic[[#This Row],[Mechanical Genius]],12,IF(OFFSET(TblMagic[[#This Row],[Active Mechanical Genius]],-1,0)&gt;0,OFFSET(TblMagic[[#This Row],[Active Mechanical Genius]],-1,0)-1,0))</f>
        <v>0</v>
      </c>
      <c r="AH131" s="26" t="n">
        <f aca="false">IF(TblMagic[[#This Row],[Frenzy]],12,IF(OFFSET(TblMagic[[#This Row],[Active Frenzy]],-1,0)&gt;0,OFFSET(TblMagic[[#This Row],[Active Frenzy]],-1,0)-1,0))</f>
        <v>0</v>
      </c>
      <c r="AI131" s="26" t="n">
        <f aca="false">IF(TblMagic[[#This Row],[Killing Rage / Bloodrage / Crusade]],12,IF(OFFSET(TblMagic[[#This Row],[Active Warsong / Killing Rage / Bloodrage]],-1,0)&gt;0,OFFSET(TblMagic[[#This Row],[Active Warsong / Killing Rage / Bloodrage]],-1,0)-1,0))</f>
        <v>0</v>
      </c>
      <c r="AJ131" s="26" t="n">
        <f aca="false">IF(TblMagic[[#This Row],[Gaia''s Blessing]],12,IF(OFFSET(TblMagic[[#This Row],[Active Gaia''s Blessing]],-1,0)&gt;0,OFFSET(TblMagic[[#This Row],[Active Gaia''s Blessing]],-1,0)-1,0))</f>
        <v>0</v>
      </c>
      <c r="AK131" s="26" t="n">
        <f aca="false">IF(TblMagic[[#This Row],[Howling]],12,IF(OFFSET(TblMagic[[#This Row],[Active Howling]],-1,0)&gt;0,OFFSET(TblMagic[[#This Row],[Active Howling]],-1,0)-1,0))</f>
        <v>0</v>
      </c>
      <c r="AL131" s="26" t="n">
        <f aca="false">IF(TblMagic[[#This Row],[Alchemist Frost]],12,IF(OFFSET(TblMagic[[#This Row],[Active Alch Frost]],-1,0)&gt;0,OFFSET(TblMagic[[#This Row],[Active Alch Frost]],-1,0)-1,0))</f>
        <v>0</v>
      </c>
      <c r="AM131" s="26" t="n">
        <f aca="false">IF(TblMagic[[#This Row],[Alchemists Flame]],12,IF(OFFSET(TblMagic[[#This Row],[Active Alchemists Flame]],-1,0)&gt;0,OFFSET(TblMagic[[#This Row],[Active Alchemists Flame]],-1,0)-1,0))</f>
        <v>0</v>
      </c>
      <c r="AN131" s="26" t="n">
        <f aca="false">IF(TblMagic[[#This Row],[Nightfall]],12,IF(OFFSET(TblMagic[[#This Row],[Active Nightfall]],-1,0)&gt;0,OFFSET(TblMagic[[#This Row],[Active Nightfall]],-1,0)-1,0))</f>
        <v>0</v>
      </c>
      <c r="AO131" s="26" t="n">
        <f aca="false">IF(TblMagic[[#This Row],[Favorable Terrain]],12,IF(OFFSET(TblMagic[[#This Row],[Active Favorable Terrain]],-1,0)&gt;0,OFFSET(TblMagic[[#This Row],[Active Favorable Terrain]],-1,0)-1,0))</f>
        <v>0</v>
      </c>
    </row>
    <row r="132" customFormat="false" ht="12.75" hidden="false" customHeight="false" outlineLevel="0" collapsed="false">
      <c r="A132" s="128" t="n">
        <f aca="false">TblRezone[[#This Row],[Hour]]</f>
        <v>129</v>
      </c>
      <c r="B132" s="146" t="n">
        <f aca="false">TblConstr[[#This Row],[Land]]</f>
        <v>700</v>
      </c>
      <c r="C132" s="69" t="n">
        <f aca="false">TblProd[[#This Row],[Mana]]</f>
        <v>18711.5</v>
      </c>
      <c r="D132" s="149" t="n">
        <f aca="false">MIN(1,OFFSET(TblMagic[[#This Row],[Wiz str]],-1,0)+0.04+ROUNDDOWN(10*OFFSET(TblMili[[#This Row],[WG''s]],-1,0),0)+ tech_2_7*OFFSET(TblTech[[#This Row],[2-7]],-1,0) + tech_5_6*OFFSET(TblTech[[#This Row],[5-6]],-1,0) )-TblMagic[[#This Row],[Wiz str cost]]</f>
        <v>1</v>
      </c>
      <c r="E132" s="153" t="n">
        <f aca="false">OFFSET(TblMagic[[#This Row],[Time]],-1,0)+1/24</f>
        <v>45435.0833333333</v>
      </c>
      <c r="F132" s="149" t="n">
        <f aca="false">TblImps[[#This Row],[Population]]</f>
        <v>1</v>
      </c>
      <c r="G132" s="248"/>
      <c r="H132" s="248"/>
      <c r="I132" s="248"/>
      <c r="J132" s="248"/>
      <c r="K132" s="312"/>
      <c r="L132" s="248"/>
      <c r="M132" s="248"/>
      <c r="N132" s="248"/>
      <c r="O132" s="248"/>
      <c r="P132" s="248"/>
      <c r="Q132" s="248"/>
      <c r="R132" s="248"/>
      <c r="S132" s="248"/>
      <c r="T132" s="248"/>
      <c r="U132" s="248"/>
      <c r="V132" s="248"/>
      <c r="W132" s="132"/>
      <c r="X13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49" t="n">
        <f aca="false">SUMIF(TblMagic[[#This Row],[Gaia''s Watch]:[Useless spell]],1)*0.05</f>
        <v>0</v>
      </c>
      <c r="Z132" s="132"/>
      <c r="AA132" s="26" t="n">
        <f aca="false">IF(TblMagic[[#This Row],[Gaia''s Watch]],12,IF(OFFSET(TblMagic[[#This Row],[Active Gaia''s Watch]],-1,0)&gt;0,OFFSET(TblMagic[[#This Row],[Active Gaia''s Watch]],-1,0)-1,0))</f>
        <v>0</v>
      </c>
      <c r="AB132" s="26" t="n">
        <f aca="false">IF(TblMagic[[#This Row],[Mining Strength]],12,IF(OFFSET(TblMagic[[#This Row],[Active Mining Strength]],-1,0)&gt;0,OFFSET(TblMagic[[#This Row],[Active Mining Strength]],-1,0)-1,0))</f>
        <v>0</v>
      </c>
      <c r="AC132" s="26" t="n">
        <f aca="false">IF(TblMagic[[#This Row],[Ares Call]],12,IF(OFFSET(TblMagic[[#This Row],[Active Ares Call]],-1,0)&gt;0,OFFSET(TblMagic[[#This Row],[Active Ares Call]],-1,0)-1,0))</f>
        <v>0</v>
      </c>
      <c r="AD132" s="26" t="n">
        <f aca="false">IF(TblMagic[[#This Row],[Midas Touch]],12,IF(OFFSET(TblMagic[[#This Row],[Active Midas Touch]],-1,0)&gt;0,OFFSET(TblMagic[[#This Row],[Active Midas Touch]],-1,0)-1,0))</f>
        <v>0</v>
      </c>
      <c r="AE132" s="26" t="n">
        <f aca="false">IF(TblMagic[[#This Row],[Harmony]],12,IF(OFFSET(TblMagic[[#This Row],[Active Harmony]],-1,0)&gt;0,OFFSET(TblMagic[[#This Row],[Active Harmony]],-1,0)-1,0))</f>
        <v>0</v>
      </c>
      <c r="AF132" s="26" t="n">
        <f aca="false">IF(TblMagic[[#This Row],[Miner''s Sight]],12,IF(OFFSET(TblMagic[[#This Row],[Active Miner''s Sight]],-1,0)&gt;0,OFFSET(TblMagic[[#This Row],[Active Miner''s Sight]],-1,0)-1,0))</f>
        <v>0</v>
      </c>
      <c r="AG132" s="26" t="n">
        <f aca="false">IF(TblMagic[[#This Row],[Mechanical Genius]],12,IF(OFFSET(TblMagic[[#This Row],[Active Mechanical Genius]],-1,0)&gt;0,OFFSET(TblMagic[[#This Row],[Active Mechanical Genius]],-1,0)-1,0))</f>
        <v>0</v>
      </c>
      <c r="AH132" s="26" t="n">
        <f aca="false">IF(TblMagic[[#This Row],[Frenzy]],12,IF(OFFSET(TblMagic[[#This Row],[Active Frenzy]],-1,0)&gt;0,OFFSET(TblMagic[[#This Row],[Active Frenzy]],-1,0)-1,0))</f>
        <v>0</v>
      </c>
      <c r="AI132" s="26" t="n">
        <f aca="false">IF(TblMagic[[#This Row],[Killing Rage / Bloodrage / Crusade]],12,IF(OFFSET(TblMagic[[#This Row],[Active Warsong / Killing Rage / Bloodrage]],-1,0)&gt;0,OFFSET(TblMagic[[#This Row],[Active Warsong / Killing Rage / Bloodrage]],-1,0)-1,0))</f>
        <v>0</v>
      </c>
      <c r="AJ132" s="26" t="n">
        <f aca="false">IF(TblMagic[[#This Row],[Gaia''s Blessing]],12,IF(OFFSET(TblMagic[[#This Row],[Active Gaia''s Blessing]],-1,0)&gt;0,OFFSET(TblMagic[[#This Row],[Active Gaia''s Blessing]],-1,0)-1,0))</f>
        <v>0</v>
      </c>
      <c r="AK132" s="26" t="n">
        <f aca="false">IF(TblMagic[[#This Row],[Howling]],12,IF(OFFSET(TblMagic[[#This Row],[Active Howling]],-1,0)&gt;0,OFFSET(TblMagic[[#This Row],[Active Howling]],-1,0)-1,0))</f>
        <v>0</v>
      </c>
      <c r="AL132" s="26" t="n">
        <f aca="false">IF(TblMagic[[#This Row],[Alchemist Frost]],12,IF(OFFSET(TblMagic[[#This Row],[Active Alch Frost]],-1,0)&gt;0,OFFSET(TblMagic[[#This Row],[Active Alch Frost]],-1,0)-1,0))</f>
        <v>0</v>
      </c>
      <c r="AM132" s="26" t="n">
        <f aca="false">IF(TblMagic[[#This Row],[Alchemists Flame]],12,IF(OFFSET(TblMagic[[#This Row],[Active Alchemists Flame]],-1,0)&gt;0,OFFSET(TblMagic[[#This Row],[Active Alchemists Flame]],-1,0)-1,0))</f>
        <v>0</v>
      </c>
      <c r="AN132" s="26" t="n">
        <f aca="false">IF(TblMagic[[#This Row],[Nightfall]],12,IF(OFFSET(TblMagic[[#This Row],[Active Nightfall]],-1,0)&gt;0,OFFSET(TblMagic[[#This Row],[Active Nightfall]],-1,0)-1,0))</f>
        <v>0</v>
      </c>
      <c r="AO132" s="26" t="n">
        <f aca="false">IF(TblMagic[[#This Row],[Favorable Terrain]],12,IF(OFFSET(TblMagic[[#This Row],[Active Favorable Terrain]],-1,0)&gt;0,OFFSET(TblMagic[[#This Row],[Active Favorable Terrain]],-1,0)-1,0))</f>
        <v>0</v>
      </c>
    </row>
    <row r="133" customFormat="false" ht="12.75" hidden="false" customHeight="false" outlineLevel="0" collapsed="false">
      <c r="A133" s="128" t="n">
        <f aca="false">TblRezone[[#This Row],[Hour]]</f>
        <v>130</v>
      </c>
      <c r="B133" s="146" t="n">
        <f aca="false">TblConstr[[#This Row],[Land]]</f>
        <v>700</v>
      </c>
      <c r="C133" s="69" t="n">
        <f aca="false">TblProd[[#This Row],[Mana]]</f>
        <v>19062.5</v>
      </c>
      <c r="D133" s="149" t="n">
        <f aca="false">MIN(1,OFFSET(TblMagic[[#This Row],[Wiz str]],-1,0)+0.04+ROUNDDOWN(10*OFFSET(TblMili[[#This Row],[WG''s]],-1,0),0)+ tech_2_7*OFFSET(TblTech[[#This Row],[2-7]],-1,0) + tech_5_6*OFFSET(TblTech[[#This Row],[5-6]],-1,0) )-TblMagic[[#This Row],[Wiz str cost]]</f>
        <v>1</v>
      </c>
      <c r="E133" s="153" t="n">
        <f aca="false">OFFSET(TblMagic[[#This Row],[Time]],-1,0)+1/24</f>
        <v>45435.125</v>
      </c>
      <c r="F133" s="149" t="n">
        <f aca="false">TblImps[[#This Row],[Population]]</f>
        <v>1</v>
      </c>
      <c r="G133" s="248"/>
      <c r="H133" s="248"/>
      <c r="I133" s="248"/>
      <c r="J133" s="248"/>
      <c r="K133" s="312"/>
      <c r="L133" s="248"/>
      <c r="M133" s="248"/>
      <c r="N133" s="248"/>
      <c r="O133" s="248"/>
      <c r="P133" s="248"/>
      <c r="Q133" s="248"/>
      <c r="R133" s="248"/>
      <c r="S133" s="248"/>
      <c r="T133" s="248"/>
      <c r="U133" s="248"/>
      <c r="V133" s="248"/>
      <c r="W133" s="132"/>
      <c r="X13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49" t="n">
        <f aca="false">SUMIF(TblMagic[[#This Row],[Gaia''s Watch]:[Useless spell]],1)*0.05</f>
        <v>0</v>
      </c>
      <c r="Z133" s="132"/>
      <c r="AA133" s="26" t="n">
        <f aca="false">IF(TblMagic[[#This Row],[Gaia''s Watch]],12,IF(OFFSET(TblMagic[[#This Row],[Active Gaia''s Watch]],-1,0)&gt;0,OFFSET(TblMagic[[#This Row],[Active Gaia''s Watch]],-1,0)-1,0))</f>
        <v>0</v>
      </c>
      <c r="AB133" s="26" t="n">
        <f aca="false">IF(TblMagic[[#This Row],[Mining Strength]],12,IF(OFFSET(TblMagic[[#This Row],[Active Mining Strength]],-1,0)&gt;0,OFFSET(TblMagic[[#This Row],[Active Mining Strength]],-1,0)-1,0))</f>
        <v>0</v>
      </c>
      <c r="AC133" s="26" t="n">
        <f aca="false">IF(TblMagic[[#This Row],[Ares Call]],12,IF(OFFSET(TblMagic[[#This Row],[Active Ares Call]],-1,0)&gt;0,OFFSET(TblMagic[[#This Row],[Active Ares Call]],-1,0)-1,0))</f>
        <v>0</v>
      </c>
      <c r="AD133" s="26" t="n">
        <f aca="false">IF(TblMagic[[#This Row],[Midas Touch]],12,IF(OFFSET(TblMagic[[#This Row],[Active Midas Touch]],-1,0)&gt;0,OFFSET(TblMagic[[#This Row],[Active Midas Touch]],-1,0)-1,0))</f>
        <v>0</v>
      </c>
      <c r="AE133" s="26" t="n">
        <f aca="false">IF(TblMagic[[#This Row],[Harmony]],12,IF(OFFSET(TblMagic[[#This Row],[Active Harmony]],-1,0)&gt;0,OFFSET(TblMagic[[#This Row],[Active Harmony]],-1,0)-1,0))</f>
        <v>0</v>
      </c>
      <c r="AF133" s="26" t="n">
        <f aca="false">IF(TblMagic[[#This Row],[Miner''s Sight]],12,IF(OFFSET(TblMagic[[#This Row],[Active Miner''s Sight]],-1,0)&gt;0,OFFSET(TblMagic[[#This Row],[Active Miner''s Sight]],-1,0)-1,0))</f>
        <v>0</v>
      </c>
      <c r="AG133" s="26" t="n">
        <f aca="false">IF(TblMagic[[#This Row],[Mechanical Genius]],12,IF(OFFSET(TblMagic[[#This Row],[Active Mechanical Genius]],-1,0)&gt;0,OFFSET(TblMagic[[#This Row],[Active Mechanical Genius]],-1,0)-1,0))</f>
        <v>0</v>
      </c>
      <c r="AH133" s="26" t="n">
        <f aca="false">IF(TblMagic[[#This Row],[Frenzy]],12,IF(OFFSET(TblMagic[[#This Row],[Active Frenzy]],-1,0)&gt;0,OFFSET(TblMagic[[#This Row],[Active Frenzy]],-1,0)-1,0))</f>
        <v>0</v>
      </c>
      <c r="AI133" s="26" t="n">
        <f aca="false">IF(TblMagic[[#This Row],[Killing Rage / Bloodrage / Crusade]],12,IF(OFFSET(TblMagic[[#This Row],[Active Warsong / Killing Rage / Bloodrage]],-1,0)&gt;0,OFFSET(TblMagic[[#This Row],[Active Warsong / Killing Rage / Bloodrage]],-1,0)-1,0))</f>
        <v>0</v>
      </c>
      <c r="AJ133" s="26" t="n">
        <f aca="false">IF(TblMagic[[#This Row],[Gaia''s Blessing]],12,IF(OFFSET(TblMagic[[#This Row],[Active Gaia''s Blessing]],-1,0)&gt;0,OFFSET(TblMagic[[#This Row],[Active Gaia''s Blessing]],-1,0)-1,0))</f>
        <v>0</v>
      </c>
      <c r="AK133" s="26" t="n">
        <f aca="false">IF(TblMagic[[#This Row],[Howling]],12,IF(OFFSET(TblMagic[[#This Row],[Active Howling]],-1,0)&gt;0,OFFSET(TblMagic[[#This Row],[Active Howling]],-1,0)-1,0))</f>
        <v>0</v>
      </c>
      <c r="AL133" s="26" t="n">
        <f aca="false">IF(TblMagic[[#This Row],[Alchemist Frost]],12,IF(OFFSET(TblMagic[[#This Row],[Active Alch Frost]],-1,0)&gt;0,OFFSET(TblMagic[[#This Row],[Active Alch Frost]],-1,0)-1,0))</f>
        <v>0</v>
      </c>
      <c r="AM133" s="26" t="n">
        <f aca="false">IF(TblMagic[[#This Row],[Alchemists Flame]],12,IF(OFFSET(TblMagic[[#This Row],[Active Alchemists Flame]],-1,0)&gt;0,OFFSET(TblMagic[[#This Row],[Active Alchemists Flame]],-1,0)-1,0))</f>
        <v>0</v>
      </c>
      <c r="AN133" s="26" t="n">
        <f aca="false">IF(TblMagic[[#This Row],[Nightfall]],12,IF(OFFSET(TblMagic[[#This Row],[Active Nightfall]],-1,0)&gt;0,OFFSET(TblMagic[[#This Row],[Active Nightfall]],-1,0)-1,0))</f>
        <v>0</v>
      </c>
      <c r="AO133" s="26" t="n">
        <f aca="false">IF(TblMagic[[#This Row],[Favorable Terrain]],12,IF(OFFSET(TblMagic[[#This Row],[Active Favorable Terrain]],-1,0)&gt;0,OFFSET(TblMagic[[#This Row],[Active Favorable Terrain]],-1,0)-1,0))</f>
        <v>0</v>
      </c>
    </row>
    <row r="134" customFormat="false" ht="12.75" hidden="false" customHeight="false" outlineLevel="0" collapsed="false">
      <c r="A134" s="128" t="n">
        <f aca="false">TblRezone[[#This Row],[Hour]]</f>
        <v>131</v>
      </c>
      <c r="B134" s="146" t="n">
        <f aca="false">TblConstr[[#This Row],[Land]]</f>
        <v>700</v>
      </c>
      <c r="C134" s="69" t="n">
        <f aca="false">TblProd[[#This Row],[Mana]]</f>
        <v>19406.5</v>
      </c>
      <c r="D134" s="149" t="n">
        <f aca="false">MIN(1,OFFSET(TblMagic[[#This Row],[Wiz str]],-1,0)+0.04+ROUNDDOWN(10*OFFSET(TblMili[[#This Row],[WG''s]],-1,0),0)+ tech_2_7*OFFSET(TblTech[[#This Row],[2-7]],-1,0) + tech_5_6*OFFSET(TblTech[[#This Row],[5-6]],-1,0) )-TblMagic[[#This Row],[Wiz str cost]]</f>
        <v>1</v>
      </c>
      <c r="E134" s="153" t="n">
        <f aca="false">OFFSET(TblMagic[[#This Row],[Time]],-1,0)+1/24</f>
        <v>45435.1666666667</v>
      </c>
      <c r="F134" s="149" t="n">
        <f aca="false">TblImps[[#This Row],[Population]]</f>
        <v>1</v>
      </c>
      <c r="G134" s="248"/>
      <c r="H134" s="248"/>
      <c r="I134" s="248"/>
      <c r="J134" s="248"/>
      <c r="K134" s="312"/>
      <c r="L134" s="248"/>
      <c r="M134" s="248"/>
      <c r="N134" s="248"/>
      <c r="O134" s="248"/>
      <c r="P134" s="248"/>
      <c r="Q134" s="248"/>
      <c r="R134" s="248"/>
      <c r="S134" s="248"/>
      <c r="T134" s="248"/>
      <c r="U134" s="248"/>
      <c r="V134" s="248"/>
      <c r="W134" s="132"/>
      <c r="X13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49" t="n">
        <f aca="false">SUMIF(TblMagic[[#This Row],[Gaia''s Watch]:[Useless spell]],1)*0.05</f>
        <v>0</v>
      </c>
      <c r="Z134" s="132"/>
      <c r="AA134" s="26" t="n">
        <f aca="false">IF(TblMagic[[#This Row],[Gaia''s Watch]],12,IF(OFFSET(TblMagic[[#This Row],[Active Gaia''s Watch]],-1,0)&gt;0,OFFSET(TblMagic[[#This Row],[Active Gaia''s Watch]],-1,0)-1,0))</f>
        <v>0</v>
      </c>
      <c r="AB134" s="26" t="n">
        <f aca="false">IF(TblMagic[[#This Row],[Mining Strength]],12,IF(OFFSET(TblMagic[[#This Row],[Active Mining Strength]],-1,0)&gt;0,OFFSET(TblMagic[[#This Row],[Active Mining Strength]],-1,0)-1,0))</f>
        <v>0</v>
      </c>
      <c r="AC134" s="26" t="n">
        <f aca="false">IF(TblMagic[[#This Row],[Ares Call]],12,IF(OFFSET(TblMagic[[#This Row],[Active Ares Call]],-1,0)&gt;0,OFFSET(TblMagic[[#This Row],[Active Ares Call]],-1,0)-1,0))</f>
        <v>0</v>
      </c>
      <c r="AD134" s="26" t="n">
        <f aca="false">IF(TblMagic[[#This Row],[Midas Touch]],12,IF(OFFSET(TblMagic[[#This Row],[Active Midas Touch]],-1,0)&gt;0,OFFSET(TblMagic[[#This Row],[Active Midas Touch]],-1,0)-1,0))</f>
        <v>0</v>
      </c>
      <c r="AE134" s="26" t="n">
        <f aca="false">IF(TblMagic[[#This Row],[Harmony]],12,IF(OFFSET(TblMagic[[#This Row],[Active Harmony]],-1,0)&gt;0,OFFSET(TblMagic[[#This Row],[Active Harmony]],-1,0)-1,0))</f>
        <v>0</v>
      </c>
      <c r="AF134" s="26" t="n">
        <f aca="false">IF(TblMagic[[#This Row],[Miner''s Sight]],12,IF(OFFSET(TblMagic[[#This Row],[Active Miner''s Sight]],-1,0)&gt;0,OFFSET(TblMagic[[#This Row],[Active Miner''s Sight]],-1,0)-1,0))</f>
        <v>0</v>
      </c>
      <c r="AG134" s="26" t="n">
        <f aca="false">IF(TblMagic[[#This Row],[Mechanical Genius]],12,IF(OFFSET(TblMagic[[#This Row],[Active Mechanical Genius]],-1,0)&gt;0,OFFSET(TblMagic[[#This Row],[Active Mechanical Genius]],-1,0)-1,0))</f>
        <v>0</v>
      </c>
      <c r="AH134" s="26" t="n">
        <f aca="false">IF(TblMagic[[#This Row],[Frenzy]],12,IF(OFFSET(TblMagic[[#This Row],[Active Frenzy]],-1,0)&gt;0,OFFSET(TblMagic[[#This Row],[Active Frenzy]],-1,0)-1,0))</f>
        <v>0</v>
      </c>
      <c r="AI134" s="26" t="n">
        <f aca="false">IF(TblMagic[[#This Row],[Killing Rage / Bloodrage / Crusade]],12,IF(OFFSET(TblMagic[[#This Row],[Active Warsong / Killing Rage / Bloodrage]],-1,0)&gt;0,OFFSET(TblMagic[[#This Row],[Active Warsong / Killing Rage / Bloodrage]],-1,0)-1,0))</f>
        <v>0</v>
      </c>
      <c r="AJ134" s="26" t="n">
        <f aca="false">IF(TblMagic[[#This Row],[Gaia''s Blessing]],12,IF(OFFSET(TblMagic[[#This Row],[Active Gaia''s Blessing]],-1,0)&gt;0,OFFSET(TblMagic[[#This Row],[Active Gaia''s Blessing]],-1,0)-1,0))</f>
        <v>0</v>
      </c>
      <c r="AK134" s="26" t="n">
        <f aca="false">IF(TblMagic[[#This Row],[Howling]],12,IF(OFFSET(TblMagic[[#This Row],[Active Howling]],-1,0)&gt;0,OFFSET(TblMagic[[#This Row],[Active Howling]],-1,0)-1,0))</f>
        <v>0</v>
      </c>
      <c r="AL134" s="26" t="n">
        <f aca="false">IF(TblMagic[[#This Row],[Alchemist Frost]],12,IF(OFFSET(TblMagic[[#This Row],[Active Alch Frost]],-1,0)&gt;0,OFFSET(TblMagic[[#This Row],[Active Alch Frost]],-1,0)-1,0))</f>
        <v>0</v>
      </c>
      <c r="AM134" s="26" t="n">
        <f aca="false">IF(TblMagic[[#This Row],[Alchemists Flame]],12,IF(OFFSET(TblMagic[[#This Row],[Active Alchemists Flame]],-1,0)&gt;0,OFFSET(TblMagic[[#This Row],[Active Alchemists Flame]],-1,0)-1,0))</f>
        <v>0</v>
      </c>
      <c r="AN134" s="26" t="n">
        <f aca="false">IF(TblMagic[[#This Row],[Nightfall]],12,IF(OFFSET(TblMagic[[#This Row],[Active Nightfall]],-1,0)&gt;0,OFFSET(TblMagic[[#This Row],[Active Nightfall]],-1,0)-1,0))</f>
        <v>0</v>
      </c>
      <c r="AO134" s="26" t="n">
        <f aca="false">IF(TblMagic[[#This Row],[Favorable Terrain]],12,IF(OFFSET(TblMagic[[#This Row],[Active Favorable Terrain]],-1,0)&gt;0,OFFSET(TblMagic[[#This Row],[Active Favorable Terrain]],-1,0)-1,0))</f>
        <v>0</v>
      </c>
    </row>
    <row r="135" customFormat="false" ht="12.75" hidden="false" customHeight="false" outlineLevel="0" collapsed="false">
      <c r="A135" s="128" t="n">
        <f aca="false">TblRezone[[#This Row],[Hour]]</f>
        <v>132</v>
      </c>
      <c r="B135" s="146" t="n">
        <f aca="false">TblConstr[[#This Row],[Land]]</f>
        <v>700</v>
      </c>
      <c r="C135" s="69" t="n">
        <f aca="false">TblProd[[#This Row],[Mana]]</f>
        <v>19743.5</v>
      </c>
      <c r="D135" s="149" t="n">
        <f aca="false">MIN(1,OFFSET(TblMagic[[#This Row],[Wiz str]],-1,0)+0.04+ROUNDDOWN(10*OFFSET(TblMili[[#This Row],[WG''s]],-1,0),0)+ tech_2_7*OFFSET(TblTech[[#This Row],[2-7]],-1,0) + tech_5_6*OFFSET(TblTech[[#This Row],[5-6]],-1,0) )-TblMagic[[#This Row],[Wiz str cost]]</f>
        <v>1</v>
      </c>
      <c r="E135" s="153" t="n">
        <f aca="false">OFFSET(TblMagic[[#This Row],[Time]],-1,0)+1/24</f>
        <v>45435.2083333333</v>
      </c>
      <c r="F135" s="149" t="n">
        <f aca="false">TblImps[[#This Row],[Population]]</f>
        <v>1</v>
      </c>
      <c r="G135" s="248"/>
      <c r="H135" s="248"/>
      <c r="I135" s="248"/>
      <c r="J135" s="248"/>
      <c r="K135" s="312"/>
      <c r="L135" s="248"/>
      <c r="M135" s="248"/>
      <c r="N135" s="248"/>
      <c r="O135" s="248"/>
      <c r="P135" s="248"/>
      <c r="Q135" s="248"/>
      <c r="R135" s="248"/>
      <c r="S135" s="248"/>
      <c r="T135" s="248"/>
      <c r="U135" s="248"/>
      <c r="V135" s="248"/>
      <c r="W135" s="132"/>
      <c r="X13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49" t="n">
        <f aca="false">SUMIF(TblMagic[[#This Row],[Gaia''s Watch]:[Useless spell]],1)*0.05</f>
        <v>0</v>
      </c>
      <c r="Z135" s="132"/>
      <c r="AA135" s="26" t="n">
        <f aca="false">IF(TblMagic[[#This Row],[Gaia''s Watch]],12,IF(OFFSET(TblMagic[[#This Row],[Active Gaia''s Watch]],-1,0)&gt;0,OFFSET(TblMagic[[#This Row],[Active Gaia''s Watch]],-1,0)-1,0))</f>
        <v>0</v>
      </c>
      <c r="AB135" s="26" t="n">
        <f aca="false">IF(TblMagic[[#This Row],[Mining Strength]],12,IF(OFFSET(TblMagic[[#This Row],[Active Mining Strength]],-1,0)&gt;0,OFFSET(TblMagic[[#This Row],[Active Mining Strength]],-1,0)-1,0))</f>
        <v>0</v>
      </c>
      <c r="AC135" s="26" t="n">
        <f aca="false">IF(TblMagic[[#This Row],[Ares Call]],12,IF(OFFSET(TblMagic[[#This Row],[Active Ares Call]],-1,0)&gt;0,OFFSET(TblMagic[[#This Row],[Active Ares Call]],-1,0)-1,0))</f>
        <v>0</v>
      </c>
      <c r="AD135" s="26" t="n">
        <f aca="false">IF(TblMagic[[#This Row],[Midas Touch]],12,IF(OFFSET(TblMagic[[#This Row],[Active Midas Touch]],-1,0)&gt;0,OFFSET(TblMagic[[#This Row],[Active Midas Touch]],-1,0)-1,0))</f>
        <v>0</v>
      </c>
      <c r="AE135" s="26" t="n">
        <f aca="false">IF(TblMagic[[#This Row],[Harmony]],12,IF(OFFSET(TblMagic[[#This Row],[Active Harmony]],-1,0)&gt;0,OFFSET(TblMagic[[#This Row],[Active Harmony]],-1,0)-1,0))</f>
        <v>0</v>
      </c>
      <c r="AF135" s="26" t="n">
        <f aca="false">IF(TblMagic[[#This Row],[Miner''s Sight]],12,IF(OFFSET(TblMagic[[#This Row],[Active Miner''s Sight]],-1,0)&gt;0,OFFSET(TblMagic[[#This Row],[Active Miner''s Sight]],-1,0)-1,0))</f>
        <v>0</v>
      </c>
      <c r="AG135" s="26" t="n">
        <f aca="false">IF(TblMagic[[#This Row],[Mechanical Genius]],12,IF(OFFSET(TblMagic[[#This Row],[Active Mechanical Genius]],-1,0)&gt;0,OFFSET(TblMagic[[#This Row],[Active Mechanical Genius]],-1,0)-1,0))</f>
        <v>0</v>
      </c>
      <c r="AH135" s="26" t="n">
        <f aca="false">IF(TblMagic[[#This Row],[Frenzy]],12,IF(OFFSET(TblMagic[[#This Row],[Active Frenzy]],-1,0)&gt;0,OFFSET(TblMagic[[#This Row],[Active Frenzy]],-1,0)-1,0))</f>
        <v>0</v>
      </c>
      <c r="AI135" s="26" t="n">
        <f aca="false">IF(TblMagic[[#This Row],[Killing Rage / Bloodrage / Crusade]],12,IF(OFFSET(TblMagic[[#This Row],[Active Warsong / Killing Rage / Bloodrage]],-1,0)&gt;0,OFFSET(TblMagic[[#This Row],[Active Warsong / Killing Rage / Bloodrage]],-1,0)-1,0))</f>
        <v>0</v>
      </c>
      <c r="AJ135" s="26" t="n">
        <f aca="false">IF(TblMagic[[#This Row],[Gaia''s Blessing]],12,IF(OFFSET(TblMagic[[#This Row],[Active Gaia''s Blessing]],-1,0)&gt;0,OFFSET(TblMagic[[#This Row],[Active Gaia''s Blessing]],-1,0)-1,0))</f>
        <v>0</v>
      </c>
      <c r="AK135" s="26" t="n">
        <f aca="false">IF(TblMagic[[#This Row],[Howling]],12,IF(OFFSET(TblMagic[[#This Row],[Active Howling]],-1,0)&gt;0,OFFSET(TblMagic[[#This Row],[Active Howling]],-1,0)-1,0))</f>
        <v>0</v>
      </c>
      <c r="AL135" s="26" t="n">
        <f aca="false">IF(TblMagic[[#This Row],[Alchemist Frost]],12,IF(OFFSET(TblMagic[[#This Row],[Active Alch Frost]],-1,0)&gt;0,OFFSET(TblMagic[[#This Row],[Active Alch Frost]],-1,0)-1,0))</f>
        <v>0</v>
      </c>
      <c r="AM135" s="26" t="n">
        <f aca="false">IF(TblMagic[[#This Row],[Alchemists Flame]],12,IF(OFFSET(TblMagic[[#This Row],[Active Alchemists Flame]],-1,0)&gt;0,OFFSET(TblMagic[[#This Row],[Active Alchemists Flame]],-1,0)-1,0))</f>
        <v>0</v>
      </c>
      <c r="AN135" s="26" t="n">
        <f aca="false">IF(TblMagic[[#This Row],[Nightfall]],12,IF(OFFSET(TblMagic[[#This Row],[Active Nightfall]],-1,0)&gt;0,OFFSET(TblMagic[[#This Row],[Active Nightfall]],-1,0)-1,0))</f>
        <v>0</v>
      </c>
      <c r="AO135" s="26" t="n">
        <f aca="false">IF(TblMagic[[#This Row],[Favorable Terrain]],12,IF(OFFSET(TblMagic[[#This Row],[Active Favorable Terrain]],-1,0)&gt;0,OFFSET(TblMagic[[#This Row],[Active Favorable Terrain]],-1,0)-1,0))</f>
        <v>0</v>
      </c>
    </row>
    <row r="136" customFormat="false" ht="12.75" hidden="false" customHeight="false" outlineLevel="0" collapsed="false">
      <c r="A136" s="128" t="n">
        <f aca="false">TblRezone[[#This Row],[Hour]]</f>
        <v>133</v>
      </c>
      <c r="B136" s="146" t="n">
        <f aca="false">TblConstr[[#This Row],[Land]]</f>
        <v>700</v>
      </c>
      <c r="C136" s="69" t="n">
        <f aca="false">TblProd[[#This Row],[Mana]]</f>
        <v>20073.5</v>
      </c>
      <c r="D136" s="149" t="n">
        <f aca="false">MIN(1,OFFSET(TblMagic[[#This Row],[Wiz str]],-1,0)+0.04+ROUNDDOWN(10*OFFSET(TblMili[[#This Row],[WG''s]],-1,0),0)+ tech_2_7*OFFSET(TblTech[[#This Row],[2-7]],-1,0) + tech_5_6*OFFSET(TblTech[[#This Row],[5-6]],-1,0) )-TblMagic[[#This Row],[Wiz str cost]]</f>
        <v>1</v>
      </c>
      <c r="E136" s="153" t="n">
        <f aca="false">OFFSET(TblMagic[[#This Row],[Time]],-1,0)+1/24</f>
        <v>45435.25</v>
      </c>
      <c r="F136" s="149" t="n">
        <f aca="false">TblImps[[#This Row],[Population]]</f>
        <v>1</v>
      </c>
      <c r="G136" s="248"/>
      <c r="H136" s="248"/>
      <c r="I136" s="248"/>
      <c r="J136" s="248"/>
      <c r="K136" s="312"/>
      <c r="L136" s="248"/>
      <c r="M136" s="248"/>
      <c r="N136" s="248"/>
      <c r="O136" s="248"/>
      <c r="P136" s="248"/>
      <c r="Q136" s="248"/>
      <c r="R136" s="248"/>
      <c r="S136" s="248"/>
      <c r="T136" s="248"/>
      <c r="U136" s="248"/>
      <c r="V136" s="248"/>
      <c r="W136" s="132"/>
      <c r="X13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49" t="n">
        <f aca="false">SUMIF(TblMagic[[#This Row],[Gaia''s Watch]:[Useless spell]],1)*0.05</f>
        <v>0</v>
      </c>
      <c r="Z136" s="132"/>
      <c r="AA136" s="26" t="n">
        <f aca="false">IF(TblMagic[[#This Row],[Gaia''s Watch]],12,IF(OFFSET(TblMagic[[#This Row],[Active Gaia''s Watch]],-1,0)&gt;0,OFFSET(TblMagic[[#This Row],[Active Gaia''s Watch]],-1,0)-1,0))</f>
        <v>0</v>
      </c>
      <c r="AB136" s="26" t="n">
        <f aca="false">IF(TblMagic[[#This Row],[Mining Strength]],12,IF(OFFSET(TblMagic[[#This Row],[Active Mining Strength]],-1,0)&gt;0,OFFSET(TblMagic[[#This Row],[Active Mining Strength]],-1,0)-1,0))</f>
        <v>0</v>
      </c>
      <c r="AC136" s="26" t="n">
        <f aca="false">IF(TblMagic[[#This Row],[Ares Call]],12,IF(OFFSET(TblMagic[[#This Row],[Active Ares Call]],-1,0)&gt;0,OFFSET(TblMagic[[#This Row],[Active Ares Call]],-1,0)-1,0))</f>
        <v>0</v>
      </c>
      <c r="AD136" s="26" t="n">
        <f aca="false">IF(TblMagic[[#This Row],[Midas Touch]],12,IF(OFFSET(TblMagic[[#This Row],[Active Midas Touch]],-1,0)&gt;0,OFFSET(TblMagic[[#This Row],[Active Midas Touch]],-1,0)-1,0))</f>
        <v>0</v>
      </c>
      <c r="AE136" s="26" t="n">
        <f aca="false">IF(TblMagic[[#This Row],[Harmony]],12,IF(OFFSET(TblMagic[[#This Row],[Active Harmony]],-1,0)&gt;0,OFFSET(TblMagic[[#This Row],[Active Harmony]],-1,0)-1,0))</f>
        <v>0</v>
      </c>
      <c r="AF136" s="26" t="n">
        <f aca="false">IF(TblMagic[[#This Row],[Miner''s Sight]],12,IF(OFFSET(TblMagic[[#This Row],[Active Miner''s Sight]],-1,0)&gt;0,OFFSET(TblMagic[[#This Row],[Active Miner''s Sight]],-1,0)-1,0))</f>
        <v>0</v>
      </c>
      <c r="AG136" s="26" t="n">
        <f aca="false">IF(TblMagic[[#This Row],[Mechanical Genius]],12,IF(OFFSET(TblMagic[[#This Row],[Active Mechanical Genius]],-1,0)&gt;0,OFFSET(TblMagic[[#This Row],[Active Mechanical Genius]],-1,0)-1,0))</f>
        <v>0</v>
      </c>
      <c r="AH136" s="26" t="n">
        <f aca="false">IF(TblMagic[[#This Row],[Frenzy]],12,IF(OFFSET(TblMagic[[#This Row],[Active Frenzy]],-1,0)&gt;0,OFFSET(TblMagic[[#This Row],[Active Frenzy]],-1,0)-1,0))</f>
        <v>0</v>
      </c>
      <c r="AI136" s="26" t="n">
        <f aca="false">IF(TblMagic[[#This Row],[Killing Rage / Bloodrage / Crusade]],12,IF(OFFSET(TblMagic[[#This Row],[Active Warsong / Killing Rage / Bloodrage]],-1,0)&gt;0,OFFSET(TblMagic[[#This Row],[Active Warsong / Killing Rage / Bloodrage]],-1,0)-1,0))</f>
        <v>0</v>
      </c>
      <c r="AJ136" s="26" t="n">
        <f aca="false">IF(TblMagic[[#This Row],[Gaia''s Blessing]],12,IF(OFFSET(TblMagic[[#This Row],[Active Gaia''s Blessing]],-1,0)&gt;0,OFFSET(TblMagic[[#This Row],[Active Gaia''s Blessing]],-1,0)-1,0))</f>
        <v>0</v>
      </c>
      <c r="AK136" s="26" t="n">
        <f aca="false">IF(TblMagic[[#This Row],[Howling]],12,IF(OFFSET(TblMagic[[#This Row],[Active Howling]],-1,0)&gt;0,OFFSET(TblMagic[[#This Row],[Active Howling]],-1,0)-1,0))</f>
        <v>0</v>
      </c>
      <c r="AL136" s="26" t="n">
        <f aca="false">IF(TblMagic[[#This Row],[Alchemist Frost]],12,IF(OFFSET(TblMagic[[#This Row],[Active Alch Frost]],-1,0)&gt;0,OFFSET(TblMagic[[#This Row],[Active Alch Frost]],-1,0)-1,0))</f>
        <v>0</v>
      </c>
      <c r="AM136" s="26" t="n">
        <f aca="false">IF(TblMagic[[#This Row],[Alchemists Flame]],12,IF(OFFSET(TblMagic[[#This Row],[Active Alchemists Flame]],-1,0)&gt;0,OFFSET(TblMagic[[#This Row],[Active Alchemists Flame]],-1,0)-1,0))</f>
        <v>0</v>
      </c>
      <c r="AN136" s="26" t="n">
        <f aca="false">IF(TblMagic[[#This Row],[Nightfall]],12,IF(OFFSET(TblMagic[[#This Row],[Active Nightfall]],-1,0)&gt;0,OFFSET(TblMagic[[#This Row],[Active Nightfall]],-1,0)-1,0))</f>
        <v>0</v>
      </c>
      <c r="AO136" s="26" t="n">
        <f aca="false">IF(TblMagic[[#This Row],[Favorable Terrain]],12,IF(OFFSET(TblMagic[[#This Row],[Active Favorable Terrain]],-1,0)&gt;0,OFFSET(TblMagic[[#This Row],[Active Favorable Terrain]],-1,0)-1,0))</f>
        <v>0</v>
      </c>
    </row>
    <row r="1269" customFormat="false" ht="12.75" hidden="false" customHeight="false" outlineLevel="0" collapsed="false">
      <c r="A1269" s="86"/>
      <c r="C1269" s="140" t="s">
        <v>24</v>
      </c>
      <c r="D1269" s="140"/>
    </row>
    <row r="1270" customFormat="false" ht="12.75" hidden="false" customHeight="false" outlineLevel="0" collapsed="false">
      <c r="A1270" s="86"/>
      <c r="C1270" s="141" t="n">
        <f aca="false">Overview!E17</f>
        <v>0</v>
      </c>
      <c r="D1270" s="141"/>
    </row>
  </sheetData>
  <mergeCells count="2">
    <mergeCell ref="O1:O2"/>
    <mergeCell ref="C1269:D1269"/>
  </mergeCells>
  <conditionalFormatting sqref="A4:AO136">
    <cfRule type="expression" priority="2" aboveAverage="0" equalAverage="0" bottom="0" percent="0" rank="0" text="" dxfId="95">
      <formula>ROW()-3=$C$1270</formula>
    </cfRule>
    <cfRule type="expression" priority="3" aboveAverage="0" equalAverage="0" bottom="0" percent="0" rank="0" text="" dxfId="96">
      <formula>OR(ROW()-3=$C$1270,A4&lt;0)</formula>
    </cfRule>
    <cfRule type="expression" priority="4" aboveAverage="0" equalAverage="0" bottom="0" percent="0" rank="0" text="" dxfId="97">
      <formula>$A4=73</formula>
    </cfRule>
    <cfRule type="expression" priority="5" aboveAverage="0" equalAverage="0" bottom="0" percent="0" rank="0" text="" dxfId="98">
      <formula>ROUND(($A4-1)/12,0)=INT($A4-1)/12</formula>
    </cfRule>
  </conditionalFormatting>
  <conditionalFormatting sqref="G16:V136">
    <cfRule type="expression" priority="6" aboveAverage="0" equalAverage="0" bottom="0" percent="0" rank="0" text="" dxfId="99">
      <formula>COUNTA(G5:G16)&gt;0</formula>
    </cfRule>
  </conditionalFormatting>
  <conditionalFormatting sqref="A3:XFD3 A2:N2 A1:S1 U1:XFD1 P2:XFD2">
    <cfRule type="expression" priority="7" aboveAverage="0" equalAverage="0" bottom="0" percent="0" rank="0" text="" dxfId="100">
      <formula>$C$1270&lt;0</formula>
    </cfRule>
  </conditionalFormatting>
  <conditionalFormatting sqref="Y18614:AN29782 B12459:C20616 AO18583:IW29751 AO8199:IW8199 B8250:AN8250">
    <cfRule type="expression" priority="8" aboveAverage="0" equalAverage="0" bottom="0" percent="0" rank="0" text="" dxfId="101">
      <formula>ROW(-2=#ref!</formula>
    </cfRule>
  </conditionalFormatting>
  <conditionalFormatting sqref="A1269:XFD1270">
    <cfRule type="expression" priority="9" aboveAverage="0" equalAverage="0" bottom="0" percent="0" rank="0" text="" dxfId="102">
      <formula>$C$1270&gt;144</formula>
    </cfRule>
  </conditionalFormatting>
  <dataValidations count="1">
    <dataValidation allowBlank="true" errorStyle="stop" operator="equal" showDropDown="false" showErrorMessage="true" showInputMessage="true" sqref="G4:V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extLst>
    <ext xmlns:x14="http://schemas.microsoft.com/office/spreadsheetml/2009/9/main" uri="{78C0D931-6437-407d-A8EE-F0AAD7539E65}">
      <x14:conditionalFormattings>
        <x14:conditionalFormatting xmlns:xm="http://schemas.microsoft.com/office/excel/2006/main">
          <x14:cfRule type="iconSet" priority="10" id="{83C0E785-7198-4EDD-A3E8-EED4A210D04C}">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48A54"/>
    <pageSetUpPr fitToPage="false"/>
  </sheetPr>
  <dimension ref="A1:CA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31" activePane="bottomLeft" state="frozen"/>
      <selection pane="topLeft" activeCell="A1" activeCellId="0" sqref="A1"/>
      <selection pane="bottomLeft" activeCell="F4" activeCellId="0" sqref="F4"/>
    </sheetView>
  </sheetViews>
  <sheetFormatPr defaultColWidth="30.42578125" defaultRowHeight="12.75" zeroHeight="false" outlineLevelRow="0" outlineLevelCol="0"/>
  <cols>
    <col collapsed="false" customWidth="true" hidden="false" outlineLevel="0" max="1" min="1" style="1" width="7.57"/>
    <col collapsed="false" customWidth="true" hidden="false" outlineLevel="0" max="2" min="2" style="1" width="7.71"/>
    <col collapsed="false" customWidth="true" hidden="false" outlineLevel="0" max="3" min="3" style="1" width="13.57"/>
    <col collapsed="false" customWidth="true" hidden="false" outlineLevel="0" max="4" min="4" style="1" width="12.57"/>
    <col collapsed="false" customWidth="true" hidden="false" outlineLevel="0" max="5" min="5" style="1" width="3.29"/>
    <col collapsed="false" customWidth="true" hidden="false" outlineLevel="0" max="6" min="6" style="1" width="10.57"/>
    <col collapsed="false" customWidth="true" hidden="false" outlineLevel="0" max="7" min="7" style="1" width="11.43"/>
    <col collapsed="false" customWidth="true" hidden="false" outlineLevel="0" max="8" min="8" style="1" width="21.71"/>
    <col collapsed="false" customWidth="true" hidden="false" outlineLevel="0" max="9" min="9" style="1" width="68.14"/>
    <col collapsed="false" customWidth="true" hidden="false" outlineLevel="0" max="10" min="10" style="1" width="3.57"/>
    <col collapsed="false" customWidth="true" hidden="false" outlineLevel="0" max="11" min="11" style="26" width="8.57"/>
    <col collapsed="false" customWidth="true" hidden="false" outlineLevel="0" max="12" min="12" style="1" width="9.86"/>
    <col collapsed="false" customWidth="true" hidden="false" outlineLevel="0" max="78" min="13" style="1" width="5.71"/>
    <col collapsed="false" customWidth="true" hidden="false" outlineLevel="0" max="79" min="79" style="1" width="16.29"/>
    <col collapsed="false" customWidth="false" hidden="false" outlineLevel="0" max="16384" min="80" style="1" width="30.43"/>
  </cols>
  <sheetData>
    <row r="1" customFormat="false" ht="12.75" hidden="false" customHeight="false" outlineLevel="0" collapsed="false">
      <c r="F1" s="316" t="n">
        <f aca="true">(INDIRECT("D" &amp; (INDIRECT("A4")+2)) &gt;= INDIRECT("E" &amp; (INDIRECT("A5")+2)))*1</f>
        <v>1</v>
      </c>
    </row>
    <row r="2" customFormat="false" ht="15" hidden="false" customHeight="false" outlineLevel="0" collapsed="false">
      <c r="E2" s="165" t="s">
        <v>517</v>
      </c>
      <c r="F2" s="317" t="n">
        <f aca="false">IFERROR(SMALL(TblTech[Activate @ hour],1),0)</f>
        <v>0</v>
      </c>
      <c r="G2" s="1" t="s">
        <v>518</v>
      </c>
      <c r="M2" s="318" t="n">
        <f aca="false">INDEX(TblTech[[Activate @ hour]:[Number]],MATCH(TblTech[[#Headers],[1-1]],TblTech[[Number]:[Number]],0),1)</f>
        <v>0</v>
      </c>
      <c r="N2" s="318" t="n">
        <f aca="false">INDEX(TblTech[[Activate @ hour]:[Number]],MATCH(TblTech[[#Headers],[1-2]],TblTech[[Number]:[Number]],0),1)</f>
        <v>0</v>
      </c>
      <c r="O2" s="318" t="n">
        <f aca="false">INDEX(TblTech[[Activate @ hour]:[Number]],MATCH(TblTech[[#Headers],[1-3]],TblTech[[Number]:[Number]],0),1)</f>
        <v>0</v>
      </c>
      <c r="P2" s="318" t="n">
        <f aca="false">INDEX(TblTech[[Activate @ hour]:[Number]],MATCH(TblTech[[#Headers],[1-4]],TblTech[[Number]:[Number]],0),1)</f>
        <v>0</v>
      </c>
      <c r="Q2" s="318" t="n">
        <f aca="false">INDEX(TblTech[[Activate @ hour]:[Number]],MATCH(TblTech[[#Headers],[1-5]],TblTech[[Number]:[Number]],0),1)</f>
        <v>0</v>
      </c>
      <c r="R2" s="318" t="n">
        <f aca="false">INDEX(TblTech[[Activate @ hour]:[Number]],MATCH(TblTech[[#Headers],[1-6]],TblTech[[Number]:[Number]],0),1)</f>
        <v>0</v>
      </c>
      <c r="S2" s="318" t="n">
        <f aca="false">INDEX(TblTech[[Activate @ hour]:[Number]],MATCH(TblTech[[#Headers],[1-7]],TblTech[[Number]:[Number]],0),1)</f>
        <v>0</v>
      </c>
      <c r="T2" s="318" t="n">
        <f aca="false">INDEX(TblTech[[Activate @ hour]:[Number]],MATCH(TblTech[[#Headers],[1-8]],TblTech[[Number]:[Number]],0),1)</f>
        <v>0</v>
      </c>
      <c r="U2" s="318" t="n">
        <f aca="false">INDEX(TblTech[[Activate @ hour]:[Number]],MATCH(TblTech[[#Headers],[1-9]],TblTech[[Number]:[Number]],0),1)</f>
        <v>0</v>
      </c>
      <c r="V2" s="318" t="n">
        <f aca="false">INDEX(TblTech[[Activate @ hour]:[Number]],MATCH(TblTech[[#Headers],[1-10]],TblTech[[Number]:[Number]],0),1)</f>
        <v>0</v>
      </c>
      <c r="W2" s="318" t="n">
        <f aca="false">INDEX(TblTech[[Activate @ hour]:[Number]],MATCH(TblTech[[#Headers],[1-11]],TblTech[[Number]:[Number]],0),1)</f>
        <v>0</v>
      </c>
      <c r="X2" s="318" t="n">
        <f aca="false">INDEX(TblTech[[Activate @ hour]:[Number]],MATCH(TblTech[[#Headers],[2-1]],TblTech[[Number]:[Number]],0),1)</f>
        <v>0</v>
      </c>
      <c r="Y2" s="318" t="n">
        <f aca="false">INDEX(TblTech[[Activate @ hour]:[Number]],MATCH(TblTech[[#Headers],[2-2]],TblTech[[Number]:[Number]],0),1)</f>
        <v>0</v>
      </c>
      <c r="Z2" s="318" t="n">
        <f aca="false">INDEX(TblTech[[Activate @ hour]:[Number]],MATCH(TblTech[[#Headers],[2-3]],TblTech[[Number]:[Number]],0),1)</f>
        <v>0</v>
      </c>
      <c r="AA2" s="318" t="n">
        <f aca="false">INDEX(TblTech[[Activate @ hour]:[Number]],MATCH(TblTech[[#Headers],[2-4]],TblTech[[Number]:[Number]],0),1)</f>
        <v>0</v>
      </c>
      <c r="AB2" s="318" t="n">
        <f aca="false">INDEX(TblTech[[Activate @ hour]:[Number]],MATCH(TblTech[[#Headers],[2-5]],TblTech[[Number]:[Number]],0),1)</f>
        <v>0</v>
      </c>
      <c r="AC2" s="318" t="n">
        <f aca="false">INDEX(TblTech[[Activate @ hour]:[Number]],MATCH(TblTech[[#Headers],[2-6]],TblTech[[Number]:[Number]],0),1)</f>
        <v>0</v>
      </c>
      <c r="AD2" s="318" t="n">
        <f aca="false">INDEX(TblTech[[Activate @ hour]:[Number]],MATCH(TblTech[[#Headers],[2-7]],TblTech[[Number]:[Number]],0),1)</f>
        <v>0</v>
      </c>
      <c r="AE2" s="318" t="n">
        <f aca="false">INDEX(TblTech[[Activate @ hour]:[Number]],MATCH(TblTech[[#Headers],[2-8]],TblTech[[Number]:[Number]],0),1)</f>
        <v>0</v>
      </c>
      <c r="AF2" s="318" t="n">
        <f aca="false">INDEX(TblTech[[Activate @ hour]:[Number]],MATCH(TblTech[[#Headers],[2-9]],TblTech[[Number]:[Number]],0),1)</f>
        <v>0</v>
      </c>
      <c r="AG2" s="318" t="n">
        <f aca="false">INDEX(TblTech[[Activate @ hour]:[Number]],MATCH(TblTech[[#Headers],[2-10]],TblTech[[Number]:[Number]],0),1)</f>
        <v>0</v>
      </c>
      <c r="AH2" s="318" t="n">
        <f aca="false">INDEX(TblTech[[Activate @ hour]:[Number]],MATCH(TblTech[[#Headers],[3-1]],TblTech[[Number]:[Number]],0),1)</f>
        <v>0</v>
      </c>
      <c r="AI2" s="318" t="n">
        <f aca="false">INDEX(TblTech[[Activate @ hour]:[Number]],MATCH(TblTech[[#Headers],[3-2]],TblTech[[Number]:[Number]],0),1)</f>
        <v>0</v>
      </c>
      <c r="AJ2" s="318" t="n">
        <f aca="false">INDEX(TblTech[[Activate @ hour]:[Number]],MATCH(TblTech[[#Headers],[3-3]],TblTech[[Number]:[Number]],0),1)</f>
        <v>0</v>
      </c>
      <c r="AK2" s="318" t="n">
        <f aca="false">INDEX(TblTech[[Activate @ hour]:[Number]],MATCH(TblTech[[#Headers],[3-4]],TblTech[[Number]:[Number]],0),1)</f>
        <v>0</v>
      </c>
      <c r="AL2" s="318" t="n">
        <f aca="false">INDEX(TblTech[[Activate @ hour]:[Number]],MATCH(TblTech[[#Headers],[3-5]],TblTech[[Number]:[Number]],0),1)</f>
        <v>0</v>
      </c>
      <c r="AM2" s="318" t="n">
        <f aca="false">INDEX(TblTech[[Activate @ hour]:[Number]],MATCH(TblTech[[#Headers],[3-6]],TblTech[[Number]:[Number]],0),1)</f>
        <v>0</v>
      </c>
      <c r="AN2" s="318" t="n">
        <f aca="false">INDEX(TblTech[[Activate @ hour]:[Number]],MATCH(TblTech[[#Headers],[3-7]],TblTech[[Number]:[Number]],0),1)</f>
        <v>0</v>
      </c>
      <c r="AO2" s="318" t="n">
        <f aca="false">INDEX(TblTech[[Activate @ hour]:[Number]],MATCH(TblTech[[#Headers],[3-8]],TblTech[[Number]:[Number]],0),1)</f>
        <v>0</v>
      </c>
      <c r="AP2" s="318" t="n">
        <f aca="false">INDEX(TblTech[[Activate @ hour]:[Number]],MATCH(TblTech[[#Headers],[3-9]],TblTech[[Number]:[Number]],0),1)</f>
        <v>0</v>
      </c>
      <c r="AQ2" s="318" t="n">
        <f aca="false">INDEX(TblTech[[Activate @ hour]:[Number]],MATCH(TblTech[[#Headers],[4-1]],TblTech[[Number]:[Number]],0),1)</f>
        <v>0</v>
      </c>
      <c r="AR2" s="318" t="n">
        <f aca="false">INDEX(TblTech[[Activate @ hour]:[Number]],MATCH(TblTech[[#Headers],[4-2]],TblTech[[Number]:[Number]],0),1)</f>
        <v>0</v>
      </c>
      <c r="AS2" s="318" t="n">
        <f aca="false">INDEX(TblTech[[Activate @ hour]:[Number]],MATCH(TblTech[[#Headers],[4-3]],TblTech[[Number]:[Number]],0),1)</f>
        <v>0</v>
      </c>
      <c r="AT2" s="318" t="n">
        <f aca="false">INDEX(TblTech[[Activate @ hour]:[Number]],MATCH(TblTech[[#Headers],[4-4]],TblTech[[Number]:[Number]],0),1)</f>
        <v>0</v>
      </c>
      <c r="AU2" s="318" t="n">
        <f aca="false">INDEX(TblTech[[Activate @ hour]:[Number]],MATCH(TblTech[[#Headers],[4-5]],TblTech[[Number]:[Number]],0),1)</f>
        <v>0</v>
      </c>
      <c r="AV2" s="318" t="n">
        <f aca="false">INDEX(TblTech[[Activate @ hour]:[Number]],MATCH(TblTech[[#Headers],[4-6]],TblTech[[Number]:[Number]],0),1)</f>
        <v>0</v>
      </c>
      <c r="AW2" s="318" t="n">
        <f aca="false">INDEX(TblTech[[Activate @ hour]:[Number]],MATCH(TblTech[[#Headers],[4-7]],TblTech[[Number]:[Number]],0),1)</f>
        <v>0</v>
      </c>
      <c r="AX2" s="318" t="n">
        <f aca="false">INDEX(TblTech[[Activate @ hour]:[Number]],MATCH(TblTech[[#Headers],[4-8]],TblTech[[Number]:[Number]],0),1)</f>
        <v>0</v>
      </c>
      <c r="AY2" s="318" t="n">
        <f aca="false">INDEX(TblTech[[Activate @ hour]:[Number]],MATCH(TblTech[[#Headers],[5-1]],TblTech[[Number]:[Number]],0),1)</f>
        <v>0</v>
      </c>
      <c r="AZ2" s="318" t="n">
        <f aca="false">INDEX(TblTech[[Activate @ hour]:[Number]],MATCH(TblTech[[#Headers],[5-2]],TblTech[[Number]:[Number]],0),1)</f>
        <v>0</v>
      </c>
      <c r="BA2" s="318" t="n">
        <f aca="false">INDEX(TblTech[[Activate @ hour]:[Number]],MATCH(TblTech[[#Headers],[5-3]],TblTech[[Number]:[Number]],0),1)</f>
        <v>0</v>
      </c>
      <c r="BB2" s="318" t="n">
        <f aca="false">INDEX(TblTech[[Activate @ hour]:[Number]],MATCH(TblTech[[#Headers],[5-4]],TblTech[[Number]:[Number]],0),1)</f>
        <v>0</v>
      </c>
      <c r="BC2" s="318" t="n">
        <f aca="false">INDEX(TblTech[[Activate @ hour]:[Number]],MATCH(TblTech[[#Headers],[5-5]],TblTech[[Number]:[Number]],0),1)</f>
        <v>0</v>
      </c>
      <c r="BD2" s="318" t="n">
        <f aca="false">INDEX(TblTech[[Activate @ hour]:[Number]],MATCH(TblTech[[#Headers],[5-6]],TblTech[[Number]:[Number]],0),1)</f>
        <v>0</v>
      </c>
      <c r="BE2" s="318" t="n">
        <f aca="false">INDEX(TblTech[[Activate @ hour]:[Number]],MATCH(TblTech[[#Headers],[5-7]],TblTech[[Number]:[Number]],0),1)</f>
        <v>0</v>
      </c>
      <c r="BF2" s="318" t="n">
        <f aca="false">INDEX(TblTech[[Activate @ hour]:[Number]],MATCH(TblTech[[#Headers],[6-1]],TblTech[[Number]:[Number]],0),1)</f>
        <v>0</v>
      </c>
      <c r="BG2" s="318" t="n">
        <f aca="false">INDEX(TblTech[[Activate @ hour]:[Number]],MATCH(TblTech[[#Headers],[6-2]],TblTech[[Number]:[Number]],0),1)</f>
        <v>0</v>
      </c>
      <c r="BH2" s="318" t="n">
        <f aca="false">INDEX(TblTech[[Activate @ hour]:[Number]],MATCH(TblTech[[#Headers],[6-3]],TblTech[[Number]:[Number]],0),1)</f>
        <v>0</v>
      </c>
      <c r="BI2" s="318" t="n">
        <f aca="false">INDEX(TblTech[[Activate @ hour]:[Number]],MATCH(TblTech[[#Headers],[6-4]],TblTech[[Number]:[Number]],0),1)</f>
        <v>0</v>
      </c>
      <c r="BJ2" s="318" t="n">
        <f aca="false">INDEX(TblTech[[Activate @ hour]:[Number]],MATCH(TblTech[[#Headers],[6-5]],TblTech[[Number]:[Number]],0),1)</f>
        <v>0</v>
      </c>
      <c r="BK2" s="318" t="n">
        <f aca="false">INDEX(TblTech[[Activate @ hour]:[Number]],MATCH(TblTech[[#Headers],[6-6]],TblTech[[Number]:[Number]],0),1)</f>
        <v>0</v>
      </c>
      <c r="BL2" s="318" t="n">
        <f aca="false">INDEX(TblTech[[Activate @ hour]:[Number]],MATCH(TblTech[[#Headers],[7-1]],TblTech[[Number]:[Number]],0),1)</f>
        <v>0</v>
      </c>
      <c r="BM2" s="318" t="n">
        <f aca="false">INDEX(TblTech[[Activate @ hour]:[Number]],MATCH(TblTech[[#Headers],[7-2]],TblTech[[Number]:[Number]],0),1)</f>
        <v>0</v>
      </c>
      <c r="BN2" s="318" t="n">
        <f aca="false">INDEX(TblTech[[Activate @ hour]:[Number]],MATCH(TblTech[[#Headers],[7-3]],TblTech[[Number]:[Number]],0),1)</f>
        <v>0</v>
      </c>
      <c r="BO2" s="318" t="n">
        <f aca="false">INDEX(TblTech[[Activate @ hour]:[Number]],MATCH(TblTech[[#Headers],[7-4]],TblTech[[Number]:[Number]],0),1)</f>
        <v>0</v>
      </c>
      <c r="BP2" s="318" t="n">
        <f aca="false">INDEX(TblTech[[Activate @ hour]:[Number]],MATCH(TblTech[[#Headers],[7-5]],TblTech[[Number]:[Number]],0),1)</f>
        <v>0</v>
      </c>
      <c r="BQ2" s="318" t="n">
        <f aca="false">INDEX(TblTech[[Activate @ hour]:[Number]],MATCH(TblTech[[#Headers],[8-1]],TblTech[[Number]:[Number]],0),1)</f>
        <v>0</v>
      </c>
      <c r="BR2" s="318" t="n">
        <f aca="false">INDEX(TblTech[[Activate @ hour]:[Number]],MATCH(TblTech[[#Headers],[8-2]],TblTech[[Number]:[Number]],0),1)</f>
        <v>0</v>
      </c>
      <c r="BS2" s="318" t="n">
        <f aca="false">INDEX(TblTech[[Activate @ hour]:[Number]],MATCH(TblTech[[#Headers],[8-3]],TblTech[[Number]:[Number]],0),1)</f>
        <v>0</v>
      </c>
      <c r="BT2" s="318" t="n">
        <f aca="false">INDEX(TblTech[[Activate @ hour]:[Number]],MATCH(TblTech[[#Headers],[8-4]],TblTech[[Number]:[Number]],0),1)</f>
        <v>0</v>
      </c>
      <c r="BU2" s="318" t="n">
        <f aca="false">INDEX(TblTech[[Activate @ hour]:[Number]],MATCH(TblTech[[#Headers],[9-1]],TblTech[[Number]:[Number]],0),1)</f>
        <v>0</v>
      </c>
      <c r="BV2" s="318" t="n">
        <f aca="false">INDEX(TblTech[[Activate @ hour]:[Number]],MATCH(TblTech[[#Headers],[9-2]],TblTech[[Number]:[Number]],0),1)</f>
        <v>0</v>
      </c>
      <c r="BW2" s="318" t="n">
        <f aca="false">INDEX(TblTech[[Activate @ hour]:[Number]],MATCH(TblTech[[#Headers],[9-3]],TblTech[[Number]:[Number]],0),1)</f>
        <v>0</v>
      </c>
      <c r="BX2" s="318" t="n">
        <f aca="false">INDEX(TblTech[[Activate @ hour]:[Number]],MATCH(TblTech[[#Headers],[10-1]],TblTech[[Number]:[Number]],0),1)</f>
        <v>0</v>
      </c>
      <c r="BY2" s="318" t="n">
        <f aca="false">INDEX(TblTech[[Activate @ hour]:[Number]],MATCH(TblTech[[#Headers],[10-2]],TblTech[[Number]:[Number]],0),1)</f>
        <v>0</v>
      </c>
      <c r="BZ2" s="318" t="n">
        <f aca="false">INDEX(TblTech[[Activate @ hour]:[Number]],MATCH(TblTech[[#Headers],[11-1]],TblTech[[Number]:[Number]],0),1)</f>
        <v>0</v>
      </c>
    </row>
    <row r="3" s="320" customFormat="true" ht="33.75" hidden="false" customHeight="true" outlineLevel="0" collapsed="false">
      <c r="A3" s="319" t="s">
        <v>82</v>
      </c>
      <c r="B3" s="319" t="s">
        <v>73</v>
      </c>
      <c r="C3" s="319" t="s">
        <v>173</v>
      </c>
      <c r="D3" s="319" t="s">
        <v>337</v>
      </c>
      <c r="E3" s="319" t="s">
        <v>11</v>
      </c>
      <c r="F3" s="319" t="s">
        <v>519</v>
      </c>
      <c r="G3" s="319" t="s">
        <v>520</v>
      </c>
      <c r="H3" s="319" t="s">
        <v>521</v>
      </c>
      <c r="I3" s="319" t="s">
        <v>522</v>
      </c>
      <c r="J3" s="319" t="s">
        <v>154</v>
      </c>
      <c r="K3" s="279" t="s">
        <v>181</v>
      </c>
      <c r="L3" s="319" t="s">
        <v>523</v>
      </c>
      <c r="M3" s="244" t="s">
        <v>524</v>
      </c>
      <c r="N3" s="244" t="s">
        <v>525</v>
      </c>
      <c r="O3" s="244" t="s">
        <v>526</v>
      </c>
      <c r="P3" s="244" t="s">
        <v>527</v>
      </c>
      <c r="Q3" s="244" t="s">
        <v>528</v>
      </c>
      <c r="R3" s="244" t="s">
        <v>529</v>
      </c>
      <c r="S3" s="244" t="s">
        <v>530</v>
      </c>
      <c r="T3" s="244" t="s">
        <v>531</v>
      </c>
      <c r="U3" s="244" t="s">
        <v>532</v>
      </c>
      <c r="V3" s="244" t="s">
        <v>533</v>
      </c>
      <c r="W3" s="244" t="s">
        <v>534</v>
      </c>
      <c r="X3" s="244" t="s">
        <v>535</v>
      </c>
      <c r="Y3" s="244" t="s">
        <v>536</v>
      </c>
      <c r="Z3" s="244" t="s">
        <v>537</v>
      </c>
      <c r="AA3" s="244" t="s">
        <v>538</v>
      </c>
      <c r="AB3" s="244" t="s">
        <v>539</v>
      </c>
      <c r="AC3" s="244" t="s">
        <v>540</v>
      </c>
      <c r="AD3" s="244" t="s">
        <v>541</v>
      </c>
      <c r="AE3" s="244" t="s">
        <v>542</v>
      </c>
      <c r="AF3" s="244" t="s">
        <v>543</v>
      </c>
      <c r="AG3" s="244" t="s">
        <v>544</v>
      </c>
      <c r="AH3" s="244" t="s">
        <v>545</v>
      </c>
      <c r="AI3" s="244" t="s">
        <v>546</v>
      </c>
      <c r="AJ3" s="244" t="s">
        <v>547</v>
      </c>
      <c r="AK3" s="244" t="s">
        <v>548</v>
      </c>
      <c r="AL3" s="244" t="s">
        <v>549</v>
      </c>
      <c r="AM3" s="244" t="s">
        <v>550</v>
      </c>
      <c r="AN3" s="244" t="s">
        <v>551</v>
      </c>
      <c r="AO3" s="244" t="s">
        <v>552</v>
      </c>
      <c r="AP3" s="244" t="s">
        <v>553</v>
      </c>
      <c r="AQ3" s="244" t="s">
        <v>554</v>
      </c>
      <c r="AR3" s="244" t="s">
        <v>555</v>
      </c>
      <c r="AS3" s="244" t="s">
        <v>556</v>
      </c>
      <c r="AT3" s="244" t="s">
        <v>557</v>
      </c>
      <c r="AU3" s="244" t="s">
        <v>558</v>
      </c>
      <c r="AV3" s="244" t="s">
        <v>559</v>
      </c>
      <c r="AW3" s="244" t="s">
        <v>560</v>
      </c>
      <c r="AX3" s="244" t="s">
        <v>561</v>
      </c>
      <c r="AY3" s="244" t="s">
        <v>562</v>
      </c>
      <c r="AZ3" s="244" t="s">
        <v>563</v>
      </c>
      <c r="BA3" s="244" t="s">
        <v>564</v>
      </c>
      <c r="BB3" s="244" t="s">
        <v>565</v>
      </c>
      <c r="BC3" s="244" t="s">
        <v>566</v>
      </c>
      <c r="BD3" s="244" t="s">
        <v>567</v>
      </c>
      <c r="BE3" s="244" t="s">
        <v>568</v>
      </c>
      <c r="BF3" s="244" t="s">
        <v>569</v>
      </c>
      <c r="BG3" s="244" t="s">
        <v>570</v>
      </c>
      <c r="BH3" s="244" t="s">
        <v>571</v>
      </c>
      <c r="BI3" s="244" t="s">
        <v>572</v>
      </c>
      <c r="BJ3" s="244" t="s">
        <v>573</v>
      </c>
      <c r="BK3" s="244" t="s">
        <v>574</v>
      </c>
      <c r="BL3" s="244" t="s">
        <v>575</v>
      </c>
      <c r="BM3" s="244" t="s">
        <v>576</v>
      </c>
      <c r="BN3" s="244" t="s">
        <v>577</v>
      </c>
      <c r="BO3" s="244" t="s">
        <v>578</v>
      </c>
      <c r="BP3" s="244" t="s">
        <v>579</v>
      </c>
      <c r="BQ3" s="244" t="s">
        <v>580</v>
      </c>
      <c r="BR3" s="244" t="s">
        <v>581</v>
      </c>
      <c r="BS3" s="244" t="s">
        <v>582</v>
      </c>
      <c r="BT3" s="244" t="s">
        <v>583</v>
      </c>
      <c r="BU3" s="244" t="s">
        <v>584</v>
      </c>
      <c r="BV3" s="244" t="s">
        <v>585</v>
      </c>
      <c r="BW3" s="244" t="s">
        <v>586</v>
      </c>
      <c r="BX3" s="244" t="s">
        <v>587</v>
      </c>
      <c r="BY3" s="244" t="s">
        <v>588</v>
      </c>
      <c r="BZ3" s="244" t="s">
        <v>589</v>
      </c>
      <c r="CA3" s="244" t="s">
        <v>590</v>
      </c>
    </row>
    <row r="4" customFormat="false" ht="12.75" hidden="false" customHeight="false" outlineLevel="0" collapsed="false">
      <c r="A4" s="321" t="n">
        <f aca="false">TblRezone[[#This Row],[Hour]]</f>
        <v>1</v>
      </c>
      <c r="B4" s="322" t="n">
        <f aca="false">TblExplore[[#This Row],[Land-DB]]</f>
        <v>250</v>
      </c>
      <c r="C4" s="323" t="n">
        <f aca="false">TblProd[[#This Row],[Techpoints]]</f>
        <v>0</v>
      </c>
      <c r="D4" s="323" t="n">
        <f aca="false">TblProd[[#This Row],[Required]]</f>
        <v>3750</v>
      </c>
      <c r="E4" s="324"/>
      <c r="F4" s="325"/>
      <c r="G4" s="326" t="s">
        <v>524</v>
      </c>
      <c r="H4" s="327" t="s">
        <v>591</v>
      </c>
      <c r="I4" s="326" t="s">
        <v>592</v>
      </c>
      <c r="J4" s="322"/>
      <c r="K4" s="68" t="n">
        <f aca="false">TblTech[[#This Row],[Sum of tech]]</f>
        <v>0</v>
      </c>
      <c r="L4" s="328" t="n">
        <f aca="false">COUNTIF(TblTech[[#This Row],[1-1]:[11-1]],1)</f>
        <v>0</v>
      </c>
      <c r="M4" s="329" t="n">
        <f aca="false" t="array" ref="M4:M4">IF(AND(M$2&lt;&gt;0,TblTech[[#This Row],[Hour]:[Hour]]&gt;=M$2),1,0)</f>
        <v>0</v>
      </c>
      <c r="N4" s="329" t="n">
        <f aca="false" t="array" ref="N4:N4">IF(AND(N$2&lt;&gt;0,TblTech[[#This Row],[Hour]:[Hour]]&gt;=N$2),1,0)</f>
        <v>0</v>
      </c>
      <c r="O4" s="329" t="n">
        <f aca="false" t="array" ref="O4:O4">IF(AND(O$2&lt;&gt;0,TblTech[[#This Row],[Hour]:[Hour]]&gt;=O$2),1,0)</f>
        <v>0</v>
      </c>
      <c r="P4" s="329" t="n">
        <f aca="false" t="array" ref="P4:P4">IF(AND(P$2&lt;&gt;0,TblTech[[#This Row],[Hour]:[Hour]]&gt;=P$2),1,0)</f>
        <v>0</v>
      </c>
      <c r="Q4" s="329" t="n">
        <f aca="false" t="array" ref="Q4:Q4">IF(AND(Q$2&lt;&gt;0,TblTech[[#This Row],[Hour]:[Hour]]&gt;=Q$2),1,0)</f>
        <v>0</v>
      </c>
      <c r="R4" s="329" t="n">
        <f aca="false" t="array" ref="R4:R4">IF(AND(R$2&lt;&gt;0,TblTech[[#This Row],[Hour]:[Hour]]&gt;=R$2),1,0)</f>
        <v>0</v>
      </c>
      <c r="S4" s="329" t="n">
        <f aca="false" t="array" ref="S4:S4">IF(AND(S$2&lt;&gt;0,TblTech[[#This Row],[Hour]:[Hour]]&gt;=S$2),1,0)</f>
        <v>0</v>
      </c>
      <c r="T4" s="329" t="n">
        <f aca="false" t="array" ref="T4:T4">IF(AND(T$2&lt;&gt;0,TblTech[[#This Row],[Hour]:[Hour]]&gt;=T$2),1,0)</f>
        <v>0</v>
      </c>
      <c r="U4" s="329" t="n">
        <f aca="false" t="array" ref="U4:U4">IF(AND(U$2&lt;&gt;0,TblTech[[#This Row],[Hour]:[Hour]]&gt;=U$2),1,0)</f>
        <v>0</v>
      </c>
      <c r="V4" s="329" t="n">
        <f aca="false" t="array" ref="V4:V4">IF(AND(V$2&lt;&gt;0,TblTech[[#This Row],[Hour]:[Hour]]&gt;=V$2),1,0)</f>
        <v>0</v>
      </c>
      <c r="W4" s="329" t="n">
        <f aca="false" t="array" ref="W4:W4">IF(AND(W$2&lt;&gt;0,TblTech[[#This Row],[Hour]:[Hour]]&gt;=W$2),1,0)</f>
        <v>0</v>
      </c>
      <c r="X4" s="329" t="n">
        <f aca="false" t="array" ref="X4:X4">IF(AND(X$2&lt;&gt;0,TblTech[[#This Row],[Hour]:[Hour]]&gt;=X$2),1,0)</f>
        <v>0</v>
      </c>
      <c r="Y4" s="329" t="n">
        <f aca="false" t="array" ref="Y4:Y4">IF(AND(Y$2&lt;&gt;0,TblTech[[#This Row],[Hour]:[Hour]]&gt;=Y$2),1,0)</f>
        <v>0</v>
      </c>
      <c r="Z4" s="329" t="n">
        <f aca="false" t="array" ref="Z4:Z4">IF(AND(Z$2&lt;&gt;0,TblTech[[#This Row],[Hour]:[Hour]]&gt;=Z$2),1,0)</f>
        <v>0</v>
      </c>
      <c r="AA4" s="329" t="n">
        <f aca="false" t="array" ref="AA4:AA4">IF(AND(AA$2&lt;&gt;0,TblTech[[#This Row],[Hour]:[Hour]]&gt;=AA$2),1,0)</f>
        <v>0</v>
      </c>
      <c r="AB4" s="329" t="n">
        <f aca="false" t="array" ref="AB4:AB4">IF(AND(AB$2&lt;&gt;0,TblTech[[#This Row],[Hour]:[Hour]]&gt;=AB$2),1,0)</f>
        <v>0</v>
      </c>
      <c r="AC4" s="329" t="n">
        <f aca="false" t="array" ref="AC4:AC4">IF(AND(AC$2&lt;&gt;0,TblTech[[#This Row],[Hour]:[Hour]]&gt;=AC$2),1,0)</f>
        <v>0</v>
      </c>
      <c r="AD4" s="329" t="n">
        <f aca="false" t="array" ref="AD4:AD4">IF(AND(AD$2&lt;&gt;0,TblTech[[#This Row],[Hour]:[Hour]]&gt;=AD$2),1,0)</f>
        <v>0</v>
      </c>
      <c r="AE4" s="329" t="n">
        <f aca="false" t="array" ref="AE4:AE4">IF(AND(AE$2&lt;&gt;0,TblTech[[#This Row],[Hour]:[Hour]]&gt;=AE$2),1,0)</f>
        <v>0</v>
      </c>
      <c r="AF4" s="329" t="n">
        <f aca="false" t="array" ref="AF4:AF4">IF(AND(AF$2&lt;&gt;0,TblTech[[#This Row],[Hour]:[Hour]]&gt;=AF$2),1,0)</f>
        <v>0</v>
      </c>
      <c r="AG4" s="329" t="n">
        <f aca="false" t="array" ref="AG4:AG4">IF(AND(AG$2&lt;&gt;0,TblTech[[#This Row],[Hour]:[Hour]]&gt;=AG$2),1,0)</f>
        <v>0</v>
      </c>
      <c r="AH4" s="329" t="n">
        <f aca="false" t="array" ref="AH4:AH4">IF(AND(AH$2&lt;&gt;0,TblTech[[#This Row],[Hour]:[Hour]]&gt;=AH$2),1,0)</f>
        <v>0</v>
      </c>
      <c r="AI4" s="329" t="n">
        <f aca="false" t="array" ref="AI4:AI4">IF(AND(AI$2&lt;&gt;0,TblTech[[#This Row],[Hour]:[Hour]]&gt;=AI$2),1,0)</f>
        <v>0</v>
      </c>
      <c r="AJ4" s="329" t="n">
        <f aca="false" t="array" ref="AJ4:AJ4">IF(AND(AJ$2&lt;&gt;0,TblTech[[#This Row],[Hour]:[Hour]]&gt;=AJ$2),1,0)</f>
        <v>0</v>
      </c>
      <c r="AK4" s="329" t="n">
        <f aca="false" t="array" ref="AK4:AK4">IF(AND(AK$2&lt;&gt;0,TblTech[[#This Row],[Hour]:[Hour]]&gt;=AK$2),1,0)</f>
        <v>0</v>
      </c>
      <c r="AL4" s="329" t="n">
        <f aca="false" t="array" ref="AL4:AL4">IF(AND(AL$2&lt;&gt;0,TblTech[[#This Row],[Hour]:[Hour]]&gt;=AL$2),1,0)</f>
        <v>0</v>
      </c>
      <c r="AM4" s="329" t="n">
        <f aca="false" t="array" ref="AM4:AM4">IF(AND(AM$2&lt;&gt;0,TblTech[[#This Row],[Hour]:[Hour]]&gt;=AM$2),1,0)</f>
        <v>0</v>
      </c>
      <c r="AN4" s="329" t="n">
        <f aca="false" t="array" ref="AN4:AN4">IF(AND(AN$2&lt;&gt;0,TblTech[[#This Row],[Hour]:[Hour]]&gt;=AN$2),1,0)</f>
        <v>0</v>
      </c>
      <c r="AO4" s="329" t="n">
        <f aca="false" t="array" ref="AO4:AO4">IF(AND(AO$2&lt;&gt;0,TblTech[[#This Row],[Hour]:[Hour]]&gt;=AO$2),1,0)</f>
        <v>0</v>
      </c>
      <c r="AP4" s="329" t="n">
        <f aca="false" t="array" ref="AP4:AP4">IF(AND(AP$2&lt;&gt;0,TblTech[[#This Row],[Hour]:[Hour]]&gt;=AP$2),1,0)</f>
        <v>0</v>
      </c>
      <c r="AQ4" s="329" t="n">
        <f aca="false" t="array" ref="AQ4:AQ4">IF(AND(AQ$2&lt;&gt;0,TblTech[[#This Row],[Hour]:[Hour]]&gt;=AQ$2),1,0)</f>
        <v>0</v>
      </c>
      <c r="AR4" s="329" t="n">
        <f aca="false" t="array" ref="AR4:AR4">IF(AND(AR$2&lt;&gt;0,TblTech[[#This Row],[Hour]:[Hour]]&gt;=AR$2),1,0)</f>
        <v>0</v>
      </c>
      <c r="AS4" s="329" t="n">
        <f aca="false" t="array" ref="AS4:AS4">IF(AND(AS$2&lt;&gt;0,TblTech[[#This Row],[Hour]:[Hour]]&gt;=AS$2),1,0)</f>
        <v>0</v>
      </c>
      <c r="AT4" s="329" t="n">
        <f aca="false" t="array" ref="AT4:AT4">IF(AND(AT$2&lt;&gt;0,TblTech[[#This Row],[Hour]:[Hour]]&gt;=AT$2),1,0)</f>
        <v>0</v>
      </c>
      <c r="AU4" s="329" t="n">
        <f aca="false" t="array" ref="AU4:AU4">IF(AND(AU$2&lt;&gt;0,TblTech[[#This Row],[Hour]:[Hour]]&gt;=AU$2),1,0)</f>
        <v>0</v>
      </c>
      <c r="AV4" s="329" t="n">
        <f aca="false" t="array" ref="AV4:AV4">IF(AND(AV$2&lt;&gt;0,TblTech[[#This Row],[Hour]:[Hour]]&gt;=AV$2),1,0)</f>
        <v>0</v>
      </c>
      <c r="AW4" s="329" t="n">
        <f aca="false" t="array" ref="AW4:AW4">IF(AND(AW$2&lt;&gt;0,TblTech[[#This Row],[Hour]:[Hour]]&gt;=AW$2),1,0)</f>
        <v>0</v>
      </c>
      <c r="AX4" s="329" t="n">
        <f aca="false" t="array" ref="AX4:AX4">IF(AND(AX$2&lt;&gt;0,TblTech[[#This Row],[Hour]:[Hour]]&gt;=AX$2),1,0)</f>
        <v>0</v>
      </c>
      <c r="AY4" s="329" t="n">
        <f aca="false" t="array" ref="AY4:AY4">IF(AND(AY$2&lt;&gt;0,TblTech[[#This Row],[Hour]:[Hour]]&gt;=AY$2),1,0)</f>
        <v>0</v>
      </c>
      <c r="AZ4" s="329" t="n">
        <f aca="false" t="array" ref="AZ4:AZ4">IF(AND(AZ$2&lt;&gt;0,TblTech[[#This Row],[Hour]:[Hour]]&gt;=AZ$2),1,0)</f>
        <v>0</v>
      </c>
      <c r="BA4" s="329" t="n">
        <f aca="false" t="array" ref="BA4:BA4">IF(AND(BA$2&lt;&gt;0,TblTech[[#This Row],[Hour]:[Hour]]&gt;=BA$2),1,0)</f>
        <v>0</v>
      </c>
      <c r="BB4" s="329" t="n">
        <f aca="false" t="array" ref="BB4:BB4">IF(AND(BB$2&lt;&gt;0,TblTech[[#This Row],[Hour]:[Hour]]&gt;=BB$2),1,0)</f>
        <v>0</v>
      </c>
      <c r="BC4" s="329" t="n">
        <f aca="false" t="array" ref="BC4:BC4">IF(AND(BC$2&lt;&gt;0,TblTech[[#This Row],[Hour]:[Hour]]&gt;=BC$2),1,0)</f>
        <v>0</v>
      </c>
      <c r="BD4" s="329" t="n">
        <f aca="false" t="array" ref="BD4:BD4">IF(AND(BD$2&lt;&gt;0,TblTech[[#This Row],[Hour]:[Hour]]&gt;=BD$2),1,0)</f>
        <v>0</v>
      </c>
      <c r="BE4" s="329" t="n">
        <f aca="false" t="array" ref="BE4:BE4">IF(AND(BE$2&lt;&gt;0,TblTech[[#This Row],[Hour]:[Hour]]&gt;=BE$2),1,0)</f>
        <v>0</v>
      </c>
      <c r="BF4" s="329" t="n">
        <f aca="false" t="array" ref="BF4:BF4">IF(AND(BF$2&lt;&gt;0,TblTech[[#This Row],[Hour]:[Hour]]&gt;=BF$2),1,0)</f>
        <v>0</v>
      </c>
      <c r="BG4" s="329" t="n">
        <f aca="false" t="array" ref="BG4:BG4">IF(AND(BG$2&lt;&gt;0,TblTech[[#This Row],[Hour]:[Hour]]&gt;=BG$2),1,0)</f>
        <v>0</v>
      </c>
      <c r="BH4" s="329" t="n">
        <f aca="false" t="array" ref="BH4:BH4">IF(AND(BH$2&lt;&gt;0,TblTech[[#This Row],[Hour]:[Hour]]&gt;=BH$2),1,0)</f>
        <v>0</v>
      </c>
      <c r="BI4" s="329" t="n">
        <f aca="false" t="array" ref="BI4:BI4">IF(AND(BI$2&lt;&gt;0,TblTech[[#This Row],[Hour]:[Hour]]&gt;=BI$2),1,0)</f>
        <v>0</v>
      </c>
      <c r="BJ4" s="329" t="n">
        <f aca="false" t="array" ref="BJ4:BJ4">IF(AND(BJ$2&lt;&gt;0,TblTech[[#This Row],[Hour]:[Hour]]&gt;=BJ$2),1,0)</f>
        <v>0</v>
      </c>
      <c r="BK4" s="329" t="n">
        <f aca="false" t="array" ref="BK4:BK4">IF(AND(BK$2&lt;&gt;0,TblTech[[#This Row],[Hour]:[Hour]]&gt;=BK$2),1,0)</f>
        <v>0</v>
      </c>
      <c r="BL4" s="329" t="n">
        <f aca="false" t="array" ref="BL4:BL4">IF(AND(BL$2&lt;&gt;0,TblTech[[#This Row],[Hour]:[Hour]]&gt;=BL$2),1,0)</f>
        <v>0</v>
      </c>
      <c r="BM4" s="329" t="n">
        <f aca="false" t="array" ref="BM4:BM4">IF(AND(BM$2&lt;&gt;0,TblTech[[#This Row],[Hour]:[Hour]]&gt;=BM$2),1,0)</f>
        <v>0</v>
      </c>
      <c r="BN4" s="329" t="n">
        <f aca="false" t="array" ref="BN4:BN4">IF(AND(BN$2&lt;&gt;0,TblTech[[#This Row],[Hour]:[Hour]]&gt;=BN$2),1,0)</f>
        <v>0</v>
      </c>
      <c r="BO4" s="329" t="n">
        <f aca="false" t="array" ref="BO4:BO4">IF(AND(BO$2&lt;&gt;0,TblTech[[#This Row],[Hour]:[Hour]]&gt;=BO$2),1,0)</f>
        <v>0</v>
      </c>
      <c r="BP4" s="329" t="n">
        <f aca="false" t="array" ref="BP4:BP4">IF(AND(BP$2&lt;&gt;0,TblTech[[#This Row],[Hour]:[Hour]]&gt;=BP$2),1,0)</f>
        <v>0</v>
      </c>
      <c r="BQ4" s="329" t="n">
        <f aca="false" t="array" ref="BQ4:BQ4">IF(AND(BQ$2&lt;&gt;0,TblTech[[#This Row],[Hour]:[Hour]]&gt;=BQ$2),1,0)</f>
        <v>0</v>
      </c>
      <c r="BR4" s="329" t="n">
        <f aca="false" t="array" ref="BR4:BR4">IF(AND(BR$2&lt;&gt;0,TblTech[[#This Row],[Hour]:[Hour]]&gt;=BR$2),1,0)</f>
        <v>0</v>
      </c>
      <c r="BS4" s="329" t="n">
        <f aca="false" t="array" ref="BS4:BS4">IF(AND(BS$2&lt;&gt;0,TblTech[[#This Row],[Hour]:[Hour]]&gt;=BS$2),1,0)</f>
        <v>0</v>
      </c>
      <c r="BT4" s="329" t="n">
        <f aca="false" t="array" ref="BT4:BT4">IF(AND(BT$2&lt;&gt;0,TblTech[[#This Row],[Hour]:[Hour]]&gt;=BT$2),1,0)</f>
        <v>0</v>
      </c>
      <c r="BU4" s="329" t="n">
        <f aca="false" t="array" ref="BU4:BU4">IF(AND(BU$2&lt;&gt;0,TblTech[[#This Row],[Hour]:[Hour]]&gt;=BU$2),1,0)</f>
        <v>0</v>
      </c>
      <c r="BV4" s="329" t="n">
        <f aca="false" t="array" ref="BV4:BV4">IF(AND(BV$2&lt;&gt;0,TblTech[[#This Row],[Hour]:[Hour]]&gt;=BV$2),1,0)</f>
        <v>0</v>
      </c>
      <c r="BW4" s="329" t="n">
        <f aca="false" t="array" ref="BW4:BW4">IF(AND(BW$2&lt;&gt;0,TblTech[[#This Row],[Hour]:[Hour]]&gt;=BW$2),1,0)</f>
        <v>0</v>
      </c>
      <c r="BX4" s="329" t="n">
        <f aca="false" t="array" ref="BX4:BX4">IF(AND(BX$2&lt;&gt;0,TblTech[[#This Row],[Hour]:[Hour]]&gt;=BX$2),1,0)</f>
        <v>0</v>
      </c>
      <c r="BY4" s="329" t="n">
        <f aca="false" t="array" ref="BY4:BY4">IF(AND(BY$2&lt;&gt;0,TblTech[[#This Row],[Hour]:[Hour]]&gt;=BY$2),1,0)</f>
        <v>0</v>
      </c>
      <c r="BZ4" s="329" t="n">
        <f aca="false" t="array" ref="BZ4:BZ4">IF(AND(BZ$2&lt;&gt;0,TblTech[[#This Row],[Hour]:[Hour]]&gt;=BZ$2),1,0)</f>
        <v>0</v>
      </c>
      <c r="CA4" s="330" t="n">
        <f aca="false">IFERROR(INDEX($H$4:$H$79,MATCH(INDEX(TblTech[[#Headers],[1-1]:[11-1]],1,MATCH(TblTech[[#This Row],[Hour]],$M$2:$BZ$2,0)),$G$4:$G$79,0)),)</f>
        <v>0</v>
      </c>
    </row>
    <row r="5" customFormat="false" ht="12.75" hidden="false" customHeight="false" outlineLevel="0" collapsed="false">
      <c r="A5" s="321" t="n">
        <f aca="false">TblRezone[[#This Row],[Hour]]</f>
        <v>2</v>
      </c>
      <c r="B5" s="322" t="n">
        <f aca="false">TblExplore[[#This Row],[Land-DB]]</f>
        <v>250</v>
      </c>
      <c r="C5" s="323" t="n">
        <f aca="false">TblProd[[#This Row],[Techpoints]]</f>
        <v>0</v>
      </c>
      <c r="D5" s="323" t="n">
        <f aca="false">TblProd[[#This Row],[Required]]</f>
        <v>3750</v>
      </c>
      <c r="E5" s="324"/>
      <c r="F5" s="325"/>
      <c r="G5" s="326" t="s">
        <v>525</v>
      </c>
      <c r="H5" s="327" t="s">
        <v>593</v>
      </c>
      <c r="I5" s="326" t="s">
        <v>594</v>
      </c>
      <c r="J5" s="322"/>
      <c r="K5" s="68" t="n">
        <f aca="false">IF(TblTech[[#This Row],[Sum of tech]]&lt;&gt;OFFSET(TblTech[[#This Row],[Sum of tech]],-1,0),1,0)</f>
        <v>0</v>
      </c>
      <c r="L5" s="328" t="n">
        <f aca="false">COUNTIF(TblTech[[#This Row],[1-1]:[11-1]],1)</f>
        <v>0</v>
      </c>
      <c r="M5" s="329" t="n">
        <f aca="false" t="array" ref="M5:M5">IF(AND(M$2&lt;&gt;0,TblTech[[#This Row],[Hour]:[Hour]]&gt;=M$2),1,0)</f>
        <v>0</v>
      </c>
      <c r="N5" s="329" t="n">
        <f aca="false" t="array" ref="N5:N5">IF(AND(N$2&lt;&gt;0,TblTech[[#This Row],[Hour]:[Hour]]&gt;=N$2),1,0)</f>
        <v>0</v>
      </c>
      <c r="O5" s="329" t="n">
        <f aca="false" t="array" ref="O5:O5">IF(AND(O$2&lt;&gt;0,TblTech[[#This Row],[Hour]:[Hour]]&gt;=O$2),1,0)</f>
        <v>0</v>
      </c>
      <c r="P5" s="329" t="n">
        <f aca="false" t="array" ref="P5:P5">IF(AND(P$2&lt;&gt;0,TblTech[[#This Row],[Hour]:[Hour]]&gt;=P$2),1,0)</f>
        <v>0</v>
      </c>
      <c r="Q5" s="329" t="n">
        <f aca="false" t="array" ref="Q5:Q5">IF(AND(Q$2&lt;&gt;0,TblTech[[#This Row],[Hour]:[Hour]]&gt;=Q$2),1,0)</f>
        <v>0</v>
      </c>
      <c r="R5" s="329" t="n">
        <f aca="false" t="array" ref="R5:R5">IF(AND(R$2&lt;&gt;0,TblTech[[#This Row],[Hour]:[Hour]]&gt;=R$2),1,0)</f>
        <v>0</v>
      </c>
      <c r="S5" s="329" t="n">
        <f aca="false" t="array" ref="S5:S5">IF(AND(S$2&lt;&gt;0,TblTech[[#This Row],[Hour]:[Hour]]&gt;=S$2),1,0)</f>
        <v>0</v>
      </c>
      <c r="T5" s="329" t="n">
        <f aca="false" t="array" ref="T5:T5">IF(AND(T$2&lt;&gt;0,TblTech[[#This Row],[Hour]:[Hour]]&gt;=T$2),1,0)</f>
        <v>0</v>
      </c>
      <c r="U5" s="329" t="n">
        <f aca="false" t="array" ref="U5:U5">IF(AND(U$2&lt;&gt;0,TblTech[[#This Row],[Hour]:[Hour]]&gt;=U$2),1,0)</f>
        <v>0</v>
      </c>
      <c r="V5" s="329" t="n">
        <f aca="false" t="array" ref="V5:V5">IF(AND(V$2&lt;&gt;0,TblTech[[#This Row],[Hour]:[Hour]]&gt;=V$2),1,0)</f>
        <v>0</v>
      </c>
      <c r="W5" s="329" t="n">
        <f aca="false" t="array" ref="W5:W5">IF(AND(W$2&lt;&gt;0,TblTech[[#This Row],[Hour]:[Hour]]&gt;=W$2),1,0)</f>
        <v>0</v>
      </c>
      <c r="X5" s="329" t="n">
        <f aca="false" t="array" ref="X5:X5">IF(AND(X$2&lt;&gt;0,TblTech[[#This Row],[Hour]:[Hour]]&gt;=X$2),1,0)</f>
        <v>0</v>
      </c>
      <c r="Y5" s="329" t="n">
        <f aca="false" t="array" ref="Y5:Y5">IF(AND(Y$2&lt;&gt;0,TblTech[[#This Row],[Hour]:[Hour]]&gt;=Y$2),1,0)</f>
        <v>0</v>
      </c>
      <c r="Z5" s="329" t="n">
        <f aca="false" t="array" ref="Z5:Z5">IF(AND(Z$2&lt;&gt;0,TblTech[[#This Row],[Hour]:[Hour]]&gt;=Z$2),1,0)</f>
        <v>0</v>
      </c>
      <c r="AA5" s="329" t="n">
        <f aca="false" t="array" ref="AA5:AA5">IF(AND(AA$2&lt;&gt;0,TblTech[[#This Row],[Hour]:[Hour]]&gt;=AA$2),1,0)</f>
        <v>0</v>
      </c>
      <c r="AB5" s="329" t="n">
        <f aca="false" t="array" ref="AB5:AB5">IF(AND(AB$2&lt;&gt;0,TblTech[[#This Row],[Hour]:[Hour]]&gt;=AB$2),1,0)</f>
        <v>0</v>
      </c>
      <c r="AC5" s="329" t="n">
        <f aca="false" t="array" ref="AC5:AC5">IF(AND(AC$2&lt;&gt;0,TblTech[[#This Row],[Hour]:[Hour]]&gt;=AC$2),1,0)</f>
        <v>0</v>
      </c>
      <c r="AD5" s="329" t="n">
        <f aca="false" t="array" ref="AD5:AD5">IF(AND(AD$2&lt;&gt;0,TblTech[[#This Row],[Hour]:[Hour]]&gt;=AD$2),1,0)</f>
        <v>0</v>
      </c>
      <c r="AE5" s="329" t="n">
        <f aca="false" t="array" ref="AE5:AE5">IF(AND(AE$2&lt;&gt;0,TblTech[[#This Row],[Hour]:[Hour]]&gt;=AE$2),1,0)</f>
        <v>0</v>
      </c>
      <c r="AF5" s="329" t="n">
        <f aca="false" t="array" ref="AF5:AF5">IF(AND(AF$2&lt;&gt;0,TblTech[[#This Row],[Hour]:[Hour]]&gt;=AF$2),1,0)</f>
        <v>0</v>
      </c>
      <c r="AG5" s="329" t="n">
        <f aca="false" t="array" ref="AG5:AG5">IF(AND(AG$2&lt;&gt;0,TblTech[[#This Row],[Hour]:[Hour]]&gt;=AG$2),1,0)</f>
        <v>0</v>
      </c>
      <c r="AH5" s="329" t="n">
        <f aca="false" t="array" ref="AH5:AH5">IF(AND(AH$2&lt;&gt;0,TblTech[[#This Row],[Hour]:[Hour]]&gt;=AH$2),1,0)</f>
        <v>0</v>
      </c>
      <c r="AI5" s="329" t="n">
        <f aca="false" t="array" ref="AI5:AI5">IF(AND(AI$2&lt;&gt;0,TblTech[[#This Row],[Hour]:[Hour]]&gt;=AI$2),1,0)</f>
        <v>0</v>
      </c>
      <c r="AJ5" s="329" t="n">
        <f aca="false" t="array" ref="AJ5:AJ5">IF(AND(AJ$2&lt;&gt;0,TblTech[[#This Row],[Hour]:[Hour]]&gt;=AJ$2),1,0)</f>
        <v>0</v>
      </c>
      <c r="AK5" s="329" t="n">
        <f aca="false" t="array" ref="AK5:AK5">IF(AND(AK$2&lt;&gt;0,TblTech[[#This Row],[Hour]:[Hour]]&gt;=AK$2),1,0)</f>
        <v>0</v>
      </c>
      <c r="AL5" s="329" t="n">
        <f aca="false" t="array" ref="AL5:AL5">IF(AND(AL$2&lt;&gt;0,TblTech[[#This Row],[Hour]:[Hour]]&gt;=AL$2),1,0)</f>
        <v>0</v>
      </c>
      <c r="AM5" s="329" t="n">
        <f aca="false" t="array" ref="AM5:AM5">IF(AND(AM$2&lt;&gt;0,TblTech[[#This Row],[Hour]:[Hour]]&gt;=AM$2),1,0)</f>
        <v>0</v>
      </c>
      <c r="AN5" s="329" t="n">
        <f aca="false" t="array" ref="AN5:AN5">IF(AND(AN$2&lt;&gt;0,TblTech[[#This Row],[Hour]:[Hour]]&gt;=AN$2),1,0)</f>
        <v>0</v>
      </c>
      <c r="AO5" s="329" t="n">
        <f aca="false" t="array" ref="AO5:AO5">IF(AND(AO$2&lt;&gt;0,TblTech[[#This Row],[Hour]:[Hour]]&gt;=AO$2),1,0)</f>
        <v>0</v>
      </c>
      <c r="AP5" s="329" t="n">
        <f aca="false" t="array" ref="AP5:AP5">IF(AND(AP$2&lt;&gt;0,TblTech[[#This Row],[Hour]:[Hour]]&gt;=AP$2),1,0)</f>
        <v>0</v>
      </c>
      <c r="AQ5" s="329" t="n">
        <f aca="false" t="array" ref="AQ5:AQ5">IF(AND(AQ$2&lt;&gt;0,TblTech[[#This Row],[Hour]:[Hour]]&gt;=AQ$2),1,0)</f>
        <v>0</v>
      </c>
      <c r="AR5" s="329" t="n">
        <f aca="false" t="array" ref="AR5:AR5">IF(AND(AR$2&lt;&gt;0,TblTech[[#This Row],[Hour]:[Hour]]&gt;=AR$2),1,0)</f>
        <v>0</v>
      </c>
      <c r="AS5" s="329" t="n">
        <f aca="false" t="array" ref="AS5:AS5">IF(AND(AS$2&lt;&gt;0,TblTech[[#This Row],[Hour]:[Hour]]&gt;=AS$2),1,0)</f>
        <v>0</v>
      </c>
      <c r="AT5" s="329" t="n">
        <f aca="false" t="array" ref="AT5:AT5">IF(AND(AT$2&lt;&gt;0,TblTech[[#This Row],[Hour]:[Hour]]&gt;=AT$2),1,0)</f>
        <v>0</v>
      </c>
      <c r="AU5" s="329" t="n">
        <f aca="false" t="array" ref="AU5:AU5">IF(AND(AU$2&lt;&gt;0,TblTech[[#This Row],[Hour]:[Hour]]&gt;=AU$2),1,0)</f>
        <v>0</v>
      </c>
      <c r="AV5" s="329" t="n">
        <f aca="false" t="array" ref="AV5:AV5">IF(AND(AV$2&lt;&gt;0,TblTech[[#This Row],[Hour]:[Hour]]&gt;=AV$2),1,0)</f>
        <v>0</v>
      </c>
      <c r="AW5" s="329" t="n">
        <f aca="false" t="array" ref="AW5:AW5">IF(AND(AW$2&lt;&gt;0,TblTech[[#This Row],[Hour]:[Hour]]&gt;=AW$2),1,0)</f>
        <v>0</v>
      </c>
      <c r="AX5" s="329" t="n">
        <f aca="false" t="array" ref="AX5:AX5">IF(AND(AX$2&lt;&gt;0,TblTech[[#This Row],[Hour]:[Hour]]&gt;=AX$2),1,0)</f>
        <v>0</v>
      </c>
      <c r="AY5" s="329" t="n">
        <f aca="false" t="array" ref="AY5:AY5">IF(AND(AY$2&lt;&gt;0,TblTech[[#This Row],[Hour]:[Hour]]&gt;=AY$2),1,0)</f>
        <v>0</v>
      </c>
      <c r="AZ5" s="329" t="n">
        <f aca="false" t="array" ref="AZ5:AZ5">IF(AND(AZ$2&lt;&gt;0,TblTech[[#This Row],[Hour]:[Hour]]&gt;=AZ$2),1,0)</f>
        <v>0</v>
      </c>
      <c r="BA5" s="329" t="n">
        <f aca="false" t="array" ref="BA5:BA5">IF(AND(BA$2&lt;&gt;0,TblTech[[#This Row],[Hour]:[Hour]]&gt;=BA$2),1,0)</f>
        <v>0</v>
      </c>
      <c r="BB5" s="329" t="n">
        <f aca="false" t="array" ref="BB5:BB5">IF(AND(BB$2&lt;&gt;0,TblTech[[#This Row],[Hour]:[Hour]]&gt;=BB$2),1,0)</f>
        <v>0</v>
      </c>
      <c r="BC5" s="329" t="n">
        <f aca="false" t="array" ref="BC5:BC5">IF(AND(BC$2&lt;&gt;0,TblTech[[#This Row],[Hour]:[Hour]]&gt;=BC$2),1,0)</f>
        <v>0</v>
      </c>
      <c r="BD5" s="329" t="n">
        <f aca="false" t="array" ref="BD5:BD5">IF(AND(BD$2&lt;&gt;0,TblTech[[#This Row],[Hour]:[Hour]]&gt;=BD$2),1,0)</f>
        <v>0</v>
      </c>
      <c r="BE5" s="329" t="n">
        <f aca="false" t="array" ref="BE5:BE5">IF(AND(BE$2&lt;&gt;0,TblTech[[#This Row],[Hour]:[Hour]]&gt;=BE$2),1,0)</f>
        <v>0</v>
      </c>
      <c r="BF5" s="329" t="n">
        <f aca="false" t="array" ref="BF5:BF5">IF(AND(BF$2&lt;&gt;0,TblTech[[#This Row],[Hour]:[Hour]]&gt;=BF$2),1,0)</f>
        <v>0</v>
      </c>
      <c r="BG5" s="329" t="n">
        <f aca="false" t="array" ref="BG5:BG5">IF(AND(BG$2&lt;&gt;0,TblTech[[#This Row],[Hour]:[Hour]]&gt;=BG$2),1,0)</f>
        <v>0</v>
      </c>
      <c r="BH5" s="329" t="n">
        <f aca="false" t="array" ref="BH5:BH5">IF(AND(BH$2&lt;&gt;0,TblTech[[#This Row],[Hour]:[Hour]]&gt;=BH$2),1,0)</f>
        <v>0</v>
      </c>
      <c r="BI5" s="329" t="n">
        <f aca="false" t="array" ref="BI5:BI5">IF(AND(BI$2&lt;&gt;0,TblTech[[#This Row],[Hour]:[Hour]]&gt;=BI$2),1,0)</f>
        <v>0</v>
      </c>
      <c r="BJ5" s="329" t="n">
        <f aca="false" t="array" ref="BJ5:BJ5">IF(AND(BJ$2&lt;&gt;0,TblTech[[#This Row],[Hour]:[Hour]]&gt;=BJ$2),1,0)</f>
        <v>0</v>
      </c>
      <c r="BK5" s="329" t="n">
        <f aca="false" t="array" ref="BK5:BK5">IF(AND(BK$2&lt;&gt;0,TblTech[[#This Row],[Hour]:[Hour]]&gt;=BK$2),1,0)</f>
        <v>0</v>
      </c>
      <c r="BL5" s="329" t="n">
        <f aca="false" t="array" ref="BL5:BL5">IF(AND(BL$2&lt;&gt;0,TblTech[[#This Row],[Hour]:[Hour]]&gt;=BL$2),1,0)</f>
        <v>0</v>
      </c>
      <c r="BM5" s="329" t="n">
        <f aca="false" t="array" ref="BM5:BM5">IF(AND(BM$2&lt;&gt;0,TblTech[[#This Row],[Hour]:[Hour]]&gt;=BM$2),1,0)</f>
        <v>0</v>
      </c>
      <c r="BN5" s="329" t="n">
        <f aca="false" t="array" ref="BN5:BN5">IF(AND(BN$2&lt;&gt;0,TblTech[[#This Row],[Hour]:[Hour]]&gt;=BN$2),1,0)</f>
        <v>0</v>
      </c>
      <c r="BO5" s="329" t="n">
        <f aca="false" t="array" ref="BO5:BO5">IF(AND(BO$2&lt;&gt;0,TblTech[[#This Row],[Hour]:[Hour]]&gt;=BO$2),1,0)</f>
        <v>0</v>
      </c>
      <c r="BP5" s="329" t="n">
        <f aca="false" t="array" ref="BP5:BP5">IF(AND(BP$2&lt;&gt;0,TblTech[[#This Row],[Hour]:[Hour]]&gt;=BP$2),1,0)</f>
        <v>0</v>
      </c>
      <c r="BQ5" s="329" t="n">
        <f aca="false" t="array" ref="BQ5:BQ5">IF(AND(BQ$2&lt;&gt;0,TblTech[[#This Row],[Hour]:[Hour]]&gt;=BQ$2),1,0)</f>
        <v>0</v>
      </c>
      <c r="BR5" s="329" t="n">
        <f aca="false" t="array" ref="BR5:BR5">IF(AND(BR$2&lt;&gt;0,TblTech[[#This Row],[Hour]:[Hour]]&gt;=BR$2),1,0)</f>
        <v>0</v>
      </c>
      <c r="BS5" s="329" t="n">
        <f aca="false" t="array" ref="BS5:BS5">IF(AND(BS$2&lt;&gt;0,TblTech[[#This Row],[Hour]:[Hour]]&gt;=BS$2),1,0)</f>
        <v>0</v>
      </c>
      <c r="BT5" s="329" t="n">
        <f aca="false" t="array" ref="BT5:BT5">IF(AND(BT$2&lt;&gt;0,TblTech[[#This Row],[Hour]:[Hour]]&gt;=BT$2),1,0)</f>
        <v>0</v>
      </c>
      <c r="BU5" s="329" t="n">
        <f aca="false" t="array" ref="BU5:BU5">IF(AND(BU$2&lt;&gt;0,TblTech[[#This Row],[Hour]:[Hour]]&gt;=BU$2),1,0)</f>
        <v>0</v>
      </c>
      <c r="BV5" s="329" t="n">
        <f aca="false" t="array" ref="BV5:BV5">IF(AND(BV$2&lt;&gt;0,TblTech[[#This Row],[Hour]:[Hour]]&gt;=BV$2),1,0)</f>
        <v>0</v>
      </c>
      <c r="BW5" s="329" t="n">
        <f aca="false" t="array" ref="BW5:BW5">IF(AND(BW$2&lt;&gt;0,TblTech[[#This Row],[Hour]:[Hour]]&gt;=BW$2),1,0)</f>
        <v>0</v>
      </c>
      <c r="BX5" s="329" t="n">
        <f aca="false" t="array" ref="BX5:BX5">IF(AND(BX$2&lt;&gt;0,TblTech[[#This Row],[Hour]:[Hour]]&gt;=BX$2),1,0)</f>
        <v>0</v>
      </c>
      <c r="BY5" s="329" t="n">
        <f aca="false" t="array" ref="BY5:BY5">IF(AND(BY$2&lt;&gt;0,TblTech[[#This Row],[Hour]:[Hour]]&gt;=BY$2),1,0)</f>
        <v>0</v>
      </c>
      <c r="BZ5" s="329" t="n">
        <f aca="false" t="array" ref="BZ5:BZ5">IF(AND(BZ$2&lt;&gt;0,TblTech[[#This Row],[Hour]:[Hour]]&gt;=BZ$2),1,0)</f>
        <v>0</v>
      </c>
      <c r="CA5" s="330" t="n">
        <f aca="false">IFERROR(INDEX($H$4:$H$79,MATCH(INDEX(TblTech[[#Headers],[1-1]:[11-1]],1,MATCH(TblTech[[#This Row],[Hour]],$M$2:$BZ$2,0)),$G$4:$G$79,0)),)</f>
        <v>0</v>
      </c>
    </row>
    <row r="6" customFormat="false" ht="12.75" hidden="false" customHeight="false" outlineLevel="0" collapsed="false">
      <c r="A6" s="321" t="n">
        <f aca="false">TblRezone[[#This Row],[Hour]]</f>
        <v>3</v>
      </c>
      <c r="B6" s="322" t="n">
        <f aca="false">TblExplore[[#This Row],[Land-DB]]</f>
        <v>250</v>
      </c>
      <c r="C6" s="323" t="n">
        <f aca="false">TblProd[[#This Row],[Techpoints]]</f>
        <v>0</v>
      </c>
      <c r="D6" s="323" t="n">
        <f aca="false">TblProd[[#This Row],[Required]]</f>
        <v>3750</v>
      </c>
      <c r="E6" s="324"/>
      <c r="F6" s="325"/>
      <c r="G6" s="326" t="s">
        <v>526</v>
      </c>
      <c r="H6" s="327" t="s">
        <v>595</v>
      </c>
      <c r="I6" s="326" t="s">
        <v>596</v>
      </c>
      <c r="J6" s="322"/>
      <c r="K6" s="68" t="n">
        <f aca="false">IF(TblTech[[#This Row],[Sum of tech]]&lt;&gt;OFFSET(TblTech[[#This Row],[Sum of tech]],-1,0),1,0)</f>
        <v>0</v>
      </c>
      <c r="L6" s="328" t="n">
        <f aca="false">COUNTIF(TblTech[[#This Row],[1-1]:[11-1]],1)</f>
        <v>0</v>
      </c>
      <c r="M6" s="329" t="n">
        <f aca="false" t="array" ref="M6:M6">IF(AND(M$2&lt;&gt;0,TblTech[[#This Row],[Hour]:[Hour]]&gt;=M$2),1,0)</f>
        <v>0</v>
      </c>
      <c r="N6" s="329" t="n">
        <f aca="false" t="array" ref="N6:N6">IF(AND(N$2&lt;&gt;0,TblTech[[#This Row],[Hour]:[Hour]]&gt;=N$2),1,0)</f>
        <v>0</v>
      </c>
      <c r="O6" s="329" t="n">
        <f aca="false" t="array" ref="O6:O6">IF(AND(O$2&lt;&gt;0,TblTech[[#This Row],[Hour]:[Hour]]&gt;=O$2),1,0)</f>
        <v>0</v>
      </c>
      <c r="P6" s="329" t="n">
        <f aca="false" t="array" ref="P6:P6">IF(AND(P$2&lt;&gt;0,TblTech[[#This Row],[Hour]:[Hour]]&gt;=P$2),1,0)</f>
        <v>0</v>
      </c>
      <c r="Q6" s="329" t="n">
        <f aca="false" t="array" ref="Q6:Q6">IF(AND(Q$2&lt;&gt;0,TblTech[[#This Row],[Hour]:[Hour]]&gt;=Q$2),1,0)</f>
        <v>0</v>
      </c>
      <c r="R6" s="329" t="n">
        <f aca="false" t="array" ref="R6:R6">IF(AND(R$2&lt;&gt;0,TblTech[[#This Row],[Hour]:[Hour]]&gt;=R$2),1,0)</f>
        <v>0</v>
      </c>
      <c r="S6" s="329" t="n">
        <f aca="false" t="array" ref="S6:S6">IF(AND(S$2&lt;&gt;0,TblTech[[#This Row],[Hour]:[Hour]]&gt;=S$2),1,0)</f>
        <v>0</v>
      </c>
      <c r="T6" s="329" t="n">
        <f aca="false" t="array" ref="T6:T6">IF(AND(T$2&lt;&gt;0,TblTech[[#This Row],[Hour]:[Hour]]&gt;=T$2),1,0)</f>
        <v>0</v>
      </c>
      <c r="U6" s="329" t="n">
        <f aca="false" t="array" ref="U6:U6">IF(AND(U$2&lt;&gt;0,TblTech[[#This Row],[Hour]:[Hour]]&gt;=U$2),1,0)</f>
        <v>0</v>
      </c>
      <c r="V6" s="329" t="n">
        <f aca="false" t="array" ref="V6:V6">IF(AND(V$2&lt;&gt;0,TblTech[[#This Row],[Hour]:[Hour]]&gt;=V$2),1,0)</f>
        <v>0</v>
      </c>
      <c r="W6" s="329" t="n">
        <f aca="false" t="array" ref="W6:W6">IF(AND(W$2&lt;&gt;0,TblTech[[#This Row],[Hour]:[Hour]]&gt;=W$2),1,0)</f>
        <v>0</v>
      </c>
      <c r="X6" s="329" t="n">
        <f aca="false" t="array" ref="X6:X6">IF(AND(X$2&lt;&gt;0,TblTech[[#This Row],[Hour]:[Hour]]&gt;=X$2),1,0)</f>
        <v>0</v>
      </c>
      <c r="Y6" s="329" t="n">
        <f aca="false" t="array" ref="Y6:Y6">IF(AND(Y$2&lt;&gt;0,TblTech[[#This Row],[Hour]:[Hour]]&gt;=Y$2),1,0)</f>
        <v>0</v>
      </c>
      <c r="Z6" s="329" t="n">
        <f aca="false" t="array" ref="Z6:Z6">IF(AND(Z$2&lt;&gt;0,TblTech[[#This Row],[Hour]:[Hour]]&gt;=Z$2),1,0)</f>
        <v>0</v>
      </c>
      <c r="AA6" s="329" t="n">
        <f aca="false" t="array" ref="AA6:AA6">IF(AND(AA$2&lt;&gt;0,TblTech[[#This Row],[Hour]:[Hour]]&gt;=AA$2),1,0)</f>
        <v>0</v>
      </c>
      <c r="AB6" s="329" t="n">
        <f aca="false" t="array" ref="AB6:AB6">IF(AND(AB$2&lt;&gt;0,TblTech[[#This Row],[Hour]:[Hour]]&gt;=AB$2),1,0)</f>
        <v>0</v>
      </c>
      <c r="AC6" s="329" t="n">
        <f aca="false" t="array" ref="AC6:AC6">IF(AND(AC$2&lt;&gt;0,TblTech[[#This Row],[Hour]:[Hour]]&gt;=AC$2),1,0)</f>
        <v>0</v>
      </c>
      <c r="AD6" s="329" t="n">
        <f aca="false" t="array" ref="AD6:AD6">IF(AND(AD$2&lt;&gt;0,TblTech[[#This Row],[Hour]:[Hour]]&gt;=AD$2),1,0)</f>
        <v>0</v>
      </c>
      <c r="AE6" s="329" t="n">
        <f aca="false" t="array" ref="AE6:AE6">IF(AND(AE$2&lt;&gt;0,TblTech[[#This Row],[Hour]:[Hour]]&gt;=AE$2),1,0)</f>
        <v>0</v>
      </c>
      <c r="AF6" s="329" t="n">
        <f aca="false" t="array" ref="AF6:AF6">IF(AND(AF$2&lt;&gt;0,TblTech[[#This Row],[Hour]:[Hour]]&gt;=AF$2),1,0)</f>
        <v>0</v>
      </c>
      <c r="AG6" s="329" t="n">
        <f aca="false" t="array" ref="AG6:AG6">IF(AND(AG$2&lt;&gt;0,TblTech[[#This Row],[Hour]:[Hour]]&gt;=AG$2),1,0)</f>
        <v>0</v>
      </c>
      <c r="AH6" s="329" t="n">
        <f aca="false" t="array" ref="AH6:AH6">IF(AND(AH$2&lt;&gt;0,TblTech[[#This Row],[Hour]:[Hour]]&gt;=AH$2),1,0)</f>
        <v>0</v>
      </c>
      <c r="AI6" s="329" t="n">
        <f aca="false" t="array" ref="AI6:AI6">IF(AND(AI$2&lt;&gt;0,TblTech[[#This Row],[Hour]:[Hour]]&gt;=AI$2),1,0)</f>
        <v>0</v>
      </c>
      <c r="AJ6" s="329" t="n">
        <f aca="false" t="array" ref="AJ6:AJ6">IF(AND(AJ$2&lt;&gt;0,TblTech[[#This Row],[Hour]:[Hour]]&gt;=AJ$2),1,0)</f>
        <v>0</v>
      </c>
      <c r="AK6" s="329" t="n">
        <f aca="false" t="array" ref="AK6:AK6">IF(AND(AK$2&lt;&gt;0,TblTech[[#This Row],[Hour]:[Hour]]&gt;=AK$2),1,0)</f>
        <v>0</v>
      </c>
      <c r="AL6" s="329" t="n">
        <f aca="false" t="array" ref="AL6:AL6">IF(AND(AL$2&lt;&gt;0,TblTech[[#This Row],[Hour]:[Hour]]&gt;=AL$2),1,0)</f>
        <v>0</v>
      </c>
      <c r="AM6" s="329" t="n">
        <f aca="false" t="array" ref="AM6:AM6">IF(AND(AM$2&lt;&gt;0,TblTech[[#This Row],[Hour]:[Hour]]&gt;=AM$2),1,0)</f>
        <v>0</v>
      </c>
      <c r="AN6" s="329" t="n">
        <f aca="false" t="array" ref="AN6:AN6">IF(AND(AN$2&lt;&gt;0,TblTech[[#This Row],[Hour]:[Hour]]&gt;=AN$2),1,0)</f>
        <v>0</v>
      </c>
      <c r="AO6" s="329" t="n">
        <f aca="false" t="array" ref="AO6:AO6">IF(AND(AO$2&lt;&gt;0,TblTech[[#This Row],[Hour]:[Hour]]&gt;=AO$2),1,0)</f>
        <v>0</v>
      </c>
      <c r="AP6" s="329" t="n">
        <f aca="false" t="array" ref="AP6:AP6">IF(AND(AP$2&lt;&gt;0,TblTech[[#This Row],[Hour]:[Hour]]&gt;=AP$2),1,0)</f>
        <v>0</v>
      </c>
      <c r="AQ6" s="329" t="n">
        <f aca="false" t="array" ref="AQ6:AQ6">IF(AND(AQ$2&lt;&gt;0,TblTech[[#This Row],[Hour]:[Hour]]&gt;=AQ$2),1,0)</f>
        <v>0</v>
      </c>
      <c r="AR6" s="329" t="n">
        <f aca="false" t="array" ref="AR6:AR6">IF(AND(AR$2&lt;&gt;0,TblTech[[#This Row],[Hour]:[Hour]]&gt;=AR$2),1,0)</f>
        <v>0</v>
      </c>
      <c r="AS6" s="329" t="n">
        <f aca="false" t="array" ref="AS6:AS6">IF(AND(AS$2&lt;&gt;0,TblTech[[#This Row],[Hour]:[Hour]]&gt;=AS$2),1,0)</f>
        <v>0</v>
      </c>
      <c r="AT6" s="329" t="n">
        <f aca="false" t="array" ref="AT6:AT6">IF(AND(AT$2&lt;&gt;0,TblTech[[#This Row],[Hour]:[Hour]]&gt;=AT$2),1,0)</f>
        <v>0</v>
      </c>
      <c r="AU6" s="329" t="n">
        <f aca="false" t="array" ref="AU6:AU6">IF(AND(AU$2&lt;&gt;0,TblTech[[#This Row],[Hour]:[Hour]]&gt;=AU$2),1,0)</f>
        <v>0</v>
      </c>
      <c r="AV6" s="329" t="n">
        <f aca="false" t="array" ref="AV6:AV6">IF(AND(AV$2&lt;&gt;0,TblTech[[#This Row],[Hour]:[Hour]]&gt;=AV$2),1,0)</f>
        <v>0</v>
      </c>
      <c r="AW6" s="329" t="n">
        <f aca="false" t="array" ref="AW6:AW6">IF(AND(AW$2&lt;&gt;0,TblTech[[#This Row],[Hour]:[Hour]]&gt;=AW$2),1,0)</f>
        <v>0</v>
      </c>
      <c r="AX6" s="329" t="n">
        <f aca="false" t="array" ref="AX6:AX6">IF(AND(AX$2&lt;&gt;0,TblTech[[#This Row],[Hour]:[Hour]]&gt;=AX$2),1,0)</f>
        <v>0</v>
      </c>
      <c r="AY6" s="329" t="n">
        <f aca="false" t="array" ref="AY6:AY6">IF(AND(AY$2&lt;&gt;0,TblTech[[#This Row],[Hour]:[Hour]]&gt;=AY$2),1,0)</f>
        <v>0</v>
      </c>
      <c r="AZ6" s="329" t="n">
        <f aca="false" t="array" ref="AZ6:AZ6">IF(AND(AZ$2&lt;&gt;0,TblTech[[#This Row],[Hour]:[Hour]]&gt;=AZ$2),1,0)</f>
        <v>0</v>
      </c>
      <c r="BA6" s="329" t="n">
        <f aca="false" t="array" ref="BA6:BA6">IF(AND(BA$2&lt;&gt;0,TblTech[[#This Row],[Hour]:[Hour]]&gt;=BA$2),1,0)</f>
        <v>0</v>
      </c>
      <c r="BB6" s="329" t="n">
        <f aca="false" t="array" ref="BB6:BB6">IF(AND(BB$2&lt;&gt;0,TblTech[[#This Row],[Hour]:[Hour]]&gt;=BB$2),1,0)</f>
        <v>0</v>
      </c>
      <c r="BC6" s="329" t="n">
        <f aca="false" t="array" ref="BC6:BC6">IF(AND(BC$2&lt;&gt;0,TblTech[[#This Row],[Hour]:[Hour]]&gt;=BC$2),1,0)</f>
        <v>0</v>
      </c>
      <c r="BD6" s="329" t="n">
        <f aca="false" t="array" ref="BD6:BD6">IF(AND(BD$2&lt;&gt;0,TblTech[[#This Row],[Hour]:[Hour]]&gt;=BD$2),1,0)</f>
        <v>0</v>
      </c>
      <c r="BE6" s="329" t="n">
        <f aca="false" t="array" ref="BE6:BE6">IF(AND(BE$2&lt;&gt;0,TblTech[[#This Row],[Hour]:[Hour]]&gt;=BE$2),1,0)</f>
        <v>0</v>
      </c>
      <c r="BF6" s="329" t="n">
        <f aca="false" t="array" ref="BF6:BF6">IF(AND(BF$2&lt;&gt;0,TblTech[[#This Row],[Hour]:[Hour]]&gt;=BF$2),1,0)</f>
        <v>0</v>
      </c>
      <c r="BG6" s="329" t="n">
        <f aca="false" t="array" ref="BG6:BG6">IF(AND(BG$2&lt;&gt;0,TblTech[[#This Row],[Hour]:[Hour]]&gt;=BG$2),1,0)</f>
        <v>0</v>
      </c>
      <c r="BH6" s="329" t="n">
        <f aca="false" t="array" ref="BH6:BH6">IF(AND(BH$2&lt;&gt;0,TblTech[[#This Row],[Hour]:[Hour]]&gt;=BH$2),1,0)</f>
        <v>0</v>
      </c>
      <c r="BI6" s="329" t="n">
        <f aca="false" t="array" ref="BI6:BI6">IF(AND(BI$2&lt;&gt;0,TblTech[[#This Row],[Hour]:[Hour]]&gt;=BI$2),1,0)</f>
        <v>0</v>
      </c>
      <c r="BJ6" s="329" t="n">
        <f aca="false" t="array" ref="BJ6:BJ6">IF(AND(BJ$2&lt;&gt;0,TblTech[[#This Row],[Hour]:[Hour]]&gt;=BJ$2),1,0)</f>
        <v>0</v>
      </c>
      <c r="BK6" s="329" t="n">
        <f aca="false" t="array" ref="BK6:BK6">IF(AND(BK$2&lt;&gt;0,TblTech[[#This Row],[Hour]:[Hour]]&gt;=BK$2),1,0)</f>
        <v>0</v>
      </c>
      <c r="BL6" s="329" t="n">
        <f aca="false" t="array" ref="BL6:BL6">IF(AND(BL$2&lt;&gt;0,TblTech[[#This Row],[Hour]:[Hour]]&gt;=BL$2),1,0)</f>
        <v>0</v>
      </c>
      <c r="BM6" s="329" t="n">
        <f aca="false" t="array" ref="BM6:BM6">IF(AND(BM$2&lt;&gt;0,TblTech[[#This Row],[Hour]:[Hour]]&gt;=BM$2),1,0)</f>
        <v>0</v>
      </c>
      <c r="BN6" s="329" t="n">
        <f aca="false" t="array" ref="BN6:BN6">IF(AND(BN$2&lt;&gt;0,TblTech[[#This Row],[Hour]:[Hour]]&gt;=BN$2),1,0)</f>
        <v>0</v>
      </c>
      <c r="BO6" s="329" t="n">
        <f aca="false" t="array" ref="BO6:BO6">IF(AND(BO$2&lt;&gt;0,TblTech[[#This Row],[Hour]:[Hour]]&gt;=BO$2),1,0)</f>
        <v>0</v>
      </c>
      <c r="BP6" s="329" t="n">
        <f aca="false" t="array" ref="BP6:BP6">IF(AND(BP$2&lt;&gt;0,TblTech[[#This Row],[Hour]:[Hour]]&gt;=BP$2),1,0)</f>
        <v>0</v>
      </c>
      <c r="BQ6" s="329" t="n">
        <f aca="false" t="array" ref="BQ6:BQ6">IF(AND(BQ$2&lt;&gt;0,TblTech[[#This Row],[Hour]:[Hour]]&gt;=BQ$2),1,0)</f>
        <v>0</v>
      </c>
      <c r="BR6" s="329" t="n">
        <f aca="false" t="array" ref="BR6:BR6">IF(AND(BR$2&lt;&gt;0,TblTech[[#This Row],[Hour]:[Hour]]&gt;=BR$2),1,0)</f>
        <v>0</v>
      </c>
      <c r="BS6" s="329" t="n">
        <f aca="false" t="array" ref="BS6:BS6">IF(AND(BS$2&lt;&gt;0,TblTech[[#This Row],[Hour]:[Hour]]&gt;=BS$2),1,0)</f>
        <v>0</v>
      </c>
      <c r="BT6" s="329" t="n">
        <f aca="false" t="array" ref="BT6:BT6">IF(AND(BT$2&lt;&gt;0,TblTech[[#This Row],[Hour]:[Hour]]&gt;=BT$2),1,0)</f>
        <v>0</v>
      </c>
      <c r="BU6" s="329" t="n">
        <f aca="false" t="array" ref="BU6:BU6">IF(AND(BU$2&lt;&gt;0,TblTech[[#This Row],[Hour]:[Hour]]&gt;=BU$2),1,0)</f>
        <v>0</v>
      </c>
      <c r="BV6" s="329" t="n">
        <f aca="false" t="array" ref="BV6:BV6">IF(AND(BV$2&lt;&gt;0,TblTech[[#This Row],[Hour]:[Hour]]&gt;=BV$2),1,0)</f>
        <v>0</v>
      </c>
      <c r="BW6" s="329" t="n">
        <f aca="false" t="array" ref="BW6:BW6">IF(AND(BW$2&lt;&gt;0,TblTech[[#This Row],[Hour]:[Hour]]&gt;=BW$2),1,0)</f>
        <v>0</v>
      </c>
      <c r="BX6" s="329" t="n">
        <f aca="false" t="array" ref="BX6:BX6">IF(AND(BX$2&lt;&gt;0,TblTech[[#This Row],[Hour]:[Hour]]&gt;=BX$2),1,0)</f>
        <v>0</v>
      </c>
      <c r="BY6" s="329" t="n">
        <f aca="false" t="array" ref="BY6:BY6">IF(AND(BY$2&lt;&gt;0,TblTech[[#This Row],[Hour]:[Hour]]&gt;=BY$2),1,0)</f>
        <v>0</v>
      </c>
      <c r="BZ6" s="329" t="n">
        <f aca="false" t="array" ref="BZ6:BZ6">IF(AND(BZ$2&lt;&gt;0,TblTech[[#This Row],[Hour]:[Hour]]&gt;=BZ$2),1,0)</f>
        <v>0</v>
      </c>
      <c r="CA6" s="330" t="n">
        <f aca="false">IFERROR(INDEX($H$4:$H$79,MATCH(INDEX(TblTech[[#Headers],[1-1]:[11-1]],1,MATCH(TblTech[[#This Row],[Hour]],$M$2:$BZ$2,0)),$G$4:$G$79,0)),)</f>
        <v>0</v>
      </c>
    </row>
    <row r="7" customFormat="false" ht="12.75" hidden="false" customHeight="false" outlineLevel="0" collapsed="false">
      <c r="A7" s="321" t="n">
        <f aca="false">TblRezone[[#This Row],[Hour]]</f>
        <v>4</v>
      </c>
      <c r="B7" s="322" t="n">
        <f aca="false">TblExplore[[#This Row],[Land-DB]]</f>
        <v>250</v>
      </c>
      <c r="C7" s="323" t="n">
        <f aca="false">TblProd[[#This Row],[Techpoints]]</f>
        <v>0</v>
      </c>
      <c r="D7" s="323" t="n">
        <f aca="false">TblProd[[#This Row],[Required]]</f>
        <v>3750</v>
      </c>
      <c r="E7" s="324"/>
      <c r="F7" s="325"/>
      <c r="G7" s="326" t="s">
        <v>527</v>
      </c>
      <c r="H7" s="327" t="s">
        <v>597</v>
      </c>
      <c r="I7" s="326" t="s">
        <v>598</v>
      </c>
      <c r="J7" s="322"/>
      <c r="K7" s="68" t="n">
        <f aca="false">IF(TblTech[[#This Row],[Sum of tech]]&lt;&gt;OFFSET(TblTech[[#This Row],[Sum of tech]],-1,0),1,0)</f>
        <v>0</v>
      </c>
      <c r="L7" s="328" t="n">
        <f aca="false">COUNTIF(TblTech[[#This Row],[1-1]:[11-1]],1)</f>
        <v>0</v>
      </c>
      <c r="M7" s="329" t="n">
        <f aca="false" t="array" ref="M7:M7">IF(AND(M$2&lt;&gt;0,TblTech[[#This Row],[Hour]:[Hour]]&gt;=M$2),1,0)</f>
        <v>0</v>
      </c>
      <c r="N7" s="329" t="n">
        <f aca="false" t="array" ref="N7:N7">IF(AND(N$2&lt;&gt;0,TblTech[[#This Row],[Hour]:[Hour]]&gt;=N$2),1,0)</f>
        <v>0</v>
      </c>
      <c r="O7" s="329" t="n">
        <f aca="false" t="array" ref="O7:O7">IF(AND(O$2&lt;&gt;0,TblTech[[#This Row],[Hour]:[Hour]]&gt;=O$2),1,0)</f>
        <v>0</v>
      </c>
      <c r="P7" s="329" t="n">
        <f aca="false" t="array" ref="P7:P7">IF(AND(P$2&lt;&gt;0,TblTech[[#This Row],[Hour]:[Hour]]&gt;=P$2),1,0)</f>
        <v>0</v>
      </c>
      <c r="Q7" s="329" t="n">
        <f aca="false" t="array" ref="Q7:Q7">IF(AND(Q$2&lt;&gt;0,TblTech[[#This Row],[Hour]:[Hour]]&gt;=Q$2),1,0)</f>
        <v>0</v>
      </c>
      <c r="R7" s="329" t="n">
        <f aca="false" t="array" ref="R7:R7">IF(AND(R$2&lt;&gt;0,TblTech[[#This Row],[Hour]:[Hour]]&gt;=R$2),1,0)</f>
        <v>0</v>
      </c>
      <c r="S7" s="329" t="n">
        <f aca="false" t="array" ref="S7:S7">IF(AND(S$2&lt;&gt;0,TblTech[[#This Row],[Hour]:[Hour]]&gt;=S$2),1,0)</f>
        <v>0</v>
      </c>
      <c r="T7" s="329" t="n">
        <f aca="false" t="array" ref="T7:T7">IF(AND(T$2&lt;&gt;0,TblTech[[#This Row],[Hour]:[Hour]]&gt;=T$2),1,0)</f>
        <v>0</v>
      </c>
      <c r="U7" s="329" t="n">
        <f aca="false" t="array" ref="U7:U7">IF(AND(U$2&lt;&gt;0,TblTech[[#This Row],[Hour]:[Hour]]&gt;=U$2),1,0)</f>
        <v>0</v>
      </c>
      <c r="V7" s="329" t="n">
        <f aca="false" t="array" ref="V7:V7">IF(AND(V$2&lt;&gt;0,TblTech[[#This Row],[Hour]:[Hour]]&gt;=V$2),1,0)</f>
        <v>0</v>
      </c>
      <c r="W7" s="329" t="n">
        <f aca="false" t="array" ref="W7:W7">IF(AND(W$2&lt;&gt;0,TblTech[[#This Row],[Hour]:[Hour]]&gt;=W$2),1,0)</f>
        <v>0</v>
      </c>
      <c r="X7" s="329" t="n">
        <f aca="false" t="array" ref="X7:X7">IF(AND(X$2&lt;&gt;0,TblTech[[#This Row],[Hour]:[Hour]]&gt;=X$2),1,0)</f>
        <v>0</v>
      </c>
      <c r="Y7" s="329" t="n">
        <f aca="false" t="array" ref="Y7:Y7">IF(AND(Y$2&lt;&gt;0,TblTech[[#This Row],[Hour]:[Hour]]&gt;=Y$2),1,0)</f>
        <v>0</v>
      </c>
      <c r="Z7" s="329" t="n">
        <f aca="false" t="array" ref="Z7:Z7">IF(AND(Z$2&lt;&gt;0,TblTech[[#This Row],[Hour]:[Hour]]&gt;=Z$2),1,0)</f>
        <v>0</v>
      </c>
      <c r="AA7" s="329" t="n">
        <f aca="false" t="array" ref="AA7:AA7">IF(AND(AA$2&lt;&gt;0,TblTech[[#This Row],[Hour]:[Hour]]&gt;=AA$2),1,0)</f>
        <v>0</v>
      </c>
      <c r="AB7" s="329" t="n">
        <f aca="false" t="array" ref="AB7:AB7">IF(AND(AB$2&lt;&gt;0,TblTech[[#This Row],[Hour]:[Hour]]&gt;=AB$2),1,0)</f>
        <v>0</v>
      </c>
      <c r="AC7" s="329" t="n">
        <f aca="false" t="array" ref="AC7:AC7">IF(AND(AC$2&lt;&gt;0,TblTech[[#This Row],[Hour]:[Hour]]&gt;=AC$2),1,0)</f>
        <v>0</v>
      </c>
      <c r="AD7" s="329" t="n">
        <f aca="false" t="array" ref="AD7:AD7">IF(AND(AD$2&lt;&gt;0,TblTech[[#This Row],[Hour]:[Hour]]&gt;=AD$2),1,0)</f>
        <v>0</v>
      </c>
      <c r="AE7" s="329" t="n">
        <f aca="false" t="array" ref="AE7:AE7">IF(AND(AE$2&lt;&gt;0,TblTech[[#This Row],[Hour]:[Hour]]&gt;=AE$2),1,0)</f>
        <v>0</v>
      </c>
      <c r="AF7" s="329" t="n">
        <f aca="false" t="array" ref="AF7:AF7">IF(AND(AF$2&lt;&gt;0,TblTech[[#This Row],[Hour]:[Hour]]&gt;=AF$2),1,0)</f>
        <v>0</v>
      </c>
      <c r="AG7" s="329" t="n">
        <f aca="false" t="array" ref="AG7:AG7">IF(AND(AG$2&lt;&gt;0,TblTech[[#This Row],[Hour]:[Hour]]&gt;=AG$2),1,0)</f>
        <v>0</v>
      </c>
      <c r="AH7" s="329" t="n">
        <f aca="false" t="array" ref="AH7:AH7">IF(AND(AH$2&lt;&gt;0,TblTech[[#This Row],[Hour]:[Hour]]&gt;=AH$2),1,0)</f>
        <v>0</v>
      </c>
      <c r="AI7" s="329" t="n">
        <f aca="false" t="array" ref="AI7:AI7">IF(AND(AI$2&lt;&gt;0,TblTech[[#This Row],[Hour]:[Hour]]&gt;=AI$2),1,0)</f>
        <v>0</v>
      </c>
      <c r="AJ7" s="329" t="n">
        <f aca="false" t="array" ref="AJ7:AJ7">IF(AND(AJ$2&lt;&gt;0,TblTech[[#This Row],[Hour]:[Hour]]&gt;=AJ$2),1,0)</f>
        <v>0</v>
      </c>
      <c r="AK7" s="329" t="n">
        <f aca="false" t="array" ref="AK7:AK7">IF(AND(AK$2&lt;&gt;0,TblTech[[#This Row],[Hour]:[Hour]]&gt;=AK$2),1,0)</f>
        <v>0</v>
      </c>
      <c r="AL7" s="329" t="n">
        <f aca="false" t="array" ref="AL7:AL7">IF(AND(AL$2&lt;&gt;0,TblTech[[#This Row],[Hour]:[Hour]]&gt;=AL$2),1,0)</f>
        <v>0</v>
      </c>
      <c r="AM7" s="329" t="n">
        <f aca="false" t="array" ref="AM7:AM7">IF(AND(AM$2&lt;&gt;0,TblTech[[#This Row],[Hour]:[Hour]]&gt;=AM$2),1,0)</f>
        <v>0</v>
      </c>
      <c r="AN7" s="329" t="n">
        <f aca="false" t="array" ref="AN7:AN7">IF(AND(AN$2&lt;&gt;0,TblTech[[#This Row],[Hour]:[Hour]]&gt;=AN$2),1,0)</f>
        <v>0</v>
      </c>
      <c r="AO7" s="329" t="n">
        <f aca="false" t="array" ref="AO7:AO7">IF(AND(AO$2&lt;&gt;0,TblTech[[#This Row],[Hour]:[Hour]]&gt;=AO$2),1,0)</f>
        <v>0</v>
      </c>
      <c r="AP7" s="329" t="n">
        <f aca="false" t="array" ref="AP7:AP7">IF(AND(AP$2&lt;&gt;0,TblTech[[#This Row],[Hour]:[Hour]]&gt;=AP$2),1,0)</f>
        <v>0</v>
      </c>
      <c r="AQ7" s="329" t="n">
        <f aca="false" t="array" ref="AQ7:AQ7">IF(AND(AQ$2&lt;&gt;0,TblTech[[#This Row],[Hour]:[Hour]]&gt;=AQ$2),1,0)</f>
        <v>0</v>
      </c>
      <c r="AR7" s="329" t="n">
        <f aca="false" t="array" ref="AR7:AR7">IF(AND(AR$2&lt;&gt;0,TblTech[[#This Row],[Hour]:[Hour]]&gt;=AR$2),1,0)</f>
        <v>0</v>
      </c>
      <c r="AS7" s="329" t="n">
        <f aca="false" t="array" ref="AS7:AS7">IF(AND(AS$2&lt;&gt;0,TblTech[[#This Row],[Hour]:[Hour]]&gt;=AS$2),1,0)</f>
        <v>0</v>
      </c>
      <c r="AT7" s="329" t="n">
        <f aca="false" t="array" ref="AT7:AT7">IF(AND(AT$2&lt;&gt;0,TblTech[[#This Row],[Hour]:[Hour]]&gt;=AT$2),1,0)</f>
        <v>0</v>
      </c>
      <c r="AU7" s="329" t="n">
        <f aca="false" t="array" ref="AU7:AU7">IF(AND(AU$2&lt;&gt;0,TblTech[[#This Row],[Hour]:[Hour]]&gt;=AU$2),1,0)</f>
        <v>0</v>
      </c>
      <c r="AV7" s="329" t="n">
        <f aca="false" t="array" ref="AV7:AV7">IF(AND(AV$2&lt;&gt;0,TblTech[[#This Row],[Hour]:[Hour]]&gt;=AV$2),1,0)</f>
        <v>0</v>
      </c>
      <c r="AW7" s="329" t="n">
        <f aca="false" t="array" ref="AW7:AW7">IF(AND(AW$2&lt;&gt;0,TblTech[[#This Row],[Hour]:[Hour]]&gt;=AW$2),1,0)</f>
        <v>0</v>
      </c>
      <c r="AX7" s="329" t="n">
        <f aca="false" t="array" ref="AX7:AX7">IF(AND(AX$2&lt;&gt;0,TblTech[[#This Row],[Hour]:[Hour]]&gt;=AX$2),1,0)</f>
        <v>0</v>
      </c>
      <c r="AY7" s="329" t="n">
        <f aca="false" t="array" ref="AY7:AY7">IF(AND(AY$2&lt;&gt;0,TblTech[[#This Row],[Hour]:[Hour]]&gt;=AY$2),1,0)</f>
        <v>0</v>
      </c>
      <c r="AZ7" s="329" t="n">
        <f aca="false" t="array" ref="AZ7:AZ7">IF(AND(AZ$2&lt;&gt;0,TblTech[[#This Row],[Hour]:[Hour]]&gt;=AZ$2),1,0)</f>
        <v>0</v>
      </c>
      <c r="BA7" s="329" t="n">
        <f aca="false" t="array" ref="BA7:BA7">IF(AND(BA$2&lt;&gt;0,TblTech[[#This Row],[Hour]:[Hour]]&gt;=BA$2),1,0)</f>
        <v>0</v>
      </c>
      <c r="BB7" s="329" t="n">
        <f aca="false" t="array" ref="BB7:BB7">IF(AND(BB$2&lt;&gt;0,TblTech[[#This Row],[Hour]:[Hour]]&gt;=BB$2),1,0)</f>
        <v>0</v>
      </c>
      <c r="BC7" s="329" t="n">
        <f aca="false" t="array" ref="BC7:BC7">IF(AND(BC$2&lt;&gt;0,TblTech[[#This Row],[Hour]:[Hour]]&gt;=BC$2),1,0)</f>
        <v>0</v>
      </c>
      <c r="BD7" s="329" t="n">
        <f aca="false" t="array" ref="BD7:BD7">IF(AND(BD$2&lt;&gt;0,TblTech[[#This Row],[Hour]:[Hour]]&gt;=BD$2),1,0)</f>
        <v>0</v>
      </c>
      <c r="BE7" s="329" t="n">
        <f aca="false" t="array" ref="BE7:BE7">IF(AND(BE$2&lt;&gt;0,TblTech[[#This Row],[Hour]:[Hour]]&gt;=BE$2),1,0)</f>
        <v>0</v>
      </c>
      <c r="BF7" s="329" t="n">
        <f aca="false" t="array" ref="BF7:BF7">IF(AND(BF$2&lt;&gt;0,TblTech[[#This Row],[Hour]:[Hour]]&gt;=BF$2),1,0)</f>
        <v>0</v>
      </c>
      <c r="BG7" s="329" t="n">
        <f aca="false" t="array" ref="BG7:BG7">IF(AND(BG$2&lt;&gt;0,TblTech[[#This Row],[Hour]:[Hour]]&gt;=BG$2),1,0)</f>
        <v>0</v>
      </c>
      <c r="BH7" s="329" t="n">
        <f aca="false" t="array" ref="BH7:BH7">IF(AND(BH$2&lt;&gt;0,TblTech[[#This Row],[Hour]:[Hour]]&gt;=BH$2),1,0)</f>
        <v>0</v>
      </c>
      <c r="BI7" s="329" t="n">
        <f aca="false" t="array" ref="BI7:BI7">IF(AND(BI$2&lt;&gt;0,TblTech[[#This Row],[Hour]:[Hour]]&gt;=BI$2),1,0)</f>
        <v>0</v>
      </c>
      <c r="BJ7" s="329" t="n">
        <f aca="false" t="array" ref="BJ7:BJ7">IF(AND(BJ$2&lt;&gt;0,TblTech[[#This Row],[Hour]:[Hour]]&gt;=BJ$2),1,0)</f>
        <v>0</v>
      </c>
      <c r="BK7" s="329" t="n">
        <f aca="false" t="array" ref="BK7:BK7">IF(AND(BK$2&lt;&gt;0,TblTech[[#This Row],[Hour]:[Hour]]&gt;=BK$2),1,0)</f>
        <v>0</v>
      </c>
      <c r="BL7" s="329" t="n">
        <f aca="false" t="array" ref="BL7:BL7">IF(AND(BL$2&lt;&gt;0,TblTech[[#This Row],[Hour]:[Hour]]&gt;=BL$2),1,0)</f>
        <v>0</v>
      </c>
      <c r="BM7" s="329" t="n">
        <f aca="false" t="array" ref="BM7:BM7">IF(AND(BM$2&lt;&gt;0,TblTech[[#This Row],[Hour]:[Hour]]&gt;=BM$2),1,0)</f>
        <v>0</v>
      </c>
      <c r="BN7" s="329" t="n">
        <f aca="false" t="array" ref="BN7:BN7">IF(AND(BN$2&lt;&gt;0,TblTech[[#This Row],[Hour]:[Hour]]&gt;=BN$2),1,0)</f>
        <v>0</v>
      </c>
      <c r="BO7" s="329" t="n">
        <f aca="false" t="array" ref="BO7:BO7">IF(AND(BO$2&lt;&gt;0,TblTech[[#This Row],[Hour]:[Hour]]&gt;=BO$2),1,0)</f>
        <v>0</v>
      </c>
      <c r="BP7" s="329" t="n">
        <f aca="false" t="array" ref="BP7:BP7">IF(AND(BP$2&lt;&gt;0,TblTech[[#This Row],[Hour]:[Hour]]&gt;=BP$2),1,0)</f>
        <v>0</v>
      </c>
      <c r="BQ7" s="329" t="n">
        <f aca="false" t="array" ref="BQ7:BQ7">IF(AND(BQ$2&lt;&gt;0,TblTech[[#This Row],[Hour]:[Hour]]&gt;=BQ$2),1,0)</f>
        <v>0</v>
      </c>
      <c r="BR7" s="329" t="n">
        <f aca="false" t="array" ref="BR7:BR7">IF(AND(BR$2&lt;&gt;0,TblTech[[#This Row],[Hour]:[Hour]]&gt;=BR$2),1,0)</f>
        <v>0</v>
      </c>
      <c r="BS7" s="329" t="n">
        <f aca="false" t="array" ref="BS7:BS7">IF(AND(BS$2&lt;&gt;0,TblTech[[#This Row],[Hour]:[Hour]]&gt;=BS$2),1,0)</f>
        <v>0</v>
      </c>
      <c r="BT7" s="329" t="n">
        <f aca="false" t="array" ref="BT7:BT7">IF(AND(BT$2&lt;&gt;0,TblTech[[#This Row],[Hour]:[Hour]]&gt;=BT$2),1,0)</f>
        <v>0</v>
      </c>
      <c r="BU7" s="329" t="n">
        <f aca="false" t="array" ref="BU7:BU7">IF(AND(BU$2&lt;&gt;0,TblTech[[#This Row],[Hour]:[Hour]]&gt;=BU$2),1,0)</f>
        <v>0</v>
      </c>
      <c r="BV7" s="329" t="n">
        <f aca="false" t="array" ref="BV7:BV7">IF(AND(BV$2&lt;&gt;0,TblTech[[#This Row],[Hour]:[Hour]]&gt;=BV$2),1,0)</f>
        <v>0</v>
      </c>
      <c r="BW7" s="329" t="n">
        <f aca="false" t="array" ref="BW7:BW7">IF(AND(BW$2&lt;&gt;0,TblTech[[#This Row],[Hour]:[Hour]]&gt;=BW$2),1,0)</f>
        <v>0</v>
      </c>
      <c r="BX7" s="329" t="n">
        <f aca="false" t="array" ref="BX7:BX7">IF(AND(BX$2&lt;&gt;0,TblTech[[#This Row],[Hour]:[Hour]]&gt;=BX$2),1,0)</f>
        <v>0</v>
      </c>
      <c r="BY7" s="329" t="n">
        <f aca="false" t="array" ref="BY7:BY7">IF(AND(BY$2&lt;&gt;0,TblTech[[#This Row],[Hour]:[Hour]]&gt;=BY$2),1,0)</f>
        <v>0</v>
      </c>
      <c r="BZ7" s="329" t="n">
        <f aca="false" t="array" ref="BZ7:BZ7">IF(AND(BZ$2&lt;&gt;0,TblTech[[#This Row],[Hour]:[Hour]]&gt;=BZ$2),1,0)</f>
        <v>0</v>
      </c>
      <c r="CA7" s="330" t="n">
        <f aca="false">IFERROR(INDEX($H$4:$H$79,MATCH(INDEX(TblTech[[#Headers],[1-1]:[11-1]],1,MATCH(TblTech[[#This Row],[Hour]],$M$2:$BZ$2,0)),$G$4:$G$79,0)),)</f>
        <v>0</v>
      </c>
    </row>
    <row r="8" customFormat="false" ht="12.75" hidden="false" customHeight="false" outlineLevel="0" collapsed="false">
      <c r="A8" s="321" t="n">
        <f aca="false">TblRezone[[#This Row],[Hour]]</f>
        <v>5</v>
      </c>
      <c r="B8" s="322" t="n">
        <f aca="false">TblExplore[[#This Row],[Land-DB]]</f>
        <v>250</v>
      </c>
      <c r="C8" s="323" t="n">
        <f aca="false">TblProd[[#This Row],[Techpoints]]</f>
        <v>0</v>
      </c>
      <c r="D8" s="323" t="n">
        <f aca="false">TblProd[[#This Row],[Required]]</f>
        <v>3750</v>
      </c>
      <c r="E8" s="324"/>
      <c r="F8" s="325"/>
      <c r="G8" s="326" t="s">
        <v>528</v>
      </c>
      <c r="H8" s="327" t="s">
        <v>599</v>
      </c>
      <c r="I8" s="326" t="s">
        <v>600</v>
      </c>
      <c r="J8" s="322"/>
      <c r="K8" s="68" t="n">
        <f aca="false">IF(TblTech[[#This Row],[Sum of tech]]&lt;&gt;OFFSET(TblTech[[#This Row],[Sum of tech]],-1,0),1,0)</f>
        <v>0</v>
      </c>
      <c r="L8" s="328" t="n">
        <f aca="false">COUNTIF(TblTech[[#This Row],[1-1]:[11-1]],1)</f>
        <v>0</v>
      </c>
      <c r="M8" s="329" t="n">
        <f aca="false" t="array" ref="M8:M8">IF(AND(M$2&lt;&gt;0,TblTech[[#This Row],[Hour]:[Hour]]&gt;=M$2),1,0)</f>
        <v>0</v>
      </c>
      <c r="N8" s="329" t="n">
        <f aca="false" t="array" ref="N8:N8">IF(AND(N$2&lt;&gt;0,TblTech[[#This Row],[Hour]:[Hour]]&gt;=N$2),1,0)</f>
        <v>0</v>
      </c>
      <c r="O8" s="329" t="n">
        <f aca="false" t="array" ref="O8:O8">IF(AND(O$2&lt;&gt;0,TblTech[[#This Row],[Hour]:[Hour]]&gt;=O$2),1,0)</f>
        <v>0</v>
      </c>
      <c r="P8" s="329" t="n">
        <f aca="false" t="array" ref="P8:P8">IF(AND(P$2&lt;&gt;0,TblTech[[#This Row],[Hour]:[Hour]]&gt;=P$2),1,0)</f>
        <v>0</v>
      </c>
      <c r="Q8" s="329" t="n">
        <f aca="false" t="array" ref="Q8:Q8">IF(AND(Q$2&lt;&gt;0,TblTech[[#This Row],[Hour]:[Hour]]&gt;=Q$2),1,0)</f>
        <v>0</v>
      </c>
      <c r="R8" s="329" t="n">
        <f aca="false" t="array" ref="R8:R8">IF(AND(R$2&lt;&gt;0,TblTech[[#This Row],[Hour]:[Hour]]&gt;=R$2),1,0)</f>
        <v>0</v>
      </c>
      <c r="S8" s="329" t="n">
        <f aca="false" t="array" ref="S8:S8">IF(AND(S$2&lt;&gt;0,TblTech[[#This Row],[Hour]:[Hour]]&gt;=S$2),1,0)</f>
        <v>0</v>
      </c>
      <c r="T8" s="329" t="n">
        <f aca="false" t="array" ref="T8:T8">IF(AND(T$2&lt;&gt;0,TblTech[[#This Row],[Hour]:[Hour]]&gt;=T$2),1,0)</f>
        <v>0</v>
      </c>
      <c r="U8" s="329" t="n">
        <f aca="false" t="array" ref="U8:U8">IF(AND(U$2&lt;&gt;0,TblTech[[#This Row],[Hour]:[Hour]]&gt;=U$2),1,0)</f>
        <v>0</v>
      </c>
      <c r="V8" s="329" t="n">
        <f aca="false" t="array" ref="V8:V8">IF(AND(V$2&lt;&gt;0,TblTech[[#This Row],[Hour]:[Hour]]&gt;=V$2),1,0)</f>
        <v>0</v>
      </c>
      <c r="W8" s="329" t="n">
        <f aca="false" t="array" ref="W8:W8">IF(AND(W$2&lt;&gt;0,TblTech[[#This Row],[Hour]:[Hour]]&gt;=W$2),1,0)</f>
        <v>0</v>
      </c>
      <c r="X8" s="329" t="n">
        <f aca="false" t="array" ref="X8:X8">IF(AND(X$2&lt;&gt;0,TblTech[[#This Row],[Hour]:[Hour]]&gt;=X$2),1,0)</f>
        <v>0</v>
      </c>
      <c r="Y8" s="329" t="n">
        <f aca="false" t="array" ref="Y8:Y8">IF(AND(Y$2&lt;&gt;0,TblTech[[#This Row],[Hour]:[Hour]]&gt;=Y$2),1,0)</f>
        <v>0</v>
      </c>
      <c r="Z8" s="329" t="n">
        <f aca="false" t="array" ref="Z8:Z8">IF(AND(Z$2&lt;&gt;0,TblTech[[#This Row],[Hour]:[Hour]]&gt;=Z$2),1,0)</f>
        <v>0</v>
      </c>
      <c r="AA8" s="329" t="n">
        <f aca="false" t="array" ref="AA8:AA8">IF(AND(AA$2&lt;&gt;0,TblTech[[#This Row],[Hour]:[Hour]]&gt;=AA$2),1,0)</f>
        <v>0</v>
      </c>
      <c r="AB8" s="329" t="n">
        <f aca="false" t="array" ref="AB8:AB8">IF(AND(AB$2&lt;&gt;0,TblTech[[#This Row],[Hour]:[Hour]]&gt;=AB$2),1,0)</f>
        <v>0</v>
      </c>
      <c r="AC8" s="329" t="n">
        <f aca="false" t="array" ref="AC8:AC8">IF(AND(AC$2&lt;&gt;0,TblTech[[#This Row],[Hour]:[Hour]]&gt;=AC$2),1,0)</f>
        <v>0</v>
      </c>
      <c r="AD8" s="329" t="n">
        <f aca="false" t="array" ref="AD8:AD8">IF(AND(AD$2&lt;&gt;0,TblTech[[#This Row],[Hour]:[Hour]]&gt;=AD$2),1,0)</f>
        <v>0</v>
      </c>
      <c r="AE8" s="329" t="n">
        <f aca="false" t="array" ref="AE8:AE8">IF(AND(AE$2&lt;&gt;0,TblTech[[#This Row],[Hour]:[Hour]]&gt;=AE$2),1,0)</f>
        <v>0</v>
      </c>
      <c r="AF8" s="329" t="n">
        <f aca="false" t="array" ref="AF8:AF8">IF(AND(AF$2&lt;&gt;0,TblTech[[#This Row],[Hour]:[Hour]]&gt;=AF$2),1,0)</f>
        <v>0</v>
      </c>
      <c r="AG8" s="329" t="n">
        <f aca="false" t="array" ref="AG8:AG8">IF(AND(AG$2&lt;&gt;0,TblTech[[#This Row],[Hour]:[Hour]]&gt;=AG$2),1,0)</f>
        <v>0</v>
      </c>
      <c r="AH8" s="329" t="n">
        <f aca="false" t="array" ref="AH8:AH8">IF(AND(AH$2&lt;&gt;0,TblTech[[#This Row],[Hour]:[Hour]]&gt;=AH$2),1,0)</f>
        <v>0</v>
      </c>
      <c r="AI8" s="329" t="n">
        <f aca="false" t="array" ref="AI8:AI8">IF(AND(AI$2&lt;&gt;0,TblTech[[#This Row],[Hour]:[Hour]]&gt;=AI$2),1,0)</f>
        <v>0</v>
      </c>
      <c r="AJ8" s="329" t="n">
        <f aca="false" t="array" ref="AJ8:AJ8">IF(AND(AJ$2&lt;&gt;0,TblTech[[#This Row],[Hour]:[Hour]]&gt;=AJ$2),1,0)</f>
        <v>0</v>
      </c>
      <c r="AK8" s="329" t="n">
        <f aca="false" t="array" ref="AK8:AK8">IF(AND(AK$2&lt;&gt;0,TblTech[[#This Row],[Hour]:[Hour]]&gt;=AK$2),1,0)</f>
        <v>0</v>
      </c>
      <c r="AL8" s="329" t="n">
        <f aca="false" t="array" ref="AL8:AL8">IF(AND(AL$2&lt;&gt;0,TblTech[[#This Row],[Hour]:[Hour]]&gt;=AL$2),1,0)</f>
        <v>0</v>
      </c>
      <c r="AM8" s="329" t="n">
        <f aca="false" t="array" ref="AM8:AM8">IF(AND(AM$2&lt;&gt;0,TblTech[[#This Row],[Hour]:[Hour]]&gt;=AM$2),1,0)</f>
        <v>0</v>
      </c>
      <c r="AN8" s="329" t="n">
        <f aca="false" t="array" ref="AN8:AN8">IF(AND(AN$2&lt;&gt;0,TblTech[[#This Row],[Hour]:[Hour]]&gt;=AN$2),1,0)</f>
        <v>0</v>
      </c>
      <c r="AO8" s="329" t="n">
        <f aca="false" t="array" ref="AO8:AO8">IF(AND(AO$2&lt;&gt;0,TblTech[[#This Row],[Hour]:[Hour]]&gt;=AO$2),1,0)</f>
        <v>0</v>
      </c>
      <c r="AP8" s="329" t="n">
        <f aca="false" t="array" ref="AP8:AP8">IF(AND(AP$2&lt;&gt;0,TblTech[[#This Row],[Hour]:[Hour]]&gt;=AP$2),1,0)</f>
        <v>0</v>
      </c>
      <c r="AQ8" s="329" t="n">
        <f aca="false" t="array" ref="AQ8:AQ8">IF(AND(AQ$2&lt;&gt;0,TblTech[[#This Row],[Hour]:[Hour]]&gt;=AQ$2),1,0)</f>
        <v>0</v>
      </c>
      <c r="AR8" s="329" t="n">
        <f aca="false" t="array" ref="AR8:AR8">IF(AND(AR$2&lt;&gt;0,TblTech[[#This Row],[Hour]:[Hour]]&gt;=AR$2),1,0)</f>
        <v>0</v>
      </c>
      <c r="AS8" s="329" t="n">
        <f aca="false" t="array" ref="AS8:AS8">IF(AND(AS$2&lt;&gt;0,TblTech[[#This Row],[Hour]:[Hour]]&gt;=AS$2),1,0)</f>
        <v>0</v>
      </c>
      <c r="AT8" s="329" t="n">
        <f aca="false" t="array" ref="AT8:AT8">IF(AND(AT$2&lt;&gt;0,TblTech[[#This Row],[Hour]:[Hour]]&gt;=AT$2),1,0)</f>
        <v>0</v>
      </c>
      <c r="AU8" s="329" t="n">
        <f aca="false" t="array" ref="AU8:AU8">IF(AND(AU$2&lt;&gt;0,TblTech[[#This Row],[Hour]:[Hour]]&gt;=AU$2),1,0)</f>
        <v>0</v>
      </c>
      <c r="AV8" s="329" t="n">
        <f aca="false" t="array" ref="AV8:AV8">IF(AND(AV$2&lt;&gt;0,TblTech[[#This Row],[Hour]:[Hour]]&gt;=AV$2),1,0)</f>
        <v>0</v>
      </c>
      <c r="AW8" s="329" t="n">
        <f aca="false" t="array" ref="AW8:AW8">IF(AND(AW$2&lt;&gt;0,TblTech[[#This Row],[Hour]:[Hour]]&gt;=AW$2),1,0)</f>
        <v>0</v>
      </c>
      <c r="AX8" s="329" t="n">
        <f aca="false" t="array" ref="AX8:AX8">IF(AND(AX$2&lt;&gt;0,TblTech[[#This Row],[Hour]:[Hour]]&gt;=AX$2),1,0)</f>
        <v>0</v>
      </c>
      <c r="AY8" s="329" t="n">
        <f aca="false" t="array" ref="AY8:AY8">IF(AND(AY$2&lt;&gt;0,TblTech[[#This Row],[Hour]:[Hour]]&gt;=AY$2),1,0)</f>
        <v>0</v>
      </c>
      <c r="AZ8" s="329" t="n">
        <f aca="false" t="array" ref="AZ8:AZ8">IF(AND(AZ$2&lt;&gt;0,TblTech[[#This Row],[Hour]:[Hour]]&gt;=AZ$2),1,0)</f>
        <v>0</v>
      </c>
      <c r="BA8" s="329" t="n">
        <f aca="false" t="array" ref="BA8:BA8">IF(AND(BA$2&lt;&gt;0,TblTech[[#This Row],[Hour]:[Hour]]&gt;=BA$2),1,0)</f>
        <v>0</v>
      </c>
      <c r="BB8" s="329" t="n">
        <f aca="false" t="array" ref="BB8:BB8">IF(AND(BB$2&lt;&gt;0,TblTech[[#This Row],[Hour]:[Hour]]&gt;=BB$2),1,0)</f>
        <v>0</v>
      </c>
      <c r="BC8" s="329" t="n">
        <f aca="false" t="array" ref="BC8:BC8">IF(AND(BC$2&lt;&gt;0,TblTech[[#This Row],[Hour]:[Hour]]&gt;=BC$2),1,0)</f>
        <v>0</v>
      </c>
      <c r="BD8" s="329" t="n">
        <f aca="false" t="array" ref="BD8:BD8">IF(AND(BD$2&lt;&gt;0,TblTech[[#This Row],[Hour]:[Hour]]&gt;=BD$2),1,0)</f>
        <v>0</v>
      </c>
      <c r="BE8" s="329" t="n">
        <f aca="false" t="array" ref="BE8:BE8">IF(AND(BE$2&lt;&gt;0,TblTech[[#This Row],[Hour]:[Hour]]&gt;=BE$2),1,0)</f>
        <v>0</v>
      </c>
      <c r="BF8" s="329" t="n">
        <f aca="false" t="array" ref="BF8:BF8">IF(AND(BF$2&lt;&gt;0,TblTech[[#This Row],[Hour]:[Hour]]&gt;=BF$2),1,0)</f>
        <v>0</v>
      </c>
      <c r="BG8" s="329" t="n">
        <f aca="false" t="array" ref="BG8:BG8">IF(AND(BG$2&lt;&gt;0,TblTech[[#This Row],[Hour]:[Hour]]&gt;=BG$2),1,0)</f>
        <v>0</v>
      </c>
      <c r="BH8" s="329" t="n">
        <f aca="false" t="array" ref="BH8:BH8">IF(AND(BH$2&lt;&gt;0,TblTech[[#This Row],[Hour]:[Hour]]&gt;=BH$2),1,0)</f>
        <v>0</v>
      </c>
      <c r="BI8" s="329" t="n">
        <f aca="false" t="array" ref="BI8:BI8">IF(AND(BI$2&lt;&gt;0,TblTech[[#This Row],[Hour]:[Hour]]&gt;=BI$2),1,0)</f>
        <v>0</v>
      </c>
      <c r="BJ8" s="329" t="n">
        <f aca="false" t="array" ref="BJ8:BJ8">IF(AND(BJ$2&lt;&gt;0,TblTech[[#This Row],[Hour]:[Hour]]&gt;=BJ$2),1,0)</f>
        <v>0</v>
      </c>
      <c r="BK8" s="329" t="n">
        <f aca="false" t="array" ref="BK8:BK8">IF(AND(BK$2&lt;&gt;0,TblTech[[#This Row],[Hour]:[Hour]]&gt;=BK$2),1,0)</f>
        <v>0</v>
      </c>
      <c r="BL8" s="329" t="n">
        <f aca="false" t="array" ref="BL8:BL8">IF(AND(BL$2&lt;&gt;0,TblTech[[#This Row],[Hour]:[Hour]]&gt;=BL$2),1,0)</f>
        <v>0</v>
      </c>
      <c r="BM8" s="329" t="n">
        <f aca="false" t="array" ref="BM8:BM8">IF(AND(BM$2&lt;&gt;0,TblTech[[#This Row],[Hour]:[Hour]]&gt;=BM$2),1,0)</f>
        <v>0</v>
      </c>
      <c r="BN8" s="329" t="n">
        <f aca="false" t="array" ref="BN8:BN8">IF(AND(BN$2&lt;&gt;0,TblTech[[#This Row],[Hour]:[Hour]]&gt;=BN$2),1,0)</f>
        <v>0</v>
      </c>
      <c r="BO8" s="329" t="n">
        <f aca="false" t="array" ref="BO8:BO8">IF(AND(BO$2&lt;&gt;0,TblTech[[#This Row],[Hour]:[Hour]]&gt;=BO$2),1,0)</f>
        <v>0</v>
      </c>
      <c r="BP8" s="329" t="n">
        <f aca="false" t="array" ref="BP8:BP8">IF(AND(BP$2&lt;&gt;0,TblTech[[#This Row],[Hour]:[Hour]]&gt;=BP$2),1,0)</f>
        <v>0</v>
      </c>
      <c r="BQ8" s="329" t="n">
        <f aca="false" t="array" ref="BQ8:BQ8">IF(AND(BQ$2&lt;&gt;0,TblTech[[#This Row],[Hour]:[Hour]]&gt;=BQ$2),1,0)</f>
        <v>0</v>
      </c>
      <c r="BR8" s="329" t="n">
        <f aca="false" t="array" ref="BR8:BR8">IF(AND(BR$2&lt;&gt;0,TblTech[[#This Row],[Hour]:[Hour]]&gt;=BR$2),1,0)</f>
        <v>0</v>
      </c>
      <c r="BS8" s="329" t="n">
        <f aca="false" t="array" ref="BS8:BS8">IF(AND(BS$2&lt;&gt;0,TblTech[[#This Row],[Hour]:[Hour]]&gt;=BS$2),1,0)</f>
        <v>0</v>
      </c>
      <c r="BT8" s="329" t="n">
        <f aca="false" t="array" ref="BT8:BT8">IF(AND(BT$2&lt;&gt;0,TblTech[[#This Row],[Hour]:[Hour]]&gt;=BT$2),1,0)</f>
        <v>0</v>
      </c>
      <c r="BU8" s="329" t="n">
        <f aca="false" t="array" ref="BU8:BU8">IF(AND(BU$2&lt;&gt;0,TblTech[[#This Row],[Hour]:[Hour]]&gt;=BU$2),1,0)</f>
        <v>0</v>
      </c>
      <c r="BV8" s="329" t="n">
        <f aca="false" t="array" ref="BV8:BV8">IF(AND(BV$2&lt;&gt;0,TblTech[[#This Row],[Hour]:[Hour]]&gt;=BV$2),1,0)</f>
        <v>0</v>
      </c>
      <c r="BW8" s="329" t="n">
        <f aca="false" t="array" ref="BW8:BW8">IF(AND(BW$2&lt;&gt;0,TblTech[[#This Row],[Hour]:[Hour]]&gt;=BW$2),1,0)</f>
        <v>0</v>
      </c>
      <c r="BX8" s="329" t="n">
        <f aca="false" t="array" ref="BX8:BX8">IF(AND(BX$2&lt;&gt;0,TblTech[[#This Row],[Hour]:[Hour]]&gt;=BX$2),1,0)</f>
        <v>0</v>
      </c>
      <c r="BY8" s="329" t="n">
        <f aca="false" t="array" ref="BY8:BY8">IF(AND(BY$2&lt;&gt;0,TblTech[[#This Row],[Hour]:[Hour]]&gt;=BY$2),1,0)</f>
        <v>0</v>
      </c>
      <c r="BZ8" s="329" t="n">
        <f aca="false" t="array" ref="BZ8:BZ8">IF(AND(BZ$2&lt;&gt;0,TblTech[[#This Row],[Hour]:[Hour]]&gt;=BZ$2),1,0)</f>
        <v>0</v>
      </c>
      <c r="CA8" s="330" t="n">
        <f aca="false">IFERROR(INDEX($H$4:$H$79,MATCH(INDEX(TblTech[[#Headers],[1-1]:[11-1]],1,MATCH(TblTech[[#This Row],[Hour]],$M$2:$BZ$2,0)),$G$4:$G$79,0)),)</f>
        <v>0</v>
      </c>
    </row>
    <row r="9" customFormat="false" ht="12.75" hidden="false" customHeight="false" outlineLevel="0" collapsed="false">
      <c r="A9" s="321" t="n">
        <f aca="false">TblRezone[[#This Row],[Hour]]</f>
        <v>6</v>
      </c>
      <c r="B9" s="322" t="n">
        <f aca="false">TblExplore[[#This Row],[Land-DB]]</f>
        <v>250</v>
      </c>
      <c r="C9" s="323" t="n">
        <f aca="false">TblProd[[#This Row],[Techpoints]]</f>
        <v>0</v>
      </c>
      <c r="D9" s="323" t="n">
        <f aca="false">TblProd[[#This Row],[Required]]</f>
        <v>3750</v>
      </c>
      <c r="E9" s="324"/>
      <c r="F9" s="325"/>
      <c r="G9" s="326" t="s">
        <v>529</v>
      </c>
      <c r="H9" s="327" t="s">
        <v>601</v>
      </c>
      <c r="I9" s="326" t="s">
        <v>602</v>
      </c>
      <c r="J9" s="322"/>
      <c r="K9" s="68" t="n">
        <f aca="false">IF(TblTech[[#This Row],[Sum of tech]]&lt;&gt;OFFSET(TblTech[[#This Row],[Sum of tech]],-1,0),1,0)</f>
        <v>0</v>
      </c>
      <c r="L9" s="328" t="n">
        <f aca="false">COUNTIF(TblTech[[#This Row],[1-1]:[11-1]],1)</f>
        <v>0</v>
      </c>
      <c r="M9" s="329" t="n">
        <f aca="false" t="array" ref="M9:M9">IF(AND(M$2&lt;&gt;0,TblTech[[#This Row],[Hour]:[Hour]]&gt;=M$2),1,0)</f>
        <v>0</v>
      </c>
      <c r="N9" s="329" t="n">
        <f aca="false" t="array" ref="N9:N9">IF(AND(N$2&lt;&gt;0,TblTech[[#This Row],[Hour]:[Hour]]&gt;=N$2),1,0)</f>
        <v>0</v>
      </c>
      <c r="O9" s="329" t="n">
        <f aca="false" t="array" ref="O9:O9">IF(AND(O$2&lt;&gt;0,TblTech[[#This Row],[Hour]:[Hour]]&gt;=O$2),1,0)</f>
        <v>0</v>
      </c>
      <c r="P9" s="329" t="n">
        <f aca="false" t="array" ref="P9:P9">IF(AND(P$2&lt;&gt;0,TblTech[[#This Row],[Hour]:[Hour]]&gt;=P$2),1,0)</f>
        <v>0</v>
      </c>
      <c r="Q9" s="329" t="n">
        <f aca="false" t="array" ref="Q9:Q9">IF(AND(Q$2&lt;&gt;0,TblTech[[#This Row],[Hour]:[Hour]]&gt;=Q$2),1,0)</f>
        <v>0</v>
      </c>
      <c r="R9" s="329" t="n">
        <f aca="false" t="array" ref="R9:R9">IF(AND(R$2&lt;&gt;0,TblTech[[#This Row],[Hour]:[Hour]]&gt;=R$2),1,0)</f>
        <v>0</v>
      </c>
      <c r="S9" s="329" t="n">
        <f aca="false" t="array" ref="S9:S9">IF(AND(S$2&lt;&gt;0,TblTech[[#This Row],[Hour]:[Hour]]&gt;=S$2),1,0)</f>
        <v>0</v>
      </c>
      <c r="T9" s="329" t="n">
        <f aca="false" t="array" ref="T9:T9">IF(AND(T$2&lt;&gt;0,TblTech[[#This Row],[Hour]:[Hour]]&gt;=T$2),1,0)</f>
        <v>0</v>
      </c>
      <c r="U9" s="329" t="n">
        <f aca="false" t="array" ref="U9:U9">IF(AND(U$2&lt;&gt;0,TblTech[[#This Row],[Hour]:[Hour]]&gt;=U$2),1,0)</f>
        <v>0</v>
      </c>
      <c r="V9" s="329" t="n">
        <f aca="false" t="array" ref="V9:V9">IF(AND(V$2&lt;&gt;0,TblTech[[#This Row],[Hour]:[Hour]]&gt;=V$2),1,0)</f>
        <v>0</v>
      </c>
      <c r="W9" s="329" t="n">
        <f aca="false" t="array" ref="W9:W9">IF(AND(W$2&lt;&gt;0,TblTech[[#This Row],[Hour]:[Hour]]&gt;=W$2),1,0)</f>
        <v>0</v>
      </c>
      <c r="X9" s="329" t="n">
        <f aca="false" t="array" ref="X9:X9">IF(AND(X$2&lt;&gt;0,TblTech[[#This Row],[Hour]:[Hour]]&gt;=X$2),1,0)</f>
        <v>0</v>
      </c>
      <c r="Y9" s="329" t="n">
        <f aca="false" t="array" ref="Y9:Y9">IF(AND(Y$2&lt;&gt;0,TblTech[[#This Row],[Hour]:[Hour]]&gt;=Y$2),1,0)</f>
        <v>0</v>
      </c>
      <c r="Z9" s="329" t="n">
        <f aca="false" t="array" ref="Z9:Z9">IF(AND(Z$2&lt;&gt;0,TblTech[[#This Row],[Hour]:[Hour]]&gt;=Z$2),1,0)</f>
        <v>0</v>
      </c>
      <c r="AA9" s="329" t="n">
        <f aca="false" t="array" ref="AA9:AA9">IF(AND(AA$2&lt;&gt;0,TblTech[[#This Row],[Hour]:[Hour]]&gt;=AA$2),1,0)</f>
        <v>0</v>
      </c>
      <c r="AB9" s="329" t="n">
        <f aca="false" t="array" ref="AB9:AB9">IF(AND(AB$2&lt;&gt;0,TblTech[[#This Row],[Hour]:[Hour]]&gt;=AB$2),1,0)</f>
        <v>0</v>
      </c>
      <c r="AC9" s="329" t="n">
        <f aca="false" t="array" ref="AC9:AC9">IF(AND(AC$2&lt;&gt;0,TblTech[[#This Row],[Hour]:[Hour]]&gt;=AC$2),1,0)</f>
        <v>0</v>
      </c>
      <c r="AD9" s="329" t="n">
        <f aca="false" t="array" ref="AD9:AD9">IF(AND(AD$2&lt;&gt;0,TblTech[[#This Row],[Hour]:[Hour]]&gt;=AD$2),1,0)</f>
        <v>0</v>
      </c>
      <c r="AE9" s="329" t="n">
        <f aca="false" t="array" ref="AE9:AE9">IF(AND(AE$2&lt;&gt;0,TblTech[[#This Row],[Hour]:[Hour]]&gt;=AE$2),1,0)</f>
        <v>0</v>
      </c>
      <c r="AF9" s="329" t="n">
        <f aca="false" t="array" ref="AF9:AF9">IF(AND(AF$2&lt;&gt;0,TblTech[[#This Row],[Hour]:[Hour]]&gt;=AF$2),1,0)</f>
        <v>0</v>
      </c>
      <c r="AG9" s="329" t="n">
        <f aca="false" t="array" ref="AG9:AG9">IF(AND(AG$2&lt;&gt;0,TblTech[[#This Row],[Hour]:[Hour]]&gt;=AG$2),1,0)</f>
        <v>0</v>
      </c>
      <c r="AH9" s="329" t="n">
        <f aca="false" t="array" ref="AH9:AH9">IF(AND(AH$2&lt;&gt;0,TblTech[[#This Row],[Hour]:[Hour]]&gt;=AH$2),1,0)</f>
        <v>0</v>
      </c>
      <c r="AI9" s="329" t="n">
        <f aca="false" t="array" ref="AI9:AI9">IF(AND(AI$2&lt;&gt;0,TblTech[[#This Row],[Hour]:[Hour]]&gt;=AI$2),1,0)</f>
        <v>0</v>
      </c>
      <c r="AJ9" s="329" t="n">
        <f aca="false" t="array" ref="AJ9:AJ9">IF(AND(AJ$2&lt;&gt;0,TblTech[[#This Row],[Hour]:[Hour]]&gt;=AJ$2),1,0)</f>
        <v>0</v>
      </c>
      <c r="AK9" s="329" t="n">
        <f aca="false" t="array" ref="AK9:AK9">IF(AND(AK$2&lt;&gt;0,TblTech[[#This Row],[Hour]:[Hour]]&gt;=AK$2),1,0)</f>
        <v>0</v>
      </c>
      <c r="AL9" s="329" t="n">
        <f aca="false" t="array" ref="AL9:AL9">IF(AND(AL$2&lt;&gt;0,TblTech[[#This Row],[Hour]:[Hour]]&gt;=AL$2),1,0)</f>
        <v>0</v>
      </c>
      <c r="AM9" s="329" t="n">
        <f aca="false" t="array" ref="AM9:AM9">IF(AND(AM$2&lt;&gt;0,TblTech[[#This Row],[Hour]:[Hour]]&gt;=AM$2),1,0)</f>
        <v>0</v>
      </c>
      <c r="AN9" s="329" t="n">
        <f aca="false" t="array" ref="AN9:AN9">IF(AND(AN$2&lt;&gt;0,TblTech[[#This Row],[Hour]:[Hour]]&gt;=AN$2),1,0)</f>
        <v>0</v>
      </c>
      <c r="AO9" s="329" t="n">
        <f aca="false" t="array" ref="AO9:AO9">IF(AND(AO$2&lt;&gt;0,TblTech[[#This Row],[Hour]:[Hour]]&gt;=AO$2),1,0)</f>
        <v>0</v>
      </c>
      <c r="AP9" s="329" t="n">
        <f aca="false" t="array" ref="AP9:AP9">IF(AND(AP$2&lt;&gt;0,TblTech[[#This Row],[Hour]:[Hour]]&gt;=AP$2),1,0)</f>
        <v>0</v>
      </c>
      <c r="AQ9" s="329" t="n">
        <f aca="false" t="array" ref="AQ9:AQ9">IF(AND(AQ$2&lt;&gt;0,TblTech[[#This Row],[Hour]:[Hour]]&gt;=AQ$2),1,0)</f>
        <v>0</v>
      </c>
      <c r="AR9" s="329" t="n">
        <f aca="false" t="array" ref="AR9:AR9">IF(AND(AR$2&lt;&gt;0,TblTech[[#This Row],[Hour]:[Hour]]&gt;=AR$2),1,0)</f>
        <v>0</v>
      </c>
      <c r="AS9" s="329" t="n">
        <f aca="false" t="array" ref="AS9:AS9">IF(AND(AS$2&lt;&gt;0,TblTech[[#This Row],[Hour]:[Hour]]&gt;=AS$2),1,0)</f>
        <v>0</v>
      </c>
      <c r="AT9" s="329" t="n">
        <f aca="false" t="array" ref="AT9:AT9">IF(AND(AT$2&lt;&gt;0,TblTech[[#This Row],[Hour]:[Hour]]&gt;=AT$2),1,0)</f>
        <v>0</v>
      </c>
      <c r="AU9" s="329" t="n">
        <f aca="false" t="array" ref="AU9:AU9">IF(AND(AU$2&lt;&gt;0,TblTech[[#This Row],[Hour]:[Hour]]&gt;=AU$2),1,0)</f>
        <v>0</v>
      </c>
      <c r="AV9" s="329" t="n">
        <f aca="false" t="array" ref="AV9:AV9">IF(AND(AV$2&lt;&gt;0,TblTech[[#This Row],[Hour]:[Hour]]&gt;=AV$2),1,0)</f>
        <v>0</v>
      </c>
      <c r="AW9" s="329" t="n">
        <f aca="false" t="array" ref="AW9:AW9">IF(AND(AW$2&lt;&gt;0,TblTech[[#This Row],[Hour]:[Hour]]&gt;=AW$2),1,0)</f>
        <v>0</v>
      </c>
      <c r="AX9" s="329" t="n">
        <f aca="false" t="array" ref="AX9:AX9">IF(AND(AX$2&lt;&gt;0,TblTech[[#This Row],[Hour]:[Hour]]&gt;=AX$2),1,0)</f>
        <v>0</v>
      </c>
      <c r="AY9" s="329" t="n">
        <f aca="false" t="array" ref="AY9:AY9">IF(AND(AY$2&lt;&gt;0,TblTech[[#This Row],[Hour]:[Hour]]&gt;=AY$2),1,0)</f>
        <v>0</v>
      </c>
      <c r="AZ9" s="329" t="n">
        <f aca="false" t="array" ref="AZ9:AZ9">IF(AND(AZ$2&lt;&gt;0,TblTech[[#This Row],[Hour]:[Hour]]&gt;=AZ$2),1,0)</f>
        <v>0</v>
      </c>
      <c r="BA9" s="329" t="n">
        <f aca="false" t="array" ref="BA9:BA9">IF(AND(BA$2&lt;&gt;0,TblTech[[#This Row],[Hour]:[Hour]]&gt;=BA$2),1,0)</f>
        <v>0</v>
      </c>
      <c r="BB9" s="329" t="n">
        <f aca="false" t="array" ref="BB9:BB9">IF(AND(BB$2&lt;&gt;0,TblTech[[#This Row],[Hour]:[Hour]]&gt;=BB$2),1,0)</f>
        <v>0</v>
      </c>
      <c r="BC9" s="329" t="n">
        <f aca="false" t="array" ref="BC9:BC9">IF(AND(BC$2&lt;&gt;0,TblTech[[#This Row],[Hour]:[Hour]]&gt;=BC$2),1,0)</f>
        <v>0</v>
      </c>
      <c r="BD9" s="329" t="n">
        <f aca="false" t="array" ref="BD9:BD9">IF(AND(BD$2&lt;&gt;0,TblTech[[#This Row],[Hour]:[Hour]]&gt;=BD$2),1,0)</f>
        <v>0</v>
      </c>
      <c r="BE9" s="329" t="n">
        <f aca="false" t="array" ref="BE9:BE9">IF(AND(BE$2&lt;&gt;0,TblTech[[#This Row],[Hour]:[Hour]]&gt;=BE$2),1,0)</f>
        <v>0</v>
      </c>
      <c r="BF9" s="329" t="n">
        <f aca="false" t="array" ref="BF9:BF9">IF(AND(BF$2&lt;&gt;0,TblTech[[#This Row],[Hour]:[Hour]]&gt;=BF$2),1,0)</f>
        <v>0</v>
      </c>
      <c r="BG9" s="329" t="n">
        <f aca="false" t="array" ref="BG9:BG9">IF(AND(BG$2&lt;&gt;0,TblTech[[#This Row],[Hour]:[Hour]]&gt;=BG$2),1,0)</f>
        <v>0</v>
      </c>
      <c r="BH9" s="329" t="n">
        <f aca="false" t="array" ref="BH9:BH9">IF(AND(BH$2&lt;&gt;0,TblTech[[#This Row],[Hour]:[Hour]]&gt;=BH$2),1,0)</f>
        <v>0</v>
      </c>
      <c r="BI9" s="329" t="n">
        <f aca="false" t="array" ref="BI9:BI9">IF(AND(BI$2&lt;&gt;0,TblTech[[#This Row],[Hour]:[Hour]]&gt;=BI$2),1,0)</f>
        <v>0</v>
      </c>
      <c r="BJ9" s="329" t="n">
        <f aca="false" t="array" ref="BJ9:BJ9">IF(AND(BJ$2&lt;&gt;0,TblTech[[#This Row],[Hour]:[Hour]]&gt;=BJ$2),1,0)</f>
        <v>0</v>
      </c>
      <c r="BK9" s="329" t="n">
        <f aca="false" t="array" ref="BK9:BK9">IF(AND(BK$2&lt;&gt;0,TblTech[[#This Row],[Hour]:[Hour]]&gt;=BK$2),1,0)</f>
        <v>0</v>
      </c>
      <c r="BL9" s="329" t="n">
        <f aca="false" t="array" ref="BL9:BL9">IF(AND(BL$2&lt;&gt;0,TblTech[[#This Row],[Hour]:[Hour]]&gt;=BL$2),1,0)</f>
        <v>0</v>
      </c>
      <c r="BM9" s="329" t="n">
        <f aca="false" t="array" ref="BM9:BM9">IF(AND(BM$2&lt;&gt;0,TblTech[[#This Row],[Hour]:[Hour]]&gt;=BM$2),1,0)</f>
        <v>0</v>
      </c>
      <c r="BN9" s="329" t="n">
        <f aca="false" t="array" ref="BN9:BN9">IF(AND(BN$2&lt;&gt;0,TblTech[[#This Row],[Hour]:[Hour]]&gt;=BN$2),1,0)</f>
        <v>0</v>
      </c>
      <c r="BO9" s="329" t="n">
        <f aca="false" t="array" ref="BO9:BO9">IF(AND(BO$2&lt;&gt;0,TblTech[[#This Row],[Hour]:[Hour]]&gt;=BO$2),1,0)</f>
        <v>0</v>
      </c>
      <c r="BP9" s="329" t="n">
        <f aca="false" t="array" ref="BP9:BP9">IF(AND(BP$2&lt;&gt;0,TblTech[[#This Row],[Hour]:[Hour]]&gt;=BP$2),1,0)</f>
        <v>0</v>
      </c>
      <c r="BQ9" s="329" t="n">
        <f aca="false" t="array" ref="BQ9:BQ9">IF(AND(BQ$2&lt;&gt;0,TblTech[[#This Row],[Hour]:[Hour]]&gt;=BQ$2),1,0)</f>
        <v>0</v>
      </c>
      <c r="BR9" s="329" t="n">
        <f aca="false" t="array" ref="BR9:BR9">IF(AND(BR$2&lt;&gt;0,TblTech[[#This Row],[Hour]:[Hour]]&gt;=BR$2),1,0)</f>
        <v>0</v>
      </c>
      <c r="BS9" s="329" t="n">
        <f aca="false" t="array" ref="BS9:BS9">IF(AND(BS$2&lt;&gt;0,TblTech[[#This Row],[Hour]:[Hour]]&gt;=BS$2),1,0)</f>
        <v>0</v>
      </c>
      <c r="BT9" s="329" t="n">
        <f aca="false" t="array" ref="BT9:BT9">IF(AND(BT$2&lt;&gt;0,TblTech[[#This Row],[Hour]:[Hour]]&gt;=BT$2),1,0)</f>
        <v>0</v>
      </c>
      <c r="BU9" s="329" t="n">
        <f aca="false" t="array" ref="BU9:BU9">IF(AND(BU$2&lt;&gt;0,TblTech[[#This Row],[Hour]:[Hour]]&gt;=BU$2),1,0)</f>
        <v>0</v>
      </c>
      <c r="BV9" s="329" t="n">
        <f aca="false" t="array" ref="BV9:BV9">IF(AND(BV$2&lt;&gt;0,TblTech[[#This Row],[Hour]:[Hour]]&gt;=BV$2),1,0)</f>
        <v>0</v>
      </c>
      <c r="BW9" s="329" t="n">
        <f aca="false" t="array" ref="BW9:BW9">IF(AND(BW$2&lt;&gt;0,TblTech[[#This Row],[Hour]:[Hour]]&gt;=BW$2),1,0)</f>
        <v>0</v>
      </c>
      <c r="BX9" s="329" t="n">
        <f aca="false" t="array" ref="BX9:BX9">IF(AND(BX$2&lt;&gt;0,TblTech[[#This Row],[Hour]:[Hour]]&gt;=BX$2),1,0)</f>
        <v>0</v>
      </c>
      <c r="BY9" s="329" t="n">
        <f aca="false" t="array" ref="BY9:BY9">IF(AND(BY$2&lt;&gt;0,TblTech[[#This Row],[Hour]:[Hour]]&gt;=BY$2),1,0)</f>
        <v>0</v>
      </c>
      <c r="BZ9" s="329" t="n">
        <f aca="false" t="array" ref="BZ9:BZ9">IF(AND(BZ$2&lt;&gt;0,TblTech[[#This Row],[Hour]:[Hour]]&gt;=BZ$2),1,0)</f>
        <v>0</v>
      </c>
      <c r="CA9" s="330" t="n">
        <f aca="false">IFERROR(INDEX($H$4:$H$79,MATCH(INDEX(TblTech[[#Headers],[1-1]:[11-1]],1,MATCH(TblTech[[#This Row],[Hour]],$M$2:$BZ$2,0)),$G$4:$G$79,0)),)</f>
        <v>0</v>
      </c>
    </row>
    <row r="10" customFormat="false" ht="12.75" hidden="false" customHeight="false" outlineLevel="0" collapsed="false">
      <c r="A10" s="321" t="n">
        <f aca="false">TblRezone[[#This Row],[Hour]]</f>
        <v>7</v>
      </c>
      <c r="B10" s="322" t="n">
        <f aca="false">TblExplore[[#This Row],[Land-DB]]</f>
        <v>250</v>
      </c>
      <c r="C10" s="323" t="n">
        <f aca="false">TblProd[[#This Row],[Techpoints]]</f>
        <v>0</v>
      </c>
      <c r="D10" s="323" t="n">
        <f aca="false">TblProd[[#This Row],[Required]]</f>
        <v>3750</v>
      </c>
      <c r="E10" s="324"/>
      <c r="F10" s="325"/>
      <c r="G10" s="326" t="s">
        <v>530</v>
      </c>
      <c r="H10" s="327" t="s">
        <v>603</v>
      </c>
      <c r="I10" s="326" t="s">
        <v>604</v>
      </c>
      <c r="J10" s="322"/>
      <c r="K10" s="68" t="n">
        <f aca="false">IF(TblTech[[#This Row],[Sum of tech]]&lt;&gt;OFFSET(TblTech[[#This Row],[Sum of tech]],-1,0),1,0)</f>
        <v>0</v>
      </c>
      <c r="L10" s="328" t="n">
        <f aca="false">COUNTIF(TblTech[[#This Row],[1-1]:[11-1]],1)</f>
        <v>0</v>
      </c>
      <c r="M10" s="329" t="n">
        <f aca="false" t="array" ref="M10:M10">IF(AND(M$2&lt;&gt;0,TblTech[[#This Row],[Hour]:[Hour]]&gt;=M$2),1,0)</f>
        <v>0</v>
      </c>
      <c r="N10" s="329" t="n">
        <f aca="false" t="array" ref="N10:N10">IF(AND(N$2&lt;&gt;0,TblTech[[#This Row],[Hour]:[Hour]]&gt;=N$2),1,0)</f>
        <v>0</v>
      </c>
      <c r="O10" s="329" t="n">
        <f aca="false" t="array" ref="O10:O10">IF(AND(O$2&lt;&gt;0,TblTech[[#This Row],[Hour]:[Hour]]&gt;=O$2),1,0)</f>
        <v>0</v>
      </c>
      <c r="P10" s="329" t="n">
        <f aca="false" t="array" ref="P10:P10">IF(AND(P$2&lt;&gt;0,TblTech[[#This Row],[Hour]:[Hour]]&gt;=P$2),1,0)</f>
        <v>0</v>
      </c>
      <c r="Q10" s="329" t="n">
        <f aca="false" t="array" ref="Q10:Q10">IF(AND(Q$2&lt;&gt;0,TblTech[[#This Row],[Hour]:[Hour]]&gt;=Q$2),1,0)</f>
        <v>0</v>
      </c>
      <c r="R10" s="329" t="n">
        <f aca="false" t="array" ref="R10:R10">IF(AND(R$2&lt;&gt;0,TblTech[[#This Row],[Hour]:[Hour]]&gt;=R$2),1,0)</f>
        <v>0</v>
      </c>
      <c r="S10" s="329" t="n">
        <f aca="false" t="array" ref="S10:S10">IF(AND(S$2&lt;&gt;0,TblTech[[#This Row],[Hour]:[Hour]]&gt;=S$2),1,0)</f>
        <v>0</v>
      </c>
      <c r="T10" s="329" t="n">
        <f aca="false" t="array" ref="T10:T10">IF(AND(T$2&lt;&gt;0,TblTech[[#This Row],[Hour]:[Hour]]&gt;=T$2),1,0)</f>
        <v>0</v>
      </c>
      <c r="U10" s="329" t="n">
        <f aca="false" t="array" ref="U10:U10">IF(AND(U$2&lt;&gt;0,TblTech[[#This Row],[Hour]:[Hour]]&gt;=U$2),1,0)</f>
        <v>0</v>
      </c>
      <c r="V10" s="329" t="n">
        <f aca="false" t="array" ref="V10:V10">IF(AND(V$2&lt;&gt;0,TblTech[[#This Row],[Hour]:[Hour]]&gt;=V$2),1,0)</f>
        <v>0</v>
      </c>
      <c r="W10" s="329" t="n">
        <f aca="false" t="array" ref="W10:W10">IF(AND(W$2&lt;&gt;0,TblTech[[#This Row],[Hour]:[Hour]]&gt;=W$2),1,0)</f>
        <v>0</v>
      </c>
      <c r="X10" s="329" t="n">
        <f aca="false" t="array" ref="X10:X10">IF(AND(X$2&lt;&gt;0,TblTech[[#This Row],[Hour]:[Hour]]&gt;=X$2),1,0)</f>
        <v>0</v>
      </c>
      <c r="Y10" s="329" t="n">
        <f aca="false" t="array" ref="Y10:Y10">IF(AND(Y$2&lt;&gt;0,TblTech[[#This Row],[Hour]:[Hour]]&gt;=Y$2),1,0)</f>
        <v>0</v>
      </c>
      <c r="Z10" s="329" t="n">
        <f aca="false" t="array" ref="Z10:Z10">IF(AND(Z$2&lt;&gt;0,TblTech[[#This Row],[Hour]:[Hour]]&gt;=Z$2),1,0)</f>
        <v>0</v>
      </c>
      <c r="AA10" s="329" t="n">
        <f aca="false" t="array" ref="AA10:AA10">IF(AND(AA$2&lt;&gt;0,TblTech[[#This Row],[Hour]:[Hour]]&gt;=AA$2),1,0)</f>
        <v>0</v>
      </c>
      <c r="AB10" s="329" t="n">
        <f aca="false" t="array" ref="AB10:AB10">IF(AND(AB$2&lt;&gt;0,TblTech[[#This Row],[Hour]:[Hour]]&gt;=AB$2),1,0)</f>
        <v>0</v>
      </c>
      <c r="AC10" s="329" t="n">
        <f aca="false" t="array" ref="AC10:AC10">IF(AND(AC$2&lt;&gt;0,TblTech[[#This Row],[Hour]:[Hour]]&gt;=AC$2),1,0)</f>
        <v>0</v>
      </c>
      <c r="AD10" s="329" t="n">
        <f aca="false" t="array" ref="AD10:AD10">IF(AND(AD$2&lt;&gt;0,TblTech[[#This Row],[Hour]:[Hour]]&gt;=AD$2),1,0)</f>
        <v>0</v>
      </c>
      <c r="AE10" s="329" t="n">
        <f aca="false" t="array" ref="AE10:AE10">IF(AND(AE$2&lt;&gt;0,TblTech[[#This Row],[Hour]:[Hour]]&gt;=AE$2),1,0)</f>
        <v>0</v>
      </c>
      <c r="AF10" s="329" t="n">
        <f aca="false" t="array" ref="AF10:AF10">IF(AND(AF$2&lt;&gt;0,TblTech[[#This Row],[Hour]:[Hour]]&gt;=AF$2),1,0)</f>
        <v>0</v>
      </c>
      <c r="AG10" s="329" t="n">
        <f aca="false" t="array" ref="AG10:AG10">IF(AND(AG$2&lt;&gt;0,TblTech[[#This Row],[Hour]:[Hour]]&gt;=AG$2),1,0)</f>
        <v>0</v>
      </c>
      <c r="AH10" s="329" t="n">
        <f aca="false" t="array" ref="AH10:AH10">IF(AND(AH$2&lt;&gt;0,TblTech[[#This Row],[Hour]:[Hour]]&gt;=AH$2),1,0)</f>
        <v>0</v>
      </c>
      <c r="AI10" s="329" t="n">
        <f aca="false" t="array" ref="AI10:AI10">IF(AND(AI$2&lt;&gt;0,TblTech[[#This Row],[Hour]:[Hour]]&gt;=AI$2),1,0)</f>
        <v>0</v>
      </c>
      <c r="AJ10" s="329" t="n">
        <f aca="false" t="array" ref="AJ10:AJ10">IF(AND(AJ$2&lt;&gt;0,TblTech[[#This Row],[Hour]:[Hour]]&gt;=AJ$2),1,0)</f>
        <v>0</v>
      </c>
      <c r="AK10" s="329" t="n">
        <f aca="false" t="array" ref="AK10:AK10">IF(AND(AK$2&lt;&gt;0,TblTech[[#This Row],[Hour]:[Hour]]&gt;=AK$2),1,0)</f>
        <v>0</v>
      </c>
      <c r="AL10" s="329" t="n">
        <f aca="false" t="array" ref="AL10:AL10">IF(AND(AL$2&lt;&gt;0,TblTech[[#This Row],[Hour]:[Hour]]&gt;=AL$2),1,0)</f>
        <v>0</v>
      </c>
      <c r="AM10" s="329" t="n">
        <f aca="false" t="array" ref="AM10:AM10">IF(AND(AM$2&lt;&gt;0,TblTech[[#This Row],[Hour]:[Hour]]&gt;=AM$2),1,0)</f>
        <v>0</v>
      </c>
      <c r="AN10" s="329" t="n">
        <f aca="false" t="array" ref="AN10:AN10">IF(AND(AN$2&lt;&gt;0,TblTech[[#This Row],[Hour]:[Hour]]&gt;=AN$2),1,0)</f>
        <v>0</v>
      </c>
      <c r="AO10" s="329" t="n">
        <f aca="false" t="array" ref="AO10:AO10">IF(AND(AO$2&lt;&gt;0,TblTech[[#This Row],[Hour]:[Hour]]&gt;=AO$2),1,0)</f>
        <v>0</v>
      </c>
      <c r="AP10" s="329" t="n">
        <f aca="false" t="array" ref="AP10:AP10">IF(AND(AP$2&lt;&gt;0,TblTech[[#This Row],[Hour]:[Hour]]&gt;=AP$2),1,0)</f>
        <v>0</v>
      </c>
      <c r="AQ10" s="329" t="n">
        <f aca="false" t="array" ref="AQ10:AQ10">IF(AND(AQ$2&lt;&gt;0,TblTech[[#This Row],[Hour]:[Hour]]&gt;=AQ$2),1,0)</f>
        <v>0</v>
      </c>
      <c r="AR10" s="329" t="n">
        <f aca="false" t="array" ref="AR10:AR10">IF(AND(AR$2&lt;&gt;0,TblTech[[#This Row],[Hour]:[Hour]]&gt;=AR$2),1,0)</f>
        <v>0</v>
      </c>
      <c r="AS10" s="329" t="n">
        <f aca="false" t="array" ref="AS10:AS10">IF(AND(AS$2&lt;&gt;0,TblTech[[#This Row],[Hour]:[Hour]]&gt;=AS$2),1,0)</f>
        <v>0</v>
      </c>
      <c r="AT10" s="329" t="n">
        <f aca="false" t="array" ref="AT10:AT10">IF(AND(AT$2&lt;&gt;0,TblTech[[#This Row],[Hour]:[Hour]]&gt;=AT$2),1,0)</f>
        <v>0</v>
      </c>
      <c r="AU10" s="329" t="n">
        <f aca="false" t="array" ref="AU10:AU10">IF(AND(AU$2&lt;&gt;0,TblTech[[#This Row],[Hour]:[Hour]]&gt;=AU$2),1,0)</f>
        <v>0</v>
      </c>
      <c r="AV10" s="329" t="n">
        <f aca="false" t="array" ref="AV10:AV10">IF(AND(AV$2&lt;&gt;0,TblTech[[#This Row],[Hour]:[Hour]]&gt;=AV$2),1,0)</f>
        <v>0</v>
      </c>
      <c r="AW10" s="329" t="n">
        <f aca="false" t="array" ref="AW10:AW10">IF(AND(AW$2&lt;&gt;0,TblTech[[#This Row],[Hour]:[Hour]]&gt;=AW$2),1,0)</f>
        <v>0</v>
      </c>
      <c r="AX10" s="329" t="n">
        <f aca="false" t="array" ref="AX10:AX10">IF(AND(AX$2&lt;&gt;0,TblTech[[#This Row],[Hour]:[Hour]]&gt;=AX$2),1,0)</f>
        <v>0</v>
      </c>
      <c r="AY10" s="329" t="n">
        <f aca="false" t="array" ref="AY10:AY10">IF(AND(AY$2&lt;&gt;0,TblTech[[#This Row],[Hour]:[Hour]]&gt;=AY$2),1,0)</f>
        <v>0</v>
      </c>
      <c r="AZ10" s="329" t="n">
        <f aca="false" t="array" ref="AZ10:AZ10">IF(AND(AZ$2&lt;&gt;0,TblTech[[#This Row],[Hour]:[Hour]]&gt;=AZ$2),1,0)</f>
        <v>0</v>
      </c>
      <c r="BA10" s="329" t="n">
        <f aca="false" t="array" ref="BA10:BA10">IF(AND(BA$2&lt;&gt;0,TblTech[[#This Row],[Hour]:[Hour]]&gt;=BA$2),1,0)</f>
        <v>0</v>
      </c>
      <c r="BB10" s="329" t="n">
        <f aca="false" t="array" ref="BB10:BB10">IF(AND(BB$2&lt;&gt;0,TblTech[[#This Row],[Hour]:[Hour]]&gt;=BB$2),1,0)</f>
        <v>0</v>
      </c>
      <c r="BC10" s="329" t="n">
        <f aca="false" t="array" ref="BC10:BC10">IF(AND(BC$2&lt;&gt;0,TblTech[[#This Row],[Hour]:[Hour]]&gt;=BC$2),1,0)</f>
        <v>0</v>
      </c>
      <c r="BD10" s="329" t="n">
        <f aca="false" t="array" ref="BD10:BD10">IF(AND(BD$2&lt;&gt;0,TblTech[[#This Row],[Hour]:[Hour]]&gt;=BD$2),1,0)</f>
        <v>0</v>
      </c>
      <c r="BE10" s="329" t="n">
        <f aca="false" t="array" ref="BE10:BE10">IF(AND(BE$2&lt;&gt;0,TblTech[[#This Row],[Hour]:[Hour]]&gt;=BE$2),1,0)</f>
        <v>0</v>
      </c>
      <c r="BF10" s="329" t="n">
        <f aca="false" t="array" ref="BF10:BF10">IF(AND(BF$2&lt;&gt;0,TblTech[[#This Row],[Hour]:[Hour]]&gt;=BF$2),1,0)</f>
        <v>0</v>
      </c>
      <c r="BG10" s="329" t="n">
        <f aca="false" t="array" ref="BG10:BG10">IF(AND(BG$2&lt;&gt;0,TblTech[[#This Row],[Hour]:[Hour]]&gt;=BG$2),1,0)</f>
        <v>0</v>
      </c>
      <c r="BH10" s="329" t="n">
        <f aca="false" t="array" ref="BH10:BH10">IF(AND(BH$2&lt;&gt;0,TblTech[[#This Row],[Hour]:[Hour]]&gt;=BH$2),1,0)</f>
        <v>0</v>
      </c>
      <c r="BI10" s="329" t="n">
        <f aca="false" t="array" ref="BI10:BI10">IF(AND(BI$2&lt;&gt;0,TblTech[[#This Row],[Hour]:[Hour]]&gt;=BI$2),1,0)</f>
        <v>0</v>
      </c>
      <c r="BJ10" s="329" t="n">
        <f aca="false" t="array" ref="BJ10:BJ10">IF(AND(BJ$2&lt;&gt;0,TblTech[[#This Row],[Hour]:[Hour]]&gt;=BJ$2),1,0)</f>
        <v>0</v>
      </c>
      <c r="BK10" s="329" t="n">
        <f aca="false" t="array" ref="BK10:BK10">IF(AND(BK$2&lt;&gt;0,TblTech[[#This Row],[Hour]:[Hour]]&gt;=BK$2),1,0)</f>
        <v>0</v>
      </c>
      <c r="BL10" s="329" t="n">
        <f aca="false" t="array" ref="BL10:BL10">IF(AND(BL$2&lt;&gt;0,TblTech[[#This Row],[Hour]:[Hour]]&gt;=BL$2),1,0)</f>
        <v>0</v>
      </c>
      <c r="BM10" s="329" t="n">
        <f aca="false" t="array" ref="BM10:BM10">IF(AND(BM$2&lt;&gt;0,TblTech[[#This Row],[Hour]:[Hour]]&gt;=BM$2),1,0)</f>
        <v>0</v>
      </c>
      <c r="BN10" s="329" t="n">
        <f aca="false" t="array" ref="BN10:BN10">IF(AND(BN$2&lt;&gt;0,TblTech[[#This Row],[Hour]:[Hour]]&gt;=BN$2),1,0)</f>
        <v>0</v>
      </c>
      <c r="BO10" s="329" t="n">
        <f aca="false" t="array" ref="BO10:BO10">IF(AND(BO$2&lt;&gt;0,TblTech[[#This Row],[Hour]:[Hour]]&gt;=BO$2),1,0)</f>
        <v>0</v>
      </c>
      <c r="BP10" s="329" t="n">
        <f aca="false" t="array" ref="BP10:BP10">IF(AND(BP$2&lt;&gt;0,TblTech[[#This Row],[Hour]:[Hour]]&gt;=BP$2),1,0)</f>
        <v>0</v>
      </c>
      <c r="BQ10" s="329" t="n">
        <f aca="false" t="array" ref="BQ10:BQ10">IF(AND(BQ$2&lt;&gt;0,TblTech[[#This Row],[Hour]:[Hour]]&gt;=BQ$2),1,0)</f>
        <v>0</v>
      </c>
      <c r="BR10" s="329" t="n">
        <f aca="false" t="array" ref="BR10:BR10">IF(AND(BR$2&lt;&gt;0,TblTech[[#This Row],[Hour]:[Hour]]&gt;=BR$2),1,0)</f>
        <v>0</v>
      </c>
      <c r="BS10" s="329" t="n">
        <f aca="false" t="array" ref="BS10:BS10">IF(AND(BS$2&lt;&gt;0,TblTech[[#This Row],[Hour]:[Hour]]&gt;=BS$2),1,0)</f>
        <v>0</v>
      </c>
      <c r="BT10" s="329" t="n">
        <f aca="false" t="array" ref="BT10:BT10">IF(AND(BT$2&lt;&gt;0,TblTech[[#This Row],[Hour]:[Hour]]&gt;=BT$2),1,0)</f>
        <v>0</v>
      </c>
      <c r="BU10" s="329" t="n">
        <f aca="false" t="array" ref="BU10:BU10">IF(AND(BU$2&lt;&gt;0,TblTech[[#This Row],[Hour]:[Hour]]&gt;=BU$2),1,0)</f>
        <v>0</v>
      </c>
      <c r="BV10" s="329" t="n">
        <f aca="false" t="array" ref="BV10:BV10">IF(AND(BV$2&lt;&gt;0,TblTech[[#This Row],[Hour]:[Hour]]&gt;=BV$2),1,0)</f>
        <v>0</v>
      </c>
      <c r="BW10" s="329" t="n">
        <f aca="false" t="array" ref="BW10:BW10">IF(AND(BW$2&lt;&gt;0,TblTech[[#This Row],[Hour]:[Hour]]&gt;=BW$2),1,0)</f>
        <v>0</v>
      </c>
      <c r="BX10" s="329" t="n">
        <f aca="false" t="array" ref="BX10:BX10">IF(AND(BX$2&lt;&gt;0,TblTech[[#This Row],[Hour]:[Hour]]&gt;=BX$2),1,0)</f>
        <v>0</v>
      </c>
      <c r="BY10" s="329" t="n">
        <f aca="false" t="array" ref="BY10:BY10">IF(AND(BY$2&lt;&gt;0,TblTech[[#This Row],[Hour]:[Hour]]&gt;=BY$2),1,0)</f>
        <v>0</v>
      </c>
      <c r="BZ10" s="329" t="n">
        <f aca="false" t="array" ref="BZ10:BZ10">IF(AND(BZ$2&lt;&gt;0,TblTech[[#This Row],[Hour]:[Hour]]&gt;=BZ$2),1,0)</f>
        <v>0</v>
      </c>
      <c r="CA10" s="330" t="n">
        <f aca="false">IFERROR(INDEX($H$4:$H$79,MATCH(INDEX(TblTech[[#Headers],[1-1]:[11-1]],1,MATCH(TblTech[[#This Row],[Hour]],$M$2:$BZ$2,0)),$G$4:$G$79,0)),)</f>
        <v>0</v>
      </c>
    </row>
    <row r="11" customFormat="false" ht="12.75" hidden="false" customHeight="false" outlineLevel="0" collapsed="false">
      <c r="A11" s="321" t="n">
        <f aca="false">TblRezone[[#This Row],[Hour]]</f>
        <v>8</v>
      </c>
      <c r="B11" s="322" t="n">
        <f aca="false">TblExplore[[#This Row],[Land-DB]]</f>
        <v>250</v>
      </c>
      <c r="C11" s="323" t="n">
        <f aca="false">TblProd[[#This Row],[Techpoints]]</f>
        <v>0</v>
      </c>
      <c r="D11" s="323" t="n">
        <f aca="false">TblProd[[#This Row],[Required]]</f>
        <v>3750</v>
      </c>
      <c r="E11" s="324"/>
      <c r="F11" s="325"/>
      <c r="G11" s="326" t="s">
        <v>531</v>
      </c>
      <c r="H11" s="327" t="s">
        <v>605</v>
      </c>
      <c r="I11" s="326" t="s">
        <v>606</v>
      </c>
      <c r="J11" s="322"/>
      <c r="K11" s="68" t="n">
        <f aca="false">IF(TblTech[[#This Row],[Sum of tech]]&lt;&gt;OFFSET(TblTech[[#This Row],[Sum of tech]],-1,0),1,0)</f>
        <v>0</v>
      </c>
      <c r="L11" s="328" t="n">
        <f aca="false">COUNTIF(TblTech[[#This Row],[1-1]:[11-1]],1)</f>
        <v>0</v>
      </c>
      <c r="M11" s="329" t="n">
        <f aca="false" t="array" ref="M11:M11">IF(AND(M$2&lt;&gt;0,TblTech[[#This Row],[Hour]:[Hour]]&gt;=M$2),1,0)</f>
        <v>0</v>
      </c>
      <c r="N11" s="329" t="n">
        <f aca="false" t="array" ref="N11:N11">IF(AND(N$2&lt;&gt;0,TblTech[[#This Row],[Hour]:[Hour]]&gt;=N$2),1,0)</f>
        <v>0</v>
      </c>
      <c r="O11" s="329" t="n">
        <f aca="false" t="array" ref="O11:O11">IF(AND(O$2&lt;&gt;0,TblTech[[#This Row],[Hour]:[Hour]]&gt;=O$2),1,0)</f>
        <v>0</v>
      </c>
      <c r="P11" s="329" t="n">
        <f aca="false" t="array" ref="P11:P11">IF(AND(P$2&lt;&gt;0,TblTech[[#This Row],[Hour]:[Hour]]&gt;=P$2),1,0)</f>
        <v>0</v>
      </c>
      <c r="Q11" s="329" t="n">
        <f aca="false" t="array" ref="Q11:Q11">IF(AND(Q$2&lt;&gt;0,TblTech[[#This Row],[Hour]:[Hour]]&gt;=Q$2),1,0)</f>
        <v>0</v>
      </c>
      <c r="R11" s="329" t="n">
        <f aca="false" t="array" ref="R11:R11">IF(AND(R$2&lt;&gt;0,TblTech[[#This Row],[Hour]:[Hour]]&gt;=R$2),1,0)</f>
        <v>0</v>
      </c>
      <c r="S11" s="329" t="n">
        <f aca="false" t="array" ref="S11:S11">IF(AND(S$2&lt;&gt;0,TblTech[[#This Row],[Hour]:[Hour]]&gt;=S$2),1,0)</f>
        <v>0</v>
      </c>
      <c r="T11" s="329" t="n">
        <f aca="false" t="array" ref="T11:T11">IF(AND(T$2&lt;&gt;0,TblTech[[#This Row],[Hour]:[Hour]]&gt;=T$2),1,0)</f>
        <v>0</v>
      </c>
      <c r="U11" s="329" t="n">
        <f aca="false" t="array" ref="U11:U11">IF(AND(U$2&lt;&gt;0,TblTech[[#This Row],[Hour]:[Hour]]&gt;=U$2),1,0)</f>
        <v>0</v>
      </c>
      <c r="V11" s="329" t="n">
        <f aca="false" t="array" ref="V11:V11">IF(AND(V$2&lt;&gt;0,TblTech[[#This Row],[Hour]:[Hour]]&gt;=V$2),1,0)</f>
        <v>0</v>
      </c>
      <c r="W11" s="329" t="n">
        <f aca="false" t="array" ref="W11:W11">IF(AND(W$2&lt;&gt;0,TblTech[[#This Row],[Hour]:[Hour]]&gt;=W$2),1,0)</f>
        <v>0</v>
      </c>
      <c r="X11" s="329" t="n">
        <f aca="false" t="array" ref="X11:X11">IF(AND(X$2&lt;&gt;0,TblTech[[#This Row],[Hour]:[Hour]]&gt;=X$2),1,0)</f>
        <v>0</v>
      </c>
      <c r="Y11" s="329" t="n">
        <f aca="false" t="array" ref="Y11:Y11">IF(AND(Y$2&lt;&gt;0,TblTech[[#This Row],[Hour]:[Hour]]&gt;=Y$2),1,0)</f>
        <v>0</v>
      </c>
      <c r="Z11" s="329" t="n">
        <f aca="false" t="array" ref="Z11:Z11">IF(AND(Z$2&lt;&gt;0,TblTech[[#This Row],[Hour]:[Hour]]&gt;=Z$2),1,0)</f>
        <v>0</v>
      </c>
      <c r="AA11" s="329" t="n">
        <f aca="false" t="array" ref="AA11:AA11">IF(AND(AA$2&lt;&gt;0,TblTech[[#This Row],[Hour]:[Hour]]&gt;=AA$2),1,0)</f>
        <v>0</v>
      </c>
      <c r="AB11" s="329" t="n">
        <f aca="false" t="array" ref="AB11:AB11">IF(AND(AB$2&lt;&gt;0,TblTech[[#This Row],[Hour]:[Hour]]&gt;=AB$2),1,0)</f>
        <v>0</v>
      </c>
      <c r="AC11" s="329" t="n">
        <f aca="false" t="array" ref="AC11:AC11">IF(AND(AC$2&lt;&gt;0,TblTech[[#This Row],[Hour]:[Hour]]&gt;=AC$2),1,0)</f>
        <v>0</v>
      </c>
      <c r="AD11" s="329" t="n">
        <f aca="false" t="array" ref="AD11:AD11">IF(AND(AD$2&lt;&gt;0,TblTech[[#This Row],[Hour]:[Hour]]&gt;=AD$2),1,0)</f>
        <v>0</v>
      </c>
      <c r="AE11" s="329" t="n">
        <f aca="false" t="array" ref="AE11:AE11">IF(AND(AE$2&lt;&gt;0,TblTech[[#This Row],[Hour]:[Hour]]&gt;=AE$2),1,0)</f>
        <v>0</v>
      </c>
      <c r="AF11" s="329" t="n">
        <f aca="false" t="array" ref="AF11:AF11">IF(AND(AF$2&lt;&gt;0,TblTech[[#This Row],[Hour]:[Hour]]&gt;=AF$2),1,0)</f>
        <v>0</v>
      </c>
      <c r="AG11" s="329" t="n">
        <f aca="false" t="array" ref="AG11:AG11">IF(AND(AG$2&lt;&gt;0,TblTech[[#This Row],[Hour]:[Hour]]&gt;=AG$2),1,0)</f>
        <v>0</v>
      </c>
      <c r="AH11" s="329" t="n">
        <f aca="false" t="array" ref="AH11:AH11">IF(AND(AH$2&lt;&gt;0,TblTech[[#This Row],[Hour]:[Hour]]&gt;=AH$2),1,0)</f>
        <v>0</v>
      </c>
      <c r="AI11" s="329" t="n">
        <f aca="false" t="array" ref="AI11:AI11">IF(AND(AI$2&lt;&gt;0,TblTech[[#This Row],[Hour]:[Hour]]&gt;=AI$2),1,0)</f>
        <v>0</v>
      </c>
      <c r="AJ11" s="329" t="n">
        <f aca="false" t="array" ref="AJ11:AJ11">IF(AND(AJ$2&lt;&gt;0,TblTech[[#This Row],[Hour]:[Hour]]&gt;=AJ$2),1,0)</f>
        <v>0</v>
      </c>
      <c r="AK11" s="329" t="n">
        <f aca="false" t="array" ref="AK11:AK11">IF(AND(AK$2&lt;&gt;0,TblTech[[#This Row],[Hour]:[Hour]]&gt;=AK$2),1,0)</f>
        <v>0</v>
      </c>
      <c r="AL11" s="329" t="n">
        <f aca="false" t="array" ref="AL11:AL11">IF(AND(AL$2&lt;&gt;0,TblTech[[#This Row],[Hour]:[Hour]]&gt;=AL$2),1,0)</f>
        <v>0</v>
      </c>
      <c r="AM11" s="329" t="n">
        <f aca="false" t="array" ref="AM11:AM11">IF(AND(AM$2&lt;&gt;0,TblTech[[#This Row],[Hour]:[Hour]]&gt;=AM$2),1,0)</f>
        <v>0</v>
      </c>
      <c r="AN11" s="329" t="n">
        <f aca="false" t="array" ref="AN11:AN11">IF(AND(AN$2&lt;&gt;0,TblTech[[#This Row],[Hour]:[Hour]]&gt;=AN$2),1,0)</f>
        <v>0</v>
      </c>
      <c r="AO11" s="329" t="n">
        <f aca="false" t="array" ref="AO11:AO11">IF(AND(AO$2&lt;&gt;0,TblTech[[#This Row],[Hour]:[Hour]]&gt;=AO$2),1,0)</f>
        <v>0</v>
      </c>
      <c r="AP11" s="329" t="n">
        <f aca="false" t="array" ref="AP11:AP11">IF(AND(AP$2&lt;&gt;0,TblTech[[#This Row],[Hour]:[Hour]]&gt;=AP$2),1,0)</f>
        <v>0</v>
      </c>
      <c r="AQ11" s="329" t="n">
        <f aca="false" t="array" ref="AQ11:AQ11">IF(AND(AQ$2&lt;&gt;0,TblTech[[#This Row],[Hour]:[Hour]]&gt;=AQ$2),1,0)</f>
        <v>0</v>
      </c>
      <c r="AR11" s="329" t="n">
        <f aca="false" t="array" ref="AR11:AR11">IF(AND(AR$2&lt;&gt;0,TblTech[[#This Row],[Hour]:[Hour]]&gt;=AR$2),1,0)</f>
        <v>0</v>
      </c>
      <c r="AS11" s="329" t="n">
        <f aca="false" t="array" ref="AS11:AS11">IF(AND(AS$2&lt;&gt;0,TblTech[[#This Row],[Hour]:[Hour]]&gt;=AS$2),1,0)</f>
        <v>0</v>
      </c>
      <c r="AT11" s="329" t="n">
        <f aca="false" t="array" ref="AT11:AT11">IF(AND(AT$2&lt;&gt;0,TblTech[[#This Row],[Hour]:[Hour]]&gt;=AT$2),1,0)</f>
        <v>0</v>
      </c>
      <c r="AU11" s="329" t="n">
        <f aca="false" t="array" ref="AU11:AU11">IF(AND(AU$2&lt;&gt;0,TblTech[[#This Row],[Hour]:[Hour]]&gt;=AU$2),1,0)</f>
        <v>0</v>
      </c>
      <c r="AV11" s="329" t="n">
        <f aca="false" t="array" ref="AV11:AV11">IF(AND(AV$2&lt;&gt;0,TblTech[[#This Row],[Hour]:[Hour]]&gt;=AV$2),1,0)</f>
        <v>0</v>
      </c>
      <c r="AW11" s="329" t="n">
        <f aca="false" t="array" ref="AW11:AW11">IF(AND(AW$2&lt;&gt;0,TblTech[[#This Row],[Hour]:[Hour]]&gt;=AW$2),1,0)</f>
        <v>0</v>
      </c>
      <c r="AX11" s="329" t="n">
        <f aca="false" t="array" ref="AX11:AX11">IF(AND(AX$2&lt;&gt;0,TblTech[[#This Row],[Hour]:[Hour]]&gt;=AX$2),1,0)</f>
        <v>0</v>
      </c>
      <c r="AY11" s="329" t="n">
        <f aca="false" t="array" ref="AY11:AY11">IF(AND(AY$2&lt;&gt;0,TblTech[[#This Row],[Hour]:[Hour]]&gt;=AY$2),1,0)</f>
        <v>0</v>
      </c>
      <c r="AZ11" s="329" t="n">
        <f aca="false" t="array" ref="AZ11:AZ11">IF(AND(AZ$2&lt;&gt;0,TblTech[[#This Row],[Hour]:[Hour]]&gt;=AZ$2),1,0)</f>
        <v>0</v>
      </c>
      <c r="BA11" s="329" t="n">
        <f aca="false" t="array" ref="BA11:BA11">IF(AND(BA$2&lt;&gt;0,TblTech[[#This Row],[Hour]:[Hour]]&gt;=BA$2),1,0)</f>
        <v>0</v>
      </c>
      <c r="BB11" s="329" t="n">
        <f aca="false" t="array" ref="BB11:BB11">IF(AND(BB$2&lt;&gt;0,TblTech[[#This Row],[Hour]:[Hour]]&gt;=BB$2),1,0)</f>
        <v>0</v>
      </c>
      <c r="BC11" s="329" t="n">
        <f aca="false" t="array" ref="BC11:BC11">IF(AND(BC$2&lt;&gt;0,TblTech[[#This Row],[Hour]:[Hour]]&gt;=BC$2),1,0)</f>
        <v>0</v>
      </c>
      <c r="BD11" s="329" t="n">
        <f aca="false" t="array" ref="BD11:BD11">IF(AND(BD$2&lt;&gt;0,TblTech[[#This Row],[Hour]:[Hour]]&gt;=BD$2),1,0)</f>
        <v>0</v>
      </c>
      <c r="BE11" s="329" t="n">
        <f aca="false" t="array" ref="BE11:BE11">IF(AND(BE$2&lt;&gt;0,TblTech[[#This Row],[Hour]:[Hour]]&gt;=BE$2),1,0)</f>
        <v>0</v>
      </c>
      <c r="BF11" s="329" t="n">
        <f aca="false" t="array" ref="BF11:BF11">IF(AND(BF$2&lt;&gt;0,TblTech[[#This Row],[Hour]:[Hour]]&gt;=BF$2),1,0)</f>
        <v>0</v>
      </c>
      <c r="BG11" s="329" t="n">
        <f aca="false" t="array" ref="BG11:BG11">IF(AND(BG$2&lt;&gt;0,TblTech[[#This Row],[Hour]:[Hour]]&gt;=BG$2),1,0)</f>
        <v>0</v>
      </c>
      <c r="BH11" s="329" t="n">
        <f aca="false" t="array" ref="BH11:BH11">IF(AND(BH$2&lt;&gt;0,TblTech[[#This Row],[Hour]:[Hour]]&gt;=BH$2),1,0)</f>
        <v>0</v>
      </c>
      <c r="BI11" s="329" t="n">
        <f aca="false" t="array" ref="BI11:BI11">IF(AND(BI$2&lt;&gt;0,TblTech[[#This Row],[Hour]:[Hour]]&gt;=BI$2),1,0)</f>
        <v>0</v>
      </c>
      <c r="BJ11" s="329" t="n">
        <f aca="false" t="array" ref="BJ11:BJ11">IF(AND(BJ$2&lt;&gt;0,TblTech[[#This Row],[Hour]:[Hour]]&gt;=BJ$2),1,0)</f>
        <v>0</v>
      </c>
      <c r="BK11" s="329" t="n">
        <f aca="false" t="array" ref="BK11:BK11">IF(AND(BK$2&lt;&gt;0,TblTech[[#This Row],[Hour]:[Hour]]&gt;=BK$2),1,0)</f>
        <v>0</v>
      </c>
      <c r="BL11" s="329" t="n">
        <f aca="false" t="array" ref="BL11:BL11">IF(AND(BL$2&lt;&gt;0,TblTech[[#This Row],[Hour]:[Hour]]&gt;=BL$2),1,0)</f>
        <v>0</v>
      </c>
      <c r="BM11" s="329" t="n">
        <f aca="false" t="array" ref="BM11:BM11">IF(AND(BM$2&lt;&gt;0,TblTech[[#This Row],[Hour]:[Hour]]&gt;=BM$2),1,0)</f>
        <v>0</v>
      </c>
      <c r="BN11" s="329" t="n">
        <f aca="false" t="array" ref="BN11:BN11">IF(AND(BN$2&lt;&gt;0,TblTech[[#This Row],[Hour]:[Hour]]&gt;=BN$2),1,0)</f>
        <v>0</v>
      </c>
      <c r="BO11" s="329" t="n">
        <f aca="false" t="array" ref="BO11:BO11">IF(AND(BO$2&lt;&gt;0,TblTech[[#This Row],[Hour]:[Hour]]&gt;=BO$2),1,0)</f>
        <v>0</v>
      </c>
      <c r="BP11" s="329" t="n">
        <f aca="false" t="array" ref="BP11:BP11">IF(AND(BP$2&lt;&gt;0,TblTech[[#This Row],[Hour]:[Hour]]&gt;=BP$2),1,0)</f>
        <v>0</v>
      </c>
      <c r="BQ11" s="329" t="n">
        <f aca="false" t="array" ref="BQ11:BQ11">IF(AND(BQ$2&lt;&gt;0,TblTech[[#This Row],[Hour]:[Hour]]&gt;=BQ$2),1,0)</f>
        <v>0</v>
      </c>
      <c r="BR11" s="329" t="n">
        <f aca="false" t="array" ref="BR11:BR11">IF(AND(BR$2&lt;&gt;0,TblTech[[#This Row],[Hour]:[Hour]]&gt;=BR$2),1,0)</f>
        <v>0</v>
      </c>
      <c r="BS11" s="329" t="n">
        <f aca="false" t="array" ref="BS11:BS11">IF(AND(BS$2&lt;&gt;0,TblTech[[#This Row],[Hour]:[Hour]]&gt;=BS$2),1,0)</f>
        <v>0</v>
      </c>
      <c r="BT11" s="329" t="n">
        <f aca="false" t="array" ref="BT11:BT11">IF(AND(BT$2&lt;&gt;0,TblTech[[#This Row],[Hour]:[Hour]]&gt;=BT$2),1,0)</f>
        <v>0</v>
      </c>
      <c r="BU11" s="329" t="n">
        <f aca="false" t="array" ref="BU11:BU11">IF(AND(BU$2&lt;&gt;0,TblTech[[#This Row],[Hour]:[Hour]]&gt;=BU$2),1,0)</f>
        <v>0</v>
      </c>
      <c r="BV11" s="329" t="n">
        <f aca="false" t="array" ref="BV11:BV11">IF(AND(BV$2&lt;&gt;0,TblTech[[#This Row],[Hour]:[Hour]]&gt;=BV$2),1,0)</f>
        <v>0</v>
      </c>
      <c r="BW11" s="329" t="n">
        <f aca="false" t="array" ref="BW11:BW11">IF(AND(BW$2&lt;&gt;0,TblTech[[#This Row],[Hour]:[Hour]]&gt;=BW$2),1,0)</f>
        <v>0</v>
      </c>
      <c r="BX11" s="329" t="n">
        <f aca="false" t="array" ref="BX11:BX11">IF(AND(BX$2&lt;&gt;0,TblTech[[#This Row],[Hour]:[Hour]]&gt;=BX$2),1,0)</f>
        <v>0</v>
      </c>
      <c r="BY11" s="329" t="n">
        <f aca="false" t="array" ref="BY11:BY11">IF(AND(BY$2&lt;&gt;0,TblTech[[#This Row],[Hour]:[Hour]]&gt;=BY$2),1,0)</f>
        <v>0</v>
      </c>
      <c r="BZ11" s="329" t="n">
        <f aca="false" t="array" ref="BZ11:BZ11">IF(AND(BZ$2&lt;&gt;0,TblTech[[#This Row],[Hour]:[Hour]]&gt;=BZ$2),1,0)</f>
        <v>0</v>
      </c>
      <c r="CA11" s="330" t="n">
        <f aca="false">IFERROR(INDEX($H$4:$H$79,MATCH(INDEX(TblTech[[#Headers],[1-1]:[11-1]],1,MATCH(TblTech[[#This Row],[Hour]],$M$2:$BZ$2,0)),$G$4:$G$79,0)),)</f>
        <v>0</v>
      </c>
    </row>
    <row r="12" customFormat="false" ht="12.75" hidden="false" customHeight="false" outlineLevel="0" collapsed="false">
      <c r="A12" s="321" t="n">
        <f aca="false">TblRezone[[#This Row],[Hour]]</f>
        <v>9</v>
      </c>
      <c r="B12" s="322" t="n">
        <f aca="false">TblExplore[[#This Row],[Land-DB]]</f>
        <v>250</v>
      </c>
      <c r="C12" s="323" t="n">
        <f aca="false">TblProd[[#This Row],[Techpoints]]</f>
        <v>0</v>
      </c>
      <c r="D12" s="323" t="n">
        <f aca="false">TblProd[[#This Row],[Required]]</f>
        <v>3750</v>
      </c>
      <c r="E12" s="324"/>
      <c r="F12" s="325"/>
      <c r="G12" s="326" t="s">
        <v>532</v>
      </c>
      <c r="H12" s="327" t="s">
        <v>607</v>
      </c>
      <c r="I12" s="326" t="s">
        <v>608</v>
      </c>
      <c r="J12" s="322"/>
      <c r="K12" s="68" t="n">
        <f aca="false">IF(TblTech[[#This Row],[Sum of tech]]&lt;&gt;OFFSET(TblTech[[#This Row],[Sum of tech]],-1,0),1,0)</f>
        <v>0</v>
      </c>
      <c r="L12" s="328" t="n">
        <f aca="false">COUNTIF(TblTech[[#This Row],[1-1]:[11-1]],1)</f>
        <v>0</v>
      </c>
      <c r="M12" s="329" t="n">
        <f aca="false" t="array" ref="M12:M12">IF(AND(M$2&lt;&gt;0,TblTech[[#This Row],[Hour]:[Hour]]&gt;=M$2),1,0)</f>
        <v>0</v>
      </c>
      <c r="N12" s="329" t="n">
        <f aca="false" t="array" ref="N12:N12">IF(AND(N$2&lt;&gt;0,TblTech[[#This Row],[Hour]:[Hour]]&gt;=N$2),1,0)</f>
        <v>0</v>
      </c>
      <c r="O12" s="329" t="n">
        <f aca="false" t="array" ref="O12:O12">IF(AND(O$2&lt;&gt;0,TblTech[[#This Row],[Hour]:[Hour]]&gt;=O$2),1,0)</f>
        <v>0</v>
      </c>
      <c r="P12" s="329" t="n">
        <f aca="false" t="array" ref="P12:P12">IF(AND(P$2&lt;&gt;0,TblTech[[#This Row],[Hour]:[Hour]]&gt;=P$2),1,0)</f>
        <v>0</v>
      </c>
      <c r="Q12" s="329" t="n">
        <f aca="false" t="array" ref="Q12:Q12">IF(AND(Q$2&lt;&gt;0,TblTech[[#This Row],[Hour]:[Hour]]&gt;=Q$2),1,0)</f>
        <v>0</v>
      </c>
      <c r="R12" s="329" t="n">
        <f aca="false" t="array" ref="R12:R12">IF(AND(R$2&lt;&gt;0,TblTech[[#This Row],[Hour]:[Hour]]&gt;=R$2),1,0)</f>
        <v>0</v>
      </c>
      <c r="S12" s="329" t="n">
        <f aca="false" t="array" ref="S12:S12">IF(AND(S$2&lt;&gt;0,TblTech[[#This Row],[Hour]:[Hour]]&gt;=S$2),1,0)</f>
        <v>0</v>
      </c>
      <c r="T12" s="329" t="n">
        <f aca="false" t="array" ref="T12:T12">IF(AND(T$2&lt;&gt;0,TblTech[[#This Row],[Hour]:[Hour]]&gt;=T$2),1,0)</f>
        <v>0</v>
      </c>
      <c r="U12" s="329" t="n">
        <f aca="false" t="array" ref="U12:U12">IF(AND(U$2&lt;&gt;0,TblTech[[#This Row],[Hour]:[Hour]]&gt;=U$2),1,0)</f>
        <v>0</v>
      </c>
      <c r="V12" s="329" t="n">
        <f aca="false" t="array" ref="V12:V12">IF(AND(V$2&lt;&gt;0,TblTech[[#This Row],[Hour]:[Hour]]&gt;=V$2),1,0)</f>
        <v>0</v>
      </c>
      <c r="W12" s="329" t="n">
        <f aca="false" t="array" ref="W12:W12">IF(AND(W$2&lt;&gt;0,TblTech[[#This Row],[Hour]:[Hour]]&gt;=W$2),1,0)</f>
        <v>0</v>
      </c>
      <c r="X12" s="329" t="n">
        <f aca="false" t="array" ref="X12:X12">IF(AND(X$2&lt;&gt;0,TblTech[[#This Row],[Hour]:[Hour]]&gt;=X$2),1,0)</f>
        <v>0</v>
      </c>
      <c r="Y12" s="329" t="n">
        <f aca="false" t="array" ref="Y12:Y12">IF(AND(Y$2&lt;&gt;0,TblTech[[#This Row],[Hour]:[Hour]]&gt;=Y$2),1,0)</f>
        <v>0</v>
      </c>
      <c r="Z12" s="329" t="n">
        <f aca="false" t="array" ref="Z12:Z12">IF(AND(Z$2&lt;&gt;0,TblTech[[#This Row],[Hour]:[Hour]]&gt;=Z$2),1,0)</f>
        <v>0</v>
      </c>
      <c r="AA12" s="329" t="n">
        <f aca="false" t="array" ref="AA12:AA12">IF(AND(AA$2&lt;&gt;0,TblTech[[#This Row],[Hour]:[Hour]]&gt;=AA$2),1,0)</f>
        <v>0</v>
      </c>
      <c r="AB12" s="329" t="n">
        <f aca="false" t="array" ref="AB12:AB12">IF(AND(AB$2&lt;&gt;0,TblTech[[#This Row],[Hour]:[Hour]]&gt;=AB$2),1,0)</f>
        <v>0</v>
      </c>
      <c r="AC12" s="329" t="n">
        <f aca="false" t="array" ref="AC12:AC12">IF(AND(AC$2&lt;&gt;0,TblTech[[#This Row],[Hour]:[Hour]]&gt;=AC$2),1,0)</f>
        <v>0</v>
      </c>
      <c r="AD12" s="329" t="n">
        <f aca="false" t="array" ref="AD12:AD12">IF(AND(AD$2&lt;&gt;0,TblTech[[#This Row],[Hour]:[Hour]]&gt;=AD$2),1,0)</f>
        <v>0</v>
      </c>
      <c r="AE12" s="329" t="n">
        <f aca="false" t="array" ref="AE12:AE12">IF(AND(AE$2&lt;&gt;0,TblTech[[#This Row],[Hour]:[Hour]]&gt;=AE$2),1,0)</f>
        <v>0</v>
      </c>
      <c r="AF12" s="329" t="n">
        <f aca="false" t="array" ref="AF12:AF12">IF(AND(AF$2&lt;&gt;0,TblTech[[#This Row],[Hour]:[Hour]]&gt;=AF$2),1,0)</f>
        <v>0</v>
      </c>
      <c r="AG12" s="329" t="n">
        <f aca="false" t="array" ref="AG12:AG12">IF(AND(AG$2&lt;&gt;0,TblTech[[#This Row],[Hour]:[Hour]]&gt;=AG$2),1,0)</f>
        <v>0</v>
      </c>
      <c r="AH12" s="329" t="n">
        <f aca="false" t="array" ref="AH12:AH12">IF(AND(AH$2&lt;&gt;0,TblTech[[#This Row],[Hour]:[Hour]]&gt;=AH$2),1,0)</f>
        <v>0</v>
      </c>
      <c r="AI12" s="329" t="n">
        <f aca="false" t="array" ref="AI12:AI12">IF(AND(AI$2&lt;&gt;0,TblTech[[#This Row],[Hour]:[Hour]]&gt;=AI$2),1,0)</f>
        <v>0</v>
      </c>
      <c r="AJ12" s="329" t="n">
        <f aca="false" t="array" ref="AJ12:AJ12">IF(AND(AJ$2&lt;&gt;0,TblTech[[#This Row],[Hour]:[Hour]]&gt;=AJ$2),1,0)</f>
        <v>0</v>
      </c>
      <c r="AK12" s="329" t="n">
        <f aca="false" t="array" ref="AK12:AK12">IF(AND(AK$2&lt;&gt;0,TblTech[[#This Row],[Hour]:[Hour]]&gt;=AK$2),1,0)</f>
        <v>0</v>
      </c>
      <c r="AL12" s="329" t="n">
        <f aca="false" t="array" ref="AL12:AL12">IF(AND(AL$2&lt;&gt;0,TblTech[[#This Row],[Hour]:[Hour]]&gt;=AL$2),1,0)</f>
        <v>0</v>
      </c>
      <c r="AM12" s="329" t="n">
        <f aca="false" t="array" ref="AM12:AM12">IF(AND(AM$2&lt;&gt;0,TblTech[[#This Row],[Hour]:[Hour]]&gt;=AM$2),1,0)</f>
        <v>0</v>
      </c>
      <c r="AN12" s="329" t="n">
        <f aca="false" t="array" ref="AN12:AN12">IF(AND(AN$2&lt;&gt;0,TblTech[[#This Row],[Hour]:[Hour]]&gt;=AN$2),1,0)</f>
        <v>0</v>
      </c>
      <c r="AO12" s="329" t="n">
        <f aca="false" t="array" ref="AO12:AO12">IF(AND(AO$2&lt;&gt;0,TblTech[[#This Row],[Hour]:[Hour]]&gt;=AO$2),1,0)</f>
        <v>0</v>
      </c>
      <c r="AP12" s="329" t="n">
        <f aca="false" t="array" ref="AP12:AP12">IF(AND(AP$2&lt;&gt;0,TblTech[[#This Row],[Hour]:[Hour]]&gt;=AP$2),1,0)</f>
        <v>0</v>
      </c>
      <c r="AQ12" s="329" t="n">
        <f aca="false" t="array" ref="AQ12:AQ12">IF(AND(AQ$2&lt;&gt;0,TblTech[[#This Row],[Hour]:[Hour]]&gt;=AQ$2),1,0)</f>
        <v>0</v>
      </c>
      <c r="AR12" s="329" t="n">
        <f aca="false" t="array" ref="AR12:AR12">IF(AND(AR$2&lt;&gt;0,TblTech[[#This Row],[Hour]:[Hour]]&gt;=AR$2),1,0)</f>
        <v>0</v>
      </c>
      <c r="AS12" s="329" t="n">
        <f aca="false" t="array" ref="AS12:AS12">IF(AND(AS$2&lt;&gt;0,TblTech[[#This Row],[Hour]:[Hour]]&gt;=AS$2),1,0)</f>
        <v>0</v>
      </c>
      <c r="AT12" s="329" t="n">
        <f aca="false" t="array" ref="AT12:AT12">IF(AND(AT$2&lt;&gt;0,TblTech[[#This Row],[Hour]:[Hour]]&gt;=AT$2),1,0)</f>
        <v>0</v>
      </c>
      <c r="AU12" s="329" t="n">
        <f aca="false" t="array" ref="AU12:AU12">IF(AND(AU$2&lt;&gt;0,TblTech[[#This Row],[Hour]:[Hour]]&gt;=AU$2),1,0)</f>
        <v>0</v>
      </c>
      <c r="AV12" s="329" t="n">
        <f aca="false" t="array" ref="AV12:AV12">IF(AND(AV$2&lt;&gt;0,TblTech[[#This Row],[Hour]:[Hour]]&gt;=AV$2),1,0)</f>
        <v>0</v>
      </c>
      <c r="AW12" s="329" t="n">
        <f aca="false" t="array" ref="AW12:AW12">IF(AND(AW$2&lt;&gt;0,TblTech[[#This Row],[Hour]:[Hour]]&gt;=AW$2),1,0)</f>
        <v>0</v>
      </c>
      <c r="AX12" s="329" t="n">
        <f aca="false" t="array" ref="AX12:AX12">IF(AND(AX$2&lt;&gt;0,TblTech[[#This Row],[Hour]:[Hour]]&gt;=AX$2),1,0)</f>
        <v>0</v>
      </c>
      <c r="AY12" s="329" t="n">
        <f aca="false" t="array" ref="AY12:AY12">IF(AND(AY$2&lt;&gt;0,TblTech[[#This Row],[Hour]:[Hour]]&gt;=AY$2),1,0)</f>
        <v>0</v>
      </c>
      <c r="AZ12" s="329" t="n">
        <f aca="false" t="array" ref="AZ12:AZ12">IF(AND(AZ$2&lt;&gt;0,TblTech[[#This Row],[Hour]:[Hour]]&gt;=AZ$2),1,0)</f>
        <v>0</v>
      </c>
      <c r="BA12" s="329" t="n">
        <f aca="false" t="array" ref="BA12:BA12">IF(AND(BA$2&lt;&gt;0,TblTech[[#This Row],[Hour]:[Hour]]&gt;=BA$2),1,0)</f>
        <v>0</v>
      </c>
      <c r="BB12" s="329" t="n">
        <f aca="false" t="array" ref="BB12:BB12">IF(AND(BB$2&lt;&gt;0,TblTech[[#This Row],[Hour]:[Hour]]&gt;=BB$2),1,0)</f>
        <v>0</v>
      </c>
      <c r="BC12" s="329" t="n">
        <f aca="false" t="array" ref="BC12:BC12">IF(AND(BC$2&lt;&gt;0,TblTech[[#This Row],[Hour]:[Hour]]&gt;=BC$2),1,0)</f>
        <v>0</v>
      </c>
      <c r="BD12" s="329" t="n">
        <f aca="false" t="array" ref="BD12:BD12">IF(AND(BD$2&lt;&gt;0,TblTech[[#This Row],[Hour]:[Hour]]&gt;=BD$2),1,0)</f>
        <v>0</v>
      </c>
      <c r="BE12" s="329" t="n">
        <f aca="false" t="array" ref="BE12:BE12">IF(AND(BE$2&lt;&gt;0,TblTech[[#This Row],[Hour]:[Hour]]&gt;=BE$2),1,0)</f>
        <v>0</v>
      </c>
      <c r="BF12" s="329" t="n">
        <f aca="false" t="array" ref="BF12:BF12">IF(AND(BF$2&lt;&gt;0,TblTech[[#This Row],[Hour]:[Hour]]&gt;=BF$2),1,0)</f>
        <v>0</v>
      </c>
      <c r="BG12" s="329" t="n">
        <f aca="false" t="array" ref="BG12:BG12">IF(AND(BG$2&lt;&gt;0,TblTech[[#This Row],[Hour]:[Hour]]&gt;=BG$2),1,0)</f>
        <v>0</v>
      </c>
      <c r="BH12" s="329" t="n">
        <f aca="false" t="array" ref="BH12:BH12">IF(AND(BH$2&lt;&gt;0,TblTech[[#This Row],[Hour]:[Hour]]&gt;=BH$2),1,0)</f>
        <v>0</v>
      </c>
      <c r="BI12" s="329" t="n">
        <f aca="false" t="array" ref="BI12:BI12">IF(AND(BI$2&lt;&gt;0,TblTech[[#This Row],[Hour]:[Hour]]&gt;=BI$2),1,0)</f>
        <v>0</v>
      </c>
      <c r="BJ12" s="329" t="n">
        <f aca="false" t="array" ref="BJ12:BJ12">IF(AND(BJ$2&lt;&gt;0,TblTech[[#This Row],[Hour]:[Hour]]&gt;=BJ$2),1,0)</f>
        <v>0</v>
      </c>
      <c r="BK12" s="329" t="n">
        <f aca="false" t="array" ref="BK12:BK12">IF(AND(BK$2&lt;&gt;0,TblTech[[#This Row],[Hour]:[Hour]]&gt;=BK$2),1,0)</f>
        <v>0</v>
      </c>
      <c r="BL12" s="329" t="n">
        <f aca="false" t="array" ref="BL12:BL12">IF(AND(BL$2&lt;&gt;0,TblTech[[#This Row],[Hour]:[Hour]]&gt;=BL$2),1,0)</f>
        <v>0</v>
      </c>
      <c r="BM12" s="329" t="n">
        <f aca="false" t="array" ref="BM12:BM12">IF(AND(BM$2&lt;&gt;0,TblTech[[#This Row],[Hour]:[Hour]]&gt;=BM$2),1,0)</f>
        <v>0</v>
      </c>
      <c r="BN12" s="329" t="n">
        <f aca="false" t="array" ref="BN12:BN12">IF(AND(BN$2&lt;&gt;0,TblTech[[#This Row],[Hour]:[Hour]]&gt;=BN$2),1,0)</f>
        <v>0</v>
      </c>
      <c r="BO12" s="329" t="n">
        <f aca="false" t="array" ref="BO12:BO12">IF(AND(BO$2&lt;&gt;0,TblTech[[#This Row],[Hour]:[Hour]]&gt;=BO$2),1,0)</f>
        <v>0</v>
      </c>
      <c r="BP12" s="329" t="n">
        <f aca="false" t="array" ref="BP12:BP12">IF(AND(BP$2&lt;&gt;0,TblTech[[#This Row],[Hour]:[Hour]]&gt;=BP$2),1,0)</f>
        <v>0</v>
      </c>
      <c r="BQ12" s="329" t="n">
        <f aca="false" t="array" ref="BQ12:BQ12">IF(AND(BQ$2&lt;&gt;0,TblTech[[#This Row],[Hour]:[Hour]]&gt;=BQ$2),1,0)</f>
        <v>0</v>
      </c>
      <c r="BR12" s="329" t="n">
        <f aca="false" t="array" ref="BR12:BR12">IF(AND(BR$2&lt;&gt;0,TblTech[[#This Row],[Hour]:[Hour]]&gt;=BR$2),1,0)</f>
        <v>0</v>
      </c>
      <c r="BS12" s="329" t="n">
        <f aca="false" t="array" ref="BS12:BS12">IF(AND(BS$2&lt;&gt;0,TblTech[[#This Row],[Hour]:[Hour]]&gt;=BS$2),1,0)</f>
        <v>0</v>
      </c>
      <c r="BT12" s="329" t="n">
        <f aca="false" t="array" ref="BT12:BT12">IF(AND(BT$2&lt;&gt;0,TblTech[[#This Row],[Hour]:[Hour]]&gt;=BT$2),1,0)</f>
        <v>0</v>
      </c>
      <c r="BU12" s="329" t="n">
        <f aca="false" t="array" ref="BU12:BU12">IF(AND(BU$2&lt;&gt;0,TblTech[[#This Row],[Hour]:[Hour]]&gt;=BU$2),1,0)</f>
        <v>0</v>
      </c>
      <c r="BV12" s="329" t="n">
        <f aca="false" t="array" ref="BV12:BV12">IF(AND(BV$2&lt;&gt;0,TblTech[[#This Row],[Hour]:[Hour]]&gt;=BV$2),1,0)</f>
        <v>0</v>
      </c>
      <c r="BW12" s="329" t="n">
        <f aca="false" t="array" ref="BW12:BW12">IF(AND(BW$2&lt;&gt;0,TblTech[[#This Row],[Hour]:[Hour]]&gt;=BW$2),1,0)</f>
        <v>0</v>
      </c>
      <c r="BX12" s="329" t="n">
        <f aca="false" t="array" ref="BX12:BX12">IF(AND(BX$2&lt;&gt;0,TblTech[[#This Row],[Hour]:[Hour]]&gt;=BX$2),1,0)</f>
        <v>0</v>
      </c>
      <c r="BY12" s="329" t="n">
        <f aca="false" t="array" ref="BY12:BY12">IF(AND(BY$2&lt;&gt;0,TblTech[[#This Row],[Hour]:[Hour]]&gt;=BY$2),1,0)</f>
        <v>0</v>
      </c>
      <c r="BZ12" s="329" t="n">
        <f aca="false" t="array" ref="BZ12:BZ12">IF(AND(BZ$2&lt;&gt;0,TblTech[[#This Row],[Hour]:[Hour]]&gt;=BZ$2),1,0)</f>
        <v>0</v>
      </c>
      <c r="CA12" s="330" t="n">
        <f aca="false">IFERROR(INDEX($H$4:$H$79,MATCH(INDEX(TblTech[[#Headers],[1-1]:[11-1]],1,MATCH(TblTech[[#This Row],[Hour]],$M$2:$BZ$2,0)),$G$4:$G$79,0)),)</f>
        <v>0</v>
      </c>
    </row>
    <row r="13" customFormat="false" ht="12.75" hidden="false" customHeight="false" outlineLevel="0" collapsed="false">
      <c r="A13" s="321" t="n">
        <f aca="false">TblRezone[[#This Row],[Hour]]</f>
        <v>10</v>
      </c>
      <c r="B13" s="322" t="n">
        <f aca="false">TblExplore[[#This Row],[Land-DB]]</f>
        <v>250</v>
      </c>
      <c r="C13" s="323" t="n">
        <f aca="false">TblProd[[#This Row],[Techpoints]]</f>
        <v>0</v>
      </c>
      <c r="D13" s="323" t="n">
        <f aca="false">TblProd[[#This Row],[Required]]</f>
        <v>3750</v>
      </c>
      <c r="E13" s="324"/>
      <c r="F13" s="325"/>
      <c r="G13" s="326" t="s">
        <v>533</v>
      </c>
      <c r="H13" s="327" t="s">
        <v>609</v>
      </c>
      <c r="I13" s="326" t="s">
        <v>610</v>
      </c>
      <c r="J13" s="322"/>
      <c r="K13" s="68" t="n">
        <f aca="false">IF(TblTech[[#This Row],[Sum of tech]]&lt;&gt;OFFSET(TblTech[[#This Row],[Sum of tech]],-1,0),1,0)</f>
        <v>0</v>
      </c>
      <c r="L13" s="328" t="n">
        <f aca="false">COUNTIF(TblTech[[#This Row],[1-1]:[11-1]],1)</f>
        <v>0</v>
      </c>
      <c r="M13" s="329" t="n">
        <f aca="false" t="array" ref="M13:M13">IF(AND(M$2&lt;&gt;0,TblTech[[#This Row],[Hour]:[Hour]]&gt;=M$2),1,0)</f>
        <v>0</v>
      </c>
      <c r="N13" s="329" t="n">
        <f aca="false" t="array" ref="N13:N13">IF(AND(N$2&lt;&gt;0,TblTech[[#This Row],[Hour]:[Hour]]&gt;=N$2),1,0)</f>
        <v>0</v>
      </c>
      <c r="O13" s="329" t="n">
        <f aca="false" t="array" ref="O13:O13">IF(AND(O$2&lt;&gt;0,TblTech[[#This Row],[Hour]:[Hour]]&gt;=O$2),1,0)</f>
        <v>0</v>
      </c>
      <c r="P13" s="329" t="n">
        <f aca="false" t="array" ref="P13:P13">IF(AND(P$2&lt;&gt;0,TblTech[[#This Row],[Hour]:[Hour]]&gt;=P$2),1,0)</f>
        <v>0</v>
      </c>
      <c r="Q13" s="329" t="n">
        <f aca="false" t="array" ref="Q13:Q13">IF(AND(Q$2&lt;&gt;0,TblTech[[#This Row],[Hour]:[Hour]]&gt;=Q$2),1,0)</f>
        <v>0</v>
      </c>
      <c r="R13" s="329" t="n">
        <f aca="false" t="array" ref="R13:R13">IF(AND(R$2&lt;&gt;0,TblTech[[#This Row],[Hour]:[Hour]]&gt;=R$2),1,0)</f>
        <v>0</v>
      </c>
      <c r="S13" s="329" t="n">
        <f aca="false" t="array" ref="S13:S13">IF(AND(S$2&lt;&gt;0,TblTech[[#This Row],[Hour]:[Hour]]&gt;=S$2),1,0)</f>
        <v>0</v>
      </c>
      <c r="T13" s="329" t="n">
        <f aca="false" t="array" ref="T13:T13">IF(AND(T$2&lt;&gt;0,TblTech[[#This Row],[Hour]:[Hour]]&gt;=T$2),1,0)</f>
        <v>0</v>
      </c>
      <c r="U13" s="329" t="n">
        <f aca="false" t="array" ref="U13:U13">IF(AND(U$2&lt;&gt;0,TblTech[[#This Row],[Hour]:[Hour]]&gt;=U$2),1,0)</f>
        <v>0</v>
      </c>
      <c r="V13" s="329" t="n">
        <f aca="false" t="array" ref="V13:V13">IF(AND(V$2&lt;&gt;0,TblTech[[#This Row],[Hour]:[Hour]]&gt;=V$2),1,0)</f>
        <v>0</v>
      </c>
      <c r="W13" s="329" t="n">
        <f aca="false" t="array" ref="W13:W13">IF(AND(W$2&lt;&gt;0,TblTech[[#This Row],[Hour]:[Hour]]&gt;=W$2),1,0)</f>
        <v>0</v>
      </c>
      <c r="X13" s="329" t="n">
        <f aca="false" t="array" ref="X13:X13">IF(AND(X$2&lt;&gt;0,TblTech[[#This Row],[Hour]:[Hour]]&gt;=X$2),1,0)</f>
        <v>0</v>
      </c>
      <c r="Y13" s="329" t="n">
        <f aca="false" t="array" ref="Y13:Y13">IF(AND(Y$2&lt;&gt;0,TblTech[[#This Row],[Hour]:[Hour]]&gt;=Y$2),1,0)</f>
        <v>0</v>
      </c>
      <c r="Z13" s="329" t="n">
        <f aca="false" t="array" ref="Z13:Z13">IF(AND(Z$2&lt;&gt;0,TblTech[[#This Row],[Hour]:[Hour]]&gt;=Z$2),1,0)</f>
        <v>0</v>
      </c>
      <c r="AA13" s="329" t="n">
        <f aca="false" t="array" ref="AA13:AA13">IF(AND(AA$2&lt;&gt;0,TblTech[[#This Row],[Hour]:[Hour]]&gt;=AA$2),1,0)</f>
        <v>0</v>
      </c>
      <c r="AB13" s="329" t="n">
        <f aca="false" t="array" ref="AB13:AB13">IF(AND(AB$2&lt;&gt;0,TblTech[[#This Row],[Hour]:[Hour]]&gt;=AB$2),1,0)</f>
        <v>0</v>
      </c>
      <c r="AC13" s="329" t="n">
        <f aca="false" t="array" ref="AC13:AC13">IF(AND(AC$2&lt;&gt;0,TblTech[[#This Row],[Hour]:[Hour]]&gt;=AC$2),1,0)</f>
        <v>0</v>
      </c>
      <c r="AD13" s="329" t="n">
        <f aca="false" t="array" ref="AD13:AD13">IF(AND(AD$2&lt;&gt;0,TblTech[[#This Row],[Hour]:[Hour]]&gt;=AD$2),1,0)</f>
        <v>0</v>
      </c>
      <c r="AE13" s="329" t="n">
        <f aca="false" t="array" ref="AE13:AE13">IF(AND(AE$2&lt;&gt;0,TblTech[[#This Row],[Hour]:[Hour]]&gt;=AE$2),1,0)</f>
        <v>0</v>
      </c>
      <c r="AF13" s="329" t="n">
        <f aca="false" t="array" ref="AF13:AF13">IF(AND(AF$2&lt;&gt;0,TblTech[[#This Row],[Hour]:[Hour]]&gt;=AF$2),1,0)</f>
        <v>0</v>
      </c>
      <c r="AG13" s="329" t="n">
        <f aca="false" t="array" ref="AG13:AG13">IF(AND(AG$2&lt;&gt;0,TblTech[[#This Row],[Hour]:[Hour]]&gt;=AG$2),1,0)</f>
        <v>0</v>
      </c>
      <c r="AH13" s="329" t="n">
        <f aca="false" t="array" ref="AH13:AH13">IF(AND(AH$2&lt;&gt;0,TblTech[[#This Row],[Hour]:[Hour]]&gt;=AH$2),1,0)</f>
        <v>0</v>
      </c>
      <c r="AI13" s="329" t="n">
        <f aca="false" t="array" ref="AI13:AI13">IF(AND(AI$2&lt;&gt;0,TblTech[[#This Row],[Hour]:[Hour]]&gt;=AI$2),1,0)</f>
        <v>0</v>
      </c>
      <c r="AJ13" s="329" t="n">
        <f aca="false" t="array" ref="AJ13:AJ13">IF(AND(AJ$2&lt;&gt;0,TblTech[[#This Row],[Hour]:[Hour]]&gt;=AJ$2),1,0)</f>
        <v>0</v>
      </c>
      <c r="AK13" s="329" t="n">
        <f aca="false" t="array" ref="AK13:AK13">IF(AND(AK$2&lt;&gt;0,TblTech[[#This Row],[Hour]:[Hour]]&gt;=AK$2),1,0)</f>
        <v>0</v>
      </c>
      <c r="AL13" s="329" t="n">
        <f aca="false" t="array" ref="AL13:AL13">IF(AND(AL$2&lt;&gt;0,TblTech[[#This Row],[Hour]:[Hour]]&gt;=AL$2),1,0)</f>
        <v>0</v>
      </c>
      <c r="AM13" s="329" t="n">
        <f aca="false" t="array" ref="AM13:AM13">IF(AND(AM$2&lt;&gt;0,TblTech[[#This Row],[Hour]:[Hour]]&gt;=AM$2),1,0)</f>
        <v>0</v>
      </c>
      <c r="AN13" s="329" t="n">
        <f aca="false" t="array" ref="AN13:AN13">IF(AND(AN$2&lt;&gt;0,TblTech[[#This Row],[Hour]:[Hour]]&gt;=AN$2),1,0)</f>
        <v>0</v>
      </c>
      <c r="AO13" s="329" t="n">
        <f aca="false" t="array" ref="AO13:AO13">IF(AND(AO$2&lt;&gt;0,TblTech[[#This Row],[Hour]:[Hour]]&gt;=AO$2),1,0)</f>
        <v>0</v>
      </c>
      <c r="AP13" s="329" t="n">
        <f aca="false" t="array" ref="AP13:AP13">IF(AND(AP$2&lt;&gt;0,TblTech[[#This Row],[Hour]:[Hour]]&gt;=AP$2),1,0)</f>
        <v>0</v>
      </c>
      <c r="AQ13" s="329" t="n">
        <f aca="false" t="array" ref="AQ13:AQ13">IF(AND(AQ$2&lt;&gt;0,TblTech[[#This Row],[Hour]:[Hour]]&gt;=AQ$2),1,0)</f>
        <v>0</v>
      </c>
      <c r="AR13" s="329" t="n">
        <f aca="false" t="array" ref="AR13:AR13">IF(AND(AR$2&lt;&gt;0,TblTech[[#This Row],[Hour]:[Hour]]&gt;=AR$2),1,0)</f>
        <v>0</v>
      </c>
      <c r="AS13" s="329" t="n">
        <f aca="false" t="array" ref="AS13:AS13">IF(AND(AS$2&lt;&gt;0,TblTech[[#This Row],[Hour]:[Hour]]&gt;=AS$2),1,0)</f>
        <v>0</v>
      </c>
      <c r="AT13" s="329" t="n">
        <f aca="false" t="array" ref="AT13:AT13">IF(AND(AT$2&lt;&gt;0,TblTech[[#This Row],[Hour]:[Hour]]&gt;=AT$2),1,0)</f>
        <v>0</v>
      </c>
      <c r="AU13" s="329" t="n">
        <f aca="false" t="array" ref="AU13:AU13">IF(AND(AU$2&lt;&gt;0,TblTech[[#This Row],[Hour]:[Hour]]&gt;=AU$2),1,0)</f>
        <v>0</v>
      </c>
      <c r="AV13" s="329" t="n">
        <f aca="false" t="array" ref="AV13:AV13">IF(AND(AV$2&lt;&gt;0,TblTech[[#This Row],[Hour]:[Hour]]&gt;=AV$2),1,0)</f>
        <v>0</v>
      </c>
      <c r="AW13" s="329" t="n">
        <f aca="false" t="array" ref="AW13:AW13">IF(AND(AW$2&lt;&gt;0,TblTech[[#This Row],[Hour]:[Hour]]&gt;=AW$2),1,0)</f>
        <v>0</v>
      </c>
      <c r="AX13" s="329" t="n">
        <f aca="false" t="array" ref="AX13:AX13">IF(AND(AX$2&lt;&gt;0,TblTech[[#This Row],[Hour]:[Hour]]&gt;=AX$2),1,0)</f>
        <v>0</v>
      </c>
      <c r="AY13" s="329" t="n">
        <f aca="false" t="array" ref="AY13:AY13">IF(AND(AY$2&lt;&gt;0,TblTech[[#This Row],[Hour]:[Hour]]&gt;=AY$2),1,0)</f>
        <v>0</v>
      </c>
      <c r="AZ13" s="329" t="n">
        <f aca="false" t="array" ref="AZ13:AZ13">IF(AND(AZ$2&lt;&gt;0,TblTech[[#This Row],[Hour]:[Hour]]&gt;=AZ$2),1,0)</f>
        <v>0</v>
      </c>
      <c r="BA13" s="329" t="n">
        <f aca="false" t="array" ref="BA13:BA13">IF(AND(BA$2&lt;&gt;0,TblTech[[#This Row],[Hour]:[Hour]]&gt;=BA$2),1,0)</f>
        <v>0</v>
      </c>
      <c r="BB13" s="329" t="n">
        <f aca="false" t="array" ref="BB13:BB13">IF(AND(BB$2&lt;&gt;0,TblTech[[#This Row],[Hour]:[Hour]]&gt;=BB$2),1,0)</f>
        <v>0</v>
      </c>
      <c r="BC13" s="329" t="n">
        <f aca="false" t="array" ref="BC13:BC13">IF(AND(BC$2&lt;&gt;0,TblTech[[#This Row],[Hour]:[Hour]]&gt;=BC$2),1,0)</f>
        <v>0</v>
      </c>
      <c r="BD13" s="329" t="n">
        <f aca="false" t="array" ref="BD13:BD13">IF(AND(BD$2&lt;&gt;0,TblTech[[#This Row],[Hour]:[Hour]]&gt;=BD$2),1,0)</f>
        <v>0</v>
      </c>
      <c r="BE13" s="329" t="n">
        <f aca="false" t="array" ref="BE13:BE13">IF(AND(BE$2&lt;&gt;0,TblTech[[#This Row],[Hour]:[Hour]]&gt;=BE$2),1,0)</f>
        <v>0</v>
      </c>
      <c r="BF13" s="329" t="n">
        <f aca="false" t="array" ref="BF13:BF13">IF(AND(BF$2&lt;&gt;0,TblTech[[#This Row],[Hour]:[Hour]]&gt;=BF$2),1,0)</f>
        <v>0</v>
      </c>
      <c r="BG13" s="329" t="n">
        <f aca="false" t="array" ref="BG13:BG13">IF(AND(BG$2&lt;&gt;0,TblTech[[#This Row],[Hour]:[Hour]]&gt;=BG$2),1,0)</f>
        <v>0</v>
      </c>
      <c r="BH13" s="329" t="n">
        <f aca="false" t="array" ref="BH13:BH13">IF(AND(BH$2&lt;&gt;0,TblTech[[#This Row],[Hour]:[Hour]]&gt;=BH$2),1,0)</f>
        <v>0</v>
      </c>
      <c r="BI13" s="329" t="n">
        <f aca="false" t="array" ref="BI13:BI13">IF(AND(BI$2&lt;&gt;0,TblTech[[#This Row],[Hour]:[Hour]]&gt;=BI$2),1,0)</f>
        <v>0</v>
      </c>
      <c r="BJ13" s="329" t="n">
        <f aca="false" t="array" ref="BJ13:BJ13">IF(AND(BJ$2&lt;&gt;0,TblTech[[#This Row],[Hour]:[Hour]]&gt;=BJ$2),1,0)</f>
        <v>0</v>
      </c>
      <c r="BK13" s="329" t="n">
        <f aca="false" t="array" ref="BK13:BK13">IF(AND(BK$2&lt;&gt;0,TblTech[[#This Row],[Hour]:[Hour]]&gt;=BK$2),1,0)</f>
        <v>0</v>
      </c>
      <c r="BL13" s="329" t="n">
        <f aca="false" t="array" ref="BL13:BL13">IF(AND(BL$2&lt;&gt;0,TblTech[[#This Row],[Hour]:[Hour]]&gt;=BL$2),1,0)</f>
        <v>0</v>
      </c>
      <c r="BM13" s="329" t="n">
        <f aca="false" t="array" ref="BM13:BM13">IF(AND(BM$2&lt;&gt;0,TblTech[[#This Row],[Hour]:[Hour]]&gt;=BM$2),1,0)</f>
        <v>0</v>
      </c>
      <c r="BN13" s="329" t="n">
        <f aca="false" t="array" ref="BN13:BN13">IF(AND(BN$2&lt;&gt;0,TblTech[[#This Row],[Hour]:[Hour]]&gt;=BN$2),1,0)</f>
        <v>0</v>
      </c>
      <c r="BO13" s="329" t="n">
        <f aca="false" t="array" ref="BO13:BO13">IF(AND(BO$2&lt;&gt;0,TblTech[[#This Row],[Hour]:[Hour]]&gt;=BO$2),1,0)</f>
        <v>0</v>
      </c>
      <c r="BP13" s="329" t="n">
        <f aca="false" t="array" ref="BP13:BP13">IF(AND(BP$2&lt;&gt;0,TblTech[[#This Row],[Hour]:[Hour]]&gt;=BP$2),1,0)</f>
        <v>0</v>
      </c>
      <c r="BQ13" s="329" t="n">
        <f aca="false" t="array" ref="BQ13:BQ13">IF(AND(BQ$2&lt;&gt;0,TblTech[[#This Row],[Hour]:[Hour]]&gt;=BQ$2),1,0)</f>
        <v>0</v>
      </c>
      <c r="BR13" s="329" t="n">
        <f aca="false" t="array" ref="BR13:BR13">IF(AND(BR$2&lt;&gt;0,TblTech[[#This Row],[Hour]:[Hour]]&gt;=BR$2),1,0)</f>
        <v>0</v>
      </c>
      <c r="BS13" s="329" t="n">
        <f aca="false" t="array" ref="BS13:BS13">IF(AND(BS$2&lt;&gt;0,TblTech[[#This Row],[Hour]:[Hour]]&gt;=BS$2),1,0)</f>
        <v>0</v>
      </c>
      <c r="BT13" s="329" t="n">
        <f aca="false" t="array" ref="BT13:BT13">IF(AND(BT$2&lt;&gt;0,TblTech[[#This Row],[Hour]:[Hour]]&gt;=BT$2),1,0)</f>
        <v>0</v>
      </c>
      <c r="BU13" s="329" t="n">
        <f aca="false" t="array" ref="BU13:BU13">IF(AND(BU$2&lt;&gt;0,TblTech[[#This Row],[Hour]:[Hour]]&gt;=BU$2),1,0)</f>
        <v>0</v>
      </c>
      <c r="BV13" s="329" t="n">
        <f aca="false" t="array" ref="BV13:BV13">IF(AND(BV$2&lt;&gt;0,TblTech[[#This Row],[Hour]:[Hour]]&gt;=BV$2),1,0)</f>
        <v>0</v>
      </c>
      <c r="BW13" s="329" t="n">
        <f aca="false" t="array" ref="BW13:BW13">IF(AND(BW$2&lt;&gt;0,TblTech[[#This Row],[Hour]:[Hour]]&gt;=BW$2),1,0)</f>
        <v>0</v>
      </c>
      <c r="BX13" s="329" t="n">
        <f aca="false" t="array" ref="BX13:BX13">IF(AND(BX$2&lt;&gt;0,TblTech[[#This Row],[Hour]:[Hour]]&gt;=BX$2),1,0)</f>
        <v>0</v>
      </c>
      <c r="BY13" s="329" t="n">
        <f aca="false" t="array" ref="BY13:BY13">IF(AND(BY$2&lt;&gt;0,TblTech[[#This Row],[Hour]:[Hour]]&gt;=BY$2),1,0)</f>
        <v>0</v>
      </c>
      <c r="BZ13" s="329" t="n">
        <f aca="false" t="array" ref="BZ13:BZ13">IF(AND(BZ$2&lt;&gt;0,TblTech[[#This Row],[Hour]:[Hour]]&gt;=BZ$2),1,0)</f>
        <v>0</v>
      </c>
      <c r="CA13" s="330" t="n">
        <f aca="false">IFERROR(INDEX($H$4:$H$79,MATCH(INDEX(TblTech[[#Headers],[1-1]:[11-1]],1,MATCH(TblTech[[#This Row],[Hour]],$M$2:$BZ$2,0)),$G$4:$G$79,0)),)</f>
        <v>0</v>
      </c>
    </row>
    <row r="14" customFormat="false" ht="12.75" hidden="false" customHeight="false" outlineLevel="0" collapsed="false">
      <c r="A14" s="321" t="n">
        <f aca="false">TblRezone[[#This Row],[Hour]]</f>
        <v>11</v>
      </c>
      <c r="B14" s="322" t="n">
        <f aca="false">TblExplore[[#This Row],[Land-DB]]</f>
        <v>250</v>
      </c>
      <c r="C14" s="323" t="n">
        <f aca="false">TblProd[[#This Row],[Techpoints]]</f>
        <v>0</v>
      </c>
      <c r="D14" s="323" t="n">
        <f aca="false">TblProd[[#This Row],[Required]]</f>
        <v>3750</v>
      </c>
      <c r="E14" s="324"/>
      <c r="F14" s="325"/>
      <c r="G14" s="326" t="s">
        <v>534</v>
      </c>
      <c r="H14" s="327" t="s">
        <v>611</v>
      </c>
      <c r="I14" s="326" t="s">
        <v>612</v>
      </c>
      <c r="J14" s="322"/>
      <c r="K14" s="68" t="n">
        <f aca="false">IF(TblTech[[#This Row],[Sum of tech]]&lt;&gt;OFFSET(TblTech[[#This Row],[Sum of tech]],-1,0),1,0)</f>
        <v>0</v>
      </c>
      <c r="L14" s="328" t="n">
        <f aca="false">COUNTIF(TblTech[[#This Row],[1-1]:[11-1]],1)</f>
        <v>0</v>
      </c>
      <c r="M14" s="329" t="n">
        <f aca="false" t="array" ref="M14:M14">IF(AND(M$2&lt;&gt;0,TblTech[[#This Row],[Hour]:[Hour]]&gt;=M$2),1,0)</f>
        <v>0</v>
      </c>
      <c r="N14" s="329" t="n">
        <f aca="false" t="array" ref="N14:N14">IF(AND(N$2&lt;&gt;0,TblTech[[#This Row],[Hour]:[Hour]]&gt;=N$2),1,0)</f>
        <v>0</v>
      </c>
      <c r="O14" s="329" t="n">
        <f aca="false" t="array" ref="O14:O14">IF(AND(O$2&lt;&gt;0,TblTech[[#This Row],[Hour]:[Hour]]&gt;=O$2),1,0)</f>
        <v>0</v>
      </c>
      <c r="P14" s="329" t="n">
        <f aca="false" t="array" ref="P14:P14">IF(AND(P$2&lt;&gt;0,TblTech[[#This Row],[Hour]:[Hour]]&gt;=P$2),1,0)</f>
        <v>0</v>
      </c>
      <c r="Q14" s="329" t="n">
        <f aca="false" t="array" ref="Q14:Q14">IF(AND(Q$2&lt;&gt;0,TblTech[[#This Row],[Hour]:[Hour]]&gt;=Q$2),1,0)</f>
        <v>0</v>
      </c>
      <c r="R14" s="329" t="n">
        <f aca="false" t="array" ref="R14:R14">IF(AND(R$2&lt;&gt;0,TblTech[[#This Row],[Hour]:[Hour]]&gt;=R$2),1,0)</f>
        <v>0</v>
      </c>
      <c r="S14" s="329" t="n">
        <f aca="false" t="array" ref="S14:S14">IF(AND(S$2&lt;&gt;0,TblTech[[#This Row],[Hour]:[Hour]]&gt;=S$2),1,0)</f>
        <v>0</v>
      </c>
      <c r="T14" s="329" t="n">
        <f aca="false" t="array" ref="T14:T14">IF(AND(T$2&lt;&gt;0,TblTech[[#This Row],[Hour]:[Hour]]&gt;=T$2),1,0)</f>
        <v>0</v>
      </c>
      <c r="U14" s="329" t="n">
        <f aca="false" t="array" ref="U14:U14">IF(AND(U$2&lt;&gt;0,TblTech[[#This Row],[Hour]:[Hour]]&gt;=U$2),1,0)</f>
        <v>0</v>
      </c>
      <c r="V14" s="329" t="n">
        <f aca="false" t="array" ref="V14:V14">IF(AND(V$2&lt;&gt;0,TblTech[[#This Row],[Hour]:[Hour]]&gt;=V$2),1,0)</f>
        <v>0</v>
      </c>
      <c r="W14" s="329" t="n">
        <f aca="false" t="array" ref="W14:W14">IF(AND(W$2&lt;&gt;0,TblTech[[#This Row],[Hour]:[Hour]]&gt;=W$2),1,0)</f>
        <v>0</v>
      </c>
      <c r="X14" s="329" t="n">
        <f aca="false" t="array" ref="X14:X14">IF(AND(X$2&lt;&gt;0,TblTech[[#This Row],[Hour]:[Hour]]&gt;=X$2),1,0)</f>
        <v>0</v>
      </c>
      <c r="Y14" s="329" t="n">
        <f aca="false" t="array" ref="Y14:Y14">IF(AND(Y$2&lt;&gt;0,TblTech[[#This Row],[Hour]:[Hour]]&gt;=Y$2),1,0)</f>
        <v>0</v>
      </c>
      <c r="Z14" s="329" t="n">
        <f aca="false" t="array" ref="Z14:Z14">IF(AND(Z$2&lt;&gt;0,TblTech[[#This Row],[Hour]:[Hour]]&gt;=Z$2),1,0)</f>
        <v>0</v>
      </c>
      <c r="AA14" s="329" t="n">
        <f aca="false" t="array" ref="AA14:AA14">IF(AND(AA$2&lt;&gt;0,TblTech[[#This Row],[Hour]:[Hour]]&gt;=AA$2),1,0)</f>
        <v>0</v>
      </c>
      <c r="AB14" s="329" t="n">
        <f aca="false" t="array" ref="AB14:AB14">IF(AND(AB$2&lt;&gt;0,TblTech[[#This Row],[Hour]:[Hour]]&gt;=AB$2),1,0)</f>
        <v>0</v>
      </c>
      <c r="AC14" s="329" t="n">
        <f aca="false" t="array" ref="AC14:AC14">IF(AND(AC$2&lt;&gt;0,TblTech[[#This Row],[Hour]:[Hour]]&gt;=AC$2),1,0)</f>
        <v>0</v>
      </c>
      <c r="AD14" s="329" t="n">
        <f aca="false" t="array" ref="AD14:AD14">IF(AND(AD$2&lt;&gt;0,TblTech[[#This Row],[Hour]:[Hour]]&gt;=AD$2),1,0)</f>
        <v>0</v>
      </c>
      <c r="AE14" s="329" t="n">
        <f aca="false" t="array" ref="AE14:AE14">IF(AND(AE$2&lt;&gt;0,TblTech[[#This Row],[Hour]:[Hour]]&gt;=AE$2),1,0)</f>
        <v>0</v>
      </c>
      <c r="AF14" s="329" t="n">
        <f aca="false" t="array" ref="AF14:AF14">IF(AND(AF$2&lt;&gt;0,TblTech[[#This Row],[Hour]:[Hour]]&gt;=AF$2),1,0)</f>
        <v>0</v>
      </c>
      <c r="AG14" s="329" t="n">
        <f aca="false" t="array" ref="AG14:AG14">IF(AND(AG$2&lt;&gt;0,TblTech[[#This Row],[Hour]:[Hour]]&gt;=AG$2),1,0)</f>
        <v>0</v>
      </c>
      <c r="AH14" s="329" t="n">
        <f aca="false" t="array" ref="AH14:AH14">IF(AND(AH$2&lt;&gt;0,TblTech[[#This Row],[Hour]:[Hour]]&gt;=AH$2),1,0)</f>
        <v>0</v>
      </c>
      <c r="AI14" s="329" t="n">
        <f aca="false" t="array" ref="AI14:AI14">IF(AND(AI$2&lt;&gt;0,TblTech[[#This Row],[Hour]:[Hour]]&gt;=AI$2),1,0)</f>
        <v>0</v>
      </c>
      <c r="AJ14" s="329" t="n">
        <f aca="false" t="array" ref="AJ14:AJ14">IF(AND(AJ$2&lt;&gt;0,TblTech[[#This Row],[Hour]:[Hour]]&gt;=AJ$2),1,0)</f>
        <v>0</v>
      </c>
      <c r="AK14" s="329" t="n">
        <f aca="false" t="array" ref="AK14:AK14">IF(AND(AK$2&lt;&gt;0,TblTech[[#This Row],[Hour]:[Hour]]&gt;=AK$2),1,0)</f>
        <v>0</v>
      </c>
      <c r="AL14" s="329" t="n">
        <f aca="false" t="array" ref="AL14:AL14">IF(AND(AL$2&lt;&gt;0,TblTech[[#This Row],[Hour]:[Hour]]&gt;=AL$2),1,0)</f>
        <v>0</v>
      </c>
      <c r="AM14" s="329" t="n">
        <f aca="false" t="array" ref="AM14:AM14">IF(AND(AM$2&lt;&gt;0,TblTech[[#This Row],[Hour]:[Hour]]&gt;=AM$2),1,0)</f>
        <v>0</v>
      </c>
      <c r="AN14" s="329" t="n">
        <f aca="false" t="array" ref="AN14:AN14">IF(AND(AN$2&lt;&gt;0,TblTech[[#This Row],[Hour]:[Hour]]&gt;=AN$2),1,0)</f>
        <v>0</v>
      </c>
      <c r="AO14" s="329" t="n">
        <f aca="false" t="array" ref="AO14:AO14">IF(AND(AO$2&lt;&gt;0,TblTech[[#This Row],[Hour]:[Hour]]&gt;=AO$2),1,0)</f>
        <v>0</v>
      </c>
      <c r="AP14" s="329" t="n">
        <f aca="false" t="array" ref="AP14:AP14">IF(AND(AP$2&lt;&gt;0,TblTech[[#This Row],[Hour]:[Hour]]&gt;=AP$2),1,0)</f>
        <v>0</v>
      </c>
      <c r="AQ14" s="329" t="n">
        <f aca="false" t="array" ref="AQ14:AQ14">IF(AND(AQ$2&lt;&gt;0,TblTech[[#This Row],[Hour]:[Hour]]&gt;=AQ$2),1,0)</f>
        <v>0</v>
      </c>
      <c r="AR14" s="329" t="n">
        <f aca="false" t="array" ref="AR14:AR14">IF(AND(AR$2&lt;&gt;0,TblTech[[#This Row],[Hour]:[Hour]]&gt;=AR$2),1,0)</f>
        <v>0</v>
      </c>
      <c r="AS14" s="329" t="n">
        <f aca="false" t="array" ref="AS14:AS14">IF(AND(AS$2&lt;&gt;0,TblTech[[#This Row],[Hour]:[Hour]]&gt;=AS$2),1,0)</f>
        <v>0</v>
      </c>
      <c r="AT14" s="329" t="n">
        <f aca="false" t="array" ref="AT14:AT14">IF(AND(AT$2&lt;&gt;0,TblTech[[#This Row],[Hour]:[Hour]]&gt;=AT$2),1,0)</f>
        <v>0</v>
      </c>
      <c r="AU14" s="329" t="n">
        <f aca="false" t="array" ref="AU14:AU14">IF(AND(AU$2&lt;&gt;0,TblTech[[#This Row],[Hour]:[Hour]]&gt;=AU$2),1,0)</f>
        <v>0</v>
      </c>
      <c r="AV14" s="329" t="n">
        <f aca="false" t="array" ref="AV14:AV14">IF(AND(AV$2&lt;&gt;0,TblTech[[#This Row],[Hour]:[Hour]]&gt;=AV$2),1,0)</f>
        <v>0</v>
      </c>
      <c r="AW14" s="329" t="n">
        <f aca="false" t="array" ref="AW14:AW14">IF(AND(AW$2&lt;&gt;0,TblTech[[#This Row],[Hour]:[Hour]]&gt;=AW$2),1,0)</f>
        <v>0</v>
      </c>
      <c r="AX14" s="329" t="n">
        <f aca="false" t="array" ref="AX14:AX14">IF(AND(AX$2&lt;&gt;0,TblTech[[#This Row],[Hour]:[Hour]]&gt;=AX$2),1,0)</f>
        <v>0</v>
      </c>
      <c r="AY14" s="329" t="n">
        <f aca="false" t="array" ref="AY14:AY14">IF(AND(AY$2&lt;&gt;0,TblTech[[#This Row],[Hour]:[Hour]]&gt;=AY$2),1,0)</f>
        <v>0</v>
      </c>
      <c r="AZ14" s="329" t="n">
        <f aca="false" t="array" ref="AZ14:AZ14">IF(AND(AZ$2&lt;&gt;0,TblTech[[#This Row],[Hour]:[Hour]]&gt;=AZ$2),1,0)</f>
        <v>0</v>
      </c>
      <c r="BA14" s="329" t="n">
        <f aca="false" t="array" ref="BA14:BA14">IF(AND(BA$2&lt;&gt;0,TblTech[[#This Row],[Hour]:[Hour]]&gt;=BA$2),1,0)</f>
        <v>0</v>
      </c>
      <c r="BB14" s="329" t="n">
        <f aca="false" t="array" ref="BB14:BB14">IF(AND(BB$2&lt;&gt;0,TblTech[[#This Row],[Hour]:[Hour]]&gt;=BB$2),1,0)</f>
        <v>0</v>
      </c>
      <c r="BC14" s="329" t="n">
        <f aca="false" t="array" ref="BC14:BC14">IF(AND(BC$2&lt;&gt;0,TblTech[[#This Row],[Hour]:[Hour]]&gt;=BC$2),1,0)</f>
        <v>0</v>
      </c>
      <c r="BD14" s="329" t="n">
        <f aca="false" t="array" ref="BD14:BD14">IF(AND(BD$2&lt;&gt;0,TblTech[[#This Row],[Hour]:[Hour]]&gt;=BD$2),1,0)</f>
        <v>0</v>
      </c>
      <c r="BE14" s="329" t="n">
        <f aca="false" t="array" ref="BE14:BE14">IF(AND(BE$2&lt;&gt;0,TblTech[[#This Row],[Hour]:[Hour]]&gt;=BE$2),1,0)</f>
        <v>0</v>
      </c>
      <c r="BF14" s="329" t="n">
        <f aca="false" t="array" ref="BF14:BF14">IF(AND(BF$2&lt;&gt;0,TblTech[[#This Row],[Hour]:[Hour]]&gt;=BF$2),1,0)</f>
        <v>0</v>
      </c>
      <c r="BG14" s="329" t="n">
        <f aca="false" t="array" ref="BG14:BG14">IF(AND(BG$2&lt;&gt;0,TblTech[[#This Row],[Hour]:[Hour]]&gt;=BG$2),1,0)</f>
        <v>0</v>
      </c>
      <c r="BH14" s="329" t="n">
        <f aca="false" t="array" ref="BH14:BH14">IF(AND(BH$2&lt;&gt;0,TblTech[[#This Row],[Hour]:[Hour]]&gt;=BH$2),1,0)</f>
        <v>0</v>
      </c>
      <c r="BI14" s="329" t="n">
        <f aca="false" t="array" ref="BI14:BI14">IF(AND(BI$2&lt;&gt;0,TblTech[[#This Row],[Hour]:[Hour]]&gt;=BI$2),1,0)</f>
        <v>0</v>
      </c>
      <c r="BJ14" s="329" t="n">
        <f aca="false" t="array" ref="BJ14:BJ14">IF(AND(BJ$2&lt;&gt;0,TblTech[[#This Row],[Hour]:[Hour]]&gt;=BJ$2),1,0)</f>
        <v>0</v>
      </c>
      <c r="BK14" s="329" t="n">
        <f aca="false" t="array" ref="BK14:BK14">IF(AND(BK$2&lt;&gt;0,TblTech[[#This Row],[Hour]:[Hour]]&gt;=BK$2),1,0)</f>
        <v>0</v>
      </c>
      <c r="BL14" s="329" t="n">
        <f aca="false" t="array" ref="BL14:BL14">IF(AND(BL$2&lt;&gt;0,TblTech[[#This Row],[Hour]:[Hour]]&gt;=BL$2),1,0)</f>
        <v>0</v>
      </c>
      <c r="BM14" s="329" t="n">
        <f aca="false" t="array" ref="BM14:BM14">IF(AND(BM$2&lt;&gt;0,TblTech[[#This Row],[Hour]:[Hour]]&gt;=BM$2),1,0)</f>
        <v>0</v>
      </c>
      <c r="BN14" s="329" t="n">
        <f aca="false" t="array" ref="BN14:BN14">IF(AND(BN$2&lt;&gt;0,TblTech[[#This Row],[Hour]:[Hour]]&gt;=BN$2),1,0)</f>
        <v>0</v>
      </c>
      <c r="BO14" s="329" t="n">
        <f aca="false" t="array" ref="BO14:BO14">IF(AND(BO$2&lt;&gt;0,TblTech[[#This Row],[Hour]:[Hour]]&gt;=BO$2),1,0)</f>
        <v>0</v>
      </c>
      <c r="BP14" s="329" t="n">
        <f aca="false" t="array" ref="BP14:BP14">IF(AND(BP$2&lt;&gt;0,TblTech[[#This Row],[Hour]:[Hour]]&gt;=BP$2),1,0)</f>
        <v>0</v>
      </c>
      <c r="BQ14" s="329" t="n">
        <f aca="false" t="array" ref="BQ14:BQ14">IF(AND(BQ$2&lt;&gt;0,TblTech[[#This Row],[Hour]:[Hour]]&gt;=BQ$2),1,0)</f>
        <v>0</v>
      </c>
      <c r="BR14" s="329" t="n">
        <f aca="false" t="array" ref="BR14:BR14">IF(AND(BR$2&lt;&gt;0,TblTech[[#This Row],[Hour]:[Hour]]&gt;=BR$2),1,0)</f>
        <v>0</v>
      </c>
      <c r="BS14" s="329" t="n">
        <f aca="false" t="array" ref="BS14:BS14">IF(AND(BS$2&lt;&gt;0,TblTech[[#This Row],[Hour]:[Hour]]&gt;=BS$2),1,0)</f>
        <v>0</v>
      </c>
      <c r="BT14" s="329" t="n">
        <f aca="false" t="array" ref="BT14:BT14">IF(AND(BT$2&lt;&gt;0,TblTech[[#This Row],[Hour]:[Hour]]&gt;=BT$2),1,0)</f>
        <v>0</v>
      </c>
      <c r="BU14" s="329" t="n">
        <f aca="false" t="array" ref="BU14:BU14">IF(AND(BU$2&lt;&gt;0,TblTech[[#This Row],[Hour]:[Hour]]&gt;=BU$2),1,0)</f>
        <v>0</v>
      </c>
      <c r="BV14" s="329" t="n">
        <f aca="false" t="array" ref="BV14:BV14">IF(AND(BV$2&lt;&gt;0,TblTech[[#This Row],[Hour]:[Hour]]&gt;=BV$2),1,0)</f>
        <v>0</v>
      </c>
      <c r="BW14" s="329" t="n">
        <f aca="false" t="array" ref="BW14:BW14">IF(AND(BW$2&lt;&gt;0,TblTech[[#This Row],[Hour]:[Hour]]&gt;=BW$2),1,0)</f>
        <v>0</v>
      </c>
      <c r="BX14" s="329" t="n">
        <f aca="false" t="array" ref="BX14:BX14">IF(AND(BX$2&lt;&gt;0,TblTech[[#This Row],[Hour]:[Hour]]&gt;=BX$2),1,0)</f>
        <v>0</v>
      </c>
      <c r="BY14" s="329" t="n">
        <f aca="false" t="array" ref="BY14:BY14">IF(AND(BY$2&lt;&gt;0,TblTech[[#This Row],[Hour]:[Hour]]&gt;=BY$2),1,0)</f>
        <v>0</v>
      </c>
      <c r="BZ14" s="329" t="n">
        <f aca="false" t="array" ref="BZ14:BZ14">IF(AND(BZ$2&lt;&gt;0,TblTech[[#This Row],[Hour]:[Hour]]&gt;=BZ$2),1,0)</f>
        <v>0</v>
      </c>
      <c r="CA14" s="330" t="n">
        <f aca="false">IFERROR(INDEX($H$4:$H$79,MATCH(INDEX(TblTech[[#Headers],[1-1]:[11-1]],1,MATCH(TblTech[[#This Row],[Hour]],$M$2:$BZ$2,0)),$G$4:$G$79,0)),)</f>
        <v>0</v>
      </c>
    </row>
    <row r="15" customFormat="false" ht="12.75" hidden="false" customHeight="false" outlineLevel="0" collapsed="false">
      <c r="A15" s="321" t="n">
        <f aca="false">TblRezone[[#This Row],[Hour]]</f>
        <v>12</v>
      </c>
      <c r="B15" s="322" t="n">
        <f aca="false">TblExplore[[#This Row],[Land-DB]]</f>
        <v>250</v>
      </c>
      <c r="C15" s="323" t="n">
        <f aca="false">TblProd[[#This Row],[Techpoints]]</f>
        <v>0</v>
      </c>
      <c r="D15" s="323" t="n">
        <f aca="false">TblProd[[#This Row],[Required]]</f>
        <v>3750</v>
      </c>
      <c r="E15" s="324"/>
      <c r="F15" s="325"/>
      <c r="G15" s="326"/>
      <c r="H15" s="327"/>
      <c r="I15" s="326"/>
      <c r="J15" s="322"/>
      <c r="K15" s="68" t="n">
        <f aca="false">IF(TblTech[[#This Row],[Sum of tech]]&lt;&gt;OFFSET(TblTech[[#This Row],[Sum of tech]],-1,0),1,0)</f>
        <v>0</v>
      </c>
      <c r="L15" s="328" t="n">
        <f aca="false">COUNTIF(TblTech[[#This Row],[1-1]:[11-1]],1)</f>
        <v>0</v>
      </c>
      <c r="M15" s="329" t="n">
        <f aca="false" t="array" ref="M15:M15">IF(AND(M$2&lt;&gt;0,TblTech[[#This Row],[Hour]:[Hour]]&gt;=M$2),1,0)</f>
        <v>0</v>
      </c>
      <c r="N15" s="329" t="n">
        <f aca="false" t="array" ref="N15:N15">IF(AND(N$2&lt;&gt;0,TblTech[[#This Row],[Hour]:[Hour]]&gt;=N$2),1,0)</f>
        <v>0</v>
      </c>
      <c r="O15" s="329" t="n">
        <f aca="false" t="array" ref="O15:O15">IF(AND(O$2&lt;&gt;0,TblTech[[#This Row],[Hour]:[Hour]]&gt;=O$2),1,0)</f>
        <v>0</v>
      </c>
      <c r="P15" s="329" t="n">
        <f aca="false" t="array" ref="P15:P15">IF(AND(P$2&lt;&gt;0,TblTech[[#This Row],[Hour]:[Hour]]&gt;=P$2),1,0)</f>
        <v>0</v>
      </c>
      <c r="Q15" s="329" t="n">
        <f aca="false" t="array" ref="Q15:Q15">IF(AND(Q$2&lt;&gt;0,TblTech[[#This Row],[Hour]:[Hour]]&gt;=Q$2),1,0)</f>
        <v>0</v>
      </c>
      <c r="R15" s="329" t="n">
        <f aca="false" t="array" ref="R15:R15">IF(AND(R$2&lt;&gt;0,TblTech[[#This Row],[Hour]:[Hour]]&gt;=R$2),1,0)</f>
        <v>0</v>
      </c>
      <c r="S15" s="329" t="n">
        <f aca="false" t="array" ref="S15:S15">IF(AND(S$2&lt;&gt;0,TblTech[[#This Row],[Hour]:[Hour]]&gt;=S$2),1,0)</f>
        <v>0</v>
      </c>
      <c r="T15" s="329" t="n">
        <f aca="false" t="array" ref="T15:T15">IF(AND(T$2&lt;&gt;0,TblTech[[#This Row],[Hour]:[Hour]]&gt;=T$2),1,0)</f>
        <v>0</v>
      </c>
      <c r="U15" s="329" t="n">
        <f aca="false" t="array" ref="U15:U15">IF(AND(U$2&lt;&gt;0,TblTech[[#This Row],[Hour]:[Hour]]&gt;=U$2),1,0)</f>
        <v>0</v>
      </c>
      <c r="V15" s="329" t="n">
        <f aca="false" t="array" ref="V15:V15">IF(AND(V$2&lt;&gt;0,TblTech[[#This Row],[Hour]:[Hour]]&gt;=V$2),1,0)</f>
        <v>0</v>
      </c>
      <c r="W15" s="329" t="n">
        <f aca="false" t="array" ref="W15:W15">IF(AND(W$2&lt;&gt;0,TblTech[[#This Row],[Hour]:[Hour]]&gt;=W$2),1,0)</f>
        <v>0</v>
      </c>
      <c r="X15" s="329" t="n">
        <f aca="false" t="array" ref="X15:X15">IF(AND(X$2&lt;&gt;0,TblTech[[#This Row],[Hour]:[Hour]]&gt;=X$2),1,0)</f>
        <v>0</v>
      </c>
      <c r="Y15" s="329" t="n">
        <f aca="false" t="array" ref="Y15:Y15">IF(AND(Y$2&lt;&gt;0,TblTech[[#This Row],[Hour]:[Hour]]&gt;=Y$2),1,0)</f>
        <v>0</v>
      </c>
      <c r="Z15" s="329" t="n">
        <f aca="false" t="array" ref="Z15:Z15">IF(AND(Z$2&lt;&gt;0,TblTech[[#This Row],[Hour]:[Hour]]&gt;=Z$2),1,0)</f>
        <v>0</v>
      </c>
      <c r="AA15" s="329" t="n">
        <f aca="false" t="array" ref="AA15:AA15">IF(AND(AA$2&lt;&gt;0,TblTech[[#This Row],[Hour]:[Hour]]&gt;=AA$2),1,0)</f>
        <v>0</v>
      </c>
      <c r="AB15" s="329" t="n">
        <f aca="false" t="array" ref="AB15:AB15">IF(AND(AB$2&lt;&gt;0,TblTech[[#This Row],[Hour]:[Hour]]&gt;=AB$2),1,0)</f>
        <v>0</v>
      </c>
      <c r="AC15" s="329" t="n">
        <f aca="false" t="array" ref="AC15:AC15">IF(AND(AC$2&lt;&gt;0,TblTech[[#This Row],[Hour]:[Hour]]&gt;=AC$2),1,0)</f>
        <v>0</v>
      </c>
      <c r="AD15" s="329" t="n">
        <f aca="false" t="array" ref="AD15:AD15">IF(AND(AD$2&lt;&gt;0,TblTech[[#This Row],[Hour]:[Hour]]&gt;=AD$2),1,0)</f>
        <v>0</v>
      </c>
      <c r="AE15" s="329" t="n">
        <f aca="false" t="array" ref="AE15:AE15">IF(AND(AE$2&lt;&gt;0,TblTech[[#This Row],[Hour]:[Hour]]&gt;=AE$2),1,0)</f>
        <v>0</v>
      </c>
      <c r="AF15" s="329" t="n">
        <f aca="false" t="array" ref="AF15:AF15">IF(AND(AF$2&lt;&gt;0,TblTech[[#This Row],[Hour]:[Hour]]&gt;=AF$2),1,0)</f>
        <v>0</v>
      </c>
      <c r="AG15" s="329" t="n">
        <f aca="false" t="array" ref="AG15:AG15">IF(AND(AG$2&lt;&gt;0,TblTech[[#This Row],[Hour]:[Hour]]&gt;=AG$2),1,0)</f>
        <v>0</v>
      </c>
      <c r="AH15" s="329" t="n">
        <f aca="false" t="array" ref="AH15:AH15">IF(AND(AH$2&lt;&gt;0,TblTech[[#This Row],[Hour]:[Hour]]&gt;=AH$2),1,0)</f>
        <v>0</v>
      </c>
      <c r="AI15" s="329" t="n">
        <f aca="false" t="array" ref="AI15:AI15">IF(AND(AI$2&lt;&gt;0,TblTech[[#This Row],[Hour]:[Hour]]&gt;=AI$2),1,0)</f>
        <v>0</v>
      </c>
      <c r="AJ15" s="329" t="n">
        <f aca="false" t="array" ref="AJ15:AJ15">IF(AND(AJ$2&lt;&gt;0,TblTech[[#This Row],[Hour]:[Hour]]&gt;=AJ$2),1,0)</f>
        <v>0</v>
      </c>
      <c r="AK15" s="329" t="n">
        <f aca="false" t="array" ref="AK15:AK15">IF(AND(AK$2&lt;&gt;0,TblTech[[#This Row],[Hour]:[Hour]]&gt;=AK$2),1,0)</f>
        <v>0</v>
      </c>
      <c r="AL15" s="329" t="n">
        <f aca="false" t="array" ref="AL15:AL15">IF(AND(AL$2&lt;&gt;0,TblTech[[#This Row],[Hour]:[Hour]]&gt;=AL$2),1,0)</f>
        <v>0</v>
      </c>
      <c r="AM15" s="329" t="n">
        <f aca="false" t="array" ref="AM15:AM15">IF(AND(AM$2&lt;&gt;0,TblTech[[#This Row],[Hour]:[Hour]]&gt;=AM$2),1,0)</f>
        <v>0</v>
      </c>
      <c r="AN15" s="329" t="n">
        <f aca="false" t="array" ref="AN15:AN15">IF(AND(AN$2&lt;&gt;0,TblTech[[#This Row],[Hour]:[Hour]]&gt;=AN$2),1,0)</f>
        <v>0</v>
      </c>
      <c r="AO15" s="329" t="n">
        <f aca="false" t="array" ref="AO15:AO15">IF(AND(AO$2&lt;&gt;0,TblTech[[#This Row],[Hour]:[Hour]]&gt;=AO$2),1,0)</f>
        <v>0</v>
      </c>
      <c r="AP15" s="329" t="n">
        <f aca="false" t="array" ref="AP15:AP15">IF(AND(AP$2&lt;&gt;0,TblTech[[#This Row],[Hour]:[Hour]]&gt;=AP$2),1,0)</f>
        <v>0</v>
      </c>
      <c r="AQ15" s="329" t="n">
        <f aca="false" t="array" ref="AQ15:AQ15">IF(AND(AQ$2&lt;&gt;0,TblTech[[#This Row],[Hour]:[Hour]]&gt;=AQ$2),1,0)</f>
        <v>0</v>
      </c>
      <c r="AR15" s="329" t="n">
        <f aca="false" t="array" ref="AR15:AR15">IF(AND(AR$2&lt;&gt;0,TblTech[[#This Row],[Hour]:[Hour]]&gt;=AR$2),1,0)</f>
        <v>0</v>
      </c>
      <c r="AS15" s="329" t="n">
        <f aca="false" t="array" ref="AS15:AS15">IF(AND(AS$2&lt;&gt;0,TblTech[[#This Row],[Hour]:[Hour]]&gt;=AS$2),1,0)</f>
        <v>0</v>
      </c>
      <c r="AT15" s="329" t="n">
        <f aca="false" t="array" ref="AT15:AT15">IF(AND(AT$2&lt;&gt;0,TblTech[[#This Row],[Hour]:[Hour]]&gt;=AT$2),1,0)</f>
        <v>0</v>
      </c>
      <c r="AU15" s="329" t="n">
        <f aca="false" t="array" ref="AU15:AU15">IF(AND(AU$2&lt;&gt;0,TblTech[[#This Row],[Hour]:[Hour]]&gt;=AU$2),1,0)</f>
        <v>0</v>
      </c>
      <c r="AV15" s="329" t="n">
        <f aca="false" t="array" ref="AV15:AV15">IF(AND(AV$2&lt;&gt;0,TblTech[[#This Row],[Hour]:[Hour]]&gt;=AV$2),1,0)</f>
        <v>0</v>
      </c>
      <c r="AW15" s="329" t="n">
        <f aca="false" t="array" ref="AW15:AW15">IF(AND(AW$2&lt;&gt;0,TblTech[[#This Row],[Hour]:[Hour]]&gt;=AW$2),1,0)</f>
        <v>0</v>
      </c>
      <c r="AX15" s="329" t="n">
        <f aca="false" t="array" ref="AX15:AX15">IF(AND(AX$2&lt;&gt;0,TblTech[[#This Row],[Hour]:[Hour]]&gt;=AX$2),1,0)</f>
        <v>0</v>
      </c>
      <c r="AY15" s="329" t="n">
        <f aca="false" t="array" ref="AY15:AY15">IF(AND(AY$2&lt;&gt;0,TblTech[[#This Row],[Hour]:[Hour]]&gt;=AY$2),1,0)</f>
        <v>0</v>
      </c>
      <c r="AZ15" s="329" t="n">
        <f aca="false" t="array" ref="AZ15:AZ15">IF(AND(AZ$2&lt;&gt;0,TblTech[[#This Row],[Hour]:[Hour]]&gt;=AZ$2),1,0)</f>
        <v>0</v>
      </c>
      <c r="BA15" s="329" t="n">
        <f aca="false" t="array" ref="BA15:BA15">IF(AND(BA$2&lt;&gt;0,TblTech[[#This Row],[Hour]:[Hour]]&gt;=BA$2),1,0)</f>
        <v>0</v>
      </c>
      <c r="BB15" s="329" t="n">
        <f aca="false" t="array" ref="BB15:BB15">IF(AND(BB$2&lt;&gt;0,TblTech[[#This Row],[Hour]:[Hour]]&gt;=BB$2),1,0)</f>
        <v>0</v>
      </c>
      <c r="BC15" s="329" t="n">
        <f aca="false" t="array" ref="BC15:BC15">IF(AND(BC$2&lt;&gt;0,TblTech[[#This Row],[Hour]:[Hour]]&gt;=BC$2),1,0)</f>
        <v>0</v>
      </c>
      <c r="BD15" s="329" t="n">
        <f aca="false" t="array" ref="BD15:BD15">IF(AND(BD$2&lt;&gt;0,TblTech[[#This Row],[Hour]:[Hour]]&gt;=BD$2),1,0)</f>
        <v>0</v>
      </c>
      <c r="BE15" s="329" t="n">
        <f aca="false" t="array" ref="BE15:BE15">IF(AND(BE$2&lt;&gt;0,TblTech[[#This Row],[Hour]:[Hour]]&gt;=BE$2),1,0)</f>
        <v>0</v>
      </c>
      <c r="BF15" s="329" t="n">
        <f aca="false" t="array" ref="BF15:BF15">IF(AND(BF$2&lt;&gt;0,TblTech[[#This Row],[Hour]:[Hour]]&gt;=BF$2),1,0)</f>
        <v>0</v>
      </c>
      <c r="BG15" s="329" t="n">
        <f aca="false" t="array" ref="BG15:BG15">IF(AND(BG$2&lt;&gt;0,TblTech[[#This Row],[Hour]:[Hour]]&gt;=BG$2),1,0)</f>
        <v>0</v>
      </c>
      <c r="BH15" s="329" t="n">
        <f aca="false" t="array" ref="BH15:BH15">IF(AND(BH$2&lt;&gt;0,TblTech[[#This Row],[Hour]:[Hour]]&gt;=BH$2),1,0)</f>
        <v>0</v>
      </c>
      <c r="BI15" s="329" t="n">
        <f aca="false" t="array" ref="BI15:BI15">IF(AND(BI$2&lt;&gt;0,TblTech[[#This Row],[Hour]:[Hour]]&gt;=BI$2),1,0)</f>
        <v>0</v>
      </c>
      <c r="BJ15" s="329" t="n">
        <f aca="false" t="array" ref="BJ15:BJ15">IF(AND(BJ$2&lt;&gt;0,TblTech[[#This Row],[Hour]:[Hour]]&gt;=BJ$2),1,0)</f>
        <v>0</v>
      </c>
      <c r="BK15" s="329" t="n">
        <f aca="false" t="array" ref="BK15:BK15">IF(AND(BK$2&lt;&gt;0,TblTech[[#This Row],[Hour]:[Hour]]&gt;=BK$2),1,0)</f>
        <v>0</v>
      </c>
      <c r="BL15" s="329" t="n">
        <f aca="false" t="array" ref="BL15:BL15">IF(AND(BL$2&lt;&gt;0,TblTech[[#This Row],[Hour]:[Hour]]&gt;=BL$2),1,0)</f>
        <v>0</v>
      </c>
      <c r="BM15" s="329" t="n">
        <f aca="false" t="array" ref="BM15:BM15">IF(AND(BM$2&lt;&gt;0,TblTech[[#This Row],[Hour]:[Hour]]&gt;=BM$2),1,0)</f>
        <v>0</v>
      </c>
      <c r="BN15" s="329" t="n">
        <f aca="false" t="array" ref="BN15:BN15">IF(AND(BN$2&lt;&gt;0,TblTech[[#This Row],[Hour]:[Hour]]&gt;=BN$2),1,0)</f>
        <v>0</v>
      </c>
      <c r="BO15" s="329" t="n">
        <f aca="false" t="array" ref="BO15:BO15">IF(AND(BO$2&lt;&gt;0,TblTech[[#This Row],[Hour]:[Hour]]&gt;=BO$2),1,0)</f>
        <v>0</v>
      </c>
      <c r="BP15" s="329" t="n">
        <f aca="false" t="array" ref="BP15:BP15">IF(AND(BP$2&lt;&gt;0,TblTech[[#This Row],[Hour]:[Hour]]&gt;=BP$2),1,0)</f>
        <v>0</v>
      </c>
      <c r="BQ15" s="329" t="n">
        <f aca="false" t="array" ref="BQ15:BQ15">IF(AND(BQ$2&lt;&gt;0,TblTech[[#This Row],[Hour]:[Hour]]&gt;=BQ$2),1,0)</f>
        <v>0</v>
      </c>
      <c r="BR15" s="329" t="n">
        <f aca="false" t="array" ref="BR15:BR15">IF(AND(BR$2&lt;&gt;0,TblTech[[#This Row],[Hour]:[Hour]]&gt;=BR$2),1,0)</f>
        <v>0</v>
      </c>
      <c r="BS15" s="329" t="n">
        <f aca="false" t="array" ref="BS15:BS15">IF(AND(BS$2&lt;&gt;0,TblTech[[#This Row],[Hour]:[Hour]]&gt;=BS$2),1,0)</f>
        <v>0</v>
      </c>
      <c r="BT15" s="329" t="n">
        <f aca="false" t="array" ref="BT15:BT15">IF(AND(BT$2&lt;&gt;0,TblTech[[#This Row],[Hour]:[Hour]]&gt;=BT$2),1,0)</f>
        <v>0</v>
      </c>
      <c r="BU15" s="329" t="n">
        <f aca="false" t="array" ref="BU15:BU15">IF(AND(BU$2&lt;&gt;0,TblTech[[#This Row],[Hour]:[Hour]]&gt;=BU$2),1,0)</f>
        <v>0</v>
      </c>
      <c r="BV15" s="329" t="n">
        <f aca="false" t="array" ref="BV15:BV15">IF(AND(BV$2&lt;&gt;0,TblTech[[#This Row],[Hour]:[Hour]]&gt;=BV$2),1,0)</f>
        <v>0</v>
      </c>
      <c r="BW15" s="329" t="n">
        <f aca="false" t="array" ref="BW15:BW15">IF(AND(BW$2&lt;&gt;0,TblTech[[#This Row],[Hour]:[Hour]]&gt;=BW$2),1,0)</f>
        <v>0</v>
      </c>
      <c r="BX15" s="329" t="n">
        <f aca="false" t="array" ref="BX15:BX15">IF(AND(BX$2&lt;&gt;0,TblTech[[#This Row],[Hour]:[Hour]]&gt;=BX$2),1,0)</f>
        <v>0</v>
      </c>
      <c r="BY15" s="329" t="n">
        <f aca="false" t="array" ref="BY15:BY15">IF(AND(BY$2&lt;&gt;0,TblTech[[#This Row],[Hour]:[Hour]]&gt;=BY$2),1,0)</f>
        <v>0</v>
      </c>
      <c r="BZ15" s="329" t="n">
        <f aca="false" t="array" ref="BZ15:BZ15">IF(AND(BZ$2&lt;&gt;0,TblTech[[#This Row],[Hour]:[Hour]]&gt;=BZ$2),1,0)</f>
        <v>0</v>
      </c>
      <c r="CA15" s="330" t="n">
        <f aca="false">IFERROR(INDEX($H$4:$H$79,MATCH(INDEX(TblTech[[#Headers],[1-1]:[11-1]],1,MATCH(TblTech[[#This Row],[Hour]],$M$2:$BZ$2,0)),$G$4:$G$79,0)),)</f>
        <v>0</v>
      </c>
    </row>
    <row r="16" customFormat="false" ht="12.75" hidden="false" customHeight="false" outlineLevel="0" collapsed="false">
      <c r="A16" s="321" t="n">
        <f aca="false">TblRezone[[#This Row],[Hour]]</f>
        <v>13</v>
      </c>
      <c r="B16" s="322" t="n">
        <f aca="false">TblExplore[[#This Row],[Land-DB]]</f>
        <v>250</v>
      </c>
      <c r="C16" s="323" t="n">
        <f aca="false">TblProd[[#This Row],[Techpoints]]</f>
        <v>0</v>
      </c>
      <c r="D16" s="323" t="n">
        <f aca="false">TblProd[[#This Row],[Required]]</f>
        <v>3750</v>
      </c>
      <c r="E16" s="324"/>
      <c r="F16" s="325"/>
      <c r="G16" s="326" t="s">
        <v>535</v>
      </c>
      <c r="H16" s="327" t="s">
        <v>613</v>
      </c>
      <c r="I16" s="326" t="s">
        <v>614</v>
      </c>
      <c r="J16" s="322"/>
      <c r="K16" s="68" t="n">
        <f aca="false">IF(TblTech[[#This Row],[Sum of tech]]&lt;&gt;OFFSET(TblTech[[#This Row],[Sum of tech]],-1,0),1,0)</f>
        <v>0</v>
      </c>
      <c r="L16" s="328" t="n">
        <f aca="false">COUNTIF(TblTech[[#This Row],[1-1]:[11-1]],1)</f>
        <v>0</v>
      </c>
      <c r="M16" s="329" t="n">
        <f aca="false" t="array" ref="M16:M16">IF(AND(M$2&lt;&gt;0,TblTech[[#This Row],[Hour]:[Hour]]&gt;=M$2),1,0)</f>
        <v>0</v>
      </c>
      <c r="N16" s="329" t="n">
        <f aca="false" t="array" ref="N16:N16">IF(AND(N$2&lt;&gt;0,TblTech[[#This Row],[Hour]:[Hour]]&gt;=N$2),1,0)</f>
        <v>0</v>
      </c>
      <c r="O16" s="329" t="n">
        <f aca="false" t="array" ref="O16:O16">IF(AND(O$2&lt;&gt;0,TblTech[[#This Row],[Hour]:[Hour]]&gt;=O$2),1,0)</f>
        <v>0</v>
      </c>
      <c r="P16" s="329" t="n">
        <f aca="false" t="array" ref="P16:P16">IF(AND(P$2&lt;&gt;0,TblTech[[#This Row],[Hour]:[Hour]]&gt;=P$2),1,0)</f>
        <v>0</v>
      </c>
      <c r="Q16" s="329" t="n">
        <f aca="false" t="array" ref="Q16:Q16">IF(AND(Q$2&lt;&gt;0,TblTech[[#This Row],[Hour]:[Hour]]&gt;=Q$2),1,0)</f>
        <v>0</v>
      </c>
      <c r="R16" s="329" t="n">
        <f aca="false" t="array" ref="R16:R16">IF(AND(R$2&lt;&gt;0,TblTech[[#This Row],[Hour]:[Hour]]&gt;=R$2),1,0)</f>
        <v>0</v>
      </c>
      <c r="S16" s="329" t="n">
        <f aca="false" t="array" ref="S16:S16">IF(AND(S$2&lt;&gt;0,TblTech[[#This Row],[Hour]:[Hour]]&gt;=S$2),1,0)</f>
        <v>0</v>
      </c>
      <c r="T16" s="329" t="n">
        <f aca="false" t="array" ref="T16:T16">IF(AND(T$2&lt;&gt;0,TblTech[[#This Row],[Hour]:[Hour]]&gt;=T$2),1,0)</f>
        <v>0</v>
      </c>
      <c r="U16" s="329" t="n">
        <f aca="false" t="array" ref="U16:U16">IF(AND(U$2&lt;&gt;0,TblTech[[#This Row],[Hour]:[Hour]]&gt;=U$2),1,0)</f>
        <v>0</v>
      </c>
      <c r="V16" s="329" t="n">
        <f aca="false" t="array" ref="V16:V16">IF(AND(V$2&lt;&gt;0,TblTech[[#This Row],[Hour]:[Hour]]&gt;=V$2),1,0)</f>
        <v>0</v>
      </c>
      <c r="W16" s="329" t="n">
        <f aca="false" t="array" ref="W16:W16">IF(AND(W$2&lt;&gt;0,TblTech[[#This Row],[Hour]:[Hour]]&gt;=W$2),1,0)</f>
        <v>0</v>
      </c>
      <c r="X16" s="329" t="n">
        <f aca="false" t="array" ref="X16:X16">IF(AND(X$2&lt;&gt;0,TblTech[[#This Row],[Hour]:[Hour]]&gt;=X$2),1,0)</f>
        <v>0</v>
      </c>
      <c r="Y16" s="329" t="n">
        <f aca="false" t="array" ref="Y16:Y16">IF(AND(Y$2&lt;&gt;0,TblTech[[#This Row],[Hour]:[Hour]]&gt;=Y$2),1,0)</f>
        <v>0</v>
      </c>
      <c r="Z16" s="329" t="n">
        <f aca="false" t="array" ref="Z16:Z16">IF(AND(Z$2&lt;&gt;0,TblTech[[#This Row],[Hour]:[Hour]]&gt;=Z$2),1,0)</f>
        <v>0</v>
      </c>
      <c r="AA16" s="329" t="n">
        <f aca="false" t="array" ref="AA16:AA16">IF(AND(AA$2&lt;&gt;0,TblTech[[#This Row],[Hour]:[Hour]]&gt;=AA$2),1,0)</f>
        <v>0</v>
      </c>
      <c r="AB16" s="329" t="n">
        <f aca="false" t="array" ref="AB16:AB16">IF(AND(AB$2&lt;&gt;0,TblTech[[#This Row],[Hour]:[Hour]]&gt;=AB$2),1,0)</f>
        <v>0</v>
      </c>
      <c r="AC16" s="329" t="n">
        <f aca="false" t="array" ref="AC16:AC16">IF(AND(AC$2&lt;&gt;0,TblTech[[#This Row],[Hour]:[Hour]]&gt;=AC$2),1,0)</f>
        <v>0</v>
      </c>
      <c r="AD16" s="329" t="n">
        <f aca="false" t="array" ref="AD16:AD16">IF(AND(AD$2&lt;&gt;0,TblTech[[#This Row],[Hour]:[Hour]]&gt;=AD$2),1,0)</f>
        <v>0</v>
      </c>
      <c r="AE16" s="329" t="n">
        <f aca="false" t="array" ref="AE16:AE16">IF(AND(AE$2&lt;&gt;0,TblTech[[#This Row],[Hour]:[Hour]]&gt;=AE$2),1,0)</f>
        <v>0</v>
      </c>
      <c r="AF16" s="329" t="n">
        <f aca="false" t="array" ref="AF16:AF16">IF(AND(AF$2&lt;&gt;0,TblTech[[#This Row],[Hour]:[Hour]]&gt;=AF$2),1,0)</f>
        <v>0</v>
      </c>
      <c r="AG16" s="329" t="n">
        <f aca="false" t="array" ref="AG16:AG16">IF(AND(AG$2&lt;&gt;0,TblTech[[#This Row],[Hour]:[Hour]]&gt;=AG$2),1,0)</f>
        <v>0</v>
      </c>
      <c r="AH16" s="329" t="n">
        <f aca="false" t="array" ref="AH16:AH16">IF(AND(AH$2&lt;&gt;0,TblTech[[#This Row],[Hour]:[Hour]]&gt;=AH$2),1,0)</f>
        <v>0</v>
      </c>
      <c r="AI16" s="329" t="n">
        <f aca="false" t="array" ref="AI16:AI16">IF(AND(AI$2&lt;&gt;0,TblTech[[#This Row],[Hour]:[Hour]]&gt;=AI$2),1,0)</f>
        <v>0</v>
      </c>
      <c r="AJ16" s="329" t="n">
        <f aca="false" t="array" ref="AJ16:AJ16">IF(AND(AJ$2&lt;&gt;0,TblTech[[#This Row],[Hour]:[Hour]]&gt;=AJ$2),1,0)</f>
        <v>0</v>
      </c>
      <c r="AK16" s="329" t="n">
        <f aca="false" t="array" ref="AK16:AK16">IF(AND(AK$2&lt;&gt;0,TblTech[[#This Row],[Hour]:[Hour]]&gt;=AK$2),1,0)</f>
        <v>0</v>
      </c>
      <c r="AL16" s="329" t="n">
        <f aca="false" t="array" ref="AL16:AL16">IF(AND(AL$2&lt;&gt;0,TblTech[[#This Row],[Hour]:[Hour]]&gt;=AL$2),1,0)</f>
        <v>0</v>
      </c>
      <c r="AM16" s="329" t="n">
        <f aca="false" t="array" ref="AM16:AM16">IF(AND(AM$2&lt;&gt;0,TblTech[[#This Row],[Hour]:[Hour]]&gt;=AM$2),1,0)</f>
        <v>0</v>
      </c>
      <c r="AN16" s="329" t="n">
        <f aca="false" t="array" ref="AN16:AN16">IF(AND(AN$2&lt;&gt;0,TblTech[[#This Row],[Hour]:[Hour]]&gt;=AN$2),1,0)</f>
        <v>0</v>
      </c>
      <c r="AO16" s="329" t="n">
        <f aca="false" t="array" ref="AO16:AO16">IF(AND(AO$2&lt;&gt;0,TblTech[[#This Row],[Hour]:[Hour]]&gt;=AO$2),1,0)</f>
        <v>0</v>
      </c>
      <c r="AP16" s="329" t="n">
        <f aca="false" t="array" ref="AP16:AP16">IF(AND(AP$2&lt;&gt;0,TblTech[[#This Row],[Hour]:[Hour]]&gt;=AP$2),1,0)</f>
        <v>0</v>
      </c>
      <c r="AQ16" s="329" t="n">
        <f aca="false" t="array" ref="AQ16:AQ16">IF(AND(AQ$2&lt;&gt;0,TblTech[[#This Row],[Hour]:[Hour]]&gt;=AQ$2),1,0)</f>
        <v>0</v>
      </c>
      <c r="AR16" s="329" t="n">
        <f aca="false" t="array" ref="AR16:AR16">IF(AND(AR$2&lt;&gt;0,TblTech[[#This Row],[Hour]:[Hour]]&gt;=AR$2),1,0)</f>
        <v>0</v>
      </c>
      <c r="AS16" s="329" t="n">
        <f aca="false" t="array" ref="AS16:AS16">IF(AND(AS$2&lt;&gt;0,TblTech[[#This Row],[Hour]:[Hour]]&gt;=AS$2),1,0)</f>
        <v>0</v>
      </c>
      <c r="AT16" s="329" t="n">
        <f aca="false" t="array" ref="AT16:AT16">IF(AND(AT$2&lt;&gt;0,TblTech[[#This Row],[Hour]:[Hour]]&gt;=AT$2),1,0)</f>
        <v>0</v>
      </c>
      <c r="AU16" s="329" t="n">
        <f aca="false" t="array" ref="AU16:AU16">IF(AND(AU$2&lt;&gt;0,TblTech[[#This Row],[Hour]:[Hour]]&gt;=AU$2),1,0)</f>
        <v>0</v>
      </c>
      <c r="AV16" s="329" t="n">
        <f aca="false" t="array" ref="AV16:AV16">IF(AND(AV$2&lt;&gt;0,TblTech[[#This Row],[Hour]:[Hour]]&gt;=AV$2),1,0)</f>
        <v>0</v>
      </c>
      <c r="AW16" s="329" t="n">
        <f aca="false" t="array" ref="AW16:AW16">IF(AND(AW$2&lt;&gt;0,TblTech[[#This Row],[Hour]:[Hour]]&gt;=AW$2),1,0)</f>
        <v>0</v>
      </c>
      <c r="AX16" s="329" t="n">
        <f aca="false" t="array" ref="AX16:AX16">IF(AND(AX$2&lt;&gt;0,TblTech[[#This Row],[Hour]:[Hour]]&gt;=AX$2),1,0)</f>
        <v>0</v>
      </c>
      <c r="AY16" s="329" t="n">
        <f aca="false" t="array" ref="AY16:AY16">IF(AND(AY$2&lt;&gt;0,TblTech[[#This Row],[Hour]:[Hour]]&gt;=AY$2),1,0)</f>
        <v>0</v>
      </c>
      <c r="AZ16" s="329" t="n">
        <f aca="false" t="array" ref="AZ16:AZ16">IF(AND(AZ$2&lt;&gt;0,TblTech[[#This Row],[Hour]:[Hour]]&gt;=AZ$2),1,0)</f>
        <v>0</v>
      </c>
      <c r="BA16" s="329" t="n">
        <f aca="false" t="array" ref="BA16:BA16">IF(AND(BA$2&lt;&gt;0,TblTech[[#This Row],[Hour]:[Hour]]&gt;=BA$2),1,0)</f>
        <v>0</v>
      </c>
      <c r="BB16" s="329" t="n">
        <f aca="false" t="array" ref="BB16:BB16">IF(AND(BB$2&lt;&gt;0,TblTech[[#This Row],[Hour]:[Hour]]&gt;=BB$2),1,0)</f>
        <v>0</v>
      </c>
      <c r="BC16" s="329" t="n">
        <f aca="false" t="array" ref="BC16:BC16">IF(AND(BC$2&lt;&gt;0,TblTech[[#This Row],[Hour]:[Hour]]&gt;=BC$2),1,0)</f>
        <v>0</v>
      </c>
      <c r="BD16" s="329" t="n">
        <f aca="false" t="array" ref="BD16:BD16">IF(AND(BD$2&lt;&gt;0,TblTech[[#This Row],[Hour]:[Hour]]&gt;=BD$2),1,0)</f>
        <v>0</v>
      </c>
      <c r="BE16" s="329" t="n">
        <f aca="false" t="array" ref="BE16:BE16">IF(AND(BE$2&lt;&gt;0,TblTech[[#This Row],[Hour]:[Hour]]&gt;=BE$2),1,0)</f>
        <v>0</v>
      </c>
      <c r="BF16" s="329" t="n">
        <f aca="false" t="array" ref="BF16:BF16">IF(AND(BF$2&lt;&gt;0,TblTech[[#This Row],[Hour]:[Hour]]&gt;=BF$2),1,0)</f>
        <v>0</v>
      </c>
      <c r="BG16" s="329" t="n">
        <f aca="false" t="array" ref="BG16:BG16">IF(AND(BG$2&lt;&gt;0,TblTech[[#This Row],[Hour]:[Hour]]&gt;=BG$2),1,0)</f>
        <v>0</v>
      </c>
      <c r="BH16" s="329" t="n">
        <f aca="false" t="array" ref="BH16:BH16">IF(AND(BH$2&lt;&gt;0,TblTech[[#This Row],[Hour]:[Hour]]&gt;=BH$2),1,0)</f>
        <v>0</v>
      </c>
      <c r="BI16" s="329" t="n">
        <f aca="false" t="array" ref="BI16:BI16">IF(AND(BI$2&lt;&gt;0,TblTech[[#This Row],[Hour]:[Hour]]&gt;=BI$2),1,0)</f>
        <v>0</v>
      </c>
      <c r="BJ16" s="329" t="n">
        <f aca="false" t="array" ref="BJ16:BJ16">IF(AND(BJ$2&lt;&gt;0,TblTech[[#This Row],[Hour]:[Hour]]&gt;=BJ$2),1,0)</f>
        <v>0</v>
      </c>
      <c r="BK16" s="329" t="n">
        <f aca="false" t="array" ref="BK16:BK16">IF(AND(BK$2&lt;&gt;0,TblTech[[#This Row],[Hour]:[Hour]]&gt;=BK$2),1,0)</f>
        <v>0</v>
      </c>
      <c r="BL16" s="329" t="n">
        <f aca="false" t="array" ref="BL16:BL16">IF(AND(BL$2&lt;&gt;0,TblTech[[#This Row],[Hour]:[Hour]]&gt;=BL$2),1,0)</f>
        <v>0</v>
      </c>
      <c r="BM16" s="329" t="n">
        <f aca="false" t="array" ref="BM16:BM16">IF(AND(BM$2&lt;&gt;0,TblTech[[#This Row],[Hour]:[Hour]]&gt;=BM$2),1,0)</f>
        <v>0</v>
      </c>
      <c r="BN16" s="329" t="n">
        <f aca="false" t="array" ref="BN16:BN16">IF(AND(BN$2&lt;&gt;0,TblTech[[#This Row],[Hour]:[Hour]]&gt;=BN$2),1,0)</f>
        <v>0</v>
      </c>
      <c r="BO16" s="329" t="n">
        <f aca="false" t="array" ref="BO16:BO16">IF(AND(BO$2&lt;&gt;0,TblTech[[#This Row],[Hour]:[Hour]]&gt;=BO$2),1,0)</f>
        <v>0</v>
      </c>
      <c r="BP16" s="329" t="n">
        <f aca="false" t="array" ref="BP16:BP16">IF(AND(BP$2&lt;&gt;0,TblTech[[#This Row],[Hour]:[Hour]]&gt;=BP$2),1,0)</f>
        <v>0</v>
      </c>
      <c r="BQ16" s="329" t="n">
        <f aca="false" t="array" ref="BQ16:BQ16">IF(AND(BQ$2&lt;&gt;0,TblTech[[#This Row],[Hour]:[Hour]]&gt;=BQ$2),1,0)</f>
        <v>0</v>
      </c>
      <c r="BR16" s="329" t="n">
        <f aca="false" t="array" ref="BR16:BR16">IF(AND(BR$2&lt;&gt;0,TblTech[[#This Row],[Hour]:[Hour]]&gt;=BR$2),1,0)</f>
        <v>0</v>
      </c>
      <c r="BS16" s="329" t="n">
        <f aca="false" t="array" ref="BS16:BS16">IF(AND(BS$2&lt;&gt;0,TblTech[[#This Row],[Hour]:[Hour]]&gt;=BS$2),1,0)</f>
        <v>0</v>
      </c>
      <c r="BT16" s="329" t="n">
        <f aca="false" t="array" ref="BT16:BT16">IF(AND(BT$2&lt;&gt;0,TblTech[[#This Row],[Hour]:[Hour]]&gt;=BT$2),1,0)</f>
        <v>0</v>
      </c>
      <c r="BU16" s="329" t="n">
        <f aca="false" t="array" ref="BU16:BU16">IF(AND(BU$2&lt;&gt;0,TblTech[[#This Row],[Hour]:[Hour]]&gt;=BU$2),1,0)</f>
        <v>0</v>
      </c>
      <c r="BV16" s="329" t="n">
        <f aca="false" t="array" ref="BV16:BV16">IF(AND(BV$2&lt;&gt;0,TblTech[[#This Row],[Hour]:[Hour]]&gt;=BV$2),1,0)</f>
        <v>0</v>
      </c>
      <c r="BW16" s="329" t="n">
        <f aca="false" t="array" ref="BW16:BW16">IF(AND(BW$2&lt;&gt;0,TblTech[[#This Row],[Hour]:[Hour]]&gt;=BW$2),1,0)</f>
        <v>0</v>
      </c>
      <c r="BX16" s="329" t="n">
        <f aca="false" t="array" ref="BX16:BX16">IF(AND(BX$2&lt;&gt;0,TblTech[[#This Row],[Hour]:[Hour]]&gt;=BX$2),1,0)</f>
        <v>0</v>
      </c>
      <c r="BY16" s="329" t="n">
        <f aca="false" t="array" ref="BY16:BY16">IF(AND(BY$2&lt;&gt;0,TblTech[[#This Row],[Hour]:[Hour]]&gt;=BY$2),1,0)</f>
        <v>0</v>
      </c>
      <c r="BZ16" s="329" t="n">
        <f aca="false" t="array" ref="BZ16:BZ16">IF(AND(BZ$2&lt;&gt;0,TblTech[[#This Row],[Hour]:[Hour]]&gt;=BZ$2),1,0)</f>
        <v>0</v>
      </c>
      <c r="CA16" s="330" t="n">
        <f aca="false">IFERROR(INDEX($H$4:$H$79,MATCH(INDEX(TblTech[[#Headers],[1-1]:[11-1]],1,MATCH(TblTech[[#This Row],[Hour]],$M$2:$BZ$2,0)),$G$4:$G$79,0)),)</f>
        <v>0</v>
      </c>
    </row>
    <row r="17" customFormat="false" ht="12.75" hidden="false" customHeight="false" outlineLevel="0" collapsed="false">
      <c r="A17" s="321" t="n">
        <f aca="false">TblRezone[[#This Row],[Hour]]</f>
        <v>14</v>
      </c>
      <c r="B17" s="322" t="n">
        <f aca="false">TblExplore[[#This Row],[Land-DB]]</f>
        <v>250</v>
      </c>
      <c r="C17" s="323" t="n">
        <f aca="false">TblProd[[#This Row],[Techpoints]]</f>
        <v>0</v>
      </c>
      <c r="D17" s="323" t="n">
        <f aca="false">TblProd[[#This Row],[Required]]</f>
        <v>3750</v>
      </c>
      <c r="E17" s="324"/>
      <c r="F17" s="325"/>
      <c r="G17" s="326" t="s">
        <v>536</v>
      </c>
      <c r="H17" s="327" t="s">
        <v>615</v>
      </c>
      <c r="I17" s="326" t="s">
        <v>616</v>
      </c>
      <c r="J17" s="322"/>
      <c r="K17" s="68" t="n">
        <f aca="false">IF(TblTech[[#This Row],[Sum of tech]]&lt;&gt;OFFSET(TblTech[[#This Row],[Sum of tech]],-1,0),1,0)</f>
        <v>0</v>
      </c>
      <c r="L17" s="328" t="n">
        <f aca="false">COUNTIF(TblTech[[#This Row],[1-1]:[11-1]],1)</f>
        <v>0</v>
      </c>
      <c r="M17" s="329" t="n">
        <f aca="false" t="array" ref="M17:M17">IF(AND(M$2&lt;&gt;0,TblTech[[#This Row],[Hour]:[Hour]]&gt;=M$2),1,0)</f>
        <v>0</v>
      </c>
      <c r="N17" s="329" t="n">
        <f aca="false" t="array" ref="N17:N17">IF(AND(N$2&lt;&gt;0,TblTech[[#This Row],[Hour]:[Hour]]&gt;=N$2),1,0)</f>
        <v>0</v>
      </c>
      <c r="O17" s="329" t="n">
        <f aca="false" t="array" ref="O17:O17">IF(AND(O$2&lt;&gt;0,TblTech[[#This Row],[Hour]:[Hour]]&gt;=O$2),1,0)</f>
        <v>0</v>
      </c>
      <c r="P17" s="329" t="n">
        <f aca="false" t="array" ref="P17:P17">IF(AND(P$2&lt;&gt;0,TblTech[[#This Row],[Hour]:[Hour]]&gt;=P$2),1,0)</f>
        <v>0</v>
      </c>
      <c r="Q17" s="329" t="n">
        <f aca="false" t="array" ref="Q17:Q17">IF(AND(Q$2&lt;&gt;0,TblTech[[#This Row],[Hour]:[Hour]]&gt;=Q$2),1,0)</f>
        <v>0</v>
      </c>
      <c r="R17" s="329" t="n">
        <f aca="false" t="array" ref="R17:R17">IF(AND(R$2&lt;&gt;0,TblTech[[#This Row],[Hour]:[Hour]]&gt;=R$2),1,0)</f>
        <v>0</v>
      </c>
      <c r="S17" s="329" t="n">
        <f aca="false" t="array" ref="S17:S17">IF(AND(S$2&lt;&gt;0,TblTech[[#This Row],[Hour]:[Hour]]&gt;=S$2),1,0)</f>
        <v>0</v>
      </c>
      <c r="T17" s="329" t="n">
        <f aca="false" t="array" ref="T17:T17">IF(AND(T$2&lt;&gt;0,TblTech[[#This Row],[Hour]:[Hour]]&gt;=T$2),1,0)</f>
        <v>0</v>
      </c>
      <c r="U17" s="329" t="n">
        <f aca="false" t="array" ref="U17:U17">IF(AND(U$2&lt;&gt;0,TblTech[[#This Row],[Hour]:[Hour]]&gt;=U$2),1,0)</f>
        <v>0</v>
      </c>
      <c r="V17" s="329" t="n">
        <f aca="false" t="array" ref="V17:V17">IF(AND(V$2&lt;&gt;0,TblTech[[#This Row],[Hour]:[Hour]]&gt;=V$2),1,0)</f>
        <v>0</v>
      </c>
      <c r="W17" s="329" t="n">
        <f aca="false" t="array" ref="W17:W17">IF(AND(W$2&lt;&gt;0,TblTech[[#This Row],[Hour]:[Hour]]&gt;=W$2),1,0)</f>
        <v>0</v>
      </c>
      <c r="X17" s="329" t="n">
        <f aca="false" t="array" ref="X17:X17">IF(AND(X$2&lt;&gt;0,TblTech[[#This Row],[Hour]:[Hour]]&gt;=X$2),1,0)</f>
        <v>0</v>
      </c>
      <c r="Y17" s="329" t="n">
        <f aca="false" t="array" ref="Y17:Y17">IF(AND(Y$2&lt;&gt;0,TblTech[[#This Row],[Hour]:[Hour]]&gt;=Y$2),1,0)</f>
        <v>0</v>
      </c>
      <c r="Z17" s="329" t="n">
        <f aca="false" t="array" ref="Z17:Z17">IF(AND(Z$2&lt;&gt;0,TblTech[[#This Row],[Hour]:[Hour]]&gt;=Z$2),1,0)</f>
        <v>0</v>
      </c>
      <c r="AA17" s="329" t="n">
        <f aca="false" t="array" ref="AA17:AA17">IF(AND(AA$2&lt;&gt;0,TblTech[[#This Row],[Hour]:[Hour]]&gt;=AA$2),1,0)</f>
        <v>0</v>
      </c>
      <c r="AB17" s="329" t="n">
        <f aca="false" t="array" ref="AB17:AB17">IF(AND(AB$2&lt;&gt;0,TblTech[[#This Row],[Hour]:[Hour]]&gt;=AB$2),1,0)</f>
        <v>0</v>
      </c>
      <c r="AC17" s="329" t="n">
        <f aca="false" t="array" ref="AC17:AC17">IF(AND(AC$2&lt;&gt;0,TblTech[[#This Row],[Hour]:[Hour]]&gt;=AC$2),1,0)</f>
        <v>0</v>
      </c>
      <c r="AD17" s="329" t="n">
        <f aca="false" t="array" ref="AD17:AD17">IF(AND(AD$2&lt;&gt;0,TblTech[[#This Row],[Hour]:[Hour]]&gt;=AD$2),1,0)</f>
        <v>0</v>
      </c>
      <c r="AE17" s="329" t="n">
        <f aca="false" t="array" ref="AE17:AE17">IF(AND(AE$2&lt;&gt;0,TblTech[[#This Row],[Hour]:[Hour]]&gt;=AE$2),1,0)</f>
        <v>0</v>
      </c>
      <c r="AF17" s="329" t="n">
        <f aca="false" t="array" ref="AF17:AF17">IF(AND(AF$2&lt;&gt;0,TblTech[[#This Row],[Hour]:[Hour]]&gt;=AF$2),1,0)</f>
        <v>0</v>
      </c>
      <c r="AG17" s="329" t="n">
        <f aca="false" t="array" ref="AG17:AG17">IF(AND(AG$2&lt;&gt;0,TblTech[[#This Row],[Hour]:[Hour]]&gt;=AG$2),1,0)</f>
        <v>0</v>
      </c>
      <c r="AH17" s="329" t="n">
        <f aca="false" t="array" ref="AH17:AH17">IF(AND(AH$2&lt;&gt;0,TblTech[[#This Row],[Hour]:[Hour]]&gt;=AH$2),1,0)</f>
        <v>0</v>
      </c>
      <c r="AI17" s="329" t="n">
        <f aca="false" t="array" ref="AI17:AI17">IF(AND(AI$2&lt;&gt;0,TblTech[[#This Row],[Hour]:[Hour]]&gt;=AI$2),1,0)</f>
        <v>0</v>
      </c>
      <c r="AJ17" s="329" t="n">
        <f aca="false" t="array" ref="AJ17:AJ17">IF(AND(AJ$2&lt;&gt;0,TblTech[[#This Row],[Hour]:[Hour]]&gt;=AJ$2),1,0)</f>
        <v>0</v>
      </c>
      <c r="AK17" s="329" t="n">
        <f aca="false" t="array" ref="AK17:AK17">IF(AND(AK$2&lt;&gt;0,TblTech[[#This Row],[Hour]:[Hour]]&gt;=AK$2),1,0)</f>
        <v>0</v>
      </c>
      <c r="AL17" s="329" t="n">
        <f aca="false" t="array" ref="AL17:AL17">IF(AND(AL$2&lt;&gt;0,TblTech[[#This Row],[Hour]:[Hour]]&gt;=AL$2),1,0)</f>
        <v>0</v>
      </c>
      <c r="AM17" s="329" t="n">
        <f aca="false" t="array" ref="AM17:AM17">IF(AND(AM$2&lt;&gt;0,TblTech[[#This Row],[Hour]:[Hour]]&gt;=AM$2),1,0)</f>
        <v>0</v>
      </c>
      <c r="AN17" s="329" t="n">
        <f aca="false" t="array" ref="AN17:AN17">IF(AND(AN$2&lt;&gt;0,TblTech[[#This Row],[Hour]:[Hour]]&gt;=AN$2),1,0)</f>
        <v>0</v>
      </c>
      <c r="AO17" s="329" t="n">
        <f aca="false" t="array" ref="AO17:AO17">IF(AND(AO$2&lt;&gt;0,TblTech[[#This Row],[Hour]:[Hour]]&gt;=AO$2),1,0)</f>
        <v>0</v>
      </c>
      <c r="AP17" s="329" t="n">
        <f aca="false" t="array" ref="AP17:AP17">IF(AND(AP$2&lt;&gt;0,TblTech[[#This Row],[Hour]:[Hour]]&gt;=AP$2),1,0)</f>
        <v>0</v>
      </c>
      <c r="AQ17" s="329" t="n">
        <f aca="false" t="array" ref="AQ17:AQ17">IF(AND(AQ$2&lt;&gt;0,TblTech[[#This Row],[Hour]:[Hour]]&gt;=AQ$2),1,0)</f>
        <v>0</v>
      </c>
      <c r="AR17" s="329" t="n">
        <f aca="false" t="array" ref="AR17:AR17">IF(AND(AR$2&lt;&gt;0,TblTech[[#This Row],[Hour]:[Hour]]&gt;=AR$2),1,0)</f>
        <v>0</v>
      </c>
      <c r="AS17" s="329" t="n">
        <f aca="false" t="array" ref="AS17:AS17">IF(AND(AS$2&lt;&gt;0,TblTech[[#This Row],[Hour]:[Hour]]&gt;=AS$2),1,0)</f>
        <v>0</v>
      </c>
      <c r="AT17" s="329" t="n">
        <f aca="false" t="array" ref="AT17:AT17">IF(AND(AT$2&lt;&gt;0,TblTech[[#This Row],[Hour]:[Hour]]&gt;=AT$2),1,0)</f>
        <v>0</v>
      </c>
      <c r="AU17" s="329" t="n">
        <f aca="false" t="array" ref="AU17:AU17">IF(AND(AU$2&lt;&gt;0,TblTech[[#This Row],[Hour]:[Hour]]&gt;=AU$2),1,0)</f>
        <v>0</v>
      </c>
      <c r="AV17" s="329" t="n">
        <f aca="false" t="array" ref="AV17:AV17">IF(AND(AV$2&lt;&gt;0,TblTech[[#This Row],[Hour]:[Hour]]&gt;=AV$2),1,0)</f>
        <v>0</v>
      </c>
      <c r="AW17" s="329" t="n">
        <f aca="false" t="array" ref="AW17:AW17">IF(AND(AW$2&lt;&gt;0,TblTech[[#This Row],[Hour]:[Hour]]&gt;=AW$2),1,0)</f>
        <v>0</v>
      </c>
      <c r="AX17" s="329" t="n">
        <f aca="false" t="array" ref="AX17:AX17">IF(AND(AX$2&lt;&gt;0,TblTech[[#This Row],[Hour]:[Hour]]&gt;=AX$2),1,0)</f>
        <v>0</v>
      </c>
      <c r="AY17" s="329" t="n">
        <f aca="false" t="array" ref="AY17:AY17">IF(AND(AY$2&lt;&gt;0,TblTech[[#This Row],[Hour]:[Hour]]&gt;=AY$2),1,0)</f>
        <v>0</v>
      </c>
      <c r="AZ17" s="329" t="n">
        <f aca="false" t="array" ref="AZ17:AZ17">IF(AND(AZ$2&lt;&gt;0,TblTech[[#This Row],[Hour]:[Hour]]&gt;=AZ$2),1,0)</f>
        <v>0</v>
      </c>
      <c r="BA17" s="329" t="n">
        <f aca="false" t="array" ref="BA17:BA17">IF(AND(BA$2&lt;&gt;0,TblTech[[#This Row],[Hour]:[Hour]]&gt;=BA$2),1,0)</f>
        <v>0</v>
      </c>
      <c r="BB17" s="329" t="n">
        <f aca="false" t="array" ref="BB17:BB17">IF(AND(BB$2&lt;&gt;0,TblTech[[#This Row],[Hour]:[Hour]]&gt;=BB$2),1,0)</f>
        <v>0</v>
      </c>
      <c r="BC17" s="329" t="n">
        <f aca="false" t="array" ref="BC17:BC17">IF(AND(BC$2&lt;&gt;0,TblTech[[#This Row],[Hour]:[Hour]]&gt;=BC$2),1,0)</f>
        <v>0</v>
      </c>
      <c r="BD17" s="329" t="n">
        <f aca="false" t="array" ref="BD17:BD17">IF(AND(BD$2&lt;&gt;0,TblTech[[#This Row],[Hour]:[Hour]]&gt;=BD$2),1,0)</f>
        <v>0</v>
      </c>
      <c r="BE17" s="329" t="n">
        <f aca="false" t="array" ref="BE17:BE17">IF(AND(BE$2&lt;&gt;0,TblTech[[#This Row],[Hour]:[Hour]]&gt;=BE$2),1,0)</f>
        <v>0</v>
      </c>
      <c r="BF17" s="329" t="n">
        <f aca="false" t="array" ref="BF17:BF17">IF(AND(BF$2&lt;&gt;0,TblTech[[#This Row],[Hour]:[Hour]]&gt;=BF$2),1,0)</f>
        <v>0</v>
      </c>
      <c r="BG17" s="329" t="n">
        <f aca="false" t="array" ref="BG17:BG17">IF(AND(BG$2&lt;&gt;0,TblTech[[#This Row],[Hour]:[Hour]]&gt;=BG$2),1,0)</f>
        <v>0</v>
      </c>
      <c r="BH17" s="329" t="n">
        <f aca="false" t="array" ref="BH17:BH17">IF(AND(BH$2&lt;&gt;0,TblTech[[#This Row],[Hour]:[Hour]]&gt;=BH$2),1,0)</f>
        <v>0</v>
      </c>
      <c r="BI17" s="329" t="n">
        <f aca="false" t="array" ref="BI17:BI17">IF(AND(BI$2&lt;&gt;0,TblTech[[#This Row],[Hour]:[Hour]]&gt;=BI$2),1,0)</f>
        <v>0</v>
      </c>
      <c r="BJ17" s="329" t="n">
        <f aca="false" t="array" ref="BJ17:BJ17">IF(AND(BJ$2&lt;&gt;0,TblTech[[#This Row],[Hour]:[Hour]]&gt;=BJ$2),1,0)</f>
        <v>0</v>
      </c>
      <c r="BK17" s="329" t="n">
        <f aca="false" t="array" ref="BK17:BK17">IF(AND(BK$2&lt;&gt;0,TblTech[[#This Row],[Hour]:[Hour]]&gt;=BK$2),1,0)</f>
        <v>0</v>
      </c>
      <c r="BL17" s="329" t="n">
        <f aca="false" t="array" ref="BL17:BL17">IF(AND(BL$2&lt;&gt;0,TblTech[[#This Row],[Hour]:[Hour]]&gt;=BL$2),1,0)</f>
        <v>0</v>
      </c>
      <c r="BM17" s="329" t="n">
        <f aca="false" t="array" ref="BM17:BM17">IF(AND(BM$2&lt;&gt;0,TblTech[[#This Row],[Hour]:[Hour]]&gt;=BM$2),1,0)</f>
        <v>0</v>
      </c>
      <c r="BN17" s="329" t="n">
        <f aca="false" t="array" ref="BN17:BN17">IF(AND(BN$2&lt;&gt;0,TblTech[[#This Row],[Hour]:[Hour]]&gt;=BN$2),1,0)</f>
        <v>0</v>
      </c>
      <c r="BO17" s="329" t="n">
        <f aca="false" t="array" ref="BO17:BO17">IF(AND(BO$2&lt;&gt;0,TblTech[[#This Row],[Hour]:[Hour]]&gt;=BO$2),1,0)</f>
        <v>0</v>
      </c>
      <c r="BP17" s="329" t="n">
        <f aca="false" t="array" ref="BP17:BP17">IF(AND(BP$2&lt;&gt;0,TblTech[[#This Row],[Hour]:[Hour]]&gt;=BP$2),1,0)</f>
        <v>0</v>
      </c>
      <c r="BQ17" s="329" t="n">
        <f aca="false" t="array" ref="BQ17:BQ17">IF(AND(BQ$2&lt;&gt;0,TblTech[[#This Row],[Hour]:[Hour]]&gt;=BQ$2),1,0)</f>
        <v>0</v>
      </c>
      <c r="BR17" s="329" t="n">
        <f aca="false" t="array" ref="BR17:BR17">IF(AND(BR$2&lt;&gt;0,TblTech[[#This Row],[Hour]:[Hour]]&gt;=BR$2),1,0)</f>
        <v>0</v>
      </c>
      <c r="BS17" s="329" t="n">
        <f aca="false" t="array" ref="BS17:BS17">IF(AND(BS$2&lt;&gt;0,TblTech[[#This Row],[Hour]:[Hour]]&gt;=BS$2),1,0)</f>
        <v>0</v>
      </c>
      <c r="BT17" s="329" t="n">
        <f aca="false" t="array" ref="BT17:BT17">IF(AND(BT$2&lt;&gt;0,TblTech[[#This Row],[Hour]:[Hour]]&gt;=BT$2),1,0)</f>
        <v>0</v>
      </c>
      <c r="BU17" s="329" t="n">
        <f aca="false" t="array" ref="BU17:BU17">IF(AND(BU$2&lt;&gt;0,TblTech[[#This Row],[Hour]:[Hour]]&gt;=BU$2),1,0)</f>
        <v>0</v>
      </c>
      <c r="BV17" s="329" t="n">
        <f aca="false" t="array" ref="BV17:BV17">IF(AND(BV$2&lt;&gt;0,TblTech[[#This Row],[Hour]:[Hour]]&gt;=BV$2),1,0)</f>
        <v>0</v>
      </c>
      <c r="BW17" s="329" t="n">
        <f aca="false" t="array" ref="BW17:BW17">IF(AND(BW$2&lt;&gt;0,TblTech[[#This Row],[Hour]:[Hour]]&gt;=BW$2),1,0)</f>
        <v>0</v>
      </c>
      <c r="BX17" s="329" t="n">
        <f aca="false" t="array" ref="BX17:BX17">IF(AND(BX$2&lt;&gt;0,TblTech[[#This Row],[Hour]:[Hour]]&gt;=BX$2),1,0)</f>
        <v>0</v>
      </c>
      <c r="BY17" s="329" t="n">
        <f aca="false" t="array" ref="BY17:BY17">IF(AND(BY$2&lt;&gt;0,TblTech[[#This Row],[Hour]:[Hour]]&gt;=BY$2),1,0)</f>
        <v>0</v>
      </c>
      <c r="BZ17" s="329" t="n">
        <f aca="false" t="array" ref="BZ17:BZ17">IF(AND(BZ$2&lt;&gt;0,TblTech[[#This Row],[Hour]:[Hour]]&gt;=BZ$2),1,0)</f>
        <v>0</v>
      </c>
      <c r="CA17" s="330" t="n">
        <f aca="false">IFERROR(INDEX($H$4:$H$79,MATCH(INDEX(TblTech[[#Headers],[1-1]:[11-1]],1,MATCH(TblTech[[#This Row],[Hour]],$M$2:$BZ$2,0)),$G$4:$G$79,0)),)</f>
        <v>0</v>
      </c>
    </row>
    <row r="18" customFormat="false" ht="12.75" hidden="false" customHeight="false" outlineLevel="0" collapsed="false">
      <c r="A18" s="321" t="n">
        <f aca="false">TblRezone[[#This Row],[Hour]]</f>
        <v>15</v>
      </c>
      <c r="B18" s="322" t="n">
        <f aca="false">TblExplore[[#This Row],[Land-DB]]</f>
        <v>250</v>
      </c>
      <c r="C18" s="323" t="n">
        <f aca="false">TblProd[[#This Row],[Techpoints]]</f>
        <v>0</v>
      </c>
      <c r="D18" s="323" t="n">
        <f aca="false">TblProd[[#This Row],[Required]]</f>
        <v>3750</v>
      </c>
      <c r="E18" s="324"/>
      <c r="F18" s="325"/>
      <c r="G18" s="326" t="s">
        <v>537</v>
      </c>
      <c r="H18" s="327" t="s">
        <v>617</v>
      </c>
      <c r="I18" s="326" t="s">
        <v>618</v>
      </c>
      <c r="J18" s="322"/>
      <c r="K18" s="68" t="n">
        <f aca="false">IF(TblTech[[#This Row],[Sum of tech]]&lt;&gt;OFFSET(TblTech[[#This Row],[Sum of tech]],-1,0),1,0)</f>
        <v>0</v>
      </c>
      <c r="L18" s="328" t="n">
        <f aca="false">COUNTIF(TblTech[[#This Row],[1-1]:[11-1]],1)</f>
        <v>0</v>
      </c>
      <c r="M18" s="329" t="n">
        <f aca="false" t="array" ref="M18:M18">IF(AND(M$2&lt;&gt;0,TblTech[[#This Row],[Hour]:[Hour]]&gt;=M$2),1,0)</f>
        <v>0</v>
      </c>
      <c r="N18" s="329" t="n">
        <f aca="false" t="array" ref="N18:N18">IF(AND(N$2&lt;&gt;0,TblTech[[#This Row],[Hour]:[Hour]]&gt;=N$2),1,0)</f>
        <v>0</v>
      </c>
      <c r="O18" s="329" t="n">
        <f aca="false" t="array" ref="O18:O18">IF(AND(O$2&lt;&gt;0,TblTech[[#This Row],[Hour]:[Hour]]&gt;=O$2),1,0)</f>
        <v>0</v>
      </c>
      <c r="P18" s="329" t="n">
        <f aca="false" t="array" ref="P18:P18">IF(AND(P$2&lt;&gt;0,TblTech[[#This Row],[Hour]:[Hour]]&gt;=P$2),1,0)</f>
        <v>0</v>
      </c>
      <c r="Q18" s="329" t="n">
        <f aca="false" t="array" ref="Q18:Q18">IF(AND(Q$2&lt;&gt;0,TblTech[[#This Row],[Hour]:[Hour]]&gt;=Q$2),1,0)</f>
        <v>0</v>
      </c>
      <c r="R18" s="329" t="n">
        <f aca="false" t="array" ref="R18:R18">IF(AND(R$2&lt;&gt;0,TblTech[[#This Row],[Hour]:[Hour]]&gt;=R$2),1,0)</f>
        <v>0</v>
      </c>
      <c r="S18" s="329" t="n">
        <f aca="false" t="array" ref="S18:S18">IF(AND(S$2&lt;&gt;0,TblTech[[#This Row],[Hour]:[Hour]]&gt;=S$2),1,0)</f>
        <v>0</v>
      </c>
      <c r="T18" s="329" t="n">
        <f aca="false" t="array" ref="T18:T18">IF(AND(T$2&lt;&gt;0,TblTech[[#This Row],[Hour]:[Hour]]&gt;=T$2),1,0)</f>
        <v>0</v>
      </c>
      <c r="U18" s="329" t="n">
        <f aca="false" t="array" ref="U18:U18">IF(AND(U$2&lt;&gt;0,TblTech[[#This Row],[Hour]:[Hour]]&gt;=U$2),1,0)</f>
        <v>0</v>
      </c>
      <c r="V18" s="329" t="n">
        <f aca="false" t="array" ref="V18:V18">IF(AND(V$2&lt;&gt;0,TblTech[[#This Row],[Hour]:[Hour]]&gt;=V$2),1,0)</f>
        <v>0</v>
      </c>
      <c r="W18" s="329" t="n">
        <f aca="false" t="array" ref="W18:W18">IF(AND(W$2&lt;&gt;0,TblTech[[#This Row],[Hour]:[Hour]]&gt;=W$2),1,0)</f>
        <v>0</v>
      </c>
      <c r="X18" s="329" t="n">
        <f aca="false" t="array" ref="X18:X18">IF(AND(X$2&lt;&gt;0,TblTech[[#This Row],[Hour]:[Hour]]&gt;=X$2),1,0)</f>
        <v>0</v>
      </c>
      <c r="Y18" s="329" t="n">
        <f aca="false" t="array" ref="Y18:Y18">IF(AND(Y$2&lt;&gt;0,TblTech[[#This Row],[Hour]:[Hour]]&gt;=Y$2),1,0)</f>
        <v>0</v>
      </c>
      <c r="Z18" s="329" t="n">
        <f aca="false" t="array" ref="Z18:Z18">IF(AND(Z$2&lt;&gt;0,TblTech[[#This Row],[Hour]:[Hour]]&gt;=Z$2),1,0)</f>
        <v>0</v>
      </c>
      <c r="AA18" s="329" t="n">
        <f aca="false" t="array" ref="AA18:AA18">IF(AND(AA$2&lt;&gt;0,TblTech[[#This Row],[Hour]:[Hour]]&gt;=AA$2),1,0)</f>
        <v>0</v>
      </c>
      <c r="AB18" s="329" t="n">
        <f aca="false" t="array" ref="AB18:AB18">IF(AND(AB$2&lt;&gt;0,TblTech[[#This Row],[Hour]:[Hour]]&gt;=AB$2),1,0)</f>
        <v>0</v>
      </c>
      <c r="AC18" s="329" t="n">
        <f aca="false" t="array" ref="AC18:AC18">IF(AND(AC$2&lt;&gt;0,TblTech[[#This Row],[Hour]:[Hour]]&gt;=AC$2),1,0)</f>
        <v>0</v>
      </c>
      <c r="AD18" s="329" t="n">
        <f aca="false" t="array" ref="AD18:AD18">IF(AND(AD$2&lt;&gt;0,TblTech[[#This Row],[Hour]:[Hour]]&gt;=AD$2),1,0)</f>
        <v>0</v>
      </c>
      <c r="AE18" s="329" t="n">
        <f aca="false" t="array" ref="AE18:AE18">IF(AND(AE$2&lt;&gt;0,TblTech[[#This Row],[Hour]:[Hour]]&gt;=AE$2),1,0)</f>
        <v>0</v>
      </c>
      <c r="AF18" s="329" t="n">
        <f aca="false" t="array" ref="AF18:AF18">IF(AND(AF$2&lt;&gt;0,TblTech[[#This Row],[Hour]:[Hour]]&gt;=AF$2),1,0)</f>
        <v>0</v>
      </c>
      <c r="AG18" s="329" t="n">
        <f aca="false" t="array" ref="AG18:AG18">IF(AND(AG$2&lt;&gt;0,TblTech[[#This Row],[Hour]:[Hour]]&gt;=AG$2),1,0)</f>
        <v>0</v>
      </c>
      <c r="AH18" s="329" t="n">
        <f aca="false" t="array" ref="AH18:AH18">IF(AND(AH$2&lt;&gt;0,TblTech[[#This Row],[Hour]:[Hour]]&gt;=AH$2),1,0)</f>
        <v>0</v>
      </c>
      <c r="AI18" s="329" t="n">
        <f aca="false" t="array" ref="AI18:AI18">IF(AND(AI$2&lt;&gt;0,TblTech[[#This Row],[Hour]:[Hour]]&gt;=AI$2),1,0)</f>
        <v>0</v>
      </c>
      <c r="AJ18" s="329" t="n">
        <f aca="false" t="array" ref="AJ18:AJ18">IF(AND(AJ$2&lt;&gt;0,TblTech[[#This Row],[Hour]:[Hour]]&gt;=AJ$2),1,0)</f>
        <v>0</v>
      </c>
      <c r="AK18" s="329" t="n">
        <f aca="false" t="array" ref="AK18:AK18">IF(AND(AK$2&lt;&gt;0,TblTech[[#This Row],[Hour]:[Hour]]&gt;=AK$2),1,0)</f>
        <v>0</v>
      </c>
      <c r="AL18" s="329" t="n">
        <f aca="false" t="array" ref="AL18:AL18">IF(AND(AL$2&lt;&gt;0,TblTech[[#This Row],[Hour]:[Hour]]&gt;=AL$2),1,0)</f>
        <v>0</v>
      </c>
      <c r="AM18" s="329" t="n">
        <f aca="false" t="array" ref="AM18:AM18">IF(AND(AM$2&lt;&gt;0,TblTech[[#This Row],[Hour]:[Hour]]&gt;=AM$2),1,0)</f>
        <v>0</v>
      </c>
      <c r="AN18" s="329" t="n">
        <f aca="false" t="array" ref="AN18:AN18">IF(AND(AN$2&lt;&gt;0,TblTech[[#This Row],[Hour]:[Hour]]&gt;=AN$2),1,0)</f>
        <v>0</v>
      </c>
      <c r="AO18" s="329" t="n">
        <f aca="false" t="array" ref="AO18:AO18">IF(AND(AO$2&lt;&gt;0,TblTech[[#This Row],[Hour]:[Hour]]&gt;=AO$2),1,0)</f>
        <v>0</v>
      </c>
      <c r="AP18" s="329" t="n">
        <f aca="false" t="array" ref="AP18:AP18">IF(AND(AP$2&lt;&gt;0,TblTech[[#This Row],[Hour]:[Hour]]&gt;=AP$2),1,0)</f>
        <v>0</v>
      </c>
      <c r="AQ18" s="329" t="n">
        <f aca="false" t="array" ref="AQ18:AQ18">IF(AND(AQ$2&lt;&gt;0,TblTech[[#This Row],[Hour]:[Hour]]&gt;=AQ$2),1,0)</f>
        <v>0</v>
      </c>
      <c r="AR18" s="329" t="n">
        <f aca="false" t="array" ref="AR18:AR18">IF(AND(AR$2&lt;&gt;0,TblTech[[#This Row],[Hour]:[Hour]]&gt;=AR$2),1,0)</f>
        <v>0</v>
      </c>
      <c r="AS18" s="329" t="n">
        <f aca="false" t="array" ref="AS18:AS18">IF(AND(AS$2&lt;&gt;0,TblTech[[#This Row],[Hour]:[Hour]]&gt;=AS$2),1,0)</f>
        <v>0</v>
      </c>
      <c r="AT18" s="329" t="n">
        <f aca="false" t="array" ref="AT18:AT18">IF(AND(AT$2&lt;&gt;0,TblTech[[#This Row],[Hour]:[Hour]]&gt;=AT$2),1,0)</f>
        <v>0</v>
      </c>
      <c r="AU18" s="329" t="n">
        <f aca="false" t="array" ref="AU18:AU18">IF(AND(AU$2&lt;&gt;0,TblTech[[#This Row],[Hour]:[Hour]]&gt;=AU$2),1,0)</f>
        <v>0</v>
      </c>
      <c r="AV18" s="329" t="n">
        <f aca="false" t="array" ref="AV18:AV18">IF(AND(AV$2&lt;&gt;0,TblTech[[#This Row],[Hour]:[Hour]]&gt;=AV$2),1,0)</f>
        <v>0</v>
      </c>
      <c r="AW18" s="329" t="n">
        <f aca="false" t="array" ref="AW18:AW18">IF(AND(AW$2&lt;&gt;0,TblTech[[#This Row],[Hour]:[Hour]]&gt;=AW$2),1,0)</f>
        <v>0</v>
      </c>
      <c r="AX18" s="329" t="n">
        <f aca="false" t="array" ref="AX18:AX18">IF(AND(AX$2&lt;&gt;0,TblTech[[#This Row],[Hour]:[Hour]]&gt;=AX$2),1,0)</f>
        <v>0</v>
      </c>
      <c r="AY18" s="329" t="n">
        <f aca="false" t="array" ref="AY18:AY18">IF(AND(AY$2&lt;&gt;0,TblTech[[#This Row],[Hour]:[Hour]]&gt;=AY$2),1,0)</f>
        <v>0</v>
      </c>
      <c r="AZ18" s="329" t="n">
        <f aca="false" t="array" ref="AZ18:AZ18">IF(AND(AZ$2&lt;&gt;0,TblTech[[#This Row],[Hour]:[Hour]]&gt;=AZ$2),1,0)</f>
        <v>0</v>
      </c>
      <c r="BA18" s="329" t="n">
        <f aca="false" t="array" ref="BA18:BA18">IF(AND(BA$2&lt;&gt;0,TblTech[[#This Row],[Hour]:[Hour]]&gt;=BA$2),1,0)</f>
        <v>0</v>
      </c>
      <c r="BB18" s="329" t="n">
        <f aca="false" t="array" ref="BB18:BB18">IF(AND(BB$2&lt;&gt;0,TblTech[[#This Row],[Hour]:[Hour]]&gt;=BB$2),1,0)</f>
        <v>0</v>
      </c>
      <c r="BC18" s="329" t="n">
        <f aca="false" t="array" ref="BC18:BC18">IF(AND(BC$2&lt;&gt;0,TblTech[[#This Row],[Hour]:[Hour]]&gt;=BC$2),1,0)</f>
        <v>0</v>
      </c>
      <c r="BD18" s="329" t="n">
        <f aca="false" t="array" ref="BD18:BD18">IF(AND(BD$2&lt;&gt;0,TblTech[[#This Row],[Hour]:[Hour]]&gt;=BD$2),1,0)</f>
        <v>0</v>
      </c>
      <c r="BE18" s="329" t="n">
        <f aca="false" t="array" ref="BE18:BE18">IF(AND(BE$2&lt;&gt;0,TblTech[[#This Row],[Hour]:[Hour]]&gt;=BE$2),1,0)</f>
        <v>0</v>
      </c>
      <c r="BF18" s="329" t="n">
        <f aca="false" t="array" ref="BF18:BF18">IF(AND(BF$2&lt;&gt;0,TblTech[[#This Row],[Hour]:[Hour]]&gt;=BF$2),1,0)</f>
        <v>0</v>
      </c>
      <c r="BG18" s="329" t="n">
        <f aca="false" t="array" ref="BG18:BG18">IF(AND(BG$2&lt;&gt;0,TblTech[[#This Row],[Hour]:[Hour]]&gt;=BG$2),1,0)</f>
        <v>0</v>
      </c>
      <c r="BH18" s="329" t="n">
        <f aca="false" t="array" ref="BH18:BH18">IF(AND(BH$2&lt;&gt;0,TblTech[[#This Row],[Hour]:[Hour]]&gt;=BH$2),1,0)</f>
        <v>0</v>
      </c>
      <c r="BI18" s="329" t="n">
        <f aca="false" t="array" ref="BI18:BI18">IF(AND(BI$2&lt;&gt;0,TblTech[[#This Row],[Hour]:[Hour]]&gt;=BI$2),1,0)</f>
        <v>0</v>
      </c>
      <c r="BJ18" s="329" t="n">
        <f aca="false" t="array" ref="BJ18:BJ18">IF(AND(BJ$2&lt;&gt;0,TblTech[[#This Row],[Hour]:[Hour]]&gt;=BJ$2),1,0)</f>
        <v>0</v>
      </c>
      <c r="BK18" s="329" t="n">
        <f aca="false" t="array" ref="BK18:BK18">IF(AND(BK$2&lt;&gt;0,TblTech[[#This Row],[Hour]:[Hour]]&gt;=BK$2),1,0)</f>
        <v>0</v>
      </c>
      <c r="BL18" s="329" t="n">
        <f aca="false" t="array" ref="BL18:BL18">IF(AND(BL$2&lt;&gt;0,TblTech[[#This Row],[Hour]:[Hour]]&gt;=BL$2),1,0)</f>
        <v>0</v>
      </c>
      <c r="BM18" s="329" t="n">
        <f aca="false" t="array" ref="BM18:BM18">IF(AND(BM$2&lt;&gt;0,TblTech[[#This Row],[Hour]:[Hour]]&gt;=BM$2),1,0)</f>
        <v>0</v>
      </c>
      <c r="BN18" s="329" t="n">
        <f aca="false" t="array" ref="BN18:BN18">IF(AND(BN$2&lt;&gt;0,TblTech[[#This Row],[Hour]:[Hour]]&gt;=BN$2),1,0)</f>
        <v>0</v>
      </c>
      <c r="BO18" s="329" t="n">
        <f aca="false" t="array" ref="BO18:BO18">IF(AND(BO$2&lt;&gt;0,TblTech[[#This Row],[Hour]:[Hour]]&gt;=BO$2),1,0)</f>
        <v>0</v>
      </c>
      <c r="BP18" s="329" t="n">
        <f aca="false" t="array" ref="BP18:BP18">IF(AND(BP$2&lt;&gt;0,TblTech[[#This Row],[Hour]:[Hour]]&gt;=BP$2),1,0)</f>
        <v>0</v>
      </c>
      <c r="BQ18" s="329" t="n">
        <f aca="false" t="array" ref="BQ18:BQ18">IF(AND(BQ$2&lt;&gt;0,TblTech[[#This Row],[Hour]:[Hour]]&gt;=BQ$2),1,0)</f>
        <v>0</v>
      </c>
      <c r="BR18" s="329" t="n">
        <f aca="false" t="array" ref="BR18:BR18">IF(AND(BR$2&lt;&gt;0,TblTech[[#This Row],[Hour]:[Hour]]&gt;=BR$2),1,0)</f>
        <v>0</v>
      </c>
      <c r="BS18" s="329" t="n">
        <f aca="false" t="array" ref="BS18:BS18">IF(AND(BS$2&lt;&gt;0,TblTech[[#This Row],[Hour]:[Hour]]&gt;=BS$2),1,0)</f>
        <v>0</v>
      </c>
      <c r="BT18" s="329" t="n">
        <f aca="false" t="array" ref="BT18:BT18">IF(AND(BT$2&lt;&gt;0,TblTech[[#This Row],[Hour]:[Hour]]&gt;=BT$2),1,0)</f>
        <v>0</v>
      </c>
      <c r="BU18" s="329" t="n">
        <f aca="false" t="array" ref="BU18:BU18">IF(AND(BU$2&lt;&gt;0,TblTech[[#This Row],[Hour]:[Hour]]&gt;=BU$2),1,0)</f>
        <v>0</v>
      </c>
      <c r="BV18" s="329" t="n">
        <f aca="false" t="array" ref="BV18:BV18">IF(AND(BV$2&lt;&gt;0,TblTech[[#This Row],[Hour]:[Hour]]&gt;=BV$2),1,0)</f>
        <v>0</v>
      </c>
      <c r="BW18" s="329" t="n">
        <f aca="false" t="array" ref="BW18:BW18">IF(AND(BW$2&lt;&gt;0,TblTech[[#This Row],[Hour]:[Hour]]&gt;=BW$2),1,0)</f>
        <v>0</v>
      </c>
      <c r="BX18" s="329" t="n">
        <f aca="false" t="array" ref="BX18:BX18">IF(AND(BX$2&lt;&gt;0,TblTech[[#This Row],[Hour]:[Hour]]&gt;=BX$2),1,0)</f>
        <v>0</v>
      </c>
      <c r="BY18" s="329" t="n">
        <f aca="false" t="array" ref="BY18:BY18">IF(AND(BY$2&lt;&gt;0,TblTech[[#This Row],[Hour]:[Hour]]&gt;=BY$2),1,0)</f>
        <v>0</v>
      </c>
      <c r="BZ18" s="329" t="n">
        <f aca="false" t="array" ref="BZ18:BZ18">IF(AND(BZ$2&lt;&gt;0,TblTech[[#This Row],[Hour]:[Hour]]&gt;=BZ$2),1,0)</f>
        <v>0</v>
      </c>
      <c r="CA18" s="330" t="n">
        <f aca="false">IFERROR(INDEX($H$4:$H$79,MATCH(INDEX(TblTech[[#Headers],[1-1]:[11-1]],1,MATCH(TblTech[[#This Row],[Hour]],$M$2:$BZ$2,0)),$G$4:$G$79,0)),)</f>
        <v>0</v>
      </c>
    </row>
    <row r="19" customFormat="false" ht="12.75" hidden="false" customHeight="false" outlineLevel="0" collapsed="false">
      <c r="A19" s="321" t="n">
        <f aca="false">TblRezone[[#This Row],[Hour]]</f>
        <v>16</v>
      </c>
      <c r="B19" s="322" t="n">
        <f aca="false">TblExplore[[#This Row],[Land-DB]]</f>
        <v>250</v>
      </c>
      <c r="C19" s="323" t="n">
        <f aca="false">TblProd[[#This Row],[Techpoints]]</f>
        <v>0</v>
      </c>
      <c r="D19" s="323" t="n">
        <f aca="false">TblProd[[#This Row],[Required]]</f>
        <v>3750</v>
      </c>
      <c r="E19" s="324"/>
      <c r="F19" s="325"/>
      <c r="G19" s="326" t="s">
        <v>538</v>
      </c>
      <c r="H19" s="327" t="s">
        <v>619</v>
      </c>
      <c r="I19" s="326" t="s">
        <v>620</v>
      </c>
      <c r="J19" s="322"/>
      <c r="K19" s="68" t="n">
        <f aca="false">IF(TblTech[[#This Row],[Sum of tech]]&lt;&gt;OFFSET(TblTech[[#This Row],[Sum of tech]],-1,0),1,0)</f>
        <v>0</v>
      </c>
      <c r="L19" s="328" t="n">
        <f aca="false">COUNTIF(TblTech[[#This Row],[1-1]:[11-1]],1)</f>
        <v>0</v>
      </c>
      <c r="M19" s="329" t="n">
        <f aca="false" t="array" ref="M19:M19">IF(AND(M$2&lt;&gt;0,TblTech[[#This Row],[Hour]:[Hour]]&gt;=M$2),1,0)</f>
        <v>0</v>
      </c>
      <c r="N19" s="329" t="n">
        <f aca="false" t="array" ref="N19:N19">IF(AND(N$2&lt;&gt;0,TblTech[[#This Row],[Hour]:[Hour]]&gt;=N$2),1,0)</f>
        <v>0</v>
      </c>
      <c r="O19" s="329" t="n">
        <f aca="false" t="array" ref="O19:O19">IF(AND(O$2&lt;&gt;0,TblTech[[#This Row],[Hour]:[Hour]]&gt;=O$2),1,0)</f>
        <v>0</v>
      </c>
      <c r="P19" s="329" t="n">
        <f aca="false" t="array" ref="P19:P19">IF(AND(P$2&lt;&gt;0,TblTech[[#This Row],[Hour]:[Hour]]&gt;=P$2),1,0)</f>
        <v>0</v>
      </c>
      <c r="Q19" s="329" t="n">
        <f aca="false" t="array" ref="Q19:Q19">IF(AND(Q$2&lt;&gt;0,TblTech[[#This Row],[Hour]:[Hour]]&gt;=Q$2),1,0)</f>
        <v>0</v>
      </c>
      <c r="R19" s="329" t="n">
        <f aca="false" t="array" ref="R19:R19">IF(AND(R$2&lt;&gt;0,TblTech[[#This Row],[Hour]:[Hour]]&gt;=R$2),1,0)</f>
        <v>0</v>
      </c>
      <c r="S19" s="329" t="n">
        <f aca="false" t="array" ref="S19:S19">IF(AND(S$2&lt;&gt;0,TblTech[[#This Row],[Hour]:[Hour]]&gt;=S$2),1,0)</f>
        <v>0</v>
      </c>
      <c r="T19" s="329" t="n">
        <f aca="false" t="array" ref="T19:T19">IF(AND(T$2&lt;&gt;0,TblTech[[#This Row],[Hour]:[Hour]]&gt;=T$2),1,0)</f>
        <v>0</v>
      </c>
      <c r="U19" s="329" t="n">
        <f aca="false" t="array" ref="U19:U19">IF(AND(U$2&lt;&gt;0,TblTech[[#This Row],[Hour]:[Hour]]&gt;=U$2),1,0)</f>
        <v>0</v>
      </c>
      <c r="V19" s="329" t="n">
        <f aca="false" t="array" ref="V19:V19">IF(AND(V$2&lt;&gt;0,TblTech[[#This Row],[Hour]:[Hour]]&gt;=V$2),1,0)</f>
        <v>0</v>
      </c>
      <c r="W19" s="329" t="n">
        <f aca="false" t="array" ref="W19:W19">IF(AND(W$2&lt;&gt;0,TblTech[[#This Row],[Hour]:[Hour]]&gt;=W$2),1,0)</f>
        <v>0</v>
      </c>
      <c r="X19" s="329" t="n">
        <f aca="false" t="array" ref="X19:X19">IF(AND(X$2&lt;&gt;0,TblTech[[#This Row],[Hour]:[Hour]]&gt;=X$2),1,0)</f>
        <v>0</v>
      </c>
      <c r="Y19" s="329" t="n">
        <f aca="false" t="array" ref="Y19:Y19">IF(AND(Y$2&lt;&gt;0,TblTech[[#This Row],[Hour]:[Hour]]&gt;=Y$2),1,0)</f>
        <v>0</v>
      </c>
      <c r="Z19" s="329" t="n">
        <f aca="false" t="array" ref="Z19:Z19">IF(AND(Z$2&lt;&gt;0,TblTech[[#This Row],[Hour]:[Hour]]&gt;=Z$2),1,0)</f>
        <v>0</v>
      </c>
      <c r="AA19" s="329" t="n">
        <f aca="false" t="array" ref="AA19:AA19">IF(AND(AA$2&lt;&gt;0,TblTech[[#This Row],[Hour]:[Hour]]&gt;=AA$2),1,0)</f>
        <v>0</v>
      </c>
      <c r="AB19" s="329" t="n">
        <f aca="false" t="array" ref="AB19:AB19">IF(AND(AB$2&lt;&gt;0,TblTech[[#This Row],[Hour]:[Hour]]&gt;=AB$2),1,0)</f>
        <v>0</v>
      </c>
      <c r="AC19" s="329" t="n">
        <f aca="false" t="array" ref="AC19:AC19">IF(AND(AC$2&lt;&gt;0,TblTech[[#This Row],[Hour]:[Hour]]&gt;=AC$2),1,0)</f>
        <v>0</v>
      </c>
      <c r="AD19" s="329" t="n">
        <f aca="false" t="array" ref="AD19:AD19">IF(AND(AD$2&lt;&gt;0,TblTech[[#This Row],[Hour]:[Hour]]&gt;=AD$2),1,0)</f>
        <v>0</v>
      </c>
      <c r="AE19" s="329" t="n">
        <f aca="false" t="array" ref="AE19:AE19">IF(AND(AE$2&lt;&gt;0,TblTech[[#This Row],[Hour]:[Hour]]&gt;=AE$2),1,0)</f>
        <v>0</v>
      </c>
      <c r="AF19" s="329" t="n">
        <f aca="false" t="array" ref="AF19:AF19">IF(AND(AF$2&lt;&gt;0,TblTech[[#This Row],[Hour]:[Hour]]&gt;=AF$2),1,0)</f>
        <v>0</v>
      </c>
      <c r="AG19" s="329" t="n">
        <f aca="false" t="array" ref="AG19:AG19">IF(AND(AG$2&lt;&gt;0,TblTech[[#This Row],[Hour]:[Hour]]&gt;=AG$2),1,0)</f>
        <v>0</v>
      </c>
      <c r="AH19" s="329" t="n">
        <f aca="false" t="array" ref="AH19:AH19">IF(AND(AH$2&lt;&gt;0,TblTech[[#This Row],[Hour]:[Hour]]&gt;=AH$2),1,0)</f>
        <v>0</v>
      </c>
      <c r="AI19" s="329" t="n">
        <f aca="false" t="array" ref="AI19:AI19">IF(AND(AI$2&lt;&gt;0,TblTech[[#This Row],[Hour]:[Hour]]&gt;=AI$2),1,0)</f>
        <v>0</v>
      </c>
      <c r="AJ19" s="329" t="n">
        <f aca="false" t="array" ref="AJ19:AJ19">IF(AND(AJ$2&lt;&gt;0,TblTech[[#This Row],[Hour]:[Hour]]&gt;=AJ$2),1,0)</f>
        <v>0</v>
      </c>
      <c r="AK19" s="329" t="n">
        <f aca="false" t="array" ref="AK19:AK19">IF(AND(AK$2&lt;&gt;0,TblTech[[#This Row],[Hour]:[Hour]]&gt;=AK$2),1,0)</f>
        <v>0</v>
      </c>
      <c r="AL19" s="329" t="n">
        <f aca="false" t="array" ref="AL19:AL19">IF(AND(AL$2&lt;&gt;0,TblTech[[#This Row],[Hour]:[Hour]]&gt;=AL$2),1,0)</f>
        <v>0</v>
      </c>
      <c r="AM19" s="329" t="n">
        <f aca="false" t="array" ref="AM19:AM19">IF(AND(AM$2&lt;&gt;0,TblTech[[#This Row],[Hour]:[Hour]]&gt;=AM$2),1,0)</f>
        <v>0</v>
      </c>
      <c r="AN19" s="329" t="n">
        <f aca="false" t="array" ref="AN19:AN19">IF(AND(AN$2&lt;&gt;0,TblTech[[#This Row],[Hour]:[Hour]]&gt;=AN$2),1,0)</f>
        <v>0</v>
      </c>
      <c r="AO19" s="329" t="n">
        <f aca="false" t="array" ref="AO19:AO19">IF(AND(AO$2&lt;&gt;0,TblTech[[#This Row],[Hour]:[Hour]]&gt;=AO$2),1,0)</f>
        <v>0</v>
      </c>
      <c r="AP19" s="329" t="n">
        <f aca="false" t="array" ref="AP19:AP19">IF(AND(AP$2&lt;&gt;0,TblTech[[#This Row],[Hour]:[Hour]]&gt;=AP$2),1,0)</f>
        <v>0</v>
      </c>
      <c r="AQ19" s="329" t="n">
        <f aca="false" t="array" ref="AQ19:AQ19">IF(AND(AQ$2&lt;&gt;0,TblTech[[#This Row],[Hour]:[Hour]]&gt;=AQ$2),1,0)</f>
        <v>0</v>
      </c>
      <c r="AR19" s="329" t="n">
        <f aca="false" t="array" ref="AR19:AR19">IF(AND(AR$2&lt;&gt;0,TblTech[[#This Row],[Hour]:[Hour]]&gt;=AR$2),1,0)</f>
        <v>0</v>
      </c>
      <c r="AS19" s="329" t="n">
        <f aca="false" t="array" ref="AS19:AS19">IF(AND(AS$2&lt;&gt;0,TblTech[[#This Row],[Hour]:[Hour]]&gt;=AS$2),1,0)</f>
        <v>0</v>
      </c>
      <c r="AT19" s="329" t="n">
        <f aca="false" t="array" ref="AT19:AT19">IF(AND(AT$2&lt;&gt;0,TblTech[[#This Row],[Hour]:[Hour]]&gt;=AT$2),1,0)</f>
        <v>0</v>
      </c>
      <c r="AU19" s="329" t="n">
        <f aca="false" t="array" ref="AU19:AU19">IF(AND(AU$2&lt;&gt;0,TblTech[[#This Row],[Hour]:[Hour]]&gt;=AU$2),1,0)</f>
        <v>0</v>
      </c>
      <c r="AV19" s="329" t="n">
        <f aca="false" t="array" ref="AV19:AV19">IF(AND(AV$2&lt;&gt;0,TblTech[[#This Row],[Hour]:[Hour]]&gt;=AV$2),1,0)</f>
        <v>0</v>
      </c>
      <c r="AW19" s="329" t="n">
        <f aca="false" t="array" ref="AW19:AW19">IF(AND(AW$2&lt;&gt;0,TblTech[[#This Row],[Hour]:[Hour]]&gt;=AW$2),1,0)</f>
        <v>0</v>
      </c>
      <c r="AX19" s="329" t="n">
        <f aca="false" t="array" ref="AX19:AX19">IF(AND(AX$2&lt;&gt;0,TblTech[[#This Row],[Hour]:[Hour]]&gt;=AX$2),1,0)</f>
        <v>0</v>
      </c>
      <c r="AY19" s="329" t="n">
        <f aca="false" t="array" ref="AY19:AY19">IF(AND(AY$2&lt;&gt;0,TblTech[[#This Row],[Hour]:[Hour]]&gt;=AY$2),1,0)</f>
        <v>0</v>
      </c>
      <c r="AZ19" s="329" t="n">
        <f aca="false" t="array" ref="AZ19:AZ19">IF(AND(AZ$2&lt;&gt;0,TblTech[[#This Row],[Hour]:[Hour]]&gt;=AZ$2),1,0)</f>
        <v>0</v>
      </c>
      <c r="BA19" s="329" t="n">
        <f aca="false" t="array" ref="BA19:BA19">IF(AND(BA$2&lt;&gt;0,TblTech[[#This Row],[Hour]:[Hour]]&gt;=BA$2),1,0)</f>
        <v>0</v>
      </c>
      <c r="BB19" s="329" t="n">
        <f aca="false" t="array" ref="BB19:BB19">IF(AND(BB$2&lt;&gt;0,TblTech[[#This Row],[Hour]:[Hour]]&gt;=BB$2),1,0)</f>
        <v>0</v>
      </c>
      <c r="BC19" s="329" t="n">
        <f aca="false" t="array" ref="BC19:BC19">IF(AND(BC$2&lt;&gt;0,TblTech[[#This Row],[Hour]:[Hour]]&gt;=BC$2),1,0)</f>
        <v>0</v>
      </c>
      <c r="BD19" s="329" t="n">
        <f aca="false" t="array" ref="BD19:BD19">IF(AND(BD$2&lt;&gt;0,TblTech[[#This Row],[Hour]:[Hour]]&gt;=BD$2),1,0)</f>
        <v>0</v>
      </c>
      <c r="BE19" s="329" t="n">
        <f aca="false" t="array" ref="BE19:BE19">IF(AND(BE$2&lt;&gt;0,TblTech[[#This Row],[Hour]:[Hour]]&gt;=BE$2),1,0)</f>
        <v>0</v>
      </c>
      <c r="BF19" s="329" t="n">
        <f aca="false" t="array" ref="BF19:BF19">IF(AND(BF$2&lt;&gt;0,TblTech[[#This Row],[Hour]:[Hour]]&gt;=BF$2),1,0)</f>
        <v>0</v>
      </c>
      <c r="BG19" s="329" t="n">
        <f aca="false" t="array" ref="BG19:BG19">IF(AND(BG$2&lt;&gt;0,TblTech[[#This Row],[Hour]:[Hour]]&gt;=BG$2),1,0)</f>
        <v>0</v>
      </c>
      <c r="BH19" s="329" t="n">
        <f aca="false" t="array" ref="BH19:BH19">IF(AND(BH$2&lt;&gt;0,TblTech[[#This Row],[Hour]:[Hour]]&gt;=BH$2),1,0)</f>
        <v>0</v>
      </c>
      <c r="BI19" s="329" t="n">
        <f aca="false" t="array" ref="BI19:BI19">IF(AND(BI$2&lt;&gt;0,TblTech[[#This Row],[Hour]:[Hour]]&gt;=BI$2),1,0)</f>
        <v>0</v>
      </c>
      <c r="BJ19" s="329" t="n">
        <f aca="false" t="array" ref="BJ19:BJ19">IF(AND(BJ$2&lt;&gt;0,TblTech[[#This Row],[Hour]:[Hour]]&gt;=BJ$2),1,0)</f>
        <v>0</v>
      </c>
      <c r="BK19" s="329" t="n">
        <f aca="false" t="array" ref="BK19:BK19">IF(AND(BK$2&lt;&gt;0,TblTech[[#This Row],[Hour]:[Hour]]&gt;=BK$2),1,0)</f>
        <v>0</v>
      </c>
      <c r="BL19" s="329" t="n">
        <f aca="false" t="array" ref="BL19:BL19">IF(AND(BL$2&lt;&gt;0,TblTech[[#This Row],[Hour]:[Hour]]&gt;=BL$2),1,0)</f>
        <v>0</v>
      </c>
      <c r="BM19" s="329" t="n">
        <f aca="false" t="array" ref="BM19:BM19">IF(AND(BM$2&lt;&gt;0,TblTech[[#This Row],[Hour]:[Hour]]&gt;=BM$2),1,0)</f>
        <v>0</v>
      </c>
      <c r="BN19" s="329" t="n">
        <f aca="false" t="array" ref="BN19:BN19">IF(AND(BN$2&lt;&gt;0,TblTech[[#This Row],[Hour]:[Hour]]&gt;=BN$2),1,0)</f>
        <v>0</v>
      </c>
      <c r="BO19" s="329" t="n">
        <f aca="false" t="array" ref="BO19:BO19">IF(AND(BO$2&lt;&gt;0,TblTech[[#This Row],[Hour]:[Hour]]&gt;=BO$2),1,0)</f>
        <v>0</v>
      </c>
      <c r="BP19" s="329" t="n">
        <f aca="false" t="array" ref="BP19:BP19">IF(AND(BP$2&lt;&gt;0,TblTech[[#This Row],[Hour]:[Hour]]&gt;=BP$2),1,0)</f>
        <v>0</v>
      </c>
      <c r="BQ19" s="329" t="n">
        <f aca="false" t="array" ref="BQ19:BQ19">IF(AND(BQ$2&lt;&gt;0,TblTech[[#This Row],[Hour]:[Hour]]&gt;=BQ$2),1,0)</f>
        <v>0</v>
      </c>
      <c r="BR19" s="329" t="n">
        <f aca="false" t="array" ref="BR19:BR19">IF(AND(BR$2&lt;&gt;0,TblTech[[#This Row],[Hour]:[Hour]]&gt;=BR$2),1,0)</f>
        <v>0</v>
      </c>
      <c r="BS19" s="329" t="n">
        <f aca="false" t="array" ref="BS19:BS19">IF(AND(BS$2&lt;&gt;0,TblTech[[#This Row],[Hour]:[Hour]]&gt;=BS$2),1,0)</f>
        <v>0</v>
      </c>
      <c r="BT19" s="329" t="n">
        <f aca="false" t="array" ref="BT19:BT19">IF(AND(BT$2&lt;&gt;0,TblTech[[#This Row],[Hour]:[Hour]]&gt;=BT$2),1,0)</f>
        <v>0</v>
      </c>
      <c r="BU19" s="329" t="n">
        <f aca="false" t="array" ref="BU19:BU19">IF(AND(BU$2&lt;&gt;0,TblTech[[#This Row],[Hour]:[Hour]]&gt;=BU$2),1,0)</f>
        <v>0</v>
      </c>
      <c r="BV19" s="329" t="n">
        <f aca="false" t="array" ref="BV19:BV19">IF(AND(BV$2&lt;&gt;0,TblTech[[#This Row],[Hour]:[Hour]]&gt;=BV$2),1,0)</f>
        <v>0</v>
      </c>
      <c r="BW19" s="329" t="n">
        <f aca="false" t="array" ref="BW19:BW19">IF(AND(BW$2&lt;&gt;0,TblTech[[#This Row],[Hour]:[Hour]]&gt;=BW$2),1,0)</f>
        <v>0</v>
      </c>
      <c r="BX19" s="329" t="n">
        <f aca="false" t="array" ref="BX19:BX19">IF(AND(BX$2&lt;&gt;0,TblTech[[#This Row],[Hour]:[Hour]]&gt;=BX$2),1,0)</f>
        <v>0</v>
      </c>
      <c r="BY19" s="329" t="n">
        <f aca="false" t="array" ref="BY19:BY19">IF(AND(BY$2&lt;&gt;0,TblTech[[#This Row],[Hour]:[Hour]]&gt;=BY$2),1,0)</f>
        <v>0</v>
      </c>
      <c r="BZ19" s="329" t="n">
        <f aca="false" t="array" ref="BZ19:BZ19">IF(AND(BZ$2&lt;&gt;0,TblTech[[#This Row],[Hour]:[Hour]]&gt;=BZ$2),1,0)</f>
        <v>0</v>
      </c>
      <c r="CA19" s="330" t="n">
        <f aca="false">IFERROR(INDEX($H$4:$H$79,MATCH(INDEX(TblTech[[#Headers],[1-1]:[11-1]],1,MATCH(TblTech[[#This Row],[Hour]],$M$2:$BZ$2,0)),$G$4:$G$79,0)),)</f>
        <v>0</v>
      </c>
    </row>
    <row r="20" customFormat="false" ht="12.75" hidden="false" customHeight="false" outlineLevel="0" collapsed="false">
      <c r="A20" s="321" t="n">
        <f aca="false">TblRezone[[#This Row],[Hour]]</f>
        <v>17</v>
      </c>
      <c r="B20" s="322" t="n">
        <f aca="false">TblExplore[[#This Row],[Land-DB]]</f>
        <v>250</v>
      </c>
      <c r="C20" s="323" t="n">
        <f aca="false">TblProd[[#This Row],[Techpoints]]</f>
        <v>0</v>
      </c>
      <c r="D20" s="323" t="n">
        <f aca="false">TblProd[[#This Row],[Required]]</f>
        <v>3750</v>
      </c>
      <c r="E20" s="324"/>
      <c r="F20" s="325"/>
      <c r="G20" s="326" t="s">
        <v>539</v>
      </c>
      <c r="H20" s="327" t="s">
        <v>621</v>
      </c>
      <c r="I20" s="326" t="s">
        <v>622</v>
      </c>
      <c r="J20" s="322"/>
      <c r="K20" s="68" t="n">
        <f aca="false">IF(TblTech[[#This Row],[Sum of tech]]&lt;&gt;OFFSET(TblTech[[#This Row],[Sum of tech]],-1,0),1,0)</f>
        <v>0</v>
      </c>
      <c r="L20" s="328" t="n">
        <f aca="false">COUNTIF(TblTech[[#This Row],[1-1]:[11-1]],1)</f>
        <v>0</v>
      </c>
      <c r="M20" s="329" t="n">
        <f aca="false" t="array" ref="M20:M20">IF(AND(M$2&lt;&gt;0,TblTech[[#This Row],[Hour]:[Hour]]&gt;=M$2),1,0)</f>
        <v>0</v>
      </c>
      <c r="N20" s="329" t="n">
        <f aca="false" t="array" ref="N20:N20">IF(AND(N$2&lt;&gt;0,TblTech[[#This Row],[Hour]:[Hour]]&gt;=N$2),1,0)</f>
        <v>0</v>
      </c>
      <c r="O20" s="329" t="n">
        <f aca="false" t="array" ref="O20:O20">IF(AND(O$2&lt;&gt;0,TblTech[[#This Row],[Hour]:[Hour]]&gt;=O$2),1,0)</f>
        <v>0</v>
      </c>
      <c r="P20" s="329" t="n">
        <f aca="false" t="array" ref="P20:P20">IF(AND(P$2&lt;&gt;0,TblTech[[#This Row],[Hour]:[Hour]]&gt;=P$2),1,0)</f>
        <v>0</v>
      </c>
      <c r="Q20" s="329" t="n">
        <f aca="false" t="array" ref="Q20:Q20">IF(AND(Q$2&lt;&gt;0,TblTech[[#This Row],[Hour]:[Hour]]&gt;=Q$2),1,0)</f>
        <v>0</v>
      </c>
      <c r="R20" s="329" t="n">
        <f aca="false" t="array" ref="R20:R20">IF(AND(R$2&lt;&gt;0,TblTech[[#This Row],[Hour]:[Hour]]&gt;=R$2),1,0)</f>
        <v>0</v>
      </c>
      <c r="S20" s="329" t="n">
        <f aca="false" t="array" ref="S20:S20">IF(AND(S$2&lt;&gt;0,TblTech[[#This Row],[Hour]:[Hour]]&gt;=S$2),1,0)</f>
        <v>0</v>
      </c>
      <c r="T20" s="329" t="n">
        <f aca="false" t="array" ref="T20:T20">IF(AND(T$2&lt;&gt;0,TblTech[[#This Row],[Hour]:[Hour]]&gt;=T$2),1,0)</f>
        <v>0</v>
      </c>
      <c r="U20" s="329" t="n">
        <f aca="false" t="array" ref="U20:U20">IF(AND(U$2&lt;&gt;0,TblTech[[#This Row],[Hour]:[Hour]]&gt;=U$2),1,0)</f>
        <v>0</v>
      </c>
      <c r="V20" s="329" t="n">
        <f aca="false" t="array" ref="V20:V20">IF(AND(V$2&lt;&gt;0,TblTech[[#This Row],[Hour]:[Hour]]&gt;=V$2),1,0)</f>
        <v>0</v>
      </c>
      <c r="W20" s="329" t="n">
        <f aca="false" t="array" ref="W20:W20">IF(AND(W$2&lt;&gt;0,TblTech[[#This Row],[Hour]:[Hour]]&gt;=W$2),1,0)</f>
        <v>0</v>
      </c>
      <c r="X20" s="329" t="n">
        <f aca="false" t="array" ref="X20:X20">IF(AND(X$2&lt;&gt;0,TblTech[[#This Row],[Hour]:[Hour]]&gt;=X$2),1,0)</f>
        <v>0</v>
      </c>
      <c r="Y20" s="329" t="n">
        <f aca="false" t="array" ref="Y20:Y20">IF(AND(Y$2&lt;&gt;0,TblTech[[#This Row],[Hour]:[Hour]]&gt;=Y$2),1,0)</f>
        <v>0</v>
      </c>
      <c r="Z20" s="329" t="n">
        <f aca="false" t="array" ref="Z20:Z20">IF(AND(Z$2&lt;&gt;0,TblTech[[#This Row],[Hour]:[Hour]]&gt;=Z$2),1,0)</f>
        <v>0</v>
      </c>
      <c r="AA20" s="329" t="n">
        <f aca="false" t="array" ref="AA20:AA20">IF(AND(AA$2&lt;&gt;0,TblTech[[#This Row],[Hour]:[Hour]]&gt;=AA$2),1,0)</f>
        <v>0</v>
      </c>
      <c r="AB20" s="329" t="n">
        <f aca="false" t="array" ref="AB20:AB20">IF(AND(AB$2&lt;&gt;0,TblTech[[#This Row],[Hour]:[Hour]]&gt;=AB$2),1,0)</f>
        <v>0</v>
      </c>
      <c r="AC20" s="329" t="n">
        <f aca="false" t="array" ref="AC20:AC20">IF(AND(AC$2&lt;&gt;0,TblTech[[#This Row],[Hour]:[Hour]]&gt;=AC$2),1,0)</f>
        <v>0</v>
      </c>
      <c r="AD20" s="329" t="n">
        <f aca="false" t="array" ref="AD20:AD20">IF(AND(AD$2&lt;&gt;0,TblTech[[#This Row],[Hour]:[Hour]]&gt;=AD$2),1,0)</f>
        <v>0</v>
      </c>
      <c r="AE20" s="329" t="n">
        <f aca="false" t="array" ref="AE20:AE20">IF(AND(AE$2&lt;&gt;0,TblTech[[#This Row],[Hour]:[Hour]]&gt;=AE$2),1,0)</f>
        <v>0</v>
      </c>
      <c r="AF20" s="329" t="n">
        <f aca="false" t="array" ref="AF20:AF20">IF(AND(AF$2&lt;&gt;0,TblTech[[#This Row],[Hour]:[Hour]]&gt;=AF$2),1,0)</f>
        <v>0</v>
      </c>
      <c r="AG20" s="329" t="n">
        <f aca="false" t="array" ref="AG20:AG20">IF(AND(AG$2&lt;&gt;0,TblTech[[#This Row],[Hour]:[Hour]]&gt;=AG$2),1,0)</f>
        <v>0</v>
      </c>
      <c r="AH20" s="329" t="n">
        <f aca="false" t="array" ref="AH20:AH20">IF(AND(AH$2&lt;&gt;0,TblTech[[#This Row],[Hour]:[Hour]]&gt;=AH$2),1,0)</f>
        <v>0</v>
      </c>
      <c r="AI20" s="329" t="n">
        <f aca="false" t="array" ref="AI20:AI20">IF(AND(AI$2&lt;&gt;0,TblTech[[#This Row],[Hour]:[Hour]]&gt;=AI$2),1,0)</f>
        <v>0</v>
      </c>
      <c r="AJ20" s="329" t="n">
        <f aca="false" t="array" ref="AJ20:AJ20">IF(AND(AJ$2&lt;&gt;0,TblTech[[#This Row],[Hour]:[Hour]]&gt;=AJ$2),1,0)</f>
        <v>0</v>
      </c>
      <c r="AK20" s="329" t="n">
        <f aca="false" t="array" ref="AK20:AK20">IF(AND(AK$2&lt;&gt;0,TblTech[[#This Row],[Hour]:[Hour]]&gt;=AK$2),1,0)</f>
        <v>0</v>
      </c>
      <c r="AL20" s="329" t="n">
        <f aca="false" t="array" ref="AL20:AL20">IF(AND(AL$2&lt;&gt;0,TblTech[[#This Row],[Hour]:[Hour]]&gt;=AL$2),1,0)</f>
        <v>0</v>
      </c>
      <c r="AM20" s="329" t="n">
        <f aca="false" t="array" ref="AM20:AM20">IF(AND(AM$2&lt;&gt;0,TblTech[[#This Row],[Hour]:[Hour]]&gt;=AM$2),1,0)</f>
        <v>0</v>
      </c>
      <c r="AN20" s="329" t="n">
        <f aca="false" t="array" ref="AN20:AN20">IF(AND(AN$2&lt;&gt;0,TblTech[[#This Row],[Hour]:[Hour]]&gt;=AN$2),1,0)</f>
        <v>0</v>
      </c>
      <c r="AO20" s="329" t="n">
        <f aca="false" t="array" ref="AO20:AO20">IF(AND(AO$2&lt;&gt;0,TblTech[[#This Row],[Hour]:[Hour]]&gt;=AO$2),1,0)</f>
        <v>0</v>
      </c>
      <c r="AP20" s="329" t="n">
        <f aca="false" t="array" ref="AP20:AP20">IF(AND(AP$2&lt;&gt;0,TblTech[[#This Row],[Hour]:[Hour]]&gt;=AP$2),1,0)</f>
        <v>0</v>
      </c>
      <c r="AQ20" s="329" t="n">
        <f aca="false" t="array" ref="AQ20:AQ20">IF(AND(AQ$2&lt;&gt;0,TblTech[[#This Row],[Hour]:[Hour]]&gt;=AQ$2),1,0)</f>
        <v>0</v>
      </c>
      <c r="AR20" s="329" t="n">
        <f aca="false" t="array" ref="AR20:AR20">IF(AND(AR$2&lt;&gt;0,TblTech[[#This Row],[Hour]:[Hour]]&gt;=AR$2),1,0)</f>
        <v>0</v>
      </c>
      <c r="AS20" s="329" t="n">
        <f aca="false" t="array" ref="AS20:AS20">IF(AND(AS$2&lt;&gt;0,TblTech[[#This Row],[Hour]:[Hour]]&gt;=AS$2),1,0)</f>
        <v>0</v>
      </c>
      <c r="AT20" s="329" t="n">
        <f aca="false" t="array" ref="AT20:AT20">IF(AND(AT$2&lt;&gt;0,TblTech[[#This Row],[Hour]:[Hour]]&gt;=AT$2),1,0)</f>
        <v>0</v>
      </c>
      <c r="AU20" s="329" t="n">
        <f aca="false" t="array" ref="AU20:AU20">IF(AND(AU$2&lt;&gt;0,TblTech[[#This Row],[Hour]:[Hour]]&gt;=AU$2),1,0)</f>
        <v>0</v>
      </c>
      <c r="AV20" s="329" t="n">
        <f aca="false" t="array" ref="AV20:AV20">IF(AND(AV$2&lt;&gt;0,TblTech[[#This Row],[Hour]:[Hour]]&gt;=AV$2),1,0)</f>
        <v>0</v>
      </c>
      <c r="AW20" s="329" t="n">
        <f aca="false" t="array" ref="AW20:AW20">IF(AND(AW$2&lt;&gt;0,TblTech[[#This Row],[Hour]:[Hour]]&gt;=AW$2),1,0)</f>
        <v>0</v>
      </c>
      <c r="AX20" s="329" t="n">
        <f aca="false" t="array" ref="AX20:AX20">IF(AND(AX$2&lt;&gt;0,TblTech[[#This Row],[Hour]:[Hour]]&gt;=AX$2),1,0)</f>
        <v>0</v>
      </c>
      <c r="AY20" s="329" t="n">
        <f aca="false" t="array" ref="AY20:AY20">IF(AND(AY$2&lt;&gt;0,TblTech[[#This Row],[Hour]:[Hour]]&gt;=AY$2),1,0)</f>
        <v>0</v>
      </c>
      <c r="AZ20" s="329" t="n">
        <f aca="false" t="array" ref="AZ20:AZ20">IF(AND(AZ$2&lt;&gt;0,TblTech[[#This Row],[Hour]:[Hour]]&gt;=AZ$2),1,0)</f>
        <v>0</v>
      </c>
      <c r="BA20" s="329" t="n">
        <f aca="false" t="array" ref="BA20:BA20">IF(AND(BA$2&lt;&gt;0,TblTech[[#This Row],[Hour]:[Hour]]&gt;=BA$2),1,0)</f>
        <v>0</v>
      </c>
      <c r="BB20" s="329" t="n">
        <f aca="false" t="array" ref="BB20:BB20">IF(AND(BB$2&lt;&gt;0,TblTech[[#This Row],[Hour]:[Hour]]&gt;=BB$2),1,0)</f>
        <v>0</v>
      </c>
      <c r="BC20" s="329" t="n">
        <f aca="false" t="array" ref="BC20:BC20">IF(AND(BC$2&lt;&gt;0,TblTech[[#This Row],[Hour]:[Hour]]&gt;=BC$2),1,0)</f>
        <v>0</v>
      </c>
      <c r="BD20" s="329" t="n">
        <f aca="false" t="array" ref="BD20:BD20">IF(AND(BD$2&lt;&gt;0,TblTech[[#This Row],[Hour]:[Hour]]&gt;=BD$2),1,0)</f>
        <v>0</v>
      </c>
      <c r="BE20" s="329" t="n">
        <f aca="false" t="array" ref="BE20:BE20">IF(AND(BE$2&lt;&gt;0,TblTech[[#This Row],[Hour]:[Hour]]&gt;=BE$2),1,0)</f>
        <v>0</v>
      </c>
      <c r="BF20" s="329" t="n">
        <f aca="false" t="array" ref="BF20:BF20">IF(AND(BF$2&lt;&gt;0,TblTech[[#This Row],[Hour]:[Hour]]&gt;=BF$2),1,0)</f>
        <v>0</v>
      </c>
      <c r="BG20" s="329" t="n">
        <f aca="false" t="array" ref="BG20:BG20">IF(AND(BG$2&lt;&gt;0,TblTech[[#This Row],[Hour]:[Hour]]&gt;=BG$2),1,0)</f>
        <v>0</v>
      </c>
      <c r="BH20" s="329" t="n">
        <f aca="false" t="array" ref="BH20:BH20">IF(AND(BH$2&lt;&gt;0,TblTech[[#This Row],[Hour]:[Hour]]&gt;=BH$2),1,0)</f>
        <v>0</v>
      </c>
      <c r="BI20" s="329" t="n">
        <f aca="false" t="array" ref="BI20:BI20">IF(AND(BI$2&lt;&gt;0,TblTech[[#This Row],[Hour]:[Hour]]&gt;=BI$2),1,0)</f>
        <v>0</v>
      </c>
      <c r="BJ20" s="329" t="n">
        <f aca="false" t="array" ref="BJ20:BJ20">IF(AND(BJ$2&lt;&gt;0,TblTech[[#This Row],[Hour]:[Hour]]&gt;=BJ$2),1,0)</f>
        <v>0</v>
      </c>
      <c r="BK20" s="329" t="n">
        <f aca="false" t="array" ref="BK20:BK20">IF(AND(BK$2&lt;&gt;0,TblTech[[#This Row],[Hour]:[Hour]]&gt;=BK$2),1,0)</f>
        <v>0</v>
      </c>
      <c r="BL20" s="329" t="n">
        <f aca="false" t="array" ref="BL20:BL20">IF(AND(BL$2&lt;&gt;0,TblTech[[#This Row],[Hour]:[Hour]]&gt;=BL$2),1,0)</f>
        <v>0</v>
      </c>
      <c r="BM20" s="329" t="n">
        <f aca="false" t="array" ref="BM20:BM20">IF(AND(BM$2&lt;&gt;0,TblTech[[#This Row],[Hour]:[Hour]]&gt;=BM$2),1,0)</f>
        <v>0</v>
      </c>
      <c r="BN20" s="329" t="n">
        <f aca="false" t="array" ref="BN20:BN20">IF(AND(BN$2&lt;&gt;0,TblTech[[#This Row],[Hour]:[Hour]]&gt;=BN$2),1,0)</f>
        <v>0</v>
      </c>
      <c r="BO20" s="329" t="n">
        <f aca="false" t="array" ref="BO20:BO20">IF(AND(BO$2&lt;&gt;0,TblTech[[#This Row],[Hour]:[Hour]]&gt;=BO$2),1,0)</f>
        <v>0</v>
      </c>
      <c r="BP20" s="329" t="n">
        <f aca="false" t="array" ref="BP20:BP20">IF(AND(BP$2&lt;&gt;0,TblTech[[#This Row],[Hour]:[Hour]]&gt;=BP$2),1,0)</f>
        <v>0</v>
      </c>
      <c r="BQ20" s="329" t="n">
        <f aca="false" t="array" ref="BQ20:BQ20">IF(AND(BQ$2&lt;&gt;0,TblTech[[#This Row],[Hour]:[Hour]]&gt;=BQ$2),1,0)</f>
        <v>0</v>
      </c>
      <c r="BR20" s="329" t="n">
        <f aca="false" t="array" ref="BR20:BR20">IF(AND(BR$2&lt;&gt;0,TblTech[[#This Row],[Hour]:[Hour]]&gt;=BR$2),1,0)</f>
        <v>0</v>
      </c>
      <c r="BS20" s="329" t="n">
        <f aca="false" t="array" ref="BS20:BS20">IF(AND(BS$2&lt;&gt;0,TblTech[[#This Row],[Hour]:[Hour]]&gt;=BS$2),1,0)</f>
        <v>0</v>
      </c>
      <c r="BT20" s="329" t="n">
        <f aca="false" t="array" ref="BT20:BT20">IF(AND(BT$2&lt;&gt;0,TblTech[[#This Row],[Hour]:[Hour]]&gt;=BT$2),1,0)</f>
        <v>0</v>
      </c>
      <c r="BU20" s="329" t="n">
        <f aca="false" t="array" ref="BU20:BU20">IF(AND(BU$2&lt;&gt;0,TblTech[[#This Row],[Hour]:[Hour]]&gt;=BU$2),1,0)</f>
        <v>0</v>
      </c>
      <c r="BV20" s="329" t="n">
        <f aca="false" t="array" ref="BV20:BV20">IF(AND(BV$2&lt;&gt;0,TblTech[[#This Row],[Hour]:[Hour]]&gt;=BV$2),1,0)</f>
        <v>0</v>
      </c>
      <c r="BW20" s="329" t="n">
        <f aca="false" t="array" ref="BW20:BW20">IF(AND(BW$2&lt;&gt;0,TblTech[[#This Row],[Hour]:[Hour]]&gt;=BW$2),1,0)</f>
        <v>0</v>
      </c>
      <c r="BX20" s="329" t="n">
        <f aca="false" t="array" ref="BX20:BX20">IF(AND(BX$2&lt;&gt;0,TblTech[[#This Row],[Hour]:[Hour]]&gt;=BX$2),1,0)</f>
        <v>0</v>
      </c>
      <c r="BY20" s="329" t="n">
        <f aca="false" t="array" ref="BY20:BY20">IF(AND(BY$2&lt;&gt;0,TblTech[[#This Row],[Hour]:[Hour]]&gt;=BY$2),1,0)</f>
        <v>0</v>
      </c>
      <c r="BZ20" s="329" t="n">
        <f aca="false" t="array" ref="BZ20:BZ20">IF(AND(BZ$2&lt;&gt;0,TblTech[[#This Row],[Hour]:[Hour]]&gt;=BZ$2),1,0)</f>
        <v>0</v>
      </c>
      <c r="CA20" s="330" t="n">
        <f aca="false">IFERROR(INDEX($H$4:$H$79,MATCH(INDEX(TblTech[[#Headers],[1-1]:[11-1]],1,MATCH(TblTech[[#This Row],[Hour]],$M$2:$BZ$2,0)),$G$4:$G$79,0)),)</f>
        <v>0</v>
      </c>
    </row>
    <row r="21" customFormat="false" ht="12.75" hidden="false" customHeight="false" outlineLevel="0" collapsed="false">
      <c r="A21" s="321" t="n">
        <f aca="false">TblRezone[[#This Row],[Hour]]</f>
        <v>18</v>
      </c>
      <c r="B21" s="322" t="n">
        <f aca="false">TblExplore[[#This Row],[Land-DB]]</f>
        <v>274</v>
      </c>
      <c r="C21" s="323" t="n">
        <f aca="false">TblProd[[#This Row],[Techpoints]]</f>
        <v>0</v>
      </c>
      <c r="D21" s="323" t="n">
        <f aca="false">TblProd[[#This Row],[Required]]</f>
        <v>3750</v>
      </c>
      <c r="E21" s="324"/>
      <c r="F21" s="325"/>
      <c r="G21" s="326" t="s">
        <v>540</v>
      </c>
      <c r="H21" s="327" t="s">
        <v>623</v>
      </c>
      <c r="I21" s="326" t="s">
        <v>624</v>
      </c>
      <c r="J21" s="322"/>
      <c r="K21" s="68" t="n">
        <f aca="false">IF(TblTech[[#This Row],[Sum of tech]]&lt;&gt;OFFSET(TblTech[[#This Row],[Sum of tech]],-1,0),1,0)</f>
        <v>0</v>
      </c>
      <c r="L21" s="328" t="n">
        <f aca="false">COUNTIF(TblTech[[#This Row],[1-1]:[11-1]],1)</f>
        <v>0</v>
      </c>
      <c r="M21" s="329" t="n">
        <f aca="false" t="array" ref="M21:M21">IF(AND(M$2&lt;&gt;0,TblTech[[#This Row],[Hour]:[Hour]]&gt;=M$2),1,0)</f>
        <v>0</v>
      </c>
      <c r="N21" s="329" t="n">
        <f aca="false" t="array" ref="N21:N21">IF(AND(N$2&lt;&gt;0,TblTech[[#This Row],[Hour]:[Hour]]&gt;=N$2),1,0)</f>
        <v>0</v>
      </c>
      <c r="O21" s="329" t="n">
        <f aca="false" t="array" ref="O21:O21">IF(AND(O$2&lt;&gt;0,TblTech[[#This Row],[Hour]:[Hour]]&gt;=O$2),1,0)</f>
        <v>0</v>
      </c>
      <c r="P21" s="329" t="n">
        <f aca="false" t="array" ref="P21:P21">IF(AND(P$2&lt;&gt;0,TblTech[[#This Row],[Hour]:[Hour]]&gt;=P$2),1,0)</f>
        <v>0</v>
      </c>
      <c r="Q21" s="329" t="n">
        <f aca="false" t="array" ref="Q21:Q21">IF(AND(Q$2&lt;&gt;0,TblTech[[#This Row],[Hour]:[Hour]]&gt;=Q$2),1,0)</f>
        <v>0</v>
      </c>
      <c r="R21" s="329" t="n">
        <f aca="false" t="array" ref="R21:R21">IF(AND(R$2&lt;&gt;0,TblTech[[#This Row],[Hour]:[Hour]]&gt;=R$2),1,0)</f>
        <v>0</v>
      </c>
      <c r="S21" s="329" t="n">
        <f aca="false" t="array" ref="S21:S21">IF(AND(S$2&lt;&gt;0,TblTech[[#This Row],[Hour]:[Hour]]&gt;=S$2),1,0)</f>
        <v>0</v>
      </c>
      <c r="T21" s="329" t="n">
        <f aca="false" t="array" ref="T21:T21">IF(AND(T$2&lt;&gt;0,TblTech[[#This Row],[Hour]:[Hour]]&gt;=T$2),1,0)</f>
        <v>0</v>
      </c>
      <c r="U21" s="329" t="n">
        <f aca="false" t="array" ref="U21:U21">IF(AND(U$2&lt;&gt;0,TblTech[[#This Row],[Hour]:[Hour]]&gt;=U$2),1,0)</f>
        <v>0</v>
      </c>
      <c r="V21" s="329" t="n">
        <f aca="false" t="array" ref="V21:V21">IF(AND(V$2&lt;&gt;0,TblTech[[#This Row],[Hour]:[Hour]]&gt;=V$2),1,0)</f>
        <v>0</v>
      </c>
      <c r="W21" s="329" t="n">
        <f aca="false" t="array" ref="W21:W21">IF(AND(W$2&lt;&gt;0,TblTech[[#This Row],[Hour]:[Hour]]&gt;=W$2),1,0)</f>
        <v>0</v>
      </c>
      <c r="X21" s="329" t="n">
        <f aca="false" t="array" ref="X21:X21">IF(AND(X$2&lt;&gt;0,TblTech[[#This Row],[Hour]:[Hour]]&gt;=X$2),1,0)</f>
        <v>0</v>
      </c>
      <c r="Y21" s="329" t="n">
        <f aca="false" t="array" ref="Y21:Y21">IF(AND(Y$2&lt;&gt;0,TblTech[[#This Row],[Hour]:[Hour]]&gt;=Y$2),1,0)</f>
        <v>0</v>
      </c>
      <c r="Z21" s="329" t="n">
        <f aca="false" t="array" ref="Z21:Z21">IF(AND(Z$2&lt;&gt;0,TblTech[[#This Row],[Hour]:[Hour]]&gt;=Z$2),1,0)</f>
        <v>0</v>
      </c>
      <c r="AA21" s="329" t="n">
        <f aca="false" t="array" ref="AA21:AA21">IF(AND(AA$2&lt;&gt;0,TblTech[[#This Row],[Hour]:[Hour]]&gt;=AA$2),1,0)</f>
        <v>0</v>
      </c>
      <c r="AB21" s="329" t="n">
        <f aca="false" t="array" ref="AB21:AB21">IF(AND(AB$2&lt;&gt;0,TblTech[[#This Row],[Hour]:[Hour]]&gt;=AB$2),1,0)</f>
        <v>0</v>
      </c>
      <c r="AC21" s="329" t="n">
        <f aca="false" t="array" ref="AC21:AC21">IF(AND(AC$2&lt;&gt;0,TblTech[[#This Row],[Hour]:[Hour]]&gt;=AC$2),1,0)</f>
        <v>0</v>
      </c>
      <c r="AD21" s="329" t="n">
        <f aca="false" t="array" ref="AD21:AD21">IF(AND(AD$2&lt;&gt;0,TblTech[[#This Row],[Hour]:[Hour]]&gt;=AD$2),1,0)</f>
        <v>0</v>
      </c>
      <c r="AE21" s="329" t="n">
        <f aca="false" t="array" ref="AE21:AE21">IF(AND(AE$2&lt;&gt;0,TblTech[[#This Row],[Hour]:[Hour]]&gt;=AE$2),1,0)</f>
        <v>0</v>
      </c>
      <c r="AF21" s="329" t="n">
        <f aca="false" t="array" ref="AF21:AF21">IF(AND(AF$2&lt;&gt;0,TblTech[[#This Row],[Hour]:[Hour]]&gt;=AF$2),1,0)</f>
        <v>0</v>
      </c>
      <c r="AG21" s="329" t="n">
        <f aca="false" t="array" ref="AG21:AG21">IF(AND(AG$2&lt;&gt;0,TblTech[[#This Row],[Hour]:[Hour]]&gt;=AG$2),1,0)</f>
        <v>0</v>
      </c>
      <c r="AH21" s="329" t="n">
        <f aca="false" t="array" ref="AH21:AH21">IF(AND(AH$2&lt;&gt;0,TblTech[[#This Row],[Hour]:[Hour]]&gt;=AH$2),1,0)</f>
        <v>0</v>
      </c>
      <c r="AI21" s="329" t="n">
        <f aca="false" t="array" ref="AI21:AI21">IF(AND(AI$2&lt;&gt;0,TblTech[[#This Row],[Hour]:[Hour]]&gt;=AI$2),1,0)</f>
        <v>0</v>
      </c>
      <c r="AJ21" s="329" t="n">
        <f aca="false" t="array" ref="AJ21:AJ21">IF(AND(AJ$2&lt;&gt;0,TblTech[[#This Row],[Hour]:[Hour]]&gt;=AJ$2),1,0)</f>
        <v>0</v>
      </c>
      <c r="AK21" s="329" t="n">
        <f aca="false" t="array" ref="AK21:AK21">IF(AND(AK$2&lt;&gt;0,TblTech[[#This Row],[Hour]:[Hour]]&gt;=AK$2),1,0)</f>
        <v>0</v>
      </c>
      <c r="AL21" s="329" t="n">
        <f aca="false" t="array" ref="AL21:AL21">IF(AND(AL$2&lt;&gt;0,TblTech[[#This Row],[Hour]:[Hour]]&gt;=AL$2),1,0)</f>
        <v>0</v>
      </c>
      <c r="AM21" s="329" t="n">
        <f aca="false" t="array" ref="AM21:AM21">IF(AND(AM$2&lt;&gt;0,TblTech[[#This Row],[Hour]:[Hour]]&gt;=AM$2),1,0)</f>
        <v>0</v>
      </c>
      <c r="AN21" s="329" t="n">
        <f aca="false" t="array" ref="AN21:AN21">IF(AND(AN$2&lt;&gt;0,TblTech[[#This Row],[Hour]:[Hour]]&gt;=AN$2),1,0)</f>
        <v>0</v>
      </c>
      <c r="AO21" s="329" t="n">
        <f aca="false" t="array" ref="AO21:AO21">IF(AND(AO$2&lt;&gt;0,TblTech[[#This Row],[Hour]:[Hour]]&gt;=AO$2),1,0)</f>
        <v>0</v>
      </c>
      <c r="AP21" s="329" t="n">
        <f aca="false" t="array" ref="AP21:AP21">IF(AND(AP$2&lt;&gt;0,TblTech[[#This Row],[Hour]:[Hour]]&gt;=AP$2),1,0)</f>
        <v>0</v>
      </c>
      <c r="AQ21" s="329" t="n">
        <f aca="false" t="array" ref="AQ21:AQ21">IF(AND(AQ$2&lt;&gt;0,TblTech[[#This Row],[Hour]:[Hour]]&gt;=AQ$2),1,0)</f>
        <v>0</v>
      </c>
      <c r="AR21" s="329" t="n">
        <f aca="false" t="array" ref="AR21:AR21">IF(AND(AR$2&lt;&gt;0,TblTech[[#This Row],[Hour]:[Hour]]&gt;=AR$2),1,0)</f>
        <v>0</v>
      </c>
      <c r="AS21" s="329" t="n">
        <f aca="false" t="array" ref="AS21:AS21">IF(AND(AS$2&lt;&gt;0,TblTech[[#This Row],[Hour]:[Hour]]&gt;=AS$2),1,0)</f>
        <v>0</v>
      </c>
      <c r="AT21" s="329" t="n">
        <f aca="false" t="array" ref="AT21:AT21">IF(AND(AT$2&lt;&gt;0,TblTech[[#This Row],[Hour]:[Hour]]&gt;=AT$2),1,0)</f>
        <v>0</v>
      </c>
      <c r="AU21" s="329" t="n">
        <f aca="false" t="array" ref="AU21:AU21">IF(AND(AU$2&lt;&gt;0,TblTech[[#This Row],[Hour]:[Hour]]&gt;=AU$2),1,0)</f>
        <v>0</v>
      </c>
      <c r="AV21" s="329" t="n">
        <f aca="false" t="array" ref="AV21:AV21">IF(AND(AV$2&lt;&gt;0,TblTech[[#This Row],[Hour]:[Hour]]&gt;=AV$2),1,0)</f>
        <v>0</v>
      </c>
      <c r="AW21" s="329" t="n">
        <f aca="false" t="array" ref="AW21:AW21">IF(AND(AW$2&lt;&gt;0,TblTech[[#This Row],[Hour]:[Hour]]&gt;=AW$2),1,0)</f>
        <v>0</v>
      </c>
      <c r="AX21" s="329" t="n">
        <f aca="false" t="array" ref="AX21:AX21">IF(AND(AX$2&lt;&gt;0,TblTech[[#This Row],[Hour]:[Hour]]&gt;=AX$2),1,0)</f>
        <v>0</v>
      </c>
      <c r="AY21" s="329" t="n">
        <f aca="false" t="array" ref="AY21:AY21">IF(AND(AY$2&lt;&gt;0,TblTech[[#This Row],[Hour]:[Hour]]&gt;=AY$2),1,0)</f>
        <v>0</v>
      </c>
      <c r="AZ21" s="329" t="n">
        <f aca="false" t="array" ref="AZ21:AZ21">IF(AND(AZ$2&lt;&gt;0,TblTech[[#This Row],[Hour]:[Hour]]&gt;=AZ$2),1,0)</f>
        <v>0</v>
      </c>
      <c r="BA21" s="329" t="n">
        <f aca="false" t="array" ref="BA21:BA21">IF(AND(BA$2&lt;&gt;0,TblTech[[#This Row],[Hour]:[Hour]]&gt;=BA$2),1,0)</f>
        <v>0</v>
      </c>
      <c r="BB21" s="329" t="n">
        <f aca="false" t="array" ref="BB21:BB21">IF(AND(BB$2&lt;&gt;0,TblTech[[#This Row],[Hour]:[Hour]]&gt;=BB$2),1,0)</f>
        <v>0</v>
      </c>
      <c r="BC21" s="329" t="n">
        <f aca="false" t="array" ref="BC21:BC21">IF(AND(BC$2&lt;&gt;0,TblTech[[#This Row],[Hour]:[Hour]]&gt;=BC$2),1,0)</f>
        <v>0</v>
      </c>
      <c r="BD21" s="329" t="n">
        <f aca="false" t="array" ref="BD21:BD21">IF(AND(BD$2&lt;&gt;0,TblTech[[#This Row],[Hour]:[Hour]]&gt;=BD$2),1,0)</f>
        <v>0</v>
      </c>
      <c r="BE21" s="329" t="n">
        <f aca="false" t="array" ref="BE21:BE21">IF(AND(BE$2&lt;&gt;0,TblTech[[#This Row],[Hour]:[Hour]]&gt;=BE$2),1,0)</f>
        <v>0</v>
      </c>
      <c r="BF21" s="329" t="n">
        <f aca="false" t="array" ref="BF21:BF21">IF(AND(BF$2&lt;&gt;0,TblTech[[#This Row],[Hour]:[Hour]]&gt;=BF$2),1,0)</f>
        <v>0</v>
      </c>
      <c r="BG21" s="329" t="n">
        <f aca="false" t="array" ref="BG21:BG21">IF(AND(BG$2&lt;&gt;0,TblTech[[#This Row],[Hour]:[Hour]]&gt;=BG$2),1,0)</f>
        <v>0</v>
      </c>
      <c r="BH21" s="329" t="n">
        <f aca="false" t="array" ref="BH21:BH21">IF(AND(BH$2&lt;&gt;0,TblTech[[#This Row],[Hour]:[Hour]]&gt;=BH$2),1,0)</f>
        <v>0</v>
      </c>
      <c r="BI21" s="329" t="n">
        <f aca="false" t="array" ref="BI21:BI21">IF(AND(BI$2&lt;&gt;0,TblTech[[#This Row],[Hour]:[Hour]]&gt;=BI$2),1,0)</f>
        <v>0</v>
      </c>
      <c r="BJ21" s="329" t="n">
        <f aca="false" t="array" ref="BJ21:BJ21">IF(AND(BJ$2&lt;&gt;0,TblTech[[#This Row],[Hour]:[Hour]]&gt;=BJ$2),1,0)</f>
        <v>0</v>
      </c>
      <c r="BK21" s="329" t="n">
        <f aca="false" t="array" ref="BK21:BK21">IF(AND(BK$2&lt;&gt;0,TblTech[[#This Row],[Hour]:[Hour]]&gt;=BK$2),1,0)</f>
        <v>0</v>
      </c>
      <c r="BL21" s="329" t="n">
        <f aca="false" t="array" ref="BL21:BL21">IF(AND(BL$2&lt;&gt;0,TblTech[[#This Row],[Hour]:[Hour]]&gt;=BL$2),1,0)</f>
        <v>0</v>
      </c>
      <c r="BM21" s="329" t="n">
        <f aca="false" t="array" ref="BM21:BM21">IF(AND(BM$2&lt;&gt;0,TblTech[[#This Row],[Hour]:[Hour]]&gt;=BM$2),1,0)</f>
        <v>0</v>
      </c>
      <c r="BN21" s="329" t="n">
        <f aca="false" t="array" ref="BN21:BN21">IF(AND(BN$2&lt;&gt;0,TblTech[[#This Row],[Hour]:[Hour]]&gt;=BN$2),1,0)</f>
        <v>0</v>
      </c>
      <c r="BO21" s="329" t="n">
        <f aca="false" t="array" ref="BO21:BO21">IF(AND(BO$2&lt;&gt;0,TblTech[[#This Row],[Hour]:[Hour]]&gt;=BO$2),1,0)</f>
        <v>0</v>
      </c>
      <c r="BP21" s="329" t="n">
        <f aca="false" t="array" ref="BP21:BP21">IF(AND(BP$2&lt;&gt;0,TblTech[[#This Row],[Hour]:[Hour]]&gt;=BP$2),1,0)</f>
        <v>0</v>
      </c>
      <c r="BQ21" s="329" t="n">
        <f aca="false" t="array" ref="BQ21:BQ21">IF(AND(BQ$2&lt;&gt;0,TblTech[[#This Row],[Hour]:[Hour]]&gt;=BQ$2),1,0)</f>
        <v>0</v>
      </c>
      <c r="BR21" s="329" t="n">
        <f aca="false" t="array" ref="BR21:BR21">IF(AND(BR$2&lt;&gt;0,TblTech[[#This Row],[Hour]:[Hour]]&gt;=BR$2),1,0)</f>
        <v>0</v>
      </c>
      <c r="BS21" s="329" t="n">
        <f aca="false" t="array" ref="BS21:BS21">IF(AND(BS$2&lt;&gt;0,TblTech[[#This Row],[Hour]:[Hour]]&gt;=BS$2),1,0)</f>
        <v>0</v>
      </c>
      <c r="BT21" s="329" t="n">
        <f aca="false" t="array" ref="BT21:BT21">IF(AND(BT$2&lt;&gt;0,TblTech[[#This Row],[Hour]:[Hour]]&gt;=BT$2),1,0)</f>
        <v>0</v>
      </c>
      <c r="BU21" s="329" t="n">
        <f aca="false" t="array" ref="BU21:BU21">IF(AND(BU$2&lt;&gt;0,TblTech[[#This Row],[Hour]:[Hour]]&gt;=BU$2),1,0)</f>
        <v>0</v>
      </c>
      <c r="BV21" s="329" t="n">
        <f aca="false" t="array" ref="BV21:BV21">IF(AND(BV$2&lt;&gt;0,TblTech[[#This Row],[Hour]:[Hour]]&gt;=BV$2),1,0)</f>
        <v>0</v>
      </c>
      <c r="BW21" s="329" t="n">
        <f aca="false" t="array" ref="BW21:BW21">IF(AND(BW$2&lt;&gt;0,TblTech[[#This Row],[Hour]:[Hour]]&gt;=BW$2),1,0)</f>
        <v>0</v>
      </c>
      <c r="BX21" s="329" t="n">
        <f aca="false" t="array" ref="BX21:BX21">IF(AND(BX$2&lt;&gt;0,TblTech[[#This Row],[Hour]:[Hour]]&gt;=BX$2),1,0)</f>
        <v>0</v>
      </c>
      <c r="BY21" s="329" t="n">
        <f aca="false" t="array" ref="BY21:BY21">IF(AND(BY$2&lt;&gt;0,TblTech[[#This Row],[Hour]:[Hour]]&gt;=BY$2),1,0)</f>
        <v>0</v>
      </c>
      <c r="BZ21" s="329" t="n">
        <f aca="false" t="array" ref="BZ21:BZ21">IF(AND(BZ$2&lt;&gt;0,TblTech[[#This Row],[Hour]:[Hour]]&gt;=BZ$2),1,0)</f>
        <v>0</v>
      </c>
      <c r="CA21" s="330" t="n">
        <f aca="false">IFERROR(INDEX($H$4:$H$79,MATCH(INDEX(TblTech[[#Headers],[1-1]:[11-1]],1,MATCH(TblTech[[#This Row],[Hour]],$M$2:$BZ$2,0)),$G$4:$G$79,0)),)</f>
        <v>0</v>
      </c>
    </row>
    <row r="22" customFormat="false" ht="12.75" hidden="false" customHeight="false" outlineLevel="0" collapsed="false">
      <c r="A22" s="321" t="n">
        <f aca="false">TblRezone[[#This Row],[Hour]]</f>
        <v>19</v>
      </c>
      <c r="B22" s="322" t="n">
        <f aca="false">TblExplore[[#This Row],[Land-DB]]</f>
        <v>275</v>
      </c>
      <c r="C22" s="323" t="n">
        <f aca="false">TblProd[[#This Row],[Techpoints]]</f>
        <v>0</v>
      </c>
      <c r="D22" s="323" t="n">
        <f aca="false">TblProd[[#This Row],[Required]]</f>
        <v>3750</v>
      </c>
      <c r="E22" s="324"/>
      <c r="F22" s="325"/>
      <c r="G22" s="326" t="s">
        <v>541</v>
      </c>
      <c r="H22" s="327" t="s">
        <v>625</v>
      </c>
      <c r="I22" s="326" t="s">
        <v>626</v>
      </c>
      <c r="J22" s="322"/>
      <c r="K22" s="68" t="n">
        <f aca="false">IF(TblTech[[#This Row],[Sum of tech]]&lt;&gt;OFFSET(TblTech[[#This Row],[Sum of tech]],-1,0),1,0)</f>
        <v>0</v>
      </c>
      <c r="L22" s="328" t="n">
        <f aca="false">COUNTIF(TblTech[[#This Row],[1-1]:[11-1]],1)</f>
        <v>0</v>
      </c>
      <c r="M22" s="329" t="n">
        <f aca="false" t="array" ref="M22:M22">IF(AND(M$2&lt;&gt;0,TblTech[[#This Row],[Hour]:[Hour]]&gt;=M$2),1,0)</f>
        <v>0</v>
      </c>
      <c r="N22" s="329" t="n">
        <f aca="false" t="array" ref="N22:N22">IF(AND(N$2&lt;&gt;0,TblTech[[#This Row],[Hour]:[Hour]]&gt;=N$2),1,0)</f>
        <v>0</v>
      </c>
      <c r="O22" s="329" t="n">
        <f aca="false" t="array" ref="O22:O22">IF(AND(O$2&lt;&gt;0,TblTech[[#This Row],[Hour]:[Hour]]&gt;=O$2),1,0)</f>
        <v>0</v>
      </c>
      <c r="P22" s="329" t="n">
        <f aca="false" t="array" ref="P22:P22">IF(AND(P$2&lt;&gt;0,TblTech[[#This Row],[Hour]:[Hour]]&gt;=P$2),1,0)</f>
        <v>0</v>
      </c>
      <c r="Q22" s="329" t="n">
        <f aca="false" t="array" ref="Q22:Q22">IF(AND(Q$2&lt;&gt;0,TblTech[[#This Row],[Hour]:[Hour]]&gt;=Q$2),1,0)</f>
        <v>0</v>
      </c>
      <c r="R22" s="329" t="n">
        <f aca="false" t="array" ref="R22:R22">IF(AND(R$2&lt;&gt;0,TblTech[[#This Row],[Hour]:[Hour]]&gt;=R$2),1,0)</f>
        <v>0</v>
      </c>
      <c r="S22" s="329" t="n">
        <f aca="false" t="array" ref="S22:S22">IF(AND(S$2&lt;&gt;0,TblTech[[#This Row],[Hour]:[Hour]]&gt;=S$2),1,0)</f>
        <v>0</v>
      </c>
      <c r="T22" s="329" t="n">
        <f aca="false" t="array" ref="T22:T22">IF(AND(T$2&lt;&gt;0,TblTech[[#This Row],[Hour]:[Hour]]&gt;=T$2),1,0)</f>
        <v>0</v>
      </c>
      <c r="U22" s="329" t="n">
        <f aca="false" t="array" ref="U22:U22">IF(AND(U$2&lt;&gt;0,TblTech[[#This Row],[Hour]:[Hour]]&gt;=U$2),1,0)</f>
        <v>0</v>
      </c>
      <c r="V22" s="329" t="n">
        <f aca="false" t="array" ref="V22:V22">IF(AND(V$2&lt;&gt;0,TblTech[[#This Row],[Hour]:[Hour]]&gt;=V$2),1,0)</f>
        <v>0</v>
      </c>
      <c r="W22" s="329" t="n">
        <f aca="false" t="array" ref="W22:W22">IF(AND(W$2&lt;&gt;0,TblTech[[#This Row],[Hour]:[Hour]]&gt;=W$2),1,0)</f>
        <v>0</v>
      </c>
      <c r="X22" s="329" t="n">
        <f aca="false" t="array" ref="X22:X22">IF(AND(X$2&lt;&gt;0,TblTech[[#This Row],[Hour]:[Hour]]&gt;=X$2),1,0)</f>
        <v>0</v>
      </c>
      <c r="Y22" s="329" t="n">
        <f aca="false" t="array" ref="Y22:Y22">IF(AND(Y$2&lt;&gt;0,TblTech[[#This Row],[Hour]:[Hour]]&gt;=Y$2),1,0)</f>
        <v>0</v>
      </c>
      <c r="Z22" s="329" t="n">
        <f aca="false" t="array" ref="Z22:Z22">IF(AND(Z$2&lt;&gt;0,TblTech[[#This Row],[Hour]:[Hour]]&gt;=Z$2),1,0)</f>
        <v>0</v>
      </c>
      <c r="AA22" s="329" t="n">
        <f aca="false" t="array" ref="AA22:AA22">IF(AND(AA$2&lt;&gt;0,TblTech[[#This Row],[Hour]:[Hour]]&gt;=AA$2),1,0)</f>
        <v>0</v>
      </c>
      <c r="AB22" s="329" t="n">
        <f aca="false" t="array" ref="AB22:AB22">IF(AND(AB$2&lt;&gt;0,TblTech[[#This Row],[Hour]:[Hour]]&gt;=AB$2),1,0)</f>
        <v>0</v>
      </c>
      <c r="AC22" s="329" t="n">
        <f aca="false" t="array" ref="AC22:AC22">IF(AND(AC$2&lt;&gt;0,TblTech[[#This Row],[Hour]:[Hour]]&gt;=AC$2),1,0)</f>
        <v>0</v>
      </c>
      <c r="AD22" s="329" t="n">
        <f aca="false" t="array" ref="AD22:AD22">IF(AND(AD$2&lt;&gt;0,TblTech[[#This Row],[Hour]:[Hour]]&gt;=AD$2),1,0)</f>
        <v>0</v>
      </c>
      <c r="AE22" s="329" t="n">
        <f aca="false" t="array" ref="AE22:AE22">IF(AND(AE$2&lt;&gt;0,TblTech[[#This Row],[Hour]:[Hour]]&gt;=AE$2),1,0)</f>
        <v>0</v>
      </c>
      <c r="AF22" s="329" t="n">
        <f aca="false" t="array" ref="AF22:AF22">IF(AND(AF$2&lt;&gt;0,TblTech[[#This Row],[Hour]:[Hour]]&gt;=AF$2),1,0)</f>
        <v>0</v>
      </c>
      <c r="AG22" s="329" t="n">
        <f aca="false" t="array" ref="AG22:AG22">IF(AND(AG$2&lt;&gt;0,TblTech[[#This Row],[Hour]:[Hour]]&gt;=AG$2),1,0)</f>
        <v>0</v>
      </c>
      <c r="AH22" s="329" t="n">
        <f aca="false" t="array" ref="AH22:AH22">IF(AND(AH$2&lt;&gt;0,TblTech[[#This Row],[Hour]:[Hour]]&gt;=AH$2),1,0)</f>
        <v>0</v>
      </c>
      <c r="AI22" s="329" t="n">
        <f aca="false" t="array" ref="AI22:AI22">IF(AND(AI$2&lt;&gt;0,TblTech[[#This Row],[Hour]:[Hour]]&gt;=AI$2),1,0)</f>
        <v>0</v>
      </c>
      <c r="AJ22" s="329" t="n">
        <f aca="false" t="array" ref="AJ22:AJ22">IF(AND(AJ$2&lt;&gt;0,TblTech[[#This Row],[Hour]:[Hour]]&gt;=AJ$2),1,0)</f>
        <v>0</v>
      </c>
      <c r="AK22" s="329" t="n">
        <f aca="false" t="array" ref="AK22:AK22">IF(AND(AK$2&lt;&gt;0,TblTech[[#This Row],[Hour]:[Hour]]&gt;=AK$2),1,0)</f>
        <v>0</v>
      </c>
      <c r="AL22" s="329" t="n">
        <f aca="false" t="array" ref="AL22:AL22">IF(AND(AL$2&lt;&gt;0,TblTech[[#This Row],[Hour]:[Hour]]&gt;=AL$2),1,0)</f>
        <v>0</v>
      </c>
      <c r="AM22" s="329" t="n">
        <f aca="false" t="array" ref="AM22:AM22">IF(AND(AM$2&lt;&gt;0,TblTech[[#This Row],[Hour]:[Hour]]&gt;=AM$2),1,0)</f>
        <v>0</v>
      </c>
      <c r="AN22" s="329" t="n">
        <f aca="false" t="array" ref="AN22:AN22">IF(AND(AN$2&lt;&gt;0,TblTech[[#This Row],[Hour]:[Hour]]&gt;=AN$2),1,0)</f>
        <v>0</v>
      </c>
      <c r="AO22" s="329" t="n">
        <f aca="false" t="array" ref="AO22:AO22">IF(AND(AO$2&lt;&gt;0,TblTech[[#This Row],[Hour]:[Hour]]&gt;=AO$2),1,0)</f>
        <v>0</v>
      </c>
      <c r="AP22" s="329" t="n">
        <f aca="false" t="array" ref="AP22:AP22">IF(AND(AP$2&lt;&gt;0,TblTech[[#This Row],[Hour]:[Hour]]&gt;=AP$2),1,0)</f>
        <v>0</v>
      </c>
      <c r="AQ22" s="329" t="n">
        <f aca="false" t="array" ref="AQ22:AQ22">IF(AND(AQ$2&lt;&gt;0,TblTech[[#This Row],[Hour]:[Hour]]&gt;=AQ$2),1,0)</f>
        <v>0</v>
      </c>
      <c r="AR22" s="329" t="n">
        <f aca="false" t="array" ref="AR22:AR22">IF(AND(AR$2&lt;&gt;0,TblTech[[#This Row],[Hour]:[Hour]]&gt;=AR$2),1,0)</f>
        <v>0</v>
      </c>
      <c r="AS22" s="329" t="n">
        <f aca="false" t="array" ref="AS22:AS22">IF(AND(AS$2&lt;&gt;0,TblTech[[#This Row],[Hour]:[Hour]]&gt;=AS$2),1,0)</f>
        <v>0</v>
      </c>
      <c r="AT22" s="329" t="n">
        <f aca="false" t="array" ref="AT22:AT22">IF(AND(AT$2&lt;&gt;0,TblTech[[#This Row],[Hour]:[Hour]]&gt;=AT$2),1,0)</f>
        <v>0</v>
      </c>
      <c r="AU22" s="329" t="n">
        <f aca="false" t="array" ref="AU22:AU22">IF(AND(AU$2&lt;&gt;0,TblTech[[#This Row],[Hour]:[Hour]]&gt;=AU$2),1,0)</f>
        <v>0</v>
      </c>
      <c r="AV22" s="329" t="n">
        <f aca="false" t="array" ref="AV22:AV22">IF(AND(AV$2&lt;&gt;0,TblTech[[#This Row],[Hour]:[Hour]]&gt;=AV$2),1,0)</f>
        <v>0</v>
      </c>
      <c r="AW22" s="329" t="n">
        <f aca="false" t="array" ref="AW22:AW22">IF(AND(AW$2&lt;&gt;0,TblTech[[#This Row],[Hour]:[Hour]]&gt;=AW$2),1,0)</f>
        <v>0</v>
      </c>
      <c r="AX22" s="329" t="n">
        <f aca="false" t="array" ref="AX22:AX22">IF(AND(AX$2&lt;&gt;0,TblTech[[#This Row],[Hour]:[Hour]]&gt;=AX$2),1,0)</f>
        <v>0</v>
      </c>
      <c r="AY22" s="329" t="n">
        <f aca="false" t="array" ref="AY22:AY22">IF(AND(AY$2&lt;&gt;0,TblTech[[#This Row],[Hour]:[Hour]]&gt;=AY$2),1,0)</f>
        <v>0</v>
      </c>
      <c r="AZ22" s="329" t="n">
        <f aca="false" t="array" ref="AZ22:AZ22">IF(AND(AZ$2&lt;&gt;0,TblTech[[#This Row],[Hour]:[Hour]]&gt;=AZ$2),1,0)</f>
        <v>0</v>
      </c>
      <c r="BA22" s="329" t="n">
        <f aca="false" t="array" ref="BA22:BA22">IF(AND(BA$2&lt;&gt;0,TblTech[[#This Row],[Hour]:[Hour]]&gt;=BA$2),1,0)</f>
        <v>0</v>
      </c>
      <c r="BB22" s="329" t="n">
        <f aca="false" t="array" ref="BB22:BB22">IF(AND(BB$2&lt;&gt;0,TblTech[[#This Row],[Hour]:[Hour]]&gt;=BB$2),1,0)</f>
        <v>0</v>
      </c>
      <c r="BC22" s="329" t="n">
        <f aca="false" t="array" ref="BC22:BC22">IF(AND(BC$2&lt;&gt;0,TblTech[[#This Row],[Hour]:[Hour]]&gt;=BC$2),1,0)</f>
        <v>0</v>
      </c>
      <c r="BD22" s="329" t="n">
        <f aca="false" t="array" ref="BD22:BD22">IF(AND(BD$2&lt;&gt;0,TblTech[[#This Row],[Hour]:[Hour]]&gt;=BD$2),1,0)</f>
        <v>0</v>
      </c>
      <c r="BE22" s="329" t="n">
        <f aca="false" t="array" ref="BE22:BE22">IF(AND(BE$2&lt;&gt;0,TblTech[[#This Row],[Hour]:[Hour]]&gt;=BE$2),1,0)</f>
        <v>0</v>
      </c>
      <c r="BF22" s="329" t="n">
        <f aca="false" t="array" ref="BF22:BF22">IF(AND(BF$2&lt;&gt;0,TblTech[[#This Row],[Hour]:[Hour]]&gt;=BF$2),1,0)</f>
        <v>0</v>
      </c>
      <c r="BG22" s="329" t="n">
        <f aca="false" t="array" ref="BG22:BG22">IF(AND(BG$2&lt;&gt;0,TblTech[[#This Row],[Hour]:[Hour]]&gt;=BG$2),1,0)</f>
        <v>0</v>
      </c>
      <c r="BH22" s="329" t="n">
        <f aca="false" t="array" ref="BH22:BH22">IF(AND(BH$2&lt;&gt;0,TblTech[[#This Row],[Hour]:[Hour]]&gt;=BH$2),1,0)</f>
        <v>0</v>
      </c>
      <c r="BI22" s="329" t="n">
        <f aca="false" t="array" ref="BI22:BI22">IF(AND(BI$2&lt;&gt;0,TblTech[[#This Row],[Hour]:[Hour]]&gt;=BI$2),1,0)</f>
        <v>0</v>
      </c>
      <c r="BJ22" s="329" t="n">
        <f aca="false" t="array" ref="BJ22:BJ22">IF(AND(BJ$2&lt;&gt;0,TblTech[[#This Row],[Hour]:[Hour]]&gt;=BJ$2),1,0)</f>
        <v>0</v>
      </c>
      <c r="BK22" s="329" t="n">
        <f aca="false" t="array" ref="BK22:BK22">IF(AND(BK$2&lt;&gt;0,TblTech[[#This Row],[Hour]:[Hour]]&gt;=BK$2),1,0)</f>
        <v>0</v>
      </c>
      <c r="BL22" s="329" t="n">
        <f aca="false" t="array" ref="BL22:BL22">IF(AND(BL$2&lt;&gt;0,TblTech[[#This Row],[Hour]:[Hour]]&gt;=BL$2),1,0)</f>
        <v>0</v>
      </c>
      <c r="BM22" s="329" t="n">
        <f aca="false" t="array" ref="BM22:BM22">IF(AND(BM$2&lt;&gt;0,TblTech[[#This Row],[Hour]:[Hour]]&gt;=BM$2),1,0)</f>
        <v>0</v>
      </c>
      <c r="BN22" s="329" t="n">
        <f aca="false" t="array" ref="BN22:BN22">IF(AND(BN$2&lt;&gt;0,TblTech[[#This Row],[Hour]:[Hour]]&gt;=BN$2),1,0)</f>
        <v>0</v>
      </c>
      <c r="BO22" s="329" t="n">
        <f aca="false" t="array" ref="BO22:BO22">IF(AND(BO$2&lt;&gt;0,TblTech[[#This Row],[Hour]:[Hour]]&gt;=BO$2),1,0)</f>
        <v>0</v>
      </c>
      <c r="BP22" s="329" t="n">
        <f aca="false" t="array" ref="BP22:BP22">IF(AND(BP$2&lt;&gt;0,TblTech[[#This Row],[Hour]:[Hour]]&gt;=BP$2),1,0)</f>
        <v>0</v>
      </c>
      <c r="BQ22" s="329" t="n">
        <f aca="false" t="array" ref="BQ22:BQ22">IF(AND(BQ$2&lt;&gt;0,TblTech[[#This Row],[Hour]:[Hour]]&gt;=BQ$2),1,0)</f>
        <v>0</v>
      </c>
      <c r="BR22" s="329" t="n">
        <f aca="false" t="array" ref="BR22:BR22">IF(AND(BR$2&lt;&gt;0,TblTech[[#This Row],[Hour]:[Hour]]&gt;=BR$2),1,0)</f>
        <v>0</v>
      </c>
      <c r="BS22" s="329" t="n">
        <f aca="false" t="array" ref="BS22:BS22">IF(AND(BS$2&lt;&gt;0,TblTech[[#This Row],[Hour]:[Hour]]&gt;=BS$2),1,0)</f>
        <v>0</v>
      </c>
      <c r="BT22" s="329" t="n">
        <f aca="false" t="array" ref="BT22:BT22">IF(AND(BT$2&lt;&gt;0,TblTech[[#This Row],[Hour]:[Hour]]&gt;=BT$2),1,0)</f>
        <v>0</v>
      </c>
      <c r="BU22" s="329" t="n">
        <f aca="false" t="array" ref="BU22:BU22">IF(AND(BU$2&lt;&gt;0,TblTech[[#This Row],[Hour]:[Hour]]&gt;=BU$2),1,0)</f>
        <v>0</v>
      </c>
      <c r="BV22" s="329" t="n">
        <f aca="false" t="array" ref="BV22:BV22">IF(AND(BV$2&lt;&gt;0,TblTech[[#This Row],[Hour]:[Hour]]&gt;=BV$2),1,0)</f>
        <v>0</v>
      </c>
      <c r="BW22" s="329" t="n">
        <f aca="false" t="array" ref="BW22:BW22">IF(AND(BW$2&lt;&gt;0,TblTech[[#This Row],[Hour]:[Hour]]&gt;=BW$2),1,0)</f>
        <v>0</v>
      </c>
      <c r="BX22" s="329" t="n">
        <f aca="false" t="array" ref="BX22:BX22">IF(AND(BX$2&lt;&gt;0,TblTech[[#This Row],[Hour]:[Hour]]&gt;=BX$2),1,0)</f>
        <v>0</v>
      </c>
      <c r="BY22" s="329" t="n">
        <f aca="false" t="array" ref="BY22:BY22">IF(AND(BY$2&lt;&gt;0,TblTech[[#This Row],[Hour]:[Hour]]&gt;=BY$2),1,0)</f>
        <v>0</v>
      </c>
      <c r="BZ22" s="329" t="n">
        <f aca="false" t="array" ref="BZ22:BZ22">IF(AND(BZ$2&lt;&gt;0,TblTech[[#This Row],[Hour]:[Hour]]&gt;=BZ$2),1,0)</f>
        <v>0</v>
      </c>
      <c r="CA22" s="330" t="n">
        <f aca="false">IFERROR(INDEX($H$4:$H$79,MATCH(INDEX(TblTech[[#Headers],[1-1]:[11-1]],1,MATCH(TblTech[[#This Row],[Hour]],$M$2:$BZ$2,0)),$G$4:$G$79,0)),)</f>
        <v>0</v>
      </c>
    </row>
    <row r="23" customFormat="false" ht="12.75" hidden="false" customHeight="false" outlineLevel="0" collapsed="false">
      <c r="A23" s="321" t="n">
        <f aca="false">TblRezone[[#This Row],[Hour]]</f>
        <v>20</v>
      </c>
      <c r="B23" s="322" t="n">
        <f aca="false">TblExplore[[#This Row],[Land-DB]]</f>
        <v>276</v>
      </c>
      <c r="C23" s="323" t="n">
        <f aca="false">TblProd[[#This Row],[Techpoints]]</f>
        <v>0</v>
      </c>
      <c r="D23" s="323" t="n">
        <f aca="false">TblProd[[#This Row],[Required]]</f>
        <v>3750</v>
      </c>
      <c r="E23" s="324"/>
      <c r="F23" s="325"/>
      <c r="G23" s="326" t="s">
        <v>542</v>
      </c>
      <c r="H23" s="327" t="s">
        <v>627</v>
      </c>
      <c r="I23" s="326" t="s">
        <v>628</v>
      </c>
      <c r="J23" s="322"/>
      <c r="K23" s="68" t="n">
        <f aca="false">IF(TblTech[[#This Row],[Sum of tech]]&lt;&gt;OFFSET(TblTech[[#This Row],[Sum of tech]],-1,0),1,0)</f>
        <v>0</v>
      </c>
      <c r="L23" s="328" t="n">
        <f aca="false">COUNTIF(TblTech[[#This Row],[1-1]:[11-1]],1)</f>
        <v>0</v>
      </c>
      <c r="M23" s="329" t="n">
        <f aca="false" t="array" ref="M23:M23">IF(AND(M$2&lt;&gt;0,TblTech[[#This Row],[Hour]:[Hour]]&gt;=M$2),1,0)</f>
        <v>0</v>
      </c>
      <c r="N23" s="329" t="n">
        <f aca="false" t="array" ref="N23:N23">IF(AND(N$2&lt;&gt;0,TblTech[[#This Row],[Hour]:[Hour]]&gt;=N$2),1,0)</f>
        <v>0</v>
      </c>
      <c r="O23" s="329" t="n">
        <f aca="false" t="array" ref="O23:O23">IF(AND(O$2&lt;&gt;0,TblTech[[#This Row],[Hour]:[Hour]]&gt;=O$2),1,0)</f>
        <v>0</v>
      </c>
      <c r="P23" s="329" t="n">
        <f aca="false" t="array" ref="P23:P23">IF(AND(P$2&lt;&gt;0,TblTech[[#This Row],[Hour]:[Hour]]&gt;=P$2),1,0)</f>
        <v>0</v>
      </c>
      <c r="Q23" s="329" t="n">
        <f aca="false" t="array" ref="Q23:Q23">IF(AND(Q$2&lt;&gt;0,TblTech[[#This Row],[Hour]:[Hour]]&gt;=Q$2),1,0)</f>
        <v>0</v>
      </c>
      <c r="R23" s="329" t="n">
        <f aca="false" t="array" ref="R23:R23">IF(AND(R$2&lt;&gt;0,TblTech[[#This Row],[Hour]:[Hour]]&gt;=R$2),1,0)</f>
        <v>0</v>
      </c>
      <c r="S23" s="329" t="n">
        <f aca="false" t="array" ref="S23:S23">IF(AND(S$2&lt;&gt;0,TblTech[[#This Row],[Hour]:[Hour]]&gt;=S$2),1,0)</f>
        <v>0</v>
      </c>
      <c r="T23" s="329" t="n">
        <f aca="false" t="array" ref="T23:T23">IF(AND(T$2&lt;&gt;0,TblTech[[#This Row],[Hour]:[Hour]]&gt;=T$2),1,0)</f>
        <v>0</v>
      </c>
      <c r="U23" s="329" t="n">
        <f aca="false" t="array" ref="U23:U23">IF(AND(U$2&lt;&gt;0,TblTech[[#This Row],[Hour]:[Hour]]&gt;=U$2),1,0)</f>
        <v>0</v>
      </c>
      <c r="V23" s="329" t="n">
        <f aca="false" t="array" ref="V23:V23">IF(AND(V$2&lt;&gt;0,TblTech[[#This Row],[Hour]:[Hour]]&gt;=V$2),1,0)</f>
        <v>0</v>
      </c>
      <c r="W23" s="329" t="n">
        <f aca="false" t="array" ref="W23:W23">IF(AND(W$2&lt;&gt;0,TblTech[[#This Row],[Hour]:[Hour]]&gt;=W$2),1,0)</f>
        <v>0</v>
      </c>
      <c r="X23" s="329" t="n">
        <f aca="false" t="array" ref="X23:X23">IF(AND(X$2&lt;&gt;0,TblTech[[#This Row],[Hour]:[Hour]]&gt;=X$2),1,0)</f>
        <v>0</v>
      </c>
      <c r="Y23" s="329" t="n">
        <f aca="false" t="array" ref="Y23:Y23">IF(AND(Y$2&lt;&gt;0,TblTech[[#This Row],[Hour]:[Hour]]&gt;=Y$2),1,0)</f>
        <v>0</v>
      </c>
      <c r="Z23" s="329" t="n">
        <f aca="false" t="array" ref="Z23:Z23">IF(AND(Z$2&lt;&gt;0,TblTech[[#This Row],[Hour]:[Hour]]&gt;=Z$2),1,0)</f>
        <v>0</v>
      </c>
      <c r="AA23" s="329" t="n">
        <f aca="false" t="array" ref="AA23:AA23">IF(AND(AA$2&lt;&gt;0,TblTech[[#This Row],[Hour]:[Hour]]&gt;=AA$2),1,0)</f>
        <v>0</v>
      </c>
      <c r="AB23" s="329" t="n">
        <f aca="false" t="array" ref="AB23:AB23">IF(AND(AB$2&lt;&gt;0,TblTech[[#This Row],[Hour]:[Hour]]&gt;=AB$2),1,0)</f>
        <v>0</v>
      </c>
      <c r="AC23" s="329" t="n">
        <f aca="false" t="array" ref="AC23:AC23">IF(AND(AC$2&lt;&gt;0,TblTech[[#This Row],[Hour]:[Hour]]&gt;=AC$2),1,0)</f>
        <v>0</v>
      </c>
      <c r="AD23" s="329" t="n">
        <f aca="false" t="array" ref="AD23:AD23">IF(AND(AD$2&lt;&gt;0,TblTech[[#This Row],[Hour]:[Hour]]&gt;=AD$2),1,0)</f>
        <v>0</v>
      </c>
      <c r="AE23" s="329" t="n">
        <f aca="false" t="array" ref="AE23:AE23">IF(AND(AE$2&lt;&gt;0,TblTech[[#This Row],[Hour]:[Hour]]&gt;=AE$2),1,0)</f>
        <v>0</v>
      </c>
      <c r="AF23" s="329" t="n">
        <f aca="false" t="array" ref="AF23:AF23">IF(AND(AF$2&lt;&gt;0,TblTech[[#This Row],[Hour]:[Hour]]&gt;=AF$2),1,0)</f>
        <v>0</v>
      </c>
      <c r="AG23" s="329" t="n">
        <f aca="false" t="array" ref="AG23:AG23">IF(AND(AG$2&lt;&gt;0,TblTech[[#This Row],[Hour]:[Hour]]&gt;=AG$2),1,0)</f>
        <v>0</v>
      </c>
      <c r="AH23" s="329" t="n">
        <f aca="false" t="array" ref="AH23:AH23">IF(AND(AH$2&lt;&gt;0,TblTech[[#This Row],[Hour]:[Hour]]&gt;=AH$2),1,0)</f>
        <v>0</v>
      </c>
      <c r="AI23" s="329" t="n">
        <f aca="false" t="array" ref="AI23:AI23">IF(AND(AI$2&lt;&gt;0,TblTech[[#This Row],[Hour]:[Hour]]&gt;=AI$2),1,0)</f>
        <v>0</v>
      </c>
      <c r="AJ23" s="329" t="n">
        <f aca="false" t="array" ref="AJ23:AJ23">IF(AND(AJ$2&lt;&gt;0,TblTech[[#This Row],[Hour]:[Hour]]&gt;=AJ$2),1,0)</f>
        <v>0</v>
      </c>
      <c r="AK23" s="329" t="n">
        <f aca="false" t="array" ref="AK23:AK23">IF(AND(AK$2&lt;&gt;0,TblTech[[#This Row],[Hour]:[Hour]]&gt;=AK$2),1,0)</f>
        <v>0</v>
      </c>
      <c r="AL23" s="329" t="n">
        <f aca="false" t="array" ref="AL23:AL23">IF(AND(AL$2&lt;&gt;0,TblTech[[#This Row],[Hour]:[Hour]]&gt;=AL$2),1,0)</f>
        <v>0</v>
      </c>
      <c r="AM23" s="329" t="n">
        <f aca="false" t="array" ref="AM23:AM23">IF(AND(AM$2&lt;&gt;0,TblTech[[#This Row],[Hour]:[Hour]]&gt;=AM$2),1,0)</f>
        <v>0</v>
      </c>
      <c r="AN23" s="329" t="n">
        <f aca="false" t="array" ref="AN23:AN23">IF(AND(AN$2&lt;&gt;0,TblTech[[#This Row],[Hour]:[Hour]]&gt;=AN$2),1,0)</f>
        <v>0</v>
      </c>
      <c r="AO23" s="329" t="n">
        <f aca="false" t="array" ref="AO23:AO23">IF(AND(AO$2&lt;&gt;0,TblTech[[#This Row],[Hour]:[Hour]]&gt;=AO$2),1,0)</f>
        <v>0</v>
      </c>
      <c r="AP23" s="329" t="n">
        <f aca="false" t="array" ref="AP23:AP23">IF(AND(AP$2&lt;&gt;0,TblTech[[#This Row],[Hour]:[Hour]]&gt;=AP$2),1,0)</f>
        <v>0</v>
      </c>
      <c r="AQ23" s="329" t="n">
        <f aca="false" t="array" ref="AQ23:AQ23">IF(AND(AQ$2&lt;&gt;0,TblTech[[#This Row],[Hour]:[Hour]]&gt;=AQ$2),1,0)</f>
        <v>0</v>
      </c>
      <c r="AR23" s="329" t="n">
        <f aca="false" t="array" ref="AR23:AR23">IF(AND(AR$2&lt;&gt;0,TblTech[[#This Row],[Hour]:[Hour]]&gt;=AR$2),1,0)</f>
        <v>0</v>
      </c>
      <c r="AS23" s="329" t="n">
        <f aca="false" t="array" ref="AS23:AS23">IF(AND(AS$2&lt;&gt;0,TblTech[[#This Row],[Hour]:[Hour]]&gt;=AS$2),1,0)</f>
        <v>0</v>
      </c>
      <c r="AT23" s="329" t="n">
        <f aca="false" t="array" ref="AT23:AT23">IF(AND(AT$2&lt;&gt;0,TblTech[[#This Row],[Hour]:[Hour]]&gt;=AT$2),1,0)</f>
        <v>0</v>
      </c>
      <c r="AU23" s="329" t="n">
        <f aca="false" t="array" ref="AU23:AU23">IF(AND(AU$2&lt;&gt;0,TblTech[[#This Row],[Hour]:[Hour]]&gt;=AU$2),1,0)</f>
        <v>0</v>
      </c>
      <c r="AV23" s="329" t="n">
        <f aca="false" t="array" ref="AV23:AV23">IF(AND(AV$2&lt;&gt;0,TblTech[[#This Row],[Hour]:[Hour]]&gt;=AV$2),1,0)</f>
        <v>0</v>
      </c>
      <c r="AW23" s="329" t="n">
        <f aca="false" t="array" ref="AW23:AW23">IF(AND(AW$2&lt;&gt;0,TblTech[[#This Row],[Hour]:[Hour]]&gt;=AW$2),1,0)</f>
        <v>0</v>
      </c>
      <c r="AX23" s="329" t="n">
        <f aca="false" t="array" ref="AX23:AX23">IF(AND(AX$2&lt;&gt;0,TblTech[[#This Row],[Hour]:[Hour]]&gt;=AX$2),1,0)</f>
        <v>0</v>
      </c>
      <c r="AY23" s="329" t="n">
        <f aca="false" t="array" ref="AY23:AY23">IF(AND(AY$2&lt;&gt;0,TblTech[[#This Row],[Hour]:[Hour]]&gt;=AY$2),1,0)</f>
        <v>0</v>
      </c>
      <c r="AZ23" s="329" t="n">
        <f aca="false" t="array" ref="AZ23:AZ23">IF(AND(AZ$2&lt;&gt;0,TblTech[[#This Row],[Hour]:[Hour]]&gt;=AZ$2),1,0)</f>
        <v>0</v>
      </c>
      <c r="BA23" s="329" t="n">
        <f aca="false" t="array" ref="BA23:BA23">IF(AND(BA$2&lt;&gt;0,TblTech[[#This Row],[Hour]:[Hour]]&gt;=BA$2),1,0)</f>
        <v>0</v>
      </c>
      <c r="BB23" s="329" t="n">
        <f aca="false" t="array" ref="BB23:BB23">IF(AND(BB$2&lt;&gt;0,TblTech[[#This Row],[Hour]:[Hour]]&gt;=BB$2),1,0)</f>
        <v>0</v>
      </c>
      <c r="BC23" s="329" t="n">
        <f aca="false" t="array" ref="BC23:BC23">IF(AND(BC$2&lt;&gt;0,TblTech[[#This Row],[Hour]:[Hour]]&gt;=BC$2),1,0)</f>
        <v>0</v>
      </c>
      <c r="BD23" s="329" t="n">
        <f aca="false" t="array" ref="BD23:BD23">IF(AND(BD$2&lt;&gt;0,TblTech[[#This Row],[Hour]:[Hour]]&gt;=BD$2),1,0)</f>
        <v>0</v>
      </c>
      <c r="BE23" s="329" t="n">
        <f aca="false" t="array" ref="BE23:BE23">IF(AND(BE$2&lt;&gt;0,TblTech[[#This Row],[Hour]:[Hour]]&gt;=BE$2),1,0)</f>
        <v>0</v>
      </c>
      <c r="BF23" s="329" t="n">
        <f aca="false" t="array" ref="BF23:BF23">IF(AND(BF$2&lt;&gt;0,TblTech[[#This Row],[Hour]:[Hour]]&gt;=BF$2),1,0)</f>
        <v>0</v>
      </c>
      <c r="BG23" s="329" t="n">
        <f aca="false" t="array" ref="BG23:BG23">IF(AND(BG$2&lt;&gt;0,TblTech[[#This Row],[Hour]:[Hour]]&gt;=BG$2),1,0)</f>
        <v>0</v>
      </c>
      <c r="BH23" s="329" t="n">
        <f aca="false" t="array" ref="BH23:BH23">IF(AND(BH$2&lt;&gt;0,TblTech[[#This Row],[Hour]:[Hour]]&gt;=BH$2),1,0)</f>
        <v>0</v>
      </c>
      <c r="BI23" s="329" t="n">
        <f aca="false" t="array" ref="BI23:BI23">IF(AND(BI$2&lt;&gt;0,TblTech[[#This Row],[Hour]:[Hour]]&gt;=BI$2),1,0)</f>
        <v>0</v>
      </c>
      <c r="BJ23" s="329" t="n">
        <f aca="false" t="array" ref="BJ23:BJ23">IF(AND(BJ$2&lt;&gt;0,TblTech[[#This Row],[Hour]:[Hour]]&gt;=BJ$2),1,0)</f>
        <v>0</v>
      </c>
      <c r="BK23" s="329" t="n">
        <f aca="false" t="array" ref="BK23:BK23">IF(AND(BK$2&lt;&gt;0,TblTech[[#This Row],[Hour]:[Hour]]&gt;=BK$2),1,0)</f>
        <v>0</v>
      </c>
      <c r="BL23" s="329" t="n">
        <f aca="false" t="array" ref="BL23:BL23">IF(AND(BL$2&lt;&gt;0,TblTech[[#This Row],[Hour]:[Hour]]&gt;=BL$2),1,0)</f>
        <v>0</v>
      </c>
      <c r="BM23" s="329" t="n">
        <f aca="false" t="array" ref="BM23:BM23">IF(AND(BM$2&lt;&gt;0,TblTech[[#This Row],[Hour]:[Hour]]&gt;=BM$2),1,0)</f>
        <v>0</v>
      </c>
      <c r="BN23" s="329" t="n">
        <f aca="false" t="array" ref="BN23:BN23">IF(AND(BN$2&lt;&gt;0,TblTech[[#This Row],[Hour]:[Hour]]&gt;=BN$2),1,0)</f>
        <v>0</v>
      </c>
      <c r="BO23" s="329" t="n">
        <f aca="false" t="array" ref="BO23:BO23">IF(AND(BO$2&lt;&gt;0,TblTech[[#This Row],[Hour]:[Hour]]&gt;=BO$2),1,0)</f>
        <v>0</v>
      </c>
      <c r="BP23" s="329" t="n">
        <f aca="false" t="array" ref="BP23:BP23">IF(AND(BP$2&lt;&gt;0,TblTech[[#This Row],[Hour]:[Hour]]&gt;=BP$2),1,0)</f>
        <v>0</v>
      </c>
      <c r="BQ23" s="329" t="n">
        <f aca="false" t="array" ref="BQ23:BQ23">IF(AND(BQ$2&lt;&gt;0,TblTech[[#This Row],[Hour]:[Hour]]&gt;=BQ$2),1,0)</f>
        <v>0</v>
      </c>
      <c r="BR23" s="329" t="n">
        <f aca="false" t="array" ref="BR23:BR23">IF(AND(BR$2&lt;&gt;0,TblTech[[#This Row],[Hour]:[Hour]]&gt;=BR$2),1,0)</f>
        <v>0</v>
      </c>
      <c r="BS23" s="329" t="n">
        <f aca="false" t="array" ref="BS23:BS23">IF(AND(BS$2&lt;&gt;0,TblTech[[#This Row],[Hour]:[Hour]]&gt;=BS$2),1,0)</f>
        <v>0</v>
      </c>
      <c r="BT23" s="329" t="n">
        <f aca="false" t="array" ref="BT23:BT23">IF(AND(BT$2&lt;&gt;0,TblTech[[#This Row],[Hour]:[Hour]]&gt;=BT$2),1,0)</f>
        <v>0</v>
      </c>
      <c r="BU23" s="329" t="n">
        <f aca="false" t="array" ref="BU23:BU23">IF(AND(BU$2&lt;&gt;0,TblTech[[#This Row],[Hour]:[Hour]]&gt;=BU$2),1,0)</f>
        <v>0</v>
      </c>
      <c r="BV23" s="329" t="n">
        <f aca="false" t="array" ref="BV23:BV23">IF(AND(BV$2&lt;&gt;0,TblTech[[#This Row],[Hour]:[Hour]]&gt;=BV$2),1,0)</f>
        <v>0</v>
      </c>
      <c r="BW23" s="329" t="n">
        <f aca="false" t="array" ref="BW23:BW23">IF(AND(BW$2&lt;&gt;0,TblTech[[#This Row],[Hour]:[Hour]]&gt;=BW$2),1,0)</f>
        <v>0</v>
      </c>
      <c r="BX23" s="329" t="n">
        <f aca="false" t="array" ref="BX23:BX23">IF(AND(BX$2&lt;&gt;0,TblTech[[#This Row],[Hour]:[Hour]]&gt;=BX$2),1,0)</f>
        <v>0</v>
      </c>
      <c r="BY23" s="329" t="n">
        <f aca="false" t="array" ref="BY23:BY23">IF(AND(BY$2&lt;&gt;0,TblTech[[#This Row],[Hour]:[Hour]]&gt;=BY$2),1,0)</f>
        <v>0</v>
      </c>
      <c r="BZ23" s="329" t="n">
        <f aca="false" t="array" ref="BZ23:BZ23">IF(AND(BZ$2&lt;&gt;0,TblTech[[#This Row],[Hour]:[Hour]]&gt;=BZ$2),1,0)</f>
        <v>0</v>
      </c>
      <c r="CA23" s="330" t="n">
        <f aca="false">IFERROR(INDEX($H$4:$H$79,MATCH(INDEX(TblTech[[#Headers],[1-1]:[11-1]],1,MATCH(TblTech[[#This Row],[Hour]],$M$2:$BZ$2,0)),$G$4:$G$79,0)),)</f>
        <v>0</v>
      </c>
    </row>
    <row r="24" customFormat="false" ht="12.75" hidden="false" customHeight="false" outlineLevel="0" collapsed="false">
      <c r="A24" s="321" t="n">
        <f aca="false">TblRezone[[#This Row],[Hour]]</f>
        <v>21</v>
      </c>
      <c r="B24" s="322" t="n">
        <f aca="false">TblExplore[[#This Row],[Land-DB]]</f>
        <v>277</v>
      </c>
      <c r="C24" s="323" t="n">
        <f aca="false">TblProd[[#This Row],[Techpoints]]</f>
        <v>0</v>
      </c>
      <c r="D24" s="323" t="n">
        <f aca="false">TblProd[[#This Row],[Required]]</f>
        <v>3750</v>
      </c>
      <c r="E24" s="324"/>
      <c r="F24" s="325"/>
      <c r="G24" s="326" t="s">
        <v>543</v>
      </c>
      <c r="H24" s="327" t="s">
        <v>629</v>
      </c>
      <c r="I24" s="326" t="s">
        <v>630</v>
      </c>
      <c r="J24" s="322"/>
      <c r="K24" s="68" t="n">
        <f aca="false">IF(TblTech[[#This Row],[Sum of tech]]&lt;&gt;OFFSET(TblTech[[#This Row],[Sum of tech]],-1,0),1,0)</f>
        <v>0</v>
      </c>
      <c r="L24" s="328" t="n">
        <f aca="false">COUNTIF(TblTech[[#This Row],[1-1]:[11-1]],1)</f>
        <v>0</v>
      </c>
      <c r="M24" s="329" t="n">
        <f aca="false" t="array" ref="M24:M24">IF(AND(M$2&lt;&gt;0,TblTech[[#This Row],[Hour]:[Hour]]&gt;=M$2),1,0)</f>
        <v>0</v>
      </c>
      <c r="N24" s="329" t="n">
        <f aca="false" t="array" ref="N24:N24">IF(AND(N$2&lt;&gt;0,TblTech[[#This Row],[Hour]:[Hour]]&gt;=N$2),1,0)</f>
        <v>0</v>
      </c>
      <c r="O24" s="329" t="n">
        <f aca="false" t="array" ref="O24:O24">IF(AND(O$2&lt;&gt;0,TblTech[[#This Row],[Hour]:[Hour]]&gt;=O$2),1,0)</f>
        <v>0</v>
      </c>
      <c r="P24" s="329" t="n">
        <f aca="false" t="array" ref="P24:P24">IF(AND(P$2&lt;&gt;0,TblTech[[#This Row],[Hour]:[Hour]]&gt;=P$2),1,0)</f>
        <v>0</v>
      </c>
      <c r="Q24" s="329" t="n">
        <f aca="false" t="array" ref="Q24:Q24">IF(AND(Q$2&lt;&gt;0,TblTech[[#This Row],[Hour]:[Hour]]&gt;=Q$2),1,0)</f>
        <v>0</v>
      </c>
      <c r="R24" s="329" t="n">
        <f aca="false" t="array" ref="R24:R24">IF(AND(R$2&lt;&gt;0,TblTech[[#This Row],[Hour]:[Hour]]&gt;=R$2),1,0)</f>
        <v>0</v>
      </c>
      <c r="S24" s="329" t="n">
        <f aca="false" t="array" ref="S24:S24">IF(AND(S$2&lt;&gt;0,TblTech[[#This Row],[Hour]:[Hour]]&gt;=S$2),1,0)</f>
        <v>0</v>
      </c>
      <c r="T24" s="329" t="n">
        <f aca="false" t="array" ref="T24:T24">IF(AND(T$2&lt;&gt;0,TblTech[[#This Row],[Hour]:[Hour]]&gt;=T$2),1,0)</f>
        <v>0</v>
      </c>
      <c r="U24" s="329" t="n">
        <f aca="false" t="array" ref="U24:U24">IF(AND(U$2&lt;&gt;0,TblTech[[#This Row],[Hour]:[Hour]]&gt;=U$2),1,0)</f>
        <v>0</v>
      </c>
      <c r="V24" s="329" t="n">
        <f aca="false" t="array" ref="V24:V24">IF(AND(V$2&lt;&gt;0,TblTech[[#This Row],[Hour]:[Hour]]&gt;=V$2),1,0)</f>
        <v>0</v>
      </c>
      <c r="W24" s="329" t="n">
        <f aca="false" t="array" ref="W24:W24">IF(AND(W$2&lt;&gt;0,TblTech[[#This Row],[Hour]:[Hour]]&gt;=W$2),1,0)</f>
        <v>0</v>
      </c>
      <c r="X24" s="329" t="n">
        <f aca="false" t="array" ref="X24:X24">IF(AND(X$2&lt;&gt;0,TblTech[[#This Row],[Hour]:[Hour]]&gt;=X$2),1,0)</f>
        <v>0</v>
      </c>
      <c r="Y24" s="329" t="n">
        <f aca="false" t="array" ref="Y24:Y24">IF(AND(Y$2&lt;&gt;0,TblTech[[#This Row],[Hour]:[Hour]]&gt;=Y$2),1,0)</f>
        <v>0</v>
      </c>
      <c r="Z24" s="329" t="n">
        <f aca="false" t="array" ref="Z24:Z24">IF(AND(Z$2&lt;&gt;0,TblTech[[#This Row],[Hour]:[Hour]]&gt;=Z$2),1,0)</f>
        <v>0</v>
      </c>
      <c r="AA24" s="329" t="n">
        <f aca="false" t="array" ref="AA24:AA24">IF(AND(AA$2&lt;&gt;0,TblTech[[#This Row],[Hour]:[Hour]]&gt;=AA$2),1,0)</f>
        <v>0</v>
      </c>
      <c r="AB24" s="329" t="n">
        <f aca="false" t="array" ref="AB24:AB24">IF(AND(AB$2&lt;&gt;0,TblTech[[#This Row],[Hour]:[Hour]]&gt;=AB$2),1,0)</f>
        <v>0</v>
      </c>
      <c r="AC24" s="329" t="n">
        <f aca="false" t="array" ref="AC24:AC24">IF(AND(AC$2&lt;&gt;0,TblTech[[#This Row],[Hour]:[Hour]]&gt;=AC$2),1,0)</f>
        <v>0</v>
      </c>
      <c r="AD24" s="329" t="n">
        <f aca="false" t="array" ref="AD24:AD24">IF(AND(AD$2&lt;&gt;0,TblTech[[#This Row],[Hour]:[Hour]]&gt;=AD$2),1,0)</f>
        <v>0</v>
      </c>
      <c r="AE24" s="329" t="n">
        <f aca="false" t="array" ref="AE24:AE24">IF(AND(AE$2&lt;&gt;0,TblTech[[#This Row],[Hour]:[Hour]]&gt;=AE$2),1,0)</f>
        <v>0</v>
      </c>
      <c r="AF24" s="329" t="n">
        <f aca="false" t="array" ref="AF24:AF24">IF(AND(AF$2&lt;&gt;0,TblTech[[#This Row],[Hour]:[Hour]]&gt;=AF$2),1,0)</f>
        <v>0</v>
      </c>
      <c r="AG24" s="329" t="n">
        <f aca="false" t="array" ref="AG24:AG24">IF(AND(AG$2&lt;&gt;0,TblTech[[#This Row],[Hour]:[Hour]]&gt;=AG$2),1,0)</f>
        <v>0</v>
      </c>
      <c r="AH24" s="329" t="n">
        <f aca="false" t="array" ref="AH24:AH24">IF(AND(AH$2&lt;&gt;0,TblTech[[#This Row],[Hour]:[Hour]]&gt;=AH$2),1,0)</f>
        <v>0</v>
      </c>
      <c r="AI24" s="329" t="n">
        <f aca="false" t="array" ref="AI24:AI24">IF(AND(AI$2&lt;&gt;0,TblTech[[#This Row],[Hour]:[Hour]]&gt;=AI$2),1,0)</f>
        <v>0</v>
      </c>
      <c r="AJ24" s="329" t="n">
        <f aca="false" t="array" ref="AJ24:AJ24">IF(AND(AJ$2&lt;&gt;0,TblTech[[#This Row],[Hour]:[Hour]]&gt;=AJ$2),1,0)</f>
        <v>0</v>
      </c>
      <c r="AK24" s="329" t="n">
        <f aca="false" t="array" ref="AK24:AK24">IF(AND(AK$2&lt;&gt;0,TblTech[[#This Row],[Hour]:[Hour]]&gt;=AK$2),1,0)</f>
        <v>0</v>
      </c>
      <c r="AL24" s="329" t="n">
        <f aca="false" t="array" ref="AL24:AL24">IF(AND(AL$2&lt;&gt;0,TblTech[[#This Row],[Hour]:[Hour]]&gt;=AL$2),1,0)</f>
        <v>0</v>
      </c>
      <c r="AM24" s="329" t="n">
        <f aca="false" t="array" ref="AM24:AM24">IF(AND(AM$2&lt;&gt;0,TblTech[[#This Row],[Hour]:[Hour]]&gt;=AM$2),1,0)</f>
        <v>0</v>
      </c>
      <c r="AN24" s="329" t="n">
        <f aca="false" t="array" ref="AN24:AN24">IF(AND(AN$2&lt;&gt;0,TblTech[[#This Row],[Hour]:[Hour]]&gt;=AN$2),1,0)</f>
        <v>0</v>
      </c>
      <c r="AO24" s="329" t="n">
        <f aca="false" t="array" ref="AO24:AO24">IF(AND(AO$2&lt;&gt;0,TblTech[[#This Row],[Hour]:[Hour]]&gt;=AO$2),1,0)</f>
        <v>0</v>
      </c>
      <c r="AP24" s="329" t="n">
        <f aca="false" t="array" ref="AP24:AP24">IF(AND(AP$2&lt;&gt;0,TblTech[[#This Row],[Hour]:[Hour]]&gt;=AP$2),1,0)</f>
        <v>0</v>
      </c>
      <c r="AQ24" s="329" t="n">
        <f aca="false" t="array" ref="AQ24:AQ24">IF(AND(AQ$2&lt;&gt;0,TblTech[[#This Row],[Hour]:[Hour]]&gt;=AQ$2),1,0)</f>
        <v>0</v>
      </c>
      <c r="AR24" s="329" t="n">
        <f aca="false" t="array" ref="AR24:AR24">IF(AND(AR$2&lt;&gt;0,TblTech[[#This Row],[Hour]:[Hour]]&gt;=AR$2),1,0)</f>
        <v>0</v>
      </c>
      <c r="AS24" s="329" t="n">
        <f aca="false" t="array" ref="AS24:AS24">IF(AND(AS$2&lt;&gt;0,TblTech[[#This Row],[Hour]:[Hour]]&gt;=AS$2),1,0)</f>
        <v>0</v>
      </c>
      <c r="AT24" s="329" t="n">
        <f aca="false" t="array" ref="AT24:AT24">IF(AND(AT$2&lt;&gt;0,TblTech[[#This Row],[Hour]:[Hour]]&gt;=AT$2),1,0)</f>
        <v>0</v>
      </c>
      <c r="AU24" s="329" t="n">
        <f aca="false" t="array" ref="AU24:AU24">IF(AND(AU$2&lt;&gt;0,TblTech[[#This Row],[Hour]:[Hour]]&gt;=AU$2),1,0)</f>
        <v>0</v>
      </c>
      <c r="AV24" s="329" t="n">
        <f aca="false" t="array" ref="AV24:AV24">IF(AND(AV$2&lt;&gt;0,TblTech[[#This Row],[Hour]:[Hour]]&gt;=AV$2),1,0)</f>
        <v>0</v>
      </c>
      <c r="AW24" s="329" t="n">
        <f aca="false" t="array" ref="AW24:AW24">IF(AND(AW$2&lt;&gt;0,TblTech[[#This Row],[Hour]:[Hour]]&gt;=AW$2),1,0)</f>
        <v>0</v>
      </c>
      <c r="AX24" s="329" t="n">
        <f aca="false" t="array" ref="AX24:AX24">IF(AND(AX$2&lt;&gt;0,TblTech[[#This Row],[Hour]:[Hour]]&gt;=AX$2),1,0)</f>
        <v>0</v>
      </c>
      <c r="AY24" s="329" t="n">
        <f aca="false" t="array" ref="AY24:AY24">IF(AND(AY$2&lt;&gt;0,TblTech[[#This Row],[Hour]:[Hour]]&gt;=AY$2),1,0)</f>
        <v>0</v>
      </c>
      <c r="AZ24" s="329" t="n">
        <f aca="false" t="array" ref="AZ24:AZ24">IF(AND(AZ$2&lt;&gt;0,TblTech[[#This Row],[Hour]:[Hour]]&gt;=AZ$2),1,0)</f>
        <v>0</v>
      </c>
      <c r="BA24" s="329" t="n">
        <f aca="false" t="array" ref="BA24:BA24">IF(AND(BA$2&lt;&gt;0,TblTech[[#This Row],[Hour]:[Hour]]&gt;=BA$2),1,0)</f>
        <v>0</v>
      </c>
      <c r="BB24" s="329" t="n">
        <f aca="false" t="array" ref="BB24:BB24">IF(AND(BB$2&lt;&gt;0,TblTech[[#This Row],[Hour]:[Hour]]&gt;=BB$2),1,0)</f>
        <v>0</v>
      </c>
      <c r="BC24" s="329" t="n">
        <f aca="false" t="array" ref="BC24:BC24">IF(AND(BC$2&lt;&gt;0,TblTech[[#This Row],[Hour]:[Hour]]&gt;=BC$2),1,0)</f>
        <v>0</v>
      </c>
      <c r="BD24" s="329" t="n">
        <f aca="false" t="array" ref="BD24:BD24">IF(AND(BD$2&lt;&gt;0,TblTech[[#This Row],[Hour]:[Hour]]&gt;=BD$2),1,0)</f>
        <v>0</v>
      </c>
      <c r="BE24" s="329" t="n">
        <f aca="false" t="array" ref="BE24:BE24">IF(AND(BE$2&lt;&gt;0,TblTech[[#This Row],[Hour]:[Hour]]&gt;=BE$2),1,0)</f>
        <v>0</v>
      </c>
      <c r="BF24" s="329" t="n">
        <f aca="false" t="array" ref="BF24:BF24">IF(AND(BF$2&lt;&gt;0,TblTech[[#This Row],[Hour]:[Hour]]&gt;=BF$2),1,0)</f>
        <v>0</v>
      </c>
      <c r="BG24" s="329" t="n">
        <f aca="false" t="array" ref="BG24:BG24">IF(AND(BG$2&lt;&gt;0,TblTech[[#This Row],[Hour]:[Hour]]&gt;=BG$2),1,0)</f>
        <v>0</v>
      </c>
      <c r="BH24" s="329" t="n">
        <f aca="false" t="array" ref="BH24:BH24">IF(AND(BH$2&lt;&gt;0,TblTech[[#This Row],[Hour]:[Hour]]&gt;=BH$2),1,0)</f>
        <v>0</v>
      </c>
      <c r="BI24" s="329" t="n">
        <f aca="false" t="array" ref="BI24:BI24">IF(AND(BI$2&lt;&gt;0,TblTech[[#This Row],[Hour]:[Hour]]&gt;=BI$2),1,0)</f>
        <v>0</v>
      </c>
      <c r="BJ24" s="329" t="n">
        <f aca="false" t="array" ref="BJ24:BJ24">IF(AND(BJ$2&lt;&gt;0,TblTech[[#This Row],[Hour]:[Hour]]&gt;=BJ$2),1,0)</f>
        <v>0</v>
      </c>
      <c r="BK24" s="329" t="n">
        <f aca="false" t="array" ref="BK24:BK24">IF(AND(BK$2&lt;&gt;0,TblTech[[#This Row],[Hour]:[Hour]]&gt;=BK$2),1,0)</f>
        <v>0</v>
      </c>
      <c r="BL24" s="329" t="n">
        <f aca="false" t="array" ref="BL24:BL24">IF(AND(BL$2&lt;&gt;0,TblTech[[#This Row],[Hour]:[Hour]]&gt;=BL$2),1,0)</f>
        <v>0</v>
      </c>
      <c r="BM24" s="329" t="n">
        <f aca="false" t="array" ref="BM24:BM24">IF(AND(BM$2&lt;&gt;0,TblTech[[#This Row],[Hour]:[Hour]]&gt;=BM$2),1,0)</f>
        <v>0</v>
      </c>
      <c r="BN24" s="329" t="n">
        <f aca="false" t="array" ref="BN24:BN24">IF(AND(BN$2&lt;&gt;0,TblTech[[#This Row],[Hour]:[Hour]]&gt;=BN$2),1,0)</f>
        <v>0</v>
      </c>
      <c r="BO24" s="329" t="n">
        <f aca="false" t="array" ref="BO24:BO24">IF(AND(BO$2&lt;&gt;0,TblTech[[#This Row],[Hour]:[Hour]]&gt;=BO$2),1,0)</f>
        <v>0</v>
      </c>
      <c r="BP24" s="329" t="n">
        <f aca="false" t="array" ref="BP24:BP24">IF(AND(BP$2&lt;&gt;0,TblTech[[#This Row],[Hour]:[Hour]]&gt;=BP$2),1,0)</f>
        <v>0</v>
      </c>
      <c r="BQ24" s="329" t="n">
        <f aca="false" t="array" ref="BQ24:BQ24">IF(AND(BQ$2&lt;&gt;0,TblTech[[#This Row],[Hour]:[Hour]]&gt;=BQ$2),1,0)</f>
        <v>0</v>
      </c>
      <c r="BR24" s="329" t="n">
        <f aca="false" t="array" ref="BR24:BR24">IF(AND(BR$2&lt;&gt;0,TblTech[[#This Row],[Hour]:[Hour]]&gt;=BR$2),1,0)</f>
        <v>0</v>
      </c>
      <c r="BS24" s="329" t="n">
        <f aca="false" t="array" ref="BS24:BS24">IF(AND(BS$2&lt;&gt;0,TblTech[[#This Row],[Hour]:[Hour]]&gt;=BS$2),1,0)</f>
        <v>0</v>
      </c>
      <c r="BT24" s="329" t="n">
        <f aca="false" t="array" ref="BT24:BT24">IF(AND(BT$2&lt;&gt;0,TblTech[[#This Row],[Hour]:[Hour]]&gt;=BT$2),1,0)</f>
        <v>0</v>
      </c>
      <c r="BU24" s="329" t="n">
        <f aca="false" t="array" ref="BU24:BU24">IF(AND(BU$2&lt;&gt;0,TblTech[[#This Row],[Hour]:[Hour]]&gt;=BU$2),1,0)</f>
        <v>0</v>
      </c>
      <c r="BV24" s="329" t="n">
        <f aca="false" t="array" ref="BV24:BV24">IF(AND(BV$2&lt;&gt;0,TblTech[[#This Row],[Hour]:[Hour]]&gt;=BV$2),1,0)</f>
        <v>0</v>
      </c>
      <c r="BW24" s="329" t="n">
        <f aca="false" t="array" ref="BW24:BW24">IF(AND(BW$2&lt;&gt;0,TblTech[[#This Row],[Hour]:[Hour]]&gt;=BW$2),1,0)</f>
        <v>0</v>
      </c>
      <c r="BX24" s="329" t="n">
        <f aca="false" t="array" ref="BX24:BX24">IF(AND(BX$2&lt;&gt;0,TblTech[[#This Row],[Hour]:[Hour]]&gt;=BX$2),1,0)</f>
        <v>0</v>
      </c>
      <c r="BY24" s="329" t="n">
        <f aca="false" t="array" ref="BY24:BY24">IF(AND(BY$2&lt;&gt;0,TblTech[[#This Row],[Hour]:[Hour]]&gt;=BY$2),1,0)</f>
        <v>0</v>
      </c>
      <c r="BZ24" s="329" t="n">
        <f aca="false" t="array" ref="BZ24:BZ24">IF(AND(BZ$2&lt;&gt;0,TblTech[[#This Row],[Hour]:[Hour]]&gt;=BZ$2),1,0)</f>
        <v>0</v>
      </c>
      <c r="CA24" s="330" t="n">
        <f aca="false">IFERROR(INDEX($H$4:$H$79,MATCH(INDEX(TblTech[[#Headers],[1-1]:[11-1]],1,MATCH(TblTech[[#This Row],[Hour]],$M$2:$BZ$2,0)),$G$4:$G$79,0)),)</f>
        <v>0</v>
      </c>
    </row>
    <row r="25" customFormat="false" ht="12.75" hidden="false" customHeight="false" outlineLevel="0" collapsed="false">
      <c r="A25" s="321" t="n">
        <f aca="false">TblRezone[[#This Row],[Hour]]</f>
        <v>22</v>
      </c>
      <c r="B25" s="322" t="n">
        <f aca="false">TblExplore[[#This Row],[Land-DB]]</f>
        <v>278</v>
      </c>
      <c r="C25" s="323" t="n">
        <f aca="false">TblProd[[#This Row],[Techpoints]]</f>
        <v>0</v>
      </c>
      <c r="D25" s="323" t="n">
        <f aca="false">TblProd[[#This Row],[Required]]</f>
        <v>3750</v>
      </c>
      <c r="E25" s="324"/>
      <c r="F25" s="325"/>
      <c r="G25" s="326" t="s">
        <v>544</v>
      </c>
      <c r="H25" s="327" t="s">
        <v>631</v>
      </c>
      <c r="I25" s="326" t="s">
        <v>632</v>
      </c>
      <c r="J25" s="322"/>
      <c r="K25" s="68" t="n">
        <f aca="false">IF(TblTech[[#This Row],[Sum of tech]]&lt;&gt;OFFSET(TblTech[[#This Row],[Sum of tech]],-1,0),1,0)</f>
        <v>0</v>
      </c>
      <c r="L25" s="328" t="n">
        <f aca="false">COUNTIF(TblTech[[#This Row],[1-1]:[11-1]],1)</f>
        <v>0</v>
      </c>
      <c r="M25" s="329" t="n">
        <f aca="false" t="array" ref="M25:M25">IF(AND(M$2&lt;&gt;0,TblTech[[#This Row],[Hour]:[Hour]]&gt;=M$2),1,0)</f>
        <v>0</v>
      </c>
      <c r="N25" s="329" t="n">
        <f aca="false" t="array" ref="N25:N25">IF(AND(N$2&lt;&gt;0,TblTech[[#This Row],[Hour]:[Hour]]&gt;=N$2),1,0)</f>
        <v>0</v>
      </c>
      <c r="O25" s="329" t="n">
        <f aca="false" t="array" ref="O25:O25">IF(AND(O$2&lt;&gt;0,TblTech[[#This Row],[Hour]:[Hour]]&gt;=O$2),1,0)</f>
        <v>0</v>
      </c>
      <c r="P25" s="329" t="n">
        <f aca="false" t="array" ref="P25:P25">IF(AND(P$2&lt;&gt;0,TblTech[[#This Row],[Hour]:[Hour]]&gt;=P$2),1,0)</f>
        <v>0</v>
      </c>
      <c r="Q25" s="329" t="n">
        <f aca="false" t="array" ref="Q25:Q25">IF(AND(Q$2&lt;&gt;0,TblTech[[#This Row],[Hour]:[Hour]]&gt;=Q$2),1,0)</f>
        <v>0</v>
      </c>
      <c r="R25" s="329" t="n">
        <f aca="false" t="array" ref="R25:R25">IF(AND(R$2&lt;&gt;0,TblTech[[#This Row],[Hour]:[Hour]]&gt;=R$2),1,0)</f>
        <v>0</v>
      </c>
      <c r="S25" s="329" t="n">
        <f aca="false" t="array" ref="S25:S25">IF(AND(S$2&lt;&gt;0,TblTech[[#This Row],[Hour]:[Hour]]&gt;=S$2),1,0)</f>
        <v>0</v>
      </c>
      <c r="T25" s="329" t="n">
        <f aca="false" t="array" ref="T25:T25">IF(AND(T$2&lt;&gt;0,TblTech[[#This Row],[Hour]:[Hour]]&gt;=T$2),1,0)</f>
        <v>0</v>
      </c>
      <c r="U25" s="329" t="n">
        <f aca="false" t="array" ref="U25:U25">IF(AND(U$2&lt;&gt;0,TblTech[[#This Row],[Hour]:[Hour]]&gt;=U$2),1,0)</f>
        <v>0</v>
      </c>
      <c r="V25" s="329" t="n">
        <f aca="false" t="array" ref="V25:V25">IF(AND(V$2&lt;&gt;0,TblTech[[#This Row],[Hour]:[Hour]]&gt;=V$2),1,0)</f>
        <v>0</v>
      </c>
      <c r="W25" s="329" t="n">
        <f aca="false" t="array" ref="W25:W25">IF(AND(W$2&lt;&gt;0,TblTech[[#This Row],[Hour]:[Hour]]&gt;=W$2),1,0)</f>
        <v>0</v>
      </c>
      <c r="X25" s="329" t="n">
        <f aca="false" t="array" ref="X25:X25">IF(AND(X$2&lt;&gt;0,TblTech[[#This Row],[Hour]:[Hour]]&gt;=X$2),1,0)</f>
        <v>0</v>
      </c>
      <c r="Y25" s="329" t="n">
        <f aca="false" t="array" ref="Y25:Y25">IF(AND(Y$2&lt;&gt;0,TblTech[[#This Row],[Hour]:[Hour]]&gt;=Y$2),1,0)</f>
        <v>0</v>
      </c>
      <c r="Z25" s="329" t="n">
        <f aca="false" t="array" ref="Z25:Z25">IF(AND(Z$2&lt;&gt;0,TblTech[[#This Row],[Hour]:[Hour]]&gt;=Z$2),1,0)</f>
        <v>0</v>
      </c>
      <c r="AA25" s="329" t="n">
        <f aca="false" t="array" ref="AA25:AA25">IF(AND(AA$2&lt;&gt;0,TblTech[[#This Row],[Hour]:[Hour]]&gt;=AA$2),1,0)</f>
        <v>0</v>
      </c>
      <c r="AB25" s="329" t="n">
        <f aca="false" t="array" ref="AB25:AB25">IF(AND(AB$2&lt;&gt;0,TblTech[[#This Row],[Hour]:[Hour]]&gt;=AB$2),1,0)</f>
        <v>0</v>
      </c>
      <c r="AC25" s="329" t="n">
        <f aca="false" t="array" ref="AC25:AC25">IF(AND(AC$2&lt;&gt;0,TblTech[[#This Row],[Hour]:[Hour]]&gt;=AC$2),1,0)</f>
        <v>0</v>
      </c>
      <c r="AD25" s="329" t="n">
        <f aca="false" t="array" ref="AD25:AD25">IF(AND(AD$2&lt;&gt;0,TblTech[[#This Row],[Hour]:[Hour]]&gt;=AD$2),1,0)</f>
        <v>0</v>
      </c>
      <c r="AE25" s="329" t="n">
        <f aca="false" t="array" ref="AE25:AE25">IF(AND(AE$2&lt;&gt;0,TblTech[[#This Row],[Hour]:[Hour]]&gt;=AE$2),1,0)</f>
        <v>0</v>
      </c>
      <c r="AF25" s="329" t="n">
        <f aca="false" t="array" ref="AF25:AF25">IF(AND(AF$2&lt;&gt;0,TblTech[[#This Row],[Hour]:[Hour]]&gt;=AF$2),1,0)</f>
        <v>0</v>
      </c>
      <c r="AG25" s="329" t="n">
        <f aca="false" t="array" ref="AG25:AG25">IF(AND(AG$2&lt;&gt;0,TblTech[[#This Row],[Hour]:[Hour]]&gt;=AG$2),1,0)</f>
        <v>0</v>
      </c>
      <c r="AH25" s="329" t="n">
        <f aca="false" t="array" ref="AH25:AH25">IF(AND(AH$2&lt;&gt;0,TblTech[[#This Row],[Hour]:[Hour]]&gt;=AH$2),1,0)</f>
        <v>0</v>
      </c>
      <c r="AI25" s="329" t="n">
        <f aca="false" t="array" ref="AI25:AI25">IF(AND(AI$2&lt;&gt;0,TblTech[[#This Row],[Hour]:[Hour]]&gt;=AI$2),1,0)</f>
        <v>0</v>
      </c>
      <c r="AJ25" s="329" t="n">
        <f aca="false" t="array" ref="AJ25:AJ25">IF(AND(AJ$2&lt;&gt;0,TblTech[[#This Row],[Hour]:[Hour]]&gt;=AJ$2),1,0)</f>
        <v>0</v>
      </c>
      <c r="AK25" s="329" t="n">
        <f aca="false" t="array" ref="AK25:AK25">IF(AND(AK$2&lt;&gt;0,TblTech[[#This Row],[Hour]:[Hour]]&gt;=AK$2),1,0)</f>
        <v>0</v>
      </c>
      <c r="AL25" s="329" t="n">
        <f aca="false" t="array" ref="AL25:AL25">IF(AND(AL$2&lt;&gt;0,TblTech[[#This Row],[Hour]:[Hour]]&gt;=AL$2),1,0)</f>
        <v>0</v>
      </c>
      <c r="AM25" s="329" t="n">
        <f aca="false" t="array" ref="AM25:AM25">IF(AND(AM$2&lt;&gt;0,TblTech[[#This Row],[Hour]:[Hour]]&gt;=AM$2),1,0)</f>
        <v>0</v>
      </c>
      <c r="AN25" s="329" t="n">
        <f aca="false" t="array" ref="AN25:AN25">IF(AND(AN$2&lt;&gt;0,TblTech[[#This Row],[Hour]:[Hour]]&gt;=AN$2),1,0)</f>
        <v>0</v>
      </c>
      <c r="AO25" s="329" t="n">
        <f aca="false" t="array" ref="AO25:AO25">IF(AND(AO$2&lt;&gt;0,TblTech[[#This Row],[Hour]:[Hour]]&gt;=AO$2),1,0)</f>
        <v>0</v>
      </c>
      <c r="AP25" s="329" t="n">
        <f aca="false" t="array" ref="AP25:AP25">IF(AND(AP$2&lt;&gt;0,TblTech[[#This Row],[Hour]:[Hour]]&gt;=AP$2),1,0)</f>
        <v>0</v>
      </c>
      <c r="AQ25" s="329" t="n">
        <f aca="false" t="array" ref="AQ25:AQ25">IF(AND(AQ$2&lt;&gt;0,TblTech[[#This Row],[Hour]:[Hour]]&gt;=AQ$2),1,0)</f>
        <v>0</v>
      </c>
      <c r="AR25" s="329" t="n">
        <f aca="false" t="array" ref="AR25:AR25">IF(AND(AR$2&lt;&gt;0,TblTech[[#This Row],[Hour]:[Hour]]&gt;=AR$2),1,0)</f>
        <v>0</v>
      </c>
      <c r="AS25" s="329" t="n">
        <f aca="false" t="array" ref="AS25:AS25">IF(AND(AS$2&lt;&gt;0,TblTech[[#This Row],[Hour]:[Hour]]&gt;=AS$2),1,0)</f>
        <v>0</v>
      </c>
      <c r="AT25" s="329" t="n">
        <f aca="false" t="array" ref="AT25:AT25">IF(AND(AT$2&lt;&gt;0,TblTech[[#This Row],[Hour]:[Hour]]&gt;=AT$2),1,0)</f>
        <v>0</v>
      </c>
      <c r="AU25" s="329" t="n">
        <f aca="false" t="array" ref="AU25:AU25">IF(AND(AU$2&lt;&gt;0,TblTech[[#This Row],[Hour]:[Hour]]&gt;=AU$2),1,0)</f>
        <v>0</v>
      </c>
      <c r="AV25" s="329" t="n">
        <f aca="false" t="array" ref="AV25:AV25">IF(AND(AV$2&lt;&gt;0,TblTech[[#This Row],[Hour]:[Hour]]&gt;=AV$2),1,0)</f>
        <v>0</v>
      </c>
      <c r="AW25" s="329" t="n">
        <f aca="false" t="array" ref="AW25:AW25">IF(AND(AW$2&lt;&gt;0,TblTech[[#This Row],[Hour]:[Hour]]&gt;=AW$2),1,0)</f>
        <v>0</v>
      </c>
      <c r="AX25" s="329" t="n">
        <f aca="false" t="array" ref="AX25:AX25">IF(AND(AX$2&lt;&gt;0,TblTech[[#This Row],[Hour]:[Hour]]&gt;=AX$2),1,0)</f>
        <v>0</v>
      </c>
      <c r="AY25" s="329" t="n">
        <f aca="false" t="array" ref="AY25:AY25">IF(AND(AY$2&lt;&gt;0,TblTech[[#This Row],[Hour]:[Hour]]&gt;=AY$2),1,0)</f>
        <v>0</v>
      </c>
      <c r="AZ25" s="329" t="n">
        <f aca="false" t="array" ref="AZ25:AZ25">IF(AND(AZ$2&lt;&gt;0,TblTech[[#This Row],[Hour]:[Hour]]&gt;=AZ$2),1,0)</f>
        <v>0</v>
      </c>
      <c r="BA25" s="329" t="n">
        <f aca="false" t="array" ref="BA25:BA25">IF(AND(BA$2&lt;&gt;0,TblTech[[#This Row],[Hour]:[Hour]]&gt;=BA$2),1,0)</f>
        <v>0</v>
      </c>
      <c r="BB25" s="329" t="n">
        <f aca="false" t="array" ref="BB25:BB25">IF(AND(BB$2&lt;&gt;0,TblTech[[#This Row],[Hour]:[Hour]]&gt;=BB$2),1,0)</f>
        <v>0</v>
      </c>
      <c r="BC25" s="329" t="n">
        <f aca="false" t="array" ref="BC25:BC25">IF(AND(BC$2&lt;&gt;0,TblTech[[#This Row],[Hour]:[Hour]]&gt;=BC$2),1,0)</f>
        <v>0</v>
      </c>
      <c r="BD25" s="329" t="n">
        <f aca="false" t="array" ref="BD25:BD25">IF(AND(BD$2&lt;&gt;0,TblTech[[#This Row],[Hour]:[Hour]]&gt;=BD$2),1,0)</f>
        <v>0</v>
      </c>
      <c r="BE25" s="329" t="n">
        <f aca="false" t="array" ref="BE25:BE25">IF(AND(BE$2&lt;&gt;0,TblTech[[#This Row],[Hour]:[Hour]]&gt;=BE$2),1,0)</f>
        <v>0</v>
      </c>
      <c r="BF25" s="329" t="n">
        <f aca="false" t="array" ref="BF25:BF25">IF(AND(BF$2&lt;&gt;0,TblTech[[#This Row],[Hour]:[Hour]]&gt;=BF$2),1,0)</f>
        <v>0</v>
      </c>
      <c r="BG25" s="329" t="n">
        <f aca="false" t="array" ref="BG25:BG25">IF(AND(BG$2&lt;&gt;0,TblTech[[#This Row],[Hour]:[Hour]]&gt;=BG$2),1,0)</f>
        <v>0</v>
      </c>
      <c r="BH25" s="329" t="n">
        <f aca="false" t="array" ref="BH25:BH25">IF(AND(BH$2&lt;&gt;0,TblTech[[#This Row],[Hour]:[Hour]]&gt;=BH$2),1,0)</f>
        <v>0</v>
      </c>
      <c r="BI25" s="329" t="n">
        <f aca="false" t="array" ref="BI25:BI25">IF(AND(BI$2&lt;&gt;0,TblTech[[#This Row],[Hour]:[Hour]]&gt;=BI$2),1,0)</f>
        <v>0</v>
      </c>
      <c r="BJ25" s="329" t="n">
        <f aca="false" t="array" ref="BJ25:BJ25">IF(AND(BJ$2&lt;&gt;0,TblTech[[#This Row],[Hour]:[Hour]]&gt;=BJ$2),1,0)</f>
        <v>0</v>
      </c>
      <c r="BK25" s="329" t="n">
        <f aca="false" t="array" ref="BK25:BK25">IF(AND(BK$2&lt;&gt;0,TblTech[[#This Row],[Hour]:[Hour]]&gt;=BK$2),1,0)</f>
        <v>0</v>
      </c>
      <c r="BL25" s="329" t="n">
        <f aca="false" t="array" ref="BL25:BL25">IF(AND(BL$2&lt;&gt;0,TblTech[[#This Row],[Hour]:[Hour]]&gt;=BL$2),1,0)</f>
        <v>0</v>
      </c>
      <c r="BM25" s="329" t="n">
        <f aca="false" t="array" ref="BM25:BM25">IF(AND(BM$2&lt;&gt;0,TblTech[[#This Row],[Hour]:[Hour]]&gt;=BM$2),1,0)</f>
        <v>0</v>
      </c>
      <c r="BN25" s="329" t="n">
        <f aca="false" t="array" ref="BN25:BN25">IF(AND(BN$2&lt;&gt;0,TblTech[[#This Row],[Hour]:[Hour]]&gt;=BN$2),1,0)</f>
        <v>0</v>
      </c>
      <c r="BO25" s="329" t="n">
        <f aca="false" t="array" ref="BO25:BO25">IF(AND(BO$2&lt;&gt;0,TblTech[[#This Row],[Hour]:[Hour]]&gt;=BO$2),1,0)</f>
        <v>0</v>
      </c>
      <c r="BP25" s="329" t="n">
        <f aca="false" t="array" ref="BP25:BP25">IF(AND(BP$2&lt;&gt;0,TblTech[[#This Row],[Hour]:[Hour]]&gt;=BP$2),1,0)</f>
        <v>0</v>
      </c>
      <c r="BQ25" s="329" t="n">
        <f aca="false" t="array" ref="BQ25:BQ25">IF(AND(BQ$2&lt;&gt;0,TblTech[[#This Row],[Hour]:[Hour]]&gt;=BQ$2),1,0)</f>
        <v>0</v>
      </c>
      <c r="BR25" s="329" t="n">
        <f aca="false" t="array" ref="BR25:BR25">IF(AND(BR$2&lt;&gt;0,TblTech[[#This Row],[Hour]:[Hour]]&gt;=BR$2),1,0)</f>
        <v>0</v>
      </c>
      <c r="BS25" s="329" t="n">
        <f aca="false" t="array" ref="BS25:BS25">IF(AND(BS$2&lt;&gt;0,TblTech[[#This Row],[Hour]:[Hour]]&gt;=BS$2),1,0)</f>
        <v>0</v>
      </c>
      <c r="BT25" s="329" t="n">
        <f aca="false" t="array" ref="BT25:BT25">IF(AND(BT$2&lt;&gt;0,TblTech[[#This Row],[Hour]:[Hour]]&gt;=BT$2),1,0)</f>
        <v>0</v>
      </c>
      <c r="BU25" s="329" t="n">
        <f aca="false" t="array" ref="BU25:BU25">IF(AND(BU$2&lt;&gt;0,TblTech[[#This Row],[Hour]:[Hour]]&gt;=BU$2),1,0)</f>
        <v>0</v>
      </c>
      <c r="BV25" s="329" t="n">
        <f aca="false" t="array" ref="BV25:BV25">IF(AND(BV$2&lt;&gt;0,TblTech[[#This Row],[Hour]:[Hour]]&gt;=BV$2),1,0)</f>
        <v>0</v>
      </c>
      <c r="BW25" s="329" t="n">
        <f aca="false" t="array" ref="BW25:BW25">IF(AND(BW$2&lt;&gt;0,TblTech[[#This Row],[Hour]:[Hour]]&gt;=BW$2),1,0)</f>
        <v>0</v>
      </c>
      <c r="BX25" s="329" t="n">
        <f aca="false" t="array" ref="BX25:BX25">IF(AND(BX$2&lt;&gt;0,TblTech[[#This Row],[Hour]:[Hour]]&gt;=BX$2),1,0)</f>
        <v>0</v>
      </c>
      <c r="BY25" s="329" t="n">
        <f aca="false" t="array" ref="BY25:BY25">IF(AND(BY$2&lt;&gt;0,TblTech[[#This Row],[Hour]:[Hour]]&gt;=BY$2),1,0)</f>
        <v>0</v>
      </c>
      <c r="BZ25" s="329" t="n">
        <f aca="false" t="array" ref="BZ25:BZ25">IF(AND(BZ$2&lt;&gt;0,TblTech[[#This Row],[Hour]:[Hour]]&gt;=BZ$2),1,0)</f>
        <v>0</v>
      </c>
      <c r="CA25" s="330" t="n">
        <f aca="false">IFERROR(INDEX($H$4:$H$79,MATCH(INDEX(TblTech[[#Headers],[1-1]:[11-1]],1,MATCH(TblTech[[#This Row],[Hour]],$M$2:$BZ$2,0)),$G$4:$G$79,0)),)</f>
        <v>0</v>
      </c>
    </row>
    <row r="26" customFormat="false" ht="12.75" hidden="false" customHeight="false" outlineLevel="0" collapsed="false">
      <c r="A26" s="321" t="n">
        <f aca="false">TblRezone[[#This Row],[Hour]]</f>
        <v>23</v>
      </c>
      <c r="B26" s="322" t="n">
        <f aca="false">TblExplore[[#This Row],[Land-DB]]</f>
        <v>279</v>
      </c>
      <c r="C26" s="323" t="n">
        <f aca="false">TblProd[[#This Row],[Techpoints]]</f>
        <v>0</v>
      </c>
      <c r="D26" s="323" t="n">
        <f aca="false">TblProd[[#This Row],[Required]]</f>
        <v>3750</v>
      </c>
      <c r="E26" s="324"/>
      <c r="F26" s="325"/>
      <c r="G26" s="326"/>
      <c r="H26" s="327"/>
      <c r="I26" s="326"/>
      <c r="J26" s="322"/>
      <c r="K26" s="68" t="n">
        <f aca="false">IF(TblTech[[#This Row],[Sum of tech]]&lt;&gt;OFFSET(TblTech[[#This Row],[Sum of tech]],-1,0),1,0)</f>
        <v>0</v>
      </c>
      <c r="L26" s="328" t="n">
        <f aca="false">COUNTIF(TblTech[[#This Row],[1-1]:[11-1]],1)</f>
        <v>0</v>
      </c>
      <c r="M26" s="329" t="n">
        <f aca="false" t="array" ref="M26:M26">IF(AND(M$2&lt;&gt;0,TblTech[[#This Row],[Hour]:[Hour]]&gt;=M$2),1,0)</f>
        <v>0</v>
      </c>
      <c r="N26" s="329" t="n">
        <f aca="false" t="array" ref="N26:N26">IF(AND(N$2&lt;&gt;0,TblTech[[#This Row],[Hour]:[Hour]]&gt;=N$2),1,0)</f>
        <v>0</v>
      </c>
      <c r="O26" s="329" t="n">
        <f aca="false" t="array" ref="O26:O26">IF(AND(O$2&lt;&gt;0,TblTech[[#This Row],[Hour]:[Hour]]&gt;=O$2),1,0)</f>
        <v>0</v>
      </c>
      <c r="P26" s="329" t="n">
        <f aca="false" t="array" ref="P26:P26">IF(AND(P$2&lt;&gt;0,TblTech[[#This Row],[Hour]:[Hour]]&gt;=P$2),1,0)</f>
        <v>0</v>
      </c>
      <c r="Q26" s="329" t="n">
        <f aca="false" t="array" ref="Q26:Q26">IF(AND(Q$2&lt;&gt;0,TblTech[[#This Row],[Hour]:[Hour]]&gt;=Q$2),1,0)</f>
        <v>0</v>
      </c>
      <c r="R26" s="329" t="n">
        <f aca="false" t="array" ref="R26:R26">IF(AND(R$2&lt;&gt;0,TblTech[[#This Row],[Hour]:[Hour]]&gt;=R$2),1,0)</f>
        <v>0</v>
      </c>
      <c r="S26" s="329" t="n">
        <f aca="false" t="array" ref="S26:S26">IF(AND(S$2&lt;&gt;0,TblTech[[#This Row],[Hour]:[Hour]]&gt;=S$2),1,0)</f>
        <v>0</v>
      </c>
      <c r="T26" s="329" t="n">
        <f aca="false" t="array" ref="T26:T26">IF(AND(T$2&lt;&gt;0,TblTech[[#This Row],[Hour]:[Hour]]&gt;=T$2),1,0)</f>
        <v>0</v>
      </c>
      <c r="U26" s="329" t="n">
        <f aca="false" t="array" ref="U26:U26">IF(AND(U$2&lt;&gt;0,TblTech[[#This Row],[Hour]:[Hour]]&gt;=U$2),1,0)</f>
        <v>0</v>
      </c>
      <c r="V26" s="329" t="n">
        <f aca="false" t="array" ref="V26:V26">IF(AND(V$2&lt;&gt;0,TblTech[[#This Row],[Hour]:[Hour]]&gt;=V$2),1,0)</f>
        <v>0</v>
      </c>
      <c r="W26" s="329" t="n">
        <f aca="false" t="array" ref="W26:W26">IF(AND(W$2&lt;&gt;0,TblTech[[#This Row],[Hour]:[Hour]]&gt;=W$2),1,0)</f>
        <v>0</v>
      </c>
      <c r="X26" s="329" t="n">
        <f aca="false" t="array" ref="X26:X26">IF(AND(X$2&lt;&gt;0,TblTech[[#This Row],[Hour]:[Hour]]&gt;=X$2),1,0)</f>
        <v>0</v>
      </c>
      <c r="Y26" s="329" t="n">
        <f aca="false" t="array" ref="Y26:Y26">IF(AND(Y$2&lt;&gt;0,TblTech[[#This Row],[Hour]:[Hour]]&gt;=Y$2),1,0)</f>
        <v>0</v>
      </c>
      <c r="Z26" s="329" t="n">
        <f aca="false" t="array" ref="Z26:Z26">IF(AND(Z$2&lt;&gt;0,TblTech[[#This Row],[Hour]:[Hour]]&gt;=Z$2),1,0)</f>
        <v>0</v>
      </c>
      <c r="AA26" s="329" t="n">
        <f aca="false" t="array" ref="AA26:AA26">IF(AND(AA$2&lt;&gt;0,TblTech[[#This Row],[Hour]:[Hour]]&gt;=AA$2),1,0)</f>
        <v>0</v>
      </c>
      <c r="AB26" s="329" t="n">
        <f aca="false" t="array" ref="AB26:AB26">IF(AND(AB$2&lt;&gt;0,TblTech[[#This Row],[Hour]:[Hour]]&gt;=AB$2),1,0)</f>
        <v>0</v>
      </c>
      <c r="AC26" s="329" t="n">
        <f aca="false" t="array" ref="AC26:AC26">IF(AND(AC$2&lt;&gt;0,TblTech[[#This Row],[Hour]:[Hour]]&gt;=AC$2),1,0)</f>
        <v>0</v>
      </c>
      <c r="AD26" s="329" t="n">
        <f aca="false" t="array" ref="AD26:AD26">IF(AND(AD$2&lt;&gt;0,TblTech[[#This Row],[Hour]:[Hour]]&gt;=AD$2),1,0)</f>
        <v>0</v>
      </c>
      <c r="AE26" s="329" t="n">
        <f aca="false" t="array" ref="AE26:AE26">IF(AND(AE$2&lt;&gt;0,TblTech[[#This Row],[Hour]:[Hour]]&gt;=AE$2),1,0)</f>
        <v>0</v>
      </c>
      <c r="AF26" s="329" t="n">
        <f aca="false" t="array" ref="AF26:AF26">IF(AND(AF$2&lt;&gt;0,TblTech[[#This Row],[Hour]:[Hour]]&gt;=AF$2),1,0)</f>
        <v>0</v>
      </c>
      <c r="AG26" s="329" t="n">
        <f aca="false" t="array" ref="AG26:AG26">IF(AND(AG$2&lt;&gt;0,TblTech[[#This Row],[Hour]:[Hour]]&gt;=AG$2),1,0)</f>
        <v>0</v>
      </c>
      <c r="AH26" s="329" t="n">
        <f aca="false" t="array" ref="AH26:AH26">IF(AND(AH$2&lt;&gt;0,TblTech[[#This Row],[Hour]:[Hour]]&gt;=AH$2),1,0)</f>
        <v>0</v>
      </c>
      <c r="AI26" s="329" t="n">
        <f aca="false" t="array" ref="AI26:AI26">IF(AND(AI$2&lt;&gt;0,TblTech[[#This Row],[Hour]:[Hour]]&gt;=AI$2),1,0)</f>
        <v>0</v>
      </c>
      <c r="AJ26" s="329" t="n">
        <f aca="false" t="array" ref="AJ26:AJ26">IF(AND(AJ$2&lt;&gt;0,TblTech[[#This Row],[Hour]:[Hour]]&gt;=AJ$2),1,0)</f>
        <v>0</v>
      </c>
      <c r="AK26" s="329" t="n">
        <f aca="false" t="array" ref="AK26:AK26">IF(AND(AK$2&lt;&gt;0,TblTech[[#This Row],[Hour]:[Hour]]&gt;=AK$2),1,0)</f>
        <v>0</v>
      </c>
      <c r="AL26" s="329" t="n">
        <f aca="false" t="array" ref="AL26:AL26">IF(AND(AL$2&lt;&gt;0,TblTech[[#This Row],[Hour]:[Hour]]&gt;=AL$2),1,0)</f>
        <v>0</v>
      </c>
      <c r="AM26" s="329" t="n">
        <f aca="false" t="array" ref="AM26:AM26">IF(AND(AM$2&lt;&gt;0,TblTech[[#This Row],[Hour]:[Hour]]&gt;=AM$2),1,0)</f>
        <v>0</v>
      </c>
      <c r="AN26" s="329" t="n">
        <f aca="false" t="array" ref="AN26:AN26">IF(AND(AN$2&lt;&gt;0,TblTech[[#This Row],[Hour]:[Hour]]&gt;=AN$2),1,0)</f>
        <v>0</v>
      </c>
      <c r="AO26" s="329" t="n">
        <f aca="false" t="array" ref="AO26:AO26">IF(AND(AO$2&lt;&gt;0,TblTech[[#This Row],[Hour]:[Hour]]&gt;=AO$2),1,0)</f>
        <v>0</v>
      </c>
      <c r="AP26" s="329" t="n">
        <f aca="false" t="array" ref="AP26:AP26">IF(AND(AP$2&lt;&gt;0,TblTech[[#This Row],[Hour]:[Hour]]&gt;=AP$2),1,0)</f>
        <v>0</v>
      </c>
      <c r="AQ26" s="329" t="n">
        <f aca="false" t="array" ref="AQ26:AQ26">IF(AND(AQ$2&lt;&gt;0,TblTech[[#This Row],[Hour]:[Hour]]&gt;=AQ$2),1,0)</f>
        <v>0</v>
      </c>
      <c r="AR26" s="329" t="n">
        <f aca="false" t="array" ref="AR26:AR26">IF(AND(AR$2&lt;&gt;0,TblTech[[#This Row],[Hour]:[Hour]]&gt;=AR$2),1,0)</f>
        <v>0</v>
      </c>
      <c r="AS26" s="329" t="n">
        <f aca="false" t="array" ref="AS26:AS26">IF(AND(AS$2&lt;&gt;0,TblTech[[#This Row],[Hour]:[Hour]]&gt;=AS$2),1,0)</f>
        <v>0</v>
      </c>
      <c r="AT26" s="329" t="n">
        <f aca="false" t="array" ref="AT26:AT26">IF(AND(AT$2&lt;&gt;0,TblTech[[#This Row],[Hour]:[Hour]]&gt;=AT$2),1,0)</f>
        <v>0</v>
      </c>
      <c r="AU26" s="329" t="n">
        <f aca="false" t="array" ref="AU26:AU26">IF(AND(AU$2&lt;&gt;0,TblTech[[#This Row],[Hour]:[Hour]]&gt;=AU$2),1,0)</f>
        <v>0</v>
      </c>
      <c r="AV26" s="329" t="n">
        <f aca="false" t="array" ref="AV26:AV26">IF(AND(AV$2&lt;&gt;0,TblTech[[#This Row],[Hour]:[Hour]]&gt;=AV$2),1,0)</f>
        <v>0</v>
      </c>
      <c r="AW26" s="329" t="n">
        <f aca="false" t="array" ref="AW26:AW26">IF(AND(AW$2&lt;&gt;0,TblTech[[#This Row],[Hour]:[Hour]]&gt;=AW$2),1,0)</f>
        <v>0</v>
      </c>
      <c r="AX26" s="329" t="n">
        <f aca="false" t="array" ref="AX26:AX26">IF(AND(AX$2&lt;&gt;0,TblTech[[#This Row],[Hour]:[Hour]]&gt;=AX$2),1,0)</f>
        <v>0</v>
      </c>
      <c r="AY26" s="329" t="n">
        <f aca="false" t="array" ref="AY26:AY26">IF(AND(AY$2&lt;&gt;0,TblTech[[#This Row],[Hour]:[Hour]]&gt;=AY$2),1,0)</f>
        <v>0</v>
      </c>
      <c r="AZ26" s="329" t="n">
        <f aca="false" t="array" ref="AZ26:AZ26">IF(AND(AZ$2&lt;&gt;0,TblTech[[#This Row],[Hour]:[Hour]]&gt;=AZ$2),1,0)</f>
        <v>0</v>
      </c>
      <c r="BA26" s="329" t="n">
        <f aca="false" t="array" ref="BA26:BA26">IF(AND(BA$2&lt;&gt;0,TblTech[[#This Row],[Hour]:[Hour]]&gt;=BA$2),1,0)</f>
        <v>0</v>
      </c>
      <c r="BB26" s="329" t="n">
        <f aca="false" t="array" ref="BB26:BB26">IF(AND(BB$2&lt;&gt;0,TblTech[[#This Row],[Hour]:[Hour]]&gt;=BB$2),1,0)</f>
        <v>0</v>
      </c>
      <c r="BC26" s="329" t="n">
        <f aca="false" t="array" ref="BC26:BC26">IF(AND(BC$2&lt;&gt;0,TblTech[[#This Row],[Hour]:[Hour]]&gt;=BC$2),1,0)</f>
        <v>0</v>
      </c>
      <c r="BD26" s="329" t="n">
        <f aca="false" t="array" ref="BD26:BD26">IF(AND(BD$2&lt;&gt;0,TblTech[[#This Row],[Hour]:[Hour]]&gt;=BD$2),1,0)</f>
        <v>0</v>
      </c>
      <c r="BE26" s="329" t="n">
        <f aca="false" t="array" ref="BE26:BE26">IF(AND(BE$2&lt;&gt;0,TblTech[[#This Row],[Hour]:[Hour]]&gt;=BE$2),1,0)</f>
        <v>0</v>
      </c>
      <c r="BF26" s="329" t="n">
        <f aca="false" t="array" ref="BF26:BF26">IF(AND(BF$2&lt;&gt;0,TblTech[[#This Row],[Hour]:[Hour]]&gt;=BF$2),1,0)</f>
        <v>0</v>
      </c>
      <c r="BG26" s="329" t="n">
        <f aca="false" t="array" ref="BG26:BG26">IF(AND(BG$2&lt;&gt;0,TblTech[[#This Row],[Hour]:[Hour]]&gt;=BG$2),1,0)</f>
        <v>0</v>
      </c>
      <c r="BH26" s="329" t="n">
        <f aca="false" t="array" ref="BH26:BH26">IF(AND(BH$2&lt;&gt;0,TblTech[[#This Row],[Hour]:[Hour]]&gt;=BH$2),1,0)</f>
        <v>0</v>
      </c>
      <c r="BI26" s="329" t="n">
        <f aca="false" t="array" ref="BI26:BI26">IF(AND(BI$2&lt;&gt;0,TblTech[[#This Row],[Hour]:[Hour]]&gt;=BI$2),1,0)</f>
        <v>0</v>
      </c>
      <c r="BJ26" s="329" t="n">
        <f aca="false" t="array" ref="BJ26:BJ26">IF(AND(BJ$2&lt;&gt;0,TblTech[[#This Row],[Hour]:[Hour]]&gt;=BJ$2),1,0)</f>
        <v>0</v>
      </c>
      <c r="BK26" s="329" t="n">
        <f aca="false" t="array" ref="BK26:BK26">IF(AND(BK$2&lt;&gt;0,TblTech[[#This Row],[Hour]:[Hour]]&gt;=BK$2),1,0)</f>
        <v>0</v>
      </c>
      <c r="BL26" s="329" t="n">
        <f aca="false" t="array" ref="BL26:BL26">IF(AND(BL$2&lt;&gt;0,TblTech[[#This Row],[Hour]:[Hour]]&gt;=BL$2),1,0)</f>
        <v>0</v>
      </c>
      <c r="BM26" s="329" t="n">
        <f aca="false" t="array" ref="BM26:BM26">IF(AND(BM$2&lt;&gt;0,TblTech[[#This Row],[Hour]:[Hour]]&gt;=BM$2),1,0)</f>
        <v>0</v>
      </c>
      <c r="BN26" s="329" t="n">
        <f aca="false" t="array" ref="BN26:BN26">IF(AND(BN$2&lt;&gt;0,TblTech[[#This Row],[Hour]:[Hour]]&gt;=BN$2),1,0)</f>
        <v>0</v>
      </c>
      <c r="BO26" s="329" t="n">
        <f aca="false" t="array" ref="BO26:BO26">IF(AND(BO$2&lt;&gt;0,TblTech[[#This Row],[Hour]:[Hour]]&gt;=BO$2),1,0)</f>
        <v>0</v>
      </c>
      <c r="BP26" s="329" t="n">
        <f aca="false" t="array" ref="BP26:BP26">IF(AND(BP$2&lt;&gt;0,TblTech[[#This Row],[Hour]:[Hour]]&gt;=BP$2),1,0)</f>
        <v>0</v>
      </c>
      <c r="BQ26" s="329" t="n">
        <f aca="false" t="array" ref="BQ26:BQ26">IF(AND(BQ$2&lt;&gt;0,TblTech[[#This Row],[Hour]:[Hour]]&gt;=BQ$2),1,0)</f>
        <v>0</v>
      </c>
      <c r="BR26" s="329" t="n">
        <f aca="false" t="array" ref="BR26:BR26">IF(AND(BR$2&lt;&gt;0,TblTech[[#This Row],[Hour]:[Hour]]&gt;=BR$2),1,0)</f>
        <v>0</v>
      </c>
      <c r="BS26" s="329" t="n">
        <f aca="false" t="array" ref="BS26:BS26">IF(AND(BS$2&lt;&gt;0,TblTech[[#This Row],[Hour]:[Hour]]&gt;=BS$2),1,0)</f>
        <v>0</v>
      </c>
      <c r="BT26" s="329" t="n">
        <f aca="false" t="array" ref="BT26:BT26">IF(AND(BT$2&lt;&gt;0,TblTech[[#This Row],[Hour]:[Hour]]&gt;=BT$2),1,0)</f>
        <v>0</v>
      </c>
      <c r="BU26" s="329" t="n">
        <f aca="false" t="array" ref="BU26:BU26">IF(AND(BU$2&lt;&gt;0,TblTech[[#This Row],[Hour]:[Hour]]&gt;=BU$2),1,0)</f>
        <v>0</v>
      </c>
      <c r="BV26" s="329" t="n">
        <f aca="false" t="array" ref="BV26:BV26">IF(AND(BV$2&lt;&gt;0,TblTech[[#This Row],[Hour]:[Hour]]&gt;=BV$2),1,0)</f>
        <v>0</v>
      </c>
      <c r="BW26" s="329" t="n">
        <f aca="false" t="array" ref="BW26:BW26">IF(AND(BW$2&lt;&gt;0,TblTech[[#This Row],[Hour]:[Hour]]&gt;=BW$2),1,0)</f>
        <v>0</v>
      </c>
      <c r="BX26" s="329" t="n">
        <f aca="false" t="array" ref="BX26:BX26">IF(AND(BX$2&lt;&gt;0,TblTech[[#This Row],[Hour]:[Hour]]&gt;=BX$2),1,0)</f>
        <v>0</v>
      </c>
      <c r="BY26" s="329" t="n">
        <f aca="false" t="array" ref="BY26:BY26">IF(AND(BY$2&lt;&gt;0,TblTech[[#This Row],[Hour]:[Hour]]&gt;=BY$2),1,0)</f>
        <v>0</v>
      </c>
      <c r="BZ26" s="329" t="n">
        <f aca="false" t="array" ref="BZ26:BZ26">IF(AND(BZ$2&lt;&gt;0,TblTech[[#This Row],[Hour]:[Hour]]&gt;=BZ$2),1,0)</f>
        <v>0</v>
      </c>
      <c r="CA26" s="330" t="n">
        <f aca="false">IFERROR(INDEX($H$4:$H$79,MATCH(INDEX(TblTech[[#Headers],[1-1]:[11-1]],1,MATCH(TblTech[[#This Row],[Hour]],$M$2:$BZ$2,0)),$G$4:$G$79,0)),)</f>
        <v>0</v>
      </c>
    </row>
    <row r="27" customFormat="false" ht="12.75" hidden="false" customHeight="false" outlineLevel="0" collapsed="false">
      <c r="A27" s="321" t="n">
        <f aca="false">TblRezone[[#This Row],[Hour]]</f>
        <v>24</v>
      </c>
      <c r="B27" s="322" t="n">
        <f aca="false">TblExplore[[#This Row],[Land-DB]]</f>
        <v>279</v>
      </c>
      <c r="C27" s="323" t="n">
        <f aca="false">TblProd[[#This Row],[Techpoints]]</f>
        <v>350</v>
      </c>
      <c r="D27" s="323" t="n">
        <f aca="false">TblProd[[#This Row],[Required]]</f>
        <v>3750</v>
      </c>
      <c r="E27" s="324"/>
      <c r="F27" s="325"/>
      <c r="G27" s="326" t="s">
        <v>545</v>
      </c>
      <c r="H27" s="327" t="s">
        <v>633</v>
      </c>
      <c r="I27" s="326" t="s">
        <v>634</v>
      </c>
      <c r="J27" s="322"/>
      <c r="K27" s="68" t="n">
        <f aca="false">IF(TblTech[[#This Row],[Sum of tech]]&lt;&gt;OFFSET(TblTech[[#This Row],[Sum of tech]],-1,0),1,0)</f>
        <v>0</v>
      </c>
      <c r="L27" s="328" t="n">
        <f aca="false">COUNTIF(TblTech[[#This Row],[1-1]:[11-1]],1)</f>
        <v>0</v>
      </c>
      <c r="M27" s="329" t="n">
        <f aca="false" t="array" ref="M27:M27">IF(AND(M$2&lt;&gt;0,TblTech[[#This Row],[Hour]:[Hour]]&gt;=M$2),1,0)</f>
        <v>0</v>
      </c>
      <c r="N27" s="329" t="n">
        <f aca="false" t="array" ref="N27:N27">IF(AND(N$2&lt;&gt;0,TblTech[[#This Row],[Hour]:[Hour]]&gt;=N$2),1,0)</f>
        <v>0</v>
      </c>
      <c r="O27" s="329" t="n">
        <f aca="false" t="array" ref="O27:O27">IF(AND(O$2&lt;&gt;0,TblTech[[#This Row],[Hour]:[Hour]]&gt;=O$2),1,0)</f>
        <v>0</v>
      </c>
      <c r="P27" s="329" t="n">
        <f aca="false" t="array" ref="P27:P27">IF(AND(P$2&lt;&gt;0,TblTech[[#This Row],[Hour]:[Hour]]&gt;=P$2),1,0)</f>
        <v>0</v>
      </c>
      <c r="Q27" s="329" t="n">
        <f aca="false" t="array" ref="Q27:Q27">IF(AND(Q$2&lt;&gt;0,TblTech[[#This Row],[Hour]:[Hour]]&gt;=Q$2),1,0)</f>
        <v>0</v>
      </c>
      <c r="R27" s="329" t="n">
        <f aca="false" t="array" ref="R27:R27">IF(AND(R$2&lt;&gt;0,TblTech[[#This Row],[Hour]:[Hour]]&gt;=R$2),1,0)</f>
        <v>0</v>
      </c>
      <c r="S27" s="329" t="n">
        <f aca="false" t="array" ref="S27:S27">IF(AND(S$2&lt;&gt;0,TblTech[[#This Row],[Hour]:[Hour]]&gt;=S$2),1,0)</f>
        <v>0</v>
      </c>
      <c r="T27" s="329" t="n">
        <f aca="false" t="array" ref="T27:T27">IF(AND(T$2&lt;&gt;0,TblTech[[#This Row],[Hour]:[Hour]]&gt;=T$2),1,0)</f>
        <v>0</v>
      </c>
      <c r="U27" s="329" t="n">
        <f aca="false" t="array" ref="U27:U27">IF(AND(U$2&lt;&gt;0,TblTech[[#This Row],[Hour]:[Hour]]&gt;=U$2),1,0)</f>
        <v>0</v>
      </c>
      <c r="V27" s="329" t="n">
        <f aca="false" t="array" ref="V27:V27">IF(AND(V$2&lt;&gt;0,TblTech[[#This Row],[Hour]:[Hour]]&gt;=V$2),1,0)</f>
        <v>0</v>
      </c>
      <c r="W27" s="329" t="n">
        <f aca="false" t="array" ref="W27:W27">IF(AND(W$2&lt;&gt;0,TblTech[[#This Row],[Hour]:[Hour]]&gt;=W$2),1,0)</f>
        <v>0</v>
      </c>
      <c r="X27" s="329" t="n">
        <f aca="false" t="array" ref="X27:X27">IF(AND(X$2&lt;&gt;0,TblTech[[#This Row],[Hour]:[Hour]]&gt;=X$2),1,0)</f>
        <v>0</v>
      </c>
      <c r="Y27" s="329" t="n">
        <f aca="false" t="array" ref="Y27:Y27">IF(AND(Y$2&lt;&gt;0,TblTech[[#This Row],[Hour]:[Hour]]&gt;=Y$2),1,0)</f>
        <v>0</v>
      </c>
      <c r="Z27" s="329" t="n">
        <f aca="false" t="array" ref="Z27:Z27">IF(AND(Z$2&lt;&gt;0,TblTech[[#This Row],[Hour]:[Hour]]&gt;=Z$2),1,0)</f>
        <v>0</v>
      </c>
      <c r="AA27" s="329" t="n">
        <f aca="false" t="array" ref="AA27:AA27">IF(AND(AA$2&lt;&gt;0,TblTech[[#This Row],[Hour]:[Hour]]&gt;=AA$2),1,0)</f>
        <v>0</v>
      </c>
      <c r="AB27" s="329" t="n">
        <f aca="false" t="array" ref="AB27:AB27">IF(AND(AB$2&lt;&gt;0,TblTech[[#This Row],[Hour]:[Hour]]&gt;=AB$2),1,0)</f>
        <v>0</v>
      </c>
      <c r="AC27" s="329" t="n">
        <f aca="false" t="array" ref="AC27:AC27">IF(AND(AC$2&lt;&gt;0,TblTech[[#This Row],[Hour]:[Hour]]&gt;=AC$2),1,0)</f>
        <v>0</v>
      </c>
      <c r="AD27" s="329" t="n">
        <f aca="false" t="array" ref="AD27:AD27">IF(AND(AD$2&lt;&gt;0,TblTech[[#This Row],[Hour]:[Hour]]&gt;=AD$2),1,0)</f>
        <v>0</v>
      </c>
      <c r="AE27" s="329" t="n">
        <f aca="false" t="array" ref="AE27:AE27">IF(AND(AE$2&lt;&gt;0,TblTech[[#This Row],[Hour]:[Hour]]&gt;=AE$2),1,0)</f>
        <v>0</v>
      </c>
      <c r="AF27" s="329" t="n">
        <f aca="false" t="array" ref="AF27:AF27">IF(AND(AF$2&lt;&gt;0,TblTech[[#This Row],[Hour]:[Hour]]&gt;=AF$2),1,0)</f>
        <v>0</v>
      </c>
      <c r="AG27" s="329" t="n">
        <f aca="false" t="array" ref="AG27:AG27">IF(AND(AG$2&lt;&gt;0,TblTech[[#This Row],[Hour]:[Hour]]&gt;=AG$2),1,0)</f>
        <v>0</v>
      </c>
      <c r="AH27" s="329" t="n">
        <f aca="false" t="array" ref="AH27:AH27">IF(AND(AH$2&lt;&gt;0,TblTech[[#This Row],[Hour]:[Hour]]&gt;=AH$2),1,0)</f>
        <v>0</v>
      </c>
      <c r="AI27" s="329" t="n">
        <f aca="false" t="array" ref="AI27:AI27">IF(AND(AI$2&lt;&gt;0,TblTech[[#This Row],[Hour]:[Hour]]&gt;=AI$2),1,0)</f>
        <v>0</v>
      </c>
      <c r="AJ27" s="329" t="n">
        <f aca="false" t="array" ref="AJ27:AJ27">IF(AND(AJ$2&lt;&gt;0,TblTech[[#This Row],[Hour]:[Hour]]&gt;=AJ$2),1,0)</f>
        <v>0</v>
      </c>
      <c r="AK27" s="329" t="n">
        <f aca="false" t="array" ref="AK27:AK27">IF(AND(AK$2&lt;&gt;0,TblTech[[#This Row],[Hour]:[Hour]]&gt;=AK$2),1,0)</f>
        <v>0</v>
      </c>
      <c r="AL27" s="329" t="n">
        <f aca="false" t="array" ref="AL27:AL27">IF(AND(AL$2&lt;&gt;0,TblTech[[#This Row],[Hour]:[Hour]]&gt;=AL$2),1,0)</f>
        <v>0</v>
      </c>
      <c r="AM27" s="329" t="n">
        <f aca="false" t="array" ref="AM27:AM27">IF(AND(AM$2&lt;&gt;0,TblTech[[#This Row],[Hour]:[Hour]]&gt;=AM$2),1,0)</f>
        <v>0</v>
      </c>
      <c r="AN27" s="329" t="n">
        <f aca="false" t="array" ref="AN27:AN27">IF(AND(AN$2&lt;&gt;0,TblTech[[#This Row],[Hour]:[Hour]]&gt;=AN$2),1,0)</f>
        <v>0</v>
      </c>
      <c r="AO27" s="329" t="n">
        <f aca="false" t="array" ref="AO27:AO27">IF(AND(AO$2&lt;&gt;0,TblTech[[#This Row],[Hour]:[Hour]]&gt;=AO$2),1,0)</f>
        <v>0</v>
      </c>
      <c r="AP27" s="329" t="n">
        <f aca="false" t="array" ref="AP27:AP27">IF(AND(AP$2&lt;&gt;0,TblTech[[#This Row],[Hour]:[Hour]]&gt;=AP$2),1,0)</f>
        <v>0</v>
      </c>
      <c r="AQ27" s="329" t="n">
        <f aca="false" t="array" ref="AQ27:AQ27">IF(AND(AQ$2&lt;&gt;0,TblTech[[#This Row],[Hour]:[Hour]]&gt;=AQ$2),1,0)</f>
        <v>0</v>
      </c>
      <c r="AR27" s="329" t="n">
        <f aca="false" t="array" ref="AR27:AR27">IF(AND(AR$2&lt;&gt;0,TblTech[[#This Row],[Hour]:[Hour]]&gt;=AR$2),1,0)</f>
        <v>0</v>
      </c>
      <c r="AS27" s="329" t="n">
        <f aca="false" t="array" ref="AS27:AS27">IF(AND(AS$2&lt;&gt;0,TblTech[[#This Row],[Hour]:[Hour]]&gt;=AS$2),1,0)</f>
        <v>0</v>
      </c>
      <c r="AT27" s="329" t="n">
        <f aca="false" t="array" ref="AT27:AT27">IF(AND(AT$2&lt;&gt;0,TblTech[[#This Row],[Hour]:[Hour]]&gt;=AT$2),1,0)</f>
        <v>0</v>
      </c>
      <c r="AU27" s="329" t="n">
        <f aca="false" t="array" ref="AU27:AU27">IF(AND(AU$2&lt;&gt;0,TblTech[[#This Row],[Hour]:[Hour]]&gt;=AU$2),1,0)</f>
        <v>0</v>
      </c>
      <c r="AV27" s="329" t="n">
        <f aca="false" t="array" ref="AV27:AV27">IF(AND(AV$2&lt;&gt;0,TblTech[[#This Row],[Hour]:[Hour]]&gt;=AV$2),1,0)</f>
        <v>0</v>
      </c>
      <c r="AW27" s="329" t="n">
        <f aca="false" t="array" ref="AW27:AW27">IF(AND(AW$2&lt;&gt;0,TblTech[[#This Row],[Hour]:[Hour]]&gt;=AW$2),1,0)</f>
        <v>0</v>
      </c>
      <c r="AX27" s="329" t="n">
        <f aca="false" t="array" ref="AX27:AX27">IF(AND(AX$2&lt;&gt;0,TblTech[[#This Row],[Hour]:[Hour]]&gt;=AX$2),1,0)</f>
        <v>0</v>
      </c>
      <c r="AY27" s="329" t="n">
        <f aca="false" t="array" ref="AY27:AY27">IF(AND(AY$2&lt;&gt;0,TblTech[[#This Row],[Hour]:[Hour]]&gt;=AY$2),1,0)</f>
        <v>0</v>
      </c>
      <c r="AZ27" s="329" t="n">
        <f aca="false" t="array" ref="AZ27:AZ27">IF(AND(AZ$2&lt;&gt;0,TblTech[[#This Row],[Hour]:[Hour]]&gt;=AZ$2),1,0)</f>
        <v>0</v>
      </c>
      <c r="BA27" s="329" t="n">
        <f aca="false" t="array" ref="BA27:BA27">IF(AND(BA$2&lt;&gt;0,TblTech[[#This Row],[Hour]:[Hour]]&gt;=BA$2),1,0)</f>
        <v>0</v>
      </c>
      <c r="BB27" s="329" t="n">
        <f aca="false" t="array" ref="BB27:BB27">IF(AND(BB$2&lt;&gt;0,TblTech[[#This Row],[Hour]:[Hour]]&gt;=BB$2),1,0)</f>
        <v>0</v>
      </c>
      <c r="BC27" s="329" t="n">
        <f aca="false" t="array" ref="BC27:BC27">IF(AND(BC$2&lt;&gt;0,TblTech[[#This Row],[Hour]:[Hour]]&gt;=BC$2),1,0)</f>
        <v>0</v>
      </c>
      <c r="BD27" s="329" t="n">
        <f aca="false" t="array" ref="BD27:BD27">IF(AND(BD$2&lt;&gt;0,TblTech[[#This Row],[Hour]:[Hour]]&gt;=BD$2),1,0)</f>
        <v>0</v>
      </c>
      <c r="BE27" s="329" t="n">
        <f aca="false" t="array" ref="BE27:BE27">IF(AND(BE$2&lt;&gt;0,TblTech[[#This Row],[Hour]:[Hour]]&gt;=BE$2),1,0)</f>
        <v>0</v>
      </c>
      <c r="BF27" s="329" t="n">
        <f aca="false" t="array" ref="BF27:BF27">IF(AND(BF$2&lt;&gt;0,TblTech[[#This Row],[Hour]:[Hour]]&gt;=BF$2),1,0)</f>
        <v>0</v>
      </c>
      <c r="BG27" s="329" t="n">
        <f aca="false" t="array" ref="BG27:BG27">IF(AND(BG$2&lt;&gt;0,TblTech[[#This Row],[Hour]:[Hour]]&gt;=BG$2),1,0)</f>
        <v>0</v>
      </c>
      <c r="BH27" s="329" t="n">
        <f aca="false" t="array" ref="BH27:BH27">IF(AND(BH$2&lt;&gt;0,TblTech[[#This Row],[Hour]:[Hour]]&gt;=BH$2),1,0)</f>
        <v>0</v>
      </c>
      <c r="BI27" s="329" t="n">
        <f aca="false" t="array" ref="BI27:BI27">IF(AND(BI$2&lt;&gt;0,TblTech[[#This Row],[Hour]:[Hour]]&gt;=BI$2),1,0)</f>
        <v>0</v>
      </c>
      <c r="BJ27" s="329" t="n">
        <f aca="false" t="array" ref="BJ27:BJ27">IF(AND(BJ$2&lt;&gt;0,TblTech[[#This Row],[Hour]:[Hour]]&gt;=BJ$2),1,0)</f>
        <v>0</v>
      </c>
      <c r="BK27" s="329" t="n">
        <f aca="false" t="array" ref="BK27:BK27">IF(AND(BK$2&lt;&gt;0,TblTech[[#This Row],[Hour]:[Hour]]&gt;=BK$2),1,0)</f>
        <v>0</v>
      </c>
      <c r="BL27" s="329" t="n">
        <f aca="false" t="array" ref="BL27:BL27">IF(AND(BL$2&lt;&gt;0,TblTech[[#This Row],[Hour]:[Hour]]&gt;=BL$2),1,0)</f>
        <v>0</v>
      </c>
      <c r="BM27" s="329" t="n">
        <f aca="false" t="array" ref="BM27:BM27">IF(AND(BM$2&lt;&gt;0,TblTech[[#This Row],[Hour]:[Hour]]&gt;=BM$2),1,0)</f>
        <v>0</v>
      </c>
      <c r="BN27" s="329" t="n">
        <f aca="false" t="array" ref="BN27:BN27">IF(AND(BN$2&lt;&gt;0,TblTech[[#This Row],[Hour]:[Hour]]&gt;=BN$2),1,0)</f>
        <v>0</v>
      </c>
      <c r="BO27" s="329" t="n">
        <f aca="false" t="array" ref="BO27:BO27">IF(AND(BO$2&lt;&gt;0,TblTech[[#This Row],[Hour]:[Hour]]&gt;=BO$2),1,0)</f>
        <v>0</v>
      </c>
      <c r="BP27" s="329" t="n">
        <f aca="false" t="array" ref="BP27:BP27">IF(AND(BP$2&lt;&gt;0,TblTech[[#This Row],[Hour]:[Hour]]&gt;=BP$2),1,0)</f>
        <v>0</v>
      </c>
      <c r="BQ27" s="329" t="n">
        <f aca="false" t="array" ref="BQ27:BQ27">IF(AND(BQ$2&lt;&gt;0,TblTech[[#This Row],[Hour]:[Hour]]&gt;=BQ$2),1,0)</f>
        <v>0</v>
      </c>
      <c r="BR27" s="329" t="n">
        <f aca="false" t="array" ref="BR27:BR27">IF(AND(BR$2&lt;&gt;0,TblTech[[#This Row],[Hour]:[Hour]]&gt;=BR$2),1,0)</f>
        <v>0</v>
      </c>
      <c r="BS27" s="329" t="n">
        <f aca="false" t="array" ref="BS27:BS27">IF(AND(BS$2&lt;&gt;0,TblTech[[#This Row],[Hour]:[Hour]]&gt;=BS$2),1,0)</f>
        <v>0</v>
      </c>
      <c r="BT27" s="329" t="n">
        <f aca="false" t="array" ref="BT27:BT27">IF(AND(BT$2&lt;&gt;0,TblTech[[#This Row],[Hour]:[Hour]]&gt;=BT$2),1,0)</f>
        <v>0</v>
      </c>
      <c r="BU27" s="329" t="n">
        <f aca="false" t="array" ref="BU27:BU27">IF(AND(BU$2&lt;&gt;0,TblTech[[#This Row],[Hour]:[Hour]]&gt;=BU$2),1,0)</f>
        <v>0</v>
      </c>
      <c r="BV27" s="329" t="n">
        <f aca="false" t="array" ref="BV27:BV27">IF(AND(BV$2&lt;&gt;0,TblTech[[#This Row],[Hour]:[Hour]]&gt;=BV$2),1,0)</f>
        <v>0</v>
      </c>
      <c r="BW27" s="329" t="n">
        <f aca="false" t="array" ref="BW27:BW27">IF(AND(BW$2&lt;&gt;0,TblTech[[#This Row],[Hour]:[Hour]]&gt;=BW$2),1,0)</f>
        <v>0</v>
      </c>
      <c r="BX27" s="329" t="n">
        <f aca="false" t="array" ref="BX27:BX27">IF(AND(BX$2&lt;&gt;0,TblTech[[#This Row],[Hour]:[Hour]]&gt;=BX$2),1,0)</f>
        <v>0</v>
      </c>
      <c r="BY27" s="329" t="n">
        <f aca="false" t="array" ref="BY27:BY27">IF(AND(BY$2&lt;&gt;0,TblTech[[#This Row],[Hour]:[Hour]]&gt;=BY$2),1,0)</f>
        <v>0</v>
      </c>
      <c r="BZ27" s="329" t="n">
        <f aca="false" t="array" ref="BZ27:BZ27">IF(AND(BZ$2&lt;&gt;0,TblTech[[#This Row],[Hour]:[Hour]]&gt;=BZ$2),1,0)</f>
        <v>0</v>
      </c>
      <c r="CA27" s="330" t="n">
        <f aca="false">IFERROR(INDEX($H$4:$H$79,MATCH(INDEX(TblTech[[#Headers],[1-1]:[11-1]],1,MATCH(TblTech[[#This Row],[Hour]],$M$2:$BZ$2,0)),$G$4:$G$79,0)),)</f>
        <v>0</v>
      </c>
    </row>
    <row r="28" customFormat="false" ht="12.75" hidden="false" customHeight="false" outlineLevel="0" collapsed="false">
      <c r="A28" s="321" t="n">
        <f aca="false">TblRezone[[#This Row],[Hour]]</f>
        <v>25</v>
      </c>
      <c r="B28" s="322" t="n">
        <f aca="false">TblExplore[[#This Row],[Land-DB]]</f>
        <v>299</v>
      </c>
      <c r="C28" s="323" t="n">
        <f aca="false">TblProd[[#This Row],[Techpoints]]</f>
        <v>350</v>
      </c>
      <c r="D28" s="323" t="n">
        <f aca="false">TblProd[[#This Row],[Required]]</f>
        <v>3750</v>
      </c>
      <c r="E28" s="324"/>
      <c r="F28" s="325"/>
      <c r="G28" s="326" t="s">
        <v>546</v>
      </c>
      <c r="H28" s="327" t="s">
        <v>635</v>
      </c>
      <c r="I28" s="326" t="s">
        <v>636</v>
      </c>
      <c r="J28" s="322"/>
      <c r="K28" s="68" t="n">
        <f aca="false">IF(TblTech[[#This Row],[Sum of tech]]&lt;&gt;OFFSET(TblTech[[#This Row],[Sum of tech]],-1,0),1,0)</f>
        <v>0</v>
      </c>
      <c r="L28" s="328" t="n">
        <f aca="false">COUNTIF(TblTech[[#This Row],[1-1]:[11-1]],1)</f>
        <v>0</v>
      </c>
      <c r="M28" s="329" t="n">
        <f aca="false" t="array" ref="M28:M28">IF(AND(M$2&lt;&gt;0,TblTech[[#This Row],[Hour]:[Hour]]&gt;=M$2),1,0)</f>
        <v>0</v>
      </c>
      <c r="N28" s="329" t="n">
        <f aca="false" t="array" ref="N28:N28">IF(AND(N$2&lt;&gt;0,TblTech[[#This Row],[Hour]:[Hour]]&gt;=N$2),1,0)</f>
        <v>0</v>
      </c>
      <c r="O28" s="329" t="n">
        <f aca="false" t="array" ref="O28:O28">IF(AND(O$2&lt;&gt;0,TblTech[[#This Row],[Hour]:[Hour]]&gt;=O$2),1,0)</f>
        <v>0</v>
      </c>
      <c r="P28" s="329" t="n">
        <f aca="false" t="array" ref="P28:P28">IF(AND(P$2&lt;&gt;0,TblTech[[#This Row],[Hour]:[Hour]]&gt;=P$2),1,0)</f>
        <v>0</v>
      </c>
      <c r="Q28" s="329" t="n">
        <f aca="false" t="array" ref="Q28:Q28">IF(AND(Q$2&lt;&gt;0,TblTech[[#This Row],[Hour]:[Hour]]&gt;=Q$2),1,0)</f>
        <v>0</v>
      </c>
      <c r="R28" s="329" t="n">
        <f aca="false" t="array" ref="R28:R28">IF(AND(R$2&lt;&gt;0,TblTech[[#This Row],[Hour]:[Hour]]&gt;=R$2),1,0)</f>
        <v>0</v>
      </c>
      <c r="S28" s="329" t="n">
        <f aca="false" t="array" ref="S28:S28">IF(AND(S$2&lt;&gt;0,TblTech[[#This Row],[Hour]:[Hour]]&gt;=S$2),1,0)</f>
        <v>0</v>
      </c>
      <c r="T28" s="329" t="n">
        <f aca="false" t="array" ref="T28:T28">IF(AND(T$2&lt;&gt;0,TblTech[[#This Row],[Hour]:[Hour]]&gt;=T$2),1,0)</f>
        <v>0</v>
      </c>
      <c r="U28" s="329" t="n">
        <f aca="false" t="array" ref="U28:U28">IF(AND(U$2&lt;&gt;0,TblTech[[#This Row],[Hour]:[Hour]]&gt;=U$2),1,0)</f>
        <v>0</v>
      </c>
      <c r="V28" s="329" t="n">
        <f aca="false" t="array" ref="V28:V28">IF(AND(V$2&lt;&gt;0,TblTech[[#This Row],[Hour]:[Hour]]&gt;=V$2),1,0)</f>
        <v>0</v>
      </c>
      <c r="W28" s="329" t="n">
        <f aca="false" t="array" ref="W28:W28">IF(AND(W$2&lt;&gt;0,TblTech[[#This Row],[Hour]:[Hour]]&gt;=W$2),1,0)</f>
        <v>0</v>
      </c>
      <c r="X28" s="329" t="n">
        <f aca="false" t="array" ref="X28:X28">IF(AND(X$2&lt;&gt;0,TblTech[[#This Row],[Hour]:[Hour]]&gt;=X$2),1,0)</f>
        <v>0</v>
      </c>
      <c r="Y28" s="329" t="n">
        <f aca="false" t="array" ref="Y28:Y28">IF(AND(Y$2&lt;&gt;0,TblTech[[#This Row],[Hour]:[Hour]]&gt;=Y$2),1,0)</f>
        <v>0</v>
      </c>
      <c r="Z28" s="329" t="n">
        <f aca="false" t="array" ref="Z28:Z28">IF(AND(Z$2&lt;&gt;0,TblTech[[#This Row],[Hour]:[Hour]]&gt;=Z$2),1,0)</f>
        <v>0</v>
      </c>
      <c r="AA28" s="329" t="n">
        <f aca="false" t="array" ref="AA28:AA28">IF(AND(AA$2&lt;&gt;0,TblTech[[#This Row],[Hour]:[Hour]]&gt;=AA$2),1,0)</f>
        <v>0</v>
      </c>
      <c r="AB28" s="329" t="n">
        <f aca="false" t="array" ref="AB28:AB28">IF(AND(AB$2&lt;&gt;0,TblTech[[#This Row],[Hour]:[Hour]]&gt;=AB$2),1,0)</f>
        <v>0</v>
      </c>
      <c r="AC28" s="329" t="n">
        <f aca="false" t="array" ref="AC28:AC28">IF(AND(AC$2&lt;&gt;0,TblTech[[#This Row],[Hour]:[Hour]]&gt;=AC$2),1,0)</f>
        <v>0</v>
      </c>
      <c r="AD28" s="329" t="n">
        <f aca="false" t="array" ref="AD28:AD28">IF(AND(AD$2&lt;&gt;0,TblTech[[#This Row],[Hour]:[Hour]]&gt;=AD$2),1,0)</f>
        <v>0</v>
      </c>
      <c r="AE28" s="329" t="n">
        <f aca="false" t="array" ref="AE28:AE28">IF(AND(AE$2&lt;&gt;0,TblTech[[#This Row],[Hour]:[Hour]]&gt;=AE$2),1,0)</f>
        <v>0</v>
      </c>
      <c r="AF28" s="329" t="n">
        <f aca="false" t="array" ref="AF28:AF28">IF(AND(AF$2&lt;&gt;0,TblTech[[#This Row],[Hour]:[Hour]]&gt;=AF$2),1,0)</f>
        <v>0</v>
      </c>
      <c r="AG28" s="329" t="n">
        <f aca="false" t="array" ref="AG28:AG28">IF(AND(AG$2&lt;&gt;0,TblTech[[#This Row],[Hour]:[Hour]]&gt;=AG$2),1,0)</f>
        <v>0</v>
      </c>
      <c r="AH28" s="329" t="n">
        <f aca="false" t="array" ref="AH28:AH28">IF(AND(AH$2&lt;&gt;0,TblTech[[#This Row],[Hour]:[Hour]]&gt;=AH$2),1,0)</f>
        <v>0</v>
      </c>
      <c r="AI28" s="329" t="n">
        <f aca="false" t="array" ref="AI28:AI28">IF(AND(AI$2&lt;&gt;0,TblTech[[#This Row],[Hour]:[Hour]]&gt;=AI$2),1,0)</f>
        <v>0</v>
      </c>
      <c r="AJ28" s="329" t="n">
        <f aca="false" t="array" ref="AJ28:AJ28">IF(AND(AJ$2&lt;&gt;0,TblTech[[#This Row],[Hour]:[Hour]]&gt;=AJ$2),1,0)</f>
        <v>0</v>
      </c>
      <c r="AK28" s="329" t="n">
        <f aca="false" t="array" ref="AK28:AK28">IF(AND(AK$2&lt;&gt;0,TblTech[[#This Row],[Hour]:[Hour]]&gt;=AK$2),1,0)</f>
        <v>0</v>
      </c>
      <c r="AL28" s="329" t="n">
        <f aca="false" t="array" ref="AL28:AL28">IF(AND(AL$2&lt;&gt;0,TblTech[[#This Row],[Hour]:[Hour]]&gt;=AL$2),1,0)</f>
        <v>0</v>
      </c>
      <c r="AM28" s="329" t="n">
        <f aca="false" t="array" ref="AM28:AM28">IF(AND(AM$2&lt;&gt;0,TblTech[[#This Row],[Hour]:[Hour]]&gt;=AM$2),1,0)</f>
        <v>0</v>
      </c>
      <c r="AN28" s="329" t="n">
        <f aca="false" t="array" ref="AN28:AN28">IF(AND(AN$2&lt;&gt;0,TblTech[[#This Row],[Hour]:[Hour]]&gt;=AN$2),1,0)</f>
        <v>0</v>
      </c>
      <c r="AO28" s="329" t="n">
        <f aca="false" t="array" ref="AO28:AO28">IF(AND(AO$2&lt;&gt;0,TblTech[[#This Row],[Hour]:[Hour]]&gt;=AO$2),1,0)</f>
        <v>0</v>
      </c>
      <c r="AP28" s="329" t="n">
        <f aca="false" t="array" ref="AP28:AP28">IF(AND(AP$2&lt;&gt;0,TblTech[[#This Row],[Hour]:[Hour]]&gt;=AP$2),1,0)</f>
        <v>0</v>
      </c>
      <c r="AQ28" s="329" t="n">
        <f aca="false" t="array" ref="AQ28:AQ28">IF(AND(AQ$2&lt;&gt;0,TblTech[[#This Row],[Hour]:[Hour]]&gt;=AQ$2),1,0)</f>
        <v>0</v>
      </c>
      <c r="AR28" s="329" t="n">
        <f aca="false" t="array" ref="AR28:AR28">IF(AND(AR$2&lt;&gt;0,TblTech[[#This Row],[Hour]:[Hour]]&gt;=AR$2),1,0)</f>
        <v>0</v>
      </c>
      <c r="AS28" s="329" t="n">
        <f aca="false" t="array" ref="AS28:AS28">IF(AND(AS$2&lt;&gt;0,TblTech[[#This Row],[Hour]:[Hour]]&gt;=AS$2),1,0)</f>
        <v>0</v>
      </c>
      <c r="AT28" s="329" t="n">
        <f aca="false" t="array" ref="AT28:AT28">IF(AND(AT$2&lt;&gt;0,TblTech[[#This Row],[Hour]:[Hour]]&gt;=AT$2),1,0)</f>
        <v>0</v>
      </c>
      <c r="AU28" s="329" t="n">
        <f aca="false" t="array" ref="AU28:AU28">IF(AND(AU$2&lt;&gt;0,TblTech[[#This Row],[Hour]:[Hour]]&gt;=AU$2),1,0)</f>
        <v>0</v>
      </c>
      <c r="AV28" s="329" t="n">
        <f aca="false" t="array" ref="AV28:AV28">IF(AND(AV$2&lt;&gt;0,TblTech[[#This Row],[Hour]:[Hour]]&gt;=AV$2),1,0)</f>
        <v>0</v>
      </c>
      <c r="AW28" s="329" t="n">
        <f aca="false" t="array" ref="AW28:AW28">IF(AND(AW$2&lt;&gt;0,TblTech[[#This Row],[Hour]:[Hour]]&gt;=AW$2),1,0)</f>
        <v>0</v>
      </c>
      <c r="AX28" s="329" t="n">
        <f aca="false" t="array" ref="AX28:AX28">IF(AND(AX$2&lt;&gt;0,TblTech[[#This Row],[Hour]:[Hour]]&gt;=AX$2),1,0)</f>
        <v>0</v>
      </c>
      <c r="AY28" s="329" t="n">
        <f aca="false" t="array" ref="AY28:AY28">IF(AND(AY$2&lt;&gt;0,TblTech[[#This Row],[Hour]:[Hour]]&gt;=AY$2),1,0)</f>
        <v>0</v>
      </c>
      <c r="AZ28" s="329" t="n">
        <f aca="false" t="array" ref="AZ28:AZ28">IF(AND(AZ$2&lt;&gt;0,TblTech[[#This Row],[Hour]:[Hour]]&gt;=AZ$2),1,0)</f>
        <v>0</v>
      </c>
      <c r="BA28" s="329" t="n">
        <f aca="false" t="array" ref="BA28:BA28">IF(AND(BA$2&lt;&gt;0,TblTech[[#This Row],[Hour]:[Hour]]&gt;=BA$2),1,0)</f>
        <v>0</v>
      </c>
      <c r="BB28" s="329" t="n">
        <f aca="false" t="array" ref="BB28:BB28">IF(AND(BB$2&lt;&gt;0,TblTech[[#This Row],[Hour]:[Hour]]&gt;=BB$2),1,0)</f>
        <v>0</v>
      </c>
      <c r="BC28" s="329" t="n">
        <f aca="false" t="array" ref="BC28:BC28">IF(AND(BC$2&lt;&gt;0,TblTech[[#This Row],[Hour]:[Hour]]&gt;=BC$2),1,0)</f>
        <v>0</v>
      </c>
      <c r="BD28" s="329" t="n">
        <f aca="false" t="array" ref="BD28:BD28">IF(AND(BD$2&lt;&gt;0,TblTech[[#This Row],[Hour]:[Hour]]&gt;=BD$2),1,0)</f>
        <v>0</v>
      </c>
      <c r="BE28" s="329" t="n">
        <f aca="false" t="array" ref="BE28:BE28">IF(AND(BE$2&lt;&gt;0,TblTech[[#This Row],[Hour]:[Hour]]&gt;=BE$2),1,0)</f>
        <v>0</v>
      </c>
      <c r="BF28" s="329" t="n">
        <f aca="false" t="array" ref="BF28:BF28">IF(AND(BF$2&lt;&gt;0,TblTech[[#This Row],[Hour]:[Hour]]&gt;=BF$2),1,0)</f>
        <v>0</v>
      </c>
      <c r="BG28" s="329" t="n">
        <f aca="false" t="array" ref="BG28:BG28">IF(AND(BG$2&lt;&gt;0,TblTech[[#This Row],[Hour]:[Hour]]&gt;=BG$2),1,0)</f>
        <v>0</v>
      </c>
      <c r="BH28" s="329" t="n">
        <f aca="false" t="array" ref="BH28:BH28">IF(AND(BH$2&lt;&gt;0,TblTech[[#This Row],[Hour]:[Hour]]&gt;=BH$2),1,0)</f>
        <v>0</v>
      </c>
      <c r="BI28" s="329" t="n">
        <f aca="false" t="array" ref="BI28:BI28">IF(AND(BI$2&lt;&gt;0,TblTech[[#This Row],[Hour]:[Hour]]&gt;=BI$2),1,0)</f>
        <v>0</v>
      </c>
      <c r="BJ28" s="329" t="n">
        <f aca="false" t="array" ref="BJ28:BJ28">IF(AND(BJ$2&lt;&gt;0,TblTech[[#This Row],[Hour]:[Hour]]&gt;=BJ$2),1,0)</f>
        <v>0</v>
      </c>
      <c r="BK28" s="329" t="n">
        <f aca="false" t="array" ref="BK28:BK28">IF(AND(BK$2&lt;&gt;0,TblTech[[#This Row],[Hour]:[Hour]]&gt;=BK$2),1,0)</f>
        <v>0</v>
      </c>
      <c r="BL28" s="329" t="n">
        <f aca="false" t="array" ref="BL28:BL28">IF(AND(BL$2&lt;&gt;0,TblTech[[#This Row],[Hour]:[Hour]]&gt;=BL$2),1,0)</f>
        <v>0</v>
      </c>
      <c r="BM28" s="329" t="n">
        <f aca="false" t="array" ref="BM28:BM28">IF(AND(BM$2&lt;&gt;0,TblTech[[#This Row],[Hour]:[Hour]]&gt;=BM$2),1,0)</f>
        <v>0</v>
      </c>
      <c r="BN28" s="329" t="n">
        <f aca="false" t="array" ref="BN28:BN28">IF(AND(BN$2&lt;&gt;0,TblTech[[#This Row],[Hour]:[Hour]]&gt;=BN$2),1,0)</f>
        <v>0</v>
      </c>
      <c r="BO28" s="329" t="n">
        <f aca="false" t="array" ref="BO28:BO28">IF(AND(BO$2&lt;&gt;0,TblTech[[#This Row],[Hour]:[Hour]]&gt;=BO$2),1,0)</f>
        <v>0</v>
      </c>
      <c r="BP28" s="329" t="n">
        <f aca="false" t="array" ref="BP28:BP28">IF(AND(BP$2&lt;&gt;0,TblTech[[#This Row],[Hour]:[Hour]]&gt;=BP$2),1,0)</f>
        <v>0</v>
      </c>
      <c r="BQ28" s="329" t="n">
        <f aca="false" t="array" ref="BQ28:BQ28">IF(AND(BQ$2&lt;&gt;0,TblTech[[#This Row],[Hour]:[Hour]]&gt;=BQ$2),1,0)</f>
        <v>0</v>
      </c>
      <c r="BR28" s="329" t="n">
        <f aca="false" t="array" ref="BR28:BR28">IF(AND(BR$2&lt;&gt;0,TblTech[[#This Row],[Hour]:[Hour]]&gt;=BR$2),1,0)</f>
        <v>0</v>
      </c>
      <c r="BS28" s="329" t="n">
        <f aca="false" t="array" ref="BS28:BS28">IF(AND(BS$2&lt;&gt;0,TblTech[[#This Row],[Hour]:[Hour]]&gt;=BS$2),1,0)</f>
        <v>0</v>
      </c>
      <c r="BT28" s="329" t="n">
        <f aca="false" t="array" ref="BT28:BT28">IF(AND(BT$2&lt;&gt;0,TblTech[[#This Row],[Hour]:[Hour]]&gt;=BT$2),1,0)</f>
        <v>0</v>
      </c>
      <c r="BU28" s="329" t="n">
        <f aca="false" t="array" ref="BU28:BU28">IF(AND(BU$2&lt;&gt;0,TblTech[[#This Row],[Hour]:[Hour]]&gt;=BU$2),1,0)</f>
        <v>0</v>
      </c>
      <c r="BV28" s="329" t="n">
        <f aca="false" t="array" ref="BV28:BV28">IF(AND(BV$2&lt;&gt;0,TblTech[[#This Row],[Hour]:[Hour]]&gt;=BV$2),1,0)</f>
        <v>0</v>
      </c>
      <c r="BW28" s="329" t="n">
        <f aca="false" t="array" ref="BW28:BW28">IF(AND(BW$2&lt;&gt;0,TblTech[[#This Row],[Hour]:[Hour]]&gt;=BW$2),1,0)</f>
        <v>0</v>
      </c>
      <c r="BX28" s="329" t="n">
        <f aca="false" t="array" ref="BX28:BX28">IF(AND(BX$2&lt;&gt;0,TblTech[[#This Row],[Hour]:[Hour]]&gt;=BX$2),1,0)</f>
        <v>0</v>
      </c>
      <c r="BY28" s="329" t="n">
        <f aca="false" t="array" ref="BY28:BY28">IF(AND(BY$2&lt;&gt;0,TblTech[[#This Row],[Hour]:[Hour]]&gt;=BY$2),1,0)</f>
        <v>0</v>
      </c>
      <c r="BZ28" s="329" t="n">
        <f aca="false" t="array" ref="BZ28:BZ28">IF(AND(BZ$2&lt;&gt;0,TblTech[[#This Row],[Hour]:[Hour]]&gt;=BZ$2),1,0)</f>
        <v>0</v>
      </c>
      <c r="CA28" s="330" t="n">
        <f aca="false">IFERROR(INDEX($H$4:$H$79,MATCH(INDEX(TblTech[[#Headers],[1-1]:[11-1]],1,MATCH(TblTech[[#This Row],[Hour]],$M$2:$BZ$2,0)),$G$4:$G$79,0)),)</f>
        <v>0</v>
      </c>
    </row>
    <row r="29" customFormat="false" ht="12.75" hidden="false" customHeight="false" outlineLevel="0" collapsed="false">
      <c r="A29" s="321" t="n">
        <f aca="false">TblRezone[[#This Row],[Hour]]</f>
        <v>26</v>
      </c>
      <c r="B29" s="322" t="n">
        <f aca="false">TblExplore[[#This Row],[Land-DB]]</f>
        <v>299</v>
      </c>
      <c r="C29" s="323" t="n">
        <f aca="false">TblProd[[#This Row],[Techpoints]]</f>
        <v>350</v>
      </c>
      <c r="D29" s="323" t="n">
        <f aca="false">TblProd[[#This Row],[Required]]</f>
        <v>3750</v>
      </c>
      <c r="E29" s="324"/>
      <c r="F29" s="325"/>
      <c r="G29" s="326" t="s">
        <v>547</v>
      </c>
      <c r="H29" s="327" t="s">
        <v>637</v>
      </c>
      <c r="I29" s="326" t="s">
        <v>638</v>
      </c>
      <c r="J29" s="322"/>
      <c r="K29" s="68" t="n">
        <f aca="false">IF(TblTech[[#This Row],[Sum of tech]]&lt;&gt;OFFSET(TblTech[[#This Row],[Sum of tech]],-1,0),1,0)</f>
        <v>0</v>
      </c>
      <c r="L29" s="328" t="n">
        <f aca="false">COUNTIF(TblTech[[#This Row],[1-1]:[11-1]],1)</f>
        <v>0</v>
      </c>
      <c r="M29" s="329" t="n">
        <f aca="false" t="array" ref="M29:M29">IF(AND(M$2&lt;&gt;0,TblTech[[#This Row],[Hour]:[Hour]]&gt;=M$2),1,0)</f>
        <v>0</v>
      </c>
      <c r="N29" s="329" t="n">
        <f aca="false" t="array" ref="N29:N29">IF(AND(N$2&lt;&gt;0,TblTech[[#This Row],[Hour]:[Hour]]&gt;=N$2),1,0)</f>
        <v>0</v>
      </c>
      <c r="O29" s="329" t="n">
        <f aca="false" t="array" ref="O29:O29">IF(AND(O$2&lt;&gt;0,TblTech[[#This Row],[Hour]:[Hour]]&gt;=O$2),1,0)</f>
        <v>0</v>
      </c>
      <c r="P29" s="329" t="n">
        <f aca="false" t="array" ref="P29:P29">IF(AND(P$2&lt;&gt;0,TblTech[[#This Row],[Hour]:[Hour]]&gt;=P$2),1,0)</f>
        <v>0</v>
      </c>
      <c r="Q29" s="329" t="n">
        <f aca="false" t="array" ref="Q29:Q29">IF(AND(Q$2&lt;&gt;0,TblTech[[#This Row],[Hour]:[Hour]]&gt;=Q$2),1,0)</f>
        <v>0</v>
      </c>
      <c r="R29" s="329" t="n">
        <f aca="false" t="array" ref="R29:R29">IF(AND(R$2&lt;&gt;0,TblTech[[#This Row],[Hour]:[Hour]]&gt;=R$2),1,0)</f>
        <v>0</v>
      </c>
      <c r="S29" s="329" t="n">
        <f aca="false" t="array" ref="S29:S29">IF(AND(S$2&lt;&gt;0,TblTech[[#This Row],[Hour]:[Hour]]&gt;=S$2),1,0)</f>
        <v>0</v>
      </c>
      <c r="T29" s="329" t="n">
        <f aca="false" t="array" ref="T29:T29">IF(AND(T$2&lt;&gt;0,TblTech[[#This Row],[Hour]:[Hour]]&gt;=T$2),1,0)</f>
        <v>0</v>
      </c>
      <c r="U29" s="329" t="n">
        <f aca="false" t="array" ref="U29:U29">IF(AND(U$2&lt;&gt;0,TblTech[[#This Row],[Hour]:[Hour]]&gt;=U$2),1,0)</f>
        <v>0</v>
      </c>
      <c r="V29" s="329" t="n">
        <f aca="false" t="array" ref="V29:V29">IF(AND(V$2&lt;&gt;0,TblTech[[#This Row],[Hour]:[Hour]]&gt;=V$2),1,0)</f>
        <v>0</v>
      </c>
      <c r="W29" s="329" t="n">
        <f aca="false" t="array" ref="W29:W29">IF(AND(W$2&lt;&gt;0,TblTech[[#This Row],[Hour]:[Hour]]&gt;=W$2),1,0)</f>
        <v>0</v>
      </c>
      <c r="X29" s="329" t="n">
        <f aca="false" t="array" ref="X29:X29">IF(AND(X$2&lt;&gt;0,TblTech[[#This Row],[Hour]:[Hour]]&gt;=X$2),1,0)</f>
        <v>0</v>
      </c>
      <c r="Y29" s="329" t="n">
        <f aca="false" t="array" ref="Y29:Y29">IF(AND(Y$2&lt;&gt;0,TblTech[[#This Row],[Hour]:[Hour]]&gt;=Y$2),1,0)</f>
        <v>0</v>
      </c>
      <c r="Z29" s="329" t="n">
        <f aca="false" t="array" ref="Z29:Z29">IF(AND(Z$2&lt;&gt;0,TblTech[[#This Row],[Hour]:[Hour]]&gt;=Z$2),1,0)</f>
        <v>0</v>
      </c>
      <c r="AA29" s="329" t="n">
        <f aca="false" t="array" ref="AA29:AA29">IF(AND(AA$2&lt;&gt;0,TblTech[[#This Row],[Hour]:[Hour]]&gt;=AA$2),1,0)</f>
        <v>0</v>
      </c>
      <c r="AB29" s="329" t="n">
        <f aca="false" t="array" ref="AB29:AB29">IF(AND(AB$2&lt;&gt;0,TblTech[[#This Row],[Hour]:[Hour]]&gt;=AB$2),1,0)</f>
        <v>0</v>
      </c>
      <c r="AC29" s="329" t="n">
        <f aca="false" t="array" ref="AC29:AC29">IF(AND(AC$2&lt;&gt;0,TblTech[[#This Row],[Hour]:[Hour]]&gt;=AC$2),1,0)</f>
        <v>0</v>
      </c>
      <c r="AD29" s="329" t="n">
        <f aca="false" t="array" ref="AD29:AD29">IF(AND(AD$2&lt;&gt;0,TblTech[[#This Row],[Hour]:[Hour]]&gt;=AD$2),1,0)</f>
        <v>0</v>
      </c>
      <c r="AE29" s="329" t="n">
        <f aca="false" t="array" ref="AE29:AE29">IF(AND(AE$2&lt;&gt;0,TblTech[[#This Row],[Hour]:[Hour]]&gt;=AE$2),1,0)</f>
        <v>0</v>
      </c>
      <c r="AF29" s="329" t="n">
        <f aca="false" t="array" ref="AF29:AF29">IF(AND(AF$2&lt;&gt;0,TblTech[[#This Row],[Hour]:[Hour]]&gt;=AF$2),1,0)</f>
        <v>0</v>
      </c>
      <c r="AG29" s="329" t="n">
        <f aca="false" t="array" ref="AG29:AG29">IF(AND(AG$2&lt;&gt;0,TblTech[[#This Row],[Hour]:[Hour]]&gt;=AG$2),1,0)</f>
        <v>0</v>
      </c>
      <c r="AH29" s="329" t="n">
        <f aca="false" t="array" ref="AH29:AH29">IF(AND(AH$2&lt;&gt;0,TblTech[[#This Row],[Hour]:[Hour]]&gt;=AH$2),1,0)</f>
        <v>0</v>
      </c>
      <c r="AI29" s="329" t="n">
        <f aca="false" t="array" ref="AI29:AI29">IF(AND(AI$2&lt;&gt;0,TblTech[[#This Row],[Hour]:[Hour]]&gt;=AI$2),1,0)</f>
        <v>0</v>
      </c>
      <c r="AJ29" s="329" t="n">
        <f aca="false" t="array" ref="AJ29:AJ29">IF(AND(AJ$2&lt;&gt;0,TblTech[[#This Row],[Hour]:[Hour]]&gt;=AJ$2),1,0)</f>
        <v>0</v>
      </c>
      <c r="AK29" s="329" t="n">
        <f aca="false" t="array" ref="AK29:AK29">IF(AND(AK$2&lt;&gt;0,TblTech[[#This Row],[Hour]:[Hour]]&gt;=AK$2),1,0)</f>
        <v>0</v>
      </c>
      <c r="AL29" s="329" t="n">
        <f aca="false" t="array" ref="AL29:AL29">IF(AND(AL$2&lt;&gt;0,TblTech[[#This Row],[Hour]:[Hour]]&gt;=AL$2),1,0)</f>
        <v>0</v>
      </c>
      <c r="AM29" s="329" t="n">
        <f aca="false" t="array" ref="AM29:AM29">IF(AND(AM$2&lt;&gt;0,TblTech[[#This Row],[Hour]:[Hour]]&gt;=AM$2),1,0)</f>
        <v>0</v>
      </c>
      <c r="AN29" s="329" t="n">
        <f aca="false" t="array" ref="AN29:AN29">IF(AND(AN$2&lt;&gt;0,TblTech[[#This Row],[Hour]:[Hour]]&gt;=AN$2),1,0)</f>
        <v>0</v>
      </c>
      <c r="AO29" s="329" t="n">
        <f aca="false" t="array" ref="AO29:AO29">IF(AND(AO$2&lt;&gt;0,TblTech[[#This Row],[Hour]:[Hour]]&gt;=AO$2),1,0)</f>
        <v>0</v>
      </c>
      <c r="AP29" s="329" t="n">
        <f aca="false" t="array" ref="AP29:AP29">IF(AND(AP$2&lt;&gt;0,TblTech[[#This Row],[Hour]:[Hour]]&gt;=AP$2),1,0)</f>
        <v>0</v>
      </c>
      <c r="AQ29" s="329" t="n">
        <f aca="false" t="array" ref="AQ29:AQ29">IF(AND(AQ$2&lt;&gt;0,TblTech[[#This Row],[Hour]:[Hour]]&gt;=AQ$2),1,0)</f>
        <v>0</v>
      </c>
      <c r="AR29" s="329" t="n">
        <f aca="false" t="array" ref="AR29:AR29">IF(AND(AR$2&lt;&gt;0,TblTech[[#This Row],[Hour]:[Hour]]&gt;=AR$2),1,0)</f>
        <v>0</v>
      </c>
      <c r="AS29" s="329" t="n">
        <f aca="false" t="array" ref="AS29:AS29">IF(AND(AS$2&lt;&gt;0,TblTech[[#This Row],[Hour]:[Hour]]&gt;=AS$2),1,0)</f>
        <v>0</v>
      </c>
      <c r="AT29" s="329" t="n">
        <f aca="false" t="array" ref="AT29:AT29">IF(AND(AT$2&lt;&gt;0,TblTech[[#This Row],[Hour]:[Hour]]&gt;=AT$2),1,0)</f>
        <v>0</v>
      </c>
      <c r="AU29" s="329" t="n">
        <f aca="false" t="array" ref="AU29:AU29">IF(AND(AU$2&lt;&gt;0,TblTech[[#This Row],[Hour]:[Hour]]&gt;=AU$2),1,0)</f>
        <v>0</v>
      </c>
      <c r="AV29" s="329" t="n">
        <f aca="false" t="array" ref="AV29:AV29">IF(AND(AV$2&lt;&gt;0,TblTech[[#This Row],[Hour]:[Hour]]&gt;=AV$2),1,0)</f>
        <v>0</v>
      </c>
      <c r="AW29" s="329" t="n">
        <f aca="false" t="array" ref="AW29:AW29">IF(AND(AW$2&lt;&gt;0,TblTech[[#This Row],[Hour]:[Hour]]&gt;=AW$2),1,0)</f>
        <v>0</v>
      </c>
      <c r="AX29" s="329" t="n">
        <f aca="false" t="array" ref="AX29:AX29">IF(AND(AX$2&lt;&gt;0,TblTech[[#This Row],[Hour]:[Hour]]&gt;=AX$2),1,0)</f>
        <v>0</v>
      </c>
      <c r="AY29" s="329" t="n">
        <f aca="false" t="array" ref="AY29:AY29">IF(AND(AY$2&lt;&gt;0,TblTech[[#This Row],[Hour]:[Hour]]&gt;=AY$2),1,0)</f>
        <v>0</v>
      </c>
      <c r="AZ29" s="329" t="n">
        <f aca="false" t="array" ref="AZ29:AZ29">IF(AND(AZ$2&lt;&gt;0,TblTech[[#This Row],[Hour]:[Hour]]&gt;=AZ$2),1,0)</f>
        <v>0</v>
      </c>
      <c r="BA29" s="329" t="n">
        <f aca="false" t="array" ref="BA29:BA29">IF(AND(BA$2&lt;&gt;0,TblTech[[#This Row],[Hour]:[Hour]]&gt;=BA$2),1,0)</f>
        <v>0</v>
      </c>
      <c r="BB29" s="329" t="n">
        <f aca="false" t="array" ref="BB29:BB29">IF(AND(BB$2&lt;&gt;0,TblTech[[#This Row],[Hour]:[Hour]]&gt;=BB$2),1,0)</f>
        <v>0</v>
      </c>
      <c r="BC29" s="329" t="n">
        <f aca="false" t="array" ref="BC29:BC29">IF(AND(BC$2&lt;&gt;0,TblTech[[#This Row],[Hour]:[Hour]]&gt;=BC$2),1,0)</f>
        <v>0</v>
      </c>
      <c r="BD29" s="329" t="n">
        <f aca="false" t="array" ref="BD29:BD29">IF(AND(BD$2&lt;&gt;0,TblTech[[#This Row],[Hour]:[Hour]]&gt;=BD$2),1,0)</f>
        <v>0</v>
      </c>
      <c r="BE29" s="329" t="n">
        <f aca="false" t="array" ref="BE29:BE29">IF(AND(BE$2&lt;&gt;0,TblTech[[#This Row],[Hour]:[Hour]]&gt;=BE$2),1,0)</f>
        <v>0</v>
      </c>
      <c r="BF29" s="329" t="n">
        <f aca="false" t="array" ref="BF29:BF29">IF(AND(BF$2&lt;&gt;0,TblTech[[#This Row],[Hour]:[Hour]]&gt;=BF$2),1,0)</f>
        <v>0</v>
      </c>
      <c r="BG29" s="329" t="n">
        <f aca="false" t="array" ref="BG29:BG29">IF(AND(BG$2&lt;&gt;0,TblTech[[#This Row],[Hour]:[Hour]]&gt;=BG$2),1,0)</f>
        <v>0</v>
      </c>
      <c r="BH29" s="329" t="n">
        <f aca="false" t="array" ref="BH29:BH29">IF(AND(BH$2&lt;&gt;0,TblTech[[#This Row],[Hour]:[Hour]]&gt;=BH$2),1,0)</f>
        <v>0</v>
      </c>
      <c r="BI29" s="329" t="n">
        <f aca="false" t="array" ref="BI29:BI29">IF(AND(BI$2&lt;&gt;0,TblTech[[#This Row],[Hour]:[Hour]]&gt;=BI$2),1,0)</f>
        <v>0</v>
      </c>
      <c r="BJ29" s="329" t="n">
        <f aca="false" t="array" ref="BJ29:BJ29">IF(AND(BJ$2&lt;&gt;0,TblTech[[#This Row],[Hour]:[Hour]]&gt;=BJ$2),1,0)</f>
        <v>0</v>
      </c>
      <c r="BK29" s="329" t="n">
        <f aca="false" t="array" ref="BK29:BK29">IF(AND(BK$2&lt;&gt;0,TblTech[[#This Row],[Hour]:[Hour]]&gt;=BK$2),1,0)</f>
        <v>0</v>
      </c>
      <c r="BL29" s="329" t="n">
        <f aca="false" t="array" ref="BL29:BL29">IF(AND(BL$2&lt;&gt;0,TblTech[[#This Row],[Hour]:[Hour]]&gt;=BL$2),1,0)</f>
        <v>0</v>
      </c>
      <c r="BM29" s="329" t="n">
        <f aca="false" t="array" ref="BM29:BM29">IF(AND(BM$2&lt;&gt;0,TblTech[[#This Row],[Hour]:[Hour]]&gt;=BM$2),1,0)</f>
        <v>0</v>
      </c>
      <c r="BN29" s="329" t="n">
        <f aca="false" t="array" ref="BN29:BN29">IF(AND(BN$2&lt;&gt;0,TblTech[[#This Row],[Hour]:[Hour]]&gt;=BN$2),1,0)</f>
        <v>0</v>
      </c>
      <c r="BO29" s="329" t="n">
        <f aca="false" t="array" ref="BO29:BO29">IF(AND(BO$2&lt;&gt;0,TblTech[[#This Row],[Hour]:[Hour]]&gt;=BO$2),1,0)</f>
        <v>0</v>
      </c>
      <c r="BP29" s="329" t="n">
        <f aca="false" t="array" ref="BP29:BP29">IF(AND(BP$2&lt;&gt;0,TblTech[[#This Row],[Hour]:[Hour]]&gt;=BP$2),1,0)</f>
        <v>0</v>
      </c>
      <c r="BQ29" s="329" t="n">
        <f aca="false" t="array" ref="BQ29:BQ29">IF(AND(BQ$2&lt;&gt;0,TblTech[[#This Row],[Hour]:[Hour]]&gt;=BQ$2),1,0)</f>
        <v>0</v>
      </c>
      <c r="BR29" s="329" t="n">
        <f aca="false" t="array" ref="BR29:BR29">IF(AND(BR$2&lt;&gt;0,TblTech[[#This Row],[Hour]:[Hour]]&gt;=BR$2),1,0)</f>
        <v>0</v>
      </c>
      <c r="BS29" s="329" t="n">
        <f aca="false" t="array" ref="BS29:BS29">IF(AND(BS$2&lt;&gt;0,TblTech[[#This Row],[Hour]:[Hour]]&gt;=BS$2),1,0)</f>
        <v>0</v>
      </c>
      <c r="BT29" s="329" t="n">
        <f aca="false" t="array" ref="BT29:BT29">IF(AND(BT$2&lt;&gt;0,TblTech[[#This Row],[Hour]:[Hour]]&gt;=BT$2),1,0)</f>
        <v>0</v>
      </c>
      <c r="BU29" s="329" t="n">
        <f aca="false" t="array" ref="BU29:BU29">IF(AND(BU$2&lt;&gt;0,TblTech[[#This Row],[Hour]:[Hour]]&gt;=BU$2),1,0)</f>
        <v>0</v>
      </c>
      <c r="BV29" s="329" t="n">
        <f aca="false" t="array" ref="BV29:BV29">IF(AND(BV$2&lt;&gt;0,TblTech[[#This Row],[Hour]:[Hour]]&gt;=BV$2),1,0)</f>
        <v>0</v>
      </c>
      <c r="BW29" s="329" t="n">
        <f aca="false" t="array" ref="BW29:BW29">IF(AND(BW$2&lt;&gt;0,TblTech[[#This Row],[Hour]:[Hour]]&gt;=BW$2),1,0)</f>
        <v>0</v>
      </c>
      <c r="BX29" s="329" t="n">
        <f aca="false" t="array" ref="BX29:BX29">IF(AND(BX$2&lt;&gt;0,TblTech[[#This Row],[Hour]:[Hour]]&gt;=BX$2),1,0)</f>
        <v>0</v>
      </c>
      <c r="BY29" s="329" t="n">
        <f aca="false" t="array" ref="BY29:BY29">IF(AND(BY$2&lt;&gt;0,TblTech[[#This Row],[Hour]:[Hour]]&gt;=BY$2),1,0)</f>
        <v>0</v>
      </c>
      <c r="BZ29" s="329" t="n">
        <f aca="false" t="array" ref="BZ29:BZ29">IF(AND(BZ$2&lt;&gt;0,TblTech[[#This Row],[Hour]:[Hour]]&gt;=BZ$2),1,0)</f>
        <v>0</v>
      </c>
      <c r="CA29" s="330" t="n">
        <f aca="false">IFERROR(INDEX($H$4:$H$79,MATCH(INDEX(TblTech[[#Headers],[1-1]:[11-1]],1,MATCH(TblTech[[#This Row],[Hour]],$M$2:$BZ$2,0)),$G$4:$G$79,0)),)</f>
        <v>0</v>
      </c>
    </row>
    <row r="30" customFormat="false" ht="12.75" hidden="false" customHeight="false" outlineLevel="0" collapsed="false">
      <c r="A30" s="321" t="n">
        <f aca="false">TblRezone[[#This Row],[Hour]]</f>
        <v>27</v>
      </c>
      <c r="B30" s="322" t="n">
        <f aca="false">TblExplore[[#This Row],[Land-DB]]</f>
        <v>299</v>
      </c>
      <c r="C30" s="323" t="n">
        <f aca="false">TblProd[[#This Row],[Techpoints]]</f>
        <v>350</v>
      </c>
      <c r="D30" s="323" t="n">
        <f aca="false">TblProd[[#This Row],[Required]]</f>
        <v>3750</v>
      </c>
      <c r="E30" s="324"/>
      <c r="F30" s="325"/>
      <c r="G30" s="326" t="s">
        <v>548</v>
      </c>
      <c r="H30" s="327" t="s">
        <v>639</v>
      </c>
      <c r="I30" s="326" t="s">
        <v>640</v>
      </c>
      <c r="J30" s="322"/>
      <c r="K30" s="68" t="n">
        <f aca="false">IF(TblTech[[#This Row],[Sum of tech]]&lt;&gt;OFFSET(TblTech[[#This Row],[Sum of tech]],-1,0),1,0)</f>
        <v>0</v>
      </c>
      <c r="L30" s="328" t="n">
        <f aca="false">COUNTIF(TblTech[[#This Row],[1-1]:[11-1]],1)</f>
        <v>0</v>
      </c>
      <c r="M30" s="329" t="n">
        <f aca="false" t="array" ref="M30:M30">IF(AND(M$2&lt;&gt;0,TblTech[[#This Row],[Hour]:[Hour]]&gt;=M$2),1,0)</f>
        <v>0</v>
      </c>
      <c r="N30" s="329" t="n">
        <f aca="false" t="array" ref="N30:N30">IF(AND(N$2&lt;&gt;0,TblTech[[#This Row],[Hour]:[Hour]]&gt;=N$2),1,0)</f>
        <v>0</v>
      </c>
      <c r="O30" s="329" t="n">
        <f aca="false" t="array" ref="O30:O30">IF(AND(O$2&lt;&gt;0,TblTech[[#This Row],[Hour]:[Hour]]&gt;=O$2),1,0)</f>
        <v>0</v>
      </c>
      <c r="P30" s="329" t="n">
        <f aca="false" t="array" ref="P30:P30">IF(AND(P$2&lt;&gt;0,TblTech[[#This Row],[Hour]:[Hour]]&gt;=P$2),1,0)</f>
        <v>0</v>
      </c>
      <c r="Q30" s="329" t="n">
        <f aca="false" t="array" ref="Q30:Q30">IF(AND(Q$2&lt;&gt;0,TblTech[[#This Row],[Hour]:[Hour]]&gt;=Q$2),1,0)</f>
        <v>0</v>
      </c>
      <c r="R30" s="329" t="n">
        <f aca="false" t="array" ref="R30:R30">IF(AND(R$2&lt;&gt;0,TblTech[[#This Row],[Hour]:[Hour]]&gt;=R$2),1,0)</f>
        <v>0</v>
      </c>
      <c r="S30" s="329" t="n">
        <f aca="false" t="array" ref="S30:S30">IF(AND(S$2&lt;&gt;0,TblTech[[#This Row],[Hour]:[Hour]]&gt;=S$2),1,0)</f>
        <v>0</v>
      </c>
      <c r="T30" s="329" t="n">
        <f aca="false" t="array" ref="T30:T30">IF(AND(T$2&lt;&gt;0,TblTech[[#This Row],[Hour]:[Hour]]&gt;=T$2),1,0)</f>
        <v>0</v>
      </c>
      <c r="U30" s="329" t="n">
        <f aca="false" t="array" ref="U30:U30">IF(AND(U$2&lt;&gt;0,TblTech[[#This Row],[Hour]:[Hour]]&gt;=U$2),1,0)</f>
        <v>0</v>
      </c>
      <c r="V30" s="329" t="n">
        <f aca="false" t="array" ref="V30:V30">IF(AND(V$2&lt;&gt;0,TblTech[[#This Row],[Hour]:[Hour]]&gt;=V$2),1,0)</f>
        <v>0</v>
      </c>
      <c r="W30" s="329" t="n">
        <f aca="false" t="array" ref="W30:W30">IF(AND(W$2&lt;&gt;0,TblTech[[#This Row],[Hour]:[Hour]]&gt;=W$2),1,0)</f>
        <v>0</v>
      </c>
      <c r="X30" s="329" t="n">
        <f aca="false" t="array" ref="X30:X30">IF(AND(X$2&lt;&gt;0,TblTech[[#This Row],[Hour]:[Hour]]&gt;=X$2),1,0)</f>
        <v>0</v>
      </c>
      <c r="Y30" s="329" t="n">
        <f aca="false" t="array" ref="Y30:Y30">IF(AND(Y$2&lt;&gt;0,TblTech[[#This Row],[Hour]:[Hour]]&gt;=Y$2),1,0)</f>
        <v>0</v>
      </c>
      <c r="Z30" s="329" t="n">
        <f aca="false" t="array" ref="Z30:Z30">IF(AND(Z$2&lt;&gt;0,TblTech[[#This Row],[Hour]:[Hour]]&gt;=Z$2),1,0)</f>
        <v>0</v>
      </c>
      <c r="AA30" s="329" t="n">
        <f aca="false" t="array" ref="AA30:AA30">IF(AND(AA$2&lt;&gt;0,TblTech[[#This Row],[Hour]:[Hour]]&gt;=AA$2),1,0)</f>
        <v>0</v>
      </c>
      <c r="AB30" s="329" t="n">
        <f aca="false" t="array" ref="AB30:AB30">IF(AND(AB$2&lt;&gt;0,TblTech[[#This Row],[Hour]:[Hour]]&gt;=AB$2),1,0)</f>
        <v>0</v>
      </c>
      <c r="AC30" s="329" t="n">
        <f aca="false" t="array" ref="AC30:AC30">IF(AND(AC$2&lt;&gt;0,TblTech[[#This Row],[Hour]:[Hour]]&gt;=AC$2),1,0)</f>
        <v>0</v>
      </c>
      <c r="AD30" s="329" t="n">
        <f aca="false" t="array" ref="AD30:AD30">IF(AND(AD$2&lt;&gt;0,TblTech[[#This Row],[Hour]:[Hour]]&gt;=AD$2),1,0)</f>
        <v>0</v>
      </c>
      <c r="AE30" s="329" t="n">
        <f aca="false" t="array" ref="AE30:AE30">IF(AND(AE$2&lt;&gt;0,TblTech[[#This Row],[Hour]:[Hour]]&gt;=AE$2),1,0)</f>
        <v>0</v>
      </c>
      <c r="AF30" s="329" t="n">
        <f aca="false" t="array" ref="AF30:AF30">IF(AND(AF$2&lt;&gt;0,TblTech[[#This Row],[Hour]:[Hour]]&gt;=AF$2),1,0)</f>
        <v>0</v>
      </c>
      <c r="AG30" s="329" t="n">
        <f aca="false" t="array" ref="AG30:AG30">IF(AND(AG$2&lt;&gt;0,TblTech[[#This Row],[Hour]:[Hour]]&gt;=AG$2),1,0)</f>
        <v>0</v>
      </c>
      <c r="AH30" s="329" t="n">
        <f aca="false" t="array" ref="AH30:AH30">IF(AND(AH$2&lt;&gt;0,TblTech[[#This Row],[Hour]:[Hour]]&gt;=AH$2),1,0)</f>
        <v>0</v>
      </c>
      <c r="AI30" s="329" t="n">
        <f aca="false" t="array" ref="AI30:AI30">IF(AND(AI$2&lt;&gt;0,TblTech[[#This Row],[Hour]:[Hour]]&gt;=AI$2),1,0)</f>
        <v>0</v>
      </c>
      <c r="AJ30" s="329" t="n">
        <f aca="false" t="array" ref="AJ30:AJ30">IF(AND(AJ$2&lt;&gt;0,TblTech[[#This Row],[Hour]:[Hour]]&gt;=AJ$2),1,0)</f>
        <v>0</v>
      </c>
      <c r="AK30" s="329" t="n">
        <f aca="false" t="array" ref="AK30:AK30">IF(AND(AK$2&lt;&gt;0,TblTech[[#This Row],[Hour]:[Hour]]&gt;=AK$2),1,0)</f>
        <v>0</v>
      </c>
      <c r="AL30" s="329" t="n">
        <f aca="false" t="array" ref="AL30:AL30">IF(AND(AL$2&lt;&gt;0,TblTech[[#This Row],[Hour]:[Hour]]&gt;=AL$2),1,0)</f>
        <v>0</v>
      </c>
      <c r="AM30" s="329" t="n">
        <f aca="false" t="array" ref="AM30:AM30">IF(AND(AM$2&lt;&gt;0,TblTech[[#This Row],[Hour]:[Hour]]&gt;=AM$2),1,0)</f>
        <v>0</v>
      </c>
      <c r="AN30" s="329" t="n">
        <f aca="false" t="array" ref="AN30:AN30">IF(AND(AN$2&lt;&gt;0,TblTech[[#This Row],[Hour]:[Hour]]&gt;=AN$2),1,0)</f>
        <v>0</v>
      </c>
      <c r="AO30" s="329" t="n">
        <f aca="false" t="array" ref="AO30:AO30">IF(AND(AO$2&lt;&gt;0,TblTech[[#This Row],[Hour]:[Hour]]&gt;=AO$2),1,0)</f>
        <v>0</v>
      </c>
      <c r="AP30" s="329" t="n">
        <f aca="false" t="array" ref="AP30:AP30">IF(AND(AP$2&lt;&gt;0,TblTech[[#This Row],[Hour]:[Hour]]&gt;=AP$2),1,0)</f>
        <v>0</v>
      </c>
      <c r="AQ30" s="329" t="n">
        <f aca="false" t="array" ref="AQ30:AQ30">IF(AND(AQ$2&lt;&gt;0,TblTech[[#This Row],[Hour]:[Hour]]&gt;=AQ$2),1,0)</f>
        <v>0</v>
      </c>
      <c r="AR30" s="329" t="n">
        <f aca="false" t="array" ref="AR30:AR30">IF(AND(AR$2&lt;&gt;0,TblTech[[#This Row],[Hour]:[Hour]]&gt;=AR$2),1,0)</f>
        <v>0</v>
      </c>
      <c r="AS30" s="329" t="n">
        <f aca="false" t="array" ref="AS30:AS30">IF(AND(AS$2&lt;&gt;0,TblTech[[#This Row],[Hour]:[Hour]]&gt;=AS$2),1,0)</f>
        <v>0</v>
      </c>
      <c r="AT30" s="329" t="n">
        <f aca="false" t="array" ref="AT30:AT30">IF(AND(AT$2&lt;&gt;0,TblTech[[#This Row],[Hour]:[Hour]]&gt;=AT$2),1,0)</f>
        <v>0</v>
      </c>
      <c r="AU30" s="329" t="n">
        <f aca="false" t="array" ref="AU30:AU30">IF(AND(AU$2&lt;&gt;0,TblTech[[#This Row],[Hour]:[Hour]]&gt;=AU$2),1,0)</f>
        <v>0</v>
      </c>
      <c r="AV30" s="329" t="n">
        <f aca="false" t="array" ref="AV30:AV30">IF(AND(AV$2&lt;&gt;0,TblTech[[#This Row],[Hour]:[Hour]]&gt;=AV$2),1,0)</f>
        <v>0</v>
      </c>
      <c r="AW30" s="329" t="n">
        <f aca="false" t="array" ref="AW30:AW30">IF(AND(AW$2&lt;&gt;0,TblTech[[#This Row],[Hour]:[Hour]]&gt;=AW$2),1,0)</f>
        <v>0</v>
      </c>
      <c r="AX30" s="329" t="n">
        <f aca="false" t="array" ref="AX30:AX30">IF(AND(AX$2&lt;&gt;0,TblTech[[#This Row],[Hour]:[Hour]]&gt;=AX$2),1,0)</f>
        <v>0</v>
      </c>
      <c r="AY30" s="329" t="n">
        <f aca="false" t="array" ref="AY30:AY30">IF(AND(AY$2&lt;&gt;0,TblTech[[#This Row],[Hour]:[Hour]]&gt;=AY$2),1,0)</f>
        <v>0</v>
      </c>
      <c r="AZ30" s="329" t="n">
        <f aca="false" t="array" ref="AZ30:AZ30">IF(AND(AZ$2&lt;&gt;0,TblTech[[#This Row],[Hour]:[Hour]]&gt;=AZ$2),1,0)</f>
        <v>0</v>
      </c>
      <c r="BA30" s="329" t="n">
        <f aca="false" t="array" ref="BA30:BA30">IF(AND(BA$2&lt;&gt;0,TblTech[[#This Row],[Hour]:[Hour]]&gt;=BA$2),1,0)</f>
        <v>0</v>
      </c>
      <c r="BB30" s="329" t="n">
        <f aca="false" t="array" ref="BB30:BB30">IF(AND(BB$2&lt;&gt;0,TblTech[[#This Row],[Hour]:[Hour]]&gt;=BB$2),1,0)</f>
        <v>0</v>
      </c>
      <c r="BC30" s="329" t="n">
        <f aca="false" t="array" ref="BC30:BC30">IF(AND(BC$2&lt;&gt;0,TblTech[[#This Row],[Hour]:[Hour]]&gt;=BC$2),1,0)</f>
        <v>0</v>
      </c>
      <c r="BD30" s="329" t="n">
        <f aca="false" t="array" ref="BD30:BD30">IF(AND(BD$2&lt;&gt;0,TblTech[[#This Row],[Hour]:[Hour]]&gt;=BD$2),1,0)</f>
        <v>0</v>
      </c>
      <c r="BE30" s="329" t="n">
        <f aca="false" t="array" ref="BE30:BE30">IF(AND(BE$2&lt;&gt;0,TblTech[[#This Row],[Hour]:[Hour]]&gt;=BE$2),1,0)</f>
        <v>0</v>
      </c>
      <c r="BF30" s="329" t="n">
        <f aca="false" t="array" ref="BF30:BF30">IF(AND(BF$2&lt;&gt;0,TblTech[[#This Row],[Hour]:[Hour]]&gt;=BF$2),1,0)</f>
        <v>0</v>
      </c>
      <c r="BG30" s="329" t="n">
        <f aca="false" t="array" ref="BG30:BG30">IF(AND(BG$2&lt;&gt;0,TblTech[[#This Row],[Hour]:[Hour]]&gt;=BG$2),1,0)</f>
        <v>0</v>
      </c>
      <c r="BH30" s="329" t="n">
        <f aca="false" t="array" ref="BH30:BH30">IF(AND(BH$2&lt;&gt;0,TblTech[[#This Row],[Hour]:[Hour]]&gt;=BH$2),1,0)</f>
        <v>0</v>
      </c>
      <c r="BI30" s="329" t="n">
        <f aca="false" t="array" ref="BI30:BI30">IF(AND(BI$2&lt;&gt;0,TblTech[[#This Row],[Hour]:[Hour]]&gt;=BI$2),1,0)</f>
        <v>0</v>
      </c>
      <c r="BJ30" s="329" t="n">
        <f aca="false" t="array" ref="BJ30:BJ30">IF(AND(BJ$2&lt;&gt;0,TblTech[[#This Row],[Hour]:[Hour]]&gt;=BJ$2),1,0)</f>
        <v>0</v>
      </c>
      <c r="BK30" s="329" t="n">
        <f aca="false" t="array" ref="BK30:BK30">IF(AND(BK$2&lt;&gt;0,TblTech[[#This Row],[Hour]:[Hour]]&gt;=BK$2),1,0)</f>
        <v>0</v>
      </c>
      <c r="BL30" s="329" t="n">
        <f aca="false" t="array" ref="BL30:BL30">IF(AND(BL$2&lt;&gt;0,TblTech[[#This Row],[Hour]:[Hour]]&gt;=BL$2),1,0)</f>
        <v>0</v>
      </c>
      <c r="BM30" s="329" t="n">
        <f aca="false" t="array" ref="BM30:BM30">IF(AND(BM$2&lt;&gt;0,TblTech[[#This Row],[Hour]:[Hour]]&gt;=BM$2),1,0)</f>
        <v>0</v>
      </c>
      <c r="BN30" s="329" t="n">
        <f aca="false" t="array" ref="BN30:BN30">IF(AND(BN$2&lt;&gt;0,TblTech[[#This Row],[Hour]:[Hour]]&gt;=BN$2),1,0)</f>
        <v>0</v>
      </c>
      <c r="BO30" s="329" t="n">
        <f aca="false" t="array" ref="BO30:BO30">IF(AND(BO$2&lt;&gt;0,TblTech[[#This Row],[Hour]:[Hour]]&gt;=BO$2),1,0)</f>
        <v>0</v>
      </c>
      <c r="BP30" s="329" t="n">
        <f aca="false" t="array" ref="BP30:BP30">IF(AND(BP$2&lt;&gt;0,TblTech[[#This Row],[Hour]:[Hour]]&gt;=BP$2),1,0)</f>
        <v>0</v>
      </c>
      <c r="BQ30" s="329" t="n">
        <f aca="false" t="array" ref="BQ30:BQ30">IF(AND(BQ$2&lt;&gt;0,TblTech[[#This Row],[Hour]:[Hour]]&gt;=BQ$2),1,0)</f>
        <v>0</v>
      </c>
      <c r="BR30" s="329" t="n">
        <f aca="false" t="array" ref="BR30:BR30">IF(AND(BR$2&lt;&gt;0,TblTech[[#This Row],[Hour]:[Hour]]&gt;=BR$2),1,0)</f>
        <v>0</v>
      </c>
      <c r="BS30" s="329" t="n">
        <f aca="false" t="array" ref="BS30:BS30">IF(AND(BS$2&lt;&gt;0,TblTech[[#This Row],[Hour]:[Hour]]&gt;=BS$2),1,0)</f>
        <v>0</v>
      </c>
      <c r="BT30" s="329" t="n">
        <f aca="false" t="array" ref="BT30:BT30">IF(AND(BT$2&lt;&gt;0,TblTech[[#This Row],[Hour]:[Hour]]&gt;=BT$2),1,0)</f>
        <v>0</v>
      </c>
      <c r="BU30" s="329" t="n">
        <f aca="false" t="array" ref="BU30:BU30">IF(AND(BU$2&lt;&gt;0,TblTech[[#This Row],[Hour]:[Hour]]&gt;=BU$2),1,0)</f>
        <v>0</v>
      </c>
      <c r="BV30" s="329" t="n">
        <f aca="false" t="array" ref="BV30:BV30">IF(AND(BV$2&lt;&gt;0,TblTech[[#This Row],[Hour]:[Hour]]&gt;=BV$2),1,0)</f>
        <v>0</v>
      </c>
      <c r="BW30" s="329" t="n">
        <f aca="false" t="array" ref="BW30:BW30">IF(AND(BW$2&lt;&gt;0,TblTech[[#This Row],[Hour]:[Hour]]&gt;=BW$2),1,0)</f>
        <v>0</v>
      </c>
      <c r="BX30" s="329" t="n">
        <f aca="false" t="array" ref="BX30:BX30">IF(AND(BX$2&lt;&gt;0,TblTech[[#This Row],[Hour]:[Hour]]&gt;=BX$2),1,0)</f>
        <v>0</v>
      </c>
      <c r="BY30" s="329" t="n">
        <f aca="false" t="array" ref="BY30:BY30">IF(AND(BY$2&lt;&gt;0,TblTech[[#This Row],[Hour]:[Hour]]&gt;=BY$2),1,0)</f>
        <v>0</v>
      </c>
      <c r="BZ30" s="329" t="n">
        <f aca="false" t="array" ref="BZ30:BZ30">IF(AND(BZ$2&lt;&gt;0,TblTech[[#This Row],[Hour]:[Hour]]&gt;=BZ$2),1,0)</f>
        <v>0</v>
      </c>
      <c r="CA30" s="330" t="n">
        <f aca="false">IFERROR(INDEX($H$4:$H$79,MATCH(INDEX(TblTech[[#Headers],[1-1]:[11-1]],1,MATCH(TblTech[[#This Row],[Hour]],$M$2:$BZ$2,0)),$G$4:$G$79,0)),)</f>
        <v>0</v>
      </c>
    </row>
    <row r="31" customFormat="false" ht="12.75" hidden="false" customHeight="false" outlineLevel="0" collapsed="false">
      <c r="A31" s="321" t="n">
        <f aca="false">TblRezone[[#This Row],[Hour]]</f>
        <v>28</v>
      </c>
      <c r="B31" s="322" t="n">
        <f aca="false">TblExplore[[#This Row],[Land-DB]]</f>
        <v>299</v>
      </c>
      <c r="C31" s="323" t="n">
        <f aca="false">TblProd[[#This Row],[Techpoints]]</f>
        <v>350</v>
      </c>
      <c r="D31" s="323" t="n">
        <f aca="false">TblProd[[#This Row],[Required]]</f>
        <v>3750</v>
      </c>
      <c r="E31" s="324"/>
      <c r="F31" s="325"/>
      <c r="G31" s="326" t="s">
        <v>549</v>
      </c>
      <c r="H31" s="327" t="s">
        <v>641</v>
      </c>
      <c r="I31" s="326" t="s">
        <v>642</v>
      </c>
      <c r="J31" s="322"/>
      <c r="K31" s="68" t="n">
        <f aca="false">IF(TblTech[[#This Row],[Sum of tech]]&lt;&gt;OFFSET(TblTech[[#This Row],[Sum of tech]],-1,0),1,0)</f>
        <v>0</v>
      </c>
      <c r="L31" s="328" t="n">
        <f aca="false">COUNTIF(TblTech[[#This Row],[1-1]:[11-1]],1)</f>
        <v>0</v>
      </c>
      <c r="M31" s="329" t="n">
        <f aca="false" t="array" ref="M31:M31">IF(AND(M$2&lt;&gt;0,TblTech[[#This Row],[Hour]:[Hour]]&gt;=M$2),1,0)</f>
        <v>0</v>
      </c>
      <c r="N31" s="329" t="n">
        <f aca="false" t="array" ref="N31:N31">IF(AND(N$2&lt;&gt;0,TblTech[[#This Row],[Hour]:[Hour]]&gt;=N$2),1,0)</f>
        <v>0</v>
      </c>
      <c r="O31" s="329" t="n">
        <f aca="false" t="array" ref="O31:O31">IF(AND(O$2&lt;&gt;0,TblTech[[#This Row],[Hour]:[Hour]]&gt;=O$2),1,0)</f>
        <v>0</v>
      </c>
      <c r="P31" s="329" t="n">
        <f aca="false" t="array" ref="P31:P31">IF(AND(P$2&lt;&gt;0,TblTech[[#This Row],[Hour]:[Hour]]&gt;=P$2),1,0)</f>
        <v>0</v>
      </c>
      <c r="Q31" s="329" t="n">
        <f aca="false" t="array" ref="Q31:Q31">IF(AND(Q$2&lt;&gt;0,TblTech[[#This Row],[Hour]:[Hour]]&gt;=Q$2),1,0)</f>
        <v>0</v>
      </c>
      <c r="R31" s="329" t="n">
        <f aca="false" t="array" ref="R31:R31">IF(AND(R$2&lt;&gt;0,TblTech[[#This Row],[Hour]:[Hour]]&gt;=R$2),1,0)</f>
        <v>0</v>
      </c>
      <c r="S31" s="329" t="n">
        <f aca="false" t="array" ref="S31:S31">IF(AND(S$2&lt;&gt;0,TblTech[[#This Row],[Hour]:[Hour]]&gt;=S$2),1,0)</f>
        <v>0</v>
      </c>
      <c r="T31" s="329" t="n">
        <f aca="false" t="array" ref="T31:T31">IF(AND(T$2&lt;&gt;0,TblTech[[#This Row],[Hour]:[Hour]]&gt;=T$2),1,0)</f>
        <v>0</v>
      </c>
      <c r="U31" s="329" t="n">
        <f aca="false" t="array" ref="U31:U31">IF(AND(U$2&lt;&gt;0,TblTech[[#This Row],[Hour]:[Hour]]&gt;=U$2),1,0)</f>
        <v>0</v>
      </c>
      <c r="V31" s="329" t="n">
        <f aca="false" t="array" ref="V31:V31">IF(AND(V$2&lt;&gt;0,TblTech[[#This Row],[Hour]:[Hour]]&gt;=V$2),1,0)</f>
        <v>0</v>
      </c>
      <c r="W31" s="329" t="n">
        <f aca="false" t="array" ref="W31:W31">IF(AND(W$2&lt;&gt;0,TblTech[[#This Row],[Hour]:[Hour]]&gt;=W$2),1,0)</f>
        <v>0</v>
      </c>
      <c r="X31" s="329" t="n">
        <f aca="false" t="array" ref="X31:X31">IF(AND(X$2&lt;&gt;0,TblTech[[#This Row],[Hour]:[Hour]]&gt;=X$2),1,0)</f>
        <v>0</v>
      </c>
      <c r="Y31" s="329" t="n">
        <f aca="false" t="array" ref="Y31:Y31">IF(AND(Y$2&lt;&gt;0,TblTech[[#This Row],[Hour]:[Hour]]&gt;=Y$2),1,0)</f>
        <v>0</v>
      </c>
      <c r="Z31" s="329" t="n">
        <f aca="false" t="array" ref="Z31:Z31">IF(AND(Z$2&lt;&gt;0,TblTech[[#This Row],[Hour]:[Hour]]&gt;=Z$2),1,0)</f>
        <v>0</v>
      </c>
      <c r="AA31" s="329" t="n">
        <f aca="false" t="array" ref="AA31:AA31">IF(AND(AA$2&lt;&gt;0,TblTech[[#This Row],[Hour]:[Hour]]&gt;=AA$2),1,0)</f>
        <v>0</v>
      </c>
      <c r="AB31" s="329" t="n">
        <f aca="false" t="array" ref="AB31:AB31">IF(AND(AB$2&lt;&gt;0,TblTech[[#This Row],[Hour]:[Hour]]&gt;=AB$2),1,0)</f>
        <v>0</v>
      </c>
      <c r="AC31" s="329" t="n">
        <f aca="false" t="array" ref="AC31:AC31">IF(AND(AC$2&lt;&gt;0,TblTech[[#This Row],[Hour]:[Hour]]&gt;=AC$2),1,0)</f>
        <v>0</v>
      </c>
      <c r="AD31" s="329" t="n">
        <f aca="false" t="array" ref="AD31:AD31">IF(AND(AD$2&lt;&gt;0,TblTech[[#This Row],[Hour]:[Hour]]&gt;=AD$2),1,0)</f>
        <v>0</v>
      </c>
      <c r="AE31" s="329" t="n">
        <f aca="false" t="array" ref="AE31:AE31">IF(AND(AE$2&lt;&gt;0,TblTech[[#This Row],[Hour]:[Hour]]&gt;=AE$2),1,0)</f>
        <v>0</v>
      </c>
      <c r="AF31" s="329" t="n">
        <f aca="false" t="array" ref="AF31:AF31">IF(AND(AF$2&lt;&gt;0,TblTech[[#This Row],[Hour]:[Hour]]&gt;=AF$2),1,0)</f>
        <v>0</v>
      </c>
      <c r="AG31" s="329" t="n">
        <f aca="false" t="array" ref="AG31:AG31">IF(AND(AG$2&lt;&gt;0,TblTech[[#This Row],[Hour]:[Hour]]&gt;=AG$2),1,0)</f>
        <v>0</v>
      </c>
      <c r="AH31" s="329" t="n">
        <f aca="false" t="array" ref="AH31:AH31">IF(AND(AH$2&lt;&gt;0,TblTech[[#This Row],[Hour]:[Hour]]&gt;=AH$2),1,0)</f>
        <v>0</v>
      </c>
      <c r="AI31" s="329" t="n">
        <f aca="false" t="array" ref="AI31:AI31">IF(AND(AI$2&lt;&gt;0,TblTech[[#This Row],[Hour]:[Hour]]&gt;=AI$2),1,0)</f>
        <v>0</v>
      </c>
      <c r="AJ31" s="329" t="n">
        <f aca="false" t="array" ref="AJ31:AJ31">IF(AND(AJ$2&lt;&gt;0,TblTech[[#This Row],[Hour]:[Hour]]&gt;=AJ$2),1,0)</f>
        <v>0</v>
      </c>
      <c r="AK31" s="329" t="n">
        <f aca="false" t="array" ref="AK31:AK31">IF(AND(AK$2&lt;&gt;0,TblTech[[#This Row],[Hour]:[Hour]]&gt;=AK$2),1,0)</f>
        <v>0</v>
      </c>
      <c r="AL31" s="329" t="n">
        <f aca="false" t="array" ref="AL31:AL31">IF(AND(AL$2&lt;&gt;0,TblTech[[#This Row],[Hour]:[Hour]]&gt;=AL$2),1,0)</f>
        <v>0</v>
      </c>
      <c r="AM31" s="329" t="n">
        <f aca="false" t="array" ref="AM31:AM31">IF(AND(AM$2&lt;&gt;0,TblTech[[#This Row],[Hour]:[Hour]]&gt;=AM$2),1,0)</f>
        <v>0</v>
      </c>
      <c r="AN31" s="329" t="n">
        <f aca="false" t="array" ref="AN31:AN31">IF(AND(AN$2&lt;&gt;0,TblTech[[#This Row],[Hour]:[Hour]]&gt;=AN$2),1,0)</f>
        <v>0</v>
      </c>
      <c r="AO31" s="329" t="n">
        <f aca="false" t="array" ref="AO31:AO31">IF(AND(AO$2&lt;&gt;0,TblTech[[#This Row],[Hour]:[Hour]]&gt;=AO$2),1,0)</f>
        <v>0</v>
      </c>
      <c r="AP31" s="329" t="n">
        <f aca="false" t="array" ref="AP31:AP31">IF(AND(AP$2&lt;&gt;0,TblTech[[#This Row],[Hour]:[Hour]]&gt;=AP$2),1,0)</f>
        <v>0</v>
      </c>
      <c r="AQ31" s="329" t="n">
        <f aca="false" t="array" ref="AQ31:AQ31">IF(AND(AQ$2&lt;&gt;0,TblTech[[#This Row],[Hour]:[Hour]]&gt;=AQ$2),1,0)</f>
        <v>0</v>
      </c>
      <c r="AR31" s="329" t="n">
        <f aca="false" t="array" ref="AR31:AR31">IF(AND(AR$2&lt;&gt;0,TblTech[[#This Row],[Hour]:[Hour]]&gt;=AR$2),1,0)</f>
        <v>0</v>
      </c>
      <c r="AS31" s="329" t="n">
        <f aca="false" t="array" ref="AS31:AS31">IF(AND(AS$2&lt;&gt;0,TblTech[[#This Row],[Hour]:[Hour]]&gt;=AS$2),1,0)</f>
        <v>0</v>
      </c>
      <c r="AT31" s="329" t="n">
        <f aca="false" t="array" ref="AT31:AT31">IF(AND(AT$2&lt;&gt;0,TblTech[[#This Row],[Hour]:[Hour]]&gt;=AT$2),1,0)</f>
        <v>0</v>
      </c>
      <c r="AU31" s="329" t="n">
        <f aca="false" t="array" ref="AU31:AU31">IF(AND(AU$2&lt;&gt;0,TblTech[[#This Row],[Hour]:[Hour]]&gt;=AU$2),1,0)</f>
        <v>0</v>
      </c>
      <c r="AV31" s="329" t="n">
        <f aca="false" t="array" ref="AV31:AV31">IF(AND(AV$2&lt;&gt;0,TblTech[[#This Row],[Hour]:[Hour]]&gt;=AV$2),1,0)</f>
        <v>0</v>
      </c>
      <c r="AW31" s="329" t="n">
        <f aca="false" t="array" ref="AW31:AW31">IF(AND(AW$2&lt;&gt;0,TblTech[[#This Row],[Hour]:[Hour]]&gt;=AW$2),1,0)</f>
        <v>0</v>
      </c>
      <c r="AX31" s="329" t="n">
        <f aca="false" t="array" ref="AX31:AX31">IF(AND(AX$2&lt;&gt;0,TblTech[[#This Row],[Hour]:[Hour]]&gt;=AX$2),1,0)</f>
        <v>0</v>
      </c>
      <c r="AY31" s="329" t="n">
        <f aca="false" t="array" ref="AY31:AY31">IF(AND(AY$2&lt;&gt;0,TblTech[[#This Row],[Hour]:[Hour]]&gt;=AY$2),1,0)</f>
        <v>0</v>
      </c>
      <c r="AZ31" s="329" t="n">
        <f aca="false" t="array" ref="AZ31:AZ31">IF(AND(AZ$2&lt;&gt;0,TblTech[[#This Row],[Hour]:[Hour]]&gt;=AZ$2),1,0)</f>
        <v>0</v>
      </c>
      <c r="BA31" s="329" t="n">
        <f aca="false" t="array" ref="BA31:BA31">IF(AND(BA$2&lt;&gt;0,TblTech[[#This Row],[Hour]:[Hour]]&gt;=BA$2),1,0)</f>
        <v>0</v>
      </c>
      <c r="BB31" s="329" t="n">
        <f aca="false" t="array" ref="BB31:BB31">IF(AND(BB$2&lt;&gt;0,TblTech[[#This Row],[Hour]:[Hour]]&gt;=BB$2),1,0)</f>
        <v>0</v>
      </c>
      <c r="BC31" s="329" t="n">
        <f aca="false" t="array" ref="BC31:BC31">IF(AND(BC$2&lt;&gt;0,TblTech[[#This Row],[Hour]:[Hour]]&gt;=BC$2),1,0)</f>
        <v>0</v>
      </c>
      <c r="BD31" s="329" t="n">
        <f aca="false" t="array" ref="BD31:BD31">IF(AND(BD$2&lt;&gt;0,TblTech[[#This Row],[Hour]:[Hour]]&gt;=BD$2),1,0)</f>
        <v>0</v>
      </c>
      <c r="BE31" s="329" t="n">
        <f aca="false" t="array" ref="BE31:BE31">IF(AND(BE$2&lt;&gt;0,TblTech[[#This Row],[Hour]:[Hour]]&gt;=BE$2),1,0)</f>
        <v>0</v>
      </c>
      <c r="BF31" s="329" t="n">
        <f aca="false" t="array" ref="BF31:BF31">IF(AND(BF$2&lt;&gt;0,TblTech[[#This Row],[Hour]:[Hour]]&gt;=BF$2),1,0)</f>
        <v>0</v>
      </c>
      <c r="BG31" s="329" t="n">
        <f aca="false" t="array" ref="BG31:BG31">IF(AND(BG$2&lt;&gt;0,TblTech[[#This Row],[Hour]:[Hour]]&gt;=BG$2),1,0)</f>
        <v>0</v>
      </c>
      <c r="BH31" s="329" t="n">
        <f aca="false" t="array" ref="BH31:BH31">IF(AND(BH$2&lt;&gt;0,TblTech[[#This Row],[Hour]:[Hour]]&gt;=BH$2),1,0)</f>
        <v>0</v>
      </c>
      <c r="BI31" s="329" t="n">
        <f aca="false" t="array" ref="BI31:BI31">IF(AND(BI$2&lt;&gt;0,TblTech[[#This Row],[Hour]:[Hour]]&gt;=BI$2),1,0)</f>
        <v>0</v>
      </c>
      <c r="BJ31" s="329" t="n">
        <f aca="false" t="array" ref="BJ31:BJ31">IF(AND(BJ$2&lt;&gt;0,TblTech[[#This Row],[Hour]:[Hour]]&gt;=BJ$2),1,0)</f>
        <v>0</v>
      </c>
      <c r="BK31" s="329" t="n">
        <f aca="false" t="array" ref="BK31:BK31">IF(AND(BK$2&lt;&gt;0,TblTech[[#This Row],[Hour]:[Hour]]&gt;=BK$2),1,0)</f>
        <v>0</v>
      </c>
      <c r="BL31" s="329" t="n">
        <f aca="false" t="array" ref="BL31:BL31">IF(AND(BL$2&lt;&gt;0,TblTech[[#This Row],[Hour]:[Hour]]&gt;=BL$2),1,0)</f>
        <v>0</v>
      </c>
      <c r="BM31" s="329" t="n">
        <f aca="false" t="array" ref="BM31:BM31">IF(AND(BM$2&lt;&gt;0,TblTech[[#This Row],[Hour]:[Hour]]&gt;=BM$2),1,0)</f>
        <v>0</v>
      </c>
      <c r="BN31" s="329" t="n">
        <f aca="false" t="array" ref="BN31:BN31">IF(AND(BN$2&lt;&gt;0,TblTech[[#This Row],[Hour]:[Hour]]&gt;=BN$2),1,0)</f>
        <v>0</v>
      </c>
      <c r="BO31" s="329" t="n">
        <f aca="false" t="array" ref="BO31:BO31">IF(AND(BO$2&lt;&gt;0,TblTech[[#This Row],[Hour]:[Hour]]&gt;=BO$2),1,0)</f>
        <v>0</v>
      </c>
      <c r="BP31" s="329" t="n">
        <f aca="false" t="array" ref="BP31:BP31">IF(AND(BP$2&lt;&gt;0,TblTech[[#This Row],[Hour]:[Hour]]&gt;=BP$2),1,0)</f>
        <v>0</v>
      </c>
      <c r="BQ31" s="329" t="n">
        <f aca="false" t="array" ref="BQ31:BQ31">IF(AND(BQ$2&lt;&gt;0,TblTech[[#This Row],[Hour]:[Hour]]&gt;=BQ$2),1,0)</f>
        <v>0</v>
      </c>
      <c r="BR31" s="329" t="n">
        <f aca="false" t="array" ref="BR31:BR31">IF(AND(BR$2&lt;&gt;0,TblTech[[#This Row],[Hour]:[Hour]]&gt;=BR$2),1,0)</f>
        <v>0</v>
      </c>
      <c r="BS31" s="329" t="n">
        <f aca="false" t="array" ref="BS31:BS31">IF(AND(BS$2&lt;&gt;0,TblTech[[#This Row],[Hour]:[Hour]]&gt;=BS$2),1,0)</f>
        <v>0</v>
      </c>
      <c r="BT31" s="329" t="n">
        <f aca="false" t="array" ref="BT31:BT31">IF(AND(BT$2&lt;&gt;0,TblTech[[#This Row],[Hour]:[Hour]]&gt;=BT$2),1,0)</f>
        <v>0</v>
      </c>
      <c r="BU31" s="329" t="n">
        <f aca="false" t="array" ref="BU31:BU31">IF(AND(BU$2&lt;&gt;0,TblTech[[#This Row],[Hour]:[Hour]]&gt;=BU$2),1,0)</f>
        <v>0</v>
      </c>
      <c r="BV31" s="329" t="n">
        <f aca="false" t="array" ref="BV31:BV31">IF(AND(BV$2&lt;&gt;0,TblTech[[#This Row],[Hour]:[Hour]]&gt;=BV$2),1,0)</f>
        <v>0</v>
      </c>
      <c r="BW31" s="329" t="n">
        <f aca="false" t="array" ref="BW31:BW31">IF(AND(BW$2&lt;&gt;0,TblTech[[#This Row],[Hour]:[Hour]]&gt;=BW$2),1,0)</f>
        <v>0</v>
      </c>
      <c r="BX31" s="329" t="n">
        <f aca="false" t="array" ref="BX31:BX31">IF(AND(BX$2&lt;&gt;0,TblTech[[#This Row],[Hour]:[Hour]]&gt;=BX$2),1,0)</f>
        <v>0</v>
      </c>
      <c r="BY31" s="329" t="n">
        <f aca="false" t="array" ref="BY31:BY31">IF(AND(BY$2&lt;&gt;0,TblTech[[#This Row],[Hour]:[Hour]]&gt;=BY$2),1,0)</f>
        <v>0</v>
      </c>
      <c r="BZ31" s="329" t="n">
        <f aca="false" t="array" ref="BZ31:BZ31">IF(AND(BZ$2&lt;&gt;0,TblTech[[#This Row],[Hour]:[Hour]]&gt;=BZ$2),1,0)</f>
        <v>0</v>
      </c>
      <c r="CA31" s="330" t="n">
        <f aca="false">IFERROR(INDEX($H$4:$H$79,MATCH(INDEX(TblTech[[#Headers],[1-1]:[11-1]],1,MATCH(TblTech[[#This Row],[Hour]],$M$2:$BZ$2,0)),$G$4:$G$79,0)),)</f>
        <v>0</v>
      </c>
    </row>
    <row r="32" customFormat="false" ht="12.75" hidden="false" customHeight="false" outlineLevel="0" collapsed="false">
      <c r="A32" s="321" t="n">
        <f aca="false">TblRezone[[#This Row],[Hour]]</f>
        <v>29</v>
      </c>
      <c r="B32" s="322" t="n">
        <f aca="false">TblExplore[[#This Row],[Land-DB]]</f>
        <v>299</v>
      </c>
      <c r="C32" s="323" t="n">
        <f aca="false">TblProd[[#This Row],[Techpoints]]</f>
        <v>350</v>
      </c>
      <c r="D32" s="323" t="n">
        <f aca="false">TblProd[[#This Row],[Required]]</f>
        <v>3750</v>
      </c>
      <c r="E32" s="324"/>
      <c r="F32" s="325"/>
      <c r="G32" s="326" t="s">
        <v>550</v>
      </c>
      <c r="H32" s="327" t="s">
        <v>643</v>
      </c>
      <c r="I32" s="326" t="s">
        <v>644</v>
      </c>
      <c r="J32" s="322"/>
      <c r="K32" s="68" t="n">
        <f aca="false">IF(TblTech[[#This Row],[Sum of tech]]&lt;&gt;OFFSET(TblTech[[#This Row],[Sum of tech]],-1,0),1,0)</f>
        <v>0</v>
      </c>
      <c r="L32" s="328" t="n">
        <f aca="false">COUNTIF(TblTech[[#This Row],[1-1]:[11-1]],1)</f>
        <v>0</v>
      </c>
      <c r="M32" s="329" t="n">
        <f aca="false" t="array" ref="M32:M32">IF(AND(M$2&lt;&gt;0,TblTech[[#This Row],[Hour]:[Hour]]&gt;=M$2),1,0)</f>
        <v>0</v>
      </c>
      <c r="N32" s="329" t="n">
        <f aca="false" t="array" ref="N32:N32">IF(AND(N$2&lt;&gt;0,TblTech[[#This Row],[Hour]:[Hour]]&gt;=N$2),1,0)</f>
        <v>0</v>
      </c>
      <c r="O32" s="329" t="n">
        <f aca="false" t="array" ref="O32:O32">IF(AND(O$2&lt;&gt;0,TblTech[[#This Row],[Hour]:[Hour]]&gt;=O$2),1,0)</f>
        <v>0</v>
      </c>
      <c r="P32" s="329" t="n">
        <f aca="false" t="array" ref="P32:P32">IF(AND(P$2&lt;&gt;0,TblTech[[#This Row],[Hour]:[Hour]]&gt;=P$2),1,0)</f>
        <v>0</v>
      </c>
      <c r="Q32" s="329" t="n">
        <f aca="false" t="array" ref="Q32:Q32">IF(AND(Q$2&lt;&gt;0,TblTech[[#This Row],[Hour]:[Hour]]&gt;=Q$2),1,0)</f>
        <v>0</v>
      </c>
      <c r="R32" s="329" t="n">
        <f aca="false" t="array" ref="R32:R32">IF(AND(R$2&lt;&gt;0,TblTech[[#This Row],[Hour]:[Hour]]&gt;=R$2),1,0)</f>
        <v>0</v>
      </c>
      <c r="S32" s="329" t="n">
        <f aca="false" t="array" ref="S32:S32">IF(AND(S$2&lt;&gt;0,TblTech[[#This Row],[Hour]:[Hour]]&gt;=S$2),1,0)</f>
        <v>0</v>
      </c>
      <c r="T32" s="329" t="n">
        <f aca="false" t="array" ref="T32:T32">IF(AND(T$2&lt;&gt;0,TblTech[[#This Row],[Hour]:[Hour]]&gt;=T$2),1,0)</f>
        <v>0</v>
      </c>
      <c r="U32" s="329" t="n">
        <f aca="false" t="array" ref="U32:U32">IF(AND(U$2&lt;&gt;0,TblTech[[#This Row],[Hour]:[Hour]]&gt;=U$2),1,0)</f>
        <v>0</v>
      </c>
      <c r="V32" s="329" t="n">
        <f aca="false" t="array" ref="V32:V32">IF(AND(V$2&lt;&gt;0,TblTech[[#This Row],[Hour]:[Hour]]&gt;=V$2),1,0)</f>
        <v>0</v>
      </c>
      <c r="W32" s="329" t="n">
        <f aca="false" t="array" ref="W32:W32">IF(AND(W$2&lt;&gt;0,TblTech[[#This Row],[Hour]:[Hour]]&gt;=W$2),1,0)</f>
        <v>0</v>
      </c>
      <c r="X32" s="329" t="n">
        <f aca="false" t="array" ref="X32:X32">IF(AND(X$2&lt;&gt;0,TblTech[[#This Row],[Hour]:[Hour]]&gt;=X$2),1,0)</f>
        <v>0</v>
      </c>
      <c r="Y32" s="329" t="n">
        <f aca="false" t="array" ref="Y32:Y32">IF(AND(Y$2&lt;&gt;0,TblTech[[#This Row],[Hour]:[Hour]]&gt;=Y$2),1,0)</f>
        <v>0</v>
      </c>
      <c r="Z32" s="329" t="n">
        <f aca="false" t="array" ref="Z32:Z32">IF(AND(Z$2&lt;&gt;0,TblTech[[#This Row],[Hour]:[Hour]]&gt;=Z$2),1,0)</f>
        <v>0</v>
      </c>
      <c r="AA32" s="329" t="n">
        <f aca="false" t="array" ref="AA32:AA32">IF(AND(AA$2&lt;&gt;0,TblTech[[#This Row],[Hour]:[Hour]]&gt;=AA$2),1,0)</f>
        <v>0</v>
      </c>
      <c r="AB32" s="329" t="n">
        <f aca="false" t="array" ref="AB32:AB32">IF(AND(AB$2&lt;&gt;0,TblTech[[#This Row],[Hour]:[Hour]]&gt;=AB$2),1,0)</f>
        <v>0</v>
      </c>
      <c r="AC32" s="329" t="n">
        <f aca="false" t="array" ref="AC32:AC32">IF(AND(AC$2&lt;&gt;0,TblTech[[#This Row],[Hour]:[Hour]]&gt;=AC$2),1,0)</f>
        <v>0</v>
      </c>
      <c r="AD32" s="329" t="n">
        <f aca="false" t="array" ref="AD32:AD32">IF(AND(AD$2&lt;&gt;0,TblTech[[#This Row],[Hour]:[Hour]]&gt;=AD$2),1,0)</f>
        <v>0</v>
      </c>
      <c r="AE32" s="329" t="n">
        <f aca="false" t="array" ref="AE32:AE32">IF(AND(AE$2&lt;&gt;0,TblTech[[#This Row],[Hour]:[Hour]]&gt;=AE$2),1,0)</f>
        <v>0</v>
      </c>
      <c r="AF32" s="329" t="n">
        <f aca="false" t="array" ref="AF32:AF32">IF(AND(AF$2&lt;&gt;0,TblTech[[#This Row],[Hour]:[Hour]]&gt;=AF$2),1,0)</f>
        <v>0</v>
      </c>
      <c r="AG32" s="329" t="n">
        <f aca="false" t="array" ref="AG32:AG32">IF(AND(AG$2&lt;&gt;0,TblTech[[#This Row],[Hour]:[Hour]]&gt;=AG$2),1,0)</f>
        <v>0</v>
      </c>
      <c r="AH32" s="329" t="n">
        <f aca="false" t="array" ref="AH32:AH32">IF(AND(AH$2&lt;&gt;0,TblTech[[#This Row],[Hour]:[Hour]]&gt;=AH$2),1,0)</f>
        <v>0</v>
      </c>
      <c r="AI32" s="329" t="n">
        <f aca="false" t="array" ref="AI32:AI32">IF(AND(AI$2&lt;&gt;0,TblTech[[#This Row],[Hour]:[Hour]]&gt;=AI$2),1,0)</f>
        <v>0</v>
      </c>
      <c r="AJ32" s="329" t="n">
        <f aca="false" t="array" ref="AJ32:AJ32">IF(AND(AJ$2&lt;&gt;0,TblTech[[#This Row],[Hour]:[Hour]]&gt;=AJ$2),1,0)</f>
        <v>0</v>
      </c>
      <c r="AK32" s="329" t="n">
        <f aca="false" t="array" ref="AK32:AK32">IF(AND(AK$2&lt;&gt;0,TblTech[[#This Row],[Hour]:[Hour]]&gt;=AK$2),1,0)</f>
        <v>0</v>
      </c>
      <c r="AL32" s="329" t="n">
        <f aca="false" t="array" ref="AL32:AL32">IF(AND(AL$2&lt;&gt;0,TblTech[[#This Row],[Hour]:[Hour]]&gt;=AL$2),1,0)</f>
        <v>0</v>
      </c>
      <c r="AM32" s="329" t="n">
        <f aca="false" t="array" ref="AM32:AM32">IF(AND(AM$2&lt;&gt;0,TblTech[[#This Row],[Hour]:[Hour]]&gt;=AM$2),1,0)</f>
        <v>0</v>
      </c>
      <c r="AN32" s="329" t="n">
        <f aca="false" t="array" ref="AN32:AN32">IF(AND(AN$2&lt;&gt;0,TblTech[[#This Row],[Hour]:[Hour]]&gt;=AN$2),1,0)</f>
        <v>0</v>
      </c>
      <c r="AO32" s="329" t="n">
        <f aca="false" t="array" ref="AO32:AO32">IF(AND(AO$2&lt;&gt;0,TblTech[[#This Row],[Hour]:[Hour]]&gt;=AO$2),1,0)</f>
        <v>0</v>
      </c>
      <c r="AP32" s="329" t="n">
        <f aca="false" t="array" ref="AP32:AP32">IF(AND(AP$2&lt;&gt;0,TblTech[[#This Row],[Hour]:[Hour]]&gt;=AP$2),1,0)</f>
        <v>0</v>
      </c>
      <c r="AQ32" s="329" t="n">
        <f aca="false" t="array" ref="AQ32:AQ32">IF(AND(AQ$2&lt;&gt;0,TblTech[[#This Row],[Hour]:[Hour]]&gt;=AQ$2),1,0)</f>
        <v>0</v>
      </c>
      <c r="AR32" s="329" t="n">
        <f aca="false" t="array" ref="AR32:AR32">IF(AND(AR$2&lt;&gt;0,TblTech[[#This Row],[Hour]:[Hour]]&gt;=AR$2),1,0)</f>
        <v>0</v>
      </c>
      <c r="AS32" s="329" t="n">
        <f aca="false" t="array" ref="AS32:AS32">IF(AND(AS$2&lt;&gt;0,TblTech[[#This Row],[Hour]:[Hour]]&gt;=AS$2),1,0)</f>
        <v>0</v>
      </c>
      <c r="AT32" s="329" t="n">
        <f aca="false" t="array" ref="AT32:AT32">IF(AND(AT$2&lt;&gt;0,TblTech[[#This Row],[Hour]:[Hour]]&gt;=AT$2),1,0)</f>
        <v>0</v>
      </c>
      <c r="AU32" s="329" t="n">
        <f aca="false" t="array" ref="AU32:AU32">IF(AND(AU$2&lt;&gt;0,TblTech[[#This Row],[Hour]:[Hour]]&gt;=AU$2),1,0)</f>
        <v>0</v>
      </c>
      <c r="AV32" s="329" t="n">
        <f aca="false" t="array" ref="AV32:AV32">IF(AND(AV$2&lt;&gt;0,TblTech[[#This Row],[Hour]:[Hour]]&gt;=AV$2),1,0)</f>
        <v>0</v>
      </c>
      <c r="AW32" s="329" t="n">
        <f aca="false" t="array" ref="AW32:AW32">IF(AND(AW$2&lt;&gt;0,TblTech[[#This Row],[Hour]:[Hour]]&gt;=AW$2),1,0)</f>
        <v>0</v>
      </c>
      <c r="AX32" s="329" t="n">
        <f aca="false" t="array" ref="AX32:AX32">IF(AND(AX$2&lt;&gt;0,TblTech[[#This Row],[Hour]:[Hour]]&gt;=AX$2),1,0)</f>
        <v>0</v>
      </c>
      <c r="AY32" s="329" t="n">
        <f aca="false" t="array" ref="AY32:AY32">IF(AND(AY$2&lt;&gt;0,TblTech[[#This Row],[Hour]:[Hour]]&gt;=AY$2),1,0)</f>
        <v>0</v>
      </c>
      <c r="AZ32" s="329" t="n">
        <f aca="false" t="array" ref="AZ32:AZ32">IF(AND(AZ$2&lt;&gt;0,TblTech[[#This Row],[Hour]:[Hour]]&gt;=AZ$2),1,0)</f>
        <v>0</v>
      </c>
      <c r="BA32" s="329" t="n">
        <f aca="false" t="array" ref="BA32:BA32">IF(AND(BA$2&lt;&gt;0,TblTech[[#This Row],[Hour]:[Hour]]&gt;=BA$2),1,0)</f>
        <v>0</v>
      </c>
      <c r="BB32" s="329" t="n">
        <f aca="false" t="array" ref="BB32:BB32">IF(AND(BB$2&lt;&gt;0,TblTech[[#This Row],[Hour]:[Hour]]&gt;=BB$2),1,0)</f>
        <v>0</v>
      </c>
      <c r="BC32" s="329" t="n">
        <f aca="false" t="array" ref="BC32:BC32">IF(AND(BC$2&lt;&gt;0,TblTech[[#This Row],[Hour]:[Hour]]&gt;=BC$2),1,0)</f>
        <v>0</v>
      </c>
      <c r="BD32" s="329" t="n">
        <f aca="false" t="array" ref="BD32:BD32">IF(AND(BD$2&lt;&gt;0,TblTech[[#This Row],[Hour]:[Hour]]&gt;=BD$2),1,0)</f>
        <v>0</v>
      </c>
      <c r="BE32" s="329" t="n">
        <f aca="false" t="array" ref="BE32:BE32">IF(AND(BE$2&lt;&gt;0,TblTech[[#This Row],[Hour]:[Hour]]&gt;=BE$2),1,0)</f>
        <v>0</v>
      </c>
      <c r="BF32" s="329" t="n">
        <f aca="false" t="array" ref="BF32:BF32">IF(AND(BF$2&lt;&gt;0,TblTech[[#This Row],[Hour]:[Hour]]&gt;=BF$2),1,0)</f>
        <v>0</v>
      </c>
      <c r="BG32" s="329" t="n">
        <f aca="false" t="array" ref="BG32:BG32">IF(AND(BG$2&lt;&gt;0,TblTech[[#This Row],[Hour]:[Hour]]&gt;=BG$2),1,0)</f>
        <v>0</v>
      </c>
      <c r="BH32" s="329" t="n">
        <f aca="false" t="array" ref="BH32:BH32">IF(AND(BH$2&lt;&gt;0,TblTech[[#This Row],[Hour]:[Hour]]&gt;=BH$2),1,0)</f>
        <v>0</v>
      </c>
      <c r="BI32" s="329" t="n">
        <f aca="false" t="array" ref="BI32:BI32">IF(AND(BI$2&lt;&gt;0,TblTech[[#This Row],[Hour]:[Hour]]&gt;=BI$2),1,0)</f>
        <v>0</v>
      </c>
      <c r="BJ32" s="329" t="n">
        <f aca="false" t="array" ref="BJ32:BJ32">IF(AND(BJ$2&lt;&gt;0,TblTech[[#This Row],[Hour]:[Hour]]&gt;=BJ$2),1,0)</f>
        <v>0</v>
      </c>
      <c r="BK32" s="329" t="n">
        <f aca="false" t="array" ref="BK32:BK32">IF(AND(BK$2&lt;&gt;0,TblTech[[#This Row],[Hour]:[Hour]]&gt;=BK$2),1,0)</f>
        <v>0</v>
      </c>
      <c r="BL32" s="329" t="n">
        <f aca="false" t="array" ref="BL32:BL32">IF(AND(BL$2&lt;&gt;0,TblTech[[#This Row],[Hour]:[Hour]]&gt;=BL$2),1,0)</f>
        <v>0</v>
      </c>
      <c r="BM32" s="329" t="n">
        <f aca="false" t="array" ref="BM32:BM32">IF(AND(BM$2&lt;&gt;0,TblTech[[#This Row],[Hour]:[Hour]]&gt;=BM$2),1,0)</f>
        <v>0</v>
      </c>
      <c r="BN32" s="329" t="n">
        <f aca="false" t="array" ref="BN32:BN32">IF(AND(BN$2&lt;&gt;0,TblTech[[#This Row],[Hour]:[Hour]]&gt;=BN$2),1,0)</f>
        <v>0</v>
      </c>
      <c r="BO32" s="329" t="n">
        <f aca="false" t="array" ref="BO32:BO32">IF(AND(BO$2&lt;&gt;0,TblTech[[#This Row],[Hour]:[Hour]]&gt;=BO$2),1,0)</f>
        <v>0</v>
      </c>
      <c r="BP32" s="329" t="n">
        <f aca="false" t="array" ref="BP32:BP32">IF(AND(BP$2&lt;&gt;0,TblTech[[#This Row],[Hour]:[Hour]]&gt;=BP$2),1,0)</f>
        <v>0</v>
      </c>
      <c r="BQ32" s="329" t="n">
        <f aca="false" t="array" ref="BQ32:BQ32">IF(AND(BQ$2&lt;&gt;0,TblTech[[#This Row],[Hour]:[Hour]]&gt;=BQ$2),1,0)</f>
        <v>0</v>
      </c>
      <c r="BR32" s="329" t="n">
        <f aca="false" t="array" ref="BR32:BR32">IF(AND(BR$2&lt;&gt;0,TblTech[[#This Row],[Hour]:[Hour]]&gt;=BR$2),1,0)</f>
        <v>0</v>
      </c>
      <c r="BS32" s="329" t="n">
        <f aca="false" t="array" ref="BS32:BS32">IF(AND(BS$2&lt;&gt;0,TblTech[[#This Row],[Hour]:[Hour]]&gt;=BS$2),1,0)</f>
        <v>0</v>
      </c>
      <c r="BT32" s="329" t="n">
        <f aca="false" t="array" ref="BT32:BT32">IF(AND(BT$2&lt;&gt;0,TblTech[[#This Row],[Hour]:[Hour]]&gt;=BT$2),1,0)</f>
        <v>0</v>
      </c>
      <c r="BU32" s="329" t="n">
        <f aca="false" t="array" ref="BU32:BU32">IF(AND(BU$2&lt;&gt;0,TblTech[[#This Row],[Hour]:[Hour]]&gt;=BU$2),1,0)</f>
        <v>0</v>
      </c>
      <c r="BV32" s="329" t="n">
        <f aca="false" t="array" ref="BV32:BV32">IF(AND(BV$2&lt;&gt;0,TblTech[[#This Row],[Hour]:[Hour]]&gt;=BV$2),1,0)</f>
        <v>0</v>
      </c>
      <c r="BW32" s="329" t="n">
        <f aca="false" t="array" ref="BW32:BW32">IF(AND(BW$2&lt;&gt;0,TblTech[[#This Row],[Hour]:[Hour]]&gt;=BW$2),1,0)</f>
        <v>0</v>
      </c>
      <c r="BX32" s="329" t="n">
        <f aca="false" t="array" ref="BX32:BX32">IF(AND(BX$2&lt;&gt;0,TblTech[[#This Row],[Hour]:[Hour]]&gt;=BX$2),1,0)</f>
        <v>0</v>
      </c>
      <c r="BY32" s="329" t="n">
        <f aca="false" t="array" ref="BY32:BY32">IF(AND(BY$2&lt;&gt;0,TblTech[[#This Row],[Hour]:[Hour]]&gt;=BY$2),1,0)</f>
        <v>0</v>
      </c>
      <c r="BZ32" s="329" t="n">
        <f aca="false" t="array" ref="BZ32:BZ32">IF(AND(BZ$2&lt;&gt;0,TblTech[[#This Row],[Hour]:[Hour]]&gt;=BZ$2),1,0)</f>
        <v>0</v>
      </c>
      <c r="CA32" s="330" t="n">
        <f aca="false">IFERROR(INDEX($H$4:$H$79,MATCH(INDEX(TblTech[[#Headers],[1-1]:[11-1]],1,MATCH(TblTech[[#This Row],[Hour]],$M$2:$BZ$2,0)),$G$4:$G$79,0)),)</f>
        <v>0</v>
      </c>
    </row>
    <row r="33" customFormat="false" ht="12.75" hidden="false" customHeight="false" outlineLevel="0" collapsed="false">
      <c r="A33" s="321" t="n">
        <f aca="false">TblRezone[[#This Row],[Hour]]</f>
        <v>30</v>
      </c>
      <c r="B33" s="322" t="n">
        <f aca="false">TblExplore[[#This Row],[Land-DB]]</f>
        <v>369</v>
      </c>
      <c r="C33" s="323" t="n">
        <f aca="false">TblProd[[#This Row],[Techpoints]]</f>
        <v>350</v>
      </c>
      <c r="D33" s="323" t="n">
        <f aca="false">TblProd[[#This Row],[Required]]</f>
        <v>3750</v>
      </c>
      <c r="E33" s="324"/>
      <c r="F33" s="325"/>
      <c r="G33" s="326" t="s">
        <v>551</v>
      </c>
      <c r="H33" s="327" t="s">
        <v>645</v>
      </c>
      <c r="I33" s="326" t="s">
        <v>646</v>
      </c>
      <c r="J33" s="322"/>
      <c r="K33" s="68" t="n">
        <f aca="false">IF(TblTech[[#This Row],[Sum of tech]]&lt;&gt;OFFSET(TblTech[[#This Row],[Sum of tech]],-1,0),1,0)</f>
        <v>0</v>
      </c>
      <c r="L33" s="328" t="n">
        <f aca="false">COUNTIF(TblTech[[#This Row],[1-1]:[11-1]],1)</f>
        <v>0</v>
      </c>
      <c r="M33" s="329" t="n">
        <f aca="false" t="array" ref="M33:M33">IF(AND(M$2&lt;&gt;0,TblTech[[#This Row],[Hour]:[Hour]]&gt;=M$2),1,0)</f>
        <v>0</v>
      </c>
      <c r="N33" s="329" t="n">
        <f aca="false" t="array" ref="N33:N33">IF(AND(N$2&lt;&gt;0,TblTech[[#This Row],[Hour]:[Hour]]&gt;=N$2),1,0)</f>
        <v>0</v>
      </c>
      <c r="O33" s="329" t="n">
        <f aca="false" t="array" ref="O33:O33">IF(AND(O$2&lt;&gt;0,TblTech[[#This Row],[Hour]:[Hour]]&gt;=O$2),1,0)</f>
        <v>0</v>
      </c>
      <c r="P33" s="329" t="n">
        <f aca="false" t="array" ref="P33:P33">IF(AND(P$2&lt;&gt;0,TblTech[[#This Row],[Hour]:[Hour]]&gt;=P$2),1,0)</f>
        <v>0</v>
      </c>
      <c r="Q33" s="329" t="n">
        <f aca="false" t="array" ref="Q33:Q33">IF(AND(Q$2&lt;&gt;0,TblTech[[#This Row],[Hour]:[Hour]]&gt;=Q$2),1,0)</f>
        <v>0</v>
      </c>
      <c r="R33" s="329" t="n">
        <f aca="false" t="array" ref="R33:R33">IF(AND(R$2&lt;&gt;0,TblTech[[#This Row],[Hour]:[Hour]]&gt;=R$2),1,0)</f>
        <v>0</v>
      </c>
      <c r="S33" s="329" t="n">
        <f aca="false" t="array" ref="S33:S33">IF(AND(S$2&lt;&gt;0,TblTech[[#This Row],[Hour]:[Hour]]&gt;=S$2),1,0)</f>
        <v>0</v>
      </c>
      <c r="T33" s="329" t="n">
        <f aca="false" t="array" ref="T33:T33">IF(AND(T$2&lt;&gt;0,TblTech[[#This Row],[Hour]:[Hour]]&gt;=T$2),1,0)</f>
        <v>0</v>
      </c>
      <c r="U33" s="329" t="n">
        <f aca="false" t="array" ref="U33:U33">IF(AND(U$2&lt;&gt;0,TblTech[[#This Row],[Hour]:[Hour]]&gt;=U$2),1,0)</f>
        <v>0</v>
      </c>
      <c r="V33" s="329" t="n">
        <f aca="false" t="array" ref="V33:V33">IF(AND(V$2&lt;&gt;0,TblTech[[#This Row],[Hour]:[Hour]]&gt;=V$2),1,0)</f>
        <v>0</v>
      </c>
      <c r="W33" s="329" t="n">
        <f aca="false" t="array" ref="W33:W33">IF(AND(W$2&lt;&gt;0,TblTech[[#This Row],[Hour]:[Hour]]&gt;=W$2),1,0)</f>
        <v>0</v>
      </c>
      <c r="X33" s="329" t="n">
        <f aca="false" t="array" ref="X33:X33">IF(AND(X$2&lt;&gt;0,TblTech[[#This Row],[Hour]:[Hour]]&gt;=X$2),1,0)</f>
        <v>0</v>
      </c>
      <c r="Y33" s="329" t="n">
        <f aca="false" t="array" ref="Y33:Y33">IF(AND(Y$2&lt;&gt;0,TblTech[[#This Row],[Hour]:[Hour]]&gt;=Y$2),1,0)</f>
        <v>0</v>
      </c>
      <c r="Z33" s="329" t="n">
        <f aca="false" t="array" ref="Z33:Z33">IF(AND(Z$2&lt;&gt;0,TblTech[[#This Row],[Hour]:[Hour]]&gt;=Z$2),1,0)</f>
        <v>0</v>
      </c>
      <c r="AA33" s="329" t="n">
        <f aca="false" t="array" ref="AA33:AA33">IF(AND(AA$2&lt;&gt;0,TblTech[[#This Row],[Hour]:[Hour]]&gt;=AA$2),1,0)</f>
        <v>0</v>
      </c>
      <c r="AB33" s="329" t="n">
        <f aca="false" t="array" ref="AB33:AB33">IF(AND(AB$2&lt;&gt;0,TblTech[[#This Row],[Hour]:[Hour]]&gt;=AB$2),1,0)</f>
        <v>0</v>
      </c>
      <c r="AC33" s="329" t="n">
        <f aca="false" t="array" ref="AC33:AC33">IF(AND(AC$2&lt;&gt;0,TblTech[[#This Row],[Hour]:[Hour]]&gt;=AC$2),1,0)</f>
        <v>0</v>
      </c>
      <c r="AD33" s="329" t="n">
        <f aca="false" t="array" ref="AD33:AD33">IF(AND(AD$2&lt;&gt;0,TblTech[[#This Row],[Hour]:[Hour]]&gt;=AD$2),1,0)</f>
        <v>0</v>
      </c>
      <c r="AE33" s="329" t="n">
        <f aca="false" t="array" ref="AE33:AE33">IF(AND(AE$2&lt;&gt;0,TblTech[[#This Row],[Hour]:[Hour]]&gt;=AE$2),1,0)</f>
        <v>0</v>
      </c>
      <c r="AF33" s="329" t="n">
        <f aca="false" t="array" ref="AF33:AF33">IF(AND(AF$2&lt;&gt;0,TblTech[[#This Row],[Hour]:[Hour]]&gt;=AF$2),1,0)</f>
        <v>0</v>
      </c>
      <c r="AG33" s="329" t="n">
        <f aca="false" t="array" ref="AG33:AG33">IF(AND(AG$2&lt;&gt;0,TblTech[[#This Row],[Hour]:[Hour]]&gt;=AG$2),1,0)</f>
        <v>0</v>
      </c>
      <c r="AH33" s="329" t="n">
        <f aca="false" t="array" ref="AH33:AH33">IF(AND(AH$2&lt;&gt;0,TblTech[[#This Row],[Hour]:[Hour]]&gt;=AH$2),1,0)</f>
        <v>0</v>
      </c>
      <c r="AI33" s="329" t="n">
        <f aca="false" t="array" ref="AI33:AI33">IF(AND(AI$2&lt;&gt;0,TblTech[[#This Row],[Hour]:[Hour]]&gt;=AI$2),1,0)</f>
        <v>0</v>
      </c>
      <c r="AJ33" s="329" t="n">
        <f aca="false" t="array" ref="AJ33:AJ33">IF(AND(AJ$2&lt;&gt;0,TblTech[[#This Row],[Hour]:[Hour]]&gt;=AJ$2),1,0)</f>
        <v>0</v>
      </c>
      <c r="AK33" s="329" t="n">
        <f aca="false" t="array" ref="AK33:AK33">IF(AND(AK$2&lt;&gt;0,TblTech[[#This Row],[Hour]:[Hour]]&gt;=AK$2),1,0)</f>
        <v>0</v>
      </c>
      <c r="AL33" s="329" t="n">
        <f aca="false" t="array" ref="AL33:AL33">IF(AND(AL$2&lt;&gt;0,TblTech[[#This Row],[Hour]:[Hour]]&gt;=AL$2),1,0)</f>
        <v>0</v>
      </c>
      <c r="AM33" s="329" t="n">
        <f aca="false" t="array" ref="AM33:AM33">IF(AND(AM$2&lt;&gt;0,TblTech[[#This Row],[Hour]:[Hour]]&gt;=AM$2),1,0)</f>
        <v>0</v>
      </c>
      <c r="AN33" s="329" t="n">
        <f aca="false" t="array" ref="AN33:AN33">IF(AND(AN$2&lt;&gt;0,TblTech[[#This Row],[Hour]:[Hour]]&gt;=AN$2),1,0)</f>
        <v>0</v>
      </c>
      <c r="AO33" s="329" t="n">
        <f aca="false" t="array" ref="AO33:AO33">IF(AND(AO$2&lt;&gt;0,TblTech[[#This Row],[Hour]:[Hour]]&gt;=AO$2),1,0)</f>
        <v>0</v>
      </c>
      <c r="AP33" s="329" t="n">
        <f aca="false" t="array" ref="AP33:AP33">IF(AND(AP$2&lt;&gt;0,TblTech[[#This Row],[Hour]:[Hour]]&gt;=AP$2),1,0)</f>
        <v>0</v>
      </c>
      <c r="AQ33" s="329" t="n">
        <f aca="false" t="array" ref="AQ33:AQ33">IF(AND(AQ$2&lt;&gt;0,TblTech[[#This Row],[Hour]:[Hour]]&gt;=AQ$2),1,0)</f>
        <v>0</v>
      </c>
      <c r="AR33" s="329" t="n">
        <f aca="false" t="array" ref="AR33:AR33">IF(AND(AR$2&lt;&gt;0,TblTech[[#This Row],[Hour]:[Hour]]&gt;=AR$2),1,0)</f>
        <v>0</v>
      </c>
      <c r="AS33" s="329" t="n">
        <f aca="false" t="array" ref="AS33:AS33">IF(AND(AS$2&lt;&gt;0,TblTech[[#This Row],[Hour]:[Hour]]&gt;=AS$2),1,0)</f>
        <v>0</v>
      </c>
      <c r="AT33" s="329" t="n">
        <f aca="false" t="array" ref="AT33:AT33">IF(AND(AT$2&lt;&gt;0,TblTech[[#This Row],[Hour]:[Hour]]&gt;=AT$2),1,0)</f>
        <v>0</v>
      </c>
      <c r="AU33" s="329" t="n">
        <f aca="false" t="array" ref="AU33:AU33">IF(AND(AU$2&lt;&gt;0,TblTech[[#This Row],[Hour]:[Hour]]&gt;=AU$2),1,0)</f>
        <v>0</v>
      </c>
      <c r="AV33" s="329" t="n">
        <f aca="false" t="array" ref="AV33:AV33">IF(AND(AV$2&lt;&gt;0,TblTech[[#This Row],[Hour]:[Hour]]&gt;=AV$2),1,0)</f>
        <v>0</v>
      </c>
      <c r="AW33" s="329" t="n">
        <f aca="false" t="array" ref="AW33:AW33">IF(AND(AW$2&lt;&gt;0,TblTech[[#This Row],[Hour]:[Hour]]&gt;=AW$2),1,0)</f>
        <v>0</v>
      </c>
      <c r="AX33" s="329" t="n">
        <f aca="false" t="array" ref="AX33:AX33">IF(AND(AX$2&lt;&gt;0,TblTech[[#This Row],[Hour]:[Hour]]&gt;=AX$2),1,0)</f>
        <v>0</v>
      </c>
      <c r="AY33" s="329" t="n">
        <f aca="false" t="array" ref="AY33:AY33">IF(AND(AY$2&lt;&gt;0,TblTech[[#This Row],[Hour]:[Hour]]&gt;=AY$2),1,0)</f>
        <v>0</v>
      </c>
      <c r="AZ33" s="329" t="n">
        <f aca="false" t="array" ref="AZ33:AZ33">IF(AND(AZ$2&lt;&gt;0,TblTech[[#This Row],[Hour]:[Hour]]&gt;=AZ$2),1,0)</f>
        <v>0</v>
      </c>
      <c r="BA33" s="329" t="n">
        <f aca="false" t="array" ref="BA33:BA33">IF(AND(BA$2&lt;&gt;0,TblTech[[#This Row],[Hour]:[Hour]]&gt;=BA$2),1,0)</f>
        <v>0</v>
      </c>
      <c r="BB33" s="329" t="n">
        <f aca="false" t="array" ref="BB33:BB33">IF(AND(BB$2&lt;&gt;0,TblTech[[#This Row],[Hour]:[Hour]]&gt;=BB$2),1,0)</f>
        <v>0</v>
      </c>
      <c r="BC33" s="329" t="n">
        <f aca="false" t="array" ref="BC33:BC33">IF(AND(BC$2&lt;&gt;0,TblTech[[#This Row],[Hour]:[Hour]]&gt;=BC$2),1,0)</f>
        <v>0</v>
      </c>
      <c r="BD33" s="329" t="n">
        <f aca="false" t="array" ref="BD33:BD33">IF(AND(BD$2&lt;&gt;0,TblTech[[#This Row],[Hour]:[Hour]]&gt;=BD$2),1,0)</f>
        <v>0</v>
      </c>
      <c r="BE33" s="329" t="n">
        <f aca="false" t="array" ref="BE33:BE33">IF(AND(BE$2&lt;&gt;0,TblTech[[#This Row],[Hour]:[Hour]]&gt;=BE$2),1,0)</f>
        <v>0</v>
      </c>
      <c r="BF33" s="329" t="n">
        <f aca="false" t="array" ref="BF33:BF33">IF(AND(BF$2&lt;&gt;0,TblTech[[#This Row],[Hour]:[Hour]]&gt;=BF$2),1,0)</f>
        <v>0</v>
      </c>
      <c r="BG33" s="329" t="n">
        <f aca="false" t="array" ref="BG33:BG33">IF(AND(BG$2&lt;&gt;0,TblTech[[#This Row],[Hour]:[Hour]]&gt;=BG$2),1,0)</f>
        <v>0</v>
      </c>
      <c r="BH33" s="329" t="n">
        <f aca="false" t="array" ref="BH33:BH33">IF(AND(BH$2&lt;&gt;0,TblTech[[#This Row],[Hour]:[Hour]]&gt;=BH$2),1,0)</f>
        <v>0</v>
      </c>
      <c r="BI33" s="329" t="n">
        <f aca="false" t="array" ref="BI33:BI33">IF(AND(BI$2&lt;&gt;0,TblTech[[#This Row],[Hour]:[Hour]]&gt;=BI$2),1,0)</f>
        <v>0</v>
      </c>
      <c r="BJ33" s="329" t="n">
        <f aca="false" t="array" ref="BJ33:BJ33">IF(AND(BJ$2&lt;&gt;0,TblTech[[#This Row],[Hour]:[Hour]]&gt;=BJ$2),1,0)</f>
        <v>0</v>
      </c>
      <c r="BK33" s="329" t="n">
        <f aca="false" t="array" ref="BK33:BK33">IF(AND(BK$2&lt;&gt;0,TblTech[[#This Row],[Hour]:[Hour]]&gt;=BK$2),1,0)</f>
        <v>0</v>
      </c>
      <c r="BL33" s="329" t="n">
        <f aca="false" t="array" ref="BL33:BL33">IF(AND(BL$2&lt;&gt;0,TblTech[[#This Row],[Hour]:[Hour]]&gt;=BL$2),1,0)</f>
        <v>0</v>
      </c>
      <c r="BM33" s="329" t="n">
        <f aca="false" t="array" ref="BM33:BM33">IF(AND(BM$2&lt;&gt;0,TblTech[[#This Row],[Hour]:[Hour]]&gt;=BM$2),1,0)</f>
        <v>0</v>
      </c>
      <c r="BN33" s="329" t="n">
        <f aca="false" t="array" ref="BN33:BN33">IF(AND(BN$2&lt;&gt;0,TblTech[[#This Row],[Hour]:[Hour]]&gt;=BN$2),1,0)</f>
        <v>0</v>
      </c>
      <c r="BO33" s="329" t="n">
        <f aca="false" t="array" ref="BO33:BO33">IF(AND(BO$2&lt;&gt;0,TblTech[[#This Row],[Hour]:[Hour]]&gt;=BO$2),1,0)</f>
        <v>0</v>
      </c>
      <c r="BP33" s="329" t="n">
        <f aca="false" t="array" ref="BP33:BP33">IF(AND(BP$2&lt;&gt;0,TblTech[[#This Row],[Hour]:[Hour]]&gt;=BP$2),1,0)</f>
        <v>0</v>
      </c>
      <c r="BQ33" s="329" t="n">
        <f aca="false" t="array" ref="BQ33:BQ33">IF(AND(BQ$2&lt;&gt;0,TblTech[[#This Row],[Hour]:[Hour]]&gt;=BQ$2),1,0)</f>
        <v>0</v>
      </c>
      <c r="BR33" s="329" t="n">
        <f aca="false" t="array" ref="BR33:BR33">IF(AND(BR$2&lt;&gt;0,TblTech[[#This Row],[Hour]:[Hour]]&gt;=BR$2),1,0)</f>
        <v>0</v>
      </c>
      <c r="BS33" s="329" t="n">
        <f aca="false" t="array" ref="BS33:BS33">IF(AND(BS$2&lt;&gt;0,TblTech[[#This Row],[Hour]:[Hour]]&gt;=BS$2),1,0)</f>
        <v>0</v>
      </c>
      <c r="BT33" s="329" t="n">
        <f aca="false" t="array" ref="BT33:BT33">IF(AND(BT$2&lt;&gt;0,TblTech[[#This Row],[Hour]:[Hour]]&gt;=BT$2),1,0)</f>
        <v>0</v>
      </c>
      <c r="BU33" s="329" t="n">
        <f aca="false" t="array" ref="BU33:BU33">IF(AND(BU$2&lt;&gt;0,TblTech[[#This Row],[Hour]:[Hour]]&gt;=BU$2),1,0)</f>
        <v>0</v>
      </c>
      <c r="BV33" s="329" t="n">
        <f aca="false" t="array" ref="BV33:BV33">IF(AND(BV$2&lt;&gt;0,TblTech[[#This Row],[Hour]:[Hour]]&gt;=BV$2),1,0)</f>
        <v>0</v>
      </c>
      <c r="BW33" s="329" t="n">
        <f aca="false" t="array" ref="BW33:BW33">IF(AND(BW$2&lt;&gt;0,TblTech[[#This Row],[Hour]:[Hour]]&gt;=BW$2),1,0)</f>
        <v>0</v>
      </c>
      <c r="BX33" s="329" t="n">
        <f aca="false" t="array" ref="BX33:BX33">IF(AND(BX$2&lt;&gt;0,TblTech[[#This Row],[Hour]:[Hour]]&gt;=BX$2),1,0)</f>
        <v>0</v>
      </c>
      <c r="BY33" s="329" t="n">
        <f aca="false" t="array" ref="BY33:BY33">IF(AND(BY$2&lt;&gt;0,TblTech[[#This Row],[Hour]:[Hour]]&gt;=BY$2),1,0)</f>
        <v>0</v>
      </c>
      <c r="BZ33" s="329" t="n">
        <f aca="false" t="array" ref="BZ33:BZ33">IF(AND(BZ$2&lt;&gt;0,TblTech[[#This Row],[Hour]:[Hour]]&gt;=BZ$2),1,0)</f>
        <v>0</v>
      </c>
      <c r="CA33" s="330" t="n">
        <f aca="false">IFERROR(INDEX($H$4:$H$79,MATCH(INDEX(TblTech[[#Headers],[1-1]:[11-1]],1,MATCH(TblTech[[#This Row],[Hour]],$M$2:$BZ$2,0)),$G$4:$G$79,0)),)</f>
        <v>0</v>
      </c>
    </row>
    <row r="34" customFormat="false" ht="12.75" hidden="false" customHeight="false" outlineLevel="0" collapsed="false">
      <c r="A34" s="321" t="n">
        <f aca="false">TblRezone[[#This Row],[Hour]]</f>
        <v>31</v>
      </c>
      <c r="B34" s="322" t="n">
        <f aca="false">TblExplore[[#This Row],[Land-DB]]</f>
        <v>380</v>
      </c>
      <c r="C34" s="323" t="n">
        <f aca="false">TblProd[[#This Row],[Techpoints]]</f>
        <v>350</v>
      </c>
      <c r="D34" s="323" t="n">
        <f aca="false">TblProd[[#This Row],[Required]]</f>
        <v>3750</v>
      </c>
      <c r="E34" s="324"/>
      <c r="F34" s="325"/>
      <c r="G34" s="326" t="s">
        <v>552</v>
      </c>
      <c r="H34" s="327" t="s">
        <v>647</v>
      </c>
      <c r="I34" s="326" t="s">
        <v>648</v>
      </c>
      <c r="J34" s="322"/>
      <c r="K34" s="68" t="n">
        <f aca="false">IF(TblTech[[#This Row],[Sum of tech]]&lt;&gt;OFFSET(TblTech[[#This Row],[Sum of tech]],-1,0),1,0)</f>
        <v>0</v>
      </c>
      <c r="L34" s="328" t="n">
        <f aca="false">COUNTIF(TblTech[[#This Row],[1-1]:[11-1]],1)</f>
        <v>0</v>
      </c>
      <c r="M34" s="329" t="n">
        <f aca="false" t="array" ref="M34:M34">IF(AND(M$2&lt;&gt;0,TblTech[[#This Row],[Hour]:[Hour]]&gt;=M$2),1,0)</f>
        <v>0</v>
      </c>
      <c r="N34" s="329" t="n">
        <f aca="false" t="array" ref="N34:N34">IF(AND(N$2&lt;&gt;0,TblTech[[#This Row],[Hour]:[Hour]]&gt;=N$2),1,0)</f>
        <v>0</v>
      </c>
      <c r="O34" s="329" t="n">
        <f aca="false" t="array" ref="O34:O34">IF(AND(O$2&lt;&gt;0,TblTech[[#This Row],[Hour]:[Hour]]&gt;=O$2),1,0)</f>
        <v>0</v>
      </c>
      <c r="P34" s="329" t="n">
        <f aca="false" t="array" ref="P34:P34">IF(AND(P$2&lt;&gt;0,TblTech[[#This Row],[Hour]:[Hour]]&gt;=P$2),1,0)</f>
        <v>0</v>
      </c>
      <c r="Q34" s="329" t="n">
        <f aca="false" t="array" ref="Q34:Q34">IF(AND(Q$2&lt;&gt;0,TblTech[[#This Row],[Hour]:[Hour]]&gt;=Q$2),1,0)</f>
        <v>0</v>
      </c>
      <c r="R34" s="329" t="n">
        <f aca="false" t="array" ref="R34:R34">IF(AND(R$2&lt;&gt;0,TblTech[[#This Row],[Hour]:[Hour]]&gt;=R$2),1,0)</f>
        <v>0</v>
      </c>
      <c r="S34" s="329" t="n">
        <f aca="false" t="array" ref="S34:S34">IF(AND(S$2&lt;&gt;0,TblTech[[#This Row],[Hour]:[Hour]]&gt;=S$2),1,0)</f>
        <v>0</v>
      </c>
      <c r="T34" s="329" t="n">
        <f aca="false" t="array" ref="T34:T34">IF(AND(T$2&lt;&gt;0,TblTech[[#This Row],[Hour]:[Hour]]&gt;=T$2),1,0)</f>
        <v>0</v>
      </c>
      <c r="U34" s="329" t="n">
        <f aca="false" t="array" ref="U34:U34">IF(AND(U$2&lt;&gt;0,TblTech[[#This Row],[Hour]:[Hour]]&gt;=U$2),1,0)</f>
        <v>0</v>
      </c>
      <c r="V34" s="329" t="n">
        <f aca="false" t="array" ref="V34:V34">IF(AND(V$2&lt;&gt;0,TblTech[[#This Row],[Hour]:[Hour]]&gt;=V$2),1,0)</f>
        <v>0</v>
      </c>
      <c r="W34" s="329" t="n">
        <f aca="false" t="array" ref="W34:W34">IF(AND(W$2&lt;&gt;0,TblTech[[#This Row],[Hour]:[Hour]]&gt;=W$2),1,0)</f>
        <v>0</v>
      </c>
      <c r="X34" s="329" t="n">
        <f aca="false" t="array" ref="X34:X34">IF(AND(X$2&lt;&gt;0,TblTech[[#This Row],[Hour]:[Hour]]&gt;=X$2),1,0)</f>
        <v>0</v>
      </c>
      <c r="Y34" s="329" t="n">
        <f aca="false" t="array" ref="Y34:Y34">IF(AND(Y$2&lt;&gt;0,TblTech[[#This Row],[Hour]:[Hour]]&gt;=Y$2),1,0)</f>
        <v>0</v>
      </c>
      <c r="Z34" s="329" t="n">
        <f aca="false" t="array" ref="Z34:Z34">IF(AND(Z$2&lt;&gt;0,TblTech[[#This Row],[Hour]:[Hour]]&gt;=Z$2),1,0)</f>
        <v>0</v>
      </c>
      <c r="AA34" s="329" t="n">
        <f aca="false" t="array" ref="AA34:AA34">IF(AND(AA$2&lt;&gt;0,TblTech[[#This Row],[Hour]:[Hour]]&gt;=AA$2),1,0)</f>
        <v>0</v>
      </c>
      <c r="AB34" s="329" t="n">
        <f aca="false" t="array" ref="AB34:AB34">IF(AND(AB$2&lt;&gt;0,TblTech[[#This Row],[Hour]:[Hour]]&gt;=AB$2),1,0)</f>
        <v>0</v>
      </c>
      <c r="AC34" s="329" t="n">
        <f aca="false" t="array" ref="AC34:AC34">IF(AND(AC$2&lt;&gt;0,TblTech[[#This Row],[Hour]:[Hour]]&gt;=AC$2),1,0)</f>
        <v>0</v>
      </c>
      <c r="AD34" s="329" t="n">
        <f aca="false" t="array" ref="AD34:AD34">IF(AND(AD$2&lt;&gt;0,TblTech[[#This Row],[Hour]:[Hour]]&gt;=AD$2),1,0)</f>
        <v>0</v>
      </c>
      <c r="AE34" s="329" t="n">
        <f aca="false" t="array" ref="AE34:AE34">IF(AND(AE$2&lt;&gt;0,TblTech[[#This Row],[Hour]:[Hour]]&gt;=AE$2),1,0)</f>
        <v>0</v>
      </c>
      <c r="AF34" s="329" t="n">
        <f aca="false" t="array" ref="AF34:AF34">IF(AND(AF$2&lt;&gt;0,TblTech[[#This Row],[Hour]:[Hour]]&gt;=AF$2),1,0)</f>
        <v>0</v>
      </c>
      <c r="AG34" s="329" t="n">
        <f aca="false" t="array" ref="AG34:AG34">IF(AND(AG$2&lt;&gt;0,TblTech[[#This Row],[Hour]:[Hour]]&gt;=AG$2),1,0)</f>
        <v>0</v>
      </c>
      <c r="AH34" s="329" t="n">
        <f aca="false" t="array" ref="AH34:AH34">IF(AND(AH$2&lt;&gt;0,TblTech[[#This Row],[Hour]:[Hour]]&gt;=AH$2),1,0)</f>
        <v>0</v>
      </c>
      <c r="AI34" s="329" t="n">
        <f aca="false" t="array" ref="AI34:AI34">IF(AND(AI$2&lt;&gt;0,TblTech[[#This Row],[Hour]:[Hour]]&gt;=AI$2),1,0)</f>
        <v>0</v>
      </c>
      <c r="AJ34" s="329" t="n">
        <f aca="false" t="array" ref="AJ34:AJ34">IF(AND(AJ$2&lt;&gt;0,TblTech[[#This Row],[Hour]:[Hour]]&gt;=AJ$2),1,0)</f>
        <v>0</v>
      </c>
      <c r="AK34" s="329" t="n">
        <f aca="false" t="array" ref="AK34:AK34">IF(AND(AK$2&lt;&gt;0,TblTech[[#This Row],[Hour]:[Hour]]&gt;=AK$2),1,0)</f>
        <v>0</v>
      </c>
      <c r="AL34" s="329" t="n">
        <f aca="false" t="array" ref="AL34:AL34">IF(AND(AL$2&lt;&gt;0,TblTech[[#This Row],[Hour]:[Hour]]&gt;=AL$2),1,0)</f>
        <v>0</v>
      </c>
      <c r="AM34" s="329" t="n">
        <f aca="false" t="array" ref="AM34:AM34">IF(AND(AM$2&lt;&gt;0,TblTech[[#This Row],[Hour]:[Hour]]&gt;=AM$2),1,0)</f>
        <v>0</v>
      </c>
      <c r="AN34" s="329" t="n">
        <f aca="false" t="array" ref="AN34:AN34">IF(AND(AN$2&lt;&gt;0,TblTech[[#This Row],[Hour]:[Hour]]&gt;=AN$2),1,0)</f>
        <v>0</v>
      </c>
      <c r="AO34" s="329" t="n">
        <f aca="false" t="array" ref="AO34:AO34">IF(AND(AO$2&lt;&gt;0,TblTech[[#This Row],[Hour]:[Hour]]&gt;=AO$2),1,0)</f>
        <v>0</v>
      </c>
      <c r="AP34" s="329" t="n">
        <f aca="false" t="array" ref="AP34:AP34">IF(AND(AP$2&lt;&gt;0,TblTech[[#This Row],[Hour]:[Hour]]&gt;=AP$2),1,0)</f>
        <v>0</v>
      </c>
      <c r="AQ34" s="329" t="n">
        <f aca="false" t="array" ref="AQ34:AQ34">IF(AND(AQ$2&lt;&gt;0,TblTech[[#This Row],[Hour]:[Hour]]&gt;=AQ$2),1,0)</f>
        <v>0</v>
      </c>
      <c r="AR34" s="329" t="n">
        <f aca="false" t="array" ref="AR34:AR34">IF(AND(AR$2&lt;&gt;0,TblTech[[#This Row],[Hour]:[Hour]]&gt;=AR$2),1,0)</f>
        <v>0</v>
      </c>
      <c r="AS34" s="329" t="n">
        <f aca="false" t="array" ref="AS34:AS34">IF(AND(AS$2&lt;&gt;0,TblTech[[#This Row],[Hour]:[Hour]]&gt;=AS$2),1,0)</f>
        <v>0</v>
      </c>
      <c r="AT34" s="329" t="n">
        <f aca="false" t="array" ref="AT34:AT34">IF(AND(AT$2&lt;&gt;0,TblTech[[#This Row],[Hour]:[Hour]]&gt;=AT$2),1,0)</f>
        <v>0</v>
      </c>
      <c r="AU34" s="329" t="n">
        <f aca="false" t="array" ref="AU34:AU34">IF(AND(AU$2&lt;&gt;0,TblTech[[#This Row],[Hour]:[Hour]]&gt;=AU$2),1,0)</f>
        <v>0</v>
      </c>
      <c r="AV34" s="329" t="n">
        <f aca="false" t="array" ref="AV34:AV34">IF(AND(AV$2&lt;&gt;0,TblTech[[#This Row],[Hour]:[Hour]]&gt;=AV$2),1,0)</f>
        <v>0</v>
      </c>
      <c r="AW34" s="329" t="n">
        <f aca="false" t="array" ref="AW34:AW34">IF(AND(AW$2&lt;&gt;0,TblTech[[#This Row],[Hour]:[Hour]]&gt;=AW$2),1,0)</f>
        <v>0</v>
      </c>
      <c r="AX34" s="329" t="n">
        <f aca="false" t="array" ref="AX34:AX34">IF(AND(AX$2&lt;&gt;0,TblTech[[#This Row],[Hour]:[Hour]]&gt;=AX$2),1,0)</f>
        <v>0</v>
      </c>
      <c r="AY34" s="329" t="n">
        <f aca="false" t="array" ref="AY34:AY34">IF(AND(AY$2&lt;&gt;0,TblTech[[#This Row],[Hour]:[Hour]]&gt;=AY$2),1,0)</f>
        <v>0</v>
      </c>
      <c r="AZ34" s="329" t="n">
        <f aca="false" t="array" ref="AZ34:AZ34">IF(AND(AZ$2&lt;&gt;0,TblTech[[#This Row],[Hour]:[Hour]]&gt;=AZ$2),1,0)</f>
        <v>0</v>
      </c>
      <c r="BA34" s="329" t="n">
        <f aca="false" t="array" ref="BA34:BA34">IF(AND(BA$2&lt;&gt;0,TblTech[[#This Row],[Hour]:[Hour]]&gt;=BA$2),1,0)</f>
        <v>0</v>
      </c>
      <c r="BB34" s="329" t="n">
        <f aca="false" t="array" ref="BB34:BB34">IF(AND(BB$2&lt;&gt;0,TblTech[[#This Row],[Hour]:[Hour]]&gt;=BB$2),1,0)</f>
        <v>0</v>
      </c>
      <c r="BC34" s="329" t="n">
        <f aca="false" t="array" ref="BC34:BC34">IF(AND(BC$2&lt;&gt;0,TblTech[[#This Row],[Hour]:[Hour]]&gt;=BC$2),1,0)</f>
        <v>0</v>
      </c>
      <c r="BD34" s="329" t="n">
        <f aca="false" t="array" ref="BD34:BD34">IF(AND(BD$2&lt;&gt;0,TblTech[[#This Row],[Hour]:[Hour]]&gt;=BD$2),1,0)</f>
        <v>0</v>
      </c>
      <c r="BE34" s="329" t="n">
        <f aca="false" t="array" ref="BE34:BE34">IF(AND(BE$2&lt;&gt;0,TblTech[[#This Row],[Hour]:[Hour]]&gt;=BE$2),1,0)</f>
        <v>0</v>
      </c>
      <c r="BF34" s="329" t="n">
        <f aca="false" t="array" ref="BF34:BF34">IF(AND(BF$2&lt;&gt;0,TblTech[[#This Row],[Hour]:[Hour]]&gt;=BF$2),1,0)</f>
        <v>0</v>
      </c>
      <c r="BG34" s="329" t="n">
        <f aca="false" t="array" ref="BG34:BG34">IF(AND(BG$2&lt;&gt;0,TblTech[[#This Row],[Hour]:[Hour]]&gt;=BG$2),1,0)</f>
        <v>0</v>
      </c>
      <c r="BH34" s="329" t="n">
        <f aca="false" t="array" ref="BH34:BH34">IF(AND(BH$2&lt;&gt;0,TblTech[[#This Row],[Hour]:[Hour]]&gt;=BH$2),1,0)</f>
        <v>0</v>
      </c>
      <c r="BI34" s="329" t="n">
        <f aca="false" t="array" ref="BI34:BI34">IF(AND(BI$2&lt;&gt;0,TblTech[[#This Row],[Hour]:[Hour]]&gt;=BI$2),1,0)</f>
        <v>0</v>
      </c>
      <c r="BJ34" s="329" t="n">
        <f aca="false" t="array" ref="BJ34:BJ34">IF(AND(BJ$2&lt;&gt;0,TblTech[[#This Row],[Hour]:[Hour]]&gt;=BJ$2),1,0)</f>
        <v>0</v>
      </c>
      <c r="BK34" s="329" t="n">
        <f aca="false" t="array" ref="BK34:BK34">IF(AND(BK$2&lt;&gt;0,TblTech[[#This Row],[Hour]:[Hour]]&gt;=BK$2),1,0)</f>
        <v>0</v>
      </c>
      <c r="BL34" s="329" t="n">
        <f aca="false" t="array" ref="BL34:BL34">IF(AND(BL$2&lt;&gt;0,TblTech[[#This Row],[Hour]:[Hour]]&gt;=BL$2),1,0)</f>
        <v>0</v>
      </c>
      <c r="BM34" s="329" t="n">
        <f aca="false" t="array" ref="BM34:BM34">IF(AND(BM$2&lt;&gt;0,TblTech[[#This Row],[Hour]:[Hour]]&gt;=BM$2),1,0)</f>
        <v>0</v>
      </c>
      <c r="BN34" s="329" t="n">
        <f aca="false" t="array" ref="BN34:BN34">IF(AND(BN$2&lt;&gt;0,TblTech[[#This Row],[Hour]:[Hour]]&gt;=BN$2),1,0)</f>
        <v>0</v>
      </c>
      <c r="BO34" s="329" t="n">
        <f aca="false" t="array" ref="BO34:BO34">IF(AND(BO$2&lt;&gt;0,TblTech[[#This Row],[Hour]:[Hour]]&gt;=BO$2),1,0)</f>
        <v>0</v>
      </c>
      <c r="BP34" s="329" t="n">
        <f aca="false" t="array" ref="BP34:BP34">IF(AND(BP$2&lt;&gt;0,TblTech[[#This Row],[Hour]:[Hour]]&gt;=BP$2),1,0)</f>
        <v>0</v>
      </c>
      <c r="BQ34" s="329" t="n">
        <f aca="false" t="array" ref="BQ34:BQ34">IF(AND(BQ$2&lt;&gt;0,TblTech[[#This Row],[Hour]:[Hour]]&gt;=BQ$2),1,0)</f>
        <v>0</v>
      </c>
      <c r="BR34" s="329" t="n">
        <f aca="false" t="array" ref="BR34:BR34">IF(AND(BR$2&lt;&gt;0,TblTech[[#This Row],[Hour]:[Hour]]&gt;=BR$2),1,0)</f>
        <v>0</v>
      </c>
      <c r="BS34" s="329" t="n">
        <f aca="false" t="array" ref="BS34:BS34">IF(AND(BS$2&lt;&gt;0,TblTech[[#This Row],[Hour]:[Hour]]&gt;=BS$2),1,0)</f>
        <v>0</v>
      </c>
      <c r="BT34" s="329" t="n">
        <f aca="false" t="array" ref="BT34:BT34">IF(AND(BT$2&lt;&gt;0,TblTech[[#This Row],[Hour]:[Hour]]&gt;=BT$2),1,0)</f>
        <v>0</v>
      </c>
      <c r="BU34" s="329" t="n">
        <f aca="false" t="array" ref="BU34:BU34">IF(AND(BU$2&lt;&gt;0,TblTech[[#This Row],[Hour]:[Hour]]&gt;=BU$2),1,0)</f>
        <v>0</v>
      </c>
      <c r="BV34" s="329" t="n">
        <f aca="false" t="array" ref="BV34:BV34">IF(AND(BV$2&lt;&gt;0,TblTech[[#This Row],[Hour]:[Hour]]&gt;=BV$2),1,0)</f>
        <v>0</v>
      </c>
      <c r="BW34" s="329" t="n">
        <f aca="false" t="array" ref="BW34:BW34">IF(AND(BW$2&lt;&gt;0,TblTech[[#This Row],[Hour]:[Hour]]&gt;=BW$2),1,0)</f>
        <v>0</v>
      </c>
      <c r="BX34" s="329" t="n">
        <f aca="false" t="array" ref="BX34:BX34">IF(AND(BX$2&lt;&gt;0,TblTech[[#This Row],[Hour]:[Hour]]&gt;=BX$2),1,0)</f>
        <v>0</v>
      </c>
      <c r="BY34" s="329" t="n">
        <f aca="false" t="array" ref="BY34:BY34">IF(AND(BY$2&lt;&gt;0,TblTech[[#This Row],[Hour]:[Hour]]&gt;=BY$2),1,0)</f>
        <v>0</v>
      </c>
      <c r="BZ34" s="329" t="n">
        <f aca="false" t="array" ref="BZ34:BZ34">IF(AND(BZ$2&lt;&gt;0,TblTech[[#This Row],[Hour]:[Hour]]&gt;=BZ$2),1,0)</f>
        <v>0</v>
      </c>
      <c r="CA34" s="330" t="n">
        <f aca="false">IFERROR(INDEX($H$4:$H$79,MATCH(INDEX(TblTech[[#Headers],[1-1]:[11-1]],1,MATCH(TblTech[[#This Row],[Hour]],$M$2:$BZ$2,0)),$G$4:$G$79,0)),)</f>
        <v>0</v>
      </c>
    </row>
    <row r="35" customFormat="false" ht="12.75" hidden="false" customHeight="false" outlineLevel="0" collapsed="false">
      <c r="A35" s="321" t="n">
        <f aca="false">TblRezone[[#This Row],[Hour]]</f>
        <v>32</v>
      </c>
      <c r="B35" s="322" t="n">
        <f aca="false">TblExplore[[#This Row],[Land-DB]]</f>
        <v>392</v>
      </c>
      <c r="C35" s="323" t="n">
        <f aca="false">TblProd[[#This Row],[Techpoints]]</f>
        <v>350</v>
      </c>
      <c r="D35" s="323" t="n">
        <f aca="false">TblProd[[#This Row],[Required]]</f>
        <v>3750</v>
      </c>
      <c r="E35" s="324"/>
      <c r="F35" s="325"/>
      <c r="G35" s="326" t="s">
        <v>553</v>
      </c>
      <c r="H35" s="327" t="s">
        <v>649</v>
      </c>
      <c r="I35" s="326" t="s">
        <v>650</v>
      </c>
      <c r="J35" s="322"/>
      <c r="K35" s="68" t="n">
        <f aca="false">IF(TblTech[[#This Row],[Sum of tech]]&lt;&gt;OFFSET(TblTech[[#This Row],[Sum of tech]],-1,0),1,0)</f>
        <v>0</v>
      </c>
      <c r="L35" s="328" t="n">
        <f aca="false">COUNTIF(TblTech[[#This Row],[1-1]:[11-1]],1)</f>
        <v>0</v>
      </c>
      <c r="M35" s="329" t="n">
        <f aca="false" t="array" ref="M35:M35">IF(AND(M$2&lt;&gt;0,TblTech[[#This Row],[Hour]:[Hour]]&gt;=M$2),1,0)</f>
        <v>0</v>
      </c>
      <c r="N35" s="329" t="n">
        <f aca="false" t="array" ref="N35:N35">IF(AND(N$2&lt;&gt;0,TblTech[[#This Row],[Hour]:[Hour]]&gt;=N$2),1,0)</f>
        <v>0</v>
      </c>
      <c r="O35" s="329" t="n">
        <f aca="false" t="array" ref="O35:O35">IF(AND(O$2&lt;&gt;0,TblTech[[#This Row],[Hour]:[Hour]]&gt;=O$2),1,0)</f>
        <v>0</v>
      </c>
      <c r="P35" s="329" t="n">
        <f aca="false" t="array" ref="P35:P35">IF(AND(P$2&lt;&gt;0,TblTech[[#This Row],[Hour]:[Hour]]&gt;=P$2),1,0)</f>
        <v>0</v>
      </c>
      <c r="Q35" s="329" t="n">
        <f aca="false" t="array" ref="Q35:Q35">IF(AND(Q$2&lt;&gt;0,TblTech[[#This Row],[Hour]:[Hour]]&gt;=Q$2),1,0)</f>
        <v>0</v>
      </c>
      <c r="R35" s="329" t="n">
        <f aca="false" t="array" ref="R35:R35">IF(AND(R$2&lt;&gt;0,TblTech[[#This Row],[Hour]:[Hour]]&gt;=R$2),1,0)</f>
        <v>0</v>
      </c>
      <c r="S35" s="329" t="n">
        <f aca="false" t="array" ref="S35:S35">IF(AND(S$2&lt;&gt;0,TblTech[[#This Row],[Hour]:[Hour]]&gt;=S$2),1,0)</f>
        <v>0</v>
      </c>
      <c r="T35" s="329" t="n">
        <f aca="false" t="array" ref="T35:T35">IF(AND(T$2&lt;&gt;0,TblTech[[#This Row],[Hour]:[Hour]]&gt;=T$2),1,0)</f>
        <v>0</v>
      </c>
      <c r="U35" s="329" t="n">
        <f aca="false" t="array" ref="U35:U35">IF(AND(U$2&lt;&gt;0,TblTech[[#This Row],[Hour]:[Hour]]&gt;=U$2),1,0)</f>
        <v>0</v>
      </c>
      <c r="V35" s="329" t="n">
        <f aca="false" t="array" ref="V35:V35">IF(AND(V$2&lt;&gt;0,TblTech[[#This Row],[Hour]:[Hour]]&gt;=V$2),1,0)</f>
        <v>0</v>
      </c>
      <c r="W35" s="329" t="n">
        <f aca="false" t="array" ref="W35:W35">IF(AND(W$2&lt;&gt;0,TblTech[[#This Row],[Hour]:[Hour]]&gt;=W$2),1,0)</f>
        <v>0</v>
      </c>
      <c r="X35" s="329" t="n">
        <f aca="false" t="array" ref="X35:X35">IF(AND(X$2&lt;&gt;0,TblTech[[#This Row],[Hour]:[Hour]]&gt;=X$2),1,0)</f>
        <v>0</v>
      </c>
      <c r="Y35" s="329" t="n">
        <f aca="false" t="array" ref="Y35:Y35">IF(AND(Y$2&lt;&gt;0,TblTech[[#This Row],[Hour]:[Hour]]&gt;=Y$2),1,0)</f>
        <v>0</v>
      </c>
      <c r="Z35" s="329" t="n">
        <f aca="false" t="array" ref="Z35:Z35">IF(AND(Z$2&lt;&gt;0,TblTech[[#This Row],[Hour]:[Hour]]&gt;=Z$2),1,0)</f>
        <v>0</v>
      </c>
      <c r="AA35" s="329" t="n">
        <f aca="false" t="array" ref="AA35:AA35">IF(AND(AA$2&lt;&gt;0,TblTech[[#This Row],[Hour]:[Hour]]&gt;=AA$2),1,0)</f>
        <v>0</v>
      </c>
      <c r="AB35" s="329" t="n">
        <f aca="false" t="array" ref="AB35:AB35">IF(AND(AB$2&lt;&gt;0,TblTech[[#This Row],[Hour]:[Hour]]&gt;=AB$2),1,0)</f>
        <v>0</v>
      </c>
      <c r="AC35" s="329" t="n">
        <f aca="false" t="array" ref="AC35:AC35">IF(AND(AC$2&lt;&gt;0,TblTech[[#This Row],[Hour]:[Hour]]&gt;=AC$2),1,0)</f>
        <v>0</v>
      </c>
      <c r="AD35" s="329" t="n">
        <f aca="false" t="array" ref="AD35:AD35">IF(AND(AD$2&lt;&gt;0,TblTech[[#This Row],[Hour]:[Hour]]&gt;=AD$2),1,0)</f>
        <v>0</v>
      </c>
      <c r="AE35" s="329" t="n">
        <f aca="false" t="array" ref="AE35:AE35">IF(AND(AE$2&lt;&gt;0,TblTech[[#This Row],[Hour]:[Hour]]&gt;=AE$2),1,0)</f>
        <v>0</v>
      </c>
      <c r="AF35" s="329" t="n">
        <f aca="false" t="array" ref="AF35:AF35">IF(AND(AF$2&lt;&gt;0,TblTech[[#This Row],[Hour]:[Hour]]&gt;=AF$2),1,0)</f>
        <v>0</v>
      </c>
      <c r="AG35" s="329" t="n">
        <f aca="false" t="array" ref="AG35:AG35">IF(AND(AG$2&lt;&gt;0,TblTech[[#This Row],[Hour]:[Hour]]&gt;=AG$2),1,0)</f>
        <v>0</v>
      </c>
      <c r="AH35" s="329" t="n">
        <f aca="false" t="array" ref="AH35:AH35">IF(AND(AH$2&lt;&gt;0,TblTech[[#This Row],[Hour]:[Hour]]&gt;=AH$2),1,0)</f>
        <v>0</v>
      </c>
      <c r="AI35" s="329" t="n">
        <f aca="false" t="array" ref="AI35:AI35">IF(AND(AI$2&lt;&gt;0,TblTech[[#This Row],[Hour]:[Hour]]&gt;=AI$2),1,0)</f>
        <v>0</v>
      </c>
      <c r="AJ35" s="329" t="n">
        <f aca="false" t="array" ref="AJ35:AJ35">IF(AND(AJ$2&lt;&gt;0,TblTech[[#This Row],[Hour]:[Hour]]&gt;=AJ$2),1,0)</f>
        <v>0</v>
      </c>
      <c r="AK35" s="329" t="n">
        <f aca="false" t="array" ref="AK35:AK35">IF(AND(AK$2&lt;&gt;0,TblTech[[#This Row],[Hour]:[Hour]]&gt;=AK$2),1,0)</f>
        <v>0</v>
      </c>
      <c r="AL35" s="329" t="n">
        <f aca="false" t="array" ref="AL35:AL35">IF(AND(AL$2&lt;&gt;0,TblTech[[#This Row],[Hour]:[Hour]]&gt;=AL$2),1,0)</f>
        <v>0</v>
      </c>
      <c r="AM35" s="329" t="n">
        <f aca="false" t="array" ref="AM35:AM35">IF(AND(AM$2&lt;&gt;0,TblTech[[#This Row],[Hour]:[Hour]]&gt;=AM$2),1,0)</f>
        <v>0</v>
      </c>
      <c r="AN35" s="329" t="n">
        <f aca="false" t="array" ref="AN35:AN35">IF(AND(AN$2&lt;&gt;0,TblTech[[#This Row],[Hour]:[Hour]]&gt;=AN$2),1,0)</f>
        <v>0</v>
      </c>
      <c r="AO35" s="329" t="n">
        <f aca="false" t="array" ref="AO35:AO35">IF(AND(AO$2&lt;&gt;0,TblTech[[#This Row],[Hour]:[Hour]]&gt;=AO$2),1,0)</f>
        <v>0</v>
      </c>
      <c r="AP35" s="329" t="n">
        <f aca="false" t="array" ref="AP35:AP35">IF(AND(AP$2&lt;&gt;0,TblTech[[#This Row],[Hour]:[Hour]]&gt;=AP$2),1,0)</f>
        <v>0</v>
      </c>
      <c r="AQ35" s="329" t="n">
        <f aca="false" t="array" ref="AQ35:AQ35">IF(AND(AQ$2&lt;&gt;0,TblTech[[#This Row],[Hour]:[Hour]]&gt;=AQ$2),1,0)</f>
        <v>0</v>
      </c>
      <c r="AR35" s="329" t="n">
        <f aca="false" t="array" ref="AR35:AR35">IF(AND(AR$2&lt;&gt;0,TblTech[[#This Row],[Hour]:[Hour]]&gt;=AR$2),1,0)</f>
        <v>0</v>
      </c>
      <c r="AS35" s="329" t="n">
        <f aca="false" t="array" ref="AS35:AS35">IF(AND(AS$2&lt;&gt;0,TblTech[[#This Row],[Hour]:[Hour]]&gt;=AS$2),1,0)</f>
        <v>0</v>
      </c>
      <c r="AT35" s="329" t="n">
        <f aca="false" t="array" ref="AT35:AT35">IF(AND(AT$2&lt;&gt;0,TblTech[[#This Row],[Hour]:[Hour]]&gt;=AT$2),1,0)</f>
        <v>0</v>
      </c>
      <c r="AU35" s="329" t="n">
        <f aca="false" t="array" ref="AU35:AU35">IF(AND(AU$2&lt;&gt;0,TblTech[[#This Row],[Hour]:[Hour]]&gt;=AU$2),1,0)</f>
        <v>0</v>
      </c>
      <c r="AV35" s="329" t="n">
        <f aca="false" t="array" ref="AV35:AV35">IF(AND(AV$2&lt;&gt;0,TblTech[[#This Row],[Hour]:[Hour]]&gt;=AV$2),1,0)</f>
        <v>0</v>
      </c>
      <c r="AW35" s="329" t="n">
        <f aca="false" t="array" ref="AW35:AW35">IF(AND(AW$2&lt;&gt;0,TblTech[[#This Row],[Hour]:[Hour]]&gt;=AW$2),1,0)</f>
        <v>0</v>
      </c>
      <c r="AX35" s="329" t="n">
        <f aca="false" t="array" ref="AX35:AX35">IF(AND(AX$2&lt;&gt;0,TblTech[[#This Row],[Hour]:[Hour]]&gt;=AX$2),1,0)</f>
        <v>0</v>
      </c>
      <c r="AY35" s="329" t="n">
        <f aca="false" t="array" ref="AY35:AY35">IF(AND(AY$2&lt;&gt;0,TblTech[[#This Row],[Hour]:[Hour]]&gt;=AY$2),1,0)</f>
        <v>0</v>
      </c>
      <c r="AZ35" s="329" t="n">
        <f aca="false" t="array" ref="AZ35:AZ35">IF(AND(AZ$2&lt;&gt;0,TblTech[[#This Row],[Hour]:[Hour]]&gt;=AZ$2),1,0)</f>
        <v>0</v>
      </c>
      <c r="BA35" s="329" t="n">
        <f aca="false" t="array" ref="BA35:BA35">IF(AND(BA$2&lt;&gt;0,TblTech[[#This Row],[Hour]:[Hour]]&gt;=BA$2),1,0)</f>
        <v>0</v>
      </c>
      <c r="BB35" s="329" t="n">
        <f aca="false" t="array" ref="BB35:BB35">IF(AND(BB$2&lt;&gt;0,TblTech[[#This Row],[Hour]:[Hour]]&gt;=BB$2),1,0)</f>
        <v>0</v>
      </c>
      <c r="BC35" s="329" t="n">
        <f aca="false" t="array" ref="BC35:BC35">IF(AND(BC$2&lt;&gt;0,TblTech[[#This Row],[Hour]:[Hour]]&gt;=BC$2),1,0)</f>
        <v>0</v>
      </c>
      <c r="BD35" s="329" t="n">
        <f aca="false" t="array" ref="BD35:BD35">IF(AND(BD$2&lt;&gt;0,TblTech[[#This Row],[Hour]:[Hour]]&gt;=BD$2),1,0)</f>
        <v>0</v>
      </c>
      <c r="BE35" s="329" t="n">
        <f aca="false" t="array" ref="BE35:BE35">IF(AND(BE$2&lt;&gt;0,TblTech[[#This Row],[Hour]:[Hour]]&gt;=BE$2),1,0)</f>
        <v>0</v>
      </c>
      <c r="BF35" s="329" t="n">
        <f aca="false" t="array" ref="BF35:BF35">IF(AND(BF$2&lt;&gt;0,TblTech[[#This Row],[Hour]:[Hour]]&gt;=BF$2),1,0)</f>
        <v>0</v>
      </c>
      <c r="BG35" s="329" t="n">
        <f aca="false" t="array" ref="BG35:BG35">IF(AND(BG$2&lt;&gt;0,TblTech[[#This Row],[Hour]:[Hour]]&gt;=BG$2),1,0)</f>
        <v>0</v>
      </c>
      <c r="BH35" s="329" t="n">
        <f aca="false" t="array" ref="BH35:BH35">IF(AND(BH$2&lt;&gt;0,TblTech[[#This Row],[Hour]:[Hour]]&gt;=BH$2),1,0)</f>
        <v>0</v>
      </c>
      <c r="BI35" s="329" t="n">
        <f aca="false" t="array" ref="BI35:BI35">IF(AND(BI$2&lt;&gt;0,TblTech[[#This Row],[Hour]:[Hour]]&gt;=BI$2),1,0)</f>
        <v>0</v>
      </c>
      <c r="BJ35" s="329" t="n">
        <f aca="false" t="array" ref="BJ35:BJ35">IF(AND(BJ$2&lt;&gt;0,TblTech[[#This Row],[Hour]:[Hour]]&gt;=BJ$2),1,0)</f>
        <v>0</v>
      </c>
      <c r="BK35" s="329" t="n">
        <f aca="false" t="array" ref="BK35:BK35">IF(AND(BK$2&lt;&gt;0,TblTech[[#This Row],[Hour]:[Hour]]&gt;=BK$2),1,0)</f>
        <v>0</v>
      </c>
      <c r="BL35" s="329" t="n">
        <f aca="false" t="array" ref="BL35:BL35">IF(AND(BL$2&lt;&gt;0,TblTech[[#This Row],[Hour]:[Hour]]&gt;=BL$2),1,0)</f>
        <v>0</v>
      </c>
      <c r="BM35" s="329" t="n">
        <f aca="false" t="array" ref="BM35:BM35">IF(AND(BM$2&lt;&gt;0,TblTech[[#This Row],[Hour]:[Hour]]&gt;=BM$2),1,0)</f>
        <v>0</v>
      </c>
      <c r="BN35" s="329" t="n">
        <f aca="false" t="array" ref="BN35:BN35">IF(AND(BN$2&lt;&gt;0,TblTech[[#This Row],[Hour]:[Hour]]&gt;=BN$2),1,0)</f>
        <v>0</v>
      </c>
      <c r="BO35" s="329" t="n">
        <f aca="false" t="array" ref="BO35:BO35">IF(AND(BO$2&lt;&gt;0,TblTech[[#This Row],[Hour]:[Hour]]&gt;=BO$2),1,0)</f>
        <v>0</v>
      </c>
      <c r="BP35" s="329" t="n">
        <f aca="false" t="array" ref="BP35:BP35">IF(AND(BP$2&lt;&gt;0,TblTech[[#This Row],[Hour]:[Hour]]&gt;=BP$2),1,0)</f>
        <v>0</v>
      </c>
      <c r="BQ35" s="329" t="n">
        <f aca="false" t="array" ref="BQ35:BQ35">IF(AND(BQ$2&lt;&gt;0,TblTech[[#This Row],[Hour]:[Hour]]&gt;=BQ$2),1,0)</f>
        <v>0</v>
      </c>
      <c r="BR35" s="329" t="n">
        <f aca="false" t="array" ref="BR35:BR35">IF(AND(BR$2&lt;&gt;0,TblTech[[#This Row],[Hour]:[Hour]]&gt;=BR$2),1,0)</f>
        <v>0</v>
      </c>
      <c r="BS35" s="329" t="n">
        <f aca="false" t="array" ref="BS35:BS35">IF(AND(BS$2&lt;&gt;0,TblTech[[#This Row],[Hour]:[Hour]]&gt;=BS$2),1,0)</f>
        <v>0</v>
      </c>
      <c r="BT35" s="329" t="n">
        <f aca="false" t="array" ref="BT35:BT35">IF(AND(BT$2&lt;&gt;0,TblTech[[#This Row],[Hour]:[Hour]]&gt;=BT$2),1,0)</f>
        <v>0</v>
      </c>
      <c r="BU35" s="329" t="n">
        <f aca="false" t="array" ref="BU35:BU35">IF(AND(BU$2&lt;&gt;0,TblTech[[#This Row],[Hour]:[Hour]]&gt;=BU$2),1,0)</f>
        <v>0</v>
      </c>
      <c r="BV35" s="329" t="n">
        <f aca="false" t="array" ref="BV35:BV35">IF(AND(BV$2&lt;&gt;0,TblTech[[#This Row],[Hour]:[Hour]]&gt;=BV$2),1,0)</f>
        <v>0</v>
      </c>
      <c r="BW35" s="329" t="n">
        <f aca="false" t="array" ref="BW35:BW35">IF(AND(BW$2&lt;&gt;0,TblTech[[#This Row],[Hour]:[Hour]]&gt;=BW$2),1,0)</f>
        <v>0</v>
      </c>
      <c r="BX35" s="329" t="n">
        <f aca="false" t="array" ref="BX35:BX35">IF(AND(BX$2&lt;&gt;0,TblTech[[#This Row],[Hour]:[Hour]]&gt;=BX$2),1,0)</f>
        <v>0</v>
      </c>
      <c r="BY35" s="329" t="n">
        <f aca="false" t="array" ref="BY35:BY35">IF(AND(BY$2&lt;&gt;0,TblTech[[#This Row],[Hour]:[Hour]]&gt;=BY$2),1,0)</f>
        <v>0</v>
      </c>
      <c r="BZ35" s="329" t="n">
        <f aca="false" t="array" ref="BZ35:BZ35">IF(AND(BZ$2&lt;&gt;0,TblTech[[#This Row],[Hour]:[Hour]]&gt;=BZ$2),1,0)</f>
        <v>0</v>
      </c>
      <c r="CA35" s="330" t="n">
        <f aca="false">IFERROR(INDEX($H$4:$H$79,MATCH(INDEX(TblTech[[#Headers],[1-1]:[11-1]],1,MATCH(TblTech[[#This Row],[Hour]],$M$2:$BZ$2,0)),$G$4:$G$79,0)),)</f>
        <v>0</v>
      </c>
    </row>
    <row r="36" customFormat="false" ht="12.75" hidden="false" customHeight="false" outlineLevel="0" collapsed="false">
      <c r="A36" s="321" t="n">
        <f aca="false">TblRezone[[#This Row],[Hour]]</f>
        <v>33</v>
      </c>
      <c r="B36" s="322" t="n">
        <f aca="false">TblExplore[[#This Row],[Land-DB]]</f>
        <v>404</v>
      </c>
      <c r="C36" s="323" t="n">
        <f aca="false">TblProd[[#This Row],[Techpoints]]</f>
        <v>350</v>
      </c>
      <c r="D36" s="323" t="n">
        <f aca="false">TblProd[[#This Row],[Required]]</f>
        <v>3750</v>
      </c>
      <c r="E36" s="324"/>
      <c r="F36" s="325"/>
      <c r="G36" s="326"/>
      <c r="H36" s="327"/>
      <c r="I36" s="326"/>
      <c r="J36" s="322"/>
      <c r="K36" s="68" t="n">
        <f aca="false">IF(TblTech[[#This Row],[Sum of tech]]&lt;&gt;OFFSET(TblTech[[#This Row],[Sum of tech]],-1,0),1,0)</f>
        <v>0</v>
      </c>
      <c r="L36" s="328" t="n">
        <f aca="false">COUNTIF(TblTech[[#This Row],[1-1]:[11-1]],1)</f>
        <v>0</v>
      </c>
      <c r="M36" s="329" t="n">
        <f aca="false" t="array" ref="M36:M36">IF(AND(M$2&lt;&gt;0,TblTech[[#This Row],[Hour]:[Hour]]&gt;=M$2),1,0)</f>
        <v>0</v>
      </c>
      <c r="N36" s="329" t="n">
        <f aca="false" t="array" ref="N36:N36">IF(AND(N$2&lt;&gt;0,TblTech[[#This Row],[Hour]:[Hour]]&gt;=N$2),1,0)</f>
        <v>0</v>
      </c>
      <c r="O36" s="329" t="n">
        <f aca="false" t="array" ref="O36:O36">IF(AND(O$2&lt;&gt;0,TblTech[[#This Row],[Hour]:[Hour]]&gt;=O$2),1,0)</f>
        <v>0</v>
      </c>
      <c r="P36" s="329" t="n">
        <f aca="false" t="array" ref="P36:P36">IF(AND(P$2&lt;&gt;0,TblTech[[#This Row],[Hour]:[Hour]]&gt;=P$2),1,0)</f>
        <v>0</v>
      </c>
      <c r="Q36" s="329" t="n">
        <f aca="false" t="array" ref="Q36:Q36">IF(AND(Q$2&lt;&gt;0,TblTech[[#This Row],[Hour]:[Hour]]&gt;=Q$2),1,0)</f>
        <v>0</v>
      </c>
      <c r="R36" s="329" t="n">
        <f aca="false" t="array" ref="R36:R36">IF(AND(R$2&lt;&gt;0,TblTech[[#This Row],[Hour]:[Hour]]&gt;=R$2),1,0)</f>
        <v>0</v>
      </c>
      <c r="S36" s="329" t="n">
        <f aca="false" t="array" ref="S36:S36">IF(AND(S$2&lt;&gt;0,TblTech[[#This Row],[Hour]:[Hour]]&gt;=S$2),1,0)</f>
        <v>0</v>
      </c>
      <c r="T36" s="329" t="n">
        <f aca="false" t="array" ref="T36:T36">IF(AND(T$2&lt;&gt;0,TblTech[[#This Row],[Hour]:[Hour]]&gt;=T$2),1,0)</f>
        <v>0</v>
      </c>
      <c r="U36" s="329" t="n">
        <f aca="false" t="array" ref="U36:U36">IF(AND(U$2&lt;&gt;0,TblTech[[#This Row],[Hour]:[Hour]]&gt;=U$2),1,0)</f>
        <v>0</v>
      </c>
      <c r="V36" s="329" t="n">
        <f aca="false" t="array" ref="V36:V36">IF(AND(V$2&lt;&gt;0,TblTech[[#This Row],[Hour]:[Hour]]&gt;=V$2),1,0)</f>
        <v>0</v>
      </c>
      <c r="W36" s="329" t="n">
        <f aca="false" t="array" ref="W36:W36">IF(AND(W$2&lt;&gt;0,TblTech[[#This Row],[Hour]:[Hour]]&gt;=W$2),1,0)</f>
        <v>0</v>
      </c>
      <c r="X36" s="329" t="n">
        <f aca="false" t="array" ref="X36:X36">IF(AND(X$2&lt;&gt;0,TblTech[[#This Row],[Hour]:[Hour]]&gt;=X$2),1,0)</f>
        <v>0</v>
      </c>
      <c r="Y36" s="329" t="n">
        <f aca="false" t="array" ref="Y36:Y36">IF(AND(Y$2&lt;&gt;0,TblTech[[#This Row],[Hour]:[Hour]]&gt;=Y$2),1,0)</f>
        <v>0</v>
      </c>
      <c r="Z36" s="329" t="n">
        <f aca="false" t="array" ref="Z36:Z36">IF(AND(Z$2&lt;&gt;0,TblTech[[#This Row],[Hour]:[Hour]]&gt;=Z$2),1,0)</f>
        <v>0</v>
      </c>
      <c r="AA36" s="329" t="n">
        <f aca="false" t="array" ref="AA36:AA36">IF(AND(AA$2&lt;&gt;0,TblTech[[#This Row],[Hour]:[Hour]]&gt;=AA$2),1,0)</f>
        <v>0</v>
      </c>
      <c r="AB36" s="329" t="n">
        <f aca="false" t="array" ref="AB36:AB36">IF(AND(AB$2&lt;&gt;0,TblTech[[#This Row],[Hour]:[Hour]]&gt;=AB$2),1,0)</f>
        <v>0</v>
      </c>
      <c r="AC36" s="329" t="n">
        <f aca="false" t="array" ref="AC36:AC36">IF(AND(AC$2&lt;&gt;0,TblTech[[#This Row],[Hour]:[Hour]]&gt;=AC$2),1,0)</f>
        <v>0</v>
      </c>
      <c r="AD36" s="329" t="n">
        <f aca="false" t="array" ref="AD36:AD36">IF(AND(AD$2&lt;&gt;0,TblTech[[#This Row],[Hour]:[Hour]]&gt;=AD$2),1,0)</f>
        <v>0</v>
      </c>
      <c r="AE36" s="329" t="n">
        <f aca="false" t="array" ref="AE36:AE36">IF(AND(AE$2&lt;&gt;0,TblTech[[#This Row],[Hour]:[Hour]]&gt;=AE$2),1,0)</f>
        <v>0</v>
      </c>
      <c r="AF36" s="329" t="n">
        <f aca="false" t="array" ref="AF36:AF36">IF(AND(AF$2&lt;&gt;0,TblTech[[#This Row],[Hour]:[Hour]]&gt;=AF$2),1,0)</f>
        <v>0</v>
      </c>
      <c r="AG36" s="329" t="n">
        <f aca="false" t="array" ref="AG36:AG36">IF(AND(AG$2&lt;&gt;0,TblTech[[#This Row],[Hour]:[Hour]]&gt;=AG$2),1,0)</f>
        <v>0</v>
      </c>
      <c r="AH36" s="329" t="n">
        <f aca="false" t="array" ref="AH36:AH36">IF(AND(AH$2&lt;&gt;0,TblTech[[#This Row],[Hour]:[Hour]]&gt;=AH$2),1,0)</f>
        <v>0</v>
      </c>
      <c r="AI36" s="329" t="n">
        <f aca="false" t="array" ref="AI36:AI36">IF(AND(AI$2&lt;&gt;0,TblTech[[#This Row],[Hour]:[Hour]]&gt;=AI$2),1,0)</f>
        <v>0</v>
      </c>
      <c r="AJ36" s="329" t="n">
        <f aca="false" t="array" ref="AJ36:AJ36">IF(AND(AJ$2&lt;&gt;0,TblTech[[#This Row],[Hour]:[Hour]]&gt;=AJ$2),1,0)</f>
        <v>0</v>
      </c>
      <c r="AK36" s="329" t="n">
        <f aca="false" t="array" ref="AK36:AK36">IF(AND(AK$2&lt;&gt;0,TblTech[[#This Row],[Hour]:[Hour]]&gt;=AK$2),1,0)</f>
        <v>0</v>
      </c>
      <c r="AL36" s="329" t="n">
        <f aca="false" t="array" ref="AL36:AL36">IF(AND(AL$2&lt;&gt;0,TblTech[[#This Row],[Hour]:[Hour]]&gt;=AL$2),1,0)</f>
        <v>0</v>
      </c>
      <c r="AM36" s="329" t="n">
        <f aca="false" t="array" ref="AM36:AM36">IF(AND(AM$2&lt;&gt;0,TblTech[[#This Row],[Hour]:[Hour]]&gt;=AM$2),1,0)</f>
        <v>0</v>
      </c>
      <c r="AN36" s="329" t="n">
        <f aca="false" t="array" ref="AN36:AN36">IF(AND(AN$2&lt;&gt;0,TblTech[[#This Row],[Hour]:[Hour]]&gt;=AN$2),1,0)</f>
        <v>0</v>
      </c>
      <c r="AO36" s="329" t="n">
        <f aca="false" t="array" ref="AO36:AO36">IF(AND(AO$2&lt;&gt;0,TblTech[[#This Row],[Hour]:[Hour]]&gt;=AO$2),1,0)</f>
        <v>0</v>
      </c>
      <c r="AP36" s="329" t="n">
        <f aca="false" t="array" ref="AP36:AP36">IF(AND(AP$2&lt;&gt;0,TblTech[[#This Row],[Hour]:[Hour]]&gt;=AP$2),1,0)</f>
        <v>0</v>
      </c>
      <c r="AQ36" s="329" t="n">
        <f aca="false" t="array" ref="AQ36:AQ36">IF(AND(AQ$2&lt;&gt;0,TblTech[[#This Row],[Hour]:[Hour]]&gt;=AQ$2),1,0)</f>
        <v>0</v>
      </c>
      <c r="AR36" s="329" t="n">
        <f aca="false" t="array" ref="AR36:AR36">IF(AND(AR$2&lt;&gt;0,TblTech[[#This Row],[Hour]:[Hour]]&gt;=AR$2),1,0)</f>
        <v>0</v>
      </c>
      <c r="AS36" s="329" t="n">
        <f aca="false" t="array" ref="AS36:AS36">IF(AND(AS$2&lt;&gt;0,TblTech[[#This Row],[Hour]:[Hour]]&gt;=AS$2),1,0)</f>
        <v>0</v>
      </c>
      <c r="AT36" s="329" t="n">
        <f aca="false" t="array" ref="AT36:AT36">IF(AND(AT$2&lt;&gt;0,TblTech[[#This Row],[Hour]:[Hour]]&gt;=AT$2),1,0)</f>
        <v>0</v>
      </c>
      <c r="AU36" s="329" t="n">
        <f aca="false" t="array" ref="AU36:AU36">IF(AND(AU$2&lt;&gt;0,TblTech[[#This Row],[Hour]:[Hour]]&gt;=AU$2),1,0)</f>
        <v>0</v>
      </c>
      <c r="AV36" s="329" t="n">
        <f aca="false" t="array" ref="AV36:AV36">IF(AND(AV$2&lt;&gt;0,TblTech[[#This Row],[Hour]:[Hour]]&gt;=AV$2),1,0)</f>
        <v>0</v>
      </c>
      <c r="AW36" s="329" t="n">
        <f aca="false" t="array" ref="AW36:AW36">IF(AND(AW$2&lt;&gt;0,TblTech[[#This Row],[Hour]:[Hour]]&gt;=AW$2),1,0)</f>
        <v>0</v>
      </c>
      <c r="AX36" s="329" t="n">
        <f aca="false" t="array" ref="AX36:AX36">IF(AND(AX$2&lt;&gt;0,TblTech[[#This Row],[Hour]:[Hour]]&gt;=AX$2),1,0)</f>
        <v>0</v>
      </c>
      <c r="AY36" s="329" t="n">
        <f aca="false" t="array" ref="AY36:AY36">IF(AND(AY$2&lt;&gt;0,TblTech[[#This Row],[Hour]:[Hour]]&gt;=AY$2),1,0)</f>
        <v>0</v>
      </c>
      <c r="AZ36" s="329" t="n">
        <f aca="false" t="array" ref="AZ36:AZ36">IF(AND(AZ$2&lt;&gt;0,TblTech[[#This Row],[Hour]:[Hour]]&gt;=AZ$2),1,0)</f>
        <v>0</v>
      </c>
      <c r="BA36" s="329" t="n">
        <f aca="false" t="array" ref="BA36:BA36">IF(AND(BA$2&lt;&gt;0,TblTech[[#This Row],[Hour]:[Hour]]&gt;=BA$2),1,0)</f>
        <v>0</v>
      </c>
      <c r="BB36" s="329" t="n">
        <f aca="false" t="array" ref="BB36:BB36">IF(AND(BB$2&lt;&gt;0,TblTech[[#This Row],[Hour]:[Hour]]&gt;=BB$2),1,0)</f>
        <v>0</v>
      </c>
      <c r="BC36" s="329" t="n">
        <f aca="false" t="array" ref="BC36:BC36">IF(AND(BC$2&lt;&gt;0,TblTech[[#This Row],[Hour]:[Hour]]&gt;=BC$2),1,0)</f>
        <v>0</v>
      </c>
      <c r="BD36" s="329" t="n">
        <f aca="false" t="array" ref="BD36:BD36">IF(AND(BD$2&lt;&gt;0,TblTech[[#This Row],[Hour]:[Hour]]&gt;=BD$2),1,0)</f>
        <v>0</v>
      </c>
      <c r="BE36" s="329" t="n">
        <f aca="false" t="array" ref="BE36:BE36">IF(AND(BE$2&lt;&gt;0,TblTech[[#This Row],[Hour]:[Hour]]&gt;=BE$2),1,0)</f>
        <v>0</v>
      </c>
      <c r="BF36" s="329" t="n">
        <f aca="false" t="array" ref="BF36:BF36">IF(AND(BF$2&lt;&gt;0,TblTech[[#This Row],[Hour]:[Hour]]&gt;=BF$2),1,0)</f>
        <v>0</v>
      </c>
      <c r="BG36" s="329" t="n">
        <f aca="false" t="array" ref="BG36:BG36">IF(AND(BG$2&lt;&gt;0,TblTech[[#This Row],[Hour]:[Hour]]&gt;=BG$2),1,0)</f>
        <v>0</v>
      </c>
      <c r="BH36" s="329" t="n">
        <f aca="false" t="array" ref="BH36:BH36">IF(AND(BH$2&lt;&gt;0,TblTech[[#This Row],[Hour]:[Hour]]&gt;=BH$2),1,0)</f>
        <v>0</v>
      </c>
      <c r="BI36" s="329" t="n">
        <f aca="false" t="array" ref="BI36:BI36">IF(AND(BI$2&lt;&gt;0,TblTech[[#This Row],[Hour]:[Hour]]&gt;=BI$2),1,0)</f>
        <v>0</v>
      </c>
      <c r="BJ36" s="329" t="n">
        <f aca="false" t="array" ref="BJ36:BJ36">IF(AND(BJ$2&lt;&gt;0,TblTech[[#This Row],[Hour]:[Hour]]&gt;=BJ$2),1,0)</f>
        <v>0</v>
      </c>
      <c r="BK36" s="329" t="n">
        <f aca="false" t="array" ref="BK36:BK36">IF(AND(BK$2&lt;&gt;0,TblTech[[#This Row],[Hour]:[Hour]]&gt;=BK$2),1,0)</f>
        <v>0</v>
      </c>
      <c r="BL36" s="329" t="n">
        <f aca="false" t="array" ref="BL36:BL36">IF(AND(BL$2&lt;&gt;0,TblTech[[#This Row],[Hour]:[Hour]]&gt;=BL$2),1,0)</f>
        <v>0</v>
      </c>
      <c r="BM36" s="329" t="n">
        <f aca="false" t="array" ref="BM36:BM36">IF(AND(BM$2&lt;&gt;0,TblTech[[#This Row],[Hour]:[Hour]]&gt;=BM$2),1,0)</f>
        <v>0</v>
      </c>
      <c r="BN36" s="329" t="n">
        <f aca="false" t="array" ref="BN36:BN36">IF(AND(BN$2&lt;&gt;0,TblTech[[#This Row],[Hour]:[Hour]]&gt;=BN$2),1,0)</f>
        <v>0</v>
      </c>
      <c r="BO36" s="329" t="n">
        <f aca="false" t="array" ref="BO36:BO36">IF(AND(BO$2&lt;&gt;0,TblTech[[#This Row],[Hour]:[Hour]]&gt;=BO$2),1,0)</f>
        <v>0</v>
      </c>
      <c r="BP36" s="329" t="n">
        <f aca="false" t="array" ref="BP36:BP36">IF(AND(BP$2&lt;&gt;0,TblTech[[#This Row],[Hour]:[Hour]]&gt;=BP$2),1,0)</f>
        <v>0</v>
      </c>
      <c r="BQ36" s="329" t="n">
        <f aca="false" t="array" ref="BQ36:BQ36">IF(AND(BQ$2&lt;&gt;0,TblTech[[#This Row],[Hour]:[Hour]]&gt;=BQ$2),1,0)</f>
        <v>0</v>
      </c>
      <c r="BR36" s="329" t="n">
        <f aca="false" t="array" ref="BR36:BR36">IF(AND(BR$2&lt;&gt;0,TblTech[[#This Row],[Hour]:[Hour]]&gt;=BR$2),1,0)</f>
        <v>0</v>
      </c>
      <c r="BS36" s="329" t="n">
        <f aca="false" t="array" ref="BS36:BS36">IF(AND(BS$2&lt;&gt;0,TblTech[[#This Row],[Hour]:[Hour]]&gt;=BS$2),1,0)</f>
        <v>0</v>
      </c>
      <c r="BT36" s="329" t="n">
        <f aca="false" t="array" ref="BT36:BT36">IF(AND(BT$2&lt;&gt;0,TblTech[[#This Row],[Hour]:[Hour]]&gt;=BT$2),1,0)</f>
        <v>0</v>
      </c>
      <c r="BU36" s="329" t="n">
        <f aca="false" t="array" ref="BU36:BU36">IF(AND(BU$2&lt;&gt;0,TblTech[[#This Row],[Hour]:[Hour]]&gt;=BU$2),1,0)</f>
        <v>0</v>
      </c>
      <c r="BV36" s="329" t="n">
        <f aca="false" t="array" ref="BV36:BV36">IF(AND(BV$2&lt;&gt;0,TblTech[[#This Row],[Hour]:[Hour]]&gt;=BV$2),1,0)</f>
        <v>0</v>
      </c>
      <c r="BW36" s="329" t="n">
        <f aca="false" t="array" ref="BW36:BW36">IF(AND(BW$2&lt;&gt;0,TblTech[[#This Row],[Hour]:[Hour]]&gt;=BW$2),1,0)</f>
        <v>0</v>
      </c>
      <c r="BX36" s="329" t="n">
        <f aca="false" t="array" ref="BX36:BX36">IF(AND(BX$2&lt;&gt;0,TblTech[[#This Row],[Hour]:[Hour]]&gt;=BX$2),1,0)</f>
        <v>0</v>
      </c>
      <c r="BY36" s="329" t="n">
        <f aca="false" t="array" ref="BY36:BY36">IF(AND(BY$2&lt;&gt;0,TblTech[[#This Row],[Hour]:[Hour]]&gt;=BY$2),1,0)</f>
        <v>0</v>
      </c>
      <c r="BZ36" s="329" t="n">
        <f aca="false" t="array" ref="BZ36:BZ36">IF(AND(BZ$2&lt;&gt;0,TblTech[[#This Row],[Hour]:[Hour]]&gt;=BZ$2),1,0)</f>
        <v>0</v>
      </c>
      <c r="CA36" s="330" t="n">
        <f aca="false">IFERROR(INDEX($H$4:$H$79,MATCH(INDEX(TblTech[[#Headers],[1-1]:[11-1]],1,MATCH(TblTech[[#This Row],[Hour]],$M$2:$BZ$2,0)),$G$4:$G$79,0)),)</f>
        <v>0</v>
      </c>
    </row>
    <row r="37" customFormat="false" ht="12.75" hidden="false" customHeight="false" outlineLevel="0" collapsed="false">
      <c r="A37" s="321" t="n">
        <f aca="false">TblRezone[[#This Row],[Hour]]</f>
        <v>34</v>
      </c>
      <c r="B37" s="322" t="n">
        <f aca="false">TblExplore[[#This Row],[Land-DB]]</f>
        <v>407</v>
      </c>
      <c r="C37" s="323" t="n">
        <f aca="false">TblProd[[#This Row],[Techpoints]]</f>
        <v>350</v>
      </c>
      <c r="D37" s="323" t="n">
        <f aca="false">TblProd[[#This Row],[Required]]</f>
        <v>3750</v>
      </c>
      <c r="E37" s="324"/>
      <c r="F37" s="325"/>
      <c r="G37" s="326" t="s">
        <v>554</v>
      </c>
      <c r="H37" s="327" t="s">
        <v>651</v>
      </c>
      <c r="I37" s="326" t="s">
        <v>652</v>
      </c>
      <c r="J37" s="322"/>
      <c r="K37" s="68" t="n">
        <f aca="false">IF(TblTech[[#This Row],[Sum of tech]]&lt;&gt;OFFSET(TblTech[[#This Row],[Sum of tech]],-1,0),1,0)</f>
        <v>0</v>
      </c>
      <c r="L37" s="328" t="n">
        <f aca="false">COUNTIF(TblTech[[#This Row],[1-1]:[11-1]],1)</f>
        <v>0</v>
      </c>
      <c r="M37" s="329" t="n">
        <f aca="false" t="array" ref="M37:M37">IF(AND(M$2&lt;&gt;0,TblTech[[#This Row],[Hour]:[Hour]]&gt;=M$2),1,0)</f>
        <v>0</v>
      </c>
      <c r="N37" s="329" t="n">
        <f aca="false" t="array" ref="N37:N37">IF(AND(N$2&lt;&gt;0,TblTech[[#This Row],[Hour]:[Hour]]&gt;=N$2),1,0)</f>
        <v>0</v>
      </c>
      <c r="O37" s="329" t="n">
        <f aca="false" t="array" ref="O37:O37">IF(AND(O$2&lt;&gt;0,TblTech[[#This Row],[Hour]:[Hour]]&gt;=O$2),1,0)</f>
        <v>0</v>
      </c>
      <c r="P37" s="329" t="n">
        <f aca="false" t="array" ref="P37:P37">IF(AND(P$2&lt;&gt;0,TblTech[[#This Row],[Hour]:[Hour]]&gt;=P$2),1,0)</f>
        <v>0</v>
      </c>
      <c r="Q37" s="329" t="n">
        <f aca="false" t="array" ref="Q37:Q37">IF(AND(Q$2&lt;&gt;0,TblTech[[#This Row],[Hour]:[Hour]]&gt;=Q$2),1,0)</f>
        <v>0</v>
      </c>
      <c r="R37" s="329" t="n">
        <f aca="false" t="array" ref="R37:R37">IF(AND(R$2&lt;&gt;0,TblTech[[#This Row],[Hour]:[Hour]]&gt;=R$2),1,0)</f>
        <v>0</v>
      </c>
      <c r="S37" s="329" t="n">
        <f aca="false" t="array" ref="S37:S37">IF(AND(S$2&lt;&gt;0,TblTech[[#This Row],[Hour]:[Hour]]&gt;=S$2),1,0)</f>
        <v>0</v>
      </c>
      <c r="T37" s="329" t="n">
        <f aca="false" t="array" ref="T37:T37">IF(AND(T$2&lt;&gt;0,TblTech[[#This Row],[Hour]:[Hour]]&gt;=T$2),1,0)</f>
        <v>0</v>
      </c>
      <c r="U37" s="329" t="n">
        <f aca="false" t="array" ref="U37:U37">IF(AND(U$2&lt;&gt;0,TblTech[[#This Row],[Hour]:[Hour]]&gt;=U$2),1,0)</f>
        <v>0</v>
      </c>
      <c r="V37" s="329" t="n">
        <f aca="false" t="array" ref="V37:V37">IF(AND(V$2&lt;&gt;0,TblTech[[#This Row],[Hour]:[Hour]]&gt;=V$2),1,0)</f>
        <v>0</v>
      </c>
      <c r="W37" s="329" t="n">
        <f aca="false" t="array" ref="W37:W37">IF(AND(W$2&lt;&gt;0,TblTech[[#This Row],[Hour]:[Hour]]&gt;=W$2),1,0)</f>
        <v>0</v>
      </c>
      <c r="X37" s="329" t="n">
        <f aca="false" t="array" ref="X37:X37">IF(AND(X$2&lt;&gt;0,TblTech[[#This Row],[Hour]:[Hour]]&gt;=X$2),1,0)</f>
        <v>0</v>
      </c>
      <c r="Y37" s="329" t="n">
        <f aca="false" t="array" ref="Y37:Y37">IF(AND(Y$2&lt;&gt;0,TblTech[[#This Row],[Hour]:[Hour]]&gt;=Y$2),1,0)</f>
        <v>0</v>
      </c>
      <c r="Z37" s="329" t="n">
        <f aca="false" t="array" ref="Z37:Z37">IF(AND(Z$2&lt;&gt;0,TblTech[[#This Row],[Hour]:[Hour]]&gt;=Z$2),1,0)</f>
        <v>0</v>
      </c>
      <c r="AA37" s="329" t="n">
        <f aca="false" t="array" ref="AA37:AA37">IF(AND(AA$2&lt;&gt;0,TblTech[[#This Row],[Hour]:[Hour]]&gt;=AA$2),1,0)</f>
        <v>0</v>
      </c>
      <c r="AB37" s="329" t="n">
        <f aca="false" t="array" ref="AB37:AB37">IF(AND(AB$2&lt;&gt;0,TblTech[[#This Row],[Hour]:[Hour]]&gt;=AB$2),1,0)</f>
        <v>0</v>
      </c>
      <c r="AC37" s="329" t="n">
        <f aca="false" t="array" ref="AC37:AC37">IF(AND(AC$2&lt;&gt;0,TblTech[[#This Row],[Hour]:[Hour]]&gt;=AC$2),1,0)</f>
        <v>0</v>
      </c>
      <c r="AD37" s="329" t="n">
        <f aca="false" t="array" ref="AD37:AD37">IF(AND(AD$2&lt;&gt;0,TblTech[[#This Row],[Hour]:[Hour]]&gt;=AD$2),1,0)</f>
        <v>0</v>
      </c>
      <c r="AE37" s="329" t="n">
        <f aca="false" t="array" ref="AE37:AE37">IF(AND(AE$2&lt;&gt;0,TblTech[[#This Row],[Hour]:[Hour]]&gt;=AE$2),1,0)</f>
        <v>0</v>
      </c>
      <c r="AF37" s="329" t="n">
        <f aca="false" t="array" ref="AF37:AF37">IF(AND(AF$2&lt;&gt;0,TblTech[[#This Row],[Hour]:[Hour]]&gt;=AF$2),1,0)</f>
        <v>0</v>
      </c>
      <c r="AG37" s="329" t="n">
        <f aca="false" t="array" ref="AG37:AG37">IF(AND(AG$2&lt;&gt;0,TblTech[[#This Row],[Hour]:[Hour]]&gt;=AG$2),1,0)</f>
        <v>0</v>
      </c>
      <c r="AH37" s="329" t="n">
        <f aca="false" t="array" ref="AH37:AH37">IF(AND(AH$2&lt;&gt;0,TblTech[[#This Row],[Hour]:[Hour]]&gt;=AH$2),1,0)</f>
        <v>0</v>
      </c>
      <c r="AI37" s="329" t="n">
        <f aca="false" t="array" ref="AI37:AI37">IF(AND(AI$2&lt;&gt;0,TblTech[[#This Row],[Hour]:[Hour]]&gt;=AI$2),1,0)</f>
        <v>0</v>
      </c>
      <c r="AJ37" s="329" t="n">
        <f aca="false" t="array" ref="AJ37:AJ37">IF(AND(AJ$2&lt;&gt;0,TblTech[[#This Row],[Hour]:[Hour]]&gt;=AJ$2),1,0)</f>
        <v>0</v>
      </c>
      <c r="AK37" s="329" t="n">
        <f aca="false" t="array" ref="AK37:AK37">IF(AND(AK$2&lt;&gt;0,TblTech[[#This Row],[Hour]:[Hour]]&gt;=AK$2),1,0)</f>
        <v>0</v>
      </c>
      <c r="AL37" s="329" t="n">
        <f aca="false" t="array" ref="AL37:AL37">IF(AND(AL$2&lt;&gt;0,TblTech[[#This Row],[Hour]:[Hour]]&gt;=AL$2),1,0)</f>
        <v>0</v>
      </c>
      <c r="AM37" s="329" t="n">
        <f aca="false" t="array" ref="AM37:AM37">IF(AND(AM$2&lt;&gt;0,TblTech[[#This Row],[Hour]:[Hour]]&gt;=AM$2),1,0)</f>
        <v>0</v>
      </c>
      <c r="AN37" s="329" t="n">
        <f aca="false" t="array" ref="AN37:AN37">IF(AND(AN$2&lt;&gt;0,TblTech[[#This Row],[Hour]:[Hour]]&gt;=AN$2),1,0)</f>
        <v>0</v>
      </c>
      <c r="AO37" s="329" t="n">
        <f aca="false" t="array" ref="AO37:AO37">IF(AND(AO$2&lt;&gt;0,TblTech[[#This Row],[Hour]:[Hour]]&gt;=AO$2),1,0)</f>
        <v>0</v>
      </c>
      <c r="AP37" s="329" t="n">
        <f aca="false" t="array" ref="AP37:AP37">IF(AND(AP$2&lt;&gt;0,TblTech[[#This Row],[Hour]:[Hour]]&gt;=AP$2),1,0)</f>
        <v>0</v>
      </c>
      <c r="AQ37" s="329" t="n">
        <f aca="false" t="array" ref="AQ37:AQ37">IF(AND(AQ$2&lt;&gt;0,TblTech[[#This Row],[Hour]:[Hour]]&gt;=AQ$2),1,0)</f>
        <v>0</v>
      </c>
      <c r="AR37" s="329" t="n">
        <f aca="false" t="array" ref="AR37:AR37">IF(AND(AR$2&lt;&gt;0,TblTech[[#This Row],[Hour]:[Hour]]&gt;=AR$2),1,0)</f>
        <v>0</v>
      </c>
      <c r="AS37" s="329" t="n">
        <f aca="false" t="array" ref="AS37:AS37">IF(AND(AS$2&lt;&gt;0,TblTech[[#This Row],[Hour]:[Hour]]&gt;=AS$2),1,0)</f>
        <v>0</v>
      </c>
      <c r="AT37" s="329" t="n">
        <f aca="false" t="array" ref="AT37:AT37">IF(AND(AT$2&lt;&gt;0,TblTech[[#This Row],[Hour]:[Hour]]&gt;=AT$2),1,0)</f>
        <v>0</v>
      </c>
      <c r="AU37" s="329" t="n">
        <f aca="false" t="array" ref="AU37:AU37">IF(AND(AU$2&lt;&gt;0,TblTech[[#This Row],[Hour]:[Hour]]&gt;=AU$2),1,0)</f>
        <v>0</v>
      </c>
      <c r="AV37" s="329" t="n">
        <f aca="false" t="array" ref="AV37:AV37">IF(AND(AV$2&lt;&gt;0,TblTech[[#This Row],[Hour]:[Hour]]&gt;=AV$2),1,0)</f>
        <v>0</v>
      </c>
      <c r="AW37" s="329" t="n">
        <f aca="false" t="array" ref="AW37:AW37">IF(AND(AW$2&lt;&gt;0,TblTech[[#This Row],[Hour]:[Hour]]&gt;=AW$2),1,0)</f>
        <v>0</v>
      </c>
      <c r="AX37" s="329" t="n">
        <f aca="false" t="array" ref="AX37:AX37">IF(AND(AX$2&lt;&gt;0,TblTech[[#This Row],[Hour]:[Hour]]&gt;=AX$2),1,0)</f>
        <v>0</v>
      </c>
      <c r="AY37" s="329" t="n">
        <f aca="false" t="array" ref="AY37:AY37">IF(AND(AY$2&lt;&gt;0,TblTech[[#This Row],[Hour]:[Hour]]&gt;=AY$2),1,0)</f>
        <v>0</v>
      </c>
      <c r="AZ37" s="329" t="n">
        <f aca="false" t="array" ref="AZ37:AZ37">IF(AND(AZ$2&lt;&gt;0,TblTech[[#This Row],[Hour]:[Hour]]&gt;=AZ$2),1,0)</f>
        <v>0</v>
      </c>
      <c r="BA37" s="329" t="n">
        <f aca="false" t="array" ref="BA37:BA37">IF(AND(BA$2&lt;&gt;0,TblTech[[#This Row],[Hour]:[Hour]]&gt;=BA$2),1,0)</f>
        <v>0</v>
      </c>
      <c r="BB37" s="329" t="n">
        <f aca="false" t="array" ref="BB37:BB37">IF(AND(BB$2&lt;&gt;0,TblTech[[#This Row],[Hour]:[Hour]]&gt;=BB$2),1,0)</f>
        <v>0</v>
      </c>
      <c r="BC37" s="329" t="n">
        <f aca="false" t="array" ref="BC37:BC37">IF(AND(BC$2&lt;&gt;0,TblTech[[#This Row],[Hour]:[Hour]]&gt;=BC$2),1,0)</f>
        <v>0</v>
      </c>
      <c r="BD37" s="329" t="n">
        <f aca="false" t="array" ref="BD37:BD37">IF(AND(BD$2&lt;&gt;0,TblTech[[#This Row],[Hour]:[Hour]]&gt;=BD$2),1,0)</f>
        <v>0</v>
      </c>
      <c r="BE37" s="329" t="n">
        <f aca="false" t="array" ref="BE37:BE37">IF(AND(BE$2&lt;&gt;0,TblTech[[#This Row],[Hour]:[Hour]]&gt;=BE$2),1,0)</f>
        <v>0</v>
      </c>
      <c r="BF37" s="329" t="n">
        <f aca="false" t="array" ref="BF37:BF37">IF(AND(BF$2&lt;&gt;0,TblTech[[#This Row],[Hour]:[Hour]]&gt;=BF$2),1,0)</f>
        <v>0</v>
      </c>
      <c r="BG37" s="329" t="n">
        <f aca="false" t="array" ref="BG37:BG37">IF(AND(BG$2&lt;&gt;0,TblTech[[#This Row],[Hour]:[Hour]]&gt;=BG$2),1,0)</f>
        <v>0</v>
      </c>
      <c r="BH37" s="329" t="n">
        <f aca="false" t="array" ref="BH37:BH37">IF(AND(BH$2&lt;&gt;0,TblTech[[#This Row],[Hour]:[Hour]]&gt;=BH$2),1,0)</f>
        <v>0</v>
      </c>
      <c r="BI37" s="329" t="n">
        <f aca="false" t="array" ref="BI37:BI37">IF(AND(BI$2&lt;&gt;0,TblTech[[#This Row],[Hour]:[Hour]]&gt;=BI$2),1,0)</f>
        <v>0</v>
      </c>
      <c r="BJ37" s="329" t="n">
        <f aca="false" t="array" ref="BJ37:BJ37">IF(AND(BJ$2&lt;&gt;0,TblTech[[#This Row],[Hour]:[Hour]]&gt;=BJ$2),1,0)</f>
        <v>0</v>
      </c>
      <c r="BK37" s="329" t="n">
        <f aca="false" t="array" ref="BK37:BK37">IF(AND(BK$2&lt;&gt;0,TblTech[[#This Row],[Hour]:[Hour]]&gt;=BK$2),1,0)</f>
        <v>0</v>
      </c>
      <c r="BL37" s="329" t="n">
        <f aca="false" t="array" ref="BL37:BL37">IF(AND(BL$2&lt;&gt;0,TblTech[[#This Row],[Hour]:[Hour]]&gt;=BL$2),1,0)</f>
        <v>0</v>
      </c>
      <c r="BM37" s="329" t="n">
        <f aca="false" t="array" ref="BM37:BM37">IF(AND(BM$2&lt;&gt;0,TblTech[[#This Row],[Hour]:[Hour]]&gt;=BM$2),1,0)</f>
        <v>0</v>
      </c>
      <c r="BN37" s="329" t="n">
        <f aca="false" t="array" ref="BN37:BN37">IF(AND(BN$2&lt;&gt;0,TblTech[[#This Row],[Hour]:[Hour]]&gt;=BN$2),1,0)</f>
        <v>0</v>
      </c>
      <c r="BO37" s="329" t="n">
        <f aca="false" t="array" ref="BO37:BO37">IF(AND(BO$2&lt;&gt;0,TblTech[[#This Row],[Hour]:[Hour]]&gt;=BO$2),1,0)</f>
        <v>0</v>
      </c>
      <c r="BP37" s="329" t="n">
        <f aca="false" t="array" ref="BP37:BP37">IF(AND(BP$2&lt;&gt;0,TblTech[[#This Row],[Hour]:[Hour]]&gt;=BP$2),1,0)</f>
        <v>0</v>
      </c>
      <c r="BQ37" s="329" t="n">
        <f aca="false" t="array" ref="BQ37:BQ37">IF(AND(BQ$2&lt;&gt;0,TblTech[[#This Row],[Hour]:[Hour]]&gt;=BQ$2),1,0)</f>
        <v>0</v>
      </c>
      <c r="BR37" s="329" t="n">
        <f aca="false" t="array" ref="BR37:BR37">IF(AND(BR$2&lt;&gt;0,TblTech[[#This Row],[Hour]:[Hour]]&gt;=BR$2),1,0)</f>
        <v>0</v>
      </c>
      <c r="BS37" s="329" t="n">
        <f aca="false" t="array" ref="BS37:BS37">IF(AND(BS$2&lt;&gt;0,TblTech[[#This Row],[Hour]:[Hour]]&gt;=BS$2),1,0)</f>
        <v>0</v>
      </c>
      <c r="BT37" s="329" t="n">
        <f aca="false" t="array" ref="BT37:BT37">IF(AND(BT$2&lt;&gt;0,TblTech[[#This Row],[Hour]:[Hour]]&gt;=BT$2),1,0)</f>
        <v>0</v>
      </c>
      <c r="BU37" s="329" t="n">
        <f aca="false" t="array" ref="BU37:BU37">IF(AND(BU$2&lt;&gt;0,TblTech[[#This Row],[Hour]:[Hour]]&gt;=BU$2),1,0)</f>
        <v>0</v>
      </c>
      <c r="BV37" s="329" t="n">
        <f aca="false" t="array" ref="BV37:BV37">IF(AND(BV$2&lt;&gt;0,TblTech[[#This Row],[Hour]:[Hour]]&gt;=BV$2),1,0)</f>
        <v>0</v>
      </c>
      <c r="BW37" s="329" t="n">
        <f aca="false" t="array" ref="BW37:BW37">IF(AND(BW$2&lt;&gt;0,TblTech[[#This Row],[Hour]:[Hour]]&gt;=BW$2),1,0)</f>
        <v>0</v>
      </c>
      <c r="BX37" s="329" t="n">
        <f aca="false" t="array" ref="BX37:BX37">IF(AND(BX$2&lt;&gt;0,TblTech[[#This Row],[Hour]:[Hour]]&gt;=BX$2),1,0)</f>
        <v>0</v>
      </c>
      <c r="BY37" s="329" t="n">
        <f aca="false" t="array" ref="BY37:BY37">IF(AND(BY$2&lt;&gt;0,TblTech[[#This Row],[Hour]:[Hour]]&gt;=BY$2),1,0)</f>
        <v>0</v>
      </c>
      <c r="BZ37" s="329" t="n">
        <f aca="false" t="array" ref="BZ37:BZ37">IF(AND(BZ$2&lt;&gt;0,TblTech[[#This Row],[Hour]:[Hour]]&gt;=BZ$2),1,0)</f>
        <v>0</v>
      </c>
      <c r="CA37" s="330" t="n">
        <f aca="false">IFERROR(INDEX($H$4:$H$79,MATCH(INDEX(TblTech[[#Headers],[1-1]:[11-1]],1,MATCH(TblTech[[#This Row],[Hour]],$M$2:$BZ$2,0)),$G$4:$G$79,0)),)</f>
        <v>0</v>
      </c>
    </row>
    <row r="38" customFormat="false" ht="12.75" hidden="false" customHeight="false" outlineLevel="0" collapsed="false">
      <c r="A38" s="321" t="n">
        <f aca="false">TblRezone[[#This Row],[Hour]]</f>
        <v>35</v>
      </c>
      <c r="B38" s="322" t="n">
        <f aca="false">TblExplore[[#This Row],[Land-DB]]</f>
        <v>409</v>
      </c>
      <c r="C38" s="323" t="n">
        <f aca="false">TblProd[[#This Row],[Techpoints]]</f>
        <v>350</v>
      </c>
      <c r="D38" s="323" t="n">
        <f aca="false">TblProd[[#This Row],[Required]]</f>
        <v>3750</v>
      </c>
      <c r="E38" s="324"/>
      <c r="F38" s="325"/>
      <c r="G38" s="326" t="s">
        <v>555</v>
      </c>
      <c r="H38" s="327" t="s">
        <v>653</v>
      </c>
      <c r="I38" s="326" t="s">
        <v>654</v>
      </c>
      <c r="J38" s="322"/>
      <c r="K38" s="68" t="n">
        <f aca="false">IF(TblTech[[#This Row],[Sum of tech]]&lt;&gt;OFFSET(TblTech[[#This Row],[Sum of tech]],-1,0),1,0)</f>
        <v>0</v>
      </c>
      <c r="L38" s="328" t="n">
        <f aca="false">COUNTIF(TblTech[[#This Row],[1-1]:[11-1]],1)</f>
        <v>0</v>
      </c>
      <c r="M38" s="329" t="n">
        <f aca="false" t="array" ref="M38:M38">IF(AND(M$2&lt;&gt;0,TblTech[[#This Row],[Hour]:[Hour]]&gt;=M$2),1,0)</f>
        <v>0</v>
      </c>
      <c r="N38" s="329" t="n">
        <f aca="false" t="array" ref="N38:N38">IF(AND(N$2&lt;&gt;0,TblTech[[#This Row],[Hour]:[Hour]]&gt;=N$2),1,0)</f>
        <v>0</v>
      </c>
      <c r="O38" s="329" t="n">
        <f aca="false" t="array" ref="O38:O38">IF(AND(O$2&lt;&gt;0,TblTech[[#This Row],[Hour]:[Hour]]&gt;=O$2),1,0)</f>
        <v>0</v>
      </c>
      <c r="P38" s="329" t="n">
        <f aca="false" t="array" ref="P38:P38">IF(AND(P$2&lt;&gt;0,TblTech[[#This Row],[Hour]:[Hour]]&gt;=P$2),1,0)</f>
        <v>0</v>
      </c>
      <c r="Q38" s="329" t="n">
        <f aca="false" t="array" ref="Q38:Q38">IF(AND(Q$2&lt;&gt;0,TblTech[[#This Row],[Hour]:[Hour]]&gt;=Q$2),1,0)</f>
        <v>0</v>
      </c>
      <c r="R38" s="329" t="n">
        <f aca="false" t="array" ref="R38:R38">IF(AND(R$2&lt;&gt;0,TblTech[[#This Row],[Hour]:[Hour]]&gt;=R$2),1,0)</f>
        <v>0</v>
      </c>
      <c r="S38" s="329" t="n">
        <f aca="false" t="array" ref="S38:S38">IF(AND(S$2&lt;&gt;0,TblTech[[#This Row],[Hour]:[Hour]]&gt;=S$2),1,0)</f>
        <v>0</v>
      </c>
      <c r="T38" s="329" t="n">
        <f aca="false" t="array" ref="T38:T38">IF(AND(T$2&lt;&gt;0,TblTech[[#This Row],[Hour]:[Hour]]&gt;=T$2),1,0)</f>
        <v>0</v>
      </c>
      <c r="U38" s="329" t="n">
        <f aca="false" t="array" ref="U38:U38">IF(AND(U$2&lt;&gt;0,TblTech[[#This Row],[Hour]:[Hour]]&gt;=U$2),1,0)</f>
        <v>0</v>
      </c>
      <c r="V38" s="329" t="n">
        <f aca="false" t="array" ref="V38:V38">IF(AND(V$2&lt;&gt;0,TblTech[[#This Row],[Hour]:[Hour]]&gt;=V$2),1,0)</f>
        <v>0</v>
      </c>
      <c r="W38" s="329" t="n">
        <f aca="false" t="array" ref="W38:W38">IF(AND(W$2&lt;&gt;0,TblTech[[#This Row],[Hour]:[Hour]]&gt;=W$2),1,0)</f>
        <v>0</v>
      </c>
      <c r="X38" s="329" t="n">
        <f aca="false" t="array" ref="X38:X38">IF(AND(X$2&lt;&gt;0,TblTech[[#This Row],[Hour]:[Hour]]&gt;=X$2),1,0)</f>
        <v>0</v>
      </c>
      <c r="Y38" s="329" t="n">
        <f aca="false" t="array" ref="Y38:Y38">IF(AND(Y$2&lt;&gt;0,TblTech[[#This Row],[Hour]:[Hour]]&gt;=Y$2),1,0)</f>
        <v>0</v>
      </c>
      <c r="Z38" s="329" t="n">
        <f aca="false" t="array" ref="Z38:Z38">IF(AND(Z$2&lt;&gt;0,TblTech[[#This Row],[Hour]:[Hour]]&gt;=Z$2),1,0)</f>
        <v>0</v>
      </c>
      <c r="AA38" s="329" t="n">
        <f aca="false" t="array" ref="AA38:AA38">IF(AND(AA$2&lt;&gt;0,TblTech[[#This Row],[Hour]:[Hour]]&gt;=AA$2),1,0)</f>
        <v>0</v>
      </c>
      <c r="AB38" s="329" t="n">
        <f aca="false" t="array" ref="AB38:AB38">IF(AND(AB$2&lt;&gt;0,TblTech[[#This Row],[Hour]:[Hour]]&gt;=AB$2),1,0)</f>
        <v>0</v>
      </c>
      <c r="AC38" s="329" t="n">
        <f aca="false" t="array" ref="AC38:AC38">IF(AND(AC$2&lt;&gt;0,TblTech[[#This Row],[Hour]:[Hour]]&gt;=AC$2),1,0)</f>
        <v>0</v>
      </c>
      <c r="AD38" s="329" t="n">
        <f aca="false" t="array" ref="AD38:AD38">IF(AND(AD$2&lt;&gt;0,TblTech[[#This Row],[Hour]:[Hour]]&gt;=AD$2),1,0)</f>
        <v>0</v>
      </c>
      <c r="AE38" s="329" t="n">
        <f aca="false" t="array" ref="AE38:AE38">IF(AND(AE$2&lt;&gt;0,TblTech[[#This Row],[Hour]:[Hour]]&gt;=AE$2),1,0)</f>
        <v>0</v>
      </c>
      <c r="AF38" s="329" t="n">
        <f aca="false" t="array" ref="AF38:AF38">IF(AND(AF$2&lt;&gt;0,TblTech[[#This Row],[Hour]:[Hour]]&gt;=AF$2),1,0)</f>
        <v>0</v>
      </c>
      <c r="AG38" s="329" t="n">
        <f aca="false" t="array" ref="AG38:AG38">IF(AND(AG$2&lt;&gt;0,TblTech[[#This Row],[Hour]:[Hour]]&gt;=AG$2),1,0)</f>
        <v>0</v>
      </c>
      <c r="AH38" s="329" t="n">
        <f aca="false" t="array" ref="AH38:AH38">IF(AND(AH$2&lt;&gt;0,TblTech[[#This Row],[Hour]:[Hour]]&gt;=AH$2),1,0)</f>
        <v>0</v>
      </c>
      <c r="AI38" s="329" t="n">
        <f aca="false" t="array" ref="AI38:AI38">IF(AND(AI$2&lt;&gt;0,TblTech[[#This Row],[Hour]:[Hour]]&gt;=AI$2),1,0)</f>
        <v>0</v>
      </c>
      <c r="AJ38" s="329" t="n">
        <f aca="false" t="array" ref="AJ38:AJ38">IF(AND(AJ$2&lt;&gt;0,TblTech[[#This Row],[Hour]:[Hour]]&gt;=AJ$2),1,0)</f>
        <v>0</v>
      </c>
      <c r="AK38" s="329" t="n">
        <f aca="false" t="array" ref="AK38:AK38">IF(AND(AK$2&lt;&gt;0,TblTech[[#This Row],[Hour]:[Hour]]&gt;=AK$2),1,0)</f>
        <v>0</v>
      </c>
      <c r="AL38" s="329" t="n">
        <f aca="false" t="array" ref="AL38:AL38">IF(AND(AL$2&lt;&gt;0,TblTech[[#This Row],[Hour]:[Hour]]&gt;=AL$2),1,0)</f>
        <v>0</v>
      </c>
      <c r="AM38" s="329" t="n">
        <f aca="false" t="array" ref="AM38:AM38">IF(AND(AM$2&lt;&gt;0,TblTech[[#This Row],[Hour]:[Hour]]&gt;=AM$2),1,0)</f>
        <v>0</v>
      </c>
      <c r="AN38" s="329" t="n">
        <f aca="false" t="array" ref="AN38:AN38">IF(AND(AN$2&lt;&gt;0,TblTech[[#This Row],[Hour]:[Hour]]&gt;=AN$2),1,0)</f>
        <v>0</v>
      </c>
      <c r="AO38" s="329" t="n">
        <f aca="false" t="array" ref="AO38:AO38">IF(AND(AO$2&lt;&gt;0,TblTech[[#This Row],[Hour]:[Hour]]&gt;=AO$2),1,0)</f>
        <v>0</v>
      </c>
      <c r="AP38" s="329" t="n">
        <f aca="false" t="array" ref="AP38:AP38">IF(AND(AP$2&lt;&gt;0,TblTech[[#This Row],[Hour]:[Hour]]&gt;=AP$2),1,0)</f>
        <v>0</v>
      </c>
      <c r="AQ38" s="329" t="n">
        <f aca="false" t="array" ref="AQ38:AQ38">IF(AND(AQ$2&lt;&gt;0,TblTech[[#This Row],[Hour]:[Hour]]&gt;=AQ$2),1,0)</f>
        <v>0</v>
      </c>
      <c r="AR38" s="329" t="n">
        <f aca="false" t="array" ref="AR38:AR38">IF(AND(AR$2&lt;&gt;0,TblTech[[#This Row],[Hour]:[Hour]]&gt;=AR$2),1,0)</f>
        <v>0</v>
      </c>
      <c r="AS38" s="329" t="n">
        <f aca="false" t="array" ref="AS38:AS38">IF(AND(AS$2&lt;&gt;0,TblTech[[#This Row],[Hour]:[Hour]]&gt;=AS$2),1,0)</f>
        <v>0</v>
      </c>
      <c r="AT38" s="329" t="n">
        <f aca="false" t="array" ref="AT38:AT38">IF(AND(AT$2&lt;&gt;0,TblTech[[#This Row],[Hour]:[Hour]]&gt;=AT$2),1,0)</f>
        <v>0</v>
      </c>
      <c r="AU38" s="329" t="n">
        <f aca="false" t="array" ref="AU38:AU38">IF(AND(AU$2&lt;&gt;0,TblTech[[#This Row],[Hour]:[Hour]]&gt;=AU$2),1,0)</f>
        <v>0</v>
      </c>
      <c r="AV38" s="329" t="n">
        <f aca="false" t="array" ref="AV38:AV38">IF(AND(AV$2&lt;&gt;0,TblTech[[#This Row],[Hour]:[Hour]]&gt;=AV$2),1,0)</f>
        <v>0</v>
      </c>
      <c r="AW38" s="329" t="n">
        <f aca="false" t="array" ref="AW38:AW38">IF(AND(AW$2&lt;&gt;0,TblTech[[#This Row],[Hour]:[Hour]]&gt;=AW$2),1,0)</f>
        <v>0</v>
      </c>
      <c r="AX38" s="329" t="n">
        <f aca="false" t="array" ref="AX38:AX38">IF(AND(AX$2&lt;&gt;0,TblTech[[#This Row],[Hour]:[Hour]]&gt;=AX$2),1,0)</f>
        <v>0</v>
      </c>
      <c r="AY38" s="329" t="n">
        <f aca="false" t="array" ref="AY38:AY38">IF(AND(AY$2&lt;&gt;0,TblTech[[#This Row],[Hour]:[Hour]]&gt;=AY$2),1,0)</f>
        <v>0</v>
      </c>
      <c r="AZ38" s="329" t="n">
        <f aca="false" t="array" ref="AZ38:AZ38">IF(AND(AZ$2&lt;&gt;0,TblTech[[#This Row],[Hour]:[Hour]]&gt;=AZ$2),1,0)</f>
        <v>0</v>
      </c>
      <c r="BA38" s="329" t="n">
        <f aca="false" t="array" ref="BA38:BA38">IF(AND(BA$2&lt;&gt;0,TblTech[[#This Row],[Hour]:[Hour]]&gt;=BA$2),1,0)</f>
        <v>0</v>
      </c>
      <c r="BB38" s="329" t="n">
        <f aca="false" t="array" ref="BB38:BB38">IF(AND(BB$2&lt;&gt;0,TblTech[[#This Row],[Hour]:[Hour]]&gt;=BB$2),1,0)</f>
        <v>0</v>
      </c>
      <c r="BC38" s="329" t="n">
        <f aca="false" t="array" ref="BC38:BC38">IF(AND(BC$2&lt;&gt;0,TblTech[[#This Row],[Hour]:[Hour]]&gt;=BC$2),1,0)</f>
        <v>0</v>
      </c>
      <c r="BD38" s="329" t="n">
        <f aca="false" t="array" ref="BD38:BD38">IF(AND(BD$2&lt;&gt;0,TblTech[[#This Row],[Hour]:[Hour]]&gt;=BD$2),1,0)</f>
        <v>0</v>
      </c>
      <c r="BE38" s="329" t="n">
        <f aca="false" t="array" ref="BE38:BE38">IF(AND(BE$2&lt;&gt;0,TblTech[[#This Row],[Hour]:[Hour]]&gt;=BE$2),1,0)</f>
        <v>0</v>
      </c>
      <c r="BF38" s="329" t="n">
        <f aca="false" t="array" ref="BF38:BF38">IF(AND(BF$2&lt;&gt;0,TblTech[[#This Row],[Hour]:[Hour]]&gt;=BF$2),1,0)</f>
        <v>0</v>
      </c>
      <c r="BG38" s="329" t="n">
        <f aca="false" t="array" ref="BG38:BG38">IF(AND(BG$2&lt;&gt;0,TblTech[[#This Row],[Hour]:[Hour]]&gt;=BG$2),1,0)</f>
        <v>0</v>
      </c>
      <c r="BH38" s="329" t="n">
        <f aca="false" t="array" ref="BH38:BH38">IF(AND(BH$2&lt;&gt;0,TblTech[[#This Row],[Hour]:[Hour]]&gt;=BH$2),1,0)</f>
        <v>0</v>
      </c>
      <c r="BI38" s="329" t="n">
        <f aca="false" t="array" ref="BI38:BI38">IF(AND(BI$2&lt;&gt;0,TblTech[[#This Row],[Hour]:[Hour]]&gt;=BI$2),1,0)</f>
        <v>0</v>
      </c>
      <c r="BJ38" s="329" t="n">
        <f aca="false" t="array" ref="BJ38:BJ38">IF(AND(BJ$2&lt;&gt;0,TblTech[[#This Row],[Hour]:[Hour]]&gt;=BJ$2),1,0)</f>
        <v>0</v>
      </c>
      <c r="BK38" s="329" t="n">
        <f aca="false" t="array" ref="BK38:BK38">IF(AND(BK$2&lt;&gt;0,TblTech[[#This Row],[Hour]:[Hour]]&gt;=BK$2),1,0)</f>
        <v>0</v>
      </c>
      <c r="BL38" s="329" t="n">
        <f aca="false" t="array" ref="BL38:BL38">IF(AND(BL$2&lt;&gt;0,TblTech[[#This Row],[Hour]:[Hour]]&gt;=BL$2),1,0)</f>
        <v>0</v>
      </c>
      <c r="BM38" s="329" t="n">
        <f aca="false" t="array" ref="BM38:BM38">IF(AND(BM$2&lt;&gt;0,TblTech[[#This Row],[Hour]:[Hour]]&gt;=BM$2),1,0)</f>
        <v>0</v>
      </c>
      <c r="BN38" s="329" t="n">
        <f aca="false" t="array" ref="BN38:BN38">IF(AND(BN$2&lt;&gt;0,TblTech[[#This Row],[Hour]:[Hour]]&gt;=BN$2),1,0)</f>
        <v>0</v>
      </c>
      <c r="BO38" s="329" t="n">
        <f aca="false" t="array" ref="BO38:BO38">IF(AND(BO$2&lt;&gt;0,TblTech[[#This Row],[Hour]:[Hour]]&gt;=BO$2),1,0)</f>
        <v>0</v>
      </c>
      <c r="BP38" s="329" t="n">
        <f aca="false" t="array" ref="BP38:BP38">IF(AND(BP$2&lt;&gt;0,TblTech[[#This Row],[Hour]:[Hour]]&gt;=BP$2),1,0)</f>
        <v>0</v>
      </c>
      <c r="BQ38" s="329" t="n">
        <f aca="false" t="array" ref="BQ38:BQ38">IF(AND(BQ$2&lt;&gt;0,TblTech[[#This Row],[Hour]:[Hour]]&gt;=BQ$2),1,0)</f>
        <v>0</v>
      </c>
      <c r="BR38" s="329" t="n">
        <f aca="false" t="array" ref="BR38:BR38">IF(AND(BR$2&lt;&gt;0,TblTech[[#This Row],[Hour]:[Hour]]&gt;=BR$2),1,0)</f>
        <v>0</v>
      </c>
      <c r="BS38" s="329" t="n">
        <f aca="false" t="array" ref="BS38:BS38">IF(AND(BS$2&lt;&gt;0,TblTech[[#This Row],[Hour]:[Hour]]&gt;=BS$2),1,0)</f>
        <v>0</v>
      </c>
      <c r="BT38" s="329" t="n">
        <f aca="false" t="array" ref="BT38:BT38">IF(AND(BT$2&lt;&gt;0,TblTech[[#This Row],[Hour]:[Hour]]&gt;=BT$2),1,0)</f>
        <v>0</v>
      </c>
      <c r="BU38" s="329" t="n">
        <f aca="false" t="array" ref="BU38:BU38">IF(AND(BU$2&lt;&gt;0,TblTech[[#This Row],[Hour]:[Hour]]&gt;=BU$2),1,0)</f>
        <v>0</v>
      </c>
      <c r="BV38" s="329" t="n">
        <f aca="false" t="array" ref="BV38:BV38">IF(AND(BV$2&lt;&gt;0,TblTech[[#This Row],[Hour]:[Hour]]&gt;=BV$2),1,0)</f>
        <v>0</v>
      </c>
      <c r="BW38" s="329" t="n">
        <f aca="false" t="array" ref="BW38:BW38">IF(AND(BW$2&lt;&gt;0,TblTech[[#This Row],[Hour]:[Hour]]&gt;=BW$2),1,0)</f>
        <v>0</v>
      </c>
      <c r="BX38" s="329" t="n">
        <f aca="false" t="array" ref="BX38:BX38">IF(AND(BX$2&lt;&gt;0,TblTech[[#This Row],[Hour]:[Hour]]&gt;=BX$2),1,0)</f>
        <v>0</v>
      </c>
      <c r="BY38" s="329" t="n">
        <f aca="false" t="array" ref="BY38:BY38">IF(AND(BY$2&lt;&gt;0,TblTech[[#This Row],[Hour]:[Hour]]&gt;=BY$2),1,0)</f>
        <v>0</v>
      </c>
      <c r="BZ38" s="329" t="n">
        <f aca="false" t="array" ref="BZ38:BZ38">IF(AND(BZ$2&lt;&gt;0,TblTech[[#This Row],[Hour]:[Hour]]&gt;=BZ$2),1,0)</f>
        <v>0</v>
      </c>
      <c r="CA38" s="330" t="n">
        <f aca="false">IFERROR(INDEX($H$4:$H$79,MATCH(INDEX(TblTech[[#Headers],[1-1]:[11-1]],1,MATCH(TblTech[[#This Row],[Hour]],$M$2:$BZ$2,0)),$G$4:$G$79,0)),)</f>
        <v>0</v>
      </c>
    </row>
    <row r="39" customFormat="false" ht="12.75" hidden="false" customHeight="false" outlineLevel="0" collapsed="false">
      <c r="A39" s="321" t="n">
        <f aca="false">TblRezone[[#This Row],[Hour]]</f>
        <v>36</v>
      </c>
      <c r="B39" s="322" t="n">
        <f aca="false">TblExplore[[#This Row],[Land-DB]]</f>
        <v>419</v>
      </c>
      <c r="C39" s="323" t="n">
        <f aca="false">TblProd[[#This Row],[Techpoints]]</f>
        <v>350</v>
      </c>
      <c r="D39" s="323" t="n">
        <f aca="false">TblProd[[#This Row],[Required]]</f>
        <v>3750</v>
      </c>
      <c r="E39" s="324"/>
      <c r="F39" s="325"/>
      <c r="G39" s="326" t="s">
        <v>556</v>
      </c>
      <c r="H39" s="327" t="s">
        <v>655</v>
      </c>
      <c r="I39" s="326" t="s">
        <v>656</v>
      </c>
      <c r="J39" s="322"/>
      <c r="K39" s="68" t="n">
        <f aca="false">IF(TblTech[[#This Row],[Sum of tech]]&lt;&gt;OFFSET(TblTech[[#This Row],[Sum of tech]],-1,0),1,0)</f>
        <v>0</v>
      </c>
      <c r="L39" s="328" t="n">
        <f aca="false">COUNTIF(TblTech[[#This Row],[1-1]:[11-1]],1)</f>
        <v>0</v>
      </c>
      <c r="M39" s="329" t="n">
        <f aca="false" t="array" ref="M39:M39">IF(AND(M$2&lt;&gt;0,TblTech[[#This Row],[Hour]:[Hour]]&gt;=M$2),1,0)</f>
        <v>0</v>
      </c>
      <c r="N39" s="329" t="n">
        <f aca="false" t="array" ref="N39:N39">IF(AND(N$2&lt;&gt;0,TblTech[[#This Row],[Hour]:[Hour]]&gt;=N$2),1,0)</f>
        <v>0</v>
      </c>
      <c r="O39" s="329" t="n">
        <f aca="false" t="array" ref="O39:O39">IF(AND(O$2&lt;&gt;0,TblTech[[#This Row],[Hour]:[Hour]]&gt;=O$2),1,0)</f>
        <v>0</v>
      </c>
      <c r="P39" s="329" t="n">
        <f aca="false" t="array" ref="P39:P39">IF(AND(P$2&lt;&gt;0,TblTech[[#This Row],[Hour]:[Hour]]&gt;=P$2),1,0)</f>
        <v>0</v>
      </c>
      <c r="Q39" s="329" t="n">
        <f aca="false" t="array" ref="Q39:Q39">IF(AND(Q$2&lt;&gt;0,TblTech[[#This Row],[Hour]:[Hour]]&gt;=Q$2),1,0)</f>
        <v>0</v>
      </c>
      <c r="R39" s="329" t="n">
        <f aca="false" t="array" ref="R39:R39">IF(AND(R$2&lt;&gt;0,TblTech[[#This Row],[Hour]:[Hour]]&gt;=R$2),1,0)</f>
        <v>0</v>
      </c>
      <c r="S39" s="329" t="n">
        <f aca="false" t="array" ref="S39:S39">IF(AND(S$2&lt;&gt;0,TblTech[[#This Row],[Hour]:[Hour]]&gt;=S$2),1,0)</f>
        <v>0</v>
      </c>
      <c r="T39" s="329" t="n">
        <f aca="false" t="array" ref="T39:T39">IF(AND(T$2&lt;&gt;0,TblTech[[#This Row],[Hour]:[Hour]]&gt;=T$2),1,0)</f>
        <v>0</v>
      </c>
      <c r="U39" s="329" t="n">
        <f aca="false" t="array" ref="U39:U39">IF(AND(U$2&lt;&gt;0,TblTech[[#This Row],[Hour]:[Hour]]&gt;=U$2),1,0)</f>
        <v>0</v>
      </c>
      <c r="V39" s="329" t="n">
        <f aca="false" t="array" ref="V39:V39">IF(AND(V$2&lt;&gt;0,TblTech[[#This Row],[Hour]:[Hour]]&gt;=V$2),1,0)</f>
        <v>0</v>
      </c>
      <c r="W39" s="329" t="n">
        <f aca="false" t="array" ref="W39:W39">IF(AND(W$2&lt;&gt;0,TblTech[[#This Row],[Hour]:[Hour]]&gt;=W$2),1,0)</f>
        <v>0</v>
      </c>
      <c r="X39" s="329" t="n">
        <f aca="false" t="array" ref="X39:X39">IF(AND(X$2&lt;&gt;0,TblTech[[#This Row],[Hour]:[Hour]]&gt;=X$2),1,0)</f>
        <v>0</v>
      </c>
      <c r="Y39" s="329" t="n">
        <f aca="false" t="array" ref="Y39:Y39">IF(AND(Y$2&lt;&gt;0,TblTech[[#This Row],[Hour]:[Hour]]&gt;=Y$2),1,0)</f>
        <v>0</v>
      </c>
      <c r="Z39" s="329" t="n">
        <f aca="false" t="array" ref="Z39:Z39">IF(AND(Z$2&lt;&gt;0,TblTech[[#This Row],[Hour]:[Hour]]&gt;=Z$2),1,0)</f>
        <v>0</v>
      </c>
      <c r="AA39" s="329" t="n">
        <f aca="false" t="array" ref="AA39:AA39">IF(AND(AA$2&lt;&gt;0,TblTech[[#This Row],[Hour]:[Hour]]&gt;=AA$2),1,0)</f>
        <v>0</v>
      </c>
      <c r="AB39" s="329" t="n">
        <f aca="false" t="array" ref="AB39:AB39">IF(AND(AB$2&lt;&gt;0,TblTech[[#This Row],[Hour]:[Hour]]&gt;=AB$2),1,0)</f>
        <v>0</v>
      </c>
      <c r="AC39" s="329" t="n">
        <f aca="false" t="array" ref="AC39:AC39">IF(AND(AC$2&lt;&gt;0,TblTech[[#This Row],[Hour]:[Hour]]&gt;=AC$2),1,0)</f>
        <v>0</v>
      </c>
      <c r="AD39" s="329" t="n">
        <f aca="false" t="array" ref="AD39:AD39">IF(AND(AD$2&lt;&gt;0,TblTech[[#This Row],[Hour]:[Hour]]&gt;=AD$2),1,0)</f>
        <v>0</v>
      </c>
      <c r="AE39" s="329" t="n">
        <f aca="false" t="array" ref="AE39:AE39">IF(AND(AE$2&lt;&gt;0,TblTech[[#This Row],[Hour]:[Hour]]&gt;=AE$2),1,0)</f>
        <v>0</v>
      </c>
      <c r="AF39" s="329" t="n">
        <f aca="false" t="array" ref="AF39:AF39">IF(AND(AF$2&lt;&gt;0,TblTech[[#This Row],[Hour]:[Hour]]&gt;=AF$2),1,0)</f>
        <v>0</v>
      </c>
      <c r="AG39" s="329" t="n">
        <f aca="false" t="array" ref="AG39:AG39">IF(AND(AG$2&lt;&gt;0,TblTech[[#This Row],[Hour]:[Hour]]&gt;=AG$2),1,0)</f>
        <v>0</v>
      </c>
      <c r="AH39" s="329" t="n">
        <f aca="false" t="array" ref="AH39:AH39">IF(AND(AH$2&lt;&gt;0,TblTech[[#This Row],[Hour]:[Hour]]&gt;=AH$2),1,0)</f>
        <v>0</v>
      </c>
      <c r="AI39" s="329" t="n">
        <f aca="false" t="array" ref="AI39:AI39">IF(AND(AI$2&lt;&gt;0,TblTech[[#This Row],[Hour]:[Hour]]&gt;=AI$2),1,0)</f>
        <v>0</v>
      </c>
      <c r="AJ39" s="329" t="n">
        <f aca="false" t="array" ref="AJ39:AJ39">IF(AND(AJ$2&lt;&gt;0,TblTech[[#This Row],[Hour]:[Hour]]&gt;=AJ$2),1,0)</f>
        <v>0</v>
      </c>
      <c r="AK39" s="329" t="n">
        <f aca="false" t="array" ref="AK39:AK39">IF(AND(AK$2&lt;&gt;0,TblTech[[#This Row],[Hour]:[Hour]]&gt;=AK$2),1,0)</f>
        <v>0</v>
      </c>
      <c r="AL39" s="329" t="n">
        <f aca="false" t="array" ref="AL39:AL39">IF(AND(AL$2&lt;&gt;0,TblTech[[#This Row],[Hour]:[Hour]]&gt;=AL$2),1,0)</f>
        <v>0</v>
      </c>
      <c r="AM39" s="329" t="n">
        <f aca="false" t="array" ref="AM39:AM39">IF(AND(AM$2&lt;&gt;0,TblTech[[#This Row],[Hour]:[Hour]]&gt;=AM$2),1,0)</f>
        <v>0</v>
      </c>
      <c r="AN39" s="329" t="n">
        <f aca="false" t="array" ref="AN39:AN39">IF(AND(AN$2&lt;&gt;0,TblTech[[#This Row],[Hour]:[Hour]]&gt;=AN$2),1,0)</f>
        <v>0</v>
      </c>
      <c r="AO39" s="329" t="n">
        <f aca="false" t="array" ref="AO39:AO39">IF(AND(AO$2&lt;&gt;0,TblTech[[#This Row],[Hour]:[Hour]]&gt;=AO$2),1,0)</f>
        <v>0</v>
      </c>
      <c r="AP39" s="329" t="n">
        <f aca="false" t="array" ref="AP39:AP39">IF(AND(AP$2&lt;&gt;0,TblTech[[#This Row],[Hour]:[Hour]]&gt;=AP$2),1,0)</f>
        <v>0</v>
      </c>
      <c r="AQ39" s="329" t="n">
        <f aca="false" t="array" ref="AQ39:AQ39">IF(AND(AQ$2&lt;&gt;0,TblTech[[#This Row],[Hour]:[Hour]]&gt;=AQ$2),1,0)</f>
        <v>0</v>
      </c>
      <c r="AR39" s="329" t="n">
        <f aca="false" t="array" ref="AR39:AR39">IF(AND(AR$2&lt;&gt;0,TblTech[[#This Row],[Hour]:[Hour]]&gt;=AR$2),1,0)</f>
        <v>0</v>
      </c>
      <c r="AS39" s="329" t="n">
        <f aca="false" t="array" ref="AS39:AS39">IF(AND(AS$2&lt;&gt;0,TblTech[[#This Row],[Hour]:[Hour]]&gt;=AS$2),1,0)</f>
        <v>0</v>
      </c>
      <c r="AT39" s="329" t="n">
        <f aca="false" t="array" ref="AT39:AT39">IF(AND(AT$2&lt;&gt;0,TblTech[[#This Row],[Hour]:[Hour]]&gt;=AT$2),1,0)</f>
        <v>0</v>
      </c>
      <c r="AU39" s="329" t="n">
        <f aca="false" t="array" ref="AU39:AU39">IF(AND(AU$2&lt;&gt;0,TblTech[[#This Row],[Hour]:[Hour]]&gt;=AU$2),1,0)</f>
        <v>0</v>
      </c>
      <c r="AV39" s="329" t="n">
        <f aca="false" t="array" ref="AV39:AV39">IF(AND(AV$2&lt;&gt;0,TblTech[[#This Row],[Hour]:[Hour]]&gt;=AV$2),1,0)</f>
        <v>0</v>
      </c>
      <c r="AW39" s="329" t="n">
        <f aca="false" t="array" ref="AW39:AW39">IF(AND(AW$2&lt;&gt;0,TblTech[[#This Row],[Hour]:[Hour]]&gt;=AW$2),1,0)</f>
        <v>0</v>
      </c>
      <c r="AX39" s="329" t="n">
        <f aca="false" t="array" ref="AX39:AX39">IF(AND(AX$2&lt;&gt;0,TblTech[[#This Row],[Hour]:[Hour]]&gt;=AX$2),1,0)</f>
        <v>0</v>
      </c>
      <c r="AY39" s="329" t="n">
        <f aca="false" t="array" ref="AY39:AY39">IF(AND(AY$2&lt;&gt;0,TblTech[[#This Row],[Hour]:[Hour]]&gt;=AY$2),1,0)</f>
        <v>0</v>
      </c>
      <c r="AZ39" s="329" t="n">
        <f aca="false" t="array" ref="AZ39:AZ39">IF(AND(AZ$2&lt;&gt;0,TblTech[[#This Row],[Hour]:[Hour]]&gt;=AZ$2),1,0)</f>
        <v>0</v>
      </c>
      <c r="BA39" s="329" t="n">
        <f aca="false" t="array" ref="BA39:BA39">IF(AND(BA$2&lt;&gt;0,TblTech[[#This Row],[Hour]:[Hour]]&gt;=BA$2),1,0)</f>
        <v>0</v>
      </c>
      <c r="BB39" s="329" t="n">
        <f aca="false" t="array" ref="BB39:BB39">IF(AND(BB$2&lt;&gt;0,TblTech[[#This Row],[Hour]:[Hour]]&gt;=BB$2),1,0)</f>
        <v>0</v>
      </c>
      <c r="BC39" s="329" t="n">
        <f aca="false" t="array" ref="BC39:BC39">IF(AND(BC$2&lt;&gt;0,TblTech[[#This Row],[Hour]:[Hour]]&gt;=BC$2),1,0)</f>
        <v>0</v>
      </c>
      <c r="BD39" s="329" t="n">
        <f aca="false" t="array" ref="BD39:BD39">IF(AND(BD$2&lt;&gt;0,TblTech[[#This Row],[Hour]:[Hour]]&gt;=BD$2),1,0)</f>
        <v>0</v>
      </c>
      <c r="BE39" s="329" t="n">
        <f aca="false" t="array" ref="BE39:BE39">IF(AND(BE$2&lt;&gt;0,TblTech[[#This Row],[Hour]:[Hour]]&gt;=BE$2),1,0)</f>
        <v>0</v>
      </c>
      <c r="BF39" s="329" t="n">
        <f aca="false" t="array" ref="BF39:BF39">IF(AND(BF$2&lt;&gt;0,TblTech[[#This Row],[Hour]:[Hour]]&gt;=BF$2),1,0)</f>
        <v>0</v>
      </c>
      <c r="BG39" s="329" t="n">
        <f aca="false" t="array" ref="BG39:BG39">IF(AND(BG$2&lt;&gt;0,TblTech[[#This Row],[Hour]:[Hour]]&gt;=BG$2),1,0)</f>
        <v>0</v>
      </c>
      <c r="BH39" s="329" t="n">
        <f aca="false" t="array" ref="BH39:BH39">IF(AND(BH$2&lt;&gt;0,TblTech[[#This Row],[Hour]:[Hour]]&gt;=BH$2),1,0)</f>
        <v>0</v>
      </c>
      <c r="BI39" s="329" t="n">
        <f aca="false" t="array" ref="BI39:BI39">IF(AND(BI$2&lt;&gt;0,TblTech[[#This Row],[Hour]:[Hour]]&gt;=BI$2),1,0)</f>
        <v>0</v>
      </c>
      <c r="BJ39" s="329" t="n">
        <f aca="false" t="array" ref="BJ39:BJ39">IF(AND(BJ$2&lt;&gt;0,TblTech[[#This Row],[Hour]:[Hour]]&gt;=BJ$2),1,0)</f>
        <v>0</v>
      </c>
      <c r="BK39" s="329" t="n">
        <f aca="false" t="array" ref="BK39:BK39">IF(AND(BK$2&lt;&gt;0,TblTech[[#This Row],[Hour]:[Hour]]&gt;=BK$2),1,0)</f>
        <v>0</v>
      </c>
      <c r="BL39" s="329" t="n">
        <f aca="false" t="array" ref="BL39:BL39">IF(AND(BL$2&lt;&gt;0,TblTech[[#This Row],[Hour]:[Hour]]&gt;=BL$2),1,0)</f>
        <v>0</v>
      </c>
      <c r="BM39" s="329" t="n">
        <f aca="false" t="array" ref="BM39:BM39">IF(AND(BM$2&lt;&gt;0,TblTech[[#This Row],[Hour]:[Hour]]&gt;=BM$2),1,0)</f>
        <v>0</v>
      </c>
      <c r="BN39" s="329" t="n">
        <f aca="false" t="array" ref="BN39:BN39">IF(AND(BN$2&lt;&gt;0,TblTech[[#This Row],[Hour]:[Hour]]&gt;=BN$2),1,0)</f>
        <v>0</v>
      </c>
      <c r="BO39" s="329" t="n">
        <f aca="false" t="array" ref="BO39:BO39">IF(AND(BO$2&lt;&gt;0,TblTech[[#This Row],[Hour]:[Hour]]&gt;=BO$2),1,0)</f>
        <v>0</v>
      </c>
      <c r="BP39" s="329" t="n">
        <f aca="false" t="array" ref="BP39:BP39">IF(AND(BP$2&lt;&gt;0,TblTech[[#This Row],[Hour]:[Hour]]&gt;=BP$2),1,0)</f>
        <v>0</v>
      </c>
      <c r="BQ39" s="329" t="n">
        <f aca="false" t="array" ref="BQ39:BQ39">IF(AND(BQ$2&lt;&gt;0,TblTech[[#This Row],[Hour]:[Hour]]&gt;=BQ$2),1,0)</f>
        <v>0</v>
      </c>
      <c r="BR39" s="329" t="n">
        <f aca="false" t="array" ref="BR39:BR39">IF(AND(BR$2&lt;&gt;0,TblTech[[#This Row],[Hour]:[Hour]]&gt;=BR$2),1,0)</f>
        <v>0</v>
      </c>
      <c r="BS39" s="329" t="n">
        <f aca="false" t="array" ref="BS39:BS39">IF(AND(BS$2&lt;&gt;0,TblTech[[#This Row],[Hour]:[Hour]]&gt;=BS$2),1,0)</f>
        <v>0</v>
      </c>
      <c r="BT39" s="329" t="n">
        <f aca="false" t="array" ref="BT39:BT39">IF(AND(BT$2&lt;&gt;0,TblTech[[#This Row],[Hour]:[Hour]]&gt;=BT$2),1,0)</f>
        <v>0</v>
      </c>
      <c r="BU39" s="329" t="n">
        <f aca="false" t="array" ref="BU39:BU39">IF(AND(BU$2&lt;&gt;0,TblTech[[#This Row],[Hour]:[Hour]]&gt;=BU$2),1,0)</f>
        <v>0</v>
      </c>
      <c r="BV39" s="329" t="n">
        <f aca="false" t="array" ref="BV39:BV39">IF(AND(BV$2&lt;&gt;0,TblTech[[#This Row],[Hour]:[Hour]]&gt;=BV$2),1,0)</f>
        <v>0</v>
      </c>
      <c r="BW39" s="329" t="n">
        <f aca="false" t="array" ref="BW39:BW39">IF(AND(BW$2&lt;&gt;0,TblTech[[#This Row],[Hour]:[Hour]]&gt;=BW$2),1,0)</f>
        <v>0</v>
      </c>
      <c r="BX39" s="329" t="n">
        <f aca="false" t="array" ref="BX39:BX39">IF(AND(BX$2&lt;&gt;0,TblTech[[#This Row],[Hour]:[Hour]]&gt;=BX$2),1,0)</f>
        <v>0</v>
      </c>
      <c r="BY39" s="329" t="n">
        <f aca="false" t="array" ref="BY39:BY39">IF(AND(BY$2&lt;&gt;0,TblTech[[#This Row],[Hour]:[Hour]]&gt;=BY$2),1,0)</f>
        <v>0</v>
      </c>
      <c r="BZ39" s="329" t="n">
        <f aca="false" t="array" ref="BZ39:BZ39">IF(AND(BZ$2&lt;&gt;0,TblTech[[#This Row],[Hour]:[Hour]]&gt;=BZ$2),1,0)</f>
        <v>0</v>
      </c>
      <c r="CA39" s="330" t="n">
        <f aca="false">IFERROR(INDEX($H$4:$H$79,MATCH(INDEX(TblTech[[#Headers],[1-1]:[11-1]],1,MATCH(TblTech[[#This Row],[Hour]],$M$2:$BZ$2,0)),$G$4:$G$79,0)),)</f>
        <v>0</v>
      </c>
    </row>
    <row r="40" customFormat="false" ht="12.75" hidden="false" customHeight="false" outlineLevel="0" collapsed="false">
      <c r="A40" s="321" t="n">
        <f aca="false">TblRezone[[#This Row],[Hour]]</f>
        <v>37</v>
      </c>
      <c r="B40" s="322" t="n">
        <f aca="false">TblExplore[[#This Row],[Land-DB]]</f>
        <v>419</v>
      </c>
      <c r="C40" s="323" t="n">
        <f aca="false">TblProd[[#This Row],[Techpoints]]</f>
        <v>350</v>
      </c>
      <c r="D40" s="323" t="n">
        <f aca="false">TblProd[[#This Row],[Required]]</f>
        <v>3750</v>
      </c>
      <c r="E40" s="324"/>
      <c r="F40" s="325"/>
      <c r="G40" s="326" t="s">
        <v>557</v>
      </c>
      <c r="H40" s="327" t="s">
        <v>657</v>
      </c>
      <c r="I40" s="326" t="s">
        <v>658</v>
      </c>
      <c r="J40" s="322"/>
      <c r="K40" s="68" t="n">
        <f aca="false">IF(TblTech[[#This Row],[Sum of tech]]&lt;&gt;OFFSET(TblTech[[#This Row],[Sum of tech]],-1,0),1,0)</f>
        <v>0</v>
      </c>
      <c r="L40" s="328" t="n">
        <f aca="false">COUNTIF(TblTech[[#This Row],[1-1]:[11-1]],1)</f>
        <v>0</v>
      </c>
      <c r="M40" s="329" t="n">
        <f aca="false" t="array" ref="M40:M40">IF(AND(M$2&lt;&gt;0,TblTech[[#This Row],[Hour]:[Hour]]&gt;=M$2),1,0)</f>
        <v>0</v>
      </c>
      <c r="N40" s="329" t="n">
        <f aca="false" t="array" ref="N40:N40">IF(AND(N$2&lt;&gt;0,TblTech[[#This Row],[Hour]:[Hour]]&gt;=N$2),1,0)</f>
        <v>0</v>
      </c>
      <c r="O40" s="329" t="n">
        <f aca="false" t="array" ref="O40:O40">IF(AND(O$2&lt;&gt;0,TblTech[[#This Row],[Hour]:[Hour]]&gt;=O$2),1,0)</f>
        <v>0</v>
      </c>
      <c r="P40" s="329" t="n">
        <f aca="false" t="array" ref="P40:P40">IF(AND(P$2&lt;&gt;0,TblTech[[#This Row],[Hour]:[Hour]]&gt;=P$2),1,0)</f>
        <v>0</v>
      </c>
      <c r="Q40" s="329" t="n">
        <f aca="false" t="array" ref="Q40:Q40">IF(AND(Q$2&lt;&gt;0,TblTech[[#This Row],[Hour]:[Hour]]&gt;=Q$2),1,0)</f>
        <v>0</v>
      </c>
      <c r="R40" s="329" t="n">
        <f aca="false" t="array" ref="R40:R40">IF(AND(R$2&lt;&gt;0,TblTech[[#This Row],[Hour]:[Hour]]&gt;=R$2),1,0)</f>
        <v>0</v>
      </c>
      <c r="S40" s="329" t="n">
        <f aca="false" t="array" ref="S40:S40">IF(AND(S$2&lt;&gt;0,TblTech[[#This Row],[Hour]:[Hour]]&gt;=S$2),1,0)</f>
        <v>0</v>
      </c>
      <c r="T40" s="329" t="n">
        <f aca="false" t="array" ref="T40:T40">IF(AND(T$2&lt;&gt;0,TblTech[[#This Row],[Hour]:[Hour]]&gt;=T$2),1,0)</f>
        <v>0</v>
      </c>
      <c r="U40" s="329" t="n">
        <f aca="false" t="array" ref="U40:U40">IF(AND(U$2&lt;&gt;0,TblTech[[#This Row],[Hour]:[Hour]]&gt;=U$2),1,0)</f>
        <v>0</v>
      </c>
      <c r="V40" s="329" t="n">
        <f aca="false" t="array" ref="V40:V40">IF(AND(V$2&lt;&gt;0,TblTech[[#This Row],[Hour]:[Hour]]&gt;=V$2),1,0)</f>
        <v>0</v>
      </c>
      <c r="W40" s="329" t="n">
        <f aca="false" t="array" ref="W40:W40">IF(AND(W$2&lt;&gt;0,TblTech[[#This Row],[Hour]:[Hour]]&gt;=W$2),1,0)</f>
        <v>0</v>
      </c>
      <c r="X40" s="329" t="n">
        <f aca="false" t="array" ref="X40:X40">IF(AND(X$2&lt;&gt;0,TblTech[[#This Row],[Hour]:[Hour]]&gt;=X$2),1,0)</f>
        <v>0</v>
      </c>
      <c r="Y40" s="329" t="n">
        <f aca="false" t="array" ref="Y40:Y40">IF(AND(Y$2&lt;&gt;0,TblTech[[#This Row],[Hour]:[Hour]]&gt;=Y$2),1,0)</f>
        <v>0</v>
      </c>
      <c r="Z40" s="329" t="n">
        <f aca="false" t="array" ref="Z40:Z40">IF(AND(Z$2&lt;&gt;0,TblTech[[#This Row],[Hour]:[Hour]]&gt;=Z$2),1,0)</f>
        <v>0</v>
      </c>
      <c r="AA40" s="329" t="n">
        <f aca="false" t="array" ref="AA40:AA40">IF(AND(AA$2&lt;&gt;0,TblTech[[#This Row],[Hour]:[Hour]]&gt;=AA$2),1,0)</f>
        <v>0</v>
      </c>
      <c r="AB40" s="329" t="n">
        <f aca="false" t="array" ref="AB40:AB40">IF(AND(AB$2&lt;&gt;0,TblTech[[#This Row],[Hour]:[Hour]]&gt;=AB$2),1,0)</f>
        <v>0</v>
      </c>
      <c r="AC40" s="329" t="n">
        <f aca="false" t="array" ref="AC40:AC40">IF(AND(AC$2&lt;&gt;0,TblTech[[#This Row],[Hour]:[Hour]]&gt;=AC$2),1,0)</f>
        <v>0</v>
      </c>
      <c r="AD40" s="329" t="n">
        <f aca="false" t="array" ref="AD40:AD40">IF(AND(AD$2&lt;&gt;0,TblTech[[#This Row],[Hour]:[Hour]]&gt;=AD$2),1,0)</f>
        <v>0</v>
      </c>
      <c r="AE40" s="329" t="n">
        <f aca="false" t="array" ref="AE40:AE40">IF(AND(AE$2&lt;&gt;0,TblTech[[#This Row],[Hour]:[Hour]]&gt;=AE$2),1,0)</f>
        <v>0</v>
      </c>
      <c r="AF40" s="329" t="n">
        <f aca="false" t="array" ref="AF40:AF40">IF(AND(AF$2&lt;&gt;0,TblTech[[#This Row],[Hour]:[Hour]]&gt;=AF$2),1,0)</f>
        <v>0</v>
      </c>
      <c r="AG40" s="329" t="n">
        <f aca="false" t="array" ref="AG40:AG40">IF(AND(AG$2&lt;&gt;0,TblTech[[#This Row],[Hour]:[Hour]]&gt;=AG$2),1,0)</f>
        <v>0</v>
      </c>
      <c r="AH40" s="329" t="n">
        <f aca="false" t="array" ref="AH40:AH40">IF(AND(AH$2&lt;&gt;0,TblTech[[#This Row],[Hour]:[Hour]]&gt;=AH$2),1,0)</f>
        <v>0</v>
      </c>
      <c r="AI40" s="329" t="n">
        <f aca="false" t="array" ref="AI40:AI40">IF(AND(AI$2&lt;&gt;0,TblTech[[#This Row],[Hour]:[Hour]]&gt;=AI$2),1,0)</f>
        <v>0</v>
      </c>
      <c r="AJ40" s="329" t="n">
        <f aca="false" t="array" ref="AJ40:AJ40">IF(AND(AJ$2&lt;&gt;0,TblTech[[#This Row],[Hour]:[Hour]]&gt;=AJ$2),1,0)</f>
        <v>0</v>
      </c>
      <c r="AK40" s="329" t="n">
        <f aca="false" t="array" ref="AK40:AK40">IF(AND(AK$2&lt;&gt;0,TblTech[[#This Row],[Hour]:[Hour]]&gt;=AK$2),1,0)</f>
        <v>0</v>
      </c>
      <c r="AL40" s="329" t="n">
        <f aca="false" t="array" ref="AL40:AL40">IF(AND(AL$2&lt;&gt;0,TblTech[[#This Row],[Hour]:[Hour]]&gt;=AL$2),1,0)</f>
        <v>0</v>
      </c>
      <c r="AM40" s="329" t="n">
        <f aca="false" t="array" ref="AM40:AM40">IF(AND(AM$2&lt;&gt;0,TblTech[[#This Row],[Hour]:[Hour]]&gt;=AM$2),1,0)</f>
        <v>0</v>
      </c>
      <c r="AN40" s="329" t="n">
        <f aca="false" t="array" ref="AN40:AN40">IF(AND(AN$2&lt;&gt;0,TblTech[[#This Row],[Hour]:[Hour]]&gt;=AN$2),1,0)</f>
        <v>0</v>
      </c>
      <c r="AO40" s="329" t="n">
        <f aca="false" t="array" ref="AO40:AO40">IF(AND(AO$2&lt;&gt;0,TblTech[[#This Row],[Hour]:[Hour]]&gt;=AO$2),1,0)</f>
        <v>0</v>
      </c>
      <c r="AP40" s="329" t="n">
        <f aca="false" t="array" ref="AP40:AP40">IF(AND(AP$2&lt;&gt;0,TblTech[[#This Row],[Hour]:[Hour]]&gt;=AP$2),1,0)</f>
        <v>0</v>
      </c>
      <c r="AQ40" s="329" t="n">
        <f aca="false" t="array" ref="AQ40:AQ40">IF(AND(AQ$2&lt;&gt;0,TblTech[[#This Row],[Hour]:[Hour]]&gt;=AQ$2),1,0)</f>
        <v>0</v>
      </c>
      <c r="AR40" s="329" t="n">
        <f aca="false" t="array" ref="AR40:AR40">IF(AND(AR$2&lt;&gt;0,TblTech[[#This Row],[Hour]:[Hour]]&gt;=AR$2),1,0)</f>
        <v>0</v>
      </c>
      <c r="AS40" s="329" t="n">
        <f aca="false" t="array" ref="AS40:AS40">IF(AND(AS$2&lt;&gt;0,TblTech[[#This Row],[Hour]:[Hour]]&gt;=AS$2),1,0)</f>
        <v>0</v>
      </c>
      <c r="AT40" s="329" t="n">
        <f aca="false" t="array" ref="AT40:AT40">IF(AND(AT$2&lt;&gt;0,TblTech[[#This Row],[Hour]:[Hour]]&gt;=AT$2),1,0)</f>
        <v>0</v>
      </c>
      <c r="AU40" s="329" t="n">
        <f aca="false" t="array" ref="AU40:AU40">IF(AND(AU$2&lt;&gt;0,TblTech[[#This Row],[Hour]:[Hour]]&gt;=AU$2),1,0)</f>
        <v>0</v>
      </c>
      <c r="AV40" s="329" t="n">
        <f aca="false" t="array" ref="AV40:AV40">IF(AND(AV$2&lt;&gt;0,TblTech[[#This Row],[Hour]:[Hour]]&gt;=AV$2),1,0)</f>
        <v>0</v>
      </c>
      <c r="AW40" s="329" t="n">
        <f aca="false" t="array" ref="AW40:AW40">IF(AND(AW$2&lt;&gt;0,TblTech[[#This Row],[Hour]:[Hour]]&gt;=AW$2),1,0)</f>
        <v>0</v>
      </c>
      <c r="AX40" s="329" t="n">
        <f aca="false" t="array" ref="AX40:AX40">IF(AND(AX$2&lt;&gt;0,TblTech[[#This Row],[Hour]:[Hour]]&gt;=AX$2),1,0)</f>
        <v>0</v>
      </c>
      <c r="AY40" s="329" t="n">
        <f aca="false" t="array" ref="AY40:AY40">IF(AND(AY$2&lt;&gt;0,TblTech[[#This Row],[Hour]:[Hour]]&gt;=AY$2),1,0)</f>
        <v>0</v>
      </c>
      <c r="AZ40" s="329" t="n">
        <f aca="false" t="array" ref="AZ40:AZ40">IF(AND(AZ$2&lt;&gt;0,TblTech[[#This Row],[Hour]:[Hour]]&gt;=AZ$2),1,0)</f>
        <v>0</v>
      </c>
      <c r="BA40" s="329" t="n">
        <f aca="false" t="array" ref="BA40:BA40">IF(AND(BA$2&lt;&gt;0,TblTech[[#This Row],[Hour]:[Hour]]&gt;=BA$2),1,0)</f>
        <v>0</v>
      </c>
      <c r="BB40" s="329" t="n">
        <f aca="false" t="array" ref="BB40:BB40">IF(AND(BB$2&lt;&gt;0,TblTech[[#This Row],[Hour]:[Hour]]&gt;=BB$2),1,0)</f>
        <v>0</v>
      </c>
      <c r="BC40" s="329" t="n">
        <f aca="false" t="array" ref="BC40:BC40">IF(AND(BC$2&lt;&gt;0,TblTech[[#This Row],[Hour]:[Hour]]&gt;=BC$2),1,0)</f>
        <v>0</v>
      </c>
      <c r="BD40" s="329" t="n">
        <f aca="false" t="array" ref="BD40:BD40">IF(AND(BD$2&lt;&gt;0,TblTech[[#This Row],[Hour]:[Hour]]&gt;=BD$2),1,0)</f>
        <v>0</v>
      </c>
      <c r="BE40" s="329" t="n">
        <f aca="false" t="array" ref="BE40:BE40">IF(AND(BE$2&lt;&gt;0,TblTech[[#This Row],[Hour]:[Hour]]&gt;=BE$2),1,0)</f>
        <v>0</v>
      </c>
      <c r="BF40" s="329" t="n">
        <f aca="false" t="array" ref="BF40:BF40">IF(AND(BF$2&lt;&gt;0,TblTech[[#This Row],[Hour]:[Hour]]&gt;=BF$2),1,0)</f>
        <v>0</v>
      </c>
      <c r="BG40" s="329" t="n">
        <f aca="false" t="array" ref="BG40:BG40">IF(AND(BG$2&lt;&gt;0,TblTech[[#This Row],[Hour]:[Hour]]&gt;=BG$2),1,0)</f>
        <v>0</v>
      </c>
      <c r="BH40" s="329" t="n">
        <f aca="false" t="array" ref="BH40:BH40">IF(AND(BH$2&lt;&gt;0,TblTech[[#This Row],[Hour]:[Hour]]&gt;=BH$2),1,0)</f>
        <v>0</v>
      </c>
      <c r="BI40" s="329" t="n">
        <f aca="false" t="array" ref="BI40:BI40">IF(AND(BI$2&lt;&gt;0,TblTech[[#This Row],[Hour]:[Hour]]&gt;=BI$2),1,0)</f>
        <v>0</v>
      </c>
      <c r="BJ40" s="329" t="n">
        <f aca="false" t="array" ref="BJ40:BJ40">IF(AND(BJ$2&lt;&gt;0,TblTech[[#This Row],[Hour]:[Hour]]&gt;=BJ$2),1,0)</f>
        <v>0</v>
      </c>
      <c r="BK40" s="329" t="n">
        <f aca="false" t="array" ref="BK40:BK40">IF(AND(BK$2&lt;&gt;0,TblTech[[#This Row],[Hour]:[Hour]]&gt;=BK$2),1,0)</f>
        <v>0</v>
      </c>
      <c r="BL40" s="329" t="n">
        <f aca="false" t="array" ref="BL40:BL40">IF(AND(BL$2&lt;&gt;0,TblTech[[#This Row],[Hour]:[Hour]]&gt;=BL$2),1,0)</f>
        <v>0</v>
      </c>
      <c r="BM40" s="329" t="n">
        <f aca="false" t="array" ref="BM40:BM40">IF(AND(BM$2&lt;&gt;0,TblTech[[#This Row],[Hour]:[Hour]]&gt;=BM$2),1,0)</f>
        <v>0</v>
      </c>
      <c r="BN40" s="329" t="n">
        <f aca="false" t="array" ref="BN40:BN40">IF(AND(BN$2&lt;&gt;0,TblTech[[#This Row],[Hour]:[Hour]]&gt;=BN$2),1,0)</f>
        <v>0</v>
      </c>
      <c r="BO40" s="329" t="n">
        <f aca="false" t="array" ref="BO40:BO40">IF(AND(BO$2&lt;&gt;0,TblTech[[#This Row],[Hour]:[Hour]]&gt;=BO$2),1,0)</f>
        <v>0</v>
      </c>
      <c r="BP40" s="329" t="n">
        <f aca="false" t="array" ref="BP40:BP40">IF(AND(BP$2&lt;&gt;0,TblTech[[#This Row],[Hour]:[Hour]]&gt;=BP$2),1,0)</f>
        <v>0</v>
      </c>
      <c r="BQ40" s="329" t="n">
        <f aca="false" t="array" ref="BQ40:BQ40">IF(AND(BQ$2&lt;&gt;0,TblTech[[#This Row],[Hour]:[Hour]]&gt;=BQ$2),1,0)</f>
        <v>0</v>
      </c>
      <c r="BR40" s="329" t="n">
        <f aca="false" t="array" ref="BR40:BR40">IF(AND(BR$2&lt;&gt;0,TblTech[[#This Row],[Hour]:[Hour]]&gt;=BR$2),1,0)</f>
        <v>0</v>
      </c>
      <c r="BS40" s="329" t="n">
        <f aca="false" t="array" ref="BS40:BS40">IF(AND(BS$2&lt;&gt;0,TblTech[[#This Row],[Hour]:[Hour]]&gt;=BS$2),1,0)</f>
        <v>0</v>
      </c>
      <c r="BT40" s="329" t="n">
        <f aca="false" t="array" ref="BT40:BT40">IF(AND(BT$2&lt;&gt;0,TblTech[[#This Row],[Hour]:[Hour]]&gt;=BT$2),1,0)</f>
        <v>0</v>
      </c>
      <c r="BU40" s="329" t="n">
        <f aca="false" t="array" ref="BU40:BU40">IF(AND(BU$2&lt;&gt;0,TblTech[[#This Row],[Hour]:[Hour]]&gt;=BU$2),1,0)</f>
        <v>0</v>
      </c>
      <c r="BV40" s="329" t="n">
        <f aca="false" t="array" ref="BV40:BV40">IF(AND(BV$2&lt;&gt;0,TblTech[[#This Row],[Hour]:[Hour]]&gt;=BV$2),1,0)</f>
        <v>0</v>
      </c>
      <c r="BW40" s="329" t="n">
        <f aca="false" t="array" ref="BW40:BW40">IF(AND(BW$2&lt;&gt;0,TblTech[[#This Row],[Hour]:[Hour]]&gt;=BW$2),1,0)</f>
        <v>0</v>
      </c>
      <c r="BX40" s="329" t="n">
        <f aca="false" t="array" ref="BX40:BX40">IF(AND(BX$2&lt;&gt;0,TblTech[[#This Row],[Hour]:[Hour]]&gt;=BX$2),1,0)</f>
        <v>0</v>
      </c>
      <c r="BY40" s="329" t="n">
        <f aca="false" t="array" ref="BY40:BY40">IF(AND(BY$2&lt;&gt;0,TblTech[[#This Row],[Hour]:[Hour]]&gt;=BY$2),1,0)</f>
        <v>0</v>
      </c>
      <c r="BZ40" s="329" t="n">
        <f aca="false" t="array" ref="BZ40:BZ40">IF(AND(BZ$2&lt;&gt;0,TblTech[[#This Row],[Hour]:[Hour]]&gt;=BZ$2),1,0)</f>
        <v>0</v>
      </c>
      <c r="CA40" s="330" t="n">
        <f aca="false">IFERROR(INDEX($H$4:$H$79,MATCH(INDEX(TblTech[[#Headers],[1-1]:[11-1]],1,MATCH(TblTech[[#This Row],[Hour]],$M$2:$BZ$2,0)),$G$4:$G$79,0)),)</f>
        <v>0</v>
      </c>
    </row>
    <row r="41" customFormat="false" ht="12.75" hidden="false" customHeight="false" outlineLevel="0" collapsed="false">
      <c r="A41" s="321" t="n">
        <f aca="false">TblRezone[[#This Row],[Hour]]</f>
        <v>38</v>
      </c>
      <c r="B41" s="322" t="n">
        <f aca="false">TblExplore[[#This Row],[Land-DB]]</f>
        <v>419</v>
      </c>
      <c r="C41" s="323" t="n">
        <f aca="false">TblProd[[#This Row],[Techpoints]]</f>
        <v>350</v>
      </c>
      <c r="D41" s="323" t="n">
        <f aca="false">TblProd[[#This Row],[Required]]</f>
        <v>3750</v>
      </c>
      <c r="E41" s="324"/>
      <c r="F41" s="325"/>
      <c r="G41" s="326" t="s">
        <v>558</v>
      </c>
      <c r="H41" s="327" t="s">
        <v>659</v>
      </c>
      <c r="I41" s="326" t="s">
        <v>660</v>
      </c>
      <c r="J41" s="322"/>
      <c r="K41" s="68" t="n">
        <f aca="false">IF(TblTech[[#This Row],[Sum of tech]]&lt;&gt;OFFSET(TblTech[[#This Row],[Sum of tech]],-1,0),1,0)</f>
        <v>0</v>
      </c>
      <c r="L41" s="328" t="n">
        <f aca="false">COUNTIF(TblTech[[#This Row],[1-1]:[11-1]],1)</f>
        <v>0</v>
      </c>
      <c r="M41" s="329" t="n">
        <f aca="false" t="array" ref="M41:M41">IF(AND(M$2&lt;&gt;0,TblTech[[#This Row],[Hour]:[Hour]]&gt;=M$2),1,0)</f>
        <v>0</v>
      </c>
      <c r="N41" s="329" t="n">
        <f aca="false" t="array" ref="N41:N41">IF(AND(N$2&lt;&gt;0,TblTech[[#This Row],[Hour]:[Hour]]&gt;=N$2),1,0)</f>
        <v>0</v>
      </c>
      <c r="O41" s="329" t="n">
        <f aca="false" t="array" ref="O41:O41">IF(AND(O$2&lt;&gt;0,TblTech[[#This Row],[Hour]:[Hour]]&gt;=O$2),1,0)</f>
        <v>0</v>
      </c>
      <c r="P41" s="329" t="n">
        <f aca="false" t="array" ref="P41:P41">IF(AND(P$2&lt;&gt;0,TblTech[[#This Row],[Hour]:[Hour]]&gt;=P$2),1,0)</f>
        <v>0</v>
      </c>
      <c r="Q41" s="329" t="n">
        <f aca="false" t="array" ref="Q41:Q41">IF(AND(Q$2&lt;&gt;0,TblTech[[#This Row],[Hour]:[Hour]]&gt;=Q$2),1,0)</f>
        <v>0</v>
      </c>
      <c r="R41" s="329" t="n">
        <f aca="false" t="array" ref="R41:R41">IF(AND(R$2&lt;&gt;0,TblTech[[#This Row],[Hour]:[Hour]]&gt;=R$2),1,0)</f>
        <v>0</v>
      </c>
      <c r="S41" s="329" t="n">
        <f aca="false" t="array" ref="S41:S41">IF(AND(S$2&lt;&gt;0,TblTech[[#This Row],[Hour]:[Hour]]&gt;=S$2),1,0)</f>
        <v>0</v>
      </c>
      <c r="T41" s="329" t="n">
        <f aca="false" t="array" ref="T41:T41">IF(AND(T$2&lt;&gt;0,TblTech[[#This Row],[Hour]:[Hour]]&gt;=T$2),1,0)</f>
        <v>0</v>
      </c>
      <c r="U41" s="329" t="n">
        <f aca="false" t="array" ref="U41:U41">IF(AND(U$2&lt;&gt;0,TblTech[[#This Row],[Hour]:[Hour]]&gt;=U$2),1,0)</f>
        <v>0</v>
      </c>
      <c r="V41" s="329" t="n">
        <f aca="false" t="array" ref="V41:V41">IF(AND(V$2&lt;&gt;0,TblTech[[#This Row],[Hour]:[Hour]]&gt;=V$2),1,0)</f>
        <v>0</v>
      </c>
      <c r="W41" s="329" t="n">
        <f aca="false" t="array" ref="W41:W41">IF(AND(W$2&lt;&gt;0,TblTech[[#This Row],[Hour]:[Hour]]&gt;=W$2),1,0)</f>
        <v>0</v>
      </c>
      <c r="X41" s="329" t="n">
        <f aca="false" t="array" ref="X41:X41">IF(AND(X$2&lt;&gt;0,TblTech[[#This Row],[Hour]:[Hour]]&gt;=X$2),1,0)</f>
        <v>0</v>
      </c>
      <c r="Y41" s="329" t="n">
        <f aca="false" t="array" ref="Y41:Y41">IF(AND(Y$2&lt;&gt;0,TblTech[[#This Row],[Hour]:[Hour]]&gt;=Y$2),1,0)</f>
        <v>0</v>
      </c>
      <c r="Z41" s="329" t="n">
        <f aca="false" t="array" ref="Z41:Z41">IF(AND(Z$2&lt;&gt;0,TblTech[[#This Row],[Hour]:[Hour]]&gt;=Z$2),1,0)</f>
        <v>0</v>
      </c>
      <c r="AA41" s="329" t="n">
        <f aca="false" t="array" ref="AA41:AA41">IF(AND(AA$2&lt;&gt;0,TblTech[[#This Row],[Hour]:[Hour]]&gt;=AA$2),1,0)</f>
        <v>0</v>
      </c>
      <c r="AB41" s="329" t="n">
        <f aca="false" t="array" ref="AB41:AB41">IF(AND(AB$2&lt;&gt;0,TblTech[[#This Row],[Hour]:[Hour]]&gt;=AB$2),1,0)</f>
        <v>0</v>
      </c>
      <c r="AC41" s="329" t="n">
        <f aca="false" t="array" ref="AC41:AC41">IF(AND(AC$2&lt;&gt;0,TblTech[[#This Row],[Hour]:[Hour]]&gt;=AC$2),1,0)</f>
        <v>0</v>
      </c>
      <c r="AD41" s="329" t="n">
        <f aca="false" t="array" ref="AD41:AD41">IF(AND(AD$2&lt;&gt;0,TblTech[[#This Row],[Hour]:[Hour]]&gt;=AD$2),1,0)</f>
        <v>0</v>
      </c>
      <c r="AE41" s="329" t="n">
        <f aca="false" t="array" ref="AE41:AE41">IF(AND(AE$2&lt;&gt;0,TblTech[[#This Row],[Hour]:[Hour]]&gt;=AE$2),1,0)</f>
        <v>0</v>
      </c>
      <c r="AF41" s="329" t="n">
        <f aca="false" t="array" ref="AF41:AF41">IF(AND(AF$2&lt;&gt;0,TblTech[[#This Row],[Hour]:[Hour]]&gt;=AF$2),1,0)</f>
        <v>0</v>
      </c>
      <c r="AG41" s="329" t="n">
        <f aca="false" t="array" ref="AG41:AG41">IF(AND(AG$2&lt;&gt;0,TblTech[[#This Row],[Hour]:[Hour]]&gt;=AG$2),1,0)</f>
        <v>0</v>
      </c>
      <c r="AH41" s="329" t="n">
        <f aca="false" t="array" ref="AH41:AH41">IF(AND(AH$2&lt;&gt;0,TblTech[[#This Row],[Hour]:[Hour]]&gt;=AH$2),1,0)</f>
        <v>0</v>
      </c>
      <c r="AI41" s="329" t="n">
        <f aca="false" t="array" ref="AI41:AI41">IF(AND(AI$2&lt;&gt;0,TblTech[[#This Row],[Hour]:[Hour]]&gt;=AI$2),1,0)</f>
        <v>0</v>
      </c>
      <c r="AJ41" s="329" t="n">
        <f aca="false" t="array" ref="AJ41:AJ41">IF(AND(AJ$2&lt;&gt;0,TblTech[[#This Row],[Hour]:[Hour]]&gt;=AJ$2),1,0)</f>
        <v>0</v>
      </c>
      <c r="AK41" s="329" t="n">
        <f aca="false" t="array" ref="AK41:AK41">IF(AND(AK$2&lt;&gt;0,TblTech[[#This Row],[Hour]:[Hour]]&gt;=AK$2),1,0)</f>
        <v>0</v>
      </c>
      <c r="AL41" s="329" t="n">
        <f aca="false" t="array" ref="AL41:AL41">IF(AND(AL$2&lt;&gt;0,TblTech[[#This Row],[Hour]:[Hour]]&gt;=AL$2),1,0)</f>
        <v>0</v>
      </c>
      <c r="AM41" s="329" t="n">
        <f aca="false" t="array" ref="AM41:AM41">IF(AND(AM$2&lt;&gt;0,TblTech[[#This Row],[Hour]:[Hour]]&gt;=AM$2),1,0)</f>
        <v>0</v>
      </c>
      <c r="AN41" s="329" t="n">
        <f aca="false" t="array" ref="AN41:AN41">IF(AND(AN$2&lt;&gt;0,TblTech[[#This Row],[Hour]:[Hour]]&gt;=AN$2),1,0)</f>
        <v>0</v>
      </c>
      <c r="AO41" s="329" t="n">
        <f aca="false" t="array" ref="AO41:AO41">IF(AND(AO$2&lt;&gt;0,TblTech[[#This Row],[Hour]:[Hour]]&gt;=AO$2),1,0)</f>
        <v>0</v>
      </c>
      <c r="AP41" s="329" t="n">
        <f aca="false" t="array" ref="AP41:AP41">IF(AND(AP$2&lt;&gt;0,TblTech[[#This Row],[Hour]:[Hour]]&gt;=AP$2),1,0)</f>
        <v>0</v>
      </c>
      <c r="AQ41" s="329" t="n">
        <f aca="false" t="array" ref="AQ41:AQ41">IF(AND(AQ$2&lt;&gt;0,TblTech[[#This Row],[Hour]:[Hour]]&gt;=AQ$2),1,0)</f>
        <v>0</v>
      </c>
      <c r="AR41" s="329" t="n">
        <f aca="false" t="array" ref="AR41:AR41">IF(AND(AR$2&lt;&gt;0,TblTech[[#This Row],[Hour]:[Hour]]&gt;=AR$2),1,0)</f>
        <v>0</v>
      </c>
      <c r="AS41" s="329" t="n">
        <f aca="false" t="array" ref="AS41:AS41">IF(AND(AS$2&lt;&gt;0,TblTech[[#This Row],[Hour]:[Hour]]&gt;=AS$2),1,0)</f>
        <v>0</v>
      </c>
      <c r="AT41" s="329" t="n">
        <f aca="false" t="array" ref="AT41:AT41">IF(AND(AT$2&lt;&gt;0,TblTech[[#This Row],[Hour]:[Hour]]&gt;=AT$2),1,0)</f>
        <v>0</v>
      </c>
      <c r="AU41" s="329" t="n">
        <f aca="false" t="array" ref="AU41:AU41">IF(AND(AU$2&lt;&gt;0,TblTech[[#This Row],[Hour]:[Hour]]&gt;=AU$2),1,0)</f>
        <v>0</v>
      </c>
      <c r="AV41" s="329" t="n">
        <f aca="false" t="array" ref="AV41:AV41">IF(AND(AV$2&lt;&gt;0,TblTech[[#This Row],[Hour]:[Hour]]&gt;=AV$2),1,0)</f>
        <v>0</v>
      </c>
      <c r="AW41" s="329" t="n">
        <f aca="false" t="array" ref="AW41:AW41">IF(AND(AW$2&lt;&gt;0,TblTech[[#This Row],[Hour]:[Hour]]&gt;=AW$2),1,0)</f>
        <v>0</v>
      </c>
      <c r="AX41" s="329" t="n">
        <f aca="false" t="array" ref="AX41:AX41">IF(AND(AX$2&lt;&gt;0,TblTech[[#This Row],[Hour]:[Hour]]&gt;=AX$2),1,0)</f>
        <v>0</v>
      </c>
      <c r="AY41" s="329" t="n">
        <f aca="false" t="array" ref="AY41:AY41">IF(AND(AY$2&lt;&gt;0,TblTech[[#This Row],[Hour]:[Hour]]&gt;=AY$2),1,0)</f>
        <v>0</v>
      </c>
      <c r="AZ41" s="329" t="n">
        <f aca="false" t="array" ref="AZ41:AZ41">IF(AND(AZ$2&lt;&gt;0,TblTech[[#This Row],[Hour]:[Hour]]&gt;=AZ$2),1,0)</f>
        <v>0</v>
      </c>
      <c r="BA41" s="329" t="n">
        <f aca="false" t="array" ref="BA41:BA41">IF(AND(BA$2&lt;&gt;0,TblTech[[#This Row],[Hour]:[Hour]]&gt;=BA$2),1,0)</f>
        <v>0</v>
      </c>
      <c r="BB41" s="329" t="n">
        <f aca="false" t="array" ref="BB41:BB41">IF(AND(BB$2&lt;&gt;0,TblTech[[#This Row],[Hour]:[Hour]]&gt;=BB$2),1,0)</f>
        <v>0</v>
      </c>
      <c r="BC41" s="329" t="n">
        <f aca="false" t="array" ref="BC41:BC41">IF(AND(BC$2&lt;&gt;0,TblTech[[#This Row],[Hour]:[Hour]]&gt;=BC$2),1,0)</f>
        <v>0</v>
      </c>
      <c r="BD41" s="329" t="n">
        <f aca="false" t="array" ref="BD41:BD41">IF(AND(BD$2&lt;&gt;0,TblTech[[#This Row],[Hour]:[Hour]]&gt;=BD$2),1,0)</f>
        <v>0</v>
      </c>
      <c r="BE41" s="329" t="n">
        <f aca="false" t="array" ref="BE41:BE41">IF(AND(BE$2&lt;&gt;0,TblTech[[#This Row],[Hour]:[Hour]]&gt;=BE$2),1,0)</f>
        <v>0</v>
      </c>
      <c r="BF41" s="329" t="n">
        <f aca="false" t="array" ref="BF41:BF41">IF(AND(BF$2&lt;&gt;0,TblTech[[#This Row],[Hour]:[Hour]]&gt;=BF$2),1,0)</f>
        <v>0</v>
      </c>
      <c r="BG41" s="329" t="n">
        <f aca="false" t="array" ref="BG41:BG41">IF(AND(BG$2&lt;&gt;0,TblTech[[#This Row],[Hour]:[Hour]]&gt;=BG$2),1,0)</f>
        <v>0</v>
      </c>
      <c r="BH41" s="329" t="n">
        <f aca="false" t="array" ref="BH41:BH41">IF(AND(BH$2&lt;&gt;0,TblTech[[#This Row],[Hour]:[Hour]]&gt;=BH$2),1,0)</f>
        <v>0</v>
      </c>
      <c r="BI41" s="329" t="n">
        <f aca="false" t="array" ref="BI41:BI41">IF(AND(BI$2&lt;&gt;0,TblTech[[#This Row],[Hour]:[Hour]]&gt;=BI$2),1,0)</f>
        <v>0</v>
      </c>
      <c r="BJ41" s="329" t="n">
        <f aca="false" t="array" ref="BJ41:BJ41">IF(AND(BJ$2&lt;&gt;0,TblTech[[#This Row],[Hour]:[Hour]]&gt;=BJ$2),1,0)</f>
        <v>0</v>
      </c>
      <c r="BK41" s="329" t="n">
        <f aca="false" t="array" ref="BK41:BK41">IF(AND(BK$2&lt;&gt;0,TblTech[[#This Row],[Hour]:[Hour]]&gt;=BK$2),1,0)</f>
        <v>0</v>
      </c>
      <c r="BL41" s="329" t="n">
        <f aca="false" t="array" ref="BL41:BL41">IF(AND(BL$2&lt;&gt;0,TblTech[[#This Row],[Hour]:[Hour]]&gt;=BL$2),1,0)</f>
        <v>0</v>
      </c>
      <c r="BM41" s="329" t="n">
        <f aca="false" t="array" ref="BM41:BM41">IF(AND(BM$2&lt;&gt;0,TblTech[[#This Row],[Hour]:[Hour]]&gt;=BM$2),1,0)</f>
        <v>0</v>
      </c>
      <c r="BN41" s="329" t="n">
        <f aca="false" t="array" ref="BN41:BN41">IF(AND(BN$2&lt;&gt;0,TblTech[[#This Row],[Hour]:[Hour]]&gt;=BN$2),1,0)</f>
        <v>0</v>
      </c>
      <c r="BO41" s="329" t="n">
        <f aca="false" t="array" ref="BO41:BO41">IF(AND(BO$2&lt;&gt;0,TblTech[[#This Row],[Hour]:[Hour]]&gt;=BO$2),1,0)</f>
        <v>0</v>
      </c>
      <c r="BP41" s="329" t="n">
        <f aca="false" t="array" ref="BP41:BP41">IF(AND(BP$2&lt;&gt;0,TblTech[[#This Row],[Hour]:[Hour]]&gt;=BP$2),1,0)</f>
        <v>0</v>
      </c>
      <c r="BQ41" s="329" t="n">
        <f aca="false" t="array" ref="BQ41:BQ41">IF(AND(BQ$2&lt;&gt;0,TblTech[[#This Row],[Hour]:[Hour]]&gt;=BQ$2),1,0)</f>
        <v>0</v>
      </c>
      <c r="BR41" s="329" t="n">
        <f aca="false" t="array" ref="BR41:BR41">IF(AND(BR$2&lt;&gt;0,TblTech[[#This Row],[Hour]:[Hour]]&gt;=BR$2),1,0)</f>
        <v>0</v>
      </c>
      <c r="BS41" s="329" t="n">
        <f aca="false" t="array" ref="BS41:BS41">IF(AND(BS$2&lt;&gt;0,TblTech[[#This Row],[Hour]:[Hour]]&gt;=BS$2),1,0)</f>
        <v>0</v>
      </c>
      <c r="BT41" s="329" t="n">
        <f aca="false" t="array" ref="BT41:BT41">IF(AND(BT$2&lt;&gt;0,TblTech[[#This Row],[Hour]:[Hour]]&gt;=BT$2),1,0)</f>
        <v>0</v>
      </c>
      <c r="BU41" s="329" t="n">
        <f aca="false" t="array" ref="BU41:BU41">IF(AND(BU$2&lt;&gt;0,TblTech[[#This Row],[Hour]:[Hour]]&gt;=BU$2),1,0)</f>
        <v>0</v>
      </c>
      <c r="BV41" s="329" t="n">
        <f aca="false" t="array" ref="BV41:BV41">IF(AND(BV$2&lt;&gt;0,TblTech[[#This Row],[Hour]:[Hour]]&gt;=BV$2),1,0)</f>
        <v>0</v>
      </c>
      <c r="BW41" s="329" t="n">
        <f aca="false" t="array" ref="BW41:BW41">IF(AND(BW$2&lt;&gt;0,TblTech[[#This Row],[Hour]:[Hour]]&gt;=BW$2),1,0)</f>
        <v>0</v>
      </c>
      <c r="BX41" s="329" t="n">
        <f aca="false" t="array" ref="BX41:BX41">IF(AND(BX$2&lt;&gt;0,TblTech[[#This Row],[Hour]:[Hour]]&gt;=BX$2),1,0)</f>
        <v>0</v>
      </c>
      <c r="BY41" s="329" t="n">
        <f aca="false" t="array" ref="BY41:BY41">IF(AND(BY$2&lt;&gt;0,TblTech[[#This Row],[Hour]:[Hour]]&gt;=BY$2),1,0)</f>
        <v>0</v>
      </c>
      <c r="BZ41" s="329" t="n">
        <f aca="false" t="array" ref="BZ41:BZ41">IF(AND(BZ$2&lt;&gt;0,TblTech[[#This Row],[Hour]:[Hour]]&gt;=BZ$2),1,0)</f>
        <v>0</v>
      </c>
      <c r="CA41" s="330" t="n">
        <f aca="false">IFERROR(INDEX($H$4:$H$79,MATCH(INDEX(TblTech[[#Headers],[1-1]:[11-1]],1,MATCH(TblTech[[#This Row],[Hour]],$M$2:$BZ$2,0)),$G$4:$G$79,0)),)</f>
        <v>0</v>
      </c>
    </row>
    <row r="42" customFormat="false" ht="12.75" hidden="false" customHeight="false" outlineLevel="0" collapsed="false">
      <c r="A42" s="321" t="n">
        <f aca="false">TblRezone[[#This Row],[Hour]]</f>
        <v>39</v>
      </c>
      <c r="B42" s="322" t="n">
        <f aca="false">TblExplore[[#This Row],[Land-DB]]</f>
        <v>419</v>
      </c>
      <c r="C42" s="323" t="n">
        <f aca="false">TblProd[[#This Row],[Techpoints]]</f>
        <v>350</v>
      </c>
      <c r="D42" s="323" t="n">
        <f aca="false">TblProd[[#This Row],[Required]]</f>
        <v>3750</v>
      </c>
      <c r="E42" s="324"/>
      <c r="F42" s="325"/>
      <c r="G42" s="326" t="s">
        <v>559</v>
      </c>
      <c r="H42" s="327" t="s">
        <v>661</v>
      </c>
      <c r="I42" s="326" t="s">
        <v>618</v>
      </c>
      <c r="J42" s="322"/>
      <c r="K42" s="68" t="n">
        <f aca="false">IF(TblTech[[#This Row],[Sum of tech]]&lt;&gt;OFFSET(TblTech[[#This Row],[Sum of tech]],-1,0),1,0)</f>
        <v>0</v>
      </c>
      <c r="L42" s="328" t="n">
        <f aca="false">COUNTIF(TblTech[[#This Row],[1-1]:[11-1]],1)</f>
        <v>0</v>
      </c>
      <c r="M42" s="329" t="n">
        <f aca="false" t="array" ref="M42:M42">IF(AND(M$2&lt;&gt;0,TblTech[[#This Row],[Hour]:[Hour]]&gt;=M$2),1,0)</f>
        <v>0</v>
      </c>
      <c r="N42" s="329" t="n">
        <f aca="false" t="array" ref="N42:N42">IF(AND(N$2&lt;&gt;0,TblTech[[#This Row],[Hour]:[Hour]]&gt;=N$2),1,0)</f>
        <v>0</v>
      </c>
      <c r="O42" s="329" t="n">
        <f aca="false" t="array" ref="O42:O42">IF(AND(O$2&lt;&gt;0,TblTech[[#This Row],[Hour]:[Hour]]&gt;=O$2),1,0)</f>
        <v>0</v>
      </c>
      <c r="P42" s="329" t="n">
        <f aca="false" t="array" ref="P42:P42">IF(AND(P$2&lt;&gt;0,TblTech[[#This Row],[Hour]:[Hour]]&gt;=P$2),1,0)</f>
        <v>0</v>
      </c>
      <c r="Q42" s="329" t="n">
        <f aca="false" t="array" ref="Q42:Q42">IF(AND(Q$2&lt;&gt;0,TblTech[[#This Row],[Hour]:[Hour]]&gt;=Q$2),1,0)</f>
        <v>0</v>
      </c>
      <c r="R42" s="329" t="n">
        <f aca="false" t="array" ref="R42:R42">IF(AND(R$2&lt;&gt;0,TblTech[[#This Row],[Hour]:[Hour]]&gt;=R$2),1,0)</f>
        <v>0</v>
      </c>
      <c r="S42" s="329" t="n">
        <f aca="false" t="array" ref="S42:S42">IF(AND(S$2&lt;&gt;0,TblTech[[#This Row],[Hour]:[Hour]]&gt;=S$2),1,0)</f>
        <v>0</v>
      </c>
      <c r="T42" s="329" t="n">
        <f aca="false" t="array" ref="T42:T42">IF(AND(T$2&lt;&gt;0,TblTech[[#This Row],[Hour]:[Hour]]&gt;=T$2),1,0)</f>
        <v>0</v>
      </c>
      <c r="U42" s="329" t="n">
        <f aca="false" t="array" ref="U42:U42">IF(AND(U$2&lt;&gt;0,TblTech[[#This Row],[Hour]:[Hour]]&gt;=U$2),1,0)</f>
        <v>0</v>
      </c>
      <c r="V42" s="329" t="n">
        <f aca="false" t="array" ref="V42:V42">IF(AND(V$2&lt;&gt;0,TblTech[[#This Row],[Hour]:[Hour]]&gt;=V$2),1,0)</f>
        <v>0</v>
      </c>
      <c r="W42" s="329" t="n">
        <f aca="false" t="array" ref="W42:W42">IF(AND(W$2&lt;&gt;0,TblTech[[#This Row],[Hour]:[Hour]]&gt;=W$2),1,0)</f>
        <v>0</v>
      </c>
      <c r="X42" s="329" t="n">
        <f aca="false" t="array" ref="X42:X42">IF(AND(X$2&lt;&gt;0,TblTech[[#This Row],[Hour]:[Hour]]&gt;=X$2),1,0)</f>
        <v>0</v>
      </c>
      <c r="Y42" s="329" t="n">
        <f aca="false" t="array" ref="Y42:Y42">IF(AND(Y$2&lt;&gt;0,TblTech[[#This Row],[Hour]:[Hour]]&gt;=Y$2),1,0)</f>
        <v>0</v>
      </c>
      <c r="Z42" s="329" t="n">
        <f aca="false" t="array" ref="Z42:Z42">IF(AND(Z$2&lt;&gt;0,TblTech[[#This Row],[Hour]:[Hour]]&gt;=Z$2),1,0)</f>
        <v>0</v>
      </c>
      <c r="AA42" s="329" t="n">
        <f aca="false" t="array" ref="AA42:AA42">IF(AND(AA$2&lt;&gt;0,TblTech[[#This Row],[Hour]:[Hour]]&gt;=AA$2),1,0)</f>
        <v>0</v>
      </c>
      <c r="AB42" s="329" t="n">
        <f aca="false" t="array" ref="AB42:AB42">IF(AND(AB$2&lt;&gt;0,TblTech[[#This Row],[Hour]:[Hour]]&gt;=AB$2),1,0)</f>
        <v>0</v>
      </c>
      <c r="AC42" s="329" t="n">
        <f aca="false" t="array" ref="AC42:AC42">IF(AND(AC$2&lt;&gt;0,TblTech[[#This Row],[Hour]:[Hour]]&gt;=AC$2),1,0)</f>
        <v>0</v>
      </c>
      <c r="AD42" s="329" t="n">
        <f aca="false" t="array" ref="AD42:AD42">IF(AND(AD$2&lt;&gt;0,TblTech[[#This Row],[Hour]:[Hour]]&gt;=AD$2),1,0)</f>
        <v>0</v>
      </c>
      <c r="AE42" s="329" t="n">
        <f aca="false" t="array" ref="AE42:AE42">IF(AND(AE$2&lt;&gt;0,TblTech[[#This Row],[Hour]:[Hour]]&gt;=AE$2),1,0)</f>
        <v>0</v>
      </c>
      <c r="AF42" s="329" t="n">
        <f aca="false" t="array" ref="AF42:AF42">IF(AND(AF$2&lt;&gt;0,TblTech[[#This Row],[Hour]:[Hour]]&gt;=AF$2),1,0)</f>
        <v>0</v>
      </c>
      <c r="AG42" s="329" t="n">
        <f aca="false" t="array" ref="AG42:AG42">IF(AND(AG$2&lt;&gt;0,TblTech[[#This Row],[Hour]:[Hour]]&gt;=AG$2),1,0)</f>
        <v>0</v>
      </c>
      <c r="AH42" s="329" t="n">
        <f aca="false" t="array" ref="AH42:AH42">IF(AND(AH$2&lt;&gt;0,TblTech[[#This Row],[Hour]:[Hour]]&gt;=AH$2),1,0)</f>
        <v>0</v>
      </c>
      <c r="AI42" s="329" t="n">
        <f aca="false" t="array" ref="AI42:AI42">IF(AND(AI$2&lt;&gt;0,TblTech[[#This Row],[Hour]:[Hour]]&gt;=AI$2),1,0)</f>
        <v>0</v>
      </c>
      <c r="AJ42" s="329" t="n">
        <f aca="false" t="array" ref="AJ42:AJ42">IF(AND(AJ$2&lt;&gt;0,TblTech[[#This Row],[Hour]:[Hour]]&gt;=AJ$2),1,0)</f>
        <v>0</v>
      </c>
      <c r="AK42" s="329" t="n">
        <f aca="false" t="array" ref="AK42:AK42">IF(AND(AK$2&lt;&gt;0,TblTech[[#This Row],[Hour]:[Hour]]&gt;=AK$2),1,0)</f>
        <v>0</v>
      </c>
      <c r="AL42" s="329" t="n">
        <f aca="false" t="array" ref="AL42:AL42">IF(AND(AL$2&lt;&gt;0,TblTech[[#This Row],[Hour]:[Hour]]&gt;=AL$2),1,0)</f>
        <v>0</v>
      </c>
      <c r="AM42" s="329" t="n">
        <f aca="false" t="array" ref="AM42:AM42">IF(AND(AM$2&lt;&gt;0,TblTech[[#This Row],[Hour]:[Hour]]&gt;=AM$2),1,0)</f>
        <v>0</v>
      </c>
      <c r="AN42" s="329" t="n">
        <f aca="false" t="array" ref="AN42:AN42">IF(AND(AN$2&lt;&gt;0,TblTech[[#This Row],[Hour]:[Hour]]&gt;=AN$2),1,0)</f>
        <v>0</v>
      </c>
      <c r="AO42" s="329" t="n">
        <f aca="false" t="array" ref="AO42:AO42">IF(AND(AO$2&lt;&gt;0,TblTech[[#This Row],[Hour]:[Hour]]&gt;=AO$2),1,0)</f>
        <v>0</v>
      </c>
      <c r="AP42" s="329" t="n">
        <f aca="false" t="array" ref="AP42:AP42">IF(AND(AP$2&lt;&gt;0,TblTech[[#This Row],[Hour]:[Hour]]&gt;=AP$2),1,0)</f>
        <v>0</v>
      </c>
      <c r="AQ42" s="329" t="n">
        <f aca="false" t="array" ref="AQ42:AQ42">IF(AND(AQ$2&lt;&gt;0,TblTech[[#This Row],[Hour]:[Hour]]&gt;=AQ$2),1,0)</f>
        <v>0</v>
      </c>
      <c r="AR42" s="329" t="n">
        <f aca="false" t="array" ref="AR42:AR42">IF(AND(AR$2&lt;&gt;0,TblTech[[#This Row],[Hour]:[Hour]]&gt;=AR$2),1,0)</f>
        <v>0</v>
      </c>
      <c r="AS42" s="329" t="n">
        <f aca="false" t="array" ref="AS42:AS42">IF(AND(AS$2&lt;&gt;0,TblTech[[#This Row],[Hour]:[Hour]]&gt;=AS$2),1,0)</f>
        <v>0</v>
      </c>
      <c r="AT42" s="329" t="n">
        <f aca="false" t="array" ref="AT42:AT42">IF(AND(AT$2&lt;&gt;0,TblTech[[#This Row],[Hour]:[Hour]]&gt;=AT$2),1,0)</f>
        <v>0</v>
      </c>
      <c r="AU42" s="329" t="n">
        <f aca="false" t="array" ref="AU42:AU42">IF(AND(AU$2&lt;&gt;0,TblTech[[#This Row],[Hour]:[Hour]]&gt;=AU$2),1,0)</f>
        <v>0</v>
      </c>
      <c r="AV42" s="329" t="n">
        <f aca="false" t="array" ref="AV42:AV42">IF(AND(AV$2&lt;&gt;0,TblTech[[#This Row],[Hour]:[Hour]]&gt;=AV$2),1,0)</f>
        <v>0</v>
      </c>
      <c r="AW42" s="329" t="n">
        <f aca="false" t="array" ref="AW42:AW42">IF(AND(AW$2&lt;&gt;0,TblTech[[#This Row],[Hour]:[Hour]]&gt;=AW$2),1,0)</f>
        <v>0</v>
      </c>
      <c r="AX42" s="329" t="n">
        <f aca="false" t="array" ref="AX42:AX42">IF(AND(AX$2&lt;&gt;0,TblTech[[#This Row],[Hour]:[Hour]]&gt;=AX$2),1,0)</f>
        <v>0</v>
      </c>
      <c r="AY42" s="329" t="n">
        <f aca="false" t="array" ref="AY42:AY42">IF(AND(AY$2&lt;&gt;0,TblTech[[#This Row],[Hour]:[Hour]]&gt;=AY$2),1,0)</f>
        <v>0</v>
      </c>
      <c r="AZ42" s="329" t="n">
        <f aca="false" t="array" ref="AZ42:AZ42">IF(AND(AZ$2&lt;&gt;0,TblTech[[#This Row],[Hour]:[Hour]]&gt;=AZ$2),1,0)</f>
        <v>0</v>
      </c>
      <c r="BA42" s="329" t="n">
        <f aca="false" t="array" ref="BA42:BA42">IF(AND(BA$2&lt;&gt;0,TblTech[[#This Row],[Hour]:[Hour]]&gt;=BA$2),1,0)</f>
        <v>0</v>
      </c>
      <c r="BB42" s="329" t="n">
        <f aca="false" t="array" ref="BB42:BB42">IF(AND(BB$2&lt;&gt;0,TblTech[[#This Row],[Hour]:[Hour]]&gt;=BB$2),1,0)</f>
        <v>0</v>
      </c>
      <c r="BC42" s="329" t="n">
        <f aca="false" t="array" ref="BC42:BC42">IF(AND(BC$2&lt;&gt;0,TblTech[[#This Row],[Hour]:[Hour]]&gt;=BC$2),1,0)</f>
        <v>0</v>
      </c>
      <c r="BD42" s="329" t="n">
        <f aca="false" t="array" ref="BD42:BD42">IF(AND(BD$2&lt;&gt;0,TblTech[[#This Row],[Hour]:[Hour]]&gt;=BD$2),1,0)</f>
        <v>0</v>
      </c>
      <c r="BE42" s="329" t="n">
        <f aca="false" t="array" ref="BE42:BE42">IF(AND(BE$2&lt;&gt;0,TblTech[[#This Row],[Hour]:[Hour]]&gt;=BE$2),1,0)</f>
        <v>0</v>
      </c>
      <c r="BF42" s="329" t="n">
        <f aca="false" t="array" ref="BF42:BF42">IF(AND(BF$2&lt;&gt;0,TblTech[[#This Row],[Hour]:[Hour]]&gt;=BF$2),1,0)</f>
        <v>0</v>
      </c>
      <c r="BG42" s="329" t="n">
        <f aca="false" t="array" ref="BG42:BG42">IF(AND(BG$2&lt;&gt;0,TblTech[[#This Row],[Hour]:[Hour]]&gt;=BG$2),1,0)</f>
        <v>0</v>
      </c>
      <c r="BH42" s="329" t="n">
        <f aca="false" t="array" ref="BH42:BH42">IF(AND(BH$2&lt;&gt;0,TblTech[[#This Row],[Hour]:[Hour]]&gt;=BH$2),1,0)</f>
        <v>0</v>
      </c>
      <c r="BI42" s="329" t="n">
        <f aca="false" t="array" ref="BI42:BI42">IF(AND(BI$2&lt;&gt;0,TblTech[[#This Row],[Hour]:[Hour]]&gt;=BI$2),1,0)</f>
        <v>0</v>
      </c>
      <c r="BJ42" s="329" t="n">
        <f aca="false" t="array" ref="BJ42:BJ42">IF(AND(BJ$2&lt;&gt;0,TblTech[[#This Row],[Hour]:[Hour]]&gt;=BJ$2),1,0)</f>
        <v>0</v>
      </c>
      <c r="BK42" s="329" t="n">
        <f aca="false" t="array" ref="BK42:BK42">IF(AND(BK$2&lt;&gt;0,TblTech[[#This Row],[Hour]:[Hour]]&gt;=BK$2),1,0)</f>
        <v>0</v>
      </c>
      <c r="BL42" s="329" t="n">
        <f aca="false" t="array" ref="BL42:BL42">IF(AND(BL$2&lt;&gt;0,TblTech[[#This Row],[Hour]:[Hour]]&gt;=BL$2),1,0)</f>
        <v>0</v>
      </c>
      <c r="BM42" s="329" t="n">
        <f aca="false" t="array" ref="BM42:BM42">IF(AND(BM$2&lt;&gt;0,TblTech[[#This Row],[Hour]:[Hour]]&gt;=BM$2),1,0)</f>
        <v>0</v>
      </c>
      <c r="BN42" s="329" t="n">
        <f aca="false" t="array" ref="BN42:BN42">IF(AND(BN$2&lt;&gt;0,TblTech[[#This Row],[Hour]:[Hour]]&gt;=BN$2),1,0)</f>
        <v>0</v>
      </c>
      <c r="BO42" s="329" t="n">
        <f aca="false" t="array" ref="BO42:BO42">IF(AND(BO$2&lt;&gt;0,TblTech[[#This Row],[Hour]:[Hour]]&gt;=BO$2),1,0)</f>
        <v>0</v>
      </c>
      <c r="BP42" s="329" t="n">
        <f aca="false" t="array" ref="BP42:BP42">IF(AND(BP$2&lt;&gt;0,TblTech[[#This Row],[Hour]:[Hour]]&gt;=BP$2),1,0)</f>
        <v>0</v>
      </c>
      <c r="BQ42" s="329" t="n">
        <f aca="false" t="array" ref="BQ42:BQ42">IF(AND(BQ$2&lt;&gt;0,TblTech[[#This Row],[Hour]:[Hour]]&gt;=BQ$2),1,0)</f>
        <v>0</v>
      </c>
      <c r="BR42" s="329" t="n">
        <f aca="false" t="array" ref="BR42:BR42">IF(AND(BR$2&lt;&gt;0,TblTech[[#This Row],[Hour]:[Hour]]&gt;=BR$2),1,0)</f>
        <v>0</v>
      </c>
      <c r="BS42" s="329" t="n">
        <f aca="false" t="array" ref="BS42:BS42">IF(AND(BS$2&lt;&gt;0,TblTech[[#This Row],[Hour]:[Hour]]&gt;=BS$2),1,0)</f>
        <v>0</v>
      </c>
      <c r="BT42" s="329" t="n">
        <f aca="false" t="array" ref="BT42:BT42">IF(AND(BT$2&lt;&gt;0,TblTech[[#This Row],[Hour]:[Hour]]&gt;=BT$2),1,0)</f>
        <v>0</v>
      </c>
      <c r="BU42" s="329" t="n">
        <f aca="false" t="array" ref="BU42:BU42">IF(AND(BU$2&lt;&gt;0,TblTech[[#This Row],[Hour]:[Hour]]&gt;=BU$2),1,0)</f>
        <v>0</v>
      </c>
      <c r="BV42" s="329" t="n">
        <f aca="false" t="array" ref="BV42:BV42">IF(AND(BV$2&lt;&gt;0,TblTech[[#This Row],[Hour]:[Hour]]&gt;=BV$2),1,0)</f>
        <v>0</v>
      </c>
      <c r="BW42" s="329" t="n">
        <f aca="false" t="array" ref="BW42:BW42">IF(AND(BW$2&lt;&gt;0,TblTech[[#This Row],[Hour]:[Hour]]&gt;=BW$2),1,0)</f>
        <v>0</v>
      </c>
      <c r="BX42" s="329" t="n">
        <f aca="false" t="array" ref="BX42:BX42">IF(AND(BX$2&lt;&gt;0,TblTech[[#This Row],[Hour]:[Hour]]&gt;=BX$2),1,0)</f>
        <v>0</v>
      </c>
      <c r="BY42" s="329" t="n">
        <f aca="false" t="array" ref="BY42:BY42">IF(AND(BY$2&lt;&gt;0,TblTech[[#This Row],[Hour]:[Hour]]&gt;=BY$2),1,0)</f>
        <v>0</v>
      </c>
      <c r="BZ42" s="329" t="n">
        <f aca="false" t="array" ref="BZ42:BZ42">IF(AND(BZ$2&lt;&gt;0,TblTech[[#This Row],[Hour]:[Hour]]&gt;=BZ$2),1,0)</f>
        <v>0</v>
      </c>
      <c r="CA42" s="330" t="n">
        <f aca="false">IFERROR(INDEX($H$4:$H$79,MATCH(INDEX(TblTech[[#Headers],[1-1]:[11-1]],1,MATCH(TblTech[[#This Row],[Hour]],$M$2:$BZ$2,0)),$G$4:$G$79,0)),)</f>
        <v>0</v>
      </c>
    </row>
    <row r="43" customFormat="false" ht="12.75" hidden="false" customHeight="false" outlineLevel="0" collapsed="false">
      <c r="A43" s="321" t="n">
        <f aca="false">TblRezone[[#This Row],[Hour]]</f>
        <v>40</v>
      </c>
      <c r="B43" s="322" t="n">
        <f aca="false">TblExplore[[#This Row],[Land-DB]]</f>
        <v>419</v>
      </c>
      <c r="C43" s="323" t="n">
        <f aca="false">TblProd[[#This Row],[Techpoints]]</f>
        <v>350</v>
      </c>
      <c r="D43" s="323" t="n">
        <f aca="false">TblProd[[#This Row],[Required]]</f>
        <v>3750</v>
      </c>
      <c r="E43" s="324"/>
      <c r="F43" s="325"/>
      <c r="G43" s="326" t="s">
        <v>560</v>
      </c>
      <c r="H43" s="327" t="s">
        <v>662</v>
      </c>
      <c r="I43" s="326" t="s">
        <v>663</v>
      </c>
      <c r="J43" s="322"/>
      <c r="K43" s="68" t="n">
        <f aca="false">IF(TblTech[[#This Row],[Sum of tech]]&lt;&gt;OFFSET(TblTech[[#This Row],[Sum of tech]],-1,0),1,0)</f>
        <v>0</v>
      </c>
      <c r="L43" s="328" t="n">
        <f aca="false">COUNTIF(TblTech[[#This Row],[1-1]:[11-1]],1)</f>
        <v>0</v>
      </c>
      <c r="M43" s="329" t="n">
        <f aca="false" t="array" ref="M43:M43">IF(AND(M$2&lt;&gt;0,TblTech[[#This Row],[Hour]:[Hour]]&gt;=M$2),1,0)</f>
        <v>0</v>
      </c>
      <c r="N43" s="329" t="n">
        <f aca="false" t="array" ref="N43:N43">IF(AND(N$2&lt;&gt;0,TblTech[[#This Row],[Hour]:[Hour]]&gt;=N$2),1,0)</f>
        <v>0</v>
      </c>
      <c r="O43" s="329" t="n">
        <f aca="false" t="array" ref="O43:O43">IF(AND(O$2&lt;&gt;0,TblTech[[#This Row],[Hour]:[Hour]]&gt;=O$2),1,0)</f>
        <v>0</v>
      </c>
      <c r="P43" s="329" t="n">
        <f aca="false" t="array" ref="P43:P43">IF(AND(P$2&lt;&gt;0,TblTech[[#This Row],[Hour]:[Hour]]&gt;=P$2),1,0)</f>
        <v>0</v>
      </c>
      <c r="Q43" s="329" t="n">
        <f aca="false" t="array" ref="Q43:Q43">IF(AND(Q$2&lt;&gt;0,TblTech[[#This Row],[Hour]:[Hour]]&gt;=Q$2),1,0)</f>
        <v>0</v>
      </c>
      <c r="R43" s="329" t="n">
        <f aca="false" t="array" ref="R43:R43">IF(AND(R$2&lt;&gt;0,TblTech[[#This Row],[Hour]:[Hour]]&gt;=R$2),1,0)</f>
        <v>0</v>
      </c>
      <c r="S43" s="329" t="n">
        <f aca="false" t="array" ref="S43:S43">IF(AND(S$2&lt;&gt;0,TblTech[[#This Row],[Hour]:[Hour]]&gt;=S$2),1,0)</f>
        <v>0</v>
      </c>
      <c r="T43" s="329" t="n">
        <f aca="false" t="array" ref="T43:T43">IF(AND(T$2&lt;&gt;0,TblTech[[#This Row],[Hour]:[Hour]]&gt;=T$2),1,0)</f>
        <v>0</v>
      </c>
      <c r="U43" s="329" t="n">
        <f aca="false" t="array" ref="U43:U43">IF(AND(U$2&lt;&gt;0,TblTech[[#This Row],[Hour]:[Hour]]&gt;=U$2),1,0)</f>
        <v>0</v>
      </c>
      <c r="V43" s="329" t="n">
        <f aca="false" t="array" ref="V43:V43">IF(AND(V$2&lt;&gt;0,TblTech[[#This Row],[Hour]:[Hour]]&gt;=V$2),1,0)</f>
        <v>0</v>
      </c>
      <c r="W43" s="329" t="n">
        <f aca="false" t="array" ref="W43:W43">IF(AND(W$2&lt;&gt;0,TblTech[[#This Row],[Hour]:[Hour]]&gt;=W$2),1,0)</f>
        <v>0</v>
      </c>
      <c r="X43" s="329" t="n">
        <f aca="false" t="array" ref="X43:X43">IF(AND(X$2&lt;&gt;0,TblTech[[#This Row],[Hour]:[Hour]]&gt;=X$2),1,0)</f>
        <v>0</v>
      </c>
      <c r="Y43" s="329" t="n">
        <f aca="false" t="array" ref="Y43:Y43">IF(AND(Y$2&lt;&gt;0,TblTech[[#This Row],[Hour]:[Hour]]&gt;=Y$2),1,0)</f>
        <v>0</v>
      </c>
      <c r="Z43" s="329" t="n">
        <f aca="false" t="array" ref="Z43:Z43">IF(AND(Z$2&lt;&gt;0,TblTech[[#This Row],[Hour]:[Hour]]&gt;=Z$2),1,0)</f>
        <v>0</v>
      </c>
      <c r="AA43" s="329" t="n">
        <f aca="false" t="array" ref="AA43:AA43">IF(AND(AA$2&lt;&gt;0,TblTech[[#This Row],[Hour]:[Hour]]&gt;=AA$2),1,0)</f>
        <v>0</v>
      </c>
      <c r="AB43" s="329" t="n">
        <f aca="false" t="array" ref="AB43:AB43">IF(AND(AB$2&lt;&gt;0,TblTech[[#This Row],[Hour]:[Hour]]&gt;=AB$2),1,0)</f>
        <v>0</v>
      </c>
      <c r="AC43" s="329" t="n">
        <f aca="false" t="array" ref="AC43:AC43">IF(AND(AC$2&lt;&gt;0,TblTech[[#This Row],[Hour]:[Hour]]&gt;=AC$2),1,0)</f>
        <v>0</v>
      </c>
      <c r="AD43" s="329" t="n">
        <f aca="false" t="array" ref="AD43:AD43">IF(AND(AD$2&lt;&gt;0,TblTech[[#This Row],[Hour]:[Hour]]&gt;=AD$2),1,0)</f>
        <v>0</v>
      </c>
      <c r="AE43" s="329" t="n">
        <f aca="false" t="array" ref="AE43:AE43">IF(AND(AE$2&lt;&gt;0,TblTech[[#This Row],[Hour]:[Hour]]&gt;=AE$2),1,0)</f>
        <v>0</v>
      </c>
      <c r="AF43" s="329" t="n">
        <f aca="false" t="array" ref="AF43:AF43">IF(AND(AF$2&lt;&gt;0,TblTech[[#This Row],[Hour]:[Hour]]&gt;=AF$2),1,0)</f>
        <v>0</v>
      </c>
      <c r="AG43" s="329" t="n">
        <f aca="false" t="array" ref="AG43:AG43">IF(AND(AG$2&lt;&gt;0,TblTech[[#This Row],[Hour]:[Hour]]&gt;=AG$2),1,0)</f>
        <v>0</v>
      </c>
      <c r="AH43" s="329" t="n">
        <f aca="false" t="array" ref="AH43:AH43">IF(AND(AH$2&lt;&gt;0,TblTech[[#This Row],[Hour]:[Hour]]&gt;=AH$2),1,0)</f>
        <v>0</v>
      </c>
      <c r="AI43" s="329" t="n">
        <f aca="false" t="array" ref="AI43:AI43">IF(AND(AI$2&lt;&gt;0,TblTech[[#This Row],[Hour]:[Hour]]&gt;=AI$2),1,0)</f>
        <v>0</v>
      </c>
      <c r="AJ43" s="329" t="n">
        <f aca="false" t="array" ref="AJ43:AJ43">IF(AND(AJ$2&lt;&gt;0,TblTech[[#This Row],[Hour]:[Hour]]&gt;=AJ$2),1,0)</f>
        <v>0</v>
      </c>
      <c r="AK43" s="329" t="n">
        <f aca="false" t="array" ref="AK43:AK43">IF(AND(AK$2&lt;&gt;0,TblTech[[#This Row],[Hour]:[Hour]]&gt;=AK$2),1,0)</f>
        <v>0</v>
      </c>
      <c r="AL43" s="329" t="n">
        <f aca="false" t="array" ref="AL43:AL43">IF(AND(AL$2&lt;&gt;0,TblTech[[#This Row],[Hour]:[Hour]]&gt;=AL$2),1,0)</f>
        <v>0</v>
      </c>
      <c r="AM43" s="329" t="n">
        <f aca="false" t="array" ref="AM43:AM43">IF(AND(AM$2&lt;&gt;0,TblTech[[#This Row],[Hour]:[Hour]]&gt;=AM$2),1,0)</f>
        <v>0</v>
      </c>
      <c r="AN43" s="329" t="n">
        <f aca="false" t="array" ref="AN43:AN43">IF(AND(AN$2&lt;&gt;0,TblTech[[#This Row],[Hour]:[Hour]]&gt;=AN$2),1,0)</f>
        <v>0</v>
      </c>
      <c r="AO43" s="329" t="n">
        <f aca="false" t="array" ref="AO43:AO43">IF(AND(AO$2&lt;&gt;0,TblTech[[#This Row],[Hour]:[Hour]]&gt;=AO$2),1,0)</f>
        <v>0</v>
      </c>
      <c r="AP43" s="329" t="n">
        <f aca="false" t="array" ref="AP43:AP43">IF(AND(AP$2&lt;&gt;0,TblTech[[#This Row],[Hour]:[Hour]]&gt;=AP$2),1,0)</f>
        <v>0</v>
      </c>
      <c r="AQ43" s="329" t="n">
        <f aca="false" t="array" ref="AQ43:AQ43">IF(AND(AQ$2&lt;&gt;0,TblTech[[#This Row],[Hour]:[Hour]]&gt;=AQ$2),1,0)</f>
        <v>0</v>
      </c>
      <c r="AR43" s="329" t="n">
        <f aca="false" t="array" ref="AR43:AR43">IF(AND(AR$2&lt;&gt;0,TblTech[[#This Row],[Hour]:[Hour]]&gt;=AR$2),1,0)</f>
        <v>0</v>
      </c>
      <c r="AS43" s="329" t="n">
        <f aca="false" t="array" ref="AS43:AS43">IF(AND(AS$2&lt;&gt;0,TblTech[[#This Row],[Hour]:[Hour]]&gt;=AS$2),1,0)</f>
        <v>0</v>
      </c>
      <c r="AT43" s="329" t="n">
        <f aca="false" t="array" ref="AT43:AT43">IF(AND(AT$2&lt;&gt;0,TblTech[[#This Row],[Hour]:[Hour]]&gt;=AT$2),1,0)</f>
        <v>0</v>
      </c>
      <c r="AU43" s="329" t="n">
        <f aca="false" t="array" ref="AU43:AU43">IF(AND(AU$2&lt;&gt;0,TblTech[[#This Row],[Hour]:[Hour]]&gt;=AU$2),1,0)</f>
        <v>0</v>
      </c>
      <c r="AV43" s="329" t="n">
        <f aca="false" t="array" ref="AV43:AV43">IF(AND(AV$2&lt;&gt;0,TblTech[[#This Row],[Hour]:[Hour]]&gt;=AV$2),1,0)</f>
        <v>0</v>
      </c>
      <c r="AW43" s="329" t="n">
        <f aca="false" t="array" ref="AW43:AW43">IF(AND(AW$2&lt;&gt;0,TblTech[[#This Row],[Hour]:[Hour]]&gt;=AW$2),1,0)</f>
        <v>0</v>
      </c>
      <c r="AX43" s="329" t="n">
        <f aca="false" t="array" ref="AX43:AX43">IF(AND(AX$2&lt;&gt;0,TblTech[[#This Row],[Hour]:[Hour]]&gt;=AX$2),1,0)</f>
        <v>0</v>
      </c>
      <c r="AY43" s="329" t="n">
        <f aca="false" t="array" ref="AY43:AY43">IF(AND(AY$2&lt;&gt;0,TblTech[[#This Row],[Hour]:[Hour]]&gt;=AY$2),1,0)</f>
        <v>0</v>
      </c>
      <c r="AZ43" s="329" t="n">
        <f aca="false" t="array" ref="AZ43:AZ43">IF(AND(AZ$2&lt;&gt;0,TblTech[[#This Row],[Hour]:[Hour]]&gt;=AZ$2),1,0)</f>
        <v>0</v>
      </c>
      <c r="BA43" s="329" t="n">
        <f aca="false" t="array" ref="BA43:BA43">IF(AND(BA$2&lt;&gt;0,TblTech[[#This Row],[Hour]:[Hour]]&gt;=BA$2),1,0)</f>
        <v>0</v>
      </c>
      <c r="BB43" s="329" t="n">
        <f aca="false" t="array" ref="BB43:BB43">IF(AND(BB$2&lt;&gt;0,TblTech[[#This Row],[Hour]:[Hour]]&gt;=BB$2),1,0)</f>
        <v>0</v>
      </c>
      <c r="BC43" s="329" t="n">
        <f aca="false" t="array" ref="BC43:BC43">IF(AND(BC$2&lt;&gt;0,TblTech[[#This Row],[Hour]:[Hour]]&gt;=BC$2),1,0)</f>
        <v>0</v>
      </c>
      <c r="BD43" s="329" t="n">
        <f aca="false" t="array" ref="BD43:BD43">IF(AND(BD$2&lt;&gt;0,TblTech[[#This Row],[Hour]:[Hour]]&gt;=BD$2),1,0)</f>
        <v>0</v>
      </c>
      <c r="BE43" s="329" t="n">
        <f aca="false" t="array" ref="BE43:BE43">IF(AND(BE$2&lt;&gt;0,TblTech[[#This Row],[Hour]:[Hour]]&gt;=BE$2),1,0)</f>
        <v>0</v>
      </c>
      <c r="BF43" s="329" t="n">
        <f aca="false" t="array" ref="BF43:BF43">IF(AND(BF$2&lt;&gt;0,TblTech[[#This Row],[Hour]:[Hour]]&gt;=BF$2),1,0)</f>
        <v>0</v>
      </c>
      <c r="BG43" s="329" t="n">
        <f aca="false" t="array" ref="BG43:BG43">IF(AND(BG$2&lt;&gt;0,TblTech[[#This Row],[Hour]:[Hour]]&gt;=BG$2),1,0)</f>
        <v>0</v>
      </c>
      <c r="BH43" s="329" t="n">
        <f aca="false" t="array" ref="BH43:BH43">IF(AND(BH$2&lt;&gt;0,TblTech[[#This Row],[Hour]:[Hour]]&gt;=BH$2),1,0)</f>
        <v>0</v>
      </c>
      <c r="BI43" s="329" t="n">
        <f aca="false" t="array" ref="BI43:BI43">IF(AND(BI$2&lt;&gt;0,TblTech[[#This Row],[Hour]:[Hour]]&gt;=BI$2),1,0)</f>
        <v>0</v>
      </c>
      <c r="BJ43" s="329" t="n">
        <f aca="false" t="array" ref="BJ43:BJ43">IF(AND(BJ$2&lt;&gt;0,TblTech[[#This Row],[Hour]:[Hour]]&gt;=BJ$2),1,0)</f>
        <v>0</v>
      </c>
      <c r="BK43" s="329" t="n">
        <f aca="false" t="array" ref="BK43:BK43">IF(AND(BK$2&lt;&gt;0,TblTech[[#This Row],[Hour]:[Hour]]&gt;=BK$2),1,0)</f>
        <v>0</v>
      </c>
      <c r="BL43" s="329" t="n">
        <f aca="false" t="array" ref="BL43:BL43">IF(AND(BL$2&lt;&gt;0,TblTech[[#This Row],[Hour]:[Hour]]&gt;=BL$2),1,0)</f>
        <v>0</v>
      </c>
      <c r="BM43" s="329" t="n">
        <f aca="false" t="array" ref="BM43:BM43">IF(AND(BM$2&lt;&gt;0,TblTech[[#This Row],[Hour]:[Hour]]&gt;=BM$2),1,0)</f>
        <v>0</v>
      </c>
      <c r="BN43" s="329" t="n">
        <f aca="false" t="array" ref="BN43:BN43">IF(AND(BN$2&lt;&gt;0,TblTech[[#This Row],[Hour]:[Hour]]&gt;=BN$2),1,0)</f>
        <v>0</v>
      </c>
      <c r="BO43" s="329" t="n">
        <f aca="false" t="array" ref="BO43:BO43">IF(AND(BO$2&lt;&gt;0,TblTech[[#This Row],[Hour]:[Hour]]&gt;=BO$2),1,0)</f>
        <v>0</v>
      </c>
      <c r="BP43" s="329" t="n">
        <f aca="false" t="array" ref="BP43:BP43">IF(AND(BP$2&lt;&gt;0,TblTech[[#This Row],[Hour]:[Hour]]&gt;=BP$2),1,0)</f>
        <v>0</v>
      </c>
      <c r="BQ43" s="329" t="n">
        <f aca="false" t="array" ref="BQ43:BQ43">IF(AND(BQ$2&lt;&gt;0,TblTech[[#This Row],[Hour]:[Hour]]&gt;=BQ$2),1,0)</f>
        <v>0</v>
      </c>
      <c r="BR43" s="329" t="n">
        <f aca="false" t="array" ref="BR43:BR43">IF(AND(BR$2&lt;&gt;0,TblTech[[#This Row],[Hour]:[Hour]]&gt;=BR$2),1,0)</f>
        <v>0</v>
      </c>
      <c r="BS43" s="329" t="n">
        <f aca="false" t="array" ref="BS43:BS43">IF(AND(BS$2&lt;&gt;0,TblTech[[#This Row],[Hour]:[Hour]]&gt;=BS$2),1,0)</f>
        <v>0</v>
      </c>
      <c r="BT43" s="329" t="n">
        <f aca="false" t="array" ref="BT43:BT43">IF(AND(BT$2&lt;&gt;0,TblTech[[#This Row],[Hour]:[Hour]]&gt;=BT$2),1,0)</f>
        <v>0</v>
      </c>
      <c r="BU43" s="329" t="n">
        <f aca="false" t="array" ref="BU43:BU43">IF(AND(BU$2&lt;&gt;0,TblTech[[#This Row],[Hour]:[Hour]]&gt;=BU$2),1,0)</f>
        <v>0</v>
      </c>
      <c r="BV43" s="329" t="n">
        <f aca="false" t="array" ref="BV43:BV43">IF(AND(BV$2&lt;&gt;0,TblTech[[#This Row],[Hour]:[Hour]]&gt;=BV$2),1,0)</f>
        <v>0</v>
      </c>
      <c r="BW43" s="329" t="n">
        <f aca="false" t="array" ref="BW43:BW43">IF(AND(BW$2&lt;&gt;0,TblTech[[#This Row],[Hour]:[Hour]]&gt;=BW$2),1,0)</f>
        <v>0</v>
      </c>
      <c r="BX43" s="329" t="n">
        <f aca="false" t="array" ref="BX43:BX43">IF(AND(BX$2&lt;&gt;0,TblTech[[#This Row],[Hour]:[Hour]]&gt;=BX$2),1,0)</f>
        <v>0</v>
      </c>
      <c r="BY43" s="329" t="n">
        <f aca="false" t="array" ref="BY43:BY43">IF(AND(BY$2&lt;&gt;0,TblTech[[#This Row],[Hour]:[Hour]]&gt;=BY$2),1,0)</f>
        <v>0</v>
      </c>
      <c r="BZ43" s="329" t="n">
        <f aca="false" t="array" ref="BZ43:BZ43">IF(AND(BZ$2&lt;&gt;0,TblTech[[#This Row],[Hour]:[Hour]]&gt;=BZ$2),1,0)</f>
        <v>0</v>
      </c>
      <c r="CA43" s="330" t="n">
        <f aca="false">IFERROR(INDEX($H$4:$H$79,MATCH(INDEX(TblTech[[#Headers],[1-1]:[11-1]],1,MATCH(TblTech[[#This Row],[Hour]],$M$2:$BZ$2,0)),$G$4:$G$79,0)),)</f>
        <v>0</v>
      </c>
    </row>
    <row r="44" customFormat="false" ht="12.75" hidden="false" customHeight="false" outlineLevel="0" collapsed="false">
      <c r="A44" s="321" t="n">
        <f aca="false">TblRezone[[#This Row],[Hour]]</f>
        <v>41</v>
      </c>
      <c r="B44" s="322" t="n">
        <f aca="false">TblExplore[[#This Row],[Land-DB]]</f>
        <v>501</v>
      </c>
      <c r="C44" s="323" t="n">
        <f aca="false">TblProd[[#This Row],[Techpoints]]</f>
        <v>350</v>
      </c>
      <c r="D44" s="323" t="n">
        <f aca="false">TblProd[[#This Row],[Required]]</f>
        <v>3750</v>
      </c>
      <c r="E44" s="324"/>
      <c r="F44" s="325"/>
      <c r="G44" s="326" t="s">
        <v>561</v>
      </c>
      <c r="H44" s="327" t="s">
        <v>664</v>
      </c>
      <c r="I44" s="326" t="s">
        <v>665</v>
      </c>
      <c r="J44" s="322"/>
      <c r="K44" s="68" t="n">
        <f aca="false">IF(TblTech[[#This Row],[Sum of tech]]&lt;&gt;OFFSET(TblTech[[#This Row],[Sum of tech]],-1,0),1,0)</f>
        <v>0</v>
      </c>
      <c r="L44" s="328" t="n">
        <f aca="false">COUNTIF(TblTech[[#This Row],[1-1]:[11-1]],1)</f>
        <v>0</v>
      </c>
      <c r="M44" s="329" t="n">
        <f aca="false" t="array" ref="M44:M44">IF(AND(M$2&lt;&gt;0,TblTech[[#This Row],[Hour]:[Hour]]&gt;=M$2),1,0)</f>
        <v>0</v>
      </c>
      <c r="N44" s="329" t="n">
        <f aca="false" t="array" ref="N44:N44">IF(AND(N$2&lt;&gt;0,TblTech[[#This Row],[Hour]:[Hour]]&gt;=N$2),1,0)</f>
        <v>0</v>
      </c>
      <c r="O44" s="329" t="n">
        <f aca="false" t="array" ref="O44:O44">IF(AND(O$2&lt;&gt;0,TblTech[[#This Row],[Hour]:[Hour]]&gt;=O$2),1,0)</f>
        <v>0</v>
      </c>
      <c r="P44" s="329" t="n">
        <f aca="false" t="array" ref="P44:P44">IF(AND(P$2&lt;&gt;0,TblTech[[#This Row],[Hour]:[Hour]]&gt;=P$2),1,0)</f>
        <v>0</v>
      </c>
      <c r="Q44" s="329" t="n">
        <f aca="false" t="array" ref="Q44:Q44">IF(AND(Q$2&lt;&gt;0,TblTech[[#This Row],[Hour]:[Hour]]&gt;=Q$2),1,0)</f>
        <v>0</v>
      </c>
      <c r="R44" s="329" t="n">
        <f aca="false" t="array" ref="R44:R44">IF(AND(R$2&lt;&gt;0,TblTech[[#This Row],[Hour]:[Hour]]&gt;=R$2),1,0)</f>
        <v>0</v>
      </c>
      <c r="S44" s="329" t="n">
        <f aca="false" t="array" ref="S44:S44">IF(AND(S$2&lt;&gt;0,TblTech[[#This Row],[Hour]:[Hour]]&gt;=S$2),1,0)</f>
        <v>0</v>
      </c>
      <c r="T44" s="329" t="n">
        <f aca="false" t="array" ref="T44:T44">IF(AND(T$2&lt;&gt;0,TblTech[[#This Row],[Hour]:[Hour]]&gt;=T$2),1,0)</f>
        <v>0</v>
      </c>
      <c r="U44" s="329" t="n">
        <f aca="false" t="array" ref="U44:U44">IF(AND(U$2&lt;&gt;0,TblTech[[#This Row],[Hour]:[Hour]]&gt;=U$2),1,0)</f>
        <v>0</v>
      </c>
      <c r="V44" s="329" t="n">
        <f aca="false" t="array" ref="V44:V44">IF(AND(V$2&lt;&gt;0,TblTech[[#This Row],[Hour]:[Hour]]&gt;=V$2),1,0)</f>
        <v>0</v>
      </c>
      <c r="W44" s="329" t="n">
        <f aca="false" t="array" ref="W44:W44">IF(AND(W$2&lt;&gt;0,TblTech[[#This Row],[Hour]:[Hour]]&gt;=W$2),1,0)</f>
        <v>0</v>
      </c>
      <c r="X44" s="329" t="n">
        <f aca="false" t="array" ref="X44:X44">IF(AND(X$2&lt;&gt;0,TblTech[[#This Row],[Hour]:[Hour]]&gt;=X$2),1,0)</f>
        <v>0</v>
      </c>
      <c r="Y44" s="329" t="n">
        <f aca="false" t="array" ref="Y44:Y44">IF(AND(Y$2&lt;&gt;0,TblTech[[#This Row],[Hour]:[Hour]]&gt;=Y$2),1,0)</f>
        <v>0</v>
      </c>
      <c r="Z44" s="329" t="n">
        <f aca="false" t="array" ref="Z44:Z44">IF(AND(Z$2&lt;&gt;0,TblTech[[#This Row],[Hour]:[Hour]]&gt;=Z$2),1,0)</f>
        <v>0</v>
      </c>
      <c r="AA44" s="329" t="n">
        <f aca="false" t="array" ref="AA44:AA44">IF(AND(AA$2&lt;&gt;0,TblTech[[#This Row],[Hour]:[Hour]]&gt;=AA$2),1,0)</f>
        <v>0</v>
      </c>
      <c r="AB44" s="329" t="n">
        <f aca="false" t="array" ref="AB44:AB44">IF(AND(AB$2&lt;&gt;0,TblTech[[#This Row],[Hour]:[Hour]]&gt;=AB$2),1,0)</f>
        <v>0</v>
      </c>
      <c r="AC44" s="329" t="n">
        <f aca="false" t="array" ref="AC44:AC44">IF(AND(AC$2&lt;&gt;0,TblTech[[#This Row],[Hour]:[Hour]]&gt;=AC$2),1,0)</f>
        <v>0</v>
      </c>
      <c r="AD44" s="329" t="n">
        <f aca="false" t="array" ref="AD44:AD44">IF(AND(AD$2&lt;&gt;0,TblTech[[#This Row],[Hour]:[Hour]]&gt;=AD$2),1,0)</f>
        <v>0</v>
      </c>
      <c r="AE44" s="329" t="n">
        <f aca="false" t="array" ref="AE44:AE44">IF(AND(AE$2&lt;&gt;0,TblTech[[#This Row],[Hour]:[Hour]]&gt;=AE$2),1,0)</f>
        <v>0</v>
      </c>
      <c r="AF44" s="329" t="n">
        <f aca="false" t="array" ref="AF44:AF44">IF(AND(AF$2&lt;&gt;0,TblTech[[#This Row],[Hour]:[Hour]]&gt;=AF$2),1,0)</f>
        <v>0</v>
      </c>
      <c r="AG44" s="329" t="n">
        <f aca="false" t="array" ref="AG44:AG44">IF(AND(AG$2&lt;&gt;0,TblTech[[#This Row],[Hour]:[Hour]]&gt;=AG$2),1,0)</f>
        <v>0</v>
      </c>
      <c r="AH44" s="329" t="n">
        <f aca="false" t="array" ref="AH44:AH44">IF(AND(AH$2&lt;&gt;0,TblTech[[#This Row],[Hour]:[Hour]]&gt;=AH$2),1,0)</f>
        <v>0</v>
      </c>
      <c r="AI44" s="329" t="n">
        <f aca="false" t="array" ref="AI44:AI44">IF(AND(AI$2&lt;&gt;0,TblTech[[#This Row],[Hour]:[Hour]]&gt;=AI$2),1,0)</f>
        <v>0</v>
      </c>
      <c r="AJ44" s="329" t="n">
        <f aca="false" t="array" ref="AJ44:AJ44">IF(AND(AJ$2&lt;&gt;0,TblTech[[#This Row],[Hour]:[Hour]]&gt;=AJ$2),1,0)</f>
        <v>0</v>
      </c>
      <c r="AK44" s="329" t="n">
        <f aca="false" t="array" ref="AK44:AK44">IF(AND(AK$2&lt;&gt;0,TblTech[[#This Row],[Hour]:[Hour]]&gt;=AK$2),1,0)</f>
        <v>0</v>
      </c>
      <c r="AL44" s="329" t="n">
        <f aca="false" t="array" ref="AL44:AL44">IF(AND(AL$2&lt;&gt;0,TblTech[[#This Row],[Hour]:[Hour]]&gt;=AL$2),1,0)</f>
        <v>0</v>
      </c>
      <c r="AM44" s="329" t="n">
        <f aca="false" t="array" ref="AM44:AM44">IF(AND(AM$2&lt;&gt;0,TblTech[[#This Row],[Hour]:[Hour]]&gt;=AM$2),1,0)</f>
        <v>0</v>
      </c>
      <c r="AN44" s="329" t="n">
        <f aca="false" t="array" ref="AN44:AN44">IF(AND(AN$2&lt;&gt;0,TblTech[[#This Row],[Hour]:[Hour]]&gt;=AN$2),1,0)</f>
        <v>0</v>
      </c>
      <c r="AO44" s="329" t="n">
        <f aca="false" t="array" ref="AO44:AO44">IF(AND(AO$2&lt;&gt;0,TblTech[[#This Row],[Hour]:[Hour]]&gt;=AO$2),1,0)</f>
        <v>0</v>
      </c>
      <c r="AP44" s="329" t="n">
        <f aca="false" t="array" ref="AP44:AP44">IF(AND(AP$2&lt;&gt;0,TblTech[[#This Row],[Hour]:[Hour]]&gt;=AP$2),1,0)</f>
        <v>0</v>
      </c>
      <c r="AQ44" s="329" t="n">
        <f aca="false" t="array" ref="AQ44:AQ44">IF(AND(AQ$2&lt;&gt;0,TblTech[[#This Row],[Hour]:[Hour]]&gt;=AQ$2),1,0)</f>
        <v>0</v>
      </c>
      <c r="AR44" s="329" t="n">
        <f aca="false" t="array" ref="AR44:AR44">IF(AND(AR$2&lt;&gt;0,TblTech[[#This Row],[Hour]:[Hour]]&gt;=AR$2),1,0)</f>
        <v>0</v>
      </c>
      <c r="AS44" s="329" t="n">
        <f aca="false" t="array" ref="AS44:AS44">IF(AND(AS$2&lt;&gt;0,TblTech[[#This Row],[Hour]:[Hour]]&gt;=AS$2),1,0)</f>
        <v>0</v>
      </c>
      <c r="AT44" s="329" t="n">
        <f aca="false" t="array" ref="AT44:AT44">IF(AND(AT$2&lt;&gt;0,TblTech[[#This Row],[Hour]:[Hour]]&gt;=AT$2),1,0)</f>
        <v>0</v>
      </c>
      <c r="AU44" s="329" t="n">
        <f aca="false" t="array" ref="AU44:AU44">IF(AND(AU$2&lt;&gt;0,TblTech[[#This Row],[Hour]:[Hour]]&gt;=AU$2),1,0)</f>
        <v>0</v>
      </c>
      <c r="AV44" s="329" t="n">
        <f aca="false" t="array" ref="AV44:AV44">IF(AND(AV$2&lt;&gt;0,TblTech[[#This Row],[Hour]:[Hour]]&gt;=AV$2),1,0)</f>
        <v>0</v>
      </c>
      <c r="AW44" s="329" t="n">
        <f aca="false" t="array" ref="AW44:AW44">IF(AND(AW$2&lt;&gt;0,TblTech[[#This Row],[Hour]:[Hour]]&gt;=AW$2),1,0)</f>
        <v>0</v>
      </c>
      <c r="AX44" s="329" t="n">
        <f aca="false" t="array" ref="AX44:AX44">IF(AND(AX$2&lt;&gt;0,TblTech[[#This Row],[Hour]:[Hour]]&gt;=AX$2),1,0)</f>
        <v>0</v>
      </c>
      <c r="AY44" s="329" t="n">
        <f aca="false" t="array" ref="AY44:AY44">IF(AND(AY$2&lt;&gt;0,TblTech[[#This Row],[Hour]:[Hour]]&gt;=AY$2),1,0)</f>
        <v>0</v>
      </c>
      <c r="AZ44" s="329" t="n">
        <f aca="false" t="array" ref="AZ44:AZ44">IF(AND(AZ$2&lt;&gt;0,TblTech[[#This Row],[Hour]:[Hour]]&gt;=AZ$2),1,0)</f>
        <v>0</v>
      </c>
      <c r="BA44" s="329" t="n">
        <f aca="false" t="array" ref="BA44:BA44">IF(AND(BA$2&lt;&gt;0,TblTech[[#This Row],[Hour]:[Hour]]&gt;=BA$2),1,0)</f>
        <v>0</v>
      </c>
      <c r="BB44" s="329" t="n">
        <f aca="false" t="array" ref="BB44:BB44">IF(AND(BB$2&lt;&gt;0,TblTech[[#This Row],[Hour]:[Hour]]&gt;=BB$2),1,0)</f>
        <v>0</v>
      </c>
      <c r="BC44" s="329" t="n">
        <f aca="false" t="array" ref="BC44:BC44">IF(AND(BC$2&lt;&gt;0,TblTech[[#This Row],[Hour]:[Hour]]&gt;=BC$2),1,0)</f>
        <v>0</v>
      </c>
      <c r="BD44" s="329" t="n">
        <f aca="false" t="array" ref="BD44:BD44">IF(AND(BD$2&lt;&gt;0,TblTech[[#This Row],[Hour]:[Hour]]&gt;=BD$2),1,0)</f>
        <v>0</v>
      </c>
      <c r="BE44" s="329" t="n">
        <f aca="false" t="array" ref="BE44:BE44">IF(AND(BE$2&lt;&gt;0,TblTech[[#This Row],[Hour]:[Hour]]&gt;=BE$2),1,0)</f>
        <v>0</v>
      </c>
      <c r="BF44" s="329" t="n">
        <f aca="false" t="array" ref="BF44:BF44">IF(AND(BF$2&lt;&gt;0,TblTech[[#This Row],[Hour]:[Hour]]&gt;=BF$2),1,0)</f>
        <v>0</v>
      </c>
      <c r="BG44" s="329" t="n">
        <f aca="false" t="array" ref="BG44:BG44">IF(AND(BG$2&lt;&gt;0,TblTech[[#This Row],[Hour]:[Hour]]&gt;=BG$2),1,0)</f>
        <v>0</v>
      </c>
      <c r="BH44" s="329" t="n">
        <f aca="false" t="array" ref="BH44:BH44">IF(AND(BH$2&lt;&gt;0,TblTech[[#This Row],[Hour]:[Hour]]&gt;=BH$2),1,0)</f>
        <v>0</v>
      </c>
      <c r="BI44" s="329" t="n">
        <f aca="false" t="array" ref="BI44:BI44">IF(AND(BI$2&lt;&gt;0,TblTech[[#This Row],[Hour]:[Hour]]&gt;=BI$2),1,0)</f>
        <v>0</v>
      </c>
      <c r="BJ44" s="329" t="n">
        <f aca="false" t="array" ref="BJ44:BJ44">IF(AND(BJ$2&lt;&gt;0,TblTech[[#This Row],[Hour]:[Hour]]&gt;=BJ$2),1,0)</f>
        <v>0</v>
      </c>
      <c r="BK44" s="329" t="n">
        <f aca="false" t="array" ref="BK44:BK44">IF(AND(BK$2&lt;&gt;0,TblTech[[#This Row],[Hour]:[Hour]]&gt;=BK$2),1,0)</f>
        <v>0</v>
      </c>
      <c r="BL44" s="329" t="n">
        <f aca="false" t="array" ref="BL44:BL44">IF(AND(BL$2&lt;&gt;0,TblTech[[#This Row],[Hour]:[Hour]]&gt;=BL$2),1,0)</f>
        <v>0</v>
      </c>
      <c r="BM44" s="329" t="n">
        <f aca="false" t="array" ref="BM44:BM44">IF(AND(BM$2&lt;&gt;0,TblTech[[#This Row],[Hour]:[Hour]]&gt;=BM$2),1,0)</f>
        <v>0</v>
      </c>
      <c r="BN44" s="329" t="n">
        <f aca="false" t="array" ref="BN44:BN44">IF(AND(BN$2&lt;&gt;0,TblTech[[#This Row],[Hour]:[Hour]]&gt;=BN$2),1,0)</f>
        <v>0</v>
      </c>
      <c r="BO44" s="329" t="n">
        <f aca="false" t="array" ref="BO44:BO44">IF(AND(BO$2&lt;&gt;0,TblTech[[#This Row],[Hour]:[Hour]]&gt;=BO$2),1,0)</f>
        <v>0</v>
      </c>
      <c r="BP44" s="329" t="n">
        <f aca="false" t="array" ref="BP44:BP44">IF(AND(BP$2&lt;&gt;0,TblTech[[#This Row],[Hour]:[Hour]]&gt;=BP$2),1,0)</f>
        <v>0</v>
      </c>
      <c r="BQ44" s="329" t="n">
        <f aca="false" t="array" ref="BQ44:BQ44">IF(AND(BQ$2&lt;&gt;0,TblTech[[#This Row],[Hour]:[Hour]]&gt;=BQ$2),1,0)</f>
        <v>0</v>
      </c>
      <c r="BR44" s="329" t="n">
        <f aca="false" t="array" ref="BR44:BR44">IF(AND(BR$2&lt;&gt;0,TblTech[[#This Row],[Hour]:[Hour]]&gt;=BR$2),1,0)</f>
        <v>0</v>
      </c>
      <c r="BS44" s="329" t="n">
        <f aca="false" t="array" ref="BS44:BS44">IF(AND(BS$2&lt;&gt;0,TblTech[[#This Row],[Hour]:[Hour]]&gt;=BS$2),1,0)</f>
        <v>0</v>
      </c>
      <c r="BT44" s="329" t="n">
        <f aca="false" t="array" ref="BT44:BT44">IF(AND(BT$2&lt;&gt;0,TblTech[[#This Row],[Hour]:[Hour]]&gt;=BT$2),1,0)</f>
        <v>0</v>
      </c>
      <c r="BU44" s="329" t="n">
        <f aca="false" t="array" ref="BU44:BU44">IF(AND(BU$2&lt;&gt;0,TblTech[[#This Row],[Hour]:[Hour]]&gt;=BU$2),1,0)</f>
        <v>0</v>
      </c>
      <c r="BV44" s="329" t="n">
        <f aca="false" t="array" ref="BV44:BV44">IF(AND(BV$2&lt;&gt;0,TblTech[[#This Row],[Hour]:[Hour]]&gt;=BV$2),1,0)</f>
        <v>0</v>
      </c>
      <c r="BW44" s="329" t="n">
        <f aca="false" t="array" ref="BW44:BW44">IF(AND(BW$2&lt;&gt;0,TblTech[[#This Row],[Hour]:[Hour]]&gt;=BW$2),1,0)</f>
        <v>0</v>
      </c>
      <c r="BX44" s="329" t="n">
        <f aca="false" t="array" ref="BX44:BX44">IF(AND(BX$2&lt;&gt;0,TblTech[[#This Row],[Hour]:[Hour]]&gt;=BX$2),1,0)</f>
        <v>0</v>
      </c>
      <c r="BY44" s="329" t="n">
        <f aca="false" t="array" ref="BY44:BY44">IF(AND(BY$2&lt;&gt;0,TblTech[[#This Row],[Hour]:[Hour]]&gt;=BY$2),1,0)</f>
        <v>0</v>
      </c>
      <c r="BZ44" s="329" t="n">
        <f aca="false" t="array" ref="BZ44:BZ44">IF(AND(BZ$2&lt;&gt;0,TblTech[[#This Row],[Hour]:[Hour]]&gt;=BZ$2),1,0)</f>
        <v>0</v>
      </c>
      <c r="CA44" s="330" t="n">
        <f aca="false">IFERROR(INDEX($H$4:$H$79,MATCH(INDEX(TblTech[[#Headers],[1-1]:[11-1]],1,MATCH(TblTech[[#This Row],[Hour]],$M$2:$BZ$2,0)),$G$4:$G$79,0)),)</f>
        <v>0</v>
      </c>
    </row>
    <row r="45" customFormat="false" ht="12.75" hidden="false" customHeight="false" outlineLevel="0" collapsed="false">
      <c r="A45" s="321" t="n">
        <f aca="false">TblRezone[[#This Row],[Hour]]</f>
        <v>42</v>
      </c>
      <c r="B45" s="322" t="n">
        <f aca="false">TblExplore[[#This Row],[Land-DB]]</f>
        <v>510</v>
      </c>
      <c r="C45" s="323" t="n">
        <f aca="false">TblProd[[#This Row],[Techpoints]]</f>
        <v>350</v>
      </c>
      <c r="D45" s="323" t="n">
        <f aca="false">TblProd[[#This Row],[Required]]</f>
        <v>3750</v>
      </c>
      <c r="E45" s="324"/>
      <c r="F45" s="325"/>
      <c r="G45" s="326"/>
      <c r="H45" s="327"/>
      <c r="I45" s="326"/>
      <c r="J45" s="322"/>
      <c r="K45" s="68" t="n">
        <f aca="false">IF(TblTech[[#This Row],[Sum of tech]]&lt;&gt;OFFSET(TblTech[[#This Row],[Sum of tech]],-1,0),1,0)</f>
        <v>0</v>
      </c>
      <c r="L45" s="328" t="n">
        <f aca="false">COUNTIF(TblTech[[#This Row],[1-1]:[11-1]],1)</f>
        <v>0</v>
      </c>
      <c r="M45" s="329" t="n">
        <f aca="false" t="array" ref="M45:M45">IF(AND(M$2&lt;&gt;0,TblTech[[#This Row],[Hour]:[Hour]]&gt;=M$2),1,0)</f>
        <v>0</v>
      </c>
      <c r="N45" s="329" t="n">
        <f aca="false" t="array" ref="N45:N45">IF(AND(N$2&lt;&gt;0,TblTech[[#This Row],[Hour]:[Hour]]&gt;=N$2),1,0)</f>
        <v>0</v>
      </c>
      <c r="O45" s="329" t="n">
        <f aca="false" t="array" ref="O45:O45">IF(AND(O$2&lt;&gt;0,TblTech[[#This Row],[Hour]:[Hour]]&gt;=O$2),1,0)</f>
        <v>0</v>
      </c>
      <c r="P45" s="329" t="n">
        <f aca="false" t="array" ref="P45:P45">IF(AND(P$2&lt;&gt;0,TblTech[[#This Row],[Hour]:[Hour]]&gt;=P$2),1,0)</f>
        <v>0</v>
      </c>
      <c r="Q45" s="329" t="n">
        <f aca="false" t="array" ref="Q45:Q45">IF(AND(Q$2&lt;&gt;0,TblTech[[#This Row],[Hour]:[Hour]]&gt;=Q$2),1,0)</f>
        <v>0</v>
      </c>
      <c r="R45" s="329" t="n">
        <f aca="false" t="array" ref="R45:R45">IF(AND(R$2&lt;&gt;0,TblTech[[#This Row],[Hour]:[Hour]]&gt;=R$2),1,0)</f>
        <v>0</v>
      </c>
      <c r="S45" s="329" t="n">
        <f aca="false" t="array" ref="S45:S45">IF(AND(S$2&lt;&gt;0,TblTech[[#This Row],[Hour]:[Hour]]&gt;=S$2),1,0)</f>
        <v>0</v>
      </c>
      <c r="T45" s="329" t="n">
        <f aca="false" t="array" ref="T45:T45">IF(AND(T$2&lt;&gt;0,TblTech[[#This Row],[Hour]:[Hour]]&gt;=T$2),1,0)</f>
        <v>0</v>
      </c>
      <c r="U45" s="329" t="n">
        <f aca="false" t="array" ref="U45:U45">IF(AND(U$2&lt;&gt;0,TblTech[[#This Row],[Hour]:[Hour]]&gt;=U$2),1,0)</f>
        <v>0</v>
      </c>
      <c r="V45" s="329" t="n">
        <f aca="false" t="array" ref="V45:V45">IF(AND(V$2&lt;&gt;0,TblTech[[#This Row],[Hour]:[Hour]]&gt;=V$2),1,0)</f>
        <v>0</v>
      </c>
      <c r="W45" s="329" t="n">
        <f aca="false" t="array" ref="W45:W45">IF(AND(W$2&lt;&gt;0,TblTech[[#This Row],[Hour]:[Hour]]&gt;=W$2),1,0)</f>
        <v>0</v>
      </c>
      <c r="X45" s="329" t="n">
        <f aca="false" t="array" ref="X45:X45">IF(AND(X$2&lt;&gt;0,TblTech[[#This Row],[Hour]:[Hour]]&gt;=X$2),1,0)</f>
        <v>0</v>
      </c>
      <c r="Y45" s="329" t="n">
        <f aca="false" t="array" ref="Y45:Y45">IF(AND(Y$2&lt;&gt;0,TblTech[[#This Row],[Hour]:[Hour]]&gt;=Y$2),1,0)</f>
        <v>0</v>
      </c>
      <c r="Z45" s="329" t="n">
        <f aca="false" t="array" ref="Z45:Z45">IF(AND(Z$2&lt;&gt;0,TblTech[[#This Row],[Hour]:[Hour]]&gt;=Z$2),1,0)</f>
        <v>0</v>
      </c>
      <c r="AA45" s="329" t="n">
        <f aca="false" t="array" ref="AA45:AA45">IF(AND(AA$2&lt;&gt;0,TblTech[[#This Row],[Hour]:[Hour]]&gt;=AA$2),1,0)</f>
        <v>0</v>
      </c>
      <c r="AB45" s="329" t="n">
        <f aca="false" t="array" ref="AB45:AB45">IF(AND(AB$2&lt;&gt;0,TblTech[[#This Row],[Hour]:[Hour]]&gt;=AB$2),1,0)</f>
        <v>0</v>
      </c>
      <c r="AC45" s="329" t="n">
        <f aca="false" t="array" ref="AC45:AC45">IF(AND(AC$2&lt;&gt;0,TblTech[[#This Row],[Hour]:[Hour]]&gt;=AC$2),1,0)</f>
        <v>0</v>
      </c>
      <c r="AD45" s="329" t="n">
        <f aca="false" t="array" ref="AD45:AD45">IF(AND(AD$2&lt;&gt;0,TblTech[[#This Row],[Hour]:[Hour]]&gt;=AD$2),1,0)</f>
        <v>0</v>
      </c>
      <c r="AE45" s="329" t="n">
        <f aca="false" t="array" ref="AE45:AE45">IF(AND(AE$2&lt;&gt;0,TblTech[[#This Row],[Hour]:[Hour]]&gt;=AE$2),1,0)</f>
        <v>0</v>
      </c>
      <c r="AF45" s="329" t="n">
        <f aca="false" t="array" ref="AF45:AF45">IF(AND(AF$2&lt;&gt;0,TblTech[[#This Row],[Hour]:[Hour]]&gt;=AF$2),1,0)</f>
        <v>0</v>
      </c>
      <c r="AG45" s="329" t="n">
        <f aca="false" t="array" ref="AG45:AG45">IF(AND(AG$2&lt;&gt;0,TblTech[[#This Row],[Hour]:[Hour]]&gt;=AG$2),1,0)</f>
        <v>0</v>
      </c>
      <c r="AH45" s="329" t="n">
        <f aca="false" t="array" ref="AH45:AH45">IF(AND(AH$2&lt;&gt;0,TblTech[[#This Row],[Hour]:[Hour]]&gt;=AH$2),1,0)</f>
        <v>0</v>
      </c>
      <c r="AI45" s="329" t="n">
        <f aca="false" t="array" ref="AI45:AI45">IF(AND(AI$2&lt;&gt;0,TblTech[[#This Row],[Hour]:[Hour]]&gt;=AI$2),1,0)</f>
        <v>0</v>
      </c>
      <c r="AJ45" s="329" t="n">
        <f aca="false" t="array" ref="AJ45:AJ45">IF(AND(AJ$2&lt;&gt;0,TblTech[[#This Row],[Hour]:[Hour]]&gt;=AJ$2),1,0)</f>
        <v>0</v>
      </c>
      <c r="AK45" s="329" t="n">
        <f aca="false" t="array" ref="AK45:AK45">IF(AND(AK$2&lt;&gt;0,TblTech[[#This Row],[Hour]:[Hour]]&gt;=AK$2),1,0)</f>
        <v>0</v>
      </c>
      <c r="AL45" s="329" t="n">
        <f aca="false" t="array" ref="AL45:AL45">IF(AND(AL$2&lt;&gt;0,TblTech[[#This Row],[Hour]:[Hour]]&gt;=AL$2),1,0)</f>
        <v>0</v>
      </c>
      <c r="AM45" s="329" t="n">
        <f aca="false" t="array" ref="AM45:AM45">IF(AND(AM$2&lt;&gt;0,TblTech[[#This Row],[Hour]:[Hour]]&gt;=AM$2),1,0)</f>
        <v>0</v>
      </c>
      <c r="AN45" s="329" t="n">
        <f aca="false" t="array" ref="AN45:AN45">IF(AND(AN$2&lt;&gt;0,TblTech[[#This Row],[Hour]:[Hour]]&gt;=AN$2),1,0)</f>
        <v>0</v>
      </c>
      <c r="AO45" s="329" t="n">
        <f aca="false" t="array" ref="AO45:AO45">IF(AND(AO$2&lt;&gt;0,TblTech[[#This Row],[Hour]:[Hour]]&gt;=AO$2),1,0)</f>
        <v>0</v>
      </c>
      <c r="AP45" s="329" t="n">
        <f aca="false" t="array" ref="AP45:AP45">IF(AND(AP$2&lt;&gt;0,TblTech[[#This Row],[Hour]:[Hour]]&gt;=AP$2),1,0)</f>
        <v>0</v>
      </c>
      <c r="AQ45" s="329" t="n">
        <f aca="false" t="array" ref="AQ45:AQ45">IF(AND(AQ$2&lt;&gt;0,TblTech[[#This Row],[Hour]:[Hour]]&gt;=AQ$2),1,0)</f>
        <v>0</v>
      </c>
      <c r="AR45" s="329" t="n">
        <f aca="false" t="array" ref="AR45:AR45">IF(AND(AR$2&lt;&gt;0,TblTech[[#This Row],[Hour]:[Hour]]&gt;=AR$2),1,0)</f>
        <v>0</v>
      </c>
      <c r="AS45" s="329" t="n">
        <f aca="false" t="array" ref="AS45:AS45">IF(AND(AS$2&lt;&gt;0,TblTech[[#This Row],[Hour]:[Hour]]&gt;=AS$2),1,0)</f>
        <v>0</v>
      </c>
      <c r="AT45" s="329" t="n">
        <f aca="false" t="array" ref="AT45:AT45">IF(AND(AT$2&lt;&gt;0,TblTech[[#This Row],[Hour]:[Hour]]&gt;=AT$2),1,0)</f>
        <v>0</v>
      </c>
      <c r="AU45" s="329" t="n">
        <f aca="false" t="array" ref="AU45:AU45">IF(AND(AU$2&lt;&gt;0,TblTech[[#This Row],[Hour]:[Hour]]&gt;=AU$2),1,0)</f>
        <v>0</v>
      </c>
      <c r="AV45" s="329" t="n">
        <f aca="false" t="array" ref="AV45:AV45">IF(AND(AV$2&lt;&gt;0,TblTech[[#This Row],[Hour]:[Hour]]&gt;=AV$2),1,0)</f>
        <v>0</v>
      </c>
      <c r="AW45" s="329" t="n">
        <f aca="false" t="array" ref="AW45:AW45">IF(AND(AW$2&lt;&gt;0,TblTech[[#This Row],[Hour]:[Hour]]&gt;=AW$2),1,0)</f>
        <v>0</v>
      </c>
      <c r="AX45" s="329" t="n">
        <f aca="false" t="array" ref="AX45:AX45">IF(AND(AX$2&lt;&gt;0,TblTech[[#This Row],[Hour]:[Hour]]&gt;=AX$2),1,0)</f>
        <v>0</v>
      </c>
      <c r="AY45" s="329" t="n">
        <f aca="false" t="array" ref="AY45:AY45">IF(AND(AY$2&lt;&gt;0,TblTech[[#This Row],[Hour]:[Hour]]&gt;=AY$2),1,0)</f>
        <v>0</v>
      </c>
      <c r="AZ45" s="329" t="n">
        <f aca="false" t="array" ref="AZ45:AZ45">IF(AND(AZ$2&lt;&gt;0,TblTech[[#This Row],[Hour]:[Hour]]&gt;=AZ$2),1,0)</f>
        <v>0</v>
      </c>
      <c r="BA45" s="329" t="n">
        <f aca="false" t="array" ref="BA45:BA45">IF(AND(BA$2&lt;&gt;0,TblTech[[#This Row],[Hour]:[Hour]]&gt;=BA$2),1,0)</f>
        <v>0</v>
      </c>
      <c r="BB45" s="329" t="n">
        <f aca="false" t="array" ref="BB45:BB45">IF(AND(BB$2&lt;&gt;0,TblTech[[#This Row],[Hour]:[Hour]]&gt;=BB$2),1,0)</f>
        <v>0</v>
      </c>
      <c r="BC45" s="329" t="n">
        <f aca="false" t="array" ref="BC45:BC45">IF(AND(BC$2&lt;&gt;0,TblTech[[#This Row],[Hour]:[Hour]]&gt;=BC$2),1,0)</f>
        <v>0</v>
      </c>
      <c r="BD45" s="329" t="n">
        <f aca="false" t="array" ref="BD45:BD45">IF(AND(BD$2&lt;&gt;0,TblTech[[#This Row],[Hour]:[Hour]]&gt;=BD$2),1,0)</f>
        <v>0</v>
      </c>
      <c r="BE45" s="329" t="n">
        <f aca="false" t="array" ref="BE45:BE45">IF(AND(BE$2&lt;&gt;0,TblTech[[#This Row],[Hour]:[Hour]]&gt;=BE$2),1,0)</f>
        <v>0</v>
      </c>
      <c r="BF45" s="329" t="n">
        <f aca="false" t="array" ref="BF45:BF45">IF(AND(BF$2&lt;&gt;0,TblTech[[#This Row],[Hour]:[Hour]]&gt;=BF$2),1,0)</f>
        <v>0</v>
      </c>
      <c r="BG45" s="329" t="n">
        <f aca="false" t="array" ref="BG45:BG45">IF(AND(BG$2&lt;&gt;0,TblTech[[#This Row],[Hour]:[Hour]]&gt;=BG$2),1,0)</f>
        <v>0</v>
      </c>
      <c r="BH45" s="329" t="n">
        <f aca="false" t="array" ref="BH45:BH45">IF(AND(BH$2&lt;&gt;0,TblTech[[#This Row],[Hour]:[Hour]]&gt;=BH$2),1,0)</f>
        <v>0</v>
      </c>
      <c r="BI45" s="329" t="n">
        <f aca="false" t="array" ref="BI45:BI45">IF(AND(BI$2&lt;&gt;0,TblTech[[#This Row],[Hour]:[Hour]]&gt;=BI$2),1,0)</f>
        <v>0</v>
      </c>
      <c r="BJ45" s="329" t="n">
        <f aca="false" t="array" ref="BJ45:BJ45">IF(AND(BJ$2&lt;&gt;0,TblTech[[#This Row],[Hour]:[Hour]]&gt;=BJ$2),1,0)</f>
        <v>0</v>
      </c>
      <c r="BK45" s="329" t="n">
        <f aca="false" t="array" ref="BK45:BK45">IF(AND(BK$2&lt;&gt;0,TblTech[[#This Row],[Hour]:[Hour]]&gt;=BK$2),1,0)</f>
        <v>0</v>
      </c>
      <c r="BL45" s="329" t="n">
        <f aca="false" t="array" ref="BL45:BL45">IF(AND(BL$2&lt;&gt;0,TblTech[[#This Row],[Hour]:[Hour]]&gt;=BL$2),1,0)</f>
        <v>0</v>
      </c>
      <c r="BM45" s="329" t="n">
        <f aca="false" t="array" ref="BM45:BM45">IF(AND(BM$2&lt;&gt;0,TblTech[[#This Row],[Hour]:[Hour]]&gt;=BM$2),1,0)</f>
        <v>0</v>
      </c>
      <c r="BN45" s="329" t="n">
        <f aca="false" t="array" ref="BN45:BN45">IF(AND(BN$2&lt;&gt;0,TblTech[[#This Row],[Hour]:[Hour]]&gt;=BN$2),1,0)</f>
        <v>0</v>
      </c>
      <c r="BO45" s="329" t="n">
        <f aca="false" t="array" ref="BO45:BO45">IF(AND(BO$2&lt;&gt;0,TblTech[[#This Row],[Hour]:[Hour]]&gt;=BO$2),1,0)</f>
        <v>0</v>
      </c>
      <c r="BP45" s="329" t="n">
        <f aca="false" t="array" ref="BP45:BP45">IF(AND(BP$2&lt;&gt;0,TblTech[[#This Row],[Hour]:[Hour]]&gt;=BP$2),1,0)</f>
        <v>0</v>
      </c>
      <c r="BQ45" s="329" t="n">
        <f aca="false" t="array" ref="BQ45:BQ45">IF(AND(BQ$2&lt;&gt;0,TblTech[[#This Row],[Hour]:[Hour]]&gt;=BQ$2),1,0)</f>
        <v>0</v>
      </c>
      <c r="BR45" s="329" t="n">
        <f aca="false" t="array" ref="BR45:BR45">IF(AND(BR$2&lt;&gt;0,TblTech[[#This Row],[Hour]:[Hour]]&gt;=BR$2),1,0)</f>
        <v>0</v>
      </c>
      <c r="BS45" s="329" t="n">
        <f aca="false" t="array" ref="BS45:BS45">IF(AND(BS$2&lt;&gt;0,TblTech[[#This Row],[Hour]:[Hour]]&gt;=BS$2),1,0)</f>
        <v>0</v>
      </c>
      <c r="BT45" s="329" t="n">
        <f aca="false" t="array" ref="BT45:BT45">IF(AND(BT$2&lt;&gt;0,TblTech[[#This Row],[Hour]:[Hour]]&gt;=BT$2),1,0)</f>
        <v>0</v>
      </c>
      <c r="BU45" s="329" t="n">
        <f aca="false" t="array" ref="BU45:BU45">IF(AND(BU$2&lt;&gt;0,TblTech[[#This Row],[Hour]:[Hour]]&gt;=BU$2),1,0)</f>
        <v>0</v>
      </c>
      <c r="BV45" s="329" t="n">
        <f aca="false" t="array" ref="BV45:BV45">IF(AND(BV$2&lt;&gt;0,TblTech[[#This Row],[Hour]:[Hour]]&gt;=BV$2),1,0)</f>
        <v>0</v>
      </c>
      <c r="BW45" s="329" t="n">
        <f aca="false" t="array" ref="BW45:BW45">IF(AND(BW$2&lt;&gt;0,TblTech[[#This Row],[Hour]:[Hour]]&gt;=BW$2),1,0)</f>
        <v>0</v>
      </c>
      <c r="BX45" s="329" t="n">
        <f aca="false" t="array" ref="BX45:BX45">IF(AND(BX$2&lt;&gt;0,TblTech[[#This Row],[Hour]:[Hour]]&gt;=BX$2),1,0)</f>
        <v>0</v>
      </c>
      <c r="BY45" s="329" t="n">
        <f aca="false" t="array" ref="BY45:BY45">IF(AND(BY$2&lt;&gt;0,TblTech[[#This Row],[Hour]:[Hour]]&gt;=BY$2),1,0)</f>
        <v>0</v>
      </c>
      <c r="BZ45" s="329" t="n">
        <f aca="false" t="array" ref="BZ45:BZ45">IF(AND(BZ$2&lt;&gt;0,TblTech[[#This Row],[Hour]:[Hour]]&gt;=BZ$2),1,0)</f>
        <v>0</v>
      </c>
      <c r="CA45" s="330" t="n">
        <f aca="false">IFERROR(INDEX($H$4:$H$79,MATCH(INDEX(TblTech[[#Headers],[1-1]:[11-1]],1,MATCH(TblTech[[#This Row],[Hour]],$M$2:$BZ$2,0)),$G$4:$G$79,0)),)</f>
        <v>0</v>
      </c>
    </row>
    <row r="46" customFormat="false" ht="12.75" hidden="false" customHeight="false" outlineLevel="0" collapsed="false">
      <c r="A46" s="321" t="n">
        <f aca="false">TblRezone[[#This Row],[Hour]]</f>
        <v>43</v>
      </c>
      <c r="B46" s="322" t="n">
        <f aca="false">TblExplore[[#This Row],[Land-DB]]</f>
        <v>520</v>
      </c>
      <c r="C46" s="323" t="n">
        <f aca="false">TblProd[[#This Row],[Techpoints]]</f>
        <v>350</v>
      </c>
      <c r="D46" s="323" t="n">
        <f aca="false">TblProd[[#This Row],[Required]]</f>
        <v>3750</v>
      </c>
      <c r="E46" s="324"/>
      <c r="F46" s="325"/>
      <c r="G46" s="326" t="s">
        <v>562</v>
      </c>
      <c r="H46" s="327" t="s">
        <v>666</v>
      </c>
      <c r="I46" s="326" t="s">
        <v>667</v>
      </c>
      <c r="J46" s="322"/>
      <c r="K46" s="68" t="n">
        <f aca="false">IF(TblTech[[#This Row],[Sum of tech]]&lt;&gt;OFFSET(TblTech[[#This Row],[Sum of tech]],-1,0),1,0)</f>
        <v>0</v>
      </c>
      <c r="L46" s="328" t="n">
        <f aca="false">COUNTIF(TblTech[[#This Row],[1-1]:[11-1]],1)</f>
        <v>0</v>
      </c>
      <c r="M46" s="329" t="n">
        <f aca="false" t="array" ref="M46:M46">IF(AND(M$2&lt;&gt;0,TblTech[[#This Row],[Hour]:[Hour]]&gt;=M$2),1,0)</f>
        <v>0</v>
      </c>
      <c r="N46" s="329" t="n">
        <f aca="false" t="array" ref="N46:N46">IF(AND(N$2&lt;&gt;0,TblTech[[#This Row],[Hour]:[Hour]]&gt;=N$2),1,0)</f>
        <v>0</v>
      </c>
      <c r="O46" s="329" t="n">
        <f aca="false" t="array" ref="O46:O46">IF(AND(O$2&lt;&gt;0,TblTech[[#This Row],[Hour]:[Hour]]&gt;=O$2),1,0)</f>
        <v>0</v>
      </c>
      <c r="P46" s="329" t="n">
        <f aca="false" t="array" ref="P46:P46">IF(AND(P$2&lt;&gt;0,TblTech[[#This Row],[Hour]:[Hour]]&gt;=P$2),1,0)</f>
        <v>0</v>
      </c>
      <c r="Q46" s="329" t="n">
        <f aca="false" t="array" ref="Q46:Q46">IF(AND(Q$2&lt;&gt;0,TblTech[[#This Row],[Hour]:[Hour]]&gt;=Q$2),1,0)</f>
        <v>0</v>
      </c>
      <c r="R46" s="329" t="n">
        <f aca="false" t="array" ref="R46:R46">IF(AND(R$2&lt;&gt;0,TblTech[[#This Row],[Hour]:[Hour]]&gt;=R$2),1,0)</f>
        <v>0</v>
      </c>
      <c r="S46" s="329" t="n">
        <f aca="false" t="array" ref="S46:S46">IF(AND(S$2&lt;&gt;0,TblTech[[#This Row],[Hour]:[Hour]]&gt;=S$2),1,0)</f>
        <v>0</v>
      </c>
      <c r="T46" s="329" t="n">
        <f aca="false" t="array" ref="T46:T46">IF(AND(T$2&lt;&gt;0,TblTech[[#This Row],[Hour]:[Hour]]&gt;=T$2),1,0)</f>
        <v>0</v>
      </c>
      <c r="U46" s="329" t="n">
        <f aca="false" t="array" ref="U46:U46">IF(AND(U$2&lt;&gt;0,TblTech[[#This Row],[Hour]:[Hour]]&gt;=U$2),1,0)</f>
        <v>0</v>
      </c>
      <c r="V46" s="329" t="n">
        <f aca="false" t="array" ref="V46:V46">IF(AND(V$2&lt;&gt;0,TblTech[[#This Row],[Hour]:[Hour]]&gt;=V$2),1,0)</f>
        <v>0</v>
      </c>
      <c r="W46" s="329" t="n">
        <f aca="false" t="array" ref="W46:W46">IF(AND(W$2&lt;&gt;0,TblTech[[#This Row],[Hour]:[Hour]]&gt;=W$2),1,0)</f>
        <v>0</v>
      </c>
      <c r="X46" s="329" t="n">
        <f aca="false" t="array" ref="X46:X46">IF(AND(X$2&lt;&gt;0,TblTech[[#This Row],[Hour]:[Hour]]&gt;=X$2),1,0)</f>
        <v>0</v>
      </c>
      <c r="Y46" s="329" t="n">
        <f aca="false" t="array" ref="Y46:Y46">IF(AND(Y$2&lt;&gt;0,TblTech[[#This Row],[Hour]:[Hour]]&gt;=Y$2),1,0)</f>
        <v>0</v>
      </c>
      <c r="Z46" s="329" t="n">
        <f aca="false" t="array" ref="Z46:Z46">IF(AND(Z$2&lt;&gt;0,TblTech[[#This Row],[Hour]:[Hour]]&gt;=Z$2),1,0)</f>
        <v>0</v>
      </c>
      <c r="AA46" s="329" t="n">
        <f aca="false" t="array" ref="AA46:AA46">IF(AND(AA$2&lt;&gt;0,TblTech[[#This Row],[Hour]:[Hour]]&gt;=AA$2),1,0)</f>
        <v>0</v>
      </c>
      <c r="AB46" s="329" t="n">
        <f aca="false" t="array" ref="AB46:AB46">IF(AND(AB$2&lt;&gt;0,TblTech[[#This Row],[Hour]:[Hour]]&gt;=AB$2),1,0)</f>
        <v>0</v>
      </c>
      <c r="AC46" s="329" t="n">
        <f aca="false" t="array" ref="AC46:AC46">IF(AND(AC$2&lt;&gt;0,TblTech[[#This Row],[Hour]:[Hour]]&gt;=AC$2),1,0)</f>
        <v>0</v>
      </c>
      <c r="AD46" s="329" t="n">
        <f aca="false" t="array" ref="AD46:AD46">IF(AND(AD$2&lt;&gt;0,TblTech[[#This Row],[Hour]:[Hour]]&gt;=AD$2),1,0)</f>
        <v>0</v>
      </c>
      <c r="AE46" s="329" t="n">
        <f aca="false" t="array" ref="AE46:AE46">IF(AND(AE$2&lt;&gt;0,TblTech[[#This Row],[Hour]:[Hour]]&gt;=AE$2),1,0)</f>
        <v>0</v>
      </c>
      <c r="AF46" s="329" t="n">
        <f aca="false" t="array" ref="AF46:AF46">IF(AND(AF$2&lt;&gt;0,TblTech[[#This Row],[Hour]:[Hour]]&gt;=AF$2),1,0)</f>
        <v>0</v>
      </c>
      <c r="AG46" s="329" t="n">
        <f aca="false" t="array" ref="AG46:AG46">IF(AND(AG$2&lt;&gt;0,TblTech[[#This Row],[Hour]:[Hour]]&gt;=AG$2),1,0)</f>
        <v>0</v>
      </c>
      <c r="AH46" s="329" t="n">
        <f aca="false" t="array" ref="AH46:AH46">IF(AND(AH$2&lt;&gt;0,TblTech[[#This Row],[Hour]:[Hour]]&gt;=AH$2),1,0)</f>
        <v>0</v>
      </c>
      <c r="AI46" s="329" t="n">
        <f aca="false" t="array" ref="AI46:AI46">IF(AND(AI$2&lt;&gt;0,TblTech[[#This Row],[Hour]:[Hour]]&gt;=AI$2),1,0)</f>
        <v>0</v>
      </c>
      <c r="AJ46" s="329" t="n">
        <f aca="false" t="array" ref="AJ46:AJ46">IF(AND(AJ$2&lt;&gt;0,TblTech[[#This Row],[Hour]:[Hour]]&gt;=AJ$2),1,0)</f>
        <v>0</v>
      </c>
      <c r="AK46" s="329" t="n">
        <f aca="false" t="array" ref="AK46:AK46">IF(AND(AK$2&lt;&gt;0,TblTech[[#This Row],[Hour]:[Hour]]&gt;=AK$2),1,0)</f>
        <v>0</v>
      </c>
      <c r="AL46" s="329" t="n">
        <f aca="false" t="array" ref="AL46:AL46">IF(AND(AL$2&lt;&gt;0,TblTech[[#This Row],[Hour]:[Hour]]&gt;=AL$2),1,0)</f>
        <v>0</v>
      </c>
      <c r="AM46" s="329" t="n">
        <f aca="false" t="array" ref="AM46:AM46">IF(AND(AM$2&lt;&gt;0,TblTech[[#This Row],[Hour]:[Hour]]&gt;=AM$2),1,0)</f>
        <v>0</v>
      </c>
      <c r="AN46" s="329" t="n">
        <f aca="false" t="array" ref="AN46:AN46">IF(AND(AN$2&lt;&gt;0,TblTech[[#This Row],[Hour]:[Hour]]&gt;=AN$2),1,0)</f>
        <v>0</v>
      </c>
      <c r="AO46" s="329" t="n">
        <f aca="false" t="array" ref="AO46:AO46">IF(AND(AO$2&lt;&gt;0,TblTech[[#This Row],[Hour]:[Hour]]&gt;=AO$2),1,0)</f>
        <v>0</v>
      </c>
      <c r="AP46" s="329" t="n">
        <f aca="false" t="array" ref="AP46:AP46">IF(AND(AP$2&lt;&gt;0,TblTech[[#This Row],[Hour]:[Hour]]&gt;=AP$2),1,0)</f>
        <v>0</v>
      </c>
      <c r="AQ46" s="329" t="n">
        <f aca="false" t="array" ref="AQ46:AQ46">IF(AND(AQ$2&lt;&gt;0,TblTech[[#This Row],[Hour]:[Hour]]&gt;=AQ$2),1,0)</f>
        <v>0</v>
      </c>
      <c r="AR46" s="329" t="n">
        <f aca="false" t="array" ref="AR46:AR46">IF(AND(AR$2&lt;&gt;0,TblTech[[#This Row],[Hour]:[Hour]]&gt;=AR$2),1,0)</f>
        <v>0</v>
      </c>
      <c r="AS46" s="329" t="n">
        <f aca="false" t="array" ref="AS46:AS46">IF(AND(AS$2&lt;&gt;0,TblTech[[#This Row],[Hour]:[Hour]]&gt;=AS$2),1,0)</f>
        <v>0</v>
      </c>
      <c r="AT46" s="329" t="n">
        <f aca="false" t="array" ref="AT46:AT46">IF(AND(AT$2&lt;&gt;0,TblTech[[#This Row],[Hour]:[Hour]]&gt;=AT$2),1,0)</f>
        <v>0</v>
      </c>
      <c r="AU46" s="329" t="n">
        <f aca="false" t="array" ref="AU46:AU46">IF(AND(AU$2&lt;&gt;0,TblTech[[#This Row],[Hour]:[Hour]]&gt;=AU$2),1,0)</f>
        <v>0</v>
      </c>
      <c r="AV46" s="329" t="n">
        <f aca="false" t="array" ref="AV46:AV46">IF(AND(AV$2&lt;&gt;0,TblTech[[#This Row],[Hour]:[Hour]]&gt;=AV$2),1,0)</f>
        <v>0</v>
      </c>
      <c r="AW46" s="329" t="n">
        <f aca="false" t="array" ref="AW46:AW46">IF(AND(AW$2&lt;&gt;0,TblTech[[#This Row],[Hour]:[Hour]]&gt;=AW$2),1,0)</f>
        <v>0</v>
      </c>
      <c r="AX46" s="329" t="n">
        <f aca="false" t="array" ref="AX46:AX46">IF(AND(AX$2&lt;&gt;0,TblTech[[#This Row],[Hour]:[Hour]]&gt;=AX$2),1,0)</f>
        <v>0</v>
      </c>
      <c r="AY46" s="329" t="n">
        <f aca="false" t="array" ref="AY46:AY46">IF(AND(AY$2&lt;&gt;0,TblTech[[#This Row],[Hour]:[Hour]]&gt;=AY$2),1,0)</f>
        <v>0</v>
      </c>
      <c r="AZ46" s="329" t="n">
        <f aca="false" t="array" ref="AZ46:AZ46">IF(AND(AZ$2&lt;&gt;0,TblTech[[#This Row],[Hour]:[Hour]]&gt;=AZ$2),1,0)</f>
        <v>0</v>
      </c>
      <c r="BA46" s="329" t="n">
        <f aca="false" t="array" ref="BA46:BA46">IF(AND(BA$2&lt;&gt;0,TblTech[[#This Row],[Hour]:[Hour]]&gt;=BA$2),1,0)</f>
        <v>0</v>
      </c>
      <c r="BB46" s="329" t="n">
        <f aca="false" t="array" ref="BB46:BB46">IF(AND(BB$2&lt;&gt;0,TblTech[[#This Row],[Hour]:[Hour]]&gt;=BB$2),1,0)</f>
        <v>0</v>
      </c>
      <c r="BC46" s="329" t="n">
        <f aca="false" t="array" ref="BC46:BC46">IF(AND(BC$2&lt;&gt;0,TblTech[[#This Row],[Hour]:[Hour]]&gt;=BC$2),1,0)</f>
        <v>0</v>
      </c>
      <c r="BD46" s="329" t="n">
        <f aca="false" t="array" ref="BD46:BD46">IF(AND(BD$2&lt;&gt;0,TblTech[[#This Row],[Hour]:[Hour]]&gt;=BD$2),1,0)</f>
        <v>0</v>
      </c>
      <c r="BE46" s="329" t="n">
        <f aca="false" t="array" ref="BE46:BE46">IF(AND(BE$2&lt;&gt;0,TblTech[[#This Row],[Hour]:[Hour]]&gt;=BE$2),1,0)</f>
        <v>0</v>
      </c>
      <c r="BF46" s="329" t="n">
        <f aca="false" t="array" ref="BF46:BF46">IF(AND(BF$2&lt;&gt;0,TblTech[[#This Row],[Hour]:[Hour]]&gt;=BF$2),1,0)</f>
        <v>0</v>
      </c>
      <c r="BG46" s="329" t="n">
        <f aca="false" t="array" ref="BG46:BG46">IF(AND(BG$2&lt;&gt;0,TblTech[[#This Row],[Hour]:[Hour]]&gt;=BG$2),1,0)</f>
        <v>0</v>
      </c>
      <c r="BH46" s="329" t="n">
        <f aca="false" t="array" ref="BH46:BH46">IF(AND(BH$2&lt;&gt;0,TblTech[[#This Row],[Hour]:[Hour]]&gt;=BH$2),1,0)</f>
        <v>0</v>
      </c>
      <c r="BI46" s="329" t="n">
        <f aca="false" t="array" ref="BI46:BI46">IF(AND(BI$2&lt;&gt;0,TblTech[[#This Row],[Hour]:[Hour]]&gt;=BI$2),1,0)</f>
        <v>0</v>
      </c>
      <c r="BJ46" s="329" t="n">
        <f aca="false" t="array" ref="BJ46:BJ46">IF(AND(BJ$2&lt;&gt;0,TblTech[[#This Row],[Hour]:[Hour]]&gt;=BJ$2),1,0)</f>
        <v>0</v>
      </c>
      <c r="BK46" s="329" t="n">
        <f aca="false" t="array" ref="BK46:BK46">IF(AND(BK$2&lt;&gt;0,TblTech[[#This Row],[Hour]:[Hour]]&gt;=BK$2),1,0)</f>
        <v>0</v>
      </c>
      <c r="BL46" s="329" t="n">
        <f aca="false" t="array" ref="BL46:BL46">IF(AND(BL$2&lt;&gt;0,TblTech[[#This Row],[Hour]:[Hour]]&gt;=BL$2),1,0)</f>
        <v>0</v>
      </c>
      <c r="BM46" s="329" t="n">
        <f aca="false" t="array" ref="BM46:BM46">IF(AND(BM$2&lt;&gt;0,TblTech[[#This Row],[Hour]:[Hour]]&gt;=BM$2),1,0)</f>
        <v>0</v>
      </c>
      <c r="BN46" s="329" t="n">
        <f aca="false" t="array" ref="BN46:BN46">IF(AND(BN$2&lt;&gt;0,TblTech[[#This Row],[Hour]:[Hour]]&gt;=BN$2),1,0)</f>
        <v>0</v>
      </c>
      <c r="BO46" s="329" t="n">
        <f aca="false" t="array" ref="BO46:BO46">IF(AND(BO$2&lt;&gt;0,TblTech[[#This Row],[Hour]:[Hour]]&gt;=BO$2),1,0)</f>
        <v>0</v>
      </c>
      <c r="BP46" s="329" t="n">
        <f aca="false" t="array" ref="BP46:BP46">IF(AND(BP$2&lt;&gt;0,TblTech[[#This Row],[Hour]:[Hour]]&gt;=BP$2),1,0)</f>
        <v>0</v>
      </c>
      <c r="BQ46" s="329" t="n">
        <f aca="false" t="array" ref="BQ46:BQ46">IF(AND(BQ$2&lt;&gt;0,TblTech[[#This Row],[Hour]:[Hour]]&gt;=BQ$2),1,0)</f>
        <v>0</v>
      </c>
      <c r="BR46" s="329" t="n">
        <f aca="false" t="array" ref="BR46:BR46">IF(AND(BR$2&lt;&gt;0,TblTech[[#This Row],[Hour]:[Hour]]&gt;=BR$2),1,0)</f>
        <v>0</v>
      </c>
      <c r="BS46" s="329" t="n">
        <f aca="false" t="array" ref="BS46:BS46">IF(AND(BS$2&lt;&gt;0,TblTech[[#This Row],[Hour]:[Hour]]&gt;=BS$2),1,0)</f>
        <v>0</v>
      </c>
      <c r="BT46" s="329" t="n">
        <f aca="false" t="array" ref="BT46:BT46">IF(AND(BT$2&lt;&gt;0,TblTech[[#This Row],[Hour]:[Hour]]&gt;=BT$2),1,0)</f>
        <v>0</v>
      </c>
      <c r="BU46" s="329" t="n">
        <f aca="false" t="array" ref="BU46:BU46">IF(AND(BU$2&lt;&gt;0,TblTech[[#This Row],[Hour]:[Hour]]&gt;=BU$2),1,0)</f>
        <v>0</v>
      </c>
      <c r="BV46" s="329" t="n">
        <f aca="false" t="array" ref="BV46:BV46">IF(AND(BV$2&lt;&gt;0,TblTech[[#This Row],[Hour]:[Hour]]&gt;=BV$2),1,0)</f>
        <v>0</v>
      </c>
      <c r="BW46" s="329" t="n">
        <f aca="false" t="array" ref="BW46:BW46">IF(AND(BW$2&lt;&gt;0,TblTech[[#This Row],[Hour]:[Hour]]&gt;=BW$2),1,0)</f>
        <v>0</v>
      </c>
      <c r="BX46" s="329" t="n">
        <f aca="false" t="array" ref="BX46:BX46">IF(AND(BX$2&lt;&gt;0,TblTech[[#This Row],[Hour]:[Hour]]&gt;=BX$2),1,0)</f>
        <v>0</v>
      </c>
      <c r="BY46" s="329" t="n">
        <f aca="false" t="array" ref="BY46:BY46">IF(AND(BY$2&lt;&gt;0,TblTech[[#This Row],[Hour]:[Hour]]&gt;=BY$2),1,0)</f>
        <v>0</v>
      </c>
      <c r="BZ46" s="329" t="n">
        <f aca="false" t="array" ref="BZ46:BZ46">IF(AND(BZ$2&lt;&gt;0,TblTech[[#This Row],[Hour]:[Hour]]&gt;=BZ$2),1,0)</f>
        <v>0</v>
      </c>
      <c r="CA46" s="330" t="n">
        <f aca="false">IFERROR(INDEX($H$4:$H$79,MATCH(INDEX(TblTech[[#Headers],[1-1]:[11-1]],1,MATCH(TblTech[[#This Row],[Hour]],$M$2:$BZ$2,0)),$G$4:$G$79,0)),)</f>
        <v>0</v>
      </c>
    </row>
    <row r="47" customFormat="false" ht="12.75" hidden="false" customHeight="false" outlineLevel="0" collapsed="false">
      <c r="A47" s="321" t="n">
        <f aca="false">TblRezone[[#This Row],[Hour]]</f>
        <v>44</v>
      </c>
      <c r="B47" s="322" t="n">
        <f aca="false">TblExplore[[#This Row],[Land-DB]]</f>
        <v>530</v>
      </c>
      <c r="C47" s="323" t="n">
        <f aca="false">TblProd[[#This Row],[Techpoints]]</f>
        <v>350</v>
      </c>
      <c r="D47" s="323" t="n">
        <f aca="false">TblProd[[#This Row],[Required]]</f>
        <v>3750</v>
      </c>
      <c r="E47" s="324"/>
      <c r="F47" s="325"/>
      <c r="G47" s="326" t="s">
        <v>563</v>
      </c>
      <c r="H47" s="327" t="s">
        <v>668</v>
      </c>
      <c r="I47" s="326" t="s">
        <v>669</v>
      </c>
      <c r="J47" s="322"/>
      <c r="K47" s="68" t="n">
        <f aca="false">IF(TblTech[[#This Row],[Sum of tech]]&lt;&gt;OFFSET(TblTech[[#This Row],[Sum of tech]],-1,0),1,0)</f>
        <v>0</v>
      </c>
      <c r="L47" s="328" t="n">
        <f aca="false">COUNTIF(TblTech[[#This Row],[1-1]:[11-1]],1)</f>
        <v>0</v>
      </c>
      <c r="M47" s="329" t="n">
        <f aca="false" t="array" ref="M47:M47">IF(AND(M$2&lt;&gt;0,TblTech[[#This Row],[Hour]:[Hour]]&gt;=M$2),1,0)</f>
        <v>0</v>
      </c>
      <c r="N47" s="329" t="n">
        <f aca="false" t="array" ref="N47:N47">IF(AND(N$2&lt;&gt;0,TblTech[[#This Row],[Hour]:[Hour]]&gt;=N$2),1,0)</f>
        <v>0</v>
      </c>
      <c r="O47" s="329" t="n">
        <f aca="false" t="array" ref="O47:O47">IF(AND(O$2&lt;&gt;0,TblTech[[#This Row],[Hour]:[Hour]]&gt;=O$2),1,0)</f>
        <v>0</v>
      </c>
      <c r="P47" s="329" t="n">
        <f aca="false" t="array" ref="P47:P47">IF(AND(P$2&lt;&gt;0,TblTech[[#This Row],[Hour]:[Hour]]&gt;=P$2),1,0)</f>
        <v>0</v>
      </c>
      <c r="Q47" s="329" t="n">
        <f aca="false" t="array" ref="Q47:Q47">IF(AND(Q$2&lt;&gt;0,TblTech[[#This Row],[Hour]:[Hour]]&gt;=Q$2),1,0)</f>
        <v>0</v>
      </c>
      <c r="R47" s="329" t="n">
        <f aca="false" t="array" ref="R47:R47">IF(AND(R$2&lt;&gt;0,TblTech[[#This Row],[Hour]:[Hour]]&gt;=R$2),1,0)</f>
        <v>0</v>
      </c>
      <c r="S47" s="329" t="n">
        <f aca="false" t="array" ref="S47:S47">IF(AND(S$2&lt;&gt;0,TblTech[[#This Row],[Hour]:[Hour]]&gt;=S$2),1,0)</f>
        <v>0</v>
      </c>
      <c r="T47" s="329" t="n">
        <f aca="false" t="array" ref="T47:T47">IF(AND(T$2&lt;&gt;0,TblTech[[#This Row],[Hour]:[Hour]]&gt;=T$2),1,0)</f>
        <v>0</v>
      </c>
      <c r="U47" s="329" t="n">
        <f aca="false" t="array" ref="U47:U47">IF(AND(U$2&lt;&gt;0,TblTech[[#This Row],[Hour]:[Hour]]&gt;=U$2),1,0)</f>
        <v>0</v>
      </c>
      <c r="V47" s="329" t="n">
        <f aca="false" t="array" ref="V47:V47">IF(AND(V$2&lt;&gt;0,TblTech[[#This Row],[Hour]:[Hour]]&gt;=V$2),1,0)</f>
        <v>0</v>
      </c>
      <c r="W47" s="329" t="n">
        <f aca="false" t="array" ref="W47:W47">IF(AND(W$2&lt;&gt;0,TblTech[[#This Row],[Hour]:[Hour]]&gt;=W$2),1,0)</f>
        <v>0</v>
      </c>
      <c r="X47" s="329" t="n">
        <f aca="false" t="array" ref="X47:X47">IF(AND(X$2&lt;&gt;0,TblTech[[#This Row],[Hour]:[Hour]]&gt;=X$2),1,0)</f>
        <v>0</v>
      </c>
      <c r="Y47" s="329" t="n">
        <f aca="false" t="array" ref="Y47:Y47">IF(AND(Y$2&lt;&gt;0,TblTech[[#This Row],[Hour]:[Hour]]&gt;=Y$2),1,0)</f>
        <v>0</v>
      </c>
      <c r="Z47" s="329" t="n">
        <f aca="false" t="array" ref="Z47:Z47">IF(AND(Z$2&lt;&gt;0,TblTech[[#This Row],[Hour]:[Hour]]&gt;=Z$2),1,0)</f>
        <v>0</v>
      </c>
      <c r="AA47" s="329" t="n">
        <f aca="false" t="array" ref="AA47:AA47">IF(AND(AA$2&lt;&gt;0,TblTech[[#This Row],[Hour]:[Hour]]&gt;=AA$2),1,0)</f>
        <v>0</v>
      </c>
      <c r="AB47" s="329" t="n">
        <f aca="false" t="array" ref="AB47:AB47">IF(AND(AB$2&lt;&gt;0,TblTech[[#This Row],[Hour]:[Hour]]&gt;=AB$2),1,0)</f>
        <v>0</v>
      </c>
      <c r="AC47" s="329" t="n">
        <f aca="false" t="array" ref="AC47:AC47">IF(AND(AC$2&lt;&gt;0,TblTech[[#This Row],[Hour]:[Hour]]&gt;=AC$2),1,0)</f>
        <v>0</v>
      </c>
      <c r="AD47" s="329" t="n">
        <f aca="false" t="array" ref="AD47:AD47">IF(AND(AD$2&lt;&gt;0,TblTech[[#This Row],[Hour]:[Hour]]&gt;=AD$2),1,0)</f>
        <v>0</v>
      </c>
      <c r="AE47" s="329" t="n">
        <f aca="false" t="array" ref="AE47:AE47">IF(AND(AE$2&lt;&gt;0,TblTech[[#This Row],[Hour]:[Hour]]&gt;=AE$2),1,0)</f>
        <v>0</v>
      </c>
      <c r="AF47" s="329" t="n">
        <f aca="false" t="array" ref="AF47:AF47">IF(AND(AF$2&lt;&gt;0,TblTech[[#This Row],[Hour]:[Hour]]&gt;=AF$2),1,0)</f>
        <v>0</v>
      </c>
      <c r="AG47" s="329" t="n">
        <f aca="false" t="array" ref="AG47:AG47">IF(AND(AG$2&lt;&gt;0,TblTech[[#This Row],[Hour]:[Hour]]&gt;=AG$2),1,0)</f>
        <v>0</v>
      </c>
      <c r="AH47" s="329" t="n">
        <f aca="false" t="array" ref="AH47:AH47">IF(AND(AH$2&lt;&gt;0,TblTech[[#This Row],[Hour]:[Hour]]&gt;=AH$2),1,0)</f>
        <v>0</v>
      </c>
      <c r="AI47" s="329" t="n">
        <f aca="false" t="array" ref="AI47:AI47">IF(AND(AI$2&lt;&gt;0,TblTech[[#This Row],[Hour]:[Hour]]&gt;=AI$2),1,0)</f>
        <v>0</v>
      </c>
      <c r="AJ47" s="329" t="n">
        <f aca="false" t="array" ref="AJ47:AJ47">IF(AND(AJ$2&lt;&gt;0,TblTech[[#This Row],[Hour]:[Hour]]&gt;=AJ$2),1,0)</f>
        <v>0</v>
      </c>
      <c r="AK47" s="329" t="n">
        <f aca="false" t="array" ref="AK47:AK47">IF(AND(AK$2&lt;&gt;0,TblTech[[#This Row],[Hour]:[Hour]]&gt;=AK$2),1,0)</f>
        <v>0</v>
      </c>
      <c r="AL47" s="329" t="n">
        <f aca="false" t="array" ref="AL47:AL47">IF(AND(AL$2&lt;&gt;0,TblTech[[#This Row],[Hour]:[Hour]]&gt;=AL$2),1,0)</f>
        <v>0</v>
      </c>
      <c r="AM47" s="329" t="n">
        <f aca="false" t="array" ref="AM47:AM47">IF(AND(AM$2&lt;&gt;0,TblTech[[#This Row],[Hour]:[Hour]]&gt;=AM$2),1,0)</f>
        <v>0</v>
      </c>
      <c r="AN47" s="329" t="n">
        <f aca="false" t="array" ref="AN47:AN47">IF(AND(AN$2&lt;&gt;0,TblTech[[#This Row],[Hour]:[Hour]]&gt;=AN$2),1,0)</f>
        <v>0</v>
      </c>
      <c r="AO47" s="329" t="n">
        <f aca="false" t="array" ref="AO47:AO47">IF(AND(AO$2&lt;&gt;0,TblTech[[#This Row],[Hour]:[Hour]]&gt;=AO$2),1,0)</f>
        <v>0</v>
      </c>
      <c r="AP47" s="329" t="n">
        <f aca="false" t="array" ref="AP47:AP47">IF(AND(AP$2&lt;&gt;0,TblTech[[#This Row],[Hour]:[Hour]]&gt;=AP$2),1,0)</f>
        <v>0</v>
      </c>
      <c r="AQ47" s="329" t="n">
        <f aca="false" t="array" ref="AQ47:AQ47">IF(AND(AQ$2&lt;&gt;0,TblTech[[#This Row],[Hour]:[Hour]]&gt;=AQ$2),1,0)</f>
        <v>0</v>
      </c>
      <c r="AR47" s="329" t="n">
        <f aca="false" t="array" ref="AR47:AR47">IF(AND(AR$2&lt;&gt;0,TblTech[[#This Row],[Hour]:[Hour]]&gt;=AR$2),1,0)</f>
        <v>0</v>
      </c>
      <c r="AS47" s="329" t="n">
        <f aca="false" t="array" ref="AS47:AS47">IF(AND(AS$2&lt;&gt;0,TblTech[[#This Row],[Hour]:[Hour]]&gt;=AS$2),1,0)</f>
        <v>0</v>
      </c>
      <c r="AT47" s="329" t="n">
        <f aca="false" t="array" ref="AT47:AT47">IF(AND(AT$2&lt;&gt;0,TblTech[[#This Row],[Hour]:[Hour]]&gt;=AT$2),1,0)</f>
        <v>0</v>
      </c>
      <c r="AU47" s="329" t="n">
        <f aca="false" t="array" ref="AU47:AU47">IF(AND(AU$2&lt;&gt;0,TblTech[[#This Row],[Hour]:[Hour]]&gt;=AU$2),1,0)</f>
        <v>0</v>
      </c>
      <c r="AV47" s="329" t="n">
        <f aca="false" t="array" ref="AV47:AV47">IF(AND(AV$2&lt;&gt;0,TblTech[[#This Row],[Hour]:[Hour]]&gt;=AV$2),1,0)</f>
        <v>0</v>
      </c>
      <c r="AW47" s="329" t="n">
        <f aca="false" t="array" ref="AW47:AW47">IF(AND(AW$2&lt;&gt;0,TblTech[[#This Row],[Hour]:[Hour]]&gt;=AW$2),1,0)</f>
        <v>0</v>
      </c>
      <c r="AX47" s="329" t="n">
        <f aca="false" t="array" ref="AX47:AX47">IF(AND(AX$2&lt;&gt;0,TblTech[[#This Row],[Hour]:[Hour]]&gt;=AX$2),1,0)</f>
        <v>0</v>
      </c>
      <c r="AY47" s="329" t="n">
        <f aca="false" t="array" ref="AY47:AY47">IF(AND(AY$2&lt;&gt;0,TblTech[[#This Row],[Hour]:[Hour]]&gt;=AY$2),1,0)</f>
        <v>0</v>
      </c>
      <c r="AZ47" s="329" t="n">
        <f aca="false" t="array" ref="AZ47:AZ47">IF(AND(AZ$2&lt;&gt;0,TblTech[[#This Row],[Hour]:[Hour]]&gt;=AZ$2),1,0)</f>
        <v>0</v>
      </c>
      <c r="BA47" s="329" t="n">
        <f aca="false" t="array" ref="BA47:BA47">IF(AND(BA$2&lt;&gt;0,TblTech[[#This Row],[Hour]:[Hour]]&gt;=BA$2),1,0)</f>
        <v>0</v>
      </c>
      <c r="BB47" s="329" t="n">
        <f aca="false" t="array" ref="BB47:BB47">IF(AND(BB$2&lt;&gt;0,TblTech[[#This Row],[Hour]:[Hour]]&gt;=BB$2),1,0)</f>
        <v>0</v>
      </c>
      <c r="BC47" s="329" t="n">
        <f aca="false" t="array" ref="BC47:BC47">IF(AND(BC$2&lt;&gt;0,TblTech[[#This Row],[Hour]:[Hour]]&gt;=BC$2),1,0)</f>
        <v>0</v>
      </c>
      <c r="BD47" s="329" t="n">
        <f aca="false" t="array" ref="BD47:BD47">IF(AND(BD$2&lt;&gt;0,TblTech[[#This Row],[Hour]:[Hour]]&gt;=BD$2),1,0)</f>
        <v>0</v>
      </c>
      <c r="BE47" s="329" t="n">
        <f aca="false" t="array" ref="BE47:BE47">IF(AND(BE$2&lt;&gt;0,TblTech[[#This Row],[Hour]:[Hour]]&gt;=BE$2),1,0)</f>
        <v>0</v>
      </c>
      <c r="BF47" s="329" t="n">
        <f aca="false" t="array" ref="BF47:BF47">IF(AND(BF$2&lt;&gt;0,TblTech[[#This Row],[Hour]:[Hour]]&gt;=BF$2),1,0)</f>
        <v>0</v>
      </c>
      <c r="BG47" s="329" t="n">
        <f aca="false" t="array" ref="BG47:BG47">IF(AND(BG$2&lt;&gt;0,TblTech[[#This Row],[Hour]:[Hour]]&gt;=BG$2),1,0)</f>
        <v>0</v>
      </c>
      <c r="BH47" s="329" t="n">
        <f aca="false" t="array" ref="BH47:BH47">IF(AND(BH$2&lt;&gt;0,TblTech[[#This Row],[Hour]:[Hour]]&gt;=BH$2),1,0)</f>
        <v>0</v>
      </c>
      <c r="BI47" s="329" t="n">
        <f aca="false" t="array" ref="BI47:BI47">IF(AND(BI$2&lt;&gt;0,TblTech[[#This Row],[Hour]:[Hour]]&gt;=BI$2),1,0)</f>
        <v>0</v>
      </c>
      <c r="BJ47" s="329" t="n">
        <f aca="false" t="array" ref="BJ47:BJ47">IF(AND(BJ$2&lt;&gt;0,TblTech[[#This Row],[Hour]:[Hour]]&gt;=BJ$2),1,0)</f>
        <v>0</v>
      </c>
      <c r="BK47" s="329" t="n">
        <f aca="false" t="array" ref="BK47:BK47">IF(AND(BK$2&lt;&gt;0,TblTech[[#This Row],[Hour]:[Hour]]&gt;=BK$2),1,0)</f>
        <v>0</v>
      </c>
      <c r="BL47" s="329" t="n">
        <f aca="false" t="array" ref="BL47:BL47">IF(AND(BL$2&lt;&gt;0,TblTech[[#This Row],[Hour]:[Hour]]&gt;=BL$2),1,0)</f>
        <v>0</v>
      </c>
      <c r="BM47" s="329" t="n">
        <f aca="false" t="array" ref="BM47:BM47">IF(AND(BM$2&lt;&gt;0,TblTech[[#This Row],[Hour]:[Hour]]&gt;=BM$2),1,0)</f>
        <v>0</v>
      </c>
      <c r="BN47" s="329" t="n">
        <f aca="false" t="array" ref="BN47:BN47">IF(AND(BN$2&lt;&gt;0,TblTech[[#This Row],[Hour]:[Hour]]&gt;=BN$2),1,0)</f>
        <v>0</v>
      </c>
      <c r="BO47" s="329" t="n">
        <f aca="false" t="array" ref="BO47:BO47">IF(AND(BO$2&lt;&gt;0,TblTech[[#This Row],[Hour]:[Hour]]&gt;=BO$2),1,0)</f>
        <v>0</v>
      </c>
      <c r="BP47" s="329" t="n">
        <f aca="false" t="array" ref="BP47:BP47">IF(AND(BP$2&lt;&gt;0,TblTech[[#This Row],[Hour]:[Hour]]&gt;=BP$2),1,0)</f>
        <v>0</v>
      </c>
      <c r="BQ47" s="329" t="n">
        <f aca="false" t="array" ref="BQ47:BQ47">IF(AND(BQ$2&lt;&gt;0,TblTech[[#This Row],[Hour]:[Hour]]&gt;=BQ$2),1,0)</f>
        <v>0</v>
      </c>
      <c r="BR47" s="329" t="n">
        <f aca="false" t="array" ref="BR47:BR47">IF(AND(BR$2&lt;&gt;0,TblTech[[#This Row],[Hour]:[Hour]]&gt;=BR$2),1,0)</f>
        <v>0</v>
      </c>
      <c r="BS47" s="329" t="n">
        <f aca="false" t="array" ref="BS47:BS47">IF(AND(BS$2&lt;&gt;0,TblTech[[#This Row],[Hour]:[Hour]]&gt;=BS$2),1,0)</f>
        <v>0</v>
      </c>
      <c r="BT47" s="329" t="n">
        <f aca="false" t="array" ref="BT47:BT47">IF(AND(BT$2&lt;&gt;0,TblTech[[#This Row],[Hour]:[Hour]]&gt;=BT$2),1,0)</f>
        <v>0</v>
      </c>
      <c r="BU47" s="329" t="n">
        <f aca="false" t="array" ref="BU47:BU47">IF(AND(BU$2&lt;&gt;0,TblTech[[#This Row],[Hour]:[Hour]]&gt;=BU$2),1,0)</f>
        <v>0</v>
      </c>
      <c r="BV47" s="329" t="n">
        <f aca="false" t="array" ref="BV47:BV47">IF(AND(BV$2&lt;&gt;0,TblTech[[#This Row],[Hour]:[Hour]]&gt;=BV$2),1,0)</f>
        <v>0</v>
      </c>
      <c r="BW47" s="329" t="n">
        <f aca="false" t="array" ref="BW47:BW47">IF(AND(BW$2&lt;&gt;0,TblTech[[#This Row],[Hour]:[Hour]]&gt;=BW$2),1,0)</f>
        <v>0</v>
      </c>
      <c r="BX47" s="329" t="n">
        <f aca="false" t="array" ref="BX47:BX47">IF(AND(BX$2&lt;&gt;0,TblTech[[#This Row],[Hour]:[Hour]]&gt;=BX$2),1,0)</f>
        <v>0</v>
      </c>
      <c r="BY47" s="329" t="n">
        <f aca="false" t="array" ref="BY47:BY47">IF(AND(BY$2&lt;&gt;0,TblTech[[#This Row],[Hour]:[Hour]]&gt;=BY$2),1,0)</f>
        <v>0</v>
      </c>
      <c r="BZ47" s="329" t="n">
        <f aca="false" t="array" ref="BZ47:BZ47">IF(AND(BZ$2&lt;&gt;0,TblTech[[#This Row],[Hour]:[Hour]]&gt;=BZ$2),1,0)</f>
        <v>0</v>
      </c>
      <c r="CA47" s="330" t="n">
        <f aca="false">IFERROR(INDEX($H$4:$H$79,MATCH(INDEX(TblTech[[#Headers],[1-1]:[11-1]],1,MATCH(TblTech[[#This Row],[Hour]],$M$2:$BZ$2,0)),$G$4:$G$79,0)),)</f>
        <v>0</v>
      </c>
    </row>
    <row r="48" customFormat="false" ht="12.75" hidden="false" customHeight="false" outlineLevel="0" collapsed="false">
      <c r="A48" s="321" t="n">
        <f aca="false">TblRezone[[#This Row],[Hour]]</f>
        <v>45</v>
      </c>
      <c r="B48" s="322" t="n">
        <f aca="false">TblExplore[[#This Row],[Land-DB]]</f>
        <v>540</v>
      </c>
      <c r="C48" s="323" t="n">
        <f aca="false">TblProd[[#This Row],[Techpoints]]</f>
        <v>350</v>
      </c>
      <c r="D48" s="323" t="n">
        <f aca="false">TblProd[[#This Row],[Required]]</f>
        <v>3750</v>
      </c>
      <c r="E48" s="324"/>
      <c r="F48" s="325"/>
      <c r="G48" s="326" t="s">
        <v>564</v>
      </c>
      <c r="H48" s="327" t="s">
        <v>670</v>
      </c>
      <c r="I48" s="326" t="s">
        <v>642</v>
      </c>
      <c r="J48" s="322"/>
      <c r="K48" s="68" t="n">
        <f aca="false">IF(TblTech[[#This Row],[Sum of tech]]&lt;&gt;OFFSET(TblTech[[#This Row],[Sum of tech]],-1,0),1,0)</f>
        <v>0</v>
      </c>
      <c r="L48" s="328" t="n">
        <f aca="false">COUNTIF(TblTech[[#This Row],[1-1]:[11-1]],1)</f>
        <v>0</v>
      </c>
      <c r="M48" s="329" t="n">
        <f aca="false" t="array" ref="M48:M48">IF(AND(M$2&lt;&gt;0,TblTech[[#This Row],[Hour]:[Hour]]&gt;=M$2),1,0)</f>
        <v>0</v>
      </c>
      <c r="N48" s="329" t="n">
        <f aca="false" t="array" ref="N48:N48">IF(AND(N$2&lt;&gt;0,TblTech[[#This Row],[Hour]:[Hour]]&gt;=N$2),1,0)</f>
        <v>0</v>
      </c>
      <c r="O48" s="329" t="n">
        <f aca="false" t="array" ref="O48:O48">IF(AND(O$2&lt;&gt;0,TblTech[[#This Row],[Hour]:[Hour]]&gt;=O$2),1,0)</f>
        <v>0</v>
      </c>
      <c r="P48" s="329" t="n">
        <f aca="false" t="array" ref="P48:P48">IF(AND(P$2&lt;&gt;0,TblTech[[#This Row],[Hour]:[Hour]]&gt;=P$2),1,0)</f>
        <v>0</v>
      </c>
      <c r="Q48" s="329" t="n">
        <f aca="false" t="array" ref="Q48:Q48">IF(AND(Q$2&lt;&gt;0,TblTech[[#This Row],[Hour]:[Hour]]&gt;=Q$2),1,0)</f>
        <v>0</v>
      </c>
      <c r="R48" s="329" t="n">
        <f aca="false" t="array" ref="R48:R48">IF(AND(R$2&lt;&gt;0,TblTech[[#This Row],[Hour]:[Hour]]&gt;=R$2),1,0)</f>
        <v>0</v>
      </c>
      <c r="S48" s="329" t="n">
        <f aca="false" t="array" ref="S48:S48">IF(AND(S$2&lt;&gt;0,TblTech[[#This Row],[Hour]:[Hour]]&gt;=S$2),1,0)</f>
        <v>0</v>
      </c>
      <c r="T48" s="329" t="n">
        <f aca="false" t="array" ref="T48:T48">IF(AND(T$2&lt;&gt;0,TblTech[[#This Row],[Hour]:[Hour]]&gt;=T$2),1,0)</f>
        <v>0</v>
      </c>
      <c r="U48" s="329" t="n">
        <f aca="false" t="array" ref="U48:U48">IF(AND(U$2&lt;&gt;0,TblTech[[#This Row],[Hour]:[Hour]]&gt;=U$2),1,0)</f>
        <v>0</v>
      </c>
      <c r="V48" s="329" t="n">
        <f aca="false" t="array" ref="V48:V48">IF(AND(V$2&lt;&gt;0,TblTech[[#This Row],[Hour]:[Hour]]&gt;=V$2),1,0)</f>
        <v>0</v>
      </c>
      <c r="W48" s="329" t="n">
        <f aca="false" t="array" ref="W48:W48">IF(AND(W$2&lt;&gt;0,TblTech[[#This Row],[Hour]:[Hour]]&gt;=W$2),1,0)</f>
        <v>0</v>
      </c>
      <c r="X48" s="329" t="n">
        <f aca="false" t="array" ref="X48:X48">IF(AND(X$2&lt;&gt;0,TblTech[[#This Row],[Hour]:[Hour]]&gt;=X$2),1,0)</f>
        <v>0</v>
      </c>
      <c r="Y48" s="329" t="n">
        <f aca="false" t="array" ref="Y48:Y48">IF(AND(Y$2&lt;&gt;0,TblTech[[#This Row],[Hour]:[Hour]]&gt;=Y$2),1,0)</f>
        <v>0</v>
      </c>
      <c r="Z48" s="329" t="n">
        <f aca="false" t="array" ref="Z48:Z48">IF(AND(Z$2&lt;&gt;0,TblTech[[#This Row],[Hour]:[Hour]]&gt;=Z$2),1,0)</f>
        <v>0</v>
      </c>
      <c r="AA48" s="329" t="n">
        <f aca="false" t="array" ref="AA48:AA48">IF(AND(AA$2&lt;&gt;0,TblTech[[#This Row],[Hour]:[Hour]]&gt;=AA$2),1,0)</f>
        <v>0</v>
      </c>
      <c r="AB48" s="329" t="n">
        <f aca="false" t="array" ref="AB48:AB48">IF(AND(AB$2&lt;&gt;0,TblTech[[#This Row],[Hour]:[Hour]]&gt;=AB$2),1,0)</f>
        <v>0</v>
      </c>
      <c r="AC48" s="329" t="n">
        <f aca="false" t="array" ref="AC48:AC48">IF(AND(AC$2&lt;&gt;0,TblTech[[#This Row],[Hour]:[Hour]]&gt;=AC$2),1,0)</f>
        <v>0</v>
      </c>
      <c r="AD48" s="329" t="n">
        <f aca="false" t="array" ref="AD48:AD48">IF(AND(AD$2&lt;&gt;0,TblTech[[#This Row],[Hour]:[Hour]]&gt;=AD$2),1,0)</f>
        <v>0</v>
      </c>
      <c r="AE48" s="329" t="n">
        <f aca="false" t="array" ref="AE48:AE48">IF(AND(AE$2&lt;&gt;0,TblTech[[#This Row],[Hour]:[Hour]]&gt;=AE$2),1,0)</f>
        <v>0</v>
      </c>
      <c r="AF48" s="329" t="n">
        <f aca="false" t="array" ref="AF48:AF48">IF(AND(AF$2&lt;&gt;0,TblTech[[#This Row],[Hour]:[Hour]]&gt;=AF$2),1,0)</f>
        <v>0</v>
      </c>
      <c r="AG48" s="329" t="n">
        <f aca="false" t="array" ref="AG48:AG48">IF(AND(AG$2&lt;&gt;0,TblTech[[#This Row],[Hour]:[Hour]]&gt;=AG$2),1,0)</f>
        <v>0</v>
      </c>
      <c r="AH48" s="329" t="n">
        <f aca="false" t="array" ref="AH48:AH48">IF(AND(AH$2&lt;&gt;0,TblTech[[#This Row],[Hour]:[Hour]]&gt;=AH$2),1,0)</f>
        <v>0</v>
      </c>
      <c r="AI48" s="329" t="n">
        <f aca="false" t="array" ref="AI48:AI48">IF(AND(AI$2&lt;&gt;0,TblTech[[#This Row],[Hour]:[Hour]]&gt;=AI$2),1,0)</f>
        <v>0</v>
      </c>
      <c r="AJ48" s="329" t="n">
        <f aca="false" t="array" ref="AJ48:AJ48">IF(AND(AJ$2&lt;&gt;0,TblTech[[#This Row],[Hour]:[Hour]]&gt;=AJ$2),1,0)</f>
        <v>0</v>
      </c>
      <c r="AK48" s="329" t="n">
        <f aca="false" t="array" ref="AK48:AK48">IF(AND(AK$2&lt;&gt;0,TblTech[[#This Row],[Hour]:[Hour]]&gt;=AK$2),1,0)</f>
        <v>0</v>
      </c>
      <c r="AL48" s="329" t="n">
        <f aca="false" t="array" ref="AL48:AL48">IF(AND(AL$2&lt;&gt;0,TblTech[[#This Row],[Hour]:[Hour]]&gt;=AL$2),1,0)</f>
        <v>0</v>
      </c>
      <c r="AM48" s="329" t="n">
        <f aca="false" t="array" ref="AM48:AM48">IF(AND(AM$2&lt;&gt;0,TblTech[[#This Row],[Hour]:[Hour]]&gt;=AM$2),1,0)</f>
        <v>0</v>
      </c>
      <c r="AN48" s="329" t="n">
        <f aca="false" t="array" ref="AN48:AN48">IF(AND(AN$2&lt;&gt;0,TblTech[[#This Row],[Hour]:[Hour]]&gt;=AN$2),1,0)</f>
        <v>0</v>
      </c>
      <c r="AO48" s="329" t="n">
        <f aca="false" t="array" ref="AO48:AO48">IF(AND(AO$2&lt;&gt;0,TblTech[[#This Row],[Hour]:[Hour]]&gt;=AO$2),1,0)</f>
        <v>0</v>
      </c>
      <c r="AP48" s="329" t="n">
        <f aca="false" t="array" ref="AP48:AP48">IF(AND(AP$2&lt;&gt;0,TblTech[[#This Row],[Hour]:[Hour]]&gt;=AP$2),1,0)</f>
        <v>0</v>
      </c>
      <c r="AQ48" s="329" t="n">
        <f aca="false" t="array" ref="AQ48:AQ48">IF(AND(AQ$2&lt;&gt;0,TblTech[[#This Row],[Hour]:[Hour]]&gt;=AQ$2),1,0)</f>
        <v>0</v>
      </c>
      <c r="AR48" s="329" t="n">
        <f aca="false" t="array" ref="AR48:AR48">IF(AND(AR$2&lt;&gt;0,TblTech[[#This Row],[Hour]:[Hour]]&gt;=AR$2),1,0)</f>
        <v>0</v>
      </c>
      <c r="AS48" s="329" t="n">
        <f aca="false" t="array" ref="AS48:AS48">IF(AND(AS$2&lt;&gt;0,TblTech[[#This Row],[Hour]:[Hour]]&gt;=AS$2),1,0)</f>
        <v>0</v>
      </c>
      <c r="AT48" s="329" t="n">
        <f aca="false" t="array" ref="AT48:AT48">IF(AND(AT$2&lt;&gt;0,TblTech[[#This Row],[Hour]:[Hour]]&gt;=AT$2),1,0)</f>
        <v>0</v>
      </c>
      <c r="AU48" s="329" t="n">
        <f aca="false" t="array" ref="AU48:AU48">IF(AND(AU$2&lt;&gt;0,TblTech[[#This Row],[Hour]:[Hour]]&gt;=AU$2),1,0)</f>
        <v>0</v>
      </c>
      <c r="AV48" s="329" t="n">
        <f aca="false" t="array" ref="AV48:AV48">IF(AND(AV$2&lt;&gt;0,TblTech[[#This Row],[Hour]:[Hour]]&gt;=AV$2),1,0)</f>
        <v>0</v>
      </c>
      <c r="AW48" s="329" t="n">
        <f aca="false" t="array" ref="AW48:AW48">IF(AND(AW$2&lt;&gt;0,TblTech[[#This Row],[Hour]:[Hour]]&gt;=AW$2),1,0)</f>
        <v>0</v>
      </c>
      <c r="AX48" s="329" t="n">
        <f aca="false" t="array" ref="AX48:AX48">IF(AND(AX$2&lt;&gt;0,TblTech[[#This Row],[Hour]:[Hour]]&gt;=AX$2),1,0)</f>
        <v>0</v>
      </c>
      <c r="AY48" s="329" t="n">
        <f aca="false" t="array" ref="AY48:AY48">IF(AND(AY$2&lt;&gt;0,TblTech[[#This Row],[Hour]:[Hour]]&gt;=AY$2),1,0)</f>
        <v>0</v>
      </c>
      <c r="AZ48" s="329" t="n">
        <f aca="false" t="array" ref="AZ48:AZ48">IF(AND(AZ$2&lt;&gt;0,TblTech[[#This Row],[Hour]:[Hour]]&gt;=AZ$2),1,0)</f>
        <v>0</v>
      </c>
      <c r="BA48" s="329" t="n">
        <f aca="false" t="array" ref="BA48:BA48">IF(AND(BA$2&lt;&gt;0,TblTech[[#This Row],[Hour]:[Hour]]&gt;=BA$2),1,0)</f>
        <v>0</v>
      </c>
      <c r="BB48" s="329" t="n">
        <f aca="false" t="array" ref="BB48:BB48">IF(AND(BB$2&lt;&gt;0,TblTech[[#This Row],[Hour]:[Hour]]&gt;=BB$2),1,0)</f>
        <v>0</v>
      </c>
      <c r="BC48" s="329" t="n">
        <f aca="false" t="array" ref="BC48:BC48">IF(AND(BC$2&lt;&gt;0,TblTech[[#This Row],[Hour]:[Hour]]&gt;=BC$2),1,0)</f>
        <v>0</v>
      </c>
      <c r="BD48" s="329" t="n">
        <f aca="false" t="array" ref="BD48:BD48">IF(AND(BD$2&lt;&gt;0,TblTech[[#This Row],[Hour]:[Hour]]&gt;=BD$2),1,0)</f>
        <v>0</v>
      </c>
      <c r="BE48" s="329" t="n">
        <f aca="false" t="array" ref="BE48:BE48">IF(AND(BE$2&lt;&gt;0,TblTech[[#This Row],[Hour]:[Hour]]&gt;=BE$2),1,0)</f>
        <v>0</v>
      </c>
      <c r="BF48" s="329" t="n">
        <f aca="false" t="array" ref="BF48:BF48">IF(AND(BF$2&lt;&gt;0,TblTech[[#This Row],[Hour]:[Hour]]&gt;=BF$2),1,0)</f>
        <v>0</v>
      </c>
      <c r="BG48" s="329" t="n">
        <f aca="false" t="array" ref="BG48:BG48">IF(AND(BG$2&lt;&gt;0,TblTech[[#This Row],[Hour]:[Hour]]&gt;=BG$2),1,0)</f>
        <v>0</v>
      </c>
      <c r="BH48" s="329" t="n">
        <f aca="false" t="array" ref="BH48:BH48">IF(AND(BH$2&lt;&gt;0,TblTech[[#This Row],[Hour]:[Hour]]&gt;=BH$2),1,0)</f>
        <v>0</v>
      </c>
      <c r="BI48" s="329" t="n">
        <f aca="false" t="array" ref="BI48:BI48">IF(AND(BI$2&lt;&gt;0,TblTech[[#This Row],[Hour]:[Hour]]&gt;=BI$2),1,0)</f>
        <v>0</v>
      </c>
      <c r="BJ48" s="329" t="n">
        <f aca="false" t="array" ref="BJ48:BJ48">IF(AND(BJ$2&lt;&gt;0,TblTech[[#This Row],[Hour]:[Hour]]&gt;=BJ$2),1,0)</f>
        <v>0</v>
      </c>
      <c r="BK48" s="329" t="n">
        <f aca="false" t="array" ref="BK48:BK48">IF(AND(BK$2&lt;&gt;0,TblTech[[#This Row],[Hour]:[Hour]]&gt;=BK$2),1,0)</f>
        <v>0</v>
      </c>
      <c r="BL48" s="329" t="n">
        <f aca="false" t="array" ref="BL48:BL48">IF(AND(BL$2&lt;&gt;0,TblTech[[#This Row],[Hour]:[Hour]]&gt;=BL$2),1,0)</f>
        <v>0</v>
      </c>
      <c r="BM48" s="329" t="n">
        <f aca="false" t="array" ref="BM48:BM48">IF(AND(BM$2&lt;&gt;0,TblTech[[#This Row],[Hour]:[Hour]]&gt;=BM$2),1,0)</f>
        <v>0</v>
      </c>
      <c r="BN48" s="329" t="n">
        <f aca="false" t="array" ref="BN48:BN48">IF(AND(BN$2&lt;&gt;0,TblTech[[#This Row],[Hour]:[Hour]]&gt;=BN$2),1,0)</f>
        <v>0</v>
      </c>
      <c r="BO48" s="329" t="n">
        <f aca="false" t="array" ref="BO48:BO48">IF(AND(BO$2&lt;&gt;0,TblTech[[#This Row],[Hour]:[Hour]]&gt;=BO$2),1,0)</f>
        <v>0</v>
      </c>
      <c r="BP48" s="329" t="n">
        <f aca="false" t="array" ref="BP48:BP48">IF(AND(BP$2&lt;&gt;0,TblTech[[#This Row],[Hour]:[Hour]]&gt;=BP$2),1,0)</f>
        <v>0</v>
      </c>
      <c r="BQ48" s="329" t="n">
        <f aca="false" t="array" ref="BQ48:BQ48">IF(AND(BQ$2&lt;&gt;0,TblTech[[#This Row],[Hour]:[Hour]]&gt;=BQ$2),1,0)</f>
        <v>0</v>
      </c>
      <c r="BR48" s="329" t="n">
        <f aca="false" t="array" ref="BR48:BR48">IF(AND(BR$2&lt;&gt;0,TblTech[[#This Row],[Hour]:[Hour]]&gt;=BR$2),1,0)</f>
        <v>0</v>
      </c>
      <c r="BS48" s="329" t="n">
        <f aca="false" t="array" ref="BS48:BS48">IF(AND(BS$2&lt;&gt;0,TblTech[[#This Row],[Hour]:[Hour]]&gt;=BS$2),1,0)</f>
        <v>0</v>
      </c>
      <c r="BT48" s="329" t="n">
        <f aca="false" t="array" ref="BT48:BT48">IF(AND(BT$2&lt;&gt;0,TblTech[[#This Row],[Hour]:[Hour]]&gt;=BT$2),1,0)</f>
        <v>0</v>
      </c>
      <c r="BU48" s="329" t="n">
        <f aca="false" t="array" ref="BU48:BU48">IF(AND(BU$2&lt;&gt;0,TblTech[[#This Row],[Hour]:[Hour]]&gt;=BU$2),1,0)</f>
        <v>0</v>
      </c>
      <c r="BV48" s="329" t="n">
        <f aca="false" t="array" ref="BV48:BV48">IF(AND(BV$2&lt;&gt;0,TblTech[[#This Row],[Hour]:[Hour]]&gt;=BV$2),1,0)</f>
        <v>0</v>
      </c>
      <c r="BW48" s="329" t="n">
        <f aca="false" t="array" ref="BW48:BW48">IF(AND(BW$2&lt;&gt;0,TblTech[[#This Row],[Hour]:[Hour]]&gt;=BW$2),1,0)</f>
        <v>0</v>
      </c>
      <c r="BX48" s="329" t="n">
        <f aca="false" t="array" ref="BX48:BX48">IF(AND(BX$2&lt;&gt;0,TblTech[[#This Row],[Hour]:[Hour]]&gt;=BX$2),1,0)</f>
        <v>0</v>
      </c>
      <c r="BY48" s="329" t="n">
        <f aca="false" t="array" ref="BY48:BY48">IF(AND(BY$2&lt;&gt;0,TblTech[[#This Row],[Hour]:[Hour]]&gt;=BY$2),1,0)</f>
        <v>0</v>
      </c>
      <c r="BZ48" s="329" t="n">
        <f aca="false" t="array" ref="BZ48:BZ48">IF(AND(BZ$2&lt;&gt;0,TblTech[[#This Row],[Hour]:[Hour]]&gt;=BZ$2),1,0)</f>
        <v>0</v>
      </c>
      <c r="CA48" s="330" t="n">
        <f aca="false">IFERROR(INDEX($H$4:$H$79,MATCH(INDEX(TblTech[[#Headers],[1-1]:[11-1]],1,MATCH(TblTech[[#This Row],[Hour]],$M$2:$BZ$2,0)),$G$4:$G$79,0)),)</f>
        <v>0</v>
      </c>
    </row>
    <row r="49" customFormat="false" ht="12.75" hidden="false" customHeight="false" outlineLevel="0" collapsed="false">
      <c r="A49" s="321" t="n">
        <f aca="false">TblRezone[[#This Row],[Hour]]</f>
        <v>46</v>
      </c>
      <c r="B49" s="322" t="n">
        <f aca="false">TblExplore[[#This Row],[Land-DB]]</f>
        <v>551</v>
      </c>
      <c r="C49" s="323" t="n">
        <f aca="false">TblProd[[#This Row],[Techpoints]]</f>
        <v>350</v>
      </c>
      <c r="D49" s="323" t="n">
        <f aca="false">TblProd[[#This Row],[Required]]</f>
        <v>3750</v>
      </c>
      <c r="E49" s="324"/>
      <c r="F49" s="325"/>
      <c r="G49" s="326" t="s">
        <v>565</v>
      </c>
      <c r="H49" s="327" t="s">
        <v>671</v>
      </c>
      <c r="I49" s="326" t="s">
        <v>672</v>
      </c>
      <c r="J49" s="322"/>
      <c r="K49" s="68" t="n">
        <f aca="false">IF(TblTech[[#This Row],[Sum of tech]]&lt;&gt;OFFSET(TblTech[[#This Row],[Sum of tech]],-1,0),1,0)</f>
        <v>0</v>
      </c>
      <c r="L49" s="328" t="n">
        <f aca="false">COUNTIF(TblTech[[#This Row],[1-1]:[11-1]],1)</f>
        <v>0</v>
      </c>
      <c r="M49" s="329" t="n">
        <f aca="false" t="array" ref="M49:M49">IF(AND(M$2&lt;&gt;0,TblTech[[#This Row],[Hour]:[Hour]]&gt;=M$2),1,0)</f>
        <v>0</v>
      </c>
      <c r="N49" s="329" t="n">
        <f aca="false" t="array" ref="N49:N49">IF(AND(N$2&lt;&gt;0,TblTech[[#This Row],[Hour]:[Hour]]&gt;=N$2),1,0)</f>
        <v>0</v>
      </c>
      <c r="O49" s="329" t="n">
        <f aca="false" t="array" ref="O49:O49">IF(AND(O$2&lt;&gt;0,TblTech[[#This Row],[Hour]:[Hour]]&gt;=O$2),1,0)</f>
        <v>0</v>
      </c>
      <c r="P49" s="329" t="n">
        <f aca="false" t="array" ref="P49:P49">IF(AND(P$2&lt;&gt;0,TblTech[[#This Row],[Hour]:[Hour]]&gt;=P$2),1,0)</f>
        <v>0</v>
      </c>
      <c r="Q49" s="329" t="n">
        <f aca="false" t="array" ref="Q49:Q49">IF(AND(Q$2&lt;&gt;0,TblTech[[#This Row],[Hour]:[Hour]]&gt;=Q$2),1,0)</f>
        <v>0</v>
      </c>
      <c r="R49" s="329" t="n">
        <f aca="false" t="array" ref="R49:R49">IF(AND(R$2&lt;&gt;0,TblTech[[#This Row],[Hour]:[Hour]]&gt;=R$2),1,0)</f>
        <v>0</v>
      </c>
      <c r="S49" s="329" t="n">
        <f aca="false" t="array" ref="S49:S49">IF(AND(S$2&lt;&gt;0,TblTech[[#This Row],[Hour]:[Hour]]&gt;=S$2),1,0)</f>
        <v>0</v>
      </c>
      <c r="T49" s="329" t="n">
        <f aca="false" t="array" ref="T49:T49">IF(AND(T$2&lt;&gt;0,TblTech[[#This Row],[Hour]:[Hour]]&gt;=T$2),1,0)</f>
        <v>0</v>
      </c>
      <c r="U49" s="329" t="n">
        <f aca="false" t="array" ref="U49:U49">IF(AND(U$2&lt;&gt;0,TblTech[[#This Row],[Hour]:[Hour]]&gt;=U$2),1,0)</f>
        <v>0</v>
      </c>
      <c r="V49" s="329" t="n">
        <f aca="false" t="array" ref="V49:V49">IF(AND(V$2&lt;&gt;0,TblTech[[#This Row],[Hour]:[Hour]]&gt;=V$2),1,0)</f>
        <v>0</v>
      </c>
      <c r="W49" s="329" t="n">
        <f aca="false" t="array" ref="W49:W49">IF(AND(W$2&lt;&gt;0,TblTech[[#This Row],[Hour]:[Hour]]&gt;=W$2),1,0)</f>
        <v>0</v>
      </c>
      <c r="X49" s="329" t="n">
        <f aca="false" t="array" ref="X49:X49">IF(AND(X$2&lt;&gt;0,TblTech[[#This Row],[Hour]:[Hour]]&gt;=X$2),1,0)</f>
        <v>0</v>
      </c>
      <c r="Y49" s="329" t="n">
        <f aca="false" t="array" ref="Y49:Y49">IF(AND(Y$2&lt;&gt;0,TblTech[[#This Row],[Hour]:[Hour]]&gt;=Y$2),1,0)</f>
        <v>0</v>
      </c>
      <c r="Z49" s="329" t="n">
        <f aca="false" t="array" ref="Z49:Z49">IF(AND(Z$2&lt;&gt;0,TblTech[[#This Row],[Hour]:[Hour]]&gt;=Z$2),1,0)</f>
        <v>0</v>
      </c>
      <c r="AA49" s="329" t="n">
        <f aca="false" t="array" ref="AA49:AA49">IF(AND(AA$2&lt;&gt;0,TblTech[[#This Row],[Hour]:[Hour]]&gt;=AA$2),1,0)</f>
        <v>0</v>
      </c>
      <c r="AB49" s="329" t="n">
        <f aca="false" t="array" ref="AB49:AB49">IF(AND(AB$2&lt;&gt;0,TblTech[[#This Row],[Hour]:[Hour]]&gt;=AB$2),1,0)</f>
        <v>0</v>
      </c>
      <c r="AC49" s="329" t="n">
        <f aca="false" t="array" ref="AC49:AC49">IF(AND(AC$2&lt;&gt;0,TblTech[[#This Row],[Hour]:[Hour]]&gt;=AC$2),1,0)</f>
        <v>0</v>
      </c>
      <c r="AD49" s="329" t="n">
        <f aca="false" t="array" ref="AD49:AD49">IF(AND(AD$2&lt;&gt;0,TblTech[[#This Row],[Hour]:[Hour]]&gt;=AD$2),1,0)</f>
        <v>0</v>
      </c>
      <c r="AE49" s="329" t="n">
        <f aca="false" t="array" ref="AE49:AE49">IF(AND(AE$2&lt;&gt;0,TblTech[[#This Row],[Hour]:[Hour]]&gt;=AE$2),1,0)</f>
        <v>0</v>
      </c>
      <c r="AF49" s="329" t="n">
        <f aca="false" t="array" ref="AF49:AF49">IF(AND(AF$2&lt;&gt;0,TblTech[[#This Row],[Hour]:[Hour]]&gt;=AF$2),1,0)</f>
        <v>0</v>
      </c>
      <c r="AG49" s="329" t="n">
        <f aca="false" t="array" ref="AG49:AG49">IF(AND(AG$2&lt;&gt;0,TblTech[[#This Row],[Hour]:[Hour]]&gt;=AG$2),1,0)</f>
        <v>0</v>
      </c>
      <c r="AH49" s="329" t="n">
        <f aca="false" t="array" ref="AH49:AH49">IF(AND(AH$2&lt;&gt;0,TblTech[[#This Row],[Hour]:[Hour]]&gt;=AH$2),1,0)</f>
        <v>0</v>
      </c>
      <c r="AI49" s="329" t="n">
        <f aca="false" t="array" ref="AI49:AI49">IF(AND(AI$2&lt;&gt;0,TblTech[[#This Row],[Hour]:[Hour]]&gt;=AI$2),1,0)</f>
        <v>0</v>
      </c>
      <c r="AJ49" s="329" t="n">
        <f aca="false" t="array" ref="AJ49:AJ49">IF(AND(AJ$2&lt;&gt;0,TblTech[[#This Row],[Hour]:[Hour]]&gt;=AJ$2),1,0)</f>
        <v>0</v>
      </c>
      <c r="AK49" s="329" t="n">
        <f aca="false" t="array" ref="AK49:AK49">IF(AND(AK$2&lt;&gt;0,TblTech[[#This Row],[Hour]:[Hour]]&gt;=AK$2),1,0)</f>
        <v>0</v>
      </c>
      <c r="AL49" s="329" t="n">
        <f aca="false" t="array" ref="AL49:AL49">IF(AND(AL$2&lt;&gt;0,TblTech[[#This Row],[Hour]:[Hour]]&gt;=AL$2),1,0)</f>
        <v>0</v>
      </c>
      <c r="AM49" s="329" t="n">
        <f aca="false" t="array" ref="AM49:AM49">IF(AND(AM$2&lt;&gt;0,TblTech[[#This Row],[Hour]:[Hour]]&gt;=AM$2),1,0)</f>
        <v>0</v>
      </c>
      <c r="AN49" s="329" t="n">
        <f aca="false" t="array" ref="AN49:AN49">IF(AND(AN$2&lt;&gt;0,TblTech[[#This Row],[Hour]:[Hour]]&gt;=AN$2),1,0)</f>
        <v>0</v>
      </c>
      <c r="AO49" s="329" t="n">
        <f aca="false" t="array" ref="AO49:AO49">IF(AND(AO$2&lt;&gt;0,TblTech[[#This Row],[Hour]:[Hour]]&gt;=AO$2),1,0)</f>
        <v>0</v>
      </c>
      <c r="AP49" s="329" t="n">
        <f aca="false" t="array" ref="AP49:AP49">IF(AND(AP$2&lt;&gt;0,TblTech[[#This Row],[Hour]:[Hour]]&gt;=AP$2),1,0)</f>
        <v>0</v>
      </c>
      <c r="AQ49" s="329" t="n">
        <f aca="false" t="array" ref="AQ49:AQ49">IF(AND(AQ$2&lt;&gt;0,TblTech[[#This Row],[Hour]:[Hour]]&gt;=AQ$2),1,0)</f>
        <v>0</v>
      </c>
      <c r="AR49" s="329" t="n">
        <f aca="false" t="array" ref="AR49:AR49">IF(AND(AR$2&lt;&gt;0,TblTech[[#This Row],[Hour]:[Hour]]&gt;=AR$2),1,0)</f>
        <v>0</v>
      </c>
      <c r="AS49" s="329" t="n">
        <f aca="false" t="array" ref="AS49:AS49">IF(AND(AS$2&lt;&gt;0,TblTech[[#This Row],[Hour]:[Hour]]&gt;=AS$2),1,0)</f>
        <v>0</v>
      </c>
      <c r="AT49" s="329" t="n">
        <f aca="false" t="array" ref="AT49:AT49">IF(AND(AT$2&lt;&gt;0,TblTech[[#This Row],[Hour]:[Hour]]&gt;=AT$2),1,0)</f>
        <v>0</v>
      </c>
      <c r="AU49" s="329" t="n">
        <f aca="false" t="array" ref="AU49:AU49">IF(AND(AU$2&lt;&gt;0,TblTech[[#This Row],[Hour]:[Hour]]&gt;=AU$2),1,0)</f>
        <v>0</v>
      </c>
      <c r="AV49" s="329" t="n">
        <f aca="false" t="array" ref="AV49:AV49">IF(AND(AV$2&lt;&gt;0,TblTech[[#This Row],[Hour]:[Hour]]&gt;=AV$2),1,0)</f>
        <v>0</v>
      </c>
      <c r="AW49" s="329" t="n">
        <f aca="false" t="array" ref="AW49:AW49">IF(AND(AW$2&lt;&gt;0,TblTech[[#This Row],[Hour]:[Hour]]&gt;=AW$2),1,0)</f>
        <v>0</v>
      </c>
      <c r="AX49" s="329" t="n">
        <f aca="false" t="array" ref="AX49:AX49">IF(AND(AX$2&lt;&gt;0,TblTech[[#This Row],[Hour]:[Hour]]&gt;=AX$2),1,0)</f>
        <v>0</v>
      </c>
      <c r="AY49" s="329" t="n">
        <f aca="false" t="array" ref="AY49:AY49">IF(AND(AY$2&lt;&gt;0,TblTech[[#This Row],[Hour]:[Hour]]&gt;=AY$2),1,0)</f>
        <v>0</v>
      </c>
      <c r="AZ49" s="329" t="n">
        <f aca="false" t="array" ref="AZ49:AZ49">IF(AND(AZ$2&lt;&gt;0,TblTech[[#This Row],[Hour]:[Hour]]&gt;=AZ$2),1,0)</f>
        <v>0</v>
      </c>
      <c r="BA49" s="329" t="n">
        <f aca="false" t="array" ref="BA49:BA49">IF(AND(BA$2&lt;&gt;0,TblTech[[#This Row],[Hour]:[Hour]]&gt;=BA$2),1,0)</f>
        <v>0</v>
      </c>
      <c r="BB49" s="329" t="n">
        <f aca="false" t="array" ref="BB49:BB49">IF(AND(BB$2&lt;&gt;0,TblTech[[#This Row],[Hour]:[Hour]]&gt;=BB$2),1,0)</f>
        <v>0</v>
      </c>
      <c r="BC49" s="329" t="n">
        <f aca="false" t="array" ref="BC49:BC49">IF(AND(BC$2&lt;&gt;0,TblTech[[#This Row],[Hour]:[Hour]]&gt;=BC$2),1,0)</f>
        <v>0</v>
      </c>
      <c r="BD49" s="329" t="n">
        <f aca="false" t="array" ref="BD49:BD49">IF(AND(BD$2&lt;&gt;0,TblTech[[#This Row],[Hour]:[Hour]]&gt;=BD$2),1,0)</f>
        <v>0</v>
      </c>
      <c r="BE49" s="329" t="n">
        <f aca="false" t="array" ref="BE49:BE49">IF(AND(BE$2&lt;&gt;0,TblTech[[#This Row],[Hour]:[Hour]]&gt;=BE$2),1,0)</f>
        <v>0</v>
      </c>
      <c r="BF49" s="329" t="n">
        <f aca="false" t="array" ref="BF49:BF49">IF(AND(BF$2&lt;&gt;0,TblTech[[#This Row],[Hour]:[Hour]]&gt;=BF$2),1,0)</f>
        <v>0</v>
      </c>
      <c r="BG49" s="329" t="n">
        <f aca="false" t="array" ref="BG49:BG49">IF(AND(BG$2&lt;&gt;0,TblTech[[#This Row],[Hour]:[Hour]]&gt;=BG$2),1,0)</f>
        <v>0</v>
      </c>
      <c r="BH49" s="329" t="n">
        <f aca="false" t="array" ref="BH49:BH49">IF(AND(BH$2&lt;&gt;0,TblTech[[#This Row],[Hour]:[Hour]]&gt;=BH$2),1,0)</f>
        <v>0</v>
      </c>
      <c r="BI49" s="329" t="n">
        <f aca="false" t="array" ref="BI49:BI49">IF(AND(BI$2&lt;&gt;0,TblTech[[#This Row],[Hour]:[Hour]]&gt;=BI$2),1,0)</f>
        <v>0</v>
      </c>
      <c r="BJ49" s="329" t="n">
        <f aca="false" t="array" ref="BJ49:BJ49">IF(AND(BJ$2&lt;&gt;0,TblTech[[#This Row],[Hour]:[Hour]]&gt;=BJ$2),1,0)</f>
        <v>0</v>
      </c>
      <c r="BK49" s="329" t="n">
        <f aca="false" t="array" ref="BK49:BK49">IF(AND(BK$2&lt;&gt;0,TblTech[[#This Row],[Hour]:[Hour]]&gt;=BK$2),1,0)</f>
        <v>0</v>
      </c>
      <c r="BL49" s="329" t="n">
        <f aca="false" t="array" ref="BL49:BL49">IF(AND(BL$2&lt;&gt;0,TblTech[[#This Row],[Hour]:[Hour]]&gt;=BL$2),1,0)</f>
        <v>0</v>
      </c>
      <c r="BM49" s="329" t="n">
        <f aca="false" t="array" ref="BM49:BM49">IF(AND(BM$2&lt;&gt;0,TblTech[[#This Row],[Hour]:[Hour]]&gt;=BM$2),1,0)</f>
        <v>0</v>
      </c>
      <c r="BN49" s="329" t="n">
        <f aca="false" t="array" ref="BN49:BN49">IF(AND(BN$2&lt;&gt;0,TblTech[[#This Row],[Hour]:[Hour]]&gt;=BN$2),1,0)</f>
        <v>0</v>
      </c>
      <c r="BO49" s="329" t="n">
        <f aca="false" t="array" ref="BO49:BO49">IF(AND(BO$2&lt;&gt;0,TblTech[[#This Row],[Hour]:[Hour]]&gt;=BO$2),1,0)</f>
        <v>0</v>
      </c>
      <c r="BP49" s="329" t="n">
        <f aca="false" t="array" ref="BP49:BP49">IF(AND(BP$2&lt;&gt;0,TblTech[[#This Row],[Hour]:[Hour]]&gt;=BP$2),1,0)</f>
        <v>0</v>
      </c>
      <c r="BQ49" s="329" t="n">
        <f aca="false" t="array" ref="BQ49:BQ49">IF(AND(BQ$2&lt;&gt;0,TblTech[[#This Row],[Hour]:[Hour]]&gt;=BQ$2),1,0)</f>
        <v>0</v>
      </c>
      <c r="BR49" s="329" t="n">
        <f aca="false" t="array" ref="BR49:BR49">IF(AND(BR$2&lt;&gt;0,TblTech[[#This Row],[Hour]:[Hour]]&gt;=BR$2),1,0)</f>
        <v>0</v>
      </c>
      <c r="BS49" s="329" t="n">
        <f aca="false" t="array" ref="BS49:BS49">IF(AND(BS$2&lt;&gt;0,TblTech[[#This Row],[Hour]:[Hour]]&gt;=BS$2),1,0)</f>
        <v>0</v>
      </c>
      <c r="BT49" s="329" t="n">
        <f aca="false" t="array" ref="BT49:BT49">IF(AND(BT$2&lt;&gt;0,TblTech[[#This Row],[Hour]:[Hour]]&gt;=BT$2),1,0)</f>
        <v>0</v>
      </c>
      <c r="BU49" s="329" t="n">
        <f aca="false" t="array" ref="BU49:BU49">IF(AND(BU$2&lt;&gt;0,TblTech[[#This Row],[Hour]:[Hour]]&gt;=BU$2),1,0)</f>
        <v>0</v>
      </c>
      <c r="BV49" s="329" t="n">
        <f aca="false" t="array" ref="BV49:BV49">IF(AND(BV$2&lt;&gt;0,TblTech[[#This Row],[Hour]:[Hour]]&gt;=BV$2),1,0)</f>
        <v>0</v>
      </c>
      <c r="BW49" s="329" t="n">
        <f aca="false" t="array" ref="BW49:BW49">IF(AND(BW$2&lt;&gt;0,TblTech[[#This Row],[Hour]:[Hour]]&gt;=BW$2),1,0)</f>
        <v>0</v>
      </c>
      <c r="BX49" s="329" t="n">
        <f aca="false" t="array" ref="BX49:BX49">IF(AND(BX$2&lt;&gt;0,TblTech[[#This Row],[Hour]:[Hour]]&gt;=BX$2),1,0)</f>
        <v>0</v>
      </c>
      <c r="BY49" s="329" t="n">
        <f aca="false" t="array" ref="BY49:BY49">IF(AND(BY$2&lt;&gt;0,TblTech[[#This Row],[Hour]:[Hour]]&gt;=BY$2),1,0)</f>
        <v>0</v>
      </c>
      <c r="BZ49" s="329" t="n">
        <f aca="false" t="array" ref="BZ49:BZ49">IF(AND(BZ$2&lt;&gt;0,TblTech[[#This Row],[Hour]:[Hour]]&gt;=BZ$2),1,0)</f>
        <v>0</v>
      </c>
      <c r="CA49" s="330" t="n">
        <f aca="false">IFERROR(INDEX($H$4:$H$79,MATCH(INDEX(TblTech[[#Headers],[1-1]:[11-1]],1,MATCH(TblTech[[#This Row],[Hour]],$M$2:$BZ$2,0)),$G$4:$G$79,0)),)</f>
        <v>0</v>
      </c>
    </row>
    <row r="50" customFormat="false" ht="12.75" hidden="false" customHeight="false" outlineLevel="0" collapsed="false">
      <c r="A50" s="321" t="n">
        <f aca="false">TblRezone[[#This Row],[Hour]]</f>
        <v>47</v>
      </c>
      <c r="B50" s="322" t="n">
        <f aca="false">TblExplore[[#This Row],[Land-DB]]</f>
        <v>563</v>
      </c>
      <c r="C50" s="323" t="n">
        <f aca="false">TblProd[[#This Row],[Techpoints]]</f>
        <v>350</v>
      </c>
      <c r="D50" s="323" t="n">
        <f aca="false">TblProd[[#This Row],[Required]]</f>
        <v>3750</v>
      </c>
      <c r="E50" s="324"/>
      <c r="F50" s="325"/>
      <c r="G50" s="326" t="s">
        <v>566</v>
      </c>
      <c r="H50" s="327" t="s">
        <v>673</v>
      </c>
      <c r="I50" s="326" t="s">
        <v>642</v>
      </c>
      <c r="J50" s="322"/>
      <c r="K50" s="68" t="n">
        <f aca="false">IF(TblTech[[#This Row],[Sum of tech]]&lt;&gt;OFFSET(TblTech[[#This Row],[Sum of tech]],-1,0),1,0)</f>
        <v>0</v>
      </c>
      <c r="L50" s="328" t="n">
        <f aca="false">COUNTIF(TblTech[[#This Row],[1-1]:[11-1]],1)</f>
        <v>0</v>
      </c>
      <c r="M50" s="329" t="n">
        <f aca="false" t="array" ref="M50:M50">IF(AND(M$2&lt;&gt;0,TblTech[[#This Row],[Hour]:[Hour]]&gt;=M$2),1,0)</f>
        <v>0</v>
      </c>
      <c r="N50" s="329" t="n">
        <f aca="false" t="array" ref="N50:N50">IF(AND(N$2&lt;&gt;0,TblTech[[#This Row],[Hour]:[Hour]]&gt;=N$2),1,0)</f>
        <v>0</v>
      </c>
      <c r="O50" s="329" t="n">
        <f aca="false" t="array" ref="O50:O50">IF(AND(O$2&lt;&gt;0,TblTech[[#This Row],[Hour]:[Hour]]&gt;=O$2),1,0)</f>
        <v>0</v>
      </c>
      <c r="P50" s="329" t="n">
        <f aca="false" t="array" ref="P50:P50">IF(AND(P$2&lt;&gt;0,TblTech[[#This Row],[Hour]:[Hour]]&gt;=P$2),1,0)</f>
        <v>0</v>
      </c>
      <c r="Q50" s="329" t="n">
        <f aca="false" t="array" ref="Q50:Q50">IF(AND(Q$2&lt;&gt;0,TblTech[[#This Row],[Hour]:[Hour]]&gt;=Q$2),1,0)</f>
        <v>0</v>
      </c>
      <c r="R50" s="329" t="n">
        <f aca="false" t="array" ref="R50:R50">IF(AND(R$2&lt;&gt;0,TblTech[[#This Row],[Hour]:[Hour]]&gt;=R$2),1,0)</f>
        <v>0</v>
      </c>
      <c r="S50" s="329" t="n">
        <f aca="false" t="array" ref="S50:S50">IF(AND(S$2&lt;&gt;0,TblTech[[#This Row],[Hour]:[Hour]]&gt;=S$2),1,0)</f>
        <v>0</v>
      </c>
      <c r="T50" s="329" t="n">
        <f aca="false" t="array" ref="T50:T50">IF(AND(T$2&lt;&gt;0,TblTech[[#This Row],[Hour]:[Hour]]&gt;=T$2),1,0)</f>
        <v>0</v>
      </c>
      <c r="U50" s="329" t="n">
        <f aca="false" t="array" ref="U50:U50">IF(AND(U$2&lt;&gt;0,TblTech[[#This Row],[Hour]:[Hour]]&gt;=U$2),1,0)</f>
        <v>0</v>
      </c>
      <c r="V50" s="329" t="n">
        <f aca="false" t="array" ref="V50:V50">IF(AND(V$2&lt;&gt;0,TblTech[[#This Row],[Hour]:[Hour]]&gt;=V$2),1,0)</f>
        <v>0</v>
      </c>
      <c r="W50" s="329" t="n">
        <f aca="false" t="array" ref="W50:W50">IF(AND(W$2&lt;&gt;0,TblTech[[#This Row],[Hour]:[Hour]]&gt;=W$2),1,0)</f>
        <v>0</v>
      </c>
      <c r="X50" s="329" t="n">
        <f aca="false" t="array" ref="X50:X50">IF(AND(X$2&lt;&gt;0,TblTech[[#This Row],[Hour]:[Hour]]&gt;=X$2),1,0)</f>
        <v>0</v>
      </c>
      <c r="Y50" s="329" t="n">
        <f aca="false" t="array" ref="Y50:Y50">IF(AND(Y$2&lt;&gt;0,TblTech[[#This Row],[Hour]:[Hour]]&gt;=Y$2),1,0)</f>
        <v>0</v>
      </c>
      <c r="Z50" s="329" t="n">
        <f aca="false" t="array" ref="Z50:Z50">IF(AND(Z$2&lt;&gt;0,TblTech[[#This Row],[Hour]:[Hour]]&gt;=Z$2),1,0)</f>
        <v>0</v>
      </c>
      <c r="AA50" s="329" t="n">
        <f aca="false" t="array" ref="AA50:AA50">IF(AND(AA$2&lt;&gt;0,TblTech[[#This Row],[Hour]:[Hour]]&gt;=AA$2),1,0)</f>
        <v>0</v>
      </c>
      <c r="AB50" s="329" t="n">
        <f aca="false" t="array" ref="AB50:AB50">IF(AND(AB$2&lt;&gt;0,TblTech[[#This Row],[Hour]:[Hour]]&gt;=AB$2),1,0)</f>
        <v>0</v>
      </c>
      <c r="AC50" s="329" t="n">
        <f aca="false" t="array" ref="AC50:AC50">IF(AND(AC$2&lt;&gt;0,TblTech[[#This Row],[Hour]:[Hour]]&gt;=AC$2),1,0)</f>
        <v>0</v>
      </c>
      <c r="AD50" s="329" t="n">
        <f aca="false" t="array" ref="AD50:AD50">IF(AND(AD$2&lt;&gt;0,TblTech[[#This Row],[Hour]:[Hour]]&gt;=AD$2),1,0)</f>
        <v>0</v>
      </c>
      <c r="AE50" s="329" t="n">
        <f aca="false" t="array" ref="AE50:AE50">IF(AND(AE$2&lt;&gt;0,TblTech[[#This Row],[Hour]:[Hour]]&gt;=AE$2),1,0)</f>
        <v>0</v>
      </c>
      <c r="AF50" s="329" t="n">
        <f aca="false" t="array" ref="AF50:AF50">IF(AND(AF$2&lt;&gt;0,TblTech[[#This Row],[Hour]:[Hour]]&gt;=AF$2),1,0)</f>
        <v>0</v>
      </c>
      <c r="AG50" s="329" t="n">
        <f aca="false" t="array" ref="AG50:AG50">IF(AND(AG$2&lt;&gt;0,TblTech[[#This Row],[Hour]:[Hour]]&gt;=AG$2),1,0)</f>
        <v>0</v>
      </c>
      <c r="AH50" s="329" t="n">
        <f aca="false" t="array" ref="AH50:AH50">IF(AND(AH$2&lt;&gt;0,TblTech[[#This Row],[Hour]:[Hour]]&gt;=AH$2),1,0)</f>
        <v>0</v>
      </c>
      <c r="AI50" s="329" t="n">
        <f aca="false" t="array" ref="AI50:AI50">IF(AND(AI$2&lt;&gt;0,TblTech[[#This Row],[Hour]:[Hour]]&gt;=AI$2),1,0)</f>
        <v>0</v>
      </c>
      <c r="AJ50" s="329" t="n">
        <f aca="false" t="array" ref="AJ50:AJ50">IF(AND(AJ$2&lt;&gt;0,TblTech[[#This Row],[Hour]:[Hour]]&gt;=AJ$2),1,0)</f>
        <v>0</v>
      </c>
      <c r="AK50" s="329" t="n">
        <f aca="false" t="array" ref="AK50:AK50">IF(AND(AK$2&lt;&gt;0,TblTech[[#This Row],[Hour]:[Hour]]&gt;=AK$2),1,0)</f>
        <v>0</v>
      </c>
      <c r="AL50" s="329" t="n">
        <f aca="false" t="array" ref="AL50:AL50">IF(AND(AL$2&lt;&gt;0,TblTech[[#This Row],[Hour]:[Hour]]&gt;=AL$2),1,0)</f>
        <v>0</v>
      </c>
      <c r="AM50" s="329" t="n">
        <f aca="false" t="array" ref="AM50:AM50">IF(AND(AM$2&lt;&gt;0,TblTech[[#This Row],[Hour]:[Hour]]&gt;=AM$2),1,0)</f>
        <v>0</v>
      </c>
      <c r="AN50" s="329" t="n">
        <f aca="false" t="array" ref="AN50:AN50">IF(AND(AN$2&lt;&gt;0,TblTech[[#This Row],[Hour]:[Hour]]&gt;=AN$2),1,0)</f>
        <v>0</v>
      </c>
      <c r="AO50" s="329" t="n">
        <f aca="false" t="array" ref="AO50:AO50">IF(AND(AO$2&lt;&gt;0,TblTech[[#This Row],[Hour]:[Hour]]&gt;=AO$2),1,0)</f>
        <v>0</v>
      </c>
      <c r="AP50" s="329" t="n">
        <f aca="false" t="array" ref="AP50:AP50">IF(AND(AP$2&lt;&gt;0,TblTech[[#This Row],[Hour]:[Hour]]&gt;=AP$2),1,0)</f>
        <v>0</v>
      </c>
      <c r="AQ50" s="329" t="n">
        <f aca="false" t="array" ref="AQ50:AQ50">IF(AND(AQ$2&lt;&gt;0,TblTech[[#This Row],[Hour]:[Hour]]&gt;=AQ$2),1,0)</f>
        <v>0</v>
      </c>
      <c r="AR50" s="329" t="n">
        <f aca="false" t="array" ref="AR50:AR50">IF(AND(AR$2&lt;&gt;0,TblTech[[#This Row],[Hour]:[Hour]]&gt;=AR$2),1,0)</f>
        <v>0</v>
      </c>
      <c r="AS50" s="329" t="n">
        <f aca="false" t="array" ref="AS50:AS50">IF(AND(AS$2&lt;&gt;0,TblTech[[#This Row],[Hour]:[Hour]]&gt;=AS$2),1,0)</f>
        <v>0</v>
      </c>
      <c r="AT50" s="329" t="n">
        <f aca="false" t="array" ref="AT50:AT50">IF(AND(AT$2&lt;&gt;0,TblTech[[#This Row],[Hour]:[Hour]]&gt;=AT$2),1,0)</f>
        <v>0</v>
      </c>
      <c r="AU50" s="329" t="n">
        <f aca="false" t="array" ref="AU50:AU50">IF(AND(AU$2&lt;&gt;0,TblTech[[#This Row],[Hour]:[Hour]]&gt;=AU$2),1,0)</f>
        <v>0</v>
      </c>
      <c r="AV50" s="329" t="n">
        <f aca="false" t="array" ref="AV50:AV50">IF(AND(AV$2&lt;&gt;0,TblTech[[#This Row],[Hour]:[Hour]]&gt;=AV$2),1,0)</f>
        <v>0</v>
      </c>
      <c r="AW50" s="329" t="n">
        <f aca="false" t="array" ref="AW50:AW50">IF(AND(AW$2&lt;&gt;0,TblTech[[#This Row],[Hour]:[Hour]]&gt;=AW$2),1,0)</f>
        <v>0</v>
      </c>
      <c r="AX50" s="329" t="n">
        <f aca="false" t="array" ref="AX50:AX50">IF(AND(AX$2&lt;&gt;0,TblTech[[#This Row],[Hour]:[Hour]]&gt;=AX$2),1,0)</f>
        <v>0</v>
      </c>
      <c r="AY50" s="329" t="n">
        <f aca="false" t="array" ref="AY50:AY50">IF(AND(AY$2&lt;&gt;0,TblTech[[#This Row],[Hour]:[Hour]]&gt;=AY$2),1,0)</f>
        <v>0</v>
      </c>
      <c r="AZ50" s="329" t="n">
        <f aca="false" t="array" ref="AZ50:AZ50">IF(AND(AZ$2&lt;&gt;0,TblTech[[#This Row],[Hour]:[Hour]]&gt;=AZ$2),1,0)</f>
        <v>0</v>
      </c>
      <c r="BA50" s="329" t="n">
        <f aca="false" t="array" ref="BA50:BA50">IF(AND(BA$2&lt;&gt;0,TblTech[[#This Row],[Hour]:[Hour]]&gt;=BA$2),1,0)</f>
        <v>0</v>
      </c>
      <c r="BB50" s="329" t="n">
        <f aca="false" t="array" ref="BB50:BB50">IF(AND(BB$2&lt;&gt;0,TblTech[[#This Row],[Hour]:[Hour]]&gt;=BB$2),1,0)</f>
        <v>0</v>
      </c>
      <c r="BC50" s="329" t="n">
        <f aca="false" t="array" ref="BC50:BC50">IF(AND(BC$2&lt;&gt;0,TblTech[[#This Row],[Hour]:[Hour]]&gt;=BC$2),1,0)</f>
        <v>0</v>
      </c>
      <c r="BD50" s="329" t="n">
        <f aca="false" t="array" ref="BD50:BD50">IF(AND(BD$2&lt;&gt;0,TblTech[[#This Row],[Hour]:[Hour]]&gt;=BD$2),1,0)</f>
        <v>0</v>
      </c>
      <c r="BE50" s="329" t="n">
        <f aca="false" t="array" ref="BE50:BE50">IF(AND(BE$2&lt;&gt;0,TblTech[[#This Row],[Hour]:[Hour]]&gt;=BE$2),1,0)</f>
        <v>0</v>
      </c>
      <c r="BF50" s="329" t="n">
        <f aca="false" t="array" ref="BF50:BF50">IF(AND(BF$2&lt;&gt;0,TblTech[[#This Row],[Hour]:[Hour]]&gt;=BF$2),1,0)</f>
        <v>0</v>
      </c>
      <c r="BG50" s="329" t="n">
        <f aca="false" t="array" ref="BG50:BG50">IF(AND(BG$2&lt;&gt;0,TblTech[[#This Row],[Hour]:[Hour]]&gt;=BG$2),1,0)</f>
        <v>0</v>
      </c>
      <c r="BH50" s="329" t="n">
        <f aca="false" t="array" ref="BH50:BH50">IF(AND(BH$2&lt;&gt;0,TblTech[[#This Row],[Hour]:[Hour]]&gt;=BH$2),1,0)</f>
        <v>0</v>
      </c>
      <c r="BI50" s="329" t="n">
        <f aca="false" t="array" ref="BI50:BI50">IF(AND(BI$2&lt;&gt;0,TblTech[[#This Row],[Hour]:[Hour]]&gt;=BI$2),1,0)</f>
        <v>0</v>
      </c>
      <c r="BJ50" s="329" t="n">
        <f aca="false" t="array" ref="BJ50:BJ50">IF(AND(BJ$2&lt;&gt;0,TblTech[[#This Row],[Hour]:[Hour]]&gt;=BJ$2),1,0)</f>
        <v>0</v>
      </c>
      <c r="BK50" s="329" t="n">
        <f aca="false" t="array" ref="BK50:BK50">IF(AND(BK$2&lt;&gt;0,TblTech[[#This Row],[Hour]:[Hour]]&gt;=BK$2),1,0)</f>
        <v>0</v>
      </c>
      <c r="BL50" s="329" t="n">
        <f aca="false" t="array" ref="BL50:BL50">IF(AND(BL$2&lt;&gt;0,TblTech[[#This Row],[Hour]:[Hour]]&gt;=BL$2),1,0)</f>
        <v>0</v>
      </c>
      <c r="BM50" s="329" t="n">
        <f aca="false" t="array" ref="BM50:BM50">IF(AND(BM$2&lt;&gt;0,TblTech[[#This Row],[Hour]:[Hour]]&gt;=BM$2),1,0)</f>
        <v>0</v>
      </c>
      <c r="BN50" s="329" t="n">
        <f aca="false" t="array" ref="BN50:BN50">IF(AND(BN$2&lt;&gt;0,TblTech[[#This Row],[Hour]:[Hour]]&gt;=BN$2),1,0)</f>
        <v>0</v>
      </c>
      <c r="BO50" s="329" t="n">
        <f aca="false" t="array" ref="BO50:BO50">IF(AND(BO$2&lt;&gt;0,TblTech[[#This Row],[Hour]:[Hour]]&gt;=BO$2),1,0)</f>
        <v>0</v>
      </c>
      <c r="BP50" s="329" t="n">
        <f aca="false" t="array" ref="BP50:BP50">IF(AND(BP$2&lt;&gt;0,TblTech[[#This Row],[Hour]:[Hour]]&gt;=BP$2),1,0)</f>
        <v>0</v>
      </c>
      <c r="BQ50" s="329" t="n">
        <f aca="false" t="array" ref="BQ50:BQ50">IF(AND(BQ$2&lt;&gt;0,TblTech[[#This Row],[Hour]:[Hour]]&gt;=BQ$2),1,0)</f>
        <v>0</v>
      </c>
      <c r="BR50" s="329" t="n">
        <f aca="false" t="array" ref="BR50:BR50">IF(AND(BR$2&lt;&gt;0,TblTech[[#This Row],[Hour]:[Hour]]&gt;=BR$2),1,0)</f>
        <v>0</v>
      </c>
      <c r="BS50" s="329" t="n">
        <f aca="false" t="array" ref="BS50:BS50">IF(AND(BS$2&lt;&gt;0,TblTech[[#This Row],[Hour]:[Hour]]&gt;=BS$2),1,0)</f>
        <v>0</v>
      </c>
      <c r="BT50" s="329" t="n">
        <f aca="false" t="array" ref="BT50:BT50">IF(AND(BT$2&lt;&gt;0,TblTech[[#This Row],[Hour]:[Hour]]&gt;=BT$2),1,0)</f>
        <v>0</v>
      </c>
      <c r="BU50" s="329" t="n">
        <f aca="false" t="array" ref="BU50:BU50">IF(AND(BU$2&lt;&gt;0,TblTech[[#This Row],[Hour]:[Hour]]&gt;=BU$2),1,0)</f>
        <v>0</v>
      </c>
      <c r="BV50" s="329" t="n">
        <f aca="false" t="array" ref="BV50:BV50">IF(AND(BV$2&lt;&gt;0,TblTech[[#This Row],[Hour]:[Hour]]&gt;=BV$2),1,0)</f>
        <v>0</v>
      </c>
      <c r="BW50" s="329" t="n">
        <f aca="false" t="array" ref="BW50:BW50">IF(AND(BW$2&lt;&gt;0,TblTech[[#This Row],[Hour]:[Hour]]&gt;=BW$2),1,0)</f>
        <v>0</v>
      </c>
      <c r="BX50" s="329" t="n">
        <f aca="false" t="array" ref="BX50:BX50">IF(AND(BX$2&lt;&gt;0,TblTech[[#This Row],[Hour]:[Hour]]&gt;=BX$2),1,0)</f>
        <v>0</v>
      </c>
      <c r="BY50" s="329" t="n">
        <f aca="false" t="array" ref="BY50:BY50">IF(AND(BY$2&lt;&gt;0,TblTech[[#This Row],[Hour]:[Hour]]&gt;=BY$2),1,0)</f>
        <v>0</v>
      </c>
      <c r="BZ50" s="329" t="n">
        <f aca="false" t="array" ref="BZ50:BZ50">IF(AND(BZ$2&lt;&gt;0,TblTech[[#This Row],[Hour]:[Hour]]&gt;=BZ$2),1,0)</f>
        <v>0</v>
      </c>
      <c r="CA50" s="330" t="n">
        <f aca="false">IFERROR(INDEX($H$4:$H$79,MATCH(INDEX(TblTech[[#Headers],[1-1]:[11-1]],1,MATCH(TblTech[[#This Row],[Hour]],$M$2:$BZ$2,0)),$G$4:$G$79,0)),)</f>
        <v>0</v>
      </c>
    </row>
    <row r="51" customFormat="false" ht="12.75" hidden="false" customHeight="false" outlineLevel="0" collapsed="false">
      <c r="A51" s="321" t="n">
        <f aca="false">TblRezone[[#This Row],[Hour]]</f>
        <v>48</v>
      </c>
      <c r="B51" s="322" t="n">
        <f aca="false">TblExplore[[#This Row],[Land-DB]]</f>
        <v>576</v>
      </c>
      <c r="C51" s="323" t="n">
        <f aca="false">TblProd[[#This Row],[Techpoints]]</f>
        <v>700</v>
      </c>
      <c r="D51" s="323" t="n">
        <f aca="false">TblProd[[#This Row],[Required]]</f>
        <v>3750</v>
      </c>
      <c r="E51" s="324"/>
      <c r="F51" s="325"/>
      <c r="G51" s="326" t="s">
        <v>567</v>
      </c>
      <c r="H51" s="327" t="s">
        <v>674</v>
      </c>
      <c r="I51" s="326" t="s">
        <v>675</v>
      </c>
      <c r="J51" s="322"/>
      <c r="K51" s="68" t="n">
        <f aca="false">IF(TblTech[[#This Row],[Sum of tech]]&lt;&gt;OFFSET(TblTech[[#This Row],[Sum of tech]],-1,0),1,0)</f>
        <v>0</v>
      </c>
      <c r="L51" s="328" t="n">
        <f aca="false">COUNTIF(TblTech[[#This Row],[1-1]:[11-1]],1)</f>
        <v>0</v>
      </c>
      <c r="M51" s="329" t="n">
        <f aca="false" t="array" ref="M51:M51">IF(AND(M$2&lt;&gt;0,TblTech[[#This Row],[Hour]:[Hour]]&gt;=M$2),1,0)</f>
        <v>0</v>
      </c>
      <c r="N51" s="329" t="n">
        <f aca="false" t="array" ref="N51:N51">IF(AND(N$2&lt;&gt;0,TblTech[[#This Row],[Hour]:[Hour]]&gt;=N$2),1,0)</f>
        <v>0</v>
      </c>
      <c r="O51" s="329" t="n">
        <f aca="false" t="array" ref="O51:O51">IF(AND(O$2&lt;&gt;0,TblTech[[#This Row],[Hour]:[Hour]]&gt;=O$2),1,0)</f>
        <v>0</v>
      </c>
      <c r="P51" s="329" t="n">
        <f aca="false" t="array" ref="P51:P51">IF(AND(P$2&lt;&gt;0,TblTech[[#This Row],[Hour]:[Hour]]&gt;=P$2),1,0)</f>
        <v>0</v>
      </c>
      <c r="Q51" s="329" t="n">
        <f aca="false" t="array" ref="Q51:Q51">IF(AND(Q$2&lt;&gt;0,TblTech[[#This Row],[Hour]:[Hour]]&gt;=Q$2),1,0)</f>
        <v>0</v>
      </c>
      <c r="R51" s="329" t="n">
        <f aca="false" t="array" ref="R51:R51">IF(AND(R$2&lt;&gt;0,TblTech[[#This Row],[Hour]:[Hour]]&gt;=R$2),1,0)</f>
        <v>0</v>
      </c>
      <c r="S51" s="329" t="n">
        <f aca="false" t="array" ref="S51:S51">IF(AND(S$2&lt;&gt;0,TblTech[[#This Row],[Hour]:[Hour]]&gt;=S$2),1,0)</f>
        <v>0</v>
      </c>
      <c r="T51" s="329" t="n">
        <f aca="false" t="array" ref="T51:T51">IF(AND(T$2&lt;&gt;0,TblTech[[#This Row],[Hour]:[Hour]]&gt;=T$2),1,0)</f>
        <v>0</v>
      </c>
      <c r="U51" s="329" t="n">
        <f aca="false" t="array" ref="U51:U51">IF(AND(U$2&lt;&gt;0,TblTech[[#This Row],[Hour]:[Hour]]&gt;=U$2),1,0)</f>
        <v>0</v>
      </c>
      <c r="V51" s="329" t="n">
        <f aca="false" t="array" ref="V51:V51">IF(AND(V$2&lt;&gt;0,TblTech[[#This Row],[Hour]:[Hour]]&gt;=V$2),1,0)</f>
        <v>0</v>
      </c>
      <c r="W51" s="329" t="n">
        <f aca="false" t="array" ref="W51:W51">IF(AND(W$2&lt;&gt;0,TblTech[[#This Row],[Hour]:[Hour]]&gt;=W$2),1,0)</f>
        <v>0</v>
      </c>
      <c r="X51" s="329" t="n">
        <f aca="false" t="array" ref="X51:X51">IF(AND(X$2&lt;&gt;0,TblTech[[#This Row],[Hour]:[Hour]]&gt;=X$2),1,0)</f>
        <v>0</v>
      </c>
      <c r="Y51" s="329" t="n">
        <f aca="false" t="array" ref="Y51:Y51">IF(AND(Y$2&lt;&gt;0,TblTech[[#This Row],[Hour]:[Hour]]&gt;=Y$2),1,0)</f>
        <v>0</v>
      </c>
      <c r="Z51" s="329" t="n">
        <f aca="false" t="array" ref="Z51:Z51">IF(AND(Z$2&lt;&gt;0,TblTech[[#This Row],[Hour]:[Hour]]&gt;=Z$2),1,0)</f>
        <v>0</v>
      </c>
      <c r="AA51" s="329" t="n">
        <f aca="false" t="array" ref="AA51:AA51">IF(AND(AA$2&lt;&gt;0,TblTech[[#This Row],[Hour]:[Hour]]&gt;=AA$2),1,0)</f>
        <v>0</v>
      </c>
      <c r="AB51" s="329" t="n">
        <f aca="false" t="array" ref="AB51:AB51">IF(AND(AB$2&lt;&gt;0,TblTech[[#This Row],[Hour]:[Hour]]&gt;=AB$2),1,0)</f>
        <v>0</v>
      </c>
      <c r="AC51" s="329" t="n">
        <f aca="false" t="array" ref="AC51:AC51">IF(AND(AC$2&lt;&gt;0,TblTech[[#This Row],[Hour]:[Hour]]&gt;=AC$2),1,0)</f>
        <v>0</v>
      </c>
      <c r="AD51" s="329" t="n">
        <f aca="false" t="array" ref="AD51:AD51">IF(AND(AD$2&lt;&gt;0,TblTech[[#This Row],[Hour]:[Hour]]&gt;=AD$2),1,0)</f>
        <v>0</v>
      </c>
      <c r="AE51" s="329" t="n">
        <f aca="false" t="array" ref="AE51:AE51">IF(AND(AE$2&lt;&gt;0,TblTech[[#This Row],[Hour]:[Hour]]&gt;=AE$2),1,0)</f>
        <v>0</v>
      </c>
      <c r="AF51" s="329" t="n">
        <f aca="false" t="array" ref="AF51:AF51">IF(AND(AF$2&lt;&gt;0,TblTech[[#This Row],[Hour]:[Hour]]&gt;=AF$2),1,0)</f>
        <v>0</v>
      </c>
      <c r="AG51" s="329" t="n">
        <f aca="false" t="array" ref="AG51:AG51">IF(AND(AG$2&lt;&gt;0,TblTech[[#This Row],[Hour]:[Hour]]&gt;=AG$2),1,0)</f>
        <v>0</v>
      </c>
      <c r="AH51" s="329" t="n">
        <f aca="false" t="array" ref="AH51:AH51">IF(AND(AH$2&lt;&gt;0,TblTech[[#This Row],[Hour]:[Hour]]&gt;=AH$2),1,0)</f>
        <v>0</v>
      </c>
      <c r="AI51" s="329" t="n">
        <f aca="false" t="array" ref="AI51:AI51">IF(AND(AI$2&lt;&gt;0,TblTech[[#This Row],[Hour]:[Hour]]&gt;=AI$2),1,0)</f>
        <v>0</v>
      </c>
      <c r="AJ51" s="329" t="n">
        <f aca="false" t="array" ref="AJ51:AJ51">IF(AND(AJ$2&lt;&gt;0,TblTech[[#This Row],[Hour]:[Hour]]&gt;=AJ$2),1,0)</f>
        <v>0</v>
      </c>
      <c r="AK51" s="329" t="n">
        <f aca="false" t="array" ref="AK51:AK51">IF(AND(AK$2&lt;&gt;0,TblTech[[#This Row],[Hour]:[Hour]]&gt;=AK$2),1,0)</f>
        <v>0</v>
      </c>
      <c r="AL51" s="329" t="n">
        <f aca="false" t="array" ref="AL51:AL51">IF(AND(AL$2&lt;&gt;0,TblTech[[#This Row],[Hour]:[Hour]]&gt;=AL$2),1,0)</f>
        <v>0</v>
      </c>
      <c r="AM51" s="329" t="n">
        <f aca="false" t="array" ref="AM51:AM51">IF(AND(AM$2&lt;&gt;0,TblTech[[#This Row],[Hour]:[Hour]]&gt;=AM$2),1,0)</f>
        <v>0</v>
      </c>
      <c r="AN51" s="329" t="n">
        <f aca="false" t="array" ref="AN51:AN51">IF(AND(AN$2&lt;&gt;0,TblTech[[#This Row],[Hour]:[Hour]]&gt;=AN$2),1,0)</f>
        <v>0</v>
      </c>
      <c r="AO51" s="329" t="n">
        <f aca="false" t="array" ref="AO51:AO51">IF(AND(AO$2&lt;&gt;0,TblTech[[#This Row],[Hour]:[Hour]]&gt;=AO$2),1,0)</f>
        <v>0</v>
      </c>
      <c r="AP51" s="329" t="n">
        <f aca="false" t="array" ref="AP51:AP51">IF(AND(AP$2&lt;&gt;0,TblTech[[#This Row],[Hour]:[Hour]]&gt;=AP$2),1,0)</f>
        <v>0</v>
      </c>
      <c r="AQ51" s="329" t="n">
        <f aca="false" t="array" ref="AQ51:AQ51">IF(AND(AQ$2&lt;&gt;0,TblTech[[#This Row],[Hour]:[Hour]]&gt;=AQ$2),1,0)</f>
        <v>0</v>
      </c>
      <c r="AR51" s="329" t="n">
        <f aca="false" t="array" ref="AR51:AR51">IF(AND(AR$2&lt;&gt;0,TblTech[[#This Row],[Hour]:[Hour]]&gt;=AR$2),1,0)</f>
        <v>0</v>
      </c>
      <c r="AS51" s="329" t="n">
        <f aca="false" t="array" ref="AS51:AS51">IF(AND(AS$2&lt;&gt;0,TblTech[[#This Row],[Hour]:[Hour]]&gt;=AS$2),1,0)</f>
        <v>0</v>
      </c>
      <c r="AT51" s="329" t="n">
        <f aca="false" t="array" ref="AT51:AT51">IF(AND(AT$2&lt;&gt;0,TblTech[[#This Row],[Hour]:[Hour]]&gt;=AT$2),1,0)</f>
        <v>0</v>
      </c>
      <c r="AU51" s="329" t="n">
        <f aca="false" t="array" ref="AU51:AU51">IF(AND(AU$2&lt;&gt;0,TblTech[[#This Row],[Hour]:[Hour]]&gt;=AU$2),1,0)</f>
        <v>0</v>
      </c>
      <c r="AV51" s="329" t="n">
        <f aca="false" t="array" ref="AV51:AV51">IF(AND(AV$2&lt;&gt;0,TblTech[[#This Row],[Hour]:[Hour]]&gt;=AV$2),1,0)</f>
        <v>0</v>
      </c>
      <c r="AW51" s="329" t="n">
        <f aca="false" t="array" ref="AW51:AW51">IF(AND(AW$2&lt;&gt;0,TblTech[[#This Row],[Hour]:[Hour]]&gt;=AW$2),1,0)</f>
        <v>0</v>
      </c>
      <c r="AX51" s="329" t="n">
        <f aca="false" t="array" ref="AX51:AX51">IF(AND(AX$2&lt;&gt;0,TblTech[[#This Row],[Hour]:[Hour]]&gt;=AX$2),1,0)</f>
        <v>0</v>
      </c>
      <c r="AY51" s="329" t="n">
        <f aca="false" t="array" ref="AY51:AY51">IF(AND(AY$2&lt;&gt;0,TblTech[[#This Row],[Hour]:[Hour]]&gt;=AY$2),1,0)</f>
        <v>0</v>
      </c>
      <c r="AZ51" s="329" t="n">
        <f aca="false" t="array" ref="AZ51:AZ51">IF(AND(AZ$2&lt;&gt;0,TblTech[[#This Row],[Hour]:[Hour]]&gt;=AZ$2),1,0)</f>
        <v>0</v>
      </c>
      <c r="BA51" s="329" t="n">
        <f aca="false" t="array" ref="BA51:BA51">IF(AND(BA$2&lt;&gt;0,TblTech[[#This Row],[Hour]:[Hour]]&gt;=BA$2),1,0)</f>
        <v>0</v>
      </c>
      <c r="BB51" s="329" t="n">
        <f aca="false" t="array" ref="BB51:BB51">IF(AND(BB$2&lt;&gt;0,TblTech[[#This Row],[Hour]:[Hour]]&gt;=BB$2),1,0)</f>
        <v>0</v>
      </c>
      <c r="BC51" s="329" t="n">
        <f aca="false" t="array" ref="BC51:BC51">IF(AND(BC$2&lt;&gt;0,TblTech[[#This Row],[Hour]:[Hour]]&gt;=BC$2),1,0)</f>
        <v>0</v>
      </c>
      <c r="BD51" s="329" t="n">
        <f aca="false" t="array" ref="BD51:BD51">IF(AND(BD$2&lt;&gt;0,TblTech[[#This Row],[Hour]:[Hour]]&gt;=BD$2),1,0)</f>
        <v>0</v>
      </c>
      <c r="BE51" s="329" t="n">
        <f aca="false" t="array" ref="BE51:BE51">IF(AND(BE$2&lt;&gt;0,TblTech[[#This Row],[Hour]:[Hour]]&gt;=BE$2),1,0)</f>
        <v>0</v>
      </c>
      <c r="BF51" s="329" t="n">
        <f aca="false" t="array" ref="BF51:BF51">IF(AND(BF$2&lt;&gt;0,TblTech[[#This Row],[Hour]:[Hour]]&gt;=BF$2),1,0)</f>
        <v>0</v>
      </c>
      <c r="BG51" s="329" t="n">
        <f aca="false" t="array" ref="BG51:BG51">IF(AND(BG$2&lt;&gt;0,TblTech[[#This Row],[Hour]:[Hour]]&gt;=BG$2),1,0)</f>
        <v>0</v>
      </c>
      <c r="BH51" s="329" t="n">
        <f aca="false" t="array" ref="BH51:BH51">IF(AND(BH$2&lt;&gt;0,TblTech[[#This Row],[Hour]:[Hour]]&gt;=BH$2),1,0)</f>
        <v>0</v>
      </c>
      <c r="BI51" s="329" t="n">
        <f aca="false" t="array" ref="BI51:BI51">IF(AND(BI$2&lt;&gt;0,TblTech[[#This Row],[Hour]:[Hour]]&gt;=BI$2),1,0)</f>
        <v>0</v>
      </c>
      <c r="BJ51" s="329" t="n">
        <f aca="false" t="array" ref="BJ51:BJ51">IF(AND(BJ$2&lt;&gt;0,TblTech[[#This Row],[Hour]:[Hour]]&gt;=BJ$2),1,0)</f>
        <v>0</v>
      </c>
      <c r="BK51" s="329" t="n">
        <f aca="false" t="array" ref="BK51:BK51">IF(AND(BK$2&lt;&gt;0,TblTech[[#This Row],[Hour]:[Hour]]&gt;=BK$2),1,0)</f>
        <v>0</v>
      </c>
      <c r="BL51" s="329" t="n">
        <f aca="false" t="array" ref="BL51:BL51">IF(AND(BL$2&lt;&gt;0,TblTech[[#This Row],[Hour]:[Hour]]&gt;=BL$2),1,0)</f>
        <v>0</v>
      </c>
      <c r="BM51" s="329" t="n">
        <f aca="false" t="array" ref="BM51:BM51">IF(AND(BM$2&lt;&gt;0,TblTech[[#This Row],[Hour]:[Hour]]&gt;=BM$2),1,0)</f>
        <v>0</v>
      </c>
      <c r="BN51" s="329" t="n">
        <f aca="false" t="array" ref="BN51:BN51">IF(AND(BN$2&lt;&gt;0,TblTech[[#This Row],[Hour]:[Hour]]&gt;=BN$2),1,0)</f>
        <v>0</v>
      </c>
      <c r="BO51" s="329" t="n">
        <f aca="false" t="array" ref="BO51:BO51">IF(AND(BO$2&lt;&gt;0,TblTech[[#This Row],[Hour]:[Hour]]&gt;=BO$2),1,0)</f>
        <v>0</v>
      </c>
      <c r="BP51" s="329" t="n">
        <f aca="false" t="array" ref="BP51:BP51">IF(AND(BP$2&lt;&gt;0,TblTech[[#This Row],[Hour]:[Hour]]&gt;=BP$2),1,0)</f>
        <v>0</v>
      </c>
      <c r="BQ51" s="329" t="n">
        <f aca="false" t="array" ref="BQ51:BQ51">IF(AND(BQ$2&lt;&gt;0,TblTech[[#This Row],[Hour]:[Hour]]&gt;=BQ$2),1,0)</f>
        <v>0</v>
      </c>
      <c r="BR51" s="329" t="n">
        <f aca="false" t="array" ref="BR51:BR51">IF(AND(BR$2&lt;&gt;0,TblTech[[#This Row],[Hour]:[Hour]]&gt;=BR$2),1,0)</f>
        <v>0</v>
      </c>
      <c r="BS51" s="329" t="n">
        <f aca="false" t="array" ref="BS51:BS51">IF(AND(BS$2&lt;&gt;0,TblTech[[#This Row],[Hour]:[Hour]]&gt;=BS$2),1,0)</f>
        <v>0</v>
      </c>
      <c r="BT51" s="329" t="n">
        <f aca="false" t="array" ref="BT51:BT51">IF(AND(BT$2&lt;&gt;0,TblTech[[#This Row],[Hour]:[Hour]]&gt;=BT$2),1,0)</f>
        <v>0</v>
      </c>
      <c r="BU51" s="329" t="n">
        <f aca="false" t="array" ref="BU51:BU51">IF(AND(BU$2&lt;&gt;0,TblTech[[#This Row],[Hour]:[Hour]]&gt;=BU$2),1,0)</f>
        <v>0</v>
      </c>
      <c r="BV51" s="329" t="n">
        <f aca="false" t="array" ref="BV51:BV51">IF(AND(BV$2&lt;&gt;0,TblTech[[#This Row],[Hour]:[Hour]]&gt;=BV$2),1,0)</f>
        <v>0</v>
      </c>
      <c r="BW51" s="329" t="n">
        <f aca="false" t="array" ref="BW51:BW51">IF(AND(BW$2&lt;&gt;0,TblTech[[#This Row],[Hour]:[Hour]]&gt;=BW$2),1,0)</f>
        <v>0</v>
      </c>
      <c r="BX51" s="329" t="n">
        <f aca="false" t="array" ref="BX51:BX51">IF(AND(BX$2&lt;&gt;0,TblTech[[#This Row],[Hour]:[Hour]]&gt;=BX$2),1,0)</f>
        <v>0</v>
      </c>
      <c r="BY51" s="329" t="n">
        <f aca="false" t="array" ref="BY51:BY51">IF(AND(BY$2&lt;&gt;0,TblTech[[#This Row],[Hour]:[Hour]]&gt;=BY$2),1,0)</f>
        <v>0</v>
      </c>
      <c r="BZ51" s="329" t="n">
        <f aca="false" t="array" ref="BZ51:BZ51">IF(AND(BZ$2&lt;&gt;0,TblTech[[#This Row],[Hour]:[Hour]]&gt;=BZ$2),1,0)</f>
        <v>0</v>
      </c>
      <c r="CA51" s="330" t="n">
        <f aca="false">IFERROR(INDEX($H$4:$H$79,MATCH(INDEX(TblTech[[#Headers],[1-1]:[11-1]],1,MATCH(TblTech[[#This Row],[Hour]],$M$2:$BZ$2,0)),$G$4:$G$79,0)),)</f>
        <v>0</v>
      </c>
    </row>
    <row r="52" customFormat="false" ht="12.75" hidden="false" customHeight="false" outlineLevel="0" collapsed="false">
      <c r="A52" s="321" t="n">
        <f aca="false">TblRezone[[#This Row],[Hour]]</f>
        <v>49</v>
      </c>
      <c r="B52" s="322" t="n">
        <f aca="false">TblExplore[[#This Row],[Land-DB]]</f>
        <v>609</v>
      </c>
      <c r="C52" s="323" t="n">
        <f aca="false">TblProd[[#This Row],[Techpoints]]</f>
        <v>700</v>
      </c>
      <c r="D52" s="323" t="n">
        <f aca="false">TblProd[[#This Row],[Required]]</f>
        <v>3750</v>
      </c>
      <c r="E52" s="324"/>
      <c r="F52" s="325"/>
      <c r="G52" s="326" t="s">
        <v>568</v>
      </c>
      <c r="H52" s="327" t="s">
        <v>676</v>
      </c>
      <c r="I52" s="326" t="s">
        <v>677</v>
      </c>
      <c r="J52" s="322"/>
      <c r="K52" s="68" t="n">
        <f aca="false">IF(TblTech[[#This Row],[Sum of tech]]&lt;&gt;OFFSET(TblTech[[#This Row],[Sum of tech]],-1,0),1,0)</f>
        <v>0</v>
      </c>
      <c r="L52" s="328" t="n">
        <f aca="false">COUNTIF(TblTech[[#This Row],[1-1]:[11-1]],1)</f>
        <v>0</v>
      </c>
      <c r="M52" s="329" t="n">
        <f aca="false" t="array" ref="M52:M52">IF(AND(M$2&lt;&gt;0,TblTech[[#This Row],[Hour]:[Hour]]&gt;=M$2),1,0)</f>
        <v>0</v>
      </c>
      <c r="N52" s="329" t="n">
        <f aca="false" t="array" ref="N52:N52">IF(AND(N$2&lt;&gt;0,TblTech[[#This Row],[Hour]:[Hour]]&gt;=N$2),1,0)</f>
        <v>0</v>
      </c>
      <c r="O52" s="329" t="n">
        <f aca="false" t="array" ref="O52:O52">IF(AND(O$2&lt;&gt;0,TblTech[[#This Row],[Hour]:[Hour]]&gt;=O$2),1,0)</f>
        <v>0</v>
      </c>
      <c r="P52" s="329" t="n">
        <f aca="false" t="array" ref="P52:P52">IF(AND(P$2&lt;&gt;0,TblTech[[#This Row],[Hour]:[Hour]]&gt;=P$2),1,0)</f>
        <v>0</v>
      </c>
      <c r="Q52" s="329" t="n">
        <f aca="false" t="array" ref="Q52:Q52">IF(AND(Q$2&lt;&gt;0,TblTech[[#This Row],[Hour]:[Hour]]&gt;=Q$2),1,0)</f>
        <v>0</v>
      </c>
      <c r="R52" s="329" t="n">
        <f aca="false" t="array" ref="R52:R52">IF(AND(R$2&lt;&gt;0,TblTech[[#This Row],[Hour]:[Hour]]&gt;=R$2),1,0)</f>
        <v>0</v>
      </c>
      <c r="S52" s="329" t="n">
        <f aca="false" t="array" ref="S52:S52">IF(AND(S$2&lt;&gt;0,TblTech[[#This Row],[Hour]:[Hour]]&gt;=S$2),1,0)</f>
        <v>0</v>
      </c>
      <c r="T52" s="329" t="n">
        <f aca="false" t="array" ref="T52:T52">IF(AND(T$2&lt;&gt;0,TblTech[[#This Row],[Hour]:[Hour]]&gt;=T$2),1,0)</f>
        <v>0</v>
      </c>
      <c r="U52" s="329" t="n">
        <f aca="false" t="array" ref="U52:U52">IF(AND(U$2&lt;&gt;0,TblTech[[#This Row],[Hour]:[Hour]]&gt;=U$2),1,0)</f>
        <v>0</v>
      </c>
      <c r="V52" s="329" t="n">
        <f aca="false" t="array" ref="V52:V52">IF(AND(V$2&lt;&gt;0,TblTech[[#This Row],[Hour]:[Hour]]&gt;=V$2),1,0)</f>
        <v>0</v>
      </c>
      <c r="W52" s="329" t="n">
        <f aca="false" t="array" ref="W52:W52">IF(AND(W$2&lt;&gt;0,TblTech[[#This Row],[Hour]:[Hour]]&gt;=W$2),1,0)</f>
        <v>0</v>
      </c>
      <c r="X52" s="329" t="n">
        <f aca="false" t="array" ref="X52:X52">IF(AND(X$2&lt;&gt;0,TblTech[[#This Row],[Hour]:[Hour]]&gt;=X$2),1,0)</f>
        <v>0</v>
      </c>
      <c r="Y52" s="329" t="n">
        <f aca="false" t="array" ref="Y52:Y52">IF(AND(Y$2&lt;&gt;0,TblTech[[#This Row],[Hour]:[Hour]]&gt;=Y$2),1,0)</f>
        <v>0</v>
      </c>
      <c r="Z52" s="329" t="n">
        <f aca="false" t="array" ref="Z52:Z52">IF(AND(Z$2&lt;&gt;0,TblTech[[#This Row],[Hour]:[Hour]]&gt;=Z$2),1,0)</f>
        <v>0</v>
      </c>
      <c r="AA52" s="329" t="n">
        <f aca="false" t="array" ref="AA52:AA52">IF(AND(AA$2&lt;&gt;0,TblTech[[#This Row],[Hour]:[Hour]]&gt;=AA$2),1,0)</f>
        <v>0</v>
      </c>
      <c r="AB52" s="329" t="n">
        <f aca="false" t="array" ref="AB52:AB52">IF(AND(AB$2&lt;&gt;0,TblTech[[#This Row],[Hour]:[Hour]]&gt;=AB$2),1,0)</f>
        <v>0</v>
      </c>
      <c r="AC52" s="329" t="n">
        <f aca="false" t="array" ref="AC52:AC52">IF(AND(AC$2&lt;&gt;0,TblTech[[#This Row],[Hour]:[Hour]]&gt;=AC$2),1,0)</f>
        <v>0</v>
      </c>
      <c r="AD52" s="329" t="n">
        <f aca="false" t="array" ref="AD52:AD52">IF(AND(AD$2&lt;&gt;0,TblTech[[#This Row],[Hour]:[Hour]]&gt;=AD$2),1,0)</f>
        <v>0</v>
      </c>
      <c r="AE52" s="329" t="n">
        <f aca="false" t="array" ref="AE52:AE52">IF(AND(AE$2&lt;&gt;0,TblTech[[#This Row],[Hour]:[Hour]]&gt;=AE$2),1,0)</f>
        <v>0</v>
      </c>
      <c r="AF52" s="329" t="n">
        <f aca="false" t="array" ref="AF52:AF52">IF(AND(AF$2&lt;&gt;0,TblTech[[#This Row],[Hour]:[Hour]]&gt;=AF$2),1,0)</f>
        <v>0</v>
      </c>
      <c r="AG52" s="329" t="n">
        <f aca="false" t="array" ref="AG52:AG52">IF(AND(AG$2&lt;&gt;0,TblTech[[#This Row],[Hour]:[Hour]]&gt;=AG$2),1,0)</f>
        <v>0</v>
      </c>
      <c r="AH52" s="329" t="n">
        <f aca="false" t="array" ref="AH52:AH52">IF(AND(AH$2&lt;&gt;0,TblTech[[#This Row],[Hour]:[Hour]]&gt;=AH$2),1,0)</f>
        <v>0</v>
      </c>
      <c r="AI52" s="329" t="n">
        <f aca="false" t="array" ref="AI52:AI52">IF(AND(AI$2&lt;&gt;0,TblTech[[#This Row],[Hour]:[Hour]]&gt;=AI$2),1,0)</f>
        <v>0</v>
      </c>
      <c r="AJ52" s="329" t="n">
        <f aca="false" t="array" ref="AJ52:AJ52">IF(AND(AJ$2&lt;&gt;0,TblTech[[#This Row],[Hour]:[Hour]]&gt;=AJ$2),1,0)</f>
        <v>0</v>
      </c>
      <c r="AK52" s="329" t="n">
        <f aca="false" t="array" ref="AK52:AK52">IF(AND(AK$2&lt;&gt;0,TblTech[[#This Row],[Hour]:[Hour]]&gt;=AK$2),1,0)</f>
        <v>0</v>
      </c>
      <c r="AL52" s="329" t="n">
        <f aca="false" t="array" ref="AL52:AL52">IF(AND(AL$2&lt;&gt;0,TblTech[[#This Row],[Hour]:[Hour]]&gt;=AL$2),1,0)</f>
        <v>0</v>
      </c>
      <c r="AM52" s="329" t="n">
        <f aca="false" t="array" ref="AM52:AM52">IF(AND(AM$2&lt;&gt;0,TblTech[[#This Row],[Hour]:[Hour]]&gt;=AM$2),1,0)</f>
        <v>0</v>
      </c>
      <c r="AN52" s="329" t="n">
        <f aca="false" t="array" ref="AN52:AN52">IF(AND(AN$2&lt;&gt;0,TblTech[[#This Row],[Hour]:[Hour]]&gt;=AN$2),1,0)</f>
        <v>0</v>
      </c>
      <c r="AO52" s="329" t="n">
        <f aca="false" t="array" ref="AO52:AO52">IF(AND(AO$2&lt;&gt;0,TblTech[[#This Row],[Hour]:[Hour]]&gt;=AO$2),1,0)</f>
        <v>0</v>
      </c>
      <c r="AP52" s="329" t="n">
        <f aca="false" t="array" ref="AP52:AP52">IF(AND(AP$2&lt;&gt;0,TblTech[[#This Row],[Hour]:[Hour]]&gt;=AP$2),1,0)</f>
        <v>0</v>
      </c>
      <c r="AQ52" s="329" t="n">
        <f aca="false" t="array" ref="AQ52:AQ52">IF(AND(AQ$2&lt;&gt;0,TblTech[[#This Row],[Hour]:[Hour]]&gt;=AQ$2),1,0)</f>
        <v>0</v>
      </c>
      <c r="AR52" s="329" t="n">
        <f aca="false" t="array" ref="AR52:AR52">IF(AND(AR$2&lt;&gt;0,TblTech[[#This Row],[Hour]:[Hour]]&gt;=AR$2),1,0)</f>
        <v>0</v>
      </c>
      <c r="AS52" s="329" t="n">
        <f aca="false" t="array" ref="AS52:AS52">IF(AND(AS$2&lt;&gt;0,TblTech[[#This Row],[Hour]:[Hour]]&gt;=AS$2),1,0)</f>
        <v>0</v>
      </c>
      <c r="AT52" s="329" t="n">
        <f aca="false" t="array" ref="AT52:AT52">IF(AND(AT$2&lt;&gt;0,TblTech[[#This Row],[Hour]:[Hour]]&gt;=AT$2),1,0)</f>
        <v>0</v>
      </c>
      <c r="AU52" s="329" t="n">
        <f aca="false" t="array" ref="AU52:AU52">IF(AND(AU$2&lt;&gt;0,TblTech[[#This Row],[Hour]:[Hour]]&gt;=AU$2),1,0)</f>
        <v>0</v>
      </c>
      <c r="AV52" s="329" t="n">
        <f aca="false" t="array" ref="AV52:AV52">IF(AND(AV$2&lt;&gt;0,TblTech[[#This Row],[Hour]:[Hour]]&gt;=AV$2),1,0)</f>
        <v>0</v>
      </c>
      <c r="AW52" s="329" t="n">
        <f aca="false" t="array" ref="AW52:AW52">IF(AND(AW$2&lt;&gt;0,TblTech[[#This Row],[Hour]:[Hour]]&gt;=AW$2),1,0)</f>
        <v>0</v>
      </c>
      <c r="AX52" s="329" t="n">
        <f aca="false" t="array" ref="AX52:AX52">IF(AND(AX$2&lt;&gt;0,TblTech[[#This Row],[Hour]:[Hour]]&gt;=AX$2),1,0)</f>
        <v>0</v>
      </c>
      <c r="AY52" s="329" t="n">
        <f aca="false" t="array" ref="AY52:AY52">IF(AND(AY$2&lt;&gt;0,TblTech[[#This Row],[Hour]:[Hour]]&gt;=AY$2),1,0)</f>
        <v>0</v>
      </c>
      <c r="AZ52" s="329" t="n">
        <f aca="false" t="array" ref="AZ52:AZ52">IF(AND(AZ$2&lt;&gt;0,TblTech[[#This Row],[Hour]:[Hour]]&gt;=AZ$2),1,0)</f>
        <v>0</v>
      </c>
      <c r="BA52" s="329" t="n">
        <f aca="false" t="array" ref="BA52:BA52">IF(AND(BA$2&lt;&gt;0,TblTech[[#This Row],[Hour]:[Hour]]&gt;=BA$2),1,0)</f>
        <v>0</v>
      </c>
      <c r="BB52" s="329" t="n">
        <f aca="false" t="array" ref="BB52:BB52">IF(AND(BB$2&lt;&gt;0,TblTech[[#This Row],[Hour]:[Hour]]&gt;=BB$2),1,0)</f>
        <v>0</v>
      </c>
      <c r="BC52" s="329" t="n">
        <f aca="false" t="array" ref="BC52:BC52">IF(AND(BC$2&lt;&gt;0,TblTech[[#This Row],[Hour]:[Hour]]&gt;=BC$2),1,0)</f>
        <v>0</v>
      </c>
      <c r="BD52" s="329" t="n">
        <f aca="false" t="array" ref="BD52:BD52">IF(AND(BD$2&lt;&gt;0,TblTech[[#This Row],[Hour]:[Hour]]&gt;=BD$2),1,0)</f>
        <v>0</v>
      </c>
      <c r="BE52" s="329" t="n">
        <f aca="false" t="array" ref="BE52:BE52">IF(AND(BE$2&lt;&gt;0,TblTech[[#This Row],[Hour]:[Hour]]&gt;=BE$2),1,0)</f>
        <v>0</v>
      </c>
      <c r="BF52" s="329" t="n">
        <f aca="false" t="array" ref="BF52:BF52">IF(AND(BF$2&lt;&gt;0,TblTech[[#This Row],[Hour]:[Hour]]&gt;=BF$2),1,0)</f>
        <v>0</v>
      </c>
      <c r="BG52" s="329" t="n">
        <f aca="false" t="array" ref="BG52:BG52">IF(AND(BG$2&lt;&gt;0,TblTech[[#This Row],[Hour]:[Hour]]&gt;=BG$2),1,0)</f>
        <v>0</v>
      </c>
      <c r="BH52" s="329" t="n">
        <f aca="false" t="array" ref="BH52:BH52">IF(AND(BH$2&lt;&gt;0,TblTech[[#This Row],[Hour]:[Hour]]&gt;=BH$2),1,0)</f>
        <v>0</v>
      </c>
      <c r="BI52" s="329" t="n">
        <f aca="false" t="array" ref="BI52:BI52">IF(AND(BI$2&lt;&gt;0,TblTech[[#This Row],[Hour]:[Hour]]&gt;=BI$2),1,0)</f>
        <v>0</v>
      </c>
      <c r="BJ52" s="329" t="n">
        <f aca="false" t="array" ref="BJ52:BJ52">IF(AND(BJ$2&lt;&gt;0,TblTech[[#This Row],[Hour]:[Hour]]&gt;=BJ$2),1,0)</f>
        <v>0</v>
      </c>
      <c r="BK52" s="329" t="n">
        <f aca="false" t="array" ref="BK52:BK52">IF(AND(BK$2&lt;&gt;0,TblTech[[#This Row],[Hour]:[Hour]]&gt;=BK$2),1,0)</f>
        <v>0</v>
      </c>
      <c r="BL52" s="329" t="n">
        <f aca="false" t="array" ref="BL52:BL52">IF(AND(BL$2&lt;&gt;0,TblTech[[#This Row],[Hour]:[Hour]]&gt;=BL$2),1,0)</f>
        <v>0</v>
      </c>
      <c r="BM52" s="329" t="n">
        <f aca="false" t="array" ref="BM52:BM52">IF(AND(BM$2&lt;&gt;0,TblTech[[#This Row],[Hour]:[Hour]]&gt;=BM$2),1,0)</f>
        <v>0</v>
      </c>
      <c r="BN52" s="329" t="n">
        <f aca="false" t="array" ref="BN52:BN52">IF(AND(BN$2&lt;&gt;0,TblTech[[#This Row],[Hour]:[Hour]]&gt;=BN$2),1,0)</f>
        <v>0</v>
      </c>
      <c r="BO52" s="329" t="n">
        <f aca="false" t="array" ref="BO52:BO52">IF(AND(BO$2&lt;&gt;0,TblTech[[#This Row],[Hour]:[Hour]]&gt;=BO$2),1,0)</f>
        <v>0</v>
      </c>
      <c r="BP52" s="329" t="n">
        <f aca="false" t="array" ref="BP52:BP52">IF(AND(BP$2&lt;&gt;0,TblTech[[#This Row],[Hour]:[Hour]]&gt;=BP$2),1,0)</f>
        <v>0</v>
      </c>
      <c r="BQ52" s="329" t="n">
        <f aca="false" t="array" ref="BQ52:BQ52">IF(AND(BQ$2&lt;&gt;0,TblTech[[#This Row],[Hour]:[Hour]]&gt;=BQ$2),1,0)</f>
        <v>0</v>
      </c>
      <c r="BR52" s="329" t="n">
        <f aca="false" t="array" ref="BR52:BR52">IF(AND(BR$2&lt;&gt;0,TblTech[[#This Row],[Hour]:[Hour]]&gt;=BR$2),1,0)</f>
        <v>0</v>
      </c>
      <c r="BS52" s="329" t="n">
        <f aca="false" t="array" ref="BS52:BS52">IF(AND(BS$2&lt;&gt;0,TblTech[[#This Row],[Hour]:[Hour]]&gt;=BS$2),1,0)</f>
        <v>0</v>
      </c>
      <c r="BT52" s="329" t="n">
        <f aca="false" t="array" ref="BT52:BT52">IF(AND(BT$2&lt;&gt;0,TblTech[[#This Row],[Hour]:[Hour]]&gt;=BT$2),1,0)</f>
        <v>0</v>
      </c>
      <c r="BU52" s="329" t="n">
        <f aca="false" t="array" ref="BU52:BU52">IF(AND(BU$2&lt;&gt;0,TblTech[[#This Row],[Hour]:[Hour]]&gt;=BU$2),1,0)</f>
        <v>0</v>
      </c>
      <c r="BV52" s="329" t="n">
        <f aca="false" t="array" ref="BV52:BV52">IF(AND(BV$2&lt;&gt;0,TblTech[[#This Row],[Hour]:[Hour]]&gt;=BV$2),1,0)</f>
        <v>0</v>
      </c>
      <c r="BW52" s="329" t="n">
        <f aca="false" t="array" ref="BW52:BW52">IF(AND(BW$2&lt;&gt;0,TblTech[[#This Row],[Hour]:[Hour]]&gt;=BW$2),1,0)</f>
        <v>0</v>
      </c>
      <c r="BX52" s="329" t="n">
        <f aca="false" t="array" ref="BX52:BX52">IF(AND(BX$2&lt;&gt;0,TblTech[[#This Row],[Hour]:[Hour]]&gt;=BX$2),1,0)</f>
        <v>0</v>
      </c>
      <c r="BY52" s="329" t="n">
        <f aca="false" t="array" ref="BY52:BY52">IF(AND(BY$2&lt;&gt;0,TblTech[[#This Row],[Hour]:[Hour]]&gt;=BY$2),1,0)</f>
        <v>0</v>
      </c>
      <c r="BZ52" s="329" t="n">
        <f aca="false" t="array" ref="BZ52:BZ52">IF(AND(BZ$2&lt;&gt;0,TblTech[[#This Row],[Hour]:[Hour]]&gt;=BZ$2),1,0)</f>
        <v>0</v>
      </c>
      <c r="CA52" s="330" t="n">
        <f aca="false">IFERROR(INDEX($H$4:$H$79,MATCH(INDEX(TblTech[[#Headers],[1-1]:[11-1]],1,MATCH(TblTech[[#This Row],[Hour]],$M$2:$BZ$2,0)),$G$4:$G$79,0)),)</f>
        <v>0</v>
      </c>
    </row>
    <row r="53" customFormat="false" ht="12.75" hidden="false" customHeight="false" outlineLevel="0" collapsed="false">
      <c r="A53" s="321" t="n">
        <f aca="false">TblRezone[[#This Row],[Hour]]</f>
        <v>50</v>
      </c>
      <c r="B53" s="322" t="n">
        <f aca="false">TblExplore[[#This Row],[Land-DB]]</f>
        <v>642</v>
      </c>
      <c r="C53" s="323" t="n">
        <f aca="false">TblProd[[#This Row],[Techpoints]]</f>
        <v>700</v>
      </c>
      <c r="D53" s="323" t="n">
        <f aca="false">TblProd[[#This Row],[Required]]</f>
        <v>3750</v>
      </c>
      <c r="E53" s="324"/>
      <c r="F53" s="325"/>
      <c r="G53" s="326"/>
      <c r="H53" s="327"/>
      <c r="I53" s="326"/>
      <c r="J53" s="322"/>
      <c r="K53" s="68" t="n">
        <f aca="false">IF(TblTech[[#This Row],[Sum of tech]]&lt;&gt;OFFSET(TblTech[[#This Row],[Sum of tech]],-1,0),1,0)</f>
        <v>0</v>
      </c>
      <c r="L53" s="328" t="n">
        <f aca="false">COUNTIF(TblTech[[#This Row],[1-1]:[11-1]],1)</f>
        <v>0</v>
      </c>
      <c r="M53" s="329" t="n">
        <f aca="false" t="array" ref="M53:M53">IF(AND(M$2&lt;&gt;0,TblTech[[#This Row],[Hour]:[Hour]]&gt;=M$2),1,0)</f>
        <v>0</v>
      </c>
      <c r="N53" s="329" t="n">
        <f aca="false" t="array" ref="N53:N53">IF(AND(N$2&lt;&gt;0,TblTech[[#This Row],[Hour]:[Hour]]&gt;=N$2),1,0)</f>
        <v>0</v>
      </c>
      <c r="O53" s="329" t="n">
        <f aca="false" t="array" ref="O53:O53">IF(AND(O$2&lt;&gt;0,TblTech[[#This Row],[Hour]:[Hour]]&gt;=O$2),1,0)</f>
        <v>0</v>
      </c>
      <c r="P53" s="329" t="n">
        <f aca="false" t="array" ref="P53:P53">IF(AND(P$2&lt;&gt;0,TblTech[[#This Row],[Hour]:[Hour]]&gt;=P$2),1,0)</f>
        <v>0</v>
      </c>
      <c r="Q53" s="329" t="n">
        <f aca="false" t="array" ref="Q53:Q53">IF(AND(Q$2&lt;&gt;0,TblTech[[#This Row],[Hour]:[Hour]]&gt;=Q$2),1,0)</f>
        <v>0</v>
      </c>
      <c r="R53" s="329" t="n">
        <f aca="false" t="array" ref="R53:R53">IF(AND(R$2&lt;&gt;0,TblTech[[#This Row],[Hour]:[Hour]]&gt;=R$2),1,0)</f>
        <v>0</v>
      </c>
      <c r="S53" s="329" t="n">
        <f aca="false" t="array" ref="S53:S53">IF(AND(S$2&lt;&gt;0,TblTech[[#This Row],[Hour]:[Hour]]&gt;=S$2),1,0)</f>
        <v>0</v>
      </c>
      <c r="T53" s="329" t="n">
        <f aca="false" t="array" ref="T53:T53">IF(AND(T$2&lt;&gt;0,TblTech[[#This Row],[Hour]:[Hour]]&gt;=T$2),1,0)</f>
        <v>0</v>
      </c>
      <c r="U53" s="329" t="n">
        <f aca="false" t="array" ref="U53:U53">IF(AND(U$2&lt;&gt;0,TblTech[[#This Row],[Hour]:[Hour]]&gt;=U$2),1,0)</f>
        <v>0</v>
      </c>
      <c r="V53" s="329" t="n">
        <f aca="false" t="array" ref="V53:V53">IF(AND(V$2&lt;&gt;0,TblTech[[#This Row],[Hour]:[Hour]]&gt;=V$2),1,0)</f>
        <v>0</v>
      </c>
      <c r="W53" s="329" t="n">
        <f aca="false" t="array" ref="W53:W53">IF(AND(W$2&lt;&gt;0,TblTech[[#This Row],[Hour]:[Hour]]&gt;=W$2),1,0)</f>
        <v>0</v>
      </c>
      <c r="X53" s="329" t="n">
        <f aca="false" t="array" ref="X53:X53">IF(AND(X$2&lt;&gt;0,TblTech[[#This Row],[Hour]:[Hour]]&gt;=X$2),1,0)</f>
        <v>0</v>
      </c>
      <c r="Y53" s="329" t="n">
        <f aca="false" t="array" ref="Y53:Y53">IF(AND(Y$2&lt;&gt;0,TblTech[[#This Row],[Hour]:[Hour]]&gt;=Y$2),1,0)</f>
        <v>0</v>
      </c>
      <c r="Z53" s="329" t="n">
        <f aca="false" t="array" ref="Z53:Z53">IF(AND(Z$2&lt;&gt;0,TblTech[[#This Row],[Hour]:[Hour]]&gt;=Z$2),1,0)</f>
        <v>0</v>
      </c>
      <c r="AA53" s="329" t="n">
        <f aca="false" t="array" ref="AA53:AA53">IF(AND(AA$2&lt;&gt;0,TblTech[[#This Row],[Hour]:[Hour]]&gt;=AA$2),1,0)</f>
        <v>0</v>
      </c>
      <c r="AB53" s="329" t="n">
        <f aca="false" t="array" ref="AB53:AB53">IF(AND(AB$2&lt;&gt;0,TblTech[[#This Row],[Hour]:[Hour]]&gt;=AB$2),1,0)</f>
        <v>0</v>
      </c>
      <c r="AC53" s="329" t="n">
        <f aca="false" t="array" ref="AC53:AC53">IF(AND(AC$2&lt;&gt;0,TblTech[[#This Row],[Hour]:[Hour]]&gt;=AC$2),1,0)</f>
        <v>0</v>
      </c>
      <c r="AD53" s="329" t="n">
        <f aca="false" t="array" ref="AD53:AD53">IF(AND(AD$2&lt;&gt;0,TblTech[[#This Row],[Hour]:[Hour]]&gt;=AD$2),1,0)</f>
        <v>0</v>
      </c>
      <c r="AE53" s="329" t="n">
        <f aca="false" t="array" ref="AE53:AE53">IF(AND(AE$2&lt;&gt;0,TblTech[[#This Row],[Hour]:[Hour]]&gt;=AE$2),1,0)</f>
        <v>0</v>
      </c>
      <c r="AF53" s="329" t="n">
        <f aca="false" t="array" ref="AF53:AF53">IF(AND(AF$2&lt;&gt;0,TblTech[[#This Row],[Hour]:[Hour]]&gt;=AF$2),1,0)</f>
        <v>0</v>
      </c>
      <c r="AG53" s="329" t="n">
        <f aca="false" t="array" ref="AG53:AG53">IF(AND(AG$2&lt;&gt;0,TblTech[[#This Row],[Hour]:[Hour]]&gt;=AG$2),1,0)</f>
        <v>0</v>
      </c>
      <c r="AH53" s="329" t="n">
        <f aca="false" t="array" ref="AH53:AH53">IF(AND(AH$2&lt;&gt;0,TblTech[[#This Row],[Hour]:[Hour]]&gt;=AH$2),1,0)</f>
        <v>0</v>
      </c>
      <c r="AI53" s="329" t="n">
        <f aca="false" t="array" ref="AI53:AI53">IF(AND(AI$2&lt;&gt;0,TblTech[[#This Row],[Hour]:[Hour]]&gt;=AI$2),1,0)</f>
        <v>0</v>
      </c>
      <c r="AJ53" s="329" t="n">
        <f aca="false" t="array" ref="AJ53:AJ53">IF(AND(AJ$2&lt;&gt;0,TblTech[[#This Row],[Hour]:[Hour]]&gt;=AJ$2),1,0)</f>
        <v>0</v>
      </c>
      <c r="AK53" s="329" t="n">
        <f aca="false" t="array" ref="AK53:AK53">IF(AND(AK$2&lt;&gt;0,TblTech[[#This Row],[Hour]:[Hour]]&gt;=AK$2),1,0)</f>
        <v>0</v>
      </c>
      <c r="AL53" s="329" t="n">
        <f aca="false" t="array" ref="AL53:AL53">IF(AND(AL$2&lt;&gt;0,TblTech[[#This Row],[Hour]:[Hour]]&gt;=AL$2),1,0)</f>
        <v>0</v>
      </c>
      <c r="AM53" s="329" t="n">
        <f aca="false" t="array" ref="AM53:AM53">IF(AND(AM$2&lt;&gt;0,TblTech[[#This Row],[Hour]:[Hour]]&gt;=AM$2),1,0)</f>
        <v>0</v>
      </c>
      <c r="AN53" s="329" t="n">
        <f aca="false" t="array" ref="AN53:AN53">IF(AND(AN$2&lt;&gt;0,TblTech[[#This Row],[Hour]:[Hour]]&gt;=AN$2),1,0)</f>
        <v>0</v>
      </c>
      <c r="AO53" s="329" t="n">
        <f aca="false" t="array" ref="AO53:AO53">IF(AND(AO$2&lt;&gt;0,TblTech[[#This Row],[Hour]:[Hour]]&gt;=AO$2),1,0)</f>
        <v>0</v>
      </c>
      <c r="AP53" s="329" t="n">
        <f aca="false" t="array" ref="AP53:AP53">IF(AND(AP$2&lt;&gt;0,TblTech[[#This Row],[Hour]:[Hour]]&gt;=AP$2),1,0)</f>
        <v>0</v>
      </c>
      <c r="AQ53" s="329" t="n">
        <f aca="false" t="array" ref="AQ53:AQ53">IF(AND(AQ$2&lt;&gt;0,TblTech[[#This Row],[Hour]:[Hour]]&gt;=AQ$2),1,0)</f>
        <v>0</v>
      </c>
      <c r="AR53" s="329" t="n">
        <f aca="false" t="array" ref="AR53:AR53">IF(AND(AR$2&lt;&gt;0,TblTech[[#This Row],[Hour]:[Hour]]&gt;=AR$2),1,0)</f>
        <v>0</v>
      </c>
      <c r="AS53" s="329" t="n">
        <f aca="false" t="array" ref="AS53:AS53">IF(AND(AS$2&lt;&gt;0,TblTech[[#This Row],[Hour]:[Hour]]&gt;=AS$2),1,0)</f>
        <v>0</v>
      </c>
      <c r="AT53" s="329" t="n">
        <f aca="false" t="array" ref="AT53:AT53">IF(AND(AT$2&lt;&gt;0,TblTech[[#This Row],[Hour]:[Hour]]&gt;=AT$2),1,0)</f>
        <v>0</v>
      </c>
      <c r="AU53" s="329" t="n">
        <f aca="false" t="array" ref="AU53:AU53">IF(AND(AU$2&lt;&gt;0,TblTech[[#This Row],[Hour]:[Hour]]&gt;=AU$2),1,0)</f>
        <v>0</v>
      </c>
      <c r="AV53" s="329" t="n">
        <f aca="false" t="array" ref="AV53:AV53">IF(AND(AV$2&lt;&gt;0,TblTech[[#This Row],[Hour]:[Hour]]&gt;=AV$2),1,0)</f>
        <v>0</v>
      </c>
      <c r="AW53" s="329" t="n">
        <f aca="false" t="array" ref="AW53:AW53">IF(AND(AW$2&lt;&gt;0,TblTech[[#This Row],[Hour]:[Hour]]&gt;=AW$2),1,0)</f>
        <v>0</v>
      </c>
      <c r="AX53" s="329" t="n">
        <f aca="false" t="array" ref="AX53:AX53">IF(AND(AX$2&lt;&gt;0,TblTech[[#This Row],[Hour]:[Hour]]&gt;=AX$2),1,0)</f>
        <v>0</v>
      </c>
      <c r="AY53" s="329" t="n">
        <f aca="false" t="array" ref="AY53:AY53">IF(AND(AY$2&lt;&gt;0,TblTech[[#This Row],[Hour]:[Hour]]&gt;=AY$2),1,0)</f>
        <v>0</v>
      </c>
      <c r="AZ53" s="329" t="n">
        <f aca="false" t="array" ref="AZ53:AZ53">IF(AND(AZ$2&lt;&gt;0,TblTech[[#This Row],[Hour]:[Hour]]&gt;=AZ$2),1,0)</f>
        <v>0</v>
      </c>
      <c r="BA53" s="329" t="n">
        <f aca="false" t="array" ref="BA53:BA53">IF(AND(BA$2&lt;&gt;0,TblTech[[#This Row],[Hour]:[Hour]]&gt;=BA$2),1,0)</f>
        <v>0</v>
      </c>
      <c r="BB53" s="329" t="n">
        <f aca="false" t="array" ref="BB53:BB53">IF(AND(BB$2&lt;&gt;0,TblTech[[#This Row],[Hour]:[Hour]]&gt;=BB$2),1,0)</f>
        <v>0</v>
      </c>
      <c r="BC53" s="329" t="n">
        <f aca="false" t="array" ref="BC53:BC53">IF(AND(BC$2&lt;&gt;0,TblTech[[#This Row],[Hour]:[Hour]]&gt;=BC$2),1,0)</f>
        <v>0</v>
      </c>
      <c r="BD53" s="329" t="n">
        <f aca="false" t="array" ref="BD53:BD53">IF(AND(BD$2&lt;&gt;0,TblTech[[#This Row],[Hour]:[Hour]]&gt;=BD$2),1,0)</f>
        <v>0</v>
      </c>
      <c r="BE53" s="329" t="n">
        <f aca="false" t="array" ref="BE53:BE53">IF(AND(BE$2&lt;&gt;0,TblTech[[#This Row],[Hour]:[Hour]]&gt;=BE$2),1,0)</f>
        <v>0</v>
      </c>
      <c r="BF53" s="329" t="n">
        <f aca="false" t="array" ref="BF53:BF53">IF(AND(BF$2&lt;&gt;0,TblTech[[#This Row],[Hour]:[Hour]]&gt;=BF$2),1,0)</f>
        <v>0</v>
      </c>
      <c r="BG53" s="329" t="n">
        <f aca="false" t="array" ref="BG53:BG53">IF(AND(BG$2&lt;&gt;0,TblTech[[#This Row],[Hour]:[Hour]]&gt;=BG$2),1,0)</f>
        <v>0</v>
      </c>
      <c r="BH53" s="329" t="n">
        <f aca="false" t="array" ref="BH53:BH53">IF(AND(BH$2&lt;&gt;0,TblTech[[#This Row],[Hour]:[Hour]]&gt;=BH$2),1,0)</f>
        <v>0</v>
      </c>
      <c r="BI53" s="329" t="n">
        <f aca="false" t="array" ref="BI53:BI53">IF(AND(BI$2&lt;&gt;0,TblTech[[#This Row],[Hour]:[Hour]]&gt;=BI$2),1,0)</f>
        <v>0</v>
      </c>
      <c r="BJ53" s="329" t="n">
        <f aca="false" t="array" ref="BJ53:BJ53">IF(AND(BJ$2&lt;&gt;0,TblTech[[#This Row],[Hour]:[Hour]]&gt;=BJ$2),1,0)</f>
        <v>0</v>
      </c>
      <c r="BK53" s="329" t="n">
        <f aca="false" t="array" ref="BK53:BK53">IF(AND(BK$2&lt;&gt;0,TblTech[[#This Row],[Hour]:[Hour]]&gt;=BK$2),1,0)</f>
        <v>0</v>
      </c>
      <c r="BL53" s="329" t="n">
        <f aca="false" t="array" ref="BL53:BL53">IF(AND(BL$2&lt;&gt;0,TblTech[[#This Row],[Hour]:[Hour]]&gt;=BL$2),1,0)</f>
        <v>0</v>
      </c>
      <c r="BM53" s="329" t="n">
        <f aca="false" t="array" ref="BM53:BM53">IF(AND(BM$2&lt;&gt;0,TblTech[[#This Row],[Hour]:[Hour]]&gt;=BM$2),1,0)</f>
        <v>0</v>
      </c>
      <c r="BN53" s="329" t="n">
        <f aca="false" t="array" ref="BN53:BN53">IF(AND(BN$2&lt;&gt;0,TblTech[[#This Row],[Hour]:[Hour]]&gt;=BN$2),1,0)</f>
        <v>0</v>
      </c>
      <c r="BO53" s="329" t="n">
        <f aca="false" t="array" ref="BO53:BO53">IF(AND(BO$2&lt;&gt;0,TblTech[[#This Row],[Hour]:[Hour]]&gt;=BO$2),1,0)</f>
        <v>0</v>
      </c>
      <c r="BP53" s="329" t="n">
        <f aca="false" t="array" ref="BP53:BP53">IF(AND(BP$2&lt;&gt;0,TblTech[[#This Row],[Hour]:[Hour]]&gt;=BP$2),1,0)</f>
        <v>0</v>
      </c>
      <c r="BQ53" s="329" t="n">
        <f aca="false" t="array" ref="BQ53:BQ53">IF(AND(BQ$2&lt;&gt;0,TblTech[[#This Row],[Hour]:[Hour]]&gt;=BQ$2),1,0)</f>
        <v>0</v>
      </c>
      <c r="BR53" s="329" t="n">
        <f aca="false" t="array" ref="BR53:BR53">IF(AND(BR$2&lt;&gt;0,TblTech[[#This Row],[Hour]:[Hour]]&gt;=BR$2),1,0)</f>
        <v>0</v>
      </c>
      <c r="BS53" s="329" t="n">
        <f aca="false" t="array" ref="BS53:BS53">IF(AND(BS$2&lt;&gt;0,TblTech[[#This Row],[Hour]:[Hour]]&gt;=BS$2),1,0)</f>
        <v>0</v>
      </c>
      <c r="BT53" s="329" t="n">
        <f aca="false" t="array" ref="BT53:BT53">IF(AND(BT$2&lt;&gt;0,TblTech[[#This Row],[Hour]:[Hour]]&gt;=BT$2),1,0)</f>
        <v>0</v>
      </c>
      <c r="BU53" s="329" t="n">
        <f aca="false" t="array" ref="BU53:BU53">IF(AND(BU$2&lt;&gt;0,TblTech[[#This Row],[Hour]:[Hour]]&gt;=BU$2),1,0)</f>
        <v>0</v>
      </c>
      <c r="BV53" s="329" t="n">
        <f aca="false" t="array" ref="BV53:BV53">IF(AND(BV$2&lt;&gt;0,TblTech[[#This Row],[Hour]:[Hour]]&gt;=BV$2),1,0)</f>
        <v>0</v>
      </c>
      <c r="BW53" s="329" t="n">
        <f aca="false" t="array" ref="BW53:BW53">IF(AND(BW$2&lt;&gt;0,TblTech[[#This Row],[Hour]:[Hour]]&gt;=BW$2),1,0)</f>
        <v>0</v>
      </c>
      <c r="BX53" s="329" t="n">
        <f aca="false" t="array" ref="BX53:BX53">IF(AND(BX$2&lt;&gt;0,TblTech[[#This Row],[Hour]:[Hour]]&gt;=BX$2),1,0)</f>
        <v>0</v>
      </c>
      <c r="BY53" s="329" t="n">
        <f aca="false" t="array" ref="BY53:BY53">IF(AND(BY$2&lt;&gt;0,TblTech[[#This Row],[Hour]:[Hour]]&gt;=BY$2),1,0)</f>
        <v>0</v>
      </c>
      <c r="BZ53" s="329" t="n">
        <f aca="false" t="array" ref="BZ53:BZ53">IF(AND(BZ$2&lt;&gt;0,TblTech[[#This Row],[Hour]:[Hour]]&gt;=BZ$2),1,0)</f>
        <v>0</v>
      </c>
      <c r="CA53" s="330" t="n">
        <f aca="false">IFERROR(INDEX($H$4:$H$79,MATCH(INDEX(TblTech[[#Headers],[1-1]:[11-1]],1,MATCH(TblTech[[#This Row],[Hour]],$M$2:$BZ$2,0)),$G$4:$G$79,0)),)</f>
        <v>0</v>
      </c>
    </row>
    <row r="54" customFormat="false" ht="12.75" hidden="false" customHeight="false" outlineLevel="0" collapsed="false">
      <c r="A54" s="321" t="n">
        <f aca="false">TblRezone[[#This Row],[Hour]]</f>
        <v>51</v>
      </c>
      <c r="B54" s="322" t="n">
        <f aca="false">TblExplore[[#This Row],[Land-DB]]</f>
        <v>656</v>
      </c>
      <c r="C54" s="323" t="n">
        <f aca="false">TblProd[[#This Row],[Techpoints]]</f>
        <v>700</v>
      </c>
      <c r="D54" s="323" t="n">
        <f aca="false">TblProd[[#This Row],[Required]]</f>
        <v>3750</v>
      </c>
      <c r="E54" s="324"/>
      <c r="F54" s="325"/>
      <c r="G54" s="326" t="s">
        <v>569</v>
      </c>
      <c r="H54" s="327" t="s">
        <v>678</v>
      </c>
      <c r="I54" s="326" t="s">
        <v>644</v>
      </c>
      <c r="J54" s="322"/>
      <c r="K54" s="68" t="n">
        <f aca="false">IF(TblTech[[#This Row],[Sum of tech]]&lt;&gt;OFFSET(TblTech[[#This Row],[Sum of tech]],-1,0),1,0)</f>
        <v>0</v>
      </c>
      <c r="L54" s="328" t="n">
        <f aca="false">COUNTIF(TblTech[[#This Row],[1-1]:[11-1]],1)</f>
        <v>0</v>
      </c>
      <c r="M54" s="329" t="n">
        <f aca="false" t="array" ref="M54:M54">IF(AND(M$2&lt;&gt;0,TblTech[[#This Row],[Hour]:[Hour]]&gt;=M$2),1,0)</f>
        <v>0</v>
      </c>
      <c r="N54" s="329" t="n">
        <f aca="false" t="array" ref="N54:N54">IF(AND(N$2&lt;&gt;0,TblTech[[#This Row],[Hour]:[Hour]]&gt;=N$2),1,0)</f>
        <v>0</v>
      </c>
      <c r="O54" s="329" t="n">
        <f aca="false" t="array" ref="O54:O54">IF(AND(O$2&lt;&gt;0,TblTech[[#This Row],[Hour]:[Hour]]&gt;=O$2),1,0)</f>
        <v>0</v>
      </c>
      <c r="P54" s="329" t="n">
        <f aca="false" t="array" ref="P54:P54">IF(AND(P$2&lt;&gt;0,TblTech[[#This Row],[Hour]:[Hour]]&gt;=P$2),1,0)</f>
        <v>0</v>
      </c>
      <c r="Q54" s="329" t="n">
        <f aca="false" t="array" ref="Q54:Q54">IF(AND(Q$2&lt;&gt;0,TblTech[[#This Row],[Hour]:[Hour]]&gt;=Q$2),1,0)</f>
        <v>0</v>
      </c>
      <c r="R54" s="329" t="n">
        <f aca="false" t="array" ref="R54:R54">IF(AND(R$2&lt;&gt;0,TblTech[[#This Row],[Hour]:[Hour]]&gt;=R$2),1,0)</f>
        <v>0</v>
      </c>
      <c r="S54" s="329" t="n">
        <f aca="false" t="array" ref="S54:S54">IF(AND(S$2&lt;&gt;0,TblTech[[#This Row],[Hour]:[Hour]]&gt;=S$2),1,0)</f>
        <v>0</v>
      </c>
      <c r="T54" s="329" t="n">
        <f aca="false" t="array" ref="T54:T54">IF(AND(T$2&lt;&gt;0,TblTech[[#This Row],[Hour]:[Hour]]&gt;=T$2),1,0)</f>
        <v>0</v>
      </c>
      <c r="U54" s="329" t="n">
        <f aca="false" t="array" ref="U54:U54">IF(AND(U$2&lt;&gt;0,TblTech[[#This Row],[Hour]:[Hour]]&gt;=U$2),1,0)</f>
        <v>0</v>
      </c>
      <c r="V54" s="329" t="n">
        <f aca="false" t="array" ref="V54:V54">IF(AND(V$2&lt;&gt;0,TblTech[[#This Row],[Hour]:[Hour]]&gt;=V$2),1,0)</f>
        <v>0</v>
      </c>
      <c r="W54" s="329" t="n">
        <f aca="false" t="array" ref="W54:W54">IF(AND(W$2&lt;&gt;0,TblTech[[#This Row],[Hour]:[Hour]]&gt;=W$2),1,0)</f>
        <v>0</v>
      </c>
      <c r="X54" s="329" t="n">
        <f aca="false" t="array" ref="X54:X54">IF(AND(X$2&lt;&gt;0,TblTech[[#This Row],[Hour]:[Hour]]&gt;=X$2),1,0)</f>
        <v>0</v>
      </c>
      <c r="Y54" s="329" t="n">
        <f aca="false" t="array" ref="Y54:Y54">IF(AND(Y$2&lt;&gt;0,TblTech[[#This Row],[Hour]:[Hour]]&gt;=Y$2),1,0)</f>
        <v>0</v>
      </c>
      <c r="Z54" s="329" t="n">
        <f aca="false" t="array" ref="Z54:Z54">IF(AND(Z$2&lt;&gt;0,TblTech[[#This Row],[Hour]:[Hour]]&gt;=Z$2),1,0)</f>
        <v>0</v>
      </c>
      <c r="AA54" s="329" t="n">
        <f aca="false" t="array" ref="AA54:AA54">IF(AND(AA$2&lt;&gt;0,TblTech[[#This Row],[Hour]:[Hour]]&gt;=AA$2),1,0)</f>
        <v>0</v>
      </c>
      <c r="AB54" s="329" t="n">
        <f aca="false" t="array" ref="AB54:AB54">IF(AND(AB$2&lt;&gt;0,TblTech[[#This Row],[Hour]:[Hour]]&gt;=AB$2),1,0)</f>
        <v>0</v>
      </c>
      <c r="AC54" s="329" t="n">
        <f aca="false" t="array" ref="AC54:AC54">IF(AND(AC$2&lt;&gt;0,TblTech[[#This Row],[Hour]:[Hour]]&gt;=AC$2),1,0)</f>
        <v>0</v>
      </c>
      <c r="AD54" s="329" t="n">
        <f aca="false" t="array" ref="AD54:AD54">IF(AND(AD$2&lt;&gt;0,TblTech[[#This Row],[Hour]:[Hour]]&gt;=AD$2),1,0)</f>
        <v>0</v>
      </c>
      <c r="AE54" s="329" t="n">
        <f aca="false" t="array" ref="AE54:AE54">IF(AND(AE$2&lt;&gt;0,TblTech[[#This Row],[Hour]:[Hour]]&gt;=AE$2),1,0)</f>
        <v>0</v>
      </c>
      <c r="AF54" s="329" t="n">
        <f aca="false" t="array" ref="AF54:AF54">IF(AND(AF$2&lt;&gt;0,TblTech[[#This Row],[Hour]:[Hour]]&gt;=AF$2),1,0)</f>
        <v>0</v>
      </c>
      <c r="AG54" s="329" t="n">
        <f aca="false" t="array" ref="AG54:AG54">IF(AND(AG$2&lt;&gt;0,TblTech[[#This Row],[Hour]:[Hour]]&gt;=AG$2),1,0)</f>
        <v>0</v>
      </c>
      <c r="AH54" s="329" t="n">
        <f aca="false" t="array" ref="AH54:AH54">IF(AND(AH$2&lt;&gt;0,TblTech[[#This Row],[Hour]:[Hour]]&gt;=AH$2),1,0)</f>
        <v>0</v>
      </c>
      <c r="AI54" s="329" t="n">
        <f aca="false" t="array" ref="AI54:AI54">IF(AND(AI$2&lt;&gt;0,TblTech[[#This Row],[Hour]:[Hour]]&gt;=AI$2),1,0)</f>
        <v>0</v>
      </c>
      <c r="AJ54" s="329" t="n">
        <f aca="false" t="array" ref="AJ54:AJ54">IF(AND(AJ$2&lt;&gt;0,TblTech[[#This Row],[Hour]:[Hour]]&gt;=AJ$2),1,0)</f>
        <v>0</v>
      </c>
      <c r="AK54" s="329" t="n">
        <f aca="false" t="array" ref="AK54:AK54">IF(AND(AK$2&lt;&gt;0,TblTech[[#This Row],[Hour]:[Hour]]&gt;=AK$2),1,0)</f>
        <v>0</v>
      </c>
      <c r="AL54" s="329" t="n">
        <f aca="false" t="array" ref="AL54:AL54">IF(AND(AL$2&lt;&gt;0,TblTech[[#This Row],[Hour]:[Hour]]&gt;=AL$2),1,0)</f>
        <v>0</v>
      </c>
      <c r="AM54" s="329" t="n">
        <f aca="false" t="array" ref="AM54:AM54">IF(AND(AM$2&lt;&gt;0,TblTech[[#This Row],[Hour]:[Hour]]&gt;=AM$2),1,0)</f>
        <v>0</v>
      </c>
      <c r="AN54" s="329" t="n">
        <f aca="false" t="array" ref="AN54:AN54">IF(AND(AN$2&lt;&gt;0,TblTech[[#This Row],[Hour]:[Hour]]&gt;=AN$2),1,0)</f>
        <v>0</v>
      </c>
      <c r="AO54" s="329" t="n">
        <f aca="false" t="array" ref="AO54:AO54">IF(AND(AO$2&lt;&gt;0,TblTech[[#This Row],[Hour]:[Hour]]&gt;=AO$2),1,0)</f>
        <v>0</v>
      </c>
      <c r="AP54" s="329" t="n">
        <f aca="false" t="array" ref="AP54:AP54">IF(AND(AP$2&lt;&gt;0,TblTech[[#This Row],[Hour]:[Hour]]&gt;=AP$2),1,0)</f>
        <v>0</v>
      </c>
      <c r="AQ54" s="329" t="n">
        <f aca="false" t="array" ref="AQ54:AQ54">IF(AND(AQ$2&lt;&gt;0,TblTech[[#This Row],[Hour]:[Hour]]&gt;=AQ$2),1,0)</f>
        <v>0</v>
      </c>
      <c r="AR54" s="329" t="n">
        <f aca="false" t="array" ref="AR54:AR54">IF(AND(AR$2&lt;&gt;0,TblTech[[#This Row],[Hour]:[Hour]]&gt;=AR$2),1,0)</f>
        <v>0</v>
      </c>
      <c r="AS54" s="329" t="n">
        <f aca="false" t="array" ref="AS54:AS54">IF(AND(AS$2&lt;&gt;0,TblTech[[#This Row],[Hour]:[Hour]]&gt;=AS$2),1,0)</f>
        <v>0</v>
      </c>
      <c r="AT54" s="329" t="n">
        <f aca="false" t="array" ref="AT54:AT54">IF(AND(AT$2&lt;&gt;0,TblTech[[#This Row],[Hour]:[Hour]]&gt;=AT$2),1,0)</f>
        <v>0</v>
      </c>
      <c r="AU54" s="329" t="n">
        <f aca="false" t="array" ref="AU54:AU54">IF(AND(AU$2&lt;&gt;0,TblTech[[#This Row],[Hour]:[Hour]]&gt;=AU$2),1,0)</f>
        <v>0</v>
      </c>
      <c r="AV54" s="329" t="n">
        <f aca="false" t="array" ref="AV54:AV54">IF(AND(AV$2&lt;&gt;0,TblTech[[#This Row],[Hour]:[Hour]]&gt;=AV$2),1,0)</f>
        <v>0</v>
      </c>
      <c r="AW54" s="329" t="n">
        <f aca="false" t="array" ref="AW54:AW54">IF(AND(AW$2&lt;&gt;0,TblTech[[#This Row],[Hour]:[Hour]]&gt;=AW$2),1,0)</f>
        <v>0</v>
      </c>
      <c r="AX54" s="329" t="n">
        <f aca="false" t="array" ref="AX54:AX54">IF(AND(AX$2&lt;&gt;0,TblTech[[#This Row],[Hour]:[Hour]]&gt;=AX$2),1,0)</f>
        <v>0</v>
      </c>
      <c r="AY54" s="329" t="n">
        <f aca="false" t="array" ref="AY54:AY54">IF(AND(AY$2&lt;&gt;0,TblTech[[#This Row],[Hour]:[Hour]]&gt;=AY$2),1,0)</f>
        <v>0</v>
      </c>
      <c r="AZ54" s="329" t="n">
        <f aca="false" t="array" ref="AZ54:AZ54">IF(AND(AZ$2&lt;&gt;0,TblTech[[#This Row],[Hour]:[Hour]]&gt;=AZ$2),1,0)</f>
        <v>0</v>
      </c>
      <c r="BA54" s="329" t="n">
        <f aca="false" t="array" ref="BA54:BA54">IF(AND(BA$2&lt;&gt;0,TblTech[[#This Row],[Hour]:[Hour]]&gt;=BA$2),1,0)</f>
        <v>0</v>
      </c>
      <c r="BB54" s="329" t="n">
        <f aca="false" t="array" ref="BB54:BB54">IF(AND(BB$2&lt;&gt;0,TblTech[[#This Row],[Hour]:[Hour]]&gt;=BB$2),1,0)</f>
        <v>0</v>
      </c>
      <c r="BC54" s="329" t="n">
        <f aca="false" t="array" ref="BC54:BC54">IF(AND(BC$2&lt;&gt;0,TblTech[[#This Row],[Hour]:[Hour]]&gt;=BC$2),1,0)</f>
        <v>0</v>
      </c>
      <c r="BD54" s="329" t="n">
        <f aca="false" t="array" ref="BD54:BD54">IF(AND(BD$2&lt;&gt;0,TblTech[[#This Row],[Hour]:[Hour]]&gt;=BD$2),1,0)</f>
        <v>0</v>
      </c>
      <c r="BE54" s="329" t="n">
        <f aca="false" t="array" ref="BE54:BE54">IF(AND(BE$2&lt;&gt;0,TblTech[[#This Row],[Hour]:[Hour]]&gt;=BE$2),1,0)</f>
        <v>0</v>
      </c>
      <c r="BF54" s="329" t="n">
        <f aca="false" t="array" ref="BF54:BF54">IF(AND(BF$2&lt;&gt;0,TblTech[[#This Row],[Hour]:[Hour]]&gt;=BF$2),1,0)</f>
        <v>0</v>
      </c>
      <c r="BG54" s="329" t="n">
        <f aca="false" t="array" ref="BG54:BG54">IF(AND(BG$2&lt;&gt;0,TblTech[[#This Row],[Hour]:[Hour]]&gt;=BG$2),1,0)</f>
        <v>0</v>
      </c>
      <c r="BH54" s="329" t="n">
        <f aca="false" t="array" ref="BH54:BH54">IF(AND(BH$2&lt;&gt;0,TblTech[[#This Row],[Hour]:[Hour]]&gt;=BH$2),1,0)</f>
        <v>0</v>
      </c>
      <c r="BI54" s="329" t="n">
        <f aca="false" t="array" ref="BI54:BI54">IF(AND(BI$2&lt;&gt;0,TblTech[[#This Row],[Hour]:[Hour]]&gt;=BI$2),1,0)</f>
        <v>0</v>
      </c>
      <c r="BJ54" s="329" t="n">
        <f aca="false" t="array" ref="BJ54:BJ54">IF(AND(BJ$2&lt;&gt;0,TblTech[[#This Row],[Hour]:[Hour]]&gt;=BJ$2),1,0)</f>
        <v>0</v>
      </c>
      <c r="BK54" s="329" t="n">
        <f aca="false" t="array" ref="BK54:BK54">IF(AND(BK$2&lt;&gt;0,TblTech[[#This Row],[Hour]:[Hour]]&gt;=BK$2),1,0)</f>
        <v>0</v>
      </c>
      <c r="BL54" s="329" t="n">
        <f aca="false" t="array" ref="BL54:BL54">IF(AND(BL$2&lt;&gt;0,TblTech[[#This Row],[Hour]:[Hour]]&gt;=BL$2),1,0)</f>
        <v>0</v>
      </c>
      <c r="BM54" s="329" t="n">
        <f aca="false" t="array" ref="BM54:BM54">IF(AND(BM$2&lt;&gt;0,TblTech[[#This Row],[Hour]:[Hour]]&gt;=BM$2),1,0)</f>
        <v>0</v>
      </c>
      <c r="BN54" s="329" t="n">
        <f aca="false" t="array" ref="BN54:BN54">IF(AND(BN$2&lt;&gt;0,TblTech[[#This Row],[Hour]:[Hour]]&gt;=BN$2),1,0)</f>
        <v>0</v>
      </c>
      <c r="BO54" s="329" t="n">
        <f aca="false" t="array" ref="BO54:BO54">IF(AND(BO$2&lt;&gt;0,TblTech[[#This Row],[Hour]:[Hour]]&gt;=BO$2),1,0)</f>
        <v>0</v>
      </c>
      <c r="BP54" s="329" t="n">
        <f aca="false" t="array" ref="BP54:BP54">IF(AND(BP$2&lt;&gt;0,TblTech[[#This Row],[Hour]:[Hour]]&gt;=BP$2),1,0)</f>
        <v>0</v>
      </c>
      <c r="BQ54" s="329" t="n">
        <f aca="false" t="array" ref="BQ54:BQ54">IF(AND(BQ$2&lt;&gt;0,TblTech[[#This Row],[Hour]:[Hour]]&gt;=BQ$2),1,0)</f>
        <v>0</v>
      </c>
      <c r="BR54" s="329" t="n">
        <f aca="false" t="array" ref="BR54:BR54">IF(AND(BR$2&lt;&gt;0,TblTech[[#This Row],[Hour]:[Hour]]&gt;=BR$2),1,0)</f>
        <v>0</v>
      </c>
      <c r="BS54" s="329" t="n">
        <f aca="false" t="array" ref="BS54:BS54">IF(AND(BS$2&lt;&gt;0,TblTech[[#This Row],[Hour]:[Hour]]&gt;=BS$2),1,0)</f>
        <v>0</v>
      </c>
      <c r="BT54" s="329" t="n">
        <f aca="false" t="array" ref="BT54:BT54">IF(AND(BT$2&lt;&gt;0,TblTech[[#This Row],[Hour]:[Hour]]&gt;=BT$2),1,0)</f>
        <v>0</v>
      </c>
      <c r="BU54" s="329" t="n">
        <f aca="false" t="array" ref="BU54:BU54">IF(AND(BU$2&lt;&gt;0,TblTech[[#This Row],[Hour]:[Hour]]&gt;=BU$2),1,0)</f>
        <v>0</v>
      </c>
      <c r="BV54" s="329" t="n">
        <f aca="false" t="array" ref="BV54:BV54">IF(AND(BV$2&lt;&gt;0,TblTech[[#This Row],[Hour]:[Hour]]&gt;=BV$2),1,0)</f>
        <v>0</v>
      </c>
      <c r="BW54" s="329" t="n">
        <f aca="false" t="array" ref="BW54:BW54">IF(AND(BW$2&lt;&gt;0,TblTech[[#This Row],[Hour]:[Hour]]&gt;=BW$2),1,0)</f>
        <v>0</v>
      </c>
      <c r="BX54" s="329" t="n">
        <f aca="false" t="array" ref="BX54:BX54">IF(AND(BX$2&lt;&gt;0,TblTech[[#This Row],[Hour]:[Hour]]&gt;=BX$2),1,0)</f>
        <v>0</v>
      </c>
      <c r="BY54" s="329" t="n">
        <f aca="false" t="array" ref="BY54:BY54">IF(AND(BY$2&lt;&gt;0,TblTech[[#This Row],[Hour]:[Hour]]&gt;=BY$2),1,0)</f>
        <v>0</v>
      </c>
      <c r="BZ54" s="329" t="n">
        <f aca="false" t="array" ref="BZ54:BZ54">IF(AND(BZ$2&lt;&gt;0,TblTech[[#This Row],[Hour]:[Hour]]&gt;=BZ$2),1,0)</f>
        <v>0</v>
      </c>
      <c r="CA54" s="330" t="n">
        <f aca="false">IFERROR(INDEX($H$4:$H$79,MATCH(INDEX(TblTech[[#Headers],[1-1]:[11-1]],1,MATCH(TblTech[[#This Row],[Hour]],$M$2:$BZ$2,0)),$G$4:$G$79,0)),)</f>
        <v>0</v>
      </c>
    </row>
    <row r="55" customFormat="false" ht="12.75" hidden="false" customHeight="false" outlineLevel="0" collapsed="false">
      <c r="A55" s="321" t="n">
        <f aca="false">TblRezone[[#This Row],[Hour]]</f>
        <v>52</v>
      </c>
      <c r="B55" s="322" t="n">
        <f aca="false">TblExplore[[#This Row],[Land-DB]]</f>
        <v>669</v>
      </c>
      <c r="C55" s="323" t="n">
        <f aca="false">TblProd[[#This Row],[Techpoints]]</f>
        <v>700</v>
      </c>
      <c r="D55" s="323" t="n">
        <f aca="false">TblProd[[#This Row],[Required]]</f>
        <v>3750</v>
      </c>
      <c r="E55" s="324"/>
      <c r="F55" s="325"/>
      <c r="G55" s="326" t="s">
        <v>570</v>
      </c>
      <c r="H55" s="327" t="s">
        <v>679</v>
      </c>
      <c r="I55" s="326" t="s">
        <v>680</v>
      </c>
      <c r="J55" s="322"/>
      <c r="K55" s="68" t="n">
        <f aca="false">IF(TblTech[[#This Row],[Sum of tech]]&lt;&gt;OFFSET(TblTech[[#This Row],[Sum of tech]],-1,0),1,0)</f>
        <v>0</v>
      </c>
      <c r="L55" s="328" t="n">
        <f aca="false">COUNTIF(TblTech[[#This Row],[1-1]:[11-1]],1)</f>
        <v>0</v>
      </c>
      <c r="M55" s="329" t="n">
        <f aca="false" t="array" ref="M55:M55">IF(AND(M$2&lt;&gt;0,TblTech[[#This Row],[Hour]:[Hour]]&gt;=M$2),1,0)</f>
        <v>0</v>
      </c>
      <c r="N55" s="329" t="n">
        <f aca="false" t="array" ref="N55:N55">IF(AND(N$2&lt;&gt;0,TblTech[[#This Row],[Hour]:[Hour]]&gt;=N$2),1,0)</f>
        <v>0</v>
      </c>
      <c r="O55" s="329" t="n">
        <f aca="false" t="array" ref="O55:O55">IF(AND(O$2&lt;&gt;0,TblTech[[#This Row],[Hour]:[Hour]]&gt;=O$2),1,0)</f>
        <v>0</v>
      </c>
      <c r="P55" s="329" t="n">
        <f aca="false" t="array" ref="P55:P55">IF(AND(P$2&lt;&gt;0,TblTech[[#This Row],[Hour]:[Hour]]&gt;=P$2),1,0)</f>
        <v>0</v>
      </c>
      <c r="Q55" s="329" t="n">
        <f aca="false" t="array" ref="Q55:Q55">IF(AND(Q$2&lt;&gt;0,TblTech[[#This Row],[Hour]:[Hour]]&gt;=Q$2),1,0)</f>
        <v>0</v>
      </c>
      <c r="R55" s="329" t="n">
        <f aca="false" t="array" ref="R55:R55">IF(AND(R$2&lt;&gt;0,TblTech[[#This Row],[Hour]:[Hour]]&gt;=R$2),1,0)</f>
        <v>0</v>
      </c>
      <c r="S55" s="329" t="n">
        <f aca="false" t="array" ref="S55:S55">IF(AND(S$2&lt;&gt;0,TblTech[[#This Row],[Hour]:[Hour]]&gt;=S$2),1,0)</f>
        <v>0</v>
      </c>
      <c r="T55" s="329" t="n">
        <f aca="false" t="array" ref="T55:T55">IF(AND(T$2&lt;&gt;0,TblTech[[#This Row],[Hour]:[Hour]]&gt;=T$2),1,0)</f>
        <v>0</v>
      </c>
      <c r="U55" s="329" t="n">
        <f aca="false" t="array" ref="U55:U55">IF(AND(U$2&lt;&gt;0,TblTech[[#This Row],[Hour]:[Hour]]&gt;=U$2),1,0)</f>
        <v>0</v>
      </c>
      <c r="V55" s="329" t="n">
        <f aca="false" t="array" ref="V55:V55">IF(AND(V$2&lt;&gt;0,TblTech[[#This Row],[Hour]:[Hour]]&gt;=V$2),1,0)</f>
        <v>0</v>
      </c>
      <c r="W55" s="329" t="n">
        <f aca="false" t="array" ref="W55:W55">IF(AND(W$2&lt;&gt;0,TblTech[[#This Row],[Hour]:[Hour]]&gt;=W$2),1,0)</f>
        <v>0</v>
      </c>
      <c r="X55" s="329" t="n">
        <f aca="false" t="array" ref="X55:X55">IF(AND(X$2&lt;&gt;0,TblTech[[#This Row],[Hour]:[Hour]]&gt;=X$2),1,0)</f>
        <v>0</v>
      </c>
      <c r="Y55" s="329" t="n">
        <f aca="false" t="array" ref="Y55:Y55">IF(AND(Y$2&lt;&gt;0,TblTech[[#This Row],[Hour]:[Hour]]&gt;=Y$2),1,0)</f>
        <v>0</v>
      </c>
      <c r="Z55" s="329" t="n">
        <f aca="false" t="array" ref="Z55:Z55">IF(AND(Z$2&lt;&gt;0,TblTech[[#This Row],[Hour]:[Hour]]&gt;=Z$2),1,0)</f>
        <v>0</v>
      </c>
      <c r="AA55" s="329" t="n">
        <f aca="false" t="array" ref="AA55:AA55">IF(AND(AA$2&lt;&gt;0,TblTech[[#This Row],[Hour]:[Hour]]&gt;=AA$2),1,0)</f>
        <v>0</v>
      </c>
      <c r="AB55" s="329" t="n">
        <f aca="false" t="array" ref="AB55:AB55">IF(AND(AB$2&lt;&gt;0,TblTech[[#This Row],[Hour]:[Hour]]&gt;=AB$2),1,0)</f>
        <v>0</v>
      </c>
      <c r="AC55" s="329" t="n">
        <f aca="false" t="array" ref="AC55:AC55">IF(AND(AC$2&lt;&gt;0,TblTech[[#This Row],[Hour]:[Hour]]&gt;=AC$2),1,0)</f>
        <v>0</v>
      </c>
      <c r="AD55" s="329" t="n">
        <f aca="false" t="array" ref="AD55:AD55">IF(AND(AD$2&lt;&gt;0,TblTech[[#This Row],[Hour]:[Hour]]&gt;=AD$2),1,0)</f>
        <v>0</v>
      </c>
      <c r="AE55" s="329" t="n">
        <f aca="false" t="array" ref="AE55:AE55">IF(AND(AE$2&lt;&gt;0,TblTech[[#This Row],[Hour]:[Hour]]&gt;=AE$2),1,0)</f>
        <v>0</v>
      </c>
      <c r="AF55" s="329" t="n">
        <f aca="false" t="array" ref="AF55:AF55">IF(AND(AF$2&lt;&gt;0,TblTech[[#This Row],[Hour]:[Hour]]&gt;=AF$2),1,0)</f>
        <v>0</v>
      </c>
      <c r="AG55" s="329" t="n">
        <f aca="false" t="array" ref="AG55:AG55">IF(AND(AG$2&lt;&gt;0,TblTech[[#This Row],[Hour]:[Hour]]&gt;=AG$2),1,0)</f>
        <v>0</v>
      </c>
      <c r="AH55" s="329" t="n">
        <f aca="false" t="array" ref="AH55:AH55">IF(AND(AH$2&lt;&gt;0,TblTech[[#This Row],[Hour]:[Hour]]&gt;=AH$2),1,0)</f>
        <v>0</v>
      </c>
      <c r="AI55" s="329" t="n">
        <f aca="false" t="array" ref="AI55:AI55">IF(AND(AI$2&lt;&gt;0,TblTech[[#This Row],[Hour]:[Hour]]&gt;=AI$2),1,0)</f>
        <v>0</v>
      </c>
      <c r="AJ55" s="329" t="n">
        <f aca="false" t="array" ref="AJ55:AJ55">IF(AND(AJ$2&lt;&gt;0,TblTech[[#This Row],[Hour]:[Hour]]&gt;=AJ$2),1,0)</f>
        <v>0</v>
      </c>
      <c r="AK55" s="329" t="n">
        <f aca="false" t="array" ref="AK55:AK55">IF(AND(AK$2&lt;&gt;0,TblTech[[#This Row],[Hour]:[Hour]]&gt;=AK$2),1,0)</f>
        <v>0</v>
      </c>
      <c r="AL55" s="329" t="n">
        <f aca="false" t="array" ref="AL55:AL55">IF(AND(AL$2&lt;&gt;0,TblTech[[#This Row],[Hour]:[Hour]]&gt;=AL$2),1,0)</f>
        <v>0</v>
      </c>
      <c r="AM55" s="329" t="n">
        <f aca="false" t="array" ref="AM55:AM55">IF(AND(AM$2&lt;&gt;0,TblTech[[#This Row],[Hour]:[Hour]]&gt;=AM$2),1,0)</f>
        <v>0</v>
      </c>
      <c r="AN55" s="329" t="n">
        <f aca="false" t="array" ref="AN55:AN55">IF(AND(AN$2&lt;&gt;0,TblTech[[#This Row],[Hour]:[Hour]]&gt;=AN$2),1,0)</f>
        <v>0</v>
      </c>
      <c r="AO55" s="329" t="n">
        <f aca="false" t="array" ref="AO55:AO55">IF(AND(AO$2&lt;&gt;0,TblTech[[#This Row],[Hour]:[Hour]]&gt;=AO$2),1,0)</f>
        <v>0</v>
      </c>
      <c r="AP55" s="329" t="n">
        <f aca="false" t="array" ref="AP55:AP55">IF(AND(AP$2&lt;&gt;0,TblTech[[#This Row],[Hour]:[Hour]]&gt;=AP$2),1,0)</f>
        <v>0</v>
      </c>
      <c r="AQ55" s="329" t="n">
        <f aca="false" t="array" ref="AQ55:AQ55">IF(AND(AQ$2&lt;&gt;0,TblTech[[#This Row],[Hour]:[Hour]]&gt;=AQ$2),1,0)</f>
        <v>0</v>
      </c>
      <c r="AR55" s="329" t="n">
        <f aca="false" t="array" ref="AR55:AR55">IF(AND(AR$2&lt;&gt;0,TblTech[[#This Row],[Hour]:[Hour]]&gt;=AR$2),1,0)</f>
        <v>0</v>
      </c>
      <c r="AS55" s="329" t="n">
        <f aca="false" t="array" ref="AS55:AS55">IF(AND(AS$2&lt;&gt;0,TblTech[[#This Row],[Hour]:[Hour]]&gt;=AS$2),1,0)</f>
        <v>0</v>
      </c>
      <c r="AT55" s="329" t="n">
        <f aca="false" t="array" ref="AT55:AT55">IF(AND(AT$2&lt;&gt;0,TblTech[[#This Row],[Hour]:[Hour]]&gt;=AT$2),1,0)</f>
        <v>0</v>
      </c>
      <c r="AU55" s="329" t="n">
        <f aca="false" t="array" ref="AU55:AU55">IF(AND(AU$2&lt;&gt;0,TblTech[[#This Row],[Hour]:[Hour]]&gt;=AU$2),1,0)</f>
        <v>0</v>
      </c>
      <c r="AV55" s="329" t="n">
        <f aca="false" t="array" ref="AV55:AV55">IF(AND(AV$2&lt;&gt;0,TblTech[[#This Row],[Hour]:[Hour]]&gt;=AV$2),1,0)</f>
        <v>0</v>
      </c>
      <c r="AW55" s="329" t="n">
        <f aca="false" t="array" ref="AW55:AW55">IF(AND(AW$2&lt;&gt;0,TblTech[[#This Row],[Hour]:[Hour]]&gt;=AW$2),1,0)</f>
        <v>0</v>
      </c>
      <c r="AX55" s="329" t="n">
        <f aca="false" t="array" ref="AX55:AX55">IF(AND(AX$2&lt;&gt;0,TblTech[[#This Row],[Hour]:[Hour]]&gt;=AX$2),1,0)</f>
        <v>0</v>
      </c>
      <c r="AY55" s="329" t="n">
        <f aca="false" t="array" ref="AY55:AY55">IF(AND(AY$2&lt;&gt;0,TblTech[[#This Row],[Hour]:[Hour]]&gt;=AY$2),1,0)</f>
        <v>0</v>
      </c>
      <c r="AZ55" s="329" t="n">
        <f aca="false" t="array" ref="AZ55:AZ55">IF(AND(AZ$2&lt;&gt;0,TblTech[[#This Row],[Hour]:[Hour]]&gt;=AZ$2),1,0)</f>
        <v>0</v>
      </c>
      <c r="BA55" s="329" t="n">
        <f aca="false" t="array" ref="BA55:BA55">IF(AND(BA$2&lt;&gt;0,TblTech[[#This Row],[Hour]:[Hour]]&gt;=BA$2),1,0)</f>
        <v>0</v>
      </c>
      <c r="BB55" s="329" t="n">
        <f aca="false" t="array" ref="BB55:BB55">IF(AND(BB$2&lt;&gt;0,TblTech[[#This Row],[Hour]:[Hour]]&gt;=BB$2),1,0)</f>
        <v>0</v>
      </c>
      <c r="BC55" s="329" t="n">
        <f aca="false" t="array" ref="BC55:BC55">IF(AND(BC$2&lt;&gt;0,TblTech[[#This Row],[Hour]:[Hour]]&gt;=BC$2),1,0)</f>
        <v>0</v>
      </c>
      <c r="BD55" s="329" t="n">
        <f aca="false" t="array" ref="BD55:BD55">IF(AND(BD$2&lt;&gt;0,TblTech[[#This Row],[Hour]:[Hour]]&gt;=BD$2),1,0)</f>
        <v>0</v>
      </c>
      <c r="BE55" s="329" t="n">
        <f aca="false" t="array" ref="BE55:BE55">IF(AND(BE$2&lt;&gt;0,TblTech[[#This Row],[Hour]:[Hour]]&gt;=BE$2),1,0)</f>
        <v>0</v>
      </c>
      <c r="BF55" s="329" t="n">
        <f aca="false" t="array" ref="BF55:BF55">IF(AND(BF$2&lt;&gt;0,TblTech[[#This Row],[Hour]:[Hour]]&gt;=BF$2),1,0)</f>
        <v>0</v>
      </c>
      <c r="BG55" s="329" t="n">
        <f aca="false" t="array" ref="BG55:BG55">IF(AND(BG$2&lt;&gt;0,TblTech[[#This Row],[Hour]:[Hour]]&gt;=BG$2),1,0)</f>
        <v>0</v>
      </c>
      <c r="BH55" s="329" t="n">
        <f aca="false" t="array" ref="BH55:BH55">IF(AND(BH$2&lt;&gt;0,TblTech[[#This Row],[Hour]:[Hour]]&gt;=BH$2),1,0)</f>
        <v>0</v>
      </c>
      <c r="BI55" s="329" t="n">
        <f aca="false" t="array" ref="BI55:BI55">IF(AND(BI$2&lt;&gt;0,TblTech[[#This Row],[Hour]:[Hour]]&gt;=BI$2),1,0)</f>
        <v>0</v>
      </c>
      <c r="BJ55" s="329" t="n">
        <f aca="false" t="array" ref="BJ55:BJ55">IF(AND(BJ$2&lt;&gt;0,TblTech[[#This Row],[Hour]:[Hour]]&gt;=BJ$2),1,0)</f>
        <v>0</v>
      </c>
      <c r="BK55" s="329" t="n">
        <f aca="false" t="array" ref="BK55:BK55">IF(AND(BK$2&lt;&gt;0,TblTech[[#This Row],[Hour]:[Hour]]&gt;=BK$2),1,0)</f>
        <v>0</v>
      </c>
      <c r="BL55" s="329" t="n">
        <f aca="false" t="array" ref="BL55:BL55">IF(AND(BL$2&lt;&gt;0,TblTech[[#This Row],[Hour]:[Hour]]&gt;=BL$2),1,0)</f>
        <v>0</v>
      </c>
      <c r="BM55" s="329" t="n">
        <f aca="false" t="array" ref="BM55:BM55">IF(AND(BM$2&lt;&gt;0,TblTech[[#This Row],[Hour]:[Hour]]&gt;=BM$2),1,0)</f>
        <v>0</v>
      </c>
      <c r="BN55" s="329" t="n">
        <f aca="false" t="array" ref="BN55:BN55">IF(AND(BN$2&lt;&gt;0,TblTech[[#This Row],[Hour]:[Hour]]&gt;=BN$2),1,0)</f>
        <v>0</v>
      </c>
      <c r="BO55" s="329" t="n">
        <f aca="false" t="array" ref="BO55:BO55">IF(AND(BO$2&lt;&gt;0,TblTech[[#This Row],[Hour]:[Hour]]&gt;=BO$2),1,0)</f>
        <v>0</v>
      </c>
      <c r="BP55" s="329" t="n">
        <f aca="false" t="array" ref="BP55:BP55">IF(AND(BP$2&lt;&gt;0,TblTech[[#This Row],[Hour]:[Hour]]&gt;=BP$2),1,0)</f>
        <v>0</v>
      </c>
      <c r="BQ55" s="329" t="n">
        <f aca="false" t="array" ref="BQ55:BQ55">IF(AND(BQ$2&lt;&gt;0,TblTech[[#This Row],[Hour]:[Hour]]&gt;=BQ$2),1,0)</f>
        <v>0</v>
      </c>
      <c r="BR55" s="329" t="n">
        <f aca="false" t="array" ref="BR55:BR55">IF(AND(BR$2&lt;&gt;0,TblTech[[#This Row],[Hour]:[Hour]]&gt;=BR$2),1,0)</f>
        <v>0</v>
      </c>
      <c r="BS55" s="329" t="n">
        <f aca="false" t="array" ref="BS55:BS55">IF(AND(BS$2&lt;&gt;0,TblTech[[#This Row],[Hour]:[Hour]]&gt;=BS$2),1,0)</f>
        <v>0</v>
      </c>
      <c r="BT55" s="329" t="n">
        <f aca="false" t="array" ref="BT55:BT55">IF(AND(BT$2&lt;&gt;0,TblTech[[#This Row],[Hour]:[Hour]]&gt;=BT$2),1,0)</f>
        <v>0</v>
      </c>
      <c r="BU55" s="329" t="n">
        <f aca="false" t="array" ref="BU55:BU55">IF(AND(BU$2&lt;&gt;0,TblTech[[#This Row],[Hour]:[Hour]]&gt;=BU$2),1,0)</f>
        <v>0</v>
      </c>
      <c r="BV55" s="329" t="n">
        <f aca="false" t="array" ref="BV55:BV55">IF(AND(BV$2&lt;&gt;0,TblTech[[#This Row],[Hour]:[Hour]]&gt;=BV$2),1,0)</f>
        <v>0</v>
      </c>
      <c r="BW55" s="329" t="n">
        <f aca="false" t="array" ref="BW55:BW55">IF(AND(BW$2&lt;&gt;0,TblTech[[#This Row],[Hour]:[Hour]]&gt;=BW$2),1,0)</f>
        <v>0</v>
      </c>
      <c r="BX55" s="329" t="n">
        <f aca="false" t="array" ref="BX55:BX55">IF(AND(BX$2&lt;&gt;0,TblTech[[#This Row],[Hour]:[Hour]]&gt;=BX$2),1,0)</f>
        <v>0</v>
      </c>
      <c r="BY55" s="329" t="n">
        <f aca="false" t="array" ref="BY55:BY55">IF(AND(BY$2&lt;&gt;0,TblTech[[#This Row],[Hour]:[Hour]]&gt;=BY$2),1,0)</f>
        <v>0</v>
      </c>
      <c r="BZ55" s="329" t="n">
        <f aca="false" t="array" ref="BZ55:BZ55">IF(AND(BZ$2&lt;&gt;0,TblTech[[#This Row],[Hour]:[Hour]]&gt;=BZ$2),1,0)</f>
        <v>0</v>
      </c>
      <c r="CA55" s="330" t="n">
        <f aca="false">IFERROR(INDEX($H$4:$H$79,MATCH(INDEX(TblTech[[#Headers],[1-1]:[11-1]],1,MATCH(TblTech[[#This Row],[Hour]],$M$2:$BZ$2,0)),$G$4:$G$79,0)),)</f>
        <v>0</v>
      </c>
    </row>
    <row r="56" customFormat="false" ht="12.75" hidden="false" customHeight="false" outlineLevel="0" collapsed="false">
      <c r="A56" s="321" t="n">
        <f aca="false">TblRezone[[#This Row],[Hour]]</f>
        <v>53</v>
      </c>
      <c r="B56" s="322" t="n">
        <f aca="false">TblExplore[[#This Row],[Land-DB]]</f>
        <v>680</v>
      </c>
      <c r="C56" s="323" t="n">
        <f aca="false">TblProd[[#This Row],[Techpoints]]</f>
        <v>700</v>
      </c>
      <c r="D56" s="323" t="n">
        <f aca="false">TblProd[[#This Row],[Required]]</f>
        <v>3750</v>
      </c>
      <c r="E56" s="324"/>
      <c r="F56" s="325"/>
      <c r="G56" s="326" t="s">
        <v>571</v>
      </c>
      <c r="H56" s="327" t="s">
        <v>681</v>
      </c>
      <c r="I56" s="326" t="s">
        <v>682</v>
      </c>
      <c r="J56" s="322"/>
      <c r="K56" s="68" t="n">
        <f aca="false">IF(TblTech[[#This Row],[Sum of tech]]&lt;&gt;OFFSET(TblTech[[#This Row],[Sum of tech]],-1,0),1,0)</f>
        <v>0</v>
      </c>
      <c r="L56" s="328" t="n">
        <f aca="false">COUNTIF(TblTech[[#This Row],[1-1]:[11-1]],1)</f>
        <v>0</v>
      </c>
      <c r="M56" s="329" t="n">
        <f aca="false" t="array" ref="M56:M56">IF(AND(M$2&lt;&gt;0,TblTech[[#This Row],[Hour]:[Hour]]&gt;=M$2),1,0)</f>
        <v>0</v>
      </c>
      <c r="N56" s="329" t="n">
        <f aca="false" t="array" ref="N56:N56">IF(AND(N$2&lt;&gt;0,TblTech[[#This Row],[Hour]:[Hour]]&gt;=N$2),1,0)</f>
        <v>0</v>
      </c>
      <c r="O56" s="329" t="n">
        <f aca="false" t="array" ref="O56:O56">IF(AND(O$2&lt;&gt;0,TblTech[[#This Row],[Hour]:[Hour]]&gt;=O$2),1,0)</f>
        <v>0</v>
      </c>
      <c r="P56" s="329" t="n">
        <f aca="false" t="array" ref="P56:P56">IF(AND(P$2&lt;&gt;0,TblTech[[#This Row],[Hour]:[Hour]]&gt;=P$2),1,0)</f>
        <v>0</v>
      </c>
      <c r="Q56" s="329" t="n">
        <f aca="false" t="array" ref="Q56:Q56">IF(AND(Q$2&lt;&gt;0,TblTech[[#This Row],[Hour]:[Hour]]&gt;=Q$2),1,0)</f>
        <v>0</v>
      </c>
      <c r="R56" s="329" t="n">
        <f aca="false" t="array" ref="R56:R56">IF(AND(R$2&lt;&gt;0,TblTech[[#This Row],[Hour]:[Hour]]&gt;=R$2),1,0)</f>
        <v>0</v>
      </c>
      <c r="S56" s="329" t="n">
        <f aca="false" t="array" ref="S56:S56">IF(AND(S$2&lt;&gt;0,TblTech[[#This Row],[Hour]:[Hour]]&gt;=S$2),1,0)</f>
        <v>0</v>
      </c>
      <c r="T56" s="329" t="n">
        <f aca="false" t="array" ref="T56:T56">IF(AND(T$2&lt;&gt;0,TblTech[[#This Row],[Hour]:[Hour]]&gt;=T$2),1,0)</f>
        <v>0</v>
      </c>
      <c r="U56" s="329" t="n">
        <f aca="false" t="array" ref="U56:U56">IF(AND(U$2&lt;&gt;0,TblTech[[#This Row],[Hour]:[Hour]]&gt;=U$2),1,0)</f>
        <v>0</v>
      </c>
      <c r="V56" s="329" t="n">
        <f aca="false" t="array" ref="V56:V56">IF(AND(V$2&lt;&gt;0,TblTech[[#This Row],[Hour]:[Hour]]&gt;=V$2),1,0)</f>
        <v>0</v>
      </c>
      <c r="W56" s="329" t="n">
        <f aca="false" t="array" ref="W56:W56">IF(AND(W$2&lt;&gt;0,TblTech[[#This Row],[Hour]:[Hour]]&gt;=W$2),1,0)</f>
        <v>0</v>
      </c>
      <c r="X56" s="329" t="n">
        <f aca="false" t="array" ref="X56:X56">IF(AND(X$2&lt;&gt;0,TblTech[[#This Row],[Hour]:[Hour]]&gt;=X$2),1,0)</f>
        <v>0</v>
      </c>
      <c r="Y56" s="329" t="n">
        <f aca="false" t="array" ref="Y56:Y56">IF(AND(Y$2&lt;&gt;0,TblTech[[#This Row],[Hour]:[Hour]]&gt;=Y$2),1,0)</f>
        <v>0</v>
      </c>
      <c r="Z56" s="329" t="n">
        <f aca="false" t="array" ref="Z56:Z56">IF(AND(Z$2&lt;&gt;0,TblTech[[#This Row],[Hour]:[Hour]]&gt;=Z$2),1,0)</f>
        <v>0</v>
      </c>
      <c r="AA56" s="329" t="n">
        <f aca="false" t="array" ref="AA56:AA56">IF(AND(AA$2&lt;&gt;0,TblTech[[#This Row],[Hour]:[Hour]]&gt;=AA$2),1,0)</f>
        <v>0</v>
      </c>
      <c r="AB56" s="329" t="n">
        <f aca="false" t="array" ref="AB56:AB56">IF(AND(AB$2&lt;&gt;0,TblTech[[#This Row],[Hour]:[Hour]]&gt;=AB$2),1,0)</f>
        <v>0</v>
      </c>
      <c r="AC56" s="329" t="n">
        <f aca="false" t="array" ref="AC56:AC56">IF(AND(AC$2&lt;&gt;0,TblTech[[#This Row],[Hour]:[Hour]]&gt;=AC$2),1,0)</f>
        <v>0</v>
      </c>
      <c r="AD56" s="329" t="n">
        <f aca="false" t="array" ref="AD56:AD56">IF(AND(AD$2&lt;&gt;0,TblTech[[#This Row],[Hour]:[Hour]]&gt;=AD$2),1,0)</f>
        <v>0</v>
      </c>
      <c r="AE56" s="329" t="n">
        <f aca="false" t="array" ref="AE56:AE56">IF(AND(AE$2&lt;&gt;0,TblTech[[#This Row],[Hour]:[Hour]]&gt;=AE$2),1,0)</f>
        <v>0</v>
      </c>
      <c r="AF56" s="329" t="n">
        <f aca="false" t="array" ref="AF56:AF56">IF(AND(AF$2&lt;&gt;0,TblTech[[#This Row],[Hour]:[Hour]]&gt;=AF$2),1,0)</f>
        <v>0</v>
      </c>
      <c r="AG56" s="329" t="n">
        <f aca="false" t="array" ref="AG56:AG56">IF(AND(AG$2&lt;&gt;0,TblTech[[#This Row],[Hour]:[Hour]]&gt;=AG$2),1,0)</f>
        <v>0</v>
      </c>
      <c r="AH56" s="329" t="n">
        <f aca="false" t="array" ref="AH56:AH56">IF(AND(AH$2&lt;&gt;0,TblTech[[#This Row],[Hour]:[Hour]]&gt;=AH$2),1,0)</f>
        <v>0</v>
      </c>
      <c r="AI56" s="329" t="n">
        <f aca="false" t="array" ref="AI56:AI56">IF(AND(AI$2&lt;&gt;0,TblTech[[#This Row],[Hour]:[Hour]]&gt;=AI$2),1,0)</f>
        <v>0</v>
      </c>
      <c r="AJ56" s="329" t="n">
        <f aca="false" t="array" ref="AJ56:AJ56">IF(AND(AJ$2&lt;&gt;0,TblTech[[#This Row],[Hour]:[Hour]]&gt;=AJ$2),1,0)</f>
        <v>0</v>
      </c>
      <c r="AK56" s="329" t="n">
        <f aca="false" t="array" ref="AK56:AK56">IF(AND(AK$2&lt;&gt;0,TblTech[[#This Row],[Hour]:[Hour]]&gt;=AK$2),1,0)</f>
        <v>0</v>
      </c>
      <c r="AL56" s="329" t="n">
        <f aca="false" t="array" ref="AL56:AL56">IF(AND(AL$2&lt;&gt;0,TblTech[[#This Row],[Hour]:[Hour]]&gt;=AL$2),1,0)</f>
        <v>0</v>
      </c>
      <c r="AM56" s="329" t="n">
        <f aca="false" t="array" ref="AM56:AM56">IF(AND(AM$2&lt;&gt;0,TblTech[[#This Row],[Hour]:[Hour]]&gt;=AM$2),1,0)</f>
        <v>0</v>
      </c>
      <c r="AN56" s="329" t="n">
        <f aca="false" t="array" ref="AN56:AN56">IF(AND(AN$2&lt;&gt;0,TblTech[[#This Row],[Hour]:[Hour]]&gt;=AN$2),1,0)</f>
        <v>0</v>
      </c>
      <c r="AO56" s="329" t="n">
        <f aca="false" t="array" ref="AO56:AO56">IF(AND(AO$2&lt;&gt;0,TblTech[[#This Row],[Hour]:[Hour]]&gt;=AO$2),1,0)</f>
        <v>0</v>
      </c>
      <c r="AP56" s="329" t="n">
        <f aca="false" t="array" ref="AP56:AP56">IF(AND(AP$2&lt;&gt;0,TblTech[[#This Row],[Hour]:[Hour]]&gt;=AP$2),1,0)</f>
        <v>0</v>
      </c>
      <c r="AQ56" s="329" t="n">
        <f aca="false" t="array" ref="AQ56:AQ56">IF(AND(AQ$2&lt;&gt;0,TblTech[[#This Row],[Hour]:[Hour]]&gt;=AQ$2),1,0)</f>
        <v>0</v>
      </c>
      <c r="AR56" s="329" t="n">
        <f aca="false" t="array" ref="AR56:AR56">IF(AND(AR$2&lt;&gt;0,TblTech[[#This Row],[Hour]:[Hour]]&gt;=AR$2),1,0)</f>
        <v>0</v>
      </c>
      <c r="AS56" s="329" t="n">
        <f aca="false" t="array" ref="AS56:AS56">IF(AND(AS$2&lt;&gt;0,TblTech[[#This Row],[Hour]:[Hour]]&gt;=AS$2),1,0)</f>
        <v>0</v>
      </c>
      <c r="AT56" s="329" t="n">
        <f aca="false" t="array" ref="AT56:AT56">IF(AND(AT$2&lt;&gt;0,TblTech[[#This Row],[Hour]:[Hour]]&gt;=AT$2),1,0)</f>
        <v>0</v>
      </c>
      <c r="AU56" s="329" t="n">
        <f aca="false" t="array" ref="AU56:AU56">IF(AND(AU$2&lt;&gt;0,TblTech[[#This Row],[Hour]:[Hour]]&gt;=AU$2),1,0)</f>
        <v>0</v>
      </c>
      <c r="AV56" s="329" t="n">
        <f aca="false" t="array" ref="AV56:AV56">IF(AND(AV$2&lt;&gt;0,TblTech[[#This Row],[Hour]:[Hour]]&gt;=AV$2),1,0)</f>
        <v>0</v>
      </c>
      <c r="AW56" s="329" t="n">
        <f aca="false" t="array" ref="AW56:AW56">IF(AND(AW$2&lt;&gt;0,TblTech[[#This Row],[Hour]:[Hour]]&gt;=AW$2),1,0)</f>
        <v>0</v>
      </c>
      <c r="AX56" s="329" t="n">
        <f aca="false" t="array" ref="AX56:AX56">IF(AND(AX$2&lt;&gt;0,TblTech[[#This Row],[Hour]:[Hour]]&gt;=AX$2),1,0)</f>
        <v>0</v>
      </c>
      <c r="AY56" s="329" t="n">
        <f aca="false" t="array" ref="AY56:AY56">IF(AND(AY$2&lt;&gt;0,TblTech[[#This Row],[Hour]:[Hour]]&gt;=AY$2),1,0)</f>
        <v>0</v>
      </c>
      <c r="AZ56" s="329" t="n">
        <f aca="false" t="array" ref="AZ56:AZ56">IF(AND(AZ$2&lt;&gt;0,TblTech[[#This Row],[Hour]:[Hour]]&gt;=AZ$2),1,0)</f>
        <v>0</v>
      </c>
      <c r="BA56" s="329" t="n">
        <f aca="false" t="array" ref="BA56:BA56">IF(AND(BA$2&lt;&gt;0,TblTech[[#This Row],[Hour]:[Hour]]&gt;=BA$2),1,0)</f>
        <v>0</v>
      </c>
      <c r="BB56" s="329" t="n">
        <f aca="false" t="array" ref="BB56:BB56">IF(AND(BB$2&lt;&gt;0,TblTech[[#This Row],[Hour]:[Hour]]&gt;=BB$2),1,0)</f>
        <v>0</v>
      </c>
      <c r="BC56" s="329" t="n">
        <f aca="false" t="array" ref="BC56:BC56">IF(AND(BC$2&lt;&gt;0,TblTech[[#This Row],[Hour]:[Hour]]&gt;=BC$2),1,0)</f>
        <v>0</v>
      </c>
      <c r="BD56" s="329" t="n">
        <f aca="false" t="array" ref="BD56:BD56">IF(AND(BD$2&lt;&gt;0,TblTech[[#This Row],[Hour]:[Hour]]&gt;=BD$2),1,0)</f>
        <v>0</v>
      </c>
      <c r="BE56" s="329" t="n">
        <f aca="false" t="array" ref="BE56:BE56">IF(AND(BE$2&lt;&gt;0,TblTech[[#This Row],[Hour]:[Hour]]&gt;=BE$2),1,0)</f>
        <v>0</v>
      </c>
      <c r="BF56" s="329" t="n">
        <f aca="false" t="array" ref="BF56:BF56">IF(AND(BF$2&lt;&gt;0,TblTech[[#This Row],[Hour]:[Hour]]&gt;=BF$2),1,0)</f>
        <v>0</v>
      </c>
      <c r="BG56" s="329" t="n">
        <f aca="false" t="array" ref="BG56:BG56">IF(AND(BG$2&lt;&gt;0,TblTech[[#This Row],[Hour]:[Hour]]&gt;=BG$2),1,0)</f>
        <v>0</v>
      </c>
      <c r="BH56" s="329" t="n">
        <f aca="false" t="array" ref="BH56:BH56">IF(AND(BH$2&lt;&gt;0,TblTech[[#This Row],[Hour]:[Hour]]&gt;=BH$2),1,0)</f>
        <v>0</v>
      </c>
      <c r="BI56" s="329" t="n">
        <f aca="false" t="array" ref="BI56:BI56">IF(AND(BI$2&lt;&gt;0,TblTech[[#This Row],[Hour]:[Hour]]&gt;=BI$2),1,0)</f>
        <v>0</v>
      </c>
      <c r="BJ56" s="329" t="n">
        <f aca="false" t="array" ref="BJ56:BJ56">IF(AND(BJ$2&lt;&gt;0,TblTech[[#This Row],[Hour]:[Hour]]&gt;=BJ$2),1,0)</f>
        <v>0</v>
      </c>
      <c r="BK56" s="329" t="n">
        <f aca="false" t="array" ref="BK56:BK56">IF(AND(BK$2&lt;&gt;0,TblTech[[#This Row],[Hour]:[Hour]]&gt;=BK$2),1,0)</f>
        <v>0</v>
      </c>
      <c r="BL56" s="329" t="n">
        <f aca="false" t="array" ref="BL56:BL56">IF(AND(BL$2&lt;&gt;0,TblTech[[#This Row],[Hour]:[Hour]]&gt;=BL$2),1,0)</f>
        <v>0</v>
      </c>
      <c r="BM56" s="329" t="n">
        <f aca="false" t="array" ref="BM56:BM56">IF(AND(BM$2&lt;&gt;0,TblTech[[#This Row],[Hour]:[Hour]]&gt;=BM$2),1,0)</f>
        <v>0</v>
      </c>
      <c r="BN56" s="329" t="n">
        <f aca="false" t="array" ref="BN56:BN56">IF(AND(BN$2&lt;&gt;0,TblTech[[#This Row],[Hour]:[Hour]]&gt;=BN$2),1,0)</f>
        <v>0</v>
      </c>
      <c r="BO56" s="329" t="n">
        <f aca="false" t="array" ref="BO56:BO56">IF(AND(BO$2&lt;&gt;0,TblTech[[#This Row],[Hour]:[Hour]]&gt;=BO$2),1,0)</f>
        <v>0</v>
      </c>
      <c r="BP56" s="329" t="n">
        <f aca="false" t="array" ref="BP56:BP56">IF(AND(BP$2&lt;&gt;0,TblTech[[#This Row],[Hour]:[Hour]]&gt;=BP$2),1,0)</f>
        <v>0</v>
      </c>
      <c r="BQ56" s="329" t="n">
        <f aca="false" t="array" ref="BQ56:BQ56">IF(AND(BQ$2&lt;&gt;0,TblTech[[#This Row],[Hour]:[Hour]]&gt;=BQ$2),1,0)</f>
        <v>0</v>
      </c>
      <c r="BR56" s="329" t="n">
        <f aca="false" t="array" ref="BR56:BR56">IF(AND(BR$2&lt;&gt;0,TblTech[[#This Row],[Hour]:[Hour]]&gt;=BR$2),1,0)</f>
        <v>0</v>
      </c>
      <c r="BS56" s="329" t="n">
        <f aca="false" t="array" ref="BS56:BS56">IF(AND(BS$2&lt;&gt;0,TblTech[[#This Row],[Hour]:[Hour]]&gt;=BS$2),1,0)</f>
        <v>0</v>
      </c>
      <c r="BT56" s="329" t="n">
        <f aca="false" t="array" ref="BT56:BT56">IF(AND(BT$2&lt;&gt;0,TblTech[[#This Row],[Hour]:[Hour]]&gt;=BT$2),1,0)</f>
        <v>0</v>
      </c>
      <c r="BU56" s="329" t="n">
        <f aca="false" t="array" ref="BU56:BU56">IF(AND(BU$2&lt;&gt;0,TblTech[[#This Row],[Hour]:[Hour]]&gt;=BU$2),1,0)</f>
        <v>0</v>
      </c>
      <c r="BV56" s="329" t="n">
        <f aca="false" t="array" ref="BV56:BV56">IF(AND(BV$2&lt;&gt;0,TblTech[[#This Row],[Hour]:[Hour]]&gt;=BV$2),1,0)</f>
        <v>0</v>
      </c>
      <c r="BW56" s="329" t="n">
        <f aca="false" t="array" ref="BW56:BW56">IF(AND(BW$2&lt;&gt;0,TblTech[[#This Row],[Hour]:[Hour]]&gt;=BW$2),1,0)</f>
        <v>0</v>
      </c>
      <c r="BX56" s="329" t="n">
        <f aca="false" t="array" ref="BX56:BX56">IF(AND(BX$2&lt;&gt;0,TblTech[[#This Row],[Hour]:[Hour]]&gt;=BX$2),1,0)</f>
        <v>0</v>
      </c>
      <c r="BY56" s="329" t="n">
        <f aca="false" t="array" ref="BY56:BY56">IF(AND(BY$2&lt;&gt;0,TblTech[[#This Row],[Hour]:[Hour]]&gt;=BY$2),1,0)</f>
        <v>0</v>
      </c>
      <c r="BZ56" s="329" t="n">
        <f aca="false" t="array" ref="BZ56:BZ56">IF(AND(BZ$2&lt;&gt;0,TblTech[[#This Row],[Hour]:[Hour]]&gt;=BZ$2),1,0)</f>
        <v>0</v>
      </c>
      <c r="CA56" s="330" t="n">
        <f aca="false">IFERROR(INDEX($H$4:$H$79,MATCH(INDEX(TblTech[[#Headers],[1-1]:[11-1]],1,MATCH(TblTech[[#This Row],[Hour]],$M$2:$BZ$2,0)),$G$4:$G$79,0)),)</f>
        <v>0</v>
      </c>
    </row>
    <row r="57" customFormat="false" ht="12.75" hidden="false" customHeight="false" outlineLevel="0" collapsed="false">
      <c r="A57" s="321" t="n">
        <f aca="false">TblRezone[[#This Row],[Hour]]</f>
        <v>54</v>
      </c>
      <c r="B57" s="322" t="n">
        <f aca="false">TblExplore[[#This Row],[Land-DB]]</f>
        <v>692</v>
      </c>
      <c r="C57" s="323" t="n">
        <f aca="false">TblProd[[#This Row],[Techpoints]]</f>
        <v>700</v>
      </c>
      <c r="D57" s="323" t="n">
        <f aca="false">TblProd[[#This Row],[Required]]</f>
        <v>3750</v>
      </c>
      <c r="E57" s="324"/>
      <c r="F57" s="325"/>
      <c r="G57" s="326" t="s">
        <v>572</v>
      </c>
      <c r="H57" s="327" t="s">
        <v>683</v>
      </c>
      <c r="I57" s="326" t="s">
        <v>684</v>
      </c>
      <c r="J57" s="322"/>
      <c r="K57" s="68" t="n">
        <f aca="false">IF(TblTech[[#This Row],[Sum of tech]]&lt;&gt;OFFSET(TblTech[[#This Row],[Sum of tech]],-1,0),1,0)</f>
        <v>0</v>
      </c>
      <c r="L57" s="328" t="n">
        <f aca="false">COUNTIF(TblTech[[#This Row],[1-1]:[11-1]],1)</f>
        <v>0</v>
      </c>
      <c r="M57" s="329" t="n">
        <f aca="false" t="array" ref="M57:M57">IF(AND(M$2&lt;&gt;0,TblTech[[#This Row],[Hour]:[Hour]]&gt;=M$2),1,0)</f>
        <v>0</v>
      </c>
      <c r="N57" s="329" t="n">
        <f aca="false" t="array" ref="N57:N57">IF(AND(N$2&lt;&gt;0,TblTech[[#This Row],[Hour]:[Hour]]&gt;=N$2),1,0)</f>
        <v>0</v>
      </c>
      <c r="O57" s="329" t="n">
        <f aca="false" t="array" ref="O57:O57">IF(AND(O$2&lt;&gt;0,TblTech[[#This Row],[Hour]:[Hour]]&gt;=O$2),1,0)</f>
        <v>0</v>
      </c>
      <c r="P57" s="329" t="n">
        <f aca="false" t="array" ref="P57:P57">IF(AND(P$2&lt;&gt;0,TblTech[[#This Row],[Hour]:[Hour]]&gt;=P$2),1,0)</f>
        <v>0</v>
      </c>
      <c r="Q57" s="329" t="n">
        <f aca="false" t="array" ref="Q57:Q57">IF(AND(Q$2&lt;&gt;0,TblTech[[#This Row],[Hour]:[Hour]]&gt;=Q$2),1,0)</f>
        <v>0</v>
      </c>
      <c r="R57" s="329" t="n">
        <f aca="false" t="array" ref="R57:R57">IF(AND(R$2&lt;&gt;0,TblTech[[#This Row],[Hour]:[Hour]]&gt;=R$2),1,0)</f>
        <v>0</v>
      </c>
      <c r="S57" s="329" t="n">
        <f aca="false" t="array" ref="S57:S57">IF(AND(S$2&lt;&gt;0,TblTech[[#This Row],[Hour]:[Hour]]&gt;=S$2),1,0)</f>
        <v>0</v>
      </c>
      <c r="T57" s="329" t="n">
        <f aca="false" t="array" ref="T57:T57">IF(AND(T$2&lt;&gt;0,TblTech[[#This Row],[Hour]:[Hour]]&gt;=T$2),1,0)</f>
        <v>0</v>
      </c>
      <c r="U57" s="329" t="n">
        <f aca="false" t="array" ref="U57:U57">IF(AND(U$2&lt;&gt;0,TblTech[[#This Row],[Hour]:[Hour]]&gt;=U$2),1,0)</f>
        <v>0</v>
      </c>
      <c r="V57" s="329" t="n">
        <f aca="false" t="array" ref="V57:V57">IF(AND(V$2&lt;&gt;0,TblTech[[#This Row],[Hour]:[Hour]]&gt;=V$2),1,0)</f>
        <v>0</v>
      </c>
      <c r="W57" s="329" t="n">
        <f aca="false" t="array" ref="W57:W57">IF(AND(W$2&lt;&gt;0,TblTech[[#This Row],[Hour]:[Hour]]&gt;=W$2),1,0)</f>
        <v>0</v>
      </c>
      <c r="X57" s="329" t="n">
        <f aca="false" t="array" ref="X57:X57">IF(AND(X$2&lt;&gt;0,TblTech[[#This Row],[Hour]:[Hour]]&gt;=X$2),1,0)</f>
        <v>0</v>
      </c>
      <c r="Y57" s="329" t="n">
        <f aca="false" t="array" ref="Y57:Y57">IF(AND(Y$2&lt;&gt;0,TblTech[[#This Row],[Hour]:[Hour]]&gt;=Y$2),1,0)</f>
        <v>0</v>
      </c>
      <c r="Z57" s="329" t="n">
        <f aca="false" t="array" ref="Z57:Z57">IF(AND(Z$2&lt;&gt;0,TblTech[[#This Row],[Hour]:[Hour]]&gt;=Z$2),1,0)</f>
        <v>0</v>
      </c>
      <c r="AA57" s="329" t="n">
        <f aca="false" t="array" ref="AA57:AA57">IF(AND(AA$2&lt;&gt;0,TblTech[[#This Row],[Hour]:[Hour]]&gt;=AA$2),1,0)</f>
        <v>0</v>
      </c>
      <c r="AB57" s="329" t="n">
        <f aca="false" t="array" ref="AB57:AB57">IF(AND(AB$2&lt;&gt;0,TblTech[[#This Row],[Hour]:[Hour]]&gt;=AB$2),1,0)</f>
        <v>0</v>
      </c>
      <c r="AC57" s="329" t="n">
        <f aca="false" t="array" ref="AC57:AC57">IF(AND(AC$2&lt;&gt;0,TblTech[[#This Row],[Hour]:[Hour]]&gt;=AC$2),1,0)</f>
        <v>0</v>
      </c>
      <c r="AD57" s="329" t="n">
        <f aca="false" t="array" ref="AD57:AD57">IF(AND(AD$2&lt;&gt;0,TblTech[[#This Row],[Hour]:[Hour]]&gt;=AD$2),1,0)</f>
        <v>0</v>
      </c>
      <c r="AE57" s="329" t="n">
        <f aca="false" t="array" ref="AE57:AE57">IF(AND(AE$2&lt;&gt;0,TblTech[[#This Row],[Hour]:[Hour]]&gt;=AE$2),1,0)</f>
        <v>0</v>
      </c>
      <c r="AF57" s="329" t="n">
        <f aca="false" t="array" ref="AF57:AF57">IF(AND(AF$2&lt;&gt;0,TblTech[[#This Row],[Hour]:[Hour]]&gt;=AF$2),1,0)</f>
        <v>0</v>
      </c>
      <c r="AG57" s="329" t="n">
        <f aca="false" t="array" ref="AG57:AG57">IF(AND(AG$2&lt;&gt;0,TblTech[[#This Row],[Hour]:[Hour]]&gt;=AG$2),1,0)</f>
        <v>0</v>
      </c>
      <c r="AH57" s="329" t="n">
        <f aca="false" t="array" ref="AH57:AH57">IF(AND(AH$2&lt;&gt;0,TblTech[[#This Row],[Hour]:[Hour]]&gt;=AH$2),1,0)</f>
        <v>0</v>
      </c>
      <c r="AI57" s="329" t="n">
        <f aca="false" t="array" ref="AI57:AI57">IF(AND(AI$2&lt;&gt;0,TblTech[[#This Row],[Hour]:[Hour]]&gt;=AI$2),1,0)</f>
        <v>0</v>
      </c>
      <c r="AJ57" s="329" t="n">
        <f aca="false" t="array" ref="AJ57:AJ57">IF(AND(AJ$2&lt;&gt;0,TblTech[[#This Row],[Hour]:[Hour]]&gt;=AJ$2),1,0)</f>
        <v>0</v>
      </c>
      <c r="AK57" s="329" t="n">
        <f aca="false" t="array" ref="AK57:AK57">IF(AND(AK$2&lt;&gt;0,TblTech[[#This Row],[Hour]:[Hour]]&gt;=AK$2),1,0)</f>
        <v>0</v>
      </c>
      <c r="AL57" s="329" t="n">
        <f aca="false" t="array" ref="AL57:AL57">IF(AND(AL$2&lt;&gt;0,TblTech[[#This Row],[Hour]:[Hour]]&gt;=AL$2),1,0)</f>
        <v>0</v>
      </c>
      <c r="AM57" s="329" t="n">
        <f aca="false" t="array" ref="AM57:AM57">IF(AND(AM$2&lt;&gt;0,TblTech[[#This Row],[Hour]:[Hour]]&gt;=AM$2),1,0)</f>
        <v>0</v>
      </c>
      <c r="AN57" s="329" t="n">
        <f aca="false" t="array" ref="AN57:AN57">IF(AND(AN$2&lt;&gt;0,TblTech[[#This Row],[Hour]:[Hour]]&gt;=AN$2),1,0)</f>
        <v>0</v>
      </c>
      <c r="AO57" s="329" t="n">
        <f aca="false" t="array" ref="AO57:AO57">IF(AND(AO$2&lt;&gt;0,TblTech[[#This Row],[Hour]:[Hour]]&gt;=AO$2),1,0)</f>
        <v>0</v>
      </c>
      <c r="AP57" s="329" t="n">
        <f aca="false" t="array" ref="AP57:AP57">IF(AND(AP$2&lt;&gt;0,TblTech[[#This Row],[Hour]:[Hour]]&gt;=AP$2),1,0)</f>
        <v>0</v>
      </c>
      <c r="AQ57" s="329" t="n">
        <f aca="false" t="array" ref="AQ57:AQ57">IF(AND(AQ$2&lt;&gt;0,TblTech[[#This Row],[Hour]:[Hour]]&gt;=AQ$2),1,0)</f>
        <v>0</v>
      </c>
      <c r="AR57" s="329" t="n">
        <f aca="false" t="array" ref="AR57:AR57">IF(AND(AR$2&lt;&gt;0,TblTech[[#This Row],[Hour]:[Hour]]&gt;=AR$2),1,0)</f>
        <v>0</v>
      </c>
      <c r="AS57" s="329" t="n">
        <f aca="false" t="array" ref="AS57:AS57">IF(AND(AS$2&lt;&gt;0,TblTech[[#This Row],[Hour]:[Hour]]&gt;=AS$2),1,0)</f>
        <v>0</v>
      </c>
      <c r="AT57" s="329" t="n">
        <f aca="false" t="array" ref="AT57:AT57">IF(AND(AT$2&lt;&gt;0,TblTech[[#This Row],[Hour]:[Hour]]&gt;=AT$2),1,0)</f>
        <v>0</v>
      </c>
      <c r="AU57" s="329" t="n">
        <f aca="false" t="array" ref="AU57:AU57">IF(AND(AU$2&lt;&gt;0,TblTech[[#This Row],[Hour]:[Hour]]&gt;=AU$2),1,0)</f>
        <v>0</v>
      </c>
      <c r="AV57" s="329" t="n">
        <f aca="false" t="array" ref="AV57:AV57">IF(AND(AV$2&lt;&gt;0,TblTech[[#This Row],[Hour]:[Hour]]&gt;=AV$2),1,0)</f>
        <v>0</v>
      </c>
      <c r="AW57" s="329" t="n">
        <f aca="false" t="array" ref="AW57:AW57">IF(AND(AW$2&lt;&gt;0,TblTech[[#This Row],[Hour]:[Hour]]&gt;=AW$2),1,0)</f>
        <v>0</v>
      </c>
      <c r="AX57" s="329" t="n">
        <f aca="false" t="array" ref="AX57:AX57">IF(AND(AX$2&lt;&gt;0,TblTech[[#This Row],[Hour]:[Hour]]&gt;=AX$2),1,0)</f>
        <v>0</v>
      </c>
      <c r="AY57" s="329" t="n">
        <f aca="false" t="array" ref="AY57:AY57">IF(AND(AY$2&lt;&gt;0,TblTech[[#This Row],[Hour]:[Hour]]&gt;=AY$2),1,0)</f>
        <v>0</v>
      </c>
      <c r="AZ57" s="329" t="n">
        <f aca="false" t="array" ref="AZ57:AZ57">IF(AND(AZ$2&lt;&gt;0,TblTech[[#This Row],[Hour]:[Hour]]&gt;=AZ$2),1,0)</f>
        <v>0</v>
      </c>
      <c r="BA57" s="329" t="n">
        <f aca="false" t="array" ref="BA57:BA57">IF(AND(BA$2&lt;&gt;0,TblTech[[#This Row],[Hour]:[Hour]]&gt;=BA$2),1,0)</f>
        <v>0</v>
      </c>
      <c r="BB57" s="329" t="n">
        <f aca="false" t="array" ref="BB57:BB57">IF(AND(BB$2&lt;&gt;0,TblTech[[#This Row],[Hour]:[Hour]]&gt;=BB$2),1,0)</f>
        <v>0</v>
      </c>
      <c r="BC57" s="329" t="n">
        <f aca="false" t="array" ref="BC57:BC57">IF(AND(BC$2&lt;&gt;0,TblTech[[#This Row],[Hour]:[Hour]]&gt;=BC$2),1,0)</f>
        <v>0</v>
      </c>
      <c r="BD57" s="329" t="n">
        <f aca="false" t="array" ref="BD57:BD57">IF(AND(BD$2&lt;&gt;0,TblTech[[#This Row],[Hour]:[Hour]]&gt;=BD$2),1,0)</f>
        <v>0</v>
      </c>
      <c r="BE57" s="329" t="n">
        <f aca="false" t="array" ref="BE57:BE57">IF(AND(BE$2&lt;&gt;0,TblTech[[#This Row],[Hour]:[Hour]]&gt;=BE$2),1,0)</f>
        <v>0</v>
      </c>
      <c r="BF57" s="329" t="n">
        <f aca="false" t="array" ref="BF57:BF57">IF(AND(BF$2&lt;&gt;0,TblTech[[#This Row],[Hour]:[Hour]]&gt;=BF$2),1,0)</f>
        <v>0</v>
      </c>
      <c r="BG57" s="329" t="n">
        <f aca="false" t="array" ref="BG57:BG57">IF(AND(BG$2&lt;&gt;0,TblTech[[#This Row],[Hour]:[Hour]]&gt;=BG$2),1,0)</f>
        <v>0</v>
      </c>
      <c r="BH57" s="329" t="n">
        <f aca="false" t="array" ref="BH57:BH57">IF(AND(BH$2&lt;&gt;0,TblTech[[#This Row],[Hour]:[Hour]]&gt;=BH$2),1,0)</f>
        <v>0</v>
      </c>
      <c r="BI57" s="329" t="n">
        <f aca="false" t="array" ref="BI57:BI57">IF(AND(BI$2&lt;&gt;0,TblTech[[#This Row],[Hour]:[Hour]]&gt;=BI$2),1,0)</f>
        <v>0</v>
      </c>
      <c r="BJ57" s="329" t="n">
        <f aca="false" t="array" ref="BJ57:BJ57">IF(AND(BJ$2&lt;&gt;0,TblTech[[#This Row],[Hour]:[Hour]]&gt;=BJ$2),1,0)</f>
        <v>0</v>
      </c>
      <c r="BK57" s="329" t="n">
        <f aca="false" t="array" ref="BK57:BK57">IF(AND(BK$2&lt;&gt;0,TblTech[[#This Row],[Hour]:[Hour]]&gt;=BK$2),1,0)</f>
        <v>0</v>
      </c>
      <c r="BL57" s="329" t="n">
        <f aca="false" t="array" ref="BL57:BL57">IF(AND(BL$2&lt;&gt;0,TblTech[[#This Row],[Hour]:[Hour]]&gt;=BL$2),1,0)</f>
        <v>0</v>
      </c>
      <c r="BM57" s="329" t="n">
        <f aca="false" t="array" ref="BM57:BM57">IF(AND(BM$2&lt;&gt;0,TblTech[[#This Row],[Hour]:[Hour]]&gt;=BM$2),1,0)</f>
        <v>0</v>
      </c>
      <c r="BN57" s="329" t="n">
        <f aca="false" t="array" ref="BN57:BN57">IF(AND(BN$2&lt;&gt;0,TblTech[[#This Row],[Hour]:[Hour]]&gt;=BN$2),1,0)</f>
        <v>0</v>
      </c>
      <c r="BO57" s="329" t="n">
        <f aca="false" t="array" ref="BO57:BO57">IF(AND(BO$2&lt;&gt;0,TblTech[[#This Row],[Hour]:[Hour]]&gt;=BO$2),1,0)</f>
        <v>0</v>
      </c>
      <c r="BP57" s="329" t="n">
        <f aca="false" t="array" ref="BP57:BP57">IF(AND(BP$2&lt;&gt;0,TblTech[[#This Row],[Hour]:[Hour]]&gt;=BP$2),1,0)</f>
        <v>0</v>
      </c>
      <c r="BQ57" s="329" t="n">
        <f aca="false" t="array" ref="BQ57:BQ57">IF(AND(BQ$2&lt;&gt;0,TblTech[[#This Row],[Hour]:[Hour]]&gt;=BQ$2),1,0)</f>
        <v>0</v>
      </c>
      <c r="BR57" s="329" t="n">
        <f aca="false" t="array" ref="BR57:BR57">IF(AND(BR$2&lt;&gt;0,TblTech[[#This Row],[Hour]:[Hour]]&gt;=BR$2),1,0)</f>
        <v>0</v>
      </c>
      <c r="BS57" s="329" t="n">
        <f aca="false" t="array" ref="BS57:BS57">IF(AND(BS$2&lt;&gt;0,TblTech[[#This Row],[Hour]:[Hour]]&gt;=BS$2),1,0)</f>
        <v>0</v>
      </c>
      <c r="BT57" s="329" t="n">
        <f aca="false" t="array" ref="BT57:BT57">IF(AND(BT$2&lt;&gt;0,TblTech[[#This Row],[Hour]:[Hour]]&gt;=BT$2),1,0)</f>
        <v>0</v>
      </c>
      <c r="BU57" s="329" t="n">
        <f aca="false" t="array" ref="BU57:BU57">IF(AND(BU$2&lt;&gt;0,TblTech[[#This Row],[Hour]:[Hour]]&gt;=BU$2),1,0)</f>
        <v>0</v>
      </c>
      <c r="BV57" s="329" t="n">
        <f aca="false" t="array" ref="BV57:BV57">IF(AND(BV$2&lt;&gt;0,TblTech[[#This Row],[Hour]:[Hour]]&gt;=BV$2),1,0)</f>
        <v>0</v>
      </c>
      <c r="BW57" s="329" t="n">
        <f aca="false" t="array" ref="BW57:BW57">IF(AND(BW$2&lt;&gt;0,TblTech[[#This Row],[Hour]:[Hour]]&gt;=BW$2),1,0)</f>
        <v>0</v>
      </c>
      <c r="BX57" s="329" t="n">
        <f aca="false" t="array" ref="BX57:BX57">IF(AND(BX$2&lt;&gt;0,TblTech[[#This Row],[Hour]:[Hour]]&gt;=BX$2),1,0)</f>
        <v>0</v>
      </c>
      <c r="BY57" s="329" t="n">
        <f aca="false" t="array" ref="BY57:BY57">IF(AND(BY$2&lt;&gt;0,TblTech[[#This Row],[Hour]:[Hour]]&gt;=BY$2),1,0)</f>
        <v>0</v>
      </c>
      <c r="BZ57" s="329" t="n">
        <f aca="false" t="array" ref="BZ57:BZ57">IF(AND(BZ$2&lt;&gt;0,TblTech[[#This Row],[Hour]:[Hour]]&gt;=BZ$2),1,0)</f>
        <v>0</v>
      </c>
      <c r="CA57" s="330" t="n">
        <f aca="false">IFERROR(INDEX($H$4:$H$79,MATCH(INDEX(TblTech[[#Headers],[1-1]:[11-1]],1,MATCH(TblTech[[#This Row],[Hour]],$M$2:$BZ$2,0)),$G$4:$G$79,0)),)</f>
        <v>0</v>
      </c>
    </row>
    <row r="58" customFormat="false" ht="12.75" hidden="false" customHeight="false" outlineLevel="0" collapsed="false">
      <c r="A58" s="321" t="n">
        <f aca="false">TblRezone[[#This Row],[Hour]]</f>
        <v>55</v>
      </c>
      <c r="B58" s="322" t="n">
        <f aca="false">TblExplore[[#This Row],[Land-DB]]</f>
        <v>700</v>
      </c>
      <c r="C58" s="323" t="n">
        <f aca="false">TblProd[[#This Row],[Techpoints]]</f>
        <v>700</v>
      </c>
      <c r="D58" s="323" t="n">
        <f aca="false">TblProd[[#This Row],[Required]]</f>
        <v>3750</v>
      </c>
      <c r="E58" s="324"/>
      <c r="F58" s="325"/>
      <c r="G58" s="326" t="s">
        <v>573</v>
      </c>
      <c r="H58" s="327" t="s">
        <v>685</v>
      </c>
      <c r="I58" s="326" t="s">
        <v>686</v>
      </c>
      <c r="J58" s="322"/>
      <c r="K58" s="68" t="n">
        <f aca="false">IF(TblTech[[#This Row],[Sum of tech]]&lt;&gt;OFFSET(TblTech[[#This Row],[Sum of tech]],-1,0),1,0)</f>
        <v>0</v>
      </c>
      <c r="L58" s="328" t="n">
        <f aca="false">COUNTIF(TblTech[[#This Row],[1-1]:[11-1]],1)</f>
        <v>0</v>
      </c>
      <c r="M58" s="329" t="n">
        <f aca="false" t="array" ref="M58:M58">IF(AND(M$2&lt;&gt;0,TblTech[[#This Row],[Hour]:[Hour]]&gt;=M$2),1,0)</f>
        <v>0</v>
      </c>
      <c r="N58" s="329" t="n">
        <f aca="false" t="array" ref="N58:N58">IF(AND(N$2&lt;&gt;0,TblTech[[#This Row],[Hour]:[Hour]]&gt;=N$2),1,0)</f>
        <v>0</v>
      </c>
      <c r="O58" s="329" t="n">
        <f aca="false" t="array" ref="O58:O58">IF(AND(O$2&lt;&gt;0,TblTech[[#This Row],[Hour]:[Hour]]&gt;=O$2),1,0)</f>
        <v>0</v>
      </c>
      <c r="P58" s="329" t="n">
        <f aca="false" t="array" ref="P58:P58">IF(AND(P$2&lt;&gt;0,TblTech[[#This Row],[Hour]:[Hour]]&gt;=P$2),1,0)</f>
        <v>0</v>
      </c>
      <c r="Q58" s="329" t="n">
        <f aca="false" t="array" ref="Q58:Q58">IF(AND(Q$2&lt;&gt;0,TblTech[[#This Row],[Hour]:[Hour]]&gt;=Q$2),1,0)</f>
        <v>0</v>
      </c>
      <c r="R58" s="329" t="n">
        <f aca="false" t="array" ref="R58:R58">IF(AND(R$2&lt;&gt;0,TblTech[[#This Row],[Hour]:[Hour]]&gt;=R$2),1,0)</f>
        <v>0</v>
      </c>
      <c r="S58" s="329" t="n">
        <f aca="false" t="array" ref="S58:S58">IF(AND(S$2&lt;&gt;0,TblTech[[#This Row],[Hour]:[Hour]]&gt;=S$2),1,0)</f>
        <v>0</v>
      </c>
      <c r="T58" s="329" t="n">
        <f aca="false" t="array" ref="T58:T58">IF(AND(T$2&lt;&gt;0,TblTech[[#This Row],[Hour]:[Hour]]&gt;=T$2),1,0)</f>
        <v>0</v>
      </c>
      <c r="U58" s="329" t="n">
        <f aca="false" t="array" ref="U58:U58">IF(AND(U$2&lt;&gt;0,TblTech[[#This Row],[Hour]:[Hour]]&gt;=U$2),1,0)</f>
        <v>0</v>
      </c>
      <c r="V58" s="329" t="n">
        <f aca="false" t="array" ref="V58:V58">IF(AND(V$2&lt;&gt;0,TblTech[[#This Row],[Hour]:[Hour]]&gt;=V$2),1,0)</f>
        <v>0</v>
      </c>
      <c r="W58" s="329" t="n">
        <f aca="false" t="array" ref="W58:W58">IF(AND(W$2&lt;&gt;0,TblTech[[#This Row],[Hour]:[Hour]]&gt;=W$2),1,0)</f>
        <v>0</v>
      </c>
      <c r="X58" s="329" t="n">
        <f aca="false" t="array" ref="X58:X58">IF(AND(X$2&lt;&gt;0,TblTech[[#This Row],[Hour]:[Hour]]&gt;=X$2),1,0)</f>
        <v>0</v>
      </c>
      <c r="Y58" s="329" t="n">
        <f aca="false" t="array" ref="Y58:Y58">IF(AND(Y$2&lt;&gt;0,TblTech[[#This Row],[Hour]:[Hour]]&gt;=Y$2),1,0)</f>
        <v>0</v>
      </c>
      <c r="Z58" s="329" t="n">
        <f aca="false" t="array" ref="Z58:Z58">IF(AND(Z$2&lt;&gt;0,TblTech[[#This Row],[Hour]:[Hour]]&gt;=Z$2),1,0)</f>
        <v>0</v>
      </c>
      <c r="AA58" s="329" t="n">
        <f aca="false" t="array" ref="AA58:AA58">IF(AND(AA$2&lt;&gt;0,TblTech[[#This Row],[Hour]:[Hour]]&gt;=AA$2),1,0)</f>
        <v>0</v>
      </c>
      <c r="AB58" s="329" t="n">
        <f aca="false" t="array" ref="AB58:AB58">IF(AND(AB$2&lt;&gt;0,TblTech[[#This Row],[Hour]:[Hour]]&gt;=AB$2),1,0)</f>
        <v>0</v>
      </c>
      <c r="AC58" s="329" t="n">
        <f aca="false" t="array" ref="AC58:AC58">IF(AND(AC$2&lt;&gt;0,TblTech[[#This Row],[Hour]:[Hour]]&gt;=AC$2),1,0)</f>
        <v>0</v>
      </c>
      <c r="AD58" s="329" t="n">
        <f aca="false" t="array" ref="AD58:AD58">IF(AND(AD$2&lt;&gt;0,TblTech[[#This Row],[Hour]:[Hour]]&gt;=AD$2),1,0)</f>
        <v>0</v>
      </c>
      <c r="AE58" s="329" t="n">
        <f aca="false" t="array" ref="AE58:AE58">IF(AND(AE$2&lt;&gt;0,TblTech[[#This Row],[Hour]:[Hour]]&gt;=AE$2),1,0)</f>
        <v>0</v>
      </c>
      <c r="AF58" s="329" t="n">
        <f aca="false" t="array" ref="AF58:AF58">IF(AND(AF$2&lt;&gt;0,TblTech[[#This Row],[Hour]:[Hour]]&gt;=AF$2),1,0)</f>
        <v>0</v>
      </c>
      <c r="AG58" s="329" t="n">
        <f aca="false" t="array" ref="AG58:AG58">IF(AND(AG$2&lt;&gt;0,TblTech[[#This Row],[Hour]:[Hour]]&gt;=AG$2),1,0)</f>
        <v>0</v>
      </c>
      <c r="AH58" s="329" t="n">
        <f aca="false" t="array" ref="AH58:AH58">IF(AND(AH$2&lt;&gt;0,TblTech[[#This Row],[Hour]:[Hour]]&gt;=AH$2),1,0)</f>
        <v>0</v>
      </c>
      <c r="AI58" s="329" t="n">
        <f aca="false" t="array" ref="AI58:AI58">IF(AND(AI$2&lt;&gt;0,TblTech[[#This Row],[Hour]:[Hour]]&gt;=AI$2),1,0)</f>
        <v>0</v>
      </c>
      <c r="AJ58" s="329" t="n">
        <f aca="false" t="array" ref="AJ58:AJ58">IF(AND(AJ$2&lt;&gt;0,TblTech[[#This Row],[Hour]:[Hour]]&gt;=AJ$2),1,0)</f>
        <v>0</v>
      </c>
      <c r="AK58" s="329" t="n">
        <f aca="false" t="array" ref="AK58:AK58">IF(AND(AK$2&lt;&gt;0,TblTech[[#This Row],[Hour]:[Hour]]&gt;=AK$2),1,0)</f>
        <v>0</v>
      </c>
      <c r="AL58" s="329" t="n">
        <f aca="false" t="array" ref="AL58:AL58">IF(AND(AL$2&lt;&gt;0,TblTech[[#This Row],[Hour]:[Hour]]&gt;=AL$2),1,0)</f>
        <v>0</v>
      </c>
      <c r="AM58" s="329" t="n">
        <f aca="false" t="array" ref="AM58:AM58">IF(AND(AM$2&lt;&gt;0,TblTech[[#This Row],[Hour]:[Hour]]&gt;=AM$2),1,0)</f>
        <v>0</v>
      </c>
      <c r="AN58" s="329" t="n">
        <f aca="false" t="array" ref="AN58:AN58">IF(AND(AN$2&lt;&gt;0,TblTech[[#This Row],[Hour]:[Hour]]&gt;=AN$2),1,0)</f>
        <v>0</v>
      </c>
      <c r="AO58" s="329" t="n">
        <f aca="false" t="array" ref="AO58:AO58">IF(AND(AO$2&lt;&gt;0,TblTech[[#This Row],[Hour]:[Hour]]&gt;=AO$2),1,0)</f>
        <v>0</v>
      </c>
      <c r="AP58" s="329" t="n">
        <f aca="false" t="array" ref="AP58:AP58">IF(AND(AP$2&lt;&gt;0,TblTech[[#This Row],[Hour]:[Hour]]&gt;=AP$2),1,0)</f>
        <v>0</v>
      </c>
      <c r="AQ58" s="329" t="n">
        <f aca="false" t="array" ref="AQ58:AQ58">IF(AND(AQ$2&lt;&gt;0,TblTech[[#This Row],[Hour]:[Hour]]&gt;=AQ$2),1,0)</f>
        <v>0</v>
      </c>
      <c r="AR58" s="329" t="n">
        <f aca="false" t="array" ref="AR58:AR58">IF(AND(AR$2&lt;&gt;0,TblTech[[#This Row],[Hour]:[Hour]]&gt;=AR$2),1,0)</f>
        <v>0</v>
      </c>
      <c r="AS58" s="329" t="n">
        <f aca="false" t="array" ref="AS58:AS58">IF(AND(AS$2&lt;&gt;0,TblTech[[#This Row],[Hour]:[Hour]]&gt;=AS$2),1,0)</f>
        <v>0</v>
      </c>
      <c r="AT58" s="329" t="n">
        <f aca="false" t="array" ref="AT58:AT58">IF(AND(AT$2&lt;&gt;0,TblTech[[#This Row],[Hour]:[Hour]]&gt;=AT$2),1,0)</f>
        <v>0</v>
      </c>
      <c r="AU58" s="329" t="n">
        <f aca="false" t="array" ref="AU58:AU58">IF(AND(AU$2&lt;&gt;0,TblTech[[#This Row],[Hour]:[Hour]]&gt;=AU$2),1,0)</f>
        <v>0</v>
      </c>
      <c r="AV58" s="329" t="n">
        <f aca="false" t="array" ref="AV58:AV58">IF(AND(AV$2&lt;&gt;0,TblTech[[#This Row],[Hour]:[Hour]]&gt;=AV$2),1,0)</f>
        <v>0</v>
      </c>
      <c r="AW58" s="329" t="n">
        <f aca="false" t="array" ref="AW58:AW58">IF(AND(AW$2&lt;&gt;0,TblTech[[#This Row],[Hour]:[Hour]]&gt;=AW$2),1,0)</f>
        <v>0</v>
      </c>
      <c r="AX58" s="329" t="n">
        <f aca="false" t="array" ref="AX58:AX58">IF(AND(AX$2&lt;&gt;0,TblTech[[#This Row],[Hour]:[Hour]]&gt;=AX$2),1,0)</f>
        <v>0</v>
      </c>
      <c r="AY58" s="329" t="n">
        <f aca="false" t="array" ref="AY58:AY58">IF(AND(AY$2&lt;&gt;0,TblTech[[#This Row],[Hour]:[Hour]]&gt;=AY$2),1,0)</f>
        <v>0</v>
      </c>
      <c r="AZ58" s="329" t="n">
        <f aca="false" t="array" ref="AZ58:AZ58">IF(AND(AZ$2&lt;&gt;0,TblTech[[#This Row],[Hour]:[Hour]]&gt;=AZ$2),1,0)</f>
        <v>0</v>
      </c>
      <c r="BA58" s="329" t="n">
        <f aca="false" t="array" ref="BA58:BA58">IF(AND(BA$2&lt;&gt;0,TblTech[[#This Row],[Hour]:[Hour]]&gt;=BA$2),1,0)</f>
        <v>0</v>
      </c>
      <c r="BB58" s="329" t="n">
        <f aca="false" t="array" ref="BB58:BB58">IF(AND(BB$2&lt;&gt;0,TblTech[[#This Row],[Hour]:[Hour]]&gt;=BB$2),1,0)</f>
        <v>0</v>
      </c>
      <c r="BC58" s="329" t="n">
        <f aca="false" t="array" ref="BC58:BC58">IF(AND(BC$2&lt;&gt;0,TblTech[[#This Row],[Hour]:[Hour]]&gt;=BC$2),1,0)</f>
        <v>0</v>
      </c>
      <c r="BD58" s="329" t="n">
        <f aca="false" t="array" ref="BD58:BD58">IF(AND(BD$2&lt;&gt;0,TblTech[[#This Row],[Hour]:[Hour]]&gt;=BD$2),1,0)</f>
        <v>0</v>
      </c>
      <c r="BE58" s="329" t="n">
        <f aca="false" t="array" ref="BE58:BE58">IF(AND(BE$2&lt;&gt;0,TblTech[[#This Row],[Hour]:[Hour]]&gt;=BE$2),1,0)</f>
        <v>0</v>
      </c>
      <c r="BF58" s="329" t="n">
        <f aca="false" t="array" ref="BF58:BF58">IF(AND(BF$2&lt;&gt;0,TblTech[[#This Row],[Hour]:[Hour]]&gt;=BF$2),1,0)</f>
        <v>0</v>
      </c>
      <c r="BG58" s="329" t="n">
        <f aca="false" t="array" ref="BG58:BG58">IF(AND(BG$2&lt;&gt;0,TblTech[[#This Row],[Hour]:[Hour]]&gt;=BG$2),1,0)</f>
        <v>0</v>
      </c>
      <c r="BH58" s="329" t="n">
        <f aca="false" t="array" ref="BH58:BH58">IF(AND(BH$2&lt;&gt;0,TblTech[[#This Row],[Hour]:[Hour]]&gt;=BH$2),1,0)</f>
        <v>0</v>
      </c>
      <c r="BI58" s="329" t="n">
        <f aca="false" t="array" ref="BI58:BI58">IF(AND(BI$2&lt;&gt;0,TblTech[[#This Row],[Hour]:[Hour]]&gt;=BI$2),1,0)</f>
        <v>0</v>
      </c>
      <c r="BJ58" s="329" t="n">
        <f aca="false" t="array" ref="BJ58:BJ58">IF(AND(BJ$2&lt;&gt;0,TblTech[[#This Row],[Hour]:[Hour]]&gt;=BJ$2),1,0)</f>
        <v>0</v>
      </c>
      <c r="BK58" s="329" t="n">
        <f aca="false" t="array" ref="BK58:BK58">IF(AND(BK$2&lt;&gt;0,TblTech[[#This Row],[Hour]:[Hour]]&gt;=BK$2),1,0)</f>
        <v>0</v>
      </c>
      <c r="BL58" s="329" t="n">
        <f aca="false" t="array" ref="BL58:BL58">IF(AND(BL$2&lt;&gt;0,TblTech[[#This Row],[Hour]:[Hour]]&gt;=BL$2),1,0)</f>
        <v>0</v>
      </c>
      <c r="BM58" s="329" t="n">
        <f aca="false" t="array" ref="BM58:BM58">IF(AND(BM$2&lt;&gt;0,TblTech[[#This Row],[Hour]:[Hour]]&gt;=BM$2),1,0)</f>
        <v>0</v>
      </c>
      <c r="BN58" s="329" t="n">
        <f aca="false" t="array" ref="BN58:BN58">IF(AND(BN$2&lt;&gt;0,TblTech[[#This Row],[Hour]:[Hour]]&gt;=BN$2),1,0)</f>
        <v>0</v>
      </c>
      <c r="BO58" s="329" t="n">
        <f aca="false" t="array" ref="BO58:BO58">IF(AND(BO$2&lt;&gt;0,TblTech[[#This Row],[Hour]:[Hour]]&gt;=BO$2),1,0)</f>
        <v>0</v>
      </c>
      <c r="BP58" s="329" t="n">
        <f aca="false" t="array" ref="BP58:BP58">IF(AND(BP$2&lt;&gt;0,TblTech[[#This Row],[Hour]:[Hour]]&gt;=BP$2),1,0)</f>
        <v>0</v>
      </c>
      <c r="BQ58" s="329" t="n">
        <f aca="false" t="array" ref="BQ58:BQ58">IF(AND(BQ$2&lt;&gt;0,TblTech[[#This Row],[Hour]:[Hour]]&gt;=BQ$2),1,0)</f>
        <v>0</v>
      </c>
      <c r="BR58" s="329" t="n">
        <f aca="false" t="array" ref="BR58:BR58">IF(AND(BR$2&lt;&gt;0,TblTech[[#This Row],[Hour]:[Hour]]&gt;=BR$2),1,0)</f>
        <v>0</v>
      </c>
      <c r="BS58" s="329" t="n">
        <f aca="false" t="array" ref="BS58:BS58">IF(AND(BS$2&lt;&gt;0,TblTech[[#This Row],[Hour]:[Hour]]&gt;=BS$2),1,0)</f>
        <v>0</v>
      </c>
      <c r="BT58" s="329" t="n">
        <f aca="false" t="array" ref="BT58:BT58">IF(AND(BT$2&lt;&gt;0,TblTech[[#This Row],[Hour]:[Hour]]&gt;=BT$2),1,0)</f>
        <v>0</v>
      </c>
      <c r="BU58" s="329" t="n">
        <f aca="false" t="array" ref="BU58:BU58">IF(AND(BU$2&lt;&gt;0,TblTech[[#This Row],[Hour]:[Hour]]&gt;=BU$2),1,0)</f>
        <v>0</v>
      </c>
      <c r="BV58" s="329" t="n">
        <f aca="false" t="array" ref="BV58:BV58">IF(AND(BV$2&lt;&gt;0,TblTech[[#This Row],[Hour]:[Hour]]&gt;=BV$2),1,0)</f>
        <v>0</v>
      </c>
      <c r="BW58" s="329" t="n">
        <f aca="false" t="array" ref="BW58:BW58">IF(AND(BW$2&lt;&gt;0,TblTech[[#This Row],[Hour]:[Hour]]&gt;=BW$2),1,0)</f>
        <v>0</v>
      </c>
      <c r="BX58" s="329" t="n">
        <f aca="false" t="array" ref="BX58:BX58">IF(AND(BX$2&lt;&gt;0,TblTech[[#This Row],[Hour]:[Hour]]&gt;=BX$2),1,0)</f>
        <v>0</v>
      </c>
      <c r="BY58" s="329" t="n">
        <f aca="false" t="array" ref="BY58:BY58">IF(AND(BY$2&lt;&gt;0,TblTech[[#This Row],[Hour]:[Hour]]&gt;=BY$2),1,0)</f>
        <v>0</v>
      </c>
      <c r="BZ58" s="329" t="n">
        <f aca="false" t="array" ref="BZ58:BZ58">IF(AND(BZ$2&lt;&gt;0,TblTech[[#This Row],[Hour]:[Hour]]&gt;=BZ$2),1,0)</f>
        <v>0</v>
      </c>
      <c r="CA58" s="330" t="n">
        <f aca="false">IFERROR(INDEX($H$4:$H$79,MATCH(INDEX(TblTech[[#Headers],[1-1]:[11-1]],1,MATCH(TblTech[[#This Row],[Hour]],$M$2:$BZ$2,0)),$G$4:$G$79,0)),)</f>
        <v>0</v>
      </c>
    </row>
    <row r="59" customFormat="false" ht="12.75" hidden="false" customHeight="false" outlineLevel="0" collapsed="false">
      <c r="A59" s="321" t="n">
        <f aca="false">TblRezone[[#This Row],[Hour]]</f>
        <v>56</v>
      </c>
      <c r="B59" s="322" t="n">
        <f aca="false">TblExplore[[#This Row],[Land-DB]]</f>
        <v>700</v>
      </c>
      <c r="C59" s="323" t="n">
        <f aca="false">TblProd[[#This Row],[Techpoints]]</f>
        <v>700</v>
      </c>
      <c r="D59" s="323" t="n">
        <f aca="false">TblProd[[#This Row],[Required]]</f>
        <v>3750</v>
      </c>
      <c r="E59" s="324"/>
      <c r="F59" s="325"/>
      <c r="G59" s="326" t="s">
        <v>574</v>
      </c>
      <c r="H59" s="327" t="s">
        <v>687</v>
      </c>
      <c r="I59" s="326" t="s">
        <v>688</v>
      </c>
      <c r="J59" s="322"/>
      <c r="K59" s="68" t="n">
        <f aca="false">IF(TblTech[[#This Row],[Sum of tech]]&lt;&gt;OFFSET(TblTech[[#This Row],[Sum of tech]],-1,0),1,0)</f>
        <v>0</v>
      </c>
      <c r="L59" s="328" t="n">
        <f aca="false">COUNTIF(TblTech[[#This Row],[1-1]:[11-1]],1)</f>
        <v>0</v>
      </c>
      <c r="M59" s="329" t="n">
        <f aca="false" t="array" ref="M59:M59">IF(AND(M$2&lt;&gt;0,TblTech[[#This Row],[Hour]:[Hour]]&gt;=M$2),1,0)</f>
        <v>0</v>
      </c>
      <c r="N59" s="329" t="n">
        <f aca="false" t="array" ref="N59:N59">IF(AND(N$2&lt;&gt;0,TblTech[[#This Row],[Hour]:[Hour]]&gt;=N$2),1,0)</f>
        <v>0</v>
      </c>
      <c r="O59" s="329" t="n">
        <f aca="false" t="array" ref="O59:O59">IF(AND(O$2&lt;&gt;0,TblTech[[#This Row],[Hour]:[Hour]]&gt;=O$2),1,0)</f>
        <v>0</v>
      </c>
      <c r="P59" s="329" t="n">
        <f aca="false" t="array" ref="P59:P59">IF(AND(P$2&lt;&gt;0,TblTech[[#This Row],[Hour]:[Hour]]&gt;=P$2),1,0)</f>
        <v>0</v>
      </c>
      <c r="Q59" s="329" t="n">
        <f aca="false" t="array" ref="Q59:Q59">IF(AND(Q$2&lt;&gt;0,TblTech[[#This Row],[Hour]:[Hour]]&gt;=Q$2),1,0)</f>
        <v>0</v>
      </c>
      <c r="R59" s="329" t="n">
        <f aca="false" t="array" ref="R59:R59">IF(AND(R$2&lt;&gt;0,TblTech[[#This Row],[Hour]:[Hour]]&gt;=R$2),1,0)</f>
        <v>0</v>
      </c>
      <c r="S59" s="329" t="n">
        <f aca="false" t="array" ref="S59:S59">IF(AND(S$2&lt;&gt;0,TblTech[[#This Row],[Hour]:[Hour]]&gt;=S$2),1,0)</f>
        <v>0</v>
      </c>
      <c r="T59" s="329" t="n">
        <f aca="false" t="array" ref="T59:T59">IF(AND(T$2&lt;&gt;0,TblTech[[#This Row],[Hour]:[Hour]]&gt;=T$2),1,0)</f>
        <v>0</v>
      </c>
      <c r="U59" s="329" t="n">
        <f aca="false" t="array" ref="U59:U59">IF(AND(U$2&lt;&gt;0,TblTech[[#This Row],[Hour]:[Hour]]&gt;=U$2),1,0)</f>
        <v>0</v>
      </c>
      <c r="V59" s="329" t="n">
        <f aca="false" t="array" ref="V59:V59">IF(AND(V$2&lt;&gt;0,TblTech[[#This Row],[Hour]:[Hour]]&gt;=V$2),1,0)</f>
        <v>0</v>
      </c>
      <c r="W59" s="329" t="n">
        <f aca="false" t="array" ref="W59:W59">IF(AND(W$2&lt;&gt;0,TblTech[[#This Row],[Hour]:[Hour]]&gt;=W$2),1,0)</f>
        <v>0</v>
      </c>
      <c r="X59" s="329" t="n">
        <f aca="false" t="array" ref="X59:X59">IF(AND(X$2&lt;&gt;0,TblTech[[#This Row],[Hour]:[Hour]]&gt;=X$2),1,0)</f>
        <v>0</v>
      </c>
      <c r="Y59" s="329" t="n">
        <f aca="false" t="array" ref="Y59:Y59">IF(AND(Y$2&lt;&gt;0,TblTech[[#This Row],[Hour]:[Hour]]&gt;=Y$2),1,0)</f>
        <v>0</v>
      </c>
      <c r="Z59" s="329" t="n">
        <f aca="false" t="array" ref="Z59:Z59">IF(AND(Z$2&lt;&gt;0,TblTech[[#This Row],[Hour]:[Hour]]&gt;=Z$2),1,0)</f>
        <v>0</v>
      </c>
      <c r="AA59" s="329" t="n">
        <f aca="false" t="array" ref="AA59:AA59">IF(AND(AA$2&lt;&gt;0,TblTech[[#This Row],[Hour]:[Hour]]&gt;=AA$2),1,0)</f>
        <v>0</v>
      </c>
      <c r="AB59" s="329" t="n">
        <f aca="false" t="array" ref="AB59:AB59">IF(AND(AB$2&lt;&gt;0,TblTech[[#This Row],[Hour]:[Hour]]&gt;=AB$2),1,0)</f>
        <v>0</v>
      </c>
      <c r="AC59" s="329" t="n">
        <f aca="false" t="array" ref="AC59:AC59">IF(AND(AC$2&lt;&gt;0,TblTech[[#This Row],[Hour]:[Hour]]&gt;=AC$2),1,0)</f>
        <v>0</v>
      </c>
      <c r="AD59" s="329" t="n">
        <f aca="false" t="array" ref="AD59:AD59">IF(AND(AD$2&lt;&gt;0,TblTech[[#This Row],[Hour]:[Hour]]&gt;=AD$2),1,0)</f>
        <v>0</v>
      </c>
      <c r="AE59" s="329" t="n">
        <f aca="false" t="array" ref="AE59:AE59">IF(AND(AE$2&lt;&gt;0,TblTech[[#This Row],[Hour]:[Hour]]&gt;=AE$2),1,0)</f>
        <v>0</v>
      </c>
      <c r="AF59" s="329" t="n">
        <f aca="false" t="array" ref="AF59:AF59">IF(AND(AF$2&lt;&gt;0,TblTech[[#This Row],[Hour]:[Hour]]&gt;=AF$2),1,0)</f>
        <v>0</v>
      </c>
      <c r="AG59" s="329" t="n">
        <f aca="false" t="array" ref="AG59:AG59">IF(AND(AG$2&lt;&gt;0,TblTech[[#This Row],[Hour]:[Hour]]&gt;=AG$2),1,0)</f>
        <v>0</v>
      </c>
      <c r="AH59" s="329" t="n">
        <f aca="false" t="array" ref="AH59:AH59">IF(AND(AH$2&lt;&gt;0,TblTech[[#This Row],[Hour]:[Hour]]&gt;=AH$2),1,0)</f>
        <v>0</v>
      </c>
      <c r="AI59" s="329" t="n">
        <f aca="false" t="array" ref="AI59:AI59">IF(AND(AI$2&lt;&gt;0,TblTech[[#This Row],[Hour]:[Hour]]&gt;=AI$2),1,0)</f>
        <v>0</v>
      </c>
      <c r="AJ59" s="329" t="n">
        <f aca="false" t="array" ref="AJ59:AJ59">IF(AND(AJ$2&lt;&gt;0,TblTech[[#This Row],[Hour]:[Hour]]&gt;=AJ$2),1,0)</f>
        <v>0</v>
      </c>
      <c r="AK59" s="329" t="n">
        <f aca="false" t="array" ref="AK59:AK59">IF(AND(AK$2&lt;&gt;0,TblTech[[#This Row],[Hour]:[Hour]]&gt;=AK$2),1,0)</f>
        <v>0</v>
      </c>
      <c r="AL59" s="329" t="n">
        <f aca="false" t="array" ref="AL59:AL59">IF(AND(AL$2&lt;&gt;0,TblTech[[#This Row],[Hour]:[Hour]]&gt;=AL$2),1,0)</f>
        <v>0</v>
      </c>
      <c r="AM59" s="329" t="n">
        <f aca="false" t="array" ref="AM59:AM59">IF(AND(AM$2&lt;&gt;0,TblTech[[#This Row],[Hour]:[Hour]]&gt;=AM$2),1,0)</f>
        <v>0</v>
      </c>
      <c r="AN59" s="329" t="n">
        <f aca="false" t="array" ref="AN59:AN59">IF(AND(AN$2&lt;&gt;0,TblTech[[#This Row],[Hour]:[Hour]]&gt;=AN$2),1,0)</f>
        <v>0</v>
      </c>
      <c r="AO59" s="329" t="n">
        <f aca="false" t="array" ref="AO59:AO59">IF(AND(AO$2&lt;&gt;0,TblTech[[#This Row],[Hour]:[Hour]]&gt;=AO$2),1,0)</f>
        <v>0</v>
      </c>
      <c r="AP59" s="329" t="n">
        <f aca="false" t="array" ref="AP59:AP59">IF(AND(AP$2&lt;&gt;0,TblTech[[#This Row],[Hour]:[Hour]]&gt;=AP$2),1,0)</f>
        <v>0</v>
      </c>
      <c r="AQ59" s="329" t="n">
        <f aca="false" t="array" ref="AQ59:AQ59">IF(AND(AQ$2&lt;&gt;0,TblTech[[#This Row],[Hour]:[Hour]]&gt;=AQ$2),1,0)</f>
        <v>0</v>
      </c>
      <c r="AR59" s="329" t="n">
        <f aca="false" t="array" ref="AR59:AR59">IF(AND(AR$2&lt;&gt;0,TblTech[[#This Row],[Hour]:[Hour]]&gt;=AR$2),1,0)</f>
        <v>0</v>
      </c>
      <c r="AS59" s="329" t="n">
        <f aca="false" t="array" ref="AS59:AS59">IF(AND(AS$2&lt;&gt;0,TblTech[[#This Row],[Hour]:[Hour]]&gt;=AS$2),1,0)</f>
        <v>0</v>
      </c>
      <c r="AT59" s="329" t="n">
        <f aca="false" t="array" ref="AT59:AT59">IF(AND(AT$2&lt;&gt;0,TblTech[[#This Row],[Hour]:[Hour]]&gt;=AT$2),1,0)</f>
        <v>0</v>
      </c>
      <c r="AU59" s="329" t="n">
        <f aca="false" t="array" ref="AU59:AU59">IF(AND(AU$2&lt;&gt;0,TblTech[[#This Row],[Hour]:[Hour]]&gt;=AU$2),1,0)</f>
        <v>0</v>
      </c>
      <c r="AV59" s="329" t="n">
        <f aca="false" t="array" ref="AV59:AV59">IF(AND(AV$2&lt;&gt;0,TblTech[[#This Row],[Hour]:[Hour]]&gt;=AV$2),1,0)</f>
        <v>0</v>
      </c>
      <c r="AW59" s="329" t="n">
        <f aca="false" t="array" ref="AW59:AW59">IF(AND(AW$2&lt;&gt;0,TblTech[[#This Row],[Hour]:[Hour]]&gt;=AW$2),1,0)</f>
        <v>0</v>
      </c>
      <c r="AX59" s="329" t="n">
        <f aca="false" t="array" ref="AX59:AX59">IF(AND(AX$2&lt;&gt;0,TblTech[[#This Row],[Hour]:[Hour]]&gt;=AX$2),1,0)</f>
        <v>0</v>
      </c>
      <c r="AY59" s="329" t="n">
        <f aca="false" t="array" ref="AY59:AY59">IF(AND(AY$2&lt;&gt;0,TblTech[[#This Row],[Hour]:[Hour]]&gt;=AY$2),1,0)</f>
        <v>0</v>
      </c>
      <c r="AZ59" s="329" t="n">
        <f aca="false" t="array" ref="AZ59:AZ59">IF(AND(AZ$2&lt;&gt;0,TblTech[[#This Row],[Hour]:[Hour]]&gt;=AZ$2),1,0)</f>
        <v>0</v>
      </c>
      <c r="BA59" s="329" t="n">
        <f aca="false" t="array" ref="BA59:BA59">IF(AND(BA$2&lt;&gt;0,TblTech[[#This Row],[Hour]:[Hour]]&gt;=BA$2),1,0)</f>
        <v>0</v>
      </c>
      <c r="BB59" s="329" t="n">
        <f aca="false" t="array" ref="BB59:BB59">IF(AND(BB$2&lt;&gt;0,TblTech[[#This Row],[Hour]:[Hour]]&gt;=BB$2),1,0)</f>
        <v>0</v>
      </c>
      <c r="BC59" s="329" t="n">
        <f aca="false" t="array" ref="BC59:BC59">IF(AND(BC$2&lt;&gt;0,TblTech[[#This Row],[Hour]:[Hour]]&gt;=BC$2),1,0)</f>
        <v>0</v>
      </c>
      <c r="BD59" s="329" t="n">
        <f aca="false" t="array" ref="BD59:BD59">IF(AND(BD$2&lt;&gt;0,TblTech[[#This Row],[Hour]:[Hour]]&gt;=BD$2),1,0)</f>
        <v>0</v>
      </c>
      <c r="BE59" s="329" t="n">
        <f aca="false" t="array" ref="BE59:BE59">IF(AND(BE$2&lt;&gt;0,TblTech[[#This Row],[Hour]:[Hour]]&gt;=BE$2),1,0)</f>
        <v>0</v>
      </c>
      <c r="BF59" s="329" t="n">
        <f aca="false" t="array" ref="BF59:BF59">IF(AND(BF$2&lt;&gt;0,TblTech[[#This Row],[Hour]:[Hour]]&gt;=BF$2),1,0)</f>
        <v>0</v>
      </c>
      <c r="BG59" s="329" t="n">
        <f aca="false" t="array" ref="BG59:BG59">IF(AND(BG$2&lt;&gt;0,TblTech[[#This Row],[Hour]:[Hour]]&gt;=BG$2),1,0)</f>
        <v>0</v>
      </c>
      <c r="BH59" s="329" t="n">
        <f aca="false" t="array" ref="BH59:BH59">IF(AND(BH$2&lt;&gt;0,TblTech[[#This Row],[Hour]:[Hour]]&gt;=BH$2),1,0)</f>
        <v>0</v>
      </c>
      <c r="BI59" s="329" t="n">
        <f aca="false" t="array" ref="BI59:BI59">IF(AND(BI$2&lt;&gt;0,TblTech[[#This Row],[Hour]:[Hour]]&gt;=BI$2),1,0)</f>
        <v>0</v>
      </c>
      <c r="BJ59" s="329" t="n">
        <f aca="false" t="array" ref="BJ59:BJ59">IF(AND(BJ$2&lt;&gt;0,TblTech[[#This Row],[Hour]:[Hour]]&gt;=BJ$2),1,0)</f>
        <v>0</v>
      </c>
      <c r="BK59" s="329" t="n">
        <f aca="false" t="array" ref="BK59:BK59">IF(AND(BK$2&lt;&gt;0,TblTech[[#This Row],[Hour]:[Hour]]&gt;=BK$2),1,0)</f>
        <v>0</v>
      </c>
      <c r="BL59" s="329" t="n">
        <f aca="false" t="array" ref="BL59:BL59">IF(AND(BL$2&lt;&gt;0,TblTech[[#This Row],[Hour]:[Hour]]&gt;=BL$2),1,0)</f>
        <v>0</v>
      </c>
      <c r="BM59" s="329" t="n">
        <f aca="false" t="array" ref="BM59:BM59">IF(AND(BM$2&lt;&gt;0,TblTech[[#This Row],[Hour]:[Hour]]&gt;=BM$2),1,0)</f>
        <v>0</v>
      </c>
      <c r="BN59" s="329" t="n">
        <f aca="false" t="array" ref="BN59:BN59">IF(AND(BN$2&lt;&gt;0,TblTech[[#This Row],[Hour]:[Hour]]&gt;=BN$2),1,0)</f>
        <v>0</v>
      </c>
      <c r="BO59" s="329" t="n">
        <f aca="false" t="array" ref="BO59:BO59">IF(AND(BO$2&lt;&gt;0,TblTech[[#This Row],[Hour]:[Hour]]&gt;=BO$2),1,0)</f>
        <v>0</v>
      </c>
      <c r="BP59" s="329" t="n">
        <f aca="false" t="array" ref="BP59:BP59">IF(AND(BP$2&lt;&gt;0,TblTech[[#This Row],[Hour]:[Hour]]&gt;=BP$2),1,0)</f>
        <v>0</v>
      </c>
      <c r="BQ59" s="329" t="n">
        <f aca="false" t="array" ref="BQ59:BQ59">IF(AND(BQ$2&lt;&gt;0,TblTech[[#This Row],[Hour]:[Hour]]&gt;=BQ$2),1,0)</f>
        <v>0</v>
      </c>
      <c r="BR59" s="329" t="n">
        <f aca="false" t="array" ref="BR59:BR59">IF(AND(BR$2&lt;&gt;0,TblTech[[#This Row],[Hour]:[Hour]]&gt;=BR$2),1,0)</f>
        <v>0</v>
      </c>
      <c r="BS59" s="329" t="n">
        <f aca="false" t="array" ref="BS59:BS59">IF(AND(BS$2&lt;&gt;0,TblTech[[#This Row],[Hour]:[Hour]]&gt;=BS$2),1,0)</f>
        <v>0</v>
      </c>
      <c r="BT59" s="329" t="n">
        <f aca="false" t="array" ref="BT59:BT59">IF(AND(BT$2&lt;&gt;0,TblTech[[#This Row],[Hour]:[Hour]]&gt;=BT$2),1,0)</f>
        <v>0</v>
      </c>
      <c r="BU59" s="329" t="n">
        <f aca="false" t="array" ref="BU59:BU59">IF(AND(BU$2&lt;&gt;0,TblTech[[#This Row],[Hour]:[Hour]]&gt;=BU$2),1,0)</f>
        <v>0</v>
      </c>
      <c r="BV59" s="329" t="n">
        <f aca="false" t="array" ref="BV59:BV59">IF(AND(BV$2&lt;&gt;0,TblTech[[#This Row],[Hour]:[Hour]]&gt;=BV$2),1,0)</f>
        <v>0</v>
      </c>
      <c r="BW59" s="329" t="n">
        <f aca="false" t="array" ref="BW59:BW59">IF(AND(BW$2&lt;&gt;0,TblTech[[#This Row],[Hour]:[Hour]]&gt;=BW$2),1,0)</f>
        <v>0</v>
      </c>
      <c r="BX59" s="329" t="n">
        <f aca="false" t="array" ref="BX59:BX59">IF(AND(BX$2&lt;&gt;0,TblTech[[#This Row],[Hour]:[Hour]]&gt;=BX$2),1,0)</f>
        <v>0</v>
      </c>
      <c r="BY59" s="329" t="n">
        <f aca="false" t="array" ref="BY59:BY59">IF(AND(BY$2&lt;&gt;0,TblTech[[#This Row],[Hour]:[Hour]]&gt;=BY$2),1,0)</f>
        <v>0</v>
      </c>
      <c r="BZ59" s="329" t="n">
        <f aca="false" t="array" ref="BZ59:BZ59">IF(AND(BZ$2&lt;&gt;0,TblTech[[#This Row],[Hour]:[Hour]]&gt;=BZ$2),1,0)</f>
        <v>0</v>
      </c>
      <c r="CA59" s="330" t="n">
        <f aca="false">IFERROR(INDEX($H$4:$H$79,MATCH(INDEX(TblTech[[#Headers],[1-1]:[11-1]],1,MATCH(TblTech[[#This Row],[Hour]],$M$2:$BZ$2,0)),$G$4:$G$79,0)),)</f>
        <v>0</v>
      </c>
    </row>
    <row r="60" customFormat="false" ht="12.75" hidden="false" customHeight="false" outlineLevel="0" collapsed="false">
      <c r="A60" s="321" t="n">
        <f aca="false">TblRezone[[#This Row],[Hour]]</f>
        <v>57</v>
      </c>
      <c r="B60" s="322" t="n">
        <f aca="false">TblExplore[[#This Row],[Land-DB]]</f>
        <v>700</v>
      </c>
      <c r="C60" s="323" t="n">
        <f aca="false">TblProd[[#This Row],[Techpoints]]</f>
        <v>700</v>
      </c>
      <c r="D60" s="323" t="n">
        <f aca="false">TblProd[[#This Row],[Required]]</f>
        <v>3750</v>
      </c>
      <c r="E60" s="324"/>
      <c r="F60" s="325"/>
      <c r="G60" s="326"/>
      <c r="H60" s="327"/>
      <c r="I60" s="326"/>
      <c r="J60" s="322"/>
      <c r="K60" s="68" t="n">
        <f aca="false">IF(TblTech[[#This Row],[Sum of tech]]&lt;&gt;OFFSET(TblTech[[#This Row],[Sum of tech]],-1,0),1,0)</f>
        <v>0</v>
      </c>
      <c r="L60" s="328" t="n">
        <f aca="false">COUNTIF(TblTech[[#This Row],[1-1]:[11-1]],1)</f>
        <v>0</v>
      </c>
      <c r="M60" s="329" t="n">
        <f aca="false" t="array" ref="M60:M60">IF(AND(M$2&lt;&gt;0,TblTech[[#This Row],[Hour]:[Hour]]&gt;=M$2),1,0)</f>
        <v>0</v>
      </c>
      <c r="N60" s="329" t="n">
        <f aca="false" t="array" ref="N60:N60">IF(AND(N$2&lt;&gt;0,TblTech[[#This Row],[Hour]:[Hour]]&gt;=N$2),1,0)</f>
        <v>0</v>
      </c>
      <c r="O60" s="329" t="n">
        <f aca="false" t="array" ref="O60:O60">IF(AND(O$2&lt;&gt;0,TblTech[[#This Row],[Hour]:[Hour]]&gt;=O$2),1,0)</f>
        <v>0</v>
      </c>
      <c r="P60" s="329" t="n">
        <f aca="false" t="array" ref="P60:P60">IF(AND(P$2&lt;&gt;0,TblTech[[#This Row],[Hour]:[Hour]]&gt;=P$2),1,0)</f>
        <v>0</v>
      </c>
      <c r="Q60" s="329" t="n">
        <f aca="false" t="array" ref="Q60:Q60">IF(AND(Q$2&lt;&gt;0,TblTech[[#This Row],[Hour]:[Hour]]&gt;=Q$2),1,0)</f>
        <v>0</v>
      </c>
      <c r="R60" s="329" t="n">
        <f aca="false" t="array" ref="R60:R60">IF(AND(R$2&lt;&gt;0,TblTech[[#This Row],[Hour]:[Hour]]&gt;=R$2),1,0)</f>
        <v>0</v>
      </c>
      <c r="S60" s="329" t="n">
        <f aca="false" t="array" ref="S60:S60">IF(AND(S$2&lt;&gt;0,TblTech[[#This Row],[Hour]:[Hour]]&gt;=S$2),1,0)</f>
        <v>0</v>
      </c>
      <c r="T60" s="329" t="n">
        <f aca="false" t="array" ref="T60:T60">IF(AND(T$2&lt;&gt;0,TblTech[[#This Row],[Hour]:[Hour]]&gt;=T$2),1,0)</f>
        <v>0</v>
      </c>
      <c r="U60" s="329" t="n">
        <f aca="false" t="array" ref="U60:U60">IF(AND(U$2&lt;&gt;0,TblTech[[#This Row],[Hour]:[Hour]]&gt;=U$2),1,0)</f>
        <v>0</v>
      </c>
      <c r="V60" s="329" t="n">
        <f aca="false" t="array" ref="V60:V60">IF(AND(V$2&lt;&gt;0,TblTech[[#This Row],[Hour]:[Hour]]&gt;=V$2),1,0)</f>
        <v>0</v>
      </c>
      <c r="W60" s="329" t="n">
        <f aca="false" t="array" ref="W60:W60">IF(AND(W$2&lt;&gt;0,TblTech[[#This Row],[Hour]:[Hour]]&gt;=W$2),1,0)</f>
        <v>0</v>
      </c>
      <c r="X60" s="329" t="n">
        <f aca="false" t="array" ref="X60:X60">IF(AND(X$2&lt;&gt;0,TblTech[[#This Row],[Hour]:[Hour]]&gt;=X$2),1,0)</f>
        <v>0</v>
      </c>
      <c r="Y60" s="329" t="n">
        <f aca="false" t="array" ref="Y60:Y60">IF(AND(Y$2&lt;&gt;0,TblTech[[#This Row],[Hour]:[Hour]]&gt;=Y$2),1,0)</f>
        <v>0</v>
      </c>
      <c r="Z60" s="329" t="n">
        <f aca="false" t="array" ref="Z60:Z60">IF(AND(Z$2&lt;&gt;0,TblTech[[#This Row],[Hour]:[Hour]]&gt;=Z$2),1,0)</f>
        <v>0</v>
      </c>
      <c r="AA60" s="329" t="n">
        <f aca="false" t="array" ref="AA60:AA60">IF(AND(AA$2&lt;&gt;0,TblTech[[#This Row],[Hour]:[Hour]]&gt;=AA$2),1,0)</f>
        <v>0</v>
      </c>
      <c r="AB60" s="329" t="n">
        <f aca="false" t="array" ref="AB60:AB60">IF(AND(AB$2&lt;&gt;0,TblTech[[#This Row],[Hour]:[Hour]]&gt;=AB$2),1,0)</f>
        <v>0</v>
      </c>
      <c r="AC60" s="329" t="n">
        <f aca="false" t="array" ref="AC60:AC60">IF(AND(AC$2&lt;&gt;0,TblTech[[#This Row],[Hour]:[Hour]]&gt;=AC$2),1,0)</f>
        <v>0</v>
      </c>
      <c r="AD60" s="329" t="n">
        <f aca="false" t="array" ref="AD60:AD60">IF(AND(AD$2&lt;&gt;0,TblTech[[#This Row],[Hour]:[Hour]]&gt;=AD$2),1,0)</f>
        <v>0</v>
      </c>
      <c r="AE60" s="329" t="n">
        <f aca="false" t="array" ref="AE60:AE60">IF(AND(AE$2&lt;&gt;0,TblTech[[#This Row],[Hour]:[Hour]]&gt;=AE$2),1,0)</f>
        <v>0</v>
      </c>
      <c r="AF60" s="329" t="n">
        <f aca="false" t="array" ref="AF60:AF60">IF(AND(AF$2&lt;&gt;0,TblTech[[#This Row],[Hour]:[Hour]]&gt;=AF$2),1,0)</f>
        <v>0</v>
      </c>
      <c r="AG60" s="329" t="n">
        <f aca="false" t="array" ref="AG60:AG60">IF(AND(AG$2&lt;&gt;0,TblTech[[#This Row],[Hour]:[Hour]]&gt;=AG$2),1,0)</f>
        <v>0</v>
      </c>
      <c r="AH60" s="329" t="n">
        <f aca="false" t="array" ref="AH60:AH60">IF(AND(AH$2&lt;&gt;0,TblTech[[#This Row],[Hour]:[Hour]]&gt;=AH$2),1,0)</f>
        <v>0</v>
      </c>
      <c r="AI60" s="329" t="n">
        <f aca="false" t="array" ref="AI60:AI60">IF(AND(AI$2&lt;&gt;0,TblTech[[#This Row],[Hour]:[Hour]]&gt;=AI$2),1,0)</f>
        <v>0</v>
      </c>
      <c r="AJ60" s="329" t="n">
        <f aca="false" t="array" ref="AJ60:AJ60">IF(AND(AJ$2&lt;&gt;0,TblTech[[#This Row],[Hour]:[Hour]]&gt;=AJ$2),1,0)</f>
        <v>0</v>
      </c>
      <c r="AK60" s="329" t="n">
        <f aca="false" t="array" ref="AK60:AK60">IF(AND(AK$2&lt;&gt;0,TblTech[[#This Row],[Hour]:[Hour]]&gt;=AK$2),1,0)</f>
        <v>0</v>
      </c>
      <c r="AL60" s="329" t="n">
        <f aca="false" t="array" ref="AL60:AL60">IF(AND(AL$2&lt;&gt;0,TblTech[[#This Row],[Hour]:[Hour]]&gt;=AL$2),1,0)</f>
        <v>0</v>
      </c>
      <c r="AM60" s="329" t="n">
        <f aca="false" t="array" ref="AM60:AM60">IF(AND(AM$2&lt;&gt;0,TblTech[[#This Row],[Hour]:[Hour]]&gt;=AM$2),1,0)</f>
        <v>0</v>
      </c>
      <c r="AN60" s="329" t="n">
        <f aca="false" t="array" ref="AN60:AN60">IF(AND(AN$2&lt;&gt;0,TblTech[[#This Row],[Hour]:[Hour]]&gt;=AN$2),1,0)</f>
        <v>0</v>
      </c>
      <c r="AO60" s="329" t="n">
        <f aca="false" t="array" ref="AO60:AO60">IF(AND(AO$2&lt;&gt;0,TblTech[[#This Row],[Hour]:[Hour]]&gt;=AO$2),1,0)</f>
        <v>0</v>
      </c>
      <c r="AP60" s="329" t="n">
        <f aca="false" t="array" ref="AP60:AP60">IF(AND(AP$2&lt;&gt;0,TblTech[[#This Row],[Hour]:[Hour]]&gt;=AP$2),1,0)</f>
        <v>0</v>
      </c>
      <c r="AQ60" s="329" t="n">
        <f aca="false" t="array" ref="AQ60:AQ60">IF(AND(AQ$2&lt;&gt;0,TblTech[[#This Row],[Hour]:[Hour]]&gt;=AQ$2),1,0)</f>
        <v>0</v>
      </c>
      <c r="AR60" s="329" t="n">
        <f aca="false" t="array" ref="AR60:AR60">IF(AND(AR$2&lt;&gt;0,TblTech[[#This Row],[Hour]:[Hour]]&gt;=AR$2),1,0)</f>
        <v>0</v>
      </c>
      <c r="AS60" s="329" t="n">
        <f aca="false" t="array" ref="AS60:AS60">IF(AND(AS$2&lt;&gt;0,TblTech[[#This Row],[Hour]:[Hour]]&gt;=AS$2),1,0)</f>
        <v>0</v>
      </c>
      <c r="AT60" s="329" t="n">
        <f aca="false" t="array" ref="AT60:AT60">IF(AND(AT$2&lt;&gt;0,TblTech[[#This Row],[Hour]:[Hour]]&gt;=AT$2),1,0)</f>
        <v>0</v>
      </c>
      <c r="AU60" s="329" t="n">
        <f aca="false" t="array" ref="AU60:AU60">IF(AND(AU$2&lt;&gt;0,TblTech[[#This Row],[Hour]:[Hour]]&gt;=AU$2),1,0)</f>
        <v>0</v>
      </c>
      <c r="AV60" s="329" t="n">
        <f aca="false" t="array" ref="AV60:AV60">IF(AND(AV$2&lt;&gt;0,TblTech[[#This Row],[Hour]:[Hour]]&gt;=AV$2),1,0)</f>
        <v>0</v>
      </c>
      <c r="AW60" s="329" t="n">
        <f aca="false" t="array" ref="AW60:AW60">IF(AND(AW$2&lt;&gt;0,TblTech[[#This Row],[Hour]:[Hour]]&gt;=AW$2),1,0)</f>
        <v>0</v>
      </c>
      <c r="AX60" s="329" t="n">
        <f aca="false" t="array" ref="AX60:AX60">IF(AND(AX$2&lt;&gt;0,TblTech[[#This Row],[Hour]:[Hour]]&gt;=AX$2),1,0)</f>
        <v>0</v>
      </c>
      <c r="AY60" s="329" t="n">
        <f aca="false" t="array" ref="AY60:AY60">IF(AND(AY$2&lt;&gt;0,TblTech[[#This Row],[Hour]:[Hour]]&gt;=AY$2),1,0)</f>
        <v>0</v>
      </c>
      <c r="AZ60" s="329" t="n">
        <f aca="false" t="array" ref="AZ60:AZ60">IF(AND(AZ$2&lt;&gt;0,TblTech[[#This Row],[Hour]:[Hour]]&gt;=AZ$2),1,0)</f>
        <v>0</v>
      </c>
      <c r="BA60" s="329" t="n">
        <f aca="false" t="array" ref="BA60:BA60">IF(AND(BA$2&lt;&gt;0,TblTech[[#This Row],[Hour]:[Hour]]&gt;=BA$2),1,0)</f>
        <v>0</v>
      </c>
      <c r="BB60" s="329" t="n">
        <f aca="false" t="array" ref="BB60:BB60">IF(AND(BB$2&lt;&gt;0,TblTech[[#This Row],[Hour]:[Hour]]&gt;=BB$2),1,0)</f>
        <v>0</v>
      </c>
      <c r="BC60" s="329" t="n">
        <f aca="false" t="array" ref="BC60:BC60">IF(AND(BC$2&lt;&gt;0,TblTech[[#This Row],[Hour]:[Hour]]&gt;=BC$2),1,0)</f>
        <v>0</v>
      </c>
      <c r="BD60" s="329" t="n">
        <f aca="false" t="array" ref="BD60:BD60">IF(AND(BD$2&lt;&gt;0,TblTech[[#This Row],[Hour]:[Hour]]&gt;=BD$2),1,0)</f>
        <v>0</v>
      </c>
      <c r="BE60" s="329" t="n">
        <f aca="false" t="array" ref="BE60:BE60">IF(AND(BE$2&lt;&gt;0,TblTech[[#This Row],[Hour]:[Hour]]&gt;=BE$2),1,0)</f>
        <v>0</v>
      </c>
      <c r="BF60" s="329" t="n">
        <f aca="false" t="array" ref="BF60:BF60">IF(AND(BF$2&lt;&gt;0,TblTech[[#This Row],[Hour]:[Hour]]&gt;=BF$2),1,0)</f>
        <v>0</v>
      </c>
      <c r="BG60" s="329" t="n">
        <f aca="false" t="array" ref="BG60:BG60">IF(AND(BG$2&lt;&gt;0,TblTech[[#This Row],[Hour]:[Hour]]&gt;=BG$2),1,0)</f>
        <v>0</v>
      </c>
      <c r="BH60" s="329" t="n">
        <f aca="false" t="array" ref="BH60:BH60">IF(AND(BH$2&lt;&gt;0,TblTech[[#This Row],[Hour]:[Hour]]&gt;=BH$2),1,0)</f>
        <v>0</v>
      </c>
      <c r="BI60" s="329" t="n">
        <f aca="false" t="array" ref="BI60:BI60">IF(AND(BI$2&lt;&gt;0,TblTech[[#This Row],[Hour]:[Hour]]&gt;=BI$2),1,0)</f>
        <v>0</v>
      </c>
      <c r="BJ60" s="329" t="n">
        <f aca="false" t="array" ref="BJ60:BJ60">IF(AND(BJ$2&lt;&gt;0,TblTech[[#This Row],[Hour]:[Hour]]&gt;=BJ$2),1,0)</f>
        <v>0</v>
      </c>
      <c r="BK60" s="329" t="n">
        <f aca="false" t="array" ref="BK60:BK60">IF(AND(BK$2&lt;&gt;0,TblTech[[#This Row],[Hour]:[Hour]]&gt;=BK$2),1,0)</f>
        <v>0</v>
      </c>
      <c r="BL60" s="329" t="n">
        <f aca="false" t="array" ref="BL60:BL60">IF(AND(BL$2&lt;&gt;0,TblTech[[#This Row],[Hour]:[Hour]]&gt;=BL$2),1,0)</f>
        <v>0</v>
      </c>
      <c r="BM60" s="329" t="n">
        <f aca="false" t="array" ref="BM60:BM60">IF(AND(BM$2&lt;&gt;0,TblTech[[#This Row],[Hour]:[Hour]]&gt;=BM$2),1,0)</f>
        <v>0</v>
      </c>
      <c r="BN60" s="329" t="n">
        <f aca="false" t="array" ref="BN60:BN60">IF(AND(BN$2&lt;&gt;0,TblTech[[#This Row],[Hour]:[Hour]]&gt;=BN$2),1,0)</f>
        <v>0</v>
      </c>
      <c r="BO60" s="329" t="n">
        <f aca="false" t="array" ref="BO60:BO60">IF(AND(BO$2&lt;&gt;0,TblTech[[#This Row],[Hour]:[Hour]]&gt;=BO$2),1,0)</f>
        <v>0</v>
      </c>
      <c r="BP60" s="329" t="n">
        <f aca="false" t="array" ref="BP60:BP60">IF(AND(BP$2&lt;&gt;0,TblTech[[#This Row],[Hour]:[Hour]]&gt;=BP$2),1,0)</f>
        <v>0</v>
      </c>
      <c r="BQ60" s="329" t="n">
        <f aca="false" t="array" ref="BQ60:BQ60">IF(AND(BQ$2&lt;&gt;0,TblTech[[#This Row],[Hour]:[Hour]]&gt;=BQ$2),1,0)</f>
        <v>0</v>
      </c>
      <c r="BR60" s="329" t="n">
        <f aca="false" t="array" ref="BR60:BR60">IF(AND(BR$2&lt;&gt;0,TblTech[[#This Row],[Hour]:[Hour]]&gt;=BR$2),1,0)</f>
        <v>0</v>
      </c>
      <c r="BS60" s="329" t="n">
        <f aca="false" t="array" ref="BS60:BS60">IF(AND(BS$2&lt;&gt;0,TblTech[[#This Row],[Hour]:[Hour]]&gt;=BS$2),1,0)</f>
        <v>0</v>
      </c>
      <c r="BT60" s="329" t="n">
        <f aca="false" t="array" ref="BT60:BT60">IF(AND(BT$2&lt;&gt;0,TblTech[[#This Row],[Hour]:[Hour]]&gt;=BT$2),1,0)</f>
        <v>0</v>
      </c>
      <c r="BU60" s="329" t="n">
        <f aca="false" t="array" ref="BU60:BU60">IF(AND(BU$2&lt;&gt;0,TblTech[[#This Row],[Hour]:[Hour]]&gt;=BU$2),1,0)</f>
        <v>0</v>
      </c>
      <c r="BV60" s="329" t="n">
        <f aca="false" t="array" ref="BV60:BV60">IF(AND(BV$2&lt;&gt;0,TblTech[[#This Row],[Hour]:[Hour]]&gt;=BV$2),1,0)</f>
        <v>0</v>
      </c>
      <c r="BW60" s="329" t="n">
        <f aca="false" t="array" ref="BW60:BW60">IF(AND(BW$2&lt;&gt;0,TblTech[[#This Row],[Hour]:[Hour]]&gt;=BW$2),1,0)</f>
        <v>0</v>
      </c>
      <c r="BX60" s="329" t="n">
        <f aca="false" t="array" ref="BX60:BX60">IF(AND(BX$2&lt;&gt;0,TblTech[[#This Row],[Hour]:[Hour]]&gt;=BX$2),1,0)</f>
        <v>0</v>
      </c>
      <c r="BY60" s="329" t="n">
        <f aca="false" t="array" ref="BY60:BY60">IF(AND(BY$2&lt;&gt;0,TblTech[[#This Row],[Hour]:[Hour]]&gt;=BY$2),1,0)</f>
        <v>0</v>
      </c>
      <c r="BZ60" s="329" t="n">
        <f aca="false" t="array" ref="BZ60:BZ60">IF(AND(BZ$2&lt;&gt;0,TblTech[[#This Row],[Hour]:[Hour]]&gt;=BZ$2),1,0)</f>
        <v>0</v>
      </c>
      <c r="CA60" s="330" t="n">
        <f aca="false">IFERROR(INDEX($H$4:$H$79,MATCH(INDEX(TblTech[[#Headers],[1-1]:[11-1]],1,MATCH(TblTech[[#This Row],[Hour]],$M$2:$BZ$2,0)),$G$4:$G$79,0)),)</f>
        <v>0</v>
      </c>
    </row>
    <row r="61" customFormat="false" ht="12.75" hidden="false" customHeight="false" outlineLevel="0" collapsed="false">
      <c r="A61" s="321" t="n">
        <f aca="false">TblRezone[[#This Row],[Hour]]</f>
        <v>58</v>
      </c>
      <c r="B61" s="322" t="n">
        <f aca="false">TblExplore[[#This Row],[Land-DB]]</f>
        <v>700</v>
      </c>
      <c r="C61" s="323" t="n">
        <f aca="false">TblProd[[#This Row],[Techpoints]]</f>
        <v>700</v>
      </c>
      <c r="D61" s="323" t="n">
        <f aca="false">TblProd[[#This Row],[Required]]</f>
        <v>3750</v>
      </c>
      <c r="E61" s="324"/>
      <c r="F61" s="325"/>
      <c r="G61" s="326" t="s">
        <v>575</v>
      </c>
      <c r="H61" s="327" t="s">
        <v>689</v>
      </c>
      <c r="I61" s="326" t="s">
        <v>690</v>
      </c>
      <c r="J61" s="322"/>
      <c r="K61" s="68" t="n">
        <f aca="false">IF(TblTech[[#This Row],[Sum of tech]]&lt;&gt;OFFSET(TblTech[[#This Row],[Sum of tech]],-1,0),1,0)</f>
        <v>0</v>
      </c>
      <c r="L61" s="328" t="n">
        <f aca="false">COUNTIF(TblTech[[#This Row],[1-1]:[11-1]],1)</f>
        <v>0</v>
      </c>
      <c r="M61" s="329" t="n">
        <f aca="false" t="array" ref="M61:M61">IF(AND(M$2&lt;&gt;0,TblTech[[#This Row],[Hour]:[Hour]]&gt;=M$2),1,0)</f>
        <v>0</v>
      </c>
      <c r="N61" s="329" t="n">
        <f aca="false" t="array" ref="N61:N61">IF(AND(N$2&lt;&gt;0,TblTech[[#This Row],[Hour]:[Hour]]&gt;=N$2),1,0)</f>
        <v>0</v>
      </c>
      <c r="O61" s="329" t="n">
        <f aca="false" t="array" ref="O61:O61">IF(AND(O$2&lt;&gt;0,TblTech[[#This Row],[Hour]:[Hour]]&gt;=O$2),1,0)</f>
        <v>0</v>
      </c>
      <c r="P61" s="329" t="n">
        <f aca="false" t="array" ref="P61:P61">IF(AND(P$2&lt;&gt;0,TblTech[[#This Row],[Hour]:[Hour]]&gt;=P$2),1,0)</f>
        <v>0</v>
      </c>
      <c r="Q61" s="329" t="n">
        <f aca="false" t="array" ref="Q61:Q61">IF(AND(Q$2&lt;&gt;0,TblTech[[#This Row],[Hour]:[Hour]]&gt;=Q$2),1,0)</f>
        <v>0</v>
      </c>
      <c r="R61" s="329" t="n">
        <f aca="false" t="array" ref="R61:R61">IF(AND(R$2&lt;&gt;0,TblTech[[#This Row],[Hour]:[Hour]]&gt;=R$2),1,0)</f>
        <v>0</v>
      </c>
      <c r="S61" s="329" t="n">
        <f aca="false" t="array" ref="S61:S61">IF(AND(S$2&lt;&gt;0,TblTech[[#This Row],[Hour]:[Hour]]&gt;=S$2),1,0)</f>
        <v>0</v>
      </c>
      <c r="T61" s="329" t="n">
        <f aca="false" t="array" ref="T61:T61">IF(AND(T$2&lt;&gt;0,TblTech[[#This Row],[Hour]:[Hour]]&gt;=T$2),1,0)</f>
        <v>0</v>
      </c>
      <c r="U61" s="329" t="n">
        <f aca="false" t="array" ref="U61:U61">IF(AND(U$2&lt;&gt;0,TblTech[[#This Row],[Hour]:[Hour]]&gt;=U$2),1,0)</f>
        <v>0</v>
      </c>
      <c r="V61" s="329" t="n">
        <f aca="false" t="array" ref="V61:V61">IF(AND(V$2&lt;&gt;0,TblTech[[#This Row],[Hour]:[Hour]]&gt;=V$2),1,0)</f>
        <v>0</v>
      </c>
      <c r="W61" s="329" t="n">
        <f aca="false" t="array" ref="W61:W61">IF(AND(W$2&lt;&gt;0,TblTech[[#This Row],[Hour]:[Hour]]&gt;=W$2),1,0)</f>
        <v>0</v>
      </c>
      <c r="X61" s="329" t="n">
        <f aca="false" t="array" ref="X61:X61">IF(AND(X$2&lt;&gt;0,TblTech[[#This Row],[Hour]:[Hour]]&gt;=X$2),1,0)</f>
        <v>0</v>
      </c>
      <c r="Y61" s="329" t="n">
        <f aca="false" t="array" ref="Y61:Y61">IF(AND(Y$2&lt;&gt;0,TblTech[[#This Row],[Hour]:[Hour]]&gt;=Y$2),1,0)</f>
        <v>0</v>
      </c>
      <c r="Z61" s="329" t="n">
        <f aca="false" t="array" ref="Z61:Z61">IF(AND(Z$2&lt;&gt;0,TblTech[[#This Row],[Hour]:[Hour]]&gt;=Z$2),1,0)</f>
        <v>0</v>
      </c>
      <c r="AA61" s="329" t="n">
        <f aca="false" t="array" ref="AA61:AA61">IF(AND(AA$2&lt;&gt;0,TblTech[[#This Row],[Hour]:[Hour]]&gt;=AA$2),1,0)</f>
        <v>0</v>
      </c>
      <c r="AB61" s="329" t="n">
        <f aca="false" t="array" ref="AB61:AB61">IF(AND(AB$2&lt;&gt;0,TblTech[[#This Row],[Hour]:[Hour]]&gt;=AB$2),1,0)</f>
        <v>0</v>
      </c>
      <c r="AC61" s="329" t="n">
        <f aca="false" t="array" ref="AC61:AC61">IF(AND(AC$2&lt;&gt;0,TblTech[[#This Row],[Hour]:[Hour]]&gt;=AC$2),1,0)</f>
        <v>0</v>
      </c>
      <c r="AD61" s="329" t="n">
        <f aca="false" t="array" ref="AD61:AD61">IF(AND(AD$2&lt;&gt;0,TblTech[[#This Row],[Hour]:[Hour]]&gt;=AD$2),1,0)</f>
        <v>0</v>
      </c>
      <c r="AE61" s="329" t="n">
        <f aca="false" t="array" ref="AE61:AE61">IF(AND(AE$2&lt;&gt;0,TblTech[[#This Row],[Hour]:[Hour]]&gt;=AE$2),1,0)</f>
        <v>0</v>
      </c>
      <c r="AF61" s="329" t="n">
        <f aca="false" t="array" ref="AF61:AF61">IF(AND(AF$2&lt;&gt;0,TblTech[[#This Row],[Hour]:[Hour]]&gt;=AF$2),1,0)</f>
        <v>0</v>
      </c>
      <c r="AG61" s="329" t="n">
        <f aca="false" t="array" ref="AG61:AG61">IF(AND(AG$2&lt;&gt;0,TblTech[[#This Row],[Hour]:[Hour]]&gt;=AG$2),1,0)</f>
        <v>0</v>
      </c>
      <c r="AH61" s="329" t="n">
        <f aca="false" t="array" ref="AH61:AH61">IF(AND(AH$2&lt;&gt;0,TblTech[[#This Row],[Hour]:[Hour]]&gt;=AH$2),1,0)</f>
        <v>0</v>
      </c>
      <c r="AI61" s="329" t="n">
        <f aca="false" t="array" ref="AI61:AI61">IF(AND(AI$2&lt;&gt;0,TblTech[[#This Row],[Hour]:[Hour]]&gt;=AI$2),1,0)</f>
        <v>0</v>
      </c>
      <c r="AJ61" s="329" t="n">
        <f aca="false" t="array" ref="AJ61:AJ61">IF(AND(AJ$2&lt;&gt;0,TblTech[[#This Row],[Hour]:[Hour]]&gt;=AJ$2),1,0)</f>
        <v>0</v>
      </c>
      <c r="AK61" s="329" t="n">
        <f aca="false" t="array" ref="AK61:AK61">IF(AND(AK$2&lt;&gt;0,TblTech[[#This Row],[Hour]:[Hour]]&gt;=AK$2),1,0)</f>
        <v>0</v>
      </c>
      <c r="AL61" s="329" t="n">
        <f aca="false" t="array" ref="AL61:AL61">IF(AND(AL$2&lt;&gt;0,TblTech[[#This Row],[Hour]:[Hour]]&gt;=AL$2),1,0)</f>
        <v>0</v>
      </c>
      <c r="AM61" s="329" t="n">
        <f aca="false" t="array" ref="AM61:AM61">IF(AND(AM$2&lt;&gt;0,TblTech[[#This Row],[Hour]:[Hour]]&gt;=AM$2),1,0)</f>
        <v>0</v>
      </c>
      <c r="AN61" s="329" t="n">
        <f aca="false" t="array" ref="AN61:AN61">IF(AND(AN$2&lt;&gt;0,TblTech[[#This Row],[Hour]:[Hour]]&gt;=AN$2),1,0)</f>
        <v>0</v>
      </c>
      <c r="AO61" s="329" t="n">
        <f aca="false" t="array" ref="AO61:AO61">IF(AND(AO$2&lt;&gt;0,TblTech[[#This Row],[Hour]:[Hour]]&gt;=AO$2),1,0)</f>
        <v>0</v>
      </c>
      <c r="AP61" s="329" t="n">
        <f aca="false" t="array" ref="AP61:AP61">IF(AND(AP$2&lt;&gt;0,TblTech[[#This Row],[Hour]:[Hour]]&gt;=AP$2),1,0)</f>
        <v>0</v>
      </c>
      <c r="AQ61" s="329" t="n">
        <f aca="false" t="array" ref="AQ61:AQ61">IF(AND(AQ$2&lt;&gt;0,TblTech[[#This Row],[Hour]:[Hour]]&gt;=AQ$2),1,0)</f>
        <v>0</v>
      </c>
      <c r="AR61" s="329" t="n">
        <f aca="false" t="array" ref="AR61:AR61">IF(AND(AR$2&lt;&gt;0,TblTech[[#This Row],[Hour]:[Hour]]&gt;=AR$2),1,0)</f>
        <v>0</v>
      </c>
      <c r="AS61" s="329" t="n">
        <f aca="false" t="array" ref="AS61:AS61">IF(AND(AS$2&lt;&gt;0,TblTech[[#This Row],[Hour]:[Hour]]&gt;=AS$2),1,0)</f>
        <v>0</v>
      </c>
      <c r="AT61" s="329" t="n">
        <f aca="false" t="array" ref="AT61:AT61">IF(AND(AT$2&lt;&gt;0,TblTech[[#This Row],[Hour]:[Hour]]&gt;=AT$2),1,0)</f>
        <v>0</v>
      </c>
      <c r="AU61" s="329" t="n">
        <f aca="false" t="array" ref="AU61:AU61">IF(AND(AU$2&lt;&gt;0,TblTech[[#This Row],[Hour]:[Hour]]&gt;=AU$2),1,0)</f>
        <v>0</v>
      </c>
      <c r="AV61" s="329" t="n">
        <f aca="false" t="array" ref="AV61:AV61">IF(AND(AV$2&lt;&gt;0,TblTech[[#This Row],[Hour]:[Hour]]&gt;=AV$2),1,0)</f>
        <v>0</v>
      </c>
      <c r="AW61" s="329" t="n">
        <f aca="false" t="array" ref="AW61:AW61">IF(AND(AW$2&lt;&gt;0,TblTech[[#This Row],[Hour]:[Hour]]&gt;=AW$2),1,0)</f>
        <v>0</v>
      </c>
      <c r="AX61" s="329" t="n">
        <f aca="false" t="array" ref="AX61:AX61">IF(AND(AX$2&lt;&gt;0,TblTech[[#This Row],[Hour]:[Hour]]&gt;=AX$2),1,0)</f>
        <v>0</v>
      </c>
      <c r="AY61" s="329" t="n">
        <f aca="false" t="array" ref="AY61:AY61">IF(AND(AY$2&lt;&gt;0,TblTech[[#This Row],[Hour]:[Hour]]&gt;=AY$2),1,0)</f>
        <v>0</v>
      </c>
      <c r="AZ61" s="329" t="n">
        <f aca="false" t="array" ref="AZ61:AZ61">IF(AND(AZ$2&lt;&gt;0,TblTech[[#This Row],[Hour]:[Hour]]&gt;=AZ$2),1,0)</f>
        <v>0</v>
      </c>
      <c r="BA61" s="329" t="n">
        <f aca="false" t="array" ref="BA61:BA61">IF(AND(BA$2&lt;&gt;0,TblTech[[#This Row],[Hour]:[Hour]]&gt;=BA$2),1,0)</f>
        <v>0</v>
      </c>
      <c r="BB61" s="329" t="n">
        <f aca="false" t="array" ref="BB61:BB61">IF(AND(BB$2&lt;&gt;0,TblTech[[#This Row],[Hour]:[Hour]]&gt;=BB$2),1,0)</f>
        <v>0</v>
      </c>
      <c r="BC61" s="329" t="n">
        <f aca="false" t="array" ref="BC61:BC61">IF(AND(BC$2&lt;&gt;0,TblTech[[#This Row],[Hour]:[Hour]]&gt;=BC$2),1,0)</f>
        <v>0</v>
      </c>
      <c r="BD61" s="329" t="n">
        <f aca="false" t="array" ref="BD61:BD61">IF(AND(BD$2&lt;&gt;0,TblTech[[#This Row],[Hour]:[Hour]]&gt;=BD$2),1,0)</f>
        <v>0</v>
      </c>
      <c r="BE61" s="329" t="n">
        <f aca="false" t="array" ref="BE61:BE61">IF(AND(BE$2&lt;&gt;0,TblTech[[#This Row],[Hour]:[Hour]]&gt;=BE$2),1,0)</f>
        <v>0</v>
      </c>
      <c r="BF61" s="329" t="n">
        <f aca="false" t="array" ref="BF61:BF61">IF(AND(BF$2&lt;&gt;0,TblTech[[#This Row],[Hour]:[Hour]]&gt;=BF$2),1,0)</f>
        <v>0</v>
      </c>
      <c r="BG61" s="329" t="n">
        <f aca="false" t="array" ref="BG61:BG61">IF(AND(BG$2&lt;&gt;0,TblTech[[#This Row],[Hour]:[Hour]]&gt;=BG$2),1,0)</f>
        <v>0</v>
      </c>
      <c r="BH61" s="329" t="n">
        <f aca="false" t="array" ref="BH61:BH61">IF(AND(BH$2&lt;&gt;0,TblTech[[#This Row],[Hour]:[Hour]]&gt;=BH$2),1,0)</f>
        <v>0</v>
      </c>
      <c r="BI61" s="329" t="n">
        <f aca="false" t="array" ref="BI61:BI61">IF(AND(BI$2&lt;&gt;0,TblTech[[#This Row],[Hour]:[Hour]]&gt;=BI$2),1,0)</f>
        <v>0</v>
      </c>
      <c r="BJ61" s="329" t="n">
        <f aca="false" t="array" ref="BJ61:BJ61">IF(AND(BJ$2&lt;&gt;0,TblTech[[#This Row],[Hour]:[Hour]]&gt;=BJ$2),1,0)</f>
        <v>0</v>
      </c>
      <c r="BK61" s="329" t="n">
        <f aca="false" t="array" ref="BK61:BK61">IF(AND(BK$2&lt;&gt;0,TblTech[[#This Row],[Hour]:[Hour]]&gt;=BK$2),1,0)</f>
        <v>0</v>
      </c>
      <c r="BL61" s="329" t="n">
        <f aca="false" t="array" ref="BL61:BL61">IF(AND(BL$2&lt;&gt;0,TblTech[[#This Row],[Hour]:[Hour]]&gt;=BL$2),1,0)</f>
        <v>0</v>
      </c>
      <c r="BM61" s="329" t="n">
        <f aca="false" t="array" ref="BM61:BM61">IF(AND(BM$2&lt;&gt;0,TblTech[[#This Row],[Hour]:[Hour]]&gt;=BM$2),1,0)</f>
        <v>0</v>
      </c>
      <c r="BN61" s="329" t="n">
        <f aca="false" t="array" ref="BN61:BN61">IF(AND(BN$2&lt;&gt;0,TblTech[[#This Row],[Hour]:[Hour]]&gt;=BN$2),1,0)</f>
        <v>0</v>
      </c>
      <c r="BO61" s="329" t="n">
        <f aca="false" t="array" ref="BO61:BO61">IF(AND(BO$2&lt;&gt;0,TblTech[[#This Row],[Hour]:[Hour]]&gt;=BO$2),1,0)</f>
        <v>0</v>
      </c>
      <c r="BP61" s="329" t="n">
        <f aca="false" t="array" ref="BP61:BP61">IF(AND(BP$2&lt;&gt;0,TblTech[[#This Row],[Hour]:[Hour]]&gt;=BP$2),1,0)</f>
        <v>0</v>
      </c>
      <c r="BQ61" s="329" t="n">
        <f aca="false" t="array" ref="BQ61:BQ61">IF(AND(BQ$2&lt;&gt;0,TblTech[[#This Row],[Hour]:[Hour]]&gt;=BQ$2),1,0)</f>
        <v>0</v>
      </c>
      <c r="BR61" s="329" t="n">
        <f aca="false" t="array" ref="BR61:BR61">IF(AND(BR$2&lt;&gt;0,TblTech[[#This Row],[Hour]:[Hour]]&gt;=BR$2),1,0)</f>
        <v>0</v>
      </c>
      <c r="BS61" s="329" t="n">
        <f aca="false" t="array" ref="BS61:BS61">IF(AND(BS$2&lt;&gt;0,TblTech[[#This Row],[Hour]:[Hour]]&gt;=BS$2),1,0)</f>
        <v>0</v>
      </c>
      <c r="BT61" s="329" t="n">
        <f aca="false" t="array" ref="BT61:BT61">IF(AND(BT$2&lt;&gt;0,TblTech[[#This Row],[Hour]:[Hour]]&gt;=BT$2),1,0)</f>
        <v>0</v>
      </c>
      <c r="BU61" s="329" t="n">
        <f aca="false" t="array" ref="BU61:BU61">IF(AND(BU$2&lt;&gt;0,TblTech[[#This Row],[Hour]:[Hour]]&gt;=BU$2),1,0)</f>
        <v>0</v>
      </c>
      <c r="BV61" s="329" t="n">
        <f aca="false" t="array" ref="BV61:BV61">IF(AND(BV$2&lt;&gt;0,TblTech[[#This Row],[Hour]:[Hour]]&gt;=BV$2),1,0)</f>
        <v>0</v>
      </c>
      <c r="BW61" s="329" t="n">
        <f aca="false" t="array" ref="BW61:BW61">IF(AND(BW$2&lt;&gt;0,TblTech[[#This Row],[Hour]:[Hour]]&gt;=BW$2),1,0)</f>
        <v>0</v>
      </c>
      <c r="BX61" s="329" t="n">
        <f aca="false" t="array" ref="BX61:BX61">IF(AND(BX$2&lt;&gt;0,TblTech[[#This Row],[Hour]:[Hour]]&gt;=BX$2),1,0)</f>
        <v>0</v>
      </c>
      <c r="BY61" s="329" t="n">
        <f aca="false" t="array" ref="BY61:BY61">IF(AND(BY$2&lt;&gt;0,TblTech[[#This Row],[Hour]:[Hour]]&gt;=BY$2),1,0)</f>
        <v>0</v>
      </c>
      <c r="BZ61" s="329" t="n">
        <f aca="false" t="array" ref="BZ61:BZ61">IF(AND(BZ$2&lt;&gt;0,TblTech[[#This Row],[Hour]:[Hour]]&gt;=BZ$2),1,0)</f>
        <v>0</v>
      </c>
      <c r="CA61" s="330" t="n">
        <f aca="false">IFERROR(INDEX($H$4:$H$79,MATCH(INDEX(TblTech[[#Headers],[1-1]:[11-1]],1,MATCH(TblTech[[#This Row],[Hour]],$M$2:$BZ$2,0)),$G$4:$G$79,0)),)</f>
        <v>0</v>
      </c>
    </row>
    <row r="62" customFormat="false" ht="12.75" hidden="false" customHeight="false" outlineLevel="0" collapsed="false">
      <c r="A62" s="321" t="n">
        <f aca="false">TblRezone[[#This Row],[Hour]]</f>
        <v>59</v>
      </c>
      <c r="B62" s="322" t="n">
        <f aca="false">TblExplore[[#This Row],[Land-DB]]</f>
        <v>700</v>
      </c>
      <c r="C62" s="323" t="n">
        <f aca="false">TblProd[[#This Row],[Techpoints]]</f>
        <v>700</v>
      </c>
      <c r="D62" s="323" t="n">
        <f aca="false">TblProd[[#This Row],[Required]]</f>
        <v>3750</v>
      </c>
      <c r="E62" s="324"/>
      <c r="F62" s="325"/>
      <c r="G62" s="326" t="s">
        <v>576</v>
      </c>
      <c r="H62" s="327" t="s">
        <v>691</v>
      </c>
      <c r="I62" s="326" t="s">
        <v>692</v>
      </c>
      <c r="J62" s="322"/>
      <c r="K62" s="68" t="n">
        <f aca="false">IF(TblTech[[#This Row],[Sum of tech]]&lt;&gt;OFFSET(TblTech[[#This Row],[Sum of tech]],-1,0),1,0)</f>
        <v>0</v>
      </c>
      <c r="L62" s="328" t="n">
        <f aca="false">COUNTIF(TblTech[[#This Row],[1-1]:[11-1]],1)</f>
        <v>0</v>
      </c>
      <c r="M62" s="329" t="n">
        <f aca="false" t="array" ref="M62:M62">IF(AND(M$2&lt;&gt;0,TblTech[[#This Row],[Hour]:[Hour]]&gt;=M$2),1,0)</f>
        <v>0</v>
      </c>
      <c r="N62" s="329" t="n">
        <f aca="false" t="array" ref="N62:N62">IF(AND(N$2&lt;&gt;0,TblTech[[#This Row],[Hour]:[Hour]]&gt;=N$2),1,0)</f>
        <v>0</v>
      </c>
      <c r="O62" s="329" t="n">
        <f aca="false" t="array" ref="O62:O62">IF(AND(O$2&lt;&gt;0,TblTech[[#This Row],[Hour]:[Hour]]&gt;=O$2),1,0)</f>
        <v>0</v>
      </c>
      <c r="P62" s="329" t="n">
        <f aca="false" t="array" ref="P62:P62">IF(AND(P$2&lt;&gt;0,TblTech[[#This Row],[Hour]:[Hour]]&gt;=P$2),1,0)</f>
        <v>0</v>
      </c>
      <c r="Q62" s="329" t="n">
        <f aca="false" t="array" ref="Q62:Q62">IF(AND(Q$2&lt;&gt;0,TblTech[[#This Row],[Hour]:[Hour]]&gt;=Q$2),1,0)</f>
        <v>0</v>
      </c>
      <c r="R62" s="329" t="n">
        <f aca="false" t="array" ref="R62:R62">IF(AND(R$2&lt;&gt;0,TblTech[[#This Row],[Hour]:[Hour]]&gt;=R$2),1,0)</f>
        <v>0</v>
      </c>
      <c r="S62" s="329" t="n">
        <f aca="false" t="array" ref="S62:S62">IF(AND(S$2&lt;&gt;0,TblTech[[#This Row],[Hour]:[Hour]]&gt;=S$2),1,0)</f>
        <v>0</v>
      </c>
      <c r="T62" s="329" t="n">
        <f aca="false" t="array" ref="T62:T62">IF(AND(T$2&lt;&gt;0,TblTech[[#This Row],[Hour]:[Hour]]&gt;=T$2),1,0)</f>
        <v>0</v>
      </c>
      <c r="U62" s="329" t="n">
        <f aca="false" t="array" ref="U62:U62">IF(AND(U$2&lt;&gt;0,TblTech[[#This Row],[Hour]:[Hour]]&gt;=U$2),1,0)</f>
        <v>0</v>
      </c>
      <c r="V62" s="329" t="n">
        <f aca="false" t="array" ref="V62:V62">IF(AND(V$2&lt;&gt;0,TblTech[[#This Row],[Hour]:[Hour]]&gt;=V$2),1,0)</f>
        <v>0</v>
      </c>
      <c r="W62" s="329" t="n">
        <f aca="false" t="array" ref="W62:W62">IF(AND(W$2&lt;&gt;0,TblTech[[#This Row],[Hour]:[Hour]]&gt;=W$2),1,0)</f>
        <v>0</v>
      </c>
      <c r="X62" s="329" t="n">
        <f aca="false" t="array" ref="X62:X62">IF(AND(X$2&lt;&gt;0,TblTech[[#This Row],[Hour]:[Hour]]&gt;=X$2),1,0)</f>
        <v>0</v>
      </c>
      <c r="Y62" s="329" t="n">
        <f aca="false" t="array" ref="Y62:Y62">IF(AND(Y$2&lt;&gt;0,TblTech[[#This Row],[Hour]:[Hour]]&gt;=Y$2),1,0)</f>
        <v>0</v>
      </c>
      <c r="Z62" s="329" t="n">
        <f aca="false" t="array" ref="Z62:Z62">IF(AND(Z$2&lt;&gt;0,TblTech[[#This Row],[Hour]:[Hour]]&gt;=Z$2),1,0)</f>
        <v>0</v>
      </c>
      <c r="AA62" s="329" t="n">
        <f aca="false" t="array" ref="AA62:AA62">IF(AND(AA$2&lt;&gt;0,TblTech[[#This Row],[Hour]:[Hour]]&gt;=AA$2),1,0)</f>
        <v>0</v>
      </c>
      <c r="AB62" s="329" t="n">
        <f aca="false" t="array" ref="AB62:AB62">IF(AND(AB$2&lt;&gt;0,TblTech[[#This Row],[Hour]:[Hour]]&gt;=AB$2),1,0)</f>
        <v>0</v>
      </c>
      <c r="AC62" s="329" t="n">
        <f aca="false" t="array" ref="AC62:AC62">IF(AND(AC$2&lt;&gt;0,TblTech[[#This Row],[Hour]:[Hour]]&gt;=AC$2),1,0)</f>
        <v>0</v>
      </c>
      <c r="AD62" s="329" t="n">
        <f aca="false" t="array" ref="AD62:AD62">IF(AND(AD$2&lt;&gt;0,TblTech[[#This Row],[Hour]:[Hour]]&gt;=AD$2),1,0)</f>
        <v>0</v>
      </c>
      <c r="AE62" s="329" t="n">
        <f aca="false" t="array" ref="AE62:AE62">IF(AND(AE$2&lt;&gt;0,TblTech[[#This Row],[Hour]:[Hour]]&gt;=AE$2),1,0)</f>
        <v>0</v>
      </c>
      <c r="AF62" s="329" t="n">
        <f aca="false" t="array" ref="AF62:AF62">IF(AND(AF$2&lt;&gt;0,TblTech[[#This Row],[Hour]:[Hour]]&gt;=AF$2),1,0)</f>
        <v>0</v>
      </c>
      <c r="AG62" s="329" t="n">
        <f aca="false" t="array" ref="AG62:AG62">IF(AND(AG$2&lt;&gt;0,TblTech[[#This Row],[Hour]:[Hour]]&gt;=AG$2),1,0)</f>
        <v>0</v>
      </c>
      <c r="AH62" s="329" t="n">
        <f aca="false" t="array" ref="AH62:AH62">IF(AND(AH$2&lt;&gt;0,TblTech[[#This Row],[Hour]:[Hour]]&gt;=AH$2),1,0)</f>
        <v>0</v>
      </c>
      <c r="AI62" s="329" t="n">
        <f aca="false" t="array" ref="AI62:AI62">IF(AND(AI$2&lt;&gt;0,TblTech[[#This Row],[Hour]:[Hour]]&gt;=AI$2),1,0)</f>
        <v>0</v>
      </c>
      <c r="AJ62" s="329" t="n">
        <f aca="false" t="array" ref="AJ62:AJ62">IF(AND(AJ$2&lt;&gt;0,TblTech[[#This Row],[Hour]:[Hour]]&gt;=AJ$2),1,0)</f>
        <v>0</v>
      </c>
      <c r="AK62" s="329" t="n">
        <f aca="false" t="array" ref="AK62:AK62">IF(AND(AK$2&lt;&gt;0,TblTech[[#This Row],[Hour]:[Hour]]&gt;=AK$2),1,0)</f>
        <v>0</v>
      </c>
      <c r="AL62" s="329" t="n">
        <f aca="false" t="array" ref="AL62:AL62">IF(AND(AL$2&lt;&gt;0,TblTech[[#This Row],[Hour]:[Hour]]&gt;=AL$2),1,0)</f>
        <v>0</v>
      </c>
      <c r="AM62" s="329" t="n">
        <f aca="false" t="array" ref="AM62:AM62">IF(AND(AM$2&lt;&gt;0,TblTech[[#This Row],[Hour]:[Hour]]&gt;=AM$2),1,0)</f>
        <v>0</v>
      </c>
      <c r="AN62" s="329" t="n">
        <f aca="false" t="array" ref="AN62:AN62">IF(AND(AN$2&lt;&gt;0,TblTech[[#This Row],[Hour]:[Hour]]&gt;=AN$2),1,0)</f>
        <v>0</v>
      </c>
      <c r="AO62" s="329" t="n">
        <f aca="false" t="array" ref="AO62:AO62">IF(AND(AO$2&lt;&gt;0,TblTech[[#This Row],[Hour]:[Hour]]&gt;=AO$2),1,0)</f>
        <v>0</v>
      </c>
      <c r="AP62" s="329" t="n">
        <f aca="false" t="array" ref="AP62:AP62">IF(AND(AP$2&lt;&gt;0,TblTech[[#This Row],[Hour]:[Hour]]&gt;=AP$2),1,0)</f>
        <v>0</v>
      </c>
      <c r="AQ62" s="329" t="n">
        <f aca="false" t="array" ref="AQ62:AQ62">IF(AND(AQ$2&lt;&gt;0,TblTech[[#This Row],[Hour]:[Hour]]&gt;=AQ$2),1,0)</f>
        <v>0</v>
      </c>
      <c r="AR62" s="329" t="n">
        <f aca="false" t="array" ref="AR62:AR62">IF(AND(AR$2&lt;&gt;0,TblTech[[#This Row],[Hour]:[Hour]]&gt;=AR$2),1,0)</f>
        <v>0</v>
      </c>
      <c r="AS62" s="329" t="n">
        <f aca="false" t="array" ref="AS62:AS62">IF(AND(AS$2&lt;&gt;0,TblTech[[#This Row],[Hour]:[Hour]]&gt;=AS$2),1,0)</f>
        <v>0</v>
      </c>
      <c r="AT62" s="329" t="n">
        <f aca="false" t="array" ref="AT62:AT62">IF(AND(AT$2&lt;&gt;0,TblTech[[#This Row],[Hour]:[Hour]]&gt;=AT$2),1,0)</f>
        <v>0</v>
      </c>
      <c r="AU62" s="329" t="n">
        <f aca="false" t="array" ref="AU62:AU62">IF(AND(AU$2&lt;&gt;0,TblTech[[#This Row],[Hour]:[Hour]]&gt;=AU$2),1,0)</f>
        <v>0</v>
      </c>
      <c r="AV62" s="329" t="n">
        <f aca="false" t="array" ref="AV62:AV62">IF(AND(AV$2&lt;&gt;0,TblTech[[#This Row],[Hour]:[Hour]]&gt;=AV$2),1,0)</f>
        <v>0</v>
      </c>
      <c r="AW62" s="329" t="n">
        <f aca="false" t="array" ref="AW62:AW62">IF(AND(AW$2&lt;&gt;0,TblTech[[#This Row],[Hour]:[Hour]]&gt;=AW$2),1,0)</f>
        <v>0</v>
      </c>
      <c r="AX62" s="329" t="n">
        <f aca="false" t="array" ref="AX62:AX62">IF(AND(AX$2&lt;&gt;0,TblTech[[#This Row],[Hour]:[Hour]]&gt;=AX$2),1,0)</f>
        <v>0</v>
      </c>
      <c r="AY62" s="329" t="n">
        <f aca="false" t="array" ref="AY62:AY62">IF(AND(AY$2&lt;&gt;0,TblTech[[#This Row],[Hour]:[Hour]]&gt;=AY$2),1,0)</f>
        <v>0</v>
      </c>
      <c r="AZ62" s="329" t="n">
        <f aca="false" t="array" ref="AZ62:AZ62">IF(AND(AZ$2&lt;&gt;0,TblTech[[#This Row],[Hour]:[Hour]]&gt;=AZ$2),1,0)</f>
        <v>0</v>
      </c>
      <c r="BA62" s="329" t="n">
        <f aca="false" t="array" ref="BA62:BA62">IF(AND(BA$2&lt;&gt;0,TblTech[[#This Row],[Hour]:[Hour]]&gt;=BA$2),1,0)</f>
        <v>0</v>
      </c>
      <c r="BB62" s="329" t="n">
        <f aca="false" t="array" ref="BB62:BB62">IF(AND(BB$2&lt;&gt;0,TblTech[[#This Row],[Hour]:[Hour]]&gt;=BB$2),1,0)</f>
        <v>0</v>
      </c>
      <c r="BC62" s="329" t="n">
        <f aca="false" t="array" ref="BC62:BC62">IF(AND(BC$2&lt;&gt;0,TblTech[[#This Row],[Hour]:[Hour]]&gt;=BC$2),1,0)</f>
        <v>0</v>
      </c>
      <c r="BD62" s="329" t="n">
        <f aca="false" t="array" ref="BD62:BD62">IF(AND(BD$2&lt;&gt;0,TblTech[[#This Row],[Hour]:[Hour]]&gt;=BD$2),1,0)</f>
        <v>0</v>
      </c>
      <c r="BE62" s="329" t="n">
        <f aca="false" t="array" ref="BE62:BE62">IF(AND(BE$2&lt;&gt;0,TblTech[[#This Row],[Hour]:[Hour]]&gt;=BE$2),1,0)</f>
        <v>0</v>
      </c>
      <c r="BF62" s="329" t="n">
        <f aca="false" t="array" ref="BF62:BF62">IF(AND(BF$2&lt;&gt;0,TblTech[[#This Row],[Hour]:[Hour]]&gt;=BF$2),1,0)</f>
        <v>0</v>
      </c>
      <c r="BG62" s="329" t="n">
        <f aca="false" t="array" ref="BG62:BG62">IF(AND(BG$2&lt;&gt;0,TblTech[[#This Row],[Hour]:[Hour]]&gt;=BG$2),1,0)</f>
        <v>0</v>
      </c>
      <c r="BH62" s="329" t="n">
        <f aca="false" t="array" ref="BH62:BH62">IF(AND(BH$2&lt;&gt;0,TblTech[[#This Row],[Hour]:[Hour]]&gt;=BH$2),1,0)</f>
        <v>0</v>
      </c>
      <c r="BI62" s="329" t="n">
        <f aca="false" t="array" ref="BI62:BI62">IF(AND(BI$2&lt;&gt;0,TblTech[[#This Row],[Hour]:[Hour]]&gt;=BI$2),1,0)</f>
        <v>0</v>
      </c>
      <c r="BJ62" s="329" t="n">
        <f aca="false" t="array" ref="BJ62:BJ62">IF(AND(BJ$2&lt;&gt;0,TblTech[[#This Row],[Hour]:[Hour]]&gt;=BJ$2),1,0)</f>
        <v>0</v>
      </c>
      <c r="BK62" s="329" t="n">
        <f aca="false" t="array" ref="BK62:BK62">IF(AND(BK$2&lt;&gt;0,TblTech[[#This Row],[Hour]:[Hour]]&gt;=BK$2),1,0)</f>
        <v>0</v>
      </c>
      <c r="BL62" s="329" t="n">
        <f aca="false" t="array" ref="BL62:BL62">IF(AND(BL$2&lt;&gt;0,TblTech[[#This Row],[Hour]:[Hour]]&gt;=BL$2),1,0)</f>
        <v>0</v>
      </c>
      <c r="BM62" s="329" t="n">
        <f aca="false" t="array" ref="BM62:BM62">IF(AND(BM$2&lt;&gt;0,TblTech[[#This Row],[Hour]:[Hour]]&gt;=BM$2),1,0)</f>
        <v>0</v>
      </c>
      <c r="BN62" s="329" t="n">
        <f aca="false" t="array" ref="BN62:BN62">IF(AND(BN$2&lt;&gt;0,TblTech[[#This Row],[Hour]:[Hour]]&gt;=BN$2),1,0)</f>
        <v>0</v>
      </c>
      <c r="BO62" s="329" t="n">
        <f aca="false" t="array" ref="BO62:BO62">IF(AND(BO$2&lt;&gt;0,TblTech[[#This Row],[Hour]:[Hour]]&gt;=BO$2),1,0)</f>
        <v>0</v>
      </c>
      <c r="BP62" s="329" t="n">
        <f aca="false" t="array" ref="BP62:BP62">IF(AND(BP$2&lt;&gt;0,TblTech[[#This Row],[Hour]:[Hour]]&gt;=BP$2),1,0)</f>
        <v>0</v>
      </c>
      <c r="BQ62" s="329" t="n">
        <f aca="false" t="array" ref="BQ62:BQ62">IF(AND(BQ$2&lt;&gt;0,TblTech[[#This Row],[Hour]:[Hour]]&gt;=BQ$2),1,0)</f>
        <v>0</v>
      </c>
      <c r="BR62" s="329" t="n">
        <f aca="false" t="array" ref="BR62:BR62">IF(AND(BR$2&lt;&gt;0,TblTech[[#This Row],[Hour]:[Hour]]&gt;=BR$2),1,0)</f>
        <v>0</v>
      </c>
      <c r="BS62" s="329" t="n">
        <f aca="false" t="array" ref="BS62:BS62">IF(AND(BS$2&lt;&gt;0,TblTech[[#This Row],[Hour]:[Hour]]&gt;=BS$2),1,0)</f>
        <v>0</v>
      </c>
      <c r="BT62" s="329" t="n">
        <f aca="false" t="array" ref="BT62:BT62">IF(AND(BT$2&lt;&gt;0,TblTech[[#This Row],[Hour]:[Hour]]&gt;=BT$2),1,0)</f>
        <v>0</v>
      </c>
      <c r="BU62" s="329" t="n">
        <f aca="false" t="array" ref="BU62:BU62">IF(AND(BU$2&lt;&gt;0,TblTech[[#This Row],[Hour]:[Hour]]&gt;=BU$2),1,0)</f>
        <v>0</v>
      </c>
      <c r="BV62" s="329" t="n">
        <f aca="false" t="array" ref="BV62:BV62">IF(AND(BV$2&lt;&gt;0,TblTech[[#This Row],[Hour]:[Hour]]&gt;=BV$2),1,0)</f>
        <v>0</v>
      </c>
      <c r="BW62" s="329" t="n">
        <f aca="false" t="array" ref="BW62:BW62">IF(AND(BW$2&lt;&gt;0,TblTech[[#This Row],[Hour]:[Hour]]&gt;=BW$2),1,0)</f>
        <v>0</v>
      </c>
      <c r="BX62" s="329" t="n">
        <f aca="false" t="array" ref="BX62:BX62">IF(AND(BX$2&lt;&gt;0,TblTech[[#This Row],[Hour]:[Hour]]&gt;=BX$2),1,0)</f>
        <v>0</v>
      </c>
      <c r="BY62" s="329" t="n">
        <f aca="false" t="array" ref="BY62:BY62">IF(AND(BY$2&lt;&gt;0,TblTech[[#This Row],[Hour]:[Hour]]&gt;=BY$2),1,0)</f>
        <v>0</v>
      </c>
      <c r="BZ62" s="329" t="n">
        <f aca="false" t="array" ref="BZ62:BZ62">IF(AND(BZ$2&lt;&gt;0,TblTech[[#This Row],[Hour]:[Hour]]&gt;=BZ$2),1,0)</f>
        <v>0</v>
      </c>
      <c r="CA62" s="330" t="n">
        <f aca="false">IFERROR(INDEX($H$4:$H$79,MATCH(INDEX(TblTech[[#Headers],[1-1]:[11-1]],1,MATCH(TblTech[[#This Row],[Hour]],$M$2:$BZ$2,0)),$G$4:$G$79,0)),)</f>
        <v>0</v>
      </c>
    </row>
    <row r="63" customFormat="false" ht="12.75" hidden="false" customHeight="false" outlineLevel="0" collapsed="false">
      <c r="A63" s="321" t="n">
        <f aca="false">TblRezone[[#This Row],[Hour]]</f>
        <v>60</v>
      </c>
      <c r="B63" s="322" t="n">
        <f aca="false">TblExplore[[#This Row],[Land-DB]]</f>
        <v>700</v>
      </c>
      <c r="C63" s="323" t="n">
        <f aca="false">TblProd[[#This Row],[Techpoints]]</f>
        <v>700</v>
      </c>
      <c r="D63" s="323" t="n">
        <f aca="false">TblProd[[#This Row],[Required]]</f>
        <v>3750</v>
      </c>
      <c r="E63" s="324"/>
      <c r="F63" s="325"/>
      <c r="G63" s="326" t="s">
        <v>577</v>
      </c>
      <c r="H63" s="327" t="s">
        <v>693</v>
      </c>
      <c r="I63" s="326" t="s">
        <v>694</v>
      </c>
      <c r="J63" s="322"/>
      <c r="K63" s="68" t="n">
        <f aca="false">IF(TblTech[[#This Row],[Sum of tech]]&lt;&gt;OFFSET(TblTech[[#This Row],[Sum of tech]],-1,0),1,0)</f>
        <v>0</v>
      </c>
      <c r="L63" s="328" t="n">
        <f aca="false">COUNTIF(TblTech[[#This Row],[1-1]:[11-1]],1)</f>
        <v>0</v>
      </c>
      <c r="M63" s="329" t="n">
        <f aca="false" t="array" ref="M63:M63">IF(AND(M$2&lt;&gt;0,TblTech[[#This Row],[Hour]:[Hour]]&gt;=M$2),1,0)</f>
        <v>0</v>
      </c>
      <c r="N63" s="329" t="n">
        <f aca="false" t="array" ref="N63:N63">IF(AND(N$2&lt;&gt;0,TblTech[[#This Row],[Hour]:[Hour]]&gt;=N$2),1,0)</f>
        <v>0</v>
      </c>
      <c r="O63" s="329" t="n">
        <f aca="false" t="array" ref="O63:O63">IF(AND(O$2&lt;&gt;0,TblTech[[#This Row],[Hour]:[Hour]]&gt;=O$2),1,0)</f>
        <v>0</v>
      </c>
      <c r="P63" s="329" t="n">
        <f aca="false" t="array" ref="P63:P63">IF(AND(P$2&lt;&gt;0,TblTech[[#This Row],[Hour]:[Hour]]&gt;=P$2),1,0)</f>
        <v>0</v>
      </c>
      <c r="Q63" s="329" t="n">
        <f aca="false" t="array" ref="Q63:Q63">IF(AND(Q$2&lt;&gt;0,TblTech[[#This Row],[Hour]:[Hour]]&gt;=Q$2),1,0)</f>
        <v>0</v>
      </c>
      <c r="R63" s="329" t="n">
        <f aca="false" t="array" ref="R63:R63">IF(AND(R$2&lt;&gt;0,TblTech[[#This Row],[Hour]:[Hour]]&gt;=R$2),1,0)</f>
        <v>0</v>
      </c>
      <c r="S63" s="329" t="n">
        <f aca="false" t="array" ref="S63:S63">IF(AND(S$2&lt;&gt;0,TblTech[[#This Row],[Hour]:[Hour]]&gt;=S$2),1,0)</f>
        <v>0</v>
      </c>
      <c r="T63" s="329" t="n">
        <f aca="false" t="array" ref="T63:T63">IF(AND(T$2&lt;&gt;0,TblTech[[#This Row],[Hour]:[Hour]]&gt;=T$2),1,0)</f>
        <v>0</v>
      </c>
      <c r="U63" s="329" t="n">
        <f aca="false" t="array" ref="U63:U63">IF(AND(U$2&lt;&gt;0,TblTech[[#This Row],[Hour]:[Hour]]&gt;=U$2),1,0)</f>
        <v>0</v>
      </c>
      <c r="V63" s="329" t="n">
        <f aca="false" t="array" ref="V63:V63">IF(AND(V$2&lt;&gt;0,TblTech[[#This Row],[Hour]:[Hour]]&gt;=V$2),1,0)</f>
        <v>0</v>
      </c>
      <c r="W63" s="329" t="n">
        <f aca="false" t="array" ref="W63:W63">IF(AND(W$2&lt;&gt;0,TblTech[[#This Row],[Hour]:[Hour]]&gt;=W$2),1,0)</f>
        <v>0</v>
      </c>
      <c r="X63" s="329" t="n">
        <f aca="false" t="array" ref="X63:X63">IF(AND(X$2&lt;&gt;0,TblTech[[#This Row],[Hour]:[Hour]]&gt;=X$2),1,0)</f>
        <v>0</v>
      </c>
      <c r="Y63" s="329" t="n">
        <f aca="false" t="array" ref="Y63:Y63">IF(AND(Y$2&lt;&gt;0,TblTech[[#This Row],[Hour]:[Hour]]&gt;=Y$2),1,0)</f>
        <v>0</v>
      </c>
      <c r="Z63" s="329" t="n">
        <f aca="false" t="array" ref="Z63:Z63">IF(AND(Z$2&lt;&gt;0,TblTech[[#This Row],[Hour]:[Hour]]&gt;=Z$2),1,0)</f>
        <v>0</v>
      </c>
      <c r="AA63" s="329" t="n">
        <f aca="false" t="array" ref="AA63:AA63">IF(AND(AA$2&lt;&gt;0,TblTech[[#This Row],[Hour]:[Hour]]&gt;=AA$2),1,0)</f>
        <v>0</v>
      </c>
      <c r="AB63" s="329" t="n">
        <f aca="false" t="array" ref="AB63:AB63">IF(AND(AB$2&lt;&gt;0,TblTech[[#This Row],[Hour]:[Hour]]&gt;=AB$2),1,0)</f>
        <v>0</v>
      </c>
      <c r="AC63" s="329" t="n">
        <f aca="false" t="array" ref="AC63:AC63">IF(AND(AC$2&lt;&gt;0,TblTech[[#This Row],[Hour]:[Hour]]&gt;=AC$2),1,0)</f>
        <v>0</v>
      </c>
      <c r="AD63" s="329" t="n">
        <f aca="false" t="array" ref="AD63:AD63">IF(AND(AD$2&lt;&gt;0,TblTech[[#This Row],[Hour]:[Hour]]&gt;=AD$2),1,0)</f>
        <v>0</v>
      </c>
      <c r="AE63" s="329" t="n">
        <f aca="false" t="array" ref="AE63:AE63">IF(AND(AE$2&lt;&gt;0,TblTech[[#This Row],[Hour]:[Hour]]&gt;=AE$2),1,0)</f>
        <v>0</v>
      </c>
      <c r="AF63" s="329" t="n">
        <f aca="false" t="array" ref="AF63:AF63">IF(AND(AF$2&lt;&gt;0,TblTech[[#This Row],[Hour]:[Hour]]&gt;=AF$2),1,0)</f>
        <v>0</v>
      </c>
      <c r="AG63" s="329" t="n">
        <f aca="false" t="array" ref="AG63:AG63">IF(AND(AG$2&lt;&gt;0,TblTech[[#This Row],[Hour]:[Hour]]&gt;=AG$2),1,0)</f>
        <v>0</v>
      </c>
      <c r="AH63" s="329" t="n">
        <f aca="false" t="array" ref="AH63:AH63">IF(AND(AH$2&lt;&gt;0,TblTech[[#This Row],[Hour]:[Hour]]&gt;=AH$2),1,0)</f>
        <v>0</v>
      </c>
      <c r="AI63" s="329" t="n">
        <f aca="false" t="array" ref="AI63:AI63">IF(AND(AI$2&lt;&gt;0,TblTech[[#This Row],[Hour]:[Hour]]&gt;=AI$2),1,0)</f>
        <v>0</v>
      </c>
      <c r="AJ63" s="329" t="n">
        <f aca="false" t="array" ref="AJ63:AJ63">IF(AND(AJ$2&lt;&gt;0,TblTech[[#This Row],[Hour]:[Hour]]&gt;=AJ$2),1,0)</f>
        <v>0</v>
      </c>
      <c r="AK63" s="329" t="n">
        <f aca="false" t="array" ref="AK63:AK63">IF(AND(AK$2&lt;&gt;0,TblTech[[#This Row],[Hour]:[Hour]]&gt;=AK$2),1,0)</f>
        <v>0</v>
      </c>
      <c r="AL63" s="329" t="n">
        <f aca="false" t="array" ref="AL63:AL63">IF(AND(AL$2&lt;&gt;0,TblTech[[#This Row],[Hour]:[Hour]]&gt;=AL$2),1,0)</f>
        <v>0</v>
      </c>
      <c r="AM63" s="329" t="n">
        <f aca="false" t="array" ref="AM63:AM63">IF(AND(AM$2&lt;&gt;0,TblTech[[#This Row],[Hour]:[Hour]]&gt;=AM$2),1,0)</f>
        <v>0</v>
      </c>
      <c r="AN63" s="329" t="n">
        <f aca="false" t="array" ref="AN63:AN63">IF(AND(AN$2&lt;&gt;0,TblTech[[#This Row],[Hour]:[Hour]]&gt;=AN$2),1,0)</f>
        <v>0</v>
      </c>
      <c r="AO63" s="329" t="n">
        <f aca="false" t="array" ref="AO63:AO63">IF(AND(AO$2&lt;&gt;0,TblTech[[#This Row],[Hour]:[Hour]]&gt;=AO$2),1,0)</f>
        <v>0</v>
      </c>
      <c r="AP63" s="329" t="n">
        <f aca="false" t="array" ref="AP63:AP63">IF(AND(AP$2&lt;&gt;0,TblTech[[#This Row],[Hour]:[Hour]]&gt;=AP$2),1,0)</f>
        <v>0</v>
      </c>
      <c r="AQ63" s="329" t="n">
        <f aca="false" t="array" ref="AQ63:AQ63">IF(AND(AQ$2&lt;&gt;0,TblTech[[#This Row],[Hour]:[Hour]]&gt;=AQ$2),1,0)</f>
        <v>0</v>
      </c>
      <c r="AR63" s="329" t="n">
        <f aca="false" t="array" ref="AR63:AR63">IF(AND(AR$2&lt;&gt;0,TblTech[[#This Row],[Hour]:[Hour]]&gt;=AR$2),1,0)</f>
        <v>0</v>
      </c>
      <c r="AS63" s="329" t="n">
        <f aca="false" t="array" ref="AS63:AS63">IF(AND(AS$2&lt;&gt;0,TblTech[[#This Row],[Hour]:[Hour]]&gt;=AS$2),1,0)</f>
        <v>0</v>
      </c>
      <c r="AT63" s="329" t="n">
        <f aca="false" t="array" ref="AT63:AT63">IF(AND(AT$2&lt;&gt;0,TblTech[[#This Row],[Hour]:[Hour]]&gt;=AT$2),1,0)</f>
        <v>0</v>
      </c>
      <c r="AU63" s="329" t="n">
        <f aca="false" t="array" ref="AU63:AU63">IF(AND(AU$2&lt;&gt;0,TblTech[[#This Row],[Hour]:[Hour]]&gt;=AU$2),1,0)</f>
        <v>0</v>
      </c>
      <c r="AV63" s="329" t="n">
        <f aca="false" t="array" ref="AV63:AV63">IF(AND(AV$2&lt;&gt;0,TblTech[[#This Row],[Hour]:[Hour]]&gt;=AV$2),1,0)</f>
        <v>0</v>
      </c>
      <c r="AW63" s="329" t="n">
        <f aca="false" t="array" ref="AW63:AW63">IF(AND(AW$2&lt;&gt;0,TblTech[[#This Row],[Hour]:[Hour]]&gt;=AW$2),1,0)</f>
        <v>0</v>
      </c>
      <c r="AX63" s="329" t="n">
        <f aca="false" t="array" ref="AX63:AX63">IF(AND(AX$2&lt;&gt;0,TblTech[[#This Row],[Hour]:[Hour]]&gt;=AX$2),1,0)</f>
        <v>0</v>
      </c>
      <c r="AY63" s="329" t="n">
        <f aca="false" t="array" ref="AY63:AY63">IF(AND(AY$2&lt;&gt;0,TblTech[[#This Row],[Hour]:[Hour]]&gt;=AY$2),1,0)</f>
        <v>0</v>
      </c>
      <c r="AZ63" s="329" t="n">
        <f aca="false" t="array" ref="AZ63:AZ63">IF(AND(AZ$2&lt;&gt;0,TblTech[[#This Row],[Hour]:[Hour]]&gt;=AZ$2),1,0)</f>
        <v>0</v>
      </c>
      <c r="BA63" s="329" t="n">
        <f aca="false" t="array" ref="BA63:BA63">IF(AND(BA$2&lt;&gt;0,TblTech[[#This Row],[Hour]:[Hour]]&gt;=BA$2),1,0)</f>
        <v>0</v>
      </c>
      <c r="BB63" s="329" t="n">
        <f aca="false" t="array" ref="BB63:BB63">IF(AND(BB$2&lt;&gt;0,TblTech[[#This Row],[Hour]:[Hour]]&gt;=BB$2),1,0)</f>
        <v>0</v>
      </c>
      <c r="BC63" s="329" t="n">
        <f aca="false" t="array" ref="BC63:BC63">IF(AND(BC$2&lt;&gt;0,TblTech[[#This Row],[Hour]:[Hour]]&gt;=BC$2),1,0)</f>
        <v>0</v>
      </c>
      <c r="BD63" s="329" t="n">
        <f aca="false" t="array" ref="BD63:BD63">IF(AND(BD$2&lt;&gt;0,TblTech[[#This Row],[Hour]:[Hour]]&gt;=BD$2),1,0)</f>
        <v>0</v>
      </c>
      <c r="BE63" s="329" t="n">
        <f aca="false" t="array" ref="BE63:BE63">IF(AND(BE$2&lt;&gt;0,TblTech[[#This Row],[Hour]:[Hour]]&gt;=BE$2),1,0)</f>
        <v>0</v>
      </c>
      <c r="BF63" s="329" t="n">
        <f aca="false" t="array" ref="BF63:BF63">IF(AND(BF$2&lt;&gt;0,TblTech[[#This Row],[Hour]:[Hour]]&gt;=BF$2),1,0)</f>
        <v>0</v>
      </c>
      <c r="BG63" s="329" t="n">
        <f aca="false" t="array" ref="BG63:BG63">IF(AND(BG$2&lt;&gt;0,TblTech[[#This Row],[Hour]:[Hour]]&gt;=BG$2),1,0)</f>
        <v>0</v>
      </c>
      <c r="BH63" s="329" t="n">
        <f aca="false" t="array" ref="BH63:BH63">IF(AND(BH$2&lt;&gt;0,TblTech[[#This Row],[Hour]:[Hour]]&gt;=BH$2),1,0)</f>
        <v>0</v>
      </c>
      <c r="BI63" s="329" t="n">
        <f aca="false" t="array" ref="BI63:BI63">IF(AND(BI$2&lt;&gt;0,TblTech[[#This Row],[Hour]:[Hour]]&gt;=BI$2),1,0)</f>
        <v>0</v>
      </c>
      <c r="BJ63" s="329" t="n">
        <f aca="false" t="array" ref="BJ63:BJ63">IF(AND(BJ$2&lt;&gt;0,TblTech[[#This Row],[Hour]:[Hour]]&gt;=BJ$2),1,0)</f>
        <v>0</v>
      </c>
      <c r="BK63" s="329" t="n">
        <f aca="false" t="array" ref="BK63:BK63">IF(AND(BK$2&lt;&gt;0,TblTech[[#This Row],[Hour]:[Hour]]&gt;=BK$2),1,0)</f>
        <v>0</v>
      </c>
      <c r="BL63" s="329" t="n">
        <f aca="false" t="array" ref="BL63:BL63">IF(AND(BL$2&lt;&gt;0,TblTech[[#This Row],[Hour]:[Hour]]&gt;=BL$2),1,0)</f>
        <v>0</v>
      </c>
      <c r="BM63" s="329" t="n">
        <f aca="false" t="array" ref="BM63:BM63">IF(AND(BM$2&lt;&gt;0,TblTech[[#This Row],[Hour]:[Hour]]&gt;=BM$2),1,0)</f>
        <v>0</v>
      </c>
      <c r="BN63" s="329" t="n">
        <f aca="false" t="array" ref="BN63:BN63">IF(AND(BN$2&lt;&gt;0,TblTech[[#This Row],[Hour]:[Hour]]&gt;=BN$2),1,0)</f>
        <v>0</v>
      </c>
      <c r="BO63" s="329" t="n">
        <f aca="false" t="array" ref="BO63:BO63">IF(AND(BO$2&lt;&gt;0,TblTech[[#This Row],[Hour]:[Hour]]&gt;=BO$2),1,0)</f>
        <v>0</v>
      </c>
      <c r="BP63" s="329" t="n">
        <f aca="false" t="array" ref="BP63:BP63">IF(AND(BP$2&lt;&gt;0,TblTech[[#This Row],[Hour]:[Hour]]&gt;=BP$2),1,0)</f>
        <v>0</v>
      </c>
      <c r="BQ63" s="329" t="n">
        <f aca="false" t="array" ref="BQ63:BQ63">IF(AND(BQ$2&lt;&gt;0,TblTech[[#This Row],[Hour]:[Hour]]&gt;=BQ$2),1,0)</f>
        <v>0</v>
      </c>
      <c r="BR63" s="329" t="n">
        <f aca="false" t="array" ref="BR63:BR63">IF(AND(BR$2&lt;&gt;0,TblTech[[#This Row],[Hour]:[Hour]]&gt;=BR$2),1,0)</f>
        <v>0</v>
      </c>
      <c r="BS63" s="329" t="n">
        <f aca="false" t="array" ref="BS63:BS63">IF(AND(BS$2&lt;&gt;0,TblTech[[#This Row],[Hour]:[Hour]]&gt;=BS$2),1,0)</f>
        <v>0</v>
      </c>
      <c r="BT63" s="329" t="n">
        <f aca="false" t="array" ref="BT63:BT63">IF(AND(BT$2&lt;&gt;0,TblTech[[#This Row],[Hour]:[Hour]]&gt;=BT$2),1,0)</f>
        <v>0</v>
      </c>
      <c r="BU63" s="329" t="n">
        <f aca="false" t="array" ref="BU63:BU63">IF(AND(BU$2&lt;&gt;0,TblTech[[#This Row],[Hour]:[Hour]]&gt;=BU$2),1,0)</f>
        <v>0</v>
      </c>
      <c r="BV63" s="329" t="n">
        <f aca="false" t="array" ref="BV63:BV63">IF(AND(BV$2&lt;&gt;0,TblTech[[#This Row],[Hour]:[Hour]]&gt;=BV$2),1,0)</f>
        <v>0</v>
      </c>
      <c r="BW63" s="329" t="n">
        <f aca="false" t="array" ref="BW63:BW63">IF(AND(BW$2&lt;&gt;0,TblTech[[#This Row],[Hour]:[Hour]]&gt;=BW$2),1,0)</f>
        <v>0</v>
      </c>
      <c r="BX63" s="329" t="n">
        <f aca="false" t="array" ref="BX63:BX63">IF(AND(BX$2&lt;&gt;0,TblTech[[#This Row],[Hour]:[Hour]]&gt;=BX$2),1,0)</f>
        <v>0</v>
      </c>
      <c r="BY63" s="329" t="n">
        <f aca="false" t="array" ref="BY63:BY63">IF(AND(BY$2&lt;&gt;0,TblTech[[#This Row],[Hour]:[Hour]]&gt;=BY$2),1,0)</f>
        <v>0</v>
      </c>
      <c r="BZ63" s="329" t="n">
        <f aca="false" t="array" ref="BZ63:BZ63">IF(AND(BZ$2&lt;&gt;0,TblTech[[#This Row],[Hour]:[Hour]]&gt;=BZ$2),1,0)</f>
        <v>0</v>
      </c>
      <c r="CA63" s="330" t="n">
        <f aca="false">IFERROR(INDEX($H$4:$H$79,MATCH(INDEX(TblTech[[#Headers],[1-1]:[11-1]],1,MATCH(TblTech[[#This Row],[Hour]],$M$2:$BZ$2,0)),$G$4:$G$79,0)),)</f>
        <v>0</v>
      </c>
    </row>
    <row r="64" customFormat="false" ht="12.75" hidden="false" customHeight="false" outlineLevel="0" collapsed="false">
      <c r="A64" s="321" t="n">
        <f aca="false">TblRezone[[#This Row],[Hour]]</f>
        <v>61</v>
      </c>
      <c r="B64" s="322" t="n">
        <f aca="false">TblExplore[[#This Row],[Land-DB]]</f>
        <v>700</v>
      </c>
      <c r="C64" s="323" t="n">
        <f aca="false">TblProd[[#This Row],[Techpoints]]</f>
        <v>1050</v>
      </c>
      <c r="D64" s="323" t="n">
        <f aca="false">TblProd[[#This Row],[Required]]</f>
        <v>3750</v>
      </c>
      <c r="E64" s="324"/>
      <c r="F64" s="325"/>
      <c r="G64" s="326" t="s">
        <v>578</v>
      </c>
      <c r="H64" s="327" t="s">
        <v>695</v>
      </c>
      <c r="I64" s="326" t="s">
        <v>696</v>
      </c>
      <c r="J64" s="322"/>
      <c r="K64" s="68" t="n">
        <f aca="false">IF(TblTech[[#This Row],[Sum of tech]]&lt;&gt;OFFSET(TblTech[[#This Row],[Sum of tech]],-1,0),1,0)</f>
        <v>0</v>
      </c>
      <c r="L64" s="328" t="n">
        <f aca="false">COUNTIF(TblTech[[#This Row],[1-1]:[11-1]],1)</f>
        <v>0</v>
      </c>
      <c r="M64" s="329" t="n">
        <f aca="false" t="array" ref="M64:M64">IF(AND(M$2&lt;&gt;0,TblTech[[#This Row],[Hour]:[Hour]]&gt;=M$2),1,0)</f>
        <v>0</v>
      </c>
      <c r="N64" s="329" t="n">
        <f aca="false" t="array" ref="N64:N64">IF(AND(N$2&lt;&gt;0,TblTech[[#This Row],[Hour]:[Hour]]&gt;=N$2),1,0)</f>
        <v>0</v>
      </c>
      <c r="O64" s="329" t="n">
        <f aca="false" t="array" ref="O64:O64">IF(AND(O$2&lt;&gt;0,TblTech[[#This Row],[Hour]:[Hour]]&gt;=O$2),1,0)</f>
        <v>0</v>
      </c>
      <c r="P64" s="329" t="n">
        <f aca="false" t="array" ref="P64:P64">IF(AND(P$2&lt;&gt;0,TblTech[[#This Row],[Hour]:[Hour]]&gt;=P$2),1,0)</f>
        <v>0</v>
      </c>
      <c r="Q64" s="329" t="n">
        <f aca="false" t="array" ref="Q64:Q64">IF(AND(Q$2&lt;&gt;0,TblTech[[#This Row],[Hour]:[Hour]]&gt;=Q$2),1,0)</f>
        <v>0</v>
      </c>
      <c r="R64" s="329" t="n">
        <f aca="false" t="array" ref="R64:R64">IF(AND(R$2&lt;&gt;0,TblTech[[#This Row],[Hour]:[Hour]]&gt;=R$2),1,0)</f>
        <v>0</v>
      </c>
      <c r="S64" s="329" t="n">
        <f aca="false" t="array" ref="S64:S64">IF(AND(S$2&lt;&gt;0,TblTech[[#This Row],[Hour]:[Hour]]&gt;=S$2),1,0)</f>
        <v>0</v>
      </c>
      <c r="T64" s="329" t="n">
        <f aca="false" t="array" ref="T64:T64">IF(AND(T$2&lt;&gt;0,TblTech[[#This Row],[Hour]:[Hour]]&gt;=T$2),1,0)</f>
        <v>0</v>
      </c>
      <c r="U64" s="329" t="n">
        <f aca="false" t="array" ref="U64:U64">IF(AND(U$2&lt;&gt;0,TblTech[[#This Row],[Hour]:[Hour]]&gt;=U$2),1,0)</f>
        <v>0</v>
      </c>
      <c r="V64" s="329" t="n">
        <f aca="false" t="array" ref="V64:V64">IF(AND(V$2&lt;&gt;0,TblTech[[#This Row],[Hour]:[Hour]]&gt;=V$2),1,0)</f>
        <v>0</v>
      </c>
      <c r="W64" s="329" t="n">
        <f aca="false" t="array" ref="W64:W64">IF(AND(W$2&lt;&gt;0,TblTech[[#This Row],[Hour]:[Hour]]&gt;=W$2),1,0)</f>
        <v>0</v>
      </c>
      <c r="X64" s="329" t="n">
        <f aca="false" t="array" ref="X64:X64">IF(AND(X$2&lt;&gt;0,TblTech[[#This Row],[Hour]:[Hour]]&gt;=X$2),1,0)</f>
        <v>0</v>
      </c>
      <c r="Y64" s="329" t="n">
        <f aca="false" t="array" ref="Y64:Y64">IF(AND(Y$2&lt;&gt;0,TblTech[[#This Row],[Hour]:[Hour]]&gt;=Y$2),1,0)</f>
        <v>0</v>
      </c>
      <c r="Z64" s="329" t="n">
        <f aca="false" t="array" ref="Z64:Z64">IF(AND(Z$2&lt;&gt;0,TblTech[[#This Row],[Hour]:[Hour]]&gt;=Z$2),1,0)</f>
        <v>0</v>
      </c>
      <c r="AA64" s="329" t="n">
        <f aca="false" t="array" ref="AA64:AA64">IF(AND(AA$2&lt;&gt;0,TblTech[[#This Row],[Hour]:[Hour]]&gt;=AA$2),1,0)</f>
        <v>0</v>
      </c>
      <c r="AB64" s="329" t="n">
        <f aca="false" t="array" ref="AB64:AB64">IF(AND(AB$2&lt;&gt;0,TblTech[[#This Row],[Hour]:[Hour]]&gt;=AB$2),1,0)</f>
        <v>0</v>
      </c>
      <c r="AC64" s="329" t="n">
        <f aca="false" t="array" ref="AC64:AC64">IF(AND(AC$2&lt;&gt;0,TblTech[[#This Row],[Hour]:[Hour]]&gt;=AC$2),1,0)</f>
        <v>0</v>
      </c>
      <c r="AD64" s="329" t="n">
        <f aca="false" t="array" ref="AD64:AD64">IF(AND(AD$2&lt;&gt;0,TblTech[[#This Row],[Hour]:[Hour]]&gt;=AD$2),1,0)</f>
        <v>0</v>
      </c>
      <c r="AE64" s="329" t="n">
        <f aca="false" t="array" ref="AE64:AE64">IF(AND(AE$2&lt;&gt;0,TblTech[[#This Row],[Hour]:[Hour]]&gt;=AE$2),1,0)</f>
        <v>0</v>
      </c>
      <c r="AF64" s="329" t="n">
        <f aca="false" t="array" ref="AF64:AF64">IF(AND(AF$2&lt;&gt;0,TblTech[[#This Row],[Hour]:[Hour]]&gt;=AF$2),1,0)</f>
        <v>0</v>
      </c>
      <c r="AG64" s="329" t="n">
        <f aca="false" t="array" ref="AG64:AG64">IF(AND(AG$2&lt;&gt;0,TblTech[[#This Row],[Hour]:[Hour]]&gt;=AG$2),1,0)</f>
        <v>0</v>
      </c>
      <c r="AH64" s="329" t="n">
        <f aca="false" t="array" ref="AH64:AH64">IF(AND(AH$2&lt;&gt;0,TblTech[[#This Row],[Hour]:[Hour]]&gt;=AH$2),1,0)</f>
        <v>0</v>
      </c>
      <c r="AI64" s="329" t="n">
        <f aca="false" t="array" ref="AI64:AI64">IF(AND(AI$2&lt;&gt;0,TblTech[[#This Row],[Hour]:[Hour]]&gt;=AI$2),1,0)</f>
        <v>0</v>
      </c>
      <c r="AJ64" s="329" t="n">
        <f aca="false" t="array" ref="AJ64:AJ64">IF(AND(AJ$2&lt;&gt;0,TblTech[[#This Row],[Hour]:[Hour]]&gt;=AJ$2),1,0)</f>
        <v>0</v>
      </c>
      <c r="AK64" s="329" t="n">
        <f aca="false" t="array" ref="AK64:AK64">IF(AND(AK$2&lt;&gt;0,TblTech[[#This Row],[Hour]:[Hour]]&gt;=AK$2),1,0)</f>
        <v>0</v>
      </c>
      <c r="AL64" s="329" t="n">
        <f aca="false" t="array" ref="AL64:AL64">IF(AND(AL$2&lt;&gt;0,TblTech[[#This Row],[Hour]:[Hour]]&gt;=AL$2),1,0)</f>
        <v>0</v>
      </c>
      <c r="AM64" s="329" t="n">
        <f aca="false" t="array" ref="AM64:AM64">IF(AND(AM$2&lt;&gt;0,TblTech[[#This Row],[Hour]:[Hour]]&gt;=AM$2),1,0)</f>
        <v>0</v>
      </c>
      <c r="AN64" s="329" t="n">
        <f aca="false" t="array" ref="AN64:AN64">IF(AND(AN$2&lt;&gt;0,TblTech[[#This Row],[Hour]:[Hour]]&gt;=AN$2),1,0)</f>
        <v>0</v>
      </c>
      <c r="AO64" s="329" t="n">
        <f aca="false" t="array" ref="AO64:AO64">IF(AND(AO$2&lt;&gt;0,TblTech[[#This Row],[Hour]:[Hour]]&gt;=AO$2),1,0)</f>
        <v>0</v>
      </c>
      <c r="AP64" s="329" t="n">
        <f aca="false" t="array" ref="AP64:AP64">IF(AND(AP$2&lt;&gt;0,TblTech[[#This Row],[Hour]:[Hour]]&gt;=AP$2),1,0)</f>
        <v>0</v>
      </c>
      <c r="AQ64" s="329" t="n">
        <f aca="false" t="array" ref="AQ64:AQ64">IF(AND(AQ$2&lt;&gt;0,TblTech[[#This Row],[Hour]:[Hour]]&gt;=AQ$2),1,0)</f>
        <v>0</v>
      </c>
      <c r="AR64" s="329" t="n">
        <f aca="false" t="array" ref="AR64:AR64">IF(AND(AR$2&lt;&gt;0,TblTech[[#This Row],[Hour]:[Hour]]&gt;=AR$2),1,0)</f>
        <v>0</v>
      </c>
      <c r="AS64" s="329" t="n">
        <f aca="false" t="array" ref="AS64:AS64">IF(AND(AS$2&lt;&gt;0,TblTech[[#This Row],[Hour]:[Hour]]&gt;=AS$2),1,0)</f>
        <v>0</v>
      </c>
      <c r="AT64" s="329" t="n">
        <f aca="false" t="array" ref="AT64:AT64">IF(AND(AT$2&lt;&gt;0,TblTech[[#This Row],[Hour]:[Hour]]&gt;=AT$2),1,0)</f>
        <v>0</v>
      </c>
      <c r="AU64" s="329" t="n">
        <f aca="false" t="array" ref="AU64:AU64">IF(AND(AU$2&lt;&gt;0,TblTech[[#This Row],[Hour]:[Hour]]&gt;=AU$2),1,0)</f>
        <v>0</v>
      </c>
      <c r="AV64" s="329" t="n">
        <f aca="false" t="array" ref="AV64:AV64">IF(AND(AV$2&lt;&gt;0,TblTech[[#This Row],[Hour]:[Hour]]&gt;=AV$2),1,0)</f>
        <v>0</v>
      </c>
      <c r="AW64" s="329" t="n">
        <f aca="false" t="array" ref="AW64:AW64">IF(AND(AW$2&lt;&gt;0,TblTech[[#This Row],[Hour]:[Hour]]&gt;=AW$2),1,0)</f>
        <v>0</v>
      </c>
      <c r="AX64" s="329" t="n">
        <f aca="false" t="array" ref="AX64:AX64">IF(AND(AX$2&lt;&gt;0,TblTech[[#This Row],[Hour]:[Hour]]&gt;=AX$2),1,0)</f>
        <v>0</v>
      </c>
      <c r="AY64" s="329" t="n">
        <f aca="false" t="array" ref="AY64:AY64">IF(AND(AY$2&lt;&gt;0,TblTech[[#This Row],[Hour]:[Hour]]&gt;=AY$2),1,0)</f>
        <v>0</v>
      </c>
      <c r="AZ64" s="329" t="n">
        <f aca="false" t="array" ref="AZ64:AZ64">IF(AND(AZ$2&lt;&gt;0,TblTech[[#This Row],[Hour]:[Hour]]&gt;=AZ$2),1,0)</f>
        <v>0</v>
      </c>
      <c r="BA64" s="329" t="n">
        <f aca="false" t="array" ref="BA64:BA64">IF(AND(BA$2&lt;&gt;0,TblTech[[#This Row],[Hour]:[Hour]]&gt;=BA$2),1,0)</f>
        <v>0</v>
      </c>
      <c r="BB64" s="329" t="n">
        <f aca="false" t="array" ref="BB64:BB64">IF(AND(BB$2&lt;&gt;0,TblTech[[#This Row],[Hour]:[Hour]]&gt;=BB$2),1,0)</f>
        <v>0</v>
      </c>
      <c r="BC64" s="329" t="n">
        <f aca="false" t="array" ref="BC64:BC64">IF(AND(BC$2&lt;&gt;0,TblTech[[#This Row],[Hour]:[Hour]]&gt;=BC$2),1,0)</f>
        <v>0</v>
      </c>
      <c r="BD64" s="329" t="n">
        <f aca="false" t="array" ref="BD64:BD64">IF(AND(BD$2&lt;&gt;0,TblTech[[#This Row],[Hour]:[Hour]]&gt;=BD$2),1,0)</f>
        <v>0</v>
      </c>
      <c r="BE64" s="329" t="n">
        <f aca="false" t="array" ref="BE64:BE64">IF(AND(BE$2&lt;&gt;0,TblTech[[#This Row],[Hour]:[Hour]]&gt;=BE$2),1,0)</f>
        <v>0</v>
      </c>
      <c r="BF64" s="329" t="n">
        <f aca="false" t="array" ref="BF64:BF64">IF(AND(BF$2&lt;&gt;0,TblTech[[#This Row],[Hour]:[Hour]]&gt;=BF$2),1,0)</f>
        <v>0</v>
      </c>
      <c r="BG64" s="329" t="n">
        <f aca="false" t="array" ref="BG64:BG64">IF(AND(BG$2&lt;&gt;0,TblTech[[#This Row],[Hour]:[Hour]]&gt;=BG$2),1,0)</f>
        <v>0</v>
      </c>
      <c r="BH64" s="329" t="n">
        <f aca="false" t="array" ref="BH64:BH64">IF(AND(BH$2&lt;&gt;0,TblTech[[#This Row],[Hour]:[Hour]]&gt;=BH$2),1,0)</f>
        <v>0</v>
      </c>
      <c r="BI64" s="329" t="n">
        <f aca="false" t="array" ref="BI64:BI64">IF(AND(BI$2&lt;&gt;0,TblTech[[#This Row],[Hour]:[Hour]]&gt;=BI$2),1,0)</f>
        <v>0</v>
      </c>
      <c r="BJ64" s="329" t="n">
        <f aca="false" t="array" ref="BJ64:BJ64">IF(AND(BJ$2&lt;&gt;0,TblTech[[#This Row],[Hour]:[Hour]]&gt;=BJ$2),1,0)</f>
        <v>0</v>
      </c>
      <c r="BK64" s="329" t="n">
        <f aca="false" t="array" ref="BK64:BK64">IF(AND(BK$2&lt;&gt;0,TblTech[[#This Row],[Hour]:[Hour]]&gt;=BK$2),1,0)</f>
        <v>0</v>
      </c>
      <c r="BL64" s="329" t="n">
        <f aca="false" t="array" ref="BL64:BL64">IF(AND(BL$2&lt;&gt;0,TblTech[[#This Row],[Hour]:[Hour]]&gt;=BL$2),1,0)</f>
        <v>0</v>
      </c>
      <c r="BM64" s="329" t="n">
        <f aca="false" t="array" ref="BM64:BM64">IF(AND(BM$2&lt;&gt;0,TblTech[[#This Row],[Hour]:[Hour]]&gt;=BM$2),1,0)</f>
        <v>0</v>
      </c>
      <c r="BN64" s="329" t="n">
        <f aca="false" t="array" ref="BN64:BN64">IF(AND(BN$2&lt;&gt;0,TblTech[[#This Row],[Hour]:[Hour]]&gt;=BN$2),1,0)</f>
        <v>0</v>
      </c>
      <c r="BO64" s="329" t="n">
        <f aca="false" t="array" ref="BO64:BO64">IF(AND(BO$2&lt;&gt;0,TblTech[[#This Row],[Hour]:[Hour]]&gt;=BO$2),1,0)</f>
        <v>0</v>
      </c>
      <c r="BP64" s="329" t="n">
        <f aca="false" t="array" ref="BP64:BP64">IF(AND(BP$2&lt;&gt;0,TblTech[[#This Row],[Hour]:[Hour]]&gt;=BP$2),1,0)</f>
        <v>0</v>
      </c>
      <c r="BQ64" s="329" t="n">
        <f aca="false" t="array" ref="BQ64:BQ64">IF(AND(BQ$2&lt;&gt;0,TblTech[[#This Row],[Hour]:[Hour]]&gt;=BQ$2),1,0)</f>
        <v>0</v>
      </c>
      <c r="BR64" s="329" t="n">
        <f aca="false" t="array" ref="BR64:BR64">IF(AND(BR$2&lt;&gt;0,TblTech[[#This Row],[Hour]:[Hour]]&gt;=BR$2),1,0)</f>
        <v>0</v>
      </c>
      <c r="BS64" s="329" t="n">
        <f aca="false" t="array" ref="BS64:BS64">IF(AND(BS$2&lt;&gt;0,TblTech[[#This Row],[Hour]:[Hour]]&gt;=BS$2),1,0)</f>
        <v>0</v>
      </c>
      <c r="BT64" s="329" t="n">
        <f aca="false" t="array" ref="BT64:BT64">IF(AND(BT$2&lt;&gt;0,TblTech[[#This Row],[Hour]:[Hour]]&gt;=BT$2),1,0)</f>
        <v>0</v>
      </c>
      <c r="BU64" s="329" t="n">
        <f aca="false" t="array" ref="BU64:BU64">IF(AND(BU$2&lt;&gt;0,TblTech[[#This Row],[Hour]:[Hour]]&gt;=BU$2),1,0)</f>
        <v>0</v>
      </c>
      <c r="BV64" s="329" t="n">
        <f aca="false" t="array" ref="BV64:BV64">IF(AND(BV$2&lt;&gt;0,TblTech[[#This Row],[Hour]:[Hour]]&gt;=BV$2),1,0)</f>
        <v>0</v>
      </c>
      <c r="BW64" s="329" t="n">
        <f aca="false" t="array" ref="BW64:BW64">IF(AND(BW$2&lt;&gt;0,TblTech[[#This Row],[Hour]:[Hour]]&gt;=BW$2),1,0)</f>
        <v>0</v>
      </c>
      <c r="BX64" s="329" t="n">
        <f aca="false" t="array" ref="BX64:BX64">IF(AND(BX$2&lt;&gt;0,TblTech[[#This Row],[Hour]:[Hour]]&gt;=BX$2),1,0)</f>
        <v>0</v>
      </c>
      <c r="BY64" s="329" t="n">
        <f aca="false" t="array" ref="BY64:BY64">IF(AND(BY$2&lt;&gt;0,TblTech[[#This Row],[Hour]:[Hour]]&gt;=BY$2),1,0)</f>
        <v>0</v>
      </c>
      <c r="BZ64" s="329" t="n">
        <f aca="false" t="array" ref="BZ64:BZ64">IF(AND(BZ$2&lt;&gt;0,TblTech[[#This Row],[Hour]:[Hour]]&gt;=BZ$2),1,0)</f>
        <v>0</v>
      </c>
      <c r="CA64" s="330" t="n">
        <f aca="false">IFERROR(INDEX($H$4:$H$79,MATCH(INDEX(TblTech[[#Headers],[1-1]:[11-1]],1,MATCH(TblTech[[#This Row],[Hour]],$M$2:$BZ$2,0)),$G$4:$G$79,0)),)</f>
        <v>0</v>
      </c>
    </row>
    <row r="65" customFormat="false" ht="12.75" hidden="false" customHeight="false" outlineLevel="0" collapsed="false">
      <c r="A65" s="321" t="n">
        <f aca="false">TblRezone[[#This Row],[Hour]]</f>
        <v>62</v>
      </c>
      <c r="B65" s="322" t="n">
        <f aca="false">TblExplore[[#This Row],[Land-DB]]</f>
        <v>700</v>
      </c>
      <c r="C65" s="323" t="n">
        <f aca="false">TblProd[[#This Row],[Techpoints]]</f>
        <v>1050</v>
      </c>
      <c r="D65" s="323" t="n">
        <f aca="false">TblProd[[#This Row],[Required]]</f>
        <v>3750</v>
      </c>
      <c r="E65" s="324"/>
      <c r="F65" s="325"/>
      <c r="G65" s="326" t="s">
        <v>579</v>
      </c>
      <c r="H65" s="327" t="s">
        <v>697</v>
      </c>
      <c r="I65" s="326" t="s">
        <v>698</v>
      </c>
      <c r="J65" s="322"/>
      <c r="K65" s="68" t="n">
        <f aca="false">IF(TblTech[[#This Row],[Sum of tech]]&lt;&gt;OFFSET(TblTech[[#This Row],[Sum of tech]],-1,0),1,0)</f>
        <v>0</v>
      </c>
      <c r="L65" s="328" t="n">
        <f aca="false">COUNTIF(TblTech[[#This Row],[1-1]:[11-1]],1)</f>
        <v>0</v>
      </c>
      <c r="M65" s="329" t="n">
        <f aca="false" t="array" ref="M65:M65">IF(AND(M$2&lt;&gt;0,TblTech[[#This Row],[Hour]:[Hour]]&gt;=M$2),1,0)</f>
        <v>0</v>
      </c>
      <c r="N65" s="329" t="n">
        <f aca="false" t="array" ref="N65:N65">IF(AND(N$2&lt;&gt;0,TblTech[[#This Row],[Hour]:[Hour]]&gt;=N$2),1,0)</f>
        <v>0</v>
      </c>
      <c r="O65" s="329" t="n">
        <f aca="false" t="array" ref="O65:O65">IF(AND(O$2&lt;&gt;0,TblTech[[#This Row],[Hour]:[Hour]]&gt;=O$2),1,0)</f>
        <v>0</v>
      </c>
      <c r="P65" s="329" t="n">
        <f aca="false" t="array" ref="P65:P65">IF(AND(P$2&lt;&gt;0,TblTech[[#This Row],[Hour]:[Hour]]&gt;=P$2),1,0)</f>
        <v>0</v>
      </c>
      <c r="Q65" s="329" t="n">
        <f aca="false" t="array" ref="Q65:Q65">IF(AND(Q$2&lt;&gt;0,TblTech[[#This Row],[Hour]:[Hour]]&gt;=Q$2),1,0)</f>
        <v>0</v>
      </c>
      <c r="R65" s="329" t="n">
        <f aca="false" t="array" ref="R65:R65">IF(AND(R$2&lt;&gt;0,TblTech[[#This Row],[Hour]:[Hour]]&gt;=R$2),1,0)</f>
        <v>0</v>
      </c>
      <c r="S65" s="329" t="n">
        <f aca="false" t="array" ref="S65:S65">IF(AND(S$2&lt;&gt;0,TblTech[[#This Row],[Hour]:[Hour]]&gt;=S$2),1,0)</f>
        <v>0</v>
      </c>
      <c r="T65" s="329" t="n">
        <f aca="false" t="array" ref="T65:T65">IF(AND(T$2&lt;&gt;0,TblTech[[#This Row],[Hour]:[Hour]]&gt;=T$2),1,0)</f>
        <v>0</v>
      </c>
      <c r="U65" s="329" t="n">
        <f aca="false" t="array" ref="U65:U65">IF(AND(U$2&lt;&gt;0,TblTech[[#This Row],[Hour]:[Hour]]&gt;=U$2),1,0)</f>
        <v>0</v>
      </c>
      <c r="V65" s="329" t="n">
        <f aca="false" t="array" ref="V65:V65">IF(AND(V$2&lt;&gt;0,TblTech[[#This Row],[Hour]:[Hour]]&gt;=V$2),1,0)</f>
        <v>0</v>
      </c>
      <c r="W65" s="329" t="n">
        <f aca="false" t="array" ref="W65:W65">IF(AND(W$2&lt;&gt;0,TblTech[[#This Row],[Hour]:[Hour]]&gt;=W$2),1,0)</f>
        <v>0</v>
      </c>
      <c r="X65" s="329" t="n">
        <f aca="false" t="array" ref="X65:X65">IF(AND(X$2&lt;&gt;0,TblTech[[#This Row],[Hour]:[Hour]]&gt;=X$2),1,0)</f>
        <v>0</v>
      </c>
      <c r="Y65" s="329" t="n">
        <f aca="false" t="array" ref="Y65:Y65">IF(AND(Y$2&lt;&gt;0,TblTech[[#This Row],[Hour]:[Hour]]&gt;=Y$2),1,0)</f>
        <v>0</v>
      </c>
      <c r="Z65" s="329" t="n">
        <f aca="false" t="array" ref="Z65:Z65">IF(AND(Z$2&lt;&gt;0,TblTech[[#This Row],[Hour]:[Hour]]&gt;=Z$2),1,0)</f>
        <v>0</v>
      </c>
      <c r="AA65" s="329" t="n">
        <f aca="false" t="array" ref="AA65:AA65">IF(AND(AA$2&lt;&gt;0,TblTech[[#This Row],[Hour]:[Hour]]&gt;=AA$2),1,0)</f>
        <v>0</v>
      </c>
      <c r="AB65" s="329" t="n">
        <f aca="false" t="array" ref="AB65:AB65">IF(AND(AB$2&lt;&gt;0,TblTech[[#This Row],[Hour]:[Hour]]&gt;=AB$2),1,0)</f>
        <v>0</v>
      </c>
      <c r="AC65" s="329" t="n">
        <f aca="false" t="array" ref="AC65:AC65">IF(AND(AC$2&lt;&gt;0,TblTech[[#This Row],[Hour]:[Hour]]&gt;=AC$2),1,0)</f>
        <v>0</v>
      </c>
      <c r="AD65" s="329" t="n">
        <f aca="false" t="array" ref="AD65:AD65">IF(AND(AD$2&lt;&gt;0,TblTech[[#This Row],[Hour]:[Hour]]&gt;=AD$2),1,0)</f>
        <v>0</v>
      </c>
      <c r="AE65" s="329" t="n">
        <f aca="false" t="array" ref="AE65:AE65">IF(AND(AE$2&lt;&gt;0,TblTech[[#This Row],[Hour]:[Hour]]&gt;=AE$2),1,0)</f>
        <v>0</v>
      </c>
      <c r="AF65" s="329" t="n">
        <f aca="false" t="array" ref="AF65:AF65">IF(AND(AF$2&lt;&gt;0,TblTech[[#This Row],[Hour]:[Hour]]&gt;=AF$2),1,0)</f>
        <v>0</v>
      </c>
      <c r="AG65" s="329" t="n">
        <f aca="false" t="array" ref="AG65:AG65">IF(AND(AG$2&lt;&gt;0,TblTech[[#This Row],[Hour]:[Hour]]&gt;=AG$2),1,0)</f>
        <v>0</v>
      </c>
      <c r="AH65" s="329" t="n">
        <f aca="false" t="array" ref="AH65:AH65">IF(AND(AH$2&lt;&gt;0,TblTech[[#This Row],[Hour]:[Hour]]&gt;=AH$2),1,0)</f>
        <v>0</v>
      </c>
      <c r="AI65" s="329" t="n">
        <f aca="false" t="array" ref="AI65:AI65">IF(AND(AI$2&lt;&gt;0,TblTech[[#This Row],[Hour]:[Hour]]&gt;=AI$2),1,0)</f>
        <v>0</v>
      </c>
      <c r="AJ65" s="329" t="n">
        <f aca="false" t="array" ref="AJ65:AJ65">IF(AND(AJ$2&lt;&gt;0,TblTech[[#This Row],[Hour]:[Hour]]&gt;=AJ$2),1,0)</f>
        <v>0</v>
      </c>
      <c r="AK65" s="329" t="n">
        <f aca="false" t="array" ref="AK65:AK65">IF(AND(AK$2&lt;&gt;0,TblTech[[#This Row],[Hour]:[Hour]]&gt;=AK$2),1,0)</f>
        <v>0</v>
      </c>
      <c r="AL65" s="329" t="n">
        <f aca="false" t="array" ref="AL65:AL65">IF(AND(AL$2&lt;&gt;0,TblTech[[#This Row],[Hour]:[Hour]]&gt;=AL$2),1,0)</f>
        <v>0</v>
      </c>
      <c r="AM65" s="329" t="n">
        <f aca="false" t="array" ref="AM65:AM65">IF(AND(AM$2&lt;&gt;0,TblTech[[#This Row],[Hour]:[Hour]]&gt;=AM$2),1,0)</f>
        <v>0</v>
      </c>
      <c r="AN65" s="329" t="n">
        <f aca="false" t="array" ref="AN65:AN65">IF(AND(AN$2&lt;&gt;0,TblTech[[#This Row],[Hour]:[Hour]]&gt;=AN$2),1,0)</f>
        <v>0</v>
      </c>
      <c r="AO65" s="329" t="n">
        <f aca="false" t="array" ref="AO65:AO65">IF(AND(AO$2&lt;&gt;0,TblTech[[#This Row],[Hour]:[Hour]]&gt;=AO$2),1,0)</f>
        <v>0</v>
      </c>
      <c r="AP65" s="329" t="n">
        <f aca="false" t="array" ref="AP65:AP65">IF(AND(AP$2&lt;&gt;0,TblTech[[#This Row],[Hour]:[Hour]]&gt;=AP$2),1,0)</f>
        <v>0</v>
      </c>
      <c r="AQ65" s="329" t="n">
        <f aca="false" t="array" ref="AQ65:AQ65">IF(AND(AQ$2&lt;&gt;0,TblTech[[#This Row],[Hour]:[Hour]]&gt;=AQ$2),1,0)</f>
        <v>0</v>
      </c>
      <c r="AR65" s="329" t="n">
        <f aca="false" t="array" ref="AR65:AR65">IF(AND(AR$2&lt;&gt;0,TblTech[[#This Row],[Hour]:[Hour]]&gt;=AR$2),1,0)</f>
        <v>0</v>
      </c>
      <c r="AS65" s="329" t="n">
        <f aca="false" t="array" ref="AS65:AS65">IF(AND(AS$2&lt;&gt;0,TblTech[[#This Row],[Hour]:[Hour]]&gt;=AS$2),1,0)</f>
        <v>0</v>
      </c>
      <c r="AT65" s="329" t="n">
        <f aca="false" t="array" ref="AT65:AT65">IF(AND(AT$2&lt;&gt;0,TblTech[[#This Row],[Hour]:[Hour]]&gt;=AT$2),1,0)</f>
        <v>0</v>
      </c>
      <c r="AU65" s="329" t="n">
        <f aca="false" t="array" ref="AU65:AU65">IF(AND(AU$2&lt;&gt;0,TblTech[[#This Row],[Hour]:[Hour]]&gt;=AU$2),1,0)</f>
        <v>0</v>
      </c>
      <c r="AV65" s="329" t="n">
        <f aca="false" t="array" ref="AV65:AV65">IF(AND(AV$2&lt;&gt;0,TblTech[[#This Row],[Hour]:[Hour]]&gt;=AV$2),1,0)</f>
        <v>0</v>
      </c>
      <c r="AW65" s="329" t="n">
        <f aca="false" t="array" ref="AW65:AW65">IF(AND(AW$2&lt;&gt;0,TblTech[[#This Row],[Hour]:[Hour]]&gt;=AW$2),1,0)</f>
        <v>0</v>
      </c>
      <c r="AX65" s="329" t="n">
        <f aca="false" t="array" ref="AX65:AX65">IF(AND(AX$2&lt;&gt;0,TblTech[[#This Row],[Hour]:[Hour]]&gt;=AX$2),1,0)</f>
        <v>0</v>
      </c>
      <c r="AY65" s="329" t="n">
        <f aca="false" t="array" ref="AY65:AY65">IF(AND(AY$2&lt;&gt;0,TblTech[[#This Row],[Hour]:[Hour]]&gt;=AY$2),1,0)</f>
        <v>0</v>
      </c>
      <c r="AZ65" s="329" t="n">
        <f aca="false" t="array" ref="AZ65:AZ65">IF(AND(AZ$2&lt;&gt;0,TblTech[[#This Row],[Hour]:[Hour]]&gt;=AZ$2),1,0)</f>
        <v>0</v>
      </c>
      <c r="BA65" s="329" t="n">
        <f aca="false" t="array" ref="BA65:BA65">IF(AND(BA$2&lt;&gt;0,TblTech[[#This Row],[Hour]:[Hour]]&gt;=BA$2),1,0)</f>
        <v>0</v>
      </c>
      <c r="BB65" s="329" t="n">
        <f aca="false" t="array" ref="BB65:BB65">IF(AND(BB$2&lt;&gt;0,TblTech[[#This Row],[Hour]:[Hour]]&gt;=BB$2),1,0)</f>
        <v>0</v>
      </c>
      <c r="BC65" s="329" t="n">
        <f aca="false" t="array" ref="BC65:BC65">IF(AND(BC$2&lt;&gt;0,TblTech[[#This Row],[Hour]:[Hour]]&gt;=BC$2),1,0)</f>
        <v>0</v>
      </c>
      <c r="BD65" s="329" t="n">
        <f aca="false" t="array" ref="BD65:BD65">IF(AND(BD$2&lt;&gt;0,TblTech[[#This Row],[Hour]:[Hour]]&gt;=BD$2),1,0)</f>
        <v>0</v>
      </c>
      <c r="BE65" s="329" t="n">
        <f aca="false" t="array" ref="BE65:BE65">IF(AND(BE$2&lt;&gt;0,TblTech[[#This Row],[Hour]:[Hour]]&gt;=BE$2),1,0)</f>
        <v>0</v>
      </c>
      <c r="BF65" s="329" t="n">
        <f aca="false" t="array" ref="BF65:BF65">IF(AND(BF$2&lt;&gt;0,TblTech[[#This Row],[Hour]:[Hour]]&gt;=BF$2),1,0)</f>
        <v>0</v>
      </c>
      <c r="BG65" s="329" t="n">
        <f aca="false" t="array" ref="BG65:BG65">IF(AND(BG$2&lt;&gt;0,TblTech[[#This Row],[Hour]:[Hour]]&gt;=BG$2),1,0)</f>
        <v>0</v>
      </c>
      <c r="BH65" s="329" t="n">
        <f aca="false" t="array" ref="BH65:BH65">IF(AND(BH$2&lt;&gt;0,TblTech[[#This Row],[Hour]:[Hour]]&gt;=BH$2),1,0)</f>
        <v>0</v>
      </c>
      <c r="BI65" s="329" t="n">
        <f aca="false" t="array" ref="BI65:BI65">IF(AND(BI$2&lt;&gt;0,TblTech[[#This Row],[Hour]:[Hour]]&gt;=BI$2),1,0)</f>
        <v>0</v>
      </c>
      <c r="BJ65" s="329" t="n">
        <f aca="false" t="array" ref="BJ65:BJ65">IF(AND(BJ$2&lt;&gt;0,TblTech[[#This Row],[Hour]:[Hour]]&gt;=BJ$2),1,0)</f>
        <v>0</v>
      </c>
      <c r="BK65" s="329" t="n">
        <f aca="false" t="array" ref="BK65:BK65">IF(AND(BK$2&lt;&gt;0,TblTech[[#This Row],[Hour]:[Hour]]&gt;=BK$2),1,0)</f>
        <v>0</v>
      </c>
      <c r="BL65" s="329" t="n">
        <f aca="false" t="array" ref="BL65:BL65">IF(AND(BL$2&lt;&gt;0,TblTech[[#This Row],[Hour]:[Hour]]&gt;=BL$2),1,0)</f>
        <v>0</v>
      </c>
      <c r="BM65" s="329" t="n">
        <f aca="false" t="array" ref="BM65:BM65">IF(AND(BM$2&lt;&gt;0,TblTech[[#This Row],[Hour]:[Hour]]&gt;=BM$2),1,0)</f>
        <v>0</v>
      </c>
      <c r="BN65" s="329" t="n">
        <f aca="false" t="array" ref="BN65:BN65">IF(AND(BN$2&lt;&gt;0,TblTech[[#This Row],[Hour]:[Hour]]&gt;=BN$2),1,0)</f>
        <v>0</v>
      </c>
      <c r="BO65" s="329" t="n">
        <f aca="false" t="array" ref="BO65:BO65">IF(AND(BO$2&lt;&gt;0,TblTech[[#This Row],[Hour]:[Hour]]&gt;=BO$2),1,0)</f>
        <v>0</v>
      </c>
      <c r="BP65" s="329" t="n">
        <f aca="false" t="array" ref="BP65:BP65">IF(AND(BP$2&lt;&gt;0,TblTech[[#This Row],[Hour]:[Hour]]&gt;=BP$2),1,0)</f>
        <v>0</v>
      </c>
      <c r="BQ65" s="329" t="n">
        <f aca="false" t="array" ref="BQ65:BQ65">IF(AND(BQ$2&lt;&gt;0,TblTech[[#This Row],[Hour]:[Hour]]&gt;=BQ$2),1,0)</f>
        <v>0</v>
      </c>
      <c r="BR65" s="329" t="n">
        <f aca="false" t="array" ref="BR65:BR65">IF(AND(BR$2&lt;&gt;0,TblTech[[#This Row],[Hour]:[Hour]]&gt;=BR$2),1,0)</f>
        <v>0</v>
      </c>
      <c r="BS65" s="329" t="n">
        <f aca="false" t="array" ref="BS65:BS65">IF(AND(BS$2&lt;&gt;0,TblTech[[#This Row],[Hour]:[Hour]]&gt;=BS$2),1,0)</f>
        <v>0</v>
      </c>
      <c r="BT65" s="329" t="n">
        <f aca="false" t="array" ref="BT65:BT65">IF(AND(BT$2&lt;&gt;0,TblTech[[#This Row],[Hour]:[Hour]]&gt;=BT$2),1,0)</f>
        <v>0</v>
      </c>
      <c r="BU65" s="329" t="n">
        <f aca="false" t="array" ref="BU65:BU65">IF(AND(BU$2&lt;&gt;0,TblTech[[#This Row],[Hour]:[Hour]]&gt;=BU$2),1,0)</f>
        <v>0</v>
      </c>
      <c r="BV65" s="329" t="n">
        <f aca="false" t="array" ref="BV65:BV65">IF(AND(BV$2&lt;&gt;0,TblTech[[#This Row],[Hour]:[Hour]]&gt;=BV$2),1,0)</f>
        <v>0</v>
      </c>
      <c r="BW65" s="329" t="n">
        <f aca="false" t="array" ref="BW65:BW65">IF(AND(BW$2&lt;&gt;0,TblTech[[#This Row],[Hour]:[Hour]]&gt;=BW$2),1,0)</f>
        <v>0</v>
      </c>
      <c r="BX65" s="329" t="n">
        <f aca="false" t="array" ref="BX65:BX65">IF(AND(BX$2&lt;&gt;0,TblTech[[#This Row],[Hour]:[Hour]]&gt;=BX$2),1,0)</f>
        <v>0</v>
      </c>
      <c r="BY65" s="329" t="n">
        <f aca="false" t="array" ref="BY65:BY65">IF(AND(BY$2&lt;&gt;0,TblTech[[#This Row],[Hour]:[Hour]]&gt;=BY$2),1,0)</f>
        <v>0</v>
      </c>
      <c r="BZ65" s="329" t="n">
        <f aca="false" t="array" ref="BZ65:BZ65">IF(AND(BZ$2&lt;&gt;0,TblTech[[#This Row],[Hour]:[Hour]]&gt;=BZ$2),1,0)</f>
        <v>0</v>
      </c>
      <c r="CA65" s="330" t="n">
        <f aca="false">IFERROR(INDEX($H$4:$H$79,MATCH(INDEX(TblTech[[#Headers],[1-1]:[11-1]],1,MATCH(TblTech[[#This Row],[Hour]],$M$2:$BZ$2,0)),$G$4:$G$79,0)),)</f>
        <v>0</v>
      </c>
    </row>
    <row r="66" customFormat="false" ht="12.75" hidden="false" customHeight="false" outlineLevel="0" collapsed="false">
      <c r="A66" s="321" t="n">
        <f aca="false">TblRezone[[#This Row],[Hour]]</f>
        <v>63</v>
      </c>
      <c r="B66" s="322" t="n">
        <f aca="false">TblExplore[[#This Row],[Land-DB]]</f>
        <v>700</v>
      </c>
      <c r="C66" s="323" t="n">
        <f aca="false">TblProd[[#This Row],[Techpoints]]</f>
        <v>1050</v>
      </c>
      <c r="D66" s="323" t="n">
        <f aca="false">TblProd[[#This Row],[Required]]</f>
        <v>3750</v>
      </c>
      <c r="E66" s="324"/>
      <c r="F66" s="325"/>
      <c r="G66" s="326"/>
      <c r="H66" s="327"/>
      <c r="I66" s="326"/>
      <c r="J66" s="322"/>
      <c r="K66" s="68" t="n">
        <f aca="false">IF(TblTech[[#This Row],[Sum of tech]]&lt;&gt;OFFSET(TblTech[[#This Row],[Sum of tech]],-1,0),1,0)</f>
        <v>0</v>
      </c>
      <c r="L66" s="328" t="n">
        <f aca="false">COUNTIF(TblTech[[#This Row],[1-1]:[11-1]],1)</f>
        <v>0</v>
      </c>
      <c r="M66" s="329" t="n">
        <f aca="false" t="array" ref="M66:M66">IF(AND(M$2&lt;&gt;0,TblTech[[#This Row],[Hour]:[Hour]]&gt;=M$2),1,0)</f>
        <v>0</v>
      </c>
      <c r="N66" s="329" t="n">
        <f aca="false" t="array" ref="N66:N66">IF(AND(N$2&lt;&gt;0,TblTech[[#This Row],[Hour]:[Hour]]&gt;=N$2),1,0)</f>
        <v>0</v>
      </c>
      <c r="O66" s="329" t="n">
        <f aca="false" t="array" ref="O66:O66">IF(AND(O$2&lt;&gt;0,TblTech[[#This Row],[Hour]:[Hour]]&gt;=O$2),1,0)</f>
        <v>0</v>
      </c>
      <c r="P66" s="329" t="n">
        <f aca="false" t="array" ref="P66:P66">IF(AND(P$2&lt;&gt;0,TblTech[[#This Row],[Hour]:[Hour]]&gt;=P$2),1,0)</f>
        <v>0</v>
      </c>
      <c r="Q66" s="329" t="n">
        <f aca="false" t="array" ref="Q66:Q66">IF(AND(Q$2&lt;&gt;0,TblTech[[#This Row],[Hour]:[Hour]]&gt;=Q$2),1,0)</f>
        <v>0</v>
      </c>
      <c r="R66" s="329" t="n">
        <f aca="false" t="array" ref="R66:R66">IF(AND(R$2&lt;&gt;0,TblTech[[#This Row],[Hour]:[Hour]]&gt;=R$2),1,0)</f>
        <v>0</v>
      </c>
      <c r="S66" s="329" t="n">
        <f aca="false" t="array" ref="S66:S66">IF(AND(S$2&lt;&gt;0,TblTech[[#This Row],[Hour]:[Hour]]&gt;=S$2),1,0)</f>
        <v>0</v>
      </c>
      <c r="T66" s="329" t="n">
        <f aca="false" t="array" ref="T66:T66">IF(AND(T$2&lt;&gt;0,TblTech[[#This Row],[Hour]:[Hour]]&gt;=T$2),1,0)</f>
        <v>0</v>
      </c>
      <c r="U66" s="329" t="n">
        <f aca="false" t="array" ref="U66:U66">IF(AND(U$2&lt;&gt;0,TblTech[[#This Row],[Hour]:[Hour]]&gt;=U$2),1,0)</f>
        <v>0</v>
      </c>
      <c r="V66" s="329" t="n">
        <f aca="false" t="array" ref="V66:V66">IF(AND(V$2&lt;&gt;0,TblTech[[#This Row],[Hour]:[Hour]]&gt;=V$2),1,0)</f>
        <v>0</v>
      </c>
      <c r="W66" s="329" t="n">
        <f aca="false" t="array" ref="W66:W66">IF(AND(W$2&lt;&gt;0,TblTech[[#This Row],[Hour]:[Hour]]&gt;=W$2),1,0)</f>
        <v>0</v>
      </c>
      <c r="X66" s="329" t="n">
        <f aca="false" t="array" ref="X66:X66">IF(AND(X$2&lt;&gt;0,TblTech[[#This Row],[Hour]:[Hour]]&gt;=X$2),1,0)</f>
        <v>0</v>
      </c>
      <c r="Y66" s="329" t="n">
        <f aca="false" t="array" ref="Y66:Y66">IF(AND(Y$2&lt;&gt;0,TblTech[[#This Row],[Hour]:[Hour]]&gt;=Y$2),1,0)</f>
        <v>0</v>
      </c>
      <c r="Z66" s="329" t="n">
        <f aca="false" t="array" ref="Z66:Z66">IF(AND(Z$2&lt;&gt;0,TblTech[[#This Row],[Hour]:[Hour]]&gt;=Z$2),1,0)</f>
        <v>0</v>
      </c>
      <c r="AA66" s="329" t="n">
        <f aca="false" t="array" ref="AA66:AA66">IF(AND(AA$2&lt;&gt;0,TblTech[[#This Row],[Hour]:[Hour]]&gt;=AA$2),1,0)</f>
        <v>0</v>
      </c>
      <c r="AB66" s="329" t="n">
        <f aca="false" t="array" ref="AB66:AB66">IF(AND(AB$2&lt;&gt;0,TblTech[[#This Row],[Hour]:[Hour]]&gt;=AB$2),1,0)</f>
        <v>0</v>
      </c>
      <c r="AC66" s="329" t="n">
        <f aca="false" t="array" ref="AC66:AC66">IF(AND(AC$2&lt;&gt;0,TblTech[[#This Row],[Hour]:[Hour]]&gt;=AC$2),1,0)</f>
        <v>0</v>
      </c>
      <c r="AD66" s="329" t="n">
        <f aca="false" t="array" ref="AD66:AD66">IF(AND(AD$2&lt;&gt;0,TblTech[[#This Row],[Hour]:[Hour]]&gt;=AD$2),1,0)</f>
        <v>0</v>
      </c>
      <c r="AE66" s="329" t="n">
        <f aca="false" t="array" ref="AE66:AE66">IF(AND(AE$2&lt;&gt;0,TblTech[[#This Row],[Hour]:[Hour]]&gt;=AE$2),1,0)</f>
        <v>0</v>
      </c>
      <c r="AF66" s="329" t="n">
        <f aca="false" t="array" ref="AF66:AF66">IF(AND(AF$2&lt;&gt;0,TblTech[[#This Row],[Hour]:[Hour]]&gt;=AF$2),1,0)</f>
        <v>0</v>
      </c>
      <c r="AG66" s="329" t="n">
        <f aca="false" t="array" ref="AG66:AG66">IF(AND(AG$2&lt;&gt;0,TblTech[[#This Row],[Hour]:[Hour]]&gt;=AG$2),1,0)</f>
        <v>0</v>
      </c>
      <c r="AH66" s="329" t="n">
        <f aca="false" t="array" ref="AH66:AH66">IF(AND(AH$2&lt;&gt;0,TblTech[[#This Row],[Hour]:[Hour]]&gt;=AH$2),1,0)</f>
        <v>0</v>
      </c>
      <c r="AI66" s="329" t="n">
        <f aca="false" t="array" ref="AI66:AI66">IF(AND(AI$2&lt;&gt;0,TblTech[[#This Row],[Hour]:[Hour]]&gt;=AI$2),1,0)</f>
        <v>0</v>
      </c>
      <c r="AJ66" s="329" t="n">
        <f aca="false" t="array" ref="AJ66:AJ66">IF(AND(AJ$2&lt;&gt;0,TblTech[[#This Row],[Hour]:[Hour]]&gt;=AJ$2),1,0)</f>
        <v>0</v>
      </c>
      <c r="AK66" s="329" t="n">
        <f aca="false" t="array" ref="AK66:AK66">IF(AND(AK$2&lt;&gt;0,TblTech[[#This Row],[Hour]:[Hour]]&gt;=AK$2),1,0)</f>
        <v>0</v>
      </c>
      <c r="AL66" s="329" t="n">
        <f aca="false" t="array" ref="AL66:AL66">IF(AND(AL$2&lt;&gt;0,TblTech[[#This Row],[Hour]:[Hour]]&gt;=AL$2),1,0)</f>
        <v>0</v>
      </c>
      <c r="AM66" s="329" t="n">
        <f aca="false" t="array" ref="AM66:AM66">IF(AND(AM$2&lt;&gt;0,TblTech[[#This Row],[Hour]:[Hour]]&gt;=AM$2),1,0)</f>
        <v>0</v>
      </c>
      <c r="AN66" s="329" t="n">
        <f aca="false" t="array" ref="AN66:AN66">IF(AND(AN$2&lt;&gt;0,TblTech[[#This Row],[Hour]:[Hour]]&gt;=AN$2),1,0)</f>
        <v>0</v>
      </c>
      <c r="AO66" s="329" t="n">
        <f aca="false" t="array" ref="AO66:AO66">IF(AND(AO$2&lt;&gt;0,TblTech[[#This Row],[Hour]:[Hour]]&gt;=AO$2),1,0)</f>
        <v>0</v>
      </c>
      <c r="AP66" s="329" t="n">
        <f aca="false" t="array" ref="AP66:AP66">IF(AND(AP$2&lt;&gt;0,TblTech[[#This Row],[Hour]:[Hour]]&gt;=AP$2),1,0)</f>
        <v>0</v>
      </c>
      <c r="AQ66" s="329" t="n">
        <f aca="false" t="array" ref="AQ66:AQ66">IF(AND(AQ$2&lt;&gt;0,TblTech[[#This Row],[Hour]:[Hour]]&gt;=AQ$2),1,0)</f>
        <v>0</v>
      </c>
      <c r="AR66" s="329" t="n">
        <f aca="false" t="array" ref="AR66:AR66">IF(AND(AR$2&lt;&gt;0,TblTech[[#This Row],[Hour]:[Hour]]&gt;=AR$2),1,0)</f>
        <v>0</v>
      </c>
      <c r="AS66" s="329" t="n">
        <f aca="false" t="array" ref="AS66:AS66">IF(AND(AS$2&lt;&gt;0,TblTech[[#This Row],[Hour]:[Hour]]&gt;=AS$2),1,0)</f>
        <v>0</v>
      </c>
      <c r="AT66" s="329" t="n">
        <f aca="false" t="array" ref="AT66:AT66">IF(AND(AT$2&lt;&gt;0,TblTech[[#This Row],[Hour]:[Hour]]&gt;=AT$2),1,0)</f>
        <v>0</v>
      </c>
      <c r="AU66" s="329" t="n">
        <f aca="false" t="array" ref="AU66:AU66">IF(AND(AU$2&lt;&gt;0,TblTech[[#This Row],[Hour]:[Hour]]&gt;=AU$2),1,0)</f>
        <v>0</v>
      </c>
      <c r="AV66" s="329" t="n">
        <f aca="false" t="array" ref="AV66:AV66">IF(AND(AV$2&lt;&gt;0,TblTech[[#This Row],[Hour]:[Hour]]&gt;=AV$2),1,0)</f>
        <v>0</v>
      </c>
      <c r="AW66" s="329" t="n">
        <f aca="false" t="array" ref="AW66:AW66">IF(AND(AW$2&lt;&gt;0,TblTech[[#This Row],[Hour]:[Hour]]&gt;=AW$2),1,0)</f>
        <v>0</v>
      </c>
      <c r="AX66" s="329" t="n">
        <f aca="false" t="array" ref="AX66:AX66">IF(AND(AX$2&lt;&gt;0,TblTech[[#This Row],[Hour]:[Hour]]&gt;=AX$2),1,0)</f>
        <v>0</v>
      </c>
      <c r="AY66" s="329" t="n">
        <f aca="false" t="array" ref="AY66:AY66">IF(AND(AY$2&lt;&gt;0,TblTech[[#This Row],[Hour]:[Hour]]&gt;=AY$2),1,0)</f>
        <v>0</v>
      </c>
      <c r="AZ66" s="329" t="n">
        <f aca="false" t="array" ref="AZ66:AZ66">IF(AND(AZ$2&lt;&gt;0,TblTech[[#This Row],[Hour]:[Hour]]&gt;=AZ$2),1,0)</f>
        <v>0</v>
      </c>
      <c r="BA66" s="329" t="n">
        <f aca="false" t="array" ref="BA66:BA66">IF(AND(BA$2&lt;&gt;0,TblTech[[#This Row],[Hour]:[Hour]]&gt;=BA$2),1,0)</f>
        <v>0</v>
      </c>
      <c r="BB66" s="329" t="n">
        <f aca="false" t="array" ref="BB66:BB66">IF(AND(BB$2&lt;&gt;0,TblTech[[#This Row],[Hour]:[Hour]]&gt;=BB$2),1,0)</f>
        <v>0</v>
      </c>
      <c r="BC66" s="329" t="n">
        <f aca="false" t="array" ref="BC66:BC66">IF(AND(BC$2&lt;&gt;0,TblTech[[#This Row],[Hour]:[Hour]]&gt;=BC$2),1,0)</f>
        <v>0</v>
      </c>
      <c r="BD66" s="329" t="n">
        <f aca="false" t="array" ref="BD66:BD66">IF(AND(BD$2&lt;&gt;0,TblTech[[#This Row],[Hour]:[Hour]]&gt;=BD$2),1,0)</f>
        <v>0</v>
      </c>
      <c r="BE66" s="329" t="n">
        <f aca="false" t="array" ref="BE66:BE66">IF(AND(BE$2&lt;&gt;0,TblTech[[#This Row],[Hour]:[Hour]]&gt;=BE$2),1,0)</f>
        <v>0</v>
      </c>
      <c r="BF66" s="329" t="n">
        <f aca="false" t="array" ref="BF66:BF66">IF(AND(BF$2&lt;&gt;0,TblTech[[#This Row],[Hour]:[Hour]]&gt;=BF$2),1,0)</f>
        <v>0</v>
      </c>
      <c r="BG66" s="329" t="n">
        <f aca="false" t="array" ref="BG66:BG66">IF(AND(BG$2&lt;&gt;0,TblTech[[#This Row],[Hour]:[Hour]]&gt;=BG$2),1,0)</f>
        <v>0</v>
      </c>
      <c r="BH66" s="329" t="n">
        <f aca="false" t="array" ref="BH66:BH66">IF(AND(BH$2&lt;&gt;0,TblTech[[#This Row],[Hour]:[Hour]]&gt;=BH$2),1,0)</f>
        <v>0</v>
      </c>
      <c r="BI66" s="329" t="n">
        <f aca="false" t="array" ref="BI66:BI66">IF(AND(BI$2&lt;&gt;0,TblTech[[#This Row],[Hour]:[Hour]]&gt;=BI$2),1,0)</f>
        <v>0</v>
      </c>
      <c r="BJ66" s="329" t="n">
        <f aca="false" t="array" ref="BJ66:BJ66">IF(AND(BJ$2&lt;&gt;0,TblTech[[#This Row],[Hour]:[Hour]]&gt;=BJ$2),1,0)</f>
        <v>0</v>
      </c>
      <c r="BK66" s="329" t="n">
        <f aca="false" t="array" ref="BK66:BK66">IF(AND(BK$2&lt;&gt;0,TblTech[[#This Row],[Hour]:[Hour]]&gt;=BK$2),1,0)</f>
        <v>0</v>
      </c>
      <c r="BL66" s="329" t="n">
        <f aca="false" t="array" ref="BL66:BL66">IF(AND(BL$2&lt;&gt;0,TblTech[[#This Row],[Hour]:[Hour]]&gt;=BL$2),1,0)</f>
        <v>0</v>
      </c>
      <c r="BM66" s="329" t="n">
        <f aca="false" t="array" ref="BM66:BM66">IF(AND(BM$2&lt;&gt;0,TblTech[[#This Row],[Hour]:[Hour]]&gt;=BM$2),1,0)</f>
        <v>0</v>
      </c>
      <c r="BN66" s="329" t="n">
        <f aca="false" t="array" ref="BN66:BN66">IF(AND(BN$2&lt;&gt;0,TblTech[[#This Row],[Hour]:[Hour]]&gt;=BN$2),1,0)</f>
        <v>0</v>
      </c>
      <c r="BO66" s="329" t="n">
        <f aca="false" t="array" ref="BO66:BO66">IF(AND(BO$2&lt;&gt;0,TblTech[[#This Row],[Hour]:[Hour]]&gt;=BO$2),1,0)</f>
        <v>0</v>
      </c>
      <c r="BP66" s="329" t="n">
        <f aca="false" t="array" ref="BP66:BP66">IF(AND(BP$2&lt;&gt;0,TblTech[[#This Row],[Hour]:[Hour]]&gt;=BP$2),1,0)</f>
        <v>0</v>
      </c>
      <c r="BQ66" s="329" t="n">
        <f aca="false" t="array" ref="BQ66:BQ66">IF(AND(BQ$2&lt;&gt;0,TblTech[[#This Row],[Hour]:[Hour]]&gt;=BQ$2),1,0)</f>
        <v>0</v>
      </c>
      <c r="BR66" s="329" t="n">
        <f aca="false" t="array" ref="BR66:BR66">IF(AND(BR$2&lt;&gt;0,TblTech[[#This Row],[Hour]:[Hour]]&gt;=BR$2),1,0)</f>
        <v>0</v>
      </c>
      <c r="BS66" s="329" t="n">
        <f aca="false" t="array" ref="BS66:BS66">IF(AND(BS$2&lt;&gt;0,TblTech[[#This Row],[Hour]:[Hour]]&gt;=BS$2),1,0)</f>
        <v>0</v>
      </c>
      <c r="BT66" s="329" t="n">
        <f aca="false" t="array" ref="BT66:BT66">IF(AND(BT$2&lt;&gt;0,TblTech[[#This Row],[Hour]:[Hour]]&gt;=BT$2),1,0)</f>
        <v>0</v>
      </c>
      <c r="BU66" s="329" t="n">
        <f aca="false" t="array" ref="BU66:BU66">IF(AND(BU$2&lt;&gt;0,TblTech[[#This Row],[Hour]:[Hour]]&gt;=BU$2),1,0)</f>
        <v>0</v>
      </c>
      <c r="BV66" s="329" t="n">
        <f aca="false" t="array" ref="BV66:BV66">IF(AND(BV$2&lt;&gt;0,TblTech[[#This Row],[Hour]:[Hour]]&gt;=BV$2),1,0)</f>
        <v>0</v>
      </c>
      <c r="BW66" s="329" t="n">
        <f aca="false" t="array" ref="BW66:BW66">IF(AND(BW$2&lt;&gt;0,TblTech[[#This Row],[Hour]:[Hour]]&gt;=BW$2),1,0)</f>
        <v>0</v>
      </c>
      <c r="BX66" s="329" t="n">
        <f aca="false" t="array" ref="BX66:BX66">IF(AND(BX$2&lt;&gt;0,TblTech[[#This Row],[Hour]:[Hour]]&gt;=BX$2),1,0)</f>
        <v>0</v>
      </c>
      <c r="BY66" s="329" t="n">
        <f aca="false" t="array" ref="BY66:BY66">IF(AND(BY$2&lt;&gt;0,TblTech[[#This Row],[Hour]:[Hour]]&gt;=BY$2),1,0)</f>
        <v>0</v>
      </c>
      <c r="BZ66" s="329" t="n">
        <f aca="false" t="array" ref="BZ66:BZ66">IF(AND(BZ$2&lt;&gt;0,TblTech[[#This Row],[Hour]:[Hour]]&gt;=BZ$2),1,0)</f>
        <v>0</v>
      </c>
      <c r="CA66" s="330" t="n">
        <f aca="false">IFERROR(INDEX($H$4:$H$79,MATCH(INDEX(TblTech[[#Headers],[1-1]:[11-1]],1,MATCH(TblTech[[#This Row],[Hour]],$M$2:$BZ$2,0)),$G$4:$G$79,0)),)</f>
        <v>0</v>
      </c>
    </row>
    <row r="67" customFormat="false" ht="12.75" hidden="false" customHeight="false" outlineLevel="0" collapsed="false">
      <c r="A67" s="321" t="n">
        <f aca="false">TblRezone[[#This Row],[Hour]]</f>
        <v>64</v>
      </c>
      <c r="B67" s="322" t="n">
        <f aca="false">TblExplore[[#This Row],[Land-DB]]</f>
        <v>700</v>
      </c>
      <c r="C67" s="323" t="n">
        <f aca="false">TblProd[[#This Row],[Techpoints]]</f>
        <v>1050</v>
      </c>
      <c r="D67" s="323" t="n">
        <f aca="false">TblProd[[#This Row],[Required]]</f>
        <v>3750</v>
      </c>
      <c r="E67" s="324"/>
      <c r="F67" s="325"/>
      <c r="G67" s="326" t="s">
        <v>580</v>
      </c>
      <c r="H67" s="327" t="s">
        <v>699</v>
      </c>
      <c r="I67" s="326" t="s">
        <v>700</v>
      </c>
      <c r="J67" s="322"/>
      <c r="K67" s="68" t="n">
        <f aca="false">IF(TblTech[[#This Row],[Sum of tech]]&lt;&gt;OFFSET(TblTech[[#This Row],[Sum of tech]],-1,0),1,0)</f>
        <v>0</v>
      </c>
      <c r="L67" s="328" t="n">
        <f aca="false">COUNTIF(TblTech[[#This Row],[1-1]:[11-1]],1)</f>
        <v>0</v>
      </c>
      <c r="M67" s="329" t="n">
        <f aca="false" t="array" ref="M67:M67">IF(AND(M$2&lt;&gt;0,TblTech[[#This Row],[Hour]:[Hour]]&gt;=M$2),1,0)</f>
        <v>0</v>
      </c>
      <c r="N67" s="329" t="n">
        <f aca="false" t="array" ref="N67:N67">IF(AND(N$2&lt;&gt;0,TblTech[[#This Row],[Hour]:[Hour]]&gt;=N$2),1,0)</f>
        <v>0</v>
      </c>
      <c r="O67" s="329" t="n">
        <f aca="false" t="array" ref="O67:O67">IF(AND(O$2&lt;&gt;0,TblTech[[#This Row],[Hour]:[Hour]]&gt;=O$2),1,0)</f>
        <v>0</v>
      </c>
      <c r="P67" s="329" t="n">
        <f aca="false" t="array" ref="P67:P67">IF(AND(P$2&lt;&gt;0,TblTech[[#This Row],[Hour]:[Hour]]&gt;=P$2),1,0)</f>
        <v>0</v>
      </c>
      <c r="Q67" s="329" t="n">
        <f aca="false" t="array" ref="Q67:Q67">IF(AND(Q$2&lt;&gt;0,TblTech[[#This Row],[Hour]:[Hour]]&gt;=Q$2),1,0)</f>
        <v>0</v>
      </c>
      <c r="R67" s="329" t="n">
        <f aca="false" t="array" ref="R67:R67">IF(AND(R$2&lt;&gt;0,TblTech[[#This Row],[Hour]:[Hour]]&gt;=R$2),1,0)</f>
        <v>0</v>
      </c>
      <c r="S67" s="329" t="n">
        <f aca="false" t="array" ref="S67:S67">IF(AND(S$2&lt;&gt;0,TblTech[[#This Row],[Hour]:[Hour]]&gt;=S$2),1,0)</f>
        <v>0</v>
      </c>
      <c r="T67" s="329" t="n">
        <f aca="false" t="array" ref="T67:T67">IF(AND(T$2&lt;&gt;0,TblTech[[#This Row],[Hour]:[Hour]]&gt;=T$2),1,0)</f>
        <v>0</v>
      </c>
      <c r="U67" s="329" t="n">
        <f aca="false" t="array" ref="U67:U67">IF(AND(U$2&lt;&gt;0,TblTech[[#This Row],[Hour]:[Hour]]&gt;=U$2),1,0)</f>
        <v>0</v>
      </c>
      <c r="V67" s="329" t="n">
        <f aca="false" t="array" ref="V67:V67">IF(AND(V$2&lt;&gt;0,TblTech[[#This Row],[Hour]:[Hour]]&gt;=V$2),1,0)</f>
        <v>0</v>
      </c>
      <c r="W67" s="329" t="n">
        <f aca="false" t="array" ref="W67:W67">IF(AND(W$2&lt;&gt;0,TblTech[[#This Row],[Hour]:[Hour]]&gt;=W$2),1,0)</f>
        <v>0</v>
      </c>
      <c r="X67" s="329" t="n">
        <f aca="false" t="array" ref="X67:X67">IF(AND(X$2&lt;&gt;0,TblTech[[#This Row],[Hour]:[Hour]]&gt;=X$2),1,0)</f>
        <v>0</v>
      </c>
      <c r="Y67" s="329" t="n">
        <f aca="false" t="array" ref="Y67:Y67">IF(AND(Y$2&lt;&gt;0,TblTech[[#This Row],[Hour]:[Hour]]&gt;=Y$2),1,0)</f>
        <v>0</v>
      </c>
      <c r="Z67" s="329" t="n">
        <f aca="false" t="array" ref="Z67:Z67">IF(AND(Z$2&lt;&gt;0,TblTech[[#This Row],[Hour]:[Hour]]&gt;=Z$2),1,0)</f>
        <v>0</v>
      </c>
      <c r="AA67" s="329" t="n">
        <f aca="false" t="array" ref="AA67:AA67">IF(AND(AA$2&lt;&gt;0,TblTech[[#This Row],[Hour]:[Hour]]&gt;=AA$2),1,0)</f>
        <v>0</v>
      </c>
      <c r="AB67" s="329" t="n">
        <f aca="false" t="array" ref="AB67:AB67">IF(AND(AB$2&lt;&gt;0,TblTech[[#This Row],[Hour]:[Hour]]&gt;=AB$2),1,0)</f>
        <v>0</v>
      </c>
      <c r="AC67" s="329" t="n">
        <f aca="false" t="array" ref="AC67:AC67">IF(AND(AC$2&lt;&gt;0,TblTech[[#This Row],[Hour]:[Hour]]&gt;=AC$2),1,0)</f>
        <v>0</v>
      </c>
      <c r="AD67" s="329" t="n">
        <f aca="false" t="array" ref="AD67:AD67">IF(AND(AD$2&lt;&gt;0,TblTech[[#This Row],[Hour]:[Hour]]&gt;=AD$2),1,0)</f>
        <v>0</v>
      </c>
      <c r="AE67" s="329" t="n">
        <f aca="false" t="array" ref="AE67:AE67">IF(AND(AE$2&lt;&gt;0,TblTech[[#This Row],[Hour]:[Hour]]&gt;=AE$2),1,0)</f>
        <v>0</v>
      </c>
      <c r="AF67" s="329" t="n">
        <f aca="false" t="array" ref="AF67:AF67">IF(AND(AF$2&lt;&gt;0,TblTech[[#This Row],[Hour]:[Hour]]&gt;=AF$2),1,0)</f>
        <v>0</v>
      </c>
      <c r="AG67" s="329" t="n">
        <f aca="false" t="array" ref="AG67:AG67">IF(AND(AG$2&lt;&gt;0,TblTech[[#This Row],[Hour]:[Hour]]&gt;=AG$2),1,0)</f>
        <v>0</v>
      </c>
      <c r="AH67" s="329" t="n">
        <f aca="false" t="array" ref="AH67:AH67">IF(AND(AH$2&lt;&gt;0,TblTech[[#This Row],[Hour]:[Hour]]&gt;=AH$2),1,0)</f>
        <v>0</v>
      </c>
      <c r="AI67" s="329" t="n">
        <f aca="false" t="array" ref="AI67:AI67">IF(AND(AI$2&lt;&gt;0,TblTech[[#This Row],[Hour]:[Hour]]&gt;=AI$2),1,0)</f>
        <v>0</v>
      </c>
      <c r="AJ67" s="329" t="n">
        <f aca="false" t="array" ref="AJ67:AJ67">IF(AND(AJ$2&lt;&gt;0,TblTech[[#This Row],[Hour]:[Hour]]&gt;=AJ$2),1,0)</f>
        <v>0</v>
      </c>
      <c r="AK67" s="329" t="n">
        <f aca="false" t="array" ref="AK67:AK67">IF(AND(AK$2&lt;&gt;0,TblTech[[#This Row],[Hour]:[Hour]]&gt;=AK$2),1,0)</f>
        <v>0</v>
      </c>
      <c r="AL67" s="329" t="n">
        <f aca="false" t="array" ref="AL67:AL67">IF(AND(AL$2&lt;&gt;0,TblTech[[#This Row],[Hour]:[Hour]]&gt;=AL$2),1,0)</f>
        <v>0</v>
      </c>
      <c r="AM67" s="329" t="n">
        <f aca="false" t="array" ref="AM67:AM67">IF(AND(AM$2&lt;&gt;0,TblTech[[#This Row],[Hour]:[Hour]]&gt;=AM$2),1,0)</f>
        <v>0</v>
      </c>
      <c r="AN67" s="329" t="n">
        <f aca="false" t="array" ref="AN67:AN67">IF(AND(AN$2&lt;&gt;0,TblTech[[#This Row],[Hour]:[Hour]]&gt;=AN$2),1,0)</f>
        <v>0</v>
      </c>
      <c r="AO67" s="329" t="n">
        <f aca="false" t="array" ref="AO67:AO67">IF(AND(AO$2&lt;&gt;0,TblTech[[#This Row],[Hour]:[Hour]]&gt;=AO$2),1,0)</f>
        <v>0</v>
      </c>
      <c r="AP67" s="329" t="n">
        <f aca="false" t="array" ref="AP67:AP67">IF(AND(AP$2&lt;&gt;0,TblTech[[#This Row],[Hour]:[Hour]]&gt;=AP$2),1,0)</f>
        <v>0</v>
      </c>
      <c r="AQ67" s="329" t="n">
        <f aca="false" t="array" ref="AQ67:AQ67">IF(AND(AQ$2&lt;&gt;0,TblTech[[#This Row],[Hour]:[Hour]]&gt;=AQ$2),1,0)</f>
        <v>0</v>
      </c>
      <c r="AR67" s="329" t="n">
        <f aca="false" t="array" ref="AR67:AR67">IF(AND(AR$2&lt;&gt;0,TblTech[[#This Row],[Hour]:[Hour]]&gt;=AR$2),1,0)</f>
        <v>0</v>
      </c>
      <c r="AS67" s="329" t="n">
        <f aca="false" t="array" ref="AS67:AS67">IF(AND(AS$2&lt;&gt;0,TblTech[[#This Row],[Hour]:[Hour]]&gt;=AS$2),1,0)</f>
        <v>0</v>
      </c>
      <c r="AT67" s="329" t="n">
        <f aca="false" t="array" ref="AT67:AT67">IF(AND(AT$2&lt;&gt;0,TblTech[[#This Row],[Hour]:[Hour]]&gt;=AT$2),1,0)</f>
        <v>0</v>
      </c>
      <c r="AU67" s="329" t="n">
        <f aca="false" t="array" ref="AU67:AU67">IF(AND(AU$2&lt;&gt;0,TblTech[[#This Row],[Hour]:[Hour]]&gt;=AU$2),1,0)</f>
        <v>0</v>
      </c>
      <c r="AV67" s="329" t="n">
        <f aca="false" t="array" ref="AV67:AV67">IF(AND(AV$2&lt;&gt;0,TblTech[[#This Row],[Hour]:[Hour]]&gt;=AV$2),1,0)</f>
        <v>0</v>
      </c>
      <c r="AW67" s="329" t="n">
        <f aca="false" t="array" ref="AW67:AW67">IF(AND(AW$2&lt;&gt;0,TblTech[[#This Row],[Hour]:[Hour]]&gt;=AW$2),1,0)</f>
        <v>0</v>
      </c>
      <c r="AX67" s="329" t="n">
        <f aca="false" t="array" ref="AX67:AX67">IF(AND(AX$2&lt;&gt;0,TblTech[[#This Row],[Hour]:[Hour]]&gt;=AX$2),1,0)</f>
        <v>0</v>
      </c>
      <c r="AY67" s="329" t="n">
        <f aca="false" t="array" ref="AY67:AY67">IF(AND(AY$2&lt;&gt;0,TblTech[[#This Row],[Hour]:[Hour]]&gt;=AY$2),1,0)</f>
        <v>0</v>
      </c>
      <c r="AZ67" s="329" t="n">
        <f aca="false" t="array" ref="AZ67:AZ67">IF(AND(AZ$2&lt;&gt;0,TblTech[[#This Row],[Hour]:[Hour]]&gt;=AZ$2),1,0)</f>
        <v>0</v>
      </c>
      <c r="BA67" s="329" t="n">
        <f aca="false" t="array" ref="BA67:BA67">IF(AND(BA$2&lt;&gt;0,TblTech[[#This Row],[Hour]:[Hour]]&gt;=BA$2),1,0)</f>
        <v>0</v>
      </c>
      <c r="BB67" s="329" t="n">
        <f aca="false" t="array" ref="BB67:BB67">IF(AND(BB$2&lt;&gt;0,TblTech[[#This Row],[Hour]:[Hour]]&gt;=BB$2),1,0)</f>
        <v>0</v>
      </c>
      <c r="BC67" s="329" t="n">
        <f aca="false" t="array" ref="BC67:BC67">IF(AND(BC$2&lt;&gt;0,TblTech[[#This Row],[Hour]:[Hour]]&gt;=BC$2),1,0)</f>
        <v>0</v>
      </c>
      <c r="BD67" s="329" t="n">
        <f aca="false" t="array" ref="BD67:BD67">IF(AND(BD$2&lt;&gt;0,TblTech[[#This Row],[Hour]:[Hour]]&gt;=BD$2),1,0)</f>
        <v>0</v>
      </c>
      <c r="BE67" s="329" t="n">
        <f aca="false" t="array" ref="BE67:BE67">IF(AND(BE$2&lt;&gt;0,TblTech[[#This Row],[Hour]:[Hour]]&gt;=BE$2),1,0)</f>
        <v>0</v>
      </c>
      <c r="BF67" s="329" t="n">
        <f aca="false" t="array" ref="BF67:BF67">IF(AND(BF$2&lt;&gt;0,TblTech[[#This Row],[Hour]:[Hour]]&gt;=BF$2),1,0)</f>
        <v>0</v>
      </c>
      <c r="BG67" s="329" t="n">
        <f aca="false" t="array" ref="BG67:BG67">IF(AND(BG$2&lt;&gt;0,TblTech[[#This Row],[Hour]:[Hour]]&gt;=BG$2),1,0)</f>
        <v>0</v>
      </c>
      <c r="BH67" s="329" t="n">
        <f aca="false" t="array" ref="BH67:BH67">IF(AND(BH$2&lt;&gt;0,TblTech[[#This Row],[Hour]:[Hour]]&gt;=BH$2),1,0)</f>
        <v>0</v>
      </c>
      <c r="BI67" s="329" t="n">
        <f aca="false" t="array" ref="BI67:BI67">IF(AND(BI$2&lt;&gt;0,TblTech[[#This Row],[Hour]:[Hour]]&gt;=BI$2),1,0)</f>
        <v>0</v>
      </c>
      <c r="BJ67" s="329" t="n">
        <f aca="false" t="array" ref="BJ67:BJ67">IF(AND(BJ$2&lt;&gt;0,TblTech[[#This Row],[Hour]:[Hour]]&gt;=BJ$2),1,0)</f>
        <v>0</v>
      </c>
      <c r="BK67" s="329" t="n">
        <f aca="false" t="array" ref="BK67:BK67">IF(AND(BK$2&lt;&gt;0,TblTech[[#This Row],[Hour]:[Hour]]&gt;=BK$2),1,0)</f>
        <v>0</v>
      </c>
      <c r="BL67" s="329" t="n">
        <f aca="false" t="array" ref="BL67:BL67">IF(AND(BL$2&lt;&gt;0,TblTech[[#This Row],[Hour]:[Hour]]&gt;=BL$2),1,0)</f>
        <v>0</v>
      </c>
      <c r="BM67" s="329" t="n">
        <f aca="false" t="array" ref="BM67:BM67">IF(AND(BM$2&lt;&gt;0,TblTech[[#This Row],[Hour]:[Hour]]&gt;=BM$2),1,0)</f>
        <v>0</v>
      </c>
      <c r="BN67" s="329" t="n">
        <f aca="false" t="array" ref="BN67:BN67">IF(AND(BN$2&lt;&gt;0,TblTech[[#This Row],[Hour]:[Hour]]&gt;=BN$2),1,0)</f>
        <v>0</v>
      </c>
      <c r="BO67" s="329" t="n">
        <f aca="false" t="array" ref="BO67:BO67">IF(AND(BO$2&lt;&gt;0,TblTech[[#This Row],[Hour]:[Hour]]&gt;=BO$2),1,0)</f>
        <v>0</v>
      </c>
      <c r="BP67" s="329" t="n">
        <f aca="false" t="array" ref="BP67:BP67">IF(AND(BP$2&lt;&gt;0,TblTech[[#This Row],[Hour]:[Hour]]&gt;=BP$2),1,0)</f>
        <v>0</v>
      </c>
      <c r="BQ67" s="329" t="n">
        <f aca="false" t="array" ref="BQ67:BQ67">IF(AND(BQ$2&lt;&gt;0,TblTech[[#This Row],[Hour]:[Hour]]&gt;=BQ$2),1,0)</f>
        <v>0</v>
      </c>
      <c r="BR67" s="329" t="n">
        <f aca="false" t="array" ref="BR67:BR67">IF(AND(BR$2&lt;&gt;0,TblTech[[#This Row],[Hour]:[Hour]]&gt;=BR$2),1,0)</f>
        <v>0</v>
      </c>
      <c r="BS67" s="329" t="n">
        <f aca="false" t="array" ref="BS67:BS67">IF(AND(BS$2&lt;&gt;0,TblTech[[#This Row],[Hour]:[Hour]]&gt;=BS$2),1,0)</f>
        <v>0</v>
      </c>
      <c r="BT67" s="329" t="n">
        <f aca="false" t="array" ref="BT67:BT67">IF(AND(BT$2&lt;&gt;0,TblTech[[#This Row],[Hour]:[Hour]]&gt;=BT$2),1,0)</f>
        <v>0</v>
      </c>
      <c r="BU67" s="329" t="n">
        <f aca="false" t="array" ref="BU67:BU67">IF(AND(BU$2&lt;&gt;0,TblTech[[#This Row],[Hour]:[Hour]]&gt;=BU$2),1,0)</f>
        <v>0</v>
      </c>
      <c r="BV67" s="329" t="n">
        <f aca="false" t="array" ref="BV67:BV67">IF(AND(BV$2&lt;&gt;0,TblTech[[#This Row],[Hour]:[Hour]]&gt;=BV$2),1,0)</f>
        <v>0</v>
      </c>
      <c r="BW67" s="329" t="n">
        <f aca="false" t="array" ref="BW67:BW67">IF(AND(BW$2&lt;&gt;0,TblTech[[#This Row],[Hour]:[Hour]]&gt;=BW$2),1,0)</f>
        <v>0</v>
      </c>
      <c r="BX67" s="329" t="n">
        <f aca="false" t="array" ref="BX67:BX67">IF(AND(BX$2&lt;&gt;0,TblTech[[#This Row],[Hour]:[Hour]]&gt;=BX$2),1,0)</f>
        <v>0</v>
      </c>
      <c r="BY67" s="329" t="n">
        <f aca="false" t="array" ref="BY67:BY67">IF(AND(BY$2&lt;&gt;0,TblTech[[#This Row],[Hour]:[Hour]]&gt;=BY$2),1,0)</f>
        <v>0</v>
      </c>
      <c r="BZ67" s="329" t="n">
        <f aca="false" t="array" ref="BZ67:BZ67">IF(AND(BZ$2&lt;&gt;0,TblTech[[#This Row],[Hour]:[Hour]]&gt;=BZ$2),1,0)</f>
        <v>0</v>
      </c>
      <c r="CA67" s="330" t="n">
        <f aca="false">IFERROR(INDEX($H$4:$H$79,MATCH(INDEX(TblTech[[#Headers],[1-1]:[11-1]],1,MATCH(TblTech[[#This Row],[Hour]],$M$2:$BZ$2,0)),$G$4:$G$79,0)),)</f>
        <v>0</v>
      </c>
    </row>
    <row r="68" customFormat="false" ht="12.75" hidden="false" customHeight="false" outlineLevel="0" collapsed="false">
      <c r="A68" s="321" t="n">
        <f aca="false">TblRezone[[#This Row],[Hour]]</f>
        <v>65</v>
      </c>
      <c r="B68" s="322" t="n">
        <f aca="false">TblExplore[[#This Row],[Land-DB]]</f>
        <v>700</v>
      </c>
      <c r="C68" s="323" t="n">
        <f aca="false">TblProd[[#This Row],[Techpoints]]</f>
        <v>1050</v>
      </c>
      <c r="D68" s="323" t="n">
        <f aca="false">TblProd[[#This Row],[Required]]</f>
        <v>3750</v>
      </c>
      <c r="E68" s="324"/>
      <c r="F68" s="325"/>
      <c r="G68" s="326" t="s">
        <v>581</v>
      </c>
      <c r="H68" s="327" t="s">
        <v>701</v>
      </c>
      <c r="I68" s="326" t="s">
        <v>702</v>
      </c>
      <c r="J68" s="322"/>
      <c r="K68" s="68" t="n">
        <f aca="false">IF(TblTech[[#This Row],[Sum of tech]]&lt;&gt;OFFSET(TblTech[[#This Row],[Sum of tech]],-1,0),1,0)</f>
        <v>0</v>
      </c>
      <c r="L68" s="328" t="n">
        <f aca="false">COUNTIF(TblTech[[#This Row],[1-1]:[11-1]],1)</f>
        <v>0</v>
      </c>
      <c r="M68" s="329" t="n">
        <f aca="false" t="array" ref="M68:M68">IF(AND(M$2&lt;&gt;0,TblTech[[#This Row],[Hour]:[Hour]]&gt;=M$2),1,0)</f>
        <v>0</v>
      </c>
      <c r="N68" s="329" t="n">
        <f aca="false" t="array" ref="N68:N68">IF(AND(N$2&lt;&gt;0,TblTech[[#This Row],[Hour]:[Hour]]&gt;=N$2),1,0)</f>
        <v>0</v>
      </c>
      <c r="O68" s="329" t="n">
        <f aca="false" t="array" ref="O68:O68">IF(AND(O$2&lt;&gt;0,TblTech[[#This Row],[Hour]:[Hour]]&gt;=O$2),1,0)</f>
        <v>0</v>
      </c>
      <c r="P68" s="329" t="n">
        <f aca="false" t="array" ref="P68:P68">IF(AND(P$2&lt;&gt;0,TblTech[[#This Row],[Hour]:[Hour]]&gt;=P$2),1,0)</f>
        <v>0</v>
      </c>
      <c r="Q68" s="329" t="n">
        <f aca="false" t="array" ref="Q68:Q68">IF(AND(Q$2&lt;&gt;0,TblTech[[#This Row],[Hour]:[Hour]]&gt;=Q$2),1,0)</f>
        <v>0</v>
      </c>
      <c r="R68" s="329" t="n">
        <f aca="false" t="array" ref="R68:R68">IF(AND(R$2&lt;&gt;0,TblTech[[#This Row],[Hour]:[Hour]]&gt;=R$2),1,0)</f>
        <v>0</v>
      </c>
      <c r="S68" s="329" t="n">
        <f aca="false" t="array" ref="S68:S68">IF(AND(S$2&lt;&gt;0,TblTech[[#This Row],[Hour]:[Hour]]&gt;=S$2),1,0)</f>
        <v>0</v>
      </c>
      <c r="T68" s="329" t="n">
        <f aca="false" t="array" ref="T68:T68">IF(AND(T$2&lt;&gt;0,TblTech[[#This Row],[Hour]:[Hour]]&gt;=T$2),1,0)</f>
        <v>0</v>
      </c>
      <c r="U68" s="329" t="n">
        <f aca="false" t="array" ref="U68:U68">IF(AND(U$2&lt;&gt;0,TblTech[[#This Row],[Hour]:[Hour]]&gt;=U$2),1,0)</f>
        <v>0</v>
      </c>
      <c r="V68" s="329" t="n">
        <f aca="false" t="array" ref="V68:V68">IF(AND(V$2&lt;&gt;0,TblTech[[#This Row],[Hour]:[Hour]]&gt;=V$2),1,0)</f>
        <v>0</v>
      </c>
      <c r="W68" s="329" t="n">
        <f aca="false" t="array" ref="W68:W68">IF(AND(W$2&lt;&gt;0,TblTech[[#This Row],[Hour]:[Hour]]&gt;=W$2),1,0)</f>
        <v>0</v>
      </c>
      <c r="X68" s="329" t="n">
        <f aca="false" t="array" ref="X68:X68">IF(AND(X$2&lt;&gt;0,TblTech[[#This Row],[Hour]:[Hour]]&gt;=X$2),1,0)</f>
        <v>0</v>
      </c>
      <c r="Y68" s="329" t="n">
        <f aca="false" t="array" ref="Y68:Y68">IF(AND(Y$2&lt;&gt;0,TblTech[[#This Row],[Hour]:[Hour]]&gt;=Y$2),1,0)</f>
        <v>0</v>
      </c>
      <c r="Z68" s="329" t="n">
        <f aca="false" t="array" ref="Z68:Z68">IF(AND(Z$2&lt;&gt;0,TblTech[[#This Row],[Hour]:[Hour]]&gt;=Z$2),1,0)</f>
        <v>0</v>
      </c>
      <c r="AA68" s="329" t="n">
        <f aca="false" t="array" ref="AA68:AA68">IF(AND(AA$2&lt;&gt;0,TblTech[[#This Row],[Hour]:[Hour]]&gt;=AA$2),1,0)</f>
        <v>0</v>
      </c>
      <c r="AB68" s="329" t="n">
        <f aca="false" t="array" ref="AB68:AB68">IF(AND(AB$2&lt;&gt;0,TblTech[[#This Row],[Hour]:[Hour]]&gt;=AB$2),1,0)</f>
        <v>0</v>
      </c>
      <c r="AC68" s="329" t="n">
        <f aca="false" t="array" ref="AC68:AC68">IF(AND(AC$2&lt;&gt;0,TblTech[[#This Row],[Hour]:[Hour]]&gt;=AC$2),1,0)</f>
        <v>0</v>
      </c>
      <c r="AD68" s="329" t="n">
        <f aca="false" t="array" ref="AD68:AD68">IF(AND(AD$2&lt;&gt;0,TblTech[[#This Row],[Hour]:[Hour]]&gt;=AD$2),1,0)</f>
        <v>0</v>
      </c>
      <c r="AE68" s="329" t="n">
        <f aca="false" t="array" ref="AE68:AE68">IF(AND(AE$2&lt;&gt;0,TblTech[[#This Row],[Hour]:[Hour]]&gt;=AE$2),1,0)</f>
        <v>0</v>
      </c>
      <c r="AF68" s="329" t="n">
        <f aca="false" t="array" ref="AF68:AF68">IF(AND(AF$2&lt;&gt;0,TblTech[[#This Row],[Hour]:[Hour]]&gt;=AF$2),1,0)</f>
        <v>0</v>
      </c>
      <c r="AG68" s="329" t="n">
        <f aca="false" t="array" ref="AG68:AG68">IF(AND(AG$2&lt;&gt;0,TblTech[[#This Row],[Hour]:[Hour]]&gt;=AG$2),1,0)</f>
        <v>0</v>
      </c>
      <c r="AH68" s="329" t="n">
        <f aca="false" t="array" ref="AH68:AH68">IF(AND(AH$2&lt;&gt;0,TblTech[[#This Row],[Hour]:[Hour]]&gt;=AH$2),1,0)</f>
        <v>0</v>
      </c>
      <c r="AI68" s="329" t="n">
        <f aca="false" t="array" ref="AI68:AI68">IF(AND(AI$2&lt;&gt;0,TblTech[[#This Row],[Hour]:[Hour]]&gt;=AI$2),1,0)</f>
        <v>0</v>
      </c>
      <c r="AJ68" s="329" t="n">
        <f aca="false" t="array" ref="AJ68:AJ68">IF(AND(AJ$2&lt;&gt;0,TblTech[[#This Row],[Hour]:[Hour]]&gt;=AJ$2),1,0)</f>
        <v>0</v>
      </c>
      <c r="AK68" s="329" t="n">
        <f aca="false" t="array" ref="AK68:AK68">IF(AND(AK$2&lt;&gt;0,TblTech[[#This Row],[Hour]:[Hour]]&gt;=AK$2),1,0)</f>
        <v>0</v>
      </c>
      <c r="AL68" s="329" t="n">
        <f aca="false" t="array" ref="AL68:AL68">IF(AND(AL$2&lt;&gt;0,TblTech[[#This Row],[Hour]:[Hour]]&gt;=AL$2),1,0)</f>
        <v>0</v>
      </c>
      <c r="AM68" s="329" t="n">
        <f aca="false" t="array" ref="AM68:AM68">IF(AND(AM$2&lt;&gt;0,TblTech[[#This Row],[Hour]:[Hour]]&gt;=AM$2),1,0)</f>
        <v>0</v>
      </c>
      <c r="AN68" s="329" t="n">
        <f aca="false" t="array" ref="AN68:AN68">IF(AND(AN$2&lt;&gt;0,TblTech[[#This Row],[Hour]:[Hour]]&gt;=AN$2),1,0)</f>
        <v>0</v>
      </c>
      <c r="AO68" s="329" t="n">
        <f aca="false" t="array" ref="AO68:AO68">IF(AND(AO$2&lt;&gt;0,TblTech[[#This Row],[Hour]:[Hour]]&gt;=AO$2),1,0)</f>
        <v>0</v>
      </c>
      <c r="AP68" s="329" t="n">
        <f aca="false" t="array" ref="AP68:AP68">IF(AND(AP$2&lt;&gt;0,TblTech[[#This Row],[Hour]:[Hour]]&gt;=AP$2),1,0)</f>
        <v>0</v>
      </c>
      <c r="AQ68" s="329" t="n">
        <f aca="false" t="array" ref="AQ68:AQ68">IF(AND(AQ$2&lt;&gt;0,TblTech[[#This Row],[Hour]:[Hour]]&gt;=AQ$2),1,0)</f>
        <v>0</v>
      </c>
      <c r="AR68" s="329" t="n">
        <f aca="false" t="array" ref="AR68:AR68">IF(AND(AR$2&lt;&gt;0,TblTech[[#This Row],[Hour]:[Hour]]&gt;=AR$2),1,0)</f>
        <v>0</v>
      </c>
      <c r="AS68" s="329" t="n">
        <f aca="false" t="array" ref="AS68:AS68">IF(AND(AS$2&lt;&gt;0,TblTech[[#This Row],[Hour]:[Hour]]&gt;=AS$2),1,0)</f>
        <v>0</v>
      </c>
      <c r="AT68" s="329" t="n">
        <f aca="false" t="array" ref="AT68:AT68">IF(AND(AT$2&lt;&gt;0,TblTech[[#This Row],[Hour]:[Hour]]&gt;=AT$2),1,0)</f>
        <v>0</v>
      </c>
      <c r="AU68" s="329" t="n">
        <f aca="false" t="array" ref="AU68:AU68">IF(AND(AU$2&lt;&gt;0,TblTech[[#This Row],[Hour]:[Hour]]&gt;=AU$2),1,0)</f>
        <v>0</v>
      </c>
      <c r="AV68" s="329" t="n">
        <f aca="false" t="array" ref="AV68:AV68">IF(AND(AV$2&lt;&gt;0,TblTech[[#This Row],[Hour]:[Hour]]&gt;=AV$2),1,0)</f>
        <v>0</v>
      </c>
      <c r="AW68" s="329" t="n">
        <f aca="false" t="array" ref="AW68:AW68">IF(AND(AW$2&lt;&gt;0,TblTech[[#This Row],[Hour]:[Hour]]&gt;=AW$2),1,0)</f>
        <v>0</v>
      </c>
      <c r="AX68" s="329" t="n">
        <f aca="false" t="array" ref="AX68:AX68">IF(AND(AX$2&lt;&gt;0,TblTech[[#This Row],[Hour]:[Hour]]&gt;=AX$2),1,0)</f>
        <v>0</v>
      </c>
      <c r="AY68" s="329" t="n">
        <f aca="false" t="array" ref="AY68:AY68">IF(AND(AY$2&lt;&gt;0,TblTech[[#This Row],[Hour]:[Hour]]&gt;=AY$2),1,0)</f>
        <v>0</v>
      </c>
      <c r="AZ68" s="329" t="n">
        <f aca="false" t="array" ref="AZ68:AZ68">IF(AND(AZ$2&lt;&gt;0,TblTech[[#This Row],[Hour]:[Hour]]&gt;=AZ$2),1,0)</f>
        <v>0</v>
      </c>
      <c r="BA68" s="329" t="n">
        <f aca="false" t="array" ref="BA68:BA68">IF(AND(BA$2&lt;&gt;0,TblTech[[#This Row],[Hour]:[Hour]]&gt;=BA$2),1,0)</f>
        <v>0</v>
      </c>
      <c r="BB68" s="329" t="n">
        <f aca="false" t="array" ref="BB68:BB68">IF(AND(BB$2&lt;&gt;0,TblTech[[#This Row],[Hour]:[Hour]]&gt;=BB$2),1,0)</f>
        <v>0</v>
      </c>
      <c r="BC68" s="329" t="n">
        <f aca="false" t="array" ref="BC68:BC68">IF(AND(BC$2&lt;&gt;0,TblTech[[#This Row],[Hour]:[Hour]]&gt;=BC$2),1,0)</f>
        <v>0</v>
      </c>
      <c r="BD68" s="329" t="n">
        <f aca="false" t="array" ref="BD68:BD68">IF(AND(BD$2&lt;&gt;0,TblTech[[#This Row],[Hour]:[Hour]]&gt;=BD$2),1,0)</f>
        <v>0</v>
      </c>
      <c r="BE68" s="329" t="n">
        <f aca="false" t="array" ref="BE68:BE68">IF(AND(BE$2&lt;&gt;0,TblTech[[#This Row],[Hour]:[Hour]]&gt;=BE$2),1,0)</f>
        <v>0</v>
      </c>
      <c r="BF68" s="329" t="n">
        <f aca="false" t="array" ref="BF68:BF68">IF(AND(BF$2&lt;&gt;0,TblTech[[#This Row],[Hour]:[Hour]]&gt;=BF$2),1,0)</f>
        <v>0</v>
      </c>
      <c r="BG68" s="329" t="n">
        <f aca="false" t="array" ref="BG68:BG68">IF(AND(BG$2&lt;&gt;0,TblTech[[#This Row],[Hour]:[Hour]]&gt;=BG$2),1,0)</f>
        <v>0</v>
      </c>
      <c r="BH68" s="329" t="n">
        <f aca="false" t="array" ref="BH68:BH68">IF(AND(BH$2&lt;&gt;0,TblTech[[#This Row],[Hour]:[Hour]]&gt;=BH$2),1,0)</f>
        <v>0</v>
      </c>
      <c r="BI68" s="329" t="n">
        <f aca="false" t="array" ref="BI68:BI68">IF(AND(BI$2&lt;&gt;0,TblTech[[#This Row],[Hour]:[Hour]]&gt;=BI$2),1,0)</f>
        <v>0</v>
      </c>
      <c r="BJ68" s="329" t="n">
        <f aca="false" t="array" ref="BJ68:BJ68">IF(AND(BJ$2&lt;&gt;0,TblTech[[#This Row],[Hour]:[Hour]]&gt;=BJ$2),1,0)</f>
        <v>0</v>
      </c>
      <c r="BK68" s="329" t="n">
        <f aca="false" t="array" ref="BK68:BK68">IF(AND(BK$2&lt;&gt;0,TblTech[[#This Row],[Hour]:[Hour]]&gt;=BK$2),1,0)</f>
        <v>0</v>
      </c>
      <c r="BL68" s="329" t="n">
        <f aca="false" t="array" ref="BL68:BL68">IF(AND(BL$2&lt;&gt;0,TblTech[[#This Row],[Hour]:[Hour]]&gt;=BL$2),1,0)</f>
        <v>0</v>
      </c>
      <c r="BM68" s="329" t="n">
        <f aca="false" t="array" ref="BM68:BM68">IF(AND(BM$2&lt;&gt;0,TblTech[[#This Row],[Hour]:[Hour]]&gt;=BM$2),1,0)</f>
        <v>0</v>
      </c>
      <c r="BN68" s="329" t="n">
        <f aca="false" t="array" ref="BN68:BN68">IF(AND(BN$2&lt;&gt;0,TblTech[[#This Row],[Hour]:[Hour]]&gt;=BN$2),1,0)</f>
        <v>0</v>
      </c>
      <c r="BO68" s="329" t="n">
        <f aca="false" t="array" ref="BO68:BO68">IF(AND(BO$2&lt;&gt;0,TblTech[[#This Row],[Hour]:[Hour]]&gt;=BO$2),1,0)</f>
        <v>0</v>
      </c>
      <c r="BP68" s="329" t="n">
        <f aca="false" t="array" ref="BP68:BP68">IF(AND(BP$2&lt;&gt;0,TblTech[[#This Row],[Hour]:[Hour]]&gt;=BP$2),1,0)</f>
        <v>0</v>
      </c>
      <c r="BQ68" s="329" t="n">
        <f aca="false" t="array" ref="BQ68:BQ68">IF(AND(BQ$2&lt;&gt;0,TblTech[[#This Row],[Hour]:[Hour]]&gt;=BQ$2),1,0)</f>
        <v>0</v>
      </c>
      <c r="BR68" s="329" t="n">
        <f aca="false" t="array" ref="BR68:BR68">IF(AND(BR$2&lt;&gt;0,TblTech[[#This Row],[Hour]:[Hour]]&gt;=BR$2),1,0)</f>
        <v>0</v>
      </c>
      <c r="BS68" s="329" t="n">
        <f aca="false" t="array" ref="BS68:BS68">IF(AND(BS$2&lt;&gt;0,TblTech[[#This Row],[Hour]:[Hour]]&gt;=BS$2),1,0)</f>
        <v>0</v>
      </c>
      <c r="BT68" s="329" t="n">
        <f aca="false" t="array" ref="BT68:BT68">IF(AND(BT$2&lt;&gt;0,TblTech[[#This Row],[Hour]:[Hour]]&gt;=BT$2),1,0)</f>
        <v>0</v>
      </c>
      <c r="BU68" s="329" t="n">
        <f aca="false" t="array" ref="BU68:BU68">IF(AND(BU$2&lt;&gt;0,TblTech[[#This Row],[Hour]:[Hour]]&gt;=BU$2),1,0)</f>
        <v>0</v>
      </c>
      <c r="BV68" s="329" t="n">
        <f aca="false" t="array" ref="BV68:BV68">IF(AND(BV$2&lt;&gt;0,TblTech[[#This Row],[Hour]:[Hour]]&gt;=BV$2),1,0)</f>
        <v>0</v>
      </c>
      <c r="BW68" s="329" t="n">
        <f aca="false" t="array" ref="BW68:BW68">IF(AND(BW$2&lt;&gt;0,TblTech[[#This Row],[Hour]:[Hour]]&gt;=BW$2),1,0)</f>
        <v>0</v>
      </c>
      <c r="BX68" s="329" t="n">
        <f aca="false" t="array" ref="BX68:BX68">IF(AND(BX$2&lt;&gt;0,TblTech[[#This Row],[Hour]:[Hour]]&gt;=BX$2),1,0)</f>
        <v>0</v>
      </c>
      <c r="BY68" s="329" t="n">
        <f aca="false" t="array" ref="BY68:BY68">IF(AND(BY$2&lt;&gt;0,TblTech[[#This Row],[Hour]:[Hour]]&gt;=BY$2),1,0)</f>
        <v>0</v>
      </c>
      <c r="BZ68" s="329" t="n">
        <f aca="false" t="array" ref="BZ68:BZ68">IF(AND(BZ$2&lt;&gt;0,TblTech[[#This Row],[Hour]:[Hour]]&gt;=BZ$2),1,0)</f>
        <v>0</v>
      </c>
      <c r="CA68" s="330" t="n">
        <f aca="false">IFERROR(INDEX($H$4:$H$79,MATCH(INDEX(TblTech[[#Headers],[1-1]:[11-1]],1,MATCH(TblTech[[#This Row],[Hour]],$M$2:$BZ$2,0)),$G$4:$G$79,0)),)</f>
        <v>0</v>
      </c>
    </row>
    <row r="69" customFormat="false" ht="12.75" hidden="false" customHeight="false" outlineLevel="0" collapsed="false">
      <c r="A69" s="321" t="n">
        <f aca="false">TblRezone[[#This Row],[Hour]]</f>
        <v>66</v>
      </c>
      <c r="B69" s="322" t="n">
        <f aca="false">TblExplore[[#This Row],[Land-DB]]</f>
        <v>700</v>
      </c>
      <c r="C69" s="323" t="n">
        <f aca="false">TblProd[[#This Row],[Techpoints]]</f>
        <v>1050</v>
      </c>
      <c r="D69" s="323" t="n">
        <f aca="false">TblProd[[#This Row],[Required]]</f>
        <v>3750</v>
      </c>
      <c r="E69" s="324"/>
      <c r="F69" s="325"/>
      <c r="G69" s="326" t="s">
        <v>582</v>
      </c>
      <c r="H69" s="327" t="s">
        <v>703</v>
      </c>
      <c r="I69" s="326" t="s">
        <v>704</v>
      </c>
      <c r="J69" s="322"/>
      <c r="K69" s="68" t="n">
        <f aca="false">IF(TblTech[[#This Row],[Sum of tech]]&lt;&gt;OFFSET(TblTech[[#This Row],[Sum of tech]],-1,0),1,0)</f>
        <v>0</v>
      </c>
      <c r="L69" s="328" t="n">
        <f aca="false">COUNTIF(TblTech[[#This Row],[1-1]:[11-1]],1)</f>
        <v>0</v>
      </c>
      <c r="M69" s="329" t="n">
        <f aca="false" t="array" ref="M69:M69">IF(AND(M$2&lt;&gt;0,TblTech[[#This Row],[Hour]:[Hour]]&gt;=M$2),1,0)</f>
        <v>0</v>
      </c>
      <c r="N69" s="329" t="n">
        <f aca="false" t="array" ref="N69:N69">IF(AND(N$2&lt;&gt;0,TblTech[[#This Row],[Hour]:[Hour]]&gt;=N$2),1,0)</f>
        <v>0</v>
      </c>
      <c r="O69" s="329" t="n">
        <f aca="false" t="array" ref="O69:O69">IF(AND(O$2&lt;&gt;0,TblTech[[#This Row],[Hour]:[Hour]]&gt;=O$2),1,0)</f>
        <v>0</v>
      </c>
      <c r="P69" s="329" t="n">
        <f aca="false" t="array" ref="P69:P69">IF(AND(P$2&lt;&gt;0,TblTech[[#This Row],[Hour]:[Hour]]&gt;=P$2),1,0)</f>
        <v>0</v>
      </c>
      <c r="Q69" s="329" t="n">
        <f aca="false" t="array" ref="Q69:Q69">IF(AND(Q$2&lt;&gt;0,TblTech[[#This Row],[Hour]:[Hour]]&gt;=Q$2),1,0)</f>
        <v>0</v>
      </c>
      <c r="R69" s="329" t="n">
        <f aca="false" t="array" ref="R69:R69">IF(AND(R$2&lt;&gt;0,TblTech[[#This Row],[Hour]:[Hour]]&gt;=R$2),1,0)</f>
        <v>0</v>
      </c>
      <c r="S69" s="329" t="n">
        <f aca="false" t="array" ref="S69:S69">IF(AND(S$2&lt;&gt;0,TblTech[[#This Row],[Hour]:[Hour]]&gt;=S$2),1,0)</f>
        <v>0</v>
      </c>
      <c r="T69" s="329" t="n">
        <f aca="false" t="array" ref="T69:T69">IF(AND(T$2&lt;&gt;0,TblTech[[#This Row],[Hour]:[Hour]]&gt;=T$2),1,0)</f>
        <v>0</v>
      </c>
      <c r="U69" s="329" t="n">
        <f aca="false" t="array" ref="U69:U69">IF(AND(U$2&lt;&gt;0,TblTech[[#This Row],[Hour]:[Hour]]&gt;=U$2),1,0)</f>
        <v>0</v>
      </c>
      <c r="V69" s="329" t="n">
        <f aca="false" t="array" ref="V69:V69">IF(AND(V$2&lt;&gt;0,TblTech[[#This Row],[Hour]:[Hour]]&gt;=V$2),1,0)</f>
        <v>0</v>
      </c>
      <c r="W69" s="329" t="n">
        <f aca="false" t="array" ref="W69:W69">IF(AND(W$2&lt;&gt;0,TblTech[[#This Row],[Hour]:[Hour]]&gt;=W$2),1,0)</f>
        <v>0</v>
      </c>
      <c r="X69" s="329" t="n">
        <f aca="false" t="array" ref="X69:X69">IF(AND(X$2&lt;&gt;0,TblTech[[#This Row],[Hour]:[Hour]]&gt;=X$2),1,0)</f>
        <v>0</v>
      </c>
      <c r="Y69" s="329" t="n">
        <f aca="false" t="array" ref="Y69:Y69">IF(AND(Y$2&lt;&gt;0,TblTech[[#This Row],[Hour]:[Hour]]&gt;=Y$2),1,0)</f>
        <v>0</v>
      </c>
      <c r="Z69" s="329" t="n">
        <f aca="false" t="array" ref="Z69:Z69">IF(AND(Z$2&lt;&gt;0,TblTech[[#This Row],[Hour]:[Hour]]&gt;=Z$2),1,0)</f>
        <v>0</v>
      </c>
      <c r="AA69" s="329" t="n">
        <f aca="false" t="array" ref="AA69:AA69">IF(AND(AA$2&lt;&gt;0,TblTech[[#This Row],[Hour]:[Hour]]&gt;=AA$2),1,0)</f>
        <v>0</v>
      </c>
      <c r="AB69" s="329" t="n">
        <f aca="false" t="array" ref="AB69:AB69">IF(AND(AB$2&lt;&gt;0,TblTech[[#This Row],[Hour]:[Hour]]&gt;=AB$2),1,0)</f>
        <v>0</v>
      </c>
      <c r="AC69" s="329" t="n">
        <f aca="false" t="array" ref="AC69:AC69">IF(AND(AC$2&lt;&gt;0,TblTech[[#This Row],[Hour]:[Hour]]&gt;=AC$2),1,0)</f>
        <v>0</v>
      </c>
      <c r="AD69" s="329" t="n">
        <f aca="false" t="array" ref="AD69:AD69">IF(AND(AD$2&lt;&gt;0,TblTech[[#This Row],[Hour]:[Hour]]&gt;=AD$2),1,0)</f>
        <v>0</v>
      </c>
      <c r="AE69" s="329" t="n">
        <f aca="false" t="array" ref="AE69:AE69">IF(AND(AE$2&lt;&gt;0,TblTech[[#This Row],[Hour]:[Hour]]&gt;=AE$2),1,0)</f>
        <v>0</v>
      </c>
      <c r="AF69" s="329" t="n">
        <f aca="false" t="array" ref="AF69:AF69">IF(AND(AF$2&lt;&gt;0,TblTech[[#This Row],[Hour]:[Hour]]&gt;=AF$2),1,0)</f>
        <v>0</v>
      </c>
      <c r="AG69" s="329" t="n">
        <f aca="false" t="array" ref="AG69:AG69">IF(AND(AG$2&lt;&gt;0,TblTech[[#This Row],[Hour]:[Hour]]&gt;=AG$2),1,0)</f>
        <v>0</v>
      </c>
      <c r="AH69" s="329" t="n">
        <f aca="false" t="array" ref="AH69:AH69">IF(AND(AH$2&lt;&gt;0,TblTech[[#This Row],[Hour]:[Hour]]&gt;=AH$2),1,0)</f>
        <v>0</v>
      </c>
      <c r="AI69" s="329" t="n">
        <f aca="false" t="array" ref="AI69:AI69">IF(AND(AI$2&lt;&gt;0,TblTech[[#This Row],[Hour]:[Hour]]&gt;=AI$2),1,0)</f>
        <v>0</v>
      </c>
      <c r="AJ69" s="329" t="n">
        <f aca="false" t="array" ref="AJ69:AJ69">IF(AND(AJ$2&lt;&gt;0,TblTech[[#This Row],[Hour]:[Hour]]&gt;=AJ$2),1,0)</f>
        <v>0</v>
      </c>
      <c r="AK69" s="329" t="n">
        <f aca="false" t="array" ref="AK69:AK69">IF(AND(AK$2&lt;&gt;0,TblTech[[#This Row],[Hour]:[Hour]]&gt;=AK$2),1,0)</f>
        <v>0</v>
      </c>
      <c r="AL69" s="329" t="n">
        <f aca="false" t="array" ref="AL69:AL69">IF(AND(AL$2&lt;&gt;0,TblTech[[#This Row],[Hour]:[Hour]]&gt;=AL$2),1,0)</f>
        <v>0</v>
      </c>
      <c r="AM69" s="329" t="n">
        <f aca="false" t="array" ref="AM69:AM69">IF(AND(AM$2&lt;&gt;0,TblTech[[#This Row],[Hour]:[Hour]]&gt;=AM$2),1,0)</f>
        <v>0</v>
      </c>
      <c r="AN69" s="329" t="n">
        <f aca="false" t="array" ref="AN69:AN69">IF(AND(AN$2&lt;&gt;0,TblTech[[#This Row],[Hour]:[Hour]]&gt;=AN$2),1,0)</f>
        <v>0</v>
      </c>
      <c r="AO69" s="329" t="n">
        <f aca="false" t="array" ref="AO69:AO69">IF(AND(AO$2&lt;&gt;0,TblTech[[#This Row],[Hour]:[Hour]]&gt;=AO$2),1,0)</f>
        <v>0</v>
      </c>
      <c r="AP69" s="329" t="n">
        <f aca="false" t="array" ref="AP69:AP69">IF(AND(AP$2&lt;&gt;0,TblTech[[#This Row],[Hour]:[Hour]]&gt;=AP$2),1,0)</f>
        <v>0</v>
      </c>
      <c r="AQ69" s="329" t="n">
        <f aca="false" t="array" ref="AQ69:AQ69">IF(AND(AQ$2&lt;&gt;0,TblTech[[#This Row],[Hour]:[Hour]]&gt;=AQ$2),1,0)</f>
        <v>0</v>
      </c>
      <c r="AR69" s="329" t="n">
        <f aca="false" t="array" ref="AR69:AR69">IF(AND(AR$2&lt;&gt;0,TblTech[[#This Row],[Hour]:[Hour]]&gt;=AR$2),1,0)</f>
        <v>0</v>
      </c>
      <c r="AS69" s="329" t="n">
        <f aca="false" t="array" ref="AS69:AS69">IF(AND(AS$2&lt;&gt;0,TblTech[[#This Row],[Hour]:[Hour]]&gt;=AS$2),1,0)</f>
        <v>0</v>
      </c>
      <c r="AT69" s="329" t="n">
        <f aca="false" t="array" ref="AT69:AT69">IF(AND(AT$2&lt;&gt;0,TblTech[[#This Row],[Hour]:[Hour]]&gt;=AT$2),1,0)</f>
        <v>0</v>
      </c>
      <c r="AU69" s="329" t="n">
        <f aca="false" t="array" ref="AU69:AU69">IF(AND(AU$2&lt;&gt;0,TblTech[[#This Row],[Hour]:[Hour]]&gt;=AU$2),1,0)</f>
        <v>0</v>
      </c>
      <c r="AV69" s="329" t="n">
        <f aca="false" t="array" ref="AV69:AV69">IF(AND(AV$2&lt;&gt;0,TblTech[[#This Row],[Hour]:[Hour]]&gt;=AV$2),1,0)</f>
        <v>0</v>
      </c>
      <c r="AW69" s="329" t="n">
        <f aca="false" t="array" ref="AW69:AW69">IF(AND(AW$2&lt;&gt;0,TblTech[[#This Row],[Hour]:[Hour]]&gt;=AW$2),1,0)</f>
        <v>0</v>
      </c>
      <c r="AX69" s="329" t="n">
        <f aca="false" t="array" ref="AX69:AX69">IF(AND(AX$2&lt;&gt;0,TblTech[[#This Row],[Hour]:[Hour]]&gt;=AX$2),1,0)</f>
        <v>0</v>
      </c>
      <c r="AY69" s="329" t="n">
        <f aca="false" t="array" ref="AY69:AY69">IF(AND(AY$2&lt;&gt;0,TblTech[[#This Row],[Hour]:[Hour]]&gt;=AY$2),1,0)</f>
        <v>0</v>
      </c>
      <c r="AZ69" s="329" t="n">
        <f aca="false" t="array" ref="AZ69:AZ69">IF(AND(AZ$2&lt;&gt;0,TblTech[[#This Row],[Hour]:[Hour]]&gt;=AZ$2),1,0)</f>
        <v>0</v>
      </c>
      <c r="BA69" s="329" t="n">
        <f aca="false" t="array" ref="BA69:BA69">IF(AND(BA$2&lt;&gt;0,TblTech[[#This Row],[Hour]:[Hour]]&gt;=BA$2),1,0)</f>
        <v>0</v>
      </c>
      <c r="BB69" s="329" t="n">
        <f aca="false" t="array" ref="BB69:BB69">IF(AND(BB$2&lt;&gt;0,TblTech[[#This Row],[Hour]:[Hour]]&gt;=BB$2),1,0)</f>
        <v>0</v>
      </c>
      <c r="BC69" s="329" t="n">
        <f aca="false" t="array" ref="BC69:BC69">IF(AND(BC$2&lt;&gt;0,TblTech[[#This Row],[Hour]:[Hour]]&gt;=BC$2),1,0)</f>
        <v>0</v>
      </c>
      <c r="BD69" s="329" t="n">
        <f aca="false" t="array" ref="BD69:BD69">IF(AND(BD$2&lt;&gt;0,TblTech[[#This Row],[Hour]:[Hour]]&gt;=BD$2),1,0)</f>
        <v>0</v>
      </c>
      <c r="BE69" s="329" t="n">
        <f aca="false" t="array" ref="BE69:BE69">IF(AND(BE$2&lt;&gt;0,TblTech[[#This Row],[Hour]:[Hour]]&gt;=BE$2),1,0)</f>
        <v>0</v>
      </c>
      <c r="BF69" s="329" t="n">
        <f aca="false" t="array" ref="BF69:BF69">IF(AND(BF$2&lt;&gt;0,TblTech[[#This Row],[Hour]:[Hour]]&gt;=BF$2),1,0)</f>
        <v>0</v>
      </c>
      <c r="BG69" s="329" t="n">
        <f aca="false" t="array" ref="BG69:BG69">IF(AND(BG$2&lt;&gt;0,TblTech[[#This Row],[Hour]:[Hour]]&gt;=BG$2),1,0)</f>
        <v>0</v>
      </c>
      <c r="BH69" s="329" t="n">
        <f aca="false" t="array" ref="BH69:BH69">IF(AND(BH$2&lt;&gt;0,TblTech[[#This Row],[Hour]:[Hour]]&gt;=BH$2),1,0)</f>
        <v>0</v>
      </c>
      <c r="BI69" s="329" t="n">
        <f aca="false" t="array" ref="BI69:BI69">IF(AND(BI$2&lt;&gt;0,TblTech[[#This Row],[Hour]:[Hour]]&gt;=BI$2),1,0)</f>
        <v>0</v>
      </c>
      <c r="BJ69" s="329" t="n">
        <f aca="false" t="array" ref="BJ69:BJ69">IF(AND(BJ$2&lt;&gt;0,TblTech[[#This Row],[Hour]:[Hour]]&gt;=BJ$2),1,0)</f>
        <v>0</v>
      </c>
      <c r="BK69" s="329" t="n">
        <f aca="false" t="array" ref="BK69:BK69">IF(AND(BK$2&lt;&gt;0,TblTech[[#This Row],[Hour]:[Hour]]&gt;=BK$2),1,0)</f>
        <v>0</v>
      </c>
      <c r="BL69" s="329" t="n">
        <f aca="false" t="array" ref="BL69:BL69">IF(AND(BL$2&lt;&gt;0,TblTech[[#This Row],[Hour]:[Hour]]&gt;=BL$2),1,0)</f>
        <v>0</v>
      </c>
      <c r="BM69" s="329" t="n">
        <f aca="false" t="array" ref="BM69:BM69">IF(AND(BM$2&lt;&gt;0,TblTech[[#This Row],[Hour]:[Hour]]&gt;=BM$2),1,0)</f>
        <v>0</v>
      </c>
      <c r="BN69" s="329" t="n">
        <f aca="false" t="array" ref="BN69:BN69">IF(AND(BN$2&lt;&gt;0,TblTech[[#This Row],[Hour]:[Hour]]&gt;=BN$2),1,0)</f>
        <v>0</v>
      </c>
      <c r="BO69" s="329" t="n">
        <f aca="false" t="array" ref="BO69:BO69">IF(AND(BO$2&lt;&gt;0,TblTech[[#This Row],[Hour]:[Hour]]&gt;=BO$2),1,0)</f>
        <v>0</v>
      </c>
      <c r="BP69" s="329" t="n">
        <f aca="false" t="array" ref="BP69:BP69">IF(AND(BP$2&lt;&gt;0,TblTech[[#This Row],[Hour]:[Hour]]&gt;=BP$2),1,0)</f>
        <v>0</v>
      </c>
      <c r="BQ69" s="329" t="n">
        <f aca="false" t="array" ref="BQ69:BQ69">IF(AND(BQ$2&lt;&gt;0,TblTech[[#This Row],[Hour]:[Hour]]&gt;=BQ$2),1,0)</f>
        <v>0</v>
      </c>
      <c r="BR69" s="329" t="n">
        <f aca="false" t="array" ref="BR69:BR69">IF(AND(BR$2&lt;&gt;0,TblTech[[#This Row],[Hour]:[Hour]]&gt;=BR$2),1,0)</f>
        <v>0</v>
      </c>
      <c r="BS69" s="329" t="n">
        <f aca="false" t="array" ref="BS69:BS69">IF(AND(BS$2&lt;&gt;0,TblTech[[#This Row],[Hour]:[Hour]]&gt;=BS$2),1,0)</f>
        <v>0</v>
      </c>
      <c r="BT69" s="329" t="n">
        <f aca="false" t="array" ref="BT69:BT69">IF(AND(BT$2&lt;&gt;0,TblTech[[#This Row],[Hour]:[Hour]]&gt;=BT$2),1,0)</f>
        <v>0</v>
      </c>
      <c r="BU69" s="329" t="n">
        <f aca="false" t="array" ref="BU69:BU69">IF(AND(BU$2&lt;&gt;0,TblTech[[#This Row],[Hour]:[Hour]]&gt;=BU$2),1,0)</f>
        <v>0</v>
      </c>
      <c r="BV69" s="329" t="n">
        <f aca="false" t="array" ref="BV69:BV69">IF(AND(BV$2&lt;&gt;0,TblTech[[#This Row],[Hour]:[Hour]]&gt;=BV$2),1,0)</f>
        <v>0</v>
      </c>
      <c r="BW69" s="329" t="n">
        <f aca="false" t="array" ref="BW69:BW69">IF(AND(BW$2&lt;&gt;0,TblTech[[#This Row],[Hour]:[Hour]]&gt;=BW$2),1,0)</f>
        <v>0</v>
      </c>
      <c r="BX69" s="329" t="n">
        <f aca="false" t="array" ref="BX69:BX69">IF(AND(BX$2&lt;&gt;0,TblTech[[#This Row],[Hour]:[Hour]]&gt;=BX$2),1,0)</f>
        <v>0</v>
      </c>
      <c r="BY69" s="329" t="n">
        <f aca="false" t="array" ref="BY69:BY69">IF(AND(BY$2&lt;&gt;0,TblTech[[#This Row],[Hour]:[Hour]]&gt;=BY$2),1,0)</f>
        <v>0</v>
      </c>
      <c r="BZ69" s="329" t="n">
        <f aca="false" t="array" ref="BZ69:BZ69">IF(AND(BZ$2&lt;&gt;0,TblTech[[#This Row],[Hour]:[Hour]]&gt;=BZ$2),1,0)</f>
        <v>0</v>
      </c>
      <c r="CA69" s="330" t="n">
        <f aca="false">IFERROR(INDEX($H$4:$H$79,MATCH(INDEX(TblTech[[#Headers],[1-1]:[11-1]],1,MATCH(TblTech[[#This Row],[Hour]],$M$2:$BZ$2,0)),$G$4:$G$79,0)),)</f>
        <v>0</v>
      </c>
    </row>
    <row r="70" customFormat="false" ht="12.75" hidden="false" customHeight="false" outlineLevel="0" collapsed="false">
      <c r="A70" s="321" t="n">
        <f aca="false">TblRezone[[#This Row],[Hour]]</f>
        <v>67</v>
      </c>
      <c r="B70" s="322" t="n">
        <f aca="false">TblExplore[[#This Row],[Land-DB]]</f>
        <v>700</v>
      </c>
      <c r="C70" s="323" t="n">
        <f aca="false">TblProd[[#This Row],[Techpoints]]</f>
        <v>1050</v>
      </c>
      <c r="D70" s="323" t="n">
        <f aca="false">TblProd[[#This Row],[Required]]</f>
        <v>3750</v>
      </c>
      <c r="E70" s="324"/>
      <c r="F70" s="325"/>
      <c r="G70" s="326" t="s">
        <v>583</v>
      </c>
      <c r="H70" s="327" t="s">
        <v>705</v>
      </c>
      <c r="I70" s="326" t="s">
        <v>706</v>
      </c>
      <c r="J70" s="322"/>
      <c r="K70" s="68" t="n">
        <f aca="false">IF(TblTech[[#This Row],[Sum of tech]]&lt;&gt;OFFSET(TblTech[[#This Row],[Sum of tech]],-1,0),1,0)</f>
        <v>0</v>
      </c>
      <c r="L70" s="328" t="n">
        <f aca="false">COUNTIF(TblTech[[#This Row],[1-1]:[11-1]],1)</f>
        <v>0</v>
      </c>
      <c r="M70" s="329" t="n">
        <f aca="false" t="array" ref="M70:M70">IF(AND(M$2&lt;&gt;0,TblTech[[#This Row],[Hour]:[Hour]]&gt;=M$2),1,0)</f>
        <v>0</v>
      </c>
      <c r="N70" s="329" t="n">
        <f aca="false" t="array" ref="N70:N70">IF(AND(N$2&lt;&gt;0,TblTech[[#This Row],[Hour]:[Hour]]&gt;=N$2),1,0)</f>
        <v>0</v>
      </c>
      <c r="O70" s="329" t="n">
        <f aca="false" t="array" ref="O70:O70">IF(AND(O$2&lt;&gt;0,TblTech[[#This Row],[Hour]:[Hour]]&gt;=O$2),1,0)</f>
        <v>0</v>
      </c>
      <c r="P70" s="329" t="n">
        <f aca="false" t="array" ref="P70:P70">IF(AND(P$2&lt;&gt;0,TblTech[[#This Row],[Hour]:[Hour]]&gt;=P$2),1,0)</f>
        <v>0</v>
      </c>
      <c r="Q70" s="329" t="n">
        <f aca="false" t="array" ref="Q70:Q70">IF(AND(Q$2&lt;&gt;0,TblTech[[#This Row],[Hour]:[Hour]]&gt;=Q$2),1,0)</f>
        <v>0</v>
      </c>
      <c r="R70" s="329" t="n">
        <f aca="false" t="array" ref="R70:R70">IF(AND(R$2&lt;&gt;0,TblTech[[#This Row],[Hour]:[Hour]]&gt;=R$2),1,0)</f>
        <v>0</v>
      </c>
      <c r="S70" s="329" t="n">
        <f aca="false" t="array" ref="S70:S70">IF(AND(S$2&lt;&gt;0,TblTech[[#This Row],[Hour]:[Hour]]&gt;=S$2),1,0)</f>
        <v>0</v>
      </c>
      <c r="T70" s="329" t="n">
        <f aca="false" t="array" ref="T70:T70">IF(AND(T$2&lt;&gt;0,TblTech[[#This Row],[Hour]:[Hour]]&gt;=T$2),1,0)</f>
        <v>0</v>
      </c>
      <c r="U70" s="329" t="n">
        <f aca="false" t="array" ref="U70:U70">IF(AND(U$2&lt;&gt;0,TblTech[[#This Row],[Hour]:[Hour]]&gt;=U$2),1,0)</f>
        <v>0</v>
      </c>
      <c r="V70" s="329" t="n">
        <f aca="false" t="array" ref="V70:V70">IF(AND(V$2&lt;&gt;0,TblTech[[#This Row],[Hour]:[Hour]]&gt;=V$2),1,0)</f>
        <v>0</v>
      </c>
      <c r="W70" s="329" t="n">
        <f aca="false" t="array" ref="W70:W70">IF(AND(W$2&lt;&gt;0,TblTech[[#This Row],[Hour]:[Hour]]&gt;=W$2),1,0)</f>
        <v>0</v>
      </c>
      <c r="X70" s="329" t="n">
        <f aca="false" t="array" ref="X70:X70">IF(AND(X$2&lt;&gt;0,TblTech[[#This Row],[Hour]:[Hour]]&gt;=X$2),1,0)</f>
        <v>0</v>
      </c>
      <c r="Y70" s="329" t="n">
        <f aca="false" t="array" ref="Y70:Y70">IF(AND(Y$2&lt;&gt;0,TblTech[[#This Row],[Hour]:[Hour]]&gt;=Y$2),1,0)</f>
        <v>0</v>
      </c>
      <c r="Z70" s="329" t="n">
        <f aca="false" t="array" ref="Z70:Z70">IF(AND(Z$2&lt;&gt;0,TblTech[[#This Row],[Hour]:[Hour]]&gt;=Z$2),1,0)</f>
        <v>0</v>
      </c>
      <c r="AA70" s="329" t="n">
        <f aca="false" t="array" ref="AA70:AA70">IF(AND(AA$2&lt;&gt;0,TblTech[[#This Row],[Hour]:[Hour]]&gt;=AA$2),1,0)</f>
        <v>0</v>
      </c>
      <c r="AB70" s="329" t="n">
        <f aca="false" t="array" ref="AB70:AB70">IF(AND(AB$2&lt;&gt;0,TblTech[[#This Row],[Hour]:[Hour]]&gt;=AB$2),1,0)</f>
        <v>0</v>
      </c>
      <c r="AC70" s="329" t="n">
        <f aca="false" t="array" ref="AC70:AC70">IF(AND(AC$2&lt;&gt;0,TblTech[[#This Row],[Hour]:[Hour]]&gt;=AC$2),1,0)</f>
        <v>0</v>
      </c>
      <c r="AD70" s="329" t="n">
        <f aca="false" t="array" ref="AD70:AD70">IF(AND(AD$2&lt;&gt;0,TblTech[[#This Row],[Hour]:[Hour]]&gt;=AD$2),1,0)</f>
        <v>0</v>
      </c>
      <c r="AE70" s="329" t="n">
        <f aca="false" t="array" ref="AE70:AE70">IF(AND(AE$2&lt;&gt;0,TblTech[[#This Row],[Hour]:[Hour]]&gt;=AE$2),1,0)</f>
        <v>0</v>
      </c>
      <c r="AF70" s="329" t="n">
        <f aca="false" t="array" ref="AF70:AF70">IF(AND(AF$2&lt;&gt;0,TblTech[[#This Row],[Hour]:[Hour]]&gt;=AF$2),1,0)</f>
        <v>0</v>
      </c>
      <c r="AG70" s="329" t="n">
        <f aca="false" t="array" ref="AG70:AG70">IF(AND(AG$2&lt;&gt;0,TblTech[[#This Row],[Hour]:[Hour]]&gt;=AG$2),1,0)</f>
        <v>0</v>
      </c>
      <c r="AH70" s="329" t="n">
        <f aca="false" t="array" ref="AH70:AH70">IF(AND(AH$2&lt;&gt;0,TblTech[[#This Row],[Hour]:[Hour]]&gt;=AH$2),1,0)</f>
        <v>0</v>
      </c>
      <c r="AI70" s="329" t="n">
        <f aca="false" t="array" ref="AI70:AI70">IF(AND(AI$2&lt;&gt;0,TblTech[[#This Row],[Hour]:[Hour]]&gt;=AI$2),1,0)</f>
        <v>0</v>
      </c>
      <c r="AJ70" s="329" t="n">
        <f aca="false" t="array" ref="AJ70:AJ70">IF(AND(AJ$2&lt;&gt;0,TblTech[[#This Row],[Hour]:[Hour]]&gt;=AJ$2),1,0)</f>
        <v>0</v>
      </c>
      <c r="AK70" s="329" t="n">
        <f aca="false" t="array" ref="AK70:AK70">IF(AND(AK$2&lt;&gt;0,TblTech[[#This Row],[Hour]:[Hour]]&gt;=AK$2),1,0)</f>
        <v>0</v>
      </c>
      <c r="AL70" s="329" t="n">
        <f aca="false" t="array" ref="AL70:AL70">IF(AND(AL$2&lt;&gt;0,TblTech[[#This Row],[Hour]:[Hour]]&gt;=AL$2),1,0)</f>
        <v>0</v>
      </c>
      <c r="AM70" s="329" t="n">
        <f aca="false" t="array" ref="AM70:AM70">IF(AND(AM$2&lt;&gt;0,TblTech[[#This Row],[Hour]:[Hour]]&gt;=AM$2),1,0)</f>
        <v>0</v>
      </c>
      <c r="AN70" s="329" t="n">
        <f aca="false" t="array" ref="AN70:AN70">IF(AND(AN$2&lt;&gt;0,TblTech[[#This Row],[Hour]:[Hour]]&gt;=AN$2),1,0)</f>
        <v>0</v>
      </c>
      <c r="AO70" s="329" t="n">
        <f aca="false" t="array" ref="AO70:AO70">IF(AND(AO$2&lt;&gt;0,TblTech[[#This Row],[Hour]:[Hour]]&gt;=AO$2),1,0)</f>
        <v>0</v>
      </c>
      <c r="AP70" s="329" t="n">
        <f aca="false" t="array" ref="AP70:AP70">IF(AND(AP$2&lt;&gt;0,TblTech[[#This Row],[Hour]:[Hour]]&gt;=AP$2),1,0)</f>
        <v>0</v>
      </c>
      <c r="AQ70" s="329" t="n">
        <f aca="false" t="array" ref="AQ70:AQ70">IF(AND(AQ$2&lt;&gt;0,TblTech[[#This Row],[Hour]:[Hour]]&gt;=AQ$2),1,0)</f>
        <v>0</v>
      </c>
      <c r="AR70" s="329" t="n">
        <f aca="false" t="array" ref="AR70:AR70">IF(AND(AR$2&lt;&gt;0,TblTech[[#This Row],[Hour]:[Hour]]&gt;=AR$2),1,0)</f>
        <v>0</v>
      </c>
      <c r="AS70" s="329" t="n">
        <f aca="false" t="array" ref="AS70:AS70">IF(AND(AS$2&lt;&gt;0,TblTech[[#This Row],[Hour]:[Hour]]&gt;=AS$2),1,0)</f>
        <v>0</v>
      </c>
      <c r="AT70" s="329" t="n">
        <f aca="false" t="array" ref="AT70:AT70">IF(AND(AT$2&lt;&gt;0,TblTech[[#This Row],[Hour]:[Hour]]&gt;=AT$2),1,0)</f>
        <v>0</v>
      </c>
      <c r="AU70" s="329" t="n">
        <f aca="false" t="array" ref="AU70:AU70">IF(AND(AU$2&lt;&gt;0,TblTech[[#This Row],[Hour]:[Hour]]&gt;=AU$2),1,0)</f>
        <v>0</v>
      </c>
      <c r="AV70" s="329" t="n">
        <f aca="false" t="array" ref="AV70:AV70">IF(AND(AV$2&lt;&gt;0,TblTech[[#This Row],[Hour]:[Hour]]&gt;=AV$2),1,0)</f>
        <v>0</v>
      </c>
      <c r="AW70" s="329" t="n">
        <f aca="false" t="array" ref="AW70:AW70">IF(AND(AW$2&lt;&gt;0,TblTech[[#This Row],[Hour]:[Hour]]&gt;=AW$2),1,0)</f>
        <v>0</v>
      </c>
      <c r="AX70" s="329" t="n">
        <f aca="false" t="array" ref="AX70:AX70">IF(AND(AX$2&lt;&gt;0,TblTech[[#This Row],[Hour]:[Hour]]&gt;=AX$2),1,0)</f>
        <v>0</v>
      </c>
      <c r="AY70" s="329" t="n">
        <f aca="false" t="array" ref="AY70:AY70">IF(AND(AY$2&lt;&gt;0,TblTech[[#This Row],[Hour]:[Hour]]&gt;=AY$2),1,0)</f>
        <v>0</v>
      </c>
      <c r="AZ70" s="329" t="n">
        <f aca="false" t="array" ref="AZ70:AZ70">IF(AND(AZ$2&lt;&gt;0,TblTech[[#This Row],[Hour]:[Hour]]&gt;=AZ$2),1,0)</f>
        <v>0</v>
      </c>
      <c r="BA70" s="329" t="n">
        <f aca="false" t="array" ref="BA70:BA70">IF(AND(BA$2&lt;&gt;0,TblTech[[#This Row],[Hour]:[Hour]]&gt;=BA$2),1,0)</f>
        <v>0</v>
      </c>
      <c r="BB70" s="329" t="n">
        <f aca="false" t="array" ref="BB70:BB70">IF(AND(BB$2&lt;&gt;0,TblTech[[#This Row],[Hour]:[Hour]]&gt;=BB$2),1,0)</f>
        <v>0</v>
      </c>
      <c r="BC70" s="329" t="n">
        <f aca="false" t="array" ref="BC70:BC70">IF(AND(BC$2&lt;&gt;0,TblTech[[#This Row],[Hour]:[Hour]]&gt;=BC$2),1,0)</f>
        <v>0</v>
      </c>
      <c r="BD70" s="329" t="n">
        <f aca="false" t="array" ref="BD70:BD70">IF(AND(BD$2&lt;&gt;0,TblTech[[#This Row],[Hour]:[Hour]]&gt;=BD$2),1,0)</f>
        <v>0</v>
      </c>
      <c r="BE70" s="329" t="n">
        <f aca="false" t="array" ref="BE70:BE70">IF(AND(BE$2&lt;&gt;0,TblTech[[#This Row],[Hour]:[Hour]]&gt;=BE$2),1,0)</f>
        <v>0</v>
      </c>
      <c r="BF70" s="329" t="n">
        <f aca="false" t="array" ref="BF70:BF70">IF(AND(BF$2&lt;&gt;0,TblTech[[#This Row],[Hour]:[Hour]]&gt;=BF$2),1,0)</f>
        <v>0</v>
      </c>
      <c r="BG70" s="329" t="n">
        <f aca="false" t="array" ref="BG70:BG70">IF(AND(BG$2&lt;&gt;0,TblTech[[#This Row],[Hour]:[Hour]]&gt;=BG$2),1,0)</f>
        <v>0</v>
      </c>
      <c r="BH70" s="329" t="n">
        <f aca="false" t="array" ref="BH70:BH70">IF(AND(BH$2&lt;&gt;0,TblTech[[#This Row],[Hour]:[Hour]]&gt;=BH$2),1,0)</f>
        <v>0</v>
      </c>
      <c r="BI70" s="329" t="n">
        <f aca="false" t="array" ref="BI70:BI70">IF(AND(BI$2&lt;&gt;0,TblTech[[#This Row],[Hour]:[Hour]]&gt;=BI$2),1,0)</f>
        <v>0</v>
      </c>
      <c r="BJ70" s="329" t="n">
        <f aca="false" t="array" ref="BJ70:BJ70">IF(AND(BJ$2&lt;&gt;0,TblTech[[#This Row],[Hour]:[Hour]]&gt;=BJ$2),1,0)</f>
        <v>0</v>
      </c>
      <c r="BK70" s="329" t="n">
        <f aca="false" t="array" ref="BK70:BK70">IF(AND(BK$2&lt;&gt;0,TblTech[[#This Row],[Hour]:[Hour]]&gt;=BK$2),1,0)</f>
        <v>0</v>
      </c>
      <c r="BL70" s="329" t="n">
        <f aca="false" t="array" ref="BL70:BL70">IF(AND(BL$2&lt;&gt;0,TblTech[[#This Row],[Hour]:[Hour]]&gt;=BL$2),1,0)</f>
        <v>0</v>
      </c>
      <c r="BM70" s="329" t="n">
        <f aca="false" t="array" ref="BM70:BM70">IF(AND(BM$2&lt;&gt;0,TblTech[[#This Row],[Hour]:[Hour]]&gt;=BM$2),1,0)</f>
        <v>0</v>
      </c>
      <c r="BN70" s="329" t="n">
        <f aca="false" t="array" ref="BN70:BN70">IF(AND(BN$2&lt;&gt;0,TblTech[[#This Row],[Hour]:[Hour]]&gt;=BN$2),1,0)</f>
        <v>0</v>
      </c>
      <c r="BO70" s="329" t="n">
        <f aca="false" t="array" ref="BO70:BO70">IF(AND(BO$2&lt;&gt;0,TblTech[[#This Row],[Hour]:[Hour]]&gt;=BO$2),1,0)</f>
        <v>0</v>
      </c>
      <c r="BP70" s="329" t="n">
        <f aca="false" t="array" ref="BP70:BP70">IF(AND(BP$2&lt;&gt;0,TblTech[[#This Row],[Hour]:[Hour]]&gt;=BP$2),1,0)</f>
        <v>0</v>
      </c>
      <c r="BQ70" s="329" t="n">
        <f aca="false" t="array" ref="BQ70:BQ70">IF(AND(BQ$2&lt;&gt;0,TblTech[[#This Row],[Hour]:[Hour]]&gt;=BQ$2),1,0)</f>
        <v>0</v>
      </c>
      <c r="BR70" s="329" t="n">
        <f aca="false" t="array" ref="BR70:BR70">IF(AND(BR$2&lt;&gt;0,TblTech[[#This Row],[Hour]:[Hour]]&gt;=BR$2),1,0)</f>
        <v>0</v>
      </c>
      <c r="BS70" s="329" t="n">
        <f aca="false" t="array" ref="BS70:BS70">IF(AND(BS$2&lt;&gt;0,TblTech[[#This Row],[Hour]:[Hour]]&gt;=BS$2),1,0)</f>
        <v>0</v>
      </c>
      <c r="BT70" s="329" t="n">
        <f aca="false" t="array" ref="BT70:BT70">IF(AND(BT$2&lt;&gt;0,TblTech[[#This Row],[Hour]:[Hour]]&gt;=BT$2),1,0)</f>
        <v>0</v>
      </c>
      <c r="BU70" s="329" t="n">
        <f aca="false" t="array" ref="BU70:BU70">IF(AND(BU$2&lt;&gt;0,TblTech[[#This Row],[Hour]:[Hour]]&gt;=BU$2),1,0)</f>
        <v>0</v>
      </c>
      <c r="BV70" s="329" t="n">
        <f aca="false" t="array" ref="BV70:BV70">IF(AND(BV$2&lt;&gt;0,TblTech[[#This Row],[Hour]:[Hour]]&gt;=BV$2),1,0)</f>
        <v>0</v>
      </c>
      <c r="BW70" s="329" t="n">
        <f aca="false" t="array" ref="BW70:BW70">IF(AND(BW$2&lt;&gt;0,TblTech[[#This Row],[Hour]:[Hour]]&gt;=BW$2),1,0)</f>
        <v>0</v>
      </c>
      <c r="BX70" s="329" t="n">
        <f aca="false" t="array" ref="BX70:BX70">IF(AND(BX$2&lt;&gt;0,TblTech[[#This Row],[Hour]:[Hour]]&gt;=BX$2),1,0)</f>
        <v>0</v>
      </c>
      <c r="BY70" s="329" t="n">
        <f aca="false" t="array" ref="BY70:BY70">IF(AND(BY$2&lt;&gt;0,TblTech[[#This Row],[Hour]:[Hour]]&gt;=BY$2),1,0)</f>
        <v>0</v>
      </c>
      <c r="BZ70" s="329" t="n">
        <f aca="false" t="array" ref="BZ70:BZ70">IF(AND(BZ$2&lt;&gt;0,TblTech[[#This Row],[Hour]:[Hour]]&gt;=BZ$2),1,0)</f>
        <v>0</v>
      </c>
      <c r="CA70" s="330" t="n">
        <f aca="false">IFERROR(INDEX($H$4:$H$79,MATCH(INDEX(TblTech[[#Headers],[1-1]:[11-1]],1,MATCH(TblTech[[#This Row],[Hour]],$M$2:$BZ$2,0)),$G$4:$G$79,0)),)</f>
        <v>0</v>
      </c>
    </row>
    <row r="71" customFormat="false" ht="12.75" hidden="false" customHeight="false" outlineLevel="0" collapsed="false">
      <c r="A71" s="321" t="n">
        <f aca="false">TblRezone[[#This Row],[Hour]]</f>
        <v>68</v>
      </c>
      <c r="B71" s="322" t="n">
        <f aca="false">TblExplore[[#This Row],[Land-DB]]</f>
        <v>700</v>
      </c>
      <c r="C71" s="323" t="n">
        <f aca="false">TblProd[[#This Row],[Techpoints]]</f>
        <v>1050</v>
      </c>
      <c r="D71" s="323" t="n">
        <f aca="false">TblProd[[#This Row],[Required]]</f>
        <v>3750</v>
      </c>
      <c r="E71" s="324"/>
      <c r="F71" s="325"/>
      <c r="G71" s="326"/>
      <c r="H71" s="327"/>
      <c r="I71" s="326"/>
      <c r="J71" s="322"/>
      <c r="K71" s="68" t="n">
        <f aca="false">IF(TblTech[[#This Row],[Sum of tech]]&lt;&gt;OFFSET(TblTech[[#This Row],[Sum of tech]],-1,0),1,0)</f>
        <v>0</v>
      </c>
      <c r="L71" s="328" t="n">
        <f aca="false">COUNTIF(TblTech[[#This Row],[1-1]:[11-1]],1)</f>
        <v>0</v>
      </c>
      <c r="M71" s="329" t="n">
        <f aca="false" t="array" ref="M71:M71">IF(AND(M$2&lt;&gt;0,TblTech[[#This Row],[Hour]:[Hour]]&gt;=M$2),1,0)</f>
        <v>0</v>
      </c>
      <c r="N71" s="329" t="n">
        <f aca="false" t="array" ref="N71:N71">IF(AND(N$2&lt;&gt;0,TblTech[[#This Row],[Hour]:[Hour]]&gt;=N$2),1,0)</f>
        <v>0</v>
      </c>
      <c r="O71" s="329" t="n">
        <f aca="false" t="array" ref="O71:O71">IF(AND(O$2&lt;&gt;0,TblTech[[#This Row],[Hour]:[Hour]]&gt;=O$2),1,0)</f>
        <v>0</v>
      </c>
      <c r="P71" s="329" t="n">
        <f aca="false" t="array" ref="P71:P71">IF(AND(P$2&lt;&gt;0,TblTech[[#This Row],[Hour]:[Hour]]&gt;=P$2),1,0)</f>
        <v>0</v>
      </c>
      <c r="Q71" s="329" t="n">
        <f aca="false" t="array" ref="Q71:Q71">IF(AND(Q$2&lt;&gt;0,TblTech[[#This Row],[Hour]:[Hour]]&gt;=Q$2),1,0)</f>
        <v>0</v>
      </c>
      <c r="R71" s="329" t="n">
        <f aca="false" t="array" ref="R71:R71">IF(AND(R$2&lt;&gt;0,TblTech[[#This Row],[Hour]:[Hour]]&gt;=R$2),1,0)</f>
        <v>0</v>
      </c>
      <c r="S71" s="329" t="n">
        <f aca="false" t="array" ref="S71:S71">IF(AND(S$2&lt;&gt;0,TblTech[[#This Row],[Hour]:[Hour]]&gt;=S$2),1,0)</f>
        <v>0</v>
      </c>
      <c r="T71" s="329" t="n">
        <f aca="false" t="array" ref="T71:T71">IF(AND(T$2&lt;&gt;0,TblTech[[#This Row],[Hour]:[Hour]]&gt;=T$2),1,0)</f>
        <v>0</v>
      </c>
      <c r="U71" s="329" t="n">
        <f aca="false" t="array" ref="U71:U71">IF(AND(U$2&lt;&gt;0,TblTech[[#This Row],[Hour]:[Hour]]&gt;=U$2),1,0)</f>
        <v>0</v>
      </c>
      <c r="V71" s="329" t="n">
        <f aca="false" t="array" ref="V71:V71">IF(AND(V$2&lt;&gt;0,TblTech[[#This Row],[Hour]:[Hour]]&gt;=V$2),1,0)</f>
        <v>0</v>
      </c>
      <c r="W71" s="329" t="n">
        <f aca="false" t="array" ref="W71:W71">IF(AND(W$2&lt;&gt;0,TblTech[[#This Row],[Hour]:[Hour]]&gt;=W$2),1,0)</f>
        <v>0</v>
      </c>
      <c r="X71" s="329" t="n">
        <f aca="false" t="array" ref="X71:X71">IF(AND(X$2&lt;&gt;0,TblTech[[#This Row],[Hour]:[Hour]]&gt;=X$2),1,0)</f>
        <v>0</v>
      </c>
      <c r="Y71" s="329" t="n">
        <f aca="false" t="array" ref="Y71:Y71">IF(AND(Y$2&lt;&gt;0,TblTech[[#This Row],[Hour]:[Hour]]&gt;=Y$2),1,0)</f>
        <v>0</v>
      </c>
      <c r="Z71" s="329" t="n">
        <f aca="false" t="array" ref="Z71:Z71">IF(AND(Z$2&lt;&gt;0,TblTech[[#This Row],[Hour]:[Hour]]&gt;=Z$2),1,0)</f>
        <v>0</v>
      </c>
      <c r="AA71" s="329" t="n">
        <f aca="false" t="array" ref="AA71:AA71">IF(AND(AA$2&lt;&gt;0,TblTech[[#This Row],[Hour]:[Hour]]&gt;=AA$2),1,0)</f>
        <v>0</v>
      </c>
      <c r="AB71" s="329" t="n">
        <f aca="false" t="array" ref="AB71:AB71">IF(AND(AB$2&lt;&gt;0,TblTech[[#This Row],[Hour]:[Hour]]&gt;=AB$2),1,0)</f>
        <v>0</v>
      </c>
      <c r="AC71" s="329" t="n">
        <f aca="false" t="array" ref="AC71:AC71">IF(AND(AC$2&lt;&gt;0,TblTech[[#This Row],[Hour]:[Hour]]&gt;=AC$2),1,0)</f>
        <v>0</v>
      </c>
      <c r="AD71" s="329" t="n">
        <f aca="false" t="array" ref="AD71:AD71">IF(AND(AD$2&lt;&gt;0,TblTech[[#This Row],[Hour]:[Hour]]&gt;=AD$2),1,0)</f>
        <v>0</v>
      </c>
      <c r="AE71" s="329" t="n">
        <f aca="false" t="array" ref="AE71:AE71">IF(AND(AE$2&lt;&gt;0,TblTech[[#This Row],[Hour]:[Hour]]&gt;=AE$2),1,0)</f>
        <v>0</v>
      </c>
      <c r="AF71" s="329" t="n">
        <f aca="false" t="array" ref="AF71:AF71">IF(AND(AF$2&lt;&gt;0,TblTech[[#This Row],[Hour]:[Hour]]&gt;=AF$2),1,0)</f>
        <v>0</v>
      </c>
      <c r="AG71" s="329" t="n">
        <f aca="false" t="array" ref="AG71:AG71">IF(AND(AG$2&lt;&gt;0,TblTech[[#This Row],[Hour]:[Hour]]&gt;=AG$2),1,0)</f>
        <v>0</v>
      </c>
      <c r="AH71" s="329" t="n">
        <f aca="false" t="array" ref="AH71:AH71">IF(AND(AH$2&lt;&gt;0,TblTech[[#This Row],[Hour]:[Hour]]&gt;=AH$2),1,0)</f>
        <v>0</v>
      </c>
      <c r="AI71" s="329" t="n">
        <f aca="false" t="array" ref="AI71:AI71">IF(AND(AI$2&lt;&gt;0,TblTech[[#This Row],[Hour]:[Hour]]&gt;=AI$2),1,0)</f>
        <v>0</v>
      </c>
      <c r="AJ71" s="329" t="n">
        <f aca="false" t="array" ref="AJ71:AJ71">IF(AND(AJ$2&lt;&gt;0,TblTech[[#This Row],[Hour]:[Hour]]&gt;=AJ$2),1,0)</f>
        <v>0</v>
      </c>
      <c r="AK71" s="329" t="n">
        <f aca="false" t="array" ref="AK71:AK71">IF(AND(AK$2&lt;&gt;0,TblTech[[#This Row],[Hour]:[Hour]]&gt;=AK$2),1,0)</f>
        <v>0</v>
      </c>
      <c r="AL71" s="329" t="n">
        <f aca="false" t="array" ref="AL71:AL71">IF(AND(AL$2&lt;&gt;0,TblTech[[#This Row],[Hour]:[Hour]]&gt;=AL$2),1,0)</f>
        <v>0</v>
      </c>
      <c r="AM71" s="329" t="n">
        <f aca="false" t="array" ref="AM71:AM71">IF(AND(AM$2&lt;&gt;0,TblTech[[#This Row],[Hour]:[Hour]]&gt;=AM$2),1,0)</f>
        <v>0</v>
      </c>
      <c r="AN71" s="329" t="n">
        <f aca="false" t="array" ref="AN71:AN71">IF(AND(AN$2&lt;&gt;0,TblTech[[#This Row],[Hour]:[Hour]]&gt;=AN$2),1,0)</f>
        <v>0</v>
      </c>
      <c r="AO71" s="329" t="n">
        <f aca="false" t="array" ref="AO71:AO71">IF(AND(AO$2&lt;&gt;0,TblTech[[#This Row],[Hour]:[Hour]]&gt;=AO$2),1,0)</f>
        <v>0</v>
      </c>
      <c r="AP71" s="329" t="n">
        <f aca="false" t="array" ref="AP71:AP71">IF(AND(AP$2&lt;&gt;0,TblTech[[#This Row],[Hour]:[Hour]]&gt;=AP$2),1,0)</f>
        <v>0</v>
      </c>
      <c r="AQ71" s="329" t="n">
        <f aca="false" t="array" ref="AQ71:AQ71">IF(AND(AQ$2&lt;&gt;0,TblTech[[#This Row],[Hour]:[Hour]]&gt;=AQ$2),1,0)</f>
        <v>0</v>
      </c>
      <c r="AR71" s="329" t="n">
        <f aca="false" t="array" ref="AR71:AR71">IF(AND(AR$2&lt;&gt;0,TblTech[[#This Row],[Hour]:[Hour]]&gt;=AR$2),1,0)</f>
        <v>0</v>
      </c>
      <c r="AS71" s="329" t="n">
        <f aca="false" t="array" ref="AS71:AS71">IF(AND(AS$2&lt;&gt;0,TblTech[[#This Row],[Hour]:[Hour]]&gt;=AS$2),1,0)</f>
        <v>0</v>
      </c>
      <c r="AT71" s="329" t="n">
        <f aca="false" t="array" ref="AT71:AT71">IF(AND(AT$2&lt;&gt;0,TblTech[[#This Row],[Hour]:[Hour]]&gt;=AT$2),1,0)</f>
        <v>0</v>
      </c>
      <c r="AU71" s="329" t="n">
        <f aca="false" t="array" ref="AU71:AU71">IF(AND(AU$2&lt;&gt;0,TblTech[[#This Row],[Hour]:[Hour]]&gt;=AU$2),1,0)</f>
        <v>0</v>
      </c>
      <c r="AV71" s="329" t="n">
        <f aca="false" t="array" ref="AV71:AV71">IF(AND(AV$2&lt;&gt;0,TblTech[[#This Row],[Hour]:[Hour]]&gt;=AV$2),1,0)</f>
        <v>0</v>
      </c>
      <c r="AW71" s="329" t="n">
        <f aca="false" t="array" ref="AW71:AW71">IF(AND(AW$2&lt;&gt;0,TblTech[[#This Row],[Hour]:[Hour]]&gt;=AW$2),1,0)</f>
        <v>0</v>
      </c>
      <c r="AX71" s="329" t="n">
        <f aca="false" t="array" ref="AX71:AX71">IF(AND(AX$2&lt;&gt;0,TblTech[[#This Row],[Hour]:[Hour]]&gt;=AX$2),1,0)</f>
        <v>0</v>
      </c>
      <c r="AY71" s="329" t="n">
        <f aca="false" t="array" ref="AY71:AY71">IF(AND(AY$2&lt;&gt;0,TblTech[[#This Row],[Hour]:[Hour]]&gt;=AY$2),1,0)</f>
        <v>0</v>
      </c>
      <c r="AZ71" s="329" t="n">
        <f aca="false" t="array" ref="AZ71:AZ71">IF(AND(AZ$2&lt;&gt;0,TblTech[[#This Row],[Hour]:[Hour]]&gt;=AZ$2),1,0)</f>
        <v>0</v>
      </c>
      <c r="BA71" s="329" t="n">
        <f aca="false" t="array" ref="BA71:BA71">IF(AND(BA$2&lt;&gt;0,TblTech[[#This Row],[Hour]:[Hour]]&gt;=BA$2),1,0)</f>
        <v>0</v>
      </c>
      <c r="BB71" s="329" t="n">
        <f aca="false" t="array" ref="BB71:BB71">IF(AND(BB$2&lt;&gt;0,TblTech[[#This Row],[Hour]:[Hour]]&gt;=BB$2),1,0)</f>
        <v>0</v>
      </c>
      <c r="BC71" s="329" t="n">
        <f aca="false" t="array" ref="BC71:BC71">IF(AND(BC$2&lt;&gt;0,TblTech[[#This Row],[Hour]:[Hour]]&gt;=BC$2),1,0)</f>
        <v>0</v>
      </c>
      <c r="BD71" s="329" t="n">
        <f aca="false" t="array" ref="BD71:BD71">IF(AND(BD$2&lt;&gt;0,TblTech[[#This Row],[Hour]:[Hour]]&gt;=BD$2),1,0)</f>
        <v>0</v>
      </c>
      <c r="BE71" s="329" t="n">
        <f aca="false" t="array" ref="BE71:BE71">IF(AND(BE$2&lt;&gt;0,TblTech[[#This Row],[Hour]:[Hour]]&gt;=BE$2),1,0)</f>
        <v>0</v>
      </c>
      <c r="BF71" s="329" t="n">
        <f aca="false" t="array" ref="BF71:BF71">IF(AND(BF$2&lt;&gt;0,TblTech[[#This Row],[Hour]:[Hour]]&gt;=BF$2),1,0)</f>
        <v>0</v>
      </c>
      <c r="BG71" s="329" t="n">
        <f aca="false" t="array" ref="BG71:BG71">IF(AND(BG$2&lt;&gt;0,TblTech[[#This Row],[Hour]:[Hour]]&gt;=BG$2),1,0)</f>
        <v>0</v>
      </c>
      <c r="BH71" s="329" t="n">
        <f aca="false" t="array" ref="BH71:BH71">IF(AND(BH$2&lt;&gt;0,TblTech[[#This Row],[Hour]:[Hour]]&gt;=BH$2),1,0)</f>
        <v>0</v>
      </c>
      <c r="BI71" s="329" t="n">
        <f aca="false" t="array" ref="BI71:BI71">IF(AND(BI$2&lt;&gt;0,TblTech[[#This Row],[Hour]:[Hour]]&gt;=BI$2),1,0)</f>
        <v>0</v>
      </c>
      <c r="BJ71" s="329" t="n">
        <f aca="false" t="array" ref="BJ71:BJ71">IF(AND(BJ$2&lt;&gt;0,TblTech[[#This Row],[Hour]:[Hour]]&gt;=BJ$2),1,0)</f>
        <v>0</v>
      </c>
      <c r="BK71" s="329" t="n">
        <f aca="false" t="array" ref="BK71:BK71">IF(AND(BK$2&lt;&gt;0,TblTech[[#This Row],[Hour]:[Hour]]&gt;=BK$2),1,0)</f>
        <v>0</v>
      </c>
      <c r="BL71" s="329" t="n">
        <f aca="false" t="array" ref="BL71:BL71">IF(AND(BL$2&lt;&gt;0,TblTech[[#This Row],[Hour]:[Hour]]&gt;=BL$2),1,0)</f>
        <v>0</v>
      </c>
      <c r="BM71" s="329" t="n">
        <f aca="false" t="array" ref="BM71:BM71">IF(AND(BM$2&lt;&gt;0,TblTech[[#This Row],[Hour]:[Hour]]&gt;=BM$2),1,0)</f>
        <v>0</v>
      </c>
      <c r="BN71" s="329" t="n">
        <f aca="false" t="array" ref="BN71:BN71">IF(AND(BN$2&lt;&gt;0,TblTech[[#This Row],[Hour]:[Hour]]&gt;=BN$2),1,0)</f>
        <v>0</v>
      </c>
      <c r="BO71" s="329" t="n">
        <f aca="false" t="array" ref="BO71:BO71">IF(AND(BO$2&lt;&gt;0,TblTech[[#This Row],[Hour]:[Hour]]&gt;=BO$2),1,0)</f>
        <v>0</v>
      </c>
      <c r="BP71" s="329" t="n">
        <f aca="false" t="array" ref="BP71:BP71">IF(AND(BP$2&lt;&gt;0,TblTech[[#This Row],[Hour]:[Hour]]&gt;=BP$2),1,0)</f>
        <v>0</v>
      </c>
      <c r="BQ71" s="329" t="n">
        <f aca="false" t="array" ref="BQ71:BQ71">IF(AND(BQ$2&lt;&gt;0,TblTech[[#This Row],[Hour]:[Hour]]&gt;=BQ$2),1,0)</f>
        <v>0</v>
      </c>
      <c r="BR71" s="329" t="n">
        <f aca="false" t="array" ref="BR71:BR71">IF(AND(BR$2&lt;&gt;0,TblTech[[#This Row],[Hour]:[Hour]]&gt;=BR$2),1,0)</f>
        <v>0</v>
      </c>
      <c r="BS71" s="329" t="n">
        <f aca="false" t="array" ref="BS71:BS71">IF(AND(BS$2&lt;&gt;0,TblTech[[#This Row],[Hour]:[Hour]]&gt;=BS$2),1,0)</f>
        <v>0</v>
      </c>
      <c r="BT71" s="329" t="n">
        <f aca="false" t="array" ref="BT71:BT71">IF(AND(BT$2&lt;&gt;0,TblTech[[#This Row],[Hour]:[Hour]]&gt;=BT$2),1,0)</f>
        <v>0</v>
      </c>
      <c r="BU71" s="329" t="n">
        <f aca="false" t="array" ref="BU71:BU71">IF(AND(BU$2&lt;&gt;0,TblTech[[#This Row],[Hour]:[Hour]]&gt;=BU$2),1,0)</f>
        <v>0</v>
      </c>
      <c r="BV71" s="329" t="n">
        <f aca="false" t="array" ref="BV71:BV71">IF(AND(BV$2&lt;&gt;0,TblTech[[#This Row],[Hour]:[Hour]]&gt;=BV$2),1,0)</f>
        <v>0</v>
      </c>
      <c r="BW71" s="329" t="n">
        <f aca="false" t="array" ref="BW71:BW71">IF(AND(BW$2&lt;&gt;0,TblTech[[#This Row],[Hour]:[Hour]]&gt;=BW$2),1,0)</f>
        <v>0</v>
      </c>
      <c r="BX71" s="329" t="n">
        <f aca="false" t="array" ref="BX71:BX71">IF(AND(BX$2&lt;&gt;0,TblTech[[#This Row],[Hour]:[Hour]]&gt;=BX$2),1,0)</f>
        <v>0</v>
      </c>
      <c r="BY71" s="329" t="n">
        <f aca="false" t="array" ref="BY71:BY71">IF(AND(BY$2&lt;&gt;0,TblTech[[#This Row],[Hour]:[Hour]]&gt;=BY$2),1,0)</f>
        <v>0</v>
      </c>
      <c r="BZ71" s="329" t="n">
        <f aca="false" t="array" ref="BZ71:BZ71">IF(AND(BZ$2&lt;&gt;0,TblTech[[#This Row],[Hour]:[Hour]]&gt;=BZ$2),1,0)</f>
        <v>0</v>
      </c>
      <c r="CA71" s="330" t="n">
        <f aca="false">IFERROR(INDEX($H$4:$H$79,MATCH(INDEX(TblTech[[#Headers],[1-1]:[11-1]],1,MATCH(TblTech[[#This Row],[Hour]],$M$2:$BZ$2,0)),$G$4:$G$79,0)),)</f>
        <v>0</v>
      </c>
    </row>
    <row r="72" customFormat="false" ht="12.75" hidden="false" customHeight="false" outlineLevel="0" collapsed="false">
      <c r="A72" s="321" t="n">
        <f aca="false">TblRezone[[#This Row],[Hour]]</f>
        <v>69</v>
      </c>
      <c r="B72" s="322" t="n">
        <f aca="false">TblExplore[[#This Row],[Land-DB]]</f>
        <v>700</v>
      </c>
      <c r="C72" s="323" t="n">
        <f aca="false">TblProd[[#This Row],[Techpoints]]</f>
        <v>1050</v>
      </c>
      <c r="D72" s="323" t="n">
        <f aca="false">TblProd[[#This Row],[Required]]</f>
        <v>3750</v>
      </c>
      <c r="E72" s="324"/>
      <c r="F72" s="325"/>
      <c r="G72" s="326" t="s">
        <v>584</v>
      </c>
      <c r="H72" s="327" t="s">
        <v>707</v>
      </c>
      <c r="I72" s="326" t="s">
        <v>708</v>
      </c>
      <c r="J72" s="322"/>
      <c r="K72" s="68" t="n">
        <f aca="false">IF(TblTech[[#This Row],[Sum of tech]]&lt;&gt;OFFSET(TblTech[[#This Row],[Sum of tech]],-1,0),1,0)</f>
        <v>0</v>
      </c>
      <c r="L72" s="328" t="n">
        <f aca="false">COUNTIF(TblTech[[#This Row],[1-1]:[11-1]],1)</f>
        <v>0</v>
      </c>
      <c r="M72" s="329" t="n">
        <f aca="false" t="array" ref="M72:M72">IF(AND(M$2&lt;&gt;0,TblTech[[#This Row],[Hour]:[Hour]]&gt;=M$2),1,0)</f>
        <v>0</v>
      </c>
      <c r="N72" s="329" t="n">
        <f aca="false" t="array" ref="N72:N72">IF(AND(N$2&lt;&gt;0,TblTech[[#This Row],[Hour]:[Hour]]&gt;=N$2),1,0)</f>
        <v>0</v>
      </c>
      <c r="O72" s="329" t="n">
        <f aca="false" t="array" ref="O72:O72">IF(AND(O$2&lt;&gt;0,TblTech[[#This Row],[Hour]:[Hour]]&gt;=O$2),1,0)</f>
        <v>0</v>
      </c>
      <c r="P72" s="329" t="n">
        <f aca="false" t="array" ref="P72:P72">IF(AND(P$2&lt;&gt;0,TblTech[[#This Row],[Hour]:[Hour]]&gt;=P$2),1,0)</f>
        <v>0</v>
      </c>
      <c r="Q72" s="329" t="n">
        <f aca="false" t="array" ref="Q72:Q72">IF(AND(Q$2&lt;&gt;0,TblTech[[#This Row],[Hour]:[Hour]]&gt;=Q$2),1,0)</f>
        <v>0</v>
      </c>
      <c r="R72" s="329" t="n">
        <f aca="false" t="array" ref="R72:R72">IF(AND(R$2&lt;&gt;0,TblTech[[#This Row],[Hour]:[Hour]]&gt;=R$2),1,0)</f>
        <v>0</v>
      </c>
      <c r="S72" s="329" t="n">
        <f aca="false" t="array" ref="S72:S72">IF(AND(S$2&lt;&gt;0,TblTech[[#This Row],[Hour]:[Hour]]&gt;=S$2),1,0)</f>
        <v>0</v>
      </c>
      <c r="T72" s="329" t="n">
        <f aca="false" t="array" ref="T72:T72">IF(AND(T$2&lt;&gt;0,TblTech[[#This Row],[Hour]:[Hour]]&gt;=T$2),1,0)</f>
        <v>0</v>
      </c>
      <c r="U72" s="329" t="n">
        <f aca="false" t="array" ref="U72:U72">IF(AND(U$2&lt;&gt;0,TblTech[[#This Row],[Hour]:[Hour]]&gt;=U$2),1,0)</f>
        <v>0</v>
      </c>
      <c r="V72" s="329" t="n">
        <f aca="false" t="array" ref="V72:V72">IF(AND(V$2&lt;&gt;0,TblTech[[#This Row],[Hour]:[Hour]]&gt;=V$2),1,0)</f>
        <v>0</v>
      </c>
      <c r="W72" s="329" t="n">
        <f aca="false" t="array" ref="W72:W72">IF(AND(W$2&lt;&gt;0,TblTech[[#This Row],[Hour]:[Hour]]&gt;=W$2),1,0)</f>
        <v>0</v>
      </c>
      <c r="X72" s="329" t="n">
        <f aca="false" t="array" ref="X72:X72">IF(AND(X$2&lt;&gt;0,TblTech[[#This Row],[Hour]:[Hour]]&gt;=X$2),1,0)</f>
        <v>0</v>
      </c>
      <c r="Y72" s="329" t="n">
        <f aca="false" t="array" ref="Y72:Y72">IF(AND(Y$2&lt;&gt;0,TblTech[[#This Row],[Hour]:[Hour]]&gt;=Y$2),1,0)</f>
        <v>0</v>
      </c>
      <c r="Z72" s="329" t="n">
        <f aca="false" t="array" ref="Z72:Z72">IF(AND(Z$2&lt;&gt;0,TblTech[[#This Row],[Hour]:[Hour]]&gt;=Z$2),1,0)</f>
        <v>0</v>
      </c>
      <c r="AA72" s="329" t="n">
        <f aca="false" t="array" ref="AA72:AA72">IF(AND(AA$2&lt;&gt;0,TblTech[[#This Row],[Hour]:[Hour]]&gt;=AA$2),1,0)</f>
        <v>0</v>
      </c>
      <c r="AB72" s="329" t="n">
        <f aca="false" t="array" ref="AB72:AB72">IF(AND(AB$2&lt;&gt;0,TblTech[[#This Row],[Hour]:[Hour]]&gt;=AB$2),1,0)</f>
        <v>0</v>
      </c>
      <c r="AC72" s="329" t="n">
        <f aca="false" t="array" ref="AC72:AC72">IF(AND(AC$2&lt;&gt;0,TblTech[[#This Row],[Hour]:[Hour]]&gt;=AC$2),1,0)</f>
        <v>0</v>
      </c>
      <c r="AD72" s="329" t="n">
        <f aca="false" t="array" ref="AD72:AD72">IF(AND(AD$2&lt;&gt;0,TblTech[[#This Row],[Hour]:[Hour]]&gt;=AD$2),1,0)</f>
        <v>0</v>
      </c>
      <c r="AE72" s="329" t="n">
        <f aca="false" t="array" ref="AE72:AE72">IF(AND(AE$2&lt;&gt;0,TblTech[[#This Row],[Hour]:[Hour]]&gt;=AE$2),1,0)</f>
        <v>0</v>
      </c>
      <c r="AF72" s="329" t="n">
        <f aca="false" t="array" ref="AF72:AF72">IF(AND(AF$2&lt;&gt;0,TblTech[[#This Row],[Hour]:[Hour]]&gt;=AF$2),1,0)</f>
        <v>0</v>
      </c>
      <c r="AG72" s="329" t="n">
        <f aca="false" t="array" ref="AG72:AG72">IF(AND(AG$2&lt;&gt;0,TblTech[[#This Row],[Hour]:[Hour]]&gt;=AG$2),1,0)</f>
        <v>0</v>
      </c>
      <c r="AH72" s="329" t="n">
        <f aca="false" t="array" ref="AH72:AH72">IF(AND(AH$2&lt;&gt;0,TblTech[[#This Row],[Hour]:[Hour]]&gt;=AH$2),1,0)</f>
        <v>0</v>
      </c>
      <c r="AI72" s="329" t="n">
        <f aca="false" t="array" ref="AI72:AI72">IF(AND(AI$2&lt;&gt;0,TblTech[[#This Row],[Hour]:[Hour]]&gt;=AI$2),1,0)</f>
        <v>0</v>
      </c>
      <c r="AJ72" s="329" t="n">
        <f aca="false" t="array" ref="AJ72:AJ72">IF(AND(AJ$2&lt;&gt;0,TblTech[[#This Row],[Hour]:[Hour]]&gt;=AJ$2),1,0)</f>
        <v>0</v>
      </c>
      <c r="AK72" s="329" t="n">
        <f aca="false" t="array" ref="AK72:AK72">IF(AND(AK$2&lt;&gt;0,TblTech[[#This Row],[Hour]:[Hour]]&gt;=AK$2),1,0)</f>
        <v>0</v>
      </c>
      <c r="AL72" s="329" t="n">
        <f aca="false" t="array" ref="AL72:AL72">IF(AND(AL$2&lt;&gt;0,TblTech[[#This Row],[Hour]:[Hour]]&gt;=AL$2),1,0)</f>
        <v>0</v>
      </c>
      <c r="AM72" s="329" t="n">
        <f aca="false" t="array" ref="AM72:AM72">IF(AND(AM$2&lt;&gt;0,TblTech[[#This Row],[Hour]:[Hour]]&gt;=AM$2),1,0)</f>
        <v>0</v>
      </c>
      <c r="AN72" s="329" t="n">
        <f aca="false" t="array" ref="AN72:AN72">IF(AND(AN$2&lt;&gt;0,TblTech[[#This Row],[Hour]:[Hour]]&gt;=AN$2),1,0)</f>
        <v>0</v>
      </c>
      <c r="AO72" s="329" t="n">
        <f aca="false" t="array" ref="AO72:AO72">IF(AND(AO$2&lt;&gt;0,TblTech[[#This Row],[Hour]:[Hour]]&gt;=AO$2),1,0)</f>
        <v>0</v>
      </c>
      <c r="AP72" s="329" t="n">
        <f aca="false" t="array" ref="AP72:AP72">IF(AND(AP$2&lt;&gt;0,TblTech[[#This Row],[Hour]:[Hour]]&gt;=AP$2),1,0)</f>
        <v>0</v>
      </c>
      <c r="AQ72" s="329" t="n">
        <f aca="false" t="array" ref="AQ72:AQ72">IF(AND(AQ$2&lt;&gt;0,TblTech[[#This Row],[Hour]:[Hour]]&gt;=AQ$2),1,0)</f>
        <v>0</v>
      </c>
      <c r="AR72" s="329" t="n">
        <f aca="false" t="array" ref="AR72:AR72">IF(AND(AR$2&lt;&gt;0,TblTech[[#This Row],[Hour]:[Hour]]&gt;=AR$2),1,0)</f>
        <v>0</v>
      </c>
      <c r="AS72" s="329" t="n">
        <f aca="false" t="array" ref="AS72:AS72">IF(AND(AS$2&lt;&gt;0,TblTech[[#This Row],[Hour]:[Hour]]&gt;=AS$2),1,0)</f>
        <v>0</v>
      </c>
      <c r="AT72" s="329" t="n">
        <f aca="false" t="array" ref="AT72:AT72">IF(AND(AT$2&lt;&gt;0,TblTech[[#This Row],[Hour]:[Hour]]&gt;=AT$2),1,0)</f>
        <v>0</v>
      </c>
      <c r="AU72" s="329" t="n">
        <f aca="false" t="array" ref="AU72:AU72">IF(AND(AU$2&lt;&gt;0,TblTech[[#This Row],[Hour]:[Hour]]&gt;=AU$2),1,0)</f>
        <v>0</v>
      </c>
      <c r="AV72" s="329" t="n">
        <f aca="false" t="array" ref="AV72:AV72">IF(AND(AV$2&lt;&gt;0,TblTech[[#This Row],[Hour]:[Hour]]&gt;=AV$2),1,0)</f>
        <v>0</v>
      </c>
      <c r="AW72" s="329" t="n">
        <f aca="false" t="array" ref="AW72:AW72">IF(AND(AW$2&lt;&gt;0,TblTech[[#This Row],[Hour]:[Hour]]&gt;=AW$2),1,0)</f>
        <v>0</v>
      </c>
      <c r="AX72" s="329" t="n">
        <f aca="false" t="array" ref="AX72:AX72">IF(AND(AX$2&lt;&gt;0,TblTech[[#This Row],[Hour]:[Hour]]&gt;=AX$2),1,0)</f>
        <v>0</v>
      </c>
      <c r="AY72" s="329" t="n">
        <f aca="false" t="array" ref="AY72:AY72">IF(AND(AY$2&lt;&gt;0,TblTech[[#This Row],[Hour]:[Hour]]&gt;=AY$2),1,0)</f>
        <v>0</v>
      </c>
      <c r="AZ72" s="329" t="n">
        <f aca="false" t="array" ref="AZ72:AZ72">IF(AND(AZ$2&lt;&gt;0,TblTech[[#This Row],[Hour]:[Hour]]&gt;=AZ$2),1,0)</f>
        <v>0</v>
      </c>
      <c r="BA72" s="329" t="n">
        <f aca="false" t="array" ref="BA72:BA72">IF(AND(BA$2&lt;&gt;0,TblTech[[#This Row],[Hour]:[Hour]]&gt;=BA$2),1,0)</f>
        <v>0</v>
      </c>
      <c r="BB72" s="329" t="n">
        <f aca="false" t="array" ref="BB72:BB72">IF(AND(BB$2&lt;&gt;0,TblTech[[#This Row],[Hour]:[Hour]]&gt;=BB$2),1,0)</f>
        <v>0</v>
      </c>
      <c r="BC72" s="329" t="n">
        <f aca="false" t="array" ref="BC72:BC72">IF(AND(BC$2&lt;&gt;0,TblTech[[#This Row],[Hour]:[Hour]]&gt;=BC$2),1,0)</f>
        <v>0</v>
      </c>
      <c r="BD72" s="329" t="n">
        <f aca="false" t="array" ref="BD72:BD72">IF(AND(BD$2&lt;&gt;0,TblTech[[#This Row],[Hour]:[Hour]]&gt;=BD$2),1,0)</f>
        <v>0</v>
      </c>
      <c r="BE72" s="329" t="n">
        <f aca="false" t="array" ref="BE72:BE72">IF(AND(BE$2&lt;&gt;0,TblTech[[#This Row],[Hour]:[Hour]]&gt;=BE$2),1,0)</f>
        <v>0</v>
      </c>
      <c r="BF72" s="329" t="n">
        <f aca="false" t="array" ref="BF72:BF72">IF(AND(BF$2&lt;&gt;0,TblTech[[#This Row],[Hour]:[Hour]]&gt;=BF$2),1,0)</f>
        <v>0</v>
      </c>
      <c r="BG72" s="329" t="n">
        <f aca="false" t="array" ref="BG72:BG72">IF(AND(BG$2&lt;&gt;0,TblTech[[#This Row],[Hour]:[Hour]]&gt;=BG$2),1,0)</f>
        <v>0</v>
      </c>
      <c r="BH72" s="329" t="n">
        <f aca="false" t="array" ref="BH72:BH72">IF(AND(BH$2&lt;&gt;0,TblTech[[#This Row],[Hour]:[Hour]]&gt;=BH$2),1,0)</f>
        <v>0</v>
      </c>
      <c r="BI72" s="329" t="n">
        <f aca="false" t="array" ref="BI72:BI72">IF(AND(BI$2&lt;&gt;0,TblTech[[#This Row],[Hour]:[Hour]]&gt;=BI$2),1,0)</f>
        <v>0</v>
      </c>
      <c r="BJ72" s="329" t="n">
        <f aca="false" t="array" ref="BJ72:BJ72">IF(AND(BJ$2&lt;&gt;0,TblTech[[#This Row],[Hour]:[Hour]]&gt;=BJ$2),1,0)</f>
        <v>0</v>
      </c>
      <c r="BK72" s="329" t="n">
        <f aca="false" t="array" ref="BK72:BK72">IF(AND(BK$2&lt;&gt;0,TblTech[[#This Row],[Hour]:[Hour]]&gt;=BK$2),1,0)</f>
        <v>0</v>
      </c>
      <c r="BL72" s="329" t="n">
        <f aca="false" t="array" ref="BL72:BL72">IF(AND(BL$2&lt;&gt;0,TblTech[[#This Row],[Hour]:[Hour]]&gt;=BL$2),1,0)</f>
        <v>0</v>
      </c>
      <c r="BM72" s="329" t="n">
        <f aca="false" t="array" ref="BM72:BM72">IF(AND(BM$2&lt;&gt;0,TblTech[[#This Row],[Hour]:[Hour]]&gt;=BM$2),1,0)</f>
        <v>0</v>
      </c>
      <c r="BN72" s="329" t="n">
        <f aca="false" t="array" ref="BN72:BN72">IF(AND(BN$2&lt;&gt;0,TblTech[[#This Row],[Hour]:[Hour]]&gt;=BN$2),1,0)</f>
        <v>0</v>
      </c>
      <c r="BO72" s="329" t="n">
        <f aca="false" t="array" ref="BO72:BO72">IF(AND(BO$2&lt;&gt;0,TblTech[[#This Row],[Hour]:[Hour]]&gt;=BO$2),1,0)</f>
        <v>0</v>
      </c>
      <c r="BP72" s="329" t="n">
        <f aca="false" t="array" ref="BP72:BP72">IF(AND(BP$2&lt;&gt;0,TblTech[[#This Row],[Hour]:[Hour]]&gt;=BP$2),1,0)</f>
        <v>0</v>
      </c>
      <c r="BQ72" s="329" t="n">
        <f aca="false" t="array" ref="BQ72:BQ72">IF(AND(BQ$2&lt;&gt;0,TblTech[[#This Row],[Hour]:[Hour]]&gt;=BQ$2),1,0)</f>
        <v>0</v>
      </c>
      <c r="BR72" s="329" t="n">
        <f aca="false" t="array" ref="BR72:BR72">IF(AND(BR$2&lt;&gt;0,TblTech[[#This Row],[Hour]:[Hour]]&gt;=BR$2),1,0)</f>
        <v>0</v>
      </c>
      <c r="BS72" s="329" t="n">
        <f aca="false" t="array" ref="BS72:BS72">IF(AND(BS$2&lt;&gt;0,TblTech[[#This Row],[Hour]:[Hour]]&gt;=BS$2),1,0)</f>
        <v>0</v>
      </c>
      <c r="BT72" s="329" t="n">
        <f aca="false" t="array" ref="BT72:BT72">IF(AND(BT$2&lt;&gt;0,TblTech[[#This Row],[Hour]:[Hour]]&gt;=BT$2),1,0)</f>
        <v>0</v>
      </c>
      <c r="BU72" s="329" t="n">
        <f aca="false" t="array" ref="BU72:BU72">IF(AND(BU$2&lt;&gt;0,TblTech[[#This Row],[Hour]:[Hour]]&gt;=BU$2),1,0)</f>
        <v>0</v>
      </c>
      <c r="BV72" s="329" t="n">
        <f aca="false" t="array" ref="BV72:BV72">IF(AND(BV$2&lt;&gt;0,TblTech[[#This Row],[Hour]:[Hour]]&gt;=BV$2),1,0)</f>
        <v>0</v>
      </c>
      <c r="BW72" s="329" t="n">
        <f aca="false" t="array" ref="BW72:BW72">IF(AND(BW$2&lt;&gt;0,TblTech[[#This Row],[Hour]:[Hour]]&gt;=BW$2),1,0)</f>
        <v>0</v>
      </c>
      <c r="BX72" s="329" t="n">
        <f aca="false" t="array" ref="BX72:BX72">IF(AND(BX$2&lt;&gt;0,TblTech[[#This Row],[Hour]:[Hour]]&gt;=BX$2),1,0)</f>
        <v>0</v>
      </c>
      <c r="BY72" s="329" t="n">
        <f aca="false" t="array" ref="BY72:BY72">IF(AND(BY$2&lt;&gt;0,TblTech[[#This Row],[Hour]:[Hour]]&gt;=BY$2),1,0)</f>
        <v>0</v>
      </c>
      <c r="BZ72" s="329" t="n">
        <f aca="false" t="array" ref="BZ72:BZ72">IF(AND(BZ$2&lt;&gt;0,TblTech[[#This Row],[Hour]:[Hour]]&gt;=BZ$2),1,0)</f>
        <v>0</v>
      </c>
      <c r="CA72" s="330" t="n">
        <f aca="false">IFERROR(INDEX($H$4:$H$79,MATCH(INDEX(TblTech[[#Headers],[1-1]:[11-1]],1,MATCH(TblTech[[#This Row],[Hour]],$M$2:$BZ$2,0)),$G$4:$G$79,0)),)</f>
        <v>0</v>
      </c>
    </row>
    <row r="73" customFormat="false" ht="12.75" hidden="false" customHeight="false" outlineLevel="0" collapsed="false">
      <c r="A73" s="321" t="n">
        <f aca="false">TblRezone[[#This Row],[Hour]]</f>
        <v>70</v>
      </c>
      <c r="B73" s="322" t="n">
        <f aca="false">TblExplore[[#This Row],[Land-DB]]</f>
        <v>700</v>
      </c>
      <c r="C73" s="323" t="n">
        <f aca="false">TblProd[[#This Row],[Techpoints]]</f>
        <v>1050</v>
      </c>
      <c r="D73" s="323" t="n">
        <f aca="false">TblProd[[#This Row],[Required]]</f>
        <v>3750</v>
      </c>
      <c r="E73" s="324"/>
      <c r="F73" s="325"/>
      <c r="G73" s="326" t="s">
        <v>585</v>
      </c>
      <c r="H73" s="327" t="s">
        <v>709</v>
      </c>
      <c r="I73" s="326" t="s">
        <v>710</v>
      </c>
      <c r="J73" s="322"/>
      <c r="K73" s="68" t="n">
        <f aca="false">IF(TblTech[[#This Row],[Sum of tech]]&lt;&gt;OFFSET(TblTech[[#This Row],[Sum of tech]],-1,0),1,0)</f>
        <v>0</v>
      </c>
      <c r="L73" s="328" t="n">
        <f aca="false">COUNTIF(TblTech[[#This Row],[1-1]:[11-1]],1)</f>
        <v>0</v>
      </c>
      <c r="M73" s="329" t="n">
        <f aca="false" t="array" ref="M73:M73">IF(AND(M$2&lt;&gt;0,TblTech[[#This Row],[Hour]:[Hour]]&gt;=M$2),1,0)</f>
        <v>0</v>
      </c>
      <c r="N73" s="329" t="n">
        <f aca="false" t="array" ref="N73:N73">IF(AND(N$2&lt;&gt;0,TblTech[[#This Row],[Hour]:[Hour]]&gt;=N$2),1,0)</f>
        <v>0</v>
      </c>
      <c r="O73" s="329" t="n">
        <f aca="false" t="array" ref="O73:O73">IF(AND(O$2&lt;&gt;0,TblTech[[#This Row],[Hour]:[Hour]]&gt;=O$2),1,0)</f>
        <v>0</v>
      </c>
      <c r="P73" s="329" t="n">
        <f aca="false" t="array" ref="P73:P73">IF(AND(P$2&lt;&gt;0,TblTech[[#This Row],[Hour]:[Hour]]&gt;=P$2),1,0)</f>
        <v>0</v>
      </c>
      <c r="Q73" s="329" t="n">
        <f aca="false" t="array" ref="Q73:Q73">IF(AND(Q$2&lt;&gt;0,TblTech[[#This Row],[Hour]:[Hour]]&gt;=Q$2),1,0)</f>
        <v>0</v>
      </c>
      <c r="R73" s="329" t="n">
        <f aca="false" t="array" ref="R73:R73">IF(AND(R$2&lt;&gt;0,TblTech[[#This Row],[Hour]:[Hour]]&gt;=R$2),1,0)</f>
        <v>0</v>
      </c>
      <c r="S73" s="329" t="n">
        <f aca="false" t="array" ref="S73:S73">IF(AND(S$2&lt;&gt;0,TblTech[[#This Row],[Hour]:[Hour]]&gt;=S$2),1,0)</f>
        <v>0</v>
      </c>
      <c r="T73" s="329" t="n">
        <f aca="false" t="array" ref="T73:T73">IF(AND(T$2&lt;&gt;0,TblTech[[#This Row],[Hour]:[Hour]]&gt;=T$2),1,0)</f>
        <v>0</v>
      </c>
      <c r="U73" s="329" t="n">
        <f aca="false" t="array" ref="U73:U73">IF(AND(U$2&lt;&gt;0,TblTech[[#This Row],[Hour]:[Hour]]&gt;=U$2),1,0)</f>
        <v>0</v>
      </c>
      <c r="V73" s="329" t="n">
        <f aca="false" t="array" ref="V73:V73">IF(AND(V$2&lt;&gt;0,TblTech[[#This Row],[Hour]:[Hour]]&gt;=V$2),1,0)</f>
        <v>0</v>
      </c>
      <c r="W73" s="329" t="n">
        <f aca="false" t="array" ref="W73:W73">IF(AND(W$2&lt;&gt;0,TblTech[[#This Row],[Hour]:[Hour]]&gt;=W$2),1,0)</f>
        <v>0</v>
      </c>
      <c r="X73" s="329" t="n">
        <f aca="false" t="array" ref="X73:X73">IF(AND(X$2&lt;&gt;0,TblTech[[#This Row],[Hour]:[Hour]]&gt;=X$2),1,0)</f>
        <v>0</v>
      </c>
      <c r="Y73" s="329" t="n">
        <f aca="false" t="array" ref="Y73:Y73">IF(AND(Y$2&lt;&gt;0,TblTech[[#This Row],[Hour]:[Hour]]&gt;=Y$2),1,0)</f>
        <v>0</v>
      </c>
      <c r="Z73" s="329" t="n">
        <f aca="false" t="array" ref="Z73:Z73">IF(AND(Z$2&lt;&gt;0,TblTech[[#This Row],[Hour]:[Hour]]&gt;=Z$2),1,0)</f>
        <v>0</v>
      </c>
      <c r="AA73" s="329" t="n">
        <f aca="false" t="array" ref="AA73:AA73">IF(AND(AA$2&lt;&gt;0,TblTech[[#This Row],[Hour]:[Hour]]&gt;=AA$2),1,0)</f>
        <v>0</v>
      </c>
      <c r="AB73" s="329" t="n">
        <f aca="false" t="array" ref="AB73:AB73">IF(AND(AB$2&lt;&gt;0,TblTech[[#This Row],[Hour]:[Hour]]&gt;=AB$2),1,0)</f>
        <v>0</v>
      </c>
      <c r="AC73" s="329" t="n">
        <f aca="false" t="array" ref="AC73:AC73">IF(AND(AC$2&lt;&gt;0,TblTech[[#This Row],[Hour]:[Hour]]&gt;=AC$2),1,0)</f>
        <v>0</v>
      </c>
      <c r="AD73" s="329" t="n">
        <f aca="false" t="array" ref="AD73:AD73">IF(AND(AD$2&lt;&gt;0,TblTech[[#This Row],[Hour]:[Hour]]&gt;=AD$2),1,0)</f>
        <v>0</v>
      </c>
      <c r="AE73" s="329" t="n">
        <f aca="false" t="array" ref="AE73:AE73">IF(AND(AE$2&lt;&gt;0,TblTech[[#This Row],[Hour]:[Hour]]&gt;=AE$2),1,0)</f>
        <v>0</v>
      </c>
      <c r="AF73" s="329" t="n">
        <f aca="false" t="array" ref="AF73:AF73">IF(AND(AF$2&lt;&gt;0,TblTech[[#This Row],[Hour]:[Hour]]&gt;=AF$2),1,0)</f>
        <v>0</v>
      </c>
      <c r="AG73" s="329" t="n">
        <f aca="false" t="array" ref="AG73:AG73">IF(AND(AG$2&lt;&gt;0,TblTech[[#This Row],[Hour]:[Hour]]&gt;=AG$2),1,0)</f>
        <v>0</v>
      </c>
      <c r="AH73" s="329" t="n">
        <f aca="false" t="array" ref="AH73:AH73">IF(AND(AH$2&lt;&gt;0,TblTech[[#This Row],[Hour]:[Hour]]&gt;=AH$2),1,0)</f>
        <v>0</v>
      </c>
      <c r="AI73" s="329" t="n">
        <f aca="false" t="array" ref="AI73:AI73">IF(AND(AI$2&lt;&gt;0,TblTech[[#This Row],[Hour]:[Hour]]&gt;=AI$2),1,0)</f>
        <v>0</v>
      </c>
      <c r="AJ73" s="329" t="n">
        <f aca="false" t="array" ref="AJ73:AJ73">IF(AND(AJ$2&lt;&gt;0,TblTech[[#This Row],[Hour]:[Hour]]&gt;=AJ$2),1,0)</f>
        <v>0</v>
      </c>
      <c r="AK73" s="329" t="n">
        <f aca="false" t="array" ref="AK73:AK73">IF(AND(AK$2&lt;&gt;0,TblTech[[#This Row],[Hour]:[Hour]]&gt;=AK$2),1,0)</f>
        <v>0</v>
      </c>
      <c r="AL73" s="329" t="n">
        <f aca="false" t="array" ref="AL73:AL73">IF(AND(AL$2&lt;&gt;0,TblTech[[#This Row],[Hour]:[Hour]]&gt;=AL$2),1,0)</f>
        <v>0</v>
      </c>
      <c r="AM73" s="329" t="n">
        <f aca="false" t="array" ref="AM73:AM73">IF(AND(AM$2&lt;&gt;0,TblTech[[#This Row],[Hour]:[Hour]]&gt;=AM$2),1,0)</f>
        <v>0</v>
      </c>
      <c r="AN73" s="329" t="n">
        <f aca="false" t="array" ref="AN73:AN73">IF(AND(AN$2&lt;&gt;0,TblTech[[#This Row],[Hour]:[Hour]]&gt;=AN$2),1,0)</f>
        <v>0</v>
      </c>
      <c r="AO73" s="329" t="n">
        <f aca="false" t="array" ref="AO73:AO73">IF(AND(AO$2&lt;&gt;0,TblTech[[#This Row],[Hour]:[Hour]]&gt;=AO$2),1,0)</f>
        <v>0</v>
      </c>
      <c r="AP73" s="329" t="n">
        <f aca="false" t="array" ref="AP73:AP73">IF(AND(AP$2&lt;&gt;0,TblTech[[#This Row],[Hour]:[Hour]]&gt;=AP$2),1,0)</f>
        <v>0</v>
      </c>
      <c r="AQ73" s="329" t="n">
        <f aca="false" t="array" ref="AQ73:AQ73">IF(AND(AQ$2&lt;&gt;0,TblTech[[#This Row],[Hour]:[Hour]]&gt;=AQ$2),1,0)</f>
        <v>0</v>
      </c>
      <c r="AR73" s="329" t="n">
        <f aca="false" t="array" ref="AR73:AR73">IF(AND(AR$2&lt;&gt;0,TblTech[[#This Row],[Hour]:[Hour]]&gt;=AR$2),1,0)</f>
        <v>0</v>
      </c>
      <c r="AS73" s="329" t="n">
        <f aca="false" t="array" ref="AS73:AS73">IF(AND(AS$2&lt;&gt;0,TblTech[[#This Row],[Hour]:[Hour]]&gt;=AS$2),1,0)</f>
        <v>0</v>
      </c>
      <c r="AT73" s="329" t="n">
        <f aca="false" t="array" ref="AT73:AT73">IF(AND(AT$2&lt;&gt;0,TblTech[[#This Row],[Hour]:[Hour]]&gt;=AT$2),1,0)</f>
        <v>0</v>
      </c>
      <c r="AU73" s="329" t="n">
        <f aca="false" t="array" ref="AU73:AU73">IF(AND(AU$2&lt;&gt;0,TblTech[[#This Row],[Hour]:[Hour]]&gt;=AU$2),1,0)</f>
        <v>0</v>
      </c>
      <c r="AV73" s="329" t="n">
        <f aca="false" t="array" ref="AV73:AV73">IF(AND(AV$2&lt;&gt;0,TblTech[[#This Row],[Hour]:[Hour]]&gt;=AV$2),1,0)</f>
        <v>0</v>
      </c>
      <c r="AW73" s="329" t="n">
        <f aca="false" t="array" ref="AW73:AW73">IF(AND(AW$2&lt;&gt;0,TblTech[[#This Row],[Hour]:[Hour]]&gt;=AW$2),1,0)</f>
        <v>0</v>
      </c>
      <c r="AX73" s="329" t="n">
        <f aca="false" t="array" ref="AX73:AX73">IF(AND(AX$2&lt;&gt;0,TblTech[[#This Row],[Hour]:[Hour]]&gt;=AX$2),1,0)</f>
        <v>0</v>
      </c>
      <c r="AY73" s="329" t="n">
        <f aca="false" t="array" ref="AY73:AY73">IF(AND(AY$2&lt;&gt;0,TblTech[[#This Row],[Hour]:[Hour]]&gt;=AY$2),1,0)</f>
        <v>0</v>
      </c>
      <c r="AZ73" s="329" t="n">
        <f aca="false" t="array" ref="AZ73:AZ73">IF(AND(AZ$2&lt;&gt;0,TblTech[[#This Row],[Hour]:[Hour]]&gt;=AZ$2),1,0)</f>
        <v>0</v>
      </c>
      <c r="BA73" s="329" t="n">
        <f aca="false" t="array" ref="BA73:BA73">IF(AND(BA$2&lt;&gt;0,TblTech[[#This Row],[Hour]:[Hour]]&gt;=BA$2),1,0)</f>
        <v>0</v>
      </c>
      <c r="BB73" s="329" t="n">
        <f aca="false" t="array" ref="BB73:BB73">IF(AND(BB$2&lt;&gt;0,TblTech[[#This Row],[Hour]:[Hour]]&gt;=BB$2),1,0)</f>
        <v>0</v>
      </c>
      <c r="BC73" s="329" t="n">
        <f aca="false" t="array" ref="BC73:BC73">IF(AND(BC$2&lt;&gt;0,TblTech[[#This Row],[Hour]:[Hour]]&gt;=BC$2),1,0)</f>
        <v>0</v>
      </c>
      <c r="BD73" s="329" t="n">
        <f aca="false" t="array" ref="BD73:BD73">IF(AND(BD$2&lt;&gt;0,TblTech[[#This Row],[Hour]:[Hour]]&gt;=BD$2),1,0)</f>
        <v>0</v>
      </c>
      <c r="BE73" s="329" t="n">
        <f aca="false" t="array" ref="BE73:BE73">IF(AND(BE$2&lt;&gt;0,TblTech[[#This Row],[Hour]:[Hour]]&gt;=BE$2),1,0)</f>
        <v>0</v>
      </c>
      <c r="BF73" s="329" t="n">
        <f aca="false" t="array" ref="BF73:BF73">IF(AND(BF$2&lt;&gt;0,TblTech[[#This Row],[Hour]:[Hour]]&gt;=BF$2),1,0)</f>
        <v>0</v>
      </c>
      <c r="BG73" s="329" t="n">
        <f aca="false" t="array" ref="BG73:BG73">IF(AND(BG$2&lt;&gt;0,TblTech[[#This Row],[Hour]:[Hour]]&gt;=BG$2),1,0)</f>
        <v>0</v>
      </c>
      <c r="BH73" s="329" t="n">
        <f aca="false" t="array" ref="BH73:BH73">IF(AND(BH$2&lt;&gt;0,TblTech[[#This Row],[Hour]:[Hour]]&gt;=BH$2),1,0)</f>
        <v>0</v>
      </c>
      <c r="BI73" s="329" t="n">
        <f aca="false" t="array" ref="BI73:BI73">IF(AND(BI$2&lt;&gt;0,TblTech[[#This Row],[Hour]:[Hour]]&gt;=BI$2),1,0)</f>
        <v>0</v>
      </c>
      <c r="BJ73" s="329" t="n">
        <f aca="false" t="array" ref="BJ73:BJ73">IF(AND(BJ$2&lt;&gt;0,TblTech[[#This Row],[Hour]:[Hour]]&gt;=BJ$2),1,0)</f>
        <v>0</v>
      </c>
      <c r="BK73" s="329" t="n">
        <f aca="false" t="array" ref="BK73:BK73">IF(AND(BK$2&lt;&gt;0,TblTech[[#This Row],[Hour]:[Hour]]&gt;=BK$2),1,0)</f>
        <v>0</v>
      </c>
      <c r="BL73" s="329" t="n">
        <f aca="false" t="array" ref="BL73:BL73">IF(AND(BL$2&lt;&gt;0,TblTech[[#This Row],[Hour]:[Hour]]&gt;=BL$2),1,0)</f>
        <v>0</v>
      </c>
      <c r="BM73" s="329" t="n">
        <f aca="false" t="array" ref="BM73:BM73">IF(AND(BM$2&lt;&gt;0,TblTech[[#This Row],[Hour]:[Hour]]&gt;=BM$2),1,0)</f>
        <v>0</v>
      </c>
      <c r="BN73" s="329" t="n">
        <f aca="false" t="array" ref="BN73:BN73">IF(AND(BN$2&lt;&gt;0,TblTech[[#This Row],[Hour]:[Hour]]&gt;=BN$2),1,0)</f>
        <v>0</v>
      </c>
      <c r="BO73" s="329" t="n">
        <f aca="false" t="array" ref="BO73:BO73">IF(AND(BO$2&lt;&gt;0,TblTech[[#This Row],[Hour]:[Hour]]&gt;=BO$2),1,0)</f>
        <v>0</v>
      </c>
      <c r="BP73" s="329" t="n">
        <f aca="false" t="array" ref="BP73:BP73">IF(AND(BP$2&lt;&gt;0,TblTech[[#This Row],[Hour]:[Hour]]&gt;=BP$2),1,0)</f>
        <v>0</v>
      </c>
      <c r="BQ73" s="329" t="n">
        <f aca="false" t="array" ref="BQ73:BQ73">IF(AND(BQ$2&lt;&gt;0,TblTech[[#This Row],[Hour]:[Hour]]&gt;=BQ$2),1,0)</f>
        <v>0</v>
      </c>
      <c r="BR73" s="329" t="n">
        <f aca="false" t="array" ref="BR73:BR73">IF(AND(BR$2&lt;&gt;0,TblTech[[#This Row],[Hour]:[Hour]]&gt;=BR$2),1,0)</f>
        <v>0</v>
      </c>
      <c r="BS73" s="329" t="n">
        <f aca="false" t="array" ref="BS73:BS73">IF(AND(BS$2&lt;&gt;0,TblTech[[#This Row],[Hour]:[Hour]]&gt;=BS$2),1,0)</f>
        <v>0</v>
      </c>
      <c r="BT73" s="329" t="n">
        <f aca="false" t="array" ref="BT73:BT73">IF(AND(BT$2&lt;&gt;0,TblTech[[#This Row],[Hour]:[Hour]]&gt;=BT$2),1,0)</f>
        <v>0</v>
      </c>
      <c r="BU73" s="329" t="n">
        <f aca="false" t="array" ref="BU73:BU73">IF(AND(BU$2&lt;&gt;0,TblTech[[#This Row],[Hour]:[Hour]]&gt;=BU$2),1,0)</f>
        <v>0</v>
      </c>
      <c r="BV73" s="329" t="n">
        <f aca="false" t="array" ref="BV73:BV73">IF(AND(BV$2&lt;&gt;0,TblTech[[#This Row],[Hour]:[Hour]]&gt;=BV$2),1,0)</f>
        <v>0</v>
      </c>
      <c r="BW73" s="329" t="n">
        <f aca="false" t="array" ref="BW73:BW73">IF(AND(BW$2&lt;&gt;0,TblTech[[#This Row],[Hour]:[Hour]]&gt;=BW$2),1,0)</f>
        <v>0</v>
      </c>
      <c r="BX73" s="329" t="n">
        <f aca="false" t="array" ref="BX73:BX73">IF(AND(BX$2&lt;&gt;0,TblTech[[#This Row],[Hour]:[Hour]]&gt;=BX$2),1,0)</f>
        <v>0</v>
      </c>
      <c r="BY73" s="329" t="n">
        <f aca="false" t="array" ref="BY73:BY73">IF(AND(BY$2&lt;&gt;0,TblTech[[#This Row],[Hour]:[Hour]]&gt;=BY$2),1,0)</f>
        <v>0</v>
      </c>
      <c r="BZ73" s="329" t="n">
        <f aca="false" t="array" ref="BZ73:BZ73">IF(AND(BZ$2&lt;&gt;0,TblTech[[#This Row],[Hour]:[Hour]]&gt;=BZ$2),1,0)</f>
        <v>0</v>
      </c>
      <c r="CA73" s="330" t="n">
        <f aca="false">IFERROR(INDEX($H$4:$H$79,MATCH(INDEX(TblTech[[#Headers],[1-1]:[11-1]],1,MATCH(TblTech[[#This Row],[Hour]],$M$2:$BZ$2,0)),$G$4:$G$79,0)),)</f>
        <v>0</v>
      </c>
    </row>
    <row r="74" customFormat="false" ht="12.75" hidden="false" customHeight="false" outlineLevel="0" collapsed="false">
      <c r="A74" s="321" t="n">
        <f aca="false">TblRezone[[#This Row],[Hour]]</f>
        <v>71</v>
      </c>
      <c r="B74" s="322" t="n">
        <f aca="false">TblExplore[[#This Row],[Land-DB]]</f>
        <v>700</v>
      </c>
      <c r="C74" s="323" t="n">
        <f aca="false">TblProd[[#This Row],[Techpoints]]</f>
        <v>1050</v>
      </c>
      <c r="D74" s="323" t="n">
        <f aca="false">TblProd[[#This Row],[Required]]</f>
        <v>3750</v>
      </c>
      <c r="E74" s="324"/>
      <c r="F74" s="325"/>
      <c r="G74" s="326" t="s">
        <v>586</v>
      </c>
      <c r="H74" s="327" t="s">
        <v>711</v>
      </c>
      <c r="I74" s="326" t="s">
        <v>712</v>
      </c>
      <c r="J74" s="322"/>
      <c r="K74" s="68" t="n">
        <f aca="false">IF(TblTech[[#This Row],[Sum of tech]]&lt;&gt;OFFSET(TblTech[[#This Row],[Sum of tech]],-1,0),1,0)</f>
        <v>0</v>
      </c>
      <c r="L74" s="328" t="n">
        <f aca="false">COUNTIF(TblTech[[#This Row],[1-1]:[11-1]],1)</f>
        <v>0</v>
      </c>
      <c r="M74" s="329" t="n">
        <f aca="false" t="array" ref="M74:M74">IF(AND(M$2&lt;&gt;0,TblTech[[#This Row],[Hour]:[Hour]]&gt;=M$2),1,0)</f>
        <v>0</v>
      </c>
      <c r="N74" s="329" t="n">
        <f aca="false" t="array" ref="N74:N74">IF(AND(N$2&lt;&gt;0,TblTech[[#This Row],[Hour]:[Hour]]&gt;=N$2),1,0)</f>
        <v>0</v>
      </c>
      <c r="O74" s="329" t="n">
        <f aca="false" t="array" ref="O74:O74">IF(AND(O$2&lt;&gt;0,TblTech[[#This Row],[Hour]:[Hour]]&gt;=O$2),1,0)</f>
        <v>0</v>
      </c>
      <c r="P74" s="329" t="n">
        <f aca="false" t="array" ref="P74:P74">IF(AND(P$2&lt;&gt;0,TblTech[[#This Row],[Hour]:[Hour]]&gt;=P$2),1,0)</f>
        <v>0</v>
      </c>
      <c r="Q74" s="329" t="n">
        <f aca="false" t="array" ref="Q74:Q74">IF(AND(Q$2&lt;&gt;0,TblTech[[#This Row],[Hour]:[Hour]]&gt;=Q$2),1,0)</f>
        <v>0</v>
      </c>
      <c r="R74" s="329" t="n">
        <f aca="false" t="array" ref="R74:R74">IF(AND(R$2&lt;&gt;0,TblTech[[#This Row],[Hour]:[Hour]]&gt;=R$2),1,0)</f>
        <v>0</v>
      </c>
      <c r="S74" s="329" t="n">
        <f aca="false" t="array" ref="S74:S74">IF(AND(S$2&lt;&gt;0,TblTech[[#This Row],[Hour]:[Hour]]&gt;=S$2),1,0)</f>
        <v>0</v>
      </c>
      <c r="T74" s="329" t="n">
        <f aca="false" t="array" ref="T74:T74">IF(AND(T$2&lt;&gt;0,TblTech[[#This Row],[Hour]:[Hour]]&gt;=T$2),1,0)</f>
        <v>0</v>
      </c>
      <c r="U74" s="329" t="n">
        <f aca="false" t="array" ref="U74:U74">IF(AND(U$2&lt;&gt;0,TblTech[[#This Row],[Hour]:[Hour]]&gt;=U$2),1,0)</f>
        <v>0</v>
      </c>
      <c r="V74" s="329" t="n">
        <f aca="false" t="array" ref="V74:V74">IF(AND(V$2&lt;&gt;0,TblTech[[#This Row],[Hour]:[Hour]]&gt;=V$2),1,0)</f>
        <v>0</v>
      </c>
      <c r="W74" s="329" t="n">
        <f aca="false" t="array" ref="W74:W74">IF(AND(W$2&lt;&gt;0,TblTech[[#This Row],[Hour]:[Hour]]&gt;=W$2),1,0)</f>
        <v>0</v>
      </c>
      <c r="X74" s="329" t="n">
        <f aca="false" t="array" ref="X74:X74">IF(AND(X$2&lt;&gt;0,TblTech[[#This Row],[Hour]:[Hour]]&gt;=X$2),1,0)</f>
        <v>0</v>
      </c>
      <c r="Y74" s="329" t="n">
        <f aca="false" t="array" ref="Y74:Y74">IF(AND(Y$2&lt;&gt;0,TblTech[[#This Row],[Hour]:[Hour]]&gt;=Y$2),1,0)</f>
        <v>0</v>
      </c>
      <c r="Z74" s="329" t="n">
        <f aca="false" t="array" ref="Z74:Z74">IF(AND(Z$2&lt;&gt;0,TblTech[[#This Row],[Hour]:[Hour]]&gt;=Z$2),1,0)</f>
        <v>0</v>
      </c>
      <c r="AA74" s="329" t="n">
        <f aca="false" t="array" ref="AA74:AA74">IF(AND(AA$2&lt;&gt;0,TblTech[[#This Row],[Hour]:[Hour]]&gt;=AA$2),1,0)</f>
        <v>0</v>
      </c>
      <c r="AB74" s="329" t="n">
        <f aca="false" t="array" ref="AB74:AB74">IF(AND(AB$2&lt;&gt;0,TblTech[[#This Row],[Hour]:[Hour]]&gt;=AB$2),1,0)</f>
        <v>0</v>
      </c>
      <c r="AC74" s="329" t="n">
        <f aca="false" t="array" ref="AC74:AC74">IF(AND(AC$2&lt;&gt;0,TblTech[[#This Row],[Hour]:[Hour]]&gt;=AC$2),1,0)</f>
        <v>0</v>
      </c>
      <c r="AD74" s="329" t="n">
        <f aca="false" t="array" ref="AD74:AD74">IF(AND(AD$2&lt;&gt;0,TblTech[[#This Row],[Hour]:[Hour]]&gt;=AD$2),1,0)</f>
        <v>0</v>
      </c>
      <c r="AE74" s="329" t="n">
        <f aca="false" t="array" ref="AE74:AE74">IF(AND(AE$2&lt;&gt;0,TblTech[[#This Row],[Hour]:[Hour]]&gt;=AE$2),1,0)</f>
        <v>0</v>
      </c>
      <c r="AF74" s="329" t="n">
        <f aca="false" t="array" ref="AF74:AF74">IF(AND(AF$2&lt;&gt;0,TblTech[[#This Row],[Hour]:[Hour]]&gt;=AF$2),1,0)</f>
        <v>0</v>
      </c>
      <c r="AG74" s="329" t="n">
        <f aca="false" t="array" ref="AG74:AG74">IF(AND(AG$2&lt;&gt;0,TblTech[[#This Row],[Hour]:[Hour]]&gt;=AG$2),1,0)</f>
        <v>0</v>
      </c>
      <c r="AH74" s="329" t="n">
        <f aca="false" t="array" ref="AH74:AH74">IF(AND(AH$2&lt;&gt;0,TblTech[[#This Row],[Hour]:[Hour]]&gt;=AH$2),1,0)</f>
        <v>0</v>
      </c>
      <c r="AI74" s="329" t="n">
        <f aca="false" t="array" ref="AI74:AI74">IF(AND(AI$2&lt;&gt;0,TblTech[[#This Row],[Hour]:[Hour]]&gt;=AI$2),1,0)</f>
        <v>0</v>
      </c>
      <c r="AJ74" s="329" t="n">
        <f aca="false" t="array" ref="AJ74:AJ74">IF(AND(AJ$2&lt;&gt;0,TblTech[[#This Row],[Hour]:[Hour]]&gt;=AJ$2),1,0)</f>
        <v>0</v>
      </c>
      <c r="AK74" s="329" t="n">
        <f aca="false" t="array" ref="AK74:AK74">IF(AND(AK$2&lt;&gt;0,TblTech[[#This Row],[Hour]:[Hour]]&gt;=AK$2),1,0)</f>
        <v>0</v>
      </c>
      <c r="AL74" s="329" t="n">
        <f aca="false" t="array" ref="AL74:AL74">IF(AND(AL$2&lt;&gt;0,TblTech[[#This Row],[Hour]:[Hour]]&gt;=AL$2),1,0)</f>
        <v>0</v>
      </c>
      <c r="AM74" s="329" t="n">
        <f aca="false" t="array" ref="AM74:AM74">IF(AND(AM$2&lt;&gt;0,TblTech[[#This Row],[Hour]:[Hour]]&gt;=AM$2),1,0)</f>
        <v>0</v>
      </c>
      <c r="AN74" s="329" t="n">
        <f aca="false" t="array" ref="AN74:AN74">IF(AND(AN$2&lt;&gt;0,TblTech[[#This Row],[Hour]:[Hour]]&gt;=AN$2),1,0)</f>
        <v>0</v>
      </c>
      <c r="AO74" s="329" t="n">
        <f aca="false" t="array" ref="AO74:AO74">IF(AND(AO$2&lt;&gt;0,TblTech[[#This Row],[Hour]:[Hour]]&gt;=AO$2),1,0)</f>
        <v>0</v>
      </c>
      <c r="AP74" s="329" t="n">
        <f aca="false" t="array" ref="AP74:AP74">IF(AND(AP$2&lt;&gt;0,TblTech[[#This Row],[Hour]:[Hour]]&gt;=AP$2),1,0)</f>
        <v>0</v>
      </c>
      <c r="AQ74" s="329" t="n">
        <f aca="false" t="array" ref="AQ74:AQ74">IF(AND(AQ$2&lt;&gt;0,TblTech[[#This Row],[Hour]:[Hour]]&gt;=AQ$2),1,0)</f>
        <v>0</v>
      </c>
      <c r="AR74" s="329" t="n">
        <f aca="false" t="array" ref="AR74:AR74">IF(AND(AR$2&lt;&gt;0,TblTech[[#This Row],[Hour]:[Hour]]&gt;=AR$2),1,0)</f>
        <v>0</v>
      </c>
      <c r="AS74" s="329" t="n">
        <f aca="false" t="array" ref="AS74:AS74">IF(AND(AS$2&lt;&gt;0,TblTech[[#This Row],[Hour]:[Hour]]&gt;=AS$2),1,0)</f>
        <v>0</v>
      </c>
      <c r="AT74" s="329" t="n">
        <f aca="false" t="array" ref="AT74:AT74">IF(AND(AT$2&lt;&gt;0,TblTech[[#This Row],[Hour]:[Hour]]&gt;=AT$2),1,0)</f>
        <v>0</v>
      </c>
      <c r="AU74" s="329" t="n">
        <f aca="false" t="array" ref="AU74:AU74">IF(AND(AU$2&lt;&gt;0,TblTech[[#This Row],[Hour]:[Hour]]&gt;=AU$2),1,0)</f>
        <v>0</v>
      </c>
      <c r="AV74" s="329" t="n">
        <f aca="false" t="array" ref="AV74:AV74">IF(AND(AV$2&lt;&gt;0,TblTech[[#This Row],[Hour]:[Hour]]&gt;=AV$2),1,0)</f>
        <v>0</v>
      </c>
      <c r="AW74" s="329" t="n">
        <f aca="false" t="array" ref="AW74:AW74">IF(AND(AW$2&lt;&gt;0,TblTech[[#This Row],[Hour]:[Hour]]&gt;=AW$2),1,0)</f>
        <v>0</v>
      </c>
      <c r="AX74" s="329" t="n">
        <f aca="false" t="array" ref="AX74:AX74">IF(AND(AX$2&lt;&gt;0,TblTech[[#This Row],[Hour]:[Hour]]&gt;=AX$2),1,0)</f>
        <v>0</v>
      </c>
      <c r="AY74" s="329" t="n">
        <f aca="false" t="array" ref="AY74:AY74">IF(AND(AY$2&lt;&gt;0,TblTech[[#This Row],[Hour]:[Hour]]&gt;=AY$2),1,0)</f>
        <v>0</v>
      </c>
      <c r="AZ74" s="329" t="n">
        <f aca="false" t="array" ref="AZ74:AZ74">IF(AND(AZ$2&lt;&gt;0,TblTech[[#This Row],[Hour]:[Hour]]&gt;=AZ$2),1,0)</f>
        <v>0</v>
      </c>
      <c r="BA74" s="329" t="n">
        <f aca="false" t="array" ref="BA74:BA74">IF(AND(BA$2&lt;&gt;0,TblTech[[#This Row],[Hour]:[Hour]]&gt;=BA$2),1,0)</f>
        <v>0</v>
      </c>
      <c r="BB74" s="329" t="n">
        <f aca="false" t="array" ref="BB74:BB74">IF(AND(BB$2&lt;&gt;0,TblTech[[#This Row],[Hour]:[Hour]]&gt;=BB$2),1,0)</f>
        <v>0</v>
      </c>
      <c r="BC74" s="329" t="n">
        <f aca="false" t="array" ref="BC74:BC74">IF(AND(BC$2&lt;&gt;0,TblTech[[#This Row],[Hour]:[Hour]]&gt;=BC$2),1,0)</f>
        <v>0</v>
      </c>
      <c r="BD74" s="329" t="n">
        <f aca="false" t="array" ref="BD74:BD74">IF(AND(BD$2&lt;&gt;0,TblTech[[#This Row],[Hour]:[Hour]]&gt;=BD$2),1,0)</f>
        <v>0</v>
      </c>
      <c r="BE74" s="329" t="n">
        <f aca="false" t="array" ref="BE74:BE74">IF(AND(BE$2&lt;&gt;0,TblTech[[#This Row],[Hour]:[Hour]]&gt;=BE$2),1,0)</f>
        <v>0</v>
      </c>
      <c r="BF74" s="329" t="n">
        <f aca="false" t="array" ref="BF74:BF74">IF(AND(BF$2&lt;&gt;0,TblTech[[#This Row],[Hour]:[Hour]]&gt;=BF$2),1,0)</f>
        <v>0</v>
      </c>
      <c r="BG74" s="329" t="n">
        <f aca="false" t="array" ref="BG74:BG74">IF(AND(BG$2&lt;&gt;0,TblTech[[#This Row],[Hour]:[Hour]]&gt;=BG$2),1,0)</f>
        <v>0</v>
      </c>
      <c r="BH74" s="329" t="n">
        <f aca="false" t="array" ref="BH74:BH74">IF(AND(BH$2&lt;&gt;0,TblTech[[#This Row],[Hour]:[Hour]]&gt;=BH$2),1,0)</f>
        <v>0</v>
      </c>
      <c r="BI74" s="329" t="n">
        <f aca="false" t="array" ref="BI74:BI74">IF(AND(BI$2&lt;&gt;0,TblTech[[#This Row],[Hour]:[Hour]]&gt;=BI$2),1,0)</f>
        <v>0</v>
      </c>
      <c r="BJ74" s="329" t="n">
        <f aca="false" t="array" ref="BJ74:BJ74">IF(AND(BJ$2&lt;&gt;0,TblTech[[#This Row],[Hour]:[Hour]]&gt;=BJ$2),1,0)</f>
        <v>0</v>
      </c>
      <c r="BK74" s="329" t="n">
        <f aca="false" t="array" ref="BK74:BK74">IF(AND(BK$2&lt;&gt;0,TblTech[[#This Row],[Hour]:[Hour]]&gt;=BK$2),1,0)</f>
        <v>0</v>
      </c>
      <c r="BL74" s="329" t="n">
        <f aca="false" t="array" ref="BL74:BL74">IF(AND(BL$2&lt;&gt;0,TblTech[[#This Row],[Hour]:[Hour]]&gt;=BL$2),1,0)</f>
        <v>0</v>
      </c>
      <c r="BM74" s="329" t="n">
        <f aca="false" t="array" ref="BM74:BM74">IF(AND(BM$2&lt;&gt;0,TblTech[[#This Row],[Hour]:[Hour]]&gt;=BM$2),1,0)</f>
        <v>0</v>
      </c>
      <c r="BN74" s="329" t="n">
        <f aca="false" t="array" ref="BN74:BN74">IF(AND(BN$2&lt;&gt;0,TblTech[[#This Row],[Hour]:[Hour]]&gt;=BN$2),1,0)</f>
        <v>0</v>
      </c>
      <c r="BO74" s="329" t="n">
        <f aca="false" t="array" ref="BO74:BO74">IF(AND(BO$2&lt;&gt;0,TblTech[[#This Row],[Hour]:[Hour]]&gt;=BO$2),1,0)</f>
        <v>0</v>
      </c>
      <c r="BP74" s="329" t="n">
        <f aca="false" t="array" ref="BP74:BP74">IF(AND(BP$2&lt;&gt;0,TblTech[[#This Row],[Hour]:[Hour]]&gt;=BP$2),1,0)</f>
        <v>0</v>
      </c>
      <c r="BQ74" s="329" t="n">
        <f aca="false" t="array" ref="BQ74:BQ74">IF(AND(BQ$2&lt;&gt;0,TblTech[[#This Row],[Hour]:[Hour]]&gt;=BQ$2),1,0)</f>
        <v>0</v>
      </c>
      <c r="BR74" s="329" t="n">
        <f aca="false" t="array" ref="BR74:BR74">IF(AND(BR$2&lt;&gt;0,TblTech[[#This Row],[Hour]:[Hour]]&gt;=BR$2),1,0)</f>
        <v>0</v>
      </c>
      <c r="BS74" s="329" t="n">
        <f aca="false" t="array" ref="BS74:BS74">IF(AND(BS$2&lt;&gt;0,TblTech[[#This Row],[Hour]:[Hour]]&gt;=BS$2),1,0)</f>
        <v>0</v>
      </c>
      <c r="BT74" s="329" t="n">
        <f aca="false" t="array" ref="BT74:BT74">IF(AND(BT$2&lt;&gt;0,TblTech[[#This Row],[Hour]:[Hour]]&gt;=BT$2),1,0)</f>
        <v>0</v>
      </c>
      <c r="BU74" s="329" t="n">
        <f aca="false" t="array" ref="BU74:BU74">IF(AND(BU$2&lt;&gt;0,TblTech[[#This Row],[Hour]:[Hour]]&gt;=BU$2),1,0)</f>
        <v>0</v>
      </c>
      <c r="BV74" s="329" t="n">
        <f aca="false" t="array" ref="BV74:BV74">IF(AND(BV$2&lt;&gt;0,TblTech[[#This Row],[Hour]:[Hour]]&gt;=BV$2),1,0)</f>
        <v>0</v>
      </c>
      <c r="BW74" s="329" t="n">
        <f aca="false" t="array" ref="BW74:BW74">IF(AND(BW$2&lt;&gt;0,TblTech[[#This Row],[Hour]:[Hour]]&gt;=BW$2),1,0)</f>
        <v>0</v>
      </c>
      <c r="BX74" s="329" t="n">
        <f aca="false" t="array" ref="BX74:BX74">IF(AND(BX$2&lt;&gt;0,TblTech[[#This Row],[Hour]:[Hour]]&gt;=BX$2),1,0)</f>
        <v>0</v>
      </c>
      <c r="BY74" s="329" t="n">
        <f aca="false" t="array" ref="BY74:BY74">IF(AND(BY$2&lt;&gt;0,TblTech[[#This Row],[Hour]:[Hour]]&gt;=BY$2),1,0)</f>
        <v>0</v>
      </c>
      <c r="BZ74" s="329" t="n">
        <f aca="false" t="array" ref="BZ74:BZ74">IF(AND(BZ$2&lt;&gt;0,TblTech[[#This Row],[Hour]:[Hour]]&gt;=BZ$2),1,0)</f>
        <v>0</v>
      </c>
      <c r="CA74" s="330" t="n">
        <f aca="false">IFERROR(INDEX($H$4:$H$79,MATCH(INDEX(TblTech[[#Headers],[1-1]:[11-1]],1,MATCH(TblTech[[#This Row],[Hour]],$M$2:$BZ$2,0)),$G$4:$G$79,0)),)</f>
        <v>0</v>
      </c>
    </row>
    <row r="75" customFormat="false" ht="12.75" hidden="false" customHeight="false" outlineLevel="0" collapsed="false">
      <c r="A75" s="321" t="n">
        <f aca="false">TblRezone[[#This Row],[Hour]]</f>
        <v>72</v>
      </c>
      <c r="B75" s="322" t="n">
        <f aca="false">TblExplore[[#This Row],[Land-DB]]</f>
        <v>700</v>
      </c>
      <c r="C75" s="323" t="n">
        <f aca="false">TblProd[[#This Row],[Techpoints]]</f>
        <v>1050</v>
      </c>
      <c r="D75" s="323" t="n">
        <f aca="false">TblProd[[#This Row],[Required]]</f>
        <v>3750</v>
      </c>
      <c r="E75" s="324"/>
      <c r="F75" s="325"/>
      <c r="G75" s="326"/>
      <c r="H75" s="327"/>
      <c r="I75" s="326"/>
      <c r="J75" s="322"/>
      <c r="K75" s="68" t="n">
        <f aca="false">IF(TblTech[[#This Row],[Sum of tech]]&lt;&gt;OFFSET(TblTech[[#This Row],[Sum of tech]],-1,0),1,0)</f>
        <v>0</v>
      </c>
      <c r="L75" s="328" t="n">
        <f aca="false">COUNTIF(TblTech[[#This Row],[1-1]:[11-1]],1)</f>
        <v>0</v>
      </c>
      <c r="M75" s="329" t="n">
        <f aca="false" t="array" ref="M75:M75">IF(AND(M$2&lt;&gt;0,TblTech[[#This Row],[Hour]:[Hour]]&gt;=M$2),1,0)</f>
        <v>0</v>
      </c>
      <c r="N75" s="329" t="n">
        <f aca="false" t="array" ref="N75:N75">IF(AND(N$2&lt;&gt;0,TblTech[[#This Row],[Hour]:[Hour]]&gt;=N$2),1,0)</f>
        <v>0</v>
      </c>
      <c r="O75" s="329" t="n">
        <f aca="false" t="array" ref="O75:O75">IF(AND(O$2&lt;&gt;0,TblTech[[#This Row],[Hour]:[Hour]]&gt;=O$2),1,0)</f>
        <v>0</v>
      </c>
      <c r="P75" s="329" t="n">
        <f aca="false" t="array" ref="P75:P75">IF(AND(P$2&lt;&gt;0,TblTech[[#This Row],[Hour]:[Hour]]&gt;=P$2),1,0)</f>
        <v>0</v>
      </c>
      <c r="Q75" s="329" t="n">
        <f aca="false" t="array" ref="Q75:Q75">IF(AND(Q$2&lt;&gt;0,TblTech[[#This Row],[Hour]:[Hour]]&gt;=Q$2),1,0)</f>
        <v>0</v>
      </c>
      <c r="R75" s="329" t="n">
        <f aca="false" t="array" ref="R75:R75">IF(AND(R$2&lt;&gt;0,TblTech[[#This Row],[Hour]:[Hour]]&gt;=R$2),1,0)</f>
        <v>0</v>
      </c>
      <c r="S75" s="329" t="n">
        <f aca="false" t="array" ref="S75:S75">IF(AND(S$2&lt;&gt;0,TblTech[[#This Row],[Hour]:[Hour]]&gt;=S$2),1,0)</f>
        <v>0</v>
      </c>
      <c r="T75" s="329" t="n">
        <f aca="false" t="array" ref="T75:T75">IF(AND(T$2&lt;&gt;0,TblTech[[#This Row],[Hour]:[Hour]]&gt;=T$2),1,0)</f>
        <v>0</v>
      </c>
      <c r="U75" s="329" t="n">
        <f aca="false" t="array" ref="U75:U75">IF(AND(U$2&lt;&gt;0,TblTech[[#This Row],[Hour]:[Hour]]&gt;=U$2),1,0)</f>
        <v>0</v>
      </c>
      <c r="V75" s="329" t="n">
        <f aca="false" t="array" ref="V75:V75">IF(AND(V$2&lt;&gt;0,TblTech[[#This Row],[Hour]:[Hour]]&gt;=V$2),1,0)</f>
        <v>0</v>
      </c>
      <c r="W75" s="329" t="n">
        <f aca="false" t="array" ref="W75:W75">IF(AND(W$2&lt;&gt;0,TblTech[[#This Row],[Hour]:[Hour]]&gt;=W$2),1,0)</f>
        <v>0</v>
      </c>
      <c r="X75" s="329" t="n">
        <f aca="false" t="array" ref="X75:X75">IF(AND(X$2&lt;&gt;0,TblTech[[#This Row],[Hour]:[Hour]]&gt;=X$2),1,0)</f>
        <v>0</v>
      </c>
      <c r="Y75" s="329" t="n">
        <f aca="false" t="array" ref="Y75:Y75">IF(AND(Y$2&lt;&gt;0,TblTech[[#This Row],[Hour]:[Hour]]&gt;=Y$2),1,0)</f>
        <v>0</v>
      </c>
      <c r="Z75" s="329" t="n">
        <f aca="false" t="array" ref="Z75:Z75">IF(AND(Z$2&lt;&gt;0,TblTech[[#This Row],[Hour]:[Hour]]&gt;=Z$2),1,0)</f>
        <v>0</v>
      </c>
      <c r="AA75" s="329" t="n">
        <f aca="false" t="array" ref="AA75:AA75">IF(AND(AA$2&lt;&gt;0,TblTech[[#This Row],[Hour]:[Hour]]&gt;=AA$2),1,0)</f>
        <v>0</v>
      </c>
      <c r="AB75" s="329" t="n">
        <f aca="false" t="array" ref="AB75:AB75">IF(AND(AB$2&lt;&gt;0,TblTech[[#This Row],[Hour]:[Hour]]&gt;=AB$2),1,0)</f>
        <v>0</v>
      </c>
      <c r="AC75" s="329" t="n">
        <f aca="false" t="array" ref="AC75:AC75">IF(AND(AC$2&lt;&gt;0,TblTech[[#This Row],[Hour]:[Hour]]&gt;=AC$2),1,0)</f>
        <v>0</v>
      </c>
      <c r="AD75" s="329" t="n">
        <f aca="false" t="array" ref="AD75:AD75">IF(AND(AD$2&lt;&gt;0,TblTech[[#This Row],[Hour]:[Hour]]&gt;=AD$2),1,0)</f>
        <v>0</v>
      </c>
      <c r="AE75" s="329" t="n">
        <f aca="false" t="array" ref="AE75:AE75">IF(AND(AE$2&lt;&gt;0,TblTech[[#This Row],[Hour]:[Hour]]&gt;=AE$2),1,0)</f>
        <v>0</v>
      </c>
      <c r="AF75" s="329" t="n">
        <f aca="false" t="array" ref="AF75:AF75">IF(AND(AF$2&lt;&gt;0,TblTech[[#This Row],[Hour]:[Hour]]&gt;=AF$2),1,0)</f>
        <v>0</v>
      </c>
      <c r="AG75" s="329" t="n">
        <f aca="false" t="array" ref="AG75:AG75">IF(AND(AG$2&lt;&gt;0,TblTech[[#This Row],[Hour]:[Hour]]&gt;=AG$2),1,0)</f>
        <v>0</v>
      </c>
      <c r="AH75" s="329" t="n">
        <f aca="false" t="array" ref="AH75:AH75">IF(AND(AH$2&lt;&gt;0,TblTech[[#This Row],[Hour]:[Hour]]&gt;=AH$2),1,0)</f>
        <v>0</v>
      </c>
      <c r="AI75" s="329" t="n">
        <f aca="false" t="array" ref="AI75:AI75">IF(AND(AI$2&lt;&gt;0,TblTech[[#This Row],[Hour]:[Hour]]&gt;=AI$2),1,0)</f>
        <v>0</v>
      </c>
      <c r="AJ75" s="329" t="n">
        <f aca="false" t="array" ref="AJ75:AJ75">IF(AND(AJ$2&lt;&gt;0,TblTech[[#This Row],[Hour]:[Hour]]&gt;=AJ$2),1,0)</f>
        <v>0</v>
      </c>
      <c r="AK75" s="329" t="n">
        <f aca="false" t="array" ref="AK75:AK75">IF(AND(AK$2&lt;&gt;0,TblTech[[#This Row],[Hour]:[Hour]]&gt;=AK$2),1,0)</f>
        <v>0</v>
      </c>
      <c r="AL75" s="329" t="n">
        <f aca="false" t="array" ref="AL75:AL75">IF(AND(AL$2&lt;&gt;0,TblTech[[#This Row],[Hour]:[Hour]]&gt;=AL$2),1,0)</f>
        <v>0</v>
      </c>
      <c r="AM75" s="329" t="n">
        <f aca="false" t="array" ref="AM75:AM75">IF(AND(AM$2&lt;&gt;0,TblTech[[#This Row],[Hour]:[Hour]]&gt;=AM$2),1,0)</f>
        <v>0</v>
      </c>
      <c r="AN75" s="329" t="n">
        <f aca="false" t="array" ref="AN75:AN75">IF(AND(AN$2&lt;&gt;0,TblTech[[#This Row],[Hour]:[Hour]]&gt;=AN$2),1,0)</f>
        <v>0</v>
      </c>
      <c r="AO75" s="329" t="n">
        <f aca="false" t="array" ref="AO75:AO75">IF(AND(AO$2&lt;&gt;0,TblTech[[#This Row],[Hour]:[Hour]]&gt;=AO$2),1,0)</f>
        <v>0</v>
      </c>
      <c r="AP75" s="329" t="n">
        <f aca="false" t="array" ref="AP75:AP75">IF(AND(AP$2&lt;&gt;0,TblTech[[#This Row],[Hour]:[Hour]]&gt;=AP$2),1,0)</f>
        <v>0</v>
      </c>
      <c r="AQ75" s="329" t="n">
        <f aca="false" t="array" ref="AQ75:AQ75">IF(AND(AQ$2&lt;&gt;0,TblTech[[#This Row],[Hour]:[Hour]]&gt;=AQ$2),1,0)</f>
        <v>0</v>
      </c>
      <c r="AR75" s="329" t="n">
        <f aca="false" t="array" ref="AR75:AR75">IF(AND(AR$2&lt;&gt;0,TblTech[[#This Row],[Hour]:[Hour]]&gt;=AR$2),1,0)</f>
        <v>0</v>
      </c>
      <c r="AS75" s="329" t="n">
        <f aca="false" t="array" ref="AS75:AS75">IF(AND(AS$2&lt;&gt;0,TblTech[[#This Row],[Hour]:[Hour]]&gt;=AS$2),1,0)</f>
        <v>0</v>
      </c>
      <c r="AT75" s="329" t="n">
        <f aca="false" t="array" ref="AT75:AT75">IF(AND(AT$2&lt;&gt;0,TblTech[[#This Row],[Hour]:[Hour]]&gt;=AT$2),1,0)</f>
        <v>0</v>
      </c>
      <c r="AU75" s="329" t="n">
        <f aca="false" t="array" ref="AU75:AU75">IF(AND(AU$2&lt;&gt;0,TblTech[[#This Row],[Hour]:[Hour]]&gt;=AU$2),1,0)</f>
        <v>0</v>
      </c>
      <c r="AV75" s="329" t="n">
        <f aca="false" t="array" ref="AV75:AV75">IF(AND(AV$2&lt;&gt;0,TblTech[[#This Row],[Hour]:[Hour]]&gt;=AV$2),1,0)</f>
        <v>0</v>
      </c>
      <c r="AW75" s="329" t="n">
        <f aca="false" t="array" ref="AW75:AW75">IF(AND(AW$2&lt;&gt;0,TblTech[[#This Row],[Hour]:[Hour]]&gt;=AW$2),1,0)</f>
        <v>0</v>
      </c>
      <c r="AX75" s="329" t="n">
        <f aca="false" t="array" ref="AX75:AX75">IF(AND(AX$2&lt;&gt;0,TblTech[[#This Row],[Hour]:[Hour]]&gt;=AX$2),1,0)</f>
        <v>0</v>
      </c>
      <c r="AY75" s="329" t="n">
        <f aca="false" t="array" ref="AY75:AY75">IF(AND(AY$2&lt;&gt;0,TblTech[[#This Row],[Hour]:[Hour]]&gt;=AY$2),1,0)</f>
        <v>0</v>
      </c>
      <c r="AZ75" s="329" t="n">
        <f aca="false" t="array" ref="AZ75:AZ75">IF(AND(AZ$2&lt;&gt;0,TblTech[[#This Row],[Hour]:[Hour]]&gt;=AZ$2),1,0)</f>
        <v>0</v>
      </c>
      <c r="BA75" s="329" t="n">
        <f aca="false" t="array" ref="BA75:BA75">IF(AND(BA$2&lt;&gt;0,TblTech[[#This Row],[Hour]:[Hour]]&gt;=BA$2),1,0)</f>
        <v>0</v>
      </c>
      <c r="BB75" s="329" t="n">
        <f aca="false" t="array" ref="BB75:BB75">IF(AND(BB$2&lt;&gt;0,TblTech[[#This Row],[Hour]:[Hour]]&gt;=BB$2),1,0)</f>
        <v>0</v>
      </c>
      <c r="BC75" s="329" t="n">
        <f aca="false" t="array" ref="BC75:BC75">IF(AND(BC$2&lt;&gt;0,TblTech[[#This Row],[Hour]:[Hour]]&gt;=BC$2),1,0)</f>
        <v>0</v>
      </c>
      <c r="BD75" s="329" t="n">
        <f aca="false" t="array" ref="BD75:BD75">IF(AND(BD$2&lt;&gt;0,TblTech[[#This Row],[Hour]:[Hour]]&gt;=BD$2),1,0)</f>
        <v>0</v>
      </c>
      <c r="BE75" s="329" t="n">
        <f aca="false" t="array" ref="BE75:BE75">IF(AND(BE$2&lt;&gt;0,TblTech[[#This Row],[Hour]:[Hour]]&gt;=BE$2),1,0)</f>
        <v>0</v>
      </c>
      <c r="BF75" s="329" t="n">
        <f aca="false" t="array" ref="BF75:BF75">IF(AND(BF$2&lt;&gt;0,TblTech[[#This Row],[Hour]:[Hour]]&gt;=BF$2),1,0)</f>
        <v>0</v>
      </c>
      <c r="BG75" s="329" t="n">
        <f aca="false" t="array" ref="BG75:BG75">IF(AND(BG$2&lt;&gt;0,TblTech[[#This Row],[Hour]:[Hour]]&gt;=BG$2),1,0)</f>
        <v>0</v>
      </c>
      <c r="BH75" s="329" t="n">
        <f aca="false" t="array" ref="BH75:BH75">IF(AND(BH$2&lt;&gt;0,TblTech[[#This Row],[Hour]:[Hour]]&gt;=BH$2),1,0)</f>
        <v>0</v>
      </c>
      <c r="BI75" s="329" t="n">
        <f aca="false" t="array" ref="BI75:BI75">IF(AND(BI$2&lt;&gt;0,TblTech[[#This Row],[Hour]:[Hour]]&gt;=BI$2),1,0)</f>
        <v>0</v>
      </c>
      <c r="BJ75" s="329" t="n">
        <f aca="false" t="array" ref="BJ75:BJ75">IF(AND(BJ$2&lt;&gt;0,TblTech[[#This Row],[Hour]:[Hour]]&gt;=BJ$2),1,0)</f>
        <v>0</v>
      </c>
      <c r="BK75" s="329" t="n">
        <f aca="false" t="array" ref="BK75:BK75">IF(AND(BK$2&lt;&gt;0,TblTech[[#This Row],[Hour]:[Hour]]&gt;=BK$2),1,0)</f>
        <v>0</v>
      </c>
      <c r="BL75" s="329" t="n">
        <f aca="false" t="array" ref="BL75:BL75">IF(AND(BL$2&lt;&gt;0,TblTech[[#This Row],[Hour]:[Hour]]&gt;=BL$2),1,0)</f>
        <v>0</v>
      </c>
      <c r="BM75" s="329" t="n">
        <f aca="false" t="array" ref="BM75:BM75">IF(AND(BM$2&lt;&gt;0,TblTech[[#This Row],[Hour]:[Hour]]&gt;=BM$2),1,0)</f>
        <v>0</v>
      </c>
      <c r="BN75" s="329" t="n">
        <f aca="false" t="array" ref="BN75:BN75">IF(AND(BN$2&lt;&gt;0,TblTech[[#This Row],[Hour]:[Hour]]&gt;=BN$2),1,0)</f>
        <v>0</v>
      </c>
      <c r="BO75" s="329" t="n">
        <f aca="false" t="array" ref="BO75:BO75">IF(AND(BO$2&lt;&gt;0,TblTech[[#This Row],[Hour]:[Hour]]&gt;=BO$2),1,0)</f>
        <v>0</v>
      </c>
      <c r="BP75" s="329" t="n">
        <f aca="false" t="array" ref="BP75:BP75">IF(AND(BP$2&lt;&gt;0,TblTech[[#This Row],[Hour]:[Hour]]&gt;=BP$2),1,0)</f>
        <v>0</v>
      </c>
      <c r="BQ75" s="329" t="n">
        <f aca="false" t="array" ref="BQ75:BQ75">IF(AND(BQ$2&lt;&gt;0,TblTech[[#This Row],[Hour]:[Hour]]&gt;=BQ$2),1,0)</f>
        <v>0</v>
      </c>
      <c r="BR75" s="329" t="n">
        <f aca="false" t="array" ref="BR75:BR75">IF(AND(BR$2&lt;&gt;0,TblTech[[#This Row],[Hour]:[Hour]]&gt;=BR$2),1,0)</f>
        <v>0</v>
      </c>
      <c r="BS75" s="329" t="n">
        <f aca="false" t="array" ref="BS75:BS75">IF(AND(BS$2&lt;&gt;0,TblTech[[#This Row],[Hour]:[Hour]]&gt;=BS$2),1,0)</f>
        <v>0</v>
      </c>
      <c r="BT75" s="329" t="n">
        <f aca="false" t="array" ref="BT75:BT75">IF(AND(BT$2&lt;&gt;0,TblTech[[#This Row],[Hour]:[Hour]]&gt;=BT$2),1,0)</f>
        <v>0</v>
      </c>
      <c r="BU75" s="329" t="n">
        <f aca="false" t="array" ref="BU75:BU75">IF(AND(BU$2&lt;&gt;0,TblTech[[#This Row],[Hour]:[Hour]]&gt;=BU$2),1,0)</f>
        <v>0</v>
      </c>
      <c r="BV75" s="329" t="n">
        <f aca="false" t="array" ref="BV75:BV75">IF(AND(BV$2&lt;&gt;0,TblTech[[#This Row],[Hour]:[Hour]]&gt;=BV$2),1,0)</f>
        <v>0</v>
      </c>
      <c r="BW75" s="329" t="n">
        <f aca="false" t="array" ref="BW75:BW75">IF(AND(BW$2&lt;&gt;0,TblTech[[#This Row],[Hour]:[Hour]]&gt;=BW$2),1,0)</f>
        <v>0</v>
      </c>
      <c r="BX75" s="329" t="n">
        <f aca="false" t="array" ref="BX75:BX75">IF(AND(BX$2&lt;&gt;0,TblTech[[#This Row],[Hour]:[Hour]]&gt;=BX$2),1,0)</f>
        <v>0</v>
      </c>
      <c r="BY75" s="329" t="n">
        <f aca="false" t="array" ref="BY75:BY75">IF(AND(BY$2&lt;&gt;0,TblTech[[#This Row],[Hour]:[Hour]]&gt;=BY$2),1,0)</f>
        <v>0</v>
      </c>
      <c r="BZ75" s="329" t="n">
        <f aca="false" t="array" ref="BZ75:BZ75">IF(AND(BZ$2&lt;&gt;0,TblTech[[#This Row],[Hour]:[Hour]]&gt;=BZ$2),1,0)</f>
        <v>0</v>
      </c>
      <c r="CA75" s="330" t="n">
        <f aca="false">IFERROR(INDEX($H$4:$H$79,MATCH(INDEX(TblTech[[#Headers],[1-1]:[11-1]],1,MATCH(TblTech[[#This Row],[Hour]],$M$2:$BZ$2,0)),$G$4:$G$79,0)),)</f>
        <v>0</v>
      </c>
    </row>
    <row r="76" customFormat="false" ht="12.75" hidden="false" customHeight="false" outlineLevel="0" collapsed="false">
      <c r="A76" s="321" t="n">
        <f aca="false">TblRezone[[#This Row],[Hour]]</f>
        <v>73</v>
      </c>
      <c r="B76" s="322" t="n">
        <f aca="false">TblExplore[[#This Row],[Land-DB]]</f>
        <v>700</v>
      </c>
      <c r="C76" s="323" t="n">
        <f aca="false">TblProd[[#This Row],[Techpoints]]</f>
        <v>1050</v>
      </c>
      <c r="D76" s="323" t="n">
        <f aca="false">TblProd[[#This Row],[Required]]</f>
        <v>3750</v>
      </c>
      <c r="E76" s="324"/>
      <c r="F76" s="325"/>
      <c r="G76" s="326" t="s">
        <v>587</v>
      </c>
      <c r="H76" s="327" t="s">
        <v>713</v>
      </c>
      <c r="I76" s="326" t="s">
        <v>714</v>
      </c>
      <c r="J76" s="322"/>
      <c r="K76" s="68" t="n">
        <f aca="false">IF(TblTech[[#This Row],[Sum of tech]]&lt;&gt;OFFSET(TblTech[[#This Row],[Sum of tech]],-1,0),1,0)</f>
        <v>0</v>
      </c>
      <c r="L76" s="328" t="n">
        <f aca="false">COUNTIF(TblTech[[#This Row],[1-1]:[11-1]],1)</f>
        <v>0</v>
      </c>
      <c r="M76" s="329" t="n">
        <f aca="false" t="array" ref="M76:M76">IF(AND(M$2&lt;&gt;0,TblTech[[#This Row],[Hour]:[Hour]]&gt;=M$2),1,0)</f>
        <v>0</v>
      </c>
      <c r="N76" s="329" t="n">
        <f aca="false" t="array" ref="N76:N76">IF(AND(N$2&lt;&gt;0,TblTech[[#This Row],[Hour]:[Hour]]&gt;=N$2),1,0)</f>
        <v>0</v>
      </c>
      <c r="O76" s="329" t="n">
        <f aca="false" t="array" ref="O76:O76">IF(AND(O$2&lt;&gt;0,TblTech[[#This Row],[Hour]:[Hour]]&gt;=O$2),1,0)</f>
        <v>0</v>
      </c>
      <c r="P76" s="329" t="n">
        <f aca="false" t="array" ref="P76:P76">IF(AND(P$2&lt;&gt;0,TblTech[[#This Row],[Hour]:[Hour]]&gt;=P$2),1,0)</f>
        <v>0</v>
      </c>
      <c r="Q76" s="329" t="n">
        <f aca="false" t="array" ref="Q76:Q76">IF(AND(Q$2&lt;&gt;0,TblTech[[#This Row],[Hour]:[Hour]]&gt;=Q$2),1,0)</f>
        <v>0</v>
      </c>
      <c r="R76" s="329" t="n">
        <f aca="false" t="array" ref="R76:R76">IF(AND(R$2&lt;&gt;0,TblTech[[#This Row],[Hour]:[Hour]]&gt;=R$2),1,0)</f>
        <v>0</v>
      </c>
      <c r="S76" s="329" t="n">
        <f aca="false" t="array" ref="S76:S76">IF(AND(S$2&lt;&gt;0,TblTech[[#This Row],[Hour]:[Hour]]&gt;=S$2),1,0)</f>
        <v>0</v>
      </c>
      <c r="T76" s="329" t="n">
        <f aca="false" t="array" ref="T76:T76">IF(AND(T$2&lt;&gt;0,TblTech[[#This Row],[Hour]:[Hour]]&gt;=T$2),1,0)</f>
        <v>0</v>
      </c>
      <c r="U76" s="329" t="n">
        <f aca="false" t="array" ref="U76:U76">IF(AND(U$2&lt;&gt;0,TblTech[[#This Row],[Hour]:[Hour]]&gt;=U$2),1,0)</f>
        <v>0</v>
      </c>
      <c r="V76" s="329" t="n">
        <f aca="false" t="array" ref="V76:V76">IF(AND(V$2&lt;&gt;0,TblTech[[#This Row],[Hour]:[Hour]]&gt;=V$2),1,0)</f>
        <v>0</v>
      </c>
      <c r="W76" s="329" t="n">
        <f aca="false" t="array" ref="W76:W76">IF(AND(W$2&lt;&gt;0,TblTech[[#This Row],[Hour]:[Hour]]&gt;=W$2),1,0)</f>
        <v>0</v>
      </c>
      <c r="X76" s="329" t="n">
        <f aca="false" t="array" ref="X76:X76">IF(AND(X$2&lt;&gt;0,TblTech[[#This Row],[Hour]:[Hour]]&gt;=X$2),1,0)</f>
        <v>0</v>
      </c>
      <c r="Y76" s="329" t="n">
        <f aca="false" t="array" ref="Y76:Y76">IF(AND(Y$2&lt;&gt;0,TblTech[[#This Row],[Hour]:[Hour]]&gt;=Y$2),1,0)</f>
        <v>0</v>
      </c>
      <c r="Z76" s="329" t="n">
        <f aca="false" t="array" ref="Z76:Z76">IF(AND(Z$2&lt;&gt;0,TblTech[[#This Row],[Hour]:[Hour]]&gt;=Z$2),1,0)</f>
        <v>0</v>
      </c>
      <c r="AA76" s="329" t="n">
        <f aca="false" t="array" ref="AA76:AA76">IF(AND(AA$2&lt;&gt;0,TblTech[[#This Row],[Hour]:[Hour]]&gt;=AA$2),1,0)</f>
        <v>0</v>
      </c>
      <c r="AB76" s="329" t="n">
        <f aca="false" t="array" ref="AB76:AB76">IF(AND(AB$2&lt;&gt;0,TblTech[[#This Row],[Hour]:[Hour]]&gt;=AB$2),1,0)</f>
        <v>0</v>
      </c>
      <c r="AC76" s="329" t="n">
        <f aca="false" t="array" ref="AC76:AC76">IF(AND(AC$2&lt;&gt;0,TblTech[[#This Row],[Hour]:[Hour]]&gt;=AC$2),1,0)</f>
        <v>0</v>
      </c>
      <c r="AD76" s="329" t="n">
        <f aca="false" t="array" ref="AD76:AD76">IF(AND(AD$2&lt;&gt;0,TblTech[[#This Row],[Hour]:[Hour]]&gt;=AD$2),1,0)</f>
        <v>0</v>
      </c>
      <c r="AE76" s="329" t="n">
        <f aca="false" t="array" ref="AE76:AE76">IF(AND(AE$2&lt;&gt;0,TblTech[[#This Row],[Hour]:[Hour]]&gt;=AE$2),1,0)</f>
        <v>0</v>
      </c>
      <c r="AF76" s="329" t="n">
        <f aca="false" t="array" ref="AF76:AF76">IF(AND(AF$2&lt;&gt;0,TblTech[[#This Row],[Hour]:[Hour]]&gt;=AF$2),1,0)</f>
        <v>0</v>
      </c>
      <c r="AG76" s="329" t="n">
        <f aca="false" t="array" ref="AG76:AG76">IF(AND(AG$2&lt;&gt;0,TblTech[[#This Row],[Hour]:[Hour]]&gt;=AG$2),1,0)</f>
        <v>0</v>
      </c>
      <c r="AH76" s="329" t="n">
        <f aca="false" t="array" ref="AH76:AH76">IF(AND(AH$2&lt;&gt;0,TblTech[[#This Row],[Hour]:[Hour]]&gt;=AH$2),1,0)</f>
        <v>0</v>
      </c>
      <c r="AI76" s="329" t="n">
        <f aca="false" t="array" ref="AI76:AI76">IF(AND(AI$2&lt;&gt;0,TblTech[[#This Row],[Hour]:[Hour]]&gt;=AI$2),1,0)</f>
        <v>0</v>
      </c>
      <c r="AJ76" s="329" t="n">
        <f aca="false" t="array" ref="AJ76:AJ76">IF(AND(AJ$2&lt;&gt;0,TblTech[[#This Row],[Hour]:[Hour]]&gt;=AJ$2),1,0)</f>
        <v>0</v>
      </c>
      <c r="AK76" s="329" t="n">
        <f aca="false" t="array" ref="AK76:AK76">IF(AND(AK$2&lt;&gt;0,TblTech[[#This Row],[Hour]:[Hour]]&gt;=AK$2),1,0)</f>
        <v>0</v>
      </c>
      <c r="AL76" s="329" t="n">
        <f aca="false" t="array" ref="AL76:AL76">IF(AND(AL$2&lt;&gt;0,TblTech[[#This Row],[Hour]:[Hour]]&gt;=AL$2),1,0)</f>
        <v>0</v>
      </c>
      <c r="AM76" s="329" t="n">
        <f aca="false" t="array" ref="AM76:AM76">IF(AND(AM$2&lt;&gt;0,TblTech[[#This Row],[Hour]:[Hour]]&gt;=AM$2),1,0)</f>
        <v>0</v>
      </c>
      <c r="AN76" s="329" t="n">
        <f aca="false" t="array" ref="AN76:AN76">IF(AND(AN$2&lt;&gt;0,TblTech[[#This Row],[Hour]:[Hour]]&gt;=AN$2),1,0)</f>
        <v>0</v>
      </c>
      <c r="AO76" s="329" t="n">
        <f aca="false" t="array" ref="AO76:AO76">IF(AND(AO$2&lt;&gt;0,TblTech[[#This Row],[Hour]:[Hour]]&gt;=AO$2),1,0)</f>
        <v>0</v>
      </c>
      <c r="AP76" s="329" t="n">
        <f aca="false" t="array" ref="AP76:AP76">IF(AND(AP$2&lt;&gt;0,TblTech[[#This Row],[Hour]:[Hour]]&gt;=AP$2),1,0)</f>
        <v>0</v>
      </c>
      <c r="AQ76" s="329" t="n">
        <f aca="false" t="array" ref="AQ76:AQ76">IF(AND(AQ$2&lt;&gt;0,TblTech[[#This Row],[Hour]:[Hour]]&gt;=AQ$2),1,0)</f>
        <v>0</v>
      </c>
      <c r="AR76" s="329" t="n">
        <f aca="false" t="array" ref="AR76:AR76">IF(AND(AR$2&lt;&gt;0,TblTech[[#This Row],[Hour]:[Hour]]&gt;=AR$2),1,0)</f>
        <v>0</v>
      </c>
      <c r="AS76" s="329" t="n">
        <f aca="false" t="array" ref="AS76:AS76">IF(AND(AS$2&lt;&gt;0,TblTech[[#This Row],[Hour]:[Hour]]&gt;=AS$2),1,0)</f>
        <v>0</v>
      </c>
      <c r="AT76" s="329" t="n">
        <f aca="false" t="array" ref="AT76:AT76">IF(AND(AT$2&lt;&gt;0,TblTech[[#This Row],[Hour]:[Hour]]&gt;=AT$2),1,0)</f>
        <v>0</v>
      </c>
      <c r="AU76" s="329" t="n">
        <f aca="false" t="array" ref="AU76:AU76">IF(AND(AU$2&lt;&gt;0,TblTech[[#This Row],[Hour]:[Hour]]&gt;=AU$2),1,0)</f>
        <v>0</v>
      </c>
      <c r="AV76" s="329" t="n">
        <f aca="false" t="array" ref="AV76:AV76">IF(AND(AV$2&lt;&gt;0,TblTech[[#This Row],[Hour]:[Hour]]&gt;=AV$2),1,0)</f>
        <v>0</v>
      </c>
      <c r="AW76" s="329" t="n">
        <f aca="false" t="array" ref="AW76:AW76">IF(AND(AW$2&lt;&gt;0,TblTech[[#This Row],[Hour]:[Hour]]&gt;=AW$2),1,0)</f>
        <v>0</v>
      </c>
      <c r="AX76" s="329" t="n">
        <f aca="false" t="array" ref="AX76:AX76">IF(AND(AX$2&lt;&gt;0,TblTech[[#This Row],[Hour]:[Hour]]&gt;=AX$2),1,0)</f>
        <v>0</v>
      </c>
      <c r="AY76" s="329" t="n">
        <f aca="false" t="array" ref="AY76:AY76">IF(AND(AY$2&lt;&gt;0,TblTech[[#This Row],[Hour]:[Hour]]&gt;=AY$2),1,0)</f>
        <v>0</v>
      </c>
      <c r="AZ76" s="329" t="n">
        <f aca="false" t="array" ref="AZ76:AZ76">IF(AND(AZ$2&lt;&gt;0,TblTech[[#This Row],[Hour]:[Hour]]&gt;=AZ$2),1,0)</f>
        <v>0</v>
      </c>
      <c r="BA76" s="329" t="n">
        <f aca="false" t="array" ref="BA76:BA76">IF(AND(BA$2&lt;&gt;0,TblTech[[#This Row],[Hour]:[Hour]]&gt;=BA$2),1,0)</f>
        <v>0</v>
      </c>
      <c r="BB76" s="329" t="n">
        <f aca="false" t="array" ref="BB76:BB76">IF(AND(BB$2&lt;&gt;0,TblTech[[#This Row],[Hour]:[Hour]]&gt;=BB$2),1,0)</f>
        <v>0</v>
      </c>
      <c r="BC76" s="329" t="n">
        <f aca="false" t="array" ref="BC76:BC76">IF(AND(BC$2&lt;&gt;0,TblTech[[#This Row],[Hour]:[Hour]]&gt;=BC$2),1,0)</f>
        <v>0</v>
      </c>
      <c r="BD76" s="329" t="n">
        <f aca="false" t="array" ref="BD76:BD76">IF(AND(BD$2&lt;&gt;0,TblTech[[#This Row],[Hour]:[Hour]]&gt;=BD$2),1,0)</f>
        <v>0</v>
      </c>
      <c r="BE76" s="329" t="n">
        <f aca="false" t="array" ref="BE76:BE76">IF(AND(BE$2&lt;&gt;0,TblTech[[#This Row],[Hour]:[Hour]]&gt;=BE$2),1,0)</f>
        <v>0</v>
      </c>
      <c r="BF76" s="329" t="n">
        <f aca="false" t="array" ref="BF76:BF76">IF(AND(BF$2&lt;&gt;0,TblTech[[#This Row],[Hour]:[Hour]]&gt;=BF$2),1,0)</f>
        <v>0</v>
      </c>
      <c r="BG76" s="329" t="n">
        <f aca="false" t="array" ref="BG76:BG76">IF(AND(BG$2&lt;&gt;0,TblTech[[#This Row],[Hour]:[Hour]]&gt;=BG$2),1,0)</f>
        <v>0</v>
      </c>
      <c r="BH76" s="329" t="n">
        <f aca="false" t="array" ref="BH76:BH76">IF(AND(BH$2&lt;&gt;0,TblTech[[#This Row],[Hour]:[Hour]]&gt;=BH$2),1,0)</f>
        <v>0</v>
      </c>
      <c r="BI76" s="329" t="n">
        <f aca="false" t="array" ref="BI76:BI76">IF(AND(BI$2&lt;&gt;0,TblTech[[#This Row],[Hour]:[Hour]]&gt;=BI$2),1,0)</f>
        <v>0</v>
      </c>
      <c r="BJ76" s="329" t="n">
        <f aca="false" t="array" ref="BJ76:BJ76">IF(AND(BJ$2&lt;&gt;0,TblTech[[#This Row],[Hour]:[Hour]]&gt;=BJ$2),1,0)</f>
        <v>0</v>
      </c>
      <c r="BK76" s="329" t="n">
        <f aca="false" t="array" ref="BK76:BK76">IF(AND(BK$2&lt;&gt;0,TblTech[[#This Row],[Hour]:[Hour]]&gt;=BK$2),1,0)</f>
        <v>0</v>
      </c>
      <c r="BL76" s="329" t="n">
        <f aca="false" t="array" ref="BL76:BL76">IF(AND(BL$2&lt;&gt;0,TblTech[[#This Row],[Hour]:[Hour]]&gt;=BL$2),1,0)</f>
        <v>0</v>
      </c>
      <c r="BM76" s="329" t="n">
        <f aca="false" t="array" ref="BM76:BM76">IF(AND(BM$2&lt;&gt;0,TblTech[[#This Row],[Hour]:[Hour]]&gt;=BM$2),1,0)</f>
        <v>0</v>
      </c>
      <c r="BN76" s="329" t="n">
        <f aca="false" t="array" ref="BN76:BN76">IF(AND(BN$2&lt;&gt;0,TblTech[[#This Row],[Hour]:[Hour]]&gt;=BN$2),1,0)</f>
        <v>0</v>
      </c>
      <c r="BO76" s="329" t="n">
        <f aca="false" t="array" ref="BO76:BO76">IF(AND(BO$2&lt;&gt;0,TblTech[[#This Row],[Hour]:[Hour]]&gt;=BO$2),1,0)</f>
        <v>0</v>
      </c>
      <c r="BP76" s="329" t="n">
        <f aca="false" t="array" ref="BP76:BP76">IF(AND(BP$2&lt;&gt;0,TblTech[[#This Row],[Hour]:[Hour]]&gt;=BP$2),1,0)</f>
        <v>0</v>
      </c>
      <c r="BQ76" s="329" t="n">
        <f aca="false" t="array" ref="BQ76:BQ76">IF(AND(BQ$2&lt;&gt;0,TblTech[[#This Row],[Hour]:[Hour]]&gt;=BQ$2),1,0)</f>
        <v>0</v>
      </c>
      <c r="BR76" s="329" t="n">
        <f aca="false" t="array" ref="BR76:BR76">IF(AND(BR$2&lt;&gt;0,TblTech[[#This Row],[Hour]:[Hour]]&gt;=BR$2),1,0)</f>
        <v>0</v>
      </c>
      <c r="BS76" s="329" t="n">
        <f aca="false" t="array" ref="BS76:BS76">IF(AND(BS$2&lt;&gt;0,TblTech[[#This Row],[Hour]:[Hour]]&gt;=BS$2),1,0)</f>
        <v>0</v>
      </c>
      <c r="BT76" s="329" t="n">
        <f aca="false" t="array" ref="BT76:BT76">IF(AND(BT$2&lt;&gt;0,TblTech[[#This Row],[Hour]:[Hour]]&gt;=BT$2),1,0)</f>
        <v>0</v>
      </c>
      <c r="BU76" s="329" t="n">
        <f aca="false" t="array" ref="BU76:BU76">IF(AND(BU$2&lt;&gt;0,TblTech[[#This Row],[Hour]:[Hour]]&gt;=BU$2),1,0)</f>
        <v>0</v>
      </c>
      <c r="BV76" s="329" t="n">
        <f aca="false" t="array" ref="BV76:BV76">IF(AND(BV$2&lt;&gt;0,TblTech[[#This Row],[Hour]:[Hour]]&gt;=BV$2),1,0)</f>
        <v>0</v>
      </c>
      <c r="BW76" s="329" t="n">
        <f aca="false" t="array" ref="BW76:BW76">IF(AND(BW$2&lt;&gt;0,TblTech[[#This Row],[Hour]:[Hour]]&gt;=BW$2),1,0)</f>
        <v>0</v>
      </c>
      <c r="BX76" s="329" t="n">
        <f aca="false" t="array" ref="BX76:BX76">IF(AND(BX$2&lt;&gt;0,TblTech[[#This Row],[Hour]:[Hour]]&gt;=BX$2),1,0)</f>
        <v>0</v>
      </c>
      <c r="BY76" s="329" t="n">
        <f aca="false" t="array" ref="BY76:BY76">IF(AND(BY$2&lt;&gt;0,TblTech[[#This Row],[Hour]:[Hour]]&gt;=BY$2),1,0)</f>
        <v>0</v>
      </c>
      <c r="BZ76" s="329" t="n">
        <f aca="false" t="array" ref="BZ76:BZ76">IF(AND(BZ$2&lt;&gt;0,TblTech[[#This Row],[Hour]:[Hour]]&gt;=BZ$2),1,0)</f>
        <v>0</v>
      </c>
      <c r="CA76" s="330" t="n">
        <f aca="false">IFERROR(INDEX($H$4:$H$79,MATCH(INDEX(TblTech[[#Headers],[1-1]:[11-1]],1,MATCH(TblTech[[#This Row],[Hour]],$M$2:$BZ$2,0)),$G$4:$G$79,0)),)</f>
        <v>0</v>
      </c>
    </row>
    <row r="77" customFormat="false" ht="12.75" hidden="false" customHeight="false" outlineLevel="0" collapsed="false">
      <c r="A77" s="321" t="n">
        <f aca="false">TblRezone[[#This Row],[Hour]]</f>
        <v>74</v>
      </c>
      <c r="B77" s="322" t="n">
        <f aca="false">TblExplore[[#This Row],[Land-DB]]</f>
        <v>700</v>
      </c>
      <c r="C77" s="323" t="n">
        <f aca="false">TblProd[[#This Row],[Techpoints]]</f>
        <v>1050</v>
      </c>
      <c r="D77" s="323" t="n">
        <f aca="false">TblProd[[#This Row],[Required]]</f>
        <v>3750</v>
      </c>
      <c r="E77" s="324"/>
      <c r="F77" s="325"/>
      <c r="G77" s="326" t="s">
        <v>588</v>
      </c>
      <c r="H77" s="327" t="s">
        <v>715</v>
      </c>
      <c r="I77" s="326" t="s">
        <v>716</v>
      </c>
      <c r="J77" s="322"/>
      <c r="K77" s="68" t="n">
        <f aca="false">IF(TblTech[[#This Row],[Sum of tech]]&lt;&gt;OFFSET(TblTech[[#This Row],[Sum of tech]],-1,0),1,0)</f>
        <v>0</v>
      </c>
      <c r="L77" s="328" t="n">
        <f aca="false">COUNTIF(TblTech[[#This Row],[1-1]:[11-1]],1)</f>
        <v>0</v>
      </c>
      <c r="M77" s="329" t="n">
        <f aca="false" t="array" ref="M77:M77">IF(AND(M$2&lt;&gt;0,TblTech[[#This Row],[Hour]:[Hour]]&gt;=M$2),1,0)</f>
        <v>0</v>
      </c>
      <c r="N77" s="329" t="n">
        <f aca="false" t="array" ref="N77:N77">IF(AND(N$2&lt;&gt;0,TblTech[[#This Row],[Hour]:[Hour]]&gt;=N$2),1,0)</f>
        <v>0</v>
      </c>
      <c r="O77" s="329" t="n">
        <f aca="false" t="array" ref="O77:O77">IF(AND(O$2&lt;&gt;0,TblTech[[#This Row],[Hour]:[Hour]]&gt;=O$2),1,0)</f>
        <v>0</v>
      </c>
      <c r="P77" s="329" t="n">
        <f aca="false" t="array" ref="P77:P77">IF(AND(P$2&lt;&gt;0,TblTech[[#This Row],[Hour]:[Hour]]&gt;=P$2),1,0)</f>
        <v>0</v>
      </c>
      <c r="Q77" s="329" t="n">
        <f aca="false" t="array" ref="Q77:Q77">IF(AND(Q$2&lt;&gt;0,TblTech[[#This Row],[Hour]:[Hour]]&gt;=Q$2),1,0)</f>
        <v>0</v>
      </c>
      <c r="R77" s="329" t="n">
        <f aca="false" t="array" ref="R77:R77">IF(AND(R$2&lt;&gt;0,TblTech[[#This Row],[Hour]:[Hour]]&gt;=R$2),1,0)</f>
        <v>0</v>
      </c>
      <c r="S77" s="329" t="n">
        <f aca="false" t="array" ref="S77:S77">IF(AND(S$2&lt;&gt;0,TblTech[[#This Row],[Hour]:[Hour]]&gt;=S$2),1,0)</f>
        <v>0</v>
      </c>
      <c r="T77" s="329" t="n">
        <f aca="false" t="array" ref="T77:T77">IF(AND(T$2&lt;&gt;0,TblTech[[#This Row],[Hour]:[Hour]]&gt;=T$2),1,0)</f>
        <v>0</v>
      </c>
      <c r="U77" s="329" t="n">
        <f aca="false" t="array" ref="U77:U77">IF(AND(U$2&lt;&gt;0,TblTech[[#This Row],[Hour]:[Hour]]&gt;=U$2),1,0)</f>
        <v>0</v>
      </c>
      <c r="V77" s="329" t="n">
        <f aca="false" t="array" ref="V77:V77">IF(AND(V$2&lt;&gt;0,TblTech[[#This Row],[Hour]:[Hour]]&gt;=V$2),1,0)</f>
        <v>0</v>
      </c>
      <c r="W77" s="329" t="n">
        <f aca="false" t="array" ref="W77:W77">IF(AND(W$2&lt;&gt;0,TblTech[[#This Row],[Hour]:[Hour]]&gt;=W$2),1,0)</f>
        <v>0</v>
      </c>
      <c r="X77" s="329" t="n">
        <f aca="false" t="array" ref="X77:X77">IF(AND(X$2&lt;&gt;0,TblTech[[#This Row],[Hour]:[Hour]]&gt;=X$2),1,0)</f>
        <v>0</v>
      </c>
      <c r="Y77" s="329" t="n">
        <f aca="false" t="array" ref="Y77:Y77">IF(AND(Y$2&lt;&gt;0,TblTech[[#This Row],[Hour]:[Hour]]&gt;=Y$2),1,0)</f>
        <v>0</v>
      </c>
      <c r="Z77" s="329" t="n">
        <f aca="false" t="array" ref="Z77:Z77">IF(AND(Z$2&lt;&gt;0,TblTech[[#This Row],[Hour]:[Hour]]&gt;=Z$2),1,0)</f>
        <v>0</v>
      </c>
      <c r="AA77" s="329" t="n">
        <f aca="false" t="array" ref="AA77:AA77">IF(AND(AA$2&lt;&gt;0,TblTech[[#This Row],[Hour]:[Hour]]&gt;=AA$2),1,0)</f>
        <v>0</v>
      </c>
      <c r="AB77" s="329" t="n">
        <f aca="false" t="array" ref="AB77:AB77">IF(AND(AB$2&lt;&gt;0,TblTech[[#This Row],[Hour]:[Hour]]&gt;=AB$2),1,0)</f>
        <v>0</v>
      </c>
      <c r="AC77" s="329" t="n">
        <f aca="false" t="array" ref="AC77:AC77">IF(AND(AC$2&lt;&gt;0,TblTech[[#This Row],[Hour]:[Hour]]&gt;=AC$2),1,0)</f>
        <v>0</v>
      </c>
      <c r="AD77" s="329" t="n">
        <f aca="false" t="array" ref="AD77:AD77">IF(AND(AD$2&lt;&gt;0,TblTech[[#This Row],[Hour]:[Hour]]&gt;=AD$2),1,0)</f>
        <v>0</v>
      </c>
      <c r="AE77" s="329" t="n">
        <f aca="false" t="array" ref="AE77:AE77">IF(AND(AE$2&lt;&gt;0,TblTech[[#This Row],[Hour]:[Hour]]&gt;=AE$2),1,0)</f>
        <v>0</v>
      </c>
      <c r="AF77" s="329" t="n">
        <f aca="false" t="array" ref="AF77:AF77">IF(AND(AF$2&lt;&gt;0,TblTech[[#This Row],[Hour]:[Hour]]&gt;=AF$2),1,0)</f>
        <v>0</v>
      </c>
      <c r="AG77" s="329" t="n">
        <f aca="false" t="array" ref="AG77:AG77">IF(AND(AG$2&lt;&gt;0,TblTech[[#This Row],[Hour]:[Hour]]&gt;=AG$2),1,0)</f>
        <v>0</v>
      </c>
      <c r="AH77" s="329" t="n">
        <f aca="false" t="array" ref="AH77:AH77">IF(AND(AH$2&lt;&gt;0,TblTech[[#This Row],[Hour]:[Hour]]&gt;=AH$2),1,0)</f>
        <v>0</v>
      </c>
      <c r="AI77" s="329" t="n">
        <f aca="false" t="array" ref="AI77:AI77">IF(AND(AI$2&lt;&gt;0,TblTech[[#This Row],[Hour]:[Hour]]&gt;=AI$2),1,0)</f>
        <v>0</v>
      </c>
      <c r="AJ77" s="329" t="n">
        <f aca="false" t="array" ref="AJ77:AJ77">IF(AND(AJ$2&lt;&gt;0,TblTech[[#This Row],[Hour]:[Hour]]&gt;=AJ$2),1,0)</f>
        <v>0</v>
      </c>
      <c r="AK77" s="329" t="n">
        <f aca="false" t="array" ref="AK77:AK77">IF(AND(AK$2&lt;&gt;0,TblTech[[#This Row],[Hour]:[Hour]]&gt;=AK$2),1,0)</f>
        <v>0</v>
      </c>
      <c r="AL77" s="329" t="n">
        <f aca="false" t="array" ref="AL77:AL77">IF(AND(AL$2&lt;&gt;0,TblTech[[#This Row],[Hour]:[Hour]]&gt;=AL$2),1,0)</f>
        <v>0</v>
      </c>
      <c r="AM77" s="329" t="n">
        <f aca="false" t="array" ref="AM77:AM77">IF(AND(AM$2&lt;&gt;0,TblTech[[#This Row],[Hour]:[Hour]]&gt;=AM$2),1,0)</f>
        <v>0</v>
      </c>
      <c r="AN77" s="329" t="n">
        <f aca="false" t="array" ref="AN77:AN77">IF(AND(AN$2&lt;&gt;0,TblTech[[#This Row],[Hour]:[Hour]]&gt;=AN$2),1,0)</f>
        <v>0</v>
      </c>
      <c r="AO77" s="329" t="n">
        <f aca="false" t="array" ref="AO77:AO77">IF(AND(AO$2&lt;&gt;0,TblTech[[#This Row],[Hour]:[Hour]]&gt;=AO$2),1,0)</f>
        <v>0</v>
      </c>
      <c r="AP77" s="329" t="n">
        <f aca="false" t="array" ref="AP77:AP77">IF(AND(AP$2&lt;&gt;0,TblTech[[#This Row],[Hour]:[Hour]]&gt;=AP$2),1,0)</f>
        <v>0</v>
      </c>
      <c r="AQ77" s="329" t="n">
        <f aca="false" t="array" ref="AQ77:AQ77">IF(AND(AQ$2&lt;&gt;0,TblTech[[#This Row],[Hour]:[Hour]]&gt;=AQ$2),1,0)</f>
        <v>0</v>
      </c>
      <c r="AR77" s="329" t="n">
        <f aca="false" t="array" ref="AR77:AR77">IF(AND(AR$2&lt;&gt;0,TblTech[[#This Row],[Hour]:[Hour]]&gt;=AR$2),1,0)</f>
        <v>0</v>
      </c>
      <c r="AS77" s="329" t="n">
        <f aca="false" t="array" ref="AS77:AS77">IF(AND(AS$2&lt;&gt;0,TblTech[[#This Row],[Hour]:[Hour]]&gt;=AS$2),1,0)</f>
        <v>0</v>
      </c>
      <c r="AT77" s="329" t="n">
        <f aca="false" t="array" ref="AT77:AT77">IF(AND(AT$2&lt;&gt;0,TblTech[[#This Row],[Hour]:[Hour]]&gt;=AT$2),1,0)</f>
        <v>0</v>
      </c>
      <c r="AU77" s="329" t="n">
        <f aca="false" t="array" ref="AU77:AU77">IF(AND(AU$2&lt;&gt;0,TblTech[[#This Row],[Hour]:[Hour]]&gt;=AU$2),1,0)</f>
        <v>0</v>
      </c>
      <c r="AV77" s="329" t="n">
        <f aca="false" t="array" ref="AV77:AV77">IF(AND(AV$2&lt;&gt;0,TblTech[[#This Row],[Hour]:[Hour]]&gt;=AV$2),1,0)</f>
        <v>0</v>
      </c>
      <c r="AW77" s="329" t="n">
        <f aca="false" t="array" ref="AW77:AW77">IF(AND(AW$2&lt;&gt;0,TblTech[[#This Row],[Hour]:[Hour]]&gt;=AW$2),1,0)</f>
        <v>0</v>
      </c>
      <c r="AX77" s="329" t="n">
        <f aca="false" t="array" ref="AX77:AX77">IF(AND(AX$2&lt;&gt;0,TblTech[[#This Row],[Hour]:[Hour]]&gt;=AX$2),1,0)</f>
        <v>0</v>
      </c>
      <c r="AY77" s="329" t="n">
        <f aca="false" t="array" ref="AY77:AY77">IF(AND(AY$2&lt;&gt;0,TblTech[[#This Row],[Hour]:[Hour]]&gt;=AY$2),1,0)</f>
        <v>0</v>
      </c>
      <c r="AZ77" s="329" t="n">
        <f aca="false" t="array" ref="AZ77:AZ77">IF(AND(AZ$2&lt;&gt;0,TblTech[[#This Row],[Hour]:[Hour]]&gt;=AZ$2),1,0)</f>
        <v>0</v>
      </c>
      <c r="BA77" s="329" t="n">
        <f aca="false" t="array" ref="BA77:BA77">IF(AND(BA$2&lt;&gt;0,TblTech[[#This Row],[Hour]:[Hour]]&gt;=BA$2),1,0)</f>
        <v>0</v>
      </c>
      <c r="BB77" s="329" t="n">
        <f aca="false" t="array" ref="BB77:BB77">IF(AND(BB$2&lt;&gt;0,TblTech[[#This Row],[Hour]:[Hour]]&gt;=BB$2),1,0)</f>
        <v>0</v>
      </c>
      <c r="BC77" s="329" t="n">
        <f aca="false" t="array" ref="BC77:BC77">IF(AND(BC$2&lt;&gt;0,TblTech[[#This Row],[Hour]:[Hour]]&gt;=BC$2),1,0)</f>
        <v>0</v>
      </c>
      <c r="BD77" s="329" t="n">
        <f aca="false" t="array" ref="BD77:BD77">IF(AND(BD$2&lt;&gt;0,TblTech[[#This Row],[Hour]:[Hour]]&gt;=BD$2),1,0)</f>
        <v>0</v>
      </c>
      <c r="BE77" s="329" t="n">
        <f aca="false" t="array" ref="BE77:BE77">IF(AND(BE$2&lt;&gt;0,TblTech[[#This Row],[Hour]:[Hour]]&gt;=BE$2),1,0)</f>
        <v>0</v>
      </c>
      <c r="BF77" s="329" t="n">
        <f aca="false" t="array" ref="BF77:BF77">IF(AND(BF$2&lt;&gt;0,TblTech[[#This Row],[Hour]:[Hour]]&gt;=BF$2),1,0)</f>
        <v>0</v>
      </c>
      <c r="BG77" s="329" t="n">
        <f aca="false" t="array" ref="BG77:BG77">IF(AND(BG$2&lt;&gt;0,TblTech[[#This Row],[Hour]:[Hour]]&gt;=BG$2),1,0)</f>
        <v>0</v>
      </c>
      <c r="BH77" s="329" t="n">
        <f aca="false" t="array" ref="BH77:BH77">IF(AND(BH$2&lt;&gt;0,TblTech[[#This Row],[Hour]:[Hour]]&gt;=BH$2),1,0)</f>
        <v>0</v>
      </c>
      <c r="BI77" s="329" t="n">
        <f aca="false" t="array" ref="BI77:BI77">IF(AND(BI$2&lt;&gt;0,TblTech[[#This Row],[Hour]:[Hour]]&gt;=BI$2),1,0)</f>
        <v>0</v>
      </c>
      <c r="BJ77" s="329" t="n">
        <f aca="false" t="array" ref="BJ77:BJ77">IF(AND(BJ$2&lt;&gt;0,TblTech[[#This Row],[Hour]:[Hour]]&gt;=BJ$2),1,0)</f>
        <v>0</v>
      </c>
      <c r="BK77" s="329" t="n">
        <f aca="false" t="array" ref="BK77:BK77">IF(AND(BK$2&lt;&gt;0,TblTech[[#This Row],[Hour]:[Hour]]&gt;=BK$2),1,0)</f>
        <v>0</v>
      </c>
      <c r="BL77" s="329" t="n">
        <f aca="false" t="array" ref="BL77:BL77">IF(AND(BL$2&lt;&gt;0,TblTech[[#This Row],[Hour]:[Hour]]&gt;=BL$2),1,0)</f>
        <v>0</v>
      </c>
      <c r="BM77" s="329" t="n">
        <f aca="false" t="array" ref="BM77:BM77">IF(AND(BM$2&lt;&gt;0,TblTech[[#This Row],[Hour]:[Hour]]&gt;=BM$2),1,0)</f>
        <v>0</v>
      </c>
      <c r="BN77" s="329" t="n">
        <f aca="false" t="array" ref="BN77:BN77">IF(AND(BN$2&lt;&gt;0,TblTech[[#This Row],[Hour]:[Hour]]&gt;=BN$2),1,0)</f>
        <v>0</v>
      </c>
      <c r="BO77" s="329" t="n">
        <f aca="false" t="array" ref="BO77:BO77">IF(AND(BO$2&lt;&gt;0,TblTech[[#This Row],[Hour]:[Hour]]&gt;=BO$2),1,0)</f>
        <v>0</v>
      </c>
      <c r="BP77" s="329" t="n">
        <f aca="false" t="array" ref="BP77:BP77">IF(AND(BP$2&lt;&gt;0,TblTech[[#This Row],[Hour]:[Hour]]&gt;=BP$2),1,0)</f>
        <v>0</v>
      </c>
      <c r="BQ77" s="329" t="n">
        <f aca="false" t="array" ref="BQ77:BQ77">IF(AND(BQ$2&lt;&gt;0,TblTech[[#This Row],[Hour]:[Hour]]&gt;=BQ$2),1,0)</f>
        <v>0</v>
      </c>
      <c r="BR77" s="329" t="n">
        <f aca="false" t="array" ref="BR77:BR77">IF(AND(BR$2&lt;&gt;0,TblTech[[#This Row],[Hour]:[Hour]]&gt;=BR$2),1,0)</f>
        <v>0</v>
      </c>
      <c r="BS77" s="329" t="n">
        <f aca="false" t="array" ref="BS77:BS77">IF(AND(BS$2&lt;&gt;0,TblTech[[#This Row],[Hour]:[Hour]]&gt;=BS$2),1,0)</f>
        <v>0</v>
      </c>
      <c r="BT77" s="329" t="n">
        <f aca="false" t="array" ref="BT77:BT77">IF(AND(BT$2&lt;&gt;0,TblTech[[#This Row],[Hour]:[Hour]]&gt;=BT$2),1,0)</f>
        <v>0</v>
      </c>
      <c r="BU77" s="329" t="n">
        <f aca="false" t="array" ref="BU77:BU77">IF(AND(BU$2&lt;&gt;0,TblTech[[#This Row],[Hour]:[Hour]]&gt;=BU$2),1,0)</f>
        <v>0</v>
      </c>
      <c r="BV77" s="329" t="n">
        <f aca="false" t="array" ref="BV77:BV77">IF(AND(BV$2&lt;&gt;0,TblTech[[#This Row],[Hour]:[Hour]]&gt;=BV$2),1,0)</f>
        <v>0</v>
      </c>
      <c r="BW77" s="329" t="n">
        <f aca="false" t="array" ref="BW77:BW77">IF(AND(BW$2&lt;&gt;0,TblTech[[#This Row],[Hour]:[Hour]]&gt;=BW$2),1,0)</f>
        <v>0</v>
      </c>
      <c r="BX77" s="329" t="n">
        <f aca="false" t="array" ref="BX77:BX77">IF(AND(BX$2&lt;&gt;0,TblTech[[#This Row],[Hour]:[Hour]]&gt;=BX$2),1,0)</f>
        <v>0</v>
      </c>
      <c r="BY77" s="329" t="n">
        <f aca="false" t="array" ref="BY77:BY77">IF(AND(BY$2&lt;&gt;0,TblTech[[#This Row],[Hour]:[Hour]]&gt;=BY$2),1,0)</f>
        <v>0</v>
      </c>
      <c r="BZ77" s="329" t="n">
        <f aca="false" t="array" ref="BZ77:BZ77">IF(AND(BZ$2&lt;&gt;0,TblTech[[#This Row],[Hour]:[Hour]]&gt;=BZ$2),1,0)</f>
        <v>0</v>
      </c>
      <c r="CA77" s="330" t="n">
        <f aca="false">IFERROR(INDEX($H$4:$H$79,MATCH(INDEX(TblTech[[#Headers],[1-1]:[11-1]],1,MATCH(TblTech[[#This Row],[Hour]],$M$2:$BZ$2,0)),$G$4:$G$79,0)),)</f>
        <v>0</v>
      </c>
    </row>
    <row r="78" customFormat="false" ht="12.75" hidden="false" customHeight="false" outlineLevel="0" collapsed="false">
      <c r="A78" s="321" t="n">
        <f aca="false">TblRezone[[#This Row],[Hour]]</f>
        <v>75</v>
      </c>
      <c r="B78" s="322" t="n">
        <f aca="false">TblExplore[[#This Row],[Land-DB]]</f>
        <v>700</v>
      </c>
      <c r="C78" s="323" t="n">
        <f aca="false">TblProd[[#This Row],[Techpoints]]</f>
        <v>1050</v>
      </c>
      <c r="D78" s="323" t="n">
        <f aca="false">TblProd[[#This Row],[Required]]</f>
        <v>3750</v>
      </c>
      <c r="E78" s="324"/>
      <c r="F78" s="325"/>
      <c r="G78" s="326"/>
      <c r="H78" s="327"/>
      <c r="I78" s="326"/>
      <c r="J78" s="322"/>
      <c r="K78" s="68" t="n">
        <f aca="false">IF(TblTech[[#This Row],[Sum of tech]]&lt;&gt;OFFSET(TblTech[[#This Row],[Sum of tech]],-1,0),1,0)</f>
        <v>0</v>
      </c>
      <c r="L78" s="328" t="n">
        <f aca="false">COUNTIF(TblTech[[#This Row],[1-1]:[11-1]],1)</f>
        <v>0</v>
      </c>
      <c r="M78" s="329" t="n">
        <f aca="false" t="array" ref="M78:M78">IF(AND(M$2&lt;&gt;0,TblTech[[#This Row],[Hour]:[Hour]]&gt;=M$2),1,0)</f>
        <v>0</v>
      </c>
      <c r="N78" s="329" t="n">
        <f aca="false" t="array" ref="N78:N78">IF(AND(N$2&lt;&gt;0,TblTech[[#This Row],[Hour]:[Hour]]&gt;=N$2),1,0)</f>
        <v>0</v>
      </c>
      <c r="O78" s="329" t="n">
        <f aca="false" t="array" ref="O78:O78">IF(AND(O$2&lt;&gt;0,TblTech[[#This Row],[Hour]:[Hour]]&gt;=O$2),1,0)</f>
        <v>0</v>
      </c>
      <c r="P78" s="329" t="n">
        <f aca="false" t="array" ref="P78:P78">IF(AND(P$2&lt;&gt;0,TblTech[[#This Row],[Hour]:[Hour]]&gt;=P$2),1,0)</f>
        <v>0</v>
      </c>
      <c r="Q78" s="329" t="n">
        <f aca="false" t="array" ref="Q78:Q78">IF(AND(Q$2&lt;&gt;0,TblTech[[#This Row],[Hour]:[Hour]]&gt;=Q$2),1,0)</f>
        <v>0</v>
      </c>
      <c r="R78" s="329" t="n">
        <f aca="false" t="array" ref="R78:R78">IF(AND(R$2&lt;&gt;0,TblTech[[#This Row],[Hour]:[Hour]]&gt;=R$2),1,0)</f>
        <v>0</v>
      </c>
      <c r="S78" s="329" t="n">
        <f aca="false" t="array" ref="S78:S78">IF(AND(S$2&lt;&gt;0,TblTech[[#This Row],[Hour]:[Hour]]&gt;=S$2),1,0)</f>
        <v>0</v>
      </c>
      <c r="T78" s="329" t="n">
        <f aca="false" t="array" ref="T78:T78">IF(AND(T$2&lt;&gt;0,TblTech[[#This Row],[Hour]:[Hour]]&gt;=T$2),1,0)</f>
        <v>0</v>
      </c>
      <c r="U78" s="329" t="n">
        <f aca="false" t="array" ref="U78:U78">IF(AND(U$2&lt;&gt;0,TblTech[[#This Row],[Hour]:[Hour]]&gt;=U$2),1,0)</f>
        <v>0</v>
      </c>
      <c r="V78" s="329" t="n">
        <f aca="false" t="array" ref="V78:V78">IF(AND(V$2&lt;&gt;0,TblTech[[#This Row],[Hour]:[Hour]]&gt;=V$2),1,0)</f>
        <v>0</v>
      </c>
      <c r="W78" s="329" t="n">
        <f aca="false" t="array" ref="W78:W78">IF(AND(W$2&lt;&gt;0,TblTech[[#This Row],[Hour]:[Hour]]&gt;=W$2),1,0)</f>
        <v>0</v>
      </c>
      <c r="X78" s="329" t="n">
        <f aca="false" t="array" ref="X78:X78">IF(AND(X$2&lt;&gt;0,TblTech[[#This Row],[Hour]:[Hour]]&gt;=X$2),1,0)</f>
        <v>0</v>
      </c>
      <c r="Y78" s="329" t="n">
        <f aca="false" t="array" ref="Y78:Y78">IF(AND(Y$2&lt;&gt;0,TblTech[[#This Row],[Hour]:[Hour]]&gt;=Y$2),1,0)</f>
        <v>0</v>
      </c>
      <c r="Z78" s="329" t="n">
        <f aca="false" t="array" ref="Z78:Z78">IF(AND(Z$2&lt;&gt;0,TblTech[[#This Row],[Hour]:[Hour]]&gt;=Z$2),1,0)</f>
        <v>0</v>
      </c>
      <c r="AA78" s="329" t="n">
        <f aca="false" t="array" ref="AA78:AA78">IF(AND(AA$2&lt;&gt;0,TblTech[[#This Row],[Hour]:[Hour]]&gt;=AA$2),1,0)</f>
        <v>0</v>
      </c>
      <c r="AB78" s="329" t="n">
        <f aca="false" t="array" ref="AB78:AB78">IF(AND(AB$2&lt;&gt;0,TblTech[[#This Row],[Hour]:[Hour]]&gt;=AB$2),1,0)</f>
        <v>0</v>
      </c>
      <c r="AC78" s="329" t="n">
        <f aca="false" t="array" ref="AC78:AC78">IF(AND(AC$2&lt;&gt;0,TblTech[[#This Row],[Hour]:[Hour]]&gt;=AC$2),1,0)</f>
        <v>0</v>
      </c>
      <c r="AD78" s="329" t="n">
        <f aca="false" t="array" ref="AD78:AD78">IF(AND(AD$2&lt;&gt;0,TblTech[[#This Row],[Hour]:[Hour]]&gt;=AD$2),1,0)</f>
        <v>0</v>
      </c>
      <c r="AE78" s="329" t="n">
        <f aca="false" t="array" ref="AE78:AE78">IF(AND(AE$2&lt;&gt;0,TblTech[[#This Row],[Hour]:[Hour]]&gt;=AE$2),1,0)</f>
        <v>0</v>
      </c>
      <c r="AF78" s="329" t="n">
        <f aca="false" t="array" ref="AF78:AF78">IF(AND(AF$2&lt;&gt;0,TblTech[[#This Row],[Hour]:[Hour]]&gt;=AF$2),1,0)</f>
        <v>0</v>
      </c>
      <c r="AG78" s="329" t="n">
        <f aca="false" t="array" ref="AG78:AG78">IF(AND(AG$2&lt;&gt;0,TblTech[[#This Row],[Hour]:[Hour]]&gt;=AG$2),1,0)</f>
        <v>0</v>
      </c>
      <c r="AH78" s="329" t="n">
        <f aca="false" t="array" ref="AH78:AH78">IF(AND(AH$2&lt;&gt;0,TblTech[[#This Row],[Hour]:[Hour]]&gt;=AH$2),1,0)</f>
        <v>0</v>
      </c>
      <c r="AI78" s="329" t="n">
        <f aca="false" t="array" ref="AI78:AI78">IF(AND(AI$2&lt;&gt;0,TblTech[[#This Row],[Hour]:[Hour]]&gt;=AI$2),1,0)</f>
        <v>0</v>
      </c>
      <c r="AJ78" s="329" t="n">
        <f aca="false" t="array" ref="AJ78:AJ78">IF(AND(AJ$2&lt;&gt;0,TblTech[[#This Row],[Hour]:[Hour]]&gt;=AJ$2),1,0)</f>
        <v>0</v>
      </c>
      <c r="AK78" s="329" t="n">
        <f aca="false" t="array" ref="AK78:AK78">IF(AND(AK$2&lt;&gt;0,TblTech[[#This Row],[Hour]:[Hour]]&gt;=AK$2),1,0)</f>
        <v>0</v>
      </c>
      <c r="AL78" s="329" t="n">
        <f aca="false" t="array" ref="AL78:AL78">IF(AND(AL$2&lt;&gt;0,TblTech[[#This Row],[Hour]:[Hour]]&gt;=AL$2),1,0)</f>
        <v>0</v>
      </c>
      <c r="AM78" s="329" t="n">
        <f aca="false" t="array" ref="AM78:AM78">IF(AND(AM$2&lt;&gt;0,TblTech[[#This Row],[Hour]:[Hour]]&gt;=AM$2),1,0)</f>
        <v>0</v>
      </c>
      <c r="AN78" s="329" t="n">
        <f aca="false" t="array" ref="AN78:AN78">IF(AND(AN$2&lt;&gt;0,TblTech[[#This Row],[Hour]:[Hour]]&gt;=AN$2),1,0)</f>
        <v>0</v>
      </c>
      <c r="AO78" s="329" t="n">
        <f aca="false" t="array" ref="AO78:AO78">IF(AND(AO$2&lt;&gt;0,TblTech[[#This Row],[Hour]:[Hour]]&gt;=AO$2),1,0)</f>
        <v>0</v>
      </c>
      <c r="AP78" s="329" t="n">
        <f aca="false" t="array" ref="AP78:AP78">IF(AND(AP$2&lt;&gt;0,TblTech[[#This Row],[Hour]:[Hour]]&gt;=AP$2),1,0)</f>
        <v>0</v>
      </c>
      <c r="AQ78" s="329" t="n">
        <f aca="false" t="array" ref="AQ78:AQ78">IF(AND(AQ$2&lt;&gt;0,TblTech[[#This Row],[Hour]:[Hour]]&gt;=AQ$2),1,0)</f>
        <v>0</v>
      </c>
      <c r="AR78" s="329" t="n">
        <f aca="false" t="array" ref="AR78:AR78">IF(AND(AR$2&lt;&gt;0,TblTech[[#This Row],[Hour]:[Hour]]&gt;=AR$2),1,0)</f>
        <v>0</v>
      </c>
      <c r="AS78" s="329" t="n">
        <f aca="false" t="array" ref="AS78:AS78">IF(AND(AS$2&lt;&gt;0,TblTech[[#This Row],[Hour]:[Hour]]&gt;=AS$2),1,0)</f>
        <v>0</v>
      </c>
      <c r="AT78" s="329" t="n">
        <f aca="false" t="array" ref="AT78:AT78">IF(AND(AT$2&lt;&gt;0,TblTech[[#This Row],[Hour]:[Hour]]&gt;=AT$2),1,0)</f>
        <v>0</v>
      </c>
      <c r="AU78" s="329" t="n">
        <f aca="false" t="array" ref="AU78:AU78">IF(AND(AU$2&lt;&gt;0,TblTech[[#This Row],[Hour]:[Hour]]&gt;=AU$2),1,0)</f>
        <v>0</v>
      </c>
      <c r="AV78" s="329" t="n">
        <f aca="false" t="array" ref="AV78:AV78">IF(AND(AV$2&lt;&gt;0,TblTech[[#This Row],[Hour]:[Hour]]&gt;=AV$2),1,0)</f>
        <v>0</v>
      </c>
      <c r="AW78" s="329" t="n">
        <f aca="false" t="array" ref="AW78:AW78">IF(AND(AW$2&lt;&gt;0,TblTech[[#This Row],[Hour]:[Hour]]&gt;=AW$2),1,0)</f>
        <v>0</v>
      </c>
      <c r="AX78" s="329" t="n">
        <f aca="false" t="array" ref="AX78:AX78">IF(AND(AX$2&lt;&gt;0,TblTech[[#This Row],[Hour]:[Hour]]&gt;=AX$2),1,0)</f>
        <v>0</v>
      </c>
      <c r="AY78" s="329" t="n">
        <f aca="false" t="array" ref="AY78:AY78">IF(AND(AY$2&lt;&gt;0,TblTech[[#This Row],[Hour]:[Hour]]&gt;=AY$2),1,0)</f>
        <v>0</v>
      </c>
      <c r="AZ78" s="329" t="n">
        <f aca="false" t="array" ref="AZ78:AZ78">IF(AND(AZ$2&lt;&gt;0,TblTech[[#This Row],[Hour]:[Hour]]&gt;=AZ$2),1,0)</f>
        <v>0</v>
      </c>
      <c r="BA78" s="329" t="n">
        <f aca="false" t="array" ref="BA78:BA78">IF(AND(BA$2&lt;&gt;0,TblTech[[#This Row],[Hour]:[Hour]]&gt;=BA$2),1,0)</f>
        <v>0</v>
      </c>
      <c r="BB78" s="329" t="n">
        <f aca="false" t="array" ref="BB78:BB78">IF(AND(BB$2&lt;&gt;0,TblTech[[#This Row],[Hour]:[Hour]]&gt;=BB$2),1,0)</f>
        <v>0</v>
      </c>
      <c r="BC78" s="329" t="n">
        <f aca="false" t="array" ref="BC78:BC78">IF(AND(BC$2&lt;&gt;0,TblTech[[#This Row],[Hour]:[Hour]]&gt;=BC$2),1,0)</f>
        <v>0</v>
      </c>
      <c r="BD78" s="329" t="n">
        <f aca="false" t="array" ref="BD78:BD78">IF(AND(BD$2&lt;&gt;0,TblTech[[#This Row],[Hour]:[Hour]]&gt;=BD$2),1,0)</f>
        <v>0</v>
      </c>
      <c r="BE78" s="329" t="n">
        <f aca="false" t="array" ref="BE78:BE78">IF(AND(BE$2&lt;&gt;0,TblTech[[#This Row],[Hour]:[Hour]]&gt;=BE$2),1,0)</f>
        <v>0</v>
      </c>
      <c r="BF78" s="329" t="n">
        <f aca="false" t="array" ref="BF78:BF78">IF(AND(BF$2&lt;&gt;0,TblTech[[#This Row],[Hour]:[Hour]]&gt;=BF$2),1,0)</f>
        <v>0</v>
      </c>
      <c r="BG78" s="329" t="n">
        <f aca="false" t="array" ref="BG78:BG78">IF(AND(BG$2&lt;&gt;0,TblTech[[#This Row],[Hour]:[Hour]]&gt;=BG$2),1,0)</f>
        <v>0</v>
      </c>
      <c r="BH78" s="329" t="n">
        <f aca="false" t="array" ref="BH78:BH78">IF(AND(BH$2&lt;&gt;0,TblTech[[#This Row],[Hour]:[Hour]]&gt;=BH$2),1,0)</f>
        <v>0</v>
      </c>
      <c r="BI78" s="329" t="n">
        <f aca="false" t="array" ref="BI78:BI78">IF(AND(BI$2&lt;&gt;0,TblTech[[#This Row],[Hour]:[Hour]]&gt;=BI$2),1,0)</f>
        <v>0</v>
      </c>
      <c r="BJ78" s="329" t="n">
        <f aca="false" t="array" ref="BJ78:BJ78">IF(AND(BJ$2&lt;&gt;0,TblTech[[#This Row],[Hour]:[Hour]]&gt;=BJ$2),1,0)</f>
        <v>0</v>
      </c>
      <c r="BK78" s="329" t="n">
        <f aca="false" t="array" ref="BK78:BK78">IF(AND(BK$2&lt;&gt;0,TblTech[[#This Row],[Hour]:[Hour]]&gt;=BK$2),1,0)</f>
        <v>0</v>
      </c>
      <c r="BL78" s="329" t="n">
        <f aca="false" t="array" ref="BL78:BL78">IF(AND(BL$2&lt;&gt;0,TblTech[[#This Row],[Hour]:[Hour]]&gt;=BL$2),1,0)</f>
        <v>0</v>
      </c>
      <c r="BM78" s="329" t="n">
        <f aca="false" t="array" ref="BM78:BM78">IF(AND(BM$2&lt;&gt;0,TblTech[[#This Row],[Hour]:[Hour]]&gt;=BM$2),1,0)</f>
        <v>0</v>
      </c>
      <c r="BN78" s="329" t="n">
        <f aca="false" t="array" ref="BN78:BN78">IF(AND(BN$2&lt;&gt;0,TblTech[[#This Row],[Hour]:[Hour]]&gt;=BN$2),1,0)</f>
        <v>0</v>
      </c>
      <c r="BO78" s="329" t="n">
        <f aca="false" t="array" ref="BO78:BO78">IF(AND(BO$2&lt;&gt;0,TblTech[[#This Row],[Hour]:[Hour]]&gt;=BO$2),1,0)</f>
        <v>0</v>
      </c>
      <c r="BP78" s="329" t="n">
        <f aca="false" t="array" ref="BP78:BP78">IF(AND(BP$2&lt;&gt;0,TblTech[[#This Row],[Hour]:[Hour]]&gt;=BP$2),1,0)</f>
        <v>0</v>
      </c>
      <c r="BQ78" s="329" t="n">
        <f aca="false" t="array" ref="BQ78:BQ78">IF(AND(BQ$2&lt;&gt;0,TblTech[[#This Row],[Hour]:[Hour]]&gt;=BQ$2),1,0)</f>
        <v>0</v>
      </c>
      <c r="BR78" s="329" t="n">
        <f aca="false" t="array" ref="BR78:BR78">IF(AND(BR$2&lt;&gt;0,TblTech[[#This Row],[Hour]:[Hour]]&gt;=BR$2),1,0)</f>
        <v>0</v>
      </c>
      <c r="BS78" s="329" t="n">
        <f aca="false" t="array" ref="BS78:BS78">IF(AND(BS$2&lt;&gt;0,TblTech[[#This Row],[Hour]:[Hour]]&gt;=BS$2),1,0)</f>
        <v>0</v>
      </c>
      <c r="BT78" s="329" t="n">
        <f aca="false" t="array" ref="BT78:BT78">IF(AND(BT$2&lt;&gt;0,TblTech[[#This Row],[Hour]:[Hour]]&gt;=BT$2),1,0)</f>
        <v>0</v>
      </c>
      <c r="BU78" s="329" t="n">
        <f aca="false" t="array" ref="BU78:BU78">IF(AND(BU$2&lt;&gt;0,TblTech[[#This Row],[Hour]:[Hour]]&gt;=BU$2),1,0)</f>
        <v>0</v>
      </c>
      <c r="BV78" s="329" t="n">
        <f aca="false" t="array" ref="BV78:BV78">IF(AND(BV$2&lt;&gt;0,TblTech[[#This Row],[Hour]:[Hour]]&gt;=BV$2),1,0)</f>
        <v>0</v>
      </c>
      <c r="BW78" s="329" t="n">
        <f aca="false" t="array" ref="BW78:BW78">IF(AND(BW$2&lt;&gt;0,TblTech[[#This Row],[Hour]:[Hour]]&gt;=BW$2),1,0)</f>
        <v>0</v>
      </c>
      <c r="BX78" s="329" t="n">
        <f aca="false" t="array" ref="BX78:BX78">IF(AND(BX$2&lt;&gt;0,TblTech[[#This Row],[Hour]:[Hour]]&gt;=BX$2),1,0)</f>
        <v>0</v>
      </c>
      <c r="BY78" s="329" t="n">
        <f aca="false" t="array" ref="BY78:BY78">IF(AND(BY$2&lt;&gt;0,TblTech[[#This Row],[Hour]:[Hour]]&gt;=BY$2),1,0)</f>
        <v>0</v>
      </c>
      <c r="BZ78" s="329" t="n">
        <f aca="false" t="array" ref="BZ78:BZ78">IF(AND(BZ$2&lt;&gt;0,TblTech[[#This Row],[Hour]:[Hour]]&gt;=BZ$2),1,0)</f>
        <v>0</v>
      </c>
      <c r="CA78" s="330" t="n">
        <f aca="false">IFERROR(INDEX($H$4:$H$79,MATCH(INDEX(TblTech[[#Headers],[1-1]:[11-1]],1,MATCH(TblTech[[#This Row],[Hour]],$M$2:$BZ$2,0)),$G$4:$G$79,0)),)</f>
        <v>0</v>
      </c>
    </row>
    <row r="79" customFormat="false" ht="12.75" hidden="false" customHeight="false" outlineLevel="0" collapsed="false">
      <c r="A79" s="321" t="n">
        <f aca="false">TblRezone[[#This Row],[Hour]]</f>
        <v>76</v>
      </c>
      <c r="B79" s="322" t="n">
        <f aca="false">TblExplore[[#This Row],[Land-DB]]</f>
        <v>700</v>
      </c>
      <c r="C79" s="323" t="n">
        <f aca="false">TblProd[[#This Row],[Techpoints]]</f>
        <v>1050</v>
      </c>
      <c r="D79" s="323" t="n">
        <f aca="false">TblProd[[#This Row],[Required]]</f>
        <v>3750</v>
      </c>
      <c r="E79" s="324"/>
      <c r="F79" s="325"/>
      <c r="G79" s="326" t="s">
        <v>589</v>
      </c>
      <c r="H79" s="327" t="s">
        <v>717</v>
      </c>
      <c r="I79" s="326" t="s">
        <v>718</v>
      </c>
      <c r="J79" s="322"/>
      <c r="K79" s="68" t="n">
        <f aca="false">IF(TblTech[[#This Row],[Sum of tech]]&lt;&gt;OFFSET(TblTech[[#This Row],[Sum of tech]],-1,0),1,0)</f>
        <v>0</v>
      </c>
      <c r="L79" s="328" t="n">
        <f aca="false">COUNTIF(TblTech[[#This Row],[1-1]:[11-1]],1)</f>
        <v>0</v>
      </c>
      <c r="M79" s="329" t="n">
        <f aca="false" t="array" ref="M79:M79">IF(AND(M$2&lt;&gt;0,TblTech[[#This Row],[Hour]:[Hour]]&gt;=M$2),1,0)</f>
        <v>0</v>
      </c>
      <c r="N79" s="329" t="n">
        <f aca="false" t="array" ref="N79:N79">IF(AND(N$2&lt;&gt;0,TblTech[[#This Row],[Hour]:[Hour]]&gt;=N$2),1,0)</f>
        <v>0</v>
      </c>
      <c r="O79" s="329" t="n">
        <f aca="false" t="array" ref="O79:O79">IF(AND(O$2&lt;&gt;0,TblTech[[#This Row],[Hour]:[Hour]]&gt;=O$2),1,0)</f>
        <v>0</v>
      </c>
      <c r="P79" s="329" t="n">
        <f aca="false" t="array" ref="P79:P79">IF(AND(P$2&lt;&gt;0,TblTech[[#This Row],[Hour]:[Hour]]&gt;=P$2),1,0)</f>
        <v>0</v>
      </c>
      <c r="Q79" s="329" t="n">
        <f aca="false" t="array" ref="Q79:Q79">IF(AND(Q$2&lt;&gt;0,TblTech[[#This Row],[Hour]:[Hour]]&gt;=Q$2),1,0)</f>
        <v>0</v>
      </c>
      <c r="R79" s="329" t="n">
        <f aca="false" t="array" ref="R79:R79">IF(AND(R$2&lt;&gt;0,TblTech[[#This Row],[Hour]:[Hour]]&gt;=R$2),1,0)</f>
        <v>0</v>
      </c>
      <c r="S79" s="329" t="n">
        <f aca="false" t="array" ref="S79:S79">IF(AND(S$2&lt;&gt;0,TblTech[[#This Row],[Hour]:[Hour]]&gt;=S$2),1,0)</f>
        <v>0</v>
      </c>
      <c r="T79" s="329" t="n">
        <f aca="false" t="array" ref="T79:T79">IF(AND(T$2&lt;&gt;0,TblTech[[#This Row],[Hour]:[Hour]]&gt;=T$2),1,0)</f>
        <v>0</v>
      </c>
      <c r="U79" s="329" t="n">
        <f aca="false" t="array" ref="U79:U79">IF(AND(U$2&lt;&gt;0,TblTech[[#This Row],[Hour]:[Hour]]&gt;=U$2),1,0)</f>
        <v>0</v>
      </c>
      <c r="V79" s="329" t="n">
        <f aca="false" t="array" ref="V79:V79">IF(AND(V$2&lt;&gt;0,TblTech[[#This Row],[Hour]:[Hour]]&gt;=V$2),1,0)</f>
        <v>0</v>
      </c>
      <c r="W79" s="329" t="n">
        <f aca="false" t="array" ref="W79:W79">IF(AND(W$2&lt;&gt;0,TblTech[[#This Row],[Hour]:[Hour]]&gt;=W$2),1,0)</f>
        <v>0</v>
      </c>
      <c r="X79" s="329" t="n">
        <f aca="false" t="array" ref="X79:X79">IF(AND(X$2&lt;&gt;0,TblTech[[#This Row],[Hour]:[Hour]]&gt;=X$2),1,0)</f>
        <v>0</v>
      </c>
      <c r="Y79" s="329" t="n">
        <f aca="false" t="array" ref="Y79:Y79">IF(AND(Y$2&lt;&gt;0,TblTech[[#This Row],[Hour]:[Hour]]&gt;=Y$2),1,0)</f>
        <v>0</v>
      </c>
      <c r="Z79" s="329" t="n">
        <f aca="false" t="array" ref="Z79:Z79">IF(AND(Z$2&lt;&gt;0,TblTech[[#This Row],[Hour]:[Hour]]&gt;=Z$2),1,0)</f>
        <v>0</v>
      </c>
      <c r="AA79" s="329" t="n">
        <f aca="false" t="array" ref="AA79:AA79">IF(AND(AA$2&lt;&gt;0,TblTech[[#This Row],[Hour]:[Hour]]&gt;=AA$2),1,0)</f>
        <v>0</v>
      </c>
      <c r="AB79" s="329" t="n">
        <f aca="false" t="array" ref="AB79:AB79">IF(AND(AB$2&lt;&gt;0,TblTech[[#This Row],[Hour]:[Hour]]&gt;=AB$2),1,0)</f>
        <v>0</v>
      </c>
      <c r="AC79" s="329" t="n">
        <f aca="false" t="array" ref="AC79:AC79">IF(AND(AC$2&lt;&gt;0,TblTech[[#This Row],[Hour]:[Hour]]&gt;=AC$2),1,0)</f>
        <v>0</v>
      </c>
      <c r="AD79" s="329" t="n">
        <f aca="false" t="array" ref="AD79:AD79">IF(AND(AD$2&lt;&gt;0,TblTech[[#This Row],[Hour]:[Hour]]&gt;=AD$2),1,0)</f>
        <v>0</v>
      </c>
      <c r="AE79" s="329" t="n">
        <f aca="false" t="array" ref="AE79:AE79">IF(AND(AE$2&lt;&gt;0,TblTech[[#This Row],[Hour]:[Hour]]&gt;=AE$2),1,0)</f>
        <v>0</v>
      </c>
      <c r="AF79" s="329" t="n">
        <f aca="false" t="array" ref="AF79:AF79">IF(AND(AF$2&lt;&gt;0,TblTech[[#This Row],[Hour]:[Hour]]&gt;=AF$2),1,0)</f>
        <v>0</v>
      </c>
      <c r="AG79" s="329" t="n">
        <f aca="false" t="array" ref="AG79:AG79">IF(AND(AG$2&lt;&gt;0,TblTech[[#This Row],[Hour]:[Hour]]&gt;=AG$2),1,0)</f>
        <v>0</v>
      </c>
      <c r="AH79" s="329" t="n">
        <f aca="false" t="array" ref="AH79:AH79">IF(AND(AH$2&lt;&gt;0,TblTech[[#This Row],[Hour]:[Hour]]&gt;=AH$2),1,0)</f>
        <v>0</v>
      </c>
      <c r="AI79" s="329" t="n">
        <f aca="false" t="array" ref="AI79:AI79">IF(AND(AI$2&lt;&gt;0,TblTech[[#This Row],[Hour]:[Hour]]&gt;=AI$2),1,0)</f>
        <v>0</v>
      </c>
      <c r="AJ79" s="329" t="n">
        <f aca="false" t="array" ref="AJ79:AJ79">IF(AND(AJ$2&lt;&gt;0,TblTech[[#This Row],[Hour]:[Hour]]&gt;=AJ$2),1,0)</f>
        <v>0</v>
      </c>
      <c r="AK79" s="329" t="n">
        <f aca="false" t="array" ref="AK79:AK79">IF(AND(AK$2&lt;&gt;0,TblTech[[#This Row],[Hour]:[Hour]]&gt;=AK$2),1,0)</f>
        <v>0</v>
      </c>
      <c r="AL79" s="329" t="n">
        <f aca="false" t="array" ref="AL79:AL79">IF(AND(AL$2&lt;&gt;0,TblTech[[#This Row],[Hour]:[Hour]]&gt;=AL$2),1,0)</f>
        <v>0</v>
      </c>
      <c r="AM79" s="329" t="n">
        <f aca="false" t="array" ref="AM79:AM79">IF(AND(AM$2&lt;&gt;0,TblTech[[#This Row],[Hour]:[Hour]]&gt;=AM$2),1,0)</f>
        <v>0</v>
      </c>
      <c r="AN79" s="329" t="n">
        <f aca="false" t="array" ref="AN79:AN79">IF(AND(AN$2&lt;&gt;0,TblTech[[#This Row],[Hour]:[Hour]]&gt;=AN$2),1,0)</f>
        <v>0</v>
      </c>
      <c r="AO79" s="329" t="n">
        <f aca="false" t="array" ref="AO79:AO79">IF(AND(AO$2&lt;&gt;0,TblTech[[#This Row],[Hour]:[Hour]]&gt;=AO$2),1,0)</f>
        <v>0</v>
      </c>
      <c r="AP79" s="329" t="n">
        <f aca="false" t="array" ref="AP79:AP79">IF(AND(AP$2&lt;&gt;0,TblTech[[#This Row],[Hour]:[Hour]]&gt;=AP$2),1,0)</f>
        <v>0</v>
      </c>
      <c r="AQ79" s="329" t="n">
        <f aca="false" t="array" ref="AQ79:AQ79">IF(AND(AQ$2&lt;&gt;0,TblTech[[#This Row],[Hour]:[Hour]]&gt;=AQ$2),1,0)</f>
        <v>0</v>
      </c>
      <c r="AR79" s="329" t="n">
        <f aca="false" t="array" ref="AR79:AR79">IF(AND(AR$2&lt;&gt;0,TblTech[[#This Row],[Hour]:[Hour]]&gt;=AR$2),1,0)</f>
        <v>0</v>
      </c>
      <c r="AS79" s="329" t="n">
        <f aca="false" t="array" ref="AS79:AS79">IF(AND(AS$2&lt;&gt;0,TblTech[[#This Row],[Hour]:[Hour]]&gt;=AS$2),1,0)</f>
        <v>0</v>
      </c>
      <c r="AT79" s="329" t="n">
        <f aca="false" t="array" ref="AT79:AT79">IF(AND(AT$2&lt;&gt;0,TblTech[[#This Row],[Hour]:[Hour]]&gt;=AT$2),1,0)</f>
        <v>0</v>
      </c>
      <c r="AU79" s="329" t="n">
        <f aca="false" t="array" ref="AU79:AU79">IF(AND(AU$2&lt;&gt;0,TblTech[[#This Row],[Hour]:[Hour]]&gt;=AU$2),1,0)</f>
        <v>0</v>
      </c>
      <c r="AV79" s="329" t="n">
        <f aca="false" t="array" ref="AV79:AV79">IF(AND(AV$2&lt;&gt;0,TblTech[[#This Row],[Hour]:[Hour]]&gt;=AV$2),1,0)</f>
        <v>0</v>
      </c>
      <c r="AW79" s="329" t="n">
        <f aca="false" t="array" ref="AW79:AW79">IF(AND(AW$2&lt;&gt;0,TblTech[[#This Row],[Hour]:[Hour]]&gt;=AW$2),1,0)</f>
        <v>0</v>
      </c>
      <c r="AX79" s="329" t="n">
        <f aca="false" t="array" ref="AX79:AX79">IF(AND(AX$2&lt;&gt;0,TblTech[[#This Row],[Hour]:[Hour]]&gt;=AX$2),1,0)</f>
        <v>0</v>
      </c>
      <c r="AY79" s="329" t="n">
        <f aca="false" t="array" ref="AY79:AY79">IF(AND(AY$2&lt;&gt;0,TblTech[[#This Row],[Hour]:[Hour]]&gt;=AY$2),1,0)</f>
        <v>0</v>
      </c>
      <c r="AZ79" s="329" t="n">
        <f aca="false" t="array" ref="AZ79:AZ79">IF(AND(AZ$2&lt;&gt;0,TblTech[[#This Row],[Hour]:[Hour]]&gt;=AZ$2),1,0)</f>
        <v>0</v>
      </c>
      <c r="BA79" s="329" t="n">
        <f aca="false" t="array" ref="BA79:BA79">IF(AND(BA$2&lt;&gt;0,TblTech[[#This Row],[Hour]:[Hour]]&gt;=BA$2),1,0)</f>
        <v>0</v>
      </c>
      <c r="BB79" s="329" t="n">
        <f aca="false" t="array" ref="BB79:BB79">IF(AND(BB$2&lt;&gt;0,TblTech[[#This Row],[Hour]:[Hour]]&gt;=BB$2),1,0)</f>
        <v>0</v>
      </c>
      <c r="BC79" s="329" t="n">
        <f aca="false" t="array" ref="BC79:BC79">IF(AND(BC$2&lt;&gt;0,TblTech[[#This Row],[Hour]:[Hour]]&gt;=BC$2),1,0)</f>
        <v>0</v>
      </c>
      <c r="BD79" s="329" t="n">
        <f aca="false" t="array" ref="BD79:BD79">IF(AND(BD$2&lt;&gt;0,TblTech[[#This Row],[Hour]:[Hour]]&gt;=BD$2),1,0)</f>
        <v>0</v>
      </c>
      <c r="BE79" s="329" t="n">
        <f aca="false" t="array" ref="BE79:BE79">IF(AND(BE$2&lt;&gt;0,TblTech[[#This Row],[Hour]:[Hour]]&gt;=BE$2),1,0)</f>
        <v>0</v>
      </c>
      <c r="BF79" s="329" t="n">
        <f aca="false" t="array" ref="BF79:BF79">IF(AND(BF$2&lt;&gt;0,TblTech[[#This Row],[Hour]:[Hour]]&gt;=BF$2),1,0)</f>
        <v>0</v>
      </c>
      <c r="BG79" s="329" t="n">
        <f aca="false" t="array" ref="BG79:BG79">IF(AND(BG$2&lt;&gt;0,TblTech[[#This Row],[Hour]:[Hour]]&gt;=BG$2),1,0)</f>
        <v>0</v>
      </c>
      <c r="BH79" s="329" t="n">
        <f aca="false" t="array" ref="BH79:BH79">IF(AND(BH$2&lt;&gt;0,TblTech[[#This Row],[Hour]:[Hour]]&gt;=BH$2),1,0)</f>
        <v>0</v>
      </c>
      <c r="BI79" s="329" t="n">
        <f aca="false" t="array" ref="BI79:BI79">IF(AND(BI$2&lt;&gt;0,TblTech[[#This Row],[Hour]:[Hour]]&gt;=BI$2),1,0)</f>
        <v>0</v>
      </c>
      <c r="BJ79" s="329" t="n">
        <f aca="false" t="array" ref="BJ79:BJ79">IF(AND(BJ$2&lt;&gt;0,TblTech[[#This Row],[Hour]:[Hour]]&gt;=BJ$2),1,0)</f>
        <v>0</v>
      </c>
      <c r="BK79" s="329" t="n">
        <f aca="false" t="array" ref="BK79:BK79">IF(AND(BK$2&lt;&gt;0,TblTech[[#This Row],[Hour]:[Hour]]&gt;=BK$2),1,0)</f>
        <v>0</v>
      </c>
      <c r="BL79" s="329" t="n">
        <f aca="false" t="array" ref="BL79:BL79">IF(AND(BL$2&lt;&gt;0,TblTech[[#This Row],[Hour]:[Hour]]&gt;=BL$2),1,0)</f>
        <v>0</v>
      </c>
      <c r="BM79" s="329" t="n">
        <f aca="false" t="array" ref="BM79:BM79">IF(AND(BM$2&lt;&gt;0,TblTech[[#This Row],[Hour]:[Hour]]&gt;=BM$2),1,0)</f>
        <v>0</v>
      </c>
      <c r="BN79" s="329" t="n">
        <f aca="false" t="array" ref="BN79:BN79">IF(AND(BN$2&lt;&gt;0,TblTech[[#This Row],[Hour]:[Hour]]&gt;=BN$2),1,0)</f>
        <v>0</v>
      </c>
      <c r="BO79" s="329" t="n">
        <f aca="false" t="array" ref="BO79:BO79">IF(AND(BO$2&lt;&gt;0,TblTech[[#This Row],[Hour]:[Hour]]&gt;=BO$2),1,0)</f>
        <v>0</v>
      </c>
      <c r="BP79" s="329" t="n">
        <f aca="false" t="array" ref="BP79:BP79">IF(AND(BP$2&lt;&gt;0,TblTech[[#This Row],[Hour]:[Hour]]&gt;=BP$2),1,0)</f>
        <v>0</v>
      </c>
      <c r="BQ79" s="329" t="n">
        <f aca="false" t="array" ref="BQ79:BQ79">IF(AND(BQ$2&lt;&gt;0,TblTech[[#This Row],[Hour]:[Hour]]&gt;=BQ$2),1,0)</f>
        <v>0</v>
      </c>
      <c r="BR79" s="329" t="n">
        <f aca="false" t="array" ref="BR79:BR79">IF(AND(BR$2&lt;&gt;0,TblTech[[#This Row],[Hour]:[Hour]]&gt;=BR$2),1,0)</f>
        <v>0</v>
      </c>
      <c r="BS79" s="329" t="n">
        <f aca="false" t="array" ref="BS79:BS79">IF(AND(BS$2&lt;&gt;0,TblTech[[#This Row],[Hour]:[Hour]]&gt;=BS$2),1,0)</f>
        <v>0</v>
      </c>
      <c r="BT79" s="329" t="n">
        <f aca="false" t="array" ref="BT79:BT79">IF(AND(BT$2&lt;&gt;0,TblTech[[#This Row],[Hour]:[Hour]]&gt;=BT$2),1,0)</f>
        <v>0</v>
      </c>
      <c r="BU79" s="329" t="n">
        <f aca="false" t="array" ref="BU79:BU79">IF(AND(BU$2&lt;&gt;0,TblTech[[#This Row],[Hour]:[Hour]]&gt;=BU$2),1,0)</f>
        <v>0</v>
      </c>
      <c r="BV79" s="329" t="n">
        <f aca="false" t="array" ref="BV79:BV79">IF(AND(BV$2&lt;&gt;0,TblTech[[#This Row],[Hour]:[Hour]]&gt;=BV$2),1,0)</f>
        <v>0</v>
      </c>
      <c r="BW79" s="329" t="n">
        <f aca="false" t="array" ref="BW79:BW79">IF(AND(BW$2&lt;&gt;0,TblTech[[#This Row],[Hour]:[Hour]]&gt;=BW$2),1,0)</f>
        <v>0</v>
      </c>
      <c r="BX79" s="329" t="n">
        <f aca="false" t="array" ref="BX79:BX79">IF(AND(BX$2&lt;&gt;0,TblTech[[#This Row],[Hour]:[Hour]]&gt;=BX$2),1,0)</f>
        <v>0</v>
      </c>
      <c r="BY79" s="329" t="n">
        <f aca="false" t="array" ref="BY79:BY79">IF(AND(BY$2&lt;&gt;0,TblTech[[#This Row],[Hour]:[Hour]]&gt;=BY$2),1,0)</f>
        <v>0</v>
      </c>
      <c r="BZ79" s="329" t="n">
        <f aca="false" t="array" ref="BZ79:BZ79">IF(AND(BZ$2&lt;&gt;0,TblTech[[#This Row],[Hour]:[Hour]]&gt;=BZ$2),1,0)</f>
        <v>0</v>
      </c>
      <c r="CA79" s="330" t="n">
        <f aca="false">IFERROR(INDEX($H$4:$H$79,MATCH(INDEX(TblTech[[#Headers],[1-1]:[11-1]],1,MATCH(TblTech[[#This Row],[Hour]],$M$2:$BZ$2,0)),$G$4:$G$79,0)),)</f>
        <v>0</v>
      </c>
    </row>
    <row r="80" customFormat="false" ht="12.75" hidden="false" customHeight="false" outlineLevel="0" collapsed="false">
      <c r="A80" s="321" t="n">
        <f aca="false">TblRezone[[#This Row],[Hour]]</f>
        <v>77</v>
      </c>
      <c r="B80" s="322" t="n">
        <f aca="false">TblExplore[[#This Row],[Land-DB]]</f>
        <v>700</v>
      </c>
      <c r="C80" s="323" t="n">
        <f aca="false">TblProd[[#This Row],[Techpoints]]</f>
        <v>1400</v>
      </c>
      <c r="D80" s="323" t="n">
        <f aca="false">TblProd[[#This Row],[Required]]</f>
        <v>3750</v>
      </c>
      <c r="E80" s="324"/>
      <c r="F80" s="331"/>
      <c r="G80" s="332"/>
      <c r="H80" s="322"/>
      <c r="I80" s="322"/>
      <c r="J80" s="322"/>
      <c r="K80" s="68" t="n">
        <f aca="false">IF(TblTech[[#This Row],[Sum of tech]]&lt;&gt;OFFSET(TblTech[[#This Row],[Sum of tech]],-1,0),1,0)</f>
        <v>0</v>
      </c>
      <c r="L80" s="328" t="n">
        <f aca="false">COUNTIF(TblTech[[#This Row],[1-1]:[11-1]],1)</f>
        <v>0</v>
      </c>
      <c r="M80" s="329" t="n">
        <f aca="false" t="array" ref="M80:M80">IF(AND(M$2&lt;&gt;0,TblTech[[#This Row],[Hour]:[Hour]]&gt;=M$2),1,0)</f>
        <v>0</v>
      </c>
      <c r="N80" s="329" t="n">
        <f aca="false" t="array" ref="N80:N80">IF(AND(N$2&lt;&gt;0,TblTech[[#This Row],[Hour]:[Hour]]&gt;=N$2),1,0)</f>
        <v>0</v>
      </c>
      <c r="O80" s="329" t="n">
        <f aca="false" t="array" ref="O80:O80">IF(AND(O$2&lt;&gt;0,TblTech[[#This Row],[Hour]:[Hour]]&gt;=O$2),1,0)</f>
        <v>0</v>
      </c>
      <c r="P80" s="329" t="n">
        <f aca="false" t="array" ref="P80:P80">IF(AND(P$2&lt;&gt;0,TblTech[[#This Row],[Hour]:[Hour]]&gt;=P$2),1,0)</f>
        <v>0</v>
      </c>
      <c r="Q80" s="329" t="n">
        <f aca="false" t="array" ref="Q80:Q80">IF(AND(Q$2&lt;&gt;0,TblTech[[#This Row],[Hour]:[Hour]]&gt;=Q$2),1,0)</f>
        <v>0</v>
      </c>
      <c r="R80" s="329" t="n">
        <f aca="false" t="array" ref="R80:R80">IF(AND(R$2&lt;&gt;0,TblTech[[#This Row],[Hour]:[Hour]]&gt;=R$2),1,0)</f>
        <v>0</v>
      </c>
      <c r="S80" s="329" t="n">
        <f aca="false" t="array" ref="S80:S80">IF(AND(S$2&lt;&gt;0,TblTech[[#This Row],[Hour]:[Hour]]&gt;=S$2),1,0)</f>
        <v>0</v>
      </c>
      <c r="T80" s="329" t="n">
        <f aca="false" t="array" ref="T80:T80">IF(AND(T$2&lt;&gt;0,TblTech[[#This Row],[Hour]:[Hour]]&gt;=T$2),1,0)</f>
        <v>0</v>
      </c>
      <c r="U80" s="329" t="n">
        <f aca="false" t="array" ref="U80:U80">IF(AND(U$2&lt;&gt;0,TblTech[[#This Row],[Hour]:[Hour]]&gt;=U$2),1,0)</f>
        <v>0</v>
      </c>
      <c r="V80" s="329" t="n">
        <f aca="false" t="array" ref="V80:V80">IF(AND(V$2&lt;&gt;0,TblTech[[#This Row],[Hour]:[Hour]]&gt;=V$2),1,0)</f>
        <v>0</v>
      </c>
      <c r="W80" s="329" t="n">
        <f aca="false" t="array" ref="W80:W80">IF(AND(W$2&lt;&gt;0,TblTech[[#This Row],[Hour]:[Hour]]&gt;=W$2),1,0)</f>
        <v>0</v>
      </c>
      <c r="X80" s="329" t="n">
        <f aca="false" t="array" ref="X80:X80">IF(AND(X$2&lt;&gt;0,TblTech[[#This Row],[Hour]:[Hour]]&gt;=X$2),1,0)</f>
        <v>0</v>
      </c>
      <c r="Y80" s="329" t="n">
        <f aca="false" t="array" ref="Y80:Y80">IF(AND(Y$2&lt;&gt;0,TblTech[[#This Row],[Hour]:[Hour]]&gt;=Y$2),1,0)</f>
        <v>0</v>
      </c>
      <c r="Z80" s="329" t="n">
        <f aca="false" t="array" ref="Z80:Z80">IF(AND(Z$2&lt;&gt;0,TblTech[[#This Row],[Hour]:[Hour]]&gt;=Z$2),1,0)</f>
        <v>0</v>
      </c>
      <c r="AA80" s="329" t="n">
        <f aca="false" t="array" ref="AA80:AA80">IF(AND(AA$2&lt;&gt;0,TblTech[[#This Row],[Hour]:[Hour]]&gt;=AA$2),1,0)</f>
        <v>0</v>
      </c>
      <c r="AB80" s="329" t="n">
        <f aca="false" t="array" ref="AB80:AB80">IF(AND(AB$2&lt;&gt;0,TblTech[[#This Row],[Hour]:[Hour]]&gt;=AB$2),1,0)</f>
        <v>0</v>
      </c>
      <c r="AC80" s="329" t="n">
        <f aca="false" t="array" ref="AC80:AC80">IF(AND(AC$2&lt;&gt;0,TblTech[[#This Row],[Hour]:[Hour]]&gt;=AC$2),1,0)</f>
        <v>0</v>
      </c>
      <c r="AD80" s="329" t="n">
        <f aca="false" t="array" ref="AD80:AD80">IF(AND(AD$2&lt;&gt;0,TblTech[[#This Row],[Hour]:[Hour]]&gt;=AD$2),1,0)</f>
        <v>0</v>
      </c>
      <c r="AE80" s="329" t="n">
        <f aca="false" t="array" ref="AE80:AE80">IF(AND(AE$2&lt;&gt;0,TblTech[[#This Row],[Hour]:[Hour]]&gt;=AE$2),1,0)</f>
        <v>0</v>
      </c>
      <c r="AF80" s="329" t="n">
        <f aca="false" t="array" ref="AF80:AF80">IF(AND(AF$2&lt;&gt;0,TblTech[[#This Row],[Hour]:[Hour]]&gt;=AF$2),1,0)</f>
        <v>0</v>
      </c>
      <c r="AG80" s="329" t="n">
        <f aca="false" t="array" ref="AG80:AG80">IF(AND(AG$2&lt;&gt;0,TblTech[[#This Row],[Hour]:[Hour]]&gt;=AG$2),1,0)</f>
        <v>0</v>
      </c>
      <c r="AH80" s="329" t="n">
        <f aca="false" t="array" ref="AH80:AH80">IF(AND(AH$2&lt;&gt;0,TblTech[[#This Row],[Hour]:[Hour]]&gt;=AH$2),1,0)</f>
        <v>0</v>
      </c>
      <c r="AI80" s="329" t="n">
        <f aca="false" t="array" ref="AI80:AI80">IF(AND(AI$2&lt;&gt;0,TblTech[[#This Row],[Hour]:[Hour]]&gt;=AI$2),1,0)</f>
        <v>0</v>
      </c>
      <c r="AJ80" s="329" t="n">
        <f aca="false" t="array" ref="AJ80:AJ80">IF(AND(AJ$2&lt;&gt;0,TblTech[[#This Row],[Hour]:[Hour]]&gt;=AJ$2),1,0)</f>
        <v>0</v>
      </c>
      <c r="AK80" s="329" t="n">
        <f aca="false" t="array" ref="AK80:AK80">IF(AND(AK$2&lt;&gt;0,TblTech[[#This Row],[Hour]:[Hour]]&gt;=AK$2),1,0)</f>
        <v>0</v>
      </c>
      <c r="AL80" s="329" t="n">
        <f aca="false" t="array" ref="AL80:AL80">IF(AND(AL$2&lt;&gt;0,TblTech[[#This Row],[Hour]:[Hour]]&gt;=AL$2),1,0)</f>
        <v>0</v>
      </c>
      <c r="AM80" s="329" t="n">
        <f aca="false" t="array" ref="AM80:AM80">IF(AND(AM$2&lt;&gt;0,TblTech[[#This Row],[Hour]:[Hour]]&gt;=AM$2),1,0)</f>
        <v>0</v>
      </c>
      <c r="AN80" s="329" t="n">
        <f aca="false" t="array" ref="AN80:AN80">IF(AND(AN$2&lt;&gt;0,TblTech[[#This Row],[Hour]:[Hour]]&gt;=AN$2),1,0)</f>
        <v>0</v>
      </c>
      <c r="AO80" s="329" t="n">
        <f aca="false" t="array" ref="AO80:AO80">IF(AND(AO$2&lt;&gt;0,TblTech[[#This Row],[Hour]:[Hour]]&gt;=AO$2),1,0)</f>
        <v>0</v>
      </c>
      <c r="AP80" s="329" t="n">
        <f aca="false" t="array" ref="AP80:AP80">IF(AND(AP$2&lt;&gt;0,TblTech[[#This Row],[Hour]:[Hour]]&gt;=AP$2),1,0)</f>
        <v>0</v>
      </c>
      <c r="AQ80" s="329" t="n">
        <f aca="false" t="array" ref="AQ80:AQ80">IF(AND(AQ$2&lt;&gt;0,TblTech[[#This Row],[Hour]:[Hour]]&gt;=AQ$2),1,0)</f>
        <v>0</v>
      </c>
      <c r="AR80" s="329" t="n">
        <f aca="false" t="array" ref="AR80:AR80">IF(AND(AR$2&lt;&gt;0,TblTech[[#This Row],[Hour]:[Hour]]&gt;=AR$2),1,0)</f>
        <v>0</v>
      </c>
      <c r="AS80" s="329" t="n">
        <f aca="false" t="array" ref="AS80:AS80">IF(AND(AS$2&lt;&gt;0,TblTech[[#This Row],[Hour]:[Hour]]&gt;=AS$2),1,0)</f>
        <v>0</v>
      </c>
      <c r="AT80" s="329" t="n">
        <f aca="false" t="array" ref="AT80:AT80">IF(AND(AT$2&lt;&gt;0,TblTech[[#This Row],[Hour]:[Hour]]&gt;=AT$2),1,0)</f>
        <v>0</v>
      </c>
      <c r="AU80" s="329" t="n">
        <f aca="false" t="array" ref="AU80:AU80">IF(AND(AU$2&lt;&gt;0,TblTech[[#This Row],[Hour]:[Hour]]&gt;=AU$2),1,0)</f>
        <v>0</v>
      </c>
      <c r="AV80" s="329" t="n">
        <f aca="false" t="array" ref="AV80:AV80">IF(AND(AV$2&lt;&gt;0,TblTech[[#This Row],[Hour]:[Hour]]&gt;=AV$2),1,0)</f>
        <v>0</v>
      </c>
      <c r="AW80" s="329" t="n">
        <f aca="false" t="array" ref="AW80:AW80">IF(AND(AW$2&lt;&gt;0,TblTech[[#This Row],[Hour]:[Hour]]&gt;=AW$2),1,0)</f>
        <v>0</v>
      </c>
      <c r="AX80" s="329" t="n">
        <f aca="false" t="array" ref="AX80:AX80">IF(AND(AX$2&lt;&gt;0,TblTech[[#This Row],[Hour]:[Hour]]&gt;=AX$2),1,0)</f>
        <v>0</v>
      </c>
      <c r="AY80" s="329" t="n">
        <f aca="false" t="array" ref="AY80:AY80">IF(AND(AY$2&lt;&gt;0,TblTech[[#This Row],[Hour]:[Hour]]&gt;=AY$2),1,0)</f>
        <v>0</v>
      </c>
      <c r="AZ80" s="329" t="n">
        <f aca="false" t="array" ref="AZ80:AZ80">IF(AND(AZ$2&lt;&gt;0,TblTech[[#This Row],[Hour]:[Hour]]&gt;=AZ$2),1,0)</f>
        <v>0</v>
      </c>
      <c r="BA80" s="329" t="n">
        <f aca="false" t="array" ref="BA80:BA80">IF(AND(BA$2&lt;&gt;0,TblTech[[#This Row],[Hour]:[Hour]]&gt;=BA$2),1,0)</f>
        <v>0</v>
      </c>
      <c r="BB80" s="329" t="n">
        <f aca="false" t="array" ref="BB80:BB80">IF(AND(BB$2&lt;&gt;0,TblTech[[#This Row],[Hour]:[Hour]]&gt;=BB$2),1,0)</f>
        <v>0</v>
      </c>
      <c r="BC80" s="329" t="n">
        <f aca="false" t="array" ref="BC80:BC80">IF(AND(BC$2&lt;&gt;0,TblTech[[#This Row],[Hour]:[Hour]]&gt;=BC$2),1,0)</f>
        <v>0</v>
      </c>
      <c r="BD80" s="329" t="n">
        <f aca="false" t="array" ref="BD80:BD80">IF(AND(BD$2&lt;&gt;0,TblTech[[#This Row],[Hour]:[Hour]]&gt;=BD$2),1,0)</f>
        <v>0</v>
      </c>
      <c r="BE80" s="329" t="n">
        <f aca="false" t="array" ref="BE80:BE80">IF(AND(BE$2&lt;&gt;0,TblTech[[#This Row],[Hour]:[Hour]]&gt;=BE$2),1,0)</f>
        <v>0</v>
      </c>
      <c r="BF80" s="329" t="n">
        <f aca="false" t="array" ref="BF80:BF80">IF(AND(BF$2&lt;&gt;0,TblTech[[#This Row],[Hour]:[Hour]]&gt;=BF$2),1,0)</f>
        <v>0</v>
      </c>
      <c r="BG80" s="329" t="n">
        <f aca="false" t="array" ref="BG80:BG80">IF(AND(BG$2&lt;&gt;0,TblTech[[#This Row],[Hour]:[Hour]]&gt;=BG$2),1,0)</f>
        <v>0</v>
      </c>
      <c r="BH80" s="329" t="n">
        <f aca="false" t="array" ref="BH80:BH80">IF(AND(BH$2&lt;&gt;0,TblTech[[#This Row],[Hour]:[Hour]]&gt;=BH$2),1,0)</f>
        <v>0</v>
      </c>
      <c r="BI80" s="329" t="n">
        <f aca="false" t="array" ref="BI80:BI80">IF(AND(BI$2&lt;&gt;0,TblTech[[#This Row],[Hour]:[Hour]]&gt;=BI$2),1,0)</f>
        <v>0</v>
      </c>
      <c r="BJ80" s="329" t="n">
        <f aca="false" t="array" ref="BJ80:BJ80">IF(AND(BJ$2&lt;&gt;0,TblTech[[#This Row],[Hour]:[Hour]]&gt;=BJ$2),1,0)</f>
        <v>0</v>
      </c>
      <c r="BK80" s="329" t="n">
        <f aca="false" t="array" ref="BK80:BK80">IF(AND(BK$2&lt;&gt;0,TblTech[[#This Row],[Hour]:[Hour]]&gt;=BK$2),1,0)</f>
        <v>0</v>
      </c>
      <c r="BL80" s="329" t="n">
        <f aca="false" t="array" ref="BL80:BL80">IF(AND(BL$2&lt;&gt;0,TblTech[[#This Row],[Hour]:[Hour]]&gt;=BL$2),1,0)</f>
        <v>0</v>
      </c>
      <c r="BM80" s="329" t="n">
        <f aca="false" t="array" ref="BM80:BM80">IF(AND(BM$2&lt;&gt;0,TblTech[[#This Row],[Hour]:[Hour]]&gt;=BM$2),1,0)</f>
        <v>0</v>
      </c>
      <c r="BN80" s="329" t="n">
        <f aca="false" t="array" ref="BN80:BN80">IF(AND(BN$2&lt;&gt;0,TblTech[[#This Row],[Hour]:[Hour]]&gt;=BN$2),1,0)</f>
        <v>0</v>
      </c>
      <c r="BO80" s="329" t="n">
        <f aca="false" t="array" ref="BO80:BO80">IF(AND(BO$2&lt;&gt;0,TblTech[[#This Row],[Hour]:[Hour]]&gt;=BO$2),1,0)</f>
        <v>0</v>
      </c>
      <c r="BP80" s="329" t="n">
        <f aca="false" t="array" ref="BP80:BP80">IF(AND(BP$2&lt;&gt;0,TblTech[[#This Row],[Hour]:[Hour]]&gt;=BP$2),1,0)</f>
        <v>0</v>
      </c>
      <c r="BQ80" s="329" t="n">
        <f aca="false" t="array" ref="BQ80:BQ80">IF(AND(BQ$2&lt;&gt;0,TblTech[[#This Row],[Hour]:[Hour]]&gt;=BQ$2),1,0)</f>
        <v>0</v>
      </c>
      <c r="BR80" s="329" t="n">
        <f aca="false" t="array" ref="BR80:BR80">IF(AND(BR$2&lt;&gt;0,TblTech[[#This Row],[Hour]:[Hour]]&gt;=BR$2),1,0)</f>
        <v>0</v>
      </c>
      <c r="BS80" s="329" t="n">
        <f aca="false" t="array" ref="BS80:BS80">IF(AND(BS$2&lt;&gt;0,TblTech[[#This Row],[Hour]:[Hour]]&gt;=BS$2),1,0)</f>
        <v>0</v>
      </c>
      <c r="BT80" s="329" t="n">
        <f aca="false" t="array" ref="BT80:BT80">IF(AND(BT$2&lt;&gt;0,TblTech[[#This Row],[Hour]:[Hour]]&gt;=BT$2),1,0)</f>
        <v>0</v>
      </c>
      <c r="BU80" s="329" t="n">
        <f aca="false" t="array" ref="BU80:BU80">IF(AND(BU$2&lt;&gt;0,TblTech[[#This Row],[Hour]:[Hour]]&gt;=BU$2),1,0)</f>
        <v>0</v>
      </c>
      <c r="BV80" s="329" t="n">
        <f aca="false" t="array" ref="BV80:BV80">IF(AND(BV$2&lt;&gt;0,TblTech[[#This Row],[Hour]:[Hour]]&gt;=BV$2),1,0)</f>
        <v>0</v>
      </c>
      <c r="BW80" s="329" t="n">
        <f aca="false" t="array" ref="BW80:BW80">IF(AND(BW$2&lt;&gt;0,TblTech[[#This Row],[Hour]:[Hour]]&gt;=BW$2),1,0)</f>
        <v>0</v>
      </c>
      <c r="BX80" s="329" t="n">
        <f aca="false" t="array" ref="BX80:BX80">IF(AND(BX$2&lt;&gt;0,TblTech[[#This Row],[Hour]:[Hour]]&gt;=BX$2),1,0)</f>
        <v>0</v>
      </c>
      <c r="BY80" s="329" t="n">
        <f aca="false" t="array" ref="BY80:BY80">IF(AND(BY$2&lt;&gt;0,TblTech[[#This Row],[Hour]:[Hour]]&gt;=BY$2),1,0)</f>
        <v>0</v>
      </c>
      <c r="BZ80" s="329" t="n">
        <f aca="false" t="array" ref="BZ80:BZ80">IF(AND(BZ$2&lt;&gt;0,TblTech[[#This Row],[Hour]:[Hour]]&gt;=BZ$2),1,0)</f>
        <v>0</v>
      </c>
      <c r="CA80" s="330" t="n">
        <f aca="false">IFERROR(INDEX($H$4:$H$79,MATCH(INDEX(TblTech[[#Headers],[1-1]:[11-1]],1,MATCH(TblTech[[#This Row],[Hour]],$M$2:$BZ$2,0)),$G$4:$G$79,0)),)</f>
        <v>0</v>
      </c>
    </row>
    <row r="81" customFormat="false" ht="12.75" hidden="false" customHeight="false" outlineLevel="0" collapsed="false">
      <c r="A81" s="321" t="n">
        <f aca="false">TblRezone[[#This Row],[Hour]]</f>
        <v>78</v>
      </c>
      <c r="B81" s="322" t="n">
        <f aca="false">TblExplore[[#This Row],[Land-DB]]</f>
        <v>700</v>
      </c>
      <c r="C81" s="323" t="n">
        <f aca="false">TblProd[[#This Row],[Techpoints]]</f>
        <v>1400</v>
      </c>
      <c r="D81" s="323" t="n">
        <f aca="false">TblProd[[#This Row],[Required]]</f>
        <v>3750</v>
      </c>
      <c r="E81" s="333"/>
      <c r="F81" s="334"/>
      <c r="G81" s="326"/>
      <c r="H81" s="327"/>
      <c r="I81" s="327"/>
      <c r="J81" s="327"/>
      <c r="K81" s="68" t="n">
        <f aca="false">IF(TblTech[[#This Row],[Sum of tech]]&lt;&gt;OFFSET(TblTech[[#This Row],[Sum of tech]],-1,0),1,0)</f>
        <v>0</v>
      </c>
      <c r="L81" s="328" t="n">
        <f aca="false">COUNTIF(TblTech[[#This Row],[1-1]:[11-1]],1)</f>
        <v>0</v>
      </c>
      <c r="M81" s="329" t="n">
        <f aca="false" t="array" ref="M81:M81">IF(AND(M$2&lt;&gt;0,TblTech[[#This Row],[Hour]:[Hour]]&gt;=M$2),1,0)</f>
        <v>0</v>
      </c>
      <c r="N81" s="329" t="n">
        <f aca="false" t="array" ref="N81:N81">IF(AND(N$2&lt;&gt;0,TblTech[[#This Row],[Hour]:[Hour]]&gt;=N$2),1,0)</f>
        <v>0</v>
      </c>
      <c r="O81" s="329" t="n">
        <f aca="false" t="array" ref="O81:O81">IF(AND(O$2&lt;&gt;0,TblTech[[#This Row],[Hour]:[Hour]]&gt;=O$2),1,0)</f>
        <v>0</v>
      </c>
      <c r="P81" s="329" t="n">
        <f aca="false" t="array" ref="P81:P81">IF(AND(P$2&lt;&gt;0,TblTech[[#This Row],[Hour]:[Hour]]&gt;=P$2),1,0)</f>
        <v>0</v>
      </c>
      <c r="Q81" s="329" t="n">
        <f aca="false" t="array" ref="Q81:Q81">IF(AND(Q$2&lt;&gt;0,TblTech[[#This Row],[Hour]:[Hour]]&gt;=Q$2),1,0)</f>
        <v>0</v>
      </c>
      <c r="R81" s="329" t="n">
        <f aca="false" t="array" ref="R81:R81">IF(AND(R$2&lt;&gt;0,TblTech[[#This Row],[Hour]:[Hour]]&gt;=R$2),1,0)</f>
        <v>0</v>
      </c>
      <c r="S81" s="329" t="n">
        <f aca="false" t="array" ref="S81:S81">IF(AND(S$2&lt;&gt;0,TblTech[[#This Row],[Hour]:[Hour]]&gt;=S$2),1,0)</f>
        <v>0</v>
      </c>
      <c r="T81" s="329" t="n">
        <f aca="false" t="array" ref="T81:T81">IF(AND(T$2&lt;&gt;0,TblTech[[#This Row],[Hour]:[Hour]]&gt;=T$2),1,0)</f>
        <v>0</v>
      </c>
      <c r="U81" s="329" t="n">
        <f aca="false" t="array" ref="U81:U81">IF(AND(U$2&lt;&gt;0,TblTech[[#This Row],[Hour]:[Hour]]&gt;=U$2),1,0)</f>
        <v>0</v>
      </c>
      <c r="V81" s="329" t="n">
        <f aca="false" t="array" ref="V81:V81">IF(AND(V$2&lt;&gt;0,TblTech[[#This Row],[Hour]:[Hour]]&gt;=V$2),1,0)</f>
        <v>0</v>
      </c>
      <c r="W81" s="329" t="n">
        <f aca="false" t="array" ref="W81:W81">IF(AND(W$2&lt;&gt;0,TblTech[[#This Row],[Hour]:[Hour]]&gt;=W$2),1,0)</f>
        <v>0</v>
      </c>
      <c r="X81" s="329" t="n">
        <f aca="false" t="array" ref="X81:X81">IF(AND(X$2&lt;&gt;0,TblTech[[#This Row],[Hour]:[Hour]]&gt;=X$2),1,0)</f>
        <v>0</v>
      </c>
      <c r="Y81" s="329" t="n">
        <f aca="false" t="array" ref="Y81:Y81">IF(AND(Y$2&lt;&gt;0,TblTech[[#This Row],[Hour]:[Hour]]&gt;=Y$2),1,0)</f>
        <v>0</v>
      </c>
      <c r="Z81" s="329" t="n">
        <f aca="false" t="array" ref="Z81:Z81">IF(AND(Z$2&lt;&gt;0,TblTech[[#This Row],[Hour]:[Hour]]&gt;=Z$2),1,0)</f>
        <v>0</v>
      </c>
      <c r="AA81" s="329" t="n">
        <f aca="false" t="array" ref="AA81:AA81">IF(AND(AA$2&lt;&gt;0,TblTech[[#This Row],[Hour]:[Hour]]&gt;=AA$2),1,0)</f>
        <v>0</v>
      </c>
      <c r="AB81" s="329" t="n">
        <f aca="false" t="array" ref="AB81:AB81">IF(AND(AB$2&lt;&gt;0,TblTech[[#This Row],[Hour]:[Hour]]&gt;=AB$2),1,0)</f>
        <v>0</v>
      </c>
      <c r="AC81" s="329" t="n">
        <f aca="false" t="array" ref="AC81:AC81">IF(AND(AC$2&lt;&gt;0,TblTech[[#This Row],[Hour]:[Hour]]&gt;=AC$2),1,0)</f>
        <v>0</v>
      </c>
      <c r="AD81" s="329" t="n">
        <f aca="false" t="array" ref="AD81:AD81">IF(AND(AD$2&lt;&gt;0,TblTech[[#This Row],[Hour]:[Hour]]&gt;=AD$2),1,0)</f>
        <v>0</v>
      </c>
      <c r="AE81" s="329" t="n">
        <f aca="false" t="array" ref="AE81:AE81">IF(AND(AE$2&lt;&gt;0,TblTech[[#This Row],[Hour]:[Hour]]&gt;=AE$2),1,0)</f>
        <v>0</v>
      </c>
      <c r="AF81" s="329" t="n">
        <f aca="false" t="array" ref="AF81:AF81">IF(AND(AF$2&lt;&gt;0,TblTech[[#This Row],[Hour]:[Hour]]&gt;=AF$2),1,0)</f>
        <v>0</v>
      </c>
      <c r="AG81" s="329" t="n">
        <f aca="false" t="array" ref="AG81:AG81">IF(AND(AG$2&lt;&gt;0,TblTech[[#This Row],[Hour]:[Hour]]&gt;=AG$2),1,0)</f>
        <v>0</v>
      </c>
      <c r="AH81" s="329" t="n">
        <f aca="false" t="array" ref="AH81:AH81">IF(AND(AH$2&lt;&gt;0,TblTech[[#This Row],[Hour]:[Hour]]&gt;=AH$2),1,0)</f>
        <v>0</v>
      </c>
      <c r="AI81" s="329" t="n">
        <f aca="false" t="array" ref="AI81:AI81">IF(AND(AI$2&lt;&gt;0,TblTech[[#This Row],[Hour]:[Hour]]&gt;=AI$2),1,0)</f>
        <v>0</v>
      </c>
      <c r="AJ81" s="329" t="n">
        <f aca="false" t="array" ref="AJ81:AJ81">IF(AND(AJ$2&lt;&gt;0,TblTech[[#This Row],[Hour]:[Hour]]&gt;=AJ$2),1,0)</f>
        <v>0</v>
      </c>
      <c r="AK81" s="329" t="n">
        <f aca="false" t="array" ref="AK81:AK81">IF(AND(AK$2&lt;&gt;0,TblTech[[#This Row],[Hour]:[Hour]]&gt;=AK$2),1,0)</f>
        <v>0</v>
      </c>
      <c r="AL81" s="329" t="n">
        <f aca="false" t="array" ref="AL81:AL81">IF(AND(AL$2&lt;&gt;0,TblTech[[#This Row],[Hour]:[Hour]]&gt;=AL$2),1,0)</f>
        <v>0</v>
      </c>
      <c r="AM81" s="329" t="n">
        <f aca="false" t="array" ref="AM81:AM81">IF(AND(AM$2&lt;&gt;0,TblTech[[#This Row],[Hour]:[Hour]]&gt;=AM$2),1,0)</f>
        <v>0</v>
      </c>
      <c r="AN81" s="329" t="n">
        <f aca="false" t="array" ref="AN81:AN81">IF(AND(AN$2&lt;&gt;0,TblTech[[#This Row],[Hour]:[Hour]]&gt;=AN$2),1,0)</f>
        <v>0</v>
      </c>
      <c r="AO81" s="329" t="n">
        <f aca="false" t="array" ref="AO81:AO81">IF(AND(AO$2&lt;&gt;0,TblTech[[#This Row],[Hour]:[Hour]]&gt;=AO$2),1,0)</f>
        <v>0</v>
      </c>
      <c r="AP81" s="329" t="n">
        <f aca="false" t="array" ref="AP81:AP81">IF(AND(AP$2&lt;&gt;0,TblTech[[#This Row],[Hour]:[Hour]]&gt;=AP$2),1,0)</f>
        <v>0</v>
      </c>
      <c r="AQ81" s="329" t="n">
        <f aca="false" t="array" ref="AQ81:AQ81">IF(AND(AQ$2&lt;&gt;0,TblTech[[#This Row],[Hour]:[Hour]]&gt;=AQ$2),1,0)</f>
        <v>0</v>
      </c>
      <c r="AR81" s="329" t="n">
        <f aca="false" t="array" ref="AR81:AR81">IF(AND(AR$2&lt;&gt;0,TblTech[[#This Row],[Hour]:[Hour]]&gt;=AR$2),1,0)</f>
        <v>0</v>
      </c>
      <c r="AS81" s="329" t="n">
        <f aca="false" t="array" ref="AS81:AS81">IF(AND(AS$2&lt;&gt;0,TblTech[[#This Row],[Hour]:[Hour]]&gt;=AS$2),1,0)</f>
        <v>0</v>
      </c>
      <c r="AT81" s="329" t="n">
        <f aca="false" t="array" ref="AT81:AT81">IF(AND(AT$2&lt;&gt;0,TblTech[[#This Row],[Hour]:[Hour]]&gt;=AT$2),1,0)</f>
        <v>0</v>
      </c>
      <c r="AU81" s="329" t="n">
        <f aca="false" t="array" ref="AU81:AU81">IF(AND(AU$2&lt;&gt;0,TblTech[[#This Row],[Hour]:[Hour]]&gt;=AU$2),1,0)</f>
        <v>0</v>
      </c>
      <c r="AV81" s="329" t="n">
        <f aca="false" t="array" ref="AV81:AV81">IF(AND(AV$2&lt;&gt;0,TblTech[[#This Row],[Hour]:[Hour]]&gt;=AV$2),1,0)</f>
        <v>0</v>
      </c>
      <c r="AW81" s="329" t="n">
        <f aca="false" t="array" ref="AW81:AW81">IF(AND(AW$2&lt;&gt;0,TblTech[[#This Row],[Hour]:[Hour]]&gt;=AW$2),1,0)</f>
        <v>0</v>
      </c>
      <c r="AX81" s="329" t="n">
        <f aca="false" t="array" ref="AX81:AX81">IF(AND(AX$2&lt;&gt;0,TblTech[[#This Row],[Hour]:[Hour]]&gt;=AX$2),1,0)</f>
        <v>0</v>
      </c>
      <c r="AY81" s="329" t="n">
        <f aca="false" t="array" ref="AY81:AY81">IF(AND(AY$2&lt;&gt;0,TblTech[[#This Row],[Hour]:[Hour]]&gt;=AY$2),1,0)</f>
        <v>0</v>
      </c>
      <c r="AZ81" s="329" t="n">
        <f aca="false" t="array" ref="AZ81:AZ81">IF(AND(AZ$2&lt;&gt;0,TblTech[[#This Row],[Hour]:[Hour]]&gt;=AZ$2),1,0)</f>
        <v>0</v>
      </c>
      <c r="BA81" s="329" t="n">
        <f aca="false" t="array" ref="BA81:BA81">IF(AND(BA$2&lt;&gt;0,TblTech[[#This Row],[Hour]:[Hour]]&gt;=BA$2),1,0)</f>
        <v>0</v>
      </c>
      <c r="BB81" s="329" t="n">
        <f aca="false" t="array" ref="BB81:BB81">IF(AND(BB$2&lt;&gt;0,TblTech[[#This Row],[Hour]:[Hour]]&gt;=BB$2),1,0)</f>
        <v>0</v>
      </c>
      <c r="BC81" s="329" t="n">
        <f aca="false" t="array" ref="BC81:BC81">IF(AND(BC$2&lt;&gt;0,TblTech[[#This Row],[Hour]:[Hour]]&gt;=BC$2),1,0)</f>
        <v>0</v>
      </c>
      <c r="BD81" s="329" t="n">
        <f aca="false" t="array" ref="BD81:BD81">IF(AND(BD$2&lt;&gt;0,TblTech[[#This Row],[Hour]:[Hour]]&gt;=BD$2),1,0)</f>
        <v>0</v>
      </c>
      <c r="BE81" s="329" t="n">
        <f aca="false" t="array" ref="BE81:BE81">IF(AND(BE$2&lt;&gt;0,TblTech[[#This Row],[Hour]:[Hour]]&gt;=BE$2),1,0)</f>
        <v>0</v>
      </c>
      <c r="BF81" s="329" t="n">
        <f aca="false" t="array" ref="BF81:BF81">IF(AND(BF$2&lt;&gt;0,TblTech[[#This Row],[Hour]:[Hour]]&gt;=BF$2),1,0)</f>
        <v>0</v>
      </c>
      <c r="BG81" s="329" t="n">
        <f aca="false" t="array" ref="BG81:BG81">IF(AND(BG$2&lt;&gt;0,TblTech[[#This Row],[Hour]:[Hour]]&gt;=BG$2),1,0)</f>
        <v>0</v>
      </c>
      <c r="BH81" s="329" t="n">
        <f aca="false" t="array" ref="BH81:BH81">IF(AND(BH$2&lt;&gt;0,TblTech[[#This Row],[Hour]:[Hour]]&gt;=BH$2),1,0)</f>
        <v>0</v>
      </c>
      <c r="BI81" s="329" t="n">
        <f aca="false" t="array" ref="BI81:BI81">IF(AND(BI$2&lt;&gt;0,TblTech[[#This Row],[Hour]:[Hour]]&gt;=BI$2),1,0)</f>
        <v>0</v>
      </c>
      <c r="BJ81" s="329" t="n">
        <f aca="false" t="array" ref="BJ81:BJ81">IF(AND(BJ$2&lt;&gt;0,TblTech[[#This Row],[Hour]:[Hour]]&gt;=BJ$2),1,0)</f>
        <v>0</v>
      </c>
      <c r="BK81" s="329" t="n">
        <f aca="false" t="array" ref="BK81:BK81">IF(AND(BK$2&lt;&gt;0,TblTech[[#This Row],[Hour]:[Hour]]&gt;=BK$2),1,0)</f>
        <v>0</v>
      </c>
      <c r="BL81" s="329" t="n">
        <f aca="false" t="array" ref="BL81:BL81">IF(AND(BL$2&lt;&gt;0,TblTech[[#This Row],[Hour]:[Hour]]&gt;=BL$2),1,0)</f>
        <v>0</v>
      </c>
      <c r="BM81" s="329" t="n">
        <f aca="false" t="array" ref="BM81:BM81">IF(AND(BM$2&lt;&gt;0,TblTech[[#This Row],[Hour]:[Hour]]&gt;=BM$2),1,0)</f>
        <v>0</v>
      </c>
      <c r="BN81" s="329" t="n">
        <f aca="false" t="array" ref="BN81:BN81">IF(AND(BN$2&lt;&gt;0,TblTech[[#This Row],[Hour]:[Hour]]&gt;=BN$2),1,0)</f>
        <v>0</v>
      </c>
      <c r="BO81" s="329" t="n">
        <f aca="false" t="array" ref="BO81:BO81">IF(AND(BO$2&lt;&gt;0,TblTech[[#This Row],[Hour]:[Hour]]&gt;=BO$2),1,0)</f>
        <v>0</v>
      </c>
      <c r="BP81" s="329" t="n">
        <f aca="false" t="array" ref="BP81:BP81">IF(AND(BP$2&lt;&gt;0,TblTech[[#This Row],[Hour]:[Hour]]&gt;=BP$2),1,0)</f>
        <v>0</v>
      </c>
      <c r="BQ81" s="329" t="n">
        <f aca="false" t="array" ref="BQ81:BQ81">IF(AND(BQ$2&lt;&gt;0,TblTech[[#This Row],[Hour]:[Hour]]&gt;=BQ$2),1,0)</f>
        <v>0</v>
      </c>
      <c r="BR81" s="329" t="n">
        <f aca="false" t="array" ref="BR81:BR81">IF(AND(BR$2&lt;&gt;0,TblTech[[#This Row],[Hour]:[Hour]]&gt;=BR$2),1,0)</f>
        <v>0</v>
      </c>
      <c r="BS81" s="329" t="n">
        <f aca="false" t="array" ref="BS81:BS81">IF(AND(BS$2&lt;&gt;0,TblTech[[#This Row],[Hour]:[Hour]]&gt;=BS$2),1,0)</f>
        <v>0</v>
      </c>
      <c r="BT81" s="329" t="n">
        <f aca="false" t="array" ref="BT81:BT81">IF(AND(BT$2&lt;&gt;0,TblTech[[#This Row],[Hour]:[Hour]]&gt;=BT$2),1,0)</f>
        <v>0</v>
      </c>
      <c r="BU81" s="329" t="n">
        <f aca="false" t="array" ref="BU81:BU81">IF(AND(BU$2&lt;&gt;0,TblTech[[#This Row],[Hour]:[Hour]]&gt;=BU$2),1,0)</f>
        <v>0</v>
      </c>
      <c r="BV81" s="329" t="n">
        <f aca="false" t="array" ref="BV81:BV81">IF(AND(BV$2&lt;&gt;0,TblTech[[#This Row],[Hour]:[Hour]]&gt;=BV$2),1,0)</f>
        <v>0</v>
      </c>
      <c r="BW81" s="329" t="n">
        <f aca="false" t="array" ref="BW81:BW81">IF(AND(BW$2&lt;&gt;0,TblTech[[#This Row],[Hour]:[Hour]]&gt;=BW$2),1,0)</f>
        <v>0</v>
      </c>
      <c r="BX81" s="329" t="n">
        <f aca="false" t="array" ref="BX81:BX81">IF(AND(BX$2&lt;&gt;0,TblTech[[#This Row],[Hour]:[Hour]]&gt;=BX$2),1,0)</f>
        <v>0</v>
      </c>
      <c r="BY81" s="329" t="n">
        <f aca="false" t="array" ref="BY81:BY81">IF(AND(BY$2&lt;&gt;0,TblTech[[#This Row],[Hour]:[Hour]]&gt;=BY$2),1,0)</f>
        <v>0</v>
      </c>
      <c r="BZ81" s="329" t="n">
        <f aca="false" t="array" ref="BZ81:BZ81">IF(AND(BZ$2&lt;&gt;0,TblTech[[#This Row],[Hour]:[Hour]]&gt;=BZ$2),1,0)</f>
        <v>0</v>
      </c>
      <c r="CA81" s="330" t="n">
        <f aca="false">IFERROR(INDEX($H$4:$H$79,MATCH(INDEX(TblTech[[#Headers],[1-1]:[11-1]],1,MATCH(TblTech[[#This Row],[Hour]],$M$2:$BZ$2,0)),$G$4:$G$79,0)),)</f>
        <v>0</v>
      </c>
    </row>
    <row r="82" customFormat="false" ht="12.75" hidden="false" customHeight="false" outlineLevel="0" collapsed="false">
      <c r="A82" s="321" t="n">
        <f aca="false">TblRezone[[#This Row],[Hour]]</f>
        <v>79</v>
      </c>
      <c r="B82" s="322" t="n">
        <f aca="false">TblExplore[[#This Row],[Land-DB]]</f>
        <v>700</v>
      </c>
      <c r="C82" s="323" t="n">
        <f aca="false">TblProd[[#This Row],[Techpoints]]</f>
        <v>1400</v>
      </c>
      <c r="D82" s="323" t="n">
        <f aca="false">TblProd[[#This Row],[Required]]</f>
        <v>3750</v>
      </c>
      <c r="E82" s="333"/>
      <c r="F82" s="334"/>
      <c r="G82" s="326" t="s">
        <v>719</v>
      </c>
      <c r="H82" s="327"/>
      <c r="I82" s="327"/>
      <c r="J82" s="327"/>
      <c r="K82" s="68" t="n">
        <f aca="false">IF(TblTech[[#This Row],[Sum of tech]]&lt;&gt;OFFSET(TblTech[[#This Row],[Sum of tech]],-1,0),1,0)</f>
        <v>0</v>
      </c>
      <c r="L82" s="328" t="n">
        <f aca="false">COUNTIF(TblTech[[#This Row],[1-1]:[11-1]],1)</f>
        <v>0</v>
      </c>
      <c r="M82" s="329" t="n">
        <f aca="false" t="array" ref="M82:M82">IF(AND(M$2&lt;&gt;0,TblTech[[#This Row],[Hour]:[Hour]]&gt;=M$2),1,0)</f>
        <v>0</v>
      </c>
      <c r="N82" s="329" t="n">
        <f aca="false" t="array" ref="N82:N82">IF(AND(N$2&lt;&gt;0,TblTech[[#This Row],[Hour]:[Hour]]&gt;=N$2),1,0)</f>
        <v>0</v>
      </c>
      <c r="O82" s="329" t="n">
        <f aca="false" t="array" ref="O82:O82">IF(AND(O$2&lt;&gt;0,TblTech[[#This Row],[Hour]:[Hour]]&gt;=O$2),1,0)</f>
        <v>0</v>
      </c>
      <c r="P82" s="329" t="n">
        <f aca="false" t="array" ref="P82:P82">IF(AND(P$2&lt;&gt;0,TblTech[[#This Row],[Hour]:[Hour]]&gt;=P$2),1,0)</f>
        <v>0</v>
      </c>
      <c r="Q82" s="329" t="n">
        <f aca="false" t="array" ref="Q82:Q82">IF(AND(Q$2&lt;&gt;0,TblTech[[#This Row],[Hour]:[Hour]]&gt;=Q$2),1,0)</f>
        <v>0</v>
      </c>
      <c r="R82" s="329" t="n">
        <f aca="false" t="array" ref="R82:R82">IF(AND(R$2&lt;&gt;0,TblTech[[#This Row],[Hour]:[Hour]]&gt;=R$2),1,0)</f>
        <v>0</v>
      </c>
      <c r="S82" s="329" t="n">
        <f aca="false" t="array" ref="S82:S82">IF(AND(S$2&lt;&gt;0,TblTech[[#This Row],[Hour]:[Hour]]&gt;=S$2),1,0)</f>
        <v>0</v>
      </c>
      <c r="T82" s="329" t="n">
        <f aca="false" t="array" ref="T82:T82">IF(AND(T$2&lt;&gt;0,TblTech[[#This Row],[Hour]:[Hour]]&gt;=T$2),1,0)</f>
        <v>0</v>
      </c>
      <c r="U82" s="329" t="n">
        <f aca="false" t="array" ref="U82:U82">IF(AND(U$2&lt;&gt;0,TblTech[[#This Row],[Hour]:[Hour]]&gt;=U$2),1,0)</f>
        <v>0</v>
      </c>
      <c r="V82" s="329" t="n">
        <f aca="false" t="array" ref="V82:V82">IF(AND(V$2&lt;&gt;0,TblTech[[#This Row],[Hour]:[Hour]]&gt;=V$2),1,0)</f>
        <v>0</v>
      </c>
      <c r="W82" s="329" t="n">
        <f aca="false" t="array" ref="W82:W82">IF(AND(W$2&lt;&gt;0,TblTech[[#This Row],[Hour]:[Hour]]&gt;=W$2),1,0)</f>
        <v>0</v>
      </c>
      <c r="X82" s="329" t="n">
        <f aca="false" t="array" ref="X82:X82">IF(AND(X$2&lt;&gt;0,TblTech[[#This Row],[Hour]:[Hour]]&gt;=X$2),1,0)</f>
        <v>0</v>
      </c>
      <c r="Y82" s="329" t="n">
        <f aca="false" t="array" ref="Y82:Y82">IF(AND(Y$2&lt;&gt;0,TblTech[[#This Row],[Hour]:[Hour]]&gt;=Y$2),1,0)</f>
        <v>0</v>
      </c>
      <c r="Z82" s="329" t="n">
        <f aca="false" t="array" ref="Z82:Z82">IF(AND(Z$2&lt;&gt;0,TblTech[[#This Row],[Hour]:[Hour]]&gt;=Z$2),1,0)</f>
        <v>0</v>
      </c>
      <c r="AA82" s="329" t="n">
        <f aca="false" t="array" ref="AA82:AA82">IF(AND(AA$2&lt;&gt;0,TblTech[[#This Row],[Hour]:[Hour]]&gt;=AA$2),1,0)</f>
        <v>0</v>
      </c>
      <c r="AB82" s="329" t="n">
        <f aca="false" t="array" ref="AB82:AB82">IF(AND(AB$2&lt;&gt;0,TblTech[[#This Row],[Hour]:[Hour]]&gt;=AB$2),1,0)</f>
        <v>0</v>
      </c>
      <c r="AC82" s="329" t="n">
        <f aca="false" t="array" ref="AC82:AC82">IF(AND(AC$2&lt;&gt;0,TblTech[[#This Row],[Hour]:[Hour]]&gt;=AC$2),1,0)</f>
        <v>0</v>
      </c>
      <c r="AD82" s="329" t="n">
        <f aca="false" t="array" ref="AD82:AD82">IF(AND(AD$2&lt;&gt;0,TblTech[[#This Row],[Hour]:[Hour]]&gt;=AD$2),1,0)</f>
        <v>0</v>
      </c>
      <c r="AE82" s="329" t="n">
        <f aca="false" t="array" ref="AE82:AE82">IF(AND(AE$2&lt;&gt;0,TblTech[[#This Row],[Hour]:[Hour]]&gt;=AE$2),1,0)</f>
        <v>0</v>
      </c>
      <c r="AF82" s="329" t="n">
        <f aca="false" t="array" ref="AF82:AF82">IF(AND(AF$2&lt;&gt;0,TblTech[[#This Row],[Hour]:[Hour]]&gt;=AF$2),1,0)</f>
        <v>0</v>
      </c>
      <c r="AG82" s="329" t="n">
        <f aca="false" t="array" ref="AG82:AG82">IF(AND(AG$2&lt;&gt;0,TblTech[[#This Row],[Hour]:[Hour]]&gt;=AG$2),1,0)</f>
        <v>0</v>
      </c>
      <c r="AH82" s="329" t="n">
        <f aca="false" t="array" ref="AH82:AH82">IF(AND(AH$2&lt;&gt;0,TblTech[[#This Row],[Hour]:[Hour]]&gt;=AH$2),1,0)</f>
        <v>0</v>
      </c>
      <c r="AI82" s="329" t="n">
        <f aca="false" t="array" ref="AI82:AI82">IF(AND(AI$2&lt;&gt;0,TblTech[[#This Row],[Hour]:[Hour]]&gt;=AI$2),1,0)</f>
        <v>0</v>
      </c>
      <c r="AJ82" s="329" t="n">
        <f aca="false" t="array" ref="AJ82:AJ82">IF(AND(AJ$2&lt;&gt;0,TblTech[[#This Row],[Hour]:[Hour]]&gt;=AJ$2),1,0)</f>
        <v>0</v>
      </c>
      <c r="AK82" s="329" t="n">
        <f aca="false" t="array" ref="AK82:AK82">IF(AND(AK$2&lt;&gt;0,TblTech[[#This Row],[Hour]:[Hour]]&gt;=AK$2),1,0)</f>
        <v>0</v>
      </c>
      <c r="AL82" s="329" t="n">
        <f aca="false" t="array" ref="AL82:AL82">IF(AND(AL$2&lt;&gt;0,TblTech[[#This Row],[Hour]:[Hour]]&gt;=AL$2),1,0)</f>
        <v>0</v>
      </c>
      <c r="AM82" s="329" t="n">
        <f aca="false" t="array" ref="AM82:AM82">IF(AND(AM$2&lt;&gt;0,TblTech[[#This Row],[Hour]:[Hour]]&gt;=AM$2),1,0)</f>
        <v>0</v>
      </c>
      <c r="AN82" s="329" t="n">
        <f aca="false" t="array" ref="AN82:AN82">IF(AND(AN$2&lt;&gt;0,TblTech[[#This Row],[Hour]:[Hour]]&gt;=AN$2),1,0)</f>
        <v>0</v>
      </c>
      <c r="AO82" s="329" t="n">
        <f aca="false" t="array" ref="AO82:AO82">IF(AND(AO$2&lt;&gt;0,TblTech[[#This Row],[Hour]:[Hour]]&gt;=AO$2),1,0)</f>
        <v>0</v>
      </c>
      <c r="AP82" s="329" t="n">
        <f aca="false" t="array" ref="AP82:AP82">IF(AND(AP$2&lt;&gt;0,TblTech[[#This Row],[Hour]:[Hour]]&gt;=AP$2),1,0)</f>
        <v>0</v>
      </c>
      <c r="AQ82" s="329" t="n">
        <f aca="false" t="array" ref="AQ82:AQ82">IF(AND(AQ$2&lt;&gt;0,TblTech[[#This Row],[Hour]:[Hour]]&gt;=AQ$2),1,0)</f>
        <v>0</v>
      </c>
      <c r="AR82" s="329" t="n">
        <f aca="false" t="array" ref="AR82:AR82">IF(AND(AR$2&lt;&gt;0,TblTech[[#This Row],[Hour]:[Hour]]&gt;=AR$2),1,0)</f>
        <v>0</v>
      </c>
      <c r="AS82" s="329" t="n">
        <f aca="false" t="array" ref="AS82:AS82">IF(AND(AS$2&lt;&gt;0,TblTech[[#This Row],[Hour]:[Hour]]&gt;=AS$2),1,0)</f>
        <v>0</v>
      </c>
      <c r="AT82" s="329" t="n">
        <f aca="false" t="array" ref="AT82:AT82">IF(AND(AT$2&lt;&gt;0,TblTech[[#This Row],[Hour]:[Hour]]&gt;=AT$2),1,0)</f>
        <v>0</v>
      </c>
      <c r="AU82" s="329" t="n">
        <f aca="false" t="array" ref="AU82:AU82">IF(AND(AU$2&lt;&gt;0,TblTech[[#This Row],[Hour]:[Hour]]&gt;=AU$2),1,0)</f>
        <v>0</v>
      </c>
      <c r="AV82" s="329" t="n">
        <f aca="false" t="array" ref="AV82:AV82">IF(AND(AV$2&lt;&gt;0,TblTech[[#This Row],[Hour]:[Hour]]&gt;=AV$2),1,0)</f>
        <v>0</v>
      </c>
      <c r="AW82" s="329" t="n">
        <f aca="false" t="array" ref="AW82:AW82">IF(AND(AW$2&lt;&gt;0,TblTech[[#This Row],[Hour]:[Hour]]&gt;=AW$2),1,0)</f>
        <v>0</v>
      </c>
      <c r="AX82" s="329" t="n">
        <f aca="false" t="array" ref="AX82:AX82">IF(AND(AX$2&lt;&gt;0,TblTech[[#This Row],[Hour]:[Hour]]&gt;=AX$2),1,0)</f>
        <v>0</v>
      </c>
      <c r="AY82" s="329" t="n">
        <f aca="false" t="array" ref="AY82:AY82">IF(AND(AY$2&lt;&gt;0,TblTech[[#This Row],[Hour]:[Hour]]&gt;=AY$2),1,0)</f>
        <v>0</v>
      </c>
      <c r="AZ82" s="329" t="n">
        <f aca="false" t="array" ref="AZ82:AZ82">IF(AND(AZ$2&lt;&gt;0,TblTech[[#This Row],[Hour]:[Hour]]&gt;=AZ$2),1,0)</f>
        <v>0</v>
      </c>
      <c r="BA82" s="329" t="n">
        <f aca="false" t="array" ref="BA82:BA82">IF(AND(BA$2&lt;&gt;0,TblTech[[#This Row],[Hour]:[Hour]]&gt;=BA$2),1,0)</f>
        <v>0</v>
      </c>
      <c r="BB82" s="329" t="n">
        <f aca="false" t="array" ref="BB82:BB82">IF(AND(BB$2&lt;&gt;0,TblTech[[#This Row],[Hour]:[Hour]]&gt;=BB$2),1,0)</f>
        <v>0</v>
      </c>
      <c r="BC82" s="329" t="n">
        <f aca="false" t="array" ref="BC82:BC82">IF(AND(BC$2&lt;&gt;0,TblTech[[#This Row],[Hour]:[Hour]]&gt;=BC$2),1,0)</f>
        <v>0</v>
      </c>
      <c r="BD82" s="329" t="n">
        <f aca="false" t="array" ref="BD82:BD82">IF(AND(BD$2&lt;&gt;0,TblTech[[#This Row],[Hour]:[Hour]]&gt;=BD$2),1,0)</f>
        <v>0</v>
      </c>
      <c r="BE82" s="329" t="n">
        <f aca="false" t="array" ref="BE82:BE82">IF(AND(BE$2&lt;&gt;0,TblTech[[#This Row],[Hour]:[Hour]]&gt;=BE$2),1,0)</f>
        <v>0</v>
      </c>
      <c r="BF82" s="329" t="n">
        <f aca="false" t="array" ref="BF82:BF82">IF(AND(BF$2&lt;&gt;0,TblTech[[#This Row],[Hour]:[Hour]]&gt;=BF$2),1,0)</f>
        <v>0</v>
      </c>
      <c r="BG82" s="329" t="n">
        <f aca="false" t="array" ref="BG82:BG82">IF(AND(BG$2&lt;&gt;0,TblTech[[#This Row],[Hour]:[Hour]]&gt;=BG$2),1,0)</f>
        <v>0</v>
      </c>
      <c r="BH82" s="329" t="n">
        <f aca="false" t="array" ref="BH82:BH82">IF(AND(BH$2&lt;&gt;0,TblTech[[#This Row],[Hour]:[Hour]]&gt;=BH$2),1,0)</f>
        <v>0</v>
      </c>
      <c r="BI82" s="329" t="n">
        <f aca="false" t="array" ref="BI82:BI82">IF(AND(BI$2&lt;&gt;0,TblTech[[#This Row],[Hour]:[Hour]]&gt;=BI$2),1,0)</f>
        <v>0</v>
      </c>
      <c r="BJ82" s="329" t="n">
        <f aca="false" t="array" ref="BJ82:BJ82">IF(AND(BJ$2&lt;&gt;0,TblTech[[#This Row],[Hour]:[Hour]]&gt;=BJ$2),1,0)</f>
        <v>0</v>
      </c>
      <c r="BK82" s="329" t="n">
        <f aca="false" t="array" ref="BK82:BK82">IF(AND(BK$2&lt;&gt;0,TblTech[[#This Row],[Hour]:[Hour]]&gt;=BK$2),1,0)</f>
        <v>0</v>
      </c>
      <c r="BL82" s="329" t="n">
        <f aca="false" t="array" ref="BL82:BL82">IF(AND(BL$2&lt;&gt;0,TblTech[[#This Row],[Hour]:[Hour]]&gt;=BL$2),1,0)</f>
        <v>0</v>
      </c>
      <c r="BM82" s="329" t="n">
        <f aca="false" t="array" ref="BM82:BM82">IF(AND(BM$2&lt;&gt;0,TblTech[[#This Row],[Hour]:[Hour]]&gt;=BM$2),1,0)</f>
        <v>0</v>
      </c>
      <c r="BN82" s="329" t="n">
        <f aca="false" t="array" ref="BN82:BN82">IF(AND(BN$2&lt;&gt;0,TblTech[[#This Row],[Hour]:[Hour]]&gt;=BN$2),1,0)</f>
        <v>0</v>
      </c>
      <c r="BO82" s="329" t="n">
        <f aca="false" t="array" ref="BO82:BO82">IF(AND(BO$2&lt;&gt;0,TblTech[[#This Row],[Hour]:[Hour]]&gt;=BO$2),1,0)</f>
        <v>0</v>
      </c>
      <c r="BP82" s="329" t="n">
        <f aca="false" t="array" ref="BP82:BP82">IF(AND(BP$2&lt;&gt;0,TblTech[[#This Row],[Hour]:[Hour]]&gt;=BP$2),1,0)</f>
        <v>0</v>
      </c>
      <c r="BQ82" s="329" t="n">
        <f aca="false" t="array" ref="BQ82:BQ82">IF(AND(BQ$2&lt;&gt;0,TblTech[[#This Row],[Hour]:[Hour]]&gt;=BQ$2),1,0)</f>
        <v>0</v>
      </c>
      <c r="BR82" s="329" t="n">
        <f aca="false" t="array" ref="BR82:BR82">IF(AND(BR$2&lt;&gt;0,TblTech[[#This Row],[Hour]:[Hour]]&gt;=BR$2),1,0)</f>
        <v>0</v>
      </c>
      <c r="BS82" s="329" t="n">
        <f aca="false" t="array" ref="BS82:BS82">IF(AND(BS$2&lt;&gt;0,TblTech[[#This Row],[Hour]:[Hour]]&gt;=BS$2),1,0)</f>
        <v>0</v>
      </c>
      <c r="BT82" s="329" t="n">
        <f aca="false" t="array" ref="BT82:BT82">IF(AND(BT$2&lt;&gt;0,TblTech[[#This Row],[Hour]:[Hour]]&gt;=BT$2),1,0)</f>
        <v>0</v>
      </c>
      <c r="BU82" s="329" t="n">
        <f aca="false" t="array" ref="BU82:BU82">IF(AND(BU$2&lt;&gt;0,TblTech[[#This Row],[Hour]:[Hour]]&gt;=BU$2),1,0)</f>
        <v>0</v>
      </c>
      <c r="BV82" s="329" t="n">
        <f aca="false" t="array" ref="BV82:BV82">IF(AND(BV$2&lt;&gt;0,TblTech[[#This Row],[Hour]:[Hour]]&gt;=BV$2),1,0)</f>
        <v>0</v>
      </c>
      <c r="BW82" s="329" t="n">
        <f aca="false" t="array" ref="BW82:BW82">IF(AND(BW$2&lt;&gt;0,TblTech[[#This Row],[Hour]:[Hour]]&gt;=BW$2),1,0)</f>
        <v>0</v>
      </c>
      <c r="BX82" s="329" t="n">
        <f aca="false" t="array" ref="BX82:BX82">IF(AND(BX$2&lt;&gt;0,TblTech[[#This Row],[Hour]:[Hour]]&gt;=BX$2),1,0)</f>
        <v>0</v>
      </c>
      <c r="BY82" s="329" t="n">
        <f aca="false" t="array" ref="BY82:BY82">IF(AND(BY$2&lt;&gt;0,TblTech[[#This Row],[Hour]:[Hour]]&gt;=BY$2),1,0)</f>
        <v>0</v>
      </c>
      <c r="BZ82" s="329" t="n">
        <f aca="false" t="array" ref="BZ82:BZ82">IF(AND(BZ$2&lt;&gt;0,TblTech[[#This Row],[Hour]:[Hour]]&gt;=BZ$2),1,0)</f>
        <v>0</v>
      </c>
      <c r="CA82" s="330" t="n">
        <f aca="false">IFERROR(INDEX($H$4:$H$79,MATCH(INDEX(TblTech[[#Headers],[1-1]:[11-1]],1,MATCH(TblTech[[#This Row],[Hour]],$M$2:$BZ$2,0)),$G$4:$G$79,0)),)</f>
        <v>0</v>
      </c>
    </row>
    <row r="83" customFormat="false" ht="12.75" hidden="false" customHeight="false" outlineLevel="0" collapsed="false">
      <c r="A83" s="321" t="n">
        <f aca="false">TblRezone[[#This Row],[Hour]]</f>
        <v>80</v>
      </c>
      <c r="B83" s="322" t="n">
        <f aca="false">TblExplore[[#This Row],[Land-DB]]</f>
        <v>700</v>
      </c>
      <c r="C83" s="323" t="n">
        <f aca="false">TblProd[[#This Row],[Techpoints]]</f>
        <v>1400</v>
      </c>
      <c r="D83" s="323" t="n">
        <f aca="false">TblProd[[#This Row],[Required]]</f>
        <v>3750</v>
      </c>
      <c r="E83" s="333"/>
      <c r="F83" s="334"/>
      <c r="G83" s="326"/>
      <c r="H83" s="327"/>
      <c r="I83" s="327"/>
      <c r="J83" s="327"/>
      <c r="K83" s="68" t="n">
        <f aca="false">IF(TblTech[[#This Row],[Sum of tech]]&lt;&gt;OFFSET(TblTech[[#This Row],[Sum of tech]],-1,0),1,0)</f>
        <v>0</v>
      </c>
      <c r="L83" s="328" t="n">
        <f aca="false">COUNTIF(TblTech[[#This Row],[1-1]:[11-1]],1)</f>
        <v>0</v>
      </c>
      <c r="M83" s="329" t="n">
        <f aca="false" t="array" ref="M83:M83">IF(AND(M$2&lt;&gt;0,TblTech[[#This Row],[Hour]:[Hour]]&gt;=M$2),1,0)</f>
        <v>0</v>
      </c>
      <c r="N83" s="329" t="n">
        <f aca="false" t="array" ref="N83:N83">IF(AND(N$2&lt;&gt;0,TblTech[[#This Row],[Hour]:[Hour]]&gt;=N$2),1,0)</f>
        <v>0</v>
      </c>
      <c r="O83" s="329" t="n">
        <f aca="false" t="array" ref="O83:O83">IF(AND(O$2&lt;&gt;0,TblTech[[#This Row],[Hour]:[Hour]]&gt;=O$2),1,0)</f>
        <v>0</v>
      </c>
      <c r="P83" s="329" t="n">
        <f aca="false" t="array" ref="P83:P83">IF(AND(P$2&lt;&gt;0,TblTech[[#This Row],[Hour]:[Hour]]&gt;=P$2),1,0)</f>
        <v>0</v>
      </c>
      <c r="Q83" s="329" t="n">
        <f aca="false" t="array" ref="Q83:Q83">IF(AND(Q$2&lt;&gt;0,TblTech[[#This Row],[Hour]:[Hour]]&gt;=Q$2),1,0)</f>
        <v>0</v>
      </c>
      <c r="R83" s="329" t="n">
        <f aca="false" t="array" ref="R83:R83">IF(AND(R$2&lt;&gt;0,TblTech[[#This Row],[Hour]:[Hour]]&gt;=R$2),1,0)</f>
        <v>0</v>
      </c>
      <c r="S83" s="329" t="n">
        <f aca="false" t="array" ref="S83:S83">IF(AND(S$2&lt;&gt;0,TblTech[[#This Row],[Hour]:[Hour]]&gt;=S$2),1,0)</f>
        <v>0</v>
      </c>
      <c r="T83" s="329" t="n">
        <f aca="false" t="array" ref="T83:T83">IF(AND(T$2&lt;&gt;0,TblTech[[#This Row],[Hour]:[Hour]]&gt;=T$2),1,0)</f>
        <v>0</v>
      </c>
      <c r="U83" s="329" t="n">
        <f aca="false" t="array" ref="U83:U83">IF(AND(U$2&lt;&gt;0,TblTech[[#This Row],[Hour]:[Hour]]&gt;=U$2),1,0)</f>
        <v>0</v>
      </c>
      <c r="V83" s="329" t="n">
        <f aca="false" t="array" ref="V83:V83">IF(AND(V$2&lt;&gt;0,TblTech[[#This Row],[Hour]:[Hour]]&gt;=V$2),1,0)</f>
        <v>0</v>
      </c>
      <c r="W83" s="329" t="n">
        <f aca="false" t="array" ref="W83:W83">IF(AND(W$2&lt;&gt;0,TblTech[[#This Row],[Hour]:[Hour]]&gt;=W$2),1,0)</f>
        <v>0</v>
      </c>
      <c r="X83" s="329" t="n">
        <f aca="false" t="array" ref="X83:X83">IF(AND(X$2&lt;&gt;0,TblTech[[#This Row],[Hour]:[Hour]]&gt;=X$2),1,0)</f>
        <v>0</v>
      </c>
      <c r="Y83" s="329" t="n">
        <f aca="false" t="array" ref="Y83:Y83">IF(AND(Y$2&lt;&gt;0,TblTech[[#This Row],[Hour]:[Hour]]&gt;=Y$2),1,0)</f>
        <v>0</v>
      </c>
      <c r="Z83" s="329" t="n">
        <f aca="false" t="array" ref="Z83:Z83">IF(AND(Z$2&lt;&gt;0,TblTech[[#This Row],[Hour]:[Hour]]&gt;=Z$2),1,0)</f>
        <v>0</v>
      </c>
      <c r="AA83" s="329" t="n">
        <f aca="false" t="array" ref="AA83:AA83">IF(AND(AA$2&lt;&gt;0,TblTech[[#This Row],[Hour]:[Hour]]&gt;=AA$2),1,0)</f>
        <v>0</v>
      </c>
      <c r="AB83" s="329" t="n">
        <f aca="false" t="array" ref="AB83:AB83">IF(AND(AB$2&lt;&gt;0,TblTech[[#This Row],[Hour]:[Hour]]&gt;=AB$2),1,0)</f>
        <v>0</v>
      </c>
      <c r="AC83" s="329" t="n">
        <f aca="false" t="array" ref="AC83:AC83">IF(AND(AC$2&lt;&gt;0,TblTech[[#This Row],[Hour]:[Hour]]&gt;=AC$2),1,0)</f>
        <v>0</v>
      </c>
      <c r="AD83" s="329" t="n">
        <f aca="false" t="array" ref="AD83:AD83">IF(AND(AD$2&lt;&gt;0,TblTech[[#This Row],[Hour]:[Hour]]&gt;=AD$2),1,0)</f>
        <v>0</v>
      </c>
      <c r="AE83" s="329" t="n">
        <f aca="false" t="array" ref="AE83:AE83">IF(AND(AE$2&lt;&gt;0,TblTech[[#This Row],[Hour]:[Hour]]&gt;=AE$2),1,0)</f>
        <v>0</v>
      </c>
      <c r="AF83" s="329" t="n">
        <f aca="false" t="array" ref="AF83:AF83">IF(AND(AF$2&lt;&gt;0,TblTech[[#This Row],[Hour]:[Hour]]&gt;=AF$2),1,0)</f>
        <v>0</v>
      </c>
      <c r="AG83" s="329" t="n">
        <f aca="false" t="array" ref="AG83:AG83">IF(AND(AG$2&lt;&gt;0,TblTech[[#This Row],[Hour]:[Hour]]&gt;=AG$2),1,0)</f>
        <v>0</v>
      </c>
      <c r="AH83" s="329" t="n">
        <f aca="false" t="array" ref="AH83:AH83">IF(AND(AH$2&lt;&gt;0,TblTech[[#This Row],[Hour]:[Hour]]&gt;=AH$2),1,0)</f>
        <v>0</v>
      </c>
      <c r="AI83" s="329" t="n">
        <f aca="false" t="array" ref="AI83:AI83">IF(AND(AI$2&lt;&gt;0,TblTech[[#This Row],[Hour]:[Hour]]&gt;=AI$2),1,0)</f>
        <v>0</v>
      </c>
      <c r="AJ83" s="329" t="n">
        <f aca="false" t="array" ref="AJ83:AJ83">IF(AND(AJ$2&lt;&gt;0,TblTech[[#This Row],[Hour]:[Hour]]&gt;=AJ$2),1,0)</f>
        <v>0</v>
      </c>
      <c r="AK83" s="329" t="n">
        <f aca="false" t="array" ref="AK83:AK83">IF(AND(AK$2&lt;&gt;0,TblTech[[#This Row],[Hour]:[Hour]]&gt;=AK$2),1,0)</f>
        <v>0</v>
      </c>
      <c r="AL83" s="329" t="n">
        <f aca="false" t="array" ref="AL83:AL83">IF(AND(AL$2&lt;&gt;0,TblTech[[#This Row],[Hour]:[Hour]]&gt;=AL$2),1,0)</f>
        <v>0</v>
      </c>
      <c r="AM83" s="329" t="n">
        <f aca="false" t="array" ref="AM83:AM83">IF(AND(AM$2&lt;&gt;0,TblTech[[#This Row],[Hour]:[Hour]]&gt;=AM$2),1,0)</f>
        <v>0</v>
      </c>
      <c r="AN83" s="329" t="n">
        <f aca="false" t="array" ref="AN83:AN83">IF(AND(AN$2&lt;&gt;0,TblTech[[#This Row],[Hour]:[Hour]]&gt;=AN$2),1,0)</f>
        <v>0</v>
      </c>
      <c r="AO83" s="329" t="n">
        <f aca="false" t="array" ref="AO83:AO83">IF(AND(AO$2&lt;&gt;0,TblTech[[#This Row],[Hour]:[Hour]]&gt;=AO$2),1,0)</f>
        <v>0</v>
      </c>
      <c r="AP83" s="329" t="n">
        <f aca="false" t="array" ref="AP83:AP83">IF(AND(AP$2&lt;&gt;0,TblTech[[#This Row],[Hour]:[Hour]]&gt;=AP$2),1,0)</f>
        <v>0</v>
      </c>
      <c r="AQ83" s="329" t="n">
        <f aca="false" t="array" ref="AQ83:AQ83">IF(AND(AQ$2&lt;&gt;0,TblTech[[#This Row],[Hour]:[Hour]]&gt;=AQ$2),1,0)</f>
        <v>0</v>
      </c>
      <c r="AR83" s="329" t="n">
        <f aca="false" t="array" ref="AR83:AR83">IF(AND(AR$2&lt;&gt;0,TblTech[[#This Row],[Hour]:[Hour]]&gt;=AR$2),1,0)</f>
        <v>0</v>
      </c>
      <c r="AS83" s="329" t="n">
        <f aca="false" t="array" ref="AS83:AS83">IF(AND(AS$2&lt;&gt;0,TblTech[[#This Row],[Hour]:[Hour]]&gt;=AS$2),1,0)</f>
        <v>0</v>
      </c>
      <c r="AT83" s="329" t="n">
        <f aca="false" t="array" ref="AT83:AT83">IF(AND(AT$2&lt;&gt;0,TblTech[[#This Row],[Hour]:[Hour]]&gt;=AT$2),1,0)</f>
        <v>0</v>
      </c>
      <c r="AU83" s="329" t="n">
        <f aca="false" t="array" ref="AU83:AU83">IF(AND(AU$2&lt;&gt;0,TblTech[[#This Row],[Hour]:[Hour]]&gt;=AU$2),1,0)</f>
        <v>0</v>
      </c>
      <c r="AV83" s="329" t="n">
        <f aca="false" t="array" ref="AV83:AV83">IF(AND(AV$2&lt;&gt;0,TblTech[[#This Row],[Hour]:[Hour]]&gt;=AV$2),1,0)</f>
        <v>0</v>
      </c>
      <c r="AW83" s="329" t="n">
        <f aca="false" t="array" ref="AW83:AW83">IF(AND(AW$2&lt;&gt;0,TblTech[[#This Row],[Hour]:[Hour]]&gt;=AW$2),1,0)</f>
        <v>0</v>
      </c>
      <c r="AX83" s="329" t="n">
        <f aca="false" t="array" ref="AX83:AX83">IF(AND(AX$2&lt;&gt;0,TblTech[[#This Row],[Hour]:[Hour]]&gt;=AX$2),1,0)</f>
        <v>0</v>
      </c>
      <c r="AY83" s="329" t="n">
        <f aca="false" t="array" ref="AY83:AY83">IF(AND(AY$2&lt;&gt;0,TblTech[[#This Row],[Hour]:[Hour]]&gt;=AY$2),1,0)</f>
        <v>0</v>
      </c>
      <c r="AZ83" s="329" t="n">
        <f aca="false" t="array" ref="AZ83:AZ83">IF(AND(AZ$2&lt;&gt;0,TblTech[[#This Row],[Hour]:[Hour]]&gt;=AZ$2),1,0)</f>
        <v>0</v>
      </c>
      <c r="BA83" s="329" t="n">
        <f aca="false" t="array" ref="BA83:BA83">IF(AND(BA$2&lt;&gt;0,TblTech[[#This Row],[Hour]:[Hour]]&gt;=BA$2),1,0)</f>
        <v>0</v>
      </c>
      <c r="BB83" s="329" t="n">
        <f aca="false" t="array" ref="BB83:BB83">IF(AND(BB$2&lt;&gt;0,TblTech[[#This Row],[Hour]:[Hour]]&gt;=BB$2),1,0)</f>
        <v>0</v>
      </c>
      <c r="BC83" s="329" t="n">
        <f aca="false" t="array" ref="BC83:BC83">IF(AND(BC$2&lt;&gt;0,TblTech[[#This Row],[Hour]:[Hour]]&gt;=BC$2),1,0)</f>
        <v>0</v>
      </c>
      <c r="BD83" s="329" t="n">
        <f aca="false" t="array" ref="BD83:BD83">IF(AND(BD$2&lt;&gt;0,TblTech[[#This Row],[Hour]:[Hour]]&gt;=BD$2),1,0)</f>
        <v>0</v>
      </c>
      <c r="BE83" s="329" t="n">
        <f aca="false" t="array" ref="BE83:BE83">IF(AND(BE$2&lt;&gt;0,TblTech[[#This Row],[Hour]:[Hour]]&gt;=BE$2),1,0)</f>
        <v>0</v>
      </c>
      <c r="BF83" s="329" t="n">
        <f aca="false" t="array" ref="BF83:BF83">IF(AND(BF$2&lt;&gt;0,TblTech[[#This Row],[Hour]:[Hour]]&gt;=BF$2),1,0)</f>
        <v>0</v>
      </c>
      <c r="BG83" s="329" t="n">
        <f aca="false" t="array" ref="BG83:BG83">IF(AND(BG$2&lt;&gt;0,TblTech[[#This Row],[Hour]:[Hour]]&gt;=BG$2),1,0)</f>
        <v>0</v>
      </c>
      <c r="BH83" s="329" t="n">
        <f aca="false" t="array" ref="BH83:BH83">IF(AND(BH$2&lt;&gt;0,TblTech[[#This Row],[Hour]:[Hour]]&gt;=BH$2),1,0)</f>
        <v>0</v>
      </c>
      <c r="BI83" s="329" t="n">
        <f aca="false" t="array" ref="BI83:BI83">IF(AND(BI$2&lt;&gt;0,TblTech[[#This Row],[Hour]:[Hour]]&gt;=BI$2),1,0)</f>
        <v>0</v>
      </c>
      <c r="BJ83" s="329" t="n">
        <f aca="false" t="array" ref="BJ83:BJ83">IF(AND(BJ$2&lt;&gt;0,TblTech[[#This Row],[Hour]:[Hour]]&gt;=BJ$2),1,0)</f>
        <v>0</v>
      </c>
      <c r="BK83" s="329" t="n">
        <f aca="false" t="array" ref="BK83:BK83">IF(AND(BK$2&lt;&gt;0,TblTech[[#This Row],[Hour]:[Hour]]&gt;=BK$2),1,0)</f>
        <v>0</v>
      </c>
      <c r="BL83" s="329" t="n">
        <f aca="false" t="array" ref="BL83:BL83">IF(AND(BL$2&lt;&gt;0,TblTech[[#This Row],[Hour]:[Hour]]&gt;=BL$2),1,0)</f>
        <v>0</v>
      </c>
      <c r="BM83" s="329" t="n">
        <f aca="false" t="array" ref="BM83:BM83">IF(AND(BM$2&lt;&gt;0,TblTech[[#This Row],[Hour]:[Hour]]&gt;=BM$2),1,0)</f>
        <v>0</v>
      </c>
      <c r="BN83" s="329" t="n">
        <f aca="false" t="array" ref="BN83:BN83">IF(AND(BN$2&lt;&gt;0,TblTech[[#This Row],[Hour]:[Hour]]&gt;=BN$2),1,0)</f>
        <v>0</v>
      </c>
      <c r="BO83" s="329" t="n">
        <f aca="false" t="array" ref="BO83:BO83">IF(AND(BO$2&lt;&gt;0,TblTech[[#This Row],[Hour]:[Hour]]&gt;=BO$2),1,0)</f>
        <v>0</v>
      </c>
      <c r="BP83" s="329" t="n">
        <f aca="false" t="array" ref="BP83:BP83">IF(AND(BP$2&lt;&gt;0,TblTech[[#This Row],[Hour]:[Hour]]&gt;=BP$2),1,0)</f>
        <v>0</v>
      </c>
      <c r="BQ83" s="329" t="n">
        <f aca="false" t="array" ref="BQ83:BQ83">IF(AND(BQ$2&lt;&gt;0,TblTech[[#This Row],[Hour]:[Hour]]&gt;=BQ$2),1,0)</f>
        <v>0</v>
      </c>
      <c r="BR83" s="329" t="n">
        <f aca="false" t="array" ref="BR83:BR83">IF(AND(BR$2&lt;&gt;0,TblTech[[#This Row],[Hour]:[Hour]]&gt;=BR$2),1,0)</f>
        <v>0</v>
      </c>
      <c r="BS83" s="329" t="n">
        <f aca="false" t="array" ref="BS83:BS83">IF(AND(BS$2&lt;&gt;0,TblTech[[#This Row],[Hour]:[Hour]]&gt;=BS$2),1,0)</f>
        <v>0</v>
      </c>
      <c r="BT83" s="329" t="n">
        <f aca="false" t="array" ref="BT83:BT83">IF(AND(BT$2&lt;&gt;0,TblTech[[#This Row],[Hour]:[Hour]]&gt;=BT$2),1,0)</f>
        <v>0</v>
      </c>
      <c r="BU83" s="329" t="n">
        <f aca="false" t="array" ref="BU83:BU83">IF(AND(BU$2&lt;&gt;0,TblTech[[#This Row],[Hour]:[Hour]]&gt;=BU$2),1,0)</f>
        <v>0</v>
      </c>
      <c r="BV83" s="329" t="n">
        <f aca="false" t="array" ref="BV83:BV83">IF(AND(BV$2&lt;&gt;0,TblTech[[#This Row],[Hour]:[Hour]]&gt;=BV$2),1,0)</f>
        <v>0</v>
      </c>
      <c r="BW83" s="329" t="n">
        <f aca="false" t="array" ref="BW83:BW83">IF(AND(BW$2&lt;&gt;0,TblTech[[#This Row],[Hour]:[Hour]]&gt;=BW$2),1,0)</f>
        <v>0</v>
      </c>
      <c r="BX83" s="329" t="n">
        <f aca="false" t="array" ref="BX83:BX83">IF(AND(BX$2&lt;&gt;0,TblTech[[#This Row],[Hour]:[Hour]]&gt;=BX$2),1,0)</f>
        <v>0</v>
      </c>
      <c r="BY83" s="329" t="n">
        <f aca="false" t="array" ref="BY83:BY83">IF(AND(BY$2&lt;&gt;0,TblTech[[#This Row],[Hour]:[Hour]]&gt;=BY$2),1,0)</f>
        <v>0</v>
      </c>
      <c r="BZ83" s="329" t="n">
        <f aca="false" t="array" ref="BZ83:BZ83">IF(AND(BZ$2&lt;&gt;0,TblTech[[#This Row],[Hour]:[Hour]]&gt;=BZ$2),1,0)</f>
        <v>0</v>
      </c>
      <c r="CA83" s="330" t="n">
        <f aca="false">IFERROR(INDEX($H$4:$H$79,MATCH(INDEX(TblTech[[#Headers],[1-1]:[11-1]],1,MATCH(TblTech[[#This Row],[Hour]],$M$2:$BZ$2,0)),$G$4:$G$79,0)),)</f>
        <v>0</v>
      </c>
    </row>
    <row r="84" customFormat="false" ht="12.75" hidden="false" customHeight="false" outlineLevel="0" collapsed="false">
      <c r="A84" s="321" t="n">
        <f aca="false">TblRezone[[#This Row],[Hour]]</f>
        <v>81</v>
      </c>
      <c r="B84" s="322" t="n">
        <f aca="false">TblExplore[[#This Row],[Land-DB]]</f>
        <v>700</v>
      </c>
      <c r="C84" s="323" t="n">
        <f aca="false">TblProd[[#This Row],[Techpoints]]</f>
        <v>1400</v>
      </c>
      <c r="D84" s="323" t="n">
        <f aca="false">TblProd[[#This Row],[Required]]</f>
        <v>3750</v>
      </c>
      <c r="E84" s="333"/>
      <c r="F84" s="334"/>
      <c r="G84" s="326"/>
      <c r="H84" s="327"/>
      <c r="I84" s="327"/>
      <c r="J84" s="327"/>
      <c r="K84" s="68" t="n">
        <f aca="false">IF(TblTech[[#This Row],[Sum of tech]]&lt;&gt;OFFSET(TblTech[[#This Row],[Sum of tech]],-1,0),1,0)</f>
        <v>0</v>
      </c>
      <c r="L84" s="328" t="n">
        <f aca="false">COUNTIF(TblTech[[#This Row],[1-1]:[11-1]],1)</f>
        <v>0</v>
      </c>
      <c r="M84" s="329" t="n">
        <f aca="false" t="array" ref="M84:M84">IF(AND(M$2&lt;&gt;0,TblTech[[#This Row],[Hour]:[Hour]]&gt;=M$2),1,0)</f>
        <v>0</v>
      </c>
      <c r="N84" s="329" t="n">
        <f aca="false" t="array" ref="N84:N84">IF(AND(N$2&lt;&gt;0,TblTech[[#This Row],[Hour]:[Hour]]&gt;=N$2),1,0)</f>
        <v>0</v>
      </c>
      <c r="O84" s="329" t="n">
        <f aca="false" t="array" ref="O84:O84">IF(AND(O$2&lt;&gt;0,TblTech[[#This Row],[Hour]:[Hour]]&gt;=O$2),1,0)</f>
        <v>0</v>
      </c>
      <c r="P84" s="329" t="n">
        <f aca="false" t="array" ref="P84:P84">IF(AND(P$2&lt;&gt;0,TblTech[[#This Row],[Hour]:[Hour]]&gt;=P$2),1,0)</f>
        <v>0</v>
      </c>
      <c r="Q84" s="329" t="n">
        <f aca="false" t="array" ref="Q84:Q84">IF(AND(Q$2&lt;&gt;0,TblTech[[#This Row],[Hour]:[Hour]]&gt;=Q$2),1,0)</f>
        <v>0</v>
      </c>
      <c r="R84" s="329" t="n">
        <f aca="false" t="array" ref="R84:R84">IF(AND(R$2&lt;&gt;0,TblTech[[#This Row],[Hour]:[Hour]]&gt;=R$2),1,0)</f>
        <v>0</v>
      </c>
      <c r="S84" s="329" t="n">
        <f aca="false" t="array" ref="S84:S84">IF(AND(S$2&lt;&gt;0,TblTech[[#This Row],[Hour]:[Hour]]&gt;=S$2),1,0)</f>
        <v>0</v>
      </c>
      <c r="T84" s="329" t="n">
        <f aca="false" t="array" ref="T84:T84">IF(AND(T$2&lt;&gt;0,TblTech[[#This Row],[Hour]:[Hour]]&gt;=T$2),1,0)</f>
        <v>0</v>
      </c>
      <c r="U84" s="329" t="n">
        <f aca="false" t="array" ref="U84:U84">IF(AND(U$2&lt;&gt;0,TblTech[[#This Row],[Hour]:[Hour]]&gt;=U$2),1,0)</f>
        <v>0</v>
      </c>
      <c r="V84" s="329" t="n">
        <f aca="false" t="array" ref="V84:V84">IF(AND(V$2&lt;&gt;0,TblTech[[#This Row],[Hour]:[Hour]]&gt;=V$2),1,0)</f>
        <v>0</v>
      </c>
      <c r="W84" s="329" t="n">
        <f aca="false" t="array" ref="W84:W84">IF(AND(W$2&lt;&gt;0,TblTech[[#This Row],[Hour]:[Hour]]&gt;=W$2),1,0)</f>
        <v>0</v>
      </c>
      <c r="X84" s="329" t="n">
        <f aca="false" t="array" ref="X84:X84">IF(AND(X$2&lt;&gt;0,TblTech[[#This Row],[Hour]:[Hour]]&gt;=X$2),1,0)</f>
        <v>0</v>
      </c>
      <c r="Y84" s="329" t="n">
        <f aca="false" t="array" ref="Y84:Y84">IF(AND(Y$2&lt;&gt;0,TblTech[[#This Row],[Hour]:[Hour]]&gt;=Y$2),1,0)</f>
        <v>0</v>
      </c>
      <c r="Z84" s="329" t="n">
        <f aca="false" t="array" ref="Z84:Z84">IF(AND(Z$2&lt;&gt;0,TblTech[[#This Row],[Hour]:[Hour]]&gt;=Z$2),1,0)</f>
        <v>0</v>
      </c>
      <c r="AA84" s="329" t="n">
        <f aca="false" t="array" ref="AA84:AA84">IF(AND(AA$2&lt;&gt;0,TblTech[[#This Row],[Hour]:[Hour]]&gt;=AA$2),1,0)</f>
        <v>0</v>
      </c>
      <c r="AB84" s="329" t="n">
        <f aca="false" t="array" ref="AB84:AB84">IF(AND(AB$2&lt;&gt;0,TblTech[[#This Row],[Hour]:[Hour]]&gt;=AB$2),1,0)</f>
        <v>0</v>
      </c>
      <c r="AC84" s="329" t="n">
        <f aca="false" t="array" ref="AC84:AC84">IF(AND(AC$2&lt;&gt;0,TblTech[[#This Row],[Hour]:[Hour]]&gt;=AC$2),1,0)</f>
        <v>0</v>
      </c>
      <c r="AD84" s="329" t="n">
        <f aca="false" t="array" ref="AD84:AD84">IF(AND(AD$2&lt;&gt;0,TblTech[[#This Row],[Hour]:[Hour]]&gt;=AD$2),1,0)</f>
        <v>0</v>
      </c>
      <c r="AE84" s="329" t="n">
        <f aca="false" t="array" ref="AE84:AE84">IF(AND(AE$2&lt;&gt;0,TblTech[[#This Row],[Hour]:[Hour]]&gt;=AE$2),1,0)</f>
        <v>0</v>
      </c>
      <c r="AF84" s="329" t="n">
        <f aca="false" t="array" ref="AF84:AF84">IF(AND(AF$2&lt;&gt;0,TblTech[[#This Row],[Hour]:[Hour]]&gt;=AF$2),1,0)</f>
        <v>0</v>
      </c>
      <c r="AG84" s="329" t="n">
        <f aca="false" t="array" ref="AG84:AG84">IF(AND(AG$2&lt;&gt;0,TblTech[[#This Row],[Hour]:[Hour]]&gt;=AG$2),1,0)</f>
        <v>0</v>
      </c>
      <c r="AH84" s="329" t="n">
        <f aca="false" t="array" ref="AH84:AH84">IF(AND(AH$2&lt;&gt;0,TblTech[[#This Row],[Hour]:[Hour]]&gt;=AH$2),1,0)</f>
        <v>0</v>
      </c>
      <c r="AI84" s="329" t="n">
        <f aca="false" t="array" ref="AI84:AI84">IF(AND(AI$2&lt;&gt;0,TblTech[[#This Row],[Hour]:[Hour]]&gt;=AI$2),1,0)</f>
        <v>0</v>
      </c>
      <c r="AJ84" s="329" t="n">
        <f aca="false" t="array" ref="AJ84:AJ84">IF(AND(AJ$2&lt;&gt;0,TblTech[[#This Row],[Hour]:[Hour]]&gt;=AJ$2),1,0)</f>
        <v>0</v>
      </c>
      <c r="AK84" s="329" t="n">
        <f aca="false" t="array" ref="AK84:AK84">IF(AND(AK$2&lt;&gt;0,TblTech[[#This Row],[Hour]:[Hour]]&gt;=AK$2),1,0)</f>
        <v>0</v>
      </c>
      <c r="AL84" s="329" t="n">
        <f aca="false" t="array" ref="AL84:AL84">IF(AND(AL$2&lt;&gt;0,TblTech[[#This Row],[Hour]:[Hour]]&gt;=AL$2),1,0)</f>
        <v>0</v>
      </c>
      <c r="AM84" s="329" t="n">
        <f aca="false" t="array" ref="AM84:AM84">IF(AND(AM$2&lt;&gt;0,TblTech[[#This Row],[Hour]:[Hour]]&gt;=AM$2),1,0)</f>
        <v>0</v>
      </c>
      <c r="AN84" s="329" t="n">
        <f aca="false" t="array" ref="AN84:AN84">IF(AND(AN$2&lt;&gt;0,TblTech[[#This Row],[Hour]:[Hour]]&gt;=AN$2),1,0)</f>
        <v>0</v>
      </c>
      <c r="AO84" s="329" t="n">
        <f aca="false" t="array" ref="AO84:AO84">IF(AND(AO$2&lt;&gt;0,TblTech[[#This Row],[Hour]:[Hour]]&gt;=AO$2),1,0)</f>
        <v>0</v>
      </c>
      <c r="AP84" s="329" t="n">
        <f aca="false" t="array" ref="AP84:AP84">IF(AND(AP$2&lt;&gt;0,TblTech[[#This Row],[Hour]:[Hour]]&gt;=AP$2),1,0)</f>
        <v>0</v>
      </c>
      <c r="AQ84" s="329" t="n">
        <f aca="false" t="array" ref="AQ84:AQ84">IF(AND(AQ$2&lt;&gt;0,TblTech[[#This Row],[Hour]:[Hour]]&gt;=AQ$2),1,0)</f>
        <v>0</v>
      </c>
      <c r="AR84" s="329" t="n">
        <f aca="false" t="array" ref="AR84:AR84">IF(AND(AR$2&lt;&gt;0,TblTech[[#This Row],[Hour]:[Hour]]&gt;=AR$2),1,0)</f>
        <v>0</v>
      </c>
      <c r="AS84" s="329" t="n">
        <f aca="false" t="array" ref="AS84:AS84">IF(AND(AS$2&lt;&gt;0,TblTech[[#This Row],[Hour]:[Hour]]&gt;=AS$2),1,0)</f>
        <v>0</v>
      </c>
      <c r="AT84" s="329" t="n">
        <f aca="false" t="array" ref="AT84:AT84">IF(AND(AT$2&lt;&gt;0,TblTech[[#This Row],[Hour]:[Hour]]&gt;=AT$2),1,0)</f>
        <v>0</v>
      </c>
      <c r="AU84" s="329" t="n">
        <f aca="false" t="array" ref="AU84:AU84">IF(AND(AU$2&lt;&gt;0,TblTech[[#This Row],[Hour]:[Hour]]&gt;=AU$2),1,0)</f>
        <v>0</v>
      </c>
      <c r="AV84" s="329" t="n">
        <f aca="false" t="array" ref="AV84:AV84">IF(AND(AV$2&lt;&gt;0,TblTech[[#This Row],[Hour]:[Hour]]&gt;=AV$2),1,0)</f>
        <v>0</v>
      </c>
      <c r="AW84" s="329" t="n">
        <f aca="false" t="array" ref="AW84:AW84">IF(AND(AW$2&lt;&gt;0,TblTech[[#This Row],[Hour]:[Hour]]&gt;=AW$2),1,0)</f>
        <v>0</v>
      </c>
      <c r="AX84" s="329" t="n">
        <f aca="false" t="array" ref="AX84:AX84">IF(AND(AX$2&lt;&gt;0,TblTech[[#This Row],[Hour]:[Hour]]&gt;=AX$2),1,0)</f>
        <v>0</v>
      </c>
      <c r="AY84" s="329" t="n">
        <f aca="false" t="array" ref="AY84:AY84">IF(AND(AY$2&lt;&gt;0,TblTech[[#This Row],[Hour]:[Hour]]&gt;=AY$2),1,0)</f>
        <v>0</v>
      </c>
      <c r="AZ84" s="329" t="n">
        <f aca="false" t="array" ref="AZ84:AZ84">IF(AND(AZ$2&lt;&gt;0,TblTech[[#This Row],[Hour]:[Hour]]&gt;=AZ$2),1,0)</f>
        <v>0</v>
      </c>
      <c r="BA84" s="329" t="n">
        <f aca="false" t="array" ref="BA84:BA84">IF(AND(BA$2&lt;&gt;0,TblTech[[#This Row],[Hour]:[Hour]]&gt;=BA$2),1,0)</f>
        <v>0</v>
      </c>
      <c r="BB84" s="329" t="n">
        <f aca="false" t="array" ref="BB84:BB84">IF(AND(BB$2&lt;&gt;0,TblTech[[#This Row],[Hour]:[Hour]]&gt;=BB$2),1,0)</f>
        <v>0</v>
      </c>
      <c r="BC84" s="329" t="n">
        <f aca="false" t="array" ref="BC84:BC84">IF(AND(BC$2&lt;&gt;0,TblTech[[#This Row],[Hour]:[Hour]]&gt;=BC$2),1,0)</f>
        <v>0</v>
      </c>
      <c r="BD84" s="329" t="n">
        <f aca="false" t="array" ref="BD84:BD84">IF(AND(BD$2&lt;&gt;0,TblTech[[#This Row],[Hour]:[Hour]]&gt;=BD$2),1,0)</f>
        <v>0</v>
      </c>
      <c r="BE84" s="329" t="n">
        <f aca="false" t="array" ref="BE84:BE84">IF(AND(BE$2&lt;&gt;0,TblTech[[#This Row],[Hour]:[Hour]]&gt;=BE$2),1,0)</f>
        <v>0</v>
      </c>
      <c r="BF84" s="329" t="n">
        <f aca="false" t="array" ref="BF84:BF84">IF(AND(BF$2&lt;&gt;0,TblTech[[#This Row],[Hour]:[Hour]]&gt;=BF$2),1,0)</f>
        <v>0</v>
      </c>
      <c r="BG84" s="329" t="n">
        <f aca="false" t="array" ref="BG84:BG84">IF(AND(BG$2&lt;&gt;0,TblTech[[#This Row],[Hour]:[Hour]]&gt;=BG$2),1,0)</f>
        <v>0</v>
      </c>
      <c r="BH84" s="329" t="n">
        <f aca="false" t="array" ref="BH84:BH84">IF(AND(BH$2&lt;&gt;0,TblTech[[#This Row],[Hour]:[Hour]]&gt;=BH$2),1,0)</f>
        <v>0</v>
      </c>
      <c r="BI84" s="329" t="n">
        <f aca="false" t="array" ref="BI84:BI84">IF(AND(BI$2&lt;&gt;0,TblTech[[#This Row],[Hour]:[Hour]]&gt;=BI$2),1,0)</f>
        <v>0</v>
      </c>
      <c r="BJ84" s="329" t="n">
        <f aca="false" t="array" ref="BJ84:BJ84">IF(AND(BJ$2&lt;&gt;0,TblTech[[#This Row],[Hour]:[Hour]]&gt;=BJ$2),1,0)</f>
        <v>0</v>
      </c>
      <c r="BK84" s="329" t="n">
        <f aca="false" t="array" ref="BK84:BK84">IF(AND(BK$2&lt;&gt;0,TblTech[[#This Row],[Hour]:[Hour]]&gt;=BK$2),1,0)</f>
        <v>0</v>
      </c>
      <c r="BL84" s="329" t="n">
        <f aca="false" t="array" ref="BL84:BL84">IF(AND(BL$2&lt;&gt;0,TblTech[[#This Row],[Hour]:[Hour]]&gt;=BL$2),1,0)</f>
        <v>0</v>
      </c>
      <c r="BM84" s="329" t="n">
        <f aca="false" t="array" ref="BM84:BM84">IF(AND(BM$2&lt;&gt;0,TblTech[[#This Row],[Hour]:[Hour]]&gt;=BM$2),1,0)</f>
        <v>0</v>
      </c>
      <c r="BN84" s="329" t="n">
        <f aca="false" t="array" ref="BN84:BN84">IF(AND(BN$2&lt;&gt;0,TblTech[[#This Row],[Hour]:[Hour]]&gt;=BN$2),1,0)</f>
        <v>0</v>
      </c>
      <c r="BO84" s="329" t="n">
        <f aca="false" t="array" ref="BO84:BO84">IF(AND(BO$2&lt;&gt;0,TblTech[[#This Row],[Hour]:[Hour]]&gt;=BO$2),1,0)</f>
        <v>0</v>
      </c>
      <c r="BP84" s="329" t="n">
        <f aca="false" t="array" ref="BP84:BP84">IF(AND(BP$2&lt;&gt;0,TblTech[[#This Row],[Hour]:[Hour]]&gt;=BP$2),1,0)</f>
        <v>0</v>
      </c>
      <c r="BQ84" s="329" t="n">
        <f aca="false" t="array" ref="BQ84:BQ84">IF(AND(BQ$2&lt;&gt;0,TblTech[[#This Row],[Hour]:[Hour]]&gt;=BQ$2),1,0)</f>
        <v>0</v>
      </c>
      <c r="BR84" s="329" t="n">
        <f aca="false" t="array" ref="BR84:BR84">IF(AND(BR$2&lt;&gt;0,TblTech[[#This Row],[Hour]:[Hour]]&gt;=BR$2),1,0)</f>
        <v>0</v>
      </c>
      <c r="BS84" s="329" t="n">
        <f aca="false" t="array" ref="BS84:BS84">IF(AND(BS$2&lt;&gt;0,TblTech[[#This Row],[Hour]:[Hour]]&gt;=BS$2),1,0)</f>
        <v>0</v>
      </c>
      <c r="BT84" s="329" t="n">
        <f aca="false" t="array" ref="BT84:BT84">IF(AND(BT$2&lt;&gt;0,TblTech[[#This Row],[Hour]:[Hour]]&gt;=BT$2),1,0)</f>
        <v>0</v>
      </c>
      <c r="BU84" s="329" t="n">
        <f aca="false" t="array" ref="BU84:BU84">IF(AND(BU$2&lt;&gt;0,TblTech[[#This Row],[Hour]:[Hour]]&gt;=BU$2),1,0)</f>
        <v>0</v>
      </c>
      <c r="BV84" s="329" t="n">
        <f aca="false" t="array" ref="BV84:BV84">IF(AND(BV$2&lt;&gt;0,TblTech[[#This Row],[Hour]:[Hour]]&gt;=BV$2),1,0)</f>
        <v>0</v>
      </c>
      <c r="BW84" s="329" t="n">
        <f aca="false" t="array" ref="BW84:BW84">IF(AND(BW$2&lt;&gt;0,TblTech[[#This Row],[Hour]:[Hour]]&gt;=BW$2),1,0)</f>
        <v>0</v>
      </c>
      <c r="BX84" s="329" t="n">
        <f aca="false" t="array" ref="BX84:BX84">IF(AND(BX$2&lt;&gt;0,TblTech[[#This Row],[Hour]:[Hour]]&gt;=BX$2),1,0)</f>
        <v>0</v>
      </c>
      <c r="BY84" s="329" t="n">
        <f aca="false" t="array" ref="BY84:BY84">IF(AND(BY$2&lt;&gt;0,TblTech[[#This Row],[Hour]:[Hour]]&gt;=BY$2),1,0)</f>
        <v>0</v>
      </c>
      <c r="BZ84" s="329" t="n">
        <f aca="false" t="array" ref="BZ84:BZ84">IF(AND(BZ$2&lt;&gt;0,TblTech[[#This Row],[Hour]:[Hour]]&gt;=BZ$2),1,0)</f>
        <v>0</v>
      </c>
      <c r="CA84" s="330" t="n">
        <f aca="false">IFERROR(INDEX($H$4:$H$79,MATCH(INDEX(TblTech[[#Headers],[1-1]:[11-1]],1,MATCH(TblTech[[#This Row],[Hour]],$M$2:$BZ$2,0)),$G$4:$G$79,0)),)</f>
        <v>0</v>
      </c>
    </row>
    <row r="85" customFormat="false" ht="12.75" hidden="false" customHeight="false" outlineLevel="0" collapsed="false">
      <c r="A85" s="321" t="n">
        <f aca="false">TblRezone[[#This Row],[Hour]]</f>
        <v>82</v>
      </c>
      <c r="B85" s="322" t="n">
        <f aca="false">TblExplore[[#This Row],[Land-DB]]</f>
        <v>700</v>
      </c>
      <c r="C85" s="323" t="n">
        <f aca="false">TblProd[[#This Row],[Techpoints]]</f>
        <v>1400</v>
      </c>
      <c r="D85" s="323" t="n">
        <f aca="false">TblProd[[#This Row],[Required]]</f>
        <v>3750</v>
      </c>
      <c r="E85" s="333"/>
      <c r="F85" s="334"/>
      <c r="G85" s="326"/>
      <c r="H85" s="327"/>
      <c r="I85" s="327"/>
      <c r="J85" s="327"/>
      <c r="K85" s="68" t="n">
        <f aca="false">IF(TblTech[[#This Row],[Sum of tech]]&lt;&gt;OFFSET(TblTech[[#This Row],[Sum of tech]],-1,0),1,0)</f>
        <v>0</v>
      </c>
      <c r="L85" s="328" t="n">
        <f aca="false">COUNTIF(TblTech[[#This Row],[1-1]:[11-1]],1)</f>
        <v>0</v>
      </c>
      <c r="M85" s="329" t="n">
        <f aca="false" t="array" ref="M85:M85">IF(AND(M$2&lt;&gt;0,TblTech[[#This Row],[Hour]:[Hour]]&gt;=M$2),1,0)</f>
        <v>0</v>
      </c>
      <c r="N85" s="329" t="n">
        <f aca="false" t="array" ref="N85:N85">IF(AND(N$2&lt;&gt;0,TblTech[[#This Row],[Hour]:[Hour]]&gt;=N$2),1,0)</f>
        <v>0</v>
      </c>
      <c r="O85" s="329" t="n">
        <f aca="false" t="array" ref="O85:O85">IF(AND(O$2&lt;&gt;0,TblTech[[#This Row],[Hour]:[Hour]]&gt;=O$2),1,0)</f>
        <v>0</v>
      </c>
      <c r="P85" s="329" t="n">
        <f aca="false" t="array" ref="P85:P85">IF(AND(P$2&lt;&gt;0,TblTech[[#This Row],[Hour]:[Hour]]&gt;=P$2),1,0)</f>
        <v>0</v>
      </c>
      <c r="Q85" s="329" t="n">
        <f aca="false" t="array" ref="Q85:Q85">IF(AND(Q$2&lt;&gt;0,TblTech[[#This Row],[Hour]:[Hour]]&gt;=Q$2),1,0)</f>
        <v>0</v>
      </c>
      <c r="R85" s="329" t="n">
        <f aca="false" t="array" ref="R85:R85">IF(AND(R$2&lt;&gt;0,TblTech[[#This Row],[Hour]:[Hour]]&gt;=R$2),1,0)</f>
        <v>0</v>
      </c>
      <c r="S85" s="329" t="n">
        <f aca="false" t="array" ref="S85:S85">IF(AND(S$2&lt;&gt;0,TblTech[[#This Row],[Hour]:[Hour]]&gt;=S$2),1,0)</f>
        <v>0</v>
      </c>
      <c r="T85" s="329" t="n">
        <f aca="false" t="array" ref="T85:T85">IF(AND(T$2&lt;&gt;0,TblTech[[#This Row],[Hour]:[Hour]]&gt;=T$2),1,0)</f>
        <v>0</v>
      </c>
      <c r="U85" s="329" t="n">
        <f aca="false" t="array" ref="U85:U85">IF(AND(U$2&lt;&gt;0,TblTech[[#This Row],[Hour]:[Hour]]&gt;=U$2),1,0)</f>
        <v>0</v>
      </c>
      <c r="V85" s="329" t="n">
        <f aca="false" t="array" ref="V85:V85">IF(AND(V$2&lt;&gt;0,TblTech[[#This Row],[Hour]:[Hour]]&gt;=V$2),1,0)</f>
        <v>0</v>
      </c>
      <c r="W85" s="329" t="n">
        <f aca="false" t="array" ref="W85:W85">IF(AND(W$2&lt;&gt;0,TblTech[[#This Row],[Hour]:[Hour]]&gt;=W$2),1,0)</f>
        <v>0</v>
      </c>
      <c r="X85" s="329" t="n">
        <f aca="false" t="array" ref="X85:X85">IF(AND(X$2&lt;&gt;0,TblTech[[#This Row],[Hour]:[Hour]]&gt;=X$2),1,0)</f>
        <v>0</v>
      </c>
      <c r="Y85" s="329" t="n">
        <f aca="false" t="array" ref="Y85:Y85">IF(AND(Y$2&lt;&gt;0,TblTech[[#This Row],[Hour]:[Hour]]&gt;=Y$2),1,0)</f>
        <v>0</v>
      </c>
      <c r="Z85" s="329" t="n">
        <f aca="false" t="array" ref="Z85:Z85">IF(AND(Z$2&lt;&gt;0,TblTech[[#This Row],[Hour]:[Hour]]&gt;=Z$2),1,0)</f>
        <v>0</v>
      </c>
      <c r="AA85" s="329" t="n">
        <f aca="false" t="array" ref="AA85:AA85">IF(AND(AA$2&lt;&gt;0,TblTech[[#This Row],[Hour]:[Hour]]&gt;=AA$2),1,0)</f>
        <v>0</v>
      </c>
      <c r="AB85" s="329" t="n">
        <f aca="false" t="array" ref="AB85:AB85">IF(AND(AB$2&lt;&gt;0,TblTech[[#This Row],[Hour]:[Hour]]&gt;=AB$2),1,0)</f>
        <v>0</v>
      </c>
      <c r="AC85" s="329" t="n">
        <f aca="false" t="array" ref="AC85:AC85">IF(AND(AC$2&lt;&gt;0,TblTech[[#This Row],[Hour]:[Hour]]&gt;=AC$2),1,0)</f>
        <v>0</v>
      </c>
      <c r="AD85" s="329" t="n">
        <f aca="false" t="array" ref="AD85:AD85">IF(AND(AD$2&lt;&gt;0,TblTech[[#This Row],[Hour]:[Hour]]&gt;=AD$2),1,0)</f>
        <v>0</v>
      </c>
      <c r="AE85" s="329" t="n">
        <f aca="false" t="array" ref="AE85:AE85">IF(AND(AE$2&lt;&gt;0,TblTech[[#This Row],[Hour]:[Hour]]&gt;=AE$2),1,0)</f>
        <v>0</v>
      </c>
      <c r="AF85" s="329" t="n">
        <f aca="false" t="array" ref="AF85:AF85">IF(AND(AF$2&lt;&gt;0,TblTech[[#This Row],[Hour]:[Hour]]&gt;=AF$2),1,0)</f>
        <v>0</v>
      </c>
      <c r="AG85" s="329" t="n">
        <f aca="false" t="array" ref="AG85:AG85">IF(AND(AG$2&lt;&gt;0,TblTech[[#This Row],[Hour]:[Hour]]&gt;=AG$2),1,0)</f>
        <v>0</v>
      </c>
      <c r="AH85" s="329" t="n">
        <f aca="false" t="array" ref="AH85:AH85">IF(AND(AH$2&lt;&gt;0,TblTech[[#This Row],[Hour]:[Hour]]&gt;=AH$2),1,0)</f>
        <v>0</v>
      </c>
      <c r="AI85" s="329" t="n">
        <f aca="false" t="array" ref="AI85:AI85">IF(AND(AI$2&lt;&gt;0,TblTech[[#This Row],[Hour]:[Hour]]&gt;=AI$2),1,0)</f>
        <v>0</v>
      </c>
      <c r="AJ85" s="329" t="n">
        <f aca="false" t="array" ref="AJ85:AJ85">IF(AND(AJ$2&lt;&gt;0,TblTech[[#This Row],[Hour]:[Hour]]&gt;=AJ$2),1,0)</f>
        <v>0</v>
      </c>
      <c r="AK85" s="329" t="n">
        <f aca="false" t="array" ref="AK85:AK85">IF(AND(AK$2&lt;&gt;0,TblTech[[#This Row],[Hour]:[Hour]]&gt;=AK$2),1,0)</f>
        <v>0</v>
      </c>
      <c r="AL85" s="329" t="n">
        <f aca="false" t="array" ref="AL85:AL85">IF(AND(AL$2&lt;&gt;0,TblTech[[#This Row],[Hour]:[Hour]]&gt;=AL$2),1,0)</f>
        <v>0</v>
      </c>
      <c r="AM85" s="329" t="n">
        <f aca="false" t="array" ref="AM85:AM85">IF(AND(AM$2&lt;&gt;0,TblTech[[#This Row],[Hour]:[Hour]]&gt;=AM$2),1,0)</f>
        <v>0</v>
      </c>
      <c r="AN85" s="329" t="n">
        <f aca="false" t="array" ref="AN85:AN85">IF(AND(AN$2&lt;&gt;0,TblTech[[#This Row],[Hour]:[Hour]]&gt;=AN$2),1,0)</f>
        <v>0</v>
      </c>
      <c r="AO85" s="329" t="n">
        <f aca="false" t="array" ref="AO85:AO85">IF(AND(AO$2&lt;&gt;0,TblTech[[#This Row],[Hour]:[Hour]]&gt;=AO$2),1,0)</f>
        <v>0</v>
      </c>
      <c r="AP85" s="329" t="n">
        <f aca="false" t="array" ref="AP85:AP85">IF(AND(AP$2&lt;&gt;0,TblTech[[#This Row],[Hour]:[Hour]]&gt;=AP$2),1,0)</f>
        <v>0</v>
      </c>
      <c r="AQ85" s="329" t="n">
        <f aca="false" t="array" ref="AQ85:AQ85">IF(AND(AQ$2&lt;&gt;0,TblTech[[#This Row],[Hour]:[Hour]]&gt;=AQ$2),1,0)</f>
        <v>0</v>
      </c>
      <c r="AR85" s="329" t="n">
        <f aca="false" t="array" ref="AR85:AR85">IF(AND(AR$2&lt;&gt;0,TblTech[[#This Row],[Hour]:[Hour]]&gt;=AR$2),1,0)</f>
        <v>0</v>
      </c>
      <c r="AS85" s="329" t="n">
        <f aca="false" t="array" ref="AS85:AS85">IF(AND(AS$2&lt;&gt;0,TblTech[[#This Row],[Hour]:[Hour]]&gt;=AS$2),1,0)</f>
        <v>0</v>
      </c>
      <c r="AT85" s="329" t="n">
        <f aca="false" t="array" ref="AT85:AT85">IF(AND(AT$2&lt;&gt;0,TblTech[[#This Row],[Hour]:[Hour]]&gt;=AT$2),1,0)</f>
        <v>0</v>
      </c>
      <c r="AU85" s="329" t="n">
        <f aca="false" t="array" ref="AU85:AU85">IF(AND(AU$2&lt;&gt;0,TblTech[[#This Row],[Hour]:[Hour]]&gt;=AU$2),1,0)</f>
        <v>0</v>
      </c>
      <c r="AV85" s="329" t="n">
        <f aca="false" t="array" ref="AV85:AV85">IF(AND(AV$2&lt;&gt;0,TblTech[[#This Row],[Hour]:[Hour]]&gt;=AV$2),1,0)</f>
        <v>0</v>
      </c>
      <c r="AW85" s="329" t="n">
        <f aca="false" t="array" ref="AW85:AW85">IF(AND(AW$2&lt;&gt;0,TblTech[[#This Row],[Hour]:[Hour]]&gt;=AW$2),1,0)</f>
        <v>0</v>
      </c>
      <c r="AX85" s="329" t="n">
        <f aca="false" t="array" ref="AX85:AX85">IF(AND(AX$2&lt;&gt;0,TblTech[[#This Row],[Hour]:[Hour]]&gt;=AX$2),1,0)</f>
        <v>0</v>
      </c>
      <c r="AY85" s="329" t="n">
        <f aca="false" t="array" ref="AY85:AY85">IF(AND(AY$2&lt;&gt;0,TblTech[[#This Row],[Hour]:[Hour]]&gt;=AY$2),1,0)</f>
        <v>0</v>
      </c>
      <c r="AZ85" s="329" t="n">
        <f aca="false" t="array" ref="AZ85:AZ85">IF(AND(AZ$2&lt;&gt;0,TblTech[[#This Row],[Hour]:[Hour]]&gt;=AZ$2),1,0)</f>
        <v>0</v>
      </c>
      <c r="BA85" s="329" t="n">
        <f aca="false" t="array" ref="BA85:BA85">IF(AND(BA$2&lt;&gt;0,TblTech[[#This Row],[Hour]:[Hour]]&gt;=BA$2),1,0)</f>
        <v>0</v>
      </c>
      <c r="BB85" s="329" t="n">
        <f aca="false" t="array" ref="BB85:BB85">IF(AND(BB$2&lt;&gt;0,TblTech[[#This Row],[Hour]:[Hour]]&gt;=BB$2),1,0)</f>
        <v>0</v>
      </c>
      <c r="BC85" s="329" t="n">
        <f aca="false" t="array" ref="BC85:BC85">IF(AND(BC$2&lt;&gt;0,TblTech[[#This Row],[Hour]:[Hour]]&gt;=BC$2),1,0)</f>
        <v>0</v>
      </c>
      <c r="BD85" s="329" t="n">
        <f aca="false" t="array" ref="BD85:BD85">IF(AND(BD$2&lt;&gt;0,TblTech[[#This Row],[Hour]:[Hour]]&gt;=BD$2),1,0)</f>
        <v>0</v>
      </c>
      <c r="BE85" s="329" t="n">
        <f aca="false" t="array" ref="BE85:BE85">IF(AND(BE$2&lt;&gt;0,TblTech[[#This Row],[Hour]:[Hour]]&gt;=BE$2),1,0)</f>
        <v>0</v>
      </c>
      <c r="BF85" s="329" t="n">
        <f aca="false" t="array" ref="BF85:BF85">IF(AND(BF$2&lt;&gt;0,TblTech[[#This Row],[Hour]:[Hour]]&gt;=BF$2),1,0)</f>
        <v>0</v>
      </c>
      <c r="BG85" s="329" t="n">
        <f aca="false" t="array" ref="BG85:BG85">IF(AND(BG$2&lt;&gt;0,TblTech[[#This Row],[Hour]:[Hour]]&gt;=BG$2),1,0)</f>
        <v>0</v>
      </c>
      <c r="BH85" s="329" t="n">
        <f aca="false" t="array" ref="BH85:BH85">IF(AND(BH$2&lt;&gt;0,TblTech[[#This Row],[Hour]:[Hour]]&gt;=BH$2),1,0)</f>
        <v>0</v>
      </c>
      <c r="BI85" s="329" t="n">
        <f aca="false" t="array" ref="BI85:BI85">IF(AND(BI$2&lt;&gt;0,TblTech[[#This Row],[Hour]:[Hour]]&gt;=BI$2),1,0)</f>
        <v>0</v>
      </c>
      <c r="BJ85" s="329" t="n">
        <f aca="false" t="array" ref="BJ85:BJ85">IF(AND(BJ$2&lt;&gt;0,TblTech[[#This Row],[Hour]:[Hour]]&gt;=BJ$2),1,0)</f>
        <v>0</v>
      </c>
      <c r="BK85" s="329" t="n">
        <f aca="false" t="array" ref="BK85:BK85">IF(AND(BK$2&lt;&gt;0,TblTech[[#This Row],[Hour]:[Hour]]&gt;=BK$2),1,0)</f>
        <v>0</v>
      </c>
      <c r="BL85" s="329" t="n">
        <f aca="false" t="array" ref="BL85:BL85">IF(AND(BL$2&lt;&gt;0,TblTech[[#This Row],[Hour]:[Hour]]&gt;=BL$2),1,0)</f>
        <v>0</v>
      </c>
      <c r="BM85" s="329" t="n">
        <f aca="false" t="array" ref="BM85:BM85">IF(AND(BM$2&lt;&gt;0,TblTech[[#This Row],[Hour]:[Hour]]&gt;=BM$2),1,0)</f>
        <v>0</v>
      </c>
      <c r="BN85" s="329" t="n">
        <f aca="false" t="array" ref="BN85:BN85">IF(AND(BN$2&lt;&gt;0,TblTech[[#This Row],[Hour]:[Hour]]&gt;=BN$2),1,0)</f>
        <v>0</v>
      </c>
      <c r="BO85" s="329" t="n">
        <f aca="false" t="array" ref="BO85:BO85">IF(AND(BO$2&lt;&gt;0,TblTech[[#This Row],[Hour]:[Hour]]&gt;=BO$2),1,0)</f>
        <v>0</v>
      </c>
      <c r="BP85" s="329" t="n">
        <f aca="false" t="array" ref="BP85:BP85">IF(AND(BP$2&lt;&gt;0,TblTech[[#This Row],[Hour]:[Hour]]&gt;=BP$2),1,0)</f>
        <v>0</v>
      </c>
      <c r="BQ85" s="329" t="n">
        <f aca="false" t="array" ref="BQ85:BQ85">IF(AND(BQ$2&lt;&gt;0,TblTech[[#This Row],[Hour]:[Hour]]&gt;=BQ$2),1,0)</f>
        <v>0</v>
      </c>
      <c r="BR85" s="329" t="n">
        <f aca="false" t="array" ref="BR85:BR85">IF(AND(BR$2&lt;&gt;0,TblTech[[#This Row],[Hour]:[Hour]]&gt;=BR$2),1,0)</f>
        <v>0</v>
      </c>
      <c r="BS85" s="329" t="n">
        <f aca="false" t="array" ref="BS85:BS85">IF(AND(BS$2&lt;&gt;0,TblTech[[#This Row],[Hour]:[Hour]]&gt;=BS$2),1,0)</f>
        <v>0</v>
      </c>
      <c r="BT85" s="329" t="n">
        <f aca="false" t="array" ref="BT85:BT85">IF(AND(BT$2&lt;&gt;0,TblTech[[#This Row],[Hour]:[Hour]]&gt;=BT$2),1,0)</f>
        <v>0</v>
      </c>
      <c r="BU85" s="329" t="n">
        <f aca="false" t="array" ref="BU85:BU85">IF(AND(BU$2&lt;&gt;0,TblTech[[#This Row],[Hour]:[Hour]]&gt;=BU$2),1,0)</f>
        <v>0</v>
      </c>
      <c r="BV85" s="329" t="n">
        <f aca="false" t="array" ref="BV85:BV85">IF(AND(BV$2&lt;&gt;0,TblTech[[#This Row],[Hour]:[Hour]]&gt;=BV$2),1,0)</f>
        <v>0</v>
      </c>
      <c r="BW85" s="329" t="n">
        <f aca="false" t="array" ref="BW85:BW85">IF(AND(BW$2&lt;&gt;0,TblTech[[#This Row],[Hour]:[Hour]]&gt;=BW$2),1,0)</f>
        <v>0</v>
      </c>
      <c r="BX85" s="329" t="n">
        <f aca="false" t="array" ref="BX85:BX85">IF(AND(BX$2&lt;&gt;0,TblTech[[#This Row],[Hour]:[Hour]]&gt;=BX$2),1,0)</f>
        <v>0</v>
      </c>
      <c r="BY85" s="329" t="n">
        <f aca="false" t="array" ref="BY85:BY85">IF(AND(BY$2&lt;&gt;0,TblTech[[#This Row],[Hour]:[Hour]]&gt;=BY$2),1,0)</f>
        <v>0</v>
      </c>
      <c r="BZ85" s="329" t="n">
        <f aca="false" t="array" ref="BZ85:BZ85">IF(AND(BZ$2&lt;&gt;0,TblTech[[#This Row],[Hour]:[Hour]]&gt;=BZ$2),1,0)</f>
        <v>0</v>
      </c>
      <c r="CA85" s="330" t="n">
        <f aca="false">IFERROR(INDEX($H$4:$H$79,MATCH(INDEX(TblTech[[#Headers],[1-1]:[11-1]],1,MATCH(TblTech[[#This Row],[Hour]],$M$2:$BZ$2,0)),$G$4:$G$79,0)),)</f>
        <v>0</v>
      </c>
    </row>
    <row r="86" customFormat="false" ht="12.75" hidden="false" customHeight="false" outlineLevel="0" collapsed="false">
      <c r="A86" s="321" t="n">
        <f aca="false">TblRezone[[#This Row],[Hour]]</f>
        <v>83</v>
      </c>
      <c r="B86" s="322" t="n">
        <f aca="false">TblExplore[[#This Row],[Land-DB]]</f>
        <v>700</v>
      </c>
      <c r="C86" s="323" t="n">
        <f aca="false">TblProd[[#This Row],[Techpoints]]</f>
        <v>1400</v>
      </c>
      <c r="D86" s="323" t="n">
        <f aca="false">TblProd[[#This Row],[Required]]</f>
        <v>3750</v>
      </c>
      <c r="E86" s="333"/>
      <c r="F86" s="334"/>
      <c r="G86" s="326"/>
      <c r="H86" s="327"/>
      <c r="I86" s="327"/>
      <c r="J86" s="327"/>
      <c r="K86" s="68" t="n">
        <f aca="false">IF(TblTech[[#This Row],[Sum of tech]]&lt;&gt;OFFSET(TblTech[[#This Row],[Sum of tech]],-1,0),1,0)</f>
        <v>0</v>
      </c>
      <c r="L86" s="328" t="n">
        <f aca="false">COUNTIF(TblTech[[#This Row],[1-1]:[11-1]],1)</f>
        <v>0</v>
      </c>
      <c r="M86" s="329" t="n">
        <f aca="false" t="array" ref="M86:M86">IF(AND(M$2&lt;&gt;0,TblTech[[#This Row],[Hour]:[Hour]]&gt;=M$2),1,0)</f>
        <v>0</v>
      </c>
      <c r="N86" s="329" t="n">
        <f aca="false" t="array" ref="N86:N86">IF(AND(N$2&lt;&gt;0,TblTech[[#This Row],[Hour]:[Hour]]&gt;=N$2),1,0)</f>
        <v>0</v>
      </c>
      <c r="O86" s="329" t="n">
        <f aca="false" t="array" ref="O86:O86">IF(AND(O$2&lt;&gt;0,TblTech[[#This Row],[Hour]:[Hour]]&gt;=O$2),1,0)</f>
        <v>0</v>
      </c>
      <c r="P86" s="329" t="n">
        <f aca="false" t="array" ref="P86:P86">IF(AND(P$2&lt;&gt;0,TblTech[[#This Row],[Hour]:[Hour]]&gt;=P$2),1,0)</f>
        <v>0</v>
      </c>
      <c r="Q86" s="329" t="n">
        <f aca="false" t="array" ref="Q86:Q86">IF(AND(Q$2&lt;&gt;0,TblTech[[#This Row],[Hour]:[Hour]]&gt;=Q$2),1,0)</f>
        <v>0</v>
      </c>
      <c r="R86" s="329" t="n">
        <f aca="false" t="array" ref="R86:R86">IF(AND(R$2&lt;&gt;0,TblTech[[#This Row],[Hour]:[Hour]]&gt;=R$2),1,0)</f>
        <v>0</v>
      </c>
      <c r="S86" s="329" t="n">
        <f aca="false" t="array" ref="S86:S86">IF(AND(S$2&lt;&gt;0,TblTech[[#This Row],[Hour]:[Hour]]&gt;=S$2),1,0)</f>
        <v>0</v>
      </c>
      <c r="T86" s="329" t="n">
        <f aca="false" t="array" ref="T86:T86">IF(AND(T$2&lt;&gt;0,TblTech[[#This Row],[Hour]:[Hour]]&gt;=T$2),1,0)</f>
        <v>0</v>
      </c>
      <c r="U86" s="329" t="n">
        <f aca="false" t="array" ref="U86:U86">IF(AND(U$2&lt;&gt;0,TblTech[[#This Row],[Hour]:[Hour]]&gt;=U$2),1,0)</f>
        <v>0</v>
      </c>
      <c r="V86" s="329" t="n">
        <f aca="false" t="array" ref="V86:V86">IF(AND(V$2&lt;&gt;0,TblTech[[#This Row],[Hour]:[Hour]]&gt;=V$2),1,0)</f>
        <v>0</v>
      </c>
      <c r="W86" s="329" t="n">
        <f aca="false" t="array" ref="W86:W86">IF(AND(W$2&lt;&gt;0,TblTech[[#This Row],[Hour]:[Hour]]&gt;=W$2),1,0)</f>
        <v>0</v>
      </c>
      <c r="X86" s="329" t="n">
        <f aca="false" t="array" ref="X86:X86">IF(AND(X$2&lt;&gt;0,TblTech[[#This Row],[Hour]:[Hour]]&gt;=X$2),1,0)</f>
        <v>0</v>
      </c>
      <c r="Y86" s="329" t="n">
        <f aca="false" t="array" ref="Y86:Y86">IF(AND(Y$2&lt;&gt;0,TblTech[[#This Row],[Hour]:[Hour]]&gt;=Y$2),1,0)</f>
        <v>0</v>
      </c>
      <c r="Z86" s="329" t="n">
        <f aca="false" t="array" ref="Z86:Z86">IF(AND(Z$2&lt;&gt;0,TblTech[[#This Row],[Hour]:[Hour]]&gt;=Z$2),1,0)</f>
        <v>0</v>
      </c>
      <c r="AA86" s="329" t="n">
        <f aca="false" t="array" ref="AA86:AA86">IF(AND(AA$2&lt;&gt;0,TblTech[[#This Row],[Hour]:[Hour]]&gt;=AA$2),1,0)</f>
        <v>0</v>
      </c>
      <c r="AB86" s="329" t="n">
        <f aca="false" t="array" ref="AB86:AB86">IF(AND(AB$2&lt;&gt;0,TblTech[[#This Row],[Hour]:[Hour]]&gt;=AB$2),1,0)</f>
        <v>0</v>
      </c>
      <c r="AC86" s="329" t="n">
        <f aca="false" t="array" ref="AC86:AC86">IF(AND(AC$2&lt;&gt;0,TblTech[[#This Row],[Hour]:[Hour]]&gt;=AC$2),1,0)</f>
        <v>0</v>
      </c>
      <c r="AD86" s="329" t="n">
        <f aca="false" t="array" ref="AD86:AD86">IF(AND(AD$2&lt;&gt;0,TblTech[[#This Row],[Hour]:[Hour]]&gt;=AD$2),1,0)</f>
        <v>0</v>
      </c>
      <c r="AE86" s="329" t="n">
        <f aca="false" t="array" ref="AE86:AE86">IF(AND(AE$2&lt;&gt;0,TblTech[[#This Row],[Hour]:[Hour]]&gt;=AE$2),1,0)</f>
        <v>0</v>
      </c>
      <c r="AF86" s="329" t="n">
        <f aca="false" t="array" ref="AF86:AF86">IF(AND(AF$2&lt;&gt;0,TblTech[[#This Row],[Hour]:[Hour]]&gt;=AF$2),1,0)</f>
        <v>0</v>
      </c>
      <c r="AG86" s="329" t="n">
        <f aca="false" t="array" ref="AG86:AG86">IF(AND(AG$2&lt;&gt;0,TblTech[[#This Row],[Hour]:[Hour]]&gt;=AG$2),1,0)</f>
        <v>0</v>
      </c>
      <c r="AH86" s="329" t="n">
        <f aca="false" t="array" ref="AH86:AH86">IF(AND(AH$2&lt;&gt;0,TblTech[[#This Row],[Hour]:[Hour]]&gt;=AH$2),1,0)</f>
        <v>0</v>
      </c>
      <c r="AI86" s="329" t="n">
        <f aca="false" t="array" ref="AI86:AI86">IF(AND(AI$2&lt;&gt;0,TblTech[[#This Row],[Hour]:[Hour]]&gt;=AI$2),1,0)</f>
        <v>0</v>
      </c>
      <c r="AJ86" s="329" t="n">
        <f aca="false" t="array" ref="AJ86:AJ86">IF(AND(AJ$2&lt;&gt;0,TblTech[[#This Row],[Hour]:[Hour]]&gt;=AJ$2),1,0)</f>
        <v>0</v>
      </c>
      <c r="AK86" s="329" t="n">
        <f aca="false" t="array" ref="AK86:AK86">IF(AND(AK$2&lt;&gt;0,TblTech[[#This Row],[Hour]:[Hour]]&gt;=AK$2),1,0)</f>
        <v>0</v>
      </c>
      <c r="AL86" s="329" t="n">
        <f aca="false" t="array" ref="AL86:AL86">IF(AND(AL$2&lt;&gt;0,TblTech[[#This Row],[Hour]:[Hour]]&gt;=AL$2),1,0)</f>
        <v>0</v>
      </c>
      <c r="AM86" s="329" t="n">
        <f aca="false" t="array" ref="AM86:AM86">IF(AND(AM$2&lt;&gt;0,TblTech[[#This Row],[Hour]:[Hour]]&gt;=AM$2),1,0)</f>
        <v>0</v>
      </c>
      <c r="AN86" s="329" t="n">
        <f aca="false" t="array" ref="AN86:AN86">IF(AND(AN$2&lt;&gt;0,TblTech[[#This Row],[Hour]:[Hour]]&gt;=AN$2),1,0)</f>
        <v>0</v>
      </c>
      <c r="AO86" s="329" t="n">
        <f aca="false" t="array" ref="AO86:AO86">IF(AND(AO$2&lt;&gt;0,TblTech[[#This Row],[Hour]:[Hour]]&gt;=AO$2),1,0)</f>
        <v>0</v>
      </c>
      <c r="AP86" s="329" t="n">
        <f aca="false" t="array" ref="AP86:AP86">IF(AND(AP$2&lt;&gt;0,TblTech[[#This Row],[Hour]:[Hour]]&gt;=AP$2),1,0)</f>
        <v>0</v>
      </c>
      <c r="AQ86" s="329" t="n">
        <f aca="false" t="array" ref="AQ86:AQ86">IF(AND(AQ$2&lt;&gt;0,TblTech[[#This Row],[Hour]:[Hour]]&gt;=AQ$2),1,0)</f>
        <v>0</v>
      </c>
      <c r="AR86" s="329" t="n">
        <f aca="false" t="array" ref="AR86:AR86">IF(AND(AR$2&lt;&gt;0,TblTech[[#This Row],[Hour]:[Hour]]&gt;=AR$2),1,0)</f>
        <v>0</v>
      </c>
      <c r="AS86" s="329" t="n">
        <f aca="false" t="array" ref="AS86:AS86">IF(AND(AS$2&lt;&gt;0,TblTech[[#This Row],[Hour]:[Hour]]&gt;=AS$2),1,0)</f>
        <v>0</v>
      </c>
      <c r="AT86" s="329" t="n">
        <f aca="false" t="array" ref="AT86:AT86">IF(AND(AT$2&lt;&gt;0,TblTech[[#This Row],[Hour]:[Hour]]&gt;=AT$2),1,0)</f>
        <v>0</v>
      </c>
      <c r="AU86" s="329" t="n">
        <f aca="false" t="array" ref="AU86:AU86">IF(AND(AU$2&lt;&gt;0,TblTech[[#This Row],[Hour]:[Hour]]&gt;=AU$2),1,0)</f>
        <v>0</v>
      </c>
      <c r="AV86" s="329" t="n">
        <f aca="false" t="array" ref="AV86:AV86">IF(AND(AV$2&lt;&gt;0,TblTech[[#This Row],[Hour]:[Hour]]&gt;=AV$2),1,0)</f>
        <v>0</v>
      </c>
      <c r="AW86" s="329" t="n">
        <f aca="false" t="array" ref="AW86:AW86">IF(AND(AW$2&lt;&gt;0,TblTech[[#This Row],[Hour]:[Hour]]&gt;=AW$2),1,0)</f>
        <v>0</v>
      </c>
      <c r="AX86" s="329" t="n">
        <f aca="false" t="array" ref="AX86:AX86">IF(AND(AX$2&lt;&gt;0,TblTech[[#This Row],[Hour]:[Hour]]&gt;=AX$2),1,0)</f>
        <v>0</v>
      </c>
      <c r="AY86" s="329" t="n">
        <f aca="false" t="array" ref="AY86:AY86">IF(AND(AY$2&lt;&gt;0,TblTech[[#This Row],[Hour]:[Hour]]&gt;=AY$2),1,0)</f>
        <v>0</v>
      </c>
      <c r="AZ86" s="329" t="n">
        <f aca="false" t="array" ref="AZ86:AZ86">IF(AND(AZ$2&lt;&gt;0,TblTech[[#This Row],[Hour]:[Hour]]&gt;=AZ$2),1,0)</f>
        <v>0</v>
      </c>
      <c r="BA86" s="329" t="n">
        <f aca="false" t="array" ref="BA86:BA86">IF(AND(BA$2&lt;&gt;0,TblTech[[#This Row],[Hour]:[Hour]]&gt;=BA$2),1,0)</f>
        <v>0</v>
      </c>
      <c r="BB86" s="329" t="n">
        <f aca="false" t="array" ref="BB86:BB86">IF(AND(BB$2&lt;&gt;0,TblTech[[#This Row],[Hour]:[Hour]]&gt;=BB$2),1,0)</f>
        <v>0</v>
      </c>
      <c r="BC86" s="329" t="n">
        <f aca="false" t="array" ref="BC86:BC86">IF(AND(BC$2&lt;&gt;0,TblTech[[#This Row],[Hour]:[Hour]]&gt;=BC$2),1,0)</f>
        <v>0</v>
      </c>
      <c r="BD86" s="329" t="n">
        <f aca="false" t="array" ref="BD86:BD86">IF(AND(BD$2&lt;&gt;0,TblTech[[#This Row],[Hour]:[Hour]]&gt;=BD$2),1,0)</f>
        <v>0</v>
      </c>
      <c r="BE86" s="329" t="n">
        <f aca="false" t="array" ref="BE86:BE86">IF(AND(BE$2&lt;&gt;0,TblTech[[#This Row],[Hour]:[Hour]]&gt;=BE$2),1,0)</f>
        <v>0</v>
      </c>
      <c r="BF86" s="329" t="n">
        <f aca="false" t="array" ref="BF86:BF86">IF(AND(BF$2&lt;&gt;0,TblTech[[#This Row],[Hour]:[Hour]]&gt;=BF$2),1,0)</f>
        <v>0</v>
      </c>
      <c r="BG86" s="329" t="n">
        <f aca="false" t="array" ref="BG86:BG86">IF(AND(BG$2&lt;&gt;0,TblTech[[#This Row],[Hour]:[Hour]]&gt;=BG$2),1,0)</f>
        <v>0</v>
      </c>
      <c r="BH86" s="329" t="n">
        <f aca="false" t="array" ref="BH86:BH86">IF(AND(BH$2&lt;&gt;0,TblTech[[#This Row],[Hour]:[Hour]]&gt;=BH$2),1,0)</f>
        <v>0</v>
      </c>
      <c r="BI86" s="329" t="n">
        <f aca="false" t="array" ref="BI86:BI86">IF(AND(BI$2&lt;&gt;0,TblTech[[#This Row],[Hour]:[Hour]]&gt;=BI$2),1,0)</f>
        <v>0</v>
      </c>
      <c r="BJ86" s="329" t="n">
        <f aca="false" t="array" ref="BJ86:BJ86">IF(AND(BJ$2&lt;&gt;0,TblTech[[#This Row],[Hour]:[Hour]]&gt;=BJ$2),1,0)</f>
        <v>0</v>
      </c>
      <c r="BK86" s="329" t="n">
        <f aca="false" t="array" ref="BK86:BK86">IF(AND(BK$2&lt;&gt;0,TblTech[[#This Row],[Hour]:[Hour]]&gt;=BK$2),1,0)</f>
        <v>0</v>
      </c>
      <c r="BL86" s="329" t="n">
        <f aca="false" t="array" ref="BL86:BL86">IF(AND(BL$2&lt;&gt;0,TblTech[[#This Row],[Hour]:[Hour]]&gt;=BL$2),1,0)</f>
        <v>0</v>
      </c>
      <c r="BM86" s="329" t="n">
        <f aca="false" t="array" ref="BM86:BM86">IF(AND(BM$2&lt;&gt;0,TblTech[[#This Row],[Hour]:[Hour]]&gt;=BM$2),1,0)</f>
        <v>0</v>
      </c>
      <c r="BN86" s="329" t="n">
        <f aca="false" t="array" ref="BN86:BN86">IF(AND(BN$2&lt;&gt;0,TblTech[[#This Row],[Hour]:[Hour]]&gt;=BN$2),1,0)</f>
        <v>0</v>
      </c>
      <c r="BO86" s="329" t="n">
        <f aca="false" t="array" ref="BO86:BO86">IF(AND(BO$2&lt;&gt;0,TblTech[[#This Row],[Hour]:[Hour]]&gt;=BO$2),1,0)</f>
        <v>0</v>
      </c>
      <c r="BP86" s="329" t="n">
        <f aca="false" t="array" ref="BP86:BP86">IF(AND(BP$2&lt;&gt;0,TblTech[[#This Row],[Hour]:[Hour]]&gt;=BP$2),1,0)</f>
        <v>0</v>
      </c>
      <c r="BQ86" s="329" t="n">
        <f aca="false" t="array" ref="BQ86:BQ86">IF(AND(BQ$2&lt;&gt;0,TblTech[[#This Row],[Hour]:[Hour]]&gt;=BQ$2),1,0)</f>
        <v>0</v>
      </c>
      <c r="BR86" s="329" t="n">
        <f aca="false" t="array" ref="BR86:BR86">IF(AND(BR$2&lt;&gt;0,TblTech[[#This Row],[Hour]:[Hour]]&gt;=BR$2),1,0)</f>
        <v>0</v>
      </c>
      <c r="BS86" s="329" t="n">
        <f aca="false" t="array" ref="BS86:BS86">IF(AND(BS$2&lt;&gt;0,TblTech[[#This Row],[Hour]:[Hour]]&gt;=BS$2),1,0)</f>
        <v>0</v>
      </c>
      <c r="BT86" s="329" t="n">
        <f aca="false" t="array" ref="BT86:BT86">IF(AND(BT$2&lt;&gt;0,TblTech[[#This Row],[Hour]:[Hour]]&gt;=BT$2),1,0)</f>
        <v>0</v>
      </c>
      <c r="BU86" s="329" t="n">
        <f aca="false" t="array" ref="BU86:BU86">IF(AND(BU$2&lt;&gt;0,TblTech[[#This Row],[Hour]:[Hour]]&gt;=BU$2),1,0)</f>
        <v>0</v>
      </c>
      <c r="BV86" s="329" t="n">
        <f aca="false" t="array" ref="BV86:BV86">IF(AND(BV$2&lt;&gt;0,TblTech[[#This Row],[Hour]:[Hour]]&gt;=BV$2),1,0)</f>
        <v>0</v>
      </c>
      <c r="BW86" s="329" t="n">
        <f aca="false" t="array" ref="BW86:BW86">IF(AND(BW$2&lt;&gt;0,TblTech[[#This Row],[Hour]:[Hour]]&gt;=BW$2),1,0)</f>
        <v>0</v>
      </c>
      <c r="BX86" s="329" t="n">
        <f aca="false" t="array" ref="BX86:BX86">IF(AND(BX$2&lt;&gt;0,TblTech[[#This Row],[Hour]:[Hour]]&gt;=BX$2),1,0)</f>
        <v>0</v>
      </c>
      <c r="BY86" s="329" t="n">
        <f aca="false" t="array" ref="BY86:BY86">IF(AND(BY$2&lt;&gt;0,TblTech[[#This Row],[Hour]:[Hour]]&gt;=BY$2),1,0)</f>
        <v>0</v>
      </c>
      <c r="BZ86" s="329" t="n">
        <f aca="false" t="array" ref="BZ86:BZ86">IF(AND(BZ$2&lt;&gt;0,TblTech[[#This Row],[Hour]:[Hour]]&gt;=BZ$2),1,0)</f>
        <v>0</v>
      </c>
      <c r="CA86" s="330" t="n">
        <f aca="false">IFERROR(INDEX($H$4:$H$79,MATCH(INDEX(TblTech[[#Headers],[1-1]:[11-1]],1,MATCH(TblTech[[#This Row],[Hour]],$M$2:$BZ$2,0)),$G$4:$G$79,0)),)</f>
        <v>0</v>
      </c>
    </row>
    <row r="87" customFormat="false" ht="12.75" hidden="false" customHeight="false" outlineLevel="0" collapsed="false">
      <c r="A87" s="321" t="n">
        <f aca="false">TblRezone[[#This Row],[Hour]]</f>
        <v>84</v>
      </c>
      <c r="B87" s="322" t="n">
        <f aca="false">TblExplore[[#This Row],[Land-DB]]</f>
        <v>700</v>
      </c>
      <c r="C87" s="323" t="n">
        <f aca="false">TblProd[[#This Row],[Techpoints]]</f>
        <v>1400</v>
      </c>
      <c r="D87" s="323" t="n">
        <f aca="false">TblProd[[#This Row],[Required]]</f>
        <v>3750</v>
      </c>
      <c r="E87" s="333"/>
      <c r="F87" s="334"/>
      <c r="G87" s="326"/>
      <c r="H87" s="327"/>
      <c r="I87" s="327"/>
      <c r="J87" s="327"/>
      <c r="K87" s="68" t="n">
        <f aca="false">IF(TblTech[[#This Row],[Sum of tech]]&lt;&gt;OFFSET(TblTech[[#This Row],[Sum of tech]],-1,0),1,0)</f>
        <v>0</v>
      </c>
      <c r="L87" s="328" t="n">
        <f aca="false">COUNTIF(TblTech[[#This Row],[1-1]:[11-1]],1)</f>
        <v>0</v>
      </c>
      <c r="M87" s="329" t="n">
        <f aca="false" t="array" ref="M87:M87">IF(AND(M$2&lt;&gt;0,TblTech[[#This Row],[Hour]:[Hour]]&gt;=M$2),1,0)</f>
        <v>0</v>
      </c>
      <c r="N87" s="329" t="n">
        <f aca="false" t="array" ref="N87:N87">IF(AND(N$2&lt;&gt;0,TblTech[[#This Row],[Hour]:[Hour]]&gt;=N$2),1,0)</f>
        <v>0</v>
      </c>
      <c r="O87" s="329" t="n">
        <f aca="false" t="array" ref="O87:O87">IF(AND(O$2&lt;&gt;0,TblTech[[#This Row],[Hour]:[Hour]]&gt;=O$2),1,0)</f>
        <v>0</v>
      </c>
      <c r="P87" s="329" t="n">
        <f aca="false" t="array" ref="P87:P87">IF(AND(P$2&lt;&gt;0,TblTech[[#This Row],[Hour]:[Hour]]&gt;=P$2),1,0)</f>
        <v>0</v>
      </c>
      <c r="Q87" s="329" t="n">
        <f aca="false" t="array" ref="Q87:Q87">IF(AND(Q$2&lt;&gt;0,TblTech[[#This Row],[Hour]:[Hour]]&gt;=Q$2),1,0)</f>
        <v>0</v>
      </c>
      <c r="R87" s="329" t="n">
        <f aca="false" t="array" ref="R87:R87">IF(AND(R$2&lt;&gt;0,TblTech[[#This Row],[Hour]:[Hour]]&gt;=R$2),1,0)</f>
        <v>0</v>
      </c>
      <c r="S87" s="329" t="n">
        <f aca="false" t="array" ref="S87:S87">IF(AND(S$2&lt;&gt;0,TblTech[[#This Row],[Hour]:[Hour]]&gt;=S$2),1,0)</f>
        <v>0</v>
      </c>
      <c r="T87" s="329" t="n">
        <f aca="false" t="array" ref="T87:T87">IF(AND(T$2&lt;&gt;0,TblTech[[#This Row],[Hour]:[Hour]]&gt;=T$2),1,0)</f>
        <v>0</v>
      </c>
      <c r="U87" s="329" t="n">
        <f aca="false" t="array" ref="U87:U87">IF(AND(U$2&lt;&gt;0,TblTech[[#This Row],[Hour]:[Hour]]&gt;=U$2),1,0)</f>
        <v>0</v>
      </c>
      <c r="V87" s="329" t="n">
        <f aca="false" t="array" ref="V87:V87">IF(AND(V$2&lt;&gt;0,TblTech[[#This Row],[Hour]:[Hour]]&gt;=V$2),1,0)</f>
        <v>0</v>
      </c>
      <c r="W87" s="329" t="n">
        <f aca="false" t="array" ref="W87:W87">IF(AND(W$2&lt;&gt;0,TblTech[[#This Row],[Hour]:[Hour]]&gt;=W$2),1,0)</f>
        <v>0</v>
      </c>
      <c r="X87" s="329" t="n">
        <f aca="false" t="array" ref="X87:X87">IF(AND(X$2&lt;&gt;0,TblTech[[#This Row],[Hour]:[Hour]]&gt;=X$2),1,0)</f>
        <v>0</v>
      </c>
      <c r="Y87" s="329" t="n">
        <f aca="false" t="array" ref="Y87:Y87">IF(AND(Y$2&lt;&gt;0,TblTech[[#This Row],[Hour]:[Hour]]&gt;=Y$2),1,0)</f>
        <v>0</v>
      </c>
      <c r="Z87" s="329" t="n">
        <f aca="false" t="array" ref="Z87:Z87">IF(AND(Z$2&lt;&gt;0,TblTech[[#This Row],[Hour]:[Hour]]&gt;=Z$2),1,0)</f>
        <v>0</v>
      </c>
      <c r="AA87" s="329" t="n">
        <f aca="false" t="array" ref="AA87:AA87">IF(AND(AA$2&lt;&gt;0,TblTech[[#This Row],[Hour]:[Hour]]&gt;=AA$2),1,0)</f>
        <v>0</v>
      </c>
      <c r="AB87" s="329" t="n">
        <f aca="false" t="array" ref="AB87:AB87">IF(AND(AB$2&lt;&gt;0,TblTech[[#This Row],[Hour]:[Hour]]&gt;=AB$2),1,0)</f>
        <v>0</v>
      </c>
      <c r="AC87" s="329" t="n">
        <f aca="false" t="array" ref="AC87:AC87">IF(AND(AC$2&lt;&gt;0,TblTech[[#This Row],[Hour]:[Hour]]&gt;=AC$2),1,0)</f>
        <v>0</v>
      </c>
      <c r="AD87" s="329" t="n">
        <f aca="false" t="array" ref="AD87:AD87">IF(AND(AD$2&lt;&gt;0,TblTech[[#This Row],[Hour]:[Hour]]&gt;=AD$2),1,0)</f>
        <v>0</v>
      </c>
      <c r="AE87" s="329" t="n">
        <f aca="false" t="array" ref="AE87:AE87">IF(AND(AE$2&lt;&gt;0,TblTech[[#This Row],[Hour]:[Hour]]&gt;=AE$2),1,0)</f>
        <v>0</v>
      </c>
      <c r="AF87" s="329" t="n">
        <f aca="false" t="array" ref="AF87:AF87">IF(AND(AF$2&lt;&gt;0,TblTech[[#This Row],[Hour]:[Hour]]&gt;=AF$2),1,0)</f>
        <v>0</v>
      </c>
      <c r="AG87" s="329" t="n">
        <f aca="false" t="array" ref="AG87:AG87">IF(AND(AG$2&lt;&gt;0,TblTech[[#This Row],[Hour]:[Hour]]&gt;=AG$2),1,0)</f>
        <v>0</v>
      </c>
      <c r="AH87" s="329" t="n">
        <f aca="false" t="array" ref="AH87:AH87">IF(AND(AH$2&lt;&gt;0,TblTech[[#This Row],[Hour]:[Hour]]&gt;=AH$2),1,0)</f>
        <v>0</v>
      </c>
      <c r="AI87" s="329" t="n">
        <f aca="false" t="array" ref="AI87:AI87">IF(AND(AI$2&lt;&gt;0,TblTech[[#This Row],[Hour]:[Hour]]&gt;=AI$2),1,0)</f>
        <v>0</v>
      </c>
      <c r="AJ87" s="329" t="n">
        <f aca="false" t="array" ref="AJ87:AJ87">IF(AND(AJ$2&lt;&gt;0,TblTech[[#This Row],[Hour]:[Hour]]&gt;=AJ$2),1,0)</f>
        <v>0</v>
      </c>
      <c r="AK87" s="329" t="n">
        <f aca="false" t="array" ref="AK87:AK87">IF(AND(AK$2&lt;&gt;0,TblTech[[#This Row],[Hour]:[Hour]]&gt;=AK$2),1,0)</f>
        <v>0</v>
      </c>
      <c r="AL87" s="329" t="n">
        <f aca="false" t="array" ref="AL87:AL87">IF(AND(AL$2&lt;&gt;0,TblTech[[#This Row],[Hour]:[Hour]]&gt;=AL$2),1,0)</f>
        <v>0</v>
      </c>
      <c r="AM87" s="329" t="n">
        <f aca="false" t="array" ref="AM87:AM87">IF(AND(AM$2&lt;&gt;0,TblTech[[#This Row],[Hour]:[Hour]]&gt;=AM$2),1,0)</f>
        <v>0</v>
      </c>
      <c r="AN87" s="329" t="n">
        <f aca="false" t="array" ref="AN87:AN87">IF(AND(AN$2&lt;&gt;0,TblTech[[#This Row],[Hour]:[Hour]]&gt;=AN$2),1,0)</f>
        <v>0</v>
      </c>
      <c r="AO87" s="329" t="n">
        <f aca="false" t="array" ref="AO87:AO87">IF(AND(AO$2&lt;&gt;0,TblTech[[#This Row],[Hour]:[Hour]]&gt;=AO$2),1,0)</f>
        <v>0</v>
      </c>
      <c r="AP87" s="329" t="n">
        <f aca="false" t="array" ref="AP87:AP87">IF(AND(AP$2&lt;&gt;0,TblTech[[#This Row],[Hour]:[Hour]]&gt;=AP$2),1,0)</f>
        <v>0</v>
      </c>
      <c r="AQ87" s="329" t="n">
        <f aca="false" t="array" ref="AQ87:AQ87">IF(AND(AQ$2&lt;&gt;0,TblTech[[#This Row],[Hour]:[Hour]]&gt;=AQ$2),1,0)</f>
        <v>0</v>
      </c>
      <c r="AR87" s="329" t="n">
        <f aca="false" t="array" ref="AR87:AR87">IF(AND(AR$2&lt;&gt;0,TblTech[[#This Row],[Hour]:[Hour]]&gt;=AR$2),1,0)</f>
        <v>0</v>
      </c>
      <c r="AS87" s="329" t="n">
        <f aca="false" t="array" ref="AS87:AS87">IF(AND(AS$2&lt;&gt;0,TblTech[[#This Row],[Hour]:[Hour]]&gt;=AS$2),1,0)</f>
        <v>0</v>
      </c>
      <c r="AT87" s="329" t="n">
        <f aca="false" t="array" ref="AT87:AT87">IF(AND(AT$2&lt;&gt;0,TblTech[[#This Row],[Hour]:[Hour]]&gt;=AT$2),1,0)</f>
        <v>0</v>
      </c>
      <c r="AU87" s="329" t="n">
        <f aca="false" t="array" ref="AU87:AU87">IF(AND(AU$2&lt;&gt;0,TblTech[[#This Row],[Hour]:[Hour]]&gt;=AU$2),1,0)</f>
        <v>0</v>
      </c>
      <c r="AV87" s="329" t="n">
        <f aca="false" t="array" ref="AV87:AV87">IF(AND(AV$2&lt;&gt;0,TblTech[[#This Row],[Hour]:[Hour]]&gt;=AV$2),1,0)</f>
        <v>0</v>
      </c>
      <c r="AW87" s="329" t="n">
        <f aca="false" t="array" ref="AW87:AW87">IF(AND(AW$2&lt;&gt;0,TblTech[[#This Row],[Hour]:[Hour]]&gt;=AW$2),1,0)</f>
        <v>0</v>
      </c>
      <c r="AX87" s="329" t="n">
        <f aca="false" t="array" ref="AX87:AX87">IF(AND(AX$2&lt;&gt;0,TblTech[[#This Row],[Hour]:[Hour]]&gt;=AX$2),1,0)</f>
        <v>0</v>
      </c>
      <c r="AY87" s="329" t="n">
        <f aca="false" t="array" ref="AY87:AY87">IF(AND(AY$2&lt;&gt;0,TblTech[[#This Row],[Hour]:[Hour]]&gt;=AY$2),1,0)</f>
        <v>0</v>
      </c>
      <c r="AZ87" s="329" t="n">
        <f aca="false" t="array" ref="AZ87:AZ87">IF(AND(AZ$2&lt;&gt;0,TblTech[[#This Row],[Hour]:[Hour]]&gt;=AZ$2),1,0)</f>
        <v>0</v>
      </c>
      <c r="BA87" s="329" t="n">
        <f aca="false" t="array" ref="BA87:BA87">IF(AND(BA$2&lt;&gt;0,TblTech[[#This Row],[Hour]:[Hour]]&gt;=BA$2),1,0)</f>
        <v>0</v>
      </c>
      <c r="BB87" s="329" t="n">
        <f aca="false" t="array" ref="BB87:BB87">IF(AND(BB$2&lt;&gt;0,TblTech[[#This Row],[Hour]:[Hour]]&gt;=BB$2),1,0)</f>
        <v>0</v>
      </c>
      <c r="BC87" s="329" t="n">
        <f aca="false" t="array" ref="BC87:BC87">IF(AND(BC$2&lt;&gt;0,TblTech[[#This Row],[Hour]:[Hour]]&gt;=BC$2),1,0)</f>
        <v>0</v>
      </c>
      <c r="BD87" s="329" t="n">
        <f aca="false" t="array" ref="BD87:BD87">IF(AND(BD$2&lt;&gt;0,TblTech[[#This Row],[Hour]:[Hour]]&gt;=BD$2),1,0)</f>
        <v>0</v>
      </c>
      <c r="BE87" s="329" t="n">
        <f aca="false" t="array" ref="BE87:BE87">IF(AND(BE$2&lt;&gt;0,TblTech[[#This Row],[Hour]:[Hour]]&gt;=BE$2),1,0)</f>
        <v>0</v>
      </c>
      <c r="BF87" s="329" t="n">
        <f aca="false" t="array" ref="BF87:BF87">IF(AND(BF$2&lt;&gt;0,TblTech[[#This Row],[Hour]:[Hour]]&gt;=BF$2),1,0)</f>
        <v>0</v>
      </c>
      <c r="BG87" s="329" t="n">
        <f aca="false" t="array" ref="BG87:BG87">IF(AND(BG$2&lt;&gt;0,TblTech[[#This Row],[Hour]:[Hour]]&gt;=BG$2),1,0)</f>
        <v>0</v>
      </c>
      <c r="BH87" s="329" t="n">
        <f aca="false" t="array" ref="BH87:BH87">IF(AND(BH$2&lt;&gt;0,TblTech[[#This Row],[Hour]:[Hour]]&gt;=BH$2),1,0)</f>
        <v>0</v>
      </c>
      <c r="BI87" s="329" t="n">
        <f aca="false" t="array" ref="BI87:BI87">IF(AND(BI$2&lt;&gt;0,TblTech[[#This Row],[Hour]:[Hour]]&gt;=BI$2),1,0)</f>
        <v>0</v>
      </c>
      <c r="BJ87" s="329" t="n">
        <f aca="false" t="array" ref="BJ87:BJ87">IF(AND(BJ$2&lt;&gt;0,TblTech[[#This Row],[Hour]:[Hour]]&gt;=BJ$2),1,0)</f>
        <v>0</v>
      </c>
      <c r="BK87" s="329" t="n">
        <f aca="false" t="array" ref="BK87:BK87">IF(AND(BK$2&lt;&gt;0,TblTech[[#This Row],[Hour]:[Hour]]&gt;=BK$2),1,0)</f>
        <v>0</v>
      </c>
      <c r="BL87" s="329" t="n">
        <f aca="false" t="array" ref="BL87:BL87">IF(AND(BL$2&lt;&gt;0,TblTech[[#This Row],[Hour]:[Hour]]&gt;=BL$2),1,0)</f>
        <v>0</v>
      </c>
      <c r="BM87" s="329" t="n">
        <f aca="false" t="array" ref="BM87:BM87">IF(AND(BM$2&lt;&gt;0,TblTech[[#This Row],[Hour]:[Hour]]&gt;=BM$2),1,0)</f>
        <v>0</v>
      </c>
      <c r="BN87" s="329" t="n">
        <f aca="false" t="array" ref="BN87:BN87">IF(AND(BN$2&lt;&gt;0,TblTech[[#This Row],[Hour]:[Hour]]&gt;=BN$2),1,0)</f>
        <v>0</v>
      </c>
      <c r="BO87" s="329" t="n">
        <f aca="false" t="array" ref="BO87:BO87">IF(AND(BO$2&lt;&gt;0,TblTech[[#This Row],[Hour]:[Hour]]&gt;=BO$2),1,0)</f>
        <v>0</v>
      </c>
      <c r="BP87" s="329" t="n">
        <f aca="false" t="array" ref="BP87:BP87">IF(AND(BP$2&lt;&gt;0,TblTech[[#This Row],[Hour]:[Hour]]&gt;=BP$2),1,0)</f>
        <v>0</v>
      </c>
      <c r="BQ87" s="329" t="n">
        <f aca="false" t="array" ref="BQ87:BQ87">IF(AND(BQ$2&lt;&gt;0,TblTech[[#This Row],[Hour]:[Hour]]&gt;=BQ$2),1,0)</f>
        <v>0</v>
      </c>
      <c r="BR87" s="329" t="n">
        <f aca="false" t="array" ref="BR87:BR87">IF(AND(BR$2&lt;&gt;0,TblTech[[#This Row],[Hour]:[Hour]]&gt;=BR$2),1,0)</f>
        <v>0</v>
      </c>
      <c r="BS87" s="329" t="n">
        <f aca="false" t="array" ref="BS87:BS87">IF(AND(BS$2&lt;&gt;0,TblTech[[#This Row],[Hour]:[Hour]]&gt;=BS$2),1,0)</f>
        <v>0</v>
      </c>
      <c r="BT87" s="329" t="n">
        <f aca="false" t="array" ref="BT87:BT87">IF(AND(BT$2&lt;&gt;0,TblTech[[#This Row],[Hour]:[Hour]]&gt;=BT$2),1,0)</f>
        <v>0</v>
      </c>
      <c r="BU87" s="329" t="n">
        <f aca="false" t="array" ref="BU87:BU87">IF(AND(BU$2&lt;&gt;0,TblTech[[#This Row],[Hour]:[Hour]]&gt;=BU$2),1,0)</f>
        <v>0</v>
      </c>
      <c r="BV87" s="329" t="n">
        <f aca="false" t="array" ref="BV87:BV87">IF(AND(BV$2&lt;&gt;0,TblTech[[#This Row],[Hour]:[Hour]]&gt;=BV$2),1,0)</f>
        <v>0</v>
      </c>
      <c r="BW87" s="329" t="n">
        <f aca="false" t="array" ref="BW87:BW87">IF(AND(BW$2&lt;&gt;0,TblTech[[#This Row],[Hour]:[Hour]]&gt;=BW$2),1,0)</f>
        <v>0</v>
      </c>
      <c r="BX87" s="329" t="n">
        <f aca="false" t="array" ref="BX87:BX87">IF(AND(BX$2&lt;&gt;0,TblTech[[#This Row],[Hour]:[Hour]]&gt;=BX$2),1,0)</f>
        <v>0</v>
      </c>
      <c r="BY87" s="329" t="n">
        <f aca="false" t="array" ref="BY87:BY87">IF(AND(BY$2&lt;&gt;0,TblTech[[#This Row],[Hour]:[Hour]]&gt;=BY$2),1,0)</f>
        <v>0</v>
      </c>
      <c r="BZ87" s="329" t="n">
        <f aca="false" t="array" ref="BZ87:BZ87">IF(AND(BZ$2&lt;&gt;0,TblTech[[#This Row],[Hour]:[Hour]]&gt;=BZ$2),1,0)</f>
        <v>0</v>
      </c>
      <c r="CA87" s="330" t="n">
        <f aca="false">IFERROR(INDEX($H$4:$H$79,MATCH(INDEX(TblTech[[#Headers],[1-1]:[11-1]],1,MATCH(TblTech[[#This Row],[Hour]],$M$2:$BZ$2,0)),$G$4:$G$79,0)),)</f>
        <v>0</v>
      </c>
    </row>
    <row r="88" customFormat="false" ht="12.75" hidden="false" customHeight="false" outlineLevel="0" collapsed="false">
      <c r="A88" s="321" t="n">
        <f aca="false">TblRezone[[#This Row],[Hour]]</f>
        <v>85</v>
      </c>
      <c r="B88" s="322" t="n">
        <f aca="false">TblExplore[[#This Row],[Land-DB]]</f>
        <v>700</v>
      </c>
      <c r="C88" s="323" t="n">
        <f aca="false">TblProd[[#This Row],[Techpoints]]</f>
        <v>1400</v>
      </c>
      <c r="D88" s="323" t="n">
        <f aca="false">TblProd[[#This Row],[Required]]</f>
        <v>3750</v>
      </c>
      <c r="E88" s="333"/>
      <c r="F88" s="334"/>
      <c r="G88" s="326"/>
      <c r="H88" s="327"/>
      <c r="I88" s="327"/>
      <c r="J88" s="327"/>
      <c r="K88" s="68" t="n">
        <f aca="false">IF(TblTech[[#This Row],[Sum of tech]]&lt;&gt;OFFSET(TblTech[[#This Row],[Sum of tech]],-1,0),1,0)</f>
        <v>0</v>
      </c>
      <c r="L88" s="328" t="n">
        <f aca="false">COUNTIF(TblTech[[#This Row],[1-1]:[11-1]],1)</f>
        <v>0</v>
      </c>
      <c r="M88" s="329" t="n">
        <f aca="false" t="array" ref="M88:M88">IF(AND(M$2&lt;&gt;0,TblTech[[#This Row],[Hour]:[Hour]]&gt;=M$2),1,0)</f>
        <v>0</v>
      </c>
      <c r="N88" s="329" t="n">
        <f aca="false" t="array" ref="N88:N88">IF(AND(N$2&lt;&gt;0,TblTech[[#This Row],[Hour]:[Hour]]&gt;=N$2),1,0)</f>
        <v>0</v>
      </c>
      <c r="O88" s="329" t="n">
        <f aca="false" t="array" ref="O88:O88">IF(AND(O$2&lt;&gt;0,TblTech[[#This Row],[Hour]:[Hour]]&gt;=O$2),1,0)</f>
        <v>0</v>
      </c>
      <c r="P88" s="329" t="n">
        <f aca="false" t="array" ref="P88:P88">IF(AND(P$2&lt;&gt;0,TblTech[[#This Row],[Hour]:[Hour]]&gt;=P$2),1,0)</f>
        <v>0</v>
      </c>
      <c r="Q88" s="329" t="n">
        <f aca="false" t="array" ref="Q88:Q88">IF(AND(Q$2&lt;&gt;0,TblTech[[#This Row],[Hour]:[Hour]]&gt;=Q$2),1,0)</f>
        <v>0</v>
      </c>
      <c r="R88" s="329" t="n">
        <f aca="false" t="array" ref="R88:R88">IF(AND(R$2&lt;&gt;0,TblTech[[#This Row],[Hour]:[Hour]]&gt;=R$2),1,0)</f>
        <v>0</v>
      </c>
      <c r="S88" s="329" t="n">
        <f aca="false" t="array" ref="S88:S88">IF(AND(S$2&lt;&gt;0,TblTech[[#This Row],[Hour]:[Hour]]&gt;=S$2),1,0)</f>
        <v>0</v>
      </c>
      <c r="T88" s="329" t="n">
        <f aca="false" t="array" ref="T88:T88">IF(AND(T$2&lt;&gt;0,TblTech[[#This Row],[Hour]:[Hour]]&gt;=T$2),1,0)</f>
        <v>0</v>
      </c>
      <c r="U88" s="329" t="n">
        <f aca="false" t="array" ref="U88:U88">IF(AND(U$2&lt;&gt;0,TblTech[[#This Row],[Hour]:[Hour]]&gt;=U$2),1,0)</f>
        <v>0</v>
      </c>
      <c r="V88" s="329" t="n">
        <f aca="false" t="array" ref="V88:V88">IF(AND(V$2&lt;&gt;0,TblTech[[#This Row],[Hour]:[Hour]]&gt;=V$2),1,0)</f>
        <v>0</v>
      </c>
      <c r="W88" s="329" t="n">
        <f aca="false" t="array" ref="W88:W88">IF(AND(W$2&lt;&gt;0,TblTech[[#This Row],[Hour]:[Hour]]&gt;=W$2),1,0)</f>
        <v>0</v>
      </c>
      <c r="X88" s="329" t="n">
        <f aca="false" t="array" ref="X88:X88">IF(AND(X$2&lt;&gt;0,TblTech[[#This Row],[Hour]:[Hour]]&gt;=X$2),1,0)</f>
        <v>0</v>
      </c>
      <c r="Y88" s="329" t="n">
        <f aca="false" t="array" ref="Y88:Y88">IF(AND(Y$2&lt;&gt;0,TblTech[[#This Row],[Hour]:[Hour]]&gt;=Y$2),1,0)</f>
        <v>0</v>
      </c>
      <c r="Z88" s="329" t="n">
        <f aca="false" t="array" ref="Z88:Z88">IF(AND(Z$2&lt;&gt;0,TblTech[[#This Row],[Hour]:[Hour]]&gt;=Z$2),1,0)</f>
        <v>0</v>
      </c>
      <c r="AA88" s="329" t="n">
        <f aca="false" t="array" ref="AA88:AA88">IF(AND(AA$2&lt;&gt;0,TblTech[[#This Row],[Hour]:[Hour]]&gt;=AA$2),1,0)</f>
        <v>0</v>
      </c>
      <c r="AB88" s="329" t="n">
        <f aca="false" t="array" ref="AB88:AB88">IF(AND(AB$2&lt;&gt;0,TblTech[[#This Row],[Hour]:[Hour]]&gt;=AB$2),1,0)</f>
        <v>0</v>
      </c>
      <c r="AC88" s="329" t="n">
        <f aca="false" t="array" ref="AC88:AC88">IF(AND(AC$2&lt;&gt;0,TblTech[[#This Row],[Hour]:[Hour]]&gt;=AC$2),1,0)</f>
        <v>0</v>
      </c>
      <c r="AD88" s="329" t="n">
        <f aca="false" t="array" ref="AD88:AD88">IF(AND(AD$2&lt;&gt;0,TblTech[[#This Row],[Hour]:[Hour]]&gt;=AD$2),1,0)</f>
        <v>0</v>
      </c>
      <c r="AE88" s="329" t="n">
        <f aca="false" t="array" ref="AE88:AE88">IF(AND(AE$2&lt;&gt;0,TblTech[[#This Row],[Hour]:[Hour]]&gt;=AE$2),1,0)</f>
        <v>0</v>
      </c>
      <c r="AF88" s="329" t="n">
        <f aca="false" t="array" ref="AF88:AF88">IF(AND(AF$2&lt;&gt;0,TblTech[[#This Row],[Hour]:[Hour]]&gt;=AF$2),1,0)</f>
        <v>0</v>
      </c>
      <c r="AG88" s="329" t="n">
        <f aca="false" t="array" ref="AG88:AG88">IF(AND(AG$2&lt;&gt;0,TblTech[[#This Row],[Hour]:[Hour]]&gt;=AG$2),1,0)</f>
        <v>0</v>
      </c>
      <c r="AH88" s="329" t="n">
        <f aca="false" t="array" ref="AH88:AH88">IF(AND(AH$2&lt;&gt;0,TblTech[[#This Row],[Hour]:[Hour]]&gt;=AH$2),1,0)</f>
        <v>0</v>
      </c>
      <c r="AI88" s="329" t="n">
        <f aca="false" t="array" ref="AI88:AI88">IF(AND(AI$2&lt;&gt;0,TblTech[[#This Row],[Hour]:[Hour]]&gt;=AI$2),1,0)</f>
        <v>0</v>
      </c>
      <c r="AJ88" s="329" t="n">
        <f aca="false" t="array" ref="AJ88:AJ88">IF(AND(AJ$2&lt;&gt;0,TblTech[[#This Row],[Hour]:[Hour]]&gt;=AJ$2),1,0)</f>
        <v>0</v>
      </c>
      <c r="AK88" s="329" t="n">
        <f aca="false" t="array" ref="AK88:AK88">IF(AND(AK$2&lt;&gt;0,TblTech[[#This Row],[Hour]:[Hour]]&gt;=AK$2),1,0)</f>
        <v>0</v>
      </c>
      <c r="AL88" s="329" t="n">
        <f aca="false" t="array" ref="AL88:AL88">IF(AND(AL$2&lt;&gt;0,TblTech[[#This Row],[Hour]:[Hour]]&gt;=AL$2),1,0)</f>
        <v>0</v>
      </c>
      <c r="AM88" s="329" t="n">
        <f aca="false" t="array" ref="AM88:AM88">IF(AND(AM$2&lt;&gt;0,TblTech[[#This Row],[Hour]:[Hour]]&gt;=AM$2),1,0)</f>
        <v>0</v>
      </c>
      <c r="AN88" s="329" t="n">
        <f aca="false" t="array" ref="AN88:AN88">IF(AND(AN$2&lt;&gt;0,TblTech[[#This Row],[Hour]:[Hour]]&gt;=AN$2),1,0)</f>
        <v>0</v>
      </c>
      <c r="AO88" s="329" t="n">
        <f aca="false" t="array" ref="AO88:AO88">IF(AND(AO$2&lt;&gt;0,TblTech[[#This Row],[Hour]:[Hour]]&gt;=AO$2),1,0)</f>
        <v>0</v>
      </c>
      <c r="AP88" s="329" t="n">
        <f aca="false" t="array" ref="AP88:AP88">IF(AND(AP$2&lt;&gt;0,TblTech[[#This Row],[Hour]:[Hour]]&gt;=AP$2),1,0)</f>
        <v>0</v>
      </c>
      <c r="AQ88" s="329" t="n">
        <f aca="false" t="array" ref="AQ88:AQ88">IF(AND(AQ$2&lt;&gt;0,TblTech[[#This Row],[Hour]:[Hour]]&gt;=AQ$2),1,0)</f>
        <v>0</v>
      </c>
      <c r="AR88" s="329" t="n">
        <f aca="false" t="array" ref="AR88:AR88">IF(AND(AR$2&lt;&gt;0,TblTech[[#This Row],[Hour]:[Hour]]&gt;=AR$2),1,0)</f>
        <v>0</v>
      </c>
      <c r="AS88" s="329" t="n">
        <f aca="false" t="array" ref="AS88:AS88">IF(AND(AS$2&lt;&gt;0,TblTech[[#This Row],[Hour]:[Hour]]&gt;=AS$2),1,0)</f>
        <v>0</v>
      </c>
      <c r="AT88" s="329" t="n">
        <f aca="false" t="array" ref="AT88:AT88">IF(AND(AT$2&lt;&gt;0,TblTech[[#This Row],[Hour]:[Hour]]&gt;=AT$2),1,0)</f>
        <v>0</v>
      </c>
      <c r="AU88" s="329" t="n">
        <f aca="false" t="array" ref="AU88:AU88">IF(AND(AU$2&lt;&gt;0,TblTech[[#This Row],[Hour]:[Hour]]&gt;=AU$2),1,0)</f>
        <v>0</v>
      </c>
      <c r="AV88" s="329" t="n">
        <f aca="false" t="array" ref="AV88:AV88">IF(AND(AV$2&lt;&gt;0,TblTech[[#This Row],[Hour]:[Hour]]&gt;=AV$2),1,0)</f>
        <v>0</v>
      </c>
      <c r="AW88" s="329" t="n">
        <f aca="false" t="array" ref="AW88:AW88">IF(AND(AW$2&lt;&gt;0,TblTech[[#This Row],[Hour]:[Hour]]&gt;=AW$2),1,0)</f>
        <v>0</v>
      </c>
      <c r="AX88" s="329" t="n">
        <f aca="false" t="array" ref="AX88:AX88">IF(AND(AX$2&lt;&gt;0,TblTech[[#This Row],[Hour]:[Hour]]&gt;=AX$2),1,0)</f>
        <v>0</v>
      </c>
      <c r="AY88" s="329" t="n">
        <f aca="false" t="array" ref="AY88:AY88">IF(AND(AY$2&lt;&gt;0,TblTech[[#This Row],[Hour]:[Hour]]&gt;=AY$2),1,0)</f>
        <v>0</v>
      </c>
      <c r="AZ88" s="329" t="n">
        <f aca="false" t="array" ref="AZ88:AZ88">IF(AND(AZ$2&lt;&gt;0,TblTech[[#This Row],[Hour]:[Hour]]&gt;=AZ$2),1,0)</f>
        <v>0</v>
      </c>
      <c r="BA88" s="329" t="n">
        <f aca="false" t="array" ref="BA88:BA88">IF(AND(BA$2&lt;&gt;0,TblTech[[#This Row],[Hour]:[Hour]]&gt;=BA$2),1,0)</f>
        <v>0</v>
      </c>
      <c r="BB88" s="329" t="n">
        <f aca="false" t="array" ref="BB88:BB88">IF(AND(BB$2&lt;&gt;0,TblTech[[#This Row],[Hour]:[Hour]]&gt;=BB$2),1,0)</f>
        <v>0</v>
      </c>
      <c r="BC88" s="329" t="n">
        <f aca="false" t="array" ref="BC88:BC88">IF(AND(BC$2&lt;&gt;0,TblTech[[#This Row],[Hour]:[Hour]]&gt;=BC$2),1,0)</f>
        <v>0</v>
      </c>
      <c r="BD88" s="329" t="n">
        <f aca="false" t="array" ref="BD88:BD88">IF(AND(BD$2&lt;&gt;0,TblTech[[#This Row],[Hour]:[Hour]]&gt;=BD$2),1,0)</f>
        <v>0</v>
      </c>
      <c r="BE88" s="329" t="n">
        <f aca="false" t="array" ref="BE88:BE88">IF(AND(BE$2&lt;&gt;0,TblTech[[#This Row],[Hour]:[Hour]]&gt;=BE$2),1,0)</f>
        <v>0</v>
      </c>
      <c r="BF88" s="329" t="n">
        <f aca="false" t="array" ref="BF88:BF88">IF(AND(BF$2&lt;&gt;0,TblTech[[#This Row],[Hour]:[Hour]]&gt;=BF$2),1,0)</f>
        <v>0</v>
      </c>
      <c r="BG88" s="329" t="n">
        <f aca="false" t="array" ref="BG88:BG88">IF(AND(BG$2&lt;&gt;0,TblTech[[#This Row],[Hour]:[Hour]]&gt;=BG$2),1,0)</f>
        <v>0</v>
      </c>
      <c r="BH88" s="329" t="n">
        <f aca="false" t="array" ref="BH88:BH88">IF(AND(BH$2&lt;&gt;0,TblTech[[#This Row],[Hour]:[Hour]]&gt;=BH$2),1,0)</f>
        <v>0</v>
      </c>
      <c r="BI88" s="329" t="n">
        <f aca="false" t="array" ref="BI88:BI88">IF(AND(BI$2&lt;&gt;0,TblTech[[#This Row],[Hour]:[Hour]]&gt;=BI$2),1,0)</f>
        <v>0</v>
      </c>
      <c r="BJ88" s="329" t="n">
        <f aca="false" t="array" ref="BJ88:BJ88">IF(AND(BJ$2&lt;&gt;0,TblTech[[#This Row],[Hour]:[Hour]]&gt;=BJ$2),1,0)</f>
        <v>0</v>
      </c>
      <c r="BK88" s="329" t="n">
        <f aca="false" t="array" ref="BK88:BK88">IF(AND(BK$2&lt;&gt;0,TblTech[[#This Row],[Hour]:[Hour]]&gt;=BK$2),1,0)</f>
        <v>0</v>
      </c>
      <c r="BL88" s="329" t="n">
        <f aca="false" t="array" ref="BL88:BL88">IF(AND(BL$2&lt;&gt;0,TblTech[[#This Row],[Hour]:[Hour]]&gt;=BL$2),1,0)</f>
        <v>0</v>
      </c>
      <c r="BM88" s="329" t="n">
        <f aca="false" t="array" ref="BM88:BM88">IF(AND(BM$2&lt;&gt;0,TblTech[[#This Row],[Hour]:[Hour]]&gt;=BM$2),1,0)</f>
        <v>0</v>
      </c>
      <c r="BN88" s="329" t="n">
        <f aca="false" t="array" ref="BN88:BN88">IF(AND(BN$2&lt;&gt;0,TblTech[[#This Row],[Hour]:[Hour]]&gt;=BN$2),1,0)</f>
        <v>0</v>
      </c>
      <c r="BO88" s="329" t="n">
        <f aca="false" t="array" ref="BO88:BO88">IF(AND(BO$2&lt;&gt;0,TblTech[[#This Row],[Hour]:[Hour]]&gt;=BO$2),1,0)</f>
        <v>0</v>
      </c>
      <c r="BP88" s="329" t="n">
        <f aca="false" t="array" ref="BP88:BP88">IF(AND(BP$2&lt;&gt;0,TblTech[[#This Row],[Hour]:[Hour]]&gt;=BP$2),1,0)</f>
        <v>0</v>
      </c>
      <c r="BQ88" s="329" t="n">
        <f aca="false" t="array" ref="BQ88:BQ88">IF(AND(BQ$2&lt;&gt;0,TblTech[[#This Row],[Hour]:[Hour]]&gt;=BQ$2),1,0)</f>
        <v>0</v>
      </c>
      <c r="BR88" s="329" t="n">
        <f aca="false" t="array" ref="BR88:BR88">IF(AND(BR$2&lt;&gt;0,TblTech[[#This Row],[Hour]:[Hour]]&gt;=BR$2),1,0)</f>
        <v>0</v>
      </c>
      <c r="BS88" s="329" t="n">
        <f aca="false" t="array" ref="BS88:BS88">IF(AND(BS$2&lt;&gt;0,TblTech[[#This Row],[Hour]:[Hour]]&gt;=BS$2),1,0)</f>
        <v>0</v>
      </c>
      <c r="BT88" s="329" t="n">
        <f aca="false" t="array" ref="BT88:BT88">IF(AND(BT$2&lt;&gt;0,TblTech[[#This Row],[Hour]:[Hour]]&gt;=BT$2),1,0)</f>
        <v>0</v>
      </c>
      <c r="BU88" s="329" t="n">
        <f aca="false" t="array" ref="BU88:BU88">IF(AND(BU$2&lt;&gt;0,TblTech[[#This Row],[Hour]:[Hour]]&gt;=BU$2),1,0)</f>
        <v>0</v>
      </c>
      <c r="BV88" s="329" t="n">
        <f aca="false" t="array" ref="BV88:BV88">IF(AND(BV$2&lt;&gt;0,TblTech[[#This Row],[Hour]:[Hour]]&gt;=BV$2),1,0)</f>
        <v>0</v>
      </c>
      <c r="BW88" s="329" t="n">
        <f aca="false" t="array" ref="BW88:BW88">IF(AND(BW$2&lt;&gt;0,TblTech[[#This Row],[Hour]:[Hour]]&gt;=BW$2),1,0)</f>
        <v>0</v>
      </c>
      <c r="BX88" s="329" t="n">
        <f aca="false" t="array" ref="BX88:BX88">IF(AND(BX$2&lt;&gt;0,TblTech[[#This Row],[Hour]:[Hour]]&gt;=BX$2),1,0)</f>
        <v>0</v>
      </c>
      <c r="BY88" s="329" t="n">
        <f aca="false" t="array" ref="BY88:BY88">IF(AND(BY$2&lt;&gt;0,TblTech[[#This Row],[Hour]:[Hour]]&gt;=BY$2),1,0)</f>
        <v>0</v>
      </c>
      <c r="BZ88" s="329" t="n">
        <f aca="false" t="array" ref="BZ88:BZ88">IF(AND(BZ$2&lt;&gt;0,TblTech[[#This Row],[Hour]:[Hour]]&gt;=BZ$2),1,0)</f>
        <v>0</v>
      </c>
      <c r="CA88" s="330" t="n">
        <f aca="false">IFERROR(INDEX($H$4:$H$79,MATCH(INDEX(TblTech[[#Headers],[1-1]:[11-1]],1,MATCH(TblTech[[#This Row],[Hour]],$M$2:$BZ$2,0)),$G$4:$G$79,0)),)</f>
        <v>0</v>
      </c>
    </row>
    <row r="89" customFormat="false" ht="12.75" hidden="false" customHeight="false" outlineLevel="0" collapsed="false">
      <c r="A89" s="321" t="n">
        <f aca="false">TblRezone[[#This Row],[Hour]]</f>
        <v>86</v>
      </c>
      <c r="B89" s="322" t="n">
        <f aca="false">TblExplore[[#This Row],[Land-DB]]</f>
        <v>700</v>
      </c>
      <c r="C89" s="323" t="n">
        <f aca="false">TblProd[[#This Row],[Techpoints]]</f>
        <v>1400</v>
      </c>
      <c r="D89" s="323" t="n">
        <f aca="false">TblProd[[#This Row],[Required]]</f>
        <v>3750</v>
      </c>
      <c r="E89" s="333"/>
      <c r="F89" s="334"/>
      <c r="G89" s="326"/>
      <c r="H89" s="327"/>
      <c r="I89" s="327"/>
      <c r="J89" s="327"/>
      <c r="K89" s="68" t="n">
        <f aca="false">IF(TblTech[[#This Row],[Sum of tech]]&lt;&gt;OFFSET(TblTech[[#This Row],[Sum of tech]],-1,0),1,0)</f>
        <v>0</v>
      </c>
      <c r="L89" s="328" t="n">
        <f aca="false">COUNTIF(TblTech[[#This Row],[1-1]:[11-1]],1)</f>
        <v>0</v>
      </c>
      <c r="M89" s="329" t="n">
        <f aca="false" t="array" ref="M89:M89">IF(AND(M$2&lt;&gt;0,TblTech[[#This Row],[Hour]:[Hour]]&gt;=M$2),1,0)</f>
        <v>0</v>
      </c>
      <c r="N89" s="329" t="n">
        <f aca="false" t="array" ref="N89:N89">IF(AND(N$2&lt;&gt;0,TblTech[[#This Row],[Hour]:[Hour]]&gt;=N$2),1,0)</f>
        <v>0</v>
      </c>
      <c r="O89" s="329" t="n">
        <f aca="false" t="array" ref="O89:O89">IF(AND(O$2&lt;&gt;0,TblTech[[#This Row],[Hour]:[Hour]]&gt;=O$2),1,0)</f>
        <v>0</v>
      </c>
      <c r="P89" s="329" t="n">
        <f aca="false" t="array" ref="P89:P89">IF(AND(P$2&lt;&gt;0,TblTech[[#This Row],[Hour]:[Hour]]&gt;=P$2),1,0)</f>
        <v>0</v>
      </c>
      <c r="Q89" s="329" t="n">
        <f aca="false" t="array" ref="Q89:Q89">IF(AND(Q$2&lt;&gt;0,TblTech[[#This Row],[Hour]:[Hour]]&gt;=Q$2),1,0)</f>
        <v>0</v>
      </c>
      <c r="R89" s="329" t="n">
        <f aca="false" t="array" ref="R89:R89">IF(AND(R$2&lt;&gt;0,TblTech[[#This Row],[Hour]:[Hour]]&gt;=R$2),1,0)</f>
        <v>0</v>
      </c>
      <c r="S89" s="329" t="n">
        <f aca="false" t="array" ref="S89:S89">IF(AND(S$2&lt;&gt;0,TblTech[[#This Row],[Hour]:[Hour]]&gt;=S$2),1,0)</f>
        <v>0</v>
      </c>
      <c r="T89" s="329" t="n">
        <f aca="false" t="array" ref="T89:T89">IF(AND(T$2&lt;&gt;0,TblTech[[#This Row],[Hour]:[Hour]]&gt;=T$2),1,0)</f>
        <v>0</v>
      </c>
      <c r="U89" s="329" t="n">
        <f aca="false" t="array" ref="U89:U89">IF(AND(U$2&lt;&gt;0,TblTech[[#This Row],[Hour]:[Hour]]&gt;=U$2),1,0)</f>
        <v>0</v>
      </c>
      <c r="V89" s="329" t="n">
        <f aca="false" t="array" ref="V89:V89">IF(AND(V$2&lt;&gt;0,TblTech[[#This Row],[Hour]:[Hour]]&gt;=V$2),1,0)</f>
        <v>0</v>
      </c>
      <c r="W89" s="329" t="n">
        <f aca="false" t="array" ref="W89:W89">IF(AND(W$2&lt;&gt;0,TblTech[[#This Row],[Hour]:[Hour]]&gt;=W$2),1,0)</f>
        <v>0</v>
      </c>
      <c r="X89" s="329" t="n">
        <f aca="false" t="array" ref="X89:X89">IF(AND(X$2&lt;&gt;0,TblTech[[#This Row],[Hour]:[Hour]]&gt;=X$2),1,0)</f>
        <v>0</v>
      </c>
      <c r="Y89" s="329" t="n">
        <f aca="false" t="array" ref="Y89:Y89">IF(AND(Y$2&lt;&gt;0,TblTech[[#This Row],[Hour]:[Hour]]&gt;=Y$2),1,0)</f>
        <v>0</v>
      </c>
      <c r="Z89" s="329" t="n">
        <f aca="false" t="array" ref="Z89:Z89">IF(AND(Z$2&lt;&gt;0,TblTech[[#This Row],[Hour]:[Hour]]&gt;=Z$2),1,0)</f>
        <v>0</v>
      </c>
      <c r="AA89" s="329" t="n">
        <f aca="false" t="array" ref="AA89:AA89">IF(AND(AA$2&lt;&gt;0,TblTech[[#This Row],[Hour]:[Hour]]&gt;=AA$2),1,0)</f>
        <v>0</v>
      </c>
      <c r="AB89" s="329" t="n">
        <f aca="false" t="array" ref="AB89:AB89">IF(AND(AB$2&lt;&gt;0,TblTech[[#This Row],[Hour]:[Hour]]&gt;=AB$2),1,0)</f>
        <v>0</v>
      </c>
      <c r="AC89" s="329" t="n">
        <f aca="false" t="array" ref="AC89:AC89">IF(AND(AC$2&lt;&gt;0,TblTech[[#This Row],[Hour]:[Hour]]&gt;=AC$2),1,0)</f>
        <v>0</v>
      </c>
      <c r="AD89" s="329" t="n">
        <f aca="false" t="array" ref="AD89:AD89">IF(AND(AD$2&lt;&gt;0,TblTech[[#This Row],[Hour]:[Hour]]&gt;=AD$2),1,0)</f>
        <v>0</v>
      </c>
      <c r="AE89" s="329" t="n">
        <f aca="false" t="array" ref="AE89:AE89">IF(AND(AE$2&lt;&gt;0,TblTech[[#This Row],[Hour]:[Hour]]&gt;=AE$2),1,0)</f>
        <v>0</v>
      </c>
      <c r="AF89" s="329" t="n">
        <f aca="false" t="array" ref="AF89:AF89">IF(AND(AF$2&lt;&gt;0,TblTech[[#This Row],[Hour]:[Hour]]&gt;=AF$2),1,0)</f>
        <v>0</v>
      </c>
      <c r="AG89" s="329" t="n">
        <f aca="false" t="array" ref="AG89:AG89">IF(AND(AG$2&lt;&gt;0,TblTech[[#This Row],[Hour]:[Hour]]&gt;=AG$2),1,0)</f>
        <v>0</v>
      </c>
      <c r="AH89" s="329" t="n">
        <f aca="false" t="array" ref="AH89:AH89">IF(AND(AH$2&lt;&gt;0,TblTech[[#This Row],[Hour]:[Hour]]&gt;=AH$2),1,0)</f>
        <v>0</v>
      </c>
      <c r="AI89" s="329" t="n">
        <f aca="false" t="array" ref="AI89:AI89">IF(AND(AI$2&lt;&gt;0,TblTech[[#This Row],[Hour]:[Hour]]&gt;=AI$2),1,0)</f>
        <v>0</v>
      </c>
      <c r="AJ89" s="329" t="n">
        <f aca="false" t="array" ref="AJ89:AJ89">IF(AND(AJ$2&lt;&gt;0,TblTech[[#This Row],[Hour]:[Hour]]&gt;=AJ$2),1,0)</f>
        <v>0</v>
      </c>
      <c r="AK89" s="329" t="n">
        <f aca="false" t="array" ref="AK89:AK89">IF(AND(AK$2&lt;&gt;0,TblTech[[#This Row],[Hour]:[Hour]]&gt;=AK$2),1,0)</f>
        <v>0</v>
      </c>
      <c r="AL89" s="329" t="n">
        <f aca="false" t="array" ref="AL89:AL89">IF(AND(AL$2&lt;&gt;0,TblTech[[#This Row],[Hour]:[Hour]]&gt;=AL$2),1,0)</f>
        <v>0</v>
      </c>
      <c r="AM89" s="329" t="n">
        <f aca="false" t="array" ref="AM89:AM89">IF(AND(AM$2&lt;&gt;0,TblTech[[#This Row],[Hour]:[Hour]]&gt;=AM$2),1,0)</f>
        <v>0</v>
      </c>
      <c r="AN89" s="329" t="n">
        <f aca="false" t="array" ref="AN89:AN89">IF(AND(AN$2&lt;&gt;0,TblTech[[#This Row],[Hour]:[Hour]]&gt;=AN$2),1,0)</f>
        <v>0</v>
      </c>
      <c r="AO89" s="329" t="n">
        <f aca="false" t="array" ref="AO89:AO89">IF(AND(AO$2&lt;&gt;0,TblTech[[#This Row],[Hour]:[Hour]]&gt;=AO$2),1,0)</f>
        <v>0</v>
      </c>
      <c r="AP89" s="329" t="n">
        <f aca="false" t="array" ref="AP89:AP89">IF(AND(AP$2&lt;&gt;0,TblTech[[#This Row],[Hour]:[Hour]]&gt;=AP$2),1,0)</f>
        <v>0</v>
      </c>
      <c r="AQ89" s="329" t="n">
        <f aca="false" t="array" ref="AQ89:AQ89">IF(AND(AQ$2&lt;&gt;0,TblTech[[#This Row],[Hour]:[Hour]]&gt;=AQ$2),1,0)</f>
        <v>0</v>
      </c>
      <c r="AR89" s="329" t="n">
        <f aca="false" t="array" ref="AR89:AR89">IF(AND(AR$2&lt;&gt;0,TblTech[[#This Row],[Hour]:[Hour]]&gt;=AR$2),1,0)</f>
        <v>0</v>
      </c>
      <c r="AS89" s="329" t="n">
        <f aca="false" t="array" ref="AS89:AS89">IF(AND(AS$2&lt;&gt;0,TblTech[[#This Row],[Hour]:[Hour]]&gt;=AS$2),1,0)</f>
        <v>0</v>
      </c>
      <c r="AT89" s="329" t="n">
        <f aca="false" t="array" ref="AT89:AT89">IF(AND(AT$2&lt;&gt;0,TblTech[[#This Row],[Hour]:[Hour]]&gt;=AT$2),1,0)</f>
        <v>0</v>
      </c>
      <c r="AU89" s="329" t="n">
        <f aca="false" t="array" ref="AU89:AU89">IF(AND(AU$2&lt;&gt;0,TblTech[[#This Row],[Hour]:[Hour]]&gt;=AU$2),1,0)</f>
        <v>0</v>
      </c>
      <c r="AV89" s="329" t="n">
        <f aca="false" t="array" ref="AV89:AV89">IF(AND(AV$2&lt;&gt;0,TblTech[[#This Row],[Hour]:[Hour]]&gt;=AV$2),1,0)</f>
        <v>0</v>
      </c>
      <c r="AW89" s="329" t="n">
        <f aca="false" t="array" ref="AW89:AW89">IF(AND(AW$2&lt;&gt;0,TblTech[[#This Row],[Hour]:[Hour]]&gt;=AW$2),1,0)</f>
        <v>0</v>
      </c>
      <c r="AX89" s="329" t="n">
        <f aca="false" t="array" ref="AX89:AX89">IF(AND(AX$2&lt;&gt;0,TblTech[[#This Row],[Hour]:[Hour]]&gt;=AX$2),1,0)</f>
        <v>0</v>
      </c>
      <c r="AY89" s="329" t="n">
        <f aca="false" t="array" ref="AY89:AY89">IF(AND(AY$2&lt;&gt;0,TblTech[[#This Row],[Hour]:[Hour]]&gt;=AY$2),1,0)</f>
        <v>0</v>
      </c>
      <c r="AZ89" s="329" t="n">
        <f aca="false" t="array" ref="AZ89:AZ89">IF(AND(AZ$2&lt;&gt;0,TblTech[[#This Row],[Hour]:[Hour]]&gt;=AZ$2),1,0)</f>
        <v>0</v>
      </c>
      <c r="BA89" s="329" t="n">
        <f aca="false" t="array" ref="BA89:BA89">IF(AND(BA$2&lt;&gt;0,TblTech[[#This Row],[Hour]:[Hour]]&gt;=BA$2),1,0)</f>
        <v>0</v>
      </c>
      <c r="BB89" s="329" t="n">
        <f aca="false" t="array" ref="BB89:BB89">IF(AND(BB$2&lt;&gt;0,TblTech[[#This Row],[Hour]:[Hour]]&gt;=BB$2),1,0)</f>
        <v>0</v>
      </c>
      <c r="BC89" s="329" t="n">
        <f aca="false" t="array" ref="BC89:BC89">IF(AND(BC$2&lt;&gt;0,TblTech[[#This Row],[Hour]:[Hour]]&gt;=BC$2),1,0)</f>
        <v>0</v>
      </c>
      <c r="BD89" s="329" t="n">
        <f aca="false" t="array" ref="BD89:BD89">IF(AND(BD$2&lt;&gt;0,TblTech[[#This Row],[Hour]:[Hour]]&gt;=BD$2),1,0)</f>
        <v>0</v>
      </c>
      <c r="BE89" s="329" t="n">
        <f aca="false" t="array" ref="BE89:BE89">IF(AND(BE$2&lt;&gt;0,TblTech[[#This Row],[Hour]:[Hour]]&gt;=BE$2),1,0)</f>
        <v>0</v>
      </c>
      <c r="BF89" s="329" t="n">
        <f aca="false" t="array" ref="BF89:BF89">IF(AND(BF$2&lt;&gt;0,TblTech[[#This Row],[Hour]:[Hour]]&gt;=BF$2),1,0)</f>
        <v>0</v>
      </c>
      <c r="BG89" s="329" t="n">
        <f aca="false" t="array" ref="BG89:BG89">IF(AND(BG$2&lt;&gt;0,TblTech[[#This Row],[Hour]:[Hour]]&gt;=BG$2),1,0)</f>
        <v>0</v>
      </c>
      <c r="BH89" s="329" t="n">
        <f aca="false" t="array" ref="BH89:BH89">IF(AND(BH$2&lt;&gt;0,TblTech[[#This Row],[Hour]:[Hour]]&gt;=BH$2),1,0)</f>
        <v>0</v>
      </c>
      <c r="BI89" s="329" t="n">
        <f aca="false" t="array" ref="BI89:BI89">IF(AND(BI$2&lt;&gt;0,TblTech[[#This Row],[Hour]:[Hour]]&gt;=BI$2),1,0)</f>
        <v>0</v>
      </c>
      <c r="BJ89" s="329" t="n">
        <f aca="false" t="array" ref="BJ89:BJ89">IF(AND(BJ$2&lt;&gt;0,TblTech[[#This Row],[Hour]:[Hour]]&gt;=BJ$2),1,0)</f>
        <v>0</v>
      </c>
      <c r="BK89" s="329" t="n">
        <f aca="false" t="array" ref="BK89:BK89">IF(AND(BK$2&lt;&gt;0,TblTech[[#This Row],[Hour]:[Hour]]&gt;=BK$2),1,0)</f>
        <v>0</v>
      </c>
      <c r="BL89" s="329" t="n">
        <f aca="false" t="array" ref="BL89:BL89">IF(AND(BL$2&lt;&gt;0,TblTech[[#This Row],[Hour]:[Hour]]&gt;=BL$2),1,0)</f>
        <v>0</v>
      </c>
      <c r="BM89" s="329" t="n">
        <f aca="false" t="array" ref="BM89:BM89">IF(AND(BM$2&lt;&gt;0,TblTech[[#This Row],[Hour]:[Hour]]&gt;=BM$2),1,0)</f>
        <v>0</v>
      </c>
      <c r="BN89" s="329" t="n">
        <f aca="false" t="array" ref="BN89:BN89">IF(AND(BN$2&lt;&gt;0,TblTech[[#This Row],[Hour]:[Hour]]&gt;=BN$2),1,0)</f>
        <v>0</v>
      </c>
      <c r="BO89" s="329" t="n">
        <f aca="false" t="array" ref="BO89:BO89">IF(AND(BO$2&lt;&gt;0,TblTech[[#This Row],[Hour]:[Hour]]&gt;=BO$2),1,0)</f>
        <v>0</v>
      </c>
      <c r="BP89" s="329" t="n">
        <f aca="false" t="array" ref="BP89:BP89">IF(AND(BP$2&lt;&gt;0,TblTech[[#This Row],[Hour]:[Hour]]&gt;=BP$2),1,0)</f>
        <v>0</v>
      </c>
      <c r="BQ89" s="329" t="n">
        <f aca="false" t="array" ref="BQ89:BQ89">IF(AND(BQ$2&lt;&gt;0,TblTech[[#This Row],[Hour]:[Hour]]&gt;=BQ$2),1,0)</f>
        <v>0</v>
      </c>
      <c r="BR89" s="329" t="n">
        <f aca="false" t="array" ref="BR89:BR89">IF(AND(BR$2&lt;&gt;0,TblTech[[#This Row],[Hour]:[Hour]]&gt;=BR$2),1,0)</f>
        <v>0</v>
      </c>
      <c r="BS89" s="329" t="n">
        <f aca="false" t="array" ref="BS89:BS89">IF(AND(BS$2&lt;&gt;0,TblTech[[#This Row],[Hour]:[Hour]]&gt;=BS$2),1,0)</f>
        <v>0</v>
      </c>
      <c r="BT89" s="329" t="n">
        <f aca="false" t="array" ref="BT89:BT89">IF(AND(BT$2&lt;&gt;0,TblTech[[#This Row],[Hour]:[Hour]]&gt;=BT$2),1,0)</f>
        <v>0</v>
      </c>
      <c r="BU89" s="329" t="n">
        <f aca="false" t="array" ref="BU89:BU89">IF(AND(BU$2&lt;&gt;0,TblTech[[#This Row],[Hour]:[Hour]]&gt;=BU$2),1,0)</f>
        <v>0</v>
      </c>
      <c r="BV89" s="329" t="n">
        <f aca="false" t="array" ref="BV89:BV89">IF(AND(BV$2&lt;&gt;0,TblTech[[#This Row],[Hour]:[Hour]]&gt;=BV$2),1,0)</f>
        <v>0</v>
      </c>
      <c r="BW89" s="329" t="n">
        <f aca="false" t="array" ref="BW89:BW89">IF(AND(BW$2&lt;&gt;0,TblTech[[#This Row],[Hour]:[Hour]]&gt;=BW$2),1,0)</f>
        <v>0</v>
      </c>
      <c r="BX89" s="329" t="n">
        <f aca="false" t="array" ref="BX89:BX89">IF(AND(BX$2&lt;&gt;0,TblTech[[#This Row],[Hour]:[Hour]]&gt;=BX$2),1,0)</f>
        <v>0</v>
      </c>
      <c r="BY89" s="329" t="n">
        <f aca="false" t="array" ref="BY89:BY89">IF(AND(BY$2&lt;&gt;0,TblTech[[#This Row],[Hour]:[Hour]]&gt;=BY$2),1,0)</f>
        <v>0</v>
      </c>
      <c r="BZ89" s="329" t="n">
        <f aca="false" t="array" ref="BZ89:BZ89">IF(AND(BZ$2&lt;&gt;0,TblTech[[#This Row],[Hour]:[Hour]]&gt;=BZ$2),1,0)</f>
        <v>0</v>
      </c>
      <c r="CA89" s="330" t="n">
        <f aca="false">IFERROR(INDEX($H$4:$H$79,MATCH(INDEX(TblTech[[#Headers],[1-1]:[11-1]],1,MATCH(TblTech[[#This Row],[Hour]],$M$2:$BZ$2,0)),$G$4:$G$79,0)),)</f>
        <v>0</v>
      </c>
    </row>
    <row r="90" customFormat="false" ht="12.75" hidden="false" customHeight="false" outlineLevel="0" collapsed="false">
      <c r="A90" s="321" t="n">
        <f aca="false">TblRezone[[#This Row],[Hour]]</f>
        <v>87</v>
      </c>
      <c r="B90" s="322" t="n">
        <f aca="false">TblExplore[[#This Row],[Land-DB]]</f>
        <v>700</v>
      </c>
      <c r="C90" s="323" t="n">
        <f aca="false">TblProd[[#This Row],[Techpoints]]</f>
        <v>1400</v>
      </c>
      <c r="D90" s="323" t="n">
        <f aca="false">TblProd[[#This Row],[Required]]</f>
        <v>3750</v>
      </c>
      <c r="E90" s="333"/>
      <c r="F90" s="334"/>
      <c r="G90" s="326"/>
      <c r="H90" s="327"/>
      <c r="I90" s="327"/>
      <c r="J90" s="327"/>
      <c r="K90" s="68" t="n">
        <f aca="false">IF(TblTech[[#This Row],[Sum of tech]]&lt;&gt;OFFSET(TblTech[[#This Row],[Sum of tech]],-1,0),1,0)</f>
        <v>0</v>
      </c>
      <c r="L90" s="328" t="n">
        <f aca="false">COUNTIF(TblTech[[#This Row],[1-1]:[11-1]],1)</f>
        <v>0</v>
      </c>
      <c r="M90" s="329" t="n">
        <f aca="false" t="array" ref="M90:M90">IF(AND(M$2&lt;&gt;0,TblTech[[#This Row],[Hour]:[Hour]]&gt;=M$2),1,0)</f>
        <v>0</v>
      </c>
      <c r="N90" s="329" t="n">
        <f aca="false" t="array" ref="N90:N90">IF(AND(N$2&lt;&gt;0,TblTech[[#This Row],[Hour]:[Hour]]&gt;=N$2),1,0)</f>
        <v>0</v>
      </c>
      <c r="O90" s="329" t="n">
        <f aca="false" t="array" ref="O90:O90">IF(AND(O$2&lt;&gt;0,TblTech[[#This Row],[Hour]:[Hour]]&gt;=O$2),1,0)</f>
        <v>0</v>
      </c>
      <c r="P90" s="329" t="n">
        <f aca="false" t="array" ref="P90:P90">IF(AND(P$2&lt;&gt;0,TblTech[[#This Row],[Hour]:[Hour]]&gt;=P$2),1,0)</f>
        <v>0</v>
      </c>
      <c r="Q90" s="329" t="n">
        <f aca="false" t="array" ref="Q90:Q90">IF(AND(Q$2&lt;&gt;0,TblTech[[#This Row],[Hour]:[Hour]]&gt;=Q$2),1,0)</f>
        <v>0</v>
      </c>
      <c r="R90" s="329" t="n">
        <f aca="false" t="array" ref="R90:R90">IF(AND(R$2&lt;&gt;0,TblTech[[#This Row],[Hour]:[Hour]]&gt;=R$2),1,0)</f>
        <v>0</v>
      </c>
      <c r="S90" s="329" t="n">
        <f aca="false" t="array" ref="S90:S90">IF(AND(S$2&lt;&gt;0,TblTech[[#This Row],[Hour]:[Hour]]&gt;=S$2),1,0)</f>
        <v>0</v>
      </c>
      <c r="T90" s="329" t="n">
        <f aca="false" t="array" ref="T90:T90">IF(AND(T$2&lt;&gt;0,TblTech[[#This Row],[Hour]:[Hour]]&gt;=T$2),1,0)</f>
        <v>0</v>
      </c>
      <c r="U90" s="329" t="n">
        <f aca="false" t="array" ref="U90:U90">IF(AND(U$2&lt;&gt;0,TblTech[[#This Row],[Hour]:[Hour]]&gt;=U$2),1,0)</f>
        <v>0</v>
      </c>
      <c r="V90" s="329" t="n">
        <f aca="false" t="array" ref="V90:V90">IF(AND(V$2&lt;&gt;0,TblTech[[#This Row],[Hour]:[Hour]]&gt;=V$2),1,0)</f>
        <v>0</v>
      </c>
      <c r="W90" s="329" t="n">
        <f aca="false" t="array" ref="W90:W90">IF(AND(W$2&lt;&gt;0,TblTech[[#This Row],[Hour]:[Hour]]&gt;=W$2),1,0)</f>
        <v>0</v>
      </c>
      <c r="X90" s="329" t="n">
        <f aca="false" t="array" ref="X90:X90">IF(AND(X$2&lt;&gt;0,TblTech[[#This Row],[Hour]:[Hour]]&gt;=X$2),1,0)</f>
        <v>0</v>
      </c>
      <c r="Y90" s="329" t="n">
        <f aca="false" t="array" ref="Y90:Y90">IF(AND(Y$2&lt;&gt;0,TblTech[[#This Row],[Hour]:[Hour]]&gt;=Y$2),1,0)</f>
        <v>0</v>
      </c>
      <c r="Z90" s="329" t="n">
        <f aca="false" t="array" ref="Z90:Z90">IF(AND(Z$2&lt;&gt;0,TblTech[[#This Row],[Hour]:[Hour]]&gt;=Z$2),1,0)</f>
        <v>0</v>
      </c>
      <c r="AA90" s="329" t="n">
        <f aca="false" t="array" ref="AA90:AA90">IF(AND(AA$2&lt;&gt;0,TblTech[[#This Row],[Hour]:[Hour]]&gt;=AA$2),1,0)</f>
        <v>0</v>
      </c>
      <c r="AB90" s="329" t="n">
        <f aca="false" t="array" ref="AB90:AB90">IF(AND(AB$2&lt;&gt;0,TblTech[[#This Row],[Hour]:[Hour]]&gt;=AB$2),1,0)</f>
        <v>0</v>
      </c>
      <c r="AC90" s="329" t="n">
        <f aca="false" t="array" ref="AC90:AC90">IF(AND(AC$2&lt;&gt;0,TblTech[[#This Row],[Hour]:[Hour]]&gt;=AC$2),1,0)</f>
        <v>0</v>
      </c>
      <c r="AD90" s="329" t="n">
        <f aca="false" t="array" ref="AD90:AD90">IF(AND(AD$2&lt;&gt;0,TblTech[[#This Row],[Hour]:[Hour]]&gt;=AD$2),1,0)</f>
        <v>0</v>
      </c>
      <c r="AE90" s="329" t="n">
        <f aca="false" t="array" ref="AE90:AE90">IF(AND(AE$2&lt;&gt;0,TblTech[[#This Row],[Hour]:[Hour]]&gt;=AE$2),1,0)</f>
        <v>0</v>
      </c>
      <c r="AF90" s="329" t="n">
        <f aca="false" t="array" ref="AF90:AF90">IF(AND(AF$2&lt;&gt;0,TblTech[[#This Row],[Hour]:[Hour]]&gt;=AF$2),1,0)</f>
        <v>0</v>
      </c>
      <c r="AG90" s="329" t="n">
        <f aca="false" t="array" ref="AG90:AG90">IF(AND(AG$2&lt;&gt;0,TblTech[[#This Row],[Hour]:[Hour]]&gt;=AG$2),1,0)</f>
        <v>0</v>
      </c>
      <c r="AH90" s="329" t="n">
        <f aca="false" t="array" ref="AH90:AH90">IF(AND(AH$2&lt;&gt;0,TblTech[[#This Row],[Hour]:[Hour]]&gt;=AH$2),1,0)</f>
        <v>0</v>
      </c>
      <c r="AI90" s="329" t="n">
        <f aca="false" t="array" ref="AI90:AI90">IF(AND(AI$2&lt;&gt;0,TblTech[[#This Row],[Hour]:[Hour]]&gt;=AI$2),1,0)</f>
        <v>0</v>
      </c>
      <c r="AJ90" s="329" t="n">
        <f aca="false" t="array" ref="AJ90:AJ90">IF(AND(AJ$2&lt;&gt;0,TblTech[[#This Row],[Hour]:[Hour]]&gt;=AJ$2),1,0)</f>
        <v>0</v>
      </c>
      <c r="AK90" s="329" t="n">
        <f aca="false" t="array" ref="AK90:AK90">IF(AND(AK$2&lt;&gt;0,TblTech[[#This Row],[Hour]:[Hour]]&gt;=AK$2),1,0)</f>
        <v>0</v>
      </c>
      <c r="AL90" s="329" t="n">
        <f aca="false" t="array" ref="AL90:AL90">IF(AND(AL$2&lt;&gt;0,TblTech[[#This Row],[Hour]:[Hour]]&gt;=AL$2),1,0)</f>
        <v>0</v>
      </c>
      <c r="AM90" s="329" t="n">
        <f aca="false" t="array" ref="AM90:AM90">IF(AND(AM$2&lt;&gt;0,TblTech[[#This Row],[Hour]:[Hour]]&gt;=AM$2),1,0)</f>
        <v>0</v>
      </c>
      <c r="AN90" s="329" t="n">
        <f aca="false" t="array" ref="AN90:AN90">IF(AND(AN$2&lt;&gt;0,TblTech[[#This Row],[Hour]:[Hour]]&gt;=AN$2),1,0)</f>
        <v>0</v>
      </c>
      <c r="AO90" s="329" t="n">
        <f aca="false" t="array" ref="AO90:AO90">IF(AND(AO$2&lt;&gt;0,TblTech[[#This Row],[Hour]:[Hour]]&gt;=AO$2),1,0)</f>
        <v>0</v>
      </c>
      <c r="AP90" s="329" t="n">
        <f aca="false" t="array" ref="AP90:AP90">IF(AND(AP$2&lt;&gt;0,TblTech[[#This Row],[Hour]:[Hour]]&gt;=AP$2),1,0)</f>
        <v>0</v>
      </c>
      <c r="AQ90" s="329" t="n">
        <f aca="false" t="array" ref="AQ90:AQ90">IF(AND(AQ$2&lt;&gt;0,TblTech[[#This Row],[Hour]:[Hour]]&gt;=AQ$2),1,0)</f>
        <v>0</v>
      </c>
      <c r="AR90" s="329" t="n">
        <f aca="false" t="array" ref="AR90:AR90">IF(AND(AR$2&lt;&gt;0,TblTech[[#This Row],[Hour]:[Hour]]&gt;=AR$2),1,0)</f>
        <v>0</v>
      </c>
      <c r="AS90" s="329" t="n">
        <f aca="false" t="array" ref="AS90:AS90">IF(AND(AS$2&lt;&gt;0,TblTech[[#This Row],[Hour]:[Hour]]&gt;=AS$2),1,0)</f>
        <v>0</v>
      </c>
      <c r="AT90" s="329" t="n">
        <f aca="false" t="array" ref="AT90:AT90">IF(AND(AT$2&lt;&gt;0,TblTech[[#This Row],[Hour]:[Hour]]&gt;=AT$2),1,0)</f>
        <v>0</v>
      </c>
      <c r="AU90" s="329" t="n">
        <f aca="false" t="array" ref="AU90:AU90">IF(AND(AU$2&lt;&gt;0,TblTech[[#This Row],[Hour]:[Hour]]&gt;=AU$2),1,0)</f>
        <v>0</v>
      </c>
      <c r="AV90" s="329" t="n">
        <f aca="false" t="array" ref="AV90:AV90">IF(AND(AV$2&lt;&gt;0,TblTech[[#This Row],[Hour]:[Hour]]&gt;=AV$2),1,0)</f>
        <v>0</v>
      </c>
      <c r="AW90" s="329" t="n">
        <f aca="false" t="array" ref="AW90:AW90">IF(AND(AW$2&lt;&gt;0,TblTech[[#This Row],[Hour]:[Hour]]&gt;=AW$2),1,0)</f>
        <v>0</v>
      </c>
      <c r="AX90" s="329" t="n">
        <f aca="false" t="array" ref="AX90:AX90">IF(AND(AX$2&lt;&gt;0,TblTech[[#This Row],[Hour]:[Hour]]&gt;=AX$2),1,0)</f>
        <v>0</v>
      </c>
      <c r="AY90" s="329" t="n">
        <f aca="false" t="array" ref="AY90:AY90">IF(AND(AY$2&lt;&gt;0,TblTech[[#This Row],[Hour]:[Hour]]&gt;=AY$2),1,0)</f>
        <v>0</v>
      </c>
      <c r="AZ90" s="329" t="n">
        <f aca="false" t="array" ref="AZ90:AZ90">IF(AND(AZ$2&lt;&gt;0,TblTech[[#This Row],[Hour]:[Hour]]&gt;=AZ$2),1,0)</f>
        <v>0</v>
      </c>
      <c r="BA90" s="329" t="n">
        <f aca="false" t="array" ref="BA90:BA90">IF(AND(BA$2&lt;&gt;0,TblTech[[#This Row],[Hour]:[Hour]]&gt;=BA$2),1,0)</f>
        <v>0</v>
      </c>
      <c r="BB90" s="329" t="n">
        <f aca="false" t="array" ref="BB90:BB90">IF(AND(BB$2&lt;&gt;0,TblTech[[#This Row],[Hour]:[Hour]]&gt;=BB$2),1,0)</f>
        <v>0</v>
      </c>
      <c r="BC90" s="329" t="n">
        <f aca="false" t="array" ref="BC90:BC90">IF(AND(BC$2&lt;&gt;0,TblTech[[#This Row],[Hour]:[Hour]]&gt;=BC$2),1,0)</f>
        <v>0</v>
      </c>
      <c r="BD90" s="329" t="n">
        <f aca="false" t="array" ref="BD90:BD90">IF(AND(BD$2&lt;&gt;0,TblTech[[#This Row],[Hour]:[Hour]]&gt;=BD$2),1,0)</f>
        <v>0</v>
      </c>
      <c r="BE90" s="329" t="n">
        <f aca="false" t="array" ref="BE90:BE90">IF(AND(BE$2&lt;&gt;0,TblTech[[#This Row],[Hour]:[Hour]]&gt;=BE$2),1,0)</f>
        <v>0</v>
      </c>
      <c r="BF90" s="329" t="n">
        <f aca="false" t="array" ref="BF90:BF90">IF(AND(BF$2&lt;&gt;0,TblTech[[#This Row],[Hour]:[Hour]]&gt;=BF$2),1,0)</f>
        <v>0</v>
      </c>
      <c r="BG90" s="329" t="n">
        <f aca="false" t="array" ref="BG90:BG90">IF(AND(BG$2&lt;&gt;0,TblTech[[#This Row],[Hour]:[Hour]]&gt;=BG$2),1,0)</f>
        <v>0</v>
      </c>
      <c r="BH90" s="329" t="n">
        <f aca="false" t="array" ref="BH90:BH90">IF(AND(BH$2&lt;&gt;0,TblTech[[#This Row],[Hour]:[Hour]]&gt;=BH$2),1,0)</f>
        <v>0</v>
      </c>
      <c r="BI90" s="329" t="n">
        <f aca="false" t="array" ref="BI90:BI90">IF(AND(BI$2&lt;&gt;0,TblTech[[#This Row],[Hour]:[Hour]]&gt;=BI$2),1,0)</f>
        <v>0</v>
      </c>
      <c r="BJ90" s="329" t="n">
        <f aca="false" t="array" ref="BJ90:BJ90">IF(AND(BJ$2&lt;&gt;0,TblTech[[#This Row],[Hour]:[Hour]]&gt;=BJ$2),1,0)</f>
        <v>0</v>
      </c>
      <c r="BK90" s="329" t="n">
        <f aca="false" t="array" ref="BK90:BK90">IF(AND(BK$2&lt;&gt;0,TblTech[[#This Row],[Hour]:[Hour]]&gt;=BK$2),1,0)</f>
        <v>0</v>
      </c>
      <c r="BL90" s="329" t="n">
        <f aca="false" t="array" ref="BL90:BL90">IF(AND(BL$2&lt;&gt;0,TblTech[[#This Row],[Hour]:[Hour]]&gt;=BL$2),1,0)</f>
        <v>0</v>
      </c>
      <c r="BM90" s="329" t="n">
        <f aca="false" t="array" ref="BM90:BM90">IF(AND(BM$2&lt;&gt;0,TblTech[[#This Row],[Hour]:[Hour]]&gt;=BM$2),1,0)</f>
        <v>0</v>
      </c>
      <c r="BN90" s="329" t="n">
        <f aca="false" t="array" ref="BN90:BN90">IF(AND(BN$2&lt;&gt;0,TblTech[[#This Row],[Hour]:[Hour]]&gt;=BN$2),1,0)</f>
        <v>0</v>
      </c>
      <c r="BO90" s="329" t="n">
        <f aca="false" t="array" ref="BO90:BO90">IF(AND(BO$2&lt;&gt;0,TblTech[[#This Row],[Hour]:[Hour]]&gt;=BO$2),1,0)</f>
        <v>0</v>
      </c>
      <c r="BP90" s="329" t="n">
        <f aca="false" t="array" ref="BP90:BP90">IF(AND(BP$2&lt;&gt;0,TblTech[[#This Row],[Hour]:[Hour]]&gt;=BP$2),1,0)</f>
        <v>0</v>
      </c>
      <c r="BQ90" s="329" t="n">
        <f aca="false" t="array" ref="BQ90:BQ90">IF(AND(BQ$2&lt;&gt;0,TblTech[[#This Row],[Hour]:[Hour]]&gt;=BQ$2),1,0)</f>
        <v>0</v>
      </c>
      <c r="BR90" s="329" t="n">
        <f aca="false" t="array" ref="BR90:BR90">IF(AND(BR$2&lt;&gt;0,TblTech[[#This Row],[Hour]:[Hour]]&gt;=BR$2),1,0)</f>
        <v>0</v>
      </c>
      <c r="BS90" s="329" t="n">
        <f aca="false" t="array" ref="BS90:BS90">IF(AND(BS$2&lt;&gt;0,TblTech[[#This Row],[Hour]:[Hour]]&gt;=BS$2),1,0)</f>
        <v>0</v>
      </c>
      <c r="BT90" s="329" t="n">
        <f aca="false" t="array" ref="BT90:BT90">IF(AND(BT$2&lt;&gt;0,TblTech[[#This Row],[Hour]:[Hour]]&gt;=BT$2),1,0)</f>
        <v>0</v>
      </c>
      <c r="BU90" s="329" t="n">
        <f aca="false" t="array" ref="BU90:BU90">IF(AND(BU$2&lt;&gt;0,TblTech[[#This Row],[Hour]:[Hour]]&gt;=BU$2),1,0)</f>
        <v>0</v>
      </c>
      <c r="BV90" s="329" t="n">
        <f aca="false" t="array" ref="BV90:BV90">IF(AND(BV$2&lt;&gt;0,TblTech[[#This Row],[Hour]:[Hour]]&gt;=BV$2),1,0)</f>
        <v>0</v>
      </c>
      <c r="BW90" s="329" t="n">
        <f aca="false" t="array" ref="BW90:BW90">IF(AND(BW$2&lt;&gt;0,TblTech[[#This Row],[Hour]:[Hour]]&gt;=BW$2),1,0)</f>
        <v>0</v>
      </c>
      <c r="BX90" s="329" t="n">
        <f aca="false" t="array" ref="BX90:BX90">IF(AND(BX$2&lt;&gt;0,TblTech[[#This Row],[Hour]:[Hour]]&gt;=BX$2),1,0)</f>
        <v>0</v>
      </c>
      <c r="BY90" s="329" t="n">
        <f aca="false" t="array" ref="BY90:BY90">IF(AND(BY$2&lt;&gt;0,TblTech[[#This Row],[Hour]:[Hour]]&gt;=BY$2),1,0)</f>
        <v>0</v>
      </c>
      <c r="BZ90" s="329" t="n">
        <f aca="false" t="array" ref="BZ90:BZ90">IF(AND(BZ$2&lt;&gt;0,TblTech[[#This Row],[Hour]:[Hour]]&gt;=BZ$2),1,0)</f>
        <v>0</v>
      </c>
      <c r="CA90" s="330" t="n">
        <f aca="false">IFERROR(INDEX($H$4:$H$79,MATCH(INDEX(TblTech[[#Headers],[1-1]:[11-1]],1,MATCH(TblTech[[#This Row],[Hour]],$M$2:$BZ$2,0)),$G$4:$G$79,0)),)</f>
        <v>0</v>
      </c>
    </row>
    <row r="91" customFormat="false" ht="12.75" hidden="false" customHeight="false" outlineLevel="0" collapsed="false">
      <c r="A91" s="321" t="n">
        <f aca="false">TblRezone[[#This Row],[Hour]]</f>
        <v>88</v>
      </c>
      <c r="B91" s="322" t="n">
        <f aca="false">TblExplore[[#This Row],[Land-DB]]</f>
        <v>700</v>
      </c>
      <c r="C91" s="323" t="n">
        <f aca="false">TblProd[[#This Row],[Techpoints]]</f>
        <v>1400</v>
      </c>
      <c r="D91" s="323" t="n">
        <f aca="false">TblProd[[#This Row],[Required]]</f>
        <v>3750</v>
      </c>
      <c r="E91" s="333"/>
      <c r="F91" s="334"/>
      <c r="G91" s="326"/>
      <c r="H91" s="327"/>
      <c r="I91" s="327"/>
      <c r="J91" s="327"/>
      <c r="K91" s="68" t="n">
        <f aca="false">IF(TblTech[[#This Row],[Sum of tech]]&lt;&gt;OFFSET(TblTech[[#This Row],[Sum of tech]],-1,0),1,0)</f>
        <v>0</v>
      </c>
      <c r="L91" s="328" t="n">
        <f aca="false">COUNTIF(TblTech[[#This Row],[1-1]:[11-1]],1)</f>
        <v>0</v>
      </c>
      <c r="M91" s="329" t="n">
        <f aca="false" t="array" ref="M91:M91">IF(AND(M$2&lt;&gt;0,TblTech[[#This Row],[Hour]:[Hour]]&gt;=M$2),1,0)</f>
        <v>0</v>
      </c>
      <c r="N91" s="329" t="n">
        <f aca="false" t="array" ref="N91:N91">IF(AND(N$2&lt;&gt;0,TblTech[[#This Row],[Hour]:[Hour]]&gt;=N$2),1,0)</f>
        <v>0</v>
      </c>
      <c r="O91" s="329" t="n">
        <f aca="false" t="array" ref="O91:O91">IF(AND(O$2&lt;&gt;0,TblTech[[#This Row],[Hour]:[Hour]]&gt;=O$2),1,0)</f>
        <v>0</v>
      </c>
      <c r="P91" s="329" t="n">
        <f aca="false" t="array" ref="P91:P91">IF(AND(P$2&lt;&gt;0,TblTech[[#This Row],[Hour]:[Hour]]&gt;=P$2),1,0)</f>
        <v>0</v>
      </c>
      <c r="Q91" s="329" t="n">
        <f aca="false" t="array" ref="Q91:Q91">IF(AND(Q$2&lt;&gt;0,TblTech[[#This Row],[Hour]:[Hour]]&gt;=Q$2),1,0)</f>
        <v>0</v>
      </c>
      <c r="R91" s="329" t="n">
        <f aca="false" t="array" ref="R91:R91">IF(AND(R$2&lt;&gt;0,TblTech[[#This Row],[Hour]:[Hour]]&gt;=R$2),1,0)</f>
        <v>0</v>
      </c>
      <c r="S91" s="329" t="n">
        <f aca="false" t="array" ref="S91:S91">IF(AND(S$2&lt;&gt;0,TblTech[[#This Row],[Hour]:[Hour]]&gt;=S$2),1,0)</f>
        <v>0</v>
      </c>
      <c r="T91" s="329" t="n">
        <f aca="false" t="array" ref="T91:T91">IF(AND(T$2&lt;&gt;0,TblTech[[#This Row],[Hour]:[Hour]]&gt;=T$2),1,0)</f>
        <v>0</v>
      </c>
      <c r="U91" s="329" t="n">
        <f aca="false" t="array" ref="U91:U91">IF(AND(U$2&lt;&gt;0,TblTech[[#This Row],[Hour]:[Hour]]&gt;=U$2),1,0)</f>
        <v>0</v>
      </c>
      <c r="V91" s="329" t="n">
        <f aca="false" t="array" ref="V91:V91">IF(AND(V$2&lt;&gt;0,TblTech[[#This Row],[Hour]:[Hour]]&gt;=V$2),1,0)</f>
        <v>0</v>
      </c>
      <c r="W91" s="329" t="n">
        <f aca="false" t="array" ref="W91:W91">IF(AND(W$2&lt;&gt;0,TblTech[[#This Row],[Hour]:[Hour]]&gt;=W$2),1,0)</f>
        <v>0</v>
      </c>
      <c r="X91" s="329" t="n">
        <f aca="false" t="array" ref="X91:X91">IF(AND(X$2&lt;&gt;0,TblTech[[#This Row],[Hour]:[Hour]]&gt;=X$2),1,0)</f>
        <v>0</v>
      </c>
      <c r="Y91" s="329" t="n">
        <f aca="false" t="array" ref="Y91:Y91">IF(AND(Y$2&lt;&gt;0,TblTech[[#This Row],[Hour]:[Hour]]&gt;=Y$2),1,0)</f>
        <v>0</v>
      </c>
      <c r="Z91" s="329" t="n">
        <f aca="false" t="array" ref="Z91:Z91">IF(AND(Z$2&lt;&gt;0,TblTech[[#This Row],[Hour]:[Hour]]&gt;=Z$2),1,0)</f>
        <v>0</v>
      </c>
      <c r="AA91" s="329" t="n">
        <f aca="false" t="array" ref="AA91:AA91">IF(AND(AA$2&lt;&gt;0,TblTech[[#This Row],[Hour]:[Hour]]&gt;=AA$2),1,0)</f>
        <v>0</v>
      </c>
      <c r="AB91" s="329" t="n">
        <f aca="false" t="array" ref="AB91:AB91">IF(AND(AB$2&lt;&gt;0,TblTech[[#This Row],[Hour]:[Hour]]&gt;=AB$2),1,0)</f>
        <v>0</v>
      </c>
      <c r="AC91" s="329" t="n">
        <f aca="false" t="array" ref="AC91:AC91">IF(AND(AC$2&lt;&gt;0,TblTech[[#This Row],[Hour]:[Hour]]&gt;=AC$2),1,0)</f>
        <v>0</v>
      </c>
      <c r="AD91" s="329" t="n">
        <f aca="false" t="array" ref="AD91:AD91">IF(AND(AD$2&lt;&gt;0,TblTech[[#This Row],[Hour]:[Hour]]&gt;=AD$2),1,0)</f>
        <v>0</v>
      </c>
      <c r="AE91" s="329" t="n">
        <f aca="false" t="array" ref="AE91:AE91">IF(AND(AE$2&lt;&gt;0,TblTech[[#This Row],[Hour]:[Hour]]&gt;=AE$2),1,0)</f>
        <v>0</v>
      </c>
      <c r="AF91" s="329" t="n">
        <f aca="false" t="array" ref="AF91:AF91">IF(AND(AF$2&lt;&gt;0,TblTech[[#This Row],[Hour]:[Hour]]&gt;=AF$2),1,0)</f>
        <v>0</v>
      </c>
      <c r="AG91" s="329" t="n">
        <f aca="false" t="array" ref="AG91:AG91">IF(AND(AG$2&lt;&gt;0,TblTech[[#This Row],[Hour]:[Hour]]&gt;=AG$2),1,0)</f>
        <v>0</v>
      </c>
      <c r="AH91" s="329" t="n">
        <f aca="false" t="array" ref="AH91:AH91">IF(AND(AH$2&lt;&gt;0,TblTech[[#This Row],[Hour]:[Hour]]&gt;=AH$2),1,0)</f>
        <v>0</v>
      </c>
      <c r="AI91" s="329" t="n">
        <f aca="false" t="array" ref="AI91:AI91">IF(AND(AI$2&lt;&gt;0,TblTech[[#This Row],[Hour]:[Hour]]&gt;=AI$2),1,0)</f>
        <v>0</v>
      </c>
      <c r="AJ91" s="329" t="n">
        <f aca="false" t="array" ref="AJ91:AJ91">IF(AND(AJ$2&lt;&gt;0,TblTech[[#This Row],[Hour]:[Hour]]&gt;=AJ$2),1,0)</f>
        <v>0</v>
      </c>
      <c r="AK91" s="329" t="n">
        <f aca="false" t="array" ref="AK91:AK91">IF(AND(AK$2&lt;&gt;0,TblTech[[#This Row],[Hour]:[Hour]]&gt;=AK$2),1,0)</f>
        <v>0</v>
      </c>
      <c r="AL91" s="329" t="n">
        <f aca="false" t="array" ref="AL91:AL91">IF(AND(AL$2&lt;&gt;0,TblTech[[#This Row],[Hour]:[Hour]]&gt;=AL$2),1,0)</f>
        <v>0</v>
      </c>
      <c r="AM91" s="329" t="n">
        <f aca="false" t="array" ref="AM91:AM91">IF(AND(AM$2&lt;&gt;0,TblTech[[#This Row],[Hour]:[Hour]]&gt;=AM$2),1,0)</f>
        <v>0</v>
      </c>
      <c r="AN91" s="329" t="n">
        <f aca="false" t="array" ref="AN91:AN91">IF(AND(AN$2&lt;&gt;0,TblTech[[#This Row],[Hour]:[Hour]]&gt;=AN$2),1,0)</f>
        <v>0</v>
      </c>
      <c r="AO91" s="329" t="n">
        <f aca="false" t="array" ref="AO91:AO91">IF(AND(AO$2&lt;&gt;0,TblTech[[#This Row],[Hour]:[Hour]]&gt;=AO$2),1,0)</f>
        <v>0</v>
      </c>
      <c r="AP91" s="329" t="n">
        <f aca="false" t="array" ref="AP91:AP91">IF(AND(AP$2&lt;&gt;0,TblTech[[#This Row],[Hour]:[Hour]]&gt;=AP$2),1,0)</f>
        <v>0</v>
      </c>
      <c r="AQ91" s="329" t="n">
        <f aca="false" t="array" ref="AQ91:AQ91">IF(AND(AQ$2&lt;&gt;0,TblTech[[#This Row],[Hour]:[Hour]]&gt;=AQ$2),1,0)</f>
        <v>0</v>
      </c>
      <c r="AR91" s="329" t="n">
        <f aca="false" t="array" ref="AR91:AR91">IF(AND(AR$2&lt;&gt;0,TblTech[[#This Row],[Hour]:[Hour]]&gt;=AR$2),1,0)</f>
        <v>0</v>
      </c>
      <c r="AS91" s="329" t="n">
        <f aca="false" t="array" ref="AS91:AS91">IF(AND(AS$2&lt;&gt;0,TblTech[[#This Row],[Hour]:[Hour]]&gt;=AS$2),1,0)</f>
        <v>0</v>
      </c>
      <c r="AT91" s="329" t="n">
        <f aca="false" t="array" ref="AT91:AT91">IF(AND(AT$2&lt;&gt;0,TblTech[[#This Row],[Hour]:[Hour]]&gt;=AT$2),1,0)</f>
        <v>0</v>
      </c>
      <c r="AU91" s="329" t="n">
        <f aca="false" t="array" ref="AU91:AU91">IF(AND(AU$2&lt;&gt;0,TblTech[[#This Row],[Hour]:[Hour]]&gt;=AU$2),1,0)</f>
        <v>0</v>
      </c>
      <c r="AV91" s="329" t="n">
        <f aca="false" t="array" ref="AV91:AV91">IF(AND(AV$2&lt;&gt;0,TblTech[[#This Row],[Hour]:[Hour]]&gt;=AV$2),1,0)</f>
        <v>0</v>
      </c>
      <c r="AW91" s="329" t="n">
        <f aca="false" t="array" ref="AW91:AW91">IF(AND(AW$2&lt;&gt;0,TblTech[[#This Row],[Hour]:[Hour]]&gt;=AW$2),1,0)</f>
        <v>0</v>
      </c>
      <c r="AX91" s="329" t="n">
        <f aca="false" t="array" ref="AX91:AX91">IF(AND(AX$2&lt;&gt;0,TblTech[[#This Row],[Hour]:[Hour]]&gt;=AX$2),1,0)</f>
        <v>0</v>
      </c>
      <c r="AY91" s="329" t="n">
        <f aca="false" t="array" ref="AY91:AY91">IF(AND(AY$2&lt;&gt;0,TblTech[[#This Row],[Hour]:[Hour]]&gt;=AY$2),1,0)</f>
        <v>0</v>
      </c>
      <c r="AZ91" s="329" t="n">
        <f aca="false" t="array" ref="AZ91:AZ91">IF(AND(AZ$2&lt;&gt;0,TblTech[[#This Row],[Hour]:[Hour]]&gt;=AZ$2),1,0)</f>
        <v>0</v>
      </c>
      <c r="BA91" s="329" t="n">
        <f aca="false" t="array" ref="BA91:BA91">IF(AND(BA$2&lt;&gt;0,TblTech[[#This Row],[Hour]:[Hour]]&gt;=BA$2),1,0)</f>
        <v>0</v>
      </c>
      <c r="BB91" s="329" t="n">
        <f aca="false" t="array" ref="BB91:BB91">IF(AND(BB$2&lt;&gt;0,TblTech[[#This Row],[Hour]:[Hour]]&gt;=BB$2),1,0)</f>
        <v>0</v>
      </c>
      <c r="BC91" s="329" t="n">
        <f aca="false" t="array" ref="BC91:BC91">IF(AND(BC$2&lt;&gt;0,TblTech[[#This Row],[Hour]:[Hour]]&gt;=BC$2),1,0)</f>
        <v>0</v>
      </c>
      <c r="BD91" s="329" t="n">
        <f aca="false" t="array" ref="BD91:BD91">IF(AND(BD$2&lt;&gt;0,TblTech[[#This Row],[Hour]:[Hour]]&gt;=BD$2),1,0)</f>
        <v>0</v>
      </c>
      <c r="BE91" s="329" t="n">
        <f aca="false" t="array" ref="BE91:BE91">IF(AND(BE$2&lt;&gt;0,TblTech[[#This Row],[Hour]:[Hour]]&gt;=BE$2),1,0)</f>
        <v>0</v>
      </c>
      <c r="BF91" s="329" t="n">
        <f aca="false" t="array" ref="BF91:BF91">IF(AND(BF$2&lt;&gt;0,TblTech[[#This Row],[Hour]:[Hour]]&gt;=BF$2),1,0)</f>
        <v>0</v>
      </c>
      <c r="BG91" s="329" t="n">
        <f aca="false" t="array" ref="BG91:BG91">IF(AND(BG$2&lt;&gt;0,TblTech[[#This Row],[Hour]:[Hour]]&gt;=BG$2),1,0)</f>
        <v>0</v>
      </c>
      <c r="BH91" s="329" t="n">
        <f aca="false" t="array" ref="BH91:BH91">IF(AND(BH$2&lt;&gt;0,TblTech[[#This Row],[Hour]:[Hour]]&gt;=BH$2),1,0)</f>
        <v>0</v>
      </c>
      <c r="BI91" s="329" t="n">
        <f aca="false" t="array" ref="BI91:BI91">IF(AND(BI$2&lt;&gt;0,TblTech[[#This Row],[Hour]:[Hour]]&gt;=BI$2),1,0)</f>
        <v>0</v>
      </c>
      <c r="BJ91" s="329" t="n">
        <f aca="false" t="array" ref="BJ91:BJ91">IF(AND(BJ$2&lt;&gt;0,TblTech[[#This Row],[Hour]:[Hour]]&gt;=BJ$2),1,0)</f>
        <v>0</v>
      </c>
      <c r="BK91" s="329" t="n">
        <f aca="false" t="array" ref="BK91:BK91">IF(AND(BK$2&lt;&gt;0,TblTech[[#This Row],[Hour]:[Hour]]&gt;=BK$2),1,0)</f>
        <v>0</v>
      </c>
      <c r="BL91" s="329" t="n">
        <f aca="false" t="array" ref="BL91:BL91">IF(AND(BL$2&lt;&gt;0,TblTech[[#This Row],[Hour]:[Hour]]&gt;=BL$2),1,0)</f>
        <v>0</v>
      </c>
      <c r="BM91" s="329" t="n">
        <f aca="false" t="array" ref="BM91:BM91">IF(AND(BM$2&lt;&gt;0,TblTech[[#This Row],[Hour]:[Hour]]&gt;=BM$2),1,0)</f>
        <v>0</v>
      </c>
      <c r="BN91" s="329" t="n">
        <f aca="false" t="array" ref="BN91:BN91">IF(AND(BN$2&lt;&gt;0,TblTech[[#This Row],[Hour]:[Hour]]&gt;=BN$2),1,0)</f>
        <v>0</v>
      </c>
      <c r="BO91" s="329" t="n">
        <f aca="false" t="array" ref="BO91:BO91">IF(AND(BO$2&lt;&gt;0,TblTech[[#This Row],[Hour]:[Hour]]&gt;=BO$2),1,0)</f>
        <v>0</v>
      </c>
      <c r="BP91" s="329" t="n">
        <f aca="false" t="array" ref="BP91:BP91">IF(AND(BP$2&lt;&gt;0,TblTech[[#This Row],[Hour]:[Hour]]&gt;=BP$2),1,0)</f>
        <v>0</v>
      </c>
      <c r="BQ91" s="329" t="n">
        <f aca="false" t="array" ref="BQ91:BQ91">IF(AND(BQ$2&lt;&gt;0,TblTech[[#This Row],[Hour]:[Hour]]&gt;=BQ$2),1,0)</f>
        <v>0</v>
      </c>
      <c r="BR91" s="329" t="n">
        <f aca="false" t="array" ref="BR91:BR91">IF(AND(BR$2&lt;&gt;0,TblTech[[#This Row],[Hour]:[Hour]]&gt;=BR$2),1,0)</f>
        <v>0</v>
      </c>
      <c r="BS91" s="329" t="n">
        <f aca="false" t="array" ref="BS91:BS91">IF(AND(BS$2&lt;&gt;0,TblTech[[#This Row],[Hour]:[Hour]]&gt;=BS$2),1,0)</f>
        <v>0</v>
      </c>
      <c r="BT91" s="329" t="n">
        <f aca="false" t="array" ref="BT91:BT91">IF(AND(BT$2&lt;&gt;0,TblTech[[#This Row],[Hour]:[Hour]]&gt;=BT$2),1,0)</f>
        <v>0</v>
      </c>
      <c r="BU91" s="329" t="n">
        <f aca="false" t="array" ref="BU91:BU91">IF(AND(BU$2&lt;&gt;0,TblTech[[#This Row],[Hour]:[Hour]]&gt;=BU$2),1,0)</f>
        <v>0</v>
      </c>
      <c r="BV91" s="329" t="n">
        <f aca="false" t="array" ref="BV91:BV91">IF(AND(BV$2&lt;&gt;0,TblTech[[#This Row],[Hour]:[Hour]]&gt;=BV$2),1,0)</f>
        <v>0</v>
      </c>
      <c r="BW91" s="329" t="n">
        <f aca="false" t="array" ref="BW91:BW91">IF(AND(BW$2&lt;&gt;0,TblTech[[#This Row],[Hour]:[Hour]]&gt;=BW$2),1,0)</f>
        <v>0</v>
      </c>
      <c r="BX91" s="329" t="n">
        <f aca="false" t="array" ref="BX91:BX91">IF(AND(BX$2&lt;&gt;0,TblTech[[#This Row],[Hour]:[Hour]]&gt;=BX$2),1,0)</f>
        <v>0</v>
      </c>
      <c r="BY91" s="329" t="n">
        <f aca="false" t="array" ref="BY91:BY91">IF(AND(BY$2&lt;&gt;0,TblTech[[#This Row],[Hour]:[Hour]]&gt;=BY$2),1,0)</f>
        <v>0</v>
      </c>
      <c r="BZ91" s="329" t="n">
        <f aca="false" t="array" ref="BZ91:BZ91">IF(AND(BZ$2&lt;&gt;0,TblTech[[#This Row],[Hour]:[Hour]]&gt;=BZ$2),1,0)</f>
        <v>0</v>
      </c>
      <c r="CA91" s="330" t="n">
        <f aca="false">IFERROR(INDEX($H$4:$H$79,MATCH(INDEX(TblTech[[#Headers],[1-1]:[11-1]],1,MATCH(TblTech[[#This Row],[Hour]],$M$2:$BZ$2,0)),$G$4:$G$79,0)),)</f>
        <v>0</v>
      </c>
    </row>
    <row r="92" customFormat="false" ht="12.75" hidden="false" customHeight="false" outlineLevel="0" collapsed="false">
      <c r="A92" s="321" t="n">
        <f aca="false">TblRezone[[#This Row],[Hour]]</f>
        <v>89</v>
      </c>
      <c r="B92" s="322" t="n">
        <f aca="false">TblExplore[[#This Row],[Land-DB]]</f>
        <v>700</v>
      </c>
      <c r="C92" s="323" t="n">
        <f aca="false">TblProd[[#This Row],[Techpoints]]</f>
        <v>1400</v>
      </c>
      <c r="D92" s="323" t="n">
        <f aca="false">TblProd[[#This Row],[Required]]</f>
        <v>3750</v>
      </c>
      <c r="E92" s="333"/>
      <c r="F92" s="334"/>
      <c r="G92" s="326"/>
      <c r="H92" s="327"/>
      <c r="I92" s="327"/>
      <c r="J92" s="327"/>
      <c r="K92" s="68" t="n">
        <f aca="false">IF(TblTech[[#This Row],[Sum of tech]]&lt;&gt;OFFSET(TblTech[[#This Row],[Sum of tech]],-1,0),1,0)</f>
        <v>0</v>
      </c>
      <c r="L92" s="328" t="n">
        <f aca="false">COUNTIF(TblTech[[#This Row],[1-1]:[11-1]],1)</f>
        <v>0</v>
      </c>
      <c r="M92" s="329" t="n">
        <f aca="false" t="array" ref="M92:M92">IF(AND(M$2&lt;&gt;0,TblTech[[#This Row],[Hour]:[Hour]]&gt;=M$2),1,0)</f>
        <v>0</v>
      </c>
      <c r="N92" s="329" t="n">
        <f aca="false" t="array" ref="N92:N92">IF(AND(N$2&lt;&gt;0,TblTech[[#This Row],[Hour]:[Hour]]&gt;=N$2),1,0)</f>
        <v>0</v>
      </c>
      <c r="O92" s="329" t="n">
        <f aca="false" t="array" ref="O92:O92">IF(AND(O$2&lt;&gt;0,TblTech[[#This Row],[Hour]:[Hour]]&gt;=O$2),1,0)</f>
        <v>0</v>
      </c>
      <c r="P92" s="329" t="n">
        <f aca="false" t="array" ref="P92:P92">IF(AND(P$2&lt;&gt;0,TblTech[[#This Row],[Hour]:[Hour]]&gt;=P$2),1,0)</f>
        <v>0</v>
      </c>
      <c r="Q92" s="329" t="n">
        <f aca="false" t="array" ref="Q92:Q92">IF(AND(Q$2&lt;&gt;0,TblTech[[#This Row],[Hour]:[Hour]]&gt;=Q$2),1,0)</f>
        <v>0</v>
      </c>
      <c r="R92" s="329" t="n">
        <f aca="false" t="array" ref="R92:R92">IF(AND(R$2&lt;&gt;0,TblTech[[#This Row],[Hour]:[Hour]]&gt;=R$2),1,0)</f>
        <v>0</v>
      </c>
      <c r="S92" s="329" t="n">
        <f aca="false" t="array" ref="S92:S92">IF(AND(S$2&lt;&gt;0,TblTech[[#This Row],[Hour]:[Hour]]&gt;=S$2),1,0)</f>
        <v>0</v>
      </c>
      <c r="T92" s="329" t="n">
        <f aca="false" t="array" ref="T92:T92">IF(AND(T$2&lt;&gt;0,TblTech[[#This Row],[Hour]:[Hour]]&gt;=T$2),1,0)</f>
        <v>0</v>
      </c>
      <c r="U92" s="329" t="n">
        <f aca="false" t="array" ref="U92:U92">IF(AND(U$2&lt;&gt;0,TblTech[[#This Row],[Hour]:[Hour]]&gt;=U$2),1,0)</f>
        <v>0</v>
      </c>
      <c r="V92" s="329" t="n">
        <f aca="false" t="array" ref="V92:V92">IF(AND(V$2&lt;&gt;0,TblTech[[#This Row],[Hour]:[Hour]]&gt;=V$2),1,0)</f>
        <v>0</v>
      </c>
      <c r="W92" s="329" t="n">
        <f aca="false" t="array" ref="W92:W92">IF(AND(W$2&lt;&gt;0,TblTech[[#This Row],[Hour]:[Hour]]&gt;=W$2),1,0)</f>
        <v>0</v>
      </c>
      <c r="X92" s="329" t="n">
        <f aca="false" t="array" ref="X92:X92">IF(AND(X$2&lt;&gt;0,TblTech[[#This Row],[Hour]:[Hour]]&gt;=X$2),1,0)</f>
        <v>0</v>
      </c>
      <c r="Y92" s="329" t="n">
        <f aca="false" t="array" ref="Y92:Y92">IF(AND(Y$2&lt;&gt;0,TblTech[[#This Row],[Hour]:[Hour]]&gt;=Y$2),1,0)</f>
        <v>0</v>
      </c>
      <c r="Z92" s="329" t="n">
        <f aca="false" t="array" ref="Z92:Z92">IF(AND(Z$2&lt;&gt;0,TblTech[[#This Row],[Hour]:[Hour]]&gt;=Z$2),1,0)</f>
        <v>0</v>
      </c>
      <c r="AA92" s="329" t="n">
        <f aca="false" t="array" ref="AA92:AA92">IF(AND(AA$2&lt;&gt;0,TblTech[[#This Row],[Hour]:[Hour]]&gt;=AA$2),1,0)</f>
        <v>0</v>
      </c>
      <c r="AB92" s="329" t="n">
        <f aca="false" t="array" ref="AB92:AB92">IF(AND(AB$2&lt;&gt;0,TblTech[[#This Row],[Hour]:[Hour]]&gt;=AB$2),1,0)</f>
        <v>0</v>
      </c>
      <c r="AC92" s="329" t="n">
        <f aca="false" t="array" ref="AC92:AC92">IF(AND(AC$2&lt;&gt;0,TblTech[[#This Row],[Hour]:[Hour]]&gt;=AC$2),1,0)</f>
        <v>0</v>
      </c>
      <c r="AD92" s="329" t="n">
        <f aca="false" t="array" ref="AD92:AD92">IF(AND(AD$2&lt;&gt;0,TblTech[[#This Row],[Hour]:[Hour]]&gt;=AD$2),1,0)</f>
        <v>0</v>
      </c>
      <c r="AE92" s="329" t="n">
        <f aca="false" t="array" ref="AE92:AE92">IF(AND(AE$2&lt;&gt;0,TblTech[[#This Row],[Hour]:[Hour]]&gt;=AE$2),1,0)</f>
        <v>0</v>
      </c>
      <c r="AF92" s="329" t="n">
        <f aca="false" t="array" ref="AF92:AF92">IF(AND(AF$2&lt;&gt;0,TblTech[[#This Row],[Hour]:[Hour]]&gt;=AF$2),1,0)</f>
        <v>0</v>
      </c>
      <c r="AG92" s="329" t="n">
        <f aca="false" t="array" ref="AG92:AG92">IF(AND(AG$2&lt;&gt;0,TblTech[[#This Row],[Hour]:[Hour]]&gt;=AG$2),1,0)</f>
        <v>0</v>
      </c>
      <c r="AH92" s="329" t="n">
        <f aca="false" t="array" ref="AH92:AH92">IF(AND(AH$2&lt;&gt;0,TblTech[[#This Row],[Hour]:[Hour]]&gt;=AH$2),1,0)</f>
        <v>0</v>
      </c>
      <c r="AI92" s="329" t="n">
        <f aca="false" t="array" ref="AI92:AI92">IF(AND(AI$2&lt;&gt;0,TblTech[[#This Row],[Hour]:[Hour]]&gt;=AI$2),1,0)</f>
        <v>0</v>
      </c>
      <c r="AJ92" s="329" t="n">
        <f aca="false" t="array" ref="AJ92:AJ92">IF(AND(AJ$2&lt;&gt;0,TblTech[[#This Row],[Hour]:[Hour]]&gt;=AJ$2),1,0)</f>
        <v>0</v>
      </c>
      <c r="AK92" s="329" t="n">
        <f aca="false" t="array" ref="AK92:AK92">IF(AND(AK$2&lt;&gt;0,TblTech[[#This Row],[Hour]:[Hour]]&gt;=AK$2),1,0)</f>
        <v>0</v>
      </c>
      <c r="AL92" s="329" t="n">
        <f aca="false" t="array" ref="AL92:AL92">IF(AND(AL$2&lt;&gt;0,TblTech[[#This Row],[Hour]:[Hour]]&gt;=AL$2),1,0)</f>
        <v>0</v>
      </c>
      <c r="AM92" s="329" t="n">
        <f aca="false" t="array" ref="AM92:AM92">IF(AND(AM$2&lt;&gt;0,TblTech[[#This Row],[Hour]:[Hour]]&gt;=AM$2),1,0)</f>
        <v>0</v>
      </c>
      <c r="AN92" s="329" t="n">
        <f aca="false" t="array" ref="AN92:AN92">IF(AND(AN$2&lt;&gt;0,TblTech[[#This Row],[Hour]:[Hour]]&gt;=AN$2),1,0)</f>
        <v>0</v>
      </c>
      <c r="AO92" s="329" t="n">
        <f aca="false" t="array" ref="AO92:AO92">IF(AND(AO$2&lt;&gt;0,TblTech[[#This Row],[Hour]:[Hour]]&gt;=AO$2),1,0)</f>
        <v>0</v>
      </c>
      <c r="AP92" s="329" t="n">
        <f aca="false" t="array" ref="AP92:AP92">IF(AND(AP$2&lt;&gt;0,TblTech[[#This Row],[Hour]:[Hour]]&gt;=AP$2),1,0)</f>
        <v>0</v>
      </c>
      <c r="AQ92" s="329" t="n">
        <f aca="false" t="array" ref="AQ92:AQ92">IF(AND(AQ$2&lt;&gt;0,TblTech[[#This Row],[Hour]:[Hour]]&gt;=AQ$2),1,0)</f>
        <v>0</v>
      </c>
      <c r="AR92" s="329" t="n">
        <f aca="false" t="array" ref="AR92:AR92">IF(AND(AR$2&lt;&gt;0,TblTech[[#This Row],[Hour]:[Hour]]&gt;=AR$2),1,0)</f>
        <v>0</v>
      </c>
      <c r="AS92" s="329" t="n">
        <f aca="false" t="array" ref="AS92:AS92">IF(AND(AS$2&lt;&gt;0,TblTech[[#This Row],[Hour]:[Hour]]&gt;=AS$2),1,0)</f>
        <v>0</v>
      </c>
      <c r="AT92" s="329" t="n">
        <f aca="false" t="array" ref="AT92:AT92">IF(AND(AT$2&lt;&gt;0,TblTech[[#This Row],[Hour]:[Hour]]&gt;=AT$2),1,0)</f>
        <v>0</v>
      </c>
      <c r="AU92" s="329" t="n">
        <f aca="false" t="array" ref="AU92:AU92">IF(AND(AU$2&lt;&gt;0,TblTech[[#This Row],[Hour]:[Hour]]&gt;=AU$2),1,0)</f>
        <v>0</v>
      </c>
      <c r="AV92" s="329" t="n">
        <f aca="false" t="array" ref="AV92:AV92">IF(AND(AV$2&lt;&gt;0,TblTech[[#This Row],[Hour]:[Hour]]&gt;=AV$2),1,0)</f>
        <v>0</v>
      </c>
      <c r="AW92" s="329" t="n">
        <f aca="false" t="array" ref="AW92:AW92">IF(AND(AW$2&lt;&gt;0,TblTech[[#This Row],[Hour]:[Hour]]&gt;=AW$2),1,0)</f>
        <v>0</v>
      </c>
      <c r="AX92" s="329" t="n">
        <f aca="false" t="array" ref="AX92:AX92">IF(AND(AX$2&lt;&gt;0,TblTech[[#This Row],[Hour]:[Hour]]&gt;=AX$2),1,0)</f>
        <v>0</v>
      </c>
      <c r="AY92" s="329" t="n">
        <f aca="false" t="array" ref="AY92:AY92">IF(AND(AY$2&lt;&gt;0,TblTech[[#This Row],[Hour]:[Hour]]&gt;=AY$2),1,0)</f>
        <v>0</v>
      </c>
      <c r="AZ92" s="329" t="n">
        <f aca="false" t="array" ref="AZ92:AZ92">IF(AND(AZ$2&lt;&gt;0,TblTech[[#This Row],[Hour]:[Hour]]&gt;=AZ$2),1,0)</f>
        <v>0</v>
      </c>
      <c r="BA92" s="329" t="n">
        <f aca="false" t="array" ref="BA92:BA92">IF(AND(BA$2&lt;&gt;0,TblTech[[#This Row],[Hour]:[Hour]]&gt;=BA$2),1,0)</f>
        <v>0</v>
      </c>
      <c r="BB92" s="329" t="n">
        <f aca="false" t="array" ref="BB92:BB92">IF(AND(BB$2&lt;&gt;0,TblTech[[#This Row],[Hour]:[Hour]]&gt;=BB$2),1,0)</f>
        <v>0</v>
      </c>
      <c r="BC92" s="329" t="n">
        <f aca="false" t="array" ref="BC92:BC92">IF(AND(BC$2&lt;&gt;0,TblTech[[#This Row],[Hour]:[Hour]]&gt;=BC$2),1,0)</f>
        <v>0</v>
      </c>
      <c r="BD92" s="329" t="n">
        <f aca="false" t="array" ref="BD92:BD92">IF(AND(BD$2&lt;&gt;0,TblTech[[#This Row],[Hour]:[Hour]]&gt;=BD$2),1,0)</f>
        <v>0</v>
      </c>
      <c r="BE92" s="329" t="n">
        <f aca="false" t="array" ref="BE92:BE92">IF(AND(BE$2&lt;&gt;0,TblTech[[#This Row],[Hour]:[Hour]]&gt;=BE$2),1,0)</f>
        <v>0</v>
      </c>
      <c r="BF92" s="329" t="n">
        <f aca="false" t="array" ref="BF92:BF92">IF(AND(BF$2&lt;&gt;0,TblTech[[#This Row],[Hour]:[Hour]]&gt;=BF$2),1,0)</f>
        <v>0</v>
      </c>
      <c r="BG92" s="329" t="n">
        <f aca="false" t="array" ref="BG92:BG92">IF(AND(BG$2&lt;&gt;0,TblTech[[#This Row],[Hour]:[Hour]]&gt;=BG$2),1,0)</f>
        <v>0</v>
      </c>
      <c r="BH92" s="329" t="n">
        <f aca="false" t="array" ref="BH92:BH92">IF(AND(BH$2&lt;&gt;0,TblTech[[#This Row],[Hour]:[Hour]]&gt;=BH$2),1,0)</f>
        <v>0</v>
      </c>
      <c r="BI92" s="329" t="n">
        <f aca="false" t="array" ref="BI92:BI92">IF(AND(BI$2&lt;&gt;0,TblTech[[#This Row],[Hour]:[Hour]]&gt;=BI$2),1,0)</f>
        <v>0</v>
      </c>
      <c r="BJ92" s="329" t="n">
        <f aca="false" t="array" ref="BJ92:BJ92">IF(AND(BJ$2&lt;&gt;0,TblTech[[#This Row],[Hour]:[Hour]]&gt;=BJ$2),1,0)</f>
        <v>0</v>
      </c>
      <c r="BK92" s="329" t="n">
        <f aca="false" t="array" ref="BK92:BK92">IF(AND(BK$2&lt;&gt;0,TblTech[[#This Row],[Hour]:[Hour]]&gt;=BK$2),1,0)</f>
        <v>0</v>
      </c>
      <c r="BL92" s="329" t="n">
        <f aca="false" t="array" ref="BL92:BL92">IF(AND(BL$2&lt;&gt;0,TblTech[[#This Row],[Hour]:[Hour]]&gt;=BL$2),1,0)</f>
        <v>0</v>
      </c>
      <c r="BM92" s="329" t="n">
        <f aca="false" t="array" ref="BM92:BM92">IF(AND(BM$2&lt;&gt;0,TblTech[[#This Row],[Hour]:[Hour]]&gt;=BM$2),1,0)</f>
        <v>0</v>
      </c>
      <c r="BN92" s="329" t="n">
        <f aca="false" t="array" ref="BN92:BN92">IF(AND(BN$2&lt;&gt;0,TblTech[[#This Row],[Hour]:[Hour]]&gt;=BN$2),1,0)</f>
        <v>0</v>
      </c>
      <c r="BO92" s="329" t="n">
        <f aca="false" t="array" ref="BO92:BO92">IF(AND(BO$2&lt;&gt;0,TblTech[[#This Row],[Hour]:[Hour]]&gt;=BO$2),1,0)</f>
        <v>0</v>
      </c>
      <c r="BP92" s="329" t="n">
        <f aca="false" t="array" ref="BP92:BP92">IF(AND(BP$2&lt;&gt;0,TblTech[[#This Row],[Hour]:[Hour]]&gt;=BP$2),1,0)</f>
        <v>0</v>
      </c>
      <c r="BQ92" s="329" t="n">
        <f aca="false" t="array" ref="BQ92:BQ92">IF(AND(BQ$2&lt;&gt;0,TblTech[[#This Row],[Hour]:[Hour]]&gt;=BQ$2),1,0)</f>
        <v>0</v>
      </c>
      <c r="BR92" s="329" t="n">
        <f aca="false" t="array" ref="BR92:BR92">IF(AND(BR$2&lt;&gt;0,TblTech[[#This Row],[Hour]:[Hour]]&gt;=BR$2),1,0)</f>
        <v>0</v>
      </c>
      <c r="BS92" s="329" t="n">
        <f aca="false" t="array" ref="BS92:BS92">IF(AND(BS$2&lt;&gt;0,TblTech[[#This Row],[Hour]:[Hour]]&gt;=BS$2),1,0)</f>
        <v>0</v>
      </c>
      <c r="BT92" s="329" t="n">
        <f aca="false" t="array" ref="BT92:BT92">IF(AND(BT$2&lt;&gt;0,TblTech[[#This Row],[Hour]:[Hour]]&gt;=BT$2),1,0)</f>
        <v>0</v>
      </c>
      <c r="BU92" s="329" t="n">
        <f aca="false" t="array" ref="BU92:BU92">IF(AND(BU$2&lt;&gt;0,TblTech[[#This Row],[Hour]:[Hour]]&gt;=BU$2),1,0)</f>
        <v>0</v>
      </c>
      <c r="BV92" s="329" t="n">
        <f aca="false" t="array" ref="BV92:BV92">IF(AND(BV$2&lt;&gt;0,TblTech[[#This Row],[Hour]:[Hour]]&gt;=BV$2),1,0)</f>
        <v>0</v>
      </c>
      <c r="BW92" s="329" t="n">
        <f aca="false" t="array" ref="BW92:BW92">IF(AND(BW$2&lt;&gt;0,TblTech[[#This Row],[Hour]:[Hour]]&gt;=BW$2),1,0)</f>
        <v>0</v>
      </c>
      <c r="BX92" s="329" t="n">
        <f aca="false" t="array" ref="BX92:BX92">IF(AND(BX$2&lt;&gt;0,TblTech[[#This Row],[Hour]:[Hour]]&gt;=BX$2),1,0)</f>
        <v>0</v>
      </c>
      <c r="BY92" s="329" t="n">
        <f aca="false" t="array" ref="BY92:BY92">IF(AND(BY$2&lt;&gt;0,TblTech[[#This Row],[Hour]:[Hour]]&gt;=BY$2),1,0)</f>
        <v>0</v>
      </c>
      <c r="BZ92" s="329" t="n">
        <f aca="false" t="array" ref="BZ92:BZ92">IF(AND(BZ$2&lt;&gt;0,TblTech[[#This Row],[Hour]:[Hour]]&gt;=BZ$2),1,0)</f>
        <v>0</v>
      </c>
      <c r="CA92" s="330" t="n">
        <f aca="false">IFERROR(INDEX($H$4:$H$79,MATCH(INDEX(TblTech[[#Headers],[1-1]:[11-1]],1,MATCH(TblTech[[#This Row],[Hour]],$M$2:$BZ$2,0)),$G$4:$G$79,0)),)</f>
        <v>0</v>
      </c>
    </row>
    <row r="93" customFormat="false" ht="12.75" hidden="false" customHeight="false" outlineLevel="0" collapsed="false">
      <c r="A93" s="321" t="n">
        <f aca="false">TblRezone[[#This Row],[Hour]]</f>
        <v>90</v>
      </c>
      <c r="B93" s="322" t="n">
        <f aca="false">TblExplore[[#This Row],[Land-DB]]</f>
        <v>700</v>
      </c>
      <c r="C93" s="323" t="n">
        <f aca="false">TblProd[[#This Row],[Techpoints]]</f>
        <v>1400</v>
      </c>
      <c r="D93" s="323" t="n">
        <f aca="false">TblProd[[#This Row],[Required]]</f>
        <v>3750</v>
      </c>
      <c r="E93" s="333"/>
      <c r="F93" s="334"/>
      <c r="G93" s="326"/>
      <c r="H93" s="327"/>
      <c r="I93" s="327"/>
      <c r="J93" s="327"/>
      <c r="K93" s="68" t="n">
        <f aca="false">IF(TblTech[[#This Row],[Sum of tech]]&lt;&gt;OFFSET(TblTech[[#This Row],[Sum of tech]],-1,0),1,0)</f>
        <v>0</v>
      </c>
      <c r="L93" s="328" t="n">
        <f aca="false">COUNTIF(TblTech[[#This Row],[1-1]:[11-1]],1)</f>
        <v>0</v>
      </c>
      <c r="M93" s="329" t="n">
        <f aca="false" t="array" ref="M93:M93">IF(AND(M$2&lt;&gt;0,TblTech[[#This Row],[Hour]:[Hour]]&gt;=M$2),1,0)</f>
        <v>0</v>
      </c>
      <c r="N93" s="329" t="n">
        <f aca="false" t="array" ref="N93:N93">IF(AND(N$2&lt;&gt;0,TblTech[[#This Row],[Hour]:[Hour]]&gt;=N$2),1,0)</f>
        <v>0</v>
      </c>
      <c r="O93" s="329" t="n">
        <f aca="false" t="array" ref="O93:O93">IF(AND(O$2&lt;&gt;0,TblTech[[#This Row],[Hour]:[Hour]]&gt;=O$2),1,0)</f>
        <v>0</v>
      </c>
      <c r="P93" s="329" t="n">
        <f aca="false" t="array" ref="P93:P93">IF(AND(P$2&lt;&gt;0,TblTech[[#This Row],[Hour]:[Hour]]&gt;=P$2),1,0)</f>
        <v>0</v>
      </c>
      <c r="Q93" s="329" t="n">
        <f aca="false" t="array" ref="Q93:Q93">IF(AND(Q$2&lt;&gt;0,TblTech[[#This Row],[Hour]:[Hour]]&gt;=Q$2),1,0)</f>
        <v>0</v>
      </c>
      <c r="R93" s="329" t="n">
        <f aca="false" t="array" ref="R93:R93">IF(AND(R$2&lt;&gt;0,TblTech[[#This Row],[Hour]:[Hour]]&gt;=R$2),1,0)</f>
        <v>0</v>
      </c>
      <c r="S93" s="329" t="n">
        <f aca="false" t="array" ref="S93:S93">IF(AND(S$2&lt;&gt;0,TblTech[[#This Row],[Hour]:[Hour]]&gt;=S$2),1,0)</f>
        <v>0</v>
      </c>
      <c r="T93" s="329" t="n">
        <f aca="false" t="array" ref="T93:T93">IF(AND(T$2&lt;&gt;0,TblTech[[#This Row],[Hour]:[Hour]]&gt;=T$2),1,0)</f>
        <v>0</v>
      </c>
      <c r="U93" s="329" t="n">
        <f aca="false" t="array" ref="U93:U93">IF(AND(U$2&lt;&gt;0,TblTech[[#This Row],[Hour]:[Hour]]&gt;=U$2),1,0)</f>
        <v>0</v>
      </c>
      <c r="V93" s="329" t="n">
        <f aca="false" t="array" ref="V93:V93">IF(AND(V$2&lt;&gt;0,TblTech[[#This Row],[Hour]:[Hour]]&gt;=V$2),1,0)</f>
        <v>0</v>
      </c>
      <c r="W93" s="329" t="n">
        <f aca="false" t="array" ref="W93:W93">IF(AND(W$2&lt;&gt;0,TblTech[[#This Row],[Hour]:[Hour]]&gt;=W$2),1,0)</f>
        <v>0</v>
      </c>
      <c r="X93" s="329" t="n">
        <f aca="false" t="array" ref="X93:X93">IF(AND(X$2&lt;&gt;0,TblTech[[#This Row],[Hour]:[Hour]]&gt;=X$2),1,0)</f>
        <v>0</v>
      </c>
      <c r="Y93" s="329" t="n">
        <f aca="false" t="array" ref="Y93:Y93">IF(AND(Y$2&lt;&gt;0,TblTech[[#This Row],[Hour]:[Hour]]&gt;=Y$2),1,0)</f>
        <v>0</v>
      </c>
      <c r="Z93" s="329" t="n">
        <f aca="false" t="array" ref="Z93:Z93">IF(AND(Z$2&lt;&gt;0,TblTech[[#This Row],[Hour]:[Hour]]&gt;=Z$2),1,0)</f>
        <v>0</v>
      </c>
      <c r="AA93" s="329" t="n">
        <f aca="false" t="array" ref="AA93:AA93">IF(AND(AA$2&lt;&gt;0,TblTech[[#This Row],[Hour]:[Hour]]&gt;=AA$2),1,0)</f>
        <v>0</v>
      </c>
      <c r="AB93" s="329" t="n">
        <f aca="false" t="array" ref="AB93:AB93">IF(AND(AB$2&lt;&gt;0,TblTech[[#This Row],[Hour]:[Hour]]&gt;=AB$2),1,0)</f>
        <v>0</v>
      </c>
      <c r="AC93" s="329" t="n">
        <f aca="false" t="array" ref="AC93:AC93">IF(AND(AC$2&lt;&gt;0,TblTech[[#This Row],[Hour]:[Hour]]&gt;=AC$2),1,0)</f>
        <v>0</v>
      </c>
      <c r="AD93" s="329" t="n">
        <f aca="false" t="array" ref="AD93:AD93">IF(AND(AD$2&lt;&gt;0,TblTech[[#This Row],[Hour]:[Hour]]&gt;=AD$2),1,0)</f>
        <v>0</v>
      </c>
      <c r="AE93" s="329" t="n">
        <f aca="false" t="array" ref="AE93:AE93">IF(AND(AE$2&lt;&gt;0,TblTech[[#This Row],[Hour]:[Hour]]&gt;=AE$2),1,0)</f>
        <v>0</v>
      </c>
      <c r="AF93" s="329" t="n">
        <f aca="false" t="array" ref="AF93:AF93">IF(AND(AF$2&lt;&gt;0,TblTech[[#This Row],[Hour]:[Hour]]&gt;=AF$2),1,0)</f>
        <v>0</v>
      </c>
      <c r="AG93" s="329" t="n">
        <f aca="false" t="array" ref="AG93:AG93">IF(AND(AG$2&lt;&gt;0,TblTech[[#This Row],[Hour]:[Hour]]&gt;=AG$2),1,0)</f>
        <v>0</v>
      </c>
      <c r="AH93" s="329" t="n">
        <f aca="false" t="array" ref="AH93:AH93">IF(AND(AH$2&lt;&gt;0,TblTech[[#This Row],[Hour]:[Hour]]&gt;=AH$2),1,0)</f>
        <v>0</v>
      </c>
      <c r="AI93" s="329" t="n">
        <f aca="false" t="array" ref="AI93:AI93">IF(AND(AI$2&lt;&gt;0,TblTech[[#This Row],[Hour]:[Hour]]&gt;=AI$2),1,0)</f>
        <v>0</v>
      </c>
      <c r="AJ93" s="329" t="n">
        <f aca="false" t="array" ref="AJ93:AJ93">IF(AND(AJ$2&lt;&gt;0,TblTech[[#This Row],[Hour]:[Hour]]&gt;=AJ$2),1,0)</f>
        <v>0</v>
      </c>
      <c r="AK93" s="329" t="n">
        <f aca="false" t="array" ref="AK93:AK93">IF(AND(AK$2&lt;&gt;0,TblTech[[#This Row],[Hour]:[Hour]]&gt;=AK$2),1,0)</f>
        <v>0</v>
      </c>
      <c r="AL93" s="329" t="n">
        <f aca="false" t="array" ref="AL93:AL93">IF(AND(AL$2&lt;&gt;0,TblTech[[#This Row],[Hour]:[Hour]]&gt;=AL$2),1,0)</f>
        <v>0</v>
      </c>
      <c r="AM93" s="329" t="n">
        <f aca="false" t="array" ref="AM93:AM93">IF(AND(AM$2&lt;&gt;0,TblTech[[#This Row],[Hour]:[Hour]]&gt;=AM$2),1,0)</f>
        <v>0</v>
      </c>
      <c r="AN93" s="329" t="n">
        <f aca="false" t="array" ref="AN93:AN93">IF(AND(AN$2&lt;&gt;0,TblTech[[#This Row],[Hour]:[Hour]]&gt;=AN$2),1,0)</f>
        <v>0</v>
      </c>
      <c r="AO93" s="329" t="n">
        <f aca="false" t="array" ref="AO93:AO93">IF(AND(AO$2&lt;&gt;0,TblTech[[#This Row],[Hour]:[Hour]]&gt;=AO$2),1,0)</f>
        <v>0</v>
      </c>
      <c r="AP93" s="329" t="n">
        <f aca="false" t="array" ref="AP93:AP93">IF(AND(AP$2&lt;&gt;0,TblTech[[#This Row],[Hour]:[Hour]]&gt;=AP$2),1,0)</f>
        <v>0</v>
      </c>
      <c r="AQ93" s="329" t="n">
        <f aca="false" t="array" ref="AQ93:AQ93">IF(AND(AQ$2&lt;&gt;0,TblTech[[#This Row],[Hour]:[Hour]]&gt;=AQ$2),1,0)</f>
        <v>0</v>
      </c>
      <c r="AR93" s="329" t="n">
        <f aca="false" t="array" ref="AR93:AR93">IF(AND(AR$2&lt;&gt;0,TblTech[[#This Row],[Hour]:[Hour]]&gt;=AR$2),1,0)</f>
        <v>0</v>
      </c>
      <c r="AS93" s="329" t="n">
        <f aca="false" t="array" ref="AS93:AS93">IF(AND(AS$2&lt;&gt;0,TblTech[[#This Row],[Hour]:[Hour]]&gt;=AS$2),1,0)</f>
        <v>0</v>
      </c>
      <c r="AT93" s="329" t="n">
        <f aca="false" t="array" ref="AT93:AT93">IF(AND(AT$2&lt;&gt;0,TblTech[[#This Row],[Hour]:[Hour]]&gt;=AT$2),1,0)</f>
        <v>0</v>
      </c>
      <c r="AU93" s="329" t="n">
        <f aca="false" t="array" ref="AU93:AU93">IF(AND(AU$2&lt;&gt;0,TblTech[[#This Row],[Hour]:[Hour]]&gt;=AU$2),1,0)</f>
        <v>0</v>
      </c>
      <c r="AV93" s="329" t="n">
        <f aca="false" t="array" ref="AV93:AV93">IF(AND(AV$2&lt;&gt;0,TblTech[[#This Row],[Hour]:[Hour]]&gt;=AV$2),1,0)</f>
        <v>0</v>
      </c>
      <c r="AW93" s="329" t="n">
        <f aca="false" t="array" ref="AW93:AW93">IF(AND(AW$2&lt;&gt;0,TblTech[[#This Row],[Hour]:[Hour]]&gt;=AW$2),1,0)</f>
        <v>0</v>
      </c>
      <c r="AX93" s="329" t="n">
        <f aca="false" t="array" ref="AX93:AX93">IF(AND(AX$2&lt;&gt;0,TblTech[[#This Row],[Hour]:[Hour]]&gt;=AX$2),1,0)</f>
        <v>0</v>
      </c>
      <c r="AY93" s="329" t="n">
        <f aca="false" t="array" ref="AY93:AY93">IF(AND(AY$2&lt;&gt;0,TblTech[[#This Row],[Hour]:[Hour]]&gt;=AY$2),1,0)</f>
        <v>0</v>
      </c>
      <c r="AZ93" s="329" t="n">
        <f aca="false" t="array" ref="AZ93:AZ93">IF(AND(AZ$2&lt;&gt;0,TblTech[[#This Row],[Hour]:[Hour]]&gt;=AZ$2),1,0)</f>
        <v>0</v>
      </c>
      <c r="BA93" s="329" t="n">
        <f aca="false" t="array" ref="BA93:BA93">IF(AND(BA$2&lt;&gt;0,TblTech[[#This Row],[Hour]:[Hour]]&gt;=BA$2),1,0)</f>
        <v>0</v>
      </c>
      <c r="BB93" s="329" t="n">
        <f aca="false" t="array" ref="BB93:BB93">IF(AND(BB$2&lt;&gt;0,TblTech[[#This Row],[Hour]:[Hour]]&gt;=BB$2),1,0)</f>
        <v>0</v>
      </c>
      <c r="BC93" s="329" t="n">
        <f aca="false" t="array" ref="BC93:BC93">IF(AND(BC$2&lt;&gt;0,TblTech[[#This Row],[Hour]:[Hour]]&gt;=BC$2),1,0)</f>
        <v>0</v>
      </c>
      <c r="BD93" s="329" t="n">
        <f aca="false" t="array" ref="BD93:BD93">IF(AND(BD$2&lt;&gt;0,TblTech[[#This Row],[Hour]:[Hour]]&gt;=BD$2),1,0)</f>
        <v>0</v>
      </c>
      <c r="BE93" s="329" t="n">
        <f aca="false" t="array" ref="BE93:BE93">IF(AND(BE$2&lt;&gt;0,TblTech[[#This Row],[Hour]:[Hour]]&gt;=BE$2),1,0)</f>
        <v>0</v>
      </c>
      <c r="BF93" s="329" t="n">
        <f aca="false" t="array" ref="BF93:BF93">IF(AND(BF$2&lt;&gt;0,TblTech[[#This Row],[Hour]:[Hour]]&gt;=BF$2),1,0)</f>
        <v>0</v>
      </c>
      <c r="BG93" s="329" t="n">
        <f aca="false" t="array" ref="BG93:BG93">IF(AND(BG$2&lt;&gt;0,TblTech[[#This Row],[Hour]:[Hour]]&gt;=BG$2),1,0)</f>
        <v>0</v>
      </c>
      <c r="BH93" s="329" t="n">
        <f aca="false" t="array" ref="BH93:BH93">IF(AND(BH$2&lt;&gt;0,TblTech[[#This Row],[Hour]:[Hour]]&gt;=BH$2),1,0)</f>
        <v>0</v>
      </c>
      <c r="BI93" s="329" t="n">
        <f aca="false" t="array" ref="BI93:BI93">IF(AND(BI$2&lt;&gt;0,TblTech[[#This Row],[Hour]:[Hour]]&gt;=BI$2),1,0)</f>
        <v>0</v>
      </c>
      <c r="BJ93" s="329" t="n">
        <f aca="false" t="array" ref="BJ93:BJ93">IF(AND(BJ$2&lt;&gt;0,TblTech[[#This Row],[Hour]:[Hour]]&gt;=BJ$2),1,0)</f>
        <v>0</v>
      </c>
      <c r="BK93" s="329" t="n">
        <f aca="false" t="array" ref="BK93:BK93">IF(AND(BK$2&lt;&gt;0,TblTech[[#This Row],[Hour]:[Hour]]&gt;=BK$2),1,0)</f>
        <v>0</v>
      </c>
      <c r="BL93" s="329" t="n">
        <f aca="false" t="array" ref="BL93:BL93">IF(AND(BL$2&lt;&gt;0,TblTech[[#This Row],[Hour]:[Hour]]&gt;=BL$2),1,0)</f>
        <v>0</v>
      </c>
      <c r="BM93" s="329" t="n">
        <f aca="false" t="array" ref="BM93:BM93">IF(AND(BM$2&lt;&gt;0,TblTech[[#This Row],[Hour]:[Hour]]&gt;=BM$2),1,0)</f>
        <v>0</v>
      </c>
      <c r="BN93" s="329" t="n">
        <f aca="false" t="array" ref="BN93:BN93">IF(AND(BN$2&lt;&gt;0,TblTech[[#This Row],[Hour]:[Hour]]&gt;=BN$2),1,0)</f>
        <v>0</v>
      </c>
      <c r="BO93" s="329" t="n">
        <f aca="false" t="array" ref="BO93:BO93">IF(AND(BO$2&lt;&gt;0,TblTech[[#This Row],[Hour]:[Hour]]&gt;=BO$2),1,0)</f>
        <v>0</v>
      </c>
      <c r="BP93" s="329" t="n">
        <f aca="false" t="array" ref="BP93:BP93">IF(AND(BP$2&lt;&gt;0,TblTech[[#This Row],[Hour]:[Hour]]&gt;=BP$2),1,0)</f>
        <v>0</v>
      </c>
      <c r="BQ93" s="329" t="n">
        <f aca="false" t="array" ref="BQ93:BQ93">IF(AND(BQ$2&lt;&gt;0,TblTech[[#This Row],[Hour]:[Hour]]&gt;=BQ$2),1,0)</f>
        <v>0</v>
      </c>
      <c r="BR93" s="329" t="n">
        <f aca="false" t="array" ref="BR93:BR93">IF(AND(BR$2&lt;&gt;0,TblTech[[#This Row],[Hour]:[Hour]]&gt;=BR$2),1,0)</f>
        <v>0</v>
      </c>
      <c r="BS93" s="329" t="n">
        <f aca="false" t="array" ref="BS93:BS93">IF(AND(BS$2&lt;&gt;0,TblTech[[#This Row],[Hour]:[Hour]]&gt;=BS$2),1,0)</f>
        <v>0</v>
      </c>
      <c r="BT93" s="329" t="n">
        <f aca="false" t="array" ref="BT93:BT93">IF(AND(BT$2&lt;&gt;0,TblTech[[#This Row],[Hour]:[Hour]]&gt;=BT$2),1,0)</f>
        <v>0</v>
      </c>
      <c r="BU93" s="329" t="n">
        <f aca="false" t="array" ref="BU93:BU93">IF(AND(BU$2&lt;&gt;0,TblTech[[#This Row],[Hour]:[Hour]]&gt;=BU$2),1,0)</f>
        <v>0</v>
      </c>
      <c r="BV93" s="329" t="n">
        <f aca="false" t="array" ref="BV93:BV93">IF(AND(BV$2&lt;&gt;0,TblTech[[#This Row],[Hour]:[Hour]]&gt;=BV$2),1,0)</f>
        <v>0</v>
      </c>
      <c r="BW93" s="329" t="n">
        <f aca="false" t="array" ref="BW93:BW93">IF(AND(BW$2&lt;&gt;0,TblTech[[#This Row],[Hour]:[Hour]]&gt;=BW$2),1,0)</f>
        <v>0</v>
      </c>
      <c r="BX93" s="329" t="n">
        <f aca="false" t="array" ref="BX93:BX93">IF(AND(BX$2&lt;&gt;0,TblTech[[#This Row],[Hour]:[Hour]]&gt;=BX$2),1,0)</f>
        <v>0</v>
      </c>
      <c r="BY93" s="329" t="n">
        <f aca="false" t="array" ref="BY93:BY93">IF(AND(BY$2&lt;&gt;0,TblTech[[#This Row],[Hour]:[Hour]]&gt;=BY$2),1,0)</f>
        <v>0</v>
      </c>
      <c r="BZ93" s="329" t="n">
        <f aca="false" t="array" ref="BZ93:BZ93">IF(AND(BZ$2&lt;&gt;0,TblTech[[#This Row],[Hour]:[Hour]]&gt;=BZ$2),1,0)</f>
        <v>0</v>
      </c>
      <c r="CA93" s="330" t="n">
        <f aca="false">IFERROR(INDEX($H$4:$H$79,MATCH(INDEX(TblTech[[#Headers],[1-1]:[11-1]],1,MATCH(TblTech[[#This Row],[Hour]],$M$2:$BZ$2,0)),$G$4:$G$79,0)),)</f>
        <v>0</v>
      </c>
    </row>
    <row r="94" customFormat="false" ht="12.75" hidden="false" customHeight="false" outlineLevel="0" collapsed="false">
      <c r="A94" s="321" t="n">
        <f aca="false">TblRezone[[#This Row],[Hour]]</f>
        <v>91</v>
      </c>
      <c r="B94" s="322" t="n">
        <f aca="false">TblExplore[[#This Row],[Land-DB]]</f>
        <v>700</v>
      </c>
      <c r="C94" s="323" t="n">
        <f aca="false">TblProd[[#This Row],[Techpoints]]</f>
        <v>1400</v>
      </c>
      <c r="D94" s="323" t="n">
        <f aca="false">TblProd[[#This Row],[Required]]</f>
        <v>3750</v>
      </c>
      <c r="E94" s="333"/>
      <c r="F94" s="334"/>
      <c r="G94" s="326"/>
      <c r="H94" s="327"/>
      <c r="I94" s="327"/>
      <c r="J94" s="327"/>
      <c r="K94" s="68" t="n">
        <f aca="false">IF(TblTech[[#This Row],[Sum of tech]]&lt;&gt;OFFSET(TblTech[[#This Row],[Sum of tech]],-1,0),1,0)</f>
        <v>0</v>
      </c>
      <c r="L94" s="328" t="n">
        <f aca="false">COUNTIF(TblTech[[#This Row],[1-1]:[11-1]],1)</f>
        <v>0</v>
      </c>
      <c r="M94" s="329" t="n">
        <f aca="false" t="array" ref="M94:M94">IF(AND(M$2&lt;&gt;0,TblTech[[#This Row],[Hour]:[Hour]]&gt;=M$2),1,0)</f>
        <v>0</v>
      </c>
      <c r="N94" s="329" t="n">
        <f aca="false" t="array" ref="N94:N94">IF(AND(N$2&lt;&gt;0,TblTech[[#This Row],[Hour]:[Hour]]&gt;=N$2),1,0)</f>
        <v>0</v>
      </c>
      <c r="O94" s="329" t="n">
        <f aca="false" t="array" ref="O94:O94">IF(AND(O$2&lt;&gt;0,TblTech[[#This Row],[Hour]:[Hour]]&gt;=O$2),1,0)</f>
        <v>0</v>
      </c>
      <c r="P94" s="329" t="n">
        <f aca="false" t="array" ref="P94:P94">IF(AND(P$2&lt;&gt;0,TblTech[[#This Row],[Hour]:[Hour]]&gt;=P$2),1,0)</f>
        <v>0</v>
      </c>
      <c r="Q94" s="329" t="n">
        <f aca="false" t="array" ref="Q94:Q94">IF(AND(Q$2&lt;&gt;0,TblTech[[#This Row],[Hour]:[Hour]]&gt;=Q$2),1,0)</f>
        <v>0</v>
      </c>
      <c r="R94" s="329" t="n">
        <f aca="false" t="array" ref="R94:R94">IF(AND(R$2&lt;&gt;0,TblTech[[#This Row],[Hour]:[Hour]]&gt;=R$2),1,0)</f>
        <v>0</v>
      </c>
      <c r="S94" s="329" t="n">
        <f aca="false" t="array" ref="S94:S94">IF(AND(S$2&lt;&gt;0,TblTech[[#This Row],[Hour]:[Hour]]&gt;=S$2),1,0)</f>
        <v>0</v>
      </c>
      <c r="T94" s="329" t="n">
        <f aca="false" t="array" ref="T94:T94">IF(AND(T$2&lt;&gt;0,TblTech[[#This Row],[Hour]:[Hour]]&gt;=T$2),1,0)</f>
        <v>0</v>
      </c>
      <c r="U94" s="329" t="n">
        <f aca="false" t="array" ref="U94:U94">IF(AND(U$2&lt;&gt;0,TblTech[[#This Row],[Hour]:[Hour]]&gt;=U$2),1,0)</f>
        <v>0</v>
      </c>
      <c r="V94" s="329" t="n">
        <f aca="false" t="array" ref="V94:V94">IF(AND(V$2&lt;&gt;0,TblTech[[#This Row],[Hour]:[Hour]]&gt;=V$2),1,0)</f>
        <v>0</v>
      </c>
      <c r="W94" s="329" t="n">
        <f aca="false" t="array" ref="W94:W94">IF(AND(W$2&lt;&gt;0,TblTech[[#This Row],[Hour]:[Hour]]&gt;=W$2),1,0)</f>
        <v>0</v>
      </c>
      <c r="X94" s="329" t="n">
        <f aca="false" t="array" ref="X94:X94">IF(AND(X$2&lt;&gt;0,TblTech[[#This Row],[Hour]:[Hour]]&gt;=X$2),1,0)</f>
        <v>0</v>
      </c>
      <c r="Y94" s="329" t="n">
        <f aca="false" t="array" ref="Y94:Y94">IF(AND(Y$2&lt;&gt;0,TblTech[[#This Row],[Hour]:[Hour]]&gt;=Y$2),1,0)</f>
        <v>0</v>
      </c>
      <c r="Z94" s="329" t="n">
        <f aca="false" t="array" ref="Z94:Z94">IF(AND(Z$2&lt;&gt;0,TblTech[[#This Row],[Hour]:[Hour]]&gt;=Z$2),1,0)</f>
        <v>0</v>
      </c>
      <c r="AA94" s="329" t="n">
        <f aca="false" t="array" ref="AA94:AA94">IF(AND(AA$2&lt;&gt;0,TblTech[[#This Row],[Hour]:[Hour]]&gt;=AA$2),1,0)</f>
        <v>0</v>
      </c>
      <c r="AB94" s="329" t="n">
        <f aca="false" t="array" ref="AB94:AB94">IF(AND(AB$2&lt;&gt;0,TblTech[[#This Row],[Hour]:[Hour]]&gt;=AB$2),1,0)</f>
        <v>0</v>
      </c>
      <c r="AC94" s="329" t="n">
        <f aca="false" t="array" ref="AC94:AC94">IF(AND(AC$2&lt;&gt;0,TblTech[[#This Row],[Hour]:[Hour]]&gt;=AC$2),1,0)</f>
        <v>0</v>
      </c>
      <c r="AD94" s="329" t="n">
        <f aca="false" t="array" ref="AD94:AD94">IF(AND(AD$2&lt;&gt;0,TblTech[[#This Row],[Hour]:[Hour]]&gt;=AD$2),1,0)</f>
        <v>0</v>
      </c>
      <c r="AE94" s="329" t="n">
        <f aca="false" t="array" ref="AE94:AE94">IF(AND(AE$2&lt;&gt;0,TblTech[[#This Row],[Hour]:[Hour]]&gt;=AE$2),1,0)</f>
        <v>0</v>
      </c>
      <c r="AF94" s="329" t="n">
        <f aca="false" t="array" ref="AF94:AF94">IF(AND(AF$2&lt;&gt;0,TblTech[[#This Row],[Hour]:[Hour]]&gt;=AF$2),1,0)</f>
        <v>0</v>
      </c>
      <c r="AG94" s="329" t="n">
        <f aca="false" t="array" ref="AG94:AG94">IF(AND(AG$2&lt;&gt;0,TblTech[[#This Row],[Hour]:[Hour]]&gt;=AG$2),1,0)</f>
        <v>0</v>
      </c>
      <c r="AH94" s="329" t="n">
        <f aca="false" t="array" ref="AH94:AH94">IF(AND(AH$2&lt;&gt;0,TblTech[[#This Row],[Hour]:[Hour]]&gt;=AH$2),1,0)</f>
        <v>0</v>
      </c>
      <c r="AI94" s="329" t="n">
        <f aca="false" t="array" ref="AI94:AI94">IF(AND(AI$2&lt;&gt;0,TblTech[[#This Row],[Hour]:[Hour]]&gt;=AI$2),1,0)</f>
        <v>0</v>
      </c>
      <c r="AJ94" s="329" t="n">
        <f aca="false" t="array" ref="AJ94:AJ94">IF(AND(AJ$2&lt;&gt;0,TblTech[[#This Row],[Hour]:[Hour]]&gt;=AJ$2),1,0)</f>
        <v>0</v>
      </c>
      <c r="AK94" s="329" t="n">
        <f aca="false" t="array" ref="AK94:AK94">IF(AND(AK$2&lt;&gt;0,TblTech[[#This Row],[Hour]:[Hour]]&gt;=AK$2),1,0)</f>
        <v>0</v>
      </c>
      <c r="AL94" s="329" t="n">
        <f aca="false" t="array" ref="AL94:AL94">IF(AND(AL$2&lt;&gt;0,TblTech[[#This Row],[Hour]:[Hour]]&gt;=AL$2),1,0)</f>
        <v>0</v>
      </c>
      <c r="AM94" s="329" t="n">
        <f aca="false" t="array" ref="AM94:AM94">IF(AND(AM$2&lt;&gt;0,TblTech[[#This Row],[Hour]:[Hour]]&gt;=AM$2),1,0)</f>
        <v>0</v>
      </c>
      <c r="AN94" s="329" t="n">
        <f aca="false" t="array" ref="AN94:AN94">IF(AND(AN$2&lt;&gt;0,TblTech[[#This Row],[Hour]:[Hour]]&gt;=AN$2),1,0)</f>
        <v>0</v>
      </c>
      <c r="AO94" s="329" t="n">
        <f aca="false" t="array" ref="AO94:AO94">IF(AND(AO$2&lt;&gt;0,TblTech[[#This Row],[Hour]:[Hour]]&gt;=AO$2),1,0)</f>
        <v>0</v>
      </c>
      <c r="AP94" s="329" t="n">
        <f aca="false" t="array" ref="AP94:AP94">IF(AND(AP$2&lt;&gt;0,TblTech[[#This Row],[Hour]:[Hour]]&gt;=AP$2),1,0)</f>
        <v>0</v>
      </c>
      <c r="AQ94" s="329" t="n">
        <f aca="false" t="array" ref="AQ94:AQ94">IF(AND(AQ$2&lt;&gt;0,TblTech[[#This Row],[Hour]:[Hour]]&gt;=AQ$2),1,0)</f>
        <v>0</v>
      </c>
      <c r="AR94" s="329" t="n">
        <f aca="false" t="array" ref="AR94:AR94">IF(AND(AR$2&lt;&gt;0,TblTech[[#This Row],[Hour]:[Hour]]&gt;=AR$2),1,0)</f>
        <v>0</v>
      </c>
      <c r="AS94" s="329" t="n">
        <f aca="false" t="array" ref="AS94:AS94">IF(AND(AS$2&lt;&gt;0,TblTech[[#This Row],[Hour]:[Hour]]&gt;=AS$2),1,0)</f>
        <v>0</v>
      </c>
      <c r="AT94" s="329" t="n">
        <f aca="false" t="array" ref="AT94:AT94">IF(AND(AT$2&lt;&gt;0,TblTech[[#This Row],[Hour]:[Hour]]&gt;=AT$2),1,0)</f>
        <v>0</v>
      </c>
      <c r="AU94" s="329" t="n">
        <f aca="false" t="array" ref="AU94:AU94">IF(AND(AU$2&lt;&gt;0,TblTech[[#This Row],[Hour]:[Hour]]&gt;=AU$2),1,0)</f>
        <v>0</v>
      </c>
      <c r="AV94" s="329" t="n">
        <f aca="false" t="array" ref="AV94:AV94">IF(AND(AV$2&lt;&gt;0,TblTech[[#This Row],[Hour]:[Hour]]&gt;=AV$2),1,0)</f>
        <v>0</v>
      </c>
      <c r="AW94" s="329" t="n">
        <f aca="false" t="array" ref="AW94:AW94">IF(AND(AW$2&lt;&gt;0,TblTech[[#This Row],[Hour]:[Hour]]&gt;=AW$2),1,0)</f>
        <v>0</v>
      </c>
      <c r="AX94" s="329" t="n">
        <f aca="false" t="array" ref="AX94:AX94">IF(AND(AX$2&lt;&gt;0,TblTech[[#This Row],[Hour]:[Hour]]&gt;=AX$2),1,0)</f>
        <v>0</v>
      </c>
      <c r="AY94" s="329" t="n">
        <f aca="false" t="array" ref="AY94:AY94">IF(AND(AY$2&lt;&gt;0,TblTech[[#This Row],[Hour]:[Hour]]&gt;=AY$2),1,0)</f>
        <v>0</v>
      </c>
      <c r="AZ94" s="329" t="n">
        <f aca="false" t="array" ref="AZ94:AZ94">IF(AND(AZ$2&lt;&gt;0,TblTech[[#This Row],[Hour]:[Hour]]&gt;=AZ$2),1,0)</f>
        <v>0</v>
      </c>
      <c r="BA94" s="329" t="n">
        <f aca="false" t="array" ref="BA94:BA94">IF(AND(BA$2&lt;&gt;0,TblTech[[#This Row],[Hour]:[Hour]]&gt;=BA$2),1,0)</f>
        <v>0</v>
      </c>
      <c r="BB94" s="329" t="n">
        <f aca="false" t="array" ref="BB94:BB94">IF(AND(BB$2&lt;&gt;0,TblTech[[#This Row],[Hour]:[Hour]]&gt;=BB$2),1,0)</f>
        <v>0</v>
      </c>
      <c r="BC94" s="329" t="n">
        <f aca="false" t="array" ref="BC94:BC94">IF(AND(BC$2&lt;&gt;0,TblTech[[#This Row],[Hour]:[Hour]]&gt;=BC$2),1,0)</f>
        <v>0</v>
      </c>
      <c r="BD94" s="329" t="n">
        <f aca="false" t="array" ref="BD94:BD94">IF(AND(BD$2&lt;&gt;0,TblTech[[#This Row],[Hour]:[Hour]]&gt;=BD$2),1,0)</f>
        <v>0</v>
      </c>
      <c r="BE94" s="329" t="n">
        <f aca="false" t="array" ref="BE94:BE94">IF(AND(BE$2&lt;&gt;0,TblTech[[#This Row],[Hour]:[Hour]]&gt;=BE$2),1,0)</f>
        <v>0</v>
      </c>
      <c r="BF94" s="329" t="n">
        <f aca="false" t="array" ref="BF94:BF94">IF(AND(BF$2&lt;&gt;0,TblTech[[#This Row],[Hour]:[Hour]]&gt;=BF$2),1,0)</f>
        <v>0</v>
      </c>
      <c r="BG94" s="329" t="n">
        <f aca="false" t="array" ref="BG94:BG94">IF(AND(BG$2&lt;&gt;0,TblTech[[#This Row],[Hour]:[Hour]]&gt;=BG$2),1,0)</f>
        <v>0</v>
      </c>
      <c r="BH94" s="329" t="n">
        <f aca="false" t="array" ref="BH94:BH94">IF(AND(BH$2&lt;&gt;0,TblTech[[#This Row],[Hour]:[Hour]]&gt;=BH$2),1,0)</f>
        <v>0</v>
      </c>
      <c r="BI94" s="329" t="n">
        <f aca="false" t="array" ref="BI94:BI94">IF(AND(BI$2&lt;&gt;0,TblTech[[#This Row],[Hour]:[Hour]]&gt;=BI$2),1,0)</f>
        <v>0</v>
      </c>
      <c r="BJ94" s="329" t="n">
        <f aca="false" t="array" ref="BJ94:BJ94">IF(AND(BJ$2&lt;&gt;0,TblTech[[#This Row],[Hour]:[Hour]]&gt;=BJ$2),1,0)</f>
        <v>0</v>
      </c>
      <c r="BK94" s="329" t="n">
        <f aca="false" t="array" ref="BK94:BK94">IF(AND(BK$2&lt;&gt;0,TblTech[[#This Row],[Hour]:[Hour]]&gt;=BK$2),1,0)</f>
        <v>0</v>
      </c>
      <c r="BL94" s="329" t="n">
        <f aca="false" t="array" ref="BL94:BL94">IF(AND(BL$2&lt;&gt;0,TblTech[[#This Row],[Hour]:[Hour]]&gt;=BL$2),1,0)</f>
        <v>0</v>
      </c>
      <c r="BM94" s="329" t="n">
        <f aca="false" t="array" ref="BM94:BM94">IF(AND(BM$2&lt;&gt;0,TblTech[[#This Row],[Hour]:[Hour]]&gt;=BM$2),1,0)</f>
        <v>0</v>
      </c>
      <c r="BN94" s="329" t="n">
        <f aca="false" t="array" ref="BN94:BN94">IF(AND(BN$2&lt;&gt;0,TblTech[[#This Row],[Hour]:[Hour]]&gt;=BN$2),1,0)</f>
        <v>0</v>
      </c>
      <c r="BO94" s="329" t="n">
        <f aca="false" t="array" ref="BO94:BO94">IF(AND(BO$2&lt;&gt;0,TblTech[[#This Row],[Hour]:[Hour]]&gt;=BO$2),1,0)</f>
        <v>0</v>
      </c>
      <c r="BP94" s="329" t="n">
        <f aca="false" t="array" ref="BP94:BP94">IF(AND(BP$2&lt;&gt;0,TblTech[[#This Row],[Hour]:[Hour]]&gt;=BP$2),1,0)</f>
        <v>0</v>
      </c>
      <c r="BQ94" s="329" t="n">
        <f aca="false" t="array" ref="BQ94:BQ94">IF(AND(BQ$2&lt;&gt;0,TblTech[[#This Row],[Hour]:[Hour]]&gt;=BQ$2),1,0)</f>
        <v>0</v>
      </c>
      <c r="BR94" s="329" t="n">
        <f aca="false" t="array" ref="BR94:BR94">IF(AND(BR$2&lt;&gt;0,TblTech[[#This Row],[Hour]:[Hour]]&gt;=BR$2),1,0)</f>
        <v>0</v>
      </c>
      <c r="BS94" s="329" t="n">
        <f aca="false" t="array" ref="BS94:BS94">IF(AND(BS$2&lt;&gt;0,TblTech[[#This Row],[Hour]:[Hour]]&gt;=BS$2),1,0)</f>
        <v>0</v>
      </c>
      <c r="BT94" s="329" t="n">
        <f aca="false" t="array" ref="BT94:BT94">IF(AND(BT$2&lt;&gt;0,TblTech[[#This Row],[Hour]:[Hour]]&gt;=BT$2),1,0)</f>
        <v>0</v>
      </c>
      <c r="BU94" s="329" t="n">
        <f aca="false" t="array" ref="BU94:BU94">IF(AND(BU$2&lt;&gt;0,TblTech[[#This Row],[Hour]:[Hour]]&gt;=BU$2),1,0)</f>
        <v>0</v>
      </c>
      <c r="BV94" s="329" t="n">
        <f aca="false" t="array" ref="BV94:BV94">IF(AND(BV$2&lt;&gt;0,TblTech[[#This Row],[Hour]:[Hour]]&gt;=BV$2),1,0)</f>
        <v>0</v>
      </c>
      <c r="BW94" s="329" t="n">
        <f aca="false" t="array" ref="BW94:BW94">IF(AND(BW$2&lt;&gt;0,TblTech[[#This Row],[Hour]:[Hour]]&gt;=BW$2),1,0)</f>
        <v>0</v>
      </c>
      <c r="BX94" s="329" t="n">
        <f aca="false" t="array" ref="BX94:BX94">IF(AND(BX$2&lt;&gt;0,TblTech[[#This Row],[Hour]:[Hour]]&gt;=BX$2),1,0)</f>
        <v>0</v>
      </c>
      <c r="BY94" s="329" t="n">
        <f aca="false" t="array" ref="BY94:BY94">IF(AND(BY$2&lt;&gt;0,TblTech[[#This Row],[Hour]:[Hour]]&gt;=BY$2),1,0)</f>
        <v>0</v>
      </c>
      <c r="BZ94" s="329" t="n">
        <f aca="false" t="array" ref="BZ94:BZ94">IF(AND(BZ$2&lt;&gt;0,TblTech[[#This Row],[Hour]:[Hour]]&gt;=BZ$2),1,0)</f>
        <v>0</v>
      </c>
      <c r="CA94" s="330" t="n">
        <f aca="false">IFERROR(INDEX($H$4:$H$79,MATCH(INDEX(TblTech[[#Headers],[1-1]:[11-1]],1,MATCH(TblTech[[#This Row],[Hour]],$M$2:$BZ$2,0)),$G$4:$G$79,0)),)</f>
        <v>0</v>
      </c>
    </row>
    <row r="95" customFormat="false" ht="12.75" hidden="false" customHeight="false" outlineLevel="0" collapsed="false">
      <c r="A95" s="321" t="n">
        <f aca="false">TblRezone[[#This Row],[Hour]]</f>
        <v>92</v>
      </c>
      <c r="B95" s="322" t="n">
        <f aca="false">TblExplore[[#This Row],[Land-DB]]</f>
        <v>700</v>
      </c>
      <c r="C95" s="323" t="n">
        <f aca="false">TblProd[[#This Row],[Techpoints]]</f>
        <v>1400</v>
      </c>
      <c r="D95" s="323" t="n">
        <f aca="false">TblProd[[#This Row],[Required]]</f>
        <v>3750</v>
      </c>
      <c r="E95" s="333"/>
      <c r="F95" s="334"/>
      <c r="G95" s="326"/>
      <c r="H95" s="327"/>
      <c r="I95" s="327"/>
      <c r="J95" s="327"/>
      <c r="K95" s="68" t="n">
        <f aca="false">IF(TblTech[[#This Row],[Sum of tech]]&lt;&gt;OFFSET(TblTech[[#This Row],[Sum of tech]],-1,0),1,0)</f>
        <v>0</v>
      </c>
      <c r="L95" s="328" t="n">
        <f aca="false">COUNTIF(TblTech[[#This Row],[1-1]:[11-1]],1)</f>
        <v>0</v>
      </c>
      <c r="M95" s="329" t="n">
        <f aca="false" t="array" ref="M95:M95">IF(AND(M$2&lt;&gt;0,TblTech[[#This Row],[Hour]:[Hour]]&gt;=M$2),1,0)</f>
        <v>0</v>
      </c>
      <c r="N95" s="329" t="n">
        <f aca="false" t="array" ref="N95:N95">IF(AND(N$2&lt;&gt;0,TblTech[[#This Row],[Hour]:[Hour]]&gt;=N$2),1,0)</f>
        <v>0</v>
      </c>
      <c r="O95" s="329" t="n">
        <f aca="false" t="array" ref="O95:O95">IF(AND(O$2&lt;&gt;0,TblTech[[#This Row],[Hour]:[Hour]]&gt;=O$2),1,0)</f>
        <v>0</v>
      </c>
      <c r="P95" s="329" t="n">
        <f aca="false" t="array" ref="P95:P95">IF(AND(P$2&lt;&gt;0,TblTech[[#This Row],[Hour]:[Hour]]&gt;=P$2),1,0)</f>
        <v>0</v>
      </c>
      <c r="Q95" s="329" t="n">
        <f aca="false" t="array" ref="Q95:Q95">IF(AND(Q$2&lt;&gt;0,TblTech[[#This Row],[Hour]:[Hour]]&gt;=Q$2),1,0)</f>
        <v>0</v>
      </c>
      <c r="R95" s="329" t="n">
        <f aca="false" t="array" ref="R95:R95">IF(AND(R$2&lt;&gt;0,TblTech[[#This Row],[Hour]:[Hour]]&gt;=R$2),1,0)</f>
        <v>0</v>
      </c>
      <c r="S95" s="329" t="n">
        <f aca="false" t="array" ref="S95:S95">IF(AND(S$2&lt;&gt;0,TblTech[[#This Row],[Hour]:[Hour]]&gt;=S$2),1,0)</f>
        <v>0</v>
      </c>
      <c r="T95" s="329" t="n">
        <f aca="false" t="array" ref="T95:T95">IF(AND(T$2&lt;&gt;0,TblTech[[#This Row],[Hour]:[Hour]]&gt;=T$2),1,0)</f>
        <v>0</v>
      </c>
      <c r="U95" s="329" t="n">
        <f aca="false" t="array" ref="U95:U95">IF(AND(U$2&lt;&gt;0,TblTech[[#This Row],[Hour]:[Hour]]&gt;=U$2),1,0)</f>
        <v>0</v>
      </c>
      <c r="V95" s="329" t="n">
        <f aca="false" t="array" ref="V95:V95">IF(AND(V$2&lt;&gt;0,TblTech[[#This Row],[Hour]:[Hour]]&gt;=V$2),1,0)</f>
        <v>0</v>
      </c>
      <c r="W95" s="329" t="n">
        <f aca="false" t="array" ref="W95:W95">IF(AND(W$2&lt;&gt;0,TblTech[[#This Row],[Hour]:[Hour]]&gt;=W$2),1,0)</f>
        <v>0</v>
      </c>
      <c r="X95" s="329" t="n">
        <f aca="false" t="array" ref="X95:X95">IF(AND(X$2&lt;&gt;0,TblTech[[#This Row],[Hour]:[Hour]]&gt;=X$2),1,0)</f>
        <v>0</v>
      </c>
      <c r="Y95" s="329" t="n">
        <f aca="false" t="array" ref="Y95:Y95">IF(AND(Y$2&lt;&gt;0,TblTech[[#This Row],[Hour]:[Hour]]&gt;=Y$2),1,0)</f>
        <v>0</v>
      </c>
      <c r="Z95" s="329" t="n">
        <f aca="false" t="array" ref="Z95:Z95">IF(AND(Z$2&lt;&gt;0,TblTech[[#This Row],[Hour]:[Hour]]&gt;=Z$2),1,0)</f>
        <v>0</v>
      </c>
      <c r="AA95" s="329" t="n">
        <f aca="false" t="array" ref="AA95:AA95">IF(AND(AA$2&lt;&gt;0,TblTech[[#This Row],[Hour]:[Hour]]&gt;=AA$2),1,0)</f>
        <v>0</v>
      </c>
      <c r="AB95" s="329" t="n">
        <f aca="false" t="array" ref="AB95:AB95">IF(AND(AB$2&lt;&gt;0,TblTech[[#This Row],[Hour]:[Hour]]&gt;=AB$2),1,0)</f>
        <v>0</v>
      </c>
      <c r="AC95" s="329" t="n">
        <f aca="false" t="array" ref="AC95:AC95">IF(AND(AC$2&lt;&gt;0,TblTech[[#This Row],[Hour]:[Hour]]&gt;=AC$2),1,0)</f>
        <v>0</v>
      </c>
      <c r="AD95" s="329" t="n">
        <f aca="false" t="array" ref="AD95:AD95">IF(AND(AD$2&lt;&gt;0,TblTech[[#This Row],[Hour]:[Hour]]&gt;=AD$2),1,0)</f>
        <v>0</v>
      </c>
      <c r="AE95" s="329" t="n">
        <f aca="false" t="array" ref="AE95:AE95">IF(AND(AE$2&lt;&gt;0,TblTech[[#This Row],[Hour]:[Hour]]&gt;=AE$2),1,0)</f>
        <v>0</v>
      </c>
      <c r="AF95" s="329" t="n">
        <f aca="false" t="array" ref="AF95:AF95">IF(AND(AF$2&lt;&gt;0,TblTech[[#This Row],[Hour]:[Hour]]&gt;=AF$2),1,0)</f>
        <v>0</v>
      </c>
      <c r="AG95" s="329" t="n">
        <f aca="false" t="array" ref="AG95:AG95">IF(AND(AG$2&lt;&gt;0,TblTech[[#This Row],[Hour]:[Hour]]&gt;=AG$2),1,0)</f>
        <v>0</v>
      </c>
      <c r="AH95" s="329" t="n">
        <f aca="false" t="array" ref="AH95:AH95">IF(AND(AH$2&lt;&gt;0,TblTech[[#This Row],[Hour]:[Hour]]&gt;=AH$2),1,0)</f>
        <v>0</v>
      </c>
      <c r="AI95" s="329" t="n">
        <f aca="false" t="array" ref="AI95:AI95">IF(AND(AI$2&lt;&gt;0,TblTech[[#This Row],[Hour]:[Hour]]&gt;=AI$2),1,0)</f>
        <v>0</v>
      </c>
      <c r="AJ95" s="329" t="n">
        <f aca="false" t="array" ref="AJ95:AJ95">IF(AND(AJ$2&lt;&gt;0,TblTech[[#This Row],[Hour]:[Hour]]&gt;=AJ$2),1,0)</f>
        <v>0</v>
      </c>
      <c r="AK95" s="329" t="n">
        <f aca="false" t="array" ref="AK95:AK95">IF(AND(AK$2&lt;&gt;0,TblTech[[#This Row],[Hour]:[Hour]]&gt;=AK$2),1,0)</f>
        <v>0</v>
      </c>
      <c r="AL95" s="329" t="n">
        <f aca="false" t="array" ref="AL95:AL95">IF(AND(AL$2&lt;&gt;0,TblTech[[#This Row],[Hour]:[Hour]]&gt;=AL$2),1,0)</f>
        <v>0</v>
      </c>
      <c r="AM95" s="329" t="n">
        <f aca="false" t="array" ref="AM95:AM95">IF(AND(AM$2&lt;&gt;0,TblTech[[#This Row],[Hour]:[Hour]]&gt;=AM$2),1,0)</f>
        <v>0</v>
      </c>
      <c r="AN95" s="329" t="n">
        <f aca="false" t="array" ref="AN95:AN95">IF(AND(AN$2&lt;&gt;0,TblTech[[#This Row],[Hour]:[Hour]]&gt;=AN$2),1,0)</f>
        <v>0</v>
      </c>
      <c r="AO95" s="329" t="n">
        <f aca="false" t="array" ref="AO95:AO95">IF(AND(AO$2&lt;&gt;0,TblTech[[#This Row],[Hour]:[Hour]]&gt;=AO$2),1,0)</f>
        <v>0</v>
      </c>
      <c r="AP95" s="329" t="n">
        <f aca="false" t="array" ref="AP95:AP95">IF(AND(AP$2&lt;&gt;0,TblTech[[#This Row],[Hour]:[Hour]]&gt;=AP$2),1,0)</f>
        <v>0</v>
      </c>
      <c r="AQ95" s="329" t="n">
        <f aca="false" t="array" ref="AQ95:AQ95">IF(AND(AQ$2&lt;&gt;0,TblTech[[#This Row],[Hour]:[Hour]]&gt;=AQ$2),1,0)</f>
        <v>0</v>
      </c>
      <c r="AR95" s="329" t="n">
        <f aca="false" t="array" ref="AR95:AR95">IF(AND(AR$2&lt;&gt;0,TblTech[[#This Row],[Hour]:[Hour]]&gt;=AR$2),1,0)</f>
        <v>0</v>
      </c>
      <c r="AS95" s="329" t="n">
        <f aca="false" t="array" ref="AS95:AS95">IF(AND(AS$2&lt;&gt;0,TblTech[[#This Row],[Hour]:[Hour]]&gt;=AS$2),1,0)</f>
        <v>0</v>
      </c>
      <c r="AT95" s="329" t="n">
        <f aca="false" t="array" ref="AT95:AT95">IF(AND(AT$2&lt;&gt;0,TblTech[[#This Row],[Hour]:[Hour]]&gt;=AT$2),1,0)</f>
        <v>0</v>
      </c>
      <c r="AU95" s="329" t="n">
        <f aca="false" t="array" ref="AU95:AU95">IF(AND(AU$2&lt;&gt;0,TblTech[[#This Row],[Hour]:[Hour]]&gt;=AU$2),1,0)</f>
        <v>0</v>
      </c>
      <c r="AV95" s="329" t="n">
        <f aca="false" t="array" ref="AV95:AV95">IF(AND(AV$2&lt;&gt;0,TblTech[[#This Row],[Hour]:[Hour]]&gt;=AV$2),1,0)</f>
        <v>0</v>
      </c>
      <c r="AW95" s="329" t="n">
        <f aca="false" t="array" ref="AW95:AW95">IF(AND(AW$2&lt;&gt;0,TblTech[[#This Row],[Hour]:[Hour]]&gt;=AW$2),1,0)</f>
        <v>0</v>
      </c>
      <c r="AX95" s="329" t="n">
        <f aca="false" t="array" ref="AX95:AX95">IF(AND(AX$2&lt;&gt;0,TblTech[[#This Row],[Hour]:[Hour]]&gt;=AX$2),1,0)</f>
        <v>0</v>
      </c>
      <c r="AY95" s="329" t="n">
        <f aca="false" t="array" ref="AY95:AY95">IF(AND(AY$2&lt;&gt;0,TblTech[[#This Row],[Hour]:[Hour]]&gt;=AY$2),1,0)</f>
        <v>0</v>
      </c>
      <c r="AZ95" s="329" t="n">
        <f aca="false" t="array" ref="AZ95:AZ95">IF(AND(AZ$2&lt;&gt;0,TblTech[[#This Row],[Hour]:[Hour]]&gt;=AZ$2),1,0)</f>
        <v>0</v>
      </c>
      <c r="BA95" s="329" t="n">
        <f aca="false" t="array" ref="BA95:BA95">IF(AND(BA$2&lt;&gt;0,TblTech[[#This Row],[Hour]:[Hour]]&gt;=BA$2),1,0)</f>
        <v>0</v>
      </c>
      <c r="BB95" s="329" t="n">
        <f aca="false" t="array" ref="BB95:BB95">IF(AND(BB$2&lt;&gt;0,TblTech[[#This Row],[Hour]:[Hour]]&gt;=BB$2),1,0)</f>
        <v>0</v>
      </c>
      <c r="BC95" s="329" t="n">
        <f aca="false" t="array" ref="BC95:BC95">IF(AND(BC$2&lt;&gt;0,TblTech[[#This Row],[Hour]:[Hour]]&gt;=BC$2),1,0)</f>
        <v>0</v>
      </c>
      <c r="BD95" s="329" t="n">
        <f aca="false" t="array" ref="BD95:BD95">IF(AND(BD$2&lt;&gt;0,TblTech[[#This Row],[Hour]:[Hour]]&gt;=BD$2),1,0)</f>
        <v>0</v>
      </c>
      <c r="BE95" s="329" t="n">
        <f aca="false" t="array" ref="BE95:BE95">IF(AND(BE$2&lt;&gt;0,TblTech[[#This Row],[Hour]:[Hour]]&gt;=BE$2),1,0)</f>
        <v>0</v>
      </c>
      <c r="BF95" s="329" t="n">
        <f aca="false" t="array" ref="BF95:BF95">IF(AND(BF$2&lt;&gt;0,TblTech[[#This Row],[Hour]:[Hour]]&gt;=BF$2),1,0)</f>
        <v>0</v>
      </c>
      <c r="BG95" s="329" t="n">
        <f aca="false" t="array" ref="BG95:BG95">IF(AND(BG$2&lt;&gt;0,TblTech[[#This Row],[Hour]:[Hour]]&gt;=BG$2),1,0)</f>
        <v>0</v>
      </c>
      <c r="BH95" s="329" t="n">
        <f aca="false" t="array" ref="BH95:BH95">IF(AND(BH$2&lt;&gt;0,TblTech[[#This Row],[Hour]:[Hour]]&gt;=BH$2),1,0)</f>
        <v>0</v>
      </c>
      <c r="BI95" s="329" t="n">
        <f aca="false" t="array" ref="BI95:BI95">IF(AND(BI$2&lt;&gt;0,TblTech[[#This Row],[Hour]:[Hour]]&gt;=BI$2),1,0)</f>
        <v>0</v>
      </c>
      <c r="BJ95" s="329" t="n">
        <f aca="false" t="array" ref="BJ95:BJ95">IF(AND(BJ$2&lt;&gt;0,TblTech[[#This Row],[Hour]:[Hour]]&gt;=BJ$2),1,0)</f>
        <v>0</v>
      </c>
      <c r="BK95" s="329" t="n">
        <f aca="false" t="array" ref="BK95:BK95">IF(AND(BK$2&lt;&gt;0,TblTech[[#This Row],[Hour]:[Hour]]&gt;=BK$2),1,0)</f>
        <v>0</v>
      </c>
      <c r="BL95" s="329" t="n">
        <f aca="false" t="array" ref="BL95:BL95">IF(AND(BL$2&lt;&gt;0,TblTech[[#This Row],[Hour]:[Hour]]&gt;=BL$2),1,0)</f>
        <v>0</v>
      </c>
      <c r="BM95" s="329" t="n">
        <f aca="false" t="array" ref="BM95:BM95">IF(AND(BM$2&lt;&gt;0,TblTech[[#This Row],[Hour]:[Hour]]&gt;=BM$2),1,0)</f>
        <v>0</v>
      </c>
      <c r="BN95" s="329" t="n">
        <f aca="false" t="array" ref="BN95:BN95">IF(AND(BN$2&lt;&gt;0,TblTech[[#This Row],[Hour]:[Hour]]&gt;=BN$2),1,0)</f>
        <v>0</v>
      </c>
      <c r="BO95" s="329" t="n">
        <f aca="false" t="array" ref="BO95:BO95">IF(AND(BO$2&lt;&gt;0,TblTech[[#This Row],[Hour]:[Hour]]&gt;=BO$2),1,0)</f>
        <v>0</v>
      </c>
      <c r="BP95" s="329" t="n">
        <f aca="false" t="array" ref="BP95:BP95">IF(AND(BP$2&lt;&gt;0,TblTech[[#This Row],[Hour]:[Hour]]&gt;=BP$2),1,0)</f>
        <v>0</v>
      </c>
      <c r="BQ95" s="329" t="n">
        <f aca="false" t="array" ref="BQ95:BQ95">IF(AND(BQ$2&lt;&gt;0,TblTech[[#This Row],[Hour]:[Hour]]&gt;=BQ$2),1,0)</f>
        <v>0</v>
      </c>
      <c r="BR95" s="329" t="n">
        <f aca="false" t="array" ref="BR95:BR95">IF(AND(BR$2&lt;&gt;0,TblTech[[#This Row],[Hour]:[Hour]]&gt;=BR$2),1,0)</f>
        <v>0</v>
      </c>
      <c r="BS95" s="329" t="n">
        <f aca="false" t="array" ref="BS95:BS95">IF(AND(BS$2&lt;&gt;0,TblTech[[#This Row],[Hour]:[Hour]]&gt;=BS$2),1,0)</f>
        <v>0</v>
      </c>
      <c r="BT95" s="329" t="n">
        <f aca="false" t="array" ref="BT95:BT95">IF(AND(BT$2&lt;&gt;0,TblTech[[#This Row],[Hour]:[Hour]]&gt;=BT$2),1,0)</f>
        <v>0</v>
      </c>
      <c r="BU95" s="329" t="n">
        <f aca="false" t="array" ref="BU95:BU95">IF(AND(BU$2&lt;&gt;0,TblTech[[#This Row],[Hour]:[Hour]]&gt;=BU$2),1,0)</f>
        <v>0</v>
      </c>
      <c r="BV95" s="329" t="n">
        <f aca="false" t="array" ref="BV95:BV95">IF(AND(BV$2&lt;&gt;0,TblTech[[#This Row],[Hour]:[Hour]]&gt;=BV$2),1,0)</f>
        <v>0</v>
      </c>
      <c r="BW95" s="329" t="n">
        <f aca="false" t="array" ref="BW95:BW95">IF(AND(BW$2&lt;&gt;0,TblTech[[#This Row],[Hour]:[Hour]]&gt;=BW$2),1,0)</f>
        <v>0</v>
      </c>
      <c r="BX95" s="329" t="n">
        <f aca="false" t="array" ref="BX95:BX95">IF(AND(BX$2&lt;&gt;0,TblTech[[#This Row],[Hour]:[Hour]]&gt;=BX$2),1,0)</f>
        <v>0</v>
      </c>
      <c r="BY95" s="329" t="n">
        <f aca="false" t="array" ref="BY95:BY95">IF(AND(BY$2&lt;&gt;0,TblTech[[#This Row],[Hour]:[Hour]]&gt;=BY$2),1,0)</f>
        <v>0</v>
      </c>
      <c r="BZ95" s="329" t="n">
        <f aca="false" t="array" ref="BZ95:BZ95">IF(AND(BZ$2&lt;&gt;0,TblTech[[#This Row],[Hour]:[Hour]]&gt;=BZ$2),1,0)</f>
        <v>0</v>
      </c>
      <c r="CA95" s="330" t="n">
        <f aca="false">IFERROR(INDEX($H$4:$H$79,MATCH(INDEX(TblTech[[#Headers],[1-1]:[11-1]],1,MATCH(TblTech[[#This Row],[Hour]],$M$2:$BZ$2,0)),$G$4:$G$79,0)),)</f>
        <v>0</v>
      </c>
    </row>
    <row r="96" customFormat="false" ht="12.75" hidden="false" customHeight="false" outlineLevel="0" collapsed="false">
      <c r="A96" s="321" t="n">
        <f aca="false">TblRezone[[#This Row],[Hour]]</f>
        <v>93</v>
      </c>
      <c r="B96" s="322" t="n">
        <f aca="false">TblExplore[[#This Row],[Land-DB]]</f>
        <v>700</v>
      </c>
      <c r="C96" s="323" t="n">
        <f aca="false">TblProd[[#This Row],[Techpoints]]</f>
        <v>1400</v>
      </c>
      <c r="D96" s="323" t="n">
        <f aca="false">TblProd[[#This Row],[Required]]</f>
        <v>3750</v>
      </c>
      <c r="E96" s="333"/>
      <c r="F96" s="334"/>
      <c r="G96" s="326"/>
      <c r="H96" s="327"/>
      <c r="I96" s="327"/>
      <c r="J96" s="327"/>
      <c r="K96" s="68" t="n">
        <f aca="false">IF(TblTech[[#This Row],[Sum of tech]]&lt;&gt;OFFSET(TblTech[[#This Row],[Sum of tech]],-1,0),1,0)</f>
        <v>0</v>
      </c>
      <c r="L96" s="328" t="n">
        <f aca="false">COUNTIF(TblTech[[#This Row],[1-1]:[11-1]],1)</f>
        <v>0</v>
      </c>
      <c r="M96" s="329" t="n">
        <f aca="false" t="array" ref="M96:M96">IF(AND(M$2&lt;&gt;0,TblTech[[#This Row],[Hour]:[Hour]]&gt;=M$2),1,0)</f>
        <v>0</v>
      </c>
      <c r="N96" s="329" t="n">
        <f aca="false" t="array" ref="N96:N96">IF(AND(N$2&lt;&gt;0,TblTech[[#This Row],[Hour]:[Hour]]&gt;=N$2),1,0)</f>
        <v>0</v>
      </c>
      <c r="O96" s="329" t="n">
        <f aca="false" t="array" ref="O96:O96">IF(AND(O$2&lt;&gt;0,TblTech[[#This Row],[Hour]:[Hour]]&gt;=O$2),1,0)</f>
        <v>0</v>
      </c>
      <c r="P96" s="329" t="n">
        <f aca="false" t="array" ref="P96:P96">IF(AND(P$2&lt;&gt;0,TblTech[[#This Row],[Hour]:[Hour]]&gt;=P$2),1,0)</f>
        <v>0</v>
      </c>
      <c r="Q96" s="329" t="n">
        <f aca="false" t="array" ref="Q96:Q96">IF(AND(Q$2&lt;&gt;0,TblTech[[#This Row],[Hour]:[Hour]]&gt;=Q$2),1,0)</f>
        <v>0</v>
      </c>
      <c r="R96" s="329" t="n">
        <f aca="false" t="array" ref="R96:R96">IF(AND(R$2&lt;&gt;0,TblTech[[#This Row],[Hour]:[Hour]]&gt;=R$2),1,0)</f>
        <v>0</v>
      </c>
      <c r="S96" s="329" t="n">
        <f aca="false" t="array" ref="S96:S96">IF(AND(S$2&lt;&gt;0,TblTech[[#This Row],[Hour]:[Hour]]&gt;=S$2),1,0)</f>
        <v>0</v>
      </c>
      <c r="T96" s="329" t="n">
        <f aca="false" t="array" ref="T96:T96">IF(AND(T$2&lt;&gt;0,TblTech[[#This Row],[Hour]:[Hour]]&gt;=T$2),1,0)</f>
        <v>0</v>
      </c>
      <c r="U96" s="329" t="n">
        <f aca="false" t="array" ref="U96:U96">IF(AND(U$2&lt;&gt;0,TblTech[[#This Row],[Hour]:[Hour]]&gt;=U$2),1,0)</f>
        <v>0</v>
      </c>
      <c r="V96" s="329" t="n">
        <f aca="false" t="array" ref="V96:V96">IF(AND(V$2&lt;&gt;0,TblTech[[#This Row],[Hour]:[Hour]]&gt;=V$2),1,0)</f>
        <v>0</v>
      </c>
      <c r="W96" s="329" t="n">
        <f aca="false" t="array" ref="W96:W96">IF(AND(W$2&lt;&gt;0,TblTech[[#This Row],[Hour]:[Hour]]&gt;=W$2),1,0)</f>
        <v>0</v>
      </c>
      <c r="X96" s="329" t="n">
        <f aca="false" t="array" ref="X96:X96">IF(AND(X$2&lt;&gt;0,TblTech[[#This Row],[Hour]:[Hour]]&gt;=X$2),1,0)</f>
        <v>0</v>
      </c>
      <c r="Y96" s="329" t="n">
        <f aca="false" t="array" ref="Y96:Y96">IF(AND(Y$2&lt;&gt;0,TblTech[[#This Row],[Hour]:[Hour]]&gt;=Y$2),1,0)</f>
        <v>0</v>
      </c>
      <c r="Z96" s="329" t="n">
        <f aca="false" t="array" ref="Z96:Z96">IF(AND(Z$2&lt;&gt;0,TblTech[[#This Row],[Hour]:[Hour]]&gt;=Z$2),1,0)</f>
        <v>0</v>
      </c>
      <c r="AA96" s="329" t="n">
        <f aca="false" t="array" ref="AA96:AA96">IF(AND(AA$2&lt;&gt;0,TblTech[[#This Row],[Hour]:[Hour]]&gt;=AA$2),1,0)</f>
        <v>0</v>
      </c>
      <c r="AB96" s="329" t="n">
        <f aca="false" t="array" ref="AB96:AB96">IF(AND(AB$2&lt;&gt;0,TblTech[[#This Row],[Hour]:[Hour]]&gt;=AB$2),1,0)</f>
        <v>0</v>
      </c>
      <c r="AC96" s="329" t="n">
        <f aca="false" t="array" ref="AC96:AC96">IF(AND(AC$2&lt;&gt;0,TblTech[[#This Row],[Hour]:[Hour]]&gt;=AC$2),1,0)</f>
        <v>0</v>
      </c>
      <c r="AD96" s="329" t="n">
        <f aca="false" t="array" ref="AD96:AD96">IF(AND(AD$2&lt;&gt;0,TblTech[[#This Row],[Hour]:[Hour]]&gt;=AD$2),1,0)</f>
        <v>0</v>
      </c>
      <c r="AE96" s="329" t="n">
        <f aca="false" t="array" ref="AE96:AE96">IF(AND(AE$2&lt;&gt;0,TblTech[[#This Row],[Hour]:[Hour]]&gt;=AE$2),1,0)</f>
        <v>0</v>
      </c>
      <c r="AF96" s="329" t="n">
        <f aca="false" t="array" ref="AF96:AF96">IF(AND(AF$2&lt;&gt;0,TblTech[[#This Row],[Hour]:[Hour]]&gt;=AF$2),1,0)</f>
        <v>0</v>
      </c>
      <c r="AG96" s="329" t="n">
        <f aca="false" t="array" ref="AG96:AG96">IF(AND(AG$2&lt;&gt;0,TblTech[[#This Row],[Hour]:[Hour]]&gt;=AG$2),1,0)</f>
        <v>0</v>
      </c>
      <c r="AH96" s="329" t="n">
        <f aca="false" t="array" ref="AH96:AH96">IF(AND(AH$2&lt;&gt;0,TblTech[[#This Row],[Hour]:[Hour]]&gt;=AH$2),1,0)</f>
        <v>0</v>
      </c>
      <c r="AI96" s="329" t="n">
        <f aca="false" t="array" ref="AI96:AI96">IF(AND(AI$2&lt;&gt;0,TblTech[[#This Row],[Hour]:[Hour]]&gt;=AI$2),1,0)</f>
        <v>0</v>
      </c>
      <c r="AJ96" s="329" t="n">
        <f aca="false" t="array" ref="AJ96:AJ96">IF(AND(AJ$2&lt;&gt;0,TblTech[[#This Row],[Hour]:[Hour]]&gt;=AJ$2),1,0)</f>
        <v>0</v>
      </c>
      <c r="AK96" s="329" t="n">
        <f aca="false" t="array" ref="AK96:AK96">IF(AND(AK$2&lt;&gt;0,TblTech[[#This Row],[Hour]:[Hour]]&gt;=AK$2),1,0)</f>
        <v>0</v>
      </c>
      <c r="AL96" s="329" t="n">
        <f aca="false" t="array" ref="AL96:AL96">IF(AND(AL$2&lt;&gt;0,TblTech[[#This Row],[Hour]:[Hour]]&gt;=AL$2),1,0)</f>
        <v>0</v>
      </c>
      <c r="AM96" s="329" t="n">
        <f aca="false" t="array" ref="AM96:AM96">IF(AND(AM$2&lt;&gt;0,TblTech[[#This Row],[Hour]:[Hour]]&gt;=AM$2),1,0)</f>
        <v>0</v>
      </c>
      <c r="AN96" s="329" t="n">
        <f aca="false" t="array" ref="AN96:AN96">IF(AND(AN$2&lt;&gt;0,TblTech[[#This Row],[Hour]:[Hour]]&gt;=AN$2),1,0)</f>
        <v>0</v>
      </c>
      <c r="AO96" s="329" t="n">
        <f aca="false" t="array" ref="AO96:AO96">IF(AND(AO$2&lt;&gt;0,TblTech[[#This Row],[Hour]:[Hour]]&gt;=AO$2),1,0)</f>
        <v>0</v>
      </c>
      <c r="AP96" s="329" t="n">
        <f aca="false" t="array" ref="AP96:AP96">IF(AND(AP$2&lt;&gt;0,TblTech[[#This Row],[Hour]:[Hour]]&gt;=AP$2),1,0)</f>
        <v>0</v>
      </c>
      <c r="AQ96" s="329" t="n">
        <f aca="false" t="array" ref="AQ96:AQ96">IF(AND(AQ$2&lt;&gt;0,TblTech[[#This Row],[Hour]:[Hour]]&gt;=AQ$2),1,0)</f>
        <v>0</v>
      </c>
      <c r="AR96" s="329" t="n">
        <f aca="false" t="array" ref="AR96:AR96">IF(AND(AR$2&lt;&gt;0,TblTech[[#This Row],[Hour]:[Hour]]&gt;=AR$2),1,0)</f>
        <v>0</v>
      </c>
      <c r="AS96" s="329" t="n">
        <f aca="false" t="array" ref="AS96:AS96">IF(AND(AS$2&lt;&gt;0,TblTech[[#This Row],[Hour]:[Hour]]&gt;=AS$2),1,0)</f>
        <v>0</v>
      </c>
      <c r="AT96" s="329" t="n">
        <f aca="false" t="array" ref="AT96:AT96">IF(AND(AT$2&lt;&gt;0,TblTech[[#This Row],[Hour]:[Hour]]&gt;=AT$2),1,0)</f>
        <v>0</v>
      </c>
      <c r="AU96" s="329" t="n">
        <f aca="false" t="array" ref="AU96:AU96">IF(AND(AU$2&lt;&gt;0,TblTech[[#This Row],[Hour]:[Hour]]&gt;=AU$2),1,0)</f>
        <v>0</v>
      </c>
      <c r="AV96" s="329" t="n">
        <f aca="false" t="array" ref="AV96:AV96">IF(AND(AV$2&lt;&gt;0,TblTech[[#This Row],[Hour]:[Hour]]&gt;=AV$2),1,0)</f>
        <v>0</v>
      </c>
      <c r="AW96" s="329" t="n">
        <f aca="false" t="array" ref="AW96:AW96">IF(AND(AW$2&lt;&gt;0,TblTech[[#This Row],[Hour]:[Hour]]&gt;=AW$2),1,0)</f>
        <v>0</v>
      </c>
      <c r="AX96" s="329" t="n">
        <f aca="false" t="array" ref="AX96:AX96">IF(AND(AX$2&lt;&gt;0,TblTech[[#This Row],[Hour]:[Hour]]&gt;=AX$2),1,0)</f>
        <v>0</v>
      </c>
      <c r="AY96" s="329" t="n">
        <f aca="false" t="array" ref="AY96:AY96">IF(AND(AY$2&lt;&gt;0,TblTech[[#This Row],[Hour]:[Hour]]&gt;=AY$2),1,0)</f>
        <v>0</v>
      </c>
      <c r="AZ96" s="329" t="n">
        <f aca="false" t="array" ref="AZ96:AZ96">IF(AND(AZ$2&lt;&gt;0,TblTech[[#This Row],[Hour]:[Hour]]&gt;=AZ$2),1,0)</f>
        <v>0</v>
      </c>
      <c r="BA96" s="329" t="n">
        <f aca="false" t="array" ref="BA96:BA96">IF(AND(BA$2&lt;&gt;0,TblTech[[#This Row],[Hour]:[Hour]]&gt;=BA$2),1,0)</f>
        <v>0</v>
      </c>
      <c r="BB96" s="329" t="n">
        <f aca="false" t="array" ref="BB96:BB96">IF(AND(BB$2&lt;&gt;0,TblTech[[#This Row],[Hour]:[Hour]]&gt;=BB$2),1,0)</f>
        <v>0</v>
      </c>
      <c r="BC96" s="329" t="n">
        <f aca="false" t="array" ref="BC96:BC96">IF(AND(BC$2&lt;&gt;0,TblTech[[#This Row],[Hour]:[Hour]]&gt;=BC$2),1,0)</f>
        <v>0</v>
      </c>
      <c r="BD96" s="329" t="n">
        <f aca="false" t="array" ref="BD96:BD96">IF(AND(BD$2&lt;&gt;0,TblTech[[#This Row],[Hour]:[Hour]]&gt;=BD$2),1,0)</f>
        <v>0</v>
      </c>
      <c r="BE96" s="329" t="n">
        <f aca="false" t="array" ref="BE96:BE96">IF(AND(BE$2&lt;&gt;0,TblTech[[#This Row],[Hour]:[Hour]]&gt;=BE$2),1,0)</f>
        <v>0</v>
      </c>
      <c r="BF96" s="329" t="n">
        <f aca="false" t="array" ref="BF96:BF96">IF(AND(BF$2&lt;&gt;0,TblTech[[#This Row],[Hour]:[Hour]]&gt;=BF$2),1,0)</f>
        <v>0</v>
      </c>
      <c r="BG96" s="329" t="n">
        <f aca="false" t="array" ref="BG96:BG96">IF(AND(BG$2&lt;&gt;0,TblTech[[#This Row],[Hour]:[Hour]]&gt;=BG$2),1,0)</f>
        <v>0</v>
      </c>
      <c r="BH96" s="329" t="n">
        <f aca="false" t="array" ref="BH96:BH96">IF(AND(BH$2&lt;&gt;0,TblTech[[#This Row],[Hour]:[Hour]]&gt;=BH$2),1,0)</f>
        <v>0</v>
      </c>
      <c r="BI96" s="329" t="n">
        <f aca="false" t="array" ref="BI96:BI96">IF(AND(BI$2&lt;&gt;0,TblTech[[#This Row],[Hour]:[Hour]]&gt;=BI$2),1,0)</f>
        <v>0</v>
      </c>
      <c r="BJ96" s="329" t="n">
        <f aca="false" t="array" ref="BJ96:BJ96">IF(AND(BJ$2&lt;&gt;0,TblTech[[#This Row],[Hour]:[Hour]]&gt;=BJ$2),1,0)</f>
        <v>0</v>
      </c>
      <c r="BK96" s="329" t="n">
        <f aca="false" t="array" ref="BK96:BK96">IF(AND(BK$2&lt;&gt;0,TblTech[[#This Row],[Hour]:[Hour]]&gt;=BK$2),1,0)</f>
        <v>0</v>
      </c>
      <c r="BL96" s="329" t="n">
        <f aca="false" t="array" ref="BL96:BL96">IF(AND(BL$2&lt;&gt;0,TblTech[[#This Row],[Hour]:[Hour]]&gt;=BL$2),1,0)</f>
        <v>0</v>
      </c>
      <c r="BM96" s="329" t="n">
        <f aca="false" t="array" ref="BM96:BM96">IF(AND(BM$2&lt;&gt;0,TblTech[[#This Row],[Hour]:[Hour]]&gt;=BM$2),1,0)</f>
        <v>0</v>
      </c>
      <c r="BN96" s="329" t="n">
        <f aca="false" t="array" ref="BN96:BN96">IF(AND(BN$2&lt;&gt;0,TblTech[[#This Row],[Hour]:[Hour]]&gt;=BN$2),1,0)</f>
        <v>0</v>
      </c>
      <c r="BO96" s="329" t="n">
        <f aca="false" t="array" ref="BO96:BO96">IF(AND(BO$2&lt;&gt;0,TblTech[[#This Row],[Hour]:[Hour]]&gt;=BO$2),1,0)</f>
        <v>0</v>
      </c>
      <c r="BP96" s="329" t="n">
        <f aca="false" t="array" ref="BP96:BP96">IF(AND(BP$2&lt;&gt;0,TblTech[[#This Row],[Hour]:[Hour]]&gt;=BP$2),1,0)</f>
        <v>0</v>
      </c>
      <c r="BQ96" s="329" t="n">
        <f aca="false" t="array" ref="BQ96:BQ96">IF(AND(BQ$2&lt;&gt;0,TblTech[[#This Row],[Hour]:[Hour]]&gt;=BQ$2),1,0)</f>
        <v>0</v>
      </c>
      <c r="BR96" s="329" t="n">
        <f aca="false" t="array" ref="BR96:BR96">IF(AND(BR$2&lt;&gt;0,TblTech[[#This Row],[Hour]:[Hour]]&gt;=BR$2),1,0)</f>
        <v>0</v>
      </c>
      <c r="BS96" s="329" t="n">
        <f aca="false" t="array" ref="BS96:BS96">IF(AND(BS$2&lt;&gt;0,TblTech[[#This Row],[Hour]:[Hour]]&gt;=BS$2),1,0)</f>
        <v>0</v>
      </c>
      <c r="BT96" s="329" t="n">
        <f aca="false" t="array" ref="BT96:BT96">IF(AND(BT$2&lt;&gt;0,TblTech[[#This Row],[Hour]:[Hour]]&gt;=BT$2),1,0)</f>
        <v>0</v>
      </c>
      <c r="BU96" s="329" t="n">
        <f aca="false" t="array" ref="BU96:BU96">IF(AND(BU$2&lt;&gt;0,TblTech[[#This Row],[Hour]:[Hour]]&gt;=BU$2),1,0)</f>
        <v>0</v>
      </c>
      <c r="BV96" s="329" t="n">
        <f aca="false" t="array" ref="BV96:BV96">IF(AND(BV$2&lt;&gt;0,TblTech[[#This Row],[Hour]:[Hour]]&gt;=BV$2),1,0)</f>
        <v>0</v>
      </c>
      <c r="BW96" s="329" t="n">
        <f aca="false" t="array" ref="BW96:BW96">IF(AND(BW$2&lt;&gt;0,TblTech[[#This Row],[Hour]:[Hour]]&gt;=BW$2),1,0)</f>
        <v>0</v>
      </c>
      <c r="BX96" s="329" t="n">
        <f aca="false" t="array" ref="BX96:BX96">IF(AND(BX$2&lt;&gt;0,TblTech[[#This Row],[Hour]:[Hour]]&gt;=BX$2),1,0)</f>
        <v>0</v>
      </c>
      <c r="BY96" s="329" t="n">
        <f aca="false" t="array" ref="BY96:BY96">IF(AND(BY$2&lt;&gt;0,TblTech[[#This Row],[Hour]:[Hour]]&gt;=BY$2),1,0)</f>
        <v>0</v>
      </c>
      <c r="BZ96" s="329" t="n">
        <f aca="false" t="array" ref="BZ96:BZ96">IF(AND(BZ$2&lt;&gt;0,TblTech[[#This Row],[Hour]:[Hour]]&gt;=BZ$2),1,0)</f>
        <v>0</v>
      </c>
      <c r="CA96" s="330" t="n">
        <f aca="false">IFERROR(INDEX($H$4:$H$79,MATCH(INDEX(TblTech[[#Headers],[1-1]:[11-1]],1,MATCH(TblTech[[#This Row],[Hour]],$M$2:$BZ$2,0)),$G$4:$G$79,0)),)</f>
        <v>0</v>
      </c>
    </row>
    <row r="97" customFormat="false" ht="12.75" hidden="false" customHeight="false" outlineLevel="0" collapsed="false">
      <c r="A97" s="321" t="n">
        <f aca="false">TblRezone[[#This Row],[Hour]]</f>
        <v>94</v>
      </c>
      <c r="B97" s="322" t="n">
        <f aca="false">TblExplore[[#This Row],[Land-DB]]</f>
        <v>700</v>
      </c>
      <c r="C97" s="323" t="n">
        <f aca="false">TblProd[[#This Row],[Techpoints]]</f>
        <v>1400</v>
      </c>
      <c r="D97" s="323" t="n">
        <f aca="false">TblProd[[#This Row],[Required]]</f>
        <v>3750</v>
      </c>
      <c r="E97" s="333"/>
      <c r="F97" s="334"/>
      <c r="G97" s="326"/>
      <c r="H97" s="327"/>
      <c r="I97" s="327"/>
      <c r="J97" s="327"/>
      <c r="K97" s="68" t="n">
        <f aca="false">IF(TblTech[[#This Row],[Sum of tech]]&lt;&gt;OFFSET(TblTech[[#This Row],[Sum of tech]],-1,0),1,0)</f>
        <v>0</v>
      </c>
      <c r="L97" s="328" t="n">
        <f aca="false">COUNTIF(TblTech[[#This Row],[1-1]:[11-1]],1)</f>
        <v>0</v>
      </c>
      <c r="M97" s="329" t="n">
        <f aca="false" t="array" ref="M97:M97">IF(AND(M$2&lt;&gt;0,TblTech[[#This Row],[Hour]:[Hour]]&gt;=M$2),1,0)</f>
        <v>0</v>
      </c>
      <c r="N97" s="329" t="n">
        <f aca="false" t="array" ref="N97:N97">IF(AND(N$2&lt;&gt;0,TblTech[[#This Row],[Hour]:[Hour]]&gt;=N$2),1,0)</f>
        <v>0</v>
      </c>
      <c r="O97" s="329" t="n">
        <f aca="false" t="array" ref="O97:O97">IF(AND(O$2&lt;&gt;0,TblTech[[#This Row],[Hour]:[Hour]]&gt;=O$2),1,0)</f>
        <v>0</v>
      </c>
      <c r="P97" s="329" t="n">
        <f aca="false" t="array" ref="P97:P97">IF(AND(P$2&lt;&gt;0,TblTech[[#This Row],[Hour]:[Hour]]&gt;=P$2),1,0)</f>
        <v>0</v>
      </c>
      <c r="Q97" s="329" t="n">
        <f aca="false" t="array" ref="Q97:Q97">IF(AND(Q$2&lt;&gt;0,TblTech[[#This Row],[Hour]:[Hour]]&gt;=Q$2),1,0)</f>
        <v>0</v>
      </c>
      <c r="R97" s="329" t="n">
        <f aca="false" t="array" ref="R97:R97">IF(AND(R$2&lt;&gt;0,TblTech[[#This Row],[Hour]:[Hour]]&gt;=R$2),1,0)</f>
        <v>0</v>
      </c>
      <c r="S97" s="329" t="n">
        <f aca="false" t="array" ref="S97:S97">IF(AND(S$2&lt;&gt;0,TblTech[[#This Row],[Hour]:[Hour]]&gt;=S$2),1,0)</f>
        <v>0</v>
      </c>
      <c r="T97" s="329" t="n">
        <f aca="false" t="array" ref="T97:T97">IF(AND(T$2&lt;&gt;0,TblTech[[#This Row],[Hour]:[Hour]]&gt;=T$2),1,0)</f>
        <v>0</v>
      </c>
      <c r="U97" s="329" t="n">
        <f aca="false" t="array" ref="U97:U97">IF(AND(U$2&lt;&gt;0,TblTech[[#This Row],[Hour]:[Hour]]&gt;=U$2),1,0)</f>
        <v>0</v>
      </c>
      <c r="V97" s="329" t="n">
        <f aca="false" t="array" ref="V97:V97">IF(AND(V$2&lt;&gt;0,TblTech[[#This Row],[Hour]:[Hour]]&gt;=V$2),1,0)</f>
        <v>0</v>
      </c>
      <c r="W97" s="329" t="n">
        <f aca="false" t="array" ref="W97:W97">IF(AND(W$2&lt;&gt;0,TblTech[[#This Row],[Hour]:[Hour]]&gt;=W$2),1,0)</f>
        <v>0</v>
      </c>
      <c r="X97" s="329" t="n">
        <f aca="false" t="array" ref="X97:X97">IF(AND(X$2&lt;&gt;0,TblTech[[#This Row],[Hour]:[Hour]]&gt;=X$2),1,0)</f>
        <v>0</v>
      </c>
      <c r="Y97" s="329" t="n">
        <f aca="false" t="array" ref="Y97:Y97">IF(AND(Y$2&lt;&gt;0,TblTech[[#This Row],[Hour]:[Hour]]&gt;=Y$2),1,0)</f>
        <v>0</v>
      </c>
      <c r="Z97" s="329" t="n">
        <f aca="false" t="array" ref="Z97:Z97">IF(AND(Z$2&lt;&gt;0,TblTech[[#This Row],[Hour]:[Hour]]&gt;=Z$2),1,0)</f>
        <v>0</v>
      </c>
      <c r="AA97" s="329" t="n">
        <f aca="false" t="array" ref="AA97:AA97">IF(AND(AA$2&lt;&gt;0,TblTech[[#This Row],[Hour]:[Hour]]&gt;=AA$2),1,0)</f>
        <v>0</v>
      </c>
      <c r="AB97" s="329" t="n">
        <f aca="false" t="array" ref="AB97:AB97">IF(AND(AB$2&lt;&gt;0,TblTech[[#This Row],[Hour]:[Hour]]&gt;=AB$2),1,0)</f>
        <v>0</v>
      </c>
      <c r="AC97" s="329" t="n">
        <f aca="false" t="array" ref="AC97:AC97">IF(AND(AC$2&lt;&gt;0,TblTech[[#This Row],[Hour]:[Hour]]&gt;=AC$2),1,0)</f>
        <v>0</v>
      </c>
      <c r="AD97" s="329" t="n">
        <f aca="false" t="array" ref="AD97:AD97">IF(AND(AD$2&lt;&gt;0,TblTech[[#This Row],[Hour]:[Hour]]&gt;=AD$2),1,0)</f>
        <v>0</v>
      </c>
      <c r="AE97" s="329" t="n">
        <f aca="false" t="array" ref="AE97:AE97">IF(AND(AE$2&lt;&gt;0,TblTech[[#This Row],[Hour]:[Hour]]&gt;=AE$2),1,0)</f>
        <v>0</v>
      </c>
      <c r="AF97" s="329" t="n">
        <f aca="false" t="array" ref="AF97:AF97">IF(AND(AF$2&lt;&gt;0,TblTech[[#This Row],[Hour]:[Hour]]&gt;=AF$2),1,0)</f>
        <v>0</v>
      </c>
      <c r="AG97" s="329" t="n">
        <f aca="false" t="array" ref="AG97:AG97">IF(AND(AG$2&lt;&gt;0,TblTech[[#This Row],[Hour]:[Hour]]&gt;=AG$2),1,0)</f>
        <v>0</v>
      </c>
      <c r="AH97" s="329" t="n">
        <f aca="false" t="array" ref="AH97:AH97">IF(AND(AH$2&lt;&gt;0,TblTech[[#This Row],[Hour]:[Hour]]&gt;=AH$2),1,0)</f>
        <v>0</v>
      </c>
      <c r="AI97" s="329" t="n">
        <f aca="false" t="array" ref="AI97:AI97">IF(AND(AI$2&lt;&gt;0,TblTech[[#This Row],[Hour]:[Hour]]&gt;=AI$2),1,0)</f>
        <v>0</v>
      </c>
      <c r="AJ97" s="329" t="n">
        <f aca="false" t="array" ref="AJ97:AJ97">IF(AND(AJ$2&lt;&gt;0,TblTech[[#This Row],[Hour]:[Hour]]&gt;=AJ$2),1,0)</f>
        <v>0</v>
      </c>
      <c r="AK97" s="329" t="n">
        <f aca="false" t="array" ref="AK97:AK97">IF(AND(AK$2&lt;&gt;0,TblTech[[#This Row],[Hour]:[Hour]]&gt;=AK$2),1,0)</f>
        <v>0</v>
      </c>
      <c r="AL97" s="329" t="n">
        <f aca="false" t="array" ref="AL97:AL97">IF(AND(AL$2&lt;&gt;0,TblTech[[#This Row],[Hour]:[Hour]]&gt;=AL$2),1,0)</f>
        <v>0</v>
      </c>
      <c r="AM97" s="329" t="n">
        <f aca="false" t="array" ref="AM97:AM97">IF(AND(AM$2&lt;&gt;0,TblTech[[#This Row],[Hour]:[Hour]]&gt;=AM$2),1,0)</f>
        <v>0</v>
      </c>
      <c r="AN97" s="329" t="n">
        <f aca="false" t="array" ref="AN97:AN97">IF(AND(AN$2&lt;&gt;0,TblTech[[#This Row],[Hour]:[Hour]]&gt;=AN$2),1,0)</f>
        <v>0</v>
      </c>
      <c r="AO97" s="329" t="n">
        <f aca="false" t="array" ref="AO97:AO97">IF(AND(AO$2&lt;&gt;0,TblTech[[#This Row],[Hour]:[Hour]]&gt;=AO$2),1,0)</f>
        <v>0</v>
      </c>
      <c r="AP97" s="329" t="n">
        <f aca="false" t="array" ref="AP97:AP97">IF(AND(AP$2&lt;&gt;0,TblTech[[#This Row],[Hour]:[Hour]]&gt;=AP$2),1,0)</f>
        <v>0</v>
      </c>
      <c r="AQ97" s="329" t="n">
        <f aca="false" t="array" ref="AQ97:AQ97">IF(AND(AQ$2&lt;&gt;0,TblTech[[#This Row],[Hour]:[Hour]]&gt;=AQ$2),1,0)</f>
        <v>0</v>
      </c>
      <c r="AR97" s="329" t="n">
        <f aca="false" t="array" ref="AR97:AR97">IF(AND(AR$2&lt;&gt;0,TblTech[[#This Row],[Hour]:[Hour]]&gt;=AR$2),1,0)</f>
        <v>0</v>
      </c>
      <c r="AS97" s="329" t="n">
        <f aca="false" t="array" ref="AS97:AS97">IF(AND(AS$2&lt;&gt;0,TblTech[[#This Row],[Hour]:[Hour]]&gt;=AS$2),1,0)</f>
        <v>0</v>
      </c>
      <c r="AT97" s="329" t="n">
        <f aca="false" t="array" ref="AT97:AT97">IF(AND(AT$2&lt;&gt;0,TblTech[[#This Row],[Hour]:[Hour]]&gt;=AT$2),1,0)</f>
        <v>0</v>
      </c>
      <c r="AU97" s="329" t="n">
        <f aca="false" t="array" ref="AU97:AU97">IF(AND(AU$2&lt;&gt;0,TblTech[[#This Row],[Hour]:[Hour]]&gt;=AU$2),1,0)</f>
        <v>0</v>
      </c>
      <c r="AV97" s="329" t="n">
        <f aca="false" t="array" ref="AV97:AV97">IF(AND(AV$2&lt;&gt;0,TblTech[[#This Row],[Hour]:[Hour]]&gt;=AV$2),1,0)</f>
        <v>0</v>
      </c>
      <c r="AW97" s="329" t="n">
        <f aca="false" t="array" ref="AW97:AW97">IF(AND(AW$2&lt;&gt;0,TblTech[[#This Row],[Hour]:[Hour]]&gt;=AW$2),1,0)</f>
        <v>0</v>
      </c>
      <c r="AX97" s="329" t="n">
        <f aca="false" t="array" ref="AX97:AX97">IF(AND(AX$2&lt;&gt;0,TblTech[[#This Row],[Hour]:[Hour]]&gt;=AX$2),1,0)</f>
        <v>0</v>
      </c>
      <c r="AY97" s="329" t="n">
        <f aca="false" t="array" ref="AY97:AY97">IF(AND(AY$2&lt;&gt;0,TblTech[[#This Row],[Hour]:[Hour]]&gt;=AY$2),1,0)</f>
        <v>0</v>
      </c>
      <c r="AZ97" s="329" t="n">
        <f aca="false" t="array" ref="AZ97:AZ97">IF(AND(AZ$2&lt;&gt;0,TblTech[[#This Row],[Hour]:[Hour]]&gt;=AZ$2),1,0)</f>
        <v>0</v>
      </c>
      <c r="BA97" s="329" t="n">
        <f aca="false" t="array" ref="BA97:BA97">IF(AND(BA$2&lt;&gt;0,TblTech[[#This Row],[Hour]:[Hour]]&gt;=BA$2),1,0)</f>
        <v>0</v>
      </c>
      <c r="BB97" s="329" t="n">
        <f aca="false" t="array" ref="BB97:BB97">IF(AND(BB$2&lt;&gt;0,TblTech[[#This Row],[Hour]:[Hour]]&gt;=BB$2),1,0)</f>
        <v>0</v>
      </c>
      <c r="BC97" s="329" t="n">
        <f aca="false" t="array" ref="BC97:BC97">IF(AND(BC$2&lt;&gt;0,TblTech[[#This Row],[Hour]:[Hour]]&gt;=BC$2),1,0)</f>
        <v>0</v>
      </c>
      <c r="BD97" s="329" t="n">
        <f aca="false" t="array" ref="BD97:BD97">IF(AND(BD$2&lt;&gt;0,TblTech[[#This Row],[Hour]:[Hour]]&gt;=BD$2),1,0)</f>
        <v>0</v>
      </c>
      <c r="BE97" s="329" t="n">
        <f aca="false" t="array" ref="BE97:BE97">IF(AND(BE$2&lt;&gt;0,TblTech[[#This Row],[Hour]:[Hour]]&gt;=BE$2),1,0)</f>
        <v>0</v>
      </c>
      <c r="BF97" s="329" t="n">
        <f aca="false" t="array" ref="BF97:BF97">IF(AND(BF$2&lt;&gt;0,TblTech[[#This Row],[Hour]:[Hour]]&gt;=BF$2),1,0)</f>
        <v>0</v>
      </c>
      <c r="BG97" s="329" t="n">
        <f aca="false" t="array" ref="BG97:BG97">IF(AND(BG$2&lt;&gt;0,TblTech[[#This Row],[Hour]:[Hour]]&gt;=BG$2),1,0)</f>
        <v>0</v>
      </c>
      <c r="BH97" s="329" t="n">
        <f aca="false" t="array" ref="BH97:BH97">IF(AND(BH$2&lt;&gt;0,TblTech[[#This Row],[Hour]:[Hour]]&gt;=BH$2),1,0)</f>
        <v>0</v>
      </c>
      <c r="BI97" s="329" t="n">
        <f aca="false" t="array" ref="BI97:BI97">IF(AND(BI$2&lt;&gt;0,TblTech[[#This Row],[Hour]:[Hour]]&gt;=BI$2),1,0)</f>
        <v>0</v>
      </c>
      <c r="BJ97" s="329" t="n">
        <f aca="false" t="array" ref="BJ97:BJ97">IF(AND(BJ$2&lt;&gt;0,TblTech[[#This Row],[Hour]:[Hour]]&gt;=BJ$2),1,0)</f>
        <v>0</v>
      </c>
      <c r="BK97" s="329" t="n">
        <f aca="false" t="array" ref="BK97:BK97">IF(AND(BK$2&lt;&gt;0,TblTech[[#This Row],[Hour]:[Hour]]&gt;=BK$2),1,0)</f>
        <v>0</v>
      </c>
      <c r="BL97" s="329" t="n">
        <f aca="false" t="array" ref="BL97:BL97">IF(AND(BL$2&lt;&gt;0,TblTech[[#This Row],[Hour]:[Hour]]&gt;=BL$2),1,0)</f>
        <v>0</v>
      </c>
      <c r="BM97" s="329" t="n">
        <f aca="false" t="array" ref="BM97:BM97">IF(AND(BM$2&lt;&gt;0,TblTech[[#This Row],[Hour]:[Hour]]&gt;=BM$2),1,0)</f>
        <v>0</v>
      </c>
      <c r="BN97" s="329" t="n">
        <f aca="false" t="array" ref="BN97:BN97">IF(AND(BN$2&lt;&gt;0,TblTech[[#This Row],[Hour]:[Hour]]&gt;=BN$2),1,0)</f>
        <v>0</v>
      </c>
      <c r="BO97" s="329" t="n">
        <f aca="false" t="array" ref="BO97:BO97">IF(AND(BO$2&lt;&gt;0,TblTech[[#This Row],[Hour]:[Hour]]&gt;=BO$2),1,0)</f>
        <v>0</v>
      </c>
      <c r="BP97" s="329" t="n">
        <f aca="false" t="array" ref="BP97:BP97">IF(AND(BP$2&lt;&gt;0,TblTech[[#This Row],[Hour]:[Hour]]&gt;=BP$2),1,0)</f>
        <v>0</v>
      </c>
      <c r="BQ97" s="329" t="n">
        <f aca="false" t="array" ref="BQ97:BQ97">IF(AND(BQ$2&lt;&gt;0,TblTech[[#This Row],[Hour]:[Hour]]&gt;=BQ$2),1,0)</f>
        <v>0</v>
      </c>
      <c r="BR97" s="329" t="n">
        <f aca="false" t="array" ref="BR97:BR97">IF(AND(BR$2&lt;&gt;0,TblTech[[#This Row],[Hour]:[Hour]]&gt;=BR$2),1,0)</f>
        <v>0</v>
      </c>
      <c r="BS97" s="329" t="n">
        <f aca="false" t="array" ref="BS97:BS97">IF(AND(BS$2&lt;&gt;0,TblTech[[#This Row],[Hour]:[Hour]]&gt;=BS$2),1,0)</f>
        <v>0</v>
      </c>
      <c r="BT97" s="329" t="n">
        <f aca="false" t="array" ref="BT97:BT97">IF(AND(BT$2&lt;&gt;0,TblTech[[#This Row],[Hour]:[Hour]]&gt;=BT$2),1,0)</f>
        <v>0</v>
      </c>
      <c r="BU97" s="329" t="n">
        <f aca="false" t="array" ref="BU97:BU97">IF(AND(BU$2&lt;&gt;0,TblTech[[#This Row],[Hour]:[Hour]]&gt;=BU$2),1,0)</f>
        <v>0</v>
      </c>
      <c r="BV97" s="329" t="n">
        <f aca="false" t="array" ref="BV97:BV97">IF(AND(BV$2&lt;&gt;0,TblTech[[#This Row],[Hour]:[Hour]]&gt;=BV$2),1,0)</f>
        <v>0</v>
      </c>
      <c r="BW97" s="329" t="n">
        <f aca="false" t="array" ref="BW97:BW97">IF(AND(BW$2&lt;&gt;0,TblTech[[#This Row],[Hour]:[Hour]]&gt;=BW$2),1,0)</f>
        <v>0</v>
      </c>
      <c r="BX97" s="329" t="n">
        <f aca="false" t="array" ref="BX97:BX97">IF(AND(BX$2&lt;&gt;0,TblTech[[#This Row],[Hour]:[Hour]]&gt;=BX$2),1,0)</f>
        <v>0</v>
      </c>
      <c r="BY97" s="329" t="n">
        <f aca="false" t="array" ref="BY97:BY97">IF(AND(BY$2&lt;&gt;0,TblTech[[#This Row],[Hour]:[Hour]]&gt;=BY$2),1,0)</f>
        <v>0</v>
      </c>
      <c r="BZ97" s="329" t="n">
        <f aca="false" t="array" ref="BZ97:BZ97">IF(AND(BZ$2&lt;&gt;0,TblTech[[#This Row],[Hour]:[Hour]]&gt;=BZ$2),1,0)</f>
        <v>0</v>
      </c>
      <c r="CA97" s="330" t="n">
        <f aca="false">IFERROR(INDEX($H$4:$H$79,MATCH(INDEX(TblTech[[#Headers],[1-1]:[11-1]],1,MATCH(TblTech[[#This Row],[Hour]],$M$2:$BZ$2,0)),$G$4:$G$79,0)),)</f>
        <v>0</v>
      </c>
    </row>
    <row r="98" customFormat="false" ht="12.75" hidden="false" customHeight="false" outlineLevel="0" collapsed="false">
      <c r="A98" s="321" t="n">
        <f aca="false">TblRezone[[#This Row],[Hour]]</f>
        <v>95</v>
      </c>
      <c r="B98" s="322" t="n">
        <f aca="false">TblExplore[[#This Row],[Land-DB]]</f>
        <v>700</v>
      </c>
      <c r="C98" s="323" t="n">
        <f aca="false">TblProd[[#This Row],[Techpoints]]</f>
        <v>1400</v>
      </c>
      <c r="D98" s="323" t="n">
        <f aca="false">TblProd[[#This Row],[Required]]</f>
        <v>3750</v>
      </c>
      <c r="E98" s="333"/>
      <c r="F98" s="334"/>
      <c r="G98" s="326"/>
      <c r="H98" s="327"/>
      <c r="I98" s="327"/>
      <c r="J98" s="327"/>
      <c r="K98" s="68" t="n">
        <f aca="false">IF(TblTech[[#This Row],[Sum of tech]]&lt;&gt;OFFSET(TblTech[[#This Row],[Sum of tech]],-1,0),1,0)</f>
        <v>0</v>
      </c>
      <c r="L98" s="328" t="n">
        <f aca="false">COUNTIF(TblTech[[#This Row],[1-1]:[11-1]],1)</f>
        <v>0</v>
      </c>
      <c r="M98" s="329" t="n">
        <f aca="false" t="array" ref="M98:M98">IF(AND(M$2&lt;&gt;0,TblTech[[#This Row],[Hour]:[Hour]]&gt;=M$2),1,0)</f>
        <v>0</v>
      </c>
      <c r="N98" s="329" t="n">
        <f aca="false" t="array" ref="N98:N98">IF(AND(N$2&lt;&gt;0,TblTech[[#This Row],[Hour]:[Hour]]&gt;=N$2),1,0)</f>
        <v>0</v>
      </c>
      <c r="O98" s="329" t="n">
        <f aca="false" t="array" ref="O98:O98">IF(AND(O$2&lt;&gt;0,TblTech[[#This Row],[Hour]:[Hour]]&gt;=O$2),1,0)</f>
        <v>0</v>
      </c>
      <c r="P98" s="329" t="n">
        <f aca="false" t="array" ref="P98:P98">IF(AND(P$2&lt;&gt;0,TblTech[[#This Row],[Hour]:[Hour]]&gt;=P$2),1,0)</f>
        <v>0</v>
      </c>
      <c r="Q98" s="329" t="n">
        <f aca="false" t="array" ref="Q98:Q98">IF(AND(Q$2&lt;&gt;0,TblTech[[#This Row],[Hour]:[Hour]]&gt;=Q$2),1,0)</f>
        <v>0</v>
      </c>
      <c r="R98" s="329" t="n">
        <f aca="false" t="array" ref="R98:R98">IF(AND(R$2&lt;&gt;0,TblTech[[#This Row],[Hour]:[Hour]]&gt;=R$2),1,0)</f>
        <v>0</v>
      </c>
      <c r="S98" s="329" t="n">
        <f aca="false" t="array" ref="S98:S98">IF(AND(S$2&lt;&gt;0,TblTech[[#This Row],[Hour]:[Hour]]&gt;=S$2),1,0)</f>
        <v>0</v>
      </c>
      <c r="T98" s="329" t="n">
        <f aca="false" t="array" ref="T98:T98">IF(AND(T$2&lt;&gt;0,TblTech[[#This Row],[Hour]:[Hour]]&gt;=T$2),1,0)</f>
        <v>0</v>
      </c>
      <c r="U98" s="329" t="n">
        <f aca="false" t="array" ref="U98:U98">IF(AND(U$2&lt;&gt;0,TblTech[[#This Row],[Hour]:[Hour]]&gt;=U$2),1,0)</f>
        <v>0</v>
      </c>
      <c r="V98" s="329" t="n">
        <f aca="false" t="array" ref="V98:V98">IF(AND(V$2&lt;&gt;0,TblTech[[#This Row],[Hour]:[Hour]]&gt;=V$2),1,0)</f>
        <v>0</v>
      </c>
      <c r="W98" s="329" t="n">
        <f aca="false" t="array" ref="W98:W98">IF(AND(W$2&lt;&gt;0,TblTech[[#This Row],[Hour]:[Hour]]&gt;=W$2),1,0)</f>
        <v>0</v>
      </c>
      <c r="X98" s="329" t="n">
        <f aca="false" t="array" ref="X98:X98">IF(AND(X$2&lt;&gt;0,TblTech[[#This Row],[Hour]:[Hour]]&gt;=X$2),1,0)</f>
        <v>0</v>
      </c>
      <c r="Y98" s="329" t="n">
        <f aca="false" t="array" ref="Y98:Y98">IF(AND(Y$2&lt;&gt;0,TblTech[[#This Row],[Hour]:[Hour]]&gt;=Y$2),1,0)</f>
        <v>0</v>
      </c>
      <c r="Z98" s="329" t="n">
        <f aca="false" t="array" ref="Z98:Z98">IF(AND(Z$2&lt;&gt;0,TblTech[[#This Row],[Hour]:[Hour]]&gt;=Z$2),1,0)</f>
        <v>0</v>
      </c>
      <c r="AA98" s="329" t="n">
        <f aca="false" t="array" ref="AA98:AA98">IF(AND(AA$2&lt;&gt;0,TblTech[[#This Row],[Hour]:[Hour]]&gt;=AA$2),1,0)</f>
        <v>0</v>
      </c>
      <c r="AB98" s="329" t="n">
        <f aca="false" t="array" ref="AB98:AB98">IF(AND(AB$2&lt;&gt;0,TblTech[[#This Row],[Hour]:[Hour]]&gt;=AB$2),1,0)</f>
        <v>0</v>
      </c>
      <c r="AC98" s="329" t="n">
        <f aca="false" t="array" ref="AC98:AC98">IF(AND(AC$2&lt;&gt;0,TblTech[[#This Row],[Hour]:[Hour]]&gt;=AC$2),1,0)</f>
        <v>0</v>
      </c>
      <c r="AD98" s="329" t="n">
        <f aca="false" t="array" ref="AD98:AD98">IF(AND(AD$2&lt;&gt;0,TblTech[[#This Row],[Hour]:[Hour]]&gt;=AD$2),1,0)</f>
        <v>0</v>
      </c>
      <c r="AE98" s="329" t="n">
        <f aca="false" t="array" ref="AE98:AE98">IF(AND(AE$2&lt;&gt;0,TblTech[[#This Row],[Hour]:[Hour]]&gt;=AE$2),1,0)</f>
        <v>0</v>
      </c>
      <c r="AF98" s="329" t="n">
        <f aca="false" t="array" ref="AF98:AF98">IF(AND(AF$2&lt;&gt;0,TblTech[[#This Row],[Hour]:[Hour]]&gt;=AF$2),1,0)</f>
        <v>0</v>
      </c>
      <c r="AG98" s="329" t="n">
        <f aca="false" t="array" ref="AG98:AG98">IF(AND(AG$2&lt;&gt;0,TblTech[[#This Row],[Hour]:[Hour]]&gt;=AG$2),1,0)</f>
        <v>0</v>
      </c>
      <c r="AH98" s="329" t="n">
        <f aca="false" t="array" ref="AH98:AH98">IF(AND(AH$2&lt;&gt;0,TblTech[[#This Row],[Hour]:[Hour]]&gt;=AH$2),1,0)</f>
        <v>0</v>
      </c>
      <c r="AI98" s="329" t="n">
        <f aca="false" t="array" ref="AI98:AI98">IF(AND(AI$2&lt;&gt;0,TblTech[[#This Row],[Hour]:[Hour]]&gt;=AI$2),1,0)</f>
        <v>0</v>
      </c>
      <c r="AJ98" s="329" t="n">
        <f aca="false" t="array" ref="AJ98:AJ98">IF(AND(AJ$2&lt;&gt;0,TblTech[[#This Row],[Hour]:[Hour]]&gt;=AJ$2),1,0)</f>
        <v>0</v>
      </c>
      <c r="AK98" s="329" t="n">
        <f aca="false" t="array" ref="AK98:AK98">IF(AND(AK$2&lt;&gt;0,TblTech[[#This Row],[Hour]:[Hour]]&gt;=AK$2),1,0)</f>
        <v>0</v>
      </c>
      <c r="AL98" s="329" t="n">
        <f aca="false" t="array" ref="AL98:AL98">IF(AND(AL$2&lt;&gt;0,TblTech[[#This Row],[Hour]:[Hour]]&gt;=AL$2),1,0)</f>
        <v>0</v>
      </c>
      <c r="AM98" s="329" t="n">
        <f aca="false" t="array" ref="AM98:AM98">IF(AND(AM$2&lt;&gt;0,TblTech[[#This Row],[Hour]:[Hour]]&gt;=AM$2),1,0)</f>
        <v>0</v>
      </c>
      <c r="AN98" s="329" t="n">
        <f aca="false" t="array" ref="AN98:AN98">IF(AND(AN$2&lt;&gt;0,TblTech[[#This Row],[Hour]:[Hour]]&gt;=AN$2),1,0)</f>
        <v>0</v>
      </c>
      <c r="AO98" s="329" t="n">
        <f aca="false" t="array" ref="AO98:AO98">IF(AND(AO$2&lt;&gt;0,TblTech[[#This Row],[Hour]:[Hour]]&gt;=AO$2),1,0)</f>
        <v>0</v>
      </c>
      <c r="AP98" s="329" t="n">
        <f aca="false" t="array" ref="AP98:AP98">IF(AND(AP$2&lt;&gt;0,TblTech[[#This Row],[Hour]:[Hour]]&gt;=AP$2),1,0)</f>
        <v>0</v>
      </c>
      <c r="AQ98" s="329" t="n">
        <f aca="false" t="array" ref="AQ98:AQ98">IF(AND(AQ$2&lt;&gt;0,TblTech[[#This Row],[Hour]:[Hour]]&gt;=AQ$2),1,0)</f>
        <v>0</v>
      </c>
      <c r="AR98" s="329" t="n">
        <f aca="false" t="array" ref="AR98:AR98">IF(AND(AR$2&lt;&gt;0,TblTech[[#This Row],[Hour]:[Hour]]&gt;=AR$2),1,0)</f>
        <v>0</v>
      </c>
      <c r="AS98" s="329" t="n">
        <f aca="false" t="array" ref="AS98:AS98">IF(AND(AS$2&lt;&gt;0,TblTech[[#This Row],[Hour]:[Hour]]&gt;=AS$2),1,0)</f>
        <v>0</v>
      </c>
      <c r="AT98" s="329" t="n">
        <f aca="false" t="array" ref="AT98:AT98">IF(AND(AT$2&lt;&gt;0,TblTech[[#This Row],[Hour]:[Hour]]&gt;=AT$2),1,0)</f>
        <v>0</v>
      </c>
      <c r="AU98" s="329" t="n">
        <f aca="false" t="array" ref="AU98:AU98">IF(AND(AU$2&lt;&gt;0,TblTech[[#This Row],[Hour]:[Hour]]&gt;=AU$2),1,0)</f>
        <v>0</v>
      </c>
      <c r="AV98" s="329" t="n">
        <f aca="false" t="array" ref="AV98:AV98">IF(AND(AV$2&lt;&gt;0,TblTech[[#This Row],[Hour]:[Hour]]&gt;=AV$2),1,0)</f>
        <v>0</v>
      </c>
      <c r="AW98" s="329" t="n">
        <f aca="false" t="array" ref="AW98:AW98">IF(AND(AW$2&lt;&gt;0,TblTech[[#This Row],[Hour]:[Hour]]&gt;=AW$2),1,0)</f>
        <v>0</v>
      </c>
      <c r="AX98" s="329" t="n">
        <f aca="false" t="array" ref="AX98:AX98">IF(AND(AX$2&lt;&gt;0,TblTech[[#This Row],[Hour]:[Hour]]&gt;=AX$2),1,0)</f>
        <v>0</v>
      </c>
      <c r="AY98" s="329" t="n">
        <f aca="false" t="array" ref="AY98:AY98">IF(AND(AY$2&lt;&gt;0,TblTech[[#This Row],[Hour]:[Hour]]&gt;=AY$2),1,0)</f>
        <v>0</v>
      </c>
      <c r="AZ98" s="329" t="n">
        <f aca="false" t="array" ref="AZ98:AZ98">IF(AND(AZ$2&lt;&gt;0,TblTech[[#This Row],[Hour]:[Hour]]&gt;=AZ$2),1,0)</f>
        <v>0</v>
      </c>
      <c r="BA98" s="329" t="n">
        <f aca="false" t="array" ref="BA98:BA98">IF(AND(BA$2&lt;&gt;0,TblTech[[#This Row],[Hour]:[Hour]]&gt;=BA$2),1,0)</f>
        <v>0</v>
      </c>
      <c r="BB98" s="329" t="n">
        <f aca="false" t="array" ref="BB98:BB98">IF(AND(BB$2&lt;&gt;0,TblTech[[#This Row],[Hour]:[Hour]]&gt;=BB$2),1,0)</f>
        <v>0</v>
      </c>
      <c r="BC98" s="329" t="n">
        <f aca="false" t="array" ref="BC98:BC98">IF(AND(BC$2&lt;&gt;0,TblTech[[#This Row],[Hour]:[Hour]]&gt;=BC$2),1,0)</f>
        <v>0</v>
      </c>
      <c r="BD98" s="329" t="n">
        <f aca="false" t="array" ref="BD98:BD98">IF(AND(BD$2&lt;&gt;0,TblTech[[#This Row],[Hour]:[Hour]]&gt;=BD$2),1,0)</f>
        <v>0</v>
      </c>
      <c r="BE98" s="329" t="n">
        <f aca="false" t="array" ref="BE98:BE98">IF(AND(BE$2&lt;&gt;0,TblTech[[#This Row],[Hour]:[Hour]]&gt;=BE$2),1,0)</f>
        <v>0</v>
      </c>
      <c r="BF98" s="329" t="n">
        <f aca="false" t="array" ref="BF98:BF98">IF(AND(BF$2&lt;&gt;0,TblTech[[#This Row],[Hour]:[Hour]]&gt;=BF$2),1,0)</f>
        <v>0</v>
      </c>
      <c r="BG98" s="329" t="n">
        <f aca="false" t="array" ref="BG98:BG98">IF(AND(BG$2&lt;&gt;0,TblTech[[#This Row],[Hour]:[Hour]]&gt;=BG$2),1,0)</f>
        <v>0</v>
      </c>
      <c r="BH98" s="329" t="n">
        <f aca="false" t="array" ref="BH98:BH98">IF(AND(BH$2&lt;&gt;0,TblTech[[#This Row],[Hour]:[Hour]]&gt;=BH$2),1,0)</f>
        <v>0</v>
      </c>
      <c r="BI98" s="329" t="n">
        <f aca="false" t="array" ref="BI98:BI98">IF(AND(BI$2&lt;&gt;0,TblTech[[#This Row],[Hour]:[Hour]]&gt;=BI$2),1,0)</f>
        <v>0</v>
      </c>
      <c r="BJ98" s="329" t="n">
        <f aca="false" t="array" ref="BJ98:BJ98">IF(AND(BJ$2&lt;&gt;0,TblTech[[#This Row],[Hour]:[Hour]]&gt;=BJ$2),1,0)</f>
        <v>0</v>
      </c>
      <c r="BK98" s="329" t="n">
        <f aca="false" t="array" ref="BK98:BK98">IF(AND(BK$2&lt;&gt;0,TblTech[[#This Row],[Hour]:[Hour]]&gt;=BK$2),1,0)</f>
        <v>0</v>
      </c>
      <c r="BL98" s="329" t="n">
        <f aca="false" t="array" ref="BL98:BL98">IF(AND(BL$2&lt;&gt;0,TblTech[[#This Row],[Hour]:[Hour]]&gt;=BL$2),1,0)</f>
        <v>0</v>
      </c>
      <c r="BM98" s="329" t="n">
        <f aca="false" t="array" ref="BM98:BM98">IF(AND(BM$2&lt;&gt;0,TblTech[[#This Row],[Hour]:[Hour]]&gt;=BM$2),1,0)</f>
        <v>0</v>
      </c>
      <c r="BN98" s="329" t="n">
        <f aca="false" t="array" ref="BN98:BN98">IF(AND(BN$2&lt;&gt;0,TblTech[[#This Row],[Hour]:[Hour]]&gt;=BN$2),1,0)</f>
        <v>0</v>
      </c>
      <c r="BO98" s="329" t="n">
        <f aca="false" t="array" ref="BO98:BO98">IF(AND(BO$2&lt;&gt;0,TblTech[[#This Row],[Hour]:[Hour]]&gt;=BO$2),1,0)</f>
        <v>0</v>
      </c>
      <c r="BP98" s="329" t="n">
        <f aca="false" t="array" ref="BP98:BP98">IF(AND(BP$2&lt;&gt;0,TblTech[[#This Row],[Hour]:[Hour]]&gt;=BP$2),1,0)</f>
        <v>0</v>
      </c>
      <c r="BQ98" s="329" t="n">
        <f aca="false" t="array" ref="BQ98:BQ98">IF(AND(BQ$2&lt;&gt;0,TblTech[[#This Row],[Hour]:[Hour]]&gt;=BQ$2),1,0)</f>
        <v>0</v>
      </c>
      <c r="BR98" s="329" t="n">
        <f aca="false" t="array" ref="BR98:BR98">IF(AND(BR$2&lt;&gt;0,TblTech[[#This Row],[Hour]:[Hour]]&gt;=BR$2),1,0)</f>
        <v>0</v>
      </c>
      <c r="BS98" s="329" t="n">
        <f aca="false" t="array" ref="BS98:BS98">IF(AND(BS$2&lt;&gt;0,TblTech[[#This Row],[Hour]:[Hour]]&gt;=BS$2),1,0)</f>
        <v>0</v>
      </c>
      <c r="BT98" s="329" t="n">
        <f aca="false" t="array" ref="BT98:BT98">IF(AND(BT$2&lt;&gt;0,TblTech[[#This Row],[Hour]:[Hour]]&gt;=BT$2),1,0)</f>
        <v>0</v>
      </c>
      <c r="BU98" s="329" t="n">
        <f aca="false" t="array" ref="BU98:BU98">IF(AND(BU$2&lt;&gt;0,TblTech[[#This Row],[Hour]:[Hour]]&gt;=BU$2),1,0)</f>
        <v>0</v>
      </c>
      <c r="BV98" s="329" t="n">
        <f aca="false" t="array" ref="BV98:BV98">IF(AND(BV$2&lt;&gt;0,TblTech[[#This Row],[Hour]:[Hour]]&gt;=BV$2),1,0)</f>
        <v>0</v>
      </c>
      <c r="BW98" s="329" t="n">
        <f aca="false" t="array" ref="BW98:BW98">IF(AND(BW$2&lt;&gt;0,TblTech[[#This Row],[Hour]:[Hour]]&gt;=BW$2),1,0)</f>
        <v>0</v>
      </c>
      <c r="BX98" s="329" t="n">
        <f aca="false" t="array" ref="BX98:BX98">IF(AND(BX$2&lt;&gt;0,TblTech[[#This Row],[Hour]:[Hour]]&gt;=BX$2),1,0)</f>
        <v>0</v>
      </c>
      <c r="BY98" s="329" t="n">
        <f aca="false" t="array" ref="BY98:BY98">IF(AND(BY$2&lt;&gt;0,TblTech[[#This Row],[Hour]:[Hour]]&gt;=BY$2),1,0)</f>
        <v>0</v>
      </c>
      <c r="BZ98" s="329" t="n">
        <f aca="false" t="array" ref="BZ98:BZ98">IF(AND(BZ$2&lt;&gt;0,TblTech[[#This Row],[Hour]:[Hour]]&gt;=BZ$2),1,0)</f>
        <v>0</v>
      </c>
      <c r="CA98" s="330" t="n">
        <f aca="false">IFERROR(INDEX($H$4:$H$79,MATCH(INDEX(TblTech[[#Headers],[1-1]:[11-1]],1,MATCH(TblTech[[#This Row],[Hour]],$M$2:$BZ$2,0)),$G$4:$G$79,0)),)</f>
        <v>0</v>
      </c>
    </row>
    <row r="99" customFormat="false" ht="12.75" hidden="false" customHeight="false" outlineLevel="0" collapsed="false">
      <c r="A99" s="321" t="n">
        <f aca="false">TblRezone[[#This Row],[Hour]]</f>
        <v>96</v>
      </c>
      <c r="B99" s="322" t="n">
        <f aca="false">TblExplore[[#This Row],[Land-DB]]</f>
        <v>700</v>
      </c>
      <c r="C99" s="323" t="n">
        <f aca="false">TblProd[[#This Row],[Techpoints]]</f>
        <v>1400</v>
      </c>
      <c r="D99" s="323" t="n">
        <f aca="false">TblProd[[#This Row],[Required]]</f>
        <v>3750</v>
      </c>
      <c r="E99" s="333"/>
      <c r="F99" s="334"/>
      <c r="G99" s="326"/>
      <c r="H99" s="327"/>
      <c r="I99" s="327"/>
      <c r="J99" s="327"/>
      <c r="K99" s="68" t="n">
        <f aca="false">IF(TblTech[[#This Row],[Sum of tech]]&lt;&gt;OFFSET(TblTech[[#This Row],[Sum of tech]],-1,0),1,0)</f>
        <v>0</v>
      </c>
      <c r="L99" s="328" t="n">
        <f aca="false">COUNTIF(TblTech[[#This Row],[1-1]:[11-1]],1)</f>
        <v>0</v>
      </c>
      <c r="M99" s="329" t="n">
        <f aca="false" t="array" ref="M99:M99">IF(AND(M$2&lt;&gt;0,TblTech[[#This Row],[Hour]:[Hour]]&gt;=M$2),1,0)</f>
        <v>0</v>
      </c>
      <c r="N99" s="329" t="n">
        <f aca="false" t="array" ref="N99:N99">IF(AND(N$2&lt;&gt;0,TblTech[[#This Row],[Hour]:[Hour]]&gt;=N$2),1,0)</f>
        <v>0</v>
      </c>
      <c r="O99" s="329" t="n">
        <f aca="false" t="array" ref="O99:O99">IF(AND(O$2&lt;&gt;0,TblTech[[#This Row],[Hour]:[Hour]]&gt;=O$2),1,0)</f>
        <v>0</v>
      </c>
      <c r="P99" s="329" t="n">
        <f aca="false" t="array" ref="P99:P99">IF(AND(P$2&lt;&gt;0,TblTech[[#This Row],[Hour]:[Hour]]&gt;=P$2),1,0)</f>
        <v>0</v>
      </c>
      <c r="Q99" s="329" t="n">
        <f aca="false" t="array" ref="Q99:Q99">IF(AND(Q$2&lt;&gt;0,TblTech[[#This Row],[Hour]:[Hour]]&gt;=Q$2),1,0)</f>
        <v>0</v>
      </c>
      <c r="R99" s="329" t="n">
        <f aca="false" t="array" ref="R99:R99">IF(AND(R$2&lt;&gt;0,TblTech[[#This Row],[Hour]:[Hour]]&gt;=R$2),1,0)</f>
        <v>0</v>
      </c>
      <c r="S99" s="329" t="n">
        <f aca="false" t="array" ref="S99:S99">IF(AND(S$2&lt;&gt;0,TblTech[[#This Row],[Hour]:[Hour]]&gt;=S$2),1,0)</f>
        <v>0</v>
      </c>
      <c r="T99" s="329" t="n">
        <f aca="false" t="array" ref="T99:T99">IF(AND(T$2&lt;&gt;0,TblTech[[#This Row],[Hour]:[Hour]]&gt;=T$2),1,0)</f>
        <v>0</v>
      </c>
      <c r="U99" s="329" t="n">
        <f aca="false" t="array" ref="U99:U99">IF(AND(U$2&lt;&gt;0,TblTech[[#This Row],[Hour]:[Hour]]&gt;=U$2),1,0)</f>
        <v>0</v>
      </c>
      <c r="V99" s="329" t="n">
        <f aca="false" t="array" ref="V99:V99">IF(AND(V$2&lt;&gt;0,TblTech[[#This Row],[Hour]:[Hour]]&gt;=V$2),1,0)</f>
        <v>0</v>
      </c>
      <c r="W99" s="329" t="n">
        <f aca="false" t="array" ref="W99:W99">IF(AND(W$2&lt;&gt;0,TblTech[[#This Row],[Hour]:[Hour]]&gt;=W$2),1,0)</f>
        <v>0</v>
      </c>
      <c r="X99" s="329" t="n">
        <f aca="false" t="array" ref="X99:X99">IF(AND(X$2&lt;&gt;0,TblTech[[#This Row],[Hour]:[Hour]]&gt;=X$2),1,0)</f>
        <v>0</v>
      </c>
      <c r="Y99" s="329" t="n">
        <f aca="false" t="array" ref="Y99:Y99">IF(AND(Y$2&lt;&gt;0,TblTech[[#This Row],[Hour]:[Hour]]&gt;=Y$2),1,0)</f>
        <v>0</v>
      </c>
      <c r="Z99" s="329" t="n">
        <f aca="false" t="array" ref="Z99:Z99">IF(AND(Z$2&lt;&gt;0,TblTech[[#This Row],[Hour]:[Hour]]&gt;=Z$2),1,0)</f>
        <v>0</v>
      </c>
      <c r="AA99" s="329" t="n">
        <f aca="false" t="array" ref="AA99:AA99">IF(AND(AA$2&lt;&gt;0,TblTech[[#This Row],[Hour]:[Hour]]&gt;=AA$2),1,0)</f>
        <v>0</v>
      </c>
      <c r="AB99" s="329" t="n">
        <f aca="false" t="array" ref="AB99:AB99">IF(AND(AB$2&lt;&gt;0,TblTech[[#This Row],[Hour]:[Hour]]&gt;=AB$2),1,0)</f>
        <v>0</v>
      </c>
      <c r="AC99" s="329" t="n">
        <f aca="false" t="array" ref="AC99:AC99">IF(AND(AC$2&lt;&gt;0,TblTech[[#This Row],[Hour]:[Hour]]&gt;=AC$2),1,0)</f>
        <v>0</v>
      </c>
      <c r="AD99" s="329" t="n">
        <f aca="false" t="array" ref="AD99:AD99">IF(AND(AD$2&lt;&gt;0,TblTech[[#This Row],[Hour]:[Hour]]&gt;=AD$2),1,0)</f>
        <v>0</v>
      </c>
      <c r="AE99" s="329" t="n">
        <f aca="false" t="array" ref="AE99:AE99">IF(AND(AE$2&lt;&gt;0,TblTech[[#This Row],[Hour]:[Hour]]&gt;=AE$2),1,0)</f>
        <v>0</v>
      </c>
      <c r="AF99" s="329" t="n">
        <f aca="false" t="array" ref="AF99:AF99">IF(AND(AF$2&lt;&gt;0,TblTech[[#This Row],[Hour]:[Hour]]&gt;=AF$2),1,0)</f>
        <v>0</v>
      </c>
      <c r="AG99" s="329" t="n">
        <f aca="false" t="array" ref="AG99:AG99">IF(AND(AG$2&lt;&gt;0,TblTech[[#This Row],[Hour]:[Hour]]&gt;=AG$2),1,0)</f>
        <v>0</v>
      </c>
      <c r="AH99" s="329" t="n">
        <f aca="false" t="array" ref="AH99:AH99">IF(AND(AH$2&lt;&gt;0,TblTech[[#This Row],[Hour]:[Hour]]&gt;=AH$2),1,0)</f>
        <v>0</v>
      </c>
      <c r="AI99" s="329" t="n">
        <f aca="false" t="array" ref="AI99:AI99">IF(AND(AI$2&lt;&gt;0,TblTech[[#This Row],[Hour]:[Hour]]&gt;=AI$2),1,0)</f>
        <v>0</v>
      </c>
      <c r="AJ99" s="329" t="n">
        <f aca="false" t="array" ref="AJ99:AJ99">IF(AND(AJ$2&lt;&gt;0,TblTech[[#This Row],[Hour]:[Hour]]&gt;=AJ$2),1,0)</f>
        <v>0</v>
      </c>
      <c r="AK99" s="329" t="n">
        <f aca="false" t="array" ref="AK99:AK99">IF(AND(AK$2&lt;&gt;0,TblTech[[#This Row],[Hour]:[Hour]]&gt;=AK$2),1,0)</f>
        <v>0</v>
      </c>
      <c r="AL99" s="329" t="n">
        <f aca="false" t="array" ref="AL99:AL99">IF(AND(AL$2&lt;&gt;0,TblTech[[#This Row],[Hour]:[Hour]]&gt;=AL$2),1,0)</f>
        <v>0</v>
      </c>
      <c r="AM99" s="329" t="n">
        <f aca="false" t="array" ref="AM99:AM99">IF(AND(AM$2&lt;&gt;0,TblTech[[#This Row],[Hour]:[Hour]]&gt;=AM$2),1,0)</f>
        <v>0</v>
      </c>
      <c r="AN99" s="329" t="n">
        <f aca="false" t="array" ref="AN99:AN99">IF(AND(AN$2&lt;&gt;0,TblTech[[#This Row],[Hour]:[Hour]]&gt;=AN$2),1,0)</f>
        <v>0</v>
      </c>
      <c r="AO99" s="329" t="n">
        <f aca="false" t="array" ref="AO99:AO99">IF(AND(AO$2&lt;&gt;0,TblTech[[#This Row],[Hour]:[Hour]]&gt;=AO$2),1,0)</f>
        <v>0</v>
      </c>
      <c r="AP99" s="329" t="n">
        <f aca="false" t="array" ref="AP99:AP99">IF(AND(AP$2&lt;&gt;0,TblTech[[#This Row],[Hour]:[Hour]]&gt;=AP$2),1,0)</f>
        <v>0</v>
      </c>
      <c r="AQ99" s="329" t="n">
        <f aca="false" t="array" ref="AQ99:AQ99">IF(AND(AQ$2&lt;&gt;0,TblTech[[#This Row],[Hour]:[Hour]]&gt;=AQ$2),1,0)</f>
        <v>0</v>
      </c>
      <c r="AR99" s="329" t="n">
        <f aca="false" t="array" ref="AR99:AR99">IF(AND(AR$2&lt;&gt;0,TblTech[[#This Row],[Hour]:[Hour]]&gt;=AR$2),1,0)</f>
        <v>0</v>
      </c>
      <c r="AS99" s="329" t="n">
        <f aca="false" t="array" ref="AS99:AS99">IF(AND(AS$2&lt;&gt;0,TblTech[[#This Row],[Hour]:[Hour]]&gt;=AS$2),1,0)</f>
        <v>0</v>
      </c>
      <c r="AT99" s="329" t="n">
        <f aca="false" t="array" ref="AT99:AT99">IF(AND(AT$2&lt;&gt;0,TblTech[[#This Row],[Hour]:[Hour]]&gt;=AT$2),1,0)</f>
        <v>0</v>
      </c>
      <c r="AU99" s="329" t="n">
        <f aca="false" t="array" ref="AU99:AU99">IF(AND(AU$2&lt;&gt;0,TblTech[[#This Row],[Hour]:[Hour]]&gt;=AU$2),1,0)</f>
        <v>0</v>
      </c>
      <c r="AV99" s="329" t="n">
        <f aca="false" t="array" ref="AV99:AV99">IF(AND(AV$2&lt;&gt;0,TblTech[[#This Row],[Hour]:[Hour]]&gt;=AV$2),1,0)</f>
        <v>0</v>
      </c>
      <c r="AW99" s="329" t="n">
        <f aca="false" t="array" ref="AW99:AW99">IF(AND(AW$2&lt;&gt;0,TblTech[[#This Row],[Hour]:[Hour]]&gt;=AW$2),1,0)</f>
        <v>0</v>
      </c>
      <c r="AX99" s="329" t="n">
        <f aca="false" t="array" ref="AX99:AX99">IF(AND(AX$2&lt;&gt;0,TblTech[[#This Row],[Hour]:[Hour]]&gt;=AX$2),1,0)</f>
        <v>0</v>
      </c>
      <c r="AY99" s="329" t="n">
        <f aca="false" t="array" ref="AY99:AY99">IF(AND(AY$2&lt;&gt;0,TblTech[[#This Row],[Hour]:[Hour]]&gt;=AY$2),1,0)</f>
        <v>0</v>
      </c>
      <c r="AZ99" s="329" t="n">
        <f aca="false" t="array" ref="AZ99:AZ99">IF(AND(AZ$2&lt;&gt;0,TblTech[[#This Row],[Hour]:[Hour]]&gt;=AZ$2),1,0)</f>
        <v>0</v>
      </c>
      <c r="BA99" s="329" t="n">
        <f aca="false" t="array" ref="BA99:BA99">IF(AND(BA$2&lt;&gt;0,TblTech[[#This Row],[Hour]:[Hour]]&gt;=BA$2),1,0)</f>
        <v>0</v>
      </c>
      <c r="BB99" s="329" t="n">
        <f aca="false" t="array" ref="BB99:BB99">IF(AND(BB$2&lt;&gt;0,TblTech[[#This Row],[Hour]:[Hour]]&gt;=BB$2),1,0)</f>
        <v>0</v>
      </c>
      <c r="BC99" s="329" t="n">
        <f aca="false" t="array" ref="BC99:BC99">IF(AND(BC$2&lt;&gt;0,TblTech[[#This Row],[Hour]:[Hour]]&gt;=BC$2),1,0)</f>
        <v>0</v>
      </c>
      <c r="BD99" s="329" t="n">
        <f aca="false" t="array" ref="BD99:BD99">IF(AND(BD$2&lt;&gt;0,TblTech[[#This Row],[Hour]:[Hour]]&gt;=BD$2),1,0)</f>
        <v>0</v>
      </c>
      <c r="BE99" s="329" t="n">
        <f aca="false" t="array" ref="BE99:BE99">IF(AND(BE$2&lt;&gt;0,TblTech[[#This Row],[Hour]:[Hour]]&gt;=BE$2),1,0)</f>
        <v>0</v>
      </c>
      <c r="BF99" s="329" t="n">
        <f aca="false" t="array" ref="BF99:BF99">IF(AND(BF$2&lt;&gt;0,TblTech[[#This Row],[Hour]:[Hour]]&gt;=BF$2),1,0)</f>
        <v>0</v>
      </c>
      <c r="BG99" s="329" t="n">
        <f aca="false" t="array" ref="BG99:BG99">IF(AND(BG$2&lt;&gt;0,TblTech[[#This Row],[Hour]:[Hour]]&gt;=BG$2),1,0)</f>
        <v>0</v>
      </c>
      <c r="BH99" s="329" t="n">
        <f aca="false" t="array" ref="BH99:BH99">IF(AND(BH$2&lt;&gt;0,TblTech[[#This Row],[Hour]:[Hour]]&gt;=BH$2),1,0)</f>
        <v>0</v>
      </c>
      <c r="BI99" s="329" t="n">
        <f aca="false" t="array" ref="BI99:BI99">IF(AND(BI$2&lt;&gt;0,TblTech[[#This Row],[Hour]:[Hour]]&gt;=BI$2),1,0)</f>
        <v>0</v>
      </c>
      <c r="BJ99" s="329" t="n">
        <f aca="false" t="array" ref="BJ99:BJ99">IF(AND(BJ$2&lt;&gt;0,TblTech[[#This Row],[Hour]:[Hour]]&gt;=BJ$2),1,0)</f>
        <v>0</v>
      </c>
      <c r="BK99" s="329" t="n">
        <f aca="false" t="array" ref="BK99:BK99">IF(AND(BK$2&lt;&gt;0,TblTech[[#This Row],[Hour]:[Hour]]&gt;=BK$2),1,0)</f>
        <v>0</v>
      </c>
      <c r="BL99" s="329" t="n">
        <f aca="false" t="array" ref="BL99:BL99">IF(AND(BL$2&lt;&gt;0,TblTech[[#This Row],[Hour]:[Hour]]&gt;=BL$2),1,0)</f>
        <v>0</v>
      </c>
      <c r="BM99" s="329" t="n">
        <f aca="false" t="array" ref="BM99:BM99">IF(AND(BM$2&lt;&gt;0,TblTech[[#This Row],[Hour]:[Hour]]&gt;=BM$2),1,0)</f>
        <v>0</v>
      </c>
      <c r="BN99" s="329" t="n">
        <f aca="false" t="array" ref="BN99:BN99">IF(AND(BN$2&lt;&gt;0,TblTech[[#This Row],[Hour]:[Hour]]&gt;=BN$2),1,0)</f>
        <v>0</v>
      </c>
      <c r="BO99" s="329" t="n">
        <f aca="false" t="array" ref="BO99:BO99">IF(AND(BO$2&lt;&gt;0,TblTech[[#This Row],[Hour]:[Hour]]&gt;=BO$2),1,0)</f>
        <v>0</v>
      </c>
      <c r="BP99" s="329" t="n">
        <f aca="false" t="array" ref="BP99:BP99">IF(AND(BP$2&lt;&gt;0,TblTech[[#This Row],[Hour]:[Hour]]&gt;=BP$2),1,0)</f>
        <v>0</v>
      </c>
      <c r="BQ99" s="329" t="n">
        <f aca="false" t="array" ref="BQ99:BQ99">IF(AND(BQ$2&lt;&gt;0,TblTech[[#This Row],[Hour]:[Hour]]&gt;=BQ$2),1,0)</f>
        <v>0</v>
      </c>
      <c r="BR99" s="329" t="n">
        <f aca="false" t="array" ref="BR99:BR99">IF(AND(BR$2&lt;&gt;0,TblTech[[#This Row],[Hour]:[Hour]]&gt;=BR$2),1,0)</f>
        <v>0</v>
      </c>
      <c r="BS99" s="329" t="n">
        <f aca="false" t="array" ref="BS99:BS99">IF(AND(BS$2&lt;&gt;0,TblTech[[#This Row],[Hour]:[Hour]]&gt;=BS$2),1,0)</f>
        <v>0</v>
      </c>
      <c r="BT99" s="329" t="n">
        <f aca="false" t="array" ref="BT99:BT99">IF(AND(BT$2&lt;&gt;0,TblTech[[#This Row],[Hour]:[Hour]]&gt;=BT$2),1,0)</f>
        <v>0</v>
      </c>
      <c r="BU99" s="329" t="n">
        <f aca="false" t="array" ref="BU99:BU99">IF(AND(BU$2&lt;&gt;0,TblTech[[#This Row],[Hour]:[Hour]]&gt;=BU$2),1,0)</f>
        <v>0</v>
      </c>
      <c r="BV99" s="329" t="n">
        <f aca="false" t="array" ref="BV99:BV99">IF(AND(BV$2&lt;&gt;0,TblTech[[#This Row],[Hour]:[Hour]]&gt;=BV$2),1,0)</f>
        <v>0</v>
      </c>
      <c r="BW99" s="329" t="n">
        <f aca="false" t="array" ref="BW99:BW99">IF(AND(BW$2&lt;&gt;0,TblTech[[#This Row],[Hour]:[Hour]]&gt;=BW$2),1,0)</f>
        <v>0</v>
      </c>
      <c r="BX99" s="329" t="n">
        <f aca="false" t="array" ref="BX99:BX99">IF(AND(BX$2&lt;&gt;0,TblTech[[#This Row],[Hour]:[Hour]]&gt;=BX$2),1,0)</f>
        <v>0</v>
      </c>
      <c r="BY99" s="329" t="n">
        <f aca="false" t="array" ref="BY99:BY99">IF(AND(BY$2&lt;&gt;0,TblTech[[#This Row],[Hour]:[Hour]]&gt;=BY$2),1,0)</f>
        <v>0</v>
      </c>
      <c r="BZ99" s="329" t="n">
        <f aca="false" t="array" ref="BZ99:BZ99">IF(AND(BZ$2&lt;&gt;0,TblTech[[#This Row],[Hour]:[Hour]]&gt;=BZ$2),1,0)</f>
        <v>0</v>
      </c>
      <c r="CA99" s="330" t="n">
        <f aca="false">IFERROR(INDEX($H$4:$H$79,MATCH(INDEX(TblTech[[#Headers],[1-1]:[11-1]],1,MATCH(TblTech[[#This Row],[Hour]],$M$2:$BZ$2,0)),$G$4:$G$79,0)),)</f>
        <v>0</v>
      </c>
    </row>
    <row r="100" customFormat="false" ht="12.75" hidden="false" customHeight="false" outlineLevel="0" collapsed="false">
      <c r="A100" s="321" t="n">
        <f aca="false">TblRezone[[#This Row],[Hour]]</f>
        <v>97</v>
      </c>
      <c r="B100" s="322" t="n">
        <f aca="false">TblExplore[[#This Row],[Land-DB]]</f>
        <v>700</v>
      </c>
      <c r="C100" s="323" t="n">
        <f aca="false">TblProd[[#This Row],[Techpoints]]</f>
        <v>1400</v>
      </c>
      <c r="D100" s="323" t="n">
        <f aca="false">TblProd[[#This Row],[Required]]</f>
        <v>3750</v>
      </c>
      <c r="E100" s="333"/>
      <c r="F100" s="334"/>
      <c r="G100" s="326"/>
      <c r="H100" s="327"/>
      <c r="I100" s="327"/>
      <c r="J100" s="327"/>
      <c r="K100" s="68" t="n">
        <f aca="false">IF(TblTech[[#This Row],[Sum of tech]]&lt;&gt;OFFSET(TblTech[[#This Row],[Sum of tech]],-1,0),1,0)</f>
        <v>0</v>
      </c>
      <c r="L100" s="328" t="n">
        <f aca="false">COUNTIF(TblTech[[#This Row],[1-1]:[11-1]],1)</f>
        <v>0</v>
      </c>
      <c r="M100" s="329" t="n">
        <f aca="false" t="array" ref="M100:M100">IF(AND(M$2&lt;&gt;0,TblTech[[#This Row],[Hour]:[Hour]]&gt;=M$2),1,0)</f>
        <v>0</v>
      </c>
      <c r="N100" s="329" t="n">
        <f aca="false" t="array" ref="N100:N100">IF(AND(N$2&lt;&gt;0,TblTech[[#This Row],[Hour]:[Hour]]&gt;=N$2),1,0)</f>
        <v>0</v>
      </c>
      <c r="O100" s="329" t="n">
        <f aca="false" t="array" ref="O100:O100">IF(AND(O$2&lt;&gt;0,TblTech[[#This Row],[Hour]:[Hour]]&gt;=O$2),1,0)</f>
        <v>0</v>
      </c>
      <c r="P100" s="329" t="n">
        <f aca="false" t="array" ref="P100:P100">IF(AND(P$2&lt;&gt;0,TblTech[[#This Row],[Hour]:[Hour]]&gt;=P$2),1,0)</f>
        <v>0</v>
      </c>
      <c r="Q100" s="329" t="n">
        <f aca="false" t="array" ref="Q100:Q100">IF(AND(Q$2&lt;&gt;0,TblTech[[#This Row],[Hour]:[Hour]]&gt;=Q$2),1,0)</f>
        <v>0</v>
      </c>
      <c r="R100" s="329" t="n">
        <f aca="false" t="array" ref="R100:R100">IF(AND(R$2&lt;&gt;0,TblTech[[#This Row],[Hour]:[Hour]]&gt;=R$2),1,0)</f>
        <v>0</v>
      </c>
      <c r="S100" s="329" t="n">
        <f aca="false" t="array" ref="S100:S100">IF(AND(S$2&lt;&gt;0,TblTech[[#This Row],[Hour]:[Hour]]&gt;=S$2),1,0)</f>
        <v>0</v>
      </c>
      <c r="T100" s="329" t="n">
        <f aca="false" t="array" ref="T100:T100">IF(AND(T$2&lt;&gt;0,TblTech[[#This Row],[Hour]:[Hour]]&gt;=T$2),1,0)</f>
        <v>0</v>
      </c>
      <c r="U100" s="329" t="n">
        <f aca="false" t="array" ref="U100:U100">IF(AND(U$2&lt;&gt;0,TblTech[[#This Row],[Hour]:[Hour]]&gt;=U$2),1,0)</f>
        <v>0</v>
      </c>
      <c r="V100" s="329" t="n">
        <f aca="false" t="array" ref="V100:V100">IF(AND(V$2&lt;&gt;0,TblTech[[#This Row],[Hour]:[Hour]]&gt;=V$2),1,0)</f>
        <v>0</v>
      </c>
      <c r="W100" s="329" t="n">
        <f aca="false" t="array" ref="W100:W100">IF(AND(W$2&lt;&gt;0,TblTech[[#This Row],[Hour]:[Hour]]&gt;=W$2),1,0)</f>
        <v>0</v>
      </c>
      <c r="X100" s="329" t="n">
        <f aca="false" t="array" ref="X100:X100">IF(AND(X$2&lt;&gt;0,TblTech[[#This Row],[Hour]:[Hour]]&gt;=X$2),1,0)</f>
        <v>0</v>
      </c>
      <c r="Y100" s="329" t="n">
        <f aca="false" t="array" ref="Y100:Y100">IF(AND(Y$2&lt;&gt;0,TblTech[[#This Row],[Hour]:[Hour]]&gt;=Y$2),1,0)</f>
        <v>0</v>
      </c>
      <c r="Z100" s="329" t="n">
        <f aca="false" t="array" ref="Z100:Z100">IF(AND(Z$2&lt;&gt;0,TblTech[[#This Row],[Hour]:[Hour]]&gt;=Z$2),1,0)</f>
        <v>0</v>
      </c>
      <c r="AA100" s="329" t="n">
        <f aca="false" t="array" ref="AA100:AA100">IF(AND(AA$2&lt;&gt;0,TblTech[[#This Row],[Hour]:[Hour]]&gt;=AA$2),1,0)</f>
        <v>0</v>
      </c>
      <c r="AB100" s="329" t="n">
        <f aca="false" t="array" ref="AB100:AB100">IF(AND(AB$2&lt;&gt;0,TblTech[[#This Row],[Hour]:[Hour]]&gt;=AB$2),1,0)</f>
        <v>0</v>
      </c>
      <c r="AC100" s="329" t="n">
        <f aca="false" t="array" ref="AC100:AC100">IF(AND(AC$2&lt;&gt;0,TblTech[[#This Row],[Hour]:[Hour]]&gt;=AC$2),1,0)</f>
        <v>0</v>
      </c>
      <c r="AD100" s="329" t="n">
        <f aca="false" t="array" ref="AD100:AD100">IF(AND(AD$2&lt;&gt;0,TblTech[[#This Row],[Hour]:[Hour]]&gt;=AD$2),1,0)</f>
        <v>0</v>
      </c>
      <c r="AE100" s="329" t="n">
        <f aca="false" t="array" ref="AE100:AE100">IF(AND(AE$2&lt;&gt;0,TblTech[[#This Row],[Hour]:[Hour]]&gt;=AE$2),1,0)</f>
        <v>0</v>
      </c>
      <c r="AF100" s="329" t="n">
        <f aca="false" t="array" ref="AF100:AF100">IF(AND(AF$2&lt;&gt;0,TblTech[[#This Row],[Hour]:[Hour]]&gt;=AF$2),1,0)</f>
        <v>0</v>
      </c>
      <c r="AG100" s="329" t="n">
        <f aca="false" t="array" ref="AG100:AG100">IF(AND(AG$2&lt;&gt;0,TblTech[[#This Row],[Hour]:[Hour]]&gt;=AG$2),1,0)</f>
        <v>0</v>
      </c>
      <c r="AH100" s="329" t="n">
        <f aca="false" t="array" ref="AH100:AH100">IF(AND(AH$2&lt;&gt;0,TblTech[[#This Row],[Hour]:[Hour]]&gt;=AH$2),1,0)</f>
        <v>0</v>
      </c>
      <c r="AI100" s="329" t="n">
        <f aca="false" t="array" ref="AI100:AI100">IF(AND(AI$2&lt;&gt;0,TblTech[[#This Row],[Hour]:[Hour]]&gt;=AI$2),1,0)</f>
        <v>0</v>
      </c>
      <c r="AJ100" s="329" t="n">
        <f aca="false" t="array" ref="AJ100:AJ100">IF(AND(AJ$2&lt;&gt;0,TblTech[[#This Row],[Hour]:[Hour]]&gt;=AJ$2),1,0)</f>
        <v>0</v>
      </c>
      <c r="AK100" s="329" t="n">
        <f aca="false" t="array" ref="AK100:AK100">IF(AND(AK$2&lt;&gt;0,TblTech[[#This Row],[Hour]:[Hour]]&gt;=AK$2),1,0)</f>
        <v>0</v>
      </c>
      <c r="AL100" s="329" t="n">
        <f aca="false" t="array" ref="AL100:AL100">IF(AND(AL$2&lt;&gt;0,TblTech[[#This Row],[Hour]:[Hour]]&gt;=AL$2),1,0)</f>
        <v>0</v>
      </c>
      <c r="AM100" s="329" t="n">
        <f aca="false" t="array" ref="AM100:AM100">IF(AND(AM$2&lt;&gt;0,TblTech[[#This Row],[Hour]:[Hour]]&gt;=AM$2),1,0)</f>
        <v>0</v>
      </c>
      <c r="AN100" s="329" t="n">
        <f aca="false" t="array" ref="AN100:AN100">IF(AND(AN$2&lt;&gt;0,TblTech[[#This Row],[Hour]:[Hour]]&gt;=AN$2),1,0)</f>
        <v>0</v>
      </c>
      <c r="AO100" s="329" t="n">
        <f aca="false" t="array" ref="AO100:AO100">IF(AND(AO$2&lt;&gt;0,TblTech[[#This Row],[Hour]:[Hour]]&gt;=AO$2),1,0)</f>
        <v>0</v>
      </c>
      <c r="AP100" s="329" t="n">
        <f aca="false" t="array" ref="AP100:AP100">IF(AND(AP$2&lt;&gt;0,TblTech[[#This Row],[Hour]:[Hour]]&gt;=AP$2),1,0)</f>
        <v>0</v>
      </c>
      <c r="AQ100" s="329" t="n">
        <f aca="false" t="array" ref="AQ100:AQ100">IF(AND(AQ$2&lt;&gt;0,TblTech[[#This Row],[Hour]:[Hour]]&gt;=AQ$2),1,0)</f>
        <v>0</v>
      </c>
      <c r="AR100" s="329" t="n">
        <f aca="false" t="array" ref="AR100:AR100">IF(AND(AR$2&lt;&gt;0,TblTech[[#This Row],[Hour]:[Hour]]&gt;=AR$2),1,0)</f>
        <v>0</v>
      </c>
      <c r="AS100" s="329" t="n">
        <f aca="false" t="array" ref="AS100:AS100">IF(AND(AS$2&lt;&gt;0,TblTech[[#This Row],[Hour]:[Hour]]&gt;=AS$2),1,0)</f>
        <v>0</v>
      </c>
      <c r="AT100" s="329" t="n">
        <f aca="false" t="array" ref="AT100:AT100">IF(AND(AT$2&lt;&gt;0,TblTech[[#This Row],[Hour]:[Hour]]&gt;=AT$2),1,0)</f>
        <v>0</v>
      </c>
      <c r="AU100" s="329" t="n">
        <f aca="false" t="array" ref="AU100:AU100">IF(AND(AU$2&lt;&gt;0,TblTech[[#This Row],[Hour]:[Hour]]&gt;=AU$2),1,0)</f>
        <v>0</v>
      </c>
      <c r="AV100" s="329" t="n">
        <f aca="false" t="array" ref="AV100:AV100">IF(AND(AV$2&lt;&gt;0,TblTech[[#This Row],[Hour]:[Hour]]&gt;=AV$2),1,0)</f>
        <v>0</v>
      </c>
      <c r="AW100" s="329" t="n">
        <f aca="false" t="array" ref="AW100:AW100">IF(AND(AW$2&lt;&gt;0,TblTech[[#This Row],[Hour]:[Hour]]&gt;=AW$2),1,0)</f>
        <v>0</v>
      </c>
      <c r="AX100" s="329" t="n">
        <f aca="false" t="array" ref="AX100:AX100">IF(AND(AX$2&lt;&gt;0,TblTech[[#This Row],[Hour]:[Hour]]&gt;=AX$2),1,0)</f>
        <v>0</v>
      </c>
      <c r="AY100" s="329" t="n">
        <f aca="false" t="array" ref="AY100:AY100">IF(AND(AY$2&lt;&gt;0,TblTech[[#This Row],[Hour]:[Hour]]&gt;=AY$2),1,0)</f>
        <v>0</v>
      </c>
      <c r="AZ100" s="329" t="n">
        <f aca="false" t="array" ref="AZ100:AZ100">IF(AND(AZ$2&lt;&gt;0,TblTech[[#This Row],[Hour]:[Hour]]&gt;=AZ$2),1,0)</f>
        <v>0</v>
      </c>
      <c r="BA100" s="329" t="n">
        <f aca="false" t="array" ref="BA100:BA100">IF(AND(BA$2&lt;&gt;0,TblTech[[#This Row],[Hour]:[Hour]]&gt;=BA$2),1,0)</f>
        <v>0</v>
      </c>
      <c r="BB100" s="329" t="n">
        <f aca="false" t="array" ref="BB100:BB100">IF(AND(BB$2&lt;&gt;0,TblTech[[#This Row],[Hour]:[Hour]]&gt;=BB$2),1,0)</f>
        <v>0</v>
      </c>
      <c r="BC100" s="329" t="n">
        <f aca="false" t="array" ref="BC100:BC100">IF(AND(BC$2&lt;&gt;0,TblTech[[#This Row],[Hour]:[Hour]]&gt;=BC$2),1,0)</f>
        <v>0</v>
      </c>
      <c r="BD100" s="329" t="n">
        <f aca="false" t="array" ref="BD100:BD100">IF(AND(BD$2&lt;&gt;0,TblTech[[#This Row],[Hour]:[Hour]]&gt;=BD$2),1,0)</f>
        <v>0</v>
      </c>
      <c r="BE100" s="329" t="n">
        <f aca="false" t="array" ref="BE100:BE100">IF(AND(BE$2&lt;&gt;0,TblTech[[#This Row],[Hour]:[Hour]]&gt;=BE$2),1,0)</f>
        <v>0</v>
      </c>
      <c r="BF100" s="329" t="n">
        <f aca="false" t="array" ref="BF100:BF100">IF(AND(BF$2&lt;&gt;0,TblTech[[#This Row],[Hour]:[Hour]]&gt;=BF$2),1,0)</f>
        <v>0</v>
      </c>
      <c r="BG100" s="329" t="n">
        <f aca="false" t="array" ref="BG100:BG100">IF(AND(BG$2&lt;&gt;0,TblTech[[#This Row],[Hour]:[Hour]]&gt;=BG$2),1,0)</f>
        <v>0</v>
      </c>
      <c r="BH100" s="329" t="n">
        <f aca="false" t="array" ref="BH100:BH100">IF(AND(BH$2&lt;&gt;0,TblTech[[#This Row],[Hour]:[Hour]]&gt;=BH$2),1,0)</f>
        <v>0</v>
      </c>
      <c r="BI100" s="329" t="n">
        <f aca="false" t="array" ref="BI100:BI100">IF(AND(BI$2&lt;&gt;0,TblTech[[#This Row],[Hour]:[Hour]]&gt;=BI$2),1,0)</f>
        <v>0</v>
      </c>
      <c r="BJ100" s="329" t="n">
        <f aca="false" t="array" ref="BJ100:BJ100">IF(AND(BJ$2&lt;&gt;0,TblTech[[#This Row],[Hour]:[Hour]]&gt;=BJ$2),1,0)</f>
        <v>0</v>
      </c>
      <c r="BK100" s="329" t="n">
        <f aca="false" t="array" ref="BK100:BK100">IF(AND(BK$2&lt;&gt;0,TblTech[[#This Row],[Hour]:[Hour]]&gt;=BK$2),1,0)</f>
        <v>0</v>
      </c>
      <c r="BL100" s="329" t="n">
        <f aca="false" t="array" ref="BL100:BL100">IF(AND(BL$2&lt;&gt;0,TblTech[[#This Row],[Hour]:[Hour]]&gt;=BL$2),1,0)</f>
        <v>0</v>
      </c>
      <c r="BM100" s="329" t="n">
        <f aca="false" t="array" ref="BM100:BM100">IF(AND(BM$2&lt;&gt;0,TblTech[[#This Row],[Hour]:[Hour]]&gt;=BM$2),1,0)</f>
        <v>0</v>
      </c>
      <c r="BN100" s="329" t="n">
        <f aca="false" t="array" ref="BN100:BN100">IF(AND(BN$2&lt;&gt;0,TblTech[[#This Row],[Hour]:[Hour]]&gt;=BN$2),1,0)</f>
        <v>0</v>
      </c>
      <c r="BO100" s="329" t="n">
        <f aca="false" t="array" ref="BO100:BO100">IF(AND(BO$2&lt;&gt;0,TblTech[[#This Row],[Hour]:[Hour]]&gt;=BO$2),1,0)</f>
        <v>0</v>
      </c>
      <c r="BP100" s="329" t="n">
        <f aca="false" t="array" ref="BP100:BP100">IF(AND(BP$2&lt;&gt;0,TblTech[[#This Row],[Hour]:[Hour]]&gt;=BP$2),1,0)</f>
        <v>0</v>
      </c>
      <c r="BQ100" s="329" t="n">
        <f aca="false" t="array" ref="BQ100:BQ100">IF(AND(BQ$2&lt;&gt;0,TblTech[[#This Row],[Hour]:[Hour]]&gt;=BQ$2),1,0)</f>
        <v>0</v>
      </c>
      <c r="BR100" s="329" t="n">
        <f aca="false" t="array" ref="BR100:BR100">IF(AND(BR$2&lt;&gt;0,TblTech[[#This Row],[Hour]:[Hour]]&gt;=BR$2),1,0)</f>
        <v>0</v>
      </c>
      <c r="BS100" s="329" t="n">
        <f aca="false" t="array" ref="BS100:BS100">IF(AND(BS$2&lt;&gt;0,TblTech[[#This Row],[Hour]:[Hour]]&gt;=BS$2),1,0)</f>
        <v>0</v>
      </c>
      <c r="BT100" s="329" t="n">
        <f aca="false" t="array" ref="BT100:BT100">IF(AND(BT$2&lt;&gt;0,TblTech[[#This Row],[Hour]:[Hour]]&gt;=BT$2),1,0)</f>
        <v>0</v>
      </c>
      <c r="BU100" s="329" t="n">
        <f aca="false" t="array" ref="BU100:BU100">IF(AND(BU$2&lt;&gt;0,TblTech[[#This Row],[Hour]:[Hour]]&gt;=BU$2),1,0)</f>
        <v>0</v>
      </c>
      <c r="BV100" s="329" t="n">
        <f aca="false" t="array" ref="BV100:BV100">IF(AND(BV$2&lt;&gt;0,TblTech[[#This Row],[Hour]:[Hour]]&gt;=BV$2),1,0)</f>
        <v>0</v>
      </c>
      <c r="BW100" s="329" t="n">
        <f aca="false" t="array" ref="BW100:BW100">IF(AND(BW$2&lt;&gt;0,TblTech[[#This Row],[Hour]:[Hour]]&gt;=BW$2),1,0)</f>
        <v>0</v>
      </c>
      <c r="BX100" s="329" t="n">
        <f aca="false" t="array" ref="BX100:BX100">IF(AND(BX$2&lt;&gt;0,TblTech[[#This Row],[Hour]:[Hour]]&gt;=BX$2),1,0)</f>
        <v>0</v>
      </c>
      <c r="BY100" s="329" t="n">
        <f aca="false" t="array" ref="BY100:BY100">IF(AND(BY$2&lt;&gt;0,TblTech[[#This Row],[Hour]:[Hour]]&gt;=BY$2),1,0)</f>
        <v>0</v>
      </c>
      <c r="BZ100" s="329" t="n">
        <f aca="false" t="array" ref="BZ100:BZ100">IF(AND(BZ$2&lt;&gt;0,TblTech[[#This Row],[Hour]:[Hour]]&gt;=BZ$2),1,0)</f>
        <v>0</v>
      </c>
      <c r="CA100" s="330" t="n">
        <f aca="false">IFERROR(INDEX($H$4:$H$79,MATCH(INDEX(TblTech[[#Headers],[1-1]:[11-1]],1,MATCH(TblTech[[#This Row],[Hour]],$M$2:$BZ$2,0)),$G$4:$G$79,0)),)</f>
        <v>0</v>
      </c>
    </row>
    <row r="101" customFormat="false" ht="12.75" hidden="false" customHeight="false" outlineLevel="0" collapsed="false">
      <c r="A101" s="321" t="n">
        <f aca="false">TblRezone[[#This Row],[Hour]]</f>
        <v>98</v>
      </c>
      <c r="B101" s="322" t="n">
        <f aca="false">TblExplore[[#This Row],[Land-DB]]</f>
        <v>700</v>
      </c>
      <c r="C101" s="323" t="n">
        <f aca="false">TblProd[[#This Row],[Techpoints]]</f>
        <v>1400</v>
      </c>
      <c r="D101" s="323" t="n">
        <f aca="false">TblProd[[#This Row],[Required]]</f>
        <v>3750</v>
      </c>
      <c r="E101" s="333"/>
      <c r="F101" s="334"/>
      <c r="G101" s="326"/>
      <c r="H101" s="327"/>
      <c r="I101" s="327"/>
      <c r="J101" s="327"/>
      <c r="K101" s="68" t="n">
        <f aca="false">IF(TblTech[[#This Row],[Sum of tech]]&lt;&gt;OFFSET(TblTech[[#This Row],[Sum of tech]],-1,0),1,0)</f>
        <v>0</v>
      </c>
      <c r="L101" s="328" t="n">
        <f aca="false">COUNTIF(TblTech[[#This Row],[1-1]:[11-1]],1)</f>
        <v>0</v>
      </c>
      <c r="M101" s="329" t="n">
        <f aca="false" t="array" ref="M101:M101">IF(AND(M$2&lt;&gt;0,TblTech[[#This Row],[Hour]:[Hour]]&gt;=M$2),1,0)</f>
        <v>0</v>
      </c>
      <c r="N101" s="329" t="n">
        <f aca="false" t="array" ref="N101:N101">IF(AND(N$2&lt;&gt;0,TblTech[[#This Row],[Hour]:[Hour]]&gt;=N$2),1,0)</f>
        <v>0</v>
      </c>
      <c r="O101" s="329" t="n">
        <f aca="false" t="array" ref="O101:O101">IF(AND(O$2&lt;&gt;0,TblTech[[#This Row],[Hour]:[Hour]]&gt;=O$2),1,0)</f>
        <v>0</v>
      </c>
      <c r="P101" s="329" t="n">
        <f aca="false" t="array" ref="P101:P101">IF(AND(P$2&lt;&gt;0,TblTech[[#This Row],[Hour]:[Hour]]&gt;=P$2),1,0)</f>
        <v>0</v>
      </c>
      <c r="Q101" s="329" t="n">
        <f aca="false" t="array" ref="Q101:Q101">IF(AND(Q$2&lt;&gt;0,TblTech[[#This Row],[Hour]:[Hour]]&gt;=Q$2),1,0)</f>
        <v>0</v>
      </c>
      <c r="R101" s="329" t="n">
        <f aca="false" t="array" ref="R101:R101">IF(AND(R$2&lt;&gt;0,TblTech[[#This Row],[Hour]:[Hour]]&gt;=R$2),1,0)</f>
        <v>0</v>
      </c>
      <c r="S101" s="329" t="n">
        <f aca="false" t="array" ref="S101:S101">IF(AND(S$2&lt;&gt;0,TblTech[[#This Row],[Hour]:[Hour]]&gt;=S$2),1,0)</f>
        <v>0</v>
      </c>
      <c r="T101" s="329" t="n">
        <f aca="false" t="array" ref="T101:T101">IF(AND(T$2&lt;&gt;0,TblTech[[#This Row],[Hour]:[Hour]]&gt;=T$2),1,0)</f>
        <v>0</v>
      </c>
      <c r="U101" s="329" t="n">
        <f aca="false" t="array" ref="U101:U101">IF(AND(U$2&lt;&gt;0,TblTech[[#This Row],[Hour]:[Hour]]&gt;=U$2),1,0)</f>
        <v>0</v>
      </c>
      <c r="V101" s="329" t="n">
        <f aca="false" t="array" ref="V101:V101">IF(AND(V$2&lt;&gt;0,TblTech[[#This Row],[Hour]:[Hour]]&gt;=V$2),1,0)</f>
        <v>0</v>
      </c>
      <c r="W101" s="329" t="n">
        <f aca="false" t="array" ref="W101:W101">IF(AND(W$2&lt;&gt;0,TblTech[[#This Row],[Hour]:[Hour]]&gt;=W$2),1,0)</f>
        <v>0</v>
      </c>
      <c r="X101" s="329" t="n">
        <f aca="false" t="array" ref="X101:X101">IF(AND(X$2&lt;&gt;0,TblTech[[#This Row],[Hour]:[Hour]]&gt;=X$2),1,0)</f>
        <v>0</v>
      </c>
      <c r="Y101" s="329" t="n">
        <f aca="false" t="array" ref="Y101:Y101">IF(AND(Y$2&lt;&gt;0,TblTech[[#This Row],[Hour]:[Hour]]&gt;=Y$2),1,0)</f>
        <v>0</v>
      </c>
      <c r="Z101" s="329" t="n">
        <f aca="false" t="array" ref="Z101:Z101">IF(AND(Z$2&lt;&gt;0,TblTech[[#This Row],[Hour]:[Hour]]&gt;=Z$2),1,0)</f>
        <v>0</v>
      </c>
      <c r="AA101" s="329" t="n">
        <f aca="false" t="array" ref="AA101:AA101">IF(AND(AA$2&lt;&gt;0,TblTech[[#This Row],[Hour]:[Hour]]&gt;=AA$2),1,0)</f>
        <v>0</v>
      </c>
      <c r="AB101" s="329" t="n">
        <f aca="false" t="array" ref="AB101:AB101">IF(AND(AB$2&lt;&gt;0,TblTech[[#This Row],[Hour]:[Hour]]&gt;=AB$2),1,0)</f>
        <v>0</v>
      </c>
      <c r="AC101" s="329" t="n">
        <f aca="false" t="array" ref="AC101:AC101">IF(AND(AC$2&lt;&gt;0,TblTech[[#This Row],[Hour]:[Hour]]&gt;=AC$2),1,0)</f>
        <v>0</v>
      </c>
      <c r="AD101" s="329" t="n">
        <f aca="false" t="array" ref="AD101:AD101">IF(AND(AD$2&lt;&gt;0,TblTech[[#This Row],[Hour]:[Hour]]&gt;=AD$2),1,0)</f>
        <v>0</v>
      </c>
      <c r="AE101" s="329" t="n">
        <f aca="false" t="array" ref="AE101:AE101">IF(AND(AE$2&lt;&gt;0,TblTech[[#This Row],[Hour]:[Hour]]&gt;=AE$2),1,0)</f>
        <v>0</v>
      </c>
      <c r="AF101" s="329" t="n">
        <f aca="false" t="array" ref="AF101:AF101">IF(AND(AF$2&lt;&gt;0,TblTech[[#This Row],[Hour]:[Hour]]&gt;=AF$2),1,0)</f>
        <v>0</v>
      </c>
      <c r="AG101" s="329" t="n">
        <f aca="false" t="array" ref="AG101:AG101">IF(AND(AG$2&lt;&gt;0,TblTech[[#This Row],[Hour]:[Hour]]&gt;=AG$2),1,0)</f>
        <v>0</v>
      </c>
      <c r="AH101" s="329" t="n">
        <f aca="false" t="array" ref="AH101:AH101">IF(AND(AH$2&lt;&gt;0,TblTech[[#This Row],[Hour]:[Hour]]&gt;=AH$2),1,0)</f>
        <v>0</v>
      </c>
      <c r="AI101" s="329" t="n">
        <f aca="false" t="array" ref="AI101:AI101">IF(AND(AI$2&lt;&gt;0,TblTech[[#This Row],[Hour]:[Hour]]&gt;=AI$2),1,0)</f>
        <v>0</v>
      </c>
      <c r="AJ101" s="329" t="n">
        <f aca="false" t="array" ref="AJ101:AJ101">IF(AND(AJ$2&lt;&gt;0,TblTech[[#This Row],[Hour]:[Hour]]&gt;=AJ$2),1,0)</f>
        <v>0</v>
      </c>
      <c r="AK101" s="329" t="n">
        <f aca="false" t="array" ref="AK101:AK101">IF(AND(AK$2&lt;&gt;0,TblTech[[#This Row],[Hour]:[Hour]]&gt;=AK$2),1,0)</f>
        <v>0</v>
      </c>
      <c r="AL101" s="329" t="n">
        <f aca="false" t="array" ref="AL101:AL101">IF(AND(AL$2&lt;&gt;0,TblTech[[#This Row],[Hour]:[Hour]]&gt;=AL$2),1,0)</f>
        <v>0</v>
      </c>
      <c r="AM101" s="329" t="n">
        <f aca="false" t="array" ref="AM101:AM101">IF(AND(AM$2&lt;&gt;0,TblTech[[#This Row],[Hour]:[Hour]]&gt;=AM$2),1,0)</f>
        <v>0</v>
      </c>
      <c r="AN101" s="329" t="n">
        <f aca="false" t="array" ref="AN101:AN101">IF(AND(AN$2&lt;&gt;0,TblTech[[#This Row],[Hour]:[Hour]]&gt;=AN$2),1,0)</f>
        <v>0</v>
      </c>
      <c r="AO101" s="329" t="n">
        <f aca="false" t="array" ref="AO101:AO101">IF(AND(AO$2&lt;&gt;0,TblTech[[#This Row],[Hour]:[Hour]]&gt;=AO$2),1,0)</f>
        <v>0</v>
      </c>
      <c r="AP101" s="329" t="n">
        <f aca="false" t="array" ref="AP101:AP101">IF(AND(AP$2&lt;&gt;0,TblTech[[#This Row],[Hour]:[Hour]]&gt;=AP$2),1,0)</f>
        <v>0</v>
      </c>
      <c r="AQ101" s="329" t="n">
        <f aca="false" t="array" ref="AQ101:AQ101">IF(AND(AQ$2&lt;&gt;0,TblTech[[#This Row],[Hour]:[Hour]]&gt;=AQ$2),1,0)</f>
        <v>0</v>
      </c>
      <c r="AR101" s="329" t="n">
        <f aca="false" t="array" ref="AR101:AR101">IF(AND(AR$2&lt;&gt;0,TblTech[[#This Row],[Hour]:[Hour]]&gt;=AR$2),1,0)</f>
        <v>0</v>
      </c>
      <c r="AS101" s="329" t="n">
        <f aca="false" t="array" ref="AS101:AS101">IF(AND(AS$2&lt;&gt;0,TblTech[[#This Row],[Hour]:[Hour]]&gt;=AS$2),1,0)</f>
        <v>0</v>
      </c>
      <c r="AT101" s="329" t="n">
        <f aca="false" t="array" ref="AT101:AT101">IF(AND(AT$2&lt;&gt;0,TblTech[[#This Row],[Hour]:[Hour]]&gt;=AT$2),1,0)</f>
        <v>0</v>
      </c>
      <c r="AU101" s="329" t="n">
        <f aca="false" t="array" ref="AU101:AU101">IF(AND(AU$2&lt;&gt;0,TblTech[[#This Row],[Hour]:[Hour]]&gt;=AU$2),1,0)</f>
        <v>0</v>
      </c>
      <c r="AV101" s="329" t="n">
        <f aca="false" t="array" ref="AV101:AV101">IF(AND(AV$2&lt;&gt;0,TblTech[[#This Row],[Hour]:[Hour]]&gt;=AV$2),1,0)</f>
        <v>0</v>
      </c>
      <c r="AW101" s="329" t="n">
        <f aca="false" t="array" ref="AW101:AW101">IF(AND(AW$2&lt;&gt;0,TblTech[[#This Row],[Hour]:[Hour]]&gt;=AW$2),1,0)</f>
        <v>0</v>
      </c>
      <c r="AX101" s="329" t="n">
        <f aca="false" t="array" ref="AX101:AX101">IF(AND(AX$2&lt;&gt;0,TblTech[[#This Row],[Hour]:[Hour]]&gt;=AX$2),1,0)</f>
        <v>0</v>
      </c>
      <c r="AY101" s="329" t="n">
        <f aca="false" t="array" ref="AY101:AY101">IF(AND(AY$2&lt;&gt;0,TblTech[[#This Row],[Hour]:[Hour]]&gt;=AY$2),1,0)</f>
        <v>0</v>
      </c>
      <c r="AZ101" s="329" t="n">
        <f aca="false" t="array" ref="AZ101:AZ101">IF(AND(AZ$2&lt;&gt;0,TblTech[[#This Row],[Hour]:[Hour]]&gt;=AZ$2),1,0)</f>
        <v>0</v>
      </c>
      <c r="BA101" s="329" t="n">
        <f aca="false" t="array" ref="BA101:BA101">IF(AND(BA$2&lt;&gt;0,TblTech[[#This Row],[Hour]:[Hour]]&gt;=BA$2),1,0)</f>
        <v>0</v>
      </c>
      <c r="BB101" s="329" t="n">
        <f aca="false" t="array" ref="BB101:BB101">IF(AND(BB$2&lt;&gt;0,TblTech[[#This Row],[Hour]:[Hour]]&gt;=BB$2),1,0)</f>
        <v>0</v>
      </c>
      <c r="BC101" s="329" t="n">
        <f aca="false" t="array" ref="BC101:BC101">IF(AND(BC$2&lt;&gt;0,TblTech[[#This Row],[Hour]:[Hour]]&gt;=BC$2),1,0)</f>
        <v>0</v>
      </c>
      <c r="BD101" s="329" t="n">
        <f aca="false" t="array" ref="BD101:BD101">IF(AND(BD$2&lt;&gt;0,TblTech[[#This Row],[Hour]:[Hour]]&gt;=BD$2),1,0)</f>
        <v>0</v>
      </c>
      <c r="BE101" s="329" t="n">
        <f aca="false" t="array" ref="BE101:BE101">IF(AND(BE$2&lt;&gt;0,TblTech[[#This Row],[Hour]:[Hour]]&gt;=BE$2),1,0)</f>
        <v>0</v>
      </c>
      <c r="BF101" s="329" t="n">
        <f aca="false" t="array" ref="BF101:BF101">IF(AND(BF$2&lt;&gt;0,TblTech[[#This Row],[Hour]:[Hour]]&gt;=BF$2),1,0)</f>
        <v>0</v>
      </c>
      <c r="BG101" s="329" t="n">
        <f aca="false" t="array" ref="BG101:BG101">IF(AND(BG$2&lt;&gt;0,TblTech[[#This Row],[Hour]:[Hour]]&gt;=BG$2),1,0)</f>
        <v>0</v>
      </c>
      <c r="BH101" s="329" t="n">
        <f aca="false" t="array" ref="BH101:BH101">IF(AND(BH$2&lt;&gt;0,TblTech[[#This Row],[Hour]:[Hour]]&gt;=BH$2),1,0)</f>
        <v>0</v>
      </c>
      <c r="BI101" s="329" t="n">
        <f aca="false" t="array" ref="BI101:BI101">IF(AND(BI$2&lt;&gt;0,TblTech[[#This Row],[Hour]:[Hour]]&gt;=BI$2),1,0)</f>
        <v>0</v>
      </c>
      <c r="BJ101" s="329" t="n">
        <f aca="false" t="array" ref="BJ101:BJ101">IF(AND(BJ$2&lt;&gt;0,TblTech[[#This Row],[Hour]:[Hour]]&gt;=BJ$2),1,0)</f>
        <v>0</v>
      </c>
      <c r="BK101" s="329" t="n">
        <f aca="false" t="array" ref="BK101:BK101">IF(AND(BK$2&lt;&gt;0,TblTech[[#This Row],[Hour]:[Hour]]&gt;=BK$2),1,0)</f>
        <v>0</v>
      </c>
      <c r="BL101" s="329" t="n">
        <f aca="false" t="array" ref="BL101:BL101">IF(AND(BL$2&lt;&gt;0,TblTech[[#This Row],[Hour]:[Hour]]&gt;=BL$2),1,0)</f>
        <v>0</v>
      </c>
      <c r="BM101" s="329" t="n">
        <f aca="false" t="array" ref="BM101:BM101">IF(AND(BM$2&lt;&gt;0,TblTech[[#This Row],[Hour]:[Hour]]&gt;=BM$2),1,0)</f>
        <v>0</v>
      </c>
      <c r="BN101" s="329" t="n">
        <f aca="false" t="array" ref="BN101:BN101">IF(AND(BN$2&lt;&gt;0,TblTech[[#This Row],[Hour]:[Hour]]&gt;=BN$2),1,0)</f>
        <v>0</v>
      </c>
      <c r="BO101" s="329" t="n">
        <f aca="false" t="array" ref="BO101:BO101">IF(AND(BO$2&lt;&gt;0,TblTech[[#This Row],[Hour]:[Hour]]&gt;=BO$2),1,0)</f>
        <v>0</v>
      </c>
      <c r="BP101" s="329" t="n">
        <f aca="false" t="array" ref="BP101:BP101">IF(AND(BP$2&lt;&gt;0,TblTech[[#This Row],[Hour]:[Hour]]&gt;=BP$2),1,0)</f>
        <v>0</v>
      </c>
      <c r="BQ101" s="329" t="n">
        <f aca="false" t="array" ref="BQ101:BQ101">IF(AND(BQ$2&lt;&gt;0,TblTech[[#This Row],[Hour]:[Hour]]&gt;=BQ$2),1,0)</f>
        <v>0</v>
      </c>
      <c r="BR101" s="329" t="n">
        <f aca="false" t="array" ref="BR101:BR101">IF(AND(BR$2&lt;&gt;0,TblTech[[#This Row],[Hour]:[Hour]]&gt;=BR$2),1,0)</f>
        <v>0</v>
      </c>
      <c r="BS101" s="329" t="n">
        <f aca="false" t="array" ref="BS101:BS101">IF(AND(BS$2&lt;&gt;0,TblTech[[#This Row],[Hour]:[Hour]]&gt;=BS$2),1,0)</f>
        <v>0</v>
      </c>
      <c r="BT101" s="329" t="n">
        <f aca="false" t="array" ref="BT101:BT101">IF(AND(BT$2&lt;&gt;0,TblTech[[#This Row],[Hour]:[Hour]]&gt;=BT$2),1,0)</f>
        <v>0</v>
      </c>
      <c r="BU101" s="329" t="n">
        <f aca="false" t="array" ref="BU101:BU101">IF(AND(BU$2&lt;&gt;0,TblTech[[#This Row],[Hour]:[Hour]]&gt;=BU$2),1,0)</f>
        <v>0</v>
      </c>
      <c r="BV101" s="329" t="n">
        <f aca="false" t="array" ref="BV101:BV101">IF(AND(BV$2&lt;&gt;0,TblTech[[#This Row],[Hour]:[Hour]]&gt;=BV$2),1,0)</f>
        <v>0</v>
      </c>
      <c r="BW101" s="329" t="n">
        <f aca="false" t="array" ref="BW101:BW101">IF(AND(BW$2&lt;&gt;0,TblTech[[#This Row],[Hour]:[Hour]]&gt;=BW$2),1,0)</f>
        <v>0</v>
      </c>
      <c r="BX101" s="329" t="n">
        <f aca="false" t="array" ref="BX101:BX101">IF(AND(BX$2&lt;&gt;0,TblTech[[#This Row],[Hour]:[Hour]]&gt;=BX$2),1,0)</f>
        <v>0</v>
      </c>
      <c r="BY101" s="329" t="n">
        <f aca="false" t="array" ref="BY101:BY101">IF(AND(BY$2&lt;&gt;0,TblTech[[#This Row],[Hour]:[Hour]]&gt;=BY$2),1,0)</f>
        <v>0</v>
      </c>
      <c r="BZ101" s="329" t="n">
        <f aca="false" t="array" ref="BZ101:BZ101">IF(AND(BZ$2&lt;&gt;0,TblTech[[#This Row],[Hour]:[Hour]]&gt;=BZ$2),1,0)</f>
        <v>0</v>
      </c>
      <c r="CA101" s="330" t="n">
        <f aca="false">IFERROR(INDEX($H$4:$H$79,MATCH(INDEX(TblTech[[#Headers],[1-1]:[11-1]],1,MATCH(TblTech[[#This Row],[Hour]],$M$2:$BZ$2,0)),$G$4:$G$79,0)),)</f>
        <v>0</v>
      </c>
    </row>
    <row r="102" customFormat="false" ht="12.75" hidden="false" customHeight="false" outlineLevel="0" collapsed="false">
      <c r="A102" s="321" t="n">
        <f aca="false">TblRezone[[#This Row],[Hour]]</f>
        <v>99</v>
      </c>
      <c r="B102" s="322" t="n">
        <f aca="false">TblExplore[[#This Row],[Land-DB]]</f>
        <v>700</v>
      </c>
      <c r="C102" s="323" t="n">
        <f aca="false">TblProd[[#This Row],[Techpoints]]</f>
        <v>1400</v>
      </c>
      <c r="D102" s="323" t="n">
        <f aca="false">TblProd[[#This Row],[Required]]</f>
        <v>3750</v>
      </c>
      <c r="E102" s="333"/>
      <c r="F102" s="334"/>
      <c r="G102" s="326"/>
      <c r="H102" s="327"/>
      <c r="I102" s="327"/>
      <c r="J102" s="327"/>
      <c r="K102" s="68" t="n">
        <f aca="false">IF(TblTech[[#This Row],[Sum of tech]]&lt;&gt;OFFSET(TblTech[[#This Row],[Sum of tech]],-1,0),1,0)</f>
        <v>0</v>
      </c>
      <c r="L102" s="328" t="n">
        <f aca="false">COUNTIF(TblTech[[#This Row],[1-1]:[11-1]],1)</f>
        <v>0</v>
      </c>
      <c r="M102" s="329" t="n">
        <f aca="false" t="array" ref="M102:M102">IF(AND(M$2&lt;&gt;0,TblTech[[#This Row],[Hour]:[Hour]]&gt;=M$2),1,0)</f>
        <v>0</v>
      </c>
      <c r="N102" s="329" t="n">
        <f aca="false" t="array" ref="N102:N102">IF(AND(N$2&lt;&gt;0,TblTech[[#This Row],[Hour]:[Hour]]&gt;=N$2),1,0)</f>
        <v>0</v>
      </c>
      <c r="O102" s="329" t="n">
        <f aca="false" t="array" ref="O102:O102">IF(AND(O$2&lt;&gt;0,TblTech[[#This Row],[Hour]:[Hour]]&gt;=O$2),1,0)</f>
        <v>0</v>
      </c>
      <c r="P102" s="329" t="n">
        <f aca="false" t="array" ref="P102:P102">IF(AND(P$2&lt;&gt;0,TblTech[[#This Row],[Hour]:[Hour]]&gt;=P$2),1,0)</f>
        <v>0</v>
      </c>
      <c r="Q102" s="329" t="n">
        <f aca="false" t="array" ref="Q102:Q102">IF(AND(Q$2&lt;&gt;0,TblTech[[#This Row],[Hour]:[Hour]]&gt;=Q$2),1,0)</f>
        <v>0</v>
      </c>
      <c r="R102" s="329" t="n">
        <f aca="false" t="array" ref="R102:R102">IF(AND(R$2&lt;&gt;0,TblTech[[#This Row],[Hour]:[Hour]]&gt;=R$2),1,0)</f>
        <v>0</v>
      </c>
      <c r="S102" s="329" t="n">
        <f aca="false" t="array" ref="S102:S102">IF(AND(S$2&lt;&gt;0,TblTech[[#This Row],[Hour]:[Hour]]&gt;=S$2),1,0)</f>
        <v>0</v>
      </c>
      <c r="T102" s="329" t="n">
        <f aca="false" t="array" ref="T102:T102">IF(AND(T$2&lt;&gt;0,TblTech[[#This Row],[Hour]:[Hour]]&gt;=T$2),1,0)</f>
        <v>0</v>
      </c>
      <c r="U102" s="329" t="n">
        <f aca="false" t="array" ref="U102:U102">IF(AND(U$2&lt;&gt;0,TblTech[[#This Row],[Hour]:[Hour]]&gt;=U$2),1,0)</f>
        <v>0</v>
      </c>
      <c r="V102" s="329" t="n">
        <f aca="false" t="array" ref="V102:V102">IF(AND(V$2&lt;&gt;0,TblTech[[#This Row],[Hour]:[Hour]]&gt;=V$2),1,0)</f>
        <v>0</v>
      </c>
      <c r="W102" s="329" t="n">
        <f aca="false" t="array" ref="W102:W102">IF(AND(W$2&lt;&gt;0,TblTech[[#This Row],[Hour]:[Hour]]&gt;=W$2),1,0)</f>
        <v>0</v>
      </c>
      <c r="X102" s="329" t="n">
        <f aca="false" t="array" ref="X102:X102">IF(AND(X$2&lt;&gt;0,TblTech[[#This Row],[Hour]:[Hour]]&gt;=X$2),1,0)</f>
        <v>0</v>
      </c>
      <c r="Y102" s="329" t="n">
        <f aca="false" t="array" ref="Y102:Y102">IF(AND(Y$2&lt;&gt;0,TblTech[[#This Row],[Hour]:[Hour]]&gt;=Y$2),1,0)</f>
        <v>0</v>
      </c>
      <c r="Z102" s="329" t="n">
        <f aca="false" t="array" ref="Z102:Z102">IF(AND(Z$2&lt;&gt;0,TblTech[[#This Row],[Hour]:[Hour]]&gt;=Z$2),1,0)</f>
        <v>0</v>
      </c>
      <c r="AA102" s="329" t="n">
        <f aca="false" t="array" ref="AA102:AA102">IF(AND(AA$2&lt;&gt;0,TblTech[[#This Row],[Hour]:[Hour]]&gt;=AA$2),1,0)</f>
        <v>0</v>
      </c>
      <c r="AB102" s="329" t="n">
        <f aca="false" t="array" ref="AB102:AB102">IF(AND(AB$2&lt;&gt;0,TblTech[[#This Row],[Hour]:[Hour]]&gt;=AB$2),1,0)</f>
        <v>0</v>
      </c>
      <c r="AC102" s="329" t="n">
        <f aca="false" t="array" ref="AC102:AC102">IF(AND(AC$2&lt;&gt;0,TblTech[[#This Row],[Hour]:[Hour]]&gt;=AC$2),1,0)</f>
        <v>0</v>
      </c>
      <c r="AD102" s="329" t="n">
        <f aca="false" t="array" ref="AD102:AD102">IF(AND(AD$2&lt;&gt;0,TblTech[[#This Row],[Hour]:[Hour]]&gt;=AD$2),1,0)</f>
        <v>0</v>
      </c>
      <c r="AE102" s="329" t="n">
        <f aca="false" t="array" ref="AE102:AE102">IF(AND(AE$2&lt;&gt;0,TblTech[[#This Row],[Hour]:[Hour]]&gt;=AE$2),1,0)</f>
        <v>0</v>
      </c>
      <c r="AF102" s="329" t="n">
        <f aca="false" t="array" ref="AF102:AF102">IF(AND(AF$2&lt;&gt;0,TblTech[[#This Row],[Hour]:[Hour]]&gt;=AF$2),1,0)</f>
        <v>0</v>
      </c>
      <c r="AG102" s="329" t="n">
        <f aca="false" t="array" ref="AG102:AG102">IF(AND(AG$2&lt;&gt;0,TblTech[[#This Row],[Hour]:[Hour]]&gt;=AG$2),1,0)</f>
        <v>0</v>
      </c>
      <c r="AH102" s="329" t="n">
        <f aca="false" t="array" ref="AH102:AH102">IF(AND(AH$2&lt;&gt;0,TblTech[[#This Row],[Hour]:[Hour]]&gt;=AH$2),1,0)</f>
        <v>0</v>
      </c>
      <c r="AI102" s="329" t="n">
        <f aca="false" t="array" ref="AI102:AI102">IF(AND(AI$2&lt;&gt;0,TblTech[[#This Row],[Hour]:[Hour]]&gt;=AI$2),1,0)</f>
        <v>0</v>
      </c>
      <c r="AJ102" s="329" t="n">
        <f aca="false" t="array" ref="AJ102:AJ102">IF(AND(AJ$2&lt;&gt;0,TblTech[[#This Row],[Hour]:[Hour]]&gt;=AJ$2),1,0)</f>
        <v>0</v>
      </c>
      <c r="AK102" s="329" t="n">
        <f aca="false" t="array" ref="AK102:AK102">IF(AND(AK$2&lt;&gt;0,TblTech[[#This Row],[Hour]:[Hour]]&gt;=AK$2),1,0)</f>
        <v>0</v>
      </c>
      <c r="AL102" s="329" t="n">
        <f aca="false" t="array" ref="AL102:AL102">IF(AND(AL$2&lt;&gt;0,TblTech[[#This Row],[Hour]:[Hour]]&gt;=AL$2),1,0)</f>
        <v>0</v>
      </c>
      <c r="AM102" s="329" t="n">
        <f aca="false" t="array" ref="AM102:AM102">IF(AND(AM$2&lt;&gt;0,TblTech[[#This Row],[Hour]:[Hour]]&gt;=AM$2),1,0)</f>
        <v>0</v>
      </c>
      <c r="AN102" s="329" t="n">
        <f aca="false" t="array" ref="AN102:AN102">IF(AND(AN$2&lt;&gt;0,TblTech[[#This Row],[Hour]:[Hour]]&gt;=AN$2),1,0)</f>
        <v>0</v>
      </c>
      <c r="AO102" s="329" t="n">
        <f aca="false" t="array" ref="AO102:AO102">IF(AND(AO$2&lt;&gt;0,TblTech[[#This Row],[Hour]:[Hour]]&gt;=AO$2),1,0)</f>
        <v>0</v>
      </c>
      <c r="AP102" s="329" t="n">
        <f aca="false" t="array" ref="AP102:AP102">IF(AND(AP$2&lt;&gt;0,TblTech[[#This Row],[Hour]:[Hour]]&gt;=AP$2),1,0)</f>
        <v>0</v>
      </c>
      <c r="AQ102" s="329" t="n">
        <f aca="false" t="array" ref="AQ102:AQ102">IF(AND(AQ$2&lt;&gt;0,TblTech[[#This Row],[Hour]:[Hour]]&gt;=AQ$2),1,0)</f>
        <v>0</v>
      </c>
      <c r="AR102" s="329" t="n">
        <f aca="false" t="array" ref="AR102:AR102">IF(AND(AR$2&lt;&gt;0,TblTech[[#This Row],[Hour]:[Hour]]&gt;=AR$2),1,0)</f>
        <v>0</v>
      </c>
      <c r="AS102" s="329" t="n">
        <f aca="false" t="array" ref="AS102:AS102">IF(AND(AS$2&lt;&gt;0,TblTech[[#This Row],[Hour]:[Hour]]&gt;=AS$2),1,0)</f>
        <v>0</v>
      </c>
      <c r="AT102" s="329" t="n">
        <f aca="false" t="array" ref="AT102:AT102">IF(AND(AT$2&lt;&gt;0,TblTech[[#This Row],[Hour]:[Hour]]&gt;=AT$2),1,0)</f>
        <v>0</v>
      </c>
      <c r="AU102" s="329" t="n">
        <f aca="false" t="array" ref="AU102:AU102">IF(AND(AU$2&lt;&gt;0,TblTech[[#This Row],[Hour]:[Hour]]&gt;=AU$2),1,0)</f>
        <v>0</v>
      </c>
      <c r="AV102" s="329" t="n">
        <f aca="false" t="array" ref="AV102:AV102">IF(AND(AV$2&lt;&gt;0,TblTech[[#This Row],[Hour]:[Hour]]&gt;=AV$2),1,0)</f>
        <v>0</v>
      </c>
      <c r="AW102" s="329" t="n">
        <f aca="false" t="array" ref="AW102:AW102">IF(AND(AW$2&lt;&gt;0,TblTech[[#This Row],[Hour]:[Hour]]&gt;=AW$2),1,0)</f>
        <v>0</v>
      </c>
      <c r="AX102" s="329" t="n">
        <f aca="false" t="array" ref="AX102:AX102">IF(AND(AX$2&lt;&gt;0,TblTech[[#This Row],[Hour]:[Hour]]&gt;=AX$2),1,0)</f>
        <v>0</v>
      </c>
      <c r="AY102" s="329" t="n">
        <f aca="false" t="array" ref="AY102:AY102">IF(AND(AY$2&lt;&gt;0,TblTech[[#This Row],[Hour]:[Hour]]&gt;=AY$2),1,0)</f>
        <v>0</v>
      </c>
      <c r="AZ102" s="329" t="n">
        <f aca="false" t="array" ref="AZ102:AZ102">IF(AND(AZ$2&lt;&gt;0,TblTech[[#This Row],[Hour]:[Hour]]&gt;=AZ$2),1,0)</f>
        <v>0</v>
      </c>
      <c r="BA102" s="329" t="n">
        <f aca="false" t="array" ref="BA102:BA102">IF(AND(BA$2&lt;&gt;0,TblTech[[#This Row],[Hour]:[Hour]]&gt;=BA$2),1,0)</f>
        <v>0</v>
      </c>
      <c r="BB102" s="329" t="n">
        <f aca="false" t="array" ref="BB102:BB102">IF(AND(BB$2&lt;&gt;0,TblTech[[#This Row],[Hour]:[Hour]]&gt;=BB$2),1,0)</f>
        <v>0</v>
      </c>
      <c r="BC102" s="329" t="n">
        <f aca="false" t="array" ref="BC102:BC102">IF(AND(BC$2&lt;&gt;0,TblTech[[#This Row],[Hour]:[Hour]]&gt;=BC$2),1,0)</f>
        <v>0</v>
      </c>
      <c r="BD102" s="329" t="n">
        <f aca="false" t="array" ref="BD102:BD102">IF(AND(BD$2&lt;&gt;0,TblTech[[#This Row],[Hour]:[Hour]]&gt;=BD$2),1,0)</f>
        <v>0</v>
      </c>
      <c r="BE102" s="329" t="n">
        <f aca="false" t="array" ref="BE102:BE102">IF(AND(BE$2&lt;&gt;0,TblTech[[#This Row],[Hour]:[Hour]]&gt;=BE$2),1,0)</f>
        <v>0</v>
      </c>
      <c r="BF102" s="329" t="n">
        <f aca="false" t="array" ref="BF102:BF102">IF(AND(BF$2&lt;&gt;0,TblTech[[#This Row],[Hour]:[Hour]]&gt;=BF$2),1,0)</f>
        <v>0</v>
      </c>
      <c r="BG102" s="329" t="n">
        <f aca="false" t="array" ref="BG102:BG102">IF(AND(BG$2&lt;&gt;0,TblTech[[#This Row],[Hour]:[Hour]]&gt;=BG$2),1,0)</f>
        <v>0</v>
      </c>
      <c r="BH102" s="329" t="n">
        <f aca="false" t="array" ref="BH102:BH102">IF(AND(BH$2&lt;&gt;0,TblTech[[#This Row],[Hour]:[Hour]]&gt;=BH$2),1,0)</f>
        <v>0</v>
      </c>
      <c r="BI102" s="329" t="n">
        <f aca="false" t="array" ref="BI102:BI102">IF(AND(BI$2&lt;&gt;0,TblTech[[#This Row],[Hour]:[Hour]]&gt;=BI$2),1,0)</f>
        <v>0</v>
      </c>
      <c r="BJ102" s="329" t="n">
        <f aca="false" t="array" ref="BJ102:BJ102">IF(AND(BJ$2&lt;&gt;0,TblTech[[#This Row],[Hour]:[Hour]]&gt;=BJ$2),1,0)</f>
        <v>0</v>
      </c>
      <c r="BK102" s="329" t="n">
        <f aca="false" t="array" ref="BK102:BK102">IF(AND(BK$2&lt;&gt;0,TblTech[[#This Row],[Hour]:[Hour]]&gt;=BK$2),1,0)</f>
        <v>0</v>
      </c>
      <c r="BL102" s="329" t="n">
        <f aca="false" t="array" ref="BL102:BL102">IF(AND(BL$2&lt;&gt;0,TblTech[[#This Row],[Hour]:[Hour]]&gt;=BL$2),1,0)</f>
        <v>0</v>
      </c>
      <c r="BM102" s="329" t="n">
        <f aca="false" t="array" ref="BM102:BM102">IF(AND(BM$2&lt;&gt;0,TblTech[[#This Row],[Hour]:[Hour]]&gt;=BM$2),1,0)</f>
        <v>0</v>
      </c>
      <c r="BN102" s="329" t="n">
        <f aca="false" t="array" ref="BN102:BN102">IF(AND(BN$2&lt;&gt;0,TblTech[[#This Row],[Hour]:[Hour]]&gt;=BN$2),1,0)</f>
        <v>0</v>
      </c>
      <c r="BO102" s="329" t="n">
        <f aca="false" t="array" ref="BO102:BO102">IF(AND(BO$2&lt;&gt;0,TblTech[[#This Row],[Hour]:[Hour]]&gt;=BO$2),1,0)</f>
        <v>0</v>
      </c>
      <c r="BP102" s="329" t="n">
        <f aca="false" t="array" ref="BP102:BP102">IF(AND(BP$2&lt;&gt;0,TblTech[[#This Row],[Hour]:[Hour]]&gt;=BP$2),1,0)</f>
        <v>0</v>
      </c>
      <c r="BQ102" s="329" t="n">
        <f aca="false" t="array" ref="BQ102:BQ102">IF(AND(BQ$2&lt;&gt;0,TblTech[[#This Row],[Hour]:[Hour]]&gt;=BQ$2),1,0)</f>
        <v>0</v>
      </c>
      <c r="BR102" s="329" t="n">
        <f aca="false" t="array" ref="BR102:BR102">IF(AND(BR$2&lt;&gt;0,TblTech[[#This Row],[Hour]:[Hour]]&gt;=BR$2),1,0)</f>
        <v>0</v>
      </c>
      <c r="BS102" s="329" t="n">
        <f aca="false" t="array" ref="BS102:BS102">IF(AND(BS$2&lt;&gt;0,TblTech[[#This Row],[Hour]:[Hour]]&gt;=BS$2),1,0)</f>
        <v>0</v>
      </c>
      <c r="BT102" s="329" t="n">
        <f aca="false" t="array" ref="BT102:BT102">IF(AND(BT$2&lt;&gt;0,TblTech[[#This Row],[Hour]:[Hour]]&gt;=BT$2),1,0)</f>
        <v>0</v>
      </c>
      <c r="BU102" s="329" t="n">
        <f aca="false" t="array" ref="BU102:BU102">IF(AND(BU$2&lt;&gt;0,TblTech[[#This Row],[Hour]:[Hour]]&gt;=BU$2),1,0)</f>
        <v>0</v>
      </c>
      <c r="BV102" s="329" t="n">
        <f aca="false" t="array" ref="BV102:BV102">IF(AND(BV$2&lt;&gt;0,TblTech[[#This Row],[Hour]:[Hour]]&gt;=BV$2),1,0)</f>
        <v>0</v>
      </c>
      <c r="BW102" s="329" t="n">
        <f aca="false" t="array" ref="BW102:BW102">IF(AND(BW$2&lt;&gt;0,TblTech[[#This Row],[Hour]:[Hour]]&gt;=BW$2),1,0)</f>
        <v>0</v>
      </c>
      <c r="BX102" s="329" t="n">
        <f aca="false" t="array" ref="BX102:BX102">IF(AND(BX$2&lt;&gt;0,TblTech[[#This Row],[Hour]:[Hour]]&gt;=BX$2),1,0)</f>
        <v>0</v>
      </c>
      <c r="BY102" s="329" t="n">
        <f aca="false" t="array" ref="BY102:BY102">IF(AND(BY$2&lt;&gt;0,TblTech[[#This Row],[Hour]:[Hour]]&gt;=BY$2),1,0)</f>
        <v>0</v>
      </c>
      <c r="BZ102" s="329" t="n">
        <f aca="false" t="array" ref="BZ102:BZ102">IF(AND(BZ$2&lt;&gt;0,TblTech[[#This Row],[Hour]:[Hour]]&gt;=BZ$2),1,0)</f>
        <v>0</v>
      </c>
      <c r="CA102" s="330" t="n">
        <f aca="false">IFERROR(INDEX($H$4:$H$79,MATCH(INDEX(TblTech[[#Headers],[1-1]:[11-1]],1,MATCH(TblTech[[#This Row],[Hour]],$M$2:$BZ$2,0)),$G$4:$G$79,0)),)</f>
        <v>0</v>
      </c>
    </row>
    <row r="103" customFormat="false" ht="12.75" hidden="false" customHeight="false" outlineLevel="0" collapsed="false">
      <c r="A103" s="321" t="n">
        <f aca="false">TblRezone[[#This Row],[Hour]]</f>
        <v>100</v>
      </c>
      <c r="B103" s="322" t="n">
        <f aca="false">TblExplore[[#This Row],[Land-DB]]</f>
        <v>700</v>
      </c>
      <c r="C103" s="323" t="n">
        <f aca="false">TblProd[[#This Row],[Techpoints]]</f>
        <v>1400</v>
      </c>
      <c r="D103" s="323" t="n">
        <f aca="false">TblProd[[#This Row],[Required]]</f>
        <v>3750</v>
      </c>
      <c r="E103" s="333"/>
      <c r="F103" s="334"/>
      <c r="G103" s="326"/>
      <c r="H103" s="327"/>
      <c r="I103" s="327"/>
      <c r="J103" s="327"/>
      <c r="K103" s="68" t="n">
        <f aca="false">IF(TblTech[[#This Row],[Sum of tech]]&lt;&gt;OFFSET(TblTech[[#This Row],[Sum of tech]],-1,0),1,0)</f>
        <v>0</v>
      </c>
      <c r="L103" s="328" t="n">
        <f aca="false">COUNTIF(TblTech[[#This Row],[1-1]:[11-1]],1)</f>
        <v>0</v>
      </c>
      <c r="M103" s="329" t="n">
        <f aca="false" t="array" ref="M103:M103">IF(AND(M$2&lt;&gt;0,TblTech[[#This Row],[Hour]:[Hour]]&gt;=M$2),1,0)</f>
        <v>0</v>
      </c>
      <c r="N103" s="329" t="n">
        <f aca="false" t="array" ref="N103:N103">IF(AND(N$2&lt;&gt;0,TblTech[[#This Row],[Hour]:[Hour]]&gt;=N$2),1,0)</f>
        <v>0</v>
      </c>
      <c r="O103" s="329" t="n">
        <f aca="false" t="array" ref="O103:O103">IF(AND(O$2&lt;&gt;0,TblTech[[#This Row],[Hour]:[Hour]]&gt;=O$2),1,0)</f>
        <v>0</v>
      </c>
      <c r="P103" s="329" t="n">
        <f aca="false" t="array" ref="P103:P103">IF(AND(P$2&lt;&gt;0,TblTech[[#This Row],[Hour]:[Hour]]&gt;=P$2),1,0)</f>
        <v>0</v>
      </c>
      <c r="Q103" s="329" t="n">
        <f aca="false" t="array" ref="Q103:Q103">IF(AND(Q$2&lt;&gt;0,TblTech[[#This Row],[Hour]:[Hour]]&gt;=Q$2),1,0)</f>
        <v>0</v>
      </c>
      <c r="R103" s="329" t="n">
        <f aca="false" t="array" ref="R103:R103">IF(AND(R$2&lt;&gt;0,TblTech[[#This Row],[Hour]:[Hour]]&gt;=R$2),1,0)</f>
        <v>0</v>
      </c>
      <c r="S103" s="329" t="n">
        <f aca="false" t="array" ref="S103:S103">IF(AND(S$2&lt;&gt;0,TblTech[[#This Row],[Hour]:[Hour]]&gt;=S$2),1,0)</f>
        <v>0</v>
      </c>
      <c r="T103" s="329" t="n">
        <f aca="false" t="array" ref="T103:T103">IF(AND(T$2&lt;&gt;0,TblTech[[#This Row],[Hour]:[Hour]]&gt;=T$2),1,0)</f>
        <v>0</v>
      </c>
      <c r="U103" s="329" t="n">
        <f aca="false" t="array" ref="U103:U103">IF(AND(U$2&lt;&gt;0,TblTech[[#This Row],[Hour]:[Hour]]&gt;=U$2),1,0)</f>
        <v>0</v>
      </c>
      <c r="V103" s="329" t="n">
        <f aca="false" t="array" ref="V103:V103">IF(AND(V$2&lt;&gt;0,TblTech[[#This Row],[Hour]:[Hour]]&gt;=V$2),1,0)</f>
        <v>0</v>
      </c>
      <c r="W103" s="329" t="n">
        <f aca="false" t="array" ref="W103:W103">IF(AND(W$2&lt;&gt;0,TblTech[[#This Row],[Hour]:[Hour]]&gt;=W$2),1,0)</f>
        <v>0</v>
      </c>
      <c r="X103" s="329" t="n">
        <f aca="false" t="array" ref="X103:X103">IF(AND(X$2&lt;&gt;0,TblTech[[#This Row],[Hour]:[Hour]]&gt;=X$2),1,0)</f>
        <v>0</v>
      </c>
      <c r="Y103" s="329" t="n">
        <f aca="false" t="array" ref="Y103:Y103">IF(AND(Y$2&lt;&gt;0,TblTech[[#This Row],[Hour]:[Hour]]&gt;=Y$2),1,0)</f>
        <v>0</v>
      </c>
      <c r="Z103" s="329" t="n">
        <f aca="false" t="array" ref="Z103:Z103">IF(AND(Z$2&lt;&gt;0,TblTech[[#This Row],[Hour]:[Hour]]&gt;=Z$2),1,0)</f>
        <v>0</v>
      </c>
      <c r="AA103" s="329" t="n">
        <f aca="false" t="array" ref="AA103:AA103">IF(AND(AA$2&lt;&gt;0,TblTech[[#This Row],[Hour]:[Hour]]&gt;=AA$2),1,0)</f>
        <v>0</v>
      </c>
      <c r="AB103" s="329" t="n">
        <f aca="false" t="array" ref="AB103:AB103">IF(AND(AB$2&lt;&gt;0,TblTech[[#This Row],[Hour]:[Hour]]&gt;=AB$2),1,0)</f>
        <v>0</v>
      </c>
      <c r="AC103" s="329" t="n">
        <f aca="false" t="array" ref="AC103:AC103">IF(AND(AC$2&lt;&gt;0,TblTech[[#This Row],[Hour]:[Hour]]&gt;=AC$2),1,0)</f>
        <v>0</v>
      </c>
      <c r="AD103" s="329" t="n">
        <f aca="false" t="array" ref="AD103:AD103">IF(AND(AD$2&lt;&gt;0,TblTech[[#This Row],[Hour]:[Hour]]&gt;=AD$2),1,0)</f>
        <v>0</v>
      </c>
      <c r="AE103" s="329" t="n">
        <f aca="false" t="array" ref="AE103:AE103">IF(AND(AE$2&lt;&gt;0,TblTech[[#This Row],[Hour]:[Hour]]&gt;=AE$2),1,0)</f>
        <v>0</v>
      </c>
      <c r="AF103" s="329" t="n">
        <f aca="false" t="array" ref="AF103:AF103">IF(AND(AF$2&lt;&gt;0,TblTech[[#This Row],[Hour]:[Hour]]&gt;=AF$2),1,0)</f>
        <v>0</v>
      </c>
      <c r="AG103" s="329" t="n">
        <f aca="false" t="array" ref="AG103:AG103">IF(AND(AG$2&lt;&gt;0,TblTech[[#This Row],[Hour]:[Hour]]&gt;=AG$2),1,0)</f>
        <v>0</v>
      </c>
      <c r="AH103" s="329" t="n">
        <f aca="false" t="array" ref="AH103:AH103">IF(AND(AH$2&lt;&gt;0,TblTech[[#This Row],[Hour]:[Hour]]&gt;=AH$2),1,0)</f>
        <v>0</v>
      </c>
      <c r="AI103" s="329" t="n">
        <f aca="false" t="array" ref="AI103:AI103">IF(AND(AI$2&lt;&gt;0,TblTech[[#This Row],[Hour]:[Hour]]&gt;=AI$2),1,0)</f>
        <v>0</v>
      </c>
      <c r="AJ103" s="329" t="n">
        <f aca="false" t="array" ref="AJ103:AJ103">IF(AND(AJ$2&lt;&gt;0,TblTech[[#This Row],[Hour]:[Hour]]&gt;=AJ$2),1,0)</f>
        <v>0</v>
      </c>
      <c r="AK103" s="329" t="n">
        <f aca="false" t="array" ref="AK103:AK103">IF(AND(AK$2&lt;&gt;0,TblTech[[#This Row],[Hour]:[Hour]]&gt;=AK$2),1,0)</f>
        <v>0</v>
      </c>
      <c r="AL103" s="329" t="n">
        <f aca="false" t="array" ref="AL103:AL103">IF(AND(AL$2&lt;&gt;0,TblTech[[#This Row],[Hour]:[Hour]]&gt;=AL$2),1,0)</f>
        <v>0</v>
      </c>
      <c r="AM103" s="329" t="n">
        <f aca="false" t="array" ref="AM103:AM103">IF(AND(AM$2&lt;&gt;0,TblTech[[#This Row],[Hour]:[Hour]]&gt;=AM$2),1,0)</f>
        <v>0</v>
      </c>
      <c r="AN103" s="329" t="n">
        <f aca="false" t="array" ref="AN103:AN103">IF(AND(AN$2&lt;&gt;0,TblTech[[#This Row],[Hour]:[Hour]]&gt;=AN$2),1,0)</f>
        <v>0</v>
      </c>
      <c r="AO103" s="329" t="n">
        <f aca="false" t="array" ref="AO103:AO103">IF(AND(AO$2&lt;&gt;0,TblTech[[#This Row],[Hour]:[Hour]]&gt;=AO$2),1,0)</f>
        <v>0</v>
      </c>
      <c r="AP103" s="329" t="n">
        <f aca="false" t="array" ref="AP103:AP103">IF(AND(AP$2&lt;&gt;0,TblTech[[#This Row],[Hour]:[Hour]]&gt;=AP$2),1,0)</f>
        <v>0</v>
      </c>
      <c r="AQ103" s="329" t="n">
        <f aca="false" t="array" ref="AQ103:AQ103">IF(AND(AQ$2&lt;&gt;0,TblTech[[#This Row],[Hour]:[Hour]]&gt;=AQ$2),1,0)</f>
        <v>0</v>
      </c>
      <c r="AR103" s="329" t="n">
        <f aca="false" t="array" ref="AR103:AR103">IF(AND(AR$2&lt;&gt;0,TblTech[[#This Row],[Hour]:[Hour]]&gt;=AR$2),1,0)</f>
        <v>0</v>
      </c>
      <c r="AS103" s="329" t="n">
        <f aca="false" t="array" ref="AS103:AS103">IF(AND(AS$2&lt;&gt;0,TblTech[[#This Row],[Hour]:[Hour]]&gt;=AS$2),1,0)</f>
        <v>0</v>
      </c>
      <c r="AT103" s="329" t="n">
        <f aca="false" t="array" ref="AT103:AT103">IF(AND(AT$2&lt;&gt;0,TblTech[[#This Row],[Hour]:[Hour]]&gt;=AT$2),1,0)</f>
        <v>0</v>
      </c>
      <c r="AU103" s="329" t="n">
        <f aca="false" t="array" ref="AU103:AU103">IF(AND(AU$2&lt;&gt;0,TblTech[[#This Row],[Hour]:[Hour]]&gt;=AU$2),1,0)</f>
        <v>0</v>
      </c>
      <c r="AV103" s="329" t="n">
        <f aca="false" t="array" ref="AV103:AV103">IF(AND(AV$2&lt;&gt;0,TblTech[[#This Row],[Hour]:[Hour]]&gt;=AV$2),1,0)</f>
        <v>0</v>
      </c>
      <c r="AW103" s="329" t="n">
        <f aca="false" t="array" ref="AW103:AW103">IF(AND(AW$2&lt;&gt;0,TblTech[[#This Row],[Hour]:[Hour]]&gt;=AW$2),1,0)</f>
        <v>0</v>
      </c>
      <c r="AX103" s="329" t="n">
        <f aca="false" t="array" ref="AX103:AX103">IF(AND(AX$2&lt;&gt;0,TblTech[[#This Row],[Hour]:[Hour]]&gt;=AX$2),1,0)</f>
        <v>0</v>
      </c>
      <c r="AY103" s="329" t="n">
        <f aca="false" t="array" ref="AY103:AY103">IF(AND(AY$2&lt;&gt;0,TblTech[[#This Row],[Hour]:[Hour]]&gt;=AY$2),1,0)</f>
        <v>0</v>
      </c>
      <c r="AZ103" s="329" t="n">
        <f aca="false" t="array" ref="AZ103:AZ103">IF(AND(AZ$2&lt;&gt;0,TblTech[[#This Row],[Hour]:[Hour]]&gt;=AZ$2),1,0)</f>
        <v>0</v>
      </c>
      <c r="BA103" s="329" t="n">
        <f aca="false" t="array" ref="BA103:BA103">IF(AND(BA$2&lt;&gt;0,TblTech[[#This Row],[Hour]:[Hour]]&gt;=BA$2),1,0)</f>
        <v>0</v>
      </c>
      <c r="BB103" s="329" t="n">
        <f aca="false" t="array" ref="BB103:BB103">IF(AND(BB$2&lt;&gt;0,TblTech[[#This Row],[Hour]:[Hour]]&gt;=BB$2),1,0)</f>
        <v>0</v>
      </c>
      <c r="BC103" s="329" t="n">
        <f aca="false" t="array" ref="BC103:BC103">IF(AND(BC$2&lt;&gt;0,TblTech[[#This Row],[Hour]:[Hour]]&gt;=BC$2),1,0)</f>
        <v>0</v>
      </c>
      <c r="BD103" s="329" t="n">
        <f aca="false" t="array" ref="BD103:BD103">IF(AND(BD$2&lt;&gt;0,TblTech[[#This Row],[Hour]:[Hour]]&gt;=BD$2),1,0)</f>
        <v>0</v>
      </c>
      <c r="BE103" s="329" t="n">
        <f aca="false" t="array" ref="BE103:BE103">IF(AND(BE$2&lt;&gt;0,TblTech[[#This Row],[Hour]:[Hour]]&gt;=BE$2),1,0)</f>
        <v>0</v>
      </c>
      <c r="BF103" s="329" t="n">
        <f aca="false" t="array" ref="BF103:BF103">IF(AND(BF$2&lt;&gt;0,TblTech[[#This Row],[Hour]:[Hour]]&gt;=BF$2),1,0)</f>
        <v>0</v>
      </c>
      <c r="BG103" s="329" t="n">
        <f aca="false" t="array" ref="BG103:BG103">IF(AND(BG$2&lt;&gt;0,TblTech[[#This Row],[Hour]:[Hour]]&gt;=BG$2),1,0)</f>
        <v>0</v>
      </c>
      <c r="BH103" s="329" t="n">
        <f aca="false" t="array" ref="BH103:BH103">IF(AND(BH$2&lt;&gt;0,TblTech[[#This Row],[Hour]:[Hour]]&gt;=BH$2),1,0)</f>
        <v>0</v>
      </c>
      <c r="BI103" s="329" t="n">
        <f aca="false" t="array" ref="BI103:BI103">IF(AND(BI$2&lt;&gt;0,TblTech[[#This Row],[Hour]:[Hour]]&gt;=BI$2),1,0)</f>
        <v>0</v>
      </c>
      <c r="BJ103" s="329" t="n">
        <f aca="false" t="array" ref="BJ103:BJ103">IF(AND(BJ$2&lt;&gt;0,TblTech[[#This Row],[Hour]:[Hour]]&gt;=BJ$2),1,0)</f>
        <v>0</v>
      </c>
      <c r="BK103" s="329" t="n">
        <f aca="false" t="array" ref="BK103:BK103">IF(AND(BK$2&lt;&gt;0,TblTech[[#This Row],[Hour]:[Hour]]&gt;=BK$2),1,0)</f>
        <v>0</v>
      </c>
      <c r="BL103" s="329" t="n">
        <f aca="false" t="array" ref="BL103:BL103">IF(AND(BL$2&lt;&gt;0,TblTech[[#This Row],[Hour]:[Hour]]&gt;=BL$2),1,0)</f>
        <v>0</v>
      </c>
      <c r="BM103" s="329" t="n">
        <f aca="false" t="array" ref="BM103:BM103">IF(AND(BM$2&lt;&gt;0,TblTech[[#This Row],[Hour]:[Hour]]&gt;=BM$2),1,0)</f>
        <v>0</v>
      </c>
      <c r="BN103" s="329" t="n">
        <f aca="false" t="array" ref="BN103:BN103">IF(AND(BN$2&lt;&gt;0,TblTech[[#This Row],[Hour]:[Hour]]&gt;=BN$2),1,0)</f>
        <v>0</v>
      </c>
      <c r="BO103" s="329" t="n">
        <f aca="false" t="array" ref="BO103:BO103">IF(AND(BO$2&lt;&gt;0,TblTech[[#This Row],[Hour]:[Hour]]&gt;=BO$2),1,0)</f>
        <v>0</v>
      </c>
      <c r="BP103" s="329" t="n">
        <f aca="false" t="array" ref="BP103:BP103">IF(AND(BP$2&lt;&gt;0,TblTech[[#This Row],[Hour]:[Hour]]&gt;=BP$2),1,0)</f>
        <v>0</v>
      </c>
      <c r="BQ103" s="329" t="n">
        <f aca="false" t="array" ref="BQ103:BQ103">IF(AND(BQ$2&lt;&gt;0,TblTech[[#This Row],[Hour]:[Hour]]&gt;=BQ$2),1,0)</f>
        <v>0</v>
      </c>
      <c r="BR103" s="329" t="n">
        <f aca="false" t="array" ref="BR103:BR103">IF(AND(BR$2&lt;&gt;0,TblTech[[#This Row],[Hour]:[Hour]]&gt;=BR$2),1,0)</f>
        <v>0</v>
      </c>
      <c r="BS103" s="329" t="n">
        <f aca="false" t="array" ref="BS103:BS103">IF(AND(BS$2&lt;&gt;0,TblTech[[#This Row],[Hour]:[Hour]]&gt;=BS$2),1,0)</f>
        <v>0</v>
      </c>
      <c r="BT103" s="329" t="n">
        <f aca="false" t="array" ref="BT103:BT103">IF(AND(BT$2&lt;&gt;0,TblTech[[#This Row],[Hour]:[Hour]]&gt;=BT$2),1,0)</f>
        <v>0</v>
      </c>
      <c r="BU103" s="329" t="n">
        <f aca="false" t="array" ref="BU103:BU103">IF(AND(BU$2&lt;&gt;0,TblTech[[#This Row],[Hour]:[Hour]]&gt;=BU$2),1,0)</f>
        <v>0</v>
      </c>
      <c r="BV103" s="329" t="n">
        <f aca="false" t="array" ref="BV103:BV103">IF(AND(BV$2&lt;&gt;0,TblTech[[#This Row],[Hour]:[Hour]]&gt;=BV$2),1,0)</f>
        <v>0</v>
      </c>
      <c r="BW103" s="329" t="n">
        <f aca="false" t="array" ref="BW103:BW103">IF(AND(BW$2&lt;&gt;0,TblTech[[#This Row],[Hour]:[Hour]]&gt;=BW$2),1,0)</f>
        <v>0</v>
      </c>
      <c r="BX103" s="329" t="n">
        <f aca="false" t="array" ref="BX103:BX103">IF(AND(BX$2&lt;&gt;0,TblTech[[#This Row],[Hour]:[Hour]]&gt;=BX$2),1,0)</f>
        <v>0</v>
      </c>
      <c r="BY103" s="329" t="n">
        <f aca="false" t="array" ref="BY103:BY103">IF(AND(BY$2&lt;&gt;0,TblTech[[#This Row],[Hour]:[Hour]]&gt;=BY$2),1,0)</f>
        <v>0</v>
      </c>
      <c r="BZ103" s="329" t="n">
        <f aca="false" t="array" ref="BZ103:BZ103">IF(AND(BZ$2&lt;&gt;0,TblTech[[#This Row],[Hour]:[Hour]]&gt;=BZ$2),1,0)</f>
        <v>0</v>
      </c>
      <c r="CA103" s="330" t="n">
        <f aca="false">IFERROR(INDEX($H$4:$H$79,MATCH(INDEX(TblTech[[#Headers],[1-1]:[11-1]],1,MATCH(TblTech[[#This Row],[Hour]],$M$2:$BZ$2,0)),$G$4:$G$79,0)),)</f>
        <v>0</v>
      </c>
    </row>
    <row r="104" customFormat="false" ht="12.75" hidden="false" customHeight="false" outlineLevel="0" collapsed="false">
      <c r="A104" s="321" t="n">
        <f aca="false">TblRezone[[#This Row],[Hour]]</f>
        <v>101</v>
      </c>
      <c r="B104" s="322" t="n">
        <f aca="false">TblExplore[[#This Row],[Land-DB]]</f>
        <v>700</v>
      </c>
      <c r="C104" s="323" t="n">
        <f aca="false">TblProd[[#This Row],[Techpoints]]</f>
        <v>1400</v>
      </c>
      <c r="D104" s="323" t="n">
        <f aca="false">TblProd[[#This Row],[Required]]</f>
        <v>3750</v>
      </c>
      <c r="E104" s="333"/>
      <c r="F104" s="334"/>
      <c r="G104" s="326"/>
      <c r="H104" s="327"/>
      <c r="I104" s="327"/>
      <c r="J104" s="327"/>
      <c r="K104" s="68" t="n">
        <f aca="false">IF(TblTech[[#This Row],[Sum of tech]]&lt;&gt;OFFSET(TblTech[[#This Row],[Sum of tech]],-1,0),1,0)</f>
        <v>0</v>
      </c>
      <c r="L104" s="328" t="n">
        <f aca="false">COUNTIF(TblTech[[#This Row],[1-1]:[11-1]],1)</f>
        <v>0</v>
      </c>
      <c r="M104" s="329" t="n">
        <f aca="false" t="array" ref="M104:M104">IF(AND(M$2&lt;&gt;0,TblTech[[#This Row],[Hour]:[Hour]]&gt;=M$2),1,0)</f>
        <v>0</v>
      </c>
      <c r="N104" s="329" t="n">
        <f aca="false" t="array" ref="N104:N104">IF(AND(N$2&lt;&gt;0,TblTech[[#This Row],[Hour]:[Hour]]&gt;=N$2),1,0)</f>
        <v>0</v>
      </c>
      <c r="O104" s="329" t="n">
        <f aca="false" t="array" ref="O104:O104">IF(AND(O$2&lt;&gt;0,TblTech[[#This Row],[Hour]:[Hour]]&gt;=O$2),1,0)</f>
        <v>0</v>
      </c>
      <c r="P104" s="329" t="n">
        <f aca="false" t="array" ref="P104:P104">IF(AND(P$2&lt;&gt;0,TblTech[[#This Row],[Hour]:[Hour]]&gt;=P$2),1,0)</f>
        <v>0</v>
      </c>
      <c r="Q104" s="329" t="n">
        <f aca="false" t="array" ref="Q104:Q104">IF(AND(Q$2&lt;&gt;0,TblTech[[#This Row],[Hour]:[Hour]]&gt;=Q$2),1,0)</f>
        <v>0</v>
      </c>
      <c r="R104" s="329" t="n">
        <f aca="false" t="array" ref="R104:R104">IF(AND(R$2&lt;&gt;0,TblTech[[#This Row],[Hour]:[Hour]]&gt;=R$2),1,0)</f>
        <v>0</v>
      </c>
      <c r="S104" s="329" t="n">
        <f aca="false" t="array" ref="S104:S104">IF(AND(S$2&lt;&gt;0,TblTech[[#This Row],[Hour]:[Hour]]&gt;=S$2),1,0)</f>
        <v>0</v>
      </c>
      <c r="T104" s="329" t="n">
        <f aca="false" t="array" ref="T104:T104">IF(AND(T$2&lt;&gt;0,TblTech[[#This Row],[Hour]:[Hour]]&gt;=T$2),1,0)</f>
        <v>0</v>
      </c>
      <c r="U104" s="329" t="n">
        <f aca="false" t="array" ref="U104:U104">IF(AND(U$2&lt;&gt;0,TblTech[[#This Row],[Hour]:[Hour]]&gt;=U$2),1,0)</f>
        <v>0</v>
      </c>
      <c r="V104" s="329" t="n">
        <f aca="false" t="array" ref="V104:V104">IF(AND(V$2&lt;&gt;0,TblTech[[#This Row],[Hour]:[Hour]]&gt;=V$2),1,0)</f>
        <v>0</v>
      </c>
      <c r="W104" s="329" t="n">
        <f aca="false" t="array" ref="W104:W104">IF(AND(W$2&lt;&gt;0,TblTech[[#This Row],[Hour]:[Hour]]&gt;=W$2),1,0)</f>
        <v>0</v>
      </c>
      <c r="X104" s="329" t="n">
        <f aca="false" t="array" ref="X104:X104">IF(AND(X$2&lt;&gt;0,TblTech[[#This Row],[Hour]:[Hour]]&gt;=X$2),1,0)</f>
        <v>0</v>
      </c>
      <c r="Y104" s="329" t="n">
        <f aca="false" t="array" ref="Y104:Y104">IF(AND(Y$2&lt;&gt;0,TblTech[[#This Row],[Hour]:[Hour]]&gt;=Y$2),1,0)</f>
        <v>0</v>
      </c>
      <c r="Z104" s="329" t="n">
        <f aca="false" t="array" ref="Z104:Z104">IF(AND(Z$2&lt;&gt;0,TblTech[[#This Row],[Hour]:[Hour]]&gt;=Z$2),1,0)</f>
        <v>0</v>
      </c>
      <c r="AA104" s="329" t="n">
        <f aca="false" t="array" ref="AA104:AA104">IF(AND(AA$2&lt;&gt;0,TblTech[[#This Row],[Hour]:[Hour]]&gt;=AA$2),1,0)</f>
        <v>0</v>
      </c>
      <c r="AB104" s="329" t="n">
        <f aca="false" t="array" ref="AB104:AB104">IF(AND(AB$2&lt;&gt;0,TblTech[[#This Row],[Hour]:[Hour]]&gt;=AB$2),1,0)</f>
        <v>0</v>
      </c>
      <c r="AC104" s="329" t="n">
        <f aca="false" t="array" ref="AC104:AC104">IF(AND(AC$2&lt;&gt;0,TblTech[[#This Row],[Hour]:[Hour]]&gt;=AC$2),1,0)</f>
        <v>0</v>
      </c>
      <c r="AD104" s="329" t="n">
        <f aca="false" t="array" ref="AD104:AD104">IF(AND(AD$2&lt;&gt;0,TblTech[[#This Row],[Hour]:[Hour]]&gt;=AD$2),1,0)</f>
        <v>0</v>
      </c>
      <c r="AE104" s="329" t="n">
        <f aca="false" t="array" ref="AE104:AE104">IF(AND(AE$2&lt;&gt;0,TblTech[[#This Row],[Hour]:[Hour]]&gt;=AE$2),1,0)</f>
        <v>0</v>
      </c>
      <c r="AF104" s="329" t="n">
        <f aca="false" t="array" ref="AF104:AF104">IF(AND(AF$2&lt;&gt;0,TblTech[[#This Row],[Hour]:[Hour]]&gt;=AF$2),1,0)</f>
        <v>0</v>
      </c>
      <c r="AG104" s="329" t="n">
        <f aca="false" t="array" ref="AG104:AG104">IF(AND(AG$2&lt;&gt;0,TblTech[[#This Row],[Hour]:[Hour]]&gt;=AG$2),1,0)</f>
        <v>0</v>
      </c>
      <c r="AH104" s="329" t="n">
        <f aca="false" t="array" ref="AH104:AH104">IF(AND(AH$2&lt;&gt;0,TblTech[[#This Row],[Hour]:[Hour]]&gt;=AH$2),1,0)</f>
        <v>0</v>
      </c>
      <c r="AI104" s="329" t="n">
        <f aca="false" t="array" ref="AI104:AI104">IF(AND(AI$2&lt;&gt;0,TblTech[[#This Row],[Hour]:[Hour]]&gt;=AI$2),1,0)</f>
        <v>0</v>
      </c>
      <c r="AJ104" s="329" t="n">
        <f aca="false" t="array" ref="AJ104:AJ104">IF(AND(AJ$2&lt;&gt;0,TblTech[[#This Row],[Hour]:[Hour]]&gt;=AJ$2),1,0)</f>
        <v>0</v>
      </c>
      <c r="AK104" s="329" t="n">
        <f aca="false" t="array" ref="AK104:AK104">IF(AND(AK$2&lt;&gt;0,TblTech[[#This Row],[Hour]:[Hour]]&gt;=AK$2),1,0)</f>
        <v>0</v>
      </c>
      <c r="AL104" s="329" t="n">
        <f aca="false" t="array" ref="AL104:AL104">IF(AND(AL$2&lt;&gt;0,TblTech[[#This Row],[Hour]:[Hour]]&gt;=AL$2),1,0)</f>
        <v>0</v>
      </c>
      <c r="AM104" s="329" t="n">
        <f aca="false" t="array" ref="AM104:AM104">IF(AND(AM$2&lt;&gt;0,TblTech[[#This Row],[Hour]:[Hour]]&gt;=AM$2),1,0)</f>
        <v>0</v>
      </c>
      <c r="AN104" s="329" t="n">
        <f aca="false" t="array" ref="AN104:AN104">IF(AND(AN$2&lt;&gt;0,TblTech[[#This Row],[Hour]:[Hour]]&gt;=AN$2),1,0)</f>
        <v>0</v>
      </c>
      <c r="AO104" s="329" t="n">
        <f aca="false" t="array" ref="AO104:AO104">IF(AND(AO$2&lt;&gt;0,TblTech[[#This Row],[Hour]:[Hour]]&gt;=AO$2),1,0)</f>
        <v>0</v>
      </c>
      <c r="AP104" s="329" t="n">
        <f aca="false" t="array" ref="AP104:AP104">IF(AND(AP$2&lt;&gt;0,TblTech[[#This Row],[Hour]:[Hour]]&gt;=AP$2),1,0)</f>
        <v>0</v>
      </c>
      <c r="AQ104" s="329" t="n">
        <f aca="false" t="array" ref="AQ104:AQ104">IF(AND(AQ$2&lt;&gt;0,TblTech[[#This Row],[Hour]:[Hour]]&gt;=AQ$2),1,0)</f>
        <v>0</v>
      </c>
      <c r="AR104" s="329" t="n">
        <f aca="false" t="array" ref="AR104:AR104">IF(AND(AR$2&lt;&gt;0,TblTech[[#This Row],[Hour]:[Hour]]&gt;=AR$2),1,0)</f>
        <v>0</v>
      </c>
      <c r="AS104" s="329" t="n">
        <f aca="false" t="array" ref="AS104:AS104">IF(AND(AS$2&lt;&gt;0,TblTech[[#This Row],[Hour]:[Hour]]&gt;=AS$2),1,0)</f>
        <v>0</v>
      </c>
      <c r="AT104" s="329" t="n">
        <f aca="false" t="array" ref="AT104:AT104">IF(AND(AT$2&lt;&gt;0,TblTech[[#This Row],[Hour]:[Hour]]&gt;=AT$2),1,0)</f>
        <v>0</v>
      </c>
      <c r="AU104" s="329" t="n">
        <f aca="false" t="array" ref="AU104:AU104">IF(AND(AU$2&lt;&gt;0,TblTech[[#This Row],[Hour]:[Hour]]&gt;=AU$2),1,0)</f>
        <v>0</v>
      </c>
      <c r="AV104" s="329" t="n">
        <f aca="false" t="array" ref="AV104:AV104">IF(AND(AV$2&lt;&gt;0,TblTech[[#This Row],[Hour]:[Hour]]&gt;=AV$2),1,0)</f>
        <v>0</v>
      </c>
      <c r="AW104" s="329" t="n">
        <f aca="false" t="array" ref="AW104:AW104">IF(AND(AW$2&lt;&gt;0,TblTech[[#This Row],[Hour]:[Hour]]&gt;=AW$2),1,0)</f>
        <v>0</v>
      </c>
      <c r="AX104" s="329" t="n">
        <f aca="false" t="array" ref="AX104:AX104">IF(AND(AX$2&lt;&gt;0,TblTech[[#This Row],[Hour]:[Hour]]&gt;=AX$2),1,0)</f>
        <v>0</v>
      </c>
      <c r="AY104" s="329" t="n">
        <f aca="false" t="array" ref="AY104:AY104">IF(AND(AY$2&lt;&gt;0,TblTech[[#This Row],[Hour]:[Hour]]&gt;=AY$2),1,0)</f>
        <v>0</v>
      </c>
      <c r="AZ104" s="329" t="n">
        <f aca="false" t="array" ref="AZ104:AZ104">IF(AND(AZ$2&lt;&gt;0,TblTech[[#This Row],[Hour]:[Hour]]&gt;=AZ$2),1,0)</f>
        <v>0</v>
      </c>
      <c r="BA104" s="329" t="n">
        <f aca="false" t="array" ref="BA104:BA104">IF(AND(BA$2&lt;&gt;0,TblTech[[#This Row],[Hour]:[Hour]]&gt;=BA$2),1,0)</f>
        <v>0</v>
      </c>
      <c r="BB104" s="329" t="n">
        <f aca="false" t="array" ref="BB104:BB104">IF(AND(BB$2&lt;&gt;0,TblTech[[#This Row],[Hour]:[Hour]]&gt;=BB$2),1,0)</f>
        <v>0</v>
      </c>
      <c r="BC104" s="329" t="n">
        <f aca="false" t="array" ref="BC104:BC104">IF(AND(BC$2&lt;&gt;0,TblTech[[#This Row],[Hour]:[Hour]]&gt;=BC$2),1,0)</f>
        <v>0</v>
      </c>
      <c r="BD104" s="329" t="n">
        <f aca="false" t="array" ref="BD104:BD104">IF(AND(BD$2&lt;&gt;0,TblTech[[#This Row],[Hour]:[Hour]]&gt;=BD$2),1,0)</f>
        <v>0</v>
      </c>
      <c r="BE104" s="329" t="n">
        <f aca="false" t="array" ref="BE104:BE104">IF(AND(BE$2&lt;&gt;0,TblTech[[#This Row],[Hour]:[Hour]]&gt;=BE$2),1,0)</f>
        <v>0</v>
      </c>
      <c r="BF104" s="329" t="n">
        <f aca="false" t="array" ref="BF104:BF104">IF(AND(BF$2&lt;&gt;0,TblTech[[#This Row],[Hour]:[Hour]]&gt;=BF$2),1,0)</f>
        <v>0</v>
      </c>
      <c r="BG104" s="329" t="n">
        <f aca="false" t="array" ref="BG104:BG104">IF(AND(BG$2&lt;&gt;0,TblTech[[#This Row],[Hour]:[Hour]]&gt;=BG$2),1,0)</f>
        <v>0</v>
      </c>
      <c r="BH104" s="329" t="n">
        <f aca="false" t="array" ref="BH104:BH104">IF(AND(BH$2&lt;&gt;0,TblTech[[#This Row],[Hour]:[Hour]]&gt;=BH$2),1,0)</f>
        <v>0</v>
      </c>
      <c r="BI104" s="329" t="n">
        <f aca="false" t="array" ref="BI104:BI104">IF(AND(BI$2&lt;&gt;0,TblTech[[#This Row],[Hour]:[Hour]]&gt;=BI$2),1,0)</f>
        <v>0</v>
      </c>
      <c r="BJ104" s="329" t="n">
        <f aca="false" t="array" ref="BJ104:BJ104">IF(AND(BJ$2&lt;&gt;0,TblTech[[#This Row],[Hour]:[Hour]]&gt;=BJ$2),1,0)</f>
        <v>0</v>
      </c>
      <c r="BK104" s="329" t="n">
        <f aca="false" t="array" ref="BK104:BK104">IF(AND(BK$2&lt;&gt;0,TblTech[[#This Row],[Hour]:[Hour]]&gt;=BK$2),1,0)</f>
        <v>0</v>
      </c>
      <c r="BL104" s="329" t="n">
        <f aca="false" t="array" ref="BL104:BL104">IF(AND(BL$2&lt;&gt;0,TblTech[[#This Row],[Hour]:[Hour]]&gt;=BL$2),1,0)</f>
        <v>0</v>
      </c>
      <c r="BM104" s="329" t="n">
        <f aca="false" t="array" ref="BM104:BM104">IF(AND(BM$2&lt;&gt;0,TblTech[[#This Row],[Hour]:[Hour]]&gt;=BM$2),1,0)</f>
        <v>0</v>
      </c>
      <c r="BN104" s="329" t="n">
        <f aca="false" t="array" ref="BN104:BN104">IF(AND(BN$2&lt;&gt;0,TblTech[[#This Row],[Hour]:[Hour]]&gt;=BN$2),1,0)</f>
        <v>0</v>
      </c>
      <c r="BO104" s="329" t="n">
        <f aca="false" t="array" ref="BO104:BO104">IF(AND(BO$2&lt;&gt;0,TblTech[[#This Row],[Hour]:[Hour]]&gt;=BO$2),1,0)</f>
        <v>0</v>
      </c>
      <c r="BP104" s="329" t="n">
        <f aca="false" t="array" ref="BP104:BP104">IF(AND(BP$2&lt;&gt;0,TblTech[[#This Row],[Hour]:[Hour]]&gt;=BP$2),1,0)</f>
        <v>0</v>
      </c>
      <c r="BQ104" s="329" t="n">
        <f aca="false" t="array" ref="BQ104:BQ104">IF(AND(BQ$2&lt;&gt;0,TblTech[[#This Row],[Hour]:[Hour]]&gt;=BQ$2),1,0)</f>
        <v>0</v>
      </c>
      <c r="BR104" s="329" t="n">
        <f aca="false" t="array" ref="BR104:BR104">IF(AND(BR$2&lt;&gt;0,TblTech[[#This Row],[Hour]:[Hour]]&gt;=BR$2),1,0)</f>
        <v>0</v>
      </c>
      <c r="BS104" s="329" t="n">
        <f aca="false" t="array" ref="BS104:BS104">IF(AND(BS$2&lt;&gt;0,TblTech[[#This Row],[Hour]:[Hour]]&gt;=BS$2),1,0)</f>
        <v>0</v>
      </c>
      <c r="BT104" s="329" t="n">
        <f aca="false" t="array" ref="BT104:BT104">IF(AND(BT$2&lt;&gt;0,TblTech[[#This Row],[Hour]:[Hour]]&gt;=BT$2),1,0)</f>
        <v>0</v>
      </c>
      <c r="BU104" s="329" t="n">
        <f aca="false" t="array" ref="BU104:BU104">IF(AND(BU$2&lt;&gt;0,TblTech[[#This Row],[Hour]:[Hour]]&gt;=BU$2),1,0)</f>
        <v>0</v>
      </c>
      <c r="BV104" s="329" t="n">
        <f aca="false" t="array" ref="BV104:BV104">IF(AND(BV$2&lt;&gt;0,TblTech[[#This Row],[Hour]:[Hour]]&gt;=BV$2),1,0)</f>
        <v>0</v>
      </c>
      <c r="BW104" s="329" t="n">
        <f aca="false" t="array" ref="BW104:BW104">IF(AND(BW$2&lt;&gt;0,TblTech[[#This Row],[Hour]:[Hour]]&gt;=BW$2),1,0)</f>
        <v>0</v>
      </c>
      <c r="BX104" s="329" t="n">
        <f aca="false" t="array" ref="BX104:BX104">IF(AND(BX$2&lt;&gt;0,TblTech[[#This Row],[Hour]:[Hour]]&gt;=BX$2),1,0)</f>
        <v>0</v>
      </c>
      <c r="BY104" s="329" t="n">
        <f aca="false" t="array" ref="BY104:BY104">IF(AND(BY$2&lt;&gt;0,TblTech[[#This Row],[Hour]:[Hour]]&gt;=BY$2),1,0)</f>
        <v>0</v>
      </c>
      <c r="BZ104" s="329" t="n">
        <f aca="false" t="array" ref="BZ104:BZ104">IF(AND(BZ$2&lt;&gt;0,TblTech[[#This Row],[Hour]:[Hour]]&gt;=BZ$2),1,0)</f>
        <v>0</v>
      </c>
      <c r="CA104" s="330" t="n">
        <f aca="false">IFERROR(INDEX($H$4:$H$79,MATCH(INDEX(TblTech[[#Headers],[1-1]:[11-1]],1,MATCH(TblTech[[#This Row],[Hour]],$M$2:$BZ$2,0)),$G$4:$G$79,0)),)</f>
        <v>0</v>
      </c>
    </row>
    <row r="105" customFormat="false" ht="12.75" hidden="false" customHeight="false" outlineLevel="0" collapsed="false">
      <c r="A105" s="321" t="n">
        <f aca="false">TblRezone[[#This Row],[Hour]]</f>
        <v>102</v>
      </c>
      <c r="B105" s="322" t="n">
        <f aca="false">TblExplore[[#This Row],[Land-DB]]</f>
        <v>700</v>
      </c>
      <c r="C105" s="323" t="n">
        <f aca="false">TblProd[[#This Row],[Techpoints]]</f>
        <v>1400</v>
      </c>
      <c r="D105" s="323" t="n">
        <f aca="false">TblProd[[#This Row],[Required]]</f>
        <v>3750</v>
      </c>
      <c r="E105" s="333"/>
      <c r="F105" s="334"/>
      <c r="G105" s="326"/>
      <c r="H105" s="327"/>
      <c r="I105" s="327"/>
      <c r="J105" s="327"/>
      <c r="K105" s="68" t="n">
        <f aca="false">IF(TblTech[[#This Row],[Sum of tech]]&lt;&gt;OFFSET(TblTech[[#This Row],[Sum of tech]],-1,0),1,0)</f>
        <v>0</v>
      </c>
      <c r="L105" s="328" t="n">
        <f aca="false">COUNTIF(TblTech[[#This Row],[1-1]:[11-1]],1)</f>
        <v>0</v>
      </c>
      <c r="M105" s="329" t="n">
        <f aca="false" t="array" ref="M105:M105">IF(AND(M$2&lt;&gt;0,TblTech[[#This Row],[Hour]:[Hour]]&gt;=M$2),1,0)</f>
        <v>0</v>
      </c>
      <c r="N105" s="329" t="n">
        <f aca="false" t="array" ref="N105:N105">IF(AND(N$2&lt;&gt;0,TblTech[[#This Row],[Hour]:[Hour]]&gt;=N$2),1,0)</f>
        <v>0</v>
      </c>
      <c r="O105" s="329" t="n">
        <f aca="false" t="array" ref="O105:O105">IF(AND(O$2&lt;&gt;0,TblTech[[#This Row],[Hour]:[Hour]]&gt;=O$2),1,0)</f>
        <v>0</v>
      </c>
      <c r="P105" s="329" t="n">
        <f aca="false" t="array" ref="P105:P105">IF(AND(P$2&lt;&gt;0,TblTech[[#This Row],[Hour]:[Hour]]&gt;=P$2),1,0)</f>
        <v>0</v>
      </c>
      <c r="Q105" s="329" t="n">
        <f aca="false" t="array" ref="Q105:Q105">IF(AND(Q$2&lt;&gt;0,TblTech[[#This Row],[Hour]:[Hour]]&gt;=Q$2),1,0)</f>
        <v>0</v>
      </c>
      <c r="R105" s="329" t="n">
        <f aca="false" t="array" ref="R105:R105">IF(AND(R$2&lt;&gt;0,TblTech[[#This Row],[Hour]:[Hour]]&gt;=R$2),1,0)</f>
        <v>0</v>
      </c>
      <c r="S105" s="329" t="n">
        <f aca="false" t="array" ref="S105:S105">IF(AND(S$2&lt;&gt;0,TblTech[[#This Row],[Hour]:[Hour]]&gt;=S$2),1,0)</f>
        <v>0</v>
      </c>
      <c r="T105" s="329" t="n">
        <f aca="false" t="array" ref="T105:T105">IF(AND(T$2&lt;&gt;0,TblTech[[#This Row],[Hour]:[Hour]]&gt;=T$2),1,0)</f>
        <v>0</v>
      </c>
      <c r="U105" s="329" t="n">
        <f aca="false" t="array" ref="U105:U105">IF(AND(U$2&lt;&gt;0,TblTech[[#This Row],[Hour]:[Hour]]&gt;=U$2),1,0)</f>
        <v>0</v>
      </c>
      <c r="V105" s="329" t="n">
        <f aca="false" t="array" ref="V105:V105">IF(AND(V$2&lt;&gt;0,TblTech[[#This Row],[Hour]:[Hour]]&gt;=V$2),1,0)</f>
        <v>0</v>
      </c>
      <c r="W105" s="329" t="n">
        <f aca="false" t="array" ref="W105:W105">IF(AND(W$2&lt;&gt;0,TblTech[[#This Row],[Hour]:[Hour]]&gt;=W$2),1,0)</f>
        <v>0</v>
      </c>
      <c r="X105" s="329" t="n">
        <f aca="false" t="array" ref="X105:X105">IF(AND(X$2&lt;&gt;0,TblTech[[#This Row],[Hour]:[Hour]]&gt;=X$2),1,0)</f>
        <v>0</v>
      </c>
      <c r="Y105" s="329" t="n">
        <f aca="false" t="array" ref="Y105:Y105">IF(AND(Y$2&lt;&gt;0,TblTech[[#This Row],[Hour]:[Hour]]&gt;=Y$2),1,0)</f>
        <v>0</v>
      </c>
      <c r="Z105" s="329" t="n">
        <f aca="false" t="array" ref="Z105:Z105">IF(AND(Z$2&lt;&gt;0,TblTech[[#This Row],[Hour]:[Hour]]&gt;=Z$2),1,0)</f>
        <v>0</v>
      </c>
      <c r="AA105" s="329" t="n">
        <f aca="false" t="array" ref="AA105:AA105">IF(AND(AA$2&lt;&gt;0,TblTech[[#This Row],[Hour]:[Hour]]&gt;=AA$2),1,0)</f>
        <v>0</v>
      </c>
      <c r="AB105" s="329" t="n">
        <f aca="false" t="array" ref="AB105:AB105">IF(AND(AB$2&lt;&gt;0,TblTech[[#This Row],[Hour]:[Hour]]&gt;=AB$2),1,0)</f>
        <v>0</v>
      </c>
      <c r="AC105" s="329" t="n">
        <f aca="false" t="array" ref="AC105:AC105">IF(AND(AC$2&lt;&gt;0,TblTech[[#This Row],[Hour]:[Hour]]&gt;=AC$2),1,0)</f>
        <v>0</v>
      </c>
      <c r="AD105" s="329" t="n">
        <f aca="false" t="array" ref="AD105:AD105">IF(AND(AD$2&lt;&gt;0,TblTech[[#This Row],[Hour]:[Hour]]&gt;=AD$2),1,0)</f>
        <v>0</v>
      </c>
      <c r="AE105" s="329" t="n">
        <f aca="false" t="array" ref="AE105:AE105">IF(AND(AE$2&lt;&gt;0,TblTech[[#This Row],[Hour]:[Hour]]&gt;=AE$2),1,0)</f>
        <v>0</v>
      </c>
      <c r="AF105" s="329" t="n">
        <f aca="false" t="array" ref="AF105:AF105">IF(AND(AF$2&lt;&gt;0,TblTech[[#This Row],[Hour]:[Hour]]&gt;=AF$2),1,0)</f>
        <v>0</v>
      </c>
      <c r="AG105" s="329" t="n">
        <f aca="false" t="array" ref="AG105:AG105">IF(AND(AG$2&lt;&gt;0,TblTech[[#This Row],[Hour]:[Hour]]&gt;=AG$2),1,0)</f>
        <v>0</v>
      </c>
      <c r="AH105" s="329" t="n">
        <f aca="false" t="array" ref="AH105:AH105">IF(AND(AH$2&lt;&gt;0,TblTech[[#This Row],[Hour]:[Hour]]&gt;=AH$2),1,0)</f>
        <v>0</v>
      </c>
      <c r="AI105" s="329" t="n">
        <f aca="false" t="array" ref="AI105:AI105">IF(AND(AI$2&lt;&gt;0,TblTech[[#This Row],[Hour]:[Hour]]&gt;=AI$2),1,0)</f>
        <v>0</v>
      </c>
      <c r="AJ105" s="329" t="n">
        <f aca="false" t="array" ref="AJ105:AJ105">IF(AND(AJ$2&lt;&gt;0,TblTech[[#This Row],[Hour]:[Hour]]&gt;=AJ$2),1,0)</f>
        <v>0</v>
      </c>
      <c r="AK105" s="329" t="n">
        <f aca="false" t="array" ref="AK105:AK105">IF(AND(AK$2&lt;&gt;0,TblTech[[#This Row],[Hour]:[Hour]]&gt;=AK$2),1,0)</f>
        <v>0</v>
      </c>
      <c r="AL105" s="329" t="n">
        <f aca="false" t="array" ref="AL105:AL105">IF(AND(AL$2&lt;&gt;0,TblTech[[#This Row],[Hour]:[Hour]]&gt;=AL$2),1,0)</f>
        <v>0</v>
      </c>
      <c r="AM105" s="329" t="n">
        <f aca="false" t="array" ref="AM105:AM105">IF(AND(AM$2&lt;&gt;0,TblTech[[#This Row],[Hour]:[Hour]]&gt;=AM$2),1,0)</f>
        <v>0</v>
      </c>
      <c r="AN105" s="329" t="n">
        <f aca="false" t="array" ref="AN105:AN105">IF(AND(AN$2&lt;&gt;0,TblTech[[#This Row],[Hour]:[Hour]]&gt;=AN$2),1,0)</f>
        <v>0</v>
      </c>
      <c r="AO105" s="329" t="n">
        <f aca="false" t="array" ref="AO105:AO105">IF(AND(AO$2&lt;&gt;0,TblTech[[#This Row],[Hour]:[Hour]]&gt;=AO$2),1,0)</f>
        <v>0</v>
      </c>
      <c r="AP105" s="329" t="n">
        <f aca="false" t="array" ref="AP105:AP105">IF(AND(AP$2&lt;&gt;0,TblTech[[#This Row],[Hour]:[Hour]]&gt;=AP$2),1,0)</f>
        <v>0</v>
      </c>
      <c r="AQ105" s="329" t="n">
        <f aca="false" t="array" ref="AQ105:AQ105">IF(AND(AQ$2&lt;&gt;0,TblTech[[#This Row],[Hour]:[Hour]]&gt;=AQ$2),1,0)</f>
        <v>0</v>
      </c>
      <c r="AR105" s="329" t="n">
        <f aca="false" t="array" ref="AR105:AR105">IF(AND(AR$2&lt;&gt;0,TblTech[[#This Row],[Hour]:[Hour]]&gt;=AR$2),1,0)</f>
        <v>0</v>
      </c>
      <c r="AS105" s="329" t="n">
        <f aca="false" t="array" ref="AS105:AS105">IF(AND(AS$2&lt;&gt;0,TblTech[[#This Row],[Hour]:[Hour]]&gt;=AS$2),1,0)</f>
        <v>0</v>
      </c>
      <c r="AT105" s="329" t="n">
        <f aca="false" t="array" ref="AT105:AT105">IF(AND(AT$2&lt;&gt;0,TblTech[[#This Row],[Hour]:[Hour]]&gt;=AT$2),1,0)</f>
        <v>0</v>
      </c>
      <c r="AU105" s="329" t="n">
        <f aca="false" t="array" ref="AU105:AU105">IF(AND(AU$2&lt;&gt;0,TblTech[[#This Row],[Hour]:[Hour]]&gt;=AU$2),1,0)</f>
        <v>0</v>
      </c>
      <c r="AV105" s="329" t="n">
        <f aca="false" t="array" ref="AV105:AV105">IF(AND(AV$2&lt;&gt;0,TblTech[[#This Row],[Hour]:[Hour]]&gt;=AV$2),1,0)</f>
        <v>0</v>
      </c>
      <c r="AW105" s="329" t="n">
        <f aca="false" t="array" ref="AW105:AW105">IF(AND(AW$2&lt;&gt;0,TblTech[[#This Row],[Hour]:[Hour]]&gt;=AW$2),1,0)</f>
        <v>0</v>
      </c>
      <c r="AX105" s="329" t="n">
        <f aca="false" t="array" ref="AX105:AX105">IF(AND(AX$2&lt;&gt;0,TblTech[[#This Row],[Hour]:[Hour]]&gt;=AX$2),1,0)</f>
        <v>0</v>
      </c>
      <c r="AY105" s="329" t="n">
        <f aca="false" t="array" ref="AY105:AY105">IF(AND(AY$2&lt;&gt;0,TblTech[[#This Row],[Hour]:[Hour]]&gt;=AY$2),1,0)</f>
        <v>0</v>
      </c>
      <c r="AZ105" s="329" t="n">
        <f aca="false" t="array" ref="AZ105:AZ105">IF(AND(AZ$2&lt;&gt;0,TblTech[[#This Row],[Hour]:[Hour]]&gt;=AZ$2),1,0)</f>
        <v>0</v>
      </c>
      <c r="BA105" s="329" t="n">
        <f aca="false" t="array" ref="BA105:BA105">IF(AND(BA$2&lt;&gt;0,TblTech[[#This Row],[Hour]:[Hour]]&gt;=BA$2),1,0)</f>
        <v>0</v>
      </c>
      <c r="BB105" s="329" t="n">
        <f aca="false" t="array" ref="BB105:BB105">IF(AND(BB$2&lt;&gt;0,TblTech[[#This Row],[Hour]:[Hour]]&gt;=BB$2),1,0)</f>
        <v>0</v>
      </c>
      <c r="BC105" s="329" t="n">
        <f aca="false" t="array" ref="BC105:BC105">IF(AND(BC$2&lt;&gt;0,TblTech[[#This Row],[Hour]:[Hour]]&gt;=BC$2),1,0)</f>
        <v>0</v>
      </c>
      <c r="BD105" s="329" t="n">
        <f aca="false" t="array" ref="BD105:BD105">IF(AND(BD$2&lt;&gt;0,TblTech[[#This Row],[Hour]:[Hour]]&gt;=BD$2),1,0)</f>
        <v>0</v>
      </c>
      <c r="BE105" s="329" t="n">
        <f aca="false" t="array" ref="BE105:BE105">IF(AND(BE$2&lt;&gt;0,TblTech[[#This Row],[Hour]:[Hour]]&gt;=BE$2),1,0)</f>
        <v>0</v>
      </c>
      <c r="BF105" s="329" t="n">
        <f aca="false" t="array" ref="BF105:BF105">IF(AND(BF$2&lt;&gt;0,TblTech[[#This Row],[Hour]:[Hour]]&gt;=BF$2),1,0)</f>
        <v>0</v>
      </c>
      <c r="BG105" s="329" t="n">
        <f aca="false" t="array" ref="BG105:BG105">IF(AND(BG$2&lt;&gt;0,TblTech[[#This Row],[Hour]:[Hour]]&gt;=BG$2),1,0)</f>
        <v>0</v>
      </c>
      <c r="BH105" s="329" t="n">
        <f aca="false" t="array" ref="BH105:BH105">IF(AND(BH$2&lt;&gt;0,TblTech[[#This Row],[Hour]:[Hour]]&gt;=BH$2),1,0)</f>
        <v>0</v>
      </c>
      <c r="BI105" s="329" t="n">
        <f aca="false" t="array" ref="BI105:BI105">IF(AND(BI$2&lt;&gt;0,TblTech[[#This Row],[Hour]:[Hour]]&gt;=BI$2),1,0)</f>
        <v>0</v>
      </c>
      <c r="BJ105" s="329" t="n">
        <f aca="false" t="array" ref="BJ105:BJ105">IF(AND(BJ$2&lt;&gt;0,TblTech[[#This Row],[Hour]:[Hour]]&gt;=BJ$2),1,0)</f>
        <v>0</v>
      </c>
      <c r="BK105" s="329" t="n">
        <f aca="false" t="array" ref="BK105:BK105">IF(AND(BK$2&lt;&gt;0,TblTech[[#This Row],[Hour]:[Hour]]&gt;=BK$2),1,0)</f>
        <v>0</v>
      </c>
      <c r="BL105" s="329" t="n">
        <f aca="false" t="array" ref="BL105:BL105">IF(AND(BL$2&lt;&gt;0,TblTech[[#This Row],[Hour]:[Hour]]&gt;=BL$2),1,0)</f>
        <v>0</v>
      </c>
      <c r="BM105" s="329" t="n">
        <f aca="false" t="array" ref="BM105:BM105">IF(AND(BM$2&lt;&gt;0,TblTech[[#This Row],[Hour]:[Hour]]&gt;=BM$2),1,0)</f>
        <v>0</v>
      </c>
      <c r="BN105" s="329" t="n">
        <f aca="false" t="array" ref="BN105:BN105">IF(AND(BN$2&lt;&gt;0,TblTech[[#This Row],[Hour]:[Hour]]&gt;=BN$2),1,0)</f>
        <v>0</v>
      </c>
      <c r="BO105" s="329" t="n">
        <f aca="false" t="array" ref="BO105:BO105">IF(AND(BO$2&lt;&gt;0,TblTech[[#This Row],[Hour]:[Hour]]&gt;=BO$2),1,0)</f>
        <v>0</v>
      </c>
      <c r="BP105" s="329" t="n">
        <f aca="false" t="array" ref="BP105:BP105">IF(AND(BP$2&lt;&gt;0,TblTech[[#This Row],[Hour]:[Hour]]&gt;=BP$2),1,0)</f>
        <v>0</v>
      </c>
      <c r="BQ105" s="329" t="n">
        <f aca="false" t="array" ref="BQ105:BQ105">IF(AND(BQ$2&lt;&gt;0,TblTech[[#This Row],[Hour]:[Hour]]&gt;=BQ$2),1,0)</f>
        <v>0</v>
      </c>
      <c r="BR105" s="329" t="n">
        <f aca="false" t="array" ref="BR105:BR105">IF(AND(BR$2&lt;&gt;0,TblTech[[#This Row],[Hour]:[Hour]]&gt;=BR$2),1,0)</f>
        <v>0</v>
      </c>
      <c r="BS105" s="329" t="n">
        <f aca="false" t="array" ref="BS105:BS105">IF(AND(BS$2&lt;&gt;0,TblTech[[#This Row],[Hour]:[Hour]]&gt;=BS$2),1,0)</f>
        <v>0</v>
      </c>
      <c r="BT105" s="329" t="n">
        <f aca="false" t="array" ref="BT105:BT105">IF(AND(BT$2&lt;&gt;0,TblTech[[#This Row],[Hour]:[Hour]]&gt;=BT$2),1,0)</f>
        <v>0</v>
      </c>
      <c r="BU105" s="329" t="n">
        <f aca="false" t="array" ref="BU105:BU105">IF(AND(BU$2&lt;&gt;0,TblTech[[#This Row],[Hour]:[Hour]]&gt;=BU$2),1,0)</f>
        <v>0</v>
      </c>
      <c r="BV105" s="329" t="n">
        <f aca="false" t="array" ref="BV105:BV105">IF(AND(BV$2&lt;&gt;0,TblTech[[#This Row],[Hour]:[Hour]]&gt;=BV$2),1,0)</f>
        <v>0</v>
      </c>
      <c r="BW105" s="329" t="n">
        <f aca="false" t="array" ref="BW105:BW105">IF(AND(BW$2&lt;&gt;0,TblTech[[#This Row],[Hour]:[Hour]]&gt;=BW$2),1,0)</f>
        <v>0</v>
      </c>
      <c r="BX105" s="329" t="n">
        <f aca="false" t="array" ref="BX105:BX105">IF(AND(BX$2&lt;&gt;0,TblTech[[#This Row],[Hour]:[Hour]]&gt;=BX$2),1,0)</f>
        <v>0</v>
      </c>
      <c r="BY105" s="329" t="n">
        <f aca="false" t="array" ref="BY105:BY105">IF(AND(BY$2&lt;&gt;0,TblTech[[#This Row],[Hour]:[Hour]]&gt;=BY$2),1,0)</f>
        <v>0</v>
      </c>
      <c r="BZ105" s="329" t="n">
        <f aca="false" t="array" ref="BZ105:BZ105">IF(AND(BZ$2&lt;&gt;0,TblTech[[#This Row],[Hour]:[Hour]]&gt;=BZ$2),1,0)</f>
        <v>0</v>
      </c>
      <c r="CA105" s="330" t="n">
        <f aca="false">IFERROR(INDEX($H$4:$H$79,MATCH(INDEX(TblTech[[#Headers],[1-1]:[11-1]],1,MATCH(TblTech[[#This Row],[Hour]],$M$2:$BZ$2,0)),$G$4:$G$79,0)),)</f>
        <v>0</v>
      </c>
    </row>
    <row r="106" customFormat="false" ht="12.75" hidden="false" customHeight="false" outlineLevel="0" collapsed="false">
      <c r="A106" s="321" t="n">
        <f aca="false">TblRezone[[#This Row],[Hour]]</f>
        <v>103</v>
      </c>
      <c r="B106" s="322" t="n">
        <f aca="false">TblExplore[[#This Row],[Land-DB]]</f>
        <v>700</v>
      </c>
      <c r="C106" s="323" t="n">
        <f aca="false">TblProd[[#This Row],[Techpoints]]</f>
        <v>1400</v>
      </c>
      <c r="D106" s="323" t="n">
        <f aca="false">TblProd[[#This Row],[Required]]</f>
        <v>3750</v>
      </c>
      <c r="E106" s="333"/>
      <c r="F106" s="334"/>
      <c r="G106" s="326"/>
      <c r="H106" s="327"/>
      <c r="I106" s="327"/>
      <c r="J106" s="327"/>
      <c r="K106" s="68" t="n">
        <f aca="false">IF(TblTech[[#This Row],[Sum of tech]]&lt;&gt;OFFSET(TblTech[[#This Row],[Sum of tech]],-1,0),1,0)</f>
        <v>0</v>
      </c>
      <c r="L106" s="328" t="n">
        <f aca="false">COUNTIF(TblTech[[#This Row],[1-1]:[11-1]],1)</f>
        <v>0</v>
      </c>
      <c r="M106" s="329" t="n">
        <f aca="false" t="array" ref="M106:M106">IF(AND(M$2&lt;&gt;0,TblTech[[#This Row],[Hour]:[Hour]]&gt;=M$2),1,0)</f>
        <v>0</v>
      </c>
      <c r="N106" s="329" t="n">
        <f aca="false" t="array" ref="N106:N106">IF(AND(N$2&lt;&gt;0,TblTech[[#This Row],[Hour]:[Hour]]&gt;=N$2),1,0)</f>
        <v>0</v>
      </c>
      <c r="O106" s="329" t="n">
        <f aca="false" t="array" ref="O106:O106">IF(AND(O$2&lt;&gt;0,TblTech[[#This Row],[Hour]:[Hour]]&gt;=O$2),1,0)</f>
        <v>0</v>
      </c>
      <c r="P106" s="329" t="n">
        <f aca="false" t="array" ref="P106:P106">IF(AND(P$2&lt;&gt;0,TblTech[[#This Row],[Hour]:[Hour]]&gt;=P$2),1,0)</f>
        <v>0</v>
      </c>
      <c r="Q106" s="329" t="n">
        <f aca="false" t="array" ref="Q106:Q106">IF(AND(Q$2&lt;&gt;0,TblTech[[#This Row],[Hour]:[Hour]]&gt;=Q$2),1,0)</f>
        <v>0</v>
      </c>
      <c r="R106" s="329" t="n">
        <f aca="false" t="array" ref="R106:R106">IF(AND(R$2&lt;&gt;0,TblTech[[#This Row],[Hour]:[Hour]]&gt;=R$2),1,0)</f>
        <v>0</v>
      </c>
      <c r="S106" s="329" t="n">
        <f aca="false" t="array" ref="S106:S106">IF(AND(S$2&lt;&gt;0,TblTech[[#This Row],[Hour]:[Hour]]&gt;=S$2),1,0)</f>
        <v>0</v>
      </c>
      <c r="T106" s="329" t="n">
        <f aca="false" t="array" ref="T106:T106">IF(AND(T$2&lt;&gt;0,TblTech[[#This Row],[Hour]:[Hour]]&gt;=T$2),1,0)</f>
        <v>0</v>
      </c>
      <c r="U106" s="329" t="n">
        <f aca="false" t="array" ref="U106:U106">IF(AND(U$2&lt;&gt;0,TblTech[[#This Row],[Hour]:[Hour]]&gt;=U$2),1,0)</f>
        <v>0</v>
      </c>
      <c r="V106" s="329" t="n">
        <f aca="false" t="array" ref="V106:V106">IF(AND(V$2&lt;&gt;0,TblTech[[#This Row],[Hour]:[Hour]]&gt;=V$2),1,0)</f>
        <v>0</v>
      </c>
      <c r="W106" s="329" t="n">
        <f aca="false" t="array" ref="W106:W106">IF(AND(W$2&lt;&gt;0,TblTech[[#This Row],[Hour]:[Hour]]&gt;=W$2),1,0)</f>
        <v>0</v>
      </c>
      <c r="X106" s="329" t="n">
        <f aca="false" t="array" ref="X106:X106">IF(AND(X$2&lt;&gt;0,TblTech[[#This Row],[Hour]:[Hour]]&gt;=X$2),1,0)</f>
        <v>0</v>
      </c>
      <c r="Y106" s="329" t="n">
        <f aca="false" t="array" ref="Y106:Y106">IF(AND(Y$2&lt;&gt;0,TblTech[[#This Row],[Hour]:[Hour]]&gt;=Y$2),1,0)</f>
        <v>0</v>
      </c>
      <c r="Z106" s="329" t="n">
        <f aca="false" t="array" ref="Z106:Z106">IF(AND(Z$2&lt;&gt;0,TblTech[[#This Row],[Hour]:[Hour]]&gt;=Z$2),1,0)</f>
        <v>0</v>
      </c>
      <c r="AA106" s="329" t="n">
        <f aca="false" t="array" ref="AA106:AA106">IF(AND(AA$2&lt;&gt;0,TblTech[[#This Row],[Hour]:[Hour]]&gt;=AA$2),1,0)</f>
        <v>0</v>
      </c>
      <c r="AB106" s="329" t="n">
        <f aca="false" t="array" ref="AB106:AB106">IF(AND(AB$2&lt;&gt;0,TblTech[[#This Row],[Hour]:[Hour]]&gt;=AB$2),1,0)</f>
        <v>0</v>
      </c>
      <c r="AC106" s="329" t="n">
        <f aca="false" t="array" ref="AC106:AC106">IF(AND(AC$2&lt;&gt;0,TblTech[[#This Row],[Hour]:[Hour]]&gt;=AC$2),1,0)</f>
        <v>0</v>
      </c>
      <c r="AD106" s="329" t="n">
        <f aca="false" t="array" ref="AD106:AD106">IF(AND(AD$2&lt;&gt;0,TblTech[[#This Row],[Hour]:[Hour]]&gt;=AD$2),1,0)</f>
        <v>0</v>
      </c>
      <c r="AE106" s="329" t="n">
        <f aca="false" t="array" ref="AE106:AE106">IF(AND(AE$2&lt;&gt;0,TblTech[[#This Row],[Hour]:[Hour]]&gt;=AE$2),1,0)</f>
        <v>0</v>
      </c>
      <c r="AF106" s="329" t="n">
        <f aca="false" t="array" ref="AF106:AF106">IF(AND(AF$2&lt;&gt;0,TblTech[[#This Row],[Hour]:[Hour]]&gt;=AF$2),1,0)</f>
        <v>0</v>
      </c>
      <c r="AG106" s="329" t="n">
        <f aca="false" t="array" ref="AG106:AG106">IF(AND(AG$2&lt;&gt;0,TblTech[[#This Row],[Hour]:[Hour]]&gt;=AG$2),1,0)</f>
        <v>0</v>
      </c>
      <c r="AH106" s="329" t="n">
        <f aca="false" t="array" ref="AH106:AH106">IF(AND(AH$2&lt;&gt;0,TblTech[[#This Row],[Hour]:[Hour]]&gt;=AH$2),1,0)</f>
        <v>0</v>
      </c>
      <c r="AI106" s="329" t="n">
        <f aca="false" t="array" ref="AI106:AI106">IF(AND(AI$2&lt;&gt;0,TblTech[[#This Row],[Hour]:[Hour]]&gt;=AI$2),1,0)</f>
        <v>0</v>
      </c>
      <c r="AJ106" s="329" t="n">
        <f aca="false" t="array" ref="AJ106:AJ106">IF(AND(AJ$2&lt;&gt;0,TblTech[[#This Row],[Hour]:[Hour]]&gt;=AJ$2),1,0)</f>
        <v>0</v>
      </c>
      <c r="AK106" s="329" t="n">
        <f aca="false" t="array" ref="AK106:AK106">IF(AND(AK$2&lt;&gt;0,TblTech[[#This Row],[Hour]:[Hour]]&gt;=AK$2),1,0)</f>
        <v>0</v>
      </c>
      <c r="AL106" s="329" t="n">
        <f aca="false" t="array" ref="AL106:AL106">IF(AND(AL$2&lt;&gt;0,TblTech[[#This Row],[Hour]:[Hour]]&gt;=AL$2),1,0)</f>
        <v>0</v>
      </c>
      <c r="AM106" s="329" t="n">
        <f aca="false" t="array" ref="AM106:AM106">IF(AND(AM$2&lt;&gt;0,TblTech[[#This Row],[Hour]:[Hour]]&gt;=AM$2),1,0)</f>
        <v>0</v>
      </c>
      <c r="AN106" s="329" t="n">
        <f aca="false" t="array" ref="AN106:AN106">IF(AND(AN$2&lt;&gt;0,TblTech[[#This Row],[Hour]:[Hour]]&gt;=AN$2),1,0)</f>
        <v>0</v>
      </c>
      <c r="AO106" s="329" t="n">
        <f aca="false" t="array" ref="AO106:AO106">IF(AND(AO$2&lt;&gt;0,TblTech[[#This Row],[Hour]:[Hour]]&gt;=AO$2),1,0)</f>
        <v>0</v>
      </c>
      <c r="AP106" s="329" t="n">
        <f aca="false" t="array" ref="AP106:AP106">IF(AND(AP$2&lt;&gt;0,TblTech[[#This Row],[Hour]:[Hour]]&gt;=AP$2),1,0)</f>
        <v>0</v>
      </c>
      <c r="AQ106" s="329" t="n">
        <f aca="false" t="array" ref="AQ106:AQ106">IF(AND(AQ$2&lt;&gt;0,TblTech[[#This Row],[Hour]:[Hour]]&gt;=AQ$2),1,0)</f>
        <v>0</v>
      </c>
      <c r="AR106" s="329" t="n">
        <f aca="false" t="array" ref="AR106:AR106">IF(AND(AR$2&lt;&gt;0,TblTech[[#This Row],[Hour]:[Hour]]&gt;=AR$2),1,0)</f>
        <v>0</v>
      </c>
      <c r="AS106" s="329" t="n">
        <f aca="false" t="array" ref="AS106:AS106">IF(AND(AS$2&lt;&gt;0,TblTech[[#This Row],[Hour]:[Hour]]&gt;=AS$2),1,0)</f>
        <v>0</v>
      </c>
      <c r="AT106" s="329" t="n">
        <f aca="false" t="array" ref="AT106:AT106">IF(AND(AT$2&lt;&gt;0,TblTech[[#This Row],[Hour]:[Hour]]&gt;=AT$2),1,0)</f>
        <v>0</v>
      </c>
      <c r="AU106" s="329" t="n">
        <f aca="false" t="array" ref="AU106:AU106">IF(AND(AU$2&lt;&gt;0,TblTech[[#This Row],[Hour]:[Hour]]&gt;=AU$2),1,0)</f>
        <v>0</v>
      </c>
      <c r="AV106" s="329" t="n">
        <f aca="false" t="array" ref="AV106:AV106">IF(AND(AV$2&lt;&gt;0,TblTech[[#This Row],[Hour]:[Hour]]&gt;=AV$2),1,0)</f>
        <v>0</v>
      </c>
      <c r="AW106" s="329" t="n">
        <f aca="false" t="array" ref="AW106:AW106">IF(AND(AW$2&lt;&gt;0,TblTech[[#This Row],[Hour]:[Hour]]&gt;=AW$2),1,0)</f>
        <v>0</v>
      </c>
      <c r="AX106" s="329" t="n">
        <f aca="false" t="array" ref="AX106:AX106">IF(AND(AX$2&lt;&gt;0,TblTech[[#This Row],[Hour]:[Hour]]&gt;=AX$2),1,0)</f>
        <v>0</v>
      </c>
      <c r="AY106" s="329" t="n">
        <f aca="false" t="array" ref="AY106:AY106">IF(AND(AY$2&lt;&gt;0,TblTech[[#This Row],[Hour]:[Hour]]&gt;=AY$2),1,0)</f>
        <v>0</v>
      </c>
      <c r="AZ106" s="329" t="n">
        <f aca="false" t="array" ref="AZ106:AZ106">IF(AND(AZ$2&lt;&gt;0,TblTech[[#This Row],[Hour]:[Hour]]&gt;=AZ$2),1,0)</f>
        <v>0</v>
      </c>
      <c r="BA106" s="329" t="n">
        <f aca="false" t="array" ref="BA106:BA106">IF(AND(BA$2&lt;&gt;0,TblTech[[#This Row],[Hour]:[Hour]]&gt;=BA$2),1,0)</f>
        <v>0</v>
      </c>
      <c r="BB106" s="329" t="n">
        <f aca="false" t="array" ref="BB106:BB106">IF(AND(BB$2&lt;&gt;0,TblTech[[#This Row],[Hour]:[Hour]]&gt;=BB$2),1,0)</f>
        <v>0</v>
      </c>
      <c r="BC106" s="329" t="n">
        <f aca="false" t="array" ref="BC106:BC106">IF(AND(BC$2&lt;&gt;0,TblTech[[#This Row],[Hour]:[Hour]]&gt;=BC$2),1,0)</f>
        <v>0</v>
      </c>
      <c r="BD106" s="329" t="n">
        <f aca="false" t="array" ref="BD106:BD106">IF(AND(BD$2&lt;&gt;0,TblTech[[#This Row],[Hour]:[Hour]]&gt;=BD$2),1,0)</f>
        <v>0</v>
      </c>
      <c r="BE106" s="329" t="n">
        <f aca="false" t="array" ref="BE106:BE106">IF(AND(BE$2&lt;&gt;0,TblTech[[#This Row],[Hour]:[Hour]]&gt;=BE$2),1,0)</f>
        <v>0</v>
      </c>
      <c r="BF106" s="329" t="n">
        <f aca="false" t="array" ref="BF106:BF106">IF(AND(BF$2&lt;&gt;0,TblTech[[#This Row],[Hour]:[Hour]]&gt;=BF$2),1,0)</f>
        <v>0</v>
      </c>
      <c r="BG106" s="329" t="n">
        <f aca="false" t="array" ref="BG106:BG106">IF(AND(BG$2&lt;&gt;0,TblTech[[#This Row],[Hour]:[Hour]]&gt;=BG$2),1,0)</f>
        <v>0</v>
      </c>
      <c r="BH106" s="329" t="n">
        <f aca="false" t="array" ref="BH106:BH106">IF(AND(BH$2&lt;&gt;0,TblTech[[#This Row],[Hour]:[Hour]]&gt;=BH$2),1,0)</f>
        <v>0</v>
      </c>
      <c r="BI106" s="329" t="n">
        <f aca="false" t="array" ref="BI106:BI106">IF(AND(BI$2&lt;&gt;0,TblTech[[#This Row],[Hour]:[Hour]]&gt;=BI$2),1,0)</f>
        <v>0</v>
      </c>
      <c r="BJ106" s="329" t="n">
        <f aca="false" t="array" ref="BJ106:BJ106">IF(AND(BJ$2&lt;&gt;0,TblTech[[#This Row],[Hour]:[Hour]]&gt;=BJ$2),1,0)</f>
        <v>0</v>
      </c>
      <c r="BK106" s="329" t="n">
        <f aca="false" t="array" ref="BK106:BK106">IF(AND(BK$2&lt;&gt;0,TblTech[[#This Row],[Hour]:[Hour]]&gt;=BK$2),1,0)</f>
        <v>0</v>
      </c>
      <c r="BL106" s="329" t="n">
        <f aca="false" t="array" ref="BL106:BL106">IF(AND(BL$2&lt;&gt;0,TblTech[[#This Row],[Hour]:[Hour]]&gt;=BL$2),1,0)</f>
        <v>0</v>
      </c>
      <c r="BM106" s="329" t="n">
        <f aca="false" t="array" ref="BM106:BM106">IF(AND(BM$2&lt;&gt;0,TblTech[[#This Row],[Hour]:[Hour]]&gt;=BM$2),1,0)</f>
        <v>0</v>
      </c>
      <c r="BN106" s="329" t="n">
        <f aca="false" t="array" ref="BN106:BN106">IF(AND(BN$2&lt;&gt;0,TblTech[[#This Row],[Hour]:[Hour]]&gt;=BN$2),1,0)</f>
        <v>0</v>
      </c>
      <c r="BO106" s="329" t="n">
        <f aca="false" t="array" ref="BO106:BO106">IF(AND(BO$2&lt;&gt;0,TblTech[[#This Row],[Hour]:[Hour]]&gt;=BO$2),1,0)</f>
        <v>0</v>
      </c>
      <c r="BP106" s="329" t="n">
        <f aca="false" t="array" ref="BP106:BP106">IF(AND(BP$2&lt;&gt;0,TblTech[[#This Row],[Hour]:[Hour]]&gt;=BP$2),1,0)</f>
        <v>0</v>
      </c>
      <c r="BQ106" s="329" t="n">
        <f aca="false" t="array" ref="BQ106:BQ106">IF(AND(BQ$2&lt;&gt;0,TblTech[[#This Row],[Hour]:[Hour]]&gt;=BQ$2),1,0)</f>
        <v>0</v>
      </c>
      <c r="BR106" s="329" t="n">
        <f aca="false" t="array" ref="BR106:BR106">IF(AND(BR$2&lt;&gt;0,TblTech[[#This Row],[Hour]:[Hour]]&gt;=BR$2),1,0)</f>
        <v>0</v>
      </c>
      <c r="BS106" s="329" t="n">
        <f aca="false" t="array" ref="BS106:BS106">IF(AND(BS$2&lt;&gt;0,TblTech[[#This Row],[Hour]:[Hour]]&gt;=BS$2),1,0)</f>
        <v>0</v>
      </c>
      <c r="BT106" s="329" t="n">
        <f aca="false" t="array" ref="BT106:BT106">IF(AND(BT$2&lt;&gt;0,TblTech[[#This Row],[Hour]:[Hour]]&gt;=BT$2),1,0)</f>
        <v>0</v>
      </c>
      <c r="BU106" s="329" t="n">
        <f aca="false" t="array" ref="BU106:BU106">IF(AND(BU$2&lt;&gt;0,TblTech[[#This Row],[Hour]:[Hour]]&gt;=BU$2),1,0)</f>
        <v>0</v>
      </c>
      <c r="BV106" s="329" t="n">
        <f aca="false" t="array" ref="BV106:BV106">IF(AND(BV$2&lt;&gt;0,TblTech[[#This Row],[Hour]:[Hour]]&gt;=BV$2),1,0)</f>
        <v>0</v>
      </c>
      <c r="BW106" s="329" t="n">
        <f aca="false" t="array" ref="BW106:BW106">IF(AND(BW$2&lt;&gt;0,TblTech[[#This Row],[Hour]:[Hour]]&gt;=BW$2),1,0)</f>
        <v>0</v>
      </c>
      <c r="BX106" s="329" t="n">
        <f aca="false" t="array" ref="BX106:BX106">IF(AND(BX$2&lt;&gt;0,TblTech[[#This Row],[Hour]:[Hour]]&gt;=BX$2),1,0)</f>
        <v>0</v>
      </c>
      <c r="BY106" s="329" t="n">
        <f aca="false" t="array" ref="BY106:BY106">IF(AND(BY$2&lt;&gt;0,TblTech[[#This Row],[Hour]:[Hour]]&gt;=BY$2),1,0)</f>
        <v>0</v>
      </c>
      <c r="BZ106" s="329" t="n">
        <f aca="false" t="array" ref="BZ106:BZ106">IF(AND(BZ$2&lt;&gt;0,TblTech[[#This Row],[Hour]:[Hour]]&gt;=BZ$2),1,0)</f>
        <v>0</v>
      </c>
      <c r="CA106" s="330" t="n">
        <f aca="false">IFERROR(INDEX($H$4:$H$79,MATCH(INDEX(TblTech[[#Headers],[1-1]:[11-1]],1,MATCH(TblTech[[#This Row],[Hour]],$M$2:$BZ$2,0)),$G$4:$G$79,0)),)</f>
        <v>0</v>
      </c>
    </row>
    <row r="107" customFormat="false" ht="12.75" hidden="false" customHeight="false" outlineLevel="0" collapsed="false">
      <c r="A107" s="321" t="n">
        <f aca="false">TblRezone[[#This Row],[Hour]]</f>
        <v>104</v>
      </c>
      <c r="B107" s="322" t="n">
        <f aca="false">TblExplore[[#This Row],[Land-DB]]</f>
        <v>700</v>
      </c>
      <c r="C107" s="323" t="n">
        <f aca="false">TblProd[[#This Row],[Techpoints]]</f>
        <v>1400</v>
      </c>
      <c r="D107" s="323" t="n">
        <f aca="false">TblProd[[#This Row],[Required]]</f>
        <v>3750</v>
      </c>
      <c r="E107" s="333"/>
      <c r="F107" s="334"/>
      <c r="G107" s="326"/>
      <c r="H107" s="327"/>
      <c r="I107" s="327"/>
      <c r="J107" s="327"/>
      <c r="K107" s="68" t="n">
        <f aca="false">IF(TblTech[[#This Row],[Sum of tech]]&lt;&gt;OFFSET(TblTech[[#This Row],[Sum of tech]],-1,0),1,0)</f>
        <v>0</v>
      </c>
      <c r="L107" s="328" t="n">
        <f aca="false">COUNTIF(TblTech[[#This Row],[1-1]:[11-1]],1)</f>
        <v>0</v>
      </c>
      <c r="M107" s="329" t="n">
        <f aca="false" t="array" ref="M107:M107">IF(AND(M$2&lt;&gt;0,TblTech[[#This Row],[Hour]:[Hour]]&gt;=M$2),1,0)</f>
        <v>0</v>
      </c>
      <c r="N107" s="329" t="n">
        <f aca="false" t="array" ref="N107:N107">IF(AND(N$2&lt;&gt;0,TblTech[[#This Row],[Hour]:[Hour]]&gt;=N$2),1,0)</f>
        <v>0</v>
      </c>
      <c r="O107" s="329" t="n">
        <f aca="false" t="array" ref="O107:O107">IF(AND(O$2&lt;&gt;0,TblTech[[#This Row],[Hour]:[Hour]]&gt;=O$2),1,0)</f>
        <v>0</v>
      </c>
      <c r="P107" s="329" t="n">
        <f aca="false" t="array" ref="P107:P107">IF(AND(P$2&lt;&gt;0,TblTech[[#This Row],[Hour]:[Hour]]&gt;=P$2),1,0)</f>
        <v>0</v>
      </c>
      <c r="Q107" s="329" t="n">
        <f aca="false" t="array" ref="Q107:Q107">IF(AND(Q$2&lt;&gt;0,TblTech[[#This Row],[Hour]:[Hour]]&gt;=Q$2),1,0)</f>
        <v>0</v>
      </c>
      <c r="R107" s="329" t="n">
        <f aca="false" t="array" ref="R107:R107">IF(AND(R$2&lt;&gt;0,TblTech[[#This Row],[Hour]:[Hour]]&gt;=R$2),1,0)</f>
        <v>0</v>
      </c>
      <c r="S107" s="329" t="n">
        <f aca="false" t="array" ref="S107:S107">IF(AND(S$2&lt;&gt;0,TblTech[[#This Row],[Hour]:[Hour]]&gt;=S$2),1,0)</f>
        <v>0</v>
      </c>
      <c r="T107" s="329" t="n">
        <f aca="false" t="array" ref="T107:T107">IF(AND(T$2&lt;&gt;0,TblTech[[#This Row],[Hour]:[Hour]]&gt;=T$2),1,0)</f>
        <v>0</v>
      </c>
      <c r="U107" s="329" t="n">
        <f aca="false" t="array" ref="U107:U107">IF(AND(U$2&lt;&gt;0,TblTech[[#This Row],[Hour]:[Hour]]&gt;=U$2),1,0)</f>
        <v>0</v>
      </c>
      <c r="V107" s="329" t="n">
        <f aca="false" t="array" ref="V107:V107">IF(AND(V$2&lt;&gt;0,TblTech[[#This Row],[Hour]:[Hour]]&gt;=V$2),1,0)</f>
        <v>0</v>
      </c>
      <c r="W107" s="329" t="n">
        <f aca="false" t="array" ref="W107:W107">IF(AND(W$2&lt;&gt;0,TblTech[[#This Row],[Hour]:[Hour]]&gt;=W$2),1,0)</f>
        <v>0</v>
      </c>
      <c r="X107" s="329" t="n">
        <f aca="false" t="array" ref="X107:X107">IF(AND(X$2&lt;&gt;0,TblTech[[#This Row],[Hour]:[Hour]]&gt;=X$2),1,0)</f>
        <v>0</v>
      </c>
      <c r="Y107" s="329" t="n">
        <f aca="false" t="array" ref="Y107:Y107">IF(AND(Y$2&lt;&gt;0,TblTech[[#This Row],[Hour]:[Hour]]&gt;=Y$2),1,0)</f>
        <v>0</v>
      </c>
      <c r="Z107" s="329" t="n">
        <f aca="false" t="array" ref="Z107:Z107">IF(AND(Z$2&lt;&gt;0,TblTech[[#This Row],[Hour]:[Hour]]&gt;=Z$2),1,0)</f>
        <v>0</v>
      </c>
      <c r="AA107" s="329" t="n">
        <f aca="false" t="array" ref="AA107:AA107">IF(AND(AA$2&lt;&gt;0,TblTech[[#This Row],[Hour]:[Hour]]&gt;=AA$2),1,0)</f>
        <v>0</v>
      </c>
      <c r="AB107" s="329" t="n">
        <f aca="false" t="array" ref="AB107:AB107">IF(AND(AB$2&lt;&gt;0,TblTech[[#This Row],[Hour]:[Hour]]&gt;=AB$2),1,0)</f>
        <v>0</v>
      </c>
      <c r="AC107" s="329" t="n">
        <f aca="false" t="array" ref="AC107:AC107">IF(AND(AC$2&lt;&gt;0,TblTech[[#This Row],[Hour]:[Hour]]&gt;=AC$2),1,0)</f>
        <v>0</v>
      </c>
      <c r="AD107" s="329" t="n">
        <f aca="false" t="array" ref="AD107:AD107">IF(AND(AD$2&lt;&gt;0,TblTech[[#This Row],[Hour]:[Hour]]&gt;=AD$2),1,0)</f>
        <v>0</v>
      </c>
      <c r="AE107" s="329" t="n">
        <f aca="false" t="array" ref="AE107:AE107">IF(AND(AE$2&lt;&gt;0,TblTech[[#This Row],[Hour]:[Hour]]&gt;=AE$2),1,0)</f>
        <v>0</v>
      </c>
      <c r="AF107" s="329" t="n">
        <f aca="false" t="array" ref="AF107:AF107">IF(AND(AF$2&lt;&gt;0,TblTech[[#This Row],[Hour]:[Hour]]&gt;=AF$2),1,0)</f>
        <v>0</v>
      </c>
      <c r="AG107" s="329" t="n">
        <f aca="false" t="array" ref="AG107:AG107">IF(AND(AG$2&lt;&gt;0,TblTech[[#This Row],[Hour]:[Hour]]&gt;=AG$2),1,0)</f>
        <v>0</v>
      </c>
      <c r="AH107" s="329" t="n">
        <f aca="false" t="array" ref="AH107:AH107">IF(AND(AH$2&lt;&gt;0,TblTech[[#This Row],[Hour]:[Hour]]&gt;=AH$2),1,0)</f>
        <v>0</v>
      </c>
      <c r="AI107" s="329" t="n">
        <f aca="false" t="array" ref="AI107:AI107">IF(AND(AI$2&lt;&gt;0,TblTech[[#This Row],[Hour]:[Hour]]&gt;=AI$2),1,0)</f>
        <v>0</v>
      </c>
      <c r="AJ107" s="329" t="n">
        <f aca="false" t="array" ref="AJ107:AJ107">IF(AND(AJ$2&lt;&gt;0,TblTech[[#This Row],[Hour]:[Hour]]&gt;=AJ$2),1,0)</f>
        <v>0</v>
      </c>
      <c r="AK107" s="329" t="n">
        <f aca="false" t="array" ref="AK107:AK107">IF(AND(AK$2&lt;&gt;0,TblTech[[#This Row],[Hour]:[Hour]]&gt;=AK$2),1,0)</f>
        <v>0</v>
      </c>
      <c r="AL107" s="329" t="n">
        <f aca="false" t="array" ref="AL107:AL107">IF(AND(AL$2&lt;&gt;0,TblTech[[#This Row],[Hour]:[Hour]]&gt;=AL$2),1,0)</f>
        <v>0</v>
      </c>
      <c r="AM107" s="329" t="n">
        <f aca="false" t="array" ref="AM107:AM107">IF(AND(AM$2&lt;&gt;0,TblTech[[#This Row],[Hour]:[Hour]]&gt;=AM$2),1,0)</f>
        <v>0</v>
      </c>
      <c r="AN107" s="329" t="n">
        <f aca="false" t="array" ref="AN107:AN107">IF(AND(AN$2&lt;&gt;0,TblTech[[#This Row],[Hour]:[Hour]]&gt;=AN$2),1,0)</f>
        <v>0</v>
      </c>
      <c r="AO107" s="329" t="n">
        <f aca="false" t="array" ref="AO107:AO107">IF(AND(AO$2&lt;&gt;0,TblTech[[#This Row],[Hour]:[Hour]]&gt;=AO$2),1,0)</f>
        <v>0</v>
      </c>
      <c r="AP107" s="329" t="n">
        <f aca="false" t="array" ref="AP107:AP107">IF(AND(AP$2&lt;&gt;0,TblTech[[#This Row],[Hour]:[Hour]]&gt;=AP$2),1,0)</f>
        <v>0</v>
      </c>
      <c r="AQ107" s="329" t="n">
        <f aca="false" t="array" ref="AQ107:AQ107">IF(AND(AQ$2&lt;&gt;0,TblTech[[#This Row],[Hour]:[Hour]]&gt;=AQ$2),1,0)</f>
        <v>0</v>
      </c>
      <c r="AR107" s="329" t="n">
        <f aca="false" t="array" ref="AR107:AR107">IF(AND(AR$2&lt;&gt;0,TblTech[[#This Row],[Hour]:[Hour]]&gt;=AR$2),1,0)</f>
        <v>0</v>
      </c>
      <c r="AS107" s="329" t="n">
        <f aca="false" t="array" ref="AS107:AS107">IF(AND(AS$2&lt;&gt;0,TblTech[[#This Row],[Hour]:[Hour]]&gt;=AS$2),1,0)</f>
        <v>0</v>
      </c>
      <c r="AT107" s="329" t="n">
        <f aca="false" t="array" ref="AT107:AT107">IF(AND(AT$2&lt;&gt;0,TblTech[[#This Row],[Hour]:[Hour]]&gt;=AT$2),1,0)</f>
        <v>0</v>
      </c>
      <c r="AU107" s="329" t="n">
        <f aca="false" t="array" ref="AU107:AU107">IF(AND(AU$2&lt;&gt;0,TblTech[[#This Row],[Hour]:[Hour]]&gt;=AU$2),1,0)</f>
        <v>0</v>
      </c>
      <c r="AV107" s="329" t="n">
        <f aca="false" t="array" ref="AV107:AV107">IF(AND(AV$2&lt;&gt;0,TblTech[[#This Row],[Hour]:[Hour]]&gt;=AV$2),1,0)</f>
        <v>0</v>
      </c>
      <c r="AW107" s="329" t="n">
        <f aca="false" t="array" ref="AW107:AW107">IF(AND(AW$2&lt;&gt;0,TblTech[[#This Row],[Hour]:[Hour]]&gt;=AW$2),1,0)</f>
        <v>0</v>
      </c>
      <c r="AX107" s="329" t="n">
        <f aca="false" t="array" ref="AX107:AX107">IF(AND(AX$2&lt;&gt;0,TblTech[[#This Row],[Hour]:[Hour]]&gt;=AX$2),1,0)</f>
        <v>0</v>
      </c>
      <c r="AY107" s="329" t="n">
        <f aca="false" t="array" ref="AY107:AY107">IF(AND(AY$2&lt;&gt;0,TblTech[[#This Row],[Hour]:[Hour]]&gt;=AY$2),1,0)</f>
        <v>0</v>
      </c>
      <c r="AZ107" s="329" t="n">
        <f aca="false" t="array" ref="AZ107:AZ107">IF(AND(AZ$2&lt;&gt;0,TblTech[[#This Row],[Hour]:[Hour]]&gt;=AZ$2),1,0)</f>
        <v>0</v>
      </c>
      <c r="BA107" s="329" t="n">
        <f aca="false" t="array" ref="BA107:BA107">IF(AND(BA$2&lt;&gt;0,TblTech[[#This Row],[Hour]:[Hour]]&gt;=BA$2),1,0)</f>
        <v>0</v>
      </c>
      <c r="BB107" s="329" t="n">
        <f aca="false" t="array" ref="BB107:BB107">IF(AND(BB$2&lt;&gt;0,TblTech[[#This Row],[Hour]:[Hour]]&gt;=BB$2),1,0)</f>
        <v>0</v>
      </c>
      <c r="BC107" s="329" t="n">
        <f aca="false" t="array" ref="BC107:BC107">IF(AND(BC$2&lt;&gt;0,TblTech[[#This Row],[Hour]:[Hour]]&gt;=BC$2),1,0)</f>
        <v>0</v>
      </c>
      <c r="BD107" s="329" t="n">
        <f aca="false" t="array" ref="BD107:BD107">IF(AND(BD$2&lt;&gt;0,TblTech[[#This Row],[Hour]:[Hour]]&gt;=BD$2),1,0)</f>
        <v>0</v>
      </c>
      <c r="BE107" s="329" t="n">
        <f aca="false" t="array" ref="BE107:BE107">IF(AND(BE$2&lt;&gt;0,TblTech[[#This Row],[Hour]:[Hour]]&gt;=BE$2),1,0)</f>
        <v>0</v>
      </c>
      <c r="BF107" s="329" t="n">
        <f aca="false" t="array" ref="BF107:BF107">IF(AND(BF$2&lt;&gt;0,TblTech[[#This Row],[Hour]:[Hour]]&gt;=BF$2),1,0)</f>
        <v>0</v>
      </c>
      <c r="BG107" s="329" t="n">
        <f aca="false" t="array" ref="BG107:BG107">IF(AND(BG$2&lt;&gt;0,TblTech[[#This Row],[Hour]:[Hour]]&gt;=BG$2),1,0)</f>
        <v>0</v>
      </c>
      <c r="BH107" s="329" t="n">
        <f aca="false" t="array" ref="BH107:BH107">IF(AND(BH$2&lt;&gt;0,TblTech[[#This Row],[Hour]:[Hour]]&gt;=BH$2),1,0)</f>
        <v>0</v>
      </c>
      <c r="BI107" s="329" t="n">
        <f aca="false" t="array" ref="BI107:BI107">IF(AND(BI$2&lt;&gt;0,TblTech[[#This Row],[Hour]:[Hour]]&gt;=BI$2),1,0)</f>
        <v>0</v>
      </c>
      <c r="BJ107" s="329" t="n">
        <f aca="false" t="array" ref="BJ107:BJ107">IF(AND(BJ$2&lt;&gt;0,TblTech[[#This Row],[Hour]:[Hour]]&gt;=BJ$2),1,0)</f>
        <v>0</v>
      </c>
      <c r="BK107" s="329" t="n">
        <f aca="false" t="array" ref="BK107:BK107">IF(AND(BK$2&lt;&gt;0,TblTech[[#This Row],[Hour]:[Hour]]&gt;=BK$2),1,0)</f>
        <v>0</v>
      </c>
      <c r="BL107" s="329" t="n">
        <f aca="false" t="array" ref="BL107:BL107">IF(AND(BL$2&lt;&gt;0,TblTech[[#This Row],[Hour]:[Hour]]&gt;=BL$2),1,0)</f>
        <v>0</v>
      </c>
      <c r="BM107" s="329" t="n">
        <f aca="false" t="array" ref="BM107:BM107">IF(AND(BM$2&lt;&gt;0,TblTech[[#This Row],[Hour]:[Hour]]&gt;=BM$2),1,0)</f>
        <v>0</v>
      </c>
      <c r="BN107" s="329" t="n">
        <f aca="false" t="array" ref="BN107:BN107">IF(AND(BN$2&lt;&gt;0,TblTech[[#This Row],[Hour]:[Hour]]&gt;=BN$2),1,0)</f>
        <v>0</v>
      </c>
      <c r="BO107" s="329" t="n">
        <f aca="false" t="array" ref="BO107:BO107">IF(AND(BO$2&lt;&gt;0,TblTech[[#This Row],[Hour]:[Hour]]&gt;=BO$2),1,0)</f>
        <v>0</v>
      </c>
      <c r="BP107" s="329" t="n">
        <f aca="false" t="array" ref="BP107:BP107">IF(AND(BP$2&lt;&gt;0,TblTech[[#This Row],[Hour]:[Hour]]&gt;=BP$2),1,0)</f>
        <v>0</v>
      </c>
      <c r="BQ107" s="329" t="n">
        <f aca="false" t="array" ref="BQ107:BQ107">IF(AND(BQ$2&lt;&gt;0,TblTech[[#This Row],[Hour]:[Hour]]&gt;=BQ$2),1,0)</f>
        <v>0</v>
      </c>
      <c r="BR107" s="329" t="n">
        <f aca="false" t="array" ref="BR107:BR107">IF(AND(BR$2&lt;&gt;0,TblTech[[#This Row],[Hour]:[Hour]]&gt;=BR$2),1,0)</f>
        <v>0</v>
      </c>
      <c r="BS107" s="329" t="n">
        <f aca="false" t="array" ref="BS107:BS107">IF(AND(BS$2&lt;&gt;0,TblTech[[#This Row],[Hour]:[Hour]]&gt;=BS$2),1,0)</f>
        <v>0</v>
      </c>
      <c r="BT107" s="329" t="n">
        <f aca="false" t="array" ref="BT107:BT107">IF(AND(BT$2&lt;&gt;0,TblTech[[#This Row],[Hour]:[Hour]]&gt;=BT$2),1,0)</f>
        <v>0</v>
      </c>
      <c r="BU107" s="329" t="n">
        <f aca="false" t="array" ref="BU107:BU107">IF(AND(BU$2&lt;&gt;0,TblTech[[#This Row],[Hour]:[Hour]]&gt;=BU$2),1,0)</f>
        <v>0</v>
      </c>
      <c r="BV107" s="329" t="n">
        <f aca="false" t="array" ref="BV107:BV107">IF(AND(BV$2&lt;&gt;0,TblTech[[#This Row],[Hour]:[Hour]]&gt;=BV$2),1,0)</f>
        <v>0</v>
      </c>
      <c r="BW107" s="329" t="n">
        <f aca="false" t="array" ref="BW107:BW107">IF(AND(BW$2&lt;&gt;0,TblTech[[#This Row],[Hour]:[Hour]]&gt;=BW$2),1,0)</f>
        <v>0</v>
      </c>
      <c r="BX107" s="329" t="n">
        <f aca="false" t="array" ref="BX107:BX107">IF(AND(BX$2&lt;&gt;0,TblTech[[#This Row],[Hour]:[Hour]]&gt;=BX$2),1,0)</f>
        <v>0</v>
      </c>
      <c r="BY107" s="329" t="n">
        <f aca="false" t="array" ref="BY107:BY107">IF(AND(BY$2&lt;&gt;0,TblTech[[#This Row],[Hour]:[Hour]]&gt;=BY$2),1,0)</f>
        <v>0</v>
      </c>
      <c r="BZ107" s="329" t="n">
        <f aca="false" t="array" ref="BZ107:BZ107">IF(AND(BZ$2&lt;&gt;0,TblTech[[#This Row],[Hour]:[Hour]]&gt;=BZ$2),1,0)</f>
        <v>0</v>
      </c>
      <c r="CA107" s="330" t="n">
        <f aca="false">IFERROR(INDEX($H$4:$H$79,MATCH(INDEX(TblTech[[#Headers],[1-1]:[11-1]],1,MATCH(TblTech[[#This Row],[Hour]],$M$2:$BZ$2,0)),$G$4:$G$79,0)),)</f>
        <v>0</v>
      </c>
    </row>
    <row r="108" customFormat="false" ht="12.75" hidden="false" customHeight="false" outlineLevel="0" collapsed="false">
      <c r="A108" s="321" t="n">
        <f aca="false">TblRezone[[#This Row],[Hour]]</f>
        <v>105</v>
      </c>
      <c r="B108" s="322" t="n">
        <f aca="false">TblExplore[[#This Row],[Land-DB]]</f>
        <v>700</v>
      </c>
      <c r="C108" s="323" t="n">
        <f aca="false">TblProd[[#This Row],[Techpoints]]</f>
        <v>1400</v>
      </c>
      <c r="D108" s="323" t="n">
        <f aca="false">TblProd[[#This Row],[Required]]</f>
        <v>3750</v>
      </c>
      <c r="E108" s="333"/>
      <c r="F108" s="334"/>
      <c r="G108" s="326"/>
      <c r="H108" s="327"/>
      <c r="I108" s="327"/>
      <c r="J108" s="327"/>
      <c r="K108" s="68" t="n">
        <f aca="false">IF(TblTech[[#This Row],[Sum of tech]]&lt;&gt;OFFSET(TblTech[[#This Row],[Sum of tech]],-1,0),1,0)</f>
        <v>0</v>
      </c>
      <c r="L108" s="328" t="n">
        <f aca="false">COUNTIF(TblTech[[#This Row],[1-1]:[11-1]],1)</f>
        <v>0</v>
      </c>
      <c r="M108" s="329" t="n">
        <f aca="false" t="array" ref="M108:M108">IF(AND(M$2&lt;&gt;0,TblTech[[#This Row],[Hour]:[Hour]]&gt;=M$2),1,0)</f>
        <v>0</v>
      </c>
      <c r="N108" s="329" t="n">
        <f aca="false" t="array" ref="N108:N108">IF(AND(N$2&lt;&gt;0,TblTech[[#This Row],[Hour]:[Hour]]&gt;=N$2),1,0)</f>
        <v>0</v>
      </c>
      <c r="O108" s="329" t="n">
        <f aca="false" t="array" ref="O108:O108">IF(AND(O$2&lt;&gt;0,TblTech[[#This Row],[Hour]:[Hour]]&gt;=O$2),1,0)</f>
        <v>0</v>
      </c>
      <c r="P108" s="329" t="n">
        <f aca="false" t="array" ref="P108:P108">IF(AND(P$2&lt;&gt;0,TblTech[[#This Row],[Hour]:[Hour]]&gt;=P$2),1,0)</f>
        <v>0</v>
      </c>
      <c r="Q108" s="329" t="n">
        <f aca="false" t="array" ref="Q108:Q108">IF(AND(Q$2&lt;&gt;0,TblTech[[#This Row],[Hour]:[Hour]]&gt;=Q$2),1,0)</f>
        <v>0</v>
      </c>
      <c r="R108" s="329" t="n">
        <f aca="false" t="array" ref="R108:R108">IF(AND(R$2&lt;&gt;0,TblTech[[#This Row],[Hour]:[Hour]]&gt;=R$2),1,0)</f>
        <v>0</v>
      </c>
      <c r="S108" s="329" t="n">
        <f aca="false" t="array" ref="S108:S108">IF(AND(S$2&lt;&gt;0,TblTech[[#This Row],[Hour]:[Hour]]&gt;=S$2),1,0)</f>
        <v>0</v>
      </c>
      <c r="T108" s="329" t="n">
        <f aca="false" t="array" ref="T108:T108">IF(AND(T$2&lt;&gt;0,TblTech[[#This Row],[Hour]:[Hour]]&gt;=T$2),1,0)</f>
        <v>0</v>
      </c>
      <c r="U108" s="329" t="n">
        <f aca="false" t="array" ref="U108:U108">IF(AND(U$2&lt;&gt;0,TblTech[[#This Row],[Hour]:[Hour]]&gt;=U$2),1,0)</f>
        <v>0</v>
      </c>
      <c r="V108" s="329" t="n">
        <f aca="false" t="array" ref="V108:V108">IF(AND(V$2&lt;&gt;0,TblTech[[#This Row],[Hour]:[Hour]]&gt;=V$2),1,0)</f>
        <v>0</v>
      </c>
      <c r="W108" s="329" t="n">
        <f aca="false" t="array" ref="W108:W108">IF(AND(W$2&lt;&gt;0,TblTech[[#This Row],[Hour]:[Hour]]&gt;=W$2),1,0)</f>
        <v>0</v>
      </c>
      <c r="X108" s="329" t="n">
        <f aca="false" t="array" ref="X108:X108">IF(AND(X$2&lt;&gt;0,TblTech[[#This Row],[Hour]:[Hour]]&gt;=X$2),1,0)</f>
        <v>0</v>
      </c>
      <c r="Y108" s="329" t="n">
        <f aca="false" t="array" ref="Y108:Y108">IF(AND(Y$2&lt;&gt;0,TblTech[[#This Row],[Hour]:[Hour]]&gt;=Y$2),1,0)</f>
        <v>0</v>
      </c>
      <c r="Z108" s="329" t="n">
        <f aca="false" t="array" ref="Z108:Z108">IF(AND(Z$2&lt;&gt;0,TblTech[[#This Row],[Hour]:[Hour]]&gt;=Z$2),1,0)</f>
        <v>0</v>
      </c>
      <c r="AA108" s="329" t="n">
        <f aca="false" t="array" ref="AA108:AA108">IF(AND(AA$2&lt;&gt;0,TblTech[[#This Row],[Hour]:[Hour]]&gt;=AA$2),1,0)</f>
        <v>0</v>
      </c>
      <c r="AB108" s="329" t="n">
        <f aca="false" t="array" ref="AB108:AB108">IF(AND(AB$2&lt;&gt;0,TblTech[[#This Row],[Hour]:[Hour]]&gt;=AB$2),1,0)</f>
        <v>0</v>
      </c>
      <c r="AC108" s="329" t="n">
        <f aca="false" t="array" ref="AC108:AC108">IF(AND(AC$2&lt;&gt;0,TblTech[[#This Row],[Hour]:[Hour]]&gt;=AC$2),1,0)</f>
        <v>0</v>
      </c>
      <c r="AD108" s="329" t="n">
        <f aca="false" t="array" ref="AD108:AD108">IF(AND(AD$2&lt;&gt;0,TblTech[[#This Row],[Hour]:[Hour]]&gt;=AD$2),1,0)</f>
        <v>0</v>
      </c>
      <c r="AE108" s="329" t="n">
        <f aca="false" t="array" ref="AE108:AE108">IF(AND(AE$2&lt;&gt;0,TblTech[[#This Row],[Hour]:[Hour]]&gt;=AE$2),1,0)</f>
        <v>0</v>
      </c>
      <c r="AF108" s="329" t="n">
        <f aca="false" t="array" ref="AF108:AF108">IF(AND(AF$2&lt;&gt;0,TblTech[[#This Row],[Hour]:[Hour]]&gt;=AF$2),1,0)</f>
        <v>0</v>
      </c>
      <c r="AG108" s="329" t="n">
        <f aca="false" t="array" ref="AG108:AG108">IF(AND(AG$2&lt;&gt;0,TblTech[[#This Row],[Hour]:[Hour]]&gt;=AG$2),1,0)</f>
        <v>0</v>
      </c>
      <c r="AH108" s="329" t="n">
        <f aca="false" t="array" ref="AH108:AH108">IF(AND(AH$2&lt;&gt;0,TblTech[[#This Row],[Hour]:[Hour]]&gt;=AH$2),1,0)</f>
        <v>0</v>
      </c>
      <c r="AI108" s="329" t="n">
        <f aca="false" t="array" ref="AI108:AI108">IF(AND(AI$2&lt;&gt;0,TblTech[[#This Row],[Hour]:[Hour]]&gt;=AI$2),1,0)</f>
        <v>0</v>
      </c>
      <c r="AJ108" s="329" t="n">
        <f aca="false" t="array" ref="AJ108:AJ108">IF(AND(AJ$2&lt;&gt;0,TblTech[[#This Row],[Hour]:[Hour]]&gt;=AJ$2),1,0)</f>
        <v>0</v>
      </c>
      <c r="AK108" s="329" t="n">
        <f aca="false" t="array" ref="AK108:AK108">IF(AND(AK$2&lt;&gt;0,TblTech[[#This Row],[Hour]:[Hour]]&gt;=AK$2),1,0)</f>
        <v>0</v>
      </c>
      <c r="AL108" s="329" t="n">
        <f aca="false" t="array" ref="AL108:AL108">IF(AND(AL$2&lt;&gt;0,TblTech[[#This Row],[Hour]:[Hour]]&gt;=AL$2),1,0)</f>
        <v>0</v>
      </c>
      <c r="AM108" s="329" t="n">
        <f aca="false" t="array" ref="AM108:AM108">IF(AND(AM$2&lt;&gt;0,TblTech[[#This Row],[Hour]:[Hour]]&gt;=AM$2),1,0)</f>
        <v>0</v>
      </c>
      <c r="AN108" s="329" t="n">
        <f aca="false" t="array" ref="AN108:AN108">IF(AND(AN$2&lt;&gt;0,TblTech[[#This Row],[Hour]:[Hour]]&gt;=AN$2),1,0)</f>
        <v>0</v>
      </c>
      <c r="AO108" s="329" t="n">
        <f aca="false" t="array" ref="AO108:AO108">IF(AND(AO$2&lt;&gt;0,TblTech[[#This Row],[Hour]:[Hour]]&gt;=AO$2),1,0)</f>
        <v>0</v>
      </c>
      <c r="AP108" s="329" t="n">
        <f aca="false" t="array" ref="AP108:AP108">IF(AND(AP$2&lt;&gt;0,TblTech[[#This Row],[Hour]:[Hour]]&gt;=AP$2),1,0)</f>
        <v>0</v>
      </c>
      <c r="AQ108" s="329" t="n">
        <f aca="false" t="array" ref="AQ108:AQ108">IF(AND(AQ$2&lt;&gt;0,TblTech[[#This Row],[Hour]:[Hour]]&gt;=AQ$2),1,0)</f>
        <v>0</v>
      </c>
      <c r="AR108" s="329" t="n">
        <f aca="false" t="array" ref="AR108:AR108">IF(AND(AR$2&lt;&gt;0,TblTech[[#This Row],[Hour]:[Hour]]&gt;=AR$2),1,0)</f>
        <v>0</v>
      </c>
      <c r="AS108" s="329" t="n">
        <f aca="false" t="array" ref="AS108:AS108">IF(AND(AS$2&lt;&gt;0,TblTech[[#This Row],[Hour]:[Hour]]&gt;=AS$2),1,0)</f>
        <v>0</v>
      </c>
      <c r="AT108" s="329" t="n">
        <f aca="false" t="array" ref="AT108:AT108">IF(AND(AT$2&lt;&gt;0,TblTech[[#This Row],[Hour]:[Hour]]&gt;=AT$2),1,0)</f>
        <v>0</v>
      </c>
      <c r="AU108" s="329" t="n">
        <f aca="false" t="array" ref="AU108:AU108">IF(AND(AU$2&lt;&gt;0,TblTech[[#This Row],[Hour]:[Hour]]&gt;=AU$2),1,0)</f>
        <v>0</v>
      </c>
      <c r="AV108" s="329" t="n">
        <f aca="false" t="array" ref="AV108:AV108">IF(AND(AV$2&lt;&gt;0,TblTech[[#This Row],[Hour]:[Hour]]&gt;=AV$2),1,0)</f>
        <v>0</v>
      </c>
      <c r="AW108" s="329" t="n">
        <f aca="false" t="array" ref="AW108:AW108">IF(AND(AW$2&lt;&gt;0,TblTech[[#This Row],[Hour]:[Hour]]&gt;=AW$2),1,0)</f>
        <v>0</v>
      </c>
      <c r="AX108" s="329" t="n">
        <f aca="false" t="array" ref="AX108:AX108">IF(AND(AX$2&lt;&gt;0,TblTech[[#This Row],[Hour]:[Hour]]&gt;=AX$2),1,0)</f>
        <v>0</v>
      </c>
      <c r="AY108" s="329" t="n">
        <f aca="false" t="array" ref="AY108:AY108">IF(AND(AY$2&lt;&gt;0,TblTech[[#This Row],[Hour]:[Hour]]&gt;=AY$2),1,0)</f>
        <v>0</v>
      </c>
      <c r="AZ108" s="329" t="n">
        <f aca="false" t="array" ref="AZ108:AZ108">IF(AND(AZ$2&lt;&gt;0,TblTech[[#This Row],[Hour]:[Hour]]&gt;=AZ$2),1,0)</f>
        <v>0</v>
      </c>
      <c r="BA108" s="329" t="n">
        <f aca="false" t="array" ref="BA108:BA108">IF(AND(BA$2&lt;&gt;0,TblTech[[#This Row],[Hour]:[Hour]]&gt;=BA$2),1,0)</f>
        <v>0</v>
      </c>
      <c r="BB108" s="329" t="n">
        <f aca="false" t="array" ref="BB108:BB108">IF(AND(BB$2&lt;&gt;0,TblTech[[#This Row],[Hour]:[Hour]]&gt;=BB$2),1,0)</f>
        <v>0</v>
      </c>
      <c r="BC108" s="329" t="n">
        <f aca="false" t="array" ref="BC108:BC108">IF(AND(BC$2&lt;&gt;0,TblTech[[#This Row],[Hour]:[Hour]]&gt;=BC$2),1,0)</f>
        <v>0</v>
      </c>
      <c r="BD108" s="329" t="n">
        <f aca="false" t="array" ref="BD108:BD108">IF(AND(BD$2&lt;&gt;0,TblTech[[#This Row],[Hour]:[Hour]]&gt;=BD$2),1,0)</f>
        <v>0</v>
      </c>
      <c r="BE108" s="329" t="n">
        <f aca="false" t="array" ref="BE108:BE108">IF(AND(BE$2&lt;&gt;0,TblTech[[#This Row],[Hour]:[Hour]]&gt;=BE$2),1,0)</f>
        <v>0</v>
      </c>
      <c r="BF108" s="329" t="n">
        <f aca="false" t="array" ref="BF108:BF108">IF(AND(BF$2&lt;&gt;0,TblTech[[#This Row],[Hour]:[Hour]]&gt;=BF$2),1,0)</f>
        <v>0</v>
      </c>
      <c r="BG108" s="329" t="n">
        <f aca="false" t="array" ref="BG108:BG108">IF(AND(BG$2&lt;&gt;0,TblTech[[#This Row],[Hour]:[Hour]]&gt;=BG$2),1,0)</f>
        <v>0</v>
      </c>
      <c r="BH108" s="329" t="n">
        <f aca="false" t="array" ref="BH108:BH108">IF(AND(BH$2&lt;&gt;0,TblTech[[#This Row],[Hour]:[Hour]]&gt;=BH$2),1,0)</f>
        <v>0</v>
      </c>
      <c r="BI108" s="329" t="n">
        <f aca="false" t="array" ref="BI108:BI108">IF(AND(BI$2&lt;&gt;0,TblTech[[#This Row],[Hour]:[Hour]]&gt;=BI$2),1,0)</f>
        <v>0</v>
      </c>
      <c r="BJ108" s="329" t="n">
        <f aca="false" t="array" ref="BJ108:BJ108">IF(AND(BJ$2&lt;&gt;0,TblTech[[#This Row],[Hour]:[Hour]]&gt;=BJ$2),1,0)</f>
        <v>0</v>
      </c>
      <c r="BK108" s="329" t="n">
        <f aca="false" t="array" ref="BK108:BK108">IF(AND(BK$2&lt;&gt;0,TblTech[[#This Row],[Hour]:[Hour]]&gt;=BK$2),1,0)</f>
        <v>0</v>
      </c>
      <c r="BL108" s="329" t="n">
        <f aca="false" t="array" ref="BL108:BL108">IF(AND(BL$2&lt;&gt;0,TblTech[[#This Row],[Hour]:[Hour]]&gt;=BL$2),1,0)</f>
        <v>0</v>
      </c>
      <c r="BM108" s="329" t="n">
        <f aca="false" t="array" ref="BM108:BM108">IF(AND(BM$2&lt;&gt;0,TblTech[[#This Row],[Hour]:[Hour]]&gt;=BM$2),1,0)</f>
        <v>0</v>
      </c>
      <c r="BN108" s="329" t="n">
        <f aca="false" t="array" ref="BN108:BN108">IF(AND(BN$2&lt;&gt;0,TblTech[[#This Row],[Hour]:[Hour]]&gt;=BN$2),1,0)</f>
        <v>0</v>
      </c>
      <c r="BO108" s="329" t="n">
        <f aca="false" t="array" ref="BO108:BO108">IF(AND(BO$2&lt;&gt;0,TblTech[[#This Row],[Hour]:[Hour]]&gt;=BO$2),1,0)</f>
        <v>0</v>
      </c>
      <c r="BP108" s="329" t="n">
        <f aca="false" t="array" ref="BP108:BP108">IF(AND(BP$2&lt;&gt;0,TblTech[[#This Row],[Hour]:[Hour]]&gt;=BP$2),1,0)</f>
        <v>0</v>
      </c>
      <c r="BQ108" s="329" t="n">
        <f aca="false" t="array" ref="BQ108:BQ108">IF(AND(BQ$2&lt;&gt;0,TblTech[[#This Row],[Hour]:[Hour]]&gt;=BQ$2),1,0)</f>
        <v>0</v>
      </c>
      <c r="BR108" s="329" t="n">
        <f aca="false" t="array" ref="BR108:BR108">IF(AND(BR$2&lt;&gt;0,TblTech[[#This Row],[Hour]:[Hour]]&gt;=BR$2),1,0)</f>
        <v>0</v>
      </c>
      <c r="BS108" s="329" t="n">
        <f aca="false" t="array" ref="BS108:BS108">IF(AND(BS$2&lt;&gt;0,TblTech[[#This Row],[Hour]:[Hour]]&gt;=BS$2),1,0)</f>
        <v>0</v>
      </c>
      <c r="BT108" s="329" t="n">
        <f aca="false" t="array" ref="BT108:BT108">IF(AND(BT$2&lt;&gt;0,TblTech[[#This Row],[Hour]:[Hour]]&gt;=BT$2),1,0)</f>
        <v>0</v>
      </c>
      <c r="BU108" s="329" t="n">
        <f aca="false" t="array" ref="BU108:BU108">IF(AND(BU$2&lt;&gt;0,TblTech[[#This Row],[Hour]:[Hour]]&gt;=BU$2),1,0)</f>
        <v>0</v>
      </c>
      <c r="BV108" s="329" t="n">
        <f aca="false" t="array" ref="BV108:BV108">IF(AND(BV$2&lt;&gt;0,TblTech[[#This Row],[Hour]:[Hour]]&gt;=BV$2),1,0)</f>
        <v>0</v>
      </c>
      <c r="BW108" s="329" t="n">
        <f aca="false" t="array" ref="BW108:BW108">IF(AND(BW$2&lt;&gt;0,TblTech[[#This Row],[Hour]:[Hour]]&gt;=BW$2),1,0)</f>
        <v>0</v>
      </c>
      <c r="BX108" s="329" t="n">
        <f aca="false" t="array" ref="BX108:BX108">IF(AND(BX$2&lt;&gt;0,TblTech[[#This Row],[Hour]:[Hour]]&gt;=BX$2),1,0)</f>
        <v>0</v>
      </c>
      <c r="BY108" s="329" t="n">
        <f aca="false" t="array" ref="BY108:BY108">IF(AND(BY$2&lt;&gt;0,TblTech[[#This Row],[Hour]:[Hour]]&gt;=BY$2),1,0)</f>
        <v>0</v>
      </c>
      <c r="BZ108" s="329" t="n">
        <f aca="false" t="array" ref="BZ108:BZ108">IF(AND(BZ$2&lt;&gt;0,TblTech[[#This Row],[Hour]:[Hour]]&gt;=BZ$2),1,0)</f>
        <v>0</v>
      </c>
      <c r="CA108" s="330" t="n">
        <f aca="false">IFERROR(INDEX($H$4:$H$79,MATCH(INDEX(TblTech[[#Headers],[1-1]:[11-1]],1,MATCH(TblTech[[#This Row],[Hour]],$M$2:$BZ$2,0)),$G$4:$G$79,0)),)</f>
        <v>0</v>
      </c>
    </row>
    <row r="109" customFormat="false" ht="12.75" hidden="false" customHeight="false" outlineLevel="0" collapsed="false">
      <c r="A109" s="321" t="n">
        <f aca="false">TblRezone[[#This Row],[Hour]]</f>
        <v>106</v>
      </c>
      <c r="B109" s="322" t="n">
        <f aca="false">TblExplore[[#This Row],[Land-DB]]</f>
        <v>700</v>
      </c>
      <c r="C109" s="323" t="n">
        <f aca="false">TblProd[[#This Row],[Techpoints]]</f>
        <v>1400</v>
      </c>
      <c r="D109" s="323" t="n">
        <f aca="false">TblProd[[#This Row],[Required]]</f>
        <v>3750</v>
      </c>
      <c r="E109" s="333"/>
      <c r="F109" s="334"/>
      <c r="G109" s="326"/>
      <c r="H109" s="327"/>
      <c r="I109" s="327"/>
      <c r="J109" s="327"/>
      <c r="K109" s="68" t="n">
        <f aca="false">IF(TblTech[[#This Row],[Sum of tech]]&lt;&gt;OFFSET(TblTech[[#This Row],[Sum of tech]],-1,0),1,0)</f>
        <v>0</v>
      </c>
      <c r="L109" s="328" t="n">
        <f aca="false">COUNTIF(TblTech[[#This Row],[1-1]:[11-1]],1)</f>
        <v>0</v>
      </c>
      <c r="M109" s="329" t="n">
        <f aca="false" t="array" ref="M109:M109">IF(AND(M$2&lt;&gt;0,TblTech[[#This Row],[Hour]:[Hour]]&gt;=M$2),1,0)</f>
        <v>0</v>
      </c>
      <c r="N109" s="329" t="n">
        <f aca="false" t="array" ref="N109:N109">IF(AND(N$2&lt;&gt;0,TblTech[[#This Row],[Hour]:[Hour]]&gt;=N$2),1,0)</f>
        <v>0</v>
      </c>
      <c r="O109" s="329" t="n">
        <f aca="false" t="array" ref="O109:O109">IF(AND(O$2&lt;&gt;0,TblTech[[#This Row],[Hour]:[Hour]]&gt;=O$2),1,0)</f>
        <v>0</v>
      </c>
      <c r="P109" s="329" t="n">
        <f aca="false" t="array" ref="P109:P109">IF(AND(P$2&lt;&gt;0,TblTech[[#This Row],[Hour]:[Hour]]&gt;=P$2),1,0)</f>
        <v>0</v>
      </c>
      <c r="Q109" s="329" t="n">
        <f aca="false" t="array" ref="Q109:Q109">IF(AND(Q$2&lt;&gt;0,TblTech[[#This Row],[Hour]:[Hour]]&gt;=Q$2),1,0)</f>
        <v>0</v>
      </c>
      <c r="R109" s="329" t="n">
        <f aca="false" t="array" ref="R109:R109">IF(AND(R$2&lt;&gt;0,TblTech[[#This Row],[Hour]:[Hour]]&gt;=R$2),1,0)</f>
        <v>0</v>
      </c>
      <c r="S109" s="329" t="n">
        <f aca="false" t="array" ref="S109:S109">IF(AND(S$2&lt;&gt;0,TblTech[[#This Row],[Hour]:[Hour]]&gt;=S$2),1,0)</f>
        <v>0</v>
      </c>
      <c r="T109" s="329" t="n">
        <f aca="false" t="array" ref="T109:T109">IF(AND(T$2&lt;&gt;0,TblTech[[#This Row],[Hour]:[Hour]]&gt;=T$2),1,0)</f>
        <v>0</v>
      </c>
      <c r="U109" s="329" t="n">
        <f aca="false" t="array" ref="U109:U109">IF(AND(U$2&lt;&gt;0,TblTech[[#This Row],[Hour]:[Hour]]&gt;=U$2),1,0)</f>
        <v>0</v>
      </c>
      <c r="V109" s="329" t="n">
        <f aca="false" t="array" ref="V109:V109">IF(AND(V$2&lt;&gt;0,TblTech[[#This Row],[Hour]:[Hour]]&gt;=V$2),1,0)</f>
        <v>0</v>
      </c>
      <c r="W109" s="329" t="n">
        <f aca="false" t="array" ref="W109:W109">IF(AND(W$2&lt;&gt;0,TblTech[[#This Row],[Hour]:[Hour]]&gt;=W$2),1,0)</f>
        <v>0</v>
      </c>
      <c r="X109" s="329" t="n">
        <f aca="false" t="array" ref="X109:X109">IF(AND(X$2&lt;&gt;0,TblTech[[#This Row],[Hour]:[Hour]]&gt;=X$2),1,0)</f>
        <v>0</v>
      </c>
      <c r="Y109" s="329" t="n">
        <f aca="false" t="array" ref="Y109:Y109">IF(AND(Y$2&lt;&gt;0,TblTech[[#This Row],[Hour]:[Hour]]&gt;=Y$2),1,0)</f>
        <v>0</v>
      </c>
      <c r="Z109" s="329" t="n">
        <f aca="false" t="array" ref="Z109:Z109">IF(AND(Z$2&lt;&gt;0,TblTech[[#This Row],[Hour]:[Hour]]&gt;=Z$2),1,0)</f>
        <v>0</v>
      </c>
      <c r="AA109" s="329" t="n">
        <f aca="false" t="array" ref="AA109:AA109">IF(AND(AA$2&lt;&gt;0,TblTech[[#This Row],[Hour]:[Hour]]&gt;=AA$2),1,0)</f>
        <v>0</v>
      </c>
      <c r="AB109" s="329" t="n">
        <f aca="false" t="array" ref="AB109:AB109">IF(AND(AB$2&lt;&gt;0,TblTech[[#This Row],[Hour]:[Hour]]&gt;=AB$2),1,0)</f>
        <v>0</v>
      </c>
      <c r="AC109" s="329" t="n">
        <f aca="false" t="array" ref="AC109:AC109">IF(AND(AC$2&lt;&gt;0,TblTech[[#This Row],[Hour]:[Hour]]&gt;=AC$2),1,0)</f>
        <v>0</v>
      </c>
      <c r="AD109" s="329" t="n">
        <f aca="false" t="array" ref="AD109:AD109">IF(AND(AD$2&lt;&gt;0,TblTech[[#This Row],[Hour]:[Hour]]&gt;=AD$2),1,0)</f>
        <v>0</v>
      </c>
      <c r="AE109" s="329" t="n">
        <f aca="false" t="array" ref="AE109:AE109">IF(AND(AE$2&lt;&gt;0,TblTech[[#This Row],[Hour]:[Hour]]&gt;=AE$2),1,0)</f>
        <v>0</v>
      </c>
      <c r="AF109" s="329" t="n">
        <f aca="false" t="array" ref="AF109:AF109">IF(AND(AF$2&lt;&gt;0,TblTech[[#This Row],[Hour]:[Hour]]&gt;=AF$2),1,0)</f>
        <v>0</v>
      </c>
      <c r="AG109" s="329" t="n">
        <f aca="false" t="array" ref="AG109:AG109">IF(AND(AG$2&lt;&gt;0,TblTech[[#This Row],[Hour]:[Hour]]&gt;=AG$2),1,0)</f>
        <v>0</v>
      </c>
      <c r="AH109" s="329" t="n">
        <f aca="false" t="array" ref="AH109:AH109">IF(AND(AH$2&lt;&gt;0,TblTech[[#This Row],[Hour]:[Hour]]&gt;=AH$2),1,0)</f>
        <v>0</v>
      </c>
      <c r="AI109" s="329" t="n">
        <f aca="false" t="array" ref="AI109:AI109">IF(AND(AI$2&lt;&gt;0,TblTech[[#This Row],[Hour]:[Hour]]&gt;=AI$2),1,0)</f>
        <v>0</v>
      </c>
      <c r="AJ109" s="329" t="n">
        <f aca="false" t="array" ref="AJ109:AJ109">IF(AND(AJ$2&lt;&gt;0,TblTech[[#This Row],[Hour]:[Hour]]&gt;=AJ$2),1,0)</f>
        <v>0</v>
      </c>
      <c r="AK109" s="329" t="n">
        <f aca="false" t="array" ref="AK109:AK109">IF(AND(AK$2&lt;&gt;0,TblTech[[#This Row],[Hour]:[Hour]]&gt;=AK$2),1,0)</f>
        <v>0</v>
      </c>
      <c r="AL109" s="329" t="n">
        <f aca="false" t="array" ref="AL109:AL109">IF(AND(AL$2&lt;&gt;0,TblTech[[#This Row],[Hour]:[Hour]]&gt;=AL$2),1,0)</f>
        <v>0</v>
      </c>
      <c r="AM109" s="329" t="n">
        <f aca="false" t="array" ref="AM109:AM109">IF(AND(AM$2&lt;&gt;0,TblTech[[#This Row],[Hour]:[Hour]]&gt;=AM$2),1,0)</f>
        <v>0</v>
      </c>
      <c r="AN109" s="329" t="n">
        <f aca="false" t="array" ref="AN109:AN109">IF(AND(AN$2&lt;&gt;0,TblTech[[#This Row],[Hour]:[Hour]]&gt;=AN$2),1,0)</f>
        <v>0</v>
      </c>
      <c r="AO109" s="329" t="n">
        <f aca="false" t="array" ref="AO109:AO109">IF(AND(AO$2&lt;&gt;0,TblTech[[#This Row],[Hour]:[Hour]]&gt;=AO$2),1,0)</f>
        <v>0</v>
      </c>
      <c r="AP109" s="329" t="n">
        <f aca="false" t="array" ref="AP109:AP109">IF(AND(AP$2&lt;&gt;0,TblTech[[#This Row],[Hour]:[Hour]]&gt;=AP$2),1,0)</f>
        <v>0</v>
      </c>
      <c r="AQ109" s="329" t="n">
        <f aca="false" t="array" ref="AQ109:AQ109">IF(AND(AQ$2&lt;&gt;0,TblTech[[#This Row],[Hour]:[Hour]]&gt;=AQ$2),1,0)</f>
        <v>0</v>
      </c>
      <c r="AR109" s="329" t="n">
        <f aca="false" t="array" ref="AR109:AR109">IF(AND(AR$2&lt;&gt;0,TblTech[[#This Row],[Hour]:[Hour]]&gt;=AR$2),1,0)</f>
        <v>0</v>
      </c>
      <c r="AS109" s="329" t="n">
        <f aca="false" t="array" ref="AS109:AS109">IF(AND(AS$2&lt;&gt;0,TblTech[[#This Row],[Hour]:[Hour]]&gt;=AS$2),1,0)</f>
        <v>0</v>
      </c>
      <c r="AT109" s="329" t="n">
        <f aca="false" t="array" ref="AT109:AT109">IF(AND(AT$2&lt;&gt;0,TblTech[[#This Row],[Hour]:[Hour]]&gt;=AT$2),1,0)</f>
        <v>0</v>
      </c>
      <c r="AU109" s="329" t="n">
        <f aca="false" t="array" ref="AU109:AU109">IF(AND(AU$2&lt;&gt;0,TblTech[[#This Row],[Hour]:[Hour]]&gt;=AU$2),1,0)</f>
        <v>0</v>
      </c>
      <c r="AV109" s="329" t="n">
        <f aca="false" t="array" ref="AV109:AV109">IF(AND(AV$2&lt;&gt;0,TblTech[[#This Row],[Hour]:[Hour]]&gt;=AV$2),1,0)</f>
        <v>0</v>
      </c>
      <c r="AW109" s="329" t="n">
        <f aca="false" t="array" ref="AW109:AW109">IF(AND(AW$2&lt;&gt;0,TblTech[[#This Row],[Hour]:[Hour]]&gt;=AW$2),1,0)</f>
        <v>0</v>
      </c>
      <c r="AX109" s="329" t="n">
        <f aca="false" t="array" ref="AX109:AX109">IF(AND(AX$2&lt;&gt;0,TblTech[[#This Row],[Hour]:[Hour]]&gt;=AX$2),1,0)</f>
        <v>0</v>
      </c>
      <c r="AY109" s="329" t="n">
        <f aca="false" t="array" ref="AY109:AY109">IF(AND(AY$2&lt;&gt;0,TblTech[[#This Row],[Hour]:[Hour]]&gt;=AY$2),1,0)</f>
        <v>0</v>
      </c>
      <c r="AZ109" s="329" t="n">
        <f aca="false" t="array" ref="AZ109:AZ109">IF(AND(AZ$2&lt;&gt;0,TblTech[[#This Row],[Hour]:[Hour]]&gt;=AZ$2),1,0)</f>
        <v>0</v>
      </c>
      <c r="BA109" s="329" t="n">
        <f aca="false" t="array" ref="BA109:BA109">IF(AND(BA$2&lt;&gt;0,TblTech[[#This Row],[Hour]:[Hour]]&gt;=BA$2),1,0)</f>
        <v>0</v>
      </c>
      <c r="BB109" s="329" t="n">
        <f aca="false" t="array" ref="BB109:BB109">IF(AND(BB$2&lt;&gt;0,TblTech[[#This Row],[Hour]:[Hour]]&gt;=BB$2),1,0)</f>
        <v>0</v>
      </c>
      <c r="BC109" s="329" t="n">
        <f aca="false" t="array" ref="BC109:BC109">IF(AND(BC$2&lt;&gt;0,TblTech[[#This Row],[Hour]:[Hour]]&gt;=BC$2),1,0)</f>
        <v>0</v>
      </c>
      <c r="BD109" s="329" t="n">
        <f aca="false" t="array" ref="BD109:BD109">IF(AND(BD$2&lt;&gt;0,TblTech[[#This Row],[Hour]:[Hour]]&gt;=BD$2),1,0)</f>
        <v>0</v>
      </c>
      <c r="BE109" s="329" t="n">
        <f aca="false" t="array" ref="BE109:BE109">IF(AND(BE$2&lt;&gt;0,TblTech[[#This Row],[Hour]:[Hour]]&gt;=BE$2),1,0)</f>
        <v>0</v>
      </c>
      <c r="BF109" s="329" t="n">
        <f aca="false" t="array" ref="BF109:BF109">IF(AND(BF$2&lt;&gt;0,TblTech[[#This Row],[Hour]:[Hour]]&gt;=BF$2),1,0)</f>
        <v>0</v>
      </c>
      <c r="BG109" s="329" t="n">
        <f aca="false" t="array" ref="BG109:BG109">IF(AND(BG$2&lt;&gt;0,TblTech[[#This Row],[Hour]:[Hour]]&gt;=BG$2),1,0)</f>
        <v>0</v>
      </c>
      <c r="BH109" s="329" t="n">
        <f aca="false" t="array" ref="BH109:BH109">IF(AND(BH$2&lt;&gt;0,TblTech[[#This Row],[Hour]:[Hour]]&gt;=BH$2),1,0)</f>
        <v>0</v>
      </c>
      <c r="BI109" s="329" t="n">
        <f aca="false" t="array" ref="BI109:BI109">IF(AND(BI$2&lt;&gt;0,TblTech[[#This Row],[Hour]:[Hour]]&gt;=BI$2),1,0)</f>
        <v>0</v>
      </c>
      <c r="BJ109" s="329" t="n">
        <f aca="false" t="array" ref="BJ109:BJ109">IF(AND(BJ$2&lt;&gt;0,TblTech[[#This Row],[Hour]:[Hour]]&gt;=BJ$2),1,0)</f>
        <v>0</v>
      </c>
      <c r="BK109" s="329" t="n">
        <f aca="false" t="array" ref="BK109:BK109">IF(AND(BK$2&lt;&gt;0,TblTech[[#This Row],[Hour]:[Hour]]&gt;=BK$2),1,0)</f>
        <v>0</v>
      </c>
      <c r="BL109" s="329" t="n">
        <f aca="false" t="array" ref="BL109:BL109">IF(AND(BL$2&lt;&gt;0,TblTech[[#This Row],[Hour]:[Hour]]&gt;=BL$2),1,0)</f>
        <v>0</v>
      </c>
      <c r="BM109" s="329" t="n">
        <f aca="false" t="array" ref="BM109:BM109">IF(AND(BM$2&lt;&gt;0,TblTech[[#This Row],[Hour]:[Hour]]&gt;=BM$2),1,0)</f>
        <v>0</v>
      </c>
      <c r="BN109" s="329" t="n">
        <f aca="false" t="array" ref="BN109:BN109">IF(AND(BN$2&lt;&gt;0,TblTech[[#This Row],[Hour]:[Hour]]&gt;=BN$2),1,0)</f>
        <v>0</v>
      </c>
      <c r="BO109" s="329" t="n">
        <f aca="false" t="array" ref="BO109:BO109">IF(AND(BO$2&lt;&gt;0,TblTech[[#This Row],[Hour]:[Hour]]&gt;=BO$2),1,0)</f>
        <v>0</v>
      </c>
      <c r="BP109" s="329" t="n">
        <f aca="false" t="array" ref="BP109:BP109">IF(AND(BP$2&lt;&gt;0,TblTech[[#This Row],[Hour]:[Hour]]&gt;=BP$2),1,0)</f>
        <v>0</v>
      </c>
      <c r="BQ109" s="329" t="n">
        <f aca="false" t="array" ref="BQ109:BQ109">IF(AND(BQ$2&lt;&gt;0,TblTech[[#This Row],[Hour]:[Hour]]&gt;=BQ$2),1,0)</f>
        <v>0</v>
      </c>
      <c r="BR109" s="329" t="n">
        <f aca="false" t="array" ref="BR109:BR109">IF(AND(BR$2&lt;&gt;0,TblTech[[#This Row],[Hour]:[Hour]]&gt;=BR$2),1,0)</f>
        <v>0</v>
      </c>
      <c r="BS109" s="329" t="n">
        <f aca="false" t="array" ref="BS109:BS109">IF(AND(BS$2&lt;&gt;0,TblTech[[#This Row],[Hour]:[Hour]]&gt;=BS$2),1,0)</f>
        <v>0</v>
      </c>
      <c r="BT109" s="329" t="n">
        <f aca="false" t="array" ref="BT109:BT109">IF(AND(BT$2&lt;&gt;0,TblTech[[#This Row],[Hour]:[Hour]]&gt;=BT$2),1,0)</f>
        <v>0</v>
      </c>
      <c r="BU109" s="329" t="n">
        <f aca="false" t="array" ref="BU109:BU109">IF(AND(BU$2&lt;&gt;0,TblTech[[#This Row],[Hour]:[Hour]]&gt;=BU$2),1,0)</f>
        <v>0</v>
      </c>
      <c r="BV109" s="329" t="n">
        <f aca="false" t="array" ref="BV109:BV109">IF(AND(BV$2&lt;&gt;0,TblTech[[#This Row],[Hour]:[Hour]]&gt;=BV$2),1,0)</f>
        <v>0</v>
      </c>
      <c r="BW109" s="329" t="n">
        <f aca="false" t="array" ref="BW109:BW109">IF(AND(BW$2&lt;&gt;0,TblTech[[#This Row],[Hour]:[Hour]]&gt;=BW$2),1,0)</f>
        <v>0</v>
      </c>
      <c r="BX109" s="329" t="n">
        <f aca="false" t="array" ref="BX109:BX109">IF(AND(BX$2&lt;&gt;0,TblTech[[#This Row],[Hour]:[Hour]]&gt;=BX$2),1,0)</f>
        <v>0</v>
      </c>
      <c r="BY109" s="329" t="n">
        <f aca="false" t="array" ref="BY109:BY109">IF(AND(BY$2&lt;&gt;0,TblTech[[#This Row],[Hour]:[Hour]]&gt;=BY$2),1,0)</f>
        <v>0</v>
      </c>
      <c r="BZ109" s="329" t="n">
        <f aca="false" t="array" ref="BZ109:BZ109">IF(AND(BZ$2&lt;&gt;0,TblTech[[#This Row],[Hour]:[Hour]]&gt;=BZ$2),1,0)</f>
        <v>0</v>
      </c>
      <c r="CA109" s="330" t="n">
        <f aca="false">IFERROR(INDEX($H$4:$H$79,MATCH(INDEX(TblTech[[#Headers],[1-1]:[11-1]],1,MATCH(TblTech[[#This Row],[Hour]],$M$2:$BZ$2,0)),$G$4:$G$79,0)),)</f>
        <v>0</v>
      </c>
    </row>
    <row r="110" customFormat="false" ht="12.75" hidden="false" customHeight="false" outlineLevel="0" collapsed="false">
      <c r="A110" s="321" t="n">
        <f aca="false">TblRezone[[#This Row],[Hour]]</f>
        <v>107</v>
      </c>
      <c r="B110" s="322" t="n">
        <f aca="false">TblExplore[[#This Row],[Land-DB]]</f>
        <v>700</v>
      </c>
      <c r="C110" s="323" t="n">
        <f aca="false">TblProd[[#This Row],[Techpoints]]</f>
        <v>1400</v>
      </c>
      <c r="D110" s="323" t="n">
        <f aca="false">TblProd[[#This Row],[Required]]</f>
        <v>3750</v>
      </c>
      <c r="E110" s="333"/>
      <c r="F110" s="334"/>
      <c r="G110" s="326"/>
      <c r="H110" s="327"/>
      <c r="I110" s="327"/>
      <c r="J110" s="327"/>
      <c r="K110" s="68" t="n">
        <f aca="false">IF(TblTech[[#This Row],[Sum of tech]]&lt;&gt;OFFSET(TblTech[[#This Row],[Sum of tech]],-1,0),1,0)</f>
        <v>0</v>
      </c>
      <c r="L110" s="328" t="n">
        <f aca="false">COUNTIF(TblTech[[#This Row],[1-1]:[11-1]],1)</f>
        <v>0</v>
      </c>
      <c r="M110" s="329" t="n">
        <f aca="false" t="array" ref="M110:M110">IF(AND(M$2&lt;&gt;0,TblTech[[#This Row],[Hour]:[Hour]]&gt;=M$2),1,0)</f>
        <v>0</v>
      </c>
      <c r="N110" s="329" t="n">
        <f aca="false" t="array" ref="N110:N110">IF(AND(N$2&lt;&gt;0,TblTech[[#This Row],[Hour]:[Hour]]&gt;=N$2),1,0)</f>
        <v>0</v>
      </c>
      <c r="O110" s="329" t="n">
        <f aca="false" t="array" ref="O110:O110">IF(AND(O$2&lt;&gt;0,TblTech[[#This Row],[Hour]:[Hour]]&gt;=O$2),1,0)</f>
        <v>0</v>
      </c>
      <c r="P110" s="329" t="n">
        <f aca="false" t="array" ref="P110:P110">IF(AND(P$2&lt;&gt;0,TblTech[[#This Row],[Hour]:[Hour]]&gt;=P$2),1,0)</f>
        <v>0</v>
      </c>
      <c r="Q110" s="329" t="n">
        <f aca="false" t="array" ref="Q110:Q110">IF(AND(Q$2&lt;&gt;0,TblTech[[#This Row],[Hour]:[Hour]]&gt;=Q$2),1,0)</f>
        <v>0</v>
      </c>
      <c r="R110" s="329" t="n">
        <f aca="false" t="array" ref="R110:R110">IF(AND(R$2&lt;&gt;0,TblTech[[#This Row],[Hour]:[Hour]]&gt;=R$2),1,0)</f>
        <v>0</v>
      </c>
      <c r="S110" s="329" t="n">
        <f aca="false" t="array" ref="S110:S110">IF(AND(S$2&lt;&gt;0,TblTech[[#This Row],[Hour]:[Hour]]&gt;=S$2),1,0)</f>
        <v>0</v>
      </c>
      <c r="T110" s="329" t="n">
        <f aca="false" t="array" ref="T110:T110">IF(AND(T$2&lt;&gt;0,TblTech[[#This Row],[Hour]:[Hour]]&gt;=T$2),1,0)</f>
        <v>0</v>
      </c>
      <c r="U110" s="329" t="n">
        <f aca="false" t="array" ref="U110:U110">IF(AND(U$2&lt;&gt;0,TblTech[[#This Row],[Hour]:[Hour]]&gt;=U$2),1,0)</f>
        <v>0</v>
      </c>
      <c r="V110" s="329" t="n">
        <f aca="false" t="array" ref="V110:V110">IF(AND(V$2&lt;&gt;0,TblTech[[#This Row],[Hour]:[Hour]]&gt;=V$2),1,0)</f>
        <v>0</v>
      </c>
      <c r="W110" s="329" t="n">
        <f aca="false" t="array" ref="W110:W110">IF(AND(W$2&lt;&gt;0,TblTech[[#This Row],[Hour]:[Hour]]&gt;=W$2),1,0)</f>
        <v>0</v>
      </c>
      <c r="X110" s="329" t="n">
        <f aca="false" t="array" ref="X110:X110">IF(AND(X$2&lt;&gt;0,TblTech[[#This Row],[Hour]:[Hour]]&gt;=X$2),1,0)</f>
        <v>0</v>
      </c>
      <c r="Y110" s="329" t="n">
        <f aca="false" t="array" ref="Y110:Y110">IF(AND(Y$2&lt;&gt;0,TblTech[[#This Row],[Hour]:[Hour]]&gt;=Y$2),1,0)</f>
        <v>0</v>
      </c>
      <c r="Z110" s="329" t="n">
        <f aca="false" t="array" ref="Z110:Z110">IF(AND(Z$2&lt;&gt;0,TblTech[[#This Row],[Hour]:[Hour]]&gt;=Z$2),1,0)</f>
        <v>0</v>
      </c>
      <c r="AA110" s="329" t="n">
        <f aca="false" t="array" ref="AA110:AA110">IF(AND(AA$2&lt;&gt;0,TblTech[[#This Row],[Hour]:[Hour]]&gt;=AA$2),1,0)</f>
        <v>0</v>
      </c>
      <c r="AB110" s="329" t="n">
        <f aca="false" t="array" ref="AB110:AB110">IF(AND(AB$2&lt;&gt;0,TblTech[[#This Row],[Hour]:[Hour]]&gt;=AB$2),1,0)</f>
        <v>0</v>
      </c>
      <c r="AC110" s="329" t="n">
        <f aca="false" t="array" ref="AC110:AC110">IF(AND(AC$2&lt;&gt;0,TblTech[[#This Row],[Hour]:[Hour]]&gt;=AC$2),1,0)</f>
        <v>0</v>
      </c>
      <c r="AD110" s="329" t="n">
        <f aca="false" t="array" ref="AD110:AD110">IF(AND(AD$2&lt;&gt;0,TblTech[[#This Row],[Hour]:[Hour]]&gt;=AD$2),1,0)</f>
        <v>0</v>
      </c>
      <c r="AE110" s="329" t="n">
        <f aca="false" t="array" ref="AE110:AE110">IF(AND(AE$2&lt;&gt;0,TblTech[[#This Row],[Hour]:[Hour]]&gt;=AE$2),1,0)</f>
        <v>0</v>
      </c>
      <c r="AF110" s="329" t="n">
        <f aca="false" t="array" ref="AF110:AF110">IF(AND(AF$2&lt;&gt;0,TblTech[[#This Row],[Hour]:[Hour]]&gt;=AF$2),1,0)</f>
        <v>0</v>
      </c>
      <c r="AG110" s="329" t="n">
        <f aca="false" t="array" ref="AG110:AG110">IF(AND(AG$2&lt;&gt;0,TblTech[[#This Row],[Hour]:[Hour]]&gt;=AG$2),1,0)</f>
        <v>0</v>
      </c>
      <c r="AH110" s="329" t="n">
        <f aca="false" t="array" ref="AH110:AH110">IF(AND(AH$2&lt;&gt;0,TblTech[[#This Row],[Hour]:[Hour]]&gt;=AH$2),1,0)</f>
        <v>0</v>
      </c>
      <c r="AI110" s="329" t="n">
        <f aca="false" t="array" ref="AI110:AI110">IF(AND(AI$2&lt;&gt;0,TblTech[[#This Row],[Hour]:[Hour]]&gt;=AI$2),1,0)</f>
        <v>0</v>
      </c>
      <c r="AJ110" s="329" t="n">
        <f aca="false" t="array" ref="AJ110:AJ110">IF(AND(AJ$2&lt;&gt;0,TblTech[[#This Row],[Hour]:[Hour]]&gt;=AJ$2),1,0)</f>
        <v>0</v>
      </c>
      <c r="AK110" s="329" t="n">
        <f aca="false" t="array" ref="AK110:AK110">IF(AND(AK$2&lt;&gt;0,TblTech[[#This Row],[Hour]:[Hour]]&gt;=AK$2),1,0)</f>
        <v>0</v>
      </c>
      <c r="AL110" s="329" t="n">
        <f aca="false" t="array" ref="AL110:AL110">IF(AND(AL$2&lt;&gt;0,TblTech[[#This Row],[Hour]:[Hour]]&gt;=AL$2),1,0)</f>
        <v>0</v>
      </c>
      <c r="AM110" s="329" t="n">
        <f aca="false" t="array" ref="AM110:AM110">IF(AND(AM$2&lt;&gt;0,TblTech[[#This Row],[Hour]:[Hour]]&gt;=AM$2),1,0)</f>
        <v>0</v>
      </c>
      <c r="AN110" s="329" t="n">
        <f aca="false" t="array" ref="AN110:AN110">IF(AND(AN$2&lt;&gt;0,TblTech[[#This Row],[Hour]:[Hour]]&gt;=AN$2),1,0)</f>
        <v>0</v>
      </c>
      <c r="AO110" s="329" t="n">
        <f aca="false" t="array" ref="AO110:AO110">IF(AND(AO$2&lt;&gt;0,TblTech[[#This Row],[Hour]:[Hour]]&gt;=AO$2),1,0)</f>
        <v>0</v>
      </c>
      <c r="AP110" s="329" t="n">
        <f aca="false" t="array" ref="AP110:AP110">IF(AND(AP$2&lt;&gt;0,TblTech[[#This Row],[Hour]:[Hour]]&gt;=AP$2),1,0)</f>
        <v>0</v>
      </c>
      <c r="AQ110" s="329" t="n">
        <f aca="false" t="array" ref="AQ110:AQ110">IF(AND(AQ$2&lt;&gt;0,TblTech[[#This Row],[Hour]:[Hour]]&gt;=AQ$2),1,0)</f>
        <v>0</v>
      </c>
      <c r="AR110" s="329" t="n">
        <f aca="false" t="array" ref="AR110:AR110">IF(AND(AR$2&lt;&gt;0,TblTech[[#This Row],[Hour]:[Hour]]&gt;=AR$2),1,0)</f>
        <v>0</v>
      </c>
      <c r="AS110" s="329" t="n">
        <f aca="false" t="array" ref="AS110:AS110">IF(AND(AS$2&lt;&gt;0,TblTech[[#This Row],[Hour]:[Hour]]&gt;=AS$2),1,0)</f>
        <v>0</v>
      </c>
      <c r="AT110" s="329" t="n">
        <f aca="false" t="array" ref="AT110:AT110">IF(AND(AT$2&lt;&gt;0,TblTech[[#This Row],[Hour]:[Hour]]&gt;=AT$2),1,0)</f>
        <v>0</v>
      </c>
      <c r="AU110" s="329" t="n">
        <f aca="false" t="array" ref="AU110:AU110">IF(AND(AU$2&lt;&gt;0,TblTech[[#This Row],[Hour]:[Hour]]&gt;=AU$2),1,0)</f>
        <v>0</v>
      </c>
      <c r="AV110" s="329" t="n">
        <f aca="false" t="array" ref="AV110:AV110">IF(AND(AV$2&lt;&gt;0,TblTech[[#This Row],[Hour]:[Hour]]&gt;=AV$2),1,0)</f>
        <v>0</v>
      </c>
      <c r="AW110" s="329" t="n">
        <f aca="false" t="array" ref="AW110:AW110">IF(AND(AW$2&lt;&gt;0,TblTech[[#This Row],[Hour]:[Hour]]&gt;=AW$2),1,0)</f>
        <v>0</v>
      </c>
      <c r="AX110" s="329" t="n">
        <f aca="false" t="array" ref="AX110:AX110">IF(AND(AX$2&lt;&gt;0,TblTech[[#This Row],[Hour]:[Hour]]&gt;=AX$2),1,0)</f>
        <v>0</v>
      </c>
      <c r="AY110" s="329" t="n">
        <f aca="false" t="array" ref="AY110:AY110">IF(AND(AY$2&lt;&gt;0,TblTech[[#This Row],[Hour]:[Hour]]&gt;=AY$2),1,0)</f>
        <v>0</v>
      </c>
      <c r="AZ110" s="329" t="n">
        <f aca="false" t="array" ref="AZ110:AZ110">IF(AND(AZ$2&lt;&gt;0,TblTech[[#This Row],[Hour]:[Hour]]&gt;=AZ$2),1,0)</f>
        <v>0</v>
      </c>
      <c r="BA110" s="329" t="n">
        <f aca="false" t="array" ref="BA110:BA110">IF(AND(BA$2&lt;&gt;0,TblTech[[#This Row],[Hour]:[Hour]]&gt;=BA$2),1,0)</f>
        <v>0</v>
      </c>
      <c r="BB110" s="329" t="n">
        <f aca="false" t="array" ref="BB110:BB110">IF(AND(BB$2&lt;&gt;0,TblTech[[#This Row],[Hour]:[Hour]]&gt;=BB$2),1,0)</f>
        <v>0</v>
      </c>
      <c r="BC110" s="329" t="n">
        <f aca="false" t="array" ref="BC110:BC110">IF(AND(BC$2&lt;&gt;0,TblTech[[#This Row],[Hour]:[Hour]]&gt;=BC$2),1,0)</f>
        <v>0</v>
      </c>
      <c r="BD110" s="329" t="n">
        <f aca="false" t="array" ref="BD110:BD110">IF(AND(BD$2&lt;&gt;0,TblTech[[#This Row],[Hour]:[Hour]]&gt;=BD$2),1,0)</f>
        <v>0</v>
      </c>
      <c r="BE110" s="329" t="n">
        <f aca="false" t="array" ref="BE110:BE110">IF(AND(BE$2&lt;&gt;0,TblTech[[#This Row],[Hour]:[Hour]]&gt;=BE$2),1,0)</f>
        <v>0</v>
      </c>
      <c r="BF110" s="329" t="n">
        <f aca="false" t="array" ref="BF110:BF110">IF(AND(BF$2&lt;&gt;0,TblTech[[#This Row],[Hour]:[Hour]]&gt;=BF$2),1,0)</f>
        <v>0</v>
      </c>
      <c r="BG110" s="329" t="n">
        <f aca="false" t="array" ref="BG110:BG110">IF(AND(BG$2&lt;&gt;0,TblTech[[#This Row],[Hour]:[Hour]]&gt;=BG$2),1,0)</f>
        <v>0</v>
      </c>
      <c r="BH110" s="329" t="n">
        <f aca="false" t="array" ref="BH110:BH110">IF(AND(BH$2&lt;&gt;0,TblTech[[#This Row],[Hour]:[Hour]]&gt;=BH$2),1,0)</f>
        <v>0</v>
      </c>
      <c r="BI110" s="329" t="n">
        <f aca="false" t="array" ref="BI110:BI110">IF(AND(BI$2&lt;&gt;0,TblTech[[#This Row],[Hour]:[Hour]]&gt;=BI$2),1,0)</f>
        <v>0</v>
      </c>
      <c r="BJ110" s="329" t="n">
        <f aca="false" t="array" ref="BJ110:BJ110">IF(AND(BJ$2&lt;&gt;0,TblTech[[#This Row],[Hour]:[Hour]]&gt;=BJ$2),1,0)</f>
        <v>0</v>
      </c>
      <c r="BK110" s="329" t="n">
        <f aca="false" t="array" ref="BK110:BK110">IF(AND(BK$2&lt;&gt;0,TblTech[[#This Row],[Hour]:[Hour]]&gt;=BK$2),1,0)</f>
        <v>0</v>
      </c>
      <c r="BL110" s="329" t="n">
        <f aca="false" t="array" ref="BL110:BL110">IF(AND(BL$2&lt;&gt;0,TblTech[[#This Row],[Hour]:[Hour]]&gt;=BL$2),1,0)</f>
        <v>0</v>
      </c>
      <c r="BM110" s="329" t="n">
        <f aca="false" t="array" ref="BM110:BM110">IF(AND(BM$2&lt;&gt;0,TblTech[[#This Row],[Hour]:[Hour]]&gt;=BM$2),1,0)</f>
        <v>0</v>
      </c>
      <c r="BN110" s="329" t="n">
        <f aca="false" t="array" ref="BN110:BN110">IF(AND(BN$2&lt;&gt;0,TblTech[[#This Row],[Hour]:[Hour]]&gt;=BN$2),1,0)</f>
        <v>0</v>
      </c>
      <c r="BO110" s="329" t="n">
        <f aca="false" t="array" ref="BO110:BO110">IF(AND(BO$2&lt;&gt;0,TblTech[[#This Row],[Hour]:[Hour]]&gt;=BO$2),1,0)</f>
        <v>0</v>
      </c>
      <c r="BP110" s="329" t="n">
        <f aca="false" t="array" ref="BP110:BP110">IF(AND(BP$2&lt;&gt;0,TblTech[[#This Row],[Hour]:[Hour]]&gt;=BP$2),1,0)</f>
        <v>0</v>
      </c>
      <c r="BQ110" s="329" t="n">
        <f aca="false" t="array" ref="BQ110:BQ110">IF(AND(BQ$2&lt;&gt;0,TblTech[[#This Row],[Hour]:[Hour]]&gt;=BQ$2),1,0)</f>
        <v>0</v>
      </c>
      <c r="BR110" s="329" t="n">
        <f aca="false" t="array" ref="BR110:BR110">IF(AND(BR$2&lt;&gt;0,TblTech[[#This Row],[Hour]:[Hour]]&gt;=BR$2),1,0)</f>
        <v>0</v>
      </c>
      <c r="BS110" s="329" t="n">
        <f aca="false" t="array" ref="BS110:BS110">IF(AND(BS$2&lt;&gt;0,TblTech[[#This Row],[Hour]:[Hour]]&gt;=BS$2),1,0)</f>
        <v>0</v>
      </c>
      <c r="BT110" s="329" t="n">
        <f aca="false" t="array" ref="BT110:BT110">IF(AND(BT$2&lt;&gt;0,TblTech[[#This Row],[Hour]:[Hour]]&gt;=BT$2),1,0)</f>
        <v>0</v>
      </c>
      <c r="BU110" s="329" t="n">
        <f aca="false" t="array" ref="BU110:BU110">IF(AND(BU$2&lt;&gt;0,TblTech[[#This Row],[Hour]:[Hour]]&gt;=BU$2),1,0)</f>
        <v>0</v>
      </c>
      <c r="BV110" s="329" t="n">
        <f aca="false" t="array" ref="BV110:BV110">IF(AND(BV$2&lt;&gt;0,TblTech[[#This Row],[Hour]:[Hour]]&gt;=BV$2),1,0)</f>
        <v>0</v>
      </c>
      <c r="BW110" s="329" t="n">
        <f aca="false" t="array" ref="BW110:BW110">IF(AND(BW$2&lt;&gt;0,TblTech[[#This Row],[Hour]:[Hour]]&gt;=BW$2),1,0)</f>
        <v>0</v>
      </c>
      <c r="BX110" s="329" t="n">
        <f aca="false" t="array" ref="BX110:BX110">IF(AND(BX$2&lt;&gt;0,TblTech[[#This Row],[Hour]:[Hour]]&gt;=BX$2),1,0)</f>
        <v>0</v>
      </c>
      <c r="BY110" s="329" t="n">
        <f aca="false" t="array" ref="BY110:BY110">IF(AND(BY$2&lt;&gt;0,TblTech[[#This Row],[Hour]:[Hour]]&gt;=BY$2),1,0)</f>
        <v>0</v>
      </c>
      <c r="BZ110" s="329" t="n">
        <f aca="false" t="array" ref="BZ110:BZ110">IF(AND(BZ$2&lt;&gt;0,TblTech[[#This Row],[Hour]:[Hour]]&gt;=BZ$2),1,0)</f>
        <v>0</v>
      </c>
      <c r="CA110" s="330" t="n">
        <f aca="false">IFERROR(INDEX($H$4:$H$79,MATCH(INDEX(TblTech[[#Headers],[1-1]:[11-1]],1,MATCH(TblTech[[#This Row],[Hour]],$M$2:$BZ$2,0)),$G$4:$G$79,0)),)</f>
        <v>0</v>
      </c>
    </row>
    <row r="111" customFormat="false" ht="12.75" hidden="false" customHeight="false" outlineLevel="0" collapsed="false">
      <c r="A111" s="321" t="n">
        <f aca="false">TblRezone[[#This Row],[Hour]]</f>
        <v>108</v>
      </c>
      <c r="B111" s="322" t="n">
        <f aca="false">TblExplore[[#This Row],[Land-DB]]</f>
        <v>700</v>
      </c>
      <c r="C111" s="323" t="n">
        <f aca="false">TblProd[[#This Row],[Techpoints]]</f>
        <v>1400</v>
      </c>
      <c r="D111" s="323" t="n">
        <f aca="false">TblProd[[#This Row],[Required]]</f>
        <v>3750</v>
      </c>
      <c r="E111" s="333"/>
      <c r="F111" s="334"/>
      <c r="G111" s="326"/>
      <c r="H111" s="327"/>
      <c r="I111" s="327"/>
      <c r="J111" s="327"/>
      <c r="K111" s="68" t="n">
        <f aca="false">IF(TblTech[[#This Row],[Sum of tech]]&lt;&gt;OFFSET(TblTech[[#This Row],[Sum of tech]],-1,0),1,0)</f>
        <v>0</v>
      </c>
      <c r="L111" s="328" t="n">
        <f aca="false">COUNTIF(TblTech[[#This Row],[1-1]:[11-1]],1)</f>
        <v>0</v>
      </c>
      <c r="M111" s="329" t="n">
        <f aca="false" t="array" ref="M111:M111">IF(AND(M$2&lt;&gt;0,TblTech[[#This Row],[Hour]:[Hour]]&gt;=M$2),1,0)</f>
        <v>0</v>
      </c>
      <c r="N111" s="329" t="n">
        <f aca="false" t="array" ref="N111:N111">IF(AND(N$2&lt;&gt;0,TblTech[[#This Row],[Hour]:[Hour]]&gt;=N$2),1,0)</f>
        <v>0</v>
      </c>
      <c r="O111" s="329" t="n">
        <f aca="false" t="array" ref="O111:O111">IF(AND(O$2&lt;&gt;0,TblTech[[#This Row],[Hour]:[Hour]]&gt;=O$2),1,0)</f>
        <v>0</v>
      </c>
      <c r="P111" s="329" t="n">
        <f aca="false" t="array" ref="P111:P111">IF(AND(P$2&lt;&gt;0,TblTech[[#This Row],[Hour]:[Hour]]&gt;=P$2),1,0)</f>
        <v>0</v>
      </c>
      <c r="Q111" s="329" t="n">
        <f aca="false" t="array" ref="Q111:Q111">IF(AND(Q$2&lt;&gt;0,TblTech[[#This Row],[Hour]:[Hour]]&gt;=Q$2),1,0)</f>
        <v>0</v>
      </c>
      <c r="R111" s="329" t="n">
        <f aca="false" t="array" ref="R111:R111">IF(AND(R$2&lt;&gt;0,TblTech[[#This Row],[Hour]:[Hour]]&gt;=R$2),1,0)</f>
        <v>0</v>
      </c>
      <c r="S111" s="329" t="n">
        <f aca="false" t="array" ref="S111:S111">IF(AND(S$2&lt;&gt;0,TblTech[[#This Row],[Hour]:[Hour]]&gt;=S$2),1,0)</f>
        <v>0</v>
      </c>
      <c r="T111" s="329" t="n">
        <f aca="false" t="array" ref="T111:T111">IF(AND(T$2&lt;&gt;0,TblTech[[#This Row],[Hour]:[Hour]]&gt;=T$2),1,0)</f>
        <v>0</v>
      </c>
      <c r="U111" s="329" t="n">
        <f aca="false" t="array" ref="U111:U111">IF(AND(U$2&lt;&gt;0,TblTech[[#This Row],[Hour]:[Hour]]&gt;=U$2),1,0)</f>
        <v>0</v>
      </c>
      <c r="V111" s="329" t="n">
        <f aca="false" t="array" ref="V111:V111">IF(AND(V$2&lt;&gt;0,TblTech[[#This Row],[Hour]:[Hour]]&gt;=V$2),1,0)</f>
        <v>0</v>
      </c>
      <c r="W111" s="329" t="n">
        <f aca="false" t="array" ref="W111:W111">IF(AND(W$2&lt;&gt;0,TblTech[[#This Row],[Hour]:[Hour]]&gt;=W$2),1,0)</f>
        <v>0</v>
      </c>
      <c r="X111" s="329" t="n">
        <f aca="false" t="array" ref="X111:X111">IF(AND(X$2&lt;&gt;0,TblTech[[#This Row],[Hour]:[Hour]]&gt;=X$2),1,0)</f>
        <v>0</v>
      </c>
      <c r="Y111" s="329" t="n">
        <f aca="false" t="array" ref="Y111:Y111">IF(AND(Y$2&lt;&gt;0,TblTech[[#This Row],[Hour]:[Hour]]&gt;=Y$2),1,0)</f>
        <v>0</v>
      </c>
      <c r="Z111" s="329" t="n">
        <f aca="false" t="array" ref="Z111:Z111">IF(AND(Z$2&lt;&gt;0,TblTech[[#This Row],[Hour]:[Hour]]&gt;=Z$2),1,0)</f>
        <v>0</v>
      </c>
      <c r="AA111" s="329" t="n">
        <f aca="false" t="array" ref="AA111:AA111">IF(AND(AA$2&lt;&gt;0,TblTech[[#This Row],[Hour]:[Hour]]&gt;=AA$2),1,0)</f>
        <v>0</v>
      </c>
      <c r="AB111" s="329" t="n">
        <f aca="false" t="array" ref="AB111:AB111">IF(AND(AB$2&lt;&gt;0,TblTech[[#This Row],[Hour]:[Hour]]&gt;=AB$2),1,0)</f>
        <v>0</v>
      </c>
      <c r="AC111" s="329" t="n">
        <f aca="false" t="array" ref="AC111:AC111">IF(AND(AC$2&lt;&gt;0,TblTech[[#This Row],[Hour]:[Hour]]&gt;=AC$2),1,0)</f>
        <v>0</v>
      </c>
      <c r="AD111" s="329" t="n">
        <f aca="false" t="array" ref="AD111:AD111">IF(AND(AD$2&lt;&gt;0,TblTech[[#This Row],[Hour]:[Hour]]&gt;=AD$2),1,0)</f>
        <v>0</v>
      </c>
      <c r="AE111" s="329" t="n">
        <f aca="false" t="array" ref="AE111:AE111">IF(AND(AE$2&lt;&gt;0,TblTech[[#This Row],[Hour]:[Hour]]&gt;=AE$2),1,0)</f>
        <v>0</v>
      </c>
      <c r="AF111" s="329" t="n">
        <f aca="false" t="array" ref="AF111:AF111">IF(AND(AF$2&lt;&gt;0,TblTech[[#This Row],[Hour]:[Hour]]&gt;=AF$2),1,0)</f>
        <v>0</v>
      </c>
      <c r="AG111" s="329" t="n">
        <f aca="false" t="array" ref="AG111:AG111">IF(AND(AG$2&lt;&gt;0,TblTech[[#This Row],[Hour]:[Hour]]&gt;=AG$2),1,0)</f>
        <v>0</v>
      </c>
      <c r="AH111" s="329" t="n">
        <f aca="false" t="array" ref="AH111:AH111">IF(AND(AH$2&lt;&gt;0,TblTech[[#This Row],[Hour]:[Hour]]&gt;=AH$2),1,0)</f>
        <v>0</v>
      </c>
      <c r="AI111" s="329" t="n">
        <f aca="false" t="array" ref="AI111:AI111">IF(AND(AI$2&lt;&gt;0,TblTech[[#This Row],[Hour]:[Hour]]&gt;=AI$2),1,0)</f>
        <v>0</v>
      </c>
      <c r="AJ111" s="329" t="n">
        <f aca="false" t="array" ref="AJ111:AJ111">IF(AND(AJ$2&lt;&gt;0,TblTech[[#This Row],[Hour]:[Hour]]&gt;=AJ$2),1,0)</f>
        <v>0</v>
      </c>
      <c r="AK111" s="329" t="n">
        <f aca="false" t="array" ref="AK111:AK111">IF(AND(AK$2&lt;&gt;0,TblTech[[#This Row],[Hour]:[Hour]]&gt;=AK$2),1,0)</f>
        <v>0</v>
      </c>
      <c r="AL111" s="329" t="n">
        <f aca="false" t="array" ref="AL111:AL111">IF(AND(AL$2&lt;&gt;0,TblTech[[#This Row],[Hour]:[Hour]]&gt;=AL$2),1,0)</f>
        <v>0</v>
      </c>
      <c r="AM111" s="329" t="n">
        <f aca="false" t="array" ref="AM111:AM111">IF(AND(AM$2&lt;&gt;0,TblTech[[#This Row],[Hour]:[Hour]]&gt;=AM$2),1,0)</f>
        <v>0</v>
      </c>
      <c r="AN111" s="329" t="n">
        <f aca="false" t="array" ref="AN111:AN111">IF(AND(AN$2&lt;&gt;0,TblTech[[#This Row],[Hour]:[Hour]]&gt;=AN$2),1,0)</f>
        <v>0</v>
      </c>
      <c r="AO111" s="329" t="n">
        <f aca="false" t="array" ref="AO111:AO111">IF(AND(AO$2&lt;&gt;0,TblTech[[#This Row],[Hour]:[Hour]]&gt;=AO$2),1,0)</f>
        <v>0</v>
      </c>
      <c r="AP111" s="329" t="n">
        <f aca="false" t="array" ref="AP111:AP111">IF(AND(AP$2&lt;&gt;0,TblTech[[#This Row],[Hour]:[Hour]]&gt;=AP$2),1,0)</f>
        <v>0</v>
      </c>
      <c r="AQ111" s="329" t="n">
        <f aca="false" t="array" ref="AQ111:AQ111">IF(AND(AQ$2&lt;&gt;0,TblTech[[#This Row],[Hour]:[Hour]]&gt;=AQ$2),1,0)</f>
        <v>0</v>
      </c>
      <c r="AR111" s="329" t="n">
        <f aca="false" t="array" ref="AR111:AR111">IF(AND(AR$2&lt;&gt;0,TblTech[[#This Row],[Hour]:[Hour]]&gt;=AR$2),1,0)</f>
        <v>0</v>
      </c>
      <c r="AS111" s="329" t="n">
        <f aca="false" t="array" ref="AS111:AS111">IF(AND(AS$2&lt;&gt;0,TblTech[[#This Row],[Hour]:[Hour]]&gt;=AS$2),1,0)</f>
        <v>0</v>
      </c>
      <c r="AT111" s="329" t="n">
        <f aca="false" t="array" ref="AT111:AT111">IF(AND(AT$2&lt;&gt;0,TblTech[[#This Row],[Hour]:[Hour]]&gt;=AT$2),1,0)</f>
        <v>0</v>
      </c>
      <c r="AU111" s="329" t="n">
        <f aca="false" t="array" ref="AU111:AU111">IF(AND(AU$2&lt;&gt;0,TblTech[[#This Row],[Hour]:[Hour]]&gt;=AU$2),1,0)</f>
        <v>0</v>
      </c>
      <c r="AV111" s="329" t="n">
        <f aca="false" t="array" ref="AV111:AV111">IF(AND(AV$2&lt;&gt;0,TblTech[[#This Row],[Hour]:[Hour]]&gt;=AV$2),1,0)</f>
        <v>0</v>
      </c>
      <c r="AW111" s="329" t="n">
        <f aca="false" t="array" ref="AW111:AW111">IF(AND(AW$2&lt;&gt;0,TblTech[[#This Row],[Hour]:[Hour]]&gt;=AW$2),1,0)</f>
        <v>0</v>
      </c>
      <c r="AX111" s="329" t="n">
        <f aca="false" t="array" ref="AX111:AX111">IF(AND(AX$2&lt;&gt;0,TblTech[[#This Row],[Hour]:[Hour]]&gt;=AX$2),1,0)</f>
        <v>0</v>
      </c>
      <c r="AY111" s="329" t="n">
        <f aca="false" t="array" ref="AY111:AY111">IF(AND(AY$2&lt;&gt;0,TblTech[[#This Row],[Hour]:[Hour]]&gt;=AY$2),1,0)</f>
        <v>0</v>
      </c>
      <c r="AZ111" s="329" t="n">
        <f aca="false" t="array" ref="AZ111:AZ111">IF(AND(AZ$2&lt;&gt;0,TblTech[[#This Row],[Hour]:[Hour]]&gt;=AZ$2),1,0)</f>
        <v>0</v>
      </c>
      <c r="BA111" s="329" t="n">
        <f aca="false" t="array" ref="BA111:BA111">IF(AND(BA$2&lt;&gt;0,TblTech[[#This Row],[Hour]:[Hour]]&gt;=BA$2),1,0)</f>
        <v>0</v>
      </c>
      <c r="BB111" s="329" t="n">
        <f aca="false" t="array" ref="BB111:BB111">IF(AND(BB$2&lt;&gt;0,TblTech[[#This Row],[Hour]:[Hour]]&gt;=BB$2),1,0)</f>
        <v>0</v>
      </c>
      <c r="BC111" s="329" t="n">
        <f aca="false" t="array" ref="BC111:BC111">IF(AND(BC$2&lt;&gt;0,TblTech[[#This Row],[Hour]:[Hour]]&gt;=BC$2),1,0)</f>
        <v>0</v>
      </c>
      <c r="BD111" s="329" t="n">
        <f aca="false" t="array" ref="BD111:BD111">IF(AND(BD$2&lt;&gt;0,TblTech[[#This Row],[Hour]:[Hour]]&gt;=BD$2),1,0)</f>
        <v>0</v>
      </c>
      <c r="BE111" s="329" t="n">
        <f aca="false" t="array" ref="BE111:BE111">IF(AND(BE$2&lt;&gt;0,TblTech[[#This Row],[Hour]:[Hour]]&gt;=BE$2),1,0)</f>
        <v>0</v>
      </c>
      <c r="BF111" s="329" t="n">
        <f aca="false" t="array" ref="BF111:BF111">IF(AND(BF$2&lt;&gt;0,TblTech[[#This Row],[Hour]:[Hour]]&gt;=BF$2),1,0)</f>
        <v>0</v>
      </c>
      <c r="BG111" s="329" t="n">
        <f aca="false" t="array" ref="BG111:BG111">IF(AND(BG$2&lt;&gt;0,TblTech[[#This Row],[Hour]:[Hour]]&gt;=BG$2),1,0)</f>
        <v>0</v>
      </c>
      <c r="BH111" s="329" t="n">
        <f aca="false" t="array" ref="BH111:BH111">IF(AND(BH$2&lt;&gt;0,TblTech[[#This Row],[Hour]:[Hour]]&gt;=BH$2),1,0)</f>
        <v>0</v>
      </c>
      <c r="BI111" s="329" t="n">
        <f aca="false" t="array" ref="BI111:BI111">IF(AND(BI$2&lt;&gt;0,TblTech[[#This Row],[Hour]:[Hour]]&gt;=BI$2),1,0)</f>
        <v>0</v>
      </c>
      <c r="BJ111" s="329" t="n">
        <f aca="false" t="array" ref="BJ111:BJ111">IF(AND(BJ$2&lt;&gt;0,TblTech[[#This Row],[Hour]:[Hour]]&gt;=BJ$2),1,0)</f>
        <v>0</v>
      </c>
      <c r="BK111" s="329" t="n">
        <f aca="false" t="array" ref="BK111:BK111">IF(AND(BK$2&lt;&gt;0,TblTech[[#This Row],[Hour]:[Hour]]&gt;=BK$2),1,0)</f>
        <v>0</v>
      </c>
      <c r="BL111" s="329" t="n">
        <f aca="false" t="array" ref="BL111:BL111">IF(AND(BL$2&lt;&gt;0,TblTech[[#This Row],[Hour]:[Hour]]&gt;=BL$2),1,0)</f>
        <v>0</v>
      </c>
      <c r="BM111" s="329" t="n">
        <f aca="false" t="array" ref="BM111:BM111">IF(AND(BM$2&lt;&gt;0,TblTech[[#This Row],[Hour]:[Hour]]&gt;=BM$2),1,0)</f>
        <v>0</v>
      </c>
      <c r="BN111" s="329" t="n">
        <f aca="false" t="array" ref="BN111:BN111">IF(AND(BN$2&lt;&gt;0,TblTech[[#This Row],[Hour]:[Hour]]&gt;=BN$2),1,0)</f>
        <v>0</v>
      </c>
      <c r="BO111" s="329" t="n">
        <f aca="false" t="array" ref="BO111:BO111">IF(AND(BO$2&lt;&gt;0,TblTech[[#This Row],[Hour]:[Hour]]&gt;=BO$2),1,0)</f>
        <v>0</v>
      </c>
      <c r="BP111" s="329" t="n">
        <f aca="false" t="array" ref="BP111:BP111">IF(AND(BP$2&lt;&gt;0,TblTech[[#This Row],[Hour]:[Hour]]&gt;=BP$2),1,0)</f>
        <v>0</v>
      </c>
      <c r="BQ111" s="329" t="n">
        <f aca="false" t="array" ref="BQ111:BQ111">IF(AND(BQ$2&lt;&gt;0,TblTech[[#This Row],[Hour]:[Hour]]&gt;=BQ$2),1,0)</f>
        <v>0</v>
      </c>
      <c r="BR111" s="329" t="n">
        <f aca="false" t="array" ref="BR111:BR111">IF(AND(BR$2&lt;&gt;0,TblTech[[#This Row],[Hour]:[Hour]]&gt;=BR$2),1,0)</f>
        <v>0</v>
      </c>
      <c r="BS111" s="329" t="n">
        <f aca="false" t="array" ref="BS111:BS111">IF(AND(BS$2&lt;&gt;0,TblTech[[#This Row],[Hour]:[Hour]]&gt;=BS$2),1,0)</f>
        <v>0</v>
      </c>
      <c r="BT111" s="329" t="n">
        <f aca="false" t="array" ref="BT111:BT111">IF(AND(BT$2&lt;&gt;0,TblTech[[#This Row],[Hour]:[Hour]]&gt;=BT$2),1,0)</f>
        <v>0</v>
      </c>
      <c r="BU111" s="329" t="n">
        <f aca="false" t="array" ref="BU111:BU111">IF(AND(BU$2&lt;&gt;0,TblTech[[#This Row],[Hour]:[Hour]]&gt;=BU$2),1,0)</f>
        <v>0</v>
      </c>
      <c r="BV111" s="329" t="n">
        <f aca="false" t="array" ref="BV111:BV111">IF(AND(BV$2&lt;&gt;0,TblTech[[#This Row],[Hour]:[Hour]]&gt;=BV$2),1,0)</f>
        <v>0</v>
      </c>
      <c r="BW111" s="329" t="n">
        <f aca="false" t="array" ref="BW111:BW111">IF(AND(BW$2&lt;&gt;0,TblTech[[#This Row],[Hour]:[Hour]]&gt;=BW$2),1,0)</f>
        <v>0</v>
      </c>
      <c r="BX111" s="329" t="n">
        <f aca="false" t="array" ref="BX111:BX111">IF(AND(BX$2&lt;&gt;0,TblTech[[#This Row],[Hour]:[Hour]]&gt;=BX$2),1,0)</f>
        <v>0</v>
      </c>
      <c r="BY111" s="329" t="n">
        <f aca="false" t="array" ref="BY111:BY111">IF(AND(BY$2&lt;&gt;0,TblTech[[#This Row],[Hour]:[Hour]]&gt;=BY$2),1,0)</f>
        <v>0</v>
      </c>
      <c r="BZ111" s="329" t="n">
        <f aca="false" t="array" ref="BZ111:BZ111">IF(AND(BZ$2&lt;&gt;0,TblTech[[#This Row],[Hour]:[Hour]]&gt;=BZ$2),1,0)</f>
        <v>0</v>
      </c>
      <c r="CA111" s="330" t="n">
        <f aca="false">IFERROR(INDEX($H$4:$H$79,MATCH(INDEX(TblTech[[#Headers],[1-1]:[11-1]],1,MATCH(TblTech[[#This Row],[Hour]],$M$2:$BZ$2,0)),$G$4:$G$79,0)),)</f>
        <v>0</v>
      </c>
    </row>
    <row r="112" customFormat="false" ht="12.75" hidden="false" customHeight="false" outlineLevel="0" collapsed="false">
      <c r="A112" s="321" t="n">
        <f aca="false">TblRezone[[#This Row],[Hour]]</f>
        <v>109</v>
      </c>
      <c r="B112" s="322" t="n">
        <f aca="false">TblExplore[[#This Row],[Land-DB]]</f>
        <v>700</v>
      </c>
      <c r="C112" s="323" t="n">
        <f aca="false">TblProd[[#This Row],[Techpoints]]</f>
        <v>1400</v>
      </c>
      <c r="D112" s="323" t="n">
        <f aca="false">TblProd[[#This Row],[Required]]</f>
        <v>3750</v>
      </c>
      <c r="E112" s="333"/>
      <c r="F112" s="334"/>
      <c r="G112" s="326"/>
      <c r="H112" s="327"/>
      <c r="I112" s="327"/>
      <c r="J112" s="327"/>
      <c r="K112" s="68" t="n">
        <f aca="false">IF(TblTech[[#This Row],[Sum of tech]]&lt;&gt;OFFSET(TblTech[[#This Row],[Sum of tech]],-1,0),1,0)</f>
        <v>0</v>
      </c>
      <c r="L112" s="328" t="n">
        <f aca="false">COUNTIF(TblTech[[#This Row],[1-1]:[11-1]],1)</f>
        <v>0</v>
      </c>
      <c r="M112" s="329" t="n">
        <f aca="false" t="array" ref="M112:M112">IF(AND(M$2&lt;&gt;0,TblTech[[#This Row],[Hour]:[Hour]]&gt;=M$2),1,0)</f>
        <v>0</v>
      </c>
      <c r="N112" s="329" t="n">
        <f aca="false" t="array" ref="N112:N112">IF(AND(N$2&lt;&gt;0,TblTech[[#This Row],[Hour]:[Hour]]&gt;=N$2),1,0)</f>
        <v>0</v>
      </c>
      <c r="O112" s="329" t="n">
        <f aca="false" t="array" ref="O112:O112">IF(AND(O$2&lt;&gt;0,TblTech[[#This Row],[Hour]:[Hour]]&gt;=O$2),1,0)</f>
        <v>0</v>
      </c>
      <c r="P112" s="329" t="n">
        <f aca="false" t="array" ref="P112:P112">IF(AND(P$2&lt;&gt;0,TblTech[[#This Row],[Hour]:[Hour]]&gt;=P$2),1,0)</f>
        <v>0</v>
      </c>
      <c r="Q112" s="329" t="n">
        <f aca="false" t="array" ref="Q112:Q112">IF(AND(Q$2&lt;&gt;0,TblTech[[#This Row],[Hour]:[Hour]]&gt;=Q$2),1,0)</f>
        <v>0</v>
      </c>
      <c r="R112" s="329" t="n">
        <f aca="false" t="array" ref="R112:R112">IF(AND(R$2&lt;&gt;0,TblTech[[#This Row],[Hour]:[Hour]]&gt;=R$2),1,0)</f>
        <v>0</v>
      </c>
      <c r="S112" s="329" t="n">
        <f aca="false" t="array" ref="S112:S112">IF(AND(S$2&lt;&gt;0,TblTech[[#This Row],[Hour]:[Hour]]&gt;=S$2),1,0)</f>
        <v>0</v>
      </c>
      <c r="T112" s="329" t="n">
        <f aca="false" t="array" ref="T112:T112">IF(AND(T$2&lt;&gt;0,TblTech[[#This Row],[Hour]:[Hour]]&gt;=T$2),1,0)</f>
        <v>0</v>
      </c>
      <c r="U112" s="329" t="n">
        <f aca="false" t="array" ref="U112:U112">IF(AND(U$2&lt;&gt;0,TblTech[[#This Row],[Hour]:[Hour]]&gt;=U$2),1,0)</f>
        <v>0</v>
      </c>
      <c r="V112" s="329" t="n">
        <f aca="false" t="array" ref="V112:V112">IF(AND(V$2&lt;&gt;0,TblTech[[#This Row],[Hour]:[Hour]]&gt;=V$2),1,0)</f>
        <v>0</v>
      </c>
      <c r="W112" s="329" t="n">
        <f aca="false" t="array" ref="W112:W112">IF(AND(W$2&lt;&gt;0,TblTech[[#This Row],[Hour]:[Hour]]&gt;=W$2),1,0)</f>
        <v>0</v>
      </c>
      <c r="X112" s="329" t="n">
        <f aca="false" t="array" ref="X112:X112">IF(AND(X$2&lt;&gt;0,TblTech[[#This Row],[Hour]:[Hour]]&gt;=X$2),1,0)</f>
        <v>0</v>
      </c>
      <c r="Y112" s="329" t="n">
        <f aca="false" t="array" ref="Y112:Y112">IF(AND(Y$2&lt;&gt;0,TblTech[[#This Row],[Hour]:[Hour]]&gt;=Y$2),1,0)</f>
        <v>0</v>
      </c>
      <c r="Z112" s="329" t="n">
        <f aca="false" t="array" ref="Z112:Z112">IF(AND(Z$2&lt;&gt;0,TblTech[[#This Row],[Hour]:[Hour]]&gt;=Z$2),1,0)</f>
        <v>0</v>
      </c>
      <c r="AA112" s="329" t="n">
        <f aca="false" t="array" ref="AA112:AA112">IF(AND(AA$2&lt;&gt;0,TblTech[[#This Row],[Hour]:[Hour]]&gt;=AA$2),1,0)</f>
        <v>0</v>
      </c>
      <c r="AB112" s="329" t="n">
        <f aca="false" t="array" ref="AB112:AB112">IF(AND(AB$2&lt;&gt;0,TblTech[[#This Row],[Hour]:[Hour]]&gt;=AB$2),1,0)</f>
        <v>0</v>
      </c>
      <c r="AC112" s="329" t="n">
        <f aca="false" t="array" ref="AC112:AC112">IF(AND(AC$2&lt;&gt;0,TblTech[[#This Row],[Hour]:[Hour]]&gt;=AC$2),1,0)</f>
        <v>0</v>
      </c>
      <c r="AD112" s="329" t="n">
        <f aca="false" t="array" ref="AD112:AD112">IF(AND(AD$2&lt;&gt;0,TblTech[[#This Row],[Hour]:[Hour]]&gt;=AD$2),1,0)</f>
        <v>0</v>
      </c>
      <c r="AE112" s="329" t="n">
        <f aca="false" t="array" ref="AE112:AE112">IF(AND(AE$2&lt;&gt;0,TblTech[[#This Row],[Hour]:[Hour]]&gt;=AE$2),1,0)</f>
        <v>0</v>
      </c>
      <c r="AF112" s="329" t="n">
        <f aca="false" t="array" ref="AF112:AF112">IF(AND(AF$2&lt;&gt;0,TblTech[[#This Row],[Hour]:[Hour]]&gt;=AF$2),1,0)</f>
        <v>0</v>
      </c>
      <c r="AG112" s="329" t="n">
        <f aca="false" t="array" ref="AG112:AG112">IF(AND(AG$2&lt;&gt;0,TblTech[[#This Row],[Hour]:[Hour]]&gt;=AG$2),1,0)</f>
        <v>0</v>
      </c>
      <c r="AH112" s="329" t="n">
        <f aca="false" t="array" ref="AH112:AH112">IF(AND(AH$2&lt;&gt;0,TblTech[[#This Row],[Hour]:[Hour]]&gt;=AH$2),1,0)</f>
        <v>0</v>
      </c>
      <c r="AI112" s="329" t="n">
        <f aca="false" t="array" ref="AI112:AI112">IF(AND(AI$2&lt;&gt;0,TblTech[[#This Row],[Hour]:[Hour]]&gt;=AI$2),1,0)</f>
        <v>0</v>
      </c>
      <c r="AJ112" s="329" t="n">
        <f aca="false" t="array" ref="AJ112:AJ112">IF(AND(AJ$2&lt;&gt;0,TblTech[[#This Row],[Hour]:[Hour]]&gt;=AJ$2),1,0)</f>
        <v>0</v>
      </c>
      <c r="AK112" s="329" t="n">
        <f aca="false" t="array" ref="AK112:AK112">IF(AND(AK$2&lt;&gt;0,TblTech[[#This Row],[Hour]:[Hour]]&gt;=AK$2),1,0)</f>
        <v>0</v>
      </c>
      <c r="AL112" s="329" t="n">
        <f aca="false" t="array" ref="AL112:AL112">IF(AND(AL$2&lt;&gt;0,TblTech[[#This Row],[Hour]:[Hour]]&gt;=AL$2),1,0)</f>
        <v>0</v>
      </c>
      <c r="AM112" s="329" t="n">
        <f aca="false" t="array" ref="AM112:AM112">IF(AND(AM$2&lt;&gt;0,TblTech[[#This Row],[Hour]:[Hour]]&gt;=AM$2),1,0)</f>
        <v>0</v>
      </c>
      <c r="AN112" s="329" t="n">
        <f aca="false" t="array" ref="AN112:AN112">IF(AND(AN$2&lt;&gt;0,TblTech[[#This Row],[Hour]:[Hour]]&gt;=AN$2),1,0)</f>
        <v>0</v>
      </c>
      <c r="AO112" s="329" t="n">
        <f aca="false" t="array" ref="AO112:AO112">IF(AND(AO$2&lt;&gt;0,TblTech[[#This Row],[Hour]:[Hour]]&gt;=AO$2),1,0)</f>
        <v>0</v>
      </c>
      <c r="AP112" s="329" t="n">
        <f aca="false" t="array" ref="AP112:AP112">IF(AND(AP$2&lt;&gt;0,TblTech[[#This Row],[Hour]:[Hour]]&gt;=AP$2),1,0)</f>
        <v>0</v>
      </c>
      <c r="AQ112" s="329" t="n">
        <f aca="false" t="array" ref="AQ112:AQ112">IF(AND(AQ$2&lt;&gt;0,TblTech[[#This Row],[Hour]:[Hour]]&gt;=AQ$2),1,0)</f>
        <v>0</v>
      </c>
      <c r="AR112" s="329" t="n">
        <f aca="false" t="array" ref="AR112:AR112">IF(AND(AR$2&lt;&gt;0,TblTech[[#This Row],[Hour]:[Hour]]&gt;=AR$2),1,0)</f>
        <v>0</v>
      </c>
      <c r="AS112" s="329" t="n">
        <f aca="false" t="array" ref="AS112:AS112">IF(AND(AS$2&lt;&gt;0,TblTech[[#This Row],[Hour]:[Hour]]&gt;=AS$2),1,0)</f>
        <v>0</v>
      </c>
      <c r="AT112" s="329" t="n">
        <f aca="false" t="array" ref="AT112:AT112">IF(AND(AT$2&lt;&gt;0,TblTech[[#This Row],[Hour]:[Hour]]&gt;=AT$2),1,0)</f>
        <v>0</v>
      </c>
      <c r="AU112" s="329" t="n">
        <f aca="false" t="array" ref="AU112:AU112">IF(AND(AU$2&lt;&gt;0,TblTech[[#This Row],[Hour]:[Hour]]&gt;=AU$2),1,0)</f>
        <v>0</v>
      </c>
      <c r="AV112" s="329" t="n">
        <f aca="false" t="array" ref="AV112:AV112">IF(AND(AV$2&lt;&gt;0,TblTech[[#This Row],[Hour]:[Hour]]&gt;=AV$2),1,0)</f>
        <v>0</v>
      </c>
      <c r="AW112" s="329" t="n">
        <f aca="false" t="array" ref="AW112:AW112">IF(AND(AW$2&lt;&gt;0,TblTech[[#This Row],[Hour]:[Hour]]&gt;=AW$2),1,0)</f>
        <v>0</v>
      </c>
      <c r="AX112" s="329" t="n">
        <f aca="false" t="array" ref="AX112:AX112">IF(AND(AX$2&lt;&gt;0,TblTech[[#This Row],[Hour]:[Hour]]&gt;=AX$2),1,0)</f>
        <v>0</v>
      </c>
      <c r="AY112" s="329" t="n">
        <f aca="false" t="array" ref="AY112:AY112">IF(AND(AY$2&lt;&gt;0,TblTech[[#This Row],[Hour]:[Hour]]&gt;=AY$2),1,0)</f>
        <v>0</v>
      </c>
      <c r="AZ112" s="329" t="n">
        <f aca="false" t="array" ref="AZ112:AZ112">IF(AND(AZ$2&lt;&gt;0,TblTech[[#This Row],[Hour]:[Hour]]&gt;=AZ$2),1,0)</f>
        <v>0</v>
      </c>
      <c r="BA112" s="329" t="n">
        <f aca="false" t="array" ref="BA112:BA112">IF(AND(BA$2&lt;&gt;0,TblTech[[#This Row],[Hour]:[Hour]]&gt;=BA$2),1,0)</f>
        <v>0</v>
      </c>
      <c r="BB112" s="329" t="n">
        <f aca="false" t="array" ref="BB112:BB112">IF(AND(BB$2&lt;&gt;0,TblTech[[#This Row],[Hour]:[Hour]]&gt;=BB$2),1,0)</f>
        <v>0</v>
      </c>
      <c r="BC112" s="329" t="n">
        <f aca="false" t="array" ref="BC112:BC112">IF(AND(BC$2&lt;&gt;0,TblTech[[#This Row],[Hour]:[Hour]]&gt;=BC$2),1,0)</f>
        <v>0</v>
      </c>
      <c r="BD112" s="329" t="n">
        <f aca="false" t="array" ref="BD112:BD112">IF(AND(BD$2&lt;&gt;0,TblTech[[#This Row],[Hour]:[Hour]]&gt;=BD$2),1,0)</f>
        <v>0</v>
      </c>
      <c r="BE112" s="329" t="n">
        <f aca="false" t="array" ref="BE112:BE112">IF(AND(BE$2&lt;&gt;0,TblTech[[#This Row],[Hour]:[Hour]]&gt;=BE$2),1,0)</f>
        <v>0</v>
      </c>
      <c r="BF112" s="329" t="n">
        <f aca="false" t="array" ref="BF112:BF112">IF(AND(BF$2&lt;&gt;0,TblTech[[#This Row],[Hour]:[Hour]]&gt;=BF$2),1,0)</f>
        <v>0</v>
      </c>
      <c r="BG112" s="329" t="n">
        <f aca="false" t="array" ref="BG112:BG112">IF(AND(BG$2&lt;&gt;0,TblTech[[#This Row],[Hour]:[Hour]]&gt;=BG$2),1,0)</f>
        <v>0</v>
      </c>
      <c r="BH112" s="329" t="n">
        <f aca="false" t="array" ref="BH112:BH112">IF(AND(BH$2&lt;&gt;0,TblTech[[#This Row],[Hour]:[Hour]]&gt;=BH$2),1,0)</f>
        <v>0</v>
      </c>
      <c r="BI112" s="329" t="n">
        <f aca="false" t="array" ref="BI112:BI112">IF(AND(BI$2&lt;&gt;0,TblTech[[#This Row],[Hour]:[Hour]]&gt;=BI$2),1,0)</f>
        <v>0</v>
      </c>
      <c r="BJ112" s="329" t="n">
        <f aca="false" t="array" ref="BJ112:BJ112">IF(AND(BJ$2&lt;&gt;0,TblTech[[#This Row],[Hour]:[Hour]]&gt;=BJ$2),1,0)</f>
        <v>0</v>
      </c>
      <c r="BK112" s="329" t="n">
        <f aca="false" t="array" ref="BK112:BK112">IF(AND(BK$2&lt;&gt;0,TblTech[[#This Row],[Hour]:[Hour]]&gt;=BK$2),1,0)</f>
        <v>0</v>
      </c>
      <c r="BL112" s="329" t="n">
        <f aca="false" t="array" ref="BL112:BL112">IF(AND(BL$2&lt;&gt;0,TblTech[[#This Row],[Hour]:[Hour]]&gt;=BL$2),1,0)</f>
        <v>0</v>
      </c>
      <c r="BM112" s="329" t="n">
        <f aca="false" t="array" ref="BM112:BM112">IF(AND(BM$2&lt;&gt;0,TblTech[[#This Row],[Hour]:[Hour]]&gt;=BM$2),1,0)</f>
        <v>0</v>
      </c>
      <c r="BN112" s="329" t="n">
        <f aca="false" t="array" ref="BN112:BN112">IF(AND(BN$2&lt;&gt;0,TblTech[[#This Row],[Hour]:[Hour]]&gt;=BN$2),1,0)</f>
        <v>0</v>
      </c>
      <c r="BO112" s="329" t="n">
        <f aca="false" t="array" ref="BO112:BO112">IF(AND(BO$2&lt;&gt;0,TblTech[[#This Row],[Hour]:[Hour]]&gt;=BO$2),1,0)</f>
        <v>0</v>
      </c>
      <c r="BP112" s="329" t="n">
        <f aca="false" t="array" ref="BP112:BP112">IF(AND(BP$2&lt;&gt;0,TblTech[[#This Row],[Hour]:[Hour]]&gt;=BP$2),1,0)</f>
        <v>0</v>
      </c>
      <c r="BQ112" s="329" t="n">
        <f aca="false" t="array" ref="BQ112:BQ112">IF(AND(BQ$2&lt;&gt;0,TblTech[[#This Row],[Hour]:[Hour]]&gt;=BQ$2),1,0)</f>
        <v>0</v>
      </c>
      <c r="BR112" s="329" t="n">
        <f aca="false" t="array" ref="BR112:BR112">IF(AND(BR$2&lt;&gt;0,TblTech[[#This Row],[Hour]:[Hour]]&gt;=BR$2),1,0)</f>
        <v>0</v>
      </c>
      <c r="BS112" s="329" t="n">
        <f aca="false" t="array" ref="BS112:BS112">IF(AND(BS$2&lt;&gt;0,TblTech[[#This Row],[Hour]:[Hour]]&gt;=BS$2),1,0)</f>
        <v>0</v>
      </c>
      <c r="BT112" s="329" t="n">
        <f aca="false" t="array" ref="BT112:BT112">IF(AND(BT$2&lt;&gt;0,TblTech[[#This Row],[Hour]:[Hour]]&gt;=BT$2),1,0)</f>
        <v>0</v>
      </c>
      <c r="BU112" s="329" t="n">
        <f aca="false" t="array" ref="BU112:BU112">IF(AND(BU$2&lt;&gt;0,TblTech[[#This Row],[Hour]:[Hour]]&gt;=BU$2),1,0)</f>
        <v>0</v>
      </c>
      <c r="BV112" s="329" t="n">
        <f aca="false" t="array" ref="BV112:BV112">IF(AND(BV$2&lt;&gt;0,TblTech[[#This Row],[Hour]:[Hour]]&gt;=BV$2),1,0)</f>
        <v>0</v>
      </c>
      <c r="BW112" s="329" t="n">
        <f aca="false" t="array" ref="BW112:BW112">IF(AND(BW$2&lt;&gt;0,TblTech[[#This Row],[Hour]:[Hour]]&gt;=BW$2),1,0)</f>
        <v>0</v>
      </c>
      <c r="BX112" s="329" t="n">
        <f aca="false" t="array" ref="BX112:BX112">IF(AND(BX$2&lt;&gt;0,TblTech[[#This Row],[Hour]:[Hour]]&gt;=BX$2),1,0)</f>
        <v>0</v>
      </c>
      <c r="BY112" s="329" t="n">
        <f aca="false" t="array" ref="BY112:BY112">IF(AND(BY$2&lt;&gt;0,TblTech[[#This Row],[Hour]:[Hour]]&gt;=BY$2),1,0)</f>
        <v>0</v>
      </c>
      <c r="BZ112" s="329" t="n">
        <f aca="false" t="array" ref="BZ112:BZ112">IF(AND(BZ$2&lt;&gt;0,TblTech[[#This Row],[Hour]:[Hour]]&gt;=BZ$2),1,0)</f>
        <v>0</v>
      </c>
      <c r="CA112" s="330" t="n">
        <f aca="false">IFERROR(INDEX($H$4:$H$79,MATCH(INDEX(TblTech[[#Headers],[1-1]:[11-1]],1,MATCH(TblTech[[#This Row],[Hour]],$M$2:$BZ$2,0)),$G$4:$G$79,0)),)</f>
        <v>0</v>
      </c>
    </row>
    <row r="113" customFormat="false" ht="12.75" hidden="false" customHeight="false" outlineLevel="0" collapsed="false">
      <c r="A113" s="321" t="n">
        <f aca="false">TblRezone[[#This Row],[Hour]]</f>
        <v>110</v>
      </c>
      <c r="B113" s="322" t="n">
        <f aca="false">TblExplore[[#This Row],[Land-DB]]</f>
        <v>700</v>
      </c>
      <c r="C113" s="323" t="n">
        <f aca="false">TblProd[[#This Row],[Techpoints]]</f>
        <v>1400</v>
      </c>
      <c r="D113" s="323" t="n">
        <f aca="false">TblProd[[#This Row],[Required]]</f>
        <v>3750</v>
      </c>
      <c r="E113" s="333"/>
      <c r="F113" s="334"/>
      <c r="G113" s="326"/>
      <c r="H113" s="327"/>
      <c r="I113" s="327"/>
      <c r="J113" s="327"/>
      <c r="K113" s="68" t="n">
        <f aca="false">IF(TblTech[[#This Row],[Sum of tech]]&lt;&gt;OFFSET(TblTech[[#This Row],[Sum of tech]],-1,0),1,0)</f>
        <v>0</v>
      </c>
      <c r="L113" s="328" t="n">
        <f aca="false">COUNTIF(TblTech[[#This Row],[1-1]:[11-1]],1)</f>
        <v>0</v>
      </c>
      <c r="M113" s="329" t="n">
        <f aca="false" t="array" ref="M113:M113">IF(AND(M$2&lt;&gt;0,TblTech[[#This Row],[Hour]:[Hour]]&gt;=M$2),1,0)</f>
        <v>0</v>
      </c>
      <c r="N113" s="329" t="n">
        <f aca="false" t="array" ref="N113:N113">IF(AND(N$2&lt;&gt;0,TblTech[[#This Row],[Hour]:[Hour]]&gt;=N$2),1,0)</f>
        <v>0</v>
      </c>
      <c r="O113" s="329" t="n">
        <f aca="false" t="array" ref="O113:O113">IF(AND(O$2&lt;&gt;0,TblTech[[#This Row],[Hour]:[Hour]]&gt;=O$2),1,0)</f>
        <v>0</v>
      </c>
      <c r="P113" s="329" t="n">
        <f aca="false" t="array" ref="P113:P113">IF(AND(P$2&lt;&gt;0,TblTech[[#This Row],[Hour]:[Hour]]&gt;=P$2),1,0)</f>
        <v>0</v>
      </c>
      <c r="Q113" s="329" t="n">
        <f aca="false" t="array" ref="Q113:Q113">IF(AND(Q$2&lt;&gt;0,TblTech[[#This Row],[Hour]:[Hour]]&gt;=Q$2),1,0)</f>
        <v>0</v>
      </c>
      <c r="R113" s="329" t="n">
        <f aca="false" t="array" ref="R113:R113">IF(AND(R$2&lt;&gt;0,TblTech[[#This Row],[Hour]:[Hour]]&gt;=R$2),1,0)</f>
        <v>0</v>
      </c>
      <c r="S113" s="329" t="n">
        <f aca="false" t="array" ref="S113:S113">IF(AND(S$2&lt;&gt;0,TblTech[[#This Row],[Hour]:[Hour]]&gt;=S$2),1,0)</f>
        <v>0</v>
      </c>
      <c r="T113" s="329" t="n">
        <f aca="false" t="array" ref="T113:T113">IF(AND(T$2&lt;&gt;0,TblTech[[#This Row],[Hour]:[Hour]]&gt;=T$2),1,0)</f>
        <v>0</v>
      </c>
      <c r="U113" s="329" t="n">
        <f aca="false" t="array" ref="U113:U113">IF(AND(U$2&lt;&gt;0,TblTech[[#This Row],[Hour]:[Hour]]&gt;=U$2),1,0)</f>
        <v>0</v>
      </c>
      <c r="V113" s="329" t="n">
        <f aca="false" t="array" ref="V113:V113">IF(AND(V$2&lt;&gt;0,TblTech[[#This Row],[Hour]:[Hour]]&gt;=V$2),1,0)</f>
        <v>0</v>
      </c>
      <c r="W113" s="329" t="n">
        <f aca="false" t="array" ref="W113:W113">IF(AND(W$2&lt;&gt;0,TblTech[[#This Row],[Hour]:[Hour]]&gt;=W$2),1,0)</f>
        <v>0</v>
      </c>
      <c r="X113" s="329" t="n">
        <f aca="false" t="array" ref="X113:X113">IF(AND(X$2&lt;&gt;0,TblTech[[#This Row],[Hour]:[Hour]]&gt;=X$2),1,0)</f>
        <v>0</v>
      </c>
      <c r="Y113" s="329" t="n">
        <f aca="false" t="array" ref="Y113:Y113">IF(AND(Y$2&lt;&gt;0,TblTech[[#This Row],[Hour]:[Hour]]&gt;=Y$2),1,0)</f>
        <v>0</v>
      </c>
      <c r="Z113" s="329" t="n">
        <f aca="false" t="array" ref="Z113:Z113">IF(AND(Z$2&lt;&gt;0,TblTech[[#This Row],[Hour]:[Hour]]&gt;=Z$2),1,0)</f>
        <v>0</v>
      </c>
      <c r="AA113" s="329" t="n">
        <f aca="false" t="array" ref="AA113:AA113">IF(AND(AA$2&lt;&gt;0,TblTech[[#This Row],[Hour]:[Hour]]&gt;=AA$2),1,0)</f>
        <v>0</v>
      </c>
      <c r="AB113" s="329" t="n">
        <f aca="false" t="array" ref="AB113:AB113">IF(AND(AB$2&lt;&gt;0,TblTech[[#This Row],[Hour]:[Hour]]&gt;=AB$2),1,0)</f>
        <v>0</v>
      </c>
      <c r="AC113" s="329" t="n">
        <f aca="false" t="array" ref="AC113:AC113">IF(AND(AC$2&lt;&gt;0,TblTech[[#This Row],[Hour]:[Hour]]&gt;=AC$2),1,0)</f>
        <v>0</v>
      </c>
      <c r="AD113" s="329" t="n">
        <f aca="false" t="array" ref="AD113:AD113">IF(AND(AD$2&lt;&gt;0,TblTech[[#This Row],[Hour]:[Hour]]&gt;=AD$2),1,0)</f>
        <v>0</v>
      </c>
      <c r="AE113" s="329" t="n">
        <f aca="false" t="array" ref="AE113:AE113">IF(AND(AE$2&lt;&gt;0,TblTech[[#This Row],[Hour]:[Hour]]&gt;=AE$2),1,0)</f>
        <v>0</v>
      </c>
      <c r="AF113" s="329" t="n">
        <f aca="false" t="array" ref="AF113:AF113">IF(AND(AF$2&lt;&gt;0,TblTech[[#This Row],[Hour]:[Hour]]&gt;=AF$2),1,0)</f>
        <v>0</v>
      </c>
      <c r="AG113" s="329" t="n">
        <f aca="false" t="array" ref="AG113:AG113">IF(AND(AG$2&lt;&gt;0,TblTech[[#This Row],[Hour]:[Hour]]&gt;=AG$2),1,0)</f>
        <v>0</v>
      </c>
      <c r="AH113" s="329" t="n">
        <f aca="false" t="array" ref="AH113:AH113">IF(AND(AH$2&lt;&gt;0,TblTech[[#This Row],[Hour]:[Hour]]&gt;=AH$2),1,0)</f>
        <v>0</v>
      </c>
      <c r="AI113" s="329" t="n">
        <f aca="false" t="array" ref="AI113:AI113">IF(AND(AI$2&lt;&gt;0,TblTech[[#This Row],[Hour]:[Hour]]&gt;=AI$2),1,0)</f>
        <v>0</v>
      </c>
      <c r="AJ113" s="329" t="n">
        <f aca="false" t="array" ref="AJ113:AJ113">IF(AND(AJ$2&lt;&gt;0,TblTech[[#This Row],[Hour]:[Hour]]&gt;=AJ$2),1,0)</f>
        <v>0</v>
      </c>
      <c r="AK113" s="329" t="n">
        <f aca="false" t="array" ref="AK113:AK113">IF(AND(AK$2&lt;&gt;0,TblTech[[#This Row],[Hour]:[Hour]]&gt;=AK$2),1,0)</f>
        <v>0</v>
      </c>
      <c r="AL113" s="329" t="n">
        <f aca="false" t="array" ref="AL113:AL113">IF(AND(AL$2&lt;&gt;0,TblTech[[#This Row],[Hour]:[Hour]]&gt;=AL$2),1,0)</f>
        <v>0</v>
      </c>
      <c r="AM113" s="329" t="n">
        <f aca="false" t="array" ref="AM113:AM113">IF(AND(AM$2&lt;&gt;0,TblTech[[#This Row],[Hour]:[Hour]]&gt;=AM$2),1,0)</f>
        <v>0</v>
      </c>
      <c r="AN113" s="329" t="n">
        <f aca="false" t="array" ref="AN113:AN113">IF(AND(AN$2&lt;&gt;0,TblTech[[#This Row],[Hour]:[Hour]]&gt;=AN$2),1,0)</f>
        <v>0</v>
      </c>
      <c r="AO113" s="329" t="n">
        <f aca="false" t="array" ref="AO113:AO113">IF(AND(AO$2&lt;&gt;0,TblTech[[#This Row],[Hour]:[Hour]]&gt;=AO$2),1,0)</f>
        <v>0</v>
      </c>
      <c r="AP113" s="329" t="n">
        <f aca="false" t="array" ref="AP113:AP113">IF(AND(AP$2&lt;&gt;0,TblTech[[#This Row],[Hour]:[Hour]]&gt;=AP$2),1,0)</f>
        <v>0</v>
      </c>
      <c r="AQ113" s="329" t="n">
        <f aca="false" t="array" ref="AQ113:AQ113">IF(AND(AQ$2&lt;&gt;0,TblTech[[#This Row],[Hour]:[Hour]]&gt;=AQ$2),1,0)</f>
        <v>0</v>
      </c>
      <c r="AR113" s="329" t="n">
        <f aca="false" t="array" ref="AR113:AR113">IF(AND(AR$2&lt;&gt;0,TblTech[[#This Row],[Hour]:[Hour]]&gt;=AR$2),1,0)</f>
        <v>0</v>
      </c>
      <c r="AS113" s="329" t="n">
        <f aca="false" t="array" ref="AS113:AS113">IF(AND(AS$2&lt;&gt;0,TblTech[[#This Row],[Hour]:[Hour]]&gt;=AS$2),1,0)</f>
        <v>0</v>
      </c>
      <c r="AT113" s="329" t="n">
        <f aca="false" t="array" ref="AT113:AT113">IF(AND(AT$2&lt;&gt;0,TblTech[[#This Row],[Hour]:[Hour]]&gt;=AT$2),1,0)</f>
        <v>0</v>
      </c>
      <c r="AU113" s="329" t="n">
        <f aca="false" t="array" ref="AU113:AU113">IF(AND(AU$2&lt;&gt;0,TblTech[[#This Row],[Hour]:[Hour]]&gt;=AU$2),1,0)</f>
        <v>0</v>
      </c>
      <c r="AV113" s="329" t="n">
        <f aca="false" t="array" ref="AV113:AV113">IF(AND(AV$2&lt;&gt;0,TblTech[[#This Row],[Hour]:[Hour]]&gt;=AV$2),1,0)</f>
        <v>0</v>
      </c>
      <c r="AW113" s="329" t="n">
        <f aca="false" t="array" ref="AW113:AW113">IF(AND(AW$2&lt;&gt;0,TblTech[[#This Row],[Hour]:[Hour]]&gt;=AW$2),1,0)</f>
        <v>0</v>
      </c>
      <c r="AX113" s="329" t="n">
        <f aca="false" t="array" ref="AX113:AX113">IF(AND(AX$2&lt;&gt;0,TblTech[[#This Row],[Hour]:[Hour]]&gt;=AX$2),1,0)</f>
        <v>0</v>
      </c>
      <c r="AY113" s="329" t="n">
        <f aca="false" t="array" ref="AY113:AY113">IF(AND(AY$2&lt;&gt;0,TblTech[[#This Row],[Hour]:[Hour]]&gt;=AY$2),1,0)</f>
        <v>0</v>
      </c>
      <c r="AZ113" s="329" t="n">
        <f aca="false" t="array" ref="AZ113:AZ113">IF(AND(AZ$2&lt;&gt;0,TblTech[[#This Row],[Hour]:[Hour]]&gt;=AZ$2),1,0)</f>
        <v>0</v>
      </c>
      <c r="BA113" s="329" t="n">
        <f aca="false" t="array" ref="BA113:BA113">IF(AND(BA$2&lt;&gt;0,TblTech[[#This Row],[Hour]:[Hour]]&gt;=BA$2),1,0)</f>
        <v>0</v>
      </c>
      <c r="BB113" s="329" t="n">
        <f aca="false" t="array" ref="BB113:BB113">IF(AND(BB$2&lt;&gt;0,TblTech[[#This Row],[Hour]:[Hour]]&gt;=BB$2),1,0)</f>
        <v>0</v>
      </c>
      <c r="BC113" s="329" t="n">
        <f aca="false" t="array" ref="BC113:BC113">IF(AND(BC$2&lt;&gt;0,TblTech[[#This Row],[Hour]:[Hour]]&gt;=BC$2),1,0)</f>
        <v>0</v>
      </c>
      <c r="BD113" s="329" t="n">
        <f aca="false" t="array" ref="BD113:BD113">IF(AND(BD$2&lt;&gt;0,TblTech[[#This Row],[Hour]:[Hour]]&gt;=BD$2),1,0)</f>
        <v>0</v>
      </c>
      <c r="BE113" s="329" t="n">
        <f aca="false" t="array" ref="BE113:BE113">IF(AND(BE$2&lt;&gt;0,TblTech[[#This Row],[Hour]:[Hour]]&gt;=BE$2),1,0)</f>
        <v>0</v>
      </c>
      <c r="BF113" s="329" t="n">
        <f aca="false" t="array" ref="BF113:BF113">IF(AND(BF$2&lt;&gt;0,TblTech[[#This Row],[Hour]:[Hour]]&gt;=BF$2),1,0)</f>
        <v>0</v>
      </c>
      <c r="BG113" s="329" t="n">
        <f aca="false" t="array" ref="BG113:BG113">IF(AND(BG$2&lt;&gt;0,TblTech[[#This Row],[Hour]:[Hour]]&gt;=BG$2),1,0)</f>
        <v>0</v>
      </c>
      <c r="BH113" s="329" t="n">
        <f aca="false" t="array" ref="BH113:BH113">IF(AND(BH$2&lt;&gt;0,TblTech[[#This Row],[Hour]:[Hour]]&gt;=BH$2),1,0)</f>
        <v>0</v>
      </c>
      <c r="BI113" s="329" t="n">
        <f aca="false" t="array" ref="BI113:BI113">IF(AND(BI$2&lt;&gt;0,TblTech[[#This Row],[Hour]:[Hour]]&gt;=BI$2),1,0)</f>
        <v>0</v>
      </c>
      <c r="BJ113" s="329" t="n">
        <f aca="false" t="array" ref="BJ113:BJ113">IF(AND(BJ$2&lt;&gt;0,TblTech[[#This Row],[Hour]:[Hour]]&gt;=BJ$2),1,0)</f>
        <v>0</v>
      </c>
      <c r="BK113" s="329" t="n">
        <f aca="false" t="array" ref="BK113:BK113">IF(AND(BK$2&lt;&gt;0,TblTech[[#This Row],[Hour]:[Hour]]&gt;=BK$2),1,0)</f>
        <v>0</v>
      </c>
      <c r="BL113" s="329" t="n">
        <f aca="false" t="array" ref="BL113:BL113">IF(AND(BL$2&lt;&gt;0,TblTech[[#This Row],[Hour]:[Hour]]&gt;=BL$2),1,0)</f>
        <v>0</v>
      </c>
      <c r="BM113" s="329" t="n">
        <f aca="false" t="array" ref="BM113:BM113">IF(AND(BM$2&lt;&gt;0,TblTech[[#This Row],[Hour]:[Hour]]&gt;=BM$2),1,0)</f>
        <v>0</v>
      </c>
      <c r="BN113" s="329" t="n">
        <f aca="false" t="array" ref="BN113:BN113">IF(AND(BN$2&lt;&gt;0,TblTech[[#This Row],[Hour]:[Hour]]&gt;=BN$2),1,0)</f>
        <v>0</v>
      </c>
      <c r="BO113" s="329" t="n">
        <f aca="false" t="array" ref="BO113:BO113">IF(AND(BO$2&lt;&gt;0,TblTech[[#This Row],[Hour]:[Hour]]&gt;=BO$2),1,0)</f>
        <v>0</v>
      </c>
      <c r="BP113" s="329" t="n">
        <f aca="false" t="array" ref="BP113:BP113">IF(AND(BP$2&lt;&gt;0,TblTech[[#This Row],[Hour]:[Hour]]&gt;=BP$2),1,0)</f>
        <v>0</v>
      </c>
      <c r="BQ113" s="329" t="n">
        <f aca="false" t="array" ref="BQ113:BQ113">IF(AND(BQ$2&lt;&gt;0,TblTech[[#This Row],[Hour]:[Hour]]&gt;=BQ$2),1,0)</f>
        <v>0</v>
      </c>
      <c r="BR113" s="329" t="n">
        <f aca="false" t="array" ref="BR113:BR113">IF(AND(BR$2&lt;&gt;0,TblTech[[#This Row],[Hour]:[Hour]]&gt;=BR$2),1,0)</f>
        <v>0</v>
      </c>
      <c r="BS113" s="329" t="n">
        <f aca="false" t="array" ref="BS113:BS113">IF(AND(BS$2&lt;&gt;0,TblTech[[#This Row],[Hour]:[Hour]]&gt;=BS$2),1,0)</f>
        <v>0</v>
      </c>
      <c r="BT113" s="329" t="n">
        <f aca="false" t="array" ref="BT113:BT113">IF(AND(BT$2&lt;&gt;0,TblTech[[#This Row],[Hour]:[Hour]]&gt;=BT$2),1,0)</f>
        <v>0</v>
      </c>
      <c r="BU113" s="329" t="n">
        <f aca="false" t="array" ref="BU113:BU113">IF(AND(BU$2&lt;&gt;0,TblTech[[#This Row],[Hour]:[Hour]]&gt;=BU$2),1,0)</f>
        <v>0</v>
      </c>
      <c r="BV113" s="329" t="n">
        <f aca="false" t="array" ref="BV113:BV113">IF(AND(BV$2&lt;&gt;0,TblTech[[#This Row],[Hour]:[Hour]]&gt;=BV$2),1,0)</f>
        <v>0</v>
      </c>
      <c r="BW113" s="329" t="n">
        <f aca="false" t="array" ref="BW113:BW113">IF(AND(BW$2&lt;&gt;0,TblTech[[#This Row],[Hour]:[Hour]]&gt;=BW$2),1,0)</f>
        <v>0</v>
      </c>
      <c r="BX113" s="329" t="n">
        <f aca="false" t="array" ref="BX113:BX113">IF(AND(BX$2&lt;&gt;0,TblTech[[#This Row],[Hour]:[Hour]]&gt;=BX$2),1,0)</f>
        <v>0</v>
      </c>
      <c r="BY113" s="329" t="n">
        <f aca="false" t="array" ref="BY113:BY113">IF(AND(BY$2&lt;&gt;0,TblTech[[#This Row],[Hour]:[Hour]]&gt;=BY$2),1,0)</f>
        <v>0</v>
      </c>
      <c r="BZ113" s="329" t="n">
        <f aca="false" t="array" ref="BZ113:BZ113">IF(AND(BZ$2&lt;&gt;0,TblTech[[#This Row],[Hour]:[Hour]]&gt;=BZ$2),1,0)</f>
        <v>0</v>
      </c>
      <c r="CA113" s="330" t="n">
        <f aca="false">IFERROR(INDEX($H$4:$H$79,MATCH(INDEX(TblTech[[#Headers],[1-1]:[11-1]],1,MATCH(TblTech[[#This Row],[Hour]],$M$2:$BZ$2,0)),$G$4:$G$79,0)),)</f>
        <v>0</v>
      </c>
    </row>
    <row r="114" customFormat="false" ht="12.75" hidden="false" customHeight="false" outlineLevel="0" collapsed="false">
      <c r="A114" s="321" t="n">
        <f aca="false">TblRezone[[#This Row],[Hour]]</f>
        <v>111</v>
      </c>
      <c r="B114" s="322" t="n">
        <f aca="false">TblExplore[[#This Row],[Land-DB]]</f>
        <v>700</v>
      </c>
      <c r="C114" s="323" t="n">
        <f aca="false">TblProd[[#This Row],[Techpoints]]</f>
        <v>1400</v>
      </c>
      <c r="D114" s="323" t="n">
        <f aca="false">TblProd[[#This Row],[Required]]</f>
        <v>3750</v>
      </c>
      <c r="E114" s="333"/>
      <c r="F114" s="334"/>
      <c r="G114" s="326"/>
      <c r="H114" s="327"/>
      <c r="I114" s="327"/>
      <c r="J114" s="327"/>
      <c r="K114" s="68" t="n">
        <f aca="false">IF(TblTech[[#This Row],[Sum of tech]]&lt;&gt;OFFSET(TblTech[[#This Row],[Sum of tech]],-1,0),1,0)</f>
        <v>0</v>
      </c>
      <c r="L114" s="328" t="n">
        <f aca="false">COUNTIF(TblTech[[#This Row],[1-1]:[11-1]],1)</f>
        <v>0</v>
      </c>
      <c r="M114" s="329" t="n">
        <f aca="false" t="array" ref="M114:M114">IF(AND(M$2&lt;&gt;0,TblTech[[#This Row],[Hour]:[Hour]]&gt;=M$2),1,0)</f>
        <v>0</v>
      </c>
      <c r="N114" s="329" t="n">
        <f aca="false" t="array" ref="N114:N114">IF(AND(N$2&lt;&gt;0,TblTech[[#This Row],[Hour]:[Hour]]&gt;=N$2),1,0)</f>
        <v>0</v>
      </c>
      <c r="O114" s="329" t="n">
        <f aca="false" t="array" ref="O114:O114">IF(AND(O$2&lt;&gt;0,TblTech[[#This Row],[Hour]:[Hour]]&gt;=O$2),1,0)</f>
        <v>0</v>
      </c>
      <c r="P114" s="329" t="n">
        <f aca="false" t="array" ref="P114:P114">IF(AND(P$2&lt;&gt;0,TblTech[[#This Row],[Hour]:[Hour]]&gt;=P$2),1,0)</f>
        <v>0</v>
      </c>
      <c r="Q114" s="329" t="n">
        <f aca="false" t="array" ref="Q114:Q114">IF(AND(Q$2&lt;&gt;0,TblTech[[#This Row],[Hour]:[Hour]]&gt;=Q$2),1,0)</f>
        <v>0</v>
      </c>
      <c r="R114" s="329" t="n">
        <f aca="false" t="array" ref="R114:R114">IF(AND(R$2&lt;&gt;0,TblTech[[#This Row],[Hour]:[Hour]]&gt;=R$2),1,0)</f>
        <v>0</v>
      </c>
      <c r="S114" s="329" t="n">
        <f aca="false" t="array" ref="S114:S114">IF(AND(S$2&lt;&gt;0,TblTech[[#This Row],[Hour]:[Hour]]&gt;=S$2),1,0)</f>
        <v>0</v>
      </c>
      <c r="T114" s="329" t="n">
        <f aca="false" t="array" ref="T114:T114">IF(AND(T$2&lt;&gt;0,TblTech[[#This Row],[Hour]:[Hour]]&gt;=T$2),1,0)</f>
        <v>0</v>
      </c>
      <c r="U114" s="329" t="n">
        <f aca="false" t="array" ref="U114:U114">IF(AND(U$2&lt;&gt;0,TblTech[[#This Row],[Hour]:[Hour]]&gt;=U$2),1,0)</f>
        <v>0</v>
      </c>
      <c r="V114" s="329" t="n">
        <f aca="false" t="array" ref="V114:V114">IF(AND(V$2&lt;&gt;0,TblTech[[#This Row],[Hour]:[Hour]]&gt;=V$2),1,0)</f>
        <v>0</v>
      </c>
      <c r="W114" s="329" t="n">
        <f aca="false" t="array" ref="W114:W114">IF(AND(W$2&lt;&gt;0,TblTech[[#This Row],[Hour]:[Hour]]&gt;=W$2),1,0)</f>
        <v>0</v>
      </c>
      <c r="X114" s="329" t="n">
        <f aca="false" t="array" ref="X114:X114">IF(AND(X$2&lt;&gt;0,TblTech[[#This Row],[Hour]:[Hour]]&gt;=X$2),1,0)</f>
        <v>0</v>
      </c>
      <c r="Y114" s="329" t="n">
        <f aca="false" t="array" ref="Y114:Y114">IF(AND(Y$2&lt;&gt;0,TblTech[[#This Row],[Hour]:[Hour]]&gt;=Y$2),1,0)</f>
        <v>0</v>
      </c>
      <c r="Z114" s="329" t="n">
        <f aca="false" t="array" ref="Z114:Z114">IF(AND(Z$2&lt;&gt;0,TblTech[[#This Row],[Hour]:[Hour]]&gt;=Z$2),1,0)</f>
        <v>0</v>
      </c>
      <c r="AA114" s="329" t="n">
        <f aca="false" t="array" ref="AA114:AA114">IF(AND(AA$2&lt;&gt;0,TblTech[[#This Row],[Hour]:[Hour]]&gt;=AA$2),1,0)</f>
        <v>0</v>
      </c>
      <c r="AB114" s="329" t="n">
        <f aca="false" t="array" ref="AB114:AB114">IF(AND(AB$2&lt;&gt;0,TblTech[[#This Row],[Hour]:[Hour]]&gt;=AB$2),1,0)</f>
        <v>0</v>
      </c>
      <c r="AC114" s="329" t="n">
        <f aca="false" t="array" ref="AC114:AC114">IF(AND(AC$2&lt;&gt;0,TblTech[[#This Row],[Hour]:[Hour]]&gt;=AC$2),1,0)</f>
        <v>0</v>
      </c>
      <c r="AD114" s="329" t="n">
        <f aca="false" t="array" ref="AD114:AD114">IF(AND(AD$2&lt;&gt;0,TblTech[[#This Row],[Hour]:[Hour]]&gt;=AD$2),1,0)</f>
        <v>0</v>
      </c>
      <c r="AE114" s="329" t="n">
        <f aca="false" t="array" ref="AE114:AE114">IF(AND(AE$2&lt;&gt;0,TblTech[[#This Row],[Hour]:[Hour]]&gt;=AE$2),1,0)</f>
        <v>0</v>
      </c>
      <c r="AF114" s="329" t="n">
        <f aca="false" t="array" ref="AF114:AF114">IF(AND(AF$2&lt;&gt;0,TblTech[[#This Row],[Hour]:[Hour]]&gt;=AF$2),1,0)</f>
        <v>0</v>
      </c>
      <c r="AG114" s="329" t="n">
        <f aca="false" t="array" ref="AG114:AG114">IF(AND(AG$2&lt;&gt;0,TblTech[[#This Row],[Hour]:[Hour]]&gt;=AG$2),1,0)</f>
        <v>0</v>
      </c>
      <c r="AH114" s="329" t="n">
        <f aca="false" t="array" ref="AH114:AH114">IF(AND(AH$2&lt;&gt;0,TblTech[[#This Row],[Hour]:[Hour]]&gt;=AH$2),1,0)</f>
        <v>0</v>
      </c>
      <c r="AI114" s="329" t="n">
        <f aca="false" t="array" ref="AI114:AI114">IF(AND(AI$2&lt;&gt;0,TblTech[[#This Row],[Hour]:[Hour]]&gt;=AI$2),1,0)</f>
        <v>0</v>
      </c>
      <c r="AJ114" s="329" t="n">
        <f aca="false" t="array" ref="AJ114:AJ114">IF(AND(AJ$2&lt;&gt;0,TblTech[[#This Row],[Hour]:[Hour]]&gt;=AJ$2),1,0)</f>
        <v>0</v>
      </c>
      <c r="AK114" s="329" t="n">
        <f aca="false" t="array" ref="AK114:AK114">IF(AND(AK$2&lt;&gt;0,TblTech[[#This Row],[Hour]:[Hour]]&gt;=AK$2),1,0)</f>
        <v>0</v>
      </c>
      <c r="AL114" s="329" t="n">
        <f aca="false" t="array" ref="AL114:AL114">IF(AND(AL$2&lt;&gt;0,TblTech[[#This Row],[Hour]:[Hour]]&gt;=AL$2),1,0)</f>
        <v>0</v>
      </c>
      <c r="AM114" s="329" t="n">
        <f aca="false" t="array" ref="AM114:AM114">IF(AND(AM$2&lt;&gt;0,TblTech[[#This Row],[Hour]:[Hour]]&gt;=AM$2),1,0)</f>
        <v>0</v>
      </c>
      <c r="AN114" s="329" t="n">
        <f aca="false" t="array" ref="AN114:AN114">IF(AND(AN$2&lt;&gt;0,TblTech[[#This Row],[Hour]:[Hour]]&gt;=AN$2),1,0)</f>
        <v>0</v>
      </c>
      <c r="AO114" s="329" t="n">
        <f aca="false" t="array" ref="AO114:AO114">IF(AND(AO$2&lt;&gt;0,TblTech[[#This Row],[Hour]:[Hour]]&gt;=AO$2),1,0)</f>
        <v>0</v>
      </c>
      <c r="AP114" s="329" t="n">
        <f aca="false" t="array" ref="AP114:AP114">IF(AND(AP$2&lt;&gt;0,TblTech[[#This Row],[Hour]:[Hour]]&gt;=AP$2),1,0)</f>
        <v>0</v>
      </c>
      <c r="AQ114" s="329" t="n">
        <f aca="false" t="array" ref="AQ114:AQ114">IF(AND(AQ$2&lt;&gt;0,TblTech[[#This Row],[Hour]:[Hour]]&gt;=AQ$2),1,0)</f>
        <v>0</v>
      </c>
      <c r="AR114" s="329" t="n">
        <f aca="false" t="array" ref="AR114:AR114">IF(AND(AR$2&lt;&gt;0,TblTech[[#This Row],[Hour]:[Hour]]&gt;=AR$2),1,0)</f>
        <v>0</v>
      </c>
      <c r="AS114" s="329" t="n">
        <f aca="false" t="array" ref="AS114:AS114">IF(AND(AS$2&lt;&gt;0,TblTech[[#This Row],[Hour]:[Hour]]&gt;=AS$2),1,0)</f>
        <v>0</v>
      </c>
      <c r="AT114" s="329" t="n">
        <f aca="false" t="array" ref="AT114:AT114">IF(AND(AT$2&lt;&gt;0,TblTech[[#This Row],[Hour]:[Hour]]&gt;=AT$2),1,0)</f>
        <v>0</v>
      </c>
      <c r="AU114" s="329" t="n">
        <f aca="false" t="array" ref="AU114:AU114">IF(AND(AU$2&lt;&gt;0,TblTech[[#This Row],[Hour]:[Hour]]&gt;=AU$2),1,0)</f>
        <v>0</v>
      </c>
      <c r="AV114" s="329" t="n">
        <f aca="false" t="array" ref="AV114:AV114">IF(AND(AV$2&lt;&gt;0,TblTech[[#This Row],[Hour]:[Hour]]&gt;=AV$2),1,0)</f>
        <v>0</v>
      </c>
      <c r="AW114" s="329" t="n">
        <f aca="false" t="array" ref="AW114:AW114">IF(AND(AW$2&lt;&gt;0,TblTech[[#This Row],[Hour]:[Hour]]&gt;=AW$2),1,0)</f>
        <v>0</v>
      </c>
      <c r="AX114" s="329" t="n">
        <f aca="false" t="array" ref="AX114:AX114">IF(AND(AX$2&lt;&gt;0,TblTech[[#This Row],[Hour]:[Hour]]&gt;=AX$2),1,0)</f>
        <v>0</v>
      </c>
      <c r="AY114" s="329" t="n">
        <f aca="false" t="array" ref="AY114:AY114">IF(AND(AY$2&lt;&gt;0,TblTech[[#This Row],[Hour]:[Hour]]&gt;=AY$2),1,0)</f>
        <v>0</v>
      </c>
      <c r="AZ114" s="329" t="n">
        <f aca="false" t="array" ref="AZ114:AZ114">IF(AND(AZ$2&lt;&gt;0,TblTech[[#This Row],[Hour]:[Hour]]&gt;=AZ$2),1,0)</f>
        <v>0</v>
      </c>
      <c r="BA114" s="329" t="n">
        <f aca="false" t="array" ref="BA114:BA114">IF(AND(BA$2&lt;&gt;0,TblTech[[#This Row],[Hour]:[Hour]]&gt;=BA$2),1,0)</f>
        <v>0</v>
      </c>
      <c r="BB114" s="329" t="n">
        <f aca="false" t="array" ref="BB114:BB114">IF(AND(BB$2&lt;&gt;0,TblTech[[#This Row],[Hour]:[Hour]]&gt;=BB$2),1,0)</f>
        <v>0</v>
      </c>
      <c r="BC114" s="329" t="n">
        <f aca="false" t="array" ref="BC114:BC114">IF(AND(BC$2&lt;&gt;0,TblTech[[#This Row],[Hour]:[Hour]]&gt;=BC$2),1,0)</f>
        <v>0</v>
      </c>
      <c r="BD114" s="329" t="n">
        <f aca="false" t="array" ref="BD114:BD114">IF(AND(BD$2&lt;&gt;0,TblTech[[#This Row],[Hour]:[Hour]]&gt;=BD$2),1,0)</f>
        <v>0</v>
      </c>
      <c r="BE114" s="329" t="n">
        <f aca="false" t="array" ref="BE114:BE114">IF(AND(BE$2&lt;&gt;0,TblTech[[#This Row],[Hour]:[Hour]]&gt;=BE$2),1,0)</f>
        <v>0</v>
      </c>
      <c r="BF114" s="329" t="n">
        <f aca="false" t="array" ref="BF114:BF114">IF(AND(BF$2&lt;&gt;0,TblTech[[#This Row],[Hour]:[Hour]]&gt;=BF$2),1,0)</f>
        <v>0</v>
      </c>
      <c r="BG114" s="329" t="n">
        <f aca="false" t="array" ref="BG114:BG114">IF(AND(BG$2&lt;&gt;0,TblTech[[#This Row],[Hour]:[Hour]]&gt;=BG$2),1,0)</f>
        <v>0</v>
      </c>
      <c r="BH114" s="329" t="n">
        <f aca="false" t="array" ref="BH114:BH114">IF(AND(BH$2&lt;&gt;0,TblTech[[#This Row],[Hour]:[Hour]]&gt;=BH$2),1,0)</f>
        <v>0</v>
      </c>
      <c r="BI114" s="329" t="n">
        <f aca="false" t="array" ref="BI114:BI114">IF(AND(BI$2&lt;&gt;0,TblTech[[#This Row],[Hour]:[Hour]]&gt;=BI$2),1,0)</f>
        <v>0</v>
      </c>
      <c r="BJ114" s="329" t="n">
        <f aca="false" t="array" ref="BJ114:BJ114">IF(AND(BJ$2&lt;&gt;0,TblTech[[#This Row],[Hour]:[Hour]]&gt;=BJ$2),1,0)</f>
        <v>0</v>
      </c>
      <c r="BK114" s="329" t="n">
        <f aca="false" t="array" ref="BK114:BK114">IF(AND(BK$2&lt;&gt;0,TblTech[[#This Row],[Hour]:[Hour]]&gt;=BK$2),1,0)</f>
        <v>0</v>
      </c>
      <c r="BL114" s="329" t="n">
        <f aca="false" t="array" ref="BL114:BL114">IF(AND(BL$2&lt;&gt;0,TblTech[[#This Row],[Hour]:[Hour]]&gt;=BL$2),1,0)</f>
        <v>0</v>
      </c>
      <c r="BM114" s="329" t="n">
        <f aca="false" t="array" ref="BM114:BM114">IF(AND(BM$2&lt;&gt;0,TblTech[[#This Row],[Hour]:[Hour]]&gt;=BM$2),1,0)</f>
        <v>0</v>
      </c>
      <c r="BN114" s="329" t="n">
        <f aca="false" t="array" ref="BN114:BN114">IF(AND(BN$2&lt;&gt;0,TblTech[[#This Row],[Hour]:[Hour]]&gt;=BN$2),1,0)</f>
        <v>0</v>
      </c>
      <c r="BO114" s="329" t="n">
        <f aca="false" t="array" ref="BO114:BO114">IF(AND(BO$2&lt;&gt;0,TblTech[[#This Row],[Hour]:[Hour]]&gt;=BO$2),1,0)</f>
        <v>0</v>
      </c>
      <c r="BP114" s="329" t="n">
        <f aca="false" t="array" ref="BP114:BP114">IF(AND(BP$2&lt;&gt;0,TblTech[[#This Row],[Hour]:[Hour]]&gt;=BP$2),1,0)</f>
        <v>0</v>
      </c>
      <c r="BQ114" s="329" t="n">
        <f aca="false" t="array" ref="BQ114:BQ114">IF(AND(BQ$2&lt;&gt;0,TblTech[[#This Row],[Hour]:[Hour]]&gt;=BQ$2),1,0)</f>
        <v>0</v>
      </c>
      <c r="BR114" s="329" t="n">
        <f aca="false" t="array" ref="BR114:BR114">IF(AND(BR$2&lt;&gt;0,TblTech[[#This Row],[Hour]:[Hour]]&gt;=BR$2),1,0)</f>
        <v>0</v>
      </c>
      <c r="BS114" s="329" t="n">
        <f aca="false" t="array" ref="BS114:BS114">IF(AND(BS$2&lt;&gt;0,TblTech[[#This Row],[Hour]:[Hour]]&gt;=BS$2),1,0)</f>
        <v>0</v>
      </c>
      <c r="BT114" s="329" t="n">
        <f aca="false" t="array" ref="BT114:BT114">IF(AND(BT$2&lt;&gt;0,TblTech[[#This Row],[Hour]:[Hour]]&gt;=BT$2),1,0)</f>
        <v>0</v>
      </c>
      <c r="BU114" s="329" t="n">
        <f aca="false" t="array" ref="BU114:BU114">IF(AND(BU$2&lt;&gt;0,TblTech[[#This Row],[Hour]:[Hour]]&gt;=BU$2),1,0)</f>
        <v>0</v>
      </c>
      <c r="BV114" s="329" t="n">
        <f aca="false" t="array" ref="BV114:BV114">IF(AND(BV$2&lt;&gt;0,TblTech[[#This Row],[Hour]:[Hour]]&gt;=BV$2),1,0)</f>
        <v>0</v>
      </c>
      <c r="BW114" s="329" t="n">
        <f aca="false" t="array" ref="BW114:BW114">IF(AND(BW$2&lt;&gt;0,TblTech[[#This Row],[Hour]:[Hour]]&gt;=BW$2),1,0)</f>
        <v>0</v>
      </c>
      <c r="BX114" s="329" t="n">
        <f aca="false" t="array" ref="BX114:BX114">IF(AND(BX$2&lt;&gt;0,TblTech[[#This Row],[Hour]:[Hour]]&gt;=BX$2),1,0)</f>
        <v>0</v>
      </c>
      <c r="BY114" s="329" t="n">
        <f aca="false" t="array" ref="BY114:BY114">IF(AND(BY$2&lt;&gt;0,TblTech[[#This Row],[Hour]:[Hour]]&gt;=BY$2),1,0)</f>
        <v>0</v>
      </c>
      <c r="BZ114" s="329" t="n">
        <f aca="false" t="array" ref="BZ114:BZ114">IF(AND(BZ$2&lt;&gt;0,TblTech[[#This Row],[Hour]:[Hour]]&gt;=BZ$2),1,0)</f>
        <v>0</v>
      </c>
      <c r="CA114" s="330" t="n">
        <f aca="false">IFERROR(INDEX($H$4:$H$79,MATCH(INDEX(TblTech[[#Headers],[1-1]:[11-1]],1,MATCH(TblTech[[#This Row],[Hour]],$M$2:$BZ$2,0)),$G$4:$G$79,0)),)</f>
        <v>0</v>
      </c>
    </row>
    <row r="115" customFormat="false" ht="12.75" hidden="false" customHeight="false" outlineLevel="0" collapsed="false">
      <c r="A115" s="321" t="n">
        <f aca="false">TblRezone[[#This Row],[Hour]]</f>
        <v>112</v>
      </c>
      <c r="B115" s="322" t="n">
        <f aca="false">TblExplore[[#This Row],[Land-DB]]</f>
        <v>700</v>
      </c>
      <c r="C115" s="323" t="n">
        <f aca="false">TblProd[[#This Row],[Techpoints]]</f>
        <v>1400</v>
      </c>
      <c r="D115" s="323" t="n">
        <f aca="false">TblProd[[#This Row],[Required]]</f>
        <v>3750</v>
      </c>
      <c r="E115" s="333"/>
      <c r="F115" s="334"/>
      <c r="G115" s="326"/>
      <c r="H115" s="327"/>
      <c r="I115" s="327"/>
      <c r="J115" s="327"/>
      <c r="K115" s="68" t="n">
        <f aca="false">IF(TblTech[[#This Row],[Sum of tech]]&lt;&gt;OFFSET(TblTech[[#This Row],[Sum of tech]],-1,0),1,0)</f>
        <v>0</v>
      </c>
      <c r="L115" s="328" t="n">
        <f aca="false">COUNTIF(TblTech[[#This Row],[1-1]:[11-1]],1)</f>
        <v>0</v>
      </c>
      <c r="M115" s="329" t="n">
        <f aca="false" t="array" ref="M115:M115">IF(AND(M$2&lt;&gt;0,TblTech[[#This Row],[Hour]:[Hour]]&gt;=M$2),1,0)</f>
        <v>0</v>
      </c>
      <c r="N115" s="329" t="n">
        <f aca="false" t="array" ref="N115:N115">IF(AND(N$2&lt;&gt;0,TblTech[[#This Row],[Hour]:[Hour]]&gt;=N$2),1,0)</f>
        <v>0</v>
      </c>
      <c r="O115" s="329" t="n">
        <f aca="false" t="array" ref="O115:O115">IF(AND(O$2&lt;&gt;0,TblTech[[#This Row],[Hour]:[Hour]]&gt;=O$2),1,0)</f>
        <v>0</v>
      </c>
      <c r="P115" s="329" t="n">
        <f aca="false" t="array" ref="P115:P115">IF(AND(P$2&lt;&gt;0,TblTech[[#This Row],[Hour]:[Hour]]&gt;=P$2),1,0)</f>
        <v>0</v>
      </c>
      <c r="Q115" s="329" t="n">
        <f aca="false" t="array" ref="Q115:Q115">IF(AND(Q$2&lt;&gt;0,TblTech[[#This Row],[Hour]:[Hour]]&gt;=Q$2),1,0)</f>
        <v>0</v>
      </c>
      <c r="R115" s="329" t="n">
        <f aca="false" t="array" ref="R115:R115">IF(AND(R$2&lt;&gt;0,TblTech[[#This Row],[Hour]:[Hour]]&gt;=R$2),1,0)</f>
        <v>0</v>
      </c>
      <c r="S115" s="329" t="n">
        <f aca="false" t="array" ref="S115:S115">IF(AND(S$2&lt;&gt;0,TblTech[[#This Row],[Hour]:[Hour]]&gt;=S$2),1,0)</f>
        <v>0</v>
      </c>
      <c r="T115" s="329" t="n">
        <f aca="false" t="array" ref="T115:T115">IF(AND(T$2&lt;&gt;0,TblTech[[#This Row],[Hour]:[Hour]]&gt;=T$2),1,0)</f>
        <v>0</v>
      </c>
      <c r="U115" s="329" t="n">
        <f aca="false" t="array" ref="U115:U115">IF(AND(U$2&lt;&gt;0,TblTech[[#This Row],[Hour]:[Hour]]&gt;=U$2),1,0)</f>
        <v>0</v>
      </c>
      <c r="V115" s="329" t="n">
        <f aca="false" t="array" ref="V115:V115">IF(AND(V$2&lt;&gt;0,TblTech[[#This Row],[Hour]:[Hour]]&gt;=V$2),1,0)</f>
        <v>0</v>
      </c>
      <c r="W115" s="329" t="n">
        <f aca="false" t="array" ref="W115:W115">IF(AND(W$2&lt;&gt;0,TblTech[[#This Row],[Hour]:[Hour]]&gt;=W$2),1,0)</f>
        <v>0</v>
      </c>
      <c r="X115" s="329" t="n">
        <f aca="false" t="array" ref="X115:X115">IF(AND(X$2&lt;&gt;0,TblTech[[#This Row],[Hour]:[Hour]]&gt;=X$2),1,0)</f>
        <v>0</v>
      </c>
      <c r="Y115" s="329" t="n">
        <f aca="false" t="array" ref="Y115:Y115">IF(AND(Y$2&lt;&gt;0,TblTech[[#This Row],[Hour]:[Hour]]&gt;=Y$2),1,0)</f>
        <v>0</v>
      </c>
      <c r="Z115" s="329" t="n">
        <f aca="false" t="array" ref="Z115:Z115">IF(AND(Z$2&lt;&gt;0,TblTech[[#This Row],[Hour]:[Hour]]&gt;=Z$2),1,0)</f>
        <v>0</v>
      </c>
      <c r="AA115" s="329" t="n">
        <f aca="false" t="array" ref="AA115:AA115">IF(AND(AA$2&lt;&gt;0,TblTech[[#This Row],[Hour]:[Hour]]&gt;=AA$2),1,0)</f>
        <v>0</v>
      </c>
      <c r="AB115" s="329" t="n">
        <f aca="false" t="array" ref="AB115:AB115">IF(AND(AB$2&lt;&gt;0,TblTech[[#This Row],[Hour]:[Hour]]&gt;=AB$2),1,0)</f>
        <v>0</v>
      </c>
      <c r="AC115" s="329" t="n">
        <f aca="false" t="array" ref="AC115:AC115">IF(AND(AC$2&lt;&gt;0,TblTech[[#This Row],[Hour]:[Hour]]&gt;=AC$2),1,0)</f>
        <v>0</v>
      </c>
      <c r="AD115" s="329" t="n">
        <f aca="false" t="array" ref="AD115:AD115">IF(AND(AD$2&lt;&gt;0,TblTech[[#This Row],[Hour]:[Hour]]&gt;=AD$2),1,0)</f>
        <v>0</v>
      </c>
      <c r="AE115" s="329" t="n">
        <f aca="false" t="array" ref="AE115:AE115">IF(AND(AE$2&lt;&gt;0,TblTech[[#This Row],[Hour]:[Hour]]&gt;=AE$2),1,0)</f>
        <v>0</v>
      </c>
      <c r="AF115" s="329" t="n">
        <f aca="false" t="array" ref="AF115:AF115">IF(AND(AF$2&lt;&gt;0,TblTech[[#This Row],[Hour]:[Hour]]&gt;=AF$2),1,0)</f>
        <v>0</v>
      </c>
      <c r="AG115" s="329" t="n">
        <f aca="false" t="array" ref="AG115:AG115">IF(AND(AG$2&lt;&gt;0,TblTech[[#This Row],[Hour]:[Hour]]&gt;=AG$2),1,0)</f>
        <v>0</v>
      </c>
      <c r="AH115" s="329" t="n">
        <f aca="false" t="array" ref="AH115:AH115">IF(AND(AH$2&lt;&gt;0,TblTech[[#This Row],[Hour]:[Hour]]&gt;=AH$2),1,0)</f>
        <v>0</v>
      </c>
      <c r="AI115" s="329" t="n">
        <f aca="false" t="array" ref="AI115:AI115">IF(AND(AI$2&lt;&gt;0,TblTech[[#This Row],[Hour]:[Hour]]&gt;=AI$2),1,0)</f>
        <v>0</v>
      </c>
      <c r="AJ115" s="329" t="n">
        <f aca="false" t="array" ref="AJ115:AJ115">IF(AND(AJ$2&lt;&gt;0,TblTech[[#This Row],[Hour]:[Hour]]&gt;=AJ$2),1,0)</f>
        <v>0</v>
      </c>
      <c r="AK115" s="329" t="n">
        <f aca="false" t="array" ref="AK115:AK115">IF(AND(AK$2&lt;&gt;0,TblTech[[#This Row],[Hour]:[Hour]]&gt;=AK$2),1,0)</f>
        <v>0</v>
      </c>
      <c r="AL115" s="329" t="n">
        <f aca="false" t="array" ref="AL115:AL115">IF(AND(AL$2&lt;&gt;0,TblTech[[#This Row],[Hour]:[Hour]]&gt;=AL$2),1,0)</f>
        <v>0</v>
      </c>
      <c r="AM115" s="329" t="n">
        <f aca="false" t="array" ref="AM115:AM115">IF(AND(AM$2&lt;&gt;0,TblTech[[#This Row],[Hour]:[Hour]]&gt;=AM$2),1,0)</f>
        <v>0</v>
      </c>
      <c r="AN115" s="329" t="n">
        <f aca="false" t="array" ref="AN115:AN115">IF(AND(AN$2&lt;&gt;0,TblTech[[#This Row],[Hour]:[Hour]]&gt;=AN$2),1,0)</f>
        <v>0</v>
      </c>
      <c r="AO115" s="329" t="n">
        <f aca="false" t="array" ref="AO115:AO115">IF(AND(AO$2&lt;&gt;0,TblTech[[#This Row],[Hour]:[Hour]]&gt;=AO$2),1,0)</f>
        <v>0</v>
      </c>
      <c r="AP115" s="329" t="n">
        <f aca="false" t="array" ref="AP115:AP115">IF(AND(AP$2&lt;&gt;0,TblTech[[#This Row],[Hour]:[Hour]]&gt;=AP$2),1,0)</f>
        <v>0</v>
      </c>
      <c r="AQ115" s="329" t="n">
        <f aca="false" t="array" ref="AQ115:AQ115">IF(AND(AQ$2&lt;&gt;0,TblTech[[#This Row],[Hour]:[Hour]]&gt;=AQ$2),1,0)</f>
        <v>0</v>
      </c>
      <c r="AR115" s="329" t="n">
        <f aca="false" t="array" ref="AR115:AR115">IF(AND(AR$2&lt;&gt;0,TblTech[[#This Row],[Hour]:[Hour]]&gt;=AR$2),1,0)</f>
        <v>0</v>
      </c>
      <c r="AS115" s="329" t="n">
        <f aca="false" t="array" ref="AS115:AS115">IF(AND(AS$2&lt;&gt;0,TblTech[[#This Row],[Hour]:[Hour]]&gt;=AS$2),1,0)</f>
        <v>0</v>
      </c>
      <c r="AT115" s="329" t="n">
        <f aca="false" t="array" ref="AT115:AT115">IF(AND(AT$2&lt;&gt;0,TblTech[[#This Row],[Hour]:[Hour]]&gt;=AT$2),1,0)</f>
        <v>0</v>
      </c>
      <c r="AU115" s="329" t="n">
        <f aca="false" t="array" ref="AU115:AU115">IF(AND(AU$2&lt;&gt;0,TblTech[[#This Row],[Hour]:[Hour]]&gt;=AU$2),1,0)</f>
        <v>0</v>
      </c>
      <c r="AV115" s="329" t="n">
        <f aca="false" t="array" ref="AV115:AV115">IF(AND(AV$2&lt;&gt;0,TblTech[[#This Row],[Hour]:[Hour]]&gt;=AV$2),1,0)</f>
        <v>0</v>
      </c>
      <c r="AW115" s="329" t="n">
        <f aca="false" t="array" ref="AW115:AW115">IF(AND(AW$2&lt;&gt;0,TblTech[[#This Row],[Hour]:[Hour]]&gt;=AW$2),1,0)</f>
        <v>0</v>
      </c>
      <c r="AX115" s="329" t="n">
        <f aca="false" t="array" ref="AX115:AX115">IF(AND(AX$2&lt;&gt;0,TblTech[[#This Row],[Hour]:[Hour]]&gt;=AX$2),1,0)</f>
        <v>0</v>
      </c>
      <c r="AY115" s="329" t="n">
        <f aca="false" t="array" ref="AY115:AY115">IF(AND(AY$2&lt;&gt;0,TblTech[[#This Row],[Hour]:[Hour]]&gt;=AY$2),1,0)</f>
        <v>0</v>
      </c>
      <c r="AZ115" s="329" t="n">
        <f aca="false" t="array" ref="AZ115:AZ115">IF(AND(AZ$2&lt;&gt;0,TblTech[[#This Row],[Hour]:[Hour]]&gt;=AZ$2),1,0)</f>
        <v>0</v>
      </c>
      <c r="BA115" s="329" t="n">
        <f aca="false" t="array" ref="BA115:BA115">IF(AND(BA$2&lt;&gt;0,TblTech[[#This Row],[Hour]:[Hour]]&gt;=BA$2),1,0)</f>
        <v>0</v>
      </c>
      <c r="BB115" s="329" t="n">
        <f aca="false" t="array" ref="BB115:BB115">IF(AND(BB$2&lt;&gt;0,TblTech[[#This Row],[Hour]:[Hour]]&gt;=BB$2),1,0)</f>
        <v>0</v>
      </c>
      <c r="BC115" s="329" t="n">
        <f aca="false" t="array" ref="BC115:BC115">IF(AND(BC$2&lt;&gt;0,TblTech[[#This Row],[Hour]:[Hour]]&gt;=BC$2),1,0)</f>
        <v>0</v>
      </c>
      <c r="BD115" s="329" t="n">
        <f aca="false" t="array" ref="BD115:BD115">IF(AND(BD$2&lt;&gt;0,TblTech[[#This Row],[Hour]:[Hour]]&gt;=BD$2),1,0)</f>
        <v>0</v>
      </c>
      <c r="BE115" s="329" t="n">
        <f aca="false" t="array" ref="BE115:BE115">IF(AND(BE$2&lt;&gt;0,TblTech[[#This Row],[Hour]:[Hour]]&gt;=BE$2),1,0)</f>
        <v>0</v>
      </c>
      <c r="BF115" s="329" t="n">
        <f aca="false" t="array" ref="BF115:BF115">IF(AND(BF$2&lt;&gt;0,TblTech[[#This Row],[Hour]:[Hour]]&gt;=BF$2),1,0)</f>
        <v>0</v>
      </c>
      <c r="BG115" s="329" t="n">
        <f aca="false" t="array" ref="BG115:BG115">IF(AND(BG$2&lt;&gt;0,TblTech[[#This Row],[Hour]:[Hour]]&gt;=BG$2),1,0)</f>
        <v>0</v>
      </c>
      <c r="BH115" s="329" t="n">
        <f aca="false" t="array" ref="BH115:BH115">IF(AND(BH$2&lt;&gt;0,TblTech[[#This Row],[Hour]:[Hour]]&gt;=BH$2),1,0)</f>
        <v>0</v>
      </c>
      <c r="BI115" s="329" t="n">
        <f aca="false" t="array" ref="BI115:BI115">IF(AND(BI$2&lt;&gt;0,TblTech[[#This Row],[Hour]:[Hour]]&gt;=BI$2),1,0)</f>
        <v>0</v>
      </c>
      <c r="BJ115" s="329" t="n">
        <f aca="false" t="array" ref="BJ115:BJ115">IF(AND(BJ$2&lt;&gt;0,TblTech[[#This Row],[Hour]:[Hour]]&gt;=BJ$2),1,0)</f>
        <v>0</v>
      </c>
      <c r="BK115" s="329" t="n">
        <f aca="false" t="array" ref="BK115:BK115">IF(AND(BK$2&lt;&gt;0,TblTech[[#This Row],[Hour]:[Hour]]&gt;=BK$2),1,0)</f>
        <v>0</v>
      </c>
      <c r="BL115" s="329" t="n">
        <f aca="false" t="array" ref="BL115:BL115">IF(AND(BL$2&lt;&gt;0,TblTech[[#This Row],[Hour]:[Hour]]&gt;=BL$2),1,0)</f>
        <v>0</v>
      </c>
      <c r="BM115" s="329" t="n">
        <f aca="false" t="array" ref="BM115:BM115">IF(AND(BM$2&lt;&gt;0,TblTech[[#This Row],[Hour]:[Hour]]&gt;=BM$2),1,0)</f>
        <v>0</v>
      </c>
      <c r="BN115" s="329" t="n">
        <f aca="false" t="array" ref="BN115:BN115">IF(AND(BN$2&lt;&gt;0,TblTech[[#This Row],[Hour]:[Hour]]&gt;=BN$2),1,0)</f>
        <v>0</v>
      </c>
      <c r="BO115" s="329" t="n">
        <f aca="false" t="array" ref="BO115:BO115">IF(AND(BO$2&lt;&gt;0,TblTech[[#This Row],[Hour]:[Hour]]&gt;=BO$2),1,0)</f>
        <v>0</v>
      </c>
      <c r="BP115" s="329" t="n">
        <f aca="false" t="array" ref="BP115:BP115">IF(AND(BP$2&lt;&gt;0,TblTech[[#This Row],[Hour]:[Hour]]&gt;=BP$2),1,0)</f>
        <v>0</v>
      </c>
      <c r="BQ115" s="329" t="n">
        <f aca="false" t="array" ref="BQ115:BQ115">IF(AND(BQ$2&lt;&gt;0,TblTech[[#This Row],[Hour]:[Hour]]&gt;=BQ$2),1,0)</f>
        <v>0</v>
      </c>
      <c r="BR115" s="329" t="n">
        <f aca="false" t="array" ref="BR115:BR115">IF(AND(BR$2&lt;&gt;0,TblTech[[#This Row],[Hour]:[Hour]]&gt;=BR$2),1,0)</f>
        <v>0</v>
      </c>
      <c r="BS115" s="329" t="n">
        <f aca="false" t="array" ref="BS115:BS115">IF(AND(BS$2&lt;&gt;0,TblTech[[#This Row],[Hour]:[Hour]]&gt;=BS$2),1,0)</f>
        <v>0</v>
      </c>
      <c r="BT115" s="329" t="n">
        <f aca="false" t="array" ref="BT115:BT115">IF(AND(BT$2&lt;&gt;0,TblTech[[#This Row],[Hour]:[Hour]]&gt;=BT$2),1,0)</f>
        <v>0</v>
      </c>
      <c r="BU115" s="329" t="n">
        <f aca="false" t="array" ref="BU115:BU115">IF(AND(BU$2&lt;&gt;0,TblTech[[#This Row],[Hour]:[Hour]]&gt;=BU$2),1,0)</f>
        <v>0</v>
      </c>
      <c r="BV115" s="329" t="n">
        <f aca="false" t="array" ref="BV115:BV115">IF(AND(BV$2&lt;&gt;0,TblTech[[#This Row],[Hour]:[Hour]]&gt;=BV$2),1,0)</f>
        <v>0</v>
      </c>
      <c r="BW115" s="329" t="n">
        <f aca="false" t="array" ref="BW115:BW115">IF(AND(BW$2&lt;&gt;0,TblTech[[#This Row],[Hour]:[Hour]]&gt;=BW$2),1,0)</f>
        <v>0</v>
      </c>
      <c r="BX115" s="329" t="n">
        <f aca="false" t="array" ref="BX115:BX115">IF(AND(BX$2&lt;&gt;0,TblTech[[#This Row],[Hour]:[Hour]]&gt;=BX$2),1,0)</f>
        <v>0</v>
      </c>
      <c r="BY115" s="329" t="n">
        <f aca="false" t="array" ref="BY115:BY115">IF(AND(BY$2&lt;&gt;0,TblTech[[#This Row],[Hour]:[Hour]]&gt;=BY$2),1,0)</f>
        <v>0</v>
      </c>
      <c r="BZ115" s="329" t="n">
        <f aca="false" t="array" ref="BZ115:BZ115">IF(AND(BZ$2&lt;&gt;0,TblTech[[#This Row],[Hour]:[Hour]]&gt;=BZ$2),1,0)</f>
        <v>0</v>
      </c>
      <c r="CA115" s="330" t="n">
        <f aca="false">IFERROR(INDEX($H$4:$H$79,MATCH(INDEX(TblTech[[#Headers],[1-1]:[11-1]],1,MATCH(TblTech[[#This Row],[Hour]],$M$2:$BZ$2,0)),$G$4:$G$79,0)),)</f>
        <v>0</v>
      </c>
    </row>
    <row r="116" customFormat="false" ht="12.75" hidden="false" customHeight="false" outlineLevel="0" collapsed="false">
      <c r="A116" s="321" t="n">
        <f aca="false">TblRezone[[#This Row],[Hour]]</f>
        <v>113</v>
      </c>
      <c r="B116" s="322" t="n">
        <f aca="false">TblExplore[[#This Row],[Land-DB]]</f>
        <v>700</v>
      </c>
      <c r="C116" s="323" t="n">
        <f aca="false">TblProd[[#This Row],[Techpoints]]</f>
        <v>1400</v>
      </c>
      <c r="D116" s="323" t="n">
        <f aca="false">TblProd[[#This Row],[Required]]</f>
        <v>3750</v>
      </c>
      <c r="E116" s="333"/>
      <c r="F116" s="334"/>
      <c r="G116" s="326"/>
      <c r="H116" s="327"/>
      <c r="I116" s="327"/>
      <c r="J116" s="327"/>
      <c r="K116" s="68" t="n">
        <f aca="false">IF(TblTech[[#This Row],[Sum of tech]]&lt;&gt;OFFSET(TblTech[[#This Row],[Sum of tech]],-1,0),1,0)</f>
        <v>0</v>
      </c>
      <c r="L116" s="328" t="n">
        <f aca="false">COUNTIF(TblTech[[#This Row],[1-1]:[11-1]],1)</f>
        <v>0</v>
      </c>
      <c r="M116" s="329" t="n">
        <f aca="false" t="array" ref="M116:M116">IF(AND(M$2&lt;&gt;0,TblTech[[#This Row],[Hour]:[Hour]]&gt;=M$2),1,0)</f>
        <v>0</v>
      </c>
      <c r="N116" s="329" t="n">
        <f aca="false" t="array" ref="N116:N116">IF(AND(N$2&lt;&gt;0,TblTech[[#This Row],[Hour]:[Hour]]&gt;=N$2),1,0)</f>
        <v>0</v>
      </c>
      <c r="O116" s="329" t="n">
        <f aca="false" t="array" ref="O116:O116">IF(AND(O$2&lt;&gt;0,TblTech[[#This Row],[Hour]:[Hour]]&gt;=O$2),1,0)</f>
        <v>0</v>
      </c>
      <c r="P116" s="329" t="n">
        <f aca="false" t="array" ref="P116:P116">IF(AND(P$2&lt;&gt;0,TblTech[[#This Row],[Hour]:[Hour]]&gt;=P$2),1,0)</f>
        <v>0</v>
      </c>
      <c r="Q116" s="329" t="n">
        <f aca="false" t="array" ref="Q116:Q116">IF(AND(Q$2&lt;&gt;0,TblTech[[#This Row],[Hour]:[Hour]]&gt;=Q$2),1,0)</f>
        <v>0</v>
      </c>
      <c r="R116" s="329" t="n">
        <f aca="false" t="array" ref="R116:R116">IF(AND(R$2&lt;&gt;0,TblTech[[#This Row],[Hour]:[Hour]]&gt;=R$2),1,0)</f>
        <v>0</v>
      </c>
      <c r="S116" s="329" t="n">
        <f aca="false" t="array" ref="S116:S116">IF(AND(S$2&lt;&gt;0,TblTech[[#This Row],[Hour]:[Hour]]&gt;=S$2),1,0)</f>
        <v>0</v>
      </c>
      <c r="T116" s="329" t="n">
        <f aca="false" t="array" ref="T116:T116">IF(AND(T$2&lt;&gt;0,TblTech[[#This Row],[Hour]:[Hour]]&gt;=T$2),1,0)</f>
        <v>0</v>
      </c>
      <c r="U116" s="329" t="n">
        <f aca="false" t="array" ref="U116:U116">IF(AND(U$2&lt;&gt;0,TblTech[[#This Row],[Hour]:[Hour]]&gt;=U$2),1,0)</f>
        <v>0</v>
      </c>
      <c r="V116" s="329" t="n">
        <f aca="false" t="array" ref="V116:V116">IF(AND(V$2&lt;&gt;0,TblTech[[#This Row],[Hour]:[Hour]]&gt;=V$2),1,0)</f>
        <v>0</v>
      </c>
      <c r="W116" s="329" t="n">
        <f aca="false" t="array" ref="W116:W116">IF(AND(W$2&lt;&gt;0,TblTech[[#This Row],[Hour]:[Hour]]&gt;=W$2),1,0)</f>
        <v>0</v>
      </c>
      <c r="X116" s="329" t="n">
        <f aca="false" t="array" ref="X116:X116">IF(AND(X$2&lt;&gt;0,TblTech[[#This Row],[Hour]:[Hour]]&gt;=X$2),1,0)</f>
        <v>0</v>
      </c>
      <c r="Y116" s="329" t="n">
        <f aca="false" t="array" ref="Y116:Y116">IF(AND(Y$2&lt;&gt;0,TblTech[[#This Row],[Hour]:[Hour]]&gt;=Y$2),1,0)</f>
        <v>0</v>
      </c>
      <c r="Z116" s="329" t="n">
        <f aca="false" t="array" ref="Z116:Z116">IF(AND(Z$2&lt;&gt;0,TblTech[[#This Row],[Hour]:[Hour]]&gt;=Z$2),1,0)</f>
        <v>0</v>
      </c>
      <c r="AA116" s="329" t="n">
        <f aca="false" t="array" ref="AA116:AA116">IF(AND(AA$2&lt;&gt;0,TblTech[[#This Row],[Hour]:[Hour]]&gt;=AA$2),1,0)</f>
        <v>0</v>
      </c>
      <c r="AB116" s="329" t="n">
        <f aca="false" t="array" ref="AB116:AB116">IF(AND(AB$2&lt;&gt;0,TblTech[[#This Row],[Hour]:[Hour]]&gt;=AB$2),1,0)</f>
        <v>0</v>
      </c>
      <c r="AC116" s="329" t="n">
        <f aca="false" t="array" ref="AC116:AC116">IF(AND(AC$2&lt;&gt;0,TblTech[[#This Row],[Hour]:[Hour]]&gt;=AC$2),1,0)</f>
        <v>0</v>
      </c>
      <c r="AD116" s="329" t="n">
        <f aca="false" t="array" ref="AD116:AD116">IF(AND(AD$2&lt;&gt;0,TblTech[[#This Row],[Hour]:[Hour]]&gt;=AD$2),1,0)</f>
        <v>0</v>
      </c>
      <c r="AE116" s="329" t="n">
        <f aca="false" t="array" ref="AE116:AE116">IF(AND(AE$2&lt;&gt;0,TblTech[[#This Row],[Hour]:[Hour]]&gt;=AE$2),1,0)</f>
        <v>0</v>
      </c>
      <c r="AF116" s="329" t="n">
        <f aca="false" t="array" ref="AF116:AF116">IF(AND(AF$2&lt;&gt;0,TblTech[[#This Row],[Hour]:[Hour]]&gt;=AF$2),1,0)</f>
        <v>0</v>
      </c>
      <c r="AG116" s="329" t="n">
        <f aca="false" t="array" ref="AG116:AG116">IF(AND(AG$2&lt;&gt;0,TblTech[[#This Row],[Hour]:[Hour]]&gt;=AG$2),1,0)</f>
        <v>0</v>
      </c>
      <c r="AH116" s="329" t="n">
        <f aca="false" t="array" ref="AH116:AH116">IF(AND(AH$2&lt;&gt;0,TblTech[[#This Row],[Hour]:[Hour]]&gt;=AH$2),1,0)</f>
        <v>0</v>
      </c>
      <c r="AI116" s="329" t="n">
        <f aca="false" t="array" ref="AI116:AI116">IF(AND(AI$2&lt;&gt;0,TblTech[[#This Row],[Hour]:[Hour]]&gt;=AI$2),1,0)</f>
        <v>0</v>
      </c>
      <c r="AJ116" s="329" t="n">
        <f aca="false" t="array" ref="AJ116:AJ116">IF(AND(AJ$2&lt;&gt;0,TblTech[[#This Row],[Hour]:[Hour]]&gt;=AJ$2),1,0)</f>
        <v>0</v>
      </c>
      <c r="AK116" s="329" t="n">
        <f aca="false" t="array" ref="AK116:AK116">IF(AND(AK$2&lt;&gt;0,TblTech[[#This Row],[Hour]:[Hour]]&gt;=AK$2),1,0)</f>
        <v>0</v>
      </c>
      <c r="AL116" s="329" t="n">
        <f aca="false" t="array" ref="AL116:AL116">IF(AND(AL$2&lt;&gt;0,TblTech[[#This Row],[Hour]:[Hour]]&gt;=AL$2),1,0)</f>
        <v>0</v>
      </c>
      <c r="AM116" s="329" t="n">
        <f aca="false" t="array" ref="AM116:AM116">IF(AND(AM$2&lt;&gt;0,TblTech[[#This Row],[Hour]:[Hour]]&gt;=AM$2),1,0)</f>
        <v>0</v>
      </c>
      <c r="AN116" s="329" t="n">
        <f aca="false" t="array" ref="AN116:AN116">IF(AND(AN$2&lt;&gt;0,TblTech[[#This Row],[Hour]:[Hour]]&gt;=AN$2),1,0)</f>
        <v>0</v>
      </c>
      <c r="AO116" s="329" t="n">
        <f aca="false" t="array" ref="AO116:AO116">IF(AND(AO$2&lt;&gt;0,TblTech[[#This Row],[Hour]:[Hour]]&gt;=AO$2),1,0)</f>
        <v>0</v>
      </c>
      <c r="AP116" s="329" t="n">
        <f aca="false" t="array" ref="AP116:AP116">IF(AND(AP$2&lt;&gt;0,TblTech[[#This Row],[Hour]:[Hour]]&gt;=AP$2),1,0)</f>
        <v>0</v>
      </c>
      <c r="AQ116" s="329" t="n">
        <f aca="false" t="array" ref="AQ116:AQ116">IF(AND(AQ$2&lt;&gt;0,TblTech[[#This Row],[Hour]:[Hour]]&gt;=AQ$2),1,0)</f>
        <v>0</v>
      </c>
      <c r="AR116" s="329" t="n">
        <f aca="false" t="array" ref="AR116:AR116">IF(AND(AR$2&lt;&gt;0,TblTech[[#This Row],[Hour]:[Hour]]&gt;=AR$2),1,0)</f>
        <v>0</v>
      </c>
      <c r="AS116" s="329" t="n">
        <f aca="false" t="array" ref="AS116:AS116">IF(AND(AS$2&lt;&gt;0,TblTech[[#This Row],[Hour]:[Hour]]&gt;=AS$2),1,0)</f>
        <v>0</v>
      </c>
      <c r="AT116" s="329" t="n">
        <f aca="false" t="array" ref="AT116:AT116">IF(AND(AT$2&lt;&gt;0,TblTech[[#This Row],[Hour]:[Hour]]&gt;=AT$2),1,0)</f>
        <v>0</v>
      </c>
      <c r="AU116" s="329" t="n">
        <f aca="false" t="array" ref="AU116:AU116">IF(AND(AU$2&lt;&gt;0,TblTech[[#This Row],[Hour]:[Hour]]&gt;=AU$2),1,0)</f>
        <v>0</v>
      </c>
      <c r="AV116" s="329" t="n">
        <f aca="false" t="array" ref="AV116:AV116">IF(AND(AV$2&lt;&gt;0,TblTech[[#This Row],[Hour]:[Hour]]&gt;=AV$2),1,0)</f>
        <v>0</v>
      </c>
      <c r="AW116" s="329" t="n">
        <f aca="false" t="array" ref="AW116:AW116">IF(AND(AW$2&lt;&gt;0,TblTech[[#This Row],[Hour]:[Hour]]&gt;=AW$2),1,0)</f>
        <v>0</v>
      </c>
      <c r="AX116" s="329" t="n">
        <f aca="false" t="array" ref="AX116:AX116">IF(AND(AX$2&lt;&gt;0,TblTech[[#This Row],[Hour]:[Hour]]&gt;=AX$2),1,0)</f>
        <v>0</v>
      </c>
      <c r="AY116" s="329" t="n">
        <f aca="false" t="array" ref="AY116:AY116">IF(AND(AY$2&lt;&gt;0,TblTech[[#This Row],[Hour]:[Hour]]&gt;=AY$2),1,0)</f>
        <v>0</v>
      </c>
      <c r="AZ116" s="329" t="n">
        <f aca="false" t="array" ref="AZ116:AZ116">IF(AND(AZ$2&lt;&gt;0,TblTech[[#This Row],[Hour]:[Hour]]&gt;=AZ$2),1,0)</f>
        <v>0</v>
      </c>
      <c r="BA116" s="329" t="n">
        <f aca="false" t="array" ref="BA116:BA116">IF(AND(BA$2&lt;&gt;0,TblTech[[#This Row],[Hour]:[Hour]]&gt;=BA$2),1,0)</f>
        <v>0</v>
      </c>
      <c r="BB116" s="329" t="n">
        <f aca="false" t="array" ref="BB116:BB116">IF(AND(BB$2&lt;&gt;0,TblTech[[#This Row],[Hour]:[Hour]]&gt;=BB$2),1,0)</f>
        <v>0</v>
      </c>
      <c r="BC116" s="329" t="n">
        <f aca="false" t="array" ref="BC116:BC116">IF(AND(BC$2&lt;&gt;0,TblTech[[#This Row],[Hour]:[Hour]]&gt;=BC$2),1,0)</f>
        <v>0</v>
      </c>
      <c r="BD116" s="329" t="n">
        <f aca="false" t="array" ref="BD116:BD116">IF(AND(BD$2&lt;&gt;0,TblTech[[#This Row],[Hour]:[Hour]]&gt;=BD$2),1,0)</f>
        <v>0</v>
      </c>
      <c r="BE116" s="329" t="n">
        <f aca="false" t="array" ref="BE116:BE116">IF(AND(BE$2&lt;&gt;0,TblTech[[#This Row],[Hour]:[Hour]]&gt;=BE$2),1,0)</f>
        <v>0</v>
      </c>
      <c r="BF116" s="329" t="n">
        <f aca="false" t="array" ref="BF116:BF116">IF(AND(BF$2&lt;&gt;0,TblTech[[#This Row],[Hour]:[Hour]]&gt;=BF$2),1,0)</f>
        <v>0</v>
      </c>
      <c r="BG116" s="329" t="n">
        <f aca="false" t="array" ref="BG116:BG116">IF(AND(BG$2&lt;&gt;0,TblTech[[#This Row],[Hour]:[Hour]]&gt;=BG$2),1,0)</f>
        <v>0</v>
      </c>
      <c r="BH116" s="329" t="n">
        <f aca="false" t="array" ref="BH116:BH116">IF(AND(BH$2&lt;&gt;0,TblTech[[#This Row],[Hour]:[Hour]]&gt;=BH$2),1,0)</f>
        <v>0</v>
      </c>
      <c r="BI116" s="329" t="n">
        <f aca="false" t="array" ref="BI116:BI116">IF(AND(BI$2&lt;&gt;0,TblTech[[#This Row],[Hour]:[Hour]]&gt;=BI$2),1,0)</f>
        <v>0</v>
      </c>
      <c r="BJ116" s="329" t="n">
        <f aca="false" t="array" ref="BJ116:BJ116">IF(AND(BJ$2&lt;&gt;0,TblTech[[#This Row],[Hour]:[Hour]]&gt;=BJ$2),1,0)</f>
        <v>0</v>
      </c>
      <c r="BK116" s="329" t="n">
        <f aca="false" t="array" ref="BK116:BK116">IF(AND(BK$2&lt;&gt;0,TblTech[[#This Row],[Hour]:[Hour]]&gt;=BK$2),1,0)</f>
        <v>0</v>
      </c>
      <c r="BL116" s="329" t="n">
        <f aca="false" t="array" ref="BL116:BL116">IF(AND(BL$2&lt;&gt;0,TblTech[[#This Row],[Hour]:[Hour]]&gt;=BL$2),1,0)</f>
        <v>0</v>
      </c>
      <c r="BM116" s="329" t="n">
        <f aca="false" t="array" ref="BM116:BM116">IF(AND(BM$2&lt;&gt;0,TblTech[[#This Row],[Hour]:[Hour]]&gt;=BM$2),1,0)</f>
        <v>0</v>
      </c>
      <c r="BN116" s="329" t="n">
        <f aca="false" t="array" ref="BN116:BN116">IF(AND(BN$2&lt;&gt;0,TblTech[[#This Row],[Hour]:[Hour]]&gt;=BN$2),1,0)</f>
        <v>0</v>
      </c>
      <c r="BO116" s="329" t="n">
        <f aca="false" t="array" ref="BO116:BO116">IF(AND(BO$2&lt;&gt;0,TblTech[[#This Row],[Hour]:[Hour]]&gt;=BO$2),1,0)</f>
        <v>0</v>
      </c>
      <c r="BP116" s="329" t="n">
        <f aca="false" t="array" ref="BP116:BP116">IF(AND(BP$2&lt;&gt;0,TblTech[[#This Row],[Hour]:[Hour]]&gt;=BP$2),1,0)</f>
        <v>0</v>
      </c>
      <c r="BQ116" s="329" t="n">
        <f aca="false" t="array" ref="BQ116:BQ116">IF(AND(BQ$2&lt;&gt;0,TblTech[[#This Row],[Hour]:[Hour]]&gt;=BQ$2),1,0)</f>
        <v>0</v>
      </c>
      <c r="BR116" s="329" t="n">
        <f aca="false" t="array" ref="BR116:BR116">IF(AND(BR$2&lt;&gt;0,TblTech[[#This Row],[Hour]:[Hour]]&gt;=BR$2),1,0)</f>
        <v>0</v>
      </c>
      <c r="BS116" s="329" t="n">
        <f aca="false" t="array" ref="BS116:BS116">IF(AND(BS$2&lt;&gt;0,TblTech[[#This Row],[Hour]:[Hour]]&gt;=BS$2),1,0)</f>
        <v>0</v>
      </c>
      <c r="BT116" s="329" t="n">
        <f aca="false" t="array" ref="BT116:BT116">IF(AND(BT$2&lt;&gt;0,TblTech[[#This Row],[Hour]:[Hour]]&gt;=BT$2),1,0)</f>
        <v>0</v>
      </c>
      <c r="BU116" s="329" t="n">
        <f aca="false" t="array" ref="BU116:BU116">IF(AND(BU$2&lt;&gt;0,TblTech[[#This Row],[Hour]:[Hour]]&gt;=BU$2),1,0)</f>
        <v>0</v>
      </c>
      <c r="BV116" s="329" t="n">
        <f aca="false" t="array" ref="BV116:BV116">IF(AND(BV$2&lt;&gt;0,TblTech[[#This Row],[Hour]:[Hour]]&gt;=BV$2),1,0)</f>
        <v>0</v>
      </c>
      <c r="BW116" s="329" t="n">
        <f aca="false" t="array" ref="BW116:BW116">IF(AND(BW$2&lt;&gt;0,TblTech[[#This Row],[Hour]:[Hour]]&gt;=BW$2),1,0)</f>
        <v>0</v>
      </c>
      <c r="BX116" s="329" t="n">
        <f aca="false" t="array" ref="BX116:BX116">IF(AND(BX$2&lt;&gt;0,TblTech[[#This Row],[Hour]:[Hour]]&gt;=BX$2),1,0)</f>
        <v>0</v>
      </c>
      <c r="BY116" s="329" t="n">
        <f aca="false" t="array" ref="BY116:BY116">IF(AND(BY$2&lt;&gt;0,TblTech[[#This Row],[Hour]:[Hour]]&gt;=BY$2),1,0)</f>
        <v>0</v>
      </c>
      <c r="BZ116" s="329" t="n">
        <f aca="false" t="array" ref="BZ116:BZ116">IF(AND(BZ$2&lt;&gt;0,TblTech[[#This Row],[Hour]:[Hour]]&gt;=BZ$2),1,0)</f>
        <v>0</v>
      </c>
      <c r="CA116" s="330" t="n">
        <f aca="false">IFERROR(INDEX($H$4:$H$79,MATCH(INDEX(TblTech[[#Headers],[1-1]:[11-1]],1,MATCH(TblTech[[#This Row],[Hour]],$M$2:$BZ$2,0)),$G$4:$G$79,0)),)</f>
        <v>0</v>
      </c>
    </row>
    <row r="117" customFormat="false" ht="12.75" hidden="false" customHeight="false" outlineLevel="0" collapsed="false">
      <c r="A117" s="321" t="n">
        <f aca="false">TblRezone[[#This Row],[Hour]]</f>
        <v>114</v>
      </c>
      <c r="B117" s="322" t="n">
        <f aca="false">TblExplore[[#This Row],[Land-DB]]</f>
        <v>700</v>
      </c>
      <c r="C117" s="323" t="n">
        <f aca="false">TblProd[[#This Row],[Techpoints]]</f>
        <v>1400</v>
      </c>
      <c r="D117" s="323" t="n">
        <f aca="false">TblProd[[#This Row],[Required]]</f>
        <v>3750</v>
      </c>
      <c r="E117" s="333"/>
      <c r="F117" s="334"/>
      <c r="G117" s="326"/>
      <c r="H117" s="327"/>
      <c r="I117" s="327"/>
      <c r="J117" s="327"/>
      <c r="K117" s="68" t="n">
        <f aca="false">IF(TblTech[[#This Row],[Sum of tech]]&lt;&gt;OFFSET(TblTech[[#This Row],[Sum of tech]],-1,0),1,0)</f>
        <v>0</v>
      </c>
      <c r="L117" s="328" t="n">
        <f aca="false">COUNTIF(TblTech[[#This Row],[1-1]:[11-1]],1)</f>
        <v>0</v>
      </c>
      <c r="M117" s="329" t="n">
        <f aca="false" t="array" ref="M117:M117">IF(AND(M$2&lt;&gt;0,TblTech[[#This Row],[Hour]:[Hour]]&gt;=M$2),1,0)</f>
        <v>0</v>
      </c>
      <c r="N117" s="329" t="n">
        <f aca="false" t="array" ref="N117:N117">IF(AND(N$2&lt;&gt;0,TblTech[[#This Row],[Hour]:[Hour]]&gt;=N$2),1,0)</f>
        <v>0</v>
      </c>
      <c r="O117" s="329" t="n">
        <f aca="false" t="array" ref="O117:O117">IF(AND(O$2&lt;&gt;0,TblTech[[#This Row],[Hour]:[Hour]]&gt;=O$2),1,0)</f>
        <v>0</v>
      </c>
      <c r="P117" s="329" t="n">
        <f aca="false" t="array" ref="P117:P117">IF(AND(P$2&lt;&gt;0,TblTech[[#This Row],[Hour]:[Hour]]&gt;=P$2),1,0)</f>
        <v>0</v>
      </c>
      <c r="Q117" s="329" t="n">
        <f aca="false" t="array" ref="Q117:Q117">IF(AND(Q$2&lt;&gt;0,TblTech[[#This Row],[Hour]:[Hour]]&gt;=Q$2),1,0)</f>
        <v>0</v>
      </c>
      <c r="R117" s="329" t="n">
        <f aca="false" t="array" ref="R117:R117">IF(AND(R$2&lt;&gt;0,TblTech[[#This Row],[Hour]:[Hour]]&gt;=R$2),1,0)</f>
        <v>0</v>
      </c>
      <c r="S117" s="329" t="n">
        <f aca="false" t="array" ref="S117:S117">IF(AND(S$2&lt;&gt;0,TblTech[[#This Row],[Hour]:[Hour]]&gt;=S$2),1,0)</f>
        <v>0</v>
      </c>
      <c r="T117" s="329" t="n">
        <f aca="false" t="array" ref="T117:T117">IF(AND(T$2&lt;&gt;0,TblTech[[#This Row],[Hour]:[Hour]]&gt;=T$2),1,0)</f>
        <v>0</v>
      </c>
      <c r="U117" s="329" t="n">
        <f aca="false" t="array" ref="U117:U117">IF(AND(U$2&lt;&gt;0,TblTech[[#This Row],[Hour]:[Hour]]&gt;=U$2),1,0)</f>
        <v>0</v>
      </c>
      <c r="V117" s="329" t="n">
        <f aca="false" t="array" ref="V117:V117">IF(AND(V$2&lt;&gt;0,TblTech[[#This Row],[Hour]:[Hour]]&gt;=V$2),1,0)</f>
        <v>0</v>
      </c>
      <c r="W117" s="329" t="n">
        <f aca="false" t="array" ref="W117:W117">IF(AND(W$2&lt;&gt;0,TblTech[[#This Row],[Hour]:[Hour]]&gt;=W$2),1,0)</f>
        <v>0</v>
      </c>
      <c r="X117" s="329" t="n">
        <f aca="false" t="array" ref="X117:X117">IF(AND(X$2&lt;&gt;0,TblTech[[#This Row],[Hour]:[Hour]]&gt;=X$2),1,0)</f>
        <v>0</v>
      </c>
      <c r="Y117" s="329" t="n">
        <f aca="false" t="array" ref="Y117:Y117">IF(AND(Y$2&lt;&gt;0,TblTech[[#This Row],[Hour]:[Hour]]&gt;=Y$2),1,0)</f>
        <v>0</v>
      </c>
      <c r="Z117" s="329" t="n">
        <f aca="false" t="array" ref="Z117:Z117">IF(AND(Z$2&lt;&gt;0,TblTech[[#This Row],[Hour]:[Hour]]&gt;=Z$2),1,0)</f>
        <v>0</v>
      </c>
      <c r="AA117" s="329" t="n">
        <f aca="false" t="array" ref="AA117:AA117">IF(AND(AA$2&lt;&gt;0,TblTech[[#This Row],[Hour]:[Hour]]&gt;=AA$2),1,0)</f>
        <v>0</v>
      </c>
      <c r="AB117" s="329" t="n">
        <f aca="false" t="array" ref="AB117:AB117">IF(AND(AB$2&lt;&gt;0,TblTech[[#This Row],[Hour]:[Hour]]&gt;=AB$2),1,0)</f>
        <v>0</v>
      </c>
      <c r="AC117" s="329" t="n">
        <f aca="false" t="array" ref="AC117:AC117">IF(AND(AC$2&lt;&gt;0,TblTech[[#This Row],[Hour]:[Hour]]&gt;=AC$2),1,0)</f>
        <v>0</v>
      </c>
      <c r="AD117" s="329" t="n">
        <f aca="false" t="array" ref="AD117:AD117">IF(AND(AD$2&lt;&gt;0,TblTech[[#This Row],[Hour]:[Hour]]&gt;=AD$2),1,0)</f>
        <v>0</v>
      </c>
      <c r="AE117" s="329" t="n">
        <f aca="false" t="array" ref="AE117:AE117">IF(AND(AE$2&lt;&gt;0,TblTech[[#This Row],[Hour]:[Hour]]&gt;=AE$2),1,0)</f>
        <v>0</v>
      </c>
      <c r="AF117" s="329" t="n">
        <f aca="false" t="array" ref="AF117:AF117">IF(AND(AF$2&lt;&gt;0,TblTech[[#This Row],[Hour]:[Hour]]&gt;=AF$2),1,0)</f>
        <v>0</v>
      </c>
      <c r="AG117" s="329" t="n">
        <f aca="false" t="array" ref="AG117:AG117">IF(AND(AG$2&lt;&gt;0,TblTech[[#This Row],[Hour]:[Hour]]&gt;=AG$2),1,0)</f>
        <v>0</v>
      </c>
      <c r="AH117" s="329" t="n">
        <f aca="false" t="array" ref="AH117:AH117">IF(AND(AH$2&lt;&gt;0,TblTech[[#This Row],[Hour]:[Hour]]&gt;=AH$2),1,0)</f>
        <v>0</v>
      </c>
      <c r="AI117" s="329" t="n">
        <f aca="false" t="array" ref="AI117:AI117">IF(AND(AI$2&lt;&gt;0,TblTech[[#This Row],[Hour]:[Hour]]&gt;=AI$2),1,0)</f>
        <v>0</v>
      </c>
      <c r="AJ117" s="329" t="n">
        <f aca="false" t="array" ref="AJ117:AJ117">IF(AND(AJ$2&lt;&gt;0,TblTech[[#This Row],[Hour]:[Hour]]&gt;=AJ$2),1,0)</f>
        <v>0</v>
      </c>
      <c r="AK117" s="329" t="n">
        <f aca="false" t="array" ref="AK117:AK117">IF(AND(AK$2&lt;&gt;0,TblTech[[#This Row],[Hour]:[Hour]]&gt;=AK$2),1,0)</f>
        <v>0</v>
      </c>
      <c r="AL117" s="329" t="n">
        <f aca="false" t="array" ref="AL117:AL117">IF(AND(AL$2&lt;&gt;0,TblTech[[#This Row],[Hour]:[Hour]]&gt;=AL$2),1,0)</f>
        <v>0</v>
      </c>
      <c r="AM117" s="329" t="n">
        <f aca="false" t="array" ref="AM117:AM117">IF(AND(AM$2&lt;&gt;0,TblTech[[#This Row],[Hour]:[Hour]]&gt;=AM$2),1,0)</f>
        <v>0</v>
      </c>
      <c r="AN117" s="329" t="n">
        <f aca="false" t="array" ref="AN117:AN117">IF(AND(AN$2&lt;&gt;0,TblTech[[#This Row],[Hour]:[Hour]]&gt;=AN$2),1,0)</f>
        <v>0</v>
      </c>
      <c r="AO117" s="329" t="n">
        <f aca="false" t="array" ref="AO117:AO117">IF(AND(AO$2&lt;&gt;0,TblTech[[#This Row],[Hour]:[Hour]]&gt;=AO$2),1,0)</f>
        <v>0</v>
      </c>
      <c r="AP117" s="329" t="n">
        <f aca="false" t="array" ref="AP117:AP117">IF(AND(AP$2&lt;&gt;0,TblTech[[#This Row],[Hour]:[Hour]]&gt;=AP$2),1,0)</f>
        <v>0</v>
      </c>
      <c r="AQ117" s="329" t="n">
        <f aca="false" t="array" ref="AQ117:AQ117">IF(AND(AQ$2&lt;&gt;0,TblTech[[#This Row],[Hour]:[Hour]]&gt;=AQ$2),1,0)</f>
        <v>0</v>
      </c>
      <c r="AR117" s="329" t="n">
        <f aca="false" t="array" ref="AR117:AR117">IF(AND(AR$2&lt;&gt;0,TblTech[[#This Row],[Hour]:[Hour]]&gt;=AR$2),1,0)</f>
        <v>0</v>
      </c>
      <c r="AS117" s="329" t="n">
        <f aca="false" t="array" ref="AS117:AS117">IF(AND(AS$2&lt;&gt;0,TblTech[[#This Row],[Hour]:[Hour]]&gt;=AS$2),1,0)</f>
        <v>0</v>
      </c>
      <c r="AT117" s="329" t="n">
        <f aca="false" t="array" ref="AT117:AT117">IF(AND(AT$2&lt;&gt;0,TblTech[[#This Row],[Hour]:[Hour]]&gt;=AT$2),1,0)</f>
        <v>0</v>
      </c>
      <c r="AU117" s="329" t="n">
        <f aca="false" t="array" ref="AU117:AU117">IF(AND(AU$2&lt;&gt;0,TblTech[[#This Row],[Hour]:[Hour]]&gt;=AU$2),1,0)</f>
        <v>0</v>
      </c>
      <c r="AV117" s="329" t="n">
        <f aca="false" t="array" ref="AV117:AV117">IF(AND(AV$2&lt;&gt;0,TblTech[[#This Row],[Hour]:[Hour]]&gt;=AV$2),1,0)</f>
        <v>0</v>
      </c>
      <c r="AW117" s="329" t="n">
        <f aca="false" t="array" ref="AW117:AW117">IF(AND(AW$2&lt;&gt;0,TblTech[[#This Row],[Hour]:[Hour]]&gt;=AW$2),1,0)</f>
        <v>0</v>
      </c>
      <c r="AX117" s="329" t="n">
        <f aca="false" t="array" ref="AX117:AX117">IF(AND(AX$2&lt;&gt;0,TblTech[[#This Row],[Hour]:[Hour]]&gt;=AX$2),1,0)</f>
        <v>0</v>
      </c>
      <c r="AY117" s="329" t="n">
        <f aca="false" t="array" ref="AY117:AY117">IF(AND(AY$2&lt;&gt;0,TblTech[[#This Row],[Hour]:[Hour]]&gt;=AY$2),1,0)</f>
        <v>0</v>
      </c>
      <c r="AZ117" s="329" t="n">
        <f aca="false" t="array" ref="AZ117:AZ117">IF(AND(AZ$2&lt;&gt;0,TblTech[[#This Row],[Hour]:[Hour]]&gt;=AZ$2),1,0)</f>
        <v>0</v>
      </c>
      <c r="BA117" s="329" t="n">
        <f aca="false" t="array" ref="BA117:BA117">IF(AND(BA$2&lt;&gt;0,TblTech[[#This Row],[Hour]:[Hour]]&gt;=BA$2),1,0)</f>
        <v>0</v>
      </c>
      <c r="BB117" s="329" t="n">
        <f aca="false" t="array" ref="BB117:BB117">IF(AND(BB$2&lt;&gt;0,TblTech[[#This Row],[Hour]:[Hour]]&gt;=BB$2),1,0)</f>
        <v>0</v>
      </c>
      <c r="BC117" s="329" t="n">
        <f aca="false" t="array" ref="BC117:BC117">IF(AND(BC$2&lt;&gt;0,TblTech[[#This Row],[Hour]:[Hour]]&gt;=BC$2),1,0)</f>
        <v>0</v>
      </c>
      <c r="BD117" s="329" t="n">
        <f aca="false" t="array" ref="BD117:BD117">IF(AND(BD$2&lt;&gt;0,TblTech[[#This Row],[Hour]:[Hour]]&gt;=BD$2),1,0)</f>
        <v>0</v>
      </c>
      <c r="BE117" s="329" t="n">
        <f aca="false" t="array" ref="BE117:BE117">IF(AND(BE$2&lt;&gt;0,TblTech[[#This Row],[Hour]:[Hour]]&gt;=BE$2),1,0)</f>
        <v>0</v>
      </c>
      <c r="BF117" s="329" t="n">
        <f aca="false" t="array" ref="BF117:BF117">IF(AND(BF$2&lt;&gt;0,TblTech[[#This Row],[Hour]:[Hour]]&gt;=BF$2),1,0)</f>
        <v>0</v>
      </c>
      <c r="BG117" s="329" t="n">
        <f aca="false" t="array" ref="BG117:BG117">IF(AND(BG$2&lt;&gt;0,TblTech[[#This Row],[Hour]:[Hour]]&gt;=BG$2),1,0)</f>
        <v>0</v>
      </c>
      <c r="BH117" s="329" t="n">
        <f aca="false" t="array" ref="BH117:BH117">IF(AND(BH$2&lt;&gt;0,TblTech[[#This Row],[Hour]:[Hour]]&gt;=BH$2),1,0)</f>
        <v>0</v>
      </c>
      <c r="BI117" s="329" t="n">
        <f aca="false" t="array" ref="BI117:BI117">IF(AND(BI$2&lt;&gt;0,TblTech[[#This Row],[Hour]:[Hour]]&gt;=BI$2),1,0)</f>
        <v>0</v>
      </c>
      <c r="BJ117" s="329" t="n">
        <f aca="false" t="array" ref="BJ117:BJ117">IF(AND(BJ$2&lt;&gt;0,TblTech[[#This Row],[Hour]:[Hour]]&gt;=BJ$2),1,0)</f>
        <v>0</v>
      </c>
      <c r="BK117" s="329" t="n">
        <f aca="false" t="array" ref="BK117:BK117">IF(AND(BK$2&lt;&gt;0,TblTech[[#This Row],[Hour]:[Hour]]&gt;=BK$2),1,0)</f>
        <v>0</v>
      </c>
      <c r="BL117" s="329" t="n">
        <f aca="false" t="array" ref="BL117:BL117">IF(AND(BL$2&lt;&gt;0,TblTech[[#This Row],[Hour]:[Hour]]&gt;=BL$2),1,0)</f>
        <v>0</v>
      </c>
      <c r="BM117" s="329" t="n">
        <f aca="false" t="array" ref="BM117:BM117">IF(AND(BM$2&lt;&gt;0,TblTech[[#This Row],[Hour]:[Hour]]&gt;=BM$2),1,0)</f>
        <v>0</v>
      </c>
      <c r="BN117" s="329" t="n">
        <f aca="false" t="array" ref="BN117:BN117">IF(AND(BN$2&lt;&gt;0,TblTech[[#This Row],[Hour]:[Hour]]&gt;=BN$2),1,0)</f>
        <v>0</v>
      </c>
      <c r="BO117" s="329" t="n">
        <f aca="false" t="array" ref="BO117:BO117">IF(AND(BO$2&lt;&gt;0,TblTech[[#This Row],[Hour]:[Hour]]&gt;=BO$2),1,0)</f>
        <v>0</v>
      </c>
      <c r="BP117" s="329" t="n">
        <f aca="false" t="array" ref="BP117:BP117">IF(AND(BP$2&lt;&gt;0,TblTech[[#This Row],[Hour]:[Hour]]&gt;=BP$2),1,0)</f>
        <v>0</v>
      </c>
      <c r="BQ117" s="329" t="n">
        <f aca="false" t="array" ref="BQ117:BQ117">IF(AND(BQ$2&lt;&gt;0,TblTech[[#This Row],[Hour]:[Hour]]&gt;=BQ$2),1,0)</f>
        <v>0</v>
      </c>
      <c r="BR117" s="329" t="n">
        <f aca="false" t="array" ref="BR117:BR117">IF(AND(BR$2&lt;&gt;0,TblTech[[#This Row],[Hour]:[Hour]]&gt;=BR$2),1,0)</f>
        <v>0</v>
      </c>
      <c r="BS117" s="329" t="n">
        <f aca="false" t="array" ref="BS117:BS117">IF(AND(BS$2&lt;&gt;0,TblTech[[#This Row],[Hour]:[Hour]]&gt;=BS$2),1,0)</f>
        <v>0</v>
      </c>
      <c r="BT117" s="329" t="n">
        <f aca="false" t="array" ref="BT117:BT117">IF(AND(BT$2&lt;&gt;0,TblTech[[#This Row],[Hour]:[Hour]]&gt;=BT$2),1,0)</f>
        <v>0</v>
      </c>
      <c r="BU117" s="329" t="n">
        <f aca="false" t="array" ref="BU117:BU117">IF(AND(BU$2&lt;&gt;0,TblTech[[#This Row],[Hour]:[Hour]]&gt;=BU$2),1,0)</f>
        <v>0</v>
      </c>
      <c r="BV117" s="329" t="n">
        <f aca="false" t="array" ref="BV117:BV117">IF(AND(BV$2&lt;&gt;0,TblTech[[#This Row],[Hour]:[Hour]]&gt;=BV$2),1,0)</f>
        <v>0</v>
      </c>
      <c r="BW117" s="329" t="n">
        <f aca="false" t="array" ref="BW117:BW117">IF(AND(BW$2&lt;&gt;0,TblTech[[#This Row],[Hour]:[Hour]]&gt;=BW$2),1,0)</f>
        <v>0</v>
      </c>
      <c r="BX117" s="329" t="n">
        <f aca="false" t="array" ref="BX117:BX117">IF(AND(BX$2&lt;&gt;0,TblTech[[#This Row],[Hour]:[Hour]]&gt;=BX$2),1,0)</f>
        <v>0</v>
      </c>
      <c r="BY117" s="329" t="n">
        <f aca="false" t="array" ref="BY117:BY117">IF(AND(BY$2&lt;&gt;0,TblTech[[#This Row],[Hour]:[Hour]]&gt;=BY$2),1,0)</f>
        <v>0</v>
      </c>
      <c r="BZ117" s="329" t="n">
        <f aca="false" t="array" ref="BZ117:BZ117">IF(AND(BZ$2&lt;&gt;0,TblTech[[#This Row],[Hour]:[Hour]]&gt;=BZ$2),1,0)</f>
        <v>0</v>
      </c>
      <c r="CA117" s="330" t="n">
        <f aca="false">IFERROR(INDEX($H$4:$H$79,MATCH(INDEX(TblTech[[#Headers],[1-1]:[11-1]],1,MATCH(TblTech[[#This Row],[Hour]],$M$2:$BZ$2,0)),$G$4:$G$79,0)),)</f>
        <v>0</v>
      </c>
    </row>
    <row r="118" customFormat="false" ht="12.75" hidden="false" customHeight="false" outlineLevel="0" collapsed="false">
      <c r="A118" s="321" t="n">
        <f aca="false">TblRezone[[#This Row],[Hour]]</f>
        <v>115</v>
      </c>
      <c r="B118" s="322" t="n">
        <f aca="false">TblExplore[[#This Row],[Land-DB]]</f>
        <v>700</v>
      </c>
      <c r="C118" s="323" t="n">
        <f aca="false">TblProd[[#This Row],[Techpoints]]</f>
        <v>1400</v>
      </c>
      <c r="D118" s="323" t="n">
        <f aca="false">TblProd[[#This Row],[Required]]</f>
        <v>3750</v>
      </c>
      <c r="E118" s="333"/>
      <c r="F118" s="334"/>
      <c r="G118" s="326"/>
      <c r="H118" s="327"/>
      <c r="I118" s="327"/>
      <c r="J118" s="327"/>
      <c r="K118" s="68" t="n">
        <f aca="false">IF(TblTech[[#This Row],[Sum of tech]]&lt;&gt;OFFSET(TblTech[[#This Row],[Sum of tech]],-1,0),1,0)</f>
        <v>0</v>
      </c>
      <c r="L118" s="328" t="n">
        <f aca="false">COUNTIF(TblTech[[#This Row],[1-1]:[11-1]],1)</f>
        <v>0</v>
      </c>
      <c r="M118" s="329" t="n">
        <f aca="false" t="array" ref="M118:M118">IF(AND(M$2&lt;&gt;0,TblTech[[#This Row],[Hour]:[Hour]]&gt;=M$2),1,0)</f>
        <v>0</v>
      </c>
      <c r="N118" s="329" t="n">
        <f aca="false" t="array" ref="N118:N118">IF(AND(N$2&lt;&gt;0,TblTech[[#This Row],[Hour]:[Hour]]&gt;=N$2),1,0)</f>
        <v>0</v>
      </c>
      <c r="O118" s="329" t="n">
        <f aca="false" t="array" ref="O118:O118">IF(AND(O$2&lt;&gt;0,TblTech[[#This Row],[Hour]:[Hour]]&gt;=O$2),1,0)</f>
        <v>0</v>
      </c>
      <c r="P118" s="329" t="n">
        <f aca="false" t="array" ref="P118:P118">IF(AND(P$2&lt;&gt;0,TblTech[[#This Row],[Hour]:[Hour]]&gt;=P$2),1,0)</f>
        <v>0</v>
      </c>
      <c r="Q118" s="329" t="n">
        <f aca="false" t="array" ref="Q118:Q118">IF(AND(Q$2&lt;&gt;0,TblTech[[#This Row],[Hour]:[Hour]]&gt;=Q$2),1,0)</f>
        <v>0</v>
      </c>
      <c r="R118" s="329" t="n">
        <f aca="false" t="array" ref="R118:R118">IF(AND(R$2&lt;&gt;0,TblTech[[#This Row],[Hour]:[Hour]]&gt;=R$2),1,0)</f>
        <v>0</v>
      </c>
      <c r="S118" s="329" t="n">
        <f aca="false" t="array" ref="S118:S118">IF(AND(S$2&lt;&gt;0,TblTech[[#This Row],[Hour]:[Hour]]&gt;=S$2),1,0)</f>
        <v>0</v>
      </c>
      <c r="T118" s="329" t="n">
        <f aca="false" t="array" ref="T118:T118">IF(AND(T$2&lt;&gt;0,TblTech[[#This Row],[Hour]:[Hour]]&gt;=T$2),1,0)</f>
        <v>0</v>
      </c>
      <c r="U118" s="329" t="n">
        <f aca="false" t="array" ref="U118:U118">IF(AND(U$2&lt;&gt;0,TblTech[[#This Row],[Hour]:[Hour]]&gt;=U$2),1,0)</f>
        <v>0</v>
      </c>
      <c r="V118" s="329" t="n">
        <f aca="false" t="array" ref="V118:V118">IF(AND(V$2&lt;&gt;0,TblTech[[#This Row],[Hour]:[Hour]]&gt;=V$2),1,0)</f>
        <v>0</v>
      </c>
      <c r="W118" s="329" t="n">
        <f aca="false" t="array" ref="W118:W118">IF(AND(W$2&lt;&gt;0,TblTech[[#This Row],[Hour]:[Hour]]&gt;=W$2),1,0)</f>
        <v>0</v>
      </c>
      <c r="X118" s="329" t="n">
        <f aca="false" t="array" ref="X118:X118">IF(AND(X$2&lt;&gt;0,TblTech[[#This Row],[Hour]:[Hour]]&gt;=X$2),1,0)</f>
        <v>0</v>
      </c>
      <c r="Y118" s="329" t="n">
        <f aca="false" t="array" ref="Y118:Y118">IF(AND(Y$2&lt;&gt;0,TblTech[[#This Row],[Hour]:[Hour]]&gt;=Y$2),1,0)</f>
        <v>0</v>
      </c>
      <c r="Z118" s="329" t="n">
        <f aca="false" t="array" ref="Z118:Z118">IF(AND(Z$2&lt;&gt;0,TblTech[[#This Row],[Hour]:[Hour]]&gt;=Z$2),1,0)</f>
        <v>0</v>
      </c>
      <c r="AA118" s="329" t="n">
        <f aca="false" t="array" ref="AA118:AA118">IF(AND(AA$2&lt;&gt;0,TblTech[[#This Row],[Hour]:[Hour]]&gt;=AA$2),1,0)</f>
        <v>0</v>
      </c>
      <c r="AB118" s="329" t="n">
        <f aca="false" t="array" ref="AB118:AB118">IF(AND(AB$2&lt;&gt;0,TblTech[[#This Row],[Hour]:[Hour]]&gt;=AB$2),1,0)</f>
        <v>0</v>
      </c>
      <c r="AC118" s="329" t="n">
        <f aca="false" t="array" ref="AC118:AC118">IF(AND(AC$2&lt;&gt;0,TblTech[[#This Row],[Hour]:[Hour]]&gt;=AC$2),1,0)</f>
        <v>0</v>
      </c>
      <c r="AD118" s="329" t="n">
        <f aca="false" t="array" ref="AD118:AD118">IF(AND(AD$2&lt;&gt;0,TblTech[[#This Row],[Hour]:[Hour]]&gt;=AD$2),1,0)</f>
        <v>0</v>
      </c>
      <c r="AE118" s="329" t="n">
        <f aca="false" t="array" ref="AE118:AE118">IF(AND(AE$2&lt;&gt;0,TblTech[[#This Row],[Hour]:[Hour]]&gt;=AE$2),1,0)</f>
        <v>0</v>
      </c>
      <c r="AF118" s="329" t="n">
        <f aca="false" t="array" ref="AF118:AF118">IF(AND(AF$2&lt;&gt;0,TblTech[[#This Row],[Hour]:[Hour]]&gt;=AF$2),1,0)</f>
        <v>0</v>
      </c>
      <c r="AG118" s="329" t="n">
        <f aca="false" t="array" ref="AG118:AG118">IF(AND(AG$2&lt;&gt;0,TblTech[[#This Row],[Hour]:[Hour]]&gt;=AG$2),1,0)</f>
        <v>0</v>
      </c>
      <c r="AH118" s="329" t="n">
        <f aca="false" t="array" ref="AH118:AH118">IF(AND(AH$2&lt;&gt;0,TblTech[[#This Row],[Hour]:[Hour]]&gt;=AH$2),1,0)</f>
        <v>0</v>
      </c>
      <c r="AI118" s="329" t="n">
        <f aca="false" t="array" ref="AI118:AI118">IF(AND(AI$2&lt;&gt;0,TblTech[[#This Row],[Hour]:[Hour]]&gt;=AI$2),1,0)</f>
        <v>0</v>
      </c>
      <c r="AJ118" s="329" t="n">
        <f aca="false" t="array" ref="AJ118:AJ118">IF(AND(AJ$2&lt;&gt;0,TblTech[[#This Row],[Hour]:[Hour]]&gt;=AJ$2),1,0)</f>
        <v>0</v>
      </c>
      <c r="AK118" s="329" t="n">
        <f aca="false" t="array" ref="AK118:AK118">IF(AND(AK$2&lt;&gt;0,TblTech[[#This Row],[Hour]:[Hour]]&gt;=AK$2),1,0)</f>
        <v>0</v>
      </c>
      <c r="AL118" s="329" t="n">
        <f aca="false" t="array" ref="AL118:AL118">IF(AND(AL$2&lt;&gt;0,TblTech[[#This Row],[Hour]:[Hour]]&gt;=AL$2),1,0)</f>
        <v>0</v>
      </c>
      <c r="AM118" s="329" t="n">
        <f aca="false" t="array" ref="AM118:AM118">IF(AND(AM$2&lt;&gt;0,TblTech[[#This Row],[Hour]:[Hour]]&gt;=AM$2),1,0)</f>
        <v>0</v>
      </c>
      <c r="AN118" s="329" t="n">
        <f aca="false" t="array" ref="AN118:AN118">IF(AND(AN$2&lt;&gt;0,TblTech[[#This Row],[Hour]:[Hour]]&gt;=AN$2),1,0)</f>
        <v>0</v>
      </c>
      <c r="AO118" s="329" t="n">
        <f aca="false" t="array" ref="AO118:AO118">IF(AND(AO$2&lt;&gt;0,TblTech[[#This Row],[Hour]:[Hour]]&gt;=AO$2),1,0)</f>
        <v>0</v>
      </c>
      <c r="AP118" s="329" t="n">
        <f aca="false" t="array" ref="AP118:AP118">IF(AND(AP$2&lt;&gt;0,TblTech[[#This Row],[Hour]:[Hour]]&gt;=AP$2),1,0)</f>
        <v>0</v>
      </c>
      <c r="AQ118" s="329" t="n">
        <f aca="false" t="array" ref="AQ118:AQ118">IF(AND(AQ$2&lt;&gt;0,TblTech[[#This Row],[Hour]:[Hour]]&gt;=AQ$2),1,0)</f>
        <v>0</v>
      </c>
      <c r="AR118" s="329" t="n">
        <f aca="false" t="array" ref="AR118:AR118">IF(AND(AR$2&lt;&gt;0,TblTech[[#This Row],[Hour]:[Hour]]&gt;=AR$2),1,0)</f>
        <v>0</v>
      </c>
      <c r="AS118" s="329" t="n">
        <f aca="false" t="array" ref="AS118:AS118">IF(AND(AS$2&lt;&gt;0,TblTech[[#This Row],[Hour]:[Hour]]&gt;=AS$2),1,0)</f>
        <v>0</v>
      </c>
      <c r="AT118" s="329" t="n">
        <f aca="false" t="array" ref="AT118:AT118">IF(AND(AT$2&lt;&gt;0,TblTech[[#This Row],[Hour]:[Hour]]&gt;=AT$2),1,0)</f>
        <v>0</v>
      </c>
      <c r="AU118" s="329" t="n">
        <f aca="false" t="array" ref="AU118:AU118">IF(AND(AU$2&lt;&gt;0,TblTech[[#This Row],[Hour]:[Hour]]&gt;=AU$2),1,0)</f>
        <v>0</v>
      </c>
      <c r="AV118" s="329" t="n">
        <f aca="false" t="array" ref="AV118:AV118">IF(AND(AV$2&lt;&gt;0,TblTech[[#This Row],[Hour]:[Hour]]&gt;=AV$2),1,0)</f>
        <v>0</v>
      </c>
      <c r="AW118" s="329" t="n">
        <f aca="false" t="array" ref="AW118:AW118">IF(AND(AW$2&lt;&gt;0,TblTech[[#This Row],[Hour]:[Hour]]&gt;=AW$2),1,0)</f>
        <v>0</v>
      </c>
      <c r="AX118" s="329" t="n">
        <f aca="false" t="array" ref="AX118:AX118">IF(AND(AX$2&lt;&gt;0,TblTech[[#This Row],[Hour]:[Hour]]&gt;=AX$2),1,0)</f>
        <v>0</v>
      </c>
      <c r="AY118" s="329" t="n">
        <f aca="false" t="array" ref="AY118:AY118">IF(AND(AY$2&lt;&gt;0,TblTech[[#This Row],[Hour]:[Hour]]&gt;=AY$2),1,0)</f>
        <v>0</v>
      </c>
      <c r="AZ118" s="329" t="n">
        <f aca="false" t="array" ref="AZ118:AZ118">IF(AND(AZ$2&lt;&gt;0,TblTech[[#This Row],[Hour]:[Hour]]&gt;=AZ$2),1,0)</f>
        <v>0</v>
      </c>
      <c r="BA118" s="329" t="n">
        <f aca="false" t="array" ref="BA118:BA118">IF(AND(BA$2&lt;&gt;0,TblTech[[#This Row],[Hour]:[Hour]]&gt;=BA$2),1,0)</f>
        <v>0</v>
      </c>
      <c r="BB118" s="329" t="n">
        <f aca="false" t="array" ref="BB118:BB118">IF(AND(BB$2&lt;&gt;0,TblTech[[#This Row],[Hour]:[Hour]]&gt;=BB$2),1,0)</f>
        <v>0</v>
      </c>
      <c r="BC118" s="329" t="n">
        <f aca="false" t="array" ref="BC118:BC118">IF(AND(BC$2&lt;&gt;0,TblTech[[#This Row],[Hour]:[Hour]]&gt;=BC$2),1,0)</f>
        <v>0</v>
      </c>
      <c r="BD118" s="329" t="n">
        <f aca="false" t="array" ref="BD118:BD118">IF(AND(BD$2&lt;&gt;0,TblTech[[#This Row],[Hour]:[Hour]]&gt;=BD$2),1,0)</f>
        <v>0</v>
      </c>
      <c r="BE118" s="329" t="n">
        <f aca="false" t="array" ref="BE118:BE118">IF(AND(BE$2&lt;&gt;0,TblTech[[#This Row],[Hour]:[Hour]]&gt;=BE$2),1,0)</f>
        <v>0</v>
      </c>
      <c r="BF118" s="329" t="n">
        <f aca="false" t="array" ref="BF118:BF118">IF(AND(BF$2&lt;&gt;0,TblTech[[#This Row],[Hour]:[Hour]]&gt;=BF$2),1,0)</f>
        <v>0</v>
      </c>
      <c r="BG118" s="329" t="n">
        <f aca="false" t="array" ref="BG118:BG118">IF(AND(BG$2&lt;&gt;0,TblTech[[#This Row],[Hour]:[Hour]]&gt;=BG$2),1,0)</f>
        <v>0</v>
      </c>
      <c r="BH118" s="329" t="n">
        <f aca="false" t="array" ref="BH118:BH118">IF(AND(BH$2&lt;&gt;0,TblTech[[#This Row],[Hour]:[Hour]]&gt;=BH$2),1,0)</f>
        <v>0</v>
      </c>
      <c r="BI118" s="329" t="n">
        <f aca="false" t="array" ref="BI118:BI118">IF(AND(BI$2&lt;&gt;0,TblTech[[#This Row],[Hour]:[Hour]]&gt;=BI$2),1,0)</f>
        <v>0</v>
      </c>
      <c r="BJ118" s="329" t="n">
        <f aca="false" t="array" ref="BJ118:BJ118">IF(AND(BJ$2&lt;&gt;0,TblTech[[#This Row],[Hour]:[Hour]]&gt;=BJ$2),1,0)</f>
        <v>0</v>
      </c>
      <c r="BK118" s="329" t="n">
        <f aca="false" t="array" ref="BK118:BK118">IF(AND(BK$2&lt;&gt;0,TblTech[[#This Row],[Hour]:[Hour]]&gt;=BK$2),1,0)</f>
        <v>0</v>
      </c>
      <c r="BL118" s="329" t="n">
        <f aca="false" t="array" ref="BL118:BL118">IF(AND(BL$2&lt;&gt;0,TblTech[[#This Row],[Hour]:[Hour]]&gt;=BL$2),1,0)</f>
        <v>0</v>
      </c>
      <c r="BM118" s="329" t="n">
        <f aca="false" t="array" ref="BM118:BM118">IF(AND(BM$2&lt;&gt;0,TblTech[[#This Row],[Hour]:[Hour]]&gt;=BM$2),1,0)</f>
        <v>0</v>
      </c>
      <c r="BN118" s="329" t="n">
        <f aca="false" t="array" ref="BN118:BN118">IF(AND(BN$2&lt;&gt;0,TblTech[[#This Row],[Hour]:[Hour]]&gt;=BN$2),1,0)</f>
        <v>0</v>
      </c>
      <c r="BO118" s="329" t="n">
        <f aca="false" t="array" ref="BO118:BO118">IF(AND(BO$2&lt;&gt;0,TblTech[[#This Row],[Hour]:[Hour]]&gt;=BO$2),1,0)</f>
        <v>0</v>
      </c>
      <c r="BP118" s="329" t="n">
        <f aca="false" t="array" ref="BP118:BP118">IF(AND(BP$2&lt;&gt;0,TblTech[[#This Row],[Hour]:[Hour]]&gt;=BP$2),1,0)</f>
        <v>0</v>
      </c>
      <c r="BQ118" s="329" t="n">
        <f aca="false" t="array" ref="BQ118:BQ118">IF(AND(BQ$2&lt;&gt;0,TblTech[[#This Row],[Hour]:[Hour]]&gt;=BQ$2),1,0)</f>
        <v>0</v>
      </c>
      <c r="BR118" s="329" t="n">
        <f aca="false" t="array" ref="BR118:BR118">IF(AND(BR$2&lt;&gt;0,TblTech[[#This Row],[Hour]:[Hour]]&gt;=BR$2),1,0)</f>
        <v>0</v>
      </c>
      <c r="BS118" s="329" t="n">
        <f aca="false" t="array" ref="BS118:BS118">IF(AND(BS$2&lt;&gt;0,TblTech[[#This Row],[Hour]:[Hour]]&gt;=BS$2),1,0)</f>
        <v>0</v>
      </c>
      <c r="BT118" s="329" t="n">
        <f aca="false" t="array" ref="BT118:BT118">IF(AND(BT$2&lt;&gt;0,TblTech[[#This Row],[Hour]:[Hour]]&gt;=BT$2),1,0)</f>
        <v>0</v>
      </c>
      <c r="BU118" s="329" t="n">
        <f aca="false" t="array" ref="BU118:BU118">IF(AND(BU$2&lt;&gt;0,TblTech[[#This Row],[Hour]:[Hour]]&gt;=BU$2),1,0)</f>
        <v>0</v>
      </c>
      <c r="BV118" s="329" t="n">
        <f aca="false" t="array" ref="BV118:BV118">IF(AND(BV$2&lt;&gt;0,TblTech[[#This Row],[Hour]:[Hour]]&gt;=BV$2),1,0)</f>
        <v>0</v>
      </c>
      <c r="BW118" s="329" t="n">
        <f aca="false" t="array" ref="BW118:BW118">IF(AND(BW$2&lt;&gt;0,TblTech[[#This Row],[Hour]:[Hour]]&gt;=BW$2),1,0)</f>
        <v>0</v>
      </c>
      <c r="BX118" s="329" t="n">
        <f aca="false" t="array" ref="BX118:BX118">IF(AND(BX$2&lt;&gt;0,TblTech[[#This Row],[Hour]:[Hour]]&gt;=BX$2),1,0)</f>
        <v>0</v>
      </c>
      <c r="BY118" s="329" t="n">
        <f aca="false" t="array" ref="BY118:BY118">IF(AND(BY$2&lt;&gt;0,TblTech[[#This Row],[Hour]:[Hour]]&gt;=BY$2),1,0)</f>
        <v>0</v>
      </c>
      <c r="BZ118" s="329" t="n">
        <f aca="false" t="array" ref="BZ118:BZ118">IF(AND(BZ$2&lt;&gt;0,TblTech[[#This Row],[Hour]:[Hour]]&gt;=BZ$2),1,0)</f>
        <v>0</v>
      </c>
      <c r="CA118" s="330" t="n">
        <f aca="false">IFERROR(INDEX($H$4:$H$79,MATCH(INDEX(TblTech[[#Headers],[1-1]:[11-1]],1,MATCH(TblTech[[#This Row],[Hour]],$M$2:$BZ$2,0)),$G$4:$G$79,0)),)</f>
        <v>0</v>
      </c>
    </row>
    <row r="119" customFormat="false" ht="12.75" hidden="false" customHeight="false" outlineLevel="0" collapsed="false">
      <c r="A119" s="321" t="n">
        <f aca="false">TblRezone[[#This Row],[Hour]]</f>
        <v>116</v>
      </c>
      <c r="B119" s="322" t="n">
        <f aca="false">TblExplore[[#This Row],[Land-DB]]</f>
        <v>700</v>
      </c>
      <c r="C119" s="323" t="n">
        <f aca="false">TblProd[[#This Row],[Techpoints]]</f>
        <v>1400</v>
      </c>
      <c r="D119" s="323" t="n">
        <f aca="false">TblProd[[#This Row],[Required]]</f>
        <v>3750</v>
      </c>
      <c r="E119" s="333"/>
      <c r="F119" s="334"/>
      <c r="G119" s="326"/>
      <c r="H119" s="327"/>
      <c r="I119" s="327"/>
      <c r="J119" s="327"/>
      <c r="K119" s="68" t="n">
        <f aca="false">IF(TblTech[[#This Row],[Sum of tech]]&lt;&gt;OFFSET(TblTech[[#This Row],[Sum of tech]],-1,0),1,0)</f>
        <v>0</v>
      </c>
      <c r="L119" s="328" t="n">
        <f aca="false">COUNTIF(TblTech[[#This Row],[1-1]:[11-1]],1)</f>
        <v>0</v>
      </c>
      <c r="M119" s="329" t="n">
        <f aca="false" t="array" ref="M119:M119">IF(AND(M$2&lt;&gt;0,TblTech[[#This Row],[Hour]:[Hour]]&gt;=M$2),1,0)</f>
        <v>0</v>
      </c>
      <c r="N119" s="329" t="n">
        <f aca="false" t="array" ref="N119:N119">IF(AND(N$2&lt;&gt;0,TblTech[[#This Row],[Hour]:[Hour]]&gt;=N$2),1,0)</f>
        <v>0</v>
      </c>
      <c r="O119" s="329" t="n">
        <f aca="false" t="array" ref="O119:O119">IF(AND(O$2&lt;&gt;0,TblTech[[#This Row],[Hour]:[Hour]]&gt;=O$2),1,0)</f>
        <v>0</v>
      </c>
      <c r="P119" s="329" t="n">
        <f aca="false" t="array" ref="P119:P119">IF(AND(P$2&lt;&gt;0,TblTech[[#This Row],[Hour]:[Hour]]&gt;=P$2),1,0)</f>
        <v>0</v>
      </c>
      <c r="Q119" s="329" t="n">
        <f aca="false" t="array" ref="Q119:Q119">IF(AND(Q$2&lt;&gt;0,TblTech[[#This Row],[Hour]:[Hour]]&gt;=Q$2),1,0)</f>
        <v>0</v>
      </c>
      <c r="R119" s="329" t="n">
        <f aca="false" t="array" ref="R119:R119">IF(AND(R$2&lt;&gt;0,TblTech[[#This Row],[Hour]:[Hour]]&gt;=R$2),1,0)</f>
        <v>0</v>
      </c>
      <c r="S119" s="329" t="n">
        <f aca="false" t="array" ref="S119:S119">IF(AND(S$2&lt;&gt;0,TblTech[[#This Row],[Hour]:[Hour]]&gt;=S$2),1,0)</f>
        <v>0</v>
      </c>
      <c r="T119" s="329" t="n">
        <f aca="false" t="array" ref="T119:T119">IF(AND(T$2&lt;&gt;0,TblTech[[#This Row],[Hour]:[Hour]]&gt;=T$2),1,0)</f>
        <v>0</v>
      </c>
      <c r="U119" s="329" t="n">
        <f aca="false" t="array" ref="U119:U119">IF(AND(U$2&lt;&gt;0,TblTech[[#This Row],[Hour]:[Hour]]&gt;=U$2),1,0)</f>
        <v>0</v>
      </c>
      <c r="V119" s="329" t="n">
        <f aca="false" t="array" ref="V119:V119">IF(AND(V$2&lt;&gt;0,TblTech[[#This Row],[Hour]:[Hour]]&gt;=V$2),1,0)</f>
        <v>0</v>
      </c>
      <c r="W119" s="329" t="n">
        <f aca="false" t="array" ref="W119:W119">IF(AND(W$2&lt;&gt;0,TblTech[[#This Row],[Hour]:[Hour]]&gt;=W$2),1,0)</f>
        <v>0</v>
      </c>
      <c r="X119" s="329" t="n">
        <f aca="false" t="array" ref="X119:X119">IF(AND(X$2&lt;&gt;0,TblTech[[#This Row],[Hour]:[Hour]]&gt;=X$2),1,0)</f>
        <v>0</v>
      </c>
      <c r="Y119" s="329" t="n">
        <f aca="false" t="array" ref="Y119:Y119">IF(AND(Y$2&lt;&gt;0,TblTech[[#This Row],[Hour]:[Hour]]&gt;=Y$2),1,0)</f>
        <v>0</v>
      </c>
      <c r="Z119" s="329" t="n">
        <f aca="false" t="array" ref="Z119:Z119">IF(AND(Z$2&lt;&gt;0,TblTech[[#This Row],[Hour]:[Hour]]&gt;=Z$2),1,0)</f>
        <v>0</v>
      </c>
      <c r="AA119" s="329" t="n">
        <f aca="false" t="array" ref="AA119:AA119">IF(AND(AA$2&lt;&gt;0,TblTech[[#This Row],[Hour]:[Hour]]&gt;=AA$2),1,0)</f>
        <v>0</v>
      </c>
      <c r="AB119" s="329" t="n">
        <f aca="false" t="array" ref="AB119:AB119">IF(AND(AB$2&lt;&gt;0,TblTech[[#This Row],[Hour]:[Hour]]&gt;=AB$2),1,0)</f>
        <v>0</v>
      </c>
      <c r="AC119" s="329" t="n">
        <f aca="false" t="array" ref="AC119:AC119">IF(AND(AC$2&lt;&gt;0,TblTech[[#This Row],[Hour]:[Hour]]&gt;=AC$2),1,0)</f>
        <v>0</v>
      </c>
      <c r="AD119" s="329" t="n">
        <f aca="false" t="array" ref="AD119:AD119">IF(AND(AD$2&lt;&gt;0,TblTech[[#This Row],[Hour]:[Hour]]&gt;=AD$2),1,0)</f>
        <v>0</v>
      </c>
      <c r="AE119" s="329" t="n">
        <f aca="false" t="array" ref="AE119:AE119">IF(AND(AE$2&lt;&gt;0,TblTech[[#This Row],[Hour]:[Hour]]&gt;=AE$2),1,0)</f>
        <v>0</v>
      </c>
      <c r="AF119" s="329" t="n">
        <f aca="false" t="array" ref="AF119:AF119">IF(AND(AF$2&lt;&gt;0,TblTech[[#This Row],[Hour]:[Hour]]&gt;=AF$2),1,0)</f>
        <v>0</v>
      </c>
      <c r="AG119" s="329" t="n">
        <f aca="false" t="array" ref="AG119:AG119">IF(AND(AG$2&lt;&gt;0,TblTech[[#This Row],[Hour]:[Hour]]&gt;=AG$2),1,0)</f>
        <v>0</v>
      </c>
      <c r="AH119" s="329" t="n">
        <f aca="false" t="array" ref="AH119:AH119">IF(AND(AH$2&lt;&gt;0,TblTech[[#This Row],[Hour]:[Hour]]&gt;=AH$2),1,0)</f>
        <v>0</v>
      </c>
      <c r="AI119" s="329" t="n">
        <f aca="false" t="array" ref="AI119:AI119">IF(AND(AI$2&lt;&gt;0,TblTech[[#This Row],[Hour]:[Hour]]&gt;=AI$2),1,0)</f>
        <v>0</v>
      </c>
      <c r="AJ119" s="329" t="n">
        <f aca="false" t="array" ref="AJ119:AJ119">IF(AND(AJ$2&lt;&gt;0,TblTech[[#This Row],[Hour]:[Hour]]&gt;=AJ$2),1,0)</f>
        <v>0</v>
      </c>
      <c r="AK119" s="329" t="n">
        <f aca="false" t="array" ref="AK119:AK119">IF(AND(AK$2&lt;&gt;0,TblTech[[#This Row],[Hour]:[Hour]]&gt;=AK$2),1,0)</f>
        <v>0</v>
      </c>
      <c r="AL119" s="329" t="n">
        <f aca="false" t="array" ref="AL119:AL119">IF(AND(AL$2&lt;&gt;0,TblTech[[#This Row],[Hour]:[Hour]]&gt;=AL$2),1,0)</f>
        <v>0</v>
      </c>
      <c r="AM119" s="329" t="n">
        <f aca="false" t="array" ref="AM119:AM119">IF(AND(AM$2&lt;&gt;0,TblTech[[#This Row],[Hour]:[Hour]]&gt;=AM$2),1,0)</f>
        <v>0</v>
      </c>
      <c r="AN119" s="329" t="n">
        <f aca="false" t="array" ref="AN119:AN119">IF(AND(AN$2&lt;&gt;0,TblTech[[#This Row],[Hour]:[Hour]]&gt;=AN$2),1,0)</f>
        <v>0</v>
      </c>
      <c r="AO119" s="329" t="n">
        <f aca="false" t="array" ref="AO119:AO119">IF(AND(AO$2&lt;&gt;0,TblTech[[#This Row],[Hour]:[Hour]]&gt;=AO$2),1,0)</f>
        <v>0</v>
      </c>
      <c r="AP119" s="329" t="n">
        <f aca="false" t="array" ref="AP119:AP119">IF(AND(AP$2&lt;&gt;0,TblTech[[#This Row],[Hour]:[Hour]]&gt;=AP$2),1,0)</f>
        <v>0</v>
      </c>
      <c r="AQ119" s="329" t="n">
        <f aca="false" t="array" ref="AQ119:AQ119">IF(AND(AQ$2&lt;&gt;0,TblTech[[#This Row],[Hour]:[Hour]]&gt;=AQ$2),1,0)</f>
        <v>0</v>
      </c>
      <c r="AR119" s="329" t="n">
        <f aca="false" t="array" ref="AR119:AR119">IF(AND(AR$2&lt;&gt;0,TblTech[[#This Row],[Hour]:[Hour]]&gt;=AR$2),1,0)</f>
        <v>0</v>
      </c>
      <c r="AS119" s="329" t="n">
        <f aca="false" t="array" ref="AS119:AS119">IF(AND(AS$2&lt;&gt;0,TblTech[[#This Row],[Hour]:[Hour]]&gt;=AS$2),1,0)</f>
        <v>0</v>
      </c>
      <c r="AT119" s="329" t="n">
        <f aca="false" t="array" ref="AT119:AT119">IF(AND(AT$2&lt;&gt;0,TblTech[[#This Row],[Hour]:[Hour]]&gt;=AT$2),1,0)</f>
        <v>0</v>
      </c>
      <c r="AU119" s="329" t="n">
        <f aca="false" t="array" ref="AU119:AU119">IF(AND(AU$2&lt;&gt;0,TblTech[[#This Row],[Hour]:[Hour]]&gt;=AU$2),1,0)</f>
        <v>0</v>
      </c>
      <c r="AV119" s="329" t="n">
        <f aca="false" t="array" ref="AV119:AV119">IF(AND(AV$2&lt;&gt;0,TblTech[[#This Row],[Hour]:[Hour]]&gt;=AV$2),1,0)</f>
        <v>0</v>
      </c>
      <c r="AW119" s="329" t="n">
        <f aca="false" t="array" ref="AW119:AW119">IF(AND(AW$2&lt;&gt;0,TblTech[[#This Row],[Hour]:[Hour]]&gt;=AW$2),1,0)</f>
        <v>0</v>
      </c>
      <c r="AX119" s="329" t="n">
        <f aca="false" t="array" ref="AX119:AX119">IF(AND(AX$2&lt;&gt;0,TblTech[[#This Row],[Hour]:[Hour]]&gt;=AX$2),1,0)</f>
        <v>0</v>
      </c>
      <c r="AY119" s="329" t="n">
        <f aca="false" t="array" ref="AY119:AY119">IF(AND(AY$2&lt;&gt;0,TblTech[[#This Row],[Hour]:[Hour]]&gt;=AY$2),1,0)</f>
        <v>0</v>
      </c>
      <c r="AZ119" s="329" t="n">
        <f aca="false" t="array" ref="AZ119:AZ119">IF(AND(AZ$2&lt;&gt;0,TblTech[[#This Row],[Hour]:[Hour]]&gt;=AZ$2),1,0)</f>
        <v>0</v>
      </c>
      <c r="BA119" s="329" t="n">
        <f aca="false" t="array" ref="BA119:BA119">IF(AND(BA$2&lt;&gt;0,TblTech[[#This Row],[Hour]:[Hour]]&gt;=BA$2),1,0)</f>
        <v>0</v>
      </c>
      <c r="BB119" s="329" t="n">
        <f aca="false" t="array" ref="BB119:BB119">IF(AND(BB$2&lt;&gt;0,TblTech[[#This Row],[Hour]:[Hour]]&gt;=BB$2),1,0)</f>
        <v>0</v>
      </c>
      <c r="BC119" s="329" t="n">
        <f aca="false" t="array" ref="BC119:BC119">IF(AND(BC$2&lt;&gt;0,TblTech[[#This Row],[Hour]:[Hour]]&gt;=BC$2),1,0)</f>
        <v>0</v>
      </c>
      <c r="BD119" s="329" t="n">
        <f aca="false" t="array" ref="BD119:BD119">IF(AND(BD$2&lt;&gt;0,TblTech[[#This Row],[Hour]:[Hour]]&gt;=BD$2),1,0)</f>
        <v>0</v>
      </c>
      <c r="BE119" s="329" t="n">
        <f aca="false" t="array" ref="BE119:BE119">IF(AND(BE$2&lt;&gt;0,TblTech[[#This Row],[Hour]:[Hour]]&gt;=BE$2),1,0)</f>
        <v>0</v>
      </c>
      <c r="BF119" s="329" t="n">
        <f aca="false" t="array" ref="BF119:BF119">IF(AND(BF$2&lt;&gt;0,TblTech[[#This Row],[Hour]:[Hour]]&gt;=BF$2),1,0)</f>
        <v>0</v>
      </c>
      <c r="BG119" s="329" t="n">
        <f aca="false" t="array" ref="BG119:BG119">IF(AND(BG$2&lt;&gt;0,TblTech[[#This Row],[Hour]:[Hour]]&gt;=BG$2),1,0)</f>
        <v>0</v>
      </c>
      <c r="BH119" s="329" t="n">
        <f aca="false" t="array" ref="BH119:BH119">IF(AND(BH$2&lt;&gt;0,TblTech[[#This Row],[Hour]:[Hour]]&gt;=BH$2),1,0)</f>
        <v>0</v>
      </c>
      <c r="BI119" s="329" t="n">
        <f aca="false" t="array" ref="BI119:BI119">IF(AND(BI$2&lt;&gt;0,TblTech[[#This Row],[Hour]:[Hour]]&gt;=BI$2),1,0)</f>
        <v>0</v>
      </c>
      <c r="BJ119" s="329" t="n">
        <f aca="false" t="array" ref="BJ119:BJ119">IF(AND(BJ$2&lt;&gt;0,TblTech[[#This Row],[Hour]:[Hour]]&gt;=BJ$2),1,0)</f>
        <v>0</v>
      </c>
      <c r="BK119" s="329" t="n">
        <f aca="false" t="array" ref="BK119:BK119">IF(AND(BK$2&lt;&gt;0,TblTech[[#This Row],[Hour]:[Hour]]&gt;=BK$2),1,0)</f>
        <v>0</v>
      </c>
      <c r="BL119" s="329" t="n">
        <f aca="false" t="array" ref="BL119:BL119">IF(AND(BL$2&lt;&gt;0,TblTech[[#This Row],[Hour]:[Hour]]&gt;=BL$2),1,0)</f>
        <v>0</v>
      </c>
      <c r="BM119" s="329" t="n">
        <f aca="false" t="array" ref="BM119:BM119">IF(AND(BM$2&lt;&gt;0,TblTech[[#This Row],[Hour]:[Hour]]&gt;=BM$2),1,0)</f>
        <v>0</v>
      </c>
      <c r="BN119" s="329" t="n">
        <f aca="false" t="array" ref="BN119:BN119">IF(AND(BN$2&lt;&gt;0,TblTech[[#This Row],[Hour]:[Hour]]&gt;=BN$2),1,0)</f>
        <v>0</v>
      </c>
      <c r="BO119" s="329" t="n">
        <f aca="false" t="array" ref="BO119:BO119">IF(AND(BO$2&lt;&gt;0,TblTech[[#This Row],[Hour]:[Hour]]&gt;=BO$2),1,0)</f>
        <v>0</v>
      </c>
      <c r="BP119" s="329" t="n">
        <f aca="false" t="array" ref="BP119:BP119">IF(AND(BP$2&lt;&gt;0,TblTech[[#This Row],[Hour]:[Hour]]&gt;=BP$2),1,0)</f>
        <v>0</v>
      </c>
      <c r="BQ119" s="329" t="n">
        <f aca="false" t="array" ref="BQ119:BQ119">IF(AND(BQ$2&lt;&gt;0,TblTech[[#This Row],[Hour]:[Hour]]&gt;=BQ$2),1,0)</f>
        <v>0</v>
      </c>
      <c r="BR119" s="329" t="n">
        <f aca="false" t="array" ref="BR119:BR119">IF(AND(BR$2&lt;&gt;0,TblTech[[#This Row],[Hour]:[Hour]]&gt;=BR$2),1,0)</f>
        <v>0</v>
      </c>
      <c r="BS119" s="329" t="n">
        <f aca="false" t="array" ref="BS119:BS119">IF(AND(BS$2&lt;&gt;0,TblTech[[#This Row],[Hour]:[Hour]]&gt;=BS$2),1,0)</f>
        <v>0</v>
      </c>
      <c r="BT119" s="329" t="n">
        <f aca="false" t="array" ref="BT119:BT119">IF(AND(BT$2&lt;&gt;0,TblTech[[#This Row],[Hour]:[Hour]]&gt;=BT$2),1,0)</f>
        <v>0</v>
      </c>
      <c r="BU119" s="329" t="n">
        <f aca="false" t="array" ref="BU119:BU119">IF(AND(BU$2&lt;&gt;0,TblTech[[#This Row],[Hour]:[Hour]]&gt;=BU$2),1,0)</f>
        <v>0</v>
      </c>
      <c r="BV119" s="329" t="n">
        <f aca="false" t="array" ref="BV119:BV119">IF(AND(BV$2&lt;&gt;0,TblTech[[#This Row],[Hour]:[Hour]]&gt;=BV$2),1,0)</f>
        <v>0</v>
      </c>
      <c r="BW119" s="329" t="n">
        <f aca="false" t="array" ref="BW119:BW119">IF(AND(BW$2&lt;&gt;0,TblTech[[#This Row],[Hour]:[Hour]]&gt;=BW$2),1,0)</f>
        <v>0</v>
      </c>
      <c r="BX119" s="329" t="n">
        <f aca="false" t="array" ref="BX119:BX119">IF(AND(BX$2&lt;&gt;0,TblTech[[#This Row],[Hour]:[Hour]]&gt;=BX$2),1,0)</f>
        <v>0</v>
      </c>
      <c r="BY119" s="329" t="n">
        <f aca="false" t="array" ref="BY119:BY119">IF(AND(BY$2&lt;&gt;0,TblTech[[#This Row],[Hour]:[Hour]]&gt;=BY$2),1,0)</f>
        <v>0</v>
      </c>
      <c r="BZ119" s="329" t="n">
        <f aca="false" t="array" ref="BZ119:BZ119">IF(AND(BZ$2&lt;&gt;0,TblTech[[#This Row],[Hour]:[Hour]]&gt;=BZ$2),1,0)</f>
        <v>0</v>
      </c>
      <c r="CA119" s="330" t="n">
        <f aca="false">IFERROR(INDEX($H$4:$H$79,MATCH(INDEX(TblTech[[#Headers],[1-1]:[11-1]],1,MATCH(TblTech[[#This Row],[Hour]],$M$2:$BZ$2,0)),$G$4:$G$79,0)),)</f>
        <v>0</v>
      </c>
    </row>
    <row r="120" customFormat="false" ht="12.75" hidden="false" customHeight="false" outlineLevel="0" collapsed="false">
      <c r="A120" s="321" t="n">
        <f aca="false">TblRezone[[#This Row],[Hour]]</f>
        <v>117</v>
      </c>
      <c r="B120" s="322" t="n">
        <f aca="false">TblExplore[[#This Row],[Land-DB]]</f>
        <v>700</v>
      </c>
      <c r="C120" s="323" t="n">
        <f aca="false">TblProd[[#This Row],[Techpoints]]</f>
        <v>1400</v>
      </c>
      <c r="D120" s="323" t="n">
        <f aca="false">TblProd[[#This Row],[Required]]</f>
        <v>3750</v>
      </c>
      <c r="E120" s="333"/>
      <c r="F120" s="334"/>
      <c r="G120" s="326"/>
      <c r="H120" s="327"/>
      <c r="I120" s="327"/>
      <c r="J120" s="327"/>
      <c r="K120" s="68" t="n">
        <f aca="false">IF(TblTech[[#This Row],[Sum of tech]]&lt;&gt;OFFSET(TblTech[[#This Row],[Sum of tech]],-1,0),1,0)</f>
        <v>0</v>
      </c>
      <c r="L120" s="328" t="n">
        <f aca="false">COUNTIF(TblTech[[#This Row],[1-1]:[11-1]],1)</f>
        <v>0</v>
      </c>
      <c r="M120" s="329" t="n">
        <f aca="false" t="array" ref="M120:M120">IF(AND(M$2&lt;&gt;0,TblTech[[#This Row],[Hour]:[Hour]]&gt;=M$2),1,0)</f>
        <v>0</v>
      </c>
      <c r="N120" s="329" t="n">
        <f aca="false" t="array" ref="N120:N120">IF(AND(N$2&lt;&gt;0,TblTech[[#This Row],[Hour]:[Hour]]&gt;=N$2),1,0)</f>
        <v>0</v>
      </c>
      <c r="O120" s="329" t="n">
        <f aca="false" t="array" ref="O120:O120">IF(AND(O$2&lt;&gt;0,TblTech[[#This Row],[Hour]:[Hour]]&gt;=O$2),1,0)</f>
        <v>0</v>
      </c>
      <c r="P120" s="329" t="n">
        <f aca="false" t="array" ref="P120:P120">IF(AND(P$2&lt;&gt;0,TblTech[[#This Row],[Hour]:[Hour]]&gt;=P$2),1,0)</f>
        <v>0</v>
      </c>
      <c r="Q120" s="329" t="n">
        <f aca="false" t="array" ref="Q120:Q120">IF(AND(Q$2&lt;&gt;0,TblTech[[#This Row],[Hour]:[Hour]]&gt;=Q$2),1,0)</f>
        <v>0</v>
      </c>
      <c r="R120" s="329" t="n">
        <f aca="false" t="array" ref="R120:R120">IF(AND(R$2&lt;&gt;0,TblTech[[#This Row],[Hour]:[Hour]]&gt;=R$2),1,0)</f>
        <v>0</v>
      </c>
      <c r="S120" s="329" t="n">
        <f aca="false" t="array" ref="S120:S120">IF(AND(S$2&lt;&gt;0,TblTech[[#This Row],[Hour]:[Hour]]&gt;=S$2),1,0)</f>
        <v>0</v>
      </c>
      <c r="T120" s="329" t="n">
        <f aca="false" t="array" ref="T120:T120">IF(AND(T$2&lt;&gt;0,TblTech[[#This Row],[Hour]:[Hour]]&gt;=T$2),1,0)</f>
        <v>0</v>
      </c>
      <c r="U120" s="329" t="n">
        <f aca="false" t="array" ref="U120:U120">IF(AND(U$2&lt;&gt;0,TblTech[[#This Row],[Hour]:[Hour]]&gt;=U$2),1,0)</f>
        <v>0</v>
      </c>
      <c r="V120" s="329" t="n">
        <f aca="false" t="array" ref="V120:V120">IF(AND(V$2&lt;&gt;0,TblTech[[#This Row],[Hour]:[Hour]]&gt;=V$2),1,0)</f>
        <v>0</v>
      </c>
      <c r="W120" s="329" t="n">
        <f aca="false" t="array" ref="W120:W120">IF(AND(W$2&lt;&gt;0,TblTech[[#This Row],[Hour]:[Hour]]&gt;=W$2),1,0)</f>
        <v>0</v>
      </c>
      <c r="X120" s="329" t="n">
        <f aca="false" t="array" ref="X120:X120">IF(AND(X$2&lt;&gt;0,TblTech[[#This Row],[Hour]:[Hour]]&gt;=X$2),1,0)</f>
        <v>0</v>
      </c>
      <c r="Y120" s="329" t="n">
        <f aca="false" t="array" ref="Y120:Y120">IF(AND(Y$2&lt;&gt;0,TblTech[[#This Row],[Hour]:[Hour]]&gt;=Y$2),1,0)</f>
        <v>0</v>
      </c>
      <c r="Z120" s="329" t="n">
        <f aca="false" t="array" ref="Z120:Z120">IF(AND(Z$2&lt;&gt;0,TblTech[[#This Row],[Hour]:[Hour]]&gt;=Z$2),1,0)</f>
        <v>0</v>
      </c>
      <c r="AA120" s="329" t="n">
        <f aca="false" t="array" ref="AA120:AA120">IF(AND(AA$2&lt;&gt;0,TblTech[[#This Row],[Hour]:[Hour]]&gt;=AA$2),1,0)</f>
        <v>0</v>
      </c>
      <c r="AB120" s="329" t="n">
        <f aca="false" t="array" ref="AB120:AB120">IF(AND(AB$2&lt;&gt;0,TblTech[[#This Row],[Hour]:[Hour]]&gt;=AB$2),1,0)</f>
        <v>0</v>
      </c>
      <c r="AC120" s="329" t="n">
        <f aca="false" t="array" ref="AC120:AC120">IF(AND(AC$2&lt;&gt;0,TblTech[[#This Row],[Hour]:[Hour]]&gt;=AC$2),1,0)</f>
        <v>0</v>
      </c>
      <c r="AD120" s="329" t="n">
        <f aca="false" t="array" ref="AD120:AD120">IF(AND(AD$2&lt;&gt;0,TblTech[[#This Row],[Hour]:[Hour]]&gt;=AD$2),1,0)</f>
        <v>0</v>
      </c>
      <c r="AE120" s="329" t="n">
        <f aca="false" t="array" ref="AE120:AE120">IF(AND(AE$2&lt;&gt;0,TblTech[[#This Row],[Hour]:[Hour]]&gt;=AE$2),1,0)</f>
        <v>0</v>
      </c>
      <c r="AF120" s="329" t="n">
        <f aca="false" t="array" ref="AF120:AF120">IF(AND(AF$2&lt;&gt;0,TblTech[[#This Row],[Hour]:[Hour]]&gt;=AF$2),1,0)</f>
        <v>0</v>
      </c>
      <c r="AG120" s="329" t="n">
        <f aca="false" t="array" ref="AG120:AG120">IF(AND(AG$2&lt;&gt;0,TblTech[[#This Row],[Hour]:[Hour]]&gt;=AG$2),1,0)</f>
        <v>0</v>
      </c>
      <c r="AH120" s="329" t="n">
        <f aca="false" t="array" ref="AH120:AH120">IF(AND(AH$2&lt;&gt;0,TblTech[[#This Row],[Hour]:[Hour]]&gt;=AH$2),1,0)</f>
        <v>0</v>
      </c>
      <c r="AI120" s="329" t="n">
        <f aca="false" t="array" ref="AI120:AI120">IF(AND(AI$2&lt;&gt;0,TblTech[[#This Row],[Hour]:[Hour]]&gt;=AI$2),1,0)</f>
        <v>0</v>
      </c>
      <c r="AJ120" s="329" t="n">
        <f aca="false" t="array" ref="AJ120:AJ120">IF(AND(AJ$2&lt;&gt;0,TblTech[[#This Row],[Hour]:[Hour]]&gt;=AJ$2),1,0)</f>
        <v>0</v>
      </c>
      <c r="AK120" s="329" t="n">
        <f aca="false" t="array" ref="AK120:AK120">IF(AND(AK$2&lt;&gt;0,TblTech[[#This Row],[Hour]:[Hour]]&gt;=AK$2),1,0)</f>
        <v>0</v>
      </c>
      <c r="AL120" s="329" t="n">
        <f aca="false" t="array" ref="AL120:AL120">IF(AND(AL$2&lt;&gt;0,TblTech[[#This Row],[Hour]:[Hour]]&gt;=AL$2),1,0)</f>
        <v>0</v>
      </c>
      <c r="AM120" s="329" t="n">
        <f aca="false" t="array" ref="AM120:AM120">IF(AND(AM$2&lt;&gt;0,TblTech[[#This Row],[Hour]:[Hour]]&gt;=AM$2),1,0)</f>
        <v>0</v>
      </c>
      <c r="AN120" s="329" t="n">
        <f aca="false" t="array" ref="AN120:AN120">IF(AND(AN$2&lt;&gt;0,TblTech[[#This Row],[Hour]:[Hour]]&gt;=AN$2),1,0)</f>
        <v>0</v>
      </c>
      <c r="AO120" s="329" t="n">
        <f aca="false" t="array" ref="AO120:AO120">IF(AND(AO$2&lt;&gt;0,TblTech[[#This Row],[Hour]:[Hour]]&gt;=AO$2),1,0)</f>
        <v>0</v>
      </c>
      <c r="AP120" s="329" t="n">
        <f aca="false" t="array" ref="AP120:AP120">IF(AND(AP$2&lt;&gt;0,TblTech[[#This Row],[Hour]:[Hour]]&gt;=AP$2),1,0)</f>
        <v>0</v>
      </c>
      <c r="AQ120" s="329" t="n">
        <f aca="false" t="array" ref="AQ120:AQ120">IF(AND(AQ$2&lt;&gt;0,TblTech[[#This Row],[Hour]:[Hour]]&gt;=AQ$2),1,0)</f>
        <v>0</v>
      </c>
      <c r="AR120" s="329" t="n">
        <f aca="false" t="array" ref="AR120:AR120">IF(AND(AR$2&lt;&gt;0,TblTech[[#This Row],[Hour]:[Hour]]&gt;=AR$2),1,0)</f>
        <v>0</v>
      </c>
      <c r="AS120" s="329" t="n">
        <f aca="false" t="array" ref="AS120:AS120">IF(AND(AS$2&lt;&gt;0,TblTech[[#This Row],[Hour]:[Hour]]&gt;=AS$2),1,0)</f>
        <v>0</v>
      </c>
      <c r="AT120" s="329" t="n">
        <f aca="false" t="array" ref="AT120:AT120">IF(AND(AT$2&lt;&gt;0,TblTech[[#This Row],[Hour]:[Hour]]&gt;=AT$2),1,0)</f>
        <v>0</v>
      </c>
      <c r="AU120" s="329" t="n">
        <f aca="false" t="array" ref="AU120:AU120">IF(AND(AU$2&lt;&gt;0,TblTech[[#This Row],[Hour]:[Hour]]&gt;=AU$2),1,0)</f>
        <v>0</v>
      </c>
      <c r="AV120" s="329" t="n">
        <f aca="false" t="array" ref="AV120:AV120">IF(AND(AV$2&lt;&gt;0,TblTech[[#This Row],[Hour]:[Hour]]&gt;=AV$2),1,0)</f>
        <v>0</v>
      </c>
      <c r="AW120" s="329" t="n">
        <f aca="false" t="array" ref="AW120:AW120">IF(AND(AW$2&lt;&gt;0,TblTech[[#This Row],[Hour]:[Hour]]&gt;=AW$2),1,0)</f>
        <v>0</v>
      </c>
      <c r="AX120" s="329" t="n">
        <f aca="false" t="array" ref="AX120:AX120">IF(AND(AX$2&lt;&gt;0,TblTech[[#This Row],[Hour]:[Hour]]&gt;=AX$2),1,0)</f>
        <v>0</v>
      </c>
      <c r="AY120" s="329" t="n">
        <f aca="false" t="array" ref="AY120:AY120">IF(AND(AY$2&lt;&gt;0,TblTech[[#This Row],[Hour]:[Hour]]&gt;=AY$2),1,0)</f>
        <v>0</v>
      </c>
      <c r="AZ120" s="329" t="n">
        <f aca="false" t="array" ref="AZ120:AZ120">IF(AND(AZ$2&lt;&gt;0,TblTech[[#This Row],[Hour]:[Hour]]&gt;=AZ$2),1,0)</f>
        <v>0</v>
      </c>
      <c r="BA120" s="329" t="n">
        <f aca="false" t="array" ref="BA120:BA120">IF(AND(BA$2&lt;&gt;0,TblTech[[#This Row],[Hour]:[Hour]]&gt;=BA$2),1,0)</f>
        <v>0</v>
      </c>
      <c r="BB120" s="329" t="n">
        <f aca="false" t="array" ref="BB120:BB120">IF(AND(BB$2&lt;&gt;0,TblTech[[#This Row],[Hour]:[Hour]]&gt;=BB$2),1,0)</f>
        <v>0</v>
      </c>
      <c r="BC120" s="329" t="n">
        <f aca="false" t="array" ref="BC120:BC120">IF(AND(BC$2&lt;&gt;0,TblTech[[#This Row],[Hour]:[Hour]]&gt;=BC$2),1,0)</f>
        <v>0</v>
      </c>
      <c r="BD120" s="329" t="n">
        <f aca="false" t="array" ref="BD120:BD120">IF(AND(BD$2&lt;&gt;0,TblTech[[#This Row],[Hour]:[Hour]]&gt;=BD$2),1,0)</f>
        <v>0</v>
      </c>
      <c r="BE120" s="329" t="n">
        <f aca="false" t="array" ref="BE120:BE120">IF(AND(BE$2&lt;&gt;0,TblTech[[#This Row],[Hour]:[Hour]]&gt;=BE$2),1,0)</f>
        <v>0</v>
      </c>
      <c r="BF120" s="329" t="n">
        <f aca="false" t="array" ref="BF120:BF120">IF(AND(BF$2&lt;&gt;0,TblTech[[#This Row],[Hour]:[Hour]]&gt;=BF$2),1,0)</f>
        <v>0</v>
      </c>
      <c r="BG120" s="329" t="n">
        <f aca="false" t="array" ref="BG120:BG120">IF(AND(BG$2&lt;&gt;0,TblTech[[#This Row],[Hour]:[Hour]]&gt;=BG$2),1,0)</f>
        <v>0</v>
      </c>
      <c r="BH120" s="329" t="n">
        <f aca="false" t="array" ref="BH120:BH120">IF(AND(BH$2&lt;&gt;0,TblTech[[#This Row],[Hour]:[Hour]]&gt;=BH$2),1,0)</f>
        <v>0</v>
      </c>
      <c r="BI120" s="329" t="n">
        <f aca="false" t="array" ref="BI120:BI120">IF(AND(BI$2&lt;&gt;0,TblTech[[#This Row],[Hour]:[Hour]]&gt;=BI$2),1,0)</f>
        <v>0</v>
      </c>
      <c r="BJ120" s="329" t="n">
        <f aca="false" t="array" ref="BJ120:BJ120">IF(AND(BJ$2&lt;&gt;0,TblTech[[#This Row],[Hour]:[Hour]]&gt;=BJ$2),1,0)</f>
        <v>0</v>
      </c>
      <c r="BK120" s="329" t="n">
        <f aca="false" t="array" ref="BK120:BK120">IF(AND(BK$2&lt;&gt;0,TblTech[[#This Row],[Hour]:[Hour]]&gt;=BK$2),1,0)</f>
        <v>0</v>
      </c>
      <c r="BL120" s="329" t="n">
        <f aca="false" t="array" ref="BL120:BL120">IF(AND(BL$2&lt;&gt;0,TblTech[[#This Row],[Hour]:[Hour]]&gt;=BL$2),1,0)</f>
        <v>0</v>
      </c>
      <c r="BM120" s="329" t="n">
        <f aca="false" t="array" ref="BM120:BM120">IF(AND(BM$2&lt;&gt;0,TblTech[[#This Row],[Hour]:[Hour]]&gt;=BM$2),1,0)</f>
        <v>0</v>
      </c>
      <c r="BN120" s="329" t="n">
        <f aca="false" t="array" ref="BN120:BN120">IF(AND(BN$2&lt;&gt;0,TblTech[[#This Row],[Hour]:[Hour]]&gt;=BN$2),1,0)</f>
        <v>0</v>
      </c>
      <c r="BO120" s="329" t="n">
        <f aca="false" t="array" ref="BO120:BO120">IF(AND(BO$2&lt;&gt;0,TblTech[[#This Row],[Hour]:[Hour]]&gt;=BO$2),1,0)</f>
        <v>0</v>
      </c>
      <c r="BP120" s="329" t="n">
        <f aca="false" t="array" ref="BP120:BP120">IF(AND(BP$2&lt;&gt;0,TblTech[[#This Row],[Hour]:[Hour]]&gt;=BP$2),1,0)</f>
        <v>0</v>
      </c>
      <c r="BQ120" s="329" t="n">
        <f aca="false" t="array" ref="BQ120:BQ120">IF(AND(BQ$2&lt;&gt;0,TblTech[[#This Row],[Hour]:[Hour]]&gt;=BQ$2),1,0)</f>
        <v>0</v>
      </c>
      <c r="BR120" s="329" t="n">
        <f aca="false" t="array" ref="BR120:BR120">IF(AND(BR$2&lt;&gt;0,TblTech[[#This Row],[Hour]:[Hour]]&gt;=BR$2),1,0)</f>
        <v>0</v>
      </c>
      <c r="BS120" s="329" t="n">
        <f aca="false" t="array" ref="BS120:BS120">IF(AND(BS$2&lt;&gt;0,TblTech[[#This Row],[Hour]:[Hour]]&gt;=BS$2),1,0)</f>
        <v>0</v>
      </c>
      <c r="BT120" s="329" t="n">
        <f aca="false" t="array" ref="BT120:BT120">IF(AND(BT$2&lt;&gt;0,TblTech[[#This Row],[Hour]:[Hour]]&gt;=BT$2),1,0)</f>
        <v>0</v>
      </c>
      <c r="BU120" s="329" t="n">
        <f aca="false" t="array" ref="BU120:BU120">IF(AND(BU$2&lt;&gt;0,TblTech[[#This Row],[Hour]:[Hour]]&gt;=BU$2),1,0)</f>
        <v>0</v>
      </c>
      <c r="BV120" s="329" t="n">
        <f aca="false" t="array" ref="BV120:BV120">IF(AND(BV$2&lt;&gt;0,TblTech[[#This Row],[Hour]:[Hour]]&gt;=BV$2),1,0)</f>
        <v>0</v>
      </c>
      <c r="BW120" s="329" t="n">
        <f aca="false" t="array" ref="BW120:BW120">IF(AND(BW$2&lt;&gt;0,TblTech[[#This Row],[Hour]:[Hour]]&gt;=BW$2),1,0)</f>
        <v>0</v>
      </c>
      <c r="BX120" s="329" t="n">
        <f aca="false" t="array" ref="BX120:BX120">IF(AND(BX$2&lt;&gt;0,TblTech[[#This Row],[Hour]:[Hour]]&gt;=BX$2),1,0)</f>
        <v>0</v>
      </c>
      <c r="BY120" s="329" t="n">
        <f aca="false" t="array" ref="BY120:BY120">IF(AND(BY$2&lt;&gt;0,TblTech[[#This Row],[Hour]:[Hour]]&gt;=BY$2),1,0)</f>
        <v>0</v>
      </c>
      <c r="BZ120" s="329" t="n">
        <f aca="false" t="array" ref="BZ120:BZ120">IF(AND(BZ$2&lt;&gt;0,TblTech[[#This Row],[Hour]:[Hour]]&gt;=BZ$2),1,0)</f>
        <v>0</v>
      </c>
      <c r="CA120" s="330" t="n">
        <f aca="false">IFERROR(INDEX($H$4:$H$79,MATCH(INDEX(TblTech[[#Headers],[1-1]:[11-1]],1,MATCH(TblTech[[#This Row],[Hour]],$M$2:$BZ$2,0)),$G$4:$G$79,0)),)</f>
        <v>0</v>
      </c>
    </row>
    <row r="121" customFormat="false" ht="12.75" hidden="false" customHeight="false" outlineLevel="0" collapsed="false">
      <c r="A121" s="321" t="n">
        <f aca="false">TblRezone[[#This Row],[Hour]]</f>
        <v>118</v>
      </c>
      <c r="B121" s="322" t="n">
        <f aca="false">TblExplore[[#This Row],[Land-DB]]</f>
        <v>700</v>
      </c>
      <c r="C121" s="323" t="n">
        <f aca="false">TblProd[[#This Row],[Techpoints]]</f>
        <v>1400</v>
      </c>
      <c r="D121" s="323" t="n">
        <f aca="false">TblProd[[#This Row],[Required]]</f>
        <v>3750</v>
      </c>
      <c r="E121" s="333"/>
      <c r="F121" s="334"/>
      <c r="G121" s="326"/>
      <c r="H121" s="327"/>
      <c r="I121" s="327"/>
      <c r="J121" s="327"/>
      <c r="K121" s="68" t="n">
        <f aca="false">IF(TblTech[[#This Row],[Sum of tech]]&lt;&gt;OFFSET(TblTech[[#This Row],[Sum of tech]],-1,0),1,0)</f>
        <v>0</v>
      </c>
      <c r="L121" s="328" t="n">
        <f aca="false">COUNTIF(TblTech[[#This Row],[1-1]:[11-1]],1)</f>
        <v>0</v>
      </c>
      <c r="M121" s="329" t="n">
        <f aca="false" t="array" ref="M121:M121">IF(AND(M$2&lt;&gt;0,TblTech[[#This Row],[Hour]:[Hour]]&gt;=M$2),1,0)</f>
        <v>0</v>
      </c>
      <c r="N121" s="329" t="n">
        <f aca="false" t="array" ref="N121:N121">IF(AND(N$2&lt;&gt;0,TblTech[[#This Row],[Hour]:[Hour]]&gt;=N$2),1,0)</f>
        <v>0</v>
      </c>
      <c r="O121" s="329" t="n">
        <f aca="false" t="array" ref="O121:O121">IF(AND(O$2&lt;&gt;0,TblTech[[#This Row],[Hour]:[Hour]]&gt;=O$2),1,0)</f>
        <v>0</v>
      </c>
      <c r="P121" s="329" t="n">
        <f aca="false" t="array" ref="P121:P121">IF(AND(P$2&lt;&gt;0,TblTech[[#This Row],[Hour]:[Hour]]&gt;=P$2),1,0)</f>
        <v>0</v>
      </c>
      <c r="Q121" s="329" t="n">
        <f aca="false" t="array" ref="Q121:Q121">IF(AND(Q$2&lt;&gt;0,TblTech[[#This Row],[Hour]:[Hour]]&gt;=Q$2),1,0)</f>
        <v>0</v>
      </c>
      <c r="R121" s="329" t="n">
        <f aca="false" t="array" ref="R121:R121">IF(AND(R$2&lt;&gt;0,TblTech[[#This Row],[Hour]:[Hour]]&gt;=R$2),1,0)</f>
        <v>0</v>
      </c>
      <c r="S121" s="329" t="n">
        <f aca="false" t="array" ref="S121:S121">IF(AND(S$2&lt;&gt;0,TblTech[[#This Row],[Hour]:[Hour]]&gt;=S$2),1,0)</f>
        <v>0</v>
      </c>
      <c r="T121" s="329" t="n">
        <f aca="false" t="array" ref="T121:T121">IF(AND(T$2&lt;&gt;0,TblTech[[#This Row],[Hour]:[Hour]]&gt;=T$2),1,0)</f>
        <v>0</v>
      </c>
      <c r="U121" s="329" t="n">
        <f aca="false" t="array" ref="U121:U121">IF(AND(U$2&lt;&gt;0,TblTech[[#This Row],[Hour]:[Hour]]&gt;=U$2),1,0)</f>
        <v>0</v>
      </c>
      <c r="V121" s="329" t="n">
        <f aca="false" t="array" ref="V121:V121">IF(AND(V$2&lt;&gt;0,TblTech[[#This Row],[Hour]:[Hour]]&gt;=V$2),1,0)</f>
        <v>0</v>
      </c>
      <c r="W121" s="329" t="n">
        <f aca="false" t="array" ref="W121:W121">IF(AND(W$2&lt;&gt;0,TblTech[[#This Row],[Hour]:[Hour]]&gt;=W$2),1,0)</f>
        <v>0</v>
      </c>
      <c r="X121" s="329" t="n">
        <f aca="false" t="array" ref="X121:X121">IF(AND(X$2&lt;&gt;0,TblTech[[#This Row],[Hour]:[Hour]]&gt;=X$2),1,0)</f>
        <v>0</v>
      </c>
      <c r="Y121" s="329" t="n">
        <f aca="false" t="array" ref="Y121:Y121">IF(AND(Y$2&lt;&gt;0,TblTech[[#This Row],[Hour]:[Hour]]&gt;=Y$2),1,0)</f>
        <v>0</v>
      </c>
      <c r="Z121" s="329" t="n">
        <f aca="false" t="array" ref="Z121:Z121">IF(AND(Z$2&lt;&gt;0,TblTech[[#This Row],[Hour]:[Hour]]&gt;=Z$2),1,0)</f>
        <v>0</v>
      </c>
      <c r="AA121" s="329" t="n">
        <f aca="false" t="array" ref="AA121:AA121">IF(AND(AA$2&lt;&gt;0,TblTech[[#This Row],[Hour]:[Hour]]&gt;=AA$2),1,0)</f>
        <v>0</v>
      </c>
      <c r="AB121" s="329" t="n">
        <f aca="false" t="array" ref="AB121:AB121">IF(AND(AB$2&lt;&gt;0,TblTech[[#This Row],[Hour]:[Hour]]&gt;=AB$2),1,0)</f>
        <v>0</v>
      </c>
      <c r="AC121" s="329" t="n">
        <f aca="false" t="array" ref="AC121:AC121">IF(AND(AC$2&lt;&gt;0,TblTech[[#This Row],[Hour]:[Hour]]&gt;=AC$2),1,0)</f>
        <v>0</v>
      </c>
      <c r="AD121" s="329" t="n">
        <f aca="false" t="array" ref="AD121:AD121">IF(AND(AD$2&lt;&gt;0,TblTech[[#This Row],[Hour]:[Hour]]&gt;=AD$2),1,0)</f>
        <v>0</v>
      </c>
      <c r="AE121" s="329" t="n">
        <f aca="false" t="array" ref="AE121:AE121">IF(AND(AE$2&lt;&gt;0,TblTech[[#This Row],[Hour]:[Hour]]&gt;=AE$2),1,0)</f>
        <v>0</v>
      </c>
      <c r="AF121" s="329" t="n">
        <f aca="false" t="array" ref="AF121:AF121">IF(AND(AF$2&lt;&gt;0,TblTech[[#This Row],[Hour]:[Hour]]&gt;=AF$2),1,0)</f>
        <v>0</v>
      </c>
      <c r="AG121" s="329" t="n">
        <f aca="false" t="array" ref="AG121:AG121">IF(AND(AG$2&lt;&gt;0,TblTech[[#This Row],[Hour]:[Hour]]&gt;=AG$2),1,0)</f>
        <v>0</v>
      </c>
      <c r="AH121" s="329" t="n">
        <f aca="false" t="array" ref="AH121:AH121">IF(AND(AH$2&lt;&gt;0,TblTech[[#This Row],[Hour]:[Hour]]&gt;=AH$2),1,0)</f>
        <v>0</v>
      </c>
      <c r="AI121" s="329" t="n">
        <f aca="false" t="array" ref="AI121:AI121">IF(AND(AI$2&lt;&gt;0,TblTech[[#This Row],[Hour]:[Hour]]&gt;=AI$2),1,0)</f>
        <v>0</v>
      </c>
      <c r="AJ121" s="329" t="n">
        <f aca="false" t="array" ref="AJ121:AJ121">IF(AND(AJ$2&lt;&gt;0,TblTech[[#This Row],[Hour]:[Hour]]&gt;=AJ$2),1,0)</f>
        <v>0</v>
      </c>
      <c r="AK121" s="329" t="n">
        <f aca="false" t="array" ref="AK121:AK121">IF(AND(AK$2&lt;&gt;0,TblTech[[#This Row],[Hour]:[Hour]]&gt;=AK$2),1,0)</f>
        <v>0</v>
      </c>
      <c r="AL121" s="329" t="n">
        <f aca="false" t="array" ref="AL121:AL121">IF(AND(AL$2&lt;&gt;0,TblTech[[#This Row],[Hour]:[Hour]]&gt;=AL$2),1,0)</f>
        <v>0</v>
      </c>
      <c r="AM121" s="329" t="n">
        <f aca="false" t="array" ref="AM121:AM121">IF(AND(AM$2&lt;&gt;0,TblTech[[#This Row],[Hour]:[Hour]]&gt;=AM$2),1,0)</f>
        <v>0</v>
      </c>
      <c r="AN121" s="329" t="n">
        <f aca="false" t="array" ref="AN121:AN121">IF(AND(AN$2&lt;&gt;0,TblTech[[#This Row],[Hour]:[Hour]]&gt;=AN$2),1,0)</f>
        <v>0</v>
      </c>
      <c r="AO121" s="329" t="n">
        <f aca="false" t="array" ref="AO121:AO121">IF(AND(AO$2&lt;&gt;0,TblTech[[#This Row],[Hour]:[Hour]]&gt;=AO$2),1,0)</f>
        <v>0</v>
      </c>
      <c r="AP121" s="329" t="n">
        <f aca="false" t="array" ref="AP121:AP121">IF(AND(AP$2&lt;&gt;0,TblTech[[#This Row],[Hour]:[Hour]]&gt;=AP$2),1,0)</f>
        <v>0</v>
      </c>
      <c r="AQ121" s="329" t="n">
        <f aca="false" t="array" ref="AQ121:AQ121">IF(AND(AQ$2&lt;&gt;0,TblTech[[#This Row],[Hour]:[Hour]]&gt;=AQ$2),1,0)</f>
        <v>0</v>
      </c>
      <c r="AR121" s="329" t="n">
        <f aca="false" t="array" ref="AR121:AR121">IF(AND(AR$2&lt;&gt;0,TblTech[[#This Row],[Hour]:[Hour]]&gt;=AR$2),1,0)</f>
        <v>0</v>
      </c>
      <c r="AS121" s="329" t="n">
        <f aca="false" t="array" ref="AS121:AS121">IF(AND(AS$2&lt;&gt;0,TblTech[[#This Row],[Hour]:[Hour]]&gt;=AS$2),1,0)</f>
        <v>0</v>
      </c>
      <c r="AT121" s="329" t="n">
        <f aca="false" t="array" ref="AT121:AT121">IF(AND(AT$2&lt;&gt;0,TblTech[[#This Row],[Hour]:[Hour]]&gt;=AT$2),1,0)</f>
        <v>0</v>
      </c>
      <c r="AU121" s="329" t="n">
        <f aca="false" t="array" ref="AU121:AU121">IF(AND(AU$2&lt;&gt;0,TblTech[[#This Row],[Hour]:[Hour]]&gt;=AU$2),1,0)</f>
        <v>0</v>
      </c>
      <c r="AV121" s="329" t="n">
        <f aca="false" t="array" ref="AV121:AV121">IF(AND(AV$2&lt;&gt;0,TblTech[[#This Row],[Hour]:[Hour]]&gt;=AV$2),1,0)</f>
        <v>0</v>
      </c>
      <c r="AW121" s="329" t="n">
        <f aca="false" t="array" ref="AW121:AW121">IF(AND(AW$2&lt;&gt;0,TblTech[[#This Row],[Hour]:[Hour]]&gt;=AW$2),1,0)</f>
        <v>0</v>
      </c>
      <c r="AX121" s="329" t="n">
        <f aca="false" t="array" ref="AX121:AX121">IF(AND(AX$2&lt;&gt;0,TblTech[[#This Row],[Hour]:[Hour]]&gt;=AX$2),1,0)</f>
        <v>0</v>
      </c>
      <c r="AY121" s="329" t="n">
        <f aca="false" t="array" ref="AY121:AY121">IF(AND(AY$2&lt;&gt;0,TblTech[[#This Row],[Hour]:[Hour]]&gt;=AY$2),1,0)</f>
        <v>0</v>
      </c>
      <c r="AZ121" s="329" t="n">
        <f aca="false" t="array" ref="AZ121:AZ121">IF(AND(AZ$2&lt;&gt;0,TblTech[[#This Row],[Hour]:[Hour]]&gt;=AZ$2),1,0)</f>
        <v>0</v>
      </c>
      <c r="BA121" s="329" t="n">
        <f aca="false" t="array" ref="BA121:BA121">IF(AND(BA$2&lt;&gt;0,TblTech[[#This Row],[Hour]:[Hour]]&gt;=BA$2),1,0)</f>
        <v>0</v>
      </c>
      <c r="BB121" s="329" t="n">
        <f aca="false" t="array" ref="BB121:BB121">IF(AND(BB$2&lt;&gt;0,TblTech[[#This Row],[Hour]:[Hour]]&gt;=BB$2),1,0)</f>
        <v>0</v>
      </c>
      <c r="BC121" s="329" t="n">
        <f aca="false" t="array" ref="BC121:BC121">IF(AND(BC$2&lt;&gt;0,TblTech[[#This Row],[Hour]:[Hour]]&gt;=BC$2),1,0)</f>
        <v>0</v>
      </c>
      <c r="BD121" s="329" t="n">
        <f aca="false" t="array" ref="BD121:BD121">IF(AND(BD$2&lt;&gt;0,TblTech[[#This Row],[Hour]:[Hour]]&gt;=BD$2),1,0)</f>
        <v>0</v>
      </c>
      <c r="BE121" s="329" t="n">
        <f aca="false" t="array" ref="BE121:BE121">IF(AND(BE$2&lt;&gt;0,TblTech[[#This Row],[Hour]:[Hour]]&gt;=BE$2),1,0)</f>
        <v>0</v>
      </c>
      <c r="BF121" s="329" t="n">
        <f aca="false" t="array" ref="BF121:BF121">IF(AND(BF$2&lt;&gt;0,TblTech[[#This Row],[Hour]:[Hour]]&gt;=BF$2),1,0)</f>
        <v>0</v>
      </c>
      <c r="BG121" s="329" t="n">
        <f aca="false" t="array" ref="BG121:BG121">IF(AND(BG$2&lt;&gt;0,TblTech[[#This Row],[Hour]:[Hour]]&gt;=BG$2),1,0)</f>
        <v>0</v>
      </c>
      <c r="BH121" s="329" t="n">
        <f aca="false" t="array" ref="BH121:BH121">IF(AND(BH$2&lt;&gt;0,TblTech[[#This Row],[Hour]:[Hour]]&gt;=BH$2),1,0)</f>
        <v>0</v>
      </c>
      <c r="BI121" s="329" t="n">
        <f aca="false" t="array" ref="BI121:BI121">IF(AND(BI$2&lt;&gt;0,TblTech[[#This Row],[Hour]:[Hour]]&gt;=BI$2),1,0)</f>
        <v>0</v>
      </c>
      <c r="BJ121" s="329" t="n">
        <f aca="false" t="array" ref="BJ121:BJ121">IF(AND(BJ$2&lt;&gt;0,TblTech[[#This Row],[Hour]:[Hour]]&gt;=BJ$2),1,0)</f>
        <v>0</v>
      </c>
      <c r="BK121" s="329" t="n">
        <f aca="false" t="array" ref="BK121:BK121">IF(AND(BK$2&lt;&gt;0,TblTech[[#This Row],[Hour]:[Hour]]&gt;=BK$2),1,0)</f>
        <v>0</v>
      </c>
      <c r="BL121" s="329" t="n">
        <f aca="false" t="array" ref="BL121:BL121">IF(AND(BL$2&lt;&gt;0,TblTech[[#This Row],[Hour]:[Hour]]&gt;=BL$2),1,0)</f>
        <v>0</v>
      </c>
      <c r="BM121" s="329" t="n">
        <f aca="false" t="array" ref="BM121:BM121">IF(AND(BM$2&lt;&gt;0,TblTech[[#This Row],[Hour]:[Hour]]&gt;=BM$2),1,0)</f>
        <v>0</v>
      </c>
      <c r="BN121" s="329" t="n">
        <f aca="false" t="array" ref="BN121:BN121">IF(AND(BN$2&lt;&gt;0,TblTech[[#This Row],[Hour]:[Hour]]&gt;=BN$2),1,0)</f>
        <v>0</v>
      </c>
      <c r="BO121" s="329" t="n">
        <f aca="false" t="array" ref="BO121:BO121">IF(AND(BO$2&lt;&gt;0,TblTech[[#This Row],[Hour]:[Hour]]&gt;=BO$2),1,0)</f>
        <v>0</v>
      </c>
      <c r="BP121" s="329" t="n">
        <f aca="false" t="array" ref="BP121:BP121">IF(AND(BP$2&lt;&gt;0,TblTech[[#This Row],[Hour]:[Hour]]&gt;=BP$2),1,0)</f>
        <v>0</v>
      </c>
      <c r="BQ121" s="329" t="n">
        <f aca="false" t="array" ref="BQ121:BQ121">IF(AND(BQ$2&lt;&gt;0,TblTech[[#This Row],[Hour]:[Hour]]&gt;=BQ$2),1,0)</f>
        <v>0</v>
      </c>
      <c r="BR121" s="329" t="n">
        <f aca="false" t="array" ref="BR121:BR121">IF(AND(BR$2&lt;&gt;0,TblTech[[#This Row],[Hour]:[Hour]]&gt;=BR$2),1,0)</f>
        <v>0</v>
      </c>
      <c r="BS121" s="329" t="n">
        <f aca="false" t="array" ref="BS121:BS121">IF(AND(BS$2&lt;&gt;0,TblTech[[#This Row],[Hour]:[Hour]]&gt;=BS$2),1,0)</f>
        <v>0</v>
      </c>
      <c r="BT121" s="329" t="n">
        <f aca="false" t="array" ref="BT121:BT121">IF(AND(BT$2&lt;&gt;0,TblTech[[#This Row],[Hour]:[Hour]]&gt;=BT$2),1,0)</f>
        <v>0</v>
      </c>
      <c r="BU121" s="329" t="n">
        <f aca="false" t="array" ref="BU121:BU121">IF(AND(BU$2&lt;&gt;0,TblTech[[#This Row],[Hour]:[Hour]]&gt;=BU$2),1,0)</f>
        <v>0</v>
      </c>
      <c r="BV121" s="329" t="n">
        <f aca="false" t="array" ref="BV121:BV121">IF(AND(BV$2&lt;&gt;0,TblTech[[#This Row],[Hour]:[Hour]]&gt;=BV$2),1,0)</f>
        <v>0</v>
      </c>
      <c r="BW121" s="329" t="n">
        <f aca="false" t="array" ref="BW121:BW121">IF(AND(BW$2&lt;&gt;0,TblTech[[#This Row],[Hour]:[Hour]]&gt;=BW$2),1,0)</f>
        <v>0</v>
      </c>
      <c r="BX121" s="329" t="n">
        <f aca="false" t="array" ref="BX121:BX121">IF(AND(BX$2&lt;&gt;0,TblTech[[#This Row],[Hour]:[Hour]]&gt;=BX$2),1,0)</f>
        <v>0</v>
      </c>
      <c r="BY121" s="329" t="n">
        <f aca="false" t="array" ref="BY121:BY121">IF(AND(BY$2&lt;&gt;0,TblTech[[#This Row],[Hour]:[Hour]]&gt;=BY$2),1,0)</f>
        <v>0</v>
      </c>
      <c r="BZ121" s="329" t="n">
        <f aca="false" t="array" ref="BZ121:BZ121">IF(AND(BZ$2&lt;&gt;0,TblTech[[#This Row],[Hour]:[Hour]]&gt;=BZ$2),1,0)</f>
        <v>0</v>
      </c>
      <c r="CA121" s="330" t="n">
        <f aca="false">IFERROR(INDEX($H$4:$H$79,MATCH(INDEX(TblTech[[#Headers],[1-1]:[11-1]],1,MATCH(TblTech[[#This Row],[Hour]],$M$2:$BZ$2,0)),$G$4:$G$79,0)),)</f>
        <v>0</v>
      </c>
    </row>
    <row r="122" customFormat="false" ht="12.75" hidden="false" customHeight="false" outlineLevel="0" collapsed="false">
      <c r="A122" s="321" t="n">
        <f aca="false">TblRezone[[#This Row],[Hour]]</f>
        <v>119</v>
      </c>
      <c r="B122" s="322" t="n">
        <f aca="false">TblExplore[[#This Row],[Land-DB]]</f>
        <v>700</v>
      </c>
      <c r="C122" s="323" t="n">
        <f aca="false">TblProd[[#This Row],[Techpoints]]</f>
        <v>1400</v>
      </c>
      <c r="D122" s="323" t="n">
        <f aca="false">TblProd[[#This Row],[Required]]</f>
        <v>3750</v>
      </c>
      <c r="E122" s="333"/>
      <c r="F122" s="334"/>
      <c r="G122" s="326"/>
      <c r="H122" s="327"/>
      <c r="I122" s="327"/>
      <c r="J122" s="327"/>
      <c r="K122" s="68" t="n">
        <f aca="false">IF(TblTech[[#This Row],[Sum of tech]]&lt;&gt;OFFSET(TblTech[[#This Row],[Sum of tech]],-1,0),1,0)</f>
        <v>0</v>
      </c>
      <c r="L122" s="328" t="n">
        <f aca="false">COUNTIF(TblTech[[#This Row],[1-1]:[11-1]],1)</f>
        <v>0</v>
      </c>
      <c r="M122" s="329" t="n">
        <f aca="false" t="array" ref="M122:M122">IF(AND(M$2&lt;&gt;0,TblTech[[#This Row],[Hour]:[Hour]]&gt;=M$2),1,0)</f>
        <v>0</v>
      </c>
      <c r="N122" s="329" t="n">
        <f aca="false" t="array" ref="N122:N122">IF(AND(N$2&lt;&gt;0,TblTech[[#This Row],[Hour]:[Hour]]&gt;=N$2),1,0)</f>
        <v>0</v>
      </c>
      <c r="O122" s="329" t="n">
        <f aca="false" t="array" ref="O122:O122">IF(AND(O$2&lt;&gt;0,TblTech[[#This Row],[Hour]:[Hour]]&gt;=O$2),1,0)</f>
        <v>0</v>
      </c>
      <c r="P122" s="329" t="n">
        <f aca="false" t="array" ref="P122:P122">IF(AND(P$2&lt;&gt;0,TblTech[[#This Row],[Hour]:[Hour]]&gt;=P$2),1,0)</f>
        <v>0</v>
      </c>
      <c r="Q122" s="329" t="n">
        <f aca="false" t="array" ref="Q122:Q122">IF(AND(Q$2&lt;&gt;0,TblTech[[#This Row],[Hour]:[Hour]]&gt;=Q$2),1,0)</f>
        <v>0</v>
      </c>
      <c r="R122" s="329" t="n">
        <f aca="false" t="array" ref="R122:R122">IF(AND(R$2&lt;&gt;0,TblTech[[#This Row],[Hour]:[Hour]]&gt;=R$2),1,0)</f>
        <v>0</v>
      </c>
      <c r="S122" s="329" t="n">
        <f aca="false" t="array" ref="S122:S122">IF(AND(S$2&lt;&gt;0,TblTech[[#This Row],[Hour]:[Hour]]&gt;=S$2),1,0)</f>
        <v>0</v>
      </c>
      <c r="T122" s="329" t="n">
        <f aca="false" t="array" ref="T122:T122">IF(AND(T$2&lt;&gt;0,TblTech[[#This Row],[Hour]:[Hour]]&gt;=T$2),1,0)</f>
        <v>0</v>
      </c>
      <c r="U122" s="329" t="n">
        <f aca="false" t="array" ref="U122:U122">IF(AND(U$2&lt;&gt;0,TblTech[[#This Row],[Hour]:[Hour]]&gt;=U$2),1,0)</f>
        <v>0</v>
      </c>
      <c r="V122" s="329" t="n">
        <f aca="false" t="array" ref="V122:V122">IF(AND(V$2&lt;&gt;0,TblTech[[#This Row],[Hour]:[Hour]]&gt;=V$2),1,0)</f>
        <v>0</v>
      </c>
      <c r="W122" s="329" t="n">
        <f aca="false" t="array" ref="W122:W122">IF(AND(W$2&lt;&gt;0,TblTech[[#This Row],[Hour]:[Hour]]&gt;=W$2),1,0)</f>
        <v>0</v>
      </c>
      <c r="X122" s="329" t="n">
        <f aca="false" t="array" ref="X122:X122">IF(AND(X$2&lt;&gt;0,TblTech[[#This Row],[Hour]:[Hour]]&gt;=X$2),1,0)</f>
        <v>0</v>
      </c>
      <c r="Y122" s="329" t="n">
        <f aca="false" t="array" ref="Y122:Y122">IF(AND(Y$2&lt;&gt;0,TblTech[[#This Row],[Hour]:[Hour]]&gt;=Y$2),1,0)</f>
        <v>0</v>
      </c>
      <c r="Z122" s="329" t="n">
        <f aca="false" t="array" ref="Z122:Z122">IF(AND(Z$2&lt;&gt;0,TblTech[[#This Row],[Hour]:[Hour]]&gt;=Z$2),1,0)</f>
        <v>0</v>
      </c>
      <c r="AA122" s="329" t="n">
        <f aca="false" t="array" ref="AA122:AA122">IF(AND(AA$2&lt;&gt;0,TblTech[[#This Row],[Hour]:[Hour]]&gt;=AA$2),1,0)</f>
        <v>0</v>
      </c>
      <c r="AB122" s="329" t="n">
        <f aca="false" t="array" ref="AB122:AB122">IF(AND(AB$2&lt;&gt;0,TblTech[[#This Row],[Hour]:[Hour]]&gt;=AB$2),1,0)</f>
        <v>0</v>
      </c>
      <c r="AC122" s="329" t="n">
        <f aca="false" t="array" ref="AC122:AC122">IF(AND(AC$2&lt;&gt;0,TblTech[[#This Row],[Hour]:[Hour]]&gt;=AC$2),1,0)</f>
        <v>0</v>
      </c>
      <c r="AD122" s="329" t="n">
        <f aca="false" t="array" ref="AD122:AD122">IF(AND(AD$2&lt;&gt;0,TblTech[[#This Row],[Hour]:[Hour]]&gt;=AD$2),1,0)</f>
        <v>0</v>
      </c>
      <c r="AE122" s="329" t="n">
        <f aca="false" t="array" ref="AE122:AE122">IF(AND(AE$2&lt;&gt;0,TblTech[[#This Row],[Hour]:[Hour]]&gt;=AE$2),1,0)</f>
        <v>0</v>
      </c>
      <c r="AF122" s="329" t="n">
        <f aca="false" t="array" ref="AF122:AF122">IF(AND(AF$2&lt;&gt;0,TblTech[[#This Row],[Hour]:[Hour]]&gt;=AF$2),1,0)</f>
        <v>0</v>
      </c>
      <c r="AG122" s="329" t="n">
        <f aca="false" t="array" ref="AG122:AG122">IF(AND(AG$2&lt;&gt;0,TblTech[[#This Row],[Hour]:[Hour]]&gt;=AG$2),1,0)</f>
        <v>0</v>
      </c>
      <c r="AH122" s="329" t="n">
        <f aca="false" t="array" ref="AH122:AH122">IF(AND(AH$2&lt;&gt;0,TblTech[[#This Row],[Hour]:[Hour]]&gt;=AH$2),1,0)</f>
        <v>0</v>
      </c>
      <c r="AI122" s="329" t="n">
        <f aca="false" t="array" ref="AI122:AI122">IF(AND(AI$2&lt;&gt;0,TblTech[[#This Row],[Hour]:[Hour]]&gt;=AI$2),1,0)</f>
        <v>0</v>
      </c>
      <c r="AJ122" s="329" t="n">
        <f aca="false" t="array" ref="AJ122:AJ122">IF(AND(AJ$2&lt;&gt;0,TblTech[[#This Row],[Hour]:[Hour]]&gt;=AJ$2),1,0)</f>
        <v>0</v>
      </c>
      <c r="AK122" s="329" t="n">
        <f aca="false" t="array" ref="AK122:AK122">IF(AND(AK$2&lt;&gt;0,TblTech[[#This Row],[Hour]:[Hour]]&gt;=AK$2),1,0)</f>
        <v>0</v>
      </c>
      <c r="AL122" s="329" t="n">
        <f aca="false" t="array" ref="AL122:AL122">IF(AND(AL$2&lt;&gt;0,TblTech[[#This Row],[Hour]:[Hour]]&gt;=AL$2),1,0)</f>
        <v>0</v>
      </c>
      <c r="AM122" s="329" t="n">
        <f aca="false" t="array" ref="AM122:AM122">IF(AND(AM$2&lt;&gt;0,TblTech[[#This Row],[Hour]:[Hour]]&gt;=AM$2),1,0)</f>
        <v>0</v>
      </c>
      <c r="AN122" s="329" t="n">
        <f aca="false" t="array" ref="AN122:AN122">IF(AND(AN$2&lt;&gt;0,TblTech[[#This Row],[Hour]:[Hour]]&gt;=AN$2),1,0)</f>
        <v>0</v>
      </c>
      <c r="AO122" s="329" t="n">
        <f aca="false" t="array" ref="AO122:AO122">IF(AND(AO$2&lt;&gt;0,TblTech[[#This Row],[Hour]:[Hour]]&gt;=AO$2),1,0)</f>
        <v>0</v>
      </c>
      <c r="AP122" s="329" t="n">
        <f aca="false" t="array" ref="AP122:AP122">IF(AND(AP$2&lt;&gt;0,TblTech[[#This Row],[Hour]:[Hour]]&gt;=AP$2),1,0)</f>
        <v>0</v>
      </c>
      <c r="AQ122" s="329" t="n">
        <f aca="false" t="array" ref="AQ122:AQ122">IF(AND(AQ$2&lt;&gt;0,TblTech[[#This Row],[Hour]:[Hour]]&gt;=AQ$2),1,0)</f>
        <v>0</v>
      </c>
      <c r="AR122" s="329" t="n">
        <f aca="false" t="array" ref="AR122:AR122">IF(AND(AR$2&lt;&gt;0,TblTech[[#This Row],[Hour]:[Hour]]&gt;=AR$2),1,0)</f>
        <v>0</v>
      </c>
      <c r="AS122" s="329" t="n">
        <f aca="false" t="array" ref="AS122:AS122">IF(AND(AS$2&lt;&gt;0,TblTech[[#This Row],[Hour]:[Hour]]&gt;=AS$2),1,0)</f>
        <v>0</v>
      </c>
      <c r="AT122" s="329" t="n">
        <f aca="false" t="array" ref="AT122:AT122">IF(AND(AT$2&lt;&gt;0,TblTech[[#This Row],[Hour]:[Hour]]&gt;=AT$2),1,0)</f>
        <v>0</v>
      </c>
      <c r="AU122" s="329" t="n">
        <f aca="false" t="array" ref="AU122:AU122">IF(AND(AU$2&lt;&gt;0,TblTech[[#This Row],[Hour]:[Hour]]&gt;=AU$2),1,0)</f>
        <v>0</v>
      </c>
      <c r="AV122" s="329" t="n">
        <f aca="false" t="array" ref="AV122:AV122">IF(AND(AV$2&lt;&gt;0,TblTech[[#This Row],[Hour]:[Hour]]&gt;=AV$2),1,0)</f>
        <v>0</v>
      </c>
      <c r="AW122" s="329" t="n">
        <f aca="false" t="array" ref="AW122:AW122">IF(AND(AW$2&lt;&gt;0,TblTech[[#This Row],[Hour]:[Hour]]&gt;=AW$2),1,0)</f>
        <v>0</v>
      </c>
      <c r="AX122" s="329" t="n">
        <f aca="false" t="array" ref="AX122:AX122">IF(AND(AX$2&lt;&gt;0,TblTech[[#This Row],[Hour]:[Hour]]&gt;=AX$2),1,0)</f>
        <v>0</v>
      </c>
      <c r="AY122" s="329" t="n">
        <f aca="false" t="array" ref="AY122:AY122">IF(AND(AY$2&lt;&gt;0,TblTech[[#This Row],[Hour]:[Hour]]&gt;=AY$2),1,0)</f>
        <v>0</v>
      </c>
      <c r="AZ122" s="329" t="n">
        <f aca="false" t="array" ref="AZ122:AZ122">IF(AND(AZ$2&lt;&gt;0,TblTech[[#This Row],[Hour]:[Hour]]&gt;=AZ$2),1,0)</f>
        <v>0</v>
      </c>
      <c r="BA122" s="329" t="n">
        <f aca="false" t="array" ref="BA122:BA122">IF(AND(BA$2&lt;&gt;0,TblTech[[#This Row],[Hour]:[Hour]]&gt;=BA$2),1,0)</f>
        <v>0</v>
      </c>
      <c r="BB122" s="329" t="n">
        <f aca="false" t="array" ref="BB122:BB122">IF(AND(BB$2&lt;&gt;0,TblTech[[#This Row],[Hour]:[Hour]]&gt;=BB$2),1,0)</f>
        <v>0</v>
      </c>
      <c r="BC122" s="329" t="n">
        <f aca="false" t="array" ref="BC122:BC122">IF(AND(BC$2&lt;&gt;0,TblTech[[#This Row],[Hour]:[Hour]]&gt;=BC$2),1,0)</f>
        <v>0</v>
      </c>
      <c r="BD122" s="329" t="n">
        <f aca="false" t="array" ref="BD122:BD122">IF(AND(BD$2&lt;&gt;0,TblTech[[#This Row],[Hour]:[Hour]]&gt;=BD$2),1,0)</f>
        <v>0</v>
      </c>
      <c r="BE122" s="329" t="n">
        <f aca="false" t="array" ref="BE122:BE122">IF(AND(BE$2&lt;&gt;0,TblTech[[#This Row],[Hour]:[Hour]]&gt;=BE$2),1,0)</f>
        <v>0</v>
      </c>
      <c r="BF122" s="329" t="n">
        <f aca="false" t="array" ref="BF122:BF122">IF(AND(BF$2&lt;&gt;0,TblTech[[#This Row],[Hour]:[Hour]]&gt;=BF$2),1,0)</f>
        <v>0</v>
      </c>
      <c r="BG122" s="329" t="n">
        <f aca="false" t="array" ref="BG122:BG122">IF(AND(BG$2&lt;&gt;0,TblTech[[#This Row],[Hour]:[Hour]]&gt;=BG$2),1,0)</f>
        <v>0</v>
      </c>
      <c r="BH122" s="329" t="n">
        <f aca="false" t="array" ref="BH122:BH122">IF(AND(BH$2&lt;&gt;0,TblTech[[#This Row],[Hour]:[Hour]]&gt;=BH$2),1,0)</f>
        <v>0</v>
      </c>
      <c r="BI122" s="329" t="n">
        <f aca="false" t="array" ref="BI122:BI122">IF(AND(BI$2&lt;&gt;0,TblTech[[#This Row],[Hour]:[Hour]]&gt;=BI$2),1,0)</f>
        <v>0</v>
      </c>
      <c r="BJ122" s="329" t="n">
        <f aca="false" t="array" ref="BJ122:BJ122">IF(AND(BJ$2&lt;&gt;0,TblTech[[#This Row],[Hour]:[Hour]]&gt;=BJ$2),1,0)</f>
        <v>0</v>
      </c>
      <c r="BK122" s="329" t="n">
        <f aca="false" t="array" ref="BK122:BK122">IF(AND(BK$2&lt;&gt;0,TblTech[[#This Row],[Hour]:[Hour]]&gt;=BK$2),1,0)</f>
        <v>0</v>
      </c>
      <c r="BL122" s="329" t="n">
        <f aca="false" t="array" ref="BL122:BL122">IF(AND(BL$2&lt;&gt;0,TblTech[[#This Row],[Hour]:[Hour]]&gt;=BL$2),1,0)</f>
        <v>0</v>
      </c>
      <c r="BM122" s="329" t="n">
        <f aca="false" t="array" ref="BM122:BM122">IF(AND(BM$2&lt;&gt;0,TblTech[[#This Row],[Hour]:[Hour]]&gt;=BM$2),1,0)</f>
        <v>0</v>
      </c>
      <c r="BN122" s="329" t="n">
        <f aca="false" t="array" ref="BN122:BN122">IF(AND(BN$2&lt;&gt;0,TblTech[[#This Row],[Hour]:[Hour]]&gt;=BN$2),1,0)</f>
        <v>0</v>
      </c>
      <c r="BO122" s="329" t="n">
        <f aca="false" t="array" ref="BO122:BO122">IF(AND(BO$2&lt;&gt;0,TblTech[[#This Row],[Hour]:[Hour]]&gt;=BO$2),1,0)</f>
        <v>0</v>
      </c>
      <c r="BP122" s="329" t="n">
        <f aca="false" t="array" ref="BP122:BP122">IF(AND(BP$2&lt;&gt;0,TblTech[[#This Row],[Hour]:[Hour]]&gt;=BP$2),1,0)</f>
        <v>0</v>
      </c>
      <c r="BQ122" s="329" t="n">
        <f aca="false" t="array" ref="BQ122:BQ122">IF(AND(BQ$2&lt;&gt;0,TblTech[[#This Row],[Hour]:[Hour]]&gt;=BQ$2),1,0)</f>
        <v>0</v>
      </c>
      <c r="BR122" s="329" t="n">
        <f aca="false" t="array" ref="BR122:BR122">IF(AND(BR$2&lt;&gt;0,TblTech[[#This Row],[Hour]:[Hour]]&gt;=BR$2),1,0)</f>
        <v>0</v>
      </c>
      <c r="BS122" s="329" t="n">
        <f aca="false" t="array" ref="BS122:BS122">IF(AND(BS$2&lt;&gt;0,TblTech[[#This Row],[Hour]:[Hour]]&gt;=BS$2),1,0)</f>
        <v>0</v>
      </c>
      <c r="BT122" s="329" t="n">
        <f aca="false" t="array" ref="BT122:BT122">IF(AND(BT$2&lt;&gt;0,TblTech[[#This Row],[Hour]:[Hour]]&gt;=BT$2),1,0)</f>
        <v>0</v>
      </c>
      <c r="BU122" s="329" t="n">
        <f aca="false" t="array" ref="BU122:BU122">IF(AND(BU$2&lt;&gt;0,TblTech[[#This Row],[Hour]:[Hour]]&gt;=BU$2),1,0)</f>
        <v>0</v>
      </c>
      <c r="BV122" s="329" t="n">
        <f aca="false" t="array" ref="BV122:BV122">IF(AND(BV$2&lt;&gt;0,TblTech[[#This Row],[Hour]:[Hour]]&gt;=BV$2),1,0)</f>
        <v>0</v>
      </c>
      <c r="BW122" s="329" t="n">
        <f aca="false" t="array" ref="BW122:BW122">IF(AND(BW$2&lt;&gt;0,TblTech[[#This Row],[Hour]:[Hour]]&gt;=BW$2),1,0)</f>
        <v>0</v>
      </c>
      <c r="BX122" s="329" t="n">
        <f aca="false" t="array" ref="BX122:BX122">IF(AND(BX$2&lt;&gt;0,TblTech[[#This Row],[Hour]:[Hour]]&gt;=BX$2),1,0)</f>
        <v>0</v>
      </c>
      <c r="BY122" s="329" t="n">
        <f aca="false" t="array" ref="BY122:BY122">IF(AND(BY$2&lt;&gt;0,TblTech[[#This Row],[Hour]:[Hour]]&gt;=BY$2),1,0)</f>
        <v>0</v>
      </c>
      <c r="BZ122" s="329" t="n">
        <f aca="false" t="array" ref="BZ122:BZ122">IF(AND(BZ$2&lt;&gt;0,TblTech[[#This Row],[Hour]:[Hour]]&gt;=BZ$2),1,0)</f>
        <v>0</v>
      </c>
      <c r="CA122" s="330" t="n">
        <f aca="false">IFERROR(INDEX($H$4:$H$79,MATCH(INDEX(TblTech[[#Headers],[1-1]:[11-1]],1,MATCH(TblTech[[#This Row],[Hour]],$M$2:$BZ$2,0)),$G$4:$G$79,0)),)</f>
        <v>0</v>
      </c>
    </row>
    <row r="123" customFormat="false" ht="12.75" hidden="false" customHeight="false" outlineLevel="0" collapsed="false">
      <c r="A123" s="321" t="n">
        <f aca="false">TblRezone[[#This Row],[Hour]]</f>
        <v>120</v>
      </c>
      <c r="B123" s="322" t="n">
        <f aca="false">TblExplore[[#This Row],[Land-DB]]</f>
        <v>700</v>
      </c>
      <c r="C123" s="323" t="n">
        <f aca="false">TblProd[[#This Row],[Techpoints]]</f>
        <v>1400</v>
      </c>
      <c r="D123" s="323" t="n">
        <f aca="false">TblProd[[#This Row],[Required]]</f>
        <v>3750</v>
      </c>
      <c r="E123" s="333"/>
      <c r="F123" s="334"/>
      <c r="G123" s="326"/>
      <c r="H123" s="327"/>
      <c r="I123" s="327"/>
      <c r="J123" s="327"/>
      <c r="K123" s="68" t="n">
        <f aca="false">IF(TblTech[[#This Row],[Sum of tech]]&lt;&gt;OFFSET(TblTech[[#This Row],[Sum of tech]],-1,0),1,0)</f>
        <v>0</v>
      </c>
      <c r="L123" s="328" t="n">
        <f aca="false">COUNTIF(TblTech[[#This Row],[1-1]:[11-1]],1)</f>
        <v>0</v>
      </c>
      <c r="M123" s="329" t="n">
        <f aca="false" t="array" ref="M123:M123">IF(AND(M$2&lt;&gt;0,TblTech[[#This Row],[Hour]:[Hour]]&gt;=M$2),1,0)</f>
        <v>0</v>
      </c>
      <c r="N123" s="329" t="n">
        <f aca="false" t="array" ref="N123:N123">IF(AND(N$2&lt;&gt;0,TblTech[[#This Row],[Hour]:[Hour]]&gt;=N$2),1,0)</f>
        <v>0</v>
      </c>
      <c r="O123" s="329" t="n">
        <f aca="false" t="array" ref="O123:O123">IF(AND(O$2&lt;&gt;0,TblTech[[#This Row],[Hour]:[Hour]]&gt;=O$2),1,0)</f>
        <v>0</v>
      </c>
      <c r="P123" s="329" t="n">
        <f aca="false" t="array" ref="P123:P123">IF(AND(P$2&lt;&gt;0,TblTech[[#This Row],[Hour]:[Hour]]&gt;=P$2),1,0)</f>
        <v>0</v>
      </c>
      <c r="Q123" s="329" t="n">
        <f aca="false" t="array" ref="Q123:Q123">IF(AND(Q$2&lt;&gt;0,TblTech[[#This Row],[Hour]:[Hour]]&gt;=Q$2),1,0)</f>
        <v>0</v>
      </c>
      <c r="R123" s="329" t="n">
        <f aca="false" t="array" ref="R123:R123">IF(AND(R$2&lt;&gt;0,TblTech[[#This Row],[Hour]:[Hour]]&gt;=R$2),1,0)</f>
        <v>0</v>
      </c>
      <c r="S123" s="329" t="n">
        <f aca="false" t="array" ref="S123:S123">IF(AND(S$2&lt;&gt;0,TblTech[[#This Row],[Hour]:[Hour]]&gt;=S$2),1,0)</f>
        <v>0</v>
      </c>
      <c r="T123" s="329" t="n">
        <f aca="false" t="array" ref="T123:T123">IF(AND(T$2&lt;&gt;0,TblTech[[#This Row],[Hour]:[Hour]]&gt;=T$2),1,0)</f>
        <v>0</v>
      </c>
      <c r="U123" s="329" t="n">
        <f aca="false" t="array" ref="U123:U123">IF(AND(U$2&lt;&gt;0,TblTech[[#This Row],[Hour]:[Hour]]&gt;=U$2),1,0)</f>
        <v>0</v>
      </c>
      <c r="V123" s="329" t="n">
        <f aca="false" t="array" ref="V123:V123">IF(AND(V$2&lt;&gt;0,TblTech[[#This Row],[Hour]:[Hour]]&gt;=V$2),1,0)</f>
        <v>0</v>
      </c>
      <c r="W123" s="329" t="n">
        <f aca="false" t="array" ref="W123:W123">IF(AND(W$2&lt;&gt;0,TblTech[[#This Row],[Hour]:[Hour]]&gt;=W$2),1,0)</f>
        <v>0</v>
      </c>
      <c r="X123" s="329" t="n">
        <f aca="false" t="array" ref="X123:X123">IF(AND(X$2&lt;&gt;0,TblTech[[#This Row],[Hour]:[Hour]]&gt;=X$2),1,0)</f>
        <v>0</v>
      </c>
      <c r="Y123" s="329" t="n">
        <f aca="false" t="array" ref="Y123:Y123">IF(AND(Y$2&lt;&gt;0,TblTech[[#This Row],[Hour]:[Hour]]&gt;=Y$2),1,0)</f>
        <v>0</v>
      </c>
      <c r="Z123" s="329" t="n">
        <f aca="false" t="array" ref="Z123:Z123">IF(AND(Z$2&lt;&gt;0,TblTech[[#This Row],[Hour]:[Hour]]&gt;=Z$2),1,0)</f>
        <v>0</v>
      </c>
      <c r="AA123" s="329" t="n">
        <f aca="false" t="array" ref="AA123:AA123">IF(AND(AA$2&lt;&gt;0,TblTech[[#This Row],[Hour]:[Hour]]&gt;=AA$2),1,0)</f>
        <v>0</v>
      </c>
      <c r="AB123" s="329" t="n">
        <f aca="false" t="array" ref="AB123:AB123">IF(AND(AB$2&lt;&gt;0,TblTech[[#This Row],[Hour]:[Hour]]&gt;=AB$2),1,0)</f>
        <v>0</v>
      </c>
      <c r="AC123" s="329" t="n">
        <f aca="false" t="array" ref="AC123:AC123">IF(AND(AC$2&lt;&gt;0,TblTech[[#This Row],[Hour]:[Hour]]&gt;=AC$2),1,0)</f>
        <v>0</v>
      </c>
      <c r="AD123" s="329" t="n">
        <f aca="false" t="array" ref="AD123:AD123">IF(AND(AD$2&lt;&gt;0,TblTech[[#This Row],[Hour]:[Hour]]&gt;=AD$2),1,0)</f>
        <v>0</v>
      </c>
      <c r="AE123" s="329" t="n">
        <f aca="false" t="array" ref="AE123:AE123">IF(AND(AE$2&lt;&gt;0,TblTech[[#This Row],[Hour]:[Hour]]&gt;=AE$2),1,0)</f>
        <v>0</v>
      </c>
      <c r="AF123" s="329" t="n">
        <f aca="false" t="array" ref="AF123:AF123">IF(AND(AF$2&lt;&gt;0,TblTech[[#This Row],[Hour]:[Hour]]&gt;=AF$2),1,0)</f>
        <v>0</v>
      </c>
      <c r="AG123" s="329" t="n">
        <f aca="false" t="array" ref="AG123:AG123">IF(AND(AG$2&lt;&gt;0,TblTech[[#This Row],[Hour]:[Hour]]&gt;=AG$2),1,0)</f>
        <v>0</v>
      </c>
      <c r="AH123" s="329" t="n">
        <f aca="false" t="array" ref="AH123:AH123">IF(AND(AH$2&lt;&gt;0,TblTech[[#This Row],[Hour]:[Hour]]&gt;=AH$2),1,0)</f>
        <v>0</v>
      </c>
      <c r="AI123" s="329" t="n">
        <f aca="false" t="array" ref="AI123:AI123">IF(AND(AI$2&lt;&gt;0,TblTech[[#This Row],[Hour]:[Hour]]&gt;=AI$2),1,0)</f>
        <v>0</v>
      </c>
      <c r="AJ123" s="329" t="n">
        <f aca="false" t="array" ref="AJ123:AJ123">IF(AND(AJ$2&lt;&gt;0,TblTech[[#This Row],[Hour]:[Hour]]&gt;=AJ$2),1,0)</f>
        <v>0</v>
      </c>
      <c r="AK123" s="329" t="n">
        <f aca="false" t="array" ref="AK123:AK123">IF(AND(AK$2&lt;&gt;0,TblTech[[#This Row],[Hour]:[Hour]]&gt;=AK$2),1,0)</f>
        <v>0</v>
      </c>
      <c r="AL123" s="329" t="n">
        <f aca="false" t="array" ref="AL123:AL123">IF(AND(AL$2&lt;&gt;0,TblTech[[#This Row],[Hour]:[Hour]]&gt;=AL$2),1,0)</f>
        <v>0</v>
      </c>
      <c r="AM123" s="329" t="n">
        <f aca="false" t="array" ref="AM123:AM123">IF(AND(AM$2&lt;&gt;0,TblTech[[#This Row],[Hour]:[Hour]]&gt;=AM$2),1,0)</f>
        <v>0</v>
      </c>
      <c r="AN123" s="329" t="n">
        <f aca="false" t="array" ref="AN123:AN123">IF(AND(AN$2&lt;&gt;0,TblTech[[#This Row],[Hour]:[Hour]]&gt;=AN$2),1,0)</f>
        <v>0</v>
      </c>
      <c r="AO123" s="329" t="n">
        <f aca="false" t="array" ref="AO123:AO123">IF(AND(AO$2&lt;&gt;0,TblTech[[#This Row],[Hour]:[Hour]]&gt;=AO$2),1,0)</f>
        <v>0</v>
      </c>
      <c r="AP123" s="329" t="n">
        <f aca="false" t="array" ref="AP123:AP123">IF(AND(AP$2&lt;&gt;0,TblTech[[#This Row],[Hour]:[Hour]]&gt;=AP$2),1,0)</f>
        <v>0</v>
      </c>
      <c r="AQ123" s="329" t="n">
        <f aca="false" t="array" ref="AQ123:AQ123">IF(AND(AQ$2&lt;&gt;0,TblTech[[#This Row],[Hour]:[Hour]]&gt;=AQ$2),1,0)</f>
        <v>0</v>
      </c>
      <c r="AR123" s="329" t="n">
        <f aca="false" t="array" ref="AR123:AR123">IF(AND(AR$2&lt;&gt;0,TblTech[[#This Row],[Hour]:[Hour]]&gt;=AR$2),1,0)</f>
        <v>0</v>
      </c>
      <c r="AS123" s="329" t="n">
        <f aca="false" t="array" ref="AS123:AS123">IF(AND(AS$2&lt;&gt;0,TblTech[[#This Row],[Hour]:[Hour]]&gt;=AS$2),1,0)</f>
        <v>0</v>
      </c>
      <c r="AT123" s="329" t="n">
        <f aca="false" t="array" ref="AT123:AT123">IF(AND(AT$2&lt;&gt;0,TblTech[[#This Row],[Hour]:[Hour]]&gt;=AT$2),1,0)</f>
        <v>0</v>
      </c>
      <c r="AU123" s="329" t="n">
        <f aca="false" t="array" ref="AU123:AU123">IF(AND(AU$2&lt;&gt;0,TblTech[[#This Row],[Hour]:[Hour]]&gt;=AU$2),1,0)</f>
        <v>0</v>
      </c>
      <c r="AV123" s="329" t="n">
        <f aca="false" t="array" ref="AV123:AV123">IF(AND(AV$2&lt;&gt;0,TblTech[[#This Row],[Hour]:[Hour]]&gt;=AV$2),1,0)</f>
        <v>0</v>
      </c>
      <c r="AW123" s="329" t="n">
        <f aca="false" t="array" ref="AW123:AW123">IF(AND(AW$2&lt;&gt;0,TblTech[[#This Row],[Hour]:[Hour]]&gt;=AW$2),1,0)</f>
        <v>0</v>
      </c>
      <c r="AX123" s="329" t="n">
        <f aca="false" t="array" ref="AX123:AX123">IF(AND(AX$2&lt;&gt;0,TblTech[[#This Row],[Hour]:[Hour]]&gt;=AX$2),1,0)</f>
        <v>0</v>
      </c>
      <c r="AY123" s="329" t="n">
        <f aca="false" t="array" ref="AY123:AY123">IF(AND(AY$2&lt;&gt;0,TblTech[[#This Row],[Hour]:[Hour]]&gt;=AY$2),1,0)</f>
        <v>0</v>
      </c>
      <c r="AZ123" s="329" t="n">
        <f aca="false" t="array" ref="AZ123:AZ123">IF(AND(AZ$2&lt;&gt;0,TblTech[[#This Row],[Hour]:[Hour]]&gt;=AZ$2),1,0)</f>
        <v>0</v>
      </c>
      <c r="BA123" s="329" t="n">
        <f aca="false" t="array" ref="BA123:BA123">IF(AND(BA$2&lt;&gt;0,TblTech[[#This Row],[Hour]:[Hour]]&gt;=BA$2),1,0)</f>
        <v>0</v>
      </c>
      <c r="BB123" s="329" t="n">
        <f aca="false" t="array" ref="BB123:BB123">IF(AND(BB$2&lt;&gt;0,TblTech[[#This Row],[Hour]:[Hour]]&gt;=BB$2),1,0)</f>
        <v>0</v>
      </c>
      <c r="BC123" s="329" t="n">
        <f aca="false" t="array" ref="BC123:BC123">IF(AND(BC$2&lt;&gt;0,TblTech[[#This Row],[Hour]:[Hour]]&gt;=BC$2),1,0)</f>
        <v>0</v>
      </c>
      <c r="BD123" s="329" t="n">
        <f aca="false" t="array" ref="BD123:BD123">IF(AND(BD$2&lt;&gt;0,TblTech[[#This Row],[Hour]:[Hour]]&gt;=BD$2),1,0)</f>
        <v>0</v>
      </c>
      <c r="BE123" s="329" t="n">
        <f aca="false" t="array" ref="BE123:BE123">IF(AND(BE$2&lt;&gt;0,TblTech[[#This Row],[Hour]:[Hour]]&gt;=BE$2),1,0)</f>
        <v>0</v>
      </c>
      <c r="BF123" s="329" t="n">
        <f aca="false" t="array" ref="BF123:BF123">IF(AND(BF$2&lt;&gt;0,TblTech[[#This Row],[Hour]:[Hour]]&gt;=BF$2),1,0)</f>
        <v>0</v>
      </c>
      <c r="BG123" s="329" t="n">
        <f aca="false" t="array" ref="BG123:BG123">IF(AND(BG$2&lt;&gt;0,TblTech[[#This Row],[Hour]:[Hour]]&gt;=BG$2),1,0)</f>
        <v>0</v>
      </c>
      <c r="BH123" s="329" t="n">
        <f aca="false" t="array" ref="BH123:BH123">IF(AND(BH$2&lt;&gt;0,TblTech[[#This Row],[Hour]:[Hour]]&gt;=BH$2),1,0)</f>
        <v>0</v>
      </c>
      <c r="BI123" s="329" t="n">
        <f aca="false" t="array" ref="BI123:BI123">IF(AND(BI$2&lt;&gt;0,TblTech[[#This Row],[Hour]:[Hour]]&gt;=BI$2),1,0)</f>
        <v>0</v>
      </c>
      <c r="BJ123" s="329" t="n">
        <f aca="false" t="array" ref="BJ123:BJ123">IF(AND(BJ$2&lt;&gt;0,TblTech[[#This Row],[Hour]:[Hour]]&gt;=BJ$2),1,0)</f>
        <v>0</v>
      </c>
      <c r="BK123" s="329" t="n">
        <f aca="false" t="array" ref="BK123:BK123">IF(AND(BK$2&lt;&gt;0,TblTech[[#This Row],[Hour]:[Hour]]&gt;=BK$2),1,0)</f>
        <v>0</v>
      </c>
      <c r="BL123" s="329" t="n">
        <f aca="false" t="array" ref="BL123:BL123">IF(AND(BL$2&lt;&gt;0,TblTech[[#This Row],[Hour]:[Hour]]&gt;=BL$2),1,0)</f>
        <v>0</v>
      </c>
      <c r="BM123" s="329" t="n">
        <f aca="false" t="array" ref="BM123:BM123">IF(AND(BM$2&lt;&gt;0,TblTech[[#This Row],[Hour]:[Hour]]&gt;=BM$2),1,0)</f>
        <v>0</v>
      </c>
      <c r="BN123" s="329" t="n">
        <f aca="false" t="array" ref="BN123:BN123">IF(AND(BN$2&lt;&gt;0,TblTech[[#This Row],[Hour]:[Hour]]&gt;=BN$2),1,0)</f>
        <v>0</v>
      </c>
      <c r="BO123" s="329" t="n">
        <f aca="false" t="array" ref="BO123:BO123">IF(AND(BO$2&lt;&gt;0,TblTech[[#This Row],[Hour]:[Hour]]&gt;=BO$2),1,0)</f>
        <v>0</v>
      </c>
      <c r="BP123" s="329" t="n">
        <f aca="false" t="array" ref="BP123:BP123">IF(AND(BP$2&lt;&gt;0,TblTech[[#This Row],[Hour]:[Hour]]&gt;=BP$2),1,0)</f>
        <v>0</v>
      </c>
      <c r="BQ123" s="329" t="n">
        <f aca="false" t="array" ref="BQ123:BQ123">IF(AND(BQ$2&lt;&gt;0,TblTech[[#This Row],[Hour]:[Hour]]&gt;=BQ$2),1,0)</f>
        <v>0</v>
      </c>
      <c r="BR123" s="329" t="n">
        <f aca="false" t="array" ref="BR123:BR123">IF(AND(BR$2&lt;&gt;0,TblTech[[#This Row],[Hour]:[Hour]]&gt;=BR$2),1,0)</f>
        <v>0</v>
      </c>
      <c r="BS123" s="329" t="n">
        <f aca="false" t="array" ref="BS123:BS123">IF(AND(BS$2&lt;&gt;0,TblTech[[#This Row],[Hour]:[Hour]]&gt;=BS$2),1,0)</f>
        <v>0</v>
      </c>
      <c r="BT123" s="329" t="n">
        <f aca="false" t="array" ref="BT123:BT123">IF(AND(BT$2&lt;&gt;0,TblTech[[#This Row],[Hour]:[Hour]]&gt;=BT$2),1,0)</f>
        <v>0</v>
      </c>
      <c r="BU123" s="329" t="n">
        <f aca="false" t="array" ref="BU123:BU123">IF(AND(BU$2&lt;&gt;0,TblTech[[#This Row],[Hour]:[Hour]]&gt;=BU$2),1,0)</f>
        <v>0</v>
      </c>
      <c r="BV123" s="329" t="n">
        <f aca="false" t="array" ref="BV123:BV123">IF(AND(BV$2&lt;&gt;0,TblTech[[#This Row],[Hour]:[Hour]]&gt;=BV$2),1,0)</f>
        <v>0</v>
      </c>
      <c r="BW123" s="329" t="n">
        <f aca="false" t="array" ref="BW123:BW123">IF(AND(BW$2&lt;&gt;0,TblTech[[#This Row],[Hour]:[Hour]]&gt;=BW$2),1,0)</f>
        <v>0</v>
      </c>
      <c r="BX123" s="329" t="n">
        <f aca="false" t="array" ref="BX123:BX123">IF(AND(BX$2&lt;&gt;0,TblTech[[#This Row],[Hour]:[Hour]]&gt;=BX$2),1,0)</f>
        <v>0</v>
      </c>
      <c r="BY123" s="329" t="n">
        <f aca="false" t="array" ref="BY123:BY123">IF(AND(BY$2&lt;&gt;0,TblTech[[#This Row],[Hour]:[Hour]]&gt;=BY$2),1,0)</f>
        <v>0</v>
      </c>
      <c r="BZ123" s="329" t="n">
        <f aca="false" t="array" ref="BZ123:BZ123">IF(AND(BZ$2&lt;&gt;0,TblTech[[#This Row],[Hour]:[Hour]]&gt;=BZ$2),1,0)</f>
        <v>0</v>
      </c>
      <c r="CA123" s="330" t="n">
        <f aca="false">IFERROR(INDEX($H$4:$H$79,MATCH(INDEX(TblTech[[#Headers],[1-1]:[11-1]],1,MATCH(TblTech[[#This Row],[Hour]],$M$2:$BZ$2,0)),$G$4:$G$79,0)),)</f>
        <v>0</v>
      </c>
    </row>
    <row r="124" customFormat="false" ht="12.75" hidden="false" customHeight="false" outlineLevel="0" collapsed="false">
      <c r="A124" s="321" t="n">
        <f aca="false">TblRezone[[#This Row],[Hour]]</f>
        <v>121</v>
      </c>
      <c r="B124" s="322" t="n">
        <f aca="false">TblExplore[[#This Row],[Land-DB]]</f>
        <v>700</v>
      </c>
      <c r="C124" s="323" t="n">
        <f aca="false">TblProd[[#This Row],[Techpoints]]</f>
        <v>1400</v>
      </c>
      <c r="D124" s="323" t="n">
        <f aca="false">TblProd[[#This Row],[Required]]</f>
        <v>3750</v>
      </c>
      <c r="E124" s="333"/>
      <c r="F124" s="334"/>
      <c r="G124" s="326"/>
      <c r="H124" s="327"/>
      <c r="I124" s="327"/>
      <c r="J124" s="327"/>
      <c r="K124" s="68" t="n">
        <f aca="false">IF(TblTech[[#This Row],[Sum of tech]]&lt;&gt;OFFSET(TblTech[[#This Row],[Sum of tech]],-1,0),1,0)</f>
        <v>0</v>
      </c>
      <c r="L124" s="328" t="n">
        <f aca="false">COUNTIF(TblTech[[#This Row],[1-1]:[11-1]],1)</f>
        <v>0</v>
      </c>
      <c r="M124" s="329" t="n">
        <f aca="false" t="array" ref="M124:M124">IF(AND(M$2&lt;&gt;0,TblTech[[#This Row],[Hour]:[Hour]]&gt;=M$2),1,0)</f>
        <v>0</v>
      </c>
      <c r="N124" s="329" t="n">
        <f aca="false" t="array" ref="N124:N124">IF(AND(N$2&lt;&gt;0,TblTech[[#This Row],[Hour]:[Hour]]&gt;=N$2),1,0)</f>
        <v>0</v>
      </c>
      <c r="O124" s="329" t="n">
        <f aca="false" t="array" ref="O124:O124">IF(AND(O$2&lt;&gt;0,TblTech[[#This Row],[Hour]:[Hour]]&gt;=O$2),1,0)</f>
        <v>0</v>
      </c>
      <c r="P124" s="329" t="n">
        <f aca="false" t="array" ref="P124:P124">IF(AND(P$2&lt;&gt;0,TblTech[[#This Row],[Hour]:[Hour]]&gt;=P$2),1,0)</f>
        <v>0</v>
      </c>
      <c r="Q124" s="329" t="n">
        <f aca="false" t="array" ref="Q124:Q124">IF(AND(Q$2&lt;&gt;0,TblTech[[#This Row],[Hour]:[Hour]]&gt;=Q$2),1,0)</f>
        <v>0</v>
      </c>
      <c r="R124" s="329" t="n">
        <f aca="false" t="array" ref="R124:R124">IF(AND(R$2&lt;&gt;0,TblTech[[#This Row],[Hour]:[Hour]]&gt;=R$2),1,0)</f>
        <v>0</v>
      </c>
      <c r="S124" s="329" t="n">
        <f aca="false" t="array" ref="S124:S124">IF(AND(S$2&lt;&gt;0,TblTech[[#This Row],[Hour]:[Hour]]&gt;=S$2),1,0)</f>
        <v>0</v>
      </c>
      <c r="T124" s="329" t="n">
        <f aca="false" t="array" ref="T124:T124">IF(AND(T$2&lt;&gt;0,TblTech[[#This Row],[Hour]:[Hour]]&gt;=T$2),1,0)</f>
        <v>0</v>
      </c>
      <c r="U124" s="329" t="n">
        <f aca="false" t="array" ref="U124:U124">IF(AND(U$2&lt;&gt;0,TblTech[[#This Row],[Hour]:[Hour]]&gt;=U$2),1,0)</f>
        <v>0</v>
      </c>
      <c r="V124" s="329" t="n">
        <f aca="false" t="array" ref="V124:V124">IF(AND(V$2&lt;&gt;0,TblTech[[#This Row],[Hour]:[Hour]]&gt;=V$2),1,0)</f>
        <v>0</v>
      </c>
      <c r="W124" s="329" t="n">
        <f aca="false" t="array" ref="W124:W124">IF(AND(W$2&lt;&gt;0,TblTech[[#This Row],[Hour]:[Hour]]&gt;=W$2),1,0)</f>
        <v>0</v>
      </c>
      <c r="X124" s="329" t="n">
        <f aca="false" t="array" ref="X124:X124">IF(AND(X$2&lt;&gt;0,TblTech[[#This Row],[Hour]:[Hour]]&gt;=X$2),1,0)</f>
        <v>0</v>
      </c>
      <c r="Y124" s="329" t="n">
        <f aca="false" t="array" ref="Y124:Y124">IF(AND(Y$2&lt;&gt;0,TblTech[[#This Row],[Hour]:[Hour]]&gt;=Y$2),1,0)</f>
        <v>0</v>
      </c>
      <c r="Z124" s="329" t="n">
        <f aca="false" t="array" ref="Z124:Z124">IF(AND(Z$2&lt;&gt;0,TblTech[[#This Row],[Hour]:[Hour]]&gt;=Z$2),1,0)</f>
        <v>0</v>
      </c>
      <c r="AA124" s="329" t="n">
        <f aca="false" t="array" ref="AA124:AA124">IF(AND(AA$2&lt;&gt;0,TblTech[[#This Row],[Hour]:[Hour]]&gt;=AA$2),1,0)</f>
        <v>0</v>
      </c>
      <c r="AB124" s="329" t="n">
        <f aca="false" t="array" ref="AB124:AB124">IF(AND(AB$2&lt;&gt;0,TblTech[[#This Row],[Hour]:[Hour]]&gt;=AB$2),1,0)</f>
        <v>0</v>
      </c>
      <c r="AC124" s="329" t="n">
        <f aca="false" t="array" ref="AC124:AC124">IF(AND(AC$2&lt;&gt;0,TblTech[[#This Row],[Hour]:[Hour]]&gt;=AC$2),1,0)</f>
        <v>0</v>
      </c>
      <c r="AD124" s="329" t="n">
        <f aca="false" t="array" ref="AD124:AD124">IF(AND(AD$2&lt;&gt;0,TblTech[[#This Row],[Hour]:[Hour]]&gt;=AD$2),1,0)</f>
        <v>0</v>
      </c>
      <c r="AE124" s="329" t="n">
        <f aca="false" t="array" ref="AE124:AE124">IF(AND(AE$2&lt;&gt;0,TblTech[[#This Row],[Hour]:[Hour]]&gt;=AE$2),1,0)</f>
        <v>0</v>
      </c>
      <c r="AF124" s="329" t="n">
        <f aca="false" t="array" ref="AF124:AF124">IF(AND(AF$2&lt;&gt;0,TblTech[[#This Row],[Hour]:[Hour]]&gt;=AF$2),1,0)</f>
        <v>0</v>
      </c>
      <c r="AG124" s="329" t="n">
        <f aca="false" t="array" ref="AG124:AG124">IF(AND(AG$2&lt;&gt;0,TblTech[[#This Row],[Hour]:[Hour]]&gt;=AG$2),1,0)</f>
        <v>0</v>
      </c>
      <c r="AH124" s="329" t="n">
        <f aca="false" t="array" ref="AH124:AH124">IF(AND(AH$2&lt;&gt;0,TblTech[[#This Row],[Hour]:[Hour]]&gt;=AH$2),1,0)</f>
        <v>0</v>
      </c>
      <c r="AI124" s="329" t="n">
        <f aca="false" t="array" ref="AI124:AI124">IF(AND(AI$2&lt;&gt;0,TblTech[[#This Row],[Hour]:[Hour]]&gt;=AI$2),1,0)</f>
        <v>0</v>
      </c>
      <c r="AJ124" s="329" t="n">
        <f aca="false" t="array" ref="AJ124:AJ124">IF(AND(AJ$2&lt;&gt;0,TblTech[[#This Row],[Hour]:[Hour]]&gt;=AJ$2),1,0)</f>
        <v>0</v>
      </c>
      <c r="AK124" s="329" t="n">
        <f aca="false" t="array" ref="AK124:AK124">IF(AND(AK$2&lt;&gt;0,TblTech[[#This Row],[Hour]:[Hour]]&gt;=AK$2),1,0)</f>
        <v>0</v>
      </c>
      <c r="AL124" s="329" t="n">
        <f aca="false" t="array" ref="AL124:AL124">IF(AND(AL$2&lt;&gt;0,TblTech[[#This Row],[Hour]:[Hour]]&gt;=AL$2),1,0)</f>
        <v>0</v>
      </c>
      <c r="AM124" s="329" t="n">
        <f aca="false" t="array" ref="AM124:AM124">IF(AND(AM$2&lt;&gt;0,TblTech[[#This Row],[Hour]:[Hour]]&gt;=AM$2),1,0)</f>
        <v>0</v>
      </c>
      <c r="AN124" s="329" t="n">
        <f aca="false" t="array" ref="AN124:AN124">IF(AND(AN$2&lt;&gt;0,TblTech[[#This Row],[Hour]:[Hour]]&gt;=AN$2),1,0)</f>
        <v>0</v>
      </c>
      <c r="AO124" s="329" t="n">
        <f aca="false" t="array" ref="AO124:AO124">IF(AND(AO$2&lt;&gt;0,TblTech[[#This Row],[Hour]:[Hour]]&gt;=AO$2),1,0)</f>
        <v>0</v>
      </c>
      <c r="AP124" s="329" t="n">
        <f aca="false" t="array" ref="AP124:AP124">IF(AND(AP$2&lt;&gt;0,TblTech[[#This Row],[Hour]:[Hour]]&gt;=AP$2),1,0)</f>
        <v>0</v>
      </c>
      <c r="AQ124" s="329" t="n">
        <f aca="false" t="array" ref="AQ124:AQ124">IF(AND(AQ$2&lt;&gt;0,TblTech[[#This Row],[Hour]:[Hour]]&gt;=AQ$2),1,0)</f>
        <v>0</v>
      </c>
      <c r="AR124" s="329" t="n">
        <f aca="false" t="array" ref="AR124:AR124">IF(AND(AR$2&lt;&gt;0,TblTech[[#This Row],[Hour]:[Hour]]&gt;=AR$2),1,0)</f>
        <v>0</v>
      </c>
      <c r="AS124" s="329" t="n">
        <f aca="false" t="array" ref="AS124:AS124">IF(AND(AS$2&lt;&gt;0,TblTech[[#This Row],[Hour]:[Hour]]&gt;=AS$2),1,0)</f>
        <v>0</v>
      </c>
      <c r="AT124" s="329" t="n">
        <f aca="false" t="array" ref="AT124:AT124">IF(AND(AT$2&lt;&gt;0,TblTech[[#This Row],[Hour]:[Hour]]&gt;=AT$2),1,0)</f>
        <v>0</v>
      </c>
      <c r="AU124" s="329" t="n">
        <f aca="false" t="array" ref="AU124:AU124">IF(AND(AU$2&lt;&gt;0,TblTech[[#This Row],[Hour]:[Hour]]&gt;=AU$2),1,0)</f>
        <v>0</v>
      </c>
      <c r="AV124" s="329" t="n">
        <f aca="false" t="array" ref="AV124:AV124">IF(AND(AV$2&lt;&gt;0,TblTech[[#This Row],[Hour]:[Hour]]&gt;=AV$2),1,0)</f>
        <v>0</v>
      </c>
      <c r="AW124" s="329" t="n">
        <f aca="false" t="array" ref="AW124:AW124">IF(AND(AW$2&lt;&gt;0,TblTech[[#This Row],[Hour]:[Hour]]&gt;=AW$2),1,0)</f>
        <v>0</v>
      </c>
      <c r="AX124" s="329" t="n">
        <f aca="false" t="array" ref="AX124:AX124">IF(AND(AX$2&lt;&gt;0,TblTech[[#This Row],[Hour]:[Hour]]&gt;=AX$2),1,0)</f>
        <v>0</v>
      </c>
      <c r="AY124" s="329" t="n">
        <f aca="false" t="array" ref="AY124:AY124">IF(AND(AY$2&lt;&gt;0,TblTech[[#This Row],[Hour]:[Hour]]&gt;=AY$2),1,0)</f>
        <v>0</v>
      </c>
      <c r="AZ124" s="329" t="n">
        <f aca="false" t="array" ref="AZ124:AZ124">IF(AND(AZ$2&lt;&gt;0,TblTech[[#This Row],[Hour]:[Hour]]&gt;=AZ$2),1,0)</f>
        <v>0</v>
      </c>
      <c r="BA124" s="329" t="n">
        <f aca="false" t="array" ref="BA124:BA124">IF(AND(BA$2&lt;&gt;0,TblTech[[#This Row],[Hour]:[Hour]]&gt;=BA$2),1,0)</f>
        <v>0</v>
      </c>
      <c r="BB124" s="329" t="n">
        <f aca="false" t="array" ref="BB124:BB124">IF(AND(BB$2&lt;&gt;0,TblTech[[#This Row],[Hour]:[Hour]]&gt;=BB$2),1,0)</f>
        <v>0</v>
      </c>
      <c r="BC124" s="329" t="n">
        <f aca="false" t="array" ref="BC124:BC124">IF(AND(BC$2&lt;&gt;0,TblTech[[#This Row],[Hour]:[Hour]]&gt;=BC$2),1,0)</f>
        <v>0</v>
      </c>
      <c r="BD124" s="329" t="n">
        <f aca="false" t="array" ref="BD124:BD124">IF(AND(BD$2&lt;&gt;0,TblTech[[#This Row],[Hour]:[Hour]]&gt;=BD$2),1,0)</f>
        <v>0</v>
      </c>
      <c r="BE124" s="329" t="n">
        <f aca="false" t="array" ref="BE124:BE124">IF(AND(BE$2&lt;&gt;0,TblTech[[#This Row],[Hour]:[Hour]]&gt;=BE$2),1,0)</f>
        <v>0</v>
      </c>
      <c r="BF124" s="329" t="n">
        <f aca="false" t="array" ref="BF124:BF124">IF(AND(BF$2&lt;&gt;0,TblTech[[#This Row],[Hour]:[Hour]]&gt;=BF$2),1,0)</f>
        <v>0</v>
      </c>
      <c r="BG124" s="329" t="n">
        <f aca="false" t="array" ref="BG124:BG124">IF(AND(BG$2&lt;&gt;0,TblTech[[#This Row],[Hour]:[Hour]]&gt;=BG$2),1,0)</f>
        <v>0</v>
      </c>
      <c r="BH124" s="329" t="n">
        <f aca="false" t="array" ref="BH124:BH124">IF(AND(BH$2&lt;&gt;0,TblTech[[#This Row],[Hour]:[Hour]]&gt;=BH$2),1,0)</f>
        <v>0</v>
      </c>
      <c r="BI124" s="329" t="n">
        <f aca="false" t="array" ref="BI124:BI124">IF(AND(BI$2&lt;&gt;0,TblTech[[#This Row],[Hour]:[Hour]]&gt;=BI$2),1,0)</f>
        <v>0</v>
      </c>
      <c r="BJ124" s="329" t="n">
        <f aca="false" t="array" ref="BJ124:BJ124">IF(AND(BJ$2&lt;&gt;0,TblTech[[#This Row],[Hour]:[Hour]]&gt;=BJ$2),1,0)</f>
        <v>0</v>
      </c>
      <c r="BK124" s="329" t="n">
        <f aca="false" t="array" ref="BK124:BK124">IF(AND(BK$2&lt;&gt;0,TblTech[[#This Row],[Hour]:[Hour]]&gt;=BK$2),1,0)</f>
        <v>0</v>
      </c>
      <c r="BL124" s="329" t="n">
        <f aca="false" t="array" ref="BL124:BL124">IF(AND(BL$2&lt;&gt;0,TblTech[[#This Row],[Hour]:[Hour]]&gt;=BL$2),1,0)</f>
        <v>0</v>
      </c>
      <c r="BM124" s="329" t="n">
        <f aca="false" t="array" ref="BM124:BM124">IF(AND(BM$2&lt;&gt;0,TblTech[[#This Row],[Hour]:[Hour]]&gt;=BM$2),1,0)</f>
        <v>0</v>
      </c>
      <c r="BN124" s="329" t="n">
        <f aca="false" t="array" ref="BN124:BN124">IF(AND(BN$2&lt;&gt;0,TblTech[[#This Row],[Hour]:[Hour]]&gt;=BN$2),1,0)</f>
        <v>0</v>
      </c>
      <c r="BO124" s="329" t="n">
        <f aca="false" t="array" ref="BO124:BO124">IF(AND(BO$2&lt;&gt;0,TblTech[[#This Row],[Hour]:[Hour]]&gt;=BO$2),1,0)</f>
        <v>0</v>
      </c>
      <c r="BP124" s="329" t="n">
        <f aca="false" t="array" ref="BP124:BP124">IF(AND(BP$2&lt;&gt;0,TblTech[[#This Row],[Hour]:[Hour]]&gt;=BP$2),1,0)</f>
        <v>0</v>
      </c>
      <c r="BQ124" s="329" t="n">
        <f aca="false" t="array" ref="BQ124:BQ124">IF(AND(BQ$2&lt;&gt;0,TblTech[[#This Row],[Hour]:[Hour]]&gt;=BQ$2),1,0)</f>
        <v>0</v>
      </c>
      <c r="BR124" s="329" t="n">
        <f aca="false" t="array" ref="BR124:BR124">IF(AND(BR$2&lt;&gt;0,TblTech[[#This Row],[Hour]:[Hour]]&gt;=BR$2),1,0)</f>
        <v>0</v>
      </c>
      <c r="BS124" s="329" t="n">
        <f aca="false" t="array" ref="BS124:BS124">IF(AND(BS$2&lt;&gt;0,TblTech[[#This Row],[Hour]:[Hour]]&gt;=BS$2),1,0)</f>
        <v>0</v>
      </c>
      <c r="BT124" s="329" t="n">
        <f aca="false" t="array" ref="BT124:BT124">IF(AND(BT$2&lt;&gt;0,TblTech[[#This Row],[Hour]:[Hour]]&gt;=BT$2),1,0)</f>
        <v>0</v>
      </c>
      <c r="BU124" s="329" t="n">
        <f aca="false" t="array" ref="BU124:BU124">IF(AND(BU$2&lt;&gt;0,TblTech[[#This Row],[Hour]:[Hour]]&gt;=BU$2),1,0)</f>
        <v>0</v>
      </c>
      <c r="BV124" s="329" t="n">
        <f aca="false" t="array" ref="BV124:BV124">IF(AND(BV$2&lt;&gt;0,TblTech[[#This Row],[Hour]:[Hour]]&gt;=BV$2),1,0)</f>
        <v>0</v>
      </c>
      <c r="BW124" s="329" t="n">
        <f aca="false" t="array" ref="BW124:BW124">IF(AND(BW$2&lt;&gt;0,TblTech[[#This Row],[Hour]:[Hour]]&gt;=BW$2),1,0)</f>
        <v>0</v>
      </c>
      <c r="BX124" s="329" t="n">
        <f aca="false" t="array" ref="BX124:BX124">IF(AND(BX$2&lt;&gt;0,TblTech[[#This Row],[Hour]:[Hour]]&gt;=BX$2),1,0)</f>
        <v>0</v>
      </c>
      <c r="BY124" s="329" t="n">
        <f aca="false" t="array" ref="BY124:BY124">IF(AND(BY$2&lt;&gt;0,TblTech[[#This Row],[Hour]:[Hour]]&gt;=BY$2),1,0)</f>
        <v>0</v>
      </c>
      <c r="BZ124" s="329" t="n">
        <f aca="false" t="array" ref="BZ124:BZ124">IF(AND(BZ$2&lt;&gt;0,TblTech[[#This Row],[Hour]:[Hour]]&gt;=BZ$2),1,0)</f>
        <v>0</v>
      </c>
      <c r="CA124" s="330" t="n">
        <f aca="false">IFERROR(INDEX($H$4:$H$79,MATCH(INDEX(TblTech[[#Headers],[1-1]:[11-1]],1,MATCH(TblTech[[#This Row],[Hour]],$M$2:$BZ$2,0)),$G$4:$G$79,0)),)</f>
        <v>0</v>
      </c>
    </row>
    <row r="125" customFormat="false" ht="12.75" hidden="false" customHeight="false" outlineLevel="0" collapsed="false">
      <c r="A125" s="321" t="n">
        <f aca="false">TblRezone[[#This Row],[Hour]]</f>
        <v>122</v>
      </c>
      <c r="B125" s="322" t="n">
        <f aca="false">TblExplore[[#This Row],[Land-DB]]</f>
        <v>700</v>
      </c>
      <c r="C125" s="323" t="n">
        <f aca="false">TblProd[[#This Row],[Techpoints]]</f>
        <v>1400</v>
      </c>
      <c r="D125" s="323" t="n">
        <f aca="false">TblProd[[#This Row],[Required]]</f>
        <v>3750</v>
      </c>
      <c r="E125" s="333"/>
      <c r="F125" s="334"/>
      <c r="G125" s="326"/>
      <c r="H125" s="327"/>
      <c r="I125" s="327"/>
      <c r="J125" s="327"/>
      <c r="K125" s="68" t="n">
        <f aca="false">IF(TblTech[[#This Row],[Sum of tech]]&lt;&gt;OFFSET(TblTech[[#This Row],[Sum of tech]],-1,0),1,0)</f>
        <v>0</v>
      </c>
      <c r="L125" s="328" t="n">
        <f aca="false">COUNTIF(TblTech[[#This Row],[1-1]:[11-1]],1)</f>
        <v>0</v>
      </c>
      <c r="M125" s="329" t="n">
        <f aca="false" t="array" ref="M125:M125">IF(AND(M$2&lt;&gt;0,TblTech[[#This Row],[Hour]:[Hour]]&gt;=M$2),1,0)</f>
        <v>0</v>
      </c>
      <c r="N125" s="329" t="n">
        <f aca="false" t="array" ref="N125:N125">IF(AND(N$2&lt;&gt;0,TblTech[[#This Row],[Hour]:[Hour]]&gt;=N$2),1,0)</f>
        <v>0</v>
      </c>
      <c r="O125" s="329" t="n">
        <f aca="false" t="array" ref="O125:O125">IF(AND(O$2&lt;&gt;0,TblTech[[#This Row],[Hour]:[Hour]]&gt;=O$2),1,0)</f>
        <v>0</v>
      </c>
      <c r="P125" s="329" t="n">
        <f aca="false" t="array" ref="P125:P125">IF(AND(P$2&lt;&gt;0,TblTech[[#This Row],[Hour]:[Hour]]&gt;=P$2),1,0)</f>
        <v>0</v>
      </c>
      <c r="Q125" s="329" t="n">
        <f aca="false" t="array" ref="Q125:Q125">IF(AND(Q$2&lt;&gt;0,TblTech[[#This Row],[Hour]:[Hour]]&gt;=Q$2),1,0)</f>
        <v>0</v>
      </c>
      <c r="R125" s="329" t="n">
        <f aca="false" t="array" ref="R125:R125">IF(AND(R$2&lt;&gt;0,TblTech[[#This Row],[Hour]:[Hour]]&gt;=R$2),1,0)</f>
        <v>0</v>
      </c>
      <c r="S125" s="329" t="n">
        <f aca="false" t="array" ref="S125:S125">IF(AND(S$2&lt;&gt;0,TblTech[[#This Row],[Hour]:[Hour]]&gt;=S$2),1,0)</f>
        <v>0</v>
      </c>
      <c r="T125" s="329" t="n">
        <f aca="false" t="array" ref="T125:T125">IF(AND(T$2&lt;&gt;0,TblTech[[#This Row],[Hour]:[Hour]]&gt;=T$2),1,0)</f>
        <v>0</v>
      </c>
      <c r="U125" s="329" t="n">
        <f aca="false" t="array" ref="U125:U125">IF(AND(U$2&lt;&gt;0,TblTech[[#This Row],[Hour]:[Hour]]&gt;=U$2),1,0)</f>
        <v>0</v>
      </c>
      <c r="V125" s="329" t="n">
        <f aca="false" t="array" ref="V125:V125">IF(AND(V$2&lt;&gt;0,TblTech[[#This Row],[Hour]:[Hour]]&gt;=V$2),1,0)</f>
        <v>0</v>
      </c>
      <c r="W125" s="329" t="n">
        <f aca="false" t="array" ref="W125:W125">IF(AND(W$2&lt;&gt;0,TblTech[[#This Row],[Hour]:[Hour]]&gt;=W$2),1,0)</f>
        <v>0</v>
      </c>
      <c r="X125" s="329" t="n">
        <f aca="false" t="array" ref="X125:X125">IF(AND(X$2&lt;&gt;0,TblTech[[#This Row],[Hour]:[Hour]]&gt;=X$2),1,0)</f>
        <v>0</v>
      </c>
      <c r="Y125" s="329" t="n">
        <f aca="false" t="array" ref="Y125:Y125">IF(AND(Y$2&lt;&gt;0,TblTech[[#This Row],[Hour]:[Hour]]&gt;=Y$2),1,0)</f>
        <v>0</v>
      </c>
      <c r="Z125" s="329" t="n">
        <f aca="false" t="array" ref="Z125:Z125">IF(AND(Z$2&lt;&gt;0,TblTech[[#This Row],[Hour]:[Hour]]&gt;=Z$2),1,0)</f>
        <v>0</v>
      </c>
      <c r="AA125" s="329" t="n">
        <f aca="false" t="array" ref="AA125:AA125">IF(AND(AA$2&lt;&gt;0,TblTech[[#This Row],[Hour]:[Hour]]&gt;=AA$2),1,0)</f>
        <v>0</v>
      </c>
      <c r="AB125" s="329" t="n">
        <f aca="false" t="array" ref="AB125:AB125">IF(AND(AB$2&lt;&gt;0,TblTech[[#This Row],[Hour]:[Hour]]&gt;=AB$2),1,0)</f>
        <v>0</v>
      </c>
      <c r="AC125" s="329" t="n">
        <f aca="false" t="array" ref="AC125:AC125">IF(AND(AC$2&lt;&gt;0,TblTech[[#This Row],[Hour]:[Hour]]&gt;=AC$2),1,0)</f>
        <v>0</v>
      </c>
      <c r="AD125" s="329" t="n">
        <f aca="false" t="array" ref="AD125:AD125">IF(AND(AD$2&lt;&gt;0,TblTech[[#This Row],[Hour]:[Hour]]&gt;=AD$2),1,0)</f>
        <v>0</v>
      </c>
      <c r="AE125" s="329" t="n">
        <f aca="false" t="array" ref="AE125:AE125">IF(AND(AE$2&lt;&gt;0,TblTech[[#This Row],[Hour]:[Hour]]&gt;=AE$2),1,0)</f>
        <v>0</v>
      </c>
      <c r="AF125" s="329" t="n">
        <f aca="false" t="array" ref="AF125:AF125">IF(AND(AF$2&lt;&gt;0,TblTech[[#This Row],[Hour]:[Hour]]&gt;=AF$2),1,0)</f>
        <v>0</v>
      </c>
      <c r="AG125" s="329" t="n">
        <f aca="false" t="array" ref="AG125:AG125">IF(AND(AG$2&lt;&gt;0,TblTech[[#This Row],[Hour]:[Hour]]&gt;=AG$2),1,0)</f>
        <v>0</v>
      </c>
      <c r="AH125" s="329" t="n">
        <f aca="false" t="array" ref="AH125:AH125">IF(AND(AH$2&lt;&gt;0,TblTech[[#This Row],[Hour]:[Hour]]&gt;=AH$2),1,0)</f>
        <v>0</v>
      </c>
      <c r="AI125" s="329" t="n">
        <f aca="false" t="array" ref="AI125:AI125">IF(AND(AI$2&lt;&gt;0,TblTech[[#This Row],[Hour]:[Hour]]&gt;=AI$2),1,0)</f>
        <v>0</v>
      </c>
      <c r="AJ125" s="329" t="n">
        <f aca="false" t="array" ref="AJ125:AJ125">IF(AND(AJ$2&lt;&gt;0,TblTech[[#This Row],[Hour]:[Hour]]&gt;=AJ$2),1,0)</f>
        <v>0</v>
      </c>
      <c r="AK125" s="329" t="n">
        <f aca="false" t="array" ref="AK125:AK125">IF(AND(AK$2&lt;&gt;0,TblTech[[#This Row],[Hour]:[Hour]]&gt;=AK$2),1,0)</f>
        <v>0</v>
      </c>
      <c r="AL125" s="329" t="n">
        <f aca="false" t="array" ref="AL125:AL125">IF(AND(AL$2&lt;&gt;0,TblTech[[#This Row],[Hour]:[Hour]]&gt;=AL$2),1,0)</f>
        <v>0</v>
      </c>
      <c r="AM125" s="329" t="n">
        <f aca="false" t="array" ref="AM125:AM125">IF(AND(AM$2&lt;&gt;0,TblTech[[#This Row],[Hour]:[Hour]]&gt;=AM$2),1,0)</f>
        <v>0</v>
      </c>
      <c r="AN125" s="329" t="n">
        <f aca="false" t="array" ref="AN125:AN125">IF(AND(AN$2&lt;&gt;0,TblTech[[#This Row],[Hour]:[Hour]]&gt;=AN$2),1,0)</f>
        <v>0</v>
      </c>
      <c r="AO125" s="329" t="n">
        <f aca="false" t="array" ref="AO125:AO125">IF(AND(AO$2&lt;&gt;0,TblTech[[#This Row],[Hour]:[Hour]]&gt;=AO$2),1,0)</f>
        <v>0</v>
      </c>
      <c r="AP125" s="329" t="n">
        <f aca="false" t="array" ref="AP125:AP125">IF(AND(AP$2&lt;&gt;0,TblTech[[#This Row],[Hour]:[Hour]]&gt;=AP$2),1,0)</f>
        <v>0</v>
      </c>
      <c r="AQ125" s="329" t="n">
        <f aca="false" t="array" ref="AQ125:AQ125">IF(AND(AQ$2&lt;&gt;0,TblTech[[#This Row],[Hour]:[Hour]]&gt;=AQ$2),1,0)</f>
        <v>0</v>
      </c>
      <c r="AR125" s="329" t="n">
        <f aca="false" t="array" ref="AR125:AR125">IF(AND(AR$2&lt;&gt;0,TblTech[[#This Row],[Hour]:[Hour]]&gt;=AR$2),1,0)</f>
        <v>0</v>
      </c>
      <c r="AS125" s="329" t="n">
        <f aca="false" t="array" ref="AS125:AS125">IF(AND(AS$2&lt;&gt;0,TblTech[[#This Row],[Hour]:[Hour]]&gt;=AS$2),1,0)</f>
        <v>0</v>
      </c>
      <c r="AT125" s="329" t="n">
        <f aca="false" t="array" ref="AT125:AT125">IF(AND(AT$2&lt;&gt;0,TblTech[[#This Row],[Hour]:[Hour]]&gt;=AT$2),1,0)</f>
        <v>0</v>
      </c>
      <c r="AU125" s="329" t="n">
        <f aca="false" t="array" ref="AU125:AU125">IF(AND(AU$2&lt;&gt;0,TblTech[[#This Row],[Hour]:[Hour]]&gt;=AU$2),1,0)</f>
        <v>0</v>
      </c>
      <c r="AV125" s="329" t="n">
        <f aca="false" t="array" ref="AV125:AV125">IF(AND(AV$2&lt;&gt;0,TblTech[[#This Row],[Hour]:[Hour]]&gt;=AV$2),1,0)</f>
        <v>0</v>
      </c>
      <c r="AW125" s="329" t="n">
        <f aca="false" t="array" ref="AW125:AW125">IF(AND(AW$2&lt;&gt;0,TblTech[[#This Row],[Hour]:[Hour]]&gt;=AW$2),1,0)</f>
        <v>0</v>
      </c>
      <c r="AX125" s="329" t="n">
        <f aca="false" t="array" ref="AX125:AX125">IF(AND(AX$2&lt;&gt;0,TblTech[[#This Row],[Hour]:[Hour]]&gt;=AX$2),1,0)</f>
        <v>0</v>
      </c>
      <c r="AY125" s="329" t="n">
        <f aca="false" t="array" ref="AY125:AY125">IF(AND(AY$2&lt;&gt;0,TblTech[[#This Row],[Hour]:[Hour]]&gt;=AY$2),1,0)</f>
        <v>0</v>
      </c>
      <c r="AZ125" s="329" t="n">
        <f aca="false" t="array" ref="AZ125:AZ125">IF(AND(AZ$2&lt;&gt;0,TblTech[[#This Row],[Hour]:[Hour]]&gt;=AZ$2),1,0)</f>
        <v>0</v>
      </c>
      <c r="BA125" s="329" t="n">
        <f aca="false" t="array" ref="BA125:BA125">IF(AND(BA$2&lt;&gt;0,TblTech[[#This Row],[Hour]:[Hour]]&gt;=BA$2),1,0)</f>
        <v>0</v>
      </c>
      <c r="BB125" s="329" t="n">
        <f aca="false" t="array" ref="BB125:BB125">IF(AND(BB$2&lt;&gt;0,TblTech[[#This Row],[Hour]:[Hour]]&gt;=BB$2),1,0)</f>
        <v>0</v>
      </c>
      <c r="BC125" s="329" t="n">
        <f aca="false" t="array" ref="BC125:BC125">IF(AND(BC$2&lt;&gt;0,TblTech[[#This Row],[Hour]:[Hour]]&gt;=BC$2),1,0)</f>
        <v>0</v>
      </c>
      <c r="BD125" s="329" t="n">
        <f aca="false" t="array" ref="BD125:BD125">IF(AND(BD$2&lt;&gt;0,TblTech[[#This Row],[Hour]:[Hour]]&gt;=BD$2),1,0)</f>
        <v>0</v>
      </c>
      <c r="BE125" s="329" t="n">
        <f aca="false" t="array" ref="BE125:BE125">IF(AND(BE$2&lt;&gt;0,TblTech[[#This Row],[Hour]:[Hour]]&gt;=BE$2),1,0)</f>
        <v>0</v>
      </c>
      <c r="BF125" s="329" t="n">
        <f aca="false" t="array" ref="BF125:BF125">IF(AND(BF$2&lt;&gt;0,TblTech[[#This Row],[Hour]:[Hour]]&gt;=BF$2),1,0)</f>
        <v>0</v>
      </c>
      <c r="BG125" s="329" t="n">
        <f aca="false" t="array" ref="BG125:BG125">IF(AND(BG$2&lt;&gt;0,TblTech[[#This Row],[Hour]:[Hour]]&gt;=BG$2),1,0)</f>
        <v>0</v>
      </c>
      <c r="BH125" s="329" t="n">
        <f aca="false" t="array" ref="BH125:BH125">IF(AND(BH$2&lt;&gt;0,TblTech[[#This Row],[Hour]:[Hour]]&gt;=BH$2),1,0)</f>
        <v>0</v>
      </c>
      <c r="BI125" s="329" t="n">
        <f aca="false" t="array" ref="BI125:BI125">IF(AND(BI$2&lt;&gt;0,TblTech[[#This Row],[Hour]:[Hour]]&gt;=BI$2),1,0)</f>
        <v>0</v>
      </c>
      <c r="BJ125" s="329" t="n">
        <f aca="false" t="array" ref="BJ125:BJ125">IF(AND(BJ$2&lt;&gt;0,TblTech[[#This Row],[Hour]:[Hour]]&gt;=BJ$2),1,0)</f>
        <v>0</v>
      </c>
      <c r="BK125" s="329" t="n">
        <f aca="false" t="array" ref="BK125:BK125">IF(AND(BK$2&lt;&gt;0,TblTech[[#This Row],[Hour]:[Hour]]&gt;=BK$2),1,0)</f>
        <v>0</v>
      </c>
      <c r="BL125" s="329" t="n">
        <f aca="false" t="array" ref="BL125:BL125">IF(AND(BL$2&lt;&gt;0,TblTech[[#This Row],[Hour]:[Hour]]&gt;=BL$2),1,0)</f>
        <v>0</v>
      </c>
      <c r="BM125" s="329" t="n">
        <f aca="false" t="array" ref="BM125:BM125">IF(AND(BM$2&lt;&gt;0,TblTech[[#This Row],[Hour]:[Hour]]&gt;=BM$2),1,0)</f>
        <v>0</v>
      </c>
      <c r="BN125" s="329" t="n">
        <f aca="false" t="array" ref="BN125:BN125">IF(AND(BN$2&lt;&gt;0,TblTech[[#This Row],[Hour]:[Hour]]&gt;=BN$2),1,0)</f>
        <v>0</v>
      </c>
      <c r="BO125" s="329" t="n">
        <f aca="false" t="array" ref="BO125:BO125">IF(AND(BO$2&lt;&gt;0,TblTech[[#This Row],[Hour]:[Hour]]&gt;=BO$2),1,0)</f>
        <v>0</v>
      </c>
      <c r="BP125" s="329" t="n">
        <f aca="false" t="array" ref="BP125:BP125">IF(AND(BP$2&lt;&gt;0,TblTech[[#This Row],[Hour]:[Hour]]&gt;=BP$2),1,0)</f>
        <v>0</v>
      </c>
      <c r="BQ125" s="329" t="n">
        <f aca="false" t="array" ref="BQ125:BQ125">IF(AND(BQ$2&lt;&gt;0,TblTech[[#This Row],[Hour]:[Hour]]&gt;=BQ$2),1,0)</f>
        <v>0</v>
      </c>
      <c r="BR125" s="329" t="n">
        <f aca="false" t="array" ref="BR125:BR125">IF(AND(BR$2&lt;&gt;0,TblTech[[#This Row],[Hour]:[Hour]]&gt;=BR$2),1,0)</f>
        <v>0</v>
      </c>
      <c r="BS125" s="329" t="n">
        <f aca="false" t="array" ref="BS125:BS125">IF(AND(BS$2&lt;&gt;0,TblTech[[#This Row],[Hour]:[Hour]]&gt;=BS$2),1,0)</f>
        <v>0</v>
      </c>
      <c r="BT125" s="329" t="n">
        <f aca="false" t="array" ref="BT125:BT125">IF(AND(BT$2&lt;&gt;0,TblTech[[#This Row],[Hour]:[Hour]]&gt;=BT$2),1,0)</f>
        <v>0</v>
      </c>
      <c r="BU125" s="329" t="n">
        <f aca="false" t="array" ref="BU125:BU125">IF(AND(BU$2&lt;&gt;0,TblTech[[#This Row],[Hour]:[Hour]]&gt;=BU$2),1,0)</f>
        <v>0</v>
      </c>
      <c r="BV125" s="329" t="n">
        <f aca="false" t="array" ref="BV125:BV125">IF(AND(BV$2&lt;&gt;0,TblTech[[#This Row],[Hour]:[Hour]]&gt;=BV$2),1,0)</f>
        <v>0</v>
      </c>
      <c r="BW125" s="329" t="n">
        <f aca="false" t="array" ref="BW125:BW125">IF(AND(BW$2&lt;&gt;0,TblTech[[#This Row],[Hour]:[Hour]]&gt;=BW$2),1,0)</f>
        <v>0</v>
      </c>
      <c r="BX125" s="329" t="n">
        <f aca="false" t="array" ref="BX125:BX125">IF(AND(BX$2&lt;&gt;0,TblTech[[#This Row],[Hour]:[Hour]]&gt;=BX$2),1,0)</f>
        <v>0</v>
      </c>
      <c r="BY125" s="329" t="n">
        <f aca="false" t="array" ref="BY125:BY125">IF(AND(BY$2&lt;&gt;0,TblTech[[#This Row],[Hour]:[Hour]]&gt;=BY$2),1,0)</f>
        <v>0</v>
      </c>
      <c r="BZ125" s="329" t="n">
        <f aca="false" t="array" ref="BZ125:BZ125">IF(AND(BZ$2&lt;&gt;0,TblTech[[#This Row],[Hour]:[Hour]]&gt;=BZ$2),1,0)</f>
        <v>0</v>
      </c>
      <c r="CA125" s="330" t="n">
        <f aca="false">IFERROR(INDEX($H$4:$H$79,MATCH(INDEX(TblTech[[#Headers],[1-1]:[11-1]],1,MATCH(TblTech[[#This Row],[Hour]],$M$2:$BZ$2,0)),$G$4:$G$79,0)),)</f>
        <v>0</v>
      </c>
    </row>
    <row r="126" customFormat="false" ht="12.75" hidden="false" customHeight="false" outlineLevel="0" collapsed="false">
      <c r="A126" s="321" t="n">
        <f aca="false">TblRezone[[#This Row],[Hour]]</f>
        <v>123</v>
      </c>
      <c r="B126" s="322" t="n">
        <f aca="false">TblExplore[[#This Row],[Land-DB]]</f>
        <v>700</v>
      </c>
      <c r="C126" s="323" t="n">
        <f aca="false">TblProd[[#This Row],[Techpoints]]</f>
        <v>1400</v>
      </c>
      <c r="D126" s="323" t="n">
        <f aca="false">TblProd[[#This Row],[Required]]</f>
        <v>3750</v>
      </c>
      <c r="E126" s="333"/>
      <c r="F126" s="334"/>
      <c r="G126" s="326"/>
      <c r="H126" s="327"/>
      <c r="I126" s="327"/>
      <c r="J126" s="327"/>
      <c r="K126" s="68" t="n">
        <f aca="false">IF(TblTech[[#This Row],[Sum of tech]]&lt;&gt;OFFSET(TblTech[[#This Row],[Sum of tech]],-1,0),1,0)</f>
        <v>0</v>
      </c>
      <c r="L126" s="328" t="n">
        <f aca="false">COUNTIF(TblTech[[#This Row],[1-1]:[11-1]],1)</f>
        <v>0</v>
      </c>
      <c r="M126" s="329" t="n">
        <f aca="false" t="array" ref="M126:M126">IF(AND(M$2&lt;&gt;0,TblTech[[#This Row],[Hour]:[Hour]]&gt;=M$2),1,0)</f>
        <v>0</v>
      </c>
      <c r="N126" s="329" t="n">
        <f aca="false" t="array" ref="N126:N126">IF(AND(N$2&lt;&gt;0,TblTech[[#This Row],[Hour]:[Hour]]&gt;=N$2),1,0)</f>
        <v>0</v>
      </c>
      <c r="O126" s="329" t="n">
        <f aca="false" t="array" ref="O126:O126">IF(AND(O$2&lt;&gt;0,TblTech[[#This Row],[Hour]:[Hour]]&gt;=O$2),1,0)</f>
        <v>0</v>
      </c>
      <c r="P126" s="329" t="n">
        <f aca="false" t="array" ref="P126:P126">IF(AND(P$2&lt;&gt;0,TblTech[[#This Row],[Hour]:[Hour]]&gt;=P$2),1,0)</f>
        <v>0</v>
      </c>
      <c r="Q126" s="329" t="n">
        <f aca="false" t="array" ref="Q126:Q126">IF(AND(Q$2&lt;&gt;0,TblTech[[#This Row],[Hour]:[Hour]]&gt;=Q$2),1,0)</f>
        <v>0</v>
      </c>
      <c r="R126" s="329" t="n">
        <f aca="false" t="array" ref="R126:R126">IF(AND(R$2&lt;&gt;0,TblTech[[#This Row],[Hour]:[Hour]]&gt;=R$2),1,0)</f>
        <v>0</v>
      </c>
      <c r="S126" s="329" t="n">
        <f aca="false" t="array" ref="S126:S126">IF(AND(S$2&lt;&gt;0,TblTech[[#This Row],[Hour]:[Hour]]&gt;=S$2),1,0)</f>
        <v>0</v>
      </c>
      <c r="T126" s="329" t="n">
        <f aca="false" t="array" ref="T126:T126">IF(AND(T$2&lt;&gt;0,TblTech[[#This Row],[Hour]:[Hour]]&gt;=T$2),1,0)</f>
        <v>0</v>
      </c>
      <c r="U126" s="329" t="n">
        <f aca="false" t="array" ref="U126:U126">IF(AND(U$2&lt;&gt;0,TblTech[[#This Row],[Hour]:[Hour]]&gt;=U$2),1,0)</f>
        <v>0</v>
      </c>
      <c r="V126" s="329" t="n">
        <f aca="false" t="array" ref="V126:V126">IF(AND(V$2&lt;&gt;0,TblTech[[#This Row],[Hour]:[Hour]]&gt;=V$2),1,0)</f>
        <v>0</v>
      </c>
      <c r="W126" s="329" t="n">
        <f aca="false" t="array" ref="W126:W126">IF(AND(W$2&lt;&gt;0,TblTech[[#This Row],[Hour]:[Hour]]&gt;=W$2),1,0)</f>
        <v>0</v>
      </c>
      <c r="X126" s="329" t="n">
        <f aca="false" t="array" ref="X126:X126">IF(AND(X$2&lt;&gt;0,TblTech[[#This Row],[Hour]:[Hour]]&gt;=X$2),1,0)</f>
        <v>0</v>
      </c>
      <c r="Y126" s="329" t="n">
        <f aca="false" t="array" ref="Y126:Y126">IF(AND(Y$2&lt;&gt;0,TblTech[[#This Row],[Hour]:[Hour]]&gt;=Y$2),1,0)</f>
        <v>0</v>
      </c>
      <c r="Z126" s="329" t="n">
        <f aca="false" t="array" ref="Z126:Z126">IF(AND(Z$2&lt;&gt;0,TblTech[[#This Row],[Hour]:[Hour]]&gt;=Z$2),1,0)</f>
        <v>0</v>
      </c>
      <c r="AA126" s="329" t="n">
        <f aca="false" t="array" ref="AA126:AA126">IF(AND(AA$2&lt;&gt;0,TblTech[[#This Row],[Hour]:[Hour]]&gt;=AA$2),1,0)</f>
        <v>0</v>
      </c>
      <c r="AB126" s="329" t="n">
        <f aca="false" t="array" ref="AB126:AB126">IF(AND(AB$2&lt;&gt;0,TblTech[[#This Row],[Hour]:[Hour]]&gt;=AB$2),1,0)</f>
        <v>0</v>
      </c>
      <c r="AC126" s="329" t="n">
        <f aca="false" t="array" ref="AC126:AC126">IF(AND(AC$2&lt;&gt;0,TblTech[[#This Row],[Hour]:[Hour]]&gt;=AC$2),1,0)</f>
        <v>0</v>
      </c>
      <c r="AD126" s="329" t="n">
        <f aca="false" t="array" ref="AD126:AD126">IF(AND(AD$2&lt;&gt;0,TblTech[[#This Row],[Hour]:[Hour]]&gt;=AD$2),1,0)</f>
        <v>0</v>
      </c>
      <c r="AE126" s="329" t="n">
        <f aca="false" t="array" ref="AE126:AE126">IF(AND(AE$2&lt;&gt;0,TblTech[[#This Row],[Hour]:[Hour]]&gt;=AE$2),1,0)</f>
        <v>0</v>
      </c>
      <c r="AF126" s="329" t="n">
        <f aca="false" t="array" ref="AF126:AF126">IF(AND(AF$2&lt;&gt;0,TblTech[[#This Row],[Hour]:[Hour]]&gt;=AF$2),1,0)</f>
        <v>0</v>
      </c>
      <c r="AG126" s="329" t="n">
        <f aca="false" t="array" ref="AG126:AG126">IF(AND(AG$2&lt;&gt;0,TblTech[[#This Row],[Hour]:[Hour]]&gt;=AG$2),1,0)</f>
        <v>0</v>
      </c>
      <c r="AH126" s="329" t="n">
        <f aca="false" t="array" ref="AH126:AH126">IF(AND(AH$2&lt;&gt;0,TblTech[[#This Row],[Hour]:[Hour]]&gt;=AH$2),1,0)</f>
        <v>0</v>
      </c>
      <c r="AI126" s="329" t="n">
        <f aca="false" t="array" ref="AI126:AI126">IF(AND(AI$2&lt;&gt;0,TblTech[[#This Row],[Hour]:[Hour]]&gt;=AI$2),1,0)</f>
        <v>0</v>
      </c>
      <c r="AJ126" s="329" t="n">
        <f aca="false" t="array" ref="AJ126:AJ126">IF(AND(AJ$2&lt;&gt;0,TblTech[[#This Row],[Hour]:[Hour]]&gt;=AJ$2),1,0)</f>
        <v>0</v>
      </c>
      <c r="AK126" s="329" t="n">
        <f aca="false" t="array" ref="AK126:AK126">IF(AND(AK$2&lt;&gt;0,TblTech[[#This Row],[Hour]:[Hour]]&gt;=AK$2),1,0)</f>
        <v>0</v>
      </c>
      <c r="AL126" s="329" t="n">
        <f aca="false" t="array" ref="AL126:AL126">IF(AND(AL$2&lt;&gt;0,TblTech[[#This Row],[Hour]:[Hour]]&gt;=AL$2),1,0)</f>
        <v>0</v>
      </c>
      <c r="AM126" s="329" t="n">
        <f aca="false" t="array" ref="AM126:AM126">IF(AND(AM$2&lt;&gt;0,TblTech[[#This Row],[Hour]:[Hour]]&gt;=AM$2),1,0)</f>
        <v>0</v>
      </c>
      <c r="AN126" s="329" t="n">
        <f aca="false" t="array" ref="AN126:AN126">IF(AND(AN$2&lt;&gt;0,TblTech[[#This Row],[Hour]:[Hour]]&gt;=AN$2),1,0)</f>
        <v>0</v>
      </c>
      <c r="AO126" s="329" t="n">
        <f aca="false" t="array" ref="AO126:AO126">IF(AND(AO$2&lt;&gt;0,TblTech[[#This Row],[Hour]:[Hour]]&gt;=AO$2),1,0)</f>
        <v>0</v>
      </c>
      <c r="AP126" s="329" t="n">
        <f aca="false" t="array" ref="AP126:AP126">IF(AND(AP$2&lt;&gt;0,TblTech[[#This Row],[Hour]:[Hour]]&gt;=AP$2),1,0)</f>
        <v>0</v>
      </c>
      <c r="AQ126" s="329" t="n">
        <f aca="false" t="array" ref="AQ126:AQ126">IF(AND(AQ$2&lt;&gt;0,TblTech[[#This Row],[Hour]:[Hour]]&gt;=AQ$2),1,0)</f>
        <v>0</v>
      </c>
      <c r="AR126" s="329" t="n">
        <f aca="false" t="array" ref="AR126:AR126">IF(AND(AR$2&lt;&gt;0,TblTech[[#This Row],[Hour]:[Hour]]&gt;=AR$2),1,0)</f>
        <v>0</v>
      </c>
      <c r="AS126" s="329" t="n">
        <f aca="false" t="array" ref="AS126:AS126">IF(AND(AS$2&lt;&gt;0,TblTech[[#This Row],[Hour]:[Hour]]&gt;=AS$2),1,0)</f>
        <v>0</v>
      </c>
      <c r="AT126" s="329" t="n">
        <f aca="false" t="array" ref="AT126:AT126">IF(AND(AT$2&lt;&gt;0,TblTech[[#This Row],[Hour]:[Hour]]&gt;=AT$2),1,0)</f>
        <v>0</v>
      </c>
      <c r="AU126" s="329" t="n">
        <f aca="false" t="array" ref="AU126:AU126">IF(AND(AU$2&lt;&gt;0,TblTech[[#This Row],[Hour]:[Hour]]&gt;=AU$2),1,0)</f>
        <v>0</v>
      </c>
      <c r="AV126" s="329" t="n">
        <f aca="false" t="array" ref="AV126:AV126">IF(AND(AV$2&lt;&gt;0,TblTech[[#This Row],[Hour]:[Hour]]&gt;=AV$2),1,0)</f>
        <v>0</v>
      </c>
      <c r="AW126" s="329" t="n">
        <f aca="false" t="array" ref="AW126:AW126">IF(AND(AW$2&lt;&gt;0,TblTech[[#This Row],[Hour]:[Hour]]&gt;=AW$2),1,0)</f>
        <v>0</v>
      </c>
      <c r="AX126" s="329" t="n">
        <f aca="false" t="array" ref="AX126:AX126">IF(AND(AX$2&lt;&gt;0,TblTech[[#This Row],[Hour]:[Hour]]&gt;=AX$2),1,0)</f>
        <v>0</v>
      </c>
      <c r="AY126" s="329" t="n">
        <f aca="false" t="array" ref="AY126:AY126">IF(AND(AY$2&lt;&gt;0,TblTech[[#This Row],[Hour]:[Hour]]&gt;=AY$2),1,0)</f>
        <v>0</v>
      </c>
      <c r="AZ126" s="329" t="n">
        <f aca="false" t="array" ref="AZ126:AZ126">IF(AND(AZ$2&lt;&gt;0,TblTech[[#This Row],[Hour]:[Hour]]&gt;=AZ$2),1,0)</f>
        <v>0</v>
      </c>
      <c r="BA126" s="329" t="n">
        <f aca="false" t="array" ref="BA126:BA126">IF(AND(BA$2&lt;&gt;0,TblTech[[#This Row],[Hour]:[Hour]]&gt;=BA$2),1,0)</f>
        <v>0</v>
      </c>
      <c r="BB126" s="329" t="n">
        <f aca="false" t="array" ref="BB126:BB126">IF(AND(BB$2&lt;&gt;0,TblTech[[#This Row],[Hour]:[Hour]]&gt;=BB$2),1,0)</f>
        <v>0</v>
      </c>
      <c r="BC126" s="329" t="n">
        <f aca="false" t="array" ref="BC126:BC126">IF(AND(BC$2&lt;&gt;0,TblTech[[#This Row],[Hour]:[Hour]]&gt;=BC$2),1,0)</f>
        <v>0</v>
      </c>
      <c r="BD126" s="329" t="n">
        <f aca="false" t="array" ref="BD126:BD126">IF(AND(BD$2&lt;&gt;0,TblTech[[#This Row],[Hour]:[Hour]]&gt;=BD$2),1,0)</f>
        <v>0</v>
      </c>
      <c r="BE126" s="329" t="n">
        <f aca="false" t="array" ref="BE126:BE126">IF(AND(BE$2&lt;&gt;0,TblTech[[#This Row],[Hour]:[Hour]]&gt;=BE$2),1,0)</f>
        <v>0</v>
      </c>
      <c r="BF126" s="329" t="n">
        <f aca="false" t="array" ref="BF126:BF126">IF(AND(BF$2&lt;&gt;0,TblTech[[#This Row],[Hour]:[Hour]]&gt;=BF$2),1,0)</f>
        <v>0</v>
      </c>
      <c r="BG126" s="329" t="n">
        <f aca="false" t="array" ref="BG126:BG126">IF(AND(BG$2&lt;&gt;0,TblTech[[#This Row],[Hour]:[Hour]]&gt;=BG$2),1,0)</f>
        <v>0</v>
      </c>
      <c r="BH126" s="329" t="n">
        <f aca="false" t="array" ref="BH126:BH126">IF(AND(BH$2&lt;&gt;0,TblTech[[#This Row],[Hour]:[Hour]]&gt;=BH$2),1,0)</f>
        <v>0</v>
      </c>
      <c r="BI126" s="329" t="n">
        <f aca="false" t="array" ref="BI126:BI126">IF(AND(BI$2&lt;&gt;0,TblTech[[#This Row],[Hour]:[Hour]]&gt;=BI$2),1,0)</f>
        <v>0</v>
      </c>
      <c r="BJ126" s="329" t="n">
        <f aca="false" t="array" ref="BJ126:BJ126">IF(AND(BJ$2&lt;&gt;0,TblTech[[#This Row],[Hour]:[Hour]]&gt;=BJ$2),1,0)</f>
        <v>0</v>
      </c>
      <c r="BK126" s="329" t="n">
        <f aca="false" t="array" ref="BK126:BK126">IF(AND(BK$2&lt;&gt;0,TblTech[[#This Row],[Hour]:[Hour]]&gt;=BK$2),1,0)</f>
        <v>0</v>
      </c>
      <c r="BL126" s="329" t="n">
        <f aca="false" t="array" ref="BL126:BL126">IF(AND(BL$2&lt;&gt;0,TblTech[[#This Row],[Hour]:[Hour]]&gt;=BL$2),1,0)</f>
        <v>0</v>
      </c>
      <c r="BM126" s="329" t="n">
        <f aca="false" t="array" ref="BM126:BM126">IF(AND(BM$2&lt;&gt;0,TblTech[[#This Row],[Hour]:[Hour]]&gt;=BM$2),1,0)</f>
        <v>0</v>
      </c>
      <c r="BN126" s="329" t="n">
        <f aca="false" t="array" ref="BN126:BN126">IF(AND(BN$2&lt;&gt;0,TblTech[[#This Row],[Hour]:[Hour]]&gt;=BN$2),1,0)</f>
        <v>0</v>
      </c>
      <c r="BO126" s="329" t="n">
        <f aca="false" t="array" ref="BO126:BO126">IF(AND(BO$2&lt;&gt;0,TblTech[[#This Row],[Hour]:[Hour]]&gt;=BO$2),1,0)</f>
        <v>0</v>
      </c>
      <c r="BP126" s="329" t="n">
        <f aca="false" t="array" ref="BP126:BP126">IF(AND(BP$2&lt;&gt;0,TblTech[[#This Row],[Hour]:[Hour]]&gt;=BP$2),1,0)</f>
        <v>0</v>
      </c>
      <c r="BQ126" s="329" t="n">
        <f aca="false" t="array" ref="BQ126:BQ126">IF(AND(BQ$2&lt;&gt;0,TblTech[[#This Row],[Hour]:[Hour]]&gt;=BQ$2),1,0)</f>
        <v>0</v>
      </c>
      <c r="BR126" s="329" t="n">
        <f aca="false" t="array" ref="BR126:BR126">IF(AND(BR$2&lt;&gt;0,TblTech[[#This Row],[Hour]:[Hour]]&gt;=BR$2),1,0)</f>
        <v>0</v>
      </c>
      <c r="BS126" s="329" t="n">
        <f aca="false" t="array" ref="BS126:BS126">IF(AND(BS$2&lt;&gt;0,TblTech[[#This Row],[Hour]:[Hour]]&gt;=BS$2),1,0)</f>
        <v>0</v>
      </c>
      <c r="BT126" s="329" t="n">
        <f aca="false" t="array" ref="BT126:BT126">IF(AND(BT$2&lt;&gt;0,TblTech[[#This Row],[Hour]:[Hour]]&gt;=BT$2),1,0)</f>
        <v>0</v>
      </c>
      <c r="BU126" s="329" t="n">
        <f aca="false" t="array" ref="BU126:BU126">IF(AND(BU$2&lt;&gt;0,TblTech[[#This Row],[Hour]:[Hour]]&gt;=BU$2),1,0)</f>
        <v>0</v>
      </c>
      <c r="BV126" s="329" t="n">
        <f aca="false" t="array" ref="BV126:BV126">IF(AND(BV$2&lt;&gt;0,TblTech[[#This Row],[Hour]:[Hour]]&gt;=BV$2),1,0)</f>
        <v>0</v>
      </c>
      <c r="BW126" s="329" t="n">
        <f aca="false" t="array" ref="BW126:BW126">IF(AND(BW$2&lt;&gt;0,TblTech[[#This Row],[Hour]:[Hour]]&gt;=BW$2),1,0)</f>
        <v>0</v>
      </c>
      <c r="BX126" s="329" t="n">
        <f aca="false" t="array" ref="BX126:BX126">IF(AND(BX$2&lt;&gt;0,TblTech[[#This Row],[Hour]:[Hour]]&gt;=BX$2),1,0)</f>
        <v>0</v>
      </c>
      <c r="BY126" s="329" t="n">
        <f aca="false" t="array" ref="BY126:BY126">IF(AND(BY$2&lt;&gt;0,TblTech[[#This Row],[Hour]:[Hour]]&gt;=BY$2),1,0)</f>
        <v>0</v>
      </c>
      <c r="BZ126" s="329" t="n">
        <f aca="false" t="array" ref="BZ126:BZ126">IF(AND(BZ$2&lt;&gt;0,TblTech[[#This Row],[Hour]:[Hour]]&gt;=BZ$2),1,0)</f>
        <v>0</v>
      </c>
      <c r="CA126" s="330" t="n">
        <f aca="false">IFERROR(INDEX($H$4:$H$79,MATCH(INDEX(TblTech[[#Headers],[1-1]:[11-1]],1,MATCH(TblTech[[#This Row],[Hour]],$M$2:$BZ$2,0)),$G$4:$G$79,0)),)</f>
        <v>0</v>
      </c>
    </row>
    <row r="127" customFormat="false" ht="12.75" hidden="false" customHeight="false" outlineLevel="0" collapsed="false">
      <c r="A127" s="321" t="n">
        <f aca="false">TblRezone[[#This Row],[Hour]]</f>
        <v>124</v>
      </c>
      <c r="B127" s="322" t="n">
        <f aca="false">TblExplore[[#This Row],[Land-DB]]</f>
        <v>700</v>
      </c>
      <c r="C127" s="323" t="n">
        <f aca="false">TblProd[[#This Row],[Techpoints]]</f>
        <v>1400</v>
      </c>
      <c r="D127" s="323" t="n">
        <f aca="false">TblProd[[#This Row],[Required]]</f>
        <v>3750</v>
      </c>
      <c r="E127" s="333"/>
      <c r="F127" s="334"/>
      <c r="G127" s="326"/>
      <c r="H127" s="327"/>
      <c r="I127" s="327"/>
      <c r="J127" s="327"/>
      <c r="K127" s="68" t="n">
        <f aca="false">IF(TblTech[[#This Row],[Sum of tech]]&lt;&gt;OFFSET(TblTech[[#This Row],[Sum of tech]],-1,0),1,0)</f>
        <v>0</v>
      </c>
      <c r="L127" s="328" t="n">
        <f aca="false">COUNTIF(TblTech[[#This Row],[1-1]:[11-1]],1)</f>
        <v>0</v>
      </c>
      <c r="M127" s="329" t="n">
        <f aca="false" t="array" ref="M127:M127">IF(AND(M$2&lt;&gt;0,TblTech[[#This Row],[Hour]:[Hour]]&gt;=M$2),1,0)</f>
        <v>0</v>
      </c>
      <c r="N127" s="329" t="n">
        <f aca="false" t="array" ref="N127:N127">IF(AND(N$2&lt;&gt;0,TblTech[[#This Row],[Hour]:[Hour]]&gt;=N$2),1,0)</f>
        <v>0</v>
      </c>
      <c r="O127" s="329" t="n">
        <f aca="false" t="array" ref="O127:O127">IF(AND(O$2&lt;&gt;0,TblTech[[#This Row],[Hour]:[Hour]]&gt;=O$2),1,0)</f>
        <v>0</v>
      </c>
      <c r="P127" s="329" t="n">
        <f aca="false" t="array" ref="P127:P127">IF(AND(P$2&lt;&gt;0,TblTech[[#This Row],[Hour]:[Hour]]&gt;=P$2),1,0)</f>
        <v>0</v>
      </c>
      <c r="Q127" s="329" t="n">
        <f aca="false" t="array" ref="Q127:Q127">IF(AND(Q$2&lt;&gt;0,TblTech[[#This Row],[Hour]:[Hour]]&gt;=Q$2),1,0)</f>
        <v>0</v>
      </c>
      <c r="R127" s="329" t="n">
        <f aca="false" t="array" ref="R127:R127">IF(AND(R$2&lt;&gt;0,TblTech[[#This Row],[Hour]:[Hour]]&gt;=R$2),1,0)</f>
        <v>0</v>
      </c>
      <c r="S127" s="329" t="n">
        <f aca="false" t="array" ref="S127:S127">IF(AND(S$2&lt;&gt;0,TblTech[[#This Row],[Hour]:[Hour]]&gt;=S$2),1,0)</f>
        <v>0</v>
      </c>
      <c r="T127" s="329" t="n">
        <f aca="false" t="array" ref="T127:T127">IF(AND(T$2&lt;&gt;0,TblTech[[#This Row],[Hour]:[Hour]]&gt;=T$2),1,0)</f>
        <v>0</v>
      </c>
      <c r="U127" s="329" t="n">
        <f aca="false" t="array" ref="U127:U127">IF(AND(U$2&lt;&gt;0,TblTech[[#This Row],[Hour]:[Hour]]&gt;=U$2),1,0)</f>
        <v>0</v>
      </c>
      <c r="V127" s="329" t="n">
        <f aca="false" t="array" ref="V127:V127">IF(AND(V$2&lt;&gt;0,TblTech[[#This Row],[Hour]:[Hour]]&gt;=V$2),1,0)</f>
        <v>0</v>
      </c>
      <c r="W127" s="329" t="n">
        <f aca="false" t="array" ref="W127:W127">IF(AND(W$2&lt;&gt;0,TblTech[[#This Row],[Hour]:[Hour]]&gt;=W$2),1,0)</f>
        <v>0</v>
      </c>
      <c r="X127" s="329" t="n">
        <f aca="false" t="array" ref="X127:X127">IF(AND(X$2&lt;&gt;0,TblTech[[#This Row],[Hour]:[Hour]]&gt;=X$2),1,0)</f>
        <v>0</v>
      </c>
      <c r="Y127" s="329" t="n">
        <f aca="false" t="array" ref="Y127:Y127">IF(AND(Y$2&lt;&gt;0,TblTech[[#This Row],[Hour]:[Hour]]&gt;=Y$2),1,0)</f>
        <v>0</v>
      </c>
      <c r="Z127" s="329" t="n">
        <f aca="false" t="array" ref="Z127:Z127">IF(AND(Z$2&lt;&gt;0,TblTech[[#This Row],[Hour]:[Hour]]&gt;=Z$2),1,0)</f>
        <v>0</v>
      </c>
      <c r="AA127" s="329" t="n">
        <f aca="false" t="array" ref="AA127:AA127">IF(AND(AA$2&lt;&gt;0,TblTech[[#This Row],[Hour]:[Hour]]&gt;=AA$2),1,0)</f>
        <v>0</v>
      </c>
      <c r="AB127" s="329" t="n">
        <f aca="false" t="array" ref="AB127:AB127">IF(AND(AB$2&lt;&gt;0,TblTech[[#This Row],[Hour]:[Hour]]&gt;=AB$2),1,0)</f>
        <v>0</v>
      </c>
      <c r="AC127" s="329" t="n">
        <f aca="false" t="array" ref="AC127:AC127">IF(AND(AC$2&lt;&gt;0,TblTech[[#This Row],[Hour]:[Hour]]&gt;=AC$2),1,0)</f>
        <v>0</v>
      </c>
      <c r="AD127" s="329" t="n">
        <f aca="false" t="array" ref="AD127:AD127">IF(AND(AD$2&lt;&gt;0,TblTech[[#This Row],[Hour]:[Hour]]&gt;=AD$2),1,0)</f>
        <v>0</v>
      </c>
      <c r="AE127" s="329" t="n">
        <f aca="false" t="array" ref="AE127:AE127">IF(AND(AE$2&lt;&gt;0,TblTech[[#This Row],[Hour]:[Hour]]&gt;=AE$2),1,0)</f>
        <v>0</v>
      </c>
      <c r="AF127" s="329" t="n">
        <f aca="false" t="array" ref="AF127:AF127">IF(AND(AF$2&lt;&gt;0,TblTech[[#This Row],[Hour]:[Hour]]&gt;=AF$2),1,0)</f>
        <v>0</v>
      </c>
      <c r="AG127" s="329" t="n">
        <f aca="false" t="array" ref="AG127:AG127">IF(AND(AG$2&lt;&gt;0,TblTech[[#This Row],[Hour]:[Hour]]&gt;=AG$2),1,0)</f>
        <v>0</v>
      </c>
      <c r="AH127" s="329" t="n">
        <f aca="false" t="array" ref="AH127:AH127">IF(AND(AH$2&lt;&gt;0,TblTech[[#This Row],[Hour]:[Hour]]&gt;=AH$2),1,0)</f>
        <v>0</v>
      </c>
      <c r="AI127" s="329" t="n">
        <f aca="false" t="array" ref="AI127:AI127">IF(AND(AI$2&lt;&gt;0,TblTech[[#This Row],[Hour]:[Hour]]&gt;=AI$2),1,0)</f>
        <v>0</v>
      </c>
      <c r="AJ127" s="329" t="n">
        <f aca="false" t="array" ref="AJ127:AJ127">IF(AND(AJ$2&lt;&gt;0,TblTech[[#This Row],[Hour]:[Hour]]&gt;=AJ$2),1,0)</f>
        <v>0</v>
      </c>
      <c r="AK127" s="329" t="n">
        <f aca="false" t="array" ref="AK127:AK127">IF(AND(AK$2&lt;&gt;0,TblTech[[#This Row],[Hour]:[Hour]]&gt;=AK$2),1,0)</f>
        <v>0</v>
      </c>
      <c r="AL127" s="329" t="n">
        <f aca="false" t="array" ref="AL127:AL127">IF(AND(AL$2&lt;&gt;0,TblTech[[#This Row],[Hour]:[Hour]]&gt;=AL$2),1,0)</f>
        <v>0</v>
      </c>
      <c r="AM127" s="329" t="n">
        <f aca="false" t="array" ref="AM127:AM127">IF(AND(AM$2&lt;&gt;0,TblTech[[#This Row],[Hour]:[Hour]]&gt;=AM$2),1,0)</f>
        <v>0</v>
      </c>
      <c r="AN127" s="329" t="n">
        <f aca="false" t="array" ref="AN127:AN127">IF(AND(AN$2&lt;&gt;0,TblTech[[#This Row],[Hour]:[Hour]]&gt;=AN$2),1,0)</f>
        <v>0</v>
      </c>
      <c r="AO127" s="329" t="n">
        <f aca="false" t="array" ref="AO127:AO127">IF(AND(AO$2&lt;&gt;0,TblTech[[#This Row],[Hour]:[Hour]]&gt;=AO$2),1,0)</f>
        <v>0</v>
      </c>
      <c r="AP127" s="329" t="n">
        <f aca="false" t="array" ref="AP127:AP127">IF(AND(AP$2&lt;&gt;0,TblTech[[#This Row],[Hour]:[Hour]]&gt;=AP$2),1,0)</f>
        <v>0</v>
      </c>
      <c r="AQ127" s="329" t="n">
        <f aca="false" t="array" ref="AQ127:AQ127">IF(AND(AQ$2&lt;&gt;0,TblTech[[#This Row],[Hour]:[Hour]]&gt;=AQ$2),1,0)</f>
        <v>0</v>
      </c>
      <c r="AR127" s="329" t="n">
        <f aca="false" t="array" ref="AR127:AR127">IF(AND(AR$2&lt;&gt;0,TblTech[[#This Row],[Hour]:[Hour]]&gt;=AR$2),1,0)</f>
        <v>0</v>
      </c>
      <c r="AS127" s="329" t="n">
        <f aca="false" t="array" ref="AS127:AS127">IF(AND(AS$2&lt;&gt;0,TblTech[[#This Row],[Hour]:[Hour]]&gt;=AS$2),1,0)</f>
        <v>0</v>
      </c>
      <c r="AT127" s="329" t="n">
        <f aca="false" t="array" ref="AT127:AT127">IF(AND(AT$2&lt;&gt;0,TblTech[[#This Row],[Hour]:[Hour]]&gt;=AT$2),1,0)</f>
        <v>0</v>
      </c>
      <c r="AU127" s="329" t="n">
        <f aca="false" t="array" ref="AU127:AU127">IF(AND(AU$2&lt;&gt;0,TblTech[[#This Row],[Hour]:[Hour]]&gt;=AU$2),1,0)</f>
        <v>0</v>
      </c>
      <c r="AV127" s="329" t="n">
        <f aca="false" t="array" ref="AV127:AV127">IF(AND(AV$2&lt;&gt;0,TblTech[[#This Row],[Hour]:[Hour]]&gt;=AV$2),1,0)</f>
        <v>0</v>
      </c>
      <c r="AW127" s="329" t="n">
        <f aca="false" t="array" ref="AW127:AW127">IF(AND(AW$2&lt;&gt;0,TblTech[[#This Row],[Hour]:[Hour]]&gt;=AW$2),1,0)</f>
        <v>0</v>
      </c>
      <c r="AX127" s="329" t="n">
        <f aca="false" t="array" ref="AX127:AX127">IF(AND(AX$2&lt;&gt;0,TblTech[[#This Row],[Hour]:[Hour]]&gt;=AX$2),1,0)</f>
        <v>0</v>
      </c>
      <c r="AY127" s="329" t="n">
        <f aca="false" t="array" ref="AY127:AY127">IF(AND(AY$2&lt;&gt;0,TblTech[[#This Row],[Hour]:[Hour]]&gt;=AY$2),1,0)</f>
        <v>0</v>
      </c>
      <c r="AZ127" s="329" t="n">
        <f aca="false" t="array" ref="AZ127:AZ127">IF(AND(AZ$2&lt;&gt;0,TblTech[[#This Row],[Hour]:[Hour]]&gt;=AZ$2),1,0)</f>
        <v>0</v>
      </c>
      <c r="BA127" s="329" t="n">
        <f aca="false" t="array" ref="BA127:BA127">IF(AND(BA$2&lt;&gt;0,TblTech[[#This Row],[Hour]:[Hour]]&gt;=BA$2),1,0)</f>
        <v>0</v>
      </c>
      <c r="BB127" s="329" t="n">
        <f aca="false" t="array" ref="BB127:BB127">IF(AND(BB$2&lt;&gt;0,TblTech[[#This Row],[Hour]:[Hour]]&gt;=BB$2),1,0)</f>
        <v>0</v>
      </c>
      <c r="BC127" s="329" t="n">
        <f aca="false" t="array" ref="BC127:BC127">IF(AND(BC$2&lt;&gt;0,TblTech[[#This Row],[Hour]:[Hour]]&gt;=BC$2),1,0)</f>
        <v>0</v>
      </c>
      <c r="BD127" s="329" t="n">
        <f aca="false" t="array" ref="BD127:BD127">IF(AND(BD$2&lt;&gt;0,TblTech[[#This Row],[Hour]:[Hour]]&gt;=BD$2),1,0)</f>
        <v>0</v>
      </c>
      <c r="BE127" s="329" t="n">
        <f aca="false" t="array" ref="BE127:BE127">IF(AND(BE$2&lt;&gt;0,TblTech[[#This Row],[Hour]:[Hour]]&gt;=BE$2),1,0)</f>
        <v>0</v>
      </c>
      <c r="BF127" s="329" t="n">
        <f aca="false" t="array" ref="BF127:BF127">IF(AND(BF$2&lt;&gt;0,TblTech[[#This Row],[Hour]:[Hour]]&gt;=BF$2),1,0)</f>
        <v>0</v>
      </c>
      <c r="BG127" s="329" t="n">
        <f aca="false" t="array" ref="BG127:BG127">IF(AND(BG$2&lt;&gt;0,TblTech[[#This Row],[Hour]:[Hour]]&gt;=BG$2),1,0)</f>
        <v>0</v>
      </c>
      <c r="BH127" s="329" t="n">
        <f aca="false" t="array" ref="BH127:BH127">IF(AND(BH$2&lt;&gt;0,TblTech[[#This Row],[Hour]:[Hour]]&gt;=BH$2),1,0)</f>
        <v>0</v>
      </c>
      <c r="BI127" s="329" t="n">
        <f aca="false" t="array" ref="BI127:BI127">IF(AND(BI$2&lt;&gt;0,TblTech[[#This Row],[Hour]:[Hour]]&gt;=BI$2),1,0)</f>
        <v>0</v>
      </c>
      <c r="BJ127" s="329" t="n">
        <f aca="false" t="array" ref="BJ127:BJ127">IF(AND(BJ$2&lt;&gt;0,TblTech[[#This Row],[Hour]:[Hour]]&gt;=BJ$2),1,0)</f>
        <v>0</v>
      </c>
      <c r="BK127" s="329" t="n">
        <f aca="false" t="array" ref="BK127:BK127">IF(AND(BK$2&lt;&gt;0,TblTech[[#This Row],[Hour]:[Hour]]&gt;=BK$2),1,0)</f>
        <v>0</v>
      </c>
      <c r="BL127" s="329" t="n">
        <f aca="false" t="array" ref="BL127:BL127">IF(AND(BL$2&lt;&gt;0,TblTech[[#This Row],[Hour]:[Hour]]&gt;=BL$2),1,0)</f>
        <v>0</v>
      </c>
      <c r="BM127" s="329" t="n">
        <f aca="false" t="array" ref="BM127:BM127">IF(AND(BM$2&lt;&gt;0,TblTech[[#This Row],[Hour]:[Hour]]&gt;=BM$2),1,0)</f>
        <v>0</v>
      </c>
      <c r="BN127" s="329" t="n">
        <f aca="false" t="array" ref="BN127:BN127">IF(AND(BN$2&lt;&gt;0,TblTech[[#This Row],[Hour]:[Hour]]&gt;=BN$2),1,0)</f>
        <v>0</v>
      </c>
      <c r="BO127" s="329" t="n">
        <f aca="false" t="array" ref="BO127:BO127">IF(AND(BO$2&lt;&gt;0,TblTech[[#This Row],[Hour]:[Hour]]&gt;=BO$2),1,0)</f>
        <v>0</v>
      </c>
      <c r="BP127" s="329" t="n">
        <f aca="false" t="array" ref="BP127:BP127">IF(AND(BP$2&lt;&gt;0,TblTech[[#This Row],[Hour]:[Hour]]&gt;=BP$2),1,0)</f>
        <v>0</v>
      </c>
      <c r="BQ127" s="329" t="n">
        <f aca="false" t="array" ref="BQ127:BQ127">IF(AND(BQ$2&lt;&gt;0,TblTech[[#This Row],[Hour]:[Hour]]&gt;=BQ$2),1,0)</f>
        <v>0</v>
      </c>
      <c r="BR127" s="329" t="n">
        <f aca="false" t="array" ref="BR127:BR127">IF(AND(BR$2&lt;&gt;0,TblTech[[#This Row],[Hour]:[Hour]]&gt;=BR$2),1,0)</f>
        <v>0</v>
      </c>
      <c r="BS127" s="329" t="n">
        <f aca="false" t="array" ref="BS127:BS127">IF(AND(BS$2&lt;&gt;0,TblTech[[#This Row],[Hour]:[Hour]]&gt;=BS$2),1,0)</f>
        <v>0</v>
      </c>
      <c r="BT127" s="329" t="n">
        <f aca="false" t="array" ref="BT127:BT127">IF(AND(BT$2&lt;&gt;0,TblTech[[#This Row],[Hour]:[Hour]]&gt;=BT$2),1,0)</f>
        <v>0</v>
      </c>
      <c r="BU127" s="329" t="n">
        <f aca="false" t="array" ref="BU127:BU127">IF(AND(BU$2&lt;&gt;0,TblTech[[#This Row],[Hour]:[Hour]]&gt;=BU$2),1,0)</f>
        <v>0</v>
      </c>
      <c r="BV127" s="329" t="n">
        <f aca="false" t="array" ref="BV127:BV127">IF(AND(BV$2&lt;&gt;0,TblTech[[#This Row],[Hour]:[Hour]]&gt;=BV$2),1,0)</f>
        <v>0</v>
      </c>
      <c r="BW127" s="329" t="n">
        <f aca="false" t="array" ref="BW127:BW127">IF(AND(BW$2&lt;&gt;0,TblTech[[#This Row],[Hour]:[Hour]]&gt;=BW$2),1,0)</f>
        <v>0</v>
      </c>
      <c r="BX127" s="329" t="n">
        <f aca="false" t="array" ref="BX127:BX127">IF(AND(BX$2&lt;&gt;0,TblTech[[#This Row],[Hour]:[Hour]]&gt;=BX$2),1,0)</f>
        <v>0</v>
      </c>
      <c r="BY127" s="329" t="n">
        <f aca="false" t="array" ref="BY127:BY127">IF(AND(BY$2&lt;&gt;0,TblTech[[#This Row],[Hour]:[Hour]]&gt;=BY$2),1,0)</f>
        <v>0</v>
      </c>
      <c r="BZ127" s="329" t="n">
        <f aca="false" t="array" ref="BZ127:BZ127">IF(AND(BZ$2&lt;&gt;0,TblTech[[#This Row],[Hour]:[Hour]]&gt;=BZ$2),1,0)</f>
        <v>0</v>
      </c>
      <c r="CA127" s="330" t="n">
        <f aca="false">IFERROR(INDEX($H$4:$H$79,MATCH(INDEX(TblTech[[#Headers],[1-1]:[11-1]],1,MATCH(TblTech[[#This Row],[Hour]],$M$2:$BZ$2,0)),$G$4:$G$79,0)),)</f>
        <v>0</v>
      </c>
    </row>
    <row r="128" customFormat="false" ht="12.75" hidden="false" customHeight="false" outlineLevel="0" collapsed="false">
      <c r="A128" s="321" t="n">
        <f aca="false">TblRezone[[#This Row],[Hour]]</f>
        <v>125</v>
      </c>
      <c r="B128" s="322" t="n">
        <f aca="false">TblExplore[[#This Row],[Land-DB]]</f>
        <v>700</v>
      </c>
      <c r="C128" s="323" t="n">
        <f aca="false">TblProd[[#This Row],[Techpoints]]</f>
        <v>1400</v>
      </c>
      <c r="D128" s="323" t="n">
        <f aca="false">TblProd[[#This Row],[Required]]</f>
        <v>3750</v>
      </c>
      <c r="E128" s="333"/>
      <c r="F128" s="334"/>
      <c r="G128" s="326"/>
      <c r="H128" s="327"/>
      <c r="I128" s="327"/>
      <c r="J128" s="327"/>
      <c r="K128" s="68" t="n">
        <f aca="false">IF(TblTech[[#This Row],[Sum of tech]]&lt;&gt;OFFSET(TblTech[[#This Row],[Sum of tech]],-1,0),1,0)</f>
        <v>0</v>
      </c>
      <c r="L128" s="328" t="n">
        <f aca="false">COUNTIF(TblTech[[#This Row],[1-1]:[11-1]],1)</f>
        <v>0</v>
      </c>
      <c r="M128" s="329" t="n">
        <f aca="false" t="array" ref="M128:M128">IF(AND(M$2&lt;&gt;0,TblTech[[#This Row],[Hour]:[Hour]]&gt;=M$2),1,0)</f>
        <v>0</v>
      </c>
      <c r="N128" s="329" t="n">
        <f aca="false" t="array" ref="N128:N128">IF(AND(N$2&lt;&gt;0,TblTech[[#This Row],[Hour]:[Hour]]&gt;=N$2),1,0)</f>
        <v>0</v>
      </c>
      <c r="O128" s="329" t="n">
        <f aca="false" t="array" ref="O128:O128">IF(AND(O$2&lt;&gt;0,TblTech[[#This Row],[Hour]:[Hour]]&gt;=O$2),1,0)</f>
        <v>0</v>
      </c>
      <c r="P128" s="329" t="n">
        <f aca="false" t="array" ref="P128:P128">IF(AND(P$2&lt;&gt;0,TblTech[[#This Row],[Hour]:[Hour]]&gt;=P$2),1,0)</f>
        <v>0</v>
      </c>
      <c r="Q128" s="329" t="n">
        <f aca="false" t="array" ref="Q128:Q128">IF(AND(Q$2&lt;&gt;0,TblTech[[#This Row],[Hour]:[Hour]]&gt;=Q$2),1,0)</f>
        <v>0</v>
      </c>
      <c r="R128" s="329" t="n">
        <f aca="false" t="array" ref="R128:R128">IF(AND(R$2&lt;&gt;0,TblTech[[#This Row],[Hour]:[Hour]]&gt;=R$2),1,0)</f>
        <v>0</v>
      </c>
      <c r="S128" s="329" t="n">
        <f aca="false" t="array" ref="S128:S128">IF(AND(S$2&lt;&gt;0,TblTech[[#This Row],[Hour]:[Hour]]&gt;=S$2),1,0)</f>
        <v>0</v>
      </c>
      <c r="T128" s="329" t="n">
        <f aca="false" t="array" ref="T128:T128">IF(AND(T$2&lt;&gt;0,TblTech[[#This Row],[Hour]:[Hour]]&gt;=T$2),1,0)</f>
        <v>0</v>
      </c>
      <c r="U128" s="329" t="n">
        <f aca="false" t="array" ref="U128:U128">IF(AND(U$2&lt;&gt;0,TblTech[[#This Row],[Hour]:[Hour]]&gt;=U$2),1,0)</f>
        <v>0</v>
      </c>
      <c r="V128" s="329" t="n">
        <f aca="false" t="array" ref="V128:V128">IF(AND(V$2&lt;&gt;0,TblTech[[#This Row],[Hour]:[Hour]]&gt;=V$2),1,0)</f>
        <v>0</v>
      </c>
      <c r="W128" s="329" t="n">
        <f aca="false" t="array" ref="W128:W128">IF(AND(W$2&lt;&gt;0,TblTech[[#This Row],[Hour]:[Hour]]&gt;=W$2),1,0)</f>
        <v>0</v>
      </c>
      <c r="X128" s="329" t="n">
        <f aca="false" t="array" ref="X128:X128">IF(AND(X$2&lt;&gt;0,TblTech[[#This Row],[Hour]:[Hour]]&gt;=X$2),1,0)</f>
        <v>0</v>
      </c>
      <c r="Y128" s="329" t="n">
        <f aca="false" t="array" ref="Y128:Y128">IF(AND(Y$2&lt;&gt;0,TblTech[[#This Row],[Hour]:[Hour]]&gt;=Y$2),1,0)</f>
        <v>0</v>
      </c>
      <c r="Z128" s="329" t="n">
        <f aca="false" t="array" ref="Z128:Z128">IF(AND(Z$2&lt;&gt;0,TblTech[[#This Row],[Hour]:[Hour]]&gt;=Z$2),1,0)</f>
        <v>0</v>
      </c>
      <c r="AA128" s="329" t="n">
        <f aca="false" t="array" ref="AA128:AA128">IF(AND(AA$2&lt;&gt;0,TblTech[[#This Row],[Hour]:[Hour]]&gt;=AA$2),1,0)</f>
        <v>0</v>
      </c>
      <c r="AB128" s="329" t="n">
        <f aca="false" t="array" ref="AB128:AB128">IF(AND(AB$2&lt;&gt;0,TblTech[[#This Row],[Hour]:[Hour]]&gt;=AB$2),1,0)</f>
        <v>0</v>
      </c>
      <c r="AC128" s="329" t="n">
        <f aca="false" t="array" ref="AC128:AC128">IF(AND(AC$2&lt;&gt;0,TblTech[[#This Row],[Hour]:[Hour]]&gt;=AC$2),1,0)</f>
        <v>0</v>
      </c>
      <c r="AD128" s="329" t="n">
        <f aca="false" t="array" ref="AD128:AD128">IF(AND(AD$2&lt;&gt;0,TblTech[[#This Row],[Hour]:[Hour]]&gt;=AD$2),1,0)</f>
        <v>0</v>
      </c>
      <c r="AE128" s="329" t="n">
        <f aca="false" t="array" ref="AE128:AE128">IF(AND(AE$2&lt;&gt;0,TblTech[[#This Row],[Hour]:[Hour]]&gt;=AE$2),1,0)</f>
        <v>0</v>
      </c>
      <c r="AF128" s="329" t="n">
        <f aca="false" t="array" ref="AF128:AF128">IF(AND(AF$2&lt;&gt;0,TblTech[[#This Row],[Hour]:[Hour]]&gt;=AF$2),1,0)</f>
        <v>0</v>
      </c>
      <c r="AG128" s="329" t="n">
        <f aca="false" t="array" ref="AG128:AG128">IF(AND(AG$2&lt;&gt;0,TblTech[[#This Row],[Hour]:[Hour]]&gt;=AG$2),1,0)</f>
        <v>0</v>
      </c>
      <c r="AH128" s="329" t="n">
        <f aca="false" t="array" ref="AH128:AH128">IF(AND(AH$2&lt;&gt;0,TblTech[[#This Row],[Hour]:[Hour]]&gt;=AH$2),1,0)</f>
        <v>0</v>
      </c>
      <c r="AI128" s="329" t="n">
        <f aca="false" t="array" ref="AI128:AI128">IF(AND(AI$2&lt;&gt;0,TblTech[[#This Row],[Hour]:[Hour]]&gt;=AI$2),1,0)</f>
        <v>0</v>
      </c>
      <c r="AJ128" s="329" t="n">
        <f aca="false" t="array" ref="AJ128:AJ128">IF(AND(AJ$2&lt;&gt;0,TblTech[[#This Row],[Hour]:[Hour]]&gt;=AJ$2),1,0)</f>
        <v>0</v>
      </c>
      <c r="AK128" s="329" t="n">
        <f aca="false" t="array" ref="AK128:AK128">IF(AND(AK$2&lt;&gt;0,TblTech[[#This Row],[Hour]:[Hour]]&gt;=AK$2),1,0)</f>
        <v>0</v>
      </c>
      <c r="AL128" s="329" t="n">
        <f aca="false" t="array" ref="AL128:AL128">IF(AND(AL$2&lt;&gt;0,TblTech[[#This Row],[Hour]:[Hour]]&gt;=AL$2),1,0)</f>
        <v>0</v>
      </c>
      <c r="AM128" s="329" t="n">
        <f aca="false" t="array" ref="AM128:AM128">IF(AND(AM$2&lt;&gt;0,TblTech[[#This Row],[Hour]:[Hour]]&gt;=AM$2),1,0)</f>
        <v>0</v>
      </c>
      <c r="AN128" s="329" t="n">
        <f aca="false" t="array" ref="AN128:AN128">IF(AND(AN$2&lt;&gt;0,TblTech[[#This Row],[Hour]:[Hour]]&gt;=AN$2),1,0)</f>
        <v>0</v>
      </c>
      <c r="AO128" s="329" t="n">
        <f aca="false" t="array" ref="AO128:AO128">IF(AND(AO$2&lt;&gt;0,TblTech[[#This Row],[Hour]:[Hour]]&gt;=AO$2),1,0)</f>
        <v>0</v>
      </c>
      <c r="AP128" s="329" t="n">
        <f aca="false" t="array" ref="AP128:AP128">IF(AND(AP$2&lt;&gt;0,TblTech[[#This Row],[Hour]:[Hour]]&gt;=AP$2),1,0)</f>
        <v>0</v>
      </c>
      <c r="AQ128" s="329" t="n">
        <f aca="false" t="array" ref="AQ128:AQ128">IF(AND(AQ$2&lt;&gt;0,TblTech[[#This Row],[Hour]:[Hour]]&gt;=AQ$2),1,0)</f>
        <v>0</v>
      </c>
      <c r="AR128" s="329" t="n">
        <f aca="false" t="array" ref="AR128:AR128">IF(AND(AR$2&lt;&gt;0,TblTech[[#This Row],[Hour]:[Hour]]&gt;=AR$2),1,0)</f>
        <v>0</v>
      </c>
      <c r="AS128" s="329" t="n">
        <f aca="false" t="array" ref="AS128:AS128">IF(AND(AS$2&lt;&gt;0,TblTech[[#This Row],[Hour]:[Hour]]&gt;=AS$2),1,0)</f>
        <v>0</v>
      </c>
      <c r="AT128" s="329" t="n">
        <f aca="false" t="array" ref="AT128:AT128">IF(AND(AT$2&lt;&gt;0,TblTech[[#This Row],[Hour]:[Hour]]&gt;=AT$2),1,0)</f>
        <v>0</v>
      </c>
      <c r="AU128" s="329" t="n">
        <f aca="false" t="array" ref="AU128:AU128">IF(AND(AU$2&lt;&gt;0,TblTech[[#This Row],[Hour]:[Hour]]&gt;=AU$2),1,0)</f>
        <v>0</v>
      </c>
      <c r="AV128" s="329" t="n">
        <f aca="false" t="array" ref="AV128:AV128">IF(AND(AV$2&lt;&gt;0,TblTech[[#This Row],[Hour]:[Hour]]&gt;=AV$2),1,0)</f>
        <v>0</v>
      </c>
      <c r="AW128" s="329" t="n">
        <f aca="false" t="array" ref="AW128:AW128">IF(AND(AW$2&lt;&gt;0,TblTech[[#This Row],[Hour]:[Hour]]&gt;=AW$2),1,0)</f>
        <v>0</v>
      </c>
      <c r="AX128" s="329" t="n">
        <f aca="false" t="array" ref="AX128:AX128">IF(AND(AX$2&lt;&gt;0,TblTech[[#This Row],[Hour]:[Hour]]&gt;=AX$2),1,0)</f>
        <v>0</v>
      </c>
      <c r="AY128" s="329" t="n">
        <f aca="false" t="array" ref="AY128:AY128">IF(AND(AY$2&lt;&gt;0,TblTech[[#This Row],[Hour]:[Hour]]&gt;=AY$2),1,0)</f>
        <v>0</v>
      </c>
      <c r="AZ128" s="329" t="n">
        <f aca="false" t="array" ref="AZ128:AZ128">IF(AND(AZ$2&lt;&gt;0,TblTech[[#This Row],[Hour]:[Hour]]&gt;=AZ$2),1,0)</f>
        <v>0</v>
      </c>
      <c r="BA128" s="329" t="n">
        <f aca="false" t="array" ref="BA128:BA128">IF(AND(BA$2&lt;&gt;0,TblTech[[#This Row],[Hour]:[Hour]]&gt;=BA$2),1,0)</f>
        <v>0</v>
      </c>
      <c r="BB128" s="329" t="n">
        <f aca="false" t="array" ref="BB128:BB128">IF(AND(BB$2&lt;&gt;0,TblTech[[#This Row],[Hour]:[Hour]]&gt;=BB$2),1,0)</f>
        <v>0</v>
      </c>
      <c r="BC128" s="329" t="n">
        <f aca="false" t="array" ref="BC128:BC128">IF(AND(BC$2&lt;&gt;0,TblTech[[#This Row],[Hour]:[Hour]]&gt;=BC$2),1,0)</f>
        <v>0</v>
      </c>
      <c r="BD128" s="329" t="n">
        <f aca="false" t="array" ref="BD128:BD128">IF(AND(BD$2&lt;&gt;0,TblTech[[#This Row],[Hour]:[Hour]]&gt;=BD$2),1,0)</f>
        <v>0</v>
      </c>
      <c r="BE128" s="329" t="n">
        <f aca="false" t="array" ref="BE128:BE128">IF(AND(BE$2&lt;&gt;0,TblTech[[#This Row],[Hour]:[Hour]]&gt;=BE$2),1,0)</f>
        <v>0</v>
      </c>
      <c r="BF128" s="329" t="n">
        <f aca="false" t="array" ref="BF128:BF128">IF(AND(BF$2&lt;&gt;0,TblTech[[#This Row],[Hour]:[Hour]]&gt;=BF$2),1,0)</f>
        <v>0</v>
      </c>
      <c r="BG128" s="329" t="n">
        <f aca="false" t="array" ref="BG128:BG128">IF(AND(BG$2&lt;&gt;0,TblTech[[#This Row],[Hour]:[Hour]]&gt;=BG$2),1,0)</f>
        <v>0</v>
      </c>
      <c r="BH128" s="329" t="n">
        <f aca="false" t="array" ref="BH128:BH128">IF(AND(BH$2&lt;&gt;0,TblTech[[#This Row],[Hour]:[Hour]]&gt;=BH$2),1,0)</f>
        <v>0</v>
      </c>
      <c r="BI128" s="329" t="n">
        <f aca="false" t="array" ref="BI128:BI128">IF(AND(BI$2&lt;&gt;0,TblTech[[#This Row],[Hour]:[Hour]]&gt;=BI$2),1,0)</f>
        <v>0</v>
      </c>
      <c r="BJ128" s="329" t="n">
        <f aca="false" t="array" ref="BJ128:BJ128">IF(AND(BJ$2&lt;&gt;0,TblTech[[#This Row],[Hour]:[Hour]]&gt;=BJ$2),1,0)</f>
        <v>0</v>
      </c>
      <c r="BK128" s="329" t="n">
        <f aca="false" t="array" ref="BK128:BK128">IF(AND(BK$2&lt;&gt;0,TblTech[[#This Row],[Hour]:[Hour]]&gt;=BK$2),1,0)</f>
        <v>0</v>
      </c>
      <c r="BL128" s="329" t="n">
        <f aca="false" t="array" ref="BL128:BL128">IF(AND(BL$2&lt;&gt;0,TblTech[[#This Row],[Hour]:[Hour]]&gt;=BL$2),1,0)</f>
        <v>0</v>
      </c>
      <c r="BM128" s="329" t="n">
        <f aca="false" t="array" ref="BM128:BM128">IF(AND(BM$2&lt;&gt;0,TblTech[[#This Row],[Hour]:[Hour]]&gt;=BM$2),1,0)</f>
        <v>0</v>
      </c>
      <c r="BN128" s="329" t="n">
        <f aca="false" t="array" ref="BN128:BN128">IF(AND(BN$2&lt;&gt;0,TblTech[[#This Row],[Hour]:[Hour]]&gt;=BN$2),1,0)</f>
        <v>0</v>
      </c>
      <c r="BO128" s="329" t="n">
        <f aca="false" t="array" ref="BO128:BO128">IF(AND(BO$2&lt;&gt;0,TblTech[[#This Row],[Hour]:[Hour]]&gt;=BO$2),1,0)</f>
        <v>0</v>
      </c>
      <c r="BP128" s="329" t="n">
        <f aca="false" t="array" ref="BP128:BP128">IF(AND(BP$2&lt;&gt;0,TblTech[[#This Row],[Hour]:[Hour]]&gt;=BP$2),1,0)</f>
        <v>0</v>
      </c>
      <c r="BQ128" s="329" t="n">
        <f aca="false" t="array" ref="BQ128:BQ128">IF(AND(BQ$2&lt;&gt;0,TblTech[[#This Row],[Hour]:[Hour]]&gt;=BQ$2),1,0)</f>
        <v>0</v>
      </c>
      <c r="BR128" s="329" t="n">
        <f aca="false" t="array" ref="BR128:BR128">IF(AND(BR$2&lt;&gt;0,TblTech[[#This Row],[Hour]:[Hour]]&gt;=BR$2),1,0)</f>
        <v>0</v>
      </c>
      <c r="BS128" s="329" t="n">
        <f aca="false" t="array" ref="BS128:BS128">IF(AND(BS$2&lt;&gt;0,TblTech[[#This Row],[Hour]:[Hour]]&gt;=BS$2),1,0)</f>
        <v>0</v>
      </c>
      <c r="BT128" s="329" t="n">
        <f aca="false" t="array" ref="BT128:BT128">IF(AND(BT$2&lt;&gt;0,TblTech[[#This Row],[Hour]:[Hour]]&gt;=BT$2),1,0)</f>
        <v>0</v>
      </c>
      <c r="BU128" s="329" t="n">
        <f aca="false" t="array" ref="BU128:BU128">IF(AND(BU$2&lt;&gt;0,TblTech[[#This Row],[Hour]:[Hour]]&gt;=BU$2),1,0)</f>
        <v>0</v>
      </c>
      <c r="BV128" s="329" t="n">
        <f aca="false" t="array" ref="BV128:BV128">IF(AND(BV$2&lt;&gt;0,TblTech[[#This Row],[Hour]:[Hour]]&gt;=BV$2),1,0)</f>
        <v>0</v>
      </c>
      <c r="BW128" s="329" t="n">
        <f aca="false" t="array" ref="BW128:BW128">IF(AND(BW$2&lt;&gt;0,TblTech[[#This Row],[Hour]:[Hour]]&gt;=BW$2),1,0)</f>
        <v>0</v>
      </c>
      <c r="BX128" s="329" t="n">
        <f aca="false" t="array" ref="BX128:BX128">IF(AND(BX$2&lt;&gt;0,TblTech[[#This Row],[Hour]:[Hour]]&gt;=BX$2),1,0)</f>
        <v>0</v>
      </c>
      <c r="BY128" s="329" t="n">
        <f aca="false" t="array" ref="BY128:BY128">IF(AND(BY$2&lt;&gt;0,TblTech[[#This Row],[Hour]:[Hour]]&gt;=BY$2),1,0)</f>
        <v>0</v>
      </c>
      <c r="BZ128" s="329" t="n">
        <f aca="false" t="array" ref="BZ128:BZ128">IF(AND(BZ$2&lt;&gt;0,TblTech[[#This Row],[Hour]:[Hour]]&gt;=BZ$2),1,0)</f>
        <v>0</v>
      </c>
      <c r="CA128" s="330" t="n">
        <f aca="false">IFERROR(INDEX($H$4:$H$79,MATCH(INDEX(TblTech[[#Headers],[1-1]:[11-1]],1,MATCH(TblTech[[#This Row],[Hour]],$M$2:$BZ$2,0)),$G$4:$G$79,0)),)</f>
        <v>0</v>
      </c>
    </row>
    <row r="129" customFormat="false" ht="12.75" hidden="false" customHeight="false" outlineLevel="0" collapsed="false">
      <c r="A129" s="321" t="n">
        <f aca="false">TblRezone[[#This Row],[Hour]]</f>
        <v>126</v>
      </c>
      <c r="B129" s="322" t="n">
        <f aca="false">TblExplore[[#This Row],[Land-DB]]</f>
        <v>700</v>
      </c>
      <c r="C129" s="323" t="n">
        <f aca="false">TblProd[[#This Row],[Techpoints]]</f>
        <v>1400</v>
      </c>
      <c r="D129" s="323" t="n">
        <f aca="false">TblProd[[#This Row],[Required]]</f>
        <v>3750</v>
      </c>
      <c r="E129" s="333"/>
      <c r="F129" s="334"/>
      <c r="G129" s="326"/>
      <c r="H129" s="327"/>
      <c r="I129" s="327"/>
      <c r="J129" s="327"/>
      <c r="K129" s="68" t="n">
        <f aca="false">IF(TblTech[[#This Row],[Sum of tech]]&lt;&gt;OFFSET(TblTech[[#This Row],[Sum of tech]],-1,0),1,0)</f>
        <v>0</v>
      </c>
      <c r="L129" s="328" t="n">
        <f aca="false">COUNTIF(TblTech[[#This Row],[1-1]:[11-1]],1)</f>
        <v>0</v>
      </c>
      <c r="M129" s="329" t="n">
        <f aca="false" t="array" ref="M129:M129">IF(AND(M$2&lt;&gt;0,TblTech[[#This Row],[Hour]:[Hour]]&gt;=M$2),1,0)</f>
        <v>0</v>
      </c>
      <c r="N129" s="329" t="n">
        <f aca="false" t="array" ref="N129:N129">IF(AND(N$2&lt;&gt;0,TblTech[[#This Row],[Hour]:[Hour]]&gt;=N$2),1,0)</f>
        <v>0</v>
      </c>
      <c r="O129" s="329" t="n">
        <f aca="false" t="array" ref="O129:O129">IF(AND(O$2&lt;&gt;0,TblTech[[#This Row],[Hour]:[Hour]]&gt;=O$2),1,0)</f>
        <v>0</v>
      </c>
      <c r="P129" s="329" t="n">
        <f aca="false" t="array" ref="P129:P129">IF(AND(P$2&lt;&gt;0,TblTech[[#This Row],[Hour]:[Hour]]&gt;=P$2),1,0)</f>
        <v>0</v>
      </c>
      <c r="Q129" s="329" t="n">
        <f aca="false" t="array" ref="Q129:Q129">IF(AND(Q$2&lt;&gt;0,TblTech[[#This Row],[Hour]:[Hour]]&gt;=Q$2),1,0)</f>
        <v>0</v>
      </c>
      <c r="R129" s="329" t="n">
        <f aca="false" t="array" ref="R129:R129">IF(AND(R$2&lt;&gt;0,TblTech[[#This Row],[Hour]:[Hour]]&gt;=R$2),1,0)</f>
        <v>0</v>
      </c>
      <c r="S129" s="329" t="n">
        <f aca="false" t="array" ref="S129:S129">IF(AND(S$2&lt;&gt;0,TblTech[[#This Row],[Hour]:[Hour]]&gt;=S$2),1,0)</f>
        <v>0</v>
      </c>
      <c r="T129" s="329" t="n">
        <f aca="false" t="array" ref="T129:T129">IF(AND(T$2&lt;&gt;0,TblTech[[#This Row],[Hour]:[Hour]]&gt;=T$2),1,0)</f>
        <v>0</v>
      </c>
      <c r="U129" s="329" t="n">
        <f aca="false" t="array" ref="U129:U129">IF(AND(U$2&lt;&gt;0,TblTech[[#This Row],[Hour]:[Hour]]&gt;=U$2),1,0)</f>
        <v>0</v>
      </c>
      <c r="V129" s="329" t="n">
        <f aca="false" t="array" ref="V129:V129">IF(AND(V$2&lt;&gt;0,TblTech[[#This Row],[Hour]:[Hour]]&gt;=V$2),1,0)</f>
        <v>0</v>
      </c>
      <c r="W129" s="329" t="n">
        <f aca="false" t="array" ref="W129:W129">IF(AND(W$2&lt;&gt;0,TblTech[[#This Row],[Hour]:[Hour]]&gt;=W$2),1,0)</f>
        <v>0</v>
      </c>
      <c r="X129" s="329" t="n">
        <f aca="false" t="array" ref="X129:X129">IF(AND(X$2&lt;&gt;0,TblTech[[#This Row],[Hour]:[Hour]]&gt;=X$2),1,0)</f>
        <v>0</v>
      </c>
      <c r="Y129" s="329" t="n">
        <f aca="false" t="array" ref="Y129:Y129">IF(AND(Y$2&lt;&gt;0,TblTech[[#This Row],[Hour]:[Hour]]&gt;=Y$2),1,0)</f>
        <v>0</v>
      </c>
      <c r="Z129" s="329" t="n">
        <f aca="false" t="array" ref="Z129:Z129">IF(AND(Z$2&lt;&gt;0,TblTech[[#This Row],[Hour]:[Hour]]&gt;=Z$2),1,0)</f>
        <v>0</v>
      </c>
      <c r="AA129" s="329" t="n">
        <f aca="false" t="array" ref="AA129:AA129">IF(AND(AA$2&lt;&gt;0,TblTech[[#This Row],[Hour]:[Hour]]&gt;=AA$2),1,0)</f>
        <v>0</v>
      </c>
      <c r="AB129" s="329" t="n">
        <f aca="false" t="array" ref="AB129:AB129">IF(AND(AB$2&lt;&gt;0,TblTech[[#This Row],[Hour]:[Hour]]&gt;=AB$2),1,0)</f>
        <v>0</v>
      </c>
      <c r="AC129" s="329" t="n">
        <f aca="false" t="array" ref="AC129:AC129">IF(AND(AC$2&lt;&gt;0,TblTech[[#This Row],[Hour]:[Hour]]&gt;=AC$2),1,0)</f>
        <v>0</v>
      </c>
      <c r="AD129" s="329" t="n">
        <f aca="false" t="array" ref="AD129:AD129">IF(AND(AD$2&lt;&gt;0,TblTech[[#This Row],[Hour]:[Hour]]&gt;=AD$2),1,0)</f>
        <v>0</v>
      </c>
      <c r="AE129" s="329" t="n">
        <f aca="false" t="array" ref="AE129:AE129">IF(AND(AE$2&lt;&gt;0,TblTech[[#This Row],[Hour]:[Hour]]&gt;=AE$2),1,0)</f>
        <v>0</v>
      </c>
      <c r="AF129" s="329" t="n">
        <f aca="false" t="array" ref="AF129:AF129">IF(AND(AF$2&lt;&gt;0,TblTech[[#This Row],[Hour]:[Hour]]&gt;=AF$2),1,0)</f>
        <v>0</v>
      </c>
      <c r="AG129" s="329" t="n">
        <f aca="false" t="array" ref="AG129:AG129">IF(AND(AG$2&lt;&gt;0,TblTech[[#This Row],[Hour]:[Hour]]&gt;=AG$2),1,0)</f>
        <v>0</v>
      </c>
      <c r="AH129" s="329" t="n">
        <f aca="false" t="array" ref="AH129:AH129">IF(AND(AH$2&lt;&gt;0,TblTech[[#This Row],[Hour]:[Hour]]&gt;=AH$2),1,0)</f>
        <v>0</v>
      </c>
      <c r="AI129" s="329" t="n">
        <f aca="false" t="array" ref="AI129:AI129">IF(AND(AI$2&lt;&gt;0,TblTech[[#This Row],[Hour]:[Hour]]&gt;=AI$2),1,0)</f>
        <v>0</v>
      </c>
      <c r="AJ129" s="329" t="n">
        <f aca="false" t="array" ref="AJ129:AJ129">IF(AND(AJ$2&lt;&gt;0,TblTech[[#This Row],[Hour]:[Hour]]&gt;=AJ$2),1,0)</f>
        <v>0</v>
      </c>
      <c r="AK129" s="329" t="n">
        <f aca="false" t="array" ref="AK129:AK129">IF(AND(AK$2&lt;&gt;0,TblTech[[#This Row],[Hour]:[Hour]]&gt;=AK$2),1,0)</f>
        <v>0</v>
      </c>
      <c r="AL129" s="329" t="n">
        <f aca="false" t="array" ref="AL129:AL129">IF(AND(AL$2&lt;&gt;0,TblTech[[#This Row],[Hour]:[Hour]]&gt;=AL$2),1,0)</f>
        <v>0</v>
      </c>
      <c r="AM129" s="329" t="n">
        <f aca="false" t="array" ref="AM129:AM129">IF(AND(AM$2&lt;&gt;0,TblTech[[#This Row],[Hour]:[Hour]]&gt;=AM$2),1,0)</f>
        <v>0</v>
      </c>
      <c r="AN129" s="329" t="n">
        <f aca="false" t="array" ref="AN129:AN129">IF(AND(AN$2&lt;&gt;0,TblTech[[#This Row],[Hour]:[Hour]]&gt;=AN$2),1,0)</f>
        <v>0</v>
      </c>
      <c r="AO129" s="329" t="n">
        <f aca="false" t="array" ref="AO129:AO129">IF(AND(AO$2&lt;&gt;0,TblTech[[#This Row],[Hour]:[Hour]]&gt;=AO$2),1,0)</f>
        <v>0</v>
      </c>
      <c r="AP129" s="329" t="n">
        <f aca="false" t="array" ref="AP129:AP129">IF(AND(AP$2&lt;&gt;0,TblTech[[#This Row],[Hour]:[Hour]]&gt;=AP$2),1,0)</f>
        <v>0</v>
      </c>
      <c r="AQ129" s="329" t="n">
        <f aca="false" t="array" ref="AQ129:AQ129">IF(AND(AQ$2&lt;&gt;0,TblTech[[#This Row],[Hour]:[Hour]]&gt;=AQ$2),1,0)</f>
        <v>0</v>
      </c>
      <c r="AR129" s="329" t="n">
        <f aca="false" t="array" ref="AR129:AR129">IF(AND(AR$2&lt;&gt;0,TblTech[[#This Row],[Hour]:[Hour]]&gt;=AR$2),1,0)</f>
        <v>0</v>
      </c>
      <c r="AS129" s="329" t="n">
        <f aca="false" t="array" ref="AS129:AS129">IF(AND(AS$2&lt;&gt;0,TblTech[[#This Row],[Hour]:[Hour]]&gt;=AS$2),1,0)</f>
        <v>0</v>
      </c>
      <c r="AT129" s="329" t="n">
        <f aca="false" t="array" ref="AT129:AT129">IF(AND(AT$2&lt;&gt;0,TblTech[[#This Row],[Hour]:[Hour]]&gt;=AT$2),1,0)</f>
        <v>0</v>
      </c>
      <c r="AU129" s="329" t="n">
        <f aca="false" t="array" ref="AU129:AU129">IF(AND(AU$2&lt;&gt;0,TblTech[[#This Row],[Hour]:[Hour]]&gt;=AU$2),1,0)</f>
        <v>0</v>
      </c>
      <c r="AV129" s="329" t="n">
        <f aca="false" t="array" ref="AV129:AV129">IF(AND(AV$2&lt;&gt;0,TblTech[[#This Row],[Hour]:[Hour]]&gt;=AV$2),1,0)</f>
        <v>0</v>
      </c>
      <c r="AW129" s="329" t="n">
        <f aca="false" t="array" ref="AW129:AW129">IF(AND(AW$2&lt;&gt;0,TblTech[[#This Row],[Hour]:[Hour]]&gt;=AW$2),1,0)</f>
        <v>0</v>
      </c>
      <c r="AX129" s="329" t="n">
        <f aca="false" t="array" ref="AX129:AX129">IF(AND(AX$2&lt;&gt;0,TblTech[[#This Row],[Hour]:[Hour]]&gt;=AX$2),1,0)</f>
        <v>0</v>
      </c>
      <c r="AY129" s="329" t="n">
        <f aca="false" t="array" ref="AY129:AY129">IF(AND(AY$2&lt;&gt;0,TblTech[[#This Row],[Hour]:[Hour]]&gt;=AY$2),1,0)</f>
        <v>0</v>
      </c>
      <c r="AZ129" s="329" t="n">
        <f aca="false" t="array" ref="AZ129:AZ129">IF(AND(AZ$2&lt;&gt;0,TblTech[[#This Row],[Hour]:[Hour]]&gt;=AZ$2),1,0)</f>
        <v>0</v>
      </c>
      <c r="BA129" s="329" t="n">
        <f aca="false" t="array" ref="BA129:BA129">IF(AND(BA$2&lt;&gt;0,TblTech[[#This Row],[Hour]:[Hour]]&gt;=BA$2),1,0)</f>
        <v>0</v>
      </c>
      <c r="BB129" s="329" t="n">
        <f aca="false" t="array" ref="BB129:BB129">IF(AND(BB$2&lt;&gt;0,TblTech[[#This Row],[Hour]:[Hour]]&gt;=BB$2),1,0)</f>
        <v>0</v>
      </c>
      <c r="BC129" s="329" t="n">
        <f aca="false" t="array" ref="BC129:BC129">IF(AND(BC$2&lt;&gt;0,TblTech[[#This Row],[Hour]:[Hour]]&gt;=BC$2),1,0)</f>
        <v>0</v>
      </c>
      <c r="BD129" s="329" t="n">
        <f aca="false" t="array" ref="BD129:BD129">IF(AND(BD$2&lt;&gt;0,TblTech[[#This Row],[Hour]:[Hour]]&gt;=BD$2),1,0)</f>
        <v>0</v>
      </c>
      <c r="BE129" s="329" t="n">
        <f aca="false" t="array" ref="BE129:BE129">IF(AND(BE$2&lt;&gt;0,TblTech[[#This Row],[Hour]:[Hour]]&gt;=BE$2),1,0)</f>
        <v>0</v>
      </c>
      <c r="BF129" s="329" t="n">
        <f aca="false" t="array" ref="BF129:BF129">IF(AND(BF$2&lt;&gt;0,TblTech[[#This Row],[Hour]:[Hour]]&gt;=BF$2),1,0)</f>
        <v>0</v>
      </c>
      <c r="BG129" s="329" t="n">
        <f aca="false" t="array" ref="BG129:BG129">IF(AND(BG$2&lt;&gt;0,TblTech[[#This Row],[Hour]:[Hour]]&gt;=BG$2),1,0)</f>
        <v>0</v>
      </c>
      <c r="BH129" s="329" t="n">
        <f aca="false" t="array" ref="BH129:BH129">IF(AND(BH$2&lt;&gt;0,TblTech[[#This Row],[Hour]:[Hour]]&gt;=BH$2),1,0)</f>
        <v>0</v>
      </c>
      <c r="BI129" s="329" t="n">
        <f aca="false" t="array" ref="BI129:BI129">IF(AND(BI$2&lt;&gt;0,TblTech[[#This Row],[Hour]:[Hour]]&gt;=BI$2),1,0)</f>
        <v>0</v>
      </c>
      <c r="BJ129" s="329" t="n">
        <f aca="false" t="array" ref="BJ129:BJ129">IF(AND(BJ$2&lt;&gt;0,TblTech[[#This Row],[Hour]:[Hour]]&gt;=BJ$2),1,0)</f>
        <v>0</v>
      </c>
      <c r="BK129" s="329" t="n">
        <f aca="false" t="array" ref="BK129:BK129">IF(AND(BK$2&lt;&gt;0,TblTech[[#This Row],[Hour]:[Hour]]&gt;=BK$2),1,0)</f>
        <v>0</v>
      </c>
      <c r="BL129" s="329" t="n">
        <f aca="false" t="array" ref="BL129:BL129">IF(AND(BL$2&lt;&gt;0,TblTech[[#This Row],[Hour]:[Hour]]&gt;=BL$2),1,0)</f>
        <v>0</v>
      </c>
      <c r="BM129" s="329" t="n">
        <f aca="false" t="array" ref="BM129:BM129">IF(AND(BM$2&lt;&gt;0,TblTech[[#This Row],[Hour]:[Hour]]&gt;=BM$2),1,0)</f>
        <v>0</v>
      </c>
      <c r="BN129" s="329" t="n">
        <f aca="false" t="array" ref="BN129:BN129">IF(AND(BN$2&lt;&gt;0,TblTech[[#This Row],[Hour]:[Hour]]&gt;=BN$2),1,0)</f>
        <v>0</v>
      </c>
      <c r="BO129" s="329" t="n">
        <f aca="false" t="array" ref="BO129:BO129">IF(AND(BO$2&lt;&gt;0,TblTech[[#This Row],[Hour]:[Hour]]&gt;=BO$2),1,0)</f>
        <v>0</v>
      </c>
      <c r="BP129" s="329" t="n">
        <f aca="false" t="array" ref="BP129:BP129">IF(AND(BP$2&lt;&gt;0,TblTech[[#This Row],[Hour]:[Hour]]&gt;=BP$2),1,0)</f>
        <v>0</v>
      </c>
      <c r="BQ129" s="329" t="n">
        <f aca="false" t="array" ref="BQ129:BQ129">IF(AND(BQ$2&lt;&gt;0,TblTech[[#This Row],[Hour]:[Hour]]&gt;=BQ$2),1,0)</f>
        <v>0</v>
      </c>
      <c r="BR129" s="329" t="n">
        <f aca="false" t="array" ref="BR129:BR129">IF(AND(BR$2&lt;&gt;0,TblTech[[#This Row],[Hour]:[Hour]]&gt;=BR$2),1,0)</f>
        <v>0</v>
      </c>
      <c r="BS129" s="329" t="n">
        <f aca="false" t="array" ref="BS129:BS129">IF(AND(BS$2&lt;&gt;0,TblTech[[#This Row],[Hour]:[Hour]]&gt;=BS$2),1,0)</f>
        <v>0</v>
      </c>
      <c r="BT129" s="329" t="n">
        <f aca="false" t="array" ref="BT129:BT129">IF(AND(BT$2&lt;&gt;0,TblTech[[#This Row],[Hour]:[Hour]]&gt;=BT$2),1,0)</f>
        <v>0</v>
      </c>
      <c r="BU129" s="329" t="n">
        <f aca="false" t="array" ref="BU129:BU129">IF(AND(BU$2&lt;&gt;0,TblTech[[#This Row],[Hour]:[Hour]]&gt;=BU$2),1,0)</f>
        <v>0</v>
      </c>
      <c r="BV129" s="329" t="n">
        <f aca="false" t="array" ref="BV129:BV129">IF(AND(BV$2&lt;&gt;0,TblTech[[#This Row],[Hour]:[Hour]]&gt;=BV$2),1,0)</f>
        <v>0</v>
      </c>
      <c r="BW129" s="329" t="n">
        <f aca="false" t="array" ref="BW129:BW129">IF(AND(BW$2&lt;&gt;0,TblTech[[#This Row],[Hour]:[Hour]]&gt;=BW$2),1,0)</f>
        <v>0</v>
      </c>
      <c r="BX129" s="329" t="n">
        <f aca="false" t="array" ref="BX129:BX129">IF(AND(BX$2&lt;&gt;0,TblTech[[#This Row],[Hour]:[Hour]]&gt;=BX$2),1,0)</f>
        <v>0</v>
      </c>
      <c r="BY129" s="329" t="n">
        <f aca="false" t="array" ref="BY129:BY129">IF(AND(BY$2&lt;&gt;0,TblTech[[#This Row],[Hour]:[Hour]]&gt;=BY$2),1,0)</f>
        <v>0</v>
      </c>
      <c r="BZ129" s="329" t="n">
        <f aca="false" t="array" ref="BZ129:BZ129">IF(AND(BZ$2&lt;&gt;0,TblTech[[#This Row],[Hour]:[Hour]]&gt;=BZ$2),1,0)</f>
        <v>0</v>
      </c>
      <c r="CA129" s="330" t="n">
        <f aca="false">IFERROR(INDEX($H$4:$H$79,MATCH(INDEX(TblTech[[#Headers],[1-1]:[11-1]],1,MATCH(TblTech[[#This Row],[Hour]],$M$2:$BZ$2,0)),$G$4:$G$79,0)),)</f>
        <v>0</v>
      </c>
    </row>
    <row r="130" customFormat="false" ht="12.75" hidden="false" customHeight="false" outlineLevel="0" collapsed="false">
      <c r="A130" s="321" t="n">
        <f aca="false">TblRezone[[#This Row],[Hour]]</f>
        <v>127</v>
      </c>
      <c r="B130" s="322" t="n">
        <f aca="false">TblExplore[[#This Row],[Land-DB]]</f>
        <v>700</v>
      </c>
      <c r="C130" s="323" t="n">
        <f aca="false">TblProd[[#This Row],[Techpoints]]</f>
        <v>1400</v>
      </c>
      <c r="D130" s="323" t="n">
        <f aca="false">TblProd[[#This Row],[Required]]</f>
        <v>3750</v>
      </c>
      <c r="E130" s="333"/>
      <c r="F130" s="334"/>
      <c r="G130" s="326"/>
      <c r="H130" s="327"/>
      <c r="I130" s="327"/>
      <c r="J130" s="327"/>
      <c r="K130" s="68" t="n">
        <f aca="false">IF(TblTech[[#This Row],[Sum of tech]]&lt;&gt;OFFSET(TblTech[[#This Row],[Sum of tech]],-1,0),1,0)</f>
        <v>0</v>
      </c>
      <c r="L130" s="328" t="n">
        <f aca="false">COUNTIF(TblTech[[#This Row],[1-1]:[11-1]],1)</f>
        <v>0</v>
      </c>
      <c r="M130" s="329" t="n">
        <f aca="false" t="array" ref="M130:M130">IF(AND(M$2&lt;&gt;0,TblTech[[#This Row],[Hour]:[Hour]]&gt;=M$2),1,0)</f>
        <v>0</v>
      </c>
      <c r="N130" s="329" t="n">
        <f aca="false" t="array" ref="N130:N130">IF(AND(N$2&lt;&gt;0,TblTech[[#This Row],[Hour]:[Hour]]&gt;=N$2),1,0)</f>
        <v>0</v>
      </c>
      <c r="O130" s="329" t="n">
        <f aca="false" t="array" ref="O130:O130">IF(AND(O$2&lt;&gt;0,TblTech[[#This Row],[Hour]:[Hour]]&gt;=O$2),1,0)</f>
        <v>0</v>
      </c>
      <c r="P130" s="329" t="n">
        <f aca="false" t="array" ref="P130:P130">IF(AND(P$2&lt;&gt;0,TblTech[[#This Row],[Hour]:[Hour]]&gt;=P$2),1,0)</f>
        <v>0</v>
      </c>
      <c r="Q130" s="329" t="n">
        <f aca="false" t="array" ref="Q130:Q130">IF(AND(Q$2&lt;&gt;0,TblTech[[#This Row],[Hour]:[Hour]]&gt;=Q$2),1,0)</f>
        <v>0</v>
      </c>
      <c r="R130" s="329" t="n">
        <f aca="false" t="array" ref="R130:R130">IF(AND(R$2&lt;&gt;0,TblTech[[#This Row],[Hour]:[Hour]]&gt;=R$2),1,0)</f>
        <v>0</v>
      </c>
      <c r="S130" s="329" t="n">
        <f aca="false" t="array" ref="S130:S130">IF(AND(S$2&lt;&gt;0,TblTech[[#This Row],[Hour]:[Hour]]&gt;=S$2),1,0)</f>
        <v>0</v>
      </c>
      <c r="T130" s="329" t="n">
        <f aca="false" t="array" ref="T130:T130">IF(AND(T$2&lt;&gt;0,TblTech[[#This Row],[Hour]:[Hour]]&gt;=T$2),1,0)</f>
        <v>0</v>
      </c>
      <c r="U130" s="329" t="n">
        <f aca="false" t="array" ref="U130:U130">IF(AND(U$2&lt;&gt;0,TblTech[[#This Row],[Hour]:[Hour]]&gt;=U$2),1,0)</f>
        <v>0</v>
      </c>
      <c r="V130" s="329" t="n">
        <f aca="false" t="array" ref="V130:V130">IF(AND(V$2&lt;&gt;0,TblTech[[#This Row],[Hour]:[Hour]]&gt;=V$2),1,0)</f>
        <v>0</v>
      </c>
      <c r="W130" s="329" t="n">
        <f aca="false" t="array" ref="W130:W130">IF(AND(W$2&lt;&gt;0,TblTech[[#This Row],[Hour]:[Hour]]&gt;=W$2),1,0)</f>
        <v>0</v>
      </c>
      <c r="X130" s="329" t="n">
        <f aca="false" t="array" ref="X130:X130">IF(AND(X$2&lt;&gt;0,TblTech[[#This Row],[Hour]:[Hour]]&gt;=X$2),1,0)</f>
        <v>0</v>
      </c>
      <c r="Y130" s="329" t="n">
        <f aca="false" t="array" ref="Y130:Y130">IF(AND(Y$2&lt;&gt;0,TblTech[[#This Row],[Hour]:[Hour]]&gt;=Y$2),1,0)</f>
        <v>0</v>
      </c>
      <c r="Z130" s="329" t="n">
        <f aca="false" t="array" ref="Z130:Z130">IF(AND(Z$2&lt;&gt;0,TblTech[[#This Row],[Hour]:[Hour]]&gt;=Z$2),1,0)</f>
        <v>0</v>
      </c>
      <c r="AA130" s="329" t="n">
        <f aca="false" t="array" ref="AA130:AA130">IF(AND(AA$2&lt;&gt;0,TblTech[[#This Row],[Hour]:[Hour]]&gt;=AA$2),1,0)</f>
        <v>0</v>
      </c>
      <c r="AB130" s="329" t="n">
        <f aca="false" t="array" ref="AB130:AB130">IF(AND(AB$2&lt;&gt;0,TblTech[[#This Row],[Hour]:[Hour]]&gt;=AB$2),1,0)</f>
        <v>0</v>
      </c>
      <c r="AC130" s="329" t="n">
        <f aca="false" t="array" ref="AC130:AC130">IF(AND(AC$2&lt;&gt;0,TblTech[[#This Row],[Hour]:[Hour]]&gt;=AC$2),1,0)</f>
        <v>0</v>
      </c>
      <c r="AD130" s="329" t="n">
        <f aca="false" t="array" ref="AD130:AD130">IF(AND(AD$2&lt;&gt;0,TblTech[[#This Row],[Hour]:[Hour]]&gt;=AD$2),1,0)</f>
        <v>0</v>
      </c>
      <c r="AE130" s="329" t="n">
        <f aca="false" t="array" ref="AE130:AE130">IF(AND(AE$2&lt;&gt;0,TblTech[[#This Row],[Hour]:[Hour]]&gt;=AE$2),1,0)</f>
        <v>0</v>
      </c>
      <c r="AF130" s="329" t="n">
        <f aca="false" t="array" ref="AF130:AF130">IF(AND(AF$2&lt;&gt;0,TblTech[[#This Row],[Hour]:[Hour]]&gt;=AF$2),1,0)</f>
        <v>0</v>
      </c>
      <c r="AG130" s="329" t="n">
        <f aca="false" t="array" ref="AG130:AG130">IF(AND(AG$2&lt;&gt;0,TblTech[[#This Row],[Hour]:[Hour]]&gt;=AG$2),1,0)</f>
        <v>0</v>
      </c>
      <c r="AH130" s="329" t="n">
        <f aca="false" t="array" ref="AH130:AH130">IF(AND(AH$2&lt;&gt;0,TblTech[[#This Row],[Hour]:[Hour]]&gt;=AH$2),1,0)</f>
        <v>0</v>
      </c>
      <c r="AI130" s="329" t="n">
        <f aca="false" t="array" ref="AI130:AI130">IF(AND(AI$2&lt;&gt;0,TblTech[[#This Row],[Hour]:[Hour]]&gt;=AI$2),1,0)</f>
        <v>0</v>
      </c>
      <c r="AJ130" s="329" t="n">
        <f aca="false" t="array" ref="AJ130:AJ130">IF(AND(AJ$2&lt;&gt;0,TblTech[[#This Row],[Hour]:[Hour]]&gt;=AJ$2),1,0)</f>
        <v>0</v>
      </c>
      <c r="AK130" s="329" t="n">
        <f aca="false" t="array" ref="AK130:AK130">IF(AND(AK$2&lt;&gt;0,TblTech[[#This Row],[Hour]:[Hour]]&gt;=AK$2),1,0)</f>
        <v>0</v>
      </c>
      <c r="AL130" s="329" t="n">
        <f aca="false" t="array" ref="AL130:AL130">IF(AND(AL$2&lt;&gt;0,TblTech[[#This Row],[Hour]:[Hour]]&gt;=AL$2),1,0)</f>
        <v>0</v>
      </c>
      <c r="AM130" s="329" t="n">
        <f aca="false" t="array" ref="AM130:AM130">IF(AND(AM$2&lt;&gt;0,TblTech[[#This Row],[Hour]:[Hour]]&gt;=AM$2),1,0)</f>
        <v>0</v>
      </c>
      <c r="AN130" s="329" t="n">
        <f aca="false" t="array" ref="AN130:AN130">IF(AND(AN$2&lt;&gt;0,TblTech[[#This Row],[Hour]:[Hour]]&gt;=AN$2),1,0)</f>
        <v>0</v>
      </c>
      <c r="AO130" s="329" t="n">
        <f aca="false" t="array" ref="AO130:AO130">IF(AND(AO$2&lt;&gt;0,TblTech[[#This Row],[Hour]:[Hour]]&gt;=AO$2),1,0)</f>
        <v>0</v>
      </c>
      <c r="AP130" s="329" t="n">
        <f aca="false" t="array" ref="AP130:AP130">IF(AND(AP$2&lt;&gt;0,TblTech[[#This Row],[Hour]:[Hour]]&gt;=AP$2),1,0)</f>
        <v>0</v>
      </c>
      <c r="AQ130" s="329" t="n">
        <f aca="false" t="array" ref="AQ130:AQ130">IF(AND(AQ$2&lt;&gt;0,TblTech[[#This Row],[Hour]:[Hour]]&gt;=AQ$2),1,0)</f>
        <v>0</v>
      </c>
      <c r="AR130" s="329" t="n">
        <f aca="false" t="array" ref="AR130:AR130">IF(AND(AR$2&lt;&gt;0,TblTech[[#This Row],[Hour]:[Hour]]&gt;=AR$2),1,0)</f>
        <v>0</v>
      </c>
      <c r="AS130" s="329" t="n">
        <f aca="false" t="array" ref="AS130:AS130">IF(AND(AS$2&lt;&gt;0,TblTech[[#This Row],[Hour]:[Hour]]&gt;=AS$2),1,0)</f>
        <v>0</v>
      </c>
      <c r="AT130" s="329" t="n">
        <f aca="false" t="array" ref="AT130:AT130">IF(AND(AT$2&lt;&gt;0,TblTech[[#This Row],[Hour]:[Hour]]&gt;=AT$2),1,0)</f>
        <v>0</v>
      </c>
      <c r="AU130" s="329" t="n">
        <f aca="false" t="array" ref="AU130:AU130">IF(AND(AU$2&lt;&gt;0,TblTech[[#This Row],[Hour]:[Hour]]&gt;=AU$2),1,0)</f>
        <v>0</v>
      </c>
      <c r="AV130" s="329" t="n">
        <f aca="false" t="array" ref="AV130:AV130">IF(AND(AV$2&lt;&gt;0,TblTech[[#This Row],[Hour]:[Hour]]&gt;=AV$2),1,0)</f>
        <v>0</v>
      </c>
      <c r="AW130" s="329" t="n">
        <f aca="false" t="array" ref="AW130:AW130">IF(AND(AW$2&lt;&gt;0,TblTech[[#This Row],[Hour]:[Hour]]&gt;=AW$2),1,0)</f>
        <v>0</v>
      </c>
      <c r="AX130" s="329" t="n">
        <f aca="false" t="array" ref="AX130:AX130">IF(AND(AX$2&lt;&gt;0,TblTech[[#This Row],[Hour]:[Hour]]&gt;=AX$2),1,0)</f>
        <v>0</v>
      </c>
      <c r="AY130" s="329" t="n">
        <f aca="false" t="array" ref="AY130:AY130">IF(AND(AY$2&lt;&gt;0,TblTech[[#This Row],[Hour]:[Hour]]&gt;=AY$2),1,0)</f>
        <v>0</v>
      </c>
      <c r="AZ130" s="329" t="n">
        <f aca="false" t="array" ref="AZ130:AZ130">IF(AND(AZ$2&lt;&gt;0,TblTech[[#This Row],[Hour]:[Hour]]&gt;=AZ$2),1,0)</f>
        <v>0</v>
      </c>
      <c r="BA130" s="329" t="n">
        <f aca="false" t="array" ref="BA130:BA130">IF(AND(BA$2&lt;&gt;0,TblTech[[#This Row],[Hour]:[Hour]]&gt;=BA$2),1,0)</f>
        <v>0</v>
      </c>
      <c r="BB130" s="329" t="n">
        <f aca="false" t="array" ref="BB130:BB130">IF(AND(BB$2&lt;&gt;0,TblTech[[#This Row],[Hour]:[Hour]]&gt;=BB$2),1,0)</f>
        <v>0</v>
      </c>
      <c r="BC130" s="329" t="n">
        <f aca="false" t="array" ref="BC130:BC130">IF(AND(BC$2&lt;&gt;0,TblTech[[#This Row],[Hour]:[Hour]]&gt;=BC$2),1,0)</f>
        <v>0</v>
      </c>
      <c r="BD130" s="329" t="n">
        <f aca="false" t="array" ref="BD130:BD130">IF(AND(BD$2&lt;&gt;0,TblTech[[#This Row],[Hour]:[Hour]]&gt;=BD$2),1,0)</f>
        <v>0</v>
      </c>
      <c r="BE130" s="329" t="n">
        <f aca="false" t="array" ref="BE130:BE130">IF(AND(BE$2&lt;&gt;0,TblTech[[#This Row],[Hour]:[Hour]]&gt;=BE$2),1,0)</f>
        <v>0</v>
      </c>
      <c r="BF130" s="329" t="n">
        <f aca="false" t="array" ref="BF130:BF130">IF(AND(BF$2&lt;&gt;0,TblTech[[#This Row],[Hour]:[Hour]]&gt;=BF$2),1,0)</f>
        <v>0</v>
      </c>
      <c r="BG130" s="329" t="n">
        <f aca="false" t="array" ref="BG130:BG130">IF(AND(BG$2&lt;&gt;0,TblTech[[#This Row],[Hour]:[Hour]]&gt;=BG$2),1,0)</f>
        <v>0</v>
      </c>
      <c r="BH130" s="329" t="n">
        <f aca="false" t="array" ref="BH130:BH130">IF(AND(BH$2&lt;&gt;0,TblTech[[#This Row],[Hour]:[Hour]]&gt;=BH$2),1,0)</f>
        <v>0</v>
      </c>
      <c r="BI130" s="329" t="n">
        <f aca="false" t="array" ref="BI130:BI130">IF(AND(BI$2&lt;&gt;0,TblTech[[#This Row],[Hour]:[Hour]]&gt;=BI$2),1,0)</f>
        <v>0</v>
      </c>
      <c r="BJ130" s="329" t="n">
        <f aca="false" t="array" ref="BJ130:BJ130">IF(AND(BJ$2&lt;&gt;0,TblTech[[#This Row],[Hour]:[Hour]]&gt;=BJ$2),1,0)</f>
        <v>0</v>
      </c>
      <c r="BK130" s="329" t="n">
        <f aca="false" t="array" ref="BK130:BK130">IF(AND(BK$2&lt;&gt;0,TblTech[[#This Row],[Hour]:[Hour]]&gt;=BK$2),1,0)</f>
        <v>0</v>
      </c>
      <c r="BL130" s="329" t="n">
        <f aca="false" t="array" ref="BL130:BL130">IF(AND(BL$2&lt;&gt;0,TblTech[[#This Row],[Hour]:[Hour]]&gt;=BL$2),1,0)</f>
        <v>0</v>
      </c>
      <c r="BM130" s="329" t="n">
        <f aca="false" t="array" ref="BM130:BM130">IF(AND(BM$2&lt;&gt;0,TblTech[[#This Row],[Hour]:[Hour]]&gt;=BM$2),1,0)</f>
        <v>0</v>
      </c>
      <c r="BN130" s="329" t="n">
        <f aca="false" t="array" ref="BN130:BN130">IF(AND(BN$2&lt;&gt;0,TblTech[[#This Row],[Hour]:[Hour]]&gt;=BN$2),1,0)</f>
        <v>0</v>
      </c>
      <c r="BO130" s="329" t="n">
        <f aca="false" t="array" ref="BO130:BO130">IF(AND(BO$2&lt;&gt;0,TblTech[[#This Row],[Hour]:[Hour]]&gt;=BO$2),1,0)</f>
        <v>0</v>
      </c>
      <c r="BP130" s="329" t="n">
        <f aca="false" t="array" ref="BP130:BP130">IF(AND(BP$2&lt;&gt;0,TblTech[[#This Row],[Hour]:[Hour]]&gt;=BP$2),1,0)</f>
        <v>0</v>
      </c>
      <c r="BQ130" s="329" t="n">
        <f aca="false" t="array" ref="BQ130:BQ130">IF(AND(BQ$2&lt;&gt;0,TblTech[[#This Row],[Hour]:[Hour]]&gt;=BQ$2),1,0)</f>
        <v>0</v>
      </c>
      <c r="BR130" s="329" t="n">
        <f aca="false" t="array" ref="BR130:BR130">IF(AND(BR$2&lt;&gt;0,TblTech[[#This Row],[Hour]:[Hour]]&gt;=BR$2),1,0)</f>
        <v>0</v>
      </c>
      <c r="BS130" s="329" t="n">
        <f aca="false" t="array" ref="BS130:BS130">IF(AND(BS$2&lt;&gt;0,TblTech[[#This Row],[Hour]:[Hour]]&gt;=BS$2),1,0)</f>
        <v>0</v>
      </c>
      <c r="BT130" s="329" t="n">
        <f aca="false" t="array" ref="BT130:BT130">IF(AND(BT$2&lt;&gt;0,TblTech[[#This Row],[Hour]:[Hour]]&gt;=BT$2),1,0)</f>
        <v>0</v>
      </c>
      <c r="BU130" s="329" t="n">
        <f aca="false" t="array" ref="BU130:BU130">IF(AND(BU$2&lt;&gt;0,TblTech[[#This Row],[Hour]:[Hour]]&gt;=BU$2),1,0)</f>
        <v>0</v>
      </c>
      <c r="BV130" s="329" t="n">
        <f aca="false" t="array" ref="BV130:BV130">IF(AND(BV$2&lt;&gt;0,TblTech[[#This Row],[Hour]:[Hour]]&gt;=BV$2),1,0)</f>
        <v>0</v>
      </c>
      <c r="BW130" s="329" t="n">
        <f aca="false" t="array" ref="BW130:BW130">IF(AND(BW$2&lt;&gt;0,TblTech[[#This Row],[Hour]:[Hour]]&gt;=BW$2),1,0)</f>
        <v>0</v>
      </c>
      <c r="BX130" s="329" t="n">
        <f aca="false" t="array" ref="BX130:BX130">IF(AND(BX$2&lt;&gt;0,TblTech[[#This Row],[Hour]:[Hour]]&gt;=BX$2),1,0)</f>
        <v>0</v>
      </c>
      <c r="BY130" s="329" t="n">
        <f aca="false" t="array" ref="BY130:BY130">IF(AND(BY$2&lt;&gt;0,TblTech[[#This Row],[Hour]:[Hour]]&gt;=BY$2),1,0)</f>
        <v>0</v>
      </c>
      <c r="BZ130" s="329" t="n">
        <f aca="false" t="array" ref="BZ130:BZ130">IF(AND(BZ$2&lt;&gt;0,TblTech[[#This Row],[Hour]:[Hour]]&gt;=BZ$2),1,0)</f>
        <v>0</v>
      </c>
      <c r="CA130" s="330" t="n">
        <f aca="false">IFERROR(INDEX($H$4:$H$79,MATCH(INDEX(TblTech[[#Headers],[1-1]:[11-1]],1,MATCH(TblTech[[#This Row],[Hour]],$M$2:$BZ$2,0)),$G$4:$G$79,0)),)</f>
        <v>0</v>
      </c>
    </row>
    <row r="131" customFormat="false" ht="12.75" hidden="false" customHeight="false" outlineLevel="0" collapsed="false">
      <c r="A131" s="321" t="n">
        <f aca="false">TblRezone[[#This Row],[Hour]]</f>
        <v>128</v>
      </c>
      <c r="B131" s="322" t="n">
        <f aca="false">TblExplore[[#This Row],[Land-DB]]</f>
        <v>700</v>
      </c>
      <c r="C131" s="323" t="n">
        <f aca="false">TblProd[[#This Row],[Techpoints]]</f>
        <v>1400</v>
      </c>
      <c r="D131" s="323" t="n">
        <f aca="false">TblProd[[#This Row],[Required]]</f>
        <v>3750</v>
      </c>
      <c r="E131" s="333"/>
      <c r="F131" s="334"/>
      <c r="G131" s="326"/>
      <c r="H131" s="327"/>
      <c r="I131" s="327"/>
      <c r="J131" s="327"/>
      <c r="K131" s="68" t="n">
        <f aca="false">IF(TblTech[[#This Row],[Sum of tech]]&lt;&gt;OFFSET(TblTech[[#This Row],[Sum of tech]],-1,0),1,0)</f>
        <v>0</v>
      </c>
      <c r="L131" s="328" t="n">
        <f aca="false">COUNTIF(TblTech[[#This Row],[1-1]:[11-1]],1)</f>
        <v>0</v>
      </c>
      <c r="M131" s="329" t="n">
        <f aca="false" t="array" ref="M131:M131">IF(AND(M$2&lt;&gt;0,TblTech[[#This Row],[Hour]:[Hour]]&gt;=M$2),1,0)</f>
        <v>0</v>
      </c>
      <c r="N131" s="329" t="n">
        <f aca="false" t="array" ref="N131:N131">IF(AND(N$2&lt;&gt;0,TblTech[[#This Row],[Hour]:[Hour]]&gt;=N$2),1,0)</f>
        <v>0</v>
      </c>
      <c r="O131" s="329" t="n">
        <f aca="false" t="array" ref="O131:O131">IF(AND(O$2&lt;&gt;0,TblTech[[#This Row],[Hour]:[Hour]]&gt;=O$2),1,0)</f>
        <v>0</v>
      </c>
      <c r="P131" s="329" t="n">
        <f aca="false" t="array" ref="P131:P131">IF(AND(P$2&lt;&gt;0,TblTech[[#This Row],[Hour]:[Hour]]&gt;=P$2),1,0)</f>
        <v>0</v>
      </c>
      <c r="Q131" s="329" t="n">
        <f aca="false" t="array" ref="Q131:Q131">IF(AND(Q$2&lt;&gt;0,TblTech[[#This Row],[Hour]:[Hour]]&gt;=Q$2),1,0)</f>
        <v>0</v>
      </c>
      <c r="R131" s="329" t="n">
        <f aca="false" t="array" ref="R131:R131">IF(AND(R$2&lt;&gt;0,TblTech[[#This Row],[Hour]:[Hour]]&gt;=R$2),1,0)</f>
        <v>0</v>
      </c>
      <c r="S131" s="329" t="n">
        <f aca="false" t="array" ref="S131:S131">IF(AND(S$2&lt;&gt;0,TblTech[[#This Row],[Hour]:[Hour]]&gt;=S$2),1,0)</f>
        <v>0</v>
      </c>
      <c r="T131" s="329" t="n">
        <f aca="false" t="array" ref="T131:T131">IF(AND(T$2&lt;&gt;0,TblTech[[#This Row],[Hour]:[Hour]]&gt;=T$2),1,0)</f>
        <v>0</v>
      </c>
      <c r="U131" s="329" t="n">
        <f aca="false" t="array" ref="U131:U131">IF(AND(U$2&lt;&gt;0,TblTech[[#This Row],[Hour]:[Hour]]&gt;=U$2),1,0)</f>
        <v>0</v>
      </c>
      <c r="V131" s="329" t="n">
        <f aca="false" t="array" ref="V131:V131">IF(AND(V$2&lt;&gt;0,TblTech[[#This Row],[Hour]:[Hour]]&gt;=V$2),1,0)</f>
        <v>0</v>
      </c>
      <c r="W131" s="329" t="n">
        <f aca="false" t="array" ref="W131:W131">IF(AND(W$2&lt;&gt;0,TblTech[[#This Row],[Hour]:[Hour]]&gt;=W$2),1,0)</f>
        <v>0</v>
      </c>
      <c r="X131" s="329" t="n">
        <f aca="false" t="array" ref="X131:X131">IF(AND(X$2&lt;&gt;0,TblTech[[#This Row],[Hour]:[Hour]]&gt;=X$2),1,0)</f>
        <v>0</v>
      </c>
      <c r="Y131" s="329" t="n">
        <f aca="false" t="array" ref="Y131:Y131">IF(AND(Y$2&lt;&gt;0,TblTech[[#This Row],[Hour]:[Hour]]&gt;=Y$2),1,0)</f>
        <v>0</v>
      </c>
      <c r="Z131" s="329" t="n">
        <f aca="false" t="array" ref="Z131:Z131">IF(AND(Z$2&lt;&gt;0,TblTech[[#This Row],[Hour]:[Hour]]&gt;=Z$2),1,0)</f>
        <v>0</v>
      </c>
      <c r="AA131" s="329" t="n">
        <f aca="false" t="array" ref="AA131:AA131">IF(AND(AA$2&lt;&gt;0,TblTech[[#This Row],[Hour]:[Hour]]&gt;=AA$2),1,0)</f>
        <v>0</v>
      </c>
      <c r="AB131" s="329" t="n">
        <f aca="false" t="array" ref="AB131:AB131">IF(AND(AB$2&lt;&gt;0,TblTech[[#This Row],[Hour]:[Hour]]&gt;=AB$2),1,0)</f>
        <v>0</v>
      </c>
      <c r="AC131" s="329" t="n">
        <f aca="false" t="array" ref="AC131:AC131">IF(AND(AC$2&lt;&gt;0,TblTech[[#This Row],[Hour]:[Hour]]&gt;=AC$2),1,0)</f>
        <v>0</v>
      </c>
      <c r="AD131" s="329" t="n">
        <f aca="false" t="array" ref="AD131:AD131">IF(AND(AD$2&lt;&gt;0,TblTech[[#This Row],[Hour]:[Hour]]&gt;=AD$2),1,0)</f>
        <v>0</v>
      </c>
      <c r="AE131" s="329" t="n">
        <f aca="false" t="array" ref="AE131:AE131">IF(AND(AE$2&lt;&gt;0,TblTech[[#This Row],[Hour]:[Hour]]&gt;=AE$2),1,0)</f>
        <v>0</v>
      </c>
      <c r="AF131" s="329" t="n">
        <f aca="false" t="array" ref="AF131:AF131">IF(AND(AF$2&lt;&gt;0,TblTech[[#This Row],[Hour]:[Hour]]&gt;=AF$2),1,0)</f>
        <v>0</v>
      </c>
      <c r="AG131" s="329" t="n">
        <f aca="false" t="array" ref="AG131:AG131">IF(AND(AG$2&lt;&gt;0,TblTech[[#This Row],[Hour]:[Hour]]&gt;=AG$2),1,0)</f>
        <v>0</v>
      </c>
      <c r="AH131" s="329" t="n">
        <f aca="false" t="array" ref="AH131:AH131">IF(AND(AH$2&lt;&gt;0,TblTech[[#This Row],[Hour]:[Hour]]&gt;=AH$2),1,0)</f>
        <v>0</v>
      </c>
      <c r="AI131" s="329" t="n">
        <f aca="false" t="array" ref="AI131:AI131">IF(AND(AI$2&lt;&gt;0,TblTech[[#This Row],[Hour]:[Hour]]&gt;=AI$2),1,0)</f>
        <v>0</v>
      </c>
      <c r="AJ131" s="329" t="n">
        <f aca="false" t="array" ref="AJ131:AJ131">IF(AND(AJ$2&lt;&gt;0,TblTech[[#This Row],[Hour]:[Hour]]&gt;=AJ$2),1,0)</f>
        <v>0</v>
      </c>
      <c r="AK131" s="329" t="n">
        <f aca="false" t="array" ref="AK131:AK131">IF(AND(AK$2&lt;&gt;0,TblTech[[#This Row],[Hour]:[Hour]]&gt;=AK$2),1,0)</f>
        <v>0</v>
      </c>
      <c r="AL131" s="329" t="n">
        <f aca="false" t="array" ref="AL131:AL131">IF(AND(AL$2&lt;&gt;0,TblTech[[#This Row],[Hour]:[Hour]]&gt;=AL$2),1,0)</f>
        <v>0</v>
      </c>
      <c r="AM131" s="329" t="n">
        <f aca="false" t="array" ref="AM131:AM131">IF(AND(AM$2&lt;&gt;0,TblTech[[#This Row],[Hour]:[Hour]]&gt;=AM$2),1,0)</f>
        <v>0</v>
      </c>
      <c r="AN131" s="329" t="n">
        <f aca="false" t="array" ref="AN131:AN131">IF(AND(AN$2&lt;&gt;0,TblTech[[#This Row],[Hour]:[Hour]]&gt;=AN$2),1,0)</f>
        <v>0</v>
      </c>
      <c r="AO131" s="329" t="n">
        <f aca="false" t="array" ref="AO131:AO131">IF(AND(AO$2&lt;&gt;0,TblTech[[#This Row],[Hour]:[Hour]]&gt;=AO$2),1,0)</f>
        <v>0</v>
      </c>
      <c r="AP131" s="329" t="n">
        <f aca="false" t="array" ref="AP131:AP131">IF(AND(AP$2&lt;&gt;0,TblTech[[#This Row],[Hour]:[Hour]]&gt;=AP$2),1,0)</f>
        <v>0</v>
      </c>
      <c r="AQ131" s="329" t="n">
        <f aca="false" t="array" ref="AQ131:AQ131">IF(AND(AQ$2&lt;&gt;0,TblTech[[#This Row],[Hour]:[Hour]]&gt;=AQ$2),1,0)</f>
        <v>0</v>
      </c>
      <c r="AR131" s="329" t="n">
        <f aca="false" t="array" ref="AR131:AR131">IF(AND(AR$2&lt;&gt;0,TblTech[[#This Row],[Hour]:[Hour]]&gt;=AR$2),1,0)</f>
        <v>0</v>
      </c>
      <c r="AS131" s="329" t="n">
        <f aca="false" t="array" ref="AS131:AS131">IF(AND(AS$2&lt;&gt;0,TblTech[[#This Row],[Hour]:[Hour]]&gt;=AS$2),1,0)</f>
        <v>0</v>
      </c>
      <c r="AT131" s="329" t="n">
        <f aca="false" t="array" ref="AT131:AT131">IF(AND(AT$2&lt;&gt;0,TblTech[[#This Row],[Hour]:[Hour]]&gt;=AT$2),1,0)</f>
        <v>0</v>
      </c>
      <c r="AU131" s="329" t="n">
        <f aca="false" t="array" ref="AU131:AU131">IF(AND(AU$2&lt;&gt;0,TblTech[[#This Row],[Hour]:[Hour]]&gt;=AU$2),1,0)</f>
        <v>0</v>
      </c>
      <c r="AV131" s="329" t="n">
        <f aca="false" t="array" ref="AV131:AV131">IF(AND(AV$2&lt;&gt;0,TblTech[[#This Row],[Hour]:[Hour]]&gt;=AV$2),1,0)</f>
        <v>0</v>
      </c>
      <c r="AW131" s="329" t="n">
        <f aca="false" t="array" ref="AW131:AW131">IF(AND(AW$2&lt;&gt;0,TblTech[[#This Row],[Hour]:[Hour]]&gt;=AW$2),1,0)</f>
        <v>0</v>
      </c>
      <c r="AX131" s="329" t="n">
        <f aca="false" t="array" ref="AX131:AX131">IF(AND(AX$2&lt;&gt;0,TblTech[[#This Row],[Hour]:[Hour]]&gt;=AX$2),1,0)</f>
        <v>0</v>
      </c>
      <c r="AY131" s="329" t="n">
        <f aca="false" t="array" ref="AY131:AY131">IF(AND(AY$2&lt;&gt;0,TblTech[[#This Row],[Hour]:[Hour]]&gt;=AY$2),1,0)</f>
        <v>0</v>
      </c>
      <c r="AZ131" s="329" t="n">
        <f aca="false" t="array" ref="AZ131:AZ131">IF(AND(AZ$2&lt;&gt;0,TblTech[[#This Row],[Hour]:[Hour]]&gt;=AZ$2),1,0)</f>
        <v>0</v>
      </c>
      <c r="BA131" s="329" t="n">
        <f aca="false" t="array" ref="BA131:BA131">IF(AND(BA$2&lt;&gt;0,TblTech[[#This Row],[Hour]:[Hour]]&gt;=BA$2),1,0)</f>
        <v>0</v>
      </c>
      <c r="BB131" s="329" t="n">
        <f aca="false" t="array" ref="BB131:BB131">IF(AND(BB$2&lt;&gt;0,TblTech[[#This Row],[Hour]:[Hour]]&gt;=BB$2),1,0)</f>
        <v>0</v>
      </c>
      <c r="BC131" s="329" t="n">
        <f aca="false" t="array" ref="BC131:BC131">IF(AND(BC$2&lt;&gt;0,TblTech[[#This Row],[Hour]:[Hour]]&gt;=BC$2),1,0)</f>
        <v>0</v>
      </c>
      <c r="BD131" s="329" t="n">
        <f aca="false" t="array" ref="BD131:BD131">IF(AND(BD$2&lt;&gt;0,TblTech[[#This Row],[Hour]:[Hour]]&gt;=BD$2),1,0)</f>
        <v>0</v>
      </c>
      <c r="BE131" s="329" t="n">
        <f aca="false" t="array" ref="BE131:BE131">IF(AND(BE$2&lt;&gt;0,TblTech[[#This Row],[Hour]:[Hour]]&gt;=BE$2),1,0)</f>
        <v>0</v>
      </c>
      <c r="BF131" s="329" t="n">
        <f aca="false" t="array" ref="BF131:BF131">IF(AND(BF$2&lt;&gt;0,TblTech[[#This Row],[Hour]:[Hour]]&gt;=BF$2),1,0)</f>
        <v>0</v>
      </c>
      <c r="BG131" s="329" t="n">
        <f aca="false" t="array" ref="BG131:BG131">IF(AND(BG$2&lt;&gt;0,TblTech[[#This Row],[Hour]:[Hour]]&gt;=BG$2),1,0)</f>
        <v>0</v>
      </c>
      <c r="BH131" s="329" t="n">
        <f aca="false" t="array" ref="BH131:BH131">IF(AND(BH$2&lt;&gt;0,TblTech[[#This Row],[Hour]:[Hour]]&gt;=BH$2),1,0)</f>
        <v>0</v>
      </c>
      <c r="BI131" s="329" t="n">
        <f aca="false" t="array" ref="BI131:BI131">IF(AND(BI$2&lt;&gt;0,TblTech[[#This Row],[Hour]:[Hour]]&gt;=BI$2),1,0)</f>
        <v>0</v>
      </c>
      <c r="BJ131" s="329" t="n">
        <f aca="false" t="array" ref="BJ131:BJ131">IF(AND(BJ$2&lt;&gt;0,TblTech[[#This Row],[Hour]:[Hour]]&gt;=BJ$2),1,0)</f>
        <v>0</v>
      </c>
      <c r="BK131" s="329" t="n">
        <f aca="false" t="array" ref="BK131:BK131">IF(AND(BK$2&lt;&gt;0,TblTech[[#This Row],[Hour]:[Hour]]&gt;=BK$2),1,0)</f>
        <v>0</v>
      </c>
      <c r="BL131" s="329" t="n">
        <f aca="false" t="array" ref="BL131:BL131">IF(AND(BL$2&lt;&gt;0,TblTech[[#This Row],[Hour]:[Hour]]&gt;=BL$2),1,0)</f>
        <v>0</v>
      </c>
      <c r="BM131" s="329" t="n">
        <f aca="false" t="array" ref="BM131:BM131">IF(AND(BM$2&lt;&gt;0,TblTech[[#This Row],[Hour]:[Hour]]&gt;=BM$2),1,0)</f>
        <v>0</v>
      </c>
      <c r="BN131" s="329" t="n">
        <f aca="false" t="array" ref="BN131:BN131">IF(AND(BN$2&lt;&gt;0,TblTech[[#This Row],[Hour]:[Hour]]&gt;=BN$2),1,0)</f>
        <v>0</v>
      </c>
      <c r="BO131" s="329" t="n">
        <f aca="false" t="array" ref="BO131:BO131">IF(AND(BO$2&lt;&gt;0,TblTech[[#This Row],[Hour]:[Hour]]&gt;=BO$2),1,0)</f>
        <v>0</v>
      </c>
      <c r="BP131" s="329" t="n">
        <f aca="false" t="array" ref="BP131:BP131">IF(AND(BP$2&lt;&gt;0,TblTech[[#This Row],[Hour]:[Hour]]&gt;=BP$2),1,0)</f>
        <v>0</v>
      </c>
      <c r="BQ131" s="329" t="n">
        <f aca="false" t="array" ref="BQ131:BQ131">IF(AND(BQ$2&lt;&gt;0,TblTech[[#This Row],[Hour]:[Hour]]&gt;=BQ$2),1,0)</f>
        <v>0</v>
      </c>
      <c r="BR131" s="329" t="n">
        <f aca="false" t="array" ref="BR131:BR131">IF(AND(BR$2&lt;&gt;0,TblTech[[#This Row],[Hour]:[Hour]]&gt;=BR$2),1,0)</f>
        <v>0</v>
      </c>
      <c r="BS131" s="329" t="n">
        <f aca="false" t="array" ref="BS131:BS131">IF(AND(BS$2&lt;&gt;0,TblTech[[#This Row],[Hour]:[Hour]]&gt;=BS$2),1,0)</f>
        <v>0</v>
      </c>
      <c r="BT131" s="329" t="n">
        <f aca="false" t="array" ref="BT131:BT131">IF(AND(BT$2&lt;&gt;0,TblTech[[#This Row],[Hour]:[Hour]]&gt;=BT$2),1,0)</f>
        <v>0</v>
      </c>
      <c r="BU131" s="329" t="n">
        <f aca="false" t="array" ref="BU131:BU131">IF(AND(BU$2&lt;&gt;0,TblTech[[#This Row],[Hour]:[Hour]]&gt;=BU$2),1,0)</f>
        <v>0</v>
      </c>
      <c r="BV131" s="329" t="n">
        <f aca="false" t="array" ref="BV131:BV131">IF(AND(BV$2&lt;&gt;0,TblTech[[#This Row],[Hour]:[Hour]]&gt;=BV$2),1,0)</f>
        <v>0</v>
      </c>
      <c r="BW131" s="329" t="n">
        <f aca="false" t="array" ref="BW131:BW131">IF(AND(BW$2&lt;&gt;0,TblTech[[#This Row],[Hour]:[Hour]]&gt;=BW$2),1,0)</f>
        <v>0</v>
      </c>
      <c r="BX131" s="329" t="n">
        <f aca="false" t="array" ref="BX131:BX131">IF(AND(BX$2&lt;&gt;0,TblTech[[#This Row],[Hour]:[Hour]]&gt;=BX$2),1,0)</f>
        <v>0</v>
      </c>
      <c r="BY131" s="329" t="n">
        <f aca="false" t="array" ref="BY131:BY131">IF(AND(BY$2&lt;&gt;0,TblTech[[#This Row],[Hour]:[Hour]]&gt;=BY$2),1,0)</f>
        <v>0</v>
      </c>
      <c r="BZ131" s="329" t="n">
        <f aca="false" t="array" ref="BZ131:BZ131">IF(AND(BZ$2&lt;&gt;0,TblTech[[#This Row],[Hour]:[Hour]]&gt;=BZ$2),1,0)</f>
        <v>0</v>
      </c>
      <c r="CA131" s="330" t="n">
        <f aca="false">IFERROR(INDEX($H$4:$H$79,MATCH(INDEX(TblTech[[#Headers],[1-1]:[11-1]],1,MATCH(TblTech[[#This Row],[Hour]],$M$2:$BZ$2,0)),$G$4:$G$79,0)),)</f>
        <v>0</v>
      </c>
    </row>
    <row r="132" customFormat="false" ht="12.75" hidden="false" customHeight="false" outlineLevel="0" collapsed="false">
      <c r="A132" s="321" t="n">
        <f aca="false">TblRezone[[#This Row],[Hour]]</f>
        <v>129</v>
      </c>
      <c r="B132" s="322" t="n">
        <f aca="false">TblExplore[[#This Row],[Land-DB]]</f>
        <v>700</v>
      </c>
      <c r="C132" s="323" t="n">
        <f aca="false">TblProd[[#This Row],[Techpoints]]</f>
        <v>1400</v>
      </c>
      <c r="D132" s="323" t="n">
        <f aca="false">TblProd[[#This Row],[Required]]</f>
        <v>3750</v>
      </c>
      <c r="E132" s="333"/>
      <c r="F132" s="334"/>
      <c r="G132" s="326"/>
      <c r="H132" s="327"/>
      <c r="I132" s="327"/>
      <c r="J132" s="327"/>
      <c r="K132" s="68" t="n">
        <f aca="false">IF(TblTech[[#This Row],[Sum of tech]]&lt;&gt;OFFSET(TblTech[[#This Row],[Sum of tech]],-1,0),1,0)</f>
        <v>0</v>
      </c>
      <c r="L132" s="328" t="n">
        <f aca="false">COUNTIF(TblTech[[#This Row],[1-1]:[11-1]],1)</f>
        <v>0</v>
      </c>
      <c r="M132" s="329" t="n">
        <f aca="false" t="array" ref="M132:M132">IF(AND(M$2&lt;&gt;0,TblTech[[#This Row],[Hour]:[Hour]]&gt;=M$2),1,0)</f>
        <v>0</v>
      </c>
      <c r="N132" s="329" t="n">
        <f aca="false" t="array" ref="N132:N132">IF(AND(N$2&lt;&gt;0,TblTech[[#This Row],[Hour]:[Hour]]&gt;=N$2),1,0)</f>
        <v>0</v>
      </c>
      <c r="O132" s="329" t="n">
        <f aca="false" t="array" ref="O132:O132">IF(AND(O$2&lt;&gt;0,TblTech[[#This Row],[Hour]:[Hour]]&gt;=O$2),1,0)</f>
        <v>0</v>
      </c>
      <c r="P132" s="329" t="n">
        <f aca="false" t="array" ref="P132:P132">IF(AND(P$2&lt;&gt;0,TblTech[[#This Row],[Hour]:[Hour]]&gt;=P$2),1,0)</f>
        <v>0</v>
      </c>
      <c r="Q132" s="329" t="n">
        <f aca="false" t="array" ref="Q132:Q132">IF(AND(Q$2&lt;&gt;0,TblTech[[#This Row],[Hour]:[Hour]]&gt;=Q$2),1,0)</f>
        <v>0</v>
      </c>
      <c r="R132" s="329" t="n">
        <f aca="false" t="array" ref="R132:R132">IF(AND(R$2&lt;&gt;0,TblTech[[#This Row],[Hour]:[Hour]]&gt;=R$2),1,0)</f>
        <v>0</v>
      </c>
      <c r="S132" s="329" t="n">
        <f aca="false" t="array" ref="S132:S132">IF(AND(S$2&lt;&gt;0,TblTech[[#This Row],[Hour]:[Hour]]&gt;=S$2),1,0)</f>
        <v>0</v>
      </c>
      <c r="T132" s="329" t="n">
        <f aca="false" t="array" ref="T132:T132">IF(AND(T$2&lt;&gt;0,TblTech[[#This Row],[Hour]:[Hour]]&gt;=T$2),1,0)</f>
        <v>0</v>
      </c>
      <c r="U132" s="329" t="n">
        <f aca="false" t="array" ref="U132:U132">IF(AND(U$2&lt;&gt;0,TblTech[[#This Row],[Hour]:[Hour]]&gt;=U$2),1,0)</f>
        <v>0</v>
      </c>
      <c r="V132" s="329" t="n">
        <f aca="false" t="array" ref="V132:V132">IF(AND(V$2&lt;&gt;0,TblTech[[#This Row],[Hour]:[Hour]]&gt;=V$2),1,0)</f>
        <v>0</v>
      </c>
      <c r="W132" s="329" t="n">
        <f aca="false" t="array" ref="W132:W132">IF(AND(W$2&lt;&gt;0,TblTech[[#This Row],[Hour]:[Hour]]&gt;=W$2),1,0)</f>
        <v>0</v>
      </c>
      <c r="X132" s="329" t="n">
        <f aca="false" t="array" ref="X132:X132">IF(AND(X$2&lt;&gt;0,TblTech[[#This Row],[Hour]:[Hour]]&gt;=X$2),1,0)</f>
        <v>0</v>
      </c>
      <c r="Y132" s="329" t="n">
        <f aca="false" t="array" ref="Y132:Y132">IF(AND(Y$2&lt;&gt;0,TblTech[[#This Row],[Hour]:[Hour]]&gt;=Y$2),1,0)</f>
        <v>0</v>
      </c>
      <c r="Z132" s="329" t="n">
        <f aca="false" t="array" ref="Z132:Z132">IF(AND(Z$2&lt;&gt;0,TblTech[[#This Row],[Hour]:[Hour]]&gt;=Z$2),1,0)</f>
        <v>0</v>
      </c>
      <c r="AA132" s="329" t="n">
        <f aca="false" t="array" ref="AA132:AA132">IF(AND(AA$2&lt;&gt;0,TblTech[[#This Row],[Hour]:[Hour]]&gt;=AA$2),1,0)</f>
        <v>0</v>
      </c>
      <c r="AB132" s="329" t="n">
        <f aca="false" t="array" ref="AB132:AB132">IF(AND(AB$2&lt;&gt;0,TblTech[[#This Row],[Hour]:[Hour]]&gt;=AB$2),1,0)</f>
        <v>0</v>
      </c>
      <c r="AC132" s="329" t="n">
        <f aca="false" t="array" ref="AC132:AC132">IF(AND(AC$2&lt;&gt;0,TblTech[[#This Row],[Hour]:[Hour]]&gt;=AC$2),1,0)</f>
        <v>0</v>
      </c>
      <c r="AD132" s="329" t="n">
        <f aca="false" t="array" ref="AD132:AD132">IF(AND(AD$2&lt;&gt;0,TblTech[[#This Row],[Hour]:[Hour]]&gt;=AD$2),1,0)</f>
        <v>0</v>
      </c>
      <c r="AE132" s="329" t="n">
        <f aca="false" t="array" ref="AE132:AE132">IF(AND(AE$2&lt;&gt;0,TblTech[[#This Row],[Hour]:[Hour]]&gt;=AE$2),1,0)</f>
        <v>0</v>
      </c>
      <c r="AF132" s="329" t="n">
        <f aca="false" t="array" ref="AF132:AF132">IF(AND(AF$2&lt;&gt;0,TblTech[[#This Row],[Hour]:[Hour]]&gt;=AF$2),1,0)</f>
        <v>0</v>
      </c>
      <c r="AG132" s="329" t="n">
        <f aca="false" t="array" ref="AG132:AG132">IF(AND(AG$2&lt;&gt;0,TblTech[[#This Row],[Hour]:[Hour]]&gt;=AG$2),1,0)</f>
        <v>0</v>
      </c>
      <c r="AH132" s="329" t="n">
        <f aca="false" t="array" ref="AH132:AH132">IF(AND(AH$2&lt;&gt;0,TblTech[[#This Row],[Hour]:[Hour]]&gt;=AH$2),1,0)</f>
        <v>0</v>
      </c>
      <c r="AI132" s="329" t="n">
        <f aca="false" t="array" ref="AI132:AI132">IF(AND(AI$2&lt;&gt;0,TblTech[[#This Row],[Hour]:[Hour]]&gt;=AI$2),1,0)</f>
        <v>0</v>
      </c>
      <c r="AJ132" s="329" t="n">
        <f aca="false" t="array" ref="AJ132:AJ132">IF(AND(AJ$2&lt;&gt;0,TblTech[[#This Row],[Hour]:[Hour]]&gt;=AJ$2),1,0)</f>
        <v>0</v>
      </c>
      <c r="AK132" s="329" t="n">
        <f aca="false" t="array" ref="AK132:AK132">IF(AND(AK$2&lt;&gt;0,TblTech[[#This Row],[Hour]:[Hour]]&gt;=AK$2),1,0)</f>
        <v>0</v>
      </c>
      <c r="AL132" s="329" t="n">
        <f aca="false" t="array" ref="AL132:AL132">IF(AND(AL$2&lt;&gt;0,TblTech[[#This Row],[Hour]:[Hour]]&gt;=AL$2),1,0)</f>
        <v>0</v>
      </c>
      <c r="AM132" s="329" t="n">
        <f aca="false" t="array" ref="AM132:AM132">IF(AND(AM$2&lt;&gt;0,TblTech[[#This Row],[Hour]:[Hour]]&gt;=AM$2),1,0)</f>
        <v>0</v>
      </c>
      <c r="AN132" s="329" t="n">
        <f aca="false" t="array" ref="AN132:AN132">IF(AND(AN$2&lt;&gt;0,TblTech[[#This Row],[Hour]:[Hour]]&gt;=AN$2),1,0)</f>
        <v>0</v>
      </c>
      <c r="AO132" s="329" t="n">
        <f aca="false" t="array" ref="AO132:AO132">IF(AND(AO$2&lt;&gt;0,TblTech[[#This Row],[Hour]:[Hour]]&gt;=AO$2),1,0)</f>
        <v>0</v>
      </c>
      <c r="AP132" s="329" t="n">
        <f aca="false" t="array" ref="AP132:AP132">IF(AND(AP$2&lt;&gt;0,TblTech[[#This Row],[Hour]:[Hour]]&gt;=AP$2),1,0)</f>
        <v>0</v>
      </c>
      <c r="AQ132" s="329" t="n">
        <f aca="false" t="array" ref="AQ132:AQ132">IF(AND(AQ$2&lt;&gt;0,TblTech[[#This Row],[Hour]:[Hour]]&gt;=AQ$2),1,0)</f>
        <v>0</v>
      </c>
      <c r="AR132" s="329" t="n">
        <f aca="false" t="array" ref="AR132:AR132">IF(AND(AR$2&lt;&gt;0,TblTech[[#This Row],[Hour]:[Hour]]&gt;=AR$2),1,0)</f>
        <v>0</v>
      </c>
      <c r="AS132" s="329" t="n">
        <f aca="false" t="array" ref="AS132:AS132">IF(AND(AS$2&lt;&gt;0,TblTech[[#This Row],[Hour]:[Hour]]&gt;=AS$2),1,0)</f>
        <v>0</v>
      </c>
      <c r="AT132" s="329" t="n">
        <f aca="false" t="array" ref="AT132:AT132">IF(AND(AT$2&lt;&gt;0,TblTech[[#This Row],[Hour]:[Hour]]&gt;=AT$2),1,0)</f>
        <v>0</v>
      </c>
      <c r="AU132" s="329" t="n">
        <f aca="false" t="array" ref="AU132:AU132">IF(AND(AU$2&lt;&gt;0,TblTech[[#This Row],[Hour]:[Hour]]&gt;=AU$2),1,0)</f>
        <v>0</v>
      </c>
      <c r="AV132" s="329" t="n">
        <f aca="false" t="array" ref="AV132:AV132">IF(AND(AV$2&lt;&gt;0,TblTech[[#This Row],[Hour]:[Hour]]&gt;=AV$2),1,0)</f>
        <v>0</v>
      </c>
      <c r="AW132" s="329" t="n">
        <f aca="false" t="array" ref="AW132:AW132">IF(AND(AW$2&lt;&gt;0,TblTech[[#This Row],[Hour]:[Hour]]&gt;=AW$2),1,0)</f>
        <v>0</v>
      </c>
      <c r="AX132" s="329" t="n">
        <f aca="false" t="array" ref="AX132:AX132">IF(AND(AX$2&lt;&gt;0,TblTech[[#This Row],[Hour]:[Hour]]&gt;=AX$2),1,0)</f>
        <v>0</v>
      </c>
      <c r="AY132" s="329" t="n">
        <f aca="false" t="array" ref="AY132:AY132">IF(AND(AY$2&lt;&gt;0,TblTech[[#This Row],[Hour]:[Hour]]&gt;=AY$2),1,0)</f>
        <v>0</v>
      </c>
      <c r="AZ132" s="329" t="n">
        <f aca="false" t="array" ref="AZ132:AZ132">IF(AND(AZ$2&lt;&gt;0,TblTech[[#This Row],[Hour]:[Hour]]&gt;=AZ$2),1,0)</f>
        <v>0</v>
      </c>
      <c r="BA132" s="329" t="n">
        <f aca="false" t="array" ref="BA132:BA132">IF(AND(BA$2&lt;&gt;0,TblTech[[#This Row],[Hour]:[Hour]]&gt;=BA$2),1,0)</f>
        <v>0</v>
      </c>
      <c r="BB132" s="329" t="n">
        <f aca="false" t="array" ref="BB132:BB132">IF(AND(BB$2&lt;&gt;0,TblTech[[#This Row],[Hour]:[Hour]]&gt;=BB$2),1,0)</f>
        <v>0</v>
      </c>
      <c r="BC132" s="329" t="n">
        <f aca="false" t="array" ref="BC132:BC132">IF(AND(BC$2&lt;&gt;0,TblTech[[#This Row],[Hour]:[Hour]]&gt;=BC$2),1,0)</f>
        <v>0</v>
      </c>
      <c r="BD132" s="329" t="n">
        <f aca="false" t="array" ref="BD132:BD132">IF(AND(BD$2&lt;&gt;0,TblTech[[#This Row],[Hour]:[Hour]]&gt;=BD$2),1,0)</f>
        <v>0</v>
      </c>
      <c r="BE132" s="329" t="n">
        <f aca="false" t="array" ref="BE132:BE132">IF(AND(BE$2&lt;&gt;0,TblTech[[#This Row],[Hour]:[Hour]]&gt;=BE$2),1,0)</f>
        <v>0</v>
      </c>
      <c r="BF132" s="329" t="n">
        <f aca="false" t="array" ref="BF132:BF132">IF(AND(BF$2&lt;&gt;0,TblTech[[#This Row],[Hour]:[Hour]]&gt;=BF$2),1,0)</f>
        <v>0</v>
      </c>
      <c r="BG132" s="329" t="n">
        <f aca="false" t="array" ref="BG132:BG132">IF(AND(BG$2&lt;&gt;0,TblTech[[#This Row],[Hour]:[Hour]]&gt;=BG$2),1,0)</f>
        <v>0</v>
      </c>
      <c r="BH132" s="329" t="n">
        <f aca="false" t="array" ref="BH132:BH132">IF(AND(BH$2&lt;&gt;0,TblTech[[#This Row],[Hour]:[Hour]]&gt;=BH$2),1,0)</f>
        <v>0</v>
      </c>
      <c r="BI132" s="329" t="n">
        <f aca="false" t="array" ref="BI132:BI132">IF(AND(BI$2&lt;&gt;0,TblTech[[#This Row],[Hour]:[Hour]]&gt;=BI$2),1,0)</f>
        <v>0</v>
      </c>
      <c r="BJ132" s="329" t="n">
        <f aca="false" t="array" ref="BJ132:BJ132">IF(AND(BJ$2&lt;&gt;0,TblTech[[#This Row],[Hour]:[Hour]]&gt;=BJ$2),1,0)</f>
        <v>0</v>
      </c>
      <c r="BK132" s="329" t="n">
        <f aca="false" t="array" ref="BK132:BK132">IF(AND(BK$2&lt;&gt;0,TblTech[[#This Row],[Hour]:[Hour]]&gt;=BK$2),1,0)</f>
        <v>0</v>
      </c>
      <c r="BL132" s="329" t="n">
        <f aca="false" t="array" ref="BL132:BL132">IF(AND(BL$2&lt;&gt;0,TblTech[[#This Row],[Hour]:[Hour]]&gt;=BL$2),1,0)</f>
        <v>0</v>
      </c>
      <c r="BM132" s="329" t="n">
        <f aca="false" t="array" ref="BM132:BM132">IF(AND(BM$2&lt;&gt;0,TblTech[[#This Row],[Hour]:[Hour]]&gt;=BM$2),1,0)</f>
        <v>0</v>
      </c>
      <c r="BN132" s="329" t="n">
        <f aca="false" t="array" ref="BN132:BN132">IF(AND(BN$2&lt;&gt;0,TblTech[[#This Row],[Hour]:[Hour]]&gt;=BN$2),1,0)</f>
        <v>0</v>
      </c>
      <c r="BO132" s="329" t="n">
        <f aca="false" t="array" ref="BO132:BO132">IF(AND(BO$2&lt;&gt;0,TblTech[[#This Row],[Hour]:[Hour]]&gt;=BO$2),1,0)</f>
        <v>0</v>
      </c>
      <c r="BP132" s="329" t="n">
        <f aca="false" t="array" ref="BP132:BP132">IF(AND(BP$2&lt;&gt;0,TblTech[[#This Row],[Hour]:[Hour]]&gt;=BP$2),1,0)</f>
        <v>0</v>
      </c>
      <c r="BQ132" s="329" t="n">
        <f aca="false" t="array" ref="BQ132:BQ132">IF(AND(BQ$2&lt;&gt;0,TblTech[[#This Row],[Hour]:[Hour]]&gt;=BQ$2),1,0)</f>
        <v>0</v>
      </c>
      <c r="BR132" s="329" t="n">
        <f aca="false" t="array" ref="BR132:BR132">IF(AND(BR$2&lt;&gt;0,TblTech[[#This Row],[Hour]:[Hour]]&gt;=BR$2),1,0)</f>
        <v>0</v>
      </c>
      <c r="BS132" s="329" t="n">
        <f aca="false" t="array" ref="BS132:BS132">IF(AND(BS$2&lt;&gt;0,TblTech[[#This Row],[Hour]:[Hour]]&gt;=BS$2),1,0)</f>
        <v>0</v>
      </c>
      <c r="BT132" s="329" t="n">
        <f aca="false" t="array" ref="BT132:BT132">IF(AND(BT$2&lt;&gt;0,TblTech[[#This Row],[Hour]:[Hour]]&gt;=BT$2),1,0)</f>
        <v>0</v>
      </c>
      <c r="BU132" s="329" t="n">
        <f aca="false" t="array" ref="BU132:BU132">IF(AND(BU$2&lt;&gt;0,TblTech[[#This Row],[Hour]:[Hour]]&gt;=BU$2),1,0)</f>
        <v>0</v>
      </c>
      <c r="BV132" s="329" t="n">
        <f aca="false" t="array" ref="BV132:BV132">IF(AND(BV$2&lt;&gt;0,TblTech[[#This Row],[Hour]:[Hour]]&gt;=BV$2),1,0)</f>
        <v>0</v>
      </c>
      <c r="BW132" s="329" t="n">
        <f aca="false" t="array" ref="BW132:BW132">IF(AND(BW$2&lt;&gt;0,TblTech[[#This Row],[Hour]:[Hour]]&gt;=BW$2),1,0)</f>
        <v>0</v>
      </c>
      <c r="BX132" s="329" t="n">
        <f aca="false" t="array" ref="BX132:BX132">IF(AND(BX$2&lt;&gt;0,TblTech[[#This Row],[Hour]:[Hour]]&gt;=BX$2),1,0)</f>
        <v>0</v>
      </c>
      <c r="BY132" s="329" t="n">
        <f aca="false" t="array" ref="BY132:BY132">IF(AND(BY$2&lt;&gt;0,TblTech[[#This Row],[Hour]:[Hour]]&gt;=BY$2),1,0)</f>
        <v>0</v>
      </c>
      <c r="BZ132" s="329" t="n">
        <f aca="false" t="array" ref="BZ132:BZ132">IF(AND(BZ$2&lt;&gt;0,TblTech[[#This Row],[Hour]:[Hour]]&gt;=BZ$2),1,0)</f>
        <v>0</v>
      </c>
      <c r="CA132" s="330" t="n">
        <f aca="false">IFERROR(INDEX($H$4:$H$79,MATCH(INDEX(TblTech[[#Headers],[1-1]:[11-1]],1,MATCH(TblTech[[#This Row],[Hour]],$M$2:$BZ$2,0)),$G$4:$G$79,0)),)</f>
        <v>0</v>
      </c>
    </row>
    <row r="133" customFormat="false" ht="12.75" hidden="false" customHeight="false" outlineLevel="0" collapsed="false">
      <c r="A133" s="321" t="n">
        <f aca="false">TblRezone[[#This Row],[Hour]]</f>
        <v>130</v>
      </c>
      <c r="B133" s="322" t="n">
        <f aca="false">TblExplore[[#This Row],[Land-DB]]</f>
        <v>700</v>
      </c>
      <c r="C133" s="323" t="n">
        <f aca="false">TblProd[[#This Row],[Techpoints]]</f>
        <v>1400</v>
      </c>
      <c r="D133" s="323" t="n">
        <f aca="false">TblProd[[#This Row],[Required]]</f>
        <v>3750</v>
      </c>
      <c r="E133" s="333"/>
      <c r="F133" s="334"/>
      <c r="G133" s="326"/>
      <c r="H133" s="327"/>
      <c r="I133" s="327"/>
      <c r="J133" s="327"/>
      <c r="K133" s="68" t="n">
        <f aca="false">IF(TblTech[[#This Row],[Sum of tech]]&lt;&gt;OFFSET(TblTech[[#This Row],[Sum of tech]],-1,0),1,0)</f>
        <v>0</v>
      </c>
      <c r="L133" s="328" t="n">
        <f aca="false">COUNTIF(TblTech[[#This Row],[1-1]:[11-1]],1)</f>
        <v>0</v>
      </c>
      <c r="M133" s="329" t="n">
        <f aca="false" t="array" ref="M133:M133">IF(AND(M$2&lt;&gt;0,TblTech[[#This Row],[Hour]:[Hour]]&gt;=M$2),1,0)</f>
        <v>0</v>
      </c>
      <c r="N133" s="329" t="n">
        <f aca="false" t="array" ref="N133:N133">IF(AND(N$2&lt;&gt;0,TblTech[[#This Row],[Hour]:[Hour]]&gt;=N$2),1,0)</f>
        <v>0</v>
      </c>
      <c r="O133" s="329" t="n">
        <f aca="false" t="array" ref="O133:O133">IF(AND(O$2&lt;&gt;0,TblTech[[#This Row],[Hour]:[Hour]]&gt;=O$2),1,0)</f>
        <v>0</v>
      </c>
      <c r="P133" s="329" t="n">
        <f aca="false" t="array" ref="P133:P133">IF(AND(P$2&lt;&gt;0,TblTech[[#This Row],[Hour]:[Hour]]&gt;=P$2),1,0)</f>
        <v>0</v>
      </c>
      <c r="Q133" s="329" t="n">
        <f aca="false" t="array" ref="Q133:Q133">IF(AND(Q$2&lt;&gt;0,TblTech[[#This Row],[Hour]:[Hour]]&gt;=Q$2),1,0)</f>
        <v>0</v>
      </c>
      <c r="R133" s="329" t="n">
        <f aca="false" t="array" ref="R133:R133">IF(AND(R$2&lt;&gt;0,TblTech[[#This Row],[Hour]:[Hour]]&gt;=R$2),1,0)</f>
        <v>0</v>
      </c>
      <c r="S133" s="329" t="n">
        <f aca="false" t="array" ref="S133:S133">IF(AND(S$2&lt;&gt;0,TblTech[[#This Row],[Hour]:[Hour]]&gt;=S$2),1,0)</f>
        <v>0</v>
      </c>
      <c r="T133" s="329" t="n">
        <f aca="false" t="array" ref="T133:T133">IF(AND(T$2&lt;&gt;0,TblTech[[#This Row],[Hour]:[Hour]]&gt;=T$2),1,0)</f>
        <v>0</v>
      </c>
      <c r="U133" s="329" t="n">
        <f aca="false" t="array" ref="U133:U133">IF(AND(U$2&lt;&gt;0,TblTech[[#This Row],[Hour]:[Hour]]&gt;=U$2),1,0)</f>
        <v>0</v>
      </c>
      <c r="V133" s="329" t="n">
        <f aca="false" t="array" ref="V133:V133">IF(AND(V$2&lt;&gt;0,TblTech[[#This Row],[Hour]:[Hour]]&gt;=V$2),1,0)</f>
        <v>0</v>
      </c>
      <c r="W133" s="329" t="n">
        <f aca="false" t="array" ref="W133:W133">IF(AND(W$2&lt;&gt;0,TblTech[[#This Row],[Hour]:[Hour]]&gt;=W$2),1,0)</f>
        <v>0</v>
      </c>
      <c r="X133" s="329" t="n">
        <f aca="false" t="array" ref="X133:X133">IF(AND(X$2&lt;&gt;0,TblTech[[#This Row],[Hour]:[Hour]]&gt;=X$2),1,0)</f>
        <v>0</v>
      </c>
      <c r="Y133" s="329" t="n">
        <f aca="false" t="array" ref="Y133:Y133">IF(AND(Y$2&lt;&gt;0,TblTech[[#This Row],[Hour]:[Hour]]&gt;=Y$2),1,0)</f>
        <v>0</v>
      </c>
      <c r="Z133" s="329" t="n">
        <f aca="false" t="array" ref="Z133:Z133">IF(AND(Z$2&lt;&gt;0,TblTech[[#This Row],[Hour]:[Hour]]&gt;=Z$2),1,0)</f>
        <v>0</v>
      </c>
      <c r="AA133" s="329" t="n">
        <f aca="false" t="array" ref="AA133:AA133">IF(AND(AA$2&lt;&gt;0,TblTech[[#This Row],[Hour]:[Hour]]&gt;=AA$2),1,0)</f>
        <v>0</v>
      </c>
      <c r="AB133" s="329" t="n">
        <f aca="false" t="array" ref="AB133:AB133">IF(AND(AB$2&lt;&gt;0,TblTech[[#This Row],[Hour]:[Hour]]&gt;=AB$2),1,0)</f>
        <v>0</v>
      </c>
      <c r="AC133" s="329" t="n">
        <f aca="false" t="array" ref="AC133:AC133">IF(AND(AC$2&lt;&gt;0,TblTech[[#This Row],[Hour]:[Hour]]&gt;=AC$2),1,0)</f>
        <v>0</v>
      </c>
      <c r="AD133" s="329" t="n">
        <f aca="false" t="array" ref="AD133:AD133">IF(AND(AD$2&lt;&gt;0,TblTech[[#This Row],[Hour]:[Hour]]&gt;=AD$2),1,0)</f>
        <v>0</v>
      </c>
      <c r="AE133" s="329" t="n">
        <f aca="false" t="array" ref="AE133:AE133">IF(AND(AE$2&lt;&gt;0,TblTech[[#This Row],[Hour]:[Hour]]&gt;=AE$2),1,0)</f>
        <v>0</v>
      </c>
      <c r="AF133" s="329" t="n">
        <f aca="false" t="array" ref="AF133:AF133">IF(AND(AF$2&lt;&gt;0,TblTech[[#This Row],[Hour]:[Hour]]&gt;=AF$2),1,0)</f>
        <v>0</v>
      </c>
      <c r="AG133" s="329" t="n">
        <f aca="false" t="array" ref="AG133:AG133">IF(AND(AG$2&lt;&gt;0,TblTech[[#This Row],[Hour]:[Hour]]&gt;=AG$2),1,0)</f>
        <v>0</v>
      </c>
      <c r="AH133" s="329" t="n">
        <f aca="false" t="array" ref="AH133:AH133">IF(AND(AH$2&lt;&gt;0,TblTech[[#This Row],[Hour]:[Hour]]&gt;=AH$2),1,0)</f>
        <v>0</v>
      </c>
      <c r="AI133" s="329" t="n">
        <f aca="false" t="array" ref="AI133:AI133">IF(AND(AI$2&lt;&gt;0,TblTech[[#This Row],[Hour]:[Hour]]&gt;=AI$2),1,0)</f>
        <v>0</v>
      </c>
      <c r="AJ133" s="329" t="n">
        <f aca="false" t="array" ref="AJ133:AJ133">IF(AND(AJ$2&lt;&gt;0,TblTech[[#This Row],[Hour]:[Hour]]&gt;=AJ$2),1,0)</f>
        <v>0</v>
      </c>
      <c r="AK133" s="329" t="n">
        <f aca="false" t="array" ref="AK133:AK133">IF(AND(AK$2&lt;&gt;0,TblTech[[#This Row],[Hour]:[Hour]]&gt;=AK$2),1,0)</f>
        <v>0</v>
      </c>
      <c r="AL133" s="329" t="n">
        <f aca="false" t="array" ref="AL133:AL133">IF(AND(AL$2&lt;&gt;0,TblTech[[#This Row],[Hour]:[Hour]]&gt;=AL$2),1,0)</f>
        <v>0</v>
      </c>
      <c r="AM133" s="329" t="n">
        <f aca="false" t="array" ref="AM133:AM133">IF(AND(AM$2&lt;&gt;0,TblTech[[#This Row],[Hour]:[Hour]]&gt;=AM$2),1,0)</f>
        <v>0</v>
      </c>
      <c r="AN133" s="329" t="n">
        <f aca="false" t="array" ref="AN133:AN133">IF(AND(AN$2&lt;&gt;0,TblTech[[#This Row],[Hour]:[Hour]]&gt;=AN$2),1,0)</f>
        <v>0</v>
      </c>
      <c r="AO133" s="329" t="n">
        <f aca="false" t="array" ref="AO133:AO133">IF(AND(AO$2&lt;&gt;0,TblTech[[#This Row],[Hour]:[Hour]]&gt;=AO$2),1,0)</f>
        <v>0</v>
      </c>
      <c r="AP133" s="329" t="n">
        <f aca="false" t="array" ref="AP133:AP133">IF(AND(AP$2&lt;&gt;0,TblTech[[#This Row],[Hour]:[Hour]]&gt;=AP$2),1,0)</f>
        <v>0</v>
      </c>
      <c r="AQ133" s="329" t="n">
        <f aca="false" t="array" ref="AQ133:AQ133">IF(AND(AQ$2&lt;&gt;0,TblTech[[#This Row],[Hour]:[Hour]]&gt;=AQ$2),1,0)</f>
        <v>0</v>
      </c>
      <c r="AR133" s="329" t="n">
        <f aca="false" t="array" ref="AR133:AR133">IF(AND(AR$2&lt;&gt;0,TblTech[[#This Row],[Hour]:[Hour]]&gt;=AR$2),1,0)</f>
        <v>0</v>
      </c>
      <c r="AS133" s="329" t="n">
        <f aca="false" t="array" ref="AS133:AS133">IF(AND(AS$2&lt;&gt;0,TblTech[[#This Row],[Hour]:[Hour]]&gt;=AS$2),1,0)</f>
        <v>0</v>
      </c>
      <c r="AT133" s="329" t="n">
        <f aca="false" t="array" ref="AT133:AT133">IF(AND(AT$2&lt;&gt;0,TblTech[[#This Row],[Hour]:[Hour]]&gt;=AT$2),1,0)</f>
        <v>0</v>
      </c>
      <c r="AU133" s="329" t="n">
        <f aca="false" t="array" ref="AU133:AU133">IF(AND(AU$2&lt;&gt;0,TblTech[[#This Row],[Hour]:[Hour]]&gt;=AU$2),1,0)</f>
        <v>0</v>
      </c>
      <c r="AV133" s="329" t="n">
        <f aca="false" t="array" ref="AV133:AV133">IF(AND(AV$2&lt;&gt;0,TblTech[[#This Row],[Hour]:[Hour]]&gt;=AV$2),1,0)</f>
        <v>0</v>
      </c>
      <c r="AW133" s="329" t="n">
        <f aca="false" t="array" ref="AW133:AW133">IF(AND(AW$2&lt;&gt;0,TblTech[[#This Row],[Hour]:[Hour]]&gt;=AW$2),1,0)</f>
        <v>0</v>
      </c>
      <c r="AX133" s="329" t="n">
        <f aca="false" t="array" ref="AX133:AX133">IF(AND(AX$2&lt;&gt;0,TblTech[[#This Row],[Hour]:[Hour]]&gt;=AX$2),1,0)</f>
        <v>0</v>
      </c>
      <c r="AY133" s="329" t="n">
        <f aca="false" t="array" ref="AY133:AY133">IF(AND(AY$2&lt;&gt;0,TblTech[[#This Row],[Hour]:[Hour]]&gt;=AY$2),1,0)</f>
        <v>0</v>
      </c>
      <c r="AZ133" s="329" t="n">
        <f aca="false" t="array" ref="AZ133:AZ133">IF(AND(AZ$2&lt;&gt;0,TblTech[[#This Row],[Hour]:[Hour]]&gt;=AZ$2),1,0)</f>
        <v>0</v>
      </c>
      <c r="BA133" s="329" t="n">
        <f aca="false" t="array" ref="BA133:BA133">IF(AND(BA$2&lt;&gt;0,TblTech[[#This Row],[Hour]:[Hour]]&gt;=BA$2),1,0)</f>
        <v>0</v>
      </c>
      <c r="BB133" s="329" t="n">
        <f aca="false" t="array" ref="BB133:BB133">IF(AND(BB$2&lt;&gt;0,TblTech[[#This Row],[Hour]:[Hour]]&gt;=BB$2),1,0)</f>
        <v>0</v>
      </c>
      <c r="BC133" s="329" t="n">
        <f aca="false" t="array" ref="BC133:BC133">IF(AND(BC$2&lt;&gt;0,TblTech[[#This Row],[Hour]:[Hour]]&gt;=BC$2),1,0)</f>
        <v>0</v>
      </c>
      <c r="BD133" s="329" t="n">
        <f aca="false" t="array" ref="BD133:BD133">IF(AND(BD$2&lt;&gt;0,TblTech[[#This Row],[Hour]:[Hour]]&gt;=BD$2),1,0)</f>
        <v>0</v>
      </c>
      <c r="BE133" s="329" t="n">
        <f aca="false" t="array" ref="BE133:BE133">IF(AND(BE$2&lt;&gt;0,TblTech[[#This Row],[Hour]:[Hour]]&gt;=BE$2),1,0)</f>
        <v>0</v>
      </c>
      <c r="BF133" s="329" t="n">
        <f aca="false" t="array" ref="BF133:BF133">IF(AND(BF$2&lt;&gt;0,TblTech[[#This Row],[Hour]:[Hour]]&gt;=BF$2),1,0)</f>
        <v>0</v>
      </c>
      <c r="BG133" s="329" t="n">
        <f aca="false" t="array" ref="BG133:BG133">IF(AND(BG$2&lt;&gt;0,TblTech[[#This Row],[Hour]:[Hour]]&gt;=BG$2),1,0)</f>
        <v>0</v>
      </c>
      <c r="BH133" s="329" t="n">
        <f aca="false" t="array" ref="BH133:BH133">IF(AND(BH$2&lt;&gt;0,TblTech[[#This Row],[Hour]:[Hour]]&gt;=BH$2),1,0)</f>
        <v>0</v>
      </c>
      <c r="BI133" s="329" t="n">
        <f aca="false" t="array" ref="BI133:BI133">IF(AND(BI$2&lt;&gt;0,TblTech[[#This Row],[Hour]:[Hour]]&gt;=BI$2),1,0)</f>
        <v>0</v>
      </c>
      <c r="BJ133" s="329" t="n">
        <f aca="false" t="array" ref="BJ133:BJ133">IF(AND(BJ$2&lt;&gt;0,TblTech[[#This Row],[Hour]:[Hour]]&gt;=BJ$2),1,0)</f>
        <v>0</v>
      </c>
      <c r="BK133" s="329" t="n">
        <f aca="false" t="array" ref="BK133:BK133">IF(AND(BK$2&lt;&gt;0,TblTech[[#This Row],[Hour]:[Hour]]&gt;=BK$2),1,0)</f>
        <v>0</v>
      </c>
      <c r="BL133" s="329" t="n">
        <f aca="false" t="array" ref="BL133:BL133">IF(AND(BL$2&lt;&gt;0,TblTech[[#This Row],[Hour]:[Hour]]&gt;=BL$2),1,0)</f>
        <v>0</v>
      </c>
      <c r="BM133" s="329" t="n">
        <f aca="false" t="array" ref="BM133:BM133">IF(AND(BM$2&lt;&gt;0,TblTech[[#This Row],[Hour]:[Hour]]&gt;=BM$2),1,0)</f>
        <v>0</v>
      </c>
      <c r="BN133" s="329" t="n">
        <f aca="false" t="array" ref="BN133:BN133">IF(AND(BN$2&lt;&gt;0,TblTech[[#This Row],[Hour]:[Hour]]&gt;=BN$2),1,0)</f>
        <v>0</v>
      </c>
      <c r="BO133" s="329" t="n">
        <f aca="false" t="array" ref="BO133:BO133">IF(AND(BO$2&lt;&gt;0,TblTech[[#This Row],[Hour]:[Hour]]&gt;=BO$2),1,0)</f>
        <v>0</v>
      </c>
      <c r="BP133" s="329" t="n">
        <f aca="false" t="array" ref="BP133:BP133">IF(AND(BP$2&lt;&gt;0,TblTech[[#This Row],[Hour]:[Hour]]&gt;=BP$2),1,0)</f>
        <v>0</v>
      </c>
      <c r="BQ133" s="329" t="n">
        <f aca="false" t="array" ref="BQ133:BQ133">IF(AND(BQ$2&lt;&gt;0,TblTech[[#This Row],[Hour]:[Hour]]&gt;=BQ$2),1,0)</f>
        <v>0</v>
      </c>
      <c r="BR133" s="329" t="n">
        <f aca="false" t="array" ref="BR133:BR133">IF(AND(BR$2&lt;&gt;0,TblTech[[#This Row],[Hour]:[Hour]]&gt;=BR$2),1,0)</f>
        <v>0</v>
      </c>
      <c r="BS133" s="329" t="n">
        <f aca="false" t="array" ref="BS133:BS133">IF(AND(BS$2&lt;&gt;0,TblTech[[#This Row],[Hour]:[Hour]]&gt;=BS$2),1,0)</f>
        <v>0</v>
      </c>
      <c r="BT133" s="329" t="n">
        <f aca="false" t="array" ref="BT133:BT133">IF(AND(BT$2&lt;&gt;0,TblTech[[#This Row],[Hour]:[Hour]]&gt;=BT$2),1,0)</f>
        <v>0</v>
      </c>
      <c r="BU133" s="329" t="n">
        <f aca="false" t="array" ref="BU133:BU133">IF(AND(BU$2&lt;&gt;0,TblTech[[#This Row],[Hour]:[Hour]]&gt;=BU$2),1,0)</f>
        <v>0</v>
      </c>
      <c r="BV133" s="329" t="n">
        <f aca="false" t="array" ref="BV133:BV133">IF(AND(BV$2&lt;&gt;0,TblTech[[#This Row],[Hour]:[Hour]]&gt;=BV$2),1,0)</f>
        <v>0</v>
      </c>
      <c r="BW133" s="329" t="n">
        <f aca="false" t="array" ref="BW133:BW133">IF(AND(BW$2&lt;&gt;0,TblTech[[#This Row],[Hour]:[Hour]]&gt;=BW$2),1,0)</f>
        <v>0</v>
      </c>
      <c r="BX133" s="329" t="n">
        <f aca="false" t="array" ref="BX133:BX133">IF(AND(BX$2&lt;&gt;0,TblTech[[#This Row],[Hour]:[Hour]]&gt;=BX$2),1,0)</f>
        <v>0</v>
      </c>
      <c r="BY133" s="329" t="n">
        <f aca="false" t="array" ref="BY133:BY133">IF(AND(BY$2&lt;&gt;0,TblTech[[#This Row],[Hour]:[Hour]]&gt;=BY$2),1,0)</f>
        <v>0</v>
      </c>
      <c r="BZ133" s="329" t="n">
        <f aca="false" t="array" ref="BZ133:BZ133">IF(AND(BZ$2&lt;&gt;0,TblTech[[#This Row],[Hour]:[Hour]]&gt;=BZ$2),1,0)</f>
        <v>0</v>
      </c>
      <c r="CA133" s="330" t="n">
        <f aca="false">IFERROR(INDEX($H$4:$H$79,MATCH(INDEX(TblTech[[#Headers],[1-1]:[11-1]],1,MATCH(TblTech[[#This Row],[Hour]],$M$2:$BZ$2,0)),$G$4:$G$79,0)),)</f>
        <v>0</v>
      </c>
    </row>
    <row r="134" customFormat="false" ht="12.75" hidden="false" customHeight="false" outlineLevel="0" collapsed="false">
      <c r="A134" s="321" t="n">
        <f aca="false">TblRezone[[#This Row],[Hour]]</f>
        <v>131</v>
      </c>
      <c r="B134" s="322" t="n">
        <f aca="false">TblExplore[[#This Row],[Land-DB]]</f>
        <v>700</v>
      </c>
      <c r="C134" s="323" t="n">
        <f aca="false">TblProd[[#This Row],[Techpoints]]</f>
        <v>1400</v>
      </c>
      <c r="D134" s="323" t="n">
        <f aca="false">TblProd[[#This Row],[Required]]</f>
        <v>3750</v>
      </c>
      <c r="E134" s="333"/>
      <c r="F134" s="334"/>
      <c r="G134" s="326"/>
      <c r="H134" s="327"/>
      <c r="I134" s="327"/>
      <c r="J134" s="327"/>
      <c r="K134" s="68" t="n">
        <f aca="false">IF(TblTech[[#This Row],[Sum of tech]]&lt;&gt;OFFSET(TblTech[[#This Row],[Sum of tech]],-1,0),1,0)</f>
        <v>0</v>
      </c>
      <c r="L134" s="328" t="n">
        <f aca="false">COUNTIF(TblTech[[#This Row],[1-1]:[11-1]],1)</f>
        <v>0</v>
      </c>
      <c r="M134" s="329" t="n">
        <f aca="false" t="array" ref="M134:M134">IF(AND(M$2&lt;&gt;0,TblTech[[#This Row],[Hour]:[Hour]]&gt;=M$2),1,0)</f>
        <v>0</v>
      </c>
      <c r="N134" s="329" t="n">
        <f aca="false" t="array" ref="N134:N134">IF(AND(N$2&lt;&gt;0,TblTech[[#This Row],[Hour]:[Hour]]&gt;=N$2),1,0)</f>
        <v>0</v>
      </c>
      <c r="O134" s="329" t="n">
        <f aca="false" t="array" ref="O134:O134">IF(AND(O$2&lt;&gt;0,TblTech[[#This Row],[Hour]:[Hour]]&gt;=O$2),1,0)</f>
        <v>0</v>
      </c>
      <c r="P134" s="329" t="n">
        <f aca="false" t="array" ref="P134:P134">IF(AND(P$2&lt;&gt;0,TblTech[[#This Row],[Hour]:[Hour]]&gt;=P$2),1,0)</f>
        <v>0</v>
      </c>
      <c r="Q134" s="329" t="n">
        <f aca="false" t="array" ref="Q134:Q134">IF(AND(Q$2&lt;&gt;0,TblTech[[#This Row],[Hour]:[Hour]]&gt;=Q$2),1,0)</f>
        <v>0</v>
      </c>
      <c r="R134" s="329" t="n">
        <f aca="false" t="array" ref="R134:R134">IF(AND(R$2&lt;&gt;0,TblTech[[#This Row],[Hour]:[Hour]]&gt;=R$2),1,0)</f>
        <v>0</v>
      </c>
      <c r="S134" s="329" t="n">
        <f aca="false" t="array" ref="S134:S134">IF(AND(S$2&lt;&gt;0,TblTech[[#This Row],[Hour]:[Hour]]&gt;=S$2),1,0)</f>
        <v>0</v>
      </c>
      <c r="T134" s="329" t="n">
        <f aca="false" t="array" ref="T134:T134">IF(AND(T$2&lt;&gt;0,TblTech[[#This Row],[Hour]:[Hour]]&gt;=T$2),1,0)</f>
        <v>0</v>
      </c>
      <c r="U134" s="329" t="n">
        <f aca="false" t="array" ref="U134:U134">IF(AND(U$2&lt;&gt;0,TblTech[[#This Row],[Hour]:[Hour]]&gt;=U$2),1,0)</f>
        <v>0</v>
      </c>
      <c r="V134" s="329" t="n">
        <f aca="false" t="array" ref="V134:V134">IF(AND(V$2&lt;&gt;0,TblTech[[#This Row],[Hour]:[Hour]]&gt;=V$2),1,0)</f>
        <v>0</v>
      </c>
      <c r="W134" s="329" t="n">
        <f aca="false" t="array" ref="W134:W134">IF(AND(W$2&lt;&gt;0,TblTech[[#This Row],[Hour]:[Hour]]&gt;=W$2),1,0)</f>
        <v>0</v>
      </c>
      <c r="X134" s="329" t="n">
        <f aca="false" t="array" ref="X134:X134">IF(AND(X$2&lt;&gt;0,TblTech[[#This Row],[Hour]:[Hour]]&gt;=X$2),1,0)</f>
        <v>0</v>
      </c>
      <c r="Y134" s="329" t="n">
        <f aca="false" t="array" ref="Y134:Y134">IF(AND(Y$2&lt;&gt;0,TblTech[[#This Row],[Hour]:[Hour]]&gt;=Y$2),1,0)</f>
        <v>0</v>
      </c>
      <c r="Z134" s="329" t="n">
        <f aca="false" t="array" ref="Z134:Z134">IF(AND(Z$2&lt;&gt;0,TblTech[[#This Row],[Hour]:[Hour]]&gt;=Z$2),1,0)</f>
        <v>0</v>
      </c>
      <c r="AA134" s="329" t="n">
        <f aca="false" t="array" ref="AA134:AA134">IF(AND(AA$2&lt;&gt;0,TblTech[[#This Row],[Hour]:[Hour]]&gt;=AA$2),1,0)</f>
        <v>0</v>
      </c>
      <c r="AB134" s="329" t="n">
        <f aca="false" t="array" ref="AB134:AB134">IF(AND(AB$2&lt;&gt;0,TblTech[[#This Row],[Hour]:[Hour]]&gt;=AB$2),1,0)</f>
        <v>0</v>
      </c>
      <c r="AC134" s="329" t="n">
        <f aca="false" t="array" ref="AC134:AC134">IF(AND(AC$2&lt;&gt;0,TblTech[[#This Row],[Hour]:[Hour]]&gt;=AC$2),1,0)</f>
        <v>0</v>
      </c>
      <c r="AD134" s="329" t="n">
        <f aca="false" t="array" ref="AD134:AD134">IF(AND(AD$2&lt;&gt;0,TblTech[[#This Row],[Hour]:[Hour]]&gt;=AD$2),1,0)</f>
        <v>0</v>
      </c>
      <c r="AE134" s="329" t="n">
        <f aca="false" t="array" ref="AE134:AE134">IF(AND(AE$2&lt;&gt;0,TblTech[[#This Row],[Hour]:[Hour]]&gt;=AE$2),1,0)</f>
        <v>0</v>
      </c>
      <c r="AF134" s="329" t="n">
        <f aca="false" t="array" ref="AF134:AF134">IF(AND(AF$2&lt;&gt;0,TblTech[[#This Row],[Hour]:[Hour]]&gt;=AF$2),1,0)</f>
        <v>0</v>
      </c>
      <c r="AG134" s="329" t="n">
        <f aca="false" t="array" ref="AG134:AG134">IF(AND(AG$2&lt;&gt;0,TblTech[[#This Row],[Hour]:[Hour]]&gt;=AG$2),1,0)</f>
        <v>0</v>
      </c>
      <c r="AH134" s="329" t="n">
        <f aca="false" t="array" ref="AH134:AH134">IF(AND(AH$2&lt;&gt;0,TblTech[[#This Row],[Hour]:[Hour]]&gt;=AH$2),1,0)</f>
        <v>0</v>
      </c>
      <c r="AI134" s="329" t="n">
        <f aca="false" t="array" ref="AI134:AI134">IF(AND(AI$2&lt;&gt;0,TblTech[[#This Row],[Hour]:[Hour]]&gt;=AI$2),1,0)</f>
        <v>0</v>
      </c>
      <c r="AJ134" s="329" t="n">
        <f aca="false" t="array" ref="AJ134:AJ134">IF(AND(AJ$2&lt;&gt;0,TblTech[[#This Row],[Hour]:[Hour]]&gt;=AJ$2),1,0)</f>
        <v>0</v>
      </c>
      <c r="AK134" s="329" t="n">
        <f aca="false" t="array" ref="AK134:AK134">IF(AND(AK$2&lt;&gt;0,TblTech[[#This Row],[Hour]:[Hour]]&gt;=AK$2),1,0)</f>
        <v>0</v>
      </c>
      <c r="AL134" s="329" t="n">
        <f aca="false" t="array" ref="AL134:AL134">IF(AND(AL$2&lt;&gt;0,TblTech[[#This Row],[Hour]:[Hour]]&gt;=AL$2),1,0)</f>
        <v>0</v>
      </c>
      <c r="AM134" s="329" t="n">
        <f aca="false" t="array" ref="AM134:AM134">IF(AND(AM$2&lt;&gt;0,TblTech[[#This Row],[Hour]:[Hour]]&gt;=AM$2),1,0)</f>
        <v>0</v>
      </c>
      <c r="AN134" s="329" t="n">
        <f aca="false" t="array" ref="AN134:AN134">IF(AND(AN$2&lt;&gt;0,TblTech[[#This Row],[Hour]:[Hour]]&gt;=AN$2),1,0)</f>
        <v>0</v>
      </c>
      <c r="AO134" s="329" t="n">
        <f aca="false" t="array" ref="AO134:AO134">IF(AND(AO$2&lt;&gt;0,TblTech[[#This Row],[Hour]:[Hour]]&gt;=AO$2),1,0)</f>
        <v>0</v>
      </c>
      <c r="AP134" s="329" t="n">
        <f aca="false" t="array" ref="AP134:AP134">IF(AND(AP$2&lt;&gt;0,TblTech[[#This Row],[Hour]:[Hour]]&gt;=AP$2),1,0)</f>
        <v>0</v>
      </c>
      <c r="AQ134" s="329" t="n">
        <f aca="false" t="array" ref="AQ134:AQ134">IF(AND(AQ$2&lt;&gt;0,TblTech[[#This Row],[Hour]:[Hour]]&gt;=AQ$2),1,0)</f>
        <v>0</v>
      </c>
      <c r="AR134" s="329" t="n">
        <f aca="false" t="array" ref="AR134:AR134">IF(AND(AR$2&lt;&gt;0,TblTech[[#This Row],[Hour]:[Hour]]&gt;=AR$2),1,0)</f>
        <v>0</v>
      </c>
      <c r="AS134" s="329" t="n">
        <f aca="false" t="array" ref="AS134:AS134">IF(AND(AS$2&lt;&gt;0,TblTech[[#This Row],[Hour]:[Hour]]&gt;=AS$2),1,0)</f>
        <v>0</v>
      </c>
      <c r="AT134" s="329" t="n">
        <f aca="false" t="array" ref="AT134:AT134">IF(AND(AT$2&lt;&gt;0,TblTech[[#This Row],[Hour]:[Hour]]&gt;=AT$2),1,0)</f>
        <v>0</v>
      </c>
      <c r="AU134" s="329" t="n">
        <f aca="false" t="array" ref="AU134:AU134">IF(AND(AU$2&lt;&gt;0,TblTech[[#This Row],[Hour]:[Hour]]&gt;=AU$2),1,0)</f>
        <v>0</v>
      </c>
      <c r="AV134" s="329" t="n">
        <f aca="false" t="array" ref="AV134:AV134">IF(AND(AV$2&lt;&gt;0,TblTech[[#This Row],[Hour]:[Hour]]&gt;=AV$2),1,0)</f>
        <v>0</v>
      </c>
      <c r="AW134" s="329" t="n">
        <f aca="false" t="array" ref="AW134:AW134">IF(AND(AW$2&lt;&gt;0,TblTech[[#This Row],[Hour]:[Hour]]&gt;=AW$2),1,0)</f>
        <v>0</v>
      </c>
      <c r="AX134" s="329" t="n">
        <f aca="false" t="array" ref="AX134:AX134">IF(AND(AX$2&lt;&gt;0,TblTech[[#This Row],[Hour]:[Hour]]&gt;=AX$2),1,0)</f>
        <v>0</v>
      </c>
      <c r="AY134" s="329" t="n">
        <f aca="false" t="array" ref="AY134:AY134">IF(AND(AY$2&lt;&gt;0,TblTech[[#This Row],[Hour]:[Hour]]&gt;=AY$2),1,0)</f>
        <v>0</v>
      </c>
      <c r="AZ134" s="329" t="n">
        <f aca="false" t="array" ref="AZ134:AZ134">IF(AND(AZ$2&lt;&gt;0,TblTech[[#This Row],[Hour]:[Hour]]&gt;=AZ$2),1,0)</f>
        <v>0</v>
      </c>
      <c r="BA134" s="329" t="n">
        <f aca="false" t="array" ref="BA134:BA134">IF(AND(BA$2&lt;&gt;0,TblTech[[#This Row],[Hour]:[Hour]]&gt;=BA$2),1,0)</f>
        <v>0</v>
      </c>
      <c r="BB134" s="329" t="n">
        <f aca="false" t="array" ref="BB134:BB134">IF(AND(BB$2&lt;&gt;0,TblTech[[#This Row],[Hour]:[Hour]]&gt;=BB$2),1,0)</f>
        <v>0</v>
      </c>
      <c r="BC134" s="329" t="n">
        <f aca="false" t="array" ref="BC134:BC134">IF(AND(BC$2&lt;&gt;0,TblTech[[#This Row],[Hour]:[Hour]]&gt;=BC$2),1,0)</f>
        <v>0</v>
      </c>
      <c r="BD134" s="329" t="n">
        <f aca="false" t="array" ref="BD134:BD134">IF(AND(BD$2&lt;&gt;0,TblTech[[#This Row],[Hour]:[Hour]]&gt;=BD$2),1,0)</f>
        <v>0</v>
      </c>
      <c r="BE134" s="329" t="n">
        <f aca="false" t="array" ref="BE134:BE134">IF(AND(BE$2&lt;&gt;0,TblTech[[#This Row],[Hour]:[Hour]]&gt;=BE$2),1,0)</f>
        <v>0</v>
      </c>
      <c r="BF134" s="329" t="n">
        <f aca="false" t="array" ref="BF134:BF134">IF(AND(BF$2&lt;&gt;0,TblTech[[#This Row],[Hour]:[Hour]]&gt;=BF$2),1,0)</f>
        <v>0</v>
      </c>
      <c r="BG134" s="329" t="n">
        <f aca="false" t="array" ref="BG134:BG134">IF(AND(BG$2&lt;&gt;0,TblTech[[#This Row],[Hour]:[Hour]]&gt;=BG$2),1,0)</f>
        <v>0</v>
      </c>
      <c r="BH134" s="329" t="n">
        <f aca="false" t="array" ref="BH134:BH134">IF(AND(BH$2&lt;&gt;0,TblTech[[#This Row],[Hour]:[Hour]]&gt;=BH$2),1,0)</f>
        <v>0</v>
      </c>
      <c r="BI134" s="329" t="n">
        <f aca="false" t="array" ref="BI134:BI134">IF(AND(BI$2&lt;&gt;0,TblTech[[#This Row],[Hour]:[Hour]]&gt;=BI$2),1,0)</f>
        <v>0</v>
      </c>
      <c r="BJ134" s="329" t="n">
        <f aca="false" t="array" ref="BJ134:BJ134">IF(AND(BJ$2&lt;&gt;0,TblTech[[#This Row],[Hour]:[Hour]]&gt;=BJ$2),1,0)</f>
        <v>0</v>
      </c>
      <c r="BK134" s="329" t="n">
        <f aca="false" t="array" ref="BK134:BK134">IF(AND(BK$2&lt;&gt;0,TblTech[[#This Row],[Hour]:[Hour]]&gt;=BK$2),1,0)</f>
        <v>0</v>
      </c>
      <c r="BL134" s="329" t="n">
        <f aca="false" t="array" ref="BL134:BL134">IF(AND(BL$2&lt;&gt;0,TblTech[[#This Row],[Hour]:[Hour]]&gt;=BL$2),1,0)</f>
        <v>0</v>
      </c>
      <c r="BM134" s="329" t="n">
        <f aca="false" t="array" ref="BM134:BM134">IF(AND(BM$2&lt;&gt;0,TblTech[[#This Row],[Hour]:[Hour]]&gt;=BM$2),1,0)</f>
        <v>0</v>
      </c>
      <c r="BN134" s="329" t="n">
        <f aca="false" t="array" ref="BN134:BN134">IF(AND(BN$2&lt;&gt;0,TblTech[[#This Row],[Hour]:[Hour]]&gt;=BN$2),1,0)</f>
        <v>0</v>
      </c>
      <c r="BO134" s="329" t="n">
        <f aca="false" t="array" ref="BO134:BO134">IF(AND(BO$2&lt;&gt;0,TblTech[[#This Row],[Hour]:[Hour]]&gt;=BO$2),1,0)</f>
        <v>0</v>
      </c>
      <c r="BP134" s="329" t="n">
        <f aca="false" t="array" ref="BP134:BP134">IF(AND(BP$2&lt;&gt;0,TblTech[[#This Row],[Hour]:[Hour]]&gt;=BP$2),1,0)</f>
        <v>0</v>
      </c>
      <c r="BQ134" s="329" t="n">
        <f aca="false" t="array" ref="BQ134:BQ134">IF(AND(BQ$2&lt;&gt;0,TblTech[[#This Row],[Hour]:[Hour]]&gt;=BQ$2),1,0)</f>
        <v>0</v>
      </c>
      <c r="BR134" s="329" t="n">
        <f aca="false" t="array" ref="BR134:BR134">IF(AND(BR$2&lt;&gt;0,TblTech[[#This Row],[Hour]:[Hour]]&gt;=BR$2),1,0)</f>
        <v>0</v>
      </c>
      <c r="BS134" s="329" t="n">
        <f aca="false" t="array" ref="BS134:BS134">IF(AND(BS$2&lt;&gt;0,TblTech[[#This Row],[Hour]:[Hour]]&gt;=BS$2),1,0)</f>
        <v>0</v>
      </c>
      <c r="BT134" s="329" t="n">
        <f aca="false" t="array" ref="BT134:BT134">IF(AND(BT$2&lt;&gt;0,TblTech[[#This Row],[Hour]:[Hour]]&gt;=BT$2),1,0)</f>
        <v>0</v>
      </c>
      <c r="BU134" s="329" t="n">
        <f aca="false" t="array" ref="BU134:BU134">IF(AND(BU$2&lt;&gt;0,TblTech[[#This Row],[Hour]:[Hour]]&gt;=BU$2),1,0)</f>
        <v>0</v>
      </c>
      <c r="BV134" s="329" t="n">
        <f aca="false" t="array" ref="BV134:BV134">IF(AND(BV$2&lt;&gt;0,TblTech[[#This Row],[Hour]:[Hour]]&gt;=BV$2),1,0)</f>
        <v>0</v>
      </c>
      <c r="BW134" s="329" t="n">
        <f aca="false" t="array" ref="BW134:BW134">IF(AND(BW$2&lt;&gt;0,TblTech[[#This Row],[Hour]:[Hour]]&gt;=BW$2),1,0)</f>
        <v>0</v>
      </c>
      <c r="BX134" s="329" t="n">
        <f aca="false" t="array" ref="BX134:BX134">IF(AND(BX$2&lt;&gt;0,TblTech[[#This Row],[Hour]:[Hour]]&gt;=BX$2),1,0)</f>
        <v>0</v>
      </c>
      <c r="BY134" s="329" t="n">
        <f aca="false" t="array" ref="BY134:BY134">IF(AND(BY$2&lt;&gt;0,TblTech[[#This Row],[Hour]:[Hour]]&gt;=BY$2),1,0)</f>
        <v>0</v>
      </c>
      <c r="BZ134" s="329" t="n">
        <f aca="false" t="array" ref="BZ134:BZ134">IF(AND(BZ$2&lt;&gt;0,TblTech[[#This Row],[Hour]:[Hour]]&gt;=BZ$2),1,0)</f>
        <v>0</v>
      </c>
      <c r="CA134" s="330" t="n">
        <f aca="false">IFERROR(INDEX($H$4:$H$79,MATCH(INDEX(TblTech[[#Headers],[1-1]:[11-1]],1,MATCH(TblTech[[#This Row],[Hour]],$M$2:$BZ$2,0)),$G$4:$G$79,0)),)</f>
        <v>0</v>
      </c>
    </row>
    <row r="135" customFormat="false" ht="12.75" hidden="false" customHeight="false" outlineLevel="0" collapsed="false">
      <c r="A135" s="321" t="n">
        <f aca="false">TblRezone[[#This Row],[Hour]]</f>
        <v>132</v>
      </c>
      <c r="B135" s="322" t="n">
        <f aca="false">TblExplore[[#This Row],[Land-DB]]</f>
        <v>700</v>
      </c>
      <c r="C135" s="323" t="n">
        <f aca="false">TblProd[[#This Row],[Techpoints]]</f>
        <v>1400</v>
      </c>
      <c r="D135" s="323" t="n">
        <f aca="false">TblProd[[#This Row],[Required]]</f>
        <v>3750</v>
      </c>
      <c r="E135" s="333"/>
      <c r="F135" s="334"/>
      <c r="G135" s="326"/>
      <c r="H135" s="327"/>
      <c r="I135" s="327"/>
      <c r="J135" s="327"/>
      <c r="K135" s="68" t="n">
        <f aca="false">IF(TblTech[[#This Row],[Sum of tech]]&lt;&gt;OFFSET(TblTech[[#This Row],[Sum of tech]],-1,0),1,0)</f>
        <v>0</v>
      </c>
      <c r="L135" s="328" t="n">
        <f aca="false">COUNTIF(TblTech[[#This Row],[1-1]:[11-1]],1)</f>
        <v>0</v>
      </c>
      <c r="M135" s="329" t="n">
        <f aca="false" t="array" ref="M135:M135">IF(AND(M$2&lt;&gt;0,TblTech[[#This Row],[Hour]:[Hour]]&gt;=M$2),1,0)</f>
        <v>0</v>
      </c>
      <c r="N135" s="329" t="n">
        <f aca="false" t="array" ref="N135:N135">IF(AND(N$2&lt;&gt;0,TblTech[[#This Row],[Hour]:[Hour]]&gt;=N$2),1,0)</f>
        <v>0</v>
      </c>
      <c r="O135" s="329" t="n">
        <f aca="false" t="array" ref="O135:O135">IF(AND(O$2&lt;&gt;0,TblTech[[#This Row],[Hour]:[Hour]]&gt;=O$2),1,0)</f>
        <v>0</v>
      </c>
      <c r="P135" s="329" t="n">
        <f aca="false" t="array" ref="P135:P135">IF(AND(P$2&lt;&gt;0,TblTech[[#This Row],[Hour]:[Hour]]&gt;=P$2),1,0)</f>
        <v>0</v>
      </c>
      <c r="Q135" s="329" t="n">
        <f aca="false" t="array" ref="Q135:Q135">IF(AND(Q$2&lt;&gt;0,TblTech[[#This Row],[Hour]:[Hour]]&gt;=Q$2),1,0)</f>
        <v>0</v>
      </c>
      <c r="R135" s="329" t="n">
        <f aca="false" t="array" ref="R135:R135">IF(AND(R$2&lt;&gt;0,TblTech[[#This Row],[Hour]:[Hour]]&gt;=R$2),1,0)</f>
        <v>0</v>
      </c>
      <c r="S135" s="329" t="n">
        <f aca="false" t="array" ref="S135:S135">IF(AND(S$2&lt;&gt;0,TblTech[[#This Row],[Hour]:[Hour]]&gt;=S$2),1,0)</f>
        <v>0</v>
      </c>
      <c r="T135" s="329" t="n">
        <f aca="false" t="array" ref="T135:T135">IF(AND(T$2&lt;&gt;0,TblTech[[#This Row],[Hour]:[Hour]]&gt;=T$2),1,0)</f>
        <v>0</v>
      </c>
      <c r="U135" s="329" t="n">
        <f aca="false" t="array" ref="U135:U135">IF(AND(U$2&lt;&gt;0,TblTech[[#This Row],[Hour]:[Hour]]&gt;=U$2),1,0)</f>
        <v>0</v>
      </c>
      <c r="V135" s="329" t="n">
        <f aca="false" t="array" ref="V135:V135">IF(AND(V$2&lt;&gt;0,TblTech[[#This Row],[Hour]:[Hour]]&gt;=V$2),1,0)</f>
        <v>0</v>
      </c>
      <c r="W135" s="329" t="n">
        <f aca="false" t="array" ref="W135:W135">IF(AND(W$2&lt;&gt;0,TblTech[[#This Row],[Hour]:[Hour]]&gt;=W$2),1,0)</f>
        <v>0</v>
      </c>
      <c r="X135" s="329" t="n">
        <f aca="false" t="array" ref="X135:X135">IF(AND(X$2&lt;&gt;0,TblTech[[#This Row],[Hour]:[Hour]]&gt;=X$2),1,0)</f>
        <v>0</v>
      </c>
      <c r="Y135" s="329" t="n">
        <f aca="false" t="array" ref="Y135:Y135">IF(AND(Y$2&lt;&gt;0,TblTech[[#This Row],[Hour]:[Hour]]&gt;=Y$2),1,0)</f>
        <v>0</v>
      </c>
      <c r="Z135" s="329" t="n">
        <f aca="false" t="array" ref="Z135:Z135">IF(AND(Z$2&lt;&gt;0,TblTech[[#This Row],[Hour]:[Hour]]&gt;=Z$2),1,0)</f>
        <v>0</v>
      </c>
      <c r="AA135" s="329" t="n">
        <f aca="false" t="array" ref="AA135:AA135">IF(AND(AA$2&lt;&gt;0,TblTech[[#This Row],[Hour]:[Hour]]&gt;=AA$2),1,0)</f>
        <v>0</v>
      </c>
      <c r="AB135" s="329" t="n">
        <f aca="false" t="array" ref="AB135:AB135">IF(AND(AB$2&lt;&gt;0,TblTech[[#This Row],[Hour]:[Hour]]&gt;=AB$2),1,0)</f>
        <v>0</v>
      </c>
      <c r="AC135" s="329" t="n">
        <f aca="false" t="array" ref="AC135:AC135">IF(AND(AC$2&lt;&gt;0,TblTech[[#This Row],[Hour]:[Hour]]&gt;=AC$2),1,0)</f>
        <v>0</v>
      </c>
      <c r="AD135" s="329" t="n">
        <f aca="false" t="array" ref="AD135:AD135">IF(AND(AD$2&lt;&gt;0,TblTech[[#This Row],[Hour]:[Hour]]&gt;=AD$2),1,0)</f>
        <v>0</v>
      </c>
      <c r="AE135" s="329" t="n">
        <f aca="false" t="array" ref="AE135:AE135">IF(AND(AE$2&lt;&gt;0,TblTech[[#This Row],[Hour]:[Hour]]&gt;=AE$2),1,0)</f>
        <v>0</v>
      </c>
      <c r="AF135" s="329" t="n">
        <f aca="false" t="array" ref="AF135:AF135">IF(AND(AF$2&lt;&gt;0,TblTech[[#This Row],[Hour]:[Hour]]&gt;=AF$2),1,0)</f>
        <v>0</v>
      </c>
      <c r="AG135" s="329" t="n">
        <f aca="false" t="array" ref="AG135:AG135">IF(AND(AG$2&lt;&gt;0,TblTech[[#This Row],[Hour]:[Hour]]&gt;=AG$2),1,0)</f>
        <v>0</v>
      </c>
      <c r="AH135" s="329" t="n">
        <f aca="false" t="array" ref="AH135:AH135">IF(AND(AH$2&lt;&gt;0,TblTech[[#This Row],[Hour]:[Hour]]&gt;=AH$2),1,0)</f>
        <v>0</v>
      </c>
      <c r="AI135" s="329" t="n">
        <f aca="false" t="array" ref="AI135:AI135">IF(AND(AI$2&lt;&gt;0,TblTech[[#This Row],[Hour]:[Hour]]&gt;=AI$2),1,0)</f>
        <v>0</v>
      </c>
      <c r="AJ135" s="329" t="n">
        <f aca="false" t="array" ref="AJ135:AJ135">IF(AND(AJ$2&lt;&gt;0,TblTech[[#This Row],[Hour]:[Hour]]&gt;=AJ$2),1,0)</f>
        <v>0</v>
      </c>
      <c r="AK135" s="329" t="n">
        <f aca="false" t="array" ref="AK135:AK135">IF(AND(AK$2&lt;&gt;0,TblTech[[#This Row],[Hour]:[Hour]]&gt;=AK$2),1,0)</f>
        <v>0</v>
      </c>
      <c r="AL135" s="329" t="n">
        <f aca="false" t="array" ref="AL135:AL135">IF(AND(AL$2&lt;&gt;0,TblTech[[#This Row],[Hour]:[Hour]]&gt;=AL$2),1,0)</f>
        <v>0</v>
      </c>
      <c r="AM135" s="329" t="n">
        <f aca="false" t="array" ref="AM135:AM135">IF(AND(AM$2&lt;&gt;0,TblTech[[#This Row],[Hour]:[Hour]]&gt;=AM$2),1,0)</f>
        <v>0</v>
      </c>
      <c r="AN135" s="329" t="n">
        <f aca="false" t="array" ref="AN135:AN135">IF(AND(AN$2&lt;&gt;0,TblTech[[#This Row],[Hour]:[Hour]]&gt;=AN$2),1,0)</f>
        <v>0</v>
      </c>
      <c r="AO135" s="329" t="n">
        <f aca="false" t="array" ref="AO135:AO135">IF(AND(AO$2&lt;&gt;0,TblTech[[#This Row],[Hour]:[Hour]]&gt;=AO$2),1,0)</f>
        <v>0</v>
      </c>
      <c r="AP135" s="329" t="n">
        <f aca="false" t="array" ref="AP135:AP135">IF(AND(AP$2&lt;&gt;0,TblTech[[#This Row],[Hour]:[Hour]]&gt;=AP$2),1,0)</f>
        <v>0</v>
      </c>
      <c r="AQ135" s="329" t="n">
        <f aca="false" t="array" ref="AQ135:AQ135">IF(AND(AQ$2&lt;&gt;0,TblTech[[#This Row],[Hour]:[Hour]]&gt;=AQ$2),1,0)</f>
        <v>0</v>
      </c>
      <c r="AR135" s="329" t="n">
        <f aca="false" t="array" ref="AR135:AR135">IF(AND(AR$2&lt;&gt;0,TblTech[[#This Row],[Hour]:[Hour]]&gt;=AR$2),1,0)</f>
        <v>0</v>
      </c>
      <c r="AS135" s="329" t="n">
        <f aca="false" t="array" ref="AS135:AS135">IF(AND(AS$2&lt;&gt;0,TblTech[[#This Row],[Hour]:[Hour]]&gt;=AS$2),1,0)</f>
        <v>0</v>
      </c>
      <c r="AT135" s="329" t="n">
        <f aca="false" t="array" ref="AT135:AT135">IF(AND(AT$2&lt;&gt;0,TblTech[[#This Row],[Hour]:[Hour]]&gt;=AT$2),1,0)</f>
        <v>0</v>
      </c>
      <c r="AU135" s="329" t="n">
        <f aca="false" t="array" ref="AU135:AU135">IF(AND(AU$2&lt;&gt;0,TblTech[[#This Row],[Hour]:[Hour]]&gt;=AU$2),1,0)</f>
        <v>0</v>
      </c>
      <c r="AV135" s="329" t="n">
        <f aca="false" t="array" ref="AV135:AV135">IF(AND(AV$2&lt;&gt;0,TblTech[[#This Row],[Hour]:[Hour]]&gt;=AV$2),1,0)</f>
        <v>0</v>
      </c>
      <c r="AW135" s="329" t="n">
        <f aca="false" t="array" ref="AW135:AW135">IF(AND(AW$2&lt;&gt;0,TblTech[[#This Row],[Hour]:[Hour]]&gt;=AW$2),1,0)</f>
        <v>0</v>
      </c>
      <c r="AX135" s="329" t="n">
        <f aca="false" t="array" ref="AX135:AX135">IF(AND(AX$2&lt;&gt;0,TblTech[[#This Row],[Hour]:[Hour]]&gt;=AX$2),1,0)</f>
        <v>0</v>
      </c>
      <c r="AY135" s="329" t="n">
        <f aca="false" t="array" ref="AY135:AY135">IF(AND(AY$2&lt;&gt;0,TblTech[[#This Row],[Hour]:[Hour]]&gt;=AY$2),1,0)</f>
        <v>0</v>
      </c>
      <c r="AZ135" s="329" t="n">
        <f aca="false" t="array" ref="AZ135:AZ135">IF(AND(AZ$2&lt;&gt;0,TblTech[[#This Row],[Hour]:[Hour]]&gt;=AZ$2),1,0)</f>
        <v>0</v>
      </c>
      <c r="BA135" s="329" t="n">
        <f aca="false" t="array" ref="BA135:BA135">IF(AND(BA$2&lt;&gt;0,TblTech[[#This Row],[Hour]:[Hour]]&gt;=BA$2),1,0)</f>
        <v>0</v>
      </c>
      <c r="BB135" s="329" t="n">
        <f aca="false" t="array" ref="BB135:BB135">IF(AND(BB$2&lt;&gt;0,TblTech[[#This Row],[Hour]:[Hour]]&gt;=BB$2),1,0)</f>
        <v>0</v>
      </c>
      <c r="BC135" s="329" t="n">
        <f aca="false" t="array" ref="BC135:BC135">IF(AND(BC$2&lt;&gt;0,TblTech[[#This Row],[Hour]:[Hour]]&gt;=BC$2),1,0)</f>
        <v>0</v>
      </c>
      <c r="BD135" s="329" t="n">
        <f aca="false" t="array" ref="BD135:BD135">IF(AND(BD$2&lt;&gt;0,TblTech[[#This Row],[Hour]:[Hour]]&gt;=BD$2),1,0)</f>
        <v>0</v>
      </c>
      <c r="BE135" s="329" t="n">
        <f aca="false" t="array" ref="BE135:BE135">IF(AND(BE$2&lt;&gt;0,TblTech[[#This Row],[Hour]:[Hour]]&gt;=BE$2),1,0)</f>
        <v>0</v>
      </c>
      <c r="BF135" s="329" t="n">
        <f aca="false" t="array" ref="BF135:BF135">IF(AND(BF$2&lt;&gt;0,TblTech[[#This Row],[Hour]:[Hour]]&gt;=BF$2),1,0)</f>
        <v>0</v>
      </c>
      <c r="BG135" s="329" t="n">
        <f aca="false" t="array" ref="BG135:BG135">IF(AND(BG$2&lt;&gt;0,TblTech[[#This Row],[Hour]:[Hour]]&gt;=BG$2),1,0)</f>
        <v>0</v>
      </c>
      <c r="BH135" s="329" t="n">
        <f aca="false" t="array" ref="BH135:BH135">IF(AND(BH$2&lt;&gt;0,TblTech[[#This Row],[Hour]:[Hour]]&gt;=BH$2),1,0)</f>
        <v>0</v>
      </c>
      <c r="BI135" s="329" t="n">
        <f aca="false" t="array" ref="BI135:BI135">IF(AND(BI$2&lt;&gt;0,TblTech[[#This Row],[Hour]:[Hour]]&gt;=BI$2),1,0)</f>
        <v>0</v>
      </c>
      <c r="BJ135" s="329" t="n">
        <f aca="false" t="array" ref="BJ135:BJ135">IF(AND(BJ$2&lt;&gt;0,TblTech[[#This Row],[Hour]:[Hour]]&gt;=BJ$2),1,0)</f>
        <v>0</v>
      </c>
      <c r="BK135" s="329" t="n">
        <f aca="false" t="array" ref="BK135:BK135">IF(AND(BK$2&lt;&gt;0,TblTech[[#This Row],[Hour]:[Hour]]&gt;=BK$2),1,0)</f>
        <v>0</v>
      </c>
      <c r="BL135" s="329" t="n">
        <f aca="false" t="array" ref="BL135:BL135">IF(AND(BL$2&lt;&gt;0,TblTech[[#This Row],[Hour]:[Hour]]&gt;=BL$2),1,0)</f>
        <v>0</v>
      </c>
      <c r="BM135" s="329" t="n">
        <f aca="false" t="array" ref="BM135:BM135">IF(AND(BM$2&lt;&gt;0,TblTech[[#This Row],[Hour]:[Hour]]&gt;=BM$2),1,0)</f>
        <v>0</v>
      </c>
      <c r="BN135" s="329" t="n">
        <f aca="false" t="array" ref="BN135:BN135">IF(AND(BN$2&lt;&gt;0,TblTech[[#This Row],[Hour]:[Hour]]&gt;=BN$2),1,0)</f>
        <v>0</v>
      </c>
      <c r="BO135" s="329" t="n">
        <f aca="false" t="array" ref="BO135:BO135">IF(AND(BO$2&lt;&gt;0,TblTech[[#This Row],[Hour]:[Hour]]&gt;=BO$2),1,0)</f>
        <v>0</v>
      </c>
      <c r="BP135" s="329" t="n">
        <f aca="false" t="array" ref="BP135:BP135">IF(AND(BP$2&lt;&gt;0,TblTech[[#This Row],[Hour]:[Hour]]&gt;=BP$2),1,0)</f>
        <v>0</v>
      </c>
      <c r="BQ135" s="329" t="n">
        <f aca="false" t="array" ref="BQ135:BQ135">IF(AND(BQ$2&lt;&gt;0,TblTech[[#This Row],[Hour]:[Hour]]&gt;=BQ$2),1,0)</f>
        <v>0</v>
      </c>
      <c r="BR135" s="329" t="n">
        <f aca="false" t="array" ref="BR135:BR135">IF(AND(BR$2&lt;&gt;0,TblTech[[#This Row],[Hour]:[Hour]]&gt;=BR$2),1,0)</f>
        <v>0</v>
      </c>
      <c r="BS135" s="329" t="n">
        <f aca="false" t="array" ref="BS135:BS135">IF(AND(BS$2&lt;&gt;0,TblTech[[#This Row],[Hour]:[Hour]]&gt;=BS$2),1,0)</f>
        <v>0</v>
      </c>
      <c r="BT135" s="329" t="n">
        <f aca="false" t="array" ref="BT135:BT135">IF(AND(BT$2&lt;&gt;0,TblTech[[#This Row],[Hour]:[Hour]]&gt;=BT$2),1,0)</f>
        <v>0</v>
      </c>
      <c r="BU135" s="329" t="n">
        <f aca="false" t="array" ref="BU135:BU135">IF(AND(BU$2&lt;&gt;0,TblTech[[#This Row],[Hour]:[Hour]]&gt;=BU$2),1,0)</f>
        <v>0</v>
      </c>
      <c r="BV135" s="329" t="n">
        <f aca="false" t="array" ref="BV135:BV135">IF(AND(BV$2&lt;&gt;0,TblTech[[#This Row],[Hour]:[Hour]]&gt;=BV$2),1,0)</f>
        <v>0</v>
      </c>
      <c r="BW135" s="329" t="n">
        <f aca="false" t="array" ref="BW135:BW135">IF(AND(BW$2&lt;&gt;0,TblTech[[#This Row],[Hour]:[Hour]]&gt;=BW$2),1,0)</f>
        <v>0</v>
      </c>
      <c r="BX135" s="329" t="n">
        <f aca="false" t="array" ref="BX135:BX135">IF(AND(BX$2&lt;&gt;0,TblTech[[#This Row],[Hour]:[Hour]]&gt;=BX$2),1,0)</f>
        <v>0</v>
      </c>
      <c r="BY135" s="329" t="n">
        <f aca="false" t="array" ref="BY135:BY135">IF(AND(BY$2&lt;&gt;0,TblTech[[#This Row],[Hour]:[Hour]]&gt;=BY$2),1,0)</f>
        <v>0</v>
      </c>
      <c r="BZ135" s="329" t="n">
        <f aca="false" t="array" ref="BZ135:BZ135">IF(AND(BZ$2&lt;&gt;0,TblTech[[#This Row],[Hour]:[Hour]]&gt;=BZ$2),1,0)</f>
        <v>0</v>
      </c>
      <c r="CA135" s="330" t="n">
        <f aca="false">IFERROR(INDEX($H$4:$H$79,MATCH(INDEX(TblTech[[#Headers],[1-1]:[11-1]],1,MATCH(TblTech[[#This Row],[Hour]],$M$2:$BZ$2,0)),$G$4:$G$79,0)),)</f>
        <v>0</v>
      </c>
    </row>
    <row r="136" customFormat="false" ht="12.75" hidden="false" customHeight="false" outlineLevel="0" collapsed="false">
      <c r="A136" s="321" t="n">
        <f aca="false">TblRezone[[#This Row],[Hour]]</f>
        <v>133</v>
      </c>
      <c r="B136" s="322" t="n">
        <f aca="false">TblExplore[[#This Row],[Land-DB]]</f>
        <v>700</v>
      </c>
      <c r="C136" s="323" t="n">
        <f aca="false">TblProd[[#This Row],[Techpoints]]</f>
        <v>1400</v>
      </c>
      <c r="D136" s="323" t="n">
        <f aca="false">TblProd[[#This Row],[Required]]</f>
        <v>3750</v>
      </c>
      <c r="E136" s="333"/>
      <c r="F136" s="334"/>
      <c r="G136" s="326"/>
      <c r="H136" s="327"/>
      <c r="I136" s="327"/>
      <c r="J136" s="327"/>
      <c r="K136" s="68" t="n">
        <f aca="false">IF(TblTech[[#This Row],[Sum of tech]]&lt;&gt;OFFSET(TblTech[[#This Row],[Sum of tech]],-1,0),1,0)</f>
        <v>0</v>
      </c>
      <c r="L136" s="328" t="n">
        <f aca="false">COUNTIF(TblTech[[#This Row],[1-1]:[11-1]],1)</f>
        <v>0</v>
      </c>
      <c r="M136" s="329" t="n">
        <f aca="false" t="array" ref="M136:M136">IF(AND(M$2&lt;&gt;0,TblTech[[#This Row],[Hour]:[Hour]]&gt;=M$2),1,0)</f>
        <v>0</v>
      </c>
      <c r="N136" s="329" t="n">
        <f aca="false" t="array" ref="N136:N136">IF(AND(N$2&lt;&gt;0,TblTech[[#This Row],[Hour]:[Hour]]&gt;=N$2),1,0)</f>
        <v>0</v>
      </c>
      <c r="O136" s="329" t="n">
        <f aca="false" t="array" ref="O136:O136">IF(AND(O$2&lt;&gt;0,TblTech[[#This Row],[Hour]:[Hour]]&gt;=O$2),1,0)</f>
        <v>0</v>
      </c>
      <c r="P136" s="329" t="n">
        <f aca="false" t="array" ref="P136:P136">IF(AND(P$2&lt;&gt;0,TblTech[[#This Row],[Hour]:[Hour]]&gt;=P$2),1,0)</f>
        <v>0</v>
      </c>
      <c r="Q136" s="329" t="n">
        <f aca="false" t="array" ref="Q136:Q136">IF(AND(Q$2&lt;&gt;0,TblTech[[#This Row],[Hour]:[Hour]]&gt;=Q$2),1,0)</f>
        <v>0</v>
      </c>
      <c r="R136" s="329" t="n">
        <f aca="false" t="array" ref="R136:R136">IF(AND(R$2&lt;&gt;0,TblTech[[#This Row],[Hour]:[Hour]]&gt;=R$2),1,0)</f>
        <v>0</v>
      </c>
      <c r="S136" s="329" t="n">
        <f aca="false" t="array" ref="S136:S136">IF(AND(S$2&lt;&gt;0,TblTech[[#This Row],[Hour]:[Hour]]&gt;=S$2),1,0)</f>
        <v>0</v>
      </c>
      <c r="T136" s="329" t="n">
        <f aca="false" t="array" ref="T136:T136">IF(AND(T$2&lt;&gt;0,TblTech[[#This Row],[Hour]:[Hour]]&gt;=T$2),1,0)</f>
        <v>0</v>
      </c>
      <c r="U136" s="329" t="n">
        <f aca="false" t="array" ref="U136:U136">IF(AND(U$2&lt;&gt;0,TblTech[[#This Row],[Hour]:[Hour]]&gt;=U$2),1,0)</f>
        <v>0</v>
      </c>
      <c r="V136" s="329" t="n">
        <f aca="false" t="array" ref="V136:V136">IF(AND(V$2&lt;&gt;0,TblTech[[#This Row],[Hour]:[Hour]]&gt;=V$2),1,0)</f>
        <v>0</v>
      </c>
      <c r="W136" s="329" t="n">
        <f aca="false" t="array" ref="W136:W136">IF(AND(W$2&lt;&gt;0,TblTech[[#This Row],[Hour]:[Hour]]&gt;=W$2),1,0)</f>
        <v>0</v>
      </c>
      <c r="X136" s="329" t="n">
        <f aca="false" t="array" ref="X136:X136">IF(AND(X$2&lt;&gt;0,TblTech[[#This Row],[Hour]:[Hour]]&gt;=X$2),1,0)</f>
        <v>0</v>
      </c>
      <c r="Y136" s="329" t="n">
        <f aca="false" t="array" ref="Y136:Y136">IF(AND(Y$2&lt;&gt;0,TblTech[[#This Row],[Hour]:[Hour]]&gt;=Y$2),1,0)</f>
        <v>0</v>
      </c>
      <c r="Z136" s="329" t="n">
        <f aca="false" t="array" ref="Z136:Z136">IF(AND(Z$2&lt;&gt;0,TblTech[[#This Row],[Hour]:[Hour]]&gt;=Z$2),1,0)</f>
        <v>0</v>
      </c>
      <c r="AA136" s="329" t="n">
        <f aca="false" t="array" ref="AA136:AA136">IF(AND(AA$2&lt;&gt;0,TblTech[[#This Row],[Hour]:[Hour]]&gt;=AA$2),1,0)</f>
        <v>0</v>
      </c>
      <c r="AB136" s="329" t="n">
        <f aca="false" t="array" ref="AB136:AB136">IF(AND(AB$2&lt;&gt;0,TblTech[[#This Row],[Hour]:[Hour]]&gt;=AB$2),1,0)</f>
        <v>0</v>
      </c>
      <c r="AC136" s="329" t="n">
        <f aca="false" t="array" ref="AC136:AC136">IF(AND(AC$2&lt;&gt;0,TblTech[[#This Row],[Hour]:[Hour]]&gt;=AC$2),1,0)</f>
        <v>0</v>
      </c>
      <c r="AD136" s="329" t="n">
        <f aca="false" t="array" ref="AD136:AD136">IF(AND(AD$2&lt;&gt;0,TblTech[[#This Row],[Hour]:[Hour]]&gt;=AD$2),1,0)</f>
        <v>0</v>
      </c>
      <c r="AE136" s="329" t="n">
        <f aca="false" t="array" ref="AE136:AE136">IF(AND(AE$2&lt;&gt;0,TblTech[[#This Row],[Hour]:[Hour]]&gt;=AE$2),1,0)</f>
        <v>0</v>
      </c>
      <c r="AF136" s="329" t="n">
        <f aca="false" t="array" ref="AF136:AF136">IF(AND(AF$2&lt;&gt;0,TblTech[[#This Row],[Hour]:[Hour]]&gt;=AF$2),1,0)</f>
        <v>0</v>
      </c>
      <c r="AG136" s="329" t="n">
        <f aca="false" t="array" ref="AG136:AG136">IF(AND(AG$2&lt;&gt;0,TblTech[[#This Row],[Hour]:[Hour]]&gt;=AG$2),1,0)</f>
        <v>0</v>
      </c>
      <c r="AH136" s="329" t="n">
        <f aca="false" t="array" ref="AH136:AH136">IF(AND(AH$2&lt;&gt;0,TblTech[[#This Row],[Hour]:[Hour]]&gt;=AH$2),1,0)</f>
        <v>0</v>
      </c>
      <c r="AI136" s="329" t="n">
        <f aca="false" t="array" ref="AI136:AI136">IF(AND(AI$2&lt;&gt;0,TblTech[[#This Row],[Hour]:[Hour]]&gt;=AI$2),1,0)</f>
        <v>0</v>
      </c>
      <c r="AJ136" s="329" t="n">
        <f aca="false" t="array" ref="AJ136:AJ136">IF(AND(AJ$2&lt;&gt;0,TblTech[[#This Row],[Hour]:[Hour]]&gt;=AJ$2),1,0)</f>
        <v>0</v>
      </c>
      <c r="AK136" s="329" t="n">
        <f aca="false" t="array" ref="AK136:AK136">IF(AND(AK$2&lt;&gt;0,TblTech[[#This Row],[Hour]:[Hour]]&gt;=AK$2),1,0)</f>
        <v>0</v>
      </c>
      <c r="AL136" s="329" t="n">
        <f aca="false" t="array" ref="AL136:AL136">IF(AND(AL$2&lt;&gt;0,TblTech[[#This Row],[Hour]:[Hour]]&gt;=AL$2),1,0)</f>
        <v>0</v>
      </c>
      <c r="AM136" s="329" t="n">
        <f aca="false" t="array" ref="AM136:AM136">IF(AND(AM$2&lt;&gt;0,TblTech[[#This Row],[Hour]:[Hour]]&gt;=AM$2),1,0)</f>
        <v>0</v>
      </c>
      <c r="AN136" s="329" t="n">
        <f aca="false" t="array" ref="AN136:AN136">IF(AND(AN$2&lt;&gt;0,TblTech[[#This Row],[Hour]:[Hour]]&gt;=AN$2),1,0)</f>
        <v>0</v>
      </c>
      <c r="AO136" s="329" t="n">
        <f aca="false" t="array" ref="AO136:AO136">IF(AND(AO$2&lt;&gt;0,TblTech[[#This Row],[Hour]:[Hour]]&gt;=AO$2),1,0)</f>
        <v>0</v>
      </c>
      <c r="AP136" s="329" t="n">
        <f aca="false" t="array" ref="AP136:AP136">IF(AND(AP$2&lt;&gt;0,TblTech[[#This Row],[Hour]:[Hour]]&gt;=AP$2),1,0)</f>
        <v>0</v>
      </c>
      <c r="AQ136" s="329" t="n">
        <f aca="false" t="array" ref="AQ136:AQ136">IF(AND(AQ$2&lt;&gt;0,TblTech[[#This Row],[Hour]:[Hour]]&gt;=AQ$2),1,0)</f>
        <v>0</v>
      </c>
      <c r="AR136" s="329" t="n">
        <f aca="false" t="array" ref="AR136:AR136">IF(AND(AR$2&lt;&gt;0,TblTech[[#This Row],[Hour]:[Hour]]&gt;=AR$2),1,0)</f>
        <v>0</v>
      </c>
      <c r="AS136" s="329" t="n">
        <f aca="false" t="array" ref="AS136:AS136">IF(AND(AS$2&lt;&gt;0,TblTech[[#This Row],[Hour]:[Hour]]&gt;=AS$2),1,0)</f>
        <v>0</v>
      </c>
      <c r="AT136" s="329" t="n">
        <f aca="false" t="array" ref="AT136:AT136">IF(AND(AT$2&lt;&gt;0,TblTech[[#This Row],[Hour]:[Hour]]&gt;=AT$2),1,0)</f>
        <v>0</v>
      </c>
      <c r="AU136" s="329" t="n">
        <f aca="false" t="array" ref="AU136:AU136">IF(AND(AU$2&lt;&gt;0,TblTech[[#This Row],[Hour]:[Hour]]&gt;=AU$2),1,0)</f>
        <v>0</v>
      </c>
      <c r="AV136" s="329" t="n">
        <f aca="false" t="array" ref="AV136:AV136">IF(AND(AV$2&lt;&gt;0,TblTech[[#This Row],[Hour]:[Hour]]&gt;=AV$2),1,0)</f>
        <v>0</v>
      </c>
      <c r="AW136" s="329" t="n">
        <f aca="false" t="array" ref="AW136:AW136">IF(AND(AW$2&lt;&gt;0,TblTech[[#This Row],[Hour]:[Hour]]&gt;=AW$2),1,0)</f>
        <v>0</v>
      </c>
      <c r="AX136" s="329" t="n">
        <f aca="false" t="array" ref="AX136:AX136">IF(AND(AX$2&lt;&gt;0,TblTech[[#This Row],[Hour]:[Hour]]&gt;=AX$2),1,0)</f>
        <v>0</v>
      </c>
      <c r="AY136" s="329" t="n">
        <f aca="false" t="array" ref="AY136:AY136">IF(AND(AY$2&lt;&gt;0,TblTech[[#This Row],[Hour]:[Hour]]&gt;=AY$2),1,0)</f>
        <v>0</v>
      </c>
      <c r="AZ136" s="329" t="n">
        <f aca="false" t="array" ref="AZ136:AZ136">IF(AND(AZ$2&lt;&gt;0,TblTech[[#This Row],[Hour]:[Hour]]&gt;=AZ$2),1,0)</f>
        <v>0</v>
      </c>
      <c r="BA136" s="329" t="n">
        <f aca="false" t="array" ref="BA136:BA136">IF(AND(BA$2&lt;&gt;0,TblTech[[#This Row],[Hour]:[Hour]]&gt;=BA$2),1,0)</f>
        <v>0</v>
      </c>
      <c r="BB136" s="329" t="n">
        <f aca="false" t="array" ref="BB136:BB136">IF(AND(BB$2&lt;&gt;0,TblTech[[#This Row],[Hour]:[Hour]]&gt;=BB$2),1,0)</f>
        <v>0</v>
      </c>
      <c r="BC136" s="329" t="n">
        <f aca="false" t="array" ref="BC136:BC136">IF(AND(BC$2&lt;&gt;0,TblTech[[#This Row],[Hour]:[Hour]]&gt;=BC$2),1,0)</f>
        <v>0</v>
      </c>
      <c r="BD136" s="329" t="n">
        <f aca="false" t="array" ref="BD136:BD136">IF(AND(BD$2&lt;&gt;0,TblTech[[#This Row],[Hour]:[Hour]]&gt;=BD$2),1,0)</f>
        <v>0</v>
      </c>
      <c r="BE136" s="329" t="n">
        <f aca="false" t="array" ref="BE136:BE136">IF(AND(BE$2&lt;&gt;0,TblTech[[#This Row],[Hour]:[Hour]]&gt;=BE$2),1,0)</f>
        <v>0</v>
      </c>
      <c r="BF136" s="329" t="n">
        <f aca="false" t="array" ref="BF136:BF136">IF(AND(BF$2&lt;&gt;0,TblTech[[#This Row],[Hour]:[Hour]]&gt;=BF$2),1,0)</f>
        <v>0</v>
      </c>
      <c r="BG136" s="329" t="n">
        <f aca="false" t="array" ref="BG136:BG136">IF(AND(BG$2&lt;&gt;0,TblTech[[#This Row],[Hour]:[Hour]]&gt;=BG$2),1,0)</f>
        <v>0</v>
      </c>
      <c r="BH136" s="329" t="n">
        <f aca="false" t="array" ref="BH136:BH136">IF(AND(BH$2&lt;&gt;0,TblTech[[#This Row],[Hour]:[Hour]]&gt;=BH$2),1,0)</f>
        <v>0</v>
      </c>
      <c r="BI136" s="329" t="n">
        <f aca="false" t="array" ref="BI136:BI136">IF(AND(BI$2&lt;&gt;0,TblTech[[#This Row],[Hour]:[Hour]]&gt;=BI$2),1,0)</f>
        <v>0</v>
      </c>
      <c r="BJ136" s="329" t="n">
        <f aca="false" t="array" ref="BJ136:BJ136">IF(AND(BJ$2&lt;&gt;0,TblTech[[#This Row],[Hour]:[Hour]]&gt;=BJ$2),1,0)</f>
        <v>0</v>
      </c>
      <c r="BK136" s="329" t="n">
        <f aca="false" t="array" ref="BK136:BK136">IF(AND(BK$2&lt;&gt;0,TblTech[[#This Row],[Hour]:[Hour]]&gt;=BK$2),1,0)</f>
        <v>0</v>
      </c>
      <c r="BL136" s="329" t="n">
        <f aca="false" t="array" ref="BL136:BL136">IF(AND(BL$2&lt;&gt;0,TblTech[[#This Row],[Hour]:[Hour]]&gt;=BL$2),1,0)</f>
        <v>0</v>
      </c>
      <c r="BM136" s="329" t="n">
        <f aca="false" t="array" ref="BM136:BM136">IF(AND(BM$2&lt;&gt;0,TblTech[[#This Row],[Hour]:[Hour]]&gt;=BM$2),1,0)</f>
        <v>0</v>
      </c>
      <c r="BN136" s="329" t="n">
        <f aca="false" t="array" ref="BN136:BN136">IF(AND(BN$2&lt;&gt;0,TblTech[[#This Row],[Hour]:[Hour]]&gt;=BN$2),1,0)</f>
        <v>0</v>
      </c>
      <c r="BO136" s="329" t="n">
        <f aca="false" t="array" ref="BO136:BO136">IF(AND(BO$2&lt;&gt;0,TblTech[[#This Row],[Hour]:[Hour]]&gt;=BO$2),1,0)</f>
        <v>0</v>
      </c>
      <c r="BP136" s="329" t="n">
        <f aca="false" t="array" ref="BP136:BP136">IF(AND(BP$2&lt;&gt;0,TblTech[[#This Row],[Hour]:[Hour]]&gt;=BP$2),1,0)</f>
        <v>0</v>
      </c>
      <c r="BQ136" s="329" t="n">
        <f aca="false" t="array" ref="BQ136:BQ136">IF(AND(BQ$2&lt;&gt;0,TblTech[[#This Row],[Hour]:[Hour]]&gt;=BQ$2),1,0)</f>
        <v>0</v>
      </c>
      <c r="BR136" s="329" t="n">
        <f aca="false" t="array" ref="BR136:BR136">IF(AND(BR$2&lt;&gt;0,TblTech[[#This Row],[Hour]:[Hour]]&gt;=BR$2),1,0)</f>
        <v>0</v>
      </c>
      <c r="BS136" s="329" t="n">
        <f aca="false" t="array" ref="BS136:BS136">IF(AND(BS$2&lt;&gt;0,TblTech[[#This Row],[Hour]:[Hour]]&gt;=BS$2),1,0)</f>
        <v>0</v>
      </c>
      <c r="BT136" s="329" t="n">
        <f aca="false" t="array" ref="BT136:BT136">IF(AND(BT$2&lt;&gt;0,TblTech[[#This Row],[Hour]:[Hour]]&gt;=BT$2),1,0)</f>
        <v>0</v>
      </c>
      <c r="BU136" s="329" t="n">
        <f aca="false" t="array" ref="BU136:BU136">IF(AND(BU$2&lt;&gt;0,TblTech[[#This Row],[Hour]:[Hour]]&gt;=BU$2),1,0)</f>
        <v>0</v>
      </c>
      <c r="BV136" s="329" t="n">
        <f aca="false" t="array" ref="BV136:BV136">IF(AND(BV$2&lt;&gt;0,TblTech[[#This Row],[Hour]:[Hour]]&gt;=BV$2),1,0)</f>
        <v>0</v>
      </c>
      <c r="BW136" s="329" t="n">
        <f aca="false" t="array" ref="BW136:BW136">IF(AND(BW$2&lt;&gt;0,TblTech[[#This Row],[Hour]:[Hour]]&gt;=BW$2),1,0)</f>
        <v>0</v>
      </c>
      <c r="BX136" s="329" t="n">
        <f aca="false" t="array" ref="BX136:BX136">IF(AND(BX$2&lt;&gt;0,TblTech[[#This Row],[Hour]:[Hour]]&gt;=BX$2),1,0)</f>
        <v>0</v>
      </c>
      <c r="BY136" s="329" t="n">
        <f aca="false" t="array" ref="BY136:BY136">IF(AND(BY$2&lt;&gt;0,TblTech[[#This Row],[Hour]:[Hour]]&gt;=BY$2),1,0)</f>
        <v>0</v>
      </c>
      <c r="BZ136" s="329" t="n">
        <f aca="false" t="array" ref="BZ136:BZ136">IF(AND(BZ$2&lt;&gt;0,TblTech[[#This Row],[Hour]:[Hour]]&gt;=BZ$2),1,0)</f>
        <v>0</v>
      </c>
      <c r="CA136" s="330" t="n">
        <f aca="false">IFERROR(INDEX($H$4:$H$79,MATCH(INDEX(TblTech[[#Headers],[1-1]:[11-1]],1,MATCH(TblTech[[#This Row],[Hour]],$M$2:$BZ$2,0)),$G$4:$G$79,0)),)</f>
        <v>0</v>
      </c>
    </row>
    <row r="1269" customFormat="false" ht="12.75" hidden="false" customHeight="false" outlineLevel="0" collapsed="false">
      <c r="M1269" s="1" t="e">
        <f aca="false">MAX(M89,#REF!)</f>
        <v>#REF!</v>
      </c>
      <c r="N1269" s="1" t="e">
        <f aca="false">MAX(N89,#REF!)</f>
        <v>#REF!</v>
      </c>
      <c r="O1269" s="1" t="e">
        <f aca="false">MAX(O89,#REF!)</f>
        <v>#REF!</v>
      </c>
      <c r="P1269" s="1" t="e">
        <f aca="false">MAX(P89,#REF!)</f>
        <v>#REF!</v>
      </c>
      <c r="Q1269" s="1" t="e">
        <f aca="false">MAX(Q89,#REF!)</f>
        <v>#REF!</v>
      </c>
      <c r="R1269" s="1" t="e">
        <f aca="false">MAX(R89,#REF!)</f>
        <v>#REF!</v>
      </c>
      <c r="S1269" s="1" t="e">
        <f aca="false">MAX(S89,#REF!)</f>
        <v>#REF!</v>
      </c>
      <c r="T1269" s="1" t="e">
        <f aca="false">MAX(T89,#REF!)</f>
        <v>#REF!</v>
      </c>
      <c r="U1269" s="1" t="e">
        <f aca="false">MAX(U89,#REF!)</f>
        <v>#REF!</v>
      </c>
      <c r="V1269" s="1" t="e">
        <f aca="false">MAX(V89,#REF!)</f>
        <v>#REF!</v>
      </c>
      <c r="W1269" s="1" t="e">
        <f aca="false">MAX(W89,#REF!)</f>
        <v>#REF!</v>
      </c>
      <c r="X1269" s="1" t="e">
        <f aca="false">MAX(X89,#REF!)</f>
        <v>#REF!</v>
      </c>
      <c r="Y1269" s="1" t="e">
        <f aca="false">MAX(Y89,#REF!)</f>
        <v>#REF!</v>
      </c>
      <c r="Z1269" s="1" t="e">
        <f aca="false">MAX(Z89,#REF!)</f>
        <v>#REF!</v>
      </c>
      <c r="AA1269" s="1" t="e">
        <f aca="false">MAX(AA89,#REF!)</f>
        <v>#REF!</v>
      </c>
      <c r="AB1269" s="1" t="e">
        <f aca="false">MAX(AB89,#REF!)</f>
        <v>#REF!</v>
      </c>
      <c r="AC1269" s="1" t="e">
        <f aca="false">MAX(AC89,#REF!)</f>
        <v>#REF!</v>
      </c>
      <c r="AD1269" s="1" t="e">
        <f aca="false">MAX(AD89,#REF!)</f>
        <v>#REF!</v>
      </c>
      <c r="AE1269" s="1" t="e">
        <f aca="false">MAX(AE89,#REF!)</f>
        <v>#REF!</v>
      </c>
      <c r="AF1269" s="1" t="e">
        <f aca="false">MAX(AF89,#REF!)</f>
        <v>#REF!</v>
      </c>
      <c r="AG1269" s="1" t="e">
        <f aca="false">MAX(AG89,#REF!)</f>
        <v>#REF!</v>
      </c>
      <c r="AH1269" s="1" t="e">
        <f aca="false">MAX(AH89,#REF!)</f>
        <v>#REF!</v>
      </c>
      <c r="AI1269" s="1" t="e">
        <f aca="false">MAX(AI89,#REF!)</f>
        <v>#REF!</v>
      </c>
      <c r="AJ1269" s="1" t="e">
        <f aca="false">MAX(AJ89,#REF!)</f>
        <v>#REF!</v>
      </c>
      <c r="AK1269" s="1" t="e">
        <f aca="false">MAX(AK89,#REF!)</f>
        <v>#REF!</v>
      </c>
      <c r="AL1269" s="1" t="e">
        <f aca="false">MAX(AL89,#REF!)</f>
        <v>#REF!</v>
      </c>
      <c r="AM1269" s="1" t="e">
        <f aca="false">MAX(AM89,#REF!)</f>
        <v>#REF!</v>
      </c>
    </row>
    <row r="1270" customFormat="false" ht="12.75" hidden="false" customHeight="false" outlineLevel="0" collapsed="false">
      <c r="M1270" s="1" t="e">
        <f aca="false">MAX(M1269,#REF!)</f>
        <v>#REF!</v>
      </c>
      <c r="N1270" s="1" t="e">
        <f aca="false">MAX(N1269,#REF!)</f>
        <v>#REF!</v>
      </c>
      <c r="O1270" s="1" t="e">
        <f aca="false">MAX(O1269,#REF!)</f>
        <v>#REF!</v>
      </c>
      <c r="P1270" s="1" t="e">
        <f aca="false">MAX(P1269,#REF!)</f>
        <v>#REF!</v>
      </c>
      <c r="Q1270" s="1" t="e">
        <f aca="false">MAX(Q1269,#REF!)</f>
        <v>#REF!</v>
      </c>
      <c r="R1270" s="1" t="e">
        <f aca="false">MAX(R1269,#REF!)</f>
        <v>#REF!</v>
      </c>
      <c r="S1270" s="1" t="e">
        <f aca="false">MAX(S1269,#REF!)</f>
        <v>#REF!</v>
      </c>
      <c r="T1270" s="1" t="e">
        <f aca="false">MAX(T1269,#REF!)</f>
        <v>#REF!</v>
      </c>
      <c r="U1270" s="1" t="e">
        <f aca="false">MAX(U1269,#REF!)</f>
        <v>#REF!</v>
      </c>
      <c r="V1270" s="1" t="e">
        <f aca="false">MAX(V1269,#REF!)</f>
        <v>#REF!</v>
      </c>
      <c r="W1270" s="1" t="e">
        <f aca="false">MAX(W1269,#REF!)</f>
        <v>#REF!</v>
      </c>
      <c r="X1270" s="1" t="e">
        <f aca="false">MAX(X1269,#REF!)</f>
        <v>#REF!</v>
      </c>
      <c r="Y1270" s="1" t="e">
        <f aca="false">MAX(Y1269,#REF!)</f>
        <v>#REF!</v>
      </c>
      <c r="Z1270" s="1" t="e">
        <f aca="false">MAX(Z1269,#REF!)</f>
        <v>#REF!</v>
      </c>
      <c r="AA1270" s="1" t="e">
        <f aca="false">MAX(AA1269,#REF!)</f>
        <v>#REF!</v>
      </c>
      <c r="AB1270" s="1" t="e">
        <f aca="false">MAX(AB1269,#REF!)</f>
        <v>#REF!</v>
      </c>
      <c r="AC1270" s="1" t="e">
        <f aca="false">MAX(AC1269,#REF!)</f>
        <v>#REF!</v>
      </c>
      <c r="AD1270" s="1" t="e">
        <f aca="false">MAX(AD1269,#REF!)</f>
        <v>#REF!</v>
      </c>
      <c r="AE1270" s="1" t="e">
        <f aca="false">MAX(AE1269,#REF!)</f>
        <v>#REF!</v>
      </c>
      <c r="AF1270" s="1" t="e">
        <f aca="false">MAX(AF1269,#REF!)</f>
        <v>#REF!</v>
      </c>
      <c r="AG1270" s="1" t="e">
        <f aca="false">MAX(AG1269,#REF!)</f>
        <v>#REF!</v>
      </c>
      <c r="AH1270" s="1" t="e">
        <f aca="false">MAX(AH1269,#REF!)</f>
        <v>#REF!</v>
      </c>
      <c r="AI1270" s="1" t="e">
        <f aca="false">MAX(AI1269,#REF!)</f>
        <v>#REF!</v>
      </c>
      <c r="AJ1270" s="1" t="e">
        <f aca="false">MAX(AJ1269,#REF!)</f>
        <v>#REF!</v>
      </c>
      <c r="AK1270" s="1" t="e">
        <f aca="false">MAX(AK1269,#REF!)</f>
        <v>#REF!</v>
      </c>
      <c r="AL1270" s="1" t="e">
        <f aca="false">MAX(AL1269,#REF!)</f>
        <v>#REF!</v>
      </c>
      <c r="AM1270" s="1" t="e">
        <f aca="false">MAX(AM1269,#REF!)</f>
        <v>#REF!</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extLst>
    <ext xmlns:x14="http://schemas.microsoft.com/office/spreadsheetml/2009/9/main" uri="{78C0D931-6437-407d-A8EE-F0AAD7539E65}">
      <x14:conditionalFormattings>
        <x14:conditionalFormatting xmlns:xm="http://schemas.microsoft.com/office/excel/2006/main">
          <x14:cfRule type="iconSet" priority="2" id="{C3ADE1DB-AFAF-49F1-A821-85417430CB40}">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3" id="{63F61793-F9A6-46F6-B8C4-C000ED40EED0}">
            <x14:iconSet iconSet="3Symbols2" custom="1" reverse="0" showValue="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1859C"/>
    <pageSetUpPr fitToPage="false"/>
  </sheetPr>
  <dimension ref="A1:CF1270"/>
  <sheetViews>
    <sheetView showFormulas="false" showGridLines="true" showRowColHeaders="true" showZeros="true" rightToLeft="false" tabSelected="false" showOutlineSymbols="true" defaultGridColor="true" view="normal" topLeftCell="AK1" colorId="64" zoomScale="85" zoomScaleNormal="85" zoomScalePageLayoutView="100" workbookViewId="0">
      <pane xSplit="0" ySplit="3" topLeftCell="A4" activePane="bottomLeft" state="frozen"/>
      <selection pane="topLeft" activeCell="AK1" activeCellId="0" sqref="AK1"/>
      <selection pane="bottomLeft" activeCell="CB5" activeCellId="0" sqref="CB5"/>
    </sheetView>
  </sheetViews>
  <sheetFormatPr defaultColWidth="9.1484375" defaultRowHeight="12.75" zeroHeight="false" outlineLevelRow="0" outlineLevelCol="0"/>
  <cols>
    <col collapsed="false" customWidth="true" hidden="false" outlineLevel="0" max="1" min="1" style="1" width="9.29"/>
    <col collapsed="false" customWidth="true" hidden="false" outlineLevel="0" max="2" min="2" style="1" width="3.29"/>
    <col collapsed="false" customWidth="true" hidden="false" outlineLevel="0" max="3" min="3" style="1" width="11.29"/>
    <col collapsed="false" customWidth="true" hidden="false" outlineLevel="0" max="4" min="4" style="1" width="10.57"/>
    <col collapsed="false" customWidth="true" hidden="false" outlineLevel="0" max="5" min="5" style="1" width="7.71"/>
    <col collapsed="false" customWidth="true" hidden="false" outlineLevel="0" max="6" min="6" style="1" width="8.71"/>
    <col collapsed="false" customWidth="true" hidden="false" outlineLevel="0" max="7" min="7" style="1" width="2.86"/>
    <col collapsed="false" customWidth="true" hidden="false" outlineLevel="0" max="8" min="8" style="1" width="10.42"/>
    <col collapsed="false" customWidth="true" hidden="false" outlineLevel="0" max="9" min="9" style="1" width="12.29"/>
    <col collapsed="false" customWidth="true" hidden="false" outlineLevel="0" max="10" min="10" style="1" width="13"/>
    <col collapsed="false" customWidth="true" hidden="false" outlineLevel="0" max="11" min="11" style="26" width="7.57"/>
    <col collapsed="false" customWidth="true" hidden="false" outlineLevel="0" max="12" min="12" style="1" width="7.86"/>
    <col collapsed="false" customWidth="true" hidden="false" outlineLevel="0" max="13" min="13" style="1" width="8.42"/>
    <col collapsed="false" customWidth="true" hidden="false" outlineLevel="0" max="14" min="14" style="1" width="8.71"/>
    <col collapsed="false" customWidth="true" hidden="false" outlineLevel="0" max="23" min="15" style="1" width="13"/>
    <col collapsed="false" customWidth="true" hidden="false" outlineLevel="0" max="24" min="24" style="1" width="3.42"/>
    <col collapsed="false" customWidth="true" hidden="false" outlineLevel="0" max="30" min="25" style="26" width="11.43"/>
    <col collapsed="false" customWidth="true" hidden="false" outlineLevel="0" max="31" min="31" style="1" width="3"/>
    <col collapsed="false" customWidth="true" hidden="false" outlineLevel="0" max="37" min="32" style="26" width="11.43"/>
    <col collapsed="false" customWidth="true" hidden="false" outlineLevel="0" max="38" min="38" style="1" width="3"/>
    <col collapsed="false" customWidth="true" hidden="false" outlineLevel="0" max="42" min="39" style="26" width="11.43"/>
    <col collapsed="false" customWidth="true" hidden="false" outlineLevel="0" max="43" min="43" style="1" width="3"/>
    <col collapsed="false" customWidth="true" hidden="true" outlineLevel="0" max="47" min="44" style="26" width="11.43"/>
    <col collapsed="false" customWidth="true" hidden="true" outlineLevel="0" max="48" min="48" style="1" width="3"/>
    <col collapsed="false" customWidth="true" hidden="true" outlineLevel="0" max="52" min="49" style="26" width="11.43"/>
    <col collapsed="false" customWidth="true" hidden="true" outlineLevel="0" max="53" min="53" style="1" width="3"/>
    <col collapsed="false" customWidth="true" hidden="true" outlineLevel="0" max="57" min="54" style="26" width="11.43"/>
    <col collapsed="false" customWidth="true" hidden="true" outlineLevel="0" max="58" min="58" style="1" width="3"/>
    <col collapsed="false" customWidth="true" hidden="true" outlineLevel="0" max="62" min="59" style="26" width="11.43"/>
    <col collapsed="false" customWidth="true" hidden="true" outlineLevel="0" max="63" min="63" style="1" width="3"/>
    <col collapsed="false" customWidth="true" hidden="true" outlineLevel="0" max="67" min="64" style="26" width="11.43"/>
    <col collapsed="false" customWidth="true" hidden="true" outlineLevel="0" max="68" min="68" style="1" width="3"/>
    <col collapsed="false" customWidth="true" hidden="true" outlineLevel="0" max="72" min="69" style="26" width="11.43"/>
    <col collapsed="false" customWidth="true" hidden="true" outlineLevel="0" max="73" min="73" style="1" width="3"/>
    <col collapsed="false" customWidth="true" hidden="true" outlineLevel="0" max="74" min="74" style="1" width="12.15"/>
    <col collapsed="false" customWidth="true" hidden="true" outlineLevel="0" max="75" min="75" style="1" width="10.42"/>
    <col collapsed="false" customWidth="true" hidden="true" outlineLevel="0" max="76" min="76" style="1" width="3"/>
    <col collapsed="false" customWidth="true" hidden="true" outlineLevel="0" max="77" min="77" style="1" width="9.86"/>
    <col collapsed="false" customWidth="true" hidden="true" outlineLevel="0" max="78" min="78" style="1" width="13.57"/>
    <col collapsed="false" customWidth="true" hidden="false" outlineLevel="0" max="79" min="79" style="1" width="10.71"/>
    <col collapsed="false" customWidth="true" hidden="false" outlineLevel="0" max="80" min="80" style="1" width="11"/>
    <col collapsed="false" customWidth="true" hidden="false" outlineLevel="0" max="81" min="81" style="1" width="10"/>
    <col collapsed="false" customWidth="true" hidden="false" outlineLevel="0" max="82" min="82" style="1" width="10.85"/>
    <col collapsed="false" customWidth="false" hidden="false" outlineLevel="0" max="16384" min="83" style="1" width="9.14"/>
  </cols>
  <sheetData>
    <row r="1" s="31" customFormat="true" ht="12.75" hidden="false" customHeight="false" outlineLevel="0" collapsed="false">
      <c r="C1" s="31" t="s">
        <v>224</v>
      </c>
      <c r="H1" s="31" t="s">
        <v>720</v>
      </c>
      <c r="K1" s="124"/>
      <c r="O1" s="31" t="s">
        <v>721</v>
      </c>
      <c r="W1" s="31" t="s">
        <v>722</v>
      </c>
      <c r="Y1" s="124" t="s">
        <v>723</v>
      </c>
      <c r="Z1" s="124"/>
      <c r="AA1" s="124"/>
      <c r="AB1" s="124"/>
      <c r="AC1" s="124"/>
      <c r="AD1" s="124"/>
      <c r="AF1" s="125" t="s">
        <v>724</v>
      </c>
      <c r="AG1" s="125"/>
      <c r="AH1" s="124"/>
      <c r="AI1" s="124"/>
      <c r="AJ1" s="124"/>
      <c r="AK1" s="124"/>
      <c r="AM1" s="125" t="s">
        <v>725</v>
      </c>
      <c r="AN1" s="125"/>
      <c r="AO1" s="124"/>
      <c r="AP1" s="124"/>
      <c r="AR1" s="125" t="s">
        <v>726</v>
      </c>
      <c r="AS1" s="125"/>
      <c r="AT1" s="125"/>
      <c r="AU1" s="124"/>
      <c r="AW1" s="125" t="s">
        <v>727</v>
      </c>
      <c r="AX1" s="125"/>
      <c r="AY1" s="125"/>
      <c r="AZ1" s="124"/>
      <c r="BB1" s="125" t="s">
        <v>728</v>
      </c>
      <c r="BC1" s="125"/>
      <c r="BD1" s="125"/>
      <c r="BE1" s="125"/>
      <c r="BG1" s="125" t="s">
        <v>729</v>
      </c>
      <c r="BH1" s="125"/>
      <c r="BI1" s="125"/>
      <c r="BJ1" s="124"/>
      <c r="BL1" s="125" t="s">
        <v>730</v>
      </c>
      <c r="BM1" s="125"/>
      <c r="BN1" s="125"/>
      <c r="BO1" s="124"/>
      <c r="BQ1" s="125" t="s">
        <v>731</v>
      </c>
      <c r="BR1" s="125"/>
      <c r="BS1" s="125"/>
      <c r="BT1" s="124"/>
      <c r="BV1" s="31" t="s">
        <v>732</v>
      </c>
    </row>
    <row r="2" s="31" customFormat="true" ht="12.75" hidden="false" customHeight="false" outlineLevel="0" collapsed="false">
      <c r="C2" s="124"/>
      <c r="D2" s="124"/>
      <c r="E2" s="124"/>
      <c r="F2" s="124"/>
      <c r="K2" s="124"/>
      <c r="Y2" s="335" t="s">
        <v>733</v>
      </c>
      <c r="Z2" s="335" t="s">
        <v>734</v>
      </c>
      <c r="AA2" s="335" t="s">
        <v>735</v>
      </c>
      <c r="AB2" s="335" t="s">
        <v>736</v>
      </c>
      <c r="AC2" s="335" t="s">
        <v>737</v>
      </c>
      <c r="AD2" s="335" t="s">
        <v>738</v>
      </c>
      <c r="AF2" s="335" t="s">
        <v>733</v>
      </c>
      <c r="AG2" s="335" t="s">
        <v>734</v>
      </c>
      <c r="AH2" s="335" t="s">
        <v>735</v>
      </c>
      <c r="AI2" s="335" t="s">
        <v>736</v>
      </c>
      <c r="AJ2" s="335" t="s">
        <v>737</v>
      </c>
      <c r="AK2" s="335" t="s">
        <v>738</v>
      </c>
      <c r="AM2" s="335" t="s">
        <v>34</v>
      </c>
      <c r="AN2" s="335" t="s">
        <v>93</v>
      </c>
      <c r="AO2" s="335" t="s">
        <v>35</v>
      </c>
      <c r="AP2" s="335" t="s">
        <v>97</v>
      </c>
      <c r="AR2" s="335" t="s">
        <v>34</v>
      </c>
      <c r="AS2" s="335" t="s">
        <v>93</v>
      </c>
      <c r="AT2" s="335" t="s">
        <v>35</v>
      </c>
      <c r="AU2" s="335" t="s">
        <v>97</v>
      </c>
      <c r="AW2" s="335" t="s">
        <v>34</v>
      </c>
      <c r="AX2" s="335" t="s">
        <v>93</v>
      </c>
      <c r="AY2" s="335" t="s">
        <v>35</v>
      </c>
      <c r="AZ2" s="335" t="s">
        <v>97</v>
      </c>
      <c r="BB2" s="335" t="s">
        <v>34</v>
      </c>
      <c r="BC2" s="335" t="s">
        <v>93</v>
      </c>
      <c r="BD2" s="335" t="s">
        <v>35</v>
      </c>
      <c r="BE2" s="335" t="s">
        <v>97</v>
      </c>
      <c r="BG2" s="335" t="s">
        <v>34</v>
      </c>
      <c r="BH2" s="335" t="s">
        <v>93</v>
      </c>
      <c r="BI2" s="335" t="s">
        <v>35</v>
      </c>
      <c r="BJ2" s="335" t="s">
        <v>97</v>
      </c>
      <c r="BL2" s="335" t="s">
        <v>34</v>
      </c>
      <c r="BM2" s="335" t="s">
        <v>93</v>
      </c>
      <c r="BN2" s="335" t="s">
        <v>35</v>
      </c>
      <c r="BO2" s="335" t="s">
        <v>97</v>
      </c>
      <c r="BQ2" s="335" t="s">
        <v>34</v>
      </c>
      <c r="BR2" s="335" t="s">
        <v>93</v>
      </c>
      <c r="BS2" s="335" t="s">
        <v>35</v>
      </c>
      <c r="BT2" s="335" t="s">
        <v>97</v>
      </c>
    </row>
    <row r="3" s="143" customFormat="true" ht="15" hidden="false" customHeight="true" outlineLevel="0" collapsed="false">
      <c r="A3" s="127" t="s">
        <v>73</v>
      </c>
      <c r="B3" s="127" t="s">
        <v>11</v>
      </c>
      <c r="C3" s="127" t="s">
        <v>34</v>
      </c>
      <c r="D3" s="127" t="s">
        <v>93</v>
      </c>
      <c r="E3" s="127" t="s">
        <v>35</v>
      </c>
      <c r="F3" s="127" t="s">
        <v>97</v>
      </c>
      <c r="G3" s="127" t="s">
        <v>154</v>
      </c>
      <c r="H3" s="127" t="s">
        <v>739</v>
      </c>
      <c r="I3" s="127" t="s">
        <v>146</v>
      </c>
      <c r="J3" s="127" t="s">
        <v>138</v>
      </c>
      <c r="K3" s="127" t="s">
        <v>82</v>
      </c>
      <c r="L3" s="127" t="s">
        <v>144</v>
      </c>
      <c r="M3" s="127" t="s">
        <v>740</v>
      </c>
      <c r="N3" s="127" t="s">
        <v>741</v>
      </c>
      <c r="O3" s="127" t="s">
        <v>742</v>
      </c>
      <c r="P3" s="127" t="s">
        <v>59</v>
      </c>
      <c r="Q3" s="127" t="s">
        <v>743</v>
      </c>
      <c r="R3" s="127" t="s">
        <v>744</v>
      </c>
      <c r="S3" s="127" t="s">
        <v>745</v>
      </c>
      <c r="T3" s="127" t="s">
        <v>746</v>
      </c>
      <c r="U3" s="127" t="s">
        <v>747</v>
      </c>
      <c r="V3" s="127" t="s">
        <v>748</v>
      </c>
      <c r="W3" s="127" t="s">
        <v>749</v>
      </c>
      <c r="X3" s="127" t="s">
        <v>181</v>
      </c>
      <c r="Y3" s="127" t="s">
        <v>733</v>
      </c>
      <c r="Z3" s="127" t="s">
        <v>734</v>
      </c>
      <c r="AA3" s="127" t="s">
        <v>735</v>
      </c>
      <c r="AB3" s="127" t="s">
        <v>736</v>
      </c>
      <c r="AC3" s="127" t="s">
        <v>737</v>
      </c>
      <c r="AD3" s="127" t="s">
        <v>738</v>
      </c>
      <c r="AE3" s="127" t="s">
        <v>194</v>
      </c>
      <c r="AF3" s="127" t="s">
        <v>750</v>
      </c>
      <c r="AG3" s="127" t="s">
        <v>751</v>
      </c>
      <c r="AH3" s="127" t="s">
        <v>752</v>
      </c>
      <c r="AI3" s="127" t="s">
        <v>753</v>
      </c>
      <c r="AJ3" s="127" t="s">
        <v>754</v>
      </c>
      <c r="AK3" s="127" t="s">
        <v>755</v>
      </c>
      <c r="AL3" s="127" t="s">
        <v>199</v>
      </c>
      <c r="AM3" s="279" t="s">
        <v>756</v>
      </c>
      <c r="AN3" s="279" t="s">
        <v>757</v>
      </c>
      <c r="AO3" s="279" t="s">
        <v>758</v>
      </c>
      <c r="AP3" s="279" t="s">
        <v>759</v>
      </c>
      <c r="AQ3" s="279" t="s">
        <v>760</v>
      </c>
      <c r="AR3" s="279" t="s">
        <v>761</v>
      </c>
      <c r="AS3" s="279" t="s">
        <v>762</v>
      </c>
      <c r="AT3" s="279" t="s">
        <v>763</v>
      </c>
      <c r="AU3" s="279" t="s">
        <v>764</v>
      </c>
      <c r="AV3" s="279" t="s">
        <v>315</v>
      </c>
      <c r="AW3" s="279" t="s">
        <v>765</v>
      </c>
      <c r="AX3" s="279" t="s">
        <v>766</v>
      </c>
      <c r="AY3" s="279" t="s">
        <v>767</v>
      </c>
      <c r="AZ3" s="279" t="s">
        <v>768</v>
      </c>
      <c r="BA3" s="279" t="s">
        <v>323</v>
      </c>
      <c r="BB3" s="279" t="s">
        <v>769</v>
      </c>
      <c r="BC3" s="279" t="s">
        <v>770</v>
      </c>
      <c r="BD3" s="279" t="s">
        <v>771</v>
      </c>
      <c r="BE3" s="279" t="s">
        <v>772</v>
      </c>
      <c r="BF3" s="279" t="s">
        <v>773</v>
      </c>
      <c r="BG3" s="279" t="s">
        <v>774</v>
      </c>
      <c r="BH3" s="279" t="s">
        <v>775</v>
      </c>
      <c r="BI3" s="279" t="s">
        <v>776</v>
      </c>
      <c r="BJ3" s="279" t="s">
        <v>777</v>
      </c>
      <c r="BK3" s="279" t="s">
        <v>778</v>
      </c>
      <c r="BL3" s="279" t="s">
        <v>779</v>
      </c>
      <c r="BM3" s="279" t="s">
        <v>780</v>
      </c>
      <c r="BN3" s="279" t="s">
        <v>781</v>
      </c>
      <c r="BO3" s="279" t="s">
        <v>782</v>
      </c>
      <c r="BP3" s="279" t="s">
        <v>783</v>
      </c>
      <c r="BQ3" s="279" t="s">
        <v>784</v>
      </c>
      <c r="BR3" s="279" t="s">
        <v>785</v>
      </c>
      <c r="BS3" s="279" t="s">
        <v>786</v>
      </c>
      <c r="BT3" s="279" t="s">
        <v>787</v>
      </c>
      <c r="BU3" s="127" t="s">
        <v>788</v>
      </c>
      <c r="BV3" s="127" t="s">
        <v>789</v>
      </c>
      <c r="BW3" s="127" t="s">
        <v>790</v>
      </c>
      <c r="BX3" s="127" t="s">
        <v>791</v>
      </c>
      <c r="BY3" s="127" t="s">
        <v>792</v>
      </c>
      <c r="BZ3" s="127" t="s">
        <v>793</v>
      </c>
    </row>
    <row r="4" customFormat="false" ht="12.75" hidden="false" customHeight="false" outlineLevel="0" collapsed="false">
      <c r="A4" s="181" t="n">
        <f aca="false">TblConstr[[#This Row],[Land]]</f>
        <v>250</v>
      </c>
      <c r="B4" s="132"/>
      <c r="C4" s="69" t="n">
        <f aca="false">TblProd[[#This Row],[Platinum]]</f>
        <v>9830</v>
      </c>
      <c r="D4" s="69" t="n">
        <f aca="false">TblProd[[#This Row],[Lumber]]</f>
        <v>0</v>
      </c>
      <c r="E4" s="69" t="n">
        <f aca="false">TblProd[[#This Row],[Ore]]</f>
        <v>0</v>
      </c>
      <c r="F4" s="69" t="n">
        <f aca="false">TblProd[[#This Row],[Gems]]</f>
        <v>0</v>
      </c>
      <c r="G4" s="146"/>
      <c r="H4" s="69" t="n">
        <f aca="false">TblMili[[#This Row],[Draftees]]</f>
        <v>300</v>
      </c>
      <c r="I4" s="130" t="n">
        <f aca="false">TblPop[[#This Row],[Employment]]</f>
        <v>1</v>
      </c>
      <c r="J4" s="130" t="n">
        <f aca="false">TblPop[[#This Row],[Total]]/TblPop[[#This Row],[Net max]]</f>
        <v>0.646464646464647</v>
      </c>
      <c r="K4" s="336" t="n">
        <f aca="false">TblRezone[[#This Row],[Hour]]</f>
        <v>1</v>
      </c>
      <c r="L4" s="337" t="n">
        <f aca="false">TblImps[[#This Row],[Real time]]</f>
        <v>45429.75</v>
      </c>
      <c r="M4" s="33" t="n">
        <f aca="false">IF(ISERROR(TblImps[[#This Row],[algorithm]]),0,TblImps[[#This Row],[algorithm]]*1)</f>
        <v>1</v>
      </c>
      <c r="N4" s="69" t="n">
        <f aca="false">TblImps[[#This Row],[Land]]</f>
        <v>250</v>
      </c>
      <c r="O4" s="338" t="s">
        <v>97</v>
      </c>
      <c r="P4" s="339"/>
      <c r="Q4" s="338" t="s">
        <v>733</v>
      </c>
      <c r="R4" s="338" t="s">
        <v>93</v>
      </c>
      <c r="S4" s="339"/>
      <c r="T4" s="338" t="s">
        <v>733</v>
      </c>
      <c r="U4" s="338" t="s">
        <v>35</v>
      </c>
      <c r="V4" s="339"/>
      <c r="W4" s="338" t="s">
        <v>733</v>
      </c>
      <c r="X4" s="132"/>
      <c r="Y4" s="340" t="n">
        <f aca="false">science_cap*(1-EXP(-TblImps[[#This Row],[Σ Science]]/(science_param*(OFFSET(TblImps[[#This Row],[Land]],1,0)-OFFSET(TblExplore[[#This Row],[Land Bonus]],1,0)*20)+15000)))*(1+(mason_bonus*TblConstr[[#This Row],[Tot Mas]]/TblConstr[[#This Row],[Land (2)]]))</f>
        <v>0</v>
      </c>
      <c r="Z4" s="340" t="n">
        <f aca="false">keep_cap*(1-EXP(-TblImps[[#This Row],[Σ Keep]]/(keep_param*(OFFSET(TblImps[[#This Row],[Land]],1,0)-OFFSET(TblExplore[[#This Row],[Land Bonus]],1,0)*20)+15000)))*(1+(mason_bonus*TblConstr[[#This Row],[Tot Mas]]/TblConstr[[#This Row],[Land (2)]]))</f>
        <v>0</v>
      </c>
      <c r="AA4" s="340" t="n">
        <f aca="false">harbor_towers_cap*(1-EXP(-TblImps[[#This Row],[Σ Towers]]/(towers_param*(OFFSET(TblImps[[#This Row],[Land]],1,0)-OFFSET(TblExplore[[#This Row],[Land Bonus]],1,0)*20)+15000)))*(1+(mason_bonus*TblConstr[[#This Row],[Tot Mas]]/TblConstr[[#This Row],[Land (2)]]))</f>
        <v>0</v>
      </c>
      <c r="AB4" s="340" t="n">
        <f aca="false">walls_forges_cap*(1-EXP(-TblImps[[#This Row],[Σ Forges]]/(walls_forges_param*(OFFSET(TblImps[[#This Row],[Land]],1,0)-OFFSET(TblExplore[[#This Row],[Land Bonus]],1,0)*20)+15000)))*(1+(mason_bonus*TblConstr[[#This Row],[Tot Mas]]/TblConstr[[#This Row],[Land (2)]]))</f>
        <v>0</v>
      </c>
      <c r="AC4" s="340" t="n">
        <f aca="false">walls_forges_cap*(1-EXP(-TblImps[[#This Row],[Σ Walls]]/(walls_forges_param*(OFFSET(TblImps[[#This Row],[Land]],1,0)-OFFSET(TblExplore[[#This Row],[Land Bonus]],1,0)*20)+15000)))*(1+(mason_bonus*TblConstr[[#This Row],[Tot Mas]]/TblConstr[[#This Row],[Land (2)]]))</f>
        <v>0</v>
      </c>
      <c r="AD4" s="340" t="n">
        <f aca="false">harbor_towers_cap*(1-EXP(-TblImps[[#This Row],[Σ Irrigation]]/(harbor_towers_param*(OFFSET(TblImps[[#This Row],[Land]],1,0)-OFFSET(TblExplore[[#This Row],[Land Bonus]],1,0)*20)+15000)))*(1+(mason_bonus*TblConstr[[#This Row],[Tot Mas]]/TblConstr[[#This Row],[Land (2)]]))</f>
        <v>0</v>
      </c>
      <c r="AE4" s="132"/>
      <c r="AF4" s="341" t="n">
        <f aca="false">(1+Overview!$I$28)*SUM(TblImps[[#This Row],[P2]:[G2]])</f>
        <v>0</v>
      </c>
      <c r="AG4" s="341" t="n">
        <f aca="false">(1+Overview!$I$28)*SUM(TblImps[[#This Row],[P3]:[G3]])</f>
        <v>0</v>
      </c>
      <c r="AH4" s="341" t="n">
        <f aca="false">(1+Overview!$I$28 + tech_7_1*TblTech[[#This Row],[7-1]])*SUM(TblImps[[#This Row],[P4]:[G4]])</f>
        <v>0</v>
      </c>
      <c r="AI4" s="341" t="n">
        <f aca="false">(1+Overview!$I$28)*SUM(TblImps[[#This Row],[P5]:[G5]])</f>
        <v>0</v>
      </c>
      <c r="AJ4" s="341" t="n">
        <f aca="false">(1+Overview!$I$28)*SUM(TblImps[[#This Row],[P6]:[G6]])</f>
        <v>0</v>
      </c>
      <c r="AK4" s="341" t="n">
        <f aca="false">(1+Overview!$I$28 + tech_7_1*TblTech[[#This Row],[7-1]])*SUM(TblImps[[#This Row],[P7]:[G7]])</f>
        <v>0</v>
      </c>
      <c r="AL4" s="132"/>
      <c r="AM4" s="26" t="n">
        <f aca="false">IF(AND(TblImps[[#This Row],[Resource]]=AM$2,TblImps[[#This Row],[Part]]&lt;&gt;""),TblImps[[#This Row],[Amount]]) + IF(AND(TblImps[[#This Row],[Resource 2]]=AM$2,TblImps[[#This Row],[Part 2]]&lt;&gt;""),TblImps[[#This Row],[Amount 2]]) + IF(AND(TblImps[[#This Row],[Resource 3]]=AM$2,TblImps[[#This Row],[Part 3]]&lt;&gt;""),TblImps[[#This Row],[Amount 3]])</f>
        <v>0</v>
      </c>
      <c r="AN4" s="26" t="n">
        <f aca="false">IF(AND(TblImps[[#This Row],[Resource]]=AN$2,TblImps[[#This Row],[Part]]&lt;&gt;""),TblImps[[#This Row],[Amount]]) + IF(AND(TblImps[[#This Row],[Resource 2]]=AN$2,TblImps[[#This Row],[Part 2]]&lt;&gt;""),TblImps[[#This Row],[Amount 2]]) + IF(AND(TblImps[[#This Row],[Resource 3]]=AN$2,TblImps[[#This Row],[Part 3]]&lt;&gt;""),TblImps[[#This Row],[Amount 3]])</f>
        <v>0</v>
      </c>
      <c r="AO4" s="26" t="n">
        <f aca="false">IF(AND(TblImps[[#This Row],[Resource]]=AO$2,TblImps[[#This Row],[Part]]&lt;&gt;""),TblImps[[#This Row],[Amount]]) + IF(AND(TblImps[[#This Row],[Resource 2]]=AO$2,TblImps[[#This Row],[Part 2]]&lt;&gt;""),TblImps[[#This Row],[Amount 2]]) + IF(AND(TblImps[[#This Row],[Resource 3]]=AO$2,TblImps[[#This Row],[Part 3]]&lt;&gt;""),TblImps[[#This Row],[Amount 3]])</f>
        <v>0</v>
      </c>
      <c r="AP4" s="26" t="n">
        <f aca="false">IF(AND(TblImps[[#This Row],[Resource]]=AP$2,TblImps[[#This Row],[Part]]&lt;&gt;""),TblImps[[#This Row],[Amount]]) + IF(AND(TblImps[[#This Row],[Resource 2]]=AP$2,TblImps[[#This Row],[Part 2]]&lt;&gt;""),TblImps[[#This Row],[Amount 2]]) + IF(AND(TblImps[[#This Row],[Resource 3]]=AP$2,TblImps[[#This Row],[Part 3]]&lt;&gt;""),TblImps[[#This Row],[Amount 3]])</f>
        <v>0</v>
      </c>
      <c r="AQ4" s="132"/>
      <c r="AR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 s="132"/>
      <c r="AW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 s="132"/>
      <c r="BB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32"/>
      <c r="BG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32"/>
      <c r="BL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32"/>
      <c r="BQ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32"/>
      <c r="BV4"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33" t="n">
        <f aca="false">TblImps[[#This Row],[Login]]</f>
        <v>1</v>
      </c>
      <c r="BX4" s="128"/>
      <c r="BY4" s="343" t="n">
        <f aca="false">Overview!E15</f>
        <v>45429.75</v>
      </c>
      <c r="BZ4" s="344" t="n">
        <f aca="false">Overview!B15</f>
        <v>45430</v>
      </c>
      <c r="CA4" s="26"/>
      <c r="CB4" s="345"/>
      <c r="CC4" s="346"/>
    </row>
    <row r="5" customFormat="false" ht="12.75" hidden="false" customHeight="false" outlineLevel="0" collapsed="false">
      <c r="A5" s="181" t="n">
        <f aca="false">TblConstr[[#This Row],[Land]]</f>
        <v>250</v>
      </c>
      <c r="B5" s="132"/>
      <c r="C5" s="69" t="n">
        <f aca="false">TblProd[[#This Row],[Platinum]]</f>
        <v>15140</v>
      </c>
      <c r="D5" s="69" t="n">
        <f aca="false">TblProd[[#This Row],[Lumber]]</f>
        <v>0</v>
      </c>
      <c r="E5" s="69" t="n">
        <f aca="false">TblProd[[#This Row],[Ore]]</f>
        <v>0</v>
      </c>
      <c r="F5" s="69" t="n">
        <f aca="false">TblProd[[#This Row],[Gems]]</f>
        <v>0</v>
      </c>
      <c r="G5" s="146"/>
      <c r="H5" s="69" t="n">
        <f aca="false">TblMili[[#This Row],[Draftees]]</f>
        <v>313</v>
      </c>
      <c r="I5" s="130" t="n">
        <f aca="false">TblPop[[#This Row],[Employment]]</f>
        <v>1</v>
      </c>
      <c r="J5" s="130" t="n">
        <f aca="false">TblPop[[#This Row],[Total]]/TblPop[[#This Row],[Net max]]</f>
        <v>0.423076923076923</v>
      </c>
      <c r="K5" s="336" t="n">
        <f aca="false">TblRezone[[#This Row],[Hour]]</f>
        <v>2</v>
      </c>
      <c r="L5" s="337" t="n">
        <f aca="false">TblImps[[#This Row],[Real time]]</f>
        <v>45429.7916666667</v>
      </c>
      <c r="M5" s="33" t="n">
        <f aca="false">IF(ISERROR(TblImps[[#This Row],[algorithm]]),0,TblImps[[#This Row],[algorithm]]*1)</f>
        <v>0</v>
      </c>
      <c r="N5" s="69" t="n">
        <f aca="false">TblImps[[#This Row],[Land]]</f>
        <v>250</v>
      </c>
      <c r="O5" s="338" t="s">
        <v>97</v>
      </c>
      <c r="P5" s="339"/>
      <c r="Q5" s="338" t="s">
        <v>734</v>
      </c>
      <c r="R5" s="338" t="s">
        <v>93</v>
      </c>
      <c r="S5" s="339"/>
      <c r="T5" s="338" t="s">
        <v>734</v>
      </c>
      <c r="U5" s="338" t="s">
        <v>35</v>
      </c>
      <c r="V5" s="339"/>
      <c r="W5" s="338" t="s">
        <v>734</v>
      </c>
      <c r="X5" s="132"/>
      <c r="Y5" s="340" t="n">
        <f aca="false">science_cap*(1-EXP(-TblImps[[#This Row],[Σ Science]]/(science_param*(OFFSET(TblImps[[#This Row],[Land]],1,0)-OFFSET(TblExplore[[#This Row],[Land Bonus]],1,0)*20)+15000)))*(1+(mason_bonus*TblConstr[[#This Row],[Tot Mas]]/TblConstr[[#This Row],[Land (2)]]))</f>
        <v>0</v>
      </c>
      <c r="Z5" s="340" t="n">
        <f aca="false">keep_cap*(1-EXP(-TblImps[[#This Row],[Σ Keep]]/(keep_param*(OFFSET(TblImps[[#This Row],[Land]],1,0)-OFFSET(TblExplore[[#This Row],[Land Bonus]],1,0)*20)+15000)))*(1+(mason_bonus*TblConstr[[#This Row],[Tot Mas]]/TblConstr[[#This Row],[Land (2)]]))</f>
        <v>0</v>
      </c>
      <c r="AA5" s="340" t="n">
        <f aca="false">harbor_towers_cap*(1-EXP(-TblImps[[#This Row],[Σ Towers]]/(towers_param*(OFFSET(TblImps[[#This Row],[Land]],1,0)-OFFSET(TblExplore[[#This Row],[Land Bonus]],1,0)*20)+15000)))*(1+(mason_bonus*TblConstr[[#This Row],[Tot Mas]]/TblConstr[[#This Row],[Land (2)]]))</f>
        <v>0</v>
      </c>
      <c r="AB5" s="340" t="n">
        <f aca="false">walls_forges_cap*(1-EXP(-TblImps[[#This Row],[Σ Forges]]/(walls_forges_param*(OFFSET(TblImps[[#This Row],[Land]],1,0)-OFFSET(TblExplore[[#This Row],[Land Bonus]],1,0)*20)+15000)))*(1+(mason_bonus*TblConstr[[#This Row],[Tot Mas]]/TblConstr[[#This Row],[Land (2)]]))</f>
        <v>0</v>
      </c>
      <c r="AC5" s="340" t="n">
        <f aca="false">walls_forges_cap*(1-EXP(-TblImps[[#This Row],[Σ Walls]]/(walls_forges_param*(OFFSET(TblImps[[#This Row],[Land]],1,0)-OFFSET(TblExplore[[#This Row],[Land Bonus]],1,0)*20)+15000)))*(1+(mason_bonus*TblConstr[[#This Row],[Tot Mas]]/TblConstr[[#This Row],[Land (2)]]))</f>
        <v>0</v>
      </c>
      <c r="AD5" s="340" t="n">
        <f aca="false">harbor_towers_cap*(1-EXP(-TblImps[[#This Row],[Σ Irrigation]]/(harbor_towers_param*(OFFSET(TblImps[[#This Row],[Land]],1,0)-OFFSET(TblExplore[[#This Row],[Land Bonus]],1,0)*20)+15000)))*(1+(mason_bonus*TblConstr[[#This Row],[Tot Mas]]/TblConstr[[#This Row],[Land (2)]]))</f>
        <v>0</v>
      </c>
      <c r="AE5" s="132"/>
      <c r="AF5" s="33" t="n">
        <f aca="false">(1+Overview!$I$28)*SUM(TblImps[[#This Row],[P2]:[G2]])+OFFSET(TblImps[[#This Row],[Σ Science]],-1,0)</f>
        <v>0</v>
      </c>
      <c r="AG5" s="33" t="n">
        <f aca="false">(1+Overview!$I$28)*SUM(TblImps[[#This Row],[P3]:[G3]])+OFFSET(TblImps[[#This Row],[Σ Keep]],-1,0)</f>
        <v>0</v>
      </c>
      <c r="AH5" s="33" t="n">
        <f aca="false">(1+Overview!$I$28 + tech_7_1*TblTech[[#This Row],[7-1]])*SUM(TblImps[[#This Row],[P4]:[G4]])+OFFSET(TblImps[[#This Row],[Σ Towers]],-1,0)</f>
        <v>0</v>
      </c>
      <c r="AI5" s="33" t="n">
        <f aca="false">(1+Overview!$I$28)*SUM(TblImps[[#This Row],[P5]:[G5]])+OFFSET(TblImps[[#This Row],[Σ Forges]],-1,0)</f>
        <v>0</v>
      </c>
      <c r="AJ5" s="33" t="n">
        <f aca="false">(1+Overview!$I$28)*SUM(TblImps[[#This Row],[P6]:[G6]])+OFFSET(TblImps[[#This Row],[Σ Walls]],-1,0)</f>
        <v>0</v>
      </c>
      <c r="AK5" s="33" t="n">
        <f aca="false">(1+Overview!$I$28 + tech_7_1*TblTech[[#This Row],[7-1]])*SUM(TblImps[[#This Row],[P7]:[G7]])+OFFSET(TblImps[[#This Row],[Σ Irrigation]],-1,0)</f>
        <v>0</v>
      </c>
      <c r="AL5" s="132"/>
      <c r="AM5" s="26" t="n">
        <f aca="false">IF(AND(TblImps[[#This Row],[Resource]]=AM$2,TblImps[[#This Row],[Part]]&lt;&gt;""),TblImps[[#This Row],[Amount]]) + IF(AND(TblImps[[#This Row],[Resource 2]]=AM$2,TblImps[[#This Row],[Part 2]]&lt;&gt;""),TblImps[[#This Row],[Amount 2]]) + IF(AND(TblImps[[#This Row],[Resource 3]]=AM$2,TblImps[[#This Row],[Part 3]]&lt;&gt;""),TblImps[[#This Row],[Amount 3]])</f>
        <v>0</v>
      </c>
      <c r="AN5" s="26" t="n">
        <f aca="false">IF(AND(TblImps[[#This Row],[Resource]]=AN$2,TblImps[[#This Row],[Part]]&lt;&gt;""),TblImps[[#This Row],[Amount]]) + IF(AND(TblImps[[#This Row],[Resource 2]]=AN$2,TblImps[[#This Row],[Part 2]]&lt;&gt;""),TblImps[[#This Row],[Amount 2]]) + IF(AND(TblImps[[#This Row],[Resource 3]]=AN$2,TblImps[[#This Row],[Part 3]]&lt;&gt;""),TblImps[[#This Row],[Amount 3]])</f>
        <v>0</v>
      </c>
      <c r="AO5" s="26" t="n">
        <f aca="false">IF(AND(TblImps[[#This Row],[Resource]]=AO$2,TblImps[[#This Row],[Part]]&lt;&gt;""),TblImps[[#This Row],[Amount]]) + IF(AND(TblImps[[#This Row],[Resource 2]]=AO$2,TblImps[[#This Row],[Part 2]]&lt;&gt;""),TblImps[[#This Row],[Amount 2]]) + IF(AND(TblImps[[#This Row],[Resource 3]]=AO$2,TblImps[[#This Row],[Part 3]]&lt;&gt;""),TblImps[[#This Row],[Amount 3]])</f>
        <v>0</v>
      </c>
      <c r="AP5" s="26" t="n">
        <f aca="false">IF(AND(TblImps[[#This Row],[Resource]]=AP$2,TblImps[[#This Row],[Part]]&lt;&gt;""),TblImps[[#This Row],[Amount]]) + IF(AND(TblImps[[#This Row],[Resource 2]]=AP$2,TblImps[[#This Row],[Part 2]]&lt;&gt;""),TblImps[[#This Row],[Amount 2]]) + IF(AND(TblImps[[#This Row],[Resource 3]]=AP$2,TblImps[[#This Row],[Part 3]]&lt;&gt;""),TblImps[[#This Row],[Amount 3]])</f>
        <v>0</v>
      </c>
      <c r="AQ5" s="132"/>
      <c r="AR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 s="132"/>
      <c r="AW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 s="132"/>
      <c r="BB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32"/>
      <c r="BG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32"/>
      <c r="BL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32"/>
      <c r="BQ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32"/>
      <c r="BV5"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33" t="n">
        <f aca="false">TblImps[[#This Row],[Login]]</f>
        <v>0</v>
      </c>
      <c r="BX5" s="128"/>
      <c r="BY5" s="347" t="n">
        <f aca="false">OFFSET(TblImps[[#This Row],[Real time]],-1,0)+1/24</f>
        <v>45429.7916666667</v>
      </c>
      <c r="BZ5" s="348" t="n">
        <f aca="false">OFFSET(TblImps[[#This Row],[Servertime]],-1,0)+1/24</f>
        <v>45430.0416666667</v>
      </c>
      <c r="CA5" s="26"/>
      <c r="CB5" s="346"/>
      <c r="CC5" s="346"/>
    </row>
    <row r="6" customFormat="false" ht="12.75" hidden="false" customHeight="false" outlineLevel="0" collapsed="false">
      <c r="A6" s="181" t="n">
        <f aca="false">TblConstr[[#This Row],[Land]]</f>
        <v>250</v>
      </c>
      <c r="B6" s="132"/>
      <c r="C6" s="69" t="n">
        <f aca="false">TblProd[[#This Row],[Platinum]]</f>
        <v>20520</v>
      </c>
      <c r="D6" s="69" t="n">
        <f aca="false">TblProd[[#This Row],[Lumber]]</f>
        <v>0</v>
      </c>
      <c r="E6" s="69" t="n">
        <f aca="false">TblProd[[#This Row],[Ore]]</f>
        <v>0</v>
      </c>
      <c r="F6" s="69" t="n">
        <f aca="false">TblProd[[#This Row],[Gems]]</f>
        <v>0</v>
      </c>
      <c r="G6" s="146"/>
      <c r="H6" s="69" t="n">
        <f aca="false">TblMili[[#This Row],[Draftees]]</f>
        <v>326</v>
      </c>
      <c r="I6" s="130" t="n">
        <f aca="false">TblPop[[#This Row],[Employment]]</f>
        <v>1</v>
      </c>
      <c r="J6" s="130" t="n">
        <f aca="false">TblPop[[#This Row],[Total]]/TblPop[[#This Row],[Net max]]</f>
        <v>0.433144037170883</v>
      </c>
      <c r="K6" s="336" t="n">
        <f aca="false">TblRezone[[#This Row],[Hour]]</f>
        <v>3</v>
      </c>
      <c r="L6" s="337" t="n">
        <f aca="false">TblImps[[#This Row],[Real time]]</f>
        <v>45429.8333333333</v>
      </c>
      <c r="M6" s="33" t="n">
        <f aca="false">IF(ISERROR(TblImps[[#This Row],[algorithm]]),0,TblImps[[#This Row],[algorithm]]*1)</f>
        <v>0</v>
      </c>
      <c r="N6" s="69" t="n">
        <f aca="false">TblImps[[#This Row],[Land]]</f>
        <v>250</v>
      </c>
      <c r="O6" s="338" t="s">
        <v>97</v>
      </c>
      <c r="P6" s="339"/>
      <c r="Q6" s="338" t="s">
        <v>734</v>
      </c>
      <c r="R6" s="338" t="s">
        <v>93</v>
      </c>
      <c r="S6" s="339"/>
      <c r="T6" s="338" t="s">
        <v>734</v>
      </c>
      <c r="U6" s="338" t="s">
        <v>35</v>
      </c>
      <c r="V6" s="339"/>
      <c r="W6" s="338" t="s">
        <v>734</v>
      </c>
      <c r="X6" s="132"/>
      <c r="Y6" s="340" t="n">
        <f aca="false">science_cap*(1-EXP(-TblImps[[#This Row],[Σ Science]]/(science_param*(OFFSET(TblImps[[#This Row],[Land]],1,0)-OFFSET(TblExplore[[#This Row],[Land Bonus]],1,0)*20)+15000)))*(1+(mason_bonus*TblConstr[[#This Row],[Tot Mas]]/TblConstr[[#This Row],[Land (2)]]))</f>
        <v>0</v>
      </c>
      <c r="Z6" s="340" t="n">
        <f aca="false">keep_cap*(1-EXP(-TblImps[[#This Row],[Σ Keep]]/(keep_param*(OFFSET(TblImps[[#This Row],[Land]],1,0)-OFFSET(TblExplore[[#This Row],[Land Bonus]],1,0)*20)+15000)))*(1+(mason_bonus*TblConstr[[#This Row],[Tot Mas]]/TblConstr[[#This Row],[Land (2)]]))</f>
        <v>0</v>
      </c>
      <c r="AA6" s="340" t="n">
        <f aca="false">harbor_towers_cap*(1-EXP(-TblImps[[#This Row],[Σ Towers]]/(towers_param*(OFFSET(TblImps[[#This Row],[Land]],1,0)-OFFSET(TblExplore[[#This Row],[Land Bonus]],1,0)*20)+15000)))*(1+(mason_bonus*TblConstr[[#This Row],[Tot Mas]]/TblConstr[[#This Row],[Land (2)]]))</f>
        <v>0</v>
      </c>
      <c r="AB6" s="340" t="n">
        <f aca="false">walls_forges_cap*(1-EXP(-TblImps[[#This Row],[Σ Forges]]/(walls_forges_param*(OFFSET(TblImps[[#This Row],[Land]],1,0)-OFFSET(TblExplore[[#This Row],[Land Bonus]],1,0)*20)+15000)))*(1+(mason_bonus*TblConstr[[#This Row],[Tot Mas]]/TblConstr[[#This Row],[Land (2)]]))</f>
        <v>0</v>
      </c>
      <c r="AC6" s="340" t="n">
        <f aca="false">walls_forges_cap*(1-EXP(-TblImps[[#This Row],[Σ Walls]]/(walls_forges_param*(OFFSET(TblImps[[#This Row],[Land]],1,0)-OFFSET(TblExplore[[#This Row],[Land Bonus]],1,0)*20)+15000)))*(1+(mason_bonus*TblConstr[[#This Row],[Tot Mas]]/TblConstr[[#This Row],[Land (2)]]))</f>
        <v>0</v>
      </c>
      <c r="AD6" s="340" t="n">
        <f aca="false">harbor_towers_cap*(1-EXP(-TblImps[[#This Row],[Σ Irrigation]]/(harbor_towers_param*(OFFSET(TblImps[[#This Row],[Land]],1,0)-OFFSET(TblExplore[[#This Row],[Land Bonus]],1,0)*20)+15000)))*(1+(mason_bonus*TblConstr[[#This Row],[Tot Mas]]/TblConstr[[#This Row],[Land (2)]]))</f>
        <v>0</v>
      </c>
      <c r="AE6" s="132"/>
      <c r="AF6" s="33" t="n">
        <f aca="false">(1+Overview!$I$28)*SUM(TblImps[[#This Row],[P2]:[G2]])+OFFSET(TblImps[[#This Row],[Σ Science]],-1,0)</f>
        <v>0</v>
      </c>
      <c r="AG6" s="33" t="n">
        <f aca="false">(1+Overview!$I$28)*SUM(TblImps[[#This Row],[P3]:[G3]])+OFFSET(TblImps[[#This Row],[Σ Keep]],-1,0)</f>
        <v>0</v>
      </c>
      <c r="AH6" s="33" t="n">
        <f aca="false">(1+Overview!$I$28 + tech_7_1*TblTech[[#This Row],[7-1]])*SUM(TblImps[[#This Row],[P4]:[G4]])+OFFSET(TblImps[[#This Row],[Σ Towers]],-1,0)</f>
        <v>0</v>
      </c>
      <c r="AI6" s="33" t="n">
        <f aca="false">(1+Overview!$I$28)*SUM(TblImps[[#This Row],[P5]:[G5]])+OFFSET(TblImps[[#This Row],[Σ Forges]],-1,0)</f>
        <v>0</v>
      </c>
      <c r="AJ6" s="33" t="n">
        <f aca="false">(1+Overview!$I$28)*SUM(TblImps[[#This Row],[P6]:[G6]])+OFFSET(TblImps[[#This Row],[Σ Walls]],-1,0)</f>
        <v>0</v>
      </c>
      <c r="AK6" s="33" t="n">
        <f aca="false">(1+Overview!$I$28 + tech_7_1*TblTech[[#This Row],[7-1]])*SUM(TblImps[[#This Row],[P7]:[G7]])+OFFSET(TblImps[[#This Row],[Σ Irrigation]],-1,0)</f>
        <v>0</v>
      </c>
      <c r="AL6" s="132"/>
      <c r="AM6" s="26" t="n">
        <f aca="false">IF(AND(TblImps[[#This Row],[Resource]]=AM$2,TblImps[[#This Row],[Part]]&lt;&gt;""),TblImps[[#This Row],[Amount]]) + IF(AND(TblImps[[#This Row],[Resource 2]]=AM$2,TblImps[[#This Row],[Part 2]]&lt;&gt;""),TblImps[[#This Row],[Amount 2]]) + IF(AND(TblImps[[#This Row],[Resource 3]]=AM$2,TblImps[[#This Row],[Part 3]]&lt;&gt;""),TblImps[[#This Row],[Amount 3]])</f>
        <v>0</v>
      </c>
      <c r="AN6" s="26" t="n">
        <f aca="false">IF(AND(TblImps[[#This Row],[Resource]]=AN$2,TblImps[[#This Row],[Part]]&lt;&gt;""),TblImps[[#This Row],[Amount]]) + IF(AND(TblImps[[#This Row],[Resource 2]]=AN$2,TblImps[[#This Row],[Part 2]]&lt;&gt;""),TblImps[[#This Row],[Amount 2]]) + IF(AND(TblImps[[#This Row],[Resource 3]]=AN$2,TblImps[[#This Row],[Part 3]]&lt;&gt;""),TblImps[[#This Row],[Amount 3]])</f>
        <v>0</v>
      </c>
      <c r="AO6" s="26" t="n">
        <f aca="false">IF(AND(TblImps[[#This Row],[Resource]]=AO$2,TblImps[[#This Row],[Part]]&lt;&gt;""),TblImps[[#This Row],[Amount]]) + IF(AND(TblImps[[#This Row],[Resource 2]]=AO$2,TblImps[[#This Row],[Part 2]]&lt;&gt;""),TblImps[[#This Row],[Amount 2]]) + IF(AND(TblImps[[#This Row],[Resource 3]]=AO$2,TblImps[[#This Row],[Part 3]]&lt;&gt;""),TblImps[[#This Row],[Amount 3]])</f>
        <v>0</v>
      </c>
      <c r="AP6" s="26" t="n">
        <f aca="false">IF(AND(TblImps[[#This Row],[Resource]]=AP$2,TblImps[[#This Row],[Part]]&lt;&gt;""),TblImps[[#This Row],[Amount]]) + IF(AND(TblImps[[#This Row],[Resource 2]]=AP$2,TblImps[[#This Row],[Part 2]]&lt;&gt;""),TblImps[[#This Row],[Amount 2]]) + IF(AND(TblImps[[#This Row],[Resource 3]]=AP$2,TblImps[[#This Row],[Part 3]]&lt;&gt;""),TblImps[[#This Row],[Amount 3]])</f>
        <v>0</v>
      </c>
      <c r="AQ6" s="132"/>
      <c r="AR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 s="132"/>
      <c r="AW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 s="132"/>
      <c r="BB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32"/>
      <c r="BG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32"/>
      <c r="BL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32"/>
      <c r="BQ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32"/>
      <c r="BV6"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33" t="n">
        <f aca="false">TblImps[[#This Row],[Login]]</f>
        <v>0</v>
      </c>
      <c r="BX6" s="128"/>
      <c r="BY6" s="347" t="n">
        <f aca="false">OFFSET(TblImps[[#This Row],[Real time]],-1,0)+1/24</f>
        <v>45429.8333333333</v>
      </c>
      <c r="BZ6" s="348" t="n">
        <f aca="false">OFFSET(TblImps[[#This Row],[Servertime]],-1,0)+1/24</f>
        <v>45430.0833333333</v>
      </c>
      <c r="CA6" s="26"/>
      <c r="CB6" s="346"/>
      <c r="CC6" s="346"/>
      <c r="CF6" s="349"/>
    </row>
    <row r="7" customFormat="false" ht="12.75" hidden="false" customHeight="false" outlineLevel="0" collapsed="false">
      <c r="A7" s="181" t="n">
        <f aca="false">TblConstr[[#This Row],[Land]]</f>
        <v>250</v>
      </c>
      <c r="B7" s="132"/>
      <c r="C7" s="69" t="n">
        <f aca="false">TblProd[[#This Row],[Platinum]]</f>
        <v>25970</v>
      </c>
      <c r="D7" s="69" t="n">
        <f aca="false">TblProd[[#This Row],[Lumber]]</f>
        <v>0</v>
      </c>
      <c r="E7" s="69" t="n">
        <f aca="false">TblProd[[#This Row],[Ore]]</f>
        <v>0</v>
      </c>
      <c r="F7" s="69" t="n">
        <f aca="false">TblProd[[#This Row],[Gems]]</f>
        <v>0</v>
      </c>
      <c r="G7" s="146"/>
      <c r="H7" s="69" t="n">
        <f aca="false">TblMili[[#This Row],[Draftees]]</f>
        <v>340</v>
      </c>
      <c r="I7" s="130" t="n">
        <f aca="false">TblPop[[#This Row],[Employment]]</f>
        <v>1</v>
      </c>
      <c r="J7" s="130" t="n">
        <f aca="false">TblPop[[#This Row],[Total]]/TblPop[[#This Row],[Net max]]</f>
        <v>0.443469282395457</v>
      </c>
      <c r="K7" s="336" t="n">
        <f aca="false">TblRezone[[#This Row],[Hour]]</f>
        <v>4</v>
      </c>
      <c r="L7" s="337" t="n">
        <f aca="false">TblImps[[#This Row],[Real time]]</f>
        <v>45429.875</v>
      </c>
      <c r="M7" s="33" t="n">
        <f aca="false">IF(ISERROR(TblImps[[#This Row],[algorithm]]),0,TblImps[[#This Row],[algorithm]]*1)</f>
        <v>0</v>
      </c>
      <c r="N7" s="69" t="n">
        <f aca="false">TblImps[[#This Row],[Land]]</f>
        <v>250</v>
      </c>
      <c r="O7" s="338" t="s">
        <v>97</v>
      </c>
      <c r="P7" s="339"/>
      <c r="Q7" s="338" t="s">
        <v>734</v>
      </c>
      <c r="R7" s="338" t="s">
        <v>93</v>
      </c>
      <c r="S7" s="339"/>
      <c r="T7" s="338" t="s">
        <v>734</v>
      </c>
      <c r="U7" s="338" t="s">
        <v>35</v>
      </c>
      <c r="V7" s="339"/>
      <c r="W7" s="338" t="s">
        <v>734</v>
      </c>
      <c r="X7" s="132"/>
      <c r="Y7" s="340" t="n">
        <f aca="false">science_cap*(1-EXP(-TblImps[[#This Row],[Σ Science]]/(science_param*(OFFSET(TblImps[[#This Row],[Land]],1,0)-OFFSET(TblExplore[[#This Row],[Land Bonus]],1,0)*20)+15000)))*(1+(mason_bonus*TblConstr[[#This Row],[Tot Mas]]/TblConstr[[#This Row],[Land (2)]]))</f>
        <v>0</v>
      </c>
      <c r="Z7" s="340" t="n">
        <f aca="false">keep_cap*(1-EXP(-TblImps[[#This Row],[Σ Keep]]/(keep_param*(OFFSET(TblImps[[#This Row],[Land]],1,0)-OFFSET(TblExplore[[#This Row],[Land Bonus]],1,0)*20)+15000)))*(1+(mason_bonus*TblConstr[[#This Row],[Tot Mas]]/TblConstr[[#This Row],[Land (2)]]))</f>
        <v>0</v>
      </c>
      <c r="AA7" s="340" t="n">
        <f aca="false">harbor_towers_cap*(1-EXP(-TblImps[[#This Row],[Σ Towers]]/(towers_param*(OFFSET(TblImps[[#This Row],[Land]],1,0)-OFFSET(TblExplore[[#This Row],[Land Bonus]],1,0)*20)+15000)))*(1+(mason_bonus*TblConstr[[#This Row],[Tot Mas]]/TblConstr[[#This Row],[Land (2)]]))</f>
        <v>0</v>
      </c>
      <c r="AB7" s="340" t="n">
        <f aca="false">walls_forges_cap*(1-EXP(-TblImps[[#This Row],[Σ Forges]]/(walls_forges_param*(OFFSET(TblImps[[#This Row],[Land]],1,0)-OFFSET(TblExplore[[#This Row],[Land Bonus]],1,0)*20)+15000)))*(1+(mason_bonus*TblConstr[[#This Row],[Tot Mas]]/TblConstr[[#This Row],[Land (2)]]))</f>
        <v>0</v>
      </c>
      <c r="AC7" s="340" t="n">
        <f aca="false">walls_forges_cap*(1-EXP(-TblImps[[#This Row],[Σ Walls]]/(walls_forges_param*(OFFSET(TblImps[[#This Row],[Land]],1,0)-OFFSET(TblExplore[[#This Row],[Land Bonus]],1,0)*20)+15000)))*(1+(mason_bonus*TblConstr[[#This Row],[Tot Mas]]/TblConstr[[#This Row],[Land (2)]]))</f>
        <v>0</v>
      </c>
      <c r="AD7" s="340" t="n">
        <f aca="false">harbor_towers_cap*(1-EXP(-TblImps[[#This Row],[Σ Irrigation]]/(harbor_towers_param*(OFFSET(TblImps[[#This Row],[Land]],1,0)-OFFSET(TblExplore[[#This Row],[Land Bonus]],1,0)*20)+15000)))*(1+(mason_bonus*TblConstr[[#This Row],[Tot Mas]]/TblConstr[[#This Row],[Land (2)]]))</f>
        <v>0</v>
      </c>
      <c r="AE7" s="132"/>
      <c r="AF7" s="33" t="n">
        <f aca="false">(1+Overview!$I$28)*SUM(TblImps[[#This Row],[P2]:[G2]])+OFFSET(TblImps[[#This Row],[Σ Science]],-1,0)</f>
        <v>0</v>
      </c>
      <c r="AG7" s="33" t="n">
        <f aca="false">(1+Overview!$I$28)*SUM(TblImps[[#This Row],[P3]:[G3]])+OFFSET(TblImps[[#This Row],[Σ Keep]],-1,0)</f>
        <v>0</v>
      </c>
      <c r="AH7" s="33" t="n">
        <f aca="false">(1+Overview!$I$28 + tech_7_1*TblTech[[#This Row],[7-1]])*SUM(TblImps[[#This Row],[P4]:[G4]])+OFFSET(TblImps[[#This Row],[Σ Towers]],-1,0)</f>
        <v>0</v>
      </c>
      <c r="AI7" s="33" t="n">
        <f aca="false">(1+Overview!$I$28)*SUM(TblImps[[#This Row],[P5]:[G5]])+OFFSET(TblImps[[#This Row],[Σ Forges]],-1,0)</f>
        <v>0</v>
      </c>
      <c r="AJ7" s="33" t="n">
        <f aca="false">(1+Overview!$I$28)*SUM(TblImps[[#This Row],[P6]:[G6]])+OFFSET(TblImps[[#This Row],[Σ Walls]],-1,0)</f>
        <v>0</v>
      </c>
      <c r="AK7" s="33" t="n">
        <f aca="false">(1+Overview!$I$28 + tech_7_1*TblTech[[#This Row],[7-1]])*SUM(TblImps[[#This Row],[P7]:[G7]])+OFFSET(TblImps[[#This Row],[Σ Irrigation]],-1,0)</f>
        <v>0</v>
      </c>
      <c r="AL7" s="132"/>
      <c r="AM7" s="26" t="n">
        <f aca="false">IF(AND(TblImps[[#This Row],[Resource]]=AM$2,TblImps[[#This Row],[Part]]&lt;&gt;""),TblImps[[#This Row],[Amount]]) + IF(AND(TblImps[[#This Row],[Resource 2]]=AM$2,TblImps[[#This Row],[Part 2]]&lt;&gt;""),TblImps[[#This Row],[Amount 2]]) + IF(AND(TblImps[[#This Row],[Resource 3]]=AM$2,TblImps[[#This Row],[Part 3]]&lt;&gt;""),TblImps[[#This Row],[Amount 3]])</f>
        <v>0</v>
      </c>
      <c r="AN7" s="26" t="n">
        <f aca="false">IF(AND(TblImps[[#This Row],[Resource]]=AN$2,TblImps[[#This Row],[Part]]&lt;&gt;""),TblImps[[#This Row],[Amount]]) + IF(AND(TblImps[[#This Row],[Resource 2]]=AN$2,TblImps[[#This Row],[Part 2]]&lt;&gt;""),TblImps[[#This Row],[Amount 2]]) + IF(AND(TblImps[[#This Row],[Resource 3]]=AN$2,TblImps[[#This Row],[Part 3]]&lt;&gt;""),TblImps[[#This Row],[Amount 3]])</f>
        <v>0</v>
      </c>
      <c r="AO7" s="26" t="n">
        <f aca="false">IF(AND(TblImps[[#This Row],[Resource]]=AO$2,TblImps[[#This Row],[Part]]&lt;&gt;""),TblImps[[#This Row],[Amount]]) + IF(AND(TblImps[[#This Row],[Resource 2]]=AO$2,TblImps[[#This Row],[Part 2]]&lt;&gt;""),TblImps[[#This Row],[Amount 2]]) + IF(AND(TblImps[[#This Row],[Resource 3]]=AO$2,TblImps[[#This Row],[Part 3]]&lt;&gt;""),TblImps[[#This Row],[Amount 3]])</f>
        <v>0</v>
      </c>
      <c r="AP7" s="26" t="n">
        <f aca="false">IF(AND(TblImps[[#This Row],[Resource]]=AP$2,TblImps[[#This Row],[Part]]&lt;&gt;""),TblImps[[#This Row],[Amount]]) + IF(AND(TblImps[[#This Row],[Resource 2]]=AP$2,TblImps[[#This Row],[Part 2]]&lt;&gt;""),TblImps[[#This Row],[Amount 2]]) + IF(AND(TblImps[[#This Row],[Resource 3]]=AP$2,TblImps[[#This Row],[Part 3]]&lt;&gt;""),TblImps[[#This Row],[Amount 3]])</f>
        <v>0</v>
      </c>
      <c r="AQ7" s="132"/>
      <c r="AR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 s="132"/>
      <c r="AW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 s="132"/>
      <c r="BB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32"/>
      <c r="BG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32"/>
      <c r="BL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32"/>
      <c r="BQ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32"/>
      <c r="BV7"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33" t="n">
        <f aca="false">TblImps[[#This Row],[Login]]</f>
        <v>0</v>
      </c>
      <c r="BX7" s="128"/>
      <c r="BY7" s="347" t="n">
        <f aca="false">OFFSET(TblImps[[#This Row],[Real time]],-1,0)+1/24</f>
        <v>45429.875</v>
      </c>
      <c r="BZ7" s="348" t="n">
        <f aca="false">OFFSET(TblImps[[#This Row],[Servertime]],-1,0)+1/24</f>
        <v>45430.125</v>
      </c>
      <c r="CA7" s="26"/>
      <c r="CB7" s="346"/>
      <c r="CC7" s="346"/>
      <c r="CF7" s="350"/>
    </row>
    <row r="8" customFormat="false" ht="12.75" hidden="false" customHeight="false" outlineLevel="0" collapsed="false">
      <c r="A8" s="181" t="n">
        <f aca="false">TblConstr[[#This Row],[Land]]</f>
        <v>250</v>
      </c>
      <c r="B8" s="132"/>
      <c r="C8" s="69" t="n">
        <f aca="false">TblProd[[#This Row],[Platinum]]</f>
        <v>31490</v>
      </c>
      <c r="D8" s="69" t="n">
        <f aca="false">TblProd[[#This Row],[Lumber]]</f>
        <v>0</v>
      </c>
      <c r="E8" s="69" t="n">
        <f aca="false">TblProd[[#This Row],[Ore]]</f>
        <v>0</v>
      </c>
      <c r="F8" s="69" t="n">
        <f aca="false">TblProd[[#This Row],[Gems]]</f>
        <v>0</v>
      </c>
      <c r="G8" s="146"/>
      <c r="H8" s="69" t="n">
        <f aca="false">TblMili[[#This Row],[Draftees]]</f>
        <v>354</v>
      </c>
      <c r="I8" s="130" t="n">
        <f aca="false">TblPop[[#This Row],[Employment]]</f>
        <v>1</v>
      </c>
      <c r="J8" s="130" t="n">
        <f aca="false">TblPop[[#This Row],[Total]]/TblPop[[#This Row],[Net max]]</f>
        <v>0.454052658750645</v>
      </c>
      <c r="K8" s="336" t="n">
        <f aca="false">TblRezone[[#This Row],[Hour]]</f>
        <v>5</v>
      </c>
      <c r="L8" s="337" t="n">
        <f aca="false">TblImps[[#This Row],[Real time]]</f>
        <v>45429.9166666667</v>
      </c>
      <c r="M8" s="33" t="n">
        <f aca="false">IF(ISERROR(TblImps[[#This Row],[algorithm]]),0,TblImps[[#This Row],[algorithm]]*1)</f>
        <v>0</v>
      </c>
      <c r="N8" s="69" t="n">
        <f aca="false">TblImps[[#This Row],[Land]]</f>
        <v>250</v>
      </c>
      <c r="O8" s="338" t="s">
        <v>97</v>
      </c>
      <c r="P8" s="339"/>
      <c r="Q8" s="338" t="s">
        <v>734</v>
      </c>
      <c r="R8" s="338" t="s">
        <v>93</v>
      </c>
      <c r="S8" s="339"/>
      <c r="T8" s="338" t="s">
        <v>734</v>
      </c>
      <c r="U8" s="338" t="s">
        <v>35</v>
      </c>
      <c r="V8" s="339"/>
      <c r="W8" s="338" t="s">
        <v>734</v>
      </c>
      <c r="X8" s="132"/>
      <c r="Y8" s="340" t="n">
        <f aca="false">science_cap*(1-EXP(-TblImps[[#This Row],[Σ Science]]/(science_param*(OFFSET(TblImps[[#This Row],[Land]],1,0)-OFFSET(TblExplore[[#This Row],[Land Bonus]],1,0)*20)+15000)))*(1+(mason_bonus*TblConstr[[#This Row],[Tot Mas]]/TblConstr[[#This Row],[Land (2)]]))</f>
        <v>0</v>
      </c>
      <c r="Z8" s="340" t="n">
        <f aca="false">keep_cap*(1-EXP(-TblImps[[#This Row],[Σ Keep]]/(keep_param*(OFFSET(TblImps[[#This Row],[Land]],1,0)-OFFSET(TblExplore[[#This Row],[Land Bonus]],1,0)*20)+15000)))*(1+(mason_bonus*TblConstr[[#This Row],[Tot Mas]]/TblConstr[[#This Row],[Land (2)]]))</f>
        <v>0</v>
      </c>
      <c r="AA8" s="340" t="n">
        <f aca="false">harbor_towers_cap*(1-EXP(-TblImps[[#This Row],[Σ Towers]]/(towers_param*(OFFSET(TblImps[[#This Row],[Land]],1,0)-OFFSET(TblExplore[[#This Row],[Land Bonus]],1,0)*20)+15000)))*(1+(mason_bonus*TblConstr[[#This Row],[Tot Mas]]/TblConstr[[#This Row],[Land (2)]]))</f>
        <v>0</v>
      </c>
      <c r="AB8" s="340" t="n">
        <f aca="false">walls_forges_cap*(1-EXP(-TblImps[[#This Row],[Σ Forges]]/(walls_forges_param*(OFFSET(TblImps[[#This Row],[Land]],1,0)-OFFSET(TblExplore[[#This Row],[Land Bonus]],1,0)*20)+15000)))*(1+(mason_bonus*TblConstr[[#This Row],[Tot Mas]]/TblConstr[[#This Row],[Land (2)]]))</f>
        <v>0</v>
      </c>
      <c r="AC8" s="340" t="n">
        <f aca="false">walls_forges_cap*(1-EXP(-TblImps[[#This Row],[Σ Walls]]/(walls_forges_param*(OFFSET(TblImps[[#This Row],[Land]],1,0)-OFFSET(TblExplore[[#This Row],[Land Bonus]],1,0)*20)+15000)))*(1+(mason_bonus*TblConstr[[#This Row],[Tot Mas]]/TblConstr[[#This Row],[Land (2)]]))</f>
        <v>0</v>
      </c>
      <c r="AD8" s="340" t="n">
        <f aca="false">harbor_towers_cap*(1-EXP(-TblImps[[#This Row],[Σ Irrigation]]/(harbor_towers_param*(OFFSET(TblImps[[#This Row],[Land]],1,0)-OFFSET(TblExplore[[#This Row],[Land Bonus]],1,0)*20)+15000)))*(1+(mason_bonus*TblConstr[[#This Row],[Tot Mas]]/TblConstr[[#This Row],[Land (2)]]))</f>
        <v>0</v>
      </c>
      <c r="AE8" s="132"/>
      <c r="AF8" s="33" t="n">
        <f aca="false">(1+Overview!$I$28)*SUM(TblImps[[#This Row],[P2]:[G2]])+OFFSET(TblImps[[#This Row],[Σ Science]],-1,0)</f>
        <v>0</v>
      </c>
      <c r="AG8" s="33" t="n">
        <f aca="false">(1+Overview!$I$28)*SUM(TblImps[[#This Row],[P3]:[G3]])+OFFSET(TblImps[[#This Row],[Σ Keep]],-1,0)</f>
        <v>0</v>
      </c>
      <c r="AH8" s="33" t="n">
        <f aca="false">(1+Overview!$I$28 + tech_7_1*TblTech[[#This Row],[7-1]])*SUM(TblImps[[#This Row],[P4]:[G4]])+OFFSET(TblImps[[#This Row],[Σ Towers]],-1,0)</f>
        <v>0</v>
      </c>
      <c r="AI8" s="33" t="n">
        <f aca="false">(1+Overview!$I$28)*SUM(TblImps[[#This Row],[P5]:[G5]])+OFFSET(TblImps[[#This Row],[Σ Forges]],-1,0)</f>
        <v>0</v>
      </c>
      <c r="AJ8" s="33" t="n">
        <f aca="false">(1+Overview!$I$28)*SUM(TblImps[[#This Row],[P6]:[G6]])+OFFSET(TblImps[[#This Row],[Σ Walls]],-1,0)</f>
        <v>0</v>
      </c>
      <c r="AK8" s="33" t="n">
        <f aca="false">(1+Overview!$I$28 + tech_7_1*TblTech[[#This Row],[7-1]])*SUM(TblImps[[#This Row],[P7]:[G7]])+OFFSET(TblImps[[#This Row],[Σ Irrigation]],-1,0)</f>
        <v>0</v>
      </c>
      <c r="AL8" s="132"/>
      <c r="AM8" s="26" t="n">
        <f aca="false">IF(AND(TblImps[[#This Row],[Resource]]=AM$2,TblImps[[#This Row],[Part]]&lt;&gt;""),TblImps[[#This Row],[Amount]]) + IF(AND(TblImps[[#This Row],[Resource 2]]=AM$2,TblImps[[#This Row],[Part 2]]&lt;&gt;""),TblImps[[#This Row],[Amount 2]]) + IF(AND(TblImps[[#This Row],[Resource 3]]=AM$2,TblImps[[#This Row],[Part 3]]&lt;&gt;""),TblImps[[#This Row],[Amount 3]])</f>
        <v>0</v>
      </c>
      <c r="AN8" s="26" t="n">
        <f aca="false">IF(AND(TblImps[[#This Row],[Resource]]=AN$2,TblImps[[#This Row],[Part]]&lt;&gt;""),TblImps[[#This Row],[Amount]]) + IF(AND(TblImps[[#This Row],[Resource 2]]=AN$2,TblImps[[#This Row],[Part 2]]&lt;&gt;""),TblImps[[#This Row],[Amount 2]]) + IF(AND(TblImps[[#This Row],[Resource 3]]=AN$2,TblImps[[#This Row],[Part 3]]&lt;&gt;""),TblImps[[#This Row],[Amount 3]])</f>
        <v>0</v>
      </c>
      <c r="AO8" s="26" t="n">
        <f aca="false">IF(AND(TblImps[[#This Row],[Resource]]=AO$2,TblImps[[#This Row],[Part]]&lt;&gt;""),TblImps[[#This Row],[Amount]]) + IF(AND(TblImps[[#This Row],[Resource 2]]=AO$2,TblImps[[#This Row],[Part 2]]&lt;&gt;""),TblImps[[#This Row],[Amount 2]]) + IF(AND(TblImps[[#This Row],[Resource 3]]=AO$2,TblImps[[#This Row],[Part 3]]&lt;&gt;""),TblImps[[#This Row],[Amount 3]])</f>
        <v>0</v>
      </c>
      <c r="AP8" s="26" t="n">
        <f aca="false">IF(AND(TblImps[[#This Row],[Resource]]=AP$2,TblImps[[#This Row],[Part]]&lt;&gt;""),TblImps[[#This Row],[Amount]]) + IF(AND(TblImps[[#This Row],[Resource 2]]=AP$2,TblImps[[#This Row],[Part 2]]&lt;&gt;""),TblImps[[#This Row],[Amount 2]]) + IF(AND(TblImps[[#This Row],[Resource 3]]=AP$2,TblImps[[#This Row],[Part 3]]&lt;&gt;""),TblImps[[#This Row],[Amount 3]])</f>
        <v>0</v>
      </c>
      <c r="AQ8" s="132"/>
      <c r="AR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 s="132"/>
      <c r="AW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 s="132"/>
      <c r="BB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32"/>
      <c r="BG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32"/>
      <c r="BL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32"/>
      <c r="BQ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32"/>
      <c r="BV8"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33" t="n">
        <f aca="false">TblImps[[#This Row],[Login]]</f>
        <v>0</v>
      </c>
      <c r="BX8" s="128"/>
      <c r="BY8" s="347" t="n">
        <f aca="false">OFFSET(TblImps[[#This Row],[Real time]],-1,0)+1/24</f>
        <v>45429.9166666667</v>
      </c>
      <c r="BZ8" s="348" t="n">
        <f aca="false">OFFSET(TblImps[[#This Row],[Servertime]],-1,0)+1/24</f>
        <v>45430.1666666667</v>
      </c>
      <c r="CA8" s="26"/>
      <c r="CB8" s="346"/>
      <c r="CC8" s="346"/>
      <c r="CF8" s="349"/>
    </row>
    <row r="9" customFormat="false" ht="12.75" hidden="false" customHeight="false" outlineLevel="0" collapsed="false">
      <c r="A9" s="181" t="n">
        <f aca="false">TblConstr[[#This Row],[Land]]</f>
        <v>250</v>
      </c>
      <c r="B9" s="132"/>
      <c r="C9" s="69" t="n">
        <f aca="false">TblProd[[#This Row],[Platinum]]</f>
        <v>16683</v>
      </c>
      <c r="D9" s="69" t="n">
        <f aca="false">TblProd[[#This Row],[Lumber]]</f>
        <v>0</v>
      </c>
      <c r="E9" s="69" t="n">
        <f aca="false">TblProd[[#This Row],[Ore]]</f>
        <v>0</v>
      </c>
      <c r="F9" s="69" t="n">
        <f aca="false">TblProd[[#This Row],[Gems]]</f>
        <v>0</v>
      </c>
      <c r="G9" s="146"/>
      <c r="H9" s="69" t="n">
        <f aca="false">TblMili[[#This Row],[Draftees]]</f>
        <v>272</v>
      </c>
      <c r="I9" s="130" t="n">
        <f aca="false">TblPop[[#This Row],[Employment]]</f>
        <v>1</v>
      </c>
      <c r="J9" s="130" t="n">
        <f aca="false">TblPop[[#This Row],[Total]]/TblPop[[#This Row],[Net max]]</f>
        <v>0.44011357769747</v>
      </c>
      <c r="K9" s="336" t="n">
        <f aca="false">TblRezone[[#This Row],[Hour]]</f>
        <v>6</v>
      </c>
      <c r="L9" s="337" t="n">
        <f aca="false">TblImps[[#This Row],[Real time]]</f>
        <v>45429.9583333333</v>
      </c>
      <c r="M9" s="33" t="n">
        <f aca="false">IF(ISERROR(TblImps[[#This Row],[algorithm]]),0,TblImps[[#This Row],[algorithm]]*1)</f>
        <v>1</v>
      </c>
      <c r="N9" s="69" t="n">
        <f aca="false">TblImps[[#This Row],[Land]]</f>
        <v>250</v>
      </c>
      <c r="O9" s="338" t="s">
        <v>97</v>
      </c>
      <c r="P9" s="339"/>
      <c r="Q9" s="338" t="s">
        <v>734</v>
      </c>
      <c r="R9" s="338" t="s">
        <v>93</v>
      </c>
      <c r="S9" s="339"/>
      <c r="T9" s="338" t="s">
        <v>734</v>
      </c>
      <c r="U9" s="338" t="s">
        <v>35</v>
      </c>
      <c r="V9" s="339"/>
      <c r="W9" s="338" t="s">
        <v>734</v>
      </c>
      <c r="X9" s="132"/>
      <c r="Y9" s="340" t="n">
        <f aca="false">science_cap*(1-EXP(-TblImps[[#This Row],[Σ Science]]/(science_param*(OFFSET(TblImps[[#This Row],[Land]],1,0)-OFFSET(TblExplore[[#This Row],[Land Bonus]],1,0)*20)+15000)))*(1+(mason_bonus*TblConstr[[#This Row],[Tot Mas]]/TblConstr[[#This Row],[Land (2)]]))</f>
        <v>0</v>
      </c>
      <c r="Z9" s="340" t="n">
        <f aca="false">keep_cap*(1-EXP(-TblImps[[#This Row],[Σ Keep]]/(keep_param*(OFFSET(TblImps[[#This Row],[Land]],1,0)-OFFSET(TblExplore[[#This Row],[Land Bonus]],1,0)*20)+15000)))*(1+(mason_bonus*TblConstr[[#This Row],[Tot Mas]]/TblConstr[[#This Row],[Land (2)]]))</f>
        <v>0</v>
      </c>
      <c r="AA9" s="340" t="n">
        <f aca="false">harbor_towers_cap*(1-EXP(-TblImps[[#This Row],[Σ Towers]]/(towers_param*(OFFSET(TblImps[[#This Row],[Land]],1,0)-OFFSET(TblExplore[[#This Row],[Land Bonus]],1,0)*20)+15000)))*(1+(mason_bonus*TblConstr[[#This Row],[Tot Mas]]/TblConstr[[#This Row],[Land (2)]]))</f>
        <v>0</v>
      </c>
      <c r="AB9" s="340" t="n">
        <f aca="false">walls_forges_cap*(1-EXP(-TblImps[[#This Row],[Σ Forges]]/(walls_forges_param*(OFFSET(TblImps[[#This Row],[Land]],1,0)-OFFSET(TblExplore[[#This Row],[Land Bonus]],1,0)*20)+15000)))*(1+(mason_bonus*TblConstr[[#This Row],[Tot Mas]]/TblConstr[[#This Row],[Land (2)]]))</f>
        <v>0</v>
      </c>
      <c r="AC9" s="340" t="n">
        <f aca="false">walls_forges_cap*(1-EXP(-TblImps[[#This Row],[Σ Walls]]/(walls_forges_param*(OFFSET(TblImps[[#This Row],[Land]],1,0)-OFFSET(TblExplore[[#This Row],[Land Bonus]],1,0)*20)+15000)))*(1+(mason_bonus*TblConstr[[#This Row],[Tot Mas]]/TblConstr[[#This Row],[Land (2)]]))</f>
        <v>0</v>
      </c>
      <c r="AD9" s="340" t="n">
        <f aca="false">harbor_towers_cap*(1-EXP(-TblImps[[#This Row],[Σ Irrigation]]/(harbor_towers_param*(OFFSET(TblImps[[#This Row],[Land]],1,0)-OFFSET(TblExplore[[#This Row],[Land Bonus]],1,0)*20)+15000)))*(1+(mason_bonus*TblConstr[[#This Row],[Tot Mas]]/TblConstr[[#This Row],[Land (2)]]))</f>
        <v>0</v>
      </c>
      <c r="AE9" s="132"/>
      <c r="AF9" s="33" t="n">
        <f aca="false">(1+Overview!$I$28)*SUM(TblImps[[#This Row],[P2]:[G2]])+OFFSET(TblImps[[#This Row],[Σ Science]],-1,0)</f>
        <v>0</v>
      </c>
      <c r="AG9" s="33" t="n">
        <f aca="false">(1+Overview!$I$28)*SUM(TblImps[[#This Row],[P3]:[G3]])+OFFSET(TblImps[[#This Row],[Σ Keep]],-1,0)</f>
        <v>0</v>
      </c>
      <c r="AH9" s="33" t="n">
        <f aca="false">(1+Overview!$I$28 + tech_7_1*TblTech[[#This Row],[7-1]])*SUM(TblImps[[#This Row],[P4]:[G4]])+OFFSET(TblImps[[#This Row],[Σ Towers]],-1,0)</f>
        <v>0</v>
      </c>
      <c r="AI9" s="33" t="n">
        <f aca="false">(1+Overview!$I$28)*SUM(TblImps[[#This Row],[P5]:[G5]])+OFFSET(TblImps[[#This Row],[Σ Forges]],-1,0)</f>
        <v>0</v>
      </c>
      <c r="AJ9" s="33" t="n">
        <f aca="false">(1+Overview!$I$28)*SUM(TblImps[[#This Row],[P6]:[G6]])+OFFSET(TblImps[[#This Row],[Σ Walls]],-1,0)</f>
        <v>0</v>
      </c>
      <c r="AK9" s="33" t="n">
        <f aca="false">(1+Overview!$I$28 + tech_7_1*TblTech[[#This Row],[7-1]])*SUM(TblImps[[#This Row],[P7]:[G7]])+OFFSET(TblImps[[#This Row],[Σ Irrigation]],-1,0)</f>
        <v>0</v>
      </c>
      <c r="AL9" s="132"/>
      <c r="AM9" s="26" t="n">
        <f aca="false">IF(AND(TblImps[[#This Row],[Resource]]=AM$2,TblImps[[#This Row],[Part]]&lt;&gt;""),TblImps[[#This Row],[Amount]]) + IF(AND(TblImps[[#This Row],[Resource 2]]=AM$2,TblImps[[#This Row],[Part 2]]&lt;&gt;""),TblImps[[#This Row],[Amount 2]]) + IF(AND(TblImps[[#This Row],[Resource 3]]=AM$2,TblImps[[#This Row],[Part 3]]&lt;&gt;""),TblImps[[#This Row],[Amount 3]])</f>
        <v>0</v>
      </c>
      <c r="AN9" s="26" t="n">
        <f aca="false">IF(AND(TblImps[[#This Row],[Resource]]=AN$2,TblImps[[#This Row],[Part]]&lt;&gt;""),TblImps[[#This Row],[Amount]]) + IF(AND(TblImps[[#This Row],[Resource 2]]=AN$2,TblImps[[#This Row],[Part 2]]&lt;&gt;""),TblImps[[#This Row],[Amount 2]]) + IF(AND(TblImps[[#This Row],[Resource 3]]=AN$2,TblImps[[#This Row],[Part 3]]&lt;&gt;""),TblImps[[#This Row],[Amount 3]])</f>
        <v>0</v>
      </c>
      <c r="AO9" s="26" t="n">
        <f aca="false">IF(AND(TblImps[[#This Row],[Resource]]=AO$2,TblImps[[#This Row],[Part]]&lt;&gt;""),TblImps[[#This Row],[Amount]]) + IF(AND(TblImps[[#This Row],[Resource 2]]=AO$2,TblImps[[#This Row],[Part 2]]&lt;&gt;""),TblImps[[#This Row],[Amount 2]]) + IF(AND(TblImps[[#This Row],[Resource 3]]=AO$2,TblImps[[#This Row],[Part 3]]&lt;&gt;""),TblImps[[#This Row],[Amount 3]])</f>
        <v>0</v>
      </c>
      <c r="AP9" s="26" t="n">
        <f aca="false">IF(AND(TblImps[[#This Row],[Resource]]=AP$2,TblImps[[#This Row],[Part]]&lt;&gt;""),TblImps[[#This Row],[Amount]]) + IF(AND(TblImps[[#This Row],[Resource 2]]=AP$2,TblImps[[#This Row],[Part 2]]&lt;&gt;""),TblImps[[#This Row],[Amount 2]]) + IF(AND(TblImps[[#This Row],[Resource 3]]=AP$2,TblImps[[#This Row],[Part 3]]&lt;&gt;""),TblImps[[#This Row],[Amount 3]])</f>
        <v>0</v>
      </c>
      <c r="AQ9" s="132"/>
      <c r="AR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 s="132"/>
      <c r="AW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 s="132"/>
      <c r="BB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32"/>
      <c r="BG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32"/>
      <c r="BL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32"/>
      <c r="BQ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32"/>
      <c r="BV9"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9" s="33" t="n">
        <f aca="false">TblImps[[#This Row],[Login]]</f>
        <v>1</v>
      </c>
      <c r="BX9" s="128"/>
      <c r="BY9" s="347" t="n">
        <f aca="false">OFFSET(TblImps[[#This Row],[Real time]],-1,0)+1/24</f>
        <v>45429.9583333333</v>
      </c>
      <c r="BZ9" s="348" t="n">
        <f aca="false">OFFSET(TblImps[[#This Row],[Servertime]],-1,0)+1/24</f>
        <v>45430.2083333333</v>
      </c>
      <c r="CA9" s="26"/>
      <c r="CB9" s="346"/>
      <c r="CC9" s="346"/>
      <c r="CF9" s="349"/>
    </row>
    <row r="10" customFormat="false" ht="12.75" hidden="false" customHeight="false" outlineLevel="0" collapsed="false">
      <c r="A10" s="181" t="n">
        <f aca="false">TblConstr[[#This Row],[Land]]</f>
        <v>250</v>
      </c>
      <c r="B10" s="132"/>
      <c r="C10" s="69" t="n">
        <f aca="false">TblProd[[#This Row],[Platinum]]</f>
        <v>21502</v>
      </c>
      <c r="D10" s="69" t="n">
        <f aca="false">TblProd[[#This Row],[Lumber]]</f>
        <v>0</v>
      </c>
      <c r="E10" s="69" t="n">
        <f aca="false">TblProd[[#This Row],[Ore]]</f>
        <v>0</v>
      </c>
      <c r="F10" s="69" t="n">
        <f aca="false">TblProd[[#This Row],[Gems]]</f>
        <v>0</v>
      </c>
      <c r="G10" s="146"/>
      <c r="H10" s="69" t="n">
        <f aca="false">TblMili[[#This Row],[Draftees]]</f>
        <v>282</v>
      </c>
      <c r="I10" s="130" t="n">
        <f aca="false">TblPop[[#This Row],[Employment]]</f>
        <v>1</v>
      </c>
      <c r="J10" s="130" t="n">
        <f aca="false">TblPop[[#This Row],[Total]]/TblPop[[#This Row],[Net max]]</f>
        <v>0.45018069179143</v>
      </c>
      <c r="K10" s="336" t="n">
        <f aca="false">TblRezone[[#This Row],[Hour]]</f>
        <v>7</v>
      </c>
      <c r="L10" s="337" t="n">
        <f aca="false">TblImps[[#This Row],[Real time]]</f>
        <v>45430</v>
      </c>
      <c r="M10" s="33" t="n">
        <f aca="false">IF(ISERROR(TblImps[[#This Row],[algorithm]]),0,TblImps[[#This Row],[algorithm]]*1)</f>
        <v>1</v>
      </c>
      <c r="N10" s="69" t="n">
        <f aca="false">TblImps[[#This Row],[Land]]</f>
        <v>250</v>
      </c>
      <c r="O10" s="338" t="s">
        <v>97</v>
      </c>
      <c r="P10" s="339"/>
      <c r="Q10" s="338" t="s">
        <v>734</v>
      </c>
      <c r="R10" s="338" t="s">
        <v>93</v>
      </c>
      <c r="S10" s="339"/>
      <c r="T10" s="338" t="s">
        <v>734</v>
      </c>
      <c r="U10" s="338" t="s">
        <v>35</v>
      </c>
      <c r="V10" s="339"/>
      <c r="W10" s="338" t="s">
        <v>734</v>
      </c>
      <c r="X10" s="132"/>
      <c r="Y10" s="340" t="n">
        <f aca="false">science_cap*(1-EXP(-TblImps[[#This Row],[Σ Science]]/(science_param*(OFFSET(TblImps[[#This Row],[Land]],1,0)-OFFSET(TblExplore[[#This Row],[Land Bonus]],1,0)*20)+15000)))*(1+(mason_bonus*TblConstr[[#This Row],[Tot Mas]]/TblConstr[[#This Row],[Land (2)]]))</f>
        <v>0</v>
      </c>
      <c r="Z10" s="340" t="n">
        <f aca="false">keep_cap*(1-EXP(-TblImps[[#This Row],[Σ Keep]]/(keep_param*(OFFSET(TblImps[[#This Row],[Land]],1,0)-OFFSET(TblExplore[[#This Row],[Land Bonus]],1,0)*20)+15000)))*(1+(mason_bonus*TblConstr[[#This Row],[Tot Mas]]/TblConstr[[#This Row],[Land (2)]]))</f>
        <v>0</v>
      </c>
      <c r="AA10" s="340" t="n">
        <f aca="false">harbor_towers_cap*(1-EXP(-TblImps[[#This Row],[Σ Towers]]/(towers_param*(OFFSET(TblImps[[#This Row],[Land]],1,0)-OFFSET(TblExplore[[#This Row],[Land Bonus]],1,0)*20)+15000)))*(1+(mason_bonus*TblConstr[[#This Row],[Tot Mas]]/TblConstr[[#This Row],[Land (2)]]))</f>
        <v>0</v>
      </c>
      <c r="AB10" s="340" t="n">
        <f aca="false">walls_forges_cap*(1-EXP(-TblImps[[#This Row],[Σ Forges]]/(walls_forges_param*(OFFSET(TblImps[[#This Row],[Land]],1,0)-OFFSET(TblExplore[[#This Row],[Land Bonus]],1,0)*20)+15000)))*(1+(mason_bonus*TblConstr[[#This Row],[Tot Mas]]/TblConstr[[#This Row],[Land (2)]]))</f>
        <v>0</v>
      </c>
      <c r="AC10" s="340" t="n">
        <f aca="false">walls_forges_cap*(1-EXP(-TblImps[[#This Row],[Σ Walls]]/(walls_forges_param*(OFFSET(TblImps[[#This Row],[Land]],1,0)-OFFSET(TblExplore[[#This Row],[Land Bonus]],1,0)*20)+15000)))*(1+(mason_bonus*TblConstr[[#This Row],[Tot Mas]]/TblConstr[[#This Row],[Land (2)]]))</f>
        <v>0</v>
      </c>
      <c r="AD10" s="340" t="n">
        <f aca="false">harbor_towers_cap*(1-EXP(-TblImps[[#This Row],[Σ Irrigation]]/(harbor_towers_param*(OFFSET(TblImps[[#This Row],[Land]],1,0)-OFFSET(TblExplore[[#This Row],[Land Bonus]],1,0)*20)+15000)))*(1+(mason_bonus*TblConstr[[#This Row],[Tot Mas]]/TblConstr[[#This Row],[Land (2)]]))</f>
        <v>0</v>
      </c>
      <c r="AE10" s="132"/>
      <c r="AF10" s="33" t="n">
        <f aca="false">(1+Overview!$I$28)*SUM(TblImps[[#This Row],[P2]:[G2]])+OFFSET(TblImps[[#This Row],[Σ Science]],-1,0)</f>
        <v>0</v>
      </c>
      <c r="AG10" s="33" t="n">
        <f aca="false">(1+Overview!$I$28)*SUM(TblImps[[#This Row],[P3]:[G3]])+OFFSET(TblImps[[#This Row],[Σ Keep]],-1,0)</f>
        <v>0</v>
      </c>
      <c r="AH10" s="33" t="n">
        <f aca="false">(1+Overview!$I$28 + tech_7_1*TblTech[[#This Row],[7-1]])*SUM(TblImps[[#This Row],[P4]:[G4]])+OFFSET(TblImps[[#This Row],[Σ Towers]],-1,0)</f>
        <v>0</v>
      </c>
      <c r="AI10" s="33" t="n">
        <f aca="false">(1+Overview!$I$28)*SUM(TblImps[[#This Row],[P5]:[G5]])+OFFSET(TblImps[[#This Row],[Σ Forges]],-1,0)</f>
        <v>0</v>
      </c>
      <c r="AJ10" s="33" t="n">
        <f aca="false">(1+Overview!$I$28)*SUM(TblImps[[#This Row],[P6]:[G6]])+OFFSET(TblImps[[#This Row],[Σ Walls]],-1,0)</f>
        <v>0</v>
      </c>
      <c r="AK10" s="33" t="n">
        <f aca="false">(1+Overview!$I$28 + tech_7_1*TblTech[[#This Row],[7-1]])*SUM(TblImps[[#This Row],[P7]:[G7]])+OFFSET(TblImps[[#This Row],[Σ Irrigation]],-1,0)</f>
        <v>0</v>
      </c>
      <c r="AL10" s="132"/>
      <c r="AM10" s="26" t="n">
        <f aca="false">IF(AND(TblImps[[#This Row],[Resource]]=AM$2,TblImps[[#This Row],[Part]]&lt;&gt;""),TblImps[[#This Row],[Amount]]) + IF(AND(TblImps[[#This Row],[Resource 2]]=AM$2,TblImps[[#This Row],[Part 2]]&lt;&gt;""),TblImps[[#This Row],[Amount 2]]) + IF(AND(TblImps[[#This Row],[Resource 3]]=AM$2,TblImps[[#This Row],[Part 3]]&lt;&gt;""),TblImps[[#This Row],[Amount 3]])</f>
        <v>0</v>
      </c>
      <c r="AN10" s="26" t="n">
        <f aca="false">IF(AND(TblImps[[#This Row],[Resource]]=AN$2,TblImps[[#This Row],[Part]]&lt;&gt;""),TblImps[[#This Row],[Amount]]) + IF(AND(TblImps[[#This Row],[Resource 2]]=AN$2,TblImps[[#This Row],[Part 2]]&lt;&gt;""),TblImps[[#This Row],[Amount 2]]) + IF(AND(TblImps[[#This Row],[Resource 3]]=AN$2,TblImps[[#This Row],[Part 3]]&lt;&gt;""),TblImps[[#This Row],[Amount 3]])</f>
        <v>0</v>
      </c>
      <c r="AO10" s="26" t="n">
        <f aca="false">IF(AND(TblImps[[#This Row],[Resource]]=AO$2,TblImps[[#This Row],[Part]]&lt;&gt;""),TblImps[[#This Row],[Amount]]) + IF(AND(TblImps[[#This Row],[Resource 2]]=AO$2,TblImps[[#This Row],[Part 2]]&lt;&gt;""),TblImps[[#This Row],[Amount 2]]) + IF(AND(TblImps[[#This Row],[Resource 3]]=AO$2,TblImps[[#This Row],[Part 3]]&lt;&gt;""),TblImps[[#This Row],[Amount 3]])</f>
        <v>0</v>
      </c>
      <c r="AP10" s="26" t="n">
        <f aca="false">IF(AND(TblImps[[#This Row],[Resource]]=AP$2,TblImps[[#This Row],[Part]]&lt;&gt;""),TblImps[[#This Row],[Amount]]) + IF(AND(TblImps[[#This Row],[Resource 2]]=AP$2,TblImps[[#This Row],[Part 2]]&lt;&gt;""),TblImps[[#This Row],[Amount 2]]) + IF(AND(TblImps[[#This Row],[Resource 3]]=AP$2,TblImps[[#This Row],[Part 3]]&lt;&gt;""),TblImps[[#This Row],[Amount 3]])</f>
        <v>0</v>
      </c>
      <c r="AQ10" s="132"/>
      <c r="AR1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32"/>
      <c r="AW1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32"/>
      <c r="BB1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32"/>
      <c r="BG1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32"/>
      <c r="BL1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32"/>
      <c r="BQ1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32"/>
      <c r="BV10"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 s="33" t="n">
        <f aca="false">TblImps[[#This Row],[Login]]</f>
        <v>1</v>
      </c>
      <c r="BX10" s="128"/>
      <c r="BY10" s="347" t="n">
        <f aca="false">OFFSET(TblImps[[#This Row],[Real time]],-1,0)+1/24</f>
        <v>45430</v>
      </c>
      <c r="BZ10" s="348" t="n">
        <f aca="false">OFFSET(TblImps[[#This Row],[Servertime]],-1,0)+1/24</f>
        <v>45430.25</v>
      </c>
      <c r="CA10" s="26"/>
      <c r="CB10" s="346"/>
      <c r="CC10" s="346"/>
    </row>
    <row r="11" customFormat="false" ht="12.75" hidden="false" customHeight="false" outlineLevel="0" collapsed="false">
      <c r="A11" s="181" t="n">
        <f aca="false">TblConstr[[#This Row],[Land]]</f>
        <v>250</v>
      </c>
      <c r="B11" s="132"/>
      <c r="C11" s="69" t="n">
        <f aca="false">TblProd[[#This Row],[Platinum]]</f>
        <v>26399</v>
      </c>
      <c r="D11" s="69" t="n">
        <f aca="false">TblProd[[#This Row],[Lumber]]</f>
        <v>0</v>
      </c>
      <c r="E11" s="69" t="n">
        <f aca="false">TblProd[[#This Row],[Ore]]</f>
        <v>0</v>
      </c>
      <c r="F11" s="69" t="n">
        <f aca="false">TblProd[[#This Row],[Gems]]</f>
        <v>0</v>
      </c>
      <c r="G11" s="146"/>
      <c r="H11" s="69" t="n">
        <f aca="false">TblMili[[#This Row],[Draftees]]</f>
        <v>293</v>
      </c>
      <c r="I11" s="130" t="n">
        <f aca="false">TblPop[[#This Row],[Employment]]</f>
        <v>1</v>
      </c>
      <c r="J11" s="130" t="n">
        <f aca="false">TblPop[[#This Row],[Total]]/TblPop[[#This Row],[Net max]]</f>
        <v>0.46024780588539</v>
      </c>
      <c r="K11" s="336" t="n">
        <f aca="false">TblRezone[[#This Row],[Hour]]</f>
        <v>8</v>
      </c>
      <c r="L11" s="337" t="n">
        <f aca="false">TblImps[[#This Row],[Real time]]</f>
        <v>45430.0416666667</v>
      </c>
      <c r="M11" s="33" t="n">
        <f aca="false">IF(ISERROR(TblImps[[#This Row],[algorithm]]),0,TblImps[[#This Row],[algorithm]]*1)</f>
        <v>1</v>
      </c>
      <c r="N11" s="69" t="n">
        <f aca="false">TblImps[[#This Row],[Land]]</f>
        <v>250</v>
      </c>
      <c r="O11" s="338" t="s">
        <v>97</v>
      </c>
      <c r="P11" s="339"/>
      <c r="Q11" s="338" t="s">
        <v>734</v>
      </c>
      <c r="R11" s="338" t="s">
        <v>93</v>
      </c>
      <c r="S11" s="339"/>
      <c r="T11" s="338" t="s">
        <v>734</v>
      </c>
      <c r="U11" s="338" t="s">
        <v>35</v>
      </c>
      <c r="V11" s="339"/>
      <c r="W11" s="338" t="s">
        <v>734</v>
      </c>
      <c r="X11" s="132"/>
      <c r="Y11" s="340" t="n">
        <f aca="false">science_cap*(1-EXP(-TblImps[[#This Row],[Σ Science]]/(science_param*(OFFSET(TblImps[[#This Row],[Land]],1,0)-OFFSET(TblExplore[[#This Row],[Land Bonus]],1,0)*20)+15000)))*(1+(mason_bonus*TblConstr[[#This Row],[Tot Mas]]/TblConstr[[#This Row],[Land (2)]]))</f>
        <v>0</v>
      </c>
      <c r="Z11" s="340" t="n">
        <f aca="false">keep_cap*(1-EXP(-TblImps[[#This Row],[Σ Keep]]/(keep_param*(OFFSET(TblImps[[#This Row],[Land]],1,0)-OFFSET(TblExplore[[#This Row],[Land Bonus]],1,0)*20)+15000)))*(1+(mason_bonus*TblConstr[[#This Row],[Tot Mas]]/TblConstr[[#This Row],[Land (2)]]))</f>
        <v>0</v>
      </c>
      <c r="AA11" s="340" t="n">
        <f aca="false">harbor_towers_cap*(1-EXP(-TblImps[[#This Row],[Σ Towers]]/(towers_param*(OFFSET(TblImps[[#This Row],[Land]],1,0)-OFFSET(TblExplore[[#This Row],[Land Bonus]],1,0)*20)+15000)))*(1+(mason_bonus*TblConstr[[#This Row],[Tot Mas]]/TblConstr[[#This Row],[Land (2)]]))</f>
        <v>0</v>
      </c>
      <c r="AB11" s="340" t="n">
        <f aca="false">walls_forges_cap*(1-EXP(-TblImps[[#This Row],[Σ Forges]]/(walls_forges_param*(OFFSET(TblImps[[#This Row],[Land]],1,0)-OFFSET(TblExplore[[#This Row],[Land Bonus]],1,0)*20)+15000)))*(1+(mason_bonus*TblConstr[[#This Row],[Tot Mas]]/TblConstr[[#This Row],[Land (2)]]))</f>
        <v>0</v>
      </c>
      <c r="AC11" s="340" t="n">
        <f aca="false">walls_forges_cap*(1-EXP(-TblImps[[#This Row],[Σ Walls]]/(walls_forges_param*(OFFSET(TblImps[[#This Row],[Land]],1,0)-OFFSET(TblExplore[[#This Row],[Land Bonus]],1,0)*20)+15000)))*(1+(mason_bonus*TblConstr[[#This Row],[Tot Mas]]/TblConstr[[#This Row],[Land (2)]]))</f>
        <v>0</v>
      </c>
      <c r="AD11" s="340" t="n">
        <f aca="false">harbor_towers_cap*(1-EXP(-TblImps[[#This Row],[Σ Irrigation]]/(harbor_towers_param*(OFFSET(TblImps[[#This Row],[Land]],1,0)-OFFSET(TblExplore[[#This Row],[Land Bonus]],1,0)*20)+15000)))*(1+(mason_bonus*TblConstr[[#This Row],[Tot Mas]]/TblConstr[[#This Row],[Land (2)]]))</f>
        <v>0</v>
      </c>
      <c r="AE11" s="132"/>
      <c r="AF11" s="33" t="n">
        <f aca="false">(1+Overview!$I$28)*SUM(TblImps[[#This Row],[P2]:[G2]])+OFFSET(TblImps[[#This Row],[Σ Science]],-1,0)</f>
        <v>0</v>
      </c>
      <c r="AG11" s="33" t="n">
        <f aca="false">(1+Overview!$I$28)*SUM(TblImps[[#This Row],[P3]:[G3]])+OFFSET(TblImps[[#This Row],[Σ Keep]],-1,0)</f>
        <v>0</v>
      </c>
      <c r="AH11" s="33" t="n">
        <f aca="false">(1+Overview!$I$28 + tech_7_1*TblTech[[#This Row],[7-1]])*SUM(TblImps[[#This Row],[P4]:[G4]])+OFFSET(TblImps[[#This Row],[Σ Towers]],-1,0)</f>
        <v>0</v>
      </c>
      <c r="AI11" s="33" t="n">
        <f aca="false">(1+Overview!$I$28)*SUM(TblImps[[#This Row],[P5]:[G5]])+OFFSET(TblImps[[#This Row],[Σ Forges]],-1,0)</f>
        <v>0</v>
      </c>
      <c r="AJ11" s="33" t="n">
        <f aca="false">(1+Overview!$I$28)*SUM(TblImps[[#This Row],[P6]:[G6]])+OFFSET(TblImps[[#This Row],[Σ Walls]],-1,0)</f>
        <v>0</v>
      </c>
      <c r="AK11" s="33" t="n">
        <f aca="false">(1+Overview!$I$28 + tech_7_1*TblTech[[#This Row],[7-1]])*SUM(TblImps[[#This Row],[P7]:[G7]])+OFFSET(TblImps[[#This Row],[Σ Irrigation]],-1,0)</f>
        <v>0</v>
      </c>
      <c r="AL11" s="132"/>
      <c r="AM11" s="26" t="n">
        <f aca="false">IF(AND(TblImps[[#This Row],[Resource]]=AM$2,TblImps[[#This Row],[Part]]&lt;&gt;""),TblImps[[#This Row],[Amount]]) + IF(AND(TblImps[[#This Row],[Resource 2]]=AM$2,TblImps[[#This Row],[Part 2]]&lt;&gt;""),TblImps[[#This Row],[Amount 2]]) + IF(AND(TblImps[[#This Row],[Resource 3]]=AM$2,TblImps[[#This Row],[Part 3]]&lt;&gt;""),TblImps[[#This Row],[Amount 3]])</f>
        <v>0</v>
      </c>
      <c r="AN11" s="26" t="n">
        <f aca="false">IF(AND(TblImps[[#This Row],[Resource]]=AN$2,TblImps[[#This Row],[Part]]&lt;&gt;""),TblImps[[#This Row],[Amount]]) + IF(AND(TblImps[[#This Row],[Resource 2]]=AN$2,TblImps[[#This Row],[Part 2]]&lt;&gt;""),TblImps[[#This Row],[Amount 2]]) + IF(AND(TblImps[[#This Row],[Resource 3]]=AN$2,TblImps[[#This Row],[Part 3]]&lt;&gt;""),TblImps[[#This Row],[Amount 3]])</f>
        <v>0</v>
      </c>
      <c r="AO11" s="26" t="n">
        <f aca="false">IF(AND(TblImps[[#This Row],[Resource]]=AO$2,TblImps[[#This Row],[Part]]&lt;&gt;""),TblImps[[#This Row],[Amount]]) + IF(AND(TblImps[[#This Row],[Resource 2]]=AO$2,TblImps[[#This Row],[Part 2]]&lt;&gt;""),TblImps[[#This Row],[Amount 2]]) + IF(AND(TblImps[[#This Row],[Resource 3]]=AO$2,TblImps[[#This Row],[Part 3]]&lt;&gt;""),TblImps[[#This Row],[Amount 3]])</f>
        <v>0</v>
      </c>
      <c r="AP11" s="26" t="n">
        <f aca="false">IF(AND(TblImps[[#This Row],[Resource]]=AP$2,TblImps[[#This Row],[Part]]&lt;&gt;""),TblImps[[#This Row],[Amount]]) + IF(AND(TblImps[[#This Row],[Resource 2]]=AP$2,TblImps[[#This Row],[Part 2]]&lt;&gt;""),TblImps[[#This Row],[Amount 2]]) + IF(AND(TblImps[[#This Row],[Resource 3]]=AP$2,TblImps[[#This Row],[Part 3]]&lt;&gt;""),TblImps[[#This Row],[Amount 3]])</f>
        <v>0</v>
      </c>
      <c r="AQ11" s="132"/>
      <c r="AR1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32"/>
      <c r="AW1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32"/>
      <c r="BB1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32"/>
      <c r="BG1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32"/>
      <c r="BL1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32"/>
      <c r="BQ1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32"/>
      <c r="BV11"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1" s="33" t="n">
        <f aca="false">TblImps[[#This Row],[Login]]</f>
        <v>1</v>
      </c>
      <c r="BX11" s="128"/>
      <c r="BY11" s="347" t="n">
        <f aca="false">OFFSET(TblImps[[#This Row],[Real time]],-1,0)+1/24</f>
        <v>45430.0416666667</v>
      </c>
      <c r="BZ11" s="348" t="n">
        <f aca="false">OFFSET(TblImps[[#This Row],[Servertime]],-1,0)+1/24</f>
        <v>45430.2916666667</v>
      </c>
      <c r="CA11" s="26"/>
      <c r="CB11" s="346"/>
      <c r="CC11" s="346"/>
    </row>
    <row r="12" customFormat="false" ht="12.75" hidden="false" customHeight="false" outlineLevel="0" collapsed="false">
      <c r="A12" s="181" t="n">
        <f aca="false">TblConstr[[#This Row],[Land]]</f>
        <v>250</v>
      </c>
      <c r="B12" s="132"/>
      <c r="C12" s="69" t="n">
        <f aca="false">TblProd[[#This Row],[Platinum]]</f>
        <v>31372</v>
      </c>
      <c r="D12" s="69" t="n">
        <f aca="false">TblProd[[#This Row],[Lumber]]</f>
        <v>0</v>
      </c>
      <c r="E12" s="69" t="n">
        <f aca="false">TblProd[[#This Row],[Ore]]</f>
        <v>0</v>
      </c>
      <c r="F12" s="69" t="n">
        <f aca="false">TblProd[[#This Row],[Gems]]</f>
        <v>0</v>
      </c>
      <c r="G12" s="146"/>
      <c r="H12" s="69" t="n">
        <f aca="false">TblMili[[#This Row],[Draftees]]</f>
        <v>304</v>
      </c>
      <c r="I12" s="130" t="n">
        <f aca="false">TblPop[[#This Row],[Employment]]</f>
        <v>1</v>
      </c>
      <c r="J12" s="130" t="n">
        <f aca="false">TblPop[[#This Row],[Total]]/TblPop[[#This Row],[Net max]]</f>
        <v>0.470573051109964</v>
      </c>
      <c r="K12" s="336" t="n">
        <f aca="false">TblRezone[[#This Row],[Hour]]</f>
        <v>9</v>
      </c>
      <c r="L12" s="337" t="n">
        <f aca="false">TblImps[[#This Row],[Real time]]</f>
        <v>45430.0833333333</v>
      </c>
      <c r="M12" s="33" t="n">
        <f aca="false">IF(ISERROR(TblImps[[#This Row],[algorithm]]),0,TblImps[[#This Row],[algorithm]]*1)</f>
        <v>1</v>
      </c>
      <c r="N12" s="69" t="n">
        <f aca="false">TblImps[[#This Row],[Land]]</f>
        <v>250</v>
      </c>
      <c r="O12" s="338" t="s">
        <v>97</v>
      </c>
      <c r="P12" s="339"/>
      <c r="Q12" s="338" t="s">
        <v>734</v>
      </c>
      <c r="R12" s="338" t="s">
        <v>93</v>
      </c>
      <c r="S12" s="339"/>
      <c r="T12" s="338" t="s">
        <v>734</v>
      </c>
      <c r="U12" s="338" t="s">
        <v>35</v>
      </c>
      <c r="V12" s="339"/>
      <c r="W12" s="338" t="s">
        <v>734</v>
      </c>
      <c r="X12" s="132"/>
      <c r="Y12" s="340" t="n">
        <f aca="false">science_cap*(1-EXP(-TblImps[[#This Row],[Σ Science]]/(science_param*(OFFSET(TblImps[[#This Row],[Land]],1,0)-OFFSET(TblExplore[[#This Row],[Land Bonus]],1,0)*20)+15000)))*(1+(mason_bonus*TblConstr[[#This Row],[Tot Mas]]/TblConstr[[#This Row],[Land (2)]]))</f>
        <v>0</v>
      </c>
      <c r="Z12" s="340" t="n">
        <f aca="false">keep_cap*(1-EXP(-TblImps[[#This Row],[Σ Keep]]/(keep_param*(OFFSET(TblImps[[#This Row],[Land]],1,0)-OFFSET(TblExplore[[#This Row],[Land Bonus]],1,0)*20)+15000)))*(1+(mason_bonus*TblConstr[[#This Row],[Tot Mas]]/TblConstr[[#This Row],[Land (2)]]))</f>
        <v>0</v>
      </c>
      <c r="AA12" s="340" t="n">
        <f aca="false">harbor_towers_cap*(1-EXP(-TblImps[[#This Row],[Σ Towers]]/(towers_param*(OFFSET(TblImps[[#This Row],[Land]],1,0)-OFFSET(TblExplore[[#This Row],[Land Bonus]],1,0)*20)+15000)))*(1+(mason_bonus*TblConstr[[#This Row],[Tot Mas]]/TblConstr[[#This Row],[Land (2)]]))</f>
        <v>0</v>
      </c>
      <c r="AB12" s="340" t="n">
        <f aca="false">walls_forges_cap*(1-EXP(-TblImps[[#This Row],[Σ Forges]]/(walls_forges_param*(OFFSET(TblImps[[#This Row],[Land]],1,0)-OFFSET(TblExplore[[#This Row],[Land Bonus]],1,0)*20)+15000)))*(1+(mason_bonus*TblConstr[[#This Row],[Tot Mas]]/TblConstr[[#This Row],[Land (2)]]))</f>
        <v>0</v>
      </c>
      <c r="AC12" s="340" t="n">
        <f aca="false">walls_forges_cap*(1-EXP(-TblImps[[#This Row],[Σ Walls]]/(walls_forges_param*(OFFSET(TblImps[[#This Row],[Land]],1,0)-OFFSET(TblExplore[[#This Row],[Land Bonus]],1,0)*20)+15000)))*(1+(mason_bonus*TblConstr[[#This Row],[Tot Mas]]/TblConstr[[#This Row],[Land (2)]]))</f>
        <v>0</v>
      </c>
      <c r="AD12" s="340" t="n">
        <f aca="false">harbor_towers_cap*(1-EXP(-TblImps[[#This Row],[Σ Irrigation]]/(harbor_towers_param*(OFFSET(TblImps[[#This Row],[Land]],1,0)-OFFSET(TblExplore[[#This Row],[Land Bonus]],1,0)*20)+15000)))*(1+(mason_bonus*TblConstr[[#This Row],[Tot Mas]]/TblConstr[[#This Row],[Land (2)]]))</f>
        <v>0</v>
      </c>
      <c r="AE12" s="132"/>
      <c r="AF12" s="33" t="n">
        <f aca="false">(1+Overview!$I$28)*SUM(TblImps[[#This Row],[P2]:[G2]])+OFFSET(TblImps[[#This Row],[Σ Science]],-1,0)</f>
        <v>0</v>
      </c>
      <c r="AG12" s="33" t="n">
        <f aca="false">(1+Overview!$I$28)*SUM(TblImps[[#This Row],[P3]:[G3]])+OFFSET(TblImps[[#This Row],[Σ Keep]],-1,0)</f>
        <v>0</v>
      </c>
      <c r="AH12" s="33" t="n">
        <f aca="false">(1+Overview!$I$28 + tech_7_1*TblTech[[#This Row],[7-1]])*SUM(TblImps[[#This Row],[P4]:[G4]])+OFFSET(TblImps[[#This Row],[Σ Towers]],-1,0)</f>
        <v>0</v>
      </c>
      <c r="AI12" s="33" t="n">
        <f aca="false">(1+Overview!$I$28)*SUM(TblImps[[#This Row],[P5]:[G5]])+OFFSET(TblImps[[#This Row],[Σ Forges]],-1,0)</f>
        <v>0</v>
      </c>
      <c r="AJ12" s="33" t="n">
        <f aca="false">(1+Overview!$I$28)*SUM(TblImps[[#This Row],[P6]:[G6]])+OFFSET(TblImps[[#This Row],[Σ Walls]],-1,0)</f>
        <v>0</v>
      </c>
      <c r="AK12" s="33" t="n">
        <f aca="false">(1+Overview!$I$28 + tech_7_1*TblTech[[#This Row],[7-1]])*SUM(TblImps[[#This Row],[P7]:[G7]])+OFFSET(TblImps[[#This Row],[Σ Irrigation]],-1,0)</f>
        <v>0</v>
      </c>
      <c r="AL12" s="132"/>
      <c r="AM12" s="26" t="n">
        <f aca="false">IF(AND(TblImps[[#This Row],[Resource]]=AM$2,TblImps[[#This Row],[Part]]&lt;&gt;""),TblImps[[#This Row],[Amount]]) + IF(AND(TblImps[[#This Row],[Resource 2]]=AM$2,TblImps[[#This Row],[Part 2]]&lt;&gt;""),TblImps[[#This Row],[Amount 2]]) + IF(AND(TblImps[[#This Row],[Resource 3]]=AM$2,TblImps[[#This Row],[Part 3]]&lt;&gt;""),TblImps[[#This Row],[Amount 3]])</f>
        <v>0</v>
      </c>
      <c r="AN12" s="26" t="n">
        <f aca="false">IF(AND(TblImps[[#This Row],[Resource]]=AN$2,TblImps[[#This Row],[Part]]&lt;&gt;""),TblImps[[#This Row],[Amount]]) + IF(AND(TblImps[[#This Row],[Resource 2]]=AN$2,TblImps[[#This Row],[Part 2]]&lt;&gt;""),TblImps[[#This Row],[Amount 2]]) + IF(AND(TblImps[[#This Row],[Resource 3]]=AN$2,TblImps[[#This Row],[Part 3]]&lt;&gt;""),TblImps[[#This Row],[Amount 3]])</f>
        <v>0</v>
      </c>
      <c r="AO12" s="26" t="n">
        <f aca="false">IF(AND(TblImps[[#This Row],[Resource]]=AO$2,TblImps[[#This Row],[Part]]&lt;&gt;""),TblImps[[#This Row],[Amount]]) + IF(AND(TblImps[[#This Row],[Resource 2]]=AO$2,TblImps[[#This Row],[Part 2]]&lt;&gt;""),TblImps[[#This Row],[Amount 2]]) + IF(AND(TblImps[[#This Row],[Resource 3]]=AO$2,TblImps[[#This Row],[Part 3]]&lt;&gt;""),TblImps[[#This Row],[Amount 3]])</f>
        <v>0</v>
      </c>
      <c r="AP12" s="26" t="n">
        <f aca="false">IF(AND(TblImps[[#This Row],[Resource]]=AP$2,TblImps[[#This Row],[Part]]&lt;&gt;""),TblImps[[#This Row],[Amount]]) + IF(AND(TblImps[[#This Row],[Resource 2]]=AP$2,TblImps[[#This Row],[Part 2]]&lt;&gt;""),TblImps[[#This Row],[Amount 2]]) + IF(AND(TblImps[[#This Row],[Resource 3]]=AP$2,TblImps[[#This Row],[Part 3]]&lt;&gt;""),TblImps[[#This Row],[Amount 3]])</f>
        <v>0</v>
      </c>
      <c r="AQ12" s="132"/>
      <c r="AR1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32"/>
      <c r="AW1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32"/>
      <c r="BB1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32"/>
      <c r="BG1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32"/>
      <c r="BL1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32"/>
      <c r="BQ1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32"/>
      <c r="BV12"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2" s="33" t="n">
        <f aca="false">TblImps[[#This Row],[Login]]</f>
        <v>1</v>
      </c>
      <c r="BX12" s="128"/>
      <c r="BY12" s="347" t="n">
        <f aca="false">OFFSET(TblImps[[#This Row],[Real time]],-1,0)+1/24</f>
        <v>45430.0833333333</v>
      </c>
      <c r="BZ12" s="348" t="n">
        <f aca="false">OFFSET(TblImps[[#This Row],[Servertime]],-1,0)+1/24</f>
        <v>45430.3333333333</v>
      </c>
      <c r="CA12" s="26"/>
      <c r="CB12" s="346"/>
      <c r="CC12" s="346"/>
    </row>
    <row r="13" customFormat="false" ht="12.75" hidden="false" customHeight="false" outlineLevel="0" collapsed="false">
      <c r="A13" s="181" t="n">
        <f aca="false">TblConstr[[#This Row],[Land]]</f>
        <v>250</v>
      </c>
      <c r="B13" s="132"/>
      <c r="C13" s="69" t="n">
        <f aca="false">TblProd[[#This Row],[Platinum]]</f>
        <v>36323</v>
      </c>
      <c r="D13" s="69" t="n">
        <f aca="false">TblProd[[#This Row],[Lumber]]</f>
        <v>200</v>
      </c>
      <c r="E13" s="69" t="n">
        <f aca="false">TblProd[[#This Row],[Ore]]</f>
        <v>0</v>
      </c>
      <c r="F13" s="69" t="n">
        <f aca="false">TblProd[[#This Row],[Gems]]</f>
        <v>0</v>
      </c>
      <c r="G13" s="146"/>
      <c r="H13" s="69" t="n">
        <f aca="false">TblMili[[#This Row],[Draftees]]</f>
        <v>315</v>
      </c>
      <c r="I13" s="130" t="n">
        <f aca="false">TblPop[[#This Row],[Employment]]</f>
        <v>1</v>
      </c>
      <c r="J13" s="130" t="n">
        <f aca="false">TblPop[[#This Row],[Total]]/TblPop[[#This Row],[Net max]]</f>
        <v>0.481156427465152</v>
      </c>
      <c r="K13" s="336" t="n">
        <f aca="false">TblRezone[[#This Row],[Hour]]</f>
        <v>10</v>
      </c>
      <c r="L13" s="337" t="n">
        <f aca="false">TblImps[[#This Row],[Real time]]</f>
        <v>45430.125</v>
      </c>
      <c r="M13" s="33" t="n">
        <f aca="false">IF(ISERROR(TblImps[[#This Row],[algorithm]]),0,TblImps[[#This Row],[algorithm]]*1)</f>
        <v>1</v>
      </c>
      <c r="N13" s="69" t="n">
        <f aca="false">TblImps[[#This Row],[Land]]</f>
        <v>250</v>
      </c>
      <c r="O13" s="338" t="s">
        <v>97</v>
      </c>
      <c r="P13" s="339"/>
      <c r="Q13" s="338" t="s">
        <v>734</v>
      </c>
      <c r="R13" s="338" t="s">
        <v>93</v>
      </c>
      <c r="S13" s="339"/>
      <c r="T13" s="338" t="s">
        <v>734</v>
      </c>
      <c r="U13" s="338" t="s">
        <v>35</v>
      </c>
      <c r="V13" s="339"/>
      <c r="W13" s="338" t="s">
        <v>734</v>
      </c>
      <c r="X13" s="132"/>
      <c r="Y13" s="340" t="n">
        <f aca="false">science_cap*(1-EXP(-TblImps[[#This Row],[Σ Science]]/(science_param*(OFFSET(TblImps[[#This Row],[Land]],1,0)-OFFSET(TblExplore[[#This Row],[Land Bonus]],1,0)*20)+15000)))*(1+(mason_bonus*TblConstr[[#This Row],[Tot Mas]]/TblConstr[[#This Row],[Land (2)]]))</f>
        <v>0</v>
      </c>
      <c r="Z13" s="340" t="n">
        <f aca="false">keep_cap*(1-EXP(-TblImps[[#This Row],[Σ Keep]]/(keep_param*(OFFSET(TblImps[[#This Row],[Land]],1,0)-OFFSET(TblExplore[[#This Row],[Land Bonus]],1,0)*20)+15000)))*(1+(mason_bonus*TblConstr[[#This Row],[Tot Mas]]/TblConstr[[#This Row],[Land (2)]]))</f>
        <v>0</v>
      </c>
      <c r="AA13" s="340" t="n">
        <f aca="false">harbor_towers_cap*(1-EXP(-TblImps[[#This Row],[Σ Towers]]/(towers_param*(OFFSET(TblImps[[#This Row],[Land]],1,0)-OFFSET(TblExplore[[#This Row],[Land Bonus]],1,0)*20)+15000)))*(1+(mason_bonus*TblConstr[[#This Row],[Tot Mas]]/TblConstr[[#This Row],[Land (2)]]))</f>
        <v>0</v>
      </c>
      <c r="AB13" s="340" t="n">
        <f aca="false">walls_forges_cap*(1-EXP(-TblImps[[#This Row],[Σ Forges]]/(walls_forges_param*(OFFSET(TblImps[[#This Row],[Land]],1,0)-OFFSET(TblExplore[[#This Row],[Land Bonus]],1,0)*20)+15000)))*(1+(mason_bonus*TblConstr[[#This Row],[Tot Mas]]/TblConstr[[#This Row],[Land (2)]]))</f>
        <v>0</v>
      </c>
      <c r="AC13" s="340" t="n">
        <f aca="false">walls_forges_cap*(1-EXP(-TblImps[[#This Row],[Σ Walls]]/(walls_forges_param*(OFFSET(TblImps[[#This Row],[Land]],1,0)-OFFSET(TblExplore[[#This Row],[Land Bonus]],1,0)*20)+15000)))*(1+(mason_bonus*TblConstr[[#This Row],[Tot Mas]]/TblConstr[[#This Row],[Land (2)]]))</f>
        <v>0</v>
      </c>
      <c r="AD13" s="340" t="n">
        <f aca="false">harbor_towers_cap*(1-EXP(-TblImps[[#This Row],[Σ Irrigation]]/(harbor_towers_param*(OFFSET(TblImps[[#This Row],[Land]],1,0)-OFFSET(TblExplore[[#This Row],[Land Bonus]],1,0)*20)+15000)))*(1+(mason_bonus*TblConstr[[#This Row],[Tot Mas]]/TblConstr[[#This Row],[Land (2)]]))</f>
        <v>0</v>
      </c>
      <c r="AE13" s="132"/>
      <c r="AF13" s="33" t="n">
        <f aca="false">(1+Overview!$I$28)*SUM(TblImps[[#This Row],[P2]:[G2]])+OFFSET(TblImps[[#This Row],[Σ Science]],-1,0)</f>
        <v>0</v>
      </c>
      <c r="AG13" s="33" t="n">
        <f aca="false">(1+Overview!$I$28)*SUM(TblImps[[#This Row],[P3]:[G3]])+OFFSET(TblImps[[#This Row],[Σ Keep]],-1,0)</f>
        <v>0</v>
      </c>
      <c r="AH13" s="33" t="n">
        <f aca="false">(1+Overview!$I$28 + tech_7_1*TblTech[[#This Row],[7-1]])*SUM(TblImps[[#This Row],[P4]:[G4]])+OFFSET(TblImps[[#This Row],[Σ Towers]],-1,0)</f>
        <v>0</v>
      </c>
      <c r="AI13" s="33" t="n">
        <f aca="false">(1+Overview!$I$28)*SUM(TblImps[[#This Row],[P5]:[G5]])+OFFSET(TblImps[[#This Row],[Σ Forges]],-1,0)</f>
        <v>0</v>
      </c>
      <c r="AJ13" s="33" t="n">
        <f aca="false">(1+Overview!$I$28)*SUM(TblImps[[#This Row],[P6]:[G6]])+OFFSET(TblImps[[#This Row],[Σ Walls]],-1,0)</f>
        <v>0</v>
      </c>
      <c r="AK13" s="33" t="n">
        <f aca="false">(1+Overview!$I$28 + tech_7_1*TblTech[[#This Row],[7-1]])*SUM(TblImps[[#This Row],[P7]:[G7]])+OFFSET(TblImps[[#This Row],[Σ Irrigation]],-1,0)</f>
        <v>0</v>
      </c>
      <c r="AL13" s="132"/>
      <c r="AM13" s="26" t="n">
        <f aca="false">IF(AND(TblImps[[#This Row],[Resource]]=AM$2,TblImps[[#This Row],[Part]]&lt;&gt;""),TblImps[[#This Row],[Amount]]) + IF(AND(TblImps[[#This Row],[Resource 2]]=AM$2,TblImps[[#This Row],[Part 2]]&lt;&gt;""),TblImps[[#This Row],[Amount 2]]) + IF(AND(TblImps[[#This Row],[Resource 3]]=AM$2,TblImps[[#This Row],[Part 3]]&lt;&gt;""),TblImps[[#This Row],[Amount 3]])</f>
        <v>0</v>
      </c>
      <c r="AN13" s="26" t="n">
        <f aca="false">IF(AND(TblImps[[#This Row],[Resource]]=AN$2,TblImps[[#This Row],[Part]]&lt;&gt;""),TblImps[[#This Row],[Amount]]) + IF(AND(TblImps[[#This Row],[Resource 2]]=AN$2,TblImps[[#This Row],[Part 2]]&lt;&gt;""),TblImps[[#This Row],[Amount 2]]) + IF(AND(TblImps[[#This Row],[Resource 3]]=AN$2,TblImps[[#This Row],[Part 3]]&lt;&gt;""),TblImps[[#This Row],[Amount 3]])</f>
        <v>0</v>
      </c>
      <c r="AO13" s="26" t="n">
        <f aca="false">IF(AND(TblImps[[#This Row],[Resource]]=AO$2,TblImps[[#This Row],[Part]]&lt;&gt;""),TblImps[[#This Row],[Amount]]) + IF(AND(TblImps[[#This Row],[Resource 2]]=AO$2,TblImps[[#This Row],[Part 2]]&lt;&gt;""),TblImps[[#This Row],[Amount 2]]) + IF(AND(TblImps[[#This Row],[Resource 3]]=AO$2,TblImps[[#This Row],[Part 3]]&lt;&gt;""),TblImps[[#This Row],[Amount 3]])</f>
        <v>0</v>
      </c>
      <c r="AP13" s="26" t="n">
        <f aca="false">IF(AND(TblImps[[#This Row],[Resource]]=AP$2,TblImps[[#This Row],[Part]]&lt;&gt;""),TblImps[[#This Row],[Amount]]) + IF(AND(TblImps[[#This Row],[Resource 2]]=AP$2,TblImps[[#This Row],[Part 2]]&lt;&gt;""),TblImps[[#This Row],[Amount 2]]) + IF(AND(TblImps[[#This Row],[Resource 3]]=AP$2,TblImps[[#This Row],[Part 3]]&lt;&gt;""),TblImps[[#This Row],[Amount 3]])</f>
        <v>0</v>
      </c>
      <c r="AQ13" s="132"/>
      <c r="AR1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32"/>
      <c r="AW1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32"/>
      <c r="BB1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32"/>
      <c r="BG1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32"/>
      <c r="BL1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32"/>
      <c r="BQ1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32"/>
      <c r="BV13"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3" s="33" t="n">
        <f aca="false">TblImps[[#This Row],[Login]]</f>
        <v>1</v>
      </c>
      <c r="BX13" s="128"/>
      <c r="BY13" s="347" t="n">
        <f aca="false">OFFSET(TblImps[[#This Row],[Real time]],-1,0)+1/24</f>
        <v>45430.125</v>
      </c>
      <c r="BZ13" s="348" t="n">
        <f aca="false">OFFSET(TblImps[[#This Row],[Servertime]],-1,0)+1/24</f>
        <v>45430.375</v>
      </c>
      <c r="CA13" s="26"/>
      <c r="CB13" s="346"/>
      <c r="CC13" s="346"/>
    </row>
    <row r="14" customFormat="false" ht="12.75" hidden="false" customHeight="false" outlineLevel="0" collapsed="false">
      <c r="A14" s="181" t="n">
        <f aca="false">TblConstr[[#This Row],[Land]]</f>
        <v>250</v>
      </c>
      <c r="B14" s="132"/>
      <c r="C14" s="69" t="n">
        <f aca="false">TblProd[[#This Row],[Platinum]]</f>
        <v>41005</v>
      </c>
      <c r="D14" s="69" t="n">
        <f aca="false">TblProd[[#This Row],[Lumber]]</f>
        <v>1098</v>
      </c>
      <c r="E14" s="69" t="n">
        <f aca="false">TblProd[[#This Row],[Ore]]</f>
        <v>0</v>
      </c>
      <c r="F14" s="69" t="n">
        <f aca="false">TblProd[[#This Row],[Gems]]</f>
        <v>0</v>
      </c>
      <c r="G14" s="146"/>
      <c r="H14" s="69" t="n">
        <f aca="false">TblMili[[#This Row],[Draftees]]</f>
        <v>326</v>
      </c>
      <c r="I14" s="130" t="n">
        <f aca="false">TblPop[[#This Row],[Employment]]</f>
        <v>1</v>
      </c>
      <c r="J14" s="130" t="n">
        <f aca="false">TblPop[[#This Row],[Total]]/TblPop[[#This Row],[Net max]]</f>
        <v>0.491997934950955</v>
      </c>
      <c r="K14" s="336" t="n">
        <f aca="false">TblRezone[[#This Row],[Hour]]</f>
        <v>11</v>
      </c>
      <c r="L14" s="337" t="n">
        <f aca="false">TblImps[[#This Row],[Real time]]</f>
        <v>45430.1666666667</v>
      </c>
      <c r="M14" s="33" t="n">
        <f aca="false">IF(ISERROR(TblImps[[#This Row],[algorithm]]),0,TblImps[[#This Row],[algorithm]]*1)</f>
        <v>1</v>
      </c>
      <c r="N14" s="69" t="n">
        <f aca="false">TblImps[[#This Row],[Land]]</f>
        <v>250</v>
      </c>
      <c r="O14" s="338" t="s">
        <v>97</v>
      </c>
      <c r="P14" s="339"/>
      <c r="Q14" s="338" t="s">
        <v>734</v>
      </c>
      <c r="R14" s="338" t="s">
        <v>93</v>
      </c>
      <c r="S14" s="339"/>
      <c r="T14" s="338" t="s">
        <v>734</v>
      </c>
      <c r="U14" s="338" t="s">
        <v>35</v>
      </c>
      <c r="V14" s="339"/>
      <c r="W14" s="338" t="s">
        <v>734</v>
      </c>
      <c r="X14" s="132"/>
      <c r="Y14" s="340" t="n">
        <f aca="false">science_cap*(1-EXP(-TblImps[[#This Row],[Σ Science]]/(science_param*(OFFSET(TblImps[[#This Row],[Land]],1,0)-OFFSET(TblExplore[[#This Row],[Land Bonus]],1,0)*20)+15000)))*(1+(mason_bonus*TblConstr[[#This Row],[Tot Mas]]/TblConstr[[#This Row],[Land (2)]]))</f>
        <v>0</v>
      </c>
      <c r="Z14" s="340" t="n">
        <f aca="false">keep_cap*(1-EXP(-TblImps[[#This Row],[Σ Keep]]/(keep_param*(OFFSET(TblImps[[#This Row],[Land]],1,0)-OFFSET(TblExplore[[#This Row],[Land Bonus]],1,0)*20)+15000)))*(1+(mason_bonus*TblConstr[[#This Row],[Tot Mas]]/TblConstr[[#This Row],[Land (2)]]))</f>
        <v>0</v>
      </c>
      <c r="AA14" s="340" t="n">
        <f aca="false">harbor_towers_cap*(1-EXP(-TblImps[[#This Row],[Σ Towers]]/(towers_param*(OFFSET(TblImps[[#This Row],[Land]],1,0)-OFFSET(TblExplore[[#This Row],[Land Bonus]],1,0)*20)+15000)))*(1+(mason_bonus*TblConstr[[#This Row],[Tot Mas]]/TblConstr[[#This Row],[Land (2)]]))</f>
        <v>0</v>
      </c>
      <c r="AB14" s="340" t="n">
        <f aca="false">walls_forges_cap*(1-EXP(-TblImps[[#This Row],[Σ Forges]]/(walls_forges_param*(OFFSET(TblImps[[#This Row],[Land]],1,0)-OFFSET(TblExplore[[#This Row],[Land Bonus]],1,0)*20)+15000)))*(1+(mason_bonus*TblConstr[[#This Row],[Tot Mas]]/TblConstr[[#This Row],[Land (2)]]))</f>
        <v>0</v>
      </c>
      <c r="AC14" s="340" t="n">
        <f aca="false">walls_forges_cap*(1-EXP(-TblImps[[#This Row],[Σ Walls]]/(walls_forges_param*(OFFSET(TblImps[[#This Row],[Land]],1,0)-OFFSET(TblExplore[[#This Row],[Land Bonus]],1,0)*20)+15000)))*(1+(mason_bonus*TblConstr[[#This Row],[Tot Mas]]/TblConstr[[#This Row],[Land (2)]]))</f>
        <v>0</v>
      </c>
      <c r="AD14" s="340" t="n">
        <f aca="false">harbor_towers_cap*(1-EXP(-TblImps[[#This Row],[Σ Irrigation]]/(harbor_towers_param*(OFFSET(TblImps[[#This Row],[Land]],1,0)-OFFSET(TblExplore[[#This Row],[Land Bonus]],1,0)*20)+15000)))*(1+(mason_bonus*TblConstr[[#This Row],[Tot Mas]]/TblConstr[[#This Row],[Land (2)]]))</f>
        <v>0</v>
      </c>
      <c r="AE14" s="132"/>
      <c r="AF14" s="33" t="n">
        <f aca="false">(1+Overview!$I$28)*SUM(TblImps[[#This Row],[P2]:[G2]])+OFFSET(TblImps[[#This Row],[Σ Science]],-1,0)</f>
        <v>0</v>
      </c>
      <c r="AG14" s="33" t="n">
        <f aca="false">(1+Overview!$I$28)*SUM(TblImps[[#This Row],[P3]:[G3]])+OFFSET(TblImps[[#This Row],[Σ Keep]],-1,0)</f>
        <v>0</v>
      </c>
      <c r="AH14" s="33" t="n">
        <f aca="false">(1+Overview!$I$28 + tech_7_1*TblTech[[#This Row],[7-1]])*SUM(TblImps[[#This Row],[P4]:[G4]])+OFFSET(TblImps[[#This Row],[Σ Towers]],-1,0)</f>
        <v>0</v>
      </c>
      <c r="AI14" s="33" t="n">
        <f aca="false">(1+Overview!$I$28)*SUM(TblImps[[#This Row],[P5]:[G5]])+OFFSET(TblImps[[#This Row],[Σ Forges]],-1,0)</f>
        <v>0</v>
      </c>
      <c r="AJ14" s="33" t="n">
        <f aca="false">(1+Overview!$I$28)*SUM(TblImps[[#This Row],[P6]:[G6]])+OFFSET(TblImps[[#This Row],[Σ Walls]],-1,0)</f>
        <v>0</v>
      </c>
      <c r="AK14" s="33" t="n">
        <f aca="false">(1+Overview!$I$28 + tech_7_1*TblTech[[#This Row],[7-1]])*SUM(TblImps[[#This Row],[P7]:[G7]])+OFFSET(TblImps[[#This Row],[Σ Irrigation]],-1,0)</f>
        <v>0</v>
      </c>
      <c r="AL14" s="132"/>
      <c r="AM14" s="26" t="n">
        <f aca="false">IF(AND(TblImps[[#This Row],[Resource]]=AM$2,TblImps[[#This Row],[Part]]&lt;&gt;""),TblImps[[#This Row],[Amount]]) + IF(AND(TblImps[[#This Row],[Resource 2]]=AM$2,TblImps[[#This Row],[Part 2]]&lt;&gt;""),TblImps[[#This Row],[Amount 2]]) + IF(AND(TblImps[[#This Row],[Resource 3]]=AM$2,TblImps[[#This Row],[Part 3]]&lt;&gt;""),TblImps[[#This Row],[Amount 3]])</f>
        <v>0</v>
      </c>
      <c r="AN14" s="26" t="n">
        <f aca="false">IF(AND(TblImps[[#This Row],[Resource]]=AN$2,TblImps[[#This Row],[Part]]&lt;&gt;""),TblImps[[#This Row],[Amount]]) + IF(AND(TblImps[[#This Row],[Resource 2]]=AN$2,TblImps[[#This Row],[Part 2]]&lt;&gt;""),TblImps[[#This Row],[Amount 2]]) + IF(AND(TblImps[[#This Row],[Resource 3]]=AN$2,TblImps[[#This Row],[Part 3]]&lt;&gt;""),TblImps[[#This Row],[Amount 3]])</f>
        <v>0</v>
      </c>
      <c r="AO14" s="26" t="n">
        <f aca="false">IF(AND(TblImps[[#This Row],[Resource]]=AO$2,TblImps[[#This Row],[Part]]&lt;&gt;""),TblImps[[#This Row],[Amount]]) + IF(AND(TblImps[[#This Row],[Resource 2]]=AO$2,TblImps[[#This Row],[Part 2]]&lt;&gt;""),TblImps[[#This Row],[Amount 2]]) + IF(AND(TblImps[[#This Row],[Resource 3]]=AO$2,TblImps[[#This Row],[Part 3]]&lt;&gt;""),TblImps[[#This Row],[Amount 3]])</f>
        <v>0</v>
      </c>
      <c r="AP14" s="26" t="n">
        <f aca="false">IF(AND(TblImps[[#This Row],[Resource]]=AP$2,TblImps[[#This Row],[Part]]&lt;&gt;""),TblImps[[#This Row],[Amount]]) + IF(AND(TblImps[[#This Row],[Resource 2]]=AP$2,TblImps[[#This Row],[Part 2]]&lt;&gt;""),TblImps[[#This Row],[Amount 2]]) + IF(AND(TblImps[[#This Row],[Resource 3]]=AP$2,TblImps[[#This Row],[Part 3]]&lt;&gt;""),TblImps[[#This Row],[Amount 3]])</f>
        <v>0</v>
      </c>
      <c r="AQ14" s="132"/>
      <c r="AR1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32"/>
      <c r="AW1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32"/>
      <c r="BB1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32"/>
      <c r="BG1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32"/>
      <c r="BL1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32"/>
      <c r="BQ1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32"/>
      <c r="BV14"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4" s="33" t="n">
        <f aca="false">TblImps[[#This Row],[Login]]</f>
        <v>1</v>
      </c>
      <c r="BX14" s="128"/>
      <c r="BY14" s="347" t="n">
        <f aca="false">OFFSET(TblImps[[#This Row],[Real time]],-1,0)+1/24</f>
        <v>45430.1666666667</v>
      </c>
      <c r="BZ14" s="348" t="n">
        <f aca="false">OFFSET(TblImps[[#This Row],[Servertime]],-1,0)+1/24</f>
        <v>45430.4166666667</v>
      </c>
      <c r="CA14" s="26"/>
      <c r="CB14" s="346"/>
      <c r="CC14" s="346"/>
    </row>
    <row r="15" customFormat="false" ht="12.75" hidden="false" customHeight="false" outlineLevel="0" collapsed="false">
      <c r="A15" s="181" t="n">
        <f aca="false">TblConstr[[#This Row],[Land]]</f>
        <v>250</v>
      </c>
      <c r="B15" s="132"/>
      <c r="C15" s="69" t="n">
        <f aca="false">TblProd[[#This Row],[Platinum]]</f>
        <v>46621</v>
      </c>
      <c r="D15" s="69" t="n">
        <f aca="false">TblProd[[#This Row],[Lumber]]</f>
        <v>1987</v>
      </c>
      <c r="E15" s="69" t="n">
        <f aca="false">TblProd[[#This Row],[Ore]]</f>
        <v>0</v>
      </c>
      <c r="F15" s="69" t="n">
        <f aca="false">TblProd[[#This Row],[Gems]]</f>
        <v>0</v>
      </c>
      <c r="G15" s="146"/>
      <c r="H15" s="69" t="n">
        <f aca="false">TblMili[[#This Row],[Draftees]]</f>
        <v>342</v>
      </c>
      <c r="I15" s="130" t="n">
        <f aca="false">TblPop[[#This Row],[Employment]]</f>
        <v>1</v>
      </c>
      <c r="J15" s="130" t="n">
        <f aca="false">TblPop[[#This Row],[Total]]/TblPop[[#This Row],[Net max]]</f>
        <v>0.50413009808983</v>
      </c>
      <c r="K15" s="336" t="n">
        <f aca="false">TblRezone[[#This Row],[Hour]]</f>
        <v>12</v>
      </c>
      <c r="L15" s="337" t="n">
        <f aca="false">TblImps[[#This Row],[Real time]]</f>
        <v>45430.2083333333</v>
      </c>
      <c r="M15" s="33" t="n">
        <f aca="false">IF(ISERROR(TblImps[[#This Row],[algorithm]]),0,TblImps[[#This Row],[algorithm]]*1)</f>
        <v>0</v>
      </c>
      <c r="N15" s="69" t="n">
        <f aca="false">TblImps[[#This Row],[Land]]</f>
        <v>250</v>
      </c>
      <c r="O15" s="338" t="s">
        <v>97</v>
      </c>
      <c r="P15" s="339"/>
      <c r="Q15" s="338" t="s">
        <v>734</v>
      </c>
      <c r="R15" s="338" t="s">
        <v>93</v>
      </c>
      <c r="S15" s="339"/>
      <c r="T15" s="338" t="s">
        <v>734</v>
      </c>
      <c r="U15" s="338" t="s">
        <v>35</v>
      </c>
      <c r="V15" s="339"/>
      <c r="W15" s="338" t="s">
        <v>734</v>
      </c>
      <c r="X15" s="132"/>
      <c r="Y15" s="340" t="n">
        <f aca="false">science_cap*(1-EXP(-TblImps[[#This Row],[Σ Science]]/(science_param*(OFFSET(TblImps[[#This Row],[Land]],1,0)-OFFSET(TblExplore[[#This Row],[Land Bonus]],1,0)*20)+15000)))*(1+(mason_bonus*TblConstr[[#This Row],[Tot Mas]]/TblConstr[[#This Row],[Land (2)]]))</f>
        <v>0</v>
      </c>
      <c r="Z15" s="340" t="n">
        <f aca="false">keep_cap*(1-EXP(-TblImps[[#This Row],[Σ Keep]]/(keep_param*(OFFSET(TblImps[[#This Row],[Land]],1,0)-OFFSET(TblExplore[[#This Row],[Land Bonus]],1,0)*20)+15000)))*(1+(mason_bonus*TblConstr[[#This Row],[Tot Mas]]/TblConstr[[#This Row],[Land (2)]]))</f>
        <v>0</v>
      </c>
      <c r="AA15" s="340" t="n">
        <f aca="false">harbor_towers_cap*(1-EXP(-TblImps[[#This Row],[Σ Towers]]/(towers_param*(OFFSET(TblImps[[#This Row],[Land]],1,0)-OFFSET(TblExplore[[#This Row],[Land Bonus]],1,0)*20)+15000)))*(1+(mason_bonus*TblConstr[[#This Row],[Tot Mas]]/TblConstr[[#This Row],[Land (2)]]))</f>
        <v>0</v>
      </c>
      <c r="AB15" s="340" t="n">
        <f aca="false">walls_forges_cap*(1-EXP(-TblImps[[#This Row],[Σ Forges]]/(walls_forges_param*(OFFSET(TblImps[[#This Row],[Land]],1,0)-OFFSET(TblExplore[[#This Row],[Land Bonus]],1,0)*20)+15000)))*(1+(mason_bonus*TblConstr[[#This Row],[Tot Mas]]/TblConstr[[#This Row],[Land (2)]]))</f>
        <v>0</v>
      </c>
      <c r="AC15" s="340" t="n">
        <f aca="false">walls_forges_cap*(1-EXP(-TblImps[[#This Row],[Σ Walls]]/(walls_forges_param*(OFFSET(TblImps[[#This Row],[Land]],1,0)-OFFSET(TblExplore[[#This Row],[Land Bonus]],1,0)*20)+15000)))*(1+(mason_bonus*TblConstr[[#This Row],[Tot Mas]]/TblConstr[[#This Row],[Land (2)]]))</f>
        <v>0</v>
      </c>
      <c r="AD15" s="340" t="n">
        <f aca="false">harbor_towers_cap*(1-EXP(-TblImps[[#This Row],[Σ Irrigation]]/(harbor_towers_param*(OFFSET(TblImps[[#This Row],[Land]],1,0)-OFFSET(TblExplore[[#This Row],[Land Bonus]],1,0)*20)+15000)))*(1+(mason_bonus*TblConstr[[#This Row],[Tot Mas]]/TblConstr[[#This Row],[Land (2)]]))</f>
        <v>0</v>
      </c>
      <c r="AE15" s="132"/>
      <c r="AF15" s="33" t="n">
        <f aca="false">(1+Overview!$I$28)*SUM(TblImps[[#This Row],[P2]:[G2]])+OFFSET(TblImps[[#This Row],[Σ Science]],-1,0)</f>
        <v>0</v>
      </c>
      <c r="AG15" s="33" t="n">
        <f aca="false">(1+Overview!$I$28)*SUM(TblImps[[#This Row],[P3]:[G3]])+OFFSET(TblImps[[#This Row],[Σ Keep]],-1,0)</f>
        <v>0</v>
      </c>
      <c r="AH15" s="33" t="n">
        <f aca="false">(1+Overview!$I$28 + tech_7_1*TblTech[[#This Row],[7-1]])*SUM(TblImps[[#This Row],[P4]:[G4]])+OFFSET(TblImps[[#This Row],[Σ Towers]],-1,0)</f>
        <v>0</v>
      </c>
      <c r="AI15" s="33" t="n">
        <f aca="false">(1+Overview!$I$28)*SUM(TblImps[[#This Row],[P5]:[G5]])+OFFSET(TblImps[[#This Row],[Σ Forges]],-1,0)</f>
        <v>0</v>
      </c>
      <c r="AJ15" s="33" t="n">
        <f aca="false">(1+Overview!$I$28)*SUM(TblImps[[#This Row],[P6]:[G6]])+OFFSET(TblImps[[#This Row],[Σ Walls]],-1,0)</f>
        <v>0</v>
      </c>
      <c r="AK15" s="33" t="n">
        <f aca="false">(1+Overview!$I$28 + tech_7_1*TblTech[[#This Row],[7-1]])*SUM(TblImps[[#This Row],[P7]:[G7]])+OFFSET(TblImps[[#This Row],[Σ Irrigation]],-1,0)</f>
        <v>0</v>
      </c>
      <c r="AL15" s="132"/>
      <c r="AM15" s="26" t="n">
        <f aca="false">IF(AND(TblImps[[#This Row],[Resource]]=AM$2,TblImps[[#This Row],[Part]]&lt;&gt;""),TblImps[[#This Row],[Amount]]) + IF(AND(TblImps[[#This Row],[Resource 2]]=AM$2,TblImps[[#This Row],[Part 2]]&lt;&gt;""),TblImps[[#This Row],[Amount 2]]) + IF(AND(TblImps[[#This Row],[Resource 3]]=AM$2,TblImps[[#This Row],[Part 3]]&lt;&gt;""),TblImps[[#This Row],[Amount 3]])</f>
        <v>0</v>
      </c>
      <c r="AN15" s="26" t="n">
        <f aca="false">IF(AND(TblImps[[#This Row],[Resource]]=AN$2,TblImps[[#This Row],[Part]]&lt;&gt;""),TblImps[[#This Row],[Amount]]) + IF(AND(TblImps[[#This Row],[Resource 2]]=AN$2,TblImps[[#This Row],[Part 2]]&lt;&gt;""),TblImps[[#This Row],[Amount 2]]) + IF(AND(TblImps[[#This Row],[Resource 3]]=AN$2,TblImps[[#This Row],[Part 3]]&lt;&gt;""),TblImps[[#This Row],[Amount 3]])</f>
        <v>0</v>
      </c>
      <c r="AO15" s="26" t="n">
        <f aca="false">IF(AND(TblImps[[#This Row],[Resource]]=AO$2,TblImps[[#This Row],[Part]]&lt;&gt;""),TblImps[[#This Row],[Amount]]) + IF(AND(TblImps[[#This Row],[Resource 2]]=AO$2,TblImps[[#This Row],[Part 2]]&lt;&gt;""),TblImps[[#This Row],[Amount 2]]) + IF(AND(TblImps[[#This Row],[Resource 3]]=AO$2,TblImps[[#This Row],[Part 3]]&lt;&gt;""),TblImps[[#This Row],[Amount 3]])</f>
        <v>0</v>
      </c>
      <c r="AP15" s="26" t="n">
        <f aca="false">IF(AND(TblImps[[#This Row],[Resource]]=AP$2,TblImps[[#This Row],[Part]]&lt;&gt;""),TblImps[[#This Row],[Amount]]) + IF(AND(TblImps[[#This Row],[Resource 2]]=AP$2,TblImps[[#This Row],[Part 2]]&lt;&gt;""),TblImps[[#This Row],[Amount 2]]) + IF(AND(TblImps[[#This Row],[Resource 3]]=AP$2,TblImps[[#This Row],[Part 3]]&lt;&gt;""),TblImps[[#This Row],[Amount 3]])</f>
        <v>0</v>
      </c>
      <c r="AQ15" s="132"/>
      <c r="AR1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32"/>
      <c r="AW1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32"/>
      <c r="BB1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32"/>
      <c r="BG1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32"/>
      <c r="BL1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32"/>
      <c r="BQ1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32"/>
      <c r="BV15"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33" t="n">
        <f aca="false">TblImps[[#This Row],[Login]]</f>
        <v>0</v>
      </c>
      <c r="BX15" s="128"/>
      <c r="BY15" s="347" t="n">
        <f aca="false">OFFSET(TblImps[[#This Row],[Real time]],-1,0)+1/24</f>
        <v>45430.2083333333</v>
      </c>
      <c r="BZ15" s="348" t="n">
        <f aca="false">OFFSET(TblImps[[#This Row],[Servertime]],-1,0)+1/24</f>
        <v>45430.4583333333</v>
      </c>
      <c r="CA15" s="26"/>
      <c r="CB15" s="346"/>
      <c r="CC15" s="346"/>
    </row>
    <row r="16" customFormat="false" ht="12.75" hidden="false" customHeight="false" outlineLevel="0" collapsed="false">
      <c r="A16" s="181" t="n">
        <f aca="false">TblConstr[[#This Row],[Land]]</f>
        <v>250</v>
      </c>
      <c r="B16" s="132"/>
      <c r="C16" s="69" t="n">
        <f aca="false">TblProd[[#This Row],[Platinum]]</f>
        <v>27645</v>
      </c>
      <c r="D16" s="69" t="n">
        <f aca="false">TblProd[[#This Row],[Lumber]]</f>
        <v>7</v>
      </c>
      <c r="E16" s="69" t="n">
        <f aca="false">TblProd[[#This Row],[Ore]]</f>
        <v>0</v>
      </c>
      <c r="F16" s="69" t="n">
        <f aca="false">TblProd[[#This Row],[Gems]]</f>
        <v>0</v>
      </c>
      <c r="G16" s="146"/>
      <c r="H16" s="69" t="n">
        <f aca="false">TblMili[[#This Row],[Draftees]]</f>
        <v>358</v>
      </c>
      <c r="I16" s="130" t="n">
        <f aca="false">TblPop[[#This Row],[Employment]]</f>
        <v>1</v>
      </c>
      <c r="J16" s="130" t="n">
        <f aca="false">TblPop[[#This Row],[Total]]/TblPop[[#This Row],[Net max]]</f>
        <v>0.530459473412494</v>
      </c>
      <c r="K16" s="336" t="n">
        <f aca="false">TblRezone[[#This Row],[Hour]]</f>
        <v>13</v>
      </c>
      <c r="L16" s="337" t="n">
        <f aca="false">TblImps[[#This Row],[Real time]]</f>
        <v>45430.25</v>
      </c>
      <c r="M16" s="33" t="n">
        <f aca="false">IF(ISERROR(TblImps[[#This Row],[algorithm]]),0,TblImps[[#This Row],[algorithm]]*1)</f>
        <v>1</v>
      </c>
      <c r="N16" s="69" t="n">
        <f aca="false">TblImps[[#This Row],[Land]]</f>
        <v>250</v>
      </c>
      <c r="O16" s="338" t="s">
        <v>97</v>
      </c>
      <c r="P16" s="339"/>
      <c r="Q16" s="338" t="s">
        <v>734</v>
      </c>
      <c r="R16" s="338" t="s">
        <v>93</v>
      </c>
      <c r="S16" s="339"/>
      <c r="T16" s="338" t="s">
        <v>734</v>
      </c>
      <c r="U16" s="338" t="s">
        <v>35</v>
      </c>
      <c r="V16" s="339"/>
      <c r="W16" s="338" t="s">
        <v>734</v>
      </c>
      <c r="X16" s="132"/>
      <c r="Y16" s="340" t="n">
        <f aca="false">science_cap*(1-EXP(-TblImps[[#This Row],[Σ Science]]/(science_param*(OFFSET(TblImps[[#This Row],[Land]],1,0)-OFFSET(TblExplore[[#This Row],[Land Bonus]],1,0)*20)+15000)))*(1+(mason_bonus*TblConstr[[#This Row],[Tot Mas]]/TblConstr[[#This Row],[Land (2)]]))</f>
        <v>0</v>
      </c>
      <c r="Z16" s="340" t="n">
        <f aca="false">keep_cap*(1-EXP(-TblImps[[#This Row],[Σ Keep]]/(keep_param*(OFFSET(TblImps[[#This Row],[Land]],1,0)-OFFSET(TblExplore[[#This Row],[Land Bonus]],1,0)*20)+15000)))*(1+(mason_bonus*TblConstr[[#This Row],[Tot Mas]]/TblConstr[[#This Row],[Land (2)]]))</f>
        <v>0</v>
      </c>
      <c r="AA16" s="340" t="n">
        <f aca="false">harbor_towers_cap*(1-EXP(-TblImps[[#This Row],[Σ Towers]]/(towers_param*(OFFSET(TblImps[[#This Row],[Land]],1,0)-OFFSET(TblExplore[[#This Row],[Land Bonus]],1,0)*20)+15000)))*(1+(mason_bonus*TblConstr[[#This Row],[Tot Mas]]/TblConstr[[#This Row],[Land (2)]]))</f>
        <v>0</v>
      </c>
      <c r="AB16" s="340" t="n">
        <f aca="false">walls_forges_cap*(1-EXP(-TblImps[[#This Row],[Σ Forges]]/(walls_forges_param*(OFFSET(TblImps[[#This Row],[Land]],1,0)-OFFSET(TblExplore[[#This Row],[Land Bonus]],1,0)*20)+15000)))*(1+(mason_bonus*TblConstr[[#This Row],[Tot Mas]]/TblConstr[[#This Row],[Land (2)]]))</f>
        <v>0</v>
      </c>
      <c r="AC16" s="340" t="n">
        <f aca="false">walls_forges_cap*(1-EXP(-TblImps[[#This Row],[Σ Walls]]/(walls_forges_param*(OFFSET(TblImps[[#This Row],[Land]],1,0)-OFFSET(TblExplore[[#This Row],[Land Bonus]],1,0)*20)+15000)))*(1+(mason_bonus*TblConstr[[#This Row],[Tot Mas]]/TblConstr[[#This Row],[Land (2)]]))</f>
        <v>0</v>
      </c>
      <c r="AD16" s="340" t="n">
        <f aca="false">harbor_towers_cap*(1-EXP(-TblImps[[#This Row],[Σ Irrigation]]/(harbor_towers_param*(OFFSET(TblImps[[#This Row],[Land]],1,0)-OFFSET(TblExplore[[#This Row],[Land Bonus]],1,0)*20)+15000)))*(1+(mason_bonus*TblConstr[[#This Row],[Tot Mas]]/TblConstr[[#This Row],[Land (2)]]))</f>
        <v>0</v>
      </c>
      <c r="AE16" s="132"/>
      <c r="AF16" s="33" t="n">
        <f aca="false">(1+Overview!$I$28)*SUM(TblImps[[#This Row],[P2]:[G2]])+OFFSET(TblImps[[#This Row],[Σ Science]],-1,0)</f>
        <v>0</v>
      </c>
      <c r="AG16" s="33" t="n">
        <f aca="false">(1+Overview!$I$28)*SUM(TblImps[[#This Row],[P3]:[G3]])+OFFSET(TblImps[[#This Row],[Σ Keep]],-1,0)</f>
        <v>0</v>
      </c>
      <c r="AH16" s="33" t="n">
        <f aca="false">(1+Overview!$I$28 + tech_7_1*TblTech[[#This Row],[7-1]])*SUM(TblImps[[#This Row],[P4]:[G4]])+OFFSET(TblImps[[#This Row],[Σ Towers]],-1,0)</f>
        <v>0</v>
      </c>
      <c r="AI16" s="33" t="n">
        <f aca="false">(1+Overview!$I$28)*SUM(TblImps[[#This Row],[P5]:[G5]])+OFFSET(TblImps[[#This Row],[Σ Forges]],-1,0)</f>
        <v>0</v>
      </c>
      <c r="AJ16" s="33" t="n">
        <f aca="false">(1+Overview!$I$28)*SUM(TblImps[[#This Row],[P6]:[G6]])+OFFSET(TblImps[[#This Row],[Σ Walls]],-1,0)</f>
        <v>0</v>
      </c>
      <c r="AK16" s="33" t="n">
        <f aca="false">(1+Overview!$I$28 + tech_7_1*TblTech[[#This Row],[7-1]])*SUM(TblImps[[#This Row],[P7]:[G7]])+OFFSET(TblImps[[#This Row],[Σ Irrigation]],-1,0)</f>
        <v>0</v>
      </c>
      <c r="AL16" s="132"/>
      <c r="AM16" s="26" t="n">
        <f aca="false">IF(AND(TblImps[[#This Row],[Resource]]=AM$2,TblImps[[#This Row],[Part]]&lt;&gt;""),TblImps[[#This Row],[Amount]]) + IF(AND(TblImps[[#This Row],[Resource 2]]=AM$2,TblImps[[#This Row],[Part 2]]&lt;&gt;""),TblImps[[#This Row],[Amount 2]]) + IF(AND(TblImps[[#This Row],[Resource 3]]=AM$2,TblImps[[#This Row],[Part 3]]&lt;&gt;""),TblImps[[#This Row],[Amount 3]])</f>
        <v>0</v>
      </c>
      <c r="AN16" s="26" t="n">
        <f aca="false">IF(AND(TblImps[[#This Row],[Resource]]=AN$2,TblImps[[#This Row],[Part]]&lt;&gt;""),TblImps[[#This Row],[Amount]]) + IF(AND(TblImps[[#This Row],[Resource 2]]=AN$2,TblImps[[#This Row],[Part 2]]&lt;&gt;""),TblImps[[#This Row],[Amount 2]]) + IF(AND(TblImps[[#This Row],[Resource 3]]=AN$2,TblImps[[#This Row],[Part 3]]&lt;&gt;""),TblImps[[#This Row],[Amount 3]])</f>
        <v>0</v>
      </c>
      <c r="AO16" s="26" t="n">
        <f aca="false">IF(AND(TblImps[[#This Row],[Resource]]=AO$2,TblImps[[#This Row],[Part]]&lt;&gt;""),TblImps[[#This Row],[Amount]]) + IF(AND(TblImps[[#This Row],[Resource 2]]=AO$2,TblImps[[#This Row],[Part 2]]&lt;&gt;""),TblImps[[#This Row],[Amount 2]]) + IF(AND(TblImps[[#This Row],[Resource 3]]=AO$2,TblImps[[#This Row],[Part 3]]&lt;&gt;""),TblImps[[#This Row],[Amount 3]])</f>
        <v>0</v>
      </c>
      <c r="AP16" s="26" t="n">
        <f aca="false">IF(AND(TblImps[[#This Row],[Resource]]=AP$2,TblImps[[#This Row],[Part]]&lt;&gt;""),TblImps[[#This Row],[Amount]]) + IF(AND(TblImps[[#This Row],[Resource 2]]=AP$2,TblImps[[#This Row],[Part 2]]&lt;&gt;""),TblImps[[#This Row],[Amount 2]]) + IF(AND(TblImps[[#This Row],[Resource 3]]=AP$2,TblImps[[#This Row],[Part 3]]&lt;&gt;""),TblImps[[#This Row],[Amount 3]])</f>
        <v>0</v>
      </c>
      <c r="AQ16" s="132"/>
      <c r="AR1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32"/>
      <c r="AW1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32"/>
      <c r="BB1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32"/>
      <c r="BG1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32"/>
      <c r="BL1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32"/>
      <c r="BQ1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32"/>
      <c r="BV16"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6" s="33" t="n">
        <f aca="false">TblImps[[#This Row],[Login]]</f>
        <v>1</v>
      </c>
      <c r="BX16" s="128"/>
      <c r="BY16" s="347" t="n">
        <f aca="false">OFFSET(TblImps[[#This Row],[Real time]],-1,0)+1/24</f>
        <v>45430.25</v>
      </c>
      <c r="BZ16" s="348" t="n">
        <f aca="false">OFFSET(TblImps[[#This Row],[Servertime]],-1,0)+1/24</f>
        <v>45430.5</v>
      </c>
      <c r="CA16" s="26"/>
      <c r="CB16" s="346"/>
      <c r="CC16" s="346"/>
    </row>
    <row r="17" customFormat="false" ht="12.75" hidden="false" customHeight="false" outlineLevel="0" collapsed="false">
      <c r="A17" s="181" t="n">
        <f aca="false">TblConstr[[#This Row],[Land]]</f>
        <v>250</v>
      </c>
      <c r="B17" s="132"/>
      <c r="C17" s="69" t="n">
        <f aca="false">TblProd[[#This Row],[Platinum]]</f>
        <v>35376</v>
      </c>
      <c r="D17" s="69" t="n">
        <f aca="false">TblProd[[#This Row],[Lumber]]</f>
        <v>907</v>
      </c>
      <c r="E17" s="69" t="n">
        <f aca="false">TblProd[[#This Row],[Ore]]</f>
        <v>0</v>
      </c>
      <c r="F17" s="69" t="n">
        <f aca="false">TblProd[[#This Row],[Gems]]</f>
        <v>0</v>
      </c>
      <c r="G17" s="146"/>
      <c r="H17" s="69" t="n">
        <f aca="false">TblMili[[#This Row],[Draftees]]</f>
        <v>375</v>
      </c>
      <c r="I17" s="130" t="n">
        <f aca="false">TblPop[[#This Row],[Employment]]</f>
        <v>1</v>
      </c>
      <c r="J17" s="130" t="n">
        <f aca="false">TblPop[[#This Row],[Total]]/TblPop[[#This Row],[Net max]]</f>
        <v>0.535678889990089</v>
      </c>
      <c r="K17" s="336" t="n">
        <f aca="false">TblRezone[[#This Row],[Hour]]</f>
        <v>14</v>
      </c>
      <c r="L17" s="337" t="n">
        <f aca="false">TblImps[[#This Row],[Real time]]</f>
        <v>45430.2916666667</v>
      </c>
      <c r="M17" s="33" t="n">
        <f aca="false">IF(ISERROR(TblImps[[#This Row],[algorithm]]),0,TblImps[[#This Row],[algorithm]]*1)</f>
        <v>1</v>
      </c>
      <c r="N17" s="69" t="n">
        <f aca="false">TblImps[[#This Row],[Land]]</f>
        <v>250</v>
      </c>
      <c r="O17" s="338" t="s">
        <v>97</v>
      </c>
      <c r="P17" s="339"/>
      <c r="Q17" s="338" t="s">
        <v>734</v>
      </c>
      <c r="R17" s="338" t="s">
        <v>93</v>
      </c>
      <c r="S17" s="339"/>
      <c r="T17" s="338" t="s">
        <v>734</v>
      </c>
      <c r="U17" s="338" t="s">
        <v>35</v>
      </c>
      <c r="V17" s="339"/>
      <c r="W17" s="338" t="s">
        <v>734</v>
      </c>
      <c r="X17" s="132"/>
      <c r="Y17" s="340" t="n">
        <f aca="false">science_cap*(1-EXP(-TblImps[[#This Row],[Σ Science]]/(science_param*(OFFSET(TblImps[[#This Row],[Land]],1,0)-OFFSET(TblExplore[[#This Row],[Land Bonus]],1,0)*20)+15000)))*(1+(mason_bonus*TblConstr[[#This Row],[Tot Mas]]/TblConstr[[#This Row],[Land (2)]]))</f>
        <v>0</v>
      </c>
      <c r="Z17" s="340" t="n">
        <f aca="false">keep_cap*(1-EXP(-TblImps[[#This Row],[Σ Keep]]/(keep_param*(OFFSET(TblImps[[#This Row],[Land]],1,0)-OFFSET(TblExplore[[#This Row],[Land Bonus]],1,0)*20)+15000)))*(1+(mason_bonus*TblConstr[[#This Row],[Tot Mas]]/TblConstr[[#This Row],[Land (2)]]))</f>
        <v>0</v>
      </c>
      <c r="AA17" s="340" t="n">
        <f aca="false">harbor_towers_cap*(1-EXP(-TblImps[[#This Row],[Σ Towers]]/(towers_param*(OFFSET(TblImps[[#This Row],[Land]],1,0)-OFFSET(TblExplore[[#This Row],[Land Bonus]],1,0)*20)+15000)))*(1+(mason_bonus*TblConstr[[#This Row],[Tot Mas]]/TblConstr[[#This Row],[Land (2)]]))</f>
        <v>0</v>
      </c>
      <c r="AB17" s="340" t="n">
        <f aca="false">walls_forges_cap*(1-EXP(-TblImps[[#This Row],[Σ Forges]]/(walls_forges_param*(OFFSET(TblImps[[#This Row],[Land]],1,0)-OFFSET(TblExplore[[#This Row],[Land Bonus]],1,0)*20)+15000)))*(1+(mason_bonus*TblConstr[[#This Row],[Tot Mas]]/TblConstr[[#This Row],[Land (2)]]))</f>
        <v>0</v>
      </c>
      <c r="AC17" s="340" t="n">
        <f aca="false">walls_forges_cap*(1-EXP(-TblImps[[#This Row],[Σ Walls]]/(walls_forges_param*(OFFSET(TblImps[[#This Row],[Land]],1,0)-OFFSET(TblExplore[[#This Row],[Land Bonus]],1,0)*20)+15000)))*(1+(mason_bonus*TblConstr[[#This Row],[Tot Mas]]/TblConstr[[#This Row],[Land (2)]]))</f>
        <v>0</v>
      </c>
      <c r="AD17" s="340" t="n">
        <f aca="false">harbor_towers_cap*(1-EXP(-TblImps[[#This Row],[Σ Irrigation]]/(harbor_towers_param*(OFFSET(TblImps[[#This Row],[Land]],1,0)-OFFSET(TblExplore[[#This Row],[Land Bonus]],1,0)*20)+15000)))*(1+(mason_bonus*TblConstr[[#This Row],[Tot Mas]]/TblConstr[[#This Row],[Land (2)]]))</f>
        <v>0</v>
      </c>
      <c r="AE17" s="132"/>
      <c r="AF17" s="33" t="n">
        <f aca="false">(1+Overview!$I$28)*SUM(TblImps[[#This Row],[P2]:[G2]])+OFFSET(TblImps[[#This Row],[Σ Science]],-1,0)</f>
        <v>0</v>
      </c>
      <c r="AG17" s="33" t="n">
        <f aca="false">(1+Overview!$I$28)*SUM(TblImps[[#This Row],[P3]:[G3]])+OFFSET(TblImps[[#This Row],[Σ Keep]],-1,0)</f>
        <v>0</v>
      </c>
      <c r="AH17" s="33" t="n">
        <f aca="false">(1+Overview!$I$28 + tech_7_1*TblTech[[#This Row],[7-1]])*SUM(TblImps[[#This Row],[P4]:[G4]])+OFFSET(TblImps[[#This Row],[Σ Towers]],-1,0)</f>
        <v>0</v>
      </c>
      <c r="AI17" s="33" t="n">
        <f aca="false">(1+Overview!$I$28)*SUM(TblImps[[#This Row],[P5]:[G5]])+OFFSET(TblImps[[#This Row],[Σ Forges]],-1,0)</f>
        <v>0</v>
      </c>
      <c r="AJ17" s="33" t="n">
        <f aca="false">(1+Overview!$I$28)*SUM(TblImps[[#This Row],[P6]:[G6]])+OFFSET(TblImps[[#This Row],[Σ Walls]],-1,0)</f>
        <v>0</v>
      </c>
      <c r="AK17" s="33" t="n">
        <f aca="false">(1+Overview!$I$28 + tech_7_1*TblTech[[#This Row],[7-1]])*SUM(TblImps[[#This Row],[P7]:[G7]])+OFFSET(TblImps[[#This Row],[Σ Irrigation]],-1,0)</f>
        <v>0</v>
      </c>
      <c r="AL17" s="132"/>
      <c r="AM17" s="26" t="n">
        <f aca="false">IF(AND(TblImps[[#This Row],[Resource]]=AM$2,TblImps[[#This Row],[Part]]&lt;&gt;""),TblImps[[#This Row],[Amount]]) + IF(AND(TblImps[[#This Row],[Resource 2]]=AM$2,TblImps[[#This Row],[Part 2]]&lt;&gt;""),TblImps[[#This Row],[Amount 2]]) + IF(AND(TblImps[[#This Row],[Resource 3]]=AM$2,TblImps[[#This Row],[Part 3]]&lt;&gt;""),TblImps[[#This Row],[Amount 3]])</f>
        <v>0</v>
      </c>
      <c r="AN17" s="26" t="n">
        <f aca="false">IF(AND(TblImps[[#This Row],[Resource]]=AN$2,TblImps[[#This Row],[Part]]&lt;&gt;""),TblImps[[#This Row],[Amount]]) + IF(AND(TblImps[[#This Row],[Resource 2]]=AN$2,TblImps[[#This Row],[Part 2]]&lt;&gt;""),TblImps[[#This Row],[Amount 2]]) + IF(AND(TblImps[[#This Row],[Resource 3]]=AN$2,TblImps[[#This Row],[Part 3]]&lt;&gt;""),TblImps[[#This Row],[Amount 3]])</f>
        <v>0</v>
      </c>
      <c r="AO17" s="26" t="n">
        <f aca="false">IF(AND(TblImps[[#This Row],[Resource]]=AO$2,TblImps[[#This Row],[Part]]&lt;&gt;""),TblImps[[#This Row],[Amount]]) + IF(AND(TblImps[[#This Row],[Resource 2]]=AO$2,TblImps[[#This Row],[Part 2]]&lt;&gt;""),TblImps[[#This Row],[Amount 2]]) + IF(AND(TblImps[[#This Row],[Resource 3]]=AO$2,TblImps[[#This Row],[Part 3]]&lt;&gt;""),TblImps[[#This Row],[Amount 3]])</f>
        <v>0</v>
      </c>
      <c r="AP17" s="26" t="n">
        <f aca="false">IF(AND(TblImps[[#This Row],[Resource]]=AP$2,TblImps[[#This Row],[Part]]&lt;&gt;""),TblImps[[#This Row],[Amount]]) + IF(AND(TblImps[[#This Row],[Resource 2]]=AP$2,TblImps[[#This Row],[Part 2]]&lt;&gt;""),TblImps[[#This Row],[Amount 2]]) + IF(AND(TblImps[[#This Row],[Resource 3]]=AP$2,TblImps[[#This Row],[Part 3]]&lt;&gt;""),TblImps[[#This Row],[Amount 3]])</f>
        <v>0</v>
      </c>
      <c r="AQ17" s="132"/>
      <c r="AR1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32"/>
      <c r="AW1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32"/>
      <c r="BB1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32"/>
      <c r="BG1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32"/>
      <c r="BL1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32"/>
      <c r="BQ1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32"/>
      <c r="BV17"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7" s="33" t="n">
        <f aca="false">TblImps[[#This Row],[Login]]</f>
        <v>1</v>
      </c>
      <c r="BX17" s="128"/>
      <c r="BY17" s="347" t="n">
        <f aca="false">OFFSET(TblImps[[#This Row],[Real time]],-1,0)+1/24</f>
        <v>45430.2916666667</v>
      </c>
      <c r="BZ17" s="348" t="n">
        <f aca="false">OFFSET(TblImps[[#This Row],[Servertime]],-1,0)+1/24</f>
        <v>45430.5416666667</v>
      </c>
      <c r="CA17" s="26"/>
      <c r="CB17" s="346"/>
      <c r="CC17" s="346"/>
      <c r="CD17" s="153"/>
    </row>
    <row r="18" customFormat="false" ht="12.75" hidden="false" customHeight="false" outlineLevel="0" collapsed="false">
      <c r="A18" s="181" t="n">
        <f aca="false">TblConstr[[#This Row],[Land]]</f>
        <v>250</v>
      </c>
      <c r="B18" s="132"/>
      <c r="C18" s="69" t="n">
        <f aca="false">TblProd[[#This Row],[Platinum]]</f>
        <v>43350</v>
      </c>
      <c r="D18" s="69" t="n">
        <f aca="false">TblProd[[#This Row],[Lumber]]</f>
        <v>1798</v>
      </c>
      <c r="E18" s="69" t="n">
        <f aca="false">TblProd[[#This Row],[Ore]]</f>
        <v>0</v>
      </c>
      <c r="F18" s="69" t="n">
        <f aca="false">TblProd[[#This Row],[Gems]]</f>
        <v>0</v>
      </c>
      <c r="G18" s="146"/>
      <c r="H18" s="69" t="n">
        <f aca="false">TblMili[[#This Row],[Draftees]]</f>
        <v>393</v>
      </c>
      <c r="I18" s="130" t="n">
        <f aca="false">TblPop[[#This Row],[Employment]]</f>
        <v>1</v>
      </c>
      <c r="J18" s="130" t="n">
        <f aca="false">TblPop[[#This Row],[Total]]/TblPop[[#This Row],[Net max]]</f>
        <v>0.5701189296333</v>
      </c>
      <c r="K18" s="336" t="n">
        <f aca="false">TblRezone[[#This Row],[Hour]]</f>
        <v>15</v>
      </c>
      <c r="L18" s="337" t="n">
        <f aca="false">TblImps[[#This Row],[Real time]]</f>
        <v>45430.3333333333</v>
      </c>
      <c r="M18" s="33" t="n">
        <f aca="false">IF(ISERROR(TblImps[[#This Row],[algorithm]]),0,TblImps[[#This Row],[algorithm]]*1)</f>
        <v>0</v>
      </c>
      <c r="N18" s="69" t="n">
        <f aca="false">TblImps[[#This Row],[Land]]</f>
        <v>250</v>
      </c>
      <c r="O18" s="338" t="s">
        <v>97</v>
      </c>
      <c r="P18" s="339"/>
      <c r="Q18" s="338" t="s">
        <v>734</v>
      </c>
      <c r="R18" s="338" t="s">
        <v>93</v>
      </c>
      <c r="S18" s="339"/>
      <c r="T18" s="338" t="s">
        <v>734</v>
      </c>
      <c r="U18" s="338" t="s">
        <v>35</v>
      </c>
      <c r="V18" s="339"/>
      <c r="W18" s="338" t="s">
        <v>734</v>
      </c>
      <c r="X18" s="132"/>
      <c r="Y18" s="340" t="n">
        <f aca="false">science_cap*(1-EXP(-TblImps[[#This Row],[Σ Science]]/(science_param*(OFFSET(TblImps[[#This Row],[Land]],1,0)-OFFSET(TblExplore[[#This Row],[Land Bonus]],1,0)*20)+15000)))*(1+(mason_bonus*TblConstr[[#This Row],[Tot Mas]]/TblConstr[[#This Row],[Land (2)]]))</f>
        <v>0</v>
      </c>
      <c r="Z18" s="340" t="n">
        <f aca="false">keep_cap*(1-EXP(-TblImps[[#This Row],[Σ Keep]]/(keep_param*(OFFSET(TblImps[[#This Row],[Land]],1,0)-OFFSET(TblExplore[[#This Row],[Land Bonus]],1,0)*20)+15000)))*(1+(mason_bonus*TblConstr[[#This Row],[Tot Mas]]/TblConstr[[#This Row],[Land (2)]]))</f>
        <v>0</v>
      </c>
      <c r="AA18" s="340" t="n">
        <f aca="false">harbor_towers_cap*(1-EXP(-TblImps[[#This Row],[Σ Towers]]/(towers_param*(OFFSET(TblImps[[#This Row],[Land]],1,0)-OFFSET(TblExplore[[#This Row],[Land Bonus]],1,0)*20)+15000)))*(1+(mason_bonus*TblConstr[[#This Row],[Tot Mas]]/TblConstr[[#This Row],[Land (2)]]))</f>
        <v>0</v>
      </c>
      <c r="AB18" s="340" t="n">
        <f aca="false">walls_forges_cap*(1-EXP(-TblImps[[#This Row],[Σ Forges]]/(walls_forges_param*(OFFSET(TblImps[[#This Row],[Land]],1,0)-OFFSET(TblExplore[[#This Row],[Land Bonus]],1,0)*20)+15000)))*(1+(mason_bonus*TblConstr[[#This Row],[Tot Mas]]/TblConstr[[#This Row],[Land (2)]]))</f>
        <v>0</v>
      </c>
      <c r="AC18" s="340" t="n">
        <f aca="false">walls_forges_cap*(1-EXP(-TblImps[[#This Row],[Σ Walls]]/(walls_forges_param*(OFFSET(TblImps[[#This Row],[Land]],1,0)-OFFSET(TblExplore[[#This Row],[Land Bonus]],1,0)*20)+15000)))*(1+(mason_bonus*TblConstr[[#This Row],[Tot Mas]]/TblConstr[[#This Row],[Land (2)]]))</f>
        <v>0</v>
      </c>
      <c r="AD18" s="340" t="n">
        <f aca="false">harbor_towers_cap*(1-EXP(-TblImps[[#This Row],[Σ Irrigation]]/(harbor_towers_param*(OFFSET(TblImps[[#This Row],[Land]],1,0)-OFFSET(TblExplore[[#This Row],[Land Bonus]],1,0)*20)+15000)))*(1+(mason_bonus*TblConstr[[#This Row],[Tot Mas]]/TblConstr[[#This Row],[Land (2)]]))</f>
        <v>0</v>
      </c>
      <c r="AE18" s="132"/>
      <c r="AF18" s="33" t="n">
        <f aca="false">(1+Overview!$I$28)*SUM(TblImps[[#This Row],[P2]:[G2]])+OFFSET(TblImps[[#This Row],[Σ Science]],-1,0)</f>
        <v>0</v>
      </c>
      <c r="AG18" s="33" t="n">
        <f aca="false">(1+Overview!$I$28)*SUM(TblImps[[#This Row],[P3]:[G3]])+OFFSET(TblImps[[#This Row],[Σ Keep]],-1,0)</f>
        <v>0</v>
      </c>
      <c r="AH18" s="33" t="n">
        <f aca="false">(1+Overview!$I$28 + tech_7_1*TblTech[[#This Row],[7-1]])*SUM(TblImps[[#This Row],[P4]:[G4]])+OFFSET(TblImps[[#This Row],[Σ Towers]],-1,0)</f>
        <v>0</v>
      </c>
      <c r="AI18" s="33" t="n">
        <f aca="false">(1+Overview!$I$28)*SUM(TblImps[[#This Row],[P5]:[G5]])+OFFSET(TblImps[[#This Row],[Σ Forges]],-1,0)</f>
        <v>0</v>
      </c>
      <c r="AJ18" s="33" t="n">
        <f aca="false">(1+Overview!$I$28)*SUM(TblImps[[#This Row],[P6]:[G6]])+OFFSET(TblImps[[#This Row],[Σ Walls]],-1,0)</f>
        <v>0</v>
      </c>
      <c r="AK18" s="33" t="n">
        <f aca="false">(1+Overview!$I$28 + tech_7_1*TblTech[[#This Row],[7-1]])*SUM(TblImps[[#This Row],[P7]:[G7]])+OFFSET(TblImps[[#This Row],[Σ Irrigation]],-1,0)</f>
        <v>0</v>
      </c>
      <c r="AL18" s="132"/>
      <c r="AM18" s="26" t="n">
        <f aca="false">IF(AND(TblImps[[#This Row],[Resource]]=AM$2,TblImps[[#This Row],[Part]]&lt;&gt;""),TblImps[[#This Row],[Amount]]) + IF(AND(TblImps[[#This Row],[Resource 2]]=AM$2,TblImps[[#This Row],[Part 2]]&lt;&gt;""),TblImps[[#This Row],[Amount 2]]) + IF(AND(TblImps[[#This Row],[Resource 3]]=AM$2,TblImps[[#This Row],[Part 3]]&lt;&gt;""),TblImps[[#This Row],[Amount 3]])</f>
        <v>0</v>
      </c>
      <c r="AN18" s="26" t="n">
        <f aca="false">IF(AND(TblImps[[#This Row],[Resource]]=AN$2,TblImps[[#This Row],[Part]]&lt;&gt;""),TblImps[[#This Row],[Amount]]) + IF(AND(TblImps[[#This Row],[Resource 2]]=AN$2,TblImps[[#This Row],[Part 2]]&lt;&gt;""),TblImps[[#This Row],[Amount 2]]) + IF(AND(TblImps[[#This Row],[Resource 3]]=AN$2,TblImps[[#This Row],[Part 3]]&lt;&gt;""),TblImps[[#This Row],[Amount 3]])</f>
        <v>0</v>
      </c>
      <c r="AO18" s="26" t="n">
        <f aca="false">IF(AND(TblImps[[#This Row],[Resource]]=AO$2,TblImps[[#This Row],[Part]]&lt;&gt;""),TblImps[[#This Row],[Amount]]) + IF(AND(TblImps[[#This Row],[Resource 2]]=AO$2,TblImps[[#This Row],[Part 2]]&lt;&gt;""),TblImps[[#This Row],[Amount 2]]) + IF(AND(TblImps[[#This Row],[Resource 3]]=AO$2,TblImps[[#This Row],[Part 3]]&lt;&gt;""),TblImps[[#This Row],[Amount 3]])</f>
        <v>0</v>
      </c>
      <c r="AP18" s="26" t="n">
        <f aca="false">IF(AND(TblImps[[#This Row],[Resource]]=AP$2,TblImps[[#This Row],[Part]]&lt;&gt;""),TblImps[[#This Row],[Amount]]) + IF(AND(TblImps[[#This Row],[Resource 2]]=AP$2,TblImps[[#This Row],[Part 2]]&lt;&gt;""),TblImps[[#This Row],[Amount 2]]) + IF(AND(TblImps[[#This Row],[Resource 3]]=AP$2,TblImps[[#This Row],[Part 3]]&lt;&gt;""),TblImps[[#This Row],[Amount 3]])</f>
        <v>0</v>
      </c>
      <c r="AQ18" s="132"/>
      <c r="AR1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32"/>
      <c r="AW1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32"/>
      <c r="BB1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32"/>
      <c r="BG1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32"/>
      <c r="BL1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32"/>
      <c r="BQ1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32"/>
      <c r="BV18"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33" t="n">
        <f aca="false">TblImps[[#This Row],[Login]]</f>
        <v>0</v>
      </c>
      <c r="BX18" s="128"/>
      <c r="BY18" s="347" t="n">
        <f aca="false">OFFSET(TblImps[[#This Row],[Real time]],-1,0)+1/24</f>
        <v>45430.3333333333</v>
      </c>
      <c r="BZ18" s="348" t="n">
        <f aca="false">OFFSET(TblImps[[#This Row],[Servertime]],-1,0)+1/24</f>
        <v>45430.5833333333</v>
      </c>
      <c r="CA18" s="351"/>
      <c r="CB18" s="346"/>
      <c r="CC18" s="346"/>
      <c r="CF18" s="349"/>
    </row>
    <row r="19" customFormat="false" ht="12.75" hidden="false" customHeight="false" outlineLevel="0" collapsed="false">
      <c r="A19" s="181" t="n">
        <f aca="false">TblConstr[[#This Row],[Land]]</f>
        <v>250</v>
      </c>
      <c r="B19" s="132"/>
      <c r="C19" s="69" t="n">
        <f aca="false">TblProd[[#This Row],[Platinum]]</f>
        <v>51651</v>
      </c>
      <c r="D19" s="69" t="n">
        <f aca="false">TblProd[[#This Row],[Lumber]]</f>
        <v>2680</v>
      </c>
      <c r="E19" s="69" t="n">
        <f aca="false">TblProd[[#This Row],[Ore]]</f>
        <v>0</v>
      </c>
      <c r="F19" s="69" t="n">
        <f aca="false">TblProd[[#This Row],[Gems]]</f>
        <v>0</v>
      </c>
      <c r="G19" s="146"/>
      <c r="H19" s="69" t="n">
        <f aca="false">TblMili[[#This Row],[Draftees]]</f>
        <v>412</v>
      </c>
      <c r="I19" s="130" t="n">
        <f aca="false">TblPop[[#This Row],[Employment]]</f>
        <v>1</v>
      </c>
      <c r="J19" s="130" t="n">
        <f aca="false">TblPop[[#This Row],[Total]]/TblPop[[#This Row],[Net max]]</f>
        <v>0.607036669970268</v>
      </c>
      <c r="K19" s="336" t="n">
        <f aca="false">TblRezone[[#This Row],[Hour]]</f>
        <v>16</v>
      </c>
      <c r="L19" s="337" t="n">
        <f aca="false">TblImps[[#This Row],[Real time]]</f>
        <v>45430.375</v>
      </c>
      <c r="M19" s="33" t="n">
        <f aca="false">IF(ISERROR(TblImps[[#This Row],[algorithm]]),0,TblImps[[#This Row],[algorithm]]*1)</f>
        <v>1</v>
      </c>
      <c r="N19" s="69" t="n">
        <f aca="false">TblImps[[#This Row],[Land]]</f>
        <v>250</v>
      </c>
      <c r="O19" s="338" t="s">
        <v>97</v>
      </c>
      <c r="P19" s="339"/>
      <c r="Q19" s="338" t="s">
        <v>734</v>
      </c>
      <c r="R19" s="338" t="s">
        <v>93</v>
      </c>
      <c r="S19" s="339"/>
      <c r="T19" s="338" t="s">
        <v>734</v>
      </c>
      <c r="U19" s="338" t="s">
        <v>35</v>
      </c>
      <c r="V19" s="339"/>
      <c r="W19" s="338" t="s">
        <v>734</v>
      </c>
      <c r="X19" s="132"/>
      <c r="Y19" s="340" t="n">
        <f aca="false">science_cap*(1-EXP(-TblImps[[#This Row],[Σ Science]]/(science_param*(OFFSET(TblImps[[#This Row],[Land]],1,0)-OFFSET(TblExplore[[#This Row],[Land Bonus]],1,0)*20)+15000)))*(1+(mason_bonus*TblConstr[[#This Row],[Tot Mas]]/TblConstr[[#This Row],[Land (2)]]))</f>
        <v>0</v>
      </c>
      <c r="Z19" s="340" t="n">
        <f aca="false">keep_cap*(1-EXP(-TblImps[[#This Row],[Σ Keep]]/(keep_param*(OFFSET(TblImps[[#This Row],[Land]],1,0)-OFFSET(TblExplore[[#This Row],[Land Bonus]],1,0)*20)+15000)))*(1+(mason_bonus*TblConstr[[#This Row],[Tot Mas]]/TblConstr[[#This Row],[Land (2)]]))</f>
        <v>0</v>
      </c>
      <c r="AA19" s="340" t="n">
        <f aca="false">harbor_towers_cap*(1-EXP(-TblImps[[#This Row],[Σ Towers]]/(towers_param*(OFFSET(TblImps[[#This Row],[Land]],1,0)-OFFSET(TblExplore[[#This Row],[Land Bonus]],1,0)*20)+15000)))*(1+(mason_bonus*TblConstr[[#This Row],[Tot Mas]]/TblConstr[[#This Row],[Land (2)]]))</f>
        <v>0</v>
      </c>
      <c r="AB19" s="340" t="n">
        <f aca="false">walls_forges_cap*(1-EXP(-TblImps[[#This Row],[Σ Forges]]/(walls_forges_param*(OFFSET(TblImps[[#This Row],[Land]],1,0)-OFFSET(TblExplore[[#This Row],[Land Bonus]],1,0)*20)+15000)))*(1+(mason_bonus*TblConstr[[#This Row],[Tot Mas]]/TblConstr[[#This Row],[Land (2)]]))</f>
        <v>0</v>
      </c>
      <c r="AC19" s="340" t="n">
        <f aca="false">walls_forges_cap*(1-EXP(-TblImps[[#This Row],[Σ Walls]]/(walls_forges_param*(OFFSET(TblImps[[#This Row],[Land]],1,0)-OFFSET(TblExplore[[#This Row],[Land Bonus]],1,0)*20)+15000)))*(1+(mason_bonus*TblConstr[[#This Row],[Tot Mas]]/TblConstr[[#This Row],[Land (2)]]))</f>
        <v>0</v>
      </c>
      <c r="AD19" s="340" t="n">
        <f aca="false">harbor_towers_cap*(1-EXP(-TblImps[[#This Row],[Σ Irrigation]]/(harbor_towers_param*(OFFSET(TblImps[[#This Row],[Land]],1,0)-OFFSET(TblExplore[[#This Row],[Land Bonus]],1,0)*20)+15000)))*(1+(mason_bonus*TblConstr[[#This Row],[Tot Mas]]/TblConstr[[#This Row],[Land (2)]]))</f>
        <v>0</v>
      </c>
      <c r="AE19" s="132"/>
      <c r="AF19" s="33" t="n">
        <f aca="false">(1+Overview!$I$28)*SUM(TblImps[[#This Row],[P2]:[G2]])+OFFSET(TblImps[[#This Row],[Σ Science]],-1,0)</f>
        <v>0</v>
      </c>
      <c r="AG19" s="33" t="n">
        <f aca="false">(1+Overview!$I$28)*SUM(TblImps[[#This Row],[P3]:[G3]])+OFFSET(TblImps[[#This Row],[Σ Keep]],-1,0)</f>
        <v>0</v>
      </c>
      <c r="AH19" s="33" t="n">
        <f aca="false">(1+Overview!$I$28 + tech_7_1*TblTech[[#This Row],[7-1]])*SUM(TblImps[[#This Row],[P4]:[G4]])+OFFSET(TblImps[[#This Row],[Σ Towers]],-1,0)</f>
        <v>0</v>
      </c>
      <c r="AI19" s="33" t="n">
        <f aca="false">(1+Overview!$I$28)*SUM(TblImps[[#This Row],[P5]:[G5]])+OFFSET(TblImps[[#This Row],[Σ Forges]],-1,0)</f>
        <v>0</v>
      </c>
      <c r="AJ19" s="33" t="n">
        <f aca="false">(1+Overview!$I$28)*SUM(TblImps[[#This Row],[P6]:[G6]])+OFFSET(TblImps[[#This Row],[Σ Walls]],-1,0)</f>
        <v>0</v>
      </c>
      <c r="AK19" s="33" t="n">
        <f aca="false">(1+Overview!$I$28 + tech_7_1*TblTech[[#This Row],[7-1]])*SUM(TblImps[[#This Row],[P7]:[G7]])+OFFSET(TblImps[[#This Row],[Σ Irrigation]],-1,0)</f>
        <v>0</v>
      </c>
      <c r="AL19" s="132"/>
      <c r="AM19" s="26" t="n">
        <f aca="false">IF(AND(TblImps[[#This Row],[Resource]]=AM$2,TblImps[[#This Row],[Part]]&lt;&gt;""),TblImps[[#This Row],[Amount]]) + IF(AND(TblImps[[#This Row],[Resource 2]]=AM$2,TblImps[[#This Row],[Part 2]]&lt;&gt;""),TblImps[[#This Row],[Amount 2]]) + IF(AND(TblImps[[#This Row],[Resource 3]]=AM$2,TblImps[[#This Row],[Part 3]]&lt;&gt;""),TblImps[[#This Row],[Amount 3]])</f>
        <v>0</v>
      </c>
      <c r="AN19" s="26" t="n">
        <f aca="false">IF(AND(TblImps[[#This Row],[Resource]]=AN$2,TblImps[[#This Row],[Part]]&lt;&gt;""),TblImps[[#This Row],[Amount]]) + IF(AND(TblImps[[#This Row],[Resource 2]]=AN$2,TblImps[[#This Row],[Part 2]]&lt;&gt;""),TblImps[[#This Row],[Amount 2]]) + IF(AND(TblImps[[#This Row],[Resource 3]]=AN$2,TblImps[[#This Row],[Part 3]]&lt;&gt;""),TblImps[[#This Row],[Amount 3]])</f>
        <v>0</v>
      </c>
      <c r="AO19" s="26" t="n">
        <f aca="false">IF(AND(TblImps[[#This Row],[Resource]]=AO$2,TblImps[[#This Row],[Part]]&lt;&gt;""),TblImps[[#This Row],[Amount]]) + IF(AND(TblImps[[#This Row],[Resource 2]]=AO$2,TblImps[[#This Row],[Part 2]]&lt;&gt;""),TblImps[[#This Row],[Amount 2]]) + IF(AND(TblImps[[#This Row],[Resource 3]]=AO$2,TblImps[[#This Row],[Part 3]]&lt;&gt;""),TblImps[[#This Row],[Amount 3]])</f>
        <v>0</v>
      </c>
      <c r="AP19" s="26" t="n">
        <f aca="false">IF(AND(TblImps[[#This Row],[Resource]]=AP$2,TblImps[[#This Row],[Part]]&lt;&gt;""),TblImps[[#This Row],[Amount]]) + IF(AND(TblImps[[#This Row],[Resource 2]]=AP$2,TblImps[[#This Row],[Part 2]]&lt;&gt;""),TblImps[[#This Row],[Amount 2]]) + IF(AND(TblImps[[#This Row],[Resource 3]]=AP$2,TblImps[[#This Row],[Part 3]]&lt;&gt;""),TblImps[[#This Row],[Amount 3]])</f>
        <v>0</v>
      </c>
      <c r="AQ19" s="132"/>
      <c r="AR1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32"/>
      <c r="AW1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32"/>
      <c r="BB1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32"/>
      <c r="BG1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32"/>
      <c r="BL1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32"/>
      <c r="BQ1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32"/>
      <c r="BV19"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9" s="33" t="n">
        <f aca="false">TblImps[[#This Row],[Login]]</f>
        <v>1</v>
      </c>
      <c r="BX19" s="128"/>
      <c r="BY19" s="347" t="n">
        <f aca="false">OFFSET(TblImps[[#This Row],[Real time]],-1,0)+1/24</f>
        <v>45430.375</v>
      </c>
      <c r="BZ19" s="348" t="n">
        <f aca="false">OFFSET(TblImps[[#This Row],[Servertime]],-1,0)+1/24</f>
        <v>45430.625</v>
      </c>
      <c r="CA19" s="26"/>
      <c r="CB19" s="346"/>
      <c r="CC19" s="346"/>
      <c r="CF19" s="350"/>
    </row>
    <row r="20" customFormat="false" ht="12.75" hidden="false" customHeight="false" outlineLevel="0" collapsed="false">
      <c r="A20" s="181" t="n">
        <f aca="false">TblConstr[[#This Row],[Land]]</f>
        <v>250</v>
      </c>
      <c r="B20" s="132"/>
      <c r="C20" s="69" t="n">
        <f aca="false">TblProd[[#This Row],[Platinum]]</f>
        <v>61168</v>
      </c>
      <c r="D20" s="69" t="n">
        <f aca="false">TblProd[[#This Row],[Lumber]]</f>
        <v>3553</v>
      </c>
      <c r="E20" s="69" t="n">
        <f aca="false">TblProd[[#This Row],[Ore]]</f>
        <v>0</v>
      </c>
      <c r="F20" s="69" t="n">
        <f aca="false">TblProd[[#This Row],[Gems]]</f>
        <v>0</v>
      </c>
      <c r="G20" s="146"/>
      <c r="H20" s="69" t="n">
        <f aca="false">TblMili[[#This Row],[Draftees]]</f>
        <v>432</v>
      </c>
      <c r="I20" s="130" t="n">
        <f aca="false">TblPop[[#This Row],[Employment]]</f>
        <v>1</v>
      </c>
      <c r="J20" s="130" t="n">
        <f aca="false">TblPop[[#This Row],[Total]]/TblPop[[#This Row],[Net max]]</f>
        <v>0.646432111000991</v>
      </c>
      <c r="K20" s="336" t="n">
        <f aca="false">TblRezone[[#This Row],[Hour]]</f>
        <v>17</v>
      </c>
      <c r="L20" s="337" t="n">
        <f aca="false">TblImps[[#This Row],[Real time]]</f>
        <v>45430.4166666667</v>
      </c>
      <c r="M20" s="33" t="n">
        <f aca="false">IF(ISERROR(TblImps[[#This Row],[algorithm]]),0,TblImps[[#This Row],[algorithm]]*1)</f>
        <v>0</v>
      </c>
      <c r="N20" s="69" t="n">
        <f aca="false">TblImps[[#This Row],[Land]]</f>
        <v>250</v>
      </c>
      <c r="O20" s="338" t="s">
        <v>97</v>
      </c>
      <c r="P20" s="339"/>
      <c r="Q20" s="338" t="s">
        <v>734</v>
      </c>
      <c r="R20" s="338" t="s">
        <v>93</v>
      </c>
      <c r="S20" s="339"/>
      <c r="T20" s="338" t="s">
        <v>734</v>
      </c>
      <c r="U20" s="338" t="s">
        <v>35</v>
      </c>
      <c r="V20" s="339"/>
      <c r="W20" s="338" t="s">
        <v>734</v>
      </c>
      <c r="X20" s="132"/>
      <c r="Y20" s="340" t="n">
        <f aca="false">science_cap*(1-EXP(-TblImps[[#This Row],[Σ Science]]/(science_param*(OFFSET(TblImps[[#This Row],[Land]],1,0)-OFFSET(TblExplore[[#This Row],[Land Bonus]],1,0)*20)+15000)))*(1+(mason_bonus*TblConstr[[#This Row],[Tot Mas]]/TblConstr[[#This Row],[Land (2)]]))</f>
        <v>0</v>
      </c>
      <c r="Z20" s="340" t="n">
        <f aca="false">keep_cap*(1-EXP(-TblImps[[#This Row],[Σ Keep]]/(keep_param*(OFFSET(TblImps[[#This Row],[Land]],1,0)-OFFSET(TblExplore[[#This Row],[Land Bonus]],1,0)*20)+15000)))*(1+(mason_bonus*TblConstr[[#This Row],[Tot Mas]]/TblConstr[[#This Row],[Land (2)]]))</f>
        <v>0</v>
      </c>
      <c r="AA20" s="340" t="n">
        <f aca="false">harbor_towers_cap*(1-EXP(-TblImps[[#This Row],[Σ Towers]]/(towers_param*(OFFSET(TblImps[[#This Row],[Land]],1,0)-OFFSET(TblExplore[[#This Row],[Land Bonus]],1,0)*20)+15000)))*(1+(mason_bonus*TblConstr[[#This Row],[Tot Mas]]/TblConstr[[#This Row],[Land (2)]]))</f>
        <v>0</v>
      </c>
      <c r="AB20" s="340" t="n">
        <f aca="false">walls_forges_cap*(1-EXP(-TblImps[[#This Row],[Σ Forges]]/(walls_forges_param*(OFFSET(TblImps[[#This Row],[Land]],1,0)-OFFSET(TblExplore[[#This Row],[Land Bonus]],1,0)*20)+15000)))*(1+(mason_bonus*TblConstr[[#This Row],[Tot Mas]]/TblConstr[[#This Row],[Land (2)]]))</f>
        <v>0</v>
      </c>
      <c r="AC20" s="340" t="n">
        <f aca="false">walls_forges_cap*(1-EXP(-TblImps[[#This Row],[Σ Walls]]/(walls_forges_param*(OFFSET(TblImps[[#This Row],[Land]],1,0)-OFFSET(TblExplore[[#This Row],[Land Bonus]],1,0)*20)+15000)))*(1+(mason_bonus*TblConstr[[#This Row],[Tot Mas]]/TblConstr[[#This Row],[Land (2)]]))</f>
        <v>0</v>
      </c>
      <c r="AD20" s="340" t="n">
        <f aca="false">harbor_towers_cap*(1-EXP(-TblImps[[#This Row],[Σ Irrigation]]/(harbor_towers_param*(OFFSET(TblImps[[#This Row],[Land]],1,0)-OFFSET(TblExplore[[#This Row],[Land Bonus]],1,0)*20)+15000)))*(1+(mason_bonus*TblConstr[[#This Row],[Tot Mas]]/TblConstr[[#This Row],[Land (2)]]))</f>
        <v>0</v>
      </c>
      <c r="AE20" s="132"/>
      <c r="AF20" s="33" t="n">
        <f aca="false">(1+Overview!$I$28)*SUM(TblImps[[#This Row],[P2]:[G2]])+OFFSET(TblImps[[#This Row],[Σ Science]],-1,0)</f>
        <v>0</v>
      </c>
      <c r="AG20" s="33" t="n">
        <f aca="false">(1+Overview!$I$28)*SUM(TblImps[[#This Row],[P3]:[G3]])+OFFSET(TblImps[[#This Row],[Σ Keep]],-1,0)</f>
        <v>0</v>
      </c>
      <c r="AH20" s="33" t="n">
        <f aca="false">(1+Overview!$I$28 + tech_7_1*TblTech[[#This Row],[7-1]])*SUM(TblImps[[#This Row],[P4]:[G4]])+OFFSET(TblImps[[#This Row],[Σ Towers]],-1,0)</f>
        <v>0</v>
      </c>
      <c r="AI20" s="33" t="n">
        <f aca="false">(1+Overview!$I$28)*SUM(TblImps[[#This Row],[P5]:[G5]])+OFFSET(TblImps[[#This Row],[Σ Forges]],-1,0)</f>
        <v>0</v>
      </c>
      <c r="AJ20" s="33" t="n">
        <f aca="false">(1+Overview!$I$28)*SUM(TblImps[[#This Row],[P6]:[G6]])+OFFSET(TblImps[[#This Row],[Σ Walls]],-1,0)</f>
        <v>0</v>
      </c>
      <c r="AK20" s="33" t="n">
        <f aca="false">(1+Overview!$I$28 + tech_7_1*TblTech[[#This Row],[7-1]])*SUM(TblImps[[#This Row],[P7]:[G7]])+OFFSET(TblImps[[#This Row],[Σ Irrigation]],-1,0)</f>
        <v>0</v>
      </c>
      <c r="AL20" s="132"/>
      <c r="AM20" s="26" t="n">
        <f aca="false">IF(AND(TblImps[[#This Row],[Resource]]=AM$2,TblImps[[#This Row],[Part]]&lt;&gt;""),TblImps[[#This Row],[Amount]]) + IF(AND(TblImps[[#This Row],[Resource 2]]=AM$2,TblImps[[#This Row],[Part 2]]&lt;&gt;""),TblImps[[#This Row],[Amount 2]]) + IF(AND(TblImps[[#This Row],[Resource 3]]=AM$2,TblImps[[#This Row],[Part 3]]&lt;&gt;""),TblImps[[#This Row],[Amount 3]])</f>
        <v>0</v>
      </c>
      <c r="AN20" s="26" t="n">
        <f aca="false">IF(AND(TblImps[[#This Row],[Resource]]=AN$2,TblImps[[#This Row],[Part]]&lt;&gt;""),TblImps[[#This Row],[Amount]]) + IF(AND(TblImps[[#This Row],[Resource 2]]=AN$2,TblImps[[#This Row],[Part 2]]&lt;&gt;""),TblImps[[#This Row],[Amount 2]]) + IF(AND(TblImps[[#This Row],[Resource 3]]=AN$2,TblImps[[#This Row],[Part 3]]&lt;&gt;""),TblImps[[#This Row],[Amount 3]])</f>
        <v>0</v>
      </c>
      <c r="AO20" s="26" t="n">
        <f aca="false">IF(AND(TblImps[[#This Row],[Resource]]=AO$2,TblImps[[#This Row],[Part]]&lt;&gt;""),TblImps[[#This Row],[Amount]]) + IF(AND(TblImps[[#This Row],[Resource 2]]=AO$2,TblImps[[#This Row],[Part 2]]&lt;&gt;""),TblImps[[#This Row],[Amount 2]]) + IF(AND(TblImps[[#This Row],[Resource 3]]=AO$2,TblImps[[#This Row],[Part 3]]&lt;&gt;""),TblImps[[#This Row],[Amount 3]])</f>
        <v>0</v>
      </c>
      <c r="AP20" s="26" t="n">
        <f aca="false">IF(AND(TblImps[[#This Row],[Resource]]=AP$2,TblImps[[#This Row],[Part]]&lt;&gt;""),TblImps[[#This Row],[Amount]]) + IF(AND(TblImps[[#This Row],[Resource 2]]=AP$2,TblImps[[#This Row],[Part 2]]&lt;&gt;""),TblImps[[#This Row],[Amount 2]]) + IF(AND(TblImps[[#This Row],[Resource 3]]=AP$2,TblImps[[#This Row],[Part 3]]&lt;&gt;""),TblImps[[#This Row],[Amount 3]])</f>
        <v>0</v>
      </c>
      <c r="AQ20" s="132"/>
      <c r="AR2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32"/>
      <c r="AW2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32"/>
      <c r="BB2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32"/>
      <c r="BG2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32"/>
      <c r="BL2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32"/>
      <c r="BQ2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32"/>
      <c r="BV20"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33" t="n">
        <f aca="false">TblImps[[#This Row],[Login]]</f>
        <v>0</v>
      </c>
      <c r="BX20" s="128"/>
      <c r="BY20" s="347" t="n">
        <f aca="false">OFFSET(TblImps[[#This Row],[Real time]],-1,0)+1/24</f>
        <v>45430.4166666667</v>
      </c>
      <c r="BZ20" s="348" t="n">
        <f aca="false">OFFSET(TblImps[[#This Row],[Servertime]],-1,0)+1/24</f>
        <v>45430.6666666667</v>
      </c>
      <c r="CA20" s="26"/>
      <c r="CB20" s="346"/>
      <c r="CC20" s="346"/>
      <c r="CF20" s="349"/>
    </row>
    <row r="21" customFormat="false" ht="12.75" hidden="false" customHeight="false" outlineLevel="0" collapsed="false">
      <c r="A21" s="181" t="n">
        <f aca="false">TblConstr[[#This Row],[Land]]</f>
        <v>274</v>
      </c>
      <c r="B21" s="132"/>
      <c r="C21" s="69" t="n">
        <f aca="false">TblProd[[#This Row],[Platinum]]</f>
        <v>980</v>
      </c>
      <c r="D21" s="69" t="n">
        <f aca="false">TblProd[[#This Row],[Lumber]]</f>
        <v>3289</v>
      </c>
      <c r="E21" s="69" t="n">
        <f aca="false">TblProd[[#This Row],[Ore]]</f>
        <v>0</v>
      </c>
      <c r="F21" s="69" t="n">
        <f aca="false">TblProd[[#This Row],[Gems]]</f>
        <v>0</v>
      </c>
      <c r="G21" s="146"/>
      <c r="H21" s="69" t="n">
        <f aca="false">TblMili[[#This Row],[Draftees]]</f>
        <v>174</v>
      </c>
      <c r="I21" s="130" t="n">
        <f aca="false">TblPop[[#This Row],[Employment]]</f>
        <v>1</v>
      </c>
      <c r="J21" s="130" t="n">
        <f aca="false">TblPop[[#This Row],[Total]]/TblPop[[#This Row],[Net max]]</f>
        <v>0.598559423769508</v>
      </c>
      <c r="K21" s="336" t="n">
        <f aca="false">TblRezone[[#This Row],[Hour]]</f>
        <v>18</v>
      </c>
      <c r="L21" s="337" t="n">
        <f aca="false">TblImps[[#This Row],[Real time]]</f>
        <v>45430.4583333333</v>
      </c>
      <c r="M21" s="33" t="n">
        <f aca="false">IF(ISERROR(TblImps[[#This Row],[algorithm]]),0,TblImps[[#This Row],[algorithm]]*1)</f>
        <v>1</v>
      </c>
      <c r="N21" s="69" t="n">
        <f aca="false">TblImps[[#This Row],[Land]]</f>
        <v>274</v>
      </c>
      <c r="O21" s="338" t="s">
        <v>97</v>
      </c>
      <c r="P21" s="339"/>
      <c r="Q21" s="338" t="s">
        <v>734</v>
      </c>
      <c r="R21" s="338" t="s">
        <v>93</v>
      </c>
      <c r="S21" s="339"/>
      <c r="T21" s="338" t="s">
        <v>734</v>
      </c>
      <c r="U21" s="338" t="s">
        <v>35</v>
      </c>
      <c r="V21" s="339"/>
      <c r="W21" s="338" t="s">
        <v>734</v>
      </c>
      <c r="X21" s="132"/>
      <c r="Y21" s="340" t="n">
        <f aca="false">science_cap*(1-EXP(-TblImps[[#This Row],[Σ Science]]/(science_param*(OFFSET(TblImps[[#This Row],[Land]],1,0)-OFFSET(TblExplore[[#This Row],[Land Bonus]],1,0)*20)+15000)))*(1+(mason_bonus*TblConstr[[#This Row],[Tot Mas]]/TblConstr[[#This Row],[Land (2)]]))</f>
        <v>0</v>
      </c>
      <c r="Z21" s="340" t="n">
        <f aca="false">keep_cap*(1-EXP(-TblImps[[#This Row],[Σ Keep]]/(keep_param*(OFFSET(TblImps[[#This Row],[Land]],1,0)-OFFSET(TblExplore[[#This Row],[Land Bonus]],1,0)*20)+15000)))*(1+(mason_bonus*TblConstr[[#This Row],[Tot Mas]]/TblConstr[[#This Row],[Land (2)]]))</f>
        <v>0</v>
      </c>
      <c r="AA21" s="340" t="n">
        <f aca="false">harbor_towers_cap*(1-EXP(-TblImps[[#This Row],[Σ Towers]]/(towers_param*(OFFSET(TblImps[[#This Row],[Land]],1,0)-OFFSET(TblExplore[[#This Row],[Land Bonus]],1,0)*20)+15000)))*(1+(mason_bonus*TblConstr[[#This Row],[Tot Mas]]/TblConstr[[#This Row],[Land (2)]]))</f>
        <v>0</v>
      </c>
      <c r="AB21" s="340" t="n">
        <f aca="false">walls_forges_cap*(1-EXP(-TblImps[[#This Row],[Σ Forges]]/(walls_forges_param*(OFFSET(TblImps[[#This Row],[Land]],1,0)-OFFSET(TblExplore[[#This Row],[Land Bonus]],1,0)*20)+15000)))*(1+(mason_bonus*TblConstr[[#This Row],[Tot Mas]]/TblConstr[[#This Row],[Land (2)]]))</f>
        <v>0</v>
      </c>
      <c r="AC21" s="340" t="n">
        <f aca="false">walls_forges_cap*(1-EXP(-TblImps[[#This Row],[Σ Walls]]/(walls_forges_param*(OFFSET(TblImps[[#This Row],[Land]],1,0)-OFFSET(TblExplore[[#This Row],[Land Bonus]],1,0)*20)+15000)))*(1+(mason_bonus*TblConstr[[#This Row],[Tot Mas]]/TblConstr[[#This Row],[Land (2)]]))</f>
        <v>0</v>
      </c>
      <c r="AD21" s="340" t="n">
        <f aca="false">harbor_towers_cap*(1-EXP(-TblImps[[#This Row],[Σ Irrigation]]/(harbor_towers_param*(OFFSET(TblImps[[#This Row],[Land]],1,0)-OFFSET(TblExplore[[#This Row],[Land Bonus]],1,0)*20)+15000)))*(1+(mason_bonus*TblConstr[[#This Row],[Tot Mas]]/TblConstr[[#This Row],[Land (2)]]))</f>
        <v>0</v>
      </c>
      <c r="AE21" s="132"/>
      <c r="AF21" s="33" t="n">
        <f aca="false">(1+Overview!$I$28)*SUM(TblImps[[#This Row],[P2]:[G2]])+OFFSET(TblImps[[#This Row],[Σ Science]],-1,0)</f>
        <v>0</v>
      </c>
      <c r="AG21" s="33" t="n">
        <f aca="false">(1+Overview!$I$28)*SUM(TblImps[[#This Row],[P3]:[G3]])+OFFSET(TblImps[[#This Row],[Σ Keep]],-1,0)</f>
        <v>0</v>
      </c>
      <c r="AH21" s="33" t="n">
        <f aca="false">(1+Overview!$I$28 + tech_7_1*TblTech[[#This Row],[7-1]])*SUM(TblImps[[#This Row],[P4]:[G4]])+OFFSET(TblImps[[#This Row],[Σ Towers]],-1,0)</f>
        <v>0</v>
      </c>
      <c r="AI21" s="33" t="n">
        <f aca="false">(1+Overview!$I$28)*SUM(TblImps[[#This Row],[P5]:[G5]])+OFFSET(TblImps[[#This Row],[Σ Forges]],-1,0)</f>
        <v>0</v>
      </c>
      <c r="AJ21" s="33" t="n">
        <f aca="false">(1+Overview!$I$28)*SUM(TblImps[[#This Row],[P6]:[G6]])+OFFSET(TblImps[[#This Row],[Σ Walls]],-1,0)</f>
        <v>0</v>
      </c>
      <c r="AK21" s="33" t="n">
        <f aca="false">(1+Overview!$I$28 + tech_7_1*TblTech[[#This Row],[7-1]])*SUM(TblImps[[#This Row],[P7]:[G7]])+OFFSET(TblImps[[#This Row],[Σ Irrigation]],-1,0)</f>
        <v>0</v>
      </c>
      <c r="AL21" s="132"/>
      <c r="AM21" s="26" t="n">
        <f aca="false">IF(AND(TblImps[[#This Row],[Resource]]=AM$2,TblImps[[#This Row],[Part]]&lt;&gt;""),TblImps[[#This Row],[Amount]]) + IF(AND(TblImps[[#This Row],[Resource 2]]=AM$2,TblImps[[#This Row],[Part 2]]&lt;&gt;""),TblImps[[#This Row],[Amount 2]]) + IF(AND(TblImps[[#This Row],[Resource 3]]=AM$2,TblImps[[#This Row],[Part 3]]&lt;&gt;""),TblImps[[#This Row],[Amount 3]])</f>
        <v>0</v>
      </c>
      <c r="AN21" s="26" t="n">
        <f aca="false">IF(AND(TblImps[[#This Row],[Resource]]=AN$2,TblImps[[#This Row],[Part]]&lt;&gt;""),TblImps[[#This Row],[Amount]]) + IF(AND(TblImps[[#This Row],[Resource 2]]=AN$2,TblImps[[#This Row],[Part 2]]&lt;&gt;""),TblImps[[#This Row],[Amount 2]]) + IF(AND(TblImps[[#This Row],[Resource 3]]=AN$2,TblImps[[#This Row],[Part 3]]&lt;&gt;""),TblImps[[#This Row],[Amount 3]])</f>
        <v>0</v>
      </c>
      <c r="AO21" s="26" t="n">
        <f aca="false">IF(AND(TblImps[[#This Row],[Resource]]=AO$2,TblImps[[#This Row],[Part]]&lt;&gt;""),TblImps[[#This Row],[Amount]]) + IF(AND(TblImps[[#This Row],[Resource 2]]=AO$2,TblImps[[#This Row],[Part 2]]&lt;&gt;""),TblImps[[#This Row],[Amount 2]]) + IF(AND(TblImps[[#This Row],[Resource 3]]=AO$2,TblImps[[#This Row],[Part 3]]&lt;&gt;""),TblImps[[#This Row],[Amount 3]])</f>
        <v>0</v>
      </c>
      <c r="AP21" s="26" t="n">
        <f aca="false">IF(AND(TblImps[[#This Row],[Resource]]=AP$2,TblImps[[#This Row],[Part]]&lt;&gt;""),TblImps[[#This Row],[Amount]]) + IF(AND(TblImps[[#This Row],[Resource 2]]=AP$2,TblImps[[#This Row],[Part 2]]&lt;&gt;""),TblImps[[#This Row],[Amount 2]]) + IF(AND(TblImps[[#This Row],[Resource 3]]=AP$2,TblImps[[#This Row],[Part 3]]&lt;&gt;""),TblImps[[#This Row],[Amount 3]])</f>
        <v>0</v>
      </c>
      <c r="AQ21" s="132"/>
      <c r="AR2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32"/>
      <c r="AW2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32"/>
      <c r="BB2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32"/>
      <c r="BG2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32"/>
      <c r="BL2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32"/>
      <c r="BQ2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32"/>
      <c r="BV21"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1" s="33" t="n">
        <f aca="false">TblImps[[#This Row],[Login]]</f>
        <v>1</v>
      </c>
      <c r="BX21" s="128"/>
      <c r="BY21" s="347" t="n">
        <f aca="false">OFFSET(TblImps[[#This Row],[Real time]],-1,0)+1/24</f>
        <v>45430.4583333333</v>
      </c>
      <c r="BZ21" s="348" t="n">
        <f aca="false">OFFSET(TblImps[[#This Row],[Servertime]],-1,0)+1/24</f>
        <v>45430.7083333333</v>
      </c>
      <c r="CA21" s="26"/>
      <c r="CB21" s="346"/>
      <c r="CC21" s="346"/>
      <c r="CF21" s="349"/>
    </row>
    <row r="22" customFormat="false" ht="12.75" hidden="false" customHeight="false" outlineLevel="0" collapsed="false">
      <c r="A22" s="181" t="n">
        <f aca="false">TblConstr[[#This Row],[Land]]</f>
        <v>275</v>
      </c>
      <c r="B22" s="132"/>
      <c r="C22" s="69" t="n">
        <f aca="false">TblProd[[#This Row],[Platinum]]</f>
        <v>1245</v>
      </c>
      <c r="D22" s="69" t="n">
        <f aca="false">TblProd[[#This Row],[Lumber]]</f>
        <v>4109</v>
      </c>
      <c r="E22" s="69" t="n">
        <f aca="false">TblProd[[#This Row],[Ore]]</f>
        <v>0</v>
      </c>
      <c r="F22" s="69" t="n">
        <f aca="false">TblProd[[#This Row],[Gems]]</f>
        <v>0</v>
      </c>
      <c r="G22" s="146"/>
      <c r="H22" s="69" t="n">
        <f aca="false">TblMili[[#This Row],[Draftees]]</f>
        <v>153</v>
      </c>
      <c r="I22" s="130" t="n">
        <f aca="false">TblPop[[#This Row],[Employment]]</f>
        <v>1</v>
      </c>
      <c r="J22" s="130" t="n">
        <f aca="false">TblPop[[#This Row],[Total]]/TblPop[[#This Row],[Net max]]</f>
        <v>0.592233009708738</v>
      </c>
      <c r="K22" s="336" t="n">
        <f aca="false">TblRezone[[#This Row],[Hour]]</f>
        <v>19</v>
      </c>
      <c r="L22" s="337" t="n">
        <f aca="false">TblImps[[#This Row],[Real time]]</f>
        <v>45430.5</v>
      </c>
      <c r="M22" s="33" t="n">
        <f aca="false">IF(ISERROR(TblImps[[#This Row],[algorithm]]),0,TblImps[[#This Row],[algorithm]]*1)</f>
        <v>1</v>
      </c>
      <c r="N22" s="69" t="n">
        <f aca="false">TblImps[[#This Row],[Land]]</f>
        <v>275</v>
      </c>
      <c r="O22" s="338" t="s">
        <v>97</v>
      </c>
      <c r="P22" s="339"/>
      <c r="Q22" s="338" t="s">
        <v>734</v>
      </c>
      <c r="R22" s="338" t="s">
        <v>93</v>
      </c>
      <c r="S22" s="339"/>
      <c r="T22" s="338" t="s">
        <v>734</v>
      </c>
      <c r="U22" s="338" t="s">
        <v>35</v>
      </c>
      <c r="V22" s="339"/>
      <c r="W22" s="338" t="s">
        <v>734</v>
      </c>
      <c r="X22" s="132"/>
      <c r="Y22" s="340" t="n">
        <f aca="false">science_cap*(1-EXP(-TblImps[[#This Row],[Σ Science]]/(science_param*(OFFSET(TblImps[[#This Row],[Land]],1,0)-OFFSET(TblExplore[[#This Row],[Land Bonus]],1,0)*20)+15000)))*(1+(mason_bonus*TblConstr[[#This Row],[Tot Mas]]/TblConstr[[#This Row],[Land (2)]]))</f>
        <v>0</v>
      </c>
      <c r="Z22" s="340" t="n">
        <f aca="false">keep_cap*(1-EXP(-TblImps[[#This Row],[Σ Keep]]/(keep_param*(OFFSET(TblImps[[#This Row],[Land]],1,0)-OFFSET(TblExplore[[#This Row],[Land Bonus]],1,0)*20)+15000)))*(1+(mason_bonus*TblConstr[[#This Row],[Tot Mas]]/TblConstr[[#This Row],[Land (2)]]))</f>
        <v>0</v>
      </c>
      <c r="AA22" s="340" t="n">
        <f aca="false">harbor_towers_cap*(1-EXP(-TblImps[[#This Row],[Σ Towers]]/(towers_param*(OFFSET(TblImps[[#This Row],[Land]],1,0)-OFFSET(TblExplore[[#This Row],[Land Bonus]],1,0)*20)+15000)))*(1+(mason_bonus*TblConstr[[#This Row],[Tot Mas]]/TblConstr[[#This Row],[Land (2)]]))</f>
        <v>0</v>
      </c>
      <c r="AB22" s="340" t="n">
        <f aca="false">walls_forges_cap*(1-EXP(-TblImps[[#This Row],[Σ Forges]]/(walls_forges_param*(OFFSET(TblImps[[#This Row],[Land]],1,0)-OFFSET(TblExplore[[#This Row],[Land Bonus]],1,0)*20)+15000)))*(1+(mason_bonus*TblConstr[[#This Row],[Tot Mas]]/TblConstr[[#This Row],[Land (2)]]))</f>
        <v>0</v>
      </c>
      <c r="AC22" s="340" t="n">
        <f aca="false">walls_forges_cap*(1-EXP(-TblImps[[#This Row],[Σ Walls]]/(walls_forges_param*(OFFSET(TblImps[[#This Row],[Land]],1,0)-OFFSET(TblExplore[[#This Row],[Land Bonus]],1,0)*20)+15000)))*(1+(mason_bonus*TblConstr[[#This Row],[Tot Mas]]/TblConstr[[#This Row],[Land (2)]]))</f>
        <v>0</v>
      </c>
      <c r="AD22" s="340" t="n">
        <f aca="false">harbor_towers_cap*(1-EXP(-TblImps[[#This Row],[Σ Irrigation]]/(harbor_towers_param*(OFFSET(TblImps[[#This Row],[Land]],1,0)-OFFSET(TblExplore[[#This Row],[Land Bonus]],1,0)*20)+15000)))*(1+(mason_bonus*TblConstr[[#This Row],[Tot Mas]]/TblConstr[[#This Row],[Land (2)]]))</f>
        <v>0</v>
      </c>
      <c r="AE22" s="132"/>
      <c r="AF22" s="33" t="n">
        <f aca="false">(1+Overview!$I$28)*SUM(TblImps[[#This Row],[P2]:[G2]])+OFFSET(TblImps[[#This Row],[Σ Science]],-1,0)</f>
        <v>0</v>
      </c>
      <c r="AG22" s="33" t="n">
        <f aca="false">(1+Overview!$I$28)*SUM(TblImps[[#This Row],[P3]:[G3]])+OFFSET(TblImps[[#This Row],[Σ Keep]],-1,0)</f>
        <v>0</v>
      </c>
      <c r="AH22" s="33" t="n">
        <f aca="false">(1+Overview!$I$28 + tech_7_1*TblTech[[#This Row],[7-1]])*SUM(TblImps[[#This Row],[P4]:[G4]])+OFFSET(TblImps[[#This Row],[Σ Towers]],-1,0)</f>
        <v>0</v>
      </c>
      <c r="AI22" s="33" t="n">
        <f aca="false">(1+Overview!$I$28)*SUM(TblImps[[#This Row],[P5]:[G5]])+OFFSET(TblImps[[#This Row],[Σ Forges]],-1,0)</f>
        <v>0</v>
      </c>
      <c r="AJ22" s="33" t="n">
        <f aca="false">(1+Overview!$I$28)*SUM(TblImps[[#This Row],[P6]:[G6]])+OFFSET(TblImps[[#This Row],[Σ Walls]],-1,0)</f>
        <v>0</v>
      </c>
      <c r="AK22" s="33" t="n">
        <f aca="false">(1+Overview!$I$28 + tech_7_1*TblTech[[#This Row],[7-1]])*SUM(TblImps[[#This Row],[P7]:[G7]])+OFFSET(TblImps[[#This Row],[Σ Irrigation]],-1,0)</f>
        <v>0</v>
      </c>
      <c r="AL22" s="132"/>
      <c r="AM22" s="26" t="n">
        <f aca="false">IF(AND(TblImps[[#This Row],[Resource]]=AM$2,TblImps[[#This Row],[Part]]&lt;&gt;""),TblImps[[#This Row],[Amount]]) + IF(AND(TblImps[[#This Row],[Resource 2]]=AM$2,TblImps[[#This Row],[Part 2]]&lt;&gt;""),TblImps[[#This Row],[Amount 2]]) + IF(AND(TblImps[[#This Row],[Resource 3]]=AM$2,TblImps[[#This Row],[Part 3]]&lt;&gt;""),TblImps[[#This Row],[Amount 3]])</f>
        <v>0</v>
      </c>
      <c r="AN22" s="26" t="n">
        <f aca="false">IF(AND(TblImps[[#This Row],[Resource]]=AN$2,TblImps[[#This Row],[Part]]&lt;&gt;""),TblImps[[#This Row],[Amount]]) + IF(AND(TblImps[[#This Row],[Resource 2]]=AN$2,TblImps[[#This Row],[Part 2]]&lt;&gt;""),TblImps[[#This Row],[Amount 2]]) + IF(AND(TblImps[[#This Row],[Resource 3]]=AN$2,TblImps[[#This Row],[Part 3]]&lt;&gt;""),TblImps[[#This Row],[Amount 3]])</f>
        <v>0</v>
      </c>
      <c r="AO22" s="26" t="n">
        <f aca="false">IF(AND(TblImps[[#This Row],[Resource]]=AO$2,TblImps[[#This Row],[Part]]&lt;&gt;""),TblImps[[#This Row],[Amount]]) + IF(AND(TblImps[[#This Row],[Resource 2]]=AO$2,TblImps[[#This Row],[Part 2]]&lt;&gt;""),TblImps[[#This Row],[Amount 2]]) + IF(AND(TblImps[[#This Row],[Resource 3]]=AO$2,TblImps[[#This Row],[Part 3]]&lt;&gt;""),TblImps[[#This Row],[Amount 3]])</f>
        <v>0</v>
      </c>
      <c r="AP22" s="26" t="n">
        <f aca="false">IF(AND(TblImps[[#This Row],[Resource]]=AP$2,TblImps[[#This Row],[Part]]&lt;&gt;""),TblImps[[#This Row],[Amount]]) + IF(AND(TblImps[[#This Row],[Resource 2]]=AP$2,TblImps[[#This Row],[Part 2]]&lt;&gt;""),TblImps[[#This Row],[Amount 2]]) + IF(AND(TblImps[[#This Row],[Resource 3]]=AP$2,TblImps[[#This Row],[Part 3]]&lt;&gt;""),TblImps[[#This Row],[Amount 3]])</f>
        <v>0</v>
      </c>
      <c r="AQ22" s="132"/>
      <c r="AR2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32"/>
      <c r="AW2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32"/>
      <c r="BB2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32"/>
      <c r="BG2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32"/>
      <c r="BL2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32"/>
      <c r="BQ2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32"/>
      <c r="BV22"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2" s="33" t="n">
        <f aca="false">TblImps[[#This Row],[Login]]</f>
        <v>1</v>
      </c>
      <c r="BX22" s="128"/>
      <c r="BY22" s="347" t="n">
        <f aca="false">OFFSET(TblImps[[#This Row],[Real time]],-1,0)+1/24</f>
        <v>45430.5</v>
      </c>
      <c r="BZ22" s="348" t="n">
        <f aca="false">OFFSET(TblImps[[#This Row],[Servertime]],-1,0)+1/24</f>
        <v>45430.75</v>
      </c>
      <c r="CA22" s="26"/>
      <c r="CB22" s="346"/>
      <c r="CC22" s="346"/>
    </row>
    <row r="23" customFormat="false" ht="12.75" hidden="false" customHeight="false" outlineLevel="0" collapsed="false">
      <c r="A23" s="181" t="n">
        <f aca="false">TblConstr[[#This Row],[Land]]</f>
        <v>276</v>
      </c>
      <c r="B23" s="132"/>
      <c r="C23" s="69" t="n">
        <f aca="false">TblProd[[#This Row],[Platinum]]</f>
        <v>1024</v>
      </c>
      <c r="D23" s="69" t="n">
        <f aca="false">TblProd[[#This Row],[Lumber]]</f>
        <v>4921</v>
      </c>
      <c r="E23" s="69" t="n">
        <f aca="false">TblProd[[#This Row],[Ore]]</f>
        <v>0</v>
      </c>
      <c r="F23" s="69" t="n">
        <f aca="false">TblProd[[#This Row],[Gems]]</f>
        <v>0</v>
      </c>
      <c r="G23" s="146"/>
      <c r="H23" s="69" t="n">
        <f aca="false">TblMili[[#This Row],[Draftees]]</f>
        <v>130</v>
      </c>
      <c r="I23" s="130" t="n">
        <f aca="false">TblPop[[#This Row],[Employment]]</f>
        <v>1</v>
      </c>
      <c r="J23" s="130" t="n">
        <f aca="false">TblPop[[#This Row],[Total]]/TblPop[[#This Row],[Net max]]</f>
        <v>0.620922384701912</v>
      </c>
      <c r="K23" s="336" t="n">
        <f aca="false">TblRezone[[#This Row],[Hour]]</f>
        <v>20</v>
      </c>
      <c r="L23" s="337" t="n">
        <f aca="false">TblImps[[#This Row],[Real time]]</f>
        <v>45430.5416666667</v>
      </c>
      <c r="M23" s="33" t="n">
        <f aca="false">IF(ISERROR(TblImps[[#This Row],[algorithm]]),0,TblImps[[#This Row],[algorithm]]*1)</f>
        <v>1</v>
      </c>
      <c r="N23" s="69" t="n">
        <f aca="false">TblImps[[#This Row],[Land]]</f>
        <v>276</v>
      </c>
      <c r="O23" s="338" t="s">
        <v>97</v>
      </c>
      <c r="P23" s="339"/>
      <c r="Q23" s="338" t="s">
        <v>734</v>
      </c>
      <c r="R23" s="338" t="s">
        <v>93</v>
      </c>
      <c r="S23" s="339"/>
      <c r="T23" s="338" t="s">
        <v>734</v>
      </c>
      <c r="U23" s="338" t="s">
        <v>35</v>
      </c>
      <c r="V23" s="339"/>
      <c r="W23" s="338" t="s">
        <v>734</v>
      </c>
      <c r="X23" s="132"/>
      <c r="Y23" s="340" t="n">
        <f aca="false">science_cap*(1-EXP(-TblImps[[#This Row],[Σ Science]]/(science_param*(OFFSET(TblImps[[#This Row],[Land]],1,0)-OFFSET(TblExplore[[#This Row],[Land Bonus]],1,0)*20)+15000)))*(1+(mason_bonus*TblConstr[[#This Row],[Tot Mas]]/TblConstr[[#This Row],[Land (2)]]))</f>
        <v>0</v>
      </c>
      <c r="Z23" s="340" t="n">
        <f aca="false">keep_cap*(1-EXP(-TblImps[[#This Row],[Σ Keep]]/(keep_param*(OFFSET(TblImps[[#This Row],[Land]],1,0)-OFFSET(TblExplore[[#This Row],[Land Bonus]],1,0)*20)+15000)))*(1+(mason_bonus*TblConstr[[#This Row],[Tot Mas]]/TblConstr[[#This Row],[Land (2)]]))</f>
        <v>0</v>
      </c>
      <c r="AA23" s="340" t="n">
        <f aca="false">harbor_towers_cap*(1-EXP(-TblImps[[#This Row],[Σ Towers]]/(towers_param*(OFFSET(TblImps[[#This Row],[Land]],1,0)-OFFSET(TblExplore[[#This Row],[Land Bonus]],1,0)*20)+15000)))*(1+(mason_bonus*TblConstr[[#This Row],[Tot Mas]]/TblConstr[[#This Row],[Land (2)]]))</f>
        <v>0</v>
      </c>
      <c r="AB23" s="340" t="n">
        <f aca="false">walls_forges_cap*(1-EXP(-TblImps[[#This Row],[Σ Forges]]/(walls_forges_param*(OFFSET(TblImps[[#This Row],[Land]],1,0)-OFFSET(TblExplore[[#This Row],[Land Bonus]],1,0)*20)+15000)))*(1+(mason_bonus*TblConstr[[#This Row],[Tot Mas]]/TblConstr[[#This Row],[Land (2)]]))</f>
        <v>0</v>
      </c>
      <c r="AC23" s="340" t="n">
        <f aca="false">walls_forges_cap*(1-EXP(-TblImps[[#This Row],[Σ Walls]]/(walls_forges_param*(OFFSET(TblImps[[#This Row],[Land]],1,0)-OFFSET(TblExplore[[#This Row],[Land Bonus]],1,0)*20)+15000)))*(1+(mason_bonus*TblConstr[[#This Row],[Tot Mas]]/TblConstr[[#This Row],[Land (2)]]))</f>
        <v>0</v>
      </c>
      <c r="AD23" s="340" t="n">
        <f aca="false">harbor_towers_cap*(1-EXP(-TblImps[[#This Row],[Σ Irrigation]]/(harbor_towers_param*(OFFSET(TblImps[[#This Row],[Land]],1,0)-OFFSET(TblExplore[[#This Row],[Land Bonus]],1,0)*20)+15000)))*(1+(mason_bonus*TblConstr[[#This Row],[Tot Mas]]/TblConstr[[#This Row],[Land (2)]]))</f>
        <v>0</v>
      </c>
      <c r="AE23" s="132"/>
      <c r="AF23" s="33" t="n">
        <f aca="false">(1+Overview!$I$28)*SUM(TblImps[[#This Row],[P2]:[G2]])+OFFSET(TblImps[[#This Row],[Σ Science]],-1,0)</f>
        <v>0</v>
      </c>
      <c r="AG23" s="33" t="n">
        <f aca="false">(1+Overview!$I$28)*SUM(TblImps[[#This Row],[P3]:[G3]])+OFFSET(TblImps[[#This Row],[Σ Keep]],-1,0)</f>
        <v>0</v>
      </c>
      <c r="AH23" s="33" t="n">
        <f aca="false">(1+Overview!$I$28 + tech_7_1*TblTech[[#This Row],[7-1]])*SUM(TblImps[[#This Row],[P4]:[G4]])+OFFSET(TblImps[[#This Row],[Σ Towers]],-1,0)</f>
        <v>0</v>
      </c>
      <c r="AI23" s="33" t="n">
        <f aca="false">(1+Overview!$I$28)*SUM(TblImps[[#This Row],[P5]:[G5]])+OFFSET(TblImps[[#This Row],[Σ Forges]],-1,0)</f>
        <v>0</v>
      </c>
      <c r="AJ23" s="33" t="n">
        <f aca="false">(1+Overview!$I$28)*SUM(TblImps[[#This Row],[P6]:[G6]])+OFFSET(TblImps[[#This Row],[Σ Walls]],-1,0)</f>
        <v>0</v>
      </c>
      <c r="AK23" s="33" t="n">
        <f aca="false">(1+Overview!$I$28 + tech_7_1*TblTech[[#This Row],[7-1]])*SUM(TblImps[[#This Row],[P7]:[G7]])+OFFSET(TblImps[[#This Row],[Σ Irrigation]],-1,0)</f>
        <v>0</v>
      </c>
      <c r="AL23" s="132"/>
      <c r="AM23" s="26" t="n">
        <f aca="false">IF(AND(TblImps[[#This Row],[Resource]]=AM$2,TblImps[[#This Row],[Part]]&lt;&gt;""),TblImps[[#This Row],[Amount]]) + IF(AND(TblImps[[#This Row],[Resource 2]]=AM$2,TblImps[[#This Row],[Part 2]]&lt;&gt;""),TblImps[[#This Row],[Amount 2]]) + IF(AND(TblImps[[#This Row],[Resource 3]]=AM$2,TblImps[[#This Row],[Part 3]]&lt;&gt;""),TblImps[[#This Row],[Amount 3]])</f>
        <v>0</v>
      </c>
      <c r="AN23" s="26" t="n">
        <f aca="false">IF(AND(TblImps[[#This Row],[Resource]]=AN$2,TblImps[[#This Row],[Part]]&lt;&gt;""),TblImps[[#This Row],[Amount]]) + IF(AND(TblImps[[#This Row],[Resource 2]]=AN$2,TblImps[[#This Row],[Part 2]]&lt;&gt;""),TblImps[[#This Row],[Amount 2]]) + IF(AND(TblImps[[#This Row],[Resource 3]]=AN$2,TblImps[[#This Row],[Part 3]]&lt;&gt;""),TblImps[[#This Row],[Amount 3]])</f>
        <v>0</v>
      </c>
      <c r="AO23" s="26" t="n">
        <f aca="false">IF(AND(TblImps[[#This Row],[Resource]]=AO$2,TblImps[[#This Row],[Part]]&lt;&gt;""),TblImps[[#This Row],[Amount]]) + IF(AND(TblImps[[#This Row],[Resource 2]]=AO$2,TblImps[[#This Row],[Part 2]]&lt;&gt;""),TblImps[[#This Row],[Amount 2]]) + IF(AND(TblImps[[#This Row],[Resource 3]]=AO$2,TblImps[[#This Row],[Part 3]]&lt;&gt;""),TblImps[[#This Row],[Amount 3]])</f>
        <v>0</v>
      </c>
      <c r="AP23" s="26" t="n">
        <f aca="false">IF(AND(TblImps[[#This Row],[Resource]]=AP$2,TblImps[[#This Row],[Part]]&lt;&gt;""),TblImps[[#This Row],[Amount]]) + IF(AND(TblImps[[#This Row],[Resource 2]]=AP$2,TblImps[[#This Row],[Part 2]]&lt;&gt;""),TblImps[[#This Row],[Amount 2]]) + IF(AND(TblImps[[#This Row],[Resource 3]]=AP$2,TblImps[[#This Row],[Part 3]]&lt;&gt;""),TblImps[[#This Row],[Amount 3]])</f>
        <v>0</v>
      </c>
      <c r="AQ23" s="132"/>
      <c r="AR2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32"/>
      <c r="AW2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32"/>
      <c r="BB2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32"/>
      <c r="BG2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32"/>
      <c r="BL2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32"/>
      <c r="BQ2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32"/>
      <c r="BV23"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3" s="33" t="n">
        <f aca="false">TblImps[[#This Row],[Login]]</f>
        <v>1</v>
      </c>
      <c r="BX23" s="128"/>
      <c r="BY23" s="347" t="n">
        <f aca="false">OFFSET(TblImps[[#This Row],[Real time]],-1,0)+1/24</f>
        <v>45430.5416666667</v>
      </c>
      <c r="BZ23" s="348" t="n">
        <f aca="false">OFFSET(TblImps[[#This Row],[Servertime]],-1,0)+1/24</f>
        <v>45430.7916666667</v>
      </c>
      <c r="CA23" s="26"/>
      <c r="CB23" s="346"/>
      <c r="CC23" s="346"/>
    </row>
    <row r="24" customFormat="false" ht="12.75" hidden="false" customHeight="false" outlineLevel="0" collapsed="false">
      <c r="A24" s="181" t="n">
        <f aca="false">TblConstr[[#This Row],[Land]]</f>
        <v>277</v>
      </c>
      <c r="B24" s="132"/>
      <c r="C24" s="69" t="n">
        <f aca="false">TblProd[[#This Row],[Platinum]]</f>
        <v>1231</v>
      </c>
      <c r="D24" s="69" t="n">
        <f aca="false">TblProd[[#This Row],[Lumber]]</f>
        <v>5725</v>
      </c>
      <c r="E24" s="69" t="n">
        <f aca="false">TblProd[[#This Row],[Ore]]</f>
        <v>0</v>
      </c>
      <c r="F24" s="69" t="n">
        <f aca="false">TblProd[[#This Row],[Gems]]</f>
        <v>0</v>
      </c>
      <c r="G24" s="146"/>
      <c r="H24" s="69" t="n">
        <f aca="false">TblMili[[#This Row],[Draftees]]</f>
        <v>108</v>
      </c>
      <c r="I24" s="130" t="n">
        <f aca="false">TblPop[[#This Row],[Employment]]</f>
        <v>1</v>
      </c>
      <c r="J24" s="130" t="n">
        <f aca="false">TblPop[[#This Row],[Total]]/TblPop[[#This Row],[Net max]]</f>
        <v>0.652095942613764</v>
      </c>
      <c r="K24" s="336" t="n">
        <f aca="false">TblRezone[[#This Row],[Hour]]</f>
        <v>21</v>
      </c>
      <c r="L24" s="337" t="n">
        <f aca="false">TblImps[[#This Row],[Real time]]</f>
        <v>45430.5833333333</v>
      </c>
      <c r="M24" s="33" t="n">
        <f aca="false">IF(ISERROR(TblImps[[#This Row],[algorithm]]),0,TblImps[[#This Row],[algorithm]]*1)</f>
        <v>1</v>
      </c>
      <c r="N24" s="69" t="n">
        <f aca="false">TblImps[[#This Row],[Land]]</f>
        <v>277</v>
      </c>
      <c r="O24" s="338" t="s">
        <v>97</v>
      </c>
      <c r="P24" s="339"/>
      <c r="Q24" s="338" t="s">
        <v>734</v>
      </c>
      <c r="R24" s="338" t="s">
        <v>93</v>
      </c>
      <c r="S24" s="339"/>
      <c r="T24" s="338" t="s">
        <v>734</v>
      </c>
      <c r="U24" s="338" t="s">
        <v>35</v>
      </c>
      <c r="V24" s="339"/>
      <c r="W24" s="338" t="s">
        <v>734</v>
      </c>
      <c r="X24" s="132"/>
      <c r="Y24" s="340" t="n">
        <f aca="false">science_cap*(1-EXP(-TblImps[[#This Row],[Σ Science]]/(science_param*(OFFSET(TblImps[[#This Row],[Land]],1,0)-OFFSET(TblExplore[[#This Row],[Land Bonus]],1,0)*20)+15000)))*(1+(mason_bonus*TblConstr[[#This Row],[Tot Mas]]/TblConstr[[#This Row],[Land (2)]]))</f>
        <v>0</v>
      </c>
      <c r="Z24" s="340" t="n">
        <f aca="false">keep_cap*(1-EXP(-TblImps[[#This Row],[Σ Keep]]/(keep_param*(OFFSET(TblImps[[#This Row],[Land]],1,0)-OFFSET(TblExplore[[#This Row],[Land Bonus]],1,0)*20)+15000)))*(1+(mason_bonus*TblConstr[[#This Row],[Tot Mas]]/TblConstr[[#This Row],[Land (2)]]))</f>
        <v>0</v>
      </c>
      <c r="AA24" s="340" t="n">
        <f aca="false">harbor_towers_cap*(1-EXP(-TblImps[[#This Row],[Σ Towers]]/(towers_param*(OFFSET(TblImps[[#This Row],[Land]],1,0)-OFFSET(TblExplore[[#This Row],[Land Bonus]],1,0)*20)+15000)))*(1+(mason_bonus*TblConstr[[#This Row],[Tot Mas]]/TblConstr[[#This Row],[Land (2)]]))</f>
        <v>0</v>
      </c>
      <c r="AB24" s="340" t="n">
        <f aca="false">walls_forges_cap*(1-EXP(-TblImps[[#This Row],[Σ Forges]]/(walls_forges_param*(OFFSET(TblImps[[#This Row],[Land]],1,0)-OFFSET(TblExplore[[#This Row],[Land Bonus]],1,0)*20)+15000)))*(1+(mason_bonus*TblConstr[[#This Row],[Tot Mas]]/TblConstr[[#This Row],[Land (2)]]))</f>
        <v>0</v>
      </c>
      <c r="AC24" s="340" t="n">
        <f aca="false">walls_forges_cap*(1-EXP(-TblImps[[#This Row],[Σ Walls]]/(walls_forges_param*(OFFSET(TblImps[[#This Row],[Land]],1,0)-OFFSET(TblExplore[[#This Row],[Land Bonus]],1,0)*20)+15000)))*(1+(mason_bonus*TblConstr[[#This Row],[Tot Mas]]/TblConstr[[#This Row],[Land (2)]]))</f>
        <v>0</v>
      </c>
      <c r="AD24" s="340" t="n">
        <f aca="false">harbor_towers_cap*(1-EXP(-TblImps[[#This Row],[Σ Irrigation]]/(harbor_towers_param*(OFFSET(TblImps[[#This Row],[Land]],1,0)-OFFSET(TblExplore[[#This Row],[Land Bonus]],1,0)*20)+15000)))*(1+(mason_bonus*TblConstr[[#This Row],[Tot Mas]]/TblConstr[[#This Row],[Land (2)]]))</f>
        <v>0</v>
      </c>
      <c r="AE24" s="132"/>
      <c r="AF24" s="33" t="n">
        <f aca="false">(1+Overview!$I$28)*SUM(TblImps[[#This Row],[P2]:[G2]])+OFFSET(TblImps[[#This Row],[Σ Science]],-1,0)</f>
        <v>0</v>
      </c>
      <c r="AG24" s="33" t="n">
        <f aca="false">(1+Overview!$I$28)*SUM(TblImps[[#This Row],[P3]:[G3]])+OFFSET(TblImps[[#This Row],[Σ Keep]],-1,0)</f>
        <v>0</v>
      </c>
      <c r="AH24" s="33" t="n">
        <f aca="false">(1+Overview!$I$28 + tech_7_1*TblTech[[#This Row],[7-1]])*SUM(TblImps[[#This Row],[P4]:[G4]])+OFFSET(TblImps[[#This Row],[Σ Towers]],-1,0)</f>
        <v>0</v>
      </c>
      <c r="AI24" s="33" t="n">
        <f aca="false">(1+Overview!$I$28)*SUM(TblImps[[#This Row],[P5]:[G5]])+OFFSET(TblImps[[#This Row],[Σ Forges]],-1,0)</f>
        <v>0</v>
      </c>
      <c r="AJ24" s="33" t="n">
        <f aca="false">(1+Overview!$I$28)*SUM(TblImps[[#This Row],[P6]:[G6]])+OFFSET(TblImps[[#This Row],[Σ Walls]],-1,0)</f>
        <v>0</v>
      </c>
      <c r="AK24" s="33" t="n">
        <f aca="false">(1+Overview!$I$28 + tech_7_1*TblTech[[#This Row],[7-1]])*SUM(TblImps[[#This Row],[P7]:[G7]])+OFFSET(TblImps[[#This Row],[Σ Irrigation]],-1,0)</f>
        <v>0</v>
      </c>
      <c r="AL24" s="132"/>
      <c r="AM24" s="26" t="n">
        <f aca="false">IF(AND(TblImps[[#This Row],[Resource]]=AM$2,TblImps[[#This Row],[Part]]&lt;&gt;""),TblImps[[#This Row],[Amount]]) + IF(AND(TblImps[[#This Row],[Resource 2]]=AM$2,TblImps[[#This Row],[Part 2]]&lt;&gt;""),TblImps[[#This Row],[Amount 2]]) + IF(AND(TblImps[[#This Row],[Resource 3]]=AM$2,TblImps[[#This Row],[Part 3]]&lt;&gt;""),TblImps[[#This Row],[Amount 3]])</f>
        <v>0</v>
      </c>
      <c r="AN24" s="26" t="n">
        <f aca="false">IF(AND(TblImps[[#This Row],[Resource]]=AN$2,TblImps[[#This Row],[Part]]&lt;&gt;""),TblImps[[#This Row],[Amount]]) + IF(AND(TblImps[[#This Row],[Resource 2]]=AN$2,TblImps[[#This Row],[Part 2]]&lt;&gt;""),TblImps[[#This Row],[Amount 2]]) + IF(AND(TblImps[[#This Row],[Resource 3]]=AN$2,TblImps[[#This Row],[Part 3]]&lt;&gt;""),TblImps[[#This Row],[Amount 3]])</f>
        <v>0</v>
      </c>
      <c r="AO24" s="26" t="n">
        <f aca="false">IF(AND(TblImps[[#This Row],[Resource]]=AO$2,TblImps[[#This Row],[Part]]&lt;&gt;""),TblImps[[#This Row],[Amount]]) + IF(AND(TblImps[[#This Row],[Resource 2]]=AO$2,TblImps[[#This Row],[Part 2]]&lt;&gt;""),TblImps[[#This Row],[Amount 2]]) + IF(AND(TblImps[[#This Row],[Resource 3]]=AO$2,TblImps[[#This Row],[Part 3]]&lt;&gt;""),TblImps[[#This Row],[Amount 3]])</f>
        <v>0</v>
      </c>
      <c r="AP24" s="26" t="n">
        <f aca="false">IF(AND(TblImps[[#This Row],[Resource]]=AP$2,TblImps[[#This Row],[Part]]&lt;&gt;""),TblImps[[#This Row],[Amount]]) + IF(AND(TblImps[[#This Row],[Resource 2]]=AP$2,TblImps[[#This Row],[Part 2]]&lt;&gt;""),TblImps[[#This Row],[Amount 2]]) + IF(AND(TblImps[[#This Row],[Resource 3]]=AP$2,TblImps[[#This Row],[Part 3]]&lt;&gt;""),TblImps[[#This Row],[Amount 3]])</f>
        <v>0</v>
      </c>
      <c r="AQ24" s="132"/>
      <c r="AR2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32"/>
      <c r="AW2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32"/>
      <c r="BB2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32"/>
      <c r="BG2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32"/>
      <c r="BL2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32"/>
      <c r="BQ2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32"/>
      <c r="BV24"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4" s="33" t="n">
        <f aca="false">TblImps[[#This Row],[Login]]</f>
        <v>1</v>
      </c>
      <c r="BX24" s="128"/>
      <c r="BY24" s="347" t="n">
        <f aca="false">OFFSET(TblImps[[#This Row],[Real time]],-1,0)+1/24</f>
        <v>45430.5833333333</v>
      </c>
      <c r="BZ24" s="348" t="n">
        <f aca="false">OFFSET(TblImps[[#This Row],[Servertime]],-1,0)+1/24</f>
        <v>45430.8333333333</v>
      </c>
      <c r="CA24" s="26"/>
      <c r="CB24" s="346"/>
      <c r="CC24" s="346"/>
    </row>
    <row r="25" customFormat="false" ht="12.75" hidden="false" customHeight="false" outlineLevel="0" collapsed="false">
      <c r="A25" s="181" t="n">
        <f aca="false">TblConstr[[#This Row],[Land]]</f>
        <v>278</v>
      </c>
      <c r="B25" s="132"/>
      <c r="C25" s="69" t="n">
        <f aca="false">TblProd[[#This Row],[Platinum]]</f>
        <v>9969</v>
      </c>
      <c r="D25" s="69" t="n">
        <f aca="false">TblProd[[#This Row],[Lumber]]</f>
        <v>6521</v>
      </c>
      <c r="E25" s="69" t="n">
        <f aca="false">TblProd[[#This Row],[Ore]]</f>
        <v>0</v>
      </c>
      <c r="F25" s="69" t="n">
        <f aca="false">TblProd[[#This Row],[Gems]]</f>
        <v>0</v>
      </c>
      <c r="G25" s="146"/>
      <c r="H25" s="69" t="n">
        <f aca="false">TblMili[[#This Row],[Draftees]]</f>
        <v>124</v>
      </c>
      <c r="I25" s="130" t="n">
        <f aca="false">TblPop[[#This Row],[Employment]]</f>
        <v>1</v>
      </c>
      <c r="J25" s="130" t="n">
        <f aca="false">TblPop[[#This Row],[Total]]/TblPop[[#This Row],[Net max]]</f>
        <v>0.693768148313603</v>
      </c>
      <c r="K25" s="336" t="n">
        <f aca="false">TblRezone[[#This Row],[Hour]]</f>
        <v>22</v>
      </c>
      <c r="L25" s="337" t="n">
        <f aca="false">TblImps[[#This Row],[Real time]]</f>
        <v>45430.625</v>
      </c>
      <c r="M25" s="33" t="n">
        <f aca="false">IF(ISERROR(TblImps[[#This Row],[algorithm]]),0,TblImps[[#This Row],[algorithm]]*1)</f>
        <v>1</v>
      </c>
      <c r="N25" s="69" t="n">
        <f aca="false">TblImps[[#This Row],[Land]]</f>
        <v>278</v>
      </c>
      <c r="O25" s="338" t="s">
        <v>97</v>
      </c>
      <c r="P25" s="339"/>
      <c r="Q25" s="338" t="s">
        <v>734</v>
      </c>
      <c r="R25" s="338" t="s">
        <v>93</v>
      </c>
      <c r="S25" s="339"/>
      <c r="T25" s="338" t="s">
        <v>734</v>
      </c>
      <c r="U25" s="338" t="s">
        <v>35</v>
      </c>
      <c r="V25" s="339"/>
      <c r="W25" s="338" t="s">
        <v>734</v>
      </c>
      <c r="X25" s="132"/>
      <c r="Y25" s="340" t="n">
        <f aca="false">science_cap*(1-EXP(-TblImps[[#This Row],[Σ Science]]/(science_param*(OFFSET(TblImps[[#This Row],[Land]],1,0)-OFFSET(TblExplore[[#This Row],[Land Bonus]],1,0)*20)+15000)))*(1+(mason_bonus*TblConstr[[#This Row],[Tot Mas]]/TblConstr[[#This Row],[Land (2)]]))</f>
        <v>0</v>
      </c>
      <c r="Z25" s="340" t="n">
        <f aca="false">keep_cap*(1-EXP(-TblImps[[#This Row],[Σ Keep]]/(keep_param*(OFFSET(TblImps[[#This Row],[Land]],1,0)-OFFSET(TblExplore[[#This Row],[Land Bonus]],1,0)*20)+15000)))*(1+(mason_bonus*TblConstr[[#This Row],[Tot Mas]]/TblConstr[[#This Row],[Land (2)]]))</f>
        <v>0</v>
      </c>
      <c r="AA25" s="340" t="n">
        <f aca="false">harbor_towers_cap*(1-EXP(-TblImps[[#This Row],[Σ Towers]]/(towers_param*(OFFSET(TblImps[[#This Row],[Land]],1,0)-OFFSET(TblExplore[[#This Row],[Land Bonus]],1,0)*20)+15000)))*(1+(mason_bonus*TblConstr[[#This Row],[Tot Mas]]/TblConstr[[#This Row],[Land (2)]]))</f>
        <v>0</v>
      </c>
      <c r="AB25" s="340" t="n">
        <f aca="false">walls_forges_cap*(1-EXP(-TblImps[[#This Row],[Σ Forges]]/(walls_forges_param*(OFFSET(TblImps[[#This Row],[Land]],1,0)-OFFSET(TblExplore[[#This Row],[Land Bonus]],1,0)*20)+15000)))*(1+(mason_bonus*TblConstr[[#This Row],[Tot Mas]]/TblConstr[[#This Row],[Land (2)]]))</f>
        <v>0</v>
      </c>
      <c r="AC25" s="340" t="n">
        <f aca="false">walls_forges_cap*(1-EXP(-TblImps[[#This Row],[Σ Walls]]/(walls_forges_param*(OFFSET(TblImps[[#This Row],[Land]],1,0)-OFFSET(TblExplore[[#This Row],[Land Bonus]],1,0)*20)+15000)))*(1+(mason_bonus*TblConstr[[#This Row],[Tot Mas]]/TblConstr[[#This Row],[Land (2)]]))</f>
        <v>0</v>
      </c>
      <c r="AD25" s="340" t="n">
        <f aca="false">harbor_towers_cap*(1-EXP(-TblImps[[#This Row],[Σ Irrigation]]/(harbor_towers_param*(OFFSET(TblImps[[#This Row],[Land]],1,0)-OFFSET(TblExplore[[#This Row],[Land Bonus]],1,0)*20)+15000)))*(1+(mason_bonus*TblConstr[[#This Row],[Tot Mas]]/TblConstr[[#This Row],[Land (2)]]))</f>
        <v>0</v>
      </c>
      <c r="AE25" s="132"/>
      <c r="AF25" s="33" t="n">
        <f aca="false">(1+Overview!$I$28)*SUM(TblImps[[#This Row],[P2]:[G2]])+OFFSET(TblImps[[#This Row],[Σ Science]],-1,0)</f>
        <v>0</v>
      </c>
      <c r="AG25" s="33" t="n">
        <f aca="false">(1+Overview!$I$28)*SUM(TblImps[[#This Row],[P3]:[G3]])+OFFSET(TblImps[[#This Row],[Σ Keep]],-1,0)</f>
        <v>0</v>
      </c>
      <c r="AH25" s="33" t="n">
        <f aca="false">(1+Overview!$I$28 + tech_7_1*TblTech[[#This Row],[7-1]])*SUM(TblImps[[#This Row],[P4]:[G4]])+OFFSET(TblImps[[#This Row],[Σ Towers]],-1,0)</f>
        <v>0</v>
      </c>
      <c r="AI25" s="33" t="n">
        <f aca="false">(1+Overview!$I$28)*SUM(TblImps[[#This Row],[P5]:[G5]])+OFFSET(TblImps[[#This Row],[Σ Forges]],-1,0)</f>
        <v>0</v>
      </c>
      <c r="AJ25" s="33" t="n">
        <f aca="false">(1+Overview!$I$28)*SUM(TblImps[[#This Row],[P6]:[G6]])+OFFSET(TblImps[[#This Row],[Σ Walls]],-1,0)</f>
        <v>0</v>
      </c>
      <c r="AK25" s="33" t="n">
        <f aca="false">(1+Overview!$I$28 + tech_7_1*TblTech[[#This Row],[7-1]])*SUM(TblImps[[#This Row],[P7]:[G7]])+OFFSET(TblImps[[#This Row],[Σ Irrigation]],-1,0)</f>
        <v>0</v>
      </c>
      <c r="AL25" s="132"/>
      <c r="AM25" s="26" t="n">
        <f aca="false">IF(AND(TblImps[[#This Row],[Resource]]=AM$2,TblImps[[#This Row],[Part]]&lt;&gt;""),TblImps[[#This Row],[Amount]]) + IF(AND(TblImps[[#This Row],[Resource 2]]=AM$2,TblImps[[#This Row],[Part 2]]&lt;&gt;""),TblImps[[#This Row],[Amount 2]]) + IF(AND(TblImps[[#This Row],[Resource 3]]=AM$2,TblImps[[#This Row],[Part 3]]&lt;&gt;""),TblImps[[#This Row],[Amount 3]])</f>
        <v>0</v>
      </c>
      <c r="AN25" s="26" t="n">
        <f aca="false">IF(AND(TblImps[[#This Row],[Resource]]=AN$2,TblImps[[#This Row],[Part]]&lt;&gt;""),TblImps[[#This Row],[Amount]]) + IF(AND(TblImps[[#This Row],[Resource 2]]=AN$2,TblImps[[#This Row],[Part 2]]&lt;&gt;""),TblImps[[#This Row],[Amount 2]]) + IF(AND(TblImps[[#This Row],[Resource 3]]=AN$2,TblImps[[#This Row],[Part 3]]&lt;&gt;""),TblImps[[#This Row],[Amount 3]])</f>
        <v>0</v>
      </c>
      <c r="AO25" s="26" t="n">
        <f aca="false">IF(AND(TblImps[[#This Row],[Resource]]=AO$2,TblImps[[#This Row],[Part]]&lt;&gt;""),TblImps[[#This Row],[Amount]]) + IF(AND(TblImps[[#This Row],[Resource 2]]=AO$2,TblImps[[#This Row],[Part 2]]&lt;&gt;""),TblImps[[#This Row],[Amount 2]]) + IF(AND(TblImps[[#This Row],[Resource 3]]=AO$2,TblImps[[#This Row],[Part 3]]&lt;&gt;""),TblImps[[#This Row],[Amount 3]])</f>
        <v>0</v>
      </c>
      <c r="AP25" s="26" t="n">
        <f aca="false">IF(AND(TblImps[[#This Row],[Resource]]=AP$2,TblImps[[#This Row],[Part]]&lt;&gt;""),TblImps[[#This Row],[Amount]]) + IF(AND(TblImps[[#This Row],[Resource 2]]=AP$2,TblImps[[#This Row],[Part 2]]&lt;&gt;""),TblImps[[#This Row],[Amount 2]]) + IF(AND(TblImps[[#This Row],[Resource 3]]=AP$2,TblImps[[#This Row],[Part 3]]&lt;&gt;""),TblImps[[#This Row],[Amount 3]])</f>
        <v>0</v>
      </c>
      <c r="AQ25" s="132"/>
      <c r="AR2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32"/>
      <c r="AW2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32"/>
      <c r="BB2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32"/>
      <c r="BG2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32"/>
      <c r="BL2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32"/>
      <c r="BQ2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32"/>
      <c r="BV25"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5" s="33" t="n">
        <f aca="false">TblImps[[#This Row],[Login]]</f>
        <v>1</v>
      </c>
      <c r="BX25" s="128"/>
      <c r="BY25" s="347" t="n">
        <f aca="false">OFFSET(TblImps[[#This Row],[Real time]],-1,0)+1/24</f>
        <v>45430.625</v>
      </c>
      <c r="BZ25" s="348" t="n">
        <f aca="false">OFFSET(TblImps[[#This Row],[Servertime]],-1,0)+1/24</f>
        <v>45430.875</v>
      </c>
      <c r="CA25" s="26"/>
      <c r="CB25" s="346"/>
      <c r="CC25" s="346"/>
    </row>
    <row r="26" customFormat="false" ht="12.75" hidden="false" customHeight="false" outlineLevel="0" collapsed="false">
      <c r="A26" s="181" t="n">
        <f aca="false">TblConstr[[#This Row],[Land]]</f>
        <v>279</v>
      </c>
      <c r="B26" s="132"/>
      <c r="C26" s="69" t="n">
        <f aca="false">TblProd[[#This Row],[Platinum]]</f>
        <v>20132</v>
      </c>
      <c r="D26" s="69" t="n">
        <f aca="false">TblProd[[#This Row],[Lumber]]</f>
        <v>7308</v>
      </c>
      <c r="E26" s="69" t="n">
        <f aca="false">TblProd[[#This Row],[Ore]]</f>
        <v>0</v>
      </c>
      <c r="F26" s="69" t="n">
        <f aca="false">TblProd[[#This Row],[Gems]]</f>
        <v>0</v>
      </c>
      <c r="G26" s="146"/>
      <c r="H26" s="69" t="n">
        <f aca="false">TblMili[[#This Row],[Draftees]]</f>
        <v>146</v>
      </c>
      <c r="I26" s="130" t="n">
        <f aca="false">TblPop[[#This Row],[Employment]]</f>
        <v>1</v>
      </c>
      <c r="J26" s="130" t="n">
        <f aca="false">TblPop[[#This Row],[Total]]/TblPop[[#This Row],[Net max]]</f>
        <v>0.738927220120187</v>
      </c>
      <c r="K26" s="336" t="n">
        <f aca="false">TblRezone[[#This Row],[Hour]]</f>
        <v>23</v>
      </c>
      <c r="L26" s="337" t="n">
        <f aca="false">TblImps[[#This Row],[Real time]]</f>
        <v>45430.6666666667</v>
      </c>
      <c r="M26" s="33" t="n">
        <f aca="false">IF(ISERROR(TblImps[[#This Row],[algorithm]]),0,TblImps[[#This Row],[algorithm]]*1)</f>
        <v>1</v>
      </c>
      <c r="N26" s="69" t="n">
        <f aca="false">TblImps[[#This Row],[Land]]</f>
        <v>279</v>
      </c>
      <c r="O26" s="338" t="s">
        <v>97</v>
      </c>
      <c r="P26" s="339"/>
      <c r="Q26" s="338" t="s">
        <v>734</v>
      </c>
      <c r="R26" s="338" t="s">
        <v>93</v>
      </c>
      <c r="S26" s="339"/>
      <c r="T26" s="338" t="s">
        <v>734</v>
      </c>
      <c r="U26" s="338" t="s">
        <v>35</v>
      </c>
      <c r="V26" s="339"/>
      <c r="W26" s="338" t="s">
        <v>734</v>
      </c>
      <c r="X26" s="132"/>
      <c r="Y26" s="340" t="n">
        <f aca="false">science_cap*(1-EXP(-TblImps[[#This Row],[Σ Science]]/(science_param*(OFFSET(TblImps[[#This Row],[Land]],1,0)-OFFSET(TblExplore[[#This Row],[Land Bonus]],1,0)*20)+15000)))*(1+(mason_bonus*TblConstr[[#This Row],[Tot Mas]]/TblConstr[[#This Row],[Land (2)]]))</f>
        <v>0</v>
      </c>
      <c r="Z26" s="340" t="n">
        <f aca="false">keep_cap*(1-EXP(-TblImps[[#This Row],[Σ Keep]]/(keep_param*(OFFSET(TblImps[[#This Row],[Land]],1,0)-OFFSET(TblExplore[[#This Row],[Land Bonus]],1,0)*20)+15000)))*(1+(mason_bonus*TblConstr[[#This Row],[Tot Mas]]/TblConstr[[#This Row],[Land (2)]]))</f>
        <v>0</v>
      </c>
      <c r="AA26" s="340" t="n">
        <f aca="false">harbor_towers_cap*(1-EXP(-TblImps[[#This Row],[Σ Towers]]/(towers_param*(OFFSET(TblImps[[#This Row],[Land]],1,0)-OFFSET(TblExplore[[#This Row],[Land Bonus]],1,0)*20)+15000)))*(1+(mason_bonus*TblConstr[[#This Row],[Tot Mas]]/TblConstr[[#This Row],[Land (2)]]))</f>
        <v>0</v>
      </c>
      <c r="AB26" s="340" t="n">
        <f aca="false">walls_forges_cap*(1-EXP(-TblImps[[#This Row],[Σ Forges]]/(walls_forges_param*(OFFSET(TblImps[[#This Row],[Land]],1,0)-OFFSET(TblExplore[[#This Row],[Land Bonus]],1,0)*20)+15000)))*(1+(mason_bonus*TblConstr[[#This Row],[Tot Mas]]/TblConstr[[#This Row],[Land (2)]]))</f>
        <v>0</v>
      </c>
      <c r="AC26" s="340" t="n">
        <f aca="false">walls_forges_cap*(1-EXP(-TblImps[[#This Row],[Σ Walls]]/(walls_forges_param*(OFFSET(TblImps[[#This Row],[Land]],1,0)-OFFSET(TblExplore[[#This Row],[Land Bonus]],1,0)*20)+15000)))*(1+(mason_bonus*TblConstr[[#This Row],[Tot Mas]]/TblConstr[[#This Row],[Land (2)]]))</f>
        <v>0</v>
      </c>
      <c r="AD26" s="340" t="n">
        <f aca="false">harbor_towers_cap*(1-EXP(-TblImps[[#This Row],[Σ Irrigation]]/(harbor_towers_param*(OFFSET(TblImps[[#This Row],[Land]],1,0)-OFFSET(TblExplore[[#This Row],[Land Bonus]],1,0)*20)+15000)))*(1+(mason_bonus*TblConstr[[#This Row],[Tot Mas]]/TblConstr[[#This Row],[Land (2)]]))</f>
        <v>0</v>
      </c>
      <c r="AE26" s="132"/>
      <c r="AF26" s="33" t="n">
        <f aca="false">(1+Overview!$I$28)*SUM(TblImps[[#This Row],[P2]:[G2]])+OFFSET(TblImps[[#This Row],[Σ Science]],-1,0)</f>
        <v>0</v>
      </c>
      <c r="AG26" s="33" t="n">
        <f aca="false">(1+Overview!$I$28)*SUM(TblImps[[#This Row],[P3]:[G3]])+OFFSET(TblImps[[#This Row],[Σ Keep]],-1,0)</f>
        <v>0</v>
      </c>
      <c r="AH26" s="33" t="n">
        <f aca="false">(1+Overview!$I$28 + tech_7_1*TblTech[[#This Row],[7-1]])*SUM(TblImps[[#This Row],[P4]:[G4]])+OFFSET(TblImps[[#This Row],[Σ Towers]],-1,0)</f>
        <v>0</v>
      </c>
      <c r="AI26" s="33" t="n">
        <f aca="false">(1+Overview!$I$28)*SUM(TblImps[[#This Row],[P5]:[G5]])+OFFSET(TblImps[[#This Row],[Σ Forges]],-1,0)</f>
        <v>0</v>
      </c>
      <c r="AJ26" s="33" t="n">
        <f aca="false">(1+Overview!$I$28)*SUM(TblImps[[#This Row],[P6]:[G6]])+OFFSET(TblImps[[#This Row],[Σ Walls]],-1,0)</f>
        <v>0</v>
      </c>
      <c r="AK26" s="33" t="n">
        <f aca="false">(1+Overview!$I$28 + tech_7_1*TblTech[[#This Row],[7-1]])*SUM(TblImps[[#This Row],[P7]:[G7]])+OFFSET(TblImps[[#This Row],[Σ Irrigation]],-1,0)</f>
        <v>0</v>
      </c>
      <c r="AL26" s="132"/>
      <c r="AM26" s="26" t="n">
        <f aca="false">IF(AND(TblImps[[#This Row],[Resource]]=AM$2,TblImps[[#This Row],[Part]]&lt;&gt;""),TblImps[[#This Row],[Amount]]) + IF(AND(TblImps[[#This Row],[Resource 2]]=AM$2,TblImps[[#This Row],[Part 2]]&lt;&gt;""),TblImps[[#This Row],[Amount 2]]) + IF(AND(TblImps[[#This Row],[Resource 3]]=AM$2,TblImps[[#This Row],[Part 3]]&lt;&gt;""),TblImps[[#This Row],[Amount 3]])</f>
        <v>0</v>
      </c>
      <c r="AN26" s="26" t="n">
        <f aca="false">IF(AND(TblImps[[#This Row],[Resource]]=AN$2,TblImps[[#This Row],[Part]]&lt;&gt;""),TblImps[[#This Row],[Amount]]) + IF(AND(TblImps[[#This Row],[Resource 2]]=AN$2,TblImps[[#This Row],[Part 2]]&lt;&gt;""),TblImps[[#This Row],[Amount 2]]) + IF(AND(TblImps[[#This Row],[Resource 3]]=AN$2,TblImps[[#This Row],[Part 3]]&lt;&gt;""),TblImps[[#This Row],[Amount 3]])</f>
        <v>0</v>
      </c>
      <c r="AO26" s="26" t="n">
        <f aca="false">IF(AND(TblImps[[#This Row],[Resource]]=AO$2,TblImps[[#This Row],[Part]]&lt;&gt;""),TblImps[[#This Row],[Amount]]) + IF(AND(TblImps[[#This Row],[Resource 2]]=AO$2,TblImps[[#This Row],[Part 2]]&lt;&gt;""),TblImps[[#This Row],[Amount 2]]) + IF(AND(TblImps[[#This Row],[Resource 3]]=AO$2,TblImps[[#This Row],[Part 3]]&lt;&gt;""),TblImps[[#This Row],[Amount 3]])</f>
        <v>0</v>
      </c>
      <c r="AP26" s="26" t="n">
        <f aca="false">IF(AND(TblImps[[#This Row],[Resource]]=AP$2,TblImps[[#This Row],[Part]]&lt;&gt;""),TblImps[[#This Row],[Amount]]) + IF(AND(TblImps[[#This Row],[Resource 2]]=AP$2,TblImps[[#This Row],[Part 2]]&lt;&gt;""),TblImps[[#This Row],[Amount 2]]) + IF(AND(TblImps[[#This Row],[Resource 3]]=AP$2,TblImps[[#This Row],[Part 3]]&lt;&gt;""),TblImps[[#This Row],[Amount 3]])</f>
        <v>0</v>
      </c>
      <c r="AQ26" s="132"/>
      <c r="AR2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32"/>
      <c r="AW2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32"/>
      <c r="BB2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32"/>
      <c r="BG2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32"/>
      <c r="BL2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32"/>
      <c r="BQ2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32"/>
      <c r="BV26"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6" s="33" t="n">
        <f aca="false">TblImps[[#This Row],[Login]]</f>
        <v>1</v>
      </c>
      <c r="BX26" s="128"/>
      <c r="BY26" s="347" t="n">
        <f aca="false">OFFSET(TblImps[[#This Row],[Real time]],-1,0)+1/24</f>
        <v>45430.6666666667</v>
      </c>
      <c r="BZ26" s="348" t="n">
        <f aca="false">OFFSET(TblImps[[#This Row],[Servertime]],-1,0)+1/24</f>
        <v>45430.9166666667</v>
      </c>
      <c r="CA26" s="26"/>
      <c r="CB26" s="346"/>
      <c r="CC26" s="346"/>
    </row>
    <row r="27" customFormat="false" ht="12.75" hidden="false" customHeight="false" outlineLevel="0" collapsed="false">
      <c r="A27" s="181" t="n">
        <f aca="false">TblConstr[[#This Row],[Land]]</f>
        <v>299</v>
      </c>
      <c r="B27" s="132"/>
      <c r="C27" s="69" t="n">
        <f aca="false">TblProd[[#This Row],[Platinum]]</f>
        <v>26679</v>
      </c>
      <c r="D27" s="69" t="n">
        <f aca="false">TblProd[[#This Row],[Lumber]]</f>
        <v>7075</v>
      </c>
      <c r="E27" s="69" t="n">
        <f aca="false">TblProd[[#This Row],[Ore]]</f>
        <v>0</v>
      </c>
      <c r="F27" s="69" t="n">
        <f aca="false">TblProd[[#This Row],[Gems]]</f>
        <v>0</v>
      </c>
      <c r="G27" s="146"/>
      <c r="H27" s="69" t="n">
        <f aca="false">TblMili[[#This Row],[Draftees]]</f>
        <v>138</v>
      </c>
      <c r="I27" s="130" t="n">
        <f aca="false">TblPop[[#This Row],[Employment]]</f>
        <v>1</v>
      </c>
      <c r="J27" s="130" t="n">
        <f aca="false">TblPop[[#This Row],[Total]]/TblPop[[#This Row],[Net max]]</f>
        <v>0.780861456483126</v>
      </c>
      <c r="K27" s="336" t="n">
        <f aca="false">TblRezone[[#This Row],[Hour]]</f>
        <v>24</v>
      </c>
      <c r="L27" s="337" t="n">
        <f aca="false">TblImps[[#This Row],[Real time]]</f>
        <v>45430.7083333333</v>
      </c>
      <c r="M27" s="33" t="n">
        <f aca="false">IF(ISERROR(TblImps[[#This Row],[algorithm]]),0,TblImps[[#This Row],[algorithm]]*1)</f>
        <v>1</v>
      </c>
      <c r="N27" s="69" t="n">
        <f aca="false">TblImps[[#This Row],[Land]]</f>
        <v>299</v>
      </c>
      <c r="O27" s="338" t="s">
        <v>97</v>
      </c>
      <c r="P27" s="339"/>
      <c r="Q27" s="338" t="s">
        <v>734</v>
      </c>
      <c r="R27" s="338" t="s">
        <v>93</v>
      </c>
      <c r="S27" s="339"/>
      <c r="T27" s="338" t="s">
        <v>734</v>
      </c>
      <c r="U27" s="338" t="s">
        <v>35</v>
      </c>
      <c r="V27" s="339"/>
      <c r="W27" s="338" t="s">
        <v>734</v>
      </c>
      <c r="X27" s="132"/>
      <c r="Y27" s="340" t="n">
        <f aca="false">science_cap*(1-EXP(-TblImps[[#This Row],[Σ Science]]/(science_param*(OFFSET(TblImps[[#This Row],[Land]],1,0)-OFFSET(TblExplore[[#This Row],[Land Bonus]],1,0)*20)+15000)))*(1+(mason_bonus*TblConstr[[#This Row],[Tot Mas]]/TblConstr[[#This Row],[Land (2)]]))</f>
        <v>0</v>
      </c>
      <c r="Z27" s="340" t="n">
        <f aca="false">keep_cap*(1-EXP(-TblImps[[#This Row],[Σ Keep]]/(keep_param*(OFFSET(TblImps[[#This Row],[Land]],1,0)-OFFSET(TblExplore[[#This Row],[Land Bonus]],1,0)*20)+15000)))*(1+(mason_bonus*TblConstr[[#This Row],[Tot Mas]]/TblConstr[[#This Row],[Land (2)]]))</f>
        <v>0</v>
      </c>
      <c r="AA27" s="340" t="n">
        <f aca="false">harbor_towers_cap*(1-EXP(-TblImps[[#This Row],[Σ Towers]]/(towers_param*(OFFSET(TblImps[[#This Row],[Land]],1,0)-OFFSET(TblExplore[[#This Row],[Land Bonus]],1,0)*20)+15000)))*(1+(mason_bonus*TblConstr[[#This Row],[Tot Mas]]/TblConstr[[#This Row],[Land (2)]]))</f>
        <v>0</v>
      </c>
      <c r="AB27" s="340" t="n">
        <f aca="false">walls_forges_cap*(1-EXP(-TblImps[[#This Row],[Σ Forges]]/(walls_forges_param*(OFFSET(TblImps[[#This Row],[Land]],1,0)-OFFSET(TblExplore[[#This Row],[Land Bonus]],1,0)*20)+15000)))*(1+(mason_bonus*TblConstr[[#This Row],[Tot Mas]]/TblConstr[[#This Row],[Land (2)]]))</f>
        <v>0</v>
      </c>
      <c r="AC27" s="340" t="n">
        <f aca="false">walls_forges_cap*(1-EXP(-TblImps[[#This Row],[Σ Walls]]/(walls_forges_param*(OFFSET(TblImps[[#This Row],[Land]],1,0)-OFFSET(TblExplore[[#This Row],[Land Bonus]],1,0)*20)+15000)))*(1+(mason_bonus*TblConstr[[#This Row],[Tot Mas]]/TblConstr[[#This Row],[Land (2)]]))</f>
        <v>0</v>
      </c>
      <c r="AD27" s="340" t="n">
        <f aca="false">harbor_towers_cap*(1-EXP(-TblImps[[#This Row],[Σ Irrigation]]/(harbor_towers_param*(OFFSET(TblImps[[#This Row],[Land]],1,0)-OFFSET(TblExplore[[#This Row],[Land Bonus]],1,0)*20)+15000)))*(1+(mason_bonus*TblConstr[[#This Row],[Tot Mas]]/TblConstr[[#This Row],[Land (2)]]))</f>
        <v>0</v>
      </c>
      <c r="AE27" s="132"/>
      <c r="AF27" s="33" t="n">
        <f aca="false">(1+Overview!$I$28)*SUM(TblImps[[#This Row],[P2]:[G2]])+OFFSET(TblImps[[#This Row],[Σ Science]],-1,0)</f>
        <v>0</v>
      </c>
      <c r="AG27" s="33" t="n">
        <f aca="false">(1+Overview!$I$28)*SUM(TblImps[[#This Row],[P3]:[G3]])+OFFSET(TblImps[[#This Row],[Σ Keep]],-1,0)</f>
        <v>0</v>
      </c>
      <c r="AH27" s="33" t="n">
        <f aca="false">(1+Overview!$I$28 + tech_7_1*TblTech[[#This Row],[7-1]])*SUM(TblImps[[#This Row],[P4]:[G4]])+OFFSET(TblImps[[#This Row],[Σ Towers]],-1,0)</f>
        <v>0</v>
      </c>
      <c r="AI27" s="33" t="n">
        <f aca="false">(1+Overview!$I$28)*SUM(TblImps[[#This Row],[P5]:[G5]])+OFFSET(TblImps[[#This Row],[Σ Forges]],-1,0)</f>
        <v>0</v>
      </c>
      <c r="AJ27" s="33" t="n">
        <f aca="false">(1+Overview!$I$28)*SUM(TblImps[[#This Row],[P6]:[G6]])+OFFSET(TblImps[[#This Row],[Σ Walls]],-1,0)</f>
        <v>0</v>
      </c>
      <c r="AK27" s="33" t="n">
        <f aca="false">(1+Overview!$I$28 + tech_7_1*TblTech[[#This Row],[7-1]])*SUM(TblImps[[#This Row],[P7]:[G7]])+OFFSET(TblImps[[#This Row],[Σ Irrigation]],-1,0)</f>
        <v>0</v>
      </c>
      <c r="AL27" s="132"/>
      <c r="AM27" s="26" t="n">
        <f aca="false">IF(AND(TblImps[[#This Row],[Resource]]=AM$2,TblImps[[#This Row],[Part]]&lt;&gt;""),TblImps[[#This Row],[Amount]]) + IF(AND(TblImps[[#This Row],[Resource 2]]=AM$2,TblImps[[#This Row],[Part 2]]&lt;&gt;""),TblImps[[#This Row],[Amount 2]]) + IF(AND(TblImps[[#This Row],[Resource 3]]=AM$2,TblImps[[#This Row],[Part 3]]&lt;&gt;""),TblImps[[#This Row],[Amount 3]])</f>
        <v>0</v>
      </c>
      <c r="AN27" s="26" t="n">
        <f aca="false">IF(AND(TblImps[[#This Row],[Resource]]=AN$2,TblImps[[#This Row],[Part]]&lt;&gt;""),TblImps[[#This Row],[Amount]]) + IF(AND(TblImps[[#This Row],[Resource 2]]=AN$2,TblImps[[#This Row],[Part 2]]&lt;&gt;""),TblImps[[#This Row],[Amount 2]]) + IF(AND(TblImps[[#This Row],[Resource 3]]=AN$2,TblImps[[#This Row],[Part 3]]&lt;&gt;""),TblImps[[#This Row],[Amount 3]])</f>
        <v>0</v>
      </c>
      <c r="AO27" s="26" t="n">
        <f aca="false">IF(AND(TblImps[[#This Row],[Resource]]=AO$2,TblImps[[#This Row],[Part]]&lt;&gt;""),TblImps[[#This Row],[Amount]]) + IF(AND(TblImps[[#This Row],[Resource 2]]=AO$2,TblImps[[#This Row],[Part 2]]&lt;&gt;""),TblImps[[#This Row],[Amount 2]]) + IF(AND(TblImps[[#This Row],[Resource 3]]=AO$2,TblImps[[#This Row],[Part 3]]&lt;&gt;""),TblImps[[#This Row],[Amount 3]])</f>
        <v>0</v>
      </c>
      <c r="AP27" s="26" t="n">
        <f aca="false">IF(AND(TblImps[[#This Row],[Resource]]=AP$2,TblImps[[#This Row],[Part]]&lt;&gt;""),TblImps[[#This Row],[Amount]]) + IF(AND(TblImps[[#This Row],[Resource 2]]=AP$2,TblImps[[#This Row],[Part 2]]&lt;&gt;""),TblImps[[#This Row],[Amount 2]]) + IF(AND(TblImps[[#This Row],[Resource 3]]=AP$2,TblImps[[#This Row],[Part 3]]&lt;&gt;""),TblImps[[#This Row],[Amount 3]])</f>
        <v>0</v>
      </c>
      <c r="AQ27" s="132"/>
      <c r="AR2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32"/>
      <c r="AW2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32"/>
      <c r="BB2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32"/>
      <c r="BG2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32"/>
      <c r="BL2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32"/>
      <c r="BQ2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32"/>
      <c r="BV27"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7" s="33" t="n">
        <f aca="false">TblImps[[#This Row],[Login]]</f>
        <v>1</v>
      </c>
      <c r="BX27" s="128"/>
      <c r="BY27" s="347" t="n">
        <f aca="false">OFFSET(TblImps[[#This Row],[Real time]],-1,0)+1/24</f>
        <v>45430.7083333333</v>
      </c>
      <c r="BZ27" s="348" t="n">
        <f aca="false">OFFSET(TblImps[[#This Row],[Servertime]],-1,0)+1/24</f>
        <v>45430.9583333333</v>
      </c>
      <c r="CA27" s="26"/>
      <c r="CB27" s="346"/>
      <c r="CC27" s="346"/>
    </row>
    <row r="28" customFormat="false" ht="12.75" hidden="false" customHeight="false" outlineLevel="0" collapsed="false">
      <c r="A28" s="181" t="n">
        <f aca="false">TblConstr[[#This Row],[Land]]</f>
        <v>299</v>
      </c>
      <c r="B28" s="132"/>
      <c r="C28" s="69" t="n">
        <f aca="false">TblProd[[#This Row],[Platinum]]</f>
        <v>42902</v>
      </c>
      <c r="D28" s="69" t="n">
        <f aca="false">TblProd[[#This Row],[Lumber]]</f>
        <v>7904</v>
      </c>
      <c r="E28" s="69" t="n">
        <f aca="false">TblProd[[#This Row],[Ore]]</f>
        <v>0</v>
      </c>
      <c r="F28" s="69" t="n">
        <f aca="false">TblProd[[#This Row],[Gems]]</f>
        <v>0</v>
      </c>
      <c r="G28" s="146"/>
      <c r="H28" s="69" t="n">
        <f aca="false">TblMili[[#This Row],[Draftees]]</f>
        <v>172</v>
      </c>
      <c r="I28" s="130" t="n">
        <f aca="false">TblPop[[#This Row],[Employment]]</f>
        <v>1</v>
      </c>
      <c r="J28" s="130" t="n">
        <f aca="false">TblPop[[#This Row],[Total]]/TblPop[[#This Row],[Net max]]</f>
        <v>0.779366065879428</v>
      </c>
      <c r="K28" s="336" t="n">
        <f aca="false">TblRezone[[#This Row],[Hour]]</f>
        <v>25</v>
      </c>
      <c r="L28" s="337" t="n">
        <f aca="false">TblImps[[#This Row],[Real time]]</f>
        <v>45430.75</v>
      </c>
      <c r="M28" s="33" t="n">
        <f aca="false">IF(ISERROR(TblImps[[#This Row],[algorithm]]),0,TblImps[[#This Row],[algorithm]]*1)</f>
        <v>0</v>
      </c>
      <c r="N28" s="69" t="n">
        <f aca="false">TblImps[[#This Row],[Land]]</f>
        <v>299</v>
      </c>
      <c r="O28" s="338" t="s">
        <v>97</v>
      </c>
      <c r="P28" s="339"/>
      <c r="Q28" s="338" t="s">
        <v>734</v>
      </c>
      <c r="R28" s="338" t="s">
        <v>93</v>
      </c>
      <c r="S28" s="339"/>
      <c r="T28" s="338" t="s">
        <v>734</v>
      </c>
      <c r="U28" s="338" t="s">
        <v>35</v>
      </c>
      <c r="V28" s="339"/>
      <c r="W28" s="338" t="s">
        <v>734</v>
      </c>
      <c r="X28" s="132"/>
      <c r="Y28" s="340" t="n">
        <f aca="false">science_cap*(1-EXP(-TblImps[[#This Row],[Σ Science]]/(science_param*(OFFSET(TblImps[[#This Row],[Land]],1,0)-OFFSET(TblExplore[[#This Row],[Land Bonus]],1,0)*20)+15000)))*(1+(mason_bonus*TblConstr[[#This Row],[Tot Mas]]/TblConstr[[#This Row],[Land (2)]]))</f>
        <v>0</v>
      </c>
      <c r="Z28" s="340" t="n">
        <f aca="false">keep_cap*(1-EXP(-TblImps[[#This Row],[Σ Keep]]/(keep_param*(OFFSET(TblImps[[#This Row],[Land]],1,0)-OFFSET(TblExplore[[#This Row],[Land Bonus]],1,0)*20)+15000)))*(1+(mason_bonus*TblConstr[[#This Row],[Tot Mas]]/TblConstr[[#This Row],[Land (2)]]))</f>
        <v>0</v>
      </c>
      <c r="AA28" s="340" t="n">
        <f aca="false">harbor_towers_cap*(1-EXP(-TblImps[[#This Row],[Σ Towers]]/(towers_param*(OFFSET(TblImps[[#This Row],[Land]],1,0)-OFFSET(TblExplore[[#This Row],[Land Bonus]],1,0)*20)+15000)))*(1+(mason_bonus*TblConstr[[#This Row],[Tot Mas]]/TblConstr[[#This Row],[Land (2)]]))</f>
        <v>0</v>
      </c>
      <c r="AB28" s="340" t="n">
        <f aca="false">walls_forges_cap*(1-EXP(-TblImps[[#This Row],[Σ Forges]]/(walls_forges_param*(OFFSET(TblImps[[#This Row],[Land]],1,0)-OFFSET(TblExplore[[#This Row],[Land Bonus]],1,0)*20)+15000)))*(1+(mason_bonus*TblConstr[[#This Row],[Tot Mas]]/TblConstr[[#This Row],[Land (2)]]))</f>
        <v>0</v>
      </c>
      <c r="AC28" s="340" t="n">
        <f aca="false">walls_forges_cap*(1-EXP(-TblImps[[#This Row],[Σ Walls]]/(walls_forges_param*(OFFSET(TblImps[[#This Row],[Land]],1,0)-OFFSET(TblExplore[[#This Row],[Land Bonus]],1,0)*20)+15000)))*(1+(mason_bonus*TblConstr[[#This Row],[Tot Mas]]/TblConstr[[#This Row],[Land (2)]]))</f>
        <v>0</v>
      </c>
      <c r="AD28" s="340" t="n">
        <f aca="false">harbor_towers_cap*(1-EXP(-TblImps[[#This Row],[Σ Irrigation]]/(harbor_towers_param*(OFFSET(TblImps[[#This Row],[Land]],1,0)-OFFSET(TblExplore[[#This Row],[Land Bonus]],1,0)*20)+15000)))*(1+(mason_bonus*TblConstr[[#This Row],[Tot Mas]]/TblConstr[[#This Row],[Land (2)]]))</f>
        <v>0</v>
      </c>
      <c r="AE28" s="132"/>
      <c r="AF28" s="33" t="n">
        <f aca="false">(1+Overview!$I$28)*SUM(TblImps[[#This Row],[P2]:[G2]])+OFFSET(TblImps[[#This Row],[Σ Science]],-1,0)</f>
        <v>0</v>
      </c>
      <c r="AG28" s="33" t="n">
        <f aca="false">(1+Overview!$I$28)*SUM(TblImps[[#This Row],[P3]:[G3]])+OFFSET(TblImps[[#This Row],[Σ Keep]],-1,0)</f>
        <v>0</v>
      </c>
      <c r="AH28" s="33" t="n">
        <f aca="false">(1+Overview!$I$28 + tech_7_1*TblTech[[#This Row],[7-1]])*SUM(TblImps[[#This Row],[P4]:[G4]])+OFFSET(TblImps[[#This Row],[Σ Towers]],-1,0)</f>
        <v>0</v>
      </c>
      <c r="AI28" s="33" t="n">
        <f aca="false">(1+Overview!$I$28)*SUM(TblImps[[#This Row],[P5]:[G5]])+OFFSET(TblImps[[#This Row],[Σ Forges]],-1,0)</f>
        <v>0</v>
      </c>
      <c r="AJ28" s="33" t="n">
        <f aca="false">(1+Overview!$I$28)*SUM(TblImps[[#This Row],[P6]:[G6]])+OFFSET(TblImps[[#This Row],[Σ Walls]],-1,0)</f>
        <v>0</v>
      </c>
      <c r="AK28" s="33" t="n">
        <f aca="false">(1+Overview!$I$28 + tech_7_1*TblTech[[#This Row],[7-1]])*SUM(TblImps[[#This Row],[P7]:[G7]])+OFFSET(TblImps[[#This Row],[Σ Irrigation]],-1,0)</f>
        <v>0</v>
      </c>
      <c r="AL28" s="132"/>
      <c r="AM28" s="26" t="n">
        <f aca="false">IF(AND(TblImps[[#This Row],[Resource]]=AM$2,TblImps[[#This Row],[Part]]&lt;&gt;""),TblImps[[#This Row],[Amount]]) + IF(AND(TblImps[[#This Row],[Resource 2]]=AM$2,TblImps[[#This Row],[Part 2]]&lt;&gt;""),TblImps[[#This Row],[Amount 2]]) + IF(AND(TblImps[[#This Row],[Resource 3]]=AM$2,TblImps[[#This Row],[Part 3]]&lt;&gt;""),TblImps[[#This Row],[Amount 3]])</f>
        <v>0</v>
      </c>
      <c r="AN28" s="26" t="n">
        <f aca="false">IF(AND(TblImps[[#This Row],[Resource]]=AN$2,TblImps[[#This Row],[Part]]&lt;&gt;""),TblImps[[#This Row],[Amount]]) + IF(AND(TblImps[[#This Row],[Resource 2]]=AN$2,TblImps[[#This Row],[Part 2]]&lt;&gt;""),TblImps[[#This Row],[Amount 2]]) + IF(AND(TblImps[[#This Row],[Resource 3]]=AN$2,TblImps[[#This Row],[Part 3]]&lt;&gt;""),TblImps[[#This Row],[Amount 3]])</f>
        <v>0</v>
      </c>
      <c r="AO28" s="26" t="n">
        <f aca="false">IF(AND(TblImps[[#This Row],[Resource]]=AO$2,TblImps[[#This Row],[Part]]&lt;&gt;""),TblImps[[#This Row],[Amount]]) + IF(AND(TblImps[[#This Row],[Resource 2]]=AO$2,TblImps[[#This Row],[Part 2]]&lt;&gt;""),TblImps[[#This Row],[Amount 2]]) + IF(AND(TblImps[[#This Row],[Resource 3]]=AO$2,TblImps[[#This Row],[Part 3]]&lt;&gt;""),TblImps[[#This Row],[Amount 3]])</f>
        <v>0</v>
      </c>
      <c r="AP28" s="26" t="n">
        <f aca="false">IF(AND(TblImps[[#This Row],[Resource]]=AP$2,TblImps[[#This Row],[Part]]&lt;&gt;""),TblImps[[#This Row],[Amount]]) + IF(AND(TblImps[[#This Row],[Resource 2]]=AP$2,TblImps[[#This Row],[Part 2]]&lt;&gt;""),TblImps[[#This Row],[Amount 2]]) + IF(AND(TblImps[[#This Row],[Resource 3]]=AP$2,TblImps[[#This Row],[Part 3]]&lt;&gt;""),TblImps[[#This Row],[Amount 3]])</f>
        <v>0</v>
      </c>
      <c r="AQ28" s="132"/>
      <c r="AR2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32"/>
      <c r="AW2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32"/>
      <c r="BB2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32"/>
      <c r="BG2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32"/>
      <c r="BL2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32"/>
      <c r="BQ2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32"/>
      <c r="BV28"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33" t="n">
        <f aca="false">TblImps[[#This Row],[Login]]</f>
        <v>0</v>
      </c>
      <c r="BX28" s="128"/>
      <c r="BY28" s="347" t="n">
        <f aca="false">OFFSET(TblImps[[#This Row],[Real time]],-1,0)+1/24</f>
        <v>45430.75</v>
      </c>
      <c r="BZ28" s="348" t="n">
        <f aca="false">OFFSET(TblImps[[#This Row],[Servertime]],-1,0)+1/24</f>
        <v>45431</v>
      </c>
      <c r="CA28" s="26"/>
      <c r="CB28" s="346"/>
      <c r="CC28" s="346"/>
    </row>
    <row r="29" customFormat="false" ht="12.75" hidden="false" customHeight="false" outlineLevel="0" collapsed="false">
      <c r="A29" s="181" t="n">
        <f aca="false">TblConstr[[#This Row],[Land]]</f>
        <v>299</v>
      </c>
      <c r="B29" s="132"/>
      <c r="C29" s="69" t="n">
        <f aca="false">TblProd[[#This Row],[Platinum]]</f>
        <v>59751</v>
      </c>
      <c r="D29" s="69" t="n">
        <f aca="false">TblProd[[#This Row],[Lumber]]</f>
        <v>8725</v>
      </c>
      <c r="E29" s="69" t="n">
        <f aca="false">TblProd[[#This Row],[Ore]]</f>
        <v>0</v>
      </c>
      <c r="F29" s="69" t="n">
        <f aca="false">TblProd[[#This Row],[Gems]]</f>
        <v>0</v>
      </c>
      <c r="G29" s="146"/>
      <c r="H29" s="69" t="n">
        <f aca="false">TblMili[[#This Row],[Draftees]]</f>
        <v>208</v>
      </c>
      <c r="I29" s="130" t="n">
        <f aca="false">TblPop[[#This Row],[Employment]]</f>
        <v>1</v>
      </c>
      <c r="J29" s="130" t="n">
        <f aca="false">TblPop[[#This Row],[Total]]/TblPop[[#This Row],[Net max]]</f>
        <v>0.833229749326704</v>
      </c>
      <c r="K29" s="336" t="n">
        <f aca="false">TblRezone[[#This Row],[Hour]]</f>
        <v>26</v>
      </c>
      <c r="L29" s="337" t="n">
        <f aca="false">TblImps[[#This Row],[Real time]]</f>
        <v>45430.7916666667</v>
      </c>
      <c r="M29" s="33" t="n">
        <f aca="false">IF(ISERROR(TblImps[[#This Row],[algorithm]]),0,TblImps[[#This Row],[algorithm]]*1)</f>
        <v>1</v>
      </c>
      <c r="N29" s="69" t="n">
        <f aca="false">TblImps[[#This Row],[Land]]</f>
        <v>299</v>
      </c>
      <c r="O29" s="338" t="s">
        <v>97</v>
      </c>
      <c r="P29" s="339"/>
      <c r="Q29" s="338" t="s">
        <v>734</v>
      </c>
      <c r="R29" s="338" t="s">
        <v>93</v>
      </c>
      <c r="S29" s="339"/>
      <c r="T29" s="338" t="s">
        <v>734</v>
      </c>
      <c r="U29" s="338" t="s">
        <v>35</v>
      </c>
      <c r="V29" s="339"/>
      <c r="W29" s="338" t="s">
        <v>734</v>
      </c>
      <c r="X29" s="132"/>
      <c r="Y29" s="340" t="n">
        <f aca="false">science_cap*(1-EXP(-TblImps[[#This Row],[Σ Science]]/(science_param*(OFFSET(TblImps[[#This Row],[Land]],1,0)-OFFSET(TblExplore[[#This Row],[Land Bonus]],1,0)*20)+15000)))*(1+(mason_bonus*TblConstr[[#This Row],[Tot Mas]]/TblConstr[[#This Row],[Land (2)]]))</f>
        <v>0</v>
      </c>
      <c r="Z29" s="340" t="n">
        <f aca="false">keep_cap*(1-EXP(-TblImps[[#This Row],[Σ Keep]]/(keep_param*(OFFSET(TblImps[[#This Row],[Land]],1,0)-OFFSET(TblExplore[[#This Row],[Land Bonus]],1,0)*20)+15000)))*(1+(mason_bonus*TblConstr[[#This Row],[Tot Mas]]/TblConstr[[#This Row],[Land (2)]]))</f>
        <v>0</v>
      </c>
      <c r="AA29" s="340" t="n">
        <f aca="false">harbor_towers_cap*(1-EXP(-TblImps[[#This Row],[Σ Towers]]/(towers_param*(OFFSET(TblImps[[#This Row],[Land]],1,0)-OFFSET(TblExplore[[#This Row],[Land Bonus]],1,0)*20)+15000)))*(1+(mason_bonus*TblConstr[[#This Row],[Tot Mas]]/TblConstr[[#This Row],[Land (2)]]))</f>
        <v>0</v>
      </c>
      <c r="AB29" s="340" t="n">
        <f aca="false">walls_forges_cap*(1-EXP(-TblImps[[#This Row],[Σ Forges]]/(walls_forges_param*(OFFSET(TblImps[[#This Row],[Land]],1,0)-OFFSET(TblExplore[[#This Row],[Land Bonus]],1,0)*20)+15000)))*(1+(mason_bonus*TblConstr[[#This Row],[Tot Mas]]/TblConstr[[#This Row],[Land (2)]]))</f>
        <v>0</v>
      </c>
      <c r="AC29" s="340" t="n">
        <f aca="false">walls_forges_cap*(1-EXP(-TblImps[[#This Row],[Σ Walls]]/(walls_forges_param*(OFFSET(TblImps[[#This Row],[Land]],1,0)-OFFSET(TblExplore[[#This Row],[Land Bonus]],1,0)*20)+15000)))*(1+(mason_bonus*TblConstr[[#This Row],[Tot Mas]]/TblConstr[[#This Row],[Land (2)]]))</f>
        <v>0</v>
      </c>
      <c r="AD29" s="340" t="n">
        <f aca="false">harbor_towers_cap*(1-EXP(-TblImps[[#This Row],[Σ Irrigation]]/(harbor_towers_param*(OFFSET(TblImps[[#This Row],[Land]],1,0)-OFFSET(TblExplore[[#This Row],[Land Bonus]],1,0)*20)+15000)))*(1+(mason_bonus*TblConstr[[#This Row],[Tot Mas]]/TblConstr[[#This Row],[Land (2)]]))</f>
        <v>0</v>
      </c>
      <c r="AE29" s="132"/>
      <c r="AF29" s="33" t="n">
        <f aca="false">(1+Overview!$I$28)*SUM(TblImps[[#This Row],[P2]:[G2]])+OFFSET(TblImps[[#This Row],[Σ Science]],-1,0)</f>
        <v>0</v>
      </c>
      <c r="AG29" s="33" t="n">
        <f aca="false">(1+Overview!$I$28)*SUM(TblImps[[#This Row],[P3]:[G3]])+OFFSET(TblImps[[#This Row],[Σ Keep]],-1,0)</f>
        <v>0</v>
      </c>
      <c r="AH29" s="33" t="n">
        <f aca="false">(1+Overview!$I$28 + tech_7_1*TblTech[[#This Row],[7-1]])*SUM(TblImps[[#This Row],[P4]:[G4]])+OFFSET(TblImps[[#This Row],[Σ Towers]],-1,0)</f>
        <v>0</v>
      </c>
      <c r="AI29" s="33" t="n">
        <f aca="false">(1+Overview!$I$28)*SUM(TblImps[[#This Row],[P5]:[G5]])+OFFSET(TblImps[[#This Row],[Σ Forges]],-1,0)</f>
        <v>0</v>
      </c>
      <c r="AJ29" s="33" t="n">
        <f aca="false">(1+Overview!$I$28)*SUM(TblImps[[#This Row],[P6]:[G6]])+OFFSET(TblImps[[#This Row],[Σ Walls]],-1,0)</f>
        <v>0</v>
      </c>
      <c r="AK29" s="33" t="n">
        <f aca="false">(1+Overview!$I$28 + tech_7_1*TblTech[[#This Row],[7-1]])*SUM(TblImps[[#This Row],[P7]:[G7]])+OFFSET(TblImps[[#This Row],[Σ Irrigation]],-1,0)</f>
        <v>0</v>
      </c>
      <c r="AL29" s="132"/>
      <c r="AM29" s="26" t="n">
        <f aca="false">IF(AND(TblImps[[#This Row],[Resource]]=AM$2,TblImps[[#This Row],[Part]]&lt;&gt;""),TblImps[[#This Row],[Amount]]) + IF(AND(TblImps[[#This Row],[Resource 2]]=AM$2,TblImps[[#This Row],[Part 2]]&lt;&gt;""),TblImps[[#This Row],[Amount 2]]) + IF(AND(TblImps[[#This Row],[Resource 3]]=AM$2,TblImps[[#This Row],[Part 3]]&lt;&gt;""),TblImps[[#This Row],[Amount 3]])</f>
        <v>0</v>
      </c>
      <c r="AN29" s="26" t="n">
        <f aca="false">IF(AND(TblImps[[#This Row],[Resource]]=AN$2,TblImps[[#This Row],[Part]]&lt;&gt;""),TblImps[[#This Row],[Amount]]) + IF(AND(TblImps[[#This Row],[Resource 2]]=AN$2,TblImps[[#This Row],[Part 2]]&lt;&gt;""),TblImps[[#This Row],[Amount 2]]) + IF(AND(TblImps[[#This Row],[Resource 3]]=AN$2,TblImps[[#This Row],[Part 3]]&lt;&gt;""),TblImps[[#This Row],[Amount 3]])</f>
        <v>0</v>
      </c>
      <c r="AO29" s="26" t="n">
        <f aca="false">IF(AND(TblImps[[#This Row],[Resource]]=AO$2,TblImps[[#This Row],[Part]]&lt;&gt;""),TblImps[[#This Row],[Amount]]) + IF(AND(TblImps[[#This Row],[Resource 2]]=AO$2,TblImps[[#This Row],[Part 2]]&lt;&gt;""),TblImps[[#This Row],[Amount 2]]) + IF(AND(TblImps[[#This Row],[Resource 3]]=AO$2,TblImps[[#This Row],[Part 3]]&lt;&gt;""),TblImps[[#This Row],[Amount 3]])</f>
        <v>0</v>
      </c>
      <c r="AP29" s="26" t="n">
        <f aca="false">IF(AND(TblImps[[#This Row],[Resource]]=AP$2,TblImps[[#This Row],[Part]]&lt;&gt;""),TblImps[[#This Row],[Amount]]) + IF(AND(TblImps[[#This Row],[Resource 2]]=AP$2,TblImps[[#This Row],[Part 2]]&lt;&gt;""),TblImps[[#This Row],[Amount 2]]) + IF(AND(TblImps[[#This Row],[Resource 3]]=AP$2,TblImps[[#This Row],[Part 3]]&lt;&gt;""),TblImps[[#This Row],[Amount 3]])</f>
        <v>0</v>
      </c>
      <c r="AQ29" s="132"/>
      <c r="AR2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32"/>
      <c r="AW2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32"/>
      <c r="BB2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32"/>
      <c r="BG2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32"/>
      <c r="BL2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32"/>
      <c r="BQ2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32"/>
      <c r="BV29"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9" s="33" t="n">
        <f aca="false">TblImps[[#This Row],[Login]]</f>
        <v>1</v>
      </c>
      <c r="BX29" s="128"/>
      <c r="BY29" s="347" t="n">
        <f aca="false">OFFSET(TblImps[[#This Row],[Real time]],-1,0)+1/24</f>
        <v>45430.7916666667</v>
      </c>
      <c r="BZ29" s="348" t="n">
        <f aca="false">OFFSET(TblImps[[#This Row],[Servertime]],-1,0)+1/24</f>
        <v>45431.0416666667</v>
      </c>
      <c r="CA29" s="26"/>
      <c r="CB29" s="346"/>
      <c r="CC29" s="346"/>
    </row>
    <row r="30" customFormat="false" ht="12.75" hidden="false" customHeight="false" outlineLevel="0" collapsed="false">
      <c r="A30" s="181" t="n">
        <f aca="false">TblConstr[[#This Row],[Land]]</f>
        <v>299</v>
      </c>
      <c r="B30" s="132"/>
      <c r="C30" s="69" t="n">
        <f aca="false">TblProd[[#This Row],[Platinum]]</f>
        <v>79053</v>
      </c>
      <c r="D30" s="69" t="n">
        <f aca="false">TblProd[[#This Row],[Lumber]]</f>
        <v>9538</v>
      </c>
      <c r="E30" s="69" t="n">
        <f aca="false">TblProd[[#This Row],[Ore]]</f>
        <v>0</v>
      </c>
      <c r="F30" s="69" t="n">
        <f aca="false">TblProd[[#This Row],[Gems]]</f>
        <v>0</v>
      </c>
      <c r="G30" s="146"/>
      <c r="H30" s="69" t="n">
        <f aca="false">TblMili[[#This Row],[Draftees]]</f>
        <v>246</v>
      </c>
      <c r="I30" s="130" t="n">
        <f aca="false">TblPop[[#This Row],[Employment]]</f>
        <v>1</v>
      </c>
      <c r="J30" s="130" t="n">
        <f aca="false">TblPop[[#This Row],[Total]]/TblPop[[#This Row],[Net max]]</f>
        <v>0.890615288999379</v>
      </c>
      <c r="K30" s="336" t="n">
        <f aca="false">TblRezone[[#This Row],[Hour]]</f>
        <v>27</v>
      </c>
      <c r="L30" s="337" t="n">
        <f aca="false">TblImps[[#This Row],[Real time]]</f>
        <v>45430.8333333333</v>
      </c>
      <c r="M30" s="33" t="n">
        <f aca="false">IF(ISERROR(TblImps[[#This Row],[algorithm]]),0,TblImps[[#This Row],[algorithm]]*1)</f>
        <v>0</v>
      </c>
      <c r="N30" s="69" t="n">
        <f aca="false">TblImps[[#This Row],[Land]]</f>
        <v>299</v>
      </c>
      <c r="O30" s="338" t="s">
        <v>97</v>
      </c>
      <c r="P30" s="339"/>
      <c r="Q30" s="338" t="s">
        <v>734</v>
      </c>
      <c r="R30" s="338" t="s">
        <v>93</v>
      </c>
      <c r="S30" s="339"/>
      <c r="T30" s="338" t="s">
        <v>734</v>
      </c>
      <c r="U30" s="338" t="s">
        <v>35</v>
      </c>
      <c r="V30" s="339"/>
      <c r="W30" s="338" t="s">
        <v>734</v>
      </c>
      <c r="X30" s="132"/>
      <c r="Y30" s="340" t="n">
        <f aca="false">science_cap*(1-EXP(-TblImps[[#This Row],[Σ Science]]/(science_param*(OFFSET(TblImps[[#This Row],[Land]],1,0)-OFFSET(TblExplore[[#This Row],[Land Bonus]],1,0)*20)+15000)))*(1+(mason_bonus*TblConstr[[#This Row],[Tot Mas]]/TblConstr[[#This Row],[Land (2)]]))</f>
        <v>0</v>
      </c>
      <c r="Z30" s="340" t="n">
        <f aca="false">keep_cap*(1-EXP(-TblImps[[#This Row],[Σ Keep]]/(keep_param*(OFFSET(TblImps[[#This Row],[Land]],1,0)-OFFSET(TblExplore[[#This Row],[Land Bonus]],1,0)*20)+15000)))*(1+(mason_bonus*TblConstr[[#This Row],[Tot Mas]]/TblConstr[[#This Row],[Land (2)]]))</f>
        <v>0</v>
      </c>
      <c r="AA30" s="340" t="n">
        <f aca="false">harbor_towers_cap*(1-EXP(-TblImps[[#This Row],[Σ Towers]]/(towers_param*(OFFSET(TblImps[[#This Row],[Land]],1,0)-OFFSET(TblExplore[[#This Row],[Land Bonus]],1,0)*20)+15000)))*(1+(mason_bonus*TblConstr[[#This Row],[Tot Mas]]/TblConstr[[#This Row],[Land (2)]]))</f>
        <v>0</v>
      </c>
      <c r="AB30" s="340" t="n">
        <f aca="false">walls_forges_cap*(1-EXP(-TblImps[[#This Row],[Σ Forges]]/(walls_forges_param*(OFFSET(TblImps[[#This Row],[Land]],1,0)-OFFSET(TblExplore[[#This Row],[Land Bonus]],1,0)*20)+15000)))*(1+(mason_bonus*TblConstr[[#This Row],[Tot Mas]]/TblConstr[[#This Row],[Land (2)]]))</f>
        <v>0</v>
      </c>
      <c r="AC30" s="340" t="n">
        <f aca="false">walls_forges_cap*(1-EXP(-TblImps[[#This Row],[Σ Walls]]/(walls_forges_param*(OFFSET(TblImps[[#This Row],[Land]],1,0)-OFFSET(TblExplore[[#This Row],[Land Bonus]],1,0)*20)+15000)))*(1+(mason_bonus*TblConstr[[#This Row],[Tot Mas]]/TblConstr[[#This Row],[Land (2)]]))</f>
        <v>0</v>
      </c>
      <c r="AD30" s="340" t="n">
        <f aca="false">harbor_towers_cap*(1-EXP(-TblImps[[#This Row],[Σ Irrigation]]/(harbor_towers_param*(OFFSET(TblImps[[#This Row],[Land]],1,0)-OFFSET(TblExplore[[#This Row],[Land Bonus]],1,0)*20)+15000)))*(1+(mason_bonus*TblConstr[[#This Row],[Tot Mas]]/TblConstr[[#This Row],[Land (2)]]))</f>
        <v>0</v>
      </c>
      <c r="AE30" s="132"/>
      <c r="AF30" s="33" t="n">
        <f aca="false">(1+Overview!$I$28)*SUM(TblImps[[#This Row],[P2]:[G2]])+OFFSET(TblImps[[#This Row],[Σ Science]],-1,0)</f>
        <v>0</v>
      </c>
      <c r="AG30" s="33" t="n">
        <f aca="false">(1+Overview!$I$28)*SUM(TblImps[[#This Row],[P3]:[G3]])+OFFSET(TblImps[[#This Row],[Σ Keep]],-1,0)</f>
        <v>0</v>
      </c>
      <c r="AH30" s="33" t="n">
        <f aca="false">(1+Overview!$I$28 + tech_7_1*TblTech[[#This Row],[7-1]])*SUM(TblImps[[#This Row],[P4]:[G4]])+OFFSET(TblImps[[#This Row],[Σ Towers]],-1,0)</f>
        <v>0</v>
      </c>
      <c r="AI30" s="33" t="n">
        <f aca="false">(1+Overview!$I$28)*SUM(TblImps[[#This Row],[P5]:[G5]])+OFFSET(TblImps[[#This Row],[Σ Forges]],-1,0)</f>
        <v>0</v>
      </c>
      <c r="AJ30" s="33" t="n">
        <f aca="false">(1+Overview!$I$28)*SUM(TblImps[[#This Row],[P6]:[G6]])+OFFSET(TblImps[[#This Row],[Σ Walls]],-1,0)</f>
        <v>0</v>
      </c>
      <c r="AK30" s="33" t="n">
        <f aca="false">(1+Overview!$I$28 + tech_7_1*TblTech[[#This Row],[7-1]])*SUM(TblImps[[#This Row],[P7]:[G7]])+OFFSET(TblImps[[#This Row],[Σ Irrigation]],-1,0)</f>
        <v>0</v>
      </c>
      <c r="AL30" s="132"/>
      <c r="AM30" s="26" t="n">
        <f aca="false">IF(AND(TblImps[[#This Row],[Resource]]=AM$2,TblImps[[#This Row],[Part]]&lt;&gt;""),TblImps[[#This Row],[Amount]]) + IF(AND(TblImps[[#This Row],[Resource 2]]=AM$2,TblImps[[#This Row],[Part 2]]&lt;&gt;""),TblImps[[#This Row],[Amount 2]]) + IF(AND(TblImps[[#This Row],[Resource 3]]=AM$2,TblImps[[#This Row],[Part 3]]&lt;&gt;""),TblImps[[#This Row],[Amount 3]])</f>
        <v>0</v>
      </c>
      <c r="AN30" s="26" t="n">
        <f aca="false">IF(AND(TblImps[[#This Row],[Resource]]=AN$2,TblImps[[#This Row],[Part]]&lt;&gt;""),TblImps[[#This Row],[Amount]]) + IF(AND(TblImps[[#This Row],[Resource 2]]=AN$2,TblImps[[#This Row],[Part 2]]&lt;&gt;""),TblImps[[#This Row],[Amount 2]]) + IF(AND(TblImps[[#This Row],[Resource 3]]=AN$2,TblImps[[#This Row],[Part 3]]&lt;&gt;""),TblImps[[#This Row],[Amount 3]])</f>
        <v>0</v>
      </c>
      <c r="AO30" s="26" t="n">
        <f aca="false">IF(AND(TblImps[[#This Row],[Resource]]=AO$2,TblImps[[#This Row],[Part]]&lt;&gt;""),TblImps[[#This Row],[Amount]]) + IF(AND(TblImps[[#This Row],[Resource 2]]=AO$2,TblImps[[#This Row],[Part 2]]&lt;&gt;""),TblImps[[#This Row],[Amount 2]]) + IF(AND(TblImps[[#This Row],[Resource 3]]=AO$2,TblImps[[#This Row],[Part 3]]&lt;&gt;""),TblImps[[#This Row],[Amount 3]])</f>
        <v>0</v>
      </c>
      <c r="AP30" s="26" t="n">
        <f aca="false">IF(AND(TblImps[[#This Row],[Resource]]=AP$2,TblImps[[#This Row],[Part]]&lt;&gt;""),TblImps[[#This Row],[Amount]]) + IF(AND(TblImps[[#This Row],[Resource 2]]=AP$2,TblImps[[#This Row],[Part 2]]&lt;&gt;""),TblImps[[#This Row],[Amount 2]]) + IF(AND(TblImps[[#This Row],[Resource 3]]=AP$2,TblImps[[#This Row],[Part 3]]&lt;&gt;""),TblImps[[#This Row],[Amount 3]])</f>
        <v>0</v>
      </c>
      <c r="AQ30" s="132"/>
      <c r="AR3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32"/>
      <c r="AW3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32"/>
      <c r="BB3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32"/>
      <c r="BG3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32"/>
      <c r="BL3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32"/>
      <c r="BQ3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32"/>
      <c r="BV30"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33" t="n">
        <f aca="false">TblImps[[#This Row],[Login]]</f>
        <v>0</v>
      </c>
      <c r="BX30" s="128"/>
      <c r="BY30" s="347" t="n">
        <f aca="false">OFFSET(TblImps[[#This Row],[Real time]],-1,0)+1/24</f>
        <v>45430.8333333333</v>
      </c>
      <c r="BZ30" s="348" t="n">
        <f aca="false">OFFSET(TblImps[[#This Row],[Servertime]],-1,0)+1/24</f>
        <v>45431.0833333333</v>
      </c>
      <c r="CA30" s="26"/>
      <c r="CB30" s="346"/>
      <c r="CC30" s="346"/>
      <c r="CD30" s="1" t="s">
        <v>97</v>
      </c>
    </row>
    <row r="31" customFormat="false" ht="12.75" hidden="false" customHeight="false" outlineLevel="0" collapsed="false">
      <c r="A31" s="181" t="n">
        <f aca="false">TblConstr[[#This Row],[Land]]</f>
        <v>299</v>
      </c>
      <c r="B31" s="132"/>
      <c r="C31" s="69" t="n">
        <f aca="false">TblProd[[#This Row],[Platinum]]</f>
        <v>99065</v>
      </c>
      <c r="D31" s="69" t="n">
        <f aca="false">TblProd[[#This Row],[Lumber]]</f>
        <v>10343</v>
      </c>
      <c r="E31" s="69" t="n">
        <f aca="false">TblProd[[#This Row],[Ore]]</f>
        <v>0</v>
      </c>
      <c r="F31" s="69" t="n">
        <f aca="false">TblProd[[#This Row],[Gems]]</f>
        <v>0</v>
      </c>
      <c r="G31" s="146"/>
      <c r="H31" s="69" t="n">
        <f aca="false">TblMili[[#This Row],[Draftees]]</f>
        <v>287</v>
      </c>
      <c r="I31" s="130" t="n">
        <f aca="false">TblPop[[#This Row],[Employment]]</f>
        <v>1</v>
      </c>
      <c r="J31" s="130" t="n">
        <f aca="false">TblPop[[#This Row],[Total]]/TblPop[[#This Row],[Net max]]</f>
        <v>0.951522684897452</v>
      </c>
      <c r="K31" s="336" t="n">
        <f aca="false">TblRezone[[#This Row],[Hour]]</f>
        <v>28</v>
      </c>
      <c r="L31" s="337" t="n">
        <f aca="false">TblImps[[#This Row],[Real time]]</f>
        <v>45430.875</v>
      </c>
      <c r="M31" s="33" t="n">
        <f aca="false">IF(ISERROR(TblImps[[#This Row],[algorithm]]),0,TblImps[[#This Row],[algorithm]]*1)</f>
        <v>1</v>
      </c>
      <c r="N31" s="69" t="n">
        <f aca="false">TblImps[[#This Row],[Land]]</f>
        <v>299</v>
      </c>
      <c r="O31" s="338" t="s">
        <v>97</v>
      </c>
      <c r="P31" s="339"/>
      <c r="Q31" s="338" t="s">
        <v>734</v>
      </c>
      <c r="R31" s="338" t="s">
        <v>93</v>
      </c>
      <c r="S31" s="339"/>
      <c r="T31" s="338" t="s">
        <v>734</v>
      </c>
      <c r="U31" s="338" t="s">
        <v>35</v>
      </c>
      <c r="V31" s="339"/>
      <c r="W31" s="338" t="s">
        <v>734</v>
      </c>
      <c r="X31" s="132"/>
      <c r="Y31" s="340" t="n">
        <f aca="false">science_cap*(1-EXP(-TblImps[[#This Row],[Σ Science]]/(science_param*(OFFSET(TblImps[[#This Row],[Land]],1,0)-OFFSET(TblExplore[[#This Row],[Land Bonus]],1,0)*20)+15000)))*(1+(mason_bonus*TblConstr[[#This Row],[Tot Mas]]/TblConstr[[#This Row],[Land (2)]]))</f>
        <v>0</v>
      </c>
      <c r="Z31" s="340" t="n">
        <f aca="false">keep_cap*(1-EXP(-TblImps[[#This Row],[Σ Keep]]/(keep_param*(OFFSET(TblImps[[#This Row],[Land]],1,0)-OFFSET(TblExplore[[#This Row],[Land Bonus]],1,0)*20)+15000)))*(1+(mason_bonus*TblConstr[[#This Row],[Tot Mas]]/TblConstr[[#This Row],[Land (2)]]))</f>
        <v>0</v>
      </c>
      <c r="AA31" s="340" t="n">
        <f aca="false">harbor_towers_cap*(1-EXP(-TblImps[[#This Row],[Σ Towers]]/(towers_param*(OFFSET(TblImps[[#This Row],[Land]],1,0)-OFFSET(TblExplore[[#This Row],[Land Bonus]],1,0)*20)+15000)))*(1+(mason_bonus*TblConstr[[#This Row],[Tot Mas]]/TblConstr[[#This Row],[Land (2)]]))</f>
        <v>0</v>
      </c>
      <c r="AB31" s="340" t="n">
        <f aca="false">walls_forges_cap*(1-EXP(-TblImps[[#This Row],[Σ Forges]]/(walls_forges_param*(OFFSET(TblImps[[#This Row],[Land]],1,0)-OFFSET(TblExplore[[#This Row],[Land Bonus]],1,0)*20)+15000)))*(1+(mason_bonus*TblConstr[[#This Row],[Tot Mas]]/TblConstr[[#This Row],[Land (2)]]))</f>
        <v>0</v>
      </c>
      <c r="AC31" s="340" t="n">
        <f aca="false">walls_forges_cap*(1-EXP(-TblImps[[#This Row],[Σ Walls]]/(walls_forges_param*(OFFSET(TblImps[[#This Row],[Land]],1,0)-OFFSET(TblExplore[[#This Row],[Land Bonus]],1,0)*20)+15000)))*(1+(mason_bonus*TblConstr[[#This Row],[Tot Mas]]/TblConstr[[#This Row],[Land (2)]]))</f>
        <v>0</v>
      </c>
      <c r="AD31" s="340" t="n">
        <f aca="false">harbor_towers_cap*(1-EXP(-TblImps[[#This Row],[Σ Irrigation]]/(harbor_towers_param*(OFFSET(TblImps[[#This Row],[Land]],1,0)-OFFSET(TblExplore[[#This Row],[Land Bonus]],1,0)*20)+15000)))*(1+(mason_bonus*TblConstr[[#This Row],[Tot Mas]]/TblConstr[[#This Row],[Land (2)]]))</f>
        <v>0</v>
      </c>
      <c r="AE31" s="132"/>
      <c r="AF31" s="33" t="n">
        <f aca="false">(1+Overview!$I$28)*SUM(TblImps[[#This Row],[P2]:[G2]])+OFFSET(TblImps[[#This Row],[Σ Science]],-1,0)</f>
        <v>0</v>
      </c>
      <c r="AG31" s="33" t="n">
        <f aca="false">(1+Overview!$I$28)*SUM(TblImps[[#This Row],[P3]:[G3]])+OFFSET(TblImps[[#This Row],[Σ Keep]],-1,0)</f>
        <v>0</v>
      </c>
      <c r="AH31" s="33" t="n">
        <f aca="false">(1+Overview!$I$28 + tech_7_1*TblTech[[#This Row],[7-1]])*SUM(TblImps[[#This Row],[P4]:[G4]])+OFFSET(TblImps[[#This Row],[Σ Towers]],-1,0)</f>
        <v>0</v>
      </c>
      <c r="AI31" s="33" t="n">
        <f aca="false">(1+Overview!$I$28)*SUM(TblImps[[#This Row],[P5]:[G5]])+OFFSET(TblImps[[#This Row],[Σ Forges]],-1,0)</f>
        <v>0</v>
      </c>
      <c r="AJ31" s="33" t="n">
        <f aca="false">(1+Overview!$I$28)*SUM(TblImps[[#This Row],[P6]:[G6]])+OFFSET(TblImps[[#This Row],[Σ Walls]],-1,0)</f>
        <v>0</v>
      </c>
      <c r="AK31" s="33" t="n">
        <f aca="false">(1+Overview!$I$28 + tech_7_1*TblTech[[#This Row],[7-1]])*SUM(TblImps[[#This Row],[P7]:[G7]])+OFFSET(TblImps[[#This Row],[Σ Irrigation]],-1,0)</f>
        <v>0</v>
      </c>
      <c r="AL31" s="132"/>
      <c r="AM31" s="26" t="n">
        <f aca="false">IF(AND(TblImps[[#This Row],[Resource]]=AM$2,TblImps[[#This Row],[Part]]&lt;&gt;""),TblImps[[#This Row],[Amount]]) + IF(AND(TblImps[[#This Row],[Resource 2]]=AM$2,TblImps[[#This Row],[Part 2]]&lt;&gt;""),TblImps[[#This Row],[Amount 2]]) + IF(AND(TblImps[[#This Row],[Resource 3]]=AM$2,TblImps[[#This Row],[Part 3]]&lt;&gt;""),TblImps[[#This Row],[Amount 3]])</f>
        <v>0</v>
      </c>
      <c r="AN31" s="26" t="n">
        <f aca="false">IF(AND(TblImps[[#This Row],[Resource]]=AN$2,TblImps[[#This Row],[Part]]&lt;&gt;""),TblImps[[#This Row],[Amount]]) + IF(AND(TblImps[[#This Row],[Resource 2]]=AN$2,TblImps[[#This Row],[Part 2]]&lt;&gt;""),TblImps[[#This Row],[Amount 2]]) + IF(AND(TblImps[[#This Row],[Resource 3]]=AN$2,TblImps[[#This Row],[Part 3]]&lt;&gt;""),TblImps[[#This Row],[Amount 3]])</f>
        <v>0</v>
      </c>
      <c r="AO31" s="26" t="n">
        <f aca="false">IF(AND(TblImps[[#This Row],[Resource]]=AO$2,TblImps[[#This Row],[Part]]&lt;&gt;""),TblImps[[#This Row],[Amount]]) + IF(AND(TblImps[[#This Row],[Resource 2]]=AO$2,TblImps[[#This Row],[Part 2]]&lt;&gt;""),TblImps[[#This Row],[Amount 2]]) + IF(AND(TblImps[[#This Row],[Resource 3]]=AO$2,TblImps[[#This Row],[Part 3]]&lt;&gt;""),TblImps[[#This Row],[Amount 3]])</f>
        <v>0</v>
      </c>
      <c r="AP31" s="26" t="n">
        <f aca="false">IF(AND(TblImps[[#This Row],[Resource]]=AP$2,TblImps[[#This Row],[Part]]&lt;&gt;""),TblImps[[#This Row],[Amount]]) + IF(AND(TblImps[[#This Row],[Resource 2]]=AP$2,TblImps[[#This Row],[Part 2]]&lt;&gt;""),TblImps[[#This Row],[Amount 2]]) + IF(AND(TblImps[[#This Row],[Resource 3]]=AP$2,TblImps[[#This Row],[Part 3]]&lt;&gt;""),TblImps[[#This Row],[Amount 3]])</f>
        <v>0</v>
      </c>
      <c r="AQ31" s="132"/>
      <c r="AR3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32"/>
      <c r="AW3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32"/>
      <c r="BB3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32"/>
      <c r="BG3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32"/>
      <c r="BL3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32"/>
      <c r="BQ3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32"/>
      <c r="BV31"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1" s="33" t="n">
        <f aca="false">TblImps[[#This Row],[Login]]</f>
        <v>1</v>
      </c>
      <c r="BX31" s="128"/>
      <c r="BY31" s="347" t="n">
        <f aca="false">OFFSET(TblImps[[#This Row],[Real time]],-1,0)+1/24</f>
        <v>45430.875</v>
      </c>
      <c r="BZ31" s="348" t="n">
        <f aca="false">OFFSET(TblImps[[#This Row],[Servertime]],-1,0)+1/24</f>
        <v>45431.125</v>
      </c>
      <c r="CA31" s="26"/>
      <c r="CB31" s="346"/>
      <c r="CC31" s="346"/>
      <c r="CD31" s="1" t="s">
        <v>93</v>
      </c>
    </row>
    <row r="32" customFormat="false" ht="12.75" hidden="false" customHeight="false" outlineLevel="0" collapsed="false">
      <c r="A32" s="181" t="n">
        <f aca="false">TblConstr[[#This Row],[Land]]</f>
        <v>299</v>
      </c>
      <c r="B32" s="132"/>
      <c r="C32" s="69" t="n">
        <f aca="false">TblProd[[#This Row],[Platinum]]</f>
        <v>38976</v>
      </c>
      <c r="D32" s="69" t="n">
        <f aca="false">TblProd[[#This Row],[Lumber]]</f>
        <v>11140</v>
      </c>
      <c r="E32" s="69" t="n">
        <f aca="false">TblProd[[#This Row],[Ore]]</f>
        <v>0</v>
      </c>
      <c r="F32" s="69" t="n">
        <f aca="false">TblProd[[#This Row],[Gems]]</f>
        <v>0</v>
      </c>
      <c r="G32" s="146"/>
      <c r="H32" s="69" t="n">
        <f aca="false">TblMili[[#This Row],[Draftees]]</f>
        <v>2</v>
      </c>
      <c r="I32" s="130" t="n">
        <f aca="false">TblPop[[#This Row],[Employment]]</f>
        <v>1</v>
      </c>
      <c r="J32" s="130" t="n">
        <f aca="false">TblPop[[#This Row],[Total]]/TblPop[[#This Row],[Net max]]</f>
        <v>0.932048891651129</v>
      </c>
      <c r="K32" s="336" t="n">
        <f aca="false">TblRezone[[#This Row],[Hour]]</f>
        <v>29</v>
      </c>
      <c r="L32" s="337" t="n">
        <f aca="false">TblImps[[#This Row],[Real time]]</f>
        <v>45430.9166666667</v>
      </c>
      <c r="M32" s="33" t="n">
        <f aca="false">IF(ISERROR(TblImps[[#This Row],[algorithm]]),0,TblImps[[#This Row],[algorithm]]*1)</f>
        <v>1</v>
      </c>
      <c r="N32" s="69" t="n">
        <f aca="false">TblImps[[#This Row],[Land]]</f>
        <v>299</v>
      </c>
      <c r="O32" s="338" t="s">
        <v>97</v>
      </c>
      <c r="P32" s="339"/>
      <c r="Q32" s="338" t="s">
        <v>734</v>
      </c>
      <c r="R32" s="338" t="s">
        <v>93</v>
      </c>
      <c r="S32" s="339"/>
      <c r="T32" s="338" t="s">
        <v>734</v>
      </c>
      <c r="U32" s="338" t="s">
        <v>35</v>
      </c>
      <c r="V32" s="339"/>
      <c r="W32" s="338" t="s">
        <v>734</v>
      </c>
      <c r="X32" s="132"/>
      <c r="Y32" s="340" t="n">
        <f aca="false">science_cap*(1-EXP(-TblImps[[#This Row],[Σ Science]]/(science_param*(OFFSET(TblImps[[#This Row],[Land]],1,0)-OFFSET(TblExplore[[#This Row],[Land Bonus]],1,0)*20)+15000)))*(1+(mason_bonus*TblConstr[[#This Row],[Tot Mas]]/TblConstr[[#This Row],[Land (2)]]))</f>
        <v>0</v>
      </c>
      <c r="Z32" s="340" t="n">
        <f aca="false">keep_cap*(1-EXP(-TblImps[[#This Row],[Σ Keep]]/(keep_param*(OFFSET(TblImps[[#This Row],[Land]],1,0)-OFFSET(TblExplore[[#This Row],[Land Bonus]],1,0)*20)+15000)))*(1+(mason_bonus*TblConstr[[#This Row],[Tot Mas]]/TblConstr[[#This Row],[Land (2)]]))</f>
        <v>0</v>
      </c>
      <c r="AA32" s="340" t="n">
        <f aca="false">harbor_towers_cap*(1-EXP(-TblImps[[#This Row],[Σ Towers]]/(towers_param*(OFFSET(TblImps[[#This Row],[Land]],1,0)-OFFSET(TblExplore[[#This Row],[Land Bonus]],1,0)*20)+15000)))*(1+(mason_bonus*TblConstr[[#This Row],[Tot Mas]]/TblConstr[[#This Row],[Land (2)]]))</f>
        <v>0</v>
      </c>
      <c r="AB32" s="340" t="n">
        <f aca="false">walls_forges_cap*(1-EXP(-TblImps[[#This Row],[Σ Forges]]/(walls_forges_param*(OFFSET(TblImps[[#This Row],[Land]],1,0)-OFFSET(TblExplore[[#This Row],[Land Bonus]],1,0)*20)+15000)))*(1+(mason_bonus*TblConstr[[#This Row],[Tot Mas]]/TblConstr[[#This Row],[Land (2)]]))</f>
        <v>0</v>
      </c>
      <c r="AC32" s="340" t="n">
        <f aca="false">walls_forges_cap*(1-EXP(-TblImps[[#This Row],[Σ Walls]]/(walls_forges_param*(OFFSET(TblImps[[#This Row],[Land]],1,0)-OFFSET(TblExplore[[#This Row],[Land Bonus]],1,0)*20)+15000)))*(1+(mason_bonus*TblConstr[[#This Row],[Tot Mas]]/TblConstr[[#This Row],[Land (2)]]))</f>
        <v>0</v>
      </c>
      <c r="AD32" s="340" t="n">
        <f aca="false">harbor_towers_cap*(1-EXP(-TblImps[[#This Row],[Σ Irrigation]]/(harbor_towers_param*(OFFSET(TblImps[[#This Row],[Land]],1,0)-OFFSET(TblExplore[[#This Row],[Land Bonus]],1,0)*20)+15000)))*(1+(mason_bonus*TblConstr[[#This Row],[Tot Mas]]/TblConstr[[#This Row],[Land (2)]]))</f>
        <v>0</v>
      </c>
      <c r="AE32" s="132"/>
      <c r="AF32" s="33" t="n">
        <f aca="false">(1+Overview!$I$28)*SUM(TblImps[[#This Row],[P2]:[G2]])+OFFSET(TblImps[[#This Row],[Σ Science]],-1,0)</f>
        <v>0</v>
      </c>
      <c r="AG32" s="33" t="n">
        <f aca="false">(1+Overview!$I$28)*SUM(TblImps[[#This Row],[P3]:[G3]])+OFFSET(TblImps[[#This Row],[Σ Keep]],-1,0)</f>
        <v>0</v>
      </c>
      <c r="AH32" s="33" t="n">
        <f aca="false">(1+Overview!$I$28 + tech_7_1*TblTech[[#This Row],[7-1]])*SUM(TblImps[[#This Row],[P4]:[G4]])+OFFSET(TblImps[[#This Row],[Σ Towers]],-1,0)</f>
        <v>0</v>
      </c>
      <c r="AI32" s="33" t="n">
        <f aca="false">(1+Overview!$I$28)*SUM(TblImps[[#This Row],[P5]:[G5]])+OFFSET(TblImps[[#This Row],[Σ Forges]],-1,0)</f>
        <v>0</v>
      </c>
      <c r="AJ32" s="33" t="n">
        <f aca="false">(1+Overview!$I$28)*SUM(TblImps[[#This Row],[P6]:[G6]])+OFFSET(TblImps[[#This Row],[Σ Walls]],-1,0)</f>
        <v>0</v>
      </c>
      <c r="AK32" s="33" t="n">
        <f aca="false">(1+Overview!$I$28 + tech_7_1*TblTech[[#This Row],[7-1]])*SUM(TblImps[[#This Row],[P7]:[G7]])+OFFSET(TblImps[[#This Row],[Σ Irrigation]],-1,0)</f>
        <v>0</v>
      </c>
      <c r="AL32" s="132"/>
      <c r="AM32" s="26" t="n">
        <f aca="false">IF(AND(TblImps[[#This Row],[Resource]]=AM$2,TblImps[[#This Row],[Part]]&lt;&gt;""),TblImps[[#This Row],[Amount]]) + IF(AND(TblImps[[#This Row],[Resource 2]]=AM$2,TblImps[[#This Row],[Part 2]]&lt;&gt;""),TblImps[[#This Row],[Amount 2]]) + IF(AND(TblImps[[#This Row],[Resource 3]]=AM$2,TblImps[[#This Row],[Part 3]]&lt;&gt;""),TblImps[[#This Row],[Amount 3]])</f>
        <v>0</v>
      </c>
      <c r="AN32" s="26" t="n">
        <f aca="false">IF(AND(TblImps[[#This Row],[Resource]]=AN$2,TblImps[[#This Row],[Part]]&lt;&gt;""),TblImps[[#This Row],[Amount]]) + IF(AND(TblImps[[#This Row],[Resource 2]]=AN$2,TblImps[[#This Row],[Part 2]]&lt;&gt;""),TblImps[[#This Row],[Amount 2]]) + IF(AND(TblImps[[#This Row],[Resource 3]]=AN$2,TblImps[[#This Row],[Part 3]]&lt;&gt;""),TblImps[[#This Row],[Amount 3]])</f>
        <v>0</v>
      </c>
      <c r="AO32" s="26" t="n">
        <f aca="false">IF(AND(TblImps[[#This Row],[Resource]]=AO$2,TblImps[[#This Row],[Part]]&lt;&gt;""),TblImps[[#This Row],[Amount]]) + IF(AND(TblImps[[#This Row],[Resource 2]]=AO$2,TblImps[[#This Row],[Part 2]]&lt;&gt;""),TblImps[[#This Row],[Amount 2]]) + IF(AND(TblImps[[#This Row],[Resource 3]]=AO$2,TblImps[[#This Row],[Part 3]]&lt;&gt;""),TblImps[[#This Row],[Amount 3]])</f>
        <v>0</v>
      </c>
      <c r="AP32" s="26" t="n">
        <f aca="false">IF(AND(TblImps[[#This Row],[Resource]]=AP$2,TblImps[[#This Row],[Part]]&lt;&gt;""),TblImps[[#This Row],[Amount]]) + IF(AND(TblImps[[#This Row],[Resource 2]]=AP$2,TblImps[[#This Row],[Part 2]]&lt;&gt;""),TblImps[[#This Row],[Amount 2]]) + IF(AND(TblImps[[#This Row],[Resource 3]]=AP$2,TblImps[[#This Row],[Part 3]]&lt;&gt;""),TblImps[[#This Row],[Amount 3]])</f>
        <v>0</v>
      </c>
      <c r="AQ32" s="132"/>
      <c r="AR3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32"/>
      <c r="AW3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32"/>
      <c r="BB3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32"/>
      <c r="BG3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32"/>
      <c r="BL3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32"/>
      <c r="BQ3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32"/>
      <c r="BV32"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2" s="33" t="n">
        <f aca="false">TblImps[[#This Row],[Login]]</f>
        <v>1</v>
      </c>
      <c r="BX32" s="128"/>
      <c r="BY32" s="347" t="n">
        <f aca="false">OFFSET(TblImps[[#This Row],[Real time]],-1,0)+1/24</f>
        <v>45430.9166666667</v>
      </c>
      <c r="BZ32" s="348" t="n">
        <f aca="false">OFFSET(TblImps[[#This Row],[Servertime]],-1,0)+1/24</f>
        <v>45431.1666666667</v>
      </c>
      <c r="CA32" s="26"/>
      <c r="CB32" s="346"/>
      <c r="CC32" s="346"/>
      <c r="CD32" s="1" t="s">
        <v>35</v>
      </c>
    </row>
    <row r="33" customFormat="false" ht="12.75" hidden="false" customHeight="false" outlineLevel="0" collapsed="false">
      <c r="A33" s="181" t="n">
        <f aca="false">TblConstr[[#This Row],[Land]]</f>
        <v>369</v>
      </c>
      <c r="B33" s="132"/>
      <c r="C33" s="69" t="n">
        <f aca="false">TblProd[[#This Row],[Platinum]]</f>
        <v>21478</v>
      </c>
      <c r="D33" s="69" t="n">
        <f aca="false">TblProd[[#This Row],[Lumber]]</f>
        <v>7729</v>
      </c>
      <c r="E33" s="69" t="n">
        <f aca="false">TblProd[[#This Row],[Ore]]</f>
        <v>0</v>
      </c>
      <c r="F33" s="69" t="n">
        <f aca="false">TblProd[[#This Row],[Gems]]</f>
        <v>0</v>
      </c>
      <c r="G33" s="146"/>
      <c r="H33" s="69" t="n">
        <f aca="false">TblMili[[#This Row],[Draftees]]</f>
        <v>2</v>
      </c>
      <c r="I33" s="130" t="n">
        <f aca="false">TblPop[[#This Row],[Employment]]</f>
        <v>1</v>
      </c>
      <c r="J33" s="130" t="n">
        <f aca="false">TblPop[[#This Row],[Total]]/TblPop[[#This Row],[Net max]]</f>
        <v>0.91391237509608</v>
      </c>
      <c r="K33" s="336" t="n">
        <f aca="false">TblRezone[[#This Row],[Hour]]</f>
        <v>30</v>
      </c>
      <c r="L33" s="337" t="n">
        <f aca="false">TblImps[[#This Row],[Real time]]</f>
        <v>45430.9583333333</v>
      </c>
      <c r="M33" s="33" t="n">
        <f aca="false">IF(ISERROR(TblImps[[#This Row],[algorithm]]),0,TblImps[[#This Row],[algorithm]]*1)</f>
        <v>1</v>
      </c>
      <c r="N33" s="69" t="n">
        <f aca="false">TblImps[[#This Row],[Land]]</f>
        <v>369</v>
      </c>
      <c r="O33" s="338" t="s">
        <v>97</v>
      </c>
      <c r="P33" s="339"/>
      <c r="Q33" s="338" t="s">
        <v>734</v>
      </c>
      <c r="R33" s="338" t="s">
        <v>93</v>
      </c>
      <c r="S33" s="339"/>
      <c r="T33" s="338" t="s">
        <v>734</v>
      </c>
      <c r="U33" s="338" t="s">
        <v>35</v>
      </c>
      <c r="V33" s="339"/>
      <c r="W33" s="338" t="s">
        <v>734</v>
      </c>
      <c r="X33" s="132"/>
      <c r="Y33" s="340" t="n">
        <f aca="false">science_cap*(1-EXP(-TblImps[[#This Row],[Σ Science]]/(science_param*(OFFSET(TblImps[[#This Row],[Land]],1,0)-OFFSET(TblExplore[[#This Row],[Land Bonus]],1,0)*20)+15000)))*(1+(mason_bonus*TblConstr[[#This Row],[Tot Mas]]/TblConstr[[#This Row],[Land (2)]]))</f>
        <v>0</v>
      </c>
      <c r="Z33" s="340" t="n">
        <f aca="false">keep_cap*(1-EXP(-TblImps[[#This Row],[Σ Keep]]/(keep_param*(OFFSET(TblImps[[#This Row],[Land]],1,0)-OFFSET(TblExplore[[#This Row],[Land Bonus]],1,0)*20)+15000)))*(1+(mason_bonus*TblConstr[[#This Row],[Tot Mas]]/TblConstr[[#This Row],[Land (2)]]))</f>
        <v>0</v>
      </c>
      <c r="AA33" s="340" t="n">
        <f aca="false">harbor_towers_cap*(1-EXP(-TblImps[[#This Row],[Σ Towers]]/(towers_param*(OFFSET(TblImps[[#This Row],[Land]],1,0)-OFFSET(TblExplore[[#This Row],[Land Bonus]],1,0)*20)+15000)))*(1+(mason_bonus*TblConstr[[#This Row],[Tot Mas]]/TblConstr[[#This Row],[Land (2)]]))</f>
        <v>0</v>
      </c>
      <c r="AB33" s="340" t="n">
        <f aca="false">walls_forges_cap*(1-EXP(-TblImps[[#This Row],[Σ Forges]]/(walls_forges_param*(OFFSET(TblImps[[#This Row],[Land]],1,0)-OFFSET(TblExplore[[#This Row],[Land Bonus]],1,0)*20)+15000)))*(1+(mason_bonus*TblConstr[[#This Row],[Tot Mas]]/TblConstr[[#This Row],[Land (2)]]))</f>
        <v>0</v>
      </c>
      <c r="AC33" s="340" t="n">
        <f aca="false">walls_forges_cap*(1-EXP(-TblImps[[#This Row],[Σ Walls]]/(walls_forges_param*(OFFSET(TblImps[[#This Row],[Land]],1,0)-OFFSET(TblExplore[[#This Row],[Land Bonus]],1,0)*20)+15000)))*(1+(mason_bonus*TblConstr[[#This Row],[Tot Mas]]/TblConstr[[#This Row],[Land (2)]]))</f>
        <v>0</v>
      </c>
      <c r="AD33" s="340" t="n">
        <f aca="false">harbor_towers_cap*(1-EXP(-TblImps[[#This Row],[Σ Irrigation]]/(harbor_towers_param*(OFFSET(TblImps[[#This Row],[Land]],1,0)-OFFSET(TblExplore[[#This Row],[Land Bonus]],1,0)*20)+15000)))*(1+(mason_bonus*TblConstr[[#This Row],[Tot Mas]]/TblConstr[[#This Row],[Land (2)]]))</f>
        <v>0</v>
      </c>
      <c r="AE33" s="132"/>
      <c r="AF33" s="33" t="n">
        <f aca="false">(1+Overview!$I$28)*SUM(TblImps[[#This Row],[P2]:[G2]])+OFFSET(TblImps[[#This Row],[Σ Science]],-1,0)</f>
        <v>0</v>
      </c>
      <c r="AG33" s="33" t="n">
        <f aca="false">(1+Overview!$I$28)*SUM(TblImps[[#This Row],[P3]:[G3]])+OFFSET(TblImps[[#This Row],[Σ Keep]],-1,0)</f>
        <v>0</v>
      </c>
      <c r="AH33" s="33" t="n">
        <f aca="false">(1+Overview!$I$28 + tech_7_1*TblTech[[#This Row],[7-1]])*SUM(TblImps[[#This Row],[P4]:[G4]])+OFFSET(TblImps[[#This Row],[Σ Towers]],-1,0)</f>
        <v>0</v>
      </c>
      <c r="AI33" s="33" t="n">
        <f aca="false">(1+Overview!$I$28)*SUM(TblImps[[#This Row],[P5]:[G5]])+OFFSET(TblImps[[#This Row],[Σ Forges]],-1,0)</f>
        <v>0</v>
      </c>
      <c r="AJ33" s="33" t="n">
        <f aca="false">(1+Overview!$I$28)*SUM(TblImps[[#This Row],[P6]:[G6]])+OFFSET(TblImps[[#This Row],[Σ Walls]],-1,0)</f>
        <v>0</v>
      </c>
      <c r="AK33" s="33" t="n">
        <f aca="false">(1+Overview!$I$28 + tech_7_1*TblTech[[#This Row],[7-1]])*SUM(TblImps[[#This Row],[P7]:[G7]])+OFFSET(TblImps[[#This Row],[Σ Irrigation]],-1,0)</f>
        <v>0</v>
      </c>
      <c r="AL33" s="132"/>
      <c r="AM33" s="26" t="n">
        <f aca="false">IF(AND(TblImps[[#This Row],[Resource]]=AM$2,TblImps[[#This Row],[Part]]&lt;&gt;""),TblImps[[#This Row],[Amount]]) + IF(AND(TblImps[[#This Row],[Resource 2]]=AM$2,TblImps[[#This Row],[Part 2]]&lt;&gt;""),TblImps[[#This Row],[Amount 2]]) + IF(AND(TblImps[[#This Row],[Resource 3]]=AM$2,TblImps[[#This Row],[Part 3]]&lt;&gt;""),TblImps[[#This Row],[Amount 3]])</f>
        <v>0</v>
      </c>
      <c r="AN33" s="26" t="n">
        <f aca="false">IF(AND(TblImps[[#This Row],[Resource]]=AN$2,TblImps[[#This Row],[Part]]&lt;&gt;""),TblImps[[#This Row],[Amount]]) + IF(AND(TblImps[[#This Row],[Resource 2]]=AN$2,TblImps[[#This Row],[Part 2]]&lt;&gt;""),TblImps[[#This Row],[Amount 2]]) + IF(AND(TblImps[[#This Row],[Resource 3]]=AN$2,TblImps[[#This Row],[Part 3]]&lt;&gt;""),TblImps[[#This Row],[Amount 3]])</f>
        <v>0</v>
      </c>
      <c r="AO33" s="26" t="n">
        <f aca="false">IF(AND(TblImps[[#This Row],[Resource]]=AO$2,TblImps[[#This Row],[Part]]&lt;&gt;""),TblImps[[#This Row],[Amount]]) + IF(AND(TblImps[[#This Row],[Resource 2]]=AO$2,TblImps[[#This Row],[Part 2]]&lt;&gt;""),TblImps[[#This Row],[Amount 2]]) + IF(AND(TblImps[[#This Row],[Resource 3]]=AO$2,TblImps[[#This Row],[Part 3]]&lt;&gt;""),TblImps[[#This Row],[Amount 3]])</f>
        <v>0</v>
      </c>
      <c r="AP33" s="26" t="n">
        <f aca="false">IF(AND(TblImps[[#This Row],[Resource]]=AP$2,TblImps[[#This Row],[Part]]&lt;&gt;""),TblImps[[#This Row],[Amount]]) + IF(AND(TblImps[[#This Row],[Resource 2]]=AP$2,TblImps[[#This Row],[Part 2]]&lt;&gt;""),TblImps[[#This Row],[Amount 2]]) + IF(AND(TblImps[[#This Row],[Resource 3]]=AP$2,TblImps[[#This Row],[Part 3]]&lt;&gt;""),TblImps[[#This Row],[Amount 3]])</f>
        <v>0</v>
      </c>
      <c r="AQ33" s="132"/>
      <c r="AR3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32"/>
      <c r="AW3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32"/>
      <c r="BB3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32"/>
      <c r="BG3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32"/>
      <c r="BL3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32"/>
      <c r="BQ3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32"/>
      <c r="BV33"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3" s="33" t="n">
        <f aca="false">TblImps[[#This Row],[Login]]</f>
        <v>1</v>
      </c>
      <c r="BX33" s="128"/>
      <c r="BY33" s="347" t="n">
        <f aca="false">OFFSET(TblImps[[#This Row],[Real time]],-1,0)+1/24</f>
        <v>45430.9583333333</v>
      </c>
      <c r="BZ33" s="348" t="n">
        <f aca="false">OFFSET(TblImps[[#This Row],[Servertime]],-1,0)+1/24</f>
        <v>45431.2083333333</v>
      </c>
      <c r="CA33" s="26"/>
      <c r="CB33" s="346"/>
      <c r="CC33" s="346"/>
      <c r="CD33" s="1" t="s">
        <v>34</v>
      </c>
    </row>
    <row r="34" customFormat="false" ht="12.75" hidden="false" customHeight="false" outlineLevel="0" collapsed="false">
      <c r="A34" s="181" t="n">
        <f aca="false">TblConstr[[#This Row],[Land]]</f>
        <v>380</v>
      </c>
      <c r="B34" s="132"/>
      <c r="C34" s="69" t="n">
        <f aca="false">TblProd[[#This Row],[Platinum]]</f>
        <v>26412</v>
      </c>
      <c r="D34" s="69" t="n">
        <f aca="false">TblProd[[#This Row],[Lumber]]</f>
        <v>8005</v>
      </c>
      <c r="E34" s="69" t="n">
        <f aca="false">TblProd[[#This Row],[Ore]]</f>
        <v>0</v>
      </c>
      <c r="F34" s="69" t="n">
        <f aca="false">TblProd[[#This Row],[Gems]]</f>
        <v>0</v>
      </c>
      <c r="G34" s="146"/>
      <c r="H34" s="69" t="n">
        <f aca="false">TblMili[[#This Row],[Draftees]]</f>
        <v>0</v>
      </c>
      <c r="I34" s="130" t="n">
        <f aca="false">TblPop[[#This Row],[Employment]]</f>
        <v>1</v>
      </c>
      <c r="J34" s="130" t="n">
        <f aca="false">TblPop[[#This Row],[Total]]/TblPop[[#This Row],[Net max]]</f>
        <v>0.834940159574468</v>
      </c>
      <c r="K34" s="336" t="n">
        <f aca="false">TblRezone[[#This Row],[Hour]]</f>
        <v>31</v>
      </c>
      <c r="L34" s="337" t="n">
        <f aca="false">TblImps[[#This Row],[Real time]]</f>
        <v>45431</v>
      </c>
      <c r="M34" s="33" t="n">
        <f aca="false">IF(ISERROR(TblImps[[#This Row],[algorithm]]),0,TblImps[[#This Row],[algorithm]]*1)</f>
        <v>1</v>
      </c>
      <c r="N34" s="69" t="n">
        <f aca="false">TblImps[[#This Row],[Land]]</f>
        <v>380</v>
      </c>
      <c r="O34" s="338" t="s">
        <v>97</v>
      </c>
      <c r="P34" s="339"/>
      <c r="Q34" s="338" t="s">
        <v>734</v>
      </c>
      <c r="R34" s="338" t="s">
        <v>93</v>
      </c>
      <c r="S34" s="339"/>
      <c r="T34" s="338" t="s">
        <v>734</v>
      </c>
      <c r="U34" s="338" t="s">
        <v>35</v>
      </c>
      <c r="V34" s="339"/>
      <c r="W34" s="338" t="s">
        <v>734</v>
      </c>
      <c r="X34" s="132"/>
      <c r="Y34" s="340" t="n">
        <f aca="false">science_cap*(1-EXP(-TblImps[[#This Row],[Σ Science]]/(science_param*(OFFSET(TblImps[[#This Row],[Land]],1,0)-OFFSET(TblExplore[[#This Row],[Land Bonus]],1,0)*20)+15000)))*(1+(mason_bonus*TblConstr[[#This Row],[Tot Mas]]/TblConstr[[#This Row],[Land (2)]]))</f>
        <v>0</v>
      </c>
      <c r="Z34" s="340" t="n">
        <f aca="false">keep_cap*(1-EXP(-TblImps[[#This Row],[Σ Keep]]/(keep_param*(OFFSET(TblImps[[#This Row],[Land]],1,0)-OFFSET(TblExplore[[#This Row],[Land Bonus]],1,0)*20)+15000)))*(1+(mason_bonus*TblConstr[[#This Row],[Tot Mas]]/TblConstr[[#This Row],[Land (2)]]))</f>
        <v>0</v>
      </c>
      <c r="AA34" s="340" t="n">
        <f aca="false">harbor_towers_cap*(1-EXP(-TblImps[[#This Row],[Σ Towers]]/(towers_param*(OFFSET(TblImps[[#This Row],[Land]],1,0)-OFFSET(TblExplore[[#This Row],[Land Bonus]],1,0)*20)+15000)))*(1+(mason_bonus*TblConstr[[#This Row],[Tot Mas]]/TblConstr[[#This Row],[Land (2)]]))</f>
        <v>0</v>
      </c>
      <c r="AB34" s="340" t="n">
        <f aca="false">walls_forges_cap*(1-EXP(-TblImps[[#This Row],[Σ Forges]]/(walls_forges_param*(OFFSET(TblImps[[#This Row],[Land]],1,0)-OFFSET(TblExplore[[#This Row],[Land Bonus]],1,0)*20)+15000)))*(1+(mason_bonus*TblConstr[[#This Row],[Tot Mas]]/TblConstr[[#This Row],[Land (2)]]))</f>
        <v>0</v>
      </c>
      <c r="AC34" s="340" t="n">
        <f aca="false">walls_forges_cap*(1-EXP(-TblImps[[#This Row],[Σ Walls]]/(walls_forges_param*(OFFSET(TblImps[[#This Row],[Land]],1,0)-OFFSET(TblExplore[[#This Row],[Land Bonus]],1,0)*20)+15000)))*(1+(mason_bonus*TblConstr[[#This Row],[Tot Mas]]/TblConstr[[#This Row],[Land (2)]]))</f>
        <v>0</v>
      </c>
      <c r="AD34" s="340" t="n">
        <f aca="false">harbor_towers_cap*(1-EXP(-TblImps[[#This Row],[Σ Irrigation]]/(harbor_towers_param*(OFFSET(TblImps[[#This Row],[Land]],1,0)-OFFSET(TblExplore[[#This Row],[Land Bonus]],1,0)*20)+15000)))*(1+(mason_bonus*TblConstr[[#This Row],[Tot Mas]]/TblConstr[[#This Row],[Land (2)]]))</f>
        <v>0</v>
      </c>
      <c r="AE34" s="132"/>
      <c r="AF34" s="33" t="n">
        <f aca="false">(1+Overview!$I$28)*SUM(TblImps[[#This Row],[P2]:[G2]])+OFFSET(TblImps[[#This Row],[Σ Science]],-1,0)</f>
        <v>0</v>
      </c>
      <c r="AG34" s="33" t="n">
        <f aca="false">(1+Overview!$I$28)*SUM(TblImps[[#This Row],[P3]:[G3]])+OFFSET(TblImps[[#This Row],[Σ Keep]],-1,0)</f>
        <v>0</v>
      </c>
      <c r="AH34" s="33" t="n">
        <f aca="false">(1+Overview!$I$28 + tech_7_1*TblTech[[#This Row],[7-1]])*SUM(TblImps[[#This Row],[P4]:[G4]])+OFFSET(TblImps[[#This Row],[Σ Towers]],-1,0)</f>
        <v>0</v>
      </c>
      <c r="AI34" s="33" t="n">
        <f aca="false">(1+Overview!$I$28)*SUM(TblImps[[#This Row],[P5]:[G5]])+OFFSET(TblImps[[#This Row],[Σ Forges]],-1,0)</f>
        <v>0</v>
      </c>
      <c r="AJ34" s="33" t="n">
        <f aca="false">(1+Overview!$I$28)*SUM(TblImps[[#This Row],[P6]:[G6]])+OFFSET(TblImps[[#This Row],[Σ Walls]],-1,0)</f>
        <v>0</v>
      </c>
      <c r="AK34" s="33" t="n">
        <f aca="false">(1+Overview!$I$28 + tech_7_1*TblTech[[#This Row],[7-1]])*SUM(TblImps[[#This Row],[P7]:[G7]])+OFFSET(TblImps[[#This Row],[Σ Irrigation]],-1,0)</f>
        <v>0</v>
      </c>
      <c r="AL34" s="132"/>
      <c r="AM34" s="26" t="n">
        <f aca="false">IF(AND(TblImps[[#This Row],[Resource]]=AM$2,TblImps[[#This Row],[Part]]&lt;&gt;""),TblImps[[#This Row],[Amount]]) + IF(AND(TblImps[[#This Row],[Resource 2]]=AM$2,TblImps[[#This Row],[Part 2]]&lt;&gt;""),TblImps[[#This Row],[Amount 2]]) + IF(AND(TblImps[[#This Row],[Resource 3]]=AM$2,TblImps[[#This Row],[Part 3]]&lt;&gt;""),TblImps[[#This Row],[Amount 3]])</f>
        <v>0</v>
      </c>
      <c r="AN34" s="26" t="n">
        <f aca="false">IF(AND(TblImps[[#This Row],[Resource]]=AN$2,TblImps[[#This Row],[Part]]&lt;&gt;""),TblImps[[#This Row],[Amount]]) + IF(AND(TblImps[[#This Row],[Resource 2]]=AN$2,TblImps[[#This Row],[Part 2]]&lt;&gt;""),TblImps[[#This Row],[Amount 2]]) + IF(AND(TblImps[[#This Row],[Resource 3]]=AN$2,TblImps[[#This Row],[Part 3]]&lt;&gt;""),TblImps[[#This Row],[Amount 3]])</f>
        <v>0</v>
      </c>
      <c r="AO34" s="26" t="n">
        <f aca="false">IF(AND(TblImps[[#This Row],[Resource]]=AO$2,TblImps[[#This Row],[Part]]&lt;&gt;""),TblImps[[#This Row],[Amount]]) + IF(AND(TblImps[[#This Row],[Resource 2]]=AO$2,TblImps[[#This Row],[Part 2]]&lt;&gt;""),TblImps[[#This Row],[Amount 2]]) + IF(AND(TblImps[[#This Row],[Resource 3]]=AO$2,TblImps[[#This Row],[Part 3]]&lt;&gt;""),TblImps[[#This Row],[Amount 3]])</f>
        <v>0</v>
      </c>
      <c r="AP34" s="26" t="n">
        <f aca="false">IF(AND(TblImps[[#This Row],[Resource]]=AP$2,TblImps[[#This Row],[Part]]&lt;&gt;""),TblImps[[#This Row],[Amount]]) + IF(AND(TblImps[[#This Row],[Resource 2]]=AP$2,TblImps[[#This Row],[Part 2]]&lt;&gt;""),TblImps[[#This Row],[Amount 2]]) + IF(AND(TblImps[[#This Row],[Resource 3]]=AP$2,TblImps[[#This Row],[Part 3]]&lt;&gt;""),TblImps[[#This Row],[Amount 3]])</f>
        <v>0</v>
      </c>
      <c r="AQ34" s="132"/>
      <c r="AR3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32"/>
      <c r="AW3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32"/>
      <c r="BB3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32"/>
      <c r="BG3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32"/>
      <c r="BL3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32"/>
      <c r="BQ3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32"/>
      <c r="BV34"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4" s="33" t="n">
        <f aca="false">TblImps[[#This Row],[Login]]</f>
        <v>1</v>
      </c>
      <c r="BX34" s="128"/>
      <c r="BY34" s="347" t="n">
        <f aca="false">OFFSET(TblImps[[#This Row],[Real time]],-1,0)+1/24</f>
        <v>45431</v>
      </c>
      <c r="BZ34" s="348" t="n">
        <f aca="false">OFFSET(TblImps[[#This Row],[Servertime]],-1,0)+1/24</f>
        <v>45431.25</v>
      </c>
      <c r="CA34" s="26"/>
      <c r="CB34" s="346"/>
      <c r="CC34" s="346"/>
    </row>
    <row r="35" customFormat="false" ht="12.75" hidden="false" customHeight="false" outlineLevel="0" collapsed="false">
      <c r="A35" s="181" t="n">
        <f aca="false">TblConstr[[#This Row],[Land]]</f>
        <v>392</v>
      </c>
      <c r="B35" s="132"/>
      <c r="C35" s="69" t="n">
        <f aca="false">TblProd[[#This Row],[Platinum]]</f>
        <v>31118</v>
      </c>
      <c r="D35" s="69" t="n">
        <f aca="false">TblProd[[#This Row],[Lumber]]</f>
        <v>8192</v>
      </c>
      <c r="E35" s="69" t="n">
        <f aca="false">TblProd[[#This Row],[Ore]]</f>
        <v>0</v>
      </c>
      <c r="F35" s="69" t="n">
        <f aca="false">TblProd[[#This Row],[Gems]]</f>
        <v>0</v>
      </c>
      <c r="G35" s="146"/>
      <c r="H35" s="69" t="n">
        <f aca="false">TblMili[[#This Row],[Draftees]]</f>
        <v>0</v>
      </c>
      <c r="I35" s="130" t="n">
        <f aca="false">TblPop[[#This Row],[Employment]]</f>
        <v>1</v>
      </c>
      <c r="J35" s="130" t="n">
        <f aca="false">TblPop[[#This Row],[Total]]/TblPop[[#This Row],[Net max]]</f>
        <v>0.855621874495886</v>
      </c>
      <c r="K35" s="336" t="n">
        <f aca="false">TblRezone[[#This Row],[Hour]]</f>
        <v>32</v>
      </c>
      <c r="L35" s="337" t="n">
        <f aca="false">TblImps[[#This Row],[Real time]]</f>
        <v>45431.0416666667</v>
      </c>
      <c r="M35" s="33" t="n">
        <f aca="false">IF(ISERROR(TblImps[[#This Row],[algorithm]]),0,TblImps[[#This Row],[algorithm]]*1)</f>
        <v>1</v>
      </c>
      <c r="N35" s="69" t="n">
        <f aca="false">TblImps[[#This Row],[Land]]</f>
        <v>392</v>
      </c>
      <c r="O35" s="338" t="s">
        <v>97</v>
      </c>
      <c r="P35" s="339"/>
      <c r="Q35" s="338" t="s">
        <v>734</v>
      </c>
      <c r="R35" s="338" t="s">
        <v>93</v>
      </c>
      <c r="S35" s="339"/>
      <c r="T35" s="338" t="s">
        <v>734</v>
      </c>
      <c r="U35" s="338" t="s">
        <v>35</v>
      </c>
      <c r="V35" s="339"/>
      <c r="W35" s="338" t="s">
        <v>734</v>
      </c>
      <c r="X35" s="132"/>
      <c r="Y35" s="340" t="n">
        <f aca="false">science_cap*(1-EXP(-TblImps[[#This Row],[Σ Science]]/(science_param*(OFFSET(TblImps[[#This Row],[Land]],1,0)-OFFSET(TblExplore[[#This Row],[Land Bonus]],1,0)*20)+15000)))*(1+(mason_bonus*TblConstr[[#This Row],[Tot Mas]]/TblConstr[[#This Row],[Land (2)]]))</f>
        <v>0</v>
      </c>
      <c r="Z35" s="340" t="n">
        <f aca="false">keep_cap*(1-EXP(-TblImps[[#This Row],[Σ Keep]]/(keep_param*(OFFSET(TblImps[[#This Row],[Land]],1,0)-OFFSET(TblExplore[[#This Row],[Land Bonus]],1,0)*20)+15000)))*(1+(mason_bonus*TblConstr[[#This Row],[Tot Mas]]/TblConstr[[#This Row],[Land (2)]]))</f>
        <v>0</v>
      </c>
      <c r="AA35" s="340" t="n">
        <f aca="false">harbor_towers_cap*(1-EXP(-TblImps[[#This Row],[Σ Towers]]/(towers_param*(OFFSET(TblImps[[#This Row],[Land]],1,0)-OFFSET(TblExplore[[#This Row],[Land Bonus]],1,0)*20)+15000)))*(1+(mason_bonus*TblConstr[[#This Row],[Tot Mas]]/TblConstr[[#This Row],[Land (2)]]))</f>
        <v>0</v>
      </c>
      <c r="AB35" s="340" t="n">
        <f aca="false">walls_forges_cap*(1-EXP(-TblImps[[#This Row],[Σ Forges]]/(walls_forges_param*(OFFSET(TblImps[[#This Row],[Land]],1,0)-OFFSET(TblExplore[[#This Row],[Land Bonus]],1,0)*20)+15000)))*(1+(mason_bonus*TblConstr[[#This Row],[Tot Mas]]/TblConstr[[#This Row],[Land (2)]]))</f>
        <v>0</v>
      </c>
      <c r="AC35" s="340" t="n">
        <f aca="false">walls_forges_cap*(1-EXP(-TblImps[[#This Row],[Σ Walls]]/(walls_forges_param*(OFFSET(TblImps[[#This Row],[Land]],1,0)-OFFSET(TblExplore[[#This Row],[Land Bonus]],1,0)*20)+15000)))*(1+(mason_bonus*TblConstr[[#This Row],[Tot Mas]]/TblConstr[[#This Row],[Land (2)]]))</f>
        <v>0</v>
      </c>
      <c r="AD35" s="340" t="n">
        <f aca="false">harbor_towers_cap*(1-EXP(-TblImps[[#This Row],[Σ Irrigation]]/(harbor_towers_param*(OFFSET(TblImps[[#This Row],[Land]],1,0)-OFFSET(TblExplore[[#This Row],[Land Bonus]],1,0)*20)+15000)))*(1+(mason_bonus*TblConstr[[#This Row],[Tot Mas]]/TblConstr[[#This Row],[Land (2)]]))</f>
        <v>0</v>
      </c>
      <c r="AE35" s="132"/>
      <c r="AF35" s="33" t="n">
        <f aca="false">(1+Overview!$I$28)*SUM(TblImps[[#This Row],[P2]:[G2]])+OFFSET(TblImps[[#This Row],[Σ Science]],-1,0)</f>
        <v>0</v>
      </c>
      <c r="AG35" s="33" t="n">
        <f aca="false">(1+Overview!$I$28)*SUM(TblImps[[#This Row],[P3]:[G3]])+OFFSET(TblImps[[#This Row],[Σ Keep]],-1,0)</f>
        <v>0</v>
      </c>
      <c r="AH35" s="33" t="n">
        <f aca="false">(1+Overview!$I$28 + tech_7_1*TblTech[[#This Row],[7-1]])*SUM(TblImps[[#This Row],[P4]:[G4]])+OFFSET(TblImps[[#This Row],[Σ Towers]],-1,0)</f>
        <v>0</v>
      </c>
      <c r="AI35" s="33" t="n">
        <f aca="false">(1+Overview!$I$28)*SUM(TblImps[[#This Row],[P5]:[G5]])+OFFSET(TblImps[[#This Row],[Σ Forges]],-1,0)</f>
        <v>0</v>
      </c>
      <c r="AJ35" s="33" t="n">
        <f aca="false">(1+Overview!$I$28)*SUM(TblImps[[#This Row],[P6]:[G6]])+OFFSET(TblImps[[#This Row],[Σ Walls]],-1,0)</f>
        <v>0</v>
      </c>
      <c r="AK35" s="33" t="n">
        <f aca="false">(1+Overview!$I$28 + tech_7_1*TblTech[[#This Row],[7-1]])*SUM(TblImps[[#This Row],[P7]:[G7]])+OFFSET(TblImps[[#This Row],[Σ Irrigation]],-1,0)</f>
        <v>0</v>
      </c>
      <c r="AL35" s="132"/>
      <c r="AM35" s="26" t="n">
        <f aca="false">IF(AND(TblImps[[#This Row],[Resource]]=AM$2,TblImps[[#This Row],[Part]]&lt;&gt;""),TblImps[[#This Row],[Amount]]) + IF(AND(TblImps[[#This Row],[Resource 2]]=AM$2,TblImps[[#This Row],[Part 2]]&lt;&gt;""),TblImps[[#This Row],[Amount 2]]) + IF(AND(TblImps[[#This Row],[Resource 3]]=AM$2,TblImps[[#This Row],[Part 3]]&lt;&gt;""),TblImps[[#This Row],[Amount 3]])</f>
        <v>0</v>
      </c>
      <c r="AN35" s="26" t="n">
        <f aca="false">IF(AND(TblImps[[#This Row],[Resource]]=AN$2,TblImps[[#This Row],[Part]]&lt;&gt;""),TblImps[[#This Row],[Amount]]) + IF(AND(TblImps[[#This Row],[Resource 2]]=AN$2,TblImps[[#This Row],[Part 2]]&lt;&gt;""),TblImps[[#This Row],[Amount 2]]) + IF(AND(TblImps[[#This Row],[Resource 3]]=AN$2,TblImps[[#This Row],[Part 3]]&lt;&gt;""),TblImps[[#This Row],[Amount 3]])</f>
        <v>0</v>
      </c>
      <c r="AO35" s="26" t="n">
        <f aca="false">IF(AND(TblImps[[#This Row],[Resource]]=AO$2,TblImps[[#This Row],[Part]]&lt;&gt;""),TblImps[[#This Row],[Amount]]) + IF(AND(TblImps[[#This Row],[Resource 2]]=AO$2,TblImps[[#This Row],[Part 2]]&lt;&gt;""),TblImps[[#This Row],[Amount 2]]) + IF(AND(TblImps[[#This Row],[Resource 3]]=AO$2,TblImps[[#This Row],[Part 3]]&lt;&gt;""),TblImps[[#This Row],[Amount 3]])</f>
        <v>0</v>
      </c>
      <c r="AP35" s="26" t="n">
        <f aca="false">IF(AND(TblImps[[#This Row],[Resource]]=AP$2,TblImps[[#This Row],[Part]]&lt;&gt;""),TblImps[[#This Row],[Amount]]) + IF(AND(TblImps[[#This Row],[Resource 2]]=AP$2,TblImps[[#This Row],[Part 2]]&lt;&gt;""),TblImps[[#This Row],[Amount 2]]) + IF(AND(TblImps[[#This Row],[Resource 3]]=AP$2,TblImps[[#This Row],[Part 3]]&lt;&gt;""),TblImps[[#This Row],[Amount 3]])</f>
        <v>0</v>
      </c>
      <c r="AQ35" s="132"/>
      <c r="AR3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32"/>
      <c r="AW3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32"/>
      <c r="BB3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32"/>
      <c r="BG3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32"/>
      <c r="BL3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32"/>
      <c r="BQ3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32"/>
      <c r="BV35"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5" s="33" t="n">
        <f aca="false">TblImps[[#This Row],[Login]]</f>
        <v>1</v>
      </c>
      <c r="BX35" s="128"/>
      <c r="BY35" s="347" t="n">
        <f aca="false">OFFSET(TblImps[[#This Row],[Real time]],-1,0)+1/24</f>
        <v>45431.0416666667</v>
      </c>
      <c r="BZ35" s="348" t="n">
        <f aca="false">OFFSET(TblImps[[#This Row],[Servertime]],-1,0)+1/24</f>
        <v>45431.2916666667</v>
      </c>
      <c r="CA35" s="26"/>
      <c r="CB35" s="346"/>
      <c r="CC35" s="346"/>
      <c r="CD35" s="1" t="s">
        <v>733</v>
      </c>
    </row>
    <row r="36" customFormat="false" ht="12.75" hidden="false" customHeight="false" outlineLevel="0" collapsed="false">
      <c r="A36" s="181" t="n">
        <f aca="false">TblConstr[[#This Row],[Land]]</f>
        <v>404</v>
      </c>
      <c r="B36" s="132"/>
      <c r="C36" s="69" t="n">
        <f aca="false">TblProd[[#This Row],[Platinum]]</f>
        <v>36027</v>
      </c>
      <c r="D36" s="69" t="n">
        <f aca="false">TblProd[[#This Row],[Lumber]]</f>
        <v>8365</v>
      </c>
      <c r="E36" s="69" t="n">
        <f aca="false">TblProd[[#This Row],[Ore]]</f>
        <v>0</v>
      </c>
      <c r="F36" s="69" t="n">
        <f aca="false">TblProd[[#This Row],[Gems]]</f>
        <v>0</v>
      </c>
      <c r="G36" s="146"/>
      <c r="H36" s="69" t="n">
        <f aca="false">TblMili[[#This Row],[Draftees]]</f>
        <v>3</v>
      </c>
      <c r="I36" s="130" t="n">
        <f aca="false">TblPop[[#This Row],[Employment]]</f>
        <v>1</v>
      </c>
      <c r="J36" s="130" t="n">
        <f aca="false">TblPop[[#This Row],[Total]]/TblPop[[#This Row],[Net max]]</f>
        <v>0.875958079149069</v>
      </c>
      <c r="K36" s="336" t="n">
        <f aca="false">TblRezone[[#This Row],[Hour]]</f>
        <v>33</v>
      </c>
      <c r="L36" s="337" t="n">
        <f aca="false">TblImps[[#This Row],[Real time]]</f>
        <v>45431.0833333333</v>
      </c>
      <c r="M36" s="33" t="n">
        <f aca="false">IF(ISERROR(TblImps[[#This Row],[algorithm]]),0,TblImps[[#This Row],[algorithm]]*1)</f>
        <v>1</v>
      </c>
      <c r="N36" s="69" t="n">
        <f aca="false">TblImps[[#This Row],[Land]]</f>
        <v>404</v>
      </c>
      <c r="O36" s="338" t="s">
        <v>97</v>
      </c>
      <c r="P36" s="339"/>
      <c r="Q36" s="338" t="s">
        <v>734</v>
      </c>
      <c r="R36" s="338" t="s">
        <v>93</v>
      </c>
      <c r="S36" s="339"/>
      <c r="T36" s="338" t="s">
        <v>734</v>
      </c>
      <c r="U36" s="338" t="s">
        <v>35</v>
      </c>
      <c r="V36" s="339"/>
      <c r="W36" s="338" t="s">
        <v>734</v>
      </c>
      <c r="X36" s="132"/>
      <c r="Y36" s="340" t="n">
        <f aca="false">science_cap*(1-EXP(-TblImps[[#This Row],[Σ Science]]/(science_param*(OFFSET(TblImps[[#This Row],[Land]],1,0)-OFFSET(TblExplore[[#This Row],[Land Bonus]],1,0)*20)+15000)))*(1+(mason_bonus*TblConstr[[#This Row],[Tot Mas]]/TblConstr[[#This Row],[Land (2)]]))</f>
        <v>0</v>
      </c>
      <c r="Z36" s="340" t="n">
        <f aca="false">keep_cap*(1-EXP(-TblImps[[#This Row],[Σ Keep]]/(keep_param*(OFFSET(TblImps[[#This Row],[Land]],1,0)-OFFSET(TblExplore[[#This Row],[Land Bonus]],1,0)*20)+15000)))*(1+(mason_bonus*TblConstr[[#This Row],[Tot Mas]]/TblConstr[[#This Row],[Land (2)]]))</f>
        <v>0</v>
      </c>
      <c r="AA36" s="340" t="n">
        <f aca="false">harbor_towers_cap*(1-EXP(-TblImps[[#This Row],[Σ Towers]]/(towers_param*(OFFSET(TblImps[[#This Row],[Land]],1,0)-OFFSET(TblExplore[[#This Row],[Land Bonus]],1,0)*20)+15000)))*(1+(mason_bonus*TblConstr[[#This Row],[Tot Mas]]/TblConstr[[#This Row],[Land (2)]]))</f>
        <v>0</v>
      </c>
      <c r="AB36" s="340" t="n">
        <f aca="false">walls_forges_cap*(1-EXP(-TblImps[[#This Row],[Σ Forges]]/(walls_forges_param*(OFFSET(TblImps[[#This Row],[Land]],1,0)-OFFSET(TblExplore[[#This Row],[Land Bonus]],1,0)*20)+15000)))*(1+(mason_bonus*TblConstr[[#This Row],[Tot Mas]]/TblConstr[[#This Row],[Land (2)]]))</f>
        <v>0</v>
      </c>
      <c r="AC36" s="340" t="n">
        <f aca="false">walls_forges_cap*(1-EXP(-TblImps[[#This Row],[Σ Walls]]/(walls_forges_param*(OFFSET(TblImps[[#This Row],[Land]],1,0)-OFFSET(TblExplore[[#This Row],[Land Bonus]],1,0)*20)+15000)))*(1+(mason_bonus*TblConstr[[#This Row],[Tot Mas]]/TblConstr[[#This Row],[Land (2)]]))</f>
        <v>0</v>
      </c>
      <c r="AD36" s="340" t="n">
        <f aca="false">harbor_towers_cap*(1-EXP(-TblImps[[#This Row],[Σ Irrigation]]/(harbor_towers_param*(OFFSET(TblImps[[#This Row],[Land]],1,0)-OFFSET(TblExplore[[#This Row],[Land Bonus]],1,0)*20)+15000)))*(1+(mason_bonus*TblConstr[[#This Row],[Tot Mas]]/TblConstr[[#This Row],[Land (2)]]))</f>
        <v>0</v>
      </c>
      <c r="AE36" s="132"/>
      <c r="AF36" s="33" t="n">
        <f aca="false">(1+Overview!$I$28)*SUM(TblImps[[#This Row],[P2]:[G2]])+OFFSET(TblImps[[#This Row],[Σ Science]],-1,0)</f>
        <v>0</v>
      </c>
      <c r="AG36" s="33" t="n">
        <f aca="false">(1+Overview!$I$28)*SUM(TblImps[[#This Row],[P3]:[G3]])+OFFSET(TblImps[[#This Row],[Σ Keep]],-1,0)</f>
        <v>0</v>
      </c>
      <c r="AH36" s="33" t="n">
        <f aca="false">(1+Overview!$I$28 + tech_7_1*TblTech[[#This Row],[7-1]])*SUM(TblImps[[#This Row],[P4]:[G4]])+OFFSET(TblImps[[#This Row],[Σ Towers]],-1,0)</f>
        <v>0</v>
      </c>
      <c r="AI36" s="33" t="n">
        <f aca="false">(1+Overview!$I$28)*SUM(TblImps[[#This Row],[P5]:[G5]])+OFFSET(TblImps[[#This Row],[Σ Forges]],-1,0)</f>
        <v>0</v>
      </c>
      <c r="AJ36" s="33" t="n">
        <f aca="false">(1+Overview!$I$28)*SUM(TblImps[[#This Row],[P6]:[G6]])+OFFSET(TblImps[[#This Row],[Σ Walls]],-1,0)</f>
        <v>0</v>
      </c>
      <c r="AK36" s="33" t="n">
        <f aca="false">(1+Overview!$I$28 + tech_7_1*TblTech[[#This Row],[7-1]])*SUM(TblImps[[#This Row],[P7]:[G7]])+OFFSET(TblImps[[#This Row],[Σ Irrigation]],-1,0)</f>
        <v>0</v>
      </c>
      <c r="AL36" s="132"/>
      <c r="AM36" s="26" t="n">
        <f aca="false">IF(AND(TblImps[[#This Row],[Resource]]=AM$2,TblImps[[#This Row],[Part]]&lt;&gt;""),TblImps[[#This Row],[Amount]]) + IF(AND(TblImps[[#This Row],[Resource 2]]=AM$2,TblImps[[#This Row],[Part 2]]&lt;&gt;""),TblImps[[#This Row],[Amount 2]]) + IF(AND(TblImps[[#This Row],[Resource 3]]=AM$2,TblImps[[#This Row],[Part 3]]&lt;&gt;""),TblImps[[#This Row],[Amount 3]])</f>
        <v>0</v>
      </c>
      <c r="AN36" s="26" t="n">
        <f aca="false">IF(AND(TblImps[[#This Row],[Resource]]=AN$2,TblImps[[#This Row],[Part]]&lt;&gt;""),TblImps[[#This Row],[Amount]]) + IF(AND(TblImps[[#This Row],[Resource 2]]=AN$2,TblImps[[#This Row],[Part 2]]&lt;&gt;""),TblImps[[#This Row],[Amount 2]]) + IF(AND(TblImps[[#This Row],[Resource 3]]=AN$2,TblImps[[#This Row],[Part 3]]&lt;&gt;""),TblImps[[#This Row],[Amount 3]])</f>
        <v>0</v>
      </c>
      <c r="AO36" s="26" t="n">
        <f aca="false">IF(AND(TblImps[[#This Row],[Resource]]=AO$2,TblImps[[#This Row],[Part]]&lt;&gt;""),TblImps[[#This Row],[Amount]]) + IF(AND(TblImps[[#This Row],[Resource 2]]=AO$2,TblImps[[#This Row],[Part 2]]&lt;&gt;""),TblImps[[#This Row],[Amount 2]]) + IF(AND(TblImps[[#This Row],[Resource 3]]=AO$2,TblImps[[#This Row],[Part 3]]&lt;&gt;""),TblImps[[#This Row],[Amount 3]])</f>
        <v>0</v>
      </c>
      <c r="AP36" s="26" t="n">
        <f aca="false">IF(AND(TblImps[[#This Row],[Resource]]=AP$2,TblImps[[#This Row],[Part]]&lt;&gt;""),TblImps[[#This Row],[Amount]]) + IF(AND(TblImps[[#This Row],[Resource 2]]=AP$2,TblImps[[#This Row],[Part 2]]&lt;&gt;""),TblImps[[#This Row],[Amount 2]]) + IF(AND(TblImps[[#This Row],[Resource 3]]=AP$2,TblImps[[#This Row],[Part 3]]&lt;&gt;""),TblImps[[#This Row],[Amount 3]])</f>
        <v>0</v>
      </c>
      <c r="AQ36" s="132"/>
      <c r="AR3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32"/>
      <c r="AW3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32"/>
      <c r="BB3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32"/>
      <c r="BG3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32"/>
      <c r="BL3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32"/>
      <c r="BQ3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32"/>
      <c r="BV36"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6" s="33" t="n">
        <f aca="false">TblImps[[#This Row],[Login]]</f>
        <v>1</v>
      </c>
      <c r="BX36" s="128"/>
      <c r="BY36" s="347" t="n">
        <f aca="false">OFFSET(TblImps[[#This Row],[Real time]],-1,0)+1/24</f>
        <v>45431.0833333333</v>
      </c>
      <c r="BZ36" s="348" t="n">
        <f aca="false">OFFSET(TblImps[[#This Row],[Servertime]],-1,0)+1/24</f>
        <v>45431.3333333333</v>
      </c>
      <c r="CA36" s="26"/>
      <c r="CB36" s="346"/>
      <c r="CC36" s="346"/>
      <c r="CD36" s="1" t="s">
        <v>734</v>
      </c>
    </row>
    <row r="37" customFormat="false" ht="12.75" hidden="false" customHeight="false" outlineLevel="0" collapsed="false">
      <c r="A37" s="181" t="n">
        <f aca="false">TblConstr[[#This Row],[Land]]</f>
        <v>407</v>
      </c>
      <c r="B37" s="132"/>
      <c r="C37" s="69" t="n">
        <f aca="false">TblProd[[#This Row],[Platinum]]</f>
        <v>43944</v>
      </c>
      <c r="D37" s="69" t="n">
        <f aca="false">TblProd[[#This Row],[Lumber]]</f>
        <v>9118</v>
      </c>
      <c r="E37" s="69" t="n">
        <f aca="false">TblProd[[#This Row],[Ore]]</f>
        <v>0</v>
      </c>
      <c r="F37" s="69" t="n">
        <f aca="false">TblProd[[#This Row],[Gems]]</f>
        <v>0</v>
      </c>
      <c r="G37" s="146"/>
      <c r="H37" s="69" t="n">
        <f aca="false">TblMili[[#This Row],[Draftees]]</f>
        <v>4</v>
      </c>
      <c r="I37" s="130" t="n">
        <f aca="false">TblPop[[#This Row],[Employment]]</f>
        <v>0.98120555367423</v>
      </c>
      <c r="J37" s="130" t="n">
        <f aca="false">TblPop[[#This Row],[Total]]/TblPop[[#This Row],[Net max]]</f>
        <v>0.903946160905476</v>
      </c>
      <c r="K37" s="336" t="n">
        <f aca="false">TblRezone[[#This Row],[Hour]]</f>
        <v>34</v>
      </c>
      <c r="L37" s="337" t="n">
        <f aca="false">TblImps[[#This Row],[Real time]]</f>
        <v>45431.125</v>
      </c>
      <c r="M37" s="33" t="n">
        <f aca="false">IF(ISERROR(TblImps[[#This Row],[algorithm]]),0,TblImps[[#This Row],[algorithm]]*1)</f>
        <v>1</v>
      </c>
      <c r="N37" s="69" t="n">
        <f aca="false">TblImps[[#This Row],[Land]]</f>
        <v>407</v>
      </c>
      <c r="O37" s="338" t="s">
        <v>97</v>
      </c>
      <c r="P37" s="339"/>
      <c r="Q37" s="338" t="s">
        <v>734</v>
      </c>
      <c r="R37" s="338" t="s">
        <v>93</v>
      </c>
      <c r="S37" s="339"/>
      <c r="T37" s="338" t="s">
        <v>734</v>
      </c>
      <c r="U37" s="338" t="s">
        <v>35</v>
      </c>
      <c r="V37" s="339"/>
      <c r="W37" s="338" t="s">
        <v>734</v>
      </c>
      <c r="X37" s="132"/>
      <c r="Y37" s="340" t="n">
        <f aca="false">science_cap*(1-EXP(-TblImps[[#This Row],[Σ Science]]/(science_param*(OFFSET(TblImps[[#This Row],[Land]],1,0)-OFFSET(TblExplore[[#This Row],[Land Bonus]],1,0)*20)+15000)))*(1+(mason_bonus*TblConstr[[#This Row],[Tot Mas]]/TblConstr[[#This Row],[Land (2)]]))</f>
        <v>0</v>
      </c>
      <c r="Z37" s="340" t="n">
        <f aca="false">keep_cap*(1-EXP(-TblImps[[#This Row],[Σ Keep]]/(keep_param*(OFFSET(TblImps[[#This Row],[Land]],1,0)-OFFSET(TblExplore[[#This Row],[Land Bonus]],1,0)*20)+15000)))*(1+(mason_bonus*TblConstr[[#This Row],[Tot Mas]]/TblConstr[[#This Row],[Land (2)]]))</f>
        <v>0</v>
      </c>
      <c r="AA37" s="340" t="n">
        <f aca="false">harbor_towers_cap*(1-EXP(-TblImps[[#This Row],[Σ Towers]]/(towers_param*(OFFSET(TblImps[[#This Row],[Land]],1,0)-OFFSET(TblExplore[[#This Row],[Land Bonus]],1,0)*20)+15000)))*(1+(mason_bonus*TblConstr[[#This Row],[Tot Mas]]/TblConstr[[#This Row],[Land (2)]]))</f>
        <v>0</v>
      </c>
      <c r="AB37" s="340" t="n">
        <f aca="false">walls_forges_cap*(1-EXP(-TblImps[[#This Row],[Σ Forges]]/(walls_forges_param*(OFFSET(TblImps[[#This Row],[Land]],1,0)-OFFSET(TblExplore[[#This Row],[Land Bonus]],1,0)*20)+15000)))*(1+(mason_bonus*TblConstr[[#This Row],[Tot Mas]]/TblConstr[[#This Row],[Land (2)]]))</f>
        <v>0</v>
      </c>
      <c r="AC37" s="340" t="n">
        <f aca="false">walls_forges_cap*(1-EXP(-TblImps[[#This Row],[Σ Walls]]/(walls_forges_param*(OFFSET(TblImps[[#This Row],[Land]],1,0)-OFFSET(TblExplore[[#This Row],[Land Bonus]],1,0)*20)+15000)))*(1+(mason_bonus*TblConstr[[#This Row],[Tot Mas]]/TblConstr[[#This Row],[Land (2)]]))</f>
        <v>0</v>
      </c>
      <c r="AD37" s="340" t="n">
        <f aca="false">harbor_towers_cap*(1-EXP(-TblImps[[#This Row],[Σ Irrigation]]/(harbor_towers_param*(OFFSET(TblImps[[#This Row],[Land]],1,0)-OFFSET(TblExplore[[#This Row],[Land Bonus]],1,0)*20)+15000)))*(1+(mason_bonus*TblConstr[[#This Row],[Tot Mas]]/TblConstr[[#This Row],[Land (2)]]))</f>
        <v>0</v>
      </c>
      <c r="AE37" s="132"/>
      <c r="AF37" s="33" t="n">
        <f aca="false">(1+Overview!$I$28)*SUM(TblImps[[#This Row],[P2]:[G2]])+OFFSET(TblImps[[#This Row],[Σ Science]],-1,0)</f>
        <v>0</v>
      </c>
      <c r="AG37" s="33" t="n">
        <f aca="false">(1+Overview!$I$28)*SUM(TblImps[[#This Row],[P3]:[G3]])+OFFSET(TblImps[[#This Row],[Σ Keep]],-1,0)</f>
        <v>0</v>
      </c>
      <c r="AH37" s="33" t="n">
        <f aca="false">(1+Overview!$I$28 + tech_7_1*TblTech[[#This Row],[7-1]])*SUM(TblImps[[#This Row],[P4]:[G4]])+OFFSET(TblImps[[#This Row],[Σ Towers]],-1,0)</f>
        <v>0</v>
      </c>
      <c r="AI37" s="33" t="n">
        <f aca="false">(1+Overview!$I$28)*SUM(TblImps[[#This Row],[P5]:[G5]])+OFFSET(TblImps[[#This Row],[Σ Forges]],-1,0)</f>
        <v>0</v>
      </c>
      <c r="AJ37" s="33" t="n">
        <f aca="false">(1+Overview!$I$28)*SUM(TblImps[[#This Row],[P6]:[G6]])+OFFSET(TblImps[[#This Row],[Σ Walls]],-1,0)</f>
        <v>0</v>
      </c>
      <c r="AK37" s="33" t="n">
        <f aca="false">(1+Overview!$I$28 + tech_7_1*TblTech[[#This Row],[7-1]])*SUM(TblImps[[#This Row],[P7]:[G7]])+OFFSET(TblImps[[#This Row],[Σ Irrigation]],-1,0)</f>
        <v>0</v>
      </c>
      <c r="AL37" s="132"/>
      <c r="AM37" s="26" t="n">
        <f aca="false">IF(AND(TblImps[[#This Row],[Resource]]=AM$2,TblImps[[#This Row],[Part]]&lt;&gt;""),TblImps[[#This Row],[Amount]]) + IF(AND(TblImps[[#This Row],[Resource 2]]=AM$2,TblImps[[#This Row],[Part 2]]&lt;&gt;""),TblImps[[#This Row],[Amount 2]]) + IF(AND(TblImps[[#This Row],[Resource 3]]=AM$2,TblImps[[#This Row],[Part 3]]&lt;&gt;""),TblImps[[#This Row],[Amount 3]])</f>
        <v>0</v>
      </c>
      <c r="AN37" s="26" t="n">
        <f aca="false">IF(AND(TblImps[[#This Row],[Resource]]=AN$2,TblImps[[#This Row],[Part]]&lt;&gt;""),TblImps[[#This Row],[Amount]]) + IF(AND(TblImps[[#This Row],[Resource 2]]=AN$2,TblImps[[#This Row],[Part 2]]&lt;&gt;""),TblImps[[#This Row],[Amount 2]]) + IF(AND(TblImps[[#This Row],[Resource 3]]=AN$2,TblImps[[#This Row],[Part 3]]&lt;&gt;""),TblImps[[#This Row],[Amount 3]])</f>
        <v>0</v>
      </c>
      <c r="AO37" s="26" t="n">
        <f aca="false">IF(AND(TblImps[[#This Row],[Resource]]=AO$2,TblImps[[#This Row],[Part]]&lt;&gt;""),TblImps[[#This Row],[Amount]]) + IF(AND(TblImps[[#This Row],[Resource 2]]=AO$2,TblImps[[#This Row],[Part 2]]&lt;&gt;""),TblImps[[#This Row],[Amount 2]]) + IF(AND(TblImps[[#This Row],[Resource 3]]=AO$2,TblImps[[#This Row],[Part 3]]&lt;&gt;""),TblImps[[#This Row],[Amount 3]])</f>
        <v>0</v>
      </c>
      <c r="AP37" s="26" t="n">
        <f aca="false">IF(AND(TblImps[[#This Row],[Resource]]=AP$2,TblImps[[#This Row],[Part]]&lt;&gt;""),TblImps[[#This Row],[Amount]]) + IF(AND(TblImps[[#This Row],[Resource 2]]=AP$2,TblImps[[#This Row],[Part 2]]&lt;&gt;""),TblImps[[#This Row],[Amount 2]]) + IF(AND(TblImps[[#This Row],[Resource 3]]=AP$2,TblImps[[#This Row],[Part 3]]&lt;&gt;""),TblImps[[#This Row],[Amount 3]])</f>
        <v>0</v>
      </c>
      <c r="AQ37" s="132"/>
      <c r="AR3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32"/>
      <c r="AW3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32"/>
      <c r="BB3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32"/>
      <c r="BG3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32"/>
      <c r="BL3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32"/>
      <c r="BQ3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32"/>
      <c r="BV37"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7" s="33" t="n">
        <f aca="false">TblImps[[#This Row],[Login]]</f>
        <v>1</v>
      </c>
      <c r="BX37" s="128"/>
      <c r="BY37" s="347" t="n">
        <f aca="false">OFFSET(TblImps[[#This Row],[Real time]],-1,0)+1/24</f>
        <v>45431.125</v>
      </c>
      <c r="BZ37" s="348" t="n">
        <f aca="false">OFFSET(TblImps[[#This Row],[Servertime]],-1,0)+1/24</f>
        <v>45431.375</v>
      </c>
      <c r="CA37" s="26"/>
      <c r="CB37" s="346"/>
      <c r="CC37" s="346"/>
      <c r="CD37" s="1" t="s">
        <v>735</v>
      </c>
    </row>
    <row r="38" customFormat="false" ht="12.75" hidden="false" customHeight="false" outlineLevel="0" collapsed="false">
      <c r="A38" s="181" t="n">
        <f aca="false">TblConstr[[#This Row],[Land]]</f>
        <v>409</v>
      </c>
      <c r="B38" s="132"/>
      <c r="C38" s="69" t="n">
        <f aca="false">TblProd[[#This Row],[Platinum]]</f>
        <v>51273</v>
      </c>
      <c r="D38" s="69" t="n">
        <f aca="false">TblProd[[#This Row],[Lumber]]</f>
        <v>9930</v>
      </c>
      <c r="E38" s="69" t="n">
        <f aca="false">TblProd[[#This Row],[Ore]]</f>
        <v>0</v>
      </c>
      <c r="F38" s="69" t="n">
        <f aca="false">TblProd[[#This Row],[Gems]]</f>
        <v>0</v>
      </c>
      <c r="G38" s="146"/>
      <c r="H38" s="69" t="n">
        <f aca="false">TblMili[[#This Row],[Draftees]]</f>
        <v>3</v>
      </c>
      <c r="I38" s="130" t="n">
        <f aca="false">TblPop[[#This Row],[Employment]]</f>
        <v>1</v>
      </c>
      <c r="J38" s="130" t="n">
        <f aca="false">TblPop[[#This Row],[Total]]/TblPop[[#This Row],[Net max]]</f>
        <v>0.94727245099529</v>
      </c>
      <c r="K38" s="336" t="n">
        <f aca="false">TblRezone[[#This Row],[Hour]]</f>
        <v>35</v>
      </c>
      <c r="L38" s="337" t="n">
        <f aca="false">TblImps[[#This Row],[Real time]]</f>
        <v>45431.1666666667</v>
      </c>
      <c r="M38" s="33" t="n">
        <f aca="false">IF(ISERROR(TblImps[[#This Row],[algorithm]]),0,TblImps[[#This Row],[algorithm]]*1)</f>
        <v>1</v>
      </c>
      <c r="N38" s="69" t="n">
        <f aca="false">TblImps[[#This Row],[Land]]</f>
        <v>409</v>
      </c>
      <c r="O38" s="338" t="s">
        <v>97</v>
      </c>
      <c r="P38" s="339"/>
      <c r="Q38" s="338" t="s">
        <v>734</v>
      </c>
      <c r="R38" s="338" t="s">
        <v>93</v>
      </c>
      <c r="S38" s="339"/>
      <c r="T38" s="338" t="s">
        <v>734</v>
      </c>
      <c r="U38" s="338" t="s">
        <v>35</v>
      </c>
      <c r="V38" s="339"/>
      <c r="W38" s="338" t="s">
        <v>734</v>
      </c>
      <c r="X38" s="132"/>
      <c r="Y38" s="340" t="n">
        <f aca="false">science_cap*(1-EXP(-TblImps[[#This Row],[Σ Science]]/(science_param*(OFFSET(TblImps[[#This Row],[Land]],1,0)-OFFSET(TblExplore[[#This Row],[Land Bonus]],1,0)*20)+15000)))*(1+(mason_bonus*TblConstr[[#This Row],[Tot Mas]]/TblConstr[[#This Row],[Land (2)]]))</f>
        <v>0</v>
      </c>
      <c r="Z38" s="340" t="n">
        <f aca="false">keep_cap*(1-EXP(-TblImps[[#This Row],[Σ Keep]]/(keep_param*(OFFSET(TblImps[[#This Row],[Land]],1,0)-OFFSET(TblExplore[[#This Row],[Land Bonus]],1,0)*20)+15000)))*(1+(mason_bonus*TblConstr[[#This Row],[Tot Mas]]/TblConstr[[#This Row],[Land (2)]]))</f>
        <v>0</v>
      </c>
      <c r="AA38" s="340" t="n">
        <f aca="false">harbor_towers_cap*(1-EXP(-TblImps[[#This Row],[Σ Towers]]/(towers_param*(OFFSET(TblImps[[#This Row],[Land]],1,0)-OFFSET(TblExplore[[#This Row],[Land Bonus]],1,0)*20)+15000)))*(1+(mason_bonus*TblConstr[[#This Row],[Tot Mas]]/TblConstr[[#This Row],[Land (2)]]))</f>
        <v>0</v>
      </c>
      <c r="AB38" s="340" t="n">
        <f aca="false">walls_forges_cap*(1-EXP(-TblImps[[#This Row],[Σ Forges]]/(walls_forges_param*(OFFSET(TblImps[[#This Row],[Land]],1,0)-OFFSET(TblExplore[[#This Row],[Land Bonus]],1,0)*20)+15000)))*(1+(mason_bonus*TblConstr[[#This Row],[Tot Mas]]/TblConstr[[#This Row],[Land (2)]]))</f>
        <v>0</v>
      </c>
      <c r="AC38" s="340" t="n">
        <f aca="false">walls_forges_cap*(1-EXP(-TblImps[[#This Row],[Σ Walls]]/(walls_forges_param*(OFFSET(TblImps[[#This Row],[Land]],1,0)-OFFSET(TblExplore[[#This Row],[Land Bonus]],1,0)*20)+15000)))*(1+(mason_bonus*TblConstr[[#This Row],[Tot Mas]]/TblConstr[[#This Row],[Land (2)]]))</f>
        <v>0</v>
      </c>
      <c r="AD38" s="340" t="n">
        <f aca="false">harbor_towers_cap*(1-EXP(-TblImps[[#This Row],[Σ Irrigation]]/(harbor_towers_param*(OFFSET(TblImps[[#This Row],[Land]],1,0)-OFFSET(TblExplore[[#This Row],[Land Bonus]],1,0)*20)+15000)))*(1+(mason_bonus*TblConstr[[#This Row],[Tot Mas]]/TblConstr[[#This Row],[Land (2)]]))</f>
        <v>0</v>
      </c>
      <c r="AE38" s="132"/>
      <c r="AF38" s="33" t="n">
        <f aca="false">(1+Overview!$I$28)*SUM(TblImps[[#This Row],[P2]:[G2]])+OFFSET(TblImps[[#This Row],[Σ Science]],-1,0)</f>
        <v>0</v>
      </c>
      <c r="AG38" s="33" t="n">
        <f aca="false">(1+Overview!$I$28)*SUM(TblImps[[#This Row],[P3]:[G3]])+OFFSET(TblImps[[#This Row],[Σ Keep]],-1,0)</f>
        <v>0</v>
      </c>
      <c r="AH38" s="33" t="n">
        <f aca="false">(1+Overview!$I$28 + tech_7_1*TblTech[[#This Row],[7-1]])*SUM(TblImps[[#This Row],[P4]:[G4]])+OFFSET(TblImps[[#This Row],[Σ Towers]],-1,0)</f>
        <v>0</v>
      </c>
      <c r="AI38" s="33" t="n">
        <f aca="false">(1+Overview!$I$28)*SUM(TblImps[[#This Row],[P5]:[G5]])+OFFSET(TblImps[[#This Row],[Σ Forges]],-1,0)</f>
        <v>0</v>
      </c>
      <c r="AJ38" s="33" t="n">
        <f aca="false">(1+Overview!$I$28)*SUM(TblImps[[#This Row],[P6]:[G6]])+OFFSET(TblImps[[#This Row],[Σ Walls]],-1,0)</f>
        <v>0</v>
      </c>
      <c r="AK38" s="33" t="n">
        <f aca="false">(1+Overview!$I$28 + tech_7_1*TblTech[[#This Row],[7-1]])*SUM(TblImps[[#This Row],[P7]:[G7]])+OFFSET(TblImps[[#This Row],[Σ Irrigation]],-1,0)</f>
        <v>0</v>
      </c>
      <c r="AL38" s="132"/>
      <c r="AM38" s="26" t="n">
        <f aca="false">IF(AND(TblImps[[#This Row],[Resource]]=AM$2,TblImps[[#This Row],[Part]]&lt;&gt;""),TblImps[[#This Row],[Amount]]) + IF(AND(TblImps[[#This Row],[Resource 2]]=AM$2,TblImps[[#This Row],[Part 2]]&lt;&gt;""),TblImps[[#This Row],[Amount 2]]) + IF(AND(TblImps[[#This Row],[Resource 3]]=AM$2,TblImps[[#This Row],[Part 3]]&lt;&gt;""),TblImps[[#This Row],[Amount 3]])</f>
        <v>0</v>
      </c>
      <c r="AN38" s="26" t="n">
        <f aca="false">IF(AND(TblImps[[#This Row],[Resource]]=AN$2,TblImps[[#This Row],[Part]]&lt;&gt;""),TblImps[[#This Row],[Amount]]) + IF(AND(TblImps[[#This Row],[Resource 2]]=AN$2,TblImps[[#This Row],[Part 2]]&lt;&gt;""),TblImps[[#This Row],[Amount 2]]) + IF(AND(TblImps[[#This Row],[Resource 3]]=AN$2,TblImps[[#This Row],[Part 3]]&lt;&gt;""),TblImps[[#This Row],[Amount 3]])</f>
        <v>0</v>
      </c>
      <c r="AO38" s="26" t="n">
        <f aca="false">IF(AND(TblImps[[#This Row],[Resource]]=AO$2,TblImps[[#This Row],[Part]]&lt;&gt;""),TblImps[[#This Row],[Amount]]) + IF(AND(TblImps[[#This Row],[Resource 2]]=AO$2,TblImps[[#This Row],[Part 2]]&lt;&gt;""),TblImps[[#This Row],[Amount 2]]) + IF(AND(TblImps[[#This Row],[Resource 3]]=AO$2,TblImps[[#This Row],[Part 3]]&lt;&gt;""),TblImps[[#This Row],[Amount 3]])</f>
        <v>0</v>
      </c>
      <c r="AP38" s="26" t="n">
        <f aca="false">IF(AND(TblImps[[#This Row],[Resource]]=AP$2,TblImps[[#This Row],[Part]]&lt;&gt;""),TblImps[[#This Row],[Amount]]) + IF(AND(TblImps[[#This Row],[Resource 2]]=AP$2,TblImps[[#This Row],[Part 2]]&lt;&gt;""),TblImps[[#This Row],[Amount 2]]) + IF(AND(TblImps[[#This Row],[Resource 3]]=AP$2,TblImps[[#This Row],[Part 3]]&lt;&gt;""),TblImps[[#This Row],[Amount 3]])</f>
        <v>0</v>
      </c>
      <c r="AQ38" s="132"/>
      <c r="AR3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32"/>
      <c r="AW3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32"/>
      <c r="BB3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32"/>
      <c r="BG3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32"/>
      <c r="BL3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32"/>
      <c r="BQ3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32"/>
      <c r="BV38"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8" s="33" t="n">
        <f aca="false">TblImps[[#This Row],[Login]]</f>
        <v>1</v>
      </c>
      <c r="BX38" s="128"/>
      <c r="BY38" s="347" t="n">
        <f aca="false">OFFSET(TblImps[[#This Row],[Real time]],-1,0)+1/24</f>
        <v>45431.1666666667</v>
      </c>
      <c r="BZ38" s="348" t="n">
        <f aca="false">OFFSET(TblImps[[#This Row],[Servertime]],-1,0)+1/24</f>
        <v>45431.4166666667</v>
      </c>
      <c r="CA38" s="26"/>
      <c r="CB38" s="346"/>
      <c r="CC38" s="346"/>
      <c r="CD38" s="1" t="s">
        <v>736</v>
      </c>
    </row>
    <row r="39" customFormat="false" ht="12.75" hidden="false" customHeight="false" outlineLevel="0" collapsed="false">
      <c r="A39" s="181" t="n">
        <f aca="false">TblConstr[[#This Row],[Land]]</f>
        <v>419</v>
      </c>
      <c r="B39" s="132"/>
      <c r="C39" s="69" t="n">
        <f aca="false">TblProd[[#This Row],[Platinum]]</f>
        <v>55040</v>
      </c>
      <c r="D39" s="69" t="n">
        <f aca="false">TblProd[[#This Row],[Lumber]]</f>
        <v>10186</v>
      </c>
      <c r="E39" s="69" t="n">
        <f aca="false">TblProd[[#This Row],[Ore]]</f>
        <v>0</v>
      </c>
      <c r="F39" s="69" t="n">
        <f aca="false">TblProd[[#This Row],[Gems]]</f>
        <v>0</v>
      </c>
      <c r="G39" s="146"/>
      <c r="H39" s="69" t="n">
        <f aca="false">TblMili[[#This Row],[Draftees]]</f>
        <v>0</v>
      </c>
      <c r="I39" s="130" t="n">
        <f aca="false">TblPop[[#This Row],[Employment]]</f>
        <v>0.948866230406331</v>
      </c>
      <c r="J39" s="130" t="n">
        <f aca="false">TblPop[[#This Row],[Total]]/TblPop[[#This Row],[Net max]]</f>
        <v>0.987081267838366</v>
      </c>
      <c r="K39" s="336" t="n">
        <f aca="false">TblRezone[[#This Row],[Hour]]</f>
        <v>36</v>
      </c>
      <c r="L39" s="337" t="n">
        <f aca="false">TblImps[[#This Row],[Real time]]</f>
        <v>45431.2083333333</v>
      </c>
      <c r="M39" s="33" t="n">
        <f aca="false">IF(ISERROR(TblImps[[#This Row],[algorithm]]),0,TblImps[[#This Row],[algorithm]]*1)</f>
        <v>1</v>
      </c>
      <c r="N39" s="69" t="n">
        <f aca="false">TblImps[[#This Row],[Land]]</f>
        <v>419</v>
      </c>
      <c r="O39" s="338" t="s">
        <v>97</v>
      </c>
      <c r="P39" s="339"/>
      <c r="Q39" s="338" t="s">
        <v>734</v>
      </c>
      <c r="R39" s="338" t="s">
        <v>93</v>
      </c>
      <c r="S39" s="339"/>
      <c r="T39" s="338" t="s">
        <v>734</v>
      </c>
      <c r="U39" s="338" t="s">
        <v>35</v>
      </c>
      <c r="V39" s="339"/>
      <c r="W39" s="338" t="s">
        <v>734</v>
      </c>
      <c r="X39" s="132"/>
      <c r="Y39" s="340" t="n">
        <f aca="false">science_cap*(1-EXP(-TblImps[[#This Row],[Σ Science]]/(science_param*(OFFSET(TblImps[[#This Row],[Land]],1,0)-OFFSET(TblExplore[[#This Row],[Land Bonus]],1,0)*20)+15000)))*(1+(mason_bonus*TblConstr[[#This Row],[Tot Mas]]/TblConstr[[#This Row],[Land (2)]]))</f>
        <v>0</v>
      </c>
      <c r="Z39" s="340" t="n">
        <f aca="false">keep_cap*(1-EXP(-TblImps[[#This Row],[Σ Keep]]/(keep_param*(OFFSET(TblImps[[#This Row],[Land]],1,0)-OFFSET(TblExplore[[#This Row],[Land Bonus]],1,0)*20)+15000)))*(1+(mason_bonus*TblConstr[[#This Row],[Tot Mas]]/TblConstr[[#This Row],[Land (2)]]))</f>
        <v>0</v>
      </c>
      <c r="AA39" s="340" t="n">
        <f aca="false">harbor_towers_cap*(1-EXP(-TblImps[[#This Row],[Σ Towers]]/(towers_param*(OFFSET(TblImps[[#This Row],[Land]],1,0)-OFFSET(TblExplore[[#This Row],[Land Bonus]],1,0)*20)+15000)))*(1+(mason_bonus*TblConstr[[#This Row],[Tot Mas]]/TblConstr[[#This Row],[Land (2)]]))</f>
        <v>0</v>
      </c>
      <c r="AB39" s="340" t="n">
        <f aca="false">walls_forges_cap*(1-EXP(-TblImps[[#This Row],[Σ Forges]]/(walls_forges_param*(OFFSET(TblImps[[#This Row],[Land]],1,0)-OFFSET(TblExplore[[#This Row],[Land Bonus]],1,0)*20)+15000)))*(1+(mason_bonus*TblConstr[[#This Row],[Tot Mas]]/TblConstr[[#This Row],[Land (2)]]))</f>
        <v>0</v>
      </c>
      <c r="AC39" s="340" t="n">
        <f aca="false">walls_forges_cap*(1-EXP(-TblImps[[#This Row],[Σ Walls]]/(walls_forges_param*(OFFSET(TblImps[[#This Row],[Land]],1,0)-OFFSET(TblExplore[[#This Row],[Land Bonus]],1,0)*20)+15000)))*(1+(mason_bonus*TblConstr[[#This Row],[Tot Mas]]/TblConstr[[#This Row],[Land (2)]]))</f>
        <v>0</v>
      </c>
      <c r="AD39" s="340" t="n">
        <f aca="false">harbor_towers_cap*(1-EXP(-TblImps[[#This Row],[Σ Irrigation]]/(harbor_towers_param*(OFFSET(TblImps[[#This Row],[Land]],1,0)-OFFSET(TblExplore[[#This Row],[Land Bonus]],1,0)*20)+15000)))*(1+(mason_bonus*TblConstr[[#This Row],[Tot Mas]]/TblConstr[[#This Row],[Land (2)]]))</f>
        <v>0</v>
      </c>
      <c r="AE39" s="132"/>
      <c r="AF39" s="33" t="n">
        <f aca="false">(1+Overview!$I$28)*SUM(TblImps[[#This Row],[P2]:[G2]])+OFFSET(TblImps[[#This Row],[Σ Science]],-1,0)</f>
        <v>0</v>
      </c>
      <c r="AG39" s="33" t="n">
        <f aca="false">(1+Overview!$I$28)*SUM(TblImps[[#This Row],[P3]:[G3]])+OFFSET(TblImps[[#This Row],[Σ Keep]],-1,0)</f>
        <v>0</v>
      </c>
      <c r="AH39" s="33" t="n">
        <f aca="false">(1+Overview!$I$28 + tech_7_1*TblTech[[#This Row],[7-1]])*SUM(TblImps[[#This Row],[P4]:[G4]])+OFFSET(TblImps[[#This Row],[Σ Towers]],-1,0)</f>
        <v>0</v>
      </c>
      <c r="AI39" s="33" t="n">
        <f aca="false">(1+Overview!$I$28)*SUM(TblImps[[#This Row],[P5]:[G5]])+OFFSET(TblImps[[#This Row],[Σ Forges]],-1,0)</f>
        <v>0</v>
      </c>
      <c r="AJ39" s="33" t="n">
        <f aca="false">(1+Overview!$I$28)*SUM(TblImps[[#This Row],[P6]:[G6]])+OFFSET(TblImps[[#This Row],[Σ Walls]],-1,0)</f>
        <v>0</v>
      </c>
      <c r="AK39" s="33" t="n">
        <f aca="false">(1+Overview!$I$28 + tech_7_1*TblTech[[#This Row],[7-1]])*SUM(TblImps[[#This Row],[P7]:[G7]])+OFFSET(TblImps[[#This Row],[Σ Irrigation]],-1,0)</f>
        <v>0</v>
      </c>
      <c r="AL39" s="132"/>
      <c r="AM39" s="26" t="n">
        <f aca="false">IF(AND(TblImps[[#This Row],[Resource]]=AM$2,TblImps[[#This Row],[Part]]&lt;&gt;""),TblImps[[#This Row],[Amount]]) + IF(AND(TblImps[[#This Row],[Resource 2]]=AM$2,TblImps[[#This Row],[Part 2]]&lt;&gt;""),TblImps[[#This Row],[Amount 2]]) + IF(AND(TblImps[[#This Row],[Resource 3]]=AM$2,TblImps[[#This Row],[Part 3]]&lt;&gt;""),TblImps[[#This Row],[Amount 3]])</f>
        <v>0</v>
      </c>
      <c r="AN39" s="26" t="n">
        <f aca="false">IF(AND(TblImps[[#This Row],[Resource]]=AN$2,TblImps[[#This Row],[Part]]&lt;&gt;""),TblImps[[#This Row],[Amount]]) + IF(AND(TblImps[[#This Row],[Resource 2]]=AN$2,TblImps[[#This Row],[Part 2]]&lt;&gt;""),TblImps[[#This Row],[Amount 2]]) + IF(AND(TblImps[[#This Row],[Resource 3]]=AN$2,TblImps[[#This Row],[Part 3]]&lt;&gt;""),TblImps[[#This Row],[Amount 3]])</f>
        <v>0</v>
      </c>
      <c r="AO39" s="26" t="n">
        <f aca="false">IF(AND(TblImps[[#This Row],[Resource]]=AO$2,TblImps[[#This Row],[Part]]&lt;&gt;""),TblImps[[#This Row],[Amount]]) + IF(AND(TblImps[[#This Row],[Resource 2]]=AO$2,TblImps[[#This Row],[Part 2]]&lt;&gt;""),TblImps[[#This Row],[Amount 2]]) + IF(AND(TblImps[[#This Row],[Resource 3]]=AO$2,TblImps[[#This Row],[Part 3]]&lt;&gt;""),TblImps[[#This Row],[Amount 3]])</f>
        <v>0</v>
      </c>
      <c r="AP39" s="26" t="n">
        <f aca="false">IF(AND(TblImps[[#This Row],[Resource]]=AP$2,TblImps[[#This Row],[Part]]&lt;&gt;""),TblImps[[#This Row],[Amount]]) + IF(AND(TblImps[[#This Row],[Resource 2]]=AP$2,TblImps[[#This Row],[Part 2]]&lt;&gt;""),TblImps[[#This Row],[Amount 2]]) + IF(AND(TblImps[[#This Row],[Resource 3]]=AP$2,TblImps[[#This Row],[Part 3]]&lt;&gt;""),TblImps[[#This Row],[Amount 3]])</f>
        <v>0</v>
      </c>
      <c r="AQ39" s="132"/>
      <c r="AR3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32"/>
      <c r="AW3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32"/>
      <c r="BB3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32"/>
      <c r="BG3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32"/>
      <c r="BL3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32"/>
      <c r="BQ3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32"/>
      <c r="BV39"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9" s="33" t="n">
        <f aca="false">TblImps[[#This Row],[Login]]</f>
        <v>1</v>
      </c>
      <c r="BX39" s="128"/>
      <c r="BY39" s="347" t="n">
        <f aca="false">OFFSET(TblImps[[#This Row],[Real time]],-1,0)+1/24</f>
        <v>45431.2083333333</v>
      </c>
      <c r="BZ39" s="348" t="n">
        <f aca="false">OFFSET(TblImps[[#This Row],[Servertime]],-1,0)+1/24</f>
        <v>45431.4583333333</v>
      </c>
      <c r="CA39" s="26"/>
      <c r="CB39" s="346"/>
      <c r="CC39" s="346"/>
      <c r="CD39" s="1" t="s">
        <v>737</v>
      </c>
    </row>
    <row r="40" customFormat="false" ht="12.75" hidden="false" customHeight="false" outlineLevel="0" collapsed="false">
      <c r="A40" s="181" t="n">
        <f aca="false">TblConstr[[#This Row],[Land]]</f>
        <v>419</v>
      </c>
      <c r="B40" s="132"/>
      <c r="C40" s="69" t="n">
        <f aca="false">TblProd[[#This Row],[Platinum]]</f>
        <v>63059</v>
      </c>
      <c r="D40" s="69" t="n">
        <f aca="false">TblProd[[#This Row],[Lumber]]</f>
        <v>11119</v>
      </c>
      <c r="E40" s="69" t="n">
        <f aca="false">TblProd[[#This Row],[Ore]]</f>
        <v>0</v>
      </c>
      <c r="F40" s="69" t="n">
        <f aca="false">TblProd[[#This Row],[Gems]]</f>
        <v>0</v>
      </c>
      <c r="G40" s="146"/>
      <c r="H40" s="69" t="n">
        <f aca="false">TblMili[[#This Row],[Draftees]]</f>
        <v>1</v>
      </c>
      <c r="I40" s="130" t="n">
        <f aca="false">TblPop[[#This Row],[Employment]]</f>
        <v>0.930874888026277</v>
      </c>
      <c r="J40" s="130" t="n">
        <f aca="false">TblPop[[#This Row],[Total]]/TblPop[[#This Row],[Net max]]</f>
        <v>0.990390301596688</v>
      </c>
      <c r="K40" s="336" t="n">
        <f aca="false">TblRezone[[#This Row],[Hour]]</f>
        <v>37</v>
      </c>
      <c r="L40" s="337" t="n">
        <f aca="false">TblImps[[#This Row],[Real time]]</f>
        <v>45431.25</v>
      </c>
      <c r="M40" s="33" t="n">
        <f aca="false">IF(ISERROR(TblImps[[#This Row],[algorithm]]),0,TblImps[[#This Row],[algorithm]]*1)</f>
        <v>1</v>
      </c>
      <c r="N40" s="69" t="n">
        <f aca="false">TblImps[[#This Row],[Land]]</f>
        <v>419</v>
      </c>
      <c r="O40" s="338" t="s">
        <v>97</v>
      </c>
      <c r="P40" s="339"/>
      <c r="Q40" s="338" t="s">
        <v>734</v>
      </c>
      <c r="R40" s="338" t="s">
        <v>93</v>
      </c>
      <c r="S40" s="339"/>
      <c r="T40" s="338" t="s">
        <v>734</v>
      </c>
      <c r="U40" s="338" t="s">
        <v>35</v>
      </c>
      <c r="V40" s="339"/>
      <c r="W40" s="338" t="s">
        <v>734</v>
      </c>
      <c r="X40" s="132"/>
      <c r="Y40" s="340" t="n">
        <f aca="false">science_cap*(1-EXP(-TblImps[[#This Row],[Σ Science]]/(science_param*(OFFSET(TblImps[[#This Row],[Land]],1,0)-OFFSET(TblExplore[[#This Row],[Land Bonus]],1,0)*20)+15000)))*(1+(mason_bonus*TblConstr[[#This Row],[Tot Mas]]/TblConstr[[#This Row],[Land (2)]]))</f>
        <v>0</v>
      </c>
      <c r="Z40" s="340" t="n">
        <f aca="false">keep_cap*(1-EXP(-TblImps[[#This Row],[Σ Keep]]/(keep_param*(OFFSET(TblImps[[#This Row],[Land]],1,0)-OFFSET(TblExplore[[#This Row],[Land Bonus]],1,0)*20)+15000)))*(1+(mason_bonus*TblConstr[[#This Row],[Tot Mas]]/TblConstr[[#This Row],[Land (2)]]))</f>
        <v>0</v>
      </c>
      <c r="AA40" s="340" t="n">
        <f aca="false">harbor_towers_cap*(1-EXP(-TblImps[[#This Row],[Σ Towers]]/(towers_param*(OFFSET(TblImps[[#This Row],[Land]],1,0)-OFFSET(TblExplore[[#This Row],[Land Bonus]],1,0)*20)+15000)))*(1+(mason_bonus*TblConstr[[#This Row],[Tot Mas]]/TblConstr[[#This Row],[Land (2)]]))</f>
        <v>0</v>
      </c>
      <c r="AB40" s="340" t="n">
        <f aca="false">walls_forges_cap*(1-EXP(-TblImps[[#This Row],[Σ Forges]]/(walls_forges_param*(OFFSET(TblImps[[#This Row],[Land]],1,0)-OFFSET(TblExplore[[#This Row],[Land Bonus]],1,0)*20)+15000)))*(1+(mason_bonus*TblConstr[[#This Row],[Tot Mas]]/TblConstr[[#This Row],[Land (2)]]))</f>
        <v>0</v>
      </c>
      <c r="AC40" s="340" t="n">
        <f aca="false">walls_forges_cap*(1-EXP(-TblImps[[#This Row],[Σ Walls]]/(walls_forges_param*(OFFSET(TblImps[[#This Row],[Land]],1,0)-OFFSET(TblExplore[[#This Row],[Land Bonus]],1,0)*20)+15000)))*(1+(mason_bonus*TblConstr[[#This Row],[Tot Mas]]/TblConstr[[#This Row],[Land (2)]]))</f>
        <v>0</v>
      </c>
      <c r="AD40" s="340" t="n">
        <f aca="false">harbor_towers_cap*(1-EXP(-TblImps[[#This Row],[Σ Irrigation]]/(harbor_towers_param*(OFFSET(TblImps[[#This Row],[Land]],1,0)-OFFSET(TblExplore[[#This Row],[Land Bonus]],1,0)*20)+15000)))*(1+(mason_bonus*TblConstr[[#This Row],[Tot Mas]]/TblConstr[[#This Row],[Land (2)]]))</f>
        <v>0</v>
      </c>
      <c r="AE40" s="132"/>
      <c r="AF40" s="33" t="n">
        <f aca="false">(1+Overview!$I$28)*SUM(TblImps[[#This Row],[P2]:[G2]])+OFFSET(TblImps[[#This Row],[Σ Science]],-1,0)</f>
        <v>0</v>
      </c>
      <c r="AG40" s="33" t="n">
        <f aca="false">(1+Overview!$I$28)*SUM(TblImps[[#This Row],[P3]:[G3]])+OFFSET(TblImps[[#This Row],[Σ Keep]],-1,0)</f>
        <v>0</v>
      </c>
      <c r="AH40" s="33" t="n">
        <f aca="false">(1+Overview!$I$28 + tech_7_1*TblTech[[#This Row],[7-1]])*SUM(TblImps[[#This Row],[P4]:[G4]])+OFFSET(TblImps[[#This Row],[Σ Towers]],-1,0)</f>
        <v>0</v>
      </c>
      <c r="AI40" s="33" t="n">
        <f aca="false">(1+Overview!$I$28)*SUM(TblImps[[#This Row],[P5]:[G5]])+OFFSET(TblImps[[#This Row],[Σ Forges]],-1,0)</f>
        <v>0</v>
      </c>
      <c r="AJ40" s="33" t="n">
        <f aca="false">(1+Overview!$I$28)*SUM(TblImps[[#This Row],[P6]:[G6]])+OFFSET(TblImps[[#This Row],[Σ Walls]],-1,0)</f>
        <v>0</v>
      </c>
      <c r="AK40" s="33" t="n">
        <f aca="false">(1+Overview!$I$28 + tech_7_1*TblTech[[#This Row],[7-1]])*SUM(TblImps[[#This Row],[P7]:[G7]])+OFFSET(TblImps[[#This Row],[Σ Irrigation]],-1,0)</f>
        <v>0</v>
      </c>
      <c r="AL40" s="132"/>
      <c r="AM40" s="26" t="n">
        <f aca="false">IF(AND(TblImps[[#This Row],[Resource]]=AM$2,TblImps[[#This Row],[Part]]&lt;&gt;""),TblImps[[#This Row],[Amount]]) + IF(AND(TblImps[[#This Row],[Resource 2]]=AM$2,TblImps[[#This Row],[Part 2]]&lt;&gt;""),TblImps[[#This Row],[Amount 2]]) + IF(AND(TblImps[[#This Row],[Resource 3]]=AM$2,TblImps[[#This Row],[Part 3]]&lt;&gt;""),TblImps[[#This Row],[Amount 3]])</f>
        <v>0</v>
      </c>
      <c r="AN40" s="26" t="n">
        <f aca="false">IF(AND(TblImps[[#This Row],[Resource]]=AN$2,TblImps[[#This Row],[Part]]&lt;&gt;""),TblImps[[#This Row],[Amount]]) + IF(AND(TblImps[[#This Row],[Resource 2]]=AN$2,TblImps[[#This Row],[Part 2]]&lt;&gt;""),TblImps[[#This Row],[Amount 2]]) + IF(AND(TblImps[[#This Row],[Resource 3]]=AN$2,TblImps[[#This Row],[Part 3]]&lt;&gt;""),TblImps[[#This Row],[Amount 3]])</f>
        <v>0</v>
      </c>
      <c r="AO40" s="26" t="n">
        <f aca="false">IF(AND(TblImps[[#This Row],[Resource]]=AO$2,TblImps[[#This Row],[Part]]&lt;&gt;""),TblImps[[#This Row],[Amount]]) + IF(AND(TblImps[[#This Row],[Resource 2]]=AO$2,TblImps[[#This Row],[Part 2]]&lt;&gt;""),TblImps[[#This Row],[Amount 2]]) + IF(AND(TblImps[[#This Row],[Resource 3]]=AO$2,TblImps[[#This Row],[Part 3]]&lt;&gt;""),TblImps[[#This Row],[Amount 3]])</f>
        <v>0</v>
      </c>
      <c r="AP40" s="26" t="n">
        <f aca="false">IF(AND(TblImps[[#This Row],[Resource]]=AP$2,TblImps[[#This Row],[Part]]&lt;&gt;""),TblImps[[#This Row],[Amount]]) + IF(AND(TblImps[[#This Row],[Resource 2]]=AP$2,TblImps[[#This Row],[Part 2]]&lt;&gt;""),TblImps[[#This Row],[Amount 2]]) + IF(AND(TblImps[[#This Row],[Resource 3]]=AP$2,TblImps[[#This Row],[Part 3]]&lt;&gt;""),TblImps[[#This Row],[Amount 3]])</f>
        <v>0</v>
      </c>
      <c r="AQ40" s="132"/>
      <c r="AR4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32"/>
      <c r="AW4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32"/>
      <c r="BB4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32"/>
      <c r="BG4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32"/>
      <c r="BL4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32"/>
      <c r="BQ4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32"/>
      <c r="BV40"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0" s="33" t="n">
        <f aca="false">TblImps[[#This Row],[Login]]</f>
        <v>1</v>
      </c>
      <c r="BX40" s="128"/>
      <c r="BY40" s="347" t="n">
        <f aca="false">OFFSET(TblImps[[#This Row],[Real time]],-1,0)+1/24</f>
        <v>45431.25</v>
      </c>
      <c r="BZ40" s="348" t="n">
        <f aca="false">OFFSET(TblImps[[#This Row],[Servertime]],-1,0)+1/24</f>
        <v>45431.5</v>
      </c>
      <c r="CA40" s="26"/>
      <c r="CB40" s="346"/>
      <c r="CC40" s="346"/>
      <c r="CD40" s="1" t="s">
        <v>738</v>
      </c>
    </row>
    <row r="41" customFormat="false" ht="12.75" hidden="false" customHeight="false" outlineLevel="0" collapsed="false">
      <c r="A41" s="181" t="n">
        <f aca="false">TblConstr[[#This Row],[Land]]</f>
        <v>419</v>
      </c>
      <c r="B41" s="132"/>
      <c r="C41" s="69" t="n">
        <f aca="false">TblProd[[#This Row],[Platinum]]</f>
        <v>71078</v>
      </c>
      <c r="D41" s="69" t="n">
        <f aca="false">TblProd[[#This Row],[Lumber]]</f>
        <v>12043</v>
      </c>
      <c r="E41" s="69" t="n">
        <f aca="false">TblProd[[#This Row],[Ore]]</f>
        <v>0</v>
      </c>
      <c r="F41" s="69" t="n">
        <f aca="false">TblProd[[#This Row],[Gems]]</f>
        <v>0</v>
      </c>
      <c r="G41" s="146"/>
      <c r="H41" s="69" t="n">
        <f aca="false">TblMili[[#This Row],[Draftees]]</f>
        <v>3</v>
      </c>
      <c r="I41" s="130" t="n">
        <f aca="false">TblPop[[#This Row],[Employment]]</f>
        <v>0.931152927120669</v>
      </c>
      <c r="J41" s="130" t="n">
        <f aca="false">TblPop[[#This Row],[Total]]/TblPop[[#This Row],[Net max]]</f>
        <v>0.990390301596688</v>
      </c>
      <c r="K41" s="336" t="n">
        <f aca="false">TblRezone[[#This Row],[Hour]]</f>
        <v>38</v>
      </c>
      <c r="L41" s="337" t="n">
        <f aca="false">TblImps[[#This Row],[Real time]]</f>
        <v>45431.2916666667</v>
      </c>
      <c r="M41" s="33" t="n">
        <f aca="false">IF(ISERROR(TblImps[[#This Row],[algorithm]]),0,TblImps[[#This Row],[algorithm]]*1)</f>
        <v>1</v>
      </c>
      <c r="N41" s="69" t="n">
        <f aca="false">TblImps[[#This Row],[Land]]</f>
        <v>419</v>
      </c>
      <c r="O41" s="338" t="s">
        <v>97</v>
      </c>
      <c r="P41" s="339"/>
      <c r="Q41" s="338" t="s">
        <v>734</v>
      </c>
      <c r="R41" s="338" t="s">
        <v>93</v>
      </c>
      <c r="S41" s="339"/>
      <c r="T41" s="338" t="s">
        <v>734</v>
      </c>
      <c r="U41" s="338" t="s">
        <v>35</v>
      </c>
      <c r="V41" s="339"/>
      <c r="W41" s="338" t="s">
        <v>734</v>
      </c>
      <c r="X41" s="132"/>
      <c r="Y41" s="340" t="n">
        <f aca="false">science_cap*(1-EXP(-TblImps[[#This Row],[Σ Science]]/(science_param*(OFFSET(TblImps[[#This Row],[Land]],1,0)-OFFSET(TblExplore[[#This Row],[Land Bonus]],1,0)*20)+15000)))*(1+(mason_bonus*TblConstr[[#This Row],[Tot Mas]]/TblConstr[[#This Row],[Land (2)]]))</f>
        <v>0</v>
      </c>
      <c r="Z41" s="340" t="n">
        <f aca="false">keep_cap*(1-EXP(-TblImps[[#This Row],[Σ Keep]]/(keep_param*(OFFSET(TblImps[[#This Row],[Land]],1,0)-OFFSET(TblExplore[[#This Row],[Land Bonus]],1,0)*20)+15000)))*(1+(mason_bonus*TblConstr[[#This Row],[Tot Mas]]/TblConstr[[#This Row],[Land (2)]]))</f>
        <v>0</v>
      </c>
      <c r="AA41" s="340" t="n">
        <f aca="false">harbor_towers_cap*(1-EXP(-TblImps[[#This Row],[Σ Towers]]/(towers_param*(OFFSET(TblImps[[#This Row],[Land]],1,0)-OFFSET(TblExplore[[#This Row],[Land Bonus]],1,0)*20)+15000)))*(1+(mason_bonus*TblConstr[[#This Row],[Tot Mas]]/TblConstr[[#This Row],[Land (2)]]))</f>
        <v>0</v>
      </c>
      <c r="AB41" s="340" t="n">
        <f aca="false">walls_forges_cap*(1-EXP(-TblImps[[#This Row],[Σ Forges]]/(walls_forges_param*(OFFSET(TblImps[[#This Row],[Land]],1,0)-OFFSET(TblExplore[[#This Row],[Land Bonus]],1,0)*20)+15000)))*(1+(mason_bonus*TblConstr[[#This Row],[Tot Mas]]/TblConstr[[#This Row],[Land (2)]]))</f>
        <v>0</v>
      </c>
      <c r="AC41" s="340" t="n">
        <f aca="false">walls_forges_cap*(1-EXP(-TblImps[[#This Row],[Σ Walls]]/(walls_forges_param*(OFFSET(TblImps[[#This Row],[Land]],1,0)-OFFSET(TblExplore[[#This Row],[Land Bonus]],1,0)*20)+15000)))*(1+(mason_bonus*TblConstr[[#This Row],[Tot Mas]]/TblConstr[[#This Row],[Land (2)]]))</f>
        <v>0</v>
      </c>
      <c r="AD41" s="340" t="n">
        <f aca="false">harbor_towers_cap*(1-EXP(-TblImps[[#This Row],[Σ Irrigation]]/(harbor_towers_param*(OFFSET(TblImps[[#This Row],[Land]],1,0)-OFFSET(TblExplore[[#This Row],[Land Bonus]],1,0)*20)+15000)))*(1+(mason_bonus*TblConstr[[#This Row],[Tot Mas]]/TblConstr[[#This Row],[Land (2)]]))</f>
        <v>0</v>
      </c>
      <c r="AE41" s="132"/>
      <c r="AF41" s="33" t="n">
        <f aca="false">(1+Overview!$I$28)*SUM(TblImps[[#This Row],[P2]:[G2]])+OFFSET(TblImps[[#This Row],[Σ Science]],-1,0)</f>
        <v>0</v>
      </c>
      <c r="AG41" s="33" t="n">
        <f aca="false">(1+Overview!$I$28)*SUM(TblImps[[#This Row],[P3]:[G3]])+OFFSET(TblImps[[#This Row],[Σ Keep]],-1,0)</f>
        <v>0</v>
      </c>
      <c r="AH41" s="33" t="n">
        <f aca="false">(1+Overview!$I$28 + tech_7_1*TblTech[[#This Row],[7-1]])*SUM(TblImps[[#This Row],[P4]:[G4]])+OFFSET(TblImps[[#This Row],[Σ Towers]],-1,0)</f>
        <v>0</v>
      </c>
      <c r="AI41" s="33" t="n">
        <f aca="false">(1+Overview!$I$28)*SUM(TblImps[[#This Row],[P5]:[G5]])+OFFSET(TblImps[[#This Row],[Σ Forges]],-1,0)</f>
        <v>0</v>
      </c>
      <c r="AJ41" s="33" t="n">
        <f aca="false">(1+Overview!$I$28)*SUM(TblImps[[#This Row],[P6]:[G6]])+OFFSET(TblImps[[#This Row],[Σ Walls]],-1,0)</f>
        <v>0</v>
      </c>
      <c r="AK41" s="33" t="n">
        <f aca="false">(1+Overview!$I$28 + tech_7_1*TblTech[[#This Row],[7-1]])*SUM(TblImps[[#This Row],[P7]:[G7]])+OFFSET(TblImps[[#This Row],[Σ Irrigation]],-1,0)</f>
        <v>0</v>
      </c>
      <c r="AL41" s="132"/>
      <c r="AM41" s="26" t="n">
        <f aca="false">IF(AND(TblImps[[#This Row],[Resource]]=AM$2,TblImps[[#This Row],[Part]]&lt;&gt;""),TblImps[[#This Row],[Amount]]) + IF(AND(TblImps[[#This Row],[Resource 2]]=AM$2,TblImps[[#This Row],[Part 2]]&lt;&gt;""),TblImps[[#This Row],[Amount 2]]) + IF(AND(TblImps[[#This Row],[Resource 3]]=AM$2,TblImps[[#This Row],[Part 3]]&lt;&gt;""),TblImps[[#This Row],[Amount 3]])</f>
        <v>0</v>
      </c>
      <c r="AN41" s="26" t="n">
        <f aca="false">IF(AND(TblImps[[#This Row],[Resource]]=AN$2,TblImps[[#This Row],[Part]]&lt;&gt;""),TblImps[[#This Row],[Amount]]) + IF(AND(TblImps[[#This Row],[Resource 2]]=AN$2,TblImps[[#This Row],[Part 2]]&lt;&gt;""),TblImps[[#This Row],[Amount 2]]) + IF(AND(TblImps[[#This Row],[Resource 3]]=AN$2,TblImps[[#This Row],[Part 3]]&lt;&gt;""),TblImps[[#This Row],[Amount 3]])</f>
        <v>0</v>
      </c>
      <c r="AO41" s="26" t="n">
        <f aca="false">IF(AND(TblImps[[#This Row],[Resource]]=AO$2,TblImps[[#This Row],[Part]]&lt;&gt;""),TblImps[[#This Row],[Amount]]) + IF(AND(TblImps[[#This Row],[Resource 2]]=AO$2,TblImps[[#This Row],[Part 2]]&lt;&gt;""),TblImps[[#This Row],[Amount 2]]) + IF(AND(TblImps[[#This Row],[Resource 3]]=AO$2,TblImps[[#This Row],[Part 3]]&lt;&gt;""),TblImps[[#This Row],[Amount 3]])</f>
        <v>0</v>
      </c>
      <c r="AP41" s="26" t="n">
        <f aca="false">IF(AND(TblImps[[#This Row],[Resource]]=AP$2,TblImps[[#This Row],[Part]]&lt;&gt;""),TblImps[[#This Row],[Amount]]) + IF(AND(TblImps[[#This Row],[Resource 2]]=AP$2,TblImps[[#This Row],[Part 2]]&lt;&gt;""),TblImps[[#This Row],[Amount 2]]) + IF(AND(TblImps[[#This Row],[Resource 3]]=AP$2,TblImps[[#This Row],[Part 3]]&lt;&gt;""),TblImps[[#This Row],[Amount 3]])</f>
        <v>0</v>
      </c>
      <c r="AQ41" s="132"/>
      <c r="AR4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32"/>
      <c r="AW4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32"/>
      <c r="BB4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32"/>
      <c r="BG4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32"/>
      <c r="BL4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32"/>
      <c r="BQ4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32"/>
      <c r="BV41"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1" s="33" t="n">
        <f aca="false">TblImps[[#This Row],[Login]]</f>
        <v>1</v>
      </c>
      <c r="BX41" s="128"/>
      <c r="BY41" s="347" t="n">
        <f aca="false">OFFSET(TblImps[[#This Row],[Real time]],-1,0)+1/24</f>
        <v>45431.2916666667</v>
      </c>
      <c r="BZ41" s="348" t="n">
        <f aca="false">OFFSET(TblImps[[#This Row],[Servertime]],-1,0)+1/24</f>
        <v>45431.5416666667</v>
      </c>
      <c r="CA41" s="26"/>
      <c r="CB41" s="346"/>
      <c r="CC41" s="346"/>
    </row>
    <row r="42" customFormat="false" ht="12.75" hidden="false" customHeight="false" outlineLevel="0" collapsed="false">
      <c r="A42" s="181" t="n">
        <f aca="false">TblConstr[[#This Row],[Land]]</f>
        <v>419</v>
      </c>
      <c r="B42" s="132"/>
      <c r="C42" s="69" t="n">
        <f aca="false">TblProd[[#This Row],[Platinum]]</f>
        <v>77568</v>
      </c>
      <c r="D42" s="69" t="n">
        <f aca="false">TblProd[[#This Row],[Lumber]]</f>
        <v>12958</v>
      </c>
      <c r="E42" s="69" t="n">
        <f aca="false">TblProd[[#This Row],[Ore]]</f>
        <v>0</v>
      </c>
      <c r="F42" s="69" t="n">
        <f aca="false">TblProd[[#This Row],[Gems]]</f>
        <v>0</v>
      </c>
      <c r="G42" s="146"/>
      <c r="H42" s="69" t="n">
        <f aca="false">TblMili[[#This Row],[Draftees]]</f>
        <v>0</v>
      </c>
      <c r="I42" s="130" t="n">
        <f aca="false">TblPop[[#This Row],[Employment]]</f>
        <v>0.931431132357335</v>
      </c>
      <c r="J42" s="130" t="n">
        <f aca="false">TblPop[[#This Row],[Total]]/TblPop[[#This Row],[Net max]]</f>
        <v>0.989651094027203</v>
      </c>
      <c r="K42" s="336" t="n">
        <f aca="false">TblRezone[[#This Row],[Hour]]</f>
        <v>39</v>
      </c>
      <c r="L42" s="337" t="n">
        <f aca="false">TblImps[[#This Row],[Real time]]</f>
        <v>45431.3333333333</v>
      </c>
      <c r="M42" s="33" t="n">
        <f aca="false">IF(ISERROR(TblImps[[#This Row],[algorithm]]),0,TblImps[[#This Row],[algorithm]]*1)</f>
        <v>1</v>
      </c>
      <c r="N42" s="69" t="n">
        <f aca="false">TblImps[[#This Row],[Land]]</f>
        <v>419</v>
      </c>
      <c r="O42" s="338" t="s">
        <v>97</v>
      </c>
      <c r="P42" s="339"/>
      <c r="Q42" s="338" t="s">
        <v>734</v>
      </c>
      <c r="R42" s="338" t="s">
        <v>93</v>
      </c>
      <c r="S42" s="339"/>
      <c r="T42" s="338" t="s">
        <v>734</v>
      </c>
      <c r="U42" s="338" t="s">
        <v>35</v>
      </c>
      <c r="V42" s="339"/>
      <c r="W42" s="338" t="s">
        <v>734</v>
      </c>
      <c r="X42" s="132"/>
      <c r="Y42" s="340" t="n">
        <f aca="false">science_cap*(1-EXP(-TblImps[[#This Row],[Σ Science]]/(science_param*(OFFSET(TblImps[[#This Row],[Land]],1,0)-OFFSET(TblExplore[[#This Row],[Land Bonus]],1,0)*20)+15000)))*(1+(mason_bonus*TblConstr[[#This Row],[Tot Mas]]/TblConstr[[#This Row],[Land (2)]]))</f>
        <v>0</v>
      </c>
      <c r="Z42" s="340" t="n">
        <f aca="false">keep_cap*(1-EXP(-TblImps[[#This Row],[Σ Keep]]/(keep_param*(OFFSET(TblImps[[#This Row],[Land]],1,0)-OFFSET(TblExplore[[#This Row],[Land Bonus]],1,0)*20)+15000)))*(1+(mason_bonus*TblConstr[[#This Row],[Tot Mas]]/TblConstr[[#This Row],[Land (2)]]))</f>
        <v>0</v>
      </c>
      <c r="AA42" s="340" t="n">
        <f aca="false">harbor_towers_cap*(1-EXP(-TblImps[[#This Row],[Σ Towers]]/(towers_param*(OFFSET(TblImps[[#This Row],[Land]],1,0)-OFFSET(TblExplore[[#This Row],[Land Bonus]],1,0)*20)+15000)))*(1+(mason_bonus*TblConstr[[#This Row],[Tot Mas]]/TblConstr[[#This Row],[Land (2)]]))</f>
        <v>0</v>
      </c>
      <c r="AB42" s="340" t="n">
        <f aca="false">walls_forges_cap*(1-EXP(-TblImps[[#This Row],[Σ Forges]]/(walls_forges_param*(OFFSET(TblImps[[#This Row],[Land]],1,0)-OFFSET(TblExplore[[#This Row],[Land Bonus]],1,0)*20)+15000)))*(1+(mason_bonus*TblConstr[[#This Row],[Tot Mas]]/TblConstr[[#This Row],[Land (2)]]))</f>
        <v>0</v>
      </c>
      <c r="AC42" s="340" t="n">
        <f aca="false">walls_forges_cap*(1-EXP(-TblImps[[#This Row],[Σ Walls]]/(walls_forges_param*(OFFSET(TblImps[[#This Row],[Land]],1,0)-OFFSET(TblExplore[[#This Row],[Land Bonus]],1,0)*20)+15000)))*(1+(mason_bonus*TblConstr[[#This Row],[Tot Mas]]/TblConstr[[#This Row],[Land (2)]]))</f>
        <v>0</v>
      </c>
      <c r="AD42" s="340" t="n">
        <f aca="false">harbor_towers_cap*(1-EXP(-TblImps[[#This Row],[Σ Irrigation]]/(harbor_towers_param*(OFFSET(TblImps[[#This Row],[Land]],1,0)-OFFSET(TblExplore[[#This Row],[Land Bonus]],1,0)*20)+15000)))*(1+(mason_bonus*TblConstr[[#This Row],[Tot Mas]]/TblConstr[[#This Row],[Land (2)]]))</f>
        <v>0</v>
      </c>
      <c r="AE42" s="132"/>
      <c r="AF42" s="33" t="n">
        <f aca="false">(1+Overview!$I$28)*SUM(TblImps[[#This Row],[P2]:[G2]])+OFFSET(TblImps[[#This Row],[Σ Science]],-1,0)</f>
        <v>0</v>
      </c>
      <c r="AG42" s="33" t="n">
        <f aca="false">(1+Overview!$I$28)*SUM(TblImps[[#This Row],[P3]:[G3]])+OFFSET(TblImps[[#This Row],[Σ Keep]],-1,0)</f>
        <v>0</v>
      </c>
      <c r="AH42" s="33" t="n">
        <f aca="false">(1+Overview!$I$28 + tech_7_1*TblTech[[#This Row],[7-1]])*SUM(TblImps[[#This Row],[P4]:[G4]])+OFFSET(TblImps[[#This Row],[Σ Towers]],-1,0)</f>
        <v>0</v>
      </c>
      <c r="AI42" s="33" t="n">
        <f aca="false">(1+Overview!$I$28)*SUM(TblImps[[#This Row],[P5]:[G5]])+OFFSET(TblImps[[#This Row],[Σ Forges]],-1,0)</f>
        <v>0</v>
      </c>
      <c r="AJ42" s="33" t="n">
        <f aca="false">(1+Overview!$I$28)*SUM(TblImps[[#This Row],[P6]:[G6]])+OFFSET(TblImps[[#This Row],[Σ Walls]],-1,0)</f>
        <v>0</v>
      </c>
      <c r="AK42" s="33" t="n">
        <f aca="false">(1+Overview!$I$28 + tech_7_1*TblTech[[#This Row],[7-1]])*SUM(TblImps[[#This Row],[P7]:[G7]])+OFFSET(TblImps[[#This Row],[Σ Irrigation]],-1,0)</f>
        <v>0</v>
      </c>
      <c r="AL42" s="132"/>
      <c r="AM42" s="26" t="n">
        <f aca="false">IF(AND(TblImps[[#This Row],[Resource]]=AM$2,TblImps[[#This Row],[Part]]&lt;&gt;""),TblImps[[#This Row],[Amount]]) + IF(AND(TblImps[[#This Row],[Resource 2]]=AM$2,TblImps[[#This Row],[Part 2]]&lt;&gt;""),TblImps[[#This Row],[Amount 2]]) + IF(AND(TblImps[[#This Row],[Resource 3]]=AM$2,TblImps[[#This Row],[Part 3]]&lt;&gt;""),TblImps[[#This Row],[Amount 3]])</f>
        <v>0</v>
      </c>
      <c r="AN42" s="26" t="n">
        <f aca="false">IF(AND(TblImps[[#This Row],[Resource]]=AN$2,TblImps[[#This Row],[Part]]&lt;&gt;""),TblImps[[#This Row],[Amount]]) + IF(AND(TblImps[[#This Row],[Resource 2]]=AN$2,TblImps[[#This Row],[Part 2]]&lt;&gt;""),TblImps[[#This Row],[Amount 2]]) + IF(AND(TblImps[[#This Row],[Resource 3]]=AN$2,TblImps[[#This Row],[Part 3]]&lt;&gt;""),TblImps[[#This Row],[Amount 3]])</f>
        <v>0</v>
      </c>
      <c r="AO42" s="26" t="n">
        <f aca="false">IF(AND(TblImps[[#This Row],[Resource]]=AO$2,TblImps[[#This Row],[Part]]&lt;&gt;""),TblImps[[#This Row],[Amount]]) + IF(AND(TblImps[[#This Row],[Resource 2]]=AO$2,TblImps[[#This Row],[Part 2]]&lt;&gt;""),TblImps[[#This Row],[Amount 2]]) + IF(AND(TblImps[[#This Row],[Resource 3]]=AO$2,TblImps[[#This Row],[Part 3]]&lt;&gt;""),TblImps[[#This Row],[Amount 3]])</f>
        <v>0</v>
      </c>
      <c r="AP42" s="26" t="n">
        <f aca="false">IF(AND(TblImps[[#This Row],[Resource]]=AP$2,TblImps[[#This Row],[Part]]&lt;&gt;""),TblImps[[#This Row],[Amount]]) + IF(AND(TblImps[[#This Row],[Resource 2]]=AP$2,TblImps[[#This Row],[Part 2]]&lt;&gt;""),TblImps[[#This Row],[Amount 2]]) + IF(AND(TblImps[[#This Row],[Resource 3]]=AP$2,TblImps[[#This Row],[Part 3]]&lt;&gt;""),TblImps[[#This Row],[Amount 3]])</f>
        <v>0</v>
      </c>
      <c r="AQ42" s="132"/>
      <c r="AR4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32"/>
      <c r="AW4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32"/>
      <c r="BB4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32"/>
      <c r="BG4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32"/>
      <c r="BL4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32"/>
      <c r="BQ4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32"/>
      <c r="BV42"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2" s="33" t="n">
        <f aca="false">TblImps[[#This Row],[Login]]</f>
        <v>1</v>
      </c>
      <c r="BX42" s="128"/>
      <c r="BY42" s="347" t="n">
        <f aca="false">OFFSET(TblImps[[#This Row],[Real time]],-1,0)+1/24</f>
        <v>45431.3333333333</v>
      </c>
      <c r="BZ42" s="348" t="n">
        <f aca="false">OFFSET(TblImps[[#This Row],[Servertime]],-1,0)+1/24</f>
        <v>45431.5833333333</v>
      </c>
      <c r="CA42" s="351"/>
      <c r="CB42" s="346"/>
      <c r="CC42" s="346"/>
    </row>
    <row r="43" customFormat="false" ht="12.75" hidden="false" customHeight="false" outlineLevel="0" collapsed="false">
      <c r="A43" s="181" t="n">
        <f aca="false">TblConstr[[#This Row],[Land]]</f>
        <v>419</v>
      </c>
      <c r="B43" s="132"/>
      <c r="C43" s="69" t="n">
        <f aca="false">TblProd[[#This Row],[Platinum]]</f>
        <v>85587</v>
      </c>
      <c r="D43" s="69" t="n">
        <f aca="false">TblProd[[#This Row],[Lumber]]</f>
        <v>13863</v>
      </c>
      <c r="E43" s="69" t="n">
        <f aca="false">TblProd[[#This Row],[Ore]]</f>
        <v>0</v>
      </c>
      <c r="F43" s="69" t="n">
        <f aca="false">TblProd[[#This Row],[Gems]]</f>
        <v>0</v>
      </c>
      <c r="G43" s="146"/>
      <c r="H43" s="69" t="n">
        <f aca="false">TblMili[[#This Row],[Draftees]]</f>
        <v>2</v>
      </c>
      <c r="I43" s="130" t="n">
        <f aca="false">TblPop[[#This Row],[Employment]]</f>
        <v>0.931013886814992</v>
      </c>
      <c r="J43" s="130" t="n">
        <f aca="false">TblPop[[#This Row],[Total]]/TblPop[[#This Row],[Net max]]</f>
        <v>0.990390301596688</v>
      </c>
      <c r="K43" s="336" t="n">
        <f aca="false">TblRezone[[#This Row],[Hour]]</f>
        <v>40</v>
      </c>
      <c r="L43" s="337" t="n">
        <f aca="false">TblImps[[#This Row],[Real time]]</f>
        <v>45431.375</v>
      </c>
      <c r="M43" s="33" t="n">
        <f aca="false">IF(ISERROR(TblImps[[#This Row],[algorithm]]),0,TblImps[[#This Row],[algorithm]]*1)</f>
        <v>1</v>
      </c>
      <c r="N43" s="69" t="n">
        <f aca="false">TblImps[[#This Row],[Land]]</f>
        <v>419</v>
      </c>
      <c r="O43" s="338" t="s">
        <v>97</v>
      </c>
      <c r="P43" s="339"/>
      <c r="Q43" s="338" t="s">
        <v>734</v>
      </c>
      <c r="R43" s="338" t="s">
        <v>93</v>
      </c>
      <c r="S43" s="339"/>
      <c r="T43" s="338" t="s">
        <v>734</v>
      </c>
      <c r="U43" s="338" t="s">
        <v>35</v>
      </c>
      <c r="V43" s="339"/>
      <c r="W43" s="338" t="s">
        <v>734</v>
      </c>
      <c r="X43" s="132"/>
      <c r="Y43" s="340" t="n">
        <f aca="false">science_cap*(1-EXP(-TblImps[[#This Row],[Σ Science]]/(science_param*(OFFSET(TblImps[[#This Row],[Land]],1,0)-OFFSET(TblExplore[[#This Row],[Land Bonus]],1,0)*20)+15000)))*(1+(mason_bonus*TblConstr[[#This Row],[Tot Mas]]/TblConstr[[#This Row],[Land (2)]]))</f>
        <v>0</v>
      </c>
      <c r="Z43" s="340" t="n">
        <f aca="false">keep_cap*(1-EXP(-TblImps[[#This Row],[Σ Keep]]/(keep_param*(OFFSET(TblImps[[#This Row],[Land]],1,0)-OFFSET(TblExplore[[#This Row],[Land Bonus]],1,0)*20)+15000)))*(1+(mason_bonus*TblConstr[[#This Row],[Tot Mas]]/TblConstr[[#This Row],[Land (2)]]))</f>
        <v>0</v>
      </c>
      <c r="AA43" s="340" t="n">
        <f aca="false">harbor_towers_cap*(1-EXP(-TblImps[[#This Row],[Σ Towers]]/(towers_param*(OFFSET(TblImps[[#This Row],[Land]],1,0)-OFFSET(TblExplore[[#This Row],[Land Bonus]],1,0)*20)+15000)))*(1+(mason_bonus*TblConstr[[#This Row],[Tot Mas]]/TblConstr[[#This Row],[Land (2)]]))</f>
        <v>0</v>
      </c>
      <c r="AB43" s="340" t="n">
        <f aca="false">walls_forges_cap*(1-EXP(-TblImps[[#This Row],[Σ Forges]]/(walls_forges_param*(OFFSET(TblImps[[#This Row],[Land]],1,0)-OFFSET(TblExplore[[#This Row],[Land Bonus]],1,0)*20)+15000)))*(1+(mason_bonus*TblConstr[[#This Row],[Tot Mas]]/TblConstr[[#This Row],[Land (2)]]))</f>
        <v>0</v>
      </c>
      <c r="AC43" s="340" t="n">
        <f aca="false">walls_forges_cap*(1-EXP(-TblImps[[#This Row],[Σ Walls]]/(walls_forges_param*(OFFSET(TblImps[[#This Row],[Land]],1,0)-OFFSET(TblExplore[[#This Row],[Land Bonus]],1,0)*20)+15000)))*(1+(mason_bonus*TblConstr[[#This Row],[Tot Mas]]/TblConstr[[#This Row],[Land (2)]]))</f>
        <v>0</v>
      </c>
      <c r="AD43" s="340" t="n">
        <f aca="false">harbor_towers_cap*(1-EXP(-TblImps[[#This Row],[Σ Irrigation]]/(harbor_towers_param*(OFFSET(TblImps[[#This Row],[Land]],1,0)-OFFSET(TblExplore[[#This Row],[Land Bonus]],1,0)*20)+15000)))*(1+(mason_bonus*TblConstr[[#This Row],[Tot Mas]]/TblConstr[[#This Row],[Land (2)]]))</f>
        <v>0</v>
      </c>
      <c r="AE43" s="132"/>
      <c r="AF43" s="33" t="n">
        <f aca="false">(1+Overview!$I$28)*SUM(TblImps[[#This Row],[P2]:[G2]])+OFFSET(TblImps[[#This Row],[Σ Science]],-1,0)</f>
        <v>0</v>
      </c>
      <c r="AG43" s="33" t="n">
        <f aca="false">(1+Overview!$I$28)*SUM(TblImps[[#This Row],[P3]:[G3]])+OFFSET(TblImps[[#This Row],[Σ Keep]],-1,0)</f>
        <v>0</v>
      </c>
      <c r="AH43" s="33" t="n">
        <f aca="false">(1+Overview!$I$28 + tech_7_1*TblTech[[#This Row],[7-1]])*SUM(TblImps[[#This Row],[P4]:[G4]])+OFFSET(TblImps[[#This Row],[Σ Towers]],-1,0)</f>
        <v>0</v>
      </c>
      <c r="AI43" s="33" t="n">
        <f aca="false">(1+Overview!$I$28)*SUM(TblImps[[#This Row],[P5]:[G5]])+OFFSET(TblImps[[#This Row],[Σ Forges]],-1,0)</f>
        <v>0</v>
      </c>
      <c r="AJ43" s="33" t="n">
        <f aca="false">(1+Overview!$I$28)*SUM(TblImps[[#This Row],[P6]:[G6]])+OFFSET(TblImps[[#This Row],[Σ Walls]],-1,0)</f>
        <v>0</v>
      </c>
      <c r="AK43" s="33" t="n">
        <f aca="false">(1+Overview!$I$28 + tech_7_1*TblTech[[#This Row],[7-1]])*SUM(TblImps[[#This Row],[P7]:[G7]])+OFFSET(TblImps[[#This Row],[Σ Irrigation]],-1,0)</f>
        <v>0</v>
      </c>
      <c r="AL43" s="132"/>
      <c r="AM43" s="26" t="n">
        <f aca="false">IF(AND(TblImps[[#This Row],[Resource]]=AM$2,TblImps[[#This Row],[Part]]&lt;&gt;""),TblImps[[#This Row],[Amount]]) + IF(AND(TblImps[[#This Row],[Resource 2]]=AM$2,TblImps[[#This Row],[Part 2]]&lt;&gt;""),TblImps[[#This Row],[Amount 2]]) + IF(AND(TblImps[[#This Row],[Resource 3]]=AM$2,TblImps[[#This Row],[Part 3]]&lt;&gt;""),TblImps[[#This Row],[Amount 3]])</f>
        <v>0</v>
      </c>
      <c r="AN43" s="26" t="n">
        <f aca="false">IF(AND(TblImps[[#This Row],[Resource]]=AN$2,TblImps[[#This Row],[Part]]&lt;&gt;""),TblImps[[#This Row],[Amount]]) + IF(AND(TblImps[[#This Row],[Resource 2]]=AN$2,TblImps[[#This Row],[Part 2]]&lt;&gt;""),TblImps[[#This Row],[Amount 2]]) + IF(AND(TblImps[[#This Row],[Resource 3]]=AN$2,TblImps[[#This Row],[Part 3]]&lt;&gt;""),TblImps[[#This Row],[Amount 3]])</f>
        <v>0</v>
      </c>
      <c r="AO43" s="26" t="n">
        <f aca="false">IF(AND(TblImps[[#This Row],[Resource]]=AO$2,TblImps[[#This Row],[Part]]&lt;&gt;""),TblImps[[#This Row],[Amount]]) + IF(AND(TblImps[[#This Row],[Resource 2]]=AO$2,TblImps[[#This Row],[Part 2]]&lt;&gt;""),TblImps[[#This Row],[Amount 2]]) + IF(AND(TblImps[[#This Row],[Resource 3]]=AO$2,TblImps[[#This Row],[Part 3]]&lt;&gt;""),TblImps[[#This Row],[Amount 3]])</f>
        <v>0</v>
      </c>
      <c r="AP43" s="26" t="n">
        <f aca="false">IF(AND(TblImps[[#This Row],[Resource]]=AP$2,TblImps[[#This Row],[Part]]&lt;&gt;""),TblImps[[#This Row],[Amount]]) + IF(AND(TblImps[[#This Row],[Resource 2]]=AP$2,TblImps[[#This Row],[Part 2]]&lt;&gt;""),TblImps[[#This Row],[Amount 2]]) + IF(AND(TblImps[[#This Row],[Resource 3]]=AP$2,TblImps[[#This Row],[Part 3]]&lt;&gt;""),TblImps[[#This Row],[Amount 3]])</f>
        <v>0</v>
      </c>
      <c r="AQ43" s="132"/>
      <c r="AR4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32"/>
      <c r="AW4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32"/>
      <c r="BB4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32"/>
      <c r="BG4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32"/>
      <c r="BL4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32"/>
      <c r="BQ4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32"/>
      <c r="BV43"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3" s="33" t="n">
        <f aca="false">TblImps[[#This Row],[Login]]</f>
        <v>1</v>
      </c>
      <c r="BX43" s="128"/>
      <c r="BY43" s="347" t="n">
        <f aca="false">OFFSET(TblImps[[#This Row],[Real time]],-1,0)+1/24</f>
        <v>45431.375</v>
      </c>
      <c r="BZ43" s="348" t="n">
        <f aca="false">OFFSET(TblImps[[#This Row],[Servertime]],-1,0)+1/24</f>
        <v>45431.625</v>
      </c>
      <c r="CA43" s="26"/>
      <c r="CB43" s="346"/>
      <c r="CC43" s="346"/>
    </row>
    <row r="44" customFormat="false" ht="12.75" hidden="false" customHeight="false" outlineLevel="0" collapsed="false">
      <c r="A44" s="181" t="n">
        <f aca="false">TblConstr[[#This Row],[Land]]</f>
        <v>501</v>
      </c>
      <c r="B44" s="132"/>
      <c r="C44" s="69" t="n">
        <f aca="false">TblProd[[#This Row],[Platinum]]</f>
        <v>54134</v>
      </c>
      <c r="D44" s="69" t="n">
        <f aca="false">TblProd[[#This Row],[Lumber]]</f>
        <v>8281</v>
      </c>
      <c r="E44" s="69" t="n">
        <f aca="false">TblProd[[#This Row],[Ore]]</f>
        <v>0</v>
      </c>
      <c r="F44" s="69" t="n">
        <f aca="false">TblProd[[#This Row],[Gems]]</f>
        <v>0</v>
      </c>
      <c r="G44" s="146"/>
      <c r="H44" s="69" t="n">
        <f aca="false">TblMili[[#This Row],[Draftees]]</f>
        <v>3</v>
      </c>
      <c r="I44" s="130" t="n">
        <f aca="false">TblPop[[#This Row],[Employment]]</f>
        <v>1</v>
      </c>
      <c r="J44" s="130" t="n">
        <f aca="false">TblPop[[#This Row],[Total]]/TblPop[[#This Row],[Net max]]</f>
        <v>0.977515614156836</v>
      </c>
      <c r="K44" s="336" t="n">
        <f aca="false">TblRezone[[#This Row],[Hour]]</f>
        <v>41</v>
      </c>
      <c r="L44" s="337" t="n">
        <f aca="false">TblImps[[#This Row],[Real time]]</f>
        <v>45431.4166666667</v>
      </c>
      <c r="M44" s="33" t="n">
        <f aca="false">IF(ISERROR(TblImps[[#This Row],[algorithm]]),0,TblImps[[#This Row],[algorithm]]*1)</f>
        <v>1</v>
      </c>
      <c r="N44" s="69" t="n">
        <f aca="false">TblImps[[#This Row],[Land]]</f>
        <v>501</v>
      </c>
      <c r="O44" s="338" t="s">
        <v>97</v>
      </c>
      <c r="P44" s="339"/>
      <c r="Q44" s="338" t="s">
        <v>734</v>
      </c>
      <c r="R44" s="338" t="s">
        <v>93</v>
      </c>
      <c r="S44" s="339"/>
      <c r="T44" s="338" t="s">
        <v>734</v>
      </c>
      <c r="U44" s="338" t="s">
        <v>35</v>
      </c>
      <c r="V44" s="339"/>
      <c r="W44" s="338" t="s">
        <v>734</v>
      </c>
      <c r="X44" s="132"/>
      <c r="Y44" s="340" t="n">
        <f aca="false">science_cap*(1-EXP(-TblImps[[#This Row],[Σ Science]]/(science_param*(OFFSET(TblImps[[#This Row],[Land]],1,0)-OFFSET(TblExplore[[#This Row],[Land Bonus]],1,0)*20)+15000)))*(1+(mason_bonus*TblConstr[[#This Row],[Tot Mas]]/TblConstr[[#This Row],[Land (2)]]))</f>
        <v>0</v>
      </c>
      <c r="Z44" s="340" t="n">
        <f aca="false">keep_cap*(1-EXP(-TblImps[[#This Row],[Σ Keep]]/(keep_param*(OFFSET(TblImps[[#This Row],[Land]],1,0)-OFFSET(TblExplore[[#This Row],[Land Bonus]],1,0)*20)+15000)))*(1+(mason_bonus*TblConstr[[#This Row],[Tot Mas]]/TblConstr[[#This Row],[Land (2)]]))</f>
        <v>0</v>
      </c>
      <c r="AA44" s="340" t="n">
        <f aca="false">harbor_towers_cap*(1-EXP(-TblImps[[#This Row],[Σ Towers]]/(towers_param*(OFFSET(TblImps[[#This Row],[Land]],1,0)-OFFSET(TblExplore[[#This Row],[Land Bonus]],1,0)*20)+15000)))*(1+(mason_bonus*TblConstr[[#This Row],[Tot Mas]]/TblConstr[[#This Row],[Land (2)]]))</f>
        <v>0</v>
      </c>
      <c r="AB44" s="340" t="n">
        <f aca="false">walls_forges_cap*(1-EXP(-TblImps[[#This Row],[Σ Forges]]/(walls_forges_param*(OFFSET(TblImps[[#This Row],[Land]],1,0)-OFFSET(TblExplore[[#This Row],[Land Bonus]],1,0)*20)+15000)))*(1+(mason_bonus*TblConstr[[#This Row],[Tot Mas]]/TblConstr[[#This Row],[Land (2)]]))</f>
        <v>0</v>
      </c>
      <c r="AC44" s="340" t="n">
        <f aca="false">walls_forges_cap*(1-EXP(-TblImps[[#This Row],[Σ Walls]]/(walls_forges_param*(OFFSET(TblImps[[#This Row],[Land]],1,0)-OFFSET(TblExplore[[#This Row],[Land Bonus]],1,0)*20)+15000)))*(1+(mason_bonus*TblConstr[[#This Row],[Tot Mas]]/TblConstr[[#This Row],[Land (2)]]))</f>
        <v>0</v>
      </c>
      <c r="AD44" s="340" t="n">
        <f aca="false">harbor_towers_cap*(1-EXP(-TblImps[[#This Row],[Σ Irrigation]]/(harbor_towers_param*(OFFSET(TblImps[[#This Row],[Land]],1,0)-OFFSET(TblExplore[[#This Row],[Land Bonus]],1,0)*20)+15000)))*(1+(mason_bonus*TblConstr[[#This Row],[Tot Mas]]/TblConstr[[#This Row],[Land (2)]]))</f>
        <v>0</v>
      </c>
      <c r="AE44" s="132"/>
      <c r="AF44" s="33" t="n">
        <f aca="false">(1+Overview!$I$28)*SUM(TblImps[[#This Row],[P2]:[G2]])+OFFSET(TblImps[[#This Row],[Σ Science]],-1,0)</f>
        <v>0</v>
      </c>
      <c r="AG44" s="33" t="n">
        <f aca="false">(1+Overview!$I$28)*SUM(TblImps[[#This Row],[P3]:[G3]])+OFFSET(TblImps[[#This Row],[Σ Keep]],-1,0)</f>
        <v>0</v>
      </c>
      <c r="AH44" s="33" t="n">
        <f aca="false">(1+Overview!$I$28 + tech_7_1*TblTech[[#This Row],[7-1]])*SUM(TblImps[[#This Row],[P4]:[G4]])+OFFSET(TblImps[[#This Row],[Σ Towers]],-1,0)</f>
        <v>0</v>
      </c>
      <c r="AI44" s="33" t="n">
        <f aca="false">(1+Overview!$I$28)*SUM(TblImps[[#This Row],[P5]:[G5]])+OFFSET(TblImps[[#This Row],[Σ Forges]],-1,0)</f>
        <v>0</v>
      </c>
      <c r="AJ44" s="33" t="n">
        <f aca="false">(1+Overview!$I$28)*SUM(TblImps[[#This Row],[P6]:[G6]])+OFFSET(TblImps[[#This Row],[Σ Walls]],-1,0)</f>
        <v>0</v>
      </c>
      <c r="AK44" s="33" t="n">
        <f aca="false">(1+Overview!$I$28 + tech_7_1*TblTech[[#This Row],[7-1]])*SUM(TblImps[[#This Row],[P7]:[G7]])+OFFSET(TblImps[[#This Row],[Σ Irrigation]],-1,0)</f>
        <v>0</v>
      </c>
      <c r="AL44" s="132"/>
      <c r="AM44" s="26" t="n">
        <f aca="false">IF(AND(TblImps[[#This Row],[Resource]]=AM$2,TblImps[[#This Row],[Part]]&lt;&gt;""),TblImps[[#This Row],[Amount]]) + IF(AND(TblImps[[#This Row],[Resource 2]]=AM$2,TblImps[[#This Row],[Part 2]]&lt;&gt;""),TblImps[[#This Row],[Amount 2]]) + IF(AND(TblImps[[#This Row],[Resource 3]]=AM$2,TblImps[[#This Row],[Part 3]]&lt;&gt;""),TblImps[[#This Row],[Amount 3]])</f>
        <v>0</v>
      </c>
      <c r="AN44" s="26" t="n">
        <f aca="false">IF(AND(TblImps[[#This Row],[Resource]]=AN$2,TblImps[[#This Row],[Part]]&lt;&gt;""),TblImps[[#This Row],[Amount]]) + IF(AND(TblImps[[#This Row],[Resource 2]]=AN$2,TblImps[[#This Row],[Part 2]]&lt;&gt;""),TblImps[[#This Row],[Amount 2]]) + IF(AND(TblImps[[#This Row],[Resource 3]]=AN$2,TblImps[[#This Row],[Part 3]]&lt;&gt;""),TblImps[[#This Row],[Amount 3]])</f>
        <v>0</v>
      </c>
      <c r="AO44" s="26" t="n">
        <f aca="false">IF(AND(TblImps[[#This Row],[Resource]]=AO$2,TblImps[[#This Row],[Part]]&lt;&gt;""),TblImps[[#This Row],[Amount]]) + IF(AND(TblImps[[#This Row],[Resource 2]]=AO$2,TblImps[[#This Row],[Part 2]]&lt;&gt;""),TblImps[[#This Row],[Amount 2]]) + IF(AND(TblImps[[#This Row],[Resource 3]]=AO$2,TblImps[[#This Row],[Part 3]]&lt;&gt;""),TblImps[[#This Row],[Amount 3]])</f>
        <v>0</v>
      </c>
      <c r="AP44" s="26" t="n">
        <f aca="false">IF(AND(TblImps[[#This Row],[Resource]]=AP$2,TblImps[[#This Row],[Part]]&lt;&gt;""),TblImps[[#This Row],[Amount]]) + IF(AND(TblImps[[#This Row],[Resource 2]]=AP$2,TblImps[[#This Row],[Part 2]]&lt;&gt;""),TblImps[[#This Row],[Amount 2]]) + IF(AND(TblImps[[#This Row],[Resource 3]]=AP$2,TblImps[[#This Row],[Part 3]]&lt;&gt;""),TblImps[[#This Row],[Amount 3]])</f>
        <v>0</v>
      </c>
      <c r="AQ44" s="132"/>
      <c r="AR4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32"/>
      <c r="AW4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32"/>
      <c r="BB4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32"/>
      <c r="BG4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32"/>
      <c r="BL4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32"/>
      <c r="BQ4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32"/>
      <c r="BV44"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4" s="33" t="n">
        <f aca="false">TblImps[[#This Row],[Login]]</f>
        <v>1</v>
      </c>
      <c r="BX44" s="128"/>
      <c r="BY44" s="347" t="n">
        <f aca="false">OFFSET(TblImps[[#This Row],[Real time]],-1,0)+1/24</f>
        <v>45431.4166666667</v>
      </c>
      <c r="BZ44" s="348" t="n">
        <f aca="false">OFFSET(TblImps[[#This Row],[Servertime]],-1,0)+1/24</f>
        <v>45431.6666666667</v>
      </c>
      <c r="CA44" s="26"/>
      <c r="CB44" s="346"/>
      <c r="CC44" s="346"/>
    </row>
    <row r="45" customFormat="false" ht="12.75" hidden="false" customHeight="false" outlineLevel="0" collapsed="false">
      <c r="A45" s="181" t="n">
        <f aca="false">TblConstr[[#This Row],[Land]]</f>
        <v>510</v>
      </c>
      <c r="B45" s="132"/>
      <c r="C45" s="69" t="n">
        <f aca="false">TblProd[[#This Row],[Platinum]]</f>
        <v>60267</v>
      </c>
      <c r="D45" s="69" t="n">
        <f aca="false">TblProd[[#This Row],[Lumber]]</f>
        <v>8504</v>
      </c>
      <c r="E45" s="69" t="n">
        <f aca="false">TblProd[[#This Row],[Ore]]</f>
        <v>0</v>
      </c>
      <c r="F45" s="69" t="n">
        <f aca="false">TblProd[[#This Row],[Gems]]</f>
        <v>0</v>
      </c>
      <c r="G45" s="146"/>
      <c r="H45" s="69" t="n">
        <f aca="false">TblMili[[#This Row],[Draftees]]</f>
        <v>1</v>
      </c>
      <c r="I45" s="130" t="n">
        <f aca="false">TblPop[[#This Row],[Employment]]</f>
        <v>1</v>
      </c>
      <c r="J45" s="130" t="n">
        <f aca="false">TblPop[[#This Row],[Total]]/TblPop[[#This Row],[Net max]]</f>
        <v>0.909537856440511</v>
      </c>
      <c r="K45" s="336" t="n">
        <f aca="false">TblRezone[[#This Row],[Hour]]</f>
        <v>42</v>
      </c>
      <c r="L45" s="337" t="n">
        <f aca="false">TblImps[[#This Row],[Real time]]</f>
        <v>45431.4583333333</v>
      </c>
      <c r="M45" s="33" t="n">
        <f aca="false">IF(ISERROR(TblImps[[#This Row],[algorithm]]),0,TblImps[[#This Row],[algorithm]]*1)</f>
        <v>1</v>
      </c>
      <c r="N45" s="69" t="n">
        <f aca="false">TblImps[[#This Row],[Land]]</f>
        <v>510</v>
      </c>
      <c r="O45" s="338" t="s">
        <v>97</v>
      </c>
      <c r="P45" s="339"/>
      <c r="Q45" s="338" t="s">
        <v>734</v>
      </c>
      <c r="R45" s="338" t="s">
        <v>93</v>
      </c>
      <c r="S45" s="339"/>
      <c r="T45" s="338" t="s">
        <v>734</v>
      </c>
      <c r="U45" s="338" t="s">
        <v>35</v>
      </c>
      <c r="V45" s="339"/>
      <c r="W45" s="338" t="s">
        <v>734</v>
      </c>
      <c r="X45" s="132"/>
      <c r="Y45" s="340" t="n">
        <f aca="false">science_cap*(1-EXP(-TblImps[[#This Row],[Σ Science]]/(science_param*(OFFSET(TblImps[[#This Row],[Land]],1,0)-OFFSET(TblExplore[[#This Row],[Land Bonus]],1,0)*20)+15000)))*(1+(mason_bonus*TblConstr[[#This Row],[Tot Mas]]/TblConstr[[#This Row],[Land (2)]]))</f>
        <v>0</v>
      </c>
      <c r="Z45" s="340" t="n">
        <f aca="false">keep_cap*(1-EXP(-TblImps[[#This Row],[Σ Keep]]/(keep_param*(OFFSET(TblImps[[#This Row],[Land]],1,0)-OFFSET(TblExplore[[#This Row],[Land Bonus]],1,0)*20)+15000)))*(1+(mason_bonus*TblConstr[[#This Row],[Tot Mas]]/TblConstr[[#This Row],[Land (2)]]))</f>
        <v>0</v>
      </c>
      <c r="AA45" s="340" t="n">
        <f aca="false">harbor_towers_cap*(1-EXP(-TblImps[[#This Row],[Σ Towers]]/(towers_param*(OFFSET(TblImps[[#This Row],[Land]],1,0)-OFFSET(TblExplore[[#This Row],[Land Bonus]],1,0)*20)+15000)))*(1+(mason_bonus*TblConstr[[#This Row],[Tot Mas]]/TblConstr[[#This Row],[Land (2)]]))</f>
        <v>0</v>
      </c>
      <c r="AB45" s="340" t="n">
        <f aca="false">walls_forges_cap*(1-EXP(-TblImps[[#This Row],[Σ Forges]]/(walls_forges_param*(OFFSET(TblImps[[#This Row],[Land]],1,0)-OFFSET(TblExplore[[#This Row],[Land Bonus]],1,0)*20)+15000)))*(1+(mason_bonus*TblConstr[[#This Row],[Tot Mas]]/TblConstr[[#This Row],[Land (2)]]))</f>
        <v>0</v>
      </c>
      <c r="AC45" s="340" t="n">
        <f aca="false">walls_forges_cap*(1-EXP(-TblImps[[#This Row],[Σ Walls]]/(walls_forges_param*(OFFSET(TblImps[[#This Row],[Land]],1,0)-OFFSET(TblExplore[[#This Row],[Land Bonus]],1,0)*20)+15000)))*(1+(mason_bonus*TblConstr[[#This Row],[Tot Mas]]/TblConstr[[#This Row],[Land (2)]]))</f>
        <v>0</v>
      </c>
      <c r="AD45" s="340" t="n">
        <f aca="false">harbor_towers_cap*(1-EXP(-TblImps[[#This Row],[Σ Irrigation]]/(harbor_towers_param*(OFFSET(TblImps[[#This Row],[Land]],1,0)-OFFSET(TblExplore[[#This Row],[Land Bonus]],1,0)*20)+15000)))*(1+(mason_bonus*TblConstr[[#This Row],[Tot Mas]]/TblConstr[[#This Row],[Land (2)]]))</f>
        <v>0</v>
      </c>
      <c r="AE45" s="132"/>
      <c r="AF45" s="33" t="n">
        <f aca="false">(1+Overview!$I$28)*SUM(TblImps[[#This Row],[P2]:[G2]])+OFFSET(TblImps[[#This Row],[Σ Science]],-1,0)</f>
        <v>0</v>
      </c>
      <c r="AG45" s="33" t="n">
        <f aca="false">(1+Overview!$I$28)*SUM(TblImps[[#This Row],[P3]:[G3]])+OFFSET(TblImps[[#This Row],[Σ Keep]],-1,0)</f>
        <v>0</v>
      </c>
      <c r="AH45" s="33" t="n">
        <f aca="false">(1+Overview!$I$28 + tech_7_1*TblTech[[#This Row],[7-1]])*SUM(TblImps[[#This Row],[P4]:[G4]])+OFFSET(TblImps[[#This Row],[Σ Towers]],-1,0)</f>
        <v>0</v>
      </c>
      <c r="AI45" s="33" t="n">
        <f aca="false">(1+Overview!$I$28)*SUM(TblImps[[#This Row],[P5]:[G5]])+OFFSET(TblImps[[#This Row],[Σ Forges]],-1,0)</f>
        <v>0</v>
      </c>
      <c r="AJ45" s="33" t="n">
        <f aca="false">(1+Overview!$I$28)*SUM(TblImps[[#This Row],[P6]:[G6]])+OFFSET(TblImps[[#This Row],[Σ Walls]],-1,0)</f>
        <v>0</v>
      </c>
      <c r="AK45" s="33" t="n">
        <f aca="false">(1+Overview!$I$28 + tech_7_1*TblTech[[#This Row],[7-1]])*SUM(TblImps[[#This Row],[P7]:[G7]])+OFFSET(TblImps[[#This Row],[Σ Irrigation]],-1,0)</f>
        <v>0</v>
      </c>
      <c r="AL45" s="132"/>
      <c r="AM45" s="26" t="n">
        <f aca="false">IF(AND(TblImps[[#This Row],[Resource]]=AM$2,TblImps[[#This Row],[Part]]&lt;&gt;""),TblImps[[#This Row],[Amount]]) + IF(AND(TblImps[[#This Row],[Resource 2]]=AM$2,TblImps[[#This Row],[Part 2]]&lt;&gt;""),TblImps[[#This Row],[Amount 2]]) + IF(AND(TblImps[[#This Row],[Resource 3]]=AM$2,TblImps[[#This Row],[Part 3]]&lt;&gt;""),TblImps[[#This Row],[Amount 3]])</f>
        <v>0</v>
      </c>
      <c r="AN45" s="26" t="n">
        <f aca="false">IF(AND(TblImps[[#This Row],[Resource]]=AN$2,TblImps[[#This Row],[Part]]&lt;&gt;""),TblImps[[#This Row],[Amount]]) + IF(AND(TblImps[[#This Row],[Resource 2]]=AN$2,TblImps[[#This Row],[Part 2]]&lt;&gt;""),TblImps[[#This Row],[Amount 2]]) + IF(AND(TblImps[[#This Row],[Resource 3]]=AN$2,TblImps[[#This Row],[Part 3]]&lt;&gt;""),TblImps[[#This Row],[Amount 3]])</f>
        <v>0</v>
      </c>
      <c r="AO45" s="26" t="n">
        <f aca="false">IF(AND(TblImps[[#This Row],[Resource]]=AO$2,TblImps[[#This Row],[Part]]&lt;&gt;""),TblImps[[#This Row],[Amount]]) + IF(AND(TblImps[[#This Row],[Resource 2]]=AO$2,TblImps[[#This Row],[Part 2]]&lt;&gt;""),TblImps[[#This Row],[Amount 2]]) + IF(AND(TblImps[[#This Row],[Resource 3]]=AO$2,TblImps[[#This Row],[Part 3]]&lt;&gt;""),TblImps[[#This Row],[Amount 3]])</f>
        <v>0</v>
      </c>
      <c r="AP45" s="26" t="n">
        <f aca="false">IF(AND(TblImps[[#This Row],[Resource]]=AP$2,TblImps[[#This Row],[Part]]&lt;&gt;""),TblImps[[#This Row],[Amount]]) + IF(AND(TblImps[[#This Row],[Resource 2]]=AP$2,TblImps[[#This Row],[Part 2]]&lt;&gt;""),TblImps[[#This Row],[Amount 2]]) + IF(AND(TblImps[[#This Row],[Resource 3]]=AP$2,TblImps[[#This Row],[Part 3]]&lt;&gt;""),TblImps[[#This Row],[Amount 3]])</f>
        <v>0</v>
      </c>
      <c r="AQ45" s="132"/>
      <c r="AR4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32"/>
      <c r="AW4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32"/>
      <c r="BB4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32"/>
      <c r="BG4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32"/>
      <c r="BL4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32"/>
      <c r="BQ4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32"/>
      <c r="BV45"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5" s="33" t="n">
        <f aca="false">TblImps[[#This Row],[Login]]</f>
        <v>1</v>
      </c>
      <c r="BX45" s="128"/>
      <c r="BY45" s="347" t="n">
        <f aca="false">OFFSET(TblImps[[#This Row],[Real time]],-1,0)+1/24</f>
        <v>45431.4583333333</v>
      </c>
      <c r="BZ45" s="348" t="n">
        <f aca="false">OFFSET(TblImps[[#This Row],[Servertime]],-1,0)+1/24</f>
        <v>45431.7083333333</v>
      </c>
      <c r="CA45" s="26"/>
      <c r="CB45" s="346"/>
      <c r="CC45" s="346"/>
    </row>
    <row r="46" customFormat="false" ht="12.75" hidden="false" customHeight="false" outlineLevel="0" collapsed="false">
      <c r="A46" s="181" t="n">
        <f aca="false">TblConstr[[#This Row],[Land]]</f>
        <v>520</v>
      </c>
      <c r="B46" s="132"/>
      <c r="C46" s="69" t="n">
        <f aca="false">TblProd[[#This Row],[Platinum]]</f>
        <v>75080</v>
      </c>
      <c r="D46" s="69" t="n">
        <f aca="false">TblProd[[#This Row],[Lumber]]</f>
        <v>8724</v>
      </c>
      <c r="E46" s="69" t="n">
        <f aca="false">TblProd[[#This Row],[Ore]]</f>
        <v>0</v>
      </c>
      <c r="F46" s="69" t="n">
        <f aca="false">TblProd[[#This Row],[Gems]]</f>
        <v>0</v>
      </c>
      <c r="G46" s="146"/>
      <c r="H46" s="69" t="n">
        <f aca="false">TblMili[[#This Row],[Draftees]]</f>
        <v>27</v>
      </c>
      <c r="I46" s="130" t="n">
        <f aca="false">TblPop[[#This Row],[Employment]]</f>
        <v>1</v>
      </c>
      <c r="J46" s="130" t="n">
        <f aca="false">TblPop[[#This Row],[Total]]/TblPop[[#This Row],[Net max]]</f>
        <v>0.941353927838784</v>
      </c>
      <c r="K46" s="336" t="n">
        <f aca="false">TblRezone[[#This Row],[Hour]]</f>
        <v>43</v>
      </c>
      <c r="L46" s="337" t="n">
        <f aca="false">TblImps[[#This Row],[Real time]]</f>
        <v>45431.5</v>
      </c>
      <c r="M46" s="33" t="n">
        <f aca="false">IF(ISERROR(TblImps[[#This Row],[algorithm]]),0,TblImps[[#This Row],[algorithm]]*1)</f>
        <v>1</v>
      </c>
      <c r="N46" s="69" t="n">
        <f aca="false">TblImps[[#This Row],[Land]]</f>
        <v>520</v>
      </c>
      <c r="O46" s="338" t="s">
        <v>97</v>
      </c>
      <c r="P46" s="339"/>
      <c r="Q46" s="338" t="s">
        <v>734</v>
      </c>
      <c r="R46" s="338" t="s">
        <v>93</v>
      </c>
      <c r="S46" s="339"/>
      <c r="T46" s="338" t="s">
        <v>734</v>
      </c>
      <c r="U46" s="338" t="s">
        <v>35</v>
      </c>
      <c r="V46" s="339"/>
      <c r="W46" s="338" t="s">
        <v>734</v>
      </c>
      <c r="X46" s="132"/>
      <c r="Y46" s="340" t="n">
        <f aca="false">science_cap*(1-EXP(-TblImps[[#This Row],[Σ Science]]/(science_param*(OFFSET(TblImps[[#This Row],[Land]],1,0)-OFFSET(TblExplore[[#This Row],[Land Bonus]],1,0)*20)+15000)))*(1+(mason_bonus*TblConstr[[#This Row],[Tot Mas]]/TblConstr[[#This Row],[Land (2)]]))</f>
        <v>0</v>
      </c>
      <c r="Z46" s="340" t="n">
        <f aca="false">keep_cap*(1-EXP(-TblImps[[#This Row],[Σ Keep]]/(keep_param*(OFFSET(TblImps[[#This Row],[Land]],1,0)-OFFSET(TblExplore[[#This Row],[Land Bonus]],1,0)*20)+15000)))*(1+(mason_bonus*TblConstr[[#This Row],[Tot Mas]]/TblConstr[[#This Row],[Land (2)]]))</f>
        <v>0</v>
      </c>
      <c r="AA46" s="340" t="n">
        <f aca="false">harbor_towers_cap*(1-EXP(-TblImps[[#This Row],[Σ Towers]]/(towers_param*(OFFSET(TblImps[[#This Row],[Land]],1,0)-OFFSET(TblExplore[[#This Row],[Land Bonus]],1,0)*20)+15000)))*(1+(mason_bonus*TblConstr[[#This Row],[Tot Mas]]/TblConstr[[#This Row],[Land (2)]]))</f>
        <v>0</v>
      </c>
      <c r="AB46" s="340" t="n">
        <f aca="false">walls_forges_cap*(1-EXP(-TblImps[[#This Row],[Σ Forges]]/(walls_forges_param*(OFFSET(TblImps[[#This Row],[Land]],1,0)-OFFSET(TblExplore[[#This Row],[Land Bonus]],1,0)*20)+15000)))*(1+(mason_bonus*TblConstr[[#This Row],[Tot Mas]]/TblConstr[[#This Row],[Land (2)]]))</f>
        <v>0</v>
      </c>
      <c r="AC46" s="340" t="n">
        <f aca="false">walls_forges_cap*(1-EXP(-TblImps[[#This Row],[Σ Walls]]/(walls_forges_param*(OFFSET(TblImps[[#This Row],[Land]],1,0)-OFFSET(TblExplore[[#This Row],[Land Bonus]],1,0)*20)+15000)))*(1+(mason_bonus*TblConstr[[#This Row],[Tot Mas]]/TblConstr[[#This Row],[Land (2)]]))</f>
        <v>0</v>
      </c>
      <c r="AD46" s="340" t="n">
        <f aca="false">harbor_towers_cap*(1-EXP(-TblImps[[#This Row],[Σ Irrigation]]/(harbor_towers_param*(OFFSET(TblImps[[#This Row],[Land]],1,0)-OFFSET(TblExplore[[#This Row],[Land Bonus]],1,0)*20)+15000)))*(1+(mason_bonus*TblConstr[[#This Row],[Tot Mas]]/TblConstr[[#This Row],[Land (2)]]))</f>
        <v>0</v>
      </c>
      <c r="AE46" s="132"/>
      <c r="AF46" s="33" t="n">
        <f aca="false">(1+Overview!$I$28)*SUM(TblImps[[#This Row],[P2]:[G2]])+OFFSET(TblImps[[#This Row],[Σ Science]],-1,0)</f>
        <v>0</v>
      </c>
      <c r="AG46" s="33" t="n">
        <f aca="false">(1+Overview!$I$28)*SUM(TblImps[[#This Row],[P3]:[G3]])+OFFSET(TblImps[[#This Row],[Σ Keep]],-1,0)</f>
        <v>0</v>
      </c>
      <c r="AH46" s="33" t="n">
        <f aca="false">(1+Overview!$I$28 + tech_7_1*TblTech[[#This Row],[7-1]])*SUM(TblImps[[#This Row],[P4]:[G4]])+OFFSET(TblImps[[#This Row],[Σ Towers]],-1,0)</f>
        <v>0</v>
      </c>
      <c r="AI46" s="33" t="n">
        <f aca="false">(1+Overview!$I$28)*SUM(TblImps[[#This Row],[P5]:[G5]])+OFFSET(TblImps[[#This Row],[Σ Forges]],-1,0)</f>
        <v>0</v>
      </c>
      <c r="AJ46" s="33" t="n">
        <f aca="false">(1+Overview!$I$28)*SUM(TblImps[[#This Row],[P6]:[G6]])+OFFSET(TblImps[[#This Row],[Σ Walls]],-1,0)</f>
        <v>0</v>
      </c>
      <c r="AK46" s="33" t="n">
        <f aca="false">(1+Overview!$I$28 + tech_7_1*TblTech[[#This Row],[7-1]])*SUM(TblImps[[#This Row],[P7]:[G7]])+OFFSET(TblImps[[#This Row],[Σ Irrigation]],-1,0)</f>
        <v>0</v>
      </c>
      <c r="AL46" s="132"/>
      <c r="AM46" s="26" t="n">
        <f aca="false">IF(AND(TblImps[[#This Row],[Resource]]=AM$2,TblImps[[#This Row],[Part]]&lt;&gt;""),TblImps[[#This Row],[Amount]]) + IF(AND(TblImps[[#This Row],[Resource 2]]=AM$2,TblImps[[#This Row],[Part 2]]&lt;&gt;""),TblImps[[#This Row],[Amount 2]]) + IF(AND(TblImps[[#This Row],[Resource 3]]=AM$2,TblImps[[#This Row],[Part 3]]&lt;&gt;""),TblImps[[#This Row],[Amount 3]])</f>
        <v>0</v>
      </c>
      <c r="AN46" s="26" t="n">
        <f aca="false">IF(AND(TblImps[[#This Row],[Resource]]=AN$2,TblImps[[#This Row],[Part]]&lt;&gt;""),TblImps[[#This Row],[Amount]]) + IF(AND(TblImps[[#This Row],[Resource 2]]=AN$2,TblImps[[#This Row],[Part 2]]&lt;&gt;""),TblImps[[#This Row],[Amount 2]]) + IF(AND(TblImps[[#This Row],[Resource 3]]=AN$2,TblImps[[#This Row],[Part 3]]&lt;&gt;""),TblImps[[#This Row],[Amount 3]])</f>
        <v>0</v>
      </c>
      <c r="AO46" s="26" t="n">
        <f aca="false">IF(AND(TblImps[[#This Row],[Resource]]=AO$2,TblImps[[#This Row],[Part]]&lt;&gt;""),TblImps[[#This Row],[Amount]]) + IF(AND(TblImps[[#This Row],[Resource 2]]=AO$2,TblImps[[#This Row],[Part 2]]&lt;&gt;""),TblImps[[#This Row],[Amount 2]]) + IF(AND(TblImps[[#This Row],[Resource 3]]=AO$2,TblImps[[#This Row],[Part 3]]&lt;&gt;""),TblImps[[#This Row],[Amount 3]])</f>
        <v>0</v>
      </c>
      <c r="AP46" s="26" t="n">
        <f aca="false">IF(AND(TblImps[[#This Row],[Resource]]=AP$2,TblImps[[#This Row],[Part]]&lt;&gt;""),TblImps[[#This Row],[Amount]]) + IF(AND(TblImps[[#This Row],[Resource 2]]=AP$2,TblImps[[#This Row],[Part 2]]&lt;&gt;""),TblImps[[#This Row],[Amount 2]]) + IF(AND(TblImps[[#This Row],[Resource 3]]=AP$2,TblImps[[#This Row],[Part 3]]&lt;&gt;""),TblImps[[#This Row],[Amount 3]])</f>
        <v>0</v>
      </c>
      <c r="AQ46" s="132"/>
      <c r="AR4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32"/>
      <c r="AW4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32"/>
      <c r="BB4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32"/>
      <c r="BG4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32"/>
      <c r="BL4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32"/>
      <c r="BQ4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32"/>
      <c r="BV46"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6" s="33" t="n">
        <f aca="false">TblImps[[#This Row],[Login]]</f>
        <v>1</v>
      </c>
      <c r="BX46" s="128"/>
      <c r="BY46" s="347" t="n">
        <f aca="false">OFFSET(TblImps[[#This Row],[Real time]],-1,0)+1/24</f>
        <v>45431.5</v>
      </c>
      <c r="BZ46" s="348" t="n">
        <f aca="false">OFFSET(TblImps[[#This Row],[Servertime]],-1,0)+1/24</f>
        <v>45431.75</v>
      </c>
      <c r="CA46" s="26"/>
      <c r="CB46" s="346"/>
      <c r="CC46" s="346"/>
    </row>
    <row r="47" customFormat="false" ht="12.75" hidden="false" customHeight="false" outlineLevel="0" collapsed="false">
      <c r="A47" s="181" t="n">
        <f aca="false">TblConstr[[#This Row],[Land]]</f>
        <v>530</v>
      </c>
      <c r="B47" s="132"/>
      <c r="C47" s="69" t="n">
        <f aca="false">TblProd[[#This Row],[Platinum]]</f>
        <v>107787</v>
      </c>
      <c r="D47" s="69" t="n">
        <f aca="false">TblProd[[#This Row],[Lumber]]</f>
        <v>8932</v>
      </c>
      <c r="E47" s="69" t="n">
        <f aca="false">TblProd[[#This Row],[Ore]]</f>
        <v>0</v>
      </c>
      <c r="F47" s="69" t="n">
        <f aca="false">TblProd[[#This Row],[Gems]]</f>
        <v>0</v>
      </c>
      <c r="G47" s="146"/>
      <c r="H47" s="69" t="n">
        <f aca="false">TblMili[[#This Row],[Draftees]]</f>
        <v>105</v>
      </c>
      <c r="I47" s="130" t="n">
        <f aca="false">TblPop[[#This Row],[Employment]]</f>
        <v>1</v>
      </c>
      <c r="J47" s="130" t="n">
        <f aca="false">TblPop[[#This Row],[Total]]/TblPop[[#This Row],[Net max]]</f>
        <v>0.978814060835602</v>
      </c>
      <c r="K47" s="336" t="n">
        <f aca="false">TblRezone[[#This Row],[Hour]]</f>
        <v>44</v>
      </c>
      <c r="L47" s="337" t="n">
        <f aca="false">TblImps[[#This Row],[Real time]]</f>
        <v>45431.5416666667</v>
      </c>
      <c r="M47" s="33" t="n">
        <f aca="false">IF(ISERROR(TblImps[[#This Row],[algorithm]]),0,TblImps[[#This Row],[algorithm]]*1)</f>
        <v>1</v>
      </c>
      <c r="N47" s="69" t="n">
        <f aca="false">TblImps[[#This Row],[Land]]</f>
        <v>530</v>
      </c>
      <c r="O47" s="338" t="s">
        <v>97</v>
      </c>
      <c r="P47" s="339"/>
      <c r="Q47" s="338" t="s">
        <v>734</v>
      </c>
      <c r="R47" s="338" t="s">
        <v>93</v>
      </c>
      <c r="S47" s="339"/>
      <c r="T47" s="338" t="s">
        <v>734</v>
      </c>
      <c r="U47" s="338" t="s">
        <v>35</v>
      </c>
      <c r="V47" s="339"/>
      <c r="W47" s="338" t="s">
        <v>734</v>
      </c>
      <c r="X47" s="132"/>
      <c r="Y47" s="340" t="n">
        <f aca="false">science_cap*(1-EXP(-TblImps[[#This Row],[Σ Science]]/(science_param*(OFFSET(TblImps[[#This Row],[Land]],1,0)-OFFSET(TblExplore[[#This Row],[Land Bonus]],1,0)*20)+15000)))*(1+(mason_bonus*TblConstr[[#This Row],[Tot Mas]]/TblConstr[[#This Row],[Land (2)]]))</f>
        <v>0</v>
      </c>
      <c r="Z47" s="340" t="n">
        <f aca="false">keep_cap*(1-EXP(-TblImps[[#This Row],[Σ Keep]]/(keep_param*(OFFSET(TblImps[[#This Row],[Land]],1,0)-OFFSET(TblExplore[[#This Row],[Land Bonus]],1,0)*20)+15000)))*(1+(mason_bonus*TblConstr[[#This Row],[Tot Mas]]/TblConstr[[#This Row],[Land (2)]]))</f>
        <v>0</v>
      </c>
      <c r="AA47" s="340" t="n">
        <f aca="false">harbor_towers_cap*(1-EXP(-TblImps[[#This Row],[Σ Towers]]/(towers_param*(OFFSET(TblImps[[#This Row],[Land]],1,0)-OFFSET(TblExplore[[#This Row],[Land Bonus]],1,0)*20)+15000)))*(1+(mason_bonus*TblConstr[[#This Row],[Tot Mas]]/TblConstr[[#This Row],[Land (2)]]))</f>
        <v>0</v>
      </c>
      <c r="AB47" s="340" t="n">
        <f aca="false">walls_forges_cap*(1-EXP(-TblImps[[#This Row],[Σ Forges]]/(walls_forges_param*(OFFSET(TblImps[[#This Row],[Land]],1,0)-OFFSET(TblExplore[[#This Row],[Land Bonus]],1,0)*20)+15000)))*(1+(mason_bonus*TblConstr[[#This Row],[Tot Mas]]/TblConstr[[#This Row],[Land (2)]]))</f>
        <v>0</v>
      </c>
      <c r="AC47" s="340" t="n">
        <f aca="false">walls_forges_cap*(1-EXP(-TblImps[[#This Row],[Σ Walls]]/(walls_forges_param*(OFFSET(TblImps[[#This Row],[Land]],1,0)-OFFSET(TblExplore[[#This Row],[Land Bonus]],1,0)*20)+15000)))*(1+(mason_bonus*TblConstr[[#This Row],[Tot Mas]]/TblConstr[[#This Row],[Land (2)]]))</f>
        <v>0</v>
      </c>
      <c r="AD47" s="340" t="n">
        <f aca="false">harbor_towers_cap*(1-EXP(-TblImps[[#This Row],[Σ Irrigation]]/(harbor_towers_param*(OFFSET(TblImps[[#This Row],[Land]],1,0)-OFFSET(TblExplore[[#This Row],[Land Bonus]],1,0)*20)+15000)))*(1+(mason_bonus*TblConstr[[#This Row],[Tot Mas]]/TblConstr[[#This Row],[Land (2)]]))</f>
        <v>0</v>
      </c>
      <c r="AE47" s="132"/>
      <c r="AF47" s="33" t="n">
        <f aca="false">(1+Overview!$I$28)*SUM(TblImps[[#This Row],[P2]:[G2]])+OFFSET(TblImps[[#This Row],[Σ Science]],-1,0)</f>
        <v>0</v>
      </c>
      <c r="AG47" s="33" t="n">
        <f aca="false">(1+Overview!$I$28)*SUM(TblImps[[#This Row],[P3]:[G3]])+OFFSET(TblImps[[#This Row],[Σ Keep]],-1,0)</f>
        <v>0</v>
      </c>
      <c r="AH47" s="33" t="n">
        <f aca="false">(1+Overview!$I$28 + tech_7_1*TblTech[[#This Row],[7-1]])*SUM(TblImps[[#This Row],[P4]:[G4]])+OFFSET(TblImps[[#This Row],[Σ Towers]],-1,0)</f>
        <v>0</v>
      </c>
      <c r="AI47" s="33" t="n">
        <f aca="false">(1+Overview!$I$28)*SUM(TblImps[[#This Row],[P5]:[G5]])+OFFSET(TblImps[[#This Row],[Σ Forges]],-1,0)</f>
        <v>0</v>
      </c>
      <c r="AJ47" s="33" t="n">
        <f aca="false">(1+Overview!$I$28)*SUM(TblImps[[#This Row],[P6]:[G6]])+OFFSET(TblImps[[#This Row],[Σ Walls]],-1,0)</f>
        <v>0</v>
      </c>
      <c r="AK47" s="33" t="n">
        <f aca="false">(1+Overview!$I$28 + tech_7_1*TblTech[[#This Row],[7-1]])*SUM(TblImps[[#This Row],[P7]:[G7]])+OFFSET(TblImps[[#This Row],[Σ Irrigation]],-1,0)</f>
        <v>0</v>
      </c>
      <c r="AL47" s="132"/>
      <c r="AM47" s="26" t="n">
        <f aca="false">IF(AND(TblImps[[#This Row],[Resource]]=AM$2,TblImps[[#This Row],[Part]]&lt;&gt;""),TblImps[[#This Row],[Amount]]) + IF(AND(TblImps[[#This Row],[Resource 2]]=AM$2,TblImps[[#This Row],[Part 2]]&lt;&gt;""),TblImps[[#This Row],[Amount 2]]) + IF(AND(TblImps[[#This Row],[Resource 3]]=AM$2,TblImps[[#This Row],[Part 3]]&lt;&gt;""),TblImps[[#This Row],[Amount 3]])</f>
        <v>0</v>
      </c>
      <c r="AN47" s="26" t="n">
        <f aca="false">IF(AND(TblImps[[#This Row],[Resource]]=AN$2,TblImps[[#This Row],[Part]]&lt;&gt;""),TblImps[[#This Row],[Amount]]) + IF(AND(TblImps[[#This Row],[Resource 2]]=AN$2,TblImps[[#This Row],[Part 2]]&lt;&gt;""),TblImps[[#This Row],[Amount 2]]) + IF(AND(TblImps[[#This Row],[Resource 3]]=AN$2,TblImps[[#This Row],[Part 3]]&lt;&gt;""),TblImps[[#This Row],[Amount 3]])</f>
        <v>0</v>
      </c>
      <c r="AO47" s="26" t="n">
        <f aca="false">IF(AND(TblImps[[#This Row],[Resource]]=AO$2,TblImps[[#This Row],[Part]]&lt;&gt;""),TblImps[[#This Row],[Amount]]) + IF(AND(TblImps[[#This Row],[Resource 2]]=AO$2,TblImps[[#This Row],[Part 2]]&lt;&gt;""),TblImps[[#This Row],[Amount 2]]) + IF(AND(TblImps[[#This Row],[Resource 3]]=AO$2,TblImps[[#This Row],[Part 3]]&lt;&gt;""),TblImps[[#This Row],[Amount 3]])</f>
        <v>0</v>
      </c>
      <c r="AP47" s="26" t="n">
        <f aca="false">IF(AND(TblImps[[#This Row],[Resource]]=AP$2,TblImps[[#This Row],[Part]]&lt;&gt;""),TblImps[[#This Row],[Amount]]) + IF(AND(TblImps[[#This Row],[Resource 2]]=AP$2,TblImps[[#This Row],[Part 2]]&lt;&gt;""),TblImps[[#This Row],[Amount 2]]) + IF(AND(TblImps[[#This Row],[Resource 3]]=AP$2,TblImps[[#This Row],[Part 3]]&lt;&gt;""),TblImps[[#This Row],[Amount 3]])</f>
        <v>0</v>
      </c>
      <c r="AQ47" s="132"/>
      <c r="AR4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32"/>
      <c r="AW4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32"/>
      <c r="BB4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32"/>
      <c r="BG4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32"/>
      <c r="BL4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32"/>
      <c r="BQ4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32"/>
      <c r="BV47"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7" s="33" t="n">
        <f aca="false">TblImps[[#This Row],[Login]]</f>
        <v>1</v>
      </c>
      <c r="BX47" s="128"/>
      <c r="BY47" s="347" t="n">
        <f aca="false">OFFSET(TblImps[[#This Row],[Real time]],-1,0)+1/24</f>
        <v>45431.5416666667</v>
      </c>
      <c r="BZ47" s="348" t="n">
        <f aca="false">OFFSET(TblImps[[#This Row],[Servertime]],-1,0)+1/24</f>
        <v>45431.7916666667</v>
      </c>
      <c r="CA47" s="26"/>
      <c r="CB47" s="346"/>
      <c r="CC47" s="346"/>
    </row>
    <row r="48" customFormat="false" ht="12.75" hidden="false" customHeight="false" outlineLevel="0" collapsed="false">
      <c r="A48" s="181" t="n">
        <f aca="false">TblConstr[[#This Row],[Land]]</f>
        <v>540</v>
      </c>
      <c r="B48" s="132"/>
      <c r="C48" s="69" t="n">
        <f aca="false">TblProd[[#This Row],[Platinum]]</f>
        <v>141605</v>
      </c>
      <c r="D48" s="69" t="n">
        <f aca="false">TblProd[[#This Row],[Lumber]]</f>
        <v>9118</v>
      </c>
      <c r="E48" s="69" t="n">
        <f aca="false">TblProd[[#This Row],[Ore]]</f>
        <v>0</v>
      </c>
      <c r="F48" s="69" t="n">
        <f aca="false">TblProd[[#This Row],[Gems]]</f>
        <v>0</v>
      </c>
      <c r="G48" s="146"/>
      <c r="H48" s="69" t="n">
        <f aca="false">TblMili[[#This Row],[Draftees]]</f>
        <v>187</v>
      </c>
      <c r="I48" s="130" t="n">
        <f aca="false">TblPop[[#This Row],[Employment]]</f>
        <v>0.999643832363766</v>
      </c>
      <c r="J48" s="130" t="n">
        <f aca="false">TblPop[[#This Row],[Total]]/TblPop[[#This Row],[Net max]]</f>
        <v>1</v>
      </c>
      <c r="K48" s="336" t="n">
        <f aca="false">TblRezone[[#This Row],[Hour]]</f>
        <v>45</v>
      </c>
      <c r="L48" s="337" t="n">
        <f aca="false">TblImps[[#This Row],[Real time]]</f>
        <v>45431.5833333333</v>
      </c>
      <c r="M48" s="33" t="n">
        <f aca="false">IF(ISERROR(TblImps[[#This Row],[algorithm]]),0,TblImps[[#This Row],[algorithm]]*1)</f>
        <v>1</v>
      </c>
      <c r="N48" s="69" t="n">
        <f aca="false">TblImps[[#This Row],[Land]]</f>
        <v>540</v>
      </c>
      <c r="O48" s="338" t="s">
        <v>97</v>
      </c>
      <c r="P48" s="339"/>
      <c r="Q48" s="338" t="s">
        <v>734</v>
      </c>
      <c r="R48" s="338" t="s">
        <v>93</v>
      </c>
      <c r="S48" s="339"/>
      <c r="T48" s="338" t="s">
        <v>734</v>
      </c>
      <c r="U48" s="338" t="s">
        <v>35</v>
      </c>
      <c r="V48" s="339"/>
      <c r="W48" s="338" t="s">
        <v>734</v>
      </c>
      <c r="X48" s="132"/>
      <c r="Y48" s="340" t="n">
        <f aca="false">science_cap*(1-EXP(-TblImps[[#This Row],[Σ Science]]/(science_param*(OFFSET(TblImps[[#This Row],[Land]],1,0)-OFFSET(TblExplore[[#This Row],[Land Bonus]],1,0)*20)+15000)))*(1+(mason_bonus*TblConstr[[#This Row],[Tot Mas]]/TblConstr[[#This Row],[Land (2)]]))</f>
        <v>0</v>
      </c>
      <c r="Z48" s="340" t="n">
        <f aca="false">keep_cap*(1-EXP(-TblImps[[#This Row],[Σ Keep]]/(keep_param*(OFFSET(TblImps[[#This Row],[Land]],1,0)-OFFSET(TblExplore[[#This Row],[Land Bonus]],1,0)*20)+15000)))*(1+(mason_bonus*TblConstr[[#This Row],[Tot Mas]]/TblConstr[[#This Row],[Land (2)]]))</f>
        <v>0</v>
      </c>
      <c r="AA48" s="340" t="n">
        <f aca="false">harbor_towers_cap*(1-EXP(-TblImps[[#This Row],[Σ Towers]]/(towers_param*(OFFSET(TblImps[[#This Row],[Land]],1,0)-OFFSET(TblExplore[[#This Row],[Land Bonus]],1,0)*20)+15000)))*(1+(mason_bonus*TblConstr[[#This Row],[Tot Mas]]/TblConstr[[#This Row],[Land (2)]]))</f>
        <v>0</v>
      </c>
      <c r="AB48" s="340" t="n">
        <f aca="false">walls_forges_cap*(1-EXP(-TblImps[[#This Row],[Σ Forges]]/(walls_forges_param*(OFFSET(TblImps[[#This Row],[Land]],1,0)-OFFSET(TblExplore[[#This Row],[Land Bonus]],1,0)*20)+15000)))*(1+(mason_bonus*TblConstr[[#This Row],[Tot Mas]]/TblConstr[[#This Row],[Land (2)]]))</f>
        <v>0</v>
      </c>
      <c r="AC48" s="340" t="n">
        <f aca="false">walls_forges_cap*(1-EXP(-TblImps[[#This Row],[Σ Walls]]/(walls_forges_param*(OFFSET(TblImps[[#This Row],[Land]],1,0)-OFFSET(TblExplore[[#This Row],[Land Bonus]],1,0)*20)+15000)))*(1+(mason_bonus*TblConstr[[#This Row],[Tot Mas]]/TblConstr[[#This Row],[Land (2)]]))</f>
        <v>0</v>
      </c>
      <c r="AD48" s="340" t="n">
        <f aca="false">harbor_towers_cap*(1-EXP(-TblImps[[#This Row],[Σ Irrigation]]/(harbor_towers_param*(OFFSET(TblImps[[#This Row],[Land]],1,0)-OFFSET(TblExplore[[#This Row],[Land Bonus]],1,0)*20)+15000)))*(1+(mason_bonus*TblConstr[[#This Row],[Tot Mas]]/TblConstr[[#This Row],[Land (2)]]))</f>
        <v>0</v>
      </c>
      <c r="AE48" s="132"/>
      <c r="AF48" s="33" t="n">
        <f aca="false">(1+Overview!$I$28)*SUM(TblImps[[#This Row],[P2]:[G2]])+OFFSET(TblImps[[#This Row],[Σ Science]],-1,0)</f>
        <v>0</v>
      </c>
      <c r="AG48" s="33" t="n">
        <f aca="false">(1+Overview!$I$28)*SUM(TblImps[[#This Row],[P3]:[G3]])+OFFSET(TblImps[[#This Row],[Σ Keep]],-1,0)</f>
        <v>0</v>
      </c>
      <c r="AH48" s="33" t="n">
        <f aca="false">(1+Overview!$I$28 + tech_7_1*TblTech[[#This Row],[7-1]])*SUM(TblImps[[#This Row],[P4]:[G4]])+OFFSET(TblImps[[#This Row],[Σ Towers]],-1,0)</f>
        <v>0</v>
      </c>
      <c r="AI48" s="33" t="n">
        <f aca="false">(1+Overview!$I$28)*SUM(TblImps[[#This Row],[P5]:[G5]])+OFFSET(TblImps[[#This Row],[Σ Forges]],-1,0)</f>
        <v>0</v>
      </c>
      <c r="AJ48" s="33" t="n">
        <f aca="false">(1+Overview!$I$28)*SUM(TblImps[[#This Row],[P6]:[G6]])+OFFSET(TblImps[[#This Row],[Σ Walls]],-1,0)</f>
        <v>0</v>
      </c>
      <c r="AK48" s="33" t="n">
        <f aca="false">(1+Overview!$I$28 + tech_7_1*TblTech[[#This Row],[7-1]])*SUM(TblImps[[#This Row],[P7]:[G7]])+OFFSET(TblImps[[#This Row],[Σ Irrigation]],-1,0)</f>
        <v>0</v>
      </c>
      <c r="AL48" s="132"/>
      <c r="AM48" s="26" t="n">
        <f aca="false">IF(AND(TblImps[[#This Row],[Resource]]=AM$2,TblImps[[#This Row],[Part]]&lt;&gt;""),TblImps[[#This Row],[Amount]]) + IF(AND(TblImps[[#This Row],[Resource 2]]=AM$2,TblImps[[#This Row],[Part 2]]&lt;&gt;""),TblImps[[#This Row],[Amount 2]]) + IF(AND(TblImps[[#This Row],[Resource 3]]=AM$2,TblImps[[#This Row],[Part 3]]&lt;&gt;""),TblImps[[#This Row],[Amount 3]])</f>
        <v>0</v>
      </c>
      <c r="AN48" s="26" t="n">
        <f aca="false">IF(AND(TblImps[[#This Row],[Resource]]=AN$2,TblImps[[#This Row],[Part]]&lt;&gt;""),TblImps[[#This Row],[Amount]]) + IF(AND(TblImps[[#This Row],[Resource 2]]=AN$2,TblImps[[#This Row],[Part 2]]&lt;&gt;""),TblImps[[#This Row],[Amount 2]]) + IF(AND(TblImps[[#This Row],[Resource 3]]=AN$2,TblImps[[#This Row],[Part 3]]&lt;&gt;""),TblImps[[#This Row],[Amount 3]])</f>
        <v>0</v>
      </c>
      <c r="AO48" s="26" t="n">
        <f aca="false">IF(AND(TblImps[[#This Row],[Resource]]=AO$2,TblImps[[#This Row],[Part]]&lt;&gt;""),TblImps[[#This Row],[Amount]]) + IF(AND(TblImps[[#This Row],[Resource 2]]=AO$2,TblImps[[#This Row],[Part 2]]&lt;&gt;""),TblImps[[#This Row],[Amount 2]]) + IF(AND(TblImps[[#This Row],[Resource 3]]=AO$2,TblImps[[#This Row],[Part 3]]&lt;&gt;""),TblImps[[#This Row],[Amount 3]])</f>
        <v>0</v>
      </c>
      <c r="AP48" s="26" t="n">
        <f aca="false">IF(AND(TblImps[[#This Row],[Resource]]=AP$2,TblImps[[#This Row],[Part]]&lt;&gt;""),TblImps[[#This Row],[Amount]]) + IF(AND(TblImps[[#This Row],[Resource 2]]=AP$2,TblImps[[#This Row],[Part 2]]&lt;&gt;""),TblImps[[#This Row],[Amount 2]]) + IF(AND(TblImps[[#This Row],[Resource 3]]=AP$2,TblImps[[#This Row],[Part 3]]&lt;&gt;""),TblImps[[#This Row],[Amount 3]])</f>
        <v>0</v>
      </c>
      <c r="AQ48" s="132"/>
      <c r="AR4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32"/>
      <c r="AW4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32"/>
      <c r="BB4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32"/>
      <c r="BG4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32"/>
      <c r="BL4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32"/>
      <c r="BQ4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32"/>
      <c r="BV48"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8" s="33" t="n">
        <f aca="false">TblImps[[#This Row],[Login]]</f>
        <v>1</v>
      </c>
      <c r="BX48" s="128"/>
      <c r="BY48" s="347" t="n">
        <f aca="false">OFFSET(TblImps[[#This Row],[Real time]],-1,0)+1/24</f>
        <v>45431.5833333333</v>
      </c>
      <c r="BZ48" s="348" t="n">
        <f aca="false">OFFSET(TblImps[[#This Row],[Servertime]],-1,0)+1/24</f>
        <v>45431.8333333333</v>
      </c>
      <c r="CA48" s="26"/>
      <c r="CB48" s="346"/>
      <c r="CC48" s="346"/>
    </row>
    <row r="49" customFormat="false" ht="12.75" hidden="false" customHeight="false" outlineLevel="0" collapsed="false">
      <c r="A49" s="181" t="n">
        <f aca="false">TblConstr[[#This Row],[Land]]</f>
        <v>551</v>
      </c>
      <c r="B49" s="132"/>
      <c r="C49" s="69" t="n">
        <f aca="false">TblProd[[#This Row],[Platinum]]</f>
        <v>175641</v>
      </c>
      <c r="D49" s="69" t="n">
        <f aca="false">TblProd[[#This Row],[Lumber]]</f>
        <v>9206</v>
      </c>
      <c r="E49" s="69" t="n">
        <f aca="false">TblProd[[#This Row],[Ore]]</f>
        <v>0</v>
      </c>
      <c r="F49" s="69" t="n">
        <f aca="false">TblProd[[#This Row],[Gems]]</f>
        <v>0</v>
      </c>
      <c r="G49" s="146"/>
      <c r="H49" s="69" t="n">
        <f aca="false">TblMili[[#This Row],[Draftees]]</f>
        <v>271</v>
      </c>
      <c r="I49" s="130" t="n">
        <f aca="false">TblPop[[#This Row],[Employment]]</f>
        <v>0.995179873030802</v>
      </c>
      <c r="J49" s="130" t="n">
        <f aca="false">TblPop[[#This Row],[Total]]/TblPop[[#This Row],[Net max]]</f>
        <v>1</v>
      </c>
      <c r="K49" s="336" t="n">
        <f aca="false">TblRezone[[#This Row],[Hour]]</f>
        <v>46</v>
      </c>
      <c r="L49" s="337" t="n">
        <f aca="false">TblImps[[#This Row],[Real time]]</f>
        <v>45431.625</v>
      </c>
      <c r="M49" s="33" t="n">
        <f aca="false">IF(ISERROR(TblImps[[#This Row],[algorithm]]),0,TblImps[[#This Row],[algorithm]]*1)</f>
        <v>1</v>
      </c>
      <c r="N49" s="69" t="n">
        <f aca="false">TblImps[[#This Row],[Land]]</f>
        <v>551</v>
      </c>
      <c r="O49" s="338" t="s">
        <v>97</v>
      </c>
      <c r="P49" s="339"/>
      <c r="Q49" s="338" t="s">
        <v>734</v>
      </c>
      <c r="R49" s="338" t="s">
        <v>93</v>
      </c>
      <c r="S49" s="339"/>
      <c r="T49" s="338" t="s">
        <v>734</v>
      </c>
      <c r="U49" s="338" t="s">
        <v>35</v>
      </c>
      <c r="V49" s="339"/>
      <c r="W49" s="338" t="s">
        <v>734</v>
      </c>
      <c r="X49" s="132"/>
      <c r="Y49" s="340" t="n">
        <f aca="false">science_cap*(1-EXP(-TblImps[[#This Row],[Σ Science]]/(science_param*(OFFSET(TblImps[[#This Row],[Land]],1,0)-OFFSET(TblExplore[[#This Row],[Land Bonus]],1,0)*20)+15000)))*(1+(mason_bonus*TblConstr[[#This Row],[Tot Mas]]/TblConstr[[#This Row],[Land (2)]]))</f>
        <v>0</v>
      </c>
      <c r="Z49" s="340" t="n">
        <f aca="false">keep_cap*(1-EXP(-TblImps[[#This Row],[Σ Keep]]/(keep_param*(OFFSET(TblImps[[#This Row],[Land]],1,0)-OFFSET(TblExplore[[#This Row],[Land Bonus]],1,0)*20)+15000)))*(1+(mason_bonus*TblConstr[[#This Row],[Tot Mas]]/TblConstr[[#This Row],[Land (2)]]))</f>
        <v>0</v>
      </c>
      <c r="AA49" s="340" t="n">
        <f aca="false">harbor_towers_cap*(1-EXP(-TblImps[[#This Row],[Σ Towers]]/(towers_param*(OFFSET(TblImps[[#This Row],[Land]],1,0)-OFFSET(TblExplore[[#This Row],[Land Bonus]],1,0)*20)+15000)))*(1+(mason_bonus*TblConstr[[#This Row],[Tot Mas]]/TblConstr[[#This Row],[Land (2)]]))</f>
        <v>0</v>
      </c>
      <c r="AB49" s="340" t="n">
        <f aca="false">walls_forges_cap*(1-EXP(-TblImps[[#This Row],[Σ Forges]]/(walls_forges_param*(OFFSET(TblImps[[#This Row],[Land]],1,0)-OFFSET(TblExplore[[#This Row],[Land Bonus]],1,0)*20)+15000)))*(1+(mason_bonus*TblConstr[[#This Row],[Tot Mas]]/TblConstr[[#This Row],[Land (2)]]))</f>
        <v>0</v>
      </c>
      <c r="AC49" s="340" t="n">
        <f aca="false">walls_forges_cap*(1-EXP(-TblImps[[#This Row],[Σ Walls]]/(walls_forges_param*(OFFSET(TblImps[[#This Row],[Land]],1,0)-OFFSET(TblExplore[[#This Row],[Land Bonus]],1,0)*20)+15000)))*(1+(mason_bonus*TblConstr[[#This Row],[Tot Mas]]/TblConstr[[#This Row],[Land (2)]]))</f>
        <v>0</v>
      </c>
      <c r="AD49" s="340" t="n">
        <f aca="false">harbor_towers_cap*(1-EXP(-TblImps[[#This Row],[Σ Irrigation]]/(harbor_towers_param*(OFFSET(TblImps[[#This Row],[Land]],1,0)-OFFSET(TblExplore[[#This Row],[Land Bonus]],1,0)*20)+15000)))*(1+(mason_bonus*TblConstr[[#This Row],[Tot Mas]]/TblConstr[[#This Row],[Land (2)]]))</f>
        <v>0</v>
      </c>
      <c r="AE49" s="132"/>
      <c r="AF49" s="33" t="n">
        <f aca="false">(1+Overview!$I$28)*SUM(TblImps[[#This Row],[P2]:[G2]])+OFFSET(TblImps[[#This Row],[Σ Science]],-1,0)</f>
        <v>0</v>
      </c>
      <c r="AG49" s="33" t="n">
        <f aca="false">(1+Overview!$I$28)*SUM(TblImps[[#This Row],[P3]:[G3]])+OFFSET(TblImps[[#This Row],[Σ Keep]],-1,0)</f>
        <v>0</v>
      </c>
      <c r="AH49" s="33" t="n">
        <f aca="false">(1+Overview!$I$28 + tech_7_1*TblTech[[#This Row],[7-1]])*SUM(TblImps[[#This Row],[P4]:[G4]])+OFFSET(TblImps[[#This Row],[Σ Towers]],-1,0)</f>
        <v>0</v>
      </c>
      <c r="AI49" s="33" t="n">
        <f aca="false">(1+Overview!$I$28)*SUM(TblImps[[#This Row],[P5]:[G5]])+OFFSET(TblImps[[#This Row],[Σ Forges]],-1,0)</f>
        <v>0</v>
      </c>
      <c r="AJ49" s="33" t="n">
        <f aca="false">(1+Overview!$I$28)*SUM(TblImps[[#This Row],[P6]:[G6]])+OFFSET(TblImps[[#This Row],[Σ Walls]],-1,0)</f>
        <v>0</v>
      </c>
      <c r="AK49" s="33" t="n">
        <f aca="false">(1+Overview!$I$28 + tech_7_1*TblTech[[#This Row],[7-1]])*SUM(TblImps[[#This Row],[P7]:[G7]])+OFFSET(TblImps[[#This Row],[Σ Irrigation]],-1,0)</f>
        <v>0</v>
      </c>
      <c r="AL49" s="132"/>
      <c r="AM49" s="26" t="n">
        <f aca="false">IF(AND(TblImps[[#This Row],[Resource]]=AM$2,TblImps[[#This Row],[Part]]&lt;&gt;""),TblImps[[#This Row],[Amount]]) + IF(AND(TblImps[[#This Row],[Resource 2]]=AM$2,TblImps[[#This Row],[Part 2]]&lt;&gt;""),TblImps[[#This Row],[Amount 2]]) + IF(AND(TblImps[[#This Row],[Resource 3]]=AM$2,TblImps[[#This Row],[Part 3]]&lt;&gt;""),TblImps[[#This Row],[Amount 3]])</f>
        <v>0</v>
      </c>
      <c r="AN49" s="26" t="n">
        <f aca="false">IF(AND(TblImps[[#This Row],[Resource]]=AN$2,TblImps[[#This Row],[Part]]&lt;&gt;""),TblImps[[#This Row],[Amount]]) + IF(AND(TblImps[[#This Row],[Resource 2]]=AN$2,TblImps[[#This Row],[Part 2]]&lt;&gt;""),TblImps[[#This Row],[Amount 2]]) + IF(AND(TblImps[[#This Row],[Resource 3]]=AN$2,TblImps[[#This Row],[Part 3]]&lt;&gt;""),TblImps[[#This Row],[Amount 3]])</f>
        <v>0</v>
      </c>
      <c r="AO49" s="26" t="n">
        <f aca="false">IF(AND(TblImps[[#This Row],[Resource]]=AO$2,TblImps[[#This Row],[Part]]&lt;&gt;""),TblImps[[#This Row],[Amount]]) + IF(AND(TblImps[[#This Row],[Resource 2]]=AO$2,TblImps[[#This Row],[Part 2]]&lt;&gt;""),TblImps[[#This Row],[Amount 2]]) + IF(AND(TblImps[[#This Row],[Resource 3]]=AO$2,TblImps[[#This Row],[Part 3]]&lt;&gt;""),TblImps[[#This Row],[Amount 3]])</f>
        <v>0</v>
      </c>
      <c r="AP49" s="26" t="n">
        <f aca="false">IF(AND(TblImps[[#This Row],[Resource]]=AP$2,TblImps[[#This Row],[Part]]&lt;&gt;""),TblImps[[#This Row],[Amount]]) + IF(AND(TblImps[[#This Row],[Resource 2]]=AP$2,TblImps[[#This Row],[Part 2]]&lt;&gt;""),TblImps[[#This Row],[Amount 2]]) + IF(AND(TblImps[[#This Row],[Resource 3]]=AP$2,TblImps[[#This Row],[Part 3]]&lt;&gt;""),TblImps[[#This Row],[Amount 3]])</f>
        <v>0</v>
      </c>
      <c r="AQ49" s="132"/>
      <c r="AR4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32"/>
      <c r="AW4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32"/>
      <c r="BB4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32"/>
      <c r="BG4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32"/>
      <c r="BL4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32"/>
      <c r="BQ4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32"/>
      <c r="BV49"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9" s="33" t="n">
        <f aca="false">TblImps[[#This Row],[Login]]</f>
        <v>1</v>
      </c>
      <c r="BX49" s="128"/>
      <c r="BY49" s="347" t="n">
        <f aca="false">OFFSET(TblImps[[#This Row],[Real time]],-1,0)+1/24</f>
        <v>45431.625</v>
      </c>
      <c r="BZ49" s="348" t="n">
        <f aca="false">OFFSET(TblImps[[#This Row],[Servertime]],-1,0)+1/24</f>
        <v>45431.875</v>
      </c>
      <c r="CA49" s="26"/>
      <c r="CB49" s="346"/>
      <c r="CC49" s="346"/>
    </row>
    <row r="50" customFormat="false" ht="12.75" hidden="false" customHeight="false" outlineLevel="0" collapsed="false">
      <c r="A50" s="181" t="n">
        <f aca="false">TblConstr[[#This Row],[Land]]</f>
        <v>563</v>
      </c>
      <c r="B50" s="132"/>
      <c r="C50" s="69" t="n">
        <f aca="false">TblProd[[#This Row],[Platinum]]</f>
        <v>209248</v>
      </c>
      <c r="D50" s="69" t="n">
        <f aca="false">TblProd[[#This Row],[Lumber]]</f>
        <v>9183</v>
      </c>
      <c r="E50" s="69" t="n">
        <f aca="false">TblProd[[#This Row],[Ore]]</f>
        <v>0</v>
      </c>
      <c r="F50" s="69" t="n">
        <f aca="false">TblProd[[#This Row],[Gems]]</f>
        <v>0</v>
      </c>
      <c r="G50" s="146"/>
      <c r="H50" s="69" t="n">
        <f aca="false">TblMili[[#This Row],[Draftees]]</f>
        <v>356</v>
      </c>
      <c r="I50" s="130" t="n">
        <f aca="false">TblPop[[#This Row],[Employment]]</f>
        <v>1</v>
      </c>
      <c r="J50" s="130" t="n">
        <f aca="false">TblPop[[#This Row],[Total]]/TblPop[[#This Row],[Net max]]</f>
        <v>1</v>
      </c>
      <c r="K50" s="336" t="n">
        <f aca="false">TblRezone[[#This Row],[Hour]]</f>
        <v>47</v>
      </c>
      <c r="L50" s="337" t="n">
        <f aca="false">TblImps[[#This Row],[Real time]]</f>
        <v>45431.6666666667</v>
      </c>
      <c r="M50" s="33" t="n">
        <f aca="false">IF(ISERROR(TblImps[[#This Row],[algorithm]]),0,TblImps[[#This Row],[algorithm]]*1)</f>
        <v>1</v>
      </c>
      <c r="N50" s="69" t="n">
        <f aca="false">TblImps[[#This Row],[Land]]</f>
        <v>563</v>
      </c>
      <c r="O50" s="338" t="s">
        <v>97</v>
      </c>
      <c r="P50" s="339"/>
      <c r="Q50" s="338" t="s">
        <v>734</v>
      </c>
      <c r="R50" s="338" t="s">
        <v>93</v>
      </c>
      <c r="S50" s="339"/>
      <c r="T50" s="338" t="s">
        <v>734</v>
      </c>
      <c r="U50" s="338" t="s">
        <v>35</v>
      </c>
      <c r="V50" s="339"/>
      <c r="W50" s="338" t="s">
        <v>734</v>
      </c>
      <c r="X50" s="132"/>
      <c r="Y50" s="340" t="n">
        <f aca="false">science_cap*(1-EXP(-TblImps[[#This Row],[Σ Science]]/(science_param*(OFFSET(TblImps[[#This Row],[Land]],1,0)-OFFSET(TblExplore[[#This Row],[Land Bonus]],1,0)*20)+15000)))*(1+(mason_bonus*TblConstr[[#This Row],[Tot Mas]]/TblConstr[[#This Row],[Land (2)]]))</f>
        <v>0</v>
      </c>
      <c r="Z50" s="340" t="n">
        <f aca="false">keep_cap*(1-EXP(-TblImps[[#This Row],[Σ Keep]]/(keep_param*(OFFSET(TblImps[[#This Row],[Land]],1,0)-OFFSET(TblExplore[[#This Row],[Land Bonus]],1,0)*20)+15000)))*(1+(mason_bonus*TblConstr[[#This Row],[Tot Mas]]/TblConstr[[#This Row],[Land (2)]]))</f>
        <v>0</v>
      </c>
      <c r="AA50" s="340" t="n">
        <f aca="false">harbor_towers_cap*(1-EXP(-TblImps[[#This Row],[Σ Towers]]/(towers_param*(OFFSET(TblImps[[#This Row],[Land]],1,0)-OFFSET(TblExplore[[#This Row],[Land Bonus]],1,0)*20)+15000)))*(1+(mason_bonus*TblConstr[[#This Row],[Tot Mas]]/TblConstr[[#This Row],[Land (2)]]))</f>
        <v>0</v>
      </c>
      <c r="AB50" s="340" t="n">
        <f aca="false">walls_forges_cap*(1-EXP(-TblImps[[#This Row],[Σ Forges]]/(walls_forges_param*(OFFSET(TblImps[[#This Row],[Land]],1,0)-OFFSET(TblExplore[[#This Row],[Land Bonus]],1,0)*20)+15000)))*(1+(mason_bonus*TblConstr[[#This Row],[Tot Mas]]/TblConstr[[#This Row],[Land (2)]]))</f>
        <v>0</v>
      </c>
      <c r="AC50" s="340" t="n">
        <f aca="false">walls_forges_cap*(1-EXP(-TblImps[[#This Row],[Σ Walls]]/(walls_forges_param*(OFFSET(TblImps[[#This Row],[Land]],1,0)-OFFSET(TblExplore[[#This Row],[Land Bonus]],1,0)*20)+15000)))*(1+(mason_bonus*TblConstr[[#This Row],[Tot Mas]]/TblConstr[[#This Row],[Land (2)]]))</f>
        <v>0</v>
      </c>
      <c r="AD50" s="340" t="n">
        <f aca="false">harbor_towers_cap*(1-EXP(-TblImps[[#This Row],[Σ Irrigation]]/(harbor_towers_param*(OFFSET(TblImps[[#This Row],[Land]],1,0)-OFFSET(TblExplore[[#This Row],[Land Bonus]],1,0)*20)+15000)))*(1+(mason_bonus*TblConstr[[#This Row],[Tot Mas]]/TblConstr[[#This Row],[Land (2)]]))</f>
        <v>0</v>
      </c>
      <c r="AE50" s="132"/>
      <c r="AF50" s="33" t="n">
        <f aca="false">(1+Overview!$I$28)*SUM(TblImps[[#This Row],[P2]:[G2]])+OFFSET(TblImps[[#This Row],[Σ Science]],-1,0)</f>
        <v>0</v>
      </c>
      <c r="AG50" s="33" t="n">
        <f aca="false">(1+Overview!$I$28)*SUM(TblImps[[#This Row],[P3]:[G3]])+OFFSET(TblImps[[#This Row],[Σ Keep]],-1,0)</f>
        <v>0</v>
      </c>
      <c r="AH50" s="33" t="n">
        <f aca="false">(1+Overview!$I$28 + tech_7_1*TblTech[[#This Row],[7-1]])*SUM(TblImps[[#This Row],[P4]:[G4]])+OFFSET(TblImps[[#This Row],[Σ Towers]],-1,0)</f>
        <v>0</v>
      </c>
      <c r="AI50" s="33" t="n">
        <f aca="false">(1+Overview!$I$28)*SUM(TblImps[[#This Row],[P5]:[G5]])+OFFSET(TblImps[[#This Row],[Σ Forges]],-1,0)</f>
        <v>0</v>
      </c>
      <c r="AJ50" s="33" t="n">
        <f aca="false">(1+Overview!$I$28)*SUM(TblImps[[#This Row],[P6]:[G6]])+OFFSET(TblImps[[#This Row],[Σ Walls]],-1,0)</f>
        <v>0</v>
      </c>
      <c r="AK50" s="33" t="n">
        <f aca="false">(1+Overview!$I$28 + tech_7_1*TblTech[[#This Row],[7-1]])*SUM(TblImps[[#This Row],[P7]:[G7]])+OFFSET(TblImps[[#This Row],[Σ Irrigation]],-1,0)</f>
        <v>0</v>
      </c>
      <c r="AL50" s="132"/>
      <c r="AM50" s="26" t="n">
        <f aca="false">IF(AND(TblImps[[#This Row],[Resource]]=AM$2,TblImps[[#This Row],[Part]]&lt;&gt;""),TblImps[[#This Row],[Amount]]) + IF(AND(TblImps[[#This Row],[Resource 2]]=AM$2,TblImps[[#This Row],[Part 2]]&lt;&gt;""),TblImps[[#This Row],[Amount 2]]) + IF(AND(TblImps[[#This Row],[Resource 3]]=AM$2,TblImps[[#This Row],[Part 3]]&lt;&gt;""),TblImps[[#This Row],[Amount 3]])</f>
        <v>0</v>
      </c>
      <c r="AN50" s="26" t="n">
        <f aca="false">IF(AND(TblImps[[#This Row],[Resource]]=AN$2,TblImps[[#This Row],[Part]]&lt;&gt;""),TblImps[[#This Row],[Amount]]) + IF(AND(TblImps[[#This Row],[Resource 2]]=AN$2,TblImps[[#This Row],[Part 2]]&lt;&gt;""),TblImps[[#This Row],[Amount 2]]) + IF(AND(TblImps[[#This Row],[Resource 3]]=AN$2,TblImps[[#This Row],[Part 3]]&lt;&gt;""),TblImps[[#This Row],[Amount 3]])</f>
        <v>0</v>
      </c>
      <c r="AO50" s="26" t="n">
        <f aca="false">IF(AND(TblImps[[#This Row],[Resource]]=AO$2,TblImps[[#This Row],[Part]]&lt;&gt;""),TblImps[[#This Row],[Amount]]) + IF(AND(TblImps[[#This Row],[Resource 2]]=AO$2,TblImps[[#This Row],[Part 2]]&lt;&gt;""),TblImps[[#This Row],[Amount 2]]) + IF(AND(TblImps[[#This Row],[Resource 3]]=AO$2,TblImps[[#This Row],[Part 3]]&lt;&gt;""),TblImps[[#This Row],[Amount 3]])</f>
        <v>0</v>
      </c>
      <c r="AP50" s="26" t="n">
        <f aca="false">IF(AND(TblImps[[#This Row],[Resource]]=AP$2,TblImps[[#This Row],[Part]]&lt;&gt;""),TblImps[[#This Row],[Amount]]) + IF(AND(TblImps[[#This Row],[Resource 2]]=AP$2,TblImps[[#This Row],[Part 2]]&lt;&gt;""),TblImps[[#This Row],[Amount 2]]) + IF(AND(TblImps[[#This Row],[Resource 3]]=AP$2,TblImps[[#This Row],[Part 3]]&lt;&gt;""),TblImps[[#This Row],[Amount 3]])</f>
        <v>0</v>
      </c>
      <c r="AQ50" s="132"/>
      <c r="AR5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32"/>
      <c r="AW5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32"/>
      <c r="BB5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32"/>
      <c r="BG5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32"/>
      <c r="BL5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32"/>
      <c r="BQ5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32"/>
      <c r="BV50"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0" s="33" t="n">
        <f aca="false">TblImps[[#This Row],[Login]]</f>
        <v>1</v>
      </c>
      <c r="BX50" s="128"/>
      <c r="BY50" s="347" t="n">
        <f aca="false">OFFSET(TblImps[[#This Row],[Real time]],-1,0)+1/24</f>
        <v>45431.6666666667</v>
      </c>
      <c r="BZ50" s="348" t="n">
        <f aca="false">OFFSET(TblImps[[#This Row],[Servertime]],-1,0)+1/24</f>
        <v>45431.9166666667</v>
      </c>
      <c r="CA50" s="26"/>
      <c r="CB50" s="346"/>
      <c r="CC50" s="346"/>
    </row>
    <row r="51" customFormat="false" ht="12.75" hidden="false" customHeight="false" outlineLevel="0" collapsed="false">
      <c r="A51" s="181" t="n">
        <f aca="false">TblConstr[[#This Row],[Land]]</f>
        <v>596</v>
      </c>
      <c r="B51" s="132"/>
      <c r="C51" s="69" t="n">
        <f aca="false">TblProd[[#This Row],[Platinum]]</f>
        <v>267289</v>
      </c>
      <c r="D51" s="69" t="n">
        <f aca="false">TblProd[[#This Row],[Lumber]]</f>
        <v>7186</v>
      </c>
      <c r="E51" s="69" t="n">
        <f aca="false">TblProd[[#This Row],[Ore]]</f>
        <v>0</v>
      </c>
      <c r="F51" s="69" t="n">
        <f aca="false">TblProd[[#This Row],[Gems]]</f>
        <v>0</v>
      </c>
      <c r="G51" s="146"/>
      <c r="H51" s="69" t="n">
        <f aca="false">TblMili[[#This Row],[Draftees]]</f>
        <v>442</v>
      </c>
      <c r="I51" s="130" t="n">
        <f aca="false">TblPop[[#This Row],[Employment]]</f>
        <v>0.999770563267179</v>
      </c>
      <c r="J51" s="130" t="n">
        <f aca="false">TblPop[[#This Row],[Total]]/TblPop[[#This Row],[Net max]]</f>
        <v>1</v>
      </c>
      <c r="K51" s="336" t="n">
        <f aca="false">TblRezone[[#This Row],[Hour]]</f>
        <v>48</v>
      </c>
      <c r="L51" s="337" t="n">
        <f aca="false">TblImps[[#This Row],[Real time]]</f>
        <v>45431.7083333333</v>
      </c>
      <c r="M51" s="33" t="n">
        <f aca="false">IF(ISERROR(TblImps[[#This Row],[algorithm]]),0,TblImps[[#This Row],[algorithm]]*1)</f>
        <v>1</v>
      </c>
      <c r="N51" s="69" t="n">
        <f aca="false">TblImps[[#This Row],[Land]]</f>
        <v>596</v>
      </c>
      <c r="O51" s="338" t="s">
        <v>97</v>
      </c>
      <c r="P51" s="339"/>
      <c r="Q51" s="338" t="s">
        <v>734</v>
      </c>
      <c r="R51" s="338" t="s">
        <v>93</v>
      </c>
      <c r="S51" s="339"/>
      <c r="T51" s="338" t="s">
        <v>734</v>
      </c>
      <c r="U51" s="338" t="s">
        <v>35</v>
      </c>
      <c r="V51" s="339"/>
      <c r="W51" s="338" t="s">
        <v>734</v>
      </c>
      <c r="X51" s="132"/>
      <c r="Y51" s="340" t="n">
        <f aca="false">science_cap*(1-EXP(-TblImps[[#This Row],[Σ Science]]/(science_param*(OFFSET(TblImps[[#This Row],[Land]],1,0)-OFFSET(TblExplore[[#This Row],[Land Bonus]],1,0)*20)+15000)))*(1+(mason_bonus*TblConstr[[#This Row],[Tot Mas]]/TblConstr[[#This Row],[Land (2)]]))</f>
        <v>0</v>
      </c>
      <c r="Z51" s="340" t="n">
        <f aca="false">keep_cap*(1-EXP(-TblImps[[#This Row],[Σ Keep]]/(keep_param*(OFFSET(TblImps[[#This Row],[Land]],1,0)-OFFSET(TblExplore[[#This Row],[Land Bonus]],1,0)*20)+15000)))*(1+(mason_bonus*TblConstr[[#This Row],[Tot Mas]]/TblConstr[[#This Row],[Land (2)]]))</f>
        <v>0</v>
      </c>
      <c r="AA51" s="340" t="n">
        <f aca="false">harbor_towers_cap*(1-EXP(-TblImps[[#This Row],[Σ Towers]]/(towers_param*(OFFSET(TblImps[[#This Row],[Land]],1,0)-OFFSET(TblExplore[[#This Row],[Land Bonus]],1,0)*20)+15000)))*(1+(mason_bonus*TblConstr[[#This Row],[Tot Mas]]/TblConstr[[#This Row],[Land (2)]]))</f>
        <v>0</v>
      </c>
      <c r="AB51" s="340" t="n">
        <f aca="false">walls_forges_cap*(1-EXP(-TblImps[[#This Row],[Σ Forges]]/(walls_forges_param*(OFFSET(TblImps[[#This Row],[Land]],1,0)-OFFSET(TblExplore[[#This Row],[Land Bonus]],1,0)*20)+15000)))*(1+(mason_bonus*TblConstr[[#This Row],[Tot Mas]]/TblConstr[[#This Row],[Land (2)]]))</f>
        <v>0</v>
      </c>
      <c r="AC51" s="340" t="n">
        <f aca="false">walls_forges_cap*(1-EXP(-TblImps[[#This Row],[Σ Walls]]/(walls_forges_param*(OFFSET(TblImps[[#This Row],[Land]],1,0)-OFFSET(TblExplore[[#This Row],[Land Bonus]],1,0)*20)+15000)))*(1+(mason_bonus*TblConstr[[#This Row],[Tot Mas]]/TblConstr[[#This Row],[Land (2)]]))</f>
        <v>0</v>
      </c>
      <c r="AD51" s="340" t="n">
        <f aca="false">harbor_towers_cap*(1-EXP(-TblImps[[#This Row],[Σ Irrigation]]/(harbor_towers_param*(OFFSET(TblImps[[#This Row],[Land]],1,0)-OFFSET(TblExplore[[#This Row],[Land Bonus]],1,0)*20)+15000)))*(1+(mason_bonus*TblConstr[[#This Row],[Tot Mas]]/TblConstr[[#This Row],[Land (2)]]))</f>
        <v>0</v>
      </c>
      <c r="AE51" s="132"/>
      <c r="AF51" s="33" t="n">
        <f aca="false">(1+Overview!$I$28)*SUM(TblImps[[#This Row],[P2]:[G2]])+OFFSET(TblImps[[#This Row],[Σ Science]],-1,0)</f>
        <v>0</v>
      </c>
      <c r="AG51" s="33" t="n">
        <f aca="false">(1+Overview!$I$28)*SUM(TblImps[[#This Row],[P3]:[G3]])+OFFSET(TblImps[[#This Row],[Σ Keep]],-1,0)</f>
        <v>0</v>
      </c>
      <c r="AH51" s="33" t="n">
        <f aca="false">(1+Overview!$I$28 + tech_7_1*TblTech[[#This Row],[7-1]])*SUM(TblImps[[#This Row],[P4]:[G4]])+OFFSET(TblImps[[#This Row],[Σ Towers]],-1,0)</f>
        <v>0</v>
      </c>
      <c r="AI51" s="33" t="n">
        <f aca="false">(1+Overview!$I$28)*SUM(TblImps[[#This Row],[P5]:[G5]])+OFFSET(TblImps[[#This Row],[Σ Forges]],-1,0)</f>
        <v>0</v>
      </c>
      <c r="AJ51" s="33" t="n">
        <f aca="false">(1+Overview!$I$28)*SUM(TblImps[[#This Row],[P6]:[G6]])+OFFSET(TblImps[[#This Row],[Σ Walls]],-1,0)</f>
        <v>0</v>
      </c>
      <c r="AK51" s="33" t="n">
        <f aca="false">(1+Overview!$I$28 + tech_7_1*TblTech[[#This Row],[7-1]])*SUM(TblImps[[#This Row],[P7]:[G7]])+OFFSET(TblImps[[#This Row],[Σ Irrigation]],-1,0)</f>
        <v>0</v>
      </c>
      <c r="AL51" s="132"/>
      <c r="AM51" s="26" t="n">
        <f aca="false">IF(AND(TblImps[[#This Row],[Resource]]=AM$2,TblImps[[#This Row],[Part]]&lt;&gt;""),TblImps[[#This Row],[Amount]]) + IF(AND(TblImps[[#This Row],[Resource 2]]=AM$2,TblImps[[#This Row],[Part 2]]&lt;&gt;""),TblImps[[#This Row],[Amount 2]]) + IF(AND(TblImps[[#This Row],[Resource 3]]=AM$2,TblImps[[#This Row],[Part 3]]&lt;&gt;""),TblImps[[#This Row],[Amount 3]])</f>
        <v>0</v>
      </c>
      <c r="AN51" s="26" t="n">
        <f aca="false">IF(AND(TblImps[[#This Row],[Resource]]=AN$2,TblImps[[#This Row],[Part]]&lt;&gt;""),TblImps[[#This Row],[Amount]]) + IF(AND(TblImps[[#This Row],[Resource 2]]=AN$2,TblImps[[#This Row],[Part 2]]&lt;&gt;""),TblImps[[#This Row],[Amount 2]]) + IF(AND(TblImps[[#This Row],[Resource 3]]=AN$2,TblImps[[#This Row],[Part 3]]&lt;&gt;""),TblImps[[#This Row],[Amount 3]])</f>
        <v>0</v>
      </c>
      <c r="AO51" s="26" t="n">
        <f aca="false">IF(AND(TblImps[[#This Row],[Resource]]=AO$2,TblImps[[#This Row],[Part]]&lt;&gt;""),TblImps[[#This Row],[Amount]]) + IF(AND(TblImps[[#This Row],[Resource 2]]=AO$2,TblImps[[#This Row],[Part 2]]&lt;&gt;""),TblImps[[#This Row],[Amount 2]]) + IF(AND(TblImps[[#This Row],[Resource 3]]=AO$2,TblImps[[#This Row],[Part 3]]&lt;&gt;""),TblImps[[#This Row],[Amount 3]])</f>
        <v>0</v>
      </c>
      <c r="AP51" s="26" t="n">
        <f aca="false">IF(AND(TblImps[[#This Row],[Resource]]=AP$2,TblImps[[#This Row],[Part]]&lt;&gt;""),TblImps[[#This Row],[Amount]]) + IF(AND(TblImps[[#This Row],[Resource 2]]=AP$2,TblImps[[#This Row],[Part 2]]&lt;&gt;""),TblImps[[#This Row],[Amount 2]]) + IF(AND(TblImps[[#This Row],[Resource 3]]=AP$2,TblImps[[#This Row],[Part 3]]&lt;&gt;""),TblImps[[#This Row],[Amount 3]])</f>
        <v>0</v>
      </c>
      <c r="AQ51" s="132"/>
      <c r="AR5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32"/>
      <c r="AW5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32"/>
      <c r="BB5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32"/>
      <c r="BG5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32"/>
      <c r="BL5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32"/>
      <c r="BQ5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32"/>
      <c r="BV51"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1" s="33" t="n">
        <f aca="false">TblImps[[#This Row],[Login]]</f>
        <v>1</v>
      </c>
      <c r="BX51" s="128"/>
      <c r="BY51" s="347" t="n">
        <f aca="false">OFFSET(TblImps[[#This Row],[Real time]],-1,0)+1/24</f>
        <v>45431.7083333333</v>
      </c>
      <c r="BZ51" s="348" t="n">
        <f aca="false">OFFSET(TblImps[[#This Row],[Servertime]],-1,0)+1/24</f>
        <v>45431.9583333333</v>
      </c>
      <c r="CA51" s="26"/>
      <c r="CB51" s="346"/>
      <c r="CC51" s="346"/>
    </row>
    <row r="52" customFormat="false" ht="12.75" hidden="false" customHeight="false" outlineLevel="0" collapsed="false">
      <c r="A52" s="181" t="n">
        <f aca="false">TblConstr[[#This Row],[Land]]</f>
        <v>629</v>
      </c>
      <c r="B52" s="132"/>
      <c r="C52" s="69" t="n">
        <f aca="false">TblProd[[#This Row],[Platinum]]</f>
        <v>290264</v>
      </c>
      <c r="D52" s="69" t="n">
        <f aca="false">TblProd[[#This Row],[Lumber]]</f>
        <v>5044</v>
      </c>
      <c r="E52" s="69" t="n">
        <f aca="false">TblProd[[#This Row],[Ore]]</f>
        <v>0</v>
      </c>
      <c r="F52" s="69" t="n">
        <f aca="false">TblProd[[#This Row],[Gems]]</f>
        <v>0</v>
      </c>
      <c r="G52" s="146"/>
      <c r="H52" s="69" t="n">
        <f aca="false">TblMili[[#This Row],[Draftees]]</f>
        <v>529</v>
      </c>
      <c r="I52" s="130" t="n">
        <f aca="false">TblPop[[#This Row],[Employment]]</f>
        <v>0.95370978332239</v>
      </c>
      <c r="J52" s="130" t="n">
        <f aca="false">TblPop[[#This Row],[Total]]/TblPop[[#This Row],[Net max]]</f>
        <v>0.99742055303343</v>
      </c>
      <c r="K52" s="336" t="n">
        <f aca="false">TblRezone[[#This Row],[Hour]]</f>
        <v>49</v>
      </c>
      <c r="L52" s="337" t="n">
        <f aca="false">TblImps[[#This Row],[Real time]]</f>
        <v>45431.75</v>
      </c>
      <c r="M52" s="33" t="n">
        <f aca="false">IF(ISERROR(TblImps[[#This Row],[algorithm]]),0,TblImps[[#This Row],[algorithm]]*1)</f>
        <v>1</v>
      </c>
      <c r="N52" s="69" t="n">
        <f aca="false">TblImps[[#This Row],[Land]]</f>
        <v>629</v>
      </c>
      <c r="O52" s="338" t="s">
        <v>97</v>
      </c>
      <c r="P52" s="339"/>
      <c r="Q52" s="338" t="s">
        <v>734</v>
      </c>
      <c r="R52" s="338" t="s">
        <v>93</v>
      </c>
      <c r="S52" s="339"/>
      <c r="T52" s="338" t="s">
        <v>734</v>
      </c>
      <c r="U52" s="338" t="s">
        <v>35</v>
      </c>
      <c r="V52" s="339"/>
      <c r="W52" s="338" t="s">
        <v>734</v>
      </c>
      <c r="X52" s="132"/>
      <c r="Y52" s="340" t="n">
        <f aca="false">science_cap*(1-EXP(-TblImps[[#This Row],[Σ Science]]/(science_param*(OFFSET(TblImps[[#This Row],[Land]],1,0)-OFFSET(TblExplore[[#This Row],[Land Bonus]],1,0)*20)+15000)))*(1+(mason_bonus*TblConstr[[#This Row],[Tot Mas]]/TblConstr[[#This Row],[Land (2)]]))</f>
        <v>0</v>
      </c>
      <c r="Z52" s="340" t="n">
        <f aca="false">keep_cap*(1-EXP(-TblImps[[#This Row],[Σ Keep]]/(keep_param*(OFFSET(TblImps[[#This Row],[Land]],1,0)-OFFSET(TblExplore[[#This Row],[Land Bonus]],1,0)*20)+15000)))*(1+(mason_bonus*TblConstr[[#This Row],[Tot Mas]]/TblConstr[[#This Row],[Land (2)]]))</f>
        <v>0</v>
      </c>
      <c r="AA52" s="340" t="n">
        <f aca="false">harbor_towers_cap*(1-EXP(-TblImps[[#This Row],[Σ Towers]]/(towers_param*(OFFSET(TblImps[[#This Row],[Land]],1,0)-OFFSET(TblExplore[[#This Row],[Land Bonus]],1,0)*20)+15000)))*(1+(mason_bonus*TblConstr[[#This Row],[Tot Mas]]/TblConstr[[#This Row],[Land (2)]]))</f>
        <v>0</v>
      </c>
      <c r="AB52" s="340" t="n">
        <f aca="false">walls_forges_cap*(1-EXP(-TblImps[[#This Row],[Σ Forges]]/(walls_forges_param*(OFFSET(TblImps[[#This Row],[Land]],1,0)-OFFSET(TblExplore[[#This Row],[Land Bonus]],1,0)*20)+15000)))*(1+(mason_bonus*TblConstr[[#This Row],[Tot Mas]]/TblConstr[[#This Row],[Land (2)]]))</f>
        <v>0</v>
      </c>
      <c r="AC52" s="340" t="n">
        <f aca="false">walls_forges_cap*(1-EXP(-TblImps[[#This Row],[Σ Walls]]/(walls_forges_param*(OFFSET(TblImps[[#This Row],[Land]],1,0)-OFFSET(TblExplore[[#This Row],[Land Bonus]],1,0)*20)+15000)))*(1+(mason_bonus*TblConstr[[#This Row],[Tot Mas]]/TblConstr[[#This Row],[Land (2)]]))</f>
        <v>0</v>
      </c>
      <c r="AD52" s="340" t="n">
        <f aca="false">harbor_towers_cap*(1-EXP(-TblImps[[#This Row],[Σ Irrigation]]/(harbor_towers_param*(OFFSET(TblImps[[#This Row],[Land]],1,0)-OFFSET(TblExplore[[#This Row],[Land Bonus]],1,0)*20)+15000)))*(1+(mason_bonus*TblConstr[[#This Row],[Tot Mas]]/TblConstr[[#This Row],[Land (2)]]))</f>
        <v>0</v>
      </c>
      <c r="AE52" s="132"/>
      <c r="AF52" s="33" t="n">
        <f aca="false">(1+Overview!$I$28)*SUM(TblImps[[#This Row],[P2]:[G2]])+OFFSET(TblImps[[#This Row],[Σ Science]],-1,0)</f>
        <v>0</v>
      </c>
      <c r="AG52" s="33" t="n">
        <f aca="false">(1+Overview!$I$28)*SUM(TblImps[[#This Row],[P3]:[G3]])+OFFSET(TblImps[[#This Row],[Σ Keep]],-1,0)</f>
        <v>0</v>
      </c>
      <c r="AH52" s="33" t="n">
        <f aca="false">(1+Overview!$I$28 + tech_7_1*TblTech[[#This Row],[7-1]])*SUM(TblImps[[#This Row],[P4]:[G4]])+OFFSET(TblImps[[#This Row],[Σ Towers]],-1,0)</f>
        <v>0</v>
      </c>
      <c r="AI52" s="33" t="n">
        <f aca="false">(1+Overview!$I$28)*SUM(TblImps[[#This Row],[P5]:[G5]])+OFFSET(TblImps[[#This Row],[Σ Forges]],-1,0)</f>
        <v>0</v>
      </c>
      <c r="AJ52" s="33" t="n">
        <f aca="false">(1+Overview!$I$28)*SUM(TblImps[[#This Row],[P6]:[G6]])+OFFSET(TblImps[[#This Row],[Σ Walls]],-1,0)</f>
        <v>0</v>
      </c>
      <c r="AK52" s="33" t="n">
        <f aca="false">(1+Overview!$I$28 + tech_7_1*TblTech[[#This Row],[7-1]])*SUM(TblImps[[#This Row],[P7]:[G7]])+OFFSET(TblImps[[#This Row],[Σ Irrigation]],-1,0)</f>
        <v>0</v>
      </c>
      <c r="AL52" s="132"/>
      <c r="AM52" s="26" t="n">
        <f aca="false">IF(AND(TblImps[[#This Row],[Resource]]=AM$2,TblImps[[#This Row],[Part]]&lt;&gt;""),TblImps[[#This Row],[Amount]]) + IF(AND(TblImps[[#This Row],[Resource 2]]=AM$2,TblImps[[#This Row],[Part 2]]&lt;&gt;""),TblImps[[#This Row],[Amount 2]]) + IF(AND(TblImps[[#This Row],[Resource 3]]=AM$2,TblImps[[#This Row],[Part 3]]&lt;&gt;""),TblImps[[#This Row],[Amount 3]])</f>
        <v>0</v>
      </c>
      <c r="AN52" s="26" t="n">
        <f aca="false">IF(AND(TblImps[[#This Row],[Resource]]=AN$2,TblImps[[#This Row],[Part]]&lt;&gt;""),TblImps[[#This Row],[Amount]]) + IF(AND(TblImps[[#This Row],[Resource 2]]=AN$2,TblImps[[#This Row],[Part 2]]&lt;&gt;""),TblImps[[#This Row],[Amount 2]]) + IF(AND(TblImps[[#This Row],[Resource 3]]=AN$2,TblImps[[#This Row],[Part 3]]&lt;&gt;""),TblImps[[#This Row],[Amount 3]])</f>
        <v>0</v>
      </c>
      <c r="AO52" s="26" t="n">
        <f aca="false">IF(AND(TblImps[[#This Row],[Resource]]=AO$2,TblImps[[#This Row],[Part]]&lt;&gt;""),TblImps[[#This Row],[Amount]]) + IF(AND(TblImps[[#This Row],[Resource 2]]=AO$2,TblImps[[#This Row],[Part 2]]&lt;&gt;""),TblImps[[#This Row],[Amount 2]]) + IF(AND(TblImps[[#This Row],[Resource 3]]=AO$2,TblImps[[#This Row],[Part 3]]&lt;&gt;""),TblImps[[#This Row],[Amount 3]])</f>
        <v>0</v>
      </c>
      <c r="AP52" s="26" t="n">
        <f aca="false">IF(AND(TblImps[[#This Row],[Resource]]=AP$2,TblImps[[#This Row],[Part]]&lt;&gt;""),TblImps[[#This Row],[Amount]]) + IF(AND(TblImps[[#This Row],[Resource 2]]=AP$2,TblImps[[#This Row],[Part 2]]&lt;&gt;""),TblImps[[#This Row],[Amount 2]]) + IF(AND(TblImps[[#This Row],[Resource 3]]=AP$2,TblImps[[#This Row],[Part 3]]&lt;&gt;""),TblImps[[#This Row],[Amount 3]])</f>
        <v>0</v>
      </c>
      <c r="AQ52" s="132"/>
      <c r="AR5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32"/>
      <c r="AW5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32"/>
      <c r="BB5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32"/>
      <c r="BG5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32"/>
      <c r="BL5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32"/>
      <c r="BQ5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32"/>
      <c r="BV52"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2" s="33" t="n">
        <f aca="false">TblImps[[#This Row],[Login]]</f>
        <v>1</v>
      </c>
      <c r="BX52" s="128"/>
      <c r="BY52" s="347" t="n">
        <f aca="false">OFFSET(TblImps[[#This Row],[Real time]],-1,0)+1/24</f>
        <v>45431.75</v>
      </c>
      <c r="BZ52" s="348" t="n">
        <f aca="false">OFFSET(TblImps[[#This Row],[Servertime]],-1,0)+1/24</f>
        <v>45432</v>
      </c>
      <c r="CA52" s="26"/>
      <c r="CB52" s="346"/>
      <c r="CC52" s="346"/>
    </row>
    <row r="53" customFormat="false" ht="12.75" hidden="false" customHeight="false" outlineLevel="0" collapsed="false">
      <c r="A53" s="181" t="n">
        <f aca="false">TblConstr[[#This Row],[Land]]</f>
        <v>642</v>
      </c>
      <c r="B53" s="132"/>
      <c r="C53" s="69" t="n">
        <f aca="false">TblProd[[#This Row],[Platinum]]</f>
        <v>323598</v>
      </c>
      <c r="D53" s="69" t="n">
        <f aca="false">TblProd[[#This Row],[Lumber]]</f>
        <v>4832</v>
      </c>
      <c r="E53" s="69" t="n">
        <f aca="false">TblProd[[#This Row],[Ore]]</f>
        <v>0</v>
      </c>
      <c r="F53" s="69" t="n">
        <f aca="false">TblProd[[#This Row],[Gems]]</f>
        <v>0</v>
      </c>
      <c r="G53" s="146"/>
      <c r="H53" s="69" t="n">
        <f aca="false">TblMili[[#This Row],[Draftees]]</f>
        <v>620</v>
      </c>
      <c r="I53" s="130" t="n">
        <f aca="false">TblPop[[#This Row],[Employment]]</f>
        <v>0.910372923848323</v>
      </c>
      <c r="J53" s="130" t="n">
        <f aca="false">TblPop[[#This Row],[Total]]/TblPop[[#This Row],[Net max]]</f>
        <v>0.996967918622848</v>
      </c>
      <c r="K53" s="336" t="n">
        <f aca="false">TblRezone[[#This Row],[Hour]]</f>
        <v>50</v>
      </c>
      <c r="L53" s="337" t="n">
        <f aca="false">TblImps[[#This Row],[Real time]]</f>
        <v>45431.7916666667</v>
      </c>
      <c r="M53" s="33" t="n">
        <f aca="false">IF(ISERROR(TblImps[[#This Row],[algorithm]]),0,TblImps[[#This Row],[algorithm]]*1)</f>
        <v>1</v>
      </c>
      <c r="N53" s="69" t="n">
        <f aca="false">TblImps[[#This Row],[Land]]</f>
        <v>642</v>
      </c>
      <c r="O53" s="338" t="s">
        <v>97</v>
      </c>
      <c r="P53" s="339"/>
      <c r="Q53" s="338" t="s">
        <v>734</v>
      </c>
      <c r="R53" s="338" t="s">
        <v>93</v>
      </c>
      <c r="S53" s="339"/>
      <c r="T53" s="338" t="s">
        <v>734</v>
      </c>
      <c r="U53" s="338" t="s">
        <v>35</v>
      </c>
      <c r="V53" s="339"/>
      <c r="W53" s="338" t="s">
        <v>734</v>
      </c>
      <c r="X53" s="132"/>
      <c r="Y53" s="340" t="n">
        <f aca="false">science_cap*(1-EXP(-TblImps[[#This Row],[Σ Science]]/(science_param*(OFFSET(TblImps[[#This Row],[Land]],1,0)-OFFSET(TblExplore[[#This Row],[Land Bonus]],1,0)*20)+15000)))*(1+(mason_bonus*TblConstr[[#This Row],[Tot Mas]]/TblConstr[[#This Row],[Land (2)]]))</f>
        <v>0</v>
      </c>
      <c r="Z53" s="340" t="n">
        <f aca="false">keep_cap*(1-EXP(-TblImps[[#This Row],[Σ Keep]]/(keep_param*(OFFSET(TblImps[[#This Row],[Land]],1,0)-OFFSET(TblExplore[[#This Row],[Land Bonus]],1,0)*20)+15000)))*(1+(mason_bonus*TblConstr[[#This Row],[Tot Mas]]/TblConstr[[#This Row],[Land (2)]]))</f>
        <v>0</v>
      </c>
      <c r="AA53" s="340" t="n">
        <f aca="false">harbor_towers_cap*(1-EXP(-TblImps[[#This Row],[Σ Towers]]/(towers_param*(OFFSET(TblImps[[#This Row],[Land]],1,0)-OFFSET(TblExplore[[#This Row],[Land Bonus]],1,0)*20)+15000)))*(1+(mason_bonus*TblConstr[[#This Row],[Tot Mas]]/TblConstr[[#This Row],[Land (2)]]))</f>
        <v>0</v>
      </c>
      <c r="AB53" s="340" t="n">
        <f aca="false">walls_forges_cap*(1-EXP(-TblImps[[#This Row],[Σ Forges]]/(walls_forges_param*(OFFSET(TblImps[[#This Row],[Land]],1,0)-OFFSET(TblExplore[[#This Row],[Land Bonus]],1,0)*20)+15000)))*(1+(mason_bonus*TblConstr[[#This Row],[Tot Mas]]/TblConstr[[#This Row],[Land (2)]]))</f>
        <v>0</v>
      </c>
      <c r="AC53" s="340" t="n">
        <f aca="false">walls_forges_cap*(1-EXP(-TblImps[[#This Row],[Σ Walls]]/(walls_forges_param*(OFFSET(TblImps[[#This Row],[Land]],1,0)-OFFSET(TblExplore[[#This Row],[Land Bonus]],1,0)*20)+15000)))*(1+(mason_bonus*TblConstr[[#This Row],[Tot Mas]]/TblConstr[[#This Row],[Land (2)]]))</f>
        <v>0</v>
      </c>
      <c r="AD53" s="340" t="n">
        <f aca="false">harbor_towers_cap*(1-EXP(-TblImps[[#This Row],[Σ Irrigation]]/(harbor_towers_param*(OFFSET(TblImps[[#This Row],[Land]],1,0)-OFFSET(TblExplore[[#This Row],[Land Bonus]],1,0)*20)+15000)))*(1+(mason_bonus*TblConstr[[#This Row],[Tot Mas]]/TblConstr[[#This Row],[Land (2)]]))</f>
        <v>0</v>
      </c>
      <c r="AE53" s="132"/>
      <c r="AF53" s="33" t="n">
        <f aca="false">(1+Overview!$I$28)*SUM(TblImps[[#This Row],[P2]:[G2]])+OFFSET(TblImps[[#This Row],[Σ Science]],-1,0)</f>
        <v>0</v>
      </c>
      <c r="AG53" s="33" t="n">
        <f aca="false">(1+Overview!$I$28)*SUM(TblImps[[#This Row],[P3]:[G3]])+OFFSET(TblImps[[#This Row],[Σ Keep]],-1,0)</f>
        <v>0</v>
      </c>
      <c r="AH53" s="33" t="n">
        <f aca="false">(1+Overview!$I$28 + tech_7_1*TblTech[[#This Row],[7-1]])*SUM(TblImps[[#This Row],[P4]:[G4]])+OFFSET(TblImps[[#This Row],[Σ Towers]],-1,0)</f>
        <v>0</v>
      </c>
      <c r="AI53" s="33" t="n">
        <f aca="false">(1+Overview!$I$28)*SUM(TblImps[[#This Row],[P5]:[G5]])+OFFSET(TblImps[[#This Row],[Σ Forges]],-1,0)</f>
        <v>0</v>
      </c>
      <c r="AJ53" s="33" t="n">
        <f aca="false">(1+Overview!$I$28)*SUM(TblImps[[#This Row],[P6]:[G6]])+OFFSET(TblImps[[#This Row],[Σ Walls]],-1,0)</f>
        <v>0</v>
      </c>
      <c r="AK53" s="33" t="n">
        <f aca="false">(1+Overview!$I$28 + tech_7_1*TblTech[[#This Row],[7-1]])*SUM(TblImps[[#This Row],[P7]:[G7]])+OFFSET(TblImps[[#This Row],[Σ Irrigation]],-1,0)</f>
        <v>0</v>
      </c>
      <c r="AL53" s="132"/>
      <c r="AM53" s="26" t="n">
        <f aca="false">IF(AND(TblImps[[#This Row],[Resource]]=AM$2,TblImps[[#This Row],[Part]]&lt;&gt;""),TblImps[[#This Row],[Amount]]) + IF(AND(TblImps[[#This Row],[Resource 2]]=AM$2,TblImps[[#This Row],[Part 2]]&lt;&gt;""),TblImps[[#This Row],[Amount 2]]) + IF(AND(TblImps[[#This Row],[Resource 3]]=AM$2,TblImps[[#This Row],[Part 3]]&lt;&gt;""),TblImps[[#This Row],[Amount 3]])</f>
        <v>0</v>
      </c>
      <c r="AN53" s="26" t="n">
        <f aca="false">IF(AND(TblImps[[#This Row],[Resource]]=AN$2,TblImps[[#This Row],[Part]]&lt;&gt;""),TblImps[[#This Row],[Amount]]) + IF(AND(TblImps[[#This Row],[Resource 2]]=AN$2,TblImps[[#This Row],[Part 2]]&lt;&gt;""),TblImps[[#This Row],[Amount 2]]) + IF(AND(TblImps[[#This Row],[Resource 3]]=AN$2,TblImps[[#This Row],[Part 3]]&lt;&gt;""),TblImps[[#This Row],[Amount 3]])</f>
        <v>0</v>
      </c>
      <c r="AO53" s="26" t="n">
        <f aca="false">IF(AND(TblImps[[#This Row],[Resource]]=AO$2,TblImps[[#This Row],[Part]]&lt;&gt;""),TblImps[[#This Row],[Amount]]) + IF(AND(TblImps[[#This Row],[Resource 2]]=AO$2,TblImps[[#This Row],[Part 2]]&lt;&gt;""),TblImps[[#This Row],[Amount 2]]) + IF(AND(TblImps[[#This Row],[Resource 3]]=AO$2,TblImps[[#This Row],[Part 3]]&lt;&gt;""),TblImps[[#This Row],[Amount 3]])</f>
        <v>0</v>
      </c>
      <c r="AP53" s="26" t="n">
        <f aca="false">IF(AND(TblImps[[#This Row],[Resource]]=AP$2,TblImps[[#This Row],[Part]]&lt;&gt;""),TblImps[[#This Row],[Amount]]) + IF(AND(TblImps[[#This Row],[Resource 2]]=AP$2,TblImps[[#This Row],[Part 2]]&lt;&gt;""),TblImps[[#This Row],[Amount 2]]) + IF(AND(TblImps[[#This Row],[Resource 3]]=AP$2,TblImps[[#This Row],[Part 3]]&lt;&gt;""),TblImps[[#This Row],[Amount 3]])</f>
        <v>0</v>
      </c>
      <c r="AQ53" s="132"/>
      <c r="AR5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32"/>
      <c r="AW5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32"/>
      <c r="BB5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32"/>
      <c r="BG5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32"/>
      <c r="BL5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32"/>
      <c r="BQ5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32"/>
      <c r="BV53"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3" s="33" t="n">
        <f aca="false">TblImps[[#This Row],[Login]]</f>
        <v>1</v>
      </c>
      <c r="BX53" s="128"/>
      <c r="BY53" s="347" t="n">
        <f aca="false">OFFSET(TblImps[[#This Row],[Real time]],-1,0)+1/24</f>
        <v>45431.7916666667</v>
      </c>
      <c r="BZ53" s="348" t="n">
        <f aca="false">OFFSET(TblImps[[#This Row],[Servertime]],-1,0)+1/24</f>
        <v>45432.0416666667</v>
      </c>
      <c r="CA53" s="26"/>
      <c r="CB53" s="346"/>
      <c r="CC53" s="346"/>
    </row>
    <row r="54" customFormat="false" ht="12.75" hidden="false" customHeight="false" outlineLevel="0" collapsed="false">
      <c r="A54" s="181" t="n">
        <f aca="false">TblConstr[[#This Row],[Land]]</f>
        <v>656</v>
      </c>
      <c r="B54" s="132"/>
      <c r="C54" s="69" t="n">
        <f aca="false">TblProd[[#This Row],[Platinum]]</f>
        <v>356298</v>
      </c>
      <c r="D54" s="69" t="n">
        <f aca="false">TblProd[[#This Row],[Lumber]]</f>
        <v>4495</v>
      </c>
      <c r="E54" s="69" t="n">
        <f aca="false">TblProd[[#This Row],[Ore]]</f>
        <v>0</v>
      </c>
      <c r="F54" s="69" t="n">
        <f aca="false">TblProd[[#This Row],[Gems]]</f>
        <v>0</v>
      </c>
      <c r="G54" s="146"/>
      <c r="H54" s="69" t="n">
        <f aca="false">TblMili[[#This Row],[Draftees]]</f>
        <v>716</v>
      </c>
      <c r="I54" s="130" t="n">
        <f aca="false">TblPop[[#This Row],[Employment]]</f>
        <v>0.896236116824352</v>
      </c>
      <c r="J54" s="130" t="n">
        <f aca="false">TblPop[[#This Row],[Total]]/TblPop[[#This Row],[Net max]]</f>
        <v>1</v>
      </c>
      <c r="K54" s="336" t="n">
        <f aca="false">TblRezone[[#This Row],[Hour]]</f>
        <v>51</v>
      </c>
      <c r="L54" s="337" t="n">
        <f aca="false">TblImps[[#This Row],[Real time]]</f>
        <v>45431.8333333333</v>
      </c>
      <c r="M54" s="33" t="n">
        <f aca="false">IF(ISERROR(TblImps[[#This Row],[algorithm]]),0,TblImps[[#This Row],[algorithm]]*1)</f>
        <v>1</v>
      </c>
      <c r="N54" s="69" t="n">
        <f aca="false">TblImps[[#This Row],[Land]]</f>
        <v>656</v>
      </c>
      <c r="O54" s="338" t="s">
        <v>34</v>
      </c>
      <c r="P54" s="339"/>
      <c r="Q54" s="338" t="s">
        <v>734</v>
      </c>
      <c r="R54" s="338" t="s">
        <v>93</v>
      </c>
      <c r="S54" s="339"/>
      <c r="T54" s="338" t="s">
        <v>734</v>
      </c>
      <c r="U54" s="338" t="s">
        <v>35</v>
      </c>
      <c r="V54" s="339"/>
      <c r="W54" s="338" t="s">
        <v>734</v>
      </c>
      <c r="X54" s="132"/>
      <c r="Y54" s="340" t="n">
        <f aca="false">science_cap*(1-EXP(-TblImps[[#This Row],[Σ Science]]/(science_param*(OFFSET(TblImps[[#This Row],[Land]],1,0)-OFFSET(TblExplore[[#This Row],[Land Bonus]],1,0)*20)+15000)))*(1+(mason_bonus*TblConstr[[#This Row],[Tot Mas]]/TblConstr[[#This Row],[Land (2)]]))</f>
        <v>0</v>
      </c>
      <c r="Z54" s="340" t="n">
        <f aca="false">keep_cap*(1-EXP(-TblImps[[#This Row],[Σ Keep]]/(keep_param*(OFFSET(TblImps[[#This Row],[Land]],1,0)-OFFSET(TblExplore[[#This Row],[Land Bonus]],1,0)*20)+15000)))*(1+(mason_bonus*TblConstr[[#This Row],[Tot Mas]]/TblConstr[[#This Row],[Land (2)]]))</f>
        <v>0</v>
      </c>
      <c r="AA54" s="340" t="n">
        <f aca="false">harbor_towers_cap*(1-EXP(-TblImps[[#This Row],[Σ Towers]]/(towers_param*(OFFSET(TblImps[[#This Row],[Land]],1,0)-OFFSET(TblExplore[[#This Row],[Land Bonus]],1,0)*20)+15000)))*(1+(mason_bonus*TblConstr[[#This Row],[Tot Mas]]/TblConstr[[#This Row],[Land (2)]]))</f>
        <v>0</v>
      </c>
      <c r="AB54" s="340" t="n">
        <f aca="false">walls_forges_cap*(1-EXP(-TblImps[[#This Row],[Σ Forges]]/(walls_forges_param*(OFFSET(TblImps[[#This Row],[Land]],1,0)-OFFSET(TblExplore[[#This Row],[Land Bonus]],1,0)*20)+15000)))*(1+(mason_bonus*TblConstr[[#This Row],[Tot Mas]]/TblConstr[[#This Row],[Land (2)]]))</f>
        <v>0</v>
      </c>
      <c r="AC54" s="340" t="n">
        <f aca="false">walls_forges_cap*(1-EXP(-TblImps[[#This Row],[Σ Walls]]/(walls_forges_param*(OFFSET(TblImps[[#This Row],[Land]],1,0)-OFFSET(TblExplore[[#This Row],[Land Bonus]],1,0)*20)+15000)))*(1+(mason_bonus*TblConstr[[#This Row],[Tot Mas]]/TblConstr[[#This Row],[Land (2)]]))</f>
        <v>0</v>
      </c>
      <c r="AD54" s="340" t="n">
        <f aca="false">harbor_towers_cap*(1-EXP(-TblImps[[#This Row],[Σ Irrigation]]/(harbor_towers_param*(OFFSET(TblImps[[#This Row],[Land]],1,0)-OFFSET(TblExplore[[#This Row],[Land Bonus]],1,0)*20)+15000)))*(1+(mason_bonus*TblConstr[[#This Row],[Tot Mas]]/TblConstr[[#This Row],[Land (2)]]))</f>
        <v>0</v>
      </c>
      <c r="AE54" s="132"/>
      <c r="AF54" s="33" t="n">
        <f aca="false">(1+Overview!$I$28)*SUM(TblImps[[#This Row],[P2]:[G2]])+OFFSET(TblImps[[#This Row],[Σ Science]],-1,0)</f>
        <v>0</v>
      </c>
      <c r="AG54" s="33" t="n">
        <f aca="false">(1+Overview!$I$28)*SUM(TblImps[[#This Row],[P3]:[G3]])+OFFSET(TblImps[[#This Row],[Σ Keep]],-1,0)</f>
        <v>0</v>
      </c>
      <c r="AH54" s="33" t="n">
        <f aca="false">(1+Overview!$I$28 + tech_7_1*TblTech[[#This Row],[7-1]])*SUM(TblImps[[#This Row],[P4]:[G4]])+OFFSET(TblImps[[#This Row],[Σ Towers]],-1,0)</f>
        <v>0</v>
      </c>
      <c r="AI54" s="33" t="n">
        <f aca="false">(1+Overview!$I$28)*SUM(TblImps[[#This Row],[P5]:[G5]])+OFFSET(TblImps[[#This Row],[Σ Forges]],-1,0)</f>
        <v>0</v>
      </c>
      <c r="AJ54" s="33" t="n">
        <f aca="false">(1+Overview!$I$28)*SUM(TblImps[[#This Row],[P6]:[G6]])+OFFSET(TblImps[[#This Row],[Σ Walls]],-1,0)</f>
        <v>0</v>
      </c>
      <c r="AK54" s="33" t="n">
        <f aca="false">(1+Overview!$I$28 + tech_7_1*TblTech[[#This Row],[7-1]])*SUM(TblImps[[#This Row],[P7]:[G7]])+OFFSET(TblImps[[#This Row],[Σ Irrigation]],-1,0)</f>
        <v>0</v>
      </c>
      <c r="AL54" s="132"/>
      <c r="AM54" s="26" t="n">
        <f aca="false">IF(AND(TblImps[[#This Row],[Resource]]=AM$2,TblImps[[#This Row],[Part]]&lt;&gt;""),TblImps[[#This Row],[Amount]]) + IF(AND(TblImps[[#This Row],[Resource 2]]=AM$2,TblImps[[#This Row],[Part 2]]&lt;&gt;""),TblImps[[#This Row],[Amount 2]]) + IF(AND(TblImps[[#This Row],[Resource 3]]=AM$2,TblImps[[#This Row],[Part 3]]&lt;&gt;""),TblImps[[#This Row],[Amount 3]])</f>
        <v>0</v>
      </c>
      <c r="AN54" s="26" t="n">
        <f aca="false">IF(AND(TblImps[[#This Row],[Resource]]=AN$2,TblImps[[#This Row],[Part]]&lt;&gt;""),TblImps[[#This Row],[Amount]]) + IF(AND(TblImps[[#This Row],[Resource 2]]=AN$2,TblImps[[#This Row],[Part 2]]&lt;&gt;""),TblImps[[#This Row],[Amount 2]]) + IF(AND(TblImps[[#This Row],[Resource 3]]=AN$2,TblImps[[#This Row],[Part 3]]&lt;&gt;""),TblImps[[#This Row],[Amount 3]])</f>
        <v>0</v>
      </c>
      <c r="AO54" s="26" t="n">
        <f aca="false">IF(AND(TblImps[[#This Row],[Resource]]=AO$2,TblImps[[#This Row],[Part]]&lt;&gt;""),TblImps[[#This Row],[Amount]]) + IF(AND(TblImps[[#This Row],[Resource 2]]=AO$2,TblImps[[#This Row],[Part 2]]&lt;&gt;""),TblImps[[#This Row],[Amount 2]]) + IF(AND(TblImps[[#This Row],[Resource 3]]=AO$2,TblImps[[#This Row],[Part 3]]&lt;&gt;""),TblImps[[#This Row],[Amount 3]])</f>
        <v>0</v>
      </c>
      <c r="AP54" s="26" t="n">
        <f aca="false">IF(AND(TblImps[[#This Row],[Resource]]=AP$2,TblImps[[#This Row],[Part]]&lt;&gt;""),TblImps[[#This Row],[Amount]]) + IF(AND(TblImps[[#This Row],[Resource 2]]=AP$2,TblImps[[#This Row],[Part 2]]&lt;&gt;""),TblImps[[#This Row],[Amount 2]]) + IF(AND(TblImps[[#This Row],[Resource 3]]=AP$2,TblImps[[#This Row],[Part 3]]&lt;&gt;""),TblImps[[#This Row],[Amount 3]])</f>
        <v>0</v>
      </c>
      <c r="AQ54" s="132"/>
      <c r="AR5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32"/>
      <c r="AW5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32"/>
      <c r="BB5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32"/>
      <c r="BG5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32"/>
      <c r="BL5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32"/>
      <c r="BQ5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32"/>
      <c r="BV54"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4" s="33" t="n">
        <f aca="false">TblImps[[#This Row],[Login]]</f>
        <v>1</v>
      </c>
      <c r="BX54" s="128"/>
      <c r="BY54" s="347" t="n">
        <f aca="false">OFFSET(TblImps[[#This Row],[Real time]],-1,0)+1/24</f>
        <v>45431.8333333333</v>
      </c>
      <c r="BZ54" s="348" t="n">
        <f aca="false">OFFSET(TblImps[[#This Row],[Servertime]],-1,0)+1/24</f>
        <v>45432.0833333333</v>
      </c>
      <c r="CA54" s="26"/>
      <c r="CB54" s="346"/>
      <c r="CC54" s="346"/>
    </row>
    <row r="55" customFormat="false" ht="12.75" hidden="false" customHeight="false" outlineLevel="0" collapsed="false">
      <c r="A55" s="181" t="n">
        <f aca="false">TblConstr[[#This Row],[Land]]</f>
        <v>669</v>
      </c>
      <c r="B55" s="132"/>
      <c r="C55" s="69" t="n">
        <f aca="false">TblProd[[#This Row],[Platinum]]</f>
        <v>389463</v>
      </c>
      <c r="D55" s="69" t="n">
        <f aca="false">TblProd[[#This Row],[Lumber]]</f>
        <v>4236</v>
      </c>
      <c r="E55" s="69" t="n">
        <f aca="false">TblProd[[#This Row],[Ore]]</f>
        <v>0</v>
      </c>
      <c r="F55" s="69" t="n">
        <f aca="false">TblProd[[#This Row],[Gems]]</f>
        <v>0</v>
      </c>
      <c r="G55" s="146"/>
      <c r="H55" s="69" t="n">
        <f aca="false">TblMili[[#This Row],[Draftees]]</f>
        <v>813</v>
      </c>
      <c r="I55" s="130" t="n">
        <f aca="false">TblPop[[#This Row],[Employment]]</f>
        <v>1</v>
      </c>
      <c r="J55" s="130" t="n">
        <f aca="false">TblPop[[#This Row],[Total]]/TblPop[[#This Row],[Net max]]</f>
        <v>1</v>
      </c>
      <c r="K55" s="336" t="n">
        <f aca="false">TblRezone[[#This Row],[Hour]]</f>
        <v>52</v>
      </c>
      <c r="L55" s="337" t="n">
        <f aca="false">TblImps[[#This Row],[Real time]]</f>
        <v>45431.875</v>
      </c>
      <c r="M55" s="33" t="n">
        <f aca="false">IF(ISERROR(TblImps[[#This Row],[algorithm]]),0,TblImps[[#This Row],[algorithm]]*1)</f>
        <v>1</v>
      </c>
      <c r="N55" s="69" t="n">
        <f aca="false">TblImps[[#This Row],[Land]]</f>
        <v>669</v>
      </c>
      <c r="O55" s="338" t="s">
        <v>97</v>
      </c>
      <c r="P55" s="339"/>
      <c r="Q55" s="338" t="s">
        <v>734</v>
      </c>
      <c r="R55" s="338" t="s">
        <v>93</v>
      </c>
      <c r="S55" s="339"/>
      <c r="T55" s="338" t="s">
        <v>734</v>
      </c>
      <c r="U55" s="338" t="s">
        <v>35</v>
      </c>
      <c r="V55" s="339"/>
      <c r="W55" s="338" t="s">
        <v>734</v>
      </c>
      <c r="X55" s="132"/>
      <c r="Y55" s="340" t="n">
        <f aca="false">science_cap*(1-EXP(-TblImps[[#This Row],[Σ Science]]/(science_param*(OFFSET(TblImps[[#This Row],[Land]],1,0)-OFFSET(TblExplore[[#This Row],[Land Bonus]],1,0)*20)+15000)))*(1+(mason_bonus*TblConstr[[#This Row],[Tot Mas]]/TblConstr[[#This Row],[Land (2)]]))</f>
        <v>0</v>
      </c>
      <c r="Z55" s="340" t="n">
        <f aca="false">keep_cap*(1-EXP(-TblImps[[#This Row],[Σ Keep]]/(keep_param*(OFFSET(TblImps[[#This Row],[Land]],1,0)-OFFSET(TblExplore[[#This Row],[Land Bonus]],1,0)*20)+15000)))*(1+(mason_bonus*TblConstr[[#This Row],[Tot Mas]]/TblConstr[[#This Row],[Land (2)]]))</f>
        <v>0</v>
      </c>
      <c r="AA55" s="340" t="n">
        <f aca="false">harbor_towers_cap*(1-EXP(-TblImps[[#This Row],[Σ Towers]]/(towers_param*(OFFSET(TblImps[[#This Row],[Land]],1,0)-OFFSET(TblExplore[[#This Row],[Land Bonus]],1,0)*20)+15000)))*(1+(mason_bonus*TblConstr[[#This Row],[Tot Mas]]/TblConstr[[#This Row],[Land (2)]]))</f>
        <v>0</v>
      </c>
      <c r="AB55" s="340" t="n">
        <f aca="false">walls_forges_cap*(1-EXP(-TblImps[[#This Row],[Σ Forges]]/(walls_forges_param*(OFFSET(TblImps[[#This Row],[Land]],1,0)-OFFSET(TblExplore[[#This Row],[Land Bonus]],1,0)*20)+15000)))*(1+(mason_bonus*TblConstr[[#This Row],[Tot Mas]]/TblConstr[[#This Row],[Land (2)]]))</f>
        <v>0</v>
      </c>
      <c r="AC55" s="340" t="n">
        <f aca="false">walls_forges_cap*(1-EXP(-TblImps[[#This Row],[Σ Walls]]/(walls_forges_param*(OFFSET(TblImps[[#This Row],[Land]],1,0)-OFFSET(TblExplore[[#This Row],[Land Bonus]],1,0)*20)+15000)))*(1+(mason_bonus*TblConstr[[#This Row],[Tot Mas]]/TblConstr[[#This Row],[Land (2)]]))</f>
        <v>0</v>
      </c>
      <c r="AD55" s="340" t="n">
        <f aca="false">harbor_towers_cap*(1-EXP(-TblImps[[#This Row],[Σ Irrigation]]/(harbor_towers_param*(OFFSET(TblImps[[#This Row],[Land]],1,0)-OFFSET(TblExplore[[#This Row],[Land Bonus]],1,0)*20)+15000)))*(1+(mason_bonus*TblConstr[[#This Row],[Tot Mas]]/TblConstr[[#This Row],[Land (2)]]))</f>
        <v>0</v>
      </c>
      <c r="AE55" s="132"/>
      <c r="AF55" s="33" t="n">
        <f aca="false">(1+Overview!$I$28)*SUM(TblImps[[#This Row],[P2]:[G2]])+OFFSET(TblImps[[#This Row],[Σ Science]],-1,0)</f>
        <v>0</v>
      </c>
      <c r="AG55" s="33" t="n">
        <f aca="false">(1+Overview!$I$28)*SUM(TblImps[[#This Row],[P3]:[G3]])+OFFSET(TblImps[[#This Row],[Σ Keep]],-1,0)</f>
        <v>0</v>
      </c>
      <c r="AH55" s="33" t="n">
        <f aca="false">(1+Overview!$I$28 + tech_7_1*TblTech[[#This Row],[7-1]])*SUM(TblImps[[#This Row],[P4]:[G4]])+OFFSET(TblImps[[#This Row],[Σ Towers]],-1,0)</f>
        <v>0</v>
      </c>
      <c r="AI55" s="33" t="n">
        <f aca="false">(1+Overview!$I$28)*SUM(TblImps[[#This Row],[P5]:[G5]])+OFFSET(TblImps[[#This Row],[Σ Forges]],-1,0)</f>
        <v>0</v>
      </c>
      <c r="AJ55" s="33" t="n">
        <f aca="false">(1+Overview!$I$28)*SUM(TblImps[[#This Row],[P6]:[G6]])+OFFSET(TblImps[[#This Row],[Σ Walls]],-1,0)</f>
        <v>0</v>
      </c>
      <c r="AK55" s="33" t="n">
        <f aca="false">(1+Overview!$I$28 + tech_7_1*TblTech[[#This Row],[7-1]])*SUM(TblImps[[#This Row],[P7]:[G7]])+OFFSET(TblImps[[#This Row],[Σ Irrigation]],-1,0)</f>
        <v>0</v>
      </c>
      <c r="AL55" s="132"/>
      <c r="AM55" s="26" t="n">
        <f aca="false">IF(AND(TblImps[[#This Row],[Resource]]=AM$2,TblImps[[#This Row],[Part]]&lt;&gt;""),TblImps[[#This Row],[Amount]]) + IF(AND(TblImps[[#This Row],[Resource 2]]=AM$2,TblImps[[#This Row],[Part 2]]&lt;&gt;""),TblImps[[#This Row],[Amount 2]]) + IF(AND(TblImps[[#This Row],[Resource 3]]=AM$2,TblImps[[#This Row],[Part 3]]&lt;&gt;""),TblImps[[#This Row],[Amount 3]])</f>
        <v>0</v>
      </c>
      <c r="AN55" s="26" t="n">
        <f aca="false">IF(AND(TblImps[[#This Row],[Resource]]=AN$2,TblImps[[#This Row],[Part]]&lt;&gt;""),TblImps[[#This Row],[Amount]]) + IF(AND(TblImps[[#This Row],[Resource 2]]=AN$2,TblImps[[#This Row],[Part 2]]&lt;&gt;""),TblImps[[#This Row],[Amount 2]]) + IF(AND(TblImps[[#This Row],[Resource 3]]=AN$2,TblImps[[#This Row],[Part 3]]&lt;&gt;""),TblImps[[#This Row],[Amount 3]])</f>
        <v>0</v>
      </c>
      <c r="AO55" s="26" t="n">
        <f aca="false">IF(AND(TblImps[[#This Row],[Resource]]=AO$2,TblImps[[#This Row],[Part]]&lt;&gt;""),TblImps[[#This Row],[Amount]]) + IF(AND(TblImps[[#This Row],[Resource 2]]=AO$2,TblImps[[#This Row],[Part 2]]&lt;&gt;""),TblImps[[#This Row],[Amount 2]]) + IF(AND(TblImps[[#This Row],[Resource 3]]=AO$2,TblImps[[#This Row],[Part 3]]&lt;&gt;""),TblImps[[#This Row],[Amount 3]])</f>
        <v>0</v>
      </c>
      <c r="AP55" s="26" t="n">
        <f aca="false">IF(AND(TblImps[[#This Row],[Resource]]=AP$2,TblImps[[#This Row],[Part]]&lt;&gt;""),TblImps[[#This Row],[Amount]]) + IF(AND(TblImps[[#This Row],[Resource 2]]=AP$2,TblImps[[#This Row],[Part 2]]&lt;&gt;""),TblImps[[#This Row],[Amount 2]]) + IF(AND(TblImps[[#This Row],[Resource 3]]=AP$2,TblImps[[#This Row],[Part 3]]&lt;&gt;""),TblImps[[#This Row],[Amount 3]])</f>
        <v>0</v>
      </c>
      <c r="AQ55" s="132"/>
      <c r="AR5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32"/>
      <c r="AW5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32"/>
      <c r="BB5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32"/>
      <c r="BG5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32"/>
      <c r="BL5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32"/>
      <c r="BQ5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32"/>
      <c r="BV55"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5" s="33" t="n">
        <f aca="false">TblImps[[#This Row],[Login]]</f>
        <v>1</v>
      </c>
      <c r="BX55" s="128"/>
      <c r="BY55" s="347" t="n">
        <f aca="false">OFFSET(TblImps[[#This Row],[Real time]],-1,0)+1/24</f>
        <v>45431.875</v>
      </c>
      <c r="BZ55" s="348" t="n">
        <f aca="false">OFFSET(TblImps[[#This Row],[Servertime]],-1,0)+1/24</f>
        <v>45432.125</v>
      </c>
      <c r="CA55" s="26"/>
      <c r="CB55" s="346"/>
      <c r="CC55" s="346"/>
    </row>
    <row r="56" customFormat="false" ht="12.75" hidden="false" customHeight="false" outlineLevel="0" collapsed="false">
      <c r="A56" s="181" t="n">
        <f aca="false">TblConstr[[#This Row],[Land]]</f>
        <v>680</v>
      </c>
      <c r="B56" s="132"/>
      <c r="C56" s="69" t="n">
        <f aca="false">TblProd[[#This Row],[Platinum]]</f>
        <v>429145</v>
      </c>
      <c r="D56" s="69" t="n">
        <f aca="false">TblProd[[#This Row],[Lumber]]</f>
        <v>4153</v>
      </c>
      <c r="E56" s="69" t="n">
        <f aca="false">TblProd[[#This Row],[Ore]]</f>
        <v>0</v>
      </c>
      <c r="F56" s="69" t="n">
        <f aca="false">TblProd[[#This Row],[Gems]]</f>
        <v>0</v>
      </c>
      <c r="G56" s="146"/>
      <c r="H56" s="69" t="n">
        <f aca="false">TblMili[[#This Row],[Draftees]]</f>
        <v>911</v>
      </c>
      <c r="I56" s="130" t="n">
        <f aca="false">TblPop[[#This Row],[Employment]]</f>
        <v>1</v>
      </c>
      <c r="J56" s="130" t="n">
        <f aca="false">TblPop[[#This Row],[Total]]/TblPop[[#This Row],[Net max]]</f>
        <v>1</v>
      </c>
      <c r="K56" s="336" t="n">
        <f aca="false">TblRezone[[#This Row],[Hour]]</f>
        <v>53</v>
      </c>
      <c r="L56" s="337" t="n">
        <f aca="false">TblImps[[#This Row],[Real time]]</f>
        <v>45431.9166666667</v>
      </c>
      <c r="M56" s="33" t="n">
        <f aca="false">IF(ISERROR(TblImps[[#This Row],[algorithm]]),0,TblImps[[#This Row],[algorithm]]*1)</f>
        <v>1</v>
      </c>
      <c r="N56" s="69" t="n">
        <f aca="false">TblImps[[#This Row],[Land]]</f>
        <v>680</v>
      </c>
      <c r="O56" s="338" t="s">
        <v>97</v>
      </c>
      <c r="P56" s="339"/>
      <c r="Q56" s="338" t="s">
        <v>734</v>
      </c>
      <c r="R56" s="338" t="s">
        <v>93</v>
      </c>
      <c r="S56" s="339"/>
      <c r="T56" s="338" t="s">
        <v>734</v>
      </c>
      <c r="U56" s="338" t="s">
        <v>35</v>
      </c>
      <c r="V56" s="339"/>
      <c r="W56" s="338" t="s">
        <v>734</v>
      </c>
      <c r="X56" s="132"/>
      <c r="Y56" s="340" t="n">
        <f aca="false">science_cap*(1-EXP(-TblImps[[#This Row],[Σ Science]]/(science_param*(OFFSET(TblImps[[#This Row],[Land]],1,0)-OFFSET(TblExplore[[#This Row],[Land Bonus]],1,0)*20)+15000)))*(1+(mason_bonus*TblConstr[[#This Row],[Tot Mas]]/TblConstr[[#This Row],[Land (2)]]))</f>
        <v>0</v>
      </c>
      <c r="Z56" s="340" t="n">
        <f aca="false">keep_cap*(1-EXP(-TblImps[[#This Row],[Σ Keep]]/(keep_param*(OFFSET(TblImps[[#This Row],[Land]],1,0)-OFFSET(TblExplore[[#This Row],[Land Bonus]],1,0)*20)+15000)))*(1+(mason_bonus*TblConstr[[#This Row],[Tot Mas]]/TblConstr[[#This Row],[Land (2)]]))</f>
        <v>0</v>
      </c>
      <c r="AA56" s="340" t="n">
        <f aca="false">harbor_towers_cap*(1-EXP(-TblImps[[#This Row],[Σ Towers]]/(towers_param*(OFFSET(TblImps[[#This Row],[Land]],1,0)-OFFSET(TblExplore[[#This Row],[Land Bonus]],1,0)*20)+15000)))*(1+(mason_bonus*TblConstr[[#This Row],[Tot Mas]]/TblConstr[[#This Row],[Land (2)]]))</f>
        <v>0</v>
      </c>
      <c r="AB56" s="340" t="n">
        <f aca="false">walls_forges_cap*(1-EXP(-TblImps[[#This Row],[Σ Forges]]/(walls_forges_param*(OFFSET(TblImps[[#This Row],[Land]],1,0)-OFFSET(TblExplore[[#This Row],[Land Bonus]],1,0)*20)+15000)))*(1+(mason_bonus*TblConstr[[#This Row],[Tot Mas]]/TblConstr[[#This Row],[Land (2)]]))</f>
        <v>0</v>
      </c>
      <c r="AC56" s="340" t="n">
        <f aca="false">walls_forges_cap*(1-EXP(-TblImps[[#This Row],[Σ Walls]]/(walls_forges_param*(OFFSET(TblImps[[#This Row],[Land]],1,0)-OFFSET(TblExplore[[#This Row],[Land Bonus]],1,0)*20)+15000)))*(1+(mason_bonus*TblConstr[[#This Row],[Tot Mas]]/TblConstr[[#This Row],[Land (2)]]))</f>
        <v>0</v>
      </c>
      <c r="AD56" s="340" t="n">
        <f aca="false">harbor_towers_cap*(1-EXP(-TblImps[[#This Row],[Σ Irrigation]]/(harbor_towers_param*(OFFSET(TblImps[[#This Row],[Land]],1,0)-OFFSET(TblExplore[[#This Row],[Land Bonus]],1,0)*20)+15000)))*(1+(mason_bonus*TblConstr[[#This Row],[Tot Mas]]/TblConstr[[#This Row],[Land (2)]]))</f>
        <v>0</v>
      </c>
      <c r="AE56" s="132"/>
      <c r="AF56" s="33" t="n">
        <f aca="false">(1+Overview!$I$28)*SUM(TblImps[[#This Row],[P2]:[G2]])+OFFSET(TblImps[[#This Row],[Σ Science]],-1,0)</f>
        <v>0</v>
      </c>
      <c r="AG56" s="33" t="n">
        <f aca="false">(1+Overview!$I$28)*SUM(TblImps[[#This Row],[P3]:[G3]])+OFFSET(TblImps[[#This Row],[Σ Keep]],-1,0)</f>
        <v>0</v>
      </c>
      <c r="AH56" s="33" t="n">
        <f aca="false">(1+Overview!$I$28 + tech_7_1*TblTech[[#This Row],[7-1]])*SUM(TblImps[[#This Row],[P4]:[G4]])+OFFSET(TblImps[[#This Row],[Σ Towers]],-1,0)</f>
        <v>0</v>
      </c>
      <c r="AI56" s="33" t="n">
        <f aca="false">(1+Overview!$I$28)*SUM(TblImps[[#This Row],[P5]:[G5]])+OFFSET(TblImps[[#This Row],[Σ Forges]],-1,0)</f>
        <v>0</v>
      </c>
      <c r="AJ56" s="33" t="n">
        <f aca="false">(1+Overview!$I$28)*SUM(TblImps[[#This Row],[P6]:[G6]])+OFFSET(TblImps[[#This Row],[Σ Walls]],-1,0)</f>
        <v>0</v>
      </c>
      <c r="AK56" s="33" t="n">
        <f aca="false">(1+Overview!$I$28 + tech_7_1*TblTech[[#This Row],[7-1]])*SUM(TblImps[[#This Row],[P7]:[G7]])+OFFSET(TblImps[[#This Row],[Σ Irrigation]],-1,0)</f>
        <v>0</v>
      </c>
      <c r="AL56" s="132"/>
      <c r="AM56" s="26" t="n">
        <f aca="false">IF(AND(TblImps[[#This Row],[Resource]]=AM$2,TblImps[[#This Row],[Part]]&lt;&gt;""),TblImps[[#This Row],[Amount]]) + IF(AND(TblImps[[#This Row],[Resource 2]]=AM$2,TblImps[[#This Row],[Part 2]]&lt;&gt;""),TblImps[[#This Row],[Amount 2]]) + IF(AND(TblImps[[#This Row],[Resource 3]]=AM$2,TblImps[[#This Row],[Part 3]]&lt;&gt;""),TblImps[[#This Row],[Amount 3]])</f>
        <v>0</v>
      </c>
      <c r="AN56" s="26" t="n">
        <f aca="false">IF(AND(TblImps[[#This Row],[Resource]]=AN$2,TblImps[[#This Row],[Part]]&lt;&gt;""),TblImps[[#This Row],[Amount]]) + IF(AND(TblImps[[#This Row],[Resource 2]]=AN$2,TblImps[[#This Row],[Part 2]]&lt;&gt;""),TblImps[[#This Row],[Amount 2]]) + IF(AND(TblImps[[#This Row],[Resource 3]]=AN$2,TblImps[[#This Row],[Part 3]]&lt;&gt;""),TblImps[[#This Row],[Amount 3]])</f>
        <v>0</v>
      </c>
      <c r="AO56" s="26" t="n">
        <f aca="false">IF(AND(TblImps[[#This Row],[Resource]]=AO$2,TblImps[[#This Row],[Part]]&lt;&gt;""),TblImps[[#This Row],[Amount]]) + IF(AND(TblImps[[#This Row],[Resource 2]]=AO$2,TblImps[[#This Row],[Part 2]]&lt;&gt;""),TblImps[[#This Row],[Amount 2]]) + IF(AND(TblImps[[#This Row],[Resource 3]]=AO$2,TblImps[[#This Row],[Part 3]]&lt;&gt;""),TblImps[[#This Row],[Amount 3]])</f>
        <v>0</v>
      </c>
      <c r="AP56" s="26" t="n">
        <f aca="false">IF(AND(TblImps[[#This Row],[Resource]]=AP$2,TblImps[[#This Row],[Part]]&lt;&gt;""),TblImps[[#This Row],[Amount]]) + IF(AND(TblImps[[#This Row],[Resource 2]]=AP$2,TblImps[[#This Row],[Part 2]]&lt;&gt;""),TblImps[[#This Row],[Amount 2]]) + IF(AND(TblImps[[#This Row],[Resource 3]]=AP$2,TblImps[[#This Row],[Part 3]]&lt;&gt;""),TblImps[[#This Row],[Amount 3]])</f>
        <v>0</v>
      </c>
      <c r="AQ56" s="132"/>
      <c r="AR5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32"/>
      <c r="AW5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32"/>
      <c r="BB5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32"/>
      <c r="BG5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32"/>
      <c r="BL5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32"/>
      <c r="BQ5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32"/>
      <c r="BV56"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6" s="33" t="n">
        <f aca="false">TblImps[[#This Row],[Login]]</f>
        <v>1</v>
      </c>
      <c r="BX56" s="128"/>
      <c r="BY56" s="347" t="n">
        <f aca="false">OFFSET(TblImps[[#This Row],[Real time]],-1,0)+1/24</f>
        <v>45431.9166666667</v>
      </c>
      <c r="BZ56" s="348" t="n">
        <f aca="false">OFFSET(TblImps[[#This Row],[Servertime]],-1,0)+1/24</f>
        <v>45432.1666666667</v>
      </c>
      <c r="CA56" s="26"/>
      <c r="CB56" s="346"/>
      <c r="CC56" s="346"/>
    </row>
    <row r="57" customFormat="false" ht="12.75" hidden="false" customHeight="false" outlineLevel="0" collapsed="false">
      <c r="A57" s="181" t="n">
        <f aca="false">TblConstr[[#This Row],[Land]]</f>
        <v>692</v>
      </c>
      <c r="B57" s="132"/>
      <c r="C57" s="69" t="n">
        <f aca="false">TblProd[[#This Row],[Platinum]]</f>
        <v>468410</v>
      </c>
      <c r="D57" s="69" t="n">
        <f aca="false">TblProd[[#This Row],[Lumber]]</f>
        <v>3928</v>
      </c>
      <c r="E57" s="69" t="n">
        <f aca="false">TblProd[[#This Row],[Ore]]</f>
        <v>0</v>
      </c>
      <c r="F57" s="69" t="n">
        <f aca="false">TblProd[[#This Row],[Gems]]</f>
        <v>0</v>
      </c>
      <c r="G57" s="146"/>
      <c r="H57" s="69" t="n">
        <f aca="false">TblMili[[#This Row],[Draftees]]</f>
        <v>1010</v>
      </c>
      <c r="I57" s="130" t="n">
        <f aca="false">TblPop[[#This Row],[Employment]]</f>
        <v>1</v>
      </c>
      <c r="J57" s="130" t="n">
        <f aca="false">TblPop[[#This Row],[Total]]/TblPop[[#This Row],[Net max]]</f>
        <v>1</v>
      </c>
      <c r="K57" s="336" t="n">
        <f aca="false">TblRezone[[#This Row],[Hour]]</f>
        <v>54</v>
      </c>
      <c r="L57" s="337" t="n">
        <f aca="false">TblImps[[#This Row],[Real time]]</f>
        <v>45431.9583333333</v>
      </c>
      <c r="M57" s="33" t="n">
        <f aca="false">IF(ISERROR(TblImps[[#This Row],[algorithm]]),0,TblImps[[#This Row],[algorithm]]*1)</f>
        <v>1</v>
      </c>
      <c r="N57" s="69" t="n">
        <f aca="false">TblImps[[#This Row],[Land]]</f>
        <v>692</v>
      </c>
      <c r="O57" s="338" t="s">
        <v>97</v>
      </c>
      <c r="P57" s="339"/>
      <c r="Q57" s="338" t="s">
        <v>734</v>
      </c>
      <c r="R57" s="338" t="s">
        <v>93</v>
      </c>
      <c r="S57" s="339"/>
      <c r="T57" s="338" t="s">
        <v>734</v>
      </c>
      <c r="U57" s="338" t="s">
        <v>35</v>
      </c>
      <c r="V57" s="339"/>
      <c r="W57" s="338" t="s">
        <v>734</v>
      </c>
      <c r="X57" s="132"/>
      <c r="Y57" s="340" t="n">
        <f aca="false">science_cap*(1-EXP(-TblImps[[#This Row],[Σ Science]]/(science_param*(OFFSET(TblImps[[#This Row],[Land]],1,0)-OFFSET(TblExplore[[#This Row],[Land Bonus]],1,0)*20)+15000)))*(1+(mason_bonus*TblConstr[[#This Row],[Tot Mas]]/TblConstr[[#This Row],[Land (2)]]))</f>
        <v>0</v>
      </c>
      <c r="Z57" s="340" t="n">
        <f aca="false">keep_cap*(1-EXP(-TblImps[[#This Row],[Σ Keep]]/(keep_param*(OFFSET(TblImps[[#This Row],[Land]],1,0)-OFFSET(TblExplore[[#This Row],[Land Bonus]],1,0)*20)+15000)))*(1+(mason_bonus*TblConstr[[#This Row],[Tot Mas]]/TblConstr[[#This Row],[Land (2)]]))</f>
        <v>0</v>
      </c>
      <c r="AA57" s="340" t="n">
        <f aca="false">harbor_towers_cap*(1-EXP(-TblImps[[#This Row],[Σ Towers]]/(towers_param*(OFFSET(TblImps[[#This Row],[Land]],1,0)-OFFSET(TblExplore[[#This Row],[Land Bonus]],1,0)*20)+15000)))*(1+(mason_bonus*TblConstr[[#This Row],[Tot Mas]]/TblConstr[[#This Row],[Land (2)]]))</f>
        <v>0</v>
      </c>
      <c r="AB57" s="340" t="n">
        <f aca="false">walls_forges_cap*(1-EXP(-TblImps[[#This Row],[Σ Forges]]/(walls_forges_param*(OFFSET(TblImps[[#This Row],[Land]],1,0)-OFFSET(TblExplore[[#This Row],[Land Bonus]],1,0)*20)+15000)))*(1+(mason_bonus*TblConstr[[#This Row],[Tot Mas]]/TblConstr[[#This Row],[Land (2)]]))</f>
        <v>0</v>
      </c>
      <c r="AC57" s="340" t="n">
        <f aca="false">walls_forges_cap*(1-EXP(-TblImps[[#This Row],[Σ Walls]]/(walls_forges_param*(OFFSET(TblImps[[#This Row],[Land]],1,0)-OFFSET(TblExplore[[#This Row],[Land Bonus]],1,0)*20)+15000)))*(1+(mason_bonus*TblConstr[[#This Row],[Tot Mas]]/TblConstr[[#This Row],[Land (2)]]))</f>
        <v>0</v>
      </c>
      <c r="AD57" s="340" t="n">
        <f aca="false">harbor_towers_cap*(1-EXP(-TblImps[[#This Row],[Σ Irrigation]]/(harbor_towers_param*(OFFSET(TblImps[[#This Row],[Land]],1,0)-OFFSET(TblExplore[[#This Row],[Land Bonus]],1,0)*20)+15000)))*(1+(mason_bonus*TblConstr[[#This Row],[Tot Mas]]/TblConstr[[#This Row],[Land (2)]]))</f>
        <v>0</v>
      </c>
      <c r="AE57" s="132"/>
      <c r="AF57" s="33" t="n">
        <f aca="false">(1+Overview!$I$28)*SUM(TblImps[[#This Row],[P2]:[G2]])+OFFSET(TblImps[[#This Row],[Σ Science]],-1,0)</f>
        <v>0</v>
      </c>
      <c r="AG57" s="33" t="n">
        <f aca="false">(1+Overview!$I$28)*SUM(TblImps[[#This Row],[P3]:[G3]])+OFFSET(TblImps[[#This Row],[Σ Keep]],-1,0)</f>
        <v>0</v>
      </c>
      <c r="AH57" s="33" t="n">
        <f aca="false">(1+Overview!$I$28 + tech_7_1*TblTech[[#This Row],[7-1]])*SUM(TblImps[[#This Row],[P4]:[G4]])+OFFSET(TblImps[[#This Row],[Σ Towers]],-1,0)</f>
        <v>0</v>
      </c>
      <c r="AI57" s="33" t="n">
        <f aca="false">(1+Overview!$I$28)*SUM(TblImps[[#This Row],[P5]:[G5]])+OFFSET(TblImps[[#This Row],[Σ Forges]],-1,0)</f>
        <v>0</v>
      </c>
      <c r="AJ57" s="33" t="n">
        <f aca="false">(1+Overview!$I$28)*SUM(TblImps[[#This Row],[P6]:[G6]])+OFFSET(TblImps[[#This Row],[Σ Walls]],-1,0)</f>
        <v>0</v>
      </c>
      <c r="AK57" s="33" t="n">
        <f aca="false">(1+Overview!$I$28 + tech_7_1*TblTech[[#This Row],[7-1]])*SUM(TblImps[[#This Row],[P7]:[G7]])+OFFSET(TblImps[[#This Row],[Σ Irrigation]],-1,0)</f>
        <v>0</v>
      </c>
      <c r="AL57" s="132"/>
      <c r="AM57" s="26" t="n">
        <f aca="false">IF(AND(TblImps[[#This Row],[Resource]]=AM$2,TblImps[[#This Row],[Part]]&lt;&gt;""),TblImps[[#This Row],[Amount]]) + IF(AND(TblImps[[#This Row],[Resource 2]]=AM$2,TblImps[[#This Row],[Part 2]]&lt;&gt;""),TblImps[[#This Row],[Amount 2]]) + IF(AND(TblImps[[#This Row],[Resource 3]]=AM$2,TblImps[[#This Row],[Part 3]]&lt;&gt;""),TblImps[[#This Row],[Amount 3]])</f>
        <v>0</v>
      </c>
      <c r="AN57" s="26" t="n">
        <f aca="false">IF(AND(TblImps[[#This Row],[Resource]]=AN$2,TblImps[[#This Row],[Part]]&lt;&gt;""),TblImps[[#This Row],[Amount]]) + IF(AND(TblImps[[#This Row],[Resource 2]]=AN$2,TblImps[[#This Row],[Part 2]]&lt;&gt;""),TblImps[[#This Row],[Amount 2]]) + IF(AND(TblImps[[#This Row],[Resource 3]]=AN$2,TblImps[[#This Row],[Part 3]]&lt;&gt;""),TblImps[[#This Row],[Amount 3]])</f>
        <v>0</v>
      </c>
      <c r="AO57" s="26" t="n">
        <f aca="false">IF(AND(TblImps[[#This Row],[Resource]]=AO$2,TblImps[[#This Row],[Part]]&lt;&gt;""),TblImps[[#This Row],[Amount]]) + IF(AND(TblImps[[#This Row],[Resource 2]]=AO$2,TblImps[[#This Row],[Part 2]]&lt;&gt;""),TblImps[[#This Row],[Amount 2]]) + IF(AND(TblImps[[#This Row],[Resource 3]]=AO$2,TblImps[[#This Row],[Part 3]]&lt;&gt;""),TblImps[[#This Row],[Amount 3]])</f>
        <v>0</v>
      </c>
      <c r="AP57" s="26" t="n">
        <f aca="false">IF(AND(TblImps[[#This Row],[Resource]]=AP$2,TblImps[[#This Row],[Part]]&lt;&gt;""),TblImps[[#This Row],[Amount]]) + IF(AND(TblImps[[#This Row],[Resource 2]]=AP$2,TblImps[[#This Row],[Part 2]]&lt;&gt;""),TblImps[[#This Row],[Amount 2]]) + IF(AND(TblImps[[#This Row],[Resource 3]]=AP$2,TblImps[[#This Row],[Part 3]]&lt;&gt;""),TblImps[[#This Row],[Amount 3]])</f>
        <v>0</v>
      </c>
      <c r="AQ57" s="132"/>
      <c r="AR5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32"/>
      <c r="AW5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32"/>
      <c r="BB5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32"/>
      <c r="BG5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32"/>
      <c r="BL5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32"/>
      <c r="BQ5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32"/>
      <c r="BV57"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7" s="33" t="n">
        <f aca="false">TblImps[[#This Row],[Login]]</f>
        <v>1</v>
      </c>
      <c r="BX57" s="128"/>
      <c r="BY57" s="347" t="n">
        <f aca="false">OFFSET(TblImps[[#This Row],[Real time]],-1,0)+1/24</f>
        <v>45431.9583333333</v>
      </c>
      <c r="BZ57" s="348" t="n">
        <f aca="false">OFFSET(TblImps[[#This Row],[Servertime]],-1,0)+1/24</f>
        <v>45432.2083333333</v>
      </c>
      <c r="CA57" s="26"/>
      <c r="CB57" s="346"/>
      <c r="CC57" s="346"/>
    </row>
    <row r="58" customFormat="false" ht="12.75" hidden="false" customHeight="false" outlineLevel="0" collapsed="false">
      <c r="A58" s="181" t="n">
        <f aca="false">TblConstr[[#This Row],[Land]]</f>
        <v>700</v>
      </c>
      <c r="B58" s="132"/>
      <c r="C58" s="69" t="n">
        <f aca="false">TblProd[[#This Row],[Platinum]]</f>
        <v>510224</v>
      </c>
      <c r="D58" s="69" t="n">
        <f aca="false">TblProd[[#This Row],[Lumber]]</f>
        <v>4118</v>
      </c>
      <c r="E58" s="69" t="n">
        <f aca="false">TblProd[[#This Row],[Ore]]</f>
        <v>0</v>
      </c>
      <c r="F58" s="69" t="n">
        <f aca="false">TblProd[[#This Row],[Gems]]</f>
        <v>0</v>
      </c>
      <c r="G58" s="146"/>
      <c r="H58" s="69" t="n">
        <f aca="false">TblMili[[#This Row],[Draftees]]</f>
        <v>1110</v>
      </c>
      <c r="I58" s="130" t="n">
        <f aca="false">TblPop[[#This Row],[Employment]]</f>
        <v>1</v>
      </c>
      <c r="J58" s="130" t="n">
        <f aca="false">TblPop[[#This Row],[Total]]/TblPop[[#This Row],[Net max]]</f>
        <v>1</v>
      </c>
      <c r="K58" s="336" t="n">
        <f aca="false">TblRezone[[#This Row],[Hour]]</f>
        <v>55</v>
      </c>
      <c r="L58" s="337" t="n">
        <f aca="false">TblImps[[#This Row],[Real time]]</f>
        <v>45432</v>
      </c>
      <c r="M58" s="33" t="n">
        <f aca="false">IF(ISERROR(TblImps[[#This Row],[algorithm]]),0,TblImps[[#This Row],[algorithm]]*1)</f>
        <v>1</v>
      </c>
      <c r="N58" s="69" t="n">
        <f aca="false">TblImps[[#This Row],[Land]]</f>
        <v>700</v>
      </c>
      <c r="O58" s="338" t="s">
        <v>97</v>
      </c>
      <c r="P58" s="339"/>
      <c r="Q58" s="338" t="s">
        <v>734</v>
      </c>
      <c r="R58" s="338" t="s">
        <v>93</v>
      </c>
      <c r="S58" s="339"/>
      <c r="T58" s="338" t="s">
        <v>734</v>
      </c>
      <c r="U58" s="338" t="s">
        <v>35</v>
      </c>
      <c r="V58" s="339"/>
      <c r="W58" s="338" t="s">
        <v>734</v>
      </c>
      <c r="X58" s="132"/>
      <c r="Y58" s="340" t="n">
        <f aca="false">science_cap*(1-EXP(-TblImps[[#This Row],[Σ Science]]/(science_param*(OFFSET(TblImps[[#This Row],[Land]],1,0)-OFFSET(TblExplore[[#This Row],[Land Bonus]],1,0)*20)+15000)))*(1+(mason_bonus*TblConstr[[#This Row],[Tot Mas]]/TblConstr[[#This Row],[Land (2)]]))</f>
        <v>0</v>
      </c>
      <c r="Z58" s="340" t="n">
        <f aca="false">keep_cap*(1-EXP(-TblImps[[#This Row],[Σ Keep]]/(keep_param*(OFFSET(TblImps[[#This Row],[Land]],1,0)-OFFSET(TblExplore[[#This Row],[Land Bonus]],1,0)*20)+15000)))*(1+(mason_bonus*TblConstr[[#This Row],[Tot Mas]]/TblConstr[[#This Row],[Land (2)]]))</f>
        <v>0</v>
      </c>
      <c r="AA58" s="340" t="n">
        <f aca="false">harbor_towers_cap*(1-EXP(-TblImps[[#This Row],[Σ Towers]]/(towers_param*(OFFSET(TblImps[[#This Row],[Land]],1,0)-OFFSET(TblExplore[[#This Row],[Land Bonus]],1,0)*20)+15000)))*(1+(mason_bonus*TblConstr[[#This Row],[Tot Mas]]/TblConstr[[#This Row],[Land (2)]]))</f>
        <v>0</v>
      </c>
      <c r="AB58" s="340" t="n">
        <f aca="false">walls_forges_cap*(1-EXP(-TblImps[[#This Row],[Σ Forges]]/(walls_forges_param*(OFFSET(TblImps[[#This Row],[Land]],1,0)-OFFSET(TblExplore[[#This Row],[Land Bonus]],1,0)*20)+15000)))*(1+(mason_bonus*TblConstr[[#This Row],[Tot Mas]]/TblConstr[[#This Row],[Land (2)]]))</f>
        <v>0</v>
      </c>
      <c r="AC58" s="340" t="n">
        <f aca="false">walls_forges_cap*(1-EXP(-TblImps[[#This Row],[Σ Walls]]/(walls_forges_param*(OFFSET(TblImps[[#This Row],[Land]],1,0)-OFFSET(TblExplore[[#This Row],[Land Bonus]],1,0)*20)+15000)))*(1+(mason_bonus*TblConstr[[#This Row],[Tot Mas]]/TblConstr[[#This Row],[Land (2)]]))</f>
        <v>0</v>
      </c>
      <c r="AD58" s="340" t="n">
        <f aca="false">harbor_towers_cap*(1-EXP(-TblImps[[#This Row],[Σ Irrigation]]/(harbor_towers_param*(OFFSET(TblImps[[#This Row],[Land]],1,0)-OFFSET(TblExplore[[#This Row],[Land Bonus]],1,0)*20)+15000)))*(1+(mason_bonus*TblConstr[[#This Row],[Tot Mas]]/TblConstr[[#This Row],[Land (2)]]))</f>
        <v>0</v>
      </c>
      <c r="AE58" s="132"/>
      <c r="AF58" s="33" t="n">
        <f aca="false">(1+Overview!$I$28)*SUM(TblImps[[#This Row],[P2]:[G2]])+OFFSET(TblImps[[#This Row],[Σ Science]],-1,0)</f>
        <v>0</v>
      </c>
      <c r="AG58" s="33" t="n">
        <f aca="false">(1+Overview!$I$28)*SUM(TblImps[[#This Row],[P3]:[G3]])+OFFSET(TblImps[[#This Row],[Σ Keep]],-1,0)</f>
        <v>0</v>
      </c>
      <c r="AH58" s="33" t="n">
        <f aca="false">(1+Overview!$I$28 + tech_7_1*TblTech[[#This Row],[7-1]])*SUM(TblImps[[#This Row],[P4]:[G4]])+OFFSET(TblImps[[#This Row],[Σ Towers]],-1,0)</f>
        <v>0</v>
      </c>
      <c r="AI58" s="33" t="n">
        <f aca="false">(1+Overview!$I$28)*SUM(TblImps[[#This Row],[P5]:[G5]])+OFFSET(TblImps[[#This Row],[Σ Forges]],-1,0)</f>
        <v>0</v>
      </c>
      <c r="AJ58" s="33" t="n">
        <f aca="false">(1+Overview!$I$28)*SUM(TblImps[[#This Row],[P6]:[G6]])+OFFSET(TblImps[[#This Row],[Σ Walls]],-1,0)</f>
        <v>0</v>
      </c>
      <c r="AK58" s="33" t="n">
        <f aca="false">(1+Overview!$I$28 + tech_7_1*TblTech[[#This Row],[7-1]])*SUM(TblImps[[#This Row],[P7]:[G7]])+OFFSET(TblImps[[#This Row],[Σ Irrigation]],-1,0)</f>
        <v>0</v>
      </c>
      <c r="AL58" s="132"/>
      <c r="AM58" s="26" t="n">
        <f aca="false">IF(AND(TblImps[[#This Row],[Resource]]=AM$2,TblImps[[#This Row],[Part]]&lt;&gt;""),TblImps[[#This Row],[Amount]]) + IF(AND(TblImps[[#This Row],[Resource 2]]=AM$2,TblImps[[#This Row],[Part 2]]&lt;&gt;""),TblImps[[#This Row],[Amount 2]]) + IF(AND(TblImps[[#This Row],[Resource 3]]=AM$2,TblImps[[#This Row],[Part 3]]&lt;&gt;""),TblImps[[#This Row],[Amount 3]])</f>
        <v>0</v>
      </c>
      <c r="AN58" s="26" t="n">
        <f aca="false">IF(AND(TblImps[[#This Row],[Resource]]=AN$2,TblImps[[#This Row],[Part]]&lt;&gt;""),TblImps[[#This Row],[Amount]]) + IF(AND(TblImps[[#This Row],[Resource 2]]=AN$2,TblImps[[#This Row],[Part 2]]&lt;&gt;""),TblImps[[#This Row],[Amount 2]]) + IF(AND(TblImps[[#This Row],[Resource 3]]=AN$2,TblImps[[#This Row],[Part 3]]&lt;&gt;""),TblImps[[#This Row],[Amount 3]])</f>
        <v>0</v>
      </c>
      <c r="AO58" s="26" t="n">
        <f aca="false">IF(AND(TblImps[[#This Row],[Resource]]=AO$2,TblImps[[#This Row],[Part]]&lt;&gt;""),TblImps[[#This Row],[Amount]]) + IF(AND(TblImps[[#This Row],[Resource 2]]=AO$2,TblImps[[#This Row],[Part 2]]&lt;&gt;""),TblImps[[#This Row],[Amount 2]]) + IF(AND(TblImps[[#This Row],[Resource 3]]=AO$2,TblImps[[#This Row],[Part 3]]&lt;&gt;""),TblImps[[#This Row],[Amount 3]])</f>
        <v>0</v>
      </c>
      <c r="AP58" s="26" t="n">
        <f aca="false">IF(AND(TblImps[[#This Row],[Resource]]=AP$2,TblImps[[#This Row],[Part]]&lt;&gt;""),TblImps[[#This Row],[Amount]]) + IF(AND(TblImps[[#This Row],[Resource 2]]=AP$2,TblImps[[#This Row],[Part 2]]&lt;&gt;""),TblImps[[#This Row],[Amount 2]]) + IF(AND(TblImps[[#This Row],[Resource 3]]=AP$2,TblImps[[#This Row],[Part 3]]&lt;&gt;""),TblImps[[#This Row],[Amount 3]])</f>
        <v>0</v>
      </c>
      <c r="AQ58" s="132"/>
      <c r="AR5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32"/>
      <c r="AW5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32"/>
      <c r="BB5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32"/>
      <c r="BG5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32"/>
      <c r="BL5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32"/>
      <c r="BQ5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32"/>
      <c r="BV58"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8" s="33" t="n">
        <f aca="false">TblImps[[#This Row],[Login]]</f>
        <v>1</v>
      </c>
      <c r="BX58" s="128"/>
      <c r="BY58" s="347" t="n">
        <f aca="false">OFFSET(TblImps[[#This Row],[Real time]],-1,0)+1/24</f>
        <v>45432</v>
      </c>
      <c r="BZ58" s="348" t="n">
        <f aca="false">OFFSET(TblImps[[#This Row],[Servertime]],-1,0)+1/24</f>
        <v>45432.25</v>
      </c>
      <c r="CA58" s="26"/>
      <c r="CB58" s="346"/>
      <c r="CC58" s="346"/>
    </row>
    <row r="59" customFormat="false" ht="12.75" hidden="false" customHeight="false" outlineLevel="0" collapsed="false">
      <c r="A59" s="181" t="n">
        <f aca="false">TblConstr[[#This Row],[Land]]</f>
        <v>700</v>
      </c>
      <c r="B59" s="132"/>
      <c r="C59" s="69" t="n">
        <f aca="false">TblProd[[#This Row],[Platinum]]</f>
        <v>556484</v>
      </c>
      <c r="D59" s="69" t="n">
        <f aca="false">TblProd[[#This Row],[Lumber]]</f>
        <v>5090</v>
      </c>
      <c r="E59" s="69" t="n">
        <f aca="false">TblProd[[#This Row],[Ore]]</f>
        <v>0</v>
      </c>
      <c r="F59" s="69" t="n">
        <f aca="false">TblProd[[#This Row],[Gems]]</f>
        <v>0</v>
      </c>
      <c r="G59" s="146"/>
      <c r="H59" s="69" t="n">
        <f aca="false">TblMili[[#This Row],[Draftees]]</f>
        <v>1211</v>
      </c>
      <c r="I59" s="130" t="n">
        <f aca="false">TblPop[[#This Row],[Employment]]</f>
        <v>1</v>
      </c>
      <c r="J59" s="130" t="n">
        <f aca="false">TblPop[[#This Row],[Total]]/TblPop[[#This Row],[Net max]]</f>
        <v>1</v>
      </c>
      <c r="K59" s="336" t="n">
        <f aca="false">TblRezone[[#This Row],[Hour]]</f>
        <v>56</v>
      </c>
      <c r="L59" s="337" t="n">
        <f aca="false">TblImps[[#This Row],[Real time]]</f>
        <v>45432.0416666667</v>
      </c>
      <c r="M59" s="33" t="n">
        <f aca="false">IF(ISERROR(TblImps[[#This Row],[algorithm]]),0,TblImps[[#This Row],[algorithm]]*1)</f>
        <v>1</v>
      </c>
      <c r="N59" s="69" t="n">
        <f aca="false">TblImps[[#This Row],[Land]]</f>
        <v>700</v>
      </c>
      <c r="O59" s="338" t="s">
        <v>97</v>
      </c>
      <c r="P59" s="339"/>
      <c r="Q59" s="338" t="s">
        <v>734</v>
      </c>
      <c r="R59" s="338" t="s">
        <v>93</v>
      </c>
      <c r="S59" s="339"/>
      <c r="T59" s="338" t="s">
        <v>734</v>
      </c>
      <c r="U59" s="338" t="s">
        <v>35</v>
      </c>
      <c r="V59" s="339"/>
      <c r="W59" s="338" t="s">
        <v>734</v>
      </c>
      <c r="X59" s="132"/>
      <c r="Y59" s="340" t="n">
        <f aca="false">science_cap*(1-EXP(-TblImps[[#This Row],[Σ Science]]/(science_param*(OFFSET(TblImps[[#This Row],[Land]],1,0)-OFFSET(TblExplore[[#This Row],[Land Bonus]],1,0)*20)+15000)))*(1+(mason_bonus*TblConstr[[#This Row],[Tot Mas]]/TblConstr[[#This Row],[Land (2)]]))</f>
        <v>0</v>
      </c>
      <c r="Z59" s="340" t="n">
        <f aca="false">keep_cap*(1-EXP(-TblImps[[#This Row],[Σ Keep]]/(keep_param*(OFFSET(TblImps[[#This Row],[Land]],1,0)-OFFSET(TblExplore[[#This Row],[Land Bonus]],1,0)*20)+15000)))*(1+(mason_bonus*TblConstr[[#This Row],[Tot Mas]]/TblConstr[[#This Row],[Land (2)]]))</f>
        <v>0</v>
      </c>
      <c r="AA59" s="340" t="n">
        <f aca="false">harbor_towers_cap*(1-EXP(-TblImps[[#This Row],[Σ Towers]]/(towers_param*(OFFSET(TblImps[[#This Row],[Land]],1,0)-OFFSET(TblExplore[[#This Row],[Land Bonus]],1,0)*20)+15000)))*(1+(mason_bonus*TblConstr[[#This Row],[Tot Mas]]/TblConstr[[#This Row],[Land (2)]]))</f>
        <v>0</v>
      </c>
      <c r="AB59" s="340" t="n">
        <f aca="false">walls_forges_cap*(1-EXP(-TblImps[[#This Row],[Σ Forges]]/(walls_forges_param*(OFFSET(TblImps[[#This Row],[Land]],1,0)-OFFSET(TblExplore[[#This Row],[Land Bonus]],1,0)*20)+15000)))*(1+(mason_bonus*TblConstr[[#This Row],[Tot Mas]]/TblConstr[[#This Row],[Land (2)]]))</f>
        <v>0</v>
      </c>
      <c r="AC59" s="340" t="n">
        <f aca="false">walls_forges_cap*(1-EXP(-TblImps[[#This Row],[Σ Walls]]/(walls_forges_param*(OFFSET(TblImps[[#This Row],[Land]],1,0)-OFFSET(TblExplore[[#This Row],[Land Bonus]],1,0)*20)+15000)))*(1+(mason_bonus*TblConstr[[#This Row],[Tot Mas]]/TblConstr[[#This Row],[Land (2)]]))</f>
        <v>0</v>
      </c>
      <c r="AD59" s="340" t="n">
        <f aca="false">harbor_towers_cap*(1-EXP(-TblImps[[#This Row],[Σ Irrigation]]/(harbor_towers_param*(OFFSET(TblImps[[#This Row],[Land]],1,0)-OFFSET(TblExplore[[#This Row],[Land Bonus]],1,0)*20)+15000)))*(1+(mason_bonus*TblConstr[[#This Row],[Tot Mas]]/TblConstr[[#This Row],[Land (2)]]))</f>
        <v>0</v>
      </c>
      <c r="AE59" s="132"/>
      <c r="AF59" s="33" t="n">
        <f aca="false">(1+Overview!$I$28)*SUM(TblImps[[#This Row],[P2]:[G2]])+OFFSET(TblImps[[#This Row],[Σ Science]],-1,0)</f>
        <v>0</v>
      </c>
      <c r="AG59" s="33" t="n">
        <f aca="false">(1+Overview!$I$28)*SUM(TblImps[[#This Row],[P3]:[G3]])+OFFSET(TblImps[[#This Row],[Σ Keep]],-1,0)</f>
        <v>0</v>
      </c>
      <c r="AH59" s="33" t="n">
        <f aca="false">(1+Overview!$I$28 + tech_7_1*TblTech[[#This Row],[7-1]])*SUM(TblImps[[#This Row],[P4]:[G4]])+OFFSET(TblImps[[#This Row],[Σ Towers]],-1,0)</f>
        <v>0</v>
      </c>
      <c r="AI59" s="33" t="n">
        <f aca="false">(1+Overview!$I$28)*SUM(TblImps[[#This Row],[P5]:[G5]])+OFFSET(TblImps[[#This Row],[Σ Forges]],-1,0)</f>
        <v>0</v>
      </c>
      <c r="AJ59" s="33" t="n">
        <f aca="false">(1+Overview!$I$28)*SUM(TblImps[[#This Row],[P6]:[G6]])+OFFSET(TblImps[[#This Row],[Σ Walls]],-1,0)</f>
        <v>0</v>
      </c>
      <c r="AK59" s="33" t="n">
        <f aca="false">(1+Overview!$I$28 + tech_7_1*TblTech[[#This Row],[7-1]])*SUM(TblImps[[#This Row],[P7]:[G7]])+OFFSET(TblImps[[#This Row],[Σ Irrigation]],-1,0)</f>
        <v>0</v>
      </c>
      <c r="AL59" s="132"/>
      <c r="AM59" s="26" t="n">
        <f aca="false">IF(AND(TblImps[[#This Row],[Resource]]=AM$2,TblImps[[#This Row],[Part]]&lt;&gt;""),TblImps[[#This Row],[Amount]]) + IF(AND(TblImps[[#This Row],[Resource 2]]=AM$2,TblImps[[#This Row],[Part 2]]&lt;&gt;""),TblImps[[#This Row],[Amount 2]]) + IF(AND(TblImps[[#This Row],[Resource 3]]=AM$2,TblImps[[#This Row],[Part 3]]&lt;&gt;""),TblImps[[#This Row],[Amount 3]])</f>
        <v>0</v>
      </c>
      <c r="AN59" s="26" t="n">
        <f aca="false">IF(AND(TblImps[[#This Row],[Resource]]=AN$2,TblImps[[#This Row],[Part]]&lt;&gt;""),TblImps[[#This Row],[Amount]]) + IF(AND(TblImps[[#This Row],[Resource 2]]=AN$2,TblImps[[#This Row],[Part 2]]&lt;&gt;""),TblImps[[#This Row],[Amount 2]]) + IF(AND(TblImps[[#This Row],[Resource 3]]=AN$2,TblImps[[#This Row],[Part 3]]&lt;&gt;""),TblImps[[#This Row],[Amount 3]])</f>
        <v>0</v>
      </c>
      <c r="AO59" s="26" t="n">
        <f aca="false">IF(AND(TblImps[[#This Row],[Resource]]=AO$2,TblImps[[#This Row],[Part]]&lt;&gt;""),TblImps[[#This Row],[Amount]]) + IF(AND(TblImps[[#This Row],[Resource 2]]=AO$2,TblImps[[#This Row],[Part 2]]&lt;&gt;""),TblImps[[#This Row],[Amount 2]]) + IF(AND(TblImps[[#This Row],[Resource 3]]=AO$2,TblImps[[#This Row],[Part 3]]&lt;&gt;""),TblImps[[#This Row],[Amount 3]])</f>
        <v>0</v>
      </c>
      <c r="AP59" s="26" t="n">
        <f aca="false">IF(AND(TblImps[[#This Row],[Resource]]=AP$2,TblImps[[#This Row],[Part]]&lt;&gt;""),TblImps[[#This Row],[Amount]]) + IF(AND(TblImps[[#This Row],[Resource 2]]=AP$2,TblImps[[#This Row],[Part 2]]&lt;&gt;""),TblImps[[#This Row],[Amount 2]]) + IF(AND(TblImps[[#This Row],[Resource 3]]=AP$2,TblImps[[#This Row],[Part 3]]&lt;&gt;""),TblImps[[#This Row],[Amount 3]])</f>
        <v>0</v>
      </c>
      <c r="AQ59" s="132"/>
      <c r="AR5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32"/>
      <c r="AW5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32"/>
      <c r="BB5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32"/>
      <c r="BG5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32"/>
      <c r="BL5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32"/>
      <c r="BQ5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32"/>
      <c r="BV59"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9" s="33" t="n">
        <f aca="false">TblImps[[#This Row],[Login]]</f>
        <v>1</v>
      </c>
      <c r="BX59" s="128"/>
      <c r="BY59" s="347" t="n">
        <f aca="false">OFFSET(TblImps[[#This Row],[Real time]],-1,0)+1/24</f>
        <v>45432.0416666667</v>
      </c>
      <c r="BZ59" s="348" t="n">
        <f aca="false">OFFSET(TblImps[[#This Row],[Servertime]],-1,0)+1/24</f>
        <v>45432.2916666667</v>
      </c>
      <c r="CA59" s="26"/>
      <c r="CB59" s="346"/>
      <c r="CC59" s="346"/>
    </row>
    <row r="60" customFormat="false" ht="12.75" hidden="false" customHeight="false" outlineLevel="0" collapsed="false">
      <c r="A60" s="181" t="n">
        <f aca="false">TblConstr[[#This Row],[Land]]</f>
        <v>700</v>
      </c>
      <c r="B60" s="132"/>
      <c r="C60" s="69" t="n">
        <f aca="false">TblProd[[#This Row],[Platinum]]</f>
        <v>602753</v>
      </c>
      <c r="D60" s="69" t="n">
        <f aca="false">TblProd[[#This Row],[Lumber]]</f>
        <v>6050</v>
      </c>
      <c r="E60" s="69" t="n">
        <f aca="false">TblProd[[#This Row],[Ore]]</f>
        <v>0</v>
      </c>
      <c r="F60" s="69" t="n">
        <f aca="false">TblProd[[#This Row],[Gems]]</f>
        <v>0</v>
      </c>
      <c r="G60" s="146"/>
      <c r="H60" s="69" t="n">
        <f aca="false">TblMili[[#This Row],[Draftees]]</f>
        <v>1312</v>
      </c>
      <c r="I60" s="130" t="n">
        <f aca="false">TblPop[[#This Row],[Employment]]</f>
        <v>1</v>
      </c>
      <c r="J60" s="130" t="n">
        <f aca="false">TblPop[[#This Row],[Total]]/TblPop[[#This Row],[Net max]]</f>
        <v>1</v>
      </c>
      <c r="K60" s="336" t="n">
        <f aca="false">TblRezone[[#This Row],[Hour]]</f>
        <v>57</v>
      </c>
      <c r="L60" s="337" t="n">
        <f aca="false">TblImps[[#This Row],[Real time]]</f>
        <v>45432.0833333333</v>
      </c>
      <c r="M60" s="33" t="n">
        <f aca="false">IF(ISERROR(TblImps[[#This Row],[algorithm]]),0,TblImps[[#This Row],[algorithm]]*1)</f>
        <v>1</v>
      </c>
      <c r="N60" s="69" t="n">
        <f aca="false">TblImps[[#This Row],[Land]]</f>
        <v>700</v>
      </c>
      <c r="O60" s="338" t="s">
        <v>97</v>
      </c>
      <c r="P60" s="339"/>
      <c r="Q60" s="338" t="s">
        <v>734</v>
      </c>
      <c r="R60" s="338" t="s">
        <v>93</v>
      </c>
      <c r="S60" s="339"/>
      <c r="T60" s="338" t="s">
        <v>734</v>
      </c>
      <c r="U60" s="338" t="s">
        <v>35</v>
      </c>
      <c r="V60" s="339"/>
      <c r="W60" s="338" t="s">
        <v>734</v>
      </c>
      <c r="X60" s="132"/>
      <c r="Y60" s="340" t="n">
        <f aca="false">science_cap*(1-EXP(-TblImps[[#This Row],[Σ Science]]/(science_param*(OFFSET(TblImps[[#This Row],[Land]],1,0)-OFFSET(TblExplore[[#This Row],[Land Bonus]],1,0)*20)+15000)))*(1+(mason_bonus*TblConstr[[#This Row],[Tot Mas]]/TblConstr[[#This Row],[Land (2)]]))</f>
        <v>0</v>
      </c>
      <c r="Z60" s="340" t="n">
        <f aca="false">keep_cap*(1-EXP(-TblImps[[#This Row],[Σ Keep]]/(keep_param*(OFFSET(TblImps[[#This Row],[Land]],1,0)-OFFSET(TblExplore[[#This Row],[Land Bonus]],1,0)*20)+15000)))*(1+(mason_bonus*TblConstr[[#This Row],[Tot Mas]]/TblConstr[[#This Row],[Land (2)]]))</f>
        <v>0</v>
      </c>
      <c r="AA60" s="340" t="n">
        <f aca="false">harbor_towers_cap*(1-EXP(-TblImps[[#This Row],[Σ Towers]]/(towers_param*(OFFSET(TblImps[[#This Row],[Land]],1,0)-OFFSET(TblExplore[[#This Row],[Land Bonus]],1,0)*20)+15000)))*(1+(mason_bonus*TblConstr[[#This Row],[Tot Mas]]/TblConstr[[#This Row],[Land (2)]]))</f>
        <v>0</v>
      </c>
      <c r="AB60" s="340" t="n">
        <f aca="false">walls_forges_cap*(1-EXP(-TblImps[[#This Row],[Σ Forges]]/(walls_forges_param*(OFFSET(TblImps[[#This Row],[Land]],1,0)-OFFSET(TblExplore[[#This Row],[Land Bonus]],1,0)*20)+15000)))*(1+(mason_bonus*TblConstr[[#This Row],[Tot Mas]]/TblConstr[[#This Row],[Land (2)]]))</f>
        <v>0</v>
      </c>
      <c r="AC60" s="340" t="n">
        <f aca="false">walls_forges_cap*(1-EXP(-TblImps[[#This Row],[Σ Walls]]/(walls_forges_param*(OFFSET(TblImps[[#This Row],[Land]],1,0)-OFFSET(TblExplore[[#This Row],[Land Bonus]],1,0)*20)+15000)))*(1+(mason_bonus*TblConstr[[#This Row],[Tot Mas]]/TblConstr[[#This Row],[Land (2)]]))</f>
        <v>0</v>
      </c>
      <c r="AD60" s="340" t="n">
        <f aca="false">harbor_towers_cap*(1-EXP(-TblImps[[#This Row],[Σ Irrigation]]/(harbor_towers_param*(OFFSET(TblImps[[#This Row],[Land]],1,0)-OFFSET(TblExplore[[#This Row],[Land Bonus]],1,0)*20)+15000)))*(1+(mason_bonus*TblConstr[[#This Row],[Tot Mas]]/TblConstr[[#This Row],[Land (2)]]))</f>
        <v>0</v>
      </c>
      <c r="AE60" s="132"/>
      <c r="AF60" s="33" t="n">
        <f aca="false">(1+Overview!$I$28)*SUM(TblImps[[#This Row],[P2]:[G2]])+OFFSET(TblImps[[#This Row],[Σ Science]],-1,0)</f>
        <v>0</v>
      </c>
      <c r="AG60" s="33" t="n">
        <f aca="false">(1+Overview!$I$28)*SUM(TblImps[[#This Row],[P3]:[G3]])+OFFSET(TblImps[[#This Row],[Σ Keep]],-1,0)</f>
        <v>0</v>
      </c>
      <c r="AH60" s="33" t="n">
        <f aca="false">(1+Overview!$I$28 + tech_7_1*TblTech[[#This Row],[7-1]])*SUM(TblImps[[#This Row],[P4]:[G4]])+OFFSET(TblImps[[#This Row],[Σ Towers]],-1,0)</f>
        <v>0</v>
      </c>
      <c r="AI60" s="33" t="n">
        <f aca="false">(1+Overview!$I$28)*SUM(TblImps[[#This Row],[P5]:[G5]])+OFFSET(TblImps[[#This Row],[Σ Forges]],-1,0)</f>
        <v>0</v>
      </c>
      <c r="AJ60" s="33" t="n">
        <f aca="false">(1+Overview!$I$28)*SUM(TblImps[[#This Row],[P6]:[G6]])+OFFSET(TblImps[[#This Row],[Σ Walls]],-1,0)</f>
        <v>0</v>
      </c>
      <c r="AK60" s="33" t="n">
        <f aca="false">(1+Overview!$I$28 + tech_7_1*TblTech[[#This Row],[7-1]])*SUM(TblImps[[#This Row],[P7]:[G7]])+OFFSET(TblImps[[#This Row],[Σ Irrigation]],-1,0)</f>
        <v>0</v>
      </c>
      <c r="AL60" s="132"/>
      <c r="AM60" s="26" t="n">
        <f aca="false">IF(AND(TblImps[[#This Row],[Resource]]=AM$2,TblImps[[#This Row],[Part]]&lt;&gt;""),TblImps[[#This Row],[Amount]]) + IF(AND(TblImps[[#This Row],[Resource 2]]=AM$2,TblImps[[#This Row],[Part 2]]&lt;&gt;""),TblImps[[#This Row],[Amount 2]]) + IF(AND(TblImps[[#This Row],[Resource 3]]=AM$2,TblImps[[#This Row],[Part 3]]&lt;&gt;""),TblImps[[#This Row],[Amount 3]])</f>
        <v>0</v>
      </c>
      <c r="AN60" s="26" t="n">
        <f aca="false">IF(AND(TblImps[[#This Row],[Resource]]=AN$2,TblImps[[#This Row],[Part]]&lt;&gt;""),TblImps[[#This Row],[Amount]]) + IF(AND(TblImps[[#This Row],[Resource 2]]=AN$2,TblImps[[#This Row],[Part 2]]&lt;&gt;""),TblImps[[#This Row],[Amount 2]]) + IF(AND(TblImps[[#This Row],[Resource 3]]=AN$2,TblImps[[#This Row],[Part 3]]&lt;&gt;""),TblImps[[#This Row],[Amount 3]])</f>
        <v>0</v>
      </c>
      <c r="AO60" s="26" t="n">
        <f aca="false">IF(AND(TblImps[[#This Row],[Resource]]=AO$2,TblImps[[#This Row],[Part]]&lt;&gt;""),TblImps[[#This Row],[Amount]]) + IF(AND(TblImps[[#This Row],[Resource 2]]=AO$2,TblImps[[#This Row],[Part 2]]&lt;&gt;""),TblImps[[#This Row],[Amount 2]]) + IF(AND(TblImps[[#This Row],[Resource 3]]=AO$2,TblImps[[#This Row],[Part 3]]&lt;&gt;""),TblImps[[#This Row],[Amount 3]])</f>
        <v>0</v>
      </c>
      <c r="AP60" s="26" t="n">
        <f aca="false">IF(AND(TblImps[[#This Row],[Resource]]=AP$2,TblImps[[#This Row],[Part]]&lt;&gt;""),TblImps[[#This Row],[Amount]]) + IF(AND(TblImps[[#This Row],[Resource 2]]=AP$2,TblImps[[#This Row],[Part 2]]&lt;&gt;""),TblImps[[#This Row],[Amount 2]]) + IF(AND(TblImps[[#This Row],[Resource 3]]=AP$2,TblImps[[#This Row],[Part 3]]&lt;&gt;""),TblImps[[#This Row],[Amount 3]])</f>
        <v>0</v>
      </c>
      <c r="AQ60" s="132"/>
      <c r="AR6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32"/>
      <c r="AW6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32"/>
      <c r="BB6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32"/>
      <c r="BG6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32"/>
      <c r="BL6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32"/>
      <c r="BQ6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32"/>
      <c r="BV60"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0" s="33" t="n">
        <f aca="false">TblImps[[#This Row],[Login]]</f>
        <v>1</v>
      </c>
      <c r="BX60" s="128"/>
      <c r="BY60" s="347" t="n">
        <f aca="false">OFFSET(TblImps[[#This Row],[Real time]],-1,0)+1/24</f>
        <v>45432.0833333333</v>
      </c>
      <c r="BZ60" s="348" t="n">
        <f aca="false">OFFSET(TblImps[[#This Row],[Servertime]],-1,0)+1/24</f>
        <v>45432.3333333333</v>
      </c>
      <c r="CA60" s="26"/>
      <c r="CB60" s="346"/>
      <c r="CC60" s="346"/>
    </row>
    <row r="61" customFormat="false" ht="12.75" hidden="false" customHeight="false" outlineLevel="0" collapsed="false">
      <c r="A61" s="181" t="n">
        <f aca="false">TblConstr[[#This Row],[Land]]</f>
        <v>700</v>
      </c>
      <c r="B61" s="132"/>
      <c r="C61" s="69" t="n">
        <f aca="false">TblProd[[#This Row],[Platinum]]</f>
        <v>648776</v>
      </c>
      <c r="D61" s="69" t="n">
        <f aca="false">TblProd[[#This Row],[Lumber]]</f>
        <v>7000</v>
      </c>
      <c r="E61" s="69" t="n">
        <f aca="false">TblProd[[#This Row],[Ore]]</f>
        <v>0</v>
      </c>
      <c r="F61" s="69" t="n">
        <f aca="false">TblProd[[#This Row],[Gems]]</f>
        <v>0</v>
      </c>
      <c r="G61" s="146"/>
      <c r="H61" s="69" t="n">
        <f aca="false">TblMili[[#This Row],[Draftees]]</f>
        <v>1412</v>
      </c>
      <c r="I61" s="130" t="n">
        <f aca="false">TblPop[[#This Row],[Employment]]</f>
        <v>1</v>
      </c>
      <c r="J61" s="130" t="n">
        <f aca="false">TblPop[[#This Row],[Total]]/TblPop[[#This Row],[Net max]]</f>
        <v>1</v>
      </c>
      <c r="K61" s="336" t="n">
        <f aca="false">TblRezone[[#This Row],[Hour]]</f>
        <v>58</v>
      </c>
      <c r="L61" s="337" t="n">
        <f aca="false">TblImps[[#This Row],[Real time]]</f>
        <v>45432.125</v>
      </c>
      <c r="M61" s="33" t="n">
        <f aca="false">IF(ISERROR(TblImps[[#This Row],[algorithm]]),0,TblImps[[#This Row],[algorithm]]*1)</f>
        <v>1</v>
      </c>
      <c r="N61" s="69" t="n">
        <f aca="false">TblImps[[#This Row],[Land]]</f>
        <v>700</v>
      </c>
      <c r="O61" s="338" t="s">
        <v>97</v>
      </c>
      <c r="P61" s="339"/>
      <c r="Q61" s="338" t="s">
        <v>734</v>
      </c>
      <c r="R61" s="338" t="s">
        <v>93</v>
      </c>
      <c r="S61" s="339"/>
      <c r="T61" s="338" t="s">
        <v>734</v>
      </c>
      <c r="U61" s="338" t="s">
        <v>35</v>
      </c>
      <c r="V61" s="339"/>
      <c r="W61" s="338" t="s">
        <v>734</v>
      </c>
      <c r="X61" s="132"/>
      <c r="Y61" s="340" t="n">
        <f aca="false">science_cap*(1-EXP(-TblImps[[#This Row],[Σ Science]]/(science_param*(OFFSET(TblImps[[#This Row],[Land]],1,0)-OFFSET(TblExplore[[#This Row],[Land Bonus]],1,0)*20)+15000)))*(1+(mason_bonus*TblConstr[[#This Row],[Tot Mas]]/TblConstr[[#This Row],[Land (2)]]))</f>
        <v>0</v>
      </c>
      <c r="Z61" s="340" t="n">
        <f aca="false">keep_cap*(1-EXP(-TblImps[[#This Row],[Σ Keep]]/(keep_param*(OFFSET(TblImps[[#This Row],[Land]],1,0)-OFFSET(TblExplore[[#This Row],[Land Bonus]],1,0)*20)+15000)))*(1+(mason_bonus*TblConstr[[#This Row],[Tot Mas]]/TblConstr[[#This Row],[Land (2)]]))</f>
        <v>0</v>
      </c>
      <c r="AA61" s="340" t="n">
        <f aca="false">harbor_towers_cap*(1-EXP(-TblImps[[#This Row],[Σ Towers]]/(towers_param*(OFFSET(TblImps[[#This Row],[Land]],1,0)-OFFSET(TblExplore[[#This Row],[Land Bonus]],1,0)*20)+15000)))*(1+(mason_bonus*TblConstr[[#This Row],[Tot Mas]]/TblConstr[[#This Row],[Land (2)]]))</f>
        <v>0</v>
      </c>
      <c r="AB61" s="340" t="n">
        <f aca="false">walls_forges_cap*(1-EXP(-TblImps[[#This Row],[Σ Forges]]/(walls_forges_param*(OFFSET(TblImps[[#This Row],[Land]],1,0)-OFFSET(TblExplore[[#This Row],[Land Bonus]],1,0)*20)+15000)))*(1+(mason_bonus*TblConstr[[#This Row],[Tot Mas]]/TblConstr[[#This Row],[Land (2)]]))</f>
        <v>0</v>
      </c>
      <c r="AC61" s="340" t="n">
        <f aca="false">walls_forges_cap*(1-EXP(-TblImps[[#This Row],[Σ Walls]]/(walls_forges_param*(OFFSET(TblImps[[#This Row],[Land]],1,0)-OFFSET(TblExplore[[#This Row],[Land Bonus]],1,0)*20)+15000)))*(1+(mason_bonus*TblConstr[[#This Row],[Tot Mas]]/TblConstr[[#This Row],[Land (2)]]))</f>
        <v>0</v>
      </c>
      <c r="AD61" s="340" t="n">
        <f aca="false">harbor_towers_cap*(1-EXP(-TblImps[[#This Row],[Σ Irrigation]]/(harbor_towers_param*(OFFSET(TblImps[[#This Row],[Land]],1,0)-OFFSET(TblExplore[[#This Row],[Land Bonus]],1,0)*20)+15000)))*(1+(mason_bonus*TblConstr[[#This Row],[Tot Mas]]/TblConstr[[#This Row],[Land (2)]]))</f>
        <v>0</v>
      </c>
      <c r="AE61" s="132"/>
      <c r="AF61" s="33" t="n">
        <f aca="false">(1+Overview!$I$28)*SUM(TblImps[[#This Row],[P2]:[G2]])+OFFSET(TblImps[[#This Row],[Σ Science]],-1,0)</f>
        <v>0</v>
      </c>
      <c r="AG61" s="33" t="n">
        <f aca="false">(1+Overview!$I$28)*SUM(TblImps[[#This Row],[P3]:[G3]])+OFFSET(TblImps[[#This Row],[Σ Keep]],-1,0)</f>
        <v>0</v>
      </c>
      <c r="AH61" s="33" t="n">
        <f aca="false">(1+Overview!$I$28 + tech_7_1*TblTech[[#This Row],[7-1]])*SUM(TblImps[[#This Row],[P4]:[G4]])+OFFSET(TblImps[[#This Row],[Σ Towers]],-1,0)</f>
        <v>0</v>
      </c>
      <c r="AI61" s="33" t="n">
        <f aca="false">(1+Overview!$I$28)*SUM(TblImps[[#This Row],[P5]:[G5]])+OFFSET(TblImps[[#This Row],[Σ Forges]],-1,0)</f>
        <v>0</v>
      </c>
      <c r="AJ61" s="33" t="n">
        <f aca="false">(1+Overview!$I$28)*SUM(TblImps[[#This Row],[P6]:[G6]])+OFFSET(TblImps[[#This Row],[Σ Walls]],-1,0)</f>
        <v>0</v>
      </c>
      <c r="AK61" s="33" t="n">
        <f aca="false">(1+Overview!$I$28 + tech_7_1*TblTech[[#This Row],[7-1]])*SUM(TblImps[[#This Row],[P7]:[G7]])+OFFSET(TblImps[[#This Row],[Σ Irrigation]],-1,0)</f>
        <v>0</v>
      </c>
      <c r="AL61" s="132"/>
      <c r="AM61" s="26" t="n">
        <f aca="false">IF(AND(TblImps[[#This Row],[Resource]]=AM$2,TblImps[[#This Row],[Part]]&lt;&gt;""),TblImps[[#This Row],[Amount]]) + IF(AND(TblImps[[#This Row],[Resource 2]]=AM$2,TblImps[[#This Row],[Part 2]]&lt;&gt;""),TblImps[[#This Row],[Amount 2]]) + IF(AND(TblImps[[#This Row],[Resource 3]]=AM$2,TblImps[[#This Row],[Part 3]]&lt;&gt;""),TblImps[[#This Row],[Amount 3]])</f>
        <v>0</v>
      </c>
      <c r="AN61" s="26" t="n">
        <f aca="false">IF(AND(TblImps[[#This Row],[Resource]]=AN$2,TblImps[[#This Row],[Part]]&lt;&gt;""),TblImps[[#This Row],[Amount]]) + IF(AND(TblImps[[#This Row],[Resource 2]]=AN$2,TblImps[[#This Row],[Part 2]]&lt;&gt;""),TblImps[[#This Row],[Amount 2]]) + IF(AND(TblImps[[#This Row],[Resource 3]]=AN$2,TblImps[[#This Row],[Part 3]]&lt;&gt;""),TblImps[[#This Row],[Amount 3]])</f>
        <v>0</v>
      </c>
      <c r="AO61" s="26" t="n">
        <f aca="false">IF(AND(TblImps[[#This Row],[Resource]]=AO$2,TblImps[[#This Row],[Part]]&lt;&gt;""),TblImps[[#This Row],[Amount]]) + IF(AND(TblImps[[#This Row],[Resource 2]]=AO$2,TblImps[[#This Row],[Part 2]]&lt;&gt;""),TblImps[[#This Row],[Amount 2]]) + IF(AND(TblImps[[#This Row],[Resource 3]]=AO$2,TblImps[[#This Row],[Part 3]]&lt;&gt;""),TblImps[[#This Row],[Amount 3]])</f>
        <v>0</v>
      </c>
      <c r="AP61" s="26" t="n">
        <f aca="false">IF(AND(TblImps[[#This Row],[Resource]]=AP$2,TblImps[[#This Row],[Part]]&lt;&gt;""),TblImps[[#This Row],[Amount]]) + IF(AND(TblImps[[#This Row],[Resource 2]]=AP$2,TblImps[[#This Row],[Part 2]]&lt;&gt;""),TblImps[[#This Row],[Amount 2]]) + IF(AND(TblImps[[#This Row],[Resource 3]]=AP$2,TblImps[[#This Row],[Part 3]]&lt;&gt;""),TblImps[[#This Row],[Amount 3]])</f>
        <v>0</v>
      </c>
      <c r="AQ61" s="132"/>
      <c r="AR6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32"/>
      <c r="AW6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32"/>
      <c r="BB6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32"/>
      <c r="BG6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32"/>
      <c r="BL6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32"/>
      <c r="BQ6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32"/>
      <c r="BV61"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1" s="33" t="n">
        <f aca="false">TblImps[[#This Row],[Login]]</f>
        <v>1</v>
      </c>
      <c r="BX61" s="128"/>
      <c r="BY61" s="347" t="n">
        <f aca="false">OFFSET(TblImps[[#This Row],[Real time]],-1,0)+1/24</f>
        <v>45432.125</v>
      </c>
      <c r="BZ61" s="348" t="n">
        <f aca="false">OFFSET(TblImps[[#This Row],[Servertime]],-1,0)+1/24</f>
        <v>45432.375</v>
      </c>
      <c r="CA61" s="26"/>
      <c r="CB61" s="346"/>
      <c r="CC61" s="346"/>
    </row>
    <row r="62" customFormat="false" ht="12.75" hidden="false" customHeight="false" outlineLevel="0" collapsed="false">
      <c r="A62" s="181" t="n">
        <f aca="false">TblConstr[[#This Row],[Land]]</f>
        <v>700</v>
      </c>
      <c r="B62" s="132"/>
      <c r="C62" s="69" t="n">
        <f aca="false">TblProd[[#This Row],[Platinum]]</f>
        <v>694619</v>
      </c>
      <c r="D62" s="69" t="n">
        <f aca="false">TblProd[[#This Row],[Lumber]]</f>
        <v>7938</v>
      </c>
      <c r="E62" s="69" t="n">
        <f aca="false">TblProd[[#This Row],[Ore]]</f>
        <v>0</v>
      </c>
      <c r="F62" s="69" t="n">
        <f aca="false">TblProd[[#This Row],[Gems]]</f>
        <v>0</v>
      </c>
      <c r="G62" s="146"/>
      <c r="H62" s="69" t="n">
        <f aca="false">TblMili[[#This Row],[Draftees]]</f>
        <v>1511</v>
      </c>
      <c r="I62" s="130" t="n">
        <f aca="false">TblPop[[#This Row],[Employment]]</f>
        <v>1</v>
      </c>
      <c r="J62" s="130" t="n">
        <f aca="false">TblPop[[#This Row],[Total]]/TblPop[[#This Row],[Net max]]</f>
        <v>1</v>
      </c>
      <c r="K62" s="336" t="n">
        <f aca="false">TblRezone[[#This Row],[Hour]]</f>
        <v>59</v>
      </c>
      <c r="L62" s="337" t="n">
        <f aca="false">TblImps[[#This Row],[Real time]]</f>
        <v>45432.1666666667</v>
      </c>
      <c r="M62" s="33" t="n">
        <f aca="false">IF(ISERROR(TblImps[[#This Row],[algorithm]]),0,TblImps[[#This Row],[algorithm]]*1)</f>
        <v>1</v>
      </c>
      <c r="N62" s="69" t="n">
        <f aca="false">TblImps[[#This Row],[Land]]</f>
        <v>700</v>
      </c>
      <c r="O62" s="338" t="s">
        <v>97</v>
      </c>
      <c r="P62" s="339"/>
      <c r="Q62" s="338" t="s">
        <v>734</v>
      </c>
      <c r="R62" s="338" t="s">
        <v>93</v>
      </c>
      <c r="S62" s="339"/>
      <c r="T62" s="338" t="s">
        <v>734</v>
      </c>
      <c r="U62" s="338" t="s">
        <v>35</v>
      </c>
      <c r="V62" s="339"/>
      <c r="W62" s="338" t="s">
        <v>734</v>
      </c>
      <c r="X62" s="132"/>
      <c r="Y62" s="340" t="n">
        <f aca="false">science_cap*(1-EXP(-TblImps[[#This Row],[Σ Science]]/(science_param*(OFFSET(TblImps[[#This Row],[Land]],1,0)-OFFSET(TblExplore[[#This Row],[Land Bonus]],1,0)*20)+15000)))*(1+(mason_bonus*TblConstr[[#This Row],[Tot Mas]]/TblConstr[[#This Row],[Land (2)]]))</f>
        <v>0</v>
      </c>
      <c r="Z62" s="340" t="n">
        <f aca="false">keep_cap*(1-EXP(-TblImps[[#This Row],[Σ Keep]]/(keep_param*(OFFSET(TblImps[[#This Row],[Land]],1,0)-OFFSET(TblExplore[[#This Row],[Land Bonus]],1,0)*20)+15000)))*(1+(mason_bonus*TblConstr[[#This Row],[Tot Mas]]/TblConstr[[#This Row],[Land (2)]]))</f>
        <v>0</v>
      </c>
      <c r="AA62" s="340" t="n">
        <f aca="false">harbor_towers_cap*(1-EXP(-TblImps[[#This Row],[Σ Towers]]/(towers_param*(OFFSET(TblImps[[#This Row],[Land]],1,0)-OFFSET(TblExplore[[#This Row],[Land Bonus]],1,0)*20)+15000)))*(1+(mason_bonus*TblConstr[[#This Row],[Tot Mas]]/TblConstr[[#This Row],[Land (2)]]))</f>
        <v>0</v>
      </c>
      <c r="AB62" s="340" t="n">
        <f aca="false">walls_forges_cap*(1-EXP(-TblImps[[#This Row],[Σ Forges]]/(walls_forges_param*(OFFSET(TblImps[[#This Row],[Land]],1,0)-OFFSET(TblExplore[[#This Row],[Land Bonus]],1,0)*20)+15000)))*(1+(mason_bonus*TblConstr[[#This Row],[Tot Mas]]/TblConstr[[#This Row],[Land (2)]]))</f>
        <v>0</v>
      </c>
      <c r="AC62" s="340" t="n">
        <f aca="false">walls_forges_cap*(1-EXP(-TblImps[[#This Row],[Σ Walls]]/(walls_forges_param*(OFFSET(TblImps[[#This Row],[Land]],1,0)-OFFSET(TblExplore[[#This Row],[Land Bonus]],1,0)*20)+15000)))*(1+(mason_bonus*TblConstr[[#This Row],[Tot Mas]]/TblConstr[[#This Row],[Land (2)]]))</f>
        <v>0</v>
      </c>
      <c r="AD62" s="340" t="n">
        <f aca="false">harbor_towers_cap*(1-EXP(-TblImps[[#This Row],[Σ Irrigation]]/(harbor_towers_param*(OFFSET(TblImps[[#This Row],[Land]],1,0)-OFFSET(TblExplore[[#This Row],[Land Bonus]],1,0)*20)+15000)))*(1+(mason_bonus*TblConstr[[#This Row],[Tot Mas]]/TblConstr[[#This Row],[Land (2)]]))</f>
        <v>0</v>
      </c>
      <c r="AE62" s="132"/>
      <c r="AF62" s="33" t="n">
        <f aca="false">(1+Overview!$I$28)*SUM(TblImps[[#This Row],[P2]:[G2]])+OFFSET(TblImps[[#This Row],[Σ Science]],-1,0)</f>
        <v>0</v>
      </c>
      <c r="AG62" s="33" t="n">
        <f aca="false">(1+Overview!$I$28)*SUM(TblImps[[#This Row],[P3]:[G3]])+OFFSET(TblImps[[#This Row],[Σ Keep]],-1,0)</f>
        <v>0</v>
      </c>
      <c r="AH62" s="33" t="n">
        <f aca="false">(1+Overview!$I$28 + tech_7_1*TblTech[[#This Row],[7-1]])*SUM(TblImps[[#This Row],[P4]:[G4]])+OFFSET(TblImps[[#This Row],[Σ Towers]],-1,0)</f>
        <v>0</v>
      </c>
      <c r="AI62" s="33" t="n">
        <f aca="false">(1+Overview!$I$28)*SUM(TblImps[[#This Row],[P5]:[G5]])+OFFSET(TblImps[[#This Row],[Σ Forges]],-1,0)</f>
        <v>0</v>
      </c>
      <c r="AJ62" s="33" t="n">
        <f aca="false">(1+Overview!$I$28)*SUM(TblImps[[#This Row],[P6]:[G6]])+OFFSET(TblImps[[#This Row],[Σ Walls]],-1,0)</f>
        <v>0</v>
      </c>
      <c r="AK62" s="33" t="n">
        <f aca="false">(1+Overview!$I$28 + tech_7_1*TblTech[[#This Row],[7-1]])*SUM(TblImps[[#This Row],[P7]:[G7]])+OFFSET(TblImps[[#This Row],[Σ Irrigation]],-1,0)</f>
        <v>0</v>
      </c>
      <c r="AL62" s="132"/>
      <c r="AM62" s="26" t="n">
        <f aca="false">IF(AND(TblImps[[#This Row],[Resource]]=AM$2,TblImps[[#This Row],[Part]]&lt;&gt;""),TblImps[[#This Row],[Amount]]) + IF(AND(TblImps[[#This Row],[Resource 2]]=AM$2,TblImps[[#This Row],[Part 2]]&lt;&gt;""),TblImps[[#This Row],[Amount 2]]) + IF(AND(TblImps[[#This Row],[Resource 3]]=AM$2,TblImps[[#This Row],[Part 3]]&lt;&gt;""),TblImps[[#This Row],[Amount 3]])</f>
        <v>0</v>
      </c>
      <c r="AN62" s="26" t="n">
        <f aca="false">IF(AND(TblImps[[#This Row],[Resource]]=AN$2,TblImps[[#This Row],[Part]]&lt;&gt;""),TblImps[[#This Row],[Amount]]) + IF(AND(TblImps[[#This Row],[Resource 2]]=AN$2,TblImps[[#This Row],[Part 2]]&lt;&gt;""),TblImps[[#This Row],[Amount 2]]) + IF(AND(TblImps[[#This Row],[Resource 3]]=AN$2,TblImps[[#This Row],[Part 3]]&lt;&gt;""),TblImps[[#This Row],[Amount 3]])</f>
        <v>0</v>
      </c>
      <c r="AO62" s="26" t="n">
        <f aca="false">IF(AND(TblImps[[#This Row],[Resource]]=AO$2,TblImps[[#This Row],[Part]]&lt;&gt;""),TblImps[[#This Row],[Amount]]) + IF(AND(TblImps[[#This Row],[Resource 2]]=AO$2,TblImps[[#This Row],[Part 2]]&lt;&gt;""),TblImps[[#This Row],[Amount 2]]) + IF(AND(TblImps[[#This Row],[Resource 3]]=AO$2,TblImps[[#This Row],[Part 3]]&lt;&gt;""),TblImps[[#This Row],[Amount 3]])</f>
        <v>0</v>
      </c>
      <c r="AP62" s="26" t="n">
        <f aca="false">IF(AND(TblImps[[#This Row],[Resource]]=AP$2,TblImps[[#This Row],[Part]]&lt;&gt;""),TblImps[[#This Row],[Amount]]) + IF(AND(TblImps[[#This Row],[Resource 2]]=AP$2,TblImps[[#This Row],[Part 2]]&lt;&gt;""),TblImps[[#This Row],[Amount 2]]) + IF(AND(TblImps[[#This Row],[Resource 3]]=AP$2,TblImps[[#This Row],[Part 3]]&lt;&gt;""),TblImps[[#This Row],[Amount 3]])</f>
        <v>0</v>
      </c>
      <c r="AQ62" s="132"/>
      <c r="AR6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32"/>
      <c r="AW6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32"/>
      <c r="BB6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32"/>
      <c r="BG6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32"/>
      <c r="BL6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32"/>
      <c r="BQ6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32"/>
      <c r="BV62"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2" s="33" t="n">
        <f aca="false">TblImps[[#This Row],[Login]]</f>
        <v>1</v>
      </c>
      <c r="BX62" s="128"/>
      <c r="BY62" s="347" t="n">
        <f aca="false">OFFSET(TblImps[[#This Row],[Real time]],-1,0)+1/24</f>
        <v>45432.1666666667</v>
      </c>
      <c r="BZ62" s="348" t="n">
        <f aca="false">OFFSET(TblImps[[#This Row],[Servertime]],-1,0)+1/24</f>
        <v>45432.4166666667</v>
      </c>
      <c r="CA62" s="26"/>
      <c r="CB62" s="346"/>
      <c r="CC62" s="346"/>
    </row>
    <row r="63" customFormat="false" ht="12.75" hidden="false" customHeight="false" outlineLevel="0" collapsed="false">
      <c r="A63" s="181" t="n">
        <f aca="false">TblConstr[[#This Row],[Land]]</f>
        <v>700</v>
      </c>
      <c r="B63" s="132"/>
      <c r="C63" s="69" t="n">
        <f aca="false">TblProd[[#This Row],[Platinum]]</f>
        <v>740222</v>
      </c>
      <c r="D63" s="69" t="n">
        <f aca="false">TblProd[[#This Row],[Lumber]]</f>
        <v>8866</v>
      </c>
      <c r="E63" s="69" t="n">
        <f aca="false">TblProd[[#This Row],[Ore]]</f>
        <v>0</v>
      </c>
      <c r="F63" s="69" t="n">
        <f aca="false">TblProd[[#This Row],[Gems]]</f>
        <v>0</v>
      </c>
      <c r="G63" s="146"/>
      <c r="H63" s="69" t="n">
        <f aca="false">TblMili[[#This Row],[Draftees]]</f>
        <v>1609</v>
      </c>
      <c r="I63" s="130" t="n">
        <f aca="false">TblPop[[#This Row],[Employment]]</f>
        <v>1</v>
      </c>
      <c r="J63" s="130" t="n">
        <f aca="false">TblPop[[#This Row],[Total]]/TblPop[[#This Row],[Net max]]</f>
        <v>1</v>
      </c>
      <c r="K63" s="336" t="n">
        <f aca="false">TblRezone[[#This Row],[Hour]]</f>
        <v>60</v>
      </c>
      <c r="L63" s="337" t="n">
        <f aca="false">TblImps[[#This Row],[Real time]]</f>
        <v>45432.2083333333</v>
      </c>
      <c r="M63" s="33" t="n">
        <f aca="false">IF(ISERROR(TblImps[[#This Row],[algorithm]]),0,TblImps[[#This Row],[algorithm]]*1)</f>
        <v>1</v>
      </c>
      <c r="N63" s="69" t="n">
        <f aca="false">TblImps[[#This Row],[Land]]</f>
        <v>700</v>
      </c>
      <c r="O63" s="338" t="s">
        <v>97</v>
      </c>
      <c r="P63" s="339"/>
      <c r="Q63" s="338" t="s">
        <v>734</v>
      </c>
      <c r="R63" s="338" t="s">
        <v>93</v>
      </c>
      <c r="S63" s="339"/>
      <c r="T63" s="338" t="s">
        <v>734</v>
      </c>
      <c r="U63" s="338" t="s">
        <v>35</v>
      </c>
      <c r="V63" s="339"/>
      <c r="W63" s="338" t="s">
        <v>734</v>
      </c>
      <c r="X63" s="132"/>
      <c r="Y63" s="340" t="n">
        <f aca="false">science_cap*(1-EXP(-TblImps[[#This Row],[Σ Science]]/(science_param*(OFFSET(TblImps[[#This Row],[Land]],1,0)-OFFSET(TblExplore[[#This Row],[Land Bonus]],1,0)*20)+15000)))*(1+(mason_bonus*TblConstr[[#This Row],[Tot Mas]]/TblConstr[[#This Row],[Land (2)]]))</f>
        <v>0</v>
      </c>
      <c r="Z63" s="340" t="n">
        <f aca="false">keep_cap*(1-EXP(-TblImps[[#This Row],[Σ Keep]]/(keep_param*(OFFSET(TblImps[[#This Row],[Land]],1,0)-OFFSET(TblExplore[[#This Row],[Land Bonus]],1,0)*20)+15000)))*(1+(mason_bonus*TblConstr[[#This Row],[Tot Mas]]/TblConstr[[#This Row],[Land (2)]]))</f>
        <v>0</v>
      </c>
      <c r="AA63" s="340" t="n">
        <f aca="false">harbor_towers_cap*(1-EXP(-TblImps[[#This Row],[Σ Towers]]/(towers_param*(OFFSET(TblImps[[#This Row],[Land]],1,0)-OFFSET(TblExplore[[#This Row],[Land Bonus]],1,0)*20)+15000)))*(1+(mason_bonus*TblConstr[[#This Row],[Tot Mas]]/TblConstr[[#This Row],[Land (2)]]))</f>
        <v>0</v>
      </c>
      <c r="AB63" s="340" t="n">
        <f aca="false">walls_forges_cap*(1-EXP(-TblImps[[#This Row],[Σ Forges]]/(walls_forges_param*(OFFSET(TblImps[[#This Row],[Land]],1,0)-OFFSET(TblExplore[[#This Row],[Land Bonus]],1,0)*20)+15000)))*(1+(mason_bonus*TblConstr[[#This Row],[Tot Mas]]/TblConstr[[#This Row],[Land (2)]]))</f>
        <v>0</v>
      </c>
      <c r="AC63" s="340" t="n">
        <f aca="false">walls_forges_cap*(1-EXP(-TblImps[[#This Row],[Σ Walls]]/(walls_forges_param*(OFFSET(TblImps[[#This Row],[Land]],1,0)-OFFSET(TblExplore[[#This Row],[Land Bonus]],1,0)*20)+15000)))*(1+(mason_bonus*TblConstr[[#This Row],[Tot Mas]]/TblConstr[[#This Row],[Land (2)]]))</f>
        <v>0</v>
      </c>
      <c r="AD63" s="340" t="n">
        <f aca="false">harbor_towers_cap*(1-EXP(-TblImps[[#This Row],[Σ Irrigation]]/(harbor_towers_param*(OFFSET(TblImps[[#This Row],[Land]],1,0)-OFFSET(TblExplore[[#This Row],[Land Bonus]],1,0)*20)+15000)))*(1+(mason_bonus*TblConstr[[#This Row],[Tot Mas]]/TblConstr[[#This Row],[Land (2)]]))</f>
        <v>0</v>
      </c>
      <c r="AE63" s="132"/>
      <c r="AF63" s="33" t="n">
        <f aca="false">(1+Overview!$I$28)*SUM(TblImps[[#This Row],[P2]:[G2]])+OFFSET(TblImps[[#This Row],[Σ Science]],-1,0)</f>
        <v>0</v>
      </c>
      <c r="AG63" s="33" t="n">
        <f aca="false">(1+Overview!$I$28)*SUM(TblImps[[#This Row],[P3]:[G3]])+OFFSET(TblImps[[#This Row],[Σ Keep]],-1,0)</f>
        <v>0</v>
      </c>
      <c r="AH63" s="33" t="n">
        <f aca="false">(1+Overview!$I$28 + tech_7_1*TblTech[[#This Row],[7-1]])*SUM(TblImps[[#This Row],[P4]:[G4]])+OFFSET(TblImps[[#This Row],[Σ Towers]],-1,0)</f>
        <v>0</v>
      </c>
      <c r="AI63" s="33" t="n">
        <f aca="false">(1+Overview!$I$28)*SUM(TblImps[[#This Row],[P5]:[G5]])+OFFSET(TblImps[[#This Row],[Σ Forges]],-1,0)</f>
        <v>0</v>
      </c>
      <c r="AJ63" s="33" t="n">
        <f aca="false">(1+Overview!$I$28)*SUM(TblImps[[#This Row],[P6]:[G6]])+OFFSET(TblImps[[#This Row],[Σ Walls]],-1,0)</f>
        <v>0</v>
      </c>
      <c r="AK63" s="33" t="n">
        <f aca="false">(1+Overview!$I$28 + tech_7_1*TblTech[[#This Row],[7-1]])*SUM(TblImps[[#This Row],[P7]:[G7]])+OFFSET(TblImps[[#This Row],[Σ Irrigation]],-1,0)</f>
        <v>0</v>
      </c>
      <c r="AL63" s="132"/>
      <c r="AM63" s="26" t="n">
        <f aca="false">IF(AND(TblImps[[#This Row],[Resource]]=AM$2,TblImps[[#This Row],[Part]]&lt;&gt;""),TblImps[[#This Row],[Amount]]) + IF(AND(TblImps[[#This Row],[Resource 2]]=AM$2,TblImps[[#This Row],[Part 2]]&lt;&gt;""),TblImps[[#This Row],[Amount 2]]) + IF(AND(TblImps[[#This Row],[Resource 3]]=AM$2,TblImps[[#This Row],[Part 3]]&lt;&gt;""),TblImps[[#This Row],[Amount 3]])</f>
        <v>0</v>
      </c>
      <c r="AN63" s="26" t="n">
        <f aca="false">IF(AND(TblImps[[#This Row],[Resource]]=AN$2,TblImps[[#This Row],[Part]]&lt;&gt;""),TblImps[[#This Row],[Amount]]) + IF(AND(TblImps[[#This Row],[Resource 2]]=AN$2,TblImps[[#This Row],[Part 2]]&lt;&gt;""),TblImps[[#This Row],[Amount 2]]) + IF(AND(TblImps[[#This Row],[Resource 3]]=AN$2,TblImps[[#This Row],[Part 3]]&lt;&gt;""),TblImps[[#This Row],[Amount 3]])</f>
        <v>0</v>
      </c>
      <c r="AO63" s="26" t="n">
        <f aca="false">IF(AND(TblImps[[#This Row],[Resource]]=AO$2,TblImps[[#This Row],[Part]]&lt;&gt;""),TblImps[[#This Row],[Amount]]) + IF(AND(TblImps[[#This Row],[Resource 2]]=AO$2,TblImps[[#This Row],[Part 2]]&lt;&gt;""),TblImps[[#This Row],[Amount 2]]) + IF(AND(TblImps[[#This Row],[Resource 3]]=AO$2,TblImps[[#This Row],[Part 3]]&lt;&gt;""),TblImps[[#This Row],[Amount 3]])</f>
        <v>0</v>
      </c>
      <c r="AP63" s="26" t="n">
        <f aca="false">IF(AND(TblImps[[#This Row],[Resource]]=AP$2,TblImps[[#This Row],[Part]]&lt;&gt;""),TblImps[[#This Row],[Amount]]) + IF(AND(TblImps[[#This Row],[Resource 2]]=AP$2,TblImps[[#This Row],[Part 2]]&lt;&gt;""),TblImps[[#This Row],[Amount 2]]) + IF(AND(TblImps[[#This Row],[Resource 3]]=AP$2,TblImps[[#This Row],[Part 3]]&lt;&gt;""),TblImps[[#This Row],[Amount 3]])</f>
        <v>0</v>
      </c>
      <c r="AQ63" s="132"/>
      <c r="AR6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32"/>
      <c r="AW6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32"/>
      <c r="BB6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32"/>
      <c r="BG6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32"/>
      <c r="BL6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32"/>
      <c r="BQ6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32"/>
      <c r="BV63"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3" s="33" t="n">
        <f aca="false">TblImps[[#This Row],[Login]]</f>
        <v>1</v>
      </c>
      <c r="BX63" s="128"/>
      <c r="BY63" s="347" t="n">
        <f aca="false">OFFSET(TblImps[[#This Row],[Real time]],-1,0)+1/24</f>
        <v>45432.2083333333</v>
      </c>
      <c r="BZ63" s="348" t="n">
        <f aca="false">OFFSET(TblImps[[#This Row],[Servertime]],-1,0)+1/24</f>
        <v>45432.4583333333</v>
      </c>
      <c r="CA63" s="26"/>
      <c r="CB63" s="346"/>
      <c r="CC63" s="346"/>
    </row>
    <row r="64" customFormat="false" ht="12.75" hidden="false" customHeight="false" outlineLevel="0" collapsed="false">
      <c r="A64" s="181" t="n">
        <f aca="false">TblConstr[[#This Row],[Land]]</f>
        <v>700</v>
      </c>
      <c r="B64" s="132"/>
      <c r="C64" s="69" t="n">
        <f aca="false">TblProd[[#This Row],[Platinum]]</f>
        <v>12986</v>
      </c>
      <c r="D64" s="69" t="n">
        <f aca="false">TblProd[[#This Row],[Lumber]]</f>
        <v>3902</v>
      </c>
      <c r="E64" s="69" t="n">
        <f aca="false">TblProd[[#This Row],[Ore]]</f>
        <v>0</v>
      </c>
      <c r="F64" s="69" t="n">
        <f aca="false">TblProd[[#This Row],[Gems]]</f>
        <v>0</v>
      </c>
      <c r="G64" s="146"/>
      <c r="H64" s="69" t="n">
        <f aca="false">TblMili[[#This Row],[Draftees]]</f>
        <v>396</v>
      </c>
      <c r="I64" s="130" t="n">
        <f aca="false">TblPop[[#This Row],[Employment]]</f>
        <v>1</v>
      </c>
      <c r="J64" s="130" t="n">
        <f aca="false">TblPop[[#This Row],[Total]]/TblPop[[#This Row],[Net max]]</f>
        <v>1</v>
      </c>
      <c r="K64" s="336" t="n">
        <f aca="false">TblRezone[[#This Row],[Hour]]</f>
        <v>61</v>
      </c>
      <c r="L64" s="337" t="n">
        <f aca="false">TblImps[[#This Row],[Real time]]</f>
        <v>45432.25</v>
      </c>
      <c r="M64" s="33" t="n">
        <f aca="false">IF(ISERROR(TblImps[[#This Row],[algorithm]]),0,TblImps[[#This Row],[algorithm]]*1)</f>
        <v>1</v>
      </c>
      <c r="N64" s="69" t="n">
        <f aca="false">TblImps[[#This Row],[Land]]</f>
        <v>700</v>
      </c>
      <c r="O64" s="338" t="s">
        <v>97</v>
      </c>
      <c r="P64" s="339"/>
      <c r="Q64" s="338" t="s">
        <v>734</v>
      </c>
      <c r="R64" s="338" t="s">
        <v>93</v>
      </c>
      <c r="S64" s="339"/>
      <c r="T64" s="338" t="s">
        <v>734</v>
      </c>
      <c r="U64" s="338" t="s">
        <v>35</v>
      </c>
      <c r="V64" s="339"/>
      <c r="W64" s="338" t="s">
        <v>734</v>
      </c>
      <c r="X64" s="132"/>
      <c r="Y64" s="340" t="n">
        <f aca="false">science_cap*(1-EXP(-TblImps[[#This Row],[Σ Science]]/(science_param*(OFFSET(TblImps[[#This Row],[Land]],1,0)-OFFSET(TblExplore[[#This Row],[Land Bonus]],1,0)*20)+15000)))*(1+(mason_bonus*TblConstr[[#This Row],[Tot Mas]]/TblConstr[[#This Row],[Land (2)]]))</f>
        <v>0</v>
      </c>
      <c r="Z64" s="340" t="n">
        <f aca="false">keep_cap*(1-EXP(-TblImps[[#This Row],[Σ Keep]]/(keep_param*(OFFSET(TblImps[[#This Row],[Land]],1,0)-OFFSET(TblExplore[[#This Row],[Land Bonus]],1,0)*20)+15000)))*(1+(mason_bonus*TblConstr[[#This Row],[Tot Mas]]/TblConstr[[#This Row],[Land (2)]]))</f>
        <v>0</v>
      </c>
      <c r="AA64" s="340" t="n">
        <f aca="false">harbor_towers_cap*(1-EXP(-TblImps[[#This Row],[Σ Towers]]/(towers_param*(OFFSET(TblImps[[#This Row],[Land]],1,0)-OFFSET(TblExplore[[#This Row],[Land Bonus]],1,0)*20)+15000)))*(1+(mason_bonus*TblConstr[[#This Row],[Tot Mas]]/TblConstr[[#This Row],[Land (2)]]))</f>
        <v>0</v>
      </c>
      <c r="AB64" s="340" t="n">
        <f aca="false">walls_forges_cap*(1-EXP(-TblImps[[#This Row],[Σ Forges]]/(walls_forges_param*(OFFSET(TblImps[[#This Row],[Land]],1,0)-OFFSET(TblExplore[[#This Row],[Land Bonus]],1,0)*20)+15000)))*(1+(mason_bonus*TblConstr[[#This Row],[Tot Mas]]/TblConstr[[#This Row],[Land (2)]]))</f>
        <v>0</v>
      </c>
      <c r="AC64" s="340" t="n">
        <f aca="false">walls_forges_cap*(1-EXP(-TblImps[[#This Row],[Σ Walls]]/(walls_forges_param*(OFFSET(TblImps[[#This Row],[Land]],1,0)-OFFSET(TblExplore[[#This Row],[Land Bonus]],1,0)*20)+15000)))*(1+(mason_bonus*TblConstr[[#This Row],[Tot Mas]]/TblConstr[[#This Row],[Land (2)]]))</f>
        <v>0</v>
      </c>
      <c r="AD64" s="340" t="n">
        <f aca="false">harbor_towers_cap*(1-EXP(-TblImps[[#This Row],[Σ Irrigation]]/(harbor_towers_param*(OFFSET(TblImps[[#This Row],[Land]],1,0)-OFFSET(TblExplore[[#This Row],[Land Bonus]],1,0)*20)+15000)))*(1+(mason_bonus*TblConstr[[#This Row],[Tot Mas]]/TblConstr[[#This Row],[Land (2)]]))</f>
        <v>0</v>
      </c>
      <c r="AE64" s="132"/>
      <c r="AF64" s="33" t="n">
        <f aca="false">(1+Overview!$I$28)*SUM(TblImps[[#This Row],[P2]:[G2]])+OFFSET(TblImps[[#This Row],[Σ Science]],-1,0)</f>
        <v>0</v>
      </c>
      <c r="AG64" s="33" t="n">
        <f aca="false">(1+Overview!$I$28)*SUM(TblImps[[#This Row],[P3]:[G3]])+OFFSET(TblImps[[#This Row],[Σ Keep]],-1,0)</f>
        <v>0</v>
      </c>
      <c r="AH64" s="33" t="n">
        <f aca="false">(1+Overview!$I$28 + tech_7_1*TblTech[[#This Row],[7-1]])*SUM(TblImps[[#This Row],[P4]:[G4]])+OFFSET(TblImps[[#This Row],[Σ Towers]],-1,0)</f>
        <v>0</v>
      </c>
      <c r="AI64" s="33" t="n">
        <f aca="false">(1+Overview!$I$28)*SUM(TblImps[[#This Row],[P5]:[G5]])+OFFSET(TblImps[[#This Row],[Σ Forges]],-1,0)</f>
        <v>0</v>
      </c>
      <c r="AJ64" s="33" t="n">
        <f aca="false">(1+Overview!$I$28)*SUM(TblImps[[#This Row],[P6]:[G6]])+OFFSET(TblImps[[#This Row],[Σ Walls]],-1,0)</f>
        <v>0</v>
      </c>
      <c r="AK64" s="33" t="n">
        <f aca="false">(1+Overview!$I$28 + tech_7_1*TblTech[[#This Row],[7-1]])*SUM(TblImps[[#This Row],[P7]:[G7]])+OFFSET(TblImps[[#This Row],[Σ Irrigation]],-1,0)</f>
        <v>0</v>
      </c>
      <c r="AL64" s="132"/>
      <c r="AM64" s="26" t="n">
        <f aca="false">IF(AND(TblImps[[#This Row],[Resource]]=AM$2,TblImps[[#This Row],[Part]]&lt;&gt;""),TblImps[[#This Row],[Amount]]) + IF(AND(TblImps[[#This Row],[Resource 2]]=AM$2,TblImps[[#This Row],[Part 2]]&lt;&gt;""),TblImps[[#This Row],[Amount 2]]) + IF(AND(TblImps[[#This Row],[Resource 3]]=AM$2,TblImps[[#This Row],[Part 3]]&lt;&gt;""),TblImps[[#This Row],[Amount 3]])</f>
        <v>0</v>
      </c>
      <c r="AN64" s="26" t="n">
        <f aca="false">IF(AND(TblImps[[#This Row],[Resource]]=AN$2,TblImps[[#This Row],[Part]]&lt;&gt;""),TblImps[[#This Row],[Amount]]) + IF(AND(TblImps[[#This Row],[Resource 2]]=AN$2,TblImps[[#This Row],[Part 2]]&lt;&gt;""),TblImps[[#This Row],[Amount 2]]) + IF(AND(TblImps[[#This Row],[Resource 3]]=AN$2,TblImps[[#This Row],[Part 3]]&lt;&gt;""),TblImps[[#This Row],[Amount 3]])</f>
        <v>0</v>
      </c>
      <c r="AO64" s="26" t="n">
        <f aca="false">IF(AND(TblImps[[#This Row],[Resource]]=AO$2,TblImps[[#This Row],[Part]]&lt;&gt;""),TblImps[[#This Row],[Amount]]) + IF(AND(TblImps[[#This Row],[Resource 2]]=AO$2,TblImps[[#This Row],[Part 2]]&lt;&gt;""),TblImps[[#This Row],[Amount 2]]) + IF(AND(TblImps[[#This Row],[Resource 3]]=AO$2,TblImps[[#This Row],[Part 3]]&lt;&gt;""),TblImps[[#This Row],[Amount 3]])</f>
        <v>0</v>
      </c>
      <c r="AP64" s="26" t="n">
        <f aca="false">IF(AND(TblImps[[#This Row],[Resource]]=AP$2,TblImps[[#This Row],[Part]]&lt;&gt;""),TblImps[[#This Row],[Amount]]) + IF(AND(TblImps[[#This Row],[Resource 2]]=AP$2,TblImps[[#This Row],[Part 2]]&lt;&gt;""),TblImps[[#This Row],[Amount 2]]) + IF(AND(TblImps[[#This Row],[Resource 3]]=AP$2,TblImps[[#This Row],[Part 3]]&lt;&gt;""),TblImps[[#This Row],[Amount 3]])</f>
        <v>0</v>
      </c>
      <c r="AQ64" s="132"/>
      <c r="AR6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32"/>
      <c r="AW6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32"/>
      <c r="BB6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32"/>
      <c r="BG6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32"/>
      <c r="BL6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32"/>
      <c r="BQ6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32"/>
      <c r="BV64"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4" s="33" t="n">
        <f aca="false">TblImps[[#This Row],[Login]]</f>
        <v>1</v>
      </c>
      <c r="BX64" s="128"/>
      <c r="BY64" s="347" t="n">
        <f aca="false">OFFSET(TblImps[[#This Row],[Real time]],-1,0)+1/24</f>
        <v>45432.25</v>
      </c>
      <c r="BZ64" s="348" t="n">
        <f aca="false">OFFSET(TblImps[[#This Row],[Servertime]],-1,0)+1/24</f>
        <v>45432.5</v>
      </c>
      <c r="CA64" s="26"/>
      <c r="CB64" s="346"/>
      <c r="CC64" s="346"/>
    </row>
    <row r="65" customFormat="false" ht="12.75" hidden="false" customHeight="false" outlineLevel="0" collapsed="false">
      <c r="A65" s="181" t="n">
        <f aca="false">TblConstr[[#This Row],[Land]]</f>
        <v>700</v>
      </c>
      <c r="B65" s="132"/>
      <c r="C65" s="69" t="n">
        <f aca="false">TblProd[[#This Row],[Platinum]]</f>
        <v>55184</v>
      </c>
      <c r="D65" s="69" t="n">
        <f aca="false">TblProd[[#This Row],[Lumber]]</f>
        <v>4003</v>
      </c>
      <c r="E65" s="69" t="n">
        <f aca="false">TblProd[[#This Row],[Ore]]</f>
        <v>0</v>
      </c>
      <c r="F65" s="69" t="n">
        <f aca="false">TblProd[[#This Row],[Gems]]</f>
        <v>0</v>
      </c>
      <c r="G65" s="146"/>
      <c r="H65" s="69" t="n">
        <f aca="false">TblMili[[#This Row],[Draftees]]</f>
        <v>498</v>
      </c>
      <c r="I65" s="130" t="n">
        <f aca="false">TblPop[[#This Row],[Employment]]</f>
        <v>1</v>
      </c>
      <c r="J65" s="130" t="n">
        <f aca="false">TblPop[[#This Row],[Total]]/TblPop[[#This Row],[Net max]]</f>
        <v>1</v>
      </c>
      <c r="K65" s="336" t="n">
        <f aca="false">TblRezone[[#This Row],[Hour]]</f>
        <v>62</v>
      </c>
      <c r="L65" s="337" t="n">
        <f aca="false">TblImps[[#This Row],[Real time]]</f>
        <v>45432.2916666667</v>
      </c>
      <c r="M65" s="33" t="n">
        <f aca="false">IF(ISERROR(TblImps[[#This Row],[algorithm]]),0,TblImps[[#This Row],[algorithm]]*1)</f>
        <v>1</v>
      </c>
      <c r="N65" s="69" t="n">
        <f aca="false">TblImps[[#This Row],[Land]]</f>
        <v>700</v>
      </c>
      <c r="O65" s="338" t="s">
        <v>97</v>
      </c>
      <c r="P65" s="339"/>
      <c r="Q65" s="338" t="s">
        <v>734</v>
      </c>
      <c r="R65" s="338" t="s">
        <v>93</v>
      </c>
      <c r="S65" s="339"/>
      <c r="T65" s="338" t="s">
        <v>734</v>
      </c>
      <c r="U65" s="338" t="s">
        <v>35</v>
      </c>
      <c r="V65" s="339"/>
      <c r="W65" s="338" t="s">
        <v>734</v>
      </c>
      <c r="X65" s="132"/>
      <c r="Y65" s="340" t="n">
        <f aca="false">science_cap*(1-EXP(-TblImps[[#This Row],[Σ Science]]/(science_param*(OFFSET(TblImps[[#This Row],[Land]],1,0)-OFFSET(TblExplore[[#This Row],[Land Bonus]],1,0)*20)+15000)))*(1+(mason_bonus*TblConstr[[#This Row],[Tot Mas]]/TblConstr[[#This Row],[Land (2)]]))</f>
        <v>0</v>
      </c>
      <c r="Z65" s="340" t="n">
        <f aca="false">keep_cap*(1-EXP(-TblImps[[#This Row],[Σ Keep]]/(keep_param*(OFFSET(TblImps[[#This Row],[Land]],1,0)-OFFSET(TblExplore[[#This Row],[Land Bonus]],1,0)*20)+15000)))*(1+(mason_bonus*TblConstr[[#This Row],[Tot Mas]]/TblConstr[[#This Row],[Land (2)]]))</f>
        <v>0</v>
      </c>
      <c r="AA65" s="340" t="n">
        <f aca="false">harbor_towers_cap*(1-EXP(-TblImps[[#This Row],[Σ Towers]]/(towers_param*(OFFSET(TblImps[[#This Row],[Land]],1,0)-OFFSET(TblExplore[[#This Row],[Land Bonus]],1,0)*20)+15000)))*(1+(mason_bonus*TblConstr[[#This Row],[Tot Mas]]/TblConstr[[#This Row],[Land (2)]]))</f>
        <v>0</v>
      </c>
      <c r="AB65" s="340" t="n">
        <f aca="false">walls_forges_cap*(1-EXP(-TblImps[[#This Row],[Σ Forges]]/(walls_forges_param*(OFFSET(TblImps[[#This Row],[Land]],1,0)-OFFSET(TblExplore[[#This Row],[Land Bonus]],1,0)*20)+15000)))*(1+(mason_bonus*TblConstr[[#This Row],[Tot Mas]]/TblConstr[[#This Row],[Land (2)]]))</f>
        <v>0</v>
      </c>
      <c r="AC65" s="340" t="n">
        <f aca="false">walls_forges_cap*(1-EXP(-TblImps[[#This Row],[Σ Walls]]/(walls_forges_param*(OFFSET(TblImps[[#This Row],[Land]],1,0)-OFFSET(TblExplore[[#This Row],[Land Bonus]],1,0)*20)+15000)))*(1+(mason_bonus*TblConstr[[#This Row],[Tot Mas]]/TblConstr[[#This Row],[Land (2)]]))</f>
        <v>0</v>
      </c>
      <c r="AD65" s="340" t="n">
        <f aca="false">harbor_towers_cap*(1-EXP(-TblImps[[#This Row],[Σ Irrigation]]/(harbor_towers_param*(OFFSET(TblImps[[#This Row],[Land]],1,0)-OFFSET(TblExplore[[#This Row],[Land Bonus]],1,0)*20)+15000)))*(1+(mason_bonus*TblConstr[[#This Row],[Tot Mas]]/TblConstr[[#This Row],[Land (2)]]))</f>
        <v>0</v>
      </c>
      <c r="AE65" s="132"/>
      <c r="AF65" s="33" t="n">
        <f aca="false">(1+Overview!$I$28)*SUM(TblImps[[#This Row],[P2]:[G2]])+OFFSET(TblImps[[#This Row],[Σ Science]],-1,0)</f>
        <v>0</v>
      </c>
      <c r="AG65" s="33" t="n">
        <f aca="false">(1+Overview!$I$28)*SUM(TblImps[[#This Row],[P3]:[G3]])+OFFSET(TblImps[[#This Row],[Σ Keep]],-1,0)</f>
        <v>0</v>
      </c>
      <c r="AH65" s="33" t="n">
        <f aca="false">(1+Overview!$I$28 + tech_7_1*TblTech[[#This Row],[7-1]])*SUM(TblImps[[#This Row],[P4]:[G4]])+OFFSET(TblImps[[#This Row],[Σ Towers]],-1,0)</f>
        <v>0</v>
      </c>
      <c r="AI65" s="33" t="n">
        <f aca="false">(1+Overview!$I$28)*SUM(TblImps[[#This Row],[P5]:[G5]])+OFFSET(TblImps[[#This Row],[Σ Forges]],-1,0)</f>
        <v>0</v>
      </c>
      <c r="AJ65" s="33" t="n">
        <f aca="false">(1+Overview!$I$28)*SUM(TblImps[[#This Row],[P6]:[G6]])+OFFSET(TblImps[[#This Row],[Σ Walls]],-1,0)</f>
        <v>0</v>
      </c>
      <c r="AK65" s="33" t="n">
        <f aca="false">(1+Overview!$I$28 + tech_7_1*TblTech[[#This Row],[7-1]])*SUM(TblImps[[#This Row],[P7]:[G7]])+OFFSET(TblImps[[#This Row],[Σ Irrigation]],-1,0)</f>
        <v>0</v>
      </c>
      <c r="AL65" s="132"/>
      <c r="AM65" s="26" t="n">
        <f aca="false">IF(AND(TblImps[[#This Row],[Resource]]=AM$2,TblImps[[#This Row],[Part]]&lt;&gt;""),TblImps[[#This Row],[Amount]]) + IF(AND(TblImps[[#This Row],[Resource 2]]=AM$2,TblImps[[#This Row],[Part 2]]&lt;&gt;""),TblImps[[#This Row],[Amount 2]]) + IF(AND(TblImps[[#This Row],[Resource 3]]=AM$2,TblImps[[#This Row],[Part 3]]&lt;&gt;""),TblImps[[#This Row],[Amount 3]])</f>
        <v>0</v>
      </c>
      <c r="AN65" s="26" t="n">
        <f aca="false">IF(AND(TblImps[[#This Row],[Resource]]=AN$2,TblImps[[#This Row],[Part]]&lt;&gt;""),TblImps[[#This Row],[Amount]]) + IF(AND(TblImps[[#This Row],[Resource 2]]=AN$2,TblImps[[#This Row],[Part 2]]&lt;&gt;""),TblImps[[#This Row],[Amount 2]]) + IF(AND(TblImps[[#This Row],[Resource 3]]=AN$2,TblImps[[#This Row],[Part 3]]&lt;&gt;""),TblImps[[#This Row],[Amount 3]])</f>
        <v>0</v>
      </c>
      <c r="AO65" s="26" t="n">
        <f aca="false">IF(AND(TblImps[[#This Row],[Resource]]=AO$2,TblImps[[#This Row],[Part]]&lt;&gt;""),TblImps[[#This Row],[Amount]]) + IF(AND(TblImps[[#This Row],[Resource 2]]=AO$2,TblImps[[#This Row],[Part 2]]&lt;&gt;""),TblImps[[#This Row],[Amount 2]]) + IF(AND(TblImps[[#This Row],[Resource 3]]=AO$2,TblImps[[#This Row],[Part 3]]&lt;&gt;""),TblImps[[#This Row],[Amount 3]])</f>
        <v>0</v>
      </c>
      <c r="AP65" s="26" t="n">
        <f aca="false">IF(AND(TblImps[[#This Row],[Resource]]=AP$2,TblImps[[#This Row],[Part]]&lt;&gt;""),TblImps[[#This Row],[Amount]]) + IF(AND(TblImps[[#This Row],[Resource 2]]=AP$2,TblImps[[#This Row],[Part 2]]&lt;&gt;""),TblImps[[#This Row],[Amount 2]]) + IF(AND(TblImps[[#This Row],[Resource 3]]=AP$2,TblImps[[#This Row],[Part 3]]&lt;&gt;""),TblImps[[#This Row],[Amount 3]])</f>
        <v>0</v>
      </c>
      <c r="AQ65" s="132"/>
      <c r="AR6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32"/>
      <c r="AW6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32"/>
      <c r="BB6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32"/>
      <c r="BG6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32"/>
      <c r="BL6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32"/>
      <c r="BQ6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32"/>
      <c r="BV65"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5" s="33" t="n">
        <f aca="false">TblImps[[#This Row],[Login]]</f>
        <v>1</v>
      </c>
      <c r="BX65" s="128"/>
      <c r="BY65" s="347" t="n">
        <f aca="false">OFFSET(TblImps[[#This Row],[Real time]],-1,0)+1/24</f>
        <v>45432.2916666667</v>
      </c>
      <c r="BZ65" s="348" t="n">
        <f aca="false">OFFSET(TblImps[[#This Row],[Servertime]],-1,0)+1/24</f>
        <v>45432.5416666667</v>
      </c>
      <c r="CA65" s="26"/>
      <c r="CB65" s="346"/>
      <c r="CC65" s="346"/>
    </row>
    <row r="66" customFormat="false" ht="12.75" hidden="false" customHeight="false" outlineLevel="0" collapsed="false">
      <c r="A66" s="181" t="n">
        <f aca="false">TblConstr[[#This Row],[Land]]</f>
        <v>700</v>
      </c>
      <c r="B66" s="132"/>
      <c r="C66" s="69" t="n">
        <f aca="false">TblProd[[#This Row],[Platinum]]</f>
        <v>96824</v>
      </c>
      <c r="D66" s="69" t="n">
        <f aca="false">TblProd[[#This Row],[Lumber]]</f>
        <v>4063</v>
      </c>
      <c r="E66" s="69" t="n">
        <f aca="false">TblProd[[#This Row],[Ore]]</f>
        <v>0</v>
      </c>
      <c r="F66" s="69" t="n">
        <f aca="false">TblProd[[#This Row],[Gems]]</f>
        <v>0</v>
      </c>
      <c r="G66" s="146"/>
      <c r="H66" s="69" t="n">
        <f aca="false">TblMili[[#This Row],[Draftees]]</f>
        <v>599</v>
      </c>
      <c r="I66" s="130" t="n">
        <f aca="false">TblPop[[#This Row],[Employment]]</f>
        <v>1</v>
      </c>
      <c r="J66" s="130" t="n">
        <f aca="false">TblPop[[#This Row],[Total]]/TblPop[[#This Row],[Net max]]</f>
        <v>1</v>
      </c>
      <c r="K66" s="336" t="n">
        <f aca="false">TblRezone[[#This Row],[Hour]]</f>
        <v>63</v>
      </c>
      <c r="L66" s="337" t="n">
        <f aca="false">TblImps[[#This Row],[Real time]]</f>
        <v>45432.3333333333</v>
      </c>
      <c r="M66" s="33" t="n">
        <f aca="false">IF(ISERROR(TblImps[[#This Row],[algorithm]]),0,TblImps[[#This Row],[algorithm]]*1)</f>
        <v>1</v>
      </c>
      <c r="N66" s="69" t="n">
        <f aca="false">TblImps[[#This Row],[Land]]</f>
        <v>700</v>
      </c>
      <c r="O66" s="338" t="s">
        <v>34</v>
      </c>
      <c r="P66" s="339"/>
      <c r="Q66" s="338" t="s">
        <v>734</v>
      </c>
      <c r="R66" s="338" t="s">
        <v>93</v>
      </c>
      <c r="S66" s="339"/>
      <c r="T66" s="338" t="s">
        <v>734</v>
      </c>
      <c r="U66" s="338" t="s">
        <v>35</v>
      </c>
      <c r="V66" s="339"/>
      <c r="W66" s="338" t="s">
        <v>734</v>
      </c>
      <c r="X66" s="132"/>
      <c r="Y66" s="340" t="n">
        <f aca="false">science_cap*(1-EXP(-TblImps[[#This Row],[Σ Science]]/(science_param*(OFFSET(TblImps[[#This Row],[Land]],1,0)-OFFSET(TblExplore[[#This Row],[Land Bonus]],1,0)*20)+15000)))*(1+(mason_bonus*TblConstr[[#This Row],[Tot Mas]]/TblConstr[[#This Row],[Land (2)]]))</f>
        <v>0</v>
      </c>
      <c r="Z66" s="340" t="n">
        <f aca="false">keep_cap*(1-EXP(-TblImps[[#This Row],[Σ Keep]]/(keep_param*(OFFSET(TblImps[[#This Row],[Land]],1,0)-OFFSET(TblExplore[[#This Row],[Land Bonus]],1,0)*20)+15000)))*(1+(mason_bonus*TblConstr[[#This Row],[Tot Mas]]/TblConstr[[#This Row],[Land (2)]]))</f>
        <v>0</v>
      </c>
      <c r="AA66" s="340" t="n">
        <f aca="false">harbor_towers_cap*(1-EXP(-TblImps[[#This Row],[Σ Towers]]/(towers_param*(OFFSET(TblImps[[#This Row],[Land]],1,0)-OFFSET(TblExplore[[#This Row],[Land Bonus]],1,0)*20)+15000)))*(1+(mason_bonus*TblConstr[[#This Row],[Tot Mas]]/TblConstr[[#This Row],[Land (2)]]))</f>
        <v>0</v>
      </c>
      <c r="AB66" s="340" t="n">
        <f aca="false">walls_forges_cap*(1-EXP(-TblImps[[#This Row],[Σ Forges]]/(walls_forges_param*(OFFSET(TblImps[[#This Row],[Land]],1,0)-OFFSET(TblExplore[[#This Row],[Land Bonus]],1,0)*20)+15000)))*(1+(mason_bonus*TblConstr[[#This Row],[Tot Mas]]/TblConstr[[#This Row],[Land (2)]]))</f>
        <v>0</v>
      </c>
      <c r="AC66" s="340" t="n">
        <f aca="false">walls_forges_cap*(1-EXP(-TblImps[[#This Row],[Σ Walls]]/(walls_forges_param*(OFFSET(TblImps[[#This Row],[Land]],1,0)-OFFSET(TblExplore[[#This Row],[Land Bonus]],1,0)*20)+15000)))*(1+(mason_bonus*TblConstr[[#This Row],[Tot Mas]]/TblConstr[[#This Row],[Land (2)]]))</f>
        <v>0</v>
      </c>
      <c r="AD66" s="340" t="n">
        <f aca="false">harbor_towers_cap*(1-EXP(-TblImps[[#This Row],[Σ Irrigation]]/(harbor_towers_param*(OFFSET(TblImps[[#This Row],[Land]],1,0)-OFFSET(TblExplore[[#This Row],[Land Bonus]],1,0)*20)+15000)))*(1+(mason_bonus*TblConstr[[#This Row],[Tot Mas]]/TblConstr[[#This Row],[Land (2)]]))</f>
        <v>0</v>
      </c>
      <c r="AE66" s="132"/>
      <c r="AF66" s="33" t="n">
        <f aca="false">(1+Overview!$I$28)*SUM(TblImps[[#This Row],[P2]:[G2]])+OFFSET(TblImps[[#This Row],[Σ Science]],-1,0)</f>
        <v>0</v>
      </c>
      <c r="AG66" s="33" t="n">
        <f aca="false">(1+Overview!$I$28)*SUM(TblImps[[#This Row],[P3]:[G3]])+OFFSET(TblImps[[#This Row],[Σ Keep]],-1,0)</f>
        <v>0</v>
      </c>
      <c r="AH66" s="33" t="n">
        <f aca="false">(1+Overview!$I$28 + tech_7_1*TblTech[[#This Row],[7-1]])*SUM(TblImps[[#This Row],[P4]:[G4]])+OFFSET(TblImps[[#This Row],[Σ Towers]],-1,0)</f>
        <v>0</v>
      </c>
      <c r="AI66" s="33" t="n">
        <f aca="false">(1+Overview!$I$28)*SUM(TblImps[[#This Row],[P5]:[G5]])+OFFSET(TblImps[[#This Row],[Σ Forges]],-1,0)</f>
        <v>0</v>
      </c>
      <c r="AJ66" s="33" t="n">
        <f aca="false">(1+Overview!$I$28)*SUM(TblImps[[#This Row],[P6]:[G6]])+OFFSET(TblImps[[#This Row],[Σ Walls]],-1,0)</f>
        <v>0</v>
      </c>
      <c r="AK66" s="33" t="n">
        <f aca="false">(1+Overview!$I$28 + tech_7_1*TblTech[[#This Row],[7-1]])*SUM(TblImps[[#This Row],[P7]:[G7]])+OFFSET(TblImps[[#This Row],[Σ Irrigation]],-1,0)</f>
        <v>0</v>
      </c>
      <c r="AL66" s="132"/>
      <c r="AM66" s="26" t="n">
        <f aca="false">IF(AND(TblImps[[#This Row],[Resource]]=AM$2,TblImps[[#This Row],[Part]]&lt;&gt;""),TblImps[[#This Row],[Amount]]) + IF(AND(TblImps[[#This Row],[Resource 2]]=AM$2,TblImps[[#This Row],[Part 2]]&lt;&gt;""),TblImps[[#This Row],[Amount 2]]) + IF(AND(TblImps[[#This Row],[Resource 3]]=AM$2,TblImps[[#This Row],[Part 3]]&lt;&gt;""),TblImps[[#This Row],[Amount 3]])</f>
        <v>0</v>
      </c>
      <c r="AN66" s="26" t="n">
        <f aca="false">IF(AND(TblImps[[#This Row],[Resource]]=AN$2,TblImps[[#This Row],[Part]]&lt;&gt;""),TblImps[[#This Row],[Amount]]) + IF(AND(TblImps[[#This Row],[Resource 2]]=AN$2,TblImps[[#This Row],[Part 2]]&lt;&gt;""),TblImps[[#This Row],[Amount 2]]) + IF(AND(TblImps[[#This Row],[Resource 3]]=AN$2,TblImps[[#This Row],[Part 3]]&lt;&gt;""),TblImps[[#This Row],[Amount 3]])</f>
        <v>0</v>
      </c>
      <c r="AO66" s="26" t="n">
        <f aca="false">IF(AND(TblImps[[#This Row],[Resource]]=AO$2,TblImps[[#This Row],[Part]]&lt;&gt;""),TblImps[[#This Row],[Amount]]) + IF(AND(TblImps[[#This Row],[Resource 2]]=AO$2,TblImps[[#This Row],[Part 2]]&lt;&gt;""),TblImps[[#This Row],[Amount 2]]) + IF(AND(TblImps[[#This Row],[Resource 3]]=AO$2,TblImps[[#This Row],[Part 3]]&lt;&gt;""),TblImps[[#This Row],[Amount 3]])</f>
        <v>0</v>
      </c>
      <c r="AP66" s="26" t="n">
        <f aca="false">IF(AND(TblImps[[#This Row],[Resource]]=AP$2,TblImps[[#This Row],[Part]]&lt;&gt;""),TblImps[[#This Row],[Amount]]) + IF(AND(TblImps[[#This Row],[Resource 2]]=AP$2,TblImps[[#This Row],[Part 2]]&lt;&gt;""),TblImps[[#This Row],[Amount 2]]) + IF(AND(TblImps[[#This Row],[Resource 3]]=AP$2,TblImps[[#This Row],[Part 3]]&lt;&gt;""),TblImps[[#This Row],[Amount 3]])</f>
        <v>0</v>
      </c>
      <c r="AQ66" s="132"/>
      <c r="AR6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32"/>
      <c r="AW6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32"/>
      <c r="BB6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32"/>
      <c r="BG6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32"/>
      <c r="BL6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32"/>
      <c r="BQ6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32"/>
      <c r="BV66"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6" s="33" t="n">
        <f aca="false">TblImps[[#This Row],[Login]]</f>
        <v>1</v>
      </c>
      <c r="BX66" s="128"/>
      <c r="BY66" s="347" t="n">
        <f aca="false">OFFSET(TblImps[[#This Row],[Real time]],-1,0)+1/24</f>
        <v>45432.3333333333</v>
      </c>
      <c r="BZ66" s="348" t="n">
        <f aca="false">OFFSET(TblImps[[#This Row],[Servertime]],-1,0)+1/24</f>
        <v>45432.5833333333</v>
      </c>
      <c r="CA66" s="351"/>
      <c r="CB66" s="346"/>
      <c r="CC66" s="346"/>
    </row>
    <row r="67" customFormat="false" ht="12.75" hidden="false" customHeight="false" outlineLevel="0" collapsed="false">
      <c r="A67" s="181" t="n">
        <f aca="false">TblConstr[[#This Row],[Land]]</f>
        <v>700</v>
      </c>
      <c r="B67" s="132"/>
      <c r="C67" s="69" t="n">
        <f aca="false">TblProd[[#This Row],[Platinum]]</f>
        <v>7459</v>
      </c>
      <c r="D67" s="69" t="n">
        <f aca="false">TblProd[[#This Row],[Lumber]]</f>
        <v>4723</v>
      </c>
      <c r="E67" s="69" t="n">
        <f aca="false">TblProd[[#This Row],[Ore]]</f>
        <v>0</v>
      </c>
      <c r="F67" s="69" t="n">
        <f aca="false">TblProd[[#This Row],[Gems]]</f>
        <v>0</v>
      </c>
      <c r="G67" s="146"/>
      <c r="H67" s="69" t="n">
        <f aca="false">TblMili[[#This Row],[Draftees]]</f>
        <v>0</v>
      </c>
      <c r="I67" s="130" t="n">
        <f aca="false">TblPop[[#This Row],[Employment]]</f>
        <v>1</v>
      </c>
      <c r="J67" s="130" t="n">
        <f aca="false">TblPop[[#This Row],[Total]]/TblPop[[#This Row],[Net max]]</f>
        <v>1</v>
      </c>
      <c r="K67" s="336" t="n">
        <f aca="false">TblRezone[[#This Row],[Hour]]</f>
        <v>64</v>
      </c>
      <c r="L67" s="337" t="n">
        <f aca="false">TblImps[[#This Row],[Real time]]</f>
        <v>45432.375</v>
      </c>
      <c r="M67" s="33" t="n">
        <f aca="false">IF(ISERROR(TblImps[[#This Row],[algorithm]]),0,TblImps[[#This Row],[algorithm]]*1)</f>
        <v>1</v>
      </c>
      <c r="N67" s="69" t="n">
        <f aca="false">TblImps[[#This Row],[Land]]</f>
        <v>700</v>
      </c>
      <c r="O67" s="338" t="s">
        <v>97</v>
      </c>
      <c r="P67" s="339"/>
      <c r="Q67" s="338" t="s">
        <v>734</v>
      </c>
      <c r="R67" s="338" t="s">
        <v>93</v>
      </c>
      <c r="S67" s="339"/>
      <c r="T67" s="338" t="s">
        <v>734</v>
      </c>
      <c r="U67" s="338" t="s">
        <v>35</v>
      </c>
      <c r="V67" s="339"/>
      <c r="W67" s="338" t="s">
        <v>734</v>
      </c>
      <c r="X67" s="132"/>
      <c r="Y67" s="340" t="n">
        <f aca="false">science_cap*(1-EXP(-TblImps[[#This Row],[Σ Science]]/(science_param*(OFFSET(TblImps[[#This Row],[Land]],1,0)-OFFSET(TblExplore[[#This Row],[Land Bonus]],1,0)*20)+15000)))*(1+(mason_bonus*TblConstr[[#This Row],[Tot Mas]]/TblConstr[[#This Row],[Land (2)]]))</f>
        <v>0</v>
      </c>
      <c r="Z67" s="340" t="n">
        <f aca="false">keep_cap*(1-EXP(-TblImps[[#This Row],[Σ Keep]]/(keep_param*(OFFSET(TblImps[[#This Row],[Land]],1,0)-OFFSET(TblExplore[[#This Row],[Land Bonus]],1,0)*20)+15000)))*(1+(mason_bonus*TblConstr[[#This Row],[Tot Mas]]/TblConstr[[#This Row],[Land (2)]]))</f>
        <v>0</v>
      </c>
      <c r="AA67" s="340" t="n">
        <f aca="false">harbor_towers_cap*(1-EXP(-TblImps[[#This Row],[Σ Towers]]/(towers_param*(OFFSET(TblImps[[#This Row],[Land]],1,0)-OFFSET(TblExplore[[#This Row],[Land Bonus]],1,0)*20)+15000)))*(1+(mason_bonus*TblConstr[[#This Row],[Tot Mas]]/TblConstr[[#This Row],[Land (2)]]))</f>
        <v>0</v>
      </c>
      <c r="AB67" s="340" t="n">
        <f aca="false">walls_forges_cap*(1-EXP(-TblImps[[#This Row],[Σ Forges]]/(walls_forges_param*(OFFSET(TblImps[[#This Row],[Land]],1,0)-OFFSET(TblExplore[[#This Row],[Land Bonus]],1,0)*20)+15000)))*(1+(mason_bonus*TblConstr[[#This Row],[Tot Mas]]/TblConstr[[#This Row],[Land (2)]]))</f>
        <v>0</v>
      </c>
      <c r="AC67" s="340" t="n">
        <f aca="false">walls_forges_cap*(1-EXP(-TblImps[[#This Row],[Σ Walls]]/(walls_forges_param*(OFFSET(TblImps[[#This Row],[Land]],1,0)-OFFSET(TblExplore[[#This Row],[Land Bonus]],1,0)*20)+15000)))*(1+(mason_bonus*TblConstr[[#This Row],[Tot Mas]]/TblConstr[[#This Row],[Land (2)]]))</f>
        <v>0</v>
      </c>
      <c r="AD67" s="340" t="n">
        <f aca="false">harbor_towers_cap*(1-EXP(-TblImps[[#This Row],[Σ Irrigation]]/(harbor_towers_param*(OFFSET(TblImps[[#This Row],[Land]],1,0)-OFFSET(TblExplore[[#This Row],[Land Bonus]],1,0)*20)+15000)))*(1+(mason_bonus*TblConstr[[#This Row],[Tot Mas]]/TblConstr[[#This Row],[Land (2)]]))</f>
        <v>0</v>
      </c>
      <c r="AE67" s="132"/>
      <c r="AF67" s="33" t="n">
        <f aca="false">(1+Overview!$I$28)*SUM(TblImps[[#This Row],[P2]:[G2]])+OFFSET(TblImps[[#This Row],[Σ Science]],-1,0)</f>
        <v>0</v>
      </c>
      <c r="AG67" s="33" t="n">
        <f aca="false">(1+Overview!$I$28)*SUM(TblImps[[#This Row],[P3]:[G3]])+OFFSET(TblImps[[#This Row],[Σ Keep]],-1,0)</f>
        <v>0</v>
      </c>
      <c r="AH67" s="33" t="n">
        <f aca="false">(1+Overview!$I$28 + tech_7_1*TblTech[[#This Row],[7-1]])*SUM(TblImps[[#This Row],[P4]:[G4]])+OFFSET(TblImps[[#This Row],[Σ Towers]],-1,0)</f>
        <v>0</v>
      </c>
      <c r="AI67" s="33" t="n">
        <f aca="false">(1+Overview!$I$28)*SUM(TblImps[[#This Row],[P5]:[G5]])+OFFSET(TblImps[[#This Row],[Σ Forges]],-1,0)</f>
        <v>0</v>
      </c>
      <c r="AJ67" s="33" t="n">
        <f aca="false">(1+Overview!$I$28)*SUM(TblImps[[#This Row],[P6]:[G6]])+OFFSET(TblImps[[#This Row],[Σ Walls]],-1,0)</f>
        <v>0</v>
      </c>
      <c r="AK67" s="33" t="n">
        <f aca="false">(1+Overview!$I$28 + tech_7_1*TblTech[[#This Row],[7-1]])*SUM(TblImps[[#This Row],[P7]:[G7]])+OFFSET(TblImps[[#This Row],[Σ Irrigation]],-1,0)</f>
        <v>0</v>
      </c>
      <c r="AL67" s="132"/>
      <c r="AM67" s="26" t="n">
        <f aca="false">IF(AND(TblImps[[#This Row],[Resource]]=AM$2,TblImps[[#This Row],[Part]]&lt;&gt;""),TblImps[[#This Row],[Amount]]) + IF(AND(TblImps[[#This Row],[Resource 2]]=AM$2,TblImps[[#This Row],[Part 2]]&lt;&gt;""),TblImps[[#This Row],[Amount 2]]) + IF(AND(TblImps[[#This Row],[Resource 3]]=AM$2,TblImps[[#This Row],[Part 3]]&lt;&gt;""),TblImps[[#This Row],[Amount 3]])</f>
        <v>0</v>
      </c>
      <c r="AN67" s="26" t="n">
        <f aca="false">IF(AND(TblImps[[#This Row],[Resource]]=AN$2,TblImps[[#This Row],[Part]]&lt;&gt;""),TblImps[[#This Row],[Amount]]) + IF(AND(TblImps[[#This Row],[Resource 2]]=AN$2,TblImps[[#This Row],[Part 2]]&lt;&gt;""),TblImps[[#This Row],[Amount 2]]) + IF(AND(TblImps[[#This Row],[Resource 3]]=AN$2,TblImps[[#This Row],[Part 3]]&lt;&gt;""),TblImps[[#This Row],[Amount 3]])</f>
        <v>0</v>
      </c>
      <c r="AO67" s="26" t="n">
        <f aca="false">IF(AND(TblImps[[#This Row],[Resource]]=AO$2,TblImps[[#This Row],[Part]]&lt;&gt;""),TblImps[[#This Row],[Amount]]) + IF(AND(TblImps[[#This Row],[Resource 2]]=AO$2,TblImps[[#This Row],[Part 2]]&lt;&gt;""),TblImps[[#This Row],[Amount 2]]) + IF(AND(TblImps[[#This Row],[Resource 3]]=AO$2,TblImps[[#This Row],[Part 3]]&lt;&gt;""),TblImps[[#This Row],[Amount 3]])</f>
        <v>0</v>
      </c>
      <c r="AP67" s="26" t="n">
        <f aca="false">IF(AND(TblImps[[#This Row],[Resource]]=AP$2,TblImps[[#This Row],[Part]]&lt;&gt;""),TblImps[[#This Row],[Amount]]) + IF(AND(TblImps[[#This Row],[Resource 2]]=AP$2,TblImps[[#This Row],[Part 2]]&lt;&gt;""),TblImps[[#This Row],[Amount 2]]) + IF(AND(TblImps[[#This Row],[Resource 3]]=AP$2,TblImps[[#This Row],[Part 3]]&lt;&gt;""),TblImps[[#This Row],[Amount 3]])</f>
        <v>0</v>
      </c>
      <c r="AQ67" s="132"/>
      <c r="AR6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32"/>
      <c r="AW6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32"/>
      <c r="BB6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32"/>
      <c r="BG6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32"/>
      <c r="BL6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32"/>
      <c r="BQ6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32"/>
      <c r="BV67"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7" s="33" t="n">
        <f aca="false">TblImps[[#This Row],[Login]]</f>
        <v>1</v>
      </c>
      <c r="BX67" s="128"/>
      <c r="BY67" s="347" t="n">
        <f aca="false">OFFSET(TblImps[[#This Row],[Real time]],-1,0)+1/24</f>
        <v>45432.375</v>
      </c>
      <c r="BZ67" s="348" t="n">
        <f aca="false">OFFSET(TblImps[[#This Row],[Servertime]],-1,0)+1/24</f>
        <v>45432.625</v>
      </c>
      <c r="CA67" s="26"/>
      <c r="CB67" s="346"/>
      <c r="CC67" s="346"/>
    </row>
    <row r="68" customFormat="false" ht="12.75" hidden="false" customHeight="false" outlineLevel="0" collapsed="false">
      <c r="A68" s="181" t="n">
        <f aca="false">TblConstr[[#This Row],[Land]]</f>
        <v>700</v>
      </c>
      <c r="B68" s="132"/>
      <c r="C68" s="69" t="n">
        <f aca="false">TblProd[[#This Row],[Platinum]]</f>
        <v>36150</v>
      </c>
      <c r="D68" s="69" t="n">
        <f aca="false">TblProd[[#This Row],[Lumber]]</f>
        <v>5801</v>
      </c>
      <c r="E68" s="69" t="n">
        <f aca="false">TblProd[[#This Row],[Ore]]</f>
        <v>0</v>
      </c>
      <c r="F68" s="69" t="n">
        <f aca="false">TblProd[[#This Row],[Gems]]</f>
        <v>0</v>
      </c>
      <c r="G68" s="146"/>
      <c r="H68" s="69" t="n">
        <f aca="false">TblMili[[#This Row],[Draftees]]</f>
        <v>3</v>
      </c>
      <c r="I68" s="130" t="n">
        <f aca="false">TblPop[[#This Row],[Employment]]</f>
        <v>1</v>
      </c>
      <c r="J68" s="130" t="n">
        <f aca="false">TblPop[[#This Row],[Total]]/TblPop[[#This Row],[Net max]]</f>
        <v>1</v>
      </c>
      <c r="K68" s="336" t="n">
        <f aca="false">TblRezone[[#This Row],[Hour]]</f>
        <v>65</v>
      </c>
      <c r="L68" s="337" t="n">
        <f aca="false">TblImps[[#This Row],[Real time]]</f>
        <v>45432.4166666667</v>
      </c>
      <c r="M68" s="33" t="n">
        <f aca="false">IF(ISERROR(TblImps[[#This Row],[algorithm]]),0,TblImps[[#This Row],[algorithm]]*1)</f>
        <v>1</v>
      </c>
      <c r="N68" s="69" t="n">
        <f aca="false">TblImps[[#This Row],[Land]]</f>
        <v>700</v>
      </c>
      <c r="O68" s="338" t="s">
        <v>97</v>
      </c>
      <c r="P68" s="339"/>
      <c r="Q68" s="338" t="s">
        <v>734</v>
      </c>
      <c r="R68" s="338" t="s">
        <v>93</v>
      </c>
      <c r="S68" s="339"/>
      <c r="T68" s="338" t="s">
        <v>734</v>
      </c>
      <c r="U68" s="338" t="s">
        <v>35</v>
      </c>
      <c r="V68" s="339"/>
      <c r="W68" s="338" t="s">
        <v>734</v>
      </c>
      <c r="X68" s="132"/>
      <c r="Y68" s="340" t="n">
        <f aca="false">science_cap*(1-EXP(-TblImps[[#This Row],[Σ Science]]/(science_param*(OFFSET(TblImps[[#This Row],[Land]],1,0)-OFFSET(TblExplore[[#This Row],[Land Bonus]],1,0)*20)+15000)))*(1+(mason_bonus*TblConstr[[#This Row],[Tot Mas]]/TblConstr[[#This Row],[Land (2)]]))</f>
        <v>0</v>
      </c>
      <c r="Z68" s="340" t="n">
        <f aca="false">keep_cap*(1-EXP(-TblImps[[#This Row],[Σ Keep]]/(keep_param*(OFFSET(TblImps[[#This Row],[Land]],1,0)-OFFSET(TblExplore[[#This Row],[Land Bonus]],1,0)*20)+15000)))*(1+(mason_bonus*TblConstr[[#This Row],[Tot Mas]]/TblConstr[[#This Row],[Land (2)]]))</f>
        <v>0</v>
      </c>
      <c r="AA68" s="340" t="n">
        <f aca="false">harbor_towers_cap*(1-EXP(-TblImps[[#This Row],[Σ Towers]]/(towers_param*(OFFSET(TblImps[[#This Row],[Land]],1,0)-OFFSET(TblExplore[[#This Row],[Land Bonus]],1,0)*20)+15000)))*(1+(mason_bonus*TblConstr[[#This Row],[Tot Mas]]/TblConstr[[#This Row],[Land (2)]]))</f>
        <v>0</v>
      </c>
      <c r="AB68" s="340" t="n">
        <f aca="false">walls_forges_cap*(1-EXP(-TblImps[[#This Row],[Σ Forges]]/(walls_forges_param*(OFFSET(TblImps[[#This Row],[Land]],1,0)-OFFSET(TblExplore[[#This Row],[Land Bonus]],1,0)*20)+15000)))*(1+(mason_bonus*TblConstr[[#This Row],[Tot Mas]]/TblConstr[[#This Row],[Land (2)]]))</f>
        <v>0</v>
      </c>
      <c r="AC68" s="340" t="n">
        <f aca="false">walls_forges_cap*(1-EXP(-TblImps[[#This Row],[Σ Walls]]/(walls_forges_param*(OFFSET(TblImps[[#This Row],[Land]],1,0)-OFFSET(TblExplore[[#This Row],[Land Bonus]],1,0)*20)+15000)))*(1+(mason_bonus*TblConstr[[#This Row],[Tot Mas]]/TblConstr[[#This Row],[Land (2)]]))</f>
        <v>0</v>
      </c>
      <c r="AD68" s="340" t="n">
        <f aca="false">harbor_towers_cap*(1-EXP(-TblImps[[#This Row],[Σ Irrigation]]/(harbor_towers_param*(OFFSET(TblImps[[#This Row],[Land]],1,0)-OFFSET(TblExplore[[#This Row],[Land Bonus]],1,0)*20)+15000)))*(1+(mason_bonus*TblConstr[[#This Row],[Tot Mas]]/TblConstr[[#This Row],[Land (2)]]))</f>
        <v>0</v>
      </c>
      <c r="AE68" s="132"/>
      <c r="AF68" s="33" t="n">
        <f aca="false">(1+Overview!$I$28)*SUM(TblImps[[#This Row],[P2]:[G2]])+OFFSET(TblImps[[#This Row],[Σ Science]],-1,0)</f>
        <v>0</v>
      </c>
      <c r="AG68" s="33" t="n">
        <f aca="false">(1+Overview!$I$28)*SUM(TblImps[[#This Row],[P3]:[G3]])+OFFSET(TblImps[[#This Row],[Σ Keep]],-1,0)</f>
        <v>0</v>
      </c>
      <c r="AH68" s="33" t="n">
        <f aca="false">(1+Overview!$I$28 + tech_7_1*TblTech[[#This Row],[7-1]])*SUM(TblImps[[#This Row],[P4]:[G4]])+OFFSET(TblImps[[#This Row],[Σ Towers]],-1,0)</f>
        <v>0</v>
      </c>
      <c r="AI68" s="33" t="n">
        <f aca="false">(1+Overview!$I$28)*SUM(TblImps[[#This Row],[P5]:[G5]])+OFFSET(TblImps[[#This Row],[Σ Forges]],-1,0)</f>
        <v>0</v>
      </c>
      <c r="AJ68" s="33" t="n">
        <f aca="false">(1+Overview!$I$28)*SUM(TblImps[[#This Row],[P6]:[G6]])+OFFSET(TblImps[[#This Row],[Σ Walls]],-1,0)</f>
        <v>0</v>
      </c>
      <c r="AK68" s="33" t="n">
        <f aca="false">(1+Overview!$I$28 + tech_7_1*TblTech[[#This Row],[7-1]])*SUM(TblImps[[#This Row],[P7]:[G7]])+OFFSET(TblImps[[#This Row],[Σ Irrigation]],-1,0)</f>
        <v>0</v>
      </c>
      <c r="AL68" s="132"/>
      <c r="AM68" s="26" t="n">
        <f aca="false">IF(AND(TblImps[[#This Row],[Resource]]=AM$2,TblImps[[#This Row],[Part]]&lt;&gt;""),TblImps[[#This Row],[Amount]]) + IF(AND(TblImps[[#This Row],[Resource 2]]=AM$2,TblImps[[#This Row],[Part 2]]&lt;&gt;""),TblImps[[#This Row],[Amount 2]]) + IF(AND(TblImps[[#This Row],[Resource 3]]=AM$2,TblImps[[#This Row],[Part 3]]&lt;&gt;""),TblImps[[#This Row],[Amount 3]])</f>
        <v>0</v>
      </c>
      <c r="AN68" s="26" t="n">
        <f aca="false">IF(AND(TblImps[[#This Row],[Resource]]=AN$2,TblImps[[#This Row],[Part]]&lt;&gt;""),TblImps[[#This Row],[Amount]]) + IF(AND(TblImps[[#This Row],[Resource 2]]=AN$2,TblImps[[#This Row],[Part 2]]&lt;&gt;""),TblImps[[#This Row],[Amount 2]]) + IF(AND(TblImps[[#This Row],[Resource 3]]=AN$2,TblImps[[#This Row],[Part 3]]&lt;&gt;""),TblImps[[#This Row],[Amount 3]])</f>
        <v>0</v>
      </c>
      <c r="AO68" s="26" t="n">
        <f aca="false">IF(AND(TblImps[[#This Row],[Resource]]=AO$2,TblImps[[#This Row],[Part]]&lt;&gt;""),TblImps[[#This Row],[Amount]]) + IF(AND(TblImps[[#This Row],[Resource 2]]=AO$2,TblImps[[#This Row],[Part 2]]&lt;&gt;""),TblImps[[#This Row],[Amount 2]]) + IF(AND(TblImps[[#This Row],[Resource 3]]=AO$2,TblImps[[#This Row],[Part 3]]&lt;&gt;""),TblImps[[#This Row],[Amount 3]])</f>
        <v>0</v>
      </c>
      <c r="AP68" s="26" t="n">
        <f aca="false">IF(AND(TblImps[[#This Row],[Resource]]=AP$2,TblImps[[#This Row],[Part]]&lt;&gt;""),TblImps[[#This Row],[Amount]]) + IF(AND(TblImps[[#This Row],[Resource 2]]=AP$2,TblImps[[#This Row],[Part 2]]&lt;&gt;""),TblImps[[#This Row],[Amount 2]]) + IF(AND(TblImps[[#This Row],[Resource 3]]=AP$2,TblImps[[#This Row],[Part 3]]&lt;&gt;""),TblImps[[#This Row],[Amount 3]])</f>
        <v>0</v>
      </c>
      <c r="AQ68" s="132"/>
      <c r="AR6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32"/>
      <c r="AW6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32"/>
      <c r="BB6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32"/>
      <c r="BG6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32"/>
      <c r="BL6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32"/>
      <c r="BQ6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32"/>
      <c r="BV68"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8" s="33" t="n">
        <f aca="false">TblImps[[#This Row],[Login]]</f>
        <v>1</v>
      </c>
      <c r="BX68" s="128"/>
      <c r="BY68" s="347" t="n">
        <f aca="false">OFFSET(TblImps[[#This Row],[Real time]],-1,0)+1/24</f>
        <v>45432.4166666667</v>
      </c>
      <c r="BZ68" s="348" t="n">
        <f aca="false">OFFSET(TblImps[[#This Row],[Servertime]],-1,0)+1/24</f>
        <v>45432.6666666667</v>
      </c>
      <c r="CA68" s="26"/>
      <c r="CB68" s="346"/>
      <c r="CC68" s="346"/>
    </row>
    <row r="69" customFormat="false" ht="12.75" hidden="false" customHeight="false" outlineLevel="0" collapsed="false">
      <c r="A69" s="181" t="n">
        <f aca="false">TblConstr[[#This Row],[Land]]</f>
        <v>700</v>
      </c>
      <c r="B69" s="132"/>
      <c r="C69" s="69" t="n">
        <f aca="false">TblProd[[#This Row],[Platinum]]</f>
        <v>64993</v>
      </c>
      <c r="D69" s="69" t="n">
        <f aca="false">TblProd[[#This Row],[Lumber]]</f>
        <v>6868</v>
      </c>
      <c r="E69" s="69" t="n">
        <f aca="false">TblProd[[#This Row],[Ore]]</f>
        <v>0</v>
      </c>
      <c r="F69" s="69" t="n">
        <f aca="false">TblProd[[#This Row],[Gems]]</f>
        <v>0</v>
      </c>
      <c r="G69" s="146"/>
      <c r="H69" s="69" t="n">
        <f aca="false">TblMili[[#This Row],[Draftees]]</f>
        <v>6</v>
      </c>
      <c r="I69" s="130" t="n">
        <f aca="false">TblPop[[#This Row],[Employment]]</f>
        <v>1</v>
      </c>
      <c r="J69" s="130" t="n">
        <f aca="false">TblPop[[#This Row],[Total]]/TblPop[[#This Row],[Net max]]</f>
        <v>1</v>
      </c>
      <c r="K69" s="336" t="n">
        <f aca="false">TblRezone[[#This Row],[Hour]]</f>
        <v>66</v>
      </c>
      <c r="L69" s="337" t="n">
        <f aca="false">TblImps[[#This Row],[Real time]]</f>
        <v>45432.4583333333</v>
      </c>
      <c r="M69" s="33" t="n">
        <f aca="false">IF(ISERROR(TblImps[[#This Row],[algorithm]]),0,TblImps[[#This Row],[algorithm]]*1)</f>
        <v>1</v>
      </c>
      <c r="N69" s="69" t="n">
        <f aca="false">TblImps[[#This Row],[Land]]</f>
        <v>700</v>
      </c>
      <c r="O69" s="338" t="s">
        <v>97</v>
      </c>
      <c r="P69" s="339"/>
      <c r="Q69" s="338" t="s">
        <v>734</v>
      </c>
      <c r="R69" s="338" t="s">
        <v>93</v>
      </c>
      <c r="S69" s="339"/>
      <c r="T69" s="338" t="s">
        <v>734</v>
      </c>
      <c r="U69" s="338" t="s">
        <v>35</v>
      </c>
      <c r="V69" s="339"/>
      <c r="W69" s="338" t="s">
        <v>734</v>
      </c>
      <c r="X69" s="132"/>
      <c r="Y69" s="340" t="n">
        <f aca="false">science_cap*(1-EXP(-TblImps[[#This Row],[Σ Science]]/(science_param*(OFFSET(TblImps[[#This Row],[Land]],1,0)-OFFSET(TblExplore[[#This Row],[Land Bonus]],1,0)*20)+15000)))*(1+(mason_bonus*TblConstr[[#This Row],[Tot Mas]]/TblConstr[[#This Row],[Land (2)]]))</f>
        <v>0</v>
      </c>
      <c r="Z69" s="340" t="n">
        <f aca="false">keep_cap*(1-EXP(-TblImps[[#This Row],[Σ Keep]]/(keep_param*(OFFSET(TblImps[[#This Row],[Land]],1,0)-OFFSET(TblExplore[[#This Row],[Land Bonus]],1,0)*20)+15000)))*(1+(mason_bonus*TblConstr[[#This Row],[Tot Mas]]/TblConstr[[#This Row],[Land (2)]]))</f>
        <v>0</v>
      </c>
      <c r="AA69" s="340" t="n">
        <f aca="false">harbor_towers_cap*(1-EXP(-TblImps[[#This Row],[Σ Towers]]/(towers_param*(OFFSET(TblImps[[#This Row],[Land]],1,0)-OFFSET(TblExplore[[#This Row],[Land Bonus]],1,0)*20)+15000)))*(1+(mason_bonus*TblConstr[[#This Row],[Tot Mas]]/TblConstr[[#This Row],[Land (2)]]))</f>
        <v>0</v>
      </c>
      <c r="AB69" s="340" t="n">
        <f aca="false">walls_forges_cap*(1-EXP(-TblImps[[#This Row],[Σ Forges]]/(walls_forges_param*(OFFSET(TblImps[[#This Row],[Land]],1,0)-OFFSET(TblExplore[[#This Row],[Land Bonus]],1,0)*20)+15000)))*(1+(mason_bonus*TblConstr[[#This Row],[Tot Mas]]/TblConstr[[#This Row],[Land (2)]]))</f>
        <v>0</v>
      </c>
      <c r="AC69" s="340" t="n">
        <f aca="false">walls_forges_cap*(1-EXP(-TblImps[[#This Row],[Σ Walls]]/(walls_forges_param*(OFFSET(TblImps[[#This Row],[Land]],1,0)-OFFSET(TblExplore[[#This Row],[Land Bonus]],1,0)*20)+15000)))*(1+(mason_bonus*TblConstr[[#This Row],[Tot Mas]]/TblConstr[[#This Row],[Land (2)]]))</f>
        <v>0</v>
      </c>
      <c r="AD69" s="340" t="n">
        <f aca="false">harbor_towers_cap*(1-EXP(-TblImps[[#This Row],[Σ Irrigation]]/(harbor_towers_param*(OFFSET(TblImps[[#This Row],[Land]],1,0)-OFFSET(TblExplore[[#This Row],[Land Bonus]],1,0)*20)+15000)))*(1+(mason_bonus*TblConstr[[#This Row],[Tot Mas]]/TblConstr[[#This Row],[Land (2)]]))</f>
        <v>0</v>
      </c>
      <c r="AE69" s="132"/>
      <c r="AF69" s="33" t="n">
        <f aca="false">(1+Overview!$I$28)*SUM(TblImps[[#This Row],[P2]:[G2]])+OFFSET(TblImps[[#This Row],[Σ Science]],-1,0)</f>
        <v>0</v>
      </c>
      <c r="AG69" s="33" t="n">
        <f aca="false">(1+Overview!$I$28)*SUM(TblImps[[#This Row],[P3]:[G3]])+OFFSET(TblImps[[#This Row],[Σ Keep]],-1,0)</f>
        <v>0</v>
      </c>
      <c r="AH69" s="33" t="n">
        <f aca="false">(1+Overview!$I$28 + tech_7_1*TblTech[[#This Row],[7-1]])*SUM(TblImps[[#This Row],[P4]:[G4]])+OFFSET(TblImps[[#This Row],[Σ Towers]],-1,0)</f>
        <v>0</v>
      </c>
      <c r="AI69" s="33" t="n">
        <f aca="false">(1+Overview!$I$28)*SUM(TblImps[[#This Row],[P5]:[G5]])+OFFSET(TblImps[[#This Row],[Σ Forges]],-1,0)</f>
        <v>0</v>
      </c>
      <c r="AJ69" s="33" t="n">
        <f aca="false">(1+Overview!$I$28)*SUM(TblImps[[#This Row],[P6]:[G6]])+OFFSET(TblImps[[#This Row],[Σ Walls]],-1,0)</f>
        <v>0</v>
      </c>
      <c r="AK69" s="33" t="n">
        <f aca="false">(1+Overview!$I$28 + tech_7_1*TblTech[[#This Row],[7-1]])*SUM(TblImps[[#This Row],[P7]:[G7]])+OFFSET(TblImps[[#This Row],[Σ Irrigation]],-1,0)</f>
        <v>0</v>
      </c>
      <c r="AL69" s="132"/>
      <c r="AM69" s="26" t="n">
        <f aca="false">IF(AND(TblImps[[#This Row],[Resource]]=AM$2,TblImps[[#This Row],[Part]]&lt;&gt;""),TblImps[[#This Row],[Amount]]) + IF(AND(TblImps[[#This Row],[Resource 2]]=AM$2,TblImps[[#This Row],[Part 2]]&lt;&gt;""),TblImps[[#This Row],[Amount 2]]) + IF(AND(TblImps[[#This Row],[Resource 3]]=AM$2,TblImps[[#This Row],[Part 3]]&lt;&gt;""),TblImps[[#This Row],[Amount 3]])</f>
        <v>0</v>
      </c>
      <c r="AN69" s="26" t="n">
        <f aca="false">IF(AND(TblImps[[#This Row],[Resource]]=AN$2,TblImps[[#This Row],[Part]]&lt;&gt;""),TblImps[[#This Row],[Amount]]) + IF(AND(TblImps[[#This Row],[Resource 2]]=AN$2,TblImps[[#This Row],[Part 2]]&lt;&gt;""),TblImps[[#This Row],[Amount 2]]) + IF(AND(TblImps[[#This Row],[Resource 3]]=AN$2,TblImps[[#This Row],[Part 3]]&lt;&gt;""),TblImps[[#This Row],[Amount 3]])</f>
        <v>0</v>
      </c>
      <c r="AO69" s="26" t="n">
        <f aca="false">IF(AND(TblImps[[#This Row],[Resource]]=AO$2,TblImps[[#This Row],[Part]]&lt;&gt;""),TblImps[[#This Row],[Amount]]) + IF(AND(TblImps[[#This Row],[Resource 2]]=AO$2,TblImps[[#This Row],[Part 2]]&lt;&gt;""),TblImps[[#This Row],[Amount 2]]) + IF(AND(TblImps[[#This Row],[Resource 3]]=AO$2,TblImps[[#This Row],[Part 3]]&lt;&gt;""),TblImps[[#This Row],[Amount 3]])</f>
        <v>0</v>
      </c>
      <c r="AP69" s="26" t="n">
        <f aca="false">IF(AND(TblImps[[#This Row],[Resource]]=AP$2,TblImps[[#This Row],[Part]]&lt;&gt;""),TblImps[[#This Row],[Amount]]) + IF(AND(TblImps[[#This Row],[Resource 2]]=AP$2,TblImps[[#This Row],[Part 2]]&lt;&gt;""),TblImps[[#This Row],[Amount 2]]) + IF(AND(TblImps[[#This Row],[Resource 3]]=AP$2,TblImps[[#This Row],[Part 3]]&lt;&gt;""),TblImps[[#This Row],[Amount 3]])</f>
        <v>0</v>
      </c>
      <c r="AQ69" s="132"/>
      <c r="AR6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32"/>
      <c r="AW6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32"/>
      <c r="BB6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32"/>
      <c r="BG6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32"/>
      <c r="BL6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32"/>
      <c r="BQ6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32"/>
      <c r="BV69"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9" s="33" t="n">
        <f aca="false">TblImps[[#This Row],[Login]]</f>
        <v>1</v>
      </c>
      <c r="BX69" s="128"/>
      <c r="BY69" s="347" t="n">
        <f aca="false">OFFSET(TblImps[[#This Row],[Real time]],-1,0)+1/24</f>
        <v>45432.4583333333</v>
      </c>
      <c r="BZ69" s="348" t="n">
        <f aca="false">OFFSET(TblImps[[#This Row],[Servertime]],-1,0)+1/24</f>
        <v>45432.7083333333</v>
      </c>
      <c r="CA69" s="26"/>
      <c r="CB69" s="346"/>
      <c r="CC69" s="346"/>
    </row>
    <row r="70" customFormat="false" ht="12.75" hidden="false" customHeight="false" outlineLevel="0" collapsed="false">
      <c r="A70" s="181" t="n">
        <f aca="false">TblConstr[[#This Row],[Land]]</f>
        <v>700</v>
      </c>
      <c r="B70" s="132"/>
      <c r="C70" s="69" t="n">
        <f aca="false">TblProd[[#This Row],[Platinum]]</f>
        <v>68189</v>
      </c>
      <c r="D70" s="69" t="n">
        <f aca="false">TblProd[[#This Row],[Lumber]]</f>
        <v>7924</v>
      </c>
      <c r="E70" s="69" t="n">
        <f aca="false">TblProd[[#This Row],[Ore]]</f>
        <v>0</v>
      </c>
      <c r="F70" s="69" t="n">
        <f aca="false">TblProd[[#This Row],[Gems]]</f>
        <v>0</v>
      </c>
      <c r="G70" s="146"/>
      <c r="H70" s="69" t="n">
        <f aca="false">TblMili[[#This Row],[Draftees]]</f>
        <v>0</v>
      </c>
      <c r="I70" s="130" t="n">
        <f aca="false">TblPop[[#This Row],[Employment]]</f>
        <v>1</v>
      </c>
      <c r="J70" s="130" t="n">
        <f aca="false">TblPop[[#This Row],[Total]]/TblPop[[#This Row],[Net max]]</f>
        <v>1</v>
      </c>
      <c r="K70" s="336" t="n">
        <f aca="false">TblRezone[[#This Row],[Hour]]</f>
        <v>67</v>
      </c>
      <c r="L70" s="337" t="n">
        <f aca="false">TblImps[[#This Row],[Real time]]</f>
        <v>45432.5</v>
      </c>
      <c r="M70" s="33" t="n">
        <f aca="false">IF(ISERROR(TblImps[[#This Row],[algorithm]]),0,TblImps[[#This Row],[algorithm]]*1)</f>
        <v>1</v>
      </c>
      <c r="N70" s="69" t="n">
        <f aca="false">TblImps[[#This Row],[Land]]</f>
        <v>700</v>
      </c>
      <c r="O70" s="338" t="s">
        <v>97</v>
      </c>
      <c r="P70" s="339"/>
      <c r="Q70" s="338" t="s">
        <v>734</v>
      </c>
      <c r="R70" s="338" t="s">
        <v>93</v>
      </c>
      <c r="S70" s="339"/>
      <c r="T70" s="338" t="s">
        <v>734</v>
      </c>
      <c r="U70" s="338" t="s">
        <v>35</v>
      </c>
      <c r="V70" s="339"/>
      <c r="W70" s="338" t="s">
        <v>734</v>
      </c>
      <c r="X70" s="132"/>
      <c r="Y70" s="340" t="n">
        <f aca="false">science_cap*(1-EXP(-TblImps[[#This Row],[Σ Science]]/(science_param*(OFFSET(TblImps[[#This Row],[Land]],1,0)-OFFSET(TblExplore[[#This Row],[Land Bonus]],1,0)*20)+15000)))*(1+(mason_bonus*TblConstr[[#This Row],[Tot Mas]]/TblConstr[[#This Row],[Land (2)]]))</f>
        <v>0</v>
      </c>
      <c r="Z70" s="340" t="n">
        <f aca="false">keep_cap*(1-EXP(-TblImps[[#This Row],[Σ Keep]]/(keep_param*(OFFSET(TblImps[[#This Row],[Land]],1,0)-OFFSET(TblExplore[[#This Row],[Land Bonus]],1,0)*20)+15000)))*(1+(mason_bonus*TblConstr[[#This Row],[Tot Mas]]/TblConstr[[#This Row],[Land (2)]]))</f>
        <v>0</v>
      </c>
      <c r="AA70" s="340" t="n">
        <f aca="false">harbor_towers_cap*(1-EXP(-TblImps[[#This Row],[Σ Towers]]/(towers_param*(OFFSET(TblImps[[#This Row],[Land]],1,0)-OFFSET(TblExplore[[#This Row],[Land Bonus]],1,0)*20)+15000)))*(1+(mason_bonus*TblConstr[[#This Row],[Tot Mas]]/TblConstr[[#This Row],[Land (2)]]))</f>
        <v>0</v>
      </c>
      <c r="AB70" s="340" t="n">
        <f aca="false">walls_forges_cap*(1-EXP(-TblImps[[#This Row],[Σ Forges]]/(walls_forges_param*(OFFSET(TblImps[[#This Row],[Land]],1,0)-OFFSET(TblExplore[[#This Row],[Land Bonus]],1,0)*20)+15000)))*(1+(mason_bonus*TblConstr[[#This Row],[Tot Mas]]/TblConstr[[#This Row],[Land (2)]]))</f>
        <v>0</v>
      </c>
      <c r="AC70" s="340" t="n">
        <f aca="false">walls_forges_cap*(1-EXP(-TblImps[[#This Row],[Σ Walls]]/(walls_forges_param*(OFFSET(TblImps[[#This Row],[Land]],1,0)-OFFSET(TblExplore[[#This Row],[Land Bonus]],1,0)*20)+15000)))*(1+(mason_bonus*TblConstr[[#This Row],[Tot Mas]]/TblConstr[[#This Row],[Land (2)]]))</f>
        <v>0</v>
      </c>
      <c r="AD70" s="340" t="n">
        <f aca="false">harbor_towers_cap*(1-EXP(-TblImps[[#This Row],[Σ Irrigation]]/(harbor_towers_param*(OFFSET(TblImps[[#This Row],[Land]],1,0)-OFFSET(TblExplore[[#This Row],[Land Bonus]],1,0)*20)+15000)))*(1+(mason_bonus*TblConstr[[#This Row],[Tot Mas]]/TblConstr[[#This Row],[Land (2)]]))</f>
        <v>0</v>
      </c>
      <c r="AE70" s="132"/>
      <c r="AF70" s="33" t="n">
        <f aca="false">(1+Overview!$I$28)*SUM(TblImps[[#This Row],[P2]:[G2]])+OFFSET(TblImps[[#This Row],[Σ Science]],-1,0)</f>
        <v>0</v>
      </c>
      <c r="AG70" s="33" t="n">
        <f aca="false">(1+Overview!$I$28)*SUM(TblImps[[#This Row],[P3]:[G3]])+OFFSET(TblImps[[#This Row],[Σ Keep]],-1,0)</f>
        <v>0</v>
      </c>
      <c r="AH70" s="33" t="n">
        <f aca="false">(1+Overview!$I$28 + tech_7_1*TblTech[[#This Row],[7-1]])*SUM(TblImps[[#This Row],[P4]:[G4]])+OFFSET(TblImps[[#This Row],[Σ Towers]],-1,0)</f>
        <v>0</v>
      </c>
      <c r="AI70" s="33" t="n">
        <f aca="false">(1+Overview!$I$28)*SUM(TblImps[[#This Row],[P5]:[G5]])+OFFSET(TblImps[[#This Row],[Σ Forges]],-1,0)</f>
        <v>0</v>
      </c>
      <c r="AJ70" s="33" t="n">
        <f aca="false">(1+Overview!$I$28)*SUM(TblImps[[#This Row],[P6]:[G6]])+OFFSET(TblImps[[#This Row],[Σ Walls]],-1,0)</f>
        <v>0</v>
      </c>
      <c r="AK70" s="33" t="n">
        <f aca="false">(1+Overview!$I$28 + tech_7_1*TblTech[[#This Row],[7-1]])*SUM(TblImps[[#This Row],[P7]:[G7]])+OFFSET(TblImps[[#This Row],[Σ Irrigation]],-1,0)</f>
        <v>0</v>
      </c>
      <c r="AL70" s="132"/>
      <c r="AM70" s="26" t="n">
        <f aca="false">IF(AND(TblImps[[#This Row],[Resource]]=AM$2,TblImps[[#This Row],[Part]]&lt;&gt;""),TblImps[[#This Row],[Amount]]) + IF(AND(TblImps[[#This Row],[Resource 2]]=AM$2,TblImps[[#This Row],[Part 2]]&lt;&gt;""),TblImps[[#This Row],[Amount 2]]) + IF(AND(TblImps[[#This Row],[Resource 3]]=AM$2,TblImps[[#This Row],[Part 3]]&lt;&gt;""),TblImps[[#This Row],[Amount 3]])</f>
        <v>0</v>
      </c>
      <c r="AN70" s="26" t="n">
        <f aca="false">IF(AND(TblImps[[#This Row],[Resource]]=AN$2,TblImps[[#This Row],[Part]]&lt;&gt;""),TblImps[[#This Row],[Amount]]) + IF(AND(TblImps[[#This Row],[Resource 2]]=AN$2,TblImps[[#This Row],[Part 2]]&lt;&gt;""),TblImps[[#This Row],[Amount 2]]) + IF(AND(TblImps[[#This Row],[Resource 3]]=AN$2,TblImps[[#This Row],[Part 3]]&lt;&gt;""),TblImps[[#This Row],[Amount 3]])</f>
        <v>0</v>
      </c>
      <c r="AO70" s="26" t="n">
        <f aca="false">IF(AND(TblImps[[#This Row],[Resource]]=AO$2,TblImps[[#This Row],[Part]]&lt;&gt;""),TblImps[[#This Row],[Amount]]) + IF(AND(TblImps[[#This Row],[Resource 2]]=AO$2,TblImps[[#This Row],[Part 2]]&lt;&gt;""),TblImps[[#This Row],[Amount 2]]) + IF(AND(TblImps[[#This Row],[Resource 3]]=AO$2,TblImps[[#This Row],[Part 3]]&lt;&gt;""),TblImps[[#This Row],[Amount 3]])</f>
        <v>0</v>
      </c>
      <c r="AP70" s="26" t="n">
        <f aca="false">IF(AND(TblImps[[#This Row],[Resource]]=AP$2,TblImps[[#This Row],[Part]]&lt;&gt;""),TblImps[[#This Row],[Amount]]) + IF(AND(TblImps[[#This Row],[Resource 2]]=AP$2,TblImps[[#This Row],[Part 2]]&lt;&gt;""),TblImps[[#This Row],[Amount 2]]) + IF(AND(TblImps[[#This Row],[Resource 3]]=AP$2,TblImps[[#This Row],[Part 3]]&lt;&gt;""),TblImps[[#This Row],[Amount 3]])</f>
        <v>0</v>
      </c>
      <c r="AQ70" s="132"/>
      <c r="AR7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32"/>
      <c r="AW7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32"/>
      <c r="BB7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32"/>
      <c r="BG7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32"/>
      <c r="BL7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32"/>
      <c r="BQ7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32"/>
      <c r="BV70"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0" s="33" t="n">
        <f aca="false">TblImps[[#This Row],[Login]]</f>
        <v>1</v>
      </c>
      <c r="BX70" s="128"/>
      <c r="BY70" s="347" t="n">
        <f aca="false">OFFSET(TblImps[[#This Row],[Real time]],-1,0)+1/24</f>
        <v>45432.5</v>
      </c>
      <c r="BZ70" s="348" t="n">
        <f aca="false">OFFSET(TblImps[[#This Row],[Servertime]],-1,0)+1/24</f>
        <v>45432.75</v>
      </c>
      <c r="CA70" s="26"/>
      <c r="CB70" s="346"/>
      <c r="CC70" s="346"/>
    </row>
    <row r="71" customFormat="false" ht="12.75" hidden="false" customHeight="false" outlineLevel="0" collapsed="false">
      <c r="A71" s="181" t="n">
        <f aca="false">TblConstr[[#This Row],[Land]]</f>
        <v>700</v>
      </c>
      <c r="B71" s="132"/>
      <c r="C71" s="69" t="n">
        <f aca="false">TblProd[[#This Row],[Platinum]]</f>
        <v>74962</v>
      </c>
      <c r="D71" s="69" t="n">
        <f aca="false">TblProd[[#This Row],[Lumber]]</f>
        <v>8970</v>
      </c>
      <c r="E71" s="69" t="n">
        <f aca="false">TblProd[[#This Row],[Ore]]</f>
        <v>0</v>
      </c>
      <c r="F71" s="69" t="n">
        <f aca="false">TblProd[[#This Row],[Gems]]</f>
        <v>0</v>
      </c>
      <c r="G71" s="146"/>
      <c r="H71" s="69" t="n">
        <f aca="false">TblMili[[#This Row],[Draftees]]</f>
        <v>0</v>
      </c>
      <c r="I71" s="130" t="n">
        <f aca="false">TblPop[[#This Row],[Employment]]</f>
        <v>1</v>
      </c>
      <c r="J71" s="130" t="n">
        <f aca="false">TblPop[[#This Row],[Total]]/TblPop[[#This Row],[Net max]]</f>
        <v>1</v>
      </c>
      <c r="K71" s="336" t="n">
        <f aca="false">TblRezone[[#This Row],[Hour]]</f>
        <v>68</v>
      </c>
      <c r="L71" s="337" t="n">
        <f aca="false">TblImps[[#This Row],[Real time]]</f>
        <v>45432.5416666667</v>
      </c>
      <c r="M71" s="33" t="n">
        <f aca="false">IF(ISERROR(TblImps[[#This Row],[algorithm]]),0,TblImps[[#This Row],[algorithm]]*1)</f>
        <v>1</v>
      </c>
      <c r="N71" s="69" t="n">
        <f aca="false">TblImps[[#This Row],[Land]]</f>
        <v>700</v>
      </c>
      <c r="O71" s="338" t="s">
        <v>97</v>
      </c>
      <c r="P71" s="339"/>
      <c r="Q71" s="338" t="s">
        <v>734</v>
      </c>
      <c r="R71" s="338" t="s">
        <v>93</v>
      </c>
      <c r="S71" s="339"/>
      <c r="T71" s="338" t="s">
        <v>734</v>
      </c>
      <c r="U71" s="338" t="s">
        <v>35</v>
      </c>
      <c r="V71" s="339"/>
      <c r="W71" s="338" t="s">
        <v>734</v>
      </c>
      <c r="X71" s="132"/>
      <c r="Y71" s="340" t="n">
        <f aca="false">science_cap*(1-EXP(-TblImps[[#This Row],[Σ Science]]/(science_param*(OFFSET(TblImps[[#This Row],[Land]],1,0)-OFFSET(TblExplore[[#This Row],[Land Bonus]],1,0)*20)+15000)))*(1+(mason_bonus*TblConstr[[#This Row],[Tot Mas]]/TblConstr[[#This Row],[Land (2)]]))</f>
        <v>0</v>
      </c>
      <c r="Z71" s="340" t="n">
        <f aca="false">keep_cap*(1-EXP(-TblImps[[#This Row],[Σ Keep]]/(keep_param*(OFFSET(TblImps[[#This Row],[Land]],1,0)-OFFSET(TblExplore[[#This Row],[Land Bonus]],1,0)*20)+15000)))*(1+(mason_bonus*TblConstr[[#This Row],[Tot Mas]]/TblConstr[[#This Row],[Land (2)]]))</f>
        <v>0</v>
      </c>
      <c r="AA71" s="340" t="n">
        <f aca="false">harbor_towers_cap*(1-EXP(-TblImps[[#This Row],[Σ Towers]]/(towers_param*(OFFSET(TblImps[[#This Row],[Land]],1,0)-OFFSET(TblExplore[[#This Row],[Land Bonus]],1,0)*20)+15000)))*(1+(mason_bonus*TblConstr[[#This Row],[Tot Mas]]/TblConstr[[#This Row],[Land (2)]]))</f>
        <v>0</v>
      </c>
      <c r="AB71" s="340" t="n">
        <f aca="false">walls_forges_cap*(1-EXP(-TblImps[[#This Row],[Σ Forges]]/(walls_forges_param*(OFFSET(TblImps[[#This Row],[Land]],1,0)-OFFSET(TblExplore[[#This Row],[Land Bonus]],1,0)*20)+15000)))*(1+(mason_bonus*TblConstr[[#This Row],[Tot Mas]]/TblConstr[[#This Row],[Land (2)]]))</f>
        <v>0</v>
      </c>
      <c r="AC71" s="340" t="n">
        <f aca="false">walls_forges_cap*(1-EXP(-TblImps[[#This Row],[Σ Walls]]/(walls_forges_param*(OFFSET(TblImps[[#This Row],[Land]],1,0)-OFFSET(TblExplore[[#This Row],[Land Bonus]],1,0)*20)+15000)))*(1+(mason_bonus*TblConstr[[#This Row],[Tot Mas]]/TblConstr[[#This Row],[Land (2)]]))</f>
        <v>0</v>
      </c>
      <c r="AD71" s="340" t="n">
        <f aca="false">harbor_towers_cap*(1-EXP(-TblImps[[#This Row],[Σ Irrigation]]/(harbor_towers_param*(OFFSET(TblImps[[#This Row],[Land]],1,0)-OFFSET(TblExplore[[#This Row],[Land Bonus]],1,0)*20)+15000)))*(1+(mason_bonus*TblConstr[[#This Row],[Tot Mas]]/TblConstr[[#This Row],[Land (2)]]))</f>
        <v>0</v>
      </c>
      <c r="AE71" s="132"/>
      <c r="AF71" s="33" t="n">
        <f aca="false">(1+Overview!$I$28)*SUM(TblImps[[#This Row],[P2]:[G2]])+OFFSET(TblImps[[#This Row],[Σ Science]],-1,0)</f>
        <v>0</v>
      </c>
      <c r="AG71" s="33" t="n">
        <f aca="false">(1+Overview!$I$28)*SUM(TblImps[[#This Row],[P3]:[G3]])+OFFSET(TblImps[[#This Row],[Σ Keep]],-1,0)</f>
        <v>0</v>
      </c>
      <c r="AH71" s="33" t="n">
        <f aca="false">(1+Overview!$I$28 + tech_7_1*TblTech[[#This Row],[7-1]])*SUM(TblImps[[#This Row],[P4]:[G4]])+OFFSET(TblImps[[#This Row],[Σ Towers]],-1,0)</f>
        <v>0</v>
      </c>
      <c r="AI71" s="33" t="n">
        <f aca="false">(1+Overview!$I$28)*SUM(TblImps[[#This Row],[P5]:[G5]])+OFFSET(TblImps[[#This Row],[Σ Forges]],-1,0)</f>
        <v>0</v>
      </c>
      <c r="AJ71" s="33" t="n">
        <f aca="false">(1+Overview!$I$28)*SUM(TblImps[[#This Row],[P6]:[G6]])+OFFSET(TblImps[[#This Row],[Σ Walls]],-1,0)</f>
        <v>0</v>
      </c>
      <c r="AK71" s="33" t="n">
        <f aca="false">(1+Overview!$I$28 + tech_7_1*TblTech[[#This Row],[7-1]])*SUM(TblImps[[#This Row],[P7]:[G7]])+OFFSET(TblImps[[#This Row],[Σ Irrigation]],-1,0)</f>
        <v>0</v>
      </c>
      <c r="AL71" s="132"/>
      <c r="AM71" s="26" t="n">
        <f aca="false">IF(AND(TblImps[[#This Row],[Resource]]=AM$2,TblImps[[#This Row],[Part]]&lt;&gt;""),TblImps[[#This Row],[Amount]]) + IF(AND(TblImps[[#This Row],[Resource 2]]=AM$2,TblImps[[#This Row],[Part 2]]&lt;&gt;""),TblImps[[#This Row],[Amount 2]]) + IF(AND(TblImps[[#This Row],[Resource 3]]=AM$2,TblImps[[#This Row],[Part 3]]&lt;&gt;""),TblImps[[#This Row],[Amount 3]])</f>
        <v>0</v>
      </c>
      <c r="AN71" s="26" t="n">
        <f aca="false">IF(AND(TblImps[[#This Row],[Resource]]=AN$2,TblImps[[#This Row],[Part]]&lt;&gt;""),TblImps[[#This Row],[Amount]]) + IF(AND(TblImps[[#This Row],[Resource 2]]=AN$2,TblImps[[#This Row],[Part 2]]&lt;&gt;""),TblImps[[#This Row],[Amount 2]]) + IF(AND(TblImps[[#This Row],[Resource 3]]=AN$2,TblImps[[#This Row],[Part 3]]&lt;&gt;""),TblImps[[#This Row],[Amount 3]])</f>
        <v>0</v>
      </c>
      <c r="AO71" s="26" t="n">
        <f aca="false">IF(AND(TblImps[[#This Row],[Resource]]=AO$2,TblImps[[#This Row],[Part]]&lt;&gt;""),TblImps[[#This Row],[Amount]]) + IF(AND(TblImps[[#This Row],[Resource 2]]=AO$2,TblImps[[#This Row],[Part 2]]&lt;&gt;""),TblImps[[#This Row],[Amount 2]]) + IF(AND(TblImps[[#This Row],[Resource 3]]=AO$2,TblImps[[#This Row],[Part 3]]&lt;&gt;""),TblImps[[#This Row],[Amount 3]])</f>
        <v>0</v>
      </c>
      <c r="AP71" s="26" t="n">
        <f aca="false">IF(AND(TblImps[[#This Row],[Resource]]=AP$2,TblImps[[#This Row],[Part]]&lt;&gt;""),TblImps[[#This Row],[Amount]]) + IF(AND(TblImps[[#This Row],[Resource 2]]=AP$2,TblImps[[#This Row],[Part 2]]&lt;&gt;""),TblImps[[#This Row],[Amount 2]]) + IF(AND(TblImps[[#This Row],[Resource 3]]=AP$2,TblImps[[#This Row],[Part 3]]&lt;&gt;""),TblImps[[#This Row],[Amount 3]])</f>
        <v>0</v>
      </c>
      <c r="AQ71" s="132"/>
      <c r="AR7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32"/>
      <c r="AW7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32"/>
      <c r="BB7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32"/>
      <c r="BG7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32"/>
      <c r="BL7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32"/>
      <c r="BQ7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32"/>
      <c r="BV71"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1" s="33" t="n">
        <f aca="false">TblImps[[#This Row],[Login]]</f>
        <v>1</v>
      </c>
      <c r="BX71" s="128"/>
      <c r="BY71" s="347" t="n">
        <f aca="false">OFFSET(TblImps[[#This Row],[Real time]],-1,0)+1/24</f>
        <v>45432.5416666667</v>
      </c>
      <c r="BZ71" s="348" t="n">
        <f aca="false">OFFSET(TblImps[[#This Row],[Servertime]],-1,0)+1/24</f>
        <v>45432.7916666667</v>
      </c>
      <c r="CA71" s="26"/>
      <c r="CB71" s="346"/>
      <c r="CC71" s="346"/>
    </row>
    <row r="72" customFormat="false" ht="12.75" hidden="false" customHeight="false" outlineLevel="0" collapsed="false">
      <c r="A72" s="181" t="n">
        <f aca="false">TblConstr[[#This Row],[Land]]</f>
        <v>700</v>
      </c>
      <c r="B72" s="132"/>
      <c r="C72" s="69" t="n">
        <f aca="false">TblProd[[#This Row],[Platinum]]</f>
        <v>60402</v>
      </c>
      <c r="D72" s="69" t="n">
        <f aca="false">TblProd[[#This Row],[Lumber]]</f>
        <v>10005</v>
      </c>
      <c r="E72" s="69" t="n">
        <f aca="false">TblProd[[#This Row],[Ore]]</f>
        <v>0</v>
      </c>
      <c r="F72" s="69" t="n">
        <f aca="false">TblProd[[#This Row],[Gems]]</f>
        <v>0</v>
      </c>
      <c r="G72" s="146"/>
      <c r="H72" s="69" t="n">
        <f aca="false">TblMili[[#This Row],[Draftees]]</f>
        <v>0</v>
      </c>
      <c r="I72" s="130" t="n">
        <f aca="false">TblPop[[#This Row],[Employment]]</f>
        <v>1</v>
      </c>
      <c r="J72" s="130" t="n">
        <f aca="false">TblPop[[#This Row],[Total]]/TblPop[[#This Row],[Net max]]</f>
        <v>1</v>
      </c>
      <c r="K72" s="336" t="n">
        <f aca="false">TblRezone[[#This Row],[Hour]]</f>
        <v>69</v>
      </c>
      <c r="L72" s="337" t="n">
        <f aca="false">TblImps[[#This Row],[Real time]]</f>
        <v>45432.5833333333</v>
      </c>
      <c r="M72" s="33" t="n">
        <f aca="false">IF(ISERROR(TblImps[[#This Row],[algorithm]]),0,TblImps[[#This Row],[algorithm]]*1)</f>
        <v>1</v>
      </c>
      <c r="N72" s="69" t="n">
        <f aca="false">TblImps[[#This Row],[Land]]</f>
        <v>700</v>
      </c>
      <c r="O72" s="338" t="s">
        <v>97</v>
      </c>
      <c r="P72" s="339"/>
      <c r="Q72" s="338" t="s">
        <v>734</v>
      </c>
      <c r="R72" s="338" t="s">
        <v>93</v>
      </c>
      <c r="S72" s="339"/>
      <c r="T72" s="338" t="s">
        <v>734</v>
      </c>
      <c r="U72" s="338" t="s">
        <v>35</v>
      </c>
      <c r="V72" s="339"/>
      <c r="W72" s="338" t="s">
        <v>734</v>
      </c>
      <c r="X72" s="132"/>
      <c r="Y72" s="340" t="n">
        <f aca="false">science_cap*(1-EXP(-TblImps[[#This Row],[Σ Science]]/(science_param*(OFFSET(TblImps[[#This Row],[Land]],1,0)-OFFSET(TblExplore[[#This Row],[Land Bonus]],1,0)*20)+15000)))*(1+(mason_bonus*TblConstr[[#This Row],[Tot Mas]]/TblConstr[[#This Row],[Land (2)]]))</f>
        <v>0</v>
      </c>
      <c r="Z72" s="340" t="n">
        <f aca="false">keep_cap*(1-EXP(-TblImps[[#This Row],[Σ Keep]]/(keep_param*(OFFSET(TblImps[[#This Row],[Land]],1,0)-OFFSET(TblExplore[[#This Row],[Land Bonus]],1,0)*20)+15000)))*(1+(mason_bonus*TblConstr[[#This Row],[Tot Mas]]/TblConstr[[#This Row],[Land (2)]]))</f>
        <v>0</v>
      </c>
      <c r="AA72" s="340" t="n">
        <f aca="false">harbor_towers_cap*(1-EXP(-TblImps[[#This Row],[Σ Towers]]/(towers_param*(OFFSET(TblImps[[#This Row],[Land]],1,0)-OFFSET(TblExplore[[#This Row],[Land Bonus]],1,0)*20)+15000)))*(1+(mason_bonus*TblConstr[[#This Row],[Tot Mas]]/TblConstr[[#This Row],[Land (2)]]))</f>
        <v>0</v>
      </c>
      <c r="AB72" s="340" t="n">
        <f aca="false">walls_forges_cap*(1-EXP(-TblImps[[#This Row],[Σ Forges]]/(walls_forges_param*(OFFSET(TblImps[[#This Row],[Land]],1,0)-OFFSET(TblExplore[[#This Row],[Land Bonus]],1,0)*20)+15000)))*(1+(mason_bonus*TblConstr[[#This Row],[Tot Mas]]/TblConstr[[#This Row],[Land (2)]]))</f>
        <v>0</v>
      </c>
      <c r="AC72" s="340" t="n">
        <f aca="false">walls_forges_cap*(1-EXP(-TblImps[[#This Row],[Σ Walls]]/(walls_forges_param*(OFFSET(TblImps[[#This Row],[Land]],1,0)-OFFSET(TblExplore[[#This Row],[Land Bonus]],1,0)*20)+15000)))*(1+(mason_bonus*TblConstr[[#This Row],[Tot Mas]]/TblConstr[[#This Row],[Land (2)]]))</f>
        <v>0</v>
      </c>
      <c r="AD72" s="340" t="n">
        <f aca="false">harbor_towers_cap*(1-EXP(-TblImps[[#This Row],[Σ Irrigation]]/(harbor_towers_param*(OFFSET(TblImps[[#This Row],[Land]],1,0)-OFFSET(TblExplore[[#This Row],[Land Bonus]],1,0)*20)+15000)))*(1+(mason_bonus*TblConstr[[#This Row],[Tot Mas]]/TblConstr[[#This Row],[Land (2)]]))</f>
        <v>0</v>
      </c>
      <c r="AE72" s="132"/>
      <c r="AF72" s="33" t="n">
        <f aca="false">(1+Overview!$I$28)*SUM(TblImps[[#This Row],[P2]:[G2]])+OFFSET(TblImps[[#This Row],[Σ Science]],-1,0)</f>
        <v>0</v>
      </c>
      <c r="AG72" s="33" t="n">
        <f aca="false">(1+Overview!$I$28)*SUM(TblImps[[#This Row],[P3]:[G3]])+OFFSET(TblImps[[#This Row],[Σ Keep]],-1,0)</f>
        <v>0</v>
      </c>
      <c r="AH72" s="33" t="n">
        <f aca="false">(1+Overview!$I$28 + tech_7_1*TblTech[[#This Row],[7-1]])*SUM(TblImps[[#This Row],[P4]:[G4]])+OFFSET(TblImps[[#This Row],[Σ Towers]],-1,0)</f>
        <v>0</v>
      </c>
      <c r="AI72" s="33" t="n">
        <f aca="false">(1+Overview!$I$28)*SUM(TblImps[[#This Row],[P5]:[G5]])+OFFSET(TblImps[[#This Row],[Σ Forges]],-1,0)</f>
        <v>0</v>
      </c>
      <c r="AJ72" s="33" t="n">
        <f aca="false">(1+Overview!$I$28)*SUM(TblImps[[#This Row],[P6]:[G6]])+OFFSET(TblImps[[#This Row],[Σ Walls]],-1,0)</f>
        <v>0</v>
      </c>
      <c r="AK72" s="33" t="n">
        <f aca="false">(1+Overview!$I$28 + tech_7_1*TblTech[[#This Row],[7-1]])*SUM(TblImps[[#This Row],[P7]:[G7]])+OFFSET(TblImps[[#This Row],[Σ Irrigation]],-1,0)</f>
        <v>0</v>
      </c>
      <c r="AL72" s="132"/>
      <c r="AM72" s="26" t="n">
        <f aca="false">IF(AND(TblImps[[#This Row],[Resource]]=AM$2,TblImps[[#This Row],[Part]]&lt;&gt;""),TblImps[[#This Row],[Amount]]) + IF(AND(TblImps[[#This Row],[Resource 2]]=AM$2,TblImps[[#This Row],[Part 2]]&lt;&gt;""),TblImps[[#This Row],[Amount 2]]) + IF(AND(TblImps[[#This Row],[Resource 3]]=AM$2,TblImps[[#This Row],[Part 3]]&lt;&gt;""),TblImps[[#This Row],[Amount 3]])</f>
        <v>0</v>
      </c>
      <c r="AN72" s="26" t="n">
        <f aca="false">IF(AND(TblImps[[#This Row],[Resource]]=AN$2,TblImps[[#This Row],[Part]]&lt;&gt;""),TblImps[[#This Row],[Amount]]) + IF(AND(TblImps[[#This Row],[Resource 2]]=AN$2,TblImps[[#This Row],[Part 2]]&lt;&gt;""),TblImps[[#This Row],[Amount 2]]) + IF(AND(TblImps[[#This Row],[Resource 3]]=AN$2,TblImps[[#This Row],[Part 3]]&lt;&gt;""),TblImps[[#This Row],[Amount 3]])</f>
        <v>0</v>
      </c>
      <c r="AO72" s="26" t="n">
        <f aca="false">IF(AND(TblImps[[#This Row],[Resource]]=AO$2,TblImps[[#This Row],[Part]]&lt;&gt;""),TblImps[[#This Row],[Amount]]) + IF(AND(TblImps[[#This Row],[Resource 2]]=AO$2,TblImps[[#This Row],[Part 2]]&lt;&gt;""),TblImps[[#This Row],[Amount 2]]) + IF(AND(TblImps[[#This Row],[Resource 3]]=AO$2,TblImps[[#This Row],[Part 3]]&lt;&gt;""),TblImps[[#This Row],[Amount 3]])</f>
        <v>0</v>
      </c>
      <c r="AP72" s="26" t="n">
        <f aca="false">IF(AND(TblImps[[#This Row],[Resource]]=AP$2,TblImps[[#This Row],[Part]]&lt;&gt;""),TblImps[[#This Row],[Amount]]) + IF(AND(TblImps[[#This Row],[Resource 2]]=AP$2,TblImps[[#This Row],[Part 2]]&lt;&gt;""),TblImps[[#This Row],[Amount 2]]) + IF(AND(TblImps[[#This Row],[Resource 3]]=AP$2,TblImps[[#This Row],[Part 3]]&lt;&gt;""),TblImps[[#This Row],[Amount 3]])</f>
        <v>0</v>
      </c>
      <c r="AQ72" s="132"/>
      <c r="AR7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32"/>
      <c r="AW7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32"/>
      <c r="BB7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32"/>
      <c r="BG7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32"/>
      <c r="BL7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32"/>
      <c r="BQ7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32"/>
      <c r="BV72"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2" s="33" t="n">
        <f aca="false">TblImps[[#This Row],[Login]]</f>
        <v>1</v>
      </c>
      <c r="BX72" s="128"/>
      <c r="BY72" s="347" t="n">
        <f aca="false">OFFSET(TblImps[[#This Row],[Real time]],-1,0)+1/24</f>
        <v>45432.5833333333</v>
      </c>
      <c r="BZ72" s="348" t="n">
        <f aca="false">OFFSET(TblImps[[#This Row],[Servertime]],-1,0)+1/24</f>
        <v>45432.8333333333</v>
      </c>
      <c r="CA72" s="26"/>
      <c r="CB72" s="346"/>
      <c r="CC72" s="346"/>
    </row>
    <row r="73" customFormat="false" ht="12.75" hidden="false" customHeight="false" outlineLevel="0" collapsed="false">
      <c r="A73" s="181" t="n">
        <f aca="false">TblConstr[[#This Row],[Land]]</f>
        <v>700</v>
      </c>
      <c r="B73" s="132"/>
      <c r="C73" s="69" t="n">
        <f aca="false">TblProd[[#This Row],[Platinum]]</f>
        <v>46144</v>
      </c>
      <c r="D73" s="69" t="n">
        <f aca="false">TblProd[[#This Row],[Lumber]]</f>
        <v>11030</v>
      </c>
      <c r="E73" s="69" t="n">
        <f aca="false">TblProd[[#This Row],[Ore]]</f>
        <v>0</v>
      </c>
      <c r="F73" s="69" t="n">
        <f aca="false">TblProd[[#This Row],[Gems]]</f>
        <v>0</v>
      </c>
      <c r="G73" s="146"/>
      <c r="H73" s="69" t="n">
        <f aca="false">TblMili[[#This Row],[Draftees]]</f>
        <v>0</v>
      </c>
      <c r="I73" s="130" t="n">
        <f aca="false">TblPop[[#This Row],[Employment]]</f>
        <v>1</v>
      </c>
      <c r="J73" s="130" t="n">
        <f aca="false">TblPop[[#This Row],[Total]]/TblPop[[#This Row],[Net max]]</f>
        <v>1</v>
      </c>
      <c r="K73" s="336" t="n">
        <f aca="false">TblRezone[[#This Row],[Hour]]</f>
        <v>70</v>
      </c>
      <c r="L73" s="337" t="n">
        <f aca="false">TblImps[[#This Row],[Real time]]</f>
        <v>45432.625</v>
      </c>
      <c r="M73" s="33" t="n">
        <f aca="false">IF(ISERROR(TblImps[[#This Row],[algorithm]]),0,TblImps[[#This Row],[algorithm]]*1)</f>
        <v>1</v>
      </c>
      <c r="N73" s="69" t="n">
        <f aca="false">TblImps[[#This Row],[Land]]</f>
        <v>700</v>
      </c>
      <c r="O73" s="338" t="s">
        <v>97</v>
      </c>
      <c r="P73" s="339"/>
      <c r="Q73" s="338" t="s">
        <v>734</v>
      </c>
      <c r="R73" s="338" t="s">
        <v>93</v>
      </c>
      <c r="S73" s="339"/>
      <c r="T73" s="338" t="s">
        <v>734</v>
      </c>
      <c r="U73" s="338" t="s">
        <v>35</v>
      </c>
      <c r="V73" s="339"/>
      <c r="W73" s="338" t="s">
        <v>734</v>
      </c>
      <c r="X73" s="132"/>
      <c r="Y73" s="340" t="n">
        <f aca="false">science_cap*(1-EXP(-TblImps[[#This Row],[Σ Science]]/(science_param*(OFFSET(TblImps[[#This Row],[Land]],1,0)-OFFSET(TblExplore[[#This Row],[Land Bonus]],1,0)*20)+15000)))*(1+(mason_bonus*TblConstr[[#This Row],[Tot Mas]]/TblConstr[[#This Row],[Land (2)]]))</f>
        <v>0</v>
      </c>
      <c r="Z73" s="340" t="n">
        <f aca="false">keep_cap*(1-EXP(-TblImps[[#This Row],[Σ Keep]]/(keep_param*(OFFSET(TblImps[[#This Row],[Land]],1,0)-OFFSET(TblExplore[[#This Row],[Land Bonus]],1,0)*20)+15000)))*(1+(mason_bonus*TblConstr[[#This Row],[Tot Mas]]/TblConstr[[#This Row],[Land (2)]]))</f>
        <v>0</v>
      </c>
      <c r="AA73" s="340" t="n">
        <f aca="false">harbor_towers_cap*(1-EXP(-TblImps[[#This Row],[Σ Towers]]/(towers_param*(OFFSET(TblImps[[#This Row],[Land]],1,0)-OFFSET(TblExplore[[#This Row],[Land Bonus]],1,0)*20)+15000)))*(1+(mason_bonus*TblConstr[[#This Row],[Tot Mas]]/TblConstr[[#This Row],[Land (2)]]))</f>
        <v>0</v>
      </c>
      <c r="AB73" s="340" t="n">
        <f aca="false">walls_forges_cap*(1-EXP(-TblImps[[#This Row],[Σ Forges]]/(walls_forges_param*(OFFSET(TblImps[[#This Row],[Land]],1,0)-OFFSET(TblExplore[[#This Row],[Land Bonus]],1,0)*20)+15000)))*(1+(mason_bonus*TblConstr[[#This Row],[Tot Mas]]/TblConstr[[#This Row],[Land (2)]]))</f>
        <v>0</v>
      </c>
      <c r="AC73" s="340" t="n">
        <f aca="false">walls_forges_cap*(1-EXP(-TblImps[[#This Row],[Σ Walls]]/(walls_forges_param*(OFFSET(TblImps[[#This Row],[Land]],1,0)-OFFSET(TblExplore[[#This Row],[Land Bonus]],1,0)*20)+15000)))*(1+(mason_bonus*TblConstr[[#This Row],[Tot Mas]]/TblConstr[[#This Row],[Land (2)]]))</f>
        <v>0</v>
      </c>
      <c r="AD73" s="340" t="n">
        <f aca="false">harbor_towers_cap*(1-EXP(-TblImps[[#This Row],[Σ Irrigation]]/(harbor_towers_param*(OFFSET(TblImps[[#This Row],[Land]],1,0)-OFFSET(TblExplore[[#This Row],[Land Bonus]],1,0)*20)+15000)))*(1+(mason_bonus*TblConstr[[#This Row],[Tot Mas]]/TblConstr[[#This Row],[Land (2)]]))</f>
        <v>0</v>
      </c>
      <c r="AE73" s="132"/>
      <c r="AF73" s="33" t="n">
        <f aca="false">(1+Overview!$I$28)*SUM(TblImps[[#This Row],[P2]:[G2]])+OFFSET(TblImps[[#This Row],[Σ Science]],-1,0)</f>
        <v>0</v>
      </c>
      <c r="AG73" s="33" t="n">
        <f aca="false">(1+Overview!$I$28)*SUM(TblImps[[#This Row],[P3]:[G3]])+OFFSET(TblImps[[#This Row],[Σ Keep]],-1,0)</f>
        <v>0</v>
      </c>
      <c r="AH73" s="33" t="n">
        <f aca="false">(1+Overview!$I$28 + tech_7_1*TblTech[[#This Row],[7-1]])*SUM(TblImps[[#This Row],[P4]:[G4]])+OFFSET(TblImps[[#This Row],[Σ Towers]],-1,0)</f>
        <v>0</v>
      </c>
      <c r="AI73" s="33" t="n">
        <f aca="false">(1+Overview!$I$28)*SUM(TblImps[[#This Row],[P5]:[G5]])+OFFSET(TblImps[[#This Row],[Σ Forges]],-1,0)</f>
        <v>0</v>
      </c>
      <c r="AJ73" s="33" t="n">
        <f aca="false">(1+Overview!$I$28)*SUM(TblImps[[#This Row],[P6]:[G6]])+OFFSET(TblImps[[#This Row],[Σ Walls]],-1,0)</f>
        <v>0</v>
      </c>
      <c r="AK73" s="33" t="n">
        <f aca="false">(1+Overview!$I$28 + tech_7_1*TblTech[[#This Row],[7-1]])*SUM(TblImps[[#This Row],[P7]:[G7]])+OFFSET(TblImps[[#This Row],[Σ Irrigation]],-1,0)</f>
        <v>0</v>
      </c>
      <c r="AL73" s="132"/>
      <c r="AM73" s="26" t="n">
        <f aca="false">IF(AND(TblImps[[#This Row],[Resource]]=AM$2,TblImps[[#This Row],[Part]]&lt;&gt;""),TblImps[[#This Row],[Amount]]) + IF(AND(TblImps[[#This Row],[Resource 2]]=AM$2,TblImps[[#This Row],[Part 2]]&lt;&gt;""),TblImps[[#This Row],[Amount 2]]) + IF(AND(TblImps[[#This Row],[Resource 3]]=AM$2,TblImps[[#This Row],[Part 3]]&lt;&gt;""),TblImps[[#This Row],[Amount 3]])</f>
        <v>0</v>
      </c>
      <c r="AN73" s="26" t="n">
        <f aca="false">IF(AND(TblImps[[#This Row],[Resource]]=AN$2,TblImps[[#This Row],[Part]]&lt;&gt;""),TblImps[[#This Row],[Amount]]) + IF(AND(TblImps[[#This Row],[Resource 2]]=AN$2,TblImps[[#This Row],[Part 2]]&lt;&gt;""),TblImps[[#This Row],[Amount 2]]) + IF(AND(TblImps[[#This Row],[Resource 3]]=AN$2,TblImps[[#This Row],[Part 3]]&lt;&gt;""),TblImps[[#This Row],[Amount 3]])</f>
        <v>0</v>
      </c>
      <c r="AO73" s="26" t="n">
        <f aca="false">IF(AND(TblImps[[#This Row],[Resource]]=AO$2,TblImps[[#This Row],[Part]]&lt;&gt;""),TblImps[[#This Row],[Amount]]) + IF(AND(TblImps[[#This Row],[Resource 2]]=AO$2,TblImps[[#This Row],[Part 2]]&lt;&gt;""),TblImps[[#This Row],[Amount 2]]) + IF(AND(TblImps[[#This Row],[Resource 3]]=AO$2,TblImps[[#This Row],[Part 3]]&lt;&gt;""),TblImps[[#This Row],[Amount 3]])</f>
        <v>0</v>
      </c>
      <c r="AP73" s="26" t="n">
        <f aca="false">IF(AND(TblImps[[#This Row],[Resource]]=AP$2,TblImps[[#This Row],[Part]]&lt;&gt;""),TblImps[[#This Row],[Amount]]) + IF(AND(TblImps[[#This Row],[Resource 2]]=AP$2,TblImps[[#This Row],[Part 2]]&lt;&gt;""),TblImps[[#This Row],[Amount 2]]) + IF(AND(TblImps[[#This Row],[Resource 3]]=AP$2,TblImps[[#This Row],[Part 3]]&lt;&gt;""),TblImps[[#This Row],[Amount 3]])</f>
        <v>0</v>
      </c>
      <c r="AQ73" s="132"/>
      <c r="AR7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32"/>
      <c r="AW7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32"/>
      <c r="BB7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32"/>
      <c r="BG7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32"/>
      <c r="BL7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32"/>
      <c r="BQ7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32"/>
      <c r="BV73"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3" s="33" t="n">
        <f aca="false">TblImps[[#This Row],[Login]]</f>
        <v>1</v>
      </c>
      <c r="BX73" s="128"/>
      <c r="BY73" s="347" t="n">
        <f aca="false">OFFSET(TblImps[[#This Row],[Real time]],-1,0)+1/24</f>
        <v>45432.625</v>
      </c>
      <c r="BZ73" s="348" t="n">
        <f aca="false">OFFSET(TblImps[[#This Row],[Servertime]],-1,0)+1/24</f>
        <v>45432.875</v>
      </c>
      <c r="CA73" s="26"/>
      <c r="CB73" s="346"/>
      <c r="CC73" s="346"/>
    </row>
    <row r="74" customFormat="false" ht="12.75" hidden="false" customHeight="false" outlineLevel="0" collapsed="false">
      <c r="A74" s="181" t="n">
        <f aca="false">TblConstr[[#This Row],[Land]]</f>
        <v>700</v>
      </c>
      <c r="B74" s="132"/>
      <c r="C74" s="69" t="n">
        <f aca="false">TblProd[[#This Row],[Platinum]]</f>
        <v>32191</v>
      </c>
      <c r="D74" s="69" t="n">
        <f aca="false">TblProd[[#This Row],[Lumber]]</f>
        <v>12045</v>
      </c>
      <c r="E74" s="69" t="n">
        <f aca="false">TblProd[[#This Row],[Ore]]</f>
        <v>0</v>
      </c>
      <c r="F74" s="69" t="n">
        <f aca="false">TblProd[[#This Row],[Gems]]</f>
        <v>0</v>
      </c>
      <c r="G74" s="146"/>
      <c r="H74" s="69" t="n">
        <f aca="false">TblMili[[#This Row],[Draftees]]</f>
        <v>0</v>
      </c>
      <c r="I74" s="130" t="n">
        <f aca="false">TblPop[[#This Row],[Employment]]</f>
        <v>1</v>
      </c>
      <c r="J74" s="130" t="n">
        <f aca="false">TblPop[[#This Row],[Total]]/TblPop[[#This Row],[Net max]]</f>
        <v>1</v>
      </c>
      <c r="K74" s="336" t="n">
        <f aca="false">TblRezone[[#This Row],[Hour]]</f>
        <v>71</v>
      </c>
      <c r="L74" s="337" t="n">
        <f aca="false">TblImps[[#This Row],[Real time]]</f>
        <v>45432.6666666667</v>
      </c>
      <c r="M74" s="33" t="n">
        <f aca="false">IF(ISERROR(TblImps[[#This Row],[algorithm]]),0,TblImps[[#This Row],[algorithm]]*1)</f>
        <v>1</v>
      </c>
      <c r="N74" s="69" t="n">
        <f aca="false">TblImps[[#This Row],[Land]]</f>
        <v>700</v>
      </c>
      <c r="O74" s="338" t="s">
        <v>97</v>
      </c>
      <c r="P74" s="339"/>
      <c r="Q74" s="338" t="s">
        <v>734</v>
      </c>
      <c r="R74" s="338" t="s">
        <v>93</v>
      </c>
      <c r="S74" s="339"/>
      <c r="T74" s="338" t="s">
        <v>734</v>
      </c>
      <c r="U74" s="338" t="s">
        <v>35</v>
      </c>
      <c r="V74" s="339"/>
      <c r="W74" s="338" t="s">
        <v>734</v>
      </c>
      <c r="X74" s="132"/>
      <c r="Y74" s="340" t="n">
        <f aca="false">science_cap*(1-EXP(-TblImps[[#This Row],[Σ Science]]/(science_param*(OFFSET(TblImps[[#This Row],[Land]],1,0)-OFFSET(TblExplore[[#This Row],[Land Bonus]],1,0)*20)+15000)))*(1+(mason_bonus*TblConstr[[#This Row],[Tot Mas]]/TblConstr[[#This Row],[Land (2)]]))</f>
        <v>0</v>
      </c>
      <c r="Z74" s="340" t="n">
        <f aca="false">keep_cap*(1-EXP(-TblImps[[#This Row],[Σ Keep]]/(keep_param*(OFFSET(TblImps[[#This Row],[Land]],1,0)-OFFSET(TblExplore[[#This Row],[Land Bonus]],1,0)*20)+15000)))*(1+(mason_bonus*TblConstr[[#This Row],[Tot Mas]]/TblConstr[[#This Row],[Land (2)]]))</f>
        <v>0</v>
      </c>
      <c r="AA74" s="340" t="n">
        <f aca="false">harbor_towers_cap*(1-EXP(-TblImps[[#This Row],[Σ Towers]]/(towers_param*(OFFSET(TblImps[[#This Row],[Land]],1,0)-OFFSET(TblExplore[[#This Row],[Land Bonus]],1,0)*20)+15000)))*(1+(mason_bonus*TblConstr[[#This Row],[Tot Mas]]/TblConstr[[#This Row],[Land (2)]]))</f>
        <v>0</v>
      </c>
      <c r="AB74" s="340" t="n">
        <f aca="false">walls_forges_cap*(1-EXP(-TblImps[[#This Row],[Σ Forges]]/(walls_forges_param*(OFFSET(TblImps[[#This Row],[Land]],1,0)-OFFSET(TblExplore[[#This Row],[Land Bonus]],1,0)*20)+15000)))*(1+(mason_bonus*TblConstr[[#This Row],[Tot Mas]]/TblConstr[[#This Row],[Land (2)]]))</f>
        <v>0</v>
      </c>
      <c r="AC74" s="340" t="n">
        <f aca="false">walls_forges_cap*(1-EXP(-TblImps[[#This Row],[Σ Walls]]/(walls_forges_param*(OFFSET(TblImps[[#This Row],[Land]],1,0)-OFFSET(TblExplore[[#This Row],[Land Bonus]],1,0)*20)+15000)))*(1+(mason_bonus*TblConstr[[#This Row],[Tot Mas]]/TblConstr[[#This Row],[Land (2)]]))</f>
        <v>0</v>
      </c>
      <c r="AD74" s="340" t="n">
        <f aca="false">harbor_towers_cap*(1-EXP(-TblImps[[#This Row],[Σ Irrigation]]/(harbor_towers_param*(OFFSET(TblImps[[#This Row],[Land]],1,0)-OFFSET(TblExplore[[#This Row],[Land Bonus]],1,0)*20)+15000)))*(1+(mason_bonus*TblConstr[[#This Row],[Tot Mas]]/TblConstr[[#This Row],[Land (2)]]))</f>
        <v>0</v>
      </c>
      <c r="AE74" s="132"/>
      <c r="AF74" s="33" t="n">
        <f aca="false">(1+Overview!$I$28)*SUM(TblImps[[#This Row],[P2]:[G2]])+OFFSET(TblImps[[#This Row],[Σ Science]],-1,0)</f>
        <v>0</v>
      </c>
      <c r="AG74" s="33" t="n">
        <f aca="false">(1+Overview!$I$28)*SUM(TblImps[[#This Row],[P3]:[G3]])+OFFSET(TblImps[[#This Row],[Σ Keep]],-1,0)</f>
        <v>0</v>
      </c>
      <c r="AH74" s="33" t="n">
        <f aca="false">(1+Overview!$I$28 + tech_7_1*TblTech[[#This Row],[7-1]])*SUM(TblImps[[#This Row],[P4]:[G4]])+OFFSET(TblImps[[#This Row],[Σ Towers]],-1,0)</f>
        <v>0</v>
      </c>
      <c r="AI74" s="33" t="n">
        <f aca="false">(1+Overview!$I$28)*SUM(TblImps[[#This Row],[P5]:[G5]])+OFFSET(TblImps[[#This Row],[Σ Forges]],-1,0)</f>
        <v>0</v>
      </c>
      <c r="AJ74" s="33" t="n">
        <f aca="false">(1+Overview!$I$28)*SUM(TblImps[[#This Row],[P6]:[G6]])+OFFSET(TblImps[[#This Row],[Σ Walls]],-1,0)</f>
        <v>0</v>
      </c>
      <c r="AK74" s="33" t="n">
        <f aca="false">(1+Overview!$I$28 + tech_7_1*TblTech[[#This Row],[7-1]])*SUM(TblImps[[#This Row],[P7]:[G7]])+OFFSET(TblImps[[#This Row],[Σ Irrigation]],-1,0)</f>
        <v>0</v>
      </c>
      <c r="AL74" s="132"/>
      <c r="AM74" s="26" t="n">
        <f aca="false">IF(AND(TblImps[[#This Row],[Resource]]=AM$2,TblImps[[#This Row],[Part]]&lt;&gt;""),TblImps[[#This Row],[Amount]]) + IF(AND(TblImps[[#This Row],[Resource 2]]=AM$2,TblImps[[#This Row],[Part 2]]&lt;&gt;""),TblImps[[#This Row],[Amount 2]]) + IF(AND(TblImps[[#This Row],[Resource 3]]=AM$2,TblImps[[#This Row],[Part 3]]&lt;&gt;""),TblImps[[#This Row],[Amount 3]])</f>
        <v>0</v>
      </c>
      <c r="AN74" s="26" t="n">
        <f aca="false">IF(AND(TblImps[[#This Row],[Resource]]=AN$2,TblImps[[#This Row],[Part]]&lt;&gt;""),TblImps[[#This Row],[Amount]]) + IF(AND(TblImps[[#This Row],[Resource 2]]=AN$2,TblImps[[#This Row],[Part 2]]&lt;&gt;""),TblImps[[#This Row],[Amount 2]]) + IF(AND(TblImps[[#This Row],[Resource 3]]=AN$2,TblImps[[#This Row],[Part 3]]&lt;&gt;""),TblImps[[#This Row],[Amount 3]])</f>
        <v>0</v>
      </c>
      <c r="AO74" s="26" t="n">
        <f aca="false">IF(AND(TblImps[[#This Row],[Resource]]=AO$2,TblImps[[#This Row],[Part]]&lt;&gt;""),TblImps[[#This Row],[Amount]]) + IF(AND(TblImps[[#This Row],[Resource 2]]=AO$2,TblImps[[#This Row],[Part 2]]&lt;&gt;""),TblImps[[#This Row],[Amount 2]]) + IF(AND(TblImps[[#This Row],[Resource 3]]=AO$2,TblImps[[#This Row],[Part 3]]&lt;&gt;""),TblImps[[#This Row],[Amount 3]])</f>
        <v>0</v>
      </c>
      <c r="AP74" s="26" t="n">
        <f aca="false">IF(AND(TblImps[[#This Row],[Resource]]=AP$2,TblImps[[#This Row],[Part]]&lt;&gt;""),TblImps[[#This Row],[Amount]]) + IF(AND(TblImps[[#This Row],[Resource 2]]=AP$2,TblImps[[#This Row],[Part 2]]&lt;&gt;""),TblImps[[#This Row],[Amount 2]]) + IF(AND(TblImps[[#This Row],[Resource 3]]=AP$2,TblImps[[#This Row],[Part 3]]&lt;&gt;""),TblImps[[#This Row],[Amount 3]])</f>
        <v>0</v>
      </c>
      <c r="AQ74" s="132"/>
      <c r="AR7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32"/>
      <c r="AW7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32"/>
      <c r="BB7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32"/>
      <c r="BG7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32"/>
      <c r="BL7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32"/>
      <c r="BQ7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32"/>
      <c r="BV74"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4" s="33" t="n">
        <f aca="false">TblImps[[#This Row],[Login]]</f>
        <v>1</v>
      </c>
      <c r="BX74" s="128"/>
      <c r="BY74" s="347" t="n">
        <f aca="false">OFFSET(TblImps[[#This Row],[Real time]],-1,0)+1/24</f>
        <v>45432.6666666667</v>
      </c>
      <c r="BZ74" s="348" t="n">
        <f aca="false">OFFSET(TblImps[[#This Row],[Servertime]],-1,0)+1/24</f>
        <v>45432.9166666667</v>
      </c>
      <c r="CA74" s="26"/>
      <c r="CB74" s="346"/>
      <c r="CC74" s="346"/>
    </row>
    <row r="75" customFormat="false" ht="12.75" hidden="false" customHeight="false" outlineLevel="0" collapsed="false">
      <c r="A75" s="181" t="n">
        <f aca="false">TblConstr[[#This Row],[Land]]</f>
        <v>700</v>
      </c>
      <c r="B75" s="132"/>
      <c r="C75" s="69" t="n">
        <f aca="false">TblProd[[#This Row],[Platinum]]</f>
        <v>18546</v>
      </c>
      <c r="D75" s="69" t="n">
        <f aca="false">TblProd[[#This Row],[Lumber]]</f>
        <v>13050</v>
      </c>
      <c r="E75" s="69" t="n">
        <f aca="false">TblProd[[#This Row],[Ore]]</f>
        <v>0</v>
      </c>
      <c r="F75" s="69" t="n">
        <f aca="false">TblProd[[#This Row],[Gems]]</f>
        <v>0</v>
      </c>
      <c r="G75" s="146"/>
      <c r="H75" s="69" t="n">
        <f aca="false">TblMili[[#This Row],[Draftees]]</f>
        <v>0</v>
      </c>
      <c r="I75" s="130" t="n">
        <f aca="false">TblPop[[#This Row],[Employment]]</f>
        <v>1</v>
      </c>
      <c r="J75" s="130" t="n">
        <f aca="false">TblPop[[#This Row],[Total]]/TblPop[[#This Row],[Net max]]</f>
        <v>1</v>
      </c>
      <c r="K75" s="336" t="n">
        <f aca="false">TblRezone[[#This Row],[Hour]]</f>
        <v>72</v>
      </c>
      <c r="L75" s="337" t="n">
        <f aca="false">TblImps[[#This Row],[Real time]]</f>
        <v>45432.7083333333</v>
      </c>
      <c r="M75" s="33" t="n">
        <f aca="false">IF(ISERROR(TblImps[[#This Row],[algorithm]]),0,TblImps[[#This Row],[algorithm]]*1)</f>
        <v>1</v>
      </c>
      <c r="N75" s="69" t="n">
        <f aca="false">TblImps[[#This Row],[Land]]</f>
        <v>700</v>
      </c>
      <c r="O75" s="338" t="s">
        <v>97</v>
      </c>
      <c r="P75" s="339"/>
      <c r="Q75" s="338" t="s">
        <v>734</v>
      </c>
      <c r="R75" s="338" t="s">
        <v>93</v>
      </c>
      <c r="S75" s="339"/>
      <c r="T75" s="338" t="s">
        <v>734</v>
      </c>
      <c r="U75" s="338" t="s">
        <v>35</v>
      </c>
      <c r="V75" s="339"/>
      <c r="W75" s="338" t="s">
        <v>734</v>
      </c>
      <c r="X75" s="132"/>
      <c r="Y75" s="340" t="n">
        <f aca="false">science_cap*(1-EXP(-TblImps[[#This Row],[Σ Science]]/(science_param*(OFFSET(TblImps[[#This Row],[Land]],1,0)-OFFSET(TblExplore[[#This Row],[Land Bonus]],1,0)*20)+15000)))*(1+(mason_bonus*TblConstr[[#This Row],[Tot Mas]]/TblConstr[[#This Row],[Land (2)]]))</f>
        <v>0</v>
      </c>
      <c r="Z75" s="340" t="n">
        <f aca="false">keep_cap*(1-EXP(-TblImps[[#This Row],[Σ Keep]]/(keep_param*(OFFSET(TblImps[[#This Row],[Land]],1,0)-OFFSET(TblExplore[[#This Row],[Land Bonus]],1,0)*20)+15000)))*(1+(mason_bonus*TblConstr[[#This Row],[Tot Mas]]/TblConstr[[#This Row],[Land (2)]]))</f>
        <v>0</v>
      </c>
      <c r="AA75" s="340" t="n">
        <f aca="false">harbor_towers_cap*(1-EXP(-TblImps[[#This Row],[Σ Towers]]/(towers_param*(OFFSET(TblImps[[#This Row],[Land]],1,0)-OFFSET(TblExplore[[#This Row],[Land Bonus]],1,0)*20)+15000)))*(1+(mason_bonus*TblConstr[[#This Row],[Tot Mas]]/TblConstr[[#This Row],[Land (2)]]))</f>
        <v>0</v>
      </c>
      <c r="AB75" s="340" t="n">
        <f aca="false">walls_forges_cap*(1-EXP(-TblImps[[#This Row],[Σ Forges]]/(walls_forges_param*(OFFSET(TblImps[[#This Row],[Land]],1,0)-OFFSET(TblExplore[[#This Row],[Land Bonus]],1,0)*20)+15000)))*(1+(mason_bonus*TblConstr[[#This Row],[Tot Mas]]/TblConstr[[#This Row],[Land (2)]]))</f>
        <v>0</v>
      </c>
      <c r="AC75" s="340" t="n">
        <f aca="false">walls_forges_cap*(1-EXP(-TblImps[[#This Row],[Σ Walls]]/(walls_forges_param*(OFFSET(TblImps[[#This Row],[Land]],1,0)-OFFSET(TblExplore[[#This Row],[Land Bonus]],1,0)*20)+15000)))*(1+(mason_bonus*TblConstr[[#This Row],[Tot Mas]]/TblConstr[[#This Row],[Land (2)]]))</f>
        <v>0</v>
      </c>
      <c r="AD75" s="340" t="n">
        <f aca="false">harbor_towers_cap*(1-EXP(-TblImps[[#This Row],[Σ Irrigation]]/(harbor_towers_param*(OFFSET(TblImps[[#This Row],[Land]],1,0)-OFFSET(TblExplore[[#This Row],[Land Bonus]],1,0)*20)+15000)))*(1+(mason_bonus*TblConstr[[#This Row],[Tot Mas]]/TblConstr[[#This Row],[Land (2)]]))</f>
        <v>0</v>
      </c>
      <c r="AE75" s="132"/>
      <c r="AF75" s="33" t="n">
        <f aca="false">(1+Overview!$I$28)*SUM(TblImps[[#This Row],[P2]:[G2]])+OFFSET(TblImps[[#This Row],[Σ Science]],-1,0)</f>
        <v>0</v>
      </c>
      <c r="AG75" s="33" t="n">
        <f aca="false">(1+Overview!$I$28)*SUM(TblImps[[#This Row],[P3]:[G3]])+OFFSET(TblImps[[#This Row],[Σ Keep]],-1,0)</f>
        <v>0</v>
      </c>
      <c r="AH75" s="33" t="n">
        <f aca="false">(1+Overview!$I$28 + tech_7_1*TblTech[[#This Row],[7-1]])*SUM(TblImps[[#This Row],[P4]:[G4]])+OFFSET(TblImps[[#This Row],[Σ Towers]],-1,0)</f>
        <v>0</v>
      </c>
      <c r="AI75" s="33" t="n">
        <f aca="false">(1+Overview!$I$28)*SUM(TblImps[[#This Row],[P5]:[G5]])+OFFSET(TblImps[[#This Row],[Σ Forges]],-1,0)</f>
        <v>0</v>
      </c>
      <c r="AJ75" s="33" t="n">
        <f aca="false">(1+Overview!$I$28)*SUM(TblImps[[#This Row],[P6]:[G6]])+OFFSET(TblImps[[#This Row],[Σ Walls]],-1,0)</f>
        <v>0</v>
      </c>
      <c r="AK75" s="33" t="n">
        <f aca="false">(1+Overview!$I$28 + tech_7_1*TblTech[[#This Row],[7-1]])*SUM(TblImps[[#This Row],[P7]:[G7]])+OFFSET(TblImps[[#This Row],[Σ Irrigation]],-1,0)</f>
        <v>0</v>
      </c>
      <c r="AL75" s="132"/>
      <c r="AM75" s="26" t="n">
        <f aca="false">IF(AND(TblImps[[#This Row],[Resource]]=AM$2,TblImps[[#This Row],[Part]]&lt;&gt;""),TblImps[[#This Row],[Amount]]) + IF(AND(TblImps[[#This Row],[Resource 2]]=AM$2,TblImps[[#This Row],[Part 2]]&lt;&gt;""),TblImps[[#This Row],[Amount 2]]) + IF(AND(TblImps[[#This Row],[Resource 3]]=AM$2,TblImps[[#This Row],[Part 3]]&lt;&gt;""),TblImps[[#This Row],[Amount 3]])</f>
        <v>0</v>
      </c>
      <c r="AN75" s="26" t="n">
        <f aca="false">IF(AND(TblImps[[#This Row],[Resource]]=AN$2,TblImps[[#This Row],[Part]]&lt;&gt;""),TblImps[[#This Row],[Amount]]) + IF(AND(TblImps[[#This Row],[Resource 2]]=AN$2,TblImps[[#This Row],[Part 2]]&lt;&gt;""),TblImps[[#This Row],[Amount 2]]) + IF(AND(TblImps[[#This Row],[Resource 3]]=AN$2,TblImps[[#This Row],[Part 3]]&lt;&gt;""),TblImps[[#This Row],[Amount 3]])</f>
        <v>0</v>
      </c>
      <c r="AO75" s="26" t="n">
        <f aca="false">IF(AND(TblImps[[#This Row],[Resource]]=AO$2,TblImps[[#This Row],[Part]]&lt;&gt;""),TblImps[[#This Row],[Amount]]) + IF(AND(TblImps[[#This Row],[Resource 2]]=AO$2,TblImps[[#This Row],[Part 2]]&lt;&gt;""),TblImps[[#This Row],[Amount 2]]) + IF(AND(TblImps[[#This Row],[Resource 3]]=AO$2,TblImps[[#This Row],[Part 3]]&lt;&gt;""),TblImps[[#This Row],[Amount 3]])</f>
        <v>0</v>
      </c>
      <c r="AP75" s="26" t="n">
        <f aca="false">IF(AND(TblImps[[#This Row],[Resource]]=AP$2,TblImps[[#This Row],[Part]]&lt;&gt;""),TblImps[[#This Row],[Amount]]) + IF(AND(TblImps[[#This Row],[Resource 2]]=AP$2,TblImps[[#This Row],[Part 2]]&lt;&gt;""),TblImps[[#This Row],[Amount 2]]) + IF(AND(TblImps[[#This Row],[Resource 3]]=AP$2,TblImps[[#This Row],[Part 3]]&lt;&gt;""),TblImps[[#This Row],[Amount 3]])</f>
        <v>0</v>
      </c>
      <c r="AQ75" s="132"/>
      <c r="AR7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32"/>
      <c r="AW7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32"/>
      <c r="BB7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32"/>
      <c r="BG7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32"/>
      <c r="BL7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32"/>
      <c r="BQ7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32"/>
      <c r="BV75"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5" s="33" t="n">
        <f aca="false">TblImps[[#This Row],[Login]]</f>
        <v>1</v>
      </c>
      <c r="BX75" s="128"/>
      <c r="BY75" s="347" t="n">
        <f aca="false">OFFSET(TblImps[[#This Row],[Real time]],-1,0)+1/24</f>
        <v>45432.7083333333</v>
      </c>
      <c r="BZ75" s="348" t="n">
        <f aca="false">OFFSET(TblImps[[#This Row],[Servertime]],-1,0)+1/24</f>
        <v>45432.9583333333</v>
      </c>
      <c r="CA75" s="26"/>
      <c r="CB75" s="346"/>
      <c r="CC75" s="346"/>
    </row>
    <row r="76" customFormat="false" ht="12.75" hidden="false" customHeight="false" outlineLevel="0" collapsed="false">
      <c r="A76" s="222" t="n">
        <f aca="false">TblConstr[[#This Row],[Land]]</f>
        <v>700</v>
      </c>
      <c r="B76" s="138"/>
      <c r="C76" s="226" t="n">
        <f aca="false">TblProd[[#This Row],[Platinum]]</f>
        <v>5612</v>
      </c>
      <c r="D76" s="226" t="n">
        <f aca="false">TblProd[[#This Row],[Lumber]]</f>
        <v>14045</v>
      </c>
      <c r="E76" s="226" t="n">
        <f aca="false">TblProd[[#This Row],[Ore]]</f>
        <v>0</v>
      </c>
      <c r="F76" s="226" t="n">
        <f aca="false">TblProd[[#This Row],[Gems]]</f>
        <v>0</v>
      </c>
      <c r="G76" s="157"/>
      <c r="H76" s="226" t="n">
        <f aca="false">TblMili[[#This Row],[Draftees]]</f>
        <v>0</v>
      </c>
      <c r="I76" s="225" t="n">
        <f aca="false">TblPop[[#This Row],[Employment]]</f>
        <v>1</v>
      </c>
      <c r="J76" s="225" t="n">
        <f aca="false">TblPop[[#This Row],[Total]]/TblPop[[#This Row],[Net max]]</f>
        <v>1</v>
      </c>
      <c r="K76" s="352" t="n">
        <f aca="false">TblRezone[[#This Row],[Hour]]</f>
        <v>73</v>
      </c>
      <c r="L76" s="353" t="n">
        <f aca="false">TblImps[[#This Row],[Real time]]</f>
        <v>45432.75</v>
      </c>
      <c r="M76" s="214" t="n">
        <f aca="false">IF(ISERROR(TblImps[[#This Row],[algorithm]]),0,TblImps[[#This Row],[algorithm]]*1)</f>
        <v>1</v>
      </c>
      <c r="N76" s="226" t="n">
        <f aca="false">TblImps[[#This Row],[Land]]</f>
        <v>700</v>
      </c>
      <c r="O76" s="354" t="s">
        <v>97</v>
      </c>
      <c r="P76" s="355"/>
      <c r="Q76" s="354" t="s">
        <v>734</v>
      </c>
      <c r="R76" s="338" t="s">
        <v>93</v>
      </c>
      <c r="S76" s="355"/>
      <c r="T76" s="354" t="s">
        <v>734</v>
      </c>
      <c r="U76" s="354" t="s">
        <v>35</v>
      </c>
      <c r="V76" s="355"/>
      <c r="W76" s="354" t="s">
        <v>734</v>
      </c>
      <c r="X76" s="138"/>
      <c r="Y76" s="356" t="n">
        <f aca="false">science_cap*(1-EXP(-TblImps[[#This Row],[Σ Science]]/(science_param*(OFFSET(TblImps[[#This Row],[Land]],1,0)-OFFSET(TblExplore[[#This Row],[Land Bonus]],1,0)*20)+15000)))*(1+(mason_bonus*TblConstr[[#This Row],[Tot Mas]]/TblConstr[[#This Row],[Land (2)]]))</f>
        <v>0</v>
      </c>
      <c r="Z76" s="356" t="n">
        <f aca="false">keep_cap*(1-EXP(-TblImps[[#This Row],[Σ Keep]]/(keep_param*(OFFSET(TblImps[[#This Row],[Land]],1,0)-OFFSET(TblExplore[[#This Row],[Land Bonus]],1,0)*20)+15000)))*(1+(mason_bonus*TblConstr[[#This Row],[Tot Mas]]/TblConstr[[#This Row],[Land (2)]]))</f>
        <v>0</v>
      </c>
      <c r="AA76" s="356" t="n">
        <f aca="false">harbor_towers_cap*(1-EXP(-TblImps[[#This Row],[Σ Towers]]/(towers_param*(OFFSET(TblImps[[#This Row],[Land]],1,0)-OFFSET(TblExplore[[#This Row],[Land Bonus]],1,0)*20)+15000)))*(1+(mason_bonus*TblConstr[[#This Row],[Tot Mas]]/TblConstr[[#This Row],[Land (2)]]))</f>
        <v>0</v>
      </c>
      <c r="AB76" s="356" t="n">
        <f aca="false">walls_forges_cap*(1-EXP(-TblImps[[#This Row],[Σ Forges]]/(walls_forges_param*(OFFSET(TblImps[[#This Row],[Land]],1,0)-OFFSET(TblExplore[[#This Row],[Land Bonus]],1,0)*20)+15000)))*(1+(mason_bonus*TblConstr[[#This Row],[Tot Mas]]/TblConstr[[#This Row],[Land (2)]]))</f>
        <v>0</v>
      </c>
      <c r="AC76" s="356" t="n">
        <f aca="false">walls_forges_cap*(1-EXP(-TblImps[[#This Row],[Σ Walls]]/(walls_forges_param*(OFFSET(TblImps[[#This Row],[Land]],1,0)-OFFSET(TblExplore[[#This Row],[Land Bonus]],1,0)*20)+15000)))*(1+(mason_bonus*TblConstr[[#This Row],[Tot Mas]]/TblConstr[[#This Row],[Land (2)]]))</f>
        <v>0</v>
      </c>
      <c r="AD76" s="356" t="n">
        <f aca="false">harbor_towers_cap*(1-EXP(-TblImps[[#This Row],[Σ Irrigation]]/(harbor_towers_param*(OFFSET(TblImps[[#This Row],[Land]],1,0)-OFFSET(TblExplore[[#This Row],[Land Bonus]],1,0)*20)+15000)))*(1+(mason_bonus*TblConstr[[#This Row],[Tot Mas]]/TblConstr[[#This Row],[Land (2)]]))</f>
        <v>0</v>
      </c>
      <c r="AE76" s="138"/>
      <c r="AF76" s="214" t="n">
        <f aca="false">(1+Overview!$I$28)*SUM(TblImps[[#This Row],[P2]:[G2]])+OFFSET(TblImps[[#This Row],[Σ Science]],-1,0)</f>
        <v>0</v>
      </c>
      <c r="AG76" s="214" t="n">
        <f aca="false">(1+Overview!$I$28)*SUM(TblImps[[#This Row],[P3]:[G3]])+OFFSET(TblImps[[#This Row],[Σ Keep]],-1,0)</f>
        <v>0</v>
      </c>
      <c r="AH76" s="214" t="n">
        <f aca="false">(1+Overview!$I$28 + tech_7_1*TblTech[[#This Row],[7-1]])*SUM(TblImps[[#This Row],[P4]:[G4]])+OFFSET(TblImps[[#This Row],[Σ Towers]],-1,0)</f>
        <v>0</v>
      </c>
      <c r="AI76" s="214" t="n">
        <f aca="false">(1+Overview!$I$28)*SUM(TblImps[[#This Row],[P5]:[G5]])+OFFSET(TblImps[[#This Row],[Σ Forges]],-1,0)</f>
        <v>0</v>
      </c>
      <c r="AJ76" s="214" t="n">
        <f aca="false">(1+Overview!$I$28)*SUM(TblImps[[#This Row],[P6]:[G6]])+OFFSET(TblImps[[#This Row],[Σ Walls]],-1,0)</f>
        <v>0</v>
      </c>
      <c r="AK76" s="214" t="n">
        <f aca="false">(1+Overview!$I$28 + tech_7_1*TblTech[[#This Row],[7-1]])*SUM(TblImps[[#This Row],[P7]:[G7]])+OFFSET(TblImps[[#This Row],[Σ Irrigation]],-1,0)</f>
        <v>0</v>
      </c>
      <c r="AL76" s="138"/>
      <c r="AM76" s="227" t="n">
        <f aca="false">IF(AND(TblImps[[#This Row],[Resource]]=AM$2,TblImps[[#This Row],[Part]]&lt;&gt;""),TblImps[[#This Row],[Amount]]) + IF(AND(TblImps[[#This Row],[Resource 2]]=AM$2,TblImps[[#This Row],[Part 2]]&lt;&gt;""),TblImps[[#This Row],[Amount 2]]) + IF(AND(TblImps[[#This Row],[Resource 3]]=AM$2,TblImps[[#This Row],[Part 3]]&lt;&gt;""),TblImps[[#This Row],[Amount 3]])</f>
        <v>0</v>
      </c>
      <c r="AN76" s="227" t="n">
        <f aca="false">IF(AND(TblImps[[#This Row],[Resource]]=AN$2,TblImps[[#This Row],[Part]]&lt;&gt;""),TblImps[[#This Row],[Amount]]) + IF(AND(TblImps[[#This Row],[Resource 2]]=AN$2,TblImps[[#This Row],[Part 2]]&lt;&gt;""),TblImps[[#This Row],[Amount 2]]) + IF(AND(TblImps[[#This Row],[Resource 3]]=AN$2,TblImps[[#This Row],[Part 3]]&lt;&gt;""),TblImps[[#This Row],[Amount 3]])</f>
        <v>0</v>
      </c>
      <c r="AO76" s="227" t="n">
        <f aca="false">IF(AND(TblImps[[#This Row],[Resource]]=AO$2,TblImps[[#This Row],[Part]]&lt;&gt;""),TblImps[[#This Row],[Amount]]) + IF(AND(TblImps[[#This Row],[Resource 2]]=AO$2,TblImps[[#This Row],[Part 2]]&lt;&gt;""),TblImps[[#This Row],[Amount 2]]) + IF(AND(TblImps[[#This Row],[Resource 3]]=AO$2,TblImps[[#This Row],[Part 3]]&lt;&gt;""),TblImps[[#This Row],[Amount 3]])</f>
        <v>0</v>
      </c>
      <c r="AP76" s="227" t="n">
        <f aca="false">IF(AND(TblImps[[#This Row],[Resource]]=AP$2,TblImps[[#This Row],[Part]]&lt;&gt;""),TblImps[[#This Row],[Amount]]) + IF(AND(TblImps[[#This Row],[Resource 2]]=AP$2,TblImps[[#This Row],[Part 2]]&lt;&gt;""),TblImps[[#This Row],[Amount 2]]) + IF(AND(TblImps[[#This Row],[Resource 3]]=AP$2,TblImps[[#This Row],[Part 3]]&lt;&gt;""),TblImps[[#This Row],[Amount 3]])</f>
        <v>0</v>
      </c>
      <c r="AQ76" s="138"/>
      <c r="AR76" s="227"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27"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27"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27"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38"/>
      <c r="AW76" s="227"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27"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27"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27"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38"/>
      <c r="BB76" s="227"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27"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27"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27"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38"/>
      <c r="BG76" s="227"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27"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27"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27"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38"/>
      <c r="BL76" s="227"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27"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27"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27"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38"/>
      <c r="BQ76" s="227"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27"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27"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27"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38"/>
      <c r="BV76" s="357"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6" s="214" t="n">
        <f aca="false">TblImps[[#This Row],[Login]]</f>
        <v>1</v>
      </c>
      <c r="BX76" s="154"/>
      <c r="BY76" s="358" t="n">
        <f aca="false">OFFSET(TblImps[[#This Row],[Real time]],-1,0)+1/24</f>
        <v>45432.75</v>
      </c>
      <c r="BZ76" s="359" t="n">
        <f aca="false">OFFSET(TblImps[[#This Row],[Servertime]],-1,0)+1/24</f>
        <v>45433</v>
      </c>
    </row>
    <row r="77" customFormat="false" ht="12.75" hidden="false" customHeight="false" outlineLevel="0" collapsed="false">
      <c r="A77" s="181" t="n">
        <f aca="false">TblConstr[[#This Row],[Land]]</f>
        <v>700</v>
      </c>
      <c r="B77" s="132"/>
      <c r="C77" s="69" t="n">
        <f aca="false">TblProd[[#This Row],[Platinum]]</f>
        <v>13360</v>
      </c>
      <c r="D77" s="69" t="n">
        <f aca="false">TblProd[[#This Row],[Lumber]]</f>
        <v>15030</v>
      </c>
      <c r="E77" s="69" t="n">
        <f aca="false">TblProd[[#This Row],[Ore]]</f>
        <v>0</v>
      </c>
      <c r="F77" s="69" t="n">
        <f aca="false">TblProd[[#This Row],[Gems]]</f>
        <v>0</v>
      </c>
      <c r="G77" s="146"/>
      <c r="H77" s="69" t="n">
        <f aca="false">TblMili[[#This Row],[Draftees]]</f>
        <v>0</v>
      </c>
      <c r="I77" s="130" t="n">
        <f aca="false">TblPop[[#This Row],[Employment]]</f>
        <v>1</v>
      </c>
      <c r="J77" s="130" t="n">
        <f aca="false">TblPop[[#This Row],[Total]]/TblPop[[#This Row],[Net max]]</f>
        <v>1</v>
      </c>
      <c r="K77" s="336" t="n">
        <f aca="false">TblRezone[[#This Row],[Hour]]</f>
        <v>74</v>
      </c>
      <c r="L77" s="337" t="n">
        <f aca="false">TblImps[[#This Row],[Real time]]</f>
        <v>45432.7916666667</v>
      </c>
      <c r="M77" s="33" t="n">
        <f aca="false">IF(ISERROR(TblImps[[#This Row],[algorithm]]),0,TblImps[[#This Row],[algorithm]]*1)</f>
        <v>1</v>
      </c>
      <c r="N77" s="69" t="n">
        <f aca="false">TblImps[[#This Row],[Land]]</f>
        <v>700</v>
      </c>
      <c r="O77" s="338" t="s">
        <v>97</v>
      </c>
      <c r="P77" s="339"/>
      <c r="Q77" s="338" t="s">
        <v>734</v>
      </c>
      <c r="R77" s="338" t="s">
        <v>93</v>
      </c>
      <c r="S77" s="339"/>
      <c r="T77" s="338" t="s">
        <v>734</v>
      </c>
      <c r="U77" s="338" t="s">
        <v>35</v>
      </c>
      <c r="V77" s="339"/>
      <c r="W77" s="338" t="s">
        <v>734</v>
      </c>
      <c r="X77" s="132"/>
      <c r="Y77" s="340" t="n">
        <f aca="false">science_cap*(1-EXP(-TblImps[[#This Row],[Σ Science]]/(science_param*(OFFSET(TblImps[[#This Row],[Land]],1,0)-OFFSET(TblExplore[[#This Row],[Land Bonus]],1,0)*20)+15000)))*(1+(mason_bonus*TblConstr[[#This Row],[Tot Mas]]/TblConstr[[#This Row],[Land (2)]]))</f>
        <v>0</v>
      </c>
      <c r="Z77" s="340" t="n">
        <f aca="false">keep_cap*(1-EXP(-TblImps[[#This Row],[Σ Keep]]/(keep_param*(OFFSET(TblImps[[#This Row],[Land]],1,0)-OFFSET(TblExplore[[#This Row],[Land Bonus]],1,0)*20)+15000)))*(1+(mason_bonus*TblConstr[[#This Row],[Tot Mas]]/TblConstr[[#This Row],[Land (2)]]))</f>
        <v>0</v>
      </c>
      <c r="AA77" s="340" t="n">
        <f aca="false">harbor_towers_cap*(1-EXP(-TblImps[[#This Row],[Σ Towers]]/(towers_param*(OFFSET(TblImps[[#This Row],[Land]],1,0)-OFFSET(TblExplore[[#This Row],[Land Bonus]],1,0)*20)+15000)))*(1+(mason_bonus*TblConstr[[#This Row],[Tot Mas]]/TblConstr[[#This Row],[Land (2)]]))</f>
        <v>0</v>
      </c>
      <c r="AB77" s="340" t="n">
        <f aca="false">walls_forges_cap*(1-EXP(-TblImps[[#This Row],[Σ Forges]]/(walls_forges_param*(OFFSET(TblImps[[#This Row],[Land]],1,0)-OFFSET(TblExplore[[#This Row],[Land Bonus]],1,0)*20)+15000)))*(1+(mason_bonus*TblConstr[[#This Row],[Tot Mas]]/TblConstr[[#This Row],[Land (2)]]))</f>
        <v>0</v>
      </c>
      <c r="AC77" s="340" t="n">
        <f aca="false">walls_forges_cap*(1-EXP(-TblImps[[#This Row],[Σ Walls]]/(walls_forges_param*(OFFSET(TblImps[[#This Row],[Land]],1,0)-OFFSET(TblExplore[[#This Row],[Land Bonus]],1,0)*20)+15000)))*(1+(mason_bonus*TblConstr[[#This Row],[Tot Mas]]/TblConstr[[#This Row],[Land (2)]]))</f>
        <v>0</v>
      </c>
      <c r="AD77" s="340" t="n">
        <f aca="false">harbor_towers_cap*(1-EXP(-TblImps[[#This Row],[Σ Irrigation]]/(harbor_towers_param*(OFFSET(TblImps[[#This Row],[Land]],1,0)-OFFSET(TblExplore[[#This Row],[Land Bonus]],1,0)*20)+15000)))*(1+(mason_bonus*TblConstr[[#This Row],[Tot Mas]]/TblConstr[[#This Row],[Land (2)]]))</f>
        <v>0</v>
      </c>
      <c r="AE77" s="132"/>
      <c r="AF77" s="33" t="n">
        <f aca="false">(1+Overview!$I$28)*SUM(TblImps[[#This Row],[P2]:[G2]])+OFFSET(TblImps[[#This Row],[Σ Science]],-1,0)</f>
        <v>0</v>
      </c>
      <c r="AG77" s="33" t="n">
        <f aca="false">(1+Overview!$I$28)*SUM(TblImps[[#This Row],[P3]:[G3]])+OFFSET(TblImps[[#This Row],[Σ Keep]],-1,0)</f>
        <v>0</v>
      </c>
      <c r="AH77" s="33" t="n">
        <f aca="false">(1+Overview!$I$28 + tech_7_1*TblTech[[#This Row],[7-1]])*SUM(TblImps[[#This Row],[P4]:[G4]])+OFFSET(TblImps[[#This Row],[Σ Towers]],-1,0)</f>
        <v>0</v>
      </c>
      <c r="AI77" s="33" t="n">
        <f aca="false">(1+Overview!$I$28)*SUM(TblImps[[#This Row],[P5]:[G5]])+OFFSET(TblImps[[#This Row],[Σ Forges]],-1,0)</f>
        <v>0</v>
      </c>
      <c r="AJ77" s="33" t="n">
        <f aca="false">(1+Overview!$I$28)*SUM(TblImps[[#This Row],[P6]:[G6]])+OFFSET(TblImps[[#This Row],[Σ Walls]],-1,0)</f>
        <v>0</v>
      </c>
      <c r="AK77" s="33" t="n">
        <f aca="false">(1+Overview!$I$28 + tech_7_1*TblTech[[#This Row],[7-1]])*SUM(TblImps[[#This Row],[P7]:[G7]])+OFFSET(TblImps[[#This Row],[Σ Irrigation]],-1,0)</f>
        <v>0</v>
      </c>
      <c r="AL77" s="132"/>
      <c r="AM77" s="26" t="n">
        <f aca="false">IF(AND(TblImps[[#This Row],[Resource]]=AM$2,TblImps[[#This Row],[Part]]&lt;&gt;""),TblImps[[#This Row],[Amount]]) + IF(AND(TblImps[[#This Row],[Resource 2]]=AM$2,TblImps[[#This Row],[Part 2]]&lt;&gt;""),TblImps[[#This Row],[Amount 2]]) + IF(AND(TblImps[[#This Row],[Resource 3]]=AM$2,TblImps[[#This Row],[Part 3]]&lt;&gt;""),TblImps[[#This Row],[Amount 3]])</f>
        <v>0</v>
      </c>
      <c r="AN77" s="26" t="n">
        <f aca="false">IF(AND(TblImps[[#This Row],[Resource]]=AN$2,TblImps[[#This Row],[Part]]&lt;&gt;""),TblImps[[#This Row],[Amount]]) + IF(AND(TblImps[[#This Row],[Resource 2]]=AN$2,TblImps[[#This Row],[Part 2]]&lt;&gt;""),TblImps[[#This Row],[Amount 2]]) + IF(AND(TblImps[[#This Row],[Resource 3]]=AN$2,TblImps[[#This Row],[Part 3]]&lt;&gt;""),TblImps[[#This Row],[Amount 3]])</f>
        <v>0</v>
      </c>
      <c r="AO77" s="26" t="n">
        <f aca="false">IF(AND(TblImps[[#This Row],[Resource]]=AO$2,TblImps[[#This Row],[Part]]&lt;&gt;""),TblImps[[#This Row],[Amount]]) + IF(AND(TblImps[[#This Row],[Resource 2]]=AO$2,TblImps[[#This Row],[Part 2]]&lt;&gt;""),TblImps[[#This Row],[Amount 2]]) + IF(AND(TblImps[[#This Row],[Resource 3]]=AO$2,TblImps[[#This Row],[Part 3]]&lt;&gt;""),TblImps[[#This Row],[Amount 3]])</f>
        <v>0</v>
      </c>
      <c r="AP77" s="26" t="n">
        <f aca="false">IF(AND(TblImps[[#This Row],[Resource]]=AP$2,TblImps[[#This Row],[Part]]&lt;&gt;""),TblImps[[#This Row],[Amount]]) + IF(AND(TblImps[[#This Row],[Resource 2]]=AP$2,TblImps[[#This Row],[Part 2]]&lt;&gt;""),TblImps[[#This Row],[Amount 2]]) + IF(AND(TblImps[[#This Row],[Resource 3]]=AP$2,TblImps[[#This Row],[Part 3]]&lt;&gt;""),TblImps[[#This Row],[Amount 3]])</f>
        <v>0</v>
      </c>
      <c r="AQ77" s="132"/>
      <c r="AR7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32"/>
      <c r="AW7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32"/>
      <c r="BB7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32"/>
      <c r="BG7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32"/>
      <c r="BL7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32"/>
      <c r="BQ7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32"/>
      <c r="BV77"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7" s="33" t="n">
        <f aca="false">TblImps[[#This Row],[Login]]</f>
        <v>1</v>
      </c>
      <c r="BX77" s="128"/>
      <c r="BY77" s="347" t="n">
        <f aca="false">OFFSET(TblImps[[#This Row],[Real time]],-1,0)+1/24</f>
        <v>45432.7916666667</v>
      </c>
      <c r="BZ77" s="348" t="n">
        <f aca="false">OFFSET(TblImps[[#This Row],[Servertime]],-1,0)+1/24</f>
        <v>45433.0416666667</v>
      </c>
      <c r="CA77" s="26"/>
      <c r="CB77" s="346"/>
      <c r="CC77" s="346"/>
    </row>
    <row r="78" customFormat="false" ht="12.75" hidden="false" customHeight="false" outlineLevel="0" collapsed="false">
      <c r="A78" s="181" t="n">
        <f aca="false">TblConstr[[#This Row],[Land]]</f>
        <v>700</v>
      </c>
      <c r="B78" s="132"/>
      <c r="C78" s="69" t="n">
        <f aca="false">TblProd[[#This Row],[Platinum]]</f>
        <v>41111</v>
      </c>
      <c r="D78" s="69" t="n">
        <f aca="false">TblProd[[#This Row],[Lumber]]</f>
        <v>16005</v>
      </c>
      <c r="E78" s="69" t="n">
        <f aca="false">TblProd[[#This Row],[Ore]]</f>
        <v>0</v>
      </c>
      <c r="F78" s="69" t="n">
        <f aca="false">TblProd[[#This Row],[Gems]]</f>
        <v>0</v>
      </c>
      <c r="G78" s="146"/>
      <c r="H78" s="69" t="n">
        <f aca="false">TblMili[[#This Row],[Draftees]]</f>
        <v>0</v>
      </c>
      <c r="I78" s="130" t="n">
        <f aca="false">TblPop[[#This Row],[Employment]]</f>
        <v>1</v>
      </c>
      <c r="J78" s="130" t="n">
        <f aca="false">TblPop[[#This Row],[Total]]/TblPop[[#This Row],[Net max]]</f>
        <v>1</v>
      </c>
      <c r="K78" s="336" t="n">
        <f aca="false">TblRezone[[#This Row],[Hour]]</f>
        <v>75</v>
      </c>
      <c r="L78" s="337" t="n">
        <f aca="false">TblImps[[#This Row],[Real time]]</f>
        <v>45432.8333333333</v>
      </c>
      <c r="M78" s="33" t="n">
        <f aca="false">IF(ISERROR(TblImps[[#This Row],[algorithm]]),0,TblImps[[#This Row],[algorithm]]*1)</f>
        <v>1</v>
      </c>
      <c r="N78" s="69" t="n">
        <f aca="false">TblImps[[#This Row],[Land]]</f>
        <v>700</v>
      </c>
      <c r="O78" s="338" t="s">
        <v>97</v>
      </c>
      <c r="P78" s="339"/>
      <c r="Q78" s="338" t="s">
        <v>734</v>
      </c>
      <c r="R78" s="338" t="s">
        <v>93</v>
      </c>
      <c r="S78" s="339"/>
      <c r="T78" s="338" t="s">
        <v>734</v>
      </c>
      <c r="U78" s="338" t="s">
        <v>35</v>
      </c>
      <c r="V78" s="339"/>
      <c r="W78" s="338" t="s">
        <v>734</v>
      </c>
      <c r="X78" s="132"/>
      <c r="Y78" s="340" t="n">
        <f aca="false">science_cap*(1-EXP(-TblImps[[#This Row],[Σ Science]]/(science_param*(OFFSET(TblImps[[#This Row],[Land]],1,0)-OFFSET(TblExplore[[#This Row],[Land Bonus]],1,0)*20)+15000)))*(1+(mason_bonus*TblConstr[[#This Row],[Tot Mas]]/TblConstr[[#This Row],[Land (2)]]))</f>
        <v>0</v>
      </c>
      <c r="Z78" s="340" t="n">
        <f aca="false">keep_cap*(1-EXP(-TblImps[[#This Row],[Σ Keep]]/(keep_param*(OFFSET(TblImps[[#This Row],[Land]],1,0)-OFFSET(TblExplore[[#This Row],[Land Bonus]],1,0)*20)+15000)))*(1+(mason_bonus*TblConstr[[#This Row],[Tot Mas]]/TblConstr[[#This Row],[Land (2)]]))</f>
        <v>0</v>
      </c>
      <c r="AA78" s="340" t="n">
        <f aca="false">harbor_towers_cap*(1-EXP(-TblImps[[#This Row],[Σ Towers]]/(towers_param*(OFFSET(TblImps[[#This Row],[Land]],1,0)-OFFSET(TblExplore[[#This Row],[Land Bonus]],1,0)*20)+15000)))*(1+(mason_bonus*TblConstr[[#This Row],[Tot Mas]]/TblConstr[[#This Row],[Land (2)]]))</f>
        <v>0</v>
      </c>
      <c r="AB78" s="340" t="n">
        <f aca="false">walls_forges_cap*(1-EXP(-TblImps[[#This Row],[Σ Forges]]/(walls_forges_param*(OFFSET(TblImps[[#This Row],[Land]],1,0)-OFFSET(TblExplore[[#This Row],[Land Bonus]],1,0)*20)+15000)))*(1+(mason_bonus*TblConstr[[#This Row],[Tot Mas]]/TblConstr[[#This Row],[Land (2)]]))</f>
        <v>0</v>
      </c>
      <c r="AC78" s="340" t="n">
        <f aca="false">walls_forges_cap*(1-EXP(-TblImps[[#This Row],[Σ Walls]]/(walls_forges_param*(OFFSET(TblImps[[#This Row],[Land]],1,0)-OFFSET(TblExplore[[#This Row],[Land Bonus]],1,0)*20)+15000)))*(1+(mason_bonus*TblConstr[[#This Row],[Tot Mas]]/TblConstr[[#This Row],[Land (2)]]))</f>
        <v>0</v>
      </c>
      <c r="AD78" s="340" t="n">
        <f aca="false">harbor_towers_cap*(1-EXP(-TblImps[[#This Row],[Σ Irrigation]]/(harbor_towers_param*(OFFSET(TblImps[[#This Row],[Land]],1,0)-OFFSET(TblExplore[[#This Row],[Land Bonus]],1,0)*20)+15000)))*(1+(mason_bonus*TblConstr[[#This Row],[Tot Mas]]/TblConstr[[#This Row],[Land (2)]]))</f>
        <v>0</v>
      </c>
      <c r="AE78" s="132"/>
      <c r="AF78" s="33" t="n">
        <f aca="false">(1+Overview!$I$28)*SUM(TblImps[[#This Row],[P2]:[G2]])+OFFSET(TblImps[[#This Row],[Σ Science]],-1,0)</f>
        <v>0</v>
      </c>
      <c r="AG78" s="33" t="n">
        <f aca="false">(1+Overview!$I$28)*SUM(TblImps[[#This Row],[P3]:[G3]])+OFFSET(TblImps[[#This Row],[Σ Keep]],-1,0)</f>
        <v>0</v>
      </c>
      <c r="AH78" s="33" t="n">
        <f aca="false">(1+Overview!$I$28 + tech_7_1*TblTech[[#This Row],[7-1]])*SUM(TblImps[[#This Row],[P4]:[G4]])+OFFSET(TblImps[[#This Row],[Σ Towers]],-1,0)</f>
        <v>0</v>
      </c>
      <c r="AI78" s="33" t="n">
        <f aca="false">(1+Overview!$I$28)*SUM(TblImps[[#This Row],[P5]:[G5]])+OFFSET(TblImps[[#This Row],[Σ Forges]],-1,0)</f>
        <v>0</v>
      </c>
      <c r="AJ78" s="33" t="n">
        <f aca="false">(1+Overview!$I$28)*SUM(TblImps[[#This Row],[P6]:[G6]])+OFFSET(TblImps[[#This Row],[Σ Walls]],-1,0)</f>
        <v>0</v>
      </c>
      <c r="AK78" s="33" t="n">
        <f aca="false">(1+Overview!$I$28 + tech_7_1*TblTech[[#This Row],[7-1]])*SUM(TblImps[[#This Row],[P7]:[G7]])+OFFSET(TblImps[[#This Row],[Σ Irrigation]],-1,0)</f>
        <v>0</v>
      </c>
      <c r="AL78" s="132"/>
      <c r="AM78" s="26" t="n">
        <f aca="false">IF(AND(TblImps[[#This Row],[Resource]]=AM$2,TblImps[[#This Row],[Part]]&lt;&gt;""),TblImps[[#This Row],[Amount]]) + IF(AND(TblImps[[#This Row],[Resource 2]]=AM$2,TblImps[[#This Row],[Part 2]]&lt;&gt;""),TblImps[[#This Row],[Amount 2]]) + IF(AND(TblImps[[#This Row],[Resource 3]]=AM$2,TblImps[[#This Row],[Part 3]]&lt;&gt;""),TblImps[[#This Row],[Amount 3]])</f>
        <v>0</v>
      </c>
      <c r="AN78" s="26" t="n">
        <f aca="false">IF(AND(TblImps[[#This Row],[Resource]]=AN$2,TblImps[[#This Row],[Part]]&lt;&gt;""),TblImps[[#This Row],[Amount]]) + IF(AND(TblImps[[#This Row],[Resource 2]]=AN$2,TblImps[[#This Row],[Part 2]]&lt;&gt;""),TblImps[[#This Row],[Amount 2]]) + IF(AND(TblImps[[#This Row],[Resource 3]]=AN$2,TblImps[[#This Row],[Part 3]]&lt;&gt;""),TblImps[[#This Row],[Amount 3]])</f>
        <v>0</v>
      </c>
      <c r="AO78" s="26" t="n">
        <f aca="false">IF(AND(TblImps[[#This Row],[Resource]]=AO$2,TblImps[[#This Row],[Part]]&lt;&gt;""),TblImps[[#This Row],[Amount]]) + IF(AND(TblImps[[#This Row],[Resource 2]]=AO$2,TblImps[[#This Row],[Part 2]]&lt;&gt;""),TblImps[[#This Row],[Amount 2]]) + IF(AND(TblImps[[#This Row],[Resource 3]]=AO$2,TblImps[[#This Row],[Part 3]]&lt;&gt;""),TblImps[[#This Row],[Amount 3]])</f>
        <v>0</v>
      </c>
      <c r="AP78" s="26" t="n">
        <f aca="false">IF(AND(TblImps[[#This Row],[Resource]]=AP$2,TblImps[[#This Row],[Part]]&lt;&gt;""),TblImps[[#This Row],[Amount]]) + IF(AND(TblImps[[#This Row],[Resource 2]]=AP$2,TblImps[[#This Row],[Part 2]]&lt;&gt;""),TblImps[[#This Row],[Amount 2]]) + IF(AND(TblImps[[#This Row],[Resource 3]]=AP$2,TblImps[[#This Row],[Part 3]]&lt;&gt;""),TblImps[[#This Row],[Amount 3]])</f>
        <v>0</v>
      </c>
      <c r="AQ78" s="132"/>
      <c r="AR7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32"/>
      <c r="AW7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32"/>
      <c r="BB7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32"/>
      <c r="BG7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32"/>
      <c r="BL7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32"/>
      <c r="BQ7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32"/>
      <c r="BV78"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8" s="33" t="n">
        <f aca="false">TblImps[[#This Row],[Login]]</f>
        <v>1</v>
      </c>
      <c r="BX78" s="128"/>
      <c r="BY78" s="347" t="n">
        <f aca="false">OFFSET(TblImps[[#This Row],[Real time]],-1,0)+1/24</f>
        <v>45432.8333333333</v>
      </c>
      <c r="BZ78" s="348" t="n">
        <f aca="false">OFFSET(TblImps[[#This Row],[Servertime]],-1,0)+1/24</f>
        <v>45433.0833333333</v>
      </c>
      <c r="CA78" s="26"/>
      <c r="CB78" s="346"/>
      <c r="CC78" s="346"/>
      <c r="CF78" s="349"/>
    </row>
    <row r="79" customFormat="false" ht="12.75" hidden="false" customHeight="false" outlineLevel="0" collapsed="false">
      <c r="A79" s="181" t="n">
        <f aca="false">TblConstr[[#This Row],[Land]]</f>
        <v>700</v>
      </c>
      <c r="B79" s="132"/>
      <c r="C79" s="69" t="n">
        <f aca="false">TblProd[[#This Row],[Platinum]]</f>
        <v>68865</v>
      </c>
      <c r="D79" s="69" t="n">
        <f aca="false">TblProd[[#This Row],[Lumber]]</f>
        <v>16970</v>
      </c>
      <c r="E79" s="69" t="n">
        <f aca="false">TblProd[[#This Row],[Ore]]</f>
        <v>0</v>
      </c>
      <c r="F79" s="69" t="n">
        <f aca="false">TblProd[[#This Row],[Gems]]</f>
        <v>0</v>
      </c>
      <c r="G79" s="146"/>
      <c r="H79" s="69" t="n">
        <f aca="false">TblMili[[#This Row],[Draftees]]</f>
        <v>0</v>
      </c>
      <c r="I79" s="130" t="n">
        <f aca="false">TblPop[[#This Row],[Employment]]</f>
        <v>1</v>
      </c>
      <c r="J79" s="130" t="n">
        <f aca="false">TblPop[[#This Row],[Total]]/TblPop[[#This Row],[Net max]]</f>
        <v>1</v>
      </c>
      <c r="K79" s="336" t="n">
        <f aca="false">TblRezone[[#This Row],[Hour]]</f>
        <v>76</v>
      </c>
      <c r="L79" s="337" t="n">
        <f aca="false">TblImps[[#This Row],[Real time]]</f>
        <v>45432.875</v>
      </c>
      <c r="M79" s="33" t="n">
        <f aca="false">IF(ISERROR(TblImps[[#This Row],[algorithm]]),0,TblImps[[#This Row],[algorithm]]*1)</f>
        <v>1</v>
      </c>
      <c r="N79" s="69" t="n">
        <f aca="false">TblImps[[#This Row],[Land]]</f>
        <v>700</v>
      </c>
      <c r="O79" s="338" t="s">
        <v>97</v>
      </c>
      <c r="P79" s="339"/>
      <c r="Q79" s="338" t="s">
        <v>734</v>
      </c>
      <c r="R79" s="338" t="s">
        <v>93</v>
      </c>
      <c r="S79" s="339"/>
      <c r="T79" s="338" t="s">
        <v>734</v>
      </c>
      <c r="U79" s="338" t="s">
        <v>35</v>
      </c>
      <c r="V79" s="339"/>
      <c r="W79" s="338" t="s">
        <v>734</v>
      </c>
      <c r="X79" s="132"/>
      <c r="Y79" s="340" t="n">
        <f aca="false">science_cap*(1-EXP(-TblImps[[#This Row],[Σ Science]]/(science_param*(OFFSET(TblImps[[#This Row],[Land]],1,0)-OFFSET(TblExplore[[#This Row],[Land Bonus]],1,0)*20)+15000)))*(1+(mason_bonus*TblConstr[[#This Row],[Tot Mas]]/TblConstr[[#This Row],[Land (2)]]))</f>
        <v>0</v>
      </c>
      <c r="Z79" s="340" t="n">
        <f aca="false">keep_cap*(1-EXP(-TblImps[[#This Row],[Σ Keep]]/(keep_param*(OFFSET(TblImps[[#This Row],[Land]],1,0)-OFFSET(TblExplore[[#This Row],[Land Bonus]],1,0)*20)+15000)))*(1+(mason_bonus*TblConstr[[#This Row],[Tot Mas]]/TblConstr[[#This Row],[Land (2)]]))</f>
        <v>0</v>
      </c>
      <c r="AA79" s="340" t="n">
        <f aca="false">harbor_towers_cap*(1-EXP(-TblImps[[#This Row],[Σ Towers]]/(towers_param*(OFFSET(TblImps[[#This Row],[Land]],1,0)-OFFSET(TblExplore[[#This Row],[Land Bonus]],1,0)*20)+15000)))*(1+(mason_bonus*TblConstr[[#This Row],[Tot Mas]]/TblConstr[[#This Row],[Land (2)]]))</f>
        <v>0</v>
      </c>
      <c r="AB79" s="340" t="n">
        <f aca="false">walls_forges_cap*(1-EXP(-TblImps[[#This Row],[Σ Forges]]/(walls_forges_param*(OFFSET(TblImps[[#This Row],[Land]],1,0)-OFFSET(TblExplore[[#This Row],[Land Bonus]],1,0)*20)+15000)))*(1+(mason_bonus*TblConstr[[#This Row],[Tot Mas]]/TblConstr[[#This Row],[Land (2)]]))</f>
        <v>0</v>
      </c>
      <c r="AC79" s="340" t="n">
        <f aca="false">walls_forges_cap*(1-EXP(-TblImps[[#This Row],[Σ Walls]]/(walls_forges_param*(OFFSET(TblImps[[#This Row],[Land]],1,0)-OFFSET(TblExplore[[#This Row],[Land Bonus]],1,0)*20)+15000)))*(1+(mason_bonus*TblConstr[[#This Row],[Tot Mas]]/TblConstr[[#This Row],[Land (2)]]))</f>
        <v>0</v>
      </c>
      <c r="AD79" s="340" t="n">
        <f aca="false">harbor_towers_cap*(1-EXP(-TblImps[[#This Row],[Σ Irrigation]]/(harbor_towers_param*(OFFSET(TblImps[[#This Row],[Land]],1,0)-OFFSET(TblExplore[[#This Row],[Land Bonus]],1,0)*20)+15000)))*(1+(mason_bonus*TblConstr[[#This Row],[Tot Mas]]/TblConstr[[#This Row],[Land (2)]]))</f>
        <v>0</v>
      </c>
      <c r="AE79" s="132"/>
      <c r="AF79" s="33" t="n">
        <f aca="false">(1+Overview!$I$28)*SUM(TblImps[[#This Row],[P2]:[G2]])+OFFSET(TblImps[[#This Row],[Σ Science]],-1,0)</f>
        <v>0</v>
      </c>
      <c r="AG79" s="33" t="n">
        <f aca="false">(1+Overview!$I$28)*SUM(TblImps[[#This Row],[P3]:[G3]])+OFFSET(TblImps[[#This Row],[Σ Keep]],-1,0)</f>
        <v>0</v>
      </c>
      <c r="AH79" s="33" t="n">
        <f aca="false">(1+Overview!$I$28 + tech_7_1*TblTech[[#This Row],[7-1]])*SUM(TblImps[[#This Row],[P4]:[G4]])+OFFSET(TblImps[[#This Row],[Σ Towers]],-1,0)</f>
        <v>0</v>
      </c>
      <c r="AI79" s="33" t="n">
        <f aca="false">(1+Overview!$I$28)*SUM(TblImps[[#This Row],[P5]:[G5]])+OFFSET(TblImps[[#This Row],[Σ Forges]],-1,0)</f>
        <v>0</v>
      </c>
      <c r="AJ79" s="33" t="n">
        <f aca="false">(1+Overview!$I$28)*SUM(TblImps[[#This Row],[P6]:[G6]])+OFFSET(TblImps[[#This Row],[Σ Walls]],-1,0)</f>
        <v>0</v>
      </c>
      <c r="AK79" s="33" t="n">
        <f aca="false">(1+Overview!$I$28 + tech_7_1*TblTech[[#This Row],[7-1]])*SUM(TblImps[[#This Row],[P7]:[G7]])+OFFSET(TblImps[[#This Row],[Σ Irrigation]],-1,0)</f>
        <v>0</v>
      </c>
      <c r="AL79" s="132"/>
      <c r="AM79" s="26" t="n">
        <f aca="false">IF(AND(TblImps[[#This Row],[Resource]]=AM$2,TblImps[[#This Row],[Part]]&lt;&gt;""),TblImps[[#This Row],[Amount]]) + IF(AND(TblImps[[#This Row],[Resource 2]]=AM$2,TblImps[[#This Row],[Part 2]]&lt;&gt;""),TblImps[[#This Row],[Amount 2]]) + IF(AND(TblImps[[#This Row],[Resource 3]]=AM$2,TblImps[[#This Row],[Part 3]]&lt;&gt;""),TblImps[[#This Row],[Amount 3]])</f>
        <v>0</v>
      </c>
      <c r="AN79" s="26" t="n">
        <f aca="false">IF(AND(TblImps[[#This Row],[Resource]]=AN$2,TblImps[[#This Row],[Part]]&lt;&gt;""),TblImps[[#This Row],[Amount]]) + IF(AND(TblImps[[#This Row],[Resource 2]]=AN$2,TblImps[[#This Row],[Part 2]]&lt;&gt;""),TblImps[[#This Row],[Amount 2]]) + IF(AND(TblImps[[#This Row],[Resource 3]]=AN$2,TblImps[[#This Row],[Part 3]]&lt;&gt;""),TblImps[[#This Row],[Amount 3]])</f>
        <v>0</v>
      </c>
      <c r="AO79" s="26" t="n">
        <f aca="false">IF(AND(TblImps[[#This Row],[Resource]]=AO$2,TblImps[[#This Row],[Part]]&lt;&gt;""),TblImps[[#This Row],[Amount]]) + IF(AND(TblImps[[#This Row],[Resource 2]]=AO$2,TblImps[[#This Row],[Part 2]]&lt;&gt;""),TblImps[[#This Row],[Amount 2]]) + IF(AND(TblImps[[#This Row],[Resource 3]]=AO$2,TblImps[[#This Row],[Part 3]]&lt;&gt;""),TblImps[[#This Row],[Amount 3]])</f>
        <v>0</v>
      </c>
      <c r="AP79" s="26" t="n">
        <f aca="false">IF(AND(TblImps[[#This Row],[Resource]]=AP$2,TblImps[[#This Row],[Part]]&lt;&gt;""),TblImps[[#This Row],[Amount]]) + IF(AND(TblImps[[#This Row],[Resource 2]]=AP$2,TblImps[[#This Row],[Part 2]]&lt;&gt;""),TblImps[[#This Row],[Amount 2]]) + IF(AND(TblImps[[#This Row],[Resource 3]]=AP$2,TblImps[[#This Row],[Part 3]]&lt;&gt;""),TblImps[[#This Row],[Amount 3]])</f>
        <v>0</v>
      </c>
      <c r="AQ79" s="132"/>
      <c r="AR7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32"/>
      <c r="AW7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32"/>
      <c r="BB7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32"/>
      <c r="BG7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32"/>
      <c r="BL7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32"/>
      <c r="BQ7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32"/>
      <c r="BV79"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9" s="33" t="n">
        <f aca="false">TblImps[[#This Row],[Login]]</f>
        <v>1</v>
      </c>
      <c r="BX79" s="128"/>
      <c r="BY79" s="347" t="n">
        <f aca="false">OFFSET(TblImps[[#This Row],[Real time]],-1,0)+1/24</f>
        <v>45432.875</v>
      </c>
      <c r="BZ79" s="348" t="n">
        <f aca="false">OFFSET(TblImps[[#This Row],[Servertime]],-1,0)+1/24</f>
        <v>45433.125</v>
      </c>
      <c r="CA79" s="26"/>
      <c r="CB79" s="346"/>
      <c r="CC79" s="346"/>
      <c r="CF79" s="350"/>
    </row>
    <row r="80" customFormat="false" ht="12.75" hidden="false" customHeight="false" outlineLevel="0" collapsed="false">
      <c r="A80" s="181" t="n">
        <f aca="false">TblConstr[[#This Row],[Land]]</f>
        <v>700</v>
      </c>
      <c r="B80" s="132"/>
      <c r="C80" s="69" t="n">
        <f aca="false">TblProd[[#This Row],[Platinum]]</f>
        <v>153735</v>
      </c>
      <c r="D80" s="69" t="n">
        <f aca="false">TblProd[[#This Row],[Lumber]]</f>
        <v>17925</v>
      </c>
      <c r="E80" s="69" t="n">
        <f aca="false">TblProd[[#This Row],[Ore]]</f>
        <v>0</v>
      </c>
      <c r="F80" s="69" t="n">
        <f aca="false">TblProd[[#This Row],[Gems]]</f>
        <v>0</v>
      </c>
      <c r="G80" s="146"/>
      <c r="H80" s="69" t="n">
        <f aca="false">TblMili[[#This Row],[Draftees]]</f>
        <v>97</v>
      </c>
      <c r="I80" s="130" t="n">
        <f aca="false">TblPop[[#This Row],[Employment]]</f>
        <v>1</v>
      </c>
      <c r="J80" s="130" t="n">
        <f aca="false">TblPop[[#This Row],[Total]]/TblPop[[#This Row],[Net max]]</f>
        <v>1</v>
      </c>
      <c r="K80" s="336" t="n">
        <f aca="false">TblRezone[[#This Row],[Hour]]</f>
        <v>77</v>
      </c>
      <c r="L80" s="337" t="n">
        <f aca="false">TblImps[[#This Row],[Real time]]</f>
        <v>45432.9166666667</v>
      </c>
      <c r="M80" s="33" t="n">
        <f aca="false">IF(ISERROR(TblImps[[#This Row],[algorithm]]),0,TblImps[[#This Row],[algorithm]]*1)</f>
        <v>1</v>
      </c>
      <c r="N80" s="69" t="n">
        <f aca="false">TblImps[[#This Row],[Land]]</f>
        <v>700</v>
      </c>
      <c r="O80" s="338" t="s">
        <v>97</v>
      </c>
      <c r="P80" s="339"/>
      <c r="Q80" s="338" t="s">
        <v>734</v>
      </c>
      <c r="R80" s="338" t="s">
        <v>93</v>
      </c>
      <c r="S80" s="339"/>
      <c r="T80" s="338" t="s">
        <v>734</v>
      </c>
      <c r="U80" s="338" t="s">
        <v>35</v>
      </c>
      <c r="V80" s="339"/>
      <c r="W80" s="338" t="s">
        <v>734</v>
      </c>
      <c r="X80" s="132"/>
      <c r="Y80" s="340" t="n">
        <f aca="false">science_cap*(1-EXP(-TblImps[[#This Row],[Σ Science]]/(science_param*(OFFSET(TblImps[[#This Row],[Land]],1,0)-OFFSET(TblExplore[[#This Row],[Land Bonus]],1,0)*20)+15000)))*(1+(mason_bonus*TblConstr[[#This Row],[Tot Mas]]/TblConstr[[#This Row],[Land (2)]]))</f>
        <v>0</v>
      </c>
      <c r="Z80" s="340" t="n">
        <f aca="false">keep_cap*(1-EXP(-TblImps[[#This Row],[Σ Keep]]/(keep_param*(OFFSET(TblImps[[#This Row],[Land]],1,0)-OFFSET(TblExplore[[#This Row],[Land Bonus]],1,0)*20)+15000)))*(1+(mason_bonus*TblConstr[[#This Row],[Tot Mas]]/TblConstr[[#This Row],[Land (2)]]))</f>
        <v>0</v>
      </c>
      <c r="AA80" s="340" t="n">
        <f aca="false">harbor_towers_cap*(1-EXP(-TblImps[[#This Row],[Σ Towers]]/(towers_param*(OFFSET(TblImps[[#This Row],[Land]],1,0)-OFFSET(TblExplore[[#This Row],[Land Bonus]],1,0)*20)+15000)))*(1+(mason_bonus*TblConstr[[#This Row],[Tot Mas]]/TblConstr[[#This Row],[Land (2)]]))</f>
        <v>0</v>
      </c>
      <c r="AB80" s="340" t="n">
        <f aca="false">walls_forges_cap*(1-EXP(-TblImps[[#This Row],[Σ Forges]]/(walls_forges_param*(OFFSET(TblImps[[#This Row],[Land]],1,0)-OFFSET(TblExplore[[#This Row],[Land Bonus]],1,0)*20)+15000)))*(1+(mason_bonus*TblConstr[[#This Row],[Tot Mas]]/TblConstr[[#This Row],[Land (2)]]))</f>
        <v>0</v>
      </c>
      <c r="AC80" s="340" t="n">
        <f aca="false">walls_forges_cap*(1-EXP(-TblImps[[#This Row],[Σ Walls]]/(walls_forges_param*(OFFSET(TblImps[[#This Row],[Land]],1,0)-OFFSET(TblExplore[[#This Row],[Land Bonus]],1,0)*20)+15000)))*(1+(mason_bonus*TblConstr[[#This Row],[Tot Mas]]/TblConstr[[#This Row],[Land (2)]]))</f>
        <v>0</v>
      </c>
      <c r="AD80" s="340" t="n">
        <f aca="false">harbor_towers_cap*(1-EXP(-TblImps[[#This Row],[Σ Irrigation]]/(harbor_towers_param*(OFFSET(TblImps[[#This Row],[Land]],1,0)-OFFSET(TblExplore[[#This Row],[Land Bonus]],1,0)*20)+15000)))*(1+(mason_bonus*TblConstr[[#This Row],[Tot Mas]]/TblConstr[[#This Row],[Land (2)]]))</f>
        <v>0</v>
      </c>
      <c r="AE80" s="132"/>
      <c r="AF80" s="33" t="n">
        <f aca="false">(1+Overview!$I$28)*SUM(TblImps[[#This Row],[P2]:[G2]])+OFFSET(TblImps[[#This Row],[Σ Science]],-1,0)</f>
        <v>0</v>
      </c>
      <c r="AG80" s="33" t="n">
        <f aca="false">(1+Overview!$I$28)*SUM(TblImps[[#This Row],[P3]:[G3]])+OFFSET(TblImps[[#This Row],[Σ Keep]],-1,0)</f>
        <v>0</v>
      </c>
      <c r="AH80" s="33" t="n">
        <f aca="false">(1+Overview!$I$28 + tech_7_1*TblTech[[#This Row],[7-1]])*SUM(TblImps[[#This Row],[P4]:[G4]])+OFFSET(TblImps[[#This Row],[Σ Towers]],-1,0)</f>
        <v>0</v>
      </c>
      <c r="AI80" s="33" t="n">
        <f aca="false">(1+Overview!$I$28)*SUM(TblImps[[#This Row],[P5]:[G5]])+OFFSET(TblImps[[#This Row],[Σ Forges]],-1,0)</f>
        <v>0</v>
      </c>
      <c r="AJ80" s="33" t="n">
        <f aca="false">(1+Overview!$I$28)*SUM(TblImps[[#This Row],[P6]:[G6]])+OFFSET(TblImps[[#This Row],[Σ Walls]],-1,0)</f>
        <v>0</v>
      </c>
      <c r="AK80" s="33" t="n">
        <f aca="false">(1+Overview!$I$28 + tech_7_1*TblTech[[#This Row],[7-1]])*SUM(TblImps[[#This Row],[P7]:[G7]])+OFFSET(TblImps[[#This Row],[Σ Irrigation]],-1,0)</f>
        <v>0</v>
      </c>
      <c r="AL80" s="132"/>
      <c r="AM80" s="26" t="n">
        <f aca="false">IF(AND(TblImps[[#This Row],[Resource]]=AM$2,TblImps[[#This Row],[Part]]&lt;&gt;""),TblImps[[#This Row],[Amount]]) + IF(AND(TblImps[[#This Row],[Resource 2]]=AM$2,TblImps[[#This Row],[Part 2]]&lt;&gt;""),TblImps[[#This Row],[Amount 2]]) + IF(AND(TblImps[[#This Row],[Resource 3]]=AM$2,TblImps[[#This Row],[Part 3]]&lt;&gt;""),TblImps[[#This Row],[Amount 3]])</f>
        <v>0</v>
      </c>
      <c r="AN80" s="26" t="n">
        <f aca="false">IF(AND(TblImps[[#This Row],[Resource]]=AN$2,TblImps[[#This Row],[Part]]&lt;&gt;""),TblImps[[#This Row],[Amount]]) + IF(AND(TblImps[[#This Row],[Resource 2]]=AN$2,TblImps[[#This Row],[Part 2]]&lt;&gt;""),TblImps[[#This Row],[Amount 2]]) + IF(AND(TblImps[[#This Row],[Resource 3]]=AN$2,TblImps[[#This Row],[Part 3]]&lt;&gt;""),TblImps[[#This Row],[Amount 3]])</f>
        <v>0</v>
      </c>
      <c r="AO80" s="26" t="n">
        <f aca="false">IF(AND(TblImps[[#This Row],[Resource]]=AO$2,TblImps[[#This Row],[Part]]&lt;&gt;""),TblImps[[#This Row],[Amount]]) + IF(AND(TblImps[[#This Row],[Resource 2]]=AO$2,TblImps[[#This Row],[Part 2]]&lt;&gt;""),TblImps[[#This Row],[Amount 2]]) + IF(AND(TblImps[[#This Row],[Resource 3]]=AO$2,TblImps[[#This Row],[Part 3]]&lt;&gt;""),TblImps[[#This Row],[Amount 3]])</f>
        <v>0</v>
      </c>
      <c r="AP80" s="26" t="n">
        <f aca="false">IF(AND(TblImps[[#This Row],[Resource]]=AP$2,TblImps[[#This Row],[Part]]&lt;&gt;""),TblImps[[#This Row],[Amount]]) + IF(AND(TblImps[[#This Row],[Resource 2]]=AP$2,TblImps[[#This Row],[Part 2]]&lt;&gt;""),TblImps[[#This Row],[Amount 2]]) + IF(AND(TblImps[[#This Row],[Resource 3]]=AP$2,TblImps[[#This Row],[Part 3]]&lt;&gt;""),TblImps[[#This Row],[Amount 3]])</f>
        <v>0</v>
      </c>
      <c r="AQ80" s="132"/>
      <c r="AR8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32"/>
      <c r="AW8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32"/>
      <c r="BB8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32"/>
      <c r="BG8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32"/>
      <c r="BL8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32"/>
      <c r="BQ8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32"/>
      <c r="BV80"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0" s="33" t="n">
        <f aca="false">TblImps[[#This Row],[Login]]</f>
        <v>1</v>
      </c>
      <c r="BX80" s="128"/>
      <c r="BY80" s="347" t="n">
        <f aca="false">OFFSET(TblImps[[#This Row],[Real time]],-1,0)+1/24</f>
        <v>45432.9166666667</v>
      </c>
      <c r="BZ80" s="348" t="n">
        <f aca="false">OFFSET(TblImps[[#This Row],[Servertime]],-1,0)+1/24</f>
        <v>45433.1666666667</v>
      </c>
      <c r="CA80" s="26"/>
      <c r="CB80" s="346"/>
      <c r="CC80" s="346"/>
      <c r="CF80" s="349"/>
    </row>
    <row r="81" customFormat="false" ht="12.75" hidden="false" customHeight="false" outlineLevel="0" collapsed="false">
      <c r="A81" s="181" t="n">
        <f aca="false">TblConstr[[#This Row],[Land]]</f>
        <v>700</v>
      </c>
      <c r="B81" s="132"/>
      <c r="C81" s="69" t="n">
        <f aca="false">TblProd[[#This Row],[Platinum]]</f>
        <v>199845</v>
      </c>
      <c r="D81" s="69" t="n">
        <f aca="false">TblProd[[#This Row],[Lumber]]</f>
        <v>18871</v>
      </c>
      <c r="E81" s="69" t="n">
        <f aca="false">TblProd[[#This Row],[Ore]]</f>
        <v>0</v>
      </c>
      <c r="F81" s="69" t="n">
        <f aca="false">TblProd[[#This Row],[Gems]]</f>
        <v>0</v>
      </c>
      <c r="G81" s="146"/>
      <c r="H81" s="69" t="n">
        <f aca="false">TblMili[[#This Row],[Draftees]]</f>
        <v>193</v>
      </c>
      <c r="I81" s="130" t="n">
        <f aca="false">TblPop[[#This Row],[Employment]]</f>
        <v>1</v>
      </c>
      <c r="J81" s="130" t="n">
        <f aca="false">TblPop[[#This Row],[Total]]/TblPop[[#This Row],[Net max]]</f>
        <v>1</v>
      </c>
      <c r="K81" s="336" t="n">
        <f aca="false">TblRezone[[#This Row],[Hour]]</f>
        <v>78</v>
      </c>
      <c r="L81" s="337" t="n">
        <f aca="false">TblImps[[#This Row],[Real time]]</f>
        <v>45432.9583333333</v>
      </c>
      <c r="M81" s="33" t="n">
        <f aca="false">IF(ISERROR(TblImps[[#This Row],[algorithm]]),0,TblImps[[#This Row],[algorithm]]*1)</f>
        <v>0</v>
      </c>
      <c r="N81" s="69" t="n">
        <f aca="false">TblImps[[#This Row],[Land]]</f>
        <v>700</v>
      </c>
      <c r="O81" s="338" t="s">
        <v>97</v>
      </c>
      <c r="P81" s="339"/>
      <c r="Q81" s="338" t="s">
        <v>734</v>
      </c>
      <c r="R81" s="338" t="s">
        <v>93</v>
      </c>
      <c r="S81" s="339"/>
      <c r="T81" s="338" t="s">
        <v>734</v>
      </c>
      <c r="U81" s="338" t="s">
        <v>35</v>
      </c>
      <c r="V81" s="339"/>
      <c r="W81" s="338" t="s">
        <v>734</v>
      </c>
      <c r="X81" s="132"/>
      <c r="Y81" s="340" t="n">
        <f aca="false">science_cap*(1-EXP(-TblImps[[#This Row],[Σ Science]]/(science_param*(OFFSET(TblImps[[#This Row],[Land]],1,0)-OFFSET(TblExplore[[#This Row],[Land Bonus]],1,0)*20)+15000)))*(1+(mason_bonus*TblConstr[[#This Row],[Tot Mas]]/TblConstr[[#This Row],[Land (2)]]))</f>
        <v>0</v>
      </c>
      <c r="Z81" s="340" t="n">
        <f aca="false">keep_cap*(1-EXP(-TblImps[[#This Row],[Σ Keep]]/(keep_param*(OFFSET(TblImps[[#This Row],[Land]],1,0)-OFFSET(TblExplore[[#This Row],[Land Bonus]],1,0)*20)+15000)))*(1+(mason_bonus*TblConstr[[#This Row],[Tot Mas]]/TblConstr[[#This Row],[Land (2)]]))</f>
        <v>0</v>
      </c>
      <c r="AA81" s="340" t="n">
        <f aca="false">harbor_towers_cap*(1-EXP(-TblImps[[#This Row],[Σ Towers]]/(towers_param*(OFFSET(TblImps[[#This Row],[Land]],1,0)-OFFSET(TblExplore[[#This Row],[Land Bonus]],1,0)*20)+15000)))*(1+(mason_bonus*TblConstr[[#This Row],[Tot Mas]]/TblConstr[[#This Row],[Land (2)]]))</f>
        <v>0</v>
      </c>
      <c r="AB81" s="340" t="n">
        <f aca="false">walls_forges_cap*(1-EXP(-TblImps[[#This Row],[Σ Forges]]/(walls_forges_param*(OFFSET(TblImps[[#This Row],[Land]],1,0)-OFFSET(TblExplore[[#This Row],[Land Bonus]],1,0)*20)+15000)))*(1+(mason_bonus*TblConstr[[#This Row],[Tot Mas]]/TblConstr[[#This Row],[Land (2)]]))</f>
        <v>0</v>
      </c>
      <c r="AC81" s="340" t="n">
        <f aca="false">walls_forges_cap*(1-EXP(-TblImps[[#This Row],[Σ Walls]]/(walls_forges_param*(OFFSET(TblImps[[#This Row],[Land]],1,0)-OFFSET(TblExplore[[#This Row],[Land Bonus]],1,0)*20)+15000)))*(1+(mason_bonus*TblConstr[[#This Row],[Tot Mas]]/TblConstr[[#This Row],[Land (2)]]))</f>
        <v>0</v>
      </c>
      <c r="AD81" s="340" t="n">
        <f aca="false">harbor_towers_cap*(1-EXP(-TblImps[[#This Row],[Σ Irrigation]]/(harbor_towers_param*(OFFSET(TblImps[[#This Row],[Land]],1,0)-OFFSET(TblExplore[[#This Row],[Land Bonus]],1,0)*20)+15000)))*(1+(mason_bonus*TblConstr[[#This Row],[Tot Mas]]/TblConstr[[#This Row],[Land (2)]]))</f>
        <v>0</v>
      </c>
      <c r="AE81" s="132"/>
      <c r="AF81" s="33" t="n">
        <f aca="false">(1+Overview!$I$28)*SUM(TblImps[[#This Row],[P2]:[G2]])+OFFSET(TblImps[[#This Row],[Σ Science]],-1,0)</f>
        <v>0</v>
      </c>
      <c r="AG81" s="33" t="n">
        <f aca="false">(1+Overview!$I$28)*SUM(TblImps[[#This Row],[P3]:[G3]])+OFFSET(TblImps[[#This Row],[Σ Keep]],-1,0)</f>
        <v>0</v>
      </c>
      <c r="AH81" s="33" t="n">
        <f aca="false">(1+Overview!$I$28 + tech_7_1*TblTech[[#This Row],[7-1]])*SUM(TblImps[[#This Row],[P4]:[G4]])+OFFSET(TblImps[[#This Row],[Σ Towers]],-1,0)</f>
        <v>0</v>
      </c>
      <c r="AI81" s="33" t="n">
        <f aca="false">(1+Overview!$I$28)*SUM(TblImps[[#This Row],[P5]:[G5]])+OFFSET(TblImps[[#This Row],[Σ Forges]],-1,0)</f>
        <v>0</v>
      </c>
      <c r="AJ81" s="33" t="n">
        <f aca="false">(1+Overview!$I$28)*SUM(TblImps[[#This Row],[P6]:[G6]])+OFFSET(TblImps[[#This Row],[Σ Walls]],-1,0)</f>
        <v>0</v>
      </c>
      <c r="AK81" s="33" t="n">
        <f aca="false">(1+Overview!$I$28 + tech_7_1*TblTech[[#This Row],[7-1]])*SUM(TblImps[[#This Row],[P7]:[G7]])+OFFSET(TblImps[[#This Row],[Σ Irrigation]],-1,0)</f>
        <v>0</v>
      </c>
      <c r="AL81" s="132"/>
      <c r="AM81" s="26" t="n">
        <f aca="false">IF(AND(TblImps[[#This Row],[Resource]]=AM$2,TblImps[[#This Row],[Part]]&lt;&gt;""),TblImps[[#This Row],[Amount]]) + IF(AND(TblImps[[#This Row],[Resource 2]]=AM$2,TblImps[[#This Row],[Part 2]]&lt;&gt;""),TblImps[[#This Row],[Amount 2]]) + IF(AND(TblImps[[#This Row],[Resource 3]]=AM$2,TblImps[[#This Row],[Part 3]]&lt;&gt;""),TblImps[[#This Row],[Amount 3]])</f>
        <v>0</v>
      </c>
      <c r="AN81" s="26" t="n">
        <f aca="false">IF(AND(TblImps[[#This Row],[Resource]]=AN$2,TblImps[[#This Row],[Part]]&lt;&gt;""),TblImps[[#This Row],[Amount]]) + IF(AND(TblImps[[#This Row],[Resource 2]]=AN$2,TblImps[[#This Row],[Part 2]]&lt;&gt;""),TblImps[[#This Row],[Amount 2]]) + IF(AND(TblImps[[#This Row],[Resource 3]]=AN$2,TblImps[[#This Row],[Part 3]]&lt;&gt;""),TblImps[[#This Row],[Amount 3]])</f>
        <v>0</v>
      </c>
      <c r="AO81" s="26" t="n">
        <f aca="false">IF(AND(TblImps[[#This Row],[Resource]]=AO$2,TblImps[[#This Row],[Part]]&lt;&gt;""),TblImps[[#This Row],[Amount]]) + IF(AND(TblImps[[#This Row],[Resource 2]]=AO$2,TblImps[[#This Row],[Part 2]]&lt;&gt;""),TblImps[[#This Row],[Amount 2]]) + IF(AND(TblImps[[#This Row],[Resource 3]]=AO$2,TblImps[[#This Row],[Part 3]]&lt;&gt;""),TblImps[[#This Row],[Amount 3]])</f>
        <v>0</v>
      </c>
      <c r="AP81" s="26" t="n">
        <f aca="false">IF(AND(TblImps[[#This Row],[Resource]]=AP$2,TblImps[[#This Row],[Part]]&lt;&gt;""),TblImps[[#This Row],[Amount]]) + IF(AND(TblImps[[#This Row],[Resource 2]]=AP$2,TblImps[[#This Row],[Part 2]]&lt;&gt;""),TblImps[[#This Row],[Amount 2]]) + IF(AND(TblImps[[#This Row],[Resource 3]]=AP$2,TblImps[[#This Row],[Part 3]]&lt;&gt;""),TblImps[[#This Row],[Amount 3]])</f>
        <v>0</v>
      </c>
      <c r="AQ81" s="132"/>
      <c r="AR8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32"/>
      <c r="AW8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32"/>
      <c r="BB8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32"/>
      <c r="BG8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32"/>
      <c r="BL8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32"/>
      <c r="BQ8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32"/>
      <c r="BV81"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33" t="n">
        <f aca="false">TblImps[[#This Row],[Login]]</f>
        <v>0</v>
      </c>
      <c r="BX81" s="128"/>
      <c r="BY81" s="347" t="n">
        <f aca="false">OFFSET(TblImps[[#This Row],[Real time]],-1,0)+1/24</f>
        <v>45432.9583333333</v>
      </c>
      <c r="BZ81" s="348" t="n">
        <f aca="false">OFFSET(TblImps[[#This Row],[Servertime]],-1,0)+1/24</f>
        <v>45433.2083333333</v>
      </c>
      <c r="CA81" s="26"/>
      <c r="CB81" s="346"/>
      <c r="CC81" s="346"/>
      <c r="CF81" s="349"/>
    </row>
    <row r="82" customFormat="false" ht="12.75" hidden="false" customHeight="false" outlineLevel="0" collapsed="false">
      <c r="A82" s="181" t="n">
        <f aca="false">TblConstr[[#This Row],[Land]]</f>
        <v>700</v>
      </c>
      <c r="B82" s="132"/>
      <c r="C82" s="69" t="n">
        <f aca="false">TblProd[[#This Row],[Platinum]]</f>
        <v>245670</v>
      </c>
      <c r="D82" s="69" t="n">
        <f aca="false">TblProd[[#This Row],[Lumber]]</f>
        <v>19807</v>
      </c>
      <c r="E82" s="69" t="n">
        <f aca="false">TblProd[[#This Row],[Ore]]</f>
        <v>0</v>
      </c>
      <c r="F82" s="69" t="n">
        <f aca="false">TblProd[[#This Row],[Gems]]</f>
        <v>0</v>
      </c>
      <c r="G82" s="146"/>
      <c r="H82" s="69" t="n">
        <f aca="false">TblMili[[#This Row],[Draftees]]</f>
        <v>288</v>
      </c>
      <c r="I82" s="130" t="n">
        <f aca="false">TblPop[[#This Row],[Employment]]</f>
        <v>1</v>
      </c>
      <c r="J82" s="130" t="n">
        <f aca="false">TblPop[[#This Row],[Total]]/TblPop[[#This Row],[Net max]]</f>
        <v>1</v>
      </c>
      <c r="K82" s="336" t="n">
        <f aca="false">TblRezone[[#This Row],[Hour]]</f>
        <v>79</v>
      </c>
      <c r="L82" s="337" t="n">
        <f aca="false">TblImps[[#This Row],[Real time]]</f>
        <v>45433</v>
      </c>
      <c r="M82" s="33" t="n">
        <f aca="false">IF(ISERROR(TblImps[[#This Row],[algorithm]]),0,TblImps[[#This Row],[algorithm]]*1)</f>
        <v>0</v>
      </c>
      <c r="N82" s="69" t="n">
        <f aca="false">TblImps[[#This Row],[Land]]</f>
        <v>700</v>
      </c>
      <c r="O82" s="338" t="s">
        <v>97</v>
      </c>
      <c r="P82" s="339"/>
      <c r="Q82" s="338" t="s">
        <v>734</v>
      </c>
      <c r="R82" s="338" t="s">
        <v>93</v>
      </c>
      <c r="S82" s="339"/>
      <c r="T82" s="338" t="s">
        <v>734</v>
      </c>
      <c r="U82" s="338" t="s">
        <v>35</v>
      </c>
      <c r="V82" s="339"/>
      <c r="W82" s="338" t="s">
        <v>734</v>
      </c>
      <c r="X82" s="132"/>
      <c r="Y82" s="340" t="n">
        <f aca="false">science_cap*(1-EXP(-TblImps[[#This Row],[Σ Science]]/(science_param*(OFFSET(TblImps[[#This Row],[Land]],1,0)-OFFSET(TblExplore[[#This Row],[Land Bonus]],1,0)*20)+15000)))*(1+(mason_bonus*TblConstr[[#This Row],[Tot Mas]]/TblConstr[[#This Row],[Land (2)]]))</f>
        <v>0</v>
      </c>
      <c r="Z82" s="340" t="n">
        <f aca="false">keep_cap*(1-EXP(-TblImps[[#This Row],[Σ Keep]]/(keep_param*(OFFSET(TblImps[[#This Row],[Land]],1,0)-OFFSET(TblExplore[[#This Row],[Land Bonus]],1,0)*20)+15000)))*(1+(mason_bonus*TblConstr[[#This Row],[Tot Mas]]/TblConstr[[#This Row],[Land (2)]]))</f>
        <v>0</v>
      </c>
      <c r="AA82" s="340" t="n">
        <f aca="false">harbor_towers_cap*(1-EXP(-TblImps[[#This Row],[Σ Towers]]/(towers_param*(OFFSET(TblImps[[#This Row],[Land]],1,0)-OFFSET(TblExplore[[#This Row],[Land Bonus]],1,0)*20)+15000)))*(1+(mason_bonus*TblConstr[[#This Row],[Tot Mas]]/TblConstr[[#This Row],[Land (2)]]))</f>
        <v>0</v>
      </c>
      <c r="AB82" s="340" t="n">
        <f aca="false">walls_forges_cap*(1-EXP(-TblImps[[#This Row],[Σ Forges]]/(walls_forges_param*(OFFSET(TblImps[[#This Row],[Land]],1,0)-OFFSET(TblExplore[[#This Row],[Land Bonus]],1,0)*20)+15000)))*(1+(mason_bonus*TblConstr[[#This Row],[Tot Mas]]/TblConstr[[#This Row],[Land (2)]]))</f>
        <v>0</v>
      </c>
      <c r="AC82" s="340" t="n">
        <f aca="false">walls_forges_cap*(1-EXP(-TblImps[[#This Row],[Σ Walls]]/(walls_forges_param*(OFFSET(TblImps[[#This Row],[Land]],1,0)-OFFSET(TblExplore[[#This Row],[Land Bonus]],1,0)*20)+15000)))*(1+(mason_bonus*TblConstr[[#This Row],[Tot Mas]]/TblConstr[[#This Row],[Land (2)]]))</f>
        <v>0</v>
      </c>
      <c r="AD82" s="340" t="n">
        <f aca="false">harbor_towers_cap*(1-EXP(-TblImps[[#This Row],[Σ Irrigation]]/(harbor_towers_param*(OFFSET(TblImps[[#This Row],[Land]],1,0)-OFFSET(TblExplore[[#This Row],[Land Bonus]],1,0)*20)+15000)))*(1+(mason_bonus*TblConstr[[#This Row],[Tot Mas]]/TblConstr[[#This Row],[Land (2)]]))</f>
        <v>0</v>
      </c>
      <c r="AE82" s="132"/>
      <c r="AF82" s="33" t="n">
        <f aca="false">(1+Overview!$I$28)*SUM(TblImps[[#This Row],[P2]:[G2]])+OFFSET(TblImps[[#This Row],[Σ Science]],-1,0)</f>
        <v>0</v>
      </c>
      <c r="AG82" s="33" t="n">
        <f aca="false">(1+Overview!$I$28)*SUM(TblImps[[#This Row],[P3]:[G3]])+OFFSET(TblImps[[#This Row],[Σ Keep]],-1,0)</f>
        <v>0</v>
      </c>
      <c r="AH82" s="33" t="n">
        <f aca="false">(1+Overview!$I$28 + tech_7_1*TblTech[[#This Row],[7-1]])*SUM(TblImps[[#This Row],[P4]:[G4]])+OFFSET(TblImps[[#This Row],[Σ Towers]],-1,0)</f>
        <v>0</v>
      </c>
      <c r="AI82" s="33" t="n">
        <f aca="false">(1+Overview!$I$28)*SUM(TblImps[[#This Row],[P5]:[G5]])+OFFSET(TblImps[[#This Row],[Σ Forges]],-1,0)</f>
        <v>0</v>
      </c>
      <c r="AJ82" s="33" t="n">
        <f aca="false">(1+Overview!$I$28)*SUM(TblImps[[#This Row],[P6]:[G6]])+OFFSET(TblImps[[#This Row],[Σ Walls]],-1,0)</f>
        <v>0</v>
      </c>
      <c r="AK82" s="33" t="n">
        <f aca="false">(1+Overview!$I$28 + tech_7_1*TblTech[[#This Row],[7-1]])*SUM(TblImps[[#This Row],[P7]:[G7]])+OFFSET(TblImps[[#This Row],[Σ Irrigation]],-1,0)</f>
        <v>0</v>
      </c>
      <c r="AL82" s="132"/>
      <c r="AM82" s="26" t="n">
        <f aca="false">IF(AND(TblImps[[#This Row],[Resource]]=AM$2,TblImps[[#This Row],[Part]]&lt;&gt;""),TblImps[[#This Row],[Amount]]) + IF(AND(TblImps[[#This Row],[Resource 2]]=AM$2,TblImps[[#This Row],[Part 2]]&lt;&gt;""),TblImps[[#This Row],[Amount 2]]) + IF(AND(TblImps[[#This Row],[Resource 3]]=AM$2,TblImps[[#This Row],[Part 3]]&lt;&gt;""),TblImps[[#This Row],[Amount 3]])</f>
        <v>0</v>
      </c>
      <c r="AN82" s="26" t="n">
        <f aca="false">IF(AND(TblImps[[#This Row],[Resource]]=AN$2,TblImps[[#This Row],[Part]]&lt;&gt;""),TblImps[[#This Row],[Amount]]) + IF(AND(TblImps[[#This Row],[Resource 2]]=AN$2,TblImps[[#This Row],[Part 2]]&lt;&gt;""),TblImps[[#This Row],[Amount 2]]) + IF(AND(TblImps[[#This Row],[Resource 3]]=AN$2,TblImps[[#This Row],[Part 3]]&lt;&gt;""),TblImps[[#This Row],[Amount 3]])</f>
        <v>0</v>
      </c>
      <c r="AO82" s="26" t="n">
        <f aca="false">IF(AND(TblImps[[#This Row],[Resource]]=AO$2,TblImps[[#This Row],[Part]]&lt;&gt;""),TblImps[[#This Row],[Amount]]) + IF(AND(TblImps[[#This Row],[Resource 2]]=AO$2,TblImps[[#This Row],[Part 2]]&lt;&gt;""),TblImps[[#This Row],[Amount 2]]) + IF(AND(TblImps[[#This Row],[Resource 3]]=AO$2,TblImps[[#This Row],[Part 3]]&lt;&gt;""),TblImps[[#This Row],[Amount 3]])</f>
        <v>0</v>
      </c>
      <c r="AP82" s="26" t="n">
        <f aca="false">IF(AND(TblImps[[#This Row],[Resource]]=AP$2,TblImps[[#This Row],[Part]]&lt;&gt;""),TblImps[[#This Row],[Amount]]) + IF(AND(TblImps[[#This Row],[Resource 2]]=AP$2,TblImps[[#This Row],[Part 2]]&lt;&gt;""),TblImps[[#This Row],[Amount 2]]) + IF(AND(TblImps[[#This Row],[Resource 3]]=AP$2,TblImps[[#This Row],[Part 3]]&lt;&gt;""),TblImps[[#This Row],[Amount 3]])</f>
        <v>0</v>
      </c>
      <c r="AQ82" s="132"/>
      <c r="AR8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32"/>
      <c r="AW8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32"/>
      <c r="BB8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32"/>
      <c r="BG8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32"/>
      <c r="BL8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32"/>
      <c r="BQ8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32"/>
      <c r="BV82"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33" t="n">
        <f aca="false">TblImps[[#This Row],[Login]]</f>
        <v>0</v>
      </c>
      <c r="BX82" s="128"/>
      <c r="BY82" s="347" t="n">
        <f aca="false">OFFSET(TblImps[[#This Row],[Real time]],-1,0)+1/24</f>
        <v>45433</v>
      </c>
      <c r="BZ82" s="348" t="n">
        <f aca="false">OFFSET(TblImps[[#This Row],[Servertime]],-1,0)+1/24</f>
        <v>45433.25</v>
      </c>
      <c r="CA82" s="26"/>
      <c r="CB82" s="346"/>
      <c r="CC82" s="346"/>
    </row>
    <row r="83" customFormat="false" ht="12.75" hidden="false" customHeight="false" outlineLevel="0" collapsed="false">
      <c r="A83" s="181" t="n">
        <f aca="false">TblConstr[[#This Row],[Land]]</f>
        <v>700</v>
      </c>
      <c r="B83" s="132"/>
      <c r="C83" s="69" t="n">
        <f aca="false">TblProd[[#This Row],[Platinum]]</f>
        <v>291213</v>
      </c>
      <c r="D83" s="69" t="n">
        <f aca="false">TblProd[[#This Row],[Lumber]]</f>
        <v>20734</v>
      </c>
      <c r="E83" s="69" t="n">
        <f aca="false">TblProd[[#This Row],[Ore]]</f>
        <v>0</v>
      </c>
      <c r="F83" s="69" t="n">
        <f aca="false">TblProd[[#This Row],[Gems]]</f>
        <v>0</v>
      </c>
      <c r="G83" s="146"/>
      <c r="H83" s="69" t="n">
        <f aca="false">TblMili[[#This Row],[Draftees]]</f>
        <v>382</v>
      </c>
      <c r="I83" s="130" t="n">
        <f aca="false">TblPop[[#This Row],[Employment]]</f>
        <v>1</v>
      </c>
      <c r="J83" s="130" t="n">
        <f aca="false">TblPop[[#This Row],[Total]]/TblPop[[#This Row],[Net max]]</f>
        <v>1</v>
      </c>
      <c r="K83" s="336" t="n">
        <f aca="false">TblRezone[[#This Row],[Hour]]</f>
        <v>80</v>
      </c>
      <c r="L83" s="337" t="n">
        <f aca="false">TblImps[[#This Row],[Real time]]</f>
        <v>45433.0416666667</v>
      </c>
      <c r="M83" s="33" t="n">
        <f aca="false">IF(ISERROR(TblImps[[#This Row],[algorithm]]),0,TblImps[[#This Row],[algorithm]]*1)</f>
        <v>0</v>
      </c>
      <c r="N83" s="69" t="n">
        <f aca="false">TblImps[[#This Row],[Land]]</f>
        <v>700</v>
      </c>
      <c r="O83" s="338" t="s">
        <v>97</v>
      </c>
      <c r="P83" s="339"/>
      <c r="Q83" s="338" t="s">
        <v>734</v>
      </c>
      <c r="R83" s="338" t="s">
        <v>93</v>
      </c>
      <c r="S83" s="339"/>
      <c r="T83" s="338" t="s">
        <v>734</v>
      </c>
      <c r="U83" s="338" t="s">
        <v>35</v>
      </c>
      <c r="V83" s="339"/>
      <c r="W83" s="338" t="s">
        <v>734</v>
      </c>
      <c r="X83" s="132"/>
      <c r="Y83" s="340" t="n">
        <f aca="false">science_cap*(1-EXP(-TblImps[[#This Row],[Σ Science]]/(science_param*(OFFSET(TblImps[[#This Row],[Land]],1,0)-OFFSET(TblExplore[[#This Row],[Land Bonus]],1,0)*20)+15000)))*(1+(mason_bonus*TblConstr[[#This Row],[Tot Mas]]/TblConstr[[#This Row],[Land (2)]]))</f>
        <v>0</v>
      </c>
      <c r="Z83" s="340" t="n">
        <f aca="false">keep_cap*(1-EXP(-TblImps[[#This Row],[Σ Keep]]/(keep_param*(OFFSET(TblImps[[#This Row],[Land]],1,0)-OFFSET(TblExplore[[#This Row],[Land Bonus]],1,0)*20)+15000)))*(1+(mason_bonus*TblConstr[[#This Row],[Tot Mas]]/TblConstr[[#This Row],[Land (2)]]))</f>
        <v>0</v>
      </c>
      <c r="AA83" s="340" t="n">
        <f aca="false">harbor_towers_cap*(1-EXP(-TblImps[[#This Row],[Σ Towers]]/(towers_param*(OFFSET(TblImps[[#This Row],[Land]],1,0)-OFFSET(TblExplore[[#This Row],[Land Bonus]],1,0)*20)+15000)))*(1+(mason_bonus*TblConstr[[#This Row],[Tot Mas]]/TblConstr[[#This Row],[Land (2)]]))</f>
        <v>0</v>
      </c>
      <c r="AB83" s="340" t="n">
        <f aca="false">walls_forges_cap*(1-EXP(-TblImps[[#This Row],[Σ Forges]]/(walls_forges_param*(OFFSET(TblImps[[#This Row],[Land]],1,0)-OFFSET(TblExplore[[#This Row],[Land Bonus]],1,0)*20)+15000)))*(1+(mason_bonus*TblConstr[[#This Row],[Tot Mas]]/TblConstr[[#This Row],[Land (2)]]))</f>
        <v>0</v>
      </c>
      <c r="AC83" s="340" t="n">
        <f aca="false">walls_forges_cap*(1-EXP(-TblImps[[#This Row],[Σ Walls]]/(walls_forges_param*(OFFSET(TblImps[[#This Row],[Land]],1,0)-OFFSET(TblExplore[[#This Row],[Land Bonus]],1,0)*20)+15000)))*(1+(mason_bonus*TblConstr[[#This Row],[Tot Mas]]/TblConstr[[#This Row],[Land (2)]]))</f>
        <v>0</v>
      </c>
      <c r="AD83" s="340" t="n">
        <f aca="false">harbor_towers_cap*(1-EXP(-TblImps[[#This Row],[Σ Irrigation]]/(harbor_towers_param*(OFFSET(TblImps[[#This Row],[Land]],1,0)-OFFSET(TblExplore[[#This Row],[Land Bonus]],1,0)*20)+15000)))*(1+(mason_bonus*TblConstr[[#This Row],[Tot Mas]]/TblConstr[[#This Row],[Land (2)]]))</f>
        <v>0</v>
      </c>
      <c r="AE83" s="132"/>
      <c r="AF83" s="33" t="n">
        <f aca="false">(1+Overview!$I$28)*SUM(TblImps[[#This Row],[P2]:[G2]])+OFFSET(TblImps[[#This Row],[Σ Science]],-1,0)</f>
        <v>0</v>
      </c>
      <c r="AG83" s="33" t="n">
        <f aca="false">(1+Overview!$I$28)*SUM(TblImps[[#This Row],[P3]:[G3]])+OFFSET(TblImps[[#This Row],[Σ Keep]],-1,0)</f>
        <v>0</v>
      </c>
      <c r="AH83" s="33" t="n">
        <f aca="false">(1+Overview!$I$28 + tech_7_1*TblTech[[#This Row],[7-1]])*SUM(TblImps[[#This Row],[P4]:[G4]])+OFFSET(TblImps[[#This Row],[Σ Towers]],-1,0)</f>
        <v>0</v>
      </c>
      <c r="AI83" s="33" t="n">
        <f aca="false">(1+Overview!$I$28)*SUM(TblImps[[#This Row],[P5]:[G5]])+OFFSET(TblImps[[#This Row],[Σ Forges]],-1,0)</f>
        <v>0</v>
      </c>
      <c r="AJ83" s="33" t="n">
        <f aca="false">(1+Overview!$I$28)*SUM(TblImps[[#This Row],[P6]:[G6]])+OFFSET(TblImps[[#This Row],[Σ Walls]],-1,0)</f>
        <v>0</v>
      </c>
      <c r="AK83" s="33" t="n">
        <f aca="false">(1+Overview!$I$28 + tech_7_1*TblTech[[#This Row],[7-1]])*SUM(TblImps[[#This Row],[P7]:[G7]])+OFFSET(TblImps[[#This Row],[Σ Irrigation]],-1,0)</f>
        <v>0</v>
      </c>
      <c r="AL83" s="132"/>
      <c r="AM83" s="26" t="n">
        <f aca="false">IF(AND(TblImps[[#This Row],[Resource]]=AM$2,TblImps[[#This Row],[Part]]&lt;&gt;""),TblImps[[#This Row],[Amount]]) + IF(AND(TblImps[[#This Row],[Resource 2]]=AM$2,TblImps[[#This Row],[Part 2]]&lt;&gt;""),TblImps[[#This Row],[Amount 2]]) + IF(AND(TblImps[[#This Row],[Resource 3]]=AM$2,TblImps[[#This Row],[Part 3]]&lt;&gt;""),TblImps[[#This Row],[Amount 3]])</f>
        <v>0</v>
      </c>
      <c r="AN83" s="26" t="n">
        <f aca="false">IF(AND(TblImps[[#This Row],[Resource]]=AN$2,TblImps[[#This Row],[Part]]&lt;&gt;""),TblImps[[#This Row],[Amount]]) + IF(AND(TblImps[[#This Row],[Resource 2]]=AN$2,TblImps[[#This Row],[Part 2]]&lt;&gt;""),TblImps[[#This Row],[Amount 2]]) + IF(AND(TblImps[[#This Row],[Resource 3]]=AN$2,TblImps[[#This Row],[Part 3]]&lt;&gt;""),TblImps[[#This Row],[Amount 3]])</f>
        <v>0</v>
      </c>
      <c r="AO83" s="26" t="n">
        <f aca="false">IF(AND(TblImps[[#This Row],[Resource]]=AO$2,TblImps[[#This Row],[Part]]&lt;&gt;""),TblImps[[#This Row],[Amount]]) + IF(AND(TblImps[[#This Row],[Resource 2]]=AO$2,TblImps[[#This Row],[Part 2]]&lt;&gt;""),TblImps[[#This Row],[Amount 2]]) + IF(AND(TblImps[[#This Row],[Resource 3]]=AO$2,TblImps[[#This Row],[Part 3]]&lt;&gt;""),TblImps[[#This Row],[Amount 3]])</f>
        <v>0</v>
      </c>
      <c r="AP83" s="26" t="n">
        <f aca="false">IF(AND(TblImps[[#This Row],[Resource]]=AP$2,TblImps[[#This Row],[Part]]&lt;&gt;""),TblImps[[#This Row],[Amount]]) + IF(AND(TblImps[[#This Row],[Resource 2]]=AP$2,TblImps[[#This Row],[Part 2]]&lt;&gt;""),TblImps[[#This Row],[Amount 2]]) + IF(AND(TblImps[[#This Row],[Resource 3]]=AP$2,TblImps[[#This Row],[Part 3]]&lt;&gt;""),TblImps[[#This Row],[Amount 3]])</f>
        <v>0</v>
      </c>
      <c r="AQ83" s="132"/>
      <c r="AR8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32"/>
      <c r="AW8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32"/>
      <c r="BB8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32"/>
      <c r="BG8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32"/>
      <c r="BL8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32"/>
      <c r="BQ8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32"/>
      <c r="BV83"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33" t="n">
        <f aca="false">TblImps[[#This Row],[Login]]</f>
        <v>0</v>
      </c>
      <c r="BX83" s="128"/>
      <c r="BY83" s="347" t="n">
        <f aca="false">OFFSET(TblImps[[#This Row],[Real time]],-1,0)+1/24</f>
        <v>45433.0416666667</v>
      </c>
      <c r="BZ83" s="348" t="n">
        <f aca="false">OFFSET(TblImps[[#This Row],[Servertime]],-1,0)+1/24</f>
        <v>45433.2916666667</v>
      </c>
      <c r="CA83" s="26"/>
      <c r="CB83" s="346"/>
      <c r="CC83" s="346"/>
    </row>
    <row r="84" customFormat="false" ht="12.75" hidden="false" customHeight="false" outlineLevel="0" collapsed="false">
      <c r="A84" s="181" t="n">
        <f aca="false">TblConstr[[#This Row],[Land]]</f>
        <v>700</v>
      </c>
      <c r="B84" s="132"/>
      <c r="C84" s="69" t="n">
        <f aca="false">TblProd[[#This Row],[Platinum]]</f>
        <v>336477</v>
      </c>
      <c r="D84" s="69" t="n">
        <f aca="false">TblProd[[#This Row],[Lumber]]</f>
        <v>21652</v>
      </c>
      <c r="E84" s="69" t="n">
        <f aca="false">TblProd[[#This Row],[Ore]]</f>
        <v>0</v>
      </c>
      <c r="F84" s="69" t="n">
        <f aca="false">TblProd[[#This Row],[Gems]]</f>
        <v>0</v>
      </c>
      <c r="G84" s="146"/>
      <c r="H84" s="69" t="n">
        <f aca="false">TblMili[[#This Row],[Draftees]]</f>
        <v>475</v>
      </c>
      <c r="I84" s="130" t="n">
        <f aca="false">TblPop[[#This Row],[Employment]]</f>
        <v>1</v>
      </c>
      <c r="J84" s="130" t="n">
        <f aca="false">TblPop[[#This Row],[Total]]/TblPop[[#This Row],[Net max]]</f>
        <v>1</v>
      </c>
      <c r="K84" s="336" t="n">
        <f aca="false">TblRezone[[#This Row],[Hour]]</f>
        <v>81</v>
      </c>
      <c r="L84" s="337" t="n">
        <f aca="false">TblImps[[#This Row],[Real time]]</f>
        <v>45433.0833333333</v>
      </c>
      <c r="M84" s="33" t="n">
        <f aca="false">IF(ISERROR(TblImps[[#This Row],[algorithm]]),0,TblImps[[#This Row],[algorithm]]*1)</f>
        <v>0</v>
      </c>
      <c r="N84" s="69" t="n">
        <f aca="false">TblImps[[#This Row],[Land]]</f>
        <v>700</v>
      </c>
      <c r="O84" s="338" t="s">
        <v>97</v>
      </c>
      <c r="P84" s="339"/>
      <c r="Q84" s="338" t="s">
        <v>734</v>
      </c>
      <c r="R84" s="338" t="s">
        <v>93</v>
      </c>
      <c r="S84" s="339"/>
      <c r="T84" s="338" t="s">
        <v>734</v>
      </c>
      <c r="U84" s="338" t="s">
        <v>35</v>
      </c>
      <c r="V84" s="339"/>
      <c r="W84" s="338" t="s">
        <v>734</v>
      </c>
      <c r="X84" s="132"/>
      <c r="Y84" s="340" t="n">
        <f aca="false">science_cap*(1-EXP(-TblImps[[#This Row],[Σ Science]]/(science_param*(OFFSET(TblImps[[#This Row],[Land]],1,0)-OFFSET(TblExplore[[#This Row],[Land Bonus]],1,0)*20)+15000)))*(1+(mason_bonus*TblConstr[[#This Row],[Tot Mas]]/TblConstr[[#This Row],[Land (2)]]))</f>
        <v>0</v>
      </c>
      <c r="Z84" s="340" t="n">
        <f aca="false">keep_cap*(1-EXP(-TblImps[[#This Row],[Σ Keep]]/(keep_param*(OFFSET(TblImps[[#This Row],[Land]],1,0)-OFFSET(TblExplore[[#This Row],[Land Bonus]],1,0)*20)+15000)))*(1+(mason_bonus*TblConstr[[#This Row],[Tot Mas]]/TblConstr[[#This Row],[Land (2)]]))</f>
        <v>0</v>
      </c>
      <c r="AA84" s="340" t="n">
        <f aca="false">harbor_towers_cap*(1-EXP(-TblImps[[#This Row],[Σ Towers]]/(towers_param*(OFFSET(TblImps[[#This Row],[Land]],1,0)-OFFSET(TblExplore[[#This Row],[Land Bonus]],1,0)*20)+15000)))*(1+(mason_bonus*TblConstr[[#This Row],[Tot Mas]]/TblConstr[[#This Row],[Land (2)]]))</f>
        <v>0</v>
      </c>
      <c r="AB84" s="340" t="n">
        <f aca="false">walls_forges_cap*(1-EXP(-TblImps[[#This Row],[Σ Forges]]/(walls_forges_param*(OFFSET(TblImps[[#This Row],[Land]],1,0)-OFFSET(TblExplore[[#This Row],[Land Bonus]],1,0)*20)+15000)))*(1+(mason_bonus*TblConstr[[#This Row],[Tot Mas]]/TblConstr[[#This Row],[Land (2)]]))</f>
        <v>0</v>
      </c>
      <c r="AC84" s="340" t="n">
        <f aca="false">walls_forges_cap*(1-EXP(-TblImps[[#This Row],[Σ Walls]]/(walls_forges_param*(OFFSET(TblImps[[#This Row],[Land]],1,0)-OFFSET(TblExplore[[#This Row],[Land Bonus]],1,0)*20)+15000)))*(1+(mason_bonus*TblConstr[[#This Row],[Tot Mas]]/TblConstr[[#This Row],[Land (2)]]))</f>
        <v>0</v>
      </c>
      <c r="AD84" s="340" t="n">
        <f aca="false">harbor_towers_cap*(1-EXP(-TblImps[[#This Row],[Σ Irrigation]]/(harbor_towers_param*(OFFSET(TblImps[[#This Row],[Land]],1,0)-OFFSET(TblExplore[[#This Row],[Land Bonus]],1,0)*20)+15000)))*(1+(mason_bonus*TblConstr[[#This Row],[Tot Mas]]/TblConstr[[#This Row],[Land (2)]]))</f>
        <v>0</v>
      </c>
      <c r="AE84" s="132"/>
      <c r="AF84" s="33" t="n">
        <f aca="false">(1+Overview!$I$28)*SUM(TblImps[[#This Row],[P2]:[G2]])+OFFSET(TblImps[[#This Row],[Σ Science]],-1,0)</f>
        <v>0</v>
      </c>
      <c r="AG84" s="33" t="n">
        <f aca="false">(1+Overview!$I$28)*SUM(TblImps[[#This Row],[P3]:[G3]])+OFFSET(TblImps[[#This Row],[Σ Keep]],-1,0)</f>
        <v>0</v>
      </c>
      <c r="AH84" s="33" t="n">
        <f aca="false">(1+Overview!$I$28 + tech_7_1*TblTech[[#This Row],[7-1]])*SUM(TblImps[[#This Row],[P4]:[G4]])+OFFSET(TblImps[[#This Row],[Σ Towers]],-1,0)</f>
        <v>0</v>
      </c>
      <c r="AI84" s="33" t="n">
        <f aca="false">(1+Overview!$I$28)*SUM(TblImps[[#This Row],[P5]:[G5]])+OFFSET(TblImps[[#This Row],[Σ Forges]],-1,0)</f>
        <v>0</v>
      </c>
      <c r="AJ84" s="33" t="n">
        <f aca="false">(1+Overview!$I$28)*SUM(TblImps[[#This Row],[P6]:[G6]])+OFFSET(TblImps[[#This Row],[Σ Walls]],-1,0)</f>
        <v>0</v>
      </c>
      <c r="AK84" s="33" t="n">
        <f aca="false">(1+Overview!$I$28 + tech_7_1*TblTech[[#This Row],[7-1]])*SUM(TblImps[[#This Row],[P7]:[G7]])+OFFSET(TblImps[[#This Row],[Σ Irrigation]],-1,0)</f>
        <v>0</v>
      </c>
      <c r="AL84" s="132"/>
      <c r="AM84" s="26" t="n">
        <f aca="false">IF(AND(TblImps[[#This Row],[Resource]]=AM$2,TblImps[[#This Row],[Part]]&lt;&gt;""),TblImps[[#This Row],[Amount]]) + IF(AND(TblImps[[#This Row],[Resource 2]]=AM$2,TblImps[[#This Row],[Part 2]]&lt;&gt;""),TblImps[[#This Row],[Amount 2]]) + IF(AND(TblImps[[#This Row],[Resource 3]]=AM$2,TblImps[[#This Row],[Part 3]]&lt;&gt;""),TblImps[[#This Row],[Amount 3]])</f>
        <v>0</v>
      </c>
      <c r="AN84" s="26" t="n">
        <f aca="false">IF(AND(TblImps[[#This Row],[Resource]]=AN$2,TblImps[[#This Row],[Part]]&lt;&gt;""),TblImps[[#This Row],[Amount]]) + IF(AND(TblImps[[#This Row],[Resource 2]]=AN$2,TblImps[[#This Row],[Part 2]]&lt;&gt;""),TblImps[[#This Row],[Amount 2]]) + IF(AND(TblImps[[#This Row],[Resource 3]]=AN$2,TblImps[[#This Row],[Part 3]]&lt;&gt;""),TblImps[[#This Row],[Amount 3]])</f>
        <v>0</v>
      </c>
      <c r="AO84" s="26" t="n">
        <f aca="false">IF(AND(TblImps[[#This Row],[Resource]]=AO$2,TblImps[[#This Row],[Part]]&lt;&gt;""),TblImps[[#This Row],[Amount]]) + IF(AND(TblImps[[#This Row],[Resource 2]]=AO$2,TblImps[[#This Row],[Part 2]]&lt;&gt;""),TblImps[[#This Row],[Amount 2]]) + IF(AND(TblImps[[#This Row],[Resource 3]]=AO$2,TblImps[[#This Row],[Part 3]]&lt;&gt;""),TblImps[[#This Row],[Amount 3]])</f>
        <v>0</v>
      </c>
      <c r="AP84" s="26" t="n">
        <f aca="false">IF(AND(TblImps[[#This Row],[Resource]]=AP$2,TblImps[[#This Row],[Part]]&lt;&gt;""),TblImps[[#This Row],[Amount]]) + IF(AND(TblImps[[#This Row],[Resource 2]]=AP$2,TblImps[[#This Row],[Part 2]]&lt;&gt;""),TblImps[[#This Row],[Amount 2]]) + IF(AND(TblImps[[#This Row],[Resource 3]]=AP$2,TblImps[[#This Row],[Part 3]]&lt;&gt;""),TblImps[[#This Row],[Amount 3]])</f>
        <v>0</v>
      </c>
      <c r="AQ84" s="132"/>
      <c r="AR8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32"/>
      <c r="AW8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32"/>
      <c r="BB8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32"/>
      <c r="BG8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32"/>
      <c r="BL8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32"/>
      <c r="BQ8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32"/>
      <c r="BV84"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33" t="n">
        <f aca="false">TblImps[[#This Row],[Login]]</f>
        <v>0</v>
      </c>
      <c r="BX84" s="128"/>
      <c r="BY84" s="347" t="n">
        <f aca="false">OFFSET(TblImps[[#This Row],[Real time]],-1,0)+1/24</f>
        <v>45433.0833333333</v>
      </c>
      <c r="BZ84" s="348" t="n">
        <f aca="false">OFFSET(TblImps[[#This Row],[Servertime]],-1,0)+1/24</f>
        <v>45433.3333333333</v>
      </c>
      <c r="CA84" s="26"/>
      <c r="CB84" s="346"/>
      <c r="CC84" s="346"/>
    </row>
    <row r="85" customFormat="false" ht="12.75" hidden="false" customHeight="false" outlineLevel="0" collapsed="false">
      <c r="A85" s="181" t="n">
        <f aca="false">TblConstr[[#This Row],[Land]]</f>
        <v>700</v>
      </c>
      <c r="B85" s="132"/>
      <c r="C85" s="69" t="n">
        <f aca="false">TblProd[[#This Row],[Platinum]]</f>
        <v>381464</v>
      </c>
      <c r="D85" s="69" t="n">
        <f aca="false">TblProd[[#This Row],[Lumber]]</f>
        <v>22560</v>
      </c>
      <c r="E85" s="69" t="n">
        <f aca="false">TblProd[[#This Row],[Ore]]</f>
        <v>0</v>
      </c>
      <c r="F85" s="69" t="n">
        <f aca="false">TblProd[[#This Row],[Gems]]</f>
        <v>0</v>
      </c>
      <c r="G85" s="146"/>
      <c r="H85" s="69" t="n">
        <f aca="false">TblMili[[#This Row],[Draftees]]</f>
        <v>567</v>
      </c>
      <c r="I85" s="130" t="n">
        <f aca="false">TblPop[[#This Row],[Employment]]</f>
        <v>1</v>
      </c>
      <c r="J85" s="130" t="n">
        <f aca="false">TblPop[[#This Row],[Total]]/TblPop[[#This Row],[Net max]]</f>
        <v>1</v>
      </c>
      <c r="K85" s="336" t="n">
        <f aca="false">TblRezone[[#This Row],[Hour]]</f>
        <v>82</v>
      </c>
      <c r="L85" s="337" t="n">
        <f aca="false">TblImps[[#This Row],[Real time]]</f>
        <v>45433.125</v>
      </c>
      <c r="M85" s="33" t="n">
        <f aca="false">IF(ISERROR(TblImps[[#This Row],[algorithm]]),0,TblImps[[#This Row],[algorithm]]*1)</f>
        <v>0</v>
      </c>
      <c r="N85" s="69" t="n">
        <f aca="false">TblImps[[#This Row],[Land]]</f>
        <v>700</v>
      </c>
      <c r="O85" s="338" t="s">
        <v>97</v>
      </c>
      <c r="P85" s="339"/>
      <c r="Q85" s="338" t="s">
        <v>734</v>
      </c>
      <c r="R85" s="338" t="s">
        <v>93</v>
      </c>
      <c r="S85" s="339"/>
      <c r="T85" s="338" t="s">
        <v>734</v>
      </c>
      <c r="U85" s="338" t="s">
        <v>35</v>
      </c>
      <c r="V85" s="339"/>
      <c r="W85" s="338" t="s">
        <v>734</v>
      </c>
      <c r="X85" s="132"/>
      <c r="Y85" s="340" t="n">
        <f aca="false">science_cap*(1-EXP(-TblImps[[#This Row],[Σ Science]]/(science_param*(OFFSET(TblImps[[#This Row],[Land]],1,0)-OFFSET(TblExplore[[#This Row],[Land Bonus]],1,0)*20)+15000)))*(1+(mason_bonus*TblConstr[[#This Row],[Tot Mas]]/TblConstr[[#This Row],[Land (2)]]))</f>
        <v>0</v>
      </c>
      <c r="Z85" s="340" t="n">
        <f aca="false">keep_cap*(1-EXP(-TblImps[[#This Row],[Σ Keep]]/(keep_param*(OFFSET(TblImps[[#This Row],[Land]],1,0)-OFFSET(TblExplore[[#This Row],[Land Bonus]],1,0)*20)+15000)))*(1+(mason_bonus*TblConstr[[#This Row],[Tot Mas]]/TblConstr[[#This Row],[Land (2)]]))</f>
        <v>0</v>
      </c>
      <c r="AA85" s="340" t="n">
        <f aca="false">harbor_towers_cap*(1-EXP(-TblImps[[#This Row],[Σ Towers]]/(towers_param*(OFFSET(TblImps[[#This Row],[Land]],1,0)-OFFSET(TblExplore[[#This Row],[Land Bonus]],1,0)*20)+15000)))*(1+(mason_bonus*TblConstr[[#This Row],[Tot Mas]]/TblConstr[[#This Row],[Land (2)]]))</f>
        <v>0</v>
      </c>
      <c r="AB85" s="340" t="n">
        <f aca="false">walls_forges_cap*(1-EXP(-TblImps[[#This Row],[Σ Forges]]/(walls_forges_param*(OFFSET(TblImps[[#This Row],[Land]],1,0)-OFFSET(TblExplore[[#This Row],[Land Bonus]],1,0)*20)+15000)))*(1+(mason_bonus*TblConstr[[#This Row],[Tot Mas]]/TblConstr[[#This Row],[Land (2)]]))</f>
        <v>0</v>
      </c>
      <c r="AC85" s="340" t="n">
        <f aca="false">walls_forges_cap*(1-EXP(-TblImps[[#This Row],[Σ Walls]]/(walls_forges_param*(OFFSET(TblImps[[#This Row],[Land]],1,0)-OFFSET(TblExplore[[#This Row],[Land Bonus]],1,0)*20)+15000)))*(1+(mason_bonus*TblConstr[[#This Row],[Tot Mas]]/TblConstr[[#This Row],[Land (2)]]))</f>
        <v>0</v>
      </c>
      <c r="AD85" s="340" t="n">
        <f aca="false">harbor_towers_cap*(1-EXP(-TblImps[[#This Row],[Σ Irrigation]]/(harbor_towers_param*(OFFSET(TblImps[[#This Row],[Land]],1,0)-OFFSET(TblExplore[[#This Row],[Land Bonus]],1,0)*20)+15000)))*(1+(mason_bonus*TblConstr[[#This Row],[Tot Mas]]/TblConstr[[#This Row],[Land (2)]]))</f>
        <v>0</v>
      </c>
      <c r="AE85" s="132"/>
      <c r="AF85" s="33" t="n">
        <f aca="false">(1+Overview!$I$28)*SUM(TblImps[[#This Row],[P2]:[G2]])+OFFSET(TblImps[[#This Row],[Σ Science]],-1,0)</f>
        <v>0</v>
      </c>
      <c r="AG85" s="33" t="n">
        <f aca="false">(1+Overview!$I$28)*SUM(TblImps[[#This Row],[P3]:[G3]])+OFFSET(TblImps[[#This Row],[Σ Keep]],-1,0)</f>
        <v>0</v>
      </c>
      <c r="AH85" s="33" t="n">
        <f aca="false">(1+Overview!$I$28 + tech_7_1*TblTech[[#This Row],[7-1]])*SUM(TblImps[[#This Row],[P4]:[G4]])+OFFSET(TblImps[[#This Row],[Σ Towers]],-1,0)</f>
        <v>0</v>
      </c>
      <c r="AI85" s="33" t="n">
        <f aca="false">(1+Overview!$I$28)*SUM(TblImps[[#This Row],[P5]:[G5]])+OFFSET(TblImps[[#This Row],[Σ Forges]],-1,0)</f>
        <v>0</v>
      </c>
      <c r="AJ85" s="33" t="n">
        <f aca="false">(1+Overview!$I$28)*SUM(TblImps[[#This Row],[P6]:[G6]])+OFFSET(TblImps[[#This Row],[Σ Walls]],-1,0)</f>
        <v>0</v>
      </c>
      <c r="AK85" s="33" t="n">
        <f aca="false">(1+Overview!$I$28 + tech_7_1*TblTech[[#This Row],[7-1]])*SUM(TblImps[[#This Row],[P7]:[G7]])+OFFSET(TblImps[[#This Row],[Σ Irrigation]],-1,0)</f>
        <v>0</v>
      </c>
      <c r="AL85" s="132"/>
      <c r="AM85" s="26" t="n">
        <f aca="false">IF(AND(TblImps[[#This Row],[Resource]]=AM$2,TblImps[[#This Row],[Part]]&lt;&gt;""),TblImps[[#This Row],[Amount]]) + IF(AND(TblImps[[#This Row],[Resource 2]]=AM$2,TblImps[[#This Row],[Part 2]]&lt;&gt;""),TblImps[[#This Row],[Amount 2]]) + IF(AND(TblImps[[#This Row],[Resource 3]]=AM$2,TblImps[[#This Row],[Part 3]]&lt;&gt;""),TblImps[[#This Row],[Amount 3]])</f>
        <v>0</v>
      </c>
      <c r="AN85" s="26" t="n">
        <f aca="false">IF(AND(TblImps[[#This Row],[Resource]]=AN$2,TblImps[[#This Row],[Part]]&lt;&gt;""),TblImps[[#This Row],[Amount]]) + IF(AND(TblImps[[#This Row],[Resource 2]]=AN$2,TblImps[[#This Row],[Part 2]]&lt;&gt;""),TblImps[[#This Row],[Amount 2]]) + IF(AND(TblImps[[#This Row],[Resource 3]]=AN$2,TblImps[[#This Row],[Part 3]]&lt;&gt;""),TblImps[[#This Row],[Amount 3]])</f>
        <v>0</v>
      </c>
      <c r="AO85" s="26" t="n">
        <f aca="false">IF(AND(TblImps[[#This Row],[Resource]]=AO$2,TblImps[[#This Row],[Part]]&lt;&gt;""),TblImps[[#This Row],[Amount]]) + IF(AND(TblImps[[#This Row],[Resource 2]]=AO$2,TblImps[[#This Row],[Part 2]]&lt;&gt;""),TblImps[[#This Row],[Amount 2]]) + IF(AND(TblImps[[#This Row],[Resource 3]]=AO$2,TblImps[[#This Row],[Part 3]]&lt;&gt;""),TblImps[[#This Row],[Amount 3]])</f>
        <v>0</v>
      </c>
      <c r="AP85" s="26" t="n">
        <f aca="false">IF(AND(TblImps[[#This Row],[Resource]]=AP$2,TblImps[[#This Row],[Part]]&lt;&gt;""),TblImps[[#This Row],[Amount]]) + IF(AND(TblImps[[#This Row],[Resource 2]]=AP$2,TblImps[[#This Row],[Part 2]]&lt;&gt;""),TblImps[[#This Row],[Amount 2]]) + IF(AND(TblImps[[#This Row],[Resource 3]]=AP$2,TblImps[[#This Row],[Part 3]]&lt;&gt;""),TblImps[[#This Row],[Amount 3]])</f>
        <v>0</v>
      </c>
      <c r="AQ85" s="132"/>
      <c r="AR8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32"/>
      <c r="AW8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32"/>
      <c r="BB8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32"/>
      <c r="BG8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32"/>
      <c r="BL8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32"/>
      <c r="BQ8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32"/>
      <c r="BV85"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33" t="n">
        <f aca="false">TblImps[[#This Row],[Login]]</f>
        <v>0</v>
      </c>
      <c r="BX85" s="128"/>
      <c r="BY85" s="347" t="n">
        <f aca="false">OFFSET(TblImps[[#This Row],[Real time]],-1,0)+1/24</f>
        <v>45433.125</v>
      </c>
      <c r="BZ85" s="348" t="n">
        <f aca="false">OFFSET(TblImps[[#This Row],[Servertime]],-1,0)+1/24</f>
        <v>45433.375</v>
      </c>
      <c r="CA85" s="26"/>
      <c r="CB85" s="346"/>
      <c r="CC85" s="346"/>
    </row>
    <row r="86" customFormat="false" ht="12.75" hidden="false" customHeight="false" outlineLevel="0" collapsed="false">
      <c r="A86" s="181" t="n">
        <f aca="false">TblConstr[[#This Row],[Land]]</f>
        <v>700</v>
      </c>
      <c r="B86" s="132"/>
      <c r="C86" s="69" t="n">
        <f aca="false">TblProd[[#This Row],[Platinum]]</f>
        <v>426178</v>
      </c>
      <c r="D86" s="69" t="n">
        <f aca="false">TblProd[[#This Row],[Lumber]]</f>
        <v>23459</v>
      </c>
      <c r="E86" s="69" t="n">
        <f aca="false">TblProd[[#This Row],[Ore]]</f>
        <v>0</v>
      </c>
      <c r="F86" s="69" t="n">
        <f aca="false">TblProd[[#This Row],[Gems]]</f>
        <v>0</v>
      </c>
      <c r="G86" s="146"/>
      <c r="H86" s="69" t="n">
        <f aca="false">TblMili[[#This Row],[Draftees]]</f>
        <v>658</v>
      </c>
      <c r="I86" s="130" t="n">
        <f aca="false">TblPop[[#This Row],[Employment]]</f>
        <v>1</v>
      </c>
      <c r="J86" s="130" t="n">
        <f aca="false">TblPop[[#This Row],[Total]]/TblPop[[#This Row],[Net max]]</f>
        <v>1</v>
      </c>
      <c r="K86" s="336" t="n">
        <f aca="false">TblRezone[[#This Row],[Hour]]</f>
        <v>83</v>
      </c>
      <c r="L86" s="337" t="n">
        <f aca="false">TblImps[[#This Row],[Real time]]</f>
        <v>45433.1666666667</v>
      </c>
      <c r="M86" s="33" t="n">
        <f aca="false">IF(ISERROR(TblImps[[#This Row],[algorithm]]),0,TblImps[[#This Row],[algorithm]]*1)</f>
        <v>0</v>
      </c>
      <c r="N86" s="69" t="n">
        <f aca="false">TblImps[[#This Row],[Land]]</f>
        <v>700</v>
      </c>
      <c r="O86" s="338" t="s">
        <v>97</v>
      </c>
      <c r="P86" s="339"/>
      <c r="Q86" s="338" t="s">
        <v>734</v>
      </c>
      <c r="R86" s="338" t="s">
        <v>93</v>
      </c>
      <c r="S86" s="339"/>
      <c r="T86" s="338" t="s">
        <v>734</v>
      </c>
      <c r="U86" s="338" t="s">
        <v>35</v>
      </c>
      <c r="V86" s="339"/>
      <c r="W86" s="338" t="s">
        <v>734</v>
      </c>
      <c r="X86" s="132"/>
      <c r="Y86" s="340" t="n">
        <f aca="false">science_cap*(1-EXP(-TblImps[[#This Row],[Σ Science]]/(science_param*(OFFSET(TblImps[[#This Row],[Land]],1,0)-OFFSET(TblExplore[[#This Row],[Land Bonus]],1,0)*20)+15000)))*(1+(mason_bonus*TblConstr[[#This Row],[Tot Mas]]/TblConstr[[#This Row],[Land (2)]]))</f>
        <v>0</v>
      </c>
      <c r="Z86" s="340" t="n">
        <f aca="false">keep_cap*(1-EXP(-TblImps[[#This Row],[Σ Keep]]/(keep_param*(OFFSET(TblImps[[#This Row],[Land]],1,0)-OFFSET(TblExplore[[#This Row],[Land Bonus]],1,0)*20)+15000)))*(1+(mason_bonus*TblConstr[[#This Row],[Tot Mas]]/TblConstr[[#This Row],[Land (2)]]))</f>
        <v>0</v>
      </c>
      <c r="AA86" s="340" t="n">
        <f aca="false">harbor_towers_cap*(1-EXP(-TblImps[[#This Row],[Σ Towers]]/(towers_param*(OFFSET(TblImps[[#This Row],[Land]],1,0)-OFFSET(TblExplore[[#This Row],[Land Bonus]],1,0)*20)+15000)))*(1+(mason_bonus*TblConstr[[#This Row],[Tot Mas]]/TblConstr[[#This Row],[Land (2)]]))</f>
        <v>0</v>
      </c>
      <c r="AB86" s="340" t="n">
        <f aca="false">walls_forges_cap*(1-EXP(-TblImps[[#This Row],[Σ Forges]]/(walls_forges_param*(OFFSET(TblImps[[#This Row],[Land]],1,0)-OFFSET(TblExplore[[#This Row],[Land Bonus]],1,0)*20)+15000)))*(1+(mason_bonus*TblConstr[[#This Row],[Tot Mas]]/TblConstr[[#This Row],[Land (2)]]))</f>
        <v>0</v>
      </c>
      <c r="AC86" s="340" t="n">
        <f aca="false">walls_forges_cap*(1-EXP(-TblImps[[#This Row],[Σ Walls]]/(walls_forges_param*(OFFSET(TblImps[[#This Row],[Land]],1,0)-OFFSET(TblExplore[[#This Row],[Land Bonus]],1,0)*20)+15000)))*(1+(mason_bonus*TblConstr[[#This Row],[Tot Mas]]/TblConstr[[#This Row],[Land (2)]]))</f>
        <v>0</v>
      </c>
      <c r="AD86" s="340" t="n">
        <f aca="false">harbor_towers_cap*(1-EXP(-TblImps[[#This Row],[Σ Irrigation]]/(harbor_towers_param*(OFFSET(TblImps[[#This Row],[Land]],1,0)-OFFSET(TblExplore[[#This Row],[Land Bonus]],1,0)*20)+15000)))*(1+(mason_bonus*TblConstr[[#This Row],[Tot Mas]]/TblConstr[[#This Row],[Land (2)]]))</f>
        <v>0</v>
      </c>
      <c r="AE86" s="132"/>
      <c r="AF86" s="33" t="n">
        <f aca="false">(1+Overview!$I$28)*SUM(TblImps[[#This Row],[P2]:[G2]])+OFFSET(TblImps[[#This Row],[Σ Science]],-1,0)</f>
        <v>0</v>
      </c>
      <c r="AG86" s="33" t="n">
        <f aca="false">(1+Overview!$I$28)*SUM(TblImps[[#This Row],[P3]:[G3]])+OFFSET(TblImps[[#This Row],[Σ Keep]],-1,0)</f>
        <v>0</v>
      </c>
      <c r="AH86" s="33" t="n">
        <f aca="false">(1+Overview!$I$28 + tech_7_1*TblTech[[#This Row],[7-1]])*SUM(TblImps[[#This Row],[P4]:[G4]])+OFFSET(TblImps[[#This Row],[Σ Towers]],-1,0)</f>
        <v>0</v>
      </c>
      <c r="AI86" s="33" t="n">
        <f aca="false">(1+Overview!$I$28)*SUM(TblImps[[#This Row],[P5]:[G5]])+OFFSET(TblImps[[#This Row],[Σ Forges]],-1,0)</f>
        <v>0</v>
      </c>
      <c r="AJ86" s="33" t="n">
        <f aca="false">(1+Overview!$I$28)*SUM(TblImps[[#This Row],[P6]:[G6]])+OFFSET(TblImps[[#This Row],[Σ Walls]],-1,0)</f>
        <v>0</v>
      </c>
      <c r="AK86" s="33" t="n">
        <f aca="false">(1+Overview!$I$28 + tech_7_1*TblTech[[#This Row],[7-1]])*SUM(TblImps[[#This Row],[P7]:[G7]])+OFFSET(TblImps[[#This Row],[Σ Irrigation]],-1,0)</f>
        <v>0</v>
      </c>
      <c r="AL86" s="132"/>
      <c r="AM86" s="26" t="n">
        <f aca="false">IF(AND(TblImps[[#This Row],[Resource]]=AM$2,TblImps[[#This Row],[Part]]&lt;&gt;""),TblImps[[#This Row],[Amount]]) + IF(AND(TblImps[[#This Row],[Resource 2]]=AM$2,TblImps[[#This Row],[Part 2]]&lt;&gt;""),TblImps[[#This Row],[Amount 2]]) + IF(AND(TblImps[[#This Row],[Resource 3]]=AM$2,TblImps[[#This Row],[Part 3]]&lt;&gt;""),TblImps[[#This Row],[Amount 3]])</f>
        <v>0</v>
      </c>
      <c r="AN86" s="26" t="n">
        <f aca="false">IF(AND(TblImps[[#This Row],[Resource]]=AN$2,TblImps[[#This Row],[Part]]&lt;&gt;""),TblImps[[#This Row],[Amount]]) + IF(AND(TblImps[[#This Row],[Resource 2]]=AN$2,TblImps[[#This Row],[Part 2]]&lt;&gt;""),TblImps[[#This Row],[Amount 2]]) + IF(AND(TblImps[[#This Row],[Resource 3]]=AN$2,TblImps[[#This Row],[Part 3]]&lt;&gt;""),TblImps[[#This Row],[Amount 3]])</f>
        <v>0</v>
      </c>
      <c r="AO86" s="26" t="n">
        <f aca="false">IF(AND(TblImps[[#This Row],[Resource]]=AO$2,TblImps[[#This Row],[Part]]&lt;&gt;""),TblImps[[#This Row],[Amount]]) + IF(AND(TblImps[[#This Row],[Resource 2]]=AO$2,TblImps[[#This Row],[Part 2]]&lt;&gt;""),TblImps[[#This Row],[Amount 2]]) + IF(AND(TblImps[[#This Row],[Resource 3]]=AO$2,TblImps[[#This Row],[Part 3]]&lt;&gt;""),TblImps[[#This Row],[Amount 3]])</f>
        <v>0</v>
      </c>
      <c r="AP86" s="26" t="n">
        <f aca="false">IF(AND(TblImps[[#This Row],[Resource]]=AP$2,TblImps[[#This Row],[Part]]&lt;&gt;""),TblImps[[#This Row],[Amount]]) + IF(AND(TblImps[[#This Row],[Resource 2]]=AP$2,TblImps[[#This Row],[Part 2]]&lt;&gt;""),TblImps[[#This Row],[Amount 2]]) + IF(AND(TblImps[[#This Row],[Resource 3]]=AP$2,TblImps[[#This Row],[Part 3]]&lt;&gt;""),TblImps[[#This Row],[Amount 3]])</f>
        <v>0</v>
      </c>
      <c r="AQ86" s="132"/>
      <c r="AR8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32"/>
      <c r="AW8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32"/>
      <c r="BB8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32"/>
      <c r="BG8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32"/>
      <c r="BL8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32"/>
      <c r="BQ8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32"/>
      <c r="BV86"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33" t="n">
        <f aca="false">TblImps[[#This Row],[Login]]</f>
        <v>0</v>
      </c>
      <c r="BX86" s="128"/>
      <c r="BY86" s="347" t="n">
        <f aca="false">OFFSET(TblImps[[#This Row],[Real time]],-1,0)+1/24</f>
        <v>45433.1666666667</v>
      </c>
      <c r="BZ86" s="348" t="n">
        <f aca="false">OFFSET(TblImps[[#This Row],[Servertime]],-1,0)+1/24</f>
        <v>45433.4166666667</v>
      </c>
      <c r="CA86" s="26"/>
      <c r="CB86" s="346"/>
      <c r="CC86" s="346"/>
    </row>
    <row r="87" customFormat="false" ht="12.75" hidden="false" customHeight="false" outlineLevel="0" collapsed="false">
      <c r="A87" s="181" t="n">
        <f aca="false">TblConstr[[#This Row],[Land]]</f>
        <v>700</v>
      </c>
      <c r="B87" s="132"/>
      <c r="C87" s="69" t="n">
        <f aca="false">TblProd[[#This Row],[Platinum]]</f>
        <v>470622</v>
      </c>
      <c r="D87" s="69" t="n">
        <f aca="false">TblProd[[#This Row],[Lumber]]</f>
        <v>24349</v>
      </c>
      <c r="E87" s="69" t="n">
        <f aca="false">TblProd[[#This Row],[Ore]]</f>
        <v>0</v>
      </c>
      <c r="F87" s="69" t="n">
        <f aca="false">TblProd[[#This Row],[Gems]]</f>
        <v>0</v>
      </c>
      <c r="G87" s="146"/>
      <c r="H87" s="69" t="n">
        <f aca="false">TblMili[[#This Row],[Draftees]]</f>
        <v>749</v>
      </c>
      <c r="I87" s="130" t="n">
        <f aca="false">TblPop[[#This Row],[Employment]]</f>
        <v>1</v>
      </c>
      <c r="J87" s="130" t="n">
        <f aca="false">TblPop[[#This Row],[Total]]/TblPop[[#This Row],[Net max]]</f>
        <v>1</v>
      </c>
      <c r="K87" s="336" t="n">
        <f aca="false">TblRezone[[#This Row],[Hour]]</f>
        <v>84</v>
      </c>
      <c r="L87" s="337" t="n">
        <f aca="false">TblImps[[#This Row],[Real time]]</f>
        <v>45433.2083333333</v>
      </c>
      <c r="M87" s="33" t="n">
        <f aca="false">IF(ISERROR(TblImps[[#This Row],[algorithm]]),0,TblImps[[#This Row],[algorithm]]*1)</f>
        <v>0</v>
      </c>
      <c r="N87" s="69" t="n">
        <f aca="false">TblImps[[#This Row],[Land]]</f>
        <v>700</v>
      </c>
      <c r="O87" s="338" t="s">
        <v>97</v>
      </c>
      <c r="P87" s="339"/>
      <c r="Q87" s="338" t="s">
        <v>734</v>
      </c>
      <c r="R87" s="338" t="s">
        <v>93</v>
      </c>
      <c r="S87" s="339"/>
      <c r="T87" s="338" t="s">
        <v>734</v>
      </c>
      <c r="U87" s="338" t="s">
        <v>35</v>
      </c>
      <c r="V87" s="339"/>
      <c r="W87" s="338" t="s">
        <v>734</v>
      </c>
      <c r="X87" s="132"/>
      <c r="Y87" s="340" t="n">
        <f aca="false">science_cap*(1-EXP(-TblImps[[#This Row],[Σ Science]]/(science_param*(OFFSET(TblImps[[#This Row],[Land]],1,0)-OFFSET(TblExplore[[#This Row],[Land Bonus]],1,0)*20)+15000)))*(1+(mason_bonus*TblConstr[[#This Row],[Tot Mas]]/TblConstr[[#This Row],[Land (2)]]))</f>
        <v>0</v>
      </c>
      <c r="Z87" s="340" t="n">
        <f aca="false">keep_cap*(1-EXP(-TblImps[[#This Row],[Σ Keep]]/(keep_param*(OFFSET(TblImps[[#This Row],[Land]],1,0)-OFFSET(TblExplore[[#This Row],[Land Bonus]],1,0)*20)+15000)))*(1+(mason_bonus*TblConstr[[#This Row],[Tot Mas]]/TblConstr[[#This Row],[Land (2)]]))</f>
        <v>0</v>
      </c>
      <c r="AA87" s="340" t="n">
        <f aca="false">harbor_towers_cap*(1-EXP(-TblImps[[#This Row],[Σ Towers]]/(towers_param*(OFFSET(TblImps[[#This Row],[Land]],1,0)-OFFSET(TblExplore[[#This Row],[Land Bonus]],1,0)*20)+15000)))*(1+(mason_bonus*TblConstr[[#This Row],[Tot Mas]]/TblConstr[[#This Row],[Land (2)]]))</f>
        <v>0</v>
      </c>
      <c r="AB87" s="340" t="n">
        <f aca="false">walls_forges_cap*(1-EXP(-TblImps[[#This Row],[Σ Forges]]/(walls_forges_param*(OFFSET(TblImps[[#This Row],[Land]],1,0)-OFFSET(TblExplore[[#This Row],[Land Bonus]],1,0)*20)+15000)))*(1+(mason_bonus*TblConstr[[#This Row],[Tot Mas]]/TblConstr[[#This Row],[Land (2)]]))</f>
        <v>0</v>
      </c>
      <c r="AC87" s="340" t="n">
        <f aca="false">walls_forges_cap*(1-EXP(-TblImps[[#This Row],[Σ Walls]]/(walls_forges_param*(OFFSET(TblImps[[#This Row],[Land]],1,0)-OFFSET(TblExplore[[#This Row],[Land Bonus]],1,0)*20)+15000)))*(1+(mason_bonus*TblConstr[[#This Row],[Tot Mas]]/TblConstr[[#This Row],[Land (2)]]))</f>
        <v>0</v>
      </c>
      <c r="AD87" s="340" t="n">
        <f aca="false">harbor_towers_cap*(1-EXP(-TblImps[[#This Row],[Σ Irrigation]]/(harbor_towers_param*(OFFSET(TblImps[[#This Row],[Land]],1,0)-OFFSET(TblExplore[[#This Row],[Land Bonus]],1,0)*20)+15000)))*(1+(mason_bonus*TblConstr[[#This Row],[Tot Mas]]/TblConstr[[#This Row],[Land (2)]]))</f>
        <v>0</v>
      </c>
      <c r="AE87" s="132"/>
      <c r="AF87" s="33" t="n">
        <f aca="false">(1+Overview!$I$28)*SUM(TblImps[[#This Row],[P2]:[G2]])+OFFSET(TblImps[[#This Row],[Σ Science]],-1,0)</f>
        <v>0</v>
      </c>
      <c r="AG87" s="33" t="n">
        <f aca="false">(1+Overview!$I$28)*SUM(TblImps[[#This Row],[P3]:[G3]])+OFFSET(TblImps[[#This Row],[Σ Keep]],-1,0)</f>
        <v>0</v>
      </c>
      <c r="AH87" s="33" t="n">
        <f aca="false">(1+Overview!$I$28 + tech_7_1*TblTech[[#This Row],[7-1]])*SUM(TblImps[[#This Row],[P4]:[G4]])+OFFSET(TblImps[[#This Row],[Σ Towers]],-1,0)</f>
        <v>0</v>
      </c>
      <c r="AI87" s="33" t="n">
        <f aca="false">(1+Overview!$I$28)*SUM(TblImps[[#This Row],[P5]:[G5]])+OFFSET(TblImps[[#This Row],[Σ Forges]],-1,0)</f>
        <v>0</v>
      </c>
      <c r="AJ87" s="33" t="n">
        <f aca="false">(1+Overview!$I$28)*SUM(TblImps[[#This Row],[P6]:[G6]])+OFFSET(TblImps[[#This Row],[Σ Walls]],-1,0)</f>
        <v>0</v>
      </c>
      <c r="AK87" s="33" t="n">
        <f aca="false">(1+Overview!$I$28 + tech_7_1*TblTech[[#This Row],[7-1]])*SUM(TblImps[[#This Row],[P7]:[G7]])+OFFSET(TblImps[[#This Row],[Σ Irrigation]],-1,0)</f>
        <v>0</v>
      </c>
      <c r="AL87" s="132"/>
      <c r="AM87" s="26" t="n">
        <f aca="false">IF(AND(TblImps[[#This Row],[Resource]]=AM$2,TblImps[[#This Row],[Part]]&lt;&gt;""),TblImps[[#This Row],[Amount]]) + IF(AND(TblImps[[#This Row],[Resource 2]]=AM$2,TblImps[[#This Row],[Part 2]]&lt;&gt;""),TblImps[[#This Row],[Amount 2]]) + IF(AND(TblImps[[#This Row],[Resource 3]]=AM$2,TblImps[[#This Row],[Part 3]]&lt;&gt;""),TblImps[[#This Row],[Amount 3]])</f>
        <v>0</v>
      </c>
      <c r="AN87" s="26" t="n">
        <f aca="false">IF(AND(TblImps[[#This Row],[Resource]]=AN$2,TblImps[[#This Row],[Part]]&lt;&gt;""),TblImps[[#This Row],[Amount]]) + IF(AND(TblImps[[#This Row],[Resource 2]]=AN$2,TblImps[[#This Row],[Part 2]]&lt;&gt;""),TblImps[[#This Row],[Amount 2]]) + IF(AND(TblImps[[#This Row],[Resource 3]]=AN$2,TblImps[[#This Row],[Part 3]]&lt;&gt;""),TblImps[[#This Row],[Amount 3]])</f>
        <v>0</v>
      </c>
      <c r="AO87" s="26" t="n">
        <f aca="false">IF(AND(TblImps[[#This Row],[Resource]]=AO$2,TblImps[[#This Row],[Part]]&lt;&gt;""),TblImps[[#This Row],[Amount]]) + IF(AND(TblImps[[#This Row],[Resource 2]]=AO$2,TblImps[[#This Row],[Part 2]]&lt;&gt;""),TblImps[[#This Row],[Amount 2]]) + IF(AND(TblImps[[#This Row],[Resource 3]]=AO$2,TblImps[[#This Row],[Part 3]]&lt;&gt;""),TblImps[[#This Row],[Amount 3]])</f>
        <v>0</v>
      </c>
      <c r="AP87" s="26" t="n">
        <f aca="false">IF(AND(TblImps[[#This Row],[Resource]]=AP$2,TblImps[[#This Row],[Part]]&lt;&gt;""),TblImps[[#This Row],[Amount]]) + IF(AND(TblImps[[#This Row],[Resource 2]]=AP$2,TblImps[[#This Row],[Part 2]]&lt;&gt;""),TblImps[[#This Row],[Amount 2]]) + IF(AND(TblImps[[#This Row],[Resource 3]]=AP$2,TblImps[[#This Row],[Part 3]]&lt;&gt;""),TblImps[[#This Row],[Amount 3]])</f>
        <v>0</v>
      </c>
      <c r="AQ87" s="132"/>
      <c r="AR8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32"/>
      <c r="AW8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32"/>
      <c r="BB8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32"/>
      <c r="BG8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32"/>
      <c r="BL8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32"/>
      <c r="BQ8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32"/>
      <c r="BV87"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33" t="n">
        <f aca="false">TblImps[[#This Row],[Login]]</f>
        <v>0</v>
      </c>
      <c r="BX87" s="128"/>
      <c r="BY87" s="347" t="n">
        <f aca="false">OFFSET(TblImps[[#This Row],[Real time]],-1,0)+1/24</f>
        <v>45433.2083333333</v>
      </c>
      <c r="BZ87" s="348" t="n">
        <f aca="false">OFFSET(TblImps[[#This Row],[Servertime]],-1,0)+1/24</f>
        <v>45433.4583333333</v>
      </c>
      <c r="CA87" s="26"/>
      <c r="CB87" s="346"/>
      <c r="CC87" s="346"/>
    </row>
    <row r="88" customFormat="false" ht="12.75" hidden="false" customHeight="false" outlineLevel="0" collapsed="false">
      <c r="A88" s="181" t="n">
        <f aca="false">TblConstr[[#This Row],[Land]]</f>
        <v>700</v>
      </c>
      <c r="B88" s="132"/>
      <c r="C88" s="69" t="n">
        <f aca="false">TblProd[[#This Row],[Platinum]]</f>
        <v>514796</v>
      </c>
      <c r="D88" s="69" t="n">
        <f aca="false">TblProd[[#This Row],[Lumber]]</f>
        <v>25231</v>
      </c>
      <c r="E88" s="69" t="n">
        <f aca="false">TblProd[[#This Row],[Ore]]</f>
        <v>0</v>
      </c>
      <c r="F88" s="69" t="n">
        <f aca="false">TblProd[[#This Row],[Gems]]</f>
        <v>0</v>
      </c>
      <c r="G88" s="146"/>
      <c r="H88" s="69" t="n">
        <f aca="false">TblMili[[#This Row],[Draftees]]</f>
        <v>839</v>
      </c>
      <c r="I88" s="130" t="n">
        <f aca="false">TblPop[[#This Row],[Employment]]</f>
        <v>1</v>
      </c>
      <c r="J88" s="130" t="n">
        <f aca="false">TblPop[[#This Row],[Total]]/TblPop[[#This Row],[Net max]]</f>
        <v>1</v>
      </c>
      <c r="K88" s="336" t="n">
        <f aca="false">TblRezone[[#This Row],[Hour]]</f>
        <v>85</v>
      </c>
      <c r="L88" s="337" t="n">
        <f aca="false">TblImps[[#This Row],[Real time]]</f>
        <v>45433.25</v>
      </c>
      <c r="M88" s="33" t="n">
        <f aca="false">IF(ISERROR(TblImps[[#This Row],[algorithm]]),0,TblImps[[#This Row],[algorithm]]*1)</f>
        <v>1</v>
      </c>
      <c r="N88" s="69" t="n">
        <f aca="false">TblImps[[#This Row],[Land]]</f>
        <v>700</v>
      </c>
      <c r="O88" s="338" t="s">
        <v>97</v>
      </c>
      <c r="P88" s="339"/>
      <c r="Q88" s="338" t="s">
        <v>734</v>
      </c>
      <c r="R88" s="338" t="s">
        <v>93</v>
      </c>
      <c r="S88" s="339"/>
      <c r="T88" s="338" t="s">
        <v>734</v>
      </c>
      <c r="U88" s="338" t="s">
        <v>35</v>
      </c>
      <c r="V88" s="339"/>
      <c r="W88" s="338" t="s">
        <v>734</v>
      </c>
      <c r="X88" s="132"/>
      <c r="Y88" s="340" t="n">
        <f aca="false">science_cap*(1-EXP(-TblImps[[#This Row],[Σ Science]]/(science_param*(OFFSET(TblImps[[#This Row],[Land]],1,0)-OFFSET(TblExplore[[#This Row],[Land Bonus]],1,0)*20)+15000)))*(1+(mason_bonus*TblConstr[[#This Row],[Tot Mas]]/TblConstr[[#This Row],[Land (2)]]))</f>
        <v>0</v>
      </c>
      <c r="Z88" s="340" t="n">
        <f aca="false">keep_cap*(1-EXP(-TblImps[[#This Row],[Σ Keep]]/(keep_param*(OFFSET(TblImps[[#This Row],[Land]],1,0)-OFFSET(TblExplore[[#This Row],[Land Bonus]],1,0)*20)+15000)))*(1+(mason_bonus*TblConstr[[#This Row],[Tot Mas]]/TblConstr[[#This Row],[Land (2)]]))</f>
        <v>0</v>
      </c>
      <c r="AA88" s="340" t="n">
        <f aca="false">harbor_towers_cap*(1-EXP(-TblImps[[#This Row],[Σ Towers]]/(towers_param*(OFFSET(TblImps[[#This Row],[Land]],1,0)-OFFSET(TblExplore[[#This Row],[Land Bonus]],1,0)*20)+15000)))*(1+(mason_bonus*TblConstr[[#This Row],[Tot Mas]]/TblConstr[[#This Row],[Land (2)]]))</f>
        <v>0</v>
      </c>
      <c r="AB88" s="340" t="n">
        <f aca="false">walls_forges_cap*(1-EXP(-TblImps[[#This Row],[Σ Forges]]/(walls_forges_param*(OFFSET(TblImps[[#This Row],[Land]],1,0)-OFFSET(TblExplore[[#This Row],[Land Bonus]],1,0)*20)+15000)))*(1+(mason_bonus*TblConstr[[#This Row],[Tot Mas]]/TblConstr[[#This Row],[Land (2)]]))</f>
        <v>0</v>
      </c>
      <c r="AC88" s="340" t="n">
        <f aca="false">walls_forges_cap*(1-EXP(-TblImps[[#This Row],[Σ Walls]]/(walls_forges_param*(OFFSET(TblImps[[#This Row],[Land]],1,0)-OFFSET(TblExplore[[#This Row],[Land Bonus]],1,0)*20)+15000)))*(1+(mason_bonus*TblConstr[[#This Row],[Tot Mas]]/TblConstr[[#This Row],[Land (2)]]))</f>
        <v>0</v>
      </c>
      <c r="AD88" s="340" t="n">
        <f aca="false">harbor_towers_cap*(1-EXP(-TblImps[[#This Row],[Σ Irrigation]]/(harbor_towers_param*(OFFSET(TblImps[[#This Row],[Land]],1,0)-OFFSET(TblExplore[[#This Row],[Land Bonus]],1,0)*20)+15000)))*(1+(mason_bonus*TblConstr[[#This Row],[Tot Mas]]/TblConstr[[#This Row],[Land (2)]]))</f>
        <v>0</v>
      </c>
      <c r="AE88" s="132"/>
      <c r="AF88" s="33" t="n">
        <f aca="false">(1+Overview!$I$28)*SUM(TblImps[[#This Row],[P2]:[G2]])+OFFSET(TblImps[[#This Row],[Σ Science]],-1,0)</f>
        <v>0</v>
      </c>
      <c r="AG88" s="33" t="n">
        <f aca="false">(1+Overview!$I$28)*SUM(TblImps[[#This Row],[P3]:[G3]])+OFFSET(TblImps[[#This Row],[Σ Keep]],-1,0)</f>
        <v>0</v>
      </c>
      <c r="AH88" s="33" t="n">
        <f aca="false">(1+Overview!$I$28 + tech_7_1*TblTech[[#This Row],[7-1]])*SUM(TblImps[[#This Row],[P4]:[G4]])+OFFSET(TblImps[[#This Row],[Σ Towers]],-1,0)</f>
        <v>0</v>
      </c>
      <c r="AI88" s="33" t="n">
        <f aca="false">(1+Overview!$I$28)*SUM(TblImps[[#This Row],[P5]:[G5]])+OFFSET(TblImps[[#This Row],[Σ Forges]],-1,0)</f>
        <v>0</v>
      </c>
      <c r="AJ88" s="33" t="n">
        <f aca="false">(1+Overview!$I$28)*SUM(TblImps[[#This Row],[P6]:[G6]])+OFFSET(TblImps[[#This Row],[Σ Walls]],-1,0)</f>
        <v>0</v>
      </c>
      <c r="AK88" s="33" t="n">
        <f aca="false">(1+Overview!$I$28 + tech_7_1*TblTech[[#This Row],[7-1]])*SUM(TblImps[[#This Row],[P7]:[G7]])+OFFSET(TblImps[[#This Row],[Σ Irrigation]],-1,0)</f>
        <v>0</v>
      </c>
      <c r="AL88" s="132"/>
      <c r="AM88" s="26" t="n">
        <f aca="false">IF(AND(TblImps[[#This Row],[Resource]]=AM$2,TblImps[[#This Row],[Part]]&lt;&gt;""),TblImps[[#This Row],[Amount]]) + IF(AND(TblImps[[#This Row],[Resource 2]]=AM$2,TblImps[[#This Row],[Part 2]]&lt;&gt;""),TblImps[[#This Row],[Amount 2]]) + IF(AND(TblImps[[#This Row],[Resource 3]]=AM$2,TblImps[[#This Row],[Part 3]]&lt;&gt;""),TblImps[[#This Row],[Amount 3]])</f>
        <v>0</v>
      </c>
      <c r="AN88" s="26" t="n">
        <f aca="false">IF(AND(TblImps[[#This Row],[Resource]]=AN$2,TblImps[[#This Row],[Part]]&lt;&gt;""),TblImps[[#This Row],[Amount]]) + IF(AND(TblImps[[#This Row],[Resource 2]]=AN$2,TblImps[[#This Row],[Part 2]]&lt;&gt;""),TblImps[[#This Row],[Amount 2]]) + IF(AND(TblImps[[#This Row],[Resource 3]]=AN$2,TblImps[[#This Row],[Part 3]]&lt;&gt;""),TblImps[[#This Row],[Amount 3]])</f>
        <v>0</v>
      </c>
      <c r="AO88" s="26" t="n">
        <f aca="false">IF(AND(TblImps[[#This Row],[Resource]]=AO$2,TblImps[[#This Row],[Part]]&lt;&gt;""),TblImps[[#This Row],[Amount]]) + IF(AND(TblImps[[#This Row],[Resource 2]]=AO$2,TblImps[[#This Row],[Part 2]]&lt;&gt;""),TblImps[[#This Row],[Amount 2]]) + IF(AND(TblImps[[#This Row],[Resource 3]]=AO$2,TblImps[[#This Row],[Part 3]]&lt;&gt;""),TblImps[[#This Row],[Amount 3]])</f>
        <v>0</v>
      </c>
      <c r="AP88" s="26" t="n">
        <f aca="false">IF(AND(TblImps[[#This Row],[Resource]]=AP$2,TblImps[[#This Row],[Part]]&lt;&gt;""),TblImps[[#This Row],[Amount]]) + IF(AND(TblImps[[#This Row],[Resource 2]]=AP$2,TblImps[[#This Row],[Part 2]]&lt;&gt;""),TblImps[[#This Row],[Amount 2]]) + IF(AND(TblImps[[#This Row],[Resource 3]]=AP$2,TblImps[[#This Row],[Part 3]]&lt;&gt;""),TblImps[[#This Row],[Amount 3]])</f>
        <v>0</v>
      </c>
      <c r="AQ88" s="132"/>
      <c r="AR8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32"/>
      <c r="AW8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32"/>
      <c r="BB8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32"/>
      <c r="BG8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32"/>
      <c r="BL8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32"/>
      <c r="BQ8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32"/>
      <c r="BV88"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8" s="33" t="n">
        <f aca="false">TblImps[[#This Row],[Login]]</f>
        <v>1</v>
      </c>
      <c r="BX88" s="128"/>
      <c r="BY88" s="347" t="n">
        <f aca="false">OFFSET(TblImps[[#This Row],[Real time]],-1,0)+1/24</f>
        <v>45433.25</v>
      </c>
      <c r="BZ88" s="348" t="n">
        <f aca="false">OFFSET(TblImps[[#This Row],[Servertime]],-1,0)+1/24</f>
        <v>45433.5</v>
      </c>
      <c r="CA88" s="26"/>
      <c r="CB88" s="346"/>
      <c r="CC88" s="346"/>
    </row>
    <row r="89" customFormat="false" ht="12.75" hidden="false" customHeight="false" outlineLevel="0" collapsed="false">
      <c r="A89" s="181" t="n">
        <f aca="false">TblConstr[[#This Row],[Land]]</f>
        <v>700</v>
      </c>
      <c r="B89" s="132"/>
      <c r="C89" s="69" t="n">
        <f aca="false">TblProd[[#This Row],[Platinum]]</f>
        <v>558702</v>
      </c>
      <c r="D89" s="69" t="n">
        <f aca="false">TblProd[[#This Row],[Lumber]]</f>
        <v>26104</v>
      </c>
      <c r="E89" s="69" t="n">
        <f aca="false">TblProd[[#This Row],[Ore]]</f>
        <v>0</v>
      </c>
      <c r="F89" s="69" t="n">
        <f aca="false">TblProd[[#This Row],[Gems]]</f>
        <v>0</v>
      </c>
      <c r="G89" s="146"/>
      <c r="H89" s="69" t="n">
        <f aca="false">TblMili[[#This Row],[Draftees]]</f>
        <v>928</v>
      </c>
      <c r="I89" s="130" t="n">
        <f aca="false">TblPop[[#This Row],[Employment]]</f>
        <v>1</v>
      </c>
      <c r="J89" s="130" t="n">
        <f aca="false">TblPop[[#This Row],[Total]]/TblPop[[#This Row],[Net max]]</f>
        <v>1</v>
      </c>
      <c r="K89" s="336" t="n">
        <f aca="false">TblRezone[[#This Row],[Hour]]</f>
        <v>86</v>
      </c>
      <c r="L89" s="337" t="n">
        <f aca="false">TblImps[[#This Row],[Real time]]</f>
        <v>45433.2916666667</v>
      </c>
      <c r="M89" s="33" t="n">
        <f aca="false">IF(ISERROR(TblImps[[#This Row],[algorithm]]),0,TblImps[[#This Row],[algorithm]]*1)</f>
        <v>0</v>
      </c>
      <c r="N89" s="69" t="n">
        <f aca="false">TblImps[[#This Row],[Land]]</f>
        <v>700</v>
      </c>
      <c r="O89" s="338" t="s">
        <v>34</v>
      </c>
      <c r="P89" s="339"/>
      <c r="Q89" s="338" t="s">
        <v>734</v>
      </c>
      <c r="R89" s="338" t="s">
        <v>93</v>
      </c>
      <c r="S89" s="339"/>
      <c r="T89" s="338" t="s">
        <v>734</v>
      </c>
      <c r="U89" s="338" t="s">
        <v>35</v>
      </c>
      <c r="V89" s="339"/>
      <c r="W89" s="338" t="s">
        <v>734</v>
      </c>
      <c r="X89" s="132"/>
      <c r="Y89" s="340" t="n">
        <f aca="false">science_cap*(1-EXP(-TblImps[[#This Row],[Σ Science]]/(science_param*(OFFSET(TblImps[[#This Row],[Land]],1,0)-OFFSET(TblExplore[[#This Row],[Land Bonus]],1,0)*20)+15000)))*(1+(mason_bonus*TblConstr[[#This Row],[Tot Mas]]/TblConstr[[#This Row],[Land (2)]]))</f>
        <v>0</v>
      </c>
      <c r="Z89" s="340" t="n">
        <f aca="false">keep_cap*(1-EXP(-TblImps[[#This Row],[Σ Keep]]/(keep_param*(OFFSET(TblImps[[#This Row],[Land]],1,0)-OFFSET(TblExplore[[#This Row],[Land Bonus]],1,0)*20)+15000)))*(1+(mason_bonus*TblConstr[[#This Row],[Tot Mas]]/TblConstr[[#This Row],[Land (2)]]))</f>
        <v>0</v>
      </c>
      <c r="AA89" s="340" t="n">
        <f aca="false">harbor_towers_cap*(1-EXP(-TblImps[[#This Row],[Σ Towers]]/(towers_param*(OFFSET(TblImps[[#This Row],[Land]],1,0)-OFFSET(TblExplore[[#This Row],[Land Bonus]],1,0)*20)+15000)))*(1+(mason_bonus*TblConstr[[#This Row],[Tot Mas]]/TblConstr[[#This Row],[Land (2)]]))</f>
        <v>0</v>
      </c>
      <c r="AB89" s="340" t="n">
        <f aca="false">walls_forges_cap*(1-EXP(-TblImps[[#This Row],[Σ Forges]]/(walls_forges_param*(OFFSET(TblImps[[#This Row],[Land]],1,0)-OFFSET(TblExplore[[#This Row],[Land Bonus]],1,0)*20)+15000)))*(1+(mason_bonus*TblConstr[[#This Row],[Tot Mas]]/TblConstr[[#This Row],[Land (2)]]))</f>
        <v>0</v>
      </c>
      <c r="AC89" s="340" t="n">
        <f aca="false">walls_forges_cap*(1-EXP(-TblImps[[#This Row],[Σ Walls]]/(walls_forges_param*(OFFSET(TblImps[[#This Row],[Land]],1,0)-OFFSET(TblExplore[[#This Row],[Land Bonus]],1,0)*20)+15000)))*(1+(mason_bonus*TblConstr[[#This Row],[Tot Mas]]/TblConstr[[#This Row],[Land (2)]]))</f>
        <v>0</v>
      </c>
      <c r="AD89" s="340" t="n">
        <f aca="false">harbor_towers_cap*(1-EXP(-TblImps[[#This Row],[Σ Irrigation]]/(harbor_towers_param*(OFFSET(TblImps[[#This Row],[Land]],1,0)-OFFSET(TblExplore[[#This Row],[Land Bonus]],1,0)*20)+15000)))*(1+(mason_bonus*TblConstr[[#This Row],[Tot Mas]]/TblConstr[[#This Row],[Land (2)]]))</f>
        <v>0</v>
      </c>
      <c r="AE89" s="132"/>
      <c r="AF89" s="33" t="n">
        <f aca="false">(1+Overview!$I$28)*SUM(TblImps[[#This Row],[P2]:[G2]])+OFFSET(TblImps[[#This Row],[Σ Science]],-1,0)</f>
        <v>0</v>
      </c>
      <c r="AG89" s="33" t="n">
        <f aca="false">(1+Overview!$I$28)*SUM(TblImps[[#This Row],[P3]:[G3]])+OFFSET(TblImps[[#This Row],[Σ Keep]],-1,0)</f>
        <v>0</v>
      </c>
      <c r="AH89" s="33" t="n">
        <f aca="false">(1+Overview!$I$28 + tech_7_1*TblTech[[#This Row],[7-1]])*SUM(TblImps[[#This Row],[P4]:[G4]])+OFFSET(TblImps[[#This Row],[Σ Towers]],-1,0)</f>
        <v>0</v>
      </c>
      <c r="AI89" s="33" t="n">
        <f aca="false">(1+Overview!$I$28)*SUM(TblImps[[#This Row],[P5]:[G5]])+OFFSET(TblImps[[#This Row],[Σ Forges]],-1,0)</f>
        <v>0</v>
      </c>
      <c r="AJ89" s="33" t="n">
        <f aca="false">(1+Overview!$I$28)*SUM(TblImps[[#This Row],[P6]:[G6]])+OFFSET(TblImps[[#This Row],[Σ Walls]],-1,0)</f>
        <v>0</v>
      </c>
      <c r="AK89" s="33" t="n">
        <f aca="false">(1+Overview!$I$28 + tech_7_1*TblTech[[#This Row],[7-1]])*SUM(TblImps[[#This Row],[P7]:[G7]])+OFFSET(TblImps[[#This Row],[Σ Irrigation]],-1,0)</f>
        <v>0</v>
      </c>
      <c r="AL89" s="132"/>
      <c r="AM89" s="26" t="n">
        <f aca="false">IF(AND(TblImps[[#This Row],[Resource]]=AM$2,TblImps[[#This Row],[Part]]&lt;&gt;""),TblImps[[#This Row],[Amount]]) + IF(AND(TblImps[[#This Row],[Resource 2]]=AM$2,TblImps[[#This Row],[Part 2]]&lt;&gt;""),TblImps[[#This Row],[Amount 2]]) + IF(AND(TblImps[[#This Row],[Resource 3]]=AM$2,TblImps[[#This Row],[Part 3]]&lt;&gt;""),TblImps[[#This Row],[Amount 3]])</f>
        <v>0</v>
      </c>
      <c r="AN89" s="26" t="n">
        <f aca="false">IF(AND(TblImps[[#This Row],[Resource]]=AN$2,TblImps[[#This Row],[Part]]&lt;&gt;""),TblImps[[#This Row],[Amount]]) + IF(AND(TblImps[[#This Row],[Resource 2]]=AN$2,TblImps[[#This Row],[Part 2]]&lt;&gt;""),TblImps[[#This Row],[Amount 2]]) + IF(AND(TblImps[[#This Row],[Resource 3]]=AN$2,TblImps[[#This Row],[Part 3]]&lt;&gt;""),TblImps[[#This Row],[Amount 3]])</f>
        <v>0</v>
      </c>
      <c r="AO89" s="26" t="n">
        <f aca="false">IF(AND(TblImps[[#This Row],[Resource]]=AO$2,TblImps[[#This Row],[Part]]&lt;&gt;""),TblImps[[#This Row],[Amount]]) + IF(AND(TblImps[[#This Row],[Resource 2]]=AO$2,TblImps[[#This Row],[Part 2]]&lt;&gt;""),TblImps[[#This Row],[Amount 2]]) + IF(AND(TblImps[[#This Row],[Resource 3]]=AO$2,TblImps[[#This Row],[Part 3]]&lt;&gt;""),TblImps[[#This Row],[Amount 3]])</f>
        <v>0</v>
      </c>
      <c r="AP89" s="26" t="n">
        <f aca="false">IF(AND(TblImps[[#This Row],[Resource]]=AP$2,TblImps[[#This Row],[Part]]&lt;&gt;""),TblImps[[#This Row],[Amount]]) + IF(AND(TblImps[[#This Row],[Resource 2]]=AP$2,TblImps[[#This Row],[Part 2]]&lt;&gt;""),TblImps[[#This Row],[Amount 2]]) + IF(AND(TblImps[[#This Row],[Resource 3]]=AP$2,TblImps[[#This Row],[Part 3]]&lt;&gt;""),TblImps[[#This Row],[Amount 3]])</f>
        <v>0</v>
      </c>
      <c r="AQ89" s="132"/>
      <c r="AR8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32"/>
      <c r="AW8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32"/>
      <c r="BB8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32"/>
      <c r="BG8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32"/>
      <c r="BL8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32"/>
      <c r="BQ8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32"/>
      <c r="BV89"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33" t="n">
        <f aca="false">TblImps[[#This Row],[Login]]</f>
        <v>0</v>
      </c>
      <c r="BX89" s="128"/>
      <c r="BY89" s="347" t="n">
        <f aca="false">OFFSET(TblImps[[#This Row],[Real time]],-1,0)+1/24</f>
        <v>45433.2916666667</v>
      </c>
      <c r="BZ89" s="348" t="n">
        <f aca="false">OFFSET(TblImps[[#This Row],[Servertime]],-1,0)+1/24</f>
        <v>45433.5416666667</v>
      </c>
      <c r="CA89" s="26"/>
      <c r="CB89" s="346"/>
      <c r="CC89" s="346"/>
      <c r="CD89" s="153"/>
    </row>
    <row r="90" customFormat="false" ht="12.75" hidden="false" customHeight="false" outlineLevel="0" collapsed="false">
      <c r="A90" s="181" t="n">
        <f aca="false">TblConstr[[#This Row],[Land]]</f>
        <v>700</v>
      </c>
      <c r="B90" s="132"/>
      <c r="C90" s="69" t="n">
        <f aca="false">TblProd[[#This Row],[Platinum]]</f>
        <v>602344</v>
      </c>
      <c r="D90" s="69" t="n">
        <f aca="false">TblProd[[#This Row],[Lumber]]</f>
        <v>26968</v>
      </c>
      <c r="E90" s="69" t="n">
        <f aca="false">TblProd[[#This Row],[Ore]]</f>
        <v>0</v>
      </c>
      <c r="F90" s="69" t="n">
        <f aca="false">TblProd[[#This Row],[Gems]]</f>
        <v>0</v>
      </c>
      <c r="G90" s="146"/>
      <c r="H90" s="69" t="n">
        <f aca="false">TblMili[[#This Row],[Draftees]]</f>
        <v>1016</v>
      </c>
      <c r="I90" s="130" t="n">
        <f aca="false">TblPop[[#This Row],[Employment]]</f>
        <v>1</v>
      </c>
      <c r="J90" s="130" t="n">
        <f aca="false">TblPop[[#This Row],[Total]]/TblPop[[#This Row],[Net max]]</f>
        <v>1</v>
      </c>
      <c r="K90" s="336" t="n">
        <f aca="false">TblRezone[[#This Row],[Hour]]</f>
        <v>87</v>
      </c>
      <c r="L90" s="337" t="n">
        <f aca="false">TblImps[[#This Row],[Real time]]</f>
        <v>45433.3333333333</v>
      </c>
      <c r="M90" s="33" t="n">
        <f aca="false">IF(ISERROR(TblImps[[#This Row],[algorithm]]),0,TblImps[[#This Row],[algorithm]]*1)</f>
        <v>0</v>
      </c>
      <c r="N90" s="69" t="n">
        <f aca="false">TblImps[[#This Row],[Land]]</f>
        <v>700</v>
      </c>
      <c r="O90" s="338" t="s">
        <v>97</v>
      </c>
      <c r="P90" s="339"/>
      <c r="Q90" s="338" t="s">
        <v>734</v>
      </c>
      <c r="R90" s="338" t="s">
        <v>93</v>
      </c>
      <c r="S90" s="339"/>
      <c r="T90" s="338" t="s">
        <v>734</v>
      </c>
      <c r="U90" s="338" t="s">
        <v>35</v>
      </c>
      <c r="V90" s="339"/>
      <c r="W90" s="338" t="s">
        <v>734</v>
      </c>
      <c r="X90" s="132"/>
      <c r="Y90" s="340" t="n">
        <f aca="false">science_cap*(1-EXP(-TblImps[[#This Row],[Σ Science]]/(science_param*(OFFSET(TblImps[[#This Row],[Land]],1,0)-OFFSET(TblExplore[[#This Row],[Land Bonus]],1,0)*20)+15000)))*(1+(mason_bonus*TblConstr[[#This Row],[Tot Mas]]/TblConstr[[#This Row],[Land (2)]]))</f>
        <v>0</v>
      </c>
      <c r="Z90" s="340" t="n">
        <f aca="false">keep_cap*(1-EXP(-TblImps[[#This Row],[Σ Keep]]/(keep_param*(OFFSET(TblImps[[#This Row],[Land]],1,0)-OFFSET(TblExplore[[#This Row],[Land Bonus]],1,0)*20)+15000)))*(1+(mason_bonus*TblConstr[[#This Row],[Tot Mas]]/TblConstr[[#This Row],[Land (2)]]))</f>
        <v>0</v>
      </c>
      <c r="AA90" s="340" t="n">
        <f aca="false">harbor_towers_cap*(1-EXP(-TblImps[[#This Row],[Σ Towers]]/(towers_param*(OFFSET(TblImps[[#This Row],[Land]],1,0)-OFFSET(TblExplore[[#This Row],[Land Bonus]],1,0)*20)+15000)))*(1+(mason_bonus*TblConstr[[#This Row],[Tot Mas]]/TblConstr[[#This Row],[Land (2)]]))</f>
        <v>0</v>
      </c>
      <c r="AB90" s="340" t="n">
        <f aca="false">walls_forges_cap*(1-EXP(-TblImps[[#This Row],[Σ Forges]]/(walls_forges_param*(OFFSET(TblImps[[#This Row],[Land]],1,0)-OFFSET(TblExplore[[#This Row],[Land Bonus]],1,0)*20)+15000)))*(1+(mason_bonus*TblConstr[[#This Row],[Tot Mas]]/TblConstr[[#This Row],[Land (2)]]))</f>
        <v>0</v>
      </c>
      <c r="AC90" s="340" t="n">
        <f aca="false">walls_forges_cap*(1-EXP(-TblImps[[#This Row],[Σ Walls]]/(walls_forges_param*(OFFSET(TblImps[[#This Row],[Land]],1,0)-OFFSET(TblExplore[[#This Row],[Land Bonus]],1,0)*20)+15000)))*(1+(mason_bonus*TblConstr[[#This Row],[Tot Mas]]/TblConstr[[#This Row],[Land (2)]]))</f>
        <v>0</v>
      </c>
      <c r="AD90" s="340" t="n">
        <f aca="false">harbor_towers_cap*(1-EXP(-TblImps[[#This Row],[Σ Irrigation]]/(harbor_towers_param*(OFFSET(TblImps[[#This Row],[Land]],1,0)-OFFSET(TblExplore[[#This Row],[Land Bonus]],1,0)*20)+15000)))*(1+(mason_bonus*TblConstr[[#This Row],[Tot Mas]]/TblConstr[[#This Row],[Land (2)]]))</f>
        <v>0</v>
      </c>
      <c r="AE90" s="132"/>
      <c r="AF90" s="33" t="n">
        <f aca="false">(1+Overview!$I$28)*SUM(TblImps[[#This Row],[P2]:[G2]])+OFFSET(TblImps[[#This Row],[Σ Science]],-1,0)</f>
        <v>0</v>
      </c>
      <c r="AG90" s="33" t="n">
        <f aca="false">(1+Overview!$I$28)*SUM(TblImps[[#This Row],[P3]:[G3]])+OFFSET(TblImps[[#This Row],[Σ Keep]],-1,0)</f>
        <v>0</v>
      </c>
      <c r="AH90" s="33" t="n">
        <f aca="false">(1+Overview!$I$28 + tech_7_1*TblTech[[#This Row],[7-1]])*SUM(TblImps[[#This Row],[P4]:[G4]])+OFFSET(TblImps[[#This Row],[Σ Towers]],-1,0)</f>
        <v>0</v>
      </c>
      <c r="AI90" s="33" t="n">
        <f aca="false">(1+Overview!$I$28)*SUM(TblImps[[#This Row],[P5]:[G5]])+OFFSET(TblImps[[#This Row],[Σ Forges]],-1,0)</f>
        <v>0</v>
      </c>
      <c r="AJ90" s="33" t="n">
        <f aca="false">(1+Overview!$I$28)*SUM(TblImps[[#This Row],[P6]:[G6]])+OFFSET(TblImps[[#This Row],[Σ Walls]],-1,0)</f>
        <v>0</v>
      </c>
      <c r="AK90" s="33" t="n">
        <f aca="false">(1+Overview!$I$28 + tech_7_1*TblTech[[#This Row],[7-1]])*SUM(TblImps[[#This Row],[P7]:[G7]])+OFFSET(TblImps[[#This Row],[Σ Irrigation]],-1,0)</f>
        <v>0</v>
      </c>
      <c r="AL90" s="132"/>
      <c r="AM90" s="26" t="n">
        <f aca="false">IF(AND(TblImps[[#This Row],[Resource]]=AM$2,TblImps[[#This Row],[Part]]&lt;&gt;""),TblImps[[#This Row],[Amount]]) + IF(AND(TblImps[[#This Row],[Resource 2]]=AM$2,TblImps[[#This Row],[Part 2]]&lt;&gt;""),TblImps[[#This Row],[Amount 2]]) + IF(AND(TblImps[[#This Row],[Resource 3]]=AM$2,TblImps[[#This Row],[Part 3]]&lt;&gt;""),TblImps[[#This Row],[Amount 3]])</f>
        <v>0</v>
      </c>
      <c r="AN90" s="26" t="n">
        <f aca="false">IF(AND(TblImps[[#This Row],[Resource]]=AN$2,TblImps[[#This Row],[Part]]&lt;&gt;""),TblImps[[#This Row],[Amount]]) + IF(AND(TblImps[[#This Row],[Resource 2]]=AN$2,TblImps[[#This Row],[Part 2]]&lt;&gt;""),TblImps[[#This Row],[Amount 2]]) + IF(AND(TblImps[[#This Row],[Resource 3]]=AN$2,TblImps[[#This Row],[Part 3]]&lt;&gt;""),TblImps[[#This Row],[Amount 3]])</f>
        <v>0</v>
      </c>
      <c r="AO90" s="26" t="n">
        <f aca="false">IF(AND(TblImps[[#This Row],[Resource]]=AO$2,TblImps[[#This Row],[Part]]&lt;&gt;""),TblImps[[#This Row],[Amount]]) + IF(AND(TblImps[[#This Row],[Resource 2]]=AO$2,TblImps[[#This Row],[Part 2]]&lt;&gt;""),TblImps[[#This Row],[Amount 2]]) + IF(AND(TblImps[[#This Row],[Resource 3]]=AO$2,TblImps[[#This Row],[Part 3]]&lt;&gt;""),TblImps[[#This Row],[Amount 3]])</f>
        <v>0</v>
      </c>
      <c r="AP90" s="26" t="n">
        <f aca="false">IF(AND(TblImps[[#This Row],[Resource]]=AP$2,TblImps[[#This Row],[Part]]&lt;&gt;""),TblImps[[#This Row],[Amount]]) + IF(AND(TblImps[[#This Row],[Resource 2]]=AP$2,TblImps[[#This Row],[Part 2]]&lt;&gt;""),TblImps[[#This Row],[Amount 2]]) + IF(AND(TblImps[[#This Row],[Resource 3]]=AP$2,TblImps[[#This Row],[Part 3]]&lt;&gt;""),TblImps[[#This Row],[Amount 3]])</f>
        <v>0</v>
      </c>
      <c r="AQ90" s="132"/>
      <c r="AR9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32"/>
      <c r="AW9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32"/>
      <c r="BB9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32"/>
      <c r="BG9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32"/>
      <c r="BL9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32"/>
      <c r="BQ9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32"/>
      <c r="BV90"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33" t="n">
        <f aca="false">TblImps[[#This Row],[Login]]</f>
        <v>0</v>
      </c>
      <c r="BX90" s="128"/>
      <c r="BY90" s="347" t="n">
        <f aca="false">OFFSET(TblImps[[#This Row],[Real time]],-1,0)+1/24</f>
        <v>45433.3333333333</v>
      </c>
      <c r="BZ90" s="348" t="n">
        <f aca="false">OFFSET(TblImps[[#This Row],[Servertime]],-1,0)+1/24</f>
        <v>45433.5833333333</v>
      </c>
      <c r="CA90" s="351"/>
      <c r="CB90" s="346"/>
      <c r="CC90" s="346"/>
      <c r="CF90" s="349"/>
    </row>
    <row r="91" customFormat="false" ht="12.75" hidden="false" customHeight="false" outlineLevel="0" collapsed="false">
      <c r="A91" s="181" t="n">
        <f aca="false">TblConstr[[#This Row],[Land]]</f>
        <v>700</v>
      </c>
      <c r="B91" s="132"/>
      <c r="C91" s="69" t="n">
        <f aca="false">TblProd[[#This Row],[Platinum]]</f>
        <v>645725</v>
      </c>
      <c r="D91" s="69" t="n">
        <f aca="false">TblProd[[#This Row],[Lumber]]</f>
        <v>27823</v>
      </c>
      <c r="E91" s="69" t="n">
        <f aca="false">TblProd[[#This Row],[Ore]]</f>
        <v>0</v>
      </c>
      <c r="F91" s="69" t="n">
        <f aca="false">TblProd[[#This Row],[Gems]]</f>
        <v>0</v>
      </c>
      <c r="G91" s="146"/>
      <c r="H91" s="69" t="n">
        <f aca="false">TblMili[[#This Row],[Draftees]]</f>
        <v>1103</v>
      </c>
      <c r="I91" s="130" t="n">
        <f aca="false">TblPop[[#This Row],[Employment]]</f>
        <v>1</v>
      </c>
      <c r="J91" s="130" t="n">
        <f aca="false">TblPop[[#This Row],[Total]]/TblPop[[#This Row],[Net max]]</f>
        <v>1</v>
      </c>
      <c r="K91" s="336" t="n">
        <f aca="false">TblRezone[[#This Row],[Hour]]</f>
        <v>88</v>
      </c>
      <c r="L91" s="337" t="n">
        <f aca="false">TblImps[[#This Row],[Real time]]</f>
        <v>45433.375</v>
      </c>
      <c r="M91" s="33" t="n">
        <f aca="false">IF(ISERROR(TblImps[[#This Row],[algorithm]]),0,TblImps[[#This Row],[algorithm]]*1)</f>
        <v>0</v>
      </c>
      <c r="N91" s="69" t="n">
        <f aca="false">TblImps[[#This Row],[Land]]</f>
        <v>700</v>
      </c>
      <c r="O91" s="338" t="s">
        <v>97</v>
      </c>
      <c r="P91" s="339"/>
      <c r="Q91" s="338" t="s">
        <v>734</v>
      </c>
      <c r="R91" s="338" t="s">
        <v>93</v>
      </c>
      <c r="S91" s="339"/>
      <c r="T91" s="338" t="s">
        <v>734</v>
      </c>
      <c r="U91" s="338" t="s">
        <v>35</v>
      </c>
      <c r="V91" s="339"/>
      <c r="W91" s="338" t="s">
        <v>734</v>
      </c>
      <c r="X91" s="132"/>
      <c r="Y91" s="340" t="n">
        <f aca="false">science_cap*(1-EXP(-TblImps[[#This Row],[Σ Science]]/(science_param*(OFFSET(TblImps[[#This Row],[Land]],1,0)-OFFSET(TblExplore[[#This Row],[Land Bonus]],1,0)*20)+15000)))*(1+(mason_bonus*TblConstr[[#This Row],[Tot Mas]]/TblConstr[[#This Row],[Land (2)]]))</f>
        <v>0</v>
      </c>
      <c r="Z91" s="340" t="n">
        <f aca="false">keep_cap*(1-EXP(-TblImps[[#This Row],[Σ Keep]]/(keep_param*(OFFSET(TblImps[[#This Row],[Land]],1,0)-OFFSET(TblExplore[[#This Row],[Land Bonus]],1,0)*20)+15000)))*(1+(mason_bonus*TblConstr[[#This Row],[Tot Mas]]/TblConstr[[#This Row],[Land (2)]]))</f>
        <v>0</v>
      </c>
      <c r="AA91" s="340" t="n">
        <f aca="false">harbor_towers_cap*(1-EXP(-TblImps[[#This Row],[Σ Towers]]/(towers_param*(OFFSET(TblImps[[#This Row],[Land]],1,0)-OFFSET(TblExplore[[#This Row],[Land Bonus]],1,0)*20)+15000)))*(1+(mason_bonus*TblConstr[[#This Row],[Tot Mas]]/TblConstr[[#This Row],[Land (2)]]))</f>
        <v>0</v>
      </c>
      <c r="AB91" s="340" t="n">
        <f aca="false">walls_forges_cap*(1-EXP(-TblImps[[#This Row],[Σ Forges]]/(walls_forges_param*(OFFSET(TblImps[[#This Row],[Land]],1,0)-OFFSET(TblExplore[[#This Row],[Land Bonus]],1,0)*20)+15000)))*(1+(mason_bonus*TblConstr[[#This Row],[Tot Mas]]/TblConstr[[#This Row],[Land (2)]]))</f>
        <v>0</v>
      </c>
      <c r="AC91" s="340" t="n">
        <f aca="false">walls_forges_cap*(1-EXP(-TblImps[[#This Row],[Σ Walls]]/(walls_forges_param*(OFFSET(TblImps[[#This Row],[Land]],1,0)-OFFSET(TblExplore[[#This Row],[Land Bonus]],1,0)*20)+15000)))*(1+(mason_bonus*TblConstr[[#This Row],[Tot Mas]]/TblConstr[[#This Row],[Land (2)]]))</f>
        <v>0</v>
      </c>
      <c r="AD91" s="340" t="n">
        <f aca="false">harbor_towers_cap*(1-EXP(-TblImps[[#This Row],[Σ Irrigation]]/(harbor_towers_param*(OFFSET(TblImps[[#This Row],[Land]],1,0)-OFFSET(TblExplore[[#This Row],[Land Bonus]],1,0)*20)+15000)))*(1+(mason_bonus*TblConstr[[#This Row],[Tot Mas]]/TblConstr[[#This Row],[Land (2)]]))</f>
        <v>0</v>
      </c>
      <c r="AE91" s="132"/>
      <c r="AF91" s="33" t="n">
        <f aca="false">(1+Overview!$I$28)*SUM(TblImps[[#This Row],[P2]:[G2]])+OFFSET(TblImps[[#This Row],[Σ Science]],-1,0)</f>
        <v>0</v>
      </c>
      <c r="AG91" s="33" t="n">
        <f aca="false">(1+Overview!$I$28)*SUM(TblImps[[#This Row],[P3]:[G3]])+OFFSET(TblImps[[#This Row],[Σ Keep]],-1,0)</f>
        <v>0</v>
      </c>
      <c r="AH91" s="33" t="n">
        <f aca="false">(1+Overview!$I$28 + tech_7_1*TblTech[[#This Row],[7-1]])*SUM(TblImps[[#This Row],[P4]:[G4]])+OFFSET(TblImps[[#This Row],[Σ Towers]],-1,0)</f>
        <v>0</v>
      </c>
      <c r="AI91" s="33" t="n">
        <f aca="false">(1+Overview!$I$28)*SUM(TblImps[[#This Row],[P5]:[G5]])+OFFSET(TblImps[[#This Row],[Σ Forges]],-1,0)</f>
        <v>0</v>
      </c>
      <c r="AJ91" s="33" t="n">
        <f aca="false">(1+Overview!$I$28)*SUM(TblImps[[#This Row],[P6]:[G6]])+OFFSET(TblImps[[#This Row],[Σ Walls]],-1,0)</f>
        <v>0</v>
      </c>
      <c r="AK91" s="33" t="n">
        <f aca="false">(1+Overview!$I$28 + tech_7_1*TblTech[[#This Row],[7-1]])*SUM(TblImps[[#This Row],[P7]:[G7]])+OFFSET(TblImps[[#This Row],[Σ Irrigation]],-1,0)</f>
        <v>0</v>
      </c>
      <c r="AL91" s="132"/>
      <c r="AM91" s="26" t="n">
        <f aca="false">IF(AND(TblImps[[#This Row],[Resource]]=AM$2,TblImps[[#This Row],[Part]]&lt;&gt;""),TblImps[[#This Row],[Amount]]) + IF(AND(TblImps[[#This Row],[Resource 2]]=AM$2,TblImps[[#This Row],[Part 2]]&lt;&gt;""),TblImps[[#This Row],[Amount 2]]) + IF(AND(TblImps[[#This Row],[Resource 3]]=AM$2,TblImps[[#This Row],[Part 3]]&lt;&gt;""),TblImps[[#This Row],[Amount 3]])</f>
        <v>0</v>
      </c>
      <c r="AN91" s="26" t="n">
        <f aca="false">IF(AND(TblImps[[#This Row],[Resource]]=AN$2,TblImps[[#This Row],[Part]]&lt;&gt;""),TblImps[[#This Row],[Amount]]) + IF(AND(TblImps[[#This Row],[Resource 2]]=AN$2,TblImps[[#This Row],[Part 2]]&lt;&gt;""),TblImps[[#This Row],[Amount 2]]) + IF(AND(TblImps[[#This Row],[Resource 3]]=AN$2,TblImps[[#This Row],[Part 3]]&lt;&gt;""),TblImps[[#This Row],[Amount 3]])</f>
        <v>0</v>
      </c>
      <c r="AO91" s="26" t="n">
        <f aca="false">IF(AND(TblImps[[#This Row],[Resource]]=AO$2,TblImps[[#This Row],[Part]]&lt;&gt;""),TblImps[[#This Row],[Amount]]) + IF(AND(TblImps[[#This Row],[Resource 2]]=AO$2,TblImps[[#This Row],[Part 2]]&lt;&gt;""),TblImps[[#This Row],[Amount 2]]) + IF(AND(TblImps[[#This Row],[Resource 3]]=AO$2,TblImps[[#This Row],[Part 3]]&lt;&gt;""),TblImps[[#This Row],[Amount 3]])</f>
        <v>0</v>
      </c>
      <c r="AP91" s="26" t="n">
        <f aca="false">IF(AND(TblImps[[#This Row],[Resource]]=AP$2,TblImps[[#This Row],[Part]]&lt;&gt;""),TblImps[[#This Row],[Amount]]) + IF(AND(TblImps[[#This Row],[Resource 2]]=AP$2,TblImps[[#This Row],[Part 2]]&lt;&gt;""),TblImps[[#This Row],[Amount 2]]) + IF(AND(TblImps[[#This Row],[Resource 3]]=AP$2,TblImps[[#This Row],[Part 3]]&lt;&gt;""),TblImps[[#This Row],[Amount 3]])</f>
        <v>0</v>
      </c>
      <c r="AQ91" s="132"/>
      <c r="AR9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32"/>
      <c r="AW9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32"/>
      <c r="BB9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32"/>
      <c r="BG9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32"/>
      <c r="BL9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32"/>
      <c r="BQ9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32"/>
      <c r="BV91"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33" t="n">
        <f aca="false">TblImps[[#This Row],[Login]]</f>
        <v>0</v>
      </c>
      <c r="BX91" s="128"/>
      <c r="BY91" s="347" t="n">
        <f aca="false">OFFSET(TblImps[[#This Row],[Real time]],-1,0)+1/24</f>
        <v>45433.375</v>
      </c>
      <c r="BZ91" s="348" t="n">
        <f aca="false">OFFSET(TblImps[[#This Row],[Servertime]],-1,0)+1/24</f>
        <v>45433.625</v>
      </c>
      <c r="CA91" s="26"/>
      <c r="CB91" s="346"/>
      <c r="CC91" s="346"/>
      <c r="CF91" s="350"/>
    </row>
    <row r="92" customFormat="false" ht="12.75" hidden="false" customHeight="false" outlineLevel="0" collapsed="false">
      <c r="A92" s="181" t="n">
        <f aca="false">TblConstr[[#This Row],[Land]]</f>
        <v>700</v>
      </c>
      <c r="B92" s="132"/>
      <c r="C92" s="69" t="n">
        <f aca="false">TblProd[[#This Row],[Platinum]]</f>
        <v>688847</v>
      </c>
      <c r="D92" s="69" t="n">
        <f aca="false">TblProd[[#This Row],[Lumber]]</f>
        <v>28670</v>
      </c>
      <c r="E92" s="69" t="n">
        <f aca="false">TblProd[[#This Row],[Ore]]</f>
        <v>0</v>
      </c>
      <c r="F92" s="69" t="n">
        <f aca="false">TblProd[[#This Row],[Gems]]</f>
        <v>0</v>
      </c>
      <c r="G92" s="146"/>
      <c r="H92" s="69" t="n">
        <f aca="false">TblMili[[#This Row],[Draftees]]</f>
        <v>1189</v>
      </c>
      <c r="I92" s="130" t="n">
        <f aca="false">TblPop[[#This Row],[Employment]]</f>
        <v>1</v>
      </c>
      <c r="J92" s="130" t="n">
        <f aca="false">TblPop[[#This Row],[Total]]/TblPop[[#This Row],[Net max]]</f>
        <v>1</v>
      </c>
      <c r="K92" s="336" t="n">
        <f aca="false">TblRezone[[#This Row],[Hour]]</f>
        <v>89</v>
      </c>
      <c r="L92" s="337" t="n">
        <f aca="false">TblImps[[#This Row],[Real time]]</f>
        <v>45433.4166666667</v>
      </c>
      <c r="M92" s="33" t="n">
        <f aca="false">IF(ISERROR(TblImps[[#This Row],[algorithm]]),0,TblImps[[#This Row],[algorithm]]*1)</f>
        <v>0</v>
      </c>
      <c r="N92" s="69" t="n">
        <f aca="false">TblImps[[#This Row],[Land]]</f>
        <v>700</v>
      </c>
      <c r="O92" s="338" t="s">
        <v>97</v>
      </c>
      <c r="P92" s="339"/>
      <c r="Q92" s="338" t="s">
        <v>734</v>
      </c>
      <c r="R92" s="338" t="s">
        <v>93</v>
      </c>
      <c r="S92" s="339"/>
      <c r="T92" s="338" t="s">
        <v>734</v>
      </c>
      <c r="U92" s="338" t="s">
        <v>35</v>
      </c>
      <c r="V92" s="339"/>
      <c r="W92" s="338" t="s">
        <v>734</v>
      </c>
      <c r="X92" s="132"/>
      <c r="Y92" s="340" t="n">
        <f aca="false">science_cap*(1-EXP(-TblImps[[#This Row],[Σ Science]]/(science_param*(OFFSET(TblImps[[#This Row],[Land]],1,0)-OFFSET(TblExplore[[#This Row],[Land Bonus]],1,0)*20)+15000)))*(1+(mason_bonus*TblConstr[[#This Row],[Tot Mas]]/TblConstr[[#This Row],[Land (2)]]))</f>
        <v>0</v>
      </c>
      <c r="Z92" s="340" t="n">
        <f aca="false">keep_cap*(1-EXP(-TblImps[[#This Row],[Σ Keep]]/(keep_param*(OFFSET(TblImps[[#This Row],[Land]],1,0)-OFFSET(TblExplore[[#This Row],[Land Bonus]],1,0)*20)+15000)))*(1+(mason_bonus*TblConstr[[#This Row],[Tot Mas]]/TblConstr[[#This Row],[Land (2)]]))</f>
        <v>0</v>
      </c>
      <c r="AA92" s="340" t="n">
        <f aca="false">harbor_towers_cap*(1-EXP(-TblImps[[#This Row],[Σ Towers]]/(towers_param*(OFFSET(TblImps[[#This Row],[Land]],1,0)-OFFSET(TblExplore[[#This Row],[Land Bonus]],1,0)*20)+15000)))*(1+(mason_bonus*TblConstr[[#This Row],[Tot Mas]]/TblConstr[[#This Row],[Land (2)]]))</f>
        <v>0</v>
      </c>
      <c r="AB92" s="340" t="n">
        <f aca="false">walls_forges_cap*(1-EXP(-TblImps[[#This Row],[Σ Forges]]/(walls_forges_param*(OFFSET(TblImps[[#This Row],[Land]],1,0)-OFFSET(TblExplore[[#This Row],[Land Bonus]],1,0)*20)+15000)))*(1+(mason_bonus*TblConstr[[#This Row],[Tot Mas]]/TblConstr[[#This Row],[Land (2)]]))</f>
        <v>0</v>
      </c>
      <c r="AC92" s="340" t="n">
        <f aca="false">walls_forges_cap*(1-EXP(-TblImps[[#This Row],[Σ Walls]]/(walls_forges_param*(OFFSET(TblImps[[#This Row],[Land]],1,0)-OFFSET(TblExplore[[#This Row],[Land Bonus]],1,0)*20)+15000)))*(1+(mason_bonus*TblConstr[[#This Row],[Tot Mas]]/TblConstr[[#This Row],[Land (2)]]))</f>
        <v>0</v>
      </c>
      <c r="AD92" s="340" t="n">
        <f aca="false">harbor_towers_cap*(1-EXP(-TblImps[[#This Row],[Σ Irrigation]]/(harbor_towers_param*(OFFSET(TblImps[[#This Row],[Land]],1,0)-OFFSET(TblExplore[[#This Row],[Land Bonus]],1,0)*20)+15000)))*(1+(mason_bonus*TblConstr[[#This Row],[Tot Mas]]/TblConstr[[#This Row],[Land (2)]]))</f>
        <v>0</v>
      </c>
      <c r="AE92" s="132"/>
      <c r="AF92" s="33" t="n">
        <f aca="false">(1+Overview!$I$28)*SUM(TblImps[[#This Row],[P2]:[G2]])+OFFSET(TblImps[[#This Row],[Σ Science]],-1,0)</f>
        <v>0</v>
      </c>
      <c r="AG92" s="33" t="n">
        <f aca="false">(1+Overview!$I$28)*SUM(TblImps[[#This Row],[P3]:[G3]])+OFFSET(TblImps[[#This Row],[Σ Keep]],-1,0)</f>
        <v>0</v>
      </c>
      <c r="AH92" s="33" t="n">
        <f aca="false">(1+Overview!$I$28 + tech_7_1*TblTech[[#This Row],[7-1]])*SUM(TblImps[[#This Row],[P4]:[G4]])+OFFSET(TblImps[[#This Row],[Σ Towers]],-1,0)</f>
        <v>0</v>
      </c>
      <c r="AI92" s="33" t="n">
        <f aca="false">(1+Overview!$I$28)*SUM(TblImps[[#This Row],[P5]:[G5]])+OFFSET(TblImps[[#This Row],[Σ Forges]],-1,0)</f>
        <v>0</v>
      </c>
      <c r="AJ92" s="33" t="n">
        <f aca="false">(1+Overview!$I$28)*SUM(TblImps[[#This Row],[P6]:[G6]])+OFFSET(TblImps[[#This Row],[Σ Walls]],-1,0)</f>
        <v>0</v>
      </c>
      <c r="AK92" s="33" t="n">
        <f aca="false">(1+Overview!$I$28 + tech_7_1*TblTech[[#This Row],[7-1]])*SUM(TblImps[[#This Row],[P7]:[G7]])+OFFSET(TblImps[[#This Row],[Σ Irrigation]],-1,0)</f>
        <v>0</v>
      </c>
      <c r="AL92" s="132"/>
      <c r="AM92" s="26" t="n">
        <f aca="false">IF(AND(TblImps[[#This Row],[Resource]]=AM$2,TblImps[[#This Row],[Part]]&lt;&gt;""),TblImps[[#This Row],[Amount]]) + IF(AND(TblImps[[#This Row],[Resource 2]]=AM$2,TblImps[[#This Row],[Part 2]]&lt;&gt;""),TblImps[[#This Row],[Amount 2]]) + IF(AND(TblImps[[#This Row],[Resource 3]]=AM$2,TblImps[[#This Row],[Part 3]]&lt;&gt;""),TblImps[[#This Row],[Amount 3]])</f>
        <v>0</v>
      </c>
      <c r="AN92" s="26" t="n">
        <f aca="false">IF(AND(TblImps[[#This Row],[Resource]]=AN$2,TblImps[[#This Row],[Part]]&lt;&gt;""),TblImps[[#This Row],[Amount]]) + IF(AND(TblImps[[#This Row],[Resource 2]]=AN$2,TblImps[[#This Row],[Part 2]]&lt;&gt;""),TblImps[[#This Row],[Amount 2]]) + IF(AND(TblImps[[#This Row],[Resource 3]]=AN$2,TblImps[[#This Row],[Part 3]]&lt;&gt;""),TblImps[[#This Row],[Amount 3]])</f>
        <v>0</v>
      </c>
      <c r="AO92" s="26" t="n">
        <f aca="false">IF(AND(TblImps[[#This Row],[Resource]]=AO$2,TblImps[[#This Row],[Part]]&lt;&gt;""),TblImps[[#This Row],[Amount]]) + IF(AND(TblImps[[#This Row],[Resource 2]]=AO$2,TblImps[[#This Row],[Part 2]]&lt;&gt;""),TblImps[[#This Row],[Amount 2]]) + IF(AND(TblImps[[#This Row],[Resource 3]]=AO$2,TblImps[[#This Row],[Part 3]]&lt;&gt;""),TblImps[[#This Row],[Amount 3]])</f>
        <v>0</v>
      </c>
      <c r="AP92" s="26" t="n">
        <f aca="false">IF(AND(TblImps[[#This Row],[Resource]]=AP$2,TblImps[[#This Row],[Part]]&lt;&gt;""),TblImps[[#This Row],[Amount]]) + IF(AND(TblImps[[#This Row],[Resource 2]]=AP$2,TblImps[[#This Row],[Part 2]]&lt;&gt;""),TblImps[[#This Row],[Amount 2]]) + IF(AND(TblImps[[#This Row],[Resource 3]]=AP$2,TblImps[[#This Row],[Part 3]]&lt;&gt;""),TblImps[[#This Row],[Amount 3]])</f>
        <v>0</v>
      </c>
      <c r="AQ92" s="132"/>
      <c r="AR9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32"/>
      <c r="AW9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32"/>
      <c r="BB9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32"/>
      <c r="BG9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32"/>
      <c r="BL9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32"/>
      <c r="BQ9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32"/>
      <c r="BV92"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33" t="n">
        <f aca="false">TblImps[[#This Row],[Login]]</f>
        <v>0</v>
      </c>
      <c r="BX92" s="128"/>
      <c r="BY92" s="347" t="n">
        <f aca="false">OFFSET(TblImps[[#This Row],[Real time]],-1,0)+1/24</f>
        <v>45433.4166666667</v>
      </c>
      <c r="BZ92" s="348" t="n">
        <f aca="false">OFFSET(TblImps[[#This Row],[Servertime]],-1,0)+1/24</f>
        <v>45433.6666666667</v>
      </c>
      <c r="CA92" s="26"/>
      <c r="CB92" s="346"/>
      <c r="CC92" s="346"/>
      <c r="CF92" s="349"/>
    </row>
    <row r="93" customFormat="false" ht="12.75" hidden="false" customHeight="false" outlineLevel="0" collapsed="false">
      <c r="A93" s="181" t="n">
        <f aca="false">TblConstr[[#This Row],[Land]]</f>
        <v>700</v>
      </c>
      <c r="B93" s="132"/>
      <c r="C93" s="69" t="n">
        <f aca="false">TblProd[[#This Row],[Platinum]]</f>
        <v>731714</v>
      </c>
      <c r="D93" s="69" t="n">
        <f aca="false">TblProd[[#This Row],[Lumber]]</f>
        <v>29508</v>
      </c>
      <c r="E93" s="69" t="n">
        <f aca="false">TblProd[[#This Row],[Ore]]</f>
        <v>0</v>
      </c>
      <c r="F93" s="69" t="n">
        <f aca="false">TblProd[[#This Row],[Gems]]</f>
        <v>0</v>
      </c>
      <c r="G93" s="146"/>
      <c r="H93" s="69" t="n">
        <f aca="false">TblMili[[#This Row],[Draftees]]</f>
        <v>1274</v>
      </c>
      <c r="I93" s="130" t="n">
        <f aca="false">TblPop[[#This Row],[Employment]]</f>
        <v>1</v>
      </c>
      <c r="J93" s="130" t="n">
        <f aca="false">TblPop[[#This Row],[Total]]/TblPop[[#This Row],[Net max]]</f>
        <v>1</v>
      </c>
      <c r="K93" s="336" t="n">
        <f aca="false">TblRezone[[#This Row],[Hour]]</f>
        <v>90</v>
      </c>
      <c r="L93" s="337" t="n">
        <f aca="false">TblImps[[#This Row],[Real time]]</f>
        <v>45433.4583333333</v>
      </c>
      <c r="M93" s="33" t="n">
        <f aca="false">IF(ISERROR(TblImps[[#This Row],[algorithm]]),0,TblImps[[#This Row],[algorithm]]*1)</f>
        <v>0</v>
      </c>
      <c r="N93" s="69" t="n">
        <f aca="false">TblImps[[#This Row],[Land]]</f>
        <v>700</v>
      </c>
      <c r="O93" s="338" t="s">
        <v>97</v>
      </c>
      <c r="P93" s="339"/>
      <c r="Q93" s="338" t="s">
        <v>734</v>
      </c>
      <c r="R93" s="338" t="s">
        <v>93</v>
      </c>
      <c r="S93" s="339"/>
      <c r="T93" s="338" t="s">
        <v>734</v>
      </c>
      <c r="U93" s="338" t="s">
        <v>35</v>
      </c>
      <c r="V93" s="339"/>
      <c r="W93" s="338" t="s">
        <v>734</v>
      </c>
      <c r="X93" s="132"/>
      <c r="Y93" s="340" t="n">
        <f aca="false">science_cap*(1-EXP(-TblImps[[#This Row],[Σ Science]]/(science_param*(OFFSET(TblImps[[#This Row],[Land]],1,0)-OFFSET(TblExplore[[#This Row],[Land Bonus]],1,0)*20)+15000)))*(1+(mason_bonus*TblConstr[[#This Row],[Tot Mas]]/TblConstr[[#This Row],[Land (2)]]))</f>
        <v>0</v>
      </c>
      <c r="Z93" s="340" t="n">
        <f aca="false">keep_cap*(1-EXP(-TblImps[[#This Row],[Σ Keep]]/(keep_param*(OFFSET(TblImps[[#This Row],[Land]],1,0)-OFFSET(TblExplore[[#This Row],[Land Bonus]],1,0)*20)+15000)))*(1+(mason_bonus*TblConstr[[#This Row],[Tot Mas]]/TblConstr[[#This Row],[Land (2)]]))</f>
        <v>0</v>
      </c>
      <c r="AA93" s="340" t="n">
        <f aca="false">harbor_towers_cap*(1-EXP(-TblImps[[#This Row],[Σ Towers]]/(towers_param*(OFFSET(TblImps[[#This Row],[Land]],1,0)-OFFSET(TblExplore[[#This Row],[Land Bonus]],1,0)*20)+15000)))*(1+(mason_bonus*TblConstr[[#This Row],[Tot Mas]]/TblConstr[[#This Row],[Land (2)]]))</f>
        <v>0</v>
      </c>
      <c r="AB93" s="340" t="n">
        <f aca="false">walls_forges_cap*(1-EXP(-TblImps[[#This Row],[Σ Forges]]/(walls_forges_param*(OFFSET(TblImps[[#This Row],[Land]],1,0)-OFFSET(TblExplore[[#This Row],[Land Bonus]],1,0)*20)+15000)))*(1+(mason_bonus*TblConstr[[#This Row],[Tot Mas]]/TblConstr[[#This Row],[Land (2)]]))</f>
        <v>0</v>
      </c>
      <c r="AC93" s="340" t="n">
        <f aca="false">walls_forges_cap*(1-EXP(-TblImps[[#This Row],[Σ Walls]]/(walls_forges_param*(OFFSET(TblImps[[#This Row],[Land]],1,0)-OFFSET(TblExplore[[#This Row],[Land Bonus]],1,0)*20)+15000)))*(1+(mason_bonus*TblConstr[[#This Row],[Tot Mas]]/TblConstr[[#This Row],[Land (2)]]))</f>
        <v>0</v>
      </c>
      <c r="AD93" s="340" t="n">
        <f aca="false">harbor_towers_cap*(1-EXP(-TblImps[[#This Row],[Σ Irrigation]]/(harbor_towers_param*(OFFSET(TblImps[[#This Row],[Land]],1,0)-OFFSET(TblExplore[[#This Row],[Land Bonus]],1,0)*20)+15000)))*(1+(mason_bonus*TblConstr[[#This Row],[Tot Mas]]/TblConstr[[#This Row],[Land (2)]]))</f>
        <v>0</v>
      </c>
      <c r="AE93" s="132"/>
      <c r="AF93" s="33" t="n">
        <f aca="false">(1+Overview!$I$28)*SUM(TblImps[[#This Row],[P2]:[G2]])+OFFSET(TblImps[[#This Row],[Σ Science]],-1,0)</f>
        <v>0</v>
      </c>
      <c r="AG93" s="33" t="n">
        <f aca="false">(1+Overview!$I$28)*SUM(TblImps[[#This Row],[P3]:[G3]])+OFFSET(TblImps[[#This Row],[Σ Keep]],-1,0)</f>
        <v>0</v>
      </c>
      <c r="AH93" s="33" t="n">
        <f aca="false">(1+Overview!$I$28 + tech_7_1*TblTech[[#This Row],[7-1]])*SUM(TblImps[[#This Row],[P4]:[G4]])+OFFSET(TblImps[[#This Row],[Σ Towers]],-1,0)</f>
        <v>0</v>
      </c>
      <c r="AI93" s="33" t="n">
        <f aca="false">(1+Overview!$I$28)*SUM(TblImps[[#This Row],[P5]:[G5]])+OFFSET(TblImps[[#This Row],[Σ Forges]],-1,0)</f>
        <v>0</v>
      </c>
      <c r="AJ93" s="33" t="n">
        <f aca="false">(1+Overview!$I$28)*SUM(TblImps[[#This Row],[P6]:[G6]])+OFFSET(TblImps[[#This Row],[Σ Walls]],-1,0)</f>
        <v>0</v>
      </c>
      <c r="AK93" s="33" t="n">
        <f aca="false">(1+Overview!$I$28 + tech_7_1*TblTech[[#This Row],[7-1]])*SUM(TblImps[[#This Row],[P7]:[G7]])+OFFSET(TblImps[[#This Row],[Σ Irrigation]],-1,0)</f>
        <v>0</v>
      </c>
      <c r="AL93" s="132"/>
      <c r="AM93" s="26" t="n">
        <f aca="false">IF(AND(TblImps[[#This Row],[Resource]]=AM$2,TblImps[[#This Row],[Part]]&lt;&gt;""),TblImps[[#This Row],[Amount]]) + IF(AND(TblImps[[#This Row],[Resource 2]]=AM$2,TblImps[[#This Row],[Part 2]]&lt;&gt;""),TblImps[[#This Row],[Amount 2]]) + IF(AND(TblImps[[#This Row],[Resource 3]]=AM$2,TblImps[[#This Row],[Part 3]]&lt;&gt;""),TblImps[[#This Row],[Amount 3]])</f>
        <v>0</v>
      </c>
      <c r="AN93" s="26" t="n">
        <f aca="false">IF(AND(TblImps[[#This Row],[Resource]]=AN$2,TblImps[[#This Row],[Part]]&lt;&gt;""),TblImps[[#This Row],[Amount]]) + IF(AND(TblImps[[#This Row],[Resource 2]]=AN$2,TblImps[[#This Row],[Part 2]]&lt;&gt;""),TblImps[[#This Row],[Amount 2]]) + IF(AND(TblImps[[#This Row],[Resource 3]]=AN$2,TblImps[[#This Row],[Part 3]]&lt;&gt;""),TblImps[[#This Row],[Amount 3]])</f>
        <v>0</v>
      </c>
      <c r="AO93" s="26" t="n">
        <f aca="false">IF(AND(TblImps[[#This Row],[Resource]]=AO$2,TblImps[[#This Row],[Part]]&lt;&gt;""),TblImps[[#This Row],[Amount]]) + IF(AND(TblImps[[#This Row],[Resource 2]]=AO$2,TblImps[[#This Row],[Part 2]]&lt;&gt;""),TblImps[[#This Row],[Amount 2]]) + IF(AND(TblImps[[#This Row],[Resource 3]]=AO$2,TblImps[[#This Row],[Part 3]]&lt;&gt;""),TblImps[[#This Row],[Amount 3]])</f>
        <v>0</v>
      </c>
      <c r="AP93" s="26" t="n">
        <f aca="false">IF(AND(TblImps[[#This Row],[Resource]]=AP$2,TblImps[[#This Row],[Part]]&lt;&gt;""),TblImps[[#This Row],[Amount]]) + IF(AND(TblImps[[#This Row],[Resource 2]]=AP$2,TblImps[[#This Row],[Part 2]]&lt;&gt;""),TblImps[[#This Row],[Amount 2]]) + IF(AND(TblImps[[#This Row],[Resource 3]]=AP$2,TblImps[[#This Row],[Part 3]]&lt;&gt;""),TblImps[[#This Row],[Amount 3]])</f>
        <v>0</v>
      </c>
      <c r="AQ93" s="132"/>
      <c r="AR9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32"/>
      <c r="AW9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32"/>
      <c r="BB9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32"/>
      <c r="BG9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32"/>
      <c r="BL9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32"/>
      <c r="BQ9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32"/>
      <c r="BV93"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33" t="n">
        <f aca="false">TblImps[[#This Row],[Login]]</f>
        <v>0</v>
      </c>
      <c r="BX93" s="128"/>
      <c r="BY93" s="347" t="n">
        <f aca="false">OFFSET(TblImps[[#This Row],[Real time]],-1,0)+1/24</f>
        <v>45433.4583333333</v>
      </c>
      <c r="BZ93" s="348" t="n">
        <f aca="false">OFFSET(TblImps[[#This Row],[Servertime]],-1,0)+1/24</f>
        <v>45433.7083333333</v>
      </c>
      <c r="CA93" s="26"/>
      <c r="CB93" s="346"/>
      <c r="CC93" s="346"/>
      <c r="CF93" s="349"/>
    </row>
    <row r="94" customFormat="false" ht="12.75" hidden="false" customHeight="false" outlineLevel="0" collapsed="false">
      <c r="A94" s="181" t="n">
        <f aca="false">TblConstr[[#This Row],[Land]]</f>
        <v>700</v>
      </c>
      <c r="B94" s="132"/>
      <c r="C94" s="69" t="n">
        <f aca="false">TblProd[[#This Row],[Platinum]]</f>
        <v>774328</v>
      </c>
      <c r="D94" s="69" t="n">
        <f aca="false">TblProd[[#This Row],[Lumber]]</f>
        <v>30338</v>
      </c>
      <c r="E94" s="69" t="n">
        <f aca="false">TblProd[[#This Row],[Ore]]</f>
        <v>0</v>
      </c>
      <c r="F94" s="69" t="n">
        <f aca="false">TblProd[[#This Row],[Gems]]</f>
        <v>0</v>
      </c>
      <c r="G94" s="146"/>
      <c r="H94" s="69" t="n">
        <f aca="false">TblMili[[#This Row],[Draftees]]</f>
        <v>1358</v>
      </c>
      <c r="I94" s="130" t="n">
        <f aca="false">TblPop[[#This Row],[Employment]]</f>
        <v>1</v>
      </c>
      <c r="J94" s="130" t="n">
        <f aca="false">TblPop[[#This Row],[Total]]/TblPop[[#This Row],[Net max]]</f>
        <v>1</v>
      </c>
      <c r="K94" s="336" t="n">
        <f aca="false">TblRezone[[#This Row],[Hour]]</f>
        <v>91</v>
      </c>
      <c r="L94" s="337" t="n">
        <f aca="false">TblImps[[#This Row],[Real time]]</f>
        <v>45433.5</v>
      </c>
      <c r="M94" s="33" t="n">
        <f aca="false">IF(ISERROR(TblImps[[#This Row],[algorithm]]),0,TblImps[[#This Row],[algorithm]]*1)</f>
        <v>0</v>
      </c>
      <c r="N94" s="69" t="n">
        <f aca="false">TblImps[[#This Row],[Land]]</f>
        <v>700</v>
      </c>
      <c r="O94" s="338" t="s">
        <v>97</v>
      </c>
      <c r="P94" s="339"/>
      <c r="Q94" s="338" t="s">
        <v>734</v>
      </c>
      <c r="R94" s="338" t="s">
        <v>93</v>
      </c>
      <c r="S94" s="339"/>
      <c r="T94" s="338" t="s">
        <v>734</v>
      </c>
      <c r="U94" s="338" t="s">
        <v>35</v>
      </c>
      <c r="V94" s="339"/>
      <c r="W94" s="338" t="s">
        <v>734</v>
      </c>
      <c r="X94" s="132"/>
      <c r="Y94" s="340" t="n">
        <f aca="false">science_cap*(1-EXP(-TblImps[[#This Row],[Σ Science]]/(science_param*(OFFSET(TblImps[[#This Row],[Land]],1,0)-OFFSET(TblExplore[[#This Row],[Land Bonus]],1,0)*20)+15000)))*(1+(mason_bonus*TblConstr[[#This Row],[Tot Mas]]/TblConstr[[#This Row],[Land (2)]]))</f>
        <v>0</v>
      </c>
      <c r="Z94" s="340" t="n">
        <f aca="false">keep_cap*(1-EXP(-TblImps[[#This Row],[Σ Keep]]/(keep_param*(OFFSET(TblImps[[#This Row],[Land]],1,0)-OFFSET(TblExplore[[#This Row],[Land Bonus]],1,0)*20)+15000)))*(1+(mason_bonus*TblConstr[[#This Row],[Tot Mas]]/TblConstr[[#This Row],[Land (2)]]))</f>
        <v>0</v>
      </c>
      <c r="AA94" s="340" t="n">
        <f aca="false">harbor_towers_cap*(1-EXP(-TblImps[[#This Row],[Σ Towers]]/(towers_param*(OFFSET(TblImps[[#This Row],[Land]],1,0)-OFFSET(TblExplore[[#This Row],[Land Bonus]],1,0)*20)+15000)))*(1+(mason_bonus*TblConstr[[#This Row],[Tot Mas]]/TblConstr[[#This Row],[Land (2)]]))</f>
        <v>0</v>
      </c>
      <c r="AB94" s="340" t="n">
        <f aca="false">walls_forges_cap*(1-EXP(-TblImps[[#This Row],[Σ Forges]]/(walls_forges_param*(OFFSET(TblImps[[#This Row],[Land]],1,0)-OFFSET(TblExplore[[#This Row],[Land Bonus]],1,0)*20)+15000)))*(1+(mason_bonus*TblConstr[[#This Row],[Tot Mas]]/TblConstr[[#This Row],[Land (2)]]))</f>
        <v>0</v>
      </c>
      <c r="AC94" s="340" t="n">
        <f aca="false">walls_forges_cap*(1-EXP(-TblImps[[#This Row],[Σ Walls]]/(walls_forges_param*(OFFSET(TblImps[[#This Row],[Land]],1,0)-OFFSET(TblExplore[[#This Row],[Land Bonus]],1,0)*20)+15000)))*(1+(mason_bonus*TblConstr[[#This Row],[Tot Mas]]/TblConstr[[#This Row],[Land (2)]]))</f>
        <v>0</v>
      </c>
      <c r="AD94" s="340" t="n">
        <f aca="false">harbor_towers_cap*(1-EXP(-TblImps[[#This Row],[Σ Irrigation]]/(harbor_towers_param*(OFFSET(TblImps[[#This Row],[Land]],1,0)-OFFSET(TblExplore[[#This Row],[Land Bonus]],1,0)*20)+15000)))*(1+(mason_bonus*TblConstr[[#This Row],[Tot Mas]]/TblConstr[[#This Row],[Land (2)]]))</f>
        <v>0</v>
      </c>
      <c r="AE94" s="132"/>
      <c r="AF94" s="33" t="n">
        <f aca="false">(1+Overview!$I$28)*SUM(TblImps[[#This Row],[P2]:[G2]])+OFFSET(TblImps[[#This Row],[Σ Science]],-1,0)</f>
        <v>0</v>
      </c>
      <c r="AG94" s="33" t="n">
        <f aca="false">(1+Overview!$I$28)*SUM(TblImps[[#This Row],[P3]:[G3]])+OFFSET(TblImps[[#This Row],[Σ Keep]],-1,0)</f>
        <v>0</v>
      </c>
      <c r="AH94" s="33" t="n">
        <f aca="false">(1+Overview!$I$28 + tech_7_1*TblTech[[#This Row],[7-1]])*SUM(TblImps[[#This Row],[P4]:[G4]])+OFFSET(TblImps[[#This Row],[Σ Towers]],-1,0)</f>
        <v>0</v>
      </c>
      <c r="AI94" s="33" t="n">
        <f aca="false">(1+Overview!$I$28)*SUM(TblImps[[#This Row],[P5]:[G5]])+OFFSET(TblImps[[#This Row],[Σ Forges]],-1,0)</f>
        <v>0</v>
      </c>
      <c r="AJ94" s="33" t="n">
        <f aca="false">(1+Overview!$I$28)*SUM(TblImps[[#This Row],[P6]:[G6]])+OFFSET(TblImps[[#This Row],[Σ Walls]],-1,0)</f>
        <v>0</v>
      </c>
      <c r="AK94" s="33" t="n">
        <f aca="false">(1+Overview!$I$28 + tech_7_1*TblTech[[#This Row],[7-1]])*SUM(TblImps[[#This Row],[P7]:[G7]])+OFFSET(TblImps[[#This Row],[Σ Irrigation]],-1,0)</f>
        <v>0</v>
      </c>
      <c r="AL94" s="132"/>
      <c r="AM94" s="26" t="n">
        <f aca="false">IF(AND(TblImps[[#This Row],[Resource]]=AM$2,TblImps[[#This Row],[Part]]&lt;&gt;""),TblImps[[#This Row],[Amount]]) + IF(AND(TblImps[[#This Row],[Resource 2]]=AM$2,TblImps[[#This Row],[Part 2]]&lt;&gt;""),TblImps[[#This Row],[Amount 2]]) + IF(AND(TblImps[[#This Row],[Resource 3]]=AM$2,TblImps[[#This Row],[Part 3]]&lt;&gt;""),TblImps[[#This Row],[Amount 3]])</f>
        <v>0</v>
      </c>
      <c r="AN94" s="26" t="n">
        <f aca="false">IF(AND(TblImps[[#This Row],[Resource]]=AN$2,TblImps[[#This Row],[Part]]&lt;&gt;""),TblImps[[#This Row],[Amount]]) + IF(AND(TblImps[[#This Row],[Resource 2]]=AN$2,TblImps[[#This Row],[Part 2]]&lt;&gt;""),TblImps[[#This Row],[Amount 2]]) + IF(AND(TblImps[[#This Row],[Resource 3]]=AN$2,TblImps[[#This Row],[Part 3]]&lt;&gt;""),TblImps[[#This Row],[Amount 3]])</f>
        <v>0</v>
      </c>
      <c r="AO94" s="26" t="n">
        <f aca="false">IF(AND(TblImps[[#This Row],[Resource]]=AO$2,TblImps[[#This Row],[Part]]&lt;&gt;""),TblImps[[#This Row],[Amount]]) + IF(AND(TblImps[[#This Row],[Resource 2]]=AO$2,TblImps[[#This Row],[Part 2]]&lt;&gt;""),TblImps[[#This Row],[Amount 2]]) + IF(AND(TblImps[[#This Row],[Resource 3]]=AO$2,TblImps[[#This Row],[Part 3]]&lt;&gt;""),TblImps[[#This Row],[Amount 3]])</f>
        <v>0</v>
      </c>
      <c r="AP94" s="26" t="n">
        <f aca="false">IF(AND(TblImps[[#This Row],[Resource]]=AP$2,TblImps[[#This Row],[Part]]&lt;&gt;""),TblImps[[#This Row],[Amount]]) + IF(AND(TblImps[[#This Row],[Resource 2]]=AP$2,TblImps[[#This Row],[Part 2]]&lt;&gt;""),TblImps[[#This Row],[Amount 2]]) + IF(AND(TblImps[[#This Row],[Resource 3]]=AP$2,TblImps[[#This Row],[Part 3]]&lt;&gt;""),TblImps[[#This Row],[Amount 3]])</f>
        <v>0</v>
      </c>
      <c r="AQ94" s="132"/>
      <c r="AR9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32"/>
      <c r="AW9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32"/>
      <c r="BB9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32"/>
      <c r="BG9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32"/>
      <c r="BL9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32"/>
      <c r="BQ9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32"/>
      <c r="BV94"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33" t="n">
        <f aca="false">TblImps[[#This Row],[Login]]</f>
        <v>0</v>
      </c>
      <c r="BX94" s="128"/>
      <c r="BY94" s="347" t="n">
        <f aca="false">OFFSET(TblImps[[#This Row],[Real time]],-1,0)+1/24</f>
        <v>45433.5</v>
      </c>
      <c r="BZ94" s="348" t="n">
        <f aca="false">OFFSET(TblImps[[#This Row],[Servertime]],-1,0)+1/24</f>
        <v>45433.75</v>
      </c>
      <c r="CA94" s="26"/>
      <c r="CB94" s="346"/>
      <c r="CC94" s="346"/>
    </row>
    <row r="95" customFormat="false" ht="12.75" hidden="false" customHeight="false" outlineLevel="0" collapsed="false">
      <c r="A95" s="181" t="n">
        <f aca="false">TblConstr[[#This Row],[Land]]</f>
        <v>700</v>
      </c>
      <c r="B95" s="132"/>
      <c r="C95" s="69" t="n">
        <f aca="false">TblProd[[#This Row],[Platinum]]</f>
        <v>816693</v>
      </c>
      <c r="D95" s="69" t="n">
        <f aca="false">TblProd[[#This Row],[Lumber]]</f>
        <v>31160</v>
      </c>
      <c r="E95" s="69" t="n">
        <f aca="false">TblProd[[#This Row],[Ore]]</f>
        <v>0</v>
      </c>
      <c r="F95" s="69" t="n">
        <f aca="false">TblProd[[#This Row],[Gems]]</f>
        <v>0</v>
      </c>
      <c r="G95" s="146"/>
      <c r="H95" s="69" t="n">
        <f aca="false">TblMili[[#This Row],[Draftees]]</f>
        <v>1442</v>
      </c>
      <c r="I95" s="130" t="n">
        <f aca="false">TblPop[[#This Row],[Employment]]</f>
        <v>1</v>
      </c>
      <c r="J95" s="130" t="n">
        <f aca="false">TblPop[[#This Row],[Total]]/TblPop[[#This Row],[Net max]]</f>
        <v>1</v>
      </c>
      <c r="K95" s="336" t="n">
        <f aca="false">TblRezone[[#This Row],[Hour]]</f>
        <v>92</v>
      </c>
      <c r="L95" s="337" t="n">
        <f aca="false">TblImps[[#This Row],[Real time]]</f>
        <v>45433.5416666667</v>
      </c>
      <c r="M95" s="33" t="n">
        <f aca="false">IF(ISERROR(TblImps[[#This Row],[algorithm]]),0,TblImps[[#This Row],[algorithm]]*1)</f>
        <v>0</v>
      </c>
      <c r="N95" s="69" t="n">
        <f aca="false">TblImps[[#This Row],[Land]]</f>
        <v>700</v>
      </c>
      <c r="O95" s="338" t="s">
        <v>97</v>
      </c>
      <c r="P95" s="339"/>
      <c r="Q95" s="338" t="s">
        <v>734</v>
      </c>
      <c r="R95" s="338" t="s">
        <v>93</v>
      </c>
      <c r="S95" s="339"/>
      <c r="T95" s="338" t="s">
        <v>734</v>
      </c>
      <c r="U95" s="338" t="s">
        <v>35</v>
      </c>
      <c r="V95" s="339"/>
      <c r="W95" s="338" t="s">
        <v>734</v>
      </c>
      <c r="X95" s="132"/>
      <c r="Y95" s="340" t="n">
        <f aca="false">science_cap*(1-EXP(-TblImps[[#This Row],[Σ Science]]/(science_param*(OFFSET(TblImps[[#This Row],[Land]],1,0)-OFFSET(TblExplore[[#This Row],[Land Bonus]],1,0)*20)+15000)))*(1+(mason_bonus*TblConstr[[#This Row],[Tot Mas]]/TblConstr[[#This Row],[Land (2)]]))</f>
        <v>0</v>
      </c>
      <c r="Z95" s="340" t="n">
        <f aca="false">keep_cap*(1-EXP(-TblImps[[#This Row],[Σ Keep]]/(keep_param*(OFFSET(TblImps[[#This Row],[Land]],1,0)-OFFSET(TblExplore[[#This Row],[Land Bonus]],1,0)*20)+15000)))*(1+(mason_bonus*TblConstr[[#This Row],[Tot Mas]]/TblConstr[[#This Row],[Land (2)]]))</f>
        <v>0</v>
      </c>
      <c r="AA95" s="340" t="n">
        <f aca="false">harbor_towers_cap*(1-EXP(-TblImps[[#This Row],[Σ Towers]]/(towers_param*(OFFSET(TblImps[[#This Row],[Land]],1,0)-OFFSET(TblExplore[[#This Row],[Land Bonus]],1,0)*20)+15000)))*(1+(mason_bonus*TblConstr[[#This Row],[Tot Mas]]/TblConstr[[#This Row],[Land (2)]]))</f>
        <v>0</v>
      </c>
      <c r="AB95" s="340" t="n">
        <f aca="false">walls_forges_cap*(1-EXP(-TblImps[[#This Row],[Σ Forges]]/(walls_forges_param*(OFFSET(TblImps[[#This Row],[Land]],1,0)-OFFSET(TblExplore[[#This Row],[Land Bonus]],1,0)*20)+15000)))*(1+(mason_bonus*TblConstr[[#This Row],[Tot Mas]]/TblConstr[[#This Row],[Land (2)]]))</f>
        <v>0</v>
      </c>
      <c r="AC95" s="340" t="n">
        <f aca="false">walls_forges_cap*(1-EXP(-TblImps[[#This Row],[Σ Walls]]/(walls_forges_param*(OFFSET(TblImps[[#This Row],[Land]],1,0)-OFFSET(TblExplore[[#This Row],[Land Bonus]],1,0)*20)+15000)))*(1+(mason_bonus*TblConstr[[#This Row],[Tot Mas]]/TblConstr[[#This Row],[Land (2)]]))</f>
        <v>0</v>
      </c>
      <c r="AD95" s="340" t="n">
        <f aca="false">harbor_towers_cap*(1-EXP(-TblImps[[#This Row],[Σ Irrigation]]/(harbor_towers_param*(OFFSET(TblImps[[#This Row],[Land]],1,0)-OFFSET(TblExplore[[#This Row],[Land Bonus]],1,0)*20)+15000)))*(1+(mason_bonus*TblConstr[[#This Row],[Tot Mas]]/TblConstr[[#This Row],[Land (2)]]))</f>
        <v>0</v>
      </c>
      <c r="AE95" s="132"/>
      <c r="AF95" s="33" t="n">
        <f aca="false">(1+Overview!$I$28)*SUM(TblImps[[#This Row],[P2]:[G2]])+OFFSET(TblImps[[#This Row],[Σ Science]],-1,0)</f>
        <v>0</v>
      </c>
      <c r="AG95" s="33" t="n">
        <f aca="false">(1+Overview!$I$28)*SUM(TblImps[[#This Row],[P3]:[G3]])+OFFSET(TblImps[[#This Row],[Σ Keep]],-1,0)</f>
        <v>0</v>
      </c>
      <c r="AH95" s="33" t="n">
        <f aca="false">(1+Overview!$I$28 + tech_7_1*TblTech[[#This Row],[7-1]])*SUM(TblImps[[#This Row],[P4]:[G4]])+OFFSET(TblImps[[#This Row],[Σ Towers]],-1,0)</f>
        <v>0</v>
      </c>
      <c r="AI95" s="33" t="n">
        <f aca="false">(1+Overview!$I$28)*SUM(TblImps[[#This Row],[P5]:[G5]])+OFFSET(TblImps[[#This Row],[Σ Forges]],-1,0)</f>
        <v>0</v>
      </c>
      <c r="AJ95" s="33" t="n">
        <f aca="false">(1+Overview!$I$28)*SUM(TblImps[[#This Row],[P6]:[G6]])+OFFSET(TblImps[[#This Row],[Σ Walls]],-1,0)</f>
        <v>0</v>
      </c>
      <c r="AK95" s="33" t="n">
        <f aca="false">(1+Overview!$I$28 + tech_7_1*TblTech[[#This Row],[7-1]])*SUM(TblImps[[#This Row],[P7]:[G7]])+OFFSET(TblImps[[#This Row],[Σ Irrigation]],-1,0)</f>
        <v>0</v>
      </c>
      <c r="AL95" s="132"/>
      <c r="AM95" s="26" t="n">
        <f aca="false">IF(AND(TblImps[[#This Row],[Resource]]=AM$2,TblImps[[#This Row],[Part]]&lt;&gt;""),TblImps[[#This Row],[Amount]]) + IF(AND(TblImps[[#This Row],[Resource 2]]=AM$2,TblImps[[#This Row],[Part 2]]&lt;&gt;""),TblImps[[#This Row],[Amount 2]]) + IF(AND(TblImps[[#This Row],[Resource 3]]=AM$2,TblImps[[#This Row],[Part 3]]&lt;&gt;""),TblImps[[#This Row],[Amount 3]])</f>
        <v>0</v>
      </c>
      <c r="AN95" s="26" t="n">
        <f aca="false">IF(AND(TblImps[[#This Row],[Resource]]=AN$2,TblImps[[#This Row],[Part]]&lt;&gt;""),TblImps[[#This Row],[Amount]]) + IF(AND(TblImps[[#This Row],[Resource 2]]=AN$2,TblImps[[#This Row],[Part 2]]&lt;&gt;""),TblImps[[#This Row],[Amount 2]]) + IF(AND(TblImps[[#This Row],[Resource 3]]=AN$2,TblImps[[#This Row],[Part 3]]&lt;&gt;""),TblImps[[#This Row],[Amount 3]])</f>
        <v>0</v>
      </c>
      <c r="AO95" s="26" t="n">
        <f aca="false">IF(AND(TblImps[[#This Row],[Resource]]=AO$2,TblImps[[#This Row],[Part]]&lt;&gt;""),TblImps[[#This Row],[Amount]]) + IF(AND(TblImps[[#This Row],[Resource 2]]=AO$2,TblImps[[#This Row],[Part 2]]&lt;&gt;""),TblImps[[#This Row],[Amount 2]]) + IF(AND(TblImps[[#This Row],[Resource 3]]=AO$2,TblImps[[#This Row],[Part 3]]&lt;&gt;""),TblImps[[#This Row],[Amount 3]])</f>
        <v>0</v>
      </c>
      <c r="AP95" s="26" t="n">
        <f aca="false">IF(AND(TblImps[[#This Row],[Resource]]=AP$2,TblImps[[#This Row],[Part]]&lt;&gt;""),TblImps[[#This Row],[Amount]]) + IF(AND(TblImps[[#This Row],[Resource 2]]=AP$2,TblImps[[#This Row],[Part 2]]&lt;&gt;""),TblImps[[#This Row],[Amount 2]]) + IF(AND(TblImps[[#This Row],[Resource 3]]=AP$2,TblImps[[#This Row],[Part 3]]&lt;&gt;""),TblImps[[#This Row],[Amount 3]])</f>
        <v>0</v>
      </c>
      <c r="AQ95" s="132"/>
      <c r="AR9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32"/>
      <c r="AW9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32"/>
      <c r="BB9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32"/>
      <c r="BG9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32"/>
      <c r="BL9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32"/>
      <c r="BQ9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32"/>
      <c r="BV95"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33" t="n">
        <f aca="false">TblImps[[#This Row],[Login]]</f>
        <v>0</v>
      </c>
      <c r="BX95" s="128"/>
      <c r="BY95" s="347" t="n">
        <f aca="false">OFFSET(TblImps[[#This Row],[Real time]],-1,0)+1/24</f>
        <v>45433.5416666667</v>
      </c>
      <c r="BZ95" s="348" t="n">
        <f aca="false">OFFSET(TblImps[[#This Row],[Servertime]],-1,0)+1/24</f>
        <v>45433.7916666667</v>
      </c>
      <c r="CA95" s="26"/>
      <c r="CB95" s="346"/>
      <c r="CC95" s="346"/>
    </row>
    <row r="96" customFormat="false" ht="12.75" hidden="false" customHeight="false" outlineLevel="0" collapsed="false">
      <c r="A96" s="181" t="n">
        <f aca="false">TblConstr[[#This Row],[Land]]</f>
        <v>700</v>
      </c>
      <c r="B96" s="132"/>
      <c r="C96" s="69" t="n">
        <f aca="false">TblProd[[#This Row],[Platinum]]</f>
        <v>858808</v>
      </c>
      <c r="D96" s="69" t="n">
        <f aca="false">TblProd[[#This Row],[Lumber]]</f>
        <v>31973</v>
      </c>
      <c r="E96" s="69" t="n">
        <f aca="false">TblProd[[#This Row],[Ore]]</f>
        <v>0</v>
      </c>
      <c r="F96" s="69" t="n">
        <f aca="false">TblProd[[#This Row],[Gems]]</f>
        <v>0</v>
      </c>
      <c r="G96" s="146"/>
      <c r="H96" s="69" t="n">
        <f aca="false">TblMili[[#This Row],[Draftees]]</f>
        <v>1525</v>
      </c>
      <c r="I96" s="130" t="n">
        <f aca="false">TblPop[[#This Row],[Employment]]</f>
        <v>1</v>
      </c>
      <c r="J96" s="130" t="n">
        <f aca="false">TblPop[[#This Row],[Total]]/TblPop[[#This Row],[Net max]]</f>
        <v>1</v>
      </c>
      <c r="K96" s="336" t="n">
        <f aca="false">TblRezone[[#This Row],[Hour]]</f>
        <v>93</v>
      </c>
      <c r="L96" s="337" t="n">
        <f aca="false">TblImps[[#This Row],[Real time]]</f>
        <v>45433.5833333333</v>
      </c>
      <c r="M96" s="33" t="n">
        <f aca="false">IF(ISERROR(TblImps[[#This Row],[algorithm]]),0,TblImps[[#This Row],[algorithm]]*1)</f>
        <v>0</v>
      </c>
      <c r="N96" s="69" t="n">
        <f aca="false">TblImps[[#This Row],[Land]]</f>
        <v>700</v>
      </c>
      <c r="O96" s="338" t="s">
        <v>97</v>
      </c>
      <c r="P96" s="339"/>
      <c r="Q96" s="338" t="s">
        <v>734</v>
      </c>
      <c r="R96" s="338" t="s">
        <v>93</v>
      </c>
      <c r="S96" s="339"/>
      <c r="T96" s="338" t="s">
        <v>734</v>
      </c>
      <c r="U96" s="338" t="s">
        <v>35</v>
      </c>
      <c r="V96" s="339"/>
      <c r="W96" s="338" t="s">
        <v>734</v>
      </c>
      <c r="X96" s="132"/>
      <c r="Y96" s="340" t="n">
        <f aca="false">science_cap*(1-EXP(-TblImps[[#This Row],[Σ Science]]/(science_param*(OFFSET(TblImps[[#This Row],[Land]],1,0)-OFFSET(TblExplore[[#This Row],[Land Bonus]],1,0)*20)+15000)))*(1+(mason_bonus*TblConstr[[#This Row],[Tot Mas]]/TblConstr[[#This Row],[Land (2)]]))</f>
        <v>0</v>
      </c>
      <c r="Z96" s="340" t="n">
        <f aca="false">keep_cap*(1-EXP(-TblImps[[#This Row],[Σ Keep]]/(keep_param*(OFFSET(TblImps[[#This Row],[Land]],1,0)-OFFSET(TblExplore[[#This Row],[Land Bonus]],1,0)*20)+15000)))*(1+(mason_bonus*TblConstr[[#This Row],[Tot Mas]]/TblConstr[[#This Row],[Land (2)]]))</f>
        <v>0</v>
      </c>
      <c r="AA96" s="340" t="n">
        <f aca="false">harbor_towers_cap*(1-EXP(-TblImps[[#This Row],[Σ Towers]]/(towers_param*(OFFSET(TblImps[[#This Row],[Land]],1,0)-OFFSET(TblExplore[[#This Row],[Land Bonus]],1,0)*20)+15000)))*(1+(mason_bonus*TblConstr[[#This Row],[Tot Mas]]/TblConstr[[#This Row],[Land (2)]]))</f>
        <v>0</v>
      </c>
      <c r="AB96" s="340" t="n">
        <f aca="false">walls_forges_cap*(1-EXP(-TblImps[[#This Row],[Σ Forges]]/(walls_forges_param*(OFFSET(TblImps[[#This Row],[Land]],1,0)-OFFSET(TblExplore[[#This Row],[Land Bonus]],1,0)*20)+15000)))*(1+(mason_bonus*TblConstr[[#This Row],[Tot Mas]]/TblConstr[[#This Row],[Land (2)]]))</f>
        <v>0</v>
      </c>
      <c r="AC96" s="340" t="n">
        <f aca="false">walls_forges_cap*(1-EXP(-TblImps[[#This Row],[Σ Walls]]/(walls_forges_param*(OFFSET(TblImps[[#This Row],[Land]],1,0)-OFFSET(TblExplore[[#This Row],[Land Bonus]],1,0)*20)+15000)))*(1+(mason_bonus*TblConstr[[#This Row],[Tot Mas]]/TblConstr[[#This Row],[Land (2)]]))</f>
        <v>0</v>
      </c>
      <c r="AD96" s="340" t="n">
        <f aca="false">harbor_towers_cap*(1-EXP(-TblImps[[#This Row],[Σ Irrigation]]/(harbor_towers_param*(OFFSET(TblImps[[#This Row],[Land]],1,0)-OFFSET(TblExplore[[#This Row],[Land Bonus]],1,0)*20)+15000)))*(1+(mason_bonus*TblConstr[[#This Row],[Tot Mas]]/TblConstr[[#This Row],[Land (2)]]))</f>
        <v>0</v>
      </c>
      <c r="AE96" s="132"/>
      <c r="AF96" s="33" t="n">
        <f aca="false">(1+Overview!$I$28)*SUM(TblImps[[#This Row],[P2]:[G2]])+OFFSET(TblImps[[#This Row],[Σ Science]],-1,0)</f>
        <v>0</v>
      </c>
      <c r="AG96" s="33" t="n">
        <f aca="false">(1+Overview!$I$28)*SUM(TblImps[[#This Row],[P3]:[G3]])+OFFSET(TblImps[[#This Row],[Σ Keep]],-1,0)</f>
        <v>0</v>
      </c>
      <c r="AH96" s="33" t="n">
        <f aca="false">(1+Overview!$I$28 + tech_7_1*TblTech[[#This Row],[7-1]])*SUM(TblImps[[#This Row],[P4]:[G4]])+OFFSET(TblImps[[#This Row],[Σ Towers]],-1,0)</f>
        <v>0</v>
      </c>
      <c r="AI96" s="33" t="n">
        <f aca="false">(1+Overview!$I$28)*SUM(TblImps[[#This Row],[P5]:[G5]])+OFFSET(TblImps[[#This Row],[Σ Forges]],-1,0)</f>
        <v>0</v>
      </c>
      <c r="AJ96" s="33" t="n">
        <f aca="false">(1+Overview!$I$28)*SUM(TblImps[[#This Row],[P6]:[G6]])+OFFSET(TblImps[[#This Row],[Σ Walls]],-1,0)</f>
        <v>0</v>
      </c>
      <c r="AK96" s="33" t="n">
        <f aca="false">(1+Overview!$I$28 + tech_7_1*TblTech[[#This Row],[7-1]])*SUM(TblImps[[#This Row],[P7]:[G7]])+OFFSET(TblImps[[#This Row],[Σ Irrigation]],-1,0)</f>
        <v>0</v>
      </c>
      <c r="AL96" s="132"/>
      <c r="AM96" s="26" t="n">
        <f aca="false">IF(AND(TblImps[[#This Row],[Resource]]=AM$2,TblImps[[#This Row],[Part]]&lt;&gt;""),TblImps[[#This Row],[Amount]]) + IF(AND(TblImps[[#This Row],[Resource 2]]=AM$2,TblImps[[#This Row],[Part 2]]&lt;&gt;""),TblImps[[#This Row],[Amount 2]]) + IF(AND(TblImps[[#This Row],[Resource 3]]=AM$2,TblImps[[#This Row],[Part 3]]&lt;&gt;""),TblImps[[#This Row],[Amount 3]])</f>
        <v>0</v>
      </c>
      <c r="AN96" s="26" t="n">
        <f aca="false">IF(AND(TblImps[[#This Row],[Resource]]=AN$2,TblImps[[#This Row],[Part]]&lt;&gt;""),TblImps[[#This Row],[Amount]]) + IF(AND(TblImps[[#This Row],[Resource 2]]=AN$2,TblImps[[#This Row],[Part 2]]&lt;&gt;""),TblImps[[#This Row],[Amount 2]]) + IF(AND(TblImps[[#This Row],[Resource 3]]=AN$2,TblImps[[#This Row],[Part 3]]&lt;&gt;""),TblImps[[#This Row],[Amount 3]])</f>
        <v>0</v>
      </c>
      <c r="AO96" s="26" t="n">
        <f aca="false">IF(AND(TblImps[[#This Row],[Resource]]=AO$2,TblImps[[#This Row],[Part]]&lt;&gt;""),TblImps[[#This Row],[Amount]]) + IF(AND(TblImps[[#This Row],[Resource 2]]=AO$2,TblImps[[#This Row],[Part 2]]&lt;&gt;""),TblImps[[#This Row],[Amount 2]]) + IF(AND(TblImps[[#This Row],[Resource 3]]=AO$2,TblImps[[#This Row],[Part 3]]&lt;&gt;""),TblImps[[#This Row],[Amount 3]])</f>
        <v>0</v>
      </c>
      <c r="AP96" s="26" t="n">
        <f aca="false">IF(AND(TblImps[[#This Row],[Resource]]=AP$2,TblImps[[#This Row],[Part]]&lt;&gt;""),TblImps[[#This Row],[Amount]]) + IF(AND(TblImps[[#This Row],[Resource 2]]=AP$2,TblImps[[#This Row],[Part 2]]&lt;&gt;""),TblImps[[#This Row],[Amount 2]]) + IF(AND(TblImps[[#This Row],[Resource 3]]=AP$2,TblImps[[#This Row],[Part 3]]&lt;&gt;""),TblImps[[#This Row],[Amount 3]])</f>
        <v>0</v>
      </c>
      <c r="AQ96" s="132"/>
      <c r="AR9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32"/>
      <c r="AW9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32"/>
      <c r="BB9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32"/>
      <c r="BG9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32"/>
      <c r="BL9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32"/>
      <c r="BQ9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32"/>
      <c r="BV96"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33" t="n">
        <f aca="false">TblImps[[#This Row],[Login]]</f>
        <v>0</v>
      </c>
      <c r="BX96" s="128"/>
      <c r="BY96" s="347" t="n">
        <f aca="false">OFFSET(TblImps[[#This Row],[Real time]],-1,0)+1/24</f>
        <v>45433.5833333333</v>
      </c>
      <c r="BZ96" s="348" t="n">
        <f aca="false">OFFSET(TblImps[[#This Row],[Servertime]],-1,0)+1/24</f>
        <v>45433.8333333333</v>
      </c>
      <c r="CA96" s="26"/>
      <c r="CB96" s="346"/>
      <c r="CC96" s="346"/>
    </row>
    <row r="97" customFormat="false" ht="12.75" hidden="false" customHeight="false" outlineLevel="0" collapsed="false">
      <c r="A97" s="181" t="n">
        <f aca="false">TblConstr[[#This Row],[Land]]</f>
        <v>700</v>
      </c>
      <c r="B97" s="132"/>
      <c r="C97" s="69" t="n">
        <f aca="false">TblProd[[#This Row],[Platinum]]</f>
        <v>900677</v>
      </c>
      <c r="D97" s="69" t="n">
        <f aca="false">TblProd[[#This Row],[Lumber]]</f>
        <v>32778</v>
      </c>
      <c r="E97" s="69" t="n">
        <f aca="false">TblProd[[#This Row],[Ore]]</f>
        <v>0</v>
      </c>
      <c r="F97" s="69" t="n">
        <f aca="false">TblProd[[#This Row],[Gems]]</f>
        <v>0</v>
      </c>
      <c r="G97" s="146"/>
      <c r="H97" s="69" t="n">
        <f aca="false">TblMili[[#This Row],[Draftees]]</f>
        <v>1607</v>
      </c>
      <c r="I97" s="130" t="n">
        <f aca="false">TblPop[[#This Row],[Employment]]</f>
        <v>1</v>
      </c>
      <c r="J97" s="130" t="n">
        <f aca="false">TblPop[[#This Row],[Total]]/TblPop[[#This Row],[Net max]]</f>
        <v>1</v>
      </c>
      <c r="K97" s="336" t="n">
        <f aca="false">TblRezone[[#This Row],[Hour]]</f>
        <v>94</v>
      </c>
      <c r="L97" s="337" t="n">
        <f aca="false">TblImps[[#This Row],[Real time]]</f>
        <v>45433.625</v>
      </c>
      <c r="M97" s="33" t="n">
        <f aca="false">IF(ISERROR(TblImps[[#This Row],[algorithm]]),0,TblImps[[#This Row],[algorithm]]*1)</f>
        <v>0</v>
      </c>
      <c r="N97" s="69" t="n">
        <f aca="false">TblImps[[#This Row],[Land]]</f>
        <v>700</v>
      </c>
      <c r="O97" s="338" t="s">
        <v>97</v>
      </c>
      <c r="P97" s="339"/>
      <c r="Q97" s="338" t="s">
        <v>734</v>
      </c>
      <c r="R97" s="338" t="s">
        <v>93</v>
      </c>
      <c r="S97" s="339"/>
      <c r="T97" s="338" t="s">
        <v>734</v>
      </c>
      <c r="U97" s="338" t="s">
        <v>35</v>
      </c>
      <c r="V97" s="339"/>
      <c r="W97" s="338" t="s">
        <v>734</v>
      </c>
      <c r="X97" s="132"/>
      <c r="Y97" s="340" t="n">
        <f aca="false">science_cap*(1-EXP(-TblImps[[#This Row],[Σ Science]]/(science_param*(OFFSET(TblImps[[#This Row],[Land]],1,0)-OFFSET(TblExplore[[#This Row],[Land Bonus]],1,0)*20)+15000)))*(1+(mason_bonus*TblConstr[[#This Row],[Tot Mas]]/TblConstr[[#This Row],[Land (2)]]))</f>
        <v>0</v>
      </c>
      <c r="Z97" s="340" t="n">
        <f aca="false">keep_cap*(1-EXP(-TblImps[[#This Row],[Σ Keep]]/(keep_param*(OFFSET(TblImps[[#This Row],[Land]],1,0)-OFFSET(TblExplore[[#This Row],[Land Bonus]],1,0)*20)+15000)))*(1+(mason_bonus*TblConstr[[#This Row],[Tot Mas]]/TblConstr[[#This Row],[Land (2)]]))</f>
        <v>0</v>
      </c>
      <c r="AA97" s="340" t="n">
        <f aca="false">harbor_towers_cap*(1-EXP(-TblImps[[#This Row],[Σ Towers]]/(towers_param*(OFFSET(TblImps[[#This Row],[Land]],1,0)-OFFSET(TblExplore[[#This Row],[Land Bonus]],1,0)*20)+15000)))*(1+(mason_bonus*TblConstr[[#This Row],[Tot Mas]]/TblConstr[[#This Row],[Land (2)]]))</f>
        <v>0</v>
      </c>
      <c r="AB97" s="340" t="n">
        <f aca="false">walls_forges_cap*(1-EXP(-TblImps[[#This Row],[Σ Forges]]/(walls_forges_param*(OFFSET(TblImps[[#This Row],[Land]],1,0)-OFFSET(TblExplore[[#This Row],[Land Bonus]],1,0)*20)+15000)))*(1+(mason_bonus*TblConstr[[#This Row],[Tot Mas]]/TblConstr[[#This Row],[Land (2)]]))</f>
        <v>0</v>
      </c>
      <c r="AC97" s="340" t="n">
        <f aca="false">walls_forges_cap*(1-EXP(-TblImps[[#This Row],[Σ Walls]]/(walls_forges_param*(OFFSET(TblImps[[#This Row],[Land]],1,0)-OFFSET(TblExplore[[#This Row],[Land Bonus]],1,0)*20)+15000)))*(1+(mason_bonus*TblConstr[[#This Row],[Tot Mas]]/TblConstr[[#This Row],[Land (2)]]))</f>
        <v>0</v>
      </c>
      <c r="AD97" s="340" t="n">
        <f aca="false">harbor_towers_cap*(1-EXP(-TblImps[[#This Row],[Σ Irrigation]]/(harbor_towers_param*(OFFSET(TblImps[[#This Row],[Land]],1,0)-OFFSET(TblExplore[[#This Row],[Land Bonus]],1,0)*20)+15000)))*(1+(mason_bonus*TblConstr[[#This Row],[Tot Mas]]/TblConstr[[#This Row],[Land (2)]]))</f>
        <v>0</v>
      </c>
      <c r="AE97" s="132"/>
      <c r="AF97" s="33" t="n">
        <f aca="false">(1+Overview!$I$28)*SUM(TblImps[[#This Row],[P2]:[G2]])+OFFSET(TblImps[[#This Row],[Σ Science]],-1,0)</f>
        <v>0</v>
      </c>
      <c r="AG97" s="33" t="n">
        <f aca="false">(1+Overview!$I$28)*SUM(TblImps[[#This Row],[P3]:[G3]])+OFFSET(TblImps[[#This Row],[Σ Keep]],-1,0)</f>
        <v>0</v>
      </c>
      <c r="AH97" s="33" t="n">
        <f aca="false">(1+Overview!$I$28 + tech_7_1*TblTech[[#This Row],[7-1]])*SUM(TblImps[[#This Row],[P4]:[G4]])+OFFSET(TblImps[[#This Row],[Σ Towers]],-1,0)</f>
        <v>0</v>
      </c>
      <c r="AI97" s="33" t="n">
        <f aca="false">(1+Overview!$I$28)*SUM(TblImps[[#This Row],[P5]:[G5]])+OFFSET(TblImps[[#This Row],[Σ Forges]],-1,0)</f>
        <v>0</v>
      </c>
      <c r="AJ97" s="33" t="n">
        <f aca="false">(1+Overview!$I$28)*SUM(TblImps[[#This Row],[P6]:[G6]])+OFFSET(TblImps[[#This Row],[Σ Walls]],-1,0)</f>
        <v>0</v>
      </c>
      <c r="AK97" s="33" t="n">
        <f aca="false">(1+Overview!$I$28 + tech_7_1*TblTech[[#This Row],[7-1]])*SUM(TblImps[[#This Row],[P7]:[G7]])+OFFSET(TblImps[[#This Row],[Σ Irrigation]],-1,0)</f>
        <v>0</v>
      </c>
      <c r="AL97" s="132"/>
      <c r="AM97" s="26" t="n">
        <f aca="false">IF(AND(TblImps[[#This Row],[Resource]]=AM$2,TblImps[[#This Row],[Part]]&lt;&gt;""),TblImps[[#This Row],[Amount]]) + IF(AND(TblImps[[#This Row],[Resource 2]]=AM$2,TblImps[[#This Row],[Part 2]]&lt;&gt;""),TblImps[[#This Row],[Amount 2]]) + IF(AND(TblImps[[#This Row],[Resource 3]]=AM$2,TblImps[[#This Row],[Part 3]]&lt;&gt;""),TblImps[[#This Row],[Amount 3]])</f>
        <v>0</v>
      </c>
      <c r="AN97" s="26" t="n">
        <f aca="false">IF(AND(TblImps[[#This Row],[Resource]]=AN$2,TblImps[[#This Row],[Part]]&lt;&gt;""),TblImps[[#This Row],[Amount]]) + IF(AND(TblImps[[#This Row],[Resource 2]]=AN$2,TblImps[[#This Row],[Part 2]]&lt;&gt;""),TblImps[[#This Row],[Amount 2]]) + IF(AND(TblImps[[#This Row],[Resource 3]]=AN$2,TblImps[[#This Row],[Part 3]]&lt;&gt;""),TblImps[[#This Row],[Amount 3]])</f>
        <v>0</v>
      </c>
      <c r="AO97" s="26" t="n">
        <f aca="false">IF(AND(TblImps[[#This Row],[Resource]]=AO$2,TblImps[[#This Row],[Part]]&lt;&gt;""),TblImps[[#This Row],[Amount]]) + IF(AND(TblImps[[#This Row],[Resource 2]]=AO$2,TblImps[[#This Row],[Part 2]]&lt;&gt;""),TblImps[[#This Row],[Amount 2]]) + IF(AND(TblImps[[#This Row],[Resource 3]]=AO$2,TblImps[[#This Row],[Part 3]]&lt;&gt;""),TblImps[[#This Row],[Amount 3]])</f>
        <v>0</v>
      </c>
      <c r="AP97" s="26" t="n">
        <f aca="false">IF(AND(TblImps[[#This Row],[Resource]]=AP$2,TblImps[[#This Row],[Part]]&lt;&gt;""),TblImps[[#This Row],[Amount]]) + IF(AND(TblImps[[#This Row],[Resource 2]]=AP$2,TblImps[[#This Row],[Part 2]]&lt;&gt;""),TblImps[[#This Row],[Amount 2]]) + IF(AND(TblImps[[#This Row],[Resource 3]]=AP$2,TblImps[[#This Row],[Part 3]]&lt;&gt;""),TblImps[[#This Row],[Amount 3]])</f>
        <v>0</v>
      </c>
      <c r="AQ97" s="132"/>
      <c r="AR9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32"/>
      <c r="AW9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32"/>
      <c r="BB9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32"/>
      <c r="BG9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32"/>
      <c r="BL9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32"/>
      <c r="BQ9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32"/>
      <c r="BV97"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33" t="n">
        <f aca="false">TblImps[[#This Row],[Login]]</f>
        <v>0</v>
      </c>
      <c r="BX97" s="128"/>
      <c r="BY97" s="347" t="n">
        <f aca="false">OFFSET(TblImps[[#This Row],[Real time]],-1,0)+1/24</f>
        <v>45433.625</v>
      </c>
      <c r="BZ97" s="348" t="n">
        <f aca="false">OFFSET(TblImps[[#This Row],[Servertime]],-1,0)+1/24</f>
        <v>45433.875</v>
      </c>
      <c r="CA97" s="26"/>
      <c r="CB97" s="346"/>
      <c r="CC97" s="346"/>
    </row>
    <row r="98" customFormat="false" ht="12.75" hidden="false" customHeight="false" outlineLevel="0" collapsed="false">
      <c r="A98" s="181" t="n">
        <f aca="false">TblConstr[[#This Row],[Land]]</f>
        <v>700</v>
      </c>
      <c r="B98" s="132"/>
      <c r="C98" s="69" t="n">
        <f aca="false">TblProd[[#This Row],[Platinum]]</f>
        <v>942302</v>
      </c>
      <c r="D98" s="69" t="n">
        <f aca="false">TblProd[[#This Row],[Lumber]]</f>
        <v>33575</v>
      </c>
      <c r="E98" s="69" t="n">
        <f aca="false">TblProd[[#This Row],[Ore]]</f>
        <v>0</v>
      </c>
      <c r="F98" s="69" t="n">
        <f aca="false">TblProd[[#This Row],[Gems]]</f>
        <v>0</v>
      </c>
      <c r="G98" s="146"/>
      <c r="H98" s="69" t="n">
        <f aca="false">TblMili[[#This Row],[Draftees]]</f>
        <v>1688</v>
      </c>
      <c r="I98" s="130" t="n">
        <f aca="false">TblPop[[#This Row],[Employment]]</f>
        <v>1</v>
      </c>
      <c r="J98" s="130" t="n">
        <f aca="false">TblPop[[#This Row],[Total]]/TblPop[[#This Row],[Net max]]</f>
        <v>1</v>
      </c>
      <c r="K98" s="336" t="n">
        <f aca="false">TblRezone[[#This Row],[Hour]]</f>
        <v>95</v>
      </c>
      <c r="L98" s="337" t="n">
        <f aca="false">TblImps[[#This Row],[Real time]]</f>
        <v>45433.6666666667</v>
      </c>
      <c r="M98" s="33" t="n">
        <f aca="false">IF(ISERROR(TblImps[[#This Row],[algorithm]]),0,TblImps[[#This Row],[algorithm]]*1)</f>
        <v>0</v>
      </c>
      <c r="N98" s="69" t="n">
        <f aca="false">TblImps[[#This Row],[Land]]</f>
        <v>700</v>
      </c>
      <c r="O98" s="338" t="s">
        <v>97</v>
      </c>
      <c r="P98" s="339"/>
      <c r="Q98" s="338" t="s">
        <v>734</v>
      </c>
      <c r="R98" s="338" t="s">
        <v>93</v>
      </c>
      <c r="S98" s="339"/>
      <c r="T98" s="338" t="s">
        <v>734</v>
      </c>
      <c r="U98" s="338" t="s">
        <v>35</v>
      </c>
      <c r="V98" s="339"/>
      <c r="W98" s="338" t="s">
        <v>734</v>
      </c>
      <c r="X98" s="132"/>
      <c r="Y98" s="340" t="n">
        <f aca="false">science_cap*(1-EXP(-TblImps[[#This Row],[Σ Science]]/(science_param*(OFFSET(TblImps[[#This Row],[Land]],1,0)-OFFSET(TblExplore[[#This Row],[Land Bonus]],1,0)*20)+15000)))*(1+(mason_bonus*TblConstr[[#This Row],[Tot Mas]]/TblConstr[[#This Row],[Land (2)]]))</f>
        <v>0</v>
      </c>
      <c r="Z98" s="340" t="n">
        <f aca="false">keep_cap*(1-EXP(-TblImps[[#This Row],[Σ Keep]]/(keep_param*(OFFSET(TblImps[[#This Row],[Land]],1,0)-OFFSET(TblExplore[[#This Row],[Land Bonus]],1,0)*20)+15000)))*(1+(mason_bonus*TblConstr[[#This Row],[Tot Mas]]/TblConstr[[#This Row],[Land (2)]]))</f>
        <v>0</v>
      </c>
      <c r="AA98" s="340" t="n">
        <f aca="false">harbor_towers_cap*(1-EXP(-TblImps[[#This Row],[Σ Towers]]/(towers_param*(OFFSET(TblImps[[#This Row],[Land]],1,0)-OFFSET(TblExplore[[#This Row],[Land Bonus]],1,0)*20)+15000)))*(1+(mason_bonus*TblConstr[[#This Row],[Tot Mas]]/TblConstr[[#This Row],[Land (2)]]))</f>
        <v>0</v>
      </c>
      <c r="AB98" s="340" t="n">
        <f aca="false">walls_forges_cap*(1-EXP(-TblImps[[#This Row],[Σ Forges]]/(walls_forges_param*(OFFSET(TblImps[[#This Row],[Land]],1,0)-OFFSET(TblExplore[[#This Row],[Land Bonus]],1,0)*20)+15000)))*(1+(mason_bonus*TblConstr[[#This Row],[Tot Mas]]/TblConstr[[#This Row],[Land (2)]]))</f>
        <v>0</v>
      </c>
      <c r="AC98" s="340" t="n">
        <f aca="false">walls_forges_cap*(1-EXP(-TblImps[[#This Row],[Σ Walls]]/(walls_forges_param*(OFFSET(TblImps[[#This Row],[Land]],1,0)-OFFSET(TblExplore[[#This Row],[Land Bonus]],1,0)*20)+15000)))*(1+(mason_bonus*TblConstr[[#This Row],[Tot Mas]]/TblConstr[[#This Row],[Land (2)]]))</f>
        <v>0</v>
      </c>
      <c r="AD98" s="340" t="n">
        <f aca="false">harbor_towers_cap*(1-EXP(-TblImps[[#This Row],[Σ Irrigation]]/(harbor_towers_param*(OFFSET(TblImps[[#This Row],[Land]],1,0)-OFFSET(TblExplore[[#This Row],[Land Bonus]],1,0)*20)+15000)))*(1+(mason_bonus*TblConstr[[#This Row],[Tot Mas]]/TblConstr[[#This Row],[Land (2)]]))</f>
        <v>0</v>
      </c>
      <c r="AE98" s="132"/>
      <c r="AF98" s="33" t="n">
        <f aca="false">(1+Overview!$I$28)*SUM(TblImps[[#This Row],[P2]:[G2]])+OFFSET(TblImps[[#This Row],[Σ Science]],-1,0)</f>
        <v>0</v>
      </c>
      <c r="AG98" s="33" t="n">
        <f aca="false">(1+Overview!$I$28)*SUM(TblImps[[#This Row],[P3]:[G3]])+OFFSET(TblImps[[#This Row],[Σ Keep]],-1,0)</f>
        <v>0</v>
      </c>
      <c r="AH98" s="33" t="n">
        <f aca="false">(1+Overview!$I$28 + tech_7_1*TblTech[[#This Row],[7-1]])*SUM(TblImps[[#This Row],[P4]:[G4]])+OFFSET(TblImps[[#This Row],[Σ Towers]],-1,0)</f>
        <v>0</v>
      </c>
      <c r="AI98" s="33" t="n">
        <f aca="false">(1+Overview!$I$28)*SUM(TblImps[[#This Row],[P5]:[G5]])+OFFSET(TblImps[[#This Row],[Σ Forges]],-1,0)</f>
        <v>0</v>
      </c>
      <c r="AJ98" s="33" t="n">
        <f aca="false">(1+Overview!$I$28)*SUM(TblImps[[#This Row],[P6]:[G6]])+OFFSET(TblImps[[#This Row],[Σ Walls]],-1,0)</f>
        <v>0</v>
      </c>
      <c r="AK98" s="33" t="n">
        <f aca="false">(1+Overview!$I$28 + tech_7_1*TblTech[[#This Row],[7-1]])*SUM(TblImps[[#This Row],[P7]:[G7]])+OFFSET(TblImps[[#This Row],[Σ Irrigation]],-1,0)</f>
        <v>0</v>
      </c>
      <c r="AL98" s="132"/>
      <c r="AM98" s="26" t="n">
        <f aca="false">IF(AND(TblImps[[#This Row],[Resource]]=AM$2,TblImps[[#This Row],[Part]]&lt;&gt;""),TblImps[[#This Row],[Amount]]) + IF(AND(TblImps[[#This Row],[Resource 2]]=AM$2,TblImps[[#This Row],[Part 2]]&lt;&gt;""),TblImps[[#This Row],[Amount 2]]) + IF(AND(TblImps[[#This Row],[Resource 3]]=AM$2,TblImps[[#This Row],[Part 3]]&lt;&gt;""),TblImps[[#This Row],[Amount 3]])</f>
        <v>0</v>
      </c>
      <c r="AN98" s="26" t="n">
        <f aca="false">IF(AND(TblImps[[#This Row],[Resource]]=AN$2,TblImps[[#This Row],[Part]]&lt;&gt;""),TblImps[[#This Row],[Amount]]) + IF(AND(TblImps[[#This Row],[Resource 2]]=AN$2,TblImps[[#This Row],[Part 2]]&lt;&gt;""),TblImps[[#This Row],[Amount 2]]) + IF(AND(TblImps[[#This Row],[Resource 3]]=AN$2,TblImps[[#This Row],[Part 3]]&lt;&gt;""),TblImps[[#This Row],[Amount 3]])</f>
        <v>0</v>
      </c>
      <c r="AO98" s="26" t="n">
        <f aca="false">IF(AND(TblImps[[#This Row],[Resource]]=AO$2,TblImps[[#This Row],[Part]]&lt;&gt;""),TblImps[[#This Row],[Amount]]) + IF(AND(TblImps[[#This Row],[Resource 2]]=AO$2,TblImps[[#This Row],[Part 2]]&lt;&gt;""),TblImps[[#This Row],[Amount 2]]) + IF(AND(TblImps[[#This Row],[Resource 3]]=AO$2,TblImps[[#This Row],[Part 3]]&lt;&gt;""),TblImps[[#This Row],[Amount 3]])</f>
        <v>0</v>
      </c>
      <c r="AP98" s="26" t="n">
        <f aca="false">IF(AND(TblImps[[#This Row],[Resource]]=AP$2,TblImps[[#This Row],[Part]]&lt;&gt;""),TblImps[[#This Row],[Amount]]) + IF(AND(TblImps[[#This Row],[Resource 2]]=AP$2,TblImps[[#This Row],[Part 2]]&lt;&gt;""),TblImps[[#This Row],[Amount 2]]) + IF(AND(TblImps[[#This Row],[Resource 3]]=AP$2,TblImps[[#This Row],[Part 3]]&lt;&gt;""),TblImps[[#This Row],[Amount 3]])</f>
        <v>0</v>
      </c>
      <c r="AQ98" s="132"/>
      <c r="AR9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32"/>
      <c r="AW9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32"/>
      <c r="BB9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32"/>
      <c r="BG9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32"/>
      <c r="BL9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32"/>
      <c r="BQ9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32"/>
      <c r="BV98"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33" t="n">
        <f aca="false">TblImps[[#This Row],[Login]]</f>
        <v>0</v>
      </c>
      <c r="BX98" s="128"/>
      <c r="BY98" s="347" t="n">
        <f aca="false">OFFSET(TblImps[[#This Row],[Real time]],-1,0)+1/24</f>
        <v>45433.6666666667</v>
      </c>
      <c r="BZ98" s="348" t="n">
        <f aca="false">OFFSET(TblImps[[#This Row],[Servertime]],-1,0)+1/24</f>
        <v>45433.9166666667</v>
      </c>
      <c r="CA98" s="26"/>
      <c r="CB98" s="346"/>
      <c r="CC98" s="346"/>
    </row>
    <row r="99" customFormat="false" ht="12.75" hidden="false" customHeight="false" outlineLevel="0" collapsed="false">
      <c r="A99" s="181" t="n">
        <f aca="false">TblConstr[[#This Row],[Land]]</f>
        <v>700</v>
      </c>
      <c r="B99" s="132"/>
      <c r="C99" s="69" t="n">
        <f aca="false">TblProd[[#This Row],[Platinum]]</f>
        <v>983687</v>
      </c>
      <c r="D99" s="69" t="n">
        <f aca="false">TblProd[[#This Row],[Lumber]]</f>
        <v>34364</v>
      </c>
      <c r="E99" s="69" t="n">
        <f aca="false">TblProd[[#This Row],[Ore]]</f>
        <v>0</v>
      </c>
      <c r="F99" s="69" t="n">
        <f aca="false">TblProd[[#This Row],[Gems]]</f>
        <v>0</v>
      </c>
      <c r="G99" s="146"/>
      <c r="H99" s="69" t="n">
        <f aca="false">TblMili[[#This Row],[Draftees]]</f>
        <v>1768</v>
      </c>
      <c r="I99" s="130" t="n">
        <f aca="false">TblPop[[#This Row],[Employment]]</f>
        <v>1</v>
      </c>
      <c r="J99" s="130" t="n">
        <f aca="false">TblPop[[#This Row],[Total]]/TblPop[[#This Row],[Net max]]</f>
        <v>1</v>
      </c>
      <c r="K99" s="336" t="n">
        <f aca="false">TblRezone[[#This Row],[Hour]]</f>
        <v>96</v>
      </c>
      <c r="L99" s="337" t="n">
        <f aca="false">TblImps[[#This Row],[Real time]]</f>
        <v>45433.7083333333</v>
      </c>
      <c r="M99" s="33" t="n">
        <f aca="false">IF(ISERROR(TblImps[[#This Row],[algorithm]]),0,TblImps[[#This Row],[algorithm]]*1)</f>
        <v>0</v>
      </c>
      <c r="N99" s="69" t="n">
        <f aca="false">TblImps[[#This Row],[Land]]</f>
        <v>700</v>
      </c>
      <c r="O99" s="338" t="s">
        <v>97</v>
      </c>
      <c r="P99" s="339"/>
      <c r="Q99" s="338" t="s">
        <v>734</v>
      </c>
      <c r="R99" s="338" t="s">
        <v>93</v>
      </c>
      <c r="S99" s="339"/>
      <c r="T99" s="338" t="s">
        <v>734</v>
      </c>
      <c r="U99" s="338" t="s">
        <v>35</v>
      </c>
      <c r="V99" s="339"/>
      <c r="W99" s="338" t="s">
        <v>734</v>
      </c>
      <c r="X99" s="132"/>
      <c r="Y99" s="340" t="n">
        <f aca="false">science_cap*(1-EXP(-TblImps[[#This Row],[Σ Science]]/(science_param*(OFFSET(TblImps[[#This Row],[Land]],1,0)-OFFSET(TblExplore[[#This Row],[Land Bonus]],1,0)*20)+15000)))*(1+(mason_bonus*TblConstr[[#This Row],[Tot Mas]]/TblConstr[[#This Row],[Land (2)]]))</f>
        <v>0</v>
      </c>
      <c r="Z99" s="340" t="n">
        <f aca="false">keep_cap*(1-EXP(-TblImps[[#This Row],[Σ Keep]]/(keep_param*(OFFSET(TblImps[[#This Row],[Land]],1,0)-OFFSET(TblExplore[[#This Row],[Land Bonus]],1,0)*20)+15000)))*(1+(mason_bonus*TblConstr[[#This Row],[Tot Mas]]/TblConstr[[#This Row],[Land (2)]]))</f>
        <v>0</v>
      </c>
      <c r="AA99" s="340" t="n">
        <f aca="false">harbor_towers_cap*(1-EXP(-TblImps[[#This Row],[Σ Towers]]/(towers_param*(OFFSET(TblImps[[#This Row],[Land]],1,0)-OFFSET(TblExplore[[#This Row],[Land Bonus]],1,0)*20)+15000)))*(1+(mason_bonus*TblConstr[[#This Row],[Tot Mas]]/TblConstr[[#This Row],[Land (2)]]))</f>
        <v>0</v>
      </c>
      <c r="AB99" s="340" t="n">
        <f aca="false">walls_forges_cap*(1-EXP(-TblImps[[#This Row],[Σ Forges]]/(walls_forges_param*(OFFSET(TblImps[[#This Row],[Land]],1,0)-OFFSET(TblExplore[[#This Row],[Land Bonus]],1,0)*20)+15000)))*(1+(mason_bonus*TblConstr[[#This Row],[Tot Mas]]/TblConstr[[#This Row],[Land (2)]]))</f>
        <v>0</v>
      </c>
      <c r="AC99" s="340" t="n">
        <f aca="false">walls_forges_cap*(1-EXP(-TblImps[[#This Row],[Σ Walls]]/(walls_forges_param*(OFFSET(TblImps[[#This Row],[Land]],1,0)-OFFSET(TblExplore[[#This Row],[Land Bonus]],1,0)*20)+15000)))*(1+(mason_bonus*TblConstr[[#This Row],[Tot Mas]]/TblConstr[[#This Row],[Land (2)]]))</f>
        <v>0</v>
      </c>
      <c r="AD99" s="340" t="n">
        <f aca="false">harbor_towers_cap*(1-EXP(-TblImps[[#This Row],[Σ Irrigation]]/(harbor_towers_param*(OFFSET(TblImps[[#This Row],[Land]],1,0)-OFFSET(TblExplore[[#This Row],[Land Bonus]],1,0)*20)+15000)))*(1+(mason_bonus*TblConstr[[#This Row],[Tot Mas]]/TblConstr[[#This Row],[Land (2)]]))</f>
        <v>0</v>
      </c>
      <c r="AE99" s="132"/>
      <c r="AF99" s="33" t="n">
        <f aca="false">(1+Overview!$I$28)*SUM(TblImps[[#This Row],[P2]:[G2]])+OFFSET(TblImps[[#This Row],[Σ Science]],-1,0)</f>
        <v>0</v>
      </c>
      <c r="AG99" s="33" t="n">
        <f aca="false">(1+Overview!$I$28)*SUM(TblImps[[#This Row],[P3]:[G3]])+OFFSET(TblImps[[#This Row],[Σ Keep]],-1,0)</f>
        <v>0</v>
      </c>
      <c r="AH99" s="33" t="n">
        <f aca="false">(1+Overview!$I$28 + tech_7_1*TblTech[[#This Row],[7-1]])*SUM(TblImps[[#This Row],[P4]:[G4]])+OFFSET(TblImps[[#This Row],[Σ Towers]],-1,0)</f>
        <v>0</v>
      </c>
      <c r="AI99" s="33" t="n">
        <f aca="false">(1+Overview!$I$28)*SUM(TblImps[[#This Row],[P5]:[G5]])+OFFSET(TblImps[[#This Row],[Σ Forges]],-1,0)</f>
        <v>0</v>
      </c>
      <c r="AJ99" s="33" t="n">
        <f aca="false">(1+Overview!$I$28)*SUM(TblImps[[#This Row],[P6]:[G6]])+OFFSET(TblImps[[#This Row],[Σ Walls]],-1,0)</f>
        <v>0</v>
      </c>
      <c r="AK99" s="33" t="n">
        <f aca="false">(1+Overview!$I$28 + tech_7_1*TblTech[[#This Row],[7-1]])*SUM(TblImps[[#This Row],[P7]:[G7]])+OFFSET(TblImps[[#This Row],[Σ Irrigation]],-1,0)</f>
        <v>0</v>
      </c>
      <c r="AL99" s="132"/>
      <c r="AM99" s="26" t="n">
        <f aca="false">IF(AND(TblImps[[#This Row],[Resource]]=AM$2,TblImps[[#This Row],[Part]]&lt;&gt;""),TblImps[[#This Row],[Amount]]) + IF(AND(TblImps[[#This Row],[Resource 2]]=AM$2,TblImps[[#This Row],[Part 2]]&lt;&gt;""),TblImps[[#This Row],[Amount 2]]) + IF(AND(TblImps[[#This Row],[Resource 3]]=AM$2,TblImps[[#This Row],[Part 3]]&lt;&gt;""),TblImps[[#This Row],[Amount 3]])</f>
        <v>0</v>
      </c>
      <c r="AN99" s="26" t="n">
        <f aca="false">IF(AND(TblImps[[#This Row],[Resource]]=AN$2,TblImps[[#This Row],[Part]]&lt;&gt;""),TblImps[[#This Row],[Amount]]) + IF(AND(TblImps[[#This Row],[Resource 2]]=AN$2,TblImps[[#This Row],[Part 2]]&lt;&gt;""),TblImps[[#This Row],[Amount 2]]) + IF(AND(TblImps[[#This Row],[Resource 3]]=AN$2,TblImps[[#This Row],[Part 3]]&lt;&gt;""),TblImps[[#This Row],[Amount 3]])</f>
        <v>0</v>
      </c>
      <c r="AO99" s="26" t="n">
        <f aca="false">IF(AND(TblImps[[#This Row],[Resource]]=AO$2,TblImps[[#This Row],[Part]]&lt;&gt;""),TblImps[[#This Row],[Amount]]) + IF(AND(TblImps[[#This Row],[Resource 2]]=AO$2,TblImps[[#This Row],[Part 2]]&lt;&gt;""),TblImps[[#This Row],[Amount 2]]) + IF(AND(TblImps[[#This Row],[Resource 3]]=AO$2,TblImps[[#This Row],[Part 3]]&lt;&gt;""),TblImps[[#This Row],[Amount 3]])</f>
        <v>0</v>
      </c>
      <c r="AP99" s="26" t="n">
        <f aca="false">IF(AND(TblImps[[#This Row],[Resource]]=AP$2,TblImps[[#This Row],[Part]]&lt;&gt;""),TblImps[[#This Row],[Amount]]) + IF(AND(TblImps[[#This Row],[Resource 2]]=AP$2,TblImps[[#This Row],[Part 2]]&lt;&gt;""),TblImps[[#This Row],[Amount 2]]) + IF(AND(TblImps[[#This Row],[Resource 3]]=AP$2,TblImps[[#This Row],[Part 3]]&lt;&gt;""),TblImps[[#This Row],[Amount 3]])</f>
        <v>0</v>
      </c>
      <c r="AQ99" s="132"/>
      <c r="AR9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32"/>
      <c r="AW9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32"/>
      <c r="BB9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32"/>
      <c r="BG9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32"/>
      <c r="BL9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32"/>
      <c r="BQ9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32"/>
      <c r="BV99"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33" t="n">
        <f aca="false">TblImps[[#This Row],[Login]]</f>
        <v>0</v>
      </c>
      <c r="BX99" s="128"/>
      <c r="BY99" s="347" t="n">
        <f aca="false">OFFSET(TblImps[[#This Row],[Real time]],-1,0)+1/24</f>
        <v>45433.7083333333</v>
      </c>
      <c r="BZ99" s="348" t="n">
        <f aca="false">OFFSET(TblImps[[#This Row],[Servertime]],-1,0)+1/24</f>
        <v>45433.9583333333</v>
      </c>
      <c r="CA99" s="26"/>
      <c r="CB99" s="346"/>
      <c r="CC99" s="346"/>
    </row>
    <row r="100" customFormat="false" ht="12.75" hidden="false" customHeight="false" outlineLevel="0" collapsed="false">
      <c r="A100" s="181" t="n">
        <f aca="false">TblConstr[[#This Row],[Land]]</f>
        <v>700</v>
      </c>
      <c r="B100" s="132"/>
      <c r="C100" s="69" t="n">
        <f aca="false">TblProd[[#This Row],[Platinum]]</f>
        <v>1024834</v>
      </c>
      <c r="D100" s="69" t="n">
        <f aca="false">TblProd[[#This Row],[Lumber]]</f>
        <v>35145</v>
      </c>
      <c r="E100" s="69" t="n">
        <f aca="false">TblProd[[#This Row],[Ore]]</f>
        <v>0</v>
      </c>
      <c r="F100" s="69" t="n">
        <f aca="false">TblProd[[#This Row],[Gems]]</f>
        <v>0</v>
      </c>
      <c r="G100" s="146"/>
      <c r="H100" s="69" t="n">
        <f aca="false">TblMili[[#This Row],[Draftees]]</f>
        <v>1847</v>
      </c>
      <c r="I100" s="130" t="n">
        <f aca="false">TblPop[[#This Row],[Employment]]</f>
        <v>1</v>
      </c>
      <c r="J100" s="130" t="n">
        <f aca="false">TblPop[[#This Row],[Total]]/TblPop[[#This Row],[Net max]]</f>
        <v>1</v>
      </c>
      <c r="K100" s="336" t="n">
        <f aca="false">TblRezone[[#This Row],[Hour]]</f>
        <v>97</v>
      </c>
      <c r="L100" s="337" t="n">
        <f aca="false">TblImps[[#This Row],[Real time]]</f>
        <v>45433.75</v>
      </c>
      <c r="M100" s="33" t="n">
        <f aca="false">IF(ISERROR(TblImps[[#This Row],[algorithm]]),0,TblImps[[#This Row],[algorithm]]*1)</f>
        <v>1</v>
      </c>
      <c r="N100" s="69" t="n">
        <f aca="false">TblImps[[#This Row],[Land]]</f>
        <v>700</v>
      </c>
      <c r="O100" s="338" t="s">
        <v>97</v>
      </c>
      <c r="P100" s="339"/>
      <c r="Q100" s="338" t="s">
        <v>734</v>
      </c>
      <c r="R100" s="338" t="s">
        <v>93</v>
      </c>
      <c r="S100" s="339"/>
      <c r="T100" s="338" t="s">
        <v>734</v>
      </c>
      <c r="U100" s="338" t="s">
        <v>35</v>
      </c>
      <c r="V100" s="339"/>
      <c r="W100" s="338" t="s">
        <v>734</v>
      </c>
      <c r="X100" s="132"/>
      <c r="Y100" s="340" t="n">
        <f aca="false">science_cap*(1-EXP(-TblImps[[#This Row],[Σ Science]]/(science_param*(OFFSET(TblImps[[#This Row],[Land]],1,0)-OFFSET(TblExplore[[#This Row],[Land Bonus]],1,0)*20)+15000)))*(1+(mason_bonus*TblConstr[[#This Row],[Tot Mas]]/TblConstr[[#This Row],[Land (2)]]))</f>
        <v>0</v>
      </c>
      <c r="Z100" s="340" t="n">
        <f aca="false">keep_cap*(1-EXP(-TblImps[[#This Row],[Σ Keep]]/(keep_param*(OFFSET(TblImps[[#This Row],[Land]],1,0)-OFFSET(TblExplore[[#This Row],[Land Bonus]],1,0)*20)+15000)))*(1+(mason_bonus*TblConstr[[#This Row],[Tot Mas]]/TblConstr[[#This Row],[Land (2)]]))</f>
        <v>0</v>
      </c>
      <c r="AA100" s="340" t="n">
        <f aca="false">harbor_towers_cap*(1-EXP(-TblImps[[#This Row],[Σ Towers]]/(towers_param*(OFFSET(TblImps[[#This Row],[Land]],1,0)-OFFSET(TblExplore[[#This Row],[Land Bonus]],1,0)*20)+15000)))*(1+(mason_bonus*TblConstr[[#This Row],[Tot Mas]]/TblConstr[[#This Row],[Land (2)]]))</f>
        <v>0</v>
      </c>
      <c r="AB100" s="340" t="n">
        <f aca="false">walls_forges_cap*(1-EXP(-TblImps[[#This Row],[Σ Forges]]/(walls_forges_param*(OFFSET(TblImps[[#This Row],[Land]],1,0)-OFFSET(TblExplore[[#This Row],[Land Bonus]],1,0)*20)+15000)))*(1+(mason_bonus*TblConstr[[#This Row],[Tot Mas]]/TblConstr[[#This Row],[Land (2)]]))</f>
        <v>0</v>
      </c>
      <c r="AC100" s="340" t="n">
        <f aca="false">walls_forges_cap*(1-EXP(-TblImps[[#This Row],[Σ Walls]]/(walls_forges_param*(OFFSET(TblImps[[#This Row],[Land]],1,0)-OFFSET(TblExplore[[#This Row],[Land Bonus]],1,0)*20)+15000)))*(1+(mason_bonus*TblConstr[[#This Row],[Tot Mas]]/TblConstr[[#This Row],[Land (2)]]))</f>
        <v>0</v>
      </c>
      <c r="AD100" s="340" t="n">
        <f aca="false">harbor_towers_cap*(1-EXP(-TblImps[[#This Row],[Σ Irrigation]]/(harbor_towers_param*(OFFSET(TblImps[[#This Row],[Land]],1,0)-OFFSET(TblExplore[[#This Row],[Land Bonus]],1,0)*20)+15000)))*(1+(mason_bonus*TblConstr[[#This Row],[Tot Mas]]/TblConstr[[#This Row],[Land (2)]]))</f>
        <v>0</v>
      </c>
      <c r="AE100" s="132"/>
      <c r="AF100" s="33" t="n">
        <f aca="false">(1+Overview!$I$28)*SUM(TblImps[[#This Row],[P2]:[G2]])+OFFSET(TblImps[[#This Row],[Σ Science]],-1,0)</f>
        <v>0</v>
      </c>
      <c r="AG100" s="33" t="n">
        <f aca="false">(1+Overview!$I$28)*SUM(TblImps[[#This Row],[P3]:[G3]])+OFFSET(TblImps[[#This Row],[Σ Keep]],-1,0)</f>
        <v>0</v>
      </c>
      <c r="AH100" s="33" t="n">
        <f aca="false">(1+Overview!$I$28 + tech_7_1*TblTech[[#This Row],[7-1]])*SUM(TblImps[[#This Row],[P4]:[G4]])+OFFSET(TblImps[[#This Row],[Σ Towers]],-1,0)</f>
        <v>0</v>
      </c>
      <c r="AI100" s="33" t="n">
        <f aca="false">(1+Overview!$I$28)*SUM(TblImps[[#This Row],[P5]:[G5]])+OFFSET(TblImps[[#This Row],[Σ Forges]],-1,0)</f>
        <v>0</v>
      </c>
      <c r="AJ100" s="33" t="n">
        <f aca="false">(1+Overview!$I$28)*SUM(TblImps[[#This Row],[P6]:[G6]])+OFFSET(TblImps[[#This Row],[Σ Walls]],-1,0)</f>
        <v>0</v>
      </c>
      <c r="AK100" s="33" t="n">
        <f aca="false">(1+Overview!$I$28 + tech_7_1*TblTech[[#This Row],[7-1]])*SUM(TblImps[[#This Row],[P7]:[G7]])+OFFSET(TblImps[[#This Row],[Σ Irrigation]],-1,0)</f>
        <v>0</v>
      </c>
      <c r="AL100" s="132"/>
      <c r="AM100" s="26" t="n">
        <f aca="false">IF(AND(TblImps[[#This Row],[Resource]]=AM$2,TblImps[[#This Row],[Part]]&lt;&gt;""),TblImps[[#This Row],[Amount]]) + IF(AND(TblImps[[#This Row],[Resource 2]]=AM$2,TblImps[[#This Row],[Part 2]]&lt;&gt;""),TblImps[[#This Row],[Amount 2]]) + IF(AND(TblImps[[#This Row],[Resource 3]]=AM$2,TblImps[[#This Row],[Part 3]]&lt;&gt;""),TblImps[[#This Row],[Amount 3]])</f>
        <v>0</v>
      </c>
      <c r="AN100" s="26" t="n">
        <f aca="false">IF(AND(TblImps[[#This Row],[Resource]]=AN$2,TblImps[[#This Row],[Part]]&lt;&gt;""),TblImps[[#This Row],[Amount]]) + IF(AND(TblImps[[#This Row],[Resource 2]]=AN$2,TblImps[[#This Row],[Part 2]]&lt;&gt;""),TblImps[[#This Row],[Amount 2]]) + IF(AND(TblImps[[#This Row],[Resource 3]]=AN$2,TblImps[[#This Row],[Part 3]]&lt;&gt;""),TblImps[[#This Row],[Amount 3]])</f>
        <v>0</v>
      </c>
      <c r="AO100" s="26" t="n">
        <f aca="false">IF(AND(TblImps[[#This Row],[Resource]]=AO$2,TblImps[[#This Row],[Part]]&lt;&gt;""),TblImps[[#This Row],[Amount]]) + IF(AND(TblImps[[#This Row],[Resource 2]]=AO$2,TblImps[[#This Row],[Part 2]]&lt;&gt;""),TblImps[[#This Row],[Amount 2]]) + IF(AND(TblImps[[#This Row],[Resource 3]]=AO$2,TblImps[[#This Row],[Part 3]]&lt;&gt;""),TblImps[[#This Row],[Amount 3]])</f>
        <v>0</v>
      </c>
      <c r="AP100" s="26" t="n">
        <f aca="false">IF(AND(TblImps[[#This Row],[Resource]]=AP$2,TblImps[[#This Row],[Part]]&lt;&gt;""),TblImps[[#This Row],[Amount]]) + IF(AND(TblImps[[#This Row],[Resource 2]]=AP$2,TblImps[[#This Row],[Part 2]]&lt;&gt;""),TblImps[[#This Row],[Amount 2]]) + IF(AND(TblImps[[#This Row],[Resource 3]]=AP$2,TblImps[[#This Row],[Part 3]]&lt;&gt;""),TblImps[[#This Row],[Amount 3]])</f>
        <v>0</v>
      </c>
      <c r="AQ100" s="132"/>
      <c r="AR10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32"/>
      <c r="AW10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32"/>
      <c r="BB10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32"/>
      <c r="BG10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32"/>
      <c r="BL10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32"/>
      <c r="BQ10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32"/>
      <c r="BV100" s="342"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0" s="33" t="n">
        <f aca="false">TblImps[[#This Row],[Login]]</f>
        <v>1</v>
      </c>
      <c r="BX100" s="128"/>
      <c r="BY100" s="347" t="n">
        <f aca="false">OFFSET(TblImps[[#This Row],[Real time]],-1,0)+1/24</f>
        <v>45433.75</v>
      </c>
      <c r="BZ100" s="348" t="n">
        <f aca="false">OFFSET(TblImps[[#This Row],[Servertime]],-1,0)+1/24</f>
        <v>45434</v>
      </c>
      <c r="CA100" s="26"/>
      <c r="CB100" s="346"/>
      <c r="CC100" s="346"/>
    </row>
    <row r="101" customFormat="false" ht="12.75" hidden="false" customHeight="false" outlineLevel="0" collapsed="false">
      <c r="A101" s="181" t="n">
        <f aca="false">TblConstr[[#This Row],[Land]]</f>
        <v>700</v>
      </c>
      <c r="B101" s="132"/>
      <c r="C101" s="69" t="n">
        <f aca="false">TblProd[[#This Row],[Platinum]]</f>
        <v>1065746</v>
      </c>
      <c r="D101" s="69" t="n">
        <f aca="false">TblProd[[#This Row],[Lumber]]</f>
        <v>35919</v>
      </c>
      <c r="E101" s="69" t="n">
        <f aca="false">TblProd[[#This Row],[Ore]]</f>
        <v>0</v>
      </c>
      <c r="F101" s="69" t="n">
        <f aca="false">TblProd[[#This Row],[Gems]]</f>
        <v>0</v>
      </c>
      <c r="G101" s="146"/>
      <c r="H101" s="69" t="n">
        <f aca="false">TblMili[[#This Row],[Draftees]]</f>
        <v>1926</v>
      </c>
      <c r="I101" s="130" t="n">
        <f aca="false">TblPop[[#This Row],[Employment]]</f>
        <v>1</v>
      </c>
      <c r="J101" s="130" t="n">
        <f aca="false">TblPop[[#This Row],[Total]]/TblPop[[#This Row],[Net max]]</f>
        <v>1</v>
      </c>
      <c r="K101" s="336" t="n">
        <f aca="false">TblRezone[[#This Row],[Hour]]</f>
        <v>98</v>
      </c>
      <c r="L101" s="337" t="n">
        <f aca="false">TblImps[[#This Row],[Real time]]</f>
        <v>45433.7916666667</v>
      </c>
      <c r="M101" s="33" t="n">
        <f aca="false">IF(ISERROR(TblImps[[#This Row],[algorithm]]),0,TblImps[[#This Row],[algorithm]]*1)</f>
        <v>0</v>
      </c>
      <c r="N101" s="69" t="n">
        <f aca="false">TblImps[[#This Row],[Land]]</f>
        <v>700</v>
      </c>
      <c r="O101" s="338" t="s">
        <v>97</v>
      </c>
      <c r="P101" s="339"/>
      <c r="Q101" s="338" t="s">
        <v>734</v>
      </c>
      <c r="R101" s="338" t="s">
        <v>93</v>
      </c>
      <c r="S101" s="339"/>
      <c r="T101" s="338" t="s">
        <v>734</v>
      </c>
      <c r="U101" s="338" t="s">
        <v>35</v>
      </c>
      <c r="V101" s="339"/>
      <c r="W101" s="338" t="s">
        <v>734</v>
      </c>
      <c r="X101" s="132"/>
      <c r="Y101" s="340" t="n">
        <f aca="false">science_cap*(1-EXP(-TblImps[[#This Row],[Σ Science]]/(science_param*(OFFSET(TblImps[[#This Row],[Land]],1,0)-OFFSET(TblExplore[[#This Row],[Land Bonus]],1,0)*20)+15000)))*(1+(mason_bonus*TblConstr[[#This Row],[Tot Mas]]/TblConstr[[#This Row],[Land (2)]]))</f>
        <v>0</v>
      </c>
      <c r="Z101" s="340" t="n">
        <f aca="false">keep_cap*(1-EXP(-TblImps[[#This Row],[Σ Keep]]/(keep_param*(OFFSET(TblImps[[#This Row],[Land]],1,0)-OFFSET(TblExplore[[#This Row],[Land Bonus]],1,0)*20)+15000)))*(1+(mason_bonus*TblConstr[[#This Row],[Tot Mas]]/TblConstr[[#This Row],[Land (2)]]))</f>
        <v>0</v>
      </c>
      <c r="AA101" s="340" t="n">
        <f aca="false">harbor_towers_cap*(1-EXP(-TblImps[[#This Row],[Σ Towers]]/(towers_param*(OFFSET(TblImps[[#This Row],[Land]],1,0)-OFFSET(TblExplore[[#This Row],[Land Bonus]],1,0)*20)+15000)))*(1+(mason_bonus*TblConstr[[#This Row],[Tot Mas]]/TblConstr[[#This Row],[Land (2)]]))</f>
        <v>0</v>
      </c>
      <c r="AB101" s="340" t="n">
        <f aca="false">walls_forges_cap*(1-EXP(-TblImps[[#This Row],[Σ Forges]]/(walls_forges_param*(OFFSET(TblImps[[#This Row],[Land]],1,0)-OFFSET(TblExplore[[#This Row],[Land Bonus]],1,0)*20)+15000)))*(1+(mason_bonus*TblConstr[[#This Row],[Tot Mas]]/TblConstr[[#This Row],[Land (2)]]))</f>
        <v>0</v>
      </c>
      <c r="AC101" s="340" t="n">
        <f aca="false">walls_forges_cap*(1-EXP(-TblImps[[#This Row],[Σ Walls]]/(walls_forges_param*(OFFSET(TblImps[[#This Row],[Land]],1,0)-OFFSET(TblExplore[[#This Row],[Land Bonus]],1,0)*20)+15000)))*(1+(mason_bonus*TblConstr[[#This Row],[Tot Mas]]/TblConstr[[#This Row],[Land (2)]]))</f>
        <v>0</v>
      </c>
      <c r="AD101" s="340" t="n">
        <f aca="false">harbor_towers_cap*(1-EXP(-TblImps[[#This Row],[Σ Irrigation]]/(harbor_towers_param*(OFFSET(TblImps[[#This Row],[Land]],1,0)-OFFSET(TblExplore[[#This Row],[Land Bonus]],1,0)*20)+15000)))*(1+(mason_bonus*TblConstr[[#This Row],[Tot Mas]]/TblConstr[[#This Row],[Land (2)]]))</f>
        <v>0</v>
      </c>
      <c r="AE101" s="132"/>
      <c r="AF101" s="33" t="n">
        <f aca="false">(1+Overview!$I$28)*SUM(TblImps[[#This Row],[P2]:[G2]])+OFFSET(TblImps[[#This Row],[Σ Science]],-1,0)</f>
        <v>0</v>
      </c>
      <c r="AG101" s="33" t="n">
        <f aca="false">(1+Overview!$I$28)*SUM(TblImps[[#This Row],[P3]:[G3]])+OFFSET(TblImps[[#This Row],[Σ Keep]],-1,0)</f>
        <v>0</v>
      </c>
      <c r="AH101" s="33" t="n">
        <f aca="false">(1+Overview!$I$28 + tech_7_1*TblTech[[#This Row],[7-1]])*SUM(TblImps[[#This Row],[P4]:[G4]])+OFFSET(TblImps[[#This Row],[Σ Towers]],-1,0)</f>
        <v>0</v>
      </c>
      <c r="AI101" s="33" t="n">
        <f aca="false">(1+Overview!$I$28)*SUM(TblImps[[#This Row],[P5]:[G5]])+OFFSET(TblImps[[#This Row],[Σ Forges]],-1,0)</f>
        <v>0</v>
      </c>
      <c r="AJ101" s="33" t="n">
        <f aca="false">(1+Overview!$I$28)*SUM(TblImps[[#This Row],[P6]:[G6]])+OFFSET(TblImps[[#This Row],[Σ Walls]],-1,0)</f>
        <v>0</v>
      </c>
      <c r="AK101" s="33" t="n">
        <f aca="false">(1+Overview!$I$28 + tech_7_1*TblTech[[#This Row],[7-1]])*SUM(TblImps[[#This Row],[P7]:[G7]])+OFFSET(TblImps[[#This Row],[Σ Irrigation]],-1,0)</f>
        <v>0</v>
      </c>
      <c r="AL101" s="132"/>
      <c r="AM101" s="26" t="n">
        <f aca="false">IF(AND(TblImps[[#This Row],[Resource]]=AM$2,TblImps[[#This Row],[Part]]&lt;&gt;""),TblImps[[#This Row],[Amount]]) + IF(AND(TblImps[[#This Row],[Resource 2]]=AM$2,TblImps[[#This Row],[Part 2]]&lt;&gt;""),TblImps[[#This Row],[Amount 2]]) + IF(AND(TblImps[[#This Row],[Resource 3]]=AM$2,TblImps[[#This Row],[Part 3]]&lt;&gt;""),TblImps[[#This Row],[Amount 3]])</f>
        <v>0</v>
      </c>
      <c r="AN101" s="26" t="n">
        <f aca="false">IF(AND(TblImps[[#This Row],[Resource]]=AN$2,TblImps[[#This Row],[Part]]&lt;&gt;""),TblImps[[#This Row],[Amount]]) + IF(AND(TblImps[[#This Row],[Resource 2]]=AN$2,TblImps[[#This Row],[Part 2]]&lt;&gt;""),TblImps[[#This Row],[Amount 2]]) + IF(AND(TblImps[[#This Row],[Resource 3]]=AN$2,TblImps[[#This Row],[Part 3]]&lt;&gt;""),TblImps[[#This Row],[Amount 3]])</f>
        <v>0</v>
      </c>
      <c r="AO101" s="26" t="n">
        <f aca="false">IF(AND(TblImps[[#This Row],[Resource]]=AO$2,TblImps[[#This Row],[Part]]&lt;&gt;""),TblImps[[#This Row],[Amount]]) + IF(AND(TblImps[[#This Row],[Resource 2]]=AO$2,TblImps[[#This Row],[Part 2]]&lt;&gt;""),TblImps[[#This Row],[Amount 2]]) + IF(AND(TblImps[[#This Row],[Resource 3]]=AO$2,TblImps[[#This Row],[Part 3]]&lt;&gt;""),TblImps[[#This Row],[Amount 3]])</f>
        <v>0</v>
      </c>
      <c r="AP101" s="26" t="n">
        <f aca="false">IF(AND(TblImps[[#This Row],[Resource]]=AP$2,TblImps[[#This Row],[Part]]&lt;&gt;""),TblImps[[#This Row],[Amount]]) + IF(AND(TblImps[[#This Row],[Resource 2]]=AP$2,TblImps[[#This Row],[Part 2]]&lt;&gt;""),TblImps[[#This Row],[Amount 2]]) + IF(AND(TblImps[[#This Row],[Resource 3]]=AP$2,TblImps[[#This Row],[Part 3]]&lt;&gt;""),TblImps[[#This Row],[Amount 3]])</f>
        <v>0</v>
      </c>
      <c r="AQ101" s="132"/>
      <c r="AR10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32"/>
      <c r="AW10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32"/>
      <c r="BB10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32"/>
      <c r="BG10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32"/>
      <c r="BL10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32"/>
      <c r="BQ10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32"/>
      <c r="BV101"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33" t="n">
        <f aca="false">TblImps[[#This Row],[Login]]</f>
        <v>0</v>
      </c>
      <c r="BX101" s="128"/>
      <c r="BY101" s="347" t="n">
        <f aca="false">OFFSET(TblImps[[#This Row],[Real time]],-1,0)+1/24</f>
        <v>45433.7916666667</v>
      </c>
      <c r="BZ101" s="348" t="n">
        <f aca="false">OFFSET(TblImps[[#This Row],[Servertime]],-1,0)+1/24</f>
        <v>45434.0416666667</v>
      </c>
      <c r="CA101" s="26"/>
      <c r="CB101" s="346"/>
      <c r="CC101" s="346"/>
    </row>
    <row r="102" customFormat="false" ht="12.75" hidden="false" customHeight="false" outlineLevel="0" collapsed="false">
      <c r="A102" s="181" t="n">
        <f aca="false">TblConstr[[#This Row],[Land]]</f>
        <v>700</v>
      </c>
      <c r="B102" s="132"/>
      <c r="C102" s="69" t="n">
        <f aca="false">TblProd[[#This Row],[Platinum]]</f>
        <v>1106424</v>
      </c>
      <c r="D102" s="69" t="n">
        <f aca="false">TblProd[[#This Row],[Lumber]]</f>
        <v>36685</v>
      </c>
      <c r="E102" s="69" t="n">
        <f aca="false">TblProd[[#This Row],[Ore]]</f>
        <v>0</v>
      </c>
      <c r="F102" s="69" t="n">
        <f aca="false">TblProd[[#This Row],[Gems]]</f>
        <v>0</v>
      </c>
      <c r="G102" s="146"/>
      <c r="H102" s="69" t="n">
        <f aca="false">TblMili[[#This Row],[Draftees]]</f>
        <v>2004</v>
      </c>
      <c r="I102" s="130" t="n">
        <f aca="false">TblPop[[#This Row],[Employment]]</f>
        <v>1</v>
      </c>
      <c r="J102" s="130" t="n">
        <f aca="false">TblPop[[#This Row],[Total]]/TblPop[[#This Row],[Net max]]</f>
        <v>1</v>
      </c>
      <c r="K102" s="336" t="n">
        <f aca="false">TblRezone[[#This Row],[Hour]]</f>
        <v>99</v>
      </c>
      <c r="L102" s="337" t="n">
        <f aca="false">TblImps[[#This Row],[Real time]]</f>
        <v>45433.8333333333</v>
      </c>
      <c r="M102" s="33" t="n">
        <f aca="false">IF(ISERROR(TblImps[[#This Row],[algorithm]]),0,TblImps[[#This Row],[algorithm]]*1)</f>
        <v>0</v>
      </c>
      <c r="N102" s="69" t="n">
        <f aca="false">TblImps[[#This Row],[Land]]</f>
        <v>700</v>
      </c>
      <c r="O102" s="338" t="s">
        <v>97</v>
      </c>
      <c r="P102" s="339"/>
      <c r="Q102" s="338" t="s">
        <v>734</v>
      </c>
      <c r="R102" s="338" t="s">
        <v>93</v>
      </c>
      <c r="S102" s="339"/>
      <c r="T102" s="338" t="s">
        <v>734</v>
      </c>
      <c r="U102" s="338" t="s">
        <v>35</v>
      </c>
      <c r="V102" s="339"/>
      <c r="W102" s="338" t="s">
        <v>734</v>
      </c>
      <c r="X102" s="132"/>
      <c r="Y102" s="340" t="n">
        <f aca="false">science_cap*(1-EXP(-TblImps[[#This Row],[Σ Science]]/(science_param*(OFFSET(TblImps[[#This Row],[Land]],1,0)-OFFSET(TblExplore[[#This Row],[Land Bonus]],1,0)*20)+15000)))*(1+(mason_bonus*TblConstr[[#This Row],[Tot Mas]]/TblConstr[[#This Row],[Land (2)]]))</f>
        <v>0</v>
      </c>
      <c r="Z102" s="340" t="n">
        <f aca="false">keep_cap*(1-EXP(-TblImps[[#This Row],[Σ Keep]]/(keep_param*(OFFSET(TblImps[[#This Row],[Land]],1,0)-OFFSET(TblExplore[[#This Row],[Land Bonus]],1,0)*20)+15000)))*(1+(mason_bonus*TblConstr[[#This Row],[Tot Mas]]/TblConstr[[#This Row],[Land (2)]]))</f>
        <v>0</v>
      </c>
      <c r="AA102" s="340" t="n">
        <f aca="false">harbor_towers_cap*(1-EXP(-TblImps[[#This Row],[Σ Towers]]/(towers_param*(OFFSET(TblImps[[#This Row],[Land]],1,0)-OFFSET(TblExplore[[#This Row],[Land Bonus]],1,0)*20)+15000)))*(1+(mason_bonus*TblConstr[[#This Row],[Tot Mas]]/TblConstr[[#This Row],[Land (2)]]))</f>
        <v>0</v>
      </c>
      <c r="AB102" s="340" t="n">
        <f aca="false">walls_forges_cap*(1-EXP(-TblImps[[#This Row],[Σ Forges]]/(walls_forges_param*(OFFSET(TblImps[[#This Row],[Land]],1,0)-OFFSET(TblExplore[[#This Row],[Land Bonus]],1,0)*20)+15000)))*(1+(mason_bonus*TblConstr[[#This Row],[Tot Mas]]/TblConstr[[#This Row],[Land (2)]]))</f>
        <v>0</v>
      </c>
      <c r="AC102" s="340" t="n">
        <f aca="false">walls_forges_cap*(1-EXP(-TblImps[[#This Row],[Σ Walls]]/(walls_forges_param*(OFFSET(TblImps[[#This Row],[Land]],1,0)-OFFSET(TblExplore[[#This Row],[Land Bonus]],1,0)*20)+15000)))*(1+(mason_bonus*TblConstr[[#This Row],[Tot Mas]]/TblConstr[[#This Row],[Land (2)]]))</f>
        <v>0</v>
      </c>
      <c r="AD102" s="340" t="n">
        <f aca="false">harbor_towers_cap*(1-EXP(-TblImps[[#This Row],[Σ Irrigation]]/(harbor_towers_param*(OFFSET(TblImps[[#This Row],[Land]],1,0)-OFFSET(TblExplore[[#This Row],[Land Bonus]],1,0)*20)+15000)))*(1+(mason_bonus*TblConstr[[#This Row],[Tot Mas]]/TblConstr[[#This Row],[Land (2)]]))</f>
        <v>0</v>
      </c>
      <c r="AE102" s="132"/>
      <c r="AF102" s="33" t="n">
        <f aca="false">(1+Overview!$I$28)*SUM(TblImps[[#This Row],[P2]:[G2]])+OFFSET(TblImps[[#This Row],[Σ Science]],-1,0)</f>
        <v>0</v>
      </c>
      <c r="AG102" s="33" t="n">
        <f aca="false">(1+Overview!$I$28)*SUM(TblImps[[#This Row],[P3]:[G3]])+OFFSET(TblImps[[#This Row],[Σ Keep]],-1,0)</f>
        <v>0</v>
      </c>
      <c r="AH102" s="33" t="n">
        <f aca="false">(1+Overview!$I$28 + tech_7_1*TblTech[[#This Row],[7-1]])*SUM(TblImps[[#This Row],[P4]:[G4]])+OFFSET(TblImps[[#This Row],[Σ Towers]],-1,0)</f>
        <v>0</v>
      </c>
      <c r="AI102" s="33" t="n">
        <f aca="false">(1+Overview!$I$28)*SUM(TblImps[[#This Row],[P5]:[G5]])+OFFSET(TblImps[[#This Row],[Σ Forges]],-1,0)</f>
        <v>0</v>
      </c>
      <c r="AJ102" s="33" t="n">
        <f aca="false">(1+Overview!$I$28)*SUM(TblImps[[#This Row],[P6]:[G6]])+OFFSET(TblImps[[#This Row],[Σ Walls]],-1,0)</f>
        <v>0</v>
      </c>
      <c r="AK102" s="33" t="n">
        <f aca="false">(1+Overview!$I$28 + tech_7_1*TblTech[[#This Row],[7-1]])*SUM(TblImps[[#This Row],[P7]:[G7]])+OFFSET(TblImps[[#This Row],[Σ Irrigation]],-1,0)</f>
        <v>0</v>
      </c>
      <c r="AL102" s="132"/>
      <c r="AM102" s="26" t="n">
        <f aca="false">IF(AND(TblImps[[#This Row],[Resource]]=AM$2,TblImps[[#This Row],[Part]]&lt;&gt;""),TblImps[[#This Row],[Amount]]) + IF(AND(TblImps[[#This Row],[Resource 2]]=AM$2,TblImps[[#This Row],[Part 2]]&lt;&gt;""),TblImps[[#This Row],[Amount 2]]) + IF(AND(TblImps[[#This Row],[Resource 3]]=AM$2,TblImps[[#This Row],[Part 3]]&lt;&gt;""),TblImps[[#This Row],[Amount 3]])</f>
        <v>0</v>
      </c>
      <c r="AN102" s="26" t="n">
        <f aca="false">IF(AND(TblImps[[#This Row],[Resource]]=AN$2,TblImps[[#This Row],[Part]]&lt;&gt;""),TblImps[[#This Row],[Amount]]) + IF(AND(TblImps[[#This Row],[Resource 2]]=AN$2,TblImps[[#This Row],[Part 2]]&lt;&gt;""),TblImps[[#This Row],[Amount 2]]) + IF(AND(TblImps[[#This Row],[Resource 3]]=AN$2,TblImps[[#This Row],[Part 3]]&lt;&gt;""),TblImps[[#This Row],[Amount 3]])</f>
        <v>0</v>
      </c>
      <c r="AO102" s="26" t="n">
        <f aca="false">IF(AND(TblImps[[#This Row],[Resource]]=AO$2,TblImps[[#This Row],[Part]]&lt;&gt;""),TblImps[[#This Row],[Amount]]) + IF(AND(TblImps[[#This Row],[Resource 2]]=AO$2,TblImps[[#This Row],[Part 2]]&lt;&gt;""),TblImps[[#This Row],[Amount 2]]) + IF(AND(TblImps[[#This Row],[Resource 3]]=AO$2,TblImps[[#This Row],[Part 3]]&lt;&gt;""),TblImps[[#This Row],[Amount 3]])</f>
        <v>0</v>
      </c>
      <c r="AP102" s="26" t="n">
        <f aca="false">IF(AND(TblImps[[#This Row],[Resource]]=AP$2,TblImps[[#This Row],[Part]]&lt;&gt;""),TblImps[[#This Row],[Amount]]) + IF(AND(TblImps[[#This Row],[Resource 2]]=AP$2,TblImps[[#This Row],[Part 2]]&lt;&gt;""),TblImps[[#This Row],[Amount 2]]) + IF(AND(TblImps[[#This Row],[Resource 3]]=AP$2,TblImps[[#This Row],[Part 3]]&lt;&gt;""),TblImps[[#This Row],[Amount 3]])</f>
        <v>0</v>
      </c>
      <c r="AQ102" s="132"/>
      <c r="AR10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32"/>
      <c r="AW10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32"/>
      <c r="BB10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32"/>
      <c r="BG10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32"/>
      <c r="BL10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32"/>
      <c r="BQ10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32"/>
      <c r="BV102"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33" t="n">
        <f aca="false">TblImps[[#This Row],[Login]]</f>
        <v>0</v>
      </c>
      <c r="BX102" s="128"/>
      <c r="BY102" s="347" t="n">
        <f aca="false">OFFSET(TblImps[[#This Row],[Real time]],-1,0)+1/24</f>
        <v>45433.8333333333</v>
      </c>
      <c r="BZ102" s="348" t="n">
        <f aca="false">OFFSET(TblImps[[#This Row],[Servertime]],-1,0)+1/24</f>
        <v>45434.0833333333</v>
      </c>
      <c r="CA102" s="26"/>
      <c r="CB102" s="346"/>
      <c r="CC102" s="346"/>
      <c r="CD102" s="1" t="s">
        <v>97</v>
      </c>
    </row>
    <row r="103" customFormat="false" ht="12.75" hidden="false" customHeight="false" outlineLevel="0" collapsed="false">
      <c r="A103" s="181" t="n">
        <f aca="false">TblConstr[[#This Row],[Land]]</f>
        <v>700</v>
      </c>
      <c r="B103" s="132"/>
      <c r="C103" s="69" t="n">
        <f aca="false">TblProd[[#This Row],[Platinum]]</f>
        <v>1146870</v>
      </c>
      <c r="D103" s="69" t="n">
        <f aca="false">TblProd[[#This Row],[Lumber]]</f>
        <v>37443</v>
      </c>
      <c r="E103" s="69" t="n">
        <f aca="false">TblProd[[#This Row],[Ore]]</f>
        <v>0</v>
      </c>
      <c r="F103" s="69" t="n">
        <f aca="false">TblProd[[#This Row],[Gems]]</f>
        <v>0</v>
      </c>
      <c r="G103" s="146"/>
      <c r="H103" s="69" t="n">
        <f aca="false">TblMili[[#This Row],[Draftees]]</f>
        <v>2081</v>
      </c>
      <c r="I103" s="130" t="n">
        <f aca="false">TblPop[[#This Row],[Employment]]</f>
        <v>1</v>
      </c>
      <c r="J103" s="130" t="n">
        <f aca="false">TblPop[[#This Row],[Total]]/TblPop[[#This Row],[Net max]]</f>
        <v>1</v>
      </c>
      <c r="K103" s="336" t="n">
        <f aca="false">TblRezone[[#This Row],[Hour]]</f>
        <v>100</v>
      </c>
      <c r="L103" s="337" t="n">
        <f aca="false">TblImps[[#This Row],[Real time]]</f>
        <v>45433.875</v>
      </c>
      <c r="M103" s="33" t="n">
        <f aca="false">IF(ISERROR(TblImps[[#This Row],[algorithm]]),0,TblImps[[#This Row],[algorithm]]*1)</f>
        <v>0</v>
      </c>
      <c r="N103" s="69" t="n">
        <f aca="false">TblImps[[#This Row],[Land]]</f>
        <v>700</v>
      </c>
      <c r="O103" s="338" t="s">
        <v>97</v>
      </c>
      <c r="P103" s="339"/>
      <c r="Q103" s="338" t="s">
        <v>734</v>
      </c>
      <c r="R103" s="338" t="s">
        <v>93</v>
      </c>
      <c r="S103" s="339"/>
      <c r="T103" s="338" t="s">
        <v>734</v>
      </c>
      <c r="U103" s="338" t="s">
        <v>35</v>
      </c>
      <c r="V103" s="339"/>
      <c r="W103" s="338" t="s">
        <v>734</v>
      </c>
      <c r="X103" s="132"/>
      <c r="Y103" s="340" t="n">
        <f aca="false">science_cap*(1-EXP(-TblImps[[#This Row],[Σ Science]]/(science_param*(OFFSET(TblImps[[#This Row],[Land]],1,0)-OFFSET(TblExplore[[#This Row],[Land Bonus]],1,0)*20)+15000)))*(1+(mason_bonus*TblConstr[[#This Row],[Tot Mas]]/TblConstr[[#This Row],[Land (2)]]))</f>
        <v>0</v>
      </c>
      <c r="Z103" s="340" t="n">
        <f aca="false">keep_cap*(1-EXP(-TblImps[[#This Row],[Σ Keep]]/(keep_param*(OFFSET(TblImps[[#This Row],[Land]],1,0)-OFFSET(TblExplore[[#This Row],[Land Bonus]],1,0)*20)+15000)))*(1+(mason_bonus*TblConstr[[#This Row],[Tot Mas]]/TblConstr[[#This Row],[Land (2)]]))</f>
        <v>0</v>
      </c>
      <c r="AA103" s="340" t="n">
        <f aca="false">harbor_towers_cap*(1-EXP(-TblImps[[#This Row],[Σ Towers]]/(towers_param*(OFFSET(TblImps[[#This Row],[Land]],1,0)-OFFSET(TblExplore[[#This Row],[Land Bonus]],1,0)*20)+15000)))*(1+(mason_bonus*TblConstr[[#This Row],[Tot Mas]]/TblConstr[[#This Row],[Land (2)]]))</f>
        <v>0</v>
      </c>
      <c r="AB103" s="340" t="n">
        <f aca="false">walls_forges_cap*(1-EXP(-TblImps[[#This Row],[Σ Forges]]/(walls_forges_param*(OFFSET(TblImps[[#This Row],[Land]],1,0)-OFFSET(TblExplore[[#This Row],[Land Bonus]],1,0)*20)+15000)))*(1+(mason_bonus*TblConstr[[#This Row],[Tot Mas]]/TblConstr[[#This Row],[Land (2)]]))</f>
        <v>0</v>
      </c>
      <c r="AC103" s="340" t="n">
        <f aca="false">walls_forges_cap*(1-EXP(-TblImps[[#This Row],[Σ Walls]]/(walls_forges_param*(OFFSET(TblImps[[#This Row],[Land]],1,0)-OFFSET(TblExplore[[#This Row],[Land Bonus]],1,0)*20)+15000)))*(1+(mason_bonus*TblConstr[[#This Row],[Tot Mas]]/TblConstr[[#This Row],[Land (2)]]))</f>
        <v>0</v>
      </c>
      <c r="AD103" s="340" t="n">
        <f aca="false">harbor_towers_cap*(1-EXP(-TblImps[[#This Row],[Σ Irrigation]]/(harbor_towers_param*(OFFSET(TblImps[[#This Row],[Land]],1,0)-OFFSET(TblExplore[[#This Row],[Land Bonus]],1,0)*20)+15000)))*(1+(mason_bonus*TblConstr[[#This Row],[Tot Mas]]/TblConstr[[#This Row],[Land (2)]]))</f>
        <v>0</v>
      </c>
      <c r="AE103" s="132"/>
      <c r="AF103" s="33" t="n">
        <f aca="false">(1+Overview!$I$28)*SUM(TblImps[[#This Row],[P2]:[G2]])+OFFSET(TblImps[[#This Row],[Σ Science]],-1,0)</f>
        <v>0</v>
      </c>
      <c r="AG103" s="33" t="n">
        <f aca="false">(1+Overview!$I$28)*SUM(TblImps[[#This Row],[P3]:[G3]])+OFFSET(TblImps[[#This Row],[Σ Keep]],-1,0)</f>
        <v>0</v>
      </c>
      <c r="AH103" s="33" t="n">
        <f aca="false">(1+Overview!$I$28 + tech_7_1*TblTech[[#This Row],[7-1]])*SUM(TblImps[[#This Row],[P4]:[G4]])+OFFSET(TblImps[[#This Row],[Σ Towers]],-1,0)</f>
        <v>0</v>
      </c>
      <c r="AI103" s="33" t="n">
        <f aca="false">(1+Overview!$I$28)*SUM(TblImps[[#This Row],[P5]:[G5]])+OFFSET(TblImps[[#This Row],[Σ Forges]],-1,0)</f>
        <v>0</v>
      </c>
      <c r="AJ103" s="33" t="n">
        <f aca="false">(1+Overview!$I$28)*SUM(TblImps[[#This Row],[P6]:[G6]])+OFFSET(TblImps[[#This Row],[Σ Walls]],-1,0)</f>
        <v>0</v>
      </c>
      <c r="AK103" s="33" t="n">
        <f aca="false">(1+Overview!$I$28 + tech_7_1*TblTech[[#This Row],[7-1]])*SUM(TblImps[[#This Row],[P7]:[G7]])+OFFSET(TblImps[[#This Row],[Σ Irrigation]],-1,0)</f>
        <v>0</v>
      </c>
      <c r="AL103" s="132"/>
      <c r="AM103" s="26" t="n">
        <f aca="false">IF(AND(TblImps[[#This Row],[Resource]]=AM$2,TblImps[[#This Row],[Part]]&lt;&gt;""),TblImps[[#This Row],[Amount]]) + IF(AND(TblImps[[#This Row],[Resource 2]]=AM$2,TblImps[[#This Row],[Part 2]]&lt;&gt;""),TblImps[[#This Row],[Amount 2]]) + IF(AND(TblImps[[#This Row],[Resource 3]]=AM$2,TblImps[[#This Row],[Part 3]]&lt;&gt;""),TblImps[[#This Row],[Amount 3]])</f>
        <v>0</v>
      </c>
      <c r="AN103" s="26" t="n">
        <f aca="false">IF(AND(TblImps[[#This Row],[Resource]]=AN$2,TblImps[[#This Row],[Part]]&lt;&gt;""),TblImps[[#This Row],[Amount]]) + IF(AND(TblImps[[#This Row],[Resource 2]]=AN$2,TblImps[[#This Row],[Part 2]]&lt;&gt;""),TblImps[[#This Row],[Amount 2]]) + IF(AND(TblImps[[#This Row],[Resource 3]]=AN$2,TblImps[[#This Row],[Part 3]]&lt;&gt;""),TblImps[[#This Row],[Amount 3]])</f>
        <v>0</v>
      </c>
      <c r="AO103" s="26" t="n">
        <f aca="false">IF(AND(TblImps[[#This Row],[Resource]]=AO$2,TblImps[[#This Row],[Part]]&lt;&gt;""),TblImps[[#This Row],[Amount]]) + IF(AND(TblImps[[#This Row],[Resource 2]]=AO$2,TblImps[[#This Row],[Part 2]]&lt;&gt;""),TblImps[[#This Row],[Amount 2]]) + IF(AND(TblImps[[#This Row],[Resource 3]]=AO$2,TblImps[[#This Row],[Part 3]]&lt;&gt;""),TblImps[[#This Row],[Amount 3]])</f>
        <v>0</v>
      </c>
      <c r="AP103" s="26" t="n">
        <f aca="false">IF(AND(TblImps[[#This Row],[Resource]]=AP$2,TblImps[[#This Row],[Part]]&lt;&gt;""),TblImps[[#This Row],[Amount]]) + IF(AND(TblImps[[#This Row],[Resource 2]]=AP$2,TblImps[[#This Row],[Part 2]]&lt;&gt;""),TblImps[[#This Row],[Amount 2]]) + IF(AND(TblImps[[#This Row],[Resource 3]]=AP$2,TblImps[[#This Row],[Part 3]]&lt;&gt;""),TblImps[[#This Row],[Amount 3]])</f>
        <v>0</v>
      </c>
      <c r="AQ103" s="132"/>
      <c r="AR10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32"/>
      <c r="AW10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32"/>
      <c r="BB10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32"/>
      <c r="BG10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32"/>
      <c r="BL10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32"/>
      <c r="BQ10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32"/>
      <c r="BV103"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33" t="n">
        <f aca="false">TblImps[[#This Row],[Login]]</f>
        <v>0</v>
      </c>
      <c r="BX103" s="128"/>
      <c r="BY103" s="347" t="n">
        <f aca="false">OFFSET(TblImps[[#This Row],[Real time]],-1,0)+1/24</f>
        <v>45433.875</v>
      </c>
      <c r="BZ103" s="348" t="n">
        <f aca="false">OFFSET(TblImps[[#This Row],[Servertime]],-1,0)+1/24</f>
        <v>45434.125</v>
      </c>
      <c r="CA103" s="26"/>
      <c r="CB103" s="346"/>
      <c r="CC103" s="346"/>
      <c r="CD103" s="1" t="s">
        <v>93</v>
      </c>
    </row>
    <row r="104" customFormat="false" ht="12.75" hidden="false" customHeight="false" outlineLevel="0" collapsed="false">
      <c r="A104" s="181" t="n">
        <f aca="false">TblConstr[[#This Row],[Land]]</f>
        <v>700</v>
      </c>
      <c r="B104" s="132"/>
      <c r="C104" s="69" t="n">
        <f aca="false">TblProd[[#This Row],[Platinum]]</f>
        <v>1187087</v>
      </c>
      <c r="D104" s="69" t="n">
        <f aca="false">TblProd[[#This Row],[Lumber]]</f>
        <v>38194</v>
      </c>
      <c r="E104" s="69" t="n">
        <f aca="false">TblProd[[#This Row],[Ore]]</f>
        <v>0</v>
      </c>
      <c r="F104" s="69" t="n">
        <f aca="false">TblProd[[#This Row],[Gems]]</f>
        <v>0</v>
      </c>
      <c r="G104" s="146"/>
      <c r="H104" s="69" t="n">
        <f aca="false">TblMili[[#This Row],[Draftees]]</f>
        <v>2157</v>
      </c>
      <c r="I104" s="130" t="n">
        <f aca="false">TblPop[[#This Row],[Employment]]</f>
        <v>1</v>
      </c>
      <c r="J104" s="130" t="n">
        <f aca="false">TblPop[[#This Row],[Total]]/TblPop[[#This Row],[Net max]]</f>
        <v>1</v>
      </c>
      <c r="K104" s="336" t="n">
        <f aca="false">TblRezone[[#This Row],[Hour]]</f>
        <v>101</v>
      </c>
      <c r="L104" s="337" t="n">
        <f aca="false">TblImps[[#This Row],[Real time]]</f>
        <v>45433.9166666667</v>
      </c>
      <c r="M104" s="33" t="n">
        <f aca="false">IF(ISERROR(TblImps[[#This Row],[algorithm]]),0,TblImps[[#This Row],[algorithm]]*1)</f>
        <v>0</v>
      </c>
      <c r="N104" s="69" t="n">
        <f aca="false">TblImps[[#This Row],[Land]]</f>
        <v>700</v>
      </c>
      <c r="O104" s="338" t="s">
        <v>97</v>
      </c>
      <c r="P104" s="339"/>
      <c r="Q104" s="338" t="s">
        <v>734</v>
      </c>
      <c r="R104" s="338" t="s">
        <v>93</v>
      </c>
      <c r="S104" s="339"/>
      <c r="T104" s="338" t="s">
        <v>734</v>
      </c>
      <c r="U104" s="338" t="s">
        <v>35</v>
      </c>
      <c r="V104" s="339"/>
      <c r="W104" s="338" t="s">
        <v>734</v>
      </c>
      <c r="X104" s="132"/>
      <c r="Y104" s="340" t="n">
        <f aca="false">science_cap*(1-EXP(-TblImps[[#This Row],[Σ Science]]/(science_param*(OFFSET(TblImps[[#This Row],[Land]],1,0)-OFFSET(TblExplore[[#This Row],[Land Bonus]],1,0)*20)+15000)))*(1+(mason_bonus*TblConstr[[#This Row],[Tot Mas]]/TblConstr[[#This Row],[Land (2)]]))</f>
        <v>0</v>
      </c>
      <c r="Z104" s="340" t="n">
        <f aca="false">keep_cap*(1-EXP(-TblImps[[#This Row],[Σ Keep]]/(keep_param*(OFFSET(TblImps[[#This Row],[Land]],1,0)-OFFSET(TblExplore[[#This Row],[Land Bonus]],1,0)*20)+15000)))*(1+(mason_bonus*TblConstr[[#This Row],[Tot Mas]]/TblConstr[[#This Row],[Land (2)]]))</f>
        <v>0</v>
      </c>
      <c r="AA104" s="340" t="n">
        <f aca="false">harbor_towers_cap*(1-EXP(-TblImps[[#This Row],[Σ Towers]]/(towers_param*(OFFSET(TblImps[[#This Row],[Land]],1,0)-OFFSET(TblExplore[[#This Row],[Land Bonus]],1,0)*20)+15000)))*(1+(mason_bonus*TblConstr[[#This Row],[Tot Mas]]/TblConstr[[#This Row],[Land (2)]]))</f>
        <v>0</v>
      </c>
      <c r="AB104" s="340" t="n">
        <f aca="false">walls_forges_cap*(1-EXP(-TblImps[[#This Row],[Σ Forges]]/(walls_forges_param*(OFFSET(TblImps[[#This Row],[Land]],1,0)-OFFSET(TblExplore[[#This Row],[Land Bonus]],1,0)*20)+15000)))*(1+(mason_bonus*TblConstr[[#This Row],[Tot Mas]]/TblConstr[[#This Row],[Land (2)]]))</f>
        <v>0</v>
      </c>
      <c r="AC104" s="340" t="n">
        <f aca="false">walls_forges_cap*(1-EXP(-TblImps[[#This Row],[Σ Walls]]/(walls_forges_param*(OFFSET(TblImps[[#This Row],[Land]],1,0)-OFFSET(TblExplore[[#This Row],[Land Bonus]],1,0)*20)+15000)))*(1+(mason_bonus*TblConstr[[#This Row],[Tot Mas]]/TblConstr[[#This Row],[Land (2)]]))</f>
        <v>0</v>
      </c>
      <c r="AD104" s="340" t="n">
        <f aca="false">harbor_towers_cap*(1-EXP(-TblImps[[#This Row],[Σ Irrigation]]/(harbor_towers_param*(OFFSET(TblImps[[#This Row],[Land]],1,0)-OFFSET(TblExplore[[#This Row],[Land Bonus]],1,0)*20)+15000)))*(1+(mason_bonus*TblConstr[[#This Row],[Tot Mas]]/TblConstr[[#This Row],[Land (2)]]))</f>
        <v>0</v>
      </c>
      <c r="AE104" s="132"/>
      <c r="AF104" s="33" t="n">
        <f aca="false">(1+Overview!$I$28)*SUM(TblImps[[#This Row],[P2]:[G2]])+OFFSET(TblImps[[#This Row],[Σ Science]],-1,0)</f>
        <v>0</v>
      </c>
      <c r="AG104" s="33" t="n">
        <f aca="false">(1+Overview!$I$28)*SUM(TblImps[[#This Row],[P3]:[G3]])+OFFSET(TblImps[[#This Row],[Σ Keep]],-1,0)</f>
        <v>0</v>
      </c>
      <c r="AH104" s="33" t="n">
        <f aca="false">(1+Overview!$I$28 + tech_7_1*TblTech[[#This Row],[7-1]])*SUM(TblImps[[#This Row],[P4]:[G4]])+OFFSET(TblImps[[#This Row],[Σ Towers]],-1,0)</f>
        <v>0</v>
      </c>
      <c r="AI104" s="33" t="n">
        <f aca="false">(1+Overview!$I$28)*SUM(TblImps[[#This Row],[P5]:[G5]])+OFFSET(TblImps[[#This Row],[Σ Forges]],-1,0)</f>
        <v>0</v>
      </c>
      <c r="AJ104" s="33" t="n">
        <f aca="false">(1+Overview!$I$28)*SUM(TblImps[[#This Row],[P6]:[G6]])+OFFSET(TblImps[[#This Row],[Σ Walls]],-1,0)</f>
        <v>0</v>
      </c>
      <c r="AK104" s="33" t="n">
        <f aca="false">(1+Overview!$I$28 + tech_7_1*TblTech[[#This Row],[7-1]])*SUM(TblImps[[#This Row],[P7]:[G7]])+OFFSET(TblImps[[#This Row],[Σ Irrigation]],-1,0)</f>
        <v>0</v>
      </c>
      <c r="AL104" s="132"/>
      <c r="AM104" s="26" t="n">
        <f aca="false">IF(AND(TblImps[[#This Row],[Resource]]=AM$2,TblImps[[#This Row],[Part]]&lt;&gt;""),TblImps[[#This Row],[Amount]]) + IF(AND(TblImps[[#This Row],[Resource 2]]=AM$2,TblImps[[#This Row],[Part 2]]&lt;&gt;""),TblImps[[#This Row],[Amount 2]]) + IF(AND(TblImps[[#This Row],[Resource 3]]=AM$2,TblImps[[#This Row],[Part 3]]&lt;&gt;""),TblImps[[#This Row],[Amount 3]])</f>
        <v>0</v>
      </c>
      <c r="AN104" s="26" t="n">
        <f aca="false">IF(AND(TblImps[[#This Row],[Resource]]=AN$2,TblImps[[#This Row],[Part]]&lt;&gt;""),TblImps[[#This Row],[Amount]]) + IF(AND(TblImps[[#This Row],[Resource 2]]=AN$2,TblImps[[#This Row],[Part 2]]&lt;&gt;""),TblImps[[#This Row],[Amount 2]]) + IF(AND(TblImps[[#This Row],[Resource 3]]=AN$2,TblImps[[#This Row],[Part 3]]&lt;&gt;""),TblImps[[#This Row],[Amount 3]])</f>
        <v>0</v>
      </c>
      <c r="AO104" s="26" t="n">
        <f aca="false">IF(AND(TblImps[[#This Row],[Resource]]=AO$2,TblImps[[#This Row],[Part]]&lt;&gt;""),TblImps[[#This Row],[Amount]]) + IF(AND(TblImps[[#This Row],[Resource 2]]=AO$2,TblImps[[#This Row],[Part 2]]&lt;&gt;""),TblImps[[#This Row],[Amount 2]]) + IF(AND(TblImps[[#This Row],[Resource 3]]=AO$2,TblImps[[#This Row],[Part 3]]&lt;&gt;""),TblImps[[#This Row],[Amount 3]])</f>
        <v>0</v>
      </c>
      <c r="AP104" s="26" t="n">
        <f aca="false">IF(AND(TblImps[[#This Row],[Resource]]=AP$2,TblImps[[#This Row],[Part]]&lt;&gt;""),TblImps[[#This Row],[Amount]]) + IF(AND(TblImps[[#This Row],[Resource 2]]=AP$2,TblImps[[#This Row],[Part 2]]&lt;&gt;""),TblImps[[#This Row],[Amount 2]]) + IF(AND(TblImps[[#This Row],[Resource 3]]=AP$2,TblImps[[#This Row],[Part 3]]&lt;&gt;""),TblImps[[#This Row],[Amount 3]])</f>
        <v>0</v>
      </c>
      <c r="AQ104" s="132"/>
      <c r="AR10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32"/>
      <c r="AW10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32"/>
      <c r="BB10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32"/>
      <c r="BG10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32"/>
      <c r="BL10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32"/>
      <c r="BQ10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32"/>
      <c r="BV104"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33" t="n">
        <f aca="false">TblImps[[#This Row],[Login]]</f>
        <v>0</v>
      </c>
      <c r="BX104" s="128"/>
      <c r="BY104" s="347" t="n">
        <f aca="false">OFFSET(TblImps[[#This Row],[Real time]],-1,0)+1/24</f>
        <v>45433.9166666667</v>
      </c>
      <c r="BZ104" s="348" t="n">
        <f aca="false">OFFSET(TblImps[[#This Row],[Servertime]],-1,0)+1/24</f>
        <v>45434.1666666667</v>
      </c>
      <c r="CA104" s="26"/>
      <c r="CB104" s="346"/>
      <c r="CC104" s="346"/>
      <c r="CD104" s="1" t="s">
        <v>35</v>
      </c>
    </row>
    <row r="105" customFormat="false" ht="12.75" hidden="false" customHeight="false" outlineLevel="0" collapsed="false">
      <c r="A105" s="181" t="n">
        <f aca="false">TblConstr[[#This Row],[Land]]</f>
        <v>700</v>
      </c>
      <c r="B105" s="132"/>
      <c r="C105" s="69" t="n">
        <f aca="false">TblProd[[#This Row],[Platinum]]</f>
        <v>1227079</v>
      </c>
      <c r="D105" s="69" t="n">
        <f aca="false">TblProd[[#This Row],[Lumber]]</f>
        <v>38937</v>
      </c>
      <c r="E105" s="69" t="n">
        <f aca="false">TblProd[[#This Row],[Ore]]</f>
        <v>0</v>
      </c>
      <c r="F105" s="69" t="n">
        <f aca="false">TblProd[[#This Row],[Gems]]</f>
        <v>0</v>
      </c>
      <c r="G105" s="146"/>
      <c r="H105" s="69" t="n">
        <f aca="false">TblMili[[#This Row],[Draftees]]</f>
        <v>2233</v>
      </c>
      <c r="I105" s="130" t="n">
        <f aca="false">TblPop[[#This Row],[Employment]]</f>
        <v>1</v>
      </c>
      <c r="J105" s="130" t="n">
        <f aca="false">TblPop[[#This Row],[Total]]/TblPop[[#This Row],[Net max]]</f>
        <v>1</v>
      </c>
      <c r="K105" s="336" t="n">
        <f aca="false">TblRezone[[#This Row],[Hour]]</f>
        <v>102</v>
      </c>
      <c r="L105" s="337" t="n">
        <f aca="false">TblImps[[#This Row],[Real time]]</f>
        <v>45433.9583333333</v>
      </c>
      <c r="M105" s="33" t="n">
        <f aca="false">IF(ISERROR(TblImps[[#This Row],[algorithm]]),0,TblImps[[#This Row],[algorithm]]*1)</f>
        <v>0</v>
      </c>
      <c r="N105" s="69" t="n">
        <f aca="false">TblImps[[#This Row],[Land]]</f>
        <v>700</v>
      </c>
      <c r="O105" s="338" t="s">
        <v>97</v>
      </c>
      <c r="P105" s="339"/>
      <c r="Q105" s="338" t="s">
        <v>734</v>
      </c>
      <c r="R105" s="338" t="s">
        <v>93</v>
      </c>
      <c r="S105" s="339"/>
      <c r="T105" s="338" t="s">
        <v>734</v>
      </c>
      <c r="U105" s="338" t="s">
        <v>35</v>
      </c>
      <c r="V105" s="339"/>
      <c r="W105" s="338" t="s">
        <v>734</v>
      </c>
      <c r="X105" s="132"/>
      <c r="Y105" s="340" t="n">
        <f aca="false">science_cap*(1-EXP(-TblImps[[#This Row],[Σ Science]]/(science_param*(OFFSET(TblImps[[#This Row],[Land]],1,0)-OFFSET(TblExplore[[#This Row],[Land Bonus]],1,0)*20)+15000)))*(1+(mason_bonus*TblConstr[[#This Row],[Tot Mas]]/TblConstr[[#This Row],[Land (2)]]))</f>
        <v>0</v>
      </c>
      <c r="Z105" s="340" t="n">
        <f aca="false">keep_cap*(1-EXP(-TblImps[[#This Row],[Σ Keep]]/(keep_param*(OFFSET(TblImps[[#This Row],[Land]],1,0)-OFFSET(TblExplore[[#This Row],[Land Bonus]],1,0)*20)+15000)))*(1+(mason_bonus*TblConstr[[#This Row],[Tot Mas]]/TblConstr[[#This Row],[Land (2)]]))</f>
        <v>0</v>
      </c>
      <c r="AA105" s="340" t="n">
        <f aca="false">harbor_towers_cap*(1-EXP(-TblImps[[#This Row],[Σ Towers]]/(towers_param*(OFFSET(TblImps[[#This Row],[Land]],1,0)-OFFSET(TblExplore[[#This Row],[Land Bonus]],1,0)*20)+15000)))*(1+(mason_bonus*TblConstr[[#This Row],[Tot Mas]]/TblConstr[[#This Row],[Land (2)]]))</f>
        <v>0</v>
      </c>
      <c r="AB105" s="340" t="n">
        <f aca="false">walls_forges_cap*(1-EXP(-TblImps[[#This Row],[Σ Forges]]/(walls_forges_param*(OFFSET(TblImps[[#This Row],[Land]],1,0)-OFFSET(TblExplore[[#This Row],[Land Bonus]],1,0)*20)+15000)))*(1+(mason_bonus*TblConstr[[#This Row],[Tot Mas]]/TblConstr[[#This Row],[Land (2)]]))</f>
        <v>0</v>
      </c>
      <c r="AC105" s="340" t="n">
        <f aca="false">walls_forges_cap*(1-EXP(-TblImps[[#This Row],[Σ Walls]]/(walls_forges_param*(OFFSET(TblImps[[#This Row],[Land]],1,0)-OFFSET(TblExplore[[#This Row],[Land Bonus]],1,0)*20)+15000)))*(1+(mason_bonus*TblConstr[[#This Row],[Tot Mas]]/TblConstr[[#This Row],[Land (2)]]))</f>
        <v>0</v>
      </c>
      <c r="AD105" s="340" t="n">
        <f aca="false">harbor_towers_cap*(1-EXP(-TblImps[[#This Row],[Σ Irrigation]]/(harbor_towers_param*(OFFSET(TblImps[[#This Row],[Land]],1,0)-OFFSET(TblExplore[[#This Row],[Land Bonus]],1,0)*20)+15000)))*(1+(mason_bonus*TblConstr[[#This Row],[Tot Mas]]/TblConstr[[#This Row],[Land (2)]]))</f>
        <v>0</v>
      </c>
      <c r="AE105" s="132"/>
      <c r="AF105" s="33" t="n">
        <f aca="false">(1+Overview!$I$28)*SUM(TblImps[[#This Row],[P2]:[G2]])+OFFSET(TblImps[[#This Row],[Σ Science]],-1,0)</f>
        <v>0</v>
      </c>
      <c r="AG105" s="33" t="n">
        <f aca="false">(1+Overview!$I$28)*SUM(TblImps[[#This Row],[P3]:[G3]])+OFFSET(TblImps[[#This Row],[Σ Keep]],-1,0)</f>
        <v>0</v>
      </c>
      <c r="AH105" s="33" t="n">
        <f aca="false">(1+Overview!$I$28 + tech_7_1*TblTech[[#This Row],[7-1]])*SUM(TblImps[[#This Row],[P4]:[G4]])+OFFSET(TblImps[[#This Row],[Σ Towers]],-1,0)</f>
        <v>0</v>
      </c>
      <c r="AI105" s="33" t="n">
        <f aca="false">(1+Overview!$I$28)*SUM(TblImps[[#This Row],[P5]:[G5]])+OFFSET(TblImps[[#This Row],[Σ Forges]],-1,0)</f>
        <v>0</v>
      </c>
      <c r="AJ105" s="33" t="n">
        <f aca="false">(1+Overview!$I$28)*SUM(TblImps[[#This Row],[P6]:[G6]])+OFFSET(TblImps[[#This Row],[Σ Walls]],-1,0)</f>
        <v>0</v>
      </c>
      <c r="AK105" s="33" t="n">
        <f aca="false">(1+Overview!$I$28 + tech_7_1*TblTech[[#This Row],[7-1]])*SUM(TblImps[[#This Row],[P7]:[G7]])+OFFSET(TblImps[[#This Row],[Σ Irrigation]],-1,0)</f>
        <v>0</v>
      </c>
      <c r="AL105" s="132"/>
      <c r="AM105" s="26" t="n">
        <f aca="false">IF(AND(TblImps[[#This Row],[Resource]]=AM$2,TblImps[[#This Row],[Part]]&lt;&gt;""),TblImps[[#This Row],[Amount]]) + IF(AND(TblImps[[#This Row],[Resource 2]]=AM$2,TblImps[[#This Row],[Part 2]]&lt;&gt;""),TblImps[[#This Row],[Amount 2]]) + IF(AND(TblImps[[#This Row],[Resource 3]]=AM$2,TblImps[[#This Row],[Part 3]]&lt;&gt;""),TblImps[[#This Row],[Amount 3]])</f>
        <v>0</v>
      </c>
      <c r="AN105" s="26" t="n">
        <f aca="false">IF(AND(TblImps[[#This Row],[Resource]]=AN$2,TblImps[[#This Row],[Part]]&lt;&gt;""),TblImps[[#This Row],[Amount]]) + IF(AND(TblImps[[#This Row],[Resource 2]]=AN$2,TblImps[[#This Row],[Part 2]]&lt;&gt;""),TblImps[[#This Row],[Amount 2]]) + IF(AND(TblImps[[#This Row],[Resource 3]]=AN$2,TblImps[[#This Row],[Part 3]]&lt;&gt;""),TblImps[[#This Row],[Amount 3]])</f>
        <v>0</v>
      </c>
      <c r="AO105" s="26" t="n">
        <f aca="false">IF(AND(TblImps[[#This Row],[Resource]]=AO$2,TblImps[[#This Row],[Part]]&lt;&gt;""),TblImps[[#This Row],[Amount]]) + IF(AND(TblImps[[#This Row],[Resource 2]]=AO$2,TblImps[[#This Row],[Part 2]]&lt;&gt;""),TblImps[[#This Row],[Amount 2]]) + IF(AND(TblImps[[#This Row],[Resource 3]]=AO$2,TblImps[[#This Row],[Part 3]]&lt;&gt;""),TblImps[[#This Row],[Amount 3]])</f>
        <v>0</v>
      </c>
      <c r="AP105" s="26" t="n">
        <f aca="false">IF(AND(TblImps[[#This Row],[Resource]]=AP$2,TblImps[[#This Row],[Part]]&lt;&gt;""),TblImps[[#This Row],[Amount]]) + IF(AND(TblImps[[#This Row],[Resource 2]]=AP$2,TblImps[[#This Row],[Part 2]]&lt;&gt;""),TblImps[[#This Row],[Amount 2]]) + IF(AND(TblImps[[#This Row],[Resource 3]]=AP$2,TblImps[[#This Row],[Part 3]]&lt;&gt;""),TblImps[[#This Row],[Amount 3]])</f>
        <v>0</v>
      </c>
      <c r="AQ105" s="132"/>
      <c r="AR10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32"/>
      <c r="AW10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32"/>
      <c r="BB10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32"/>
      <c r="BG10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32"/>
      <c r="BL10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32"/>
      <c r="BQ10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32"/>
      <c r="BV105"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33" t="n">
        <f aca="false">TblImps[[#This Row],[Login]]</f>
        <v>0</v>
      </c>
      <c r="BX105" s="128"/>
      <c r="BY105" s="347" t="n">
        <f aca="false">OFFSET(TblImps[[#This Row],[Real time]],-1,0)+1/24</f>
        <v>45433.9583333333</v>
      </c>
      <c r="BZ105" s="348" t="n">
        <f aca="false">OFFSET(TblImps[[#This Row],[Servertime]],-1,0)+1/24</f>
        <v>45434.2083333333</v>
      </c>
      <c r="CA105" s="26"/>
      <c r="CB105" s="346"/>
      <c r="CC105" s="346"/>
      <c r="CD105" s="1" t="s">
        <v>34</v>
      </c>
    </row>
    <row r="106" customFormat="false" ht="12.75" hidden="false" customHeight="false" outlineLevel="0" collapsed="false">
      <c r="A106" s="181" t="n">
        <f aca="false">TblConstr[[#This Row],[Land]]</f>
        <v>700</v>
      </c>
      <c r="B106" s="132"/>
      <c r="C106" s="69" t="n">
        <f aca="false">TblProd[[#This Row],[Platinum]]</f>
        <v>1266845</v>
      </c>
      <c r="D106" s="69" t="n">
        <f aca="false">TblProd[[#This Row],[Lumber]]</f>
        <v>39673</v>
      </c>
      <c r="E106" s="69" t="n">
        <f aca="false">TblProd[[#This Row],[Ore]]</f>
        <v>0</v>
      </c>
      <c r="F106" s="69" t="n">
        <f aca="false">TblProd[[#This Row],[Gems]]</f>
        <v>0</v>
      </c>
      <c r="G106" s="146"/>
      <c r="H106" s="69" t="n">
        <f aca="false">TblMili[[#This Row],[Draftees]]</f>
        <v>2308</v>
      </c>
      <c r="I106" s="130" t="n">
        <f aca="false">TblPop[[#This Row],[Employment]]</f>
        <v>1</v>
      </c>
      <c r="J106" s="130" t="n">
        <f aca="false">TblPop[[#This Row],[Total]]/TblPop[[#This Row],[Net max]]</f>
        <v>1</v>
      </c>
      <c r="K106" s="336" t="n">
        <f aca="false">TblRezone[[#This Row],[Hour]]</f>
        <v>103</v>
      </c>
      <c r="L106" s="337" t="n">
        <f aca="false">TblImps[[#This Row],[Real time]]</f>
        <v>45434</v>
      </c>
      <c r="M106" s="33" t="n">
        <f aca="false">IF(ISERROR(TblImps[[#This Row],[algorithm]]),0,TblImps[[#This Row],[algorithm]]*1)</f>
        <v>0</v>
      </c>
      <c r="N106" s="69" t="n">
        <f aca="false">TblImps[[#This Row],[Land]]</f>
        <v>700</v>
      </c>
      <c r="O106" s="338" t="s">
        <v>97</v>
      </c>
      <c r="P106" s="339"/>
      <c r="Q106" s="338" t="s">
        <v>734</v>
      </c>
      <c r="R106" s="338" t="s">
        <v>93</v>
      </c>
      <c r="S106" s="339"/>
      <c r="T106" s="338" t="s">
        <v>734</v>
      </c>
      <c r="U106" s="338" t="s">
        <v>35</v>
      </c>
      <c r="V106" s="339"/>
      <c r="W106" s="338" t="s">
        <v>734</v>
      </c>
      <c r="X106" s="132"/>
      <c r="Y106" s="340" t="n">
        <f aca="false">science_cap*(1-EXP(-TblImps[[#This Row],[Σ Science]]/(science_param*(OFFSET(TblImps[[#This Row],[Land]],1,0)-OFFSET(TblExplore[[#This Row],[Land Bonus]],1,0)*20)+15000)))*(1+(mason_bonus*TblConstr[[#This Row],[Tot Mas]]/TblConstr[[#This Row],[Land (2)]]))</f>
        <v>0</v>
      </c>
      <c r="Z106" s="340" t="n">
        <f aca="false">keep_cap*(1-EXP(-TblImps[[#This Row],[Σ Keep]]/(keep_param*(OFFSET(TblImps[[#This Row],[Land]],1,0)-OFFSET(TblExplore[[#This Row],[Land Bonus]],1,0)*20)+15000)))*(1+(mason_bonus*TblConstr[[#This Row],[Tot Mas]]/TblConstr[[#This Row],[Land (2)]]))</f>
        <v>0</v>
      </c>
      <c r="AA106" s="340" t="n">
        <f aca="false">harbor_towers_cap*(1-EXP(-TblImps[[#This Row],[Σ Towers]]/(towers_param*(OFFSET(TblImps[[#This Row],[Land]],1,0)-OFFSET(TblExplore[[#This Row],[Land Bonus]],1,0)*20)+15000)))*(1+(mason_bonus*TblConstr[[#This Row],[Tot Mas]]/TblConstr[[#This Row],[Land (2)]]))</f>
        <v>0</v>
      </c>
      <c r="AB106" s="340" t="n">
        <f aca="false">walls_forges_cap*(1-EXP(-TblImps[[#This Row],[Σ Forges]]/(walls_forges_param*(OFFSET(TblImps[[#This Row],[Land]],1,0)-OFFSET(TblExplore[[#This Row],[Land Bonus]],1,0)*20)+15000)))*(1+(mason_bonus*TblConstr[[#This Row],[Tot Mas]]/TblConstr[[#This Row],[Land (2)]]))</f>
        <v>0</v>
      </c>
      <c r="AC106" s="340" t="n">
        <f aca="false">walls_forges_cap*(1-EXP(-TblImps[[#This Row],[Σ Walls]]/(walls_forges_param*(OFFSET(TblImps[[#This Row],[Land]],1,0)-OFFSET(TblExplore[[#This Row],[Land Bonus]],1,0)*20)+15000)))*(1+(mason_bonus*TblConstr[[#This Row],[Tot Mas]]/TblConstr[[#This Row],[Land (2)]]))</f>
        <v>0</v>
      </c>
      <c r="AD106" s="340" t="n">
        <f aca="false">harbor_towers_cap*(1-EXP(-TblImps[[#This Row],[Σ Irrigation]]/(harbor_towers_param*(OFFSET(TblImps[[#This Row],[Land]],1,0)-OFFSET(TblExplore[[#This Row],[Land Bonus]],1,0)*20)+15000)))*(1+(mason_bonus*TblConstr[[#This Row],[Tot Mas]]/TblConstr[[#This Row],[Land (2)]]))</f>
        <v>0</v>
      </c>
      <c r="AE106" s="132"/>
      <c r="AF106" s="33" t="n">
        <f aca="false">(1+Overview!$I$28)*SUM(TblImps[[#This Row],[P2]:[G2]])+OFFSET(TblImps[[#This Row],[Σ Science]],-1,0)</f>
        <v>0</v>
      </c>
      <c r="AG106" s="33" t="n">
        <f aca="false">(1+Overview!$I$28)*SUM(TblImps[[#This Row],[P3]:[G3]])+OFFSET(TblImps[[#This Row],[Σ Keep]],-1,0)</f>
        <v>0</v>
      </c>
      <c r="AH106" s="33" t="n">
        <f aca="false">(1+Overview!$I$28 + tech_7_1*TblTech[[#This Row],[7-1]])*SUM(TblImps[[#This Row],[P4]:[G4]])+OFFSET(TblImps[[#This Row],[Σ Towers]],-1,0)</f>
        <v>0</v>
      </c>
      <c r="AI106" s="33" t="n">
        <f aca="false">(1+Overview!$I$28)*SUM(TblImps[[#This Row],[P5]:[G5]])+OFFSET(TblImps[[#This Row],[Σ Forges]],-1,0)</f>
        <v>0</v>
      </c>
      <c r="AJ106" s="33" t="n">
        <f aca="false">(1+Overview!$I$28)*SUM(TblImps[[#This Row],[P6]:[G6]])+OFFSET(TblImps[[#This Row],[Σ Walls]],-1,0)</f>
        <v>0</v>
      </c>
      <c r="AK106" s="33" t="n">
        <f aca="false">(1+Overview!$I$28 + tech_7_1*TblTech[[#This Row],[7-1]])*SUM(TblImps[[#This Row],[P7]:[G7]])+OFFSET(TblImps[[#This Row],[Σ Irrigation]],-1,0)</f>
        <v>0</v>
      </c>
      <c r="AL106" s="132"/>
      <c r="AM106" s="26" t="n">
        <f aca="false">IF(AND(TblImps[[#This Row],[Resource]]=AM$2,TblImps[[#This Row],[Part]]&lt;&gt;""),TblImps[[#This Row],[Amount]]) + IF(AND(TblImps[[#This Row],[Resource 2]]=AM$2,TblImps[[#This Row],[Part 2]]&lt;&gt;""),TblImps[[#This Row],[Amount 2]]) + IF(AND(TblImps[[#This Row],[Resource 3]]=AM$2,TblImps[[#This Row],[Part 3]]&lt;&gt;""),TblImps[[#This Row],[Amount 3]])</f>
        <v>0</v>
      </c>
      <c r="AN106" s="26" t="n">
        <f aca="false">IF(AND(TblImps[[#This Row],[Resource]]=AN$2,TblImps[[#This Row],[Part]]&lt;&gt;""),TblImps[[#This Row],[Amount]]) + IF(AND(TblImps[[#This Row],[Resource 2]]=AN$2,TblImps[[#This Row],[Part 2]]&lt;&gt;""),TblImps[[#This Row],[Amount 2]]) + IF(AND(TblImps[[#This Row],[Resource 3]]=AN$2,TblImps[[#This Row],[Part 3]]&lt;&gt;""),TblImps[[#This Row],[Amount 3]])</f>
        <v>0</v>
      </c>
      <c r="AO106" s="26" t="n">
        <f aca="false">IF(AND(TblImps[[#This Row],[Resource]]=AO$2,TblImps[[#This Row],[Part]]&lt;&gt;""),TblImps[[#This Row],[Amount]]) + IF(AND(TblImps[[#This Row],[Resource 2]]=AO$2,TblImps[[#This Row],[Part 2]]&lt;&gt;""),TblImps[[#This Row],[Amount 2]]) + IF(AND(TblImps[[#This Row],[Resource 3]]=AO$2,TblImps[[#This Row],[Part 3]]&lt;&gt;""),TblImps[[#This Row],[Amount 3]])</f>
        <v>0</v>
      </c>
      <c r="AP106" s="26" t="n">
        <f aca="false">IF(AND(TblImps[[#This Row],[Resource]]=AP$2,TblImps[[#This Row],[Part]]&lt;&gt;""),TblImps[[#This Row],[Amount]]) + IF(AND(TblImps[[#This Row],[Resource 2]]=AP$2,TblImps[[#This Row],[Part 2]]&lt;&gt;""),TblImps[[#This Row],[Amount 2]]) + IF(AND(TblImps[[#This Row],[Resource 3]]=AP$2,TblImps[[#This Row],[Part 3]]&lt;&gt;""),TblImps[[#This Row],[Amount 3]])</f>
        <v>0</v>
      </c>
      <c r="AQ106" s="132"/>
      <c r="AR10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32"/>
      <c r="AW10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32"/>
      <c r="BB10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32"/>
      <c r="BG10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32"/>
      <c r="BL10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32"/>
      <c r="BQ10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32"/>
      <c r="BV106"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33" t="n">
        <f aca="false">TblImps[[#This Row],[Login]]</f>
        <v>0</v>
      </c>
      <c r="BX106" s="128"/>
      <c r="BY106" s="347" t="n">
        <f aca="false">OFFSET(TblImps[[#This Row],[Real time]],-1,0)+1/24</f>
        <v>45434</v>
      </c>
      <c r="BZ106" s="348" t="n">
        <f aca="false">OFFSET(TblImps[[#This Row],[Servertime]],-1,0)+1/24</f>
        <v>45434.25</v>
      </c>
      <c r="CA106" s="26"/>
      <c r="CB106" s="346"/>
      <c r="CC106" s="346"/>
    </row>
    <row r="107" customFormat="false" ht="12.75" hidden="false" customHeight="false" outlineLevel="0" collapsed="false">
      <c r="A107" s="181" t="n">
        <f aca="false">TblConstr[[#This Row],[Land]]</f>
        <v>700</v>
      </c>
      <c r="B107" s="132"/>
      <c r="C107" s="69" t="n">
        <f aca="false">TblProd[[#This Row],[Platinum]]</f>
        <v>1306388</v>
      </c>
      <c r="D107" s="69" t="n">
        <f aca="false">TblProd[[#This Row],[Lumber]]</f>
        <v>40401</v>
      </c>
      <c r="E107" s="69" t="n">
        <f aca="false">TblProd[[#This Row],[Ore]]</f>
        <v>0</v>
      </c>
      <c r="F107" s="69" t="n">
        <f aca="false">TblProd[[#This Row],[Gems]]</f>
        <v>0</v>
      </c>
      <c r="G107" s="146"/>
      <c r="H107" s="69" t="n">
        <f aca="false">TblMili[[#This Row],[Draftees]]</f>
        <v>2382</v>
      </c>
      <c r="I107" s="130" t="n">
        <f aca="false">TblPop[[#This Row],[Employment]]</f>
        <v>1</v>
      </c>
      <c r="J107" s="130" t="n">
        <f aca="false">TblPop[[#This Row],[Total]]/TblPop[[#This Row],[Net max]]</f>
        <v>1</v>
      </c>
      <c r="K107" s="336" t="n">
        <f aca="false">TblRezone[[#This Row],[Hour]]</f>
        <v>104</v>
      </c>
      <c r="L107" s="337" t="n">
        <f aca="false">TblImps[[#This Row],[Real time]]</f>
        <v>45434.0416666667</v>
      </c>
      <c r="M107" s="33" t="n">
        <f aca="false">IF(ISERROR(TblImps[[#This Row],[algorithm]]),0,TblImps[[#This Row],[algorithm]]*1)</f>
        <v>0</v>
      </c>
      <c r="N107" s="69" t="n">
        <f aca="false">TblImps[[#This Row],[Land]]</f>
        <v>700</v>
      </c>
      <c r="O107" s="338" t="s">
        <v>97</v>
      </c>
      <c r="P107" s="339"/>
      <c r="Q107" s="338" t="s">
        <v>734</v>
      </c>
      <c r="R107" s="338" t="s">
        <v>93</v>
      </c>
      <c r="S107" s="339"/>
      <c r="T107" s="338" t="s">
        <v>734</v>
      </c>
      <c r="U107" s="338" t="s">
        <v>35</v>
      </c>
      <c r="V107" s="339"/>
      <c r="W107" s="338" t="s">
        <v>734</v>
      </c>
      <c r="X107" s="132"/>
      <c r="Y107" s="340" t="n">
        <f aca="false">science_cap*(1-EXP(-TblImps[[#This Row],[Σ Science]]/(science_param*(OFFSET(TblImps[[#This Row],[Land]],1,0)-OFFSET(TblExplore[[#This Row],[Land Bonus]],1,0)*20)+15000)))*(1+(mason_bonus*TblConstr[[#This Row],[Tot Mas]]/TblConstr[[#This Row],[Land (2)]]))</f>
        <v>0</v>
      </c>
      <c r="Z107" s="340" t="n">
        <f aca="false">keep_cap*(1-EXP(-TblImps[[#This Row],[Σ Keep]]/(keep_param*(OFFSET(TblImps[[#This Row],[Land]],1,0)-OFFSET(TblExplore[[#This Row],[Land Bonus]],1,0)*20)+15000)))*(1+(mason_bonus*TblConstr[[#This Row],[Tot Mas]]/TblConstr[[#This Row],[Land (2)]]))</f>
        <v>0</v>
      </c>
      <c r="AA107" s="340" t="n">
        <f aca="false">harbor_towers_cap*(1-EXP(-TblImps[[#This Row],[Σ Towers]]/(towers_param*(OFFSET(TblImps[[#This Row],[Land]],1,0)-OFFSET(TblExplore[[#This Row],[Land Bonus]],1,0)*20)+15000)))*(1+(mason_bonus*TblConstr[[#This Row],[Tot Mas]]/TblConstr[[#This Row],[Land (2)]]))</f>
        <v>0</v>
      </c>
      <c r="AB107" s="340" t="n">
        <f aca="false">walls_forges_cap*(1-EXP(-TblImps[[#This Row],[Σ Forges]]/(walls_forges_param*(OFFSET(TblImps[[#This Row],[Land]],1,0)-OFFSET(TblExplore[[#This Row],[Land Bonus]],1,0)*20)+15000)))*(1+(mason_bonus*TblConstr[[#This Row],[Tot Mas]]/TblConstr[[#This Row],[Land (2)]]))</f>
        <v>0</v>
      </c>
      <c r="AC107" s="340" t="n">
        <f aca="false">walls_forges_cap*(1-EXP(-TblImps[[#This Row],[Σ Walls]]/(walls_forges_param*(OFFSET(TblImps[[#This Row],[Land]],1,0)-OFFSET(TblExplore[[#This Row],[Land Bonus]],1,0)*20)+15000)))*(1+(mason_bonus*TblConstr[[#This Row],[Tot Mas]]/TblConstr[[#This Row],[Land (2)]]))</f>
        <v>0</v>
      </c>
      <c r="AD107" s="340" t="n">
        <f aca="false">harbor_towers_cap*(1-EXP(-TblImps[[#This Row],[Σ Irrigation]]/(harbor_towers_param*(OFFSET(TblImps[[#This Row],[Land]],1,0)-OFFSET(TblExplore[[#This Row],[Land Bonus]],1,0)*20)+15000)))*(1+(mason_bonus*TblConstr[[#This Row],[Tot Mas]]/TblConstr[[#This Row],[Land (2)]]))</f>
        <v>0</v>
      </c>
      <c r="AE107" s="132"/>
      <c r="AF107" s="33" t="n">
        <f aca="false">(1+Overview!$I$28)*SUM(TblImps[[#This Row],[P2]:[G2]])+OFFSET(TblImps[[#This Row],[Σ Science]],-1,0)</f>
        <v>0</v>
      </c>
      <c r="AG107" s="33" t="n">
        <f aca="false">(1+Overview!$I$28)*SUM(TblImps[[#This Row],[P3]:[G3]])+OFFSET(TblImps[[#This Row],[Σ Keep]],-1,0)</f>
        <v>0</v>
      </c>
      <c r="AH107" s="33" t="n">
        <f aca="false">(1+Overview!$I$28 + tech_7_1*TblTech[[#This Row],[7-1]])*SUM(TblImps[[#This Row],[P4]:[G4]])+OFFSET(TblImps[[#This Row],[Σ Towers]],-1,0)</f>
        <v>0</v>
      </c>
      <c r="AI107" s="33" t="n">
        <f aca="false">(1+Overview!$I$28)*SUM(TblImps[[#This Row],[P5]:[G5]])+OFFSET(TblImps[[#This Row],[Σ Forges]],-1,0)</f>
        <v>0</v>
      </c>
      <c r="AJ107" s="33" t="n">
        <f aca="false">(1+Overview!$I$28)*SUM(TblImps[[#This Row],[P6]:[G6]])+OFFSET(TblImps[[#This Row],[Σ Walls]],-1,0)</f>
        <v>0</v>
      </c>
      <c r="AK107" s="33" t="n">
        <f aca="false">(1+Overview!$I$28 + tech_7_1*TblTech[[#This Row],[7-1]])*SUM(TblImps[[#This Row],[P7]:[G7]])+OFFSET(TblImps[[#This Row],[Σ Irrigation]],-1,0)</f>
        <v>0</v>
      </c>
      <c r="AL107" s="132"/>
      <c r="AM107" s="26" t="n">
        <f aca="false">IF(AND(TblImps[[#This Row],[Resource]]=AM$2,TblImps[[#This Row],[Part]]&lt;&gt;""),TblImps[[#This Row],[Amount]]) + IF(AND(TblImps[[#This Row],[Resource 2]]=AM$2,TblImps[[#This Row],[Part 2]]&lt;&gt;""),TblImps[[#This Row],[Amount 2]]) + IF(AND(TblImps[[#This Row],[Resource 3]]=AM$2,TblImps[[#This Row],[Part 3]]&lt;&gt;""),TblImps[[#This Row],[Amount 3]])</f>
        <v>0</v>
      </c>
      <c r="AN107" s="26" t="n">
        <f aca="false">IF(AND(TblImps[[#This Row],[Resource]]=AN$2,TblImps[[#This Row],[Part]]&lt;&gt;""),TblImps[[#This Row],[Amount]]) + IF(AND(TblImps[[#This Row],[Resource 2]]=AN$2,TblImps[[#This Row],[Part 2]]&lt;&gt;""),TblImps[[#This Row],[Amount 2]]) + IF(AND(TblImps[[#This Row],[Resource 3]]=AN$2,TblImps[[#This Row],[Part 3]]&lt;&gt;""),TblImps[[#This Row],[Amount 3]])</f>
        <v>0</v>
      </c>
      <c r="AO107" s="26" t="n">
        <f aca="false">IF(AND(TblImps[[#This Row],[Resource]]=AO$2,TblImps[[#This Row],[Part]]&lt;&gt;""),TblImps[[#This Row],[Amount]]) + IF(AND(TblImps[[#This Row],[Resource 2]]=AO$2,TblImps[[#This Row],[Part 2]]&lt;&gt;""),TblImps[[#This Row],[Amount 2]]) + IF(AND(TblImps[[#This Row],[Resource 3]]=AO$2,TblImps[[#This Row],[Part 3]]&lt;&gt;""),TblImps[[#This Row],[Amount 3]])</f>
        <v>0</v>
      </c>
      <c r="AP107" s="26" t="n">
        <f aca="false">IF(AND(TblImps[[#This Row],[Resource]]=AP$2,TblImps[[#This Row],[Part]]&lt;&gt;""),TblImps[[#This Row],[Amount]]) + IF(AND(TblImps[[#This Row],[Resource 2]]=AP$2,TblImps[[#This Row],[Part 2]]&lt;&gt;""),TblImps[[#This Row],[Amount 2]]) + IF(AND(TblImps[[#This Row],[Resource 3]]=AP$2,TblImps[[#This Row],[Part 3]]&lt;&gt;""),TblImps[[#This Row],[Amount 3]])</f>
        <v>0</v>
      </c>
      <c r="AQ107" s="132"/>
      <c r="AR10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32"/>
      <c r="AW10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32"/>
      <c r="BB10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32"/>
      <c r="BG10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32"/>
      <c r="BL10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32"/>
      <c r="BQ10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32"/>
      <c r="BV107"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33" t="n">
        <f aca="false">TblImps[[#This Row],[Login]]</f>
        <v>0</v>
      </c>
      <c r="BX107" s="128"/>
      <c r="BY107" s="347" t="n">
        <f aca="false">OFFSET(TblImps[[#This Row],[Real time]],-1,0)+1/24</f>
        <v>45434.0416666667</v>
      </c>
      <c r="BZ107" s="348" t="n">
        <f aca="false">OFFSET(TblImps[[#This Row],[Servertime]],-1,0)+1/24</f>
        <v>45434.2916666667</v>
      </c>
      <c r="CA107" s="26"/>
      <c r="CB107" s="346"/>
      <c r="CC107" s="346"/>
      <c r="CD107" s="1" t="s">
        <v>733</v>
      </c>
    </row>
    <row r="108" customFormat="false" ht="12.75" hidden="false" customHeight="false" outlineLevel="0" collapsed="false">
      <c r="A108" s="181" t="n">
        <f aca="false">TblConstr[[#This Row],[Land]]</f>
        <v>700</v>
      </c>
      <c r="B108" s="132"/>
      <c r="C108" s="69" t="n">
        <f aca="false">TblProd[[#This Row],[Platinum]]</f>
        <v>1345712</v>
      </c>
      <c r="D108" s="69" t="n">
        <f aca="false">TblProd[[#This Row],[Lumber]]</f>
        <v>41122</v>
      </c>
      <c r="E108" s="69" t="n">
        <f aca="false">TblProd[[#This Row],[Ore]]</f>
        <v>0</v>
      </c>
      <c r="F108" s="69" t="n">
        <f aca="false">TblProd[[#This Row],[Gems]]</f>
        <v>0</v>
      </c>
      <c r="G108" s="146"/>
      <c r="H108" s="69" t="n">
        <f aca="false">TblMili[[#This Row],[Draftees]]</f>
        <v>2455</v>
      </c>
      <c r="I108" s="130" t="n">
        <f aca="false">TblPop[[#This Row],[Employment]]</f>
        <v>1</v>
      </c>
      <c r="J108" s="130" t="n">
        <f aca="false">TblPop[[#This Row],[Total]]/TblPop[[#This Row],[Net max]]</f>
        <v>1</v>
      </c>
      <c r="K108" s="336" t="n">
        <f aca="false">TblRezone[[#This Row],[Hour]]</f>
        <v>105</v>
      </c>
      <c r="L108" s="337" t="n">
        <f aca="false">TblImps[[#This Row],[Real time]]</f>
        <v>45434.0833333333</v>
      </c>
      <c r="M108" s="33" t="n">
        <f aca="false">IF(ISERROR(TblImps[[#This Row],[algorithm]]),0,TblImps[[#This Row],[algorithm]]*1)</f>
        <v>0</v>
      </c>
      <c r="N108" s="69" t="n">
        <f aca="false">TblImps[[#This Row],[Land]]</f>
        <v>700</v>
      </c>
      <c r="O108" s="338" t="s">
        <v>97</v>
      </c>
      <c r="P108" s="339"/>
      <c r="Q108" s="338" t="s">
        <v>734</v>
      </c>
      <c r="R108" s="338" t="s">
        <v>93</v>
      </c>
      <c r="S108" s="339"/>
      <c r="T108" s="338" t="s">
        <v>734</v>
      </c>
      <c r="U108" s="338" t="s">
        <v>35</v>
      </c>
      <c r="V108" s="339"/>
      <c r="W108" s="338" t="s">
        <v>734</v>
      </c>
      <c r="X108" s="132"/>
      <c r="Y108" s="340" t="n">
        <f aca="false">science_cap*(1-EXP(-TblImps[[#This Row],[Σ Science]]/(science_param*(OFFSET(TblImps[[#This Row],[Land]],1,0)-OFFSET(TblExplore[[#This Row],[Land Bonus]],1,0)*20)+15000)))*(1+(mason_bonus*TblConstr[[#This Row],[Tot Mas]]/TblConstr[[#This Row],[Land (2)]]))</f>
        <v>0</v>
      </c>
      <c r="Z108" s="340" t="n">
        <f aca="false">keep_cap*(1-EXP(-TblImps[[#This Row],[Σ Keep]]/(keep_param*(OFFSET(TblImps[[#This Row],[Land]],1,0)-OFFSET(TblExplore[[#This Row],[Land Bonus]],1,0)*20)+15000)))*(1+(mason_bonus*TblConstr[[#This Row],[Tot Mas]]/TblConstr[[#This Row],[Land (2)]]))</f>
        <v>0</v>
      </c>
      <c r="AA108" s="340" t="n">
        <f aca="false">harbor_towers_cap*(1-EXP(-TblImps[[#This Row],[Σ Towers]]/(towers_param*(OFFSET(TblImps[[#This Row],[Land]],1,0)-OFFSET(TblExplore[[#This Row],[Land Bonus]],1,0)*20)+15000)))*(1+(mason_bonus*TblConstr[[#This Row],[Tot Mas]]/TblConstr[[#This Row],[Land (2)]]))</f>
        <v>0</v>
      </c>
      <c r="AB108" s="340" t="n">
        <f aca="false">walls_forges_cap*(1-EXP(-TblImps[[#This Row],[Σ Forges]]/(walls_forges_param*(OFFSET(TblImps[[#This Row],[Land]],1,0)-OFFSET(TblExplore[[#This Row],[Land Bonus]],1,0)*20)+15000)))*(1+(mason_bonus*TblConstr[[#This Row],[Tot Mas]]/TblConstr[[#This Row],[Land (2)]]))</f>
        <v>0</v>
      </c>
      <c r="AC108" s="340" t="n">
        <f aca="false">walls_forges_cap*(1-EXP(-TblImps[[#This Row],[Σ Walls]]/(walls_forges_param*(OFFSET(TblImps[[#This Row],[Land]],1,0)-OFFSET(TblExplore[[#This Row],[Land Bonus]],1,0)*20)+15000)))*(1+(mason_bonus*TblConstr[[#This Row],[Tot Mas]]/TblConstr[[#This Row],[Land (2)]]))</f>
        <v>0</v>
      </c>
      <c r="AD108" s="340" t="n">
        <f aca="false">harbor_towers_cap*(1-EXP(-TblImps[[#This Row],[Σ Irrigation]]/(harbor_towers_param*(OFFSET(TblImps[[#This Row],[Land]],1,0)-OFFSET(TblExplore[[#This Row],[Land Bonus]],1,0)*20)+15000)))*(1+(mason_bonus*TblConstr[[#This Row],[Tot Mas]]/TblConstr[[#This Row],[Land (2)]]))</f>
        <v>0</v>
      </c>
      <c r="AE108" s="132"/>
      <c r="AF108" s="33" t="n">
        <f aca="false">(1+Overview!$I$28)*SUM(TblImps[[#This Row],[P2]:[G2]])+OFFSET(TblImps[[#This Row],[Σ Science]],-1,0)</f>
        <v>0</v>
      </c>
      <c r="AG108" s="33" t="n">
        <f aca="false">(1+Overview!$I$28)*SUM(TblImps[[#This Row],[P3]:[G3]])+OFFSET(TblImps[[#This Row],[Σ Keep]],-1,0)</f>
        <v>0</v>
      </c>
      <c r="AH108" s="33" t="n">
        <f aca="false">(1+Overview!$I$28 + tech_7_1*TblTech[[#This Row],[7-1]])*SUM(TblImps[[#This Row],[P4]:[G4]])+OFFSET(TblImps[[#This Row],[Σ Towers]],-1,0)</f>
        <v>0</v>
      </c>
      <c r="AI108" s="33" t="n">
        <f aca="false">(1+Overview!$I$28)*SUM(TblImps[[#This Row],[P5]:[G5]])+OFFSET(TblImps[[#This Row],[Σ Forges]],-1,0)</f>
        <v>0</v>
      </c>
      <c r="AJ108" s="33" t="n">
        <f aca="false">(1+Overview!$I$28)*SUM(TblImps[[#This Row],[P6]:[G6]])+OFFSET(TblImps[[#This Row],[Σ Walls]],-1,0)</f>
        <v>0</v>
      </c>
      <c r="AK108" s="33" t="n">
        <f aca="false">(1+Overview!$I$28 + tech_7_1*TblTech[[#This Row],[7-1]])*SUM(TblImps[[#This Row],[P7]:[G7]])+OFFSET(TblImps[[#This Row],[Σ Irrigation]],-1,0)</f>
        <v>0</v>
      </c>
      <c r="AL108" s="132"/>
      <c r="AM108" s="26" t="n">
        <f aca="false">IF(AND(TblImps[[#This Row],[Resource]]=AM$2,TblImps[[#This Row],[Part]]&lt;&gt;""),TblImps[[#This Row],[Amount]]) + IF(AND(TblImps[[#This Row],[Resource 2]]=AM$2,TblImps[[#This Row],[Part 2]]&lt;&gt;""),TblImps[[#This Row],[Amount 2]]) + IF(AND(TblImps[[#This Row],[Resource 3]]=AM$2,TblImps[[#This Row],[Part 3]]&lt;&gt;""),TblImps[[#This Row],[Amount 3]])</f>
        <v>0</v>
      </c>
      <c r="AN108" s="26" t="n">
        <f aca="false">IF(AND(TblImps[[#This Row],[Resource]]=AN$2,TblImps[[#This Row],[Part]]&lt;&gt;""),TblImps[[#This Row],[Amount]]) + IF(AND(TblImps[[#This Row],[Resource 2]]=AN$2,TblImps[[#This Row],[Part 2]]&lt;&gt;""),TblImps[[#This Row],[Amount 2]]) + IF(AND(TblImps[[#This Row],[Resource 3]]=AN$2,TblImps[[#This Row],[Part 3]]&lt;&gt;""),TblImps[[#This Row],[Amount 3]])</f>
        <v>0</v>
      </c>
      <c r="AO108" s="26" t="n">
        <f aca="false">IF(AND(TblImps[[#This Row],[Resource]]=AO$2,TblImps[[#This Row],[Part]]&lt;&gt;""),TblImps[[#This Row],[Amount]]) + IF(AND(TblImps[[#This Row],[Resource 2]]=AO$2,TblImps[[#This Row],[Part 2]]&lt;&gt;""),TblImps[[#This Row],[Amount 2]]) + IF(AND(TblImps[[#This Row],[Resource 3]]=AO$2,TblImps[[#This Row],[Part 3]]&lt;&gt;""),TblImps[[#This Row],[Amount 3]])</f>
        <v>0</v>
      </c>
      <c r="AP108" s="26" t="n">
        <f aca="false">IF(AND(TblImps[[#This Row],[Resource]]=AP$2,TblImps[[#This Row],[Part]]&lt;&gt;""),TblImps[[#This Row],[Amount]]) + IF(AND(TblImps[[#This Row],[Resource 2]]=AP$2,TblImps[[#This Row],[Part 2]]&lt;&gt;""),TblImps[[#This Row],[Amount 2]]) + IF(AND(TblImps[[#This Row],[Resource 3]]=AP$2,TblImps[[#This Row],[Part 3]]&lt;&gt;""),TblImps[[#This Row],[Amount 3]])</f>
        <v>0</v>
      </c>
      <c r="AQ108" s="132"/>
      <c r="AR10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32"/>
      <c r="AW10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32"/>
      <c r="BB10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32"/>
      <c r="BG10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32"/>
      <c r="BL10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32"/>
      <c r="BQ10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32"/>
      <c r="BV108"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33" t="n">
        <f aca="false">TblImps[[#This Row],[Login]]</f>
        <v>0</v>
      </c>
      <c r="BX108" s="128"/>
      <c r="BY108" s="347" t="n">
        <f aca="false">OFFSET(TblImps[[#This Row],[Real time]],-1,0)+1/24</f>
        <v>45434.0833333333</v>
      </c>
      <c r="BZ108" s="348" t="n">
        <f aca="false">OFFSET(TblImps[[#This Row],[Servertime]],-1,0)+1/24</f>
        <v>45434.3333333333</v>
      </c>
      <c r="CA108" s="26"/>
      <c r="CB108" s="346"/>
      <c r="CC108" s="346"/>
      <c r="CD108" s="1" t="s">
        <v>734</v>
      </c>
    </row>
    <row r="109" customFormat="false" ht="12.75" hidden="false" customHeight="false" outlineLevel="0" collapsed="false">
      <c r="A109" s="181" t="n">
        <f aca="false">TblConstr[[#This Row],[Land]]</f>
        <v>700</v>
      </c>
      <c r="B109" s="132"/>
      <c r="C109" s="69" t="n">
        <f aca="false">TblProd[[#This Row],[Platinum]]</f>
        <v>1384819</v>
      </c>
      <c r="D109" s="69" t="n">
        <f aca="false">TblProd[[#This Row],[Lumber]]</f>
        <v>41836</v>
      </c>
      <c r="E109" s="69" t="n">
        <f aca="false">TblProd[[#This Row],[Ore]]</f>
        <v>0</v>
      </c>
      <c r="F109" s="69" t="n">
        <f aca="false">TblProd[[#This Row],[Gems]]</f>
        <v>0</v>
      </c>
      <c r="G109" s="146"/>
      <c r="H109" s="69" t="n">
        <f aca="false">TblMili[[#This Row],[Draftees]]</f>
        <v>2528</v>
      </c>
      <c r="I109" s="130" t="n">
        <f aca="false">TblPop[[#This Row],[Employment]]</f>
        <v>1</v>
      </c>
      <c r="J109" s="130" t="n">
        <f aca="false">TblPop[[#This Row],[Total]]/TblPop[[#This Row],[Net max]]</f>
        <v>1</v>
      </c>
      <c r="K109" s="336" t="n">
        <f aca="false">TblRezone[[#This Row],[Hour]]</f>
        <v>106</v>
      </c>
      <c r="L109" s="337" t="n">
        <f aca="false">TblImps[[#This Row],[Real time]]</f>
        <v>45434.125</v>
      </c>
      <c r="M109" s="33" t="n">
        <f aca="false">IF(ISERROR(TblImps[[#This Row],[algorithm]]),0,TblImps[[#This Row],[algorithm]]*1)</f>
        <v>0</v>
      </c>
      <c r="N109" s="69" t="n">
        <f aca="false">TblImps[[#This Row],[Land]]</f>
        <v>700</v>
      </c>
      <c r="O109" s="338" t="s">
        <v>97</v>
      </c>
      <c r="P109" s="339"/>
      <c r="Q109" s="338" t="s">
        <v>734</v>
      </c>
      <c r="R109" s="338" t="s">
        <v>93</v>
      </c>
      <c r="S109" s="339"/>
      <c r="T109" s="338" t="s">
        <v>734</v>
      </c>
      <c r="U109" s="338" t="s">
        <v>35</v>
      </c>
      <c r="V109" s="339"/>
      <c r="W109" s="338" t="s">
        <v>734</v>
      </c>
      <c r="X109" s="132"/>
      <c r="Y109" s="340" t="n">
        <f aca="false">science_cap*(1-EXP(-TblImps[[#This Row],[Σ Science]]/(science_param*(OFFSET(TblImps[[#This Row],[Land]],1,0)-OFFSET(TblExplore[[#This Row],[Land Bonus]],1,0)*20)+15000)))*(1+(mason_bonus*TblConstr[[#This Row],[Tot Mas]]/TblConstr[[#This Row],[Land (2)]]))</f>
        <v>0</v>
      </c>
      <c r="Z109" s="340" t="n">
        <f aca="false">keep_cap*(1-EXP(-TblImps[[#This Row],[Σ Keep]]/(keep_param*(OFFSET(TblImps[[#This Row],[Land]],1,0)-OFFSET(TblExplore[[#This Row],[Land Bonus]],1,0)*20)+15000)))*(1+(mason_bonus*TblConstr[[#This Row],[Tot Mas]]/TblConstr[[#This Row],[Land (2)]]))</f>
        <v>0</v>
      </c>
      <c r="AA109" s="340" t="n">
        <f aca="false">harbor_towers_cap*(1-EXP(-TblImps[[#This Row],[Σ Towers]]/(towers_param*(OFFSET(TblImps[[#This Row],[Land]],1,0)-OFFSET(TblExplore[[#This Row],[Land Bonus]],1,0)*20)+15000)))*(1+(mason_bonus*TblConstr[[#This Row],[Tot Mas]]/TblConstr[[#This Row],[Land (2)]]))</f>
        <v>0</v>
      </c>
      <c r="AB109" s="340" t="n">
        <f aca="false">walls_forges_cap*(1-EXP(-TblImps[[#This Row],[Σ Forges]]/(walls_forges_param*(OFFSET(TblImps[[#This Row],[Land]],1,0)-OFFSET(TblExplore[[#This Row],[Land Bonus]],1,0)*20)+15000)))*(1+(mason_bonus*TblConstr[[#This Row],[Tot Mas]]/TblConstr[[#This Row],[Land (2)]]))</f>
        <v>0</v>
      </c>
      <c r="AC109" s="340" t="n">
        <f aca="false">walls_forges_cap*(1-EXP(-TblImps[[#This Row],[Σ Walls]]/(walls_forges_param*(OFFSET(TblImps[[#This Row],[Land]],1,0)-OFFSET(TblExplore[[#This Row],[Land Bonus]],1,0)*20)+15000)))*(1+(mason_bonus*TblConstr[[#This Row],[Tot Mas]]/TblConstr[[#This Row],[Land (2)]]))</f>
        <v>0</v>
      </c>
      <c r="AD109" s="340" t="n">
        <f aca="false">harbor_towers_cap*(1-EXP(-TblImps[[#This Row],[Σ Irrigation]]/(harbor_towers_param*(OFFSET(TblImps[[#This Row],[Land]],1,0)-OFFSET(TblExplore[[#This Row],[Land Bonus]],1,0)*20)+15000)))*(1+(mason_bonus*TblConstr[[#This Row],[Tot Mas]]/TblConstr[[#This Row],[Land (2)]]))</f>
        <v>0</v>
      </c>
      <c r="AE109" s="132"/>
      <c r="AF109" s="33" t="n">
        <f aca="false">(1+Overview!$I$28)*SUM(TblImps[[#This Row],[P2]:[G2]])+OFFSET(TblImps[[#This Row],[Σ Science]],-1,0)</f>
        <v>0</v>
      </c>
      <c r="AG109" s="33" t="n">
        <f aca="false">(1+Overview!$I$28)*SUM(TblImps[[#This Row],[P3]:[G3]])+OFFSET(TblImps[[#This Row],[Σ Keep]],-1,0)</f>
        <v>0</v>
      </c>
      <c r="AH109" s="33" t="n">
        <f aca="false">(1+Overview!$I$28 + tech_7_1*TblTech[[#This Row],[7-1]])*SUM(TblImps[[#This Row],[P4]:[G4]])+OFFSET(TblImps[[#This Row],[Σ Towers]],-1,0)</f>
        <v>0</v>
      </c>
      <c r="AI109" s="33" t="n">
        <f aca="false">(1+Overview!$I$28)*SUM(TblImps[[#This Row],[P5]:[G5]])+OFFSET(TblImps[[#This Row],[Σ Forges]],-1,0)</f>
        <v>0</v>
      </c>
      <c r="AJ109" s="33" t="n">
        <f aca="false">(1+Overview!$I$28)*SUM(TblImps[[#This Row],[P6]:[G6]])+OFFSET(TblImps[[#This Row],[Σ Walls]],-1,0)</f>
        <v>0</v>
      </c>
      <c r="AK109" s="33" t="n">
        <f aca="false">(1+Overview!$I$28 + tech_7_1*TblTech[[#This Row],[7-1]])*SUM(TblImps[[#This Row],[P7]:[G7]])+OFFSET(TblImps[[#This Row],[Σ Irrigation]],-1,0)</f>
        <v>0</v>
      </c>
      <c r="AL109" s="132"/>
      <c r="AM109" s="26" t="n">
        <f aca="false">IF(AND(TblImps[[#This Row],[Resource]]=AM$2,TblImps[[#This Row],[Part]]&lt;&gt;""),TblImps[[#This Row],[Amount]]) + IF(AND(TblImps[[#This Row],[Resource 2]]=AM$2,TblImps[[#This Row],[Part 2]]&lt;&gt;""),TblImps[[#This Row],[Amount 2]]) + IF(AND(TblImps[[#This Row],[Resource 3]]=AM$2,TblImps[[#This Row],[Part 3]]&lt;&gt;""),TblImps[[#This Row],[Amount 3]])</f>
        <v>0</v>
      </c>
      <c r="AN109" s="26" t="n">
        <f aca="false">IF(AND(TblImps[[#This Row],[Resource]]=AN$2,TblImps[[#This Row],[Part]]&lt;&gt;""),TblImps[[#This Row],[Amount]]) + IF(AND(TblImps[[#This Row],[Resource 2]]=AN$2,TblImps[[#This Row],[Part 2]]&lt;&gt;""),TblImps[[#This Row],[Amount 2]]) + IF(AND(TblImps[[#This Row],[Resource 3]]=AN$2,TblImps[[#This Row],[Part 3]]&lt;&gt;""),TblImps[[#This Row],[Amount 3]])</f>
        <v>0</v>
      </c>
      <c r="AO109" s="26" t="n">
        <f aca="false">IF(AND(TblImps[[#This Row],[Resource]]=AO$2,TblImps[[#This Row],[Part]]&lt;&gt;""),TblImps[[#This Row],[Amount]]) + IF(AND(TblImps[[#This Row],[Resource 2]]=AO$2,TblImps[[#This Row],[Part 2]]&lt;&gt;""),TblImps[[#This Row],[Amount 2]]) + IF(AND(TblImps[[#This Row],[Resource 3]]=AO$2,TblImps[[#This Row],[Part 3]]&lt;&gt;""),TblImps[[#This Row],[Amount 3]])</f>
        <v>0</v>
      </c>
      <c r="AP109" s="26" t="n">
        <f aca="false">IF(AND(TblImps[[#This Row],[Resource]]=AP$2,TblImps[[#This Row],[Part]]&lt;&gt;""),TblImps[[#This Row],[Amount]]) + IF(AND(TblImps[[#This Row],[Resource 2]]=AP$2,TblImps[[#This Row],[Part 2]]&lt;&gt;""),TblImps[[#This Row],[Amount 2]]) + IF(AND(TblImps[[#This Row],[Resource 3]]=AP$2,TblImps[[#This Row],[Part 3]]&lt;&gt;""),TblImps[[#This Row],[Amount 3]])</f>
        <v>0</v>
      </c>
      <c r="AQ109" s="132"/>
      <c r="AR10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32"/>
      <c r="AW10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32"/>
      <c r="BB10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32"/>
      <c r="BG10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32"/>
      <c r="BL10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32"/>
      <c r="BQ10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32"/>
      <c r="BV109"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33" t="n">
        <f aca="false">TblImps[[#This Row],[Login]]</f>
        <v>0</v>
      </c>
      <c r="BX109" s="128"/>
      <c r="BY109" s="347" t="n">
        <f aca="false">OFFSET(TblImps[[#This Row],[Real time]],-1,0)+1/24</f>
        <v>45434.125</v>
      </c>
      <c r="BZ109" s="348" t="n">
        <f aca="false">OFFSET(TblImps[[#This Row],[Servertime]],-1,0)+1/24</f>
        <v>45434.375</v>
      </c>
      <c r="CA109" s="26"/>
      <c r="CB109" s="346"/>
      <c r="CC109" s="346"/>
      <c r="CD109" s="1" t="s">
        <v>735</v>
      </c>
    </row>
    <row r="110" customFormat="false" ht="12.75" hidden="false" customHeight="false" outlineLevel="0" collapsed="false">
      <c r="A110" s="181" t="n">
        <f aca="false">TblConstr[[#This Row],[Land]]</f>
        <v>700</v>
      </c>
      <c r="B110" s="132"/>
      <c r="C110" s="69" t="n">
        <f aca="false">TblProd[[#This Row],[Platinum]]</f>
        <v>1423709</v>
      </c>
      <c r="D110" s="69" t="n">
        <f aca="false">TblProd[[#This Row],[Lumber]]</f>
        <v>42543</v>
      </c>
      <c r="E110" s="69" t="n">
        <f aca="false">TblProd[[#This Row],[Ore]]</f>
        <v>0</v>
      </c>
      <c r="F110" s="69" t="n">
        <f aca="false">TblProd[[#This Row],[Gems]]</f>
        <v>0</v>
      </c>
      <c r="G110" s="146"/>
      <c r="H110" s="69" t="n">
        <f aca="false">TblMili[[#This Row],[Draftees]]</f>
        <v>2600</v>
      </c>
      <c r="I110" s="130" t="n">
        <f aca="false">TblPop[[#This Row],[Employment]]</f>
        <v>1</v>
      </c>
      <c r="J110" s="130" t="n">
        <f aca="false">TblPop[[#This Row],[Total]]/TblPop[[#This Row],[Net max]]</f>
        <v>1</v>
      </c>
      <c r="K110" s="336" t="n">
        <f aca="false">TblRezone[[#This Row],[Hour]]</f>
        <v>107</v>
      </c>
      <c r="L110" s="337" t="n">
        <f aca="false">TblImps[[#This Row],[Real time]]</f>
        <v>45434.1666666667</v>
      </c>
      <c r="M110" s="33" t="n">
        <f aca="false">IF(ISERROR(TblImps[[#This Row],[algorithm]]),0,TblImps[[#This Row],[algorithm]]*1)</f>
        <v>0</v>
      </c>
      <c r="N110" s="69" t="n">
        <f aca="false">TblImps[[#This Row],[Land]]</f>
        <v>700</v>
      </c>
      <c r="O110" s="338" t="s">
        <v>97</v>
      </c>
      <c r="P110" s="339"/>
      <c r="Q110" s="338" t="s">
        <v>734</v>
      </c>
      <c r="R110" s="338" t="s">
        <v>93</v>
      </c>
      <c r="S110" s="339"/>
      <c r="T110" s="338" t="s">
        <v>734</v>
      </c>
      <c r="U110" s="338" t="s">
        <v>35</v>
      </c>
      <c r="V110" s="339"/>
      <c r="W110" s="338" t="s">
        <v>734</v>
      </c>
      <c r="X110" s="132"/>
      <c r="Y110" s="340" t="n">
        <f aca="false">science_cap*(1-EXP(-TblImps[[#This Row],[Σ Science]]/(science_param*(OFFSET(TblImps[[#This Row],[Land]],1,0)-OFFSET(TblExplore[[#This Row],[Land Bonus]],1,0)*20)+15000)))*(1+(mason_bonus*TblConstr[[#This Row],[Tot Mas]]/TblConstr[[#This Row],[Land (2)]]))</f>
        <v>0</v>
      </c>
      <c r="Z110" s="340" t="n">
        <f aca="false">keep_cap*(1-EXP(-TblImps[[#This Row],[Σ Keep]]/(keep_param*(OFFSET(TblImps[[#This Row],[Land]],1,0)-OFFSET(TblExplore[[#This Row],[Land Bonus]],1,0)*20)+15000)))*(1+(mason_bonus*TblConstr[[#This Row],[Tot Mas]]/TblConstr[[#This Row],[Land (2)]]))</f>
        <v>0</v>
      </c>
      <c r="AA110" s="340" t="n">
        <f aca="false">harbor_towers_cap*(1-EXP(-TblImps[[#This Row],[Σ Towers]]/(towers_param*(OFFSET(TblImps[[#This Row],[Land]],1,0)-OFFSET(TblExplore[[#This Row],[Land Bonus]],1,0)*20)+15000)))*(1+(mason_bonus*TblConstr[[#This Row],[Tot Mas]]/TblConstr[[#This Row],[Land (2)]]))</f>
        <v>0</v>
      </c>
      <c r="AB110" s="340" t="n">
        <f aca="false">walls_forges_cap*(1-EXP(-TblImps[[#This Row],[Σ Forges]]/(walls_forges_param*(OFFSET(TblImps[[#This Row],[Land]],1,0)-OFFSET(TblExplore[[#This Row],[Land Bonus]],1,0)*20)+15000)))*(1+(mason_bonus*TblConstr[[#This Row],[Tot Mas]]/TblConstr[[#This Row],[Land (2)]]))</f>
        <v>0</v>
      </c>
      <c r="AC110" s="340" t="n">
        <f aca="false">walls_forges_cap*(1-EXP(-TblImps[[#This Row],[Σ Walls]]/(walls_forges_param*(OFFSET(TblImps[[#This Row],[Land]],1,0)-OFFSET(TblExplore[[#This Row],[Land Bonus]],1,0)*20)+15000)))*(1+(mason_bonus*TblConstr[[#This Row],[Tot Mas]]/TblConstr[[#This Row],[Land (2)]]))</f>
        <v>0</v>
      </c>
      <c r="AD110" s="340" t="n">
        <f aca="false">harbor_towers_cap*(1-EXP(-TblImps[[#This Row],[Σ Irrigation]]/(harbor_towers_param*(OFFSET(TblImps[[#This Row],[Land]],1,0)-OFFSET(TblExplore[[#This Row],[Land Bonus]],1,0)*20)+15000)))*(1+(mason_bonus*TblConstr[[#This Row],[Tot Mas]]/TblConstr[[#This Row],[Land (2)]]))</f>
        <v>0</v>
      </c>
      <c r="AE110" s="132"/>
      <c r="AF110" s="33" t="n">
        <f aca="false">(1+Overview!$I$28)*SUM(TblImps[[#This Row],[P2]:[G2]])+OFFSET(TblImps[[#This Row],[Σ Science]],-1,0)</f>
        <v>0</v>
      </c>
      <c r="AG110" s="33" t="n">
        <f aca="false">(1+Overview!$I$28)*SUM(TblImps[[#This Row],[P3]:[G3]])+OFFSET(TblImps[[#This Row],[Σ Keep]],-1,0)</f>
        <v>0</v>
      </c>
      <c r="AH110" s="33" t="n">
        <f aca="false">(1+Overview!$I$28 + tech_7_1*TblTech[[#This Row],[7-1]])*SUM(TblImps[[#This Row],[P4]:[G4]])+OFFSET(TblImps[[#This Row],[Σ Towers]],-1,0)</f>
        <v>0</v>
      </c>
      <c r="AI110" s="33" t="n">
        <f aca="false">(1+Overview!$I$28)*SUM(TblImps[[#This Row],[P5]:[G5]])+OFFSET(TblImps[[#This Row],[Σ Forges]],-1,0)</f>
        <v>0</v>
      </c>
      <c r="AJ110" s="33" t="n">
        <f aca="false">(1+Overview!$I$28)*SUM(TblImps[[#This Row],[P6]:[G6]])+OFFSET(TblImps[[#This Row],[Σ Walls]],-1,0)</f>
        <v>0</v>
      </c>
      <c r="AK110" s="33" t="n">
        <f aca="false">(1+Overview!$I$28 + tech_7_1*TblTech[[#This Row],[7-1]])*SUM(TblImps[[#This Row],[P7]:[G7]])+OFFSET(TblImps[[#This Row],[Σ Irrigation]],-1,0)</f>
        <v>0</v>
      </c>
      <c r="AL110" s="132"/>
      <c r="AM110" s="26" t="n">
        <f aca="false">IF(AND(TblImps[[#This Row],[Resource]]=AM$2,TblImps[[#This Row],[Part]]&lt;&gt;""),TblImps[[#This Row],[Amount]]) + IF(AND(TblImps[[#This Row],[Resource 2]]=AM$2,TblImps[[#This Row],[Part 2]]&lt;&gt;""),TblImps[[#This Row],[Amount 2]]) + IF(AND(TblImps[[#This Row],[Resource 3]]=AM$2,TblImps[[#This Row],[Part 3]]&lt;&gt;""),TblImps[[#This Row],[Amount 3]])</f>
        <v>0</v>
      </c>
      <c r="AN110" s="26" t="n">
        <f aca="false">IF(AND(TblImps[[#This Row],[Resource]]=AN$2,TblImps[[#This Row],[Part]]&lt;&gt;""),TblImps[[#This Row],[Amount]]) + IF(AND(TblImps[[#This Row],[Resource 2]]=AN$2,TblImps[[#This Row],[Part 2]]&lt;&gt;""),TblImps[[#This Row],[Amount 2]]) + IF(AND(TblImps[[#This Row],[Resource 3]]=AN$2,TblImps[[#This Row],[Part 3]]&lt;&gt;""),TblImps[[#This Row],[Amount 3]])</f>
        <v>0</v>
      </c>
      <c r="AO110" s="26" t="n">
        <f aca="false">IF(AND(TblImps[[#This Row],[Resource]]=AO$2,TblImps[[#This Row],[Part]]&lt;&gt;""),TblImps[[#This Row],[Amount]]) + IF(AND(TblImps[[#This Row],[Resource 2]]=AO$2,TblImps[[#This Row],[Part 2]]&lt;&gt;""),TblImps[[#This Row],[Amount 2]]) + IF(AND(TblImps[[#This Row],[Resource 3]]=AO$2,TblImps[[#This Row],[Part 3]]&lt;&gt;""),TblImps[[#This Row],[Amount 3]])</f>
        <v>0</v>
      </c>
      <c r="AP110" s="26" t="n">
        <f aca="false">IF(AND(TblImps[[#This Row],[Resource]]=AP$2,TblImps[[#This Row],[Part]]&lt;&gt;""),TblImps[[#This Row],[Amount]]) + IF(AND(TblImps[[#This Row],[Resource 2]]=AP$2,TblImps[[#This Row],[Part 2]]&lt;&gt;""),TblImps[[#This Row],[Amount 2]]) + IF(AND(TblImps[[#This Row],[Resource 3]]=AP$2,TblImps[[#This Row],[Part 3]]&lt;&gt;""),TblImps[[#This Row],[Amount 3]])</f>
        <v>0</v>
      </c>
      <c r="AQ110" s="132"/>
      <c r="AR11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32"/>
      <c r="AW11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32"/>
      <c r="BB11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32"/>
      <c r="BG11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32"/>
      <c r="BL11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32"/>
      <c r="BQ11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32"/>
      <c r="BV110"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33" t="n">
        <f aca="false">TblImps[[#This Row],[Login]]</f>
        <v>0</v>
      </c>
      <c r="BX110" s="128"/>
      <c r="BY110" s="347" t="n">
        <f aca="false">OFFSET(TblImps[[#This Row],[Real time]],-1,0)+1/24</f>
        <v>45434.1666666667</v>
      </c>
      <c r="BZ110" s="348" t="n">
        <f aca="false">OFFSET(TblImps[[#This Row],[Servertime]],-1,0)+1/24</f>
        <v>45434.4166666667</v>
      </c>
      <c r="CA110" s="26"/>
      <c r="CB110" s="346"/>
      <c r="CC110" s="346"/>
      <c r="CD110" s="1" t="s">
        <v>736</v>
      </c>
    </row>
    <row r="111" customFormat="false" ht="12.75" hidden="false" customHeight="false" outlineLevel="0" collapsed="false">
      <c r="A111" s="181" t="n">
        <f aca="false">TblConstr[[#This Row],[Land]]</f>
        <v>700</v>
      </c>
      <c r="B111" s="132"/>
      <c r="C111" s="69" t="n">
        <f aca="false">TblProd[[#This Row],[Platinum]]</f>
        <v>1462385</v>
      </c>
      <c r="D111" s="69" t="n">
        <f aca="false">TblProd[[#This Row],[Lumber]]</f>
        <v>43243</v>
      </c>
      <c r="E111" s="69" t="n">
        <f aca="false">TblProd[[#This Row],[Ore]]</f>
        <v>0</v>
      </c>
      <c r="F111" s="69" t="n">
        <f aca="false">TblProd[[#This Row],[Gems]]</f>
        <v>0</v>
      </c>
      <c r="G111" s="146"/>
      <c r="H111" s="69" t="n">
        <f aca="false">TblMili[[#This Row],[Draftees]]</f>
        <v>2671</v>
      </c>
      <c r="I111" s="130" t="n">
        <f aca="false">TblPop[[#This Row],[Employment]]</f>
        <v>1</v>
      </c>
      <c r="J111" s="130" t="n">
        <f aca="false">TblPop[[#This Row],[Total]]/TblPop[[#This Row],[Net max]]</f>
        <v>1</v>
      </c>
      <c r="K111" s="336" t="n">
        <f aca="false">TblRezone[[#This Row],[Hour]]</f>
        <v>108</v>
      </c>
      <c r="L111" s="337" t="n">
        <f aca="false">TblImps[[#This Row],[Real time]]</f>
        <v>45434.2083333333</v>
      </c>
      <c r="M111" s="33" t="n">
        <f aca="false">IF(ISERROR(TblImps[[#This Row],[algorithm]]),0,TblImps[[#This Row],[algorithm]]*1)</f>
        <v>0</v>
      </c>
      <c r="N111" s="69" t="n">
        <f aca="false">TblImps[[#This Row],[Land]]</f>
        <v>700</v>
      </c>
      <c r="O111" s="338" t="s">
        <v>97</v>
      </c>
      <c r="P111" s="339"/>
      <c r="Q111" s="338" t="s">
        <v>734</v>
      </c>
      <c r="R111" s="338" t="s">
        <v>93</v>
      </c>
      <c r="S111" s="339"/>
      <c r="T111" s="338" t="s">
        <v>734</v>
      </c>
      <c r="U111" s="338" t="s">
        <v>35</v>
      </c>
      <c r="V111" s="339"/>
      <c r="W111" s="338" t="s">
        <v>734</v>
      </c>
      <c r="X111" s="132"/>
      <c r="Y111" s="340" t="n">
        <f aca="false">science_cap*(1-EXP(-TblImps[[#This Row],[Σ Science]]/(science_param*(OFFSET(TblImps[[#This Row],[Land]],1,0)-OFFSET(TblExplore[[#This Row],[Land Bonus]],1,0)*20)+15000)))*(1+(mason_bonus*TblConstr[[#This Row],[Tot Mas]]/TblConstr[[#This Row],[Land (2)]]))</f>
        <v>0</v>
      </c>
      <c r="Z111" s="340" t="n">
        <f aca="false">keep_cap*(1-EXP(-TblImps[[#This Row],[Σ Keep]]/(keep_param*(OFFSET(TblImps[[#This Row],[Land]],1,0)-OFFSET(TblExplore[[#This Row],[Land Bonus]],1,0)*20)+15000)))*(1+(mason_bonus*TblConstr[[#This Row],[Tot Mas]]/TblConstr[[#This Row],[Land (2)]]))</f>
        <v>0</v>
      </c>
      <c r="AA111" s="340" t="n">
        <f aca="false">harbor_towers_cap*(1-EXP(-TblImps[[#This Row],[Σ Towers]]/(towers_param*(OFFSET(TblImps[[#This Row],[Land]],1,0)-OFFSET(TblExplore[[#This Row],[Land Bonus]],1,0)*20)+15000)))*(1+(mason_bonus*TblConstr[[#This Row],[Tot Mas]]/TblConstr[[#This Row],[Land (2)]]))</f>
        <v>0</v>
      </c>
      <c r="AB111" s="340" t="n">
        <f aca="false">walls_forges_cap*(1-EXP(-TblImps[[#This Row],[Σ Forges]]/(walls_forges_param*(OFFSET(TblImps[[#This Row],[Land]],1,0)-OFFSET(TblExplore[[#This Row],[Land Bonus]],1,0)*20)+15000)))*(1+(mason_bonus*TblConstr[[#This Row],[Tot Mas]]/TblConstr[[#This Row],[Land (2)]]))</f>
        <v>0</v>
      </c>
      <c r="AC111" s="340" t="n">
        <f aca="false">walls_forges_cap*(1-EXP(-TblImps[[#This Row],[Σ Walls]]/(walls_forges_param*(OFFSET(TblImps[[#This Row],[Land]],1,0)-OFFSET(TblExplore[[#This Row],[Land Bonus]],1,0)*20)+15000)))*(1+(mason_bonus*TblConstr[[#This Row],[Tot Mas]]/TblConstr[[#This Row],[Land (2)]]))</f>
        <v>0</v>
      </c>
      <c r="AD111" s="340" t="n">
        <f aca="false">harbor_towers_cap*(1-EXP(-TblImps[[#This Row],[Σ Irrigation]]/(harbor_towers_param*(OFFSET(TblImps[[#This Row],[Land]],1,0)-OFFSET(TblExplore[[#This Row],[Land Bonus]],1,0)*20)+15000)))*(1+(mason_bonus*TblConstr[[#This Row],[Tot Mas]]/TblConstr[[#This Row],[Land (2)]]))</f>
        <v>0</v>
      </c>
      <c r="AE111" s="132"/>
      <c r="AF111" s="33" t="n">
        <f aca="false">(1+Overview!$I$28)*SUM(TblImps[[#This Row],[P2]:[G2]])+OFFSET(TblImps[[#This Row],[Σ Science]],-1,0)</f>
        <v>0</v>
      </c>
      <c r="AG111" s="33" t="n">
        <f aca="false">(1+Overview!$I$28)*SUM(TblImps[[#This Row],[P3]:[G3]])+OFFSET(TblImps[[#This Row],[Σ Keep]],-1,0)</f>
        <v>0</v>
      </c>
      <c r="AH111" s="33" t="n">
        <f aca="false">(1+Overview!$I$28 + tech_7_1*TblTech[[#This Row],[7-1]])*SUM(TblImps[[#This Row],[P4]:[G4]])+OFFSET(TblImps[[#This Row],[Σ Towers]],-1,0)</f>
        <v>0</v>
      </c>
      <c r="AI111" s="33" t="n">
        <f aca="false">(1+Overview!$I$28)*SUM(TblImps[[#This Row],[P5]:[G5]])+OFFSET(TblImps[[#This Row],[Σ Forges]],-1,0)</f>
        <v>0</v>
      </c>
      <c r="AJ111" s="33" t="n">
        <f aca="false">(1+Overview!$I$28)*SUM(TblImps[[#This Row],[P6]:[G6]])+OFFSET(TblImps[[#This Row],[Σ Walls]],-1,0)</f>
        <v>0</v>
      </c>
      <c r="AK111" s="33" t="n">
        <f aca="false">(1+Overview!$I$28 + tech_7_1*TblTech[[#This Row],[7-1]])*SUM(TblImps[[#This Row],[P7]:[G7]])+OFFSET(TblImps[[#This Row],[Σ Irrigation]],-1,0)</f>
        <v>0</v>
      </c>
      <c r="AL111" s="132"/>
      <c r="AM111" s="26" t="n">
        <f aca="false">IF(AND(TblImps[[#This Row],[Resource]]=AM$2,TblImps[[#This Row],[Part]]&lt;&gt;""),TblImps[[#This Row],[Amount]]) + IF(AND(TblImps[[#This Row],[Resource 2]]=AM$2,TblImps[[#This Row],[Part 2]]&lt;&gt;""),TblImps[[#This Row],[Amount 2]]) + IF(AND(TblImps[[#This Row],[Resource 3]]=AM$2,TblImps[[#This Row],[Part 3]]&lt;&gt;""),TblImps[[#This Row],[Amount 3]])</f>
        <v>0</v>
      </c>
      <c r="AN111" s="26" t="n">
        <f aca="false">IF(AND(TblImps[[#This Row],[Resource]]=AN$2,TblImps[[#This Row],[Part]]&lt;&gt;""),TblImps[[#This Row],[Amount]]) + IF(AND(TblImps[[#This Row],[Resource 2]]=AN$2,TblImps[[#This Row],[Part 2]]&lt;&gt;""),TblImps[[#This Row],[Amount 2]]) + IF(AND(TblImps[[#This Row],[Resource 3]]=AN$2,TblImps[[#This Row],[Part 3]]&lt;&gt;""),TblImps[[#This Row],[Amount 3]])</f>
        <v>0</v>
      </c>
      <c r="AO111" s="26" t="n">
        <f aca="false">IF(AND(TblImps[[#This Row],[Resource]]=AO$2,TblImps[[#This Row],[Part]]&lt;&gt;""),TblImps[[#This Row],[Amount]]) + IF(AND(TblImps[[#This Row],[Resource 2]]=AO$2,TblImps[[#This Row],[Part 2]]&lt;&gt;""),TblImps[[#This Row],[Amount 2]]) + IF(AND(TblImps[[#This Row],[Resource 3]]=AO$2,TblImps[[#This Row],[Part 3]]&lt;&gt;""),TblImps[[#This Row],[Amount 3]])</f>
        <v>0</v>
      </c>
      <c r="AP111" s="26" t="n">
        <f aca="false">IF(AND(TblImps[[#This Row],[Resource]]=AP$2,TblImps[[#This Row],[Part]]&lt;&gt;""),TblImps[[#This Row],[Amount]]) + IF(AND(TblImps[[#This Row],[Resource 2]]=AP$2,TblImps[[#This Row],[Part 2]]&lt;&gt;""),TblImps[[#This Row],[Amount 2]]) + IF(AND(TblImps[[#This Row],[Resource 3]]=AP$2,TblImps[[#This Row],[Part 3]]&lt;&gt;""),TblImps[[#This Row],[Amount 3]])</f>
        <v>0</v>
      </c>
      <c r="AQ111" s="132"/>
      <c r="AR11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32"/>
      <c r="AW11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32"/>
      <c r="BB11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32"/>
      <c r="BG11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32"/>
      <c r="BL11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32"/>
      <c r="BQ11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32"/>
      <c r="BV111"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33" t="n">
        <f aca="false">TblImps[[#This Row],[Login]]</f>
        <v>0</v>
      </c>
      <c r="BX111" s="128"/>
      <c r="BY111" s="347" t="n">
        <f aca="false">OFFSET(TblImps[[#This Row],[Real time]],-1,0)+1/24</f>
        <v>45434.2083333333</v>
      </c>
      <c r="BZ111" s="348" t="n">
        <f aca="false">OFFSET(TblImps[[#This Row],[Servertime]],-1,0)+1/24</f>
        <v>45434.4583333333</v>
      </c>
      <c r="CA111" s="26"/>
      <c r="CB111" s="346"/>
      <c r="CC111" s="346"/>
      <c r="CD111" s="1" t="s">
        <v>737</v>
      </c>
    </row>
    <row r="112" customFormat="false" ht="12.75" hidden="false" customHeight="false" outlineLevel="0" collapsed="false">
      <c r="A112" s="181" t="n">
        <f aca="false">TblConstr[[#This Row],[Land]]</f>
        <v>700</v>
      </c>
      <c r="B112" s="132"/>
      <c r="C112" s="69" t="n">
        <f aca="false">TblProd[[#This Row],[Platinum]]</f>
        <v>1500850</v>
      </c>
      <c r="D112" s="69" t="n">
        <f aca="false">TblProd[[#This Row],[Lumber]]</f>
        <v>43936</v>
      </c>
      <c r="E112" s="69" t="n">
        <f aca="false">TblProd[[#This Row],[Ore]]</f>
        <v>0</v>
      </c>
      <c r="F112" s="69" t="n">
        <f aca="false">TblProd[[#This Row],[Gems]]</f>
        <v>0</v>
      </c>
      <c r="G112" s="146"/>
      <c r="H112" s="69" t="n">
        <f aca="false">TblMili[[#This Row],[Draftees]]</f>
        <v>2741</v>
      </c>
      <c r="I112" s="130" t="n">
        <f aca="false">TblPop[[#This Row],[Employment]]</f>
        <v>1</v>
      </c>
      <c r="J112" s="130" t="n">
        <f aca="false">TblPop[[#This Row],[Total]]/TblPop[[#This Row],[Net max]]</f>
        <v>1</v>
      </c>
      <c r="K112" s="336" t="n">
        <f aca="false">TblRezone[[#This Row],[Hour]]</f>
        <v>109</v>
      </c>
      <c r="L112" s="337" t="n">
        <f aca="false">TblImps[[#This Row],[Real time]]</f>
        <v>45434.25</v>
      </c>
      <c r="M112" s="33" t="n">
        <f aca="false">IF(ISERROR(TblImps[[#This Row],[algorithm]]),0,TblImps[[#This Row],[algorithm]]*1)</f>
        <v>0</v>
      </c>
      <c r="N112" s="69" t="n">
        <f aca="false">TblImps[[#This Row],[Land]]</f>
        <v>700</v>
      </c>
      <c r="O112" s="338" t="s">
        <v>97</v>
      </c>
      <c r="P112" s="339"/>
      <c r="Q112" s="338" t="s">
        <v>734</v>
      </c>
      <c r="R112" s="338" t="s">
        <v>93</v>
      </c>
      <c r="S112" s="339"/>
      <c r="T112" s="338" t="s">
        <v>734</v>
      </c>
      <c r="U112" s="338" t="s">
        <v>35</v>
      </c>
      <c r="V112" s="339"/>
      <c r="W112" s="338" t="s">
        <v>734</v>
      </c>
      <c r="X112" s="132"/>
      <c r="Y112" s="340" t="n">
        <f aca="false">science_cap*(1-EXP(-TblImps[[#This Row],[Σ Science]]/(science_param*(OFFSET(TblImps[[#This Row],[Land]],1,0)-OFFSET(TblExplore[[#This Row],[Land Bonus]],1,0)*20)+15000)))*(1+(mason_bonus*TblConstr[[#This Row],[Tot Mas]]/TblConstr[[#This Row],[Land (2)]]))</f>
        <v>0</v>
      </c>
      <c r="Z112" s="340" t="n">
        <f aca="false">keep_cap*(1-EXP(-TblImps[[#This Row],[Σ Keep]]/(keep_param*(OFFSET(TblImps[[#This Row],[Land]],1,0)-OFFSET(TblExplore[[#This Row],[Land Bonus]],1,0)*20)+15000)))*(1+(mason_bonus*TblConstr[[#This Row],[Tot Mas]]/TblConstr[[#This Row],[Land (2)]]))</f>
        <v>0</v>
      </c>
      <c r="AA112" s="340" t="n">
        <f aca="false">harbor_towers_cap*(1-EXP(-TblImps[[#This Row],[Σ Towers]]/(towers_param*(OFFSET(TblImps[[#This Row],[Land]],1,0)-OFFSET(TblExplore[[#This Row],[Land Bonus]],1,0)*20)+15000)))*(1+(mason_bonus*TblConstr[[#This Row],[Tot Mas]]/TblConstr[[#This Row],[Land (2)]]))</f>
        <v>0</v>
      </c>
      <c r="AB112" s="340" t="n">
        <f aca="false">walls_forges_cap*(1-EXP(-TblImps[[#This Row],[Σ Forges]]/(walls_forges_param*(OFFSET(TblImps[[#This Row],[Land]],1,0)-OFFSET(TblExplore[[#This Row],[Land Bonus]],1,0)*20)+15000)))*(1+(mason_bonus*TblConstr[[#This Row],[Tot Mas]]/TblConstr[[#This Row],[Land (2)]]))</f>
        <v>0</v>
      </c>
      <c r="AC112" s="340" t="n">
        <f aca="false">walls_forges_cap*(1-EXP(-TblImps[[#This Row],[Σ Walls]]/(walls_forges_param*(OFFSET(TblImps[[#This Row],[Land]],1,0)-OFFSET(TblExplore[[#This Row],[Land Bonus]],1,0)*20)+15000)))*(1+(mason_bonus*TblConstr[[#This Row],[Tot Mas]]/TblConstr[[#This Row],[Land (2)]]))</f>
        <v>0</v>
      </c>
      <c r="AD112" s="340" t="n">
        <f aca="false">harbor_towers_cap*(1-EXP(-TblImps[[#This Row],[Σ Irrigation]]/(harbor_towers_param*(OFFSET(TblImps[[#This Row],[Land]],1,0)-OFFSET(TblExplore[[#This Row],[Land Bonus]],1,0)*20)+15000)))*(1+(mason_bonus*TblConstr[[#This Row],[Tot Mas]]/TblConstr[[#This Row],[Land (2)]]))</f>
        <v>0</v>
      </c>
      <c r="AE112" s="132"/>
      <c r="AF112" s="33" t="n">
        <f aca="false">(1+Overview!$I$28)*SUM(TblImps[[#This Row],[P2]:[G2]])+OFFSET(TblImps[[#This Row],[Σ Science]],-1,0)</f>
        <v>0</v>
      </c>
      <c r="AG112" s="33" t="n">
        <f aca="false">(1+Overview!$I$28)*SUM(TblImps[[#This Row],[P3]:[G3]])+OFFSET(TblImps[[#This Row],[Σ Keep]],-1,0)</f>
        <v>0</v>
      </c>
      <c r="AH112" s="33" t="n">
        <f aca="false">(1+Overview!$I$28 + tech_7_1*TblTech[[#This Row],[7-1]])*SUM(TblImps[[#This Row],[P4]:[G4]])+OFFSET(TblImps[[#This Row],[Σ Towers]],-1,0)</f>
        <v>0</v>
      </c>
      <c r="AI112" s="33" t="n">
        <f aca="false">(1+Overview!$I$28)*SUM(TblImps[[#This Row],[P5]:[G5]])+OFFSET(TblImps[[#This Row],[Σ Forges]],-1,0)</f>
        <v>0</v>
      </c>
      <c r="AJ112" s="33" t="n">
        <f aca="false">(1+Overview!$I$28)*SUM(TblImps[[#This Row],[P6]:[G6]])+OFFSET(TblImps[[#This Row],[Σ Walls]],-1,0)</f>
        <v>0</v>
      </c>
      <c r="AK112" s="33" t="n">
        <f aca="false">(1+Overview!$I$28 + tech_7_1*TblTech[[#This Row],[7-1]])*SUM(TblImps[[#This Row],[P7]:[G7]])+OFFSET(TblImps[[#This Row],[Σ Irrigation]],-1,0)</f>
        <v>0</v>
      </c>
      <c r="AL112" s="132"/>
      <c r="AM112" s="26" t="n">
        <f aca="false">IF(AND(TblImps[[#This Row],[Resource]]=AM$2,TblImps[[#This Row],[Part]]&lt;&gt;""),TblImps[[#This Row],[Amount]]) + IF(AND(TblImps[[#This Row],[Resource 2]]=AM$2,TblImps[[#This Row],[Part 2]]&lt;&gt;""),TblImps[[#This Row],[Amount 2]]) + IF(AND(TblImps[[#This Row],[Resource 3]]=AM$2,TblImps[[#This Row],[Part 3]]&lt;&gt;""),TblImps[[#This Row],[Amount 3]])</f>
        <v>0</v>
      </c>
      <c r="AN112" s="26" t="n">
        <f aca="false">IF(AND(TblImps[[#This Row],[Resource]]=AN$2,TblImps[[#This Row],[Part]]&lt;&gt;""),TblImps[[#This Row],[Amount]]) + IF(AND(TblImps[[#This Row],[Resource 2]]=AN$2,TblImps[[#This Row],[Part 2]]&lt;&gt;""),TblImps[[#This Row],[Amount 2]]) + IF(AND(TblImps[[#This Row],[Resource 3]]=AN$2,TblImps[[#This Row],[Part 3]]&lt;&gt;""),TblImps[[#This Row],[Amount 3]])</f>
        <v>0</v>
      </c>
      <c r="AO112" s="26" t="n">
        <f aca="false">IF(AND(TblImps[[#This Row],[Resource]]=AO$2,TblImps[[#This Row],[Part]]&lt;&gt;""),TblImps[[#This Row],[Amount]]) + IF(AND(TblImps[[#This Row],[Resource 2]]=AO$2,TblImps[[#This Row],[Part 2]]&lt;&gt;""),TblImps[[#This Row],[Amount 2]]) + IF(AND(TblImps[[#This Row],[Resource 3]]=AO$2,TblImps[[#This Row],[Part 3]]&lt;&gt;""),TblImps[[#This Row],[Amount 3]])</f>
        <v>0</v>
      </c>
      <c r="AP112" s="26" t="n">
        <f aca="false">IF(AND(TblImps[[#This Row],[Resource]]=AP$2,TblImps[[#This Row],[Part]]&lt;&gt;""),TblImps[[#This Row],[Amount]]) + IF(AND(TblImps[[#This Row],[Resource 2]]=AP$2,TblImps[[#This Row],[Part 2]]&lt;&gt;""),TblImps[[#This Row],[Amount 2]]) + IF(AND(TblImps[[#This Row],[Resource 3]]=AP$2,TblImps[[#This Row],[Part 3]]&lt;&gt;""),TblImps[[#This Row],[Amount 3]])</f>
        <v>0</v>
      </c>
      <c r="AQ112" s="132"/>
      <c r="AR11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32"/>
      <c r="AW11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32"/>
      <c r="BB11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32"/>
      <c r="BG11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32"/>
      <c r="BL11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32"/>
      <c r="BQ11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32"/>
      <c r="BV112"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33" t="n">
        <f aca="false">TblImps[[#This Row],[Login]]</f>
        <v>0</v>
      </c>
      <c r="BX112" s="128"/>
      <c r="BY112" s="347" t="n">
        <f aca="false">OFFSET(TblImps[[#This Row],[Real time]],-1,0)+1/24</f>
        <v>45434.25</v>
      </c>
      <c r="BZ112" s="348" t="n">
        <f aca="false">OFFSET(TblImps[[#This Row],[Servertime]],-1,0)+1/24</f>
        <v>45434.5</v>
      </c>
      <c r="CA112" s="26"/>
      <c r="CB112" s="346"/>
      <c r="CC112" s="346"/>
      <c r="CD112" s="1" t="s">
        <v>738</v>
      </c>
    </row>
    <row r="113" customFormat="false" ht="12.75" hidden="false" customHeight="false" outlineLevel="0" collapsed="false">
      <c r="A113" s="181" t="n">
        <f aca="false">TblConstr[[#This Row],[Land]]</f>
        <v>700</v>
      </c>
      <c r="B113" s="132"/>
      <c r="C113" s="69" t="n">
        <f aca="false">TblProd[[#This Row],[Platinum]]</f>
        <v>1532054</v>
      </c>
      <c r="D113" s="69" t="n">
        <f aca="false">TblProd[[#This Row],[Lumber]]</f>
        <v>44622</v>
      </c>
      <c r="E113" s="69" t="n">
        <f aca="false">TblProd[[#This Row],[Ore]]</f>
        <v>0</v>
      </c>
      <c r="F113" s="69" t="n">
        <f aca="false">TblProd[[#This Row],[Gems]]</f>
        <v>0</v>
      </c>
      <c r="G113" s="146"/>
      <c r="H113" s="69" t="n">
        <f aca="false">TblMili[[#This Row],[Draftees]]</f>
        <v>2811</v>
      </c>
      <c r="I113" s="130" t="n">
        <f aca="false">TblPop[[#This Row],[Employment]]</f>
        <v>1</v>
      </c>
      <c r="J113" s="130" t="n">
        <f aca="false">TblPop[[#This Row],[Total]]/TblPop[[#This Row],[Net max]]</f>
        <v>1</v>
      </c>
      <c r="K113" s="336" t="n">
        <f aca="false">TblRezone[[#This Row],[Hour]]</f>
        <v>110</v>
      </c>
      <c r="L113" s="337" t="n">
        <f aca="false">TblImps[[#This Row],[Real time]]</f>
        <v>45434.2916666667</v>
      </c>
      <c r="M113" s="33" t="n">
        <f aca="false">IF(ISERROR(TblImps[[#This Row],[algorithm]]),0,TblImps[[#This Row],[algorithm]]*1)</f>
        <v>0</v>
      </c>
      <c r="N113" s="69" t="n">
        <f aca="false">TblImps[[#This Row],[Land]]</f>
        <v>700</v>
      </c>
      <c r="O113" s="338" t="s">
        <v>97</v>
      </c>
      <c r="P113" s="339"/>
      <c r="Q113" s="338" t="s">
        <v>734</v>
      </c>
      <c r="R113" s="338" t="s">
        <v>93</v>
      </c>
      <c r="S113" s="339"/>
      <c r="T113" s="338" t="s">
        <v>734</v>
      </c>
      <c r="U113" s="338" t="s">
        <v>35</v>
      </c>
      <c r="V113" s="339"/>
      <c r="W113" s="338" t="s">
        <v>734</v>
      </c>
      <c r="X113" s="132"/>
      <c r="Y113" s="340" t="n">
        <f aca="false">science_cap*(1-EXP(-TblImps[[#This Row],[Σ Science]]/(science_param*(OFFSET(TblImps[[#This Row],[Land]],1,0)-OFFSET(TblExplore[[#This Row],[Land Bonus]],1,0)*20)+15000)))*(1+(mason_bonus*TblConstr[[#This Row],[Tot Mas]]/TblConstr[[#This Row],[Land (2)]]))</f>
        <v>0</v>
      </c>
      <c r="Z113" s="340" t="n">
        <f aca="false">keep_cap*(1-EXP(-TblImps[[#This Row],[Σ Keep]]/(keep_param*(OFFSET(TblImps[[#This Row],[Land]],1,0)-OFFSET(TblExplore[[#This Row],[Land Bonus]],1,0)*20)+15000)))*(1+(mason_bonus*TblConstr[[#This Row],[Tot Mas]]/TblConstr[[#This Row],[Land (2)]]))</f>
        <v>0</v>
      </c>
      <c r="AA113" s="340" t="n">
        <f aca="false">harbor_towers_cap*(1-EXP(-TblImps[[#This Row],[Σ Towers]]/(towers_param*(OFFSET(TblImps[[#This Row],[Land]],1,0)-OFFSET(TblExplore[[#This Row],[Land Bonus]],1,0)*20)+15000)))*(1+(mason_bonus*TblConstr[[#This Row],[Tot Mas]]/TblConstr[[#This Row],[Land (2)]]))</f>
        <v>0</v>
      </c>
      <c r="AB113" s="340" t="n">
        <f aca="false">walls_forges_cap*(1-EXP(-TblImps[[#This Row],[Σ Forges]]/(walls_forges_param*(OFFSET(TblImps[[#This Row],[Land]],1,0)-OFFSET(TblExplore[[#This Row],[Land Bonus]],1,0)*20)+15000)))*(1+(mason_bonus*TblConstr[[#This Row],[Tot Mas]]/TblConstr[[#This Row],[Land (2)]]))</f>
        <v>0</v>
      </c>
      <c r="AC113" s="340" t="n">
        <f aca="false">walls_forges_cap*(1-EXP(-TblImps[[#This Row],[Σ Walls]]/(walls_forges_param*(OFFSET(TblImps[[#This Row],[Land]],1,0)-OFFSET(TblExplore[[#This Row],[Land Bonus]],1,0)*20)+15000)))*(1+(mason_bonus*TblConstr[[#This Row],[Tot Mas]]/TblConstr[[#This Row],[Land (2)]]))</f>
        <v>0</v>
      </c>
      <c r="AD113" s="340" t="n">
        <f aca="false">harbor_towers_cap*(1-EXP(-TblImps[[#This Row],[Σ Irrigation]]/(harbor_towers_param*(OFFSET(TblImps[[#This Row],[Land]],1,0)-OFFSET(TblExplore[[#This Row],[Land Bonus]],1,0)*20)+15000)))*(1+(mason_bonus*TblConstr[[#This Row],[Tot Mas]]/TblConstr[[#This Row],[Land (2)]]))</f>
        <v>0</v>
      </c>
      <c r="AE113" s="132"/>
      <c r="AF113" s="33" t="n">
        <f aca="false">(1+Overview!$I$28)*SUM(TblImps[[#This Row],[P2]:[G2]])+OFFSET(TblImps[[#This Row],[Σ Science]],-1,0)</f>
        <v>0</v>
      </c>
      <c r="AG113" s="33" t="n">
        <f aca="false">(1+Overview!$I$28)*SUM(TblImps[[#This Row],[P3]:[G3]])+OFFSET(TblImps[[#This Row],[Σ Keep]],-1,0)</f>
        <v>0</v>
      </c>
      <c r="AH113" s="33" t="n">
        <f aca="false">(1+Overview!$I$28 + tech_7_1*TblTech[[#This Row],[7-1]])*SUM(TblImps[[#This Row],[P4]:[G4]])+OFFSET(TblImps[[#This Row],[Σ Towers]],-1,0)</f>
        <v>0</v>
      </c>
      <c r="AI113" s="33" t="n">
        <f aca="false">(1+Overview!$I$28)*SUM(TblImps[[#This Row],[P5]:[G5]])+OFFSET(TblImps[[#This Row],[Σ Forges]],-1,0)</f>
        <v>0</v>
      </c>
      <c r="AJ113" s="33" t="n">
        <f aca="false">(1+Overview!$I$28)*SUM(TblImps[[#This Row],[P6]:[G6]])+OFFSET(TblImps[[#This Row],[Σ Walls]],-1,0)</f>
        <v>0</v>
      </c>
      <c r="AK113" s="33" t="n">
        <f aca="false">(1+Overview!$I$28 + tech_7_1*TblTech[[#This Row],[7-1]])*SUM(TblImps[[#This Row],[P7]:[G7]])+OFFSET(TblImps[[#This Row],[Σ Irrigation]],-1,0)</f>
        <v>0</v>
      </c>
      <c r="AL113" s="132"/>
      <c r="AM113" s="26" t="n">
        <f aca="false">IF(AND(TblImps[[#This Row],[Resource]]=AM$2,TblImps[[#This Row],[Part]]&lt;&gt;""),TblImps[[#This Row],[Amount]]) + IF(AND(TblImps[[#This Row],[Resource 2]]=AM$2,TblImps[[#This Row],[Part 2]]&lt;&gt;""),TblImps[[#This Row],[Amount 2]]) + IF(AND(TblImps[[#This Row],[Resource 3]]=AM$2,TblImps[[#This Row],[Part 3]]&lt;&gt;""),TblImps[[#This Row],[Amount 3]])</f>
        <v>0</v>
      </c>
      <c r="AN113" s="26" t="n">
        <f aca="false">IF(AND(TblImps[[#This Row],[Resource]]=AN$2,TblImps[[#This Row],[Part]]&lt;&gt;""),TblImps[[#This Row],[Amount]]) + IF(AND(TblImps[[#This Row],[Resource 2]]=AN$2,TblImps[[#This Row],[Part 2]]&lt;&gt;""),TblImps[[#This Row],[Amount 2]]) + IF(AND(TblImps[[#This Row],[Resource 3]]=AN$2,TblImps[[#This Row],[Part 3]]&lt;&gt;""),TblImps[[#This Row],[Amount 3]])</f>
        <v>0</v>
      </c>
      <c r="AO113" s="26" t="n">
        <f aca="false">IF(AND(TblImps[[#This Row],[Resource]]=AO$2,TblImps[[#This Row],[Part]]&lt;&gt;""),TblImps[[#This Row],[Amount]]) + IF(AND(TblImps[[#This Row],[Resource 2]]=AO$2,TblImps[[#This Row],[Part 2]]&lt;&gt;""),TblImps[[#This Row],[Amount 2]]) + IF(AND(TblImps[[#This Row],[Resource 3]]=AO$2,TblImps[[#This Row],[Part 3]]&lt;&gt;""),TblImps[[#This Row],[Amount 3]])</f>
        <v>0</v>
      </c>
      <c r="AP113" s="26" t="n">
        <f aca="false">IF(AND(TblImps[[#This Row],[Resource]]=AP$2,TblImps[[#This Row],[Part]]&lt;&gt;""),TblImps[[#This Row],[Amount]]) + IF(AND(TblImps[[#This Row],[Resource 2]]=AP$2,TblImps[[#This Row],[Part 2]]&lt;&gt;""),TblImps[[#This Row],[Amount 2]]) + IF(AND(TblImps[[#This Row],[Resource 3]]=AP$2,TblImps[[#This Row],[Part 3]]&lt;&gt;""),TblImps[[#This Row],[Amount 3]])</f>
        <v>0</v>
      </c>
      <c r="AQ113" s="132"/>
      <c r="AR11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32"/>
      <c r="AW11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32"/>
      <c r="BB11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32"/>
      <c r="BG11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32"/>
      <c r="BL11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32"/>
      <c r="BQ11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32"/>
      <c r="BV113"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33" t="n">
        <f aca="false">TblImps[[#This Row],[Login]]</f>
        <v>0</v>
      </c>
      <c r="BX113" s="128"/>
      <c r="BY113" s="347" t="n">
        <f aca="false">OFFSET(TblImps[[#This Row],[Real time]],-1,0)+1/24</f>
        <v>45434.2916666667</v>
      </c>
      <c r="BZ113" s="348" t="n">
        <f aca="false">OFFSET(TblImps[[#This Row],[Servertime]],-1,0)+1/24</f>
        <v>45434.5416666667</v>
      </c>
      <c r="CA113" s="26"/>
      <c r="CB113" s="346"/>
      <c r="CC113" s="346"/>
    </row>
    <row r="114" customFormat="false" ht="12.75" hidden="false" customHeight="false" outlineLevel="0" collapsed="false">
      <c r="A114" s="181" t="n">
        <f aca="false">TblConstr[[#This Row],[Land]]</f>
        <v>700</v>
      </c>
      <c r="B114" s="132"/>
      <c r="C114" s="69" t="n">
        <f aca="false">TblProd[[#This Row],[Platinum]]</f>
        <v>1563069</v>
      </c>
      <c r="D114" s="69" t="n">
        <f aca="false">TblProd[[#This Row],[Lumber]]</f>
        <v>45301</v>
      </c>
      <c r="E114" s="69" t="n">
        <f aca="false">TblProd[[#This Row],[Ore]]</f>
        <v>0</v>
      </c>
      <c r="F114" s="69" t="n">
        <f aca="false">TblProd[[#This Row],[Gems]]</f>
        <v>0</v>
      </c>
      <c r="G114" s="146"/>
      <c r="H114" s="69" t="n">
        <f aca="false">TblMili[[#This Row],[Draftees]]</f>
        <v>2880</v>
      </c>
      <c r="I114" s="130" t="n">
        <f aca="false">TblPop[[#This Row],[Employment]]</f>
        <v>1</v>
      </c>
      <c r="J114" s="130" t="n">
        <f aca="false">TblPop[[#This Row],[Total]]/TblPop[[#This Row],[Net max]]</f>
        <v>1</v>
      </c>
      <c r="K114" s="336" t="n">
        <f aca="false">TblRezone[[#This Row],[Hour]]</f>
        <v>111</v>
      </c>
      <c r="L114" s="337" t="n">
        <f aca="false">TblImps[[#This Row],[Real time]]</f>
        <v>45434.3333333333</v>
      </c>
      <c r="M114" s="33" t="n">
        <f aca="false">IF(ISERROR(TblImps[[#This Row],[algorithm]]),0,TblImps[[#This Row],[algorithm]]*1)</f>
        <v>0</v>
      </c>
      <c r="N114" s="69" t="n">
        <f aca="false">TblImps[[#This Row],[Land]]</f>
        <v>700</v>
      </c>
      <c r="O114" s="338" t="s">
        <v>97</v>
      </c>
      <c r="P114" s="339"/>
      <c r="Q114" s="338" t="s">
        <v>734</v>
      </c>
      <c r="R114" s="338" t="s">
        <v>93</v>
      </c>
      <c r="S114" s="339"/>
      <c r="T114" s="338" t="s">
        <v>734</v>
      </c>
      <c r="U114" s="338" t="s">
        <v>35</v>
      </c>
      <c r="V114" s="339"/>
      <c r="W114" s="338" t="s">
        <v>734</v>
      </c>
      <c r="X114" s="132"/>
      <c r="Y114" s="340" t="n">
        <f aca="false">science_cap*(1-EXP(-TblImps[[#This Row],[Σ Science]]/(science_param*(OFFSET(TblImps[[#This Row],[Land]],1,0)-OFFSET(TblExplore[[#This Row],[Land Bonus]],1,0)*20)+15000)))*(1+(mason_bonus*TblConstr[[#This Row],[Tot Mas]]/TblConstr[[#This Row],[Land (2)]]))</f>
        <v>0</v>
      </c>
      <c r="Z114" s="340" t="n">
        <f aca="false">keep_cap*(1-EXP(-TblImps[[#This Row],[Σ Keep]]/(keep_param*(OFFSET(TblImps[[#This Row],[Land]],1,0)-OFFSET(TblExplore[[#This Row],[Land Bonus]],1,0)*20)+15000)))*(1+(mason_bonus*TblConstr[[#This Row],[Tot Mas]]/TblConstr[[#This Row],[Land (2)]]))</f>
        <v>0</v>
      </c>
      <c r="AA114" s="340" t="n">
        <f aca="false">harbor_towers_cap*(1-EXP(-TblImps[[#This Row],[Σ Towers]]/(towers_param*(OFFSET(TblImps[[#This Row],[Land]],1,0)-OFFSET(TblExplore[[#This Row],[Land Bonus]],1,0)*20)+15000)))*(1+(mason_bonus*TblConstr[[#This Row],[Tot Mas]]/TblConstr[[#This Row],[Land (2)]]))</f>
        <v>0</v>
      </c>
      <c r="AB114" s="340" t="n">
        <f aca="false">walls_forges_cap*(1-EXP(-TblImps[[#This Row],[Σ Forges]]/(walls_forges_param*(OFFSET(TblImps[[#This Row],[Land]],1,0)-OFFSET(TblExplore[[#This Row],[Land Bonus]],1,0)*20)+15000)))*(1+(mason_bonus*TblConstr[[#This Row],[Tot Mas]]/TblConstr[[#This Row],[Land (2)]]))</f>
        <v>0</v>
      </c>
      <c r="AC114" s="340" t="n">
        <f aca="false">walls_forges_cap*(1-EXP(-TblImps[[#This Row],[Σ Walls]]/(walls_forges_param*(OFFSET(TblImps[[#This Row],[Land]],1,0)-OFFSET(TblExplore[[#This Row],[Land Bonus]],1,0)*20)+15000)))*(1+(mason_bonus*TblConstr[[#This Row],[Tot Mas]]/TblConstr[[#This Row],[Land (2)]]))</f>
        <v>0</v>
      </c>
      <c r="AD114" s="340" t="n">
        <f aca="false">harbor_towers_cap*(1-EXP(-TblImps[[#This Row],[Σ Irrigation]]/(harbor_towers_param*(OFFSET(TblImps[[#This Row],[Land]],1,0)-OFFSET(TblExplore[[#This Row],[Land Bonus]],1,0)*20)+15000)))*(1+(mason_bonus*TblConstr[[#This Row],[Tot Mas]]/TblConstr[[#This Row],[Land (2)]]))</f>
        <v>0</v>
      </c>
      <c r="AE114" s="132"/>
      <c r="AF114" s="33" t="n">
        <f aca="false">(1+Overview!$I$28)*SUM(TblImps[[#This Row],[P2]:[G2]])+OFFSET(TblImps[[#This Row],[Σ Science]],-1,0)</f>
        <v>0</v>
      </c>
      <c r="AG114" s="33" t="n">
        <f aca="false">(1+Overview!$I$28)*SUM(TblImps[[#This Row],[P3]:[G3]])+OFFSET(TblImps[[#This Row],[Σ Keep]],-1,0)</f>
        <v>0</v>
      </c>
      <c r="AH114" s="33" t="n">
        <f aca="false">(1+Overview!$I$28 + tech_7_1*TblTech[[#This Row],[7-1]])*SUM(TblImps[[#This Row],[P4]:[G4]])+OFFSET(TblImps[[#This Row],[Σ Towers]],-1,0)</f>
        <v>0</v>
      </c>
      <c r="AI114" s="33" t="n">
        <f aca="false">(1+Overview!$I$28)*SUM(TblImps[[#This Row],[P5]:[G5]])+OFFSET(TblImps[[#This Row],[Σ Forges]],-1,0)</f>
        <v>0</v>
      </c>
      <c r="AJ114" s="33" t="n">
        <f aca="false">(1+Overview!$I$28)*SUM(TblImps[[#This Row],[P6]:[G6]])+OFFSET(TblImps[[#This Row],[Σ Walls]],-1,0)</f>
        <v>0</v>
      </c>
      <c r="AK114" s="33" t="n">
        <f aca="false">(1+Overview!$I$28 + tech_7_1*TblTech[[#This Row],[7-1]])*SUM(TblImps[[#This Row],[P7]:[G7]])+OFFSET(TblImps[[#This Row],[Σ Irrigation]],-1,0)</f>
        <v>0</v>
      </c>
      <c r="AL114" s="132"/>
      <c r="AM114" s="26" t="n">
        <f aca="false">IF(AND(TblImps[[#This Row],[Resource]]=AM$2,TblImps[[#This Row],[Part]]&lt;&gt;""),TblImps[[#This Row],[Amount]]) + IF(AND(TblImps[[#This Row],[Resource 2]]=AM$2,TblImps[[#This Row],[Part 2]]&lt;&gt;""),TblImps[[#This Row],[Amount 2]]) + IF(AND(TblImps[[#This Row],[Resource 3]]=AM$2,TblImps[[#This Row],[Part 3]]&lt;&gt;""),TblImps[[#This Row],[Amount 3]])</f>
        <v>0</v>
      </c>
      <c r="AN114" s="26" t="n">
        <f aca="false">IF(AND(TblImps[[#This Row],[Resource]]=AN$2,TblImps[[#This Row],[Part]]&lt;&gt;""),TblImps[[#This Row],[Amount]]) + IF(AND(TblImps[[#This Row],[Resource 2]]=AN$2,TblImps[[#This Row],[Part 2]]&lt;&gt;""),TblImps[[#This Row],[Amount 2]]) + IF(AND(TblImps[[#This Row],[Resource 3]]=AN$2,TblImps[[#This Row],[Part 3]]&lt;&gt;""),TblImps[[#This Row],[Amount 3]])</f>
        <v>0</v>
      </c>
      <c r="AO114" s="26" t="n">
        <f aca="false">IF(AND(TblImps[[#This Row],[Resource]]=AO$2,TblImps[[#This Row],[Part]]&lt;&gt;""),TblImps[[#This Row],[Amount]]) + IF(AND(TblImps[[#This Row],[Resource 2]]=AO$2,TblImps[[#This Row],[Part 2]]&lt;&gt;""),TblImps[[#This Row],[Amount 2]]) + IF(AND(TblImps[[#This Row],[Resource 3]]=AO$2,TblImps[[#This Row],[Part 3]]&lt;&gt;""),TblImps[[#This Row],[Amount 3]])</f>
        <v>0</v>
      </c>
      <c r="AP114" s="26" t="n">
        <f aca="false">IF(AND(TblImps[[#This Row],[Resource]]=AP$2,TblImps[[#This Row],[Part]]&lt;&gt;""),TblImps[[#This Row],[Amount]]) + IF(AND(TblImps[[#This Row],[Resource 2]]=AP$2,TblImps[[#This Row],[Part 2]]&lt;&gt;""),TblImps[[#This Row],[Amount 2]]) + IF(AND(TblImps[[#This Row],[Resource 3]]=AP$2,TblImps[[#This Row],[Part 3]]&lt;&gt;""),TblImps[[#This Row],[Amount 3]])</f>
        <v>0</v>
      </c>
      <c r="AQ114" s="132"/>
      <c r="AR11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32"/>
      <c r="AW11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32"/>
      <c r="BB11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32"/>
      <c r="BG11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32"/>
      <c r="BL11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32"/>
      <c r="BQ11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32"/>
      <c r="BV114"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33" t="n">
        <f aca="false">TblImps[[#This Row],[Login]]</f>
        <v>0</v>
      </c>
      <c r="BX114" s="128"/>
      <c r="BY114" s="347" t="n">
        <f aca="false">OFFSET(TblImps[[#This Row],[Real time]],-1,0)+1/24</f>
        <v>45434.3333333333</v>
      </c>
      <c r="BZ114" s="348" t="n">
        <f aca="false">OFFSET(TblImps[[#This Row],[Servertime]],-1,0)+1/24</f>
        <v>45434.5833333333</v>
      </c>
      <c r="CA114" s="351"/>
      <c r="CB114" s="346"/>
      <c r="CC114" s="346"/>
    </row>
    <row r="115" customFormat="false" ht="12.75" hidden="false" customHeight="false" outlineLevel="0" collapsed="false">
      <c r="A115" s="181" t="n">
        <f aca="false">TblConstr[[#This Row],[Land]]</f>
        <v>700</v>
      </c>
      <c r="B115" s="132"/>
      <c r="C115" s="69" t="n">
        <f aca="false">TblProd[[#This Row],[Platinum]]</f>
        <v>1593898</v>
      </c>
      <c r="D115" s="69" t="n">
        <f aca="false">TblProd[[#This Row],[Lumber]]</f>
        <v>45973</v>
      </c>
      <c r="E115" s="69" t="n">
        <f aca="false">TblProd[[#This Row],[Ore]]</f>
        <v>0</v>
      </c>
      <c r="F115" s="69" t="n">
        <f aca="false">TblProd[[#This Row],[Gems]]</f>
        <v>0</v>
      </c>
      <c r="G115" s="146"/>
      <c r="H115" s="69" t="n">
        <f aca="false">TblMili[[#This Row],[Draftees]]</f>
        <v>2948</v>
      </c>
      <c r="I115" s="130" t="n">
        <f aca="false">TblPop[[#This Row],[Employment]]</f>
        <v>1</v>
      </c>
      <c r="J115" s="130" t="n">
        <f aca="false">TblPop[[#This Row],[Total]]/TblPop[[#This Row],[Net max]]</f>
        <v>1</v>
      </c>
      <c r="K115" s="336" t="n">
        <f aca="false">TblRezone[[#This Row],[Hour]]</f>
        <v>112</v>
      </c>
      <c r="L115" s="337" t="n">
        <f aca="false">TblImps[[#This Row],[Real time]]</f>
        <v>45434.375</v>
      </c>
      <c r="M115" s="33" t="n">
        <f aca="false">IF(ISERROR(TblImps[[#This Row],[algorithm]]),0,TblImps[[#This Row],[algorithm]]*1)</f>
        <v>0</v>
      </c>
      <c r="N115" s="69" t="n">
        <f aca="false">TblImps[[#This Row],[Land]]</f>
        <v>700</v>
      </c>
      <c r="O115" s="338" t="s">
        <v>97</v>
      </c>
      <c r="P115" s="339"/>
      <c r="Q115" s="338" t="s">
        <v>734</v>
      </c>
      <c r="R115" s="338" t="s">
        <v>93</v>
      </c>
      <c r="S115" s="339"/>
      <c r="T115" s="338" t="s">
        <v>734</v>
      </c>
      <c r="U115" s="338" t="s">
        <v>35</v>
      </c>
      <c r="V115" s="339"/>
      <c r="W115" s="338" t="s">
        <v>734</v>
      </c>
      <c r="X115" s="132"/>
      <c r="Y115" s="340" t="n">
        <f aca="false">science_cap*(1-EXP(-TblImps[[#This Row],[Σ Science]]/(science_param*(OFFSET(TblImps[[#This Row],[Land]],1,0)-OFFSET(TblExplore[[#This Row],[Land Bonus]],1,0)*20)+15000)))*(1+(mason_bonus*TblConstr[[#This Row],[Tot Mas]]/TblConstr[[#This Row],[Land (2)]]))</f>
        <v>0</v>
      </c>
      <c r="Z115" s="340" t="n">
        <f aca="false">keep_cap*(1-EXP(-TblImps[[#This Row],[Σ Keep]]/(keep_param*(OFFSET(TblImps[[#This Row],[Land]],1,0)-OFFSET(TblExplore[[#This Row],[Land Bonus]],1,0)*20)+15000)))*(1+(mason_bonus*TblConstr[[#This Row],[Tot Mas]]/TblConstr[[#This Row],[Land (2)]]))</f>
        <v>0</v>
      </c>
      <c r="AA115" s="340" t="n">
        <f aca="false">harbor_towers_cap*(1-EXP(-TblImps[[#This Row],[Σ Towers]]/(towers_param*(OFFSET(TblImps[[#This Row],[Land]],1,0)-OFFSET(TblExplore[[#This Row],[Land Bonus]],1,0)*20)+15000)))*(1+(mason_bonus*TblConstr[[#This Row],[Tot Mas]]/TblConstr[[#This Row],[Land (2)]]))</f>
        <v>0</v>
      </c>
      <c r="AB115" s="340" t="n">
        <f aca="false">walls_forges_cap*(1-EXP(-TblImps[[#This Row],[Σ Forges]]/(walls_forges_param*(OFFSET(TblImps[[#This Row],[Land]],1,0)-OFFSET(TblExplore[[#This Row],[Land Bonus]],1,0)*20)+15000)))*(1+(mason_bonus*TblConstr[[#This Row],[Tot Mas]]/TblConstr[[#This Row],[Land (2)]]))</f>
        <v>0</v>
      </c>
      <c r="AC115" s="340" t="n">
        <f aca="false">walls_forges_cap*(1-EXP(-TblImps[[#This Row],[Σ Walls]]/(walls_forges_param*(OFFSET(TblImps[[#This Row],[Land]],1,0)-OFFSET(TblExplore[[#This Row],[Land Bonus]],1,0)*20)+15000)))*(1+(mason_bonus*TblConstr[[#This Row],[Tot Mas]]/TblConstr[[#This Row],[Land (2)]]))</f>
        <v>0</v>
      </c>
      <c r="AD115" s="340" t="n">
        <f aca="false">harbor_towers_cap*(1-EXP(-TblImps[[#This Row],[Σ Irrigation]]/(harbor_towers_param*(OFFSET(TblImps[[#This Row],[Land]],1,0)-OFFSET(TblExplore[[#This Row],[Land Bonus]],1,0)*20)+15000)))*(1+(mason_bonus*TblConstr[[#This Row],[Tot Mas]]/TblConstr[[#This Row],[Land (2)]]))</f>
        <v>0</v>
      </c>
      <c r="AE115" s="132"/>
      <c r="AF115" s="33" t="n">
        <f aca="false">(1+Overview!$I$28)*SUM(TblImps[[#This Row],[P2]:[G2]])+OFFSET(TblImps[[#This Row],[Σ Science]],-1,0)</f>
        <v>0</v>
      </c>
      <c r="AG115" s="33" t="n">
        <f aca="false">(1+Overview!$I$28)*SUM(TblImps[[#This Row],[P3]:[G3]])+OFFSET(TblImps[[#This Row],[Σ Keep]],-1,0)</f>
        <v>0</v>
      </c>
      <c r="AH115" s="33" t="n">
        <f aca="false">(1+Overview!$I$28 + tech_7_1*TblTech[[#This Row],[7-1]])*SUM(TblImps[[#This Row],[P4]:[G4]])+OFFSET(TblImps[[#This Row],[Σ Towers]],-1,0)</f>
        <v>0</v>
      </c>
      <c r="AI115" s="33" t="n">
        <f aca="false">(1+Overview!$I$28)*SUM(TblImps[[#This Row],[P5]:[G5]])+OFFSET(TblImps[[#This Row],[Σ Forges]],-1,0)</f>
        <v>0</v>
      </c>
      <c r="AJ115" s="33" t="n">
        <f aca="false">(1+Overview!$I$28)*SUM(TblImps[[#This Row],[P6]:[G6]])+OFFSET(TblImps[[#This Row],[Σ Walls]],-1,0)</f>
        <v>0</v>
      </c>
      <c r="AK115" s="33" t="n">
        <f aca="false">(1+Overview!$I$28 + tech_7_1*TblTech[[#This Row],[7-1]])*SUM(TblImps[[#This Row],[P7]:[G7]])+OFFSET(TblImps[[#This Row],[Σ Irrigation]],-1,0)</f>
        <v>0</v>
      </c>
      <c r="AL115" s="132"/>
      <c r="AM115" s="26" t="n">
        <f aca="false">IF(AND(TblImps[[#This Row],[Resource]]=AM$2,TblImps[[#This Row],[Part]]&lt;&gt;""),TblImps[[#This Row],[Amount]]) + IF(AND(TblImps[[#This Row],[Resource 2]]=AM$2,TblImps[[#This Row],[Part 2]]&lt;&gt;""),TblImps[[#This Row],[Amount 2]]) + IF(AND(TblImps[[#This Row],[Resource 3]]=AM$2,TblImps[[#This Row],[Part 3]]&lt;&gt;""),TblImps[[#This Row],[Amount 3]])</f>
        <v>0</v>
      </c>
      <c r="AN115" s="26" t="n">
        <f aca="false">IF(AND(TblImps[[#This Row],[Resource]]=AN$2,TblImps[[#This Row],[Part]]&lt;&gt;""),TblImps[[#This Row],[Amount]]) + IF(AND(TblImps[[#This Row],[Resource 2]]=AN$2,TblImps[[#This Row],[Part 2]]&lt;&gt;""),TblImps[[#This Row],[Amount 2]]) + IF(AND(TblImps[[#This Row],[Resource 3]]=AN$2,TblImps[[#This Row],[Part 3]]&lt;&gt;""),TblImps[[#This Row],[Amount 3]])</f>
        <v>0</v>
      </c>
      <c r="AO115" s="26" t="n">
        <f aca="false">IF(AND(TblImps[[#This Row],[Resource]]=AO$2,TblImps[[#This Row],[Part]]&lt;&gt;""),TblImps[[#This Row],[Amount]]) + IF(AND(TblImps[[#This Row],[Resource 2]]=AO$2,TblImps[[#This Row],[Part 2]]&lt;&gt;""),TblImps[[#This Row],[Amount 2]]) + IF(AND(TblImps[[#This Row],[Resource 3]]=AO$2,TblImps[[#This Row],[Part 3]]&lt;&gt;""),TblImps[[#This Row],[Amount 3]])</f>
        <v>0</v>
      </c>
      <c r="AP115" s="26" t="n">
        <f aca="false">IF(AND(TblImps[[#This Row],[Resource]]=AP$2,TblImps[[#This Row],[Part]]&lt;&gt;""),TblImps[[#This Row],[Amount]]) + IF(AND(TblImps[[#This Row],[Resource 2]]=AP$2,TblImps[[#This Row],[Part 2]]&lt;&gt;""),TblImps[[#This Row],[Amount 2]]) + IF(AND(TblImps[[#This Row],[Resource 3]]=AP$2,TblImps[[#This Row],[Part 3]]&lt;&gt;""),TblImps[[#This Row],[Amount 3]])</f>
        <v>0</v>
      </c>
      <c r="AQ115" s="132"/>
      <c r="AR11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32"/>
      <c r="AW11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32"/>
      <c r="BB11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32"/>
      <c r="BG11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32"/>
      <c r="BL11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32"/>
      <c r="BQ11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32"/>
      <c r="BV115"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33" t="n">
        <f aca="false">TblImps[[#This Row],[Login]]</f>
        <v>0</v>
      </c>
      <c r="BX115" s="128"/>
      <c r="BY115" s="347" t="n">
        <f aca="false">OFFSET(TblImps[[#This Row],[Real time]],-1,0)+1/24</f>
        <v>45434.375</v>
      </c>
      <c r="BZ115" s="348" t="n">
        <f aca="false">OFFSET(TblImps[[#This Row],[Servertime]],-1,0)+1/24</f>
        <v>45434.625</v>
      </c>
      <c r="CA115" s="26"/>
      <c r="CB115" s="346"/>
      <c r="CC115" s="346"/>
    </row>
    <row r="116" customFormat="false" ht="12.75" hidden="false" customHeight="false" outlineLevel="0" collapsed="false">
      <c r="A116" s="181" t="n">
        <f aca="false">TblConstr[[#This Row],[Land]]</f>
        <v>700</v>
      </c>
      <c r="B116" s="132"/>
      <c r="C116" s="69" t="n">
        <f aca="false">TblProd[[#This Row],[Platinum]]</f>
        <v>1624543</v>
      </c>
      <c r="D116" s="69" t="n">
        <f aca="false">TblProd[[#This Row],[Lumber]]</f>
        <v>46638</v>
      </c>
      <c r="E116" s="69" t="n">
        <f aca="false">TblProd[[#This Row],[Ore]]</f>
        <v>0</v>
      </c>
      <c r="F116" s="69" t="n">
        <f aca="false">TblProd[[#This Row],[Gems]]</f>
        <v>0</v>
      </c>
      <c r="G116" s="146"/>
      <c r="H116" s="69" t="n">
        <f aca="false">TblMili[[#This Row],[Draftees]]</f>
        <v>3016</v>
      </c>
      <c r="I116" s="130" t="n">
        <f aca="false">TblPop[[#This Row],[Employment]]</f>
        <v>1</v>
      </c>
      <c r="J116" s="130" t="n">
        <f aca="false">TblPop[[#This Row],[Total]]/TblPop[[#This Row],[Net max]]</f>
        <v>1</v>
      </c>
      <c r="K116" s="336" t="n">
        <f aca="false">TblRezone[[#This Row],[Hour]]</f>
        <v>113</v>
      </c>
      <c r="L116" s="337" t="n">
        <f aca="false">TblImps[[#This Row],[Real time]]</f>
        <v>45434.4166666667</v>
      </c>
      <c r="M116" s="33" t="n">
        <f aca="false">IF(ISERROR(TblImps[[#This Row],[algorithm]]),0,TblImps[[#This Row],[algorithm]]*1)</f>
        <v>0</v>
      </c>
      <c r="N116" s="69" t="n">
        <f aca="false">TblImps[[#This Row],[Land]]</f>
        <v>700</v>
      </c>
      <c r="O116" s="338" t="s">
        <v>97</v>
      </c>
      <c r="P116" s="339"/>
      <c r="Q116" s="338" t="s">
        <v>734</v>
      </c>
      <c r="R116" s="338" t="s">
        <v>93</v>
      </c>
      <c r="S116" s="339"/>
      <c r="T116" s="338" t="s">
        <v>734</v>
      </c>
      <c r="U116" s="338" t="s">
        <v>35</v>
      </c>
      <c r="V116" s="339"/>
      <c r="W116" s="338" t="s">
        <v>734</v>
      </c>
      <c r="X116" s="132"/>
      <c r="Y116" s="340" t="n">
        <f aca="false">science_cap*(1-EXP(-TblImps[[#This Row],[Σ Science]]/(science_param*(OFFSET(TblImps[[#This Row],[Land]],1,0)-OFFSET(TblExplore[[#This Row],[Land Bonus]],1,0)*20)+15000)))*(1+(mason_bonus*TblConstr[[#This Row],[Tot Mas]]/TblConstr[[#This Row],[Land (2)]]))</f>
        <v>0</v>
      </c>
      <c r="Z116" s="340" t="n">
        <f aca="false">keep_cap*(1-EXP(-TblImps[[#This Row],[Σ Keep]]/(keep_param*(OFFSET(TblImps[[#This Row],[Land]],1,0)-OFFSET(TblExplore[[#This Row],[Land Bonus]],1,0)*20)+15000)))*(1+(mason_bonus*TblConstr[[#This Row],[Tot Mas]]/TblConstr[[#This Row],[Land (2)]]))</f>
        <v>0</v>
      </c>
      <c r="AA116" s="340" t="n">
        <f aca="false">harbor_towers_cap*(1-EXP(-TblImps[[#This Row],[Σ Towers]]/(towers_param*(OFFSET(TblImps[[#This Row],[Land]],1,0)-OFFSET(TblExplore[[#This Row],[Land Bonus]],1,0)*20)+15000)))*(1+(mason_bonus*TblConstr[[#This Row],[Tot Mas]]/TblConstr[[#This Row],[Land (2)]]))</f>
        <v>0</v>
      </c>
      <c r="AB116" s="340" t="n">
        <f aca="false">walls_forges_cap*(1-EXP(-TblImps[[#This Row],[Σ Forges]]/(walls_forges_param*(OFFSET(TblImps[[#This Row],[Land]],1,0)-OFFSET(TblExplore[[#This Row],[Land Bonus]],1,0)*20)+15000)))*(1+(mason_bonus*TblConstr[[#This Row],[Tot Mas]]/TblConstr[[#This Row],[Land (2)]]))</f>
        <v>0</v>
      </c>
      <c r="AC116" s="340" t="n">
        <f aca="false">walls_forges_cap*(1-EXP(-TblImps[[#This Row],[Σ Walls]]/(walls_forges_param*(OFFSET(TblImps[[#This Row],[Land]],1,0)-OFFSET(TblExplore[[#This Row],[Land Bonus]],1,0)*20)+15000)))*(1+(mason_bonus*TblConstr[[#This Row],[Tot Mas]]/TblConstr[[#This Row],[Land (2)]]))</f>
        <v>0</v>
      </c>
      <c r="AD116" s="340" t="n">
        <f aca="false">harbor_towers_cap*(1-EXP(-TblImps[[#This Row],[Σ Irrigation]]/(harbor_towers_param*(OFFSET(TblImps[[#This Row],[Land]],1,0)-OFFSET(TblExplore[[#This Row],[Land Bonus]],1,0)*20)+15000)))*(1+(mason_bonus*TblConstr[[#This Row],[Tot Mas]]/TblConstr[[#This Row],[Land (2)]]))</f>
        <v>0</v>
      </c>
      <c r="AE116" s="132"/>
      <c r="AF116" s="33" t="n">
        <f aca="false">(1+Overview!$I$28)*SUM(TblImps[[#This Row],[P2]:[G2]])+OFFSET(TblImps[[#This Row],[Σ Science]],-1,0)</f>
        <v>0</v>
      </c>
      <c r="AG116" s="33" t="n">
        <f aca="false">(1+Overview!$I$28)*SUM(TblImps[[#This Row],[P3]:[G3]])+OFFSET(TblImps[[#This Row],[Σ Keep]],-1,0)</f>
        <v>0</v>
      </c>
      <c r="AH116" s="33" t="n">
        <f aca="false">(1+Overview!$I$28 + tech_7_1*TblTech[[#This Row],[7-1]])*SUM(TblImps[[#This Row],[P4]:[G4]])+OFFSET(TblImps[[#This Row],[Σ Towers]],-1,0)</f>
        <v>0</v>
      </c>
      <c r="AI116" s="33" t="n">
        <f aca="false">(1+Overview!$I$28)*SUM(TblImps[[#This Row],[P5]:[G5]])+OFFSET(TblImps[[#This Row],[Σ Forges]],-1,0)</f>
        <v>0</v>
      </c>
      <c r="AJ116" s="33" t="n">
        <f aca="false">(1+Overview!$I$28)*SUM(TblImps[[#This Row],[P6]:[G6]])+OFFSET(TblImps[[#This Row],[Σ Walls]],-1,0)</f>
        <v>0</v>
      </c>
      <c r="AK116" s="33" t="n">
        <f aca="false">(1+Overview!$I$28 + tech_7_1*TblTech[[#This Row],[7-1]])*SUM(TblImps[[#This Row],[P7]:[G7]])+OFFSET(TblImps[[#This Row],[Σ Irrigation]],-1,0)</f>
        <v>0</v>
      </c>
      <c r="AL116" s="132"/>
      <c r="AM116" s="26" t="n">
        <f aca="false">IF(AND(TblImps[[#This Row],[Resource]]=AM$2,TblImps[[#This Row],[Part]]&lt;&gt;""),TblImps[[#This Row],[Amount]]) + IF(AND(TblImps[[#This Row],[Resource 2]]=AM$2,TblImps[[#This Row],[Part 2]]&lt;&gt;""),TblImps[[#This Row],[Amount 2]]) + IF(AND(TblImps[[#This Row],[Resource 3]]=AM$2,TblImps[[#This Row],[Part 3]]&lt;&gt;""),TblImps[[#This Row],[Amount 3]])</f>
        <v>0</v>
      </c>
      <c r="AN116" s="26" t="n">
        <f aca="false">IF(AND(TblImps[[#This Row],[Resource]]=AN$2,TblImps[[#This Row],[Part]]&lt;&gt;""),TblImps[[#This Row],[Amount]]) + IF(AND(TblImps[[#This Row],[Resource 2]]=AN$2,TblImps[[#This Row],[Part 2]]&lt;&gt;""),TblImps[[#This Row],[Amount 2]]) + IF(AND(TblImps[[#This Row],[Resource 3]]=AN$2,TblImps[[#This Row],[Part 3]]&lt;&gt;""),TblImps[[#This Row],[Amount 3]])</f>
        <v>0</v>
      </c>
      <c r="AO116" s="26" t="n">
        <f aca="false">IF(AND(TblImps[[#This Row],[Resource]]=AO$2,TblImps[[#This Row],[Part]]&lt;&gt;""),TblImps[[#This Row],[Amount]]) + IF(AND(TblImps[[#This Row],[Resource 2]]=AO$2,TblImps[[#This Row],[Part 2]]&lt;&gt;""),TblImps[[#This Row],[Amount 2]]) + IF(AND(TblImps[[#This Row],[Resource 3]]=AO$2,TblImps[[#This Row],[Part 3]]&lt;&gt;""),TblImps[[#This Row],[Amount 3]])</f>
        <v>0</v>
      </c>
      <c r="AP116" s="26" t="n">
        <f aca="false">IF(AND(TblImps[[#This Row],[Resource]]=AP$2,TblImps[[#This Row],[Part]]&lt;&gt;""),TblImps[[#This Row],[Amount]]) + IF(AND(TblImps[[#This Row],[Resource 2]]=AP$2,TblImps[[#This Row],[Part 2]]&lt;&gt;""),TblImps[[#This Row],[Amount 2]]) + IF(AND(TblImps[[#This Row],[Resource 3]]=AP$2,TblImps[[#This Row],[Part 3]]&lt;&gt;""),TblImps[[#This Row],[Amount 3]])</f>
        <v>0</v>
      </c>
      <c r="AQ116" s="132"/>
      <c r="AR11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32"/>
      <c r="AW11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32"/>
      <c r="BB11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32"/>
      <c r="BG11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32"/>
      <c r="BL11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32"/>
      <c r="BQ11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32"/>
      <c r="BV116"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33" t="n">
        <f aca="false">TblImps[[#This Row],[Login]]</f>
        <v>0</v>
      </c>
      <c r="BX116" s="128"/>
      <c r="BY116" s="347" t="n">
        <f aca="false">OFFSET(TblImps[[#This Row],[Real time]],-1,0)+1/24</f>
        <v>45434.4166666667</v>
      </c>
      <c r="BZ116" s="348" t="n">
        <f aca="false">OFFSET(TblImps[[#This Row],[Servertime]],-1,0)+1/24</f>
        <v>45434.6666666667</v>
      </c>
      <c r="CA116" s="26"/>
      <c r="CB116" s="346"/>
      <c r="CC116" s="346"/>
    </row>
    <row r="117" customFormat="false" ht="12.75" hidden="false" customHeight="false" outlineLevel="0" collapsed="false">
      <c r="A117" s="181" t="n">
        <f aca="false">TblConstr[[#This Row],[Land]]</f>
        <v>700</v>
      </c>
      <c r="B117" s="132"/>
      <c r="C117" s="69" t="n">
        <f aca="false">TblProd[[#This Row],[Platinum]]</f>
        <v>1655005</v>
      </c>
      <c r="D117" s="69" t="n">
        <f aca="false">TblProd[[#This Row],[Lumber]]</f>
        <v>47297</v>
      </c>
      <c r="E117" s="69" t="n">
        <f aca="false">TblProd[[#This Row],[Ore]]</f>
        <v>0</v>
      </c>
      <c r="F117" s="69" t="n">
        <f aca="false">TblProd[[#This Row],[Gems]]</f>
        <v>0</v>
      </c>
      <c r="G117" s="146"/>
      <c r="H117" s="69" t="n">
        <f aca="false">TblMili[[#This Row],[Draftees]]</f>
        <v>3083</v>
      </c>
      <c r="I117" s="130" t="n">
        <f aca="false">TblPop[[#This Row],[Employment]]</f>
        <v>1</v>
      </c>
      <c r="J117" s="130" t="n">
        <f aca="false">TblPop[[#This Row],[Total]]/TblPop[[#This Row],[Net max]]</f>
        <v>1</v>
      </c>
      <c r="K117" s="336" t="n">
        <f aca="false">TblRezone[[#This Row],[Hour]]</f>
        <v>114</v>
      </c>
      <c r="L117" s="337" t="n">
        <f aca="false">TblImps[[#This Row],[Real time]]</f>
        <v>45434.4583333333</v>
      </c>
      <c r="M117" s="33" t="n">
        <f aca="false">IF(ISERROR(TblImps[[#This Row],[algorithm]]),0,TblImps[[#This Row],[algorithm]]*1)</f>
        <v>0</v>
      </c>
      <c r="N117" s="69" t="n">
        <f aca="false">TblImps[[#This Row],[Land]]</f>
        <v>700</v>
      </c>
      <c r="O117" s="338" t="s">
        <v>97</v>
      </c>
      <c r="P117" s="339"/>
      <c r="Q117" s="338" t="s">
        <v>734</v>
      </c>
      <c r="R117" s="338" t="s">
        <v>93</v>
      </c>
      <c r="S117" s="339"/>
      <c r="T117" s="338" t="s">
        <v>734</v>
      </c>
      <c r="U117" s="338" t="s">
        <v>35</v>
      </c>
      <c r="V117" s="339"/>
      <c r="W117" s="338" t="s">
        <v>734</v>
      </c>
      <c r="X117" s="132"/>
      <c r="Y117" s="340" t="n">
        <f aca="false">science_cap*(1-EXP(-TblImps[[#This Row],[Σ Science]]/(science_param*(OFFSET(TblImps[[#This Row],[Land]],1,0)-OFFSET(TblExplore[[#This Row],[Land Bonus]],1,0)*20)+15000)))*(1+(mason_bonus*TblConstr[[#This Row],[Tot Mas]]/TblConstr[[#This Row],[Land (2)]]))</f>
        <v>0</v>
      </c>
      <c r="Z117" s="340" t="n">
        <f aca="false">keep_cap*(1-EXP(-TblImps[[#This Row],[Σ Keep]]/(keep_param*(OFFSET(TblImps[[#This Row],[Land]],1,0)-OFFSET(TblExplore[[#This Row],[Land Bonus]],1,0)*20)+15000)))*(1+(mason_bonus*TblConstr[[#This Row],[Tot Mas]]/TblConstr[[#This Row],[Land (2)]]))</f>
        <v>0</v>
      </c>
      <c r="AA117" s="340" t="n">
        <f aca="false">harbor_towers_cap*(1-EXP(-TblImps[[#This Row],[Σ Towers]]/(towers_param*(OFFSET(TblImps[[#This Row],[Land]],1,0)-OFFSET(TblExplore[[#This Row],[Land Bonus]],1,0)*20)+15000)))*(1+(mason_bonus*TblConstr[[#This Row],[Tot Mas]]/TblConstr[[#This Row],[Land (2)]]))</f>
        <v>0</v>
      </c>
      <c r="AB117" s="340" t="n">
        <f aca="false">walls_forges_cap*(1-EXP(-TblImps[[#This Row],[Σ Forges]]/(walls_forges_param*(OFFSET(TblImps[[#This Row],[Land]],1,0)-OFFSET(TblExplore[[#This Row],[Land Bonus]],1,0)*20)+15000)))*(1+(mason_bonus*TblConstr[[#This Row],[Tot Mas]]/TblConstr[[#This Row],[Land (2)]]))</f>
        <v>0</v>
      </c>
      <c r="AC117" s="340" t="n">
        <f aca="false">walls_forges_cap*(1-EXP(-TblImps[[#This Row],[Σ Walls]]/(walls_forges_param*(OFFSET(TblImps[[#This Row],[Land]],1,0)-OFFSET(TblExplore[[#This Row],[Land Bonus]],1,0)*20)+15000)))*(1+(mason_bonus*TblConstr[[#This Row],[Tot Mas]]/TblConstr[[#This Row],[Land (2)]]))</f>
        <v>0</v>
      </c>
      <c r="AD117" s="340" t="n">
        <f aca="false">harbor_towers_cap*(1-EXP(-TblImps[[#This Row],[Σ Irrigation]]/(harbor_towers_param*(OFFSET(TblImps[[#This Row],[Land]],1,0)-OFFSET(TblExplore[[#This Row],[Land Bonus]],1,0)*20)+15000)))*(1+(mason_bonus*TblConstr[[#This Row],[Tot Mas]]/TblConstr[[#This Row],[Land (2)]]))</f>
        <v>0</v>
      </c>
      <c r="AE117" s="132"/>
      <c r="AF117" s="33" t="n">
        <f aca="false">(1+Overview!$I$28)*SUM(TblImps[[#This Row],[P2]:[G2]])+OFFSET(TblImps[[#This Row],[Σ Science]],-1,0)</f>
        <v>0</v>
      </c>
      <c r="AG117" s="33" t="n">
        <f aca="false">(1+Overview!$I$28)*SUM(TblImps[[#This Row],[P3]:[G3]])+OFFSET(TblImps[[#This Row],[Σ Keep]],-1,0)</f>
        <v>0</v>
      </c>
      <c r="AH117" s="33" t="n">
        <f aca="false">(1+Overview!$I$28 + tech_7_1*TblTech[[#This Row],[7-1]])*SUM(TblImps[[#This Row],[P4]:[G4]])+OFFSET(TblImps[[#This Row],[Σ Towers]],-1,0)</f>
        <v>0</v>
      </c>
      <c r="AI117" s="33" t="n">
        <f aca="false">(1+Overview!$I$28)*SUM(TblImps[[#This Row],[P5]:[G5]])+OFFSET(TblImps[[#This Row],[Σ Forges]],-1,0)</f>
        <v>0</v>
      </c>
      <c r="AJ117" s="33" t="n">
        <f aca="false">(1+Overview!$I$28)*SUM(TblImps[[#This Row],[P6]:[G6]])+OFFSET(TblImps[[#This Row],[Σ Walls]],-1,0)</f>
        <v>0</v>
      </c>
      <c r="AK117" s="33" t="n">
        <f aca="false">(1+Overview!$I$28 + tech_7_1*TblTech[[#This Row],[7-1]])*SUM(TblImps[[#This Row],[P7]:[G7]])+OFFSET(TblImps[[#This Row],[Σ Irrigation]],-1,0)</f>
        <v>0</v>
      </c>
      <c r="AL117" s="132"/>
      <c r="AM117" s="26" t="n">
        <f aca="false">IF(AND(TblImps[[#This Row],[Resource]]=AM$2,TblImps[[#This Row],[Part]]&lt;&gt;""),TblImps[[#This Row],[Amount]]) + IF(AND(TblImps[[#This Row],[Resource 2]]=AM$2,TblImps[[#This Row],[Part 2]]&lt;&gt;""),TblImps[[#This Row],[Amount 2]]) + IF(AND(TblImps[[#This Row],[Resource 3]]=AM$2,TblImps[[#This Row],[Part 3]]&lt;&gt;""),TblImps[[#This Row],[Amount 3]])</f>
        <v>0</v>
      </c>
      <c r="AN117" s="26" t="n">
        <f aca="false">IF(AND(TblImps[[#This Row],[Resource]]=AN$2,TblImps[[#This Row],[Part]]&lt;&gt;""),TblImps[[#This Row],[Amount]]) + IF(AND(TblImps[[#This Row],[Resource 2]]=AN$2,TblImps[[#This Row],[Part 2]]&lt;&gt;""),TblImps[[#This Row],[Amount 2]]) + IF(AND(TblImps[[#This Row],[Resource 3]]=AN$2,TblImps[[#This Row],[Part 3]]&lt;&gt;""),TblImps[[#This Row],[Amount 3]])</f>
        <v>0</v>
      </c>
      <c r="AO117" s="26" t="n">
        <f aca="false">IF(AND(TblImps[[#This Row],[Resource]]=AO$2,TblImps[[#This Row],[Part]]&lt;&gt;""),TblImps[[#This Row],[Amount]]) + IF(AND(TblImps[[#This Row],[Resource 2]]=AO$2,TblImps[[#This Row],[Part 2]]&lt;&gt;""),TblImps[[#This Row],[Amount 2]]) + IF(AND(TblImps[[#This Row],[Resource 3]]=AO$2,TblImps[[#This Row],[Part 3]]&lt;&gt;""),TblImps[[#This Row],[Amount 3]])</f>
        <v>0</v>
      </c>
      <c r="AP117" s="26" t="n">
        <f aca="false">IF(AND(TblImps[[#This Row],[Resource]]=AP$2,TblImps[[#This Row],[Part]]&lt;&gt;""),TblImps[[#This Row],[Amount]]) + IF(AND(TblImps[[#This Row],[Resource 2]]=AP$2,TblImps[[#This Row],[Part 2]]&lt;&gt;""),TblImps[[#This Row],[Amount 2]]) + IF(AND(TblImps[[#This Row],[Resource 3]]=AP$2,TblImps[[#This Row],[Part 3]]&lt;&gt;""),TblImps[[#This Row],[Amount 3]])</f>
        <v>0</v>
      </c>
      <c r="AQ117" s="132"/>
      <c r="AR11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32"/>
      <c r="AW11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32"/>
      <c r="BB11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32"/>
      <c r="BG11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32"/>
      <c r="BL11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32"/>
      <c r="BQ11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32"/>
      <c r="BV117"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33" t="n">
        <f aca="false">TblImps[[#This Row],[Login]]</f>
        <v>0</v>
      </c>
      <c r="BX117" s="128"/>
      <c r="BY117" s="347" t="n">
        <f aca="false">OFFSET(TblImps[[#This Row],[Real time]],-1,0)+1/24</f>
        <v>45434.4583333333</v>
      </c>
      <c r="BZ117" s="348" t="n">
        <f aca="false">OFFSET(TblImps[[#This Row],[Servertime]],-1,0)+1/24</f>
        <v>45434.7083333333</v>
      </c>
      <c r="CA117" s="26"/>
      <c r="CB117" s="346"/>
      <c r="CC117" s="346"/>
    </row>
    <row r="118" customFormat="false" ht="12.75" hidden="false" customHeight="false" outlineLevel="0" collapsed="false">
      <c r="A118" s="181" t="n">
        <f aca="false">TblConstr[[#This Row],[Land]]</f>
        <v>700</v>
      </c>
      <c r="B118" s="132"/>
      <c r="C118" s="69" t="n">
        <f aca="false">TblProd[[#This Row],[Platinum]]</f>
        <v>1685286</v>
      </c>
      <c r="D118" s="69" t="n">
        <f aca="false">TblProd[[#This Row],[Lumber]]</f>
        <v>47949</v>
      </c>
      <c r="E118" s="69" t="n">
        <f aca="false">TblProd[[#This Row],[Ore]]</f>
        <v>0</v>
      </c>
      <c r="F118" s="69" t="n">
        <f aca="false">TblProd[[#This Row],[Gems]]</f>
        <v>0</v>
      </c>
      <c r="G118" s="146"/>
      <c r="H118" s="69" t="n">
        <f aca="false">TblMili[[#This Row],[Draftees]]</f>
        <v>3149</v>
      </c>
      <c r="I118" s="130" t="n">
        <f aca="false">TblPop[[#This Row],[Employment]]</f>
        <v>1</v>
      </c>
      <c r="J118" s="130" t="n">
        <f aca="false">TblPop[[#This Row],[Total]]/TblPop[[#This Row],[Net max]]</f>
        <v>1</v>
      </c>
      <c r="K118" s="336" t="n">
        <f aca="false">TblRezone[[#This Row],[Hour]]</f>
        <v>115</v>
      </c>
      <c r="L118" s="337" t="n">
        <f aca="false">TblImps[[#This Row],[Real time]]</f>
        <v>45434.5</v>
      </c>
      <c r="M118" s="33" t="n">
        <f aca="false">IF(ISERROR(TblImps[[#This Row],[algorithm]]),0,TblImps[[#This Row],[algorithm]]*1)</f>
        <v>0</v>
      </c>
      <c r="N118" s="69" t="n">
        <f aca="false">TblImps[[#This Row],[Land]]</f>
        <v>700</v>
      </c>
      <c r="O118" s="338" t="s">
        <v>97</v>
      </c>
      <c r="P118" s="339"/>
      <c r="Q118" s="338" t="s">
        <v>734</v>
      </c>
      <c r="R118" s="338" t="s">
        <v>93</v>
      </c>
      <c r="S118" s="339"/>
      <c r="T118" s="338" t="s">
        <v>734</v>
      </c>
      <c r="U118" s="338" t="s">
        <v>35</v>
      </c>
      <c r="V118" s="339"/>
      <c r="W118" s="338" t="s">
        <v>734</v>
      </c>
      <c r="X118" s="132"/>
      <c r="Y118" s="340" t="n">
        <f aca="false">science_cap*(1-EXP(-TblImps[[#This Row],[Σ Science]]/(science_param*(OFFSET(TblImps[[#This Row],[Land]],1,0)-OFFSET(TblExplore[[#This Row],[Land Bonus]],1,0)*20)+15000)))*(1+(mason_bonus*TblConstr[[#This Row],[Tot Mas]]/TblConstr[[#This Row],[Land (2)]]))</f>
        <v>0</v>
      </c>
      <c r="Z118" s="340" t="n">
        <f aca="false">keep_cap*(1-EXP(-TblImps[[#This Row],[Σ Keep]]/(keep_param*(OFFSET(TblImps[[#This Row],[Land]],1,0)-OFFSET(TblExplore[[#This Row],[Land Bonus]],1,0)*20)+15000)))*(1+(mason_bonus*TblConstr[[#This Row],[Tot Mas]]/TblConstr[[#This Row],[Land (2)]]))</f>
        <v>0</v>
      </c>
      <c r="AA118" s="340" t="n">
        <f aca="false">harbor_towers_cap*(1-EXP(-TblImps[[#This Row],[Σ Towers]]/(towers_param*(OFFSET(TblImps[[#This Row],[Land]],1,0)-OFFSET(TblExplore[[#This Row],[Land Bonus]],1,0)*20)+15000)))*(1+(mason_bonus*TblConstr[[#This Row],[Tot Mas]]/TblConstr[[#This Row],[Land (2)]]))</f>
        <v>0</v>
      </c>
      <c r="AB118" s="340" t="n">
        <f aca="false">walls_forges_cap*(1-EXP(-TblImps[[#This Row],[Σ Forges]]/(walls_forges_param*(OFFSET(TblImps[[#This Row],[Land]],1,0)-OFFSET(TblExplore[[#This Row],[Land Bonus]],1,0)*20)+15000)))*(1+(mason_bonus*TblConstr[[#This Row],[Tot Mas]]/TblConstr[[#This Row],[Land (2)]]))</f>
        <v>0</v>
      </c>
      <c r="AC118" s="340" t="n">
        <f aca="false">walls_forges_cap*(1-EXP(-TblImps[[#This Row],[Σ Walls]]/(walls_forges_param*(OFFSET(TblImps[[#This Row],[Land]],1,0)-OFFSET(TblExplore[[#This Row],[Land Bonus]],1,0)*20)+15000)))*(1+(mason_bonus*TblConstr[[#This Row],[Tot Mas]]/TblConstr[[#This Row],[Land (2)]]))</f>
        <v>0</v>
      </c>
      <c r="AD118" s="340" t="n">
        <f aca="false">harbor_towers_cap*(1-EXP(-TblImps[[#This Row],[Σ Irrigation]]/(harbor_towers_param*(OFFSET(TblImps[[#This Row],[Land]],1,0)-OFFSET(TblExplore[[#This Row],[Land Bonus]],1,0)*20)+15000)))*(1+(mason_bonus*TblConstr[[#This Row],[Tot Mas]]/TblConstr[[#This Row],[Land (2)]]))</f>
        <v>0</v>
      </c>
      <c r="AE118" s="132"/>
      <c r="AF118" s="33" t="n">
        <f aca="false">(1+Overview!$I$28)*SUM(TblImps[[#This Row],[P2]:[G2]])+OFFSET(TblImps[[#This Row],[Σ Science]],-1,0)</f>
        <v>0</v>
      </c>
      <c r="AG118" s="33" t="n">
        <f aca="false">(1+Overview!$I$28)*SUM(TblImps[[#This Row],[P3]:[G3]])+OFFSET(TblImps[[#This Row],[Σ Keep]],-1,0)</f>
        <v>0</v>
      </c>
      <c r="AH118" s="33" t="n">
        <f aca="false">(1+Overview!$I$28 + tech_7_1*TblTech[[#This Row],[7-1]])*SUM(TblImps[[#This Row],[P4]:[G4]])+OFFSET(TblImps[[#This Row],[Σ Towers]],-1,0)</f>
        <v>0</v>
      </c>
      <c r="AI118" s="33" t="n">
        <f aca="false">(1+Overview!$I$28)*SUM(TblImps[[#This Row],[P5]:[G5]])+OFFSET(TblImps[[#This Row],[Σ Forges]],-1,0)</f>
        <v>0</v>
      </c>
      <c r="AJ118" s="33" t="n">
        <f aca="false">(1+Overview!$I$28)*SUM(TblImps[[#This Row],[P6]:[G6]])+OFFSET(TblImps[[#This Row],[Σ Walls]],-1,0)</f>
        <v>0</v>
      </c>
      <c r="AK118" s="33" t="n">
        <f aca="false">(1+Overview!$I$28 + tech_7_1*TblTech[[#This Row],[7-1]])*SUM(TblImps[[#This Row],[P7]:[G7]])+OFFSET(TblImps[[#This Row],[Σ Irrigation]],-1,0)</f>
        <v>0</v>
      </c>
      <c r="AL118" s="132"/>
      <c r="AM118" s="26" t="n">
        <f aca="false">IF(AND(TblImps[[#This Row],[Resource]]=AM$2,TblImps[[#This Row],[Part]]&lt;&gt;""),TblImps[[#This Row],[Amount]]) + IF(AND(TblImps[[#This Row],[Resource 2]]=AM$2,TblImps[[#This Row],[Part 2]]&lt;&gt;""),TblImps[[#This Row],[Amount 2]]) + IF(AND(TblImps[[#This Row],[Resource 3]]=AM$2,TblImps[[#This Row],[Part 3]]&lt;&gt;""),TblImps[[#This Row],[Amount 3]])</f>
        <v>0</v>
      </c>
      <c r="AN118" s="26" t="n">
        <f aca="false">IF(AND(TblImps[[#This Row],[Resource]]=AN$2,TblImps[[#This Row],[Part]]&lt;&gt;""),TblImps[[#This Row],[Amount]]) + IF(AND(TblImps[[#This Row],[Resource 2]]=AN$2,TblImps[[#This Row],[Part 2]]&lt;&gt;""),TblImps[[#This Row],[Amount 2]]) + IF(AND(TblImps[[#This Row],[Resource 3]]=AN$2,TblImps[[#This Row],[Part 3]]&lt;&gt;""),TblImps[[#This Row],[Amount 3]])</f>
        <v>0</v>
      </c>
      <c r="AO118" s="26" t="n">
        <f aca="false">IF(AND(TblImps[[#This Row],[Resource]]=AO$2,TblImps[[#This Row],[Part]]&lt;&gt;""),TblImps[[#This Row],[Amount]]) + IF(AND(TblImps[[#This Row],[Resource 2]]=AO$2,TblImps[[#This Row],[Part 2]]&lt;&gt;""),TblImps[[#This Row],[Amount 2]]) + IF(AND(TblImps[[#This Row],[Resource 3]]=AO$2,TblImps[[#This Row],[Part 3]]&lt;&gt;""),TblImps[[#This Row],[Amount 3]])</f>
        <v>0</v>
      </c>
      <c r="AP118" s="26" t="n">
        <f aca="false">IF(AND(TblImps[[#This Row],[Resource]]=AP$2,TblImps[[#This Row],[Part]]&lt;&gt;""),TblImps[[#This Row],[Amount]]) + IF(AND(TblImps[[#This Row],[Resource 2]]=AP$2,TblImps[[#This Row],[Part 2]]&lt;&gt;""),TblImps[[#This Row],[Amount 2]]) + IF(AND(TblImps[[#This Row],[Resource 3]]=AP$2,TblImps[[#This Row],[Part 3]]&lt;&gt;""),TblImps[[#This Row],[Amount 3]])</f>
        <v>0</v>
      </c>
      <c r="AQ118" s="132"/>
      <c r="AR11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32"/>
      <c r="AW11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32"/>
      <c r="BB11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32"/>
      <c r="BG11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32"/>
      <c r="BL11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32"/>
      <c r="BQ11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32"/>
      <c r="BV118"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33" t="n">
        <f aca="false">TblImps[[#This Row],[Login]]</f>
        <v>0</v>
      </c>
      <c r="BX118" s="128"/>
      <c r="BY118" s="347" t="n">
        <f aca="false">OFFSET(TblImps[[#This Row],[Real time]],-1,0)+1/24</f>
        <v>45434.5</v>
      </c>
      <c r="BZ118" s="348" t="n">
        <f aca="false">OFFSET(TblImps[[#This Row],[Servertime]],-1,0)+1/24</f>
        <v>45434.75</v>
      </c>
      <c r="CA118" s="26"/>
      <c r="CB118" s="346"/>
      <c r="CC118" s="346"/>
    </row>
    <row r="119" customFormat="false" ht="12.75" hidden="false" customHeight="false" outlineLevel="0" collapsed="false">
      <c r="A119" s="181" t="n">
        <f aca="false">TblConstr[[#This Row],[Land]]</f>
        <v>700</v>
      </c>
      <c r="B119" s="132"/>
      <c r="C119" s="69" t="n">
        <f aca="false">TblProd[[#This Row],[Platinum]]</f>
        <v>1715389</v>
      </c>
      <c r="D119" s="69" t="n">
        <f aca="false">TblProd[[#This Row],[Lumber]]</f>
        <v>48595</v>
      </c>
      <c r="E119" s="69" t="n">
        <f aca="false">TblProd[[#This Row],[Ore]]</f>
        <v>0</v>
      </c>
      <c r="F119" s="69" t="n">
        <f aca="false">TblProd[[#This Row],[Gems]]</f>
        <v>0</v>
      </c>
      <c r="G119" s="146"/>
      <c r="H119" s="69" t="n">
        <f aca="false">TblMili[[#This Row],[Draftees]]</f>
        <v>3215</v>
      </c>
      <c r="I119" s="130" t="n">
        <f aca="false">TblPop[[#This Row],[Employment]]</f>
        <v>1</v>
      </c>
      <c r="J119" s="130" t="n">
        <f aca="false">TblPop[[#This Row],[Total]]/TblPop[[#This Row],[Net max]]</f>
        <v>1</v>
      </c>
      <c r="K119" s="336" t="n">
        <f aca="false">TblRezone[[#This Row],[Hour]]</f>
        <v>116</v>
      </c>
      <c r="L119" s="337" t="n">
        <f aca="false">TblImps[[#This Row],[Real time]]</f>
        <v>45434.5416666667</v>
      </c>
      <c r="M119" s="33" t="n">
        <f aca="false">IF(ISERROR(TblImps[[#This Row],[algorithm]]),0,TblImps[[#This Row],[algorithm]]*1)</f>
        <v>0</v>
      </c>
      <c r="N119" s="69" t="n">
        <f aca="false">TblImps[[#This Row],[Land]]</f>
        <v>700</v>
      </c>
      <c r="O119" s="338" t="s">
        <v>97</v>
      </c>
      <c r="P119" s="339"/>
      <c r="Q119" s="338" t="s">
        <v>734</v>
      </c>
      <c r="R119" s="338" t="s">
        <v>93</v>
      </c>
      <c r="S119" s="339"/>
      <c r="T119" s="338" t="s">
        <v>734</v>
      </c>
      <c r="U119" s="338" t="s">
        <v>35</v>
      </c>
      <c r="V119" s="339"/>
      <c r="W119" s="338" t="s">
        <v>734</v>
      </c>
      <c r="X119" s="132"/>
      <c r="Y119" s="340" t="n">
        <f aca="false">science_cap*(1-EXP(-TblImps[[#This Row],[Σ Science]]/(science_param*(OFFSET(TblImps[[#This Row],[Land]],1,0)-OFFSET(TblExplore[[#This Row],[Land Bonus]],1,0)*20)+15000)))*(1+(mason_bonus*TblConstr[[#This Row],[Tot Mas]]/TblConstr[[#This Row],[Land (2)]]))</f>
        <v>0</v>
      </c>
      <c r="Z119" s="340" t="n">
        <f aca="false">keep_cap*(1-EXP(-TblImps[[#This Row],[Σ Keep]]/(keep_param*(OFFSET(TblImps[[#This Row],[Land]],1,0)-OFFSET(TblExplore[[#This Row],[Land Bonus]],1,0)*20)+15000)))*(1+(mason_bonus*TblConstr[[#This Row],[Tot Mas]]/TblConstr[[#This Row],[Land (2)]]))</f>
        <v>0</v>
      </c>
      <c r="AA119" s="340" t="n">
        <f aca="false">harbor_towers_cap*(1-EXP(-TblImps[[#This Row],[Σ Towers]]/(towers_param*(OFFSET(TblImps[[#This Row],[Land]],1,0)-OFFSET(TblExplore[[#This Row],[Land Bonus]],1,0)*20)+15000)))*(1+(mason_bonus*TblConstr[[#This Row],[Tot Mas]]/TblConstr[[#This Row],[Land (2)]]))</f>
        <v>0</v>
      </c>
      <c r="AB119" s="340" t="n">
        <f aca="false">walls_forges_cap*(1-EXP(-TblImps[[#This Row],[Σ Forges]]/(walls_forges_param*(OFFSET(TblImps[[#This Row],[Land]],1,0)-OFFSET(TblExplore[[#This Row],[Land Bonus]],1,0)*20)+15000)))*(1+(mason_bonus*TblConstr[[#This Row],[Tot Mas]]/TblConstr[[#This Row],[Land (2)]]))</f>
        <v>0</v>
      </c>
      <c r="AC119" s="340" t="n">
        <f aca="false">walls_forges_cap*(1-EXP(-TblImps[[#This Row],[Σ Walls]]/(walls_forges_param*(OFFSET(TblImps[[#This Row],[Land]],1,0)-OFFSET(TblExplore[[#This Row],[Land Bonus]],1,0)*20)+15000)))*(1+(mason_bonus*TblConstr[[#This Row],[Tot Mas]]/TblConstr[[#This Row],[Land (2)]]))</f>
        <v>0</v>
      </c>
      <c r="AD119" s="340" t="n">
        <f aca="false">harbor_towers_cap*(1-EXP(-TblImps[[#This Row],[Σ Irrigation]]/(harbor_towers_param*(OFFSET(TblImps[[#This Row],[Land]],1,0)-OFFSET(TblExplore[[#This Row],[Land Bonus]],1,0)*20)+15000)))*(1+(mason_bonus*TblConstr[[#This Row],[Tot Mas]]/TblConstr[[#This Row],[Land (2)]]))</f>
        <v>0</v>
      </c>
      <c r="AE119" s="132"/>
      <c r="AF119" s="33" t="n">
        <f aca="false">(1+Overview!$I$28)*SUM(TblImps[[#This Row],[P2]:[G2]])+OFFSET(TblImps[[#This Row],[Σ Science]],-1,0)</f>
        <v>0</v>
      </c>
      <c r="AG119" s="33" t="n">
        <f aca="false">(1+Overview!$I$28)*SUM(TblImps[[#This Row],[P3]:[G3]])+OFFSET(TblImps[[#This Row],[Σ Keep]],-1,0)</f>
        <v>0</v>
      </c>
      <c r="AH119" s="33" t="n">
        <f aca="false">(1+Overview!$I$28 + tech_7_1*TblTech[[#This Row],[7-1]])*SUM(TblImps[[#This Row],[P4]:[G4]])+OFFSET(TblImps[[#This Row],[Σ Towers]],-1,0)</f>
        <v>0</v>
      </c>
      <c r="AI119" s="33" t="n">
        <f aca="false">(1+Overview!$I$28)*SUM(TblImps[[#This Row],[P5]:[G5]])+OFFSET(TblImps[[#This Row],[Σ Forges]],-1,0)</f>
        <v>0</v>
      </c>
      <c r="AJ119" s="33" t="n">
        <f aca="false">(1+Overview!$I$28)*SUM(TblImps[[#This Row],[P6]:[G6]])+OFFSET(TblImps[[#This Row],[Σ Walls]],-1,0)</f>
        <v>0</v>
      </c>
      <c r="AK119" s="33" t="n">
        <f aca="false">(1+Overview!$I$28 + tech_7_1*TblTech[[#This Row],[7-1]])*SUM(TblImps[[#This Row],[P7]:[G7]])+OFFSET(TblImps[[#This Row],[Σ Irrigation]],-1,0)</f>
        <v>0</v>
      </c>
      <c r="AL119" s="132"/>
      <c r="AM119" s="26" t="n">
        <f aca="false">IF(AND(TblImps[[#This Row],[Resource]]=AM$2,TblImps[[#This Row],[Part]]&lt;&gt;""),TblImps[[#This Row],[Amount]]) + IF(AND(TblImps[[#This Row],[Resource 2]]=AM$2,TblImps[[#This Row],[Part 2]]&lt;&gt;""),TblImps[[#This Row],[Amount 2]]) + IF(AND(TblImps[[#This Row],[Resource 3]]=AM$2,TblImps[[#This Row],[Part 3]]&lt;&gt;""),TblImps[[#This Row],[Amount 3]])</f>
        <v>0</v>
      </c>
      <c r="AN119" s="26" t="n">
        <f aca="false">IF(AND(TblImps[[#This Row],[Resource]]=AN$2,TblImps[[#This Row],[Part]]&lt;&gt;""),TblImps[[#This Row],[Amount]]) + IF(AND(TblImps[[#This Row],[Resource 2]]=AN$2,TblImps[[#This Row],[Part 2]]&lt;&gt;""),TblImps[[#This Row],[Amount 2]]) + IF(AND(TblImps[[#This Row],[Resource 3]]=AN$2,TblImps[[#This Row],[Part 3]]&lt;&gt;""),TblImps[[#This Row],[Amount 3]])</f>
        <v>0</v>
      </c>
      <c r="AO119" s="26" t="n">
        <f aca="false">IF(AND(TblImps[[#This Row],[Resource]]=AO$2,TblImps[[#This Row],[Part]]&lt;&gt;""),TblImps[[#This Row],[Amount]]) + IF(AND(TblImps[[#This Row],[Resource 2]]=AO$2,TblImps[[#This Row],[Part 2]]&lt;&gt;""),TblImps[[#This Row],[Amount 2]]) + IF(AND(TblImps[[#This Row],[Resource 3]]=AO$2,TblImps[[#This Row],[Part 3]]&lt;&gt;""),TblImps[[#This Row],[Amount 3]])</f>
        <v>0</v>
      </c>
      <c r="AP119" s="26" t="n">
        <f aca="false">IF(AND(TblImps[[#This Row],[Resource]]=AP$2,TblImps[[#This Row],[Part]]&lt;&gt;""),TblImps[[#This Row],[Amount]]) + IF(AND(TblImps[[#This Row],[Resource 2]]=AP$2,TblImps[[#This Row],[Part 2]]&lt;&gt;""),TblImps[[#This Row],[Amount 2]]) + IF(AND(TblImps[[#This Row],[Resource 3]]=AP$2,TblImps[[#This Row],[Part 3]]&lt;&gt;""),TblImps[[#This Row],[Amount 3]])</f>
        <v>0</v>
      </c>
      <c r="AQ119" s="132"/>
      <c r="AR11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32"/>
      <c r="AW11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32"/>
      <c r="BB11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32"/>
      <c r="BG11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32"/>
      <c r="BL11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32"/>
      <c r="BQ11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32"/>
      <c r="BV119"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33" t="n">
        <f aca="false">TblImps[[#This Row],[Login]]</f>
        <v>0</v>
      </c>
      <c r="BX119" s="128"/>
      <c r="BY119" s="347" t="n">
        <f aca="false">OFFSET(TblImps[[#This Row],[Real time]],-1,0)+1/24</f>
        <v>45434.5416666667</v>
      </c>
      <c r="BZ119" s="348" t="n">
        <f aca="false">OFFSET(TblImps[[#This Row],[Servertime]],-1,0)+1/24</f>
        <v>45434.7916666667</v>
      </c>
      <c r="CA119" s="26"/>
      <c r="CB119" s="346"/>
      <c r="CC119" s="346"/>
    </row>
    <row r="120" customFormat="false" ht="12.75" hidden="false" customHeight="false" outlineLevel="0" collapsed="false">
      <c r="A120" s="181" t="n">
        <f aca="false">TblConstr[[#This Row],[Land]]</f>
        <v>700</v>
      </c>
      <c r="B120" s="132"/>
      <c r="C120" s="69" t="n">
        <f aca="false">TblProd[[#This Row],[Platinum]]</f>
        <v>1745314</v>
      </c>
      <c r="D120" s="69" t="n">
        <f aca="false">TblProd[[#This Row],[Lumber]]</f>
        <v>49234</v>
      </c>
      <c r="E120" s="69" t="n">
        <f aca="false">TblProd[[#This Row],[Ore]]</f>
        <v>0</v>
      </c>
      <c r="F120" s="69" t="n">
        <f aca="false">TblProd[[#This Row],[Gems]]</f>
        <v>0</v>
      </c>
      <c r="G120" s="146"/>
      <c r="H120" s="69" t="n">
        <f aca="false">TblMili[[#This Row],[Draftees]]</f>
        <v>3280</v>
      </c>
      <c r="I120" s="130" t="n">
        <f aca="false">TblPop[[#This Row],[Employment]]</f>
        <v>1</v>
      </c>
      <c r="J120" s="130" t="n">
        <f aca="false">TblPop[[#This Row],[Total]]/TblPop[[#This Row],[Net max]]</f>
        <v>1</v>
      </c>
      <c r="K120" s="336" t="n">
        <f aca="false">TblRezone[[#This Row],[Hour]]</f>
        <v>117</v>
      </c>
      <c r="L120" s="337" t="n">
        <f aca="false">TblImps[[#This Row],[Real time]]</f>
        <v>45434.5833333333</v>
      </c>
      <c r="M120" s="33" t="n">
        <f aca="false">IF(ISERROR(TblImps[[#This Row],[algorithm]]),0,TblImps[[#This Row],[algorithm]]*1)</f>
        <v>0</v>
      </c>
      <c r="N120" s="69" t="n">
        <f aca="false">TblImps[[#This Row],[Land]]</f>
        <v>700</v>
      </c>
      <c r="O120" s="338" t="s">
        <v>97</v>
      </c>
      <c r="P120" s="339"/>
      <c r="Q120" s="338" t="s">
        <v>734</v>
      </c>
      <c r="R120" s="338" t="s">
        <v>93</v>
      </c>
      <c r="S120" s="339"/>
      <c r="T120" s="338" t="s">
        <v>734</v>
      </c>
      <c r="U120" s="338" t="s">
        <v>35</v>
      </c>
      <c r="V120" s="339"/>
      <c r="W120" s="338" t="s">
        <v>734</v>
      </c>
      <c r="X120" s="132"/>
      <c r="Y120" s="340" t="n">
        <f aca="false">science_cap*(1-EXP(-TblImps[[#This Row],[Σ Science]]/(science_param*(OFFSET(TblImps[[#This Row],[Land]],1,0)-OFFSET(TblExplore[[#This Row],[Land Bonus]],1,0)*20)+15000)))*(1+(mason_bonus*TblConstr[[#This Row],[Tot Mas]]/TblConstr[[#This Row],[Land (2)]]))</f>
        <v>0</v>
      </c>
      <c r="Z120" s="340" t="n">
        <f aca="false">keep_cap*(1-EXP(-TblImps[[#This Row],[Σ Keep]]/(keep_param*(OFFSET(TblImps[[#This Row],[Land]],1,0)-OFFSET(TblExplore[[#This Row],[Land Bonus]],1,0)*20)+15000)))*(1+(mason_bonus*TblConstr[[#This Row],[Tot Mas]]/TblConstr[[#This Row],[Land (2)]]))</f>
        <v>0</v>
      </c>
      <c r="AA120" s="340" t="n">
        <f aca="false">harbor_towers_cap*(1-EXP(-TblImps[[#This Row],[Σ Towers]]/(towers_param*(OFFSET(TblImps[[#This Row],[Land]],1,0)-OFFSET(TblExplore[[#This Row],[Land Bonus]],1,0)*20)+15000)))*(1+(mason_bonus*TblConstr[[#This Row],[Tot Mas]]/TblConstr[[#This Row],[Land (2)]]))</f>
        <v>0</v>
      </c>
      <c r="AB120" s="340" t="n">
        <f aca="false">walls_forges_cap*(1-EXP(-TblImps[[#This Row],[Σ Forges]]/(walls_forges_param*(OFFSET(TblImps[[#This Row],[Land]],1,0)-OFFSET(TblExplore[[#This Row],[Land Bonus]],1,0)*20)+15000)))*(1+(mason_bonus*TblConstr[[#This Row],[Tot Mas]]/TblConstr[[#This Row],[Land (2)]]))</f>
        <v>0</v>
      </c>
      <c r="AC120" s="340" t="n">
        <f aca="false">walls_forges_cap*(1-EXP(-TblImps[[#This Row],[Σ Walls]]/(walls_forges_param*(OFFSET(TblImps[[#This Row],[Land]],1,0)-OFFSET(TblExplore[[#This Row],[Land Bonus]],1,0)*20)+15000)))*(1+(mason_bonus*TblConstr[[#This Row],[Tot Mas]]/TblConstr[[#This Row],[Land (2)]]))</f>
        <v>0</v>
      </c>
      <c r="AD120" s="340" t="n">
        <f aca="false">harbor_towers_cap*(1-EXP(-TblImps[[#This Row],[Σ Irrigation]]/(harbor_towers_param*(OFFSET(TblImps[[#This Row],[Land]],1,0)-OFFSET(TblExplore[[#This Row],[Land Bonus]],1,0)*20)+15000)))*(1+(mason_bonus*TblConstr[[#This Row],[Tot Mas]]/TblConstr[[#This Row],[Land (2)]]))</f>
        <v>0</v>
      </c>
      <c r="AE120" s="132"/>
      <c r="AF120" s="33" t="n">
        <f aca="false">(1+Overview!$I$28)*SUM(TblImps[[#This Row],[P2]:[G2]])+OFFSET(TblImps[[#This Row],[Σ Science]],-1,0)</f>
        <v>0</v>
      </c>
      <c r="AG120" s="33" t="n">
        <f aca="false">(1+Overview!$I$28)*SUM(TblImps[[#This Row],[P3]:[G3]])+OFFSET(TblImps[[#This Row],[Σ Keep]],-1,0)</f>
        <v>0</v>
      </c>
      <c r="AH120" s="33" t="n">
        <f aca="false">(1+Overview!$I$28 + tech_7_1*TblTech[[#This Row],[7-1]])*SUM(TblImps[[#This Row],[P4]:[G4]])+OFFSET(TblImps[[#This Row],[Σ Towers]],-1,0)</f>
        <v>0</v>
      </c>
      <c r="AI120" s="33" t="n">
        <f aca="false">(1+Overview!$I$28)*SUM(TblImps[[#This Row],[P5]:[G5]])+OFFSET(TblImps[[#This Row],[Σ Forges]],-1,0)</f>
        <v>0</v>
      </c>
      <c r="AJ120" s="33" t="n">
        <f aca="false">(1+Overview!$I$28)*SUM(TblImps[[#This Row],[P6]:[G6]])+OFFSET(TblImps[[#This Row],[Σ Walls]],-1,0)</f>
        <v>0</v>
      </c>
      <c r="AK120" s="33" t="n">
        <f aca="false">(1+Overview!$I$28 + tech_7_1*TblTech[[#This Row],[7-1]])*SUM(TblImps[[#This Row],[P7]:[G7]])+OFFSET(TblImps[[#This Row],[Σ Irrigation]],-1,0)</f>
        <v>0</v>
      </c>
      <c r="AL120" s="132"/>
      <c r="AM120" s="26" t="n">
        <f aca="false">IF(AND(TblImps[[#This Row],[Resource]]=AM$2,TblImps[[#This Row],[Part]]&lt;&gt;""),TblImps[[#This Row],[Amount]]) + IF(AND(TblImps[[#This Row],[Resource 2]]=AM$2,TblImps[[#This Row],[Part 2]]&lt;&gt;""),TblImps[[#This Row],[Amount 2]]) + IF(AND(TblImps[[#This Row],[Resource 3]]=AM$2,TblImps[[#This Row],[Part 3]]&lt;&gt;""),TblImps[[#This Row],[Amount 3]])</f>
        <v>0</v>
      </c>
      <c r="AN120" s="26" t="n">
        <f aca="false">IF(AND(TblImps[[#This Row],[Resource]]=AN$2,TblImps[[#This Row],[Part]]&lt;&gt;""),TblImps[[#This Row],[Amount]]) + IF(AND(TblImps[[#This Row],[Resource 2]]=AN$2,TblImps[[#This Row],[Part 2]]&lt;&gt;""),TblImps[[#This Row],[Amount 2]]) + IF(AND(TblImps[[#This Row],[Resource 3]]=AN$2,TblImps[[#This Row],[Part 3]]&lt;&gt;""),TblImps[[#This Row],[Amount 3]])</f>
        <v>0</v>
      </c>
      <c r="AO120" s="26" t="n">
        <f aca="false">IF(AND(TblImps[[#This Row],[Resource]]=AO$2,TblImps[[#This Row],[Part]]&lt;&gt;""),TblImps[[#This Row],[Amount]]) + IF(AND(TblImps[[#This Row],[Resource 2]]=AO$2,TblImps[[#This Row],[Part 2]]&lt;&gt;""),TblImps[[#This Row],[Amount 2]]) + IF(AND(TblImps[[#This Row],[Resource 3]]=AO$2,TblImps[[#This Row],[Part 3]]&lt;&gt;""),TblImps[[#This Row],[Amount 3]])</f>
        <v>0</v>
      </c>
      <c r="AP120" s="26" t="n">
        <f aca="false">IF(AND(TblImps[[#This Row],[Resource]]=AP$2,TblImps[[#This Row],[Part]]&lt;&gt;""),TblImps[[#This Row],[Amount]]) + IF(AND(TblImps[[#This Row],[Resource 2]]=AP$2,TblImps[[#This Row],[Part 2]]&lt;&gt;""),TblImps[[#This Row],[Amount 2]]) + IF(AND(TblImps[[#This Row],[Resource 3]]=AP$2,TblImps[[#This Row],[Part 3]]&lt;&gt;""),TblImps[[#This Row],[Amount 3]])</f>
        <v>0</v>
      </c>
      <c r="AQ120" s="132"/>
      <c r="AR12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32"/>
      <c r="AW12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32"/>
      <c r="BB12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32"/>
      <c r="BG12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32"/>
      <c r="BL12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32"/>
      <c r="BQ12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32"/>
      <c r="BV120"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33" t="n">
        <f aca="false">TblImps[[#This Row],[Login]]</f>
        <v>0</v>
      </c>
      <c r="BX120" s="128"/>
      <c r="BY120" s="347" t="n">
        <f aca="false">OFFSET(TblImps[[#This Row],[Real time]],-1,0)+1/24</f>
        <v>45434.5833333333</v>
      </c>
      <c r="BZ120" s="348" t="n">
        <f aca="false">OFFSET(TblImps[[#This Row],[Servertime]],-1,0)+1/24</f>
        <v>45434.8333333333</v>
      </c>
      <c r="CA120" s="26"/>
      <c r="CB120" s="346"/>
      <c r="CC120" s="346"/>
    </row>
    <row r="121" customFormat="false" ht="12.75" hidden="false" customHeight="false" outlineLevel="0" collapsed="false">
      <c r="A121" s="181" t="n">
        <f aca="false">TblConstr[[#This Row],[Land]]</f>
        <v>700</v>
      </c>
      <c r="B121" s="132"/>
      <c r="C121" s="69" t="n">
        <f aca="false">TblProd[[#This Row],[Platinum]]</f>
        <v>1775063</v>
      </c>
      <c r="D121" s="69" t="n">
        <f aca="false">TblProd[[#This Row],[Lumber]]</f>
        <v>49867</v>
      </c>
      <c r="E121" s="69" t="n">
        <f aca="false">TblProd[[#This Row],[Ore]]</f>
        <v>0</v>
      </c>
      <c r="F121" s="69" t="n">
        <f aca="false">TblProd[[#This Row],[Gems]]</f>
        <v>0</v>
      </c>
      <c r="G121" s="146"/>
      <c r="H121" s="69" t="n">
        <f aca="false">TblMili[[#This Row],[Draftees]]</f>
        <v>3344</v>
      </c>
      <c r="I121" s="130" t="n">
        <f aca="false">TblPop[[#This Row],[Employment]]</f>
        <v>1</v>
      </c>
      <c r="J121" s="130" t="n">
        <f aca="false">TblPop[[#This Row],[Total]]/TblPop[[#This Row],[Net max]]</f>
        <v>1</v>
      </c>
      <c r="K121" s="336" t="n">
        <f aca="false">TblRezone[[#This Row],[Hour]]</f>
        <v>118</v>
      </c>
      <c r="L121" s="337" t="n">
        <f aca="false">TblImps[[#This Row],[Real time]]</f>
        <v>45434.625</v>
      </c>
      <c r="M121" s="33" t="n">
        <f aca="false">IF(ISERROR(TblImps[[#This Row],[algorithm]]),0,TblImps[[#This Row],[algorithm]]*1)</f>
        <v>0</v>
      </c>
      <c r="N121" s="69" t="n">
        <f aca="false">TblImps[[#This Row],[Land]]</f>
        <v>700</v>
      </c>
      <c r="O121" s="338" t="s">
        <v>97</v>
      </c>
      <c r="P121" s="339"/>
      <c r="Q121" s="338" t="s">
        <v>734</v>
      </c>
      <c r="R121" s="338" t="s">
        <v>93</v>
      </c>
      <c r="S121" s="339"/>
      <c r="T121" s="338" t="s">
        <v>734</v>
      </c>
      <c r="U121" s="338" t="s">
        <v>35</v>
      </c>
      <c r="V121" s="339"/>
      <c r="W121" s="338" t="s">
        <v>734</v>
      </c>
      <c r="X121" s="132"/>
      <c r="Y121" s="340" t="n">
        <f aca="false">science_cap*(1-EXP(-TblImps[[#This Row],[Σ Science]]/(science_param*(OFFSET(TblImps[[#This Row],[Land]],1,0)-OFFSET(TblExplore[[#This Row],[Land Bonus]],1,0)*20)+15000)))*(1+(mason_bonus*TblConstr[[#This Row],[Tot Mas]]/TblConstr[[#This Row],[Land (2)]]))</f>
        <v>0</v>
      </c>
      <c r="Z121" s="340" t="n">
        <f aca="false">keep_cap*(1-EXP(-TblImps[[#This Row],[Σ Keep]]/(keep_param*(OFFSET(TblImps[[#This Row],[Land]],1,0)-OFFSET(TblExplore[[#This Row],[Land Bonus]],1,0)*20)+15000)))*(1+(mason_bonus*TblConstr[[#This Row],[Tot Mas]]/TblConstr[[#This Row],[Land (2)]]))</f>
        <v>0</v>
      </c>
      <c r="AA121" s="340" t="n">
        <f aca="false">harbor_towers_cap*(1-EXP(-TblImps[[#This Row],[Σ Towers]]/(towers_param*(OFFSET(TblImps[[#This Row],[Land]],1,0)-OFFSET(TblExplore[[#This Row],[Land Bonus]],1,0)*20)+15000)))*(1+(mason_bonus*TblConstr[[#This Row],[Tot Mas]]/TblConstr[[#This Row],[Land (2)]]))</f>
        <v>0</v>
      </c>
      <c r="AB121" s="340" t="n">
        <f aca="false">walls_forges_cap*(1-EXP(-TblImps[[#This Row],[Σ Forges]]/(walls_forges_param*(OFFSET(TblImps[[#This Row],[Land]],1,0)-OFFSET(TblExplore[[#This Row],[Land Bonus]],1,0)*20)+15000)))*(1+(mason_bonus*TblConstr[[#This Row],[Tot Mas]]/TblConstr[[#This Row],[Land (2)]]))</f>
        <v>0</v>
      </c>
      <c r="AC121" s="340" t="n">
        <f aca="false">walls_forges_cap*(1-EXP(-TblImps[[#This Row],[Σ Walls]]/(walls_forges_param*(OFFSET(TblImps[[#This Row],[Land]],1,0)-OFFSET(TblExplore[[#This Row],[Land Bonus]],1,0)*20)+15000)))*(1+(mason_bonus*TblConstr[[#This Row],[Tot Mas]]/TblConstr[[#This Row],[Land (2)]]))</f>
        <v>0</v>
      </c>
      <c r="AD121" s="340" t="n">
        <f aca="false">harbor_towers_cap*(1-EXP(-TblImps[[#This Row],[Σ Irrigation]]/(harbor_towers_param*(OFFSET(TblImps[[#This Row],[Land]],1,0)-OFFSET(TblExplore[[#This Row],[Land Bonus]],1,0)*20)+15000)))*(1+(mason_bonus*TblConstr[[#This Row],[Tot Mas]]/TblConstr[[#This Row],[Land (2)]]))</f>
        <v>0</v>
      </c>
      <c r="AE121" s="132"/>
      <c r="AF121" s="33" t="n">
        <f aca="false">(1+Overview!$I$28)*SUM(TblImps[[#This Row],[P2]:[G2]])+OFFSET(TblImps[[#This Row],[Σ Science]],-1,0)</f>
        <v>0</v>
      </c>
      <c r="AG121" s="33" t="n">
        <f aca="false">(1+Overview!$I$28)*SUM(TblImps[[#This Row],[P3]:[G3]])+OFFSET(TblImps[[#This Row],[Σ Keep]],-1,0)</f>
        <v>0</v>
      </c>
      <c r="AH121" s="33" t="n">
        <f aca="false">(1+Overview!$I$28 + tech_7_1*TblTech[[#This Row],[7-1]])*SUM(TblImps[[#This Row],[P4]:[G4]])+OFFSET(TblImps[[#This Row],[Σ Towers]],-1,0)</f>
        <v>0</v>
      </c>
      <c r="AI121" s="33" t="n">
        <f aca="false">(1+Overview!$I$28)*SUM(TblImps[[#This Row],[P5]:[G5]])+OFFSET(TblImps[[#This Row],[Σ Forges]],-1,0)</f>
        <v>0</v>
      </c>
      <c r="AJ121" s="33" t="n">
        <f aca="false">(1+Overview!$I$28)*SUM(TblImps[[#This Row],[P6]:[G6]])+OFFSET(TblImps[[#This Row],[Σ Walls]],-1,0)</f>
        <v>0</v>
      </c>
      <c r="AK121" s="33" t="n">
        <f aca="false">(1+Overview!$I$28 + tech_7_1*TblTech[[#This Row],[7-1]])*SUM(TblImps[[#This Row],[P7]:[G7]])+OFFSET(TblImps[[#This Row],[Σ Irrigation]],-1,0)</f>
        <v>0</v>
      </c>
      <c r="AL121" s="132"/>
      <c r="AM121" s="26" t="n">
        <f aca="false">IF(AND(TblImps[[#This Row],[Resource]]=AM$2,TblImps[[#This Row],[Part]]&lt;&gt;""),TblImps[[#This Row],[Amount]]) + IF(AND(TblImps[[#This Row],[Resource 2]]=AM$2,TblImps[[#This Row],[Part 2]]&lt;&gt;""),TblImps[[#This Row],[Amount 2]]) + IF(AND(TblImps[[#This Row],[Resource 3]]=AM$2,TblImps[[#This Row],[Part 3]]&lt;&gt;""),TblImps[[#This Row],[Amount 3]])</f>
        <v>0</v>
      </c>
      <c r="AN121" s="26" t="n">
        <f aca="false">IF(AND(TblImps[[#This Row],[Resource]]=AN$2,TblImps[[#This Row],[Part]]&lt;&gt;""),TblImps[[#This Row],[Amount]]) + IF(AND(TblImps[[#This Row],[Resource 2]]=AN$2,TblImps[[#This Row],[Part 2]]&lt;&gt;""),TblImps[[#This Row],[Amount 2]]) + IF(AND(TblImps[[#This Row],[Resource 3]]=AN$2,TblImps[[#This Row],[Part 3]]&lt;&gt;""),TblImps[[#This Row],[Amount 3]])</f>
        <v>0</v>
      </c>
      <c r="AO121" s="26" t="n">
        <f aca="false">IF(AND(TblImps[[#This Row],[Resource]]=AO$2,TblImps[[#This Row],[Part]]&lt;&gt;""),TblImps[[#This Row],[Amount]]) + IF(AND(TblImps[[#This Row],[Resource 2]]=AO$2,TblImps[[#This Row],[Part 2]]&lt;&gt;""),TblImps[[#This Row],[Amount 2]]) + IF(AND(TblImps[[#This Row],[Resource 3]]=AO$2,TblImps[[#This Row],[Part 3]]&lt;&gt;""),TblImps[[#This Row],[Amount 3]])</f>
        <v>0</v>
      </c>
      <c r="AP121" s="26" t="n">
        <f aca="false">IF(AND(TblImps[[#This Row],[Resource]]=AP$2,TblImps[[#This Row],[Part]]&lt;&gt;""),TblImps[[#This Row],[Amount]]) + IF(AND(TblImps[[#This Row],[Resource 2]]=AP$2,TblImps[[#This Row],[Part 2]]&lt;&gt;""),TblImps[[#This Row],[Amount 2]]) + IF(AND(TblImps[[#This Row],[Resource 3]]=AP$2,TblImps[[#This Row],[Part 3]]&lt;&gt;""),TblImps[[#This Row],[Amount 3]])</f>
        <v>0</v>
      </c>
      <c r="AQ121" s="132"/>
      <c r="AR12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32"/>
      <c r="AW12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32"/>
      <c r="BB12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32"/>
      <c r="BG12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32"/>
      <c r="BL12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32"/>
      <c r="BQ12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32"/>
      <c r="BV121"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33" t="n">
        <f aca="false">TblImps[[#This Row],[Login]]</f>
        <v>0</v>
      </c>
      <c r="BX121" s="128"/>
      <c r="BY121" s="347" t="n">
        <f aca="false">OFFSET(TblImps[[#This Row],[Real time]],-1,0)+1/24</f>
        <v>45434.625</v>
      </c>
      <c r="BZ121" s="348" t="n">
        <f aca="false">OFFSET(TblImps[[#This Row],[Servertime]],-1,0)+1/24</f>
        <v>45434.875</v>
      </c>
      <c r="CA121" s="26"/>
      <c r="CB121" s="346"/>
      <c r="CC121" s="346"/>
    </row>
    <row r="122" customFormat="false" ht="12.75" hidden="false" customHeight="false" outlineLevel="0" collapsed="false">
      <c r="A122" s="181" t="n">
        <f aca="false">TblConstr[[#This Row],[Land]]</f>
        <v>700</v>
      </c>
      <c r="B122" s="132"/>
      <c r="C122" s="69" t="n">
        <f aca="false">TblProd[[#This Row],[Platinum]]</f>
        <v>1804639</v>
      </c>
      <c r="D122" s="69" t="n">
        <f aca="false">TblProd[[#This Row],[Lumber]]</f>
        <v>50493</v>
      </c>
      <c r="E122" s="69" t="n">
        <f aca="false">TblProd[[#This Row],[Ore]]</f>
        <v>0</v>
      </c>
      <c r="F122" s="69" t="n">
        <f aca="false">TblProd[[#This Row],[Gems]]</f>
        <v>0</v>
      </c>
      <c r="G122" s="146"/>
      <c r="H122" s="69" t="n">
        <f aca="false">TblMili[[#This Row],[Draftees]]</f>
        <v>3408</v>
      </c>
      <c r="I122" s="130" t="n">
        <f aca="false">TblPop[[#This Row],[Employment]]</f>
        <v>1</v>
      </c>
      <c r="J122" s="130" t="n">
        <f aca="false">TblPop[[#This Row],[Total]]/TblPop[[#This Row],[Net max]]</f>
        <v>1</v>
      </c>
      <c r="K122" s="336" t="n">
        <f aca="false">TblRezone[[#This Row],[Hour]]</f>
        <v>119</v>
      </c>
      <c r="L122" s="337" t="n">
        <f aca="false">TblImps[[#This Row],[Real time]]</f>
        <v>45434.6666666667</v>
      </c>
      <c r="M122" s="33" t="n">
        <f aca="false">IF(ISERROR(TblImps[[#This Row],[algorithm]]),0,TblImps[[#This Row],[algorithm]]*1)</f>
        <v>0</v>
      </c>
      <c r="N122" s="69" t="n">
        <f aca="false">TblImps[[#This Row],[Land]]</f>
        <v>700</v>
      </c>
      <c r="O122" s="338" t="s">
        <v>97</v>
      </c>
      <c r="P122" s="339"/>
      <c r="Q122" s="338" t="s">
        <v>734</v>
      </c>
      <c r="R122" s="338" t="s">
        <v>93</v>
      </c>
      <c r="S122" s="339"/>
      <c r="T122" s="338" t="s">
        <v>734</v>
      </c>
      <c r="U122" s="338" t="s">
        <v>35</v>
      </c>
      <c r="V122" s="339"/>
      <c r="W122" s="338" t="s">
        <v>734</v>
      </c>
      <c r="X122" s="132"/>
      <c r="Y122" s="340" t="n">
        <f aca="false">science_cap*(1-EXP(-TblImps[[#This Row],[Σ Science]]/(science_param*(OFFSET(TblImps[[#This Row],[Land]],1,0)-OFFSET(TblExplore[[#This Row],[Land Bonus]],1,0)*20)+15000)))*(1+(mason_bonus*TblConstr[[#This Row],[Tot Mas]]/TblConstr[[#This Row],[Land (2)]]))</f>
        <v>0</v>
      </c>
      <c r="Z122" s="340" t="n">
        <f aca="false">keep_cap*(1-EXP(-TblImps[[#This Row],[Σ Keep]]/(keep_param*(OFFSET(TblImps[[#This Row],[Land]],1,0)-OFFSET(TblExplore[[#This Row],[Land Bonus]],1,0)*20)+15000)))*(1+(mason_bonus*TblConstr[[#This Row],[Tot Mas]]/TblConstr[[#This Row],[Land (2)]]))</f>
        <v>0</v>
      </c>
      <c r="AA122" s="340" t="n">
        <f aca="false">harbor_towers_cap*(1-EXP(-TblImps[[#This Row],[Σ Towers]]/(towers_param*(OFFSET(TblImps[[#This Row],[Land]],1,0)-OFFSET(TblExplore[[#This Row],[Land Bonus]],1,0)*20)+15000)))*(1+(mason_bonus*TblConstr[[#This Row],[Tot Mas]]/TblConstr[[#This Row],[Land (2)]]))</f>
        <v>0</v>
      </c>
      <c r="AB122" s="340" t="n">
        <f aca="false">walls_forges_cap*(1-EXP(-TblImps[[#This Row],[Σ Forges]]/(walls_forges_param*(OFFSET(TblImps[[#This Row],[Land]],1,0)-OFFSET(TblExplore[[#This Row],[Land Bonus]],1,0)*20)+15000)))*(1+(mason_bonus*TblConstr[[#This Row],[Tot Mas]]/TblConstr[[#This Row],[Land (2)]]))</f>
        <v>0</v>
      </c>
      <c r="AC122" s="340" t="n">
        <f aca="false">walls_forges_cap*(1-EXP(-TblImps[[#This Row],[Σ Walls]]/(walls_forges_param*(OFFSET(TblImps[[#This Row],[Land]],1,0)-OFFSET(TblExplore[[#This Row],[Land Bonus]],1,0)*20)+15000)))*(1+(mason_bonus*TblConstr[[#This Row],[Tot Mas]]/TblConstr[[#This Row],[Land (2)]]))</f>
        <v>0</v>
      </c>
      <c r="AD122" s="340" t="n">
        <f aca="false">harbor_towers_cap*(1-EXP(-TblImps[[#This Row],[Σ Irrigation]]/(harbor_towers_param*(OFFSET(TblImps[[#This Row],[Land]],1,0)-OFFSET(TblExplore[[#This Row],[Land Bonus]],1,0)*20)+15000)))*(1+(mason_bonus*TblConstr[[#This Row],[Tot Mas]]/TblConstr[[#This Row],[Land (2)]]))</f>
        <v>0</v>
      </c>
      <c r="AE122" s="132"/>
      <c r="AF122" s="33" t="n">
        <f aca="false">(1+Overview!$I$28)*SUM(TblImps[[#This Row],[P2]:[G2]])+OFFSET(TblImps[[#This Row],[Σ Science]],-1,0)</f>
        <v>0</v>
      </c>
      <c r="AG122" s="33" t="n">
        <f aca="false">(1+Overview!$I$28)*SUM(TblImps[[#This Row],[P3]:[G3]])+OFFSET(TblImps[[#This Row],[Σ Keep]],-1,0)</f>
        <v>0</v>
      </c>
      <c r="AH122" s="33" t="n">
        <f aca="false">(1+Overview!$I$28 + tech_7_1*TblTech[[#This Row],[7-1]])*SUM(TblImps[[#This Row],[P4]:[G4]])+OFFSET(TblImps[[#This Row],[Σ Towers]],-1,0)</f>
        <v>0</v>
      </c>
      <c r="AI122" s="33" t="n">
        <f aca="false">(1+Overview!$I$28)*SUM(TblImps[[#This Row],[P5]:[G5]])+OFFSET(TblImps[[#This Row],[Σ Forges]],-1,0)</f>
        <v>0</v>
      </c>
      <c r="AJ122" s="33" t="n">
        <f aca="false">(1+Overview!$I$28)*SUM(TblImps[[#This Row],[P6]:[G6]])+OFFSET(TblImps[[#This Row],[Σ Walls]],-1,0)</f>
        <v>0</v>
      </c>
      <c r="AK122" s="33" t="n">
        <f aca="false">(1+Overview!$I$28 + tech_7_1*TblTech[[#This Row],[7-1]])*SUM(TblImps[[#This Row],[P7]:[G7]])+OFFSET(TblImps[[#This Row],[Σ Irrigation]],-1,0)</f>
        <v>0</v>
      </c>
      <c r="AL122" s="132"/>
      <c r="AM122" s="26" t="n">
        <f aca="false">IF(AND(TblImps[[#This Row],[Resource]]=AM$2,TblImps[[#This Row],[Part]]&lt;&gt;""),TblImps[[#This Row],[Amount]]) + IF(AND(TblImps[[#This Row],[Resource 2]]=AM$2,TblImps[[#This Row],[Part 2]]&lt;&gt;""),TblImps[[#This Row],[Amount 2]]) + IF(AND(TblImps[[#This Row],[Resource 3]]=AM$2,TblImps[[#This Row],[Part 3]]&lt;&gt;""),TblImps[[#This Row],[Amount 3]])</f>
        <v>0</v>
      </c>
      <c r="AN122" s="26" t="n">
        <f aca="false">IF(AND(TblImps[[#This Row],[Resource]]=AN$2,TblImps[[#This Row],[Part]]&lt;&gt;""),TblImps[[#This Row],[Amount]]) + IF(AND(TblImps[[#This Row],[Resource 2]]=AN$2,TblImps[[#This Row],[Part 2]]&lt;&gt;""),TblImps[[#This Row],[Amount 2]]) + IF(AND(TblImps[[#This Row],[Resource 3]]=AN$2,TblImps[[#This Row],[Part 3]]&lt;&gt;""),TblImps[[#This Row],[Amount 3]])</f>
        <v>0</v>
      </c>
      <c r="AO122" s="26" t="n">
        <f aca="false">IF(AND(TblImps[[#This Row],[Resource]]=AO$2,TblImps[[#This Row],[Part]]&lt;&gt;""),TblImps[[#This Row],[Amount]]) + IF(AND(TblImps[[#This Row],[Resource 2]]=AO$2,TblImps[[#This Row],[Part 2]]&lt;&gt;""),TblImps[[#This Row],[Amount 2]]) + IF(AND(TblImps[[#This Row],[Resource 3]]=AO$2,TblImps[[#This Row],[Part 3]]&lt;&gt;""),TblImps[[#This Row],[Amount 3]])</f>
        <v>0</v>
      </c>
      <c r="AP122" s="26" t="n">
        <f aca="false">IF(AND(TblImps[[#This Row],[Resource]]=AP$2,TblImps[[#This Row],[Part]]&lt;&gt;""),TblImps[[#This Row],[Amount]]) + IF(AND(TblImps[[#This Row],[Resource 2]]=AP$2,TblImps[[#This Row],[Part 2]]&lt;&gt;""),TblImps[[#This Row],[Amount 2]]) + IF(AND(TblImps[[#This Row],[Resource 3]]=AP$2,TblImps[[#This Row],[Part 3]]&lt;&gt;""),TblImps[[#This Row],[Amount 3]])</f>
        <v>0</v>
      </c>
      <c r="AQ122" s="132"/>
      <c r="AR12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32"/>
      <c r="AW12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32"/>
      <c r="BB12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32"/>
      <c r="BG12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32"/>
      <c r="BL12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32"/>
      <c r="BQ12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32"/>
      <c r="BV122"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33" t="n">
        <f aca="false">TblImps[[#This Row],[Login]]</f>
        <v>0</v>
      </c>
      <c r="BX122" s="128"/>
      <c r="BY122" s="347" t="n">
        <f aca="false">OFFSET(TblImps[[#This Row],[Real time]],-1,0)+1/24</f>
        <v>45434.6666666667</v>
      </c>
      <c r="BZ122" s="348" t="n">
        <f aca="false">OFFSET(TblImps[[#This Row],[Servertime]],-1,0)+1/24</f>
        <v>45434.9166666667</v>
      </c>
      <c r="CA122" s="26"/>
      <c r="CB122" s="346"/>
      <c r="CC122" s="346"/>
    </row>
    <row r="123" customFormat="false" ht="12.75" hidden="false" customHeight="false" outlineLevel="0" collapsed="false">
      <c r="A123" s="181" t="n">
        <f aca="false">TblConstr[[#This Row],[Land]]</f>
        <v>700</v>
      </c>
      <c r="B123" s="132"/>
      <c r="C123" s="69" t="n">
        <f aca="false">TblProd[[#This Row],[Platinum]]</f>
        <v>1834042</v>
      </c>
      <c r="D123" s="69" t="n">
        <f aca="false">TblProd[[#This Row],[Lumber]]</f>
        <v>51113</v>
      </c>
      <c r="E123" s="69" t="n">
        <f aca="false">TblProd[[#This Row],[Ore]]</f>
        <v>0</v>
      </c>
      <c r="F123" s="69" t="n">
        <f aca="false">TblProd[[#This Row],[Gems]]</f>
        <v>0</v>
      </c>
      <c r="G123" s="146"/>
      <c r="H123" s="69" t="n">
        <f aca="false">TblMili[[#This Row],[Draftees]]</f>
        <v>3471</v>
      </c>
      <c r="I123" s="130" t="n">
        <f aca="false">TblPop[[#This Row],[Employment]]</f>
        <v>1</v>
      </c>
      <c r="J123" s="130" t="n">
        <f aca="false">TblPop[[#This Row],[Total]]/TblPop[[#This Row],[Net max]]</f>
        <v>1</v>
      </c>
      <c r="K123" s="336" t="n">
        <f aca="false">TblRezone[[#This Row],[Hour]]</f>
        <v>120</v>
      </c>
      <c r="L123" s="337" t="n">
        <f aca="false">TblImps[[#This Row],[Real time]]</f>
        <v>45434.7083333333</v>
      </c>
      <c r="M123" s="33" t="n">
        <f aca="false">IF(ISERROR(TblImps[[#This Row],[algorithm]]),0,TblImps[[#This Row],[algorithm]]*1)</f>
        <v>0</v>
      </c>
      <c r="N123" s="69" t="n">
        <f aca="false">TblImps[[#This Row],[Land]]</f>
        <v>700</v>
      </c>
      <c r="O123" s="338" t="s">
        <v>97</v>
      </c>
      <c r="P123" s="339"/>
      <c r="Q123" s="338" t="s">
        <v>734</v>
      </c>
      <c r="R123" s="338" t="s">
        <v>93</v>
      </c>
      <c r="S123" s="339"/>
      <c r="T123" s="338" t="s">
        <v>734</v>
      </c>
      <c r="U123" s="338" t="s">
        <v>35</v>
      </c>
      <c r="V123" s="339"/>
      <c r="W123" s="338" t="s">
        <v>734</v>
      </c>
      <c r="X123" s="132"/>
      <c r="Y123" s="340" t="n">
        <f aca="false">science_cap*(1-EXP(-TblImps[[#This Row],[Σ Science]]/(science_param*(OFFSET(TblImps[[#This Row],[Land]],1,0)-OFFSET(TblExplore[[#This Row],[Land Bonus]],1,0)*20)+15000)))*(1+(mason_bonus*TblConstr[[#This Row],[Tot Mas]]/TblConstr[[#This Row],[Land (2)]]))</f>
        <v>0</v>
      </c>
      <c r="Z123" s="340" t="n">
        <f aca="false">keep_cap*(1-EXP(-TblImps[[#This Row],[Σ Keep]]/(keep_param*(OFFSET(TblImps[[#This Row],[Land]],1,0)-OFFSET(TblExplore[[#This Row],[Land Bonus]],1,0)*20)+15000)))*(1+(mason_bonus*TblConstr[[#This Row],[Tot Mas]]/TblConstr[[#This Row],[Land (2)]]))</f>
        <v>0</v>
      </c>
      <c r="AA123" s="340" t="n">
        <f aca="false">harbor_towers_cap*(1-EXP(-TblImps[[#This Row],[Σ Towers]]/(towers_param*(OFFSET(TblImps[[#This Row],[Land]],1,0)-OFFSET(TblExplore[[#This Row],[Land Bonus]],1,0)*20)+15000)))*(1+(mason_bonus*TblConstr[[#This Row],[Tot Mas]]/TblConstr[[#This Row],[Land (2)]]))</f>
        <v>0</v>
      </c>
      <c r="AB123" s="340" t="n">
        <f aca="false">walls_forges_cap*(1-EXP(-TblImps[[#This Row],[Σ Forges]]/(walls_forges_param*(OFFSET(TblImps[[#This Row],[Land]],1,0)-OFFSET(TblExplore[[#This Row],[Land Bonus]],1,0)*20)+15000)))*(1+(mason_bonus*TblConstr[[#This Row],[Tot Mas]]/TblConstr[[#This Row],[Land (2)]]))</f>
        <v>0</v>
      </c>
      <c r="AC123" s="340" t="n">
        <f aca="false">walls_forges_cap*(1-EXP(-TblImps[[#This Row],[Σ Walls]]/(walls_forges_param*(OFFSET(TblImps[[#This Row],[Land]],1,0)-OFFSET(TblExplore[[#This Row],[Land Bonus]],1,0)*20)+15000)))*(1+(mason_bonus*TblConstr[[#This Row],[Tot Mas]]/TblConstr[[#This Row],[Land (2)]]))</f>
        <v>0</v>
      </c>
      <c r="AD123" s="340" t="n">
        <f aca="false">harbor_towers_cap*(1-EXP(-TblImps[[#This Row],[Σ Irrigation]]/(harbor_towers_param*(OFFSET(TblImps[[#This Row],[Land]],1,0)-OFFSET(TblExplore[[#This Row],[Land Bonus]],1,0)*20)+15000)))*(1+(mason_bonus*TblConstr[[#This Row],[Tot Mas]]/TblConstr[[#This Row],[Land (2)]]))</f>
        <v>0</v>
      </c>
      <c r="AE123" s="132"/>
      <c r="AF123" s="33" t="n">
        <f aca="false">(1+Overview!$I$28)*SUM(TblImps[[#This Row],[P2]:[G2]])+OFFSET(TblImps[[#This Row],[Σ Science]],-1,0)</f>
        <v>0</v>
      </c>
      <c r="AG123" s="33" t="n">
        <f aca="false">(1+Overview!$I$28)*SUM(TblImps[[#This Row],[P3]:[G3]])+OFFSET(TblImps[[#This Row],[Σ Keep]],-1,0)</f>
        <v>0</v>
      </c>
      <c r="AH123" s="33" t="n">
        <f aca="false">(1+Overview!$I$28 + tech_7_1*TblTech[[#This Row],[7-1]])*SUM(TblImps[[#This Row],[P4]:[G4]])+OFFSET(TblImps[[#This Row],[Σ Towers]],-1,0)</f>
        <v>0</v>
      </c>
      <c r="AI123" s="33" t="n">
        <f aca="false">(1+Overview!$I$28)*SUM(TblImps[[#This Row],[P5]:[G5]])+OFFSET(TblImps[[#This Row],[Σ Forges]],-1,0)</f>
        <v>0</v>
      </c>
      <c r="AJ123" s="33" t="n">
        <f aca="false">(1+Overview!$I$28)*SUM(TblImps[[#This Row],[P6]:[G6]])+OFFSET(TblImps[[#This Row],[Σ Walls]],-1,0)</f>
        <v>0</v>
      </c>
      <c r="AK123" s="33" t="n">
        <f aca="false">(1+Overview!$I$28 + tech_7_1*TblTech[[#This Row],[7-1]])*SUM(TblImps[[#This Row],[P7]:[G7]])+OFFSET(TblImps[[#This Row],[Σ Irrigation]],-1,0)</f>
        <v>0</v>
      </c>
      <c r="AL123" s="132"/>
      <c r="AM123" s="26" t="n">
        <f aca="false">IF(AND(TblImps[[#This Row],[Resource]]=AM$2,TblImps[[#This Row],[Part]]&lt;&gt;""),TblImps[[#This Row],[Amount]]) + IF(AND(TblImps[[#This Row],[Resource 2]]=AM$2,TblImps[[#This Row],[Part 2]]&lt;&gt;""),TblImps[[#This Row],[Amount 2]]) + IF(AND(TblImps[[#This Row],[Resource 3]]=AM$2,TblImps[[#This Row],[Part 3]]&lt;&gt;""),TblImps[[#This Row],[Amount 3]])</f>
        <v>0</v>
      </c>
      <c r="AN123" s="26" t="n">
        <f aca="false">IF(AND(TblImps[[#This Row],[Resource]]=AN$2,TblImps[[#This Row],[Part]]&lt;&gt;""),TblImps[[#This Row],[Amount]]) + IF(AND(TblImps[[#This Row],[Resource 2]]=AN$2,TblImps[[#This Row],[Part 2]]&lt;&gt;""),TblImps[[#This Row],[Amount 2]]) + IF(AND(TblImps[[#This Row],[Resource 3]]=AN$2,TblImps[[#This Row],[Part 3]]&lt;&gt;""),TblImps[[#This Row],[Amount 3]])</f>
        <v>0</v>
      </c>
      <c r="AO123" s="26" t="n">
        <f aca="false">IF(AND(TblImps[[#This Row],[Resource]]=AO$2,TblImps[[#This Row],[Part]]&lt;&gt;""),TblImps[[#This Row],[Amount]]) + IF(AND(TblImps[[#This Row],[Resource 2]]=AO$2,TblImps[[#This Row],[Part 2]]&lt;&gt;""),TblImps[[#This Row],[Amount 2]]) + IF(AND(TblImps[[#This Row],[Resource 3]]=AO$2,TblImps[[#This Row],[Part 3]]&lt;&gt;""),TblImps[[#This Row],[Amount 3]])</f>
        <v>0</v>
      </c>
      <c r="AP123" s="26" t="n">
        <f aca="false">IF(AND(TblImps[[#This Row],[Resource]]=AP$2,TblImps[[#This Row],[Part]]&lt;&gt;""),TblImps[[#This Row],[Amount]]) + IF(AND(TblImps[[#This Row],[Resource 2]]=AP$2,TblImps[[#This Row],[Part 2]]&lt;&gt;""),TblImps[[#This Row],[Amount 2]]) + IF(AND(TblImps[[#This Row],[Resource 3]]=AP$2,TblImps[[#This Row],[Part 3]]&lt;&gt;""),TblImps[[#This Row],[Amount 3]])</f>
        <v>0</v>
      </c>
      <c r="AQ123" s="132"/>
      <c r="AR12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32"/>
      <c r="AW12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32"/>
      <c r="BB12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32"/>
      <c r="BG12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32"/>
      <c r="BL12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32"/>
      <c r="BQ12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32"/>
      <c r="BV123"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33" t="n">
        <f aca="false">TblImps[[#This Row],[Login]]</f>
        <v>0</v>
      </c>
      <c r="BX123" s="128"/>
      <c r="BY123" s="347" t="n">
        <f aca="false">OFFSET(TblImps[[#This Row],[Real time]],-1,0)+1/24</f>
        <v>45434.7083333333</v>
      </c>
      <c r="BZ123" s="348" t="n">
        <f aca="false">OFFSET(TblImps[[#This Row],[Servertime]],-1,0)+1/24</f>
        <v>45434.9583333333</v>
      </c>
      <c r="CA123" s="26"/>
      <c r="CB123" s="346"/>
      <c r="CC123" s="346"/>
    </row>
    <row r="124" customFormat="false" ht="12.75" hidden="false" customHeight="false" outlineLevel="0" collapsed="false">
      <c r="A124" s="181" t="n">
        <f aca="false">TblConstr[[#This Row],[Land]]</f>
        <v>700</v>
      </c>
      <c r="B124" s="132"/>
      <c r="C124" s="69" t="n">
        <f aca="false">TblProd[[#This Row],[Platinum]]</f>
        <v>1863275</v>
      </c>
      <c r="D124" s="69" t="n">
        <f aca="false">TblProd[[#This Row],[Lumber]]</f>
        <v>51727</v>
      </c>
      <c r="E124" s="69" t="n">
        <f aca="false">TblProd[[#This Row],[Ore]]</f>
        <v>0</v>
      </c>
      <c r="F124" s="69" t="n">
        <f aca="false">TblProd[[#This Row],[Gems]]</f>
        <v>0</v>
      </c>
      <c r="G124" s="146"/>
      <c r="H124" s="69" t="n">
        <f aca="false">TblMili[[#This Row],[Draftees]]</f>
        <v>3533</v>
      </c>
      <c r="I124" s="130" t="n">
        <f aca="false">TblPop[[#This Row],[Employment]]</f>
        <v>1</v>
      </c>
      <c r="J124" s="130" t="n">
        <f aca="false">TblPop[[#This Row],[Total]]/TblPop[[#This Row],[Net max]]</f>
        <v>1</v>
      </c>
      <c r="K124" s="336" t="n">
        <f aca="false">TblRezone[[#This Row],[Hour]]</f>
        <v>121</v>
      </c>
      <c r="L124" s="337" t="n">
        <f aca="false">TblImps[[#This Row],[Real time]]</f>
        <v>45434.75</v>
      </c>
      <c r="M124" s="33" t="n">
        <f aca="false">IF(ISERROR(TblImps[[#This Row],[algorithm]]),0,TblImps[[#This Row],[algorithm]]*1)</f>
        <v>0</v>
      </c>
      <c r="N124" s="69" t="n">
        <f aca="false">TblImps[[#This Row],[Land]]</f>
        <v>700</v>
      </c>
      <c r="O124" s="338" t="s">
        <v>97</v>
      </c>
      <c r="P124" s="339"/>
      <c r="Q124" s="338" t="s">
        <v>734</v>
      </c>
      <c r="R124" s="338" t="s">
        <v>93</v>
      </c>
      <c r="S124" s="339"/>
      <c r="T124" s="338" t="s">
        <v>734</v>
      </c>
      <c r="U124" s="338" t="s">
        <v>35</v>
      </c>
      <c r="V124" s="339"/>
      <c r="W124" s="338" t="s">
        <v>734</v>
      </c>
      <c r="X124" s="132"/>
      <c r="Y124" s="340" t="n">
        <f aca="false">science_cap*(1-EXP(-TblImps[[#This Row],[Σ Science]]/(science_param*(OFFSET(TblImps[[#This Row],[Land]],1,0)-OFFSET(TblExplore[[#This Row],[Land Bonus]],1,0)*20)+15000)))*(1+(mason_bonus*TblConstr[[#This Row],[Tot Mas]]/TblConstr[[#This Row],[Land (2)]]))</f>
        <v>0</v>
      </c>
      <c r="Z124" s="340" t="n">
        <f aca="false">keep_cap*(1-EXP(-TblImps[[#This Row],[Σ Keep]]/(keep_param*(OFFSET(TblImps[[#This Row],[Land]],1,0)-OFFSET(TblExplore[[#This Row],[Land Bonus]],1,0)*20)+15000)))*(1+(mason_bonus*TblConstr[[#This Row],[Tot Mas]]/TblConstr[[#This Row],[Land (2)]]))</f>
        <v>0</v>
      </c>
      <c r="AA124" s="340" t="n">
        <f aca="false">harbor_towers_cap*(1-EXP(-TblImps[[#This Row],[Σ Towers]]/(towers_param*(OFFSET(TblImps[[#This Row],[Land]],1,0)-OFFSET(TblExplore[[#This Row],[Land Bonus]],1,0)*20)+15000)))*(1+(mason_bonus*TblConstr[[#This Row],[Tot Mas]]/TblConstr[[#This Row],[Land (2)]]))</f>
        <v>0</v>
      </c>
      <c r="AB124" s="340" t="n">
        <f aca="false">walls_forges_cap*(1-EXP(-TblImps[[#This Row],[Σ Forges]]/(walls_forges_param*(OFFSET(TblImps[[#This Row],[Land]],1,0)-OFFSET(TblExplore[[#This Row],[Land Bonus]],1,0)*20)+15000)))*(1+(mason_bonus*TblConstr[[#This Row],[Tot Mas]]/TblConstr[[#This Row],[Land (2)]]))</f>
        <v>0</v>
      </c>
      <c r="AC124" s="340" t="n">
        <f aca="false">walls_forges_cap*(1-EXP(-TblImps[[#This Row],[Σ Walls]]/(walls_forges_param*(OFFSET(TblImps[[#This Row],[Land]],1,0)-OFFSET(TblExplore[[#This Row],[Land Bonus]],1,0)*20)+15000)))*(1+(mason_bonus*TblConstr[[#This Row],[Tot Mas]]/TblConstr[[#This Row],[Land (2)]]))</f>
        <v>0</v>
      </c>
      <c r="AD124" s="340" t="n">
        <f aca="false">harbor_towers_cap*(1-EXP(-TblImps[[#This Row],[Σ Irrigation]]/(harbor_towers_param*(OFFSET(TblImps[[#This Row],[Land]],1,0)-OFFSET(TblExplore[[#This Row],[Land Bonus]],1,0)*20)+15000)))*(1+(mason_bonus*TblConstr[[#This Row],[Tot Mas]]/TblConstr[[#This Row],[Land (2)]]))</f>
        <v>0</v>
      </c>
      <c r="AE124" s="132"/>
      <c r="AF124" s="33" t="n">
        <f aca="false">(1+Overview!$I$28)*SUM(TblImps[[#This Row],[P2]:[G2]])+OFFSET(TblImps[[#This Row],[Σ Science]],-1,0)</f>
        <v>0</v>
      </c>
      <c r="AG124" s="33" t="n">
        <f aca="false">(1+Overview!$I$28)*SUM(TblImps[[#This Row],[P3]:[G3]])+OFFSET(TblImps[[#This Row],[Σ Keep]],-1,0)</f>
        <v>0</v>
      </c>
      <c r="AH124" s="33" t="n">
        <f aca="false">(1+Overview!$I$28 + tech_7_1*TblTech[[#This Row],[7-1]])*SUM(TblImps[[#This Row],[P4]:[G4]])+OFFSET(TblImps[[#This Row],[Σ Towers]],-1,0)</f>
        <v>0</v>
      </c>
      <c r="AI124" s="33" t="n">
        <f aca="false">(1+Overview!$I$28)*SUM(TblImps[[#This Row],[P5]:[G5]])+OFFSET(TblImps[[#This Row],[Σ Forges]],-1,0)</f>
        <v>0</v>
      </c>
      <c r="AJ124" s="33" t="n">
        <f aca="false">(1+Overview!$I$28)*SUM(TblImps[[#This Row],[P6]:[G6]])+OFFSET(TblImps[[#This Row],[Σ Walls]],-1,0)</f>
        <v>0</v>
      </c>
      <c r="AK124" s="33" t="n">
        <f aca="false">(1+Overview!$I$28 + tech_7_1*TblTech[[#This Row],[7-1]])*SUM(TblImps[[#This Row],[P7]:[G7]])+OFFSET(TblImps[[#This Row],[Σ Irrigation]],-1,0)</f>
        <v>0</v>
      </c>
      <c r="AL124" s="132"/>
      <c r="AM124" s="26" t="n">
        <f aca="false">IF(AND(TblImps[[#This Row],[Resource]]=AM$2,TblImps[[#This Row],[Part]]&lt;&gt;""),TblImps[[#This Row],[Amount]]) + IF(AND(TblImps[[#This Row],[Resource 2]]=AM$2,TblImps[[#This Row],[Part 2]]&lt;&gt;""),TblImps[[#This Row],[Amount 2]]) + IF(AND(TblImps[[#This Row],[Resource 3]]=AM$2,TblImps[[#This Row],[Part 3]]&lt;&gt;""),TblImps[[#This Row],[Amount 3]])</f>
        <v>0</v>
      </c>
      <c r="AN124" s="26" t="n">
        <f aca="false">IF(AND(TblImps[[#This Row],[Resource]]=AN$2,TblImps[[#This Row],[Part]]&lt;&gt;""),TblImps[[#This Row],[Amount]]) + IF(AND(TblImps[[#This Row],[Resource 2]]=AN$2,TblImps[[#This Row],[Part 2]]&lt;&gt;""),TblImps[[#This Row],[Amount 2]]) + IF(AND(TblImps[[#This Row],[Resource 3]]=AN$2,TblImps[[#This Row],[Part 3]]&lt;&gt;""),TblImps[[#This Row],[Amount 3]])</f>
        <v>0</v>
      </c>
      <c r="AO124" s="26" t="n">
        <f aca="false">IF(AND(TblImps[[#This Row],[Resource]]=AO$2,TblImps[[#This Row],[Part]]&lt;&gt;""),TblImps[[#This Row],[Amount]]) + IF(AND(TblImps[[#This Row],[Resource 2]]=AO$2,TblImps[[#This Row],[Part 2]]&lt;&gt;""),TblImps[[#This Row],[Amount 2]]) + IF(AND(TblImps[[#This Row],[Resource 3]]=AO$2,TblImps[[#This Row],[Part 3]]&lt;&gt;""),TblImps[[#This Row],[Amount 3]])</f>
        <v>0</v>
      </c>
      <c r="AP124" s="26" t="n">
        <f aca="false">IF(AND(TblImps[[#This Row],[Resource]]=AP$2,TblImps[[#This Row],[Part]]&lt;&gt;""),TblImps[[#This Row],[Amount]]) + IF(AND(TblImps[[#This Row],[Resource 2]]=AP$2,TblImps[[#This Row],[Part 2]]&lt;&gt;""),TblImps[[#This Row],[Amount 2]]) + IF(AND(TblImps[[#This Row],[Resource 3]]=AP$2,TblImps[[#This Row],[Part 3]]&lt;&gt;""),TblImps[[#This Row],[Amount 3]])</f>
        <v>0</v>
      </c>
      <c r="AQ124" s="132"/>
      <c r="AR12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32"/>
      <c r="AW12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32"/>
      <c r="BB12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32"/>
      <c r="BG12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32"/>
      <c r="BL12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32"/>
      <c r="BQ12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32"/>
      <c r="BV124"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33" t="n">
        <f aca="false">TblImps[[#This Row],[Login]]</f>
        <v>0</v>
      </c>
      <c r="BX124" s="128"/>
      <c r="BY124" s="347" t="n">
        <f aca="false">OFFSET(TblImps[[#This Row],[Real time]],-1,0)+1/24</f>
        <v>45434.75</v>
      </c>
      <c r="BZ124" s="348" t="n">
        <f aca="false">OFFSET(TblImps[[#This Row],[Servertime]],-1,0)+1/24</f>
        <v>45435</v>
      </c>
      <c r="CA124" s="26"/>
      <c r="CB124" s="346"/>
      <c r="CC124" s="346"/>
    </row>
    <row r="125" customFormat="false" ht="12.75" hidden="false" customHeight="false" outlineLevel="0" collapsed="false">
      <c r="A125" s="181" t="n">
        <f aca="false">TblConstr[[#This Row],[Land]]</f>
        <v>700</v>
      </c>
      <c r="B125" s="132"/>
      <c r="C125" s="69" t="n">
        <f aca="false">TblProd[[#This Row],[Platinum]]</f>
        <v>1892341</v>
      </c>
      <c r="D125" s="69" t="n">
        <f aca="false">TblProd[[#This Row],[Lumber]]</f>
        <v>52335</v>
      </c>
      <c r="E125" s="69" t="n">
        <f aca="false">TblProd[[#This Row],[Ore]]</f>
        <v>0</v>
      </c>
      <c r="F125" s="69" t="n">
        <f aca="false">TblProd[[#This Row],[Gems]]</f>
        <v>0</v>
      </c>
      <c r="G125" s="146"/>
      <c r="H125" s="69" t="n">
        <f aca="false">TblMili[[#This Row],[Draftees]]</f>
        <v>3595</v>
      </c>
      <c r="I125" s="130" t="n">
        <f aca="false">TblPop[[#This Row],[Employment]]</f>
        <v>1</v>
      </c>
      <c r="J125" s="130" t="n">
        <f aca="false">TblPop[[#This Row],[Total]]/TblPop[[#This Row],[Net max]]</f>
        <v>1</v>
      </c>
      <c r="K125" s="336" t="n">
        <f aca="false">TblRezone[[#This Row],[Hour]]</f>
        <v>122</v>
      </c>
      <c r="L125" s="337" t="n">
        <f aca="false">TblImps[[#This Row],[Real time]]</f>
        <v>45434.7916666667</v>
      </c>
      <c r="M125" s="33" t="n">
        <f aca="false">IF(ISERROR(TblImps[[#This Row],[algorithm]]),0,TblImps[[#This Row],[algorithm]]*1)</f>
        <v>0</v>
      </c>
      <c r="N125" s="69" t="n">
        <f aca="false">TblImps[[#This Row],[Land]]</f>
        <v>700</v>
      </c>
      <c r="O125" s="338" t="s">
        <v>97</v>
      </c>
      <c r="P125" s="339"/>
      <c r="Q125" s="338" t="s">
        <v>734</v>
      </c>
      <c r="R125" s="338" t="s">
        <v>93</v>
      </c>
      <c r="S125" s="339"/>
      <c r="T125" s="338" t="s">
        <v>734</v>
      </c>
      <c r="U125" s="338" t="s">
        <v>35</v>
      </c>
      <c r="V125" s="339"/>
      <c r="W125" s="338" t="s">
        <v>734</v>
      </c>
      <c r="X125" s="132"/>
      <c r="Y125" s="340" t="n">
        <f aca="false">science_cap*(1-EXP(-TblImps[[#This Row],[Σ Science]]/(science_param*(OFFSET(TblImps[[#This Row],[Land]],1,0)-OFFSET(TblExplore[[#This Row],[Land Bonus]],1,0)*20)+15000)))*(1+(mason_bonus*TblConstr[[#This Row],[Tot Mas]]/TblConstr[[#This Row],[Land (2)]]))</f>
        <v>0</v>
      </c>
      <c r="Z125" s="340" t="n">
        <f aca="false">keep_cap*(1-EXP(-TblImps[[#This Row],[Σ Keep]]/(keep_param*(OFFSET(TblImps[[#This Row],[Land]],1,0)-OFFSET(TblExplore[[#This Row],[Land Bonus]],1,0)*20)+15000)))*(1+(mason_bonus*TblConstr[[#This Row],[Tot Mas]]/TblConstr[[#This Row],[Land (2)]]))</f>
        <v>0</v>
      </c>
      <c r="AA125" s="340" t="n">
        <f aca="false">harbor_towers_cap*(1-EXP(-TblImps[[#This Row],[Σ Towers]]/(towers_param*(OFFSET(TblImps[[#This Row],[Land]],1,0)-OFFSET(TblExplore[[#This Row],[Land Bonus]],1,0)*20)+15000)))*(1+(mason_bonus*TblConstr[[#This Row],[Tot Mas]]/TblConstr[[#This Row],[Land (2)]]))</f>
        <v>0</v>
      </c>
      <c r="AB125" s="340" t="n">
        <f aca="false">walls_forges_cap*(1-EXP(-TblImps[[#This Row],[Σ Forges]]/(walls_forges_param*(OFFSET(TblImps[[#This Row],[Land]],1,0)-OFFSET(TblExplore[[#This Row],[Land Bonus]],1,0)*20)+15000)))*(1+(mason_bonus*TblConstr[[#This Row],[Tot Mas]]/TblConstr[[#This Row],[Land (2)]]))</f>
        <v>0</v>
      </c>
      <c r="AC125" s="340" t="n">
        <f aca="false">walls_forges_cap*(1-EXP(-TblImps[[#This Row],[Σ Walls]]/(walls_forges_param*(OFFSET(TblImps[[#This Row],[Land]],1,0)-OFFSET(TblExplore[[#This Row],[Land Bonus]],1,0)*20)+15000)))*(1+(mason_bonus*TblConstr[[#This Row],[Tot Mas]]/TblConstr[[#This Row],[Land (2)]]))</f>
        <v>0</v>
      </c>
      <c r="AD125" s="340" t="n">
        <f aca="false">harbor_towers_cap*(1-EXP(-TblImps[[#This Row],[Σ Irrigation]]/(harbor_towers_param*(OFFSET(TblImps[[#This Row],[Land]],1,0)-OFFSET(TblExplore[[#This Row],[Land Bonus]],1,0)*20)+15000)))*(1+(mason_bonus*TblConstr[[#This Row],[Tot Mas]]/TblConstr[[#This Row],[Land (2)]]))</f>
        <v>0</v>
      </c>
      <c r="AE125" s="132"/>
      <c r="AF125" s="33" t="n">
        <f aca="false">(1+Overview!$I$28)*SUM(TblImps[[#This Row],[P2]:[G2]])+OFFSET(TblImps[[#This Row],[Σ Science]],-1,0)</f>
        <v>0</v>
      </c>
      <c r="AG125" s="33" t="n">
        <f aca="false">(1+Overview!$I$28)*SUM(TblImps[[#This Row],[P3]:[G3]])+OFFSET(TblImps[[#This Row],[Σ Keep]],-1,0)</f>
        <v>0</v>
      </c>
      <c r="AH125" s="33" t="n">
        <f aca="false">(1+Overview!$I$28 + tech_7_1*TblTech[[#This Row],[7-1]])*SUM(TblImps[[#This Row],[P4]:[G4]])+OFFSET(TblImps[[#This Row],[Σ Towers]],-1,0)</f>
        <v>0</v>
      </c>
      <c r="AI125" s="33" t="n">
        <f aca="false">(1+Overview!$I$28)*SUM(TblImps[[#This Row],[P5]:[G5]])+OFFSET(TblImps[[#This Row],[Σ Forges]],-1,0)</f>
        <v>0</v>
      </c>
      <c r="AJ125" s="33" t="n">
        <f aca="false">(1+Overview!$I$28)*SUM(TblImps[[#This Row],[P6]:[G6]])+OFFSET(TblImps[[#This Row],[Σ Walls]],-1,0)</f>
        <v>0</v>
      </c>
      <c r="AK125" s="33" t="n">
        <f aca="false">(1+Overview!$I$28 + tech_7_1*TblTech[[#This Row],[7-1]])*SUM(TblImps[[#This Row],[P7]:[G7]])+OFFSET(TblImps[[#This Row],[Σ Irrigation]],-1,0)</f>
        <v>0</v>
      </c>
      <c r="AL125" s="132"/>
      <c r="AM125" s="26" t="n">
        <f aca="false">IF(AND(TblImps[[#This Row],[Resource]]=AM$2,TblImps[[#This Row],[Part]]&lt;&gt;""),TblImps[[#This Row],[Amount]]) + IF(AND(TblImps[[#This Row],[Resource 2]]=AM$2,TblImps[[#This Row],[Part 2]]&lt;&gt;""),TblImps[[#This Row],[Amount 2]]) + IF(AND(TblImps[[#This Row],[Resource 3]]=AM$2,TblImps[[#This Row],[Part 3]]&lt;&gt;""),TblImps[[#This Row],[Amount 3]])</f>
        <v>0</v>
      </c>
      <c r="AN125" s="26" t="n">
        <f aca="false">IF(AND(TblImps[[#This Row],[Resource]]=AN$2,TblImps[[#This Row],[Part]]&lt;&gt;""),TblImps[[#This Row],[Amount]]) + IF(AND(TblImps[[#This Row],[Resource 2]]=AN$2,TblImps[[#This Row],[Part 2]]&lt;&gt;""),TblImps[[#This Row],[Amount 2]]) + IF(AND(TblImps[[#This Row],[Resource 3]]=AN$2,TblImps[[#This Row],[Part 3]]&lt;&gt;""),TblImps[[#This Row],[Amount 3]])</f>
        <v>0</v>
      </c>
      <c r="AO125" s="26" t="n">
        <f aca="false">IF(AND(TblImps[[#This Row],[Resource]]=AO$2,TblImps[[#This Row],[Part]]&lt;&gt;""),TblImps[[#This Row],[Amount]]) + IF(AND(TblImps[[#This Row],[Resource 2]]=AO$2,TblImps[[#This Row],[Part 2]]&lt;&gt;""),TblImps[[#This Row],[Amount 2]]) + IF(AND(TblImps[[#This Row],[Resource 3]]=AO$2,TblImps[[#This Row],[Part 3]]&lt;&gt;""),TblImps[[#This Row],[Amount 3]])</f>
        <v>0</v>
      </c>
      <c r="AP125" s="26" t="n">
        <f aca="false">IF(AND(TblImps[[#This Row],[Resource]]=AP$2,TblImps[[#This Row],[Part]]&lt;&gt;""),TblImps[[#This Row],[Amount]]) + IF(AND(TblImps[[#This Row],[Resource 2]]=AP$2,TblImps[[#This Row],[Part 2]]&lt;&gt;""),TblImps[[#This Row],[Amount 2]]) + IF(AND(TblImps[[#This Row],[Resource 3]]=AP$2,TblImps[[#This Row],[Part 3]]&lt;&gt;""),TblImps[[#This Row],[Amount 3]])</f>
        <v>0</v>
      </c>
      <c r="AQ125" s="132"/>
      <c r="AR12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32"/>
      <c r="AW12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32"/>
      <c r="BB12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32"/>
      <c r="BG12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32"/>
      <c r="BL12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32"/>
      <c r="BQ12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32"/>
      <c r="BV125"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33" t="n">
        <f aca="false">TblImps[[#This Row],[Login]]</f>
        <v>0</v>
      </c>
      <c r="BX125" s="128"/>
      <c r="BY125" s="347" t="n">
        <f aca="false">OFFSET(TblImps[[#This Row],[Real time]],-1,0)+1/24</f>
        <v>45434.7916666667</v>
      </c>
      <c r="BZ125" s="348" t="n">
        <f aca="false">OFFSET(TblImps[[#This Row],[Servertime]],-1,0)+1/24</f>
        <v>45435.0416666667</v>
      </c>
      <c r="CA125" s="26"/>
      <c r="CB125" s="346"/>
      <c r="CC125" s="346"/>
    </row>
    <row r="126" customFormat="false" ht="12.75" hidden="false" customHeight="false" outlineLevel="0" collapsed="false">
      <c r="A126" s="181" t="n">
        <f aca="false">TblConstr[[#This Row],[Land]]</f>
        <v>700</v>
      </c>
      <c r="B126" s="132"/>
      <c r="C126" s="69" t="n">
        <f aca="false">TblProd[[#This Row],[Platinum]]</f>
        <v>1921240</v>
      </c>
      <c r="D126" s="69" t="n">
        <f aca="false">TblProd[[#This Row],[Lumber]]</f>
        <v>52937</v>
      </c>
      <c r="E126" s="69" t="n">
        <f aca="false">TblProd[[#This Row],[Ore]]</f>
        <v>0</v>
      </c>
      <c r="F126" s="69" t="n">
        <f aca="false">TblProd[[#This Row],[Gems]]</f>
        <v>0</v>
      </c>
      <c r="G126" s="146"/>
      <c r="H126" s="69" t="n">
        <f aca="false">TblMili[[#This Row],[Draftees]]</f>
        <v>3656</v>
      </c>
      <c r="I126" s="130" t="n">
        <f aca="false">TblPop[[#This Row],[Employment]]</f>
        <v>1</v>
      </c>
      <c r="J126" s="130" t="n">
        <f aca="false">TblPop[[#This Row],[Total]]/TblPop[[#This Row],[Net max]]</f>
        <v>1</v>
      </c>
      <c r="K126" s="336" t="n">
        <f aca="false">TblRezone[[#This Row],[Hour]]</f>
        <v>123</v>
      </c>
      <c r="L126" s="337" t="n">
        <f aca="false">TblImps[[#This Row],[Real time]]</f>
        <v>45434.8333333333</v>
      </c>
      <c r="M126" s="33" t="n">
        <f aca="false">IF(ISERROR(TblImps[[#This Row],[algorithm]]),0,TblImps[[#This Row],[algorithm]]*1)</f>
        <v>0</v>
      </c>
      <c r="N126" s="69" t="n">
        <f aca="false">TblImps[[#This Row],[Land]]</f>
        <v>700</v>
      </c>
      <c r="O126" s="338" t="s">
        <v>97</v>
      </c>
      <c r="P126" s="339"/>
      <c r="Q126" s="338" t="s">
        <v>734</v>
      </c>
      <c r="R126" s="338" t="s">
        <v>93</v>
      </c>
      <c r="S126" s="339"/>
      <c r="T126" s="338" t="s">
        <v>734</v>
      </c>
      <c r="U126" s="338" t="s">
        <v>35</v>
      </c>
      <c r="V126" s="339"/>
      <c r="W126" s="338" t="s">
        <v>734</v>
      </c>
      <c r="X126" s="132"/>
      <c r="Y126" s="340" t="n">
        <f aca="false">science_cap*(1-EXP(-TblImps[[#This Row],[Σ Science]]/(science_param*(OFFSET(TblImps[[#This Row],[Land]],1,0)-OFFSET(TblExplore[[#This Row],[Land Bonus]],1,0)*20)+15000)))*(1+(mason_bonus*TblConstr[[#This Row],[Tot Mas]]/TblConstr[[#This Row],[Land (2)]]))</f>
        <v>0</v>
      </c>
      <c r="Z126" s="340" t="n">
        <f aca="false">keep_cap*(1-EXP(-TblImps[[#This Row],[Σ Keep]]/(keep_param*(OFFSET(TblImps[[#This Row],[Land]],1,0)-OFFSET(TblExplore[[#This Row],[Land Bonus]],1,0)*20)+15000)))*(1+(mason_bonus*TblConstr[[#This Row],[Tot Mas]]/TblConstr[[#This Row],[Land (2)]]))</f>
        <v>0</v>
      </c>
      <c r="AA126" s="340" t="n">
        <f aca="false">harbor_towers_cap*(1-EXP(-TblImps[[#This Row],[Σ Towers]]/(towers_param*(OFFSET(TblImps[[#This Row],[Land]],1,0)-OFFSET(TblExplore[[#This Row],[Land Bonus]],1,0)*20)+15000)))*(1+(mason_bonus*TblConstr[[#This Row],[Tot Mas]]/TblConstr[[#This Row],[Land (2)]]))</f>
        <v>0</v>
      </c>
      <c r="AB126" s="340" t="n">
        <f aca="false">walls_forges_cap*(1-EXP(-TblImps[[#This Row],[Σ Forges]]/(walls_forges_param*(OFFSET(TblImps[[#This Row],[Land]],1,0)-OFFSET(TblExplore[[#This Row],[Land Bonus]],1,0)*20)+15000)))*(1+(mason_bonus*TblConstr[[#This Row],[Tot Mas]]/TblConstr[[#This Row],[Land (2)]]))</f>
        <v>0</v>
      </c>
      <c r="AC126" s="340" t="n">
        <f aca="false">walls_forges_cap*(1-EXP(-TblImps[[#This Row],[Σ Walls]]/(walls_forges_param*(OFFSET(TblImps[[#This Row],[Land]],1,0)-OFFSET(TblExplore[[#This Row],[Land Bonus]],1,0)*20)+15000)))*(1+(mason_bonus*TblConstr[[#This Row],[Tot Mas]]/TblConstr[[#This Row],[Land (2)]]))</f>
        <v>0</v>
      </c>
      <c r="AD126" s="340" t="n">
        <f aca="false">harbor_towers_cap*(1-EXP(-TblImps[[#This Row],[Σ Irrigation]]/(harbor_towers_param*(OFFSET(TblImps[[#This Row],[Land]],1,0)-OFFSET(TblExplore[[#This Row],[Land Bonus]],1,0)*20)+15000)))*(1+(mason_bonus*TblConstr[[#This Row],[Tot Mas]]/TblConstr[[#This Row],[Land (2)]]))</f>
        <v>0</v>
      </c>
      <c r="AE126" s="132"/>
      <c r="AF126" s="33" t="n">
        <f aca="false">(1+Overview!$I$28)*SUM(TblImps[[#This Row],[P2]:[G2]])+OFFSET(TblImps[[#This Row],[Σ Science]],-1,0)</f>
        <v>0</v>
      </c>
      <c r="AG126" s="33" t="n">
        <f aca="false">(1+Overview!$I$28)*SUM(TblImps[[#This Row],[P3]:[G3]])+OFFSET(TblImps[[#This Row],[Σ Keep]],-1,0)</f>
        <v>0</v>
      </c>
      <c r="AH126" s="33" t="n">
        <f aca="false">(1+Overview!$I$28 + tech_7_1*TblTech[[#This Row],[7-1]])*SUM(TblImps[[#This Row],[P4]:[G4]])+OFFSET(TblImps[[#This Row],[Σ Towers]],-1,0)</f>
        <v>0</v>
      </c>
      <c r="AI126" s="33" t="n">
        <f aca="false">(1+Overview!$I$28)*SUM(TblImps[[#This Row],[P5]:[G5]])+OFFSET(TblImps[[#This Row],[Σ Forges]],-1,0)</f>
        <v>0</v>
      </c>
      <c r="AJ126" s="33" t="n">
        <f aca="false">(1+Overview!$I$28)*SUM(TblImps[[#This Row],[P6]:[G6]])+OFFSET(TblImps[[#This Row],[Σ Walls]],-1,0)</f>
        <v>0</v>
      </c>
      <c r="AK126" s="33" t="n">
        <f aca="false">(1+Overview!$I$28 + tech_7_1*TblTech[[#This Row],[7-1]])*SUM(TblImps[[#This Row],[P7]:[G7]])+OFFSET(TblImps[[#This Row],[Σ Irrigation]],-1,0)</f>
        <v>0</v>
      </c>
      <c r="AL126" s="132"/>
      <c r="AM126" s="26" t="n">
        <f aca="false">IF(AND(TblImps[[#This Row],[Resource]]=AM$2,TblImps[[#This Row],[Part]]&lt;&gt;""),TblImps[[#This Row],[Amount]]) + IF(AND(TblImps[[#This Row],[Resource 2]]=AM$2,TblImps[[#This Row],[Part 2]]&lt;&gt;""),TblImps[[#This Row],[Amount 2]]) + IF(AND(TblImps[[#This Row],[Resource 3]]=AM$2,TblImps[[#This Row],[Part 3]]&lt;&gt;""),TblImps[[#This Row],[Amount 3]])</f>
        <v>0</v>
      </c>
      <c r="AN126" s="26" t="n">
        <f aca="false">IF(AND(TblImps[[#This Row],[Resource]]=AN$2,TblImps[[#This Row],[Part]]&lt;&gt;""),TblImps[[#This Row],[Amount]]) + IF(AND(TblImps[[#This Row],[Resource 2]]=AN$2,TblImps[[#This Row],[Part 2]]&lt;&gt;""),TblImps[[#This Row],[Amount 2]]) + IF(AND(TblImps[[#This Row],[Resource 3]]=AN$2,TblImps[[#This Row],[Part 3]]&lt;&gt;""),TblImps[[#This Row],[Amount 3]])</f>
        <v>0</v>
      </c>
      <c r="AO126" s="26" t="n">
        <f aca="false">IF(AND(TblImps[[#This Row],[Resource]]=AO$2,TblImps[[#This Row],[Part]]&lt;&gt;""),TblImps[[#This Row],[Amount]]) + IF(AND(TblImps[[#This Row],[Resource 2]]=AO$2,TblImps[[#This Row],[Part 2]]&lt;&gt;""),TblImps[[#This Row],[Amount 2]]) + IF(AND(TblImps[[#This Row],[Resource 3]]=AO$2,TblImps[[#This Row],[Part 3]]&lt;&gt;""),TblImps[[#This Row],[Amount 3]])</f>
        <v>0</v>
      </c>
      <c r="AP126" s="26" t="n">
        <f aca="false">IF(AND(TblImps[[#This Row],[Resource]]=AP$2,TblImps[[#This Row],[Part]]&lt;&gt;""),TblImps[[#This Row],[Amount]]) + IF(AND(TblImps[[#This Row],[Resource 2]]=AP$2,TblImps[[#This Row],[Part 2]]&lt;&gt;""),TblImps[[#This Row],[Amount 2]]) + IF(AND(TblImps[[#This Row],[Resource 3]]=AP$2,TblImps[[#This Row],[Part 3]]&lt;&gt;""),TblImps[[#This Row],[Amount 3]])</f>
        <v>0</v>
      </c>
      <c r="AQ126" s="132"/>
      <c r="AR12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32"/>
      <c r="AW12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32"/>
      <c r="BB12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32"/>
      <c r="BG12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32"/>
      <c r="BL12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32"/>
      <c r="BQ12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32"/>
      <c r="BV126"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33" t="n">
        <f aca="false">TblImps[[#This Row],[Login]]</f>
        <v>0</v>
      </c>
      <c r="BX126" s="128"/>
      <c r="BY126" s="347" t="n">
        <f aca="false">OFFSET(TblImps[[#This Row],[Real time]],-1,0)+1/24</f>
        <v>45434.8333333333</v>
      </c>
      <c r="BZ126" s="348" t="n">
        <f aca="false">OFFSET(TblImps[[#This Row],[Servertime]],-1,0)+1/24</f>
        <v>45435.0833333333</v>
      </c>
      <c r="CA126" s="26"/>
      <c r="CB126" s="346"/>
      <c r="CC126" s="346"/>
    </row>
    <row r="127" customFormat="false" ht="12.75" hidden="false" customHeight="false" outlineLevel="0" collapsed="false">
      <c r="A127" s="181" t="n">
        <f aca="false">TblConstr[[#This Row],[Land]]</f>
        <v>700</v>
      </c>
      <c r="B127" s="132"/>
      <c r="C127" s="69" t="n">
        <f aca="false">TblProd[[#This Row],[Platinum]]</f>
        <v>1949974</v>
      </c>
      <c r="D127" s="69" t="n">
        <f aca="false">TblProd[[#This Row],[Lumber]]</f>
        <v>53533</v>
      </c>
      <c r="E127" s="69" t="n">
        <f aca="false">TblProd[[#This Row],[Ore]]</f>
        <v>0</v>
      </c>
      <c r="F127" s="69" t="n">
        <f aca="false">TblProd[[#This Row],[Gems]]</f>
        <v>0</v>
      </c>
      <c r="G127" s="146"/>
      <c r="H127" s="69" t="n">
        <f aca="false">TblMili[[#This Row],[Draftees]]</f>
        <v>3717</v>
      </c>
      <c r="I127" s="130" t="n">
        <f aca="false">TblPop[[#This Row],[Employment]]</f>
        <v>1</v>
      </c>
      <c r="J127" s="130" t="n">
        <f aca="false">TblPop[[#This Row],[Total]]/TblPop[[#This Row],[Net max]]</f>
        <v>1</v>
      </c>
      <c r="K127" s="336" t="n">
        <f aca="false">TblRezone[[#This Row],[Hour]]</f>
        <v>124</v>
      </c>
      <c r="L127" s="337" t="n">
        <f aca="false">TblImps[[#This Row],[Real time]]</f>
        <v>45434.875</v>
      </c>
      <c r="M127" s="33" t="n">
        <f aca="false">IF(ISERROR(TblImps[[#This Row],[algorithm]]),0,TblImps[[#This Row],[algorithm]]*1)</f>
        <v>0</v>
      </c>
      <c r="N127" s="69" t="n">
        <f aca="false">TblImps[[#This Row],[Land]]</f>
        <v>700</v>
      </c>
      <c r="O127" s="338" t="s">
        <v>97</v>
      </c>
      <c r="P127" s="339"/>
      <c r="Q127" s="338" t="s">
        <v>734</v>
      </c>
      <c r="R127" s="338" t="s">
        <v>93</v>
      </c>
      <c r="S127" s="339"/>
      <c r="T127" s="338" t="s">
        <v>734</v>
      </c>
      <c r="U127" s="338" t="s">
        <v>35</v>
      </c>
      <c r="V127" s="339"/>
      <c r="W127" s="338" t="s">
        <v>734</v>
      </c>
      <c r="X127" s="132"/>
      <c r="Y127" s="340" t="n">
        <f aca="false">science_cap*(1-EXP(-TblImps[[#This Row],[Σ Science]]/(science_param*(OFFSET(TblImps[[#This Row],[Land]],1,0)-OFFSET(TblExplore[[#This Row],[Land Bonus]],1,0)*20)+15000)))*(1+(mason_bonus*TblConstr[[#This Row],[Tot Mas]]/TblConstr[[#This Row],[Land (2)]]))</f>
        <v>0</v>
      </c>
      <c r="Z127" s="340" t="n">
        <f aca="false">keep_cap*(1-EXP(-TblImps[[#This Row],[Σ Keep]]/(keep_param*(OFFSET(TblImps[[#This Row],[Land]],1,0)-OFFSET(TblExplore[[#This Row],[Land Bonus]],1,0)*20)+15000)))*(1+(mason_bonus*TblConstr[[#This Row],[Tot Mas]]/TblConstr[[#This Row],[Land (2)]]))</f>
        <v>0</v>
      </c>
      <c r="AA127" s="340" t="n">
        <f aca="false">harbor_towers_cap*(1-EXP(-TblImps[[#This Row],[Σ Towers]]/(towers_param*(OFFSET(TblImps[[#This Row],[Land]],1,0)-OFFSET(TblExplore[[#This Row],[Land Bonus]],1,0)*20)+15000)))*(1+(mason_bonus*TblConstr[[#This Row],[Tot Mas]]/TblConstr[[#This Row],[Land (2)]]))</f>
        <v>0</v>
      </c>
      <c r="AB127" s="340" t="n">
        <f aca="false">walls_forges_cap*(1-EXP(-TblImps[[#This Row],[Σ Forges]]/(walls_forges_param*(OFFSET(TblImps[[#This Row],[Land]],1,0)-OFFSET(TblExplore[[#This Row],[Land Bonus]],1,0)*20)+15000)))*(1+(mason_bonus*TblConstr[[#This Row],[Tot Mas]]/TblConstr[[#This Row],[Land (2)]]))</f>
        <v>0</v>
      </c>
      <c r="AC127" s="340" t="n">
        <f aca="false">walls_forges_cap*(1-EXP(-TblImps[[#This Row],[Σ Walls]]/(walls_forges_param*(OFFSET(TblImps[[#This Row],[Land]],1,0)-OFFSET(TblExplore[[#This Row],[Land Bonus]],1,0)*20)+15000)))*(1+(mason_bonus*TblConstr[[#This Row],[Tot Mas]]/TblConstr[[#This Row],[Land (2)]]))</f>
        <v>0</v>
      </c>
      <c r="AD127" s="340" t="n">
        <f aca="false">harbor_towers_cap*(1-EXP(-TblImps[[#This Row],[Σ Irrigation]]/(harbor_towers_param*(OFFSET(TblImps[[#This Row],[Land]],1,0)-OFFSET(TblExplore[[#This Row],[Land Bonus]],1,0)*20)+15000)))*(1+(mason_bonus*TblConstr[[#This Row],[Tot Mas]]/TblConstr[[#This Row],[Land (2)]]))</f>
        <v>0</v>
      </c>
      <c r="AE127" s="132"/>
      <c r="AF127" s="33" t="n">
        <f aca="false">(1+Overview!$I$28)*SUM(TblImps[[#This Row],[P2]:[G2]])+OFFSET(TblImps[[#This Row],[Σ Science]],-1,0)</f>
        <v>0</v>
      </c>
      <c r="AG127" s="33" t="n">
        <f aca="false">(1+Overview!$I$28)*SUM(TblImps[[#This Row],[P3]:[G3]])+OFFSET(TblImps[[#This Row],[Σ Keep]],-1,0)</f>
        <v>0</v>
      </c>
      <c r="AH127" s="33" t="n">
        <f aca="false">(1+Overview!$I$28 + tech_7_1*TblTech[[#This Row],[7-1]])*SUM(TblImps[[#This Row],[P4]:[G4]])+OFFSET(TblImps[[#This Row],[Σ Towers]],-1,0)</f>
        <v>0</v>
      </c>
      <c r="AI127" s="33" t="n">
        <f aca="false">(1+Overview!$I$28)*SUM(TblImps[[#This Row],[P5]:[G5]])+OFFSET(TblImps[[#This Row],[Σ Forges]],-1,0)</f>
        <v>0</v>
      </c>
      <c r="AJ127" s="33" t="n">
        <f aca="false">(1+Overview!$I$28)*SUM(TblImps[[#This Row],[P6]:[G6]])+OFFSET(TblImps[[#This Row],[Σ Walls]],-1,0)</f>
        <v>0</v>
      </c>
      <c r="AK127" s="33" t="n">
        <f aca="false">(1+Overview!$I$28 + tech_7_1*TblTech[[#This Row],[7-1]])*SUM(TblImps[[#This Row],[P7]:[G7]])+OFFSET(TblImps[[#This Row],[Σ Irrigation]],-1,0)</f>
        <v>0</v>
      </c>
      <c r="AL127" s="132"/>
      <c r="AM127" s="26" t="n">
        <f aca="false">IF(AND(TblImps[[#This Row],[Resource]]=AM$2,TblImps[[#This Row],[Part]]&lt;&gt;""),TblImps[[#This Row],[Amount]]) + IF(AND(TblImps[[#This Row],[Resource 2]]=AM$2,TblImps[[#This Row],[Part 2]]&lt;&gt;""),TblImps[[#This Row],[Amount 2]]) + IF(AND(TblImps[[#This Row],[Resource 3]]=AM$2,TblImps[[#This Row],[Part 3]]&lt;&gt;""),TblImps[[#This Row],[Amount 3]])</f>
        <v>0</v>
      </c>
      <c r="AN127" s="26" t="n">
        <f aca="false">IF(AND(TblImps[[#This Row],[Resource]]=AN$2,TblImps[[#This Row],[Part]]&lt;&gt;""),TblImps[[#This Row],[Amount]]) + IF(AND(TblImps[[#This Row],[Resource 2]]=AN$2,TblImps[[#This Row],[Part 2]]&lt;&gt;""),TblImps[[#This Row],[Amount 2]]) + IF(AND(TblImps[[#This Row],[Resource 3]]=AN$2,TblImps[[#This Row],[Part 3]]&lt;&gt;""),TblImps[[#This Row],[Amount 3]])</f>
        <v>0</v>
      </c>
      <c r="AO127" s="26" t="n">
        <f aca="false">IF(AND(TblImps[[#This Row],[Resource]]=AO$2,TblImps[[#This Row],[Part]]&lt;&gt;""),TblImps[[#This Row],[Amount]]) + IF(AND(TblImps[[#This Row],[Resource 2]]=AO$2,TblImps[[#This Row],[Part 2]]&lt;&gt;""),TblImps[[#This Row],[Amount 2]]) + IF(AND(TblImps[[#This Row],[Resource 3]]=AO$2,TblImps[[#This Row],[Part 3]]&lt;&gt;""),TblImps[[#This Row],[Amount 3]])</f>
        <v>0</v>
      </c>
      <c r="AP127" s="26" t="n">
        <f aca="false">IF(AND(TblImps[[#This Row],[Resource]]=AP$2,TblImps[[#This Row],[Part]]&lt;&gt;""),TblImps[[#This Row],[Amount]]) + IF(AND(TblImps[[#This Row],[Resource 2]]=AP$2,TblImps[[#This Row],[Part 2]]&lt;&gt;""),TblImps[[#This Row],[Amount 2]]) + IF(AND(TblImps[[#This Row],[Resource 3]]=AP$2,TblImps[[#This Row],[Part 3]]&lt;&gt;""),TblImps[[#This Row],[Amount 3]])</f>
        <v>0</v>
      </c>
      <c r="AQ127" s="132"/>
      <c r="AR12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32"/>
      <c r="AW12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32"/>
      <c r="BB12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32"/>
      <c r="BG12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32"/>
      <c r="BL12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32"/>
      <c r="BQ12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32"/>
      <c r="BV127"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33" t="n">
        <f aca="false">TblImps[[#This Row],[Login]]</f>
        <v>0</v>
      </c>
      <c r="BX127" s="128"/>
      <c r="BY127" s="347" t="n">
        <f aca="false">OFFSET(TblImps[[#This Row],[Real time]],-1,0)+1/24</f>
        <v>45434.875</v>
      </c>
      <c r="BZ127" s="348" t="n">
        <f aca="false">OFFSET(TblImps[[#This Row],[Servertime]],-1,0)+1/24</f>
        <v>45435.125</v>
      </c>
      <c r="CA127" s="26"/>
      <c r="CB127" s="346"/>
      <c r="CC127" s="346"/>
    </row>
    <row r="128" customFormat="false" ht="12.75" hidden="false" customHeight="false" outlineLevel="0" collapsed="false">
      <c r="A128" s="181" t="n">
        <f aca="false">TblConstr[[#This Row],[Land]]</f>
        <v>700</v>
      </c>
      <c r="B128" s="132"/>
      <c r="C128" s="69" t="n">
        <f aca="false">TblProd[[#This Row],[Platinum]]</f>
        <v>1978543</v>
      </c>
      <c r="D128" s="69" t="n">
        <f aca="false">TblProd[[#This Row],[Lumber]]</f>
        <v>54123</v>
      </c>
      <c r="E128" s="69" t="n">
        <f aca="false">TblProd[[#This Row],[Ore]]</f>
        <v>0</v>
      </c>
      <c r="F128" s="69" t="n">
        <f aca="false">TblProd[[#This Row],[Gems]]</f>
        <v>0</v>
      </c>
      <c r="G128" s="146"/>
      <c r="H128" s="69" t="n">
        <f aca="false">TblMili[[#This Row],[Draftees]]</f>
        <v>3777</v>
      </c>
      <c r="I128" s="130" t="n">
        <f aca="false">TblPop[[#This Row],[Employment]]</f>
        <v>1</v>
      </c>
      <c r="J128" s="130" t="n">
        <f aca="false">TblPop[[#This Row],[Total]]/TblPop[[#This Row],[Net max]]</f>
        <v>1</v>
      </c>
      <c r="K128" s="336" t="n">
        <f aca="false">TblRezone[[#This Row],[Hour]]</f>
        <v>125</v>
      </c>
      <c r="L128" s="337" t="n">
        <f aca="false">TblImps[[#This Row],[Real time]]</f>
        <v>45434.9166666667</v>
      </c>
      <c r="M128" s="33" t="n">
        <f aca="false">IF(ISERROR(TblImps[[#This Row],[algorithm]]),0,TblImps[[#This Row],[algorithm]]*1)</f>
        <v>0</v>
      </c>
      <c r="N128" s="69" t="n">
        <f aca="false">TblImps[[#This Row],[Land]]</f>
        <v>700</v>
      </c>
      <c r="O128" s="338" t="s">
        <v>97</v>
      </c>
      <c r="P128" s="339"/>
      <c r="Q128" s="338" t="s">
        <v>734</v>
      </c>
      <c r="R128" s="338" t="s">
        <v>93</v>
      </c>
      <c r="S128" s="339"/>
      <c r="T128" s="338" t="s">
        <v>734</v>
      </c>
      <c r="U128" s="338" t="s">
        <v>35</v>
      </c>
      <c r="V128" s="339"/>
      <c r="W128" s="338" t="s">
        <v>734</v>
      </c>
      <c r="X128" s="132"/>
      <c r="Y128" s="340" t="n">
        <f aca="false">science_cap*(1-EXP(-TblImps[[#This Row],[Σ Science]]/(science_param*(OFFSET(TblImps[[#This Row],[Land]],1,0)-OFFSET(TblExplore[[#This Row],[Land Bonus]],1,0)*20)+15000)))*(1+(mason_bonus*TblConstr[[#This Row],[Tot Mas]]/TblConstr[[#This Row],[Land (2)]]))</f>
        <v>0</v>
      </c>
      <c r="Z128" s="340" t="n">
        <f aca="false">keep_cap*(1-EXP(-TblImps[[#This Row],[Σ Keep]]/(keep_param*(OFFSET(TblImps[[#This Row],[Land]],1,0)-OFFSET(TblExplore[[#This Row],[Land Bonus]],1,0)*20)+15000)))*(1+(mason_bonus*TblConstr[[#This Row],[Tot Mas]]/TblConstr[[#This Row],[Land (2)]]))</f>
        <v>0</v>
      </c>
      <c r="AA128" s="340" t="n">
        <f aca="false">harbor_towers_cap*(1-EXP(-TblImps[[#This Row],[Σ Towers]]/(towers_param*(OFFSET(TblImps[[#This Row],[Land]],1,0)-OFFSET(TblExplore[[#This Row],[Land Bonus]],1,0)*20)+15000)))*(1+(mason_bonus*TblConstr[[#This Row],[Tot Mas]]/TblConstr[[#This Row],[Land (2)]]))</f>
        <v>0</v>
      </c>
      <c r="AB128" s="340" t="n">
        <f aca="false">walls_forges_cap*(1-EXP(-TblImps[[#This Row],[Σ Forges]]/(walls_forges_param*(OFFSET(TblImps[[#This Row],[Land]],1,0)-OFFSET(TblExplore[[#This Row],[Land Bonus]],1,0)*20)+15000)))*(1+(mason_bonus*TblConstr[[#This Row],[Tot Mas]]/TblConstr[[#This Row],[Land (2)]]))</f>
        <v>0</v>
      </c>
      <c r="AC128" s="340" t="n">
        <f aca="false">walls_forges_cap*(1-EXP(-TblImps[[#This Row],[Σ Walls]]/(walls_forges_param*(OFFSET(TblImps[[#This Row],[Land]],1,0)-OFFSET(TblExplore[[#This Row],[Land Bonus]],1,0)*20)+15000)))*(1+(mason_bonus*TblConstr[[#This Row],[Tot Mas]]/TblConstr[[#This Row],[Land (2)]]))</f>
        <v>0</v>
      </c>
      <c r="AD128" s="340" t="n">
        <f aca="false">harbor_towers_cap*(1-EXP(-TblImps[[#This Row],[Σ Irrigation]]/(harbor_towers_param*(OFFSET(TblImps[[#This Row],[Land]],1,0)-OFFSET(TblExplore[[#This Row],[Land Bonus]],1,0)*20)+15000)))*(1+(mason_bonus*TblConstr[[#This Row],[Tot Mas]]/TblConstr[[#This Row],[Land (2)]]))</f>
        <v>0</v>
      </c>
      <c r="AE128" s="132"/>
      <c r="AF128" s="33" t="n">
        <f aca="false">(1+Overview!$I$28)*SUM(TblImps[[#This Row],[P2]:[G2]])+OFFSET(TblImps[[#This Row],[Σ Science]],-1,0)</f>
        <v>0</v>
      </c>
      <c r="AG128" s="33" t="n">
        <f aca="false">(1+Overview!$I$28)*SUM(TblImps[[#This Row],[P3]:[G3]])+OFFSET(TblImps[[#This Row],[Σ Keep]],-1,0)</f>
        <v>0</v>
      </c>
      <c r="AH128" s="33" t="n">
        <f aca="false">(1+Overview!$I$28 + tech_7_1*TblTech[[#This Row],[7-1]])*SUM(TblImps[[#This Row],[P4]:[G4]])+OFFSET(TblImps[[#This Row],[Σ Towers]],-1,0)</f>
        <v>0</v>
      </c>
      <c r="AI128" s="33" t="n">
        <f aca="false">(1+Overview!$I$28)*SUM(TblImps[[#This Row],[P5]:[G5]])+OFFSET(TblImps[[#This Row],[Σ Forges]],-1,0)</f>
        <v>0</v>
      </c>
      <c r="AJ128" s="33" t="n">
        <f aca="false">(1+Overview!$I$28)*SUM(TblImps[[#This Row],[P6]:[G6]])+OFFSET(TblImps[[#This Row],[Σ Walls]],-1,0)</f>
        <v>0</v>
      </c>
      <c r="AK128" s="33" t="n">
        <f aca="false">(1+Overview!$I$28 + tech_7_1*TblTech[[#This Row],[7-1]])*SUM(TblImps[[#This Row],[P7]:[G7]])+OFFSET(TblImps[[#This Row],[Σ Irrigation]],-1,0)</f>
        <v>0</v>
      </c>
      <c r="AL128" s="132"/>
      <c r="AM128" s="26" t="n">
        <f aca="false">IF(AND(TblImps[[#This Row],[Resource]]=AM$2,TblImps[[#This Row],[Part]]&lt;&gt;""),TblImps[[#This Row],[Amount]]) + IF(AND(TblImps[[#This Row],[Resource 2]]=AM$2,TblImps[[#This Row],[Part 2]]&lt;&gt;""),TblImps[[#This Row],[Amount 2]]) + IF(AND(TblImps[[#This Row],[Resource 3]]=AM$2,TblImps[[#This Row],[Part 3]]&lt;&gt;""),TblImps[[#This Row],[Amount 3]])</f>
        <v>0</v>
      </c>
      <c r="AN128" s="26" t="n">
        <f aca="false">IF(AND(TblImps[[#This Row],[Resource]]=AN$2,TblImps[[#This Row],[Part]]&lt;&gt;""),TblImps[[#This Row],[Amount]]) + IF(AND(TblImps[[#This Row],[Resource 2]]=AN$2,TblImps[[#This Row],[Part 2]]&lt;&gt;""),TblImps[[#This Row],[Amount 2]]) + IF(AND(TblImps[[#This Row],[Resource 3]]=AN$2,TblImps[[#This Row],[Part 3]]&lt;&gt;""),TblImps[[#This Row],[Amount 3]])</f>
        <v>0</v>
      </c>
      <c r="AO128" s="26" t="n">
        <f aca="false">IF(AND(TblImps[[#This Row],[Resource]]=AO$2,TblImps[[#This Row],[Part]]&lt;&gt;""),TblImps[[#This Row],[Amount]]) + IF(AND(TblImps[[#This Row],[Resource 2]]=AO$2,TblImps[[#This Row],[Part 2]]&lt;&gt;""),TblImps[[#This Row],[Amount 2]]) + IF(AND(TblImps[[#This Row],[Resource 3]]=AO$2,TblImps[[#This Row],[Part 3]]&lt;&gt;""),TblImps[[#This Row],[Amount 3]])</f>
        <v>0</v>
      </c>
      <c r="AP128" s="26" t="n">
        <f aca="false">IF(AND(TblImps[[#This Row],[Resource]]=AP$2,TblImps[[#This Row],[Part]]&lt;&gt;""),TblImps[[#This Row],[Amount]]) + IF(AND(TblImps[[#This Row],[Resource 2]]=AP$2,TblImps[[#This Row],[Part 2]]&lt;&gt;""),TblImps[[#This Row],[Amount 2]]) + IF(AND(TblImps[[#This Row],[Resource 3]]=AP$2,TblImps[[#This Row],[Part 3]]&lt;&gt;""),TblImps[[#This Row],[Amount 3]])</f>
        <v>0</v>
      </c>
      <c r="AQ128" s="132"/>
      <c r="AR12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32"/>
      <c r="AW12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32"/>
      <c r="BB12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32"/>
      <c r="BG12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32"/>
      <c r="BL12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32"/>
      <c r="BQ12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32"/>
      <c r="BV128"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33" t="n">
        <f aca="false">TblImps[[#This Row],[Login]]</f>
        <v>0</v>
      </c>
      <c r="BX128" s="128"/>
      <c r="BY128" s="347" t="n">
        <f aca="false">OFFSET(TblImps[[#This Row],[Real time]],-1,0)+1/24</f>
        <v>45434.9166666667</v>
      </c>
      <c r="BZ128" s="348" t="n">
        <f aca="false">OFFSET(TblImps[[#This Row],[Servertime]],-1,0)+1/24</f>
        <v>45435.1666666667</v>
      </c>
      <c r="CA128" s="26"/>
      <c r="CB128" s="346"/>
      <c r="CC128" s="346"/>
    </row>
    <row r="129" customFormat="false" ht="12.75" hidden="false" customHeight="false" outlineLevel="0" collapsed="false">
      <c r="A129" s="181" t="n">
        <f aca="false">TblConstr[[#This Row],[Land]]</f>
        <v>700</v>
      </c>
      <c r="B129" s="132"/>
      <c r="C129" s="69" t="n">
        <f aca="false">TblProd[[#This Row],[Platinum]]</f>
        <v>2006950</v>
      </c>
      <c r="D129" s="69" t="n">
        <f aca="false">TblProd[[#This Row],[Lumber]]</f>
        <v>54707</v>
      </c>
      <c r="E129" s="69" t="n">
        <f aca="false">TblProd[[#This Row],[Ore]]</f>
        <v>0</v>
      </c>
      <c r="F129" s="69" t="n">
        <f aca="false">TblProd[[#This Row],[Gems]]</f>
        <v>0</v>
      </c>
      <c r="G129" s="146"/>
      <c r="H129" s="69" t="n">
        <f aca="false">TblMili[[#This Row],[Draftees]]</f>
        <v>3836</v>
      </c>
      <c r="I129" s="130" t="n">
        <f aca="false">TblPop[[#This Row],[Employment]]</f>
        <v>1</v>
      </c>
      <c r="J129" s="130" t="n">
        <f aca="false">TblPop[[#This Row],[Total]]/TblPop[[#This Row],[Net max]]</f>
        <v>1</v>
      </c>
      <c r="K129" s="336" t="n">
        <f aca="false">TblRezone[[#This Row],[Hour]]</f>
        <v>126</v>
      </c>
      <c r="L129" s="337" t="n">
        <f aca="false">TblImps[[#This Row],[Real time]]</f>
        <v>45434.9583333333</v>
      </c>
      <c r="M129" s="33" t="n">
        <f aca="false">IF(ISERROR(TblImps[[#This Row],[algorithm]]),0,TblImps[[#This Row],[algorithm]]*1)</f>
        <v>0</v>
      </c>
      <c r="N129" s="69" t="n">
        <f aca="false">TblImps[[#This Row],[Land]]</f>
        <v>700</v>
      </c>
      <c r="O129" s="338" t="s">
        <v>97</v>
      </c>
      <c r="P129" s="339"/>
      <c r="Q129" s="338" t="s">
        <v>734</v>
      </c>
      <c r="R129" s="338" t="s">
        <v>93</v>
      </c>
      <c r="S129" s="339"/>
      <c r="T129" s="338" t="s">
        <v>734</v>
      </c>
      <c r="U129" s="338" t="s">
        <v>35</v>
      </c>
      <c r="V129" s="339"/>
      <c r="W129" s="338" t="s">
        <v>734</v>
      </c>
      <c r="X129" s="132"/>
      <c r="Y129" s="340" t="n">
        <f aca="false">science_cap*(1-EXP(-TblImps[[#This Row],[Σ Science]]/(science_param*(OFFSET(TblImps[[#This Row],[Land]],1,0)-OFFSET(TblExplore[[#This Row],[Land Bonus]],1,0)*20)+15000)))*(1+(mason_bonus*TblConstr[[#This Row],[Tot Mas]]/TblConstr[[#This Row],[Land (2)]]))</f>
        <v>0</v>
      </c>
      <c r="Z129" s="340" t="n">
        <f aca="false">keep_cap*(1-EXP(-TblImps[[#This Row],[Σ Keep]]/(keep_param*(OFFSET(TblImps[[#This Row],[Land]],1,0)-OFFSET(TblExplore[[#This Row],[Land Bonus]],1,0)*20)+15000)))*(1+(mason_bonus*TblConstr[[#This Row],[Tot Mas]]/TblConstr[[#This Row],[Land (2)]]))</f>
        <v>0</v>
      </c>
      <c r="AA129" s="340" t="n">
        <f aca="false">harbor_towers_cap*(1-EXP(-TblImps[[#This Row],[Σ Towers]]/(towers_param*(OFFSET(TblImps[[#This Row],[Land]],1,0)-OFFSET(TblExplore[[#This Row],[Land Bonus]],1,0)*20)+15000)))*(1+(mason_bonus*TblConstr[[#This Row],[Tot Mas]]/TblConstr[[#This Row],[Land (2)]]))</f>
        <v>0</v>
      </c>
      <c r="AB129" s="340" t="n">
        <f aca="false">walls_forges_cap*(1-EXP(-TblImps[[#This Row],[Σ Forges]]/(walls_forges_param*(OFFSET(TblImps[[#This Row],[Land]],1,0)-OFFSET(TblExplore[[#This Row],[Land Bonus]],1,0)*20)+15000)))*(1+(mason_bonus*TblConstr[[#This Row],[Tot Mas]]/TblConstr[[#This Row],[Land (2)]]))</f>
        <v>0</v>
      </c>
      <c r="AC129" s="340" t="n">
        <f aca="false">walls_forges_cap*(1-EXP(-TblImps[[#This Row],[Σ Walls]]/(walls_forges_param*(OFFSET(TblImps[[#This Row],[Land]],1,0)-OFFSET(TblExplore[[#This Row],[Land Bonus]],1,0)*20)+15000)))*(1+(mason_bonus*TblConstr[[#This Row],[Tot Mas]]/TblConstr[[#This Row],[Land (2)]]))</f>
        <v>0</v>
      </c>
      <c r="AD129" s="340" t="n">
        <f aca="false">harbor_towers_cap*(1-EXP(-TblImps[[#This Row],[Σ Irrigation]]/(harbor_towers_param*(OFFSET(TblImps[[#This Row],[Land]],1,0)-OFFSET(TblExplore[[#This Row],[Land Bonus]],1,0)*20)+15000)))*(1+(mason_bonus*TblConstr[[#This Row],[Tot Mas]]/TblConstr[[#This Row],[Land (2)]]))</f>
        <v>0</v>
      </c>
      <c r="AE129" s="132"/>
      <c r="AF129" s="33" t="n">
        <f aca="false">(1+Overview!$I$28)*SUM(TblImps[[#This Row],[P2]:[G2]])+OFFSET(TblImps[[#This Row],[Σ Science]],-1,0)</f>
        <v>0</v>
      </c>
      <c r="AG129" s="33" t="n">
        <f aca="false">(1+Overview!$I$28)*SUM(TblImps[[#This Row],[P3]:[G3]])+OFFSET(TblImps[[#This Row],[Σ Keep]],-1,0)</f>
        <v>0</v>
      </c>
      <c r="AH129" s="33" t="n">
        <f aca="false">(1+Overview!$I$28 + tech_7_1*TblTech[[#This Row],[7-1]])*SUM(TblImps[[#This Row],[P4]:[G4]])+OFFSET(TblImps[[#This Row],[Σ Towers]],-1,0)</f>
        <v>0</v>
      </c>
      <c r="AI129" s="33" t="n">
        <f aca="false">(1+Overview!$I$28)*SUM(TblImps[[#This Row],[P5]:[G5]])+OFFSET(TblImps[[#This Row],[Σ Forges]],-1,0)</f>
        <v>0</v>
      </c>
      <c r="AJ129" s="33" t="n">
        <f aca="false">(1+Overview!$I$28)*SUM(TblImps[[#This Row],[P6]:[G6]])+OFFSET(TblImps[[#This Row],[Σ Walls]],-1,0)</f>
        <v>0</v>
      </c>
      <c r="AK129" s="33" t="n">
        <f aca="false">(1+Overview!$I$28 + tech_7_1*TblTech[[#This Row],[7-1]])*SUM(TblImps[[#This Row],[P7]:[G7]])+OFFSET(TblImps[[#This Row],[Σ Irrigation]],-1,0)</f>
        <v>0</v>
      </c>
      <c r="AL129" s="132"/>
      <c r="AM129" s="26" t="n">
        <f aca="false">IF(AND(TblImps[[#This Row],[Resource]]=AM$2,TblImps[[#This Row],[Part]]&lt;&gt;""),TblImps[[#This Row],[Amount]]) + IF(AND(TblImps[[#This Row],[Resource 2]]=AM$2,TblImps[[#This Row],[Part 2]]&lt;&gt;""),TblImps[[#This Row],[Amount 2]]) + IF(AND(TblImps[[#This Row],[Resource 3]]=AM$2,TblImps[[#This Row],[Part 3]]&lt;&gt;""),TblImps[[#This Row],[Amount 3]])</f>
        <v>0</v>
      </c>
      <c r="AN129" s="26" t="n">
        <f aca="false">IF(AND(TblImps[[#This Row],[Resource]]=AN$2,TblImps[[#This Row],[Part]]&lt;&gt;""),TblImps[[#This Row],[Amount]]) + IF(AND(TblImps[[#This Row],[Resource 2]]=AN$2,TblImps[[#This Row],[Part 2]]&lt;&gt;""),TblImps[[#This Row],[Amount 2]]) + IF(AND(TblImps[[#This Row],[Resource 3]]=AN$2,TblImps[[#This Row],[Part 3]]&lt;&gt;""),TblImps[[#This Row],[Amount 3]])</f>
        <v>0</v>
      </c>
      <c r="AO129" s="26" t="n">
        <f aca="false">IF(AND(TblImps[[#This Row],[Resource]]=AO$2,TblImps[[#This Row],[Part]]&lt;&gt;""),TblImps[[#This Row],[Amount]]) + IF(AND(TblImps[[#This Row],[Resource 2]]=AO$2,TblImps[[#This Row],[Part 2]]&lt;&gt;""),TblImps[[#This Row],[Amount 2]]) + IF(AND(TblImps[[#This Row],[Resource 3]]=AO$2,TblImps[[#This Row],[Part 3]]&lt;&gt;""),TblImps[[#This Row],[Amount 3]])</f>
        <v>0</v>
      </c>
      <c r="AP129" s="26" t="n">
        <f aca="false">IF(AND(TblImps[[#This Row],[Resource]]=AP$2,TblImps[[#This Row],[Part]]&lt;&gt;""),TblImps[[#This Row],[Amount]]) + IF(AND(TblImps[[#This Row],[Resource 2]]=AP$2,TblImps[[#This Row],[Part 2]]&lt;&gt;""),TblImps[[#This Row],[Amount 2]]) + IF(AND(TblImps[[#This Row],[Resource 3]]=AP$2,TblImps[[#This Row],[Part 3]]&lt;&gt;""),TblImps[[#This Row],[Amount 3]])</f>
        <v>0</v>
      </c>
      <c r="AQ129" s="132"/>
      <c r="AR12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32"/>
      <c r="AW12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32"/>
      <c r="BB12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32"/>
      <c r="BG12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32"/>
      <c r="BL12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32"/>
      <c r="BQ12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32"/>
      <c r="BV129"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33" t="n">
        <f aca="false">TblImps[[#This Row],[Login]]</f>
        <v>0</v>
      </c>
      <c r="BX129" s="128"/>
      <c r="BY129" s="347" t="n">
        <f aca="false">OFFSET(TblImps[[#This Row],[Real time]],-1,0)+1/24</f>
        <v>45434.9583333333</v>
      </c>
      <c r="BZ129" s="348" t="n">
        <f aca="false">OFFSET(TblImps[[#This Row],[Servertime]],-1,0)+1/24</f>
        <v>45435.2083333333</v>
      </c>
      <c r="CA129" s="26"/>
      <c r="CB129" s="346"/>
      <c r="CC129" s="346"/>
    </row>
    <row r="130" customFormat="false" ht="12.75" hidden="false" customHeight="false" outlineLevel="0" collapsed="false">
      <c r="A130" s="181" t="n">
        <f aca="false">TblConstr[[#This Row],[Land]]</f>
        <v>700</v>
      </c>
      <c r="B130" s="132"/>
      <c r="C130" s="69" t="n">
        <f aca="false">TblProd[[#This Row],[Platinum]]</f>
        <v>2035198</v>
      </c>
      <c r="D130" s="69" t="n">
        <f aca="false">TblProd[[#This Row],[Lumber]]</f>
        <v>55285</v>
      </c>
      <c r="E130" s="69" t="n">
        <f aca="false">TblProd[[#This Row],[Ore]]</f>
        <v>0</v>
      </c>
      <c r="F130" s="69" t="n">
        <f aca="false">TblProd[[#This Row],[Gems]]</f>
        <v>0</v>
      </c>
      <c r="G130" s="146"/>
      <c r="H130" s="69" t="n">
        <f aca="false">TblMili[[#This Row],[Draftees]]</f>
        <v>3895</v>
      </c>
      <c r="I130" s="130" t="n">
        <f aca="false">TblPop[[#This Row],[Employment]]</f>
        <v>1</v>
      </c>
      <c r="J130" s="130" t="n">
        <f aca="false">TblPop[[#This Row],[Total]]/TblPop[[#This Row],[Net max]]</f>
        <v>1</v>
      </c>
      <c r="K130" s="336" t="n">
        <f aca="false">TblRezone[[#This Row],[Hour]]</f>
        <v>127</v>
      </c>
      <c r="L130" s="337" t="n">
        <f aca="false">TblImps[[#This Row],[Real time]]</f>
        <v>45435</v>
      </c>
      <c r="M130" s="33" t="n">
        <f aca="false">IF(ISERROR(TblImps[[#This Row],[algorithm]]),0,TblImps[[#This Row],[algorithm]]*1)</f>
        <v>0</v>
      </c>
      <c r="N130" s="69" t="n">
        <f aca="false">TblImps[[#This Row],[Land]]</f>
        <v>700</v>
      </c>
      <c r="O130" s="338" t="s">
        <v>97</v>
      </c>
      <c r="P130" s="339"/>
      <c r="Q130" s="338" t="s">
        <v>734</v>
      </c>
      <c r="R130" s="338" t="s">
        <v>93</v>
      </c>
      <c r="S130" s="339"/>
      <c r="T130" s="338" t="s">
        <v>734</v>
      </c>
      <c r="U130" s="338" t="s">
        <v>35</v>
      </c>
      <c r="V130" s="339"/>
      <c r="W130" s="338" t="s">
        <v>734</v>
      </c>
      <c r="X130" s="132"/>
      <c r="Y130" s="340" t="n">
        <f aca="false">science_cap*(1-EXP(-TblImps[[#This Row],[Σ Science]]/(science_param*(OFFSET(TblImps[[#This Row],[Land]],1,0)-OFFSET(TblExplore[[#This Row],[Land Bonus]],1,0)*20)+15000)))*(1+(mason_bonus*TblConstr[[#This Row],[Tot Mas]]/TblConstr[[#This Row],[Land (2)]]))</f>
        <v>0</v>
      </c>
      <c r="Z130" s="340" t="n">
        <f aca="false">keep_cap*(1-EXP(-TblImps[[#This Row],[Σ Keep]]/(keep_param*(OFFSET(TblImps[[#This Row],[Land]],1,0)-OFFSET(TblExplore[[#This Row],[Land Bonus]],1,0)*20)+15000)))*(1+(mason_bonus*TblConstr[[#This Row],[Tot Mas]]/TblConstr[[#This Row],[Land (2)]]))</f>
        <v>0</v>
      </c>
      <c r="AA130" s="340" t="n">
        <f aca="false">harbor_towers_cap*(1-EXP(-TblImps[[#This Row],[Σ Towers]]/(towers_param*(OFFSET(TblImps[[#This Row],[Land]],1,0)-OFFSET(TblExplore[[#This Row],[Land Bonus]],1,0)*20)+15000)))*(1+(mason_bonus*TblConstr[[#This Row],[Tot Mas]]/TblConstr[[#This Row],[Land (2)]]))</f>
        <v>0</v>
      </c>
      <c r="AB130" s="340" t="n">
        <f aca="false">walls_forges_cap*(1-EXP(-TblImps[[#This Row],[Σ Forges]]/(walls_forges_param*(OFFSET(TblImps[[#This Row],[Land]],1,0)-OFFSET(TblExplore[[#This Row],[Land Bonus]],1,0)*20)+15000)))*(1+(mason_bonus*TblConstr[[#This Row],[Tot Mas]]/TblConstr[[#This Row],[Land (2)]]))</f>
        <v>0</v>
      </c>
      <c r="AC130" s="340" t="n">
        <f aca="false">walls_forges_cap*(1-EXP(-TblImps[[#This Row],[Σ Walls]]/(walls_forges_param*(OFFSET(TblImps[[#This Row],[Land]],1,0)-OFFSET(TblExplore[[#This Row],[Land Bonus]],1,0)*20)+15000)))*(1+(mason_bonus*TblConstr[[#This Row],[Tot Mas]]/TblConstr[[#This Row],[Land (2)]]))</f>
        <v>0</v>
      </c>
      <c r="AD130" s="340" t="n">
        <f aca="false">harbor_towers_cap*(1-EXP(-TblImps[[#This Row],[Σ Irrigation]]/(harbor_towers_param*(OFFSET(TblImps[[#This Row],[Land]],1,0)-OFFSET(TblExplore[[#This Row],[Land Bonus]],1,0)*20)+15000)))*(1+(mason_bonus*TblConstr[[#This Row],[Tot Mas]]/TblConstr[[#This Row],[Land (2)]]))</f>
        <v>0</v>
      </c>
      <c r="AE130" s="132"/>
      <c r="AF130" s="33" t="n">
        <f aca="false">(1+Overview!$I$28)*SUM(TblImps[[#This Row],[P2]:[G2]])+OFFSET(TblImps[[#This Row],[Σ Science]],-1,0)</f>
        <v>0</v>
      </c>
      <c r="AG130" s="33" t="n">
        <f aca="false">(1+Overview!$I$28)*SUM(TblImps[[#This Row],[P3]:[G3]])+OFFSET(TblImps[[#This Row],[Σ Keep]],-1,0)</f>
        <v>0</v>
      </c>
      <c r="AH130" s="33" t="n">
        <f aca="false">(1+Overview!$I$28 + tech_7_1*TblTech[[#This Row],[7-1]])*SUM(TblImps[[#This Row],[P4]:[G4]])+OFFSET(TblImps[[#This Row],[Σ Towers]],-1,0)</f>
        <v>0</v>
      </c>
      <c r="AI130" s="33" t="n">
        <f aca="false">(1+Overview!$I$28)*SUM(TblImps[[#This Row],[P5]:[G5]])+OFFSET(TblImps[[#This Row],[Σ Forges]],-1,0)</f>
        <v>0</v>
      </c>
      <c r="AJ130" s="33" t="n">
        <f aca="false">(1+Overview!$I$28)*SUM(TblImps[[#This Row],[P6]:[G6]])+OFFSET(TblImps[[#This Row],[Σ Walls]],-1,0)</f>
        <v>0</v>
      </c>
      <c r="AK130" s="33" t="n">
        <f aca="false">(1+Overview!$I$28 + tech_7_1*TblTech[[#This Row],[7-1]])*SUM(TblImps[[#This Row],[P7]:[G7]])+OFFSET(TblImps[[#This Row],[Σ Irrigation]],-1,0)</f>
        <v>0</v>
      </c>
      <c r="AL130" s="132"/>
      <c r="AM130" s="26" t="n">
        <f aca="false">IF(AND(TblImps[[#This Row],[Resource]]=AM$2,TblImps[[#This Row],[Part]]&lt;&gt;""),TblImps[[#This Row],[Amount]]) + IF(AND(TblImps[[#This Row],[Resource 2]]=AM$2,TblImps[[#This Row],[Part 2]]&lt;&gt;""),TblImps[[#This Row],[Amount 2]]) + IF(AND(TblImps[[#This Row],[Resource 3]]=AM$2,TblImps[[#This Row],[Part 3]]&lt;&gt;""),TblImps[[#This Row],[Amount 3]])</f>
        <v>0</v>
      </c>
      <c r="AN130" s="26" t="n">
        <f aca="false">IF(AND(TblImps[[#This Row],[Resource]]=AN$2,TblImps[[#This Row],[Part]]&lt;&gt;""),TblImps[[#This Row],[Amount]]) + IF(AND(TblImps[[#This Row],[Resource 2]]=AN$2,TblImps[[#This Row],[Part 2]]&lt;&gt;""),TblImps[[#This Row],[Amount 2]]) + IF(AND(TblImps[[#This Row],[Resource 3]]=AN$2,TblImps[[#This Row],[Part 3]]&lt;&gt;""),TblImps[[#This Row],[Amount 3]])</f>
        <v>0</v>
      </c>
      <c r="AO130" s="26" t="n">
        <f aca="false">IF(AND(TblImps[[#This Row],[Resource]]=AO$2,TblImps[[#This Row],[Part]]&lt;&gt;""),TblImps[[#This Row],[Amount]]) + IF(AND(TblImps[[#This Row],[Resource 2]]=AO$2,TblImps[[#This Row],[Part 2]]&lt;&gt;""),TblImps[[#This Row],[Amount 2]]) + IF(AND(TblImps[[#This Row],[Resource 3]]=AO$2,TblImps[[#This Row],[Part 3]]&lt;&gt;""),TblImps[[#This Row],[Amount 3]])</f>
        <v>0</v>
      </c>
      <c r="AP130" s="26" t="n">
        <f aca="false">IF(AND(TblImps[[#This Row],[Resource]]=AP$2,TblImps[[#This Row],[Part]]&lt;&gt;""),TblImps[[#This Row],[Amount]]) + IF(AND(TblImps[[#This Row],[Resource 2]]=AP$2,TblImps[[#This Row],[Part 2]]&lt;&gt;""),TblImps[[#This Row],[Amount 2]]) + IF(AND(TblImps[[#This Row],[Resource 3]]=AP$2,TblImps[[#This Row],[Part 3]]&lt;&gt;""),TblImps[[#This Row],[Amount 3]])</f>
        <v>0</v>
      </c>
      <c r="AQ130" s="132"/>
      <c r="AR13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32"/>
      <c r="AW13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32"/>
      <c r="BB13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32"/>
      <c r="BG13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32"/>
      <c r="BL13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32"/>
      <c r="BQ13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32"/>
      <c r="BV130"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33" t="n">
        <f aca="false">TblImps[[#This Row],[Login]]</f>
        <v>0</v>
      </c>
      <c r="BX130" s="128"/>
      <c r="BY130" s="347" t="n">
        <f aca="false">OFFSET(TblImps[[#This Row],[Real time]],-1,0)+1/24</f>
        <v>45435</v>
      </c>
      <c r="BZ130" s="348" t="n">
        <f aca="false">OFFSET(TblImps[[#This Row],[Servertime]],-1,0)+1/24</f>
        <v>45435.25</v>
      </c>
      <c r="CA130" s="26"/>
      <c r="CB130" s="346"/>
      <c r="CC130" s="346"/>
    </row>
    <row r="131" customFormat="false" ht="12.75" hidden="false" customHeight="false" outlineLevel="0" collapsed="false">
      <c r="A131" s="181" t="n">
        <f aca="false">TblConstr[[#This Row],[Land]]</f>
        <v>700</v>
      </c>
      <c r="B131" s="132"/>
      <c r="C131" s="69" t="n">
        <f aca="false">TblProd[[#This Row],[Platinum]]</f>
        <v>2063287</v>
      </c>
      <c r="D131" s="69" t="n">
        <f aca="false">TblProd[[#This Row],[Lumber]]</f>
        <v>55857</v>
      </c>
      <c r="E131" s="69" t="n">
        <f aca="false">TblProd[[#This Row],[Ore]]</f>
        <v>0</v>
      </c>
      <c r="F131" s="69" t="n">
        <f aca="false">TblProd[[#This Row],[Gems]]</f>
        <v>0</v>
      </c>
      <c r="G131" s="146"/>
      <c r="H131" s="69" t="n">
        <f aca="false">TblMili[[#This Row],[Draftees]]</f>
        <v>3953</v>
      </c>
      <c r="I131" s="130" t="n">
        <f aca="false">TblPop[[#This Row],[Employment]]</f>
        <v>1</v>
      </c>
      <c r="J131" s="130" t="n">
        <f aca="false">TblPop[[#This Row],[Total]]/TblPop[[#This Row],[Net max]]</f>
        <v>1</v>
      </c>
      <c r="K131" s="336" t="n">
        <f aca="false">TblRezone[[#This Row],[Hour]]</f>
        <v>128</v>
      </c>
      <c r="L131" s="337" t="n">
        <f aca="false">TblImps[[#This Row],[Real time]]</f>
        <v>45435.0416666667</v>
      </c>
      <c r="M131" s="33" t="n">
        <f aca="false">IF(ISERROR(TblImps[[#This Row],[algorithm]]),0,TblImps[[#This Row],[algorithm]]*1)</f>
        <v>0</v>
      </c>
      <c r="N131" s="69" t="n">
        <f aca="false">TblImps[[#This Row],[Land]]</f>
        <v>700</v>
      </c>
      <c r="O131" s="338" t="s">
        <v>97</v>
      </c>
      <c r="P131" s="339"/>
      <c r="Q131" s="338" t="s">
        <v>734</v>
      </c>
      <c r="R131" s="338" t="s">
        <v>93</v>
      </c>
      <c r="S131" s="339"/>
      <c r="T131" s="338" t="s">
        <v>734</v>
      </c>
      <c r="U131" s="338" t="s">
        <v>35</v>
      </c>
      <c r="V131" s="339"/>
      <c r="W131" s="338" t="s">
        <v>734</v>
      </c>
      <c r="X131" s="132"/>
      <c r="Y131" s="340" t="n">
        <f aca="false">science_cap*(1-EXP(-TblImps[[#This Row],[Σ Science]]/(science_param*(OFFSET(TblImps[[#This Row],[Land]],1,0)-OFFSET(TblExplore[[#This Row],[Land Bonus]],1,0)*20)+15000)))*(1+(mason_bonus*TblConstr[[#This Row],[Tot Mas]]/TblConstr[[#This Row],[Land (2)]]))</f>
        <v>0</v>
      </c>
      <c r="Z131" s="340" t="n">
        <f aca="false">keep_cap*(1-EXP(-TblImps[[#This Row],[Σ Keep]]/(keep_param*(OFFSET(TblImps[[#This Row],[Land]],1,0)-OFFSET(TblExplore[[#This Row],[Land Bonus]],1,0)*20)+15000)))*(1+(mason_bonus*TblConstr[[#This Row],[Tot Mas]]/TblConstr[[#This Row],[Land (2)]]))</f>
        <v>0</v>
      </c>
      <c r="AA131" s="340" t="n">
        <f aca="false">harbor_towers_cap*(1-EXP(-TblImps[[#This Row],[Σ Towers]]/(towers_param*(OFFSET(TblImps[[#This Row],[Land]],1,0)-OFFSET(TblExplore[[#This Row],[Land Bonus]],1,0)*20)+15000)))*(1+(mason_bonus*TblConstr[[#This Row],[Tot Mas]]/TblConstr[[#This Row],[Land (2)]]))</f>
        <v>0</v>
      </c>
      <c r="AB131" s="340" t="n">
        <f aca="false">walls_forges_cap*(1-EXP(-TblImps[[#This Row],[Σ Forges]]/(walls_forges_param*(OFFSET(TblImps[[#This Row],[Land]],1,0)-OFFSET(TblExplore[[#This Row],[Land Bonus]],1,0)*20)+15000)))*(1+(mason_bonus*TblConstr[[#This Row],[Tot Mas]]/TblConstr[[#This Row],[Land (2)]]))</f>
        <v>0</v>
      </c>
      <c r="AC131" s="340" t="n">
        <f aca="false">walls_forges_cap*(1-EXP(-TblImps[[#This Row],[Σ Walls]]/(walls_forges_param*(OFFSET(TblImps[[#This Row],[Land]],1,0)-OFFSET(TblExplore[[#This Row],[Land Bonus]],1,0)*20)+15000)))*(1+(mason_bonus*TblConstr[[#This Row],[Tot Mas]]/TblConstr[[#This Row],[Land (2)]]))</f>
        <v>0</v>
      </c>
      <c r="AD131" s="340" t="n">
        <f aca="false">harbor_towers_cap*(1-EXP(-TblImps[[#This Row],[Σ Irrigation]]/(harbor_towers_param*(OFFSET(TblImps[[#This Row],[Land]],1,0)-OFFSET(TblExplore[[#This Row],[Land Bonus]],1,0)*20)+15000)))*(1+(mason_bonus*TblConstr[[#This Row],[Tot Mas]]/TblConstr[[#This Row],[Land (2)]]))</f>
        <v>0</v>
      </c>
      <c r="AE131" s="132"/>
      <c r="AF131" s="33" t="n">
        <f aca="false">(1+Overview!$I$28)*SUM(TblImps[[#This Row],[P2]:[G2]])+OFFSET(TblImps[[#This Row],[Σ Science]],-1,0)</f>
        <v>0</v>
      </c>
      <c r="AG131" s="33" t="n">
        <f aca="false">(1+Overview!$I$28)*SUM(TblImps[[#This Row],[P3]:[G3]])+OFFSET(TblImps[[#This Row],[Σ Keep]],-1,0)</f>
        <v>0</v>
      </c>
      <c r="AH131" s="33" t="n">
        <f aca="false">(1+Overview!$I$28 + tech_7_1*TblTech[[#This Row],[7-1]])*SUM(TblImps[[#This Row],[P4]:[G4]])+OFFSET(TblImps[[#This Row],[Σ Towers]],-1,0)</f>
        <v>0</v>
      </c>
      <c r="AI131" s="33" t="n">
        <f aca="false">(1+Overview!$I$28)*SUM(TblImps[[#This Row],[P5]:[G5]])+OFFSET(TblImps[[#This Row],[Σ Forges]],-1,0)</f>
        <v>0</v>
      </c>
      <c r="AJ131" s="33" t="n">
        <f aca="false">(1+Overview!$I$28)*SUM(TblImps[[#This Row],[P6]:[G6]])+OFFSET(TblImps[[#This Row],[Σ Walls]],-1,0)</f>
        <v>0</v>
      </c>
      <c r="AK131" s="33" t="n">
        <f aca="false">(1+Overview!$I$28 + tech_7_1*TblTech[[#This Row],[7-1]])*SUM(TblImps[[#This Row],[P7]:[G7]])+OFFSET(TblImps[[#This Row],[Σ Irrigation]],-1,0)</f>
        <v>0</v>
      </c>
      <c r="AL131" s="132"/>
      <c r="AM131" s="26" t="n">
        <f aca="false">IF(AND(TblImps[[#This Row],[Resource]]=AM$2,TblImps[[#This Row],[Part]]&lt;&gt;""),TblImps[[#This Row],[Amount]]) + IF(AND(TblImps[[#This Row],[Resource 2]]=AM$2,TblImps[[#This Row],[Part 2]]&lt;&gt;""),TblImps[[#This Row],[Amount 2]]) + IF(AND(TblImps[[#This Row],[Resource 3]]=AM$2,TblImps[[#This Row],[Part 3]]&lt;&gt;""),TblImps[[#This Row],[Amount 3]])</f>
        <v>0</v>
      </c>
      <c r="AN131" s="26" t="n">
        <f aca="false">IF(AND(TblImps[[#This Row],[Resource]]=AN$2,TblImps[[#This Row],[Part]]&lt;&gt;""),TblImps[[#This Row],[Amount]]) + IF(AND(TblImps[[#This Row],[Resource 2]]=AN$2,TblImps[[#This Row],[Part 2]]&lt;&gt;""),TblImps[[#This Row],[Amount 2]]) + IF(AND(TblImps[[#This Row],[Resource 3]]=AN$2,TblImps[[#This Row],[Part 3]]&lt;&gt;""),TblImps[[#This Row],[Amount 3]])</f>
        <v>0</v>
      </c>
      <c r="AO131" s="26" t="n">
        <f aca="false">IF(AND(TblImps[[#This Row],[Resource]]=AO$2,TblImps[[#This Row],[Part]]&lt;&gt;""),TblImps[[#This Row],[Amount]]) + IF(AND(TblImps[[#This Row],[Resource 2]]=AO$2,TblImps[[#This Row],[Part 2]]&lt;&gt;""),TblImps[[#This Row],[Amount 2]]) + IF(AND(TblImps[[#This Row],[Resource 3]]=AO$2,TblImps[[#This Row],[Part 3]]&lt;&gt;""),TblImps[[#This Row],[Amount 3]])</f>
        <v>0</v>
      </c>
      <c r="AP131" s="26" t="n">
        <f aca="false">IF(AND(TblImps[[#This Row],[Resource]]=AP$2,TblImps[[#This Row],[Part]]&lt;&gt;""),TblImps[[#This Row],[Amount]]) + IF(AND(TblImps[[#This Row],[Resource 2]]=AP$2,TblImps[[#This Row],[Part 2]]&lt;&gt;""),TblImps[[#This Row],[Amount 2]]) + IF(AND(TblImps[[#This Row],[Resource 3]]=AP$2,TblImps[[#This Row],[Part 3]]&lt;&gt;""),TblImps[[#This Row],[Amount 3]])</f>
        <v>0</v>
      </c>
      <c r="AQ131" s="132"/>
      <c r="AR13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32"/>
      <c r="AW13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32"/>
      <c r="BB13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32"/>
      <c r="BG13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32"/>
      <c r="BL13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32"/>
      <c r="BQ13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32"/>
      <c r="BV131"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33" t="n">
        <f aca="false">TblImps[[#This Row],[Login]]</f>
        <v>0</v>
      </c>
      <c r="BX131" s="128"/>
      <c r="BY131" s="347" t="n">
        <f aca="false">OFFSET(TblImps[[#This Row],[Real time]],-1,0)+1/24</f>
        <v>45435.0416666667</v>
      </c>
      <c r="BZ131" s="348" t="n">
        <f aca="false">OFFSET(TblImps[[#This Row],[Servertime]],-1,0)+1/24</f>
        <v>45435.2916666667</v>
      </c>
      <c r="CA131" s="26"/>
      <c r="CB131" s="346"/>
      <c r="CC131" s="346"/>
    </row>
    <row r="132" customFormat="false" ht="12.75" hidden="false" customHeight="false" outlineLevel="0" collapsed="false">
      <c r="A132" s="181" t="n">
        <f aca="false">TblConstr[[#This Row],[Land]]</f>
        <v>700</v>
      </c>
      <c r="B132" s="132"/>
      <c r="C132" s="69" t="n">
        <f aca="false">TblProd[[#This Row],[Platinum]]</f>
        <v>2091219</v>
      </c>
      <c r="D132" s="69" t="n">
        <f aca="false">TblProd[[#This Row],[Lumber]]</f>
        <v>56423</v>
      </c>
      <c r="E132" s="69" t="n">
        <f aca="false">TblProd[[#This Row],[Ore]]</f>
        <v>0</v>
      </c>
      <c r="F132" s="69" t="n">
        <f aca="false">TblProd[[#This Row],[Gems]]</f>
        <v>0</v>
      </c>
      <c r="G132" s="146"/>
      <c r="H132" s="69" t="n">
        <f aca="false">TblMili[[#This Row],[Draftees]]</f>
        <v>4011</v>
      </c>
      <c r="I132" s="130" t="n">
        <f aca="false">TblPop[[#This Row],[Employment]]</f>
        <v>1</v>
      </c>
      <c r="J132" s="130" t="n">
        <f aca="false">TblPop[[#This Row],[Total]]/TblPop[[#This Row],[Net max]]</f>
        <v>1</v>
      </c>
      <c r="K132" s="336" t="n">
        <f aca="false">TblRezone[[#This Row],[Hour]]</f>
        <v>129</v>
      </c>
      <c r="L132" s="337" t="n">
        <f aca="false">TblImps[[#This Row],[Real time]]</f>
        <v>45435.0833333333</v>
      </c>
      <c r="M132" s="33" t="n">
        <f aca="false">IF(ISERROR(TblImps[[#This Row],[algorithm]]),0,TblImps[[#This Row],[algorithm]]*1)</f>
        <v>0</v>
      </c>
      <c r="N132" s="69" t="n">
        <f aca="false">TblImps[[#This Row],[Land]]</f>
        <v>700</v>
      </c>
      <c r="O132" s="338" t="s">
        <v>97</v>
      </c>
      <c r="P132" s="339"/>
      <c r="Q132" s="338" t="s">
        <v>734</v>
      </c>
      <c r="R132" s="338" t="s">
        <v>93</v>
      </c>
      <c r="S132" s="339"/>
      <c r="T132" s="338" t="s">
        <v>734</v>
      </c>
      <c r="U132" s="338" t="s">
        <v>35</v>
      </c>
      <c r="V132" s="339"/>
      <c r="W132" s="338" t="s">
        <v>734</v>
      </c>
      <c r="X132" s="132"/>
      <c r="Y132" s="340" t="n">
        <f aca="false">science_cap*(1-EXP(-TblImps[[#This Row],[Σ Science]]/(science_param*(OFFSET(TblImps[[#This Row],[Land]],1,0)-OFFSET(TblExplore[[#This Row],[Land Bonus]],1,0)*20)+15000)))*(1+(mason_bonus*TblConstr[[#This Row],[Tot Mas]]/TblConstr[[#This Row],[Land (2)]]))</f>
        <v>0</v>
      </c>
      <c r="Z132" s="340" t="n">
        <f aca="false">keep_cap*(1-EXP(-TblImps[[#This Row],[Σ Keep]]/(keep_param*(OFFSET(TblImps[[#This Row],[Land]],1,0)-OFFSET(TblExplore[[#This Row],[Land Bonus]],1,0)*20)+15000)))*(1+(mason_bonus*TblConstr[[#This Row],[Tot Mas]]/TblConstr[[#This Row],[Land (2)]]))</f>
        <v>0</v>
      </c>
      <c r="AA132" s="340" t="n">
        <f aca="false">harbor_towers_cap*(1-EXP(-TblImps[[#This Row],[Σ Towers]]/(towers_param*(OFFSET(TblImps[[#This Row],[Land]],1,0)-OFFSET(TblExplore[[#This Row],[Land Bonus]],1,0)*20)+15000)))*(1+(mason_bonus*TblConstr[[#This Row],[Tot Mas]]/TblConstr[[#This Row],[Land (2)]]))</f>
        <v>0</v>
      </c>
      <c r="AB132" s="340" t="n">
        <f aca="false">walls_forges_cap*(1-EXP(-TblImps[[#This Row],[Σ Forges]]/(walls_forges_param*(OFFSET(TblImps[[#This Row],[Land]],1,0)-OFFSET(TblExplore[[#This Row],[Land Bonus]],1,0)*20)+15000)))*(1+(mason_bonus*TblConstr[[#This Row],[Tot Mas]]/TblConstr[[#This Row],[Land (2)]]))</f>
        <v>0</v>
      </c>
      <c r="AC132" s="340" t="n">
        <f aca="false">walls_forges_cap*(1-EXP(-TblImps[[#This Row],[Σ Walls]]/(walls_forges_param*(OFFSET(TblImps[[#This Row],[Land]],1,0)-OFFSET(TblExplore[[#This Row],[Land Bonus]],1,0)*20)+15000)))*(1+(mason_bonus*TblConstr[[#This Row],[Tot Mas]]/TblConstr[[#This Row],[Land (2)]]))</f>
        <v>0</v>
      </c>
      <c r="AD132" s="340" t="n">
        <f aca="false">harbor_towers_cap*(1-EXP(-TblImps[[#This Row],[Σ Irrigation]]/(harbor_towers_param*(OFFSET(TblImps[[#This Row],[Land]],1,0)-OFFSET(TblExplore[[#This Row],[Land Bonus]],1,0)*20)+15000)))*(1+(mason_bonus*TblConstr[[#This Row],[Tot Mas]]/TblConstr[[#This Row],[Land (2)]]))</f>
        <v>0</v>
      </c>
      <c r="AE132" s="132"/>
      <c r="AF132" s="33" t="n">
        <f aca="false">(1+Overview!$I$28)*SUM(TblImps[[#This Row],[P2]:[G2]])+OFFSET(TblImps[[#This Row],[Σ Science]],-1,0)</f>
        <v>0</v>
      </c>
      <c r="AG132" s="33" t="n">
        <f aca="false">(1+Overview!$I$28)*SUM(TblImps[[#This Row],[P3]:[G3]])+OFFSET(TblImps[[#This Row],[Σ Keep]],-1,0)</f>
        <v>0</v>
      </c>
      <c r="AH132" s="33" t="n">
        <f aca="false">(1+Overview!$I$28 + tech_7_1*TblTech[[#This Row],[7-1]])*SUM(TblImps[[#This Row],[P4]:[G4]])+OFFSET(TblImps[[#This Row],[Σ Towers]],-1,0)</f>
        <v>0</v>
      </c>
      <c r="AI132" s="33" t="n">
        <f aca="false">(1+Overview!$I$28)*SUM(TblImps[[#This Row],[P5]:[G5]])+OFFSET(TblImps[[#This Row],[Σ Forges]],-1,0)</f>
        <v>0</v>
      </c>
      <c r="AJ132" s="33" t="n">
        <f aca="false">(1+Overview!$I$28)*SUM(TblImps[[#This Row],[P6]:[G6]])+OFFSET(TblImps[[#This Row],[Σ Walls]],-1,0)</f>
        <v>0</v>
      </c>
      <c r="AK132" s="33" t="n">
        <f aca="false">(1+Overview!$I$28 + tech_7_1*TblTech[[#This Row],[7-1]])*SUM(TblImps[[#This Row],[P7]:[G7]])+OFFSET(TblImps[[#This Row],[Σ Irrigation]],-1,0)</f>
        <v>0</v>
      </c>
      <c r="AL132" s="132"/>
      <c r="AM132" s="26" t="n">
        <f aca="false">IF(AND(TblImps[[#This Row],[Resource]]=AM$2,TblImps[[#This Row],[Part]]&lt;&gt;""),TblImps[[#This Row],[Amount]]) + IF(AND(TblImps[[#This Row],[Resource 2]]=AM$2,TblImps[[#This Row],[Part 2]]&lt;&gt;""),TblImps[[#This Row],[Amount 2]]) + IF(AND(TblImps[[#This Row],[Resource 3]]=AM$2,TblImps[[#This Row],[Part 3]]&lt;&gt;""),TblImps[[#This Row],[Amount 3]])</f>
        <v>0</v>
      </c>
      <c r="AN132" s="26" t="n">
        <f aca="false">IF(AND(TblImps[[#This Row],[Resource]]=AN$2,TblImps[[#This Row],[Part]]&lt;&gt;""),TblImps[[#This Row],[Amount]]) + IF(AND(TblImps[[#This Row],[Resource 2]]=AN$2,TblImps[[#This Row],[Part 2]]&lt;&gt;""),TblImps[[#This Row],[Amount 2]]) + IF(AND(TblImps[[#This Row],[Resource 3]]=AN$2,TblImps[[#This Row],[Part 3]]&lt;&gt;""),TblImps[[#This Row],[Amount 3]])</f>
        <v>0</v>
      </c>
      <c r="AO132" s="26" t="n">
        <f aca="false">IF(AND(TblImps[[#This Row],[Resource]]=AO$2,TblImps[[#This Row],[Part]]&lt;&gt;""),TblImps[[#This Row],[Amount]]) + IF(AND(TblImps[[#This Row],[Resource 2]]=AO$2,TblImps[[#This Row],[Part 2]]&lt;&gt;""),TblImps[[#This Row],[Amount 2]]) + IF(AND(TblImps[[#This Row],[Resource 3]]=AO$2,TblImps[[#This Row],[Part 3]]&lt;&gt;""),TblImps[[#This Row],[Amount 3]])</f>
        <v>0</v>
      </c>
      <c r="AP132" s="26" t="n">
        <f aca="false">IF(AND(TblImps[[#This Row],[Resource]]=AP$2,TblImps[[#This Row],[Part]]&lt;&gt;""),TblImps[[#This Row],[Amount]]) + IF(AND(TblImps[[#This Row],[Resource 2]]=AP$2,TblImps[[#This Row],[Part 2]]&lt;&gt;""),TblImps[[#This Row],[Amount 2]]) + IF(AND(TblImps[[#This Row],[Resource 3]]=AP$2,TblImps[[#This Row],[Part 3]]&lt;&gt;""),TblImps[[#This Row],[Amount 3]])</f>
        <v>0</v>
      </c>
      <c r="AQ132" s="132"/>
      <c r="AR13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32"/>
      <c r="AW13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32"/>
      <c r="BB13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32"/>
      <c r="BG13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32"/>
      <c r="BL13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32"/>
      <c r="BQ13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32"/>
      <c r="BV132"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33" t="n">
        <f aca="false">TblImps[[#This Row],[Login]]</f>
        <v>0</v>
      </c>
      <c r="BX132" s="128"/>
      <c r="BY132" s="347" t="n">
        <f aca="false">OFFSET(TblImps[[#This Row],[Real time]],-1,0)+1/24</f>
        <v>45435.0833333333</v>
      </c>
      <c r="BZ132" s="348" t="n">
        <f aca="false">OFFSET(TblImps[[#This Row],[Servertime]],-1,0)+1/24</f>
        <v>45435.3333333333</v>
      </c>
      <c r="CA132" s="26"/>
      <c r="CB132" s="346"/>
      <c r="CC132" s="346"/>
    </row>
    <row r="133" customFormat="false" ht="12.75" hidden="false" customHeight="false" outlineLevel="0" collapsed="false">
      <c r="A133" s="181" t="n">
        <f aca="false">TblConstr[[#This Row],[Land]]</f>
        <v>700</v>
      </c>
      <c r="B133" s="132"/>
      <c r="C133" s="69" t="n">
        <f aca="false">TblProd[[#This Row],[Platinum]]</f>
        <v>2118994</v>
      </c>
      <c r="D133" s="69" t="n">
        <f aca="false">TblProd[[#This Row],[Lumber]]</f>
        <v>56984</v>
      </c>
      <c r="E133" s="69" t="n">
        <f aca="false">TblProd[[#This Row],[Ore]]</f>
        <v>0</v>
      </c>
      <c r="F133" s="69" t="n">
        <f aca="false">TblProd[[#This Row],[Gems]]</f>
        <v>0</v>
      </c>
      <c r="G133" s="146"/>
      <c r="H133" s="69" t="n">
        <f aca="false">TblMili[[#This Row],[Draftees]]</f>
        <v>4068</v>
      </c>
      <c r="I133" s="130" t="n">
        <f aca="false">TblPop[[#This Row],[Employment]]</f>
        <v>1</v>
      </c>
      <c r="J133" s="130" t="n">
        <f aca="false">TblPop[[#This Row],[Total]]/TblPop[[#This Row],[Net max]]</f>
        <v>1</v>
      </c>
      <c r="K133" s="336" t="n">
        <f aca="false">TblRezone[[#This Row],[Hour]]</f>
        <v>130</v>
      </c>
      <c r="L133" s="337" t="n">
        <f aca="false">TblImps[[#This Row],[Real time]]</f>
        <v>45435.125</v>
      </c>
      <c r="M133" s="33" t="n">
        <f aca="false">IF(ISERROR(TblImps[[#This Row],[algorithm]]),0,TblImps[[#This Row],[algorithm]]*1)</f>
        <v>0</v>
      </c>
      <c r="N133" s="69" t="n">
        <f aca="false">TblImps[[#This Row],[Land]]</f>
        <v>700</v>
      </c>
      <c r="O133" s="338" t="s">
        <v>97</v>
      </c>
      <c r="P133" s="339"/>
      <c r="Q133" s="338" t="s">
        <v>734</v>
      </c>
      <c r="R133" s="338" t="s">
        <v>93</v>
      </c>
      <c r="S133" s="339"/>
      <c r="T133" s="338" t="s">
        <v>734</v>
      </c>
      <c r="U133" s="338" t="s">
        <v>35</v>
      </c>
      <c r="V133" s="339"/>
      <c r="W133" s="338" t="s">
        <v>734</v>
      </c>
      <c r="X133" s="132"/>
      <c r="Y133" s="340" t="n">
        <f aca="false">science_cap*(1-EXP(-TblImps[[#This Row],[Σ Science]]/(science_param*(OFFSET(TblImps[[#This Row],[Land]],1,0)-OFFSET(TblExplore[[#This Row],[Land Bonus]],1,0)*20)+15000)))*(1+(mason_bonus*TblConstr[[#This Row],[Tot Mas]]/TblConstr[[#This Row],[Land (2)]]))</f>
        <v>0</v>
      </c>
      <c r="Z133" s="340" t="n">
        <f aca="false">keep_cap*(1-EXP(-TblImps[[#This Row],[Σ Keep]]/(keep_param*(OFFSET(TblImps[[#This Row],[Land]],1,0)-OFFSET(TblExplore[[#This Row],[Land Bonus]],1,0)*20)+15000)))*(1+(mason_bonus*TblConstr[[#This Row],[Tot Mas]]/TblConstr[[#This Row],[Land (2)]]))</f>
        <v>0</v>
      </c>
      <c r="AA133" s="340" t="n">
        <f aca="false">harbor_towers_cap*(1-EXP(-TblImps[[#This Row],[Σ Towers]]/(towers_param*(OFFSET(TblImps[[#This Row],[Land]],1,0)-OFFSET(TblExplore[[#This Row],[Land Bonus]],1,0)*20)+15000)))*(1+(mason_bonus*TblConstr[[#This Row],[Tot Mas]]/TblConstr[[#This Row],[Land (2)]]))</f>
        <v>0</v>
      </c>
      <c r="AB133" s="340" t="n">
        <f aca="false">walls_forges_cap*(1-EXP(-TblImps[[#This Row],[Σ Forges]]/(walls_forges_param*(OFFSET(TblImps[[#This Row],[Land]],1,0)-OFFSET(TblExplore[[#This Row],[Land Bonus]],1,0)*20)+15000)))*(1+(mason_bonus*TblConstr[[#This Row],[Tot Mas]]/TblConstr[[#This Row],[Land (2)]]))</f>
        <v>0</v>
      </c>
      <c r="AC133" s="340" t="n">
        <f aca="false">walls_forges_cap*(1-EXP(-TblImps[[#This Row],[Σ Walls]]/(walls_forges_param*(OFFSET(TblImps[[#This Row],[Land]],1,0)-OFFSET(TblExplore[[#This Row],[Land Bonus]],1,0)*20)+15000)))*(1+(mason_bonus*TblConstr[[#This Row],[Tot Mas]]/TblConstr[[#This Row],[Land (2)]]))</f>
        <v>0</v>
      </c>
      <c r="AD133" s="340" t="n">
        <f aca="false">harbor_towers_cap*(1-EXP(-TblImps[[#This Row],[Σ Irrigation]]/(harbor_towers_param*(OFFSET(TblImps[[#This Row],[Land]],1,0)-OFFSET(TblExplore[[#This Row],[Land Bonus]],1,0)*20)+15000)))*(1+(mason_bonus*TblConstr[[#This Row],[Tot Mas]]/TblConstr[[#This Row],[Land (2)]]))</f>
        <v>0</v>
      </c>
      <c r="AE133" s="132"/>
      <c r="AF133" s="33" t="n">
        <f aca="false">(1+Overview!$I$28)*SUM(TblImps[[#This Row],[P2]:[G2]])+OFFSET(TblImps[[#This Row],[Σ Science]],-1,0)</f>
        <v>0</v>
      </c>
      <c r="AG133" s="33" t="n">
        <f aca="false">(1+Overview!$I$28)*SUM(TblImps[[#This Row],[P3]:[G3]])+OFFSET(TblImps[[#This Row],[Σ Keep]],-1,0)</f>
        <v>0</v>
      </c>
      <c r="AH133" s="33" t="n">
        <f aca="false">(1+Overview!$I$28 + tech_7_1*TblTech[[#This Row],[7-1]])*SUM(TblImps[[#This Row],[P4]:[G4]])+OFFSET(TblImps[[#This Row],[Σ Towers]],-1,0)</f>
        <v>0</v>
      </c>
      <c r="AI133" s="33" t="n">
        <f aca="false">(1+Overview!$I$28)*SUM(TblImps[[#This Row],[P5]:[G5]])+OFFSET(TblImps[[#This Row],[Σ Forges]],-1,0)</f>
        <v>0</v>
      </c>
      <c r="AJ133" s="33" t="n">
        <f aca="false">(1+Overview!$I$28)*SUM(TblImps[[#This Row],[P6]:[G6]])+OFFSET(TblImps[[#This Row],[Σ Walls]],-1,0)</f>
        <v>0</v>
      </c>
      <c r="AK133" s="33" t="n">
        <f aca="false">(1+Overview!$I$28 + tech_7_1*TblTech[[#This Row],[7-1]])*SUM(TblImps[[#This Row],[P7]:[G7]])+OFFSET(TblImps[[#This Row],[Σ Irrigation]],-1,0)</f>
        <v>0</v>
      </c>
      <c r="AL133" s="132"/>
      <c r="AM133" s="26" t="n">
        <f aca="false">IF(AND(TblImps[[#This Row],[Resource]]=AM$2,TblImps[[#This Row],[Part]]&lt;&gt;""),TblImps[[#This Row],[Amount]]) + IF(AND(TblImps[[#This Row],[Resource 2]]=AM$2,TblImps[[#This Row],[Part 2]]&lt;&gt;""),TblImps[[#This Row],[Amount 2]]) + IF(AND(TblImps[[#This Row],[Resource 3]]=AM$2,TblImps[[#This Row],[Part 3]]&lt;&gt;""),TblImps[[#This Row],[Amount 3]])</f>
        <v>0</v>
      </c>
      <c r="AN133" s="26" t="n">
        <f aca="false">IF(AND(TblImps[[#This Row],[Resource]]=AN$2,TblImps[[#This Row],[Part]]&lt;&gt;""),TblImps[[#This Row],[Amount]]) + IF(AND(TblImps[[#This Row],[Resource 2]]=AN$2,TblImps[[#This Row],[Part 2]]&lt;&gt;""),TblImps[[#This Row],[Amount 2]]) + IF(AND(TblImps[[#This Row],[Resource 3]]=AN$2,TblImps[[#This Row],[Part 3]]&lt;&gt;""),TblImps[[#This Row],[Amount 3]])</f>
        <v>0</v>
      </c>
      <c r="AO133" s="26" t="n">
        <f aca="false">IF(AND(TblImps[[#This Row],[Resource]]=AO$2,TblImps[[#This Row],[Part]]&lt;&gt;""),TblImps[[#This Row],[Amount]]) + IF(AND(TblImps[[#This Row],[Resource 2]]=AO$2,TblImps[[#This Row],[Part 2]]&lt;&gt;""),TblImps[[#This Row],[Amount 2]]) + IF(AND(TblImps[[#This Row],[Resource 3]]=AO$2,TblImps[[#This Row],[Part 3]]&lt;&gt;""),TblImps[[#This Row],[Amount 3]])</f>
        <v>0</v>
      </c>
      <c r="AP133" s="26" t="n">
        <f aca="false">IF(AND(TblImps[[#This Row],[Resource]]=AP$2,TblImps[[#This Row],[Part]]&lt;&gt;""),TblImps[[#This Row],[Amount]]) + IF(AND(TblImps[[#This Row],[Resource 2]]=AP$2,TblImps[[#This Row],[Part 2]]&lt;&gt;""),TblImps[[#This Row],[Amount 2]]) + IF(AND(TblImps[[#This Row],[Resource 3]]=AP$2,TblImps[[#This Row],[Part 3]]&lt;&gt;""),TblImps[[#This Row],[Amount 3]])</f>
        <v>0</v>
      </c>
      <c r="AQ133" s="132"/>
      <c r="AR13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32"/>
      <c r="AW13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32"/>
      <c r="BB13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32"/>
      <c r="BG13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32"/>
      <c r="BL13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32"/>
      <c r="BQ13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32"/>
      <c r="BV133"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33" t="n">
        <f aca="false">TblImps[[#This Row],[Login]]</f>
        <v>0</v>
      </c>
      <c r="BX133" s="128"/>
      <c r="BY133" s="347" t="n">
        <f aca="false">OFFSET(TblImps[[#This Row],[Real time]],-1,0)+1/24</f>
        <v>45435.125</v>
      </c>
      <c r="BZ133" s="348" t="n">
        <f aca="false">OFFSET(TblImps[[#This Row],[Servertime]],-1,0)+1/24</f>
        <v>45435.375</v>
      </c>
      <c r="CA133" s="26"/>
      <c r="CB133" s="346"/>
      <c r="CC133" s="346"/>
    </row>
    <row r="134" customFormat="false" ht="12.75" hidden="false" customHeight="false" outlineLevel="0" collapsed="false">
      <c r="A134" s="181" t="n">
        <f aca="false">TblConstr[[#This Row],[Land]]</f>
        <v>700</v>
      </c>
      <c r="B134" s="132"/>
      <c r="C134" s="69" t="n">
        <f aca="false">TblProd[[#This Row],[Platinum]]</f>
        <v>2146615</v>
      </c>
      <c r="D134" s="69" t="n">
        <f aca="false">TblProd[[#This Row],[Lumber]]</f>
        <v>57539</v>
      </c>
      <c r="E134" s="69" t="n">
        <f aca="false">TblProd[[#This Row],[Ore]]</f>
        <v>0</v>
      </c>
      <c r="F134" s="69" t="n">
        <f aca="false">TblProd[[#This Row],[Gems]]</f>
        <v>0</v>
      </c>
      <c r="G134" s="146"/>
      <c r="H134" s="69" t="n">
        <f aca="false">TblMili[[#This Row],[Draftees]]</f>
        <v>4124</v>
      </c>
      <c r="I134" s="130" t="n">
        <f aca="false">TblPop[[#This Row],[Employment]]</f>
        <v>1</v>
      </c>
      <c r="J134" s="130" t="n">
        <f aca="false">TblPop[[#This Row],[Total]]/TblPop[[#This Row],[Net max]]</f>
        <v>1</v>
      </c>
      <c r="K134" s="336" t="n">
        <f aca="false">TblRezone[[#This Row],[Hour]]</f>
        <v>131</v>
      </c>
      <c r="L134" s="337" t="n">
        <f aca="false">TblImps[[#This Row],[Real time]]</f>
        <v>45435.1666666667</v>
      </c>
      <c r="M134" s="33" t="n">
        <f aca="false">IF(ISERROR(TblImps[[#This Row],[algorithm]]),0,TblImps[[#This Row],[algorithm]]*1)</f>
        <v>0</v>
      </c>
      <c r="N134" s="69" t="n">
        <f aca="false">TblImps[[#This Row],[Land]]</f>
        <v>700</v>
      </c>
      <c r="O134" s="338" t="s">
        <v>97</v>
      </c>
      <c r="P134" s="339"/>
      <c r="Q134" s="338" t="s">
        <v>734</v>
      </c>
      <c r="R134" s="338" t="s">
        <v>93</v>
      </c>
      <c r="S134" s="339"/>
      <c r="T134" s="338" t="s">
        <v>734</v>
      </c>
      <c r="U134" s="338" t="s">
        <v>35</v>
      </c>
      <c r="V134" s="339"/>
      <c r="W134" s="338" t="s">
        <v>734</v>
      </c>
      <c r="X134" s="132"/>
      <c r="Y134" s="340" t="n">
        <f aca="false">science_cap*(1-EXP(-TblImps[[#This Row],[Σ Science]]/(science_param*(OFFSET(TblImps[[#This Row],[Land]],1,0)-OFFSET(TblExplore[[#This Row],[Land Bonus]],1,0)*20)+15000)))*(1+(mason_bonus*TblConstr[[#This Row],[Tot Mas]]/TblConstr[[#This Row],[Land (2)]]))</f>
        <v>0</v>
      </c>
      <c r="Z134" s="340" t="n">
        <f aca="false">keep_cap*(1-EXP(-TblImps[[#This Row],[Σ Keep]]/(keep_param*(OFFSET(TblImps[[#This Row],[Land]],1,0)-OFFSET(TblExplore[[#This Row],[Land Bonus]],1,0)*20)+15000)))*(1+(mason_bonus*TblConstr[[#This Row],[Tot Mas]]/TblConstr[[#This Row],[Land (2)]]))</f>
        <v>0</v>
      </c>
      <c r="AA134" s="340" t="n">
        <f aca="false">harbor_towers_cap*(1-EXP(-TblImps[[#This Row],[Σ Towers]]/(towers_param*(OFFSET(TblImps[[#This Row],[Land]],1,0)-OFFSET(TblExplore[[#This Row],[Land Bonus]],1,0)*20)+15000)))*(1+(mason_bonus*TblConstr[[#This Row],[Tot Mas]]/TblConstr[[#This Row],[Land (2)]]))</f>
        <v>0</v>
      </c>
      <c r="AB134" s="340" t="n">
        <f aca="false">walls_forges_cap*(1-EXP(-TblImps[[#This Row],[Σ Forges]]/(walls_forges_param*(OFFSET(TblImps[[#This Row],[Land]],1,0)-OFFSET(TblExplore[[#This Row],[Land Bonus]],1,0)*20)+15000)))*(1+(mason_bonus*TblConstr[[#This Row],[Tot Mas]]/TblConstr[[#This Row],[Land (2)]]))</f>
        <v>0</v>
      </c>
      <c r="AC134" s="340" t="n">
        <f aca="false">walls_forges_cap*(1-EXP(-TblImps[[#This Row],[Σ Walls]]/(walls_forges_param*(OFFSET(TblImps[[#This Row],[Land]],1,0)-OFFSET(TblExplore[[#This Row],[Land Bonus]],1,0)*20)+15000)))*(1+(mason_bonus*TblConstr[[#This Row],[Tot Mas]]/TblConstr[[#This Row],[Land (2)]]))</f>
        <v>0</v>
      </c>
      <c r="AD134" s="340" t="n">
        <f aca="false">harbor_towers_cap*(1-EXP(-TblImps[[#This Row],[Σ Irrigation]]/(harbor_towers_param*(OFFSET(TblImps[[#This Row],[Land]],1,0)-OFFSET(TblExplore[[#This Row],[Land Bonus]],1,0)*20)+15000)))*(1+(mason_bonus*TblConstr[[#This Row],[Tot Mas]]/TblConstr[[#This Row],[Land (2)]]))</f>
        <v>0</v>
      </c>
      <c r="AE134" s="132"/>
      <c r="AF134" s="33" t="n">
        <f aca="false">(1+Overview!$I$28)*SUM(TblImps[[#This Row],[P2]:[G2]])+OFFSET(TblImps[[#This Row],[Σ Science]],-1,0)</f>
        <v>0</v>
      </c>
      <c r="AG134" s="33" t="n">
        <f aca="false">(1+Overview!$I$28)*SUM(TblImps[[#This Row],[P3]:[G3]])+OFFSET(TblImps[[#This Row],[Σ Keep]],-1,0)</f>
        <v>0</v>
      </c>
      <c r="AH134" s="33" t="n">
        <f aca="false">(1+Overview!$I$28 + tech_7_1*TblTech[[#This Row],[7-1]])*SUM(TblImps[[#This Row],[P4]:[G4]])+OFFSET(TblImps[[#This Row],[Σ Towers]],-1,0)</f>
        <v>0</v>
      </c>
      <c r="AI134" s="33" t="n">
        <f aca="false">(1+Overview!$I$28)*SUM(TblImps[[#This Row],[P5]:[G5]])+OFFSET(TblImps[[#This Row],[Σ Forges]],-1,0)</f>
        <v>0</v>
      </c>
      <c r="AJ134" s="33" t="n">
        <f aca="false">(1+Overview!$I$28)*SUM(TblImps[[#This Row],[P6]:[G6]])+OFFSET(TblImps[[#This Row],[Σ Walls]],-1,0)</f>
        <v>0</v>
      </c>
      <c r="AK134" s="33" t="n">
        <f aca="false">(1+Overview!$I$28 + tech_7_1*TblTech[[#This Row],[7-1]])*SUM(TblImps[[#This Row],[P7]:[G7]])+OFFSET(TblImps[[#This Row],[Σ Irrigation]],-1,0)</f>
        <v>0</v>
      </c>
      <c r="AL134" s="132"/>
      <c r="AM134" s="26" t="n">
        <f aca="false">IF(AND(TblImps[[#This Row],[Resource]]=AM$2,TblImps[[#This Row],[Part]]&lt;&gt;""),TblImps[[#This Row],[Amount]]) + IF(AND(TblImps[[#This Row],[Resource 2]]=AM$2,TblImps[[#This Row],[Part 2]]&lt;&gt;""),TblImps[[#This Row],[Amount 2]]) + IF(AND(TblImps[[#This Row],[Resource 3]]=AM$2,TblImps[[#This Row],[Part 3]]&lt;&gt;""),TblImps[[#This Row],[Amount 3]])</f>
        <v>0</v>
      </c>
      <c r="AN134" s="26" t="n">
        <f aca="false">IF(AND(TblImps[[#This Row],[Resource]]=AN$2,TblImps[[#This Row],[Part]]&lt;&gt;""),TblImps[[#This Row],[Amount]]) + IF(AND(TblImps[[#This Row],[Resource 2]]=AN$2,TblImps[[#This Row],[Part 2]]&lt;&gt;""),TblImps[[#This Row],[Amount 2]]) + IF(AND(TblImps[[#This Row],[Resource 3]]=AN$2,TblImps[[#This Row],[Part 3]]&lt;&gt;""),TblImps[[#This Row],[Amount 3]])</f>
        <v>0</v>
      </c>
      <c r="AO134" s="26" t="n">
        <f aca="false">IF(AND(TblImps[[#This Row],[Resource]]=AO$2,TblImps[[#This Row],[Part]]&lt;&gt;""),TblImps[[#This Row],[Amount]]) + IF(AND(TblImps[[#This Row],[Resource 2]]=AO$2,TblImps[[#This Row],[Part 2]]&lt;&gt;""),TblImps[[#This Row],[Amount 2]]) + IF(AND(TblImps[[#This Row],[Resource 3]]=AO$2,TblImps[[#This Row],[Part 3]]&lt;&gt;""),TblImps[[#This Row],[Amount 3]])</f>
        <v>0</v>
      </c>
      <c r="AP134" s="26" t="n">
        <f aca="false">IF(AND(TblImps[[#This Row],[Resource]]=AP$2,TblImps[[#This Row],[Part]]&lt;&gt;""),TblImps[[#This Row],[Amount]]) + IF(AND(TblImps[[#This Row],[Resource 2]]=AP$2,TblImps[[#This Row],[Part 2]]&lt;&gt;""),TblImps[[#This Row],[Amount 2]]) + IF(AND(TblImps[[#This Row],[Resource 3]]=AP$2,TblImps[[#This Row],[Part 3]]&lt;&gt;""),TblImps[[#This Row],[Amount 3]])</f>
        <v>0</v>
      </c>
      <c r="AQ134" s="132"/>
      <c r="AR13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32"/>
      <c r="AW13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32"/>
      <c r="BB13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32"/>
      <c r="BG13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32"/>
      <c r="BL13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32"/>
      <c r="BQ13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32"/>
      <c r="BV134"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33" t="n">
        <f aca="false">TblImps[[#This Row],[Login]]</f>
        <v>0</v>
      </c>
      <c r="BX134" s="128"/>
      <c r="BY134" s="347" t="n">
        <f aca="false">OFFSET(TblImps[[#This Row],[Real time]],-1,0)+1/24</f>
        <v>45435.1666666667</v>
      </c>
      <c r="BZ134" s="348" t="n">
        <f aca="false">OFFSET(TblImps[[#This Row],[Servertime]],-1,0)+1/24</f>
        <v>45435.4166666667</v>
      </c>
      <c r="CA134" s="26"/>
      <c r="CB134" s="346"/>
      <c r="CC134" s="346"/>
    </row>
    <row r="135" customFormat="false" ht="12.75" hidden="false" customHeight="false" outlineLevel="0" collapsed="false">
      <c r="A135" s="181" t="n">
        <f aca="false">TblConstr[[#This Row],[Land]]</f>
        <v>700</v>
      </c>
      <c r="B135" s="132"/>
      <c r="C135" s="69" t="n">
        <f aca="false">TblProd[[#This Row],[Platinum]]</f>
        <v>2174085</v>
      </c>
      <c r="D135" s="69" t="n">
        <f aca="false">TblProd[[#This Row],[Lumber]]</f>
        <v>58089</v>
      </c>
      <c r="E135" s="69" t="n">
        <f aca="false">TblProd[[#This Row],[Ore]]</f>
        <v>0</v>
      </c>
      <c r="F135" s="69" t="n">
        <f aca="false">TblProd[[#This Row],[Gems]]</f>
        <v>0</v>
      </c>
      <c r="G135" s="146"/>
      <c r="H135" s="69" t="n">
        <f aca="false">TblMili[[#This Row],[Draftees]]</f>
        <v>4180</v>
      </c>
      <c r="I135" s="130" t="n">
        <f aca="false">TblPop[[#This Row],[Employment]]</f>
        <v>1</v>
      </c>
      <c r="J135" s="130" t="n">
        <f aca="false">TblPop[[#This Row],[Total]]/TblPop[[#This Row],[Net max]]</f>
        <v>1</v>
      </c>
      <c r="K135" s="336" t="n">
        <f aca="false">TblRezone[[#This Row],[Hour]]</f>
        <v>132</v>
      </c>
      <c r="L135" s="337" t="n">
        <f aca="false">TblImps[[#This Row],[Real time]]</f>
        <v>45435.2083333333</v>
      </c>
      <c r="M135" s="33" t="n">
        <f aca="false">IF(ISERROR(TblImps[[#This Row],[algorithm]]),0,TblImps[[#This Row],[algorithm]]*1)</f>
        <v>0</v>
      </c>
      <c r="N135" s="69" t="n">
        <f aca="false">TblImps[[#This Row],[Land]]</f>
        <v>700</v>
      </c>
      <c r="O135" s="338" t="s">
        <v>97</v>
      </c>
      <c r="P135" s="339"/>
      <c r="Q135" s="338" t="s">
        <v>734</v>
      </c>
      <c r="R135" s="338" t="s">
        <v>93</v>
      </c>
      <c r="S135" s="339"/>
      <c r="T135" s="338" t="s">
        <v>734</v>
      </c>
      <c r="U135" s="338" t="s">
        <v>35</v>
      </c>
      <c r="V135" s="339"/>
      <c r="W135" s="338" t="s">
        <v>734</v>
      </c>
      <c r="X135" s="132"/>
      <c r="Y135" s="340" t="n">
        <f aca="false">science_cap*(1-EXP(-TblImps[[#This Row],[Σ Science]]/(science_param*(OFFSET(TblImps[[#This Row],[Land]],1,0)-OFFSET(TblExplore[[#This Row],[Land Bonus]],1,0)*20)+15000)))*(1+(mason_bonus*TblConstr[[#This Row],[Tot Mas]]/TblConstr[[#This Row],[Land (2)]]))</f>
        <v>0</v>
      </c>
      <c r="Z135" s="340" t="n">
        <f aca="false">keep_cap*(1-EXP(-TblImps[[#This Row],[Σ Keep]]/(keep_param*(OFFSET(TblImps[[#This Row],[Land]],1,0)-OFFSET(TblExplore[[#This Row],[Land Bonus]],1,0)*20)+15000)))*(1+(mason_bonus*TblConstr[[#This Row],[Tot Mas]]/TblConstr[[#This Row],[Land (2)]]))</f>
        <v>0</v>
      </c>
      <c r="AA135" s="340" t="n">
        <f aca="false">harbor_towers_cap*(1-EXP(-TblImps[[#This Row],[Σ Towers]]/(towers_param*(OFFSET(TblImps[[#This Row],[Land]],1,0)-OFFSET(TblExplore[[#This Row],[Land Bonus]],1,0)*20)+15000)))*(1+(mason_bonus*TblConstr[[#This Row],[Tot Mas]]/TblConstr[[#This Row],[Land (2)]]))</f>
        <v>0</v>
      </c>
      <c r="AB135" s="340" t="n">
        <f aca="false">walls_forges_cap*(1-EXP(-TblImps[[#This Row],[Σ Forges]]/(walls_forges_param*(OFFSET(TblImps[[#This Row],[Land]],1,0)-OFFSET(TblExplore[[#This Row],[Land Bonus]],1,0)*20)+15000)))*(1+(mason_bonus*TblConstr[[#This Row],[Tot Mas]]/TblConstr[[#This Row],[Land (2)]]))</f>
        <v>0</v>
      </c>
      <c r="AC135" s="340" t="n">
        <f aca="false">walls_forges_cap*(1-EXP(-TblImps[[#This Row],[Σ Walls]]/(walls_forges_param*(OFFSET(TblImps[[#This Row],[Land]],1,0)-OFFSET(TblExplore[[#This Row],[Land Bonus]],1,0)*20)+15000)))*(1+(mason_bonus*TblConstr[[#This Row],[Tot Mas]]/TblConstr[[#This Row],[Land (2)]]))</f>
        <v>0</v>
      </c>
      <c r="AD135" s="340" t="n">
        <f aca="false">harbor_towers_cap*(1-EXP(-TblImps[[#This Row],[Σ Irrigation]]/(harbor_towers_param*(OFFSET(TblImps[[#This Row],[Land]],1,0)-OFFSET(TblExplore[[#This Row],[Land Bonus]],1,0)*20)+15000)))*(1+(mason_bonus*TblConstr[[#This Row],[Tot Mas]]/TblConstr[[#This Row],[Land (2)]]))</f>
        <v>0</v>
      </c>
      <c r="AE135" s="132"/>
      <c r="AF135" s="33" t="n">
        <f aca="false">(1+Overview!$I$28)*SUM(TblImps[[#This Row],[P2]:[G2]])+OFFSET(TblImps[[#This Row],[Σ Science]],-1,0)</f>
        <v>0</v>
      </c>
      <c r="AG135" s="33" t="n">
        <f aca="false">(1+Overview!$I$28)*SUM(TblImps[[#This Row],[P3]:[G3]])+OFFSET(TblImps[[#This Row],[Σ Keep]],-1,0)</f>
        <v>0</v>
      </c>
      <c r="AH135" s="33" t="n">
        <f aca="false">(1+Overview!$I$28 + tech_7_1*TblTech[[#This Row],[7-1]])*SUM(TblImps[[#This Row],[P4]:[G4]])+OFFSET(TblImps[[#This Row],[Σ Towers]],-1,0)</f>
        <v>0</v>
      </c>
      <c r="AI135" s="33" t="n">
        <f aca="false">(1+Overview!$I$28)*SUM(TblImps[[#This Row],[P5]:[G5]])+OFFSET(TblImps[[#This Row],[Σ Forges]],-1,0)</f>
        <v>0</v>
      </c>
      <c r="AJ135" s="33" t="n">
        <f aca="false">(1+Overview!$I$28)*SUM(TblImps[[#This Row],[P6]:[G6]])+OFFSET(TblImps[[#This Row],[Σ Walls]],-1,0)</f>
        <v>0</v>
      </c>
      <c r="AK135" s="33" t="n">
        <f aca="false">(1+Overview!$I$28 + tech_7_1*TblTech[[#This Row],[7-1]])*SUM(TblImps[[#This Row],[P7]:[G7]])+OFFSET(TblImps[[#This Row],[Σ Irrigation]],-1,0)</f>
        <v>0</v>
      </c>
      <c r="AL135" s="132"/>
      <c r="AM135" s="26" t="n">
        <f aca="false">IF(AND(TblImps[[#This Row],[Resource]]=AM$2,TblImps[[#This Row],[Part]]&lt;&gt;""),TblImps[[#This Row],[Amount]]) + IF(AND(TblImps[[#This Row],[Resource 2]]=AM$2,TblImps[[#This Row],[Part 2]]&lt;&gt;""),TblImps[[#This Row],[Amount 2]]) + IF(AND(TblImps[[#This Row],[Resource 3]]=AM$2,TblImps[[#This Row],[Part 3]]&lt;&gt;""),TblImps[[#This Row],[Amount 3]])</f>
        <v>0</v>
      </c>
      <c r="AN135" s="26" t="n">
        <f aca="false">IF(AND(TblImps[[#This Row],[Resource]]=AN$2,TblImps[[#This Row],[Part]]&lt;&gt;""),TblImps[[#This Row],[Amount]]) + IF(AND(TblImps[[#This Row],[Resource 2]]=AN$2,TblImps[[#This Row],[Part 2]]&lt;&gt;""),TblImps[[#This Row],[Amount 2]]) + IF(AND(TblImps[[#This Row],[Resource 3]]=AN$2,TblImps[[#This Row],[Part 3]]&lt;&gt;""),TblImps[[#This Row],[Amount 3]])</f>
        <v>0</v>
      </c>
      <c r="AO135" s="26" t="n">
        <f aca="false">IF(AND(TblImps[[#This Row],[Resource]]=AO$2,TblImps[[#This Row],[Part]]&lt;&gt;""),TblImps[[#This Row],[Amount]]) + IF(AND(TblImps[[#This Row],[Resource 2]]=AO$2,TblImps[[#This Row],[Part 2]]&lt;&gt;""),TblImps[[#This Row],[Amount 2]]) + IF(AND(TblImps[[#This Row],[Resource 3]]=AO$2,TblImps[[#This Row],[Part 3]]&lt;&gt;""),TblImps[[#This Row],[Amount 3]])</f>
        <v>0</v>
      </c>
      <c r="AP135" s="26" t="n">
        <f aca="false">IF(AND(TblImps[[#This Row],[Resource]]=AP$2,TblImps[[#This Row],[Part]]&lt;&gt;""),TblImps[[#This Row],[Amount]]) + IF(AND(TblImps[[#This Row],[Resource 2]]=AP$2,TblImps[[#This Row],[Part 2]]&lt;&gt;""),TblImps[[#This Row],[Amount 2]]) + IF(AND(TblImps[[#This Row],[Resource 3]]=AP$2,TblImps[[#This Row],[Part 3]]&lt;&gt;""),TblImps[[#This Row],[Amount 3]])</f>
        <v>0</v>
      </c>
      <c r="AQ135" s="132"/>
      <c r="AR13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32"/>
      <c r="AW13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32"/>
      <c r="BB13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32"/>
      <c r="BG13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32"/>
      <c r="BL13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32"/>
      <c r="BQ13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32"/>
      <c r="BV135"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33" t="n">
        <f aca="false">TblImps[[#This Row],[Login]]</f>
        <v>0</v>
      </c>
      <c r="BX135" s="128"/>
      <c r="BY135" s="347" t="n">
        <f aca="false">OFFSET(TblImps[[#This Row],[Real time]],-1,0)+1/24</f>
        <v>45435.2083333333</v>
      </c>
      <c r="BZ135" s="348" t="n">
        <f aca="false">OFFSET(TblImps[[#This Row],[Servertime]],-1,0)+1/24</f>
        <v>45435.4583333333</v>
      </c>
      <c r="CA135" s="26"/>
      <c r="CB135" s="346"/>
      <c r="CC135" s="346"/>
    </row>
    <row r="136" customFormat="false" ht="12.75" hidden="false" customHeight="false" outlineLevel="0" collapsed="false">
      <c r="A136" s="181" t="n">
        <f aca="false">TblConstr[[#This Row],[Land]]</f>
        <v>700</v>
      </c>
      <c r="B136" s="132"/>
      <c r="C136" s="69" t="n">
        <f aca="false">TblProd[[#This Row],[Platinum]]</f>
        <v>2201404</v>
      </c>
      <c r="D136" s="69" t="n">
        <f aca="false">TblProd[[#This Row],[Lumber]]</f>
        <v>58633</v>
      </c>
      <c r="E136" s="69" t="n">
        <f aca="false">TblProd[[#This Row],[Ore]]</f>
        <v>0</v>
      </c>
      <c r="F136" s="69" t="n">
        <f aca="false">TblProd[[#This Row],[Gems]]</f>
        <v>0</v>
      </c>
      <c r="G136" s="146"/>
      <c r="H136" s="69" t="n">
        <f aca="false">TblMili[[#This Row],[Draftees]]</f>
        <v>4235</v>
      </c>
      <c r="I136" s="130" t="n">
        <f aca="false">TblPop[[#This Row],[Employment]]</f>
        <v>0</v>
      </c>
      <c r="J136" s="130" t="n">
        <f aca="false">TblPop[[#This Row],[Total]]/TblPop[[#This Row],[Net max]]</f>
        <v>1</v>
      </c>
      <c r="K136" s="336" t="n">
        <f aca="false">TblRezone[[#This Row],[Hour]]</f>
        <v>133</v>
      </c>
      <c r="L136" s="337" t="n">
        <f aca="false">TblImps[[#This Row],[Real time]]</f>
        <v>45435.25</v>
      </c>
      <c r="M136" s="33" t="n">
        <f aca="false">IF(ISERROR(TblImps[[#This Row],[algorithm]]),0,TblImps[[#This Row],[algorithm]]*1)</f>
        <v>0</v>
      </c>
      <c r="N136" s="69" t="n">
        <f aca="false">TblImps[[#This Row],[Land]]</f>
        <v>700</v>
      </c>
      <c r="O136" s="338" t="s">
        <v>97</v>
      </c>
      <c r="P136" s="339"/>
      <c r="Q136" s="338" t="s">
        <v>734</v>
      </c>
      <c r="R136" s="338" t="s">
        <v>93</v>
      </c>
      <c r="S136" s="339"/>
      <c r="T136" s="338" t="s">
        <v>734</v>
      </c>
      <c r="U136" s="338" t="s">
        <v>35</v>
      </c>
      <c r="V136" s="339"/>
      <c r="W136" s="338" t="s">
        <v>734</v>
      </c>
      <c r="X136" s="132"/>
      <c r="Y136" s="340" t="n">
        <f aca="false">science_cap*(1-EXP(-TblImps[[#This Row],[Σ Science]]/(science_param*(OFFSET(TblImps[[#This Row],[Land]],1,0)-OFFSET(TblExplore[[#This Row],[Land Bonus]],1,0)*20)+15000)))*(1+(mason_bonus*TblConstr[[#This Row],[Tot Mas]]/TblConstr[[#This Row],[Land (2)]]))</f>
        <v>0</v>
      </c>
      <c r="Z136" s="340" t="n">
        <f aca="false">keep_cap*(1-EXP(-TblImps[[#This Row],[Σ Keep]]/(keep_param*(OFFSET(TblImps[[#This Row],[Land]],1,0)-OFFSET(TblExplore[[#This Row],[Land Bonus]],1,0)*20)+15000)))*(1+(mason_bonus*TblConstr[[#This Row],[Tot Mas]]/TblConstr[[#This Row],[Land (2)]]))</f>
        <v>0</v>
      </c>
      <c r="AA136" s="340" t="n">
        <f aca="false">harbor_towers_cap*(1-EXP(-TblImps[[#This Row],[Σ Towers]]/(towers_param*(OFFSET(TblImps[[#This Row],[Land]],1,0)-OFFSET(TblExplore[[#This Row],[Land Bonus]],1,0)*20)+15000)))*(1+(mason_bonus*TblConstr[[#This Row],[Tot Mas]]/TblConstr[[#This Row],[Land (2)]]))</f>
        <v>0</v>
      </c>
      <c r="AB136" s="340" t="n">
        <f aca="false">walls_forges_cap*(1-EXP(-TblImps[[#This Row],[Σ Forges]]/(walls_forges_param*(OFFSET(TblImps[[#This Row],[Land]],1,0)-OFFSET(TblExplore[[#This Row],[Land Bonus]],1,0)*20)+15000)))*(1+(mason_bonus*TblConstr[[#This Row],[Tot Mas]]/TblConstr[[#This Row],[Land (2)]]))</f>
        <v>0</v>
      </c>
      <c r="AC136" s="340" t="n">
        <f aca="false">walls_forges_cap*(1-EXP(-TblImps[[#This Row],[Σ Walls]]/(walls_forges_param*(OFFSET(TblImps[[#This Row],[Land]],1,0)-OFFSET(TblExplore[[#This Row],[Land Bonus]],1,0)*20)+15000)))*(1+(mason_bonus*TblConstr[[#This Row],[Tot Mas]]/TblConstr[[#This Row],[Land (2)]]))</f>
        <v>0</v>
      </c>
      <c r="AD136" s="340" t="n">
        <f aca="false">harbor_towers_cap*(1-EXP(-TblImps[[#This Row],[Σ Irrigation]]/(harbor_towers_param*(OFFSET(TblImps[[#This Row],[Land]],1,0)-OFFSET(TblExplore[[#This Row],[Land Bonus]],1,0)*20)+15000)))*(1+(mason_bonus*TblConstr[[#This Row],[Tot Mas]]/TblConstr[[#This Row],[Land (2)]]))</f>
        <v>0</v>
      </c>
      <c r="AE136" s="132"/>
      <c r="AF136" s="33" t="n">
        <f aca="false">(1+Overview!$I$28)*SUM(TblImps[[#This Row],[P2]:[G2]])+OFFSET(TblImps[[#This Row],[Σ Science]],-1,0)</f>
        <v>0</v>
      </c>
      <c r="AG136" s="33" t="n">
        <f aca="false">(1+Overview!$I$28)*SUM(TblImps[[#This Row],[P3]:[G3]])+OFFSET(TblImps[[#This Row],[Σ Keep]],-1,0)</f>
        <v>0</v>
      </c>
      <c r="AH136" s="33" t="n">
        <f aca="false">(1+Overview!$I$28 + tech_7_1*TblTech[[#This Row],[7-1]])*SUM(TblImps[[#This Row],[P4]:[G4]])+OFFSET(TblImps[[#This Row],[Σ Towers]],-1,0)</f>
        <v>0</v>
      </c>
      <c r="AI136" s="33" t="n">
        <f aca="false">(1+Overview!$I$28)*SUM(TblImps[[#This Row],[P5]:[G5]])+OFFSET(TblImps[[#This Row],[Σ Forges]],-1,0)</f>
        <v>0</v>
      </c>
      <c r="AJ136" s="33" t="n">
        <f aca="false">(1+Overview!$I$28)*SUM(TblImps[[#This Row],[P6]:[G6]])+OFFSET(TblImps[[#This Row],[Σ Walls]],-1,0)</f>
        <v>0</v>
      </c>
      <c r="AK136" s="33" t="n">
        <f aca="false">(1+Overview!$I$28 + tech_7_1*TblTech[[#This Row],[7-1]])*SUM(TblImps[[#This Row],[P7]:[G7]])+OFFSET(TblImps[[#This Row],[Σ Irrigation]],-1,0)</f>
        <v>0</v>
      </c>
      <c r="AL136" s="132"/>
      <c r="AM136" s="26" t="n">
        <f aca="false">IF(AND(TblImps[[#This Row],[Resource]]=AM$2,TblImps[[#This Row],[Part]]&lt;&gt;""),TblImps[[#This Row],[Amount]]) + IF(AND(TblImps[[#This Row],[Resource 2]]=AM$2,TblImps[[#This Row],[Part 2]]&lt;&gt;""),TblImps[[#This Row],[Amount 2]]) + IF(AND(TblImps[[#This Row],[Resource 3]]=AM$2,TblImps[[#This Row],[Part 3]]&lt;&gt;""),TblImps[[#This Row],[Amount 3]])</f>
        <v>0</v>
      </c>
      <c r="AN136" s="26" t="n">
        <f aca="false">IF(AND(TblImps[[#This Row],[Resource]]=AN$2,TblImps[[#This Row],[Part]]&lt;&gt;""),TblImps[[#This Row],[Amount]]) + IF(AND(TblImps[[#This Row],[Resource 2]]=AN$2,TblImps[[#This Row],[Part 2]]&lt;&gt;""),TblImps[[#This Row],[Amount 2]]) + IF(AND(TblImps[[#This Row],[Resource 3]]=AN$2,TblImps[[#This Row],[Part 3]]&lt;&gt;""),TblImps[[#This Row],[Amount 3]])</f>
        <v>0</v>
      </c>
      <c r="AO136" s="26" t="n">
        <f aca="false">IF(AND(TblImps[[#This Row],[Resource]]=AO$2,TblImps[[#This Row],[Part]]&lt;&gt;""),TblImps[[#This Row],[Amount]]) + IF(AND(TblImps[[#This Row],[Resource 2]]=AO$2,TblImps[[#This Row],[Part 2]]&lt;&gt;""),TblImps[[#This Row],[Amount 2]]) + IF(AND(TblImps[[#This Row],[Resource 3]]=AO$2,TblImps[[#This Row],[Part 3]]&lt;&gt;""),TblImps[[#This Row],[Amount 3]])</f>
        <v>0</v>
      </c>
      <c r="AP136" s="26" t="n">
        <f aca="false">IF(AND(TblImps[[#This Row],[Resource]]=AP$2,TblImps[[#This Row],[Part]]&lt;&gt;""),TblImps[[#This Row],[Amount]]) + IF(AND(TblImps[[#This Row],[Resource 2]]=AP$2,TblImps[[#This Row],[Part 2]]&lt;&gt;""),TblImps[[#This Row],[Amount 2]]) + IF(AND(TblImps[[#This Row],[Resource 3]]=AP$2,TblImps[[#This Row],[Part 3]]&lt;&gt;""),TblImps[[#This Row],[Amount 3]])</f>
        <v>0</v>
      </c>
      <c r="AQ136" s="132"/>
      <c r="AR13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32"/>
      <c r="AW13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32"/>
      <c r="BB13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32"/>
      <c r="BG13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32"/>
      <c r="BL13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32"/>
      <c r="BQ13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32"/>
      <c r="BV136" s="342"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33" t="n">
        <f aca="false">TblImps[[#This Row],[Login]]</f>
        <v>0</v>
      </c>
      <c r="BX136" s="128"/>
      <c r="BY136" s="347" t="n">
        <f aca="false">OFFSET(TblImps[[#This Row],[Real time]],-1,0)+1/24</f>
        <v>45435.25</v>
      </c>
      <c r="BZ136" s="348" t="n">
        <f aca="false">OFFSET(TblImps[[#This Row],[Servertime]],-1,0)+1/24</f>
        <v>45435.5</v>
      </c>
      <c r="CA136" s="26"/>
      <c r="CB136" s="346"/>
      <c r="CC136" s="346"/>
    </row>
    <row r="1269" customFormat="false" ht="12.75" hidden="false" customHeight="false" outlineLevel="0" collapsed="false">
      <c r="B1269" s="140" t="s">
        <v>24</v>
      </c>
      <c r="C1269" s="140"/>
      <c r="K1269" s="86"/>
      <c r="W1269" s="126"/>
      <c r="Y1269" s="86"/>
      <c r="Z1269" s="86"/>
      <c r="AA1269" s="86"/>
      <c r="AB1269" s="86"/>
      <c r="AC1269" s="86"/>
      <c r="AD1269" s="86"/>
      <c r="AF1269" s="86"/>
      <c r="AG1269" s="86"/>
      <c r="AH1269" s="86"/>
      <c r="AI1269" s="86"/>
      <c r="AJ1269" s="86"/>
      <c r="AK1269" s="86"/>
      <c r="AM1269" s="86"/>
      <c r="AN1269" s="86"/>
      <c r="AO1269" s="86"/>
      <c r="AP1269" s="86"/>
      <c r="AR1269" s="86"/>
      <c r="AS1269" s="86"/>
      <c r="AT1269" s="86"/>
      <c r="AU1269" s="86"/>
      <c r="AW1269" s="86"/>
      <c r="AX1269" s="86"/>
      <c r="AY1269" s="86"/>
      <c r="AZ1269" s="86"/>
      <c r="BB1269" s="86"/>
      <c r="BC1269" s="86"/>
      <c r="BD1269" s="86"/>
      <c r="BE1269" s="86"/>
      <c r="BG1269" s="86"/>
      <c r="BH1269" s="86"/>
      <c r="BI1269" s="86"/>
      <c r="BJ1269" s="86"/>
      <c r="BL1269" s="86"/>
      <c r="BM1269" s="86"/>
      <c r="BN1269" s="86"/>
      <c r="BO1269" s="86"/>
      <c r="BQ1269" s="86"/>
      <c r="BR1269" s="86"/>
      <c r="BS1269" s="86"/>
      <c r="BT1269" s="86"/>
    </row>
    <row r="1270" customFormat="false" ht="12.75" hidden="false" customHeight="false" outlineLevel="0" collapsed="false">
      <c r="B1270" s="141" t="n">
        <f aca="false">Overview!E17</f>
        <v>0</v>
      </c>
      <c r="C1270" s="141"/>
      <c r="K1270" s="86"/>
      <c r="W1270" s="126"/>
      <c r="Y1270" s="86"/>
      <c r="Z1270" s="86"/>
      <c r="AA1270" s="86"/>
      <c r="AB1270" s="86"/>
      <c r="AC1270" s="86"/>
      <c r="AD1270" s="86"/>
      <c r="AF1270" s="86"/>
      <c r="AG1270" s="86"/>
      <c r="AH1270" s="86"/>
      <c r="AI1270" s="86"/>
      <c r="AJ1270" s="86"/>
      <c r="AK1270" s="86"/>
      <c r="AM1270" s="86"/>
      <c r="AN1270" s="86"/>
      <c r="AO1270" s="86"/>
      <c r="AP1270" s="86"/>
      <c r="AR1270" s="86"/>
      <c r="AS1270" s="86"/>
      <c r="AT1270" s="86"/>
      <c r="AU1270" s="86"/>
      <c r="AW1270" s="86"/>
      <c r="AX1270" s="86"/>
      <c r="AY1270" s="86"/>
      <c r="AZ1270" s="86"/>
      <c r="BB1270" s="86"/>
      <c r="BC1270" s="86"/>
      <c r="BD1270" s="86"/>
      <c r="BE1270" s="86"/>
      <c r="BG1270" s="86"/>
      <c r="BH1270" s="86"/>
      <c r="BI1270" s="86"/>
      <c r="BJ1270" s="86"/>
      <c r="BL1270" s="86"/>
      <c r="BM1270" s="86"/>
      <c r="BN1270" s="86"/>
      <c r="BO1270" s="86"/>
      <c r="BQ1270" s="86"/>
      <c r="BR1270" s="86"/>
      <c r="BS1270" s="86"/>
      <c r="BT1270" s="86"/>
    </row>
  </sheetData>
  <mergeCells count="9">
    <mergeCell ref="AF1:AG1"/>
    <mergeCell ref="AM1:AN1"/>
    <mergeCell ref="AR1:AT1"/>
    <mergeCell ref="AW1:AY1"/>
    <mergeCell ref="BB1:BE1"/>
    <mergeCell ref="BG1:BI1"/>
    <mergeCell ref="BL1:BN1"/>
    <mergeCell ref="BQ1:BS1"/>
    <mergeCell ref="B1269:C1269"/>
  </mergeCells>
  <conditionalFormatting sqref="A4:BZ136">
    <cfRule type="expression" priority="2" aboveAverage="0" equalAverage="0" bottom="0" percent="0" rank="0" text="" dxfId="103">
      <formula>ROW()-3=$B$1270</formula>
    </cfRule>
    <cfRule type="expression" priority="3" aboveAverage="0" equalAverage="0" bottom="0" percent="0" rank="0" text="" dxfId="104">
      <formula>OR(ROW()-3=$B$1270,A4&lt;0)</formula>
    </cfRule>
    <cfRule type="expression" priority="4" aboveAverage="0" equalAverage="0" bottom="0" percent="0" rank="0" text="" dxfId="105">
      <formula>$K4=73</formula>
    </cfRule>
    <cfRule type="expression" priority="5" aboveAverage="0" equalAverage="0" bottom="0" percent="0" rank="0" text="" dxfId="106">
      <formula>ROUND(($K4-1)/12,0)=INT($K4-1)/12</formula>
    </cfRule>
  </conditionalFormatting>
  <conditionalFormatting sqref="A1:XFD3">
    <cfRule type="expression" priority="6" aboveAverage="0" equalAverage="0" bottom="0" percent="0" rank="0" text="" dxfId="107">
      <formula>$B$1270&lt;0</formula>
    </cfRule>
  </conditionalFormatting>
  <conditionalFormatting sqref="IV29207:IV65010 CD1271:IV60115 A1271:CC60158 A137:XFD1268">
    <cfRule type="expression" priority="7" aboveAverage="0" equalAverage="0" bottom="0" percent="0" rank="0" text="" dxfId="108">
      <formula>ROW(-2=#ref!</formula>
    </cfRule>
  </conditionalFormatting>
  <conditionalFormatting sqref="A1269:CC1269">
    <cfRule type="expression" priority="8" aboveAverage="0" equalAverage="0" bottom="0" percent="0" rank="0" text="" dxfId="109">
      <formula>$B$1270&gt;84</formula>
    </cfRule>
  </conditionalFormatting>
  <conditionalFormatting sqref="A1269:XFD1270">
    <cfRule type="expression" priority="9" aboveAverage="0" equalAverage="0" bottom="0" percent="0" rank="0" text="" dxfId="110">
      <formula>$B$1270&gt;144</formula>
    </cfRule>
  </conditionalFormatting>
  <conditionalFormatting sqref="BV4:BV136">
    <cfRule type="expression" priority="10" aboveAverage="0" equalAverage="0" bottom="0" percent="0" rank="0" text="" dxfId="111">
      <formula>AND(ROW()-3=$B$1270,ISERROR(BV4))</formula>
    </cfRule>
    <cfRule type="expression" priority="11" aboveAverage="0" equalAverage="0" bottom="0" percent="0" rank="0" text="" dxfId="112">
      <formula>ISERROR(BV4)</formula>
    </cfRule>
  </conditionalFormatting>
  <conditionalFormatting sqref="BV76">
    <cfRule type="expression" priority="12" aboveAverage="0" equalAverage="0" bottom="0" percent="0" rank="0" text="" dxfId="113">
      <formula>ISERROR(BV76)</formula>
    </cfRule>
  </conditionalFormatting>
  <dataValidations count="2">
    <dataValidation allowBlank="true" errorStyle="stop" operator="between" showDropDown="false" showErrorMessage="true" showInputMessage="true" sqref="O4:O136 R4:R136 U4:U136" type="list">
      <formula1>resources</formula1>
      <formula2>0</formula2>
    </dataValidation>
    <dataValidation allowBlank="true" errorStyle="stop" operator="between" showDropDown="false" showErrorMessage="true" showInputMessage="true" sqref="Q4:Q136 T4:T136 W4:W136" type="list">
      <formula1>Imps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3" id="{37843BBF-7A1C-4A72-9E41-2731234421F1}">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H16:P2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I28" activeCellId="0" sqref="I28"/>
    </sheetView>
  </sheetViews>
  <sheetFormatPr defaultColWidth="8.34375" defaultRowHeight="12.75" zeroHeight="false" outlineLevelRow="0" outlineLevelCol="0"/>
  <cols>
    <col collapsed="false" customWidth="true" hidden="false" outlineLevel="0" max="17" min="1" style="0" width="10.85"/>
    <col collapsed="false" customWidth="true" hidden="false" outlineLevel="0" max="18" min="18" style="0" width="10.14"/>
  </cols>
  <sheetData>
    <row r="16" customFormat="false" ht="12.75" hidden="false" customHeight="false" outlineLevel="0" collapsed="false">
      <c r="O16" s="31" t="s">
        <v>794</v>
      </c>
      <c r="P16" s="360"/>
    </row>
    <row r="27" customFormat="false" ht="12.75" hidden="false" customHeight="true" outlineLevel="0" collapsed="false"/>
    <row r="28" customFormat="false" ht="12.75" hidden="false" customHeight="false" outlineLevel="0" collapsed="false">
      <c r="H28" s="124" t="s">
        <v>794</v>
      </c>
      <c r="I28" s="360"/>
    </row>
  </sheetData>
  <dataValidations count="1">
    <dataValidation allowBlank="true" errorStyle="stop" operator="between" showDropDown="false" showErrorMessage="true" showInputMessage="true" sqref="I28" type="whole">
      <formula1>0</formula1>
      <formula2>132</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2">
              <controlPr defaultSize="0" print="false" autoFill="0" autoPict="0" macro="Sheet13.loghr">
                <anchor moveWithCells="true" sizeWithCells="false">
                  <from>
                    <xdr:col>13</xdr:col>
                    <xdr:colOff>276120</xdr:colOff>
                    <xdr:row>2</xdr:row>
                    <xdr:rowOff>4680</xdr:rowOff>
                  </from>
                  <to>
                    <xdr:col>16</xdr:col>
                    <xdr:colOff>66600</xdr:colOff>
                    <xdr:row>3</xdr:row>
                    <xdr:rowOff>162000</xdr:rowOff>
                  </to>
                </anchor>
              </controlPr>
            </control>
          </mc:Choice>
        </mc:AlternateContent>
        <mc:AlternateContent xmlns:mc="http://schemas.openxmlformats.org/markup-compatibility/2006">
          <mc:Choice Requires="x14">
            <control shapeId="1002" r:id="rId5" name="Button 3">
              <controlPr defaultSize="0" print="false" autoFill="0" autoPict="0" macro="Sheet13.TextboxCopy">
                <anchor moveWithCells="true" sizeWithCells="false">
                  <from>
                    <xdr:col>13</xdr:col>
                    <xdr:colOff>276120</xdr:colOff>
                    <xdr:row>5</xdr:row>
                    <xdr:rowOff>4680</xdr:rowOff>
                  </from>
                  <to>
                    <xdr:col>16</xdr:col>
                    <xdr:colOff>66600</xdr:colOff>
                    <xdr:row>6</xdr:row>
                    <xdr:rowOff>162000</xdr:rowOff>
                  </to>
                </anchor>
              </controlPr>
            </control>
          </mc:Choice>
        </mc:AlternateContent>
        <mc:AlternateContent xmlns:mc="http://schemas.openxmlformats.org/markup-compatibility/2006">
          <mc:Choice Requires="x14">
            <control shapeId="1003" r:id="rId6" name="Button 4">
              <controlPr defaultSize="0" print="false" autoFill="0" autoPict="0" macro="Sheet13.clear">
                <anchor moveWithCells="true" sizeWithCells="false">
                  <from>
                    <xdr:col>13</xdr:col>
                    <xdr:colOff>276120</xdr:colOff>
                    <xdr:row>8</xdr:row>
                    <xdr:rowOff>47520</xdr:rowOff>
                  </from>
                  <to>
                    <xdr:col>16</xdr:col>
                    <xdr:colOff>66600</xdr:colOff>
                    <xdr:row>10</xdr:row>
                    <xdr:rowOff>38160</xdr:rowOff>
                  </to>
                </anchor>
              </controlPr>
            </control>
          </mc:Choice>
        </mc:AlternateContent>
        <mc:AlternateContent xmlns:mc="http://schemas.openxmlformats.org/markup-compatibility/2006">
          <mc:Choice Requires="x14">
            <control shapeId="1004" r:id="rId7" name="Button 5">
              <controlPr defaultSize="0" print="false" autoFill="0" autoPict="0" macro="Sheet13.currenthour">
                <anchor moveWithCells="true" sizeWithCells="false">
                  <from>
                    <xdr:col>13</xdr:col>
                    <xdr:colOff>271440</xdr:colOff>
                    <xdr:row>11</xdr:row>
                    <xdr:rowOff>57240</xdr:rowOff>
                  </from>
                  <to>
                    <xdr:col>16</xdr:col>
                    <xdr:colOff>66600</xdr:colOff>
                    <xdr:row>13</xdr:row>
                    <xdr:rowOff>47880</xdr:rowOff>
                  </to>
                </anchor>
              </controlPr>
            </control>
          </mc:Choice>
        </mc:AlternateContent>
        <mc:AlternateContent xmlns:mc="http://schemas.openxmlformats.org/markup-compatibility/2006">
          <mc:Choice Requires="x14">
            <control shapeId="1005" r:id="rId8" name="Button 25">
              <controlPr defaultSize="0" print="false" autoFill="0" autoPict="0" macro="Sheet13.stats">
                <anchor moveWithCells="true" sizeWithCells="false">
                  <from>
                    <xdr:col>6</xdr:col>
                    <xdr:colOff>385920</xdr:colOff>
                    <xdr:row>29</xdr:row>
                    <xdr:rowOff>23760</xdr:rowOff>
                  </from>
                  <to>
                    <xdr:col>9</xdr:col>
                    <xdr:colOff>66960</xdr:colOff>
                    <xdr:row>31</xdr:row>
                    <xdr:rowOff>19080</xdr:rowOff>
                  </to>
                </anchor>
              </controlPr>
            </control>
          </mc:Choice>
        </mc:AlternateContent>
        <mc:AlternateContent xmlns:mc="http://schemas.openxmlformats.org/markup-compatibility/2006">
          <mc:Choice Requires="x14">
            <control shapeId="1006" r:id="rId9" name="Button 26">
              <controlPr defaultSize="0" print="false" autoFill="0" autoPict="0" macro="Sheet13.StatCopy">
                <anchor moveWithCells="true" sizeWithCells="false">
                  <from>
                    <xdr:col>6</xdr:col>
                    <xdr:colOff>385920</xdr:colOff>
                    <xdr:row>32</xdr:row>
                    <xdr:rowOff>47520</xdr:rowOff>
                  </from>
                  <to>
                    <xdr:col>9</xdr:col>
                    <xdr:colOff>66960</xdr:colOff>
                    <xdr:row>34</xdr:row>
                    <xdr:rowOff>38160</xdr:rowOff>
                  </to>
                </anchor>
              </controlPr>
            </control>
          </mc:Choice>
        </mc:AlternateContent>
        <mc:AlternateContent xmlns:mc="http://schemas.openxmlformats.org/markup-compatibility/2006">
          <mc:Choice Requires="x14">
            <control shapeId="1007" r:id="rId10" name="Button 27">
              <controlPr defaultSize="0" print="false" autoFill="0" autoPict="0" macro="Sheet13.clearstat">
                <anchor moveWithCells="true" sizeWithCells="false">
                  <from>
                    <xdr:col>6</xdr:col>
                    <xdr:colOff>385920</xdr:colOff>
                    <xdr:row>35</xdr:row>
                    <xdr:rowOff>66600</xdr:rowOff>
                  </from>
                  <to>
                    <xdr:col>9</xdr:col>
                    <xdr:colOff>66960</xdr:colOff>
                    <xdr:row>37</xdr:row>
                    <xdr:rowOff>66600</xdr:rowOff>
                  </to>
                </anchor>
              </controlPr>
            </control>
          </mc:Choice>
        </mc:AlternateContent>
        <mc:AlternateContent xmlns:mc="http://schemas.openxmlformats.org/markup-compatibility/2006">
          <mc:Choice Requires="x14">
            <control shapeId="1008" r:id="rId11" name="Button 35">
              <controlPr defaultSize="0" print="false" autoFill="0" autoPict="0" macro="Module1.AdvanceTick">
                <anchor moveWithCells="true" sizeWithCells="false">
                  <from>
                    <xdr:col>13</xdr:col>
                    <xdr:colOff>252360</xdr:colOff>
                    <xdr:row>16</xdr:row>
                    <xdr:rowOff>61920</xdr:rowOff>
                  </from>
                  <to>
                    <xdr:col>16</xdr:col>
                    <xdr:colOff>47520</xdr:colOff>
                    <xdr:row>18</xdr:row>
                    <xdr:rowOff>52560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B2:L1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 activeCellId="0" sqref="B3"/>
    </sheetView>
  </sheetViews>
  <sheetFormatPr defaultColWidth="9.1484375" defaultRowHeight="15" zeroHeight="false" outlineLevelRow="0" outlineLevelCol="0"/>
  <cols>
    <col collapsed="false" customWidth="true" hidden="false" outlineLevel="0" max="1" min="1" style="361" width="3.29"/>
    <col collapsed="false" customWidth="true" hidden="false" outlineLevel="0" max="2" min="2" style="361" width="25.29"/>
    <col collapsed="false" customWidth="true" hidden="false" outlineLevel="0" max="3" min="3" style="361" width="8.57"/>
    <col collapsed="false" customWidth="true" hidden="false" outlineLevel="0" max="5" min="4" style="361" width="11.14"/>
    <col collapsed="false" customWidth="true" hidden="false" outlineLevel="0" max="6" min="6" style="361" width="5.29"/>
    <col collapsed="false" customWidth="false" hidden="false" outlineLevel="0" max="16384" min="7" style="361" width="9.14"/>
  </cols>
  <sheetData>
    <row r="2" s="362" customFormat="true" ht="27" hidden="false" customHeight="true" outlineLevel="0" collapsed="false">
      <c r="B2" s="362" t="s">
        <v>7</v>
      </c>
      <c r="C2" s="362" t="s">
        <v>795</v>
      </c>
      <c r="D2" s="362" t="s">
        <v>520</v>
      </c>
      <c r="E2" s="362" t="s">
        <v>796</v>
      </c>
    </row>
    <row r="3" customFormat="false" ht="15" hidden="false" customHeight="false" outlineLevel="0" collapsed="false">
      <c r="B3" s="361" t="s">
        <v>797</v>
      </c>
      <c r="C3" s="363" t="s">
        <v>244</v>
      </c>
      <c r="D3" s="361" t="n">
        <f aca="false">_xlfn.IFNA(INDEX(TblConstr[],MATCH(Log!$I$28,TblConstr[Hour],0),MATCH(TblStats[[#This Row],[Abbr]],TblConstr[#headers],0)),0)</f>
        <v>0</v>
      </c>
      <c r="E3" s="364" t="e">
        <f aca="false">TblStats[[#This Row],[Number]]/INDEX(TblConstr[[Hour]:[Land]],MATCH(Log!$I$28,TblConstr[Hour],0),6)</f>
        <v>#N/A</v>
      </c>
    </row>
    <row r="4" customFormat="false" ht="15" hidden="false" customHeight="false" outlineLevel="0" collapsed="false">
      <c r="B4" s="361" t="s">
        <v>798</v>
      </c>
      <c r="C4" s="363" t="s">
        <v>245</v>
      </c>
      <c r="D4" s="361" t="n">
        <f aca="false">_xlfn.IFNA(INDEX(TblConstr[],MATCH(Log!$I$28,TblConstr[Hour],0),MATCH(TblStats[[#This Row],[Abbr]],TblConstr[#headers],0)),0)</f>
        <v>0</v>
      </c>
      <c r="E4" s="364" t="e">
        <f aca="false">TblStats[[#This Row],[Number]]/INDEX(TblConstr[[Hour]:[Land]],MATCH(Log!$I$28,TblConstr[Hour],0),6)</f>
        <v>#N/A</v>
      </c>
    </row>
    <row r="5" customFormat="false" ht="15" hidden="false" customHeight="false" outlineLevel="0" collapsed="false">
      <c r="B5" s="361" t="s">
        <v>799</v>
      </c>
      <c r="C5" s="363" t="s">
        <v>246</v>
      </c>
      <c r="D5" s="361" t="n">
        <f aca="false">_xlfn.IFNA(INDEX(TblConstr[],MATCH(Log!$I$28,TblConstr[Hour],0),MATCH(TblStats[[#This Row],[Abbr]],TblConstr[#headers],0)),0)</f>
        <v>0</v>
      </c>
      <c r="E5" s="364" t="e">
        <f aca="false">TblStats[[#This Row],[Number]]/INDEX(TblConstr[[Hour]:[Land]],MATCH(Log!$I$28,TblConstr[Hour],0),6)</f>
        <v>#N/A</v>
      </c>
    </row>
    <row r="6" customFormat="false" ht="15" hidden="false" customHeight="false" outlineLevel="0" collapsed="false">
      <c r="B6" s="361" t="s">
        <v>800</v>
      </c>
      <c r="C6" s="363" t="s">
        <v>247</v>
      </c>
      <c r="D6" s="361" t="n">
        <f aca="false">_xlfn.IFNA(INDEX(TblConstr[],MATCH(Log!$I$28,TblConstr[Hour],0),MATCH(TblStats[[#This Row],[Abbr]],TblConstr[#headers],0)),0)</f>
        <v>0</v>
      </c>
      <c r="E6" s="364" t="e">
        <f aca="false">TblStats[[#This Row],[Number]]/INDEX(TblConstr[[Hour]:[Land]],MATCH(Log!$I$28,TblConstr[Hour],0),6)</f>
        <v>#N/A</v>
      </c>
    </row>
    <row r="7" customFormat="false" ht="15" hidden="false" customHeight="false" outlineLevel="0" collapsed="false">
      <c r="B7" s="361" t="s">
        <v>801</v>
      </c>
      <c r="C7" s="363" t="s">
        <v>248</v>
      </c>
      <c r="D7" s="361" t="n">
        <f aca="false">_xlfn.IFNA(INDEX(TblConstr[],MATCH(Log!$I$28,TblConstr[Hour],0),MATCH(TblStats[[#This Row],[Abbr]],TblConstr[#headers],0)),0)</f>
        <v>0</v>
      </c>
      <c r="E7" s="364" t="e">
        <f aca="false">TblStats[[#This Row],[Number]]/INDEX(TblConstr[[Hour]:[Land]],MATCH(Log!$I$28,TblConstr[Hour],0),6)</f>
        <v>#N/A</v>
      </c>
    </row>
    <row r="8" customFormat="false" ht="15" hidden="false" customHeight="false" outlineLevel="0" collapsed="false">
      <c r="B8" s="361" t="s">
        <v>802</v>
      </c>
      <c r="C8" s="363" t="s">
        <v>249</v>
      </c>
      <c r="D8" s="361" t="n">
        <f aca="false">_xlfn.IFNA(INDEX(TblConstr[],MATCH(Log!$I$28,TblConstr[Hour],0),MATCH(TblStats[[#This Row],[Abbr]],TblConstr[#headers],0)),0)</f>
        <v>0</v>
      </c>
      <c r="E8" s="364" t="e">
        <f aca="false">TblStats[[#This Row],[Number]]/INDEX(TblConstr[[Hour]:[Land]],MATCH(Log!$I$28,TblConstr[Hour],0),6)</f>
        <v>#N/A</v>
      </c>
    </row>
    <row r="9" customFormat="false" ht="15" hidden="false" customHeight="false" outlineLevel="0" collapsed="false">
      <c r="B9" s="361" t="s">
        <v>803</v>
      </c>
      <c r="C9" s="363" t="s">
        <v>250</v>
      </c>
      <c r="D9" s="361" t="n">
        <f aca="false">_xlfn.IFNA(INDEX(TblConstr[],MATCH(Log!$I$28,TblConstr[Hour],0),MATCH(TblStats[[#This Row],[Abbr]],TblConstr[#headers],0)),0)</f>
        <v>0</v>
      </c>
      <c r="E9" s="364" t="e">
        <f aca="false">TblStats[[#This Row],[Number]]/INDEX(TblConstr[[Hour]:[Land]],MATCH(Log!$I$28,TblConstr[Hour],0),6)</f>
        <v>#N/A</v>
      </c>
    </row>
    <row r="10" customFormat="false" ht="15" hidden="false" customHeight="false" outlineLevel="0" collapsed="false">
      <c r="B10" s="361" t="s">
        <v>804</v>
      </c>
      <c r="C10" s="363" t="s">
        <v>251</v>
      </c>
      <c r="D10" s="361" t="n">
        <f aca="false">_xlfn.IFNA(INDEX(TblConstr[],MATCH(Log!$I$28,TblConstr[Hour],0),MATCH(TblStats[[#This Row],[Abbr]],TblConstr[#headers],0)),0)</f>
        <v>0</v>
      </c>
      <c r="E10" s="364" t="e">
        <f aca="false">TblStats[[#This Row],[Number]]/INDEX(TblConstr[[Hour]:[Land]],MATCH(Log!$I$28,TblConstr[Hour],0),6)</f>
        <v>#N/A</v>
      </c>
    </row>
    <row r="11" customFormat="false" ht="15" hidden="false" customHeight="false" outlineLevel="0" collapsed="false">
      <c r="B11" s="361" t="s">
        <v>805</v>
      </c>
      <c r="C11" s="363" t="s">
        <v>252</v>
      </c>
      <c r="D11" s="361" t="n">
        <f aca="false">_xlfn.IFNA(INDEX(TblConstr[],MATCH(Log!$I$28,TblConstr[Hour],0),MATCH(TblStats[[#This Row],[Abbr]],TblConstr[#headers],0)),0)</f>
        <v>0</v>
      </c>
      <c r="E11" s="364" t="e">
        <f aca="false">TblStats[[#This Row],[Number]]/INDEX(TblConstr[[Hour]:[Land]],MATCH(Log!$I$28,TblConstr[Hour],0),6)</f>
        <v>#N/A</v>
      </c>
    </row>
    <row r="12" customFormat="false" ht="15" hidden="false" customHeight="false" outlineLevel="0" collapsed="false">
      <c r="B12" s="361" t="s">
        <v>806</v>
      </c>
      <c r="C12" s="363" t="s">
        <v>253</v>
      </c>
      <c r="D12" s="361" t="n">
        <f aca="false">_xlfn.IFNA(INDEX(TblConstr[],MATCH(Log!$I$28,TblConstr[Hour],0),MATCH(TblStats[[#This Row],[Abbr]],TblConstr[#headers],0)),0)</f>
        <v>0</v>
      </c>
      <c r="E12" s="364" t="e">
        <f aca="false">TblStats[[#This Row],[Number]]/INDEX(TblConstr[[Hour]:[Land]],MATCH(Log!$I$28,TblConstr[Hour],0),6)</f>
        <v>#N/A</v>
      </c>
    </row>
    <row r="13" customFormat="false" ht="15" hidden="false" customHeight="false" outlineLevel="0" collapsed="false">
      <c r="B13" s="361" t="s">
        <v>807</v>
      </c>
      <c r="C13" s="363" t="s">
        <v>254</v>
      </c>
      <c r="D13" s="361" t="n">
        <f aca="false">_xlfn.IFNA(INDEX(TblConstr[],MATCH(Log!$I$28,TblConstr[Hour],0),MATCH(TblStats[[#This Row],[Abbr]],TblConstr[#headers],0)),0)</f>
        <v>0</v>
      </c>
      <c r="E13" s="364" t="e">
        <f aca="false">TblStats[[#This Row],[Number]]/INDEX(TblConstr[[Hour]:[Land]],MATCH(Log!$I$28,TblConstr[Hour],0),6)</f>
        <v>#N/A</v>
      </c>
    </row>
    <row r="14" customFormat="false" ht="15" hidden="false" customHeight="false" outlineLevel="0" collapsed="false">
      <c r="B14" s="361" t="s">
        <v>808</v>
      </c>
      <c r="C14" s="363" t="s">
        <v>255</v>
      </c>
      <c r="D14" s="361" t="n">
        <f aca="false">_xlfn.IFNA(INDEX(TblConstr[],MATCH(Log!$I$28,TblConstr[Hour],0),MATCH(TblStats[[#This Row],[Abbr]],TblConstr[#headers],0)),0)</f>
        <v>0</v>
      </c>
      <c r="E14" s="364" t="e">
        <f aca="false">TblStats[[#This Row],[Number]]/INDEX(TblConstr[[Hour]:[Land]],MATCH(Log!$I$28,TblConstr[Hour],0),6)</f>
        <v>#N/A</v>
      </c>
    </row>
    <row r="15" customFormat="false" ht="15" hidden="false" customHeight="false" outlineLevel="0" collapsed="false">
      <c r="B15" s="361" t="s">
        <v>809</v>
      </c>
      <c r="C15" s="363" t="s">
        <v>256</v>
      </c>
      <c r="D15" s="361" t="n">
        <f aca="false">_xlfn.IFNA(INDEX(TblConstr[],MATCH(Log!$I$28,TblConstr[Hour],0),MATCH(TblStats[[#This Row],[Abbr]],TblConstr[#headers],0)),0)</f>
        <v>0</v>
      </c>
      <c r="E15" s="364" t="e">
        <f aca="false">TblStats[[#This Row],[Number]]/INDEX(TblConstr[[Hour]:[Land]],MATCH(Log!$I$28,TblConstr[Hour],0),6)</f>
        <v>#N/A</v>
      </c>
    </row>
    <row r="16" customFormat="false" ht="15" hidden="false" customHeight="false" outlineLevel="0" collapsed="false">
      <c r="B16" s="361" t="s">
        <v>810</v>
      </c>
      <c r="C16" s="363" t="s">
        <v>257</v>
      </c>
      <c r="D16" s="361" t="n">
        <f aca="false">_xlfn.IFNA(INDEX(TblConstr[],MATCH(Log!$I$28,TblConstr[Hour],0),MATCH(TblStats[[#This Row],[Abbr]],TblConstr[#headers],0)),0)</f>
        <v>0</v>
      </c>
      <c r="E16" s="364" t="e">
        <f aca="false">TblStats[[#This Row],[Number]]/INDEX(TblConstr[[Hour]:[Land]],MATCH(Log!$I$28,TblConstr[Hour],0),6)</f>
        <v>#N/A</v>
      </c>
    </row>
    <row r="17" customFormat="false" ht="15" hidden="false" customHeight="false" outlineLevel="0" collapsed="false">
      <c r="B17" s="361" t="s">
        <v>811</v>
      </c>
      <c r="C17" s="363" t="s">
        <v>258</v>
      </c>
      <c r="D17" s="361" t="n">
        <f aca="false">_xlfn.IFNA(INDEX(TblConstr[],MATCH(Log!$I$28,TblConstr[Hour],0),MATCH(TblStats[[#This Row],[Abbr]],TblConstr[#headers],0)),0)</f>
        <v>0</v>
      </c>
      <c r="E17" s="364" t="e">
        <f aca="false">TblStats[[#This Row],[Number]]/INDEX(TblConstr[[Hour]:[Land]],MATCH(Log!$I$28,TblConstr[Hour],0),6)</f>
        <v>#N/A</v>
      </c>
    </row>
    <row r="18" customFormat="false" ht="15" hidden="false" customHeight="false" outlineLevel="0" collapsed="false">
      <c r="B18" s="361" t="s">
        <v>812</v>
      </c>
      <c r="C18" s="363" t="s">
        <v>259</v>
      </c>
      <c r="D18" s="361" t="n">
        <f aca="false">_xlfn.IFNA(INDEX(TblConstr[],MATCH(Log!$I$28,TblConstr[Hour],0),MATCH(TblStats[[#This Row],[Abbr]],TblConstr[#headers],0)),0)</f>
        <v>0</v>
      </c>
      <c r="E18" s="364" t="e">
        <f aca="false">TblStats[[#This Row],[Number]]/INDEX(TblConstr[[Hour]:[Land]],MATCH(Log!$I$28,TblConstr[Hour],0),6)</f>
        <v>#N/A</v>
      </c>
    </row>
    <row r="19" customFormat="false" ht="15" hidden="false" customHeight="false" outlineLevel="0" collapsed="false">
      <c r="B19" s="361" t="s">
        <v>813</v>
      </c>
      <c r="C19" s="363" t="s">
        <v>260</v>
      </c>
      <c r="D19" s="361" t="n">
        <f aca="false">_xlfn.IFNA(INDEX(TblConstr[],MATCH(Log!$I$28,TblConstr[Hour],0),MATCH(TblStats[[#This Row],[Abbr]],TblConstr[#headers],0)),0)</f>
        <v>0</v>
      </c>
      <c r="E19" s="364" t="e">
        <f aca="false">TblStats[[#This Row],[Number]]/INDEX(TblConstr[[Hour]:[Land]],MATCH(Log!$I$28,TblConstr[Hour],0),6)</f>
        <v>#N/A</v>
      </c>
    </row>
    <row r="20" customFormat="false" ht="15" hidden="false" customHeight="false" outlineLevel="0" collapsed="false">
      <c r="B20" s="361" t="s">
        <v>814</v>
      </c>
      <c r="C20" s="363" t="s">
        <v>261</v>
      </c>
      <c r="D20" s="361" t="n">
        <f aca="false">_xlfn.IFNA(INDEX(TblConstr[],MATCH(Log!$I$28,TblConstr[Hour],0),MATCH(TblStats[[#This Row],[Abbr]],TblConstr[#headers],0)),0)</f>
        <v>0</v>
      </c>
      <c r="E20" s="364" t="e">
        <f aca="false">TblStats[[#This Row],[Number]]/INDEX(TblConstr[[Hour]:[Land]],MATCH(Log!$I$28,TblConstr[Hour],0),6)</f>
        <v>#N/A</v>
      </c>
    </row>
    <row r="21" customFormat="false" ht="15" hidden="false" customHeight="false" outlineLevel="0" collapsed="false">
      <c r="B21" s="361" t="s">
        <v>815</v>
      </c>
      <c r="C21" s="363" t="s">
        <v>262</v>
      </c>
      <c r="D21" s="361" t="n">
        <f aca="false">_xlfn.IFNA(INDEX(TblConstr[],MATCH(Log!$I$28,TblConstr[Hour],0),MATCH(TblStats[[#This Row],[Abbr]],TblConstr[#headers],0)),0)</f>
        <v>0</v>
      </c>
      <c r="E21" s="364" t="e">
        <f aca="false">TblStats[[#This Row],[Number]]/INDEX(TblConstr[[Hour]:[Land]],MATCH(Log!$I$28,TblConstr[Hour],0),6)</f>
        <v>#N/A</v>
      </c>
    </row>
    <row r="22" customFormat="false" ht="15" hidden="false" customHeight="false" outlineLevel="0" collapsed="false">
      <c r="B22" s="361" t="s">
        <v>816</v>
      </c>
      <c r="C22" s="361" t="s">
        <v>220</v>
      </c>
      <c r="D22" s="361" t="n">
        <f aca="false">_xlfn.IFNA(INDEX(TblConstr[],MATCH(Log!$I$28,TblConstr[Hour],0),MATCH(TblStats[[#This Row],[Abbr]],TblConstr[#headers],0)),0)</f>
        <v>0</v>
      </c>
      <c r="E22" s="364" t="e">
        <f aca="false">TblStats[[#This Row],[Number]]/INDEX(TblConstr[[Hour]:[Land]],MATCH(Log!$I$28,TblConstr[Hour],0),6)</f>
        <v>#N/A</v>
      </c>
    </row>
    <row r="23" customFormat="false" ht="15" hidden="false" customHeight="false" outlineLevel="0" collapsed="false">
      <c r="B23" s="361" t="s">
        <v>817</v>
      </c>
      <c r="C23" s="361" t="s">
        <v>235</v>
      </c>
      <c r="D23" s="361" t="n">
        <f aca="false">_xlfn.IFNA(INDEX(TblConstr[],MATCH(Log!$I$28,TblConstr[Hour],0),MATCH(TblStats[[#This Row],[Abbr]],TblConstr[#headers],0)),0)</f>
        <v>0</v>
      </c>
      <c r="E23" s="364" t="e">
        <f aca="false">TblStats[[#This Row],[Number]]/INDEX(TblConstr[[Hour]:[Land]],MATCH(Log!$I$28,TblConstr[Hour],0),6)</f>
        <v>#N/A</v>
      </c>
    </row>
    <row r="24" customFormat="false" ht="15" hidden="false" customHeight="false" outlineLevel="0" collapsed="false">
      <c r="E24" s="364"/>
    </row>
    <row r="25" customFormat="false" ht="15" hidden="false" customHeight="false" outlineLevel="0" collapsed="false">
      <c r="E25" s="364"/>
    </row>
    <row r="26" customFormat="false" ht="15" hidden="false" customHeight="false" outlineLevel="0" collapsed="false">
      <c r="E26" s="364"/>
    </row>
    <row r="27" customFormat="false" ht="15" hidden="false" customHeight="false" outlineLevel="0" collapsed="false">
      <c r="E27" s="364"/>
    </row>
    <row r="28" customFormat="false" ht="15" hidden="false" customHeight="false" outlineLevel="0" collapsed="false">
      <c r="E28" s="364"/>
      <c r="L28" s="361" t="s">
        <v>818</v>
      </c>
    </row>
    <row r="29" customFormat="false" ht="15" hidden="false" customHeight="false" outlineLevel="0" collapsed="false">
      <c r="E29" s="364"/>
    </row>
    <row r="30" customFormat="false" ht="15" hidden="false" customHeight="false" outlineLevel="0" collapsed="false">
      <c r="E30" s="364"/>
    </row>
    <row r="31" customFormat="false" ht="15" hidden="false" customHeight="false" outlineLevel="0" collapsed="false">
      <c r="E31" s="364"/>
    </row>
    <row r="32" customFormat="false" ht="15" hidden="false" customHeight="false" outlineLevel="0" collapsed="false">
      <c r="E32" s="364"/>
    </row>
    <row r="33" customFormat="false" ht="15" hidden="false" customHeight="false" outlineLevel="0" collapsed="false">
      <c r="E33" s="364"/>
    </row>
    <row r="34" customFormat="false" ht="15" hidden="false" customHeight="false" outlineLevel="0" collapsed="false">
      <c r="E34" s="364"/>
    </row>
    <row r="35" customFormat="false" ht="15" hidden="false" customHeight="false" outlineLevel="0" collapsed="false">
      <c r="E35" s="364"/>
    </row>
    <row r="36" customFormat="false" ht="15" hidden="false" customHeight="false" outlineLevel="0" collapsed="false">
      <c r="E36" s="364"/>
    </row>
    <row r="37" customFormat="false" ht="15" hidden="false" customHeight="false" outlineLevel="0" collapsed="false">
      <c r="E37" s="364"/>
    </row>
    <row r="38" customFormat="false" ht="15" hidden="false" customHeight="false" outlineLevel="0" collapsed="false">
      <c r="E38" s="364"/>
    </row>
    <row r="39" customFormat="false" ht="15" hidden="false" customHeight="false" outlineLevel="0" collapsed="false">
      <c r="E39" s="364"/>
    </row>
    <row r="40" customFormat="false" ht="15" hidden="false" customHeight="false" outlineLevel="0" collapsed="false">
      <c r="E40" s="364"/>
    </row>
    <row r="41" customFormat="false" ht="15" hidden="false" customHeight="false" outlineLevel="0" collapsed="false">
      <c r="E41" s="364"/>
    </row>
    <row r="42" customFormat="false" ht="15" hidden="false" customHeight="false" outlineLevel="0" collapsed="false">
      <c r="E42" s="364"/>
    </row>
    <row r="43" customFormat="false" ht="15" hidden="false" customHeight="false" outlineLevel="0" collapsed="false">
      <c r="E43" s="364"/>
    </row>
    <row r="44" customFormat="false" ht="15" hidden="false" customHeight="false" outlineLevel="0" collapsed="false">
      <c r="E44" s="364"/>
    </row>
    <row r="45" customFormat="false" ht="15" hidden="false" customHeight="false" outlineLevel="0" collapsed="false">
      <c r="E45" s="364"/>
    </row>
    <row r="46" customFormat="false" ht="15" hidden="false" customHeight="false" outlineLevel="0" collapsed="false">
      <c r="E46" s="364"/>
    </row>
    <row r="47" customFormat="false" ht="15" hidden="false" customHeight="false" outlineLevel="0" collapsed="false">
      <c r="E47" s="364"/>
    </row>
    <row r="48" customFormat="false" ht="15" hidden="false" customHeight="false" outlineLevel="0" collapsed="false">
      <c r="E48" s="364"/>
    </row>
    <row r="49" customFormat="false" ht="15" hidden="false" customHeight="false" outlineLevel="0" collapsed="false">
      <c r="E49" s="364"/>
    </row>
    <row r="50" customFormat="false" ht="15" hidden="false" customHeight="false" outlineLevel="0" collapsed="false">
      <c r="E50" s="364"/>
    </row>
    <row r="51" customFormat="false" ht="15" hidden="false" customHeight="false" outlineLevel="0" collapsed="false">
      <c r="E51" s="364"/>
    </row>
    <row r="52" customFormat="false" ht="15" hidden="false" customHeight="false" outlineLevel="0" collapsed="false">
      <c r="E52" s="364"/>
    </row>
    <row r="53" customFormat="false" ht="15" hidden="false" customHeight="false" outlineLevel="0" collapsed="false">
      <c r="E53" s="364"/>
    </row>
    <row r="54" customFormat="false" ht="15" hidden="false" customHeight="false" outlineLevel="0" collapsed="false">
      <c r="E54" s="364"/>
    </row>
    <row r="55" customFormat="false" ht="15" hidden="false" customHeight="false" outlineLevel="0" collapsed="false">
      <c r="E55" s="364"/>
    </row>
    <row r="56" customFormat="false" ht="15" hidden="false" customHeight="false" outlineLevel="0" collapsed="false">
      <c r="E56" s="364"/>
    </row>
    <row r="57" customFormat="false" ht="15" hidden="false" customHeight="false" outlineLevel="0" collapsed="false">
      <c r="E57" s="364"/>
    </row>
    <row r="58" customFormat="false" ht="15" hidden="false" customHeight="false" outlineLevel="0" collapsed="false">
      <c r="E58" s="364"/>
    </row>
    <row r="59" customFormat="false" ht="15" hidden="false" customHeight="false" outlineLevel="0" collapsed="false">
      <c r="E59" s="364"/>
    </row>
    <row r="60" customFormat="false" ht="15" hidden="false" customHeight="false" outlineLevel="0" collapsed="false">
      <c r="E60" s="364"/>
    </row>
    <row r="61" customFormat="false" ht="15" hidden="false" customHeight="false" outlineLevel="0" collapsed="false">
      <c r="E61" s="364"/>
    </row>
    <row r="62" customFormat="false" ht="15" hidden="false" customHeight="false" outlineLevel="0" collapsed="false">
      <c r="E62" s="364"/>
    </row>
    <row r="63" customFormat="false" ht="15" hidden="false" customHeight="false" outlineLevel="0" collapsed="false">
      <c r="E63" s="364"/>
    </row>
    <row r="64" customFormat="false" ht="15" hidden="false" customHeight="false" outlineLevel="0" collapsed="false">
      <c r="E64" s="364"/>
    </row>
    <row r="65" customFormat="false" ht="15" hidden="false" customHeight="false" outlineLevel="0" collapsed="false">
      <c r="E65" s="364"/>
    </row>
    <row r="66" customFormat="false" ht="15" hidden="false" customHeight="false" outlineLevel="0" collapsed="false">
      <c r="E66" s="364"/>
    </row>
    <row r="67" customFormat="false" ht="15" hidden="false" customHeight="false" outlineLevel="0" collapsed="false">
      <c r="E67" s="364"/>
    </row>
    <row r="68" customFormat="false" ht="15" hidden="false" customHeight="false" outlineLevel="0" collapsed="false">
      <c r="E68" s="364"/>
    </row>
    <row r="69" customFormat="false" ht="15" hidden="false" customHeight="false" outlineLevel="0" collapsed="false">
      <c r="E69" s="364"/>
    </row>
    <row r="70" customFormat="false" ht="15" hidden="false" customHeight="false" outlineLevel="0" collapsed="false">
      <c r="E70" s="364"/>
    </row>
    <row r="71" customFormat="false" ht="15" hidden="false" customHeight="false" outlineLevel="0" collapsed="false">
      <c r="E71" s="364"/>
    </row>
    <row r="72" customFormat="false" ht="15" hidden="false" customHeight="false" outlineLevel="0" collapsed="false">
      <c r="E72" s="364"/>
    </row>
    <row r="73" customFormat="false" ht="15" hidden="false" customHeight="false" outlineLevel="0" collapsed="false">
      <c r="E73" s="364"/>
    </row>
    <row r="74" customFormat="false" ht="15" hidden="false" customHeight="false" outlineLevel="0" collapsed="false">
      <c r="E74" s="364"/>
    </row>
    <row r="75" customFormat="false" ht="15" hidden="false" customHeight="false" outlineLevel="0" collapsed="false">
      <c r="E75" s="364"/>
    </row>
    <row r="76" customFormat="false" ht="15" hidden="false" customHeight="false" outlineLevel="0" collapsed="false">
      <c r="E76" s="364"/>
    </row>
    <row r="77" customFormat="false" ht="15" hidden="false" customHeight="false" outlineLevel="0" collapsed="false">
      <c r="E77" s="364"/>
    </row>
    <row r="78" customFormat="false" ht="15" hidden="false" customHeight="false" outlineLevel="0" collapsed="false">
      <c r="E78" s="364"/>
    </row>
    <row r="79" customFormat="false" ht="15" hidden="false" customHeight="false" outlineLevel="0" collapsed="false">
      <c r="E79" s="364"/>
    </row>
    <row r="80" customFormat="false" ht="15" hidden="false" customHeight="false" outlineLevel="0" collapsed="false">
      <c r="E80" s="364"/>
    </row>
    <row r="81" customFormat="false" ht="15" hidden="false" customHeight="false" outlineLevel="0" collapsed="false">
      <c r="E81" s="364"/>
    </row>
    <row r="82" customFormat="false" ht="15" hidden="false" customHeight="false" outlineLevel="0" collapsed="false">
      <c r="E82" s="364"/>
    </row>
    <row r="83" customFormat="false" ht="15" hidden="false" customHeight="false" outlineLevel="0" collapsed="false">
      <c r="E83" s="364"/>
    </row>
    <row r="84" customFormat="false" ht="15" hidden="false" customHeight="false" outlineLevel="0" collapsed="false">
      <c r="E84" s="364"/>
    </row>
    <row r="85" customFormat="false" ht="15" hidden="false" customHeight="false" outlineLevel="0" collapsed="false">
      <c r="E85" s="364"/>
    </row>
    <row r="86" customFormat="false" ht="15" hidden="false" customHeight="false" outlineLevel="0" collapsed="false">
      <c r="E86" s="364"/>
    </row>
    <row r="87" customFormat="false" ht="15" hidden="false" customHeight="false" outlineLevel="0" collapsed="false">
      <c r="E87" s="364"/>
    </row>
    <row r="88" customFormat="false" ht="15" hidden="false" customHeight="false" outlineLevel="0" collapsed="false">
      <c r="E88" s="364"/>
    </row>
    <row r="89" customFormat="false" ht="15" hidden="false" customHeight="false" outlineLevel="0" collapsed="false">
      <c r="E89" s="364"/>
    </row>
    <row r="90" customFormat="false" ht="15" hidden="false" customHeight="false" outlineLevel="0" collapsed="false">
      <c r="E90" s="364"/>
    </row>
    <row r="91" customFormat="false" ht="15" hidden="false" customHeight="false" outlineLevel="0" collapsed="false">
      <c r="E91" s="364"/>
    </row>
    <row r="92" customFormat="false" ht="15" hidden="false" customHeight="false" outlineLevel="0" collapsed="false">
      <c r="E92" s="364"/>
    </row>
    <row r="93" customFormat="false" ht="15" hidden="false" customHeight="false" outlineLevel="0" collapsed="false">
      <c r="E93" s="364"/>
    </row>
    <row r="94" customFormat="false" ht="15" hidden="false" customHeight="false" outlineLevel="0" collapsed="false">
      <c r="E94" s="364"/>
    </row>
    <row r="95" customFormat="false" ht="15" hidden="false" customHeight="false" outlineLevel="0" collapsed="false">
      <c r="E95" s="364"/>
    </row>
    <row r="96" customFormat="false" ht="15" hidden="false" customHeight="false" outlineLevel="0" collapsed="false">
      <c r="E96" s="364"/>
    </row>
    <row r="97" customFormat="false" ht="15" hidden="false" customHeight="false" outlineLevel="0" collapsed="false">
      <c r="E97" s="364"/>
    </row>
    <row r="98" customFormat="false" ht="15" hidden="false" customHeight="false" outlineLevel="0" collapsed="false">
      <c r="E98" s="364"/>
    </row>
    <row r="99" customFormat="false" ht="15" hidden="false" customHeight="false" outlineLevel="0" collapsed="false">
      <c r="E99" s="364"/>
    </row>
    <row r="100" customFormat="false" ht="15" hidden="false" customHeight="false" outlineLevel="0" collapsed="false">
      <c r="E100" s="364"/>
    </row>
    <row r="101" customFormat="false" ht="15" hidden="false" customHeight="false" outlineLevel="0" collapsed="false">
      <c r="E101" s="364"/>
    </row>
    <row r="102" customFormat="false" ht="15" hidden="false" customHeight="false" outlineLevel="0" collapsed="false">
      <c r="E102" s="364"/>
    </row>
    <row r="103" customFormat="false" ht="15" hidden="false" customHeight="false" outlineLevel="0" collapsed="false">
      <c r="E103" s="364"/>
    </row>
    <row r="104" customFormat="false" ht="15" hidden="false" customHeight="false" outlineLevel="0" collapsed="false">
      <c r="E104" s="364"/>
    </row>
    <row r="105" customFormat="false" ht="15" hidden="false" customHeight="false" outlineLevel="0" collapsed="false">
      <c r="E105" s="364"/>
    </row>
    <row r="106" customFormat="false" ht="15" hidden="false" customHeight="false" outlineLevel="0" collapsed="false">
      <c r="E106" s="364"/>
    </row>
    <row r="107" customFormat="false" ht="15" hidden="false" customHeight="false" outlineLevel="0" collapsed="false">
      <c r="E107" s="364"/>
    </row>
    <row r="108" customFormat="false" ht="15" hidden="false" customHeight="false" outlineLevel="0" collapsed="false">
      <c r="E108" s="364"/>
    </row>
    <row r="109" customFormat="false" ht="15" hidden="false" customHeight="false" outlineLevel="0" collapsed="false">
      <c r="E109" s="364"/>
    </row>
    <row r="110" customFormat="false" ht="15" hidden="false" customHeight="false" outlineLevel="0" collapsed="false">
      <c r="E110" s="364"/>
    </row>
    <row r="111" customFormat="false" ht="15" hidden="false" customHeight="false" outlineLevel="0" collapsed="false">
      <c r="E111" s="364"/>
    </row>
    <row r="112" customFormat="false" ht="15" hidden="false" customHeight="false" outlineLevel="0" collapsed="false">
      <c r="E112" s="364"/>
    </row>
    <row r="113" customFormat="false" ht="15" hidden="false" customHeight="false" outlineLevel="0" collapsed="false">
      <c r="E113" s="364"/>
    </row>
    <row r="114" customFormat="false" ht="15" hidden="false" customHeight="false" outlineLevel="0" collapsed="false">
      <c r="E114" s="364"/>
    </row>
    <row r="115" customFormat="false" ht="15" hidden="false" customHeight="false" outlineLevel="0" collapsed="false">
      <c r="E115" s="364"/>
    </row>
    <row r="116" customFormat="false" ht="15" hidden="false" customHeight="false" outlineLevel="0" collapsed="false">
      <c r="E116" s="364"/>
    </row>
    <row r="117" customFormat="false" ht="15" hidden="false" customHeight="false" outlineLevel="0" collapsed="false">
      <c r="E117" s="364"/>
    </row>
    <row r="118" customFormat="false" ht="15" hidden="false" customHeight="false" outlineLevel="0" collapsed="false">
      <c r="E118" s="364"/>
    </row>
    <row r="119" customFormat="false" ht="15" hidden="false" customHeight="false" outlineLevel="0" collapsed="false">
      <c r="E119" s="364"/>
    </row>
    <row r="120" customFormat="false" ht="15" hidden="false" customHeight="false" outlineLevel="0" collapsed="false">
      <c r="E120" s="364"/>
    </row>
    <row r="121" customFormat="false" ht="15" hidden="false" customHeight="false" outlineLevel="0" collapsed="false">
      <c r="E121" s="364"/>
    </row>
    <row r="122" customFormat="false" ht="15" hidden="false" customHeight="false" outlineLevel="0" collapsed="false">
      <c r="E122" s="364"/>
    </row>
    <row r="123" customFormat="false" ht="15" hidden="false" customHeight="false" outlineLevel="0" collapsed="false">
      <c r="E123" s="364"/>
    </row>
    <row r="124" customFormat="false" ht="15" hidden="false" customHeight="false" outlineLevel="0" collapsed="false">
      <c r="E124" s="364"/>
    </row>
    <row r="125" customFormat="false" ht="15" hidden="false" customHeight="false" outlineLevel="0" collapsed="false">
      <c r="E125" s="36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A2:W165"/>
  <sheetViews>
    <sheetView showFormulas="false" showGridLines="true" showRowColHeaders="true" showZeros="true" rightToLeft="false" tabSelected="false" showOutlineSymbols="true" defaultGridColor="true" view="normal" topLeftCell="A85" colorId="64" zoomScale="70" zoomScaleNormal="70" zoomScalePageLayoutView="100" workbookViewId="0">
      <selection pane="topLeft" activeCell="A145" activeCellId="0" sqref="A145"/>
    </sheetView>
  </sheetViews>
  <sheetFormatPr defaultColWidth="9.1484375" defaultRowHeight="12.75" zeroHeight="false" outlineLevelRow="0" outlineLevelCol="0"/>
  <cols>
    <col collapsed="false" customWidth="true" hidden="false" outlineLevel="0" max="1" min="1" style="365" width="26.42"/>
    <col collapsed="false" customWidth="true" hidden="false" outlineLevel="0" max="2" min="2" style="1" width="9.29"/>
    <col collapsed="false" customWidth="true" hidden="false" outlineLevel="0" max="3" min="3" style="1" width="13.71"/>
    <col collapsed="false" customWidth="true" hidden="false" outlineLevel="0" max="4" min="4" style="1" width="10.14"/>
    <col collapsed="false" customWidth="true" hidden="false" outlineLevel="0" max="5" min="5" style="1" width="8.42"/>
    <col collapsed="false" customWidth="true" hidden="false" outlineLevel="0" max="6" min="6" style="1" width="8.71"/>
    <col collapsed="false" customWidth="true" hidden="false" outlineLevel="0" max="7" min="7" style="1" width="9.29"/>
    <col collapsed="false" customWidth="true" hidden="false" outlineLevel="0" max="8" min="8" style="1" width="8.57"/>
    <col collapsed="false" customWidth="true" hidden="false" outlineLevel="0" max="9" min="9" style="1" width="9.57"/>
    <col collapsed="false" customWidth="true" hidden="false" outlineLevel="0" max="10" min="10" style="1" width="8.42"/>
    <col collapsed="false" customWidth="true" hidden="false" outlineLevel="0" max="11" min="11" style="1" width="4.71"/>
    <col collapsed="false" customWidth="true" hidden="false" outlineLevel="0" max="12" min="12" style="1" width="18.29"/>
    <col collapsed="false" customWidth="true" hidden="false" outlineLevel="0" max="13" min="13" style="1" width="21.29"/>
    <col collapsed="false" customWidth="true" hidden="false" outlineLevel="0" max="14" min="14" style="1" width="16.85"/>
    <col collapsed="false" customWidth="true" hidden="false" outlineLevel="0" max="15" min="15" style="1" width="7.57"/>
    <col collapsed="false" customWidth="true" hidden="false" outlineLevel="0" max="16" min="16" style="1" width="11.29"/>
    <col collapsed="false" customWidth="true" hidden="false" outlineLevel="0" max="17" min="17" style="1" width="4.71"/>
    <col collapsed="false" customWidth="true" hidden="false" outlineLevel="0" max="18" min="18" style="1" width="5.14"/>
    <col collapsed="false" customWidth="true" hidden="false" outlineLevel="0" max="19" min="19" style="1" width="9.29"/>
    <col collapsed="false" customWidth="false" hidden="false" outlineLevel="0" max="16384" min="20" style="1" width="9.14"/>
  </cols>
  <sheetData>
    <row r="2" customFormat="false" ht="12.75" hidden="false" customHeight="false" outlineLevel="0" collapsed="false">
      <c r="A2" s="366" t="s">
        <v>819</v>
      </c>
    </row>
    <row r="3" customFormat="false" ht="12.75" hidden="false" customHeight="false" outlineLevel="0" collapsed="false">
      <c r="A3" s="365" t="s">
        <v>820</v>
      </c>
    </row>
    <row r="4" customFormat="false" ht="12.75" hidden="false" customHeight="false" outlineLevel="0" collapsed="false">
      <c r="A4" s="365" t="s">
        <v>821</v>
      </c>
      <c r="B4" s="1" t="n">
        <v>45</v>
      </c>
      <c r="C4" s="1" t="s">
        <v>87</v>
      </c>
    </row>
    <row r="5" customFormat="false" ht="12.75" hidden="false" customHeight="false" outlineLevel="0" collapsed="false">
      <c r="A5" s="365" t="s">
        <v>822</v>
      </c>
      <c r="B5" s="1" t="n">
        <v>80</v>
      </c>
      <c r="C5" s="1" t="s">
        <v>175</v>
      </c>
    </row>
    <row r="6" customFormat="false" ht="12.75" hidden="false" customHeight="false" outlineLevel="0" collapsed="false">
      <c r="A6" s="365" t="s">
        <v>823</v>
      </c>
      <c r="B6" s="1" t="n">
        <v>50</v>
      </c>
      <c r="C6" s="1" t="s">
        <v>176</v>
      </c>
    </row>
    <row r="7" customFormat="false" ht="12.75" hidden="false" customHeight="false" outlineLevel="0" collapsed="false">
      <c r="A7" s="365" t="s">
        <v>824</v>
      </c>
      <c r="B7" s="1" t="n">
        <v>60</v>
      </c>
      <c r="C7" s="1" t="s">
        <v>178</v>
      </c>
    </row>
    <row r="8" customFormat="false" ht="12.75" hidden="false" customHeight="false" outlineLevel="0" collapsed="false">
      <c r="A8" s="365" t="s">
        <v>825</v>
      </c>
      <c r="B8" s="1" t="n">
        <v>15</v>
      </c>
      <c r="C8" s="1" t="s">
        <v>179</v>
      </c>
    </row>
    <row r="9" customFormat="false" ht="12.75" hidden="false" customHeight="false" outlineLevel="0" collapsed="false">
      <c r="A9" s="365" t="s">
        <v>826</v>
      </c>
      <c r="B9" s="1" t="n">
        <v>25</v>
      </c>
      <c r="C9" s="1" t="s">
        <v>177</v>
      </c>
    </row>
    <row r="10" customFormat="false" ht="12.75" hidden="false" customHeight="false" outlineLevel="0" collapsed="false">
      <c r="A10" s="365" t="s">
        <v>827</v>
      </c>
      <c r="B10" s="1" t="n">
        <v>0.05</v>
      </c>
      <c r="C10" s="1" t="s">
        <v>180</v>
      </c>
      <c r="D10" s="1" t="n">
        <v>40</v>
      </c>
      <c r="E10" s="1" t="s">
        <v>175</v>
      </c>
    </row>
    <row r="11" customFormat="false" ht="12.75" hidden="false" customHeight="false" outlineLevel="0" collapsed="false">
      <c r="A11" s="365" t="s">
        <v>828</v>
      </c>
      <c r="B11" s="1" t="n">
        <v>25</v>
      </c>
      <c r="C11" s="1" t="s">
        <v>176</v>
      </c>
    </row>
    <row r="12" customFormat="false" ht="12.75" hidden="false" customHeight="false" outlineLevel="0" collapsed="false">
      <c r="A12" s="365" t="s">
        <v>254</v>
      </c>
      <c r="B12" s="288" t="n">
        <v>1.75</v>
      </c>
      <c r="C12" s="1" t="s">
        <v>829</v>
      </c>
      <c r="D12" s="149" t="n">
        <v>0.35</v>
      </c>
      <c r="E12" s="1" t="s">
        <v>830</v>
      </c>
    </row>
    <row r="13" customFormat="false" ht="12.75" hidden="false" customHeight="false" outlineLevel="0" collapsed="false">
      <c r="A13" s="365" t="s">
        <v>252</v>
      </c>
      <c r="B13" s="288" t="n">
        <v>1.75</v>
      </c>
      <c r="C13" s="1" t="s">
        <v>831</v>
      </c>
      <c r="D13" s="149" t="n">
        <v>0.35</v>
      </c>
      <c r="E13" s="1" t="s">
        <v>830</v>
      </c>
    </row>
    <row r="14" customFormat="false" ht="12.75" hidden="false" customHeight="false" outlineLevel="0" collapsed="false">
      <c r="A14" s="365" t="s">
        <v>832</v>
      </c>
      <c r="B14" s="1" t="n">
        <v>0</v>
      </c>
      <c r="C14" s="1" t="s">
        <v>833</v>
      </c>
      <c r="D14" s="367"/>
      <c r="F14" s="149"/>
    </row>
    <row r="15" customFormat="false" ht="12.75" hidden="false" customHeight="false" outlineLevel="0" collapsed="false">
      <c r="B15" s="1" t="n">
        <v>3.5</v>
      </c>
      <c r="C15" s="1" t="s">
        <v>834</v>
      </c>
      <c r="D15" s="368" t="n">
        <v>0.35</v>
      </c>
      <c r="E15" s="1" t="s">
        <v>830</v>
      </c>
      <c r="F15" s="149"/>
    </row>
    <row r="16" customFormat="false" ht="12.75" hidden="false" customHeight="false" outlineLevel="0" collapsed="false">
      <c r="A16" s="365" t="s">
        <v>835</v>
      </c>
      <c r="B16" s="1" t="n">
        <v>0</v>
      </c>
      <c r="C16" s="1" t="s">
        <v>836</v>
      </c>
      <c r="D16" s="368" t="n">
        <v>0</v>
      </c>
      <c r="E16" s="1" t="s">
        <v>830</v>
      </c>
      <c r="F16" s="149"/>
    </row>
    <row r="17" customFormat="false" ht="12.75" hidden="false" customHeight="false" outlineLevel="0" collapsed="false">
      <c r="B17" s="1" t="n">
        <v>3.5</v>
      </c>
      <c r="C17" s="1" t="s">
        <v>837</v>
      </c>
      <c r="D17" s="368" t="n">
        <v>0.35</v>
      </c>
      <c r="E17" s="1" t="s">
        <v>830</v>
      </c>
      <c r="F17" s="149"/>
    </row>
    <row r="18" customFormat="false" ht="12.75" hidden="false" customHeight="false" outlineLevel="0" collapsed="false">
      <c r="B18" s="1" t="n">
        <v>15</v>
      </c>
      <c r="C18" s="1" t="s">
        <v>177</v>
      </c>
      <c r="D18" s="368"/>
      <c r="F18" s="149"/>
    </row>
    <row r="19" customFormat="false" ht="12.75" hidden="false" customHeight="false" outlineLevel="0" collapsed="false">
      <c r="A19" s="365" t="s">
        <v>345</v>
      </c>
      <c r="B19" s="1" t="n">
        <v>2</v>
      </c>
      <c r="C19" s="1" t="s">
        <v>838</v>
      </c>
      <c r="D19" s="149" t="n">
        <v>0.36</v>
      </c>
      <c r="E19" s="1" t="s">
        <v>830</v>
      </c>
    </row>
    <row r="20" customFormat="false" ht="12.75" hidden="false" customHeight="false" outlineLevel="0" collapsed="false">
      <c r="A20" s="365" t="s">
        <v>839</v>
      </c>
      <c r="B20" s="1" t="n">
        <v>2.6</v>
      </c>
      <c r="C20" s="1" t="s">
        <v>840</v>
      </c>
    </row>
    <row r="21" customFormat="false" ht="12.75" hidden="false" customHeight="false" outlineLevel="0" collapsed="false">
      <c r="A21" s="365" t="s">
        <v>841</v>
      </c>
      <c r="B21" s="369" t="n">
        <v>5</v>
      </c>
      <c r="C21" s="1" t="s">
        <v>842</v>
      </c>
      <c r="D21" s="149" t="n">
        <v>0.5</v>
      </c>
      <c r="E21" s="1" t="s">
        <v>830</v>
      </c>
    </row>
    <row r="22" customFormat="false" ht="12.75" hidden="false" customHeight="false" outlineLevel="0" collapsed="false">
      <c r="B22" s="369" t="n">
        <v>5</v>
      </c>
      <c r="C22" s="1" t="s">
        <v>843</v>
      </c>
      <c r="D22" s="149" t="n">
        <v>0.5</v>
      </c>
      <c r="E22" s="1" t="s">
        <v>830</v>
      </c>
    </row>
    <row r="23" customFormat="false" ht="12.75" hidden="false" customHeight="false" outlineLevel="0" collapsed="false">
      <c r="A23" s="365" t="s">
        <v>844</v>
      </c>
      <c r="B23" s="369"/>
      <c r="C23" s="1" t="s">
        <v>845</v>
      </c>
      <c r="D23" s="149" t="n">
        <v>0.5</v>
      </c>
      <c r="E23" s="1" t="s">
        <v>830</v>
      </c>
    </row>
    <row r="24" customFormat="false" ht="12.75" hidden="false" customHeight="false" outlineLevel="0" collapsed="false">
      <c r="A24" s="366" t="s">
        <v>846</v>
      </c>
    </row>
    <row r="25" customFormat="false" ht="12.75" hidden="false" customHeight="false" outlineLevel="0" collapsed="false">
      <c r="A25" s="370" t="s">
        <v>244</v>
      </c>
      <c r="B25" s="370" t="s">
        <v>245</v>
      </c>
      <c r="C25" s="370" t="s">
        <v>246</v>
      </c>
      <c r="D25" s="370" t="s">
        <v>247</v>
      </c>
      <c r="E25" s="370" t="s">
        <v>248</v>
      </c>
      <c r="F25" s="371" t="s">
        <v>249</v>
      </c>
      <c r="G25" s="371" t="s">
        <v>250</v>
      </c>
      <c r="H25" s="372" t="s">
        <v>251</v>
      </c>
      <c r="I25" s="372" t="s">
        <v>252</v>
      </c>
      <c r="J25" s="373" t="s">
        <v>253</v>
      </c>
      <c r="K25" s="373" t="s">
        <v>254</v>
      </c>
      <c r="L25" s="373" t="s">
        <v>255</v>
      </c>
      <c r="M25" s="374" t="s">
        <v>256</v>
      </c>
      <c r="N25" s="375" t="s">
        <v>257</v>
      </c>
      <c r="O25" s="375" t="s">
        <v>258</v>
      </c>
      <c r="P25" s="375" t="s">
        <v>847</v>
      </c>
      <c r="Q25" s="376" t="s">
        <v>260</v>
      </c>
      <c r="R25" s="376" t="s">
        <v>261</v>
      </c>
      <c r="S25" s="377" t="s">
        <v>262</v>
      </c>
    </row>
    <row r="26" customFormat="false" ht="12.75" hidden="false" customHeight="false" outlineLevel="0" collapsed="false">
      <c r="A26" s="365" t="n">
        <v>10</v>
      </c>
      <c r="B26" s="1" t="n">
        <v>30</v>
      </c>
      <c r="C26" s="1" t="n">
        <v>30</v>
      </c>
      <c r="D26" s="1" t="n">
        <v>0</v>
      </c>
      <c r="E26" s="1" t="n">
        <v>0</v>
      </c>
      <c r="F26" s="1" t="n">
        <v>20</v>
      </c>
      <c r="G26" s="1" t="n">
        <v>0</v>
      </c>
      <c r="H26" s="1" t="n">
        <v>0</v>
      </c>
      <c r="I26" s="1" t="n">
        <v>0</v>
      </c>
      <c r="J26" s="1" t="n">
        <v>0</v>
      </c>
      <c r="K26" s="1" t="n">
        <v>0</v>
      </c>
      <c r="L26" s="1" t="n">
        <v>0</v>
      </c>
      <c r="M26" s="1" t="n">
        <v>0</v>
      </c>
      <c r="N26" s="1" t="n">
        <v>0</v>
      </c>
      <c r="O26" s="1" t="n">
        <v>0</v>
      </c>
      <c r="P26" s="1" t="n">
        <v>0</v>
      </c>
      <c r="Q26" s="1" t="n">
        <v>0</v>
      </c>
      <c r="R26" s="1" t="n">
        <v>0</v>
      </c>
      <c r="S26" s="1" t="n">
        <v>0</v>
      </c>
    </row>
    <row r="28" customFormat="false" ht="12.75" hidden="false" customHeight="false" outlineLevel="0" collapsed="false">
      <c r="A28" s="366" t="s">
        <v>848</v>
      </c>
    </row>
    <row r="29" customFormat="false" ht="12.75" hidden="false" customHeight="false" outlineLevel="0" collapsed="false">
      <c r="A29" s="378" t="s">
        <v>338</v>
      </c>
      <c r="B29" s="371" t="s">
        <v>237</v>
      </c>
      <c r="C29" s="372" t="s">
        <v>374</v>
      </c>
      <c r="D29" s="374" t="s">
        <v>340</v>
      </c>
      <c r="E29" s="375" t="s">
        <v>240</v>
      </c>
      <c r="F29" s="376" t="s">
        <v>341</v>
      </c>
      <c r="G29" s="377" t="s">
        <v>242</v>
      </c>
    </row>
    <row r="30" s="31" customFormat="true" ht="12.75" hidden="false" customHeight="false" outlineLevel="0" collapsed="false">
      <c r="A30" s="365" t="n">
        <v>40</v>
      </c>
      <c r="B30" s="1" t="n">
        <v>20</v>
      </c>
      <c r="C30" s="1" t="n">
        <v>20</v>
      </c>
      <c r="D30" s="1" t="n">
        <v>20</v>
      </c>
      <c r="E30" s="1" t="n">
        <v>20</v>
      </c>
      <c r="F30" s="1" t="n">
        <v>20</v>
      </c>
      <c r="G30" s="1" t="n">
        <v>20</v>
      </c>
      <c r="H30" s="1"/>
      <c r="I30" s="1"/>
      <c r="J30" s="1"/>
      <c r="K30" s="1"/>
      <c r="L30" s="1"/>
      <c r="M30" s="1"/>
      <c r="N30" s="1"/>
      <c r="O30" s="1"/>
      <c r="P30" s="1"/>
      <c r="Q30" s="1"/>
      <c r="R30" s="1"/>
      <c r="S30" s="1"/>
    </row>
    <row r="32" customFormat="false" ht="12.75" hidden="false" customHeight="false" outlineLevel="0" collapsed="false">
      <c r="A32" s="366" t="s">
        <v>849</v>
      </c>
      <c r="B32" s="31"/>
      <c r="C32" s="31"/>
      <c r="D32" s="31" t="s">
        <v>850</v>
      </c>
      <c r="E32" s="31"/>
      <c r="F32" s="31"/>
      <c r="G32" s="31"/>
      <c r="H32" s="31"/>
      <c r="I32" s="31"/>
      <c r="J32" s="31"/>
      <c r="K32" s="31"/>
      <c r="L32" s="31" t="s">
        <v>851</v>
      </c>
      <c r="M32" s="31"/>
      <c r="N32" s="31"/>
      <c r="O32" s="31"/>
      <c r="P32" s="31"/>
      <c r="Q32" s="31"/>
      <c r="R32" s="31"/>
      <c r="S32" s="31"/>
    </row>
    <row r="33" customFormat="false" ht="12.75" hidden="false" customHeight="false" outlineLevel="0" collapsed="false">
      <c r="A33" s="365" t="s">
        <v>81</v>
      </c>
      <c r="B33" s="1" t="n">
        <f aca="false">HLOOKUP(1,E33:J37,2)</f>
        <v>1300</v>
      </c>
      <c r="D33" s="1" t="s">
        <v>852</v>
      </c>
      <c r="E33" s="1" t="n">
        <v>1</v>
      </c>
      <c r="F33" s="1" t="n">
        <v>2</v>
      </c>
      <c r="G33" s="1" t="n">
        <v>3</v>
      </c>
      <c r="H33" s="1" t="n">
        <v>4</v>
      </c>
      <c r="I33" s="1" t="n">
        <v>5</v>
      </c>
      <c r="J33" s="1" t="n">
        <v>6</v>
      </c>
      <c r="L33" s="1" t="s">
        <v>853</v>
      </c>
      <c r="M33" s="149" t="n">
        <v>0.1</v>
      </c>
      <c r="N33" s="1" t="s">
        <v>854</v>
      </c>
    </row>
    <row r="34" customFormat="false" ht="12.75" hidden="false" customHeight="false" outlineLevel="0" collapsed="false">
      <c r="A34" s="365" t="s">
        <v>65</v>
      </c>
      <c r="B34" s="1" t="n">
        <v>100</v>
      </c>
      <c r="D34" s="1" t="s">
        <v>81</v>
      </c>
      <c r="E34" s="69" t="n">
        <v>1300</v>
      </c>
      <c r="F34" s="69" t="n">
        <v>1390</v>
      </c>
      <c r="G34" s="69" t="n">
        <v>1480</v>
      </c>
      <c r="H34" s="69" t="n">
        <v>1570</v>
      </c>
      <c r="I34" s="69" t="n">
        <v>1660</v>
      </c>
      <c r="J34" s="69" t="n">
        <v>1750</v>
      </c>
      <c r="K34" s="69"/>
      <c r="M34" s="149" t="n">
        <v>0.05</v>
      </c>
      <c r="N34" s="1" t="s">
        <v>855</v>
      </c>
    </row>
    <row r="35" customFormat="false" ht="12.75" hidden="false" customHeight="false" outlineLevel="0" collapsed="false">
      <c r="A35" s="365" t="str">
        <f aca="false">Overview!$A22</f>
        <v>Fire Spirit</v>
      </c>
      <c r="B35" s="1" t="n">
        <v>0</v>
      </c>
      <c r="D35" s="1" t="s">
        <v>34</v>
      </c>
      <c r="E35" s="69" t="n">
        <v>100000</v>
      </c>
      <c r="F35" s="69" t="n">
        <v>110000</v>
      </c>
      <c r="G35" s="69" t="n">
        <v>120000</v>
      </c>
      <c r="H35" s="69" t="n">
        <v>130000</v>
      </c>
      <c r="I35" s="69" t="n">
        <v>140000</v>
      </c>
      <c r="J35" s="69" t="n">
        <v>150000</v>
      </c>
      <c r="M35" s="149" t="n">
        <v>0.05</v>
      </c>
      <c r="N35" s="1" t="s">
        <v>856</v>
      </c>
    </row>
    <row r="36" customFormat="false" ht="12.75" hidden="false" customHeight="false" outlineLevel="0" collapsed="false">
      <c r="A36" s="365" t="str">
        <f aca="false">Overview!$A23</f>
        <v>Flamewolf</v>
      </c>
      <c r="B36" s="1" t="n">
        <v>150</v>
      </c>
      <c r="D36" s="1" t="s">
        <v>91</v>
      </c>
      <c r="E36" s="69" t="n">
        <v>15000</v>
      </c>
      <c r="F36" s="69" t="n">
        <v>16000</v>
      </c>
      <c r="G36" s="69" t="n">
        <v>17000</v>
      </c>
      <c r="H36" s="69" t="n">
        <v>18000</v>
      </c>
      <c r="I36" s="69" t="n">
        <v>19000</v>
      </c>
      <c r="J36" s="69" t="n">
        <v>20000</v>
      </c>
      <c r="L36" s="1" t="s">
        <v>336</v>
      </c>
      <c r="M36" s="149" t="n">
        <v>-0.05</v>
      </c>
      <c r="N36" s="1" t="s">
        <v>857</v>
      </c>
    </row>
    <row r="37" customFormat="false" ht="12.75" hidden="false" customHeight="false" outlineLevel="0" collapsed="false">
      <c r="A37" s="365" t="str">
        <f aca="false">Overview!$A24</f>
        <v>Phoenix</v>
      </c>
      <c r="B37" s="1" t="n">
        <v>0</v>
      </c>
      <c r="D37" s="1" t="s">
        <v>93</v>
      </c>
      <c r="E37" s="69" t="n">
        <v>15000</v>
      </c>
      <c r="F37" s="69" t="n">
        <v>15450</v>
      </c>
      <c r="G37" s="69" t="n">
        <v>15900</v>
      </c>
      <c r="H37" s="69" t="n">
        <v>16350</v>
      </c>
      <c r="I37" s="69" t="n">
        <v>16800</v>
      </c>
      <c r="J37" s="69" t="n">
        <v>17250</v>
      </c>
      <c r="M37" s="1" t="n">
        <v>-1</v>
      </c>
      <c r="N37" s="1" t="s">
        <v>858</v>
      </c>
    </row>
    <row r="38" customFormat="false" ht="12.75" hidden="false" customHeight="false" outlineLevel="0" collapsed="false">
      <c r="A38" s="365" t="str">
        <f aca="false">Overview!$A25</f>
        <v>Salamander</v>
      </c>
      <c r="B38" s="1" t="n">
        <v>0</v>
      </c>
      <c r="M38" s="149" t="n">
        <v>-0.1</v>
      </c>
      <c r="N38" s="1" t="s">
        <v>857</v>
      </c>
      <c r="O38" s="1" t="n">
        <v>-2</v>
      </c>
      <c r="P38" s="1" t="s">
        <v>858</v>
      </c>
    </row>
    <row r="39" customFormat="false" ht="12.75" hidden="false" customHeight="false" outlineLevel="0" collapsed="false">
      <c r="A39" s="365" t="s">
        <v>141</v>
      </c>
      <c r="B39" s="1" t="n">
        <v>25</v>
      </c>
      <c r="D39" s="1" t="s">
        <v>859</v>
      </c>
      <c r="E39" s="69" t="n">
        <v>1</v>
      </c>
      <c r="F39" s="1" t="n">
        <v>2</v>
      </c>
      <c r="G39" s="1" t="n">
        <v>3</v>
      </c>
      <c r="H39" s="1" t="n">
        <v>4</v>
      </c>
      <c r="I39" s="1" t="n">
        <v>5</v>
      </c>
      <c r="J39" s="1" t="n">
        <v>6</v>
      </c>
      <c r="L39" s="1" t="s">
        <v>92</v>
      </c>
      <c r="M39" s="149" t="n">
        <v>-0.1</v>
      </c>
      <c r="N39" s="1" t="s">
        <v>860</v>
      </c>
    </row>
    <row r="40" customFormat="false" ht="12.75" hidden="false" customHeight="false" outlineLevel="0" collapsed="false">
      <c r="A40" s="365" t="s">
        <v>395</v>
      </c>
      <c r="B40" s="1" t="n">
        <v>0</v>
      </c>
      <c r="D40" s="1" t="s">
        <v>81</v>
      </c>
      <c r="E40" s="1" t="n">
        <v>1200</v>
      </c>
      <c r="F40" s="1" t="n">
        <v>1325</v>
      </c>
      <c r="G40" s="1" t="n">
        <v>1450</v>
      </c>
      <c r="H40" s="1" t="n">
        <v>1575</v>
      </c>
      <c r="I40" s="1" t="n">
        <v>1700</v>
      </c>
      <c r="J40" s="1" t="n">
        <v>1825</v>
      </c>
      <c r="M40" s="149" t="n">
        <v>-0.1</v>
      </c>
      <c r="N40" s="1" t="s">
        <v>861</v>
      </c>
    </row>
    <row r="41" customFormat="false" ht="12.75" hidden="false" customHeight="false" outlineLevel="0" collapsed="false">
      <c r="A41" s="365" t="s">
        <v>142</v>
      </c>
      <c r="B41" s="1" t="n">
        <v>25</v>
      </c>
      <c r="D41" s="1" t="s">
        <v>34</v>
      </c>
      <c r="E41" s="1" t="n">
        <v>100000</v>
      </c>
      <c r="F41" s="1" t="n">
        <v>104750</v>
      </c>
      <c r="G41" s="1" t="n">
        <v>109500</v>
      </c>
      <c r="H41" s="1" t="n">
        <v>114250</v>
      </c>
      <c r="I41" s="1" t="n">
        <v>119000</v>
      </c>
      <c r="J41" s="1" t="n">
        <v>123750</v>
      </c>
      <c r="M41" s="149" t="n">
        <v>0.02</v>
      </c>
      <c r="N41" s="1" t="s">
        <v>862</v>
      </c>
    </row>
    <row r="42" customFormat="false" ht="12.75" hidden="false" customHeight="false" outlineLevel="0" collapsed="false">
      <c r="A42" s="365" t="s">
        <v>143</v>
      </c>
      <c r="B42" s="1" t="n">
        <v>0</v>
      </c>
      <c r="D42" s="1" t="s">
        <v>91</v>
      </c>
      <c r="E42" s="1" t="n">
        <v>15000</v>
      </c>
      <c r="F42" s="1" t="n">
        <v>16000</v>
      </c>
      <c r="G42" s="1" t="n">
        <v>17000</v>
      </c>
      <c r="H42" s="1" t="n">
        <v>18000</v>
      </c>
      <c r="I42" s="1" t="n">
        <v>19000</v>
      </c>
      <c r="J42" s="1" t="n">
        <v>20000</v>
      </c>
      <c r="L42" s="1" t="s">
        <v>53</v>
      </c>
      <c r="M42" s="149" t="n">
        <v>-0.1</v>
      </c>
      <c r="N42" s="1" t="s">
        <v>863</v>
      </c>
    </row>
    <row r="43" customFormat="false" ht="12.75" hidden="false" customHeight="false" outlineLevel="0" collapsed="false">
      <c r="D43" s="1" t="s">
        <v>93</v>
      </c>
      <c r="E43" s="1" t="n">
        <v>15000</v>
      </c>
      <c r="F43" s="1" t="n">
        <v>15450</v>
      </c>
      <c r="G43" s="1" t="n">
        <v>15900</v>
      </c>
      <c r="H43" s="1" t="n">
        <v>16350</v>
      </c>
      <c r="I43" s="1" t="n">
        <v>16800</v>
      </c>
      <c r="J43" s="1" t="n">
        <v>17250</v>
      </c>
      <c r="M43" s="149" t="n">
        <v>-0.1</v>
      </c>
      <c r="N43" s="1" t="s">
        <v>864</v>
      </c>
    </row>
    <row r="44" customFormat="false" ht="12.75" hidden="false" customHeight="false" outlineLevel="0" collapsed="false">
      <c r="A44" s="366" t="s">
        <v>865</v>
      </c>
      <c r="C44" s="69"/>
      <c r="M44" s="149" t="n">
        <v>0.05</v>
      </c>
      <c r="N44" s="1" t="s">
        <v>111</v>
      </c>
    </row>
    <row r="45" customFormat="false" ht="12.75" hidden="false" customHeight="false" outlineLevel="0" collapsed="false">
      <c r="A45" s="365" t="s">
        <v>34</v>
      </c>
      <c r="B45" s="69" t="n">
        <f aca="false">HLOOKUP(1,E33:J37,3)</f>
        <v>100000</v>
      </c>
      <c r="C45" s="69"/>
      <c r="D45" s="1" t="s">
        <v>866</v>
      </c>
      <c r="L45" s="1" t="s">
        <v>40</v>
      </c>
      <c r="M45" s="149" t="n">
        <v>-0.1</v>
      </c>
      <c r="N45" s="1" t="s">
        <v>867</v>
      </c>
    </row>
    <row r="46" customFormat="false" ht="12.75" hidden="false" customHeight="false" outlineLevel="0" collapsed="false">
      <c r="A46" s="365" t="s">
        <v>91</v>
      </c>
      <c r="B46" s="69" t="n">
        <f aca="false">HLOOKUP(1,E33:J37,4)</f>
        <v>15000</v>
      </c>
      <c r="C46" s="69"/>
      <c r="D46" s="1" t="s">
        <v>81</v>
      </c>
      <c r="E46" s="1" t="n">
        <v>100</v>
      </c>
      <c r="M46" s="149" t="n">
        <v>-0.2</v>
      </c>
      <c r="N46" s="1" t="s">
        <v>868</v>
      </c>
    </row>
    <row r="47" customFormat="false" ht="12.75" hidden="false" customHeight="false" outlineLevel="0" collapsed="false">
      <c r="A47" s="365" t="s">
        <v>869</v>
      </c>
      <c r="B47" s="69" t="n">
        <f aca="false">HLOOKUP(1,E33:J37,5)</f>
        <v>15000</v>
      </c>
      <c r="C47" s="69"/>
      <c r="D47" s="1" t="s">
        <v>34</v>
      </c>
      <c r="E47" s="1" t="n">
        <v>5000</v>
      </c>
      <c r="M47" s="1" t="n">
        <v>1</v>
      </c>
      <c r="N47" s="1" t="s">
        <v>870</v>
      </c>
    </row>
    <row r="48" customFormat="false" ht="12.75" hidden="false" customHeight="false" outlineLevel="0" collapsed="false">
      <c r="A48" s="365" t="s">
        <v>95</v>
      </c>
      <c r="B48" s="69" t="n">
        <v>0</v>
      </c>
      <c r="C48" s="69"/>
      <c r="D48" s="1" t="s">
        <v>91</v>
      </c>
      <c r="E48" s="1" t="n">
        <v>1500</v>
      </c>
      <c r="L48" s="1" t="s">
        <v>44</v>
      </c>
      <c r="M48" s="149" t="n">
        <v>-0.1</v>
      </c>
      <c r="N48" s="1" t="s">
        <v>871</v>
      </c>
    </row>
    <row r="49" customFormat="false" ht="12.75" hidden="false" customHeight="false" outlineLevel="0" collapsed="false">
      <c r="A49" s="365" t="s">
        <v>35</v>
      </c>
      <c r="B49" s="69" t="n">
        <v>0</v>
      </c>
      <c r="C49" s="69"/>
      <c r="D49" s="1" t="s">
        <v>93</v>
      </c>
      <c r="E49" s="1" t="n">
        <v>2500</v>
      </c>
      <c r="M49" s="149" t="n">
        <v>-0.2</v>
      </c>
      <c r="N49" s="1" t="s">
        <v>872</v>
      </c>
    </row>
    <row r="50" customFormat="false" ht="12.75" hidden="false" customHeight="false" outlineLevel="0" collapsed="false">
      <c r="A50" s="365" t="s">
        <v>97</v>
      </c>
      <c r="B50" s="69" t="n">
        <v>10000</v>
      </c>
      <c r="C50" s="69"/>
      <c r="D50" s="1" t="s">
        <v>35</v>
      </c>
      <c r="E50" s="1" t="n">
        <v>2500</v>
      </c>
      <c r="M50" s="1" t="n">
        <v>1</v>
      </c>
      <c r="N50" s="1" t="s">
        <v>873</v>
      </c>
    </row>
    <row r="51" customFormat="false" ht="12.75" hidden="false" customHeight="false" outlineLevel="0" collapsed="false">
      <c r="A51" s="365" t="s">
        <v>99</v>
      </c>
      <c r="B51" s="69" t="n">
        <v>0</v>
      </c>
      <c r="D51" s="1" t="s">
        <v>95</v>
      </c>
      <c r="E51" s="1" t="n">
        <v>1000</v>
      </c>
      <c r="L51" s="1" t="s">
        <v>874</v>
      </c>
      <c r="M51" s="149" t="n">
        <v>-0.1</v>
      </c>
      <c r="N51" s="1" t="s">
        <v>875</v>
      </c>
    </row>
    <row r="52" customFormat="false" ht="12.75" hidden="false" customHeight="false" outlineLevel="0" collapsed="false">
      <c r="D52" s="1" t="s">
        <v>876</v>
      </c>
      <c r="E52" s="1" t="n">
        <v>30</v>
      </c>
      <c r="L52" s="1" t="s">
        <v>877</v>
      </c>
      <c r="M52" s="149" t="n">
        <v>0.2</v>
      </c>
      <c r="N52" s="1" t="s">
        <v>878</v>
      </c>
      <c r="O52" s="149" t="n">
        <v>0.1</v>
      </c>
      <c r="P52" s="1" t="s">
        <v>855</v>
      </c>
    </row>
    <row r="53" customFormat="false" ht="12.75" hidden="false" customHeight="false" outlineLevel="0" collapsed="false">
      <c r="A53" s="366" t="s">
        <v>879</v>
      </c>
      <c r="D53" s="1" t="s">
        <v>880</v>
      </c>
      <c r="E53" s="1" t="n">
        <v>30</v>
      </c>
      <c r="L53" s="1" t="s">
        <v>881</v>
      </c>
      <c r="M53" s="150" t="n">
        <v>0.06</v>
      </c>
      <c r="N53" s="1" t="s">
        <v>862</v>
      </c>
    </row>
    <row r="54" customFormat="false" ht="12.75" hidden="false" customHeight="false" outlineLevel="0" collapsed="false">
      <c r="A54" s="365" t="s">
        <v>81</v>
      </c>
      <c r="B54" s="109" t="n">
        <v>0.03</v>
      </c>
      <c r="L54" s="1" t="s">
        <v>882</v>
      </c>
      <c r="M54" s="106" t="n">
        <v>0.125</v>
      </c>
      <c r="N54" s="1" t="s">
        <v>856</v>
      </c>
    </row>
    <row r="55" customFormat="false" ht="12.75" hidden="false" customHeight="false" outlineLevel="0" collapsed="false">
      <c r="A55" s="365" t="s">
        <v>65</v>
      </c>
      <c r="B55" s="109" t="n">
        <v>0.01</v>
      </c>
      <c r="L55" s="1" t="s">
        <v>883</v>
      </c>
      <c r="M55" s="149" t="n">
        <v>-0.3</v>
      </c>
      <c r="N55" s="1" t="s">
        <v>884</v>
      </c>
    </row>
    <row r="56" customFormat="false" ht="12.75" hidden="false" customHeight="false" outlineLevel="0" collapsed="false">
      <c r="A56" s="365" t="s">
        <v>195</v>
      </c>
      <c r="B56" s="109" t="n">
        <v>0.01</v>
      </c>
      <c r="L56" s="1" t="s">
        <v>885</v>
      </c>
      <c r="M56" s="149" t="n">
        <v>-0.2</v>
      </c>
      <c r="N56" s="1" t="s">
        <v>857</v>
      </c>
      <c r="O56" s="149" t="n">
        <v>0.15</v>
      </c>
      <c r="P56" s="1" t="s">
        <v>886</v>
      </c>
    </row>
    <row r="57" customFormat="false" ht="12.75" hidden="false" customHeight="false" outlineLevel="0" collapsed="false">
      <c r="A57" s="365" t="s">
        <v>197</v>
      </c>
      <c r="B57" s="109" t="n">
        <v>0.01</v>
      </c>
      <c r="L57" s="1" t="s">
        <v>887</v>
      </c>
      <c r="M57" s="149" t="n">
        <v>-0.25</v>
      </c>
      <c r="N57" s="1" t="s">
        <v>888</v>
      </c>
    </row>
    <row r="58" customFormat="false" ht="12.75" hidden="false" customHeight="false" outlineLevel="0" collapsed="false">
      <c r="A58" s="365" t="s">
        <v>198</v>
      </c>
      <c r="B58" s="109" t="n">
        <v>0.02</v>
      </c>
      <c r="L58" s="1" t="s">
        <v>889</v>
      </c>
      <c r="M58" s="149" t="n">
        <v>0.1</v>
      </c>
      <c r="N58" s="1" t="s">
        <v>111</v>
      </c>
      <c r="O58" s="149" t="n">
        <v>0.15</v>
      </c>
      <c r="P58" s="1" t="s">
        <v>890</v>
      </c>
    </row>
    <row r="59" customFormat="false" ht="12.75" hidden="false" customHeight="false" outlineLevel="0" collapsed="false">
      <c r="L59" s="1" t="s">
        <v>674</v>
      </c>
      <c r="M59" s="1" t="n">
        <v>3</v>
      </c>
      <c r="N59" s="1" t="s">
        <v>891</v>
      </c>
    </row>
    <row r="60" customFormat="false" ht="12.75" hidden="false" customHeight="false" outlineLevel="0" collapsed="false">
      <c r="A60" s="365" t="s">
        <v>892</v>
      </c>
      <c r="B60" s="1" t="n">
        <v>0.25</v>
      </c>
      <c r="C60" s="1" t="s">
        <v>893</v>
      </c>
      <c r="U60" s="150"/>
    </row>
    <row r="61" customFormat="false" ht="12.75" hidden="false" customHeight="false" outlineLevel="0" collapsed="false">
      <c r="A61" s="365" t="s">
        <v>894</v>
      </c>
      <c r="B61" s="1" t="n">
        <v>2.7</v>
      </c>
      <c r="C61" s="1" t="s">
        <v>895</v>
      </c>
      <c r="T61" s="94"/>
      <c r="U61" s="150"/>
    </row>
    <row r="62" customFormat="false" ht="12.75" hidden="false" customHeight="false" outlineLevel="0" collapsed="false">
      <c r="L62" s="1" t="s">
        <v>337</v>
      </c>
      <c r="M62" s="1" t="n">
        <v>6.4</v>
      </c>
      <c r="N62" s="1" t="s">
        <v>896</v>
      </c>
      <c r="U62" s="150"/>
    </row>
    <row r="63" customFormat="false" ht="12.75" hidden="false" customHeight="false" outlineLevel="0" collapsed="false">
      <c r="A63" s="366" t="s">
        <v>897</v>
      </c>
    </row>
    <row r="64" customFormat="false" ht="12.75" hidden="false" customHeight="false" outlineLevel="0" collapsed="false">
      <c r="A64" s="365" t="s">
        <v>898</v>
      </c>
      <c r="B64" s="1" t="n">
        <v>36</v>
      </c>
      <c r="C64" s="1" t="s">
        <v>899</v>
      </c>
      <c r="D64" s="1" t="s">
        <v>900</v>
      </c>
      <c r="L64" s="1" t="s">
        <v>901</v>
      </c>
      <c r="M64" s="1" t="n">
        <v>3780</v>
      </c>
      <c r="U64" s="149"/>
    </row>
    <row r="65" customFormat="false" ht="12.75" hidden="false" customHeight="false" outlineLevel="0" collapsed="false">
      <c r="A65" s="365" t="s">
        <v>902</v>
      </c>
      <c r="B65" s="1" t="n">
        <v>30</v>
      </c>
      <c r="C65" s="1" t="s">
        <v>903</v>
      </c>
    </row>
    <row r="66" customFormat="false" ht="12.75" hidden="false" customHeight="false" outlineLevel="0" collapsed="false">
      <c r="A66" s="365" t="s">
        <v>904</v>
      </c>
      <c r="B66" s="1" t="n">
        <v>15</v>
      </c>
      <c r="C66" s="1" t="s">
        <v>903</v>
      </c>
      <c r="L66" s="31" t="s">
        <v>905</v>
      </c>
      <c r="U66" s="149"/>
    </row>
    <row r="67" customFormat="false" ht="12.75" hidden="false" customHeight="false" outlineLevel="0" collapsed="false">
      <c r="A67" s="365" t="s">
        <v>906</v>
      </c>
      <c r="B67" s="1" t="n">
        <v>15</v>
      </c>
      <c r="C67" s="1" t="s">
        <v>903</v>
      </c>
      <c r="L67" s="94" t="s">
        <v>524</v>
      </c>
      <c r="M67" s="379" t="n">
        <v>0.025</v>
      </c>
      <c r="N67" s="1" t="s">
        <v>907</v>
      </c>
      <c r="S67" s="1" t="s">
        <v>591</v>
      </c>
      <c r="U67" s="149"/>
    </row>
    <row r="68" customFormat="false" ht="12.75" hidden="false" customHeight="false" outlineLevel="0" collapsed="false">
      <c r="A68" s="365" t="s">
        <v>908</v>
      </c>
      <c r="B68" s="1" t="n">
        <v>15</v>
      </c>
      <c r="C68" s="1" t="str">
        <f aca="false">C65</f>
        <v>peasants</v>
      </c>
      <c r="L68" s="94" t="s">
        <v>525</v>
      </c>
      <c r="M68" s="379" t="n">
        <v>0.05</v>
      </c>
      <c r="N68" s="1" t="s">
        <v>909</v>
      </c>
      <c r="S68" s="1" t="s">
        <v>593</v>
      </c>
    </row>
    <row r="69" customFormat="false" ht="12.75" hidden="false" customHeight="false" outlineLevel="0" collapsed="false">
      <c r="A69" s="365" t="s">
        <v>910</v>
      </c>
      <c r="B69" s="1" t="n">
        <f aca="false">IF(OR(Overview!$B$14="Halfling",Overview!$B$14="Dwarf",Overview!$B$14="Gnome"),10,IF(race="Nomad",25,5))</f>
        <v>5</v>
      </c>
      <c r="L69" s="1" t="s">
        <v>526</v>
      </c>
      <c r="M69" s="380" t="n">
        <v>0.05</v>
      </c>
      <c r="N69" s="1" t="s">
        <v>911</v>
      </c>
      <c r="S69" s="1" t="s">
        <v>595</v>
      </c>
    </row>
    <row r="70" customFormat="false" ht="12.75" hidden="false" customHeight="false" outlineLevel="0" collapsed="false">
      <c r="L70" s="1" t="s">
        <v>527</v>
      </c>
      <c r="M70" s="379" t="n">
        <v>0.075</v>
      </c>
      <c r="N70" s="1" t="s">
        <v>907</v>
      </c>
      <c r="S70" s="1" t="s">
        <v>597</v>
      </c>
      <c r="T70" s="94"/>
      <c r="U70" s="150"/>
    </row>
    <row r="71" customFormat="false" ht="12.75" hidden="false" customHeight="false" outlineLevel="0" collapsed="false">
      <c r="A71" s="381" t="s">
        <v>912</v>
      </c>
      <c r="L71" s="1" t="s">
        <v>528</v>
      </c>
      <c r="M71" s="379" t="n">
        <v>0.02</v>
      </c>
      <c r="N71" s="1" t="s">
        <v>913</v>
      </c>
      <c r="S71" s="1" t="s">
        <v>599</v>
      </c>
      <c r="U71" s="150"/>
    </row>
    <row r="72" customFormat="false" ht="12.75" hidden="false" customHeight="false" outlineLevel="0" collapsed="false">
      <c r="A72" s="365" t="str">
        <f aca="false">CONCATENATE("Your race is ",Overview!B14)</f>
        <v>Your race is Firewalker</v>
      </c>
      <c r="L72" s="1" t="s">
        <v>529</v>
      </c>
      <c r="M72" s="380" t="n">
        <v>0.05</v>
      </c>
      <c r="N72" s="1" t="s">
        <v>914</v>
      </c>
      <c r="S72" s="94" t="s">
        <v>601</v>
      </c>
      <c r="T72" s="94"/>
      <c r="U72" s="149"/>
    </row>
    <row r="73" customFormat="false" ht="12.75" hidden="false" customHeight="false" outlineLevel="0" collapsed="false">
      <c r="L73" s="1" t="s">
        <v>530</v>
      </c>
      <c r="M73" s="380" t="n">
        <v>0.1</v>
      </c>
      <c r="N73" s="1" t="s">
        <v>915</v>
      </c>
      <c r="S73" s="94" t="s">
        <v>603</v>
      </c>
      <c r="T73" s="94"/>
      <c r="U73" s="149"/>
    </row>
    <row r="74" customFormat="false" ht="12.75" hidden="false" customHeight="false" outlineLevel="0" collapsed="false">
      <c r="A74" s="366" t="s">
        <v>916</v>
      </c>
      <c r="B74" s="1" t="s">
        <v>917</v>
      </c>
      <c r="F74" s="1" t="s">
        <v>13</v>
      </c>
      <c r="L74" s="1" t="s">
        <v>531</v>
      </c>
      <c r="M74" s="380" t="n">
        <v>-0.1</v>
      </c>
      <c r="N74" s="1" t="s">
        <v>918</v>
      </c>
      <c r="O74" s="1" t="s">
        <v>919</v>
      </c>
      <c r="S74" s="94" t="s">
        <v>605</v>
      </c>
      <c r="T74" s="94"/>
      <c r="U74" s="149"/>
    </row>
    <row r="75" customFormat="false" ht="12.75" hidden="false" customHeight="false" outlineLevel="0" collapsed="false">
      <c r="A75" s="365" t="s">
        <v>484</v>
      </c>
      <c r="B75" s="1" t="n">
        <v>2</v>
      </c>
      <c r="C75" s="1" t="s">
        <v>920</v>
      </c>
      <c r="D75" s="109"/>
      <c r="F75" s="109" t="n">
        <v>0.1</v>
      </c>
      <c r="G75" s="1" t="s">
        <v>28</v>
      </c>
      <c r="L75" s="1" t="s">
        <v>532</v>
      </c>
      <c r="M75" s="380" t="n">
        <v>-0.05</v>
      </c>
      <c r="N75" s="1" t="s">
        <v>921</v>
      </c>
      <c r="O75" s="149" t="n">
        <v>-0.15</v>
      </c>
      <c r="P75" s="1" t="s">
        <v>922</v>
      </c>
      <c r="S75" s="94" t="s">
        <v>607</v>
      </c>
      <c r="T75" s="94"/>
      <c r="U75" s="150"/>
    </row>
    <row r="76" customFormat="false" ht="12.75" hidden="false" customHeight="false" outlineLevel="0" collapsed="false">
      <c r="A76" s="365" t="s">
        <v>485</v>
      </c>
      <c r="B76" s="1" t="n">
        <v>2</v>
      </c>
      <c r="C76" s="1" t="s">
        <v>920</v>
      </c>
      <c r="D76" s="109"/>
      <c r="F76" s="109" t="n">
        <v>0.1</v>
      </c>
      <c r="G76" s="1" t="s">
        <v>37</v>
      </c>
      <c r="L76" s="1" t="s">
        <v>533</v>
      </c>
      <c r="M76" s="379" t="n">
        <v>-0.025</v>
      </c>
      <c r="N76" s="1" t="s">
        <v>923</v>
      </c>
      <c r="S76" s="94" t="s">
        <v>609</v>
      </c>
      <c r="T76" s="94"/>
      <c r="U76" s="149"/>
    </row>
    <row r="77" customFormat="false" ht="12.75" hidden="false" customHeight="false" outlineLevel="0" collapsed="false">
      <c r="A77" s="365" t="s">
        <v>924</v>
      </c>
      <c r="B77" s="1" t="n">
        <v>2.5</v>
      </c>
      <c r="C77" s="1" t="s">
        <v>920</v>
      </c>
      <c r="D77" s="109"/>
      <c r="F77" s="109" t="n">
        <v>0.1</v>
      </c>
      <c r="G77" s="1" t="s">
        <v>33</v>
      </c>
      <c r="L77" s="1" t="s">
        <v>534</v>
      </c>
      <c r="M77" s="380" t="n">
        <v>-0.1</v>
      </c>
      <c r="N77" s="1" t="s">
        <v>925</v>
      </c>
      <c r="S77" s="94" t="s">
        <v>611</v>
      </c>
      <c r="T77" s="94"/>
    </row>
    <row r="78" customFormat="false" ht="12.75" hidden="false" customHeight="false" outlineLevel="0" collapsed="false">
      <c r="A78" s="365" t="s">
        <v>488</v>
      </c>
      <c r="B78" s="1" t="n">
        <v>2.5</v>
      </c>
      <c r="C78" s="1" t="s">
        <v>920</v>
      </c>
      <c r="D78" s="109"/>
      <c r="F78" s="109" t="n">
        <v>0.5</v>
      </c>
      <c r="G78" s="1" t="s">
        <v>926</v>
      </c>
      <c r="S78" s="94"/>
      <c r="T78" s="94"/>
    </row>
    <row r="79" customFormat="false" ht="12.75" hidden="false" customHeight="false" outlineLevel="0" collapsed="false">
      <c r="A79" s="365" t="s">
        <v>927</v>
      </c>
      <c r="B79" s="1" t="n">
        <v>2.5</v>
      </c>
      <c r="C79" s="1" t="s">
        <v>920</v>
      </c>
      <c r="D79" s="109"/>
      <c r="F79" s="109" t="n">
        <v>0.1</v>
      </c>
      <c r="G79" s="1" t="s">
        <v>928</v>
      </c>
      <c r="L79" s="1" t="s">
        <v>535</v>
      </c>
      <c r="M79" s="379" t="n">
        <v>-0.1</v>
      </c>
      <c r="N79" s="1" t="s">
        <v>929</v>
      </c>
      <c r="S79" s="94" t="s">
        <v>613</v>
      </c>
      <c r="T79" s="94"/>
      <c r="U79" s="150"/>
    </row>
    <row r="80" customFormat="false" ht="12.75" hidden="false" customHeight="false" outlineLevel="0" collapsed="false">
      <c r="A80" s="365" t="s">
        <v>930</v>
      </c>
      <c r="B80" s="1" t="n">
        <v>5</v>
      </c>
      <c r="C80" s="1" t="s">
        <v>920</v>
      </c>
      <c r="D80" s="109"/>
      <c r="F80" s="109" t="n">
        <v>0.2</v>
      </c>
      <c r="G80" s="1" t="s">
        <v>37</v>
      </c>
      <c r="H80" s="1" t="s">
        <v>931</v>
      </c>
      <c r="L80" s="1" t="s">
        <v>536</v>
      </c>
      <c r="M80" s="380" t="n">
        <v>0.15</v>
      </c>
      <c r="N80" s="1" t="s">
        <v>932</v>
      </c>
      <c r="S80" s="94" t="s">
        <v>615</v>
      </c>
      <c r="T80" s="94"/>
      <c r="U80" s="149"/>
    </row>
    <row r="81" customFormat="false" ht="12.75" hidden="false" customHeight="false" outlineLevel="0" collapsed="false">
      <c r="A81" s="365" t="s">
        <v>933</v>
      </c>
      <c r="B81" s="1" t="n">
        <v>5</v>
      </c>
      <c r="C81" s="1" t="s">
        <v>920</v>
      </c>
      <c r="D81" s="109"/>
      <c r="F81" s="109" t="n">
        <v>0.3</v>
      </c>
      <c r="G81" s="1" t="s">
        <v>934</v>
      </c>
      <c r="L81" s="1" t="s">
        <v>537</v>
      </c>
      <c r="M81" s="380" t="n">
        <v>-0.1</v>
      </c>
      <c r="N81" s="1" t="s">
        <v>935</v>
      </c>
      <c r="S81" s="94" t="s">
        <v>617</v>
      </c>
      <c r="T81" s="94"/>
      <c r="U81" s="149"/>
    </row>
    <row r="82" customFormat="false" ht="12.75" hidden="false" customHeight="false" outlineLevel="0" collapsed="false">
      <c r="A82" s="365" t="s">
        <v>936</v>
      </c>
      <c r="B82" s="1" t="n">
        <f aca="false">B80</f>
        <v>5</v>
      </c>
      <c r="C82" s="1" t="str">
        <f aca="false">C80</f>
        <v>* Landsize</v>
      </c>
      <c r="D82" s="149"/>
      <c r="F82" s="109" t="n">
        <v>0.2</v>
      </c>
      <c r="G82" s="1" t="s">
        <v>33</v>
      </c>
      <c r="H82" s="1" t="s">
        <v>937</v>
      </c>
      <c r="L82" s="1" t="s">
        <v>538</v>
      </c>
      <c r="M82" s="380" t="n">
        <v>-0.2</v>
      </c>
      <c r="N82" s="1" t="s">
        <v>938</v>
      </c>
      <c r="O82" s="159" t="n">
        <v>0.1</v>
      </c>
      <c r="P82" s="31" t="s">
        <v>939</v>
      </c>
      <c r="S82" s="94" t="s">
        <v>619</v>
      </c>
      <c r="T82" s="94"/>
      <c r="U82" s="149"/>
    </row>
    <row r="83" customFormat="false" ht="12.75" hidden="false" customHeight="false" outlineLevel="0" collapsed="false">
      <c r="A83" s="365" t="s">
        <v>940</v>
      </c>
      <c r="B83" s="1" t="n">
        <f aca="false">B80</f>
        <v>5</v>
      </c>
      <c r="C83" s="1" t="str">
        <f aca="false">C80</f>
        <v>* Landsize</v>
      </c>
      <c r="D83" s="149"/>
      <c r="F83" s="109" t="n">
        <v>0.1</v>
      </c>
      <c r="G83" s="1" t="s">
        <v>32</v>
      </c>
      <c r="L83" s="1" t="s">
        <v>539</v>
      </c>
      <c r="M83" s="380" t="n">
        <v>0.01</v>
      </c>
      <c r="N83" s="1" t="s">
        <v>941</v>
      </c>
      <c r="O83" s="1" t="s">
        <v>919</v>
      </c>
      <c r="S83" s="94" t="s">
        <v>621</v>
      </c>
      <c r="T83" s="94"/>
      <c r="U83" s="149"/>
    </row>
    <row r="84" customFormat="false" ht="12.75" hidden="false" customHeight="false" outlineLevel="0" collapsed="false">
      <c r="A84" s="365" t="s">
        <v>493</v>
      </c>
      <c r="B84" s="1" t="n">
        <v>5</v>
      </c>
      <c r="C84" s="1" t="str">
        <f aca="false">C83</f>
        <v>* Landsize</v>
      </c>
      <c r="D84" s="149"/>
      <c r="F84" s="149" t="n">
        <v>0.2</v>
      </c>
      <c r="G84" s="1" t="s">
        <v>28</v>
      </c>
      <c r="H84" s="149" t="n">
        <v>0.1</v>
      </c>
      <c r="I84" s="1" t="s">
        <v>29</v>
      </c>
      <c r="L84" s="1" t="s">
        <v>540</v>
      </c>
      <c r="M84" s="382" t="n">
        <f aca="false">-2.5%/explore_tech_divisor</f>
        <v>-0.0125</v>
      </c>
      <c r="N84" s="1" t="s">
        <v>942</v>
      </c>
      <c r="O84" s="150" t="n">
        <v>-0.05</v>
      </c>
      <c r="P84" s="1" t="s">
        <v>943</v>
      </c>
      <c r="S84" s="94" t="s">
        <v>623</v>
      </c>
      <c r="T84" s="94"/>
    </row>
    <row r="85" customFormat="false" ht="12.75" hidden="false" customHeight="false" outlineLevel="0" collapsed="false">
      <c r="A85" s="365" t="s">
        <v>494</v>
      </c>
      <c r="B85" s="1" t="n">
        <f aca="false">B84</f>
        <v>5</v>
      </c>
      <c r="C85" s="1" t="str">
        <f aca="false">C84</f>
        <v>* Landsize</v>
      </c>
      <c r="D85" s="149"/>
      <c r="F85" s="149" t="n">
        <v>0.1</v>
      </c>
      <c r="G85" s="1" t="s">
        <v>32</v>
      </c>
      <c r="H85" s="149" t="n">
        <v>0.1</v>
      </c>
      <c r="I85" s="1" t="s">
        <v>33</v>
      </c>
      <c r="L85" s="1" t="s">
        <v>541</v>
      </c>
      <c r="M85" s="1" t="n">
        <v>1.25</v>
      </c>
      <c r="N85" s="1" t="s">
        <v>944</v>
      </c>
      <c r="S85" s="94" t="s">
        <v>625</v>
      </c>
      <c r="T85" s="94"/>
      <c r="U85" s="150"/>
    </row>
    <row r="86" customFormat="false" ht="12.75" hidden="false" customHeight="false" outlineLevel="0" collapsed="false">
      <c r="A86" s="365" t="s">
        <v>945</v>
      </c>
      <c r="B86" s="1" t="n">
        <f aca="false">B85</f>
        <v>5</v>
      </c>
      <c r="C86" s="1" t="str">
        <f aca="false">C85</f>
        <v>* Landsize</v>
      </c>
      <c r="D86" s="149"/>
      <c r="F86" s="149" t="n">
        <v>0.15</v>
      </c>
      <c r="G86" s="1" t="s">
        <v>33</v>
      </c>
      <c r="H86" s="149" t="s">
        <v>946</v>
      </c>
      <c r="L86" s="1" t="s">
        <v>542</v>
      </c>
      <c r="M86" s="380" t="n">
        <v>-0.15</v>
      </c>
      <c r="N86" s="1" t="s">
        <v>929</v>
      </c>
      <c r="S86" s="94" t="s">
        <v>627</v>
      </c>
      <c r="T86" s="94"/>
      <c r="U86" s="149"/>
    </row>
    <row r="87" customFormat="false" ht="12.75" hidden="false" customHeight="false" outlineLevel="0" collapsed="false">
      <c r="A87" s="365" t="s">
        <v>496</v>
      </c>
      <c r="B87" s="1" t="n">
        <v>5</v>
      </c>
      <c r="C87" s="1" t="str">
        <f aca="false">C86</f>
        <v>* Landsize</v>
      </c>
      <c r="D87" s="149"/>
      <c r="F87" s="285" t="n">
        <v>13</v>
      </c>
      <c r="G87" s="1" t="s">
        <v>947</v>
      </c>
      <c r="H87" s="149"/>
      <c r="L87" s="1" t="s">
        <v>543</v>
      </c>
      <c r="M87" s="379" t="n">
        <f aca="false">-2.5%/explore_tech_divisor</f>
        <v>-0.0125</v>
      </c>
      <c r="N87" s="1" t="s">
        <v>942</v>
      </c>
      <c r="O87" s="1" t="n">
        <v>-1</v>
      </c>
      <c r="P87" s="1" t="s">
        <v>948</v>
      </c>
      <c r="S87" s="94" t="s">
        <v>629</v>
      </c>
      <c r="T87" s="94"/>
      <c r="U87" s="149"/>
    </row>
    <row r="88" customFormat="false" ht="12.75" hidden="false" customHeight="false" outlineLevel="0" collapsed="false">
      <c r="A88" s="365" t="s">
        <v>497</v>
      </c>
      <c r="B88" s="1" t="n">
        <v>5</v>
      </c>
      <c r="C88" s="1" t="str">
        <f aca="false">C87</f>
        <v>* Landsize</v>
      </c>
      <c r="D88" s="149"/>
      <c r="F88" s="106" t="n">
        <v>0.05</v>
      </c>
      <c r="G88" s="1" t="s">
        <v>32</v>
      </c>
      <c r="L88" s="1" t="s">
        <v>544</v>
      </c>
      <c r="M88" s="379" t="n">
        <v>-0.025</v>
      </c>
      <c r="N88" s="1" t="s">
        <v>935</v>
      </c>
      <c r="S88" s="94" t="s">
        <v>631</v>
      </c>
      <c r="T88" s="94"/>
      <c r="U88" s="150"/>
    </row>
    <row r="89" customFormat="false" ht="12.75" hidden="false" customHeight="false" outlineLevel="0" collapsed="false">
      <c r="A89" s="365" t="s">
        <v>498</v>
      </c>
      <c r="B89" s="1" t="n">
        <v>5</v>
      </c>
      <c r="C89" s="1" t="str">
        <f aca="false">C88</f>
        <v>* Landsize</v>
      </c>
      <c r="D89" s="106" t="n">
        <v>0.01</v>
      </c>
      <c r="E89" s="1" t="s">
        <v>103</v>
      </c>
      <c r="F89" s="149" t="n">
        <v>0.1</v>
      </c>
      <c r="G89" s="1" t="s">
        <v>949</v>
      </c>
      <c r="S89" s="94"/>
      <c r="T89" s="94"/>
    </row>
    <row r="90" customFormat="false" ht="12.75" hidden="false" customHeight="false" outlineLevel="0" collapsed="false">
      <c r="A90" s="365" t="s">
        <v>495</v>
      </c>
      <c r="B90" s="1" t="n">
        <v>5</v>
      </c>
      <c r="C90" s="1" t="str">
        <f aca="false">C89</f>
        <v>* Landsize</v>
      </c>
      <c r="F90" s="149" t="n">
        <v>0.15</v>
      </c>
      <c r="G90" s="1" t="s">
        <v>928</v>
      </c>
      <c r="L90" s="1" t="s">
        <v>545</v>
      </c>
      <c r="M90" s="380" t="n">
        <v>0.05</v>
      </c>
      <c r="N90" s="1" t="s">
        <v>950</v>
      </c>
      <c r="S90" s="94" t="s">
        <v>633</v>
      </c>
      <c r="T90" s="94"/>
    </row>
    <row r="91" customFormat="false" ht="12.75" hidden="false" customHeight="false" outlineLevel="0" collapsed="false">
      <c r="L91" s="1" t="s">
        <v>546</v>
      </c>
      <c r="M91" s="379" t="n">
        <v>0.025</v>
      </c>
      <c r="N91" s="1" t="s">
        <v>951</v>
      </c>
      <c r="S91" s="94" t="s">
        <v>635</v>
      </c>
      <c r="T91" s="94"/>
      <c r="U91" s="150"/>
    </row>
    <row r="92" customFormat="false" ht="12.75" hidden="false" customHeight="false" outlineLevel="0" collapsed="false">
      <c r="A92" s="366" t="s">
        <v>99</v>
      </c>
      <c r="L92" s="1" t="s">
        <v>547</v>
      </c>
      <c r="M92" s="379" t="n">
        <v>0.075</v>
      </c>
      <c r="N92" s="1" t="s">
        <v>952</v>
      </c>
      <c r="O92" s="106" t="n">
        <v>0.25</v>
      </c>
      <c r="P92" s="1" t="s">
        <v>953</v>
      </c>
      <c r="S92" s="94" t="s">
        <v>637</v>
      </c>
      <c r="T92" s="94"/>
      <c r="U92" s="150"/>
      <c r="W92" s="149"/>
    </row>
    <row r="93" customFormat="false" ht="12.75" hidden="false" customHeight="false" outlineLevel="0" collapsed="false">
      <c r="A93" s="365" t="s">
        <v>954</v>
      </c>
      <c r="B93" s="1" t="n">
        <f aca="false">IF(Overview!$B$14="Kobold",40,30)</f>
        <v>30</v>
      </c>
      <c r="C93" s="1" t="s">
        <v>955</v>
      </c>
      <c r="L93" s="1" t="s">
        <v>548</v>
      </c>
      <c r="M93" s="379" t="n">
        <v>0.1</v>
      </c>
      <c r="N93" s="1" t="s">
        <v>909</v>
      </c>
      <c r="O93" s="149" t="n">
        <v>0.05</v>
      </c>
      <c r="P93" s="1" t="s">
        <v>956</v>
      </c>
      <c r="S93" s="94" t="s">
        <v>639</v>
      </c>
      <c r="T93" s="94"/>
      <c r="U93" s="150"/>
      <c r="W93" s="149"/>
    </row>
    <row r="94" customFormat="false" ht="12.75" hidden="false" customHeight="false" outlineLevel="0" collapsed="false">
      <c r="L94" s="1" t="s">
        <v>549</v>
      </c>
      <c r="M94" s="379" t="n">
        <v>-0.0175</v>
      </c>
      <c r="N94" s="1" t="s">
        <v>957</v>
      </c>
      <c r="S94" s="94" t="s">
        <v>641</v>
      </c>
      <c r="T94" s="94"/>
    </row>
    <row r="95" customFormat="false" ht="12.75" hidden="false" customHeight="false" outlineLevel="0" collapsed="false">
      <c r="A95" s="366" t="s">
        <v>172</v>
      </c>
      <c r="L95" s="1" t="s">
        <v>550</v>
      </c>
      <c r="M95" s="379" t="n">
        <v>0.015</v>
      </c>
      <c r="N95" s="1" t="s">
        <v>958</v>
      </c>
      <c r="S95" s="94" t="s">
        <v>643</v>
      </c>
      <c r="T95" s="94"/>
      <c r="U95" s="149"/>
    </row>
    <row r="96" customFormat="false" ht="12.75" hidden="false" customHeight="false" outlineLevel="0" collapsed="false">
      <c r="A96" s="365" t="s">
        <v>959</v>
      </c>
      <c r="B96" s="1" t="n">
        <v>250</v>
      </c>
      <c r="L96" s="1" t="s">
        <v>551</v>
      </c>
      <c r="M96" s="379" t="n">
        <f aca="false">-7.5%/explore_tech_divisor</f>
        <v>-0.0375</v>
      </c>
      <c r="N96" s="1" t="s">
        <v>942</v>
      </c>
      <c r="O96" s="1" t="n">
        <v>-2</v>
      </c>
      <c r="P96" s="1" t="s">
        <v>948</v>
      </c>
      <c r="S96" s="94" t="s">
        <v>645</v>
      </c>
      <c r="T96" s="94"/>
      <c r="U96" s="150"/>
    </row>
    <row r="97" customFormat="false" ht="12.75" hidden="false" customHeight="false" outlineLevel="0" collapsed="false">
      <c r="A97" s="365" t="s">
        <v>960</v>
      </c>
      <c r="B97" s="149" t="n">
        <v>0.01</v>
      </c>
      <c r="L97" s="1" t="s">
        <v>552</v>
      </c>
      <c r="M97" s="380" t="n">
        <v>-0.5</v>
      </c>
      <c r="N97" s="1" t="s">
        <v>961</v>
      </c>
      <c r="S97" s="94" t="s">
        <v>647</v>
      </c>
      <c r="T97" s="94"/>
      <c r="U97" s="149"/>
    </row>
    <row r="98" customFormat="false" ht="12.75" hidden="false" customHeight="false" outlineLevel="0" collapsed="false">
      <c r="A98" s="365" t="s">
        <v>962</v>
      </c>
      <c r="B98" s="149" t="n">
        <v>0.01</v>
      </c>
      <c r="L98" s="1" t="s">
        <v>553</v>
      </c>
      <c r="M98" s="380" t="n">
        <v>-0.1</v>
      </c>
      <c r="N98" s="1" t="s">
        <v>963</v>
      </c>
      <c r="S98" s="94" t="s">
        <v>649</v>
      </c>
      <c r="T98" s="94"/>
      <c r="U98" s="149"/>
      <c r="W98" s="149"/>
    </row>
    <row r="99" customFormat="false" ht="12.75" hidden="false" customHeight="false" outlineLevel="0" collapsed="false">
      <c r="A99" s="365" t="s">
        <v>964</v>
      </c>
      <c r="B99" s="149" t="n">
        <v>0.01</v>
      </c>
      <c r="S99" s="94"/>
      <c r="T99" s="94"/>
    </row>
    <row r="100" customFormat="false" ht="12.75" hidden="false" customHeight="false" outlineLevel="0" collapsed="false">
      <c r="L100" s="1" t="s">
        <v>554</v>
      </c>
      <c r="M100" s="379" t="n">
        <v>0.125</v>
      </c>
      <c r="N100" s="1" t="s">
        <v>965</v>
      </c>
      <c r="S100" s="94" t="s">
        <v>651</v>
      </c>
      <c r="T100" s="94"/>
      <c r="U100" s="150"/>
    </row>
    <row r="101" customFormat="false" ht="12.75" hidden="false" customHeight="false" outlineLevel="0" collapsed="false">
      <c r="A101" s="366" t="s">
        <v>966</v>
      </c>
      <c r="L101" s="1" t="s">
        <v>555</v>
      </c>
      <c r="N101" s="1" t="s">
        <v>654</v>
      </c>
      <c r="S101" s="94" t="s">
        <v>653</v>
      </c>
      <c r="T101" s="94"/>
    </row>
    <row r="102" customFormat="false" ht="12.75" hidden="false" customHeight="false" outlineLevel="0" collapsed="false">
      <c r="L102" s="1" t="s">
        <v>556</v>
      </c>
      <c r="M102" s="379" t="n">
        <v>0.025</v>
      </c>
      <c r="N102" s="1" t="s">
        <v>951</v>
      </c>
      <c r="O102" s="150" t="n">
        <v>0.075</v>
      </c>
      <c r="P102" s="1" t="s">
        <v>950</v>
      </c>
      <c r="S102" s="94" t="s">
        <v>655</v>
      </c>
      <c r="T102" s="94"/>
      <c r="U102" s="150"/>
      <c r="W102" s="150"/>
    </row>
    <row r="103" customFormat="false" ht="12.75" hidden="false" customHeight="false" outlineLevel="0" collapsed="false">
      <c r="A103" s="365" t="s">
        <v>967</v>
      </c>
      <c r="B103" s="1" t="s">
        <v>734</v>
      </c>
      <c r="D103" s="109" t="n">
        <v>0.3</v>
      </c>
      <c r="E103" s="1" t="s">
        <v>830</v>
      </c>
      <c r="L103" s="1" t="s">
        <v>557</v>
      </c>
      <c r="M103" s="380" t="n">
        <v>0.04</v>
      </c>
      <c r="N103" s="1" t="s">
        <v>913</v>
      </c>
      <c r="S103" s="94" t="s">
        <v>657</v>
      </c>
      <c r="T103" s="94"/>
      <c r="U103" s="149"/>
    </row>
    <row r="104" customFormat="false" ht="12.75" hidden="false" customHeight="false" outlineLevel="0" collapsed="false">
      <c r="B104" s="1" t="s">
        <v>733</v>
      </c>
      <c r="D104" s="109" t="n">
        <v>0.2</v>
      </c>
      <c r="E104" s="1" t="s">
        <v>830</v>
      </c>
      <c r="L104" s="1" t="s">
        <v>558</v>
      </c>
      <c r="M104" s="1" t="n">
        <v>2</v>
      </c>
      <c r="N104" s="1" t="s">
        <v>968</v>
      </c>
      <c r="S104" s="94" t="s">
        <v>659</v>
      </c>
      <c r="T104" s="94"/>
      <c r="U104" s="149"/>
    </row>
    <row r="105" customFormat="false" ht="12.75" hidden="false" customHeight="false" outlineLevel="0" collapsed="false">
      <c r="B105" s="1" t="s">
        <v>969</v>
      </c>
      <c r="D105" s="109" t="n">
        <v>0.3</v>
      </c>
      <c r="E105" s="1" t="s">
        <v>830</v>
      </c>
      <c r="L105" s="1" t="s">
        <v>559</v>
      </c>
      <c r="M105" s="379" t="n">
        <v>-0.1</v>
      </c>
      <c r="N105" s="1" t="s">
        <v>935</v>
      </c>
      <c r="S105" s="94" t="s">
        <v>661</v>
      </c>
      <c r="T105" s="94"/>
      <c r="U105" s="149"/>
    </row>
    <row r="106" customFormat="false" ht="12.75" hidden="false" customHeight="false" outlineLevel="0" collapsed="false">
      <c r="B106" s="1" t="s">
        <v>970</v>
      </c>
      <c r="D106" s="109" t="n">
        <v>0.6</v>
      </c>
      <c r="E106" s="1" t="s">
        <v>830</v>
      </c>
      <c r="L106" s="1" t="s">
        <v>560</v>
      </c>
      <c r="M106" s="1" t="n">
        <v>-1</v>
      </c>
      <c r="N106" s="1" t="s">
        <v>971</v>
      </c>
      <c r="S106" s="94" t="s">
        <v>662</v>
      </c>
      <c r="T106" s="94"/>
      <c r="U106" s="150"/>
    </row>
    <row r="107" customFormat="false" ht="12.75" hidden="false" customHeight="false" outlineLevel="0" collapsed="false">
      <c r="L107" s="1" t="s">
        <v>561</v>
      </c>
      <c r="M107" s="380" t="n">
        <v>-0.2</v>
      </c>
      <c r="N107" s="1" t="s">
        <v>972</v>
      </c>
      <c r="S107" s="94" t="s">
        <v>664</v>
      </c>
      <c r="T107" s="94"/>
    </row>
    <row r="108" customFormat="false" ht="12.75" hidden="false" customHeight="false" outlineLevel="0" collapsed="false">
      <c r="A108" s="365" t="s">
        <v>973</v>
      </c>
      <c r="B108" s="1" t="s">
        <v>734</v>
      </c>
      <c r="D108" s="1" t="n">
        <v>4000</v>
      </c>
      <c r="E108" s="1" t="s">
        <v>974</v>
      </c>
    </row>
    <row r="109" customFormat="false" ht="12.75" hidden="false" customHeight="false" outlineLevel="0" collapsed="false">
      <c r="B109" s="1" t="s">
        <v>733</v>
      </c>
      <c r="D109" s="1" t="n">
        <v>4000</v>
      </c>
      <c r="E109" s="1" t="s">
        <v>974</v>
      </c>
      <c r="L109" s="1" t="s">
        <v>562</v>
      </c>
      <c r="M109" s="379" t="n">
        <v>0.025</v>
      </c>
      <c r="N109" s="1" t="s">
        <v>975</v>
      </c>
      <c r="O109" s="1" t="s">
        <v>976</v>
      </c>
      <c r="S109" s="94" t="s">
        <v>666</v>
      </c>
      <c r="T109" s="94"/>
      <c r="U109" s="149"/>
      <c r="W109" s="149"/>
    </row>
    <row r="110" customFormat="false" ht="12.75" hidden="false" customHeight="false" outlineLevel="0" collapsed="false">
      <c r="B110" s="1" t="s">
        <v>969</v>
      </c>
      <c r="D110" s="1" t="n">
        <v>7500</v>
      </c>
      <c r="E110" s="1" t="s">
        <v>974</v>
      </c>
      <c r="L110" s="1" t="s">
        <v>563</v>
      </c>
      <c r="M110" s="380" t="n">
        <v>-0.2</v>
      </c>
      <c r="N110" s="1" t="s">
        <v>977</v>
      </c>
      <c r="O110" s="149" t="n">
        <v>-0.2</v>
      </c>
      <c r="P110" s="1" t="s">
        <v>978</v>
      </c>
      <c r="Q110" s="31"/>
      <c r="R110" s="31"/>
      <c r="S110" s="94" t="s">
        <v>668</v>
      </c>
      <c r="T110" s="94"/>
    </row>
    <row r="111" customFormat="false" ht="12.75" hidden="false" customHeight="false" outlineLevel="0" collapsed="false">
      <c r="B111" s="1" t="s">
        <v>979</v>
      </c>
      <c r="D111" s="1" t="n">
        <v>5000</v>
      </c>
      <c r="E111" s="1" t="s">
        <v>974</v>
      </c>
      <c r="L111" s="1" t="s">
        <v>564</v>
      </c>
      <c r="M111" s="379" t="n">
        <v>-0.0175</v>
      </c>
      <c r="N111" s="1" t="s">
        <v>957</v>
      </c>
      <c r="S111" s="94" t="s">
        <v>670</v>
      </c>
      <c r="T111" s="94"/>
      <c r="U111" s="149"/>
    </row>
    <row r="112" customFormat="false" ht="12.75" hidden="false" customHeight="false" outlineLevel="0" collapsed="false">
      <c r="B112" s="1" t="s">
        <v>735</v>
      </c>
      <c r="D112" s="1" t="n">
        <v>5000</v>
      </c>
      <c r="E112" s="1" t="s">
        <v>974</v>
      </c>
      <c r="L112" s="1" t="s">
        <v>565</v>
      </c>
      <c r="M112" s="379" t="n">
        <v>0.025</v>
      </c>
      <c r="N112" s="1" t="s">
        <v>980</v>
      </c>
      <c r="O112" s="150" t="n">
        <v>0.075</v>
      </c>
      <c r="P112" s="1" t="s">
        <v>981</v>
      </c>
      <c r="S112" s="94" t="s">
        <v>671</v>
      </c>
      <c r="T112" s="94"/>
      <c r="U112" s="150"/>
      <c r="W112" s="150"/>
    </row>
    <row r="113" customFormat="false" ht="12.75" hidden="false" customHeight="false" outlineLevel="0" collapsed="false">
      <c r="L113" s="1" t="s">
        <v>566</v>
      </c>
      <c r="M113" s="379" t="n">
        <v>-0.0175</v>
      </c>
      <c r="N113" s="1" t="s">
        <v>957</v>
      </c>
      <c r="S113" s="94" t="s">
        <v>673</v>
      </c>
      <c r="T113" s="94"/>
      <c r="U113" s="149"/>
    </row>
    <row r="114" customFormat="false" ht="12.75" hidden="false" customHeight="false" outlineLevel="0" collapsed="false">
      <c r="A114" s="366" t="s">
        <v>982</v>
      </c>
      <c r="F114" s="1" t="s">
        <v>983</v>
      </c>
      <c r="L114" s="1" t="s">
        <v>567</v>
      </c>
      <c r="M114" s="1" t="n">
        <v>1</v>
      </c>
      <c r="N114" s="1" t="s">
        <v>984</v>
      </c>
      <c r="S114" s="94" t="s">
        <v>674</v>
      </c>
      <c r="T114" s="94"/>
      <c r="U114" s="149"/>
      <c r="W114" s="149"/>
    </row>
    <row r="115" customFormat="false" ht="12.75" hidden="false" customHeight="false" outlineLevel="0" collapsed="false">
      <c r="A115" s="365" t="s">
        <v>114</v>
      </c>
      <c r="B115" s="104"/>
      <c r="C115" s="383" t="n">
        <v>0.2</v>
      </c>
      <c r="D115" s="1" t="s">
        <v>985</v>
      </c>
      <c r="F115" s="165" t="n">
        <v>4.5</v>
      </c>
      <c r="L115" s="1" t="s">
        <v>568</v>
      </c>
      <c r="M115" s="380" t="n">
        <v>-0.01</v>
      </c>
      <c r="N115" s="1" t="s">
        <v>986</v>
      </c>
      <c r="S115" s="94" t="s">
        <v>676</v>
      </c>
      <c r="T115" s="94"/>
      <c r="U115" s="149"/>
    </row>
    <row r="116" customFormat="false" ht="12.75" hidden="false" customHeight="false" outlineLevel="0" collapsed="false">
      <c r="A116" s="365" t="s">
        <v>115</v>
      </c>
      <c r="B116" s="104" t="s">
        <v>111</v>
      </c>
      <c r="C116" s="383" t="n">
        <v>0.2</v>
      </c>
      <c r="D116" s="1" t="s">
        <v>985</v>
      </c>
      <c r="F116" s="165" t="n">
        <v>4.5</v>
      </c>
      <c r="T116" s="94"/>
    </row>
    <row r="117" customFormat="false" ht="12.75" hidden="false" customHeight="false" outlineLevel="0" collapsed="false">
      <c r="B117" s="1" t="s">
        <v>112</v>
      </c>
      <c r="C117" s="106" t="n">
        <v>0.2</v>
      </c>
      <c r="D117" s="1" t="s">
        <v>985</v>
      </c>
      <c r="F117" s="165" t="n">
        <v>4.5</v>
      </c>
      <c r="L117" s="1" t="s">
        <v>569</v>
      </c>
      <c r="M117" s="382" t="n">
        <v>0.015</v>
      </c>
      <c r="N117" s="1" t="s">
        <v>958</v>
      </c>
      <c r="S117" s="94" t="s">
        <v>678</v>
      </c>
      <c r="T117" s="94"/>
      <c r="U117" s="150"/>
    </row>
    <row r="118" customFormat="false" ht="12.75" hidden="false" customHeight="false" outlineLevel="0" collapsed="false">
      <c r="A118" s="365" t="s">
        <v>117</v>
      </c>
      <c r="B118" s="104"/>
      <c r="C118" s="383" t="n">
        <v>0.2</v>
      </c>
      <c r="D118" s="1" t="s">
        <v>985</v>
      </c>
      <c r="F118" s="165" t="n">
        <v>4</v>
      </c>
      <c r="L118" s="1" t="s">
        <v>570</v>
      </c>
      <c r="M118" s="379" t="n">
        <v>0.025</v>
      </c>
      <c r="N118" s="1" t="s">
        <v>951</v>
      </c>
      <c r="O118" s="149" t="n">
        <v>-0.05</v>
      </c>
      <c r="P118" s="1" t="s">
        <v>987</v>
      </c>
      <c r="S118" s="94" t="s">
        <v>679</v>
      </c>
      <c r="T118" s="94"/>
      <c r="U118" s="150"/>
      <c r="W118" s="149"/>
    </row>
    <row r="119" customFormat="false" ht="12.75" hidden="false" customHeight="false" outlineLevel="0" collapsed="false">
      <c r="A119" s="365" t="s">
        <v>119</v>
      </c>
      <c r="B119" s="104"/>
      <c r="C119" s="383" t="n">
        <v>0.2</v>
      </c>
      <c r="D119" s="1" t="s">
        <v>988</v>
      </c>
      <c r="F119" s="165" t="n">
        <v>2</v>
      </c>
      <c r="L119" s="1" t="s">
        <v>571</v>
      </c>
      <c r="M119" s="380" t="n">
        <v>-0.05</v>
      </c>
      <c r="N119" s="1" t="s">
        <v>935</v>
      </c>
      <c r="O119" s="149" t="n">
        <v>-0.1</v>
      </c>
      <c r="P119" s="1" t="s">
        <v>978</v>
      </c>
      <c r="Q119" s="1" t="n">
        <v>5</v>
      </c>
      <c r="R119" s="1" t="s">
        <v>989</v>
      </c>
      <c r="S119" s="94" t="s">
        <v>681</v>
      </c>
      <c r="T119" s="94"/>
      <c r="U119" s="149"/>
      <c r="W119" s="149"/>
    </row>
    <row r="120" customFormat="false" ht="12.75" hidden="false" customHeight="false" outlineLevel="0" collapsed="false">
      <c r="A120" s="365" t="s">
        <v>445</v>
      </c>
      <c r="B120" s="104" t="s">
        <v>111</v>
      </c>
      <c r="C120" s="383" t="n">
        <v>0.1</v>
      </c>
      <c r="D120" s="1" t="s">
        <v>259</v>
      </c>
      <c r="F120" s="165" t="n">
        <v>0</v>
      </c>
      <c r="L120" s="1" t="s">
        <v>572</v>
      </c>
      <c r="M120" s="379" t="n">
        <v>-0.125</v>
      </c>
      <c r="N120" s="1" t="s">
        <v>990</v>
      </c>
      <c r="S120" s="94" t="s">
        <v>683</v>
      </c>
      <c r="T120" s="94"/>
      <c r="U120" s="150"/>
    </row>
    <row r="121" customFormat="false" ht="12.75" hidden="false" customHeight="false" outlineLevel="0" collapsed="false">
      <c r="B121" s="1" t="s">
        <v>112</v>
      </c>
      <c r="C121" s="384" t="n">
        <v>0.1</v>
      </c>
      <c r="D121" s="1" t="s">
        <v>259</v>
      </c>
      <c r="F121" s="165" t="n">
        <v>0</v>
      </c>
      <c r="L121" s="1" t="s">
        <v>573</v>
      </c>
      <c r="M121" s="379" t="n">
        <v>0.01</v>
      </c>
      <c r="N121" s="1" t="s">
        <v>958</v>
      </c>
      <c r="O121" s="31"/>
      <c r="P121" s="31"/>
      <c r="S121" s="94" t="s">
        <v>685</v>
      </c>
      <c r="T121" s="94"/>
      <c r="U121" s="149"/>
    </row>
    <row r="122" customFormat="false" ht="12.75" hidden="false" customHeight="false" outlineLevel="0" collapsed="false">
      <c r="A122" s="365" t="s">
        <v>991</v>
      </c>
      <c r="B122" s="104"/>
      <c r="C122" s="383" t="n">
        <v>0.2</v>
      </c>
      <c r="D122" s="1" t="s">
        <v>988</v>
      </c>
      <c r="F122" s="165" t="n">
        <v>3</v>
      </c>
      <c r="L122" s="1" t="s">
        <v>574</v>
      </c>
      <c r="M122" s="382" t="n">
        <v>0.075</v>
      </c>
      <c r="N122" s="1" t="s">
        <v>992</v>
      </c>
      <c r="O122" s="149" t="n">
        <v>-0.05</v>
      </c>
      <c r="P122" s="1" t="s">
        <v>993</v>
      </c>
      <c r="S122" s="94" t="s">
        <v>687</v>
      </c>
      <c r="T122" s="94"/>
      <c r="U122" s="149"/>
      <c r="W122" s="149"/>
    </row>
    <row r="123" customFormat="false" ht="12.75" hidden="false" customHeight="false" outlineLevel="0" collapsed="false">
      <c r="A123" s="365" t="s">
        <v>124</v>
      </c>
      <c r="C123" s="165" t="n">
        <v>1</v>
      </c>
      <c r="D123" s="1" t="s">
        <v>994</v>
      </c>
      <c r="F123" s="165" t="n">
        <v>3</v>
      </c>
      <c r="S123" s="94"/>
      <c r="T123" s="94"/>
    </row>
    <row r="124" customFormat="false" ht="12.75" hidden="false" customHeight="false" outlineLevel="0" collapsed="false">
      <c r="A124" s="365" t="s">
        <v>126</v>
      </c>
      <c r="B124" s="165" t="s">
        <v>995</v>
      </c>
      <c r="C124" s="104" t="n">
        <v>500</v>
      </c>
      <c r="D124" s="1" t="s">
        <v>996</v>
      </c>
      <c r="F124" s="165" t="n">
        <v>0</v>
      </c>
      <c r="L124" s="1" t="s">
        <v>575</v>
      </c>
      <c r="M124" s="380" t="n">
        <v>0.3</v>
      </c>
      <c r="N124" s="1" t="s">
        <v>997</v>
      </c>
      <c r="S124" s="94" t="s">
        <v>689</v>
      </c>
      <c r="T124" s="94"/>
      <c r="U124" s="149"/>
    </row>
    <row r="125" customFormat="false" ht="12.75" hidden="false" customHeight="false" outlineLevel="0" collapsed="false">
      <c r="A125" s="365" t="s">
        <v>127</v>
      </c>
      <c r="B125" s="165" t="s">
        <v>995</v>
      </c>
      <c r="C125" s="104" t="n">
        <v>300</v>
      </c>
      <c r="D125" s="1" t="s">
        <v>996</v>
      </c>
      <c r="F125" s="165" t="n">
        <v>3</v>
      </c>
      <c r="L125" s="1" t="s">
        <v>576</v>
      </c>
      <c r="M125" s="1" t="n">
        <v>1.25</v>
      </c>
      <c r="N125" s="1" t="s">
        <v>998</v>
      </c>
      <c r="S125" s="94" t="s">
        <v>691</v>
      </c>
      <c r="T125" s="94"/>
      <c r="U125" s="149"/>
    </row>
    <row r="126" customFormat="false" ht="12.75" hidden="false" customHeight="false" outlineLevel="0" collapsed="false">
      <c r="A126" s="365" t="s">
        <v>129</v>
      </c>
      <c r="B126" s="104"/>
      <c r="C126" s="106" t="n">
        <v>0.1</v>
      </c>
      <c r="D126" s="1" t="s">
        <v>999</v>
      </c>
      <c r="F126" s="165" t="n">
        <v>4</v>
      </c>
      <c r="L126" s="1" t="s">
        <v>577</v>
      </c>
      <c r="M126" s="379" t="n">
        <v>-0.075</v>
      </c>
      <c r="N126" s="1" t="s">
        <v>993</v>
      </c>
      <c r="O126" s="150" t="n">
        <v>0.0075</v>
      </c>
      <c r="P126" s="1" t="s">
        <v>1000</v>
      </c>
      <c r="S126" s="94" t="s">
        <v>693</v>
      </c>
      <c r="T126" s="94"/>
      <c r="U126" s="149"/>
    </row>
    <row r="127" customFormat="false" ht="12.75" hidden="false" customHeight="false" outlineLevel="0" collapsed="false">
      <c r="L127" s="1" t="s">
        <v>578</v>
      </c>
      <c r="M127" s="379" t="n">
        <v>0.025</v>
      </c>
      <c r="N127" s="1" t="s">
        <v>980</v>
      </c>
      <c r="S127" s="94" t="s">
        <v>695</v>
      </c>
      <c r="T127" s="94"/>
      <c r="U127" s="150"/>
    </row>
    <row r="128" customFormat="false" ht="12.75" hidden="false" customHeight="false" outlineLevel="0" collapsed="false">
      <c r="A128" s="366" t="s">
        <v>147</v>
      </c>
      <c r="L128" s="1" t="s">
        <v>579</v>
      </c>
      <c r="M128" s="379" t="n">
        <v>-0.025</v>
      </c>
      <c r="N128" s="1" t="s">
        <v>923</v>
      </c>
      <c r="O128" s="31" t="n">
        <v>2</v>
      </c>
      <c r="P128" s="31" t="s">
        <v>1001</v>
      </c>
      <c r="S128" s="94" t="s">
        <v>697</v>
      </c>
      <c r="T128" s="94"/>
      <c r="U128" s="150"/>
    </row>
    <row r="129" customFormat="false" ht="12.75" hidden="false" customHeight="false" outlineLevel="0" collapsed="false">
      <c r="A129" s="365" t="s">
        <v>1002</v>
      </c>
      <c r="B129" s="1" t="n">
        <v>20</v>
      </c>
      <c r="S129" s="94"/>
      <c r="T129" s="94"/>
    </row>
    <row r="130" customFormat="false" ht="12.75" hidden="false" customHeight="false" outlineLevel="0" collapsed="false">
      <c r="A130" s="365" t="s">
        <v>835</v>
      </c>
      <c r="B130" s="1" t="n">
        <v>0</v>
      </c>
      <c r="C130" s="1" t="s">
        <v>1003</v>
      </c>
      <c r="L130" s="1" t="s">
        <v>580</v>
      </c>
      <c r="M130" s="380" t="n">
        <v>0.6</v>
      </c>
      <c r="N130" s="1" t="s">
        <v>1004</v>
      </c>
      <c r="S130" s="94" t="s">
        <v>699</v>
      </c>
      <c r="T130" s="94"/>
    </row>
    <row r="131" customFormat="false" ht="12.75" hidden="false" customHeight="false" outlineLevel="0" collapsed="false">
      <c r="L131" s="1" t="s">
        <v>581</v>
      </c>
      <c r="M131" s="379" t="n">
        <v>-0.075</v>
      </c>
      <c r="N131" s="1" t="s">
        <v>993</v>
      </c>
      <c r="S131" s="94" t="s">
        <v>701</v>
      </c>
      <c r="T131" s="94"/>
      <c r="U131" s="150"/>
    </row>
    <row r="132" customFormat="false" ht="12.75" hidden="false" customHeight="false" outlineLevel="0" collapsed="false">
      <c r="A132" s="366" t="s">
        <v>1005</v>
      </c>
      <c r="L132" s="1" t="s">
        <v>582</v>
      </c>
      <c r="M132" s="1" t="n">
        <v>2</v>
      </c>
      <c r="N132" s="1" t="s">
        <v>1006</v>
      </c>
      <c r="S132" s="94" t="s">
        <v>703</v>
      </c>
      <c r="T132" s="94"/>
    </row>
    <row r="133" customFormat="false" ht="12.75" hidden="false" customHeight="false" outlineLevel="0" collapsed="false">
      <c r="A133" s="365" t="s">
        <v>1007</v>
      </c>
      <c r="B133" s="1" t="s">
        <v>35</v>
      </c>
      <c r="L133" s="1" t="s">
        <v>583</v>
      </c>
      <c r="M133" s="380" t="n">
        <v>0.3</v>
      </c>
      <c r="N133" s="1" t="s">
        <v>1008</v>
      </c>
      <c r="S133" s="94" t="s">
        <v>705</v>
      </c>
      <c r="T133" s="94"/>
      <c r="U133" s="149"/>
    </row>
    <row r="134" customFormat="false" ht="12.75" hidden="false" customHeight="false" outlineLevel="0" collapsed="false">
      <c r="A134" s="365" t="s">
        <v>480</v>
      </c>
      <c r="B134" s="1" t="s">
        <v>35</v>
      </c>
      <c r="S134" s="94"/>
      <c r="T134" s="94"/>
    </row>
    <row r="135" customFormat="false" ht="12.75" hidden="false" customHeight="false" outlineLevel="0" collapsed="false">
      <c r="A135" s="365" t="s">
        <v>476</v>
      </c>
      <c r="B135" s="1" t="s">
        <v>35</v>
      </c>
      <c r="L135" s="1" t="s">
        <v>584</v>
      </c>
      <c r="M135" s="380" t="n">
        <v>-0.15</v>
      </c>
      <c r="N135" s="1" t="s">
        <v>921</v>
      </c>
      <c r="O135" s="149" t="n">
        <v>-0.05</v>
      </c>
      <c r="P135" s="1" t="s">
        <v>922</v>
      </c>
      <c r="S135" s="94" t="s">
        <v>707</v>
      </c>
      <c r="T135" s="94"/>
      <c r="U135" s="149"/>
      <c r="W135" s="149"/>
    </row>
    <row r="136" customFormat="false" ht="12.75" hidden="false" customHeight="false" outlineLevel="0" collapsed="false">
      <c r="A136" s="365" t="s">
        <v>113</v>
      </c>
      <c r="B136" s="1" t="s">
        <v>35</v>
      </c>
      <c r="L136" s="1" t="s">
        <v>585</v>
      </c>
      <c r="M136" s="379" t="n">
        <v>-0.05</v>
      </c>
      <c r="N136" s="1" t="s">
        <v>935</v>
      </c>
      <c r="S136" s="94" t="s">
        <v>709</v>
      </c>
      <c r="T136" s="94"/>
      <c r="U136" s="150"/>
    </row>
    <row r="137" customFormat="false" ht="12.75" hidden="false" customHeight="false" outlineLevel="0" collapsed="false">
      <c r="A137" s="365" t="s">
        <v>134</v>
      </c>
      <c r="B137" s="1" t="s">
        <v>35</v>
      </c>
      <c r="L137" s="1" t="s">
        <v>586</v>
      </c>
      <c r="M137" s="380" t="n">
        <v>-0.25</v>
      </c>
      <c r="N137" s="1" t="s">
        <v>1009</v>
      </c>
      <c r="S137" s="94" t="s">
        <v>711</v>
      </c>
      <c r="T137" s="94"/>
      <c r="U137" s="149"/>
    </row>
    <row r="138" customFormat="false" ht="12.75" hidden="false" customHeight="false" outlineLevel="0" collapsed="false">
      <c r="A138" s="365" t="s">
        <v>118</v>
      </c>
      <c r="B138" s="1" t="s">
        <v>35</v>
      </c>
      <c r="S138" s="94"/>
      <c r="T138" s="94"/>
    </row>
    <row r="139" customFormat="false" ht="12.75" hidden="false" customHeight="false" outlineLevel="0" collapsed="false">
      <c r="A139" s="365" t="s">
        <v>1010</v>
      </c>
      <c r="B139" s="1" t="s">
        <v>35</v>
      </c>
      <c r="L139" s="1" t="s">
        <v>587</v>
      </c>
      <c r="M139" s="382" t="n">
        <v>0.075</v>
      </c>
      <c r="N139" s="1" t="s">
        <v>1011</v>
      </c>
      <c r="S139" s="94" t="s">
        <v>713</v>
      </c>
      <c r="T139" s="94"/>
      <c r="U139" s="150"/>
    </row>
    <row r="140" customFormat="false" ht="12.75" hidden="false" customHeight="false" outlineLevel="0" collapsed="false">
      <c r="A140" s="365" t="s">
        <v>116</v>
      </c>
      <c r="B140" s="1" t="s">
        <v>93</v>
      </c>
      <c r="L140" s="1" t="s">
        <v>588</v>
      </c>
      <c r="M140" s="379" t="n">
        <v>-0.075</v>
      </c>
      <c r="N140" s="1" t="s">
        <v>990</v>
      </c>
      <c r="S140" s="94" t="s">
        <v>715</v>
      </c>
      <c r="T140" s="94"/>
      <c r="U140" s="149"/>
    </row>
    <row r="141" customFormat="false" ht="12.75" hidden="false" customHeight="false" outlineLevel="0" collapsed="false">
      <c r="A141" s="365" t="s">
        <v>1012</v>
      </c>
      <c r="B141" s="1" t="s">
        <v>35</v>
      </c>
    </row>
    <row r="142" customFormat="false" ht="12.75" hidden="false" customHeight="false" outlineLevel="0" collapsed="false">
      <c r="A142" s="365" t="s">
        <v>1013</v>
      </c>
      <c r="B142" s="1" t="s">
        <v>35</v>
      </c>
      <c r="L142" s="1" t="s">
        <v>589</v>
      </c>
      <c r="M142" s="380" t="n">
        <v>-0.05</v>
      </c>
      <c r="N142" s="1" t="s">
        <v>993</v>
      </c>
      <c r="S142" s="1" t="s">
        <v>717</v>
      </c>
      <c r="U142" s="149"/>
    </row>
    <row r="143" customFormat="false" ht="12.75" hidden="false" customHeight="false" outlineLevel="0" collapsed="false">
      <c r="A143" s="365" t="s">
        <v>120</v>
      </c>
      <c r="B143" s="1" t="s">
        <v>35</v>
      </c>
    </row>
    <row r="144" customFormat="false" ht="12.75" hidden="false" customHeight="false" outlineLevel="0" collapsed="false">
      <c r="A144" s="365" t="s">
        <v>1014</v>
      </c>
      <c r="B144" s="1" t="s">
        <v>95</v>
      </c>
      <c r="L144" s="342" t="b">
        <f aca="false">OR(race=L145,race=L146,race=L147)</f>
        <v>1</v>
      </c>
      <c r="M144" s="1" t="n">
        <f aca="false">IF(L144=FALSE(),1,2)</f>
        <v>2</v>
      </c>
    </row>
    <row r="145" customFormat="false" ht="12.75" hidden="false" customHeight="false" outlineLevel="0" collapsed="false">
      <c r="A145" s="365" t="s">
        <v>1015</v>
      </c>
      <c r="B145" s="1" t="s">
        <v>95</v>
      </c>
      <c r="L145" s="1" t="s">
        <v>1012</v>
      </c>
    </row>
    <row r="146" customFormat="false" ht="12.75" hidden="false" customHeight="false" outlineLevel="0" collapsed="false">
      <c r="A146" s="365" t="s">
        <v>1016</v>
      </c>
      <c r="B146" s="1" t="s">
        <v>35</v>
      </c>
      <c r="L146" s="1" t="s">
        <v>1016</v>
      </c>
    </row>
    <row r="147" customFormat="false" ht="12.75" hidden="false" customHeight="false" outlineLevel="0" collapsed="false">
      <c r="A147" s="365" t="s">
        <v>131</v>
      </c>
      <c r="B147" s="1" t="s">
        <v>35</v>
      </c>
      <c r="L147" s="94" t="s">
        <v>9</v>
      </c>
      <c r="M147" s="149"/>
    </row>
    <row r="148" customFormat="false" ht="12.75" hidden="false" customHeight="false" outlineLevel="0" collapsed="false">
      <c r="A148" s="365" t="s">
        <v>136</v>
      </c>
      <c r="B148" s="1" t="s">
        <v>35</v>
      </c>
      <c r="L148" s="94"/>
    </row>
    <row r="149" customFormat="false" ht="12.75" hidden="false" customHeight="false" outlineLevel="0" collapsed="false">
      <c r="A149" s="365" t="s">
        <v>122</v>
      </c>
      <c r="B149" s="1" t="s">
        <v>35</v>
      </c>
      <c r="L149" s="94"/>
      <c r="M149" s="149"/>
    </row>
    <row r="150" customFormat="false" ht="12.75" hidden="false" customHeight="false" outlineLevel="0" collapsed="false">
      <c r="A150" s="365" t="s">
        <v>9</v>
      </c>
      <c r="B150" s="1" t="s">
        <v>35</v>
      </c>
    </row>
    <row r="151" customFormat="false" ht="12.75" hidden="false" customHeight="false" outlineLevel="0" collapsed="false">
      <c r="A151" s="365" t="s">
        <v>125</v>
      </c>
      <c r="B151" s="1" t="s">
        <v>93</v>
      </c>
    </row>
    <row r="152" customFormat="false" ht="12.75" hidden="false" customHeight="false" outlineLevel="0" collapsed="false">
      <c r="A152" s="365" t="s">
        <v>128</v>
      </c>
      <c r="B152" s="1" t="s">
        <v>95</v>
      </c>
    </row>
    <row r="153" customFormat="false" ht="12.75" hidden="false" customHeight="false" outlineLevel="0" collapsed="false">
      <c r="A153" s="365" t="s">
        <v>1017</v>
      </c>
      <c r="B153" s="1" t="s">
        <v>95</v>
      </c>
    </row>
    <row r="155" customFormat="false" ht="12.75" hidden="false" customHeight="false" outlineLevel="0" collapsed="false">
      <c r="A155" s="366" t="s">
        <v>1018</v>
      </c>
    </row>
    <row r="156" customFormat="false" ht="12.75" hidden="false" customHeight="false" outlineLevel="0" collapsed="false">
      <c r="A156" s="365" t="s">
        <v>34</v>
      </c>
      <c r="B156" s="1" t="n">
        <v>1</v>
      </c>
    </row>
    <row r="157" customFormat="false" ht="12.75" hidden="false" customHeight="false" outlineLevel="0" collapsed="false">
      <c r="A157" s="365" t="s">
        <v>93</v>
      </c>
      <c r="B157" s="1" t="n">
        <v>2</v>
      </c>
    </row>
    <row r="158" customFormat="false" ht="12.75" hidden="false" customHeight="false" outlineLevel="0" collapsed="false">
      <c r="A158" s="365" t="s">
        <v>35</v>
      </c>
      <c r="B158" s="1" t="n">
        <v>2</v>
      </c>
    </row>
    <row r="159" customFormat="false" ht="12.75" hidden="false" customHeight="false" outlineLevel="0" collapsed="false">
      <c r="A159" s="365" t="s">
        <v>97</v>
      </c>
      <c r="B159" s="1" t="n">
        <v>12</v>
      </c>
    </row>
    <row r="161" customFormat="false" ht="12.75" hidden="false" customHeight="false" outlineLevel="0" collapsed="false">
      <c r="A161" s="366" t="s">
        <v>1019</v>
      </c>
    </row>
    <row r="162" customFormat="false" ht="12.75" hidden="false" customHeight="false" outlineLevel="0" collapsed="false">
      <c r="A162" s="365" t="s">
        <v>92</v>
      </c>
      <c r="B162" s="149" t="n">
        <v>0.75</v>
      </c>
    </row>
    <row r="164" customFormat="false" ht="12.75" hidden="false" customHeight="false" outlineLevel="0" collapsed="false">
      <c r="A164" s="366" t="s">
        <v>1020</v>
      </c>
    </row>
    <row r="165" customFormat="false" ht="12.75" hidden="false" customHeight="false" outlineLevel="0" collapsed="false">
      <c r="A165" s="365" t="s">
        <v>841</v>
      </c>
      <c r="B165" s="1" t="n">
        <v>5</v>
      </c>
    </row>
  </sheetData>
  <conditionalFormatting sqref="J25:L25">
    <cfRule type="expression" priority="2" aboveAverage="0" equalAverage="0" bottom="0" percent="0" rank="0" text="" dxfId="114">
      <formula>$A$1275&lt;0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8ED5"/>
    <pageSetUpPr fitToPage="false"/>
  </sheetPr>
  <dimension ref="A1:AA13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4" topLeftCell="A59" activePane="bottomLeft" state="frozen"/>
      <selection pane="topLeft" activeCell="A1" activeCellId="0" sqref="A1"/>
      <selection pane="bottomLeft" activeCell="F77" activeCellId="0" sqref="F77"/>
    </sheetView>
  </sheetViews>
  <sheetFormatPr defaultColWidth="9.1484375" defaultRowHeight="19.5" zeroHeight="false" outlineLevelRow="0" outlineLevelCol="0"/>
  <cols>
    <col collapsed="false" customWidth="true" hidden="false" outlineLevel="0" max="1" min="1" style="385" width="15.71"/>
    <col collapsed="false" customWidth="true" hidden="false" outlineLevel="0" max="2" min="2" style="328" width="13.86"/>
    <col collapsed="false" customWidth="true" hidden="false" outlineLevel="0" max="3" min="3" style="328" width="14.42"/>
    <col collapsed="false" customWidth="true" hidden="false" outlineLevel="0" max="4" min="4" style="328" width="14.14"/>
    <col collapsed="false" customWidth="true" hidden="false" outlineLevel="0" max="7" min="5" style="68" width="14.14"/>
    <col collapsed="false" customWidth="true" hidden="false" outlineLevel="0" max="9" min="8" style="328" width="14.14"/>
    <col collapsed="false" customWidth="true" hidden="false" outlineLevel="0" max="23" min="10" style="328" width="7"/>
    <col collapsed="false" customWidth="true" hidden="false" outlineLevel="0" max="24" min="24" style="386" width="7"/>
    <col collapsed="false" customWidth="true" hidden="false" outlineLevel="0" max="26" min="25" style="328" width="7"/>
    <col collapsed="false" customWidth="false" hidden="false" outlineLevel="0" max="16384" min="27" style="328" width="9.14"/>
  </cols>
  <sheetData>
    <row r="1" s="387" customFormat="true" ht="19.5" hidden="false" customHeight="true" outlineLevel="0" collapsed="false">
      <c r="A1" s="387" t="s">
        <v>1021</v>
      </c>
      <c r="E1" s="388"/>
      <c r="F1" s="388"/>
      <c r="G1" s="388"/>
      <c r="X1" s="389"/>
    </row>
    <row r="2" customFormat="false" ht="19.5" hidden="false" customHeight="true" outlineLevel="0" collapsed="false">
      <c r="A2" s="328"/>
    </row>
    <row r="3" s="387" customFormat="true" ht="19.5" hidden="false" customHeight="true" outlineLevel="0" collapsed="false">
      <c r="A3" s="387" t="s">
        <v>1022</v>
      </c>
      <c r="D3" s="387" t="s">
        <v>1023</v>
      </c>
      <c r="E3" s="388"/>
      <c r="F3" s="388"/>
      <c r="G3" s="388"/>
      <c r="J3" s="387" t="s">
        <v>723</v>
      </c>
      <c r="X3" s="389"/>
    </row>
    <row r="4" customFormat="false" ht="87" hidden="false" customHeight="true" outlineLevel="0" collapsed="false">
      <c r="A4" s="387" t="s">
        <v>8</v>
      </c>
      <c r="B4" s="387" t="s">
        <v>1024</v>
      </c>
      <c r="C4" s="387" t="s">
        <v>1025</v>
      </c>
      <c r="D4" s="387" t="s">
        <v>1026</v>
      </c>
      <c r="E4" s="388" t="s">
        <v>1027</v>
      </c>
      <c r="F4" s="388" t="s">
        <v>1028</v>
      </c>
      <c r="G4" s="388" t="s">
        <v>1029</v>
      </c>
      <c r="H4" s="390" t="s">
        <v>1030</v>
      </c>
      <c r="I4" s="390" t="s">
        <v>36</v>
      </c>
      <c r="J4" s="391" t="s">
        <v>16</v>
      </c>
      <c r="K4" s="391" t="s">
        <v>21</v>
      </c>
      <c r="L4" s="391" t="s">
        <v>25</v>
      </c>
      <c r="M4" s="391" t="s">
        <v>28</v>
      </c>
      <c r="N4" s="391" t="s">
        <v>29</v>
      </c>
      <c r="O4" s="391" t="s">
        <v>30</v>
      </c>
      <c r="P4" s="391" t="s">
        <v>37</v>
      </c>
      <c r="Q4" s="391" t="s">
        <v>38</v>
      </c>
      <c r="R4" s="391" t="s">
        <v>39</v>
      </c>
      <c r="S4" s="391" t="s">
        <v>33</v>
      </c>
      <c r="T4" s="391" t="s">
        <v>32</v>
      </c>
      <c r="U4" s="392" t="s">
        <v>41</v>
      </c>
      <c r="V4" s="391" t="s">
        <v>43</v>
      </c>
      <c r="W4" s="391" t="s">
        <v>45</v>
      </c>
      <c r="X4" s="391" t="s">
        <v>47</v>
      </c>
      <c r="Y4" s="391" t="s">
        <v>49</v>
      </c>
      <c r="Z4" s="391" t="s">
        <v>50</v>
      </c>
      <c r="AA4" s="391" t="s">
        <v>51</v>
      </c>
    </row>
    <row r="5" s="399" customFormat="true" ht="19.5" hidden="false" customHeight="true" outlineLevel="0" collapsed="false">
      <c r="A5" s="328" t="s">
        <v>1007</v>
      </c>
      <c r="B5" s="393" t="s">
        <v>1031</v>
      </c>
      <c r="C5" s="328" t="s">
        <v>236</v>
      </c>
      <c r="D5" s="394" t="s">
        <v>1032</v>
      </c>
      <c r="E5" s="68" t="n">
        <v>3</v>
      </c>
      <c r="F5" s="68"/>
      <c r="G5" s="68" t="n">
        <v>275</v>
      </c>
      <c r="H5" s="328" t="n">
        <v>25</v>
      </c>
      <c r="I5" s="393" t="n">
        <v>5</v>
      </c>
      <c r="J5" s="395"/>
      <c r="K5" s="396"/>
      <c r="L5" s="396"/>
      <c r="M5" s="396" t="n">
        <v>0.05</v>
      </c>
      <c r="N5" s="396"/>
      <c r="O5" s="396"/>
      <c r="P5" s="396"/>
      <c r="Q5" s="396"/>
      <c r="R5" s="396"/>
      <c r="S5" s="396"/>
      <c r="T5" s="396"/>
      <c r="U5" s="396"/>
      <c r="V5" s="396"/>
      <c r="W5" s="68"/>
      <c r="X5" s="397"/>
      <c r="Y5" s="68"/>
      <c r="Z5" s="68"/>
      <c r="AA5" s="398"/>
    </row>
    <row r="6" customFormat="false" ht="19.5" hidden="false" customHeight="true" outlineLevel="0" collapsed="false">
      <c r="A6" s="328" t="s">
        <v>1007</v>
      </c>
      <c r="B6" s="393" t="s">
        <v>1031</v>
      </c>
      <c r="C6" s="328" t="s">
        <v>236</v>
      </c>
      <c r="D6" s="394" t="s">
        <v>1033</v>
      </c>
      <c r="F6" s="68" t="n">
        <v>3</v>
      </c>
      <c r="G6" s="68" t="n">
        <v>275</v>
      </c>
      <c r="H6" s="328" t="n">
        <v>15</v>
      </c>
      <c r="I6" s="393" t="n">
        <v>5</v>
      </c>
      <c r="J6" s="395"/>
      <c r="K6" s="396"/>
      <c r="L6" s="396"/>
      <c r="M6" s="396"/>
      <c r="N6" s="396"/>
      <c r="O6" s="396"/>
      <c r="P6" s="396"/>
      <c r="Q6" s="396"/>
      <c r="R6" s="396"/>
      <c r="S6" s="396"/>
      <c r="T6" s="396"/>
      <c r="U6" s="396"/>
      <c r="V6" s="396"/>
      <c r="W6" s="68"/>
      <c r="X6" s="397"/>
      <c r="Y6" s="68"/>
      <c r="Z6" s="68"/>
      <c r="AA6" s="398"/>
    </row>
    <row r="7" customFormat="false" ht="19.5" hidden="false" customHeight="true" outlineLevel="0" collapsed="false">
      <c r="A7" s="328" t="s">
        <v>1007</v>
      </c>
      <c r="B7" s="393" t="s">
        <v>1031</v>
      </c>
      <c r="C7" s="328" t="s">
        <v>236</v>
      </c>
      <c r="D7" s="394" t="s">
        <v>1034</v>
      </c>
      <c r="E7" s="68" t="n">
        <v>2</v>
      </c>
      <c r="F7" s="68" t="n">
        <v>6</v>
      </c>
      <c r="G7" s="68" t="n">
        <v>1000</v>
      </c>
      <c r="H7" s="328" t="n">
        <v>75</v>
      </c>
      <c r="I7" s="393" t="n">
        <f aca="false">1.8 * MIN(6, MAX(E7,F7)) + 0.45 * MIN(6, MIN(E7,F7)) + IF(E7&gt;6, (E7-6)*0.2) + IF(F7&gt;6, (F7-6)*0.2)</f>
        <v>11.7</v>
      </c>
      <c r="J7" s="395"/>
      <c r="K7" s="396"/>
      <c r="L7" s="396"/>
      <c r="M7" s="396"/>
      <c r="N7" s="396"/>
      <c r="O7" s="396"/>
      <c r="P7" s="396"/>
      <c r="Q7" s="396"/>
      <c r="R7" s="396"/>
      <c r="S7" s="396"/>
      <c r="T7" s="396"/>
      <c r="U7" s="396"/>
      <c r="V7" s="396"/>
      <c r="W7" s="68"/>
      <c r="X7" s="397"/>
      <c r="Y7" s="68"/>
      <c r="Z7" s="68"/>
      <c r="AA7" s="398"/>
    </row>
    <row r="8" s="402" customFormat="true" ht="19.5" hidden="false" customHeight="true" outlineLevel="0" collapsed="false">
      <c r="A8" s="328" t="s">
        <v>1007</v>
      </c>
      <c r="B8" s="393" t="s">
        <v>1031</v>
      </c>
      <c r="C8" s="328" t="s">
        <v>236</v>
      </c>
      <c r="D8" s="400" t="s">
        <v>1035</v>
      </c>
      <c r="E8" s="401" t="n">
        <v>6</v>
      </c>
      <c r="F8" s="401" t="n">
        <v>3</v>
      </c>
      <c r="G8" s="401" t="n">
        <v>1250</v>
      </c>
      <c r="H8" s="402" t="n">
        <v>100</v>
      </c>
      <c r="I8" s="393" t="n">
        <f aca="false">1.8 * MIN(6, MAX(E8,F8)) + 0.45 * MIN(6, MIN(E8,F8)) + IF(E8&gt;6, (E8-6)*0.2) + IF(F8&gt;6, (F8-6)*0.2)</f>
        <v>12.15</v>
      </c>
      <c r="J8" s="403"/>
      <c r="K8" s="404"/>
      <c r="L8" s="404"/>
      <c r="M8" s="404"/>
      <c r="N8" s="404"/>
      <c r="O8" s="404"/>
      <c r="P8" s="404"/>
      <c r="Q8" s="404"/>
      <c r="R8" s="404"/>
      <c r="S8" s="404"/>
      <c r="T8" s="404"/>
      <c r="U8" s="404"/>
      <c r="V8" s="404"/>
      <c r="W8" s="401"/>
      <c r="X8" s="405"/>
      <c r="Y8" s="401"/>
      <c r="Z8" s="401"/>
      <c r="AA8" s="406"/>
    </row>
    <row r="9" s="399" customFormat="true" ht="19.5" hidden="false" customHeight="true" outlineLevel="0" collapsed="false">
      <c r="A9" s="399" t="s">
        <v>480</v>
      </c>
      <c r="B9" s="407" t="s">
        <v>1036</v>
      </c>
      <c r="C9" s="399" t="s">
        <v>236</v>
      </c>
      <c r="D9" s="408" t="s">
        <v>1037</v>
      </c>
      <c r="E9" s="409" t="n">
        <v>3</v>
      </c>
      <c r="F9" s="409"/>
      <c r="G9" s="409" t="n">
        <v>325</v>
      </c>
      <c r="H9" s="399" t="n">
        <v>25</v>
      </c>
      <c r="I9" s="407" t="n">
        <v>5</v>
      </c>
      <c r="J9" s="410"/>
      <c r="K9" s="411"/>
      <c r="L9" s="411"/>
      <c r="M9" s="411"/>
      <c r="N9" s="411"/>
      <c r="O9" s="411"/>
      <c r="P9" s="411"/>
      <c r="Q9" s="411"/>
      <c r="R9" s="411"/>
      <c r="S9" s="411"/>
      <c r="T9" s="411"/>
      <c r="U9" s="411"/>
      <c r="V9" s="411"/>
      <c r="W9" s="68"/>
      <c r="X9" s="397"/>
      <c r="Y9" s="411"/>
      <c r="Z9" s="409"/>
      <c r="AA9" s="398"/>
    </row>
    <row r="10" customFormat="false" ht="19.5" hidden="false" customHeight="true" outlineLevel="0" collapsed="false">
      <c r="A10" s="328" t="s">
        <v>480</v>
      </c>
      <c r="B10" s="393" t="s">
        <v>1036</v>
      </c>
      <c r="C10" s="328" t="s">
        <v>236</v>
      </c>
      <c r="D10" s="394" t="s">
        <v>1038</v>
      </c>
      <c r="F10" s="68" t="n">
        <v>3</v>
      </c>
      <c r="G10" s="68" t="n">
        <v>285</v>
      </c>
      <c r="H10" s="328" t="n">
        <v>15</v>
      </c>
      <c r="I10" s="393" t="n">
        <v>5</v>
      </c>
      <c r="J10" s="395"/>
      <c r="K10" s="396"/>
      <c r="L10" s="396"/>
      <c r="M10" s="396"/>
      <c r="N10" s="396"/>
      <c r="O10" s="396"/>
      <c r="P10" s="396"/>
      <c r="Q10" s="396"/>
      <c r="R10" s="396"/>
      <c r="S10" s="396"/>
      <c r="T10" s="396"/>
      <c r="U10" s="396"/>
      <c r="V10" s="396"/>
      <c r="W10" s="68"/>
      <c r="X10" s="397"/>
      <c r="Y10" s="68"/>
      <c r="Z10" s="68"/>
      <c r="AA10" s="398"/>
    </row>
    <row r="11" customFormat="false" ht="19.5" hidden="false" customHeight="true" outlineLevel="0" collapsed="false">
      <c r="A11" s="328" t="s">
        <v>480</v>
      </c>
      <c r="B11" s="393" t="s">
        <v>1036</v>
      </c>
      <c r="C11" s="328" t="s">
        <v>236</v>
      </c>
      <c r="D11" s="394" t="s">
        <v>1039</v>
      </c>
      <c r="E11" s="68" t="n">
        <v>2</v>
      </c>
      <c r="F11" s="68" t="n">
        <v>5</v>
      </c>
      <c r="G11" s="68" t="n">
        <v>1000</v>
      </c>
      <c r="H11" s="328" t="n">
        <v>25</v>
      </c>
      <c r="I11" s="393" t="n">
        <f aca="false">1.8 * MIN(6, MAX(E11,F11)) + 0.45 * MIN(6, MIN(E11,F11)) + IF(E11&gt;6, (E11-6)*0.2) + IF(F11&gt;6, (F11-6)*0.2)</f>
        <v>9.9</v>
      </c>
      <c r="J11" s="395"/>
      <c r="K11" s="396"/>
      <c r="L11" s="396"/>
      <c r="M11" s="396"/>
      <c r="N11" s="396"/>
      <c r="O11" s="396"/>
      <c r="P11" s="396"/>
      <c r="Q11" s="396"/>
      <c r="R11" s="396"/>
      <c r="S11" s="396"/>
      <c r="T11" s="396"/>
      <c r="U11" s="396"/>
      <c r="V11" s="396"/>
      <c r="W11" s="68"/>
      <c r="X11" s="397"/>
      <c r="Y11" s="68"/>
      <c r="Z11" s="68"/>
      <c r="AA11" s="398"/>
    </row>
    <row r="12" customFormat="false" ht="19.5" hidden="false" customHeight="true" outlineLevel="0" collapsed="false">
      <c r="A12" s="328" t="s">
        <v>480</v>
      </c>
      <c r="B12" s="393" t="s">
        <v>1036</v>
      </c>
      <c r="C12" s="328" t="s">
        <v>236</v>
      </c>
      <c r="D12" s="394" t="s">
        <v>1040</v>
      </c>
      <c r="E12" s="68" t="n">
        <v>6</v>
      </c>
      <c r="F12" s="68" t="n">
        <v>3</v>
      </c>
      <c r="G12" s="68" t="n">
        <v>1150</v>
      </c>
      <c r="H12" s="328" t="n">
        <v>40</v>
      </c>
      <c r="I12" s="393" t="n">
        <f aca="false">1.8 * MIN(6, MAX(E12,F12)) + 0.45 * MIN(6, MIN(E12,F12)) + IF(E12&gt;6, (E12-6)*0.2) + IF(F12&gt;6, (F12-6)*0.2)</f>
        <v>12.15</v>
      </c>
      <c r="J12" s="395"/>
      <c r="K12" s="396"/>
      <c r="L12" s="396"/>
      <c r="M12" s="396"/>
      <c r="N12" s="396"/>
      <c r="O12" s="396"/>
      <c r="P12" s="396"/>
      <c r="Q12" s="396"/>
      <c r="R12" s="396"/>
      <c r="S12" s="396"/>
      <c r="T12" s="396"/>
      <c r="U12" s="396"/>
      <c r="V12" s="396"/>
      <c r="W12" s="401"/>
      <c r="X12" s="405"/>
      <c r="Y12" s="68"/>
      <c r="Z12" s="68"/>
      <c r="AA12" s="406"/>
    </row>
    <row r="13" s="399" customFormat="true" ht="19.5" hidden="false" customHeight="true" outlineLevel="0" collapsed="false">
      <c r="A13" s="399" t="s">
        <v>476</v>
      </c>
      <c r="B13" s="407" t="s">
        <v>1031</v>
      </c>
      <c r="C13" s="399" t="s">
        <v>238</v>
      </c>
      <c r="D13" s="408" t="s">
        <v>1041</v>
      </c>
      <c r="E13" s="409" t="n">
        <v>3</v>
      </c>
      <c r="F13" s="409"/>
      <c r="G13" s="409" t="n">
        <v>275</v>
      </c>
      <c r="H13" s="399" t="n">
        <v>25</v>
      </c>
      <c r="I13" s="407" t="n">
        <v>5</v>
      </c>
      <c r="J13" s="410" t="n">
        <v>0.075</v>
      </c>
      <c r="K13" s="411"/>
      <c r="L13" s="411"/>
      <c r="M13" s="411"/>
      <c r="N13" s="411"/>
      <c r="O13" s="411"/>
      <c r="P13" s="411" t="n">
        <v>0.1</v>
      </c>
      <c r="Q13" s="411"/>
      <c r="R13" s="411"/>
      <c r="S13" s="411"/>
      <c r="T13" s="411"/>
      <c r="U13" s="411"/>
      <c r="V13" s="411"/>
      <c r="W13" s="396"/>
      <c r="X13" s="397"/>
      <c r="Y13" s="409"/>
      <c r="Z13" s="409"/>
      <c r="AA13" s="398"/>
    </row>
    <row r="14" customFormat="false" ht="19.5" hidden="false" customHeight="true" outlineLevel="0" collapsed="false">
      <c r="A14" s="328" t="s">
        <v>476</v>
      </c>
      <c r="B14" s="393" t="s">
        <v>1031</v>
      </c>
      <c r="C14" s="328" t="s">
        <v>238</v>
      </c>
      <c r="D14" s="394" t="s">
        <v>1042</v>
      </c>
      <c r="F14" s="68" t="n">
        <v>3</v>
      </c>
      <c r="G14" s="68" t="n">
        <v>350</v>
      </c>
      <c r="H14" s="328" t="n">
        <v>20</v>
      </c>
      <c r="I14" s="393" t="n">
        <v>5</v>
      </c>
      <c r="J14" s="395"/>
      <c r="K14" s="396"/>
      <c r="L14" s="396"/>
      <c r="M14" s="396"/>
      <c r="N14" s="396"/>
      <c r="O14" s="396"/>
      <c r="P14" s="396"/>
      <c r="Q14" s="396"/>
      <c r="R14" s="396"/>
      <c r="S14" s="396"/>
      <c r="T14" s="396"/>
      <c r="U14" s="396"/>
      <c r="V14" s="396"/>
      <c r="W14" s="68"/>
      <c r="X14" s="397"/>
      <c r="Y14" s="68"/>
      <c r="Z14" s="68"/>
      <c r="AA14" s="398"/>
    </row>
    <row r="15" customFormat="false" ht="19.5" hidden="false" customHeight="true" outlineLevel="0" collapsed="false">
      <c r="A15" s="328" t="s">
        <v>476</v>
      </c>
      <c r="B15" s="393" t="s">
        <v>1031</v>
      </c>
      <c r="C15" s="328" t="s">
        <v>238</v>
      </c>
      <c r="D15" s="394" t="s">
        <v>1043</v>
      </c>
      <c r="E15" s="68" t="n">
        <v>4</v>
      </c>
      <c r="F15" s="68" t="n">
        <v>4.5</v>
      </c>
      <c r="G15" s="68" t="n">
        <v>835</v>
      </c>
      <c r="H15" s="328" t="n">
        <v>0</v>
      </c>
      <c r="I15" s="393" t="n">
        <f aca="false">1.8 * MIN(6, MAX(E15,F15)) + 0.45 * MIN(6, MIN(E15,F15)) + IF(E15&gt;6, (E15-6)*0.2) + IF(F15&gt;6, (F15-6)*0.2)</f>
        <v>9.9</v>
      </c>
      <c r="J15" s="395"/>
      <c r="K15" s="396"/>
      <c r="L15" s="396"/>
      <c r="M15" s="396"/>
      <c r="N15" s="396"/>
      <c r="O15" s="396"/>
      <c r="P15" s="396"/>
      <c r="Q15" s="396"/>
      <c r="R15" s="396"/>
      <c r="S15" s="396"/>
      <c r="T15" s="396"/>
      <c r="U15" s="396"/>
      <c r="V15" s="396"/>
      <c r="W15" s="68"/>
      <c r="X15" s="397"/>
      <c r="Y15" s="68"/>
      <c r="Z15" s="68"/>
      <c r="AA15" s="398"/>
    </row>
    <row r="16" s="402" customFormat="true" ht="19.5" hidden="false" customHeight="true" outlineLevel="0" collapsed="false">
      <c r="A16" s="402" t="s">
        <v>476</v>
      </c>
      <c r="B16" s="412" t="s">
        <v>1031</v>
      </c>
      <c r="C16" s="402" t="s">
        <v>238</v>
      </c>
      <c r="D16" s="400" t="s">
        <v>1044</v>
      </c>
      <c r="E16" s="401" t="n">
        <v>7</v>
      </c>
      <c r="F16" s="401" t="n">
        <v>2</v>
      </c>
      <c r="G16" s="401" t="n">
        <v>1215</v>
      </c>
      <c r="H16" s="402" t="n">
        <v>85</v>
      </c>
      <c r="I16" s="393" t="n">
        <f aca="false">1.8 * MIN(6, MAX(E16,F16)) + 0.45 * MIN(6, MIN(E16,F16)) + IF(E16&gt;6, (E16-6)*0.2) + IF(F16&gt;6, (F16-6)*0.2)</f>
        <v>11.9</v>
      </c>
      <c r="J16" s="403"/>
      <c r="K16" s="404"/>
      <c r="L16" s="404"/>
      <c r="M16" s="404"/>
      <c r="N16" s="404"/>
      <c r="O16" s="404"/>
      <c r="P16" s="404"/>
      <c r="Q16" s="404"/>
      <c r="R16" s="404"/>
      <c r="S16" s="404"/>
      <c r="T16" s="404"/>
      <c r="U16" s="404"/>
      <c r="V16" s="404"/>
      <c r="W16" s="401"/>
      <c r="X16" s="405"/>
      <c r="Y16" s="401"/>
      <c r="Z16" s="401"/>
      <c r="AA16" s="406"/>
    </row>
    <row r="17" s="399" customFormat="true" ht="19.5" hidden="false" customHeight="true" outlineLevel="0" collapsed="false">
      <c r="A17" s="399" t="s">
        <v>113</v>
      </c>
      <c r="B17" s="407" t="s">
        <v>1031</v>
      </c>
      <c r="C17" s="399" t="s">
        <v>237</v>
      </c>
      <c r="D17" s="408" t="s">
        <v>1045</v>
      </c>
      <c r="E17" s="409" t="n">
        <v>3</v>
      </c>
      <c r="F17" s="409"/>
      <c r="G17" s="409" t="n">
        <v>275</v>
      </c>
      <c r="H17" s="399" t="n">
        <v>25</v>
      </c>
      <c r="I17" s="407" t="n">
        <v>5</v>
      </c>
      <c r="J17" s="410" t="n">
        <v>-0.05</v>
      </c>
      <c r="K17" s="411"/>
      <c r="L17" s="411"/>
      <c r="M17" s="411"/>
      <c r="N17" s="411" t="n">
        <v>0.1</v>
      </c>
      <c r="O17" s="411"/>
      <c r="P17" s="411"/>
      <c r="Q17" s="411"/>
      <c r="R17" s="411"/>
      <c r="S17" s="411"/>
      <c r="T17" s="410" t="n">
        <v>0.025</v>
      </c>
      <c r="U17" s="411" t="n">
        <v>0.1</v>
      </c>
      <c r="V17" s="411" t="n">
        <v>0.1</v>
      </c>
      <c r="W17" s="68"/>
      <c r="X17" s="397" t="n">
        <v>0.1</v>
      </c>
      <c r="Y17" s="409"/>
      <c r="Z17" s="409"/>
      <c r="AA17" s="398"/>
    </row>
    <row r="18" customFormat="false" ht="19.5" hidden="false" customHeight="true" outlineLevel="0" collapsed="false">
      <c r="A18" s="328" t="s">
        <v>113</v>
      </c>
      <c r="B18" s="393" t="s">
        <v>1031</v>
      </c>
      <c r="C18" s="328" t="s">
        <v>237</v>
      </c>
      <c r="D18" s="394" t="s">
        <v>1046</v>
      </c>
      <c r="F18" s="68" t="n">
        <v>4</v>
      </c>
      <c r="G18" s="68" t="n">
        <v>360</v>
      </c>
      <c r="H18" s="328" t="n">
        <v>10</v>
      </c>
      <c r="I18" s="393" t="n">
        <v>5</v>
      </c>
      <c r="J18" s="395"/>
      <c r="K18" s="396"/>
      <c r="L18" s="396"/>
      <c r="M18" s="396"/>
      <c r="N18" s="396"/>
      <c r="O18" s="396"/>
      <c r="P18" s="396"/>
      <c r="Q18" s="396"/>
      <c r="R18" s="396"/>
      <c r="S18" s="396"/>
      <c r="T18" s="396"/>
      <c r="U18" s="396"/>
      <c r="V18" s="396"/>
      <c r="W18" s="68"/>
      <c r="X18" s="397"/>
      <c r="Y18" s="68"/>
      <c r="Z18" s="68"/>
      <c r="AA18" s="398"/>
    </row>
    <row r="19" customFormat="false" ht="19.5" hidden="false" customHeight="true" outlineLevel="0" collapsed="false">
      <c r="A19" s="328" t="s">
        <v>113</v>
      </c>
      <c r="B19" s="393" t="s">
        <v>1031</v>
      </c>
      <c r="C19" s="328" t="s">
        <v>237</v>
      </c>
      <c r="D19" s="394" t="s">
        <v>114</v>
      </c>
      <c r="E19" s="68" t="n">
        <v>0</v>
      </c>
      <c r="F19" s="68" t="n">
        <v>4</v>
      </c>
      <c r="G19" s="68" t="n">
        <v>1150</v>
      </c>
      <c r="H19" s="328" t="n">
        <v>0</v>
      </c>
      <c r="I19" s="393" t="n">
        <f aca="false">1.8 * MIN(6, MAX(E19,F19)) + 0.45 * MIN(6, MIN(E19,F19)) + IF(E19&gt;6, (E19-6)*0.2) + IF(F19&gt;6, (F19-6)*0.2)</f>
        <v>7.2</v>
      </c>
      <c r="J19" s="395"/>
      <c r="K19" s="396"/>
      <c r="L19" s="396"/>
      <c r="M19" s="396"/>
      <c r="N19" s="396"/>
      <c r="O19" s="396"/>
      <c r="P19" s="396"/>
      <c r="Q19" s="396"/>
      <c r="R19" s="396"/>
      <c r="S19" s="396"/>
      <c r="T19" s="396"/>
      <c r="U19" s="396"/>
      <c r="V19" s="396"/>
      <c r="W19" s="68"/>
      <c r="X19" s="397"/>
      <c r="Y19" s="68"/>
      <c r="Z19" s="68"/>
      <c r="AA19" s="398"/>
    </row>
    <row r="20" s="402" customFormat="true" ht="19.5" hidden="false" customHeight="true" outlineLevel="0" collapsed="false">
      <c r="A20" s="402" t="s">
        <v>113</v>
      </c>
      <c r="B20" s="412" t="s">
        <v>1031</v>
      </c>
      <c r="C20" s="402" t="s">
        <v>237</v>
      </c>
      <c r="D20" s="400" t="s">
        <v>115</v>
      </c>
      <c r="E20" s="401" t="n">
        <v>3</v>
      </c>
      <c r="F20" s="401" t="n">
        <v>1</v>
      </c>
      <c r="G20" s="401" t="n">
        <v>1100</v>
      </c>
      <c r="H20" s="402" t="n">
        <v>0</v>
      </c>
      <c r="I20" s="393" t="n">
        <f aca="false">1.8 * MIN(6, MAX(E20,F20)) + 0.45 * MIN(6, MIN(E20,F20)) + IF(E20&gt;6, (E20-6)*0.2) + IF(F20&gt;6, (F20-6)*0.2)</f>
        <v>5.85</v>
      </c>
      <c r="J20" s="403"/>
      <c r="K20" s="404"/>
      <c r="L20" s="404"/>
      <c r="M20" s="404"/>
      <c r="N20" s="404"/>
      <c r="O20" s="404"/>
      <c r="P20" s="404"/>
      <c r="Q20" s="404"/>
      <c r="R20" s="404"/>
      <c r="S20" s="404"/>
      <c r="T20" s="404"/>
      <c r="U20" s="404"/>
      <c r="V20" s="404"/>
      <c r="W20" s="401"/>
      <c r="X20" s="405"/>
      <c r="Y20" s="401"/>
      <c r="Z20" s="401"/>
      <c r="AA20" s="406"/>
    </row>
    <row r="21" s="399" customFormat="true" ht="19.5" hidden="false" customHeight="true" outlineLevel="0" collapsed="false">
      <c r="A21" s="399" t="s">
        <v>134</v>
      </c>
      <c r="B21" s="407" t="s">
        <v>1031</v>
      </c>
      <c r="C21" s="399" t="s">
        <v>239</v>
      </c>
      <c r="D21" s="408" t="s">
        <v>1047</v>
      </c>
      <c r="E21" s="409" t="n">
        <v>3</v>
      </c>
      <c r="F21" s="409"/>
      <c r="G21" s="409" t="n">
        <v>275</v>
      </c>
      <c r="H21" s="399" t="n">
        <v>15</v>
      </c>
      <c r="I21" s="407" t="n">
        <v>5</v>
      </c>
      <c r="J21" s="410" t="n">
        <v>0.05</v>
      </c>
      <c r="K21" s="411"/>
      <c r="L21" s="411"/>
      <c r="M21" s="411"/>
      <c r="N21" s="411"/>
      <c r="O21" s="411"/>
      <c r="P21" s="411"/>
      <c r="Q21" s="411"/>
      <c r="R21" s="411" t="n">
        <v>-0.3</v>
      </c>
      <c r="S21" s="411" t="n">
        <v>0.1</v>
      </c>
      <c r="T21" s="411"/>
      <c r="U21" s="411" t="n">
        <v>0.3</v>
      </c>
      <c r="V21" s="411"/>
      <c r="W21" s="68"/>
      <c r="X21" s="397"/>
      <c r="Y21" s="409"/>
      <c r="Z21" s="409"/>
      <c r="AA21" s="398"/>
    </row>
    <row r="22" customFormat="false" ht="19.5" hidden="false" customHeight="true" outlineLevel="0" collapsed="false">
      <c r="A22" s="328" t="s">
        <v>134</v>
      </c>
      <c r="B22" s="393" t="s">
        <v>1031</v>
      </c>
      <c r="C22" s="328" t="s">
        <v>239</v>
      </c>
      <c r="D22" s="394" t="s">
        <v>1048</v>
      </c>
      <c r="F22" s="68" t="n">
        <v>3</v>
      </c>
      <c r="G22" s="68" t="n">
        <v>300</v>
      </c>
      <c r="H22" s="328" t="n">
        <v>0</v>
      </c>
      <c r="I22" s="393" t="n">
        <v>5</v>
      </c>
      <c r="J22" s="395"/>
      <c r="K22" s="396"/>
      <c r="L22" s="396"/>
      <c r="M22" s="396"/>
      <c r="N22" s="396"/>
      <c r="O22" s="396"/>
      <c r="P22" s="396"/>
      <c r="Q22" s="396"/>
      <c r="R22" s="396"/>
      <c r="S22" s="396"/>
      <c r="T22" s="396"/>
      <c r="U22" s="396"/>
      <c r="V22" s="396"/>
      <c r="W22" s="68"/>
      <c r="X22" s="397"/>
      <c r="Y22" s="68"/>
      <c r="Z22" s="68"/>
      <c r="AA22" s="398"/>
    </row>
    <row r="23" customFormat="false" ht="19.5" hidden="false" customHeight="true" outlineLevel="0" collapsed="false">
      <c r="A23" s="328" t="s">
        <v>134</v>
      </c>
      <c r="B23" s="393" t="s">
        <v>1031</v>
      </c>
      <c r="C23" s="328" t="s">
        <v>239</v>
      </c>
      <c r="D23" s="394" t="s">
        <v>135</v>
      </c>
      <c r="E23" s="68" t="n">
        <v>2</v>
      </c>
      <c r="F23" s="68" t="n">
        <v>4</v>
      </c>
      <c r="G23" s="68" t="n">
        <v>900</v>
      </c>
      <c r="H23" s="328" t="n">
        <v>30</v>
      </c>
      <c r="I23" s="393" t="n">
        <v>8.1</v>
      </c>
      <c r="J23" s="395"/>
      <c r="K23" s="68"/>
      <c r="L23" s="68"/>
      <c r="M23" s="68"/>
      <c r="N23" s="68"/>
      <c r="O23" s="68"/>
      <c r="P23" s="68"/>
      <c r="Q23" s="396"/>
      <c r="R23" s="396"/>
      <c r="S23" s="396"/>
      <c r="T23" s="396"/>
      <c r="U23" s="396"/>
      <c r="V23" s="396"/>
      <c r="W23" s="68"/>
      <c r="X23" s="397"/>
      <c r="Y23" s="68"/>
      <c r="Z23" s="68"/>
      <c r="AA23" s="398"/>
    </row>
    <row r="24" s="402" customFormat="true" ht="19.5" hidden="false" customHeight="true" outlineLevel="0" collapsed="false">
      <c r="A24" s="402" t="s">
        <v>134</v>
      </c>
      <c r="B24" s="412" t="s">
        <v>1031</v>
      </c>
      <c r="C24" s="402" t="s">
        <v>239</v>
      </c>
      <c r="D24" s="394" t="s">
        <v>1049</v>
      </c>
      <c r="E24" s="68" t="n">
        <v>5</v>
      </c>
      <c r="F24" s="68" t="n">
        <v>3</v>
      </c>
      <c r="G24" s="68" t="n">
        <v>900</v>
      </c>
      <c r="H24" s="328" t="n">
        <v>25</v>
      </c>
      <c r="I24" s="393" t="n">
        <f aca="false">1.8 * MIN(6, MAX(E24,F24)) + 0.45 * MIN(6, MIN(E24,F24)) + IF(E24&gt;6, (E24-6)*0.2) + IF(F24&gt;6, (F24-6)*0.2)</f>
        <v>10.35</v>
      </c>
      <c r="J24" s="403"/>
      <c r="K24" s="404"/>
      <c r="L24" s="404"/>
      <c r="M24" s="404"/>
      <c r="N24" s="404"/>
      <c r="O24" s="404"/>
      <c r="P24" s="404"/>
      <c r="Q24" s="404"/>
      <c r="R24" s="404"/>
      <c r="S24" s="404"/>
      <c r="T24" s="404"/>
      <c r="U24" s="404"/>
      <c r="V24" s="404"/>
      <c r="W24" s="401"/>
      <c r="X24" s="405"/>
      <c r="Y24" s="401"/>
      <c r="Z24" s="401"/>
      <c r="AA24" s="406"/>
    </row>
    <row r="25" s="399" customFormat="true" ht="19.5" hidden="false" customHeight="true" outlineLevel="0" collapsed="false">
      <c r="A25" s="399" t="s">
        <v>118</v>
      </c>
      <c r="B25" s="407" t="s">
        <v>1031</v>
      </c>
      <c r="C25" s="399" t="s">
        <v>238</v>
      </c>
      <c r="D25" s="408" t="s">
        <v>1050</v>
      </c>
      <c r="E25" s="409" t="n">
        <v>4</v>
      </c>
      <c r="F25" s="409"/>
      <c r="G25" s="409" t="n">
        <v>200</v>
      </c>
      <c r="H25" s="399" t="n">
        <v>50</v>
      </c>
      <c r="I25" s="407" t="n">
        <v>5</v>
      </c>
      <c r="J25" s="410" t="n">
        <v>-0.05</v>
      </c>
      <c r="K25" s="411"/>
      <c r="L25" s="411"/>
      <c r="M25" s="411"/>
      <c r="N25" s="411"/>
      <c r="O25" s="411"/>
      <c r="P25" s="411"/>
      <c r="Q25" s="411" t="n">
        <v>0.05</v>
      </c>
      <c r="R25" s="411" t="n">
        <v>-0.2</v>
      </c>
      <c r="S25" s="411"/>
      <c r="T25" s="410" t="n">
        <v>0.075</v>
      </c>
      <c r="U25" s="411"/>
      <c r="V25" s="411"/>
      <c r="W25" s="68"/>
      <c r="X25" s="397"/>
      <c r="Y25" s="409"/>
      <c r="Z25" s="409"/>
      <c r="AA25" s="398"/>
    </row>
    <row r="26" customFormat="false" ht="19.5" hidden="false" customHeight="true" outlineLevel="0" collapsed="false">
      <c r="A26" s="328" t="s">
        <v>118</v>
      </c>
      <c r="B26" s="393" t="s">
        <v>1031</v>
      </c>
      <c r="C26" s="328" t="s">
        <v>238</v>
      </c>
      <c r="D26" s="394" t="s">
        <v>1051</v>
      </c>
      <c r="F26" s="68" t="n">
        <v>3</v>
      </c>
      <c r="G26" s="68" t="n">
        <v>300</v>
      </c>
      <c r="H26" s="328" t="n">
        <v>5</v>
      </c>
      <c r="I26" s="393" t="n">
        <v>5</v>
      </c>
      <c r="J26" s="395"/>
      <c r="K26" s="396"/>
      <c r="L26" s="396"/>
      <c r="M26" s="396"/>
      <c r="N26" s="396"/>
      <c r="O26" s="396"/>
      <c r="P26" s="396"/>
      <c r="Q26" s="396"/>
      <c r="R26" s="396"/>
      <c r="S26" s="396"/>
      <c r="T26" s="396"/>
      <c r="U26" s="396"/>
      <c r="V26" s="396"/>
      <c r="W26" s="68"/>
      <c r="X26" s="397"/>
      <c r="Y26" s="68"/>
      <c r="Z26" s="68"/>
      <c r="AA26" s="398"/>
    </row>
    <row r="27" customFormat="false" ht="19.5" hidden="false" customHeight="true" outlineLevel="0" collapsed="false">
      <c r="A27" s="328" t="s">
        <v>118</v>
      </c>
      <c r="B27" s="393" t="s">
        <v>1031</v>
      </c>
      <c r="C27" s="328" t="s">
        <v>238</v>
      </c>
      <c r="D27" s="394" t="s">
        <v>119</v>
      </c>
      <c r="E27" s="68" t="n">
        <v>2</v>
      </c>
      <c r="F27" s="68" t="n">
        <v>4</v>
      </c>
      <c r="G27" s="68" t="n">
        <v>675</v>
      </c>
      <c r="H27" s="328" t="n">
        <v>330</v>
      </c>
      <c r="I27" s="393" t="n">
        <f aca="false">1.8 * MIN(6, MAX(E27,F27)) + 0.45 * MIN(6, MIN(E27,F27)) + IF(E27&gt;6, (E27-6)*0.2) + IF(F27&gt;6, (F27-6)*0.2)</f>
        <v>8.1</v>
      </c>
      <c r="J27" s="395"/>
      <c r="K27" s="396"/>
      <c r="L27" s="396"/>
      <c r="M27" s="396"/>
      <c r="N27" s="396"/>
      <c r="O27" s="396"/>
      <c r="P27" s="396"/>
      <c r="Q27" s="396"/>
      <c r="R27" s="396"/>
      <c r="S27" s="396"/>
      <c r="T27" s="396"/>
      <c r="U27" s="396"/>
      <c r="V27" s="396"/>
      <c r="W27" s="68"/>
      <c r="X27" s="397"/>
      <c r="Y27" s="68"/>
      <c r="Z27" s="68"/>
      <c r="AA27" s="398"/>
    </row>
    <row r="28" s="402" customFormat="true" ht="19.5" hidden="false" customHeight="true" outlineLevel="0" collapsed="false">
      <c r="A28" s="402" t="s">
        <v>118</v>
      </c>
      <c r="B28" s="412" t="s">
        <v>1031</v>
      </c>
      <c r="C28" s="402" t="s">
        <v>238</v>
      </c>
      <c r="D28" s="400" t="s">
        <v>1052</v>
      </c>
      <c r="E28" s="401" t="n">
        <v>6.5</v>
      </c>
      <c r="F28" s="401" t="n">
        <v>3</v>
      </c>
      <c r="G28" s="401" t="n">
        <v>750</v>
      </c>
      <c r="H28" s="402" t="n">
        <v>550</v>
      </c>
      <c r="I28" s="393" t="n">
        <f aca="false">1.8 * MIN(6, MAX(E28,F28)) + 0.45 * MIN(6, MIN(E28,F28)) + IF(E28&gt;6, (E28-6)*0.2) + IF(F28&gt;6, (F28-6)*0.2)</f>
        <v>12.25</v>
      </c>
      <c r="J28" s="403"/>
      <c r="K28" s="404"/>
      <c r="L28" s="404"/>
      <c r="M28" s="404"/>
      <c r="N28" s="404"/>
      <c r="O28" s="404"/>
      <c r="P28" s="404"/>
      <c r="Q28" s="404"/>
      <c r="R28" s="404"/>
      <c r="S28" s="404"/>
      <c r="T28" s="404"/>
      <c r="U28" s="404"/>
      <c r="V28" s="404"/>
      <c r="W28" s="401"/>
      <c r="X28" s="405"/>
      <c r="Y28" s="401"/>
      <c r="Z28" s="401"/>
      <c r="AA28" s="406"/>
    </row>
    <row r="29" s="399" customFormat="true" ht="19.5" hidden="false" customHeight="true" outlineLevel="0" collapsed="false">
      <c r="A29" s="399" t="s">
        <v>1010</v>
      </c>
      <c r="B29" s="407" t="s">
        <v>1031</v>
      </c>
      <c r="C29" s="399" t="s">
        <v>242</v>
      </c>
      <c r="D29" s="408" t="s">
        <v>1053</v>
      </c>
      <c r="E29" s="409" t="n">
        <v>3</v>
      </c>
      <c r="F29" s="409"/>
      <c r="G29" s="409" t="n">
        <v>285</v>
      </c>
      <c r="H29" s="399" t="n">
        <v>0</v>
      </c>
      <c r="I29" s="407" t="n">
        <v>5</v>
      </c>
      <c r="J29" s="410"/>
      <c r="K29" s="411"/>
      <c r="L29" s="411"/>
      <c r="M29" s="411" t="n">
        <v>0.05</v>
      </c>
      <c r="N29" s="411" t="n">
        <v>-0.15</v>
      </c>
      <c r="O29" s="411"/>
      <c r="P29" s="411"/>
      <c r="Q29" s="411" t="n">
        <v>-0.1</v>
      </c>
      <c r="R29" s="411"/>
      <c r="S29" s="411"/>
      <c r="T29" s="410" t="n">
        <v>0.075</v>
      </c>
      <c r="U29" s="411"/>
      <c r="V29" s="411"/>
      <c r="W29" s="68"/>
      <c r="X29" s="397"/>
      <c r="Y29" s="409"/>
      <c r="Z29" s="409"/>
      <c r="AA29" s="413"/>
    </row>
    <row r="30" customFormat="false" ht="19.5" hidden="false" customHeight="true" outlineLevel="0" collapsed="false">
      <c r="A30" s="328" t="s">
        <v>1010</v>
      </c>
      <c r="B30" s="393" t="s">
        <v>1031</v>
      </c>
      <c r="C30" s="328" t="s">
        <v>242</v>
      </c>
      <c r="D30" s="394" t="s">
        <v>1054</v>
      </c>
      <c r="F30" s="68" t="n">
        <v>3</v>
      </c>
      <c r="G30" s="68" t="n">
        <v>300</v>
      </c>
      <c r="H30" s="328" t="n">
        <v>0</v>
      </c>
      <c r="I30" s="393" t="n">
        <v>5</v>
      </c>
      <c r="J30" s="395"/>
      <c r="K30" s="396"/>
      <c r="L30" s="396"/>
      <c r="M30" s="396"/>
      <c r="N30" s="396"/>
      <c r="O30" s="396"/>
      <c r="P30" s="396"/>
      <c r="Q30" s="396"/>
      <c r="R30" s="396"/>
      <c r="S30" s="396"/>
      <c r="T30" s="396"/>
      <c r="U30" s="396"/>
      <c r="V30" s="396"/>
      <c r="W30" s="68"/>
      <c r="X30" s="397"/>
      <c r="Y30" s="68"/>
      <c r="Z30" s="68"/>
      <c r="AA30" s="398"/>
    </row>
    <row r="31" customFormat="false" ht="19.5" hidden="false" customHeight="true" outlineLevel="0" collapsed="false">
      <c r="A31" s="328" t="s">
        <v>1010</v>
      </c>
      <c r="B31" s="393" t="s">
        <v>1031</v>
      </c>
      <c r="C31" s="328" t="s">
        <v>242</v>
      </c>
      <c r="D31" s="394" t="s">
        <v>1055</v>
      </c>
      <c r="E31" s="68" t="n">
        <v>0</v>
      </c>
      <c r="F31" s="68" t="n">
        <v>7</v>
      </c>
      <c r="G31" s="68" t="n">
        <v>1350</v>
      </c>
      <c r="H31" s="328" t="n">
        <v>0</v>
      </c>
      <c r="I31" s="393" t="n">
        <v>11</v>
      </c>
      <c r="J31" s="395"/>
      <c r="K31" s="68"/>
      <c r="L31" s="68"/>
      <c r="M31" s="68"/>
      <c r="N31" s="68"/>
      <c r="O31" s="68"/>
      <c r="P31" s="68"/>
      <c r="Q31" s="396"/>
      <c r="R31" s="396"/>
      <c r="S31" s="396"/>
      <c r="T31" s="396"/>
      <c r="U31" s="396"/>
      <c r="V31" s="396"/>
      <c r="W31" s="68"/>
      <c r="X31" s="397"/>
      <c r="Y31" s="68"/>
      <c r="Z31" s="68"/>
      <c r="AA31" s="398"/>
    </row>
    <row r="32" s="402" customFormat="true" ht="19.5" hidden="false" customHeight="true" outlineLevel="0" collapsed="false">
      <c r="A32" s="402" t="s">
        <v>1010</v>
      </c>
      <c r="B32" s="412" t="s">
        <v>1031</v>
      </c>
      <c r="C32" s="402" t="s">
        <v>242</v>
      </c>
      <c r="D32" s="394" t="s">
        <v>1056</v>
      </c>
      <c r="E32" s="68" t="n">
        <v>4</v>
      </c>
      <c r="F32" s="68" t="n">
        <v>2</v>
      </c>
      <c r="G32" s="68" t="n">
        <v>600</v>
      </c>
      <c r="H32" s="328" t="n">
        <v>0</v>
      </c>
      <c r="I32" s="393" t="n">
        <f aca="false">1.8 * MIN(6, MAX(E32,F32)) + 0.45 * MIN(6, MIN(E32,F32)) + IF(E32&gt;6, (E32-6)*0.2) + IF(F32&gt;6, (F32-6)*0.2)</f>
        <v>8.1</v>
      </c>
      <c r="J32" s="403"/>
      <c r="K32" s="404"/>
      <c r="L32" s="404"/>
      <c r="M32" s="404"/>
      <c r="N32" s="404"/>
      <c r="O32" s="404"/>
      <c r="P32" s="404"/>
      <c r="Q32" s="404"/>
      <c r="R32" s="404"/>
      <c r="S32" s="404"/>
      <c r="T32" s="404"/>
      <c r="U32" s="404"/>
      <c r="V32" s="404"/>
      <c r="W32" s="401"/>
      <c r="X32" s="405"/>
      <c r="Y32" s="401"/>
      <c r="Z32" s="401"/>
      <c r="AA32" s="406"/>
    </row>
    <row r="33" s="399" customFormat="true" ht="19.5" hidden="false" customHeight="true" outlineLevel="0" collapsed="false">
      <c r="A33" s="399" t="s">
        <v>116</v>
      </c>
      <c r="B33" s="407" t="s">
        <v>1031</v>
      </c>
      <c r="C33" s="399" t="s">
        <v>237</v>
      </c>
      <c r="D33" s="408" t="s">
        <v>1057</v>
      </c>
      <c r="E33" s="409" t="n">
        <v>3</v>
      </c>
      <c r="F33" s="409"/>
      <c r="G33" s="409" t="n">
        <v>275</v>
      </c>
      <c r="H33" s="399" t="n">
        <v>0</v>
      </c>
      <c r="I33" s="407" t="n">
        <v>5</v>
      </c>
      <c r="J33" s="410"/>
      <c r="K33" s="411"/>
      <c r="L33" s="411"/>
      <c r="M33" s="411" t="n">
        <v>0.1</v>
      </c>
      <c r="N33" s="411" t="n">
        <v>0.2</v>
      </c>
      <c r="O33" s="411"/>
      <c r="P33" s="411"/>
      <c r="Q33" s="411"/>
      <c r="R33" s="411"/>
      <c r="S33" s="411"/>
      <c r="T33" s="411"/>
      <c r="U33" s="411"/>
      <c r="V33" s="411"/>
      <c r="W33" s="68"/>
      <c r="X33" s="397"/>
      <c r="Y33" s="409"/>
      <c r="Z33" s="409"/>
      <c r="AA33" s="398"/>
    </row>
    <row r="34" customFormat="false" ht="19.5" hidden="false" customHeight="true" outlineLevel="0" collapsed="false">
      <c r="A34" s="328" t="s">
        <v>116</v>
      </c>
      <c r="B34" s="393" t="s">
        <v>1031</v>
      </c>
      <c r="C34" s="328" t="s">
        <v>237</v>
      </c>
      <c r="D34" s="394" t="s">
        <v>1058</v>
      </c>
      <c r="F34" s="68" t="n">
        <v>3</v>
      </c>
      <c r="G34" s="68" t="n">
        <v>300</v>
      </c>
      <c r="H34" s="328" t="n">
        <v>0</v>
      </c>
      <c r="I34" s="393" t="n">
        <v>5</v>
      </c>
      <c r="J34" s="395"/>
      <c r="K34" s="396"/>
      <c r="L34" s="396"/>
      <c r="M34" s="396"/>
      <c r="N34" s="396"/>
      <c r="O34" s="396"/>
      <c r="P34" s="396"/>
      <c r="Q34" s="396"/>
      <c r="R34" s="396"/>
      <c r="S34" s="396"/>
      <c r="T34" s="396"/>
      <c r="U34" s="396"/>
      <c r="V34" s="396"/>
      <c r="W34" s="68"/>
      <c r="X34" s="397"/>
      <c r="Y34" s="68"/>
      <c r="Z34" s="68"/>
      <c r="AA34" s="398"/>
    </row>
    <row r="35" customFormat="false" ht="19.5" hidden="false" customHeight="true" outlineLevel="0" collapsed="false">
      <c r="A35" s="328" t="s">
        <v>116</v>
      </c>
      <c r="B35" s="393" t="s">
        <v>1031</v>
      </c>
      <c r="C35" s="328" t="s">
        <v>237</v>
      </c>
      <c r="D35" s="394" t="s">
        <v>117</v>
      </c>
      <c r="E35" s="68" t="n">
        <v>0</v>
      </c>
      <c r="F35" s="68" t="n">
        <v>3</v>
      </c>
      <c r="G35" s="68" t="n">
        <v>1050</v>
      </c>
      <c r="H35" s="328" t="n">
        <v>0</v>
      </c>
      <c r="I35" s="393" t="n">
        <f aca="false">1.8 * MIN(6, MAX(E35,F35)) + 0.45 * MIN(6, MIN(E35,F35)) + IF(E35&gt;6, (E35-6)*0.2) + IF(F35&gt;6, (F35-6)*0.2)</f>
        <v>5.4</v>
      </c>
      <c r="J35" s="395"/>
      <c r="K35" s="396"/>
      <c r="L35" s="396"/>
      <c r="M35" s="396"/>
      <c r="N35" s="396"/>
      <c r="O35" s="396"/>
      <c r="P35" s="396"/>
      <c r="Q35" s="396"/>
      <c r="R35" s="396"/>
      <c r="S35" s="396"/>
      <c r="T35" s="396"/>
      <c r="U35" s="396"/>
      <c r="V35" s="396"/>
      <c r="W35" s="68"/>
      <c r="X35" s="397"/>
      <c r="Y35" s="68"/>
      <c r="Z35" s="68"/>
      <c r="AA35" s="398"/>
    </row>
    <row r="36" s="402" customFormat="true" ht="19.5" hidden="false" customHeight="true" outlineLevel="0" collapsed="false">
      <c r="A36" s="402" t="s">
        <v>116</v>
      </c>
      <c r="B36" s="412" t="s">
        <v>1031</v>
      </c>
      <c r="C36" s="402" t="s">
        <v>237</v>
      </c>
      <c r="D36" s="400" t="s">
        <v>1059</v>
      </c>
      <c r="E36" s="401" t="n">
        <v>5.5</v>
      </c>
      <c r="F36" s="401" t="n">
        <v>2</v>
      </c>
      <c r="G36" s="401" t="n">
        <v>900</v>
      </c>
      <c r="H36" s="402" t="n">
        <v>20</v>
      </c>
      <c r="I36" s="393" t="n">
        <f aca="false">1.8 * MIN(6, MAX(E36,F36)) + 0.45 * MIN(6, MIN(E36,F36)) + IF(E36&gt;6, (E36-6)*0.2) + IF(F36&gt;6, (F36-6)*0.2)</f>
        <v>10.8</v>
      </c>
      <c r="J36" s="403"/>
      <c r="K36" s="404"/>
      <c r="L36" s="404"/>
      <c r="M36" s="404"/>
      <c r="N36" s="404"/>
      <c r="O36" s="404"/>
      <c r="P36" s="404"/>
      <c r="Q36" s="404"/>
      <c r="R36" s="404"/>
      <c r="S36" s="404"/>
      <c r="T36" s="404"/>
      <c r="U36" s="404"/>
      <c r="V36" s="404"/>
      <c r="W36" s="401"/>
      <c r="X36" s="405"/>
      <c r="Y36" s="401"/>
      <c r="Z36" s="401"/>
      <c r="AA36" s="406"/>
    </row>
    <row r="37" s="399" customFormat="true" ht="19.5" hidden="false" customHeight="true" outlineLevel="0" collapsed="false">
      <c r="A37" s="399" t="s">
        <v>1012</v>
      </c>
      <c r="B37" s="407" t="s">
        <v>1036</v>
      </c>
      <c r="C37" s="399" t="s">
        <v>239</v>
      </c>
      <c r="D37" s="408" t="s">
        <v>1060</v>
      </c>
      <c r="E37" s="409" t="n">
        <v>3</v>
      </c>
      <c r="F37" s="409"/>
      <c r="G37" s="409" t="n">
        <v>325</v>
      </c>
      <c r="H37" s="399" t="n">
        <v>25</v>
      </c>
      <c r="I37" s="407" t="n">
        <v>5</v>
      </c>
      <c r="J37" s="410" t="n">
        <v>0.2</v>
      </c>
      <c r="K37" s="411"/>
      <c r="L37" s="411"/>
      <c r="M37" s="411"/>
      <c r="N37" s="411"/>
      <c r="O37" s="411"/>
      <c r="P37" s="411"/>
      <c r="Q37" s="411"/>
      <c r="R37" s="411"/>
      <c r="S37" s="411"/>
      <c r="T37" s="411"/>
      <c r="U37" s="411"/>
      <c r="V37" s="411"/>
      <c r="W37" s="396" t="n">
        <v>0.1</v>
      </c>
      <c r="X37" s="397"/>
      <c r="Y37" s="409"/>
      <c r="Z37" s="409"/>
      <c r="AA37" s="398"/>
    </row>
    <row r="38" customFormat="false" ht="19.5" hidden="false" customHeight="true" outlineLevel="0" collapsed="false">
      <c r="A38" s="328" t="s">
        <v>1012</v>
      </c>
      <c r="B38" s="393" t="s">
        <v>1036</v>
      </c>
      <c r="C38" s="328" t="s">
        <v>239</v>
      </c>
      <c r="D38" s="394" t="s">
        <v>1061</v>
      </c>
      <c r="F38" s="68" t="n">
        <v>3</v>
      </c>
      <c r="G38" s="68" t="n">
        <v>380</v>
      </c>
      <c r="H38" s="328" t="n">
        <v>15</v>
      </c>
      <c r="I38" s="393" t="n">
        <v>5</v>
      </c>
      <c r="J38" s="395"/>
      <c r="K38" s="396"/>
      <c r="L38" s="396"/>
      <c r="M38" s="396"/>
      <c r="N38" s="396"/>
      <c r="O38" s="396"/>
      <c r="P38" s="396"/>
      <c r="Q38" s="396"/>
      <c r="R38" s="396"/>
      <c r="S38" s="396"/>
      <c r="T38" s="396"/>
      <c r="U38" s="396"/>
      <c r="V38" s="396"/>
      <c r="W38" s="68"/>
      <c r="X38" s="397"/>
      <c r="Y38" s="68"/>
      <c r="Z38" s="68"/>
      <c r="AA38" s="398"/>
    </row>
    <row r="39" customFormat="false" ht="19.5" hidden="false" customHeight="true" outlineLevel="0" collapsed="false">
      <c r="A39" s="328" t="s">
        <v>1012</v>
      </c>
      <c r="B39" s="393" t="s">
        <v>1036</v>
      </c>
      <c r="C39" s="328" t="s">
        <v>239</v>
      </c>
      <c r="D39" s="394" t="s">
        <v>1062</v>
      </c>
      <c r="E39" s="68" t="n">
        <v>5</v>
      </c>
      <c r="F39" s="68" t="n">
        <v>3</v>
      </c>
      <c r="G39" s="68" t="n">
        <v>1025</v>
      </c>
      <c r="H39" s="328" t="n">
        <v>80</v>
      </c>
      <c r="I39" s="393" t="n">
        <f aca="false">1.8 * MIN(6, MAX(E39,F39)) + 0.45 * MIN(6, MIN(E39,F39)) + IF(E39&gt;6, (E39-6)*0.2) + IF(F39&gt;6, (F39-6)*0.2)</f>
        <v>10.35</v>
      </c>
      <c r="J39" s="395"/>
      <c r="K39" s="396"/>
      <c r="L39" s="396"/>
      <c r="M39" s="396"/>
      <c r="N39" s="396"/>
      <c r="O39" s="396"/>
      <c r="P39" s="396"/>
      <c r="Q39" s="396"/>
      <c r="R39" s="396"/>
      <c r="S39" s="396"/>
      <c r="T39" s="396"/>
      <c r="U39" s="396"/>
      <c r="V39" s="396"/>
      <c r="W39" s="68"/>
      <c r="X39" s="397"/>
      <c r="Y39" s="68"/>
      <c r="Z39" s="68"/>
      <c r="AA39" s="398"/>
    </row>
    <row r="40" s="402" customFormat="true" ht="19.5" hidden="false" customHeight="true" outlineLevel="0" collapsed="false">
      <c r="A40" s="402" t="s">
        <v>1012</v>
      </c>
      <c r="B40" s="412" t="s">
        <v>1036</v>
      </c>
      <c r="C40" s="402" t="s">
        <v>239</v>
      </c>
      <c r="D40" s="400" t="s">
        <v>1063</v>
      </c>
      <c r="E40" s="401" t="n">
        <v>6</v>
      </c>
      <c r="F40" s="401" t="n">
        <v>2</v>
      </c>
      <c r="G40" s="401" t="n">
        <v>1300</v>
      </c>
      <c r="H40" s="402" t="n">
        <v>110</v>
      </c>
      <c r="I40" s="393" t="n">
        <f aca="false">1.8 * MIN(6, MAX(E40,F40)) + 0.45 * MIN(6, MIN(E40,F40)) + IF(E40&gt;6, (E40-6)*0.2) + IF(F40&gt;6, (F40-6)*0.2)</f>
        <v>11.7</v>
      </c>
      <c r="J40" s="403"/>
      <c r="K40" s="404"/>
      <c r="L40" s="404"/>
      <c r="M40" s="404"/>
      <c r="N40" s="404"/>
      <c r="O40" s="404"/>
      <c r="P40" s="404"/>
      <c r="Q40" s="404"/>
      <c r="R40" s="404"/>
      <c r="S40" s="404"/>
      <c r="T40" s="404"/>
      <c r="U40" s="404"/>
      <c r="V40" s="404"/>
      <c r="W40" s="401"/>
      <c r="X40" s="405"/>
      <c r="Y40" s="401"/>
      <c r="Z40" s="401"/>
      <c r="AA40" s="406"/>
    </row>
    <row r="41" s="399" customFormat="true" ht="19.5" hidden="false" customHeight="true" outlineLevel="0" collapsed="false">
      <c r="A41" s="399" t="s">
        <v>1013</v>
      </c>
      <c r="B41" s="407" t="s">
        <v>1036</v>
      </c>
      <c r="C41" s="399" t="s">
        <v>236</v>
      </c>
      <c r="D41" s="408" t="s">
        <v>1064</v>
      </c>
      <c r="E41" s="409" t="n">
        <v>4</v>
      </c>
      <c r="F41" s="409"/>
      <c r="G41" s="409" t="n">
        <v>350</v>
      </c>
      <c r="H41" s="399" t="n">
        <v>25</v>
      </c>
      <c r="I41" s="407" t="n">
        <v>5</v>
      </c>
      <c r="J41" s="410" t="n">
        <v>-0.05</v>
      </c>
      <c r="K41" s="411"/>
      <c r="L41" s="411"/>
      <c r="M41" s="411"/>
      <c r="N41" s="411"/>
      <c r="O41" s="411"/>
      <c r="P41" s="411"/>
      <c r="Q41" s="411"/>
      <c r="R41" s="411" t="n">
        <v>0.05</v>
      </c>
      <c r="S41" s="411"/>
      <c r="T41" s="411" t="n">
        <v>0.05</v>
      </c>
      <c r="U41" s="411" t="n">
        <v>-0.1</v>
      </c>
      <c r="V41" s="411"/>
      <c r="W41" s="68"/>
      <c r="X41" s="397"/>
      <c r="Y41" s="409"/>
      <c r="Z41" s="409"/>
      <c r="AA41" s="398"/>
    </row>
    <row r="42" customFormat="false" ht="19.5" hidden="false" customHeight="true" outlineLevel="0" collapsed="false">
      <c r="A42" s="328" t="s">
        <v>1013</v>
      </c>
      <c r="B42" s="393" t="s">
        <v>1036</v>
      </c>
      <c r="C42" s="328" t="s">
        <v>236</v>
      </c>
      <c r="D42" s="394" t="s">
        <v>1065</v>
      </c>
      <c r="F42" s="68" t="n">
        <v>3</v>
      </c>
      <c r="G42" s="68" t="n">
        <v>300</v>
      </c>
      <c r="H42" s="328" t="n">
        <v>25</v>
      </c>
      <c r="I42" s="393" t="n">
        <v>5</v>
      </c>
      <c r="J42" s="395"/>
      <c r="K42" s="396"/>
      <c r="L42" s="396"/>
      <c r="M42" s="396"/>
      <c r="N42" s="396"/>
      <c r="O42" s="396"/>
      <c r="P42" s="396"/>
      <c r="Q42" s="396"/>
      <c r="R42" s="396"/>
      <c r="S42" s="396"/>
      <c r="T42" s="396"/>
      <c r="U42" s="396"/>
      <c r="V42" s="396"/>
      <c r="W42" s="68"/>
      <c r="X42" s="397"/>
      <c r="Y42" s="68"/>
      <c r="Z42" s="68"/>
      <c r="AA42" s="398"/>
    </row>
    <row r="43" customFormat="false" ht="19.5" hidden="false" customHeight="true" outlineLevel="0" collapsed="false">
      <c r="A43" s="328" t="s">
        <v>1013</v>
      </c>
      <c r="B43" s="393" t="s">
        <v>1036</v>
      </c>
      <c r="C43" s="328" t="s">
        <v>236</v>
      </c>
      <c r="D43" s="394" t="s">
        <v>1066</v>
      </c>
      <c r="E43" s="68" t="n">
        <v>7</v>
      </c>
      <c r="F43" s="68" t="n">
        <v>7</v>
      </c>
      <c r="G43" s="68" t="n">
        <v>1415</v>
      </c>
      <c r="H43" s="328" t="n">
        <v>150</v>
      </c>
      <c r="I43" s="393" t="n">
        <f aca="false">1.8 * MIN(6, MAX(E43,F43)) + 0.45 * MIN(6, MIN(E43,F43)) + IF(E43&gt;6, (E43-6)*0.2) + IF(F43&gt;6, (F43-6)*0.2)</f>
        <v>13.9</v>
      </c>
      <c r="J43" s="395"/>
      <c r="K43" s="396"/>
      <c r="L43" s="396"/>
      <c r="M43" s="396"/>
      <c r="N43" s="396"/>
      <c r="O43" s="396"/>
      <c r="P43" s="396"/>
      <c r="Q43" s="396"/>
      <c r="R43" s="396"/>
      <c r="S43" s="396"/>
      <c r="T43" s="396"/>
      <c r="U43" s="396"/>
      <c r="V43" s="396"/>
      <c r="W43" s="68"/>
      <c r="X43" s="397"/>
      <c r="Y43" s="68"/>
      <c r="Z43" s="68"/>
      <c r="AA43" s="398"/>
    </row>
    <row r="44" s="402" customFormat="true" ht="19.5" hidden="false" customHeight="true" outlineLevel="0" collapsed="false">
      <c r="A44" s="402" t="s">
        <v>1013</v>
      </c>
      <c r="B44" s="412" t="s">
        <v>1036</v>
      </c>
      <c r="C44" s="402" t="s">
        <v>236</v>
      </c>
      <c r="D44" s="400" t="s">
        <v>1067</v>
      </c>
      <c r="E44" s="401" t="n">
        <v>7</v>
      </c>
      <c r="F44" s="401" t="n">
        <v>7</v>
      </c>
      <c r="G44" s="401" t="n">
        <v>1415</v>
      </c>
      <c r="H44" s="402" t="n">
        <v>150</v>
      </c>
      <c r="I44" s="393" t="n">
        <f aca="false">1.8 * MIN(6, MAX(E44,F44)) + 0.45 * MIN(6, MIN(E44,F44)) + IF(E44&gt;6, (E44-6)*0.2) + IF(F44&gt;6, (F44-6)*0.2)</f>
        <v>13.9</v>
      </c>
      <c r="J44" s="403"/>
      <c r="K44" s="404"/>
      <c r="L44" s="404"/>
      <c r="M44" s="404"/>
      <c r="N44" s="404"/>
      <c r="O44" s="404"/>
      <c r="P44" s="404"/>
      <c r="Q44" s="404"/>
      <c r="R44" s="404"/>
      <c r="S44" s="404"/>
      <c r="T44" s="404"/>
      <c r="U44" s="404"/>
      <c r="V44" s="404"/>
      <c r="W44" s="401"/>
      <c r="X44" s="405"/>
      <c r="Y44" s="401"/>
      <c r="Z44" s="401"/>
      <c r="AA44" s="406"/>
    </row>
    <row r="45" s="399" customFormat="true" ht="19.5" hidden="false" customHeight="true" outlineLevel="0" collapsed="false">
      <c r="A45" s="399" t="s">
        <v>120</v>
      </c>
      <c r="B45" s="407" t="s">
        <v>1036</v>
      </c>
      <c r="C45" s="399" t="s">
        <v>241</v>
      </c>
      <c r="D45" s="408" t="s">
        <v>1068</v>
      </c>
      <c r="E45" s="409" t="n">
        <v>4</v>
      </c>
      <c r="F45" s="409"/>
      <c r="G45" s="409" t="n">
        <v>460</v>
      </c>
      <c r="H45" s="399" t="n">
        <v>25</v>
      </c>
      <c r="I45" s="407" t="n">
        <v>5</v>
      </c>
      <c r="J45" s="410" t="n">
        <v>-0.05</v>
      </c>
      <c r="K45" s="411"/>
      <c r="L45" s="411"/>
      <c r="M45" s="411"/>
      <c r="N45" s="411"/>
      <c r="O45" s="411"/>
      <c r="P45" s="411"/>
      <c r="Q45" s="411" t="n">
        <v>0.05</v>
      </c>
      <c r="R45" s="411"/>
      <c r="S45" s="411"/>
      <c r="T45" s="411"/>
      <c r="U45" s="411"/>
      <c r="V45" s="411"/>
      <c r="W45" s="68"/>
      <c r="X45" s="397"/>
      <c r="Y45" s="409"/>
      <c r="Z45" s="409"/>
      <c r="AA45" s="398"/>
    </row>
    <row r="46" customFormat="false" ht="19.5" hidden="false" customHeight="true" outlineLevel="0" collapsed="false">
      <c r="A46" s="328" t="s">
        <v>120</v>
      </c>
      <c r="B46" s="393" t="s">
        <v>1036</v>
      </c>
      <c r="C46" s="328" t="s">
        <v>241</v>
      </c>
      <c r="D46" s="394" t="s">
        <v>1069</v>
      </c>
      <c r="F46" s="68" t="n">
        <v>3</v>
      </c>
      <c r="G46" s="68" t="n">
        <v>300</v>
      </c>
      <c r="H46" s="328" t="n">
        <v>15</v>
      </c>
      <c r="I46" s="393" t="n">
        <v>5</v>
      </c>
      <c r="J46" s="395"/>
      <c r="K46" s="396"/>
      <c r="L46" s="396"/>
      <c r="M46" s="396"/>
      <c r="N46" s="396"/>
      <c r="O46" s="396"/>
      <c r="P46" s="396"/>
      <c r="Q46" s="396"/>
      <c r="R46" s="396"/>
      <c r="S46" s="396"/>
      <c r="T46" s="396"/>
      <c r="U46" s="396"/>
      <c r="V46" s="396"/>
      <c r="W46" s="68"/>
      <c r="X46" s="397"/>
      <c r="Y46" s="68"/>
      <c r="Z46" s="68"/>
      <c r="AA46" s="398"/>
    </row>
    <row r="47" customFormat="false" ht="19.5" hidden="false" customHeight="true" outlineLevel="0" collapsed="false">
      <c r="A47" s="328" t="s">
        <v>120</v>
      </c>
      <c r="B47" s="393" t="s">
        <v>1036</v>
      </c>
      <c r="C47" s="328" t="s">
        <v>241</v>
      </c>
      <c r="D47" s="394" t="s">
        <v>121</v>
      </c>
      <c r="E47" s="68" t="n">
        <v>0</v>
      </c>
      <c r="F47" s="68" t="n">
        <v>6</v>
      </c>
      <c r="G47" s="68" t="n">
        <v>1150</v>
      </c>
      <c r="H47" s="328" t="n">
        <v>60</v>
      </c>
      <c r="I47" s="393" t="n">
        <f aca="false">1.8 * MIN(6, MAX(E47,F47)) + 0.45 * MIN(6, MIN(E47,F47)) + IF(E47&gt;6, (E47-6)*0.2) + IF(F47&gt;6, (F47-6)*0.2)</f>
        <v>10.8</v>
      </c>
      <c r="J47" s="395"/>
      <c r="K47" s="396"/>
      <c r="L47" s="396"/>
      <c r="M47" s="396"/>
      <c r="N47" s="396"/>
      <c r="O47" s="396"/>
      <c r="P47" s="396"/>
      <c r="Q47" s="396"/>
      <c r="R47" s="396"/>
      <c r="S47" s="396"/>
      <c r="T47" s="396"/>
      <c r="U47" s="396"/>
      <c r="V47" s="396"/>
      <c r="W47" s="68"/>
      <c r="X47" s="397"/>
      <c r="Y47" s="68"/>
      <c r="Z47" s="68"/>
      <c r="AA47" s="398"/>
    </row>
    <row r="48" s="402" customFormat="true" ht="19.5" hidden="false" customHeight="true" outlineLevel="0" collapsed="false">
      <c r="A48" s="402" t="s">
        <v>120</v>
      </c>
      <c r="B48" s="412" t="s">
        <v>1036</v>
      </c>
      <c r="C48" s="402" t="s">
        <v>241</v>
      </c>
      <c r="D48" s="400" t="s">
        <v>445</v>
      </c>
      <c r="E48" s="401" t="n">
        <v>6.5</v>
      </c>
      <c r="F48" s="401" t="n">
        <v>2.5</v>
      </c>
      <c r="G48" s="401" t="n">
        <v>1200</v>
      </c>
      <c r="H48" s="402" t="n">
        <v>50</v>
      </c>
      <c r="I48" s="393" t="n">
        <f aca="false">1.8 * MIN(6, MAX(E48,F48)) + 0.45 * MIN(6, MIN(E48,F48)) + IF(E48&gt;6, (E48-6)*0.2) + IF(F48&gt;6, (F48-6)*0.2)</f>
        <v>12.025</v>
      </c>
      <c r="J48" s="403"/>
      <c r="K48" s="404"/>
      <c r="L48" s="404"/>
      <c r="M48" s="404"/>
      <c r="N48" s="404"/>
      <c r="O48" s="404"/>
      <c r="P48" s="404"/>
      <c r="Q48" s="404"/>
      <c r="R48" s="404"/>
      <c r="S48" s="404"/>
      <c r="T48" s="404"/>
      <c r="U48" s="404"/>
      <c r="V48" s="404"/>
      <c r="W48" s="401"/>
      <c r="X48" s="405"/>
      <c r="Y48" s="401"/>
      <c r="Z48" s="401"/>
      <c r="AA48" s="406"/>
    </row>
    <row r="49" s="399" customFormat="true" ht="19.5" hidden="false" customHeight="true" outlineLevel="0" collapsed="false">
      <c r="A49" s="399" t="s">
        <v>1014</v>
      </c>
      <c r="B49" s="407" t="s">
        <v>1036</v>
      </c>
      <c r="C49" s="399" t="s">
        <v>240</v>
      </c>
      <c r="D49" s="408" t="s">
        <v>1070</v>
      </c>
      <c r="E49" s="409" t="n">
        <v>3</v>
      </c>
      <c r="F49" s="409" t="n">
        <v>0</v>
      </c>
      <c r="G49" s="409" t="n">
        <v>275</v>
      </c>
      <c r="H49" s="399" t="n">
        <v>15</v>
      </c>
      <c r="I49" s="407" t="n">
        <v>5</v>
      </c>
      <c r="J49" s="410" t="n">
        <v>0.075</v>
      </c>
      <c r="K49" s="411"/>
      <c r="L49" s="411"/>
      <c r="M49" s="411"/>
      <c r="N49" s="411"/>
      <c r="O49" s="411" t="n">
        <v>0.2</v>
      </c>
      <c r="P49" s="411"/>
      <c r="Q49" s="411"/>
      <c r="R49" s="411" t="n">
        <v>-0.75</v>
      </c>
      <c r="S49" s="411"/>
      <c r="T49" s="411"/>
      <c r="U49" s="411"/>
      <c r="V49" s="411"/>
      <c r="W49" s="68"/>
      <c r="X49" s="397"/>
      <c r="Y49" s="409"/>
      <c r="Z49" s="409"/>
      <c r="AA49" s="398"/>
    </row>
    <row r="50" customFormat="false" ht="19.5" hidden="false" customHeight="true" outlineLevel="0" collapsed="false">
      <c r="A50" s="328" t="s">
        <v>1014</v>
      </c>
      <c r="B50" s="393" t="s">
        <v>1036</v>
      </c>
      <c r="C50" s="328" t="s">
        <v>240</v>
      </c>
      <c r="D50" s="394" t="s">
        <v>1071</v>
      </c>
      <c r="E50" s="68" t="n">
        <v>0</v>
      </c>
      <c r="F50" s="68" t="n">
        <v>3</v>
      </c>
      <c r="G50" s="68" t="n">
        <v>275</v>
      </c>
      <c r="H50" s="328" t="n">
        <v>0</v>
      </c>
      <c r="I50" s="393" t="n">
        <v>5</v>
      </c>
      <c r="J50" s="395"/>
      <c r="K50" s="396"/>
      <c r="L50" s="396"/>
      <c r="M50" s="396"/>
      <c r="N50" s="396"/>
      <c r="O50" s="396"/>
      <c r="P50" s="396"/>
      <c r="Q50" s="396"/>
      <c r="R50" s="396"/>
      <c r="S50" s="396"/>
      <c r="T50" s="396"/>
      <c r="U50" s="396"/>
      <c r="V50" s="396"/>
      <c r="W50" s="68"/>
      <c r="X50" s="397"/>
      <c r="Y50" s="68"/>
      <c r="Z50" s="68"/>
      <c r="AA50" s="398"/>
    </row>
    <row r="51" customFormat="false" ht="19.5" hidden="false" customHeight="true" outlineLevel="0" collapsed="false">
      <c r="A51" s="328" t="s">
        <v>1014</v>
      </c>
      <c r="B51" s="393" t="s">
        <v>1036</v>
      </c>
      <c r="C51" s="328" t="s">
        <v>240</v>
      </c>
      <c r="D51" s="394" t="s">
        <v>1072</v>
      </c>
      <c r="E51" s="68" t="n">
        <v>2</v>
      </c>
      <c r="F51" s="68" t="n">
        <v>5</v>
      </c>
      <c r="G51" s="68" t="n">
        <v>1000</v>
      </c>
      <c r="H51" s="328" t="n">
        <v>0</v>
      </c>
      <c r="I51" s="393" t="n">
        <f aca="false">1.8 * MIN(6, MAX(E51,F51)) + 0.45 * MIN(6, MIN(E51,F51)) + IF(E51&gt;6, (E51-6)*0.2) + IF(F51&gt;6, (F51-6)*0.2)</f>
        <v>9.9</v>
      </c>
      <c r="J51" s="395"/>
      <c r="K51" s="396"/>
      <c r="L51" s="396"/>
      <c r="M51" s="396"/>
      <c r="N51" s="396"/>
      <c r="O51" s="396"/>
      <c r="P51" s="396"/>
      <c r="Q51" s="396"/>
      <c r="R51" s="396"/>
      <c r="S51" s="396"/>
      <c r="T51" s="396"/>
      <c r="U51" s="396"/>
      <c r="V51" s="396"/>
      <c r="W51" s="68"/>
      <c r="X51" s="397"/>
      <c r="Y51" s="68"/>
      <c r="Z51" s="68"/>
      <c r="AA51" s="398"/>
    </row>
    <row r="52" s="402" customFormat="true" ht="19.5" hidden="false" customHeight="true" outlineLevel="0" collapsed="false">
      <c r="A52" s="402" t="s">
        <v>1014</v>
      </c>
      <c r="B52" s="412" t="s">
        <v>1036</v>
      </c>
      <c r="C52" s="402" t="s">
        <v>240</v>
      </c>
      <c r="D52" s="400" t="s">
        <v>1073</v>
      </c>
      <c r="E52" s="401" t="n">
        <v>4</v>
      </c>
      <c r="F52" s="401" t="n">
        <v>3</v>
      </c>
      <c r="G52" s="401" t="n">
        <v>1000</v>
      </c>
      <c r="H52" s="402" t="n">
        <v>0</v>
      </c>
      <c r="I52" s="393" t="n">
        <f aca="false">1.8 * MIN(6, MAX(E52,F52)) + 0.45 * MIN(6, MIN(E52,F52)) + IF(E52&gt;6, (E52-6)*0.2) + IF(F52&gt;6, (F52-6)*0.2)</f>
        <v>8.55</v>
      </c>
      <c r="J52" s="403"/>
      <c r="K52" s="404"/>
      <c r="L52" s="404"/>
      <c r="M52" s="404"/>
      <c r="N52" s="404"/>
      <c r="O52" s="404"/>
      <c r="P52" s="404"/>
      <c r="Q52" s="404"/>
      <c r="R52" s="404"/>
      <c r="S52" s="404"/>
      <c r="T52" s="404"/>
      <c r="U52" s="404"/>
      <c r="V52" s="404"/>
      <c r="W52" s="401"/>
      <c r="X52" s="405"/>
      <c r="Y52" s="401"/>
      <c r="Z52" s="401"/>
      <c r="AA52" s="406"/>
    </row>
    <row r="53" s="399" customFormat="true" ht="19.5" hidden="false" customHeight="true" outlineLevel="0" collapsed="false">
      <c r="A53" s="399" t="s">
        <v>1015</v>
      </c>
      <c r="B53" s="407" t="s">
        <v>1031</v>
      </c>
      <c r="C53" s="399" t="s">
        <v>240</v>
      </c>
      <c r="D53" s="408" t="s">
        <v>1074</v>
      </c>
      <c r="E53" s="409" t="n">
        <v>3</v>
      </c>
      <c r="F53" s="409"/>
      <c r="G53" s="409" t="n">
        <v>300</v>
      </c>
      <c r="H53" s="399" t="n">
        <v>10</v>
      </c>
      <c r="I53" s="407" t="n">
        <v>5</v>
      </c>
      <c r="J53" s="410"/>
      <c r="K53" s="411"/>
      <c r="L53" s="411"/>
      <c r="M53" s="411"/>
      <c r="N53" s="411"/>
      <c r="O53" s="411" t="n">
        <v>0.15</v>
      </c>
      <c r="P53" s="411"/>
      <c r="Q53" s="411"/>
      <c r="R53" s="411" t="n">
        <v>-0.9</v>
      </c>
      <c r="S53" s="411"/>
      <c r="T53" s="411"/>
      <c r="U53" s="411"/>
      <c r="V53" s="411"/>
      <c r="W53" s="68"/>
      <c r="X53" s="397"/>
      <c r="Y53" s="409"/>
      <c r="Z53" s="409"/>
      <c r="AA53" s="398"/>
    </row>
    <row r="54" customFormat="false" ht="19.5" hidden="false" customHeight="true" outlineLevel="0" collapsed="false">
      <c r="A54" s="328" t="s">
        <v>1015</v>
      </c>
      <c r="B54" s="393" t="s">
        <v>1031</v>
      </c>
      <c r="C54" s="328" t="s">
        <v>240</v>
      </c>
      <c r="D54" s="394" t="s">
        <v>1075</v>
      </c>
      <c r="F54" s="68" t="n">
        <v>3</v>
      </c>
      <c r="G54" s="68" t="n">
        <v>300</v>
      </c>
      <c r="H54" s="328" t="n">
        <v>10</v>
      </c>
      <c r="I54" s="393" t="n">
        <v>5</v>
      </c>
      <c r="J54" s="395"/>
      <c r="K54" s="396"/>
      <c r="L54" s="396"/>
      <c r="M54" s="396"/>
      <c r="N54" s="396"/>
      <c r="O54" s="396"/>
      <c r="P54" s="396"/>
      <c r="Q54" s="396"/>
      <c r="R54" s="396"/>
      <c r="S54" s="396"/>
      <c r="T54" s="396"/>
      <c r="U54" s="396"/>
      <c r="V54" s="396"/>
      <c r="W54" s="68"/>
      <c r="X54" s="397"/>
      <c r="Y54" s="68"/>
      <c r="Z54" s="68"/>
      <c r="AA54" s="398"/>
    </row>
    <row r="55" customFormat="false" ht="19.5" hidden="false" customHeight="true" outlineLevel="0" collapsed="false">
      <c r="A55" s="328" t="s">
        <v>1015</v>
      </c>
      <c r="B55" s="393" t="s">
        <v>1031</v>
      </c>
      <c r="C55" s="328" t="s">
        <v>240</v>
      </c>
      <c r="D55" s="394" t="s">
        <v>1076</v>
      </c>
      <c r="E55" s="68" t="n">
        <v>3</v>
      </c>
      <c r="F55" s="68" t="n">
        <v>5</v>
      </c>
      <c r="G55" s="68" t="n">
        <v>1025</v>
      </c>
      <c r="H55" s="328" t="n">
        <v>30</v>
      </c>
      <c r="I55" s="393" t="n">
        <f aca="false">1.8 * MIN(6, MAX(E55,F55)) + 0.45 * MIN(6, MIN(E55,F55)) + IF(E55&gt;6, (E55-6)*0.2) + IF(F55&gt;6, (F55-6)*0.2)</f>
        <v>10.35</v>
      </c>
      <c r="J55" s="395"/>
      <c r="K55" s="396"/>
      <c r="L55" s="396"/>
      <c r="M55" s="396"/>
      <c r="N55" s="396"/>
      <c r="O55" s="396"/>
      <c r="P55" s="396"/>
      <c r="Q55" s="396"/>
      <c r="R55" s="396"/>
      <c r="S55" s="396"/>
      <c r="T55" s="396"/>
      <c r="U55" s="396"/>
      <c r="V55" s="396"/>
      <c r="W55" s="68"/>
      <c r="X55" s="397"/>
      <c r="Y55" s="68"/>
      <c r="Z55" s="68"/>
      <c r="AA55" s="398"/>
    </row>
    <row r="56" s="402" customFormat="true" ht="19.5" hidden="false" customHeight="true" outlineLevel="0" collapsed="false">
      <c r="A56" s="402" t="s">
        <v>1015</v>
      </c>
      <c r="B56" s="412" t="s">
        <v>1031</v>
      </c>
      <c r="C56" s="402" t="s">
        <v>240</v>
      </c>
      <c r="D56" s="400" t="s">
        <v>1077</v>
      </c>
      <c r="E56" s="401" t="n">
        <v>6</v>
      </c>
      <c r="F56" s="401" t="n">
        <v>0</v>
      </c>
      <c r="G56" s="401" t="n">
        <v>1175</v>
      </c>
      <c r="H56" s="402" t="n">
        <v>40</v>
      </c>
      <c r="I56" s="393" t="n">
        <f aca="false">1.8 * MIN(6, MAX(E56,F56)) + 0.45 * MIN(6, MIN(E56,F56)) + IF(E56&gt;6, (E56-6)*0.2) + IF(F56&gt;6, (F56-6)*0.2)</f>
        <v>10.8</v>
      </c>
      <c r="J56" s="403"/>
      <c r="K56" s="404"/>
      <c r="L56" s="404"/>
      <c r="M56" s="404"/>
      <c r="N56" s="404"/>
      <c r="O56" s="404"/>
      <c r="P56" s="404"/>
      <c r="Q56" s="404"/>
      <c r="R56" s="404"/>
      <c r="S56" s="404"/>
      <c r="T56" s="404"/>
      <c r="U56" s="404"/>
      <c r="V56" s="404"/>
      <c r="W56" s="401"/>
      <c r="X56" s="405"/>
      <c r="Y56" s="401"/>
      <c r="Z56" s="401"/>
      <c r="AA56" s="406"/>
    </row>
    <row r="57" s="399" customFormat="true" ht="19.5" hidden="false" customHeight="true" outlineLevel="0" collapsed="false">
      <c r="A57" s="399" t="s">
        <v>1016</v>
      </c>
      <c r="B57" s="407" t="s">
        <v>1036</v>
      </c>
      <c r="C57" s="399" t="s">
        <v>241</v>
      </c>
      <c r="D57" s="408" t="s">
        <v>1078</v>
      </c>
      <c r="E57" s="409" t="n">
        <v>3</v>
      </c>
      <c r="F57" s="409"/>
      <c r="G57" s="409" t="n">
        <v>325</v>
      </c>
      <c r="H57" s="399" t="n">
        <v>25</v>
      </c>
      <c r="I57" s="407" t="n">
        <v>5</v>
      </c>
      <c r="J57" s="410" t="n">
        <v>0.1</v>
      </c>
      <c r="K57" s="411"/>
      <c r="L57" s="411"/>
      <c r="M57" s="411"/>
      <c r="N57" s="411"/>
      <c r="O57" s="411"/>
      <c r="P57" s="411"/>
      <c r="Q57" s="411"/>
      <c r="R57" s="411"/>
      <c r="S57" s="410" t="n">
        <v>0.05</v>
      </c>
      <c r="T57" s="411"/>
      <c r="U57" s="411"/>
      <c r="V57" s="411"/>
      <c r="W57" s="68"/>
      <c r="X57" s="397"/>
      <c r="Y57" s="409"/>
      <c r="Z57" s="409"/>
      <c r="AA57" s="398"/>
    </row>
    <row r="58" customFormat="false" ht="19.5" hidden="false" customHeight="true" outlineLevel="0" collapsed="false">
      <c r="A58" s="328" t="s">
        <v>1016</v>
      </c>
      <c r="B58" s="393" t="s">
        <v>1036</v>
      </c>
      <c r="C58" s="328" t="s">
        <v>241</v>
      </c>
      <c r="D58" s="394" t="s">
        <v>1079</v>
      </c>
      <c r="F58" s="68" t="n">
        <v>3</v>
      </c>
      <c r="G58" s="68" t="n">
        <v>250</v>
      </c>
      <c r="H58" s="328" t="n">
        <v>0</v>
      </c>
      <c r="I58" s="393" t="n">
        <v>5</v>
      </c>
      <c r="J58" s="395"/>
      <c r="K58" s="396"/>
      <c r="L58" s="396"/>
      <c r="M58" s="396"/>
      <c r="N58" s="396"/>
      <c r="O58" s="396"/>
      <c r="P58" s="396"/>
      <c r="Q58" s="396"/>
      <c r="R58" s="396"/>
      <c r="S58" s="396"/>
      <c r="T58" s="396"/>
      <c r="U58" s="396"/>
      <c r="V58" s="396"/>
      <c r="W58" s="68"/>
      <c r="X58" s="397"/>
      <c r="Y58" s="68"/>
      <c r="Z58" s="68"/>
      <c r="AA58" s="398"/>
    </row>
    <row r="59" customFormat="false" ht="19.5" hidden="false" customHeight="true" outlineLevel="0" collapsed="false">
      <c r="A59" s="328" t="s">
        <v>1016</v>
      </c>
      <c r="B59" s="393" t="s">
        <v>1036</v>
      </c>
      <c r="C59" s="328" t="s">
        <v>241</v>
      </c>
      <c r="D59" s="394" t="s">
        <v>1080</v>
      </c>
      <c r="E59" s="68" t="n">
        <v>3</v>
      </c>
      <c r="F59" s="68" t="n">
        <v>4</v>
      </c>
      <c r="G59" s="68" t="n">
        <v>850</v>
      </c>
      <c r="H59" s="328" t="n">
        <v>55</v>
      </c>
      <c r="I59" s="393" t="n">
        <f aca="false">1.8 * MIN(6, MAX(E59,F59)) + 0.45 * MIN(6, MIN(E59,F59)) + IF(E59&gt;6, (E59-6)*0.2) + IF(F59&gt;6, (F59-6)*0.2)</f>
        <v>8.55</v>
      </c>
      <c r="J59" s="395"/>
      <c r="K59" s="396"/>
      <c r="L59" s="396"/>
      <c r="M59" s="396"/>
      <c r="N59" s="396"/>
      <c r="O59" s="396"/>
      <c r="P59" s="396"/>
      <c r="Q59" s="396"/>
      <c r="R59" s="396"/>
      <c r="S59" s="396"/>
      <c r="T59" s="396"/>
      <c r="U59" s="396"/>
      <c r="V59" s="396"/>
      <c r="W59" s="68"/>
      <c r="X59" s="397"/>
      <c r="Y59" s="68"/>
      <c r="Z59" s="68"/>
      <c r="AA59" s="398"/>
    </row>
    <row r="60" s="402" customFormat="true" ht="19.5" hidden="false" customHeight="true" outlineLevel="0" collapsed="false">
      <c r="A60" s="402" t="s">
        <v>1016</v>
      </c>
      <c r="B60" s="412" t="s">
        <v>1036</v>
      </c>
      <c r="C60" s="402" t="s">
        <v>241</v>
      </c>
      <c r="D60" s="400" t="s">
        <v>1081</v>
      </c>
      <c r="E60" s="401" t="n">
        <v>6</v>
      </c>
      <c r="F60" s="401" t="n">
        <v>0</v>
      </c>
      <c r="G60" s="401" t="n">
        <v>1115</v>
      </c>
      <c r="H60" s="402" t="n">
        <v>110</v>
      </c>
      <c r="I60" s="393" t="n">
        <f aca="false">1.8 * MIN(6, MAX(E60,F60)) + 0.45 * MIN(6, MIN(E60,F60)) + IF(E60&gt;6, (E60-6)*0.2) + IF(F60&gt;6, (F60-6)*0.2)</f>
        <v>10.8</v>
      </c>
      <c r="J60" s="403"/>
      <c r="K60" s="404"/>
      <c r="L60" s="404"/>
      <c r="M60" s="404"/>
      <c r="N60" s="404"/>
      <c r="O60" s="404"/>
      <c r="P60" s="404"/>
      <c r="Q60" s="404"/>
      <c r="R60" s="404"/>
      <c r="S60" s="404"/>
      <c r="T60" s="404"/>
      <c r="U60" s="404"/>
      <c r="V60" s="404"/>
      <c r="W60" s="401"/>
      <c r="X60" s="405"/>
      <c r="Y60" s="401"/>
      <c r="Z60" s="401"/>
      <c r="AA60" s="406"/>
    </row>
    <row r="61" s="399" customFormat="true" ht="19.5" hidden="false" customHeight="true" outlineLevel="0" collapsed="false">
      <c r="A61" s="399" t="s">
        <v>131</v>
      </c>
      <c r="B61" s="407" t="s">
        <v>1031</v>
      </c>
      <c r="C61" s="399" t="s">
        <v>239</v>
      </c>
      <c r="D61" s="408" t="s">
        <v>1082</v>
      </c>
      <c r="E61" s="409" t="n">
        <v>2.5</v>
      </c>
      <c r="F61" s="409"/>
      <c r="G61" s="409" t="n">
        <v>295</v>
      </c>
      <c r="H61" s="399" t="n">
        <v>25</v>
      </c>
      <c r="I61" s="407" t="n">
        <v>5</v>
      </c>
      <c r="J61" s="410" t="n">
        <v>0.3</v>
      </c>
      <c r="K61" s="411" t="n">
        <v>0.15</v>
      </c>
      <c r="L61" s="411"/>
      <c r="M61" s="411"/>
      <c r="N61" s="411"/>
      <c r="O61" s="411"/>
      <c r="P61" s="411"/>
      <c r="Q61" s="411"/>
      <c r="R61" s="411" t="n">
        <v>-0.25</v>
      </c>
      <c r="S61" s="411"/>
      <c r="T61" s="411"/>
      <c r="U61" s="411"/>
      <c r="V61" s="411"/>
      <c r="W61" s="68"/>
      <c r="X61" s="397"/>
      <c r="Y61" s="409"/>
      <c r="Z61" s="409"/>
      <c r="AA61" s="398"/>
    </row>
    <row r="62" customFormat="false" ht="19.5" hidden="false" customHeight="true" outlineLevel="0" collapsed="false">
      <c r="A62" s="328" t="s">
        <v>131</v>
      </c>
      <c r="B62" s="393" t="s">
        <v>1031</v>
      </c>
      <c r="C62" s="328" t="s">
        <v>239</v>
      </c>
      <c r="D62" s="394" t="s">
        <v>1083</v>
      </c>
      <c r="F62" s="68" t="n">
        <v>2.5</v>
      </c>
      <c r="G62" s="68" t="n">
        <v>325</v>
      </c>
      <c r="H62" s="328" t="n">
        <v>25</v>
      </c>
      <c r="I62" s="393" t="n">
        <v>5</v>
      </c>
      <c r="J62" s="395"/>
      <c r="K62" s="396"/>
      <c r="L62" s="396"/>
      <c r="M62" s="396"/>
      <c r="N62" s="396"/>
      <c r="O62" s="396"/>
      <c r="P62" s="396"/>
      <c r="Q62" s="396"/>
      <c r="R62" s="396"/>
      <c r="S62" s="396"/>
      <c r="T62" s="396"/>
      <c r="U62" s="396"/>
      <c r="V62" s="396"/>
      <c r="W62" s="68"/>
      <c r="X62" s="397"/>
      <c r="Y62" s="68"/>
      <c r="Z62" s="68"/>
      <c r="AA62" s="398"/>
    </row>
    <row r="63" customFormat="false" ht="19.5" hidden="false" customHeight="true" outlineLevel="0" collapsed="false">
      <c r="A63" s="328" t="s">
        <v>131</v>
      </c>
      <c r="B63" s="393" t="s">
        <v>1031</v>
      </c>
      <c r="C63" s="328" t="s">
        <v>239</v>
      </c>
      <c r="D63" s="394" t="s">
        <v>1084</v>
      </c>
      <c r="E63" s="68" t="n">
        <v>3</v>
      </c>
      <c r="F63" s="68" t="n">
        <v>3</v>
      </c>
      <c r="G63" s="68" t="n">
        <v>1375</v>
      </c>
      <c r="H63" s="328" t="n">
        <v>0</v>
      </c>
      <c r="I63" s="393" t="n">
        <f aca="false">1.8 * MIN(6, MAX(E63,F63)) + 0.45 * MIN(6, MIN(E63,F63)) + IF(E63&gt;6, (E63-6)*0.2) + IF(F63&gt;6, (F63-6)*0.2)</f>
        <v>6.75</v>
      </c>
      <c r="J63" s="395"/>
      <c r="K63" s="396"/>
      <c r="L63" s="396"/>
      <c r="M63" s="396"/>
      <c r="N63" s="396"/>
      <c r="O63" s="396"/>
      <c r="P63" s="396"/>
      <c r="Q63" s="396"/>
      <c r="R63" s="396"/>
      <c r="S63" s="396"/>
      <c r="T63" s="396"/>
      <c r="U63" s="396"/>
      <c r="V63" s="396"/>
      <c r="W63" s="68"/>
      <c r="X63" s="397"/>
      <c r="Y63" s="68"/>
      <c r="Z63" s="68"/>
      <c r="AA63" s="398"/>
    </row>
    <row r="64" s="402" customFormat="true" ht="19.5" hidden="false" customHeight="true" outlineLevel="0" collapsed="false">
      <c r="A64" s="402" t="s">
        <v>131</v>
      </c>
      <c r="B64" s="412" t="s">
        <v>1031</v>
      </c>
      <c r="C64" s="402" t="s">
        <v>239</v>
      </c>
      <c r="D64" s="400" t="s">
        <v>1085</v>
      </c>
      <c r="E64" s="401" t="n">
        <v>3</v>
      </c>
      <c r="F64" s="401" t="n">
        <v>2</v>
      </c>
      <c r="G64" s="401" t="n">
        <v>990</v>
      </c>
      <c r="H64" s="402" t="n">
        <v>50</v>
      </c>
      <c r="I64" s="393" t="n">
        <f aca="false">1.8 * MIN(6, MAX(E64,F64)) + 0.45 * MIN(6, MIN(E64,F64)) + IF(E64&gt;6, (E64-6)*0.2) + IF(F64&gt;6, (F64-6)*0.2)</f>
        <v>6.3</v>
      </c>
      <c r="J64" s="403"/>
      <c r="K64" s="404"/>
      <c r="L64" s="404"/>
      <c r="M64" s="404"/>
      <c r="N64" s="404"/>
      <c r="O64" s="404"/>
      <c r="P64" s="404"/>
      <c r="Q64" s="404"/>
      <c r="R64" s="404"/>
      <c r="S64" s="404"/>
      <c r="T64" s="404"/>
      <c r="U64" s="404"/>
      <c r="V64" s="404"/>
      <c r="W64" s="401"/>
      <c r="X64" s="405"/>
      <c r="Y64" s="401"/>
      <c r="Z64" s="401"/>
      <c r="AA64" s="406"/>
    </row>
    <row r="65" s="399" customFormat="true" ht="19.5" hidden="false" customHeight="true" outlineLevel="0" collapsed="false">
      <c r="A65" s="399" t="s">
        <v>136</v>
      </c>
      <c r="B65" s="407" t="s">
        <v>1036</v>
      </c>
      <c r="C65" s="399" t="s">
        <v>242</v>
      </c>
      <c r="D65" s="408" t="s">
        <v>1086</v>
      </c>
      <c r="E65" s="409" t="n">
        <v>3</v>
      </c>
      <c r="F65" s="409"/>
      <c r="G65" s="409" t="n">
        <v>275</v>
      </c>
      <c r="H65" s="399" t="n">
        <v>0</v>
      </c>
      <c r="I65" s="407" t="n">
        <v>5</v>
      </c>
      <c r="J65" s="410" t="n">
        <v>0.05</v>
      </c>
      <c r="K65" s="411"/>
      <c r="L65" s="411"/>
      <c r="M65" s="411"/>
      <c r="N65" s="411"/>
      <c r="O65" s="411"/>
      <c r="P65" s="411"/>
      <c r="Q65" s="411"/>
      <c r="R65" s="411" t="n">
        <v>-0.15</v>
      </c>
      <c r="S65" s="411"/>
      <c r="T65" s="411"/>
      <c r="U65" s="411" t="n">
        <v>0.1</v>
      </c>
      <c r="V65" s="411"/>
      <c r="W65" s="68"/>
      <c r="X65" s="397"/>
      <c r="Y65" s="409"/>
      <c r="Z65" s="409"/>
      <c r="AA65" s="398"/>
    </row>
    <row r="66" customFormat="false" ht="19.5" hidden="false" customHeight="true" outlineLevel="0" collapsed="false">
      <c r="A66" s="328" t="s">
        <v>136</v>
      </c>
      <c r="B66" s="393" t="s">
        <v>1036</v>
      </c>
      <c r="C66" s="328" t="s">
        <v>242</v>
      </c>
      <c r="D66" s="394" t="s">
        <v>1087</v>
      </c>
      <c r="F66" s="68" t="n">
        <v>3</v>
      </c>
      <c r="G66" s="68" t="n">
        <v>275</v>
      </c>
      <c r="H66" s="328" t="n">
        <v>0</v>
      </c>
      <c r="I66" s="393" t="n">
        <v>5</v>
      </c>
      <c r="J66" s="395"/>
      <c r="K66" s="396"/>
      <c r="L66" s="396"/>
      <c r="M66" s="396"/>
      <c r="N66" s="396"/>
      <c r="O66" s="396"/>
      <c r="P66" s="396"/>
      <c r="Q66" s="396"/>
      <c r="R66" s="396"/>
      <c r="S66" s="396"/>
      <c r="T66" s="396"/>
      <c r="U66" s="396"/>
      <c r="V66" s="396"/>
      <c r="W66" s="68"/>
      <c r="X66" s="397"/>
      <c r="Y66" s="68"/>
      <c r="Z66" s="68"/>
      <c r="AA66" s="398"/>
    </row>
    <row r="67" customFormat="false" ht="19.5" hidden="false" customHeight="true" outlineLevel="0" collapsed="false">
      <c r="A67" s="328" t="s">
        <v>136</v>
      </c>
      <c r="B67" s="393" t="s">
        <v>1036</v>
      </c>
      <c r="C67" s="328" t="s">
        <v>242</v>
      </c>
      <c r="D67" s="394" t="s">
        <v>137</v>
      </c>
      <c r="E67" s="68" t="n">
        <v>4</v>
      </c>
      <c r="F67" s="68" t="n">
        <v>4</v>
      </c>
      <c r="G67" s="68" t="n">
        <v>900</v>
      </c>
      <c r="H67" s="328" t="n">
        <v>0</v>
      </c>
      <c r="I67" s="393" t="n">
        <f aca="false">1.8 * MIN(6, MAX(E67,F67)) + 0.45 * MIN(6, MIN(E67,F67)) + IF(E67&gt;6, (E67-6)*0.2) + IF(F67&gt;6, (F67-6)*0.2)</f>
        <v>9</v>
      </c>
      <c r="J67" s="395"/>
      <c r="K67" s="396"/>
      <c r="L67" s="396"/>
      <c r="M67" s="396"/>
      <c r="N67" s="396"/>
      <c r="O67" s="396"/>
      <c r="P67" s="396"/>
      <c r="Q67" s="396"/>
      <c r="R67" s="396"/>
      <c r="S67" s="396"/>
      <c r="T67" s="396"/>
      <c r="U67" s="396"/>
      <c r="V67" s="396"/>
      <c r="W67" s="68"/>
      <c r="X67" s="397"/>
      <c r="Y67" s="68"/>
      <c r="Z67" s="68"/>
      <c r="AA67" s="398"/>
    </row>
    <row r="68" s="402" customFormat="true" ht="19.5" hidden="false" customHeight="true" outlineLevel="0" collapsed="false">
      <c r="A68" s="402" t="s">
        <v>136</v>
      </c>
      <c r="B68" s="412" t="s">
        <v>1036</v>
      </c>
      <c r="C68" s="402" t="s">
        <v>242</v>
      </c>
      <c r="D68" s="400" t="s">
        <v>1088</v>
      </c>
      <c r="E68" s="401" t="n">
        <v>6</v>
      </c>
      <c r="F68" s="401" t="n">
        <v>2</v>
      </c>
      <c r="G68" s="401" t="n">
        <v>1090</v>
      </c>
      <c r="H68" s="402" t="n">
        <v>0</v>
      </c>
      <c r="I68" s="412" t="n">
        <f aca="false">1.8 * MIN(6, MAX(E68,F68)) + 0.45 * MIN(6, MIN(E68,F68)) + IF(E68&gt;6, (E68-6)*0.2) + IF(F68&gt;6, (F68-6)*0.2)</f>
        <v>11.7</v>
      </c>
      <c r="J68" s="403"/>
      <c r="K68" s="404"/>
      <c r="L68" s="404"/>
      <c r="M68" s="404"/>
      <c r="N68" s="404"/>
      <c r="O68" s="404"/>
      <c r="P68" s="404"/>
      <c r="Q68" s="404"/>
      <c r="R68" s="404"/>
      <c r="S68" s="404"/>
      <c r="T68" s="404"/>
      <c r="U68" s="404"/>
      <c r="V68" s="404"/>
      <c r="W68" s="401"/>
      <c r="X68" s="405"/>
      <c r="Y68" s="401"/>
      <c r="Z68" s="401"/>
      <c r="AA68" s="406"/>
    </row>
    <row r="69" s="399" customFormat="true" ht="19.5" hidden="false" customHeight="true" outlineLevel="0" collapsed="false">
      <c r="A69" s="399" t="s">
        <v>122</v>
      </c>
      <c r="B69" s="407" t="s">
        <v>1036</v>
      </c>
      <c r="C69" s="399" t="s">
        <v>238</v>
      </c>
      <c r="D69" s="408" t="s">
        <v>1089</v>
      </c>
      <c r="E69" s="409" t="n">
        <v>3</v>
      </c>
      <c r="F69" s="409"/>
      <c r="G69" s="409" t="n">
        <v>300</v>
      </c>
      <c r="H69" s="399" t="n">
        <v>0</v>
      </c>
      <c r="I69" s="407" t="n">
        <v>5</v>
      </c>
      <c r="J69" s="410"/>
      <c r="K69" s="411"/>
      <c r="L69" s="411"/>
      <c r="M69" s="411"/>
      <c r="N69" s="411" t="n">
        <v>-0.1</v>
      </c>
      <c r="O69" s="411"/>
      <c r="P69" s="411"/>
      <c r="Q69" s="411"/>
      <c r="R69" s="411" t="n">
        <v>-0.5</v>
      </c>
      <c r="S69" s="411" t="n">
        <v>0.05</v>
      </c>
      <c r="T69" s="411"/>
      <c r="U69" s="411"/>
      <c r="V69" s="411"/>
      <c r="W69" s="68"/>
      <c r="X69" s="397"/>
      <c r="Y69" s="409"/>
      <c r="Z69" s="409"/>
      <c r="AA69" s="398"/>
    </row>
    <row r="70" customFormat="false" ht="19.5" hidden="false" customHeight="true" outlineLevel="0" collapsed="false">
      <c r="A70" s="328" t="s">
        <v>122</v>
      </c>
      <c r="B70" s="393" t="s">
        <v>1036</v>
      </c>
      <c r="C70" s="328" t="s">
        <v>238</v>
      </c>
      <c r="D70" s="394" t="s">
        <v>1090</v>
      </c>
      <c r="F70" s="68" t="n">
        <v>3</v>
      </c>
      <c r="G70" s="68" t="n">
        <v>350</v>
      </c>
      <c r="H70" s="328" t="n">
        <v>25</v>
      </c>
      <c r="I70" s="393" t="n">
        <v>5</v>
      </c>
      <c r="J70" s="395"/>
      <c r="K70" s="396"/>
      <c r="L70" s="396"/>
      <c r="M70" s="396"/>
      <c r="N70" s="396"/>
      <c r="O70" s="396"/>
      <c r="P70" s="396"/>
      <c r="Q70" s="396"/>
      <c r="R70" s="396"/>
      <c r="S70" s="396"/>
      <c r="T70" s="396"/>
      <c r="U70" s="396"/>
      <c r="V70" s="396"/>
      <c r="W70" s="68"/>
      <c r="X70" s="397"/>
      <c r="Y70" s="68"/>
      <c r="Z70" s="68"/>
      <c r="AA70" s="398"/>
    </row>
    <row r="71" customFormat="false" ht="19.5" hidden="false" customHeight="true" outlineLevel="0" collapsed="false">
      <c r="A71" s="328" t="s">
        <v>122</v>
      </c>
      <c r="B71" s="393" t="s">
        <v>1036</v>
      </c>
      <c r="C71" s="328" t="s">
        <v>238</v>
      </c>
      <c r="D71" s="394" t="s">
        <v>1091</v>
      </c>
      <c r="E71" s="68" t="n">
        <v>3</v>
      </c>
      <c r="F71" s="68" t="n">
        <v>3</v>
      </c>
      <c r="G71" s="68" t="n">
        <v>965</v>
      </c>
      <c r="H71" s="328" t="n">
        <v>100</v>
      </c>
      <c r="I71" s="393" t="n">
        <f aca="false">1.8 * MIN(6, MAX(E71,F71)) + 0.45 * MIN(6, MIN(E71,F71)) + IF(E71&gt;6, (E71-6)*0.2) + IF(F71&gt;6, (F71-6)*0.2)</f>
        <v>6.75</v>
      </c>
      <c r="J71" s="395"/>
      <c r="K71" s="396"/>
      <c r="L71" s="396"/>
      <c r="M71" s="396"/>
      <c r="N71" s="396"/>
      <c r="O71" s="396"/>
      <c r="P71" s="396"/>
      <c r="Q71" s="396"/>
      <c r="R71" s="396"/>
      <c r="S71" s="396"/>
      <c r="T71" s="396"/>
      <c r="U71" s="396"/>
      <c r="V71" s="396"/>
      <c r="W71" s="68"/>
      <c r="X71" s="397"/>
      <c r="Y71" s="68"/>
      <c r="Z71" s="68"/>
      <c r="AA71" s="398"/>
    </row>
    <row r="72" s="402" customFormat="true" ht="19.5" hidden="false" customHeight="true" outlineLevel="0" collapsed="false">
      <c r="A72" s="402" t="s">
        <v>122</v>
      </c>
      <c r="B72" s="412" t="s">
        <v>1036</v>
      </c>
      <c r="C72" s="402" t="s">
        <v>238</v>
      </c>
      <c r="D72" s="400" t="s">
        <v>124</v>
      </c>
      <c r="E72" s="401" t="n">
        <v>4</v>
      </c>
      <c r="F72" s="401" t="n">
        <v>2</v>
      </c>
      <c r="G72" s="401" t="n">
        <v>1100</v>
      </c>
      <c r="H72" s="402" t="n">
        <v>0</v>
      </c>
      <c r="I72" s="412" t="n">
        <f aca="false">1.8 * MIN(6, MAX(E72,F72)) + 0.45 * MIN(6, MIN(E72,F72)) + IF(E72&gt;6, (E72-6)*0.2) + IF(F72&gt;6, (F72-6)*0.2)</f>
        <v>8.1</v>
      </c>
      <c r="J72" s="403"/>
      <c r="K72" s="404"/>
      <c r="L72" s="404"/>
      <c r="M72" s="404"/>
      <c r="N72" s="404"/>
      <c r="O72" s="404"/>
      <c r="P72" s="404"/>
      <c r="Q72" s="404"/>
      <c r="R72" s="404"/>
      <c r="S72" s="404"/>
      <c r="T72" s="404"/>
      <c r="U72" s="404"/>
      <c r="V72" s="404"/>
      <c r="W72" s="401"/>
      <c r="X72" s="405"/>
      <c r="Y72" s="401"/>
      <c r="Z72" s="401"/>
      <c r="AA72" s="406"/>
    </row>
    <row r="73" customFormat="false" ht="19.5" hidden="false" customHeight="true" outlineLevel="0" collapsed="false">
      <c r="A73" s="399" t="s">
        <v>9</v>
      </c>
      <c r="B73" s="407" t="s">
        <v>1031</v>
      </c>
      <c r="C73" s="399" t="s">
        <v>241</v>
      </c>
      <c r="D73" s="408" t="s">
        <v>1092</v>
      </c>
      <c r="E73" s="409" t="n">
        <v>3</v>
      </c>
      <c r="F73" s="409"/>
      <c r="G73" s="409" t="n">
        <v>300</v>
      </c>
      <c r="H73" s="399" t="n">
        <v>0</v>
      </c>
      <c r="I73" s="407" t="n">
        <v>5</v>
      </c>
      <c r="J73" s="410" t="n">
        <v>0.05</v>
      </c>
      <c r="K73" s="411"/>
      <c r="L73" s="411"/>
      <c r="M73" s="411"/>
      <c r="N73" s="411" t="n">
        <v>-0.1</v>
      </c>
      <c r="O73" s="411"/>
      <c r="P73" s="411"/>
      <c r="Q73" s="411" t="n">
        <v>0.15</v>
      </c>
      <c r="R73" s="411"/>
      <c r="S73" s="411"/>
      <c r="T73" s="411"/>
      <c r="U73" s="411"/>
      <c r="V73" s="411"/>
      <c r="W73" s="68"/>
      <c r="X73" s="397"/>
      <c r="Y73" s="414" t="n">
        <v>-0.1</v>
      </c>
      <c r="Z73" s="68"/>
      <c r="AA73" s="415"/>
    </row>
    <row r="74" customFormat="false" ht="19.5" hidden="false" customHeight="true" outlineLevel="0" collapsed="false">
      <c r="A74" s="328" t="s">
        <v>9</v>
      </c>
      <c r="B74" s="393" t="s">
        <v>1031</v>
      </c>
      <c r="C74" s="328" t="s">
        <v>241</v>
      </c>
      <c r="D74" s="394" t="s">
        <v>1093</v>
      </c>
      <c r="F74" s="68" t="n">
        <v>3</v>
      </c>
      <c r="G74" s="68" t="n">
        <v>300</v>
      </c>
      <c r="H74" s="328" t="n">
        <v>0</v>
      </c>
      <c r="I74" s="393" t="n">
        <v>5</v>
      </c>
      <c r="J74" s="395"/>
      <c r="K74" s="396"/>
      <c r="L74" s="396"/>
      <c r="M74" s="396"/>
      <c r="N74" s="396"/>
      <c r="O74" s="396"/>
      <c r="P74" s="396"/>
      <c r="Q74" s="396"/>
      <c r="R74" s="396"/>
      <c r="S74" s="396"/>
      <c r="T74" s="396"/>
      <c r="U74" s="396"/>
      <c r="V74" s="396"/>
      <c r="W74" s="68"/>
      <c r="X74" s="397"/>
      <c r="Y74" s="68"/>
      <c r="Z74" s="68"/>
      <c r="AA74" s="398"/>
    </row>
    <row r="75" customFormat="false" ht="19.5" hidden="false" customHeight="true" outlineLevel="0" collapsed="false">
      <c r="A75" s="328" t="s">
        <v>9</v>
      </c>
      <c r="B75" s="393" t="s">
        <v>1031</v>
      </c>
      <c r="C75" s="328" t="s">
        <v>241</v>
      </c>
      <c r="D75" s="394" t="s">
        <v>1094</v>
      </c>
      <c r="E75" s="68" t="n">
        <v>0</v>
      </c>
      <c r="F75" s="68" t="n">
        <v>4.5</v>
      </c>
      <c r="G75" s="68" t="n">
        <v>925</v>
      </c>
      <c r="H75" s="328" t="n">
        <v>0</v>
      </c>
      <c r="I75" s="393" t="n">
        <f aca="false">1.8 * MIN(6, MAX(E75,F75)) + 0.45 * MIN(6, MIN(E75,F75)) + IF(E75&gt;6, (E75-6)*0.2) + IF(F75&gt;6, (F75-6)*0.2)</f>
        <v>8.1</v>
      </c>
      <c r="J75" s="395"/>
      <c r="K75" s="396"/>
      <c r="L75" s="396"/>
      <c r="M75" s="396"/>
      <c r="N75" s="396"/>
      <c r="O75" s="396"/>
      <c r="P75" s="396"/>
      <c r="Q75" s="396"/>
      <c r="R75" s="396"/>
      <c r="S75" s="396"/>
      <c r="T75" s="396"/>
      <c r="U75" s="396"/>
      <c r="V75" s="396"/>
      <c r="W75" s="68"/>
      <c r="X75" s="397"/>
      <c r="Y75" s="68"/>
      <c r="Z75" s="68"/>
      <c r="AA75" s="398"/>
    </row>
    <row r="76" customFormat="false" ht="19.5" hidden="false" customHeight="true" outlineLevel="0" collapsed="false">
      <c r="A76" s="402" t="s">
        <v>9</v>
      </c>
      <c r="B76" s="412" t="s">
        <v>1031</v>
      </c>
      <c r="C76" s="402" t="s">
        <v>241</v>
      </c>
      <c r="D76" s="400" t="s">
        <v>1095</v>
      </c>
      <c r="E76" s="401" t="n">
        <v>5</v>
      </c>
      <c r="F76" s="401" t="n">
        <v>3</v>
      </c>
      <c r="G76" s="401" t="n">
        <v>950</v>
      </c>
      <c r="H76" s="402" t="n">
        <v>0</v>
      </c>
      <c r="I76" s="412" t="n">
        <f aca="false">1.8 * MIN(6, MAX(E76,F76)) + 0.45 * MIN(6, MIN(E76,F76)) + IF(E76&gt;6, (E76-6)*0.2) + IF(F76&gt;6, (F76-6)*0.2)</f>
        <v>10.35</v>
      </c>
      <c r="J76" s="403"/>
      <c r="K76" s="404"/>
      <c r="L76" s="404"/>
      <c r="M76" s="404"/>
      <c r="N76" s="404"/>
      <c r="O76" s="404"/>
      <c r="P76" s="404"/>
      <c r="Q76" s="404"/>
      <c r="R76" s="404"/>
      <c r="S76" s="404"/>
      <c r="T76" s="404"/>
      <c r="U76" s="404"/>
      <c r="V76" s="404"/>
      <c r="W76" s="401"/>
      <c r="X76" s="405"/>
      <c r="Y76" s="401"/>
      <c r="Z76" s="68"/>
      <c r="AA76" s="406"/>
    </row>
    <row r="77" customFormat="false" ht="19.5" hidden="false" customHeight="true" outlineLevel="0" collapsed="false">
      <c r="A77" s="399" t="s">
        <v>125</v>
      </c>
      <c r="B77" s="407" t="s">
        <v>1036</v>
      </c>
      <c r="C77" s="416" t="s">
        <v>237</v>
      </c>
      <c r="D77" s="399" t="s">
        <v>1096</v>
      </c>
      <c r="E77" s="409" t="n">
        <v>4</v>
      </c>
      <c r="F77" s="409"/>
      <c r="G77" s="409" t="n">
        <v>385</v>
      </c>
      <c r="H77" s="399" t="n">
        <v>30</v>
      </c>
      <c r="I77" s="407" t="n">
        <v>5</v>
      </c>
      <c r="J77" s="410"/>
      <c r="K77" s="411"/>
      <c r="L77" s="411"/>
      <c r="M77" s="411"/>
      <c r="N77" s="411" t="n">
        <v>0.5</v>
      </c>
      <c r="O77" s="411"/>
      <c r="P77" s="411"/>
      <c r="Q77" s="411"/>
      <c r="R77" s="411"/>
      <c r="S77" s="411"/>
      <c r="T77" s="411"/>
      <c r="U77" s="411"/>
      <c r="V77" s="411"/>
      <c r="W77" s="68"/>
      <c r="X77" s="397"/>
      <c r="Y77" s="68"/>
      <c r="Z77" s="409"/>
      <c r="AA77" s="398"/>
    </row>
    <row r="78" customFormat="false" ht="19.5" hidden="false" customHeight="true" outlineLevel="0" collapsed="false">
      <c r="A78" s="328" t="s">
        <v>125</v>
      </c>
      <c r="B78" s="393" t="s">
        <v>1036</v>
      </c>
      <c r="C78" s="417" t="s">
        <v>237</v>
      </c>
      <c r="D78" s="328" t="s">
        <v>206</v>
      </c>
      <c r="F78" s="68" t="n">
        <v>3</v>
      </c>
      <c r="G78" s="68" t="n">
        <v>300</v>
      </c>
      <c r="H78" s="328" t="n">
        <v>0</v>
      </c>
      <c r="I78" s="393" t="n">
        <v>5</v>
      </c>
      <c r="J78" s="395"/>
      <c r="K78" s="396"/>
      <c r="L78" s="396"/>
      <c r="M78" s="396"/>
      <c r="N78" s="396"/>
      <c r="O78" s="396"/>
      <c r="P78" s="396"/>
      <c r="Q78" s="396"/>
      <c r="R78" s="396"/>
      <c r="S78" s="396"/>
      <c r="T78" s="396"/>
      <c r="U78" s="396"/>
      <c r="V78" s="396"/>
      <c r="W78" s="68"/>
      <c r="X78" s="397"/>
      <c r="Y78" s="68"/>
      <c r="Z78" s="68"/>
      <c r="AA78" s="398"/>
    </row>
    <row r="79" customFormat="false" ht="19.5" hidden="false" customHeight="true" outlineLevel="0" collapsed="false">
      <c r="A79" s="328" t="s">
        <v>125</v>
      </c>
      <c r="B79" s="393" t="s">
        <v>1036</v>
      </c>
      <c r="C79" s="417" t="s">
        <v>237</v>
      </c>
      <c r="D79" s="328" t="s">
        <v>1097</v>
      </c>
      <c r="E79" s="68" t="n">
        <v>0</v>
      </c>
      <c r="F79" s="68" t="n">
        <v>5</v>
      </c>
      <c r="G79" s="68" t="n">
        <v>965</v>
      </c>
      <c r="H79" s="328" t="n">
        <v>0</v>
      </c>
      <c r="I79" s="393" t="n">
        <f aca="false">1.8 * MIN(6, MAX(E79,F79)) + 0.45 * MIN(6, MIN(E79,F79)) + IF(E79&gt;6, (E79-6)*0.2) + IF(F79&gt;6, (F79-6)*0.2)</f>
        <v>9</v>
      </c>
      <c r="J79" s="395"/>
      <c r="K79" s="396"/>
      <c r="L79" s="396"/>
      <c r="M79" s="396"/>
      <c r="N79" s="396"/>
      <c r="O79" s="396"/>
      <c r="P79" s="396"/>
      <c r="Q79" s="396"/>
      <c r="R79" s="396"/>
      <c r="S79" s="396"/>
      <c r="T79" s="396"/>
      <c r="U79" s="396"/>
      <c r="V79" s="396"/>
      <c r="W79" s="68"/>
      <c r="X79" s="397"/>
      <c r="Y79" s="68"/>
      <c r="Z79" s="68"/>
      <c r="AA79" s="398"/>
    </row>
    <row r="80" customFormat="false" ht="19.5" hidden="false" customHeight="true" outlineLevel="0" collapsed="false">
      <c r="A80" s="402" t="s">
        <v>125</v>
      </c>
      <c r="B80" s="412" t="s">
        <v>1036</v>
      </c>
      <c r="C80" s="418" t="s">
        <v>237</v>
      </c>
      <c r="D80" s="402" t="s">
        <v>127</v>
      </c>
      <c r="E80" s="401" t="n">
        <v>4</v>
      </c>
      <c r="F80" s="401" t="n">
        <v>3</v>
      </c>
      <c r="G80" s="401" t="n">
        <v>1150</v>
      </c>
      <c r="H80" s="402" t="n">
        <v>120</v>
      </c>
      <c r="I80" s="412" t="n">
        <f aca="false">1.8 * MIN(6, MAX(E80,F80)) + 0.45 * MIN(6, MIN(E80,F80)) + IF(E80&gt;6, (E80-6)*0.2) + IF(F80&gt;6, (F80-6)*0.2)</f>
        <v>8.55</v>
      </c>
      <c r="J80" s="403"/>
      <c r="K80" s="404"/>
      <c r="L80" s="404"/>
      <c r="M80" s="404"/>
      <c r="N80" s="404"/>
      <c r="O80" s="404"/>
      <c r="P80" s="404"/>
      <c r="Q80" s="404"/>
      <c r="R80" s="404"/>
      <c r="S80" s="404"/>
      <c r="T80" s="404"/>
      <c r="U80" s="404"/>
      <c r="V80" s="404"/>
      <c r="W80" s="401"/>
      <c r="X80" s="405"/>
      <c r="Y80" s="401"/>
      <c r="Z80" s="401"/>
      <c r="AA80" s="406"/>
    </row>
    <row r="81" customFormat="false" ht="19.5" hidden="false" customHeight="true" outlineLevel="0" collapsed="false">
      <c r="A81" s="399" t="s">
        <v>128</v>
      </c>
      <c r="B81" s="407" t="s">
        <v>1036</v>
      </c>
      <c r="C81" s="416" t="s">
        <v>240</v>
      </c>
      <c r="D81" s="399" t="s">
        <v>1098</v>
      </c>
      <c r="E81" s="409" t="n">
        <v>3</v>
      </c>
      <c r="F81" s="409"/>
      <c r="G81" s="409" t="n">
        <v>300</v>
      </c>
      <c r="H81" s="399" t="n">
        <v>0</v>
      </c>
      <c r="I81" s="407" t="n">
        <v>5</v>
      </c>
      <c r="J81" s="410"/>
      <c r="K81" s="411"/>
      <c r="L81" s="411"/>
      <c r="M81" s="411"/>
      <c r="N81" s="411"/>
      <c r="O81" s="411" t="n">
        <v>0.1</v>
      </c>
      <c r="P81" s="411"/>
      <c r="Q81" s="411"/>
      <c r="R81" s="411" t="n">
        <v>-0.2</v>
      </c>
      <c r="S81" s="411"/>
      <c r="T81" s="411"/>
      <c r="U81" s="411"/>
      <c r="V81" s="411"/>
      <c r="W81" s="68"/>
      <c r="X81" s="397"/>
      <c r="Y81" s="68"/>
      <c r="Z81" s="396" t="n">
        <v>0.15</v>
      </c>
      <c r="AA81" s="415"/>
    </row>
    <row r="82" customFormat="false" ht="19.5" hidden="false" customHeight="true" outlineLevel="0" collapsed="false">
      <c r="A82" s="328" t="s">
        <v>128</v>
      </c>
      <c r="B82" s="393" t="s">
        <v>1036</v>
      </c>
      <c r="C82" s="417" t="s">
        <v>240</v>
      </c>
      <c r="D82" s="328" t="s">
        <v>1099</v>
      </c>
      <c r="F82" s="68" t="n">
        <v>3</v>
      </c>
      <c r="G82" s="68" t="n">
        <v>325</v>
      </c>
      <c r="H82" s="328" t="n">
        <v>8</v>
      </c>
      <c r="I82" s="393" t="n">
        <v>5</v>
      </c>
      <c r="J82" s="395"/>
      <c r="K82" s="396"/>
      <c r="L82" s="396"/>
      <c r="M82" s="396"/>
      <c r="N82" s="396"/>
      <c r="O82" s="396"/>
      <c r="P82" s="396"/>
      <c r="Q82" s="396"/>
      <c r="R82" s="396"/>
      <c r="S82" s="396"/>
      <c r="T82" s="396"/>
      <c r="U82" s="396"/>
      <c r="V82" s="396"/>
      <c r="W82" s="68"/>
      <c r="X82" s="397"/>
      <c r="Y82" s="68"/>
      <c r="Z82" s="68"/>
      <c r="AA82" s="398"/>
    </row>
    <row r="83" customFormat="false" ht="19.5" hidden="false" customHeight="true" outlineLevel="0" collapsed="false">
      <c r="A83" s="328" t="s">
        <v>128</v>
      </c>
      <c r="B83" s="393" t="s">
        <v>1036</v>
      </c>
      <c r="C83" s="417" t="s">
        <v>240</v>
      </c>
      <c r="D83" s="328" t="s">
        <v>129</v>
      </c>
      <c r="E83" s="68" t="n">
        <v>0</v>
      </c>
      <c r="F83" s="68" t="n">
        <v>2</v>
      </c>
      <c r="G83" s="68" t="n">
        <v>975</v>
      </c>
      <c r="H83" s="328" t="n">
        <v>25</v>
      </c>
      <c r="I83" s="393" t="n">
        <f aca="false">1.8 * MIN(6, MAX(E83,F83)) + 0.45 * MIN(6, MIN(E83,F83)) + IF(E83&gt;6, (E83-6)*0.2) + IF(F83&gt;6, (F83-6)*0.2)</f>
        <v>3.6</v>
      </c>
      <c r="J83" s="395"/>
      <c r="K83" s="396"/>
      <c r="L83" s="396"/>
      <c r="M83" s="396"/>
      <c r="N83" s="396"/>
      <c r="O83" s="396"/>
      <c r="P83" s="396"/>
      <c r="Q83" s="396"/>
      <c r="R83" s="396"/>
      <c r="S83" s="396"/>
      <c r="T83" s="396"/>
      <c r="U83" s="396"/>
      <c r="V83" s="396"/>
      <c r="W83" s="68"/>
      <c r="X83" s="397"/>
      <c r="Y83" s="68"/>
      <c r="Z83" s="68"/>
      <c r="AA83" s="398"/>
    </row>
    <row r="84" customFormat="false" ht="19.5" hidden="false" customHeight="true" outlineLevel="0" collapsed="false">
      <c r="A84" s="402" t="s">
        <v>128</v>
      </c>
      <c r="B84" s="412" t="s">
        <v>1036</v>
      </c>
      <c r="C84" s="418" t="s">
        <v>240</v>
      </c>
      <c r="D84" s="402" t="s">
        <v>1100</v>
      </c>
      <c r="E84" s="401" t="n">
        <v>5</v>
      </c>
      <c r="F84" s="401" t="n">
        <v>2</v>
      </c>
      <c r="G84" s="401" t="n">
        <v>970</v>
      </c>
      <c r="H84" s="402" t="n">
        <v>0</v>
      </c>
      <c r="I84" s="412" t="n">
        <f aca="false">1.8 * MIN(6, MAX(E84,F84)) + 0.45 * MIN(6, MIN(E84,F84)) + IF(E84&gt;6, (E84-6)*0.2) + IF(F84&gt;6, (F84-6)*0.2)</f>
        <v>9.9</v>
      </c>
      <c r="J84" s="403"/>
      <c r="K84" s="404"/>
      <c r="L84" s="404"/>
      <c r="M84" s="404"/>
      <c r="N84" s="404"/>
      <c r="O84" s="404"/>
      <c r="P84" s="404"/>
      <c r="Q84" s="404"/>
      <c r="R84" s="404"/>
      <c r="S84" s="404"/>
      <c r="T84" s="404"/>
      <c r="U84" s="404"/>
      <c r="V84" s="404"/>
      <c r="W84" s="401"/>
      <c r="X84" s="405"/>
      <c r="Y84" s="401"/>
      <c r="Z84" s="401"/>
      <c r="AA84" s="406"/>
    </row>
    <row r="85" customFormat="false" ht="19.5" hidden="false" customHeight="true" outlineLevel="0" collapsed="false">
      <c r="A85" s="328" t="s">
        <v>1017</v>
      </c>
      <c r="B85" s="393"/>
      <c r="C85" s="417" t="s">
        <v>240</v>
      </c>
      <c r="D85" s="328" t="s">
        <v>1101</v>
      </c>
      <c r="E85" s="68" t="n">
        <v>3</v>
      </c>
      <c r="F85" s="68" t="n">
        <v>0</v>
      </c>
      <c r="G85" s="68" t="n">
        <v>200</v>
      </c>
      <c r="H85" s="328" t="n">
        <v>25</v>
      </c>
      <c r="I85" s="393" t="n">
        <v>5</v>
      </c>
      <c r="J85" s="395" t="n">
        <v>0.05</v>
      </c>
      <c r="K85" s="396"/>
      <c r="L85" s="396"/>
      <c r="M85" s="396"/>
      <c r="N85" s="396"/>
      <c r="O85" s="396" t="n">
        <v>0.2</v>
      </c>
      <c r="P85" s="396"/>
      <c r="Q85" s="396"/>
      <c r="R85" s="396" t="n">
        <v>-0.5</v>
      </c>
      <c r="S85" s="396"/>
      <c r="T85" s="396"/>
      <c r="U85" s="396"/>
      <c r="V85" s="396"/>
      <c r="W85" s="68"/>
      <c r="X85" s="397"/>
      <c r="Y85" s="68"/>
      <c r="Z85" s="398"/>
      <c r="AA85" s="398"/>
    </row>
    <row r="86" customFormat="false" ht="19.5" hidden="false" customHeight="true" outlineLevel="0" collapsed="false">
      <c r="A86" s="328" t="s">
        <v>1017</v>
      </c>
      <c r="B86" s="393"/>
      <c r="C86" s="417" t="s">
        <v>240</v>
      </c>
      <c r="D86" s="328" t="s">
        <v>1102</v>
      </c>
      <c r="E86" s="68" t="n">
        <v>0</v>
      </c>
      <c r="F86" s="68" t="n">
        <v>4</v>
      </c>
      <c r="G86" s="68" t="n">
        <v>800</v>
      </c>
      <c r="H86" s="328" t="n">
        <v>0</v>
      </c>
      <c r="I86" s="393" t="n">
        <v>5</v>
      </c>
      <c r="J86" s="395"/>
      <c r="K86" s="396"/>
      <c r="L86" s="396"/>
      <c r="M86" s="396"/>
      <c r="N86" s="396"/>
      <c r="O86" s="396"/>
      <c r="P86" s="396"/>
      <c r="Q86" s="396"/>
      <c r="R86" s="396"/>
      <c r="S86" s="396"/>
      <c r="T86" s="396"/>
      <c r="U86" s="396"/>
      <c r="V86" s="396"/>
      <c r="W86" s="68"/>
      <c r="X86" s="397"/>
      <c r="Y86" s="68"/>
      <c r="Z86" s="398"/>
      <c r="AA86" s="398"/>
    </row>
    <row r="87" customFormat="false" ht="19.5" hidden="false" customHeight="true" outlineLevel="0" collapsed="false">
      <c r="A87" s="328" t="s">
        <v>1017</v>
      </c>
      <c r="B87" s="393"/>
      <c r="C87" s="417" t="s">
        <v>240</v>
      </c>
      <c r="D87" s="328" t="s">
        <v>1103</v>
      </c>
      <c r="E87" s="68" t="n">
        <v>0</v>
      </c>
      <c r="F87" s="68" t="n">
        <v>6</v>
      </c>
      <c r="G87" s="68" t="n">
        <v>1100</v>
      </c>
      <c r="H87" s="328" t="n">
        <v>30</v>
      </c>
      <c r="I87" s="393" t="n">
        <f aca="false">1.8 * MIN(6, MAX(E87,F87)) + 0.45 * MIN(6, MIN(E87,F87)) + IF(E87&gt;6, (E87-6)*0.2) + IF(F87&gt;6, (F87-6)*0.2)</f>
        <v>10.8</v>
      </c>
      <c r="J87" s="395"/>
      <c r="K87" s="396"/>
      <c r="L87" s="396"/>
      <c r="M87" s="396"/>
      <c r="N87" s="396"/>
      <c r="O87" s="396"/>
      <c r="P87" s="396"/>
      <c r="Q87" s="396"/>
      <c r="R87" s="396"/>
      <c r="S87" s="396"/>
      <c r="T87" s="396"/>
      <c r="U87" s="396"/>
      <c r="V87" s="396"/>
      <c r="W87" s="68"/>
      <c r="X87" s="397"/>
      <c r="Y87" s="68"/>
      <c r="Z87" s="398"/>
      <c r="AA87" s="398"/>
    </row>
    <row r="88" customFormat="false" ht="19.5" hidden="false" customHeight="true" outlineLevel="0" collapsed="false">
      <c r="A88" s="328" t="s">
        <v>1017</v>
      </c>
      <c r="B88" s="393"/>
      <c r="C88" s="417" t="s">
        <v>240</v>
      </c>
      <c r="D88" s="328" t="s">
        <v>1104</v>
      </c>
      <c r="E88" s="68" t="n">
        <v>4</v>
      </c>
      <c r="F88" s="68" t="n">
        <v>3</v>
      </c>
      <c r="G88" s="68" t="n">
        <v>700</v>
      </c>
      <c r="H88" s="328" t="n">
        <v>0</v>
      </c>
      <c r="I88" s="393" t="n">
        <f aca="false">1.8 * MIN(6, MAX(E88,F88)) + 0.45 * MIN(6, MIN(E88,F88)) + IF(E88&gt;6, (E88-6)*0.2) + IF(F88&gt;6, (F88-6)*0.2)</f>
        <v>8.55</v>
      </c>
      <c r="J88" s="395"/>
      <c r="K88" s="396"/>
      <c r="L88" s="396"/>
      <c r="M88" s="396"/>
      <c r="N88" s="396"/>
      <c r="O88" s="396"/>
      <c r="P88" s="396"/>
      <c r="Q88" s="396"/>
      <c r="R88" s="396"/>
      <c r="S88" s="396"/>
      <c r="T88" s="396"/>
      <c r="U88" s="396"/>
      <c r="V88" s="396"/>
      <c r="W88" s="68"/>
      <c r="X88" s="397"/>
      <c r="Y88" s="68"/>
      <c r="Z88" s="398"/>
      <c r="AA88" s="398"/>
    </row>
    <row r="89" customFormat="false" ht="19.5" hidden="false" customHeight="true" outlineLevel="0" collapsed="false">
      <c r="A89" s="385" t="s">
        <v>1105</v>
      </c>
      <c r="B89" s="393" t="s">
        <v>1105</v>
      </c>
      <c r="C89" s="417" t="s">
        <v>1105</v>
      </c>
      <c r="D89" s="34" t="s">
        <v>40</v>
      </c>
      <c r="G89" s="68" t="n">
        <v>500</v>
      </c>
      <c r="I89" s="393"/>
      <c r="J89" s="395"/>
      <c r="K89" s="396"/>
      <c r="L89" s="396"/>
      <c r="M89" s="396"/>
      <c r="N89" s="396"/>
      <c r="O89" s="396"/>
      <c r="P89" s="396"/>
      <c r="Q89" s="396"/>
      <c r="R89" s="396"/>
      <c r="S89" s="396"/>
      <c r="T89" s="396"/>
      <c r="U89" s="396"/>
      <c r="V89" s="396"/>
      <c r="W89" s="68"/>
      <c r="X89" s="397"/>
      <c r="Y89" s="68"/>
      <c r="Z89" s="68"/>
      <c r="AA89" s="398"/>
    </row>
    <row r="90" customFormat="false" ht="19.5" hidden="false" customHeight="true" outlineLevel="0" collapsed="false">
      <c r="A90" s="385" t="s">
        <v>1105</v>
      </c>
      <c r="B90" s="393" t="s">
        <v>1105</v>
      </c>
      <c r="C90" s="417" t="s">
        <v>1105</v>
      </c>
      <c r="D90" s="34" t="s">
        <v>42</v>
      </c>
      <c r="G90" s="68" t="n">
        <v>1000</v>
      </c>
      <c r="H90" s="68" t="s">
        <v>1106</v>
      </c>
      <c r="I90" s="393"/>
      <c r="J90" s="395"/>
      <c r="K90" s="396"/>
      <c r="L90" s="396"/>
      <c r="M90" s="396"/>
      <c r="N90" s="396"/>
      <c r="O90" s="396"/>
      <c r="P90" s="396"/>
      <c r="Q90" s="396"/>
      <c r="R90" s="396"/>
      <c r="S90" s="396"/>
      <c r="T90" s="396"/>
      <c r="U90" s="396"/>
      <c r="V90" s="396"/>
      <c r="W90" s="68"/>
      <c r="X90" s="397"/>
      <c r="Y90" s="68"/>
      <c r="Z90" s="398"/>
      <c r="AA90" s="398"/>
    </row>
    <row r="91" customFormat="false" ht="19.5" hidden="false" customHeight="true" outlineLevel="0" collapsed="false">
      <c r="A91" s="385" t="s">
        <v>1105</v>
      </c>
      <c r="B91" s="393" t="s">
        <v>1105</v>
      </c>
      <c r="C91" s="417" t="s">
        <v>1105</v>
      </c>
      <c r="D91" s="34" t="s">
        <v>44</v>
      </c>
      <c r="G91" s="68" t="n">
        <v>500</v>
      </c>
      <c r="I91" s="393"/>
      <c r="J91" s="395"/>
      <c r="K91" s="396"/>
      <c r="L91" s="396"/>
      <c r="M91" s="396"/>
      <c r="N91" s="396"/>
      <c r="O91" s="396"/>
      <c r="P91" s="396"/>
      <c r="Q91" s="396"/>
      <c r="R91" s="396"/>
      <c r="S91" s="396"/>
      <c r="T91" s="396"/>
      <c r="U91" s="396"/>
      <c r="V91" s="396"/>
      <c r="W91" s="68"/>
      <c r="X91" s="397"/>
      <c r="Y91" s="68"/>
      <c r="Z91" s="68"/>
      <c r="AA91" s="398"/>
    </row>
    <row r="92" customFormat="false" ht="19.5" hidden="false" customHeight="true" outlineLevel="0" collapsed="false">
      <c r="A92" s="385" t="s">
        <v>1105</v>
      </c>
      <c r="B92" s="393" t="s">
        <v>1105</v>
      </c>
      <c r="C92" s="417" t="s">
        <v>1105</v>
      </c>
      <c r="D92" s="34" t="s">
        <v>46</v>
      </c>
      <c r="G92" s="68" t="n">
        <v>1000</v>
      </c>
      <c r="H92" s="68" t="s">
        <v>1107</v>
      </c>
      <c r="I92" s="393"/>
      <c r="J92" s="395"/>
      <c r="K92" s="396"/>
      <c r="L92" s="396"/>
      <c r="M92" s="396"/>
      <c r="N92" s="396"/>
      <c r="O92" s="396"/>
      <c r="P92" s="396"/>
      <c r="Q92" s="396"/>
      <c r="R92" s="396"/>
      <c r="S92" s="396"/>
      <c r="T92" s="396"/>
      <c r="U92" s="396"/>
      <c r="V92" s="396"/>
      <c r="W92" s="68"/>
      <c r="X92" s="397"/>
      <c r="Y92" s="68"/>
      <c r="Z92" s="68"/>
      <c r="AA92" s="398"/>
    </row>
    <row r="93" customFormat="false" ht="19.5" hidden="false" customHeight="true" outlineLevel="0" collapsed="false">
      <c r="J93" s="419"/>
      <c r="K93" s="419"/>
      <c r="L93" s="419"/>
      <c r="M93" s="419"/>
      <c r="N93" s="419"/>
      <c r="O93" s="419"/>
      <c r="P93" s="419"/>
      <c r="Q93" s="419"/>
      <c r="R93" s="419"/>
      <c r="S93" s="419"/>
      <c r="T93" s="419"/>
      <c r="U93" s="419"/>
      <c r="V93" s="419"/>
    </row>
    <row r="94" customFormat="false" ht="19.5" hidden="false" customHeight="true" outlineLevel="0" collapsed="false">
      <c r="A94" s="385" t="s">
        <v>1007</v>
      </c>
      <c r="B94" s="328" t="n">
        <v>5</v>
      </c>
      <c r="D94" s="420" t="s">
        <v>1108</v>
      </c>
      <c r="J94" s="419"/>
      <c r="K94" s="419"/>
      <c r="L94" s="419"/>
      <c r="M94" s="419"/>
      <c r="N94" s="419"/>
      <c r="O94" s="419"/>
      <c r="P94" s="419"/>
      <c r="Q94" s="419"/>
      <c r="R94" s="419"/>
      <c r="S94" s="419"/>
      <c r="T94" s="419"/>
      <c r="U94" s="419"/>
      <c r="V94" s="419"/>
    </row>
    <row r="95" customFormat="false" ht="19.5" hidden="false" customHeight="true" outlineLevel="0" collapsed="false">
      <c r="A95" s="385" t="s">
        <v>480</v>
      </c>
      <c r="B95" s="328" t="n">
        <v>9</v>
      </c>
      <c r="D95" s="328" t="n">
        <v>1</v>
      </c>
      <c r="J95" s="419"/>
      <c r="K95" s="419"/>
      <c r="L95" s="419"/>
      <c r="M95" s="419"/>
      <c r="N95" s="419"/>
      <c r="O95" s="419"/>
      <c r="P95" s="419"/>
      <c r="Q95" s="419"/>
      <c r="R95" s="419"/>
      <c r="S95" s="419"/>
      <c r="T95" s="419"/>
      <c r="U95" s="419"/>
      <c r="V95" s="419"/>
    </row>
    <row r="96" customFormat="false" ht="19.5" hidden="false" customHeight="true" outlineLevel="0" collapsed="false">
      <c r="A96" s="385" t="s">
        <v>476</v>
      </c>
      <c r="B96" s="328" t="n">
        <v>13</v>
      </c>
      <c r="D96" s="328" t="n">
        <v>2</v>
      </c>
      <c r="J96" s="419"/>
      <c r="K96" s="419"/>
      <c r="L96" s="419"/>
      <c r="M96" s="419"/>
      <c r="N96" s="419"/>
      <c r="O96" s="419"/>
      <c r="P96" s="419"/>
      <c r="Q96" s="419"/>
      <c r="R96" s="419"/>
      <c r="S96" s="419"/>
      <c r="T96" s="419"/>
      <c r="U96" s="419"/>
      <c r="V96" s="419"/>
    </row>
    <row r="97" customFormat="false" ht="19.5" hidden="false" customHeight="true" outlineLevel="0" collapsed="false">
      <c r="A97" s="385" t="s">
        <v>113</v>
      </c>
      <c r="B97" s="328" t="n">
        <v>17</v>
      </c>
      <c r="D97" s="328" t="n">
        <v>3</v>
      </c>
      <c r="J97" s="419"/>
      <c r="K97" s="419"/>
      <c r="L97" s="419"/>
      <c r="M97" s="419"/>
      <c r="N97" s="419"/>
      <c r="O97" s="419"/>
      <c r="P97" s="419"/>
      <c r="Q97" s="419"/>
      <c r="R97" s="419"/>
      <c r="S97" s="419"/>
      <c r="T97" s="419"/>
      <c r="U97" s="419"/>
      <c r="V97" s="419"/>
    </row>
    <row r="98" customFormat="false" ht="19.5" hidden="false" customHeight="true" outlineLevel="0" collapsed="false">
      <c r="A98" s="385" t="s">
        <v>134</v>
      </c>
      <c r="B98" s="328" t="n">
        <v>21</v>
      </c>
      <c r="D98" s="328" t="n">
        <v>4</v>
      </c>
      <c r="J98" s="419"/>
      <c r="K98" s="419"/>
      <c r="L98" s="419"/>
      <c r="M98" s="419"/>
      <c r="N98" s="419"/>
      <c r="O98" s="419"/>
      <c r="P98" s="419"/>
      <c r="Q98" s="419"/>
      <c r="R98" s="419"/>
      <c r="S98" s="419"/>
      <c r="T98" s="419"/>
      <c r="U98" s="419"/>
      <c r="V98" s="419"/>
    </row>
    <row r="99" customFormat="false" ht="19.5" hidden="false" customHeight="true" outlineLevel="0" collapsed="false">
      <c r="A99" s="385" t="s">
        <v>118</v>
      </c>
      <c r="B99" s="328" t="n">
        <v>25</v>
      </c>
      <c r="D99" s="328" t="n">
        <v>5</v>
      </c>
      <c r="J99" s="419"/>
      <c r="K99" s="419"/>
      <c r="L99" s="419"/>
      <c r="M99" s="419"/>
      <c r="N99" s="419"/>
      <c r="O99" s="419"/>
      <c r="P99" s="419"/>
      <c r="Q99" s="419"/>
      <c r="R99" s="419"/>
      <c r="S99" s="419"/>
      <c r="T99" s="419"/>
      <c r="U99" s="419"/>
      <c r="V99" s="419"/>
    </row>
    <row r="100" customFormat="false" ht="19.5" hidden="false" customHeight="true" outlineLevel="0" collapsed="false">
      <c r="A100" s="385" t="s">
        <v>1010</v>
      </c>
      <c r="B100" s="328" t="n">
        <v>29</v>
      </c>
      <c r="D100" s="328" t="n">
        <v>6</v>
      </c>
      <c r="J100" s="419"/>
      <c r="K100" s="419"/>
      <c r="L100" s="419"/>
      <c r="M100" s="419"/>
      <c r="N100" s="419"/>
      <c r="O100" s="419"/>
      <c r="P100" s="419"/>
      <c r="Q100" s="419"/>
      <c r="R100" s="419"/>
      <c r="S100" s="419"/>
      <c r="T100" s="419"/>
      <c r="U100" s="419"/>
      <c r="V100" s="419"/>
    </row>
    <row r="101" customFormat="false" ht="19.5" hidden="false" customHeight="true" outlineLevel="0" collapsed="false">
      <c r="A101" s="385" t="s">
        <v>116</v>
      </c>
      <c r="B101" s="328" t="n">
        <v>33</v>
      </c>
      <c r="J101" s="419"/>
      <c r="K101" s="419"/>
      <c r="L101" s="419"/>
      <c r="M101" s="419"/>
      <c r="N101" s="419"/>
      <c r="O101" s="419"/>
      <c r="P101" s="419"/>
      <c r="Q101" s="419"/>
      <c r="R101" s="419"/>
      <c r="S101" s="419"/>
      <c r="T101" s="419"/>
      <c r="U101" s="419"/>
      <c r="V101" s="419"/>
    </row>
    <row r="102" customFormat="false" ht="19.5" hidden="false" customHeight="true" outlineLevel="0" collapsed="false">
      <c r="A102" s="385" t="s">
        <v>1012</v>
      </c>
      <c r="B102" s="328" t="n">
        <v>37</v>
      </c>
      <c r="J102" s="419"/>
      <c r="K102" s="419"/>
      <c r="L102" s="419"/>
      <c r="M102" s="419"/>
      <c r="N102" s="419"/>
      <c r="O102" s="419"/>
      <c r="P102" s="419"/>
      <c r="Q102" s="419"/>
      <c r="R102" s="419"/>
      <c r="S102" s="419"/>
      <c r="T102" s="419"/>
      <c r="U102" s="419"/>
      <c r="V102" s="419"/>
    </row>
    <row r="103" customFormat="false" ht="19.5" hidden="false" customHeight="true" outlineLevel="0" collapsed="false">
      <c r="A103" s="385" t="s">
        <v>1013</v>
      </c>
      <c r="B103" s="328" t="n">
        <v>41</v>
      </c>
      <c r="J103" s="419"/>
      <c r="K103" s="419"/>
      <c r="L103" s="419"/>
      <c r="M103" s="419"/>
      <c r="N103" s="419"/>
      <c r="O103" s="419"/>
      <c r="P103" s="419"/>
      <c r="Q103" s="419"/>
      <c r="R103" s="419"/>
      <c r="S103" s="419"/>
      <c r="T103" s="419"/>
      <c r="U103" s="419"/>
      <c r="V103" s="419"/>
    </row>
    <row r="104" customFormat="false" ht="19.5" hidden="false" customHeight="true" outlineLevel="0" collapsed="false">
      <c r="A104" s="385" t="s">
        <v>120</v>
      </c>
      <c r="B104" s="328" t="n">
        <v>45</v>
      </c>
      <c r="J104" s="419"/>
      <c r="K104" s="419"/>
      <c r="L104" s="419"/>
      <c r="M104" s="419"/>
      <c r="N104" s="419"/>
      <c r="O104" s="419"/>
      <c r="P104" s="419"/>
      <c r="Q104" s="419"/>
      <c r="R104" s="419"/>
      <c r="S104" s="419"/>
      <c r="T104" s="419"/>
      <c r="U104" s="419"/>
      <c r="V104" s="419"/>
    </row>
    <row r="105" customFormat="false" ht="19.5" hidden="false" customHeight="true" outlineLevel="0" collapsed="false">
      <c r="A105" s="385" t="s">
        <v>1014</v>
      </c>
      <c r="B105" s="328" t="n">
        <v>49</v>
      </c>
      <c r="J105" s="419"/>
      <c r="K105" s="419"/>
      <c r="L105" s="419"/>
      <c r="M105" s="419"/>
      <c r="N105" s="419"/>
      <c r="O105" s="419"/>
      <c r="P105" s="419"/>
      <c r="Q105" s="419"/>
      <c r="R105" s="419"/>
      <c r="S105" s="419"/>
      <c r="T105" s="419"/>
      <c r="U105" s="419"/>
      <c r="V105" s="419"/>
    </row>
    <row r="106" customFormat="false" ht="19.5" hidden="false" customHeight="true" outlineLevel="0" collapsed="false">
      <c r="A106" s="385" t="s">
        <v>1015</v>
      </c>
      <c r="B106" s="328" t="n">
        <v>53</v>
      </c>
      <c r="J106" s="419"/>
      <c r="K106" s="419"/>
      <c r="L106" s="419"/>
      <c r="M106" s="419"/>
      <c r="N106" s="419"/>
      <c r="O106" s="419"/>
      <c r="P106" s="419"/>
      <c r="Q106" s="419"/>
      <c r="R106" s="419"/>
      <c r="S106" s="419"/>
      <c r="T106" s="419"/>
      <c r="U106" s="419"/>
      <c r="V106" s="419"/>
    </row>
    <row r="107" customFormat="false" ht="19.5" hidden="false" customHeight="true" outlineLevel="0" collapsed="false">
      <c r="A107" s="385" t="s">
        <v>1016</v>
      </c>
      <c r="B107" s="328" t="n">
        <v>57</v>
      </c>
      <c r="J107" s="419"/>
      <c r="K107" s="419"/>
      <c r="L107" s="419"/>
      <c r="M107" s="419"/>
      <c r="N107" s="419"/>
      <c r="O107" s="419"/>
      <c r="P107" s="419"/>
      <c r="Q107" s="419"/>
      <c r="R107" s="419"/>
      <c r="S107" s="419"/>
      <c r="T107" s="419"/>
      <c r="U107" s="419"/>
      <c r="V107" s="419"/>
    </row>
    <row r="108" customFormat="false" ht="19.5" hidden="false" customHeight="true" outlineLevel="0" collapsed="false">
      <c r="A108" s="385" t="s">
        <v>131</v>
      </c>
      <c r="B108" s="328" t="n">
        <v>61</v>
      </c>
      <c r="J108" s="419"/>
      <c r="K108" s="419"/>
      <c r="L108" s="419"/>
      <c r="M108" s="419"/>
      <c r="N108" s="419"/>
      <c r="O108" s="419"/>
      <c r="P108" s="419"/>
      <c r="Q108" s="419"/>
      <c r="R108" s="419"/>
      <c r="S108" s="419"/>
      <c r="T108" s="419"/>
      <c r="U108" s="419"/>
      <c r="V108" s="419"/>
    </row>
    <row r="109" customFormat="false" ht="19.5" hidden="false" customHeight="true" outlineLevel="0" collapsed="false">
      <c r="A109" s="385" t="s">
        <v>136</v>
      </c>
      <c r="B109" s="328" t="n">
        <v>65</v>
      </c>
      <c r="J109" s="419"/>
      <c r="K109" s="419"/>
      <c r="L109" s="419"/>
      <c r="M109" s="419"/>
      <c r="N109" s="419"/>
      <c r="O109" s="419"/>
      <c r="P109" s="419"/>
      <c r="Q109" s="419"/>
      <c r="R109" s="419"/>
      <c r="S109" s="419"/>
      <c r="T109" s="419"/>
      <c r="U109" s="419"/>
      <c r="V109" s="419"/>
    </row>
    <row r="110" customFormat="false" ht="19.5" hidden="false" customHeight="true" outlineLevel="0" collapsed="false">
      <c r="A110" s="385" t="s">
        <v>122</v>
      </c>
      <c r="B110" s="328" t="n">
        <v>69</v>
      </c>
      <c r="J110" s="419"/>
      <c r="K110" s="419"/>
      <c r="L110" s="419"/>
      <c r="M110" s="419"/>
      <c r="N110" s="419"/>
      <c r="O110" s="419"/>
      <c r="P110" s="419"/>
      <c r="Q110" s="419"/>
      <c r="R110" s="419"/>
      <c r="S110" s="419"/>
      <c r="T110" s="419"/>
      <c r="U110" s="419"/>
      <c r="V110" s="419"/>
    </row>
    <row r="111" customFormat="false" ht="19.5" hidden="false" customHeight="true" outlineLevel="0" collapsed="false">
      <c r="A111" s="385" t="s">
        <v>9</v>
      </c>
      <c r="B111" s="328" t="n">
        <v>73</v>
      </c>
      <c r="J111" s="419"/>
      <c r="K111" s="419"/>
      <c r="L111" s="419"/>
      <c r="M111" s="419"/>
      <c r="N111" s="419"/>
      <c r="O111" s="419"/>
      <c r="P111" s="419"/>
      <c r="Q111" s="419"/>
      <c r="R111" s="419"/>
      <c r="S111" s="419"/>
      <c r="T111" s="419"/>
      <c r="U111" s="419"/>
      <c r="V111" s="419"/>
    </row>
    <row r="112" customFormat="false" ht="19.5" hidden="false" customHeight="true" outlineLevel="0" collapsed="false">
      <c r="A112" s="385" t="s">
        <v>125</v>
      </c>
      <c r="B112" s="328" t="n">
        <v>77</v>
      </c>
      <c r="J112" s="419"/>
      <c r="K112" s="419"/>
      <c r="L112" s="419"/>
      <c r="M112" s="419"/>
      <c r="N112" s="419"/>
      <c r="O112" s="419"/>
      <c r="P112" s="419"/>
      <c r="Q112" s="419"/>
      <c r="R112" s="419"/>
      <c r="S112" s="419"/>
      <c r="T112" s="419"/>
      <c r="U112" s="419"/>
      <c r="V112" s="419"/>
    </row>
    <row r="113" customFormat="false" ht="19.5" hidden="false" customHeight="true" outlineLevel="0" collapsed="false">
      <c r="A113" s="385" t="s">
        <v>128</v>
      </c>
      <c r="B113" s="328" t="n">
        <v>81</v>
      </c>
      <c r="J113" s="419"/>
      <c r="K113" s="419"/>
      <c r="L113" s="419"/>
      <c r="M113" s="419"/>
      <c r="N113" s="419"/>
      <c r="O113" s="419"/>
      <c r="P113" s="419"/>
      <c r="Q113" s="419"/>
      <c r="R113" s="419"/>
      <c r="S113" s="419"/>
      <c r="T113" s="419"/>
      <c r="U113" s="419"/>
      <c r="V113" s="419"/>
    </row>
    <row r="114" customFormat="false" ht="19.5" hidden="false" customHeight="true" outlineLevel="0" collapsed="false">
      <c r="A114" s="385" t="s">
        <v>1017</v>
      </c>
      <c r="B114" s="328" t="n">
        <v>85</v>
      </c>
      <c r="J114" s="419"/>
      <c r="K114" s="419"/>
      <c r="L114" s="419"/>
      <c r="M114" s="419"/>
      <c r="N114" s="419"/>
      <c r="O114" s="419"/>
      <c r="P114" s="419"/>
      <c r="Q114" s="419"/>
      <c r="R114" s="419"/>
      <c r="S114" s="419"/>
      <c r="T114" s="419"/>
      <c r="U114" s="419"/>
      <c r="V114" s="419"/>
    </row>
    <row r="115" customFormat="false" ht="19.5" hidden="false" customHeight="true" outlineLevel="0" collapsed="false">
      <c r="J115" s="419"/>
      <c r="K115" s="419"/>
      <c r="L115" s="419"/>
      <c r="M115" s="419"/>
      <c r="N115" s="419"/>
      <c r="O115" s="419"/>
      <c r="P115" s="419"/>
      <c r="Q115" s="419"/>
      <c r="R115" s="419"/>
      <c r="S115" s="419"/>
      <c r="T115" s="419"/>
      <c r="U115" s="419"/>
      <c r="V115" s="419"/>
    </row>
    <row r="116" customFormat="false" ht="19.5" hidden="false" customHeight="true" outlineLevel="0" collapsed="false">
      <c r="J116" s="419"/>
      <c r="K116" s="419"/>
      <c r="L116" s="419"/>
      <c r="M116" s="419"/>
      <c r="N116" s="419"/>
      <c r="O116" s="419"/>
      <c r="P116" s="419"/>
      <c r="Q116" s="419"/>
      <c r="R116" s="419"/>
      <c r="S116" s="419"/>
      <c r="T116" s="419"/>
      <c r="U116" s="419"/>
      <c r="V116" s="419"/>
    </row>
    <row r="117" customFormat="false" ht="19.5" hidden="false" customHeight="true" outlineLevel="0" collapsed="false">
      <c r="J117" s="419"/>
      <c r="K117" s="419"/>
      <c r="L117" s="419"/>
      <c r="M117" s="419"/>
      <c r="N117" s="419"/>
      <c r="O117" s="419"/>
      <c r="P117" s="419"/>
      <c r="Q117" s="419"/>
      <c r="R117" s="419"/>
      <c r="S117" s="419"/>
      <c r="T117" s="419"/>
      <c r="U117" s="419"/>
      <c r="V117" s="419"/>
    </row>
    <row r="118" customFormat="false" ht="19.5" hidden="false" customHeight="true" outlineLevel="0" collapsed="false">
      <c r="J118" s="419"/>
      <c r="K118" s="419"/>
      <c r="L118" s="419"/>
      <c r="M118" s="419"/>
      <c r="N118" s="419"/>
      <c r="O118" s="419"/>
      <c r="P118" s="419"/>
      <c r="Q118" s="419"/>
      <c r="R118" s="419"/>
      <c r="S118" s="419"/>
      <c r="T118" s="419"/>
      <c r="U118" s="419"/>
      <c r="V118" s="419"/>
    </row>
    <row r="119" customFormat="false" ht="19.5" hidden="false" customHeight="true" outlineLevel="0" collapsed="false">
      <c r="J119" s="419"/>
      <c r="K119" s="419"/>
      <c r="L119" s="419"/>
      <c r="M119" s="419"/>
      <c r="N119" s="419"/>
      <c r="O119" s="419"/>
      <c r="P119" s="419"/>
      <c r="Q119" s="419"/>
      <c r="R119" s="419"/>
      <c r="S119" s="419"/>
      <c r="T119" s="419"/>
      <c r="U119" s="419"/>
      <c r="V119" s="419"/>
    </row>
    <row r="120" customFormat="false" ht="19.5" hidden="false" customHeight="true" outlineLevel="0" collapsed="false">
      <c r="J120" s="419"/>
      <c r="K120" s="419"/>
      <c r="L120" s="419"/>
      <c r="M120" s="419"/>
      <c r="N120" s="419"/>
      <c r="O120" s="419"/>
      <c r="P120" s="419"/>
      <c r="Q120" s="419"/>
      <c r="R120" s="419"/>
      <c r="S120" s="419"/>
      <c r="T120" s="419"/>
      <c r="U120" s="419"/>
      <c r="V120" s="419"/>
    </row>
    <row r="121" customFormat="false" ht="19.5" hidden="false" customHeight="true" outlineLevel="0" collapsed="false">
      <c r="J121" s="419"/>
      <c r="K121" s="419"/>
      <c r="L121" s="419"/>
      <c r="M121" s="419"/>
      <c r="N121" s="419"/>
      <c r="O121" s="419"/>
      <c r="P121" s="419"/>
      <c r="Q121" s="419"/>
      <c r="R121" s="419"/>
      <c r="S121" s="419"/>
      <c r="T121" s="419"/>
      <c r="U121" s="419"/>
      <c r="V121" s="419"/>
    </row>
    <row r="122" customFormat="false" ht="19.5" hidden="false" customHeight="true" outlineLevel="0" collapsed="false">
      <c r="J122" s="419"/>
      <c r="K122" s="419"/>
      <c r="L122" s="419"/>
      <c r="M122" s="419"/>
      <c r="N122" s="419"/>
      <c r="O122" s="419"/>
      <c r="P122" s="419"/>
      <c r="Q122" s="419"/>
      <c r="R122" s="419"/>
      <c r="S122" s="419"/>
      <c r="T122" s="419"/>
      <c r="U122" s="419"/>
      <c r="V122" s="419"/>
    </row>
    <row r="123" customFormat="false" ht="19.5" hidden="false" customHeight="true" outlineLevel="0" collapsed="false">
      <c r="J123" s="419"/>
      <c r="K123" s="419"/>
      <c r="L123" s="419"/>
      <c r="M123" s="419"/>
      <c r="N123" s="419"/>
      <c r="O123" s="419"/>
      <c r="P123" s="419"/>
      <c r="Q123" s="419"/>
      <c r="R123" s="419"/>
      <c r="S123" s="419"/>
      <c r="T123" s="419"/>
      <c r="U123" s="419"/>
      <c r="V123" s="419"/>
    </row>
    <row r="124" customFormat="false" ht="19.5" hidden="false" customHeight="true" outlineLevel="0" collapsed="false">
      <c r="J124" s="419"/>
      <c r="K124" s="419"/>
      <c r="L124" s="419"/>
      <c r="M124" s="419"/>
      <c r="N124" s="419"/>
      <c r="O124" s="419"/>
      <c r="P124" s="419"/>
      <c r="Q124" s="419"/>
      <c r="R124" s="419"/>
      <c r="S124" s="419"/>
      <c r="T124" s="419"/>
      <c r="U124" s="419"/>
      <c r="V124" s="419"/>
    </row>
    <row r="125" customFormat="false" ht="19.5" hidden="false" customHeight="true" outlineLevel="0" collapsed="false">
      <c r="J125" s="419"/>
      <c r="K125" s="419"/>
      <c r="L125" s="419"/>
      <c r="M125" s="419"/>
      <c r="N125" s="419"/>
      <c r="O125" s="419"/>
      <c r="P125" s="419"/>
      <c r="Q125" s="419"/>
      <c r="R125" s="419"/>
      <c r="S125" s="419"/>
      <c r="T125" s="419"/>
      <c r="U125" s="419"/>
      <c r="V125" s="419"/>
    </row>
    <row r="126" customFormat="false" ht="19.5" hidden="false" customHeight="true" outlineLevel="0" collapsed="false">
      <c r="J126" s="419"/>
      <c r="K126" s="419"/>
      <c r="L126" s="419"/>
      <c r="M126" s="419"/>
      <c r="N126" s="419"/>
      <c r="O126" s="419"/>
      <c r="P126" s="419"/>
      <c r="Q126" s="419"/>
      <c r="R126" s="419"/>
      <c r="S126" s="419"/>
      <c r="T126" s="419"/>
      <c r="U126" s="419"/>
      <c r="V126" s="419"/>
    </row>
    <row r="127" customFormat="false" ht="19.5" hidden="false" customHeight="true" outlineLevel="0" collapsed="false">
      <c r="J127" s="419"/>
      <c r="K127" s="419"/>
      <c r="L127" s="419"/>
      <c r="M127" s="419"/>
      <c r="N127" s="419"/>
      <c r="O127" s="419"/>
      <c r="P127" s="419"/>
      <c r="Q127" s="419"/>
      <c r="R127" s="419"/>
      <c r="S127" s="419"/>
      <c r="T127" s="419"/>
      <c r="U127" s="419"/>
      <c r="V127" s="419"/>
    </row>
    <row r="128" customFormat="false" ht="19.5" hidden="false" customHeight="true" outlineLevel="0" collapsed="false">
      <c r="J128" s="419"/>
      <c r="K128" s="419"/>
      <c r="L128" s="419"/>
      <c r="M128" s="419"/>
      <c r="N128" s="419"/>
      <c r="O128" s="419"/>
      <c r="P128" s="419"/>
      <c r="Q128" s="419"/>
      <c r="R128" s="419"/>
      <c r="S128" s="419"/>
      <c r="T128" s="419"/>
      <c r="U128" s="419"/>
      <c r="V128" s="419"/>
    </row>
    <row r="129" customFormat="false" ht="19.5" hidden="false" customHeight="true" outlineLevel="0" collapsed="false">
      <c r="J129" s="419"/>
      <c r="K129" s="419"/>
      <c r="L129" s="419"/>
      <c r="M129" s="419"/>
      <c r="N129" s="419"/>
      <c r="O129" s="419"/>
      <c r="P129" s="419"/>
      <c r="Q129" s="419"/>
      <c r="R129" s="419"/>
      <c r="S129" s="419"/>
      <c r="T129" s="419"/>
      <c r="U129" s="419"/>
      <c r="V129" s="419"/>
    </row>
    <row r="130" customFormat="false" ht="19.5" hidden="false" customHeight="true" outlineLevel="0" collapsed="false">
      <c r="J130" s="419"/>
      <c r="K130" s="419"/>
      <c r="L130" s="419"/>
      <c r="M130" s="419"/>
      <c r="N130" s="419"/>
      <c r="O130" s="419"/>
      <c r="P130" s="419"/>
      <c r="Q130" s="419"/>
      <c r="R130" s="419"/>
      <c r="S130" s="419"/>
      <c r="T130" s="419"/>
      <c r="U130" s="419"/>
      <c r="V130" s="419"/>
    </row>
    <row r="131" customFormat="false" ht="19.5" hidden="false" customHeight="true" outlineLevel="0" collapsed="false">
      <c r="J131" s="419"/>
      <c r="K131" s="419"/>
      <c r="L131" s="419"/>
      <c r="M131" s="419"/>
      <c r="N131" s="419"/>
      <c r="O131" s="419"/>
      <c r="P131" s="419"/>
      <c r="Q131" s="419"/>
      <c r="R131" s="419"/>
      <c r="S131" s="419"/>
      <c r="T131" s="419"/>
      <c r="U131" s="419"/>
      <c r="V131" s="419"/>
    </row>
    <row r="132" customFormat="false" ht="19.5" hidden="false" customHeight="true" outlineLevel="0" collapsed="false">
      <c r="J132" s="419"/>
      <c r="K132" s="419"/>
      <c r="L132" s="419"/>
      <c r="M132" s="419"/>
      <c r="N132" s="419"/>
      <c r="O132" s="419"/>
      <c r="P132" s="419"/>
      <c r="Q132" s="419"/>
      <c r="R132" s="419"/>
      <c r="S132" s="419"/>
      <c r="T132" s="419"/>
      <c r="U132" s="419"/>
      <c r="V132" s="419"/>
    </row>
    <row r="133" customFormat="false" ht="19.5" hidden="false" customHeight="true" outlineLevel="0" collapsed="false">
      <c r="J133" s="419"/>
      <c r="K133" s="419"/>
      <c r="L133" s="419"/>
      <c r="M133" s="419"/>
      <c r="N133" s="419"/>
      <c r="O133" s="419"/>
      <c r="P133" s="419"/>
      <c r="Q133" s="419"/>
      <c r="R133" s="419"/>
      <c r="S133" s="419"/>
      <c r="T133" s="419"/>
      <c r="U133" s="419"/>
      <c r="V133" s="419"/>
    </row>
    <row r="134" customFormat="false" ht="19.5" hidden="false" customHeight="true" outlineLevel="0" collapsed="false">
      <c r="J134" s="419"/>
      <c r="K134" s="419"/>
      <c r="L134" s="419"/>
      <c r="M134" s="419"/>
      <c r="N134" s="419"/>
      <c r="O134" s="419"/>
      <c r="P134" s="419"/>
      <c r="Q134" s="419"/>
      <c r="R134" s="419"/>
      <c r="S134" s="419"/>
      <c r="T134" s="419"/>
      <c r="U134" s="419"/>
      <c r="V134" s="419"/>
    </row>
    <row r="135" customFormat="false" ht="19.5" hidden="false" customHeight="true" outlineLevel="0" collapsed="false">
      <c r="J135" s="419"/>
      <c r="K135" s="419"/>
      <c r="L135" s="419"/>
      <c r="M135" s="419"/>
      <c r="N135" s="419"/>
      <c r="O135" s="419"/>
      <c r="P135" s="419"/>
      <c r="Q135" s="419"/>
      <c r="R135" s="419"/>
      <c r="S135" s="419"/>
      <c r="T135" s="419"/>
      <c r="U135" s="419"/>
      <c r="V135" s="419"/>
    </row>
    <row r="136" customFormat="false" ht="19.5" hidden="false" customHeight="true" outlineLevel="0" collapsed="false">
      <c r="J136" s="419"/>
      <c r="K136" s="419"/>
      <c r="L136" s="419"/>
      <c r="M136" s="419"/>
      <c r="N136" s="419"/>
      <c r="O136" s="419"/>
      <c r="P136" s="419"/>
      <c r="Q136" s="419"/>
      <c r="R136" s="419"/>
      <c r="S136" s="419"/>
      <c r="T136" s="419"/>
      <c r="U136" s="419"/>
      <c r="V136" s="419"/>
    </row>
    <row r="137" customFormat="false" ht="19.5" hidden="false" customHeight="true" outlineLevel="0" collapsed="false">
      <c r="J137" s="419"/>
      <c r="K137" s="419"/>
      <c r="L137" s="419"/>
      <c r="M137" s="419"/>
      <c r="N137" s="419"/>
      <c r="O137" s="419"/>
      <c r="P137" s="419"/>
      <c r="Q137" s="419"/>
      <c r="R137" s="419"/>
      <c r="S137" s="419"/>
      <c r="T137" s="419"/>
      <c r="U137" s="419"/>
      <c r="V137" s="419"/>
    </row>
    <row r="138" customFormat="false" ht="19.5" hidden="false" customHeight="true" outlineLevel="0" collapsed="false">
      <c r="J138" s="419"/>
      <c r="K138" s="419"/>
      <c r="L138" s="419"/>
      <c r="M138" s="419"/>
      <c r="N138" s="419"/>
      <c r="O138" s="419"/>
      <c r="P138" s="419"/>
      <c r="Q138" s="419"/>
      <c r="R138" s="419"/>
      <c r="S138" s="419"/>
      <c r="T138" s="419"/>
      <c r="U138" s="419"/>
      <c r="V138" s="41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N1055"/>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W18" activeCellId="0" sqref="W18"/>
    </sheetView>
  </sheetViews>
  <sheetFormatPr defaultColWidth="8.34375" defaultRowHeight="12.75" zeroHeight="false" outlineLevelRow="0" outlineLevelCol="0"/>
  <cols>
    <col collapsed="false" customWidth="true" hidden="false" outlineLevel="0" max="2" min="2" style="0" width="11.57"/>
    <col collapsed="false" customWidth="true" hidden="false" outlineLevel="0" max="3" min="3" style="0" width="11.14"/>
    <col collapsed="false" customWidth="true" hidden="false" outlineLevel="0" max="4" min="4" style="0" width="9.42"/>
    <col collapsed="false" customWidth="true" hidden="false" outlineLevel="0" max="5" min="5" style="0" width="13.71"/>
    <col collapsed="false" customWidth="true" hidden="false" outlineLevel="0" max="6" min="6" style="0" width="11.29"/>
    <col collapsed="false" customWidth="true" hidden="false" outlineLevel="0" max="7" min="7" style="0" width="10.85"/>
    <col collapsed="false" customWidth="true" hidden="false" outlineLevel="0" max="9" min="8" style="0" width="9.42"/>
    <col collapsed="false" customWidth="true" hidden="false" outlineLevel="0" max="10" min="10" style="0" width="12.86"/>
    <col collapsed="false" customWidth="true" hidden="false" outlineLevel="0" max="11" min="11" style="0" width="9.29"/>
    <col collapsed="false" customWidth="true" hidden="false" outlineLevel="0" max="12" min="12" style="0" width="12.71"/>
    <col collapsed="false" customWidth="true" hidden="false" outlineLevel="0" max="13" min="13" style="0" width="8.42"/>
    <col collapsed="false" customWidth="true" hidden="false" outlineLevel="0" max="14" min="14" style="0" width="7.29"/>
  </cols>
  <sheetData>
    <row r="2" customFormat="false" ht="12.75" hidden="false" customHeight="false" outlineLevel="0" collapsed="false">
      <c r="B2" s="421" t="s">
        <v>1109</v>
      </c>
      <c r="C2" s="422" t="s">
        <v>1110</v>
      </c>
      <c r="D2" s="422" t="s">
        <v>1111</v>
      </c>
      <c r="E2" s="422" t="s">
        <v>1112</v>
      </c>
      <c r="F2" s="422" t="s">
        <v>1113</v>
      </c>
      <c r="G2" s="422"/>
      <c r="H2" s="422"/>
      <c r="I2" s="422" t="s">
        <v>1114</v>
      </c>
      <c r="J2" s="422" t="s">
        <v>1115</v>
      </c>
      <c r="K2" s="423"/>
    </row>
    <row r="3" customFormat="false" ht="12.75" hidden="false" customHeight="false" outlineLevel="0" collapsed="false">
      <c r="B3" s="424" t="s">
        <v>1116</v>
      </c>
      <c r="C3" s="425" t="n">
        <v>3845</v>
      </c>
      <c r="D3" s="426" t="n">
        <v>3220</v>
      </c>
      <c r="E3" s="427" t="n">
        <f aca="false">MAX(10,ROUND($F3*$D3,0))</f>
        <v>322</v>
      </c>
      <c r="F3" s="428" t="n">
        <f aca="false">MIN(0.15, 0.25 * ( 0.7 - EXP( -1.3 * $D3 / $C3 ) ))*1.1</f>
        <v>0.099918948647991</v>
      </c>
      <c r="G3" s="382"/>
      <c r="I3" s="429" t="n">
        <v>500</v>
      </c>
      <c r="J3" s="430" t="n">
        <f aca="false">25*$I3</f>
        <v>12500</v>
      </c>
      <c r="K3" s="431"/>
    </row>
    <row r="4" customFormat="false" ht="12.75" hidden="false" customHeight="false" outlineLevel="0" collapsed="false">
      <c r="B4" s="424" t="s">
        <v>1117</v>
      </c>
      <c r="C4" s="427" t="n">
        <f aca="false">C3</f>
        <v>3845</v>
      </c>
      <c r="D4" s="432" t="n">
        <f aca="false">D3+100</f>
        <v>3320</v>
      </c>
      <c r="E4" s="427" t="n">
        <f aca="false">MAX(10,ROUND($F4*$D4,0))</f>
        <v>342</v>
      </c>
      <c r="F4" s="428" t="n">
        <f aca="false">MIN(0.15, 0.25 * ( 0.7 - EXP( -1.3 * $D4 / $C4 ) ))*1.1</f>
        <v>0.102996802702077</v>
      </c>
      <c r="G4" s="382"/>
      <c r="I4" s="433" t="n">
        <f aca="false">I3+25</f>
        <v>525</v>
      </c>
      <c r="J4" s="433" t="n">
        <f aca="false">25*$I4</f>
        <v>13125</v>
      </c>
      <c r="K4" s="431"/>
    </row>
    <row r="5" customFormat="false" ht="12.75" hidden="false" customHeight="false" outlineLevel="0" collapsed="false">
      <c r="B5" s="434" t="s">
        <v>1118</v>
      </c>
      <c r="C5" s="427" t="n">
        <f aca="false">C4</f>
        <v>3845</v>
      </c>
      <c r="D5" s="432" t="n">
        <f aca="false">D4+100</f>
        <v>3420</v>
      </c>
      <c r="E5" s="427" t="n">
        <f aca="false">MAX(10,ROUND($F5*$D5,0))</f>
        <v>362</v>
      </c>
      <c r="F5" s="428" t="n">
        <f aca="false">MIN(0.15, 0.25 * ( 0.7 - EXP( -1.3 * $D5 / $C5 ) ))*1.1</f>
        <v>0.105972333597807</v>
      </c>
      <c r="G5" s="382"/>
      <c r="I5" s="427" t="n">
        <f aca="false">I4+25</f>
        <v>550</v>
      </c>
      <c r="J5" s="427" t="n">
        <f aca="false">25*$I5</f>
        <v>13750</v>
      </c>
      <c r="K5" s="431"/>
    </row>
    <row r="6" customFormat="false" ht="12.75" hidden="false" customHeight="false" outlineLevel="0" collapsed="false">
      <c r="B6" s="424"/>
      <c r="C6" s="427" t="n">
        <f aca="false">C5</f>
        <v>3845</v>
      </c>
      <c r="D6" s="432" t="n">
        <f aca="false">D5+100</f>
        <v>3520</v>
      </c>
      <c r="E6" s="427" t="n">
        <f aca="false">MAX(10,ROUND($F6*$D6,0))</f>
        <v>383</v>
      </c>
      <c r="F6" s="428" t="n">
        <f aca="false">MIN(0.15, 0.25 * ( 0.7 - EXP( -1.3 * $D6 / $C6 ) ))*1.1</f>
        <v>0.108848943065267</v>
      </c>
      <c r="G6" s="382"/>
      <c r="I6" s="427" t="n">
        <f aca="false">I5+25</f>
        <v>575</v>
      </c>
      <c r="J6" s="427" t="n">
        <f aca="false">25*$I6</f>
        <v>14375</v>
      </c>
      <c r="K6" s="431"/>
    </row>
    <row r="7" customFormat="false" ht="12.75" hidden="false" customHeight="false" outlineLevel="0" collapsed="false">
      <c r="B7" s="424"/>
      <c r="C7" s="427" t="n">
        <f aca="false">C6</f>
        <v>3845</v>
      </c>
      <c r="D7" s="432" t="n">
        <f aca="false">D6+100</f>
        <v>3620</v>
      </c>
      <c r="E7" s="427" t="n">
        <f aca="false">MAX(10,ROUND($F7*$D7,0))</f>
        <v>404</v>
      </c>
      <c r="F7" s="428" t="n">
        <f aca="false">MIN(0.15, 0.25 * ( 0.7 - EXP( -1.3 * $D7 / $C7 ) ))*1.1</f>
        <v>0.111629919744136</v>
      </c>
      <c r="G7" s="382"/>
      <c r="I7" s="427" t="n">
        <f aca="false">I6+25</f>
        <v>600</v>
      </c>
      <c r="J7" s="427" t="n">
        <f aca="false">25*$I7</f>
        <v>15000</v>
      </c>
      <c r="K7" s="431"/>
    </row>
    <row r="8" customFormat="false" ht="12.75" hidden="false" customHeight="false" outlineLevel="0" collapsed="false">
      <c r="B8" s="435" t="s">
        <v>1119</v>
      </c>
      <c r="C8" s="427" t="n">
        <f aca="false">C7</f>
        <v>3845</v>
      </c>
      <c r="D8" s="432" t="n">
        <f aca="false">D7+100</f>
        <v>3720</v>
      </c>
      <c r="E8" s="427" t="n">
        <f aca="false">MAX(10,ROUND($F8*$D8,0))</f>
        <v>425</v>
      </c>
      <c r="F8" s="428" t="n">
        <f aca="false">MIN(0.15, 0.25 * ( 0.7 - EXP( -1.3 * $D8 / $C8 ) ))*1.1</f>
        <v>0.114318442943374</v>
      </c>
      <c r="G8" s="382"/>
      <c r="I8" s="427" t="n">
        <f aca="false">I7+25</f>
        <v>625</v>
      </c>
      <c r="J8" s="427" t="n">
        <f aca="false">25*$I8</f>
        <v>15625</v>
      </c>
      <c r="K8" s="431"/>
    </row>
    <row r="9" customFormat="false" ht="12.75" hidden="false" customHeight="false" outlineLevel="0" collapsed="false">
      <c r="B9" s="436" t="str">
        <f aca="false">CONCATENATE( CONCATENATE(TEXT(C3*0.75,0)," - "), TEXT(C3*1.33,0))</f>
        <v>2884 - 5114</v>
      </c>
      <c r="C9" s="427" t="n">
        <f aca="false">C8</f>
        <v>3845</v>
      </c>
      <c r="D9" s="432" t="n">
        <f aca="false">D8+100</f>
        <v>3820</v>
      </c>
      <c r="E9" s="427" t="n">
        <f aca="false">MAX(10,ROUND($F9*$D9,0))</f>
        <v>447</v>
      </c>
      <c r="F9" s="428" t="n">
        <f aca="false">MIN(0.15, 0.25 * ( 0.7 - EXP( -1.3 * $D9 / $C9 ) ))*1.1</f>
        <v>0.116917586275918</v>
      </c>
      <c r="G9" s="382"/>
      <c r="I9" s="427" t="n">
        <f aca="false">I8+25</f>
        <v>650</v>
      </c>
      <c r="J9" s="427" t="n">
        <f aca="false">25*$I9</f>
        <v>16250</v>
      </c>
      <c r="K9" s="431"/>
    </row>
    <row r="10" customFormat="false" ht="12.75" hidden="false" customHeight="false" outlineLevel="0" collapsed="false">
      <c r="B10" s="436"/>
      <c r="C10" s="427" t="n">
        <f aca="false">C9</f>
        <v>3845</v>
      </c>
      <c r="D10" s="432" t="n">
        <f aca="false">D9+100</f>
        <v>3920</v>
      </c>
      <c r="E10" s="427" t="n">
        <f aca="false">MAX(10,ROUND($F10*$D10,0))</f>
        <v>468</v>
      </c>
      <c r="F10" s="428" t="n">
        <f aca="false">MIN(0.15, 0.25 * ( 0.7 - EXP( -1.3 * $D10 / $C10 ) ))*1.1</f>
        <v>0.119430321172541</v>
      </c>
      <c r="G10" s="382"/>
      <c r="I10" s="427" t="n">
        <f aca="false">I9+25</f>
        <v>675</v>
      </c>
      <c r="J10" s="427" t="n">
        <f aca="false">25*$I10</f>
        <v>16875</v>
      </c>
      <c r="K10" s="431"/>
    </row>
    <row r="11" customFormat="false" ht="12.75" hidden="false" customHeight="false" outlineLevel="0" collapsed="false">
      <c r="B11" s="424"/>
      <c r="C11" s="427" t="n">
        <f aca="false">C10</f>
        <v>3845</v>
      </c>
      <c r="D11" s="432" t="n">
        <f aca="false">D10+100</f>
        <v>4020</v>
      </c>
      <c r="E11" s="427" t="n">
        <f aca="false">MAX(10,ROUND($F11*$D11,0))</f>
        <v>490</v>
      </c>
      <c r="F11" s="428" t="n">
        <f aca="false">MIN(0.15, 0.25 * ( 0.7 - EXP( -1.3 * $D11 / $C11 ) ))*1.1</f>
        <v>0.121859520278898</v>
      </c>
      <c r="G11" s="382"/>
      <c r="I11" s="427" t="n">
        <f aca="false">I10+25</f>
        <v>700</v>
      </c>
      <c r="J11" s="427" t="n">
        <f aca="false">25*$I11</f>
        <v>17500</v>
      </c>
      <c r="K11" s="431"/>
    </row>
    <row r="12" customFormat="false" ht="12.75" hidden="false" customHeight="false" outlineLevel="0" collapsed="false">
      <c r="B12" s="435" t="s">
        <v>1120</v>
      </c>
      <c r="C12" s="427" t="n">
        <f aca="false">C11</f>
        <v>3845</v>
      </c>
      <c r="D12" s="432" t="n">
        <f aca="false">D11+100</f>
        <v>4120</v>
      </c>
      <c r="E12" s="427" t="n">
        <f aca="false">MAX(10,ROUND($F12*$D12,0))</f>
        <v>512</v>
      </c>
      <c r="F12" s="428" t="n">
        <f aca="false">MIN(0.15, 0.25 * ( 0.7 - EXP( -1.3 * $D12 / $C12 ) ))*1.1</f>
        <v>0.12420796073963</v>
      </c>
      <c r="G12" s="382"/>
      <c r="I12" s="427" t="n">
        <f aca="false">I11+25</f>
        <v>725</v>
      </c>
      <c r="J12" s="427" t="n">
        <f aca="false">25*$I12</f>
        <v>18125</v>
      </c>
      <c r="K12" s="431"/>
    </row>
    <row r="13" customFormat="false" ht="12.75" hidden="false" customHeight="false" outlineLevel="0" collapsed="false">
      <c r="B13" s="436" t="str">
        <f aca="false">CONCATENATE(CONCATENATE(TEXT(C3*0.6,0)," - "),TEXT(C3*1.66,0))</f>
        <v>2307 - 6383</v>
      </c>
      <c r="C13" s="427" t="n">
        <f aca="false">C12</f>
        <v>3845</v>
      </c>
      <c r="D13" s="432" t="n">
        <f aca="false">D12+100</f>
        <v>4220</v>
      </c>
      <c r="E13" s="427" t="n">
        <f aca="false">MAX(10,ROUND($F13*$D13,0))</f>
        <v>534</v>
      </c>
      <c r="F13" s="428" t="n">
        <f aca="false">MIN(0.15, 0.25 * ( 0.7 - EXP( -1.3 * $D13 / $C13 ) ))*1.1</f>
        <v>0.126478327373296</v>
      </c>
      <c r="G13" s="382"/>
      <c r="I13" s="427" t="n">
        <f aca="false">I12+25</f>
        <v>750</v>
      </c>
      <c r="J13" s="427" t="n">
        <f aca="false">25*$I13</f>
        <v>18750</v>
      </c>
      <c r="K13" s="431"/>
    </row>
    <row r="14" customFormat="false" ht="12.75" hidden="false" customHeight="false" outlineLevel="0" collapsed="false">
      <c r="B14" s="436"/>
      <c r="C14" s="427" t="n">
        <f aca="false">C13</f>
        <v>3845</v>
      </c>
      <c r="D14" s="432" t="n">
        <f aca="false">D13+100</f>
        <v>4320</v>
      </c>
      <c r="E14" s="427" t="n">
        <f aca="false">MAX(10,ROUND($F14*$D14,0))</f>
        <v>556</v>
      </c>
      <c r="F14" s="428" t="n">
        <f aca="false">MIN(0.15, 0.25 * ( 0.7 - EXP( -1.3 * $D14 / $C14 ) ))*1.1</f>
        <v>0.128673215741748</v>
      </c>
      <c r="G14" s="382"/>
      <c r="I14" s="427" t="n">
        <f aca="false">I13+25</f>
        <v>775</v>
      </c>
      <c r="J14" s="427" t="n">
        <f aca="false">25*$I14</f>
        <v>19375</v>
      </c>
      <c r="K14" s="431"/>
    </row>
    <row r="15" customFormat="false" ht="12.75" hidden="false" customHeight="false" outlineLevel="0" collapsed="false">
      <c r="B15" s="424"/>
      <c r="C15" s="427" t="n">
        <f aca="false">C14</f>
        <v>3845</v>
      </c>
      <c r="D15" s="432" t="n">
        <f aca="false">D14+100</f>
        <v>4420</v>
      </c>
      <c r="E15" s="427" t="n">
        <f aca="false">MAX(10,ROUND($F15*$D15,0))</f>
        <v>578</v>
      </c>
      <c r="F15" s="428" t="n">
        <f aca="false">MIN(0.15, 0.25 * ( 0.7 - EXP( -1.3 * $D15 / $C15 ) ))*1.1</f>
        <v>0.13079513511747</v>
      </c>
      <c r="G15" s="382"/>
      <c r="I15" s="427" t="n">
        <f aca="false">I14+25</f>
        <v>800</v>
      </c>
      <c r="J15" s="427" t="n">
        <f aca="false">25*$I15</f>
        <v>20000</v>
      </c>
      <c r="K15" s="431"/>
    </row>
    <row r="16" customFormat="false" ht="12.75" hidden="false" customHeight="false" outlineLevel="0" collapsed="false">
      <c r="B16" s="424"/>
      <c r="C16" s="427" t="n">
        <f aca="false">C15</f>
        <v>3845</v>
      </c>
      <c r="D16" s="432" t="n">
        <f aca="false">D15+100</f>
        <v>4520</v>
      </c>
      <c r="E16" s="427" t="n">
        <f aca="false">MAX(10,ROUND($F16*$D16,0))</f>
        <v>600</v>
      </c>
      <c r="F16" s="428" t="n">
        <f aca="false">MIN(0.15, 0.25 * ( 0.7 - EXP( -1.3 * $D16 / $C16 ) ))*1.1</f>
        <v>0.132846511352262</v>
      </c>
      <c r="G16" s="382"/>
      <c r="I16" s="427" t="n">
        <f aca="false">I15+25</f>
        <v>825</v>
      </c>
      <c r="J16" s="427" t="n">
        <f aca="false">25*$I16</f>
        <v>20625</v>
      </c>
      <c r="K16" s="431"/>
    </row>
    <row r="17" customFormat="false" ht="12.75" hidden="false" customHeight="false" outlineLevel="0" collapsed="false">
      <c r="B17" s="424"/>
      <c r="C17" s="427" t="n">
        <f aca="false">C16</f>
        <v>3845</v>
      </c>
      <c r="D17" s="432" t="n">
        <f aca="false">D16+100</f>
        <v>4620</v>
      </c>
      <c r="E17" s="427" t="n">
        <f aca="false">MAX(10,ROUND($F17*$D17,0))</f>
        <v>623</v>
      </c>
      <c r="F17" s="428" t="n">
        <f aca="false">MIN(0.15, 0.25 * ( 0.7 - EXP( -1.3 * $D17 / $C17 ) ))*1.1</f>
        <v>0.134829689650558</v>
      </c>
      <c r="G17" s="382"/>
      <c r="I17" s="427" t="n">
        <f aca="false">I16+25</f>
        <v>850</v>
      </c>
      <c r="J17" s="427" t="n">
        <f aca="false">25*$I17</f>
        <v>21250</v>
      </c>
      <c r="K17" s="431"/>
    </row>
    <row r="18" customFormat="false" ht="12.75" hidden="false" customHeight="false" outlineLevel="0" collapsed="false">
      <c r="B18" s="437"/>
      <c r="C18" s="438"/>
      <c r="D18" s="438"/>
      <c r="E18" s="438"/>
      <c r="F18" s="438"/>
      <c r="G18" s="438"/>
      <c r="H18" s="439" t="s">
        <v>1121</v>
      </c>
      <c r="I18" s="439"/>
      <c r="J18" s="439"/>
      <c r="K18" s="439"/>
    </row>
    <row r="20" customFormat="false" ht="12.75" hidden="false" customHeight="false" outlineLevel="0" collapsed="false">
      <c r="H20" s="440"/>
      <c r="I20" s="440"/>
      <c r="L20" s="427" t="s">
        <v>1122</v>
      </c>
    </row>
    <row r="21" customFormat="false" ht="12.75" hidden="false" customHeight="false" outlineLevel="0" collapsed="false">
      <c r="E21" s="0" t="s">
        <v>259</v>
      </c>
      <c r="F21" s="441" t="n">
        <v>0.125</v>
      </c>
      <c r="H21" s="440"/>
      <c r="I21" s="440"/>
      <c r="J21" s="427" t="s">
        <v>1123</v>
      </c>
      <c r="K21" s="427" t="s">
        <v>1124</v>
      </c>
      <c r="L21" s="442" t="n">
        <v>0.3</v>
      </c>
      <c r="M21" s="427" t="s">
        <v>1125</v>
      </c>
    </row>
    <row r="22" customFormat="false" ht="12.75" hidden="false" customHeight="false" outlineLevel="0" collapsed="false">
      <c r="A22" s="443" t="s">
        <v>120</v>
      </c>
      <c r="B22" s="422" t="s">
        <v>1036</v>
      </c>
      <c r="C22" s="444"/>
      <c r="D22" s="422" t="s">
        <v>1068</v>
      </c>
      <c r="E22" s="422" t="n">
        <v>4</v>
      </c>
      <c r="G22" s="422" t="n">
        <v>325</v>
      </c>
      <c r="H22" s="422" t="n">
        <v>25</v>
      </c>
      <c r="I22" s="423" t="n">
        <v>5</v>
      </c>
      <c r="J22" s="440"/>
      <c r="K22" s="440" t="n">
        <f aca="false">(K29-K28-K27)*C22</f>
        <v>0</v>
      </c>
      <c r="M22" s="440" t="n">
        <f aca="false">J22*F22*(1+L21)</f>
        <v>0</v>
      </c>
    </row>
    <row r="23" customFormat="false" ht="12.75" hidden="false" customHeight="false" outlineLevel="0" collapsed="false">
      <c r="A23" s="445"/>
      <c r="C23" s="446" t="n">
        <f aca="false">1-C24</f>
        <v>0.5</v>
      </c>
      <c r="D23" s="427" t="s">
        <v>1069</v>
      </c>
      <c r="F23" s="0" t="n">
        <v>3</v>
      </c>
      <c r="G23" s="0" t="n">
        <v>300</v>
      </c>
      <c r="H23" s="0" t="n">
        <v>15</v>
      </c>
      <c r="I23" s="431" t="n">
        <v>5</v>
      </c>
      <c r="J23" s="440" t="n">
        <f aca="false">K23/I23</f>
        <v>6412.7</v>
      </c>
      <c r="K23" s="440" t="n">
        <f aca="false">(K29-K28-K27)*C23</f>
        <v>32063.5</v>
      </c>
      <c r="M23" s="440" t="n">
        <f aca="false">J23*F23*(1+L21)</f>
        <v>25009.53</v>
      </c>
    </row>
    <row r="24" customFormat="false" ht="12.75" hidden="false" customHeight="false" outlineLevel="0" collapsed="false">
      <c r="A24" s="445"/>
      <c r="C24" s="446" t="n">
        <v>0.5</v>
      </c>
      <c r="D24" s="427" t="s">
        <v>121</v>
      </c>
      <c r="E24" s="427" t="n">
        <f aca="false">1+F21*10</f>
        <v>2.25</v>
      </c>
      <c r="F24" s="427" t="n">
        <f aca="false">4+F21*10</f>
        <v>5.25</v>
      </c>
      <c r="G24" s="0" t="n">
        <v>1000</v>
      </c>
      <c r="H24" s="0" t="n">
        <v>55</v>
      </c>
      <c r="I24" s="431" t="n">
        <f aca="false">1.8 * MIN(6, MAX(E24,F24)) + 0.45 * MIN(6, MIN(E24,F24)) + IF(E24&gt;6, (E24-6)*0.2) + IF(F24&gt;6, (F24-6)*0.2)</f>
        <v>10.4625</v>
      </c>
      <c r="J24" s="440" t="n">
        <f aca="false">K24/I24</f>
        <v>3064.61170848268</v>
      </c>
      <c r="K24" s="440" t="n">
        <f aca="false">(K29-K28-K27)*C24</f>
        <v>32063.5</v>
      </c>
      <c r="M24" s="440" t="n">
        <f aca="false">J24*F24*(1+L21)</f>
        <v>20915.9749103943</v>
      </c>
    </row>
    <row r="25" customFormat="false" ht="12.75" hidden="false" customHeight="false" outlineLevel="0" collapsed="false">
      <c r="A25" s="447"/>
      <c r="B25" s="438"/>
      <c r="C25" s="448"/>
      <c r="D25" s="438" t="s">
        <v>1126</v>
      </c>
      <c r="E25" s="438" t="n">
        <v>6</v>
      </c>
      <c r="F25" s="438" t="n">
        <v>0</v>
      </c>
      <c r="G25" s="438" t="n">
        <v>1200</v>
      </c>
      <c r="H25" s="438" t="n">
        <v>55</v>
      </c>
      <c r="I25" s="431" t="n">
        <f aca="false">1.8 * MIN(6, MAX(E25,F25)) + 0.45 * MIN(6, MIN(E25,F25)) + IF(E25&gt;6, (E25-6)*0.2) + IF(F25&gt;6, (F25-6)*0.2)</f>
        <v>10.8</v>
      </c>
      <c r="J25" s="440"/>
      <c r="K25" s="440" t="n">
        <f aca="false">(K29-K28-K27)*C25</f>
        <v>0</v>
      </c>
      <c r="M25" s="440" t="n">
        <f aca="false">J25*F25*(1+L21)</f>
        <v>0</v>
      </c>
    </row>
    <row r="26" customFormat="false" ht="12.75" hidden="false" customHeight="false" outlineLevel="0" collapsed="false">
      <c r="C26" s="380" t="n">
        <f aca="false">SUM(C22:C25)</f>
        <v>1</v>
      </c>
      <c r="D26" s="427" t="s">
        <v>65</v>
      </c>
      <c r="F26" s="0" t="n">
        <v>1</v>
      </c>
      <c r="H26" s="440"/>
      <c r="I26" s="427" t="s">
        <v>65</v>
      </c>
      <c r="J26" s="444" t="n">
        <v>5000</v>
      </c>
      <c r="M26" s="440" t="n">
        <f aca="false">J26*F26*(1+L21)</f>
        <v>6500</v>
      </c>
    </row>
    <row r="27" customFormat="false" ht="12.75" hidden="false" customHeight="false" outlineLevel="0" collapsed="false">
      <c r="H27" s="440"/>
      <c r="I27" s="440" t="s">
        <v>1127</v>
      </c>
      <c r="J27" s="449" t="n">
        <v>1250</v>
      </c>
      <c r="K27" s="440" t="n">
        <f aca="false">J27*25</f>
        <v>31250</v>
      </c>
      <c r="M27" s="76" t="n">
        <f aca="false">SUM(M22:M26)</f>
        <v>52425.5049103943</v>
      </c>
      <c r="N27" s="427" t="s">
        <v>1125</v>
      </c>
    </row>
    <row r="28" customFormat="false" ht="12.75" hidden="false" customHeight="false" outlineLevel="0" collapsed="false">
      <c r="H28" s="440"/>
      <c r="I28" s="440" t="s">
        <v>1128</v>
      </c>
      <c r="J28" s="448" t="n">
        <v>750</v>
      </c>
      <c r="K28" s="440" t="n">
        <f aca="false">5*J28</f>
        <v>3750</v>
      </c>
    </row>
    <row r="29" customFormat="false" ht="12.75" hidden="false" customHeight="false" outlineLevel="0" collapsed="false">
      <c r="H29" s="440"/>
      <c r="I29" s="440"/>
      <c r="K29" s="450" t="n">
        <v>99127</v>
      </c>
    </row>
    <row r="30" customFormat="false" ht="12.75" hidden="false" customHeight="false" outlineLevel="0" collapsed="false">
      <c r="H30" s="440"/>
      <c r="I30" s="440"/>
    </row>
    <row r="31" customFormat="false" ht="12.75" hidden="false" customHeight="false" outlineLevel="0" collapsed="false">
      <c r="H31" s="440"/>
      <c r="I31" s="440"/>
      <c r="L31" s="427" t="s">
        <v>1129</v>
      </c>
    </row>
    <row r="32" customFormat="false" ht="12.75" hidden="false" customHeight="false" outlineLevel="0" collapsed="false">
      <c r="H32" s="440"/>
      <c r="I32" s="440"/>
      <c r="J32" s="427" t="s">
        <v>1123</v>
      </c>
      <c r="K32" s="427" t="s">
        <v>1124</v>
      </c>
      <c r="L32" s="442" t="n">
        <v>0.2</v>
      </c>
      <c r="M32" s="427" t="s">
        <v>1125</v>
      </c>
      <c r="N32" s="427" t="s">
        <v>1130</v>
      </c>
    </row>
    <row r="33" customFormat="false" ht="12.75" hidden="false" customHeight="false" outlineLevel="0" collapsed="false">
      <c r="A33" s="443" t="s">
        <v>1012</v>
      </c>
      <c r="B33" s="423" t="s">
        <v>1036</v>
      </c>
      <c r="C33" s="444"/>
      <c r="D33" s="451" t="s">
        <v>1060</v>
      </c>
      <c r="E33" s="422" t="n">
        <v>3</v>
      </c>
      <c r="F33" s="422"/>
      <c r="G33" s="422" t="n">
        <v>325</v>
      </c>
      <c r="H33" s="422" t="n">
        <v>25</v>
      </c>
      <c r="I33" s="423" t="n">
        <v>5</v>
      </c>
      <c r="J33" s="440"/>
      <c r="K33" s="440" t="n">
        <f aca="false">(K40-K39-K38)*C33</f>
        <v>0</v>
      </c>
      <c r="M33" s="440"/>
      <c r="N33" s="440"/>
    </row>
    <row r="34" customFormat="false" ht="12.75" hidden="false" customHeight="false" outlineLevel="0" collapsed="false">
      <c r="A34" s="445"/>
      <c r="B34" s="431"/>
      <c r="C34" s="446" t="n">
        <f aca="false">1-C36</f>
        <v>0.4</v>
      </c>
      <c r="D34" s="424" t="s">
        <v>1061</v>
      </c>
      <c r="F34" s="0" t="n">
        <v>3</v>
      </c>
      <c r="G34" s="0" t="n">
        <v>375</v>
      </c>
      <c r="H34" s="0" t="n">
        <v>15</v>
      </c>
      <c r="I34" s="431" t="n">
        <v>5</v>
      </c>
      <c r="J34" s="440" t="n">
        <f aca="false">K34/I34</f>
        <v>14126</v>
      </c>
      <c r="K34" s="440" t="n">
        <f aca="false">(K40-K39-K38)*C34</f>
        <v>70630</v>
      </c>
      <c r="M34" s="69" t="n">
        <f aca="false">J34*F34*(1+L32)</f>
        <v>50853.6</v>
      </c>
      <c r="N34" s="440"/>
    </row>
    <row r="35" customFormat="false" ht="12.75" hidden="false" customHeight="false" outlineLevel="0" collapsed="false">
      <c r="A35" s="445"/>
      <c r="B35" s="431"/>
      <c r="C35" s="446"/>
      <c r="D35" s="424" t="s">
        <v>1062</v>
      </c>
      <c r="E35" s="0" t="n">
        <v>5</v>
      </c>
      <c r="F35" s="0" t="n">
        <v>3</v>
      </c>
      <c r="G35" s="0" t="n">
        <v>1025</v>
      </c>
      <c r="H35" s="0" t="n">
        <v>80</v>
      </c>
      <c r="I35" s="431" t="n">
        <f aca="false">1.8 * MIN(6, MAX(E35,F35)) + 0.45 * MIN(6, MIN(E35,F35)) + IF(E35&gt;6, (E35-6)*0.2) + IF(F35&gt;6, (F35-6)*0.2)</f>
        <v>10.35</v>
      </c>
      <c r="J35" s="440" t="n">
        <f aca="false">K35/I35</f>
        <v>0</v>
      </c>
      <c r="K35" s="440" t="n">
        <f aca="false">(K40-K39-K38)*C35</f>
        <v>0</v>
      </c>
      <c r="M35" s="440"/>
      <c r="N35" s="440"/>
    </row>
    <row r="36" customFormat="false" ht="12.75" hidden="false" customHeight="false" outlineLevel="0" collapsed="false">
      <c r="A36" s="447"/>
      <c r="B36" s="452"/>
      <c r="C36" s="453" t="n">
        <v>0.6</v>
      </c>
      <c r="D36" s="437" t="s">
        <v>1063</v>
      </c>
      <c r="E36" s="438" t="n">
        <v>6</v>
      </c>
      <c r="F36" s="438" t="n">
        <v>2</v>
      </c>
      <c r="G36" s="438" t="n">
        <v>1300</v>
      </c>
      <c r="H36" s="438" t="n">
        <v>80</v>
      </c>
      <c r="I36" s="431" t="n">
        <f aca="false">1.8 * MIN(6, MAX(E36,F36)) + 0.45 * MIN(6, MIN(E36,F36)) + IF(E36&gt;6, (E36-6)*0.2) + IF(F36&gt;6, (F36-6)*0.2)</f>
        <v>11.7</v>
      </c>
      <c r="J36" s="440" t="n">
        <f aca="false">K36/I36</f>
        <v>9055.12820512821</v>
      </c>
      <c r="K36" s="440" t="n">
        <f aca="false">(K40-K39-K38)*C36</f>
        <v>105945</v>
      </c>
      <c r="M36" s="440"/>
      <c r="N36" s="69" t="n">
        <f aca="false">J36*E36</f>
        <v>54330.7692307692</v>
      </c>
    </row>
    <row r="37" customFormat="false" ht="12.75" hidden="false" customHeight="false" outlineLevel="0" collapsed="false">
      <c r="F37" s="0" t="n">
        <v>1</v>
      </c>
      <c r="H37" s="440"/>
      <c r="I37" s="427" t="s">
        <v>65</v>
      </c>
      <c r="J37" s="444" t="n">
        <v>1000</v>
      </c>
      <c r="M37" s="69" t="n">
        <f aca="false">J37*F37*(1+L35)</f>
        <v>1000</v>
      </c>
      <c r="N37" s="440"/>
    </row>
    <row r="38" customFormat="false" ht="12.75" hidden="false" customHeight="false" outlineLevel="0" collapsed="false">
      <c r="H38" s="440"/>
      <c r="I38" s="440" t="s">
        <v>1127</v>
      </c>
      <c r="J38" s="449" t="n">
        <v>2337</v>
      </c>
      <c r="K38" s="440" t="n">
        <f aca="false">J38*25</f>
        <v>58425</v>
      </c>
      <c r="M38" s="76"/>
      <c r="N38" s="76"/>
    </row>
    <row r="39" customFormat="false" ht="12.75" hidden="false" customHeight="false" outlineLevel="0" collapsed="false">
      <c r="H39" s="440"/>
      <c r="I39" s="440" t="s">
        <v>1131</v>
      </c>
      <c r="J39" s="448" t="n">
        <v>1000</v>
      </c>
      <c r="K39" s="440" t="n">
        <f aca="false">5*J39</f>
        <v>5000</v>
      </c>
      <c r="M39" s="76" t="n">
        <f aca="false">SUM(M33:M37)</f>
        <v>51853.6</v>
      </c>
      <c r="N39" s="76" t="n">
        <f aca="false">N36</f>
        <v>54330.7692307692</v>
      </c>
    </row>
    <row r="40" customFormat="false" ht="12.75" hidden="false" customHeight="false" outlineLevel="0" collapsed="false">
      <c r="H40" s="440"/>
      <c r="I40" s="440"/>
      <c r="K40" s="450" t="n">
        <v>240000</v>
      </c>
    </row>
    <row r="41" customFormat="false" ht="12.75" hidden="false" customHeight="false" outlineLevel="0" collapsed="false">
      <c r="H41" s="440"/>
      <c r="I41" s="440"/>
    </row>
    <row r="42" customFormat="false" ht="12.75" hidden="false" customHeight="false" outlineLevel="0" collapsed="false">
      <c r="H42" s="440"/>
      <c r="I42" s="440"/>
    </row>
    <row r="43" customFormat="false" ht="12.75" hidden="false" customHeight="false" outlineLevel="0" collapsed="false">
      <c r="H43" s="440"/>
      <c r="I43" s="440"/>
    </row>
    <row r="44" customFormat="false" ht="12.75" hidden="false" customHeight="false" outlineLevel="0" collapsed="false">
      <c r="H44" s="440"/>
      <c r="I44" s="440"/>
    </row>
    <row r="45" customFormat="false" ht="12.75" hidden="false" customHeight="false" outlineLevel="0" collapsed="false">
      <c r="H45" s="440"/>
      <c r="I45" s="440"/>
    </row>
    <row r="46" customFormat="false" ht="12.75" hidden="false" customHeight="false" outlineLevel="0" collapsed="false">
      <c r="H46" s="440"/>
      <c r="I46" s="440"/>
    </row>
    <row r="47" customFormat="false" ht="12.75" hidden="false" customHeight="false" outlineLevel="0" collapsed="false">
      <c r="H47" s="440"/>
      <c r="I47" s="440"/>
    </row>
    <row r="48" customFormat="false" ht="12.75" hidden="false" customHeight="false" outlineLevel="0" collapsed="false">
      <c r="H48" s="440"/>
      <c r="I48" s="440"/>
    </row>
    <row r="49" customFormat="false" ht="12.75" hidden="false" customHeight="false" outlineLevel="0" collapsed="false">
      <c r="H49" s="440"/>
      <c r="I49" s="440"/>
    </row>
    <row r="50" customFormat="false" ht="12.75" hidden="false" customHeight="false" outlineLevel="0" collapsed="false">
      <c r="H50" s="440"/>
      <c r="I50" s="440"/>
    </row>
    <row r="51" customFormat="false" ht="12.75" hidden="false" customHeight="false" outlineLevel="0" collapsed="false">
      <c r="C51" s="422" t="s">
        <v>1110</v>
      </c>
      <c r="D51" s="422" t="s">
        <v>1111</v>
      </c>
      <c r="E51" s="422" t="s">
        <v>1112</v>
      </c>
      <c r="F51" s="422" t="s">
        <v>1113</v>
      </c>
      <c r="H51" s="440"/>
      <c r="I51" s="440"/>
    </row>
    <row r="52" customFormat="false" ht="12.75" hidden="false" customHeight="false" outlineLevel="0" collapsed="false">
      <c r="C52" s="425" t="n">
        <v>3845</v>
      </c>
      <c r="D52" s="426" t="n">
        <v>3220</v>
      </c>
      <c r="E52" s="454" t="n">
        <f aca="false">MAX(10,($F52*$D52))</f>
        <v>321.739014646531</v>
      </c>
      <c r="F52" s="428" t="n">
        <f aca="false">MIN(0.15, 0.25 * ( 0.7 - EXP( -1.3 * $D52 / $C52 ) ))*1.1</f>
        <v>0.099918948647991</v>
      </c>
      <c r="G52" s="0" t="n">
        <v>310</v>
      </c>
      <c r="H52" s="440"/>
      <c r="I52" s="440"/>
    </row>
    <row r="53" customFormat="false" ht="12.75" hidden="false" customHeight="false" outlineLevel="0" collapsed="false">
      <c r="C53" s="425" t="n">
        <v>3810</v>
      </c>
      <c r="D53" s="426" t="n">
        <v>3127</v>
      </c>
      <c r="E53" s="454" t="n">
        <f aca="false">MAX(10,($F53*$D53))</f>
        <v>306.086486352093</v>
      </c>
      <c r="F53" s="428" t="n">
        <f aca="false">MIN(0.15, 0.25 * ( 0.7 - EXP( -1.3 * $D53 / $C53 ) ))*1.1</f>
        <v>0.0978850292139729</v>
      </c>
      <c r="G53" s="454" t="n">
        <v>298</v>
      </c>
      <c r="H53" s="440"/>
      <c r="I53" s="440"/>
    </row>
    <row r="54" customFormat="false" ht="12.75" hidden="false" customHeight="false" outlineLevel="0" collapsed="false">
      <c r="C54" s="425" t="n">
        <v>3643</v>
      </c>
      <c r="D54" s="426" t="n">
        <v>3042</v>
      </c>
      <c r="E54" s="454" t="n">
        <f aca="false">MAX(10,($F54*$D54))</f>
        <v>303.064139349085</v>
      </c>
      <c r="F54" s="428" t="n">
        <f aca="false">MIN(0.15, 0.25 * ( 0.7 - EXP( -1.3 * $D54 / $C54 ) ))*1.1</f>
        <v>0.0996266072810929</v>
      </c>
      <c r="G54" s="454" t="n">
        <v>294</v>
      </c>
      <c r="H54" s="440"/>
      <c r="I54" s="440"/>
    </row>
    <row r="55" customFormat="false" ht="12.75" hidden="false" customHeight="false" outlineLevel="0" collapsed="false">
      <c r="C55" s="425" t="n">
        <v>3905</v>
      </c>
      <c r="D55" s="426" t="n">
        <v>2938</v>
      </c>
      <c r="E55" s="454" t="n">
        <f aca="false">MAX(10,($F55*$D55))</f>
        <v>261.74944508638</v>
      </c>
      <c r="F55" s="428" t="n">
        <f aca="false">MIN(0.15, 0.25 * ( 0.7 - EXP( -1.3 * $D55 / $C55 ) ))*1.1</f>
        <v>0.0890910296413818</v>
      </c>
      <c r="G55" s="454" t="n">
        <v>234</v>
      </c>
      <c r="H55" s="440"/>
      <c r="I55" s="440"/>
    </row>
    <row r="56" customFormat="false" ht="12.75" hidden="false" customHeight="false" outlineLevel="0" collapsed="false">
      <c r="H56" s="440"/>
      <c r="I56" s="440"/>
    </row>
    <row r="57" customFormat="false" ht="12.75" hidden="false" customHeight="false" outlineLevel="0" collapsed="false">
      <c r="H57" s="440"/>
      <c r="I57" s="440"/>
    </row>
    <row r="58" customFormat="false" ht="12.75" hidden="false" customHeight="false" outlineLevel="0" collapsed="false">
      <c r="H58" s="440"/>
      <c r="I58" s="440"/>
    </row>
    <row r="59" customFormat="false" ht="12.75" hidden="false" customHeight="false" outlineLevel="0" collapsed="false">
      <c r="H59" s="440"/>
      <c r="I59" s="440"/>
    </row>
    <row r="60" customFormat="false" ht="12.75" hidden="false" customHeight="false" outlineLevel="0" collapsed="false">
      <c r="H60" s="440"/>
      <c r="I60" s="440"/>
    </row>
    <row r="61" customFormat="false" ht="12.75" hidden="false" customHeight="false" outlineLevel="0" collapsed="false">
      <c r="H61" s="440"/>
      <c r="I61" s="440"/>
    </row>
    <row r="62" customFormat="false" ht="12.75" hidden="false" customHeight="false" outlineLevel="0" collapsed="false">
      <c r="H62" s="440"/>
      <c r="I62" s="440"/>
    </row>
    <row r="63" customFormat="false" ht="12.75" hidden="false" customHeight="false" outlineLevel="0" collapsed="false">
      <c r="H63" s="440"/>
      <c r="I63" s="440"/>
    </row>
    <row r="64" customFormat="false" ht="12.75" hidden="false" customHeight="false" outlineLevel="0" collapsed="false">
      <c r="H64" s="440"/>
      <c r="I64" s="440"/>
    </row>
    <row r="65" customFormat="false" ht="12.75" hidden="false" customHeight="false" outlineLevel="0" collapsed="false">
      <c r="H65" s="440"/>
      <c r="I65" s="440"/>
    </row>
    <row r="66" customFormat="false" ht="12.75" hidden="false" customHeight="false" outlineLevel="0" collapsed="false">
      <c r="H66" s="440"/>
      <c r="I66" s="440"/>
    </row>
    <row r="67" customFormat="false" ht="12.75" hidden="false" customHeight="false" outlineLevel="0" collapsed="false">
      <c r="H67" s="440"/>
      <c r="I67" s="440"/>
    </row>
    <row r="68" customFormat="false" ht="12.75" hidden="false" customHeight="false" outlineLevel="0" collapsed="false">
      <c r="H68" s="440"/>
      <c r="I68" s="440"/>
    </row>
    <row r="69" customFormat="false" ht="12.75" hidden="false" customHeight="false" outlineLevel="0" collapsed="false">
      <c r="H69" s="440"/>
      <c r="I69" s="440"/>
    </row>
    <row r="70" customFormat="false" ht="12.75" hidden="false" customHeight="false" outlineLevel="0" collapsed="false">
      <c r="H70" s="440"/>
      <c r="I70" s="440"/>
    </row>
    <row r="71" customFormat="false" ht="12.75" hidden="false" customHeight="false" outlineLevel="0" collapsed="false">
      <c r="H71" s="440"/>
      <c r="I71" s="440"/>
    </row>
    <row r="72" customFormat="false" ht="12.75" hidden="false" customHeight="false" outlineLevel="0" collapsed="false">
      <c r="H72" s="440"/>
      <c r="I72" s="440"/>
    </row>
    <row r="73" customFormat="false" ht="12.75" hidden="false" customHeight="false" outlineLevel="0" collapsed="false">
      <c r="H73" s="440"/>
      <c r="I73" s="440"/>
    </row>
    <row r="74" customFormat="false" ht="12.75" hidden="false" customHeight="false" outlineLevel="0" collapsed="false">
      <c r="H74" s="440"/>
      <c r="I74" s="440"/>
    </row>
    <row r="75" customFormat="false" ht="12.75" hidden="false" customHeight="false" outlineLevel="0" collapsed="false">
      <c r="H75" s="440"/>
      <c r="I75" s="440"/>
    </row>
    <row r="76" customFormat="false" ht="12.75" hidden="false" customHeight="false" outlineLevel="0" collapsed="false">
      <c r="H76" s="440"/>
      <c r="I76" s="440"/>
    </row>
    <row r="77" customFormat="false" ht="12.75" hidden="false" customHeight="false" outlineLevel="0" collapsed="false">
      <c r="H77" s="440"/>
      <c r="I77" s="440"/>
    </row>
    <row r="78" customFormat="false" ht="12.75" hidden="false" customHeight="false" outlineLevel="0" collapsed="false">
      <c r="H78" s="440"/>
      <c r="I78" s="440"/>
    </row>
    <row r="79" customFormat="false" ht="12.75" hidden="false" customHeight="false" outlineLevel="0" collapsed="false">
      <c r="H79" s="440"/>
      <c r="I79" s="440"/>
    </row>
    <row r="80" customFormat="false" ht="12.75" hidden="false" customHeight="false" outlineLevel="0" collapsed="false">
      <c r="H80" s="440"/>
      <c r="I80" s="440"/>
    </row>
    <row r="81" customFormat="false" ht="12.75" hidden="false" customHeight="false" outlineLevel="0" collapsed="false">
      <c r="H81" s="440"/>
      <c r="I81" s="440"/>
    </row>
    <row r="82" customFormat="false" ht="12.75" hidden="false" customHeight="false" outlineLevel="0" collapsed="false">
      <c r="H82" s="440"/>
      <c r="I82" s="440"/>
    </row>
    <row r="83" customFormat="false" ht="12.75" hidden="false" customHeight="false" outlineLevel="0" collapsed="false">
      <c r="H83" s="440"/>
      <c r="I83" s="440"/>
    </row>
    <row r="84" customFormat="false" ht="12.75" hidden="false" customHeight="false" outlineLevel="0" collapsed="false">
      <c r="H84" s="440"/>
      <c r="I84" s="440"/>
    </row>
    <row r="85" customFormat="false" ht="12.75" hidden="false" customHeight="false" outlineLevel="0" collapsed="false">
      <c r="H85" s="440"/>
      <c r="I85" s="440"/>
    </row>
    <row r="86" customFormat="false" ht="12.75" hidden="false" customHeight="false" outlineLevel="0" collapsed="false">
      <c r="H86" s="440"/>
      <c r="I86" s="440"/>
    </row>
    <row r="87" customFormat="false" ht="12.75" hidden="false" customHeight="false" outlineLevel="0" collapsed="false">
      <c r="H87" s="440"/>
      <c r="I87" s="440"/>
    </row>
    <row r="88" customFormat="false" ht="12.75" hidden="false" customHeight="false" outlineLevel="0" collapsed="false">
      <c r="H88" s="440"/>
      <c r="I88" s="440"/>
    </row>
    <row r="89" customFormat="false" ht="12.75" hidden="false" customHeight="false" outlineLevel="0" collapsed="false">
      <c r="H89" s="440"/>
      <c r="I89" s="440"/>
    </row>
    <row r="90" customFormat="false" ht="12.75" hidden="false" customHeight="false" outlineLevel="0" collapsed="false">
      <c r="H90" s="440"/>
      <c r="I90" s="440"/>
    </row>
    <row r="91" customFormat="false" ht="12.75" hidden="false" customHeight="false" outlineLevel="0" collapsed="false">
      <c r="H91" s="440"/>
      <c r="I91" s="440"/>
    </row>
    <row r="92" customFormat="false" ht="12.75" hidden="false" customHeight="false" outlineLevel="0" collapsed="false">
      <c r="H92" s="440"/>
      <c r="I92" s="440"/>
    </row>
    <row r="93" customFormat="false" ht="12.75" hidden="false" customHeight="false" outlineLevel="0" collapsed="false">
      <c r="H93" s="440"/>
      <c r="I93" s="440"/>
    </row>
    <row r="94" customFormat="false" ht="12.75" hidden="false" customHeight="false" outlineLevel="0" collapsed="false">
      <c r="H94" s="440"/>
      <c r="I94" s="440"/>
    </row>
    <row r="95" customFormat="false" ht="12.75" hidden="false" customHeight="false" outlineLevel="0" collapsed="false">
      <c r="H95" s="440"/>
      <c r="I95" s="440"/>
    </row>
    <row r="96" customFormat="false" ht="12.75" hidden="false" customHeight="false" outlineLevel="0" collapsed="false">
      <c r="H96" s="440"/>
      <c r="I96" s="440"/>
    </row>
    <row r="97" customFormat="false" ht="12.75" hidden="false" customHeight="false" outlineLevel="0" collapsed="false">
      <c r="H97" s="440"/>
      <c r="I97" s="440"/>
    </row>
    <row r="98" customFormat="false" ht="12.75" hidden="false" customHeight="false" outlineLevel="0" collapsed="false">
      <c r="H98" s="440"/>
      <c r="I98" s="440"/>
    </row>
    <row r="99" customFormat="false" ht="12.75" hidden="false" customHeight="false" outlineLevel="0" collapsed="false">
      <c r="H99" s="440"/>
      <c r="I99" s="440"/>
    </row>
    <row r="100" customFormat="false" ht="12.75" hidden="false" customHeight="false" outlineLevel="0" collapsed="false">
      <c r="H100" s="440"/>
      <c r="I100" s="440"/>
    </row>
    <row r="101" customFormat="false" ht="12.75" hidden="false" customHeight="false" outlineLevel="0" collapsed="false">
      <c r="H101" s="440"/>
      <c r="I101" s="440"/>
    </row>
    <row r="102" customFormat="false" ht="12.75" hidden="false" customHeight="false" outlineLevel="0" collapsed="false">
      <c r="H102" s="440"/>
      <c r="I102" s="440"/>
    </row>
    <row r="103" customFormat="false" ht="12.75" hidden="false" customHeight="false" outlineLevel="0" collapsed="false">
      <c r="H103" s="440"/>
      <c r="I103" s="440"/>
    </row>
    <row r="104" customFormat="false" ht="12.75" hidden="false" customHeight="false" outlineLevel="0" collapsed="false">
      <c r="H104" s="440"/>
      <c r="I104" s="440"/>
    </row>
    <row r="105" customFormat="false" ht="12.75" hidden="false" customHeight="false" outlineLevel="0" collapsed="false">
      <c r="H105" s="440"/>
      <c r="I105" s="440"/>
    </row>
    <row r="106" customFormat="false" ht="12.75" hidden="false" customHeight="false" outlineLevel="0" collapsed="false">
      <c r="H106" s="440"/>
      <c r="I106" s="440"/>
    </row>
    <row r="107" customFormat="false" ht="12.75" hidden="false" customHeight="false" outlineLevel="0" collapsed="false">
      <c r="H107" s="440"/>
      <c r="I107" s="440"/>
    </row>
    <row r="108" customFormat="false" ht="12.75" hidden="false" customHeight="false" outlineLevel="0" collapsed="false">
      <c r="H108" s="440"/>
      <c r="I108" s="440"/>
    </row>
    <row r="109" customFormat="false" ht="12.75" hidden="false" customHeight="false" outlineLevel="0" collapsed="false">
      <c r="H109" s="440"/>
      <c r="I109" s="440"/>
    </row>
    <row r="110" customFormat="false" ht="12.75" hidden="false" customHeight="false" outlineLevel="0" collapsed="false">
      <c r="H110" s="440"/>
      <c r="I110" s="440"/>
    </row>
    <row r="111" customFormat="false" ht="12.75" hidden="false" customHeight="false" outlineLevel="0" collapsed="false">
      <c r="H111" s="440"/>
      <c r="I111" s="440"/>
    </row>
    <row r="112" customFormat="false" ht="12.75" hidden="false" customHeight="false" outlineLevel="0" collapsed="false">
      <c r="H112" s="440"/>
      <c r="I112" s="440"/>
    </row>
    <row r="113" customFormat="false" ht="12.75" hidden="false" customHeight="false" outlineLevel="0" collapsed="false">
      <c r="H113" s="440"/>
      <c r="I113" s="440"/>
    </row>
    <row r="114" customFormat="false" ht="12.75" hidden="false" customHeight="false" outlineLevel="0" collapsed="false">
      <c r="H114" s="440"/>
      <c r="I114" s="440"/>
    </row>
    <row r="115" customFormat="false" ht="12.75" hidden="false" customHeight="false" outlineLevel="0" collapsed="false">
      <c r="H115" s="440"/>
      <c r="I115" s="440"/>
    </row>
    <row r="116" customFormat="false" ht="12.75" hidden="false" customHeight="false" outlineLevel="0" collapsed="false">
      <c r="H116" s="440"/>
      <c r="I116" s="440"/>
    </row>
    <row r="117" customFormat="false" ht="12.75" hidden="false" customHeight="false" outlineLevel="0" collapsed="false">
      <c r="H117" s="440"/>
      <c r="I117" s="440"/>
    </row>
    <row r="118" customFormat="false" ht="12.75" hidden="false" customHeight="false" outlineLevel="0" collapsed="false">
      <c r="H118" s="440"/>
      <c r="I118" s="440"/>
    </row>
    <row r="119" customFormat="false" ht="12.75" hidden="false" customHeight="false" outlineLevel="0" collapsed="false">
      <c r="H119" s="440"/>
      <c r="I119" s="440"/>
    </row>
    <row r="120" customFormat="false" ht="12.75" hidden="false" customHeight="false" outlineLevel="0" collapsed="false">
      <c r="H120" s="440"/>
      <c r="I120" s="440"/>
    </row>
    <row r="121" customFormat="false" ht="12.75" hidden="false" customHeight="false" outlineLevel="0" collapsed="false">
      <c r="H121" s="440"/>
      <c r="I121" s="440"/>
    </row>
    <row r="122" customFormat="false" ht="12.75" hidden="false" customHeight="false" outlineLevel="0" collapsed="false">
      <c r="H122" s="440"/>
      <c r="I122" s="440"/>
    </row>
    <row r="123" customFormat="false" ht="12.75" hidden="false" customHeight="false" outlineLevel="0" collapsed="false">
      <c r="H123" s="440"/>
      <c r="I123" s="440"/>
    </row>
    <row r="124" customFormat="false" ht="12.75" hidden="false" customHeight="false" outlineLevel="0" collapsed="false">
      <c r="H124" s="440"/>
      <c r="I124" s="440"/>
    </row>
    <row r="125" customFormat="false" ht="12.75" hidden="false" customHeight="false" outlineLevel="0" collapsed="false">
      <c r="H125" s="440"/>
      <c r="I125" s="440"/>
    </row>
    <row r="126" customFormat="false" ht="12.75" hidden="false" customHeight="false" outlineLevel="0" collapsed="false">
      <c r="H126" s="440"/>
      <c r="I126" s="440"/>
    </row>
    <row r="127" customFormat="false" ht="12.75" hidden="false" customHeight="false" outlineLevel="0" collapsed="false">
      <c r="H127" s="440"/>
      <c r="I127" s="440"/>
    </row>
    <row r="128" customFormat="false" ht="12.75" hidden="false" customHeight="false" outlineLevel="0" collapsed="false">
      <c r="H128" s="440"/>
      <c r="I128" s="440"/>
    </row>
    <row r="129" customFormat="false" ht="12.75" hidden="false" customHeight="false" outlineLevel="0" collapsed="false">
      <c r="H129" s="440"/>
      <c r="I129" s="440"/>
    </row>
    <row r="130" customFormat="false" ht="12.75" hidden="false" customHeight="false" outlineLevel="0" collapsed="false">
      <c r="H130" s="440"/>
      <c r="I130" s="440"/>
    </row>
    <row r="131" customFormat="false" ht="12.75" hidden="false" customHeight="false" outlineLevel="0" collapsed="false">
      <c r="H131" s="440"/>
      <c r="I131" s="440"/>
    </row>
    <row r="132" customFormat="false" ht="12.75" hidden="false" customHeight="false" outlineLevel="0" collapsed="false">
      <c r="H132" s="440"/>
      <c r="I132" s="440"/>
    </row>
    <row r="133" customFormat="false" ht="12.75" hidden="false" customHeight="false" outlineLevel="0" collapsed="false">
      <c r="H133" s="440"/>
      <c r="I133" s="440"/>
    </row>
    <row r="134" customFormat="false" ht="12.75" hidden="false" customHeight="false" outlineLevel="0" collapsed="false">
      <c r="H134" s="440"/>
      <c r="I134" s="440"/>
    </row>
    <row r="135" customFormat="false" ht="12.75" hidden="false" customHeight="false" outlineLevel="0" collapsed="false">
      <c r="H135" s="440"/>
      <c r="I135" s="440"/>
    </row>
    <row r="136" customFormat="false" ht="12.75" hidden="false" customHeight="false" outlineLevel="0" collapsed="false">
      <c r="H136" s="440"/>
      <c r="I136" s="440"/>
    </row>
    <row r="137" customFormat="false" ht="12.75" hidden="false" customHeight="false" outlineLevel="0" collapsed="false">
      <c r="H137" s="440"/>
      <c r="I137" s="440"/>
    </row>
    <row r="138" customFormat="false" ht="12.75" hidden="false" customHeight="false" outlineLevel="0" collapsed="false">
      <c r="H138" s="440"/>
      <c r="I138" s="440"/>
    </row>
    <row r="139" customFormat="false" ht="12.75" hidden="false" customHeight="false" outlineLevel="0" collapsed="false">
      <c r="H139" s="440"/>
      <c r="I139" s="440"/>
    </row>
    <row r="140" customFormat="false" ht="12.75" hidden="false" customHeight="false" outlineLevel="0" collapsed="false">
      <c r="H140" s="440"/>
      <c r="I140" s="440"/>
    </row>
    <row r="141" customFormat="false" ht="12.75" hidden="false" customHeight="false" outlineLevel="0" collapsed="false">
      <c r="H141" s="440"/>
      <c r="I141" s="440"/>
    </row>
    <row r="142" customFormat="false" ht="12.75" hidden="false" customHeight="false" outlineLevel="0" collapsed="false">
      <c r="H142" s="440"/>
      <c r="I142" s="440"/>
    </row>
    <row r="143" customFormat="false" ht="12.75" hidden="false" customHeight="false" outlineLevel="0" collapsed="false">
      <c r="H143" s="440"/>
      <c r="I143" s="440"/>
    </row>
    <row r="144" customFormat="false" ht="12.75" hidden="false" customHeight="false" outlineLevel="0" collapsed="false">
      <c r="H144" s="440"/>
      <c r="I144" s="440"/>
    </row>
    <row r="145" customFormat="false" ht="12.75" hidden="false" customHeight="false" outlineLevel="0" collapsed="false">
      <c r="H145" s="440"/>
      <c r="I145" s="440"/>
    </row>
    <row r="146" customFormat="false" ht="12.75" hidden="false" customHeight="false" outlineLevel="0" collapsed="false">
      <c r="H146" s="440"/>
      <c r="I146" s="440"/>
    </row>
    <row r="147" customFormat="false" ht="12.75" hidden="false" customHeight="false" outlineLevel="0" collapsed="false">
      <c r="H147" s="440"/>
      <c r="I147" s="440"/>
    </row>
    <row r="148" customFormat="false" ht="12.75" hidden="false" customHeight="false" outlineLevel="0" collapsed="false">
      <c r="H148" s="440"/>
      <c r="I148" s="440"/>
    </row>
    <row r="149" customFormat="false" ht="12.75" hidden="false" customHeight="false" outlineLevel="0" collapsed="false">
      <c r="H149" s="440"/>
      <c r="I149" s="440"/>
    </row>
    <row r="150" customFormat="false" ht="12.75" hidden="false" customHeight="false" outlineLevel="0" collapsed="false">
      <c r="H150" s="440"/>
      <c r="I150" s="440"/>
    </row>
    <row r="151" customFormat="false" ht="12.75" hidden="false" customHeight="false" outlineLevel="0" collapsed="false">
      <c r="H151" s="440"/>
      <c r="I151" s="440"/>
    </row>
    <row r="152" customFormat="false" ht="12.75" hidden="false" customHeight="false" outlineLevel="0" collapsed="false">
      <c r="H152" s="440"/>
      <c r="I152" s="440"/>
    </row>
    <row r="153" customFormat="false" ht="12.75" hidden="false" customHeight="false" outlineLevel="0" collapsed="false">
      <c r="H153" s="440"/>
      <c r="I153" s="440"/>
    </row>
    <row r="154" customFormat="false" ht="12.75" hidden="false" customHeight="false" outlineLevel="0" collapsed="false">
      <c r="H154" s="440"/>
      <c r="I154" s="440"/>
    </row>
    <row r="155" customFormat="false" ht="12.75" hidden="false" customHeight="false" outlineLevel="0" collapsed="false">
      <c r="H155" s="440"/>
      <c r="I155" s="440"/>
    </row>
    <row r="156" customFormat="false" ht="12.75" hidden="false" customHeight="false" outlineLevel="0" collapsed="false">
      <c r="H156" s="440"/>
      <c r="I156" s="440"/>
    </row>
    <row r="157" customFormat="false" ht="12.75" hidden="false" customHeight="false" outlineLevel="0" collapsed="false">
      <c r="H157" s="440"/>
      <c r="I157" s="440"/>
    </row>
    <row r="158" customFormat="false" ht="12.75" hidden="false" customHeight="false" outlineLevel="0" collapsed="false">
      <c r="H158" s="440"/>
      <c r="I158" s="440"/>
    </row>
    <row r="159" customFormat="false" ht="12.75" hidden="false" customHeight="false" outlineLevel="0" collapsed="false">
      <c r="H159" s="440"/>
      <c r="I159" s="440"/>
    </row>
    <row r="160" customFormat="false" ht="12.75" hidden="false" customHeight="false" outlineLevel="0" collapsed="false">
      <c r="H160" s="440"/>
      <c r="I160" s="440"/>
    </row>
    <row r="161" customFormat="false" ht="12.75" hidden="false" customHeight="false" outlineLevel="0" collapsed="false">
      <c r="H161" s="440"/>
      <c r="I161" s="440"/>
    </row>
    <row r="162" customFormat="false" ht="12.75" hidden="false" customHeight="false" outlineLevel="0" collapsed="false">
      <c r="H162" s="440"/>
      <c r="I162" s="440"/>
    </row>
    <row r="163" customFormat="false" ht="12.75" hidden="false" customHeight="false" outlineLevel="0" collapsed="false">
      <c r="H163" s="440"/>
      <c r="I163" s="440"/>
    </row>
    <row r="164" customFormat="false" ht="12.75" hidden="false" customHeight="false" outlineLevel="0" collapsed="false">
      <c r="H164" s="440"/>
      <c r="I164" s="440"/>
    </row>
    <row r="165" customFormat="false" ht="12.75" hidden="false" customHeight="false" outlineLevel="0" collapsed="false">
      <c r="H165" s="440"/>
      <c r="I165" s="440"/>
    </row>
    <row r="166" customFormat="false" ht="12.75" hidden="false" customHeight="false" outlineLevel="0" collapsed="false">
      <c r="H166" s="440"/>
      <c r="I166" s="440"/>
    </row>
    <row r="167" customFormat="false" ht="12.75" hidden="false" customHeight="false" outlineLevel="0" collapsed="false">
      <c r="H167" s="440"/>
      <c r="I167" s="440"/>
    </row>
    <row r="168" customFormat="false" ht="12.75" hidden="false" customHeight="false" outlineLevel="0" collapsed="false">
      <c r="H168" s="440"/>
      <c r="I168" s="440"/>
    </row>
    <row r="169" customFormat="false" ht="12.75" hidden="false" customHeight="false" outlineLevel="0" collapsed="false">
      <c r="H169" s="440"/>
      <c r="I169" s="440"/>
    </row>
    <row r="170" customFormat="false" ht="12.75" hidden="false" customHeight="false" outlineLevel="0" collapsed="false">
      <c r="H170" s="440"/>
      <c r="I170" s="440"/>
    </row>
    <row r="171" customFormat="false" ht="12.75" hidden="false" customHeight="false" outlineLevel="0" collapsed="false">
      <c r="H171" s="440"/>
      <c r="I171" s="440"/>
    </row>
    <row r="172" customFormat="false" ht="12.75" hidden="false" customHeight="false" outlineLevel="0" collapsed="false">
      <c r="H172" s="440"/>
      <c r="I172" s="440"/>
    </row>
    <row r="173" customFormat="false" ht="12.75" hidden="false" customHeight="false" outlineLevel="0" collapsed="false">
      <c r="H173" s="440"/>
      <c r="I173" s="440"/>
    </row>
    <row r="174" customFormat="false" ht="12.75" hidden="false" customHeight="false" outlineLevel="0" collapsed="false">
      <c r="H174" s="440"/>
      <c r="I174" s="440"/>
    </row>
    <row r="175" customFormat="false" ht="12.75" hidden="false" customHeight="false" outlineLevel="0" collapsed="false">
      <c r="H175" s="440"/>
      <c r="I175" s="440"/>
    </row>
    <row r="176" customFormat="false" ht="12.75" hidden="false" customHeight="false" outlineLevel="0" collapsed="false">
      <c r="H176" s="440"/>
      <c r="I176" s="440"/>
    </row>
    <row r="177" customFormat="false" ht="12.75" hidden="false" customHeight="false" outlineLevel="0" collapsed="false">
      <c r="H177" s="440"/>
      <c r="I177" s="440"/>
    </row>
    <row r="178" customFormat="false" ht="12.75" hidden="false" customHeight="false" outlineLevel="0" collapsed="false">
      <c r="H178" s="440"/>
      <c r="I178" s="440"/>
    </row>
    <row r="179" customFormat="false" ht="12.75" hidden="false" customHeight="false" outlineLevel="0" collapsed="false">
      <c r="H179" s="440"/>
      <c r="I179" s="440"/>
    </row>
    <row r="180" customFormat="false" ht="12.75" hidden="false" customHeight="false" outlineLevel="0" collapsed="false">
      <c r="H180" s="440"/>
      <c r="I180" s="440"/>
    </row>
    <row r="181" customFormat="false" ht="12.75" hidden="false" customHeight="false" outlineLevel="0" collapsed="false">
      <c r="H181" s="440"/>
      <c r="I181" s="440"/>
    </row>
    <row r="182" customFormat="false" ht="12.75" hidden="false" customHeight="false" outlineLevel="0" collapsed="false">
      <c r="H182" s="440"/>
      <c r="I182" s="440"/>
    </row>
    <row r="183" customFormat="false" ht="12.75" hidden="false" customHeight="false" outlineLevel="0" collapsed="false">
      <c r="H183" s="440"/>
      <c r="I183" s="440"/>
    </row>
    <row r="184" customFormat="false" ht="12.75" hidden="false" customHeight="false" outlineLevel="0" collapsed="false">
      <c r="H184" s="440"/>
      <c r="I184" s="440"/>
    </row>
    <row r="185" customFormat="false" ht="12.75" hidden="false" customHeight="false" outlineLevel="0" collapsed="false">
      <c r="H185" s="440"/>
      <c r="I185" s="440"/>
    </row>
    <row r="186" customFormat="false" ht="12.75" hidden="false" customHeight="false" outlineLevel="0" collapsed="false">
      <c r="H186" s="440"/>
      <c r="I186" s="440"/>
    </row>
    <row r="187" customFormat="false" ht="12.75" hidden="false" customHeight="false" outlineLevel="0" collapsed="false">
      <c r="H187" s="440"/>
      <c r="I187" s="440"/>
    </row>
    <row r="188" customFormat="false" ht="12.75" hidden="false" customHeight="false" outlineLevel="0" collapsed="false">
      <c r="H188" s="440"/>
      <c r="I188" s="440"/>
    </row>
    <row r="189" customFormat="false" ht="12.75" hidden="false" customHeight="false" outlineLevel="0" collapsed="false">
      <c r="H189" s="440"/>
      <c r="I189" s="440"/>
    </row>
    <row r="190" customFormat="false" ht="12.75" hidden="false" customHeight="false" outlineLevel="0" collapsed="false">
      <c r="H190" s="440"/>
      <c r="I190" s="440"/>
    </row>
    <row r="191" customFormat="false" ht="12.75" hidden="false" customHeight="false" outlineLevel="0" collapsed="false">
      <c r="H191" s="440"/>
      <c r="I191" s="440"/>
    </row>
    <row r="192" customFormat="false" ht="12.75" hidden="false" customHeight="false" outlineLevel="0" collapsed="false">
      <c r="H192" s="440"/>
      <c r="I192" s="440"/>
    </row>
    <row r="193" customFormat="false" ht="12.75" hidden="false" customHeight="false" outlineLevel="0" collapsed="false">
      <c r="H193" s="440"/>
      <c r="I193" s="440"/>
    </row>
    <row r="194" customFormat="false" ht="12.75" hidden="false" customHeight="false" outlineLevel="0" collapsed="false">
      <c r="H194" s="440"/>
      <c r="I194" s="440"/>
    </row>
    <row r="195" customFormat="false" ht="12.75" hidden="false" customHeight="false" outlineLevel="0" collapsed="false">
      <c r="H195" s="440"/>
      <c r="I195" s="440"/>
    </row>
    <row r="196" customFormat="false" ht="12.75" hidden="false" customHeight="false" outlineLevel="0" collapsed="false">
      <c r="H196" s="440"/>
      <c r="I196" s="440"/>
    </row>
    <row r="197" customFormat="false" ht="12.75" hidden="false" customHeight="false" outlineLevel="0" collapsed="false">
      <c r="H197" s="440"/>
      <c r="I197" s="440"/>
    </row>
    <row r="198" customFormat="false" ht="12.75" hidden="false" customHeight="false" outlineLevel="0" collapsed="false">
      <c r="H198" s="440"/>
      <c r="I198" s="440"/>
    </row>
    <row r="199" customFormat="false" ht="12.75" hidden="false" customHeight="false" outlineLevel="0" collapsed="false">
      <c r="H199" s="440"/>
      <c r="I199" s="440"/>
    </row>
    <row r="200" customFormat="false" ht="12.75" hidden="false" customHeight="false" outlineLevel="0" collapsed="false">
      <c r="H200" s="440"/>
      <c r="I200" s="440"/>
    </row>
    <row r="201" customFormat="false" ht="12.75" hidden="false" customHeight="false" outlineLevel="0" collapsed="false">
      <c r="H201" s="440"/>
      <c r="I201" s="440"/>
    </row>
    <row r="202" customFormat="false" ht="12.75" hidden="false" customHeight="false" outlineLevel="0" collapsed="false">
      <c r="H202" s="440"/>
      <c r="I202" s="440"/>
    </row>
    <row r="203" customFormat="false" ht="12.75" hidden="false" customHeight="false" outlineLevel="0" collapsed="false">
      <c r="H203" s="440"/>
      <c r="I203" s="440"/>
    </row>
    <row r="204" customFormat="false" ht="12.75" hidden="false" customHeight="false" outlineLevel="0" collapsed="false">
      <c r="H204" s="440"/>
      <c r="I204" s="440"/>
    </row>
    <row r="205" customFormat="false" ht="12.75" hidden="false" customHeight="false" outlineLevel="0" collapsed="false">
      <c r="H205" s="440"/>
      <c r="I205" s="440"/>
    </row>
    <row r="206" customFormat="false" ht="12.75" hidden="false" customHeight="false" outlineLevel="0" collapsed="false">
      <c r="H206" s="440"/>
      <c r="I206" s="440"/>
    </row>
    <row r="207" customFormat="false" ht="12.75" hidden="false" customHeight="false" outlineLevel="0" collapsed="false">
      <c r="H207" s="440"/>
      <c r="I207" s="440"/>
    </row>
    <row r="208" customFormat="false" ht="12.75" hidden="false" customHeight="false" outlineLevel="0" collapsed="false">
      <c r="H208" s="440"/>
      <c r="I208" s="440"/>
    </row>
    <row r="209" customFormat="false" ht="12.75" hidden="false" customHeight="false" outlineLevel="0" collapsed="false">
      <c r="H209" s="440"/>
      <c r="I209" s="440"/>
    </row>
    <row r="210" customFormat="false" ht="12.75" hidden="false" customHeight="false" outlineLevel="0" collapsed="false">
      <c r="H210" s="440"/>
      <c r="I210" s="440"/>
    </row>
    <row r="211" customFormat="false" ht="12.75" hidden="false" customHeight="false" outlineLevel="0" collapsed="false">
      <c r="H211" s="440"/>
      <c r="I211" s="440"/>
    </row>
    <row r="212" customFormat="false" ht="12.75" hidden="false" customHeight="false" outlineLevel="0" collapsed="false">
      <c r="H212" s="440"/>
      <c r="I212" s="440"/>
    </row>
    <row r="213" customFormat="false" ht="12.75" hidden="false" customHeight="false" outlineLevel="0" collapsed="false">
      <c r="H213" s="440"/>
      <c r="I213" s="440"/>
    </row>
    <row r="214" customFormat="false" ht="12.75" hidden="false" customHeight="false" outlineLevel="0" collapsed="false">
      <c r="H214" s="440"/>
      <c r="I214" s="440"/>
    </row>
    <row r="215" customFormat="false" ht="12.75" hidden="false" customHeight="false" outlineLevel="0" collapsed="false">
      <c r="H215" s="440"/>
      <c r="I215" s="440"/>
    </row>
    <row r="216" customFormat="false" ht="12.75" hidden="false" customHeight="false" outlineLevel="0" collapsed="false">
      <c r="H216" s="440"/>
      <c r="I216" s="440"/>
    </row>
    <row r="217" customFormat="false" ht="12.75" hidden="false" customHeight="false" outlineLevel="0" collapsed="false">
      <c r="H217" s="440"/>
      <c r="I217" s="440"/>
    </row>
    <row r="218" customFormat="false" ht="12.75" hidden="false" customHeight="false" outlineLevel="0" collapsed="false">
      <c r="H218" s="440"/>
      <c r="I218" s="440"/>
    </row>
    <row r="219" customFormat="false" ht="12.75" hidden="false" customHeight="false" outlineLevel="0" collapsed="false">
      <c r="H219" s="440"/>
      <c r="I219" s="440"/>
    </row>
    <row r="220" customFormat="false" ht="12.75" hidden="false" customHeight="false" outlineLevel="0" collapsed="false">
      <c r="H220" s="440"/>
      <c r="I220" s="440"/>
    </row>
    <row r="221" customFormat="false" ht="12.75" hidden="false" customHeight="false" outlineLevel="0" collapsed="false">
      <c r="H221" s="440"/>
      <c r="I221" s="440"/>
    </row>
    <row r="222" customFormat="false" ht="12.75" hidden="false" customHeight="false" outlineLevel="0" collapsed="false">
      <c r="H222" s="440"/>
      <c r="I222" s="440"/>
    </row>
    <row r="223" customFormat="false" ht="12.75" hidden="false" customHeight="false" outlineLevel="0" collapsed="false">
      <c r="H223" s="440"/>
      <c r="I223" s="440"/>
    </row>
    <row r="224" customFormat="false" ht="12.75" hidden="false" customHeight="false" outlineLevel="0" collapsed="false">
      <c r="H224" s="440"/>
      <c r="I224" s="440"/>
    </row>
    <row r="225" customFormat="false" ht="12.75" hidden="false" customHeight="false" outlineLevel="0" collapsed="false">
      <c r="H225" s="440"/>
      <c r="I225" s="440"/>
    </row>
    <row r="226" customFormat="false" ht="12.75" hidden="false" customHeight="false" outlineLevel="0" collapsed="false">
      <c r="H226" s="440"/>
      <c r="I226" s="440"/>
    </row>
    <row r="227" customFormat="false" ht="12.75" hidden="false" customHeight="false" outlineLevel="0" collapsed="false">
      <c r="H227" s="440"/>
      <c r="I227" s="440"/>
    </row>
    <row r="228" customFormat="false" ht="12.75" hidden="false" customHeight="false" outlineLevel="0" collapsed="false">
      <c r="H228" s="440"/>
      <c r="I228" s="440"/>
    </row>
    <row r="229" customFormat="false" ht="12.75" hidden="false" customHeight="false" outlineLevel="0" collapsed="false">
      <c r="H229" s="440"/>
      <c r="I229" s="440"/>
    </row>
    <row r="230" customFormat="false" ht="12.75" hidden="false" customHeight="false" outlineLevel="0" collapsed="false">
      <c r="H230" s="440"/>
      <c r="I230" s="440"/>
    </row>
    <row r="231" customFormat="false" ht="12.75" hidden="false" customHeight="false" outlineLevel="0" collapsed="false">
      <c r="H231" s="440"/>
      <c r="I231" s="440"/>
    </row>
    <row r="232" customFormat="false" ht="12.75" hidden="false" customHeight="false" outlineLevel="0" collapsed="false">
      <c r="H232" s="440"/>
      <c r="I232" s="440"/>
    </row>
    <row r="233" customFormat="false" ht="12.75" hidden="false" customHeight="false" outlineLevel="0" collapsed="false">
      <c r="H233" s="440"/>
      <c r="I233" s="440"/>
    </row>
    <row r="234" customFormat="false" ht="12.75" hidden="false" customHeight="false" outlineLevel="0" collapsed="false">
      <c r="H234" s="440"/>
      <c r="I234" s="440"/>
    </row>
    <row r="235" customFormat="false" ht="12.75" hidden="false" customHeight="false" outlineLevel="0" collapsed="false">
      <c r="H235" s="440"/>
      <c r="I235" s="440"/>
    </row>
    <row r="236" customFormat="false" ht="12.75" hidden="false" customHeight="false" outlineLevel="0" collapsed="false">
      <c r="H236" s="440"/>
      <c r="I236" s="440"/>
    </row>
    <row r="237" customFormat="false" ht="12.75" hidden="false" customHeight="false" outlineLevel="0" collapsed="false">
      <c r="H237" s="440"/>
      <c r="I237" s="440"/>
    </row>
    <row r="238" customFormat="false" ht="12.75" hidden="false" customHeight="false" outlineLevel="0" collapsed="false">
      <c r="H238" s="440"/>
      <c r="I238" s="440"/>
    </row>
    <row r="239" customFormat="false" ht="12.75" hidden="false" customHeight="false" outlineLevel="0" collapsed="false">
      <c r="H239" s="440"/>
      <c r="I239" s="440"/>
    </row>
    <row r="240" customFormat="false" ht="12.75" hidden="false" customHeight="false" outlineLevel="0" collapsed="false">
      <c r="H240" s="440"/>
      <c r="I240" s="440"/>
    </row>
    <row r="241" customFormat="false" ht="12.75" hidden="false" customHeight="false" outlineLevel="0" collapsed="false">
      <c r="H241" s="440"/>
      <c r="I241" s="440"/>
    </row>
    <row r="242" customFormat="false" ht="12.75" hidden="false" customHeight="false" outlineLevel="0" collapsed="false">
      <c r="H242" s="440"/>
      <c r="I242" s="440"/>
    </row>
    <row r="243" customFormat="false" ht="12.75" hidden="false" customHeight="false" outlineLevel="0" collapsed="false">
      <c r="H243" s="440"/>
      <c r="I243" s="440"/>
    </row>
    <row r="244" customFormat="false" ht="12.75" hidden="false" customHeight="false" outlineLevel="0" collapsed="false">
      <c r="H244" s="440"/>
      <c r="I244" s="440"/>
    </row>
    <row r="245" customFormat="false" ht="12.75" hidden="false" customHeight="false" outlineLevel="0" collapsed="false">
      <c r="H245" s="440"/>
      <c r="I245" s="440"/>
    </row>
    <row r="246" customFormat="false" ht="12.75" hidden="false" customHeight="false" outlineLevel="0" collapsed="false">
      <c r="H246" s="440"/>
      <c r="I246" s="440"/>
    </row>
    <row r="247" customFormat="false" ht="12.75" hidden="false" customHeight="false" outlineLevel="0" collapsed="false">
      <c r="H247" s="440"/>
      <c r="I247" s="440"/>
    </row>
    <row r="248" customFormat="false" ht="12.75" hidden="false" customHeight="false" outlineLevel="0" collapsed="false">
      <c r="H248" s="440"/>
      <c r="I248" s="440"/>
    </row>
    <row r="249" customFormat="false" ht="12.75" hidden="false" customHeight="false" outlineLevel="0" collapsed="false">
      <c r="H249" s="440"/>
      <c r="I249" s="440"/>
    </row>
    <row r="250" customFormat="false" ht="12.75" hidden="false" customHeight="false" outlineLevel="0" collapsed="false">
      <c r="H250" s="440"/>
      <c r="I250" s="440"/>
    </row>
    <row r="251" customFormat="false" ht="12.75" hidden="false" customHeight="false" outlineLevel="0" collapsed="false">
      <c r="H251" s="440"/>
      <c r="I251" s="440"/>
    </row>
    <row r="252" customFormat="false" ht="12.75" hidden="false" customHeight="false" outlineLevel="0" collapsed="false">
      <c r="H252" s="440"/>
      <c r="I252" s="440"/>
    </row>
    <row r="253" customFormat="false" ht="12.75" hidden="false" customHeight="false" outlineLevel="0" collapsed="false">
      <c r="H253" s="440"/>
      <c r="I253" s="440"/>
    </row>
    <row r="254" customFormat="false" ht="12.75" hidden="false" customHeight="false" outlineLevel="0" collapsed="false">
      <c r="H254" s="440"/>
      <c r="I254" s="440"/>
    </row>
    <row r="255" customFormat="false" ht="12.75" hidden="false" customHeight="false" outlineLevel="0" collapsed="false">
      <c r="H255" s="440"/>
      <c r="I255" s="440"/>
    </row>
    <row r="256" customFormat="false" ht="12.75" hidden="false" customHeight="false" outlineLevel="0" collapsed="false">
      <c r="H256" s="440"/>
      <c r="I256" s="440"/>
    </row>
    <row r="257" customFormat="false" ht="12.75" hidden="false" customHeight="false" outlineLevel="0" collapsed="false">
      <c r="H257" s="440"/>
      <c r="I257" s="440"/>
    </row>
    <row r="258" customFormat="false" ht="12.75" hidden="false" customHeight="false" outlineLevel="0" collapsed="false">
      <c r="H258" s="440"/>
      <c r="I258" s="440"/>
    </row>
    <row r="259" customFormat="false" ht="12.75" hidden="false" customHeight="false" outlineLevel="0" collapsed="false">
      <c r="H259" s="440"/>
      <c r="I259" s="440"/>
    </row>
    <row r="260" customFormat="false" ht="12.75" hidden="false" customHeight="false" outlineLevel="0" collapsed="false">
      <c r="H260" s="440"/>
      <c r="I260" s="440"/>
    </row>
    <row r="261" customFormat="false" ht="12.75" hidden="false" customHeight="false" outlineLevel="0" collapsed="false">
      <c r="H261" s="440"/>
      <c r="I261" s="440"/>
    </row>
    <row r="262" customFormat="false" ht="12.75" hidden="false" customHeight="false" outlineLevel="0" collapsed="false">
      <c r="H262" s="440"/>
      <c r="I262" s="440"/>
    </row>
    <row r="263" customFormat="false" ht="12.75" hidden="false" customHeight="false" outlineLevel="0" collapsed="false">
      <c r="H263" s="440"/>
      <c r="I263" s="440"/>
    </row>
    <row r="264" customFormat="false" ht="12.75" hidden="false" customHeight="false" outlineLevel="0" collapsed="false">
      <c r="H264" s="440"/>
      <c r="I264" s="440"/>
    </row>
    <row r="265" customFormat="false" ht="12.75" hidden="false" customHeight="false" outlineLevel="0" collapsed="false">
      <c r="H265" s="440"/>
      <c r="I265" s="440"/>
    </row>
    <row r="266" customFormat="false" ht="12.75" hidden="false" customHeight="false" outlineLevel="0" collapsed="false">
      <c r="H266" s="440"/>
      <c r="I266" s="440"/>
    </row>
    <row r="267" customFormat="false" ht="12.75" hidden="false" customHeight="false" outlineLevel="0" collapsed="false">
      <c r="H267" s="440"/>
      <c r="I267" s="440"/>
    </row>
    <row r="268" customFormat="false" ht="12.75" hidden="false" customHeight="false" outlineLevel="0" collapsed="false">
      <c r="H268" s="440"/>
      <c r="I268" s="440"/>
    </row>
    <row r="269" customFormat="false" ht="12.75" hidden="false" customHeight="false" outlineLevel="0" collapsed="false">
      <c r="H269" s="440"/>
      <c r="I269" s="440"/>
    </row>
    <row r="270" customFormat="false" ht="12.75" hidden="false" customHeight="false" outlineLevel="0" collapsed="false">
      <c r="H270" s="440"/>
      <c r="I270" s="440"/>
    </row>
    <row r="271" customFormat="false" ht="12.75" hidden="false" customHeight="false" outlineLevel="0" collapsed="false">
      <c r="H271" s="440"/>
      <c r="I271" s="440"/>
    </row>
    <row r="272" customFormat="false" ht="12.75" hidden="false" customHeight="false" outlineLevel="0" collapsed="false">
      <c r="H272" s="440"/>
      <c r="I272" s="440"/>
    </row>
    <row r="273" customFormat="false" ht="12.75" hidden="false" customHeight="false" outlineLevel="0" collapsed="false">
      <c r="H273" s="440"/>
      <c r="I273" s="440"/>
    </row>
    <row r="274" customFormat="false" ht="12.75" hidden="false" customHeight="false" outlineLevel="0" collapsed="false">
      <c r="H274" s="440"/>
      <c r="I274" s="440"/>
    </row>
    <row r="275" customFormat="false" ht="12.75" hidden="false" customHeight="false" outlineLevel="0" collapsed="false">
      <c r="H275" s="440"/>
      <c r="I275" s="440"/>
    </row>
    <row r="276" customFormat="false" ht="12.75" hidden="false" customHeight="false" outlineLevel="0" collapsed="false">
      <c r="H276" s="440"/>
      <c r="I276" s="440"/>
    </row>
    <row r="277" customFormat="false" ht="12.75" hidden="false" customHeight="false" outlineLevel="0" collapsed="false">
      <c r="H277" s="440"/>
      <c r="I277" s="440"/>
    </row>
    <row r="278" customFormat="false" ht="12.75" hidden="false" customHeight="false" outlineLevel="0" collapsed="false">
      <c r="H278" s="440"/>
      <c r="I278" s="440"/>
    </row>
    <row r="279" customFormat="false" ht="12.75" hidden="false" customHeight="false" outlineLevel="0" collapsed="false">
      <c r="H279" s="440"/>
      <c r="I279" s="440"/>
    </row>
    <row r="280" customFormat="false" ht="12.75" hidden="false" customHeight="false" outlineLevel="0" collapsed="false">
      <c r="H280" s="440"/>
      <c r="I280" s="440"/>
    </row>
    <row r="281" customFormat="false" ht="12.75" hidden="false" customHeight="false" outlineLevel="0" collapsed="false">
      <c r="H281" s="440"/>
      <c r="I281" s="440"/>
    </row>
    <row r="282" customFormat="false" ht="12.75" hidden="false" customHeight="false" outlineLevel="0" collapsed="false">
      <c r="H282" s="440"/>
      <c r="I282" s="440"/>
    </row>
    <row r="283" customFormat="false" ht="12.75" hidden="false" customHeight="false" outlineLevel="0" collapsed="false">
      <c r="H283" s="440"/>
      <c r="I283" s="440"/>
    </row>
    <row r="284" customFormat="false" ht="12.75" hidden="false" customHeight="false" outlineLevel="0" collapsed="false">
      <c r="H284" s="440"/>
      <c r="I284" s="440"/>
    </row>
    <row r="285" customFormat="false" ht="12.75" hidden="false" customHeight="false" outlineLevel="0" collapsed="false">
      <c r="H285" s="440"/>
      <c r="I285" s="440"/>
    </row>
    <row r="286" customFormat="false" ht="12.75" hidden="false" customHeight="false" outlineLevel="0" collapsed="false">
      <c r="H286" s="440"/>
      <c r="I286" s="440"/>
    </row>
    <row r="287" customFormat="false" ht="12.75" hidden="false" customHeight="false" outlineLevel="0" collapsed="false">
      <c r="H287" s="440"/>
      <c r="I287" s="440"/>
    </row>
    <row r="288" customFormat="false" ht="12.75" hidden="false" customHeight="false" outlineLevel="0" collapsed="false">
      <c r="H288" s="440"/>
      <c r="I288" s="440"/>
    </row>
    <row r="289" customFormat="false" ht="12.75" hidden="false" customHeight="false" outlineLevel="0" collapsed="false">
      <c r="H289" s="440"/>
      <c r="I289" s="440"/>
    </row>
    <row r="290" customFormat="false" ht="12.75" hidden="false" customHeight="false" outlineLevel="0" collapsed="false">
      <c r="H290" s="440"/>
      <c r="I290" s="440"/>
    </row>
    <row r="291" customFormat="false" ht="12.75" hidden="false" customHeight="false" outlineLevel="0" collapsed="false">
      <c r="H291" s="440"/>
      <c r="I291" s="440"/>
    </row>
    <row r="292" customFormat="false" ht="12.75" hidden="false" customHeight="false" outlineLevel="0" collapsed="false">
      <c r="H292" s="440"/>
      <c r="I292" s="440"/>
    </row>
    <row r="293" customFormat="false" ht="12.75" hidden="false" customHeight="false" outlineLevel="0" collapsed="false">
      <c r="H293" s="440"/>
      <c r="I293" s="440"/>
    </row>
    <row r="294" customFormat="false" ht="12.75" hidden="false" customHeight="false" outlineLevel="0" collapsed="false">
      <c r="H294" s="440"/>
      <c r="I294" s="440"/>
    </row>
    <row r="295" customFormat="false" ht="12.75" hidden="false" customHeight="false" outlineLevel="0" collapsed="false">
      <c r="H295" s="440"/>
      <c r="I295" s="440"/>
    </row>
    <row r="296" customFormat="false" ht="12.75" hidden="false" customHeight="false" outlineLevel="0" collapsed="false">
      <c r="H296" s="440"/>
      <c r="I296" s="440"/>
    </row>
    <row r="297" customFormat="false" ht="12.75" hidden="false" customHeight="false" outlineLevel="0" collapsed="false">
      <c r="H297" s="440"/>
      <c r="I297" s="440"/>
    </row>
    <row r="298" customFormat="false" ht="12.75" hidden="false" customHeight="false" outlineLevel="0" collapsed="false">
      <c r="H298" s="440"/>
      <c r="I298" s="440"/>
    </row>
    <row r="299" customFormat="false" ht="12.75" hidden="false" customHeight="false" outlineLevel="0" collapsed="false">
      <c r="H299" s="440"/>
      <c r="I299" s="440"/>
    </row>
    <row r="300" customFormat="false" ht="12.75" hidden="false" customHeight="false" outlineLevel="0" collapsed="false">
      <c r="H300" s="440"/>
      <c r="I300" s="440"/>
    </row>
    <row r="301" customFormat="false" ht="12.75" hidden="false" customHeight="false" outlineLevel="0" collapsed="false">
      <c r="H301" s="440"/>
      <c r="I301" s="440"/>
    </row>
    <row r="302" customFormat="false" ht="12.75" hidden="false" customHeight="false" outlineLevel="0" collapsed="false">
      <c r="H302" s="440"/>
      <c r="I302" s="440"/>
    </row>
    <row r="303" customFormat="false" ht="12.75" hidden="false" customHeight="false" outlineLevel="0" collapsed="false">
      <c r="H303" s="440"/>
      <c r="I303" s="440"/>
    </row>
    <row r="304" customFormat="false" ht="12.75" hidden="false" customHeight="false" outlineLevel="0" collapsed="false">
      <c r="H304" s="440"/>
      <c r="I304" s="440"/>
    </row>
    <row r="305" customFormat="false" ht="12.75" hidden="false" customHeight="false" outlineLevel="0" collapsed="false">
      <c r="H305" s="440"/>
      <c r="I305" s="440"/>
    </row>
    <row r="306" customFormat="false" ht="12.75" hidden="false" customHeight="false" outlineLevel="0" collapsed="false">
      <c r="H306" s="440"/>
      <c r="I306" s="440"/>
    </row>
    <row r="307" customFormat="false" ht="12.75" hidden="false" customHeight="false" outlineLevel="0" collapsed="false">
      <c r="H307" s="440"/>
      <c r="I307" s="440"/>
    </row>
    <row r="308" customFormat="false" ht="12.75" hidden="false" customHeight="false" outlineLevel="0" collapsed="false">
      <c r="H308" s="440"/>
      <c r="I308" s="440"/>
    </row>
    <row r="309" customFormat="false" ht="12.75" hidden="false" customHeight="false" outlineLevel="0" collapsed="false">
      <c r="H309" s="440"/>
      <c r="I309" s="440"/>
    </row>
    <row r="310" customFormat="false" ht="12.75" hidden="false" customHeight="false" outlineLevel="0" collapsed="false">
      <c r="H310" s="440"/>
      <c r="I310" s="440"/>
    </row>
    <row r="311" customFormat="false" ht="12.75" hidden="false" customHeight="false" outlineLevel="0" collapsed="false">
      <c r="H311" s="440"/>
      <c r="I311" s="440"/>
    </row>
    <row r="312" customFormat="false" ht="12.75" hidden="false" customHeight="false" outlineLevel="0" collapsed="false">
      <c r="H312" s="440"/>
      <c r="I312" s="440"/>
    </row>
    <row r="313" customFormat="false" ht="12.75" hidden="false" customHeight="false" outlineLevel="0" collapsed="false">
      <c r="H313" s="440"/>
      <c r="I313" s="440"/>
    </row>
    <row r="314" customFormat="false" ht="12.75" hidden="false" customHeight="false" outlineLevel="0" collapsed="false">
      <c r="H314" s="440"/>
      <c r="I314" s="440"/>
    </row>
    <row r="315" customFormat="false" ht="12.75" hidden="false" customHeight="false" outlineLevel="0" collapsed="false">
      <c r="H315" s="440"/>
      <c r="I315" s="440"/>
    </row>
    <row r="316" customFormat="false" ht="12.75" hidden="false" customHeight="false" outlineLevel="0" collapsed="false">
      <c r="H316" s="440"/>
      <c r="I316" s="440"/>
    </row>
    <row r="317" customFormat="false" ht="12.75" hidden="false" customHeight="false" outlineLevel="0" collapsed="false">
      <c r="H317" s="440"/>
      <c r="I317" s="440"/>
    </row>
    <row r="318" customFormat="false" ht="12.75" hidden="false" customHeight="false" outlineLevel="0" collapsed="false">
      <c r="H318" s="440"/>
      <c r="I318" s="440"/>
    </row>
    <row r="319" customFormat="false" ht="12.75" hidden="false" customHeight="false" outlineLevel="0" collapsed="false">
      <c r="H319" s="440"/>
      <c r="I319" s="440"/>
    </row>
    <row r="320" customFormat="false" ht="12.75" hidden="false" customHeight="false" outlineLevel="0" collapsed="false">
      <c r="H320" s="440"/>
      <c r="I320" s="440"/>
    </row>
    <row r="321" customFormat="false" ht="12.75" hidden="false" customHeight="false" outlineLevel="0" collapsed="false">
      <c r="H321" s="440"/>
      <c r="I321" s="440"/>
    </row>
    <row r="322" customFormat="false" ht="12.75" hidden="false" customHeight="false" outlineLevel="0" collapsed="false">
      <c r="H322" s="440"/>
      <c r="I322" s="440"/>
    </row>
    <row r="323" customFormat="false" ht="12.75" hidden="false" customHeight="false" outlineLevel="0" collapsed="false">
      <c r="H323" s="440"/>
      <c r="I323" s="440"/>
    </row>
    <row r="324" customFormat="false" ht="12.75" hidden="false" customHeight="false" outlineLevel="0" collapsed="false">
      <c r="H324" s="440"/>
      <c r="I324" s="440"/>
    </row>
    <row r="325" customFormat="false" ht="12.75" hidden="false" customHeight="false" outlineLevel="0" collapsed="false">
      <c r="H325" s="440"/>
      <c r="I325" s="440"/>
    </row>
    <row r="326" customFormat="false" ht="12.75" hidden="false" customHeight="false" outlineLevel="0" collapsed="false">
      <c r="H326" s="440"/>
      <c r="I326" s="440"/>
    </row>
    <row r="327" customFormat="false" ht="12.75" hidden="false" customHeight="false" outlineLevel="0" collapsed="false">
      <c r="H327" s="440"/>
      <c r="I327" s="440"/>
    </row>
    <row r="328" customFormat="false" ht="12.75" hidden="false" customHeight="false" outlineLevel="0" collapsed="false">
      <c r="H328" s="440"/>
      <c r="I328" s="440"/>
    </row>
    <row r="329" customFormat="false" ht="12.75" hidden="false" customHeight="false" outlineLevel="0" collapsed="false">
      <c r="H329" s="440"/>
      <c r="I329" s="440"/>
    </row>
    <row r="330" customFormat="false" ht="12.75" hidden="false" customHeight="false" outlineLevel="0" collapsed="false">
      <c r="H330" s="440"/>
      <c r="I330" s="440"/>
    </row>
    <row r="331" customFormat="false" ht="12.75" hidden="false" customHeight="false" outlineLevel="0" collapsed="false">
      <c r="H331" s="440"/>
      <c r="I331" s="440"/>
    </row>
    <row r="332" customFormat="false" ht="12.75" hidden="false" customHeight="false" outlineLevel="0" collapsed="false">
      <c r="H332" s="440"/>
      <c r="I332" s="440"/>
    </row>
    <row r="333" customFormat="false" ht="12.75" hidden="false" customHeight="false" outlineLevel="0" collapsed="false">
      <c r="H333" s="440"/>
      <c r="I333" s="440"/>
    </row>
    <row r="334" customFormat="false" ht="12.75" hidden="false" customHeight="false" outlineLevel="0" collapsed="false">
      <c r="H334" s="440"/>
      <c r="I334" s="440"/>
    </row>
    <row r="335" customFormat="false" ht="12.75" hidden="false" customHeight="false" outlineLevel="0" collapsed="false">
      <c r="H335" s="440"/>
      <c r="I335" s="440"/>
    </row>
    <row r="336" customFormat="false" ht="12.75" hidden="false" customHeight="false" outlineLevel="0" collapsed="false">
      <c r="H336" s="440"/>
      <c r="I336" s="440"/>
    </row>
    <row r="337" customFormat="false" ht="12.75" hidden="false" customHeight="false" outlineLevel="0" collapsed="false">
      <c r="H337" s="440"/>
      <c r="I337" s="440"/>
    </row>
    <row r="338" customFormat="false" ht="12.75" hidden="false" customHeight="false" outlineLevel="0" collapsed="false">
      <c r="H338" s="440"/>
      <c r="I338" s="440"/>
    </row>
    <row r="339" customFormat="false" ht="12.75" hidden="false" customHeight="false" outlineLevel="0" collapsed="false">
      <c r="H339" s="440"/>
      <c r="I339" s="440"/>
    </row>
    <row r="340" customFormat="false" ht="12.75" hidden="false" customHeight="false" outlineLevel="0" collapsed="false">
      <c r="H340" s="440"/>
      <c r="I340" s="440"/>
    </row>
    <row r="341" customFormat="false" ht="12.75" hidden="false" customHeight="false" outlineLevel="0" collapsed="false">
      <c r="H341" s="440"/>
      <c r="I341" s="440"/>
    </row>
    <row r="342" customFormat="false" ht="12.75" hidden="false" customHeight="false" outlineLevel="0" collapsed="false">
      <c r="H342" s="440"/>
      <c r="I342" s="440"/>
    </row>
    <row r="343" customFormat="false" ht="12.75" hidden="false" customHeight="false" outlineLevel="0" collapsed="false">
      <c r="H343" s="440"/>
      <c r="I343" s="440"/>
    </row>
    <row r="344" customFormat="false" ht="12.75" hidden="false" customHeight="false" outlineLevel="0" collapsed="false">
      <c r="H344" s="440"/>
      <c r="I344" s="440"/>
    </row>
    <row r="345" customFormat="false" ht="12.75" hidden="false" customHeight="false" outlineLevel="0" collapsed="false">
      <c r="H345" s="440"/>
      <c r="I345" s="440"/>
    </row>
    <row r="346" customFormat="false" ht="12.75" hidden="false" customHeight="false" outlineLevel="0" collapsed="false">
      <c r="H346" s="440"/>
      <c r="I346" s="440"/>
    </row>
    <row r="347" customFormat="false" ht="12.75" hidden="false" customHeight="false" outlineLevel="0" collapsed="false">
      <c r="H347" s="440"/>
      <c r="I347" s="440"/>
    </row>
    <row r="348" customFormat="false" ht="12.75" hidden="false" customHeight="false" outlineLevel="0" collapsed="false">
      <c r="H348" s="440"/>
      <c r="I348" s="440"/>
    </row>
    <row r="349" customFormat="false" ht="12.75" hidden="false" customHeight="false" outlineLevel="0" collapsed="false">
      <c r="H349" s="440"/>
      <c r="I349" s="440"/>
    </row>
    <row r="350" customFormat="false" ht="12.75" hidden="false" customHeight="false" outlineLevel="0" collapsed="false">
      <c r="H350" s="440"/>
      <c r="I350" s="440"/>
    </row>
    <row r="351" customFormat="false" ht="12.75" hidden="false" customHeight="false" outlineLevel="0" collapsed="false">
      <c r="H351" s="440"/>
      <c r="I351" s="440"/>
    </row>
    <row r="352" customFormat="false" ht="12.75" hidden="false" customHeight="false" outlineLevel="0" collapsed="false">
      <c r="H352" s="440"/>
      <c r="I352" s="440"/>
    </row>
    <row r="353" customFormat="false" ht="12.75" hidden="false" customHeight="false" outlineLevel="0" collapsed="false">
      <c r="H353" s="440"/>
      <c r="I353" s="440"/>
    </row>
    <row r="354" customFormat="false" ht="12.75" hidden="false" customHeight="false" outlineLevel="0" collapsed="false">
      <c r="H354" s="440"/>
      <c r="I354" s="440"/>
    </row>
    <row r="355" customFormat="false" ht="12.75" hidden="false" customHeight="false" outlineLevel="0" collapsed="false">
      <c r="H355" s="440"/>
      <c r="I355" s="440"/>
    </row>
    <row r="356" customFormat="false" ht="12.75" hidden="false" customHeight="false" outlineLevel="0" collapsed="false">
      <c r="H356" s="440"/>
      <c r="I356" s="440"/>
    </row>
    <row r="357" customFormat="false" ht="12.75" hidden="false" customHeight="false" outlineLevel="0" collapsed="false">
      <c r="H357" s="440"/>
      <c r="I357" s="440"/>
    </row>
    <row r="358" customFormat="false" ht="12.75" hidden="false" customHeight="false" outlineLevel="0" collapsed="false">
      <c r="H358" s="440"/>
      <c r="I358" s="440"/>
    </row>
    <row r="359" customFormat="false" ht="12.75" hidden="false" customHeight="false" outlineLevel="0" collapsed="false">
      <c r="H359" s="440"/>
      <c r="I359" s="440"/>
    </row>
    <row r="360" customFormat="false" ht="12.75" hidden="false" customHeight="false" outlineLevel="0" collapsed="false">
      <c r="H360" s="440"/>
      <c r="I360" s="440"/>
    </row>
    <row r="361" customFormat="false" ht="12.75" hidden="false" customHeight="false" outlineLevel="0" collapsed="false">
      <c r="H361" s="440"/>
      <c r="I361" s="440"/>
    </row>
    <row r="362" customFormat="false" ht="12.75" hidden="false" customHeight="false" outlineLevel="0" collapsed="false">
      <c r="H362" s="440"/>
      <c r="I362" s="440"/>
    </row>
    <row r="363" customFormat="false" ht="12.75" hidden="false" customHeight="false" outlineLevel="0" collapsed="false">
      <c r="H363" s="440"/>
      <c r="I363" s="440"/>
    </row>
    <row r="364" customFormat="false" ht="12.75" hidden="false" customHeight="false" outlineLevel="0" collapsed="false">
      <c r="H364" s="440"/>
      <c r="I364" s="440"/>
    </row>
    <row r="365" customFormat="false" ht="12.75" hidden="false" customHeight="false" outlineLevel="0" collapsed="false">
      <c r="H365" s="440"/>
      <c r="I365" s="440"/>
    </row>
    <row r="366" customFormat="false" ht="12.75" hidden="false" customHeight="false" outlineLevel="0" collapsed="false">
      <c r="H366" s="440"/>
      <c r="I366" s="440"/>
    </row>
    <row r="367" customFormat="false" ht="12.75" hidden="false" customHeight="false" outlineLevel="0" collapsed="false">
      <c r="H367" s="440"/>
      <c r="I367" s="440"/>
    </row>
    <row r="368" customFormat="false" ht="12.75" hidden="false" customHeight="false" outlineLevel="0" collapsed="false">
      <c r="H368" s="440"/>
      <c r="I368" s="440"/>
    </row>
    <row r="369" customFormat="false" ht="12.75" hidden="false" customHeight="false" outlineLevel="0" collapsed="false">
      <c r="H369" s="440"/>
      <c r="I369" s="440"/>
    </row>
    <row r="370" customFormat="false" ht="12.75" hidden="false" customHeight="false" outlineLevel="0" collapsed="false">
      <c r="H370" s="440"/>
      <c r="I370" s="440"/>
    </row>
    <row r="371" customFormat="false" ht="12.75" hidden="false" customHeight="false" outlineLevel="0" collapsed="false">
      <c r="H371" s="440"/>
      <c r="I371" s="440"/>
    </row>
    <row r="372" customFormat="false" ht="12.75" hidden="false" customHeight="false" outlineLevel="0" collapsed="false">
      <c r="H372" s="440"/>
      <c r="I372" s="440"/>
    </row>
    <row r="373" customFormat="false" ht="12.75" hidden="false" customHeight="false" outlineLevel="0" collapsed="false">
      <c r="H373" s="440"/>
      <c r="I373" s="440"/>
    </row>
    <row r="374" customFormat="false" ht="12.75" hidden="false" customHeight="false" outlineLevel="0" collapsed="false">
      <c r="H374" s="440"/>
      <c r="I374" s="440"/>
    </row>
    <row r="375" customFormat="false" ht="12.75" hidden="false" customHeight="false" outlineLevel="0" collapsed="false">
      <c r="H375" s="440"/>
      <c r="I375" s="440"/>
    </row>
    <row r="376" customFormat="false" ht="12.75" hidden="false" customHeight="false" outlineLevel="0" collapsed="false">
      <c r="H376" s="440"/>
      <c r="I376" s="440"/>
    </row>
    <row r="377" customFormat="false" ht="12.75" hidden="false" customHeight="false" outlineLevel="0" collapsed="false">
      <c r="H377" s="440"/>
      <c r="I377" s="440"/>
    </row>
    <row r="378" customFormat="false" ht="12.75" hidden="false" customHeight="false" outlineLevel="0" collapsed="false">
      <c r="H378" s="440"/>
      <c r="I378" s="440"/>
    </row>
    <row r="379" customFormat="false" ht="12.75" hidden="false" customHeight="false" outlineLevel="0" collapsed="false">
      <c r="H379" s="440"/>
      <c r="I379" s="440"/>
    </row>
    <row r="380" customFormat="false" ht="12.75" hidden="false" customHeight="false" outlineLevel="0" collapsed="false">
      <c r="H380" s="440"/>
      <c r="I380" s="440"/>
    </row>
    <row r="381" customFormat="false" ht="12.75" hidden="false" customHeight="false" outlineLevel="0" collapsed="false">
      <c r="H381" s="440"/>
      <c r="I381" s="440"/>
    </row>
    <row r="382" customFormat="false" ht="12.75" hidden="false" customHeight="false" outlineLevel="0" collapsed="false">
      <c r="H382" s="440"/>
      <c r="I382" s="440"/>
    </row>
    <row r="383" customFormat="false" ht="12.75" hidden="false" customHeight="false" outlineLevel="0" collapsed="false">
      <c r="H383" s="440"/>
      <c r="I383" s="440"/>
    </row>
    <row r="384" customFormat="false" ht="12.75" hidden="false" customHeight="false" outlineLevel="0" collapsed="false">
      <c r="H384" s="440"/>
      <c r="I384" s="440"/>
    </row>
    <row r="385" customFormat="false" ht="12.75" hidden="false" customHeight="false" outlineLevel="0" collapsed="false">
      <c r="H385" s="440"/>
      <c r="I385" s="440"/>
    </row>
    <row r="386" customFormat="false" ht="12.75" hidden="false" customHeight="false" outlineLevel="0" collapsed="false">
      <c r="H386" s="440"/>
      <c r="I386" s="440"/>
    </row>
    <row r="387" customFormat="false" ht="12.75" hidden="false" customHeight="false" outlineLevel="0" collapsed="false">
      <c r="H387" s="440"/>
      <c r="I387" s="440"/>
    </row>
    <row r="388" customFormat="false" ht="12.75" hidden="false" customHeight="false" outlineLevel="0" collapsed="false">
      <c r="H388" s="440"/>
      <c r="I388" s="440"/>
    </row>
    <row r="389" customFormat="false" ht="12.75" hidden="false" customHeight="false" outlineLevel="0" collapsed="false">
      <c r="H389" s="440"/>
      <c r="I389" s="440"/>
    </row>
    <row r="390" customFormat="false" ht="12.75" hidden="false" customHeight="false" outlineLevel="0" collapsed="false">
      <c r="H390" s="440"/>
      <c r="I390" s="440"/>
    </row>
    <row r="391" customFormat="false" ht="12.75" hidden="false" customHeight="false" outlineLevel="0" collapsed="false">
      <c r="H391" s="440"/>
      <c r="I391" s="440"/>
    </row>
    <row r="392" customFormat="false" ht="12.75" hidden="false" customHeight="false" outlineLevel="0" collapsed="false">
      <c r="H392" s="440"/>
      <c r="I392" s="440"/>
    </row>
    <row r="393" customFormat="false" ht="12.75" hidden="false" customHeight="false" outlineLevel="0" collapsed="false">
      <c r="H393" s="440"/>
      <c r="I393" s="440"/>
    </row>
    <row r="394" customFormat="false" ht="12.75" hidden="false" customHeight="false" outlineLevel="0" collapsed="false">
      <c r="H394" s="440"/>
      <c r="I394" s="440"/>
    </row>
    <row r="395" customFormat="false" ht="12.75" hidden="false" customHeight="false" outlineLevel="0" collapsed="false">
      <c r="H395" s="440"/>
      <c r="I395" s="440"/>
    </row>
    <row r="396" customFormat="false" ht="12.75" hidden="false" customHeight="false" outlineLevel="0" collapsed="false">
      <c r="H396" s="440"/>
      <c r="I396" s="440"/>
    </row>
    <row r="397" customFormat="false" ht="12.75" hidden="false" customHeight="false" outlineLevel="0" collapsed="false">
      <c r="H397" s="440"/>
      <c r="I397" s="440"/>
    </row>
    <row r="398" customFormat="false" ht="12.75" hidden="false" customHeight="false" outlineLevel="0" collapsed="false">
      <c r="H398" s="440"/>
      <c r="I398" s="440"/>
    </row>
    <row r="399" customFormat="false" ht="12.75" hidden="false" customHeight="false" outlineLevel="0" collapsed="false">
      <c r="H399" s="440"/>
      <c r="I399" s="440"/>
    </row>
    <row r="400" customFormat="false" ht="12.75" hidden="false" customHeight="false" outlineLevel="0" collapsed="false">
      <c r="H400" s="440"/>
      <c r="I400" s="440"/>
    </row>
    <row r="401" customFormat="false" ht="12.75" hidden="false" customHeight="false" outlineLevel="0" collapsed="false">
      <c r="H401" s="440"/>
      <c r="I401" s="440"/>
    </row>
    <row r="402" customFormat="false" ht="12.75" hidden="false" customHeight="false" outlineLevel="0" collapsed="false">
      <c r="H402" s="440"/>
      <c r="I402" s="440"/>
    </row>
    <row r="403" customFormat="false" ht="12.75" hidden="false" customHeight="false" outlineLevel="0" collapsed="false">
      <c r="H403" s="440"/>
      <c r="I403" s="440"/>
    </row>
    <row r="404" customFormat="false" ht="12.75" hidden="false" customHeight="false" outlineLevel="0" collapsed="false">
      <c r="H404" s="440"/>
      <c r="I404" s="440"/>
    </row>
    <row r="405" customFormat="false" ht="12.75" hidden="false" customHeight="false" outlineLevel="0" collapsed="false">
      <c r="H405" s="440"/>
      <c r="I405" s="440"/>
    </row>
    <row r="406" customFormat="false" ht="12.75" hidden="false" customHeight="false" outlineLevel="0" collapsed="false">
      <c r="H406" s="440"/>
      <c r="I406" s="440"/>
    </row>
    <row r="407" customFormat="false" ht="12.75" hidden="false" customHeight="false" outlineLevel="0" collapsed="false">
      <c r="H407" s="440"/>
      <c r="I407" s="440"/>
    </row>
    <row r="408" customFormat="false" ht="12.75" hidden="false" customHeight="false" outlineLevel="0" collapsed="false">
      <c r="H408" s="440"/>
      <c r="I408" s="440"/>
    </row>
    <row r="409" customFormat="false" ht="12.75" hidden="false" customHeight="false" outlineLevel="0" collapsed="false">
      <c r="H409" s="440"/>
      <c r="I409" s="440"/>
    </row>
    <row r="410" customFormat="false" ht="12.75" hidden="false" customHeight="false" outlineLevel="0" collapsed="false">
      <c r="H410" s="440"/>
      <c r="I410" s="440"/>
    </row>
    <row r="411" customFormat="false" ht="12.75" hidden="false" customHeight="false" outlineLevel="0" collapsed="false">
      <c r="H411" s="440"/>
      <c r="I411" s="440"/>
    </row>
    <row r="412" customFormat="false" ht="12.75" hidden="false" customHeight="false" outlineLevel="0" collapsed="false">
      <c r="H412" s="440"/>
      <c r="I412" s="440"/>
    </row>
    <row r="413" customFormat="false" ht="12.75" hidden="false" customHeight="false" outlineLevel="0" collapsed="false">
      <c r="H413" s="440"/>
      <c r="I413" s="440"/>
    </row>
    <row r="414" customFormat="false" ht="12.75" hidden="false" customHeight="false" outlineLevel="0" collapsed="false">
      <c r="H414" s="440"/>
      <c r="I414" s="440"/>
    </row>
    <row r="415" customFormat="false" ht="12.75" hidden="false" customHeight="false" outlineLevel="0" collapsed="false">
      <c r="H415" s="440"/>
      <c r="I415" s="440"/>
    </row>
    <row r="416" customFormat="false" ht="12.75" hidden="false" customHeight="false" outlineLevel="0" collapsed="false">
      <c r="H416" s="440"/>
      <c r="I416" s="440"/>
    </row>
    <row r="417" customFormat="false" ht="12.75" hidden="false" customHeight="false" outlineLevel="0" collapsed="false">
      <c r="H417" s="440"/>
      <c r="I417" s="440"/>
    </row>
    <row r="418" customFormat="false" ht="12.75" hidden="false" customHeight="false" outlineLevel="0" collapsed="false">
      <c r="H418" s="440"/>
      <c r="I418" s="440"/>
    </row>
    <row r="419" customFormat="false" ht="12.75" hidden="false" customHeight="false" outlineLevel="0" collapsed="false">
      <c r="H419" s="440"/>
      <c r="I419" s="440"/>
    </row>
    <row r="420" customFormat="false" ht="12.75" hidden="false" customHeight="false" outlineLevel="0" collapsed="false">
      <c r="H420" s="440"/>
      <c r="I420" s="440"/>
    </row>
    <row r="421" customFormat="false" ht="12.75" hidden="false" customHeight="false" outlineLevel="0" collapsed="false">
      <c r="H421" s="440"/>
      <c r="I421" s="440"/>
    </row>
    <row r="422" customFormat="false" ht="12.75" hidden="false" customHeight="false" outlineLevel="0" collapsed="false">
      <c r="H422" s="440"/>
      <c r="I422" s="440"/>
    </row>
    <row r="423" customFormat="false" ht="12.75" hidden="false" customHeight="false" outlineLevel="0" collapsed="false">
      <c r="H423" s="440"/>
      <c r="I423" s="440"/>
    </row>
    <row r="424" customFormat="false" ht="12.75" hidden="false" customHeight="false" outlineLevel="0" collapsed="false">
      <c r="H424" s="440"/>
      <c r="I424" s="440"/>
    </row>
    <row r="425" customFormat="false" ht="12.75" hidden="false" customHeight="false" outlineLevel="0" collapsed="false">
      <c r="H425" s="440"/>
      <c r="I425" s="440"/>
    </row>
    <row r="426" customFormat="false" ht="12.75" hidden="false" customHeight="false" outlineLevel="0" collapsed="false">
      <c r="H426" s="440"/>
      <c r="I426" s="440"/>
    </row>
    <row r="427" customFormat="false" ht="12.75" hidden="false" customHeight="false" outlineLevel="0" collapsed="false">
      <c r="H427" s="440"/>
      <c r="I427" s="440"/>
    </row>
    <row r="428" customFormat="false" ht="12.75" hidden="false" customHeight="false" outlineLevel="0" collapsed="false">
      <c r="H428" s="440"/>
      <c r="I428" s="440"/>
    </row>
    <row r="429" customFormat="false" ht="12.75" hidden="false" customHeight="false" outlineLevel="0" collapsed="false">
      <c r="H429" s="440"/>
      <c r="I429" s="440"/>
    </row>
    <row r="430" customFormat="false" ht="12.75" hidden="false" customHeight="false" outlineLevel="0" collapsed="false">
      <c r="H430" s="440"/>
      <c r="I430" s="440"/>
    </row>
    <row r="431" customFormat="false" ht="12.75" hidden="false" customHeight="false" outlineLevel="0" collapsed="false">
      <c r="H431" s="440"/>
      <c r="I431" s="440"/>
    </row>
    <row r="432" customFormat="false" ht="12.75" hidden="false" customHeight="false" outlineLevel="0" collapsed="false">
      <c r="H432" s="440"/>
      <c r="I432" s="440"/>
    </row>
    <row r="433" customFormat="false" ht="12.75" hidden="false" customHeight="false" outlineLevel="0" collapsed="false">
      <c r="H433" s="440"/>
      <c r="I433" s="440"/>
    </row>
    <row r="434" customFormat="false" ht="12.75" hidden="false" customHeight="false" outlineLevel="0" collapsed="false">
      <c r="H434" s="440"/>
      <c r="I434" s="440"/>
    </row>
    <row r="435" customFormat="false" ht="12.75" hidden="false" customHeight="false" outlineLevel="0" collapsed="false">
      <c r="H435" s="440"/>
      <c r="I435" s="440"/>
    </row>
    <row r="436" customFormat="false" ht="12.75" hidden="false" customHeight="false" outlineLevel="0" collapsed="false">
      <c r="H436" s="440"/>
      <c r="I436" s="440"/>
    </row>
    <row r="437" customFormat="false" ht="12.75" hidden="false" customHeight="false" outlineLevel="0" collapsed="false">
      <c r="H437" s="440"/>
      <c r="I437" s="440"/>
    </row>
    <row r="438" customFormat="false" ht="12.75" hidden="false" customHeight="false" outlineLevel="0" collapsed="false">
      <c r="H438" s="440"/>
      <c r="I438" s="440"/>
    </row>
    <row r="439" customFormat="false" ht="12.75" hidden="false" customHeight="false" outlineLevel="0" collapsed="false">
      <c r="H439" s="440"/>
      <c r="I439" s="440"/>
    </row>
    <row r="440" customFormat="false" ht="12.75" hidden="false" customHeight="false" outlineLevel="0" collapsed="false">
      <c r="H440" s="440"/>
      <c r="I440" s="440"/>
    </row>
    <row r="441" customFormat="false" ht="12.75" hidden="false" customHeight="false" outlineLevel="0" collapsed="false">
      <c r="H441" s="440"/>
      <c r="I441" s="440"/>
    </row>
    <row r="442" customFormat="false" ht="12.75" hidden="false" customHeight="false" outlineLevel="0" collapsed="false">
      <c r="H442" s="440"/>
      <c r="I442" s="440"/>
    </row>
    <row r="443" customFormat="false" ht="12.75" hidden="false" customHeight="false" outlineLevel="0" collapsed="false">
      <c r="H443" s="440"/>
      <c r="I443" s="440"/>
    </row>
    <row r="444" customFormat="false" ht="12.75" hidden="false" customHeight="false" outlineLevel="0" collapsed="false">
      <c r="H444" s="440"/>
      <c r="I444" s="440"/>
    </row>
    <row r="445" customFormat="false" ht="12.75" hidden="false" customHeight="false" outlineLevel="0" collapsed="false">
      <c r="H445" s="440"/>
      <c r="I445" s="440"/>
    </row>
    <row r="446" customFormat="false" ht="12.75" hidden="false" customHeight="false" outlineLevel="0" collapsed="false">
      <c r="H446" s="440"/>
      <c r="I446" s="440"/>
    </row>
    <row r="447" customFormat="false" ht="12.75" hidden="false" customHeight="false" outlineLevel="0" collapsed="false">
      <c r="H447" s="440"/>
      <c r="I447" s="440"/>
    </row>
    <row r="448" customFormat="false" ht="12.75" hidden="false" customHeight="false" outlineLevel="0" collapsed="false">
      <c r="H448" s="440"/>
      <c r="I448" s="440"/>
    </row>
    <row r="449" customFormat="false" ht="12.75" hidden="false" customHeight="false" outlineLevel="0" collapsed="false">
      <c r="H449" s="440"/>
      <c r="I449" s="440"/>
    </row>
    <row r="450" customFormat="false" ht="12.75" hidden="false" customHeight="false" outlineLevel="0" collapsed="false">
      <c r="H450" s="440"/>
      <c r="I450" s="440"/>
    </row>
    <row r="451" customFormat="false" ht="12.75" hidden="false" customHeight="false" outlineLevel="0" collapsed="false">
      <c r="H451" s="440"/>
      <c r="I451" s="440"/>
    </row>
    <row r="452" customFormat="false" ht="12.75" hidden="false" customHeight="false" outlineLevel="0" collapsed="false">
      <c r="H452" s="440"/>
      <c r="I452" s="440"/>
    </row>
    <row r="453" customFormat="false" ht="12.75" hidden="false" customHeight="false" outlineLevel="0" collapsed="false">
      <c r="H453" s="440"/>
      <c r="I453" s="440"/>
    </row>
    <row r="454" customFormat="false" ht="12.75" hidden="false" customHeight="false" outlineLevel="0" collapsed="false">
      <c r="H454" s="440"/>
      <c r="I454" s="440"/>
    </row>
    <row r="455" customFormat="false" ht="12.75" hidden="false" customHeight="false" outlineLevel="0" collapsed="false">
      <c r="H455" s="440"/>
      <c r="I455" s="440"/>
    </row>
    <row r="456" customFormat="false" ht="12.75" hidden="false" customHeight="false" outlineLevel="0" collapsed="false">
      <c r="H456" s="440"/>
      <c r="I456" s="440"/>
    </row>
    <row r="457" customFormat="false" ht="12.75" hidden="false" customHeight="false" outlineLevel="0" collapsed="false">
      <c r="H457" s="440"/>
      <c r="I457" s="440"/>
    </row>
    <row r="458" customFormat="false" ht="12.75" hidden="false" customHeight="false" outlineLevel="0" collapsed="false">
      <c r="H458" s="440"/>
      <c r="I458" s="440"/>
    </row>
    <row r="459" customFormat="false" ht="12.75" hidden="false" customHeight="false" outlineLevel="0" collapsed="false">
      <c r="H459" s="440"/>
      <c r="I459" s="440"/>
    </row>
    <row r="460" customFormat="false" ht="12.75" hidden="false" customHeight="false" outlineLevel="0" collapsed="false">
      <c r="H460" s="440"/>
      <c r="I460" s="440"/>
    </row>
    <row r="461" customFormat="false" ht="12.75" hidden="false" customHeight="false" outlineLevel="0" collapsed="false">
      <c r="H461" s="440"/>
      <c r="I461" s="440"/>
    </row>
    <row r="462" customFormat="false" ht="12.75" hidden="false" customHeight="false" outlineLevel="0" collapsed="false">
      <c r="H462" s="440"/>
      <c r="I462" s="440"/>
    </row>
    <row r="463" customFormat="false" ht="12.75" hidden="false" customHeight="false" outlineLevel="0" collapsed="false">
      <c r="H463" s="440"/>
      <c r="I463" s="440"/>
    </row>
    <row r="464" customFormat="false" ht="12.75" hidden="false" customHeight="false" outlineLevel="0" collapsed="false">
      <c r="H464" s="440"/>
      <c r="I464" s="440"/>
    </row>
    <row r="465" customFormat="false" ht="12.75" hidden="false" customHeight="false" outlineLevel="0" collapsed="false">
      <c r="H465" s="440"/>
      <c r="I465" s="440"/>
    </row>
    <row r="466" customFormat="false" ht="12.75" hidden="false" customHeight="false" outlineLevel="0" collapsed="false">
      <c r="H466" s="440"/>
      <c r="I466" s="440"/>
    </row>
    <row r="467" customFormat="false" ht="12.75" hidden="false" customHeight="false" outlineLevel="0" collapsed="false">
      <c r="H467" s="440"/>
      <c r="I467" s="440"/>
    </row>
    <row r="468" customFormat="false" ht="12.75" hidden="false" customHeight="false" outlineLevel="0" collapsed="false">
      <c r="H468" s="440"/>
      <c r="I468" s="440"/>
    </row>
    <row r="469" customFormat="false" ht="12.75" hidden="false" customHeight="false" outlineLevel="0" collapsed="false">
      <c r="H469" s="440"/>
      <c r="I469" s="440"/>
    </row>
    <row r="470" customFormat="false" ht="12.75" hidden="false" customHeight="false" outlineLevel="0" collapsed="false">
      <c r="H470" s="440"/>
      <c r="I470" s="440"/>
    </row>
    <row r="471" customFormat="false" ht="12.75" hidden="false" customHeight="false" outlineLevel="0" collapsed="false">
      <c r="H471" s="440"/>
      <c r="I471" s="440"/>
    </row>
    <row r="472" customFormat="false" ht="12.75" hidden="false" customHeight="false" outlineLevel="0" collapsed="false">
      <c r="H472" s="440"/>
      <c r="I472" s="440"/>
    </row>
    <row r="473" customFormat="false" ht="12.75" hidden="false" customHeight="false" outlineLevel="0" collapsed="false">
      <c r="H473" s="440"/>
      <c r="I473" s="440"/>
    </row>
    <row r="474" customFormat="false" ht="12.75" hidden="false" customHeight="false" outlineLevel="0" collapsed="false">
      <c r="H474" s="440"/>
      <c r="I474" s="440"/>
    </row>
    <row r="475" customFormat="false" ht="12.75" hidden="false" customHeight="false" outlineLevel="0" collapsed="false">
      <c r="H475" s="440"/>
      <c r="I475" s="440"/>
    </row>
    <row r="476" customFormat="false" ht="12.75" hidden="false" customHeight="false" outlineLevel="0" collapsed="false">
      <c r="H476" s="440"/>
      <c r="I476" s="440"/>
    </row>
    <row r="477" customFormat="false" ht="12.75" hidden="false" customHeight="false" outlineLevel="0" collapsed="false">
      <c r="H477" s="440"/>
      <c r="I477" s="440"/>
    </row>
    <row r="478" customFormat="false" ht="12.75" hidden="false" customHeight="false" outlineLevel="0" collapsed="false">
      <c r="H478" s="440"/>
      <c r="I478" s="440"/>
    </row>
    <row r="479" customFormat="false" ht="12.75" hidden="false" customHeight="false" outlineLevel="0" collapsed="false">
      <c r="H479" s="440"/>
      <c r="I479" s="440"/>
    </row>
    <row r="480" customFormat="false" ht="12.75" hidden="false" customHeight="false" outlineLevel="0" collapsed="false">
      <c r="H480" s="440"/>
      <c r="I480" s="440"/>
    </row>
    <row r="481" customFormat="false" ht="12.75" hidden="false" customHeight="false" outlineLevel="0" collapsed="false">
      <c r="H481" s="440"/>
      <c r="I481" s="440"/>
    </row>
    <row r="482" customFormat="false" ht="12.75" hidden="false" customHeight="false" outlineLevel="0" collapsed="false">
      <c r="H482" s="440"/>
      <c r="I482" s="440"/>
    </row>
    <row r="483" customFormat="false" ht="12.75" hidden="false" customHeight="false" outlineLevel="0" collapsed="false">
      <c r="H483" s="440"/>
      <c r="I483" s="440"/>
    </row>
    <row r="484" customFormat="false" ht="12.75" hidden="false" customHeight="false" outlineLevel="0" collapsed="false">
      <c r="H484" s="440"/>
      <c r="I484" s="440"/>
    </row>
    <row r="485" customFormat="false" ht="12.75" hidden="false" customHeight="false" outlineLevel="0" collapsed="false">
      <c r="H485" s="440"/>
      <c r="I485" s="440"/>
    </row>
    <row r="486" customFormat="false" ht="12.75" hidden="false" customHeight="false" outlineLevel="0" collapsed="false">
      <c r="H486" s="440"/>
      <c r="I486" s="440"/>
    </row>
    <row r="487" customFormat="false" ht="12.75" hidden="false" customHeight="false" outlineLevel="0" collapsed="false">
      <c r="H487" s="440"/>
      <c r="I487" s="440"/>
    </row>
    <row r="488" customFormat="false" ht="12.75" hidden="false" customHeight="false" outlineLevel="0" collapsed="false">
      <c r="H488" s="440"/>
      <c r="I488" s="440"/>
    </row>
    <row r="489" customFormat="false" ht="12.75" hidden="false" customHeight="false" outlineLevel="0" collapsed="false">
      <c r="H489" s="440"/>
      <c r="I489" s="440"/>
    </row>
    <row r="490" customFormat="false" ht="12.75" hidden="false" customHeight="false" outlineLevel="0" collapsed="false">
      <c r="H490" s="440"/>
      <c r="I490" s="440"/>
    </row>
    <row r="491" customFormat="false" ht="12.75" hidden="false" customHeight="false" outlineLevel="0" collapsed="false">
      <c r="H491" s="440"/>
      <c r="I491" s="440"/>
    </row>
    <row r="492" customFormat="false" ht="12.75" hidden="false" customHeight="false" outlineLevel="0" collapsed="false">
      <c r="H492" s="440"/>
      <c r="I492" s="440"/>
    </row>
    <row r="493" customFormat="false" ht="12.75" hidden="false" customHeight="false" outlineLevel="0" collapsed="false">
      <c r="H493" s="440"/>
      <c r="I493" s="440"/>
    </row>
    <row r="494" customFormat="false" ht="12.75" hidden="false" customHeight="false" outlineLevel="0" collapsed="false">
      <c r="H494" s="440"/>
      <c r="I494" s="440"/>
    </row>
    <row r="495" customFormat="false" ht="12.75" hidden="false" customHeight="false" outlineLevel="0" collapsed="false">
      <c r="H495" s="440"/>
      <c r="I495" s="440"/>
    </row>
    <row r="496" customFormat="false" ht="12.75" hidden="false" customHeight="false" outlineLevel="0" collapsed="false">
      <c r="H496" s="440"/>
      <c r="I496" s="440"/>
    </row>
    <row r="497" customFormat="false" ht="12.75" hidden="false" customHeight="false" outlineLevel="0" collapsed="false">
      <c r="H497" s="440"/>
      <c r="I497" s="440"/>
    </row>
    <row r="498" customFormat="false" ht="12.75" hidden="false" customHeight="false" outlineLevel="0" collapsed="false">
      <c r="H498" s="440"/>
      <c r="I498" s="440"/>
    </row>
    <row r="499" customFormat="false" ht="12.75" hidden="false" customHeight="false" outlineLevel="0" collapsed="false">
      <c r="H499" s="440"/>
      <c r="I499" s="440"/>
    </row>
    <row r="500" customFormat="false" ht="12.75" hidden="false" customHeight="false" outlineLevel="0" collapsed="false">
      <c r="H500" s="440"/>
      <c r="I500" s="440"/>
    </row>
    <row r="501" customFormat="false" ht="12.75" hidden="false" customHeight="false" outlineLevel="0" collapsed="false">
      <c r="H501" s="440"/>
      <c r="I501" s="440"/>
    </row>
    <row r="502" customFormat="false" ht="12.75" hidden="false" customHeight="false" outlineLevel="0" collapsed="false">
      <c r="H502" s="440"/>
      <c r="I502" s="440"/>
    </row>
    <row r="503" customFormat="false" ht="12.75" hidden="false" customHeight="false" outlineLevel="0" collapsed="false">
      <c r="H503" s="440"/>
      <c r="I503" s="440"/>
    </row>
    <row r="504" customFormat="false" ht="12.75" hidden="false" customHeight="false" outlineLevel="0" collapsed="false">
      <c r="H504" s="440"/>
      <c r="I504" s="440"/>
    </row>
    <row r="505" customFormat="false" ht="12.75" hidden="false" customHeight="false" outlineLevel="0" collapsed="false">
      <c r="H505" s="440"/>
      <c r="I505" s="440"/>
    </row>
    <row r="506" customFormat="false" ht="12.75" hidden="false" customHeight="false" outlineLevel="0" collapsed="false">
      <c r="H506" s="440"/>
      <c r="I506" s="440"/>
    </row>
    <row r="507" customFormat="false" ht="12.75" hidden="false" customHeight="false" outlineLevel="0" collapsed="false">
      <c r="H507" s="440"/>
      <c r="I507" s="440"/>
    </row>
    <row r="508" customFormat="false" ht="12.75" hidden="false" customHeight="false" outlineLevel="0" collapsed="false">
      <c r="H508" s="440"/>
      <c r="I508" s="440"/>
    </row>
    <row r="509" customFormat="false" ht="12.75" hidden="false" customHeight="false" outlineLevel="0" collapsed="false">
      <c r="H509" s="440"/>
      <c r="I509" s="440"/>
    </row>
    <row r="510" customFormat="false" ht="12.75" hidden="false" customHeight="false" outlineLevel="0" collapsed="false">
      <c r="H510" s="440"/>
      <c r="I510" s="440"/>
    </row>
    <row r="511" customFormat="false" ht="12.75" hidden="false" customHeight="false" outlineLevel="0" collapsed="false">
      <c r="H511" s="440"/>
      <c r="I511" s="440"/>
    </row>
    <row r="512" customFormat="false" ht="12.75" hidden="false" customHeight="false" outlineLevel="0" collapsed="false">
      <c r="H512" s="440"/>
      <c r="I512" s="440"/>
    </row>
    <row r="513" customFormat="false" ht="12.75" hidden="false" customHeight="false" outlineLevel="0" collapsed="false">
      <c r="H513" s="440"/>
      <c r="I513" s="440"/>
    </row>
    <row r="514" customFormat="false" ht="12.75" hidden="false" customHeight="false" outlineLevel="0" collapsed="false">
      <c r="H514" s="440"/>
      <c r="I514" s="440"/>
    </row>
    <row r="515" customFormat="false" ht="12.75" hidden="false" customHeight="false" outlineLevel="0" collapsed="false">
      <c r="H515" s="440"/>
      <c r="I515" s="440"/>
    </row>
    <row r="516" customFormat="false" ht="12.75" hidden="false" customHeight="false" outlineLevel="0" collapsed="false">
      <c r="H516" s="440"/>
      <c r="I516" s="440"/>
    </row>
    <row r="517" customFormat="false" ht="12.75" hidden="false" customHeight="false" outlineLevel="0" collapsed="false">
      <c r="H517" s="440"/>
      <c r="I517" s="440"/>
    </row>
    <row r="518" customFormat="false" ht="12.75" hidden="false" customHeight="false" outlineLevel="0" collapsed="false">
      <c r="H518" s="440"/>
      <c r="I518" s="440"/>
    </row>
    <row r="519" customFormat="false" ht="12.75" hidden="false" customHeight="false" outlineLevel="0" collapsed="false">
      <c r="H519" s="440"/>
      <c r="I519" s="440"/>
    </row>
    <row r="520" customFormat="false" ht="12.75" hidden="false" customHeight="false" outlineLevel="0" collapsed="false">
      <c r="H520" s="440"/>
      <c r="I520" s="440"/>
    </row>
    <row r="521" customFormat="false" ht="12.75" hidden="false" customHeight="false" outlineLevel="0" collapsed="false">
      <c r="H521" s="440"/>
      <c r="I521" s="440"/>
    </row>
    <row r="522" customFormat="false" ht="12.75" hidden="false" customHeight="false" outlineLevel="0" collapsed="false">
      <c r="H522" s="440"/>
      <c r="I522" s="440"/>
    </row>
    <row r="523" customFormat="false" ht="12.75" hidden="false" customHeight="false" outlineLevel="0" collapsed="false">
      <c r="H523" s="440"/>
      <c r="I523" s="440"/>
    </row>
    <row r="524" customFormat="false" ht="12.75" hidden="false" customHeight="false" outlineLevel="0" collapsed="false">
      <c r="H524" s="440"/>
      <c r="I524" s="440"/>
    </row>
    <row r="525" customFormat="false" ht="12.75" hidden="false" customHeight="false" outlineLevel="0" collapsed="false">
      <c r="H525" s="440"/>
      <c r="I525" s="440"/>
    </row>
    <row r="526" customFormat="false" ht="12.75" hidden="false" customHeight="false" outlineLevel="0" collapsed="false">
      <c r="H526" s="440"/>
      <c r="I526" s="440"/>
    </row>
    <row r="527" customFormat="false" ht="12.75" hidden="false" customHeight="false" outlineLevel="0" collapsed="false">
      <c r="H527" s="440"/>
      <c r="I527" s="440"/>
    </row>
    <row r="528" customFormat="false" ht="12.75" hidden="false" customHeight="false" outlineLevel="0" collapsed="false">
      <c r="H528" s="440"/>
      <c r="I528" s="440"/>
    </row>
    <row r="529" customFormat="false" ht="12.75" hidden="false" customHeight="false" outlineLevel="0" collapsed="false">
      <c r="H529" s="440"/>
      <c r="I529" s="440"/>
    </row>
    <row r="530" customFormat="false" ht="12.75" hidden="false" customHeight="false" outlineLevel="0" collapsed="false">
      <c r="H530" s="440"/>
      <c r="I530" s="440"/>
    </row>
    <row r="531" customFormat="false" ht="12.75" hidden="false" customHeight="false" outlineLevel="0" collapsed="false">
      <c r="H531" s="440"/>
      <c r="I531" s="440"/>
    </row>
    <row r="532" customFormat="false" ht="12.75" hidden="false" customHeight="false" outlineLevel="0" collapsed="false">
      <c r="H532" s="440"/>
      <c r="I532" s="440"/>
    </row>
    <row r="533" customFormat="false" ht="12.75" hidden="false" customHeight="false" outlineLevel="0" collapsed="false">
      <c r="H533" s="440"/>
      <c r="I533" s="440"/>
    </row>
    <row r="534" customFormat="false" ht="12.75" hidden="false" customHeight="false" outlineLevel="0" collapsed="false">
      <c r="H534" s="440"/>
      <c r="I534" s="440"/>
    </row>
    <row r="535" customFormat="false" ht="12.75" hidden="false" customHeight="false" outlineLevel="0" collapsed="false">
      <c r="H535" s="440"/>
      <c r="I535" s="440"/>
    </row>
    <row r="536" customFormat="false" ht="12.75" hidden="false" customHeight="false" outlineLevel="0" collapsed="false">
      <c r="H536" s="440"/>
      <c r="I536" s="440"/>
    </row>
    <row r="537" customFormat="false" ht="12.75" hidden="false" customHeight="false" outlineLevel="0" collapsed="false">
      <c r="H537" s="440"/>
      <c r="I537" s="440"/>
    </row>
    <row r="538" customFormat="false" ht="12.75" hidden="false" customHeight="false" outlineLevel="0" collapsed="false">
      <c r="H538" s="440"/>
      <c r="I538" s="440"/>
    </row>
    <row r="539" customFormat="false" ht="12.75" hidden="false" customHeight="false" outlineLevel="0" collapsed="false">
      <c r="H539" s="440"/>
      <c r="I539" s="440"/>
    </row>
    <row r="540" customFormat="false" ht="12.75" hidden="false" customHeight="false" outlineLevel="0" collapsed="false">
      <c r="H540" s="440"/>
      <c r="I540" s="440"/>
    </row>
    <row r="541" customFormat="false" ht="12.75" hidden="false" customHeight="false" outlineLevel="0" collapsed="false">
      <c r="H541" s="440"/>
      <c r="I541" s="440"/>
    </row>
    <row r="542" customFormat="false" ht="12.75" hidden="false" customHeight="false" outlineLevel="0" collapsed="false">
      <c r="H542" s="440"/>
      <c r="I542" s="440"/>
    </row>
    <row r="543" customFormat="false" ht="12.75" hidden="false" customHeight="false" outlineLevel="0" collapsed="false">
      <c r="H543" s="440"/>
      <c r="I543" s="440"/>
    </row>
    <row r="544" customFormat="false" ht="12.75" hidden="false" customHeight="false" outlineLevel="0" collapsed="false">
      <c r="H544" s="440"/>
      <c r="I544" s="440"/>
    </row>
    <row r="545" customFormat="false" ht="12.75" hidden="false" customHeight="false" outlineLevel="0" collapsed="false">
      <c r="H545" s="440"/>
      <c r="I545" s="440"/>
    </row>
    <row r="546" customFormat="false" ht="12.75" hidden="false" customHeight="false" outlineLevel="0" collapsed="false">
      <c r="H546" s="440"/>
      <c r="I546" s="440"/>
    </row>
    <row r="547" customFormat="false" ht="12.75" hidden="false" customHeight="false" outlineLevel="0" collapsed="false">
      <c r="H547" s="440"/>
      <c r="I547" s="440"/>
    </row>
    <row r="548" customFormat="false" ht="12.75" hidden="false" customHeight="false" outlineLevel="0" collapsed="false">
      <c r="H548" s="440"/>
      <c r="I548" s="440"/>
    </row>
    <row r="549" customFormat="false" ht="12.75" hidden="false" customHeight="false" outlineLevel="0" collapsed="false">
      <c r="H549" s="440"/>
      <c r="I549" s="440"/>
    </row>
    <row r="550" customFormat="false" ht="12.75" hidden="false" customHeight="false" outlineLevel="0" collapsed="false">
      <c r="H550" s="440"/>
      <c r="I550" s="440"/>
    </row>
    <row r="551" customFormat="false" ht="12.75" hidden="false" customHeight="false" outlineLevel="0" collapsed="false">
      <c r="H551" s="440"/>
      <c r="I551" s="440"/>
    </row>
    <row r="552" customFormat="false" ht="12.75" hidden="false" customHeight="false" outlineLevel="0" collapsed="false">
      <c r="H552" s="440"/>
      <c r="I552" s="440"/>
    </row>
    <row r="553" customFormat="false" ht="12.75" hidden="false" customHeight="false" outlineLevel="0" collapsed="false">
      <c r="H553" s="440"/>
      <c r="I553" s="440"/>
    </row>
    <row r="554" customFormat="false" ht="12.75" hidden="false" customHeight="false" outlineLevel="0" collapsed="false">
      <c r="H554" s="440"/>
      <c r="I554" s="440"/>
    </row>
    <row r="555" customFormat="false" ht="12.75" hidden="false" customHeight="false" outlineLevel="0" collapsed="false">
      <c r="H555" s="440"/>
      <c r="I555" s="440"/>
    </row>
    <row r="556" customFormat="false" ht="12.75" hidden="false" customHeight="false" outlineLevel="0" collapsed="false">
      <c r="H556" s="440"/>
      <c r="I556" s="440"/>
    </row>
    <row r="557" customFormat="false" ht="12.75" hidden="false" customHeight="false" outlineLevel="0" collapsed="false">
      <c r="H557" s="440"/>
      <c r="I557" s="440"/>
    </row>
    <row r="558" customFormat="false" ht="12.75" hidden="false" customHeight="false" outlineLevel="0" collapsed="false">
      <c r="H558" s="440"/>
      <c r="I558" s="440"/>
    </row>
    <row r="559" customFormat="false" ht="12.75" hidden="false" customHeight="false" outlineLevel="0" collapsed="false">
      <c r="H559" s="440"/>
      <c r="I559" s="440"/>
    </row>
    <row r="560" customFormat="false" ht="12.75" hidden="false" customHeight="false" outlineLevel="0" collapsed="false">
      <c r="H560" s="440"/>
      <c r="I560" s="440"/>
    </row>
    <row r="561" customFormat="false" ht="12.75" hidden="false" customHeight="false" outlineLevel="0" collapsed="false">
      <c r="H561" s="440"/>
      <c r="I561" s="440"/>
    </row>
    <row r="562" customFormat="false" ht="12.75" hidden="false" customHeight="false" outlineLevel="0" collapsed="false">
      <c r="H562" s="440"/>
      <c r="I562" s="440"/>
    </row>
    <row r="563" customFormat="false" ht="12.75" hidden="false" customHeight="false" outlineLevel="0" collapsed="false">
      <c r="H563" s="440"/>
      <c r="I563" s="440"/>
    </row>
    <row r="564" customFormat="false" ht="12.75" hidden="false" customHeight="false" outlineLevel="0" collapsed="false">
      <c r="H564" s="440"/>
      <c r="I564" s="440"/>
    </row>
    <row r="565" customFormat="false" ht="12.75" hidden="false" customHeight="false" outlineLevel="0" collapsed="false">
      <c r="H565" s="440"/>
      <c r="I565" s="440"/>
    </row>
    <row r="566" customFormat="false" ht="12.75" hidden="false" customHeight="false" outlineLevel="0" collapsed="false">
      <c r="H566" s="440"/>
      <c r="I566" s="440"/>
    </row>
    <row r="567" customFormat="false" ht="12.75" hidden="false" customHeight="false" outlineLevel="0" collapsed="false">
      <c r="H567" s="440"/>
      <c r="I567" s="440"/>
    </row>
    <row r="568" customFormat="false" ht="12.75" hidden="false" customHeight="false" outlineLevel="0" collapsed="false">
      <c r="H568" s="440"/>
      <c r="I568" s="440"/>
    </row>
    <row r="569" customFormat="false" ht="12.75" hidden="false" customHeight="false" outlineLevel="0" collapsed="false">
      <c r="H569" s="440"/>
      <c r="I569" s="440"/>
    </row>
    <row r="570" customFormat="false" ht="12.75" hidden="false" customHeight="false" outlineLevel="0" collapsed="false">
      <c r="H570" s="440"/>
      <c r="I570" s="440"/>
    </row>
    <row r="571" customFormat="false" ht="12.75" hidden="false" customHeight="false" outlineLevel="0" collapsed="false">
      <c r="H571" s="440"/>
      <c r="I571" s="440"/>
    </row>
    <row r="572" customFormat="false" ht="12.75" hidden="false" customHeight="false" outlineLevel="0" collapsed="false">
      <c r="H572" s="440"/>
      <c r="I572" s="440"/>
    </row>
    <row r="573" customFormat="false" ht="12.75" hidden="false" customHeight="false" outlineLevel="0" collapsed="false">
      <c r="H573" s="440"/>
      <c r="I573" s="440"/>
    </row>
    <row r="574" customFormat="false" ht="12.75" hidden="false" customHeight="false" outlineLevel="0" collapsed="false">
      <c r="H574" s="440"/>
      <c r="I574" s="440"/>
    </row>
    <row r="575" customFormat="false" ht="12.75" hidden="false" customHeight="false" outlineLevel="0" collapsed="false">
      <c r="H575" s="440"/>
      <c r="I575" s="440"/>
    </row>
    <row r="576" customFormat="false" ht="12.75" hidden="false" customHeight="false" outlineLevel="0" collapsed="false">
      <c r="H576" s="440"/>
      <c r="I576" s="440"/>
    </row>
    <row r="577" customFormat="false" ht="12.75" hidden="false" customHeight="false" outlineLevel="0" collapsed="false">
      <c r="H577" s="440"/>
      <c r="I577" s="440"/>
    </row>
    <row r="578" customFormat="false" ht="12.75" hidden="false" customHeight="false" outlineLevel="0" collapsed="false">
      <c r="H578" s="440"/>
      <c r="I578" s="440"/>
    </row>
    <row r="579" customFormat="false" ht="12.75" hidden="false" customHeight="false" outlineLevel="0" collapsed="false">
      <c r="H579" s="440"/>
      <c r="I579" s="440"/>
    </row>
    <row r="580" customFormat="false" ht="12.75" hidden="false" customHeight="false" outlineLevel="0" collapsed="false">
      <c r="H580" s="440"/>
      <c r="I580" s="440"/>
    </row>
    <row r="581" customFormat="false" ht="12.75" hidden="false" customHeight="false" outlineLevel="0" collapsed="false">
      <c r="H581" s="440"/>
      <c r="I581" s="440"/>
    </row>
    <row r="582" customFormat="false" ht="12.75" hidden="false" customHeight="false" outlineLevel="0" collapsed="false">
      <c r="H582" s="440"/>
      <c r="I582" s="440"/>
    </row>
    <row r="583" customFormat="false" ht="12.75" hidden="false" customHeight="false" outlineLevel="0" collapsed="false">
      <c r="H583" s="440"/>
      <c r="I583" s="440"/>
    </row>
    <row r="584" customFormat="false" ht="12.75" hidden="false" customHeight="false" outlineLevel="0" collapsed="false">
      <c r="H584" s="440"/>
      <c r="I584" s="440"/>
    </row>
    <row r="585" customFormat="false" ht="12.75" hidden="false" customHeight="false" outlineLevel="0" collapsed="false">
      <c r="H585" s="440"/>
      <c r="I585" s="440"/>
    </row>
    <row r="586" customFormat="false" ht="12.75" hidden="false" customHeight="false" outlineLevel="0" collapsed="false">
      <c r="H586" s="440"/>
      <c r="I586" s="440"/>
    </row>
    <row r="587" customFormat="false" ht="12.75" hidden="false" customHeight="false" outlineLevel="0" collapsed="false">
      <c r="H587" s="440"/>
      <c r="I587" s="440"/>
    </row>
    <row r="588" customFormat="false" ht="12.75" hidden="false" customHeight="false" outlineLevel="0" collapsed="false">
      <c r="H588" s="440"/>
      <c r="I588" s="440"/>
    </row>
    <row r="589" customFormat="false" ht="12.75" hidden="false" customHeight="false" outlineLevel="0" collapsed="false">
      <c r="H589" s="440"/>
      <c r="I589" s="440"/>
    </row>
    <row r="590" customFormat="false" ht="12.75" hidden="false" customHeight="false" outlineLevel="0" collapsed="false">
      <c r="H590" s="440"/>
      <c r="I590" s="440"/>
    </row>
    <row r="591" customFormat="false" ht="12.75" hidden="false" customHeight="false" outlineLevel="0" collapsed="false">
      <c r="H591" s="440"/>
      <c r="I591" s="440"/>
    </row>
    <row r="592" customFormat="false" ht="12.75" hidden="false" customHeight="false" outlineLevel="0" collapsed="false">
      <c r="H592" s="440"/>
      <c r="I592" s="440"/>
    </row>
    <row r="593" customFormat="false" ht="12.75" hidden="false" customHeight="false" outlineLevel="0" collapsed="false">
      <c r="H593" s="440"/>
      <c r="I593" s="440"/>
    </row>
    <row r="594" customFormat="false" ht="12.75" hidden="false" customHeight="false" outlineLevel="0" collapsed="false">
      <c r="H594" s="440"/>
      <c r="I594" s="440"/>
    </row>
    <row r="595" customFormat="false" ht="12.75" hidden="false" customHeight="false" outlineLevel="0" collapsed="false">
      <c r="H595" s="440"/>
      <c r="I595" s="440"/>
    </row>
    <row r="596" customFormat="false" ht="12.75" hidden="false" customHeight="false" outlineLevel="0" collapsed="false">
      <c r="H596" s="440"/>
      <c r="I596" s="440"/>
    </row>
    <row r="597" customFormat="false" ht="12.75" hidden="false" customHeight="false" outlineLevel="0" collapsed="false">
      <c r="H597" s="440"/>
      <c r="I597" s="440"/>
    </row>
    <row r="598" customFormat="false" ht="12.75" hidden="false" customHeight="false" outlineLevel="0" collapsed="false">
      <c r="H598" s="440"/>
      <c r="I598" s="440"/>
    </row>
    <row r="599" customFormat="false" ht="12.75" hidden="false" customHeight="false" outlineLevel="0" collapsed="false">
      <c r="H599" s="440"/>
      <c r="I599" s="440"/>
    </row>
    <row r="600" customFormat="false" ht="12.75" hidden="false" customHeight="false" outlineLevel="0" collapsed="false">
      <c r="H600" s="440"/>
      <c r="I600" s="440"/>
    </row>
    <row r="601" customFormat="false" ht="12.75" hidden="false" customHeight="false" outlineLevel="0" collapsed="false">
      <c r="H601" s="440"/>
      <c r="I601" s="440"/>
    </row>
    <row r="602" customFormat="false" ht="12.75" hidden="false" customHeight="false" outlineLevel="0" collapsed="false">
      <c r="H602" s="440"/>
      <c r="I602" s="440"/>
    </row>
    <row r="603" customFormat="false" ht="12.75" hidden="false" customHeight="false" outlineLevel="0" collapsed="false">
      <c r="H603" s="440"/>
      <c r="I603" s="440"/>
    </row>
    <row r="604" customFormat="false" ht="12.75" hidden="false" customHeight="false" outlineLevel="0" collapsed="false">
      <c r="H604" s="440"/>
      <c r="I604" s="440"/>
    </row>
    <row r="605" customFormat="false" ht="12.75" hidden="false" customHeight="false" outlineLevel="0" collapsed="false">
      <c r="H605" s="440"/>
      <c r="I605" s="440"/>
    </row>
    <row r="606" customFormat="false" ht="12.75" hidden="false" customHeight="false" outlineLevel="0" collapsed="false">
      <c r="H606" s="440"/>
      <c r="I606" s="440"/>
    </row>
    <row r="607" customFormat="false" ht="12.75" hidden="false" customHeight="false" outlineLevel="0" collapsed="false">
      <c r="H607" s="440"/>
      <c r="I607" s="440"/>
    </row>
    <row r="608" customFormat="false" ht="12.75" hidden="false" customHeight="false" outlineLevel="0" collapsed="false">
      <c r="H608" s="440"/>
      <c r="I608" s="440"/>
    </row>
    <row r="609" customFormat="false" ht="12.75" hidden="false" customHeight="false" outlineLevel="0" collapsed="false">
      <c r="H609" s="440"/>
      <c r="I609" s="440"/>
    </row>
    <row r="610" customFormat="false" ht="12.75" hidden="false" customHeight="false" outlineLevel="0" collapsed="false">
      <c r="H610" s="440"/>
      <c r="I610" s="440"/>
    </row>
    <row r="611" customFormat="false" ht="12.75" hidden="false" customHeight="false" outlineLevel="0" collapsed="false">
      <c r="H611" s="440"/>
      <c r="I611" s="440"/>
    </row>
    <row r="612" customFormat="false" ht="12.75" hidden="false" customHeight="false" outlineLevel="0" collapsed="false">
      <c r="H612" s="440"/>
      <c r="I612" s="440"/>
    </row>
    <row r="613" customFormat="false" ht="12.75" hidden="false" customHeight="false" outlineLevel="0" collapsed="false">
      <c r="H613" s="440"/>
      <c r="I613" s="440"/>
    </row>
    <row r="614" customFormat="false" ht="12.75" hidden="false" customHeight="false" outlineLevel="0" collapsed="false">
      <c r="H614" s="440"/>
      <c r="I614" s="440"/>
    </row>
    <row r="615" customFormat="false" ht="12.75" hidden="false" customHeight="false" outlineLevel="0" collapsed="false">
      <c r="H615" s="440"/>
      <c r="I615" s="440"/>
    </row>
    <row r="616" customFormat="false" ht="12.75" hidden="false" customHeight="false" outlineLevel="0" collapsed="false">
      <c r="H616" s="440"/>
      <c r="I616" s="440"/>
    </row>
    <row r="617" customFormat="false" ht="12.75" hidden="false" customHeight="false" outlineLevel="0" collapsed="false">
      <c r="H617" s="440"/>
      <c r="I617" s="440"/>
    </row>
    <row r="618" customFormat="false" ht="12.75" hidden="false" customHeight="false" outlineLevel="0" collapsed="false">
      <c r="H618" s="440"/>
      <c r="I618" s="440"/>
    </row>
    <row r="619" customFormat="false" ht="12.75" hidden="false" customHeight="false" outlineLevel="0" collapsed="false">
      <c r="H619" s="440"/>
      <c r="I619" s="440"/>
    </row>
    <row r="620" customFormat="false" ht="12.75" hidden="false" customHeight="false" outlineLevel="0" collapsed="false">
      <c r="H620" s="440"/>
      <c r="I620" s="440"/>
    </row>
    <row r="621" customFormat="false" ht="12.75" hidden="false" customHeight="false" outlineLevel="0" collapsed="false">
      <c r="H621" s="440"/>
      <c r="I621" s="440"/>
    </row>
    <row r="622" customFormat="false" ht="12.75" hidden="false" customHeight="false" outlineLevel="0" collapsed="false">
      <c r="H622" s="440"/>
      <c r="I622" s="440"/>
    </row>
    <row r="623" customFormat="false" ht="12.75" hidden="false" customHeight="false" outlineLevel="0" collapsed="false">
      <c r="H623" s="440"/>
      <c r="I623" s="440"/>
    </row>
    <row r="624" customFormat="false" ht="12.75" hidden="false" customHeight="false" outlineLevel="0" collapsed="false">
      <c r="H624" s="440"/>
      <c r="I624" s="440"/>
    </row>
    <row r="625" customFormat="false" ht="12.75" hidden="false" customHeight="false" outlineLevel="0" collapsed="false">
      <c r="H625" s="440"/>
      <c r="I625" s="440"/>
    </row>
    <row r="626" customFormat="false" ht="12.75" hidden="false" customHeight="false" outlineLevel="0" collapsed="false">
      <c r="H626" s="440"/>
      <c r="I626" s="440"/>
    </row>
    <row r="627" customFormat="false" ht="12.75" hidden="false" customHeight="false" outlineLevel="0" collapsed="false">
      <c r="H627" s="440"/>
      <c r="I627" s="440"/>
    </row>
    <row r="628" customFormat="false" ht="12.75" hidden="false" customHeight="false" outlineLevel="0" collapsed="false">
      <c r="H628" s="440"/>
      <c r="I628" s="440"/>
    </row>
    <row r="629" customFormat="false" ht="12.75" hidden="false" customHeight="false" outlineLevel="0" collapsed="false">
      <c r="H629" s="440"/>
      <c r="I629" s="440"/>
    </row>
    <row r="630" customFormat="false" ht="12.75" hidden="false" customHeight="false" outlineLevel="0" collapsed="false">
      <c r="H630" s="440"/>
      <c r="I630" s="440"/>
    </row>
    <row r="631" customFormat="false" ht="12.75" hidden="false" customHeight="false" outlineLevel="0" collapsed="false">
      <c r="H631" s="440"/>
      <c r="I631" s="440"/>
    </row>
    <row r="632" customFormat="false" ht="12.75" hidden="false" customHeight="false" outlineLevel="0" collapsed="false">
      <c r="H632" s="440"/>
      <c r="I632" s="440"/>
    </row>
    <row r="633" customFormat="false" ht="12.75" hidden="false" customHeight="false" outlineLevel="0" collapsed="false">
      <c r="H633" s="440"/>
      <c r="I633" s="440"/>
    </row>
    <row r="634" customFormat="false" ht="12.75" hidden="false" customHeight="false" outlineLevel="0" collapsed="false">
      <c r="H634" s="440"/>
      <c r="I634" s="440"/>
    </row>
    <row r="635" customFormat="false" ht="12.75" hidden="false" customHeight="false" outlineLevel="0" collapsed="false">
      <c r="H635" s="440"/>
      <c r="I635" s="440"/>
    </row>
    <row r="636" customFormat="false" ht="12.75" hidden="false" customHeight="false" outlineLevel="0" collapsed="false">
      <c r="H636" s="440"/>
      <c r="I636" s="440"/>
    </row>
    <row r="637" customFormat="false" ht="12.75" hidden="false" customHeight="false" outlineLevel="0" collapsed="false">
      <c r="H637" s="440"/>
      <c r="I637" s="440"/>
    </row>
    <row r="638" customFormat="false" ht="12.75" hidden="false" customHeight="false" outlineLevel="0" collapsed="false">
      <c r="H638" s="440"/>
      <c r="I638" s="440"/>
    </row>
    <row r="639" customFormat="false" ht="12.75" hidden="false" customHeight="false" outlineLevel="0" collapsed="false">
      <c r="H639" s="440"/>
      <c r="I639" s="440"/>
    </row>
    <row r="640" customFormat="false" ht="12.75" hidden="false" customHeight="false" outlineLevel="0" collapsed="false">
      <c r="H640" s="440"/>
      <c r="I640" s="440"/>
    </row>
    <row r="641" customFormat="false" ht="12.75" hidden="false" customHeight="false" outlineLevel="0" collapsed="false">
      <c r="H641" s="440"/>
      <c r="I641" s="440"/>
    </row>
    <row r="642" customFormat="false" ht="12.75" hidden="false" customHeight="false" outlineLevel="0" collapsed="false">
      <c r="H642" s="440"/>
      <c r="I642" s="440"/>
    </row>
    <row r="643" customFormat="false" ht="12.75" hidden="false" customHeight="false" outlineLevel="0" collapsed="false">
      <c r="H643" s="440"/>
      <c r="I643" s="440"/>
    </row>
    <row r="644" customFormat="false" ht="12.75" hidden="false" customHeight="false" outlineLevel="0" collapsed="false">
      <c r="H644" s="440"/>
      <c r="I644" s="440"/>
    </row>
    <row r="645" customFormat="false" ht="12.75" hidden="false" customHeight="false" outlineLevel="0" collapsed="false">
      <c r="H645" s="440"/>
      <c r="I645" s="440"/>
    </row>
    <row r="646" customFormat="false" ht="12.75" hidden="false" customHeight="false" outlineLevel="0" collapsed="false">
      <c r="H646" s="440"/>
      <c r="I646" s="440"/>
    </row>
    <row r="647" customFormat="false" ht="12.75" hidden="false" customHeight="false" outlineLevel="0" collapsed="false">
      <c r="H647" s="440"/>
      <c r="I647" s="440"/>
    </row>
    <row r="648" customFormat="false" ht="12.75" hidden="false" customHeight="false" outlineLevel="0" collapsed="false">
      <c r="H648" s="440"/>
      <c r="I648" s="440"/>
    </row>
    <row r="649" customFormat="false" ht="12.75" hidden="false" customHeight="false" outlineLevel="0" collapsed="false">
      <c r="H649" s="440"/>
      <c r="I649" s="440"/>
    </row>
    <row r="650" customFormat="false" ht="12.75" hidden="false" customHeight="false" outlineLevel="0" collapsed="false">
      <c r="H650" s="440"/>
      <c r="I650" s="440"/>
    </row>
    <row r="651" customFormat="false" ht="12.75" hidden="false" customHeight="false" outlineLevel="0" collapsed="false">
      <c r="H651" s="440"/>
      <c r="I651" s="440"/>
    </row>
    <row r="652" customFormat="false" ht="12.75" hidden="false" customHeight="false" outlineLevel="0" collapsed="false">
      <c r="H652" s="440"/>
      <c r="I652" s="440"/>
    </row>
    <row r="653" customFormat="false" ht="12.75" hidden="false" customHeight="false" outlineLevel="0" collapsed="false">
      <c r="H653" s="440"/>
      <c r="I653" s="440"/>
    </row>
    <row r="654" customFormat="false" ht="12.75" hidden="false" customHeight="false" outlineLevel="0" collapsed="false">
      <c r="H654" s="440"/>
      <c r="I654" s="440"/>
    </row>
    <row r="655" customFormat="false" ht="12.75" hidden="false" customHeight="false" outlineLevel="0" collapsed="false">
      <c r="H655" s="440"/>
      <c r="I655" s="440"/>
    </row>
    <row r="656" customFormat="false" ht="12.75" hidden="false" customHeight="false" outlineLevel="0" collapsed="false">
      <c r="H656" s="440"/>
      <c r="I656" s="440"/>
    </row>
    <row r="657" customFormat="false" ht="12.75" hidden="false" customHeight="false" outlineLevel="0" collapsed="false">
      <c r="H657" s="440"/>
      <c r="I657" s="440"/>
    </row>
    <row r="658" customFormat="false" ht="12.75" hidden="false" customHeight="false" outlineLevel="0" collapsed="false">
      <c r="H658" s="440"/>
      <c r="I658" s="440"/>
    </row>
    <row r="659" customFormat="false" ht="12.75" hidden="false" customHeight="false" outlineLevel="0" collapsed="false">
      <c r="H659" s="440"/>
      <c r="I659" s="440"/>
    </row>
    <row r="660" customFormat="false" ht="12.75" hidden="false" customHeight="false" outlineLevel="0" collapsed="false">
      <c r="H660" s="440"/>
      <c r="I660" s="440"/>
    </row>
    <row r="661" customFormat="false" ht="12.75" hidden="false" customHeight="false" outlineLevel="0" collapsed="false">
      <c r="H661" s="440"/>
      <c r="I661" s="440"/>
    </row>
    <row r="662" customFormat="false" ht="12.75" hidden="false" customHeight="false" outlineLevel="0" collapsed="false">
      <c r="H662" s="440"/>
      <c r="I662" s="440"/>
    </row>
    <row r="663" customFormat="false" ht="12.75" hidden="false" customHeight="false" outlineLevel="0" collapsed="false">
      <c r="H663" s="440"/>
      <c r="I663" s="440"/>
    </row>
    <row r="664" customFormat="false" ht="12.75" hidden="false" customHeight="false" outlineLevel="0" collapsed="false">
      <c r="H664" s="440"/>
      <c r="I664" s="440"/>
    </row>
    <row r="665" customFormat="false" ht="12.75" hidden="false" customHeight="false" outlineLevel="0" collapsed="false">
      <c r="H665" s="440"/>
      <c r="I665" s="440"/>
    </row>
    <row r="666" customFormat="false" ht="12.75" hidden="false" customHeight="false" outlineLevel="0" collapsed="false">
      <c r="H666" s="440"/>
      <c r="I666" s="440"/>
    </row>
    <row r="667" customFormat="false" ht="12.75" hidden="false" customHeight="false" outlineLevel="0" collapsed="false">
      <c r="H667" s="440"/>
      <c r="I667" s="440"/>
    </row>
    <row r="668" customFormat="false" ht="12.75" hidden="false" customHeight="false" outlineLevel="0" collapsed="false">
      <c r="H668" s="440"/>
      <c r="I668" s="440"/>
    </row>
    <row r="669" customFormat="false" ht="12.75" hidden="false" customHeight="false" outlineLevel="0" collapsed="false">
      <c r="H669" s="440"/>
      <c r="I669" s="440"/>
    </row>
    <row r="670" customFormat="false" ht="12.75" hidden="false" customHeight="false" outlineLevel="0" collapsed="false">
      <c r="H670" s="440"/>
      <c r="I670" s="440"/>
    </row>
    <row r="671" customFormat="false" ht="12.75" hidden="false" customHeight="false" outlineLevel="0" collapsed="false">
      <c r="H671" s="440"/>
      <c r="I671" s="440"/>
    </row>
    <row r="672" customFormat="false" ht="12.75" hidden="false" customHeight="false" outlineLevel="0" collapsed="false">
      <c r="H672" s="440"/>
      <c r="I672" s="440"/>
    </row>
    <row r="673" customFormat="false" ht="12.75" hidden="false" customHeight="false" outlineLevel="0" collapsed="false">
      <c r="H673" s="440"/>
      <c r="I673" s="440"/>
    </row>
    <row r="674" customFormat="false" ht="12.75" hidden="false" customHeight="false" outlineLevel="0" collapsed="false">
      <c r="H674" s="440"/>
      <c r="I674" s="440"/>
    </row>
    <row r="675" customFormat="false" ht="12.75" hidden="false" customHeight="false" outlineLevel="0" collapsed="false">
      <c r="H675" s="440"/>
      <c r="I675" s="440"/>
    </row>
    <row r="676" customFormat="false" ht="12.75" hidden="false" customHeight="false" outlineLevel="0" collapsed="false">
      <c r="H676" s="440"/>
      <c r="I676" s="440"/>
    </row>
    <row r="677" customFormat="false" ht="12.75" hidden="false" customHeight="false" outlineLevel="0" collapsed="false">
      <c r="H677" s="440"/>
      <c r="I677" s="440"/>
    </row>
    <row r="678" customFormat="false" ht="12.75" hidden="false" customHeight="false" outlineLevel="0" collapsed="false">
      <c r="H678" s="440"/>
      <c r="I678" s="440"/>
    </row>
    <row r="679" customFormat="false" ht="12.75" hidden="false" customHeight="false" outlineLevel="0" collapsed="false">
      <c r="H679" s="440"/>
      <c r="I679" s="440"/>
    </row>
    <row r="680" customFormat="false" ht="12.75" hidden="false" customHeight="false" outlineLevel="0" collapsed="false">
      <c r="H680" s="440"/>
      <c r="I680" s="440"/>
    </row>
    <row r="681" customFormat="false" ht="12.75" hidden="false" customHeight="false" outlineLevel="0" collapsed="false">
      <c r="H681" s="440"/>
      <c r="I681" s="440"/>
    </row>
    <row r="682" customFormat="false" ht="12.75" hidden="false" customHeight="false" outlineLevel="0" collapsed="false">
      <c r="H682" s="440"/>
      <c r="I682" s="440"/>
    </row>
    <row r="683" customFormat="false" ht="12.75" hidden="false" customHeight="false" outlineLevel="0" collapsed="false">
      <c r="H683" s="440"/>
      <c r="I683" s="440"/>
    </row>
    <row r="684" customFormat="false" ht="12.75" hidden="false" customHeight="false" outlineLevel="0" collapsed="false">
      <c r="H684" s="440"/>
      <c r="I684" s="440"/>
    </row>
    <row r="685" customFormat="false" ht="12.75" hidden="false" customHeight="false" outlineLevel="0" collapsed="false">
      <c r="H685" s="440"/>
      <c r="I685" s="440"/>
    </row>
    <row r="686" customFormat="false" ht="12.75" hidden="false" customHeight="false" outlineLevel="0" collapsed="false">
      <c r="H686" s="440"/>
      <c r="I686" s="440"/>
    </row>
    <row r="687" customFormat="false" ht="12.75" hidden="false" customHeight="false" outlineLevel="0" collapsed="false">
      <c r="H687" s="440"/>
      <c r="I687" s="440"/>
    </row>
    <row r="688" customFormat="false" ht="12.75" hidden="false" customHeight="false" outlineLevel="0" collapsed="false">
      <c r="H688" s="440"/>
      <c r="I688" s="440"/>
    </row>
    <row r="689" customFormat="false" ht="12.75" hidden="false" customHeight="false" outlineLevel="0" collapsed="false">
      <c r="H689" s="440"/>
      <c r="I689" s="440"/>
    </row>
    <row r="690" customFormat="false" ht="12.75" hidden="false" customHeight="false" outlineLevel="0" collapsed="false">
      <c r="H690" s="440"/>
      <c r="I690" s="440"/>
    </row>
    <row r="691" customFormat="false" ht="12.75" hidden="false" customHeight="false" outlineLevel="0" collapsed="false">
      <c r="H691" s="440"/>
      <c r="I691" s="440"/>
    </row>
    <row r="692" customFormat="false" ht="12.75" hidden="false" customHeight="false" outlineLevel="0" collapsed="false">
      <c r="H692" s="440"/>
      <c r="I692" s="440"/>
    </row>
    <row r="693" customFormat="false" ht="12.75" hidden="false" customHeight="false" outlineLevel="0" collapsed="false">
      <c r="H693" s="440"/>
      <c r="I693" s="440"/>
    </row>
    <row r="694" customFormat="false" ht="12.75" hidden="false" customHeight="false" outlineLevel="0" collapsed="false">
      <c r="H694" s="440"/>
      <c r="I694" s="440"/>
    </row>
    <row r="695" customFormat="false" ht="12.75" hidden="false" customHeight="false" outlineLevel="0" collapsed="false">
      <c r="H695" s="440"/>
      <c r="I695" s="440"/>
    </row>
    <row r="696" customFormat="false" ht="12.75" hidden="false" customHeight="false" outlineLevel="0" collapsed="false">
      <c r="H696" s="440"/>
      <c r="I696" s="440"/>
    </row>
    <row r="697" customFormat="false" ht="12.75" hidden="false" customHeight="false" outlineLevel="0" collapsed="false">
      <c r="H697" s="440"/>
      <c r="I697" s="440"/>
    </row>
    <row r="698" customFormat="false" ht="12.75" hidden="false" customHeight="false" outlineLevel="0" collapsed="false">
      <c r="H698" s="440"/>
      <c r="I698" s="440"/>
    </row>
    <row r="699" customFormat="false" ht="12.75" hidden="false" customHeight="false" outlineLevel="0" collapsed="false">
      <c r="H699" s="440"/>
      <c r="I699" s="440"/>
    </row>
    <row r="700" customFormat="false" ht="12.75" hidden="false" customHeight="false" outlineLevel="0" collapsed="false">
      <c r="H700" s="440"/>
      <c r="I700" s="440"/>
    </row>
    <row r="701" customFormat="false" ht="12.75" hidden="false" customHeight="false" outlineLevel="0" collapsed="false">
      <c r="H701" s="440"/>
      <c r="I701" s="440"/>
    </row>
    <row r="702" customFormat="false" ht="12.75" hidden="false" customHeight="false" outlineLevel="0" collapsed="false">
      <c r="H702" s="440"/>
      <c r="I702" s="440"/>
    </row>
    <row r="703" customFormat="false" ht="12.75" hidden="false" customHeight="false" outlineLevel="0" collapsed="false">
      <c r="H703" s="440"/>
      <c r="I703" s="440"/>
    </row>
    <row r="704" customFormat="false" ht="12.75" hidden="false" customHeight="false" outlineLevel="0" collapsed="false">
      <c r="H704" s="440"/>
      <c r="I704" s="440"/>
    </row>
    <row r="705" customFormat="false" ht="12.75" hidden="false" customHeight="false" outlineLevel="0" collapsed="false">
      <c r="H705" s="440"/>
      <c r="I705" s="440"/>
    </row>
    <row r="706" customFormat="false" ht="12.75" hidden="false" customHeight="false" outlineLevel="0" collapsed="false">
      <c r="H706" s="440"/>
      <c r="I706" s="440"/>
    </row>
    <row r="707" customFormat="false" ht="12.75" hidden="false" customHeight="false" outlineLevel="0" collapsed="false">
      <c r="H707" s="440"/>
      <c r="I707" s="440"/>
    </row>
    <row r="708" customFormat="false" ht="12.75" hidden="false" customHeight="false" outlineLevel="0" collapsed="false">
      <c r="H708" s="440"/>
      <c r="I708" s="440"/>
    </row>
    <row r="709" customFormat="false" ht="12.75" hidden="false" customHeight="false" outlineLevel="0" collapsed="false">
      <c r="H709" s="440"/>
      <c r="I709" s="440"/>
    </row>
    <row r="710" customFormat="false" ht="12.75" hidden="false" customHeight="false" outlineLevel="0" collapsed="false">
      <c r="H710" s="440"/>
      <c r="I710" s="440"/>
    </row>
    <row r="711" customFormat="false" ht="12.75" hidden="false" customHeight="false" outlineLevel="0" collapsed="false">
      <c r="H711" s="440"/>
      <c r="I711" s="440"/>
    </row>
    <row r="712" customFormat="false" ht="12.75" hidden="false" customHeight="false" outlineLevel="0" collapsed="false">
      <c r="H712" s="440"/>
      <c r="I712" s="440"/>
    </row>
    <row r="713" customFormat="false" ht="12.75" hidden="false" customHeight="false" outlineLevel="0" collapsed="false">
      <c r="H713" s="440"/>
      <c r="I713" s="440"/>
    </row>
    <row r="714" customFormat="false" ht="12.75" hidden="false" customHeight="false" outlineLevel="0" collapsed="false">
      <c r="H714" s="440"/>
      <c r="I714" s="440"/>
    </row>
    <row r="715" customFormat="false" ht="12.75" hidden="false" customHeight="false" outlineLevel="0" collapsed="false">
      <c r="H715" s="440"/>
      <c r="I715" s="440"/>
    </row>
    <row r="716" customFormat="false" ht="12.75" hidden="false" customHeight="false" outlineLevel="0" collapsed="false">
      <c r="H716" s="440"/>
      <c r="I716" s="440"/>
    </row>
    <row r="717" customFormat="false" ht="12.75" hidden="false" customHeight="false" outlineLevel="0" collapsed="false">
      <c r="H717" s="440"/>
      <c r="I717" s="440"/>
    </row>
    <row r="718" customFormat="false" ht="12.75" hidden="false" customHeight="false" outlineLevel="0" collapsed="false">
      <c r="H718" s="440"/>
      <c r="I718" s="440"/>
    </row>
    <row r="719" customFormat="false" ht="12.75" hidden="false" customHeight="false" outlineLevel="0" collapsed="false">
      <c r="H719" s="440"/>
      <c r="I719" s="440"/>
    </row>
    <row r="720" customFormat="false" ht="12.75" hidden="false" customHeight="false" outlineLevel="0" collapsed="false">
      <c r="H720" s="440"/>
      <c r="I720" s="440"/>
    </row>
    <row r="721" customFormat="false" ht="12.75" hidden="false" customHeight="false" outlineLevel="0" collapsed="false">
      <c r="H721" s="440"/>
      <c r="I721" s="440"/>
    </row>
    <row r="722" customFormat="false" ht="12.75" hidden="false" customHeight="false" outlineLevel="0" collapsed="false">
      <c r="H722" s="440"/>
      <c r="I722" s="440"/>
    </row>
    <row r="723" customFormat="false" ht="12.75" hidden="false" customHeight="false" outlineLevel="0" collapsed="false">
      <c r="H723" s="440"/>
      <c r="I723" s="440"/>
    </row>
    <row r="724" customFormat="false" ht="12.75" hidden="false" customHeight="false" outlineLevel="0" collapsed="false">
      <c r="H724" s="440"/>
      <c r="I724" s="440"/>
    </row>
    <row r="725" customFormat="false" ht="12.75" hidden="false" customHeight="false" outlineLevel="0" collapsed="false">
      <c r="H725" s="440"/>
      <c r="I725" s="440"/>
    </row>
    <row r="726" customFormat="false" ht="12.75" hidden="false" customHeight="false" outlineLevel="0" collapsed="false">
      <c r="H726" s="440"/>
      <c r="I726" s="440"/>
    </row>
    <row r="727" customFormat="false" ht="12.75" hidden="false" customHeight="false" outlineLevel="0" collapsed="false">
      <c r="H727" s="440"/>
      <c r="I727" s="440"/>
    </row>
    <row r="728" customFormat="false" ht="12.75" hidden="false" customHeight="false" outlineLevel="0" collapsed="false">
      <c r="H728" s="440"/>
      <c r="I728" s="440"/>
    </row>
    <row r="729" customFormat="false" ht="12.75" hidden="false" customHeight="false" outlineLevel="0" collapsed="false">
      <c r="H729" s="440"/>
      <c r="I729" s="440"/>
    </row>
    <row r="730" customFormat="false" ht="12.75" hidden="false" customHeight="false" outlineLevel="0" collapsed="false">
      <c r="H730" s="440"/>
      <c r="I730" s="440"/>
    </row>
    <row r="731" customFormat="false" ht="12.75" hidden="false" customHeight="false" outlineLevel="0" collapsed="false">
      <c r="H731" s="440"/>
      <c r="I731" s="440"/>
    </row>
    <row r="732" customFormat="false" ht="12.75" hidden="false" customHeight="false" outlineLevel="0" collapsed="false">
      <c r="H732" s="440"/>
      <c r="I732" s="440"/>
    </row>
    <row r="733" customFormat="false" ht="12.75" hidden="false" customHeight="false" outlineLevel="0" collapsed="false">
      <c r="H733" s="440"/>
      <c r="I733" s="440"/>
    </row>
    <row r="734" customFormat="false" ht="12.75" hidden="false" customHeight="false" outlineLevel="0" collapsed="false">
      <c r="H734" s="440"/>
      <c r="I734" s="440"/>
    </row>
    <row r="735" customFormat="false" ht="12.75" hidden="false" customHeight="false" outlineLevel="0" collapsed="false">
      <c r="H735" s="440"/>
      <c r="I735" s="440"/>
    </row>
    <row r="736" customFormat="false" ht="12.75" hidden="false" customHeight="false" outlineLevel="0" collapsed="false">
      <c r="H736" s="440"/>
      <c r="I736" s="440"/>
    </row>
    <row r="737" customFormat="false" ht="12.75" hidden="false" customHeight="false" outlineLevel="0" collapsed="false">
      <c r="H737" s="440"/>
      <c r="I737" s="440"/>
    </row>
    <row r="738" customFormat="false" ht="12.75" hidden="false" customHeight="false" outlineLevel="0" collapsed="false">
      <c r="H738" s="440"/>
      <c r="I738" s="440"/>
    </row>
    <row r="739" customFormat="false" ht="12.75" hidden="false" customHeight="false" outlineLevel="0" collapsed="false">
      <c r="H739" s="440"/>
      <c r="I739" s="440"/>
    </row>
    <row r="740" customFormat="false" ht="12.75" hidden="false" customHeight="false" outlineLevel="0" collapsed="false">
      <c r="H740" s="440"/>
      <c r="I740" s="440"/>
    </row>
    <row r="741" customFormat="false" ht="12.75" hidden="false" customHeight="false" outlineLevel="0" collapsed="false">
      <c r="H741" s="440"/>
      <c r="I741" s="440"/>
    </row>
    <row r="742" customFormat="false" ht="12.75" hidden="false" customHeight="false" outlineLevel="0" collapsed="false">
      <c r="H742" s="440"/>
      <c r="I742" s="440"/>
    </row>
    <row r="743" customFormat="false" ht="12.75" hidden="false" customHeight="false" outlineLevel="0" collapsed="false">
      <c r="H743" s="440"/>
      <c r="I743" s="440"/>
    </row>
    <row r="744" customFormat="false" ht="12.75" hidden="false" customHeight="false" outlineLevel="0" collapsed="false">
      <c r="H744" s="440"/>
      <c r="I744" s="440"/>
    </row>
    <row r="745" customFormat="false" ht="12.75" hidden="false" customHeight="false" outlineLevel="0" collapsed="false">
      <c r="H745" s="440"/>
      <c r="I745" s="440"/>
    </row>
    <row r="746" customFormat="false" ht="12.75" hidden="false" customHeight="false" outlineLevel="0" collapsed="false">
      <c r="H746" s="440"/>
      <c r="I746" s="440"/>
    </row>
    <row r="747" customFormat="false" ht="12.75" hidden="false" customHeight="false" outlineLevel="0" collapsed="false">
      <c r="H747" s="440"/>
      <c r="I747" s="440"/>
    </row>
    <row r="748" customFormat="false" ht="12.75" hidden="false" customHeight="false" outlineLevel="0" collapsed="false">
      <c r="H748" s="440"/>
      <c r="I748" s="440"/>
    </row>
    <row r="749" customFormat="false" ht="12.75" hidden="false" customHeight="false" outlineLevel="0" collapsed="false">
      <c r="H749" s="440"/>
      <c r="I749" s="440"/>
    </row>
    <row r="750" customFormat="false" ht="12.75" hidden="false" customHeight="false" outlineLevel="0" collapsed="false">
      <c r="H750" s="440"/>
      <c r="I750" s="440"/>
    </row>
    <row r="751" customFormat="false" ht="12.75" hidden="false" customHeight="false" outlineLevel="0" collapsed="false">
      <c r="H751" s="440"/>
      <c r="I751" s="440"/>
    </row>
    <row r="752" customFormat="false" ht="12.75" hidden="false" customHeight="false" outlineLevel="0" collapsed="false">
      <c r="H752" s="440"/>
      <c r="I752" s="440"/>
    </row>
    <row r="753" customFormat="false" ht="12.75" hidden="false" customHeight="false" outlineLevel="0" collapsed="false">
      <c r="H753" s="440"/>
      <c r="I753" s="440"/>
    </row>
    <row r="754" customFormat="false" ht="12.75" hidden="false" customHeight="false" outlineLevel="0" collapsed="false">
      <c r="H754" s="440"/>
      <c r="I754" s="440"/>
    </row>
    <row r="755" customFormat="false" ht="12.75" hidden="false" customHeight="false" outlineLevel="0" collapsed="false">
      <c r="H755" s="440"/>
      <c r="I755" s="440"/>
    </row>
    <row r="756" customFormat="false" ht="12.75" hidden="false" customHeight="false" outlineLevel="0" collapsed="false">
      <c r="H756" s="440"/>
      <c r="I756" s="440"/>
    </row>
    <row r="757" customFormat="false" ht="12.75" hidden="false" customHeight="false" outlineLevel="0" collapsed="false">
      <c r="H757" s="440"/>
      <c r="I757" s="440"/>
    </row>
    <row r="758" customFormat="false" ht="12.75" hidden="false" customHeight="false" outlineLevel="0" collapsed="false">
      <c r="H758" s="440"/>
      <c r="I758" s="440"/>
    </row>
    <row r="759" customFormat="false" ht="12.75" hidden="false" customHeight="false" outlineLevel="0" collapsed="false">
      <c r="H759" s="440"/>
      <c r="I759" s="440"/>
    </row>
    <row r="760" customFormat="false" ht="12.75" hidden="false" customHeight="false" outlineLevel="0" collapsed="false">
      <c r="H760" s="440"/>
      <c r="I760" s="440"/>
    </row>
    <row r="761" customFormat="false" ht="12.75" hidden="false" customHeight="false" outlineLevel="0" collapsed="false">
      <c r="H761" s="440"/>
      <c r="I761" s="440"/>
    </row>
    <row r="762" customFormat="false" ht="12.75" hidden="false" customHeight="false" outlineLevel="0" collapsed="false">
      <c r="H762" s="440"/>
      <c r="I762" s="440"/>
    </row>
    <row r="763" customFormat="false" ht="12.75" hidden="false" customHeight="false" outlineLevel="0" collapsed="false">
      <c r="H763" s="440"/>
      <c r="I763" s="440"/>
    </row>
    <row r="764" customFormat="false" ht="12.75" hidden="false" customHeight="false" outlineLevel="0" collapsed="false">
      <c r="H764" s="440"/>
      <c r="I764" s="440"/>
    </row>
    <row r="765" customFormat="false" ht="12.75" hidden="false" customHeight="false" outlineLevel="0" collapsed="false">
      <c r="H765" s="440"/>
      <c r="I765" s="440"/>
    </row>
    <row r="766" customFormat="false" ht="12.75" hidden="false" customHeight="false" outlineLevel="0" collapsed="false">
      <c r="H766" s="440"/>
      <c r="I766" s="440"/>
    </row>
    <row r="767" customFormat="false" ht="12.75" hidden="false" customHeight="false" outlineLevel="0" collapsed="false">
      <c r="H767" s="440"/>
      <c r="I767" s="440"/>
    </row>
    <row r="768" customFormat="false" ht="12.75" hidden="false" customHeight="false" outlineLevel="0" collapsed="false">
      <c r="H768" s="440"/>
      <c r="I768" s="440"/>
    </row>
    <row r="769" customFormat="false" ht="12.75" hidden="false" customHeight="false" outlineLevel="0" collapsed="false">
      <c r="H769" s="440"/>
      <c r="I769" s="440"/>
    </row>
    <row r="770" customFormat="false" ht="12.75" hidden="false" customHeight="false" outlineLevel="0" collapsed="false">
      <c r="H770" s="440"/>
      <c r="I770" s="440"/>
    </row>
    <row r="771" customFormat="false" ht="12.75" hidden="false" customHeight="false" outlineLevel="0" collapsed="false">
      <c r="H771" s="440"/>
      <c r="I771" s="440"/>
    </row>
    <row r="772" customFormat="false" ht="12.75" hidden="false" customHeight="false" outlineLevel="0" collapsed="false">
      <c r="H772" s="440"/>
      <c r="I772" s="440"/>
    </row>
    <row r="773" customFormat="false" ht="12.75" hidden="false" customHeight="false" outlineLevel="0" collapsed="false">
      <c r="H773" s="440"/>
      <c r="I773" s="440"/>
    </row>
    <row r="774" customFormat="false" ht="12.75" hidden="false" customHeight="false" outlineLevel="0" collapsed="false">
      <c r="H774" s="440"/>
      <c r="I774" s="440"/>
    </row>
    <row r="775" customFormat="false" ht="12.75" hidden="false" customHeight="false" outlineLevel="0" collapsed="false">
      <c r="H775" s="440"/>
      <c r="I775" s="440"/>
    </row>
    <row r="776" customFormat="false" ht="12.75" hidden="false" customHeight="false" outlineLevel="0" collapsed="false">
      <c r="H776" s="440"/>
      <c r="I776" s="440"/>
    </row>
    <row r="777" customFormat="false" ht="12.75" hidden="false" customHeight="false" outlineLevel="0" collapsed="false">
      <c r="H777" s="440"/>
      <c r="I777" s="440"/>
    </row>
    <row r="778" customFormat="false" ht="12.75" hidden="false" customHeight="false" outlineLevel="0" collapsed="false">
      <c r="H778" s="440"/>
      <c r="I778" s="440"/>
    </row>
    <row r="779" customFormat="false" ht="12.75" hidden="false" customHeight="false" outlineLevel="0" collapsed="false">
      <c r="H779" s="440"/>
      <c r="I779" s="440"/>
    </row>
    <row r="780" customFormat="false" ht="12.75" hidden="false" customHeight="false" outlineLevel="0" collapsed="false">
      <c r="H780" s="440"/>
      <c r="I780" s="440"/>
    </row>
    <row r="781" customFormat="false" ht="12.75" hidden="false" customHeight="false" outlineLevel="0" collapsed="false">
      <c r="H781" s="440"/>
      <c r="I781" s="440"/>
    </row>
    <row r="782" customFormat="false" ht="12.75" hidden="false" customHeight="false" outlineLevel="0" collapsed="false">
      <c r="H782" s="440"/>
      <c r="I782" s="440"/>
    </row>
    <row r="783" customFormat="false" ht="12.75" hidden="false" customHeight="false" outlineLevel="0" collapsed="false">
      <c r="H783" s="440"/>
      <c r="I783" s="440"/>
    </row>
    <row r="784" customFormat="false" ht="12.75" hidden="false" customHeight="false" outlineLevel="0" collapsed="false">
      <c r="H784" s="440"/>
      <c r="I784" s="440"/>
    </row>
    <row r="785" customFormat="false" ht="12.75" hidden="false" customHeight="false" outlineLevel="0" collapsed="false">
      <c r="H785" s="440"/>
      <c r="I785" s="440"/>
    </row>
    <row r="786" customFormat="false" ht="12.75" hidden="false" customHeight="false" outlineLevel="0" collapsed="false">
      <c r="H786" s="440"/>
      <c r="I786" s="440"/>
    </row>
    <row r="787" customFormat="false" ht="12.75" hidden="false" customHeight="false" outlineLevel="0" collapsed="false">
      <c r="H787" s="440"/>
      <c r="I787" s="440"/>
    </row>
    <row r="788" customFormat="false" ht="12.75" hidden="false" customHeight="false" outlineLevel="0" collapsed="false">
      <c r="H788" s="440"/>
      <c r="I788" s="440"/>
    </row>
    <row r="789" customFormat="false" ht="12.75" hidden="false" customHeight="false" outlineLevel="0" collapsed="false">
      <c r="H789" s="440"/>
      <c r="I789" s="440"/>
    </row>
    <row r="790" customFormat="false" ht="12.75" hidden="false" customHeight="false" outlineLevel="0" collapsed="false">
      <c r="H790" s="440"/>
      <c r="I790" s="440"/>
    </row>
    <row r="791" customFormat="false" ht="12.75" hidden="false" customHeight="false" outlineLevel="0" collapsed="false">
      <c r="H791" s="440"/>
      <c r="I791" s="440"/>
    </row>
    <row r="792" customFormat="false" ht="12.75" hidden="false" customHeight="false" outlineLevel="0" collapsed="false">
      <c r="H792" s="440"/>
      <c r="I792" s="440"/>
    </row>
    <row r="793" customFormat="false" ht="12.75" hidden="false" customHeight="false" outlineLevel="0" collapsed="false">
      <c r="H793" s="440"/>
      <c r="I793" s="440"/>
    </row>
    <row r="794" customFormat="false" ht="12.75" hidden="false" customHeight="false" outlineLevel="0" collapsed="false">
      <c r="H794" s="440"/>
      <c r="I794" s="440"/>
    </row>
    <row r="795" customFormat="false" ht="12.75" hidden="false" customHeight="false" outlineLevel="0" collapsed="false">
      <c r="H795" s="440"/>
      <c r="I795" s="440"/>
    </row>
    <row r="796" customFormat="false" ht="12.75" hidden="false" customHeight="false" outlineLevel="0" collapsed="false">
      <c r="H796" s="440"/>
      <c r="I796" s="440"/>
    </row>
    <row r="797" customFormat="false" ht="12.75" hidden="false" customHeight="false" outlineLevel="0" collapsed="false">
      <c r="H797" s="440"/>
      <c r="I797" s="440"/>
    </row>
    <row r="798" customFormat="false" ht="12.75" hidden="false" customHeight="false" outlineLevel="0" collapsed="false">
      <c r="H798" s="440"/>
      <c r="I798" s="440"/>
    </row>
    <row r="799" customFormat="false" ht="12.75" hidden="false" customHeight="false" outlineLevel="0" collapsed="false">
      <c r="H799" s="440"/>
      <c r="I799" s="440"/>
    </row>
    <row r="800" customFormat="false" ht="12.75" hidden="false" customHeight="false" outlineLevel="0" collapsed="false">
      <c r="H800" s="440"/>
      <c r="I800" s="440"/>
    </row>
    <row r="801" customFormat="false" ht="12.75" hidden="false" customHeight="false" outlineLevel="0" collapsed="false">
      <c r="H801" s="440"/>
      <c r="I801" s="440"/>
    </row>
    <row r="802" customFormat="false" ht="12.75" hidden="false" customHeight="false" outlineLevel="0" collapsed="false">
      <c r="H802" s="440"/>
      <c r="I802" s="440"/>
    </row>
    <row r="803" customFormat="false" ht="12.75" hidden="false" customHeight="false" outlineLevel="0" collapsed="false">
      <c r="H803" s="440"/>
      <c r="I803" s="440"/>
    </row>
    <row r="804" customFormat="false" ht="12.75" hidden="false" customHeight="false" outlineLevel="0" collapsed="false">
      <c r="H804" s="440"/>
      <c r="I804" s="440"/>
    </row>
    <row r="805" customFormat="false" ht="12.75" hidden="false" customHeight="false" outlineLevel="0" collapsed="false">
      <c r="H805" s="440"/>
      <c r="I805" s="440"/>
    </row>
    <row r="806" customFormat="false" ht="12.75" hidden="false" customHeight="false" outlineLevel="0" collapsed="false">
      <c r="H806" s="440"/>
      <c r="I806" s="440"/>
    </row>
    <row r="807" customFormat="false" ht="12.75" hidden="false" customHeight="false" outlineLevel="0" collapsed="false">
      <c r="H807" s="440"/>
      <c r="I807" s="440"/>
    </row>
    <row r="808" customFormat="false" ht="12.75" hidden="false" customHeight="false" outlineLevel="0" collapsed="false">
      <c r="H808" s="440"/>
      <c r="I808" s="440"/>
    </row>
    <row r="809" customFormat="false" ht="12.75" hidden="false" customHeight="false" outlineLevel="0" collapsed="false">
      <c r="H809" s="440"/>
      <c r="I809" s="440"/>
    </row>
    <row r="810" customFormat="false" ht="12.75" hidden="false" customHeight="false" outlineLevel="0" collapsed="false">
      <c r="H810" s="440"/>
      <c r="I810" s="440"/>
    </row>
    <row r="811" customFormat="false" ht="12.75" hidden="false" customHeight="false" outlineLevel="0" collapsed="false">
      <c r="H811" s="440"/>
      <c r="I811" s="440"/>
    </row>
    <row r="812" customFormat="false" ht="12.75" hidden="false" customHeight="false" outlineLevel="0" collapsed="false">
      <c r="H812" s="440"/>
      <c r="I812" s="440"/>
    </row>
    <row r="813" customFormat="false" ht="12.75" hidden="false" customHeight="false" outlineLevel="0" collapsed="false">
      <c r="H813" s="440"/>
      <c r="I813" s="440"/>
    </row>
    <row r="814" customFormat="false" ht="12.75" hidden="false" customHeight="false" outlineLevel="0" collapsed="false">
      <c r="H814" s="440"/>
      <c r="I814" s="440"/>
    </row>
    <row r="815" customFormat="false" ht="12.75" hidden="false" customHeight="false" outlineLevel="0" collapsed="false">
      <c r="H815" s="440"/>
      <c r="I815" s="440"/>
    </row>
    <row r="816" customFormat="false" ht="12.75" hidden="false" customHeight="false" outlineLevel="0" collapsed="false">
      <c r="H816" s="440"/>
      <c r="I816" s="440"/>
    </row>
    <row r="817" customFormat="false" ht="12.75" hidden="false" customHeight="false" outlineLevel="0" collapsed="false">
      <c r="H817" s="440"/>
      <c r="I817" s="440"/>
    </row>
    <row r="818" customFormat="false" ht="12.75" hidden="false" customHeight="false" outlineLevel="0" collapsed="false">
      <c r="H818" s="440"/>
      <c r="I818" s="440"/>
    </row>
    <row r="819" customFormat="false" ht="12.75" hidden="false" customHeight="false" outlineLevel="0" collapsed="false">
      <c r="H819" s="440"/>
      <c r="I819" s="440"/>
    </row>
    <row r="820" customFormat="false" ht="12.75" hidden="false" customHeight="false" outlineLevel="0" collapsed="false">
      <c r="H820" s="440"/>
      <c r="I820" s="440"/>
    </row>
    <row r="821" customFormat="false" ht="12.75" hidden="false" customHeight="false" outlineLevel="0" collapsed="false">
      <c r="H821" s="440"/>
      <c r="I821" s="440"/>
    </row>
    <row r="822" customFormat="false" ht="12.75" hidden="false" customHeight="false" outlineLevel="0" collapsed="false">
      <c r="H822" s="440"/>
      <c r="I822" s="440"/>
    </row>
    <row r="823" customFormat="false" ht="12.75" hidden="false" customHeight="false" outlineLevel="0" collapsed="false">
      <c r="H823" s="440"/>
      <c r="I823" s="440"/>
    </row>
    <row r="824" customFormat="false" ht="12.75" hidden="false" customHeight="false" outlineLevel="0" collapsed="false">
      <c r="H824" s="440"/>
      <c r="I824" s="440"/>
    </row>
    <row r="825" customFormat="false" ht="12.75" hidden="false" customHeight="false" outlineLevel="0" collapsed="false">
      <c r="H825" s="440"/>
      <c r="I825" s="440"/>
    </row>
    <row r="826" customFormat="false" ht="12.75" hidden="false" customHeight="false" outlineLevel="0" collapsed="false">
      <c r="H826" s="440"/>
      <c r="I826" s="440"/>
    </row>
    <row r="827" customFormat="false" ht="12.75" hidden="false" customHeight="false" outlineLevel="0" collapsed="false">
      <c r="H827" s="440"/>
      <c r="I827" s="440"/>
    </row>
    <row r="828" customFormat="false" ht="12.75" hidden="false" customHeight="false" outlineLevel="0" collapsed="false">
      <c r="H828" s="440"/>
      <c r="I828" s="440"/>
    </row>
    <row r="829" customFormat="false" ht="12.75" hidden="false" customHeight="false" outlineLevel="0" collapsed="false">
      <c r="H829" s="440"/>
      <c r="I829" s="440"/>
    </row>
    <row r="830" customFormat="false" ht="12.75" hidden="false" customHeight="false" outlineLevel="0" collapsed="false">
      <c r="H830" s="440"/>
      <c r="I830" s="440"/>
    </row>
    <row r="831" customFormat="false" ht="12.75" hidden="false" customHeight="false" outlineLevel="0" collapsed="false">
      <c r="H831" s="440"/>
      <c r="I831" s="440"/>
    </row>
    <row r="832" customFormat="false" ht="12.75" hidden="false" customHeight="false" outlineLevel="0" collapsed="false">
      <c r="H832" s="440"/>
      <c r="I832" s="440"/>
    </row>
    <row r="833" customFormat="false" ht="12.75" hidden="false" customHeight="false" outlineLevel="0" collapsed="false">
      <c r="H833" s="440"/>
      <c r="I833" s="440"/>
    </row>
    <row r="834" customFormat="false" ht="12.75" hidden="false" customHeight="false" outlineLevel="0" collapsed="false">
      <c r="H834" s="440"/>
      <c r="I834" s="440"/>
    </row>
    <row r="835" customFormat="false" ht="12.75" hidden="false" customHeight="false" outlineLevel="0" collapsed="false">
      <c r="H835" s="440"/>
      <c r="I835" s="440"/>
    </row>
    <row r="836" customFormat="false" ht="12.75" hidden="false" customHeight="false" outlineLevel="0" collapsed="false">
      <c r="H836" s="440"/>
      <c r="I836" s="440"/>
    </row>
    <row r="837" customFormat="false" ht="12.75" hidden="false" customHeight="false" outlineLevel="0" collapsed="false">
      <c r="H837" s="440"/>
      <c r="I837" s="440"/>
    </row>
    <row r="838" customFormat="false" ht="12.75" hidden="false" customHeight="false" outlineLevel="0" collapsed="false">
      <c r="H838" s="440"/>
      <c r="I838" s="440"/>
    </row>
    <row r="839" customFormat="false" ht="12.75" hidden="false" customHeight="false" outlineLevel="0" collapsed="false">
      <c r="H839" s="440"/>
      <c r="I839" s="440"/>
    </row>
    <row r="840" customFormat="false" ht="12.75" hidden="false" customHeight="false" outlineLevel="0" collapsed="false">
      <c r="H840" s="440"/>
      <c r="I840" s="440"/>
    </row>
    <row r="841" customFormat="false" ht="12.75" hidden="false" customHeight="false" outlineLevel="0" collapsed="false">
      <c r="H841" s="440"/>
      <c r="I841" s="440"/>
    </row>
    <row r="842" customFormat="false" ht="12.75" hidden="false" customHeight="false" outlineLevel="0" collapsed="false">
      <c r="H842" s="440"/>
      <c r="I842" s="440"/>
    </row>
    <row r="843" customFormat="false" ht="12.75" hidden="false" customHeight="false" outlineLevel="0" collapsed="false">
      <c r="H843" s="440"/>
      <c r="I843" s="440"/>
    </row>
    <row r="844" customFormat="false" ht="12.75" hidden="false" customHeight="false" outlineLevel="0" collapsed="false">
      <c r="H844" s="440"/>
      <c r="I844" s="440"/>
    </row>
    <row r="845" customFormat="false" ht="12.75" hidden="false" customHeight="false" outlineLevel="0" collapsed="false">
      <c r="H845" s="440"/>
      <c r="I845" s="440"/>
    </row>
    <row r="846" customFormat="false" ht="12.75" hidden="false" customHeight="false" outlineLevel="0" collapsed="false">
      <c r="H846" s="440"/>
      <c r="I846" s="440"/>
    </row>
    <row r="847" customFormat="false" ht="12.75" hidden="false" customHeight="false" outlineLevel="0" collapsed="false">
      <c r="H847" s="440"/>
      <c r="I847" s="440"/>
    </row>
    <row r="848" customFormat="false" ht="12.75" hidden="false" customHeight="false" outlineLevel="0" collapsed="false">
      <c r="H848" s="440"/>
      <c r="I848" s="440"/>
    </row>
    <row r="849" customFormat="false" ht="12.75" hidden="false" customHeight="false" outlineLevel="0" collapsed="false">
      <c r="H849" s="440"/>
      <c r="I849" s="440"/>
    </row>
    <row r="850" customFormat="false" ht="12.75" hidden="false" customHeight="false" outlineLevel="0" collapsed="false">
      <c r="H850" s="440"/>
      <c r="I850" s="440"/>
    </row>
    <row r="851" customFormat="false" ht="12.75" hidden="false" customHeight="false" outlineLevel="0" collapsed="false">
      <c r="H851" s="440"/>
      <c r="I851" s="440"/>
    </row>
    <row r="852" customFormat="false" ht="12.75" hidden="false" customHeight="false" outlineLevel="0" collapsed="false">
      <c r="H852" s="440"/>
      <c r="I852" s="440"/>
    </row>
    <row r="853" customFormat="false" ht="12.75" hidden="false" customHeight="false" outlineLevel="0" collapsed="false">
      <c r="H853" s="440"/>
      <c r="I853" s="440"/>
    </row>
    <row r="854" customFormat="false" ht="12.75" hidden="false" customHeight="false" outlineLevel="0" collapsed="false">
      <c r="H854" s="440"/>
      <c r="I854" s="440"/>
    </row>
    <row r="855" customFormat="false" ht="12.75" hidden="false" customHeight="false" outlineLevel="0" collapsed="false">
      <c r="H855" s="440"/>
      <c r="I855" s="440"/>
    </row>
    <row r="856" customFormat="false" ht="12.75" hidden="false" customHeight="false" outlineLevel="0" collapsed="false">
      <c r="H856" s="440"/>
      <c r="I856" s="440"/>
    </row>
    <row r="857" customFormat="false" ht="12.75" hidden="false" customHeight="false" outlineLevel="0" collapsed="false">
      <c r="H857" s="440"/>
      <c r="I857" s="440"/>
    </row>
    <row r="858" customFormat="false" ht="12.75" hidden="false" customHeight="false" outlineLevel="0" collapsed="false">
      <c r="H858" s="440"/>
      <c r="I858" s="440"/>
    </row>
    <row r="859" customFormat="false" ht="12.75" hidden="false" customHeight="false" outlineLevel="0" collapsed="false">
      <c r="H859" s="440"/>
      <c r="I859" s="440"/>
    </row>
    <row r="860" customFormat="false" ht="12.75" hidden="false" customHeight="false" outlineLevel="0" collapsed="false">
      <c r="H860" s="440"/>
      <c r="I860" s="440"/>
    </row>
    <row r="861" customFormat="false" ht="12.75" hidden="false" customHeight="false" outlineLevel="0" collapsed="false">
      <c r="H861" s="440"/>
      <c r="I861" s="440"/>
    </row>
    <row r="862" customFormat="false" ht="12.75" hidden="false" customHeight="false" outlineLevel="0" collapsed="false">
      <c r="H862" s="440"/>
      <c r="I862" s="440"/>
    </row>
    <row r="863" customFormat="false" ht="12.75" hidden="false" customHeight="false" outlineLevel="0" collapsed="false">
      <c r="H863" s="440"/>
      <c r="I863" s="440"/>
    </row>
    <row r="864" customFormat="false" ht="12.75" hidden="false" customHeight="false" outlineLevel="0" collapsed="false">
      <c r="H864" s="440"/>
      <c r="I864" s="440"/>
    </row>
    <row r="865" customFormat="false" ht="12.75" hidden="false" customHeight="false" outlineLevel="0" collapsed="false">
      <c r="H865" s="440"/>
      <c r="I865" s="440"/>
    </row>
    <row r="866" customFormat="false" ht="12.75" hidden="false" customHeight="false" outlineLevel="0" collapsed="false">
      <c r="H866" s="440"/>
      <c r="I866" s="440"/>
    </row>
    <row r="867" customFormat="false" ht="12.75" hidden="false" customHeight="false" outlineLevel="0" collapsed="false">
      <c r="H867" s="440"/>
      <c r="I867" s="440"/>
    </row>
    <row r="868" customFormat="false" ht="12.75" hidden="false" customHeight="false" outlineLevel="0" collapsed="false">
      <c r="H868" s="440"/>
      <c r="I868" s="440"/>
    </row>
    <row r="869" customFormat="false" ht="12.75" hidden="false" customHeight="false" outlineLevel="0" collapsed="false">
      <c r="H869" s="440"/>
      <c r="I869" s="440"/>
    </row>
    <row r="870" customFormat="false" ht="12.75" hidden="false" customHeight="false" outlineLevel="0" collapsed="false">
      <c r="H870" s="440"/>
      <c r="I870" s="440"/>
    </row>
    <row r="871" customFormat="false" ht="12.75" hidden="false" customHeight="false" outlineLevel="0" collapsed="false">
      <c r="H871" s="440"/>
      <c r="I871" s="440"/>
    </row>
    <row r="872" customFormat="false" ht="12.75" hidden="false" customHeight="false" outlineLevel="0" collapsed="false">
      <c r="H872" s="440"/>
      <c r="I872" s="440"/>
    </row>
    <row r="873" customFormat="false" ht="12.75" hidden="false" customHeight="false" outlineLevel="0" collapsed="false">
      <c r="H873" s="440"/>
      <c r="I873" s="440"/>
    </row>
    <row r="874" customFormat="false" ht="12.75" hidden="false" customHeight="false" outlineLevel="0" collapsed="false">
      <c r="H874" s="440"/>
      <c r="I874" s="440"/>
    </row>
    <row r="875" customFormat="false" ht="12.75" hidden="false" customHeight="false" outlineLevel="0" collapsed="false">
      <c r="H875" s="440"/>
      <c r="I875" s="440"/>
    </row>
    <row r="876" customFormat="false" ht="12.75" hidden="false" customHeight="false" outlineLevel="0" collapsed="false">
      <c r="H876" s="440"/>
      <c r="I876" s="440"/>
    </row>
    <row r="877" customFormat="false" ht="12.75" hidden="false" customHeight="false" outlineLevel="0" collapsed="false">
      <c r="H877" s="440"/>
      <c r="I877" s="440"/>
    </row>
    <row r="878" customFormat="false" ht="12.75" hidden="false" customHeight="false" outlineLevel="0" collapsed="false">
      <c r="H878" s="440"/>
      <c r="I878" s="440"/>
    </row>
    <row r="879" customFormat="false" ht="12.75" hidden="false" customHeight="false" outlineLevel="0" collapsed="false">
      <c r="H879" s="440"/>
      <c r="I879" s="440"/>
    </row>
    <row r="880" customFormat="false" ht="12.75" hidden="false" customHeight="false" outlineLevel="0" collapsed="false">
      <c r="H880" s="440"/>
      <c r="I880" s="440"/>
    </row>
    <row r="881" customFormat="false" ht="12.75" hidden="false" customHeight="false" outlineLevel="0" collapsed="false">
      <c r="H881" s="440"/>
      <c r="I881" s="440"/>
    </row>
    <row r="882" customFormat="false" ht="12.75" hidden="false" customHeight="false" outlineLevel="0" collapsed="false">
      <c r="H882" s="440"/>
      <c r="I882" s="440"/>
    </row>
    <row r="883" customFormat="false" ht="12.75" hidden="false" customHeight="false" outlineLevel="0" collapsed="false">
      <c r="H883" s="440"/>
      <c r="I883" s="440"/>
    </row>
    <row r="884" customFormat="false" ht="12.75" hidden="false" customHeight="false" outlineLevel="0" collapsed="false">
      <c r="H884" s="440"/>
      <c r="I884" s="440"/>
    </row>
    <row r="885" customFormat="false" ht="12.75" hidden="false" customHeight="false" outlineLevel="0" collapsed="false">
      <c r="H885" s="440"/>
      <c r="I885" s="440"/>
    </row>
    <row r="886" customFormat="false" ht="12.75" hidden="false" customHeight="false" outlineLevel="0" collapsed="false">
      <c r="H886" s="440"/>
      <c r="I886" s="440"/>
    </row>
    <row r="887" customFormat="false" ht="12.75" hidden="false" customHeight="false" outlineLevel="0" collapsed="false">
      <c r="H887" s="440"/>
      <c r="I887" s="440"/>
    </row>
    <row r="888" customFormat="false" ht="12.75" hidden="false" customHeight="false" outlineLevel="0" collapsed="false">
      <c r="H888" s="440"/>
      <c r="I888" s="440"/>
    </row>
    <row r="889" customFormat="false" ht="12.75" hidden="false" customHeight="false" outlineLevel="0" collapsed="false">
      <c r="H889" s="440"/>
      <c r="I889" s="440"/>
    </row>
    <row r="890" customFormat="false" ht="12.75" hidden="false" customHeight="false" outlineLevel="0" collapsed="false">
      <c r="H890" s="440"/>
      <c r="I890" s="440"/>
    </row>
    <row r="891" customFormat="false" ht="12.75" hidden="false" customHeight="false" outlineLevel="0" collapsed="false">
      <c r="H891" s="440"/>
      <c r="I891" s="440"/>
    </row>
    <row r="892" customFormat="false" ht="12.75" hidden="false" customHeight="false" outlineLevel="0" collapsed="false">
      <c r="H892" s="440"/>
      <c r="I892" s="440"/>
    </row>
    <row r="893" customFormat="false" ht="12.75" hidden="false" customHeight="false" outlineLevel="0" collapsed="false">
      <c r="H893" s="440"/>
      <c r="I893" s="440"/>
    </row>
    <row r="894" customFormat="false" ht="12.75" hidden="false" customHeight="false" outlineLevel="0" collapsed="false">
      <c r="H894" s="440"/>
      <c r="I894" s="440"/>
    </row>
    <row r="895" customFormat="false" ht="12.75" hidden="false" customHeight="false" outlineLevel="0" collapsed="false">
      <c r="H895" s="440"/>
      <c r="I895" s="440"/>
    </row>
    <row r="896" customFormat="false" ht="12.75" hidden="false" customHeight="false" outlineLevel="0" collapsed="false">
      <c r="H896" s="440"/>
      <c r="I896" s="440"/>
    </row>
    <row r="897" customFormat="false" ht="12.75" hidden="false" customHeight="false" outlineLevel="0" collapsed="false">
      <c r="H897" s="440"/>
      <c r="I897" s="440"/>
    </row>
    <row r="898" customFormat="false" ht="12.75" hidden="false" customHeight="false" outlineLevel="0" collapsed="false">
      <c r="H898" s="440"/>
      <c r="I898" s="440"/>
    </row>
    <row r="899" customFormat="false" ht="12.75" hidden="false" customHeight="false" outlineLevel="0" collapsed="false">
      <c r="H899" s="440"/>
      <c r="I899" s="440"/>
    </row>
    <row r="900" customFormat="false" ht="12.75" hidden="false" customHeight="false" outlineLevel="0" collapsed="false">
      <c r="H900" s="440"/>
      <c r="I900" s="440"/>
    </row>
    <row r="901" customFormat="false" ht="12.75" hidden="false" customHeight="false" outlineLevel="0" collapsed="false">
      <c r="H901" s="440"/>
      <c r="I901" s="440"/>
    </row>
    <row r="902" customFormat="false" ht="12.75" hidden="false" customHeight="false" outlineLevel="0" collapsed="false">
      <c r="H902" s="440"/>
      <c r="I902" s="440"/>
    </row>
    <row r="903" customFormat="false" ht="12.75" hidden="false" customHeight="false" outlineLevel="0" collapsed="false">
      <c r="H903" s="440"/>
      <c r="I903" s="440"/>
    </row>
    <row r="904" customFormat="false" ht="12.75" hidden="false" customHeight="false" outlineLevel="0" collapsed="false">
      <c r="H904" s="440"/>
      <c r="I904" s="440"/>
    </row>
    <row r="905" customFormat="false" ht="12.75" hidden="false" customHeight="false" outlineLevel="0" collapsed="false">
      <c r="H905" s="440"/>
      <c r="I905" s="440"/>
    </row>
    <row r="906" customFormat="false" ht="12.75" hidden="false" customHeight="false" outlineLevel="0" collapsed="false">
      <c r="H906" s="440"/>
      <c r="I906" s="440"/>
    </row>
    <row r="907" customFormat="false" ht="12.75" hidden="false" customHeight="false" outlineLevel="0" collapsed="false">
      <c r="H907" s="440"/>
      <c r="I907" s="440"/>
    </row>
    <row r="908" customFormat="false" ht="12.75" hidden="false" customHeight="false" outlineLevel="0" collapsed="false">
      <c r="H908" s="440"/>
      <c r="I908" s="440"/>
    </row>
    <row r="909" customFormat="false" ht="12.75" hidden="false" customHeight="false" outlineLevel="0" collapsed="false">
      <c r="H909" s="440"/>
      <c r="I909" s="440"/>
    </row>
    <row r="910" customFormat="false" ht="12.75" hidden="false" customHeight="false" outlineLevel="0" collapsed="false">
      <c r="H910" s="440"/>
      <c r="I910" s="440"/>
    </row>
    <row r="911" customFormat="false" ht="12.75" hidden="false" customHeight="false" outlineLevel="0" collapsed="false">
      <c r="H911" s="440"/>
      <c r="I911" s="440"/>
    </row>
    <row r="912" customFormat="false" ht="12.75" hidden="false" customHeight="false" outlineLevel="0" collapsed="false">
      <c r="H912" s="440"/>
      <c r="I912" s="440"/>
    </row>
    <row r="913" customFormat="false" ht="12.75" hidden="false" customHeight="false" outlineLevel="0" collapsed="false">
      <c r="H913" s="440"/>
      <c r="I913" s="440"/>
    </row>
    <row r="914" customFormat="false" ht="12.75" hidden="false" customHeight="false" outlineLevel="0" collapsed="false">
      <c r="H914" s="440"/>
      <c r="I914" s="440"/>
    </row>
    <row r="915" customFormat="false" ht="12.75" hidden="false" customHeight="false" outlineLevel="0" collapsed="false">
      <c r="H915" s="440"/>
      <c r="I915" s="440"/>
    </row>
    <row r="916" customFormat="false" ht="12.75" hidden="false" customHeight="false" outlineLevel="0" collapsed="false">
      <c r="H916" s="440"/>
      <c r="I916" s="440"/>
    </row>
    <row r="917" customFormat="false" ht="12.75" hidden="false" customHeight="false" outlineLevel="0" collapsed="false">
      <c r="H917" s="440"/>
      <c r="I917" s="440"/>
    </row>
    <row r="918" customFormat="false" ht="12.75" hidden="false" customHeight="false" outlineLevel="0" collapsed="false">
      <c r="H918" s="440"/>
      <c r="I918" s="440"/>
    </row>
    <row r="919" customFormat="false" ht="12.75" hidden="false" customHeight="false" outlineLevel="0" collapsed="false">
      <c r="H919" s="440"/>
      <c r="I919" s="440"/>
    </row>
    <row r="920" customFormat="false" ht="12.75" hidden="false" customHeight="false" outlineLevel="0" collapsed="false">
      <c r="H920" s="440"/>
      <c r="I920" s="440"/>
    </row>
    <row r="921" customFormat="false" ht="12.75" hidden="false" customHeight="false" outlineLevel="0" collapsed="false">
      <c r="H921" s="440"/>
      <c r="I921" s="440"/>
    </row>
    <row r="922" customFormat="false" ht="12.75" hidden="false" customHeight="false" outlineLevel="0" collapsed="false">
      <c r="H922" s="440"/>
      <c r="I922" s="440"/>
    </row>
    <row r="923" customFormat="false" ht="12.75" hidden="false" customHeight="false" outlineLevel="0" collapsed="false">
      <c r="H923" s="440"/>
      <c r="I923" s="440"/>
    </row>
    <row r="924" customFormat="false" ht="12.75" hidden="false" customHeight="false" outlineLevel="0" collapsed="false">
      <c r="H924" s="440"/>
      <c r="I924" s="440"/>
    </row>
    <row r="925" customFormat="false" ht="12.75" hidden="false" customHeight="false" outlineLevel="0" collapsed="false">
      <c r="H925" s="440"/>
      <c r="I925" s="440"/>
    </row>
    <row r="926" customFormat="false" ht="12.75" hidden="false" customHeight="false" outlineLevel="0" collapsed="false">
      <c r="H926" s="440"/>
      <c r="I926" s="440"/>
    </row>
    <row r="927" customFormat="false" ht="12.75" hidden="false" customHeight="false" outlineLevel="0" collapsed="false">
      <c r="H927" s="440"/>
      <c r="I927" s="440"/>
    </row>
    <row r="928" customFormat="false" ht="12.75" hidden="false" customHeight="false" outlineLevel="0" collapsed="false">
      <c r="H928" s="440"/>
      <c r="I928" s="440"/>
    </row>
    <row r="929" customFormat="false" ht="12.75" hidden="false" customHeight="false" outlineLevel="0" collapsed="false">
      <c r="H929" s="440"/>
      <c r="I929" s="440"/>
    </row>
    <row r="930" customFormat="false" ht="12.75" hidden="false" customHeight="false" outlineLevel="0" collapsed="false">
      <c r="H930" s="440"/>
      <c r="I930" s="440"/>
    </row>
    <row r="931" customFormat="false" ht="12.75" hidden="false" customHeight="false" outlineLevel="0" collapsed="false">
      <c r="H931" s="440"/>
      <c r="I931" s="440"/>
    </row>
    <row r="932" customFormat="false" ht="12.75" hidden="false" customHeight="false" outlineLevel="0" collapsed="false">
      <c r="H932" s="440"/>
      <c r="I932" s="440"/>
    </row>
    <row r="933" customFormat="false" ht="12.75" hidden="false" customHeight="false" outlineLevel="0" collapsed="false">
      <c r="H933" s="440"/>
      <c r="I933" s="440"/>
    </row>
    <row r="934" customFormat="false" ht="12.75" hidden="false" customHeight="false" outlineLevel="0" collapsed="false">
      <c r="H934" s="440"/>
      <c r="I934" s="440"/>
    </row>
    <row r="935" customFormat="false" ht="12.75" hidden="false" customHeight="false" outlineLevel="0" collapsed="false">
      <c r="H935" s="440"/>
      <c r="I935" s="440"/>
    </row>
    <row r="936" customFormat="false" ht="12.75" hidden="false" customHeight="false" outlineLevel="0" collapsed="false">
      <c r="H936" s="440"/>
      <c r="I936" s="440"/>
    </row>
    <row r="937" customFormat="false" ht="12.75" hidden="false" customHeight="false" outlineLevel="0" collapsed="false">
      <c r="H937" s="440"/>
      <c r="I937" s="440"/>
    </row>
    <row r="938" customFormat="false" ht="12.75" hidden="false" customHeight="false" outlineLevel="0" collapsed="false">
      <c r="H938" s="440"/>
      <c r="I938" s="440"/>
    </row>
    <row r="939" customFormat="false" ht="12.75" hidden="false" customHeight="false" outlineLevel="0" collapsed="false">
      <c r="H939" s="440"/>
      <c r="I939" s="440"/>
    </row>
    <row r="940" customFormat="false" ht="12.75" hidden="false" customHeight="false" outlineLevel="0" collapsed="false">
      <c r="H940" s="440"/>
      <c r="I940" s="440"/>
    </row>
    <row r="941" customFormat="false" ht="12.75" hidden="false" customHeight="false" outlineLevel="0" collapsed="false">
      <c r="H941" s="440"/>
      <c r="I941" s="440"/>
    </row>
    <row r="942" customFormat="false" ht="12.75" hidden="false" customHeight="false" outlineLevel="0" collapsed="false">
      <c r="H942" s="440"/>
      <c r="I942" s="440"/>
    </row>
    <row r="943" customFormat="false" ht="12.75" hidden="false" customHeight="false" outlineLevel="0" collapsed="false">
      <c r="H943" s="440"/>
      <c r="I943" s="440"/>
    </row>
    <row r="944" customFormat="false" ht="12.75" hidden="false" customHeight="false" outlineLevel="0" collapsed="false">
      <c r="H944" s="440"/>
      <c r="I944" s="440"/>
    </row>
    <row r="945" customFormat="false" ht="12.75" hidden="false" customHeight="false" outlineLevel="0" collapsed="false">
      <c r="H945" s="440"/>
      <c r="I945" s="440"/>
    </row>
    <row r="946" customFormat="false" ht="12.75" hidden="false" customHeight="false" outlineLevel="0" collapsed="false">
      <c r="H946" s="440"/>
      <c r="I946" s="440"/>
    </row>
    <row r="947" customFormat="false" ht="12.75" hidden="false" customHeight="false" outlineLevel="0" collapsed="false">
      <c r="H947" s="440"/>
      <c r="I947" s="440"/>
    </row>
    <row r="948" customFormat="false" ht="12.75" hidden="false" customHeight="false" outlineLevel="0" collapsed="false">
      <c r="H948" s="440"/>
      <c r="I948" s="440"/>
    </row>
    <row r="949" customFormat="false" ht="12.75" hidden="false" customHeight="false" outlineLevel="0" collapsed="false">
      <c r="H949" s="440"/>
      <c r="I949" s="440"/>
    </row>
    <row r="950" customFormat="false" ht="12.75" hidden="false" customHeight="false" outlineLevel="0" collapsed="false">
      <c r="H950" s="440"/>
      <c r="I950" s="440"/>
    </row>
    <row r="951" customFormat="false" ht="12.75" hidden="false" customHeight="false" outlineLevel="0" collapsed="false">
      <c r="H951" s="440"/>
      <c r="I951" s="440"/>
    </row>
    <row r="952" customFormat="false" ht="12.75" hidden="false" customHeight="false" outlineLevel="0" collapsed="false">
      <c r="H952" s="440"/>
      <c r="I952" s="440"/>
    </row>
    <row r="953" customFormat="false" ht="12.75" hidden="false" customHeight="false" outlineLevel="0" collapsed="false">
      <c r="H953" s="440"/>
      <c r="I953" s="440"/>
    </row>
    <row r="954" customFormat="false" ht="12.75" hidden="false" customHeight="false" outlineLevel="0" collapsed="false">
      <c r="H954" s="440"/>
      <c r="I954" s="440"/>
    </row>
    <row r="955" customFormat="false" ht="12.75" hidden="false" customHeight="false" outlineLevel="0" collapsed="false">
      <c r="H955" s="440"/>
      <c r="I955" s="440"/>
    </row>
    <row r="956" customFormat="false" ht="12.75" hidden="false" customHeight="false" outlineLevel="0" collapsed="false">
      <c r="H956" s="440"/>
      <c r="I956" s="440"/>
    </row>
    <row r="957" customFormat="false" ht="12.75" hidden="false" customHeight="false" outlineLevel="0" collapsed="false">
      <c r="H957" s="440"/>
      <c r="I957" s="440"/>
    </row>
    <row r="958" customFormat="false" ht="12.75" hidden="false" customHeight="false" outlineLevel="0" collapsed="false">
      <c r="H958" s="440"/>
      <c r="I958" s="440"/>
    </row>
    <row r="959" customFormat="false" ht="12.75" hidden="false" customHeight="false" outlineLevel="0" collapsed="false">
      <c r="H959" s="440"/>
      <c r="I959" s="440"/>
    </row>
    <row r="960" customFormat="false" ht="12.75" hidden="false" customHeight="false" outlineLevel="0" collapsed="false">
      <c r="H960" s="440"/>
      <c r="I960" s="440"/>
    </row>
    <row r="961" customFormat="false" ht="12.75" hidden="false" customHeight="false" outlineLevel="0" collapsed="false">
      <c r="H961" s="440"/>
      <c r="I961" s="440"/>
    </row>
    <row r="962" customFormat="false" ht="12.75" hidden="false" customHeight="false" outlineLevel="0" collapsed="false">
      <c r="H962" s="440"/>
      <c r="I962" s="440"/>
    </row>
    <row r="963" customFormat="false" ht="12.75" hidden="false" customHeight="false" outlineLevel="0" collapsed="false">
      <c r="H963" s="440"/>
      <c r="I963" s="440"/>
    </row>
    <row r="964" customFormat="false" ht="12.75" hidden="false" customHeight="false" outlineLevel="0" collapsed="false">
      <c r="H964" s="440"/>
      <c r="I964" s="440"/>
    </row>
    <row r="965" customFormat="false" ht="12.75" hidden="false" customHeight="false" outlineLevel="0" collapsed="false">
      <c r="H965" s="440"/>
      <c r="I965" s="440"/>
    </row>
    <row r="966" customFormat="false" ht="12.75" hidden="false" customHeight="false" outlineLevel="0" collapsed="false">
      <c r="H966" s="440"/>
      <c r="I966" s="440"/>
    </row>
    <row r="967" customFormat="false" ht="12.75" hidden="false" customHeight="false" outlineLevel="0" collapsed="false">
      <c r="H967" s="440"/>
      <c r="I967" s="440"/>
    </row>
    <row r="968" customFormat="false" ht="12.75" hidden="false" customHeight="false" outlineLevel="0" collapsed="false">
      <c r="H968" s="440"/>
      <c r="I968" s="440"/>
    </row>
    <row r="969" customFormat="false" ht="12.75" hidden="false" customHeight="false" outlineLevel="0" collapsed="false">
      <c r="H969" s="440"/>
      <c r="I969" s="440"/>
    </row>
    <row r="970" customFormat="false" ht="12.75" hidden="false" customHeight="false" outlineLevel="0" collapsed="false">
      <c r="H970" s="440"/>
      <c r="I970" s="440"/>
    </row>
    <row r="971" customFormat="false" ht="12.75" hidden="false" customHeight="false" outlineLevel="0" collapsed="false">
      <c r="H971" s="440"/>
      <c r="I971" s="440"/>
    </row>
    <row r="972" customFormat="false" ht="12.75" hidden="false" customHeight="false" outlineLevel="0" collapsed="false">
      <c r="H972" s="440"/>
      <c r="I972" s="440"/>
    </row>
    <row r="973" customFormat="false" ht="12.75" hidden="false" customHeight="false" outlineLevel="0" collapsed="false">
      <c r="H973" s="440"/>
      <c r="I973" s="440"/>
    </row>
    <row r="974" customFormat="false" ht="12.75" hidden="false" customHeight="false" outlineLevel="0" collapsed="false">
      <c r="H974" s="440"/>
      <c r="I974" s="440"/>
    </row>
    <row r="975" customFormat="false" ht="12.75" hidden="false" customHeight="false" outlineLevel="0" collapsed="false">
      <c r="H975" s="440"/>
      <c r="I975" s="440"/>
    </row>
    <row r="976" customFormat="false" ht="12.75" hidden="false" customHeight="false" outlineLevel="0" collapsed="false">
      <c r="H976" s="440"/>
      <c r="I976" s="440"/>
    </row>
    <row r="977" customFormat="false" ht="12.75" hidden="false" customHeight="false" outlineLevel="0" collapsed="false">
      <c r="H977" s="440"/>
      <c r="I977" s="440"/>
    </row>
    <row r="978" customFormat="false" ht="12.75" hidden="false" customHeight="false" outlineLevel="0" collapsed="false">
      <c r="H978" s="440"/>
      <c r="I978" s="440"/>
    </row>
    <row r="979" customFormat="false" ht="12.75" hidden="false" customHeight="false" outlineLevel="0" collapsed="false">
      <c r="H979" s="440"/>
      <c r="I979" s="440"/>
    </row>
    <row r="980" customFormat="false" ht="12.75" hidden="false" customHeight="false" outlineLevel="0" collapsed="false">
      <c r="H980" s="440"/>
      <c r="I980" s="440"/>
    </row>
    <row r="981" customFormat="false" ht="12.75" hidden="false" customHeight="false" outlineLevel="0" collapsed="false">
      <c r="H981" s="440"/>
      <c r="I981" s="440"/>
    </row>
    <row r="982" customFormat="false" ht="12.75" hidden="false" customHeight="false" outlineLevel="0" collapsed="false">
      <c r="H982" s="440"/>
      <c r="I982" s="440"/>
    </row>
    <row r="983" customFormat="false" ht="12.75" hidden="false" customHeight="false" outlineLevel="0" collapsed="false">
      <c r="H983" s="440"/>
      <c r="I983" s="440"/>
    </row>
    <row r="984" customFormat="false" ht="12.75" hidden="false" customHeight="false" outlineLevel="0" collapsed="false">
      <c r="H984" s="440"/>
      <c r="I984" s="440"/>
    </row>
    <row r="985" customFormat="false" ht="12.75" hidden="false" customHeight="false" outlineLevel="0" collapsed="false">
      <c r="H985" s="440"/>
      <c r="I985" s="440"/>
    </row>
    <row r="986" customFormat="false" ht="12.75" hidden="false" customHeight="false" outlineLevel="0" collapsed="false">
      <c r="H986" s="440"/>
      <c r="I986" s="440"/>
    </row>
    <row r="987" customFormat="false" ht="12.75" hidden="false" customHeight="false" outlineLevel="0" collapsed="false">
      <c r="H987" s="440"/>
      <c r="I987" s="440"/>
    </row>
    <row r="988" customFormat="false" ht="12.75" hidden="false" customHeight="false" outlineLevel="0" collapsed="false">
      <c r="H988" s="440"/>
      <c r="I988" s="440"/>
    </row>
    <row r="989" customFormat="false" ht="12.75" hidden="false" customHeight="false" outlineLevel="0" collapsed="false">
      <c r="H989" s="440"/>
      <c r="I989" s="440"/>
    </row>
    <row r="990" customFormat="false" ht="12.75" hidden="false" customHeight="false" outlineLevel="0" collapsed="false">
      <c r="H990" s="440"/>
      <c r="I990" s="440"/>
    </row>
    <row r="991" customFormat="false" ht="12.75" hidden="false" customHeight="false" outlineLevel="0" collapsed="false">
      <c r="H991" s="440"/>
      <c r="I991" s="440"/>
    </row>
    <row r="992" customFormat="false" ht="12.75" hidden="false" customHeight="false" outlineLevel="0" collapsed="false">
      <c r="H992" s="440"/>
      <c r="I992" s="440"/>
    </row>
    <row r="993" customFormat="false" ht="12.75" hidden="false" customHeight="false" outlineLevel="0" collapsed="false">
      <c r="H993" s="440"/>
      <c r="I993" s="440"/>
    </row>
    <row r="994" customFormat="false" ht="12.75" hidden="false" customHeight="false" outlineLevel="0" collapsed="false">
      <c r="H994" s="440"/>
      <c r="I994" s="440"/>
    </row>
    <row r="995" customFormat="false" ht="12.75" hidden="false" customHeight="false" outlineLevel="0" collapsed="false">
      <c r="H995" s="440"/>
      <c r="I995" s="440"/>
    </row>
    <row r="996" customFormat="false" ht="12.75" hidden="false" customHeight="false" outlineLevel="0" collapsed="false">
      <c r="H996" s="440"/>
      <c r="I996" s="440"/>
    </row>
    <row r="997" customFormat="false" ht="12.75" hidden="false" customHeight="false" outlineLevel="0" collapsed="false">
      <c r="H997" s="440"/>
      <c r="I997" s="440"/>
    </row>
    <row r="998" customFormat="false" ht="12.75" hidden="false" customHeight="false" outlineLevel="0" collapsed="false">
      <c r="H998" s="440"/>
      <c r="I998" s="440"/>
    </row>
    <row r="999" customFormat="false" ht="12.75" hidden="false" customHeight="false" outlineLevel="0" collapsed="false">
      <c r="H999" s="440"/>
      <c r="I999" s="440"/>
    </row>
    <row r="1000" customFormat="false" ht="12.75" hidden="false" customHeight="false" outlineLevel="0" collapsed="false">
      <c r="H1000" s="440"/>
      <c r="I1000" s="440"/>
    </row>
    <row r="1001" customFormat="false" ht="12.75" hidden="false" customHeight="false" outlineLevel="0" collapsed="false">
      <c r="H1001" s="440"/>
      <c r="I1001" s="440"/>
    </row>
    <row r="1002" customFormat="false" ht="12.75" hidden="false" customHeight="false" outlineLevel="0" collapsed="false">
      <c r="H1002" s="440"/>
      <c r="I1002" s="440"/>
    </row>
    <row r="1003" customFormat="false" ht="12.75" hidden="false" customHeight="false" outlineLevel="0" collapsed="false">
      <c r="H1003" s="440"/>
      <c r="I1003" s="440"/>
    </row>
    <row r="1004" customFormat="false" ht="12.75" hidden="false" customHeight="false" outlineLevel="0" collapsed="false">
      <c r="H1004" s="440"/>
      <c r="I1004" s="440"/>
    </row>
    <row r="1005" customFormat="false" ht="12.75" hidden="false" customHeight="false" outlineLevel="0" collapsed="false">
      <c r="H1005" s="440"/>
      <c r="I1005" s="440"/>
    </row>
    <row r="1006" customFormat="false" ht="12.75" hidden="false" customHeight="false" outlineLevel="0" collapsed="false">
      <c r="H1006" s="440"/>
      <c r="I1006" s="440"/>
    </row>
    <row r="1007" customFormat="false" ht="12.75" hidden="false" customHeight="false" outlineLevel="0" collapsed="false">
      <c r="H1007" s="440"/>
      <c r="I1007" s="440"/>
    </row>
    <row r="1008" customFormat="false" ht="12.75" hidden="false" customHeight="false" outlineLevel="0" collapsed="false">
      <c r="H1008" s="440"/>
      <c r="I1008" s="440"/>
    </row>
    <row r="1009" customFormat="false" ht="12.75" hidden="false" customHeight="false" outlineLevel="0" collapsed="false">
      <c r="H1009" s="440"/>
      <c r="I1009" s="440"/>
    </row>
    <row r="1010" customFormat="false" ht="12.75" hidden="false" customHeight="false" outlineLevel="0" collapsed="false">
      <c r="H1010" s="440"/>
      <c r="I1010" s="440"/>
    </row>
    <row r="1011" customFormat="false" ht="12.75" hidden="false" customHeight="false" outlineLevel="0" collapsed="false">
      <c r="H1011" s="440"/>
      <c r="I1011" s="440"/>
    </row>
    <row r="1012" customFormat="false" ht="12.75" hidden="false" customHeight="false" outlineLevel="0" collapsed="false">
      <c r="H1012" s="440"/>
      <c r="I1012" s="440"/>
    </row>
    <row r="1013" customFormat="false" ht="12.75" hidden="false" customHeight="false" outlineLevel="0" collapsed="false">
      <c r="H1013" s="440"/>
      <c r="I1013" s="440"/>
    </row>
    <row r="1014" customFormat="false" ht="12.75" hidden="false" customHeight="false" outlineLevel="0" collapsed="false">
      <c r="H1014" s="440"/>
      <c r="I1014" s="440"/>
    </row>
    <row r="1015" customFormat="false" ht="12.75" hidden="false" customHeight="false" outlineLevel="0" collapsed="false">
      <c r="H1015" s="440"/>
      <c r="I1015" s="440"/>
    </row>
    <row r="1016" customFormat="false" ht="12.75" hidden="false" customHeight="false" outlineLevel="0" collapsed="false">
      <c r="H1016" s="440"/>
      <c r="I1016" s="440"/>
    </row>
    <row r="1017" customFormat="false" ht="12.75" hidden="false" customHeight="false" outlineLevel="0" collapsed="false">
      <c r="H1017" s="440"/>
      <c r="I1017" s="440"/>
    </row>
    <row r="1018" customFormat="false" ht="12.75" hidden="false" customHeight="false" outlineLevel="0" collapsed="false">
      <c r="H1018" s="440"/>
      <c r="I1018" s="440"/>
    </row>
    <row r="1019" customFormat="false" ht="12.75" hidden="false" customHeight="false" outlineLevel="0" collapsed="false">
      <c r="H1019" s="440"/>
      <c r="I1019" s="440"/>
    </row>
    <row r="1020" customFormat="false" ht="12.75" hidden="false" customHeight="false" outlineLevel="0" collapsed="false">
      <c r="H1020" s="440"/>
      <c r="I1020" s="440"/>
    </row>
    <row r="1021" customFormat="false" ht="12.75" hidden="false" customHeight="false" outlineLevel="0" collapsed="false">
      <c r="H1021" s="440"/>
      <c r="I1021" s="440"/>
    </row>
    <row r="1022" customFormat="false" ht="12.75" hidden="false" customHeight="false" outlineLevel="0" collapsed="false">
      <c r="H1022" s="440"/>
      <c r="I1022" s="440"/>
    </row>
    <row r="1023" customFormat="false" ht="12.75" hidden="false" customHeight="false" outlineLevel="0" collapsed="false">
      <c r="H1023" s="440"/>
      <c r="I1023" s="440"/>
    </row>
    <row r="1024" customFormat="false" ht="12.75" hidden="false" customHeight="false" outlineLevel="0" collapsed="false">
      <c r="H1024" s="440"/>
      <c r="I1024" s="440"/>
    </row>
    <row r="1025" customFormat="false" ht="12.75" hidden="false" customHeight="false" outlineLevel="0" collapsed="false">
      <c r="H1025" s="440"/>
      <c r="I1025" s="440"/>
    </row>
    <row r="1026" customFormat="false" ht="12.75" hidden="false" customHeight="false" outlineLevel="0" collapsed="false">
      <c r="H1026" s="440"/>
      <c r="I1026" s="440"/>
    </row>
    <row r="1027" customFormat="false" ht="12.75" hidden="false" customHeight="false" outlineLevel="0" collapsed="false">
      <c r="H1027" s="440"/>
      <c r="I1027" s="440"/>
    </row>
    <row r="1028" customFormat="false" ht="12.75" hidden="false" customHeight="false" outlineLevel="0" collapsed="false">
      <c r="H1028" s="440"/>
      <c r="I1028" s="440"/>
    </row>
    <row r="1029" customFormat="false" ht="12.75" hidden="false" customHeight="false" outlineLevel="0" collapsed="false">
      <c r="H1029" s="440"/>
      <c r="I1029" s="440"/>
    </row>
    <row r="1030" customFormat="false" ht="12.75" hidden="false" customHeight="false" outlineLevel="0" collapsed="false">
      <c r="H1030" s="440"/>
      <c r="I1030" s="440"/>
    </row>
    <row r="1031" customFormat="false" ht="12.75" hidden="false" customHeight="false" outlineLevel="0" collapsed="false">
      <c r="H1031" s="440"/>
      <c r="I1031" s="440"/>
    </row>
    <row r="1032" customFormat="false" ht="12.75" hidden="false" customHeight="false" outlineLevel="0" collapsed="false">
      <c r="H1032" s="440"/>
      <c r="I1032" s="440"/>
    </row>
    <row r="1033" customFormat="false" ht="12.75" hidden="false" customHeight="false" outlineLevel="0" collapsed="false">
      <c r="H1033" s="440"/>
      <c r="I1033" s="440"/>
    </row>
    <row r="1034" customFormat="false" ht="12.75" hidden="false" customHeight="false" outlineLevel="0" collapsed="false">
      <c r="H1034" s="440"/>
      <c r="I1034" s="440"/>
    </row>
    <row r="1035" customFormat="false" ht="12.75" hidden="false" customHeight="false" outlineLevel="0" collapsed="false">
      <c r="H1035" s="440"/>
      <c r="I1035" s="440"/>
    </row>
    <row r="1036" customFormat="false" ht="12.75" hidden="false" customHeight="false" outlineLevel="0" collapsed="false">
      <c r="H1036" s="440"/>
      <c r="I1036" s="440"/>
    </row>
    <row r="1037" customFormat="false" ht="12.75" hidden="false" customHeight="false" outlineLevel="0" collapsed="false">
      <c r="H1037" s="440"/>
      <c r="I1037" s="440"/>
    </row>
    <row r="1038" customFormat="false" ht="12.75" hidden="false" customHeight="false" outlineLevel="0" collapsed="false">
      <c r="H1038" s="440"/>
      <c r="I1038" s="440"/>
    </row>
    <row r="1039" customFormat="false" ht="12.75" hidden="false" customHeight="false" outlineLevel="0" collapsed="false">
      <c r="H1039" s="440"/>
      <c r="I1039" s="440"/>
    </row>
    <row r="1040" customFormat="false" ht="12.75" hidden="false" customHeight="false" outlineLevel="0" collapsed="false">
      <c r="H1040" s="440"/>
      <c r="I1040" s="440"/>
    </row>
    <row r="1041" customFormat="false" ht="12.75" hidden="false" customHeight="false" outlineLevel="0" collapsed="false">
      <c r="H1041" s="440"/>
      <c r="I1041" s="440"/>
    </row>
    <row r="1042" customFormat="false" ht="12.75" hidden="false" customHeight="false" outlineLevel="0" collapsed="false">
      <c r="H1042" s="440"/>
      <c r="I1042" s="440"/>
    </row>
    <row r="1043" customFormat="false" ht="12.75" hidden="false" customHeight="false" outlineLevel="0" collapsed="false">
      <c r="H1043" s="440"/>
      <c r="I1043" s="440"/>
    </row>
    <row r="1044" customFormat="false" ht="12.75" hidden="false" customHeight="false" outlineLevel="0" collapsed="false">
      <c r="H1044" s="440"/>
      <c r="I1044" s="440"/>
    </row>
    <row r="1045" customFormat="false" ht="12.75" hidden="false" customHeight="false" outlineLevel="0" collapsed="false">
      <c r="H1045" s="440"/>
      <c r="I1045" s="440"/>
    </row>
    <row r="1046" customFormat="false" ht="12.75" hidden="false" customHeight="false" outlineLevel="0" collapsed="false">
      <c r="H1046" s="440"/>
      <c r="I1046" s="440"/>
    </row>
    <row r="1047" customFormat="false" ht="12.75" hidden="false" customHeight="false" outlineLevel="0" collapsed="false">
      <c r="H1047" s="440"/>
      <c r="I1047" s="440"/>
    </row>
    <row r="1048" customFormat="false" ht="12.75" hidden="false" customHeight="false" outlineLevel="0" collapsed="false">
      <c r="H1048" s="440"/>
      <c r="I1048" s="440"/>
    </row>
    <row r="1049" customFormat="false" ht="12.75" hidden="false" customHeight="false" outlineLevel="0" collapsed="false">
      <c r="H1049" s="440"/>
      <c r="I1049" s="440"/>
    </row>
    <row r="1050" customFormat="false" ht="12.75" hidden="false" customHeight="false" outlineLevel="0" collapsed="false">
      <c r="H1050" s="440"/>
      <c r="I1050" s="440"/>
    </row>
    <row r="1051" customFormat="false" ht="12.75" hidden="false" customHeight="false" outlineLevel="0" collapsed="false">
      <c r="H1051" s="440"/>
      <c r="I1051" s="440"/>
    </row>
    <row r="1052" customFormat="false" ht="12.75" hidden="false" customHeight="false" outlineLevel="0" collapsed="false">
      <c r="H1052" s="440"/>
      <c r="I1052" s="440"/>
    </row>
    <row r="1053" customFormat="false" ht="12.75" hidden="false" customHeight="false" outlineLevel="0" collapsed="false">
      <c r="H1053" s="440"/>
      <c r="I1053" s="440"/>
    </row>
    <row r="1054" customFormat="false" ht="12.75" hidden="false" customHeight="false" outlineLevel="0" collapsed="false">
      <c r="H1054" s="440"/>
      <c r="I1054" s="440"/>
    </row>
    <row r="1055" customFormat="false" ht="12.75" hidden="false" customHeight="false" outlineLevel="0" collapsed="false">
      <c r="H1055" s="440"/>
      <c r="I1055" s="440"/>
    </row>
  </sheetData>
  <mergeCells count="1">
    <mergeCell ref="H18:K18"/>
  </mergeCells>
  <conditionalFormatting sqref="C26">
    <cfRule type="cellIs" priority="2" operator="notEqual" aboveAverage="0" equalAverage="0" bottom="0" percent="0" rank="0" text="" dxfId="115">
      <formula>1</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docProps/app.xml><?xml version="1.0" encoding="utf-8"?>
<Properties xmlns="http://schemas.openxmlformats.org/officeDocument/2006/extended-properties" xmlns:vt="http://schemas.openxmlformats.org/officeDocument/2006/docPropsVTypes">
  <Template/>
  <TotalTime>180</TotalTime>
  <Application>LibreOffice/24.2.3.2$Linux_X86_64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2002-01-18T13:56:58Z</dcterms:created>
  <dc:creator>Blackreign;Thing Fish</dc:creator>
  <dc:description/>
  <dc:language>en-DK</dc:language>
  <cp:lastModifiedBy/>
  <cp:lastPrinted>2004-01-30T10:58:31Z</cp:lastPrinted>
  <dcterms:modified xsi:type="dcterms:W3CDTF">2024-05-23T22:52:57Z</dcterms:modified>
  <cp:revision>5</cp:revision>
  <dc:subject>www.kamikazegames.com</dc:subject>
  <dc:title>Dominion OOP Simulator</dc:title>
</cp:coreProperties>
</file>

<file path=docProps/custom.xml><?xml version="1.0" encoding="utf-8"?>
<Properties xmlns="http://schemas.openxmlformats.org/officeDocument/2006/custom-properties" xmlns:vt="http://schemas.openxmlformats.org/officeDocument/2006/docPropsVTypes"/>
</file>